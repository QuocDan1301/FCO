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Giá cầu thủ" state="visible" r:id="rId4"/>
  </sheets>
  <definedNames>
    <definedName name="_xlnm._FilterDatabase">'Giá cầu thủ'!$A$1:$AH$2010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J2011" authorId="0">
      <text>
        <r>
          <t>Giá +1: ảnh danh sách BDO do người dùng cung cấp ngày 28/10/2026. Giá +2…+13 theo công thức bp2 (117, ×1).</t>
        </r>
      </text>
    </comment>
    <comment ref="J2012" authorId="0">
      <text>
        <r>
          <t>Giá +1: ảnh danh sách BDO do người dùng cung cấp ngày 28/10/2026. Giá +2…+13 theo công thức bp2 (117, ×1).</t>
        </r>
      </text>
    </comment>
    <comment ref="J2013" authorId="0">
      <text>
        <r>
          <t>Giá +1: ảnh danh sách BDO do người dùng cung cấp ngày 28/10/2026. Giá +2…+13 theo công thức bp2 (117, ×1).</t>
        </r>
      </text>
    </comment>
    <comment ref="J2014" authorId="0">
      <text>
        <r>
          <t>Giá +1: ảnh danh sách BDO do người dùng cung cấp ngày 28/10/2026. Giá +2…+13 theo công thức bp2 (117, ×1).</t>
        </r>
      </text>
    </comment>
    <comment ref="J2015" authorId="0">
      <text>
        <r>
          <t>Giá +1: ảnh danh sách BDO do người dùng cung cấp ngày 28/10/2026. Giá +2…+13 theo công thức bp2 (117, ×1).</t>
        </r>
      </text>
    </comment>
    <comment ref="J2016" authorId="0">
      <text>
        <r>
          <t>Giá +1: ảnh danh sách BDO do người dùng cung cấp ngày 28/10/2026. Giá +2…+13 theo công thức bp2 (117, ×1).</t>
        </r>
      </text>
    </comment>
    <comment ref="J2017" authorId="0">
      <text>
        <r>
          <t>Giá +1: ảnh danh sách BDO do người dùng cung cấp ngày 28/10/2026. Giá +2…+13 theo công thức bp2 (117, ×1).</t>
        </r>
      </text>
    </comment>
    <comment ref="J2018" authorId="0">
      <text>
        <r>
          <t>Giá +1: ảnh danh sách BDO do người dùng cung cấp ngày 28/10/2026. Giá +2…+13 theo công thức bp2 (117, ×1).</t>
        </r>
      </text>
    </comment>
    <comment ref="J2019" authorId="0">
      <text>
        <r>
          <t>Giá +1: ảnh danh sách BDO do người dùng cung cấp ngày 28/10/2026. Giá +2…+13 theo công thức bp2 (117, ×1).</t>
        </r>
      </text>
    </comment>
    <comment ref="J2020" authorId="0">
      <text>
        <r>
          <t>Giá +1: ảnh danh sách BDO do người dùng cung cấp ngày 28/10/2026. Giá +2…+13 theo công thức bp2 (117, ×1).</t>
        </r>
      </text>
    </comment>
    <comment ref="J2021" authorId="0">
      <text>
        <r>
          <t>Giá +1: ảnh danh sách BDO do người dùng cung cấp ngày 28/10/2026. Giá +2…+13 theo công thức bp2 (117, ×1).</t>
        </r>
      </text>
    </comment>
    <comment ref="J2022" authorId="0">
      <text>
        <r>
          <t>Giá +1: ảnh danh sách BDO do người dùng cung cấp ngày 28/10/2026. Giá +2…+13 theo công thức bp2 (117, ×1).</t>
        </r>
      </text>
    </comment>
    <comment ref="J2023" authorId="0">
      <text>
        <r>
          <t>Giá +1: ảnh danh sách BDO do người dùng cung cấp ngày 28/10/2026. Giá +2…+13 theo công thức bp2 (117, ×1).</t>
        </r>
      </text>
    </comment>
    <comment ref="J2024" authorId="0">
      <text>
        <r>
          <t>Giá +1: ảnh danh sách BDO do người dùng cung cấp ngày 28/10/2026. Giá +2…+13 theo công thức bp2 (117, ×1).</t>
        </r>
      </text>
    </comment>
    <comment ref="J2025" authorId="0">
      <text>
        <r>
          <t>Giá +1: ảnh danh sách BDO do người dùng cung cấp ngày 28/10/2026. Giá +2…+13 theo công thức bp2 (117, ×1).</t>
        </r>
      </text>
    </comment>
    <comment ref="J2026" authorId="0">
      <text>
        <r>
          <t>Giá +1: ảnh danh sách BDO do người dùng cung cấp ngày 28/10/2026. Giá +2…+13 theo công thức bp2 (117, ×1).</t>
        </r>
      </text>
    </comment>
    <comment ref="J2027" authorId="0">
      <text>
        <r>
          <t>Giá +1: ảnh danh sách BDO do người dùng cung cấp ngày 28/10/2026. Giá +2…+13 theo công thức bp2 (117, ×1).</t>
        </r>
      </text>
    </comment>
    <comment ref="J2028" authorId="0">
      <text>
        <r>
          <t>Giá +1: ảnh danh sách BDO do người dùng cung cấp ngày 28/10/2026. Giá +2…+13 theo công thức bp2 (117, ×1).</t>
        </r>
      </text>
    </comment>
    <comment ref="J2029" authorId="0">
      <text>
        <r>
          <t>Giá +1: ảnh danh sách BDO do người dùng cung cấp ngày 28/10/2026. Giá +2…+13 theo công thức bp2 (117, ×1).</t>
        </r>
      </text>
    </comment>
    <comment ref="J2030" authorId="0">
      <text>
        <r>
          <t>Giá +1: ảnh danh sách BDO do người dùng cung cấp ngày 28/10/2026. Giá +2…+13 theo công thức bp2 (117, ×1).</t>
        </r>
      </text>
    </comment>
    <comment ref="J2031" authorId="0">
      <text>
        <r>
          <t>Giá +1: ảnh danh sách BDO do người dùng cung cấp ngày 28/10/2026. Giá +2…+13 theo công thức bp2 (117, ×1).</t>
        </r>
      </text>
    </comment>
    <comment ref="J2032" authorId="0">
      <text>
        <r>
          <t>Giá +1: ảnh danh sách BDO do người dùng cung cấp ngày 28/10/2026. Giá +2…+13 theo công thức bp2 (117, ×1).</t>
        </r>
      </text>
    </comment>
    <comment ref="J2033" authorId="0">
      <text>
        <r>
          <t>Giá +1: ảnh danh sách BDO do người dùng cung cấp ngày 28/10/2026. Giá +2…+13 theo công thức bp2 (117, ×1).</t>
        </r>
      </text>
    </comment>
    <comment ref="J2034" authorId="0">
      <text>
        <r>
          <t>Giá +1: ảnh danh sách BDO do người dùng cung cấp ngày 28/10/2026. Giá +2…+13 theo công thức bp2 (117, ×1).</t>
        </r>
      </text>
    </comment>
    <comment ref="J2035" authorId="0">
      <text>
        <r>
          <t>Giá +1: ảnh danh sách BDO do người dùng cung cấp ngày 28/10/2026. Giá +2…+13 theo công thức bp2 (117, ×1).</t>
        </r>
      </text>
    </comment>
    <comment ref="J2036" authorId="0">
      <text>
        <r>
          <t>Giá +1: ảnh danh sách BDO do người dùng cung cấp ngày 28/10/2026. Giá +2…+13 theo công thức bp2 (117, ×1).</t>
        </r>
      </text>
    </comment>
    <comment ref="J2037" authorId="0">
      <text>
        <r>
          <t>Giá +1: ảnh danh sách BDO do người dùng cung cấp ngày 28/10/2026. Giá +2…+13 theo công thức bp2 (117, ×1).</t>
        </r>
      </text>
    </comment>
    <comment ref="J2038" authorId="0">
      <text>
        <r>
          <t>Giá +1: ảnh danh sách BDO do người dùng cung cấp ngày 28/10/2026. Giá +2…+13 theo công thức bp2 (117, ×1).</t>
        </r>
      </text>
    </comment>
    <comment ref="J2039" authorId="0">
      <text>
        <r>
          <t>Giá +1: ảnh danh sách BDO do người dùng cung cấp ngày 28/10/2026. Giá +2…+13 theo công thức bp2 (117, ×1).</t>
        </r>
      </text>
    </comment>
    <comment ref="J2040" authorId="0">
      <text>
        <r>
          <t>Giá +1: ảnh danh sách BDO do người dùng cung cấp ngày 28/10/2026. Giá +2…+13 theo công thức bp2 (117, ×1).</t>
        </r>
      </text>
    </comment>
    <comment ref="J2041" authorId="0">
      <text>
        <r>
          <t>Giá +1: ảnh danh sách BDO do người dùng cung cấp ngày 28/10/2026. Giá +2…+13 theo công thức bp2 (117, ×1).</t>
        </r>
      </text>
    </comment>
    <comment ref="J2042" authorId="0">
      <text>
        <r>
          <t>Giá +1: ảnh danh sách BDO do người dùng cung cấp ngày 28/10/2026. Giá +2…+13 theo công thức bp2 (117, ×1).</t>
        </r>
      </text>
    </comment>
    <comment ref="J2043" authorId="0">
      <text>
        <r>
          <t>Giá +1: ảnh danh sách BDO do người dùng cung cấp ngày 28/10/2026. Giá +2…+13 theo công thức bp2 (117, ×1).</t>
        </r>
      </text>
    </comment>
    <comment ref="J2044" authorId="0">
      <text>
        <r>
          <t>Giá +1: ảnh danh sách BDO do người dùng cung cấp ngày 28/10/2026. Giá +2…+13 theo công thức bp2 (117, ×1).</t>
        </r>
      </text>
    </comment>
    <comment ref="J2045" authorId="0">
      <text>
        <r>
          <t>Giá +1: ảnh danh sách BDO do người dùng cung cấp ngày 28/10/2026. Giá +2…+13 theo công thức bp2 (117, ×1).</t>
        </r>
      </text>
    </comment>
    <comment ref="J2046" authorId="0">
      <text>
        <r>
          <t>Giá +1: ảnh danh sách BDO do người dùng cung cấp ngày 28/10/2026. Giá +2…+13 theo công thức bp2 (117, ×1).</t>
        </r>
      </text>
    </comment>
    <comment ref="J2047" authorId="0">
      <text>
        <r>
          <t>Giá +1: ảnh danh sách BDO do người dùng cung cấp ngày 28/10/2026. Giá +2…+13 theo công thức bp2 (117, ×1).</t>
        </r>
      </text>
    </comment>
    <comment ref="J2048" authorId="0">
      <text>
        <r>
          <t>Giá +1: ảnh danh sách BDO do người dùng cung cấp ngày 28/10/2026. Giá +2…+13 theo công thức bp2 (117, ×1).</t>
        </r>
      </text>
    </comment>
    <comment ref="J2049" authorId="0">
      <text>
        <r>
          <t>Giá +1: ảnh danh sách BDO do người dùng cung cấp ngày 28/10/2026. Giá +2…+13 theo công thức bp2 (117, ×1).</t>
        </r>
      </text>
    </comment>
    <comment ref="J2050" authorId="0">
      <text>
        <r>
          <t>Giá +1: ảnh danh sách BDO do người dùng cung cấp ngày 28/10/2026. Giá +2…+13 theo công thức bp2 (117, ×1).</t>
        </r>
      </text>
    </comment>
    <comment ref="J2051" authorId="0">
      <text>
        <r>
          <t>Giá +1: ảnh danh sách BDO do người dùng cung cấp ngày 28/10/2026. Giá +2…+13 theo công thức bp2 (117, ×1).</t>
        </r>
      </text>
    </comment>
    <comment ref="J2052" authorId="0">
      <text>
        <r>
          <t>Giá +1: ảnh danh sách BDO do người dùng cung cấp ngày 28/10/2026. Giá +2…+13 theo công thức bp2 (117, ×1).</t>
        </r>
      </text>
    </comment>
    <comment ref="J2053" authorId="0">
      <text>
        <r>
          <t>Giá +1: ảnh danh sách BDO do người dùng cung cấp ngày 28/10/2026. Giá +2…+13 theo công thức bp2 (117, ×1).</t>
        </r>
      </text>
    </comment>
    <comment ref="J2054" authorId="0">
      <text>
        <r>
          <t>Giá +1: ảnh danh sách BDO do người dùng cung cấp ngày 28/10/2026. Giá +2…+13 theo công thức bp2 (117, ×1).</t>
        </r>
      </text>
    </comment>
    <comment ref="J2055" authorId="0">
      <text>
        <r>
          <t>Giá +1: ảnh danh sách BDO do người dùng cung cấp ngày 28/10/2026. Giá +2…+13 theo công thức bp2 (117, ×1).</t>
        </r>
      </text>
    </comment>
    <comment ref="J2056" authorId="0">
      <text>
        <r>
          <t>Giá +1: ảnh danh sách BDO do người dùng cung cấp ngày 28/10/2026. Giá +2…+13 theo công thức bp2 (117, ×1).</t>
        </r>
      </text>
    </comment>
    <comment ref="J2057" authorId="0">
      <text>
        <r>
          <t>Giá +1: ảnh danh sách BDO do người dùng cung cấp ngày 28/10/2026. Giá +2…+13 theo công thức bp2 (117, ×1).</t>
        </r>
      </text>
    </comment>
    <comment ref="J2058" authorId="0">
      <text>
        <r>
          <t>Giá +1: ảnh danh sách BDO do người dùng cung cấp ngày 28/10/2026. Giá +2…+13 theo công thức bp2 (117, ×1).</t>
        </r>
      </text>
    </comment>
    <comment ref="J2059" authorId="0">
      <text>
        <r>
          <t>Giá +1: ảnh danh sách BDO do người dùng cung cấp ngày 28/10/2026. Giá +2…+13 theo công thức bp2 (117, ×1).</t>
        </r>
      </text>
    </comment>
    <comment ref="J2060" authorId="0">
      <text>
        <r>
          <t>Giá +1: ảnh danh sách BDO do người dùng cung cấp ngày 28/10/2026. Giá +2…+13 theo công thức bp2 (117, ×1).</t>
        </r>
      </text>
    </comment>
    <comment ref="J2061" authorId="0">
      <text>
        <r>
          <t>Giá +1: ảnh danh sách BDO do người dùng cung cấp ngày 28/10/2026. Giá +2…+13 theo công thức bp2 (117, ×1).</t>
        </r>
      </text>
    </comment>
    <comment ref="J2062" authorId="0">
      <text>
        <r>
          <t>Giá +1: ảnh danh sách BDO do người dùng cung cấp ngày 28/10/2026. Giá +2…+13 theo công thức bp2 (117, ×1).</t>
        </r>
      </text>
    </comment>
    <comment ref="J2063" authorId="0">
      <text>
        <r>
          <t>Giá +1: ảnh danh sách BDO do người dùng cung cấp ngày 28/10/2026. Giá +2…+13 theo công thức bp2 (117, ×1).</t>
        </r>
      </text>
    </comment>
    <comment ref="J2064" authorId="0">
      <text>
        <r>
          <t>Giá +1: ảnh danh sách BDO do người dùng cung cấp ngày 28/10/2026. Giá +2…+13 theo công thức bp2 (117, ×1).</t>
        </r>
      </text>
    </comment>
    <comment ref="J2065" authorId="0">
      <text>
        <r>
          <t>Giá +1: ảnh danh sách BDO do người dùng cung cấp ngày 28/10/2026. Giá +2…+13 theo công thức bp2 (117, ×1).</t>
        </r>
      </text>
    </comment>
    <comment ref="J2066" authorId="0">
      <text>
        <r>
          <t>Giá +1: ảnh danh sách BDO do người dùng cung cấp ngày 28/10/2026. Giá +2…+13 theo công thức bp2 (117, ×1).</t>
        </r>
      </text>
    </comment>
    <comment ref="J2067" authorId="0">
      <text>
        <r>
          <t>Giá +1: ảnh danh sách BDO do người dùng cung cấp ngày 28/10/2026. Giá +2…+13 theo công thức bp2 (117, ×1).</t>
        </r>
      </text>
    </comment>
    <comment ref="J2068" authorId="0">
      <text>
        <r>
          <t>Giá +1: ảnh danh sách BDO do người dùng cung cấp ngày 28/10/2026. Giá +2…+13 theo công thức bp2 (117, ×1).</t>
        </r>
      </text>
    </comment>
    <comment ref="J2069" authorId="0">
      <text>
        <r>
          <t>Giá +1: ảnh danh sách BDO do người dùng cung cấp ngày 28/10/2026. Giá +2…+13 theo công thức bp2 (117, ×1).</t>
        </r>
      </text>
    </comment>
    <comment ref="J2070" authorId="0">
      <text>
        <r>
          <t>Giá +1: ảnh danh sách BDO do người dùng cung cấp ngày 28/10/2026. Giá +2…+13 theo công thức bp2 (117, ×1).</t>
        </r>
      </text>
    </comment>
    <comment ref="J2071" authorId="0">
      <text>
        <r>
          <t>Giá +1: ảnh danh sách BDO do người dùng cung cấp ngày 28/10/2026. Giá +2…+13 theo công thức bp2 (117, ×1).</t>
        </r>
      </text>
    </comment>
    <comment ref="J2072" authorId="0">
      <text>
        <r>
          <t>Giá +1: ảnh danh sách BDO do người dùng cung cấp ngày 28/10/2026. Giá +2…+13 theo công thức bp2 (117, ×1).</t>
        </r>
      </text>
    </comment>
    <comment ref="J2073" authorId="0">
      <text>
        <r>
          <t>Giá +1: ảnh danh sách BDO do người dùng cung cấp ngày 28/10/2026. Giá +2…+13 theo công thức bp2 (117, ×1).</t>
        </r>
      </text>
    </comment>
    <comment ref="J2074" authorId="0">
      <text>
        <r>
          <t>Giá +1: ảnh danh sách BDO do người dùng cung cấp ngày 28/10/2026. Giá +2…+13 theo công thức bp2 (117, ×1).</t>
        </r>
      </text>
    </comment>
    <comment ref="J2075" authorId="0">
      <text>
        <r>
          <t>Giá +1: ảnh danh sách BDO do người dùng cung cấp ngày 28/10/2026. Giá +2…+13 theo công thức bp2 (117, ×1).</t>
        </r>
      </text>
    </comment>
    <comment ref="J2076" authorId="0">
      <text>
        <r>
          <t>Giá +1: ảnh danh sách BDO do người dùng cung cấp ngày 28/10/2026. Giá +2…+13 theo công thức bp2 (117, ×1).</t>
        </r>
      </text>
    </comment>
    <comment ref="J2077" authorId="0">
      <text>
        <r>
          <t>Giá +1: ảnh danh sách BDO do người dùng cung cấp ngày 28/10/2026. Giá +2…+13 theo công thức bp2 (117, ×1).</t>
        </r>
      </text>
    </comment>
    <comment ref="J2078" authorId="0">
      <text>
        <r>
          <t>Giá +1: ảnh danh sách BDO do người dùng cung cấp ngày 28/10/2026. Giá +2…+13 theo công thức bp2 (117, ×1).</t>
        </r>
      </text>
    </comment>
    <comment ref="J2079" authorId="0">
      <text>
        <r>
          <t>Giá +1: ảnh danh sách BDO do người dùng cung cấp ngày 28/10/2026. Giá +2…+13 theo công thức bp2 (117, ×1).</t>
        </r>
      </text>
    </comment>
    <comment ref="J2080" authorId="0">
      <text>
        <r>
          <t>Giá +1: ảnh danh sách BDO do người dùng cung cấp ngày 28/10/2026. Giá +2…+13 theo công thức bp2 (117, ×1).</t>
        </r>
      </text>
    </comment>
    <comment ref="J2081" authorId="0">
      <text>
        <r>
          <t>Giá +1: ảnh danh sách BDO do người dùng cung cấp ngày 28/10/2026. Giá +2…+13 theo công thức bp2 (117, ×1).</t>
        </r>
      </text>
    </comment>
    <comment ref="J2082" authorId="0">
      <text>
        <r>
          <t>Giá +1: ảnh danh sách BDO do người dùng cung cấp ngày 28/10/2026. Giá +2…+13 theo công thức bp2 (117, ×1).</t>
        </r>
      </text>
    </comment>
    <comment ref="J2083" authorId="0">
      <text>
        <r>
          <t>Giá +1: ảnh danh sách BDO do người dùng cung cấp ngày 28/10/2026. Giá +2…+13 theo công thức bp2 (117, ×1).</t>
        </r>
      </text>
    </comment>
    <comment ref="J2084" authorId="0">
      <text>
        <r>
          <t>Giá +1: ảnh danh sách BDO do người dùng cung cấp ngày 28/10/2026. Giá +2…+13 theo công thức bp2 (117, ×1).</t>
        </r>
      </text>
    </comment>
    <comment ref="J2085" authorId="0">
      <text>
        <r>
          <t>Giá +1: ảnh danh sách BDO do người dùng cung cấp ngày 28/10/2026. Giá +2…+13 theo công thức bp2 (117, ×1).</t>
        </r>
      </text>
    </comment>
    <comment ref="J2086" authorId="0">
      <text>
        <r>
          <t>Giá +1: ảnh danh sách BDO do người dùng cung cấp ngày 28/10/2026. Giá +2…+13 theo công thức bp2 (117, ×1).</t>
        </r>
      </text>
    </comment>
    <comment ref="J2087" authorId="0">
      <text>
        <r>
          <t>Giá +1: ảnh danh sách BDO do người dùng cung cấp ngày 28/10/2026. Giá +2…+13 theo công thức bp2 (117, ×1).</t>
        </r>
      </text>
    </comment>
    <comment ref="J2088" authorId="0">
      <text>
        <r>
          <t>Giá +1: ảnh danh sách BDO do người dùng cung cấp ngày 28/10/2026. Giá +2…+13 theo công thức bp2 (117, ×1).</t>
        </r>
      </text>
    </comment>
    <comment ref="J2089" authorId="0">
      <text>
        <r>
          <t>Giá +1: ảnh danh sách BDO do người dùng cung cấp ngày 28/10/2026. Giá +2…+13 theo công thức bp2 (117, ×1).</t>
        </r>
      </text>
    </comment>
    <comment ref="J2090" authorId="0">
      <text>
        <r>
          <t>Giá +1: ảnh danh sách BDO do người dùng cung cấp ngày 28/10/2026. Giá +2…+13 theo công thức bp2 (117, ×1).</t>
        </r>
      </text>
    </comment>
    <comment ref="J2091" authorId="0">
      <text>
        <r>
          <t>Giá +1: ảnh danh sách BDO do người dùng cung cấp ngày 28/10/2026. Giá +2…+13 theo công thức bp2 (117, ×1).</t>
        </r>
      </text>
    </comment>
    <comment ref="J2092" authorId="0">
      <text>
        <r>
          <t>Giá +1: ảnh danh sách BDO do người dùng cung cấp ngày 28/10/2026. Giá +2…+13 theo công thức bp2 (117, ×1).</t>
        </r>
      </text>
    </comment>
    <comment ref="J2093" authorId="0">
      <text>
        <r>
          <t>Giá +1: ảnh danh sách BDO do người dùng cung cấp ngày 28/10/2026. Giá +2…+13 theo công thức bp2 (117, ×1).</t>
        </r>
      </text>
    </comment>
    <comment ref="J2094" authorId="0">
      <text>
        <r>
          <t>Giá +1: ảnh danh sách BDO do người dùng cung cấp ngày 28/10/2026. Giá +2…+13 theo công thức bp2 (117, ×1).</t>
        </r>
      </text>
    </comment>
    <comment ref="J2095" authorId="0">
      <text>
        <r>
          <t>Giá +1: ảnh danh sách BDO do người dùng cung cấp ngày 28/10/2026. Giá +2…+13 theo công thức bp2 (117, ×1).</t>
        </r>
      </text>
    </comment>
    <comment ref="J2096" authorId="0">
      <text>
        <r>
          <t>Giá +1: ảnh danh sách BDO do người dùng cung cấp ngày 28/10/2026. Giá +2…+13 theo công thức bp2 (117, ×1).</t>
        </r>
      </text>
    </comment>
    <comment ref="J2097" authorId="0">
      <text>
        <r>
          <t>Giá +1: ảnh danh sách BDO do người dùng cung cấp ngày 28/10/2026. Giá +2…+13 theo công thức bp2 (117, ×1).</t>
        </r>
      </text>
    </comment>
    <comment ref="J2098" authorId="0">
      <text>
        <r>
          <t>Giá +1: ảnh danh sách BDO do người dùng cung cấp ngày 28/10/2026. Giá +2…+13 theo công thức bp2 (117, ×1).</t>
        </r>
      </text>
    </comment>
    <comment ref="J2099" authorId="0">
      <text>
        <r>
          <t>Giá +1: ảnh danh sách BDO do người dùng cung cấp ngày 28/10/2026. Giá +2…+13 theo công thức bp2 (117, ×1).</t>
        </r>
      </text>
    </comment>
    <comment ref="J2100" authorId="0">
      <text>
        <r>
          <t>Giá +1: ảnh danh sách BDO do người dùng cung cấp ngày 28/10/2026. Giá +2…+13 theo công thức bp2 (117, ×1).</t>
        </r>
      </text>
    </comment>
    <comment ref="J2101" authorId="0">
      <text>
        <r>
          <t>Giá +1: ảnh danh sách BDO do người dùng cung cấp ngày 28/10/2026. Giá +2…+13 theo công thức bp2 (117, ×1).</t>
        </r>
      </text>
    </comment>
    <comment ref="J2102" authorId="0">
      <text>
        <r>
          <t>Giá +1: ảnh danh sách BDO do người dùng cung cấp ngày 28/10/2026. Giá +2…+13 theo công thức bp2 (117, ×1).</t>
        </r>
      </text>
    </comment>
    <comment ref="J2103" authorId="0">
      <text>
        <r>
          <t>Giá +1: ảnh danh sách BDO do người dùng cung cấp ngày 28/10/2026. Giá +2…+13 theo công thức bp2 (117, ×1).</t>
        </r>
      </text>
    </comment>
    <comment ref="J2104" authorId="0">
      <text>
        <r>
          <t>Giá +1: ảnh danh sách BDO do người dùng cung cấp ngày 28/10/2026. Giá +2…+13 theo công thức bp2 (117, ×1).</t>
        </r>
      </text>
    </comment>
    <comment ref="J2105" authorId="0">
      <text>
        <r>
          <t>Giá +1: ảnh danh sách BDO do người dùng cung cấp ngày 28/10/2026. Giá +2…+13 theo công thức bp2 (117, ×1).</t>
        </r>
      </text>
    </comment>
    <comment ref="J2106" authorId="0">
      <text>
        <r>
          <t>Giá +1: ảnh danh sách BDO do người dùng cung cấp ngày 28/10/2026. Giá +2…+13 theo công thức bp2 (117, ×1).</t>
        </r>
      </text>
    </comment>
    <comment ref="J2107" authorId="0">
      <text>
        <r>
          <t>Giá +1: ảnh danh sách BDO do người dùng cung cấp ngày 28/10/2026. Giá +2…+13 theo công thức bp2 (117, ×1).</t>
        </r>
      </text>
    </comment>
    <comment ref="J2108" authorId="0">
      <text>
        <r>
          <t>Giá +1: ảnh danh sách BDO do người dùng cung cấp ngày 28/10/2026. Giá +2…+13 theo công thức bp2 (117, ×1).</t>
        </r>
      </text>
    </comment>
    <comment ref="J2109" authorId="0">
      <text>
        <r>
          <t>Giá +1: ảnh danh sách BDO do người dùng cung cấp ngày 28/10/2026. Giá +2…+13 theo công thức bp2 (117, ×1).</t>
        </r>
      </text>
    </comment>
    <comment ref="J2110" authorId="0">
      <text>
        <r>
          <t>Giá +1: ảnh danh sách BDO do người dùng cung cấp ngày 28/10/2026. Giá +2…+13 theo công thức bp2 (117, ×1).</t>
        </r>
      </text>
    </comment>
    <comment ref="J2111" authorId="0">
      <text>
        <r>
          <t>Giá +1: ảnh danh sách BDO do người dùng cung cấp ngày 28/10/2026. Giá +2…+13 theo công thức bp2 (117, ×1).</t>
        </r>
      </text>
    </comment>
    <comment ref="J2112" authorId="0">
      <text>
        <r>
          <t>Giá +1: ảnh danh sách BDO do người dùng cung cấp ngày 28/10/2026. Giá +2…+13 theo công thức bp2 (117, ×1).</t>
        </r>
      </text>
    </comment>
    <comment ref="J2113" authorId="0">
      <text>
        <r>
          <t>Giá +1: ảnh danh sách BDO do người dùng cung cấp ngày 28/10/2026. Giá +2…+13 theo công thức bp2 (117, ×1).</t>
        </r>
      </text>
    </comment>
    <comment ref="J2114" authorId="0">
      <text>
        <r>
          <t>Giá +1: ảnh danh sách BDO do người dùng cung cấp ngày 28/10/2026. Giá +2…+13 theo công thức bp2 (117, ×1).</t>
        </r>
      </text>
    </comment>
    <comment ref="J2115" authorId="0">
      <text>
        <r>
          <t>Giá +1: ảnh danh sách BDO do người dùng cung cấp ngày 28/10/2026. Giá +2…+13 theo công thức bp2 (117, ×1).</t>
        </r>
      </text>
    </comment>
    <comment ref="J2116" authorId="0">
      <text>
        <r>
          <t>Giá +1: ảnh danh sách BDO do người dùng cung cấp ngày 28/10/2026. Giá +2…+13 theo công thức bp2 (117, ×1).</t>
        </r>
      </text>
    </comment>
    <comment ref="J2117" authorId="0">
      <text>
        <r>
          <t>Giá +1: ảnh danh sách BDO do người dùng cung cấp ngày 28/10/2026. Giá +2…+13 theo công thức bp2 (117, ×1).</t>
        </r>
      </text>
    </comment>
    <comment ref="J2118" authorId="0">
      <text>
        <r>
          <t>Giá +1: ảnh danh sách BDO do người dùng cung cấp ngày 28/10/2026. Giá +2…+13 theo công thức bp2 (117, ×1).</t>
        </r>
      </text>
    </comment>
    <comment ref="J2119" authorId="0">
      <text>
        <r>
          <t>Giá +1: ảnh danh sách 23HW do người dùng cung cấp ngày 28/10/2026. +2…+13 theo công thức bp2 (117, ×1).</t>
        </r>
      </text>
    </comment>
    <comment ref="J2120" authorId="0">
      <text>
        <r>
          <t>Giá +1: ảnh danh sách 23HW do người dùng cung cấp ngày 28/10/2026. +2…+13 theo công thức bp2 (117, ×1).</t>
        </r>
      </text>
    </comment>
    <comment ref="J2121" authorId="0">
      <text>
        <r>
          <t>Giá +1: ảnh danh sách 23HW do người dùng cung cấp ngày 28/10/2026. +2…+13 theo công thức bp2 (117, ×1).</t>
        </r>
      </text>
    </comment>
    <comment ref="J2122" authorId="0">
      <text>
        <r>
          <t>Giá +1: ảnh danh sách 23HW do người dùng cung cấp ngày 28/10/2026. +2…+13 theo công thức bp2 (117, ×1).</t>
        </r>
      </text>
    </comment>
    <comment ref="J2123" authorId="0">
      <text>
        <r>
          <t>Giá +1: ảnh danh sách 23HW do người dùng cung cấp ngày 28/10/2026. +2…+13 theo công thức bp2 (117, ×1).</t>
        </r>
      </text>
    </comment>
    <comment ref="J2124" authorId="0">
      <text>
        <r>
          <t>Giá +1: ảnh danh sách 23HW do người dùng cung cấp ngày 28/10/2026. +2…+13 theo công thức bp2 (117, ×1).</t>
        </r>
      </text>
    </comment>
    <comment ref="J2125" authorId="0">
      <text>
        <r>
          <t>Giá +1: ảnh danh sách 23HW do người dùng cung cấp ngày 28/10/2026. +2…+13 theo công thức bp2 (117, ×1).</t>
        </r>
      </text>
    </comment>
    <comment ref="J2126" authorId="0">
      <text>
        <r>
          <t>Giá +1: ảnh danh sách 23HW do người dùng cung cấp ngày 28/10/2026. +2…+13 theo công thức bp2 (117, ×1).</t>
        </r>
      </text>
    </comment>
    <comment ref="J2127" authorId="0">
      <text>
        <r>
          <t>Giá +1: ảnh danh sách 23HW do người dùng cung cấp ngày 28/10/2026. +2…+13 theo công thức bp2 (117, ×1).</t>
        </r>
      </text>
    </comment>
    <comment ref="J2128" authorId="0">
      <text>
        <r>
          <t>Giá +1: ảnh danh sách 23HW do người dùng cung cấp ngày 28/10/2026. +2…+13 theo công thức bp2 (117, ×1).</t>
        </r>
      </text>
    </comment>
    <comment ref="J2129" authorId="0">
      <text>
        <r>
          <t>Giá +1: ảnh danh sách 23HW do người dùng cung cấp ngày 28/10/2026. +2…+13 theo công thức bp2 (117, ×1).</t>
        </r>
      </text>
    </comment>
    <comment ref="J2130" authorId="0">
      <text>
        <r>
          <t>Giá +1: ảnh danh sách 23HW do người dùng cung cấp ngày 28/10/2026. +2…+13 theo công thức bp2 (117, ×1).</t>
        </r>
      </text>
    </comment>
    <comment ref="J2131" authorId="0">
      <text>
        <r>
          <t>Giá +1: ảnh danh sách 23HW do người dùng cung cấp ngày 28/10/2026. +2…+13 theo công thức bp2 (117, ×1).</t>
        </r>
      </text>
    </comment>
    <comment ref="J2132" authorId="0">
      <text>
        <r>
          <t>Giá +1: ảnh danh sách 23HW do người dùng cung cấp ngày 28/10/2026. +2…+13 theo công thức bp2 (117, ×1).</t>
        </r>
      </text>
    </comment>
    <comment ref="J2133" authorId="0">
      <text>
        <r>
          <t>Giá +1: ảnh danh sách 23HW do người dùng cung cấp ngày 28/10/2026. +2…+13 theo công thức bp2 (117, ×1).</t>
        </r>
      </text>
    </comment>
    <comment ref="J2134" authorId="0">
      <text>
        <r>
          <t>Giá +1: ảnh danh sách 23HW do người dùng cung cấp ngày 28/10/2026. +2…+13 theo công thức bp2 (117, ×1).</t>
        </r>
      </text>
    </comment>
    <comment ref="J2135" authorId="0">
      <text>
        <r>
          <t>Giá +1: ảnh danh sách 23HW do người dùng cung cấp ngày 28/10/2026. +2…+13 theo công thức bp2 (117, ×1).</t>
        </r>
      </text>
    </comment>
    <comment ref="J2136" authorId="0">
      <text>
        <r>
          <t>Giá +1: ảnh danh sách 23HW do người dùng cung cấp ngày 28/10/2026. +2…+13 theo công thức bp2 (117, ×1).</t>
        </r>
      </text>
    </comment>
    <comment ref="J2137" authorId="0">
      <text>
        <r>
          <t>Giá +1: ảnh danh sách 23HW do người dùng cung cấp ngày 28/10/2026. +2…+13 theo công thức bp2 (117, ×1).</t>
        </r>
      </text>
    </comment>
    <comment ref="J2138" authorId="0">
      <text>
        <r>
          <t>Giá +1: ảnh danh sách 23HW do người dùng cung cấp ngày 28/10/2026. +2…+13 theo công thức bp2 (117, ×1).</t>
        </r>
      </text>
    </comment>
    <comment ref="J2139" authorId="0">
      <text>
        <r>
          <t>Giá +1: ảnh danh sách 23HW do người dùng cung cấp ngày 28/10/2026. +2…+13 theo công thức bp2 (117, ×1).</t>
        </r>
      </text>
    </comment>
    <comment ref="J2140" authorId="0">
      <text>
        <r>
          <t>Giá +1: ảnh danh sách 23HW do người dùng cung cấp ngày 28/10/2026. +2…+13 theo công thức bp2 (117, ×1).</t>
        </r>
      </text>
    </comment>
    <comment ref="J2141" authorId="0">
      <text>
        <r>
          <t>Giá +1: ảnh danh sách 23HW do người dùng cung cấp ngày 28/10/2026. +2…+13 theo công thức bp2 (117, ×1).</t>
        </r>
      </text>
    </comment>
    <comment ref="J2142" authorId="0">
      <text>
        <r>
          <t>Giá +1: ảnh danh sách 23HW do người dùng cung cấp ngày 28/10/2026. +2…+13 theo công thức bp2 (117, ×1).</t>
        </r>
      </text>
    </comment>
    <comment ref="J2143" authorId="0">
      <text>
        <r>
          <t>Giá +1: ảnh danh sách 23HW do người dùng cung cấp ngày 28/10/2026. +2…+13 theo công thức bp2 (117, ×1).</t>
        </r>
      </text>
    </comment>
    <comment ref="J2144" authorId="0">
      <text>
        <r>
          <t>Giá +1: ảnh danh sách 23HW do người dùng cung cấp ngày 28/10/2026. +2…+13 theo công thức bp2 (117, ×1).</t>
        </r>
      </text>
    </comment>
    <comment ref="J2145" authorId="0">
      <text>
        <r>
          <t>Giá +1: ảnh danh sách 23HW do người dùng cung cấp ngày 28/10/2026. +2…+13 theo công thức bp2 (117, ×1).</t>
        </r>
      </text>
    </comment>
    <comment ref="J2146" authorId="0">
      <text>
        <r>
          <t>Giá +1: ảnh danh sách 23HW do người dùng cung cấp ngày 28/10/2026. +2…+13 theo công thức bp2 (117, ×1).</t>
        </r>
      </text>
    </comment>
    <comment ref="J2147" authorId="0">
      <text>
        <r>
          <t>Giá +1: ảnh danh sách 23HW do người dùng cung cấp ngày 28/10/2026. +2…+13 theo công thức bp2 (117, ×1).</t>
        </r>
      </text>
    </comment>
    <comment ref="J2148" authorId="0">
      <text>
        <r>
          <t>Giá +1: ảnh danh sách 23HW do người dùng cung cấp ngày 28/10/2026. +2…+13 theo công thức bp2 (117, ×1).</t>
        </r>
      </text>
    </comment>
    <comment ref="J2149" authorId="0">
      <text>
        <r>
          <t>Giá +1: ảnh danh sách 23HW do người dùng cung cấp ngày 28/10/2026. +2…+13 theo công thức bp2 (117, ×1).</t>
        </r>
      </text>
    </comment>
    <comment ref="J2150" authorId="0">
      <text>
        <r>
          <t>Giá +1: ảnh danh sách 23HW do người dùng cung cấp ngày 28/10/2026. +2…+13 theo công thức bp2 (117, ×1).</t>
        </r>
      </text>
    </comment>
    <comment ref="J2151" authorId="0">
      <text>
        <r>
          <t>Giá +1: ảnh danh sách 23HW do người dùng cung cấp ngày 28/10/2026. +2…+13 theo công thức bp2 (117, ×1).</t>
        </r>
      </text>
    </comment>
    <comment ref="J2152" authorId="0">
      <text>
        <r>
          <t>Giá +1: ảnh danh sách 23HW do người dùng cung cấp ngày 28/10/2026. +2…+13 theo công thức bp2 (117, ×1).</t>
        </r>
      </text>
    </comment>
    <comment ref="J2153" authorId="0">
      <text>
        <r>
          <t>Giá +1: ảnh danh sách 23HW do người dùng cung cấp ngày 28/10/2026. +2…+13 theo công thức bp2 (117, ×1).</t>
        </r>
      </text>
    </comment>
    <comment ref="J2154" authorId="0">
      <text>
        <r>
          <t>Giá +1: ảnh danh sách 23HW do người dùng cung cấp ngày 28/10/2026. +2…+13 theo công thức bp2 (117, ×1).</t>
        </r>
      </text>
    </comment>
    <comment ref="J2155" authorId="0">
      <text>
        <r>
          <t>Giá +1: ảnh danh sách 23HW do người dùng cung cấp ngày 28/10/2026. +2…+13 theo công thức bp2 (117, ×1).</t>
        </r>
      </text>
    </comment>
    <comment ref="J2156" authorId="0">
      <text>
        <r>
          <t>Giá +1: ảnh danh sách 23HW do người dùng cung cấp ngày 28/10/2026. +2…+13 theo công thức bp2 (117, ×1).</t>
        </r>
      </text>
    </comment>
    <comment ref="J2157" authorId="0">
      <text>
        <r>
          <t>Giá +1: ảnh danh sách 23HW do người dùng cung cấp ngày 28/10/2026. +2…+13 theo công thức bp2 (117, ×1).</t>
        </r>
      </text>
    </comment>
    <comment ref="J2158" authorId="0">
      <text>
        <r>
          <t>Giá +1: ảnh danh sách 23HW do người dùng cung cấp ngày 28/10/2026. +2…+13 theo công thức bp2 (117, ×1).</t>
        </r>
      </text>
    </comment>
    <comment ref="J2159" authorId="0">
      <text>
        <r>
          <t>Giá +1: ảnh danh sách 23HW do người dùng cung cấp ngày 28/10/2026. +2…+13 theo công thức bp2 (117, ×1).</t>
        </r>
      </text>
    </comment>
    <comment ref="J2160" authorId="0">
      <text>
        <r>
          <t>Giá +1: ảnh danh sách 23HW do người dùng cung cấp ngày 28/10/2026. +2…+13 theo công thức bp2 (117, ×1).</t>
        </r>
      </text>
    </comment>
    <comment ref="J2161" authorId="0">
      <text>
        <r>
          <t>Giá +1: ảnh danh sách 23HW do người dùng cung cấp ngày 28/10/2026. +2…+13 theo công thức bp2 (117, ×1).</t>
        </r>
      </text>
    </comment>
    <comment ref="J2162" authorId="0">
      <text>
        <r>
          <t>Giá +1: ảnh danh sách 23HW do người dùng cung cấp ngày 28/10/2026. +2…+13 theo công thức bp2 (117, ×1).</t>
        </r>
      </text>
    </comment>
    <comment ref="J2163" authorId="0">
      <text>
        <r>
          <t>Giá +1: ảnh danh sách 23HW do người dùng cung cấp ngày 28/10/2026. +2…+13 theo công thức bp2 (117, ×1).</t>
        </r>
      </text>
    </comment>
    <comment ref="J2164" authorId="0">
      <text>
        <r>
          <t>Giá +1: ảnh danh sách 23HW do người dùng cung cấp ngày 28/10/2026. +2…+13 theo công thức bp2 (117, ×1).</t>
        </r>
      </text>
    </comment>
    <comment ref="J2165" authorId="0">
      <text>
        <r>
          <t>Giá +1: ảnh danh sách 23HW do người dùng cung cấp ngày 28/10/2026. +2…+13 theo công thức bp2 (117, ×1).</t>
        </r>
      </text>
    </comment>
    <comment ref="J2166" authorId="0">
      <text>
        <r>
          <t>Giá +1: ảnh danh sách 23HW do người dùng cung cấp ngày 28/10/2026. +2…+13 theo công thức bp2 (117, ×1).</t>
        </r>
      </text>
    </comment>
    <comment ref="J2167" authorId="0">
      <text>
        <r>
          <t>Giá +1: ảnh danh sách 23HW do người dùng cung cấp ngày 28/10/2026. +2…+13 theo công thức bp2 (117, ×1).</t>
        </r>
      </text>
    </comment>
    <comment ref="J2168" authorId="0">
      <text>
        <r>
          <t>Giá +1: ảnh danh sách 23HW do người dùng cung cấp ngày 28/10/2026. +2…+13 theo công thức bp2 (117, ×1).</t>
        </r>
      </text>
    </comment>
    <comment ref="J2169" authorId="0">
      <text>
        <r>
          <t>Giá +1: ảnh danh sách 23HW do người dùng cung cấp ngày 28/10/2026. +2…+13 theo công thức bp2 (117, ×1).</t>
        </r>
      </text>
    </comment>
    <comment ref="J2170" authorId="0">
      <text>
        <r>
          <t>Giá +1: ảnh danh sách 23HW do người dùng cung cấp ngày 28/10/2026. +2…+13 theo công thức bp2 (117, ×1).</t>
        </r>
      </text>
    </comment>
    <comment ref="J2171" authorId="0">
      <text>
        <r>
          <t>Giá +1: ảnh danh sách 23HW do người dùng cung cấp ngày 28/10/2026. +2…+13 theo công thức bp2 (117, ×1).</t>
        </r>
      </text>
    </comment>
    <comment ref="J2172" authorId="0">
      <text>
        <r>
          <t>Giá +1: ảnh danh sách 23HW do người dùng cung cấp ngày 28/10/2026. +2…+13 theo công thức bp2 (117, ×1).</t>
        </r>
      </text>
    </comment>
    <comment ref="J2173" authorId="0">
      <text>
        <r>
          <t>Giá +1: ảnh danh sách 23HW do người dùng cung cấp ngày 28/10/2026. +2…+13 theo công thức bp2 (117, ×1).</t>
        </r>
      </text>
    </comment>
    <comment ref="J2174" authorId="0">
      <text>
        <r>
          <t>Giá +1: ảnh danh sách 23HW do người dùng cung cấp ngày 28/10/2026. +2…+13 theo công thức bp2 (117, ×1).</t>
        </r>
      </text>
    </comment>
    <comment ref="J2175" authorId="0">
      <text>
        <r>
          <t>Giá +1: ảnh danh sách 23HW do người dùng cung cấp ngày 28/10/2026. +2…+13 theo công thức bp2 (117, ×1).</t>
        </r>
      </text>
    </comment>
    <comment ref="J2176" authorId="0">
      <text>
        <r>
          <t>Giá +1: ảnh danh sách 23HW do người dùng cung cấp ngày 28/10/2026. +2…+13 theo công thức bp2 (117, ×1).</t>
        </r>
      </text>
    </comment>
    <comment ref="J2177" authorId="0">
      <text>
        <r>
          <t>Giá +1: ảnh danh sách 23HW do người dùng cung cấp ngày 28/10/2026. +2…+13 theo công thức bp2 (117, ×1).</t>
        </r>
      </text>
    </comment>
    <comment ref="J2178" authorId="0">
      <text>
        <r>
          <t>Giá +1: ảnh danh sách 23HW do người dùng cung cấp ngày 28/10/2026. +2…+13 theo công thức bp2 (117, ×1).</t>
        </r>
      </text>
    </comment>
    <comment ref="J2179" authorId="0">
      <text>
        <r>
          <t>Giá +1: ảnh danh sách 23HW do người dùng cung cấp ngày 28/10/2026. +2…+13 theo công thức bp2 (117, ×1).</t>
        </r>
      </text>
    </comment>
    <comment ref="J2180" authorId="0">
      <text>
        <r>
          <t>Giá +1: ảnh danh sách 23HW do người dùng cung cấp ngày 28/10/2026. +2…+13 theo công thức bp2 (117, ×1).</t>
        </r>
      </text>
    </comment>
    <comment ref="J2181" authorId="0">
      <text>
        <r>
          <t>Giá +1: ảnh danh sách 23HW do người dùng cung cấp ngày 28/10/2026. +2…+13 theo công thức bp2 (117, ×1).</t>
        </r>
      </text>
    </comment>
    <comment ref="J2182" authorId="0">
      <text>
        <r>
          <t>Giá +1: ảnh danh sách 23HW do người dùng cung cấp ngày 28/10/2026. +2…+13 theo công thức bp2 (117, ×1).</t>
        </r>
      </text>
    </comment>
    <comment ref="J2183" authorId="0">
      <text>
        <r>
          <t>Giá +1: ảnh danh sách 23HW do người dùng cung cấp ngày 28/10/2026. +2…+13 theo công thức bp2 (117, ×1).</t>
        </r>
      </text>
    </comment>
    <comment ref="J2184" authorId="0">
      <text>
        <r>
          <t>Giá +1: ảnh danh sách 23HW do người dùng cung cấp ngày 28/10/2026. +2…+13 theo công thức bp2 (117, ×1).</t>
        </r>
      </text>
    </comment>
    <comment ref="J2185" authorId="0">
      <text>
        <r>
          <t>Giá +1: ảnh danh sách 23HW do người dùng cung cấp ngày 28/10/2026. +2…+13 theo công thức bp2 (117, ×1).</t>
        </r>
      </text>
    </comment>
    <comment ref="J2186" authorId="0">
      <text>
        <r>
          <t>Giá +1: ảnh danh sách 23HW do người dùng cung cấp ngày 28/10/2026. +2…+13 theo công thức bp2 (117, ×1).</t>
        </r>
      </text>
    </comment>
    <comment ref="J2187" authorId="0">
      <text>
        <r>
          <t>Giá +1: ảnh danh sách 23HW do người dùng cung cấp ngày 28/10/2026. +2…+13 theo công thức bp2 (117, ×1).</t>
        </r>
      </text>
    </comment>
    <comment ref="J2188" authorId="0">
      <text>
        <r>
          <t>Giá +1: ảnh danh sách 23HW do người dùng cung cấp ngày 28/10/2026. +2…+13 theo công thức bp2 (117, ×1).</t>
        </r>
      </text>
    </comment>
    <comment ref="J2189" authorId="0">
      <text>
        <r>
          <t>Giá +1: ảnh danh sách 23HW do người dùng cung cấp ngày 28/10/2026. +2…+13 theo công thức bp2 (117, ×1).</t>
        </r>
      </text>
    </comment>
    <comment ref="J2190" authorId="0">
      <text>
        <r>
          <t>Giá +1: ảnh danh sách 23HW do người dùng cung cấp ngày 28/10/2026. +2…+13 theo công thức bp2 (117, ×1).</t>
        </r>
      </text>
    </comment>
    <comment ref="J2191" authorId="0">
      <text>
        <r>
          <t>Giá +1: ảnh danh sách 23HW do người dùng cung cấp ngày 28/10/2026. +2…+13 theo công thức bp2 (117, ×1).</t>
        </r>
      </text>
    </comment>
    <comment ref="J2192" authorId="0">
      <text>
        <r>
          <t>Giá +1: ảnh danh sách 23HW do người dùng cung cấp ngày 28/10/2026. +2…+13 theo công thức bp2 (117, ×1).</t>
        </r>
      </text>
    </comment>
    <comment ref="J2193" authorId="0">
      <text>
        <r>
          <t>Giá +1: ảnh danh sách 23HW do người dùng cung cấp ngày 28/10/2026. +2…+13 theo công thức bp2 (117, ×1).</t>
        </r>
      </text>
    </comment>
    <comment ref="J2194" authorId="0">
      <text>
        <r>
          <t>Giá +1: ảnh danh sách 23HW do người dùng cung cấp ngày 28/10/2026. +2…+13 theo công thức bp2 (117, ×1).</t>
        </r>
      </text>
    </comment>
    <comment ref="J2195" authorId="0">
      <text>
        <r>
          <t>Giá +1: ảnh danh sách 23HW do người dùng cung cấp ngày 28/10/2026. +2…+13 theo công thức bp2 (117, ×1).</t>
        </r>
      </text>
    </comment>
    <comment ref="J2196" authorId="0">
      <text>
        <r>
          <t>Giá +1: ảnh danh sách 23HW do người dùng cung cấp ngày 28/10/2026. +2…+13 theo công thức bp2 (117, ×1).</t>
        </r>
      </text>
    </comment>
    <comment ref="J2197" authorId="0">
      <text>
        <r>
          <t>Giá +1: ảnh danh sách 23HW do người dùng cung cấp ngày 28/10/2026. +2…+13 theo công thức bp2 (117, ×1).</t>
        </r>
      </text>
    </comment>
    <comment ref="J2198" authorId="0">
      <text>
        <r>
          <t>Giá +1: ảnh danh sách 23HW do người dùng cung cấp ngày 28/10/2026. +2…+13 theo công thức bp2 (117, ×1).</t>
        </r>
      </text>
    </comment>
    <comment ref="J2199" authorId="0">
      <text>
        <r>
          <t>Giá +1: ảnh danh sách 23HW do người dùng cung cấp ngày 28/10/2026. +2…+13 theo công thức bp2 (117, ×1).</t>
        </r>
      </text>
    </comment>
    <comment ref="J2200" authorId="0">
      <text>
        <r>
          <t>Giá +1: ảnh danh sách 23HW do người dùng cung cấp ngày 28/10/2026. +2…+13 theo công thức bp2 (117, ×1).</t>
        </r>
      </text>
    </comment>
    <comment ref="J2201" authorId="0">
      <text>
        <r>
          <t>Giá +1: ảnh danh sách 23HW do người dùng cung cấp ngày 28/10/2026. +2…+13 theo công thức bp2 (117, ×1).</t>
        </r>
      </text>
    </comment>
    <comment ref="J2202" authorId="0">
      <text>
        <r>
          <t>Giá +1: ảnh danh sách 23HW do người dùng cung cấp ngày 28/10/2026. +2…+13 theo công thức bp2 (117, ×1).</t>
        </r>
      </text>
    </comment>
    <comment ref="J2203" authorId="0">
      <text>
        <r>
          <t>Giá +1: ảnh danh sách 23HW do người dùng cung cấp ngày 28/10/2026. +2…+13 theo công thức bp2 (117, ×1).</t>
        </r>
      </text>
    </comment>
    <comment ref="J2204" authorId="0">
      <text>
        <r>
          <t>Giá +1: ảnh danh sách 23HW do người dùng cung cấp ngày 28/10/2026. +2…+13 theo công thức bp2 (117, ×1).</t>
        </r>
      </text>
    </comment>
    <comment ref="J2205" authorId="0">
      <text>
        <r>
          <t>Giá +1: ảnh danh sách 23HW do người dùng cung cấp ngày 28/10/2026. +2…+13 theo công thức bp2 (117, ×1).</t>
        </r>
      </text>
    </comment>
    <comment ref="J2206" authorId="0">
      <text>
        <r>
          <t>Giá +1: ảnh danh sách 23HW do người dùng cung cấp ngày 28/10/2026. +2…+13 theo công thức bp2 (117, ×1).</t>
        </r>
      </text>
    </comment>
    <comment ref="J2207" authorId="0">
      <text>
        <r>
          <t>Giá +1: ảnh danh sách 23HW do người dùng cung cấp ngày 28/10/2026. +2…+13 theo công thức bp2 (117, ×1).</t>
        </r>
      </text>
    </comment>
    <comment ref="J2208" authorId="0">
      <text>
        <r>
          <t>Giá +1: ảnh danh sách 23HW do người dùng cung cấp ngày 28/10/2026. +2…+13 theo công thức bp2 (117, ×1).</t>
        </r>
      </text>
    </comment>
    <comment ref="J2209" authorId="0">
      <text>
        <r>
          <t>Giá +1: ảnh danh sách 23HW do người dùng cung cấp ngày 28/10/2026. +2…+13 theo công thức bp2 (117, ×1).</t>
        </r>
      </text>
    </comment>
    <comment ref="J2210" authorId="0">
      <text>
        <r>
          <t>Giá +1: ảnh danh sách 23HW do người dùng cung cấp ngày 28/10/2026. +2…+13 theo công thức bp2 (117, ×1).</t>
        </r>
      </text>
    </comment>
    <comment ref="J2211" authorId="0">
      <text>
        <r>
          <t>Giá +1: ảnh danh sách 23HW do người dùng cung cấp ngày 28/10/2026. +2…+13 theo công thức bp2 (117, ×1).</t>
        </r>
      </text>
    </comment>
    <comment ref="J2212" authorId="0">
      <text>
        <r>
          <t>Giá +1: ảnh danh sách 23HW do người dùng cung cấp ngày 28/10/2026. +2…+13 theo công thức bp2 (117, ×1).</t>
        </r>
      </text>
    </comment>
    <comment ref="J2213" authorId="0">
      <text>
        <r>
          <t>Giá +1: ảnh danh sách 23HW do người dùng cung cấp ngày 28/10/2026. +2…+13 theo công thức bp2 (117, ×1).</t>
        </r>
      </text>
    </comment>
    <comment ref="J2214" authorId="0">
      <text>
        <r>
          <t>Giá +1: ảnh danh sách 23HW do người dùng cung cấp ngày 28/10/2026. +2…+13 theo công thức bp2 (117, ×1).</t>
        </r>
      </text>
    </comment>
    <comment ref="J2215" authorId="0">
      <text>
        <r>
          <t>Giá +1: ảnh danh sách 23HW do người dùng cung cấp ngày 28/10/2026. +2…+13 theo công thức bp2 (117, ×1).</t>
        </r>
      </text>
    </comment>
    <comment ref="J2216" authorId="0">
      <text>
        <r>
          <t>Giá +1: ảnh danh sách 23HW do người dùng cung cấp ngày 28/10/2026. +2…+13 theo công thức bp2 (117, ×1).</t>
        </r>
      </text>
    </comment>
    <comment ref="J2217" authorId="0">
      <text>
        <r>
          <t>Giá +1: ảnh danh sách 23HW do người dùng cung cấp ngày 28/10/2026. +2…+13 theo công thức bp2 (117, ×1).</t>
        </r>
      </text>
    </comment>
    <comment ref="J2218" authorId="0">
      <text>
        <r>
          <t>Giá +1: ảnh danh sách 23HW do người dùng cung cấp ngày 28/10/2026. +2…+13 theo công thức bp2 (117, ×1).</t>
        </r>
      </text>
    </comment>
    <comment ref="J2219" authorId="0">
      <text>
        <r>
          <t>Giá +1: ảnh danh sách 23HW do người dùng cung cấp ngày 28/10/2026. +2…+13 theo công thức bp2 (117, ×1).</t>
        </r>
      </text>
    </comment>
    <comment ref="J2220" authorId="0">
      <text>
        <r>
          <t>Giá +1: ảnh danh sách 23HW do người dùng cung cấp ngày 28/10/2026. +2…+13 theo công thức bp2 (117, ×1).</t>
        </r>
      </text>
    </comment>
    <comment ref="J2221" authorId="0">
      <text>
        <r>
          <t>Giá +1: ảnh danh sách 23HW do người dùng cung cấp ngày 28/10/2026. +2…+13 theo công thức bp2 (117, ×1).</t>
        </r>
      </text>
    </comment>
    <comment ref="J2222" authorId="0">
      <text>
        <r>
          <t>Giá +1: ảnh danh sách 23HW do người dùng cung cấp ngày 28/10/2026. +2…+13 theo công thức bp2 (117, ×1).</t>
        </r>
      </text>
    </comment>
    <comment ref="J2223" authorId="0">
      <text>
        <r>
          <t>Giá +1: ảnh danh sách 23HW do người dùng cung cấp ngày 28/10/2026. +2…+13 theo công thức bp2 (117, ×1).</t>
        </r>
      </text>
    </comment>
    <comment ref="J2224" authorId="0">
      <text>
        <r>
          <t>Giá +1: ảnh danh sách 23HW do người dùng cung cấp ngày 28/10/2026. +2…+13 theo công thức bp2 (117, ×1).</t>
        </r>
      </text>
    </comment>
    <comment ref="J2225" authorId="0">
      <text>
        <r>
          <t>Giá +1: ảnh danh sách 23HW do người dùng cung cấp ngày 28/10/2026. +2…+13 theo công thức bp2 (117, ×1).</t>
        </r>
      </text>
    </comment>
    <comment ref="J2226" authorId="0">
      <text>
        <r>
          <t>Giá +1: ảnh danh sách 23HW do người dùng cung cấp ngày 28/10/2026. +2…+13 theo công thức bp2 (117, ×1).</t>
        </r>
      </text>
    </comment>
    <comment ref="J2227" authorId="0">
      <text>
        <r>
          <t>Giá +1: ảnh danh sách 23HW do người dùng cung cấp ngày 28/10/2026. +2…+13 theo công thức bp2 (117, ×1).</t>
        </r>
      </text>
    </comment>
    <comment ref="J2228" authorId="0">
      <text>
        <r>
          <t>Giá +1: ảnh danh sách 23HW do người dùng cung cấp ngày 28/10/2026. +2…+13 theo công thức bp2 (117, ×1).</t>
        </r>
      </text>
    </comment>
    <comment ref="J2229" authorId="0">
      <text>
        <r>
          <t>Giá +1: ảnh danh sách 23HW do người dùng cung cấp ngày 28/10/2026. +2…+13 theo công thức bp2 (117, ×1).</t>
        </r>
      </text>
    </comment>
    <comment ref="J2230" authorId="0">
      <text>
        <r>
          <t>Giá +1: ảnh danh sách 23HW do người dùng cung cấp ngày 28/10/2026. +2…+13 theo công thức bp2 (117, ×1).</t>
        </r>
      </text>
    </comment>
    <comment ref="J2231" authorId="0">
      <text>
        <r>
          <t>Giá +1: ảnh danh sách 23HW do người dùng cung cấp ngày 28/10/2026. +2…+13 theo công thức bp2 (117, ×1).</t>
        </r>
      </text>
    </comment>
    <comment ref="J2232" authorId="0">
      <text>
        <r>
          <t>Giá +1: ảnh danh sách 23HW do người dùng cung cấp ngày 28/10/2026. +2…+13 theo công thức bp2 (117, ×1).</t>
        </r>
      </text>
    </comment>
    <comment ref="J2233" authorId="0">
      <text>
        <r>
          <t>Giá +1: ảnh danh sách 23HW do người dùng cung cấp ngày 28/10/2026. +2…+13 theo công thức bp2 (117, ×1).</t>
        </r>
      </text>
    </comment>
    <comment ref="J2234" authorId="0">
      <text>
        <r>
          <t>Giá +1: ảnh danh sách 23HW do người dùng cung cấp ngày 28/10/2026. +2…+13 theo công thức bp2 (117, ×1).</t>
        </r>
      </text>
    </comment>
    <comment ref="J2235" authorId="0">
      <text>
        <r>
          <t>Giá +1: ảnh danh sách 23HW do người dùng cung cấp ngày 28/10/2026. +2…+13 theo công thức bp2 (117, ×1).</t>
        </r>
      </text>
    </comment>
    <comment ref="J2236" authorId="0">
      <text>
        <r>
          <t>Giá +1: ảnh danh sách 23HW do người dùng cung cấp ngày 28/10/2026. +2…+13 theo công thức bp2 (117, ×1).</t>
        </r>
      </text>
    </comment>
    <comment ref="J2237" authorId="0">
      <text>
        <r>
          <t>Giá +1: ảnh danh sách 23HW do người dùng cung cấp ngày 28/10/2026. +2…+13 theo công thức bp2 (117, ×1).</t>
        </r>
      </text>
    </comment>
    <comment ref="J2238" authorId="0">
      <text>
        <r>
          <t>Giá +1: ảnh danh sách 23HW do người dùng cung cấp ngày 28/10/2026. +2…+13 theo công thức bp2 (117, ×1).</t>
        </r>
      </text>
    </comment>
    <comment ref="J2239" authorId="0">
      <text>
        <r>
          <t>Giá +1: ảnh danh sách 23HW do người dùng cung cấp ngày 28/10/2026. +2…+13 theo công thức bp2 (117, ×1).</t>
        </r>
      </text>
    </comment>
    <comment ref="J2240" authorId="0">
      <text>
        <r>
          <t>Giá +1: ảnh danh sách 23HW do người dùng cung cấp ngày 28/10/2026. +2…+13 theo công thức bp2 (117, ×1).</t>
        </r>
      </text>
    </comment>
    <comment ref="J2241" authorId="0">
      <text>
        <r>
          <t>Giá +1: ảnh danh sách 23HW do người dùng cung cấp ngày 28/10/2026. +2…+13 theo công thức bp2 (117, ×1).</t>
        </r>
      </text>
    </comment>
    <comment ref="J2242" authorId="0">
      <text>
        <r>
          <t>Giá +1: ảnh danh sách 23HW do người dùng cung cấp ngày 28/10/2026. +2…+13 theo công thức bp2 (117, ×1).</t>
        </r>
      </text>
    </comment>
    <comment ref="J2243" authorId="0">
      <text>
        <r>
          <t>Giá +1: ảnh danh sách 23HW do người dùng cung cấp ngày 28/10/2026. +2…+13 theo công thức bp2 (117, ×1).</t>
        </r>
      </text>
    </comment>
    <comment ref="J2244" authorId="0">
      <text>
        <r>
          <t>Giá +1: ảnh danh sách 23HW do người dùng cung cấp ngày 28/10/2026. +2…+13 theo công thức bp2 (117, ×1).</t>
        </r>
      </text>
    </comment>
    <comment ref="J2245" authorId="0">
      <text>
        <r>
          <t>Giá +1: ảnh danh sách 23HW do người dùng cung cấp ngày 28/10/2026. +2…+13 theo công thức bp2 (117, ×1).</t>
        </r>
      </text>
    </comment>
    <comment ref="J2246" authorId="0">
      <text>
        <r>
          <t>Giá +1: ảnh danh sách 23HW do người dùng cung cấp ngày 28/10/2026. +2…+13 theo công thức bp2 (117, ×1).</t>
        </r>
      </text>
    </comment>
    <comment ref="J2247" authorId="0">
      <text>
        <r>
          <t>Giá +1: ảnh danh sách 23HW do người dùng cung cấp ngày 28/10/2026. +2…+13 theo công thức bp2 (117, ×1).</t>
        </r>
      </text>
    </comment>
    <comment ref="J2248" authorId="0">
      <text>
        <r>
          <t>Giá +1: ảnh danh sách 23HW do người dùng cung cấp ngày 28/10/2026. +2…+13 theo công thức bp2 (117, ×1).</t>
        </r>
      </text>
    </comment>
    <comment ref="J2249" authorId="0">
      <text>
        <r>
          <t>Giá +1: ảnh danh sách 23HW do người dùng cung cấp ngày 28/10/2026. +2…+13 theo công thức bp2 (117, ×1).</t>
        </r>
      </text>
    </comment>
    <comment ref="J2250" authorId="0">
      <text>
        <r>
          <t>Giá +1: ảnh danh sách 23HW do người dùng cung cấp ngày 28/10/2026. +2…+13 theo công thức bp2 (117, ×1).</t>
        </r>
      </text>
    </comment>
    <comment ref="J2251" authorId="0">
      <text>
        <r>
          <t>Giá +1: ảnh danh sách 23HW do người dùng cung cấp ngày 28/10/2026. +2…+13 theo công thức bp2 (117, ×1).</t>
        </r>
      </text>
    </comment>
    <comment ref="J2252" authorId="0">
      <text>
        <r>
          <t>Giá +1: ảnh danh sách 23HW do người dùng cung cấp ngày 28/10/2026. +2…+13 theo công thức bp2 (117, ×1).</t>
        </r>
      </text>
    </comment>
    <comment ref="J2253" authorId="0">
      <text>
        <r>
          <t>Giá +1: ảnh danh sách 23HW do người dùng cung cấp ngày 28/10/2026. +2…+13 theo công thức bp2 (117, ×1).</t>
        </r>
      </text>
    </comment>
    <comment ref="J2254" authorId="0">
      <text>
        <r>
          <t>Giá +1: ảnh danh sách 23HW do người dùng cung cấp ngày 28/10/2026. +2…+13 theo công thức bp2 (117, ×1).</t>
        </r>
      </text>
    </comment>
    <comment ref="J2255" authorId="0">
      <text>
        <r>
          <t>Giá +1: ảnh danh sách 23HW do người dùng cung cấp ngày 28/10/2026. +2…+13 theo công thức bp2 (117, ×1).</t>
        </r>
      </text>
    </comment>
    <comment ref="J2256" authorId="0">
      <text>
        <r>
          <t>Giá +1: ảnh danh sách 23HW do người dùng cung cấp ngày 28/10/2026. +2…+13 theo công thức bp2 (117, ×1).</t>
        </r>
      </text>
    </comment>
    <comment ref="J2257" authorId="0">
      <text>
        <r>
          <t>Giá +1: ảnh danh sách 23HW do người dùng cung cấp ngày 28/10/2026. +2…+13 theo công thức bp2 (117, ×1).</t>
        </r>
      </text>
    </comment>
    <comment ref="J2258" authorId="0">
      <text>
        <r>
          <t>Giá +1: ảnh danh sách 23HW do người dùng cung cấp ngày 28/10/2026. +2…+13 theo công thức bp2 (117, ×1).</t>
        </r>
      </text>
    </comment>
    <comment ref="J2259" authorId="0">
      <text>
        <r>
          <t>Giá +1: ảnh danh sách 23HW do người dùng cung cấp ngày 28/10/2026. +2…+13 theo công thức bp2 (117, ×1).</t>
        </r>
      </text>
    </comment>
    <comment ref="J2260" authorId="0">
      <text>
        <r>
          <t>Giá +1: ảnh danh sách 23HW do người dùng cung cấp ngày 28/10/2026. +2…+13 theo công thức bp2 (117, ×1).</t>
        </r>
      </text>
    </comment>
    <comment ref="J2261" authorId="0">
      <text>
        <r>
          <t>Giá +1: ảnh danh sách 23HW do người dùng cung cấp ngày 28/10/2026. +2…+13 theo công thức bp2 (117, ×1).</t>
        </r>
      </text>
    </comment>
    <comment ref="J2262" authorId="0">
      <text>
        <r>
          <t>Giá +1: ảnh danh sách 23HW do người dùng cung cấp ngày 28/10/2026. +2…+13 theo công thức bp2 (117, ×1).</t>
        </r>
      </text>
    </comment>
    <comment ref="J2263" authorId="0">
      <text>
        <r>
          <t>Giá +1: ảnh danh sách 23HW do người dùng cung cấp ngày 28/10/2026. +2…+13 theo công thức bp2 (117, ×1).</t>
        </r>
      </text>
    </comment>
    <comment ref="J2264" authorId="0">
      <text>
        <r>
          <t>Giá +1: ảnh danh sách 23HW do người dùng cung cấp ngày 28/10/2026. +2…+13 theo công thức bp2 (117, ×1).</t>
        </r>
      </text>
    </comment>
    <comment ref="J2265" authorId="0">
      <text>
        <r>
          <t>Giá +1: ảnh danh sách 23HW do người dùng cung cấp ngày 28/10/2026. +2…+13 theo công thức bp2 (117, ×1).</t>
        </r>
      </text>
    </comment>
    <comment ref="J2266" authorId="0">
      <text>
        <r>
          <t>Giá +1: ảnh danh sách 23HW do người dùng cung cấp ngày 28/10/2026. +2…+13 theo công thức bp2 (117, ×1).</t>
        </r>
      </text>
    </comment>
    <comment ref="J2267" authorId="0">
      <text>
        <r>
          <t>Giá +1: ảnh danh sách 23HW do người dùng cung cấp ngày 28/10/2026. +2…+13 theo công thức bp2 (117, ×1).</t>
        </r>
      </text>
    </comment>
    <comment ref="J2268" authorId="0">
      <text>
        <r>
          <t>Giá +1: ảnh danh sách 23HW do người dùng cung cấp ngày 28/10/2026. +2…+13 theo công thức bp2 (117, ×1).</t>
        </r>
      </text>
    </comment>
    <comment ref="J2269" authorId="0">
      <text>
        <r>
          <t>Giá +1: ảnh danh sách 23HW do người dùng cung cấp ngày 28/10/2026. +2…+13 theo công thức bp2 (117, ×1).</t>
        </r>
      </text>
    </comment>
    <comment ref="J2270" authorId="0">
      <text>
        <r>
          <t>Giá +1: ảnh danh sách 23HW do người dùng cung cấp ngày 28/10/2026. +2…+13 theo công thức bp2 (117, ×1).</t>
        </r>
      </text>
    </comment>
    <comment ref="J2271" authorId="0">
      <text>
        <r>
          <t>Giá +1: ảnh danh sách 23HW do người dùng cung cấp ngày 28/10/2026. +2…+13 theo công thức bp2 (117, ×1).</t>
        </r>
      </text>
    </comment>
    <comment ref="J2272" authorId="0">
      <text>
        <r>
          <t>Giá +1: ảnh danh sách 23HW do người dùng cung cấp ngày 28/10/2026. +2…+13 theo công thức bp2 (117, ×1).</t>
        </r>
      </text>
    </comment>
    <comment ref="J2273" authorId="0">
      <text>
        <r>
          <t>Giá +1: ảnh danh sách 23HW do người dùng cung cấp ngày 28/10/2026. +2…+13 theo công thức bp2 (117, ×1).</t>
        </r>
      </text>
    </comment>
    <comment ref="J2274" authorId="0">
      <text>
        <r>
          <t>Giá +1: ảnh danh sách 23HW do người dùng cung cấp ngày 28/10/2026. +2…+13 theo công thức bp2 (117, ×1).</t>
        </r>
      </text>
    </comment>
    <comment ref="J2275" authorId="0">
      <text>
        <r>
          <t>Giá +1: ảnh danh sách 23HW do người dùng cung cấp ngày 28/10/2026. +2…+13 theo công thức bp2 (117, ×1).</t>
        </r>
      </text>
    </comment>
    <comment ref="J2276" authorId="0">
      <text>
        <r>
          <t>Giá +1: ảnh danh sách 23HW do người dùng cung cấp ngày 28/10/2026. +2…+13 theo công thức bp2 (117, ×1).</t>
        </r>
      </text>
    </comment>
    <comment ref="J2277" authorId="0">
      <text>
        <r>
          <t>Giá +1: ảnh danh sách 23HW do người dùng cung cấp ngày 28/10/2026. +2…+13 theo công thức bp2 (117, ×1).</t>
        </r>
      </text>
    </comment>
    <comment ref="J2278" authorId="0">
      <text>
        <r>
          <t>Giá +1: ảnh danh sách 23HW do người dùng cung cấp ngày 28/10/2026. +2…+13 theo công thức bp2 (117, ×1).</t>
        </r>
      </text>
    </comment>
    <comment ref="J2279" authorId="0">
      <text>
        <r>
          <t>Giá +1: ảnh danh sách 23HW do người dùng cung cấp ngày 28/10/2026. +2…+13 theo công thức bp2 (117, ×1).</t>
        </r>
      </text>
    </comment>
    <comment ref="J2280" authorId="0">
      <text>
        <r>
          <t>Giá +1: ảnh danh sách 23HW do người dùng cung cấp ngày 28/10/2026. +2…+13 theo công thức bp2 (117, ×1).</t>
        </r>
      </text>
    </comment>
    <comment ref="J2281" authorId="0">
      <text>
        <r>
          <t>Giá +1: ảnh danh sách 23HW do người dùng cung cấp ngày 28/10/2026. +2…+13 theo công thức bp2 (117, ×1).</t>
        </r>
      </text>
    </comment>
    <comment ref="J2282" authorId="0">
      <text>
        <r>
          <t>Giá +1: ảnh danh sách 23HW do người dùng cung cấp ngày 28/10/2026. +2…+13 theo công thức bp2 (117, ×1).</t>
        </r>
      </text>
    </comment>
    <comment ref="J2283" authorId="0">
      <text>
        <r>
          <t>Giá +1: ảnh danh sách 23HW do người dùng cung cấp ngày 28/10/2026. +2…+13 theo công thức bp2 (117, ×1).</t>
        </r>
      </text>
    </comment>
    <comment ref="J2284" authorId="0">
      <text>
        <r>
          <t>Giá +1: ảnh danh sách 23HW do người dùng cung cấp ngày 28/10/2026. +2…+13 theo công thức bp2 (117, ×1).</t>
        </r>
      </text>
    </comment>
    <comment ref="J2285" authorId="0">
      <text>
        <r>
          <t>Giá +1: ảnh danh sách 23HW do người dùng cung cấp ngày 28/10/2026. +2…+13 theo công thức bp2 (117, ×1).</t>
        </r>
      </text>
    </comment>
    <comment ref="J2286" authorId="0">
      <text>
        <r>
          <t>Giá +1: ảnh danh sách 23HW do người dùng cung cấp ngày 28/10/2026. +2…+13 theo công thức bp2 (117, ×1).</t>
        </r>
      </text>
    </comment>
    <comment ref="J2287" authorId="0">
      <text>
        <r>
          <t>Giá +1: ảnh danh sách 23HW do người dùng cung cấp ngày 28/10/2026. +2…+13 theo công thức bp2 (117, ×1).</t>
        </r>
      </text>
    </comment>
    <comment ref="J2288" authorId="0">
      <text>
        <r>
          <t>Giá +1: ảnh danh sách 23HW do người dùng cung cấp ngày 28/10/2026. +2…+13 theo công thức bp2 (117, ×1).</t>
        </r>
      </text>
    </comment>
    <comment ref="J2289" authorId="0">
      <text>
        <r>
          <t>Giá +1: ảnh danh sách 23HW do người dùng cung cấp ngày 28/10/2026. +2…+13 theo công thức bp2 (117, ×1).</t>
        </r>
      </text>
    </comment>
    <comment ref="J2290" authorId="0">
      <text>
        <r>
          <t>Giá +1: ảnh danh sách 23HW do người dùng cung cấp ngày 28/10/2026. +2…+13 theo công thức bp2 (117, ×1).</t>
        </r>
      </text>
    </comment>
    <comment ref="J2291" authorId="0">
      <text>
        <r>
          <t>Giá +1: ảnh danh sách 23HW do người dùng cung cấp ngày 28/10/2026. +2…+13 theo công thức bp2 (117, ×1).</t>
        </r>
      </text>
    </comment>
    <comment ref="J2292" authorId="0">
      <text>
        <r>
          <t>Giá +1: ảnh danh sách 23HW do người dùng cung cấp ngày 28/10/2026. +2…+13 theo công thức bp2 (117, ×1).</t>
        </r>
      </text>
    </comment>
    <comment ref="J2293" authorId="0">
      <text>
        <r>
          <t>Giá +1: ảnh danh sách 23HW do người dùng cung cấp ngày 28/10/2026. +2…+13 theo công thức bp2 (117, ×1).</t>
        </r>
      </text>
    </comment>
    <comment ref="J2294" authorId="0">
      <text>
        <r>
          <t>Giá +1: ảnh danh sách 23HW do người dùng cung cấp ngày 28/10/2026. +2…+13 theo công thức bp2 (117, ×1).</t>
        </r>
      </text>
    </comment>
    <comment ref="J2295" authorId="0">
      <text>
        <r>
          <t>Giá +1: ảnh danh sách 23HW do người dùng cung cấp ngày 28/10/2026. +2…+13 theo công thức bp2 (117, ×1).</t>
        </r>
      </text>
    </comment>
    <comment ref="J2296" authorId="0">
      <text>
        <r>
          <t>Giá +1: ảnh danh sách 23HW do người dùng cung cấp ngày 28/10/2026. +2…+13 theo công thức bp2 (117, ×1).</t>
        </r>
      </text>
    </comment>
    <comment ref="J2297" authorId="0">
      <text>
        <r>
          <t>Giá +1: ảnh danh sách 23HW do người dùng cung cấp ngày 28/10/2026. +2…+13 theo công thức bp2 (117, ×1).</t>
        </r>
      </text>
    </comment>
    <comment ref="J2298" authorId="0">
      <text>
        <r>
          <t>Giá +1: ảnh danh sách 23HW do người dùng cung cấp ngày 28/10/2026. +2…+13 theo công thức bp2 (117, ×1).</t>
        </r>
      </text>
    </comment>
    <comment ref="J2299" authorId="0">
      <text>
        <r>
          <t>Giá +1: ảnh danh sách 23HW do người dùng cung cấp ngày 28/10/2026. +2…+13 theo công thức bp2 (117, ×1).</t>
        </r>
      </text>
    </comment>
    <comment ref="J2300" authorId="0">
      <text>
        <r>
          <t>Giá +1: ảnh danh sách 23HW do người dùng cung cấp ngày 28/10/2026. +2…+13 theo công thức bp2 (117, ×1).</t>
        </r>
      </text>
    </comment>
    <comment ref="J2301" authorId="0">
      <text>
        <r>
          <t>Giá +1: ảnh danh sách 23HW do người dùng cung cấp ngày 28/10/2026. +2…+13 theo công thức bp2 (117, ×1).</t>
        </r>
      </text>
    </comment>
    <comment ref="J2302" authorId="0">
      <text>
        <r>
          <t>Giá +1: ảnh danh sách 23HW do người dùng cung cấp ngày 28/10/2026. +2…+13 theo công thức bp2 (117, ×1).</t>
        </r>
      </text>
    </comment>
    <comment ref="J2303" authorId="0">
      <text>
        <r>
          <t>Giá +1: ảnh danh sách 23HW do người dùng cung cấp ngày 28/10/2026. +2…+13 theo công thức bp2 (117, ×1).</t>
        </r>
      </text>
    </comment>
    <comment ref="J2304" authorId="0">
      <text>
        <r>
          <t>Giá +1: ảnh danh sách 23HW do người dùng cung cấp ngày 28/10/2026. +2…+13 theo công thức bp2 (117, ×1).</t>
        </r>
      </text>
    </comment>
    <comment ref="J2305" authorId="0">
      <text>
        <r>
          <t>Giá +1: ảnh danh sách 23HW do người dùng cung cấp ngày 28/10/2026. +2…+13 theo công thức bp2 (117, ×1).</t>
        </r>
      </text>
    </comment>
    <comment ref="J2306" authorId="0">
      <text>
        <r>
          <t>Giá +1: ảnh danh sách 23HW do người dùng cung cấp ngày 28/10/2026. +2…+13 theo công thức bp2 (117, ×1).</t>
        </r>
      </text>
    </comment>
    <comment ref="J2307" authorId="0">
      <text>
        <r>
          <t>Giá +1: ảnh danh sách 23HW do người dùng cung cấp ngày 28/10/2026. +2…+13 theo công thức bp2 (117, ×1).</t>
        </r>
      </text>
    </comment>
    <comment ref="J2308" authorId="0">
      <text>
        <r>
          <t>Giá +1: ảnh danh sách 23HW do người dùng cung cấp ngày 28/10/2026. +2…+13 theo công thức bp2 (117, ×1).</t>
        </r>
      </text>
    </comment>
    <comment ref="J2309" authorId="0">
      <text>
        <r>
          <t>Giá +1: ảnh danh sách 23HW do người dùng cung cấp ngày 28/10/2026. +2…+13 theo công thức bp2 (117, ×1).</t>
        </r>
      </text>
    </comment>
    <comment ref="J2310" authorId="0">
      <text>
        <r>
          <t>Giá +1: ảnh danh sách 23HW do người dùng cung cấp ngày 28/10/2026. +2…+13 theo công thức bp2 (117, ×1).</t>
        </r>
      </text>
    </comment>
    <comment ref="J2311" authorId="0">
      <text>
        <r>
          <t>Giá +1: ảnh danh sách 23HW do người dùng cung cấp ngày 28/10/2026. +2…+13 theo công thức bp2 (117, ×1).</t>
        </r>
      </text>
    </comment>
    <comment ref="J2312" authorId="0">
      <text>
        <r>
          <t>Giá +1: ảnh danh sách 23HW do người dùng cung cấp ngày 28/10/2026. +2…+13 theo công thức bp2 (117, ×1).</t>
        </r>
      </text>
    </comment>
    <comment ref="J2313" authorId="0">
      <text>
        <r>
          <t>Giá +1: ảnh danh sách 23HW do người dùng cung cấp ngày 28/10/2026. +2…+13 theo công thức bp2 (117, ×1).</t>
        </r>
      </text>
    </comment>
    <comment ref="J2687" authorId="0">
      <text>
        <r>
          <t>Giá +1: ảnh danh sách LE do người dùng cung cấp ngày 28/10/2026. +2…+13 theo công thức bp2 (117, ×1).</t>
        </r>
      </text>
    </comment>
    <comment ref="J2688" authorId="0">
      <text>
        <r>
          <t>Giá +1: ảnh danh sách LE do người dùng cung cấp ngày 28/10/2026. +2…+13 theo công thức bp2 (117, ×1).</t>
        </r>
      </text>
    </comment>
    <comment ref="J2689" authorId="0">
      <text>
        <r>
          <t>Giá +1: ảnh danh sách LE do người dùng cung cấp ngày 28/10/2026. +2…+13 theo công thức bp2 (117, ×1).</t>
        </r>
      </text>
    </comment>
    <comment ref="J2690" authorId="0">
      <text>
        <r>
          <t>Giá +1: ảnh danh sách LE do người dùng cung cấp ngày 28/10/2026. +2…+13 theo công thức bp2 (117, ×1).</t>
        </r>
      </text>
    </comment>
    <comment ref="J2691" authorId="0">
      <text>
        <r>
          <t>Giá +1: ảnh danh sách LE do người dùng cung cấp ngày 28/10/2026. +2…+13 theo công thức bp2 (117, ×1).</t>
        </r>
      </text>
    </comment>
    <comment ref="J2692" authorId="0">
      <text>
        <r>
          <t>Giá +1: ảnh danh sách LE do người dùng cung cấp ngày 28/10/2026. +2…+13 theo công thức bp2 (117, ×1).</t>
        </r>
      </text>
    </comment>
    <comment ref="J2693" authorId="0">
      <text>
        <r>
          <t>Giá +1: ảnh danh sách LE do người dùng cung cấp ngày 28/10/2026. +2…+13 theo công thức bp2 (117, ×1).</t>
        </r>
      </text>
    </comment>
    <comment ref="J2694" authorId="0">
      <text>
        <r>
          <t>Giá +1: ảnh danh sách LE do người dùng cung cấp ngày 28/10/2026. +2…+13 theo công thức bp2 (117, ×1).</t>
        </r>
      </text>
    </comment>
    <comment ref="J2695" authorId="0">
      <text>
        <r>
          <t>Giá +1: ảnh danh sách LE do người dùng cung cấp ngày 28/10/2026. +2…+13 theo công thức bp2 (117, ×1).</t>
        </r>
      </text>
    </comment>
    <comment ref="J2696" authorId="0">
      <text>
        <r>
          <t>Giá +1: ảnh danh sách LE do người dùng cung cấp ngày 28/10/2026. +2…+13 theo công thức bp2 (117, ×1).</t>
        </r>
      </text>
    </comment>
    <comment ref="J2697" authorId="0">
      <text>
        <r>
          <t>Giá +1: ảnh danh sách LE do người dùng cung cấp ngày 28/10/2026. +2…+13 theo công thức bp2 (117, ×1).</t>
        </r>
      </text>
    </comment>
    <comment ref="J2698" authorId="0">
      <text>
        <r>
          <t>Giá +1: ảnh danh sách LE do người dùng cung cấp ngày 28/10/2026. +2…+13 theo công thức bp2 (117, ×1).</t>
        </r>
      </text>
    </comment>
    <comment ref="J2699" authorId="0">
      <text>
        <r>
          <t>Giá +1: ảnh danh sách LE do người dùng cung cấp ngày 28/10/2026. +2…+13 theo công thức bp2 (117, ×1).</t>
        </r>
      </text>
    </comment>
    <comment ref="J2700" authorId="0">
      <text>
        <r>
          <t>Giá +1: ảnh danh sách LE do người dùng cung cấp ngày 28/10/2026. +2…+13 theo công thức bp2 (117, ×1).</t>
        </r>
      </text>
    </comment>
    <comment ref="J2701" authorId="0">
      <text>
        <r>
          <t>Giá +1: ảnh danh sách LE do người dùng cung cấp ngày 28/10/2026. +2…+13 theo công thức bp2 (117, ×1).</t>
        </r>
      </text>
    </comment>
    <comment ref="J2702" authorId="0">
      <text>
        <r>
          <t>Giá +1: ảnh danh sách LE do người dùng cung cấp ngày 28/10/2026. +2…+13 theo công thức bp2 (117, ×1).</t>
        </r>
      </text>
    </comment>
    <comment ref="J2703" authorId="0">
      <text>
        <r>
          <t>Giá +1: ảnh danh sách LE do người dùng cung cấp ngày 28/10/2026. +2…+13 theo công thức bp2 (117, ×1).</t>
        </r>
      </text>
    </comment>
    <comment ref="J2704" authorId="0">
      <text>
        <r>
          <t>Giá +1: ảnh danh sách LE do người dùng cung cấp ngày 28/10/2026. +2…+13 theo công thức bp2 (117, ×1).</t>
        </r>
      </text>
    </comment>
    <comment ref="J2705" authorId="0">
      <text>
        <r>
          <t>Giá +1: ảnh danh sách LE do người dùng cung cấp ngày 28/10/2026. +2…+13 theo công thức bp2 (117, ×1).</t>
        </r>
      </text>
    </comment>
    <comment ref="J2706" authorId="0">
      <text>
        <r>
          <t>Giá +1: ảnh danh sách LE do người dùng cung cấp ngày 28/10/2026. +2…+13 theo công thức bp2 (117, ×1).</t>
        </r>
      </text>
    </comment>
    <comment ref="J2707" authorId="0">
      <text>
        <r>
          <t>Giá +1: ảnh danh sách LE do người dùng cung cấp ngày 28/10/2026. +2…+13 theo công thức bp2 (117, ×1).</t>
        </r>
      </text>
    </comment>
    <comment ref="J2708" authorId="0">
      <text>
        <r>
          <t>Giá +1: ảnh danh sách LE do người dùng cung cấp ngày 28/10/2026. +2…+13 theo công thức bp2 (117, ×1).</t>
        </r>
      </text>
    </comment>
    <comment ref="J2709" authorId="0">
      <text>
        <r>
          <t>Giá +1: ảnh danh sách LE do người dùng cung cấp ngày 28/10/2026. +2…+13 theo công thức bp2 (117, ×1).</t>
        </r>
      </text>
    </comment>
    <comment ref="J2710" authorId="0">
      <text>
        <r>
          <t>Giá +1: ảnh danh sách LE do người dùng cung cấp ngày 28/10/2026. +2…+13 theo công thức bp2 (117, ×1).</t>
        </r>
      </text>
    </comment>
    <comment ref="J2711" authorId="0">
      <text>
        <r>
          <t>Giá +1: ảnh danh sách LE do người dùng cung cấp ngày 28/10/2026. +2…+13 theo công thức bp2 (117, ×1).</t>
        </r>
      </text>
    </comment>
    <comment ref="J2712" authorId="0">
      <text>
        <r>
          <t>Giá +1: ảnh danh sách LE do người dùng cung cấp ngày 28/10/2026. +2…+13 theo công thức bp2 (117, ×1).</t>
        </r>
      </text>
    </comment>
    <comment ref="J2713" authorId="0">
      <text>
        <r>
          <t>Giá +1: ảnh danh sách LE do người dùng cung cấp ngày 28/10/2026. +2…+13 theo công thức bp2 (117, ×1).</t>
        </r>
      </text>
    </comment>
    <comment ref="J2714" authorId="0">
      <text>
        <r>
          <t>Giá +1: ảnh danh sách LE do người dùng cung cấp ngày 28/10/2026. +2…+13 theo công thức bp2 (117, ×1).</t>
        </r>
      </text>
    </comment>
    <comment ref="J2715" authorId="0">
      <text>
        <r>
          <t>Giá +1: ảnh danh sách LE do người dùng cung cấp ngày 28/10/2026. +2…+13 theo công thức bp2 (117, ×1).</t>
        </r>
      </text>
    </comment>
    <comment ref="J2716" authorId="0">
      <text>
        <r>
          <t>Giá +1: ảnh danh sách LE do người dùng cung cấp ngày 28/10/2026. +2…+13 theo công thức bp2 (117, ×1).</t>
        </r>
      </text>
    </comment>
    <comment ref="J2717" authorId="0">
      <text>
        <r>
          <t>Giá +1: ảnh danh sách LE do người dùng cung cấp ngày 28/10/2026. +2…+13 theo công thức bp2 (117, ×1).</t>
        </r>
      </text>
    </comment>
    <comment ref="J2718" authorId="0">
      <text>
        <r>
          <t>Giá +1: ảnh danh sách LE do người dùng cung cấp ngày 28/10/2026. +2…+13 theo công thức bp2 (117, ×1).</t>
        </r>
      </text>
    </comment>
    <comment ref="J2719" authorId="0">
      <text>
        <r>
          <t>Giá +1: ảnh danh sách LE do người dùng cung cấp ngày 28/10/2026. +2…+13 theo công thức bp2 (117, ×1).</t>
        </r>
      </text>
    </comment>
    <comment ref="J2720" authorId="0">
      <text>
        <r>
          <t>Giá +1: ảnh danh sách LE do người dùng cung cấp ngày 28/10/2026. +2…+13 theo công thức bp2 (117, ×1).</t>
        </r>
      </text>
    </comment>
    <comment ref="J2721" authorId="0">
      <text>
        <r>
          <t>Giá +1: ảnh danh sách LE do người dùng cung cấp ngày 28/10/2026. +2…+13 theo công thức bp2 (117, ×1).</t>
        </r>
      </text>
    </comment>
    <comment ref="J2722" authorId="0">
      <text>
        <r>
          <t>Giá +1: ảnh danh sách LE do người dùng cung cấp ngày 28/10/2026. +2…+13 theo công thức bp2 (117, ×1).</t>
        </r>
      </text>
    </comment>
    <comment ref="J2723" authorId="0">
      <text>
        <r>
          <t>Giá +1: ảnh danh sách LE do người dùng cung cấp ngày 28/10/2026. +2…+13 theo công thức bp2 (117, ×1).</t>
        </r>
      </text>
    </comment>
    <comment ref="J2724" authorId="0">
      <text>
        <r>
          <t>Giá +1: ảnh danh sách LE do người dùng cung cấp ngày 28/10/2026. +2…+13 theo công thức bp2 (117, ×1).</t>
        </r>
      </text>
    </comment>
    <comment ref="J2725" authorId="0">
      <text>
        <r>
          <t>Giá +1: ảnh danh sách LE do người dùng cung cấp ngày 28/10/2026. +2…+13 theo công thức bp2 (117, ×1).</t>
        </r>
      </text>
    </comment>
    <comment ref="J2726" authorId="0">
      <text>
        <r>
          <t>Giá +1: ảnh danh sách LE do người dùng cung cấp ngày 28/10/2026. +2…+13 theo công thức bp2 (117, ×1).</t>
        </r>
      </text>
    </comment>
    <comment ref="J2727" authorId="0">
      <text>
        <r>
          <t>Giá +1: ảnh danh sách LE do người dùng cung cấp ngày 28/10/2026. +2…+13 theo công thức bp2 (117, ×1).</t>
        </r>
      </text>
    </comment>
    <comment ref="J2728" authorId="0">
      <text>
        <r>
          <t>Giá +1: ảnh danh sách LE do người dùng cung cấp ngày 28/10/2026. +2…+13 theo công thức bp2 (117, ×1).</t>
        </r>
      </text>
    </comment>
    <comment ref="J2729" authorId="0">
      <text>
        <r>
          <t>Giá +1: ảnh danh sách LE do người dùng cung cấp ngày 28/10/2026. +2…+13 theo công thức bp2 (117, ×1).</t>
        </r>
      </text>
    </comment>
    <comment ref="J2730" authorId="0">
      <text>
        <r>
          <t>Giá +1: ảnh danh sách LE do người dùng cung cấp ngày 28/10/2026. +2…+13 theo công thức bp2 (117, ×1).</t>
        </r>
      </text>
    </comment>
    <comment ref="J2731" authorId="0">
      <text>
        <r>
          <t>Giá +1: ảnh danh sách LE do người dùng cung cấp ngày 28/10/2026. +2…+13 theo công thức bp2 (117, ×1).</t>
        </r>
      </text>
    </comment>
    <comment ref="J2732" authorId="0">
      <text>
        <r>
          <t>Giá +1: ảnh danh sách LE do người dùng cung cấp ngày 28/10/2026. +2…+13 theo công thức bp2 (117, ×1).</t>
        </r>
      </text>
    </comment>
    <comment ref="J2733" authorId="0">
      <text>
        <r>
          <t>Giá +1: ảnh danh sách LE do người dùng cung cấp ngày 28/10/2026. +2…+13 theo công thức bp2 (117, ×1).</t>
        </r>
      </text>
    </comment>
    <comment ref="J2734" authorId="0">
      <text>
        <r>
          <t>Giá +1: ảnh danh sách LE do người dùng cung cấp ngày 28/10/2026. +2…+13 theo công thức bp2 (117, ×1).</t>
        </r>
      </text>
    </comment>
    <comment ref="J2735" authorId="0">
      <text>
        <r>
          <t>Giá +1: ảnh danh sách LE do người dùng cung cấp ngày 28/10/2026. +2…+13 theo công thức bp2 (117, ×1).</t>
        </r>
      </text>
    </comment>
    <comment ref="J2736" authorId="0">
      <text>
        <r>
          <t>Giá +1: ảnh danh sách LE do người dùng cung cấp ngày 28/10/2026. +2…+13 theo công thức bp2 (117, ×1).</t>
        </r>
      </text>
    </comment>
    <comment ref="J2737" authorId="0">
      <text>
        <r>
          <t>Giá +1: ảnh danh sách LE do người dùng cung cấp ngày 28/10/2026. +2…+13 theo công thức bp2 (117, ×1).</t>
        </r>
      </text>
    </comment>
    <comment ref="J2738" authorId="0">
      <text>
        <r>
          <t>Giá +1: ảnh danh sách LE do người dùng cung cấp ngày 28/10/2026. +2…+13 theo công thức bp2 (117, ×1).</t>
        </r>
      </text>
    </comment>
    <comment ref="J2739" authorId="0">
      <text>
        <r>
          <t>Giá +1: ảnh danh sách LE do người dùng cung cấp ngày 28/10/2026. +2…+13 theo công thức bp2 (117, ×1).</t>
        </r>
      </text>
    </comment>
    <comment ref="J2740" authorId="0">
      <text>
        <r>
          <t>Giá +1: ảnh danh sách LE do người dùng cung cấp ngày 28/10/2026. +2…+13 theo công thức bp2 (117, ×1).</t>
        </r>
      </text>
    </comment>
    <comment ref="J2741" authorId="0">
      <text>
        <r>
          <t>Giá +1: ảnh danh sách LE do người dùng cung cấp ngày 28/10/2026. +2…+13 theo công thức bp2 (117, ×1).</t>
        </r>
      </text>
    </comment>
    <comment ref="J2742" authorId="0">
      <text>
        <r>
          <t>Giá +1: ảnh danh sách LE do người dùng cung cấp ngày 28/10/2026. +2…+13 theo công thức bp2 (117, ×1).</t>
        </r>
      </text>
    </comment>
    <comment ref="J2743" authorId="0">
      <text>
        <r>
          <t>Giá +1: ảnh danh sách LE do người dùng cung cấp ngày 28/10/2026. +2…+13 theo công thức bp2 (117, ×1).</t>
        </r>
      </text>
    </comment>
    <comment ref="J2744" authorId="0">
      <text>
        <r>
          <t>Giá +1: ảnh danh sách LE do người dùng cung cấp ngày 28/10/2026. +2…+13 theo công thức bp2 (117, ×1).</t>
        </r>
      </text>
    </comment>
    <comment ref="J2745" authorId="0">
      <text>
        <r>
          <t>Giá +1: ảnh danh sách LE do người dùng cung cấp ngày 28/10/2026. +2…+13 theo công thức bp2 (117, ×1).</t>
        </r>
      </text>
    </comment>
    <comment ref="J2746" authorId="0">
      <text>
        <r>
          <t>Giá +1: ảnh danh sách LE do người dùng cung cấp ngày 28/10/2026. +2…+13 theo công thức bp2 (117, ×1).</t>
        </r>
      </text>
    </comment>
    <comment ref="J2747" authorId="0">
      <text>
        <r>
          <t>Giá +1: ảnh danh sách LE do người dùng cung cấp ngày 28/10/2026. +2…+13 theo công thức bp2 (117, ×1).</t>
        </r>
      </text>
    </comment>
    <comment ref="J2748" authorId="0">
      <text>
        <r>
          <t>Giá +1: ảnh danh sách LE do người dùng cung cấp ngày 28/10/2026. +2…+13 theo công thức bp2 (117, ×1).</t>
        </r>
      </text>
    </comment>
    <comment ref="J2749" authorId="0">
      <text>
        <r>
          <t>Giá +1: ảnh danh sách LE do người dùng cung cấp ngày 28/10/2026. +2…+13 theo công thức bp2 (117, ×1).</t>
        </r>
      </text>
    </comment>
    <comment ref="J2750" authorId="0">
      <text>
        <r>
          <t>Giá +1: ảnh danh sách LE do người dùng cung cấp ngày 28/10/2026. +2…+13 theo công thức bp2 (117, ×1).</t>
        </r>
      </text>
    </comment>
    <comment ref="J2751" authorId="0">
      <text>
        <r>
          <t>Giá +1: ảnh danh sách LE do người dùng cung cấp ngày 28/10/2026. +2…+13 theo công thức bp2 (117, ×1).</t>
        </r>
      </text>
    </comment>
    <comment ref="J2752" authorId="0">
      <text>
        <r>
          <t>Giá +1: ảnh danh sách LE do người dùng cung cấp ngày 28/10/2026. +2…+13 theo công thức bp2 (117, ×1).</t>
        </r>
      </text>
    </comment>
    <comment ref="J2753" authorId="0">
      <text>
        <r>
          <t>Giá +1: ảnh danh sách LE do người dùng cung cấp ngày 28/10/2026. +2…+13 theo công thức bp2 (117, ×1).</t>
        </r>
      </text>
    </comment>
    <comment ref="J2754" authorId="0">
      <text>
        <r>
          <t>Giá +1: ảnh danh sách LE do người dùng cung cấp ngày 28/10/2026. +2…+13 theo công thức bp2 (117, ×1).</t>
        </r>
      </text>
    </comment>
    <comment ref="J2755" authorId="0">
      <text>
        <r>
          <t>Giá +1: ảnh danh sách LE do người dùng cung cấp ngày 28/10/2026. +2…+13 theo công thức bp2 (117, ×1).</t>
        </r>
      </text>
    </comment>
    <comment ref="J2756" authorId="0">
      <text>
        <r>
          <t>Giá +1: ảnh danh sách LE do người dùng cung cấp ngày 28/10/2026. +2…+13 theo công thức bp2 (117, ×1).</t>
        </r>
      </text>
    </comment>
    <comment ref="J2757" authorId="0">
      <text>
        <r>
          <t>Giá +1: ảnh danh sách LE do người dùng cung cấp ngày 28/10/2026. +2…+13 theo công thức bp2 (117, ×1).</t>
        </r>
      </text>
    </comment>
    <comment ref="J2758" authorId="0">
      <text>
        <r>
          <t>Giá +1: ảnh danh sách LE do người dùng cung cấp ngày 28/10/2026. +2…+13 theo công thức bp2 (117, ×1).</t>
        </r>
      </text>
    </comment>
    <comment ref="J2759" authorId="0">
      <text>
        <r>
          <t>Giá +1: ảnh danh sách LE do người dùng cung cấp ngày 28/10/2026. +2…+13 theo công thức bp2 (117, ×1).</t>
        </r>
      </text>
    </comment>
    <comment ref="J2760" authorId="0">
      <text>
        <r>
          <t>Giá +1: ảnh danh sách LE do người dùng cung cấp ngày 28/10/2026. +2…+13 theo công thức bp2 (117, ×1).</t>
        </r>
      </text>
    </comment>
    <comment ref="J2761" authorId="0">
      <text>
        <r>
          <t>Giá +1: ảnh danh sách LE do người dùng cung cấp ngày 28/10/2026. +2…+13 theo công thức bp2 (117, ×1).</t>
        </r>
      </text>
    </comment>
    <comment ref="J2762" authorId="0">
      <text>
        <r>
          <t>Giá +1: ảnh danh sách LE do người dùng cung cấp ngày 28/10/2026. +2…+13 theo công thức bp2 (117, ×1).</t>
        </r>
      </text>
    </comment>
    <comment ref="J2763" authorId="0">
      <text>
        <r>
          <t>Giá +1: ảnh danh sách LE do người dùng cung cấp ngày 28/10/2026. +2…+13 theo công thức bp2 (117, ×1).</t>
        </r>
      </text>
    </comment>
    <comment ref="J2764" authorId="0">
      <text>
        <r>
          <t>Giá +1: ảnh danh sách LE do người dùng cung cấp ngày 28/10/2026. +2…+13 theo công thức bp2 (117, ×1).</t>
        </r>
      </text>
    </comment>
    <comment ref="J2765" authorId="0">
      <text>
        <r>
          <t>Giá +1: ảnh danh sách LE do người dùng cung cấp ngày 28/10/2026. +2…+13 theo công thức bp2 (117, ×1).</t>
        </r>
      </text>
    </comment>
    <comment ref="J2766" authorId="0">
      <text>
        <r>
          <t>Giá +1: ảnh danh sách LE do người dùng cung cấp ngày 28/10/2026. +2…+13 theo công thức bp2 (117, ×1).</t>
        </r>
      </text>
    </comment>
    <comment ref="J2767" authorId="0">
      <text>
        <r>
          <t>Giá +1: ảnh danh sách LE do người dùng cung cấp ngày 28/10/2026. +2…+13 theo công thức bp2 (117, ×1).</t>
        </r>
      </text>
    </comment>
    <comment ref="J2768" authorId="0">
      <text>
        <r>
          <t>Giá +1: ảnh danh sách LE do người dùng cung cấp ngày 28/10/2026. +2…+13 theo công thức bp2 (117, ×1).</t>
        </r>
      </text>
    </comment>
    <comment ref="J2769" authorId="0">
      <text>
        <r>
          <t>Giá +1: ảnh danh sách LE do người dùng cung cấp ngày 28/10/2026. +2…+13 theo công thức bp2 (117, ×1).</t>
        </r>
      </text>
    </comment>
    <comment ref="J2770" authorId="0">
      <text>
        <r>
          <t>Giá +1: ảnh danh sách LE do người dùng cung cấp ngày 28/10/2026. +2…+13 theo công thức bp2 (117, ×1).</t>
        </r>
      </text>
    </comment>
    <comment ref="J2771" authorId="0">
      <text>
        <r>
          <t>Giá +1: ảnh danh sách LE do người dùng cung cấp ngày 28/10/2026. +2…+13 theo công thức bp2 (117, ×1).</t>
        </r>
      </text>
    </comment>
    <comment ref="J2772" authorId="0">
      <text>
        <r>
          <t>Giá +1: ảnh danh sách LE do người dùng cung cấp ngày 28/10/2026. +2…+13 theo công thức bp2 (117, ×1).</t>
        </r>
      </text>
    </comment>
    <comment ref="J2773" authorId="0">
      <text>
        <r>
          <t>Giá +1: ảnh danh sách LE do người dùng cung cấp ngày 28/10/2026. +2…+13 theo công thức bp2 (117, ×1).</t>
        </r>
      </text>
    </comment>
    <comment ref="J2774" authorId="0">
      <text>
        <r>
          <t>Giá +1: ảnh danh sách LE do người dùng cung cấp ngày 28/10/2026. +2…+13 theo công thức bp2 (117, ×1).</t>
        </r>
      </text>
    </comment>
    <comment ref="J2775" authorId="0">
      <text>
        <r>
          <t>Giá +1: ảnh danh sách LE do người dùng cung cấp ngày 28/10/2026. +2…+13 theo công thức bp2 (117, ×1).</t>
        </r>
      </text>
    </comment>
    <comment ref="J2776" authorId="0">
      <text>
        <r>
          <t>Giá +1: ảnh danh sách LE do người dùng cung cấp ngày 28/10/2026. +2…+13 theo công thức bp2 (117, ×1).</t>
        </r>
      </text>
    </comment>
    <comment ref="J2777" authorId="0">
      <text>
        <r>
          <t>Giá +1: ảnh danh sách LE do người dùng cung cấp ngày 28/10/2026. +2…+13 theo công thức bp2 (117, ×1).</t>
        </r>
      </text>
    </comment>
    <comment ref="J2778" authorId="0">
      <text>
        <r>
          <t>Giá +1: ảnh danh sách LE do người dùng cung cấp ngày 28/10/2026. +2…+13 theo công thức bp2 (117, ×1).</t>
        </r>
      </text>
    </comment>
    <comment ref="J2779" authorId="0">
      <text>
        <r>
          <t>Giá +1: ảnh danh sách LE do người dùng cung cấp ngày 28/10/2026. +2…+13 theo công thức bp2 (117, ×1).</t>
        </r>
      </text>
    </comment>
    <comment ref="J2780" authorId="0">
      <text>
        <r>
          <t>Giá +1: ảnh danh sách LE do người dùng cung cấp ngày 28/10/2026. +2…+13 theo công thức bp2 (117, ×1).</t>
        </r>
      </text>
    </comment>
    <comment ref="J2781" authorId="0">
      <text>
        <r>
          <t>Giá +1: ảnh danh sách LE do người dùng cung cấp ngày 28/10/2026. +2…+13 theo công thức bp2 (117, ×1).</t>
        </r>
      </text>
    </comment>
    <comment ref="J2782" authorId="0">
      <text>
        <r>
          <t>Giá +1: ảnh danh sách LE do người dùng cung cấp ngày 28/10/2026. +2…+13 theo công thức bp2 (117, ×1).</t>
        </r>
      </text>
    </comment>
    <comment ref="J2783" authorId="0">
      <text>
        <r>
          <t>Giá +1: ảnh danh sách LE do người dùng cung cấp ngày 28/10/2026. +2…+13 theo công thức bp2 (117, ×1).</t>
        </r>
      </text>
    </comment>
    <comment ref="J2784" authorId="0">
      <text>
        <r>
          <t>Giá +1: ảnh danh sách LE do người dùng cung cấp ngày 28/10/2026. +2…+13 theo công thức bp2 (117, ×1).</t>
        </r>
      </text>
    </comment>
    <comment ref="J2785" authorId="0">
      <text>
        <r>
          <t>Giá +1: ảnh danh sách LE do người dùng cung cấp ngày 28/10/2026. +2…+13 theo công thức bp2 (117, ×1).</t>
        </r>
      </text>
    </comment>
    <comment ref="J2786" authorId="0">
      <text>
        <r>
          <t>Giá +1: ảnh danh sách LE do người dùng cung cấp ngày 28/10/2026. +2…+13 theo công thức bp2 (117, ×1).</t>
        </r>
      </text>
    </comment>
    <comment ref="J2787" authorId="0">
      <text>
        <r>
          <t>Giá +1: ảnh danh sách LE do người dùng cung cấp ngày 28/10/2026. +2…+13 theo công thức bp2 (117, ×1).</t>
        </r>
      </text>
    </comment>
    <comment ref="J2788" authorId="0">
      <text>
        <r>
          <t>Giá +1: ảnh danh sách LE do người dùng cung cấp ngày 28/10/2026. +2…+13 theo công thức bp2 (117, ×1).</t>
        </r>
      </text>
    </comment>
    <comment ref="J2789" authorId="0">
      <text>
        <r>
          <t>Giá +1: ảnh danh sách LE do người dùng cung cấp ngày 28/10/2026. +2…+13 theo công thức bp2 (117, ×1).</t>
        </r>
      </text>
    </comment>
    <comment ref="J2790" authorId="0">
      <text>
        <r>
          <t>Giá +1: ảnh danh sách LE do người dùng cung cấp ngày 28/10/2026. +2…+13 theo công thức bp2 (117, ×1).</t>
        </r>
      </text>
    </comment>
    <comment ref="J2791" authorId="0">
      <text>
        <r>
          <t>Giá +1: ảnh danh sách LE do người dùng cung cấp ngày 28/10/2026. +2…+13 theo công thức bp2 (117, ×1).</t>
        </r>
      </text>
    </comment>
    <comment ref="J2792" authorId="0">
      <text>
        <r>
          <t>Giá +1: ảnh danh sách LE do người dùng cung cấp ngày 28/10/2026. +2…+13 theo công thức bp2 (117, ×1).</t>
        </r>
      </text>
    </comment>
    <comment ref="J2793" authorId="0">
      <text>
        <r>
          <t>Giá +1: ảnh danh sách LE do người dùng cung cấp ngày 28/10/2026. +2…+13 theo công thức bp2 (117, ×1).</t>
        </r>
      </text>
    </comment>
    <comment ref="J2794" authorId="0">
      <text>
        <r>
          <t>Giá +1: ảnh danh sách LE do người dùng cung cấp ngày 28/10/2026. +2…+13 theo công thức bp2 (117, ×1).</t>
        </r>
      </text>
    </comment>
    <comment ref="J2795" authorId="0">
      <text>
        <r>
          <t>Giá +1: ảnh danh sách LE do người dùng cung cấp ngày 28/10/2026. +2…+13 theo công thức bp2 (117, ×1).</t>
        </r>
      </text>
    </comment>
    <comment ref="J2796" authorId="0">
      <text>
        <r>
          <t>Giá +1: ảnh danh sách LE do người dùng cung cấp ngày 28/10/2026. +2…+13 theo công thức bp2 (117, ×1).</t>
        </r>
      </text>
    </comment>
    <comment ref="J2797" authorId="0">
      <text>
        <r>
          <t>Giá +1: ảnh danh sách LE do người dùng cung cấp ngày 28/10/2026. +2…+13 theo công thức bp2 (117, ×1).</t>
        </r>
      </text>
    </comment>
    <comment ref="J2798" authorId="0">
      <text>
        <r>
          <t>Giá +1: ảnh danh sách LE do người dùng cung cấp ngày 28/10/2026. +2…+13 theo công thức bp2 (117, ×1).</t>
        </r>
      </text>
    </comment>
    <comment ref="J2799" authorId="0">
      <text>
        <r>
          <t>Giá +1: ảnh danh sách LE do người dùng cung cấp ngày 28/10/2026. +2…+13 theo công thức bp2 (117, ×1).</t>
        </r>
      </text>
    </comment>
    <comment ref="J2800" authorId="0">
      <text>
        <r>
          <t>Giá +1: ảnh danh sách LE do người dùng cung cấp ngày 28/10/2026. +2…+13 theo công thức bp2 (117, ×1).</t>
        </r>
      </text>
    </comment>
    <comment ref="J2801" authorId="0">
      <text>
        <r>
          <t>Giá +1: ảnh danh sách LE do người dùng cung cấp ngày 28/10/2026. +2…+13 theo công thức bp2 (117, ×1).</t>
        </r>
      </text>
    </comment>
    <comment ref="J2802" authorId="0">
      <text>
        <r>
          <t>Giá +1: ảnh danh sách LE do người dùng cung cấp ngày 28/10/2026. +2…+13 theo công thức bp2 (117, ×1).</t>
        </r>
      </text>
    </comment>
    <comment ref="J2803" authorId="0">
      <text>
        <r>
          <t>Giá +1: ảnh danh sách LE do người dùng cung cấp ngày 28/10/2026. +2…+13 theo công thức bp2 (117, ×1).</t>
        </r>
      </text>
    </comment>
    <comment ref="J2804" authorId="0">
      <text>
        <r>
          <t>Giá +1: ảnh danh sách LE do người dùng cung cấp ngày 28/10/2026. +2…+13 theo công thức bp2 (117, ×1).</t>
        </r>
      </text>
    </comment>
    <comment ref="J2805" authorId="0">
      <text>
        <r>
          <t>Giá +1: ảnh danh sách LE do người dùng cung cấp ngày 28/10/2026. +2…+13 theo công thức bp2 (117, ×1).</t>
        </r>
      </text>
    </comment>
    <comment ref="J2806" authorId="0">
      <text>
        <r>
          <t>Giá +1: ảnh danh sách LE do người dùng cung cấp ngày 28/10/2026. +2…+13 theo công thức bp2 (117, ×1).</t>
        </r>
      </text>
    </comment>
    <comment ref="J2807" authorId="0">
      <text>
        <r>
          <t>Giá +1: ảnh danh sách LE do người dùng cung cấp ngày 28/10/2026. +2…+13 theo công thức bp2 (117, ×1).</t>
        </r>
      </text>
    </comment>
    <comment ref="J2808" authorId="0">
      <text>
        <r>
          <t>Giá +1: ảnh danh sách LE do người dùng cung cấp ngày 28/10/2026. +2…+13 theo công thức bp2 (117, ×1).</t>
        </r>
      </text>
    </comment>
    <comment ref="J2809" authorId="0">
      <text>
        <r>
          <t>Giá +1: ảnh danh sách LE do người dùng cung cấp ngày 28/10/2026. +2…+13 theo công thức bp2 (117, ×1).</t>
        </r>
      </text>
    </comment>
    <comment ref="J2810" authorId="0">
      <text>
        <r>
          <t>Giá +1: ảnh danh sách LE do người dùng cung cấp ngày 28/10/2026. +2…+13 theo công thức bp2 (117, ×1).</t>
        </r>
      </text>
    </comment>
    <comment ref="J2811" authorId="0">
      <text>
        <r>
          <t>Giá +1: ảnh danh sách LE do người dùng cung cấp ngày 28/10/2026. +2…+13 theo công thức bp2 (117, ×1).</t>
        </r>
      </text>
    </comment>
    <comment ref="J2812" authorId="0">
      <text>
        <r>
          <t>Giá +1: ảnh danh sách LE do người dùng cung cấp ngày 28/10/2026. +2…+13 theo công thức bp2 (117, ×1).</t>
        </r>
      </text>
    </comment>
    <comment ref="J2813" authorId="0">
      <text>
        <r>
          <t>Giá +1: ảnh danh sách LE do người dùng cung cấp ngày 28/10/2026. +2…+13 theo công thức bp2 (117, ×1).</t>
        </r>
      </text>
    </comment>
    <comment ref="J2814" authorId="0">
      <text>
        <r>
          <t>Giá +1: ảnh danh sách LE do người dùng cung cấp ngày 28/10/2026. +2…+13 theo công thức bp2 (117, ×1).</t>
        </r>
      </text>
    </comment>
    <comment ref="J2815" authorId="0">
      <text>
        <r>
          <t>Giá +1: ảnh danh sách LE do người dùng cung cấp ngày 28/10/2026. +2…+13 theo công thức bp2 (117, ×1).</t>
        </r>
      </text>
    </comment>
    <comment ref="J2816" authorId="0">
      <text>
        <r>
          <t>Giá +1: ảnh danh sách LE do người dùng cung cấp ngày 28/10/2026. +2…+13 theo công thức bp2 (117, ×1).</t>
        </r>
      </text>
    </comment>
    <comment ref="J2817" authorId="0">
      <text>
        <r>
          <t>Giá +1: ảnh danh sách LE do người dùng cung cấp ngày 28/10/2026. +2…+13 theo công thức bp2 (117, ×1).</t>
        </r>
      </text>
    </comment>
    <comment ref="J2818" authorId="0">
      <text>
        <r>
          <t>Giá +1: ảnh danh sách LE do người dùng cung cấp ngày 28/10/2026. +2…+13 theo công thức bp2 (117, ×1).</t>
        </r>
      </text>
    </comment>
    <comment ref="J2819" authorId="0">
      <text>
        <r>
          <t>Giá +1: ảnh danh sách LE do người dùng cung cấp ngày 28/10/2026. +2…+13 theo công thức bp2 (117, ×1).</t>
        </r>
      </text>
    </comment>
    <comment ref="J2820" authorId="0">
      <text>
        <r>
          <t>Giá +1: ảnh danh sách LE do người dùng cung cấp ngày 28/10/2026. +2…+13 theo công thức bp2 (117, ×1).</t>
        </r>
      </text>
    </comment>
    <comment ref="J2821" authorId="0">
      <text>
        <r>
          <t>Giá +1: ảnh danh sách LE do người dùng cung cấp ngày 28/10/2026. +2…+13 theo công thức bp2 (117, ×1).</t>
        </r>
      </text>
    </comment>
    <comment ref="J2822" authorId="0">
      <text>
        <r>
          <t>Giá +1: ảnh danh sách LE do người dùng cung cấp ngày 28/10/2026. +2…+13 theo công thức bp2 (117, ×1).</t>
        </r>
      </text>
    </comment>
    <comment ref="J2823" authorId="0">
      <text>
        <r>
          <t>Giá +1: ảnh danh sách LE do người dùng cung cấp ngày 28/10/2026. +2…+13 theo công thức bp2 (117, ×1).</t>
        </r>
      </text>
    </comment>
    <comment ref="J2824" authorId="0">
      <text>
        <r>
          <t>Giá +1: ảnh danh sách LE do người dùng cung cấp ngày 28/10/2026. +2…+13 theo công thức bp2 (117, ×1).</t>
        </r>
      </text>
    </comment>
    <comment ref="J2825" authorId="0">
      <text>
        <r>
          <t>Giá +1: ảnh danh sách LE do người dùng cung cấp ngày 28/10/2026. +2…+13 theo công thức bp2 (117, ×1).</t>
        </r>
      </text>
    </comment>
    <comment ref="J2826" authorId="0">
      <text>
        <r>
          <t>Giá +1: ảnh danh sách LE do người dùng cung cấp ngày 28/10/2026. +2…+13 theo công thức bp2 (117, ×1).</t>
        </r>
      </text>
    </comment>
    <comment ref="J2827" authorId="0">
      <text>
        <r>
          <t>Giá +1: ảnh danh sách LE do người dùng cung cấp ngày 28/10/2026. +2…+13 theo công thức bp2 (117, ×1).</t>
        </r>
      </text>
    </comment>
    <comment ref="J2828" authorId="0">
      <text>
        <r>
          <t>Giá +1: ảnh danh sách LE do người dùng cung cấp ngày 28/10/2026. +2…+13 theo công thức bp2 (117, ×1).</t>
        </r>
      </text>
    </comment>
    <comment ref="J2829" authorId="0">
      <text>
        <r>
          <t>Giá +1: ảnh danh sách LE do người dùng cung cấp ngày 28/10/2026. +2…+13 theo công thức bp2 (117, ×1).</t>
        </r>
      </text>
    </comment>
    <comment ref="J2830" authorId="0">
      <text>
        <r>
          <t>Giá +1: ảnh danh sách LE do người dùng cung cấp ngày 28/10/2026. +2…+13 theo công thức bp2 (117, ×1).</t>
        </r>
      </text>
    </comment>
    <comment ref="J2831" authorId="0">
      <text>
        <r>
          <t>Giá +1: ảnh danh sách LE do người dùng cung cấp ngày 28/10/2026. +2…+13 theo công thức bp2 (117, ×1).</t>
        </r>
      </text>
    </comment>
    <comment ref="J2832" authorId="0">
      <text>
        <r>
          <t>Giá +1: ảnh danh sách LE do người dùng cung cấp ngày 28/10/2026. +2…+13 theo công thức bp2 (117, ×1).</t>
        </r>
      </text>
    </comment>
    <comment ref="J2833" authorId="0">
      <text>
        <r>
          <t>Giá +1: ảnh danh sách LE do người dùng cung cấp ngày 28/10/2026. +2…+13 theo công thức bp2 (117, ×1).</t>
        </r>
      </text>
    </comment>
    <comment ref="J2834" authorId="0">
      <text>
        <r>
          <t>Giá +1: ảnh danh sách LE do người dùng cung cấp ngày 28/10/2026. +2…+13 theo công thức bp2 (117, ×1).</t>
        </r>
      </text>
    </comment>
    <comment ref="J2835" authorId="0">
      <text>
        <r>
          <t>Giá +1: ảnh danh sách LE do người dùng cung cấp ngày 28/10/2026. +2…+13 theo công thức bp2 (117, ×1).</t>
        </r>
      </text>
    </comment>
    <comment ref="J2836" authorId="0">
      <text>
        <r>
          <t>Giá +1: ảnh danh sách LE do người dùng cung cấp ngày 28/10/2026. +2…+13 theo công thức bp2 (117, ×1).</t>
        </r>
      </text>
    </comment>
    <comment ref="J2837" authorId="0">
      <text>
        <r>
          <t>Giá +1: ảnh danh sách LE do người dùng cung cấp ngày 28/10/2026. +2…+13 theo công thức bp2 (117, ×1).</t>
        </r>
      </text>
    </comment>
    <comment ref="J2838" authorId="0">
      <text>
        <r>
          <t>Giá +1: ảnh danh sách LE do người dùng cung cấp ngày 28/10/2026. +2…+13 theo công thức bp2 (117, ×1).</t>
        </r>
      </text>
    </comment>
    <comment ref="J2839" authorId="0">
      <text>
        <r>
          <t>Giá +1: ảnh danh sách LE do người dùng cung cấp ngày 28/10/2026. +2…+13 theo công thức bp2 (117, ×1).</t>
        </r>
      </text>
    </comment>
    <comment ref="J2840" authorId="0">
      <text>
        <r>
          <t>Giá +1: ảnh danh sách LE do người dùng cung cấp ngày 28/10/2026. +2…+13 theo công thức bp2 (117, ×1).</t>
        </r>
      </text>
    </comment>
    <comment ref="J2841" authorId="0">
      <text>
        <r>
          <t>Giá +1: ảnh danh sách LE do người dùng cung cấp ngày 28/10/2026. +2…+13 theo công thức bp2 (117, ×1).</t>
        </r>
      </text>
    </comment>
    <comment ref="J2842" authorId="0">
      <text>
        <r>
          <t>Giá +1: ảnh danh sách LE do người dùng cung cấp ngày 28/10/2026. +2…+13 theo công thức bp2 (117, ×1).</t>
        </r>
      </text>
    </comment>
    <comment ref="J2843" authorId="0">
      <text>
        <r>
          <t>Giá +1: ảnh danh sách LE do người dùng cung cấp ngày 28/10/2026. +2…+13 theo công thức bp2 (117, ×1).</t>
        </r>
      </text>
    </comment>
    <comment ref="J2844" authorId="0">
      <text>
        <r>
          <t>Giá +1: ảnh danh sách LE do người dùng cung cấp ngày 28/10/2026. +2…+13 theo công thức bp2 (117, ×1).</t>
        </r>
      </text>
    </comment>
    <comment ref="J2845" authorId="0">
      <text>
        <r>
          <t>Giá +1: ảnh danh sách LE do người dùng cung cấp ngày 28/10/2026. +2…+13 theo công thức bp2 (117, ×1).</t>
        </r>
      </text>
    </comment>
    <comment ref="J2846" authorId="0">
      <text>
        <r>
          <t>Giá +1: ảnh danh sách LE do người dùng cung cấp ngày 28/10/2026. +2…+13 theo công thức bp2 (117, ×1).</t>
        </r>
      </text>
    </comment>
    <comment ref="J2847" authorId="0">
      <text>
        <r>
          <t>Giá +1: ảnh danh sách LE do người dùng cung cấp ngày 28/10/2026. +2…+13 theo công thức bp2 (117, ×1).</t>
        </r>
      </text>
    </comment>
    <comment ref="J2848" authorId="0">
      <text>
        <r>
          <t>Giá +1: ảnh danh sách LE do người dùng cung cấp ngày 28/10/2026. +2…+13 theo công thức bp2 (117, ×1).</t>
        </r>
      </text>
    </comment>
    <comment ref="J2849" authorId="0">
      <text>
        <r>
          <t>Giá +1: ảnh danh sách LE do người dùng cung cấp ngày 28/10/2026. +2…+13 theo công thức bp2 (117, ×1).</t>
        </r>
      </text>
    </comment>
    <comment ref="J2850" authorId="0">
      <text>
        <r>
          <t>Giá +1: ảnh danh sách LE do người dùng cung cấp ngày 28/10/2026. +2…+13 theo công thức bp2 (117, ×1).</t>
        </r>
      </text>
    </comment>
    <comment ref="J2851" authorId="0">
      <text>
        <r>
          <t>Giá +1: ảnh danh sách LE do người dùng cung cấp ngày 28/10/2026. +2…+13 theo công thức bp2 (117, ×1).</t>
        </r>
      </text>
    </comment>
    <comment ref="J2852" authorId="0">
      <text>
        <r>
          <t>Giá +1: ảnh danh sách HG do người dùng cung cấp ngày 28/10/2026. +2…+13 theo công thức bp2 (117, ×1).</t>
        </r>
      </text>
    </comment>
    <comment ref="J2853" authorId="0">
      <text>
        <r>
          <t>Giá +1: ảnh danh sách HG do người dùng cung cấp ngày 28/10/2026. +2…+13 theo công thức bp2 (117, ×1).</t>
        </r>
      </text>
    </comment>
    <comment ref="J2854" authorId="0">
      <text>
        <r>
          <t>Giá +1: ảnh danh sách HG do người dùng cung cấp ngày 28/10/2026. +2…+13 theo công thức bp2 (117, ×1).</t>
        </r>
      </text>
    </comment>
    <comment ref="J2855" authorId="0">
      <text>
        <r>
          <t>Giá +1: ảnh danh sách HG do người dùng cung cấp ngày 28/10/2026. +2…+13 theo công thức bp2 (117, ×1).</t>
        </r>
      </text>
    </comment>
    <comment ref="J2856" authorId="0">
      <text>
        <r>
          <t>Giá +1: ảnh danh sách HG do người dùng cung cấp ngày 28/10/2026. +2…+13 theo công thức bp2 (117, ×1).</t>
        </r>
      </text>
    </comment>
    <comment ref="J2857" authorId="0">
      <text>
        <r>
          <t>Giá +1: ảnh danh sách HG do người dùng cung cấp ngày 28/10/2026. +2…+13 theo công thức bp2 (117, ×1).</t>
        </r>
      </text>
    </comment>
    <comment ref="J2858" authorId="0">
      <text>
        <r>
          <t>Giá +1: ảnh danh sách HG do người dùng cung cấp ngày 28/10/2026. +2…+13 theo công thức bp2 (117, ×1).</t>
        </r>
      </text>
    </comment>
    <comment ref="J2859" authorId="0">
      <text>
        <r>
          <t>Giá +1: ảnh danh sách HG do người dùng cung cấp ngày 28/10/2026. +2…+13 theo công thức bp2 (117, ×1).</t>
        </r>
      </text>
    </comment>
    <comment ref="J2860" authorId="0">
      <text>
        <r>
          <t>Giá +1: ảnh danh sách HG do người dùng cung cấp ngày 28/10/2026. +2…+13 theo công thức bp2 (117, ×1).</t>
        </r>
      </text>
    </comment>
    <comment ref="J2861" authorId="0">
      <text>
        <r>
          <t>Giá +1: ảnh danh sách HG do người dùng cung cấp ngày 28/10/2026. +2…+13 theo công thức bp2 (117, ×1).</t>
        </r>
      </text>
    </comment>
    <comment ref="J2862" authorId="0">
      <text>
        <r>
          <t>Giá +1: ảnh danh sách HG do người dùng cung cấp ngày 28/10/2026. +2…+13 theo công thức bp2 (117, ×1).</t>
        </r>
      </text>
    </comment>
    <comment ref="J2863" authorId="0">
      <text>
        <r>
          <t>Giá +1: ảnh danh sách HG do người dùng cung cấp ngày 28/10/2026. +2…+13 theo công thức bp2 (117, ×1).</t>
        </r>
      </text>
    </comment>
    <comment ref="J2864" authorId="0">
      <text>
        <r>
          <t>Giá +1: ảnh danh sách HG do người dùng cung cấp ngày 28/10/2026. +2…+13 theo công thức bp2 (117, ×1).</t>
        </r>
      </text>
    </comment>
    <comment ref="J2865" authorId="0">
      <text>
        <r>
          <t>Giá +1: ảnh danh sách HG do người dùng cung cấp ngày 28/10/2026. +2…+13 theo công thức bp2 (117, ×1).</t>
        </r>
      </text>
    </comment>
    <comment ref="J2866" authorId="0">
      <text>
        <r>
          <t>Giá +1: ảnh danh sách HG do người dùng cung cấp ngày 28/10/2026. +2…+13 theo công thức bp2 (117, ×1).</t>
        </r>
      </text>
    </comment>
    <comment ref="J2867" authorId="0">
      <text>
        <r>
          <t>Giá +1: ảnh danh sách HG do người dùng cung cấp ngày 28/10/2026. +2…+13 theo công thức bp2 (117, ×1).</t>
        </r>
      </text>
    </comment>
    <comment ref="J2868" authorId="0">
      <text>
        <r>
          <t>Giá +1: ảnh danh sách HG do người dùng cung cấp ngày 28/10/2026. +2…+13 theo công thức bp2 (117, ×1).</t>
        </r>
      </text>
    </comment>
    <comment ref="J2869" authorId="0">
      <text>
        <r>
          <t>Giá +1: ảnh danh sách HG do người dùng cung cấp ngày 28/10/2026. +2…+13 theo công thức bp2 (117, ×1).</t>
        </r>
      </text>
    </comment>
    <comment ref="J2870" authorId="0">
      <text>
        <r>
          <t>Giá +1: ảnh danh sách HG do người dùng cung cấp ngày 28/10/2026. +2…+13 theo công thức bp2 (117, ×1).</t>
        </r>
      </text>
    </comment>
    <comment ref="J2871" authorId="0">
      <text>
        <r>
          <t>Giá +1: ảnh danh sách HG do người dùng cung cấp ngày 28/10/2026. +2…+13 theo công thức bp2 (117, ×1).</t>
        </r>
      </text>
    </comment>
    <comment ref="J2872" authorId="0">
      <text>
        <r>
          <t>Giá +1: ảnh danh sách HG do người dùng cung cấp ngày 28/10/2026. +2…+13 theo công thức bp2 (117, ×1).</t>
        </r>
      </text>
    </comment>
    <comment ref="J2873" authorId="0">
      <text>
        <r>
          <t>Giá +1: ảnh danh sách HG do người dùng cung cấp ngày 28/10/2026. +2…+13 theo công thức bp2 (117, ×1).</t>
        </r>
      </text>
    </comment>
    <comment ref="J2874" authorId="0">
      <text>
        <r>
          <t>Giá +1: ảnh danh sách HG do người dùng cung cấp ngày 28/10/2026. +2…+13 theo công thức bp2 (117, ×1).</t>
        </r>
      </text>
    </comment>
    <comment ref="J2875" authorId="0">
      <text>
        <r>
          <t>Giá +1: ảnh danh sách HG do người dùng cung cấp ngày 28/10/2026. +2…+13 theo công thức bp2 (117, ×1).</t>
        </r>
      </text>
    </comment>
    <comment ref="J2876" authorId="0">
      <text>
        <r>
          <t>Giá +1: ảnh danh sách HG do người dùng cung cấp ngày 28/10/2026. +2…+13 theo công thức bp2 (117, ×1).</t>
        </r>
      </text>
    </comment>
    <comment ref="J2877" authorId="0">
      <text>
        <r>
          <t>Giá +1: ảnh danh sách HG do người dùng cung cấp ngày 28/10/2026. +2…+13 theo công thức bp2 (117, ×1).</t>
        </r>
      </text>
    </comment>
    <comment ref="J2878" authorId="0">
      <text>
        <r>
          <t>Giá +1: ảnh danh sách HG do người dùng cung cấp ngày 28/10/2026. +2…+13 theo công thức bp2 (117, ×1).</t>
        </r>
      </text>
    </comment>
    <comment ref="J2879" authorId="0">
      <text>
        <r>
          <t>Giá +1: ảnh danh sách HG do người dùng cung cấp ngày 28/10/2026. +2…+13 theo công thức bp2 (117, ×1).</t>
        </r>
      </text>
    </comment>
    <comment ref="J2880" authorId="0">
      <text>
        <r>
          <t>Giá +1: ảnh danh sách HG do người dùng cung cấp ngày 28/10/2026. +2…+13 theo công thức bp2 (117, ×1).</t>
        </r>
      </text>
    </comment>
    <comment ref="J2881" authorId="0">
      <text>
        <r>
          <t>Giá +1: ảnh danh sách HG do người dùng cung cấp ngày 28/10/2026. +2…+13 theo công thức bp2 (117, ×1).</t>
        </r>
      </text>
    </comment>
    <comment ref="J2882" authorId="0">
      <text>
        <r>
          <t>Giá +1: ảnh danh sách HG do người dùng cung cấp ngày 28/10/2026. +2…+13 theo công thức bp2 (117, ×1).</t>
        </r>
      </text>
    </comment>
    <comment ref="J2883" authorId="0">
      <text>
        <r>
          <t>Giá +1: ảnh danh sách HG do người dùng cung cấp ngày 28/10/2026. +2…+13 theo công thức bp2 (117, ×1).</t>
        </r>
      </text>
    </comment>
    <comment ref="J2884" authorId="0">
      <text>
        <r>
          <t>Giá +1: ảnh danh sách HG do người dùng cung cấp ngày 28/10/2026. +2…+13 theo công thức bp2 (117, ×1).</t>
        </r>
      </text>
    </comment>
    <comment ref="J2885" authorId="0">
      <text>
        <r>
          <t>Giá +1: ảnh danh sách HG do người dùng cung cấp ngày 28/10/2026. +2…+13 theo công thức bp2 (117, ×1).</t>
        </r>
      </text>
    </comment>
    <comment ref="J2886" authorId="0">
      <text>
        <r>
          <t>Giá +1: ảnh danh sách HG do người dùng cung cấp ngày 28/10/2026. +2…+13 theo công thức bp2 (117, ×1).</t>
        </r>
      </text>
    </comment>
    <comment ref="J2887" authorId="0">
      <text>
        <r>
          <t>Giá +1: ảnh danh sách HG do người dùng cung cấp ngày 28/10/2026. +2…+13 theo công thức bp2 (117, ×1).</t>
        </r>
      </text>
    </comment>
    <comment ref="J2888" authorId="0">
      <text>
        <r>
          <t>Giá +1: ảnh danh sách HG do người dùng cung cấp ngày 28/10/2026. +2…+13 theo công thức bp2 (117, ×1).</t>
        </r>
      </text>
    </comment>
    <comment ref="J2889" authorId="0">
      <text>
        <r>
          <t>Giá +1: ảnh danh sách HG do người dùng cung cấp ngày 28/10/2026. +2…+13 theo công thức bp2 (117, ×1).</t>
        </r>
      </text>
    </comment>
    <comment ref="J2890" authorId="0">
      <text>
        <r>
          <t>Giá +1: ảnh danh sách HG do người dùng cung cấp ngày 28/10/2026. +2…+13 theo công thức bp2 (117, ×1).</t>
        </r>
      </text>
    </comment>
    <comment ref="J2891" authorId="0">
      <text>
        <r>
          <t>Giá +1: ảnh danh sách HG do người dùng cung cấp ngày 28/10/2026. +2…+13 theo công thức bp2 (117, ×1).</t>
        </r>
      </text>
    </comment>
    <comment ref="J2892" authorId="0">
      <text>
        <r>
          <t>Giá +1: ảnh danh sách HG do người dùng cung cấp ngày 28/10/2026. +2…+13 theo công thức bp2 (117, ×1).</t>
        </r>
      </text>
    </comment>
    <comment ref="J2893" authorId="0">
      <text>
        <r>
          <t>Giá +1: ảnh danh sách HG do người dùng cung cấp ngày 28/10/2026. +2…+13 theo công thức bp2 (117, ×1).</t>
        </r>
      </text>
    </comment>
    <comment ref="J2894" authorId="0">
      <text>
        <r>
          <t>Giá +1: ảnh danh sách HG do người dùng cung cấp ngày 28/10/2026. +2…+13 theo công thức bp2 (117, ×1).</t>
        </r>
      </text>
    </comment>
    <comment ref="J2895" authorId="0">
      <text>
        <r>
          <t>Giá +1: ảnh danh sách HG do người dùng cung cấp ngày 28/10/2026. +2…+13 theo công thức bp2 (117, ×1).</t>
        </r>
      </text>
    </comment>
    <comment ref="J2896" authorId="0">
      <text>
        <r>
          <t>Giá +1: ảnh danh sách HG do người dùng cung cấp ngày 28/10/2026. +2…+13 theo công thức bp2 (117, ×1).</t>
        </r>
      </text>
    </comment>
    <comment ref="J2897" authorId="0">
      <text>
        <r>
          <t>Giá +1: ảnh danh sách HG do người dùng cung cấp ngày 28/10/2026. +2…+13 theo công thức bp2 (117, ×1).</t>
        </r>
      </text>
    </comment>
    <comment ref="J2898" authorId="0">
      <text>
        <r>
          <t>Giá +1: ảnh danh sách HG do người dùng cung cấp ngày 28/10/2026. +2…+13 theo công thức bp2 (117, ×1).</t>
        </r>
      </text>
    </comment>
    <comment ref="J2899" authorId="0">
      <text>
        <r>
          <t>Giá +1: ảnh danh sách HG do người dùng cung cấp ngày 28/10/2026. +2…+13 theo công thức bp2 (117, ×1).</t>
        </r>
      </text>
    </comment>
    <comment ref="J2900" authorId="0">
      <text>
        <r>
          <t>Giá +1: ảnh danh sách HG do người dùng cung cấp ngày 28/10/2026. +2…+13 theo công thức bp2 (117, ×1).</t>
        </r>
      </text>
    </comment>
    <comment ref="J2901" authorId="0">
      <text>
        <r>
          <t>Giá +1: ảnh danh sách HG do người dùng cung cấp ngày 28/10/2026. +2…+13 theo công thức bp2 (117, ×1).</t>
        </r>
      </text>
    </comment>
    <comment ref="J2902" authorId="0">
      <text>
        <r>
          <t>Giá +1: ảnh danh sách HG do người dùng cung cấp ngày 28/10/2026. +2…+13 theo công thức bp2 (117, ×1).</t>
        </r>
      </text>
    </comment>
    <comment ref="J2903" authorId="0">
      <text>
        <r>
          <t>Giá +1: ảnh danh sách HG do người dùng cung cấp ngày 28/10/2026. +2…+13 theo công thức bp2 (117, ×1).</t>
        </r>
      </text>
    </comment>
    <comment ref="J2904" authorId="0">
      <text>
        <r>
          <t>Giá +1: ảnh danh sách HG do người dùng cung cấp ngày 28/10/2026. +2…+13 theo công thức bp2 (117, ×1).</t>
        </r>
      </text>
    </comment>
    <comment ref="J2905" authorId="0">
      <text>
        <r>
          <t>Giá +1: ảnh danh sách HG do người dùng cung cấp ngày 28/10/2026. +2…+13 theo công thức bp2 (117, ×1).</t>
        </r>
      </text>
    </comment>
    <comment ref="J2906" authorId="0">
      <text>
        <r>
          <t>Giá +1: ảnh danh sách HG do người dùng cung cấp ngày 28/10/2026. +2…+13 theo công thức bp2 (117, ×1).</t>
        </r>
      </text>
    </comment>
    <comment ref="J2907" authorId="0">
      <text>
        <r>
          <t>Giá +1: ảnh danh sách HG do người dùng cung cấp ngày 28/10/2026. +2…+13 theo công thức bp2 (117, ×1).</t>
        </r>
      </text>
    </comment>
    <comment ref="J2908" authorId="0">
      <text>
        <r>
          <t>Giá +1: ảnh danh sách HG do người dùng cung cấp ngày 28/10/2026. +2…+13 theo công thức bp2 (117, ×1).</t>
        </r>
      </text>
    </comment>
    <comment ref="J2909" authorId="0">
      <text>
        <r>
          <t>Giá +1: ảnh danh sách HG do người dùng cung cấp ngày 28/10/2026. +2…+13 theo công thức bp2 (117, ×1).</t>
        </r>
      </text>
    </comment>
    <comment ref="J2910" authorId="0">
      <text>
        <r>
          <t>Giá +1: ảnh danh sách HG do người dùng cung cấp ngày 28/10/2026. +2…+13 theo công thức bp2 (117, ×1).</t>
        </r>
      </text>
    </comment>
    <comment ref="J2911" authorId="0">
      <text>
        <r>
          <t>Giá +1: ảnh danh sách HG do người dùng cung cấp ngày 28/10/2026. +2…+13 theo công thức bp2 (117, ×1).</t>
        </r>
      </text>
    </comment>
    <comment ref="J2912" authorId="0">
      <text>
        <r>
          <t>Giá +1: ảnh danh sách HG do người dùng cung cấp ngày 28/10/2026. +2…+13 theo công thức bp2 (117, ×1).</t>
        </r>
      </text>
    </comment>
    <comment ref="J2913" authorId="0">
      <text>
        <r>
          <t>Giá +1: ảnh danh sách HG do người dùng cung cấp ngày 28/10/2026. +2…+13 theo công thức bp2 (117, ×1).</t>
        </r>
      </text>
    </comment>
    <comment ref="J2914" authorId="0">
      <text>
        <r>
          <t>Giá +1: ảnh danh sách HG do người dùng cung cấp ngày 28/10/2026. +2…+13 theo công thức bp2 (117, ×1).</t>
        </r>
      </text>
    </comment>
    <comment ref="J2915" authorId="0">
      <text>
        <r>
          <t>Giá +1: ảnh danh sách HG do người dùng cung cấp ngày 28/10/2026. +2…+13 theo công thức bp2 (117, ×1).</t>
        </r>
      </text>
    </comment>
    <comment ref="J2916" authorId="0">
      <text>
        <r>
          <t>Giá +1: ảnh danh sách HG do người dùng cung cấp ngày 28/10/2026. +2…+13 theo công thức bp2 (117, ×1).</t>
        </r>
      </text>
    </comment>
    <comment ref="J2917" authorId="0">
      <text>
        <r>
          <t>Giá +1: ảnh danh sách HG do người dùng cung cấp ngày 28/10/2026. +2…+13 theo công thức bp2 (117, ×1).</t>
        </r>
      </text>
    </comment>
    <comment ref="J2918" authorId="0">
      <text>
        <r>
          <t>Giá +1: ảnh danh sách HG do người dùng cung cấp ngày 28/10/2026. +2…+13 theo công thức bp2 (117, ×1).</t>
        </r>
      </text>
    </comment>
    <comment ref="J2919" authorId="0">
      <text>
        <r>
          <t>Giá +1: ảnh danh sách HG do người dùng cung cấp ngày 28/10/2026. +2…+13 theo công thức bp2 (117, ×1).</t>
        </r>
      </text>
    </comment>
    <comment ref="J2920" authorId="0">
      <text>
        <r>
          <t>Giá +1: ảnh danh sách HG do người dùng cung cấp ngày 28/10/2026. +2…+13 theo công thức bp2 (117, ×1).</t>
        </r>
      </text>
    </comment>
    <comment ref="J2921" authorId="0">
      <text>
        <r>
          <t>Giá +1: ảnh danh sách HG do người dùng cung cấp ngày 28/10/2026. +2…+13 theo công thức bp2 (117, ×1).</t>
        </r>
      </text>
    </comment>
    <comment ref="J2922" authorId="0">
      <text>
        <r>
          <t>Giá +1: ảnh danh sách HG do người dùng cung cấp ngày 28/10/2026. +2…+13 theo công thức bp2 (117, ×1).</t>
        </r>
      </text>
    </comment>
    <comment ref="J2923" authorId="0">
      <text>
        <r>
          <t>Giá +1: ảnh danh sách HG do người dùng cung cấp ngày 28/10/2026. +2…+13 theo công thức bp2 (117, ×1).</t>
        </r>
      </text>
    </comment>
    <comment ref="J2924" authorId="0">
      <text>
        <r>
          <t>Giá +1: ảnh danh sách HG do người dùng cung cấp ngày 28/10/2026. +2…+13 theo công thức bp2 (117, ×1).</t>
        </r>
      </text>
    </comment>
    <comment ref="J2925" authorId="0">
      <text>
        <r>
          <t>Giá +1: ảnh danh sách HG do người dùng cung cấp ngày 28/10/2026. +2…+13 theo công thức bp2 (117, ×1).</t>
        </r>
      </text>
    </comment>
    <comment ref="J2926" authorId="0">
      <text>
        <r>
          <t>Giá +1: ảnh danh sách HG do người dùng cung cấp ngày 28/10/2026. +2…+13 theo công thức bp2 (117, ×1).</t>
        </r>
      </text>
    </comment>
    <comment ref="J2927" authorId="0">
      <text>
        <r>
          <t>Giá +1: ảnh danh sách HG do người dùng cung cấp ngày 28/10/2026. +2…+13 theo công thức bp2 (117, ×1).</t>
        </r>
      </text>
    </comment>
    <comment ref="J2928" authorId="0">
      <text>
        <r>
          <t>Giá +1: ảnh danh sách HG do người dùng cung cấp ngày 28/10/2026. +2…+13 theo công thức bp2 (117, ×1).</t>
        </r>
      </text>
    </comment>
    <comment ref="J2929" authorId="0">
      <text>
        <r>
          <t>Giá +1: ảnh danh sách HG do người dùng cung cấp ngày 28/10/2026. +2…+13 theo công thức bp2 (117, ×1).</t>
        </r>
      </text>
    </comment>
    <comment ref="J2930" authorId="0">
      <text>
        <r>
          <t>Giá +1: ảnh danh sách HG do người dùng cung cấp ngày 28/10/2026. +2…+13 theo công thức bp2 (117, ×1).</t>
        </r>
      </text>
    </comment>
    <comment ref="J2931" authorId="0">
      <text>
        <r>
          <t>Giá +1: ảnh danh sách HG do người dùng cung cấp ngày 28/10/2026. +2…+13 theo công thức bp2 (117, ×1).</t>
        </r>
      </text>
    </comment>
    <comment ref="J2932" authorId="0">
      <text>
        <r>
          <t>Giá +1: ảnh danh sách HG do người dùng cung cấp ngày 28/10/2026. +2…+13 theo công thức bp2 (117, ×1).</t>
        </r>
      </text>
    </comment>
    <comment ref="J2933" authorId="0">
      <text>
        <r>
          <t>Giá +1: ảnh danh sách HG do người dùng cung cấp ngày 28/10/2026. +2…+13 theo công thức bp2 (117, ×1).</t>
        </r>
      </text>
    </comment>
    <comment ref="J2934" authorId="0">
      <text>
        <r>
          <t>Giá +1: ảnh danh sách HG do người dùng cung cấp ngày 28/10/2026. +2…+13 theo công thức bp2 (117, ×1).</t>
        </r>
      </text>
    </comment>
    <comment ref="J2935" authorId="0">
      <text>
        <r>
          <t>Giá +1: ảnh danh sách HG do người dùng cung cấp ngày 28/10/2026. +2…+13 theo công thức bp2 (117, ×1).</t>
        </r>
      </text>
    </comment>
    <comment ref="J2936" authorId="0">
      <text>
        <r>
          <t>Giá +1: ảnh danh sách HG do người dùng cung cấp ngày 28/10/2026. +2…+13 theo công thức bp2 (117, ×1).</t>
        </r>
      </text>
    </comment>
    <comment ref="J2937" authorId="0">
      <text>
        <r>
          <t>Giá +1: ảnh danh sách HG do người dùng cung cấp ngày 28/10/2026. +2…+13 theo công thức bp2 (117, ×1).</t>
        </r>
      </text>
    </comment>
    <comment ref="J2938" authorId="0">
      <text>
        <r>
          <t>Giá +1: ảnh danh sách HG do người dùng cung cấp ngày 28/10/2026. +2…+13 theo công thức bp2 (117, ×1).</t>
        </r>
      </text>
    </comment>
    <comment ref="J2939" authorId="0">
      <text>
        <r>
          <t>Giá +1: ảnh danh sách HG do người dùng cung cấp ngày 28/10/2026. +2…+13 theo công thức bp2 (117, ×1).</t>
        </r>
      </text>
    </comment>
    <comment ref="J2940" authorId="0">
      <text>
        <r>
          <t>Giá +1: ảnh danh sách HG do người dùng cung cấp ngày 28/10/2026. +2…+13 theo công thức bp2 (117, ×1).</t>
        </r>
      </text>
    </comment>
    <comment ref="J2941" authorId="0">
      <text>
        <r>
          <t>Giá +1: ảnh danh sách HG do người dùng cung cấp ngày 28/10/2026. +2…+13 theo công thức bp2 (117, ×1).</t>
        </r>
      </text>
    </comment>
    <comment ref="J2942" authorId="0">
      <text>
        <r>
          <t>Giá +1: ảnh danh sách HG do người dùng cung cấp ngày 28/10/2026. +2…+13 theo công thức bp2 (117, ×1).</t>
        </r>
      </text>
    </comment>
    <comment ref="J2943" authorId="0">
      <text>
        <r>
          <t>Giá +1: ảnh danh sách HG do người dùng cung cấp ngày 28/10/2026. +2…+13 theo công thức bp2 (117, ×1).</t>
        </r>
      </text>
    </comment>
    <comment ref="J2944" authorId="0">
      <text>
        <r>
          <t>Giá +1: ảnh danh sách HG do người dùng cung cấp ngày 28/10/2026. +2…+13 theo công thức bp2 (117, ×1).</t>
        </r>
      </text>
    </comment>
    <comment ref="J2945" authorId="0">
      <text>
        <r>
          <t>Giá +1: ảnh danh sách HG do người dùng cung cấp ngày 28/10/2026. +2…+13 theo công thức bp2 (117, ×1).</t>
        </r>
      </text>
    </comment>
    <comment ref="J2946" authorId="0">
      <text>
        <r>
          <t>Giá +1: ảnh danh sách HG do người dùng cung cấp ngày 28/10/2026. +2…+13 theo công thức bp2 (117, ×1).</t>
        </r>
      </text>
    </comment>
    <comment ref="J2947" authorId="0">
      <text>
        <r>
          <t>Giá +1: ảnh danh sách HG do người dùng cung cấp ngày 28/10/2026. +2…+13 theo công thức bp2 (117, ×1).</t>
        </r>
      </text>
    </comment>
    <comment ref="J2948" authorId="0">
      <text>
        <r>
          <t>Giá +1: ảnh danh sách HG do người dùng cung cấp ngày 28/10/2026. +2…+13 theo công thức bp2 (117, ×1).</t>
        </r>
      </text>
    </comment>
    <comment ref="J2949" authorId="0">
      <text>
        <r>
          <t>Giá +1: ảnh danh sách HG do người dùng cung cấp ngày 28/10/2026. +2…+13 theo công thức bp2 (117, ×1).</t>
        </r>
      </text>
    </comment>
    <comment ref="J2950" authorId="0">
      <text>
        <r>
          <t>Giá +1: ảnh danh sách HG do người dùng cung cấp ngày 28/10/2026. +2…+13 theo công thức bp2 (117, ×1).</t>
        </r>
      </text>
    </comment>
    <comment ref="J2951" authorId="0">
      <text>
        <r>
          <t>Giá +1: ảnh danh sách HG do người dùng cung cấp ngày 28/10/2026. +2…+13 theo công thức bp2 (117, ×1).</t>
        </r>
      </text>
    </comment>
    <comment ref="J2952" authorId="0">
      <text>
        <r>
          <t>Giá +1: ảnh danh sách HG do người dùng cung cấp ngày 28/10/2026. +2…+13 theo công thức bp2 (117, ×1).</t>
        </r>
      </text>
    </comment>
    <comment ref="J2953" authorId="0">
      <text>
        <r>
          <t>Giá +1: ảnh danh sách HG do người dùng cung cấp ngày 28/10/2026. +2…+13 theo công thức bp2 (117, ×1).</t>
        </r>
      </text>
    </comment>
    <comment ref="J2954" authorId="0">
      <text>
        <r>
          <t>Giá +1: ảnh danh sách HG do người dùng cung cấp ngày 28/10/2026. +2…+13 theo công thức bp2 (117, ×1).</t>
        </r>
      </text>
    </comment>
    <comment ref="J2955" authorId="0">
      <text>
        <r>
          <t>Giá +1: ảnh danh sách HG do người dùng cung cấp ngày 28/10/2026. +2…+13 theo công thức bp2 (117, ×1).</t>
        </r>
      </text>
    </comment>
    <comment ref="J2956" authorId="0">
      <text>
        <r>
          <t>Giá +1: ảnh danh sách HG do người dùng cung cấp ngày 28/10/2026. +2…+13 theo công thức bp2 (117, ×1).</t>
        </r>
      </text>
    </comment>
    <comment ref="J2957" authorId="0">
      <text>
        <r>
          <t>Giá +1: ảnh danh sách HG do người dùng cung cấp ngày 28/10/2026. +2…+13 theo công thức bp2 (117, ×1).</t>
        </r>
      </text>
    </comment>
    <comment ref="J2958" authorId="0">
      <text>
        <r>
          <t>Giá +1: ảnh danh sách HG do người dùng cung cấp ngày 28/10/2026. +2…+13 theo công thức bp2 (117, ×1).</t>
        </r>
      </text>
    </comment>
    <comment ref="J2959" authorId="0">
      <text>
        <r>
          <t>Giá +1: ảnh danh sách HG do người dùng cung cấp ngày 28/10/2026. +2…+13 theo công thức bp2 (117, ×1).</t>
        </r>
      </text>
    </comment>
    <comment ref="J2960" authorId="0">
      <text>
        <r>
          <t>Giá +1: ảnh danh sách HG do người dùng cung cấp ngày 28/10/2026. +2…+13 theo công thức bp2 (117, ×1).</t>
        </r>
      </text>
    </comment>
    <comment ref="J2961" authorId="0">
      <text>
        <r>
          <t>Giá +1: ảnh danh sách HG do người dùng cung cấp ngày 28/10/2026. +2…+13 theo công thức bp2 (117, ×1).</t>
        </r>
      </text>
    </comment>
    <comment ref="J2962" authorId="0">
      <text>
        <r>
          <t>Giá +1: ảnh danh sách HG do người dùng cung cấp ngày 28/10/2026. +2…+13 theo công thức bp2 (117, ×1).</t>
        </r>
      </text>
    </comment>
    <comment ref="J2963" authorId="0">
      <text>
        <r>
          <t>Giá +1: ảnh danh sách HG do người dùng cung cấp ngày 28/10/2026. +2…+13 theo công thức bp2 (117, ×1).</t>
        </r>
      </text>
    </comment>
    <comment ref="J2964" authorId="0">
      <text>
        <r>
          <t>Giá +1: ảnh danh sách HG do người dùng cung cấp ngày 28/10/2026. +2…+13 theo công thức bp2 (117, ×1).</t>
        </r>
      </text>
    </comment>
    <comment ref="J2965" authorId="0">
      <text>
        <r>
          <t>Giá +1: ảnh danh sách HG do người dùng cung cấp ngày 28/10/2026. +2…+13 theo công thức bp2 (117, ×1).</t>
        </r>
      </text>
    </comment>
    <comment ref="J2966" authorId="0">
      <text>
        <r>
          <t>Giá +1: ảnh danh sách HG do người dùng cung cấp ngày 28/10/2026. +2…+13 theo công thức bp2 (117, ×1).</t>
        </r>
      </text>
    </comment>
    <comment ref="J2967" authorId="0">
      <text>
        <r>
          <t>Giá +1: ảnh danh sách HG do người dùng cung cấp ngày 28/10/2026. +2…+13 theo công thức bp2 (117, ×1).</t>
        </r>
      </text>
    </comment>
    <comment ref="J2968" authorId="0">
      <text>
        <r>
          <t>Giá +1: ảnh danh sách SPL do người dùng cung cấp ngày 28/10/2026. +2…+13 theo công thức bp2 (117, ×1).</t>
        </r>
      </text>
    </comment>
    <comment ref="J2969" authorId="0">
      <text>
        <r>
          <t>Giá +1: ảnh danh sách SPL do người dùng cung cấp ngày 28/10/2026. +2…+13 theo công thức bp2 (117, ×1).</t>
        </r>
      </text>
    </comment>
    <comment ref="J2970" authorId="0">
      <text>
        <r>
          <t>Giá +1: ảnh danh sách SPL do người dùng cung cấp ngày 28/10/2026. +2…+13 theo công thức bp2 (117, ×1).</t>
        </r>
      </text>
    </comment>
    <comment ref="J2971" authorId="0">
      <text>
        <r>
          <t>Giá +1: ảnh danh sách SPL do người dùng cung cấp ngày 28/10/2026. +2…+13 theo công thức bp2 (117, ×1).</t>
        </r>
      </text>
    </comment>
    <comment ref="J2972" authorId="0">
      <text>
        <r>
          <t>Giá +1: ảnh danh sách SPL do người dùng cung cấp ngày 28/10/2026. +2…+13 theo công thức bp2 (117, ×1).</t>
        </r>
      </text>
    </comment>
    <comment ref="J2973" authorId="0">
      <text>
        <r>
          <t>Giá +1: ảnh danh sách SPL do người dùng cung cấp ngày 28/10/2026. +2…+13 theo công thức bp2 (117, ×1).</t>
        </r>
      </text>
    </comment>
    <comment ref="J2974" authorId="0">
      <text>
        <r>
          <t>Giá +1: ảnh danh sách SPL do người dùng cung cấp ngày 28/10/2026. +2…+13 theo công thức bp2 (117, ×1).</t>
        </r>
      </text>
    </comment>
    <comment ref="J2975" authorId="0">
      <text>
        <r>
          <t>Giá +1: ảnh danh sách SPL do người dùng cung cấp ngày 28/10/2026. +2…+13 theo công thức bp2 (117, ×1).</t>
        </r>
      </text>
    </comment>
    <comment ref="J2976" authorId="0">
      <text>
        <r>
          <t>Giá +1: ảnh danh sách SPL do người dùng cung cấp ngày 28/10/2026. +2…+13 theo công thức bp2 (117, ×1).</t>
        </r>
      </text>
    </comment>
    <comment ref="J2977" authorId="0">
      <text>
        <r>
          <t>Giá +1: ảnh danh sách SPL do người dùng cung cấp ngày 28/10/2026. +2…+13 theo công thức bp2 (117, ×1).</t>
        </r>
      </text>
    </comment>
    <comment ref="J2978" authorId="0">
      <text>
        <r>
          <t>Giá +1: ảnh danh sách SPL do người dùng cung cấp ngày 28/10/2026. +2…+13 theo công thức bp2 (117, ×1).</t>
        </r>
      </text>
    </comment>
    <comment ref="J2979" authorId="0">
      <text>
        <r>
          <t>Giá +1: ảnh danh sách SPL do người dùng cung cấp ngày 28/10/2026. +2…+13 theo công thức bp2 (117, ×1).</t>
        </r>
      </text>
    </comment>
    <comment ref="J2980" authorId="0">
      <text>
        <r>
          <t>Giá +1: ảnh danh sách SPL do người dùng cung cấp ngày 28/10/2026. +2…+13 theo công thức bp2 (117, ×1).</t>
        </r>
      </text>
    </comment>
    <comment ref="J2981" authorId="0">
      <text>
        <r>
          <t>Giá +1: ảnh danh sách SPL do người dùng cung cấp ngày 28/10/2026. +2…+13 theo công thức bp2 (117, ×1).</t>
        </r>
      </text>
    </comment>
    <comment ref="J2982" authorId="0">
      <text>
        <r>
          <t>Giá +1: ảnh danh sách SPL do người dùng cung cấp ngày 28/10/2026. +2…+13 theo công thức bp2 (117, ×1).</t>
        </r>
      </text>
    </comment>
    <comment ref="J2983" authorId="0">
      <text>
        <r>
          <t>Giá +1: ảnh danh sách SPL do người dùng cung cấp ngày 28/10/2026. +2…+13 theo công thức bp2 (117, ×1).</t>
        </r>
      </text>
    </comment>
    <comment ref="J2984" authorId="0">
      <text>
        <r>
          <t>Giá +1: ảnh danh sách SPL do người dùng cung cấp ngày 28/10/2026. +2…+13 theo công thức bp2 (117, ×1).</t>
        </r>
      </text>
    </comment>
    <comment ref="J2985" authorId="0">
      <text>
        <r>
          <t>Giá +1: ảnh danh sách SPL do người dùng cung cấp ngày 28/10/2026. +2…+13 theo công thức bp2 (117, ×1).</t>
        </r>
      </text>
    </comment>
    <comment ref="J2986" authorId="0">
      <text>
        <r>
          <t>Giá +1: ảnh danh sách SPL do người dùng cung cấp ngày 28/10/2026. +2…+13 theo công thức bp2 (117, ×1).</t>
        </r>
      </text>
    </comment>
    <comment ref="J2987" authorId="0">
      <text>
        <r>
          <t>Giá +1: ảnh danh sách SPL do người dùng cung cấp ngày 28/10/2026. +2…+13 theo công thức bp2 (117, ×1).</t>
        </r>
      </text>
    </comment>
    <comment ref="J2988" authorId="0">
      <text>
        <r>
          <t>Giá +1: ảnh danh sách SPL do người dùng cung cấp ngày 28/10/2026. +2…+13 theo công thức bp2 (117, ×1).</t>
        </r>
      </text>
    </comment>
    <comment ref="J2989" authorId="0">
      <text>
        <r>
          <t>Giá +1: ảnh danh sách SPL do người dùng cung cấp ngày 28/10/2026. +2…+13 theo công thức bp2 (117, ×1).</t>
        </r>
      </text>
    </comment>
    <comment ref="J2990" authorId="0">
      <text>
        <r>
          <t>Giá +1: ảnh danh sách SPL do người dùng cung cấp ngày 28/10/2026. +2…+13 theo công thức bp2 (117, ×1).</t>
        </r>
      </text>
    </comment>
    <comment ref="J2991" authorId="0">
      <text>
        <r>
          <t>Giá +1: ảnh danh sách SPL do người dùng cung cấp ngày 28/10/2026. +2…+13 theo công thức bp2 (117, ×1).</t>
        </r>
      </text>
    </comment>
    <comment ref="J2992" authorId="0">
      <text>
        <r>
          <t>Giá +1: ảnh danh sách SPL do người dùng cung cấp ngày 28/10/2026. +2…+13 theo công thức bp2 (117, ×1).</t>
        </r>
      </text>
    </comment>
    <comment ref="J2993" authorId="0">
      <text>
        <r>
          <t>Giá +1: ảnh danh sách SPL do người dùng cung cấp ngày 28/10/2026. +2…+13 theo công thức bp2 (117, ×1).</t>
        </r>
      </text>
    </comment>
    <comment ref="J2994" authorId="0">
      <text>
        <r>
          <t>Giá +1: ảnh danh sách SPL do người dùng cung cấp ngày 28/10/2026. +2…+13 theo công thức bp2 (117, ×1).</t>
        </r>
      </text>
    </comment>
    <comment ref="J2995" authorId="0">
      <text>
        <r>
          <t>Giá +1: ảnh danh sách SPL do người dùng cung cấp ngày 28/10/2026. +2…+13 theo công thức bp2 (117, ×1).</t>
        </r>
      </text>
    </comment>
    <comment ref="J2996" authorId="0">
      <text>
        <r>
          <t>Giá +1: ảnh danh sách SPL do người dùng cung cấp ngày 28/10/2026. +2…+13 theo công thức bp2 (117, ×1).</t>
        </r>
      </text>
    </comment>
    <comment ref="J2997" authorId="0">
      <text>
        <r>
          <t>Giá +1: ảnh danh sách SPL do người dùng cung cấp ngày 28/10/2026. +2…+13 theo công thức bp2 (117, ×1).</t>
        </r>
      </text>
    </comment>
    <comment ref="J2998" authorId="0">
      <text>
        <r>
          <t>Giá +1: ảnh danh sách SPL do người dùng cung cấp ngày 28/10/2026. +2…+13 theo công thức bp2 (117, ×1).</t>
        </r>
      </text>
    </comment>
    <comment ref="J2999" authorId="0">
      <text>
        <r>
          <t>Giá +1: ảnh danh sách SPL do người dùng cung cấp ngày 28/10/2026. +2…+13 theo công thức bp2 (117, ×1).</t>
        </r>
      </text>
    </comment>
    <comment ref="J3000" authorId="0">
      <text>
        <r>
          <t>Giá +1: ảnh danh sách SPL do người dùng cung cấp ngày 28/10/2026. +2…+13 theo công thức bp2 (117, ×1).</t>
        </r>
      </text>
    </comment>
    <comment ref="J3001" authorId="0">
      <text>
        <r>
          <t>Giá +1: ảnh danh sách SPL do người dùng cung cấp ngày 28/10/2026. +2…+13 theo công thức bp2 (117, ×1).</t>
        </r>
      </text>
    </comment>
    <comment ref="J3002" authorId="0">
      <text>
        <r>
          <t>Giá +1: ảnh danh sách SPL do người dùng cung cấp ngày 28/10/2026. +2…+13 theo công thức bp2 (117, ×1).</t>
        </r>
      </text>
    </comment>
    <comment ref="J3003" authorId="0">
      <text>
        <r>
          <t>Giá +1: ảnh danh sách SPL do người dùng cung cấp ngày 28/10/2026. +2…+13 theo công thức bp2 (117, ×1).</t>
        </r>
      </text>
    </comment>
    <comment ref="J3004" authorId="0">
      <text>
        <r>
          <t>Giá +1: ảnh danh sách SPL do người dùng cung cấp ngày 28/10/2026. +2…+13 theo công thức bp2 (117, ×1).</t>
        </r>
      </text>
    </comment>
    <comment ref="J3005" authorId="0">
      <text>
        <r>
          <t>Giá +1: ảnh danh sách SPL do người dùng cung cấp ngày 28/10/2026. +2…+13 theo công thức bp2 (117, ×1).</t>
        </r>
      </text>
    </comment>
    <comment ref="J3006" authorId="0">
      <text>
        <r>
          <t>Giá +1: ảnh danh sách SPL do người dùng cung cấp ngày 28/10/2026. +2…+13 theo công thức bp2 (117, ×1).</t>
        </r>
      </text>
    </comment>
    <comment ref="J3007" authorId="0">
      <text>
        <r>
          <t>Giá +1: ảnh danh sách SPL do người dùng cung cấp ngày 28/10/2026. +2…+13 theo công thức bp2 (117, ×1).</t>
        </r>
      </text>
    </comment>
    <comment ref="J3008" authorId="0">
      <text>
        <r>
          <t>Giá +1: ảnh danh sách SPL do người dùng cung cấp ngày 28/10/2026. +2…+13 theo công thức bp2 (117, ×1).</t>
        </r>
      </text>
    </comment>
    <comment ref="J3009" authorId="0">
      <text>
        <r>
          <t>Giá +1: ảnh danh sách SPL do người dùng cung cấp ngày 28/10/2026. +2…+13 theo công thức bp2 (117, ×1).</t>
        </r>
      </text>
    </comment>
    <comment ref="J3010" authorId="0">
      <text>
        <r>
          <t>Giá +1: ảnh danh sách SPL do người dùng cung cấp ngày 28/10/2026. +2…+13 theo công thức bp2 (117, ×1).</t>
        </r>
      </text>
    </comment>
    <comment ref="J3011" authorId="0">
      <text>
        <r>
          <t>Giá +1: ảnh danh sách SPL do người dùng cung cấp ngày 28/10/2026. +2…+13 theo công thức bp2 (117, ×1).</t>
        </r>
      </text>
    </comment>
    <comment ref="J3012" authorId="0">
      <text>
        <r>
          <t>Giá +1: ảnh danh sách SPL do người dùng cung cấp ngày 28/10/2026. +2…+13 theo công thức bp2 (117, ×1).</t>
        </r>
      </text>
    </comment>
    <comment ref="J3013" authorId="0">
      <text>
        <r>
          <t>Giá +1: ảnh danh sách SPL do người dùng cung cấp ngày 28/10/2026. +2…+13 theo công thức bp2 (117, ×1).</t>
        </r>
      </text>
    </comment>
    <comment ref="J3014" authorId="0">
      <text>
        <r>
          <t>Giá +1: ảnh danh sách SPL do người dùng cung cấp ngày 28/10/2026. +2…+13 theo công thức bp2 (117, ×1).</t>
        </r>
      </text>
    </comment>
    <comment ref="J3015" authorId="0">
      <text>
        <r>
          <t>Giá +1: ảnh danh sách SPL do người dùng cung cấp ngày 28/10/2026. +2…+13 theo công thức bp2 (117, ×1).</t>
        </r>
      </text>
    </comment>
    <comment ref="J3016" authorId="0">
      <text>
        <r>
          <t>Giá +1: ảnh danh sách SPL do người dùng cung cấp ngày 28/10/2026. +2…+13 theo công thức bp2 (117, ×1).</t>
        </r>
      </text>
    </comment>
    <comment ref="J3017" authorId="0">
      <text>
        <r>
          <t>Giá +1: ảnh danh sách SPL do người dùng cung cấp ngày 28/10/2026. +2…+13 theo công thức bp2 (117, ×1).</t>
        </r>
      </text>
    </comment>
    <comment ref="J3018" authorId="0">
      <text>
        <r>
          <t>Giá +1: ảnh danh sách SPL do người dùng cung cấp ngày 28/10/2026. +2…+13 theo công thức bp2 (117, ×1).</t>
        </r>
      </text>
    </comment>
    <comment ref="J3019" authorId="0">
      <text>
        <r>
          <t>Giá +1: ảnh danh sách SPL do người dùng cung cấp ngày 28/10/2026. +2…+13 theo công thức bp2 (117, ×1).</t>
        </r>
      </text>
    </comment>
    <comment ref="J3020" authorId="0">
      <text>
        <r>
          <t>Giá +1: ảnh danh sách SPL do người dùng cung cấp ngày 28/10/2026. +2…+13 theo công thức bp2 (117, ×1).</t>
        </r>
      </text>
    </comment>
    <comment ref="J3021" authorId="0">
      <text>
        <r>
          <t>Giá +1: ảnh danh sách SPL do người dùng cung cấp ngày 28/10/2026. +2…+13 theo công thức bp2 (117, ×1).</t>
        </r>
      </text>
    </comment>
    <comment ref="J3022" authorId="0">
      <text>
        <r>
          <t>Giá +1: ảnh danh sách SPL do người dùng cung cấp ngày 28/10/2026. +2…+13 theo công thức bp2 (117, ×1).</t>
        </r>
      </text>
    </comment>
    <comment ref="J3023" authorId="0">
      <text>
        <r>
          <t>Giá +1: ảnh danh sách SPL do người dùng cung cấp ngày 28/10/2026. +2…+13 theo công thức bp2 (117, ×1).</t>
        </r>
      </text>
    </comment>
    <comment ref="J3024" authorId="0">
      <text>
        <r>
          <t>Giá +1: ảnh danh sách SPL do người dùng cung cấp ngày 28/10/2026. +2…+13 theo công thức bp2 (117, ×1).</t>
        </r>
      </text>
    </comment>
    <comment ref="J3025" authorId="0">
      <text>
        <r>
          <t>Giá +1: ảnh danh sách SPL do người dùng cung cấp ngày 28/10/2026. +2…+13 theo công thức bp2 (117, ×1).</t>
        </r>
      </text>
    </comment>
    <comment ref="J3026" authorId="0">
      <text>
        <r>
          <t>Giá +1: ảnh danh sách SPL do người dùng cung cấp ngày 28/10/2026. +2…+13 theo công thức bp2 (117, ×1).</t>
        </r>
      </text>
    </comment>
    <comment ref="J3027" authorId="0">
      <text>
        <r>
          <t>Giá +1: ảnh danh sách SPL do người dùng cung cấp ngày 28/10/2026. +2…+13 theo công thức bp2 (117, ×1).</t>
        </r>
      </text>
    </comment>
    <comment ref="J3028" authorId="0">
      <text>
        <r>
          <t>Giá +1: ảnh danh sách SPL do người dùng cung cấp ngày 28/10/2026. +2…+13 theo công thức bp2 (117, ×1).</t>
        </r>
      </text>
    </comment>
    <comment ref="J3029" authorId="0">
      <text>
        <r>
          <t>Giá +1: ảnh danh sách SPL do người dùng cung cấp ngày 28/10/2026. +2…+13 theo công thức bp2 (117, ×1).</t>
        </r>
      </text>
    </comment>
    <comment ref="J3030" authorId="0">
      <text>
        <r>
          <t>Giá +1: ảnh danh sách SPL do người dùng cung cấp ngày 28/10/2026. +2…+13 theo công thức bp2 (117, ×1).</t>
        </r>
      </text>
    </comment>
    <comment ref="J3031" authorId="0">
      <text>
        <r>
          <t>Giá +1: ảnh danh sách SPL do người dùng cung cấp ngày 28/10/2026. +2…+13 theo công thức bp2 (117, ×1).</t>
        </r>
      </text>
    </comment>
    <comment ref="J3032" authorId="0">
      <text>
        <r>
          <t>Giá +1: ảnh danh sách SPL do người dùng cung cấp ngày 28/10/2026. +2…+13 theo công thức bp2 (117, ×1).</t>
        </r>
      </text>
    </comment>
    <comment ref="J3033" authorId="0">
      <text>
        <r>
          <t>Giá +1: ảnh danh sách SPL do người dùng cung cấp ngày 28/10/2026. +2…+13 theo công thức bp2 (117, ×1).</t>
        </r>
      </text>
    </comment>
    <comment ref="J3034" authorId="0">
      <text>
        <r>
          <t>Giá +1: ảnh danh sách SPL do người dùng cung cấp ngày 28/10/2026. +2…+13 theo công thức bp2 (117, ×1).</t>
        </r>
      </text>
    </comment>
    <comment ref="J3035" authorId="0">
      <text>
        <r>
          <t>Giá +1: ảnh danh sách SPL do người dùng cung cấp ngày 28/10/2026. +2…+13 theo công thức bp2 (117, ×1).</t>
        </r>
      </text>
    </comment>
    <comment ref="J3036" authorId="0">
      <text>
        <r>
          <t>Giá +1: ảnh danh sách SPL do người dùng cung cấp ngày 28/10/2026. +2…+13 theo công thức bp2 (117, ×1).</t>
        </r>
      </text>
    </comment>
    <comment ref="J3037" authorId="0">
      <text>
        <r>
          <t>Giá +1: ảnh danh sách SPL do người dùng cung cấp ngày 28/10/2026. +2…+13 theo công thức bp2 (117, ×1).</t>
        </r>
      </text>
    </comment>
    <comment ref="J3038" authorId="0">
      <text>
        <r>
          <t>Giá +1: ảnh danh sách SPL do người dùng cung cấp ngày 28/10/2026. +2…+13 theo công thức bp2 (117, ×1).</t>
        </r>
      </text>
    </comment>
    <comment ref="J3039" authorId="0">
      <text>
        <r>
          <t>Giá +1: ảnh danh sách SPL do người dùng cung cấp ngày 28/10/2026. +2…+13 theo công thức bp2 (117, ×1).</t>
        </r>
      </text>
    </comment>
    <comment ref="J3040" authorId="0">
      <text>
        <r>
          <t>Giá +1: ảnh danh sách SPL do người dùng cung cấp ngày 28/10/2026. +2…+13 theo công thức bp2 (117, ×1).</t>
        </r>
      </text>
    </comment>
    <comment ref="J3041" authorId="0">
      <text>
        <r>
          <t>Giá +1: ảnh danh sách SPL do người dùng cung cấp ngày 28/10/2026. +2…+13 theo công thức bp2 (117, ×1).</t>
        </r>
      </text>
    </comment>
    <comment ref="J3042" authorId="0">
      <text>
        <r>
          <t>Giá +1: ảnh danh sách SPL do người dùng cung cấp ngày 28/10/2026. +2…+13 theo công thức bp2 (117, ×1).</t>
        </r>
      </text>
    </comment>
    <comment ref="J3043" authorId="0">
      <text>
        <r>
          <t>Giá +1: ảnh danh sách SPL do người dùng cung cấp ngày 28/10/2026. +2…+13 theo công thức bp2 (117, ×1).</t>
        </r>
      </text>
    </comment>
    <comment ref="J3044" authorId="0">
      <text>
        <r>
          <t>Giá +1: ảnh danh sách SPL do người dùng cung cấp ngày 28/10/2026. +2…+13 theo công thức bp2 (117, ×1).</t>
        </r>
      </text>
    </comment>
    <comment ref="J3045" authorId="0">
      <text>
        <r>
          <t>Giá +1: ảnh danh sách SPL do người dùng cung cấp ngày 28/10/2026. +2…+13 theo công thức bp2 (117, ×1).</t>
        </r>
      </text>
    </comment>
    <comment ref="J3046" authorId="0">
      <text>
        <r>
          <t>Giá +1: ảnh danh sách SPL do người dùng cung cấp ngày 28/10/2026. +2…+13 theo công thức bp2 (117, ×1).</t>
        </r>
      </text>
    </comment>
    <comment ref="J3047" authorId="0">
      <text>
        <r>
          <t>Giá +1: ảnh danh sách SPL do người dùng cung cấp ngày 28/10/2026. +2…+13 theo công thức bp2 (117, ×1).</t>
        </r>
      </text>
    </comment>
    <comment ref="J3048" authorId="0">
      <text>
        <r>
          <t>Giá +1: ảnh danh sách SPL do người dùng cung cấp ngày 28/10/2026. +2…+13 theo công thức bp2 (117, ×1).</t>
        </r>
      </text>
    </comment>
    <comment ref="J3049" authorId="0">
      <text>
        <r>
          <t>Giá +1: ảnh danh sách SPL do người dùng cung cấp ngày 28/10/2026. +2…+13 theo công thức bp2 (117, ×1).</t>
        </r>
      </text>
    </comment>
    <comment ref="J3050" authorId="0">
      <text>
        <r>
          <t>Giá +1: ảnh danh sách SPL do người dùng cung cấp ngày 28/10/2026. +2…+13 theo công thức bp2 (117, ×1).</t>
        </r>
      </text>
    </comment>
    <comment ref="J3051" authorId="0">
      <text>
        <r>
          <t>Giá +1: ảnh danh sách SPL do người dùng cung cấp ngày 28/10/2026. +2…+13 theo công thức bp2 (117, ×1).</t>
        </r>
      </text>
    </comment>
    <comment ref="J3052" authorId="0">
      <text>
        <r>
          <t>Giá +1: ảnh danh sách SPL do người dùng cung cấp ngày 28/10/2026. +2…+13 theo công thức bp2 (117, ×1).</t>
        </r>
      </text>
    </comment>
    <comment ref="J3053" authorId="0">
      <text>
        <r>
          <t>Giá +1: ảnh danh sách SPL do người dùng cung cấp ngày 28/10/2026. +2…+13 theo công thức bp2 (117, ×1).</t>
        </r>
      </text>
    </comment>
    <comment ref="J3054" authorId="0">
      <text>
        <r>
          <t>Giá +1: ảnh danh sách SPL do người dùng cung cấp ngày 28/10/2026. +2…+13 theo công thức bp2 (117, ×1).</t>
        </r>
      </text>
    </comment>
    <comment ref="J3055" authorId="0">
      <text>
        <r>
          <t>Giá +1: ảnh danh sách SPL do người dùng cung cấp ngày 28/10/2026. +2…+13 theo công thức bp2 (117, ×1).</t>
        </r>
      </text>
    </comment>
    <comment ref="J3056" authorId="0">
      <text>
        <r>
          <t>Giá +1: ảnh danh sách SPL do người dùng cung cấp ngày 28/10/2026. +2…+13 theo công thức bp2 (117, ×1).</t>
        </r>
      </text>
    </comment>
    <comment ref="J3057" authorId="0">
      <text>
        <r>
          <t>Giá +1: ảnh danh sách SPL do người dùng cung cấp ngày 28/10/2026. +2…+13 theo công thức bp2 (117, ×1).</t>
        </r>
      </text>
    </comment>
    <comment ref="J3058" authorId="0">
      <text>
        <r>
          <t>Giá +1: ảnh danh sách LN do người dùng cung cấp ngày 28/10/2026. +2…+13 theo công thức bp2 (117, ×1).</t>
        </r>
      </text>
    </comment>
    <comment ref="J3059" authorId="0">
      <text>
        <r>
          <t>Giá +1: ảnh danh sách LN do người dùng cung cấp ngày 28/10/2026. +2…+13 theo công thức bp2 (117, ×1).</t>
        </r>
      </text>
    </comment>
    <comment ref="J3060" authorId="0">
      <text>
        <r>
          <t>Giá +1: ảnh danh sách LN do người dùng cung cấp ngày 28/10/2026. +2…+13 theo công thức bp2 (117, ×1).</t>
        </r>
      </text>
    </comment>
    <comment ref="J3061" authorId="0">
      <text>
        <r>
          <t>Giá +1: ảnh danh sách LN do người dùng cung cấp ngày 28/10/2026. +2…+13 theo công thức bp2 (117, ×1).</t>
        </r>
      </text>
    </comment>
    <comment ref="J3062" authorId="0">
      <text>
        <r>
          <t>Giá +1: ảnh danh sách LN do người dùng cung cấp ngày 28/10/2026. +2…+13 theo công thức bp2 (117, ×1).</t>
        </r>
      </text>
    </comment>
    <comment ref="J3063" authorId="0">
      <text>
        <r>
          <t>Giá +1: ảnh danh sách LN do người dùng cung cấp ngày 28/10/2026. +2…+13 theo công thức bp2 (117, ×1).</t>
        </r>
      </text>
    </comment>
    <comment ref="J3064" authorId="0">
      <text>
        <r>
          <t>Giá +1: ảnh danh sách LN do người dùng cung cấp ngày 28/10/2026. +2…+13 theo công thức bp2 (117, ×1).</t>
        </r>
      </text>
    </comment>
    <comment ref="J3065" authorId="0">
      <text>
        <r>
          <t>Giá +1: ảnh danh sách LN do người dùng cung cấp ngày 28/10/2026. +2…+13 theo công thức bp2 (117, ×1).</t>
        </r>
      </text>
    </comment>
    <comment ref="J3066" authorId="0">
      <text>
        <r>
          <t>Giá +1: ảnh danh sách LN do người dùng cung cấp ngày 28/10/2026. +2…+13 theo công thức bp2 (117, ×1).</t>
        </r>
      </text>
    </comment>
    <comment ref="J3067" authorId="0">
      <text>
        <r>
          <t>Giá +1: ảnh danh sách LN do người dùng cung cấp ngày 28/10/2026. +2…+13 theo công thức bp2 (117, ×1).</t>
        </r>
      </text>
    </comment>
    <comment ref="J3068" authorId="0">
      <text>
        <r>
          <t>Giá +1: ảnh danh sách LN do người dùng cung cấp ngày 28/10/2026. +2…+13 theo công thức bp2 (117, ×1).</t>
        </r>
      </text>
    </comment>
    <comment ref="J3069" authorId="0">
      <text>
        <r>
          <t>Giá +1: ảnh danh sách LN do người dùng cung cấp ngày 28/10/2026. +2…+13 theo công thức bp2 (117, ×1).</t>
        </r>
      </text>
    </comment>
    <comment ref="J3070" authorId="0">
      <text>
        <r>
          <t>Giá +1: ảnh danh sách LN do người dùng cung cấp ngày 28/10/2026. +2…+13 theo công thức bp2 (117, ×1).</t>
        </r>
      </text>
    </comment>
    <comment ref="J3071" authorId="0">
      <text>
        <r>
          <t>Giá +1: ảnh danh sách LN do người dùng cung cấp ngày 28/10/2026. +2…+13 theo công thức bp2 (117, ×1).</t>
        </r>
      </text>
    </comment>
    <comment ref="J3072" authorId="0">
      <text>
        <r>
          <t>Giá +1: ảnh danh sách LN do người dùng cung cấp ngày 28/10/2026. +2…+13 theo công thức bp2 (117, ×1).</t>
        </r>
      </text>
    </comment>
    <comment ref="J3073" authorId="0">
      <text>
        <r>
          <t>Giá +1: ảnh danh sách LN do người dùng cung cấp ngày 28/10/2026. +2…+13 theo công thức bp2 (117, ×1).</t>
        </r>
      </text>
    </comment>
    <comment ref="J3074" authorId="0">
      <text>
        <r>
          <t>Giá +1: ảnh danh sách LN do người dùng cung cấp ngày 28/10/2026. +2…+13 theo công thức bp2 (117, ×1).</t>
        </r>
      </text>
    </comment>
    <comment ref="J3075" authorId="0">
      <text>
        <r>
          <t>Giá +1: ảnh danh sách LN do người dùng cung cấp ngày 28/10/2026. +2…+13 theo công thức bp2 (117, ×1).</t>
        </r>
      </text>
    </comment>
    <comment ref="J3076" authorId="0">
      <text>
        <r>
          <t>Giá +1: ảnh danh sách LN do người dùng cung cấp ngày 28/10/2026. +2…+13 theo công thức bp2 (117, ×1).</t>
        </r>
      </text>
    </comment>
    <comment ref="J3077" authorId="0">
      <text>
        <r>
          <t>Giá +1: ảnh danh sách LN do người dùng cung cấp ngày 28/10/2026. +2…+13 theo công thức bp2 (117, ×1).</t>
        </r>
      </text>
    </comment>
    <comment ref="J3078" authorId="0">
      <text>
        <r>
          <t>Giá +1: ảnh danh sách LN do người dùng cung cấp ngày 28/10/2026. +2…+13 theo công thức bp2 (117, ×1).</t>
        </r>
      </text>
    </comment>
    <comment ref="J3079" authorId="0">
      <text>
        <r>
          <t>Giá +1: ảnh danh sách LN do người dùng cung cấp ngày 28/10/2026. +2…+13 theo công thức bp2 (117, ×1).</t>
        </r>
      </text>
    </comment>
    <comment ref="J3080" authorId="0">
      <text>
        <r>
          <t>Giá +1: ảnh danh sách LN do người dùng cung cấp ngày 28/10/2026. +2…+13 theo công thức bp2 (117, ×1).</t>
        </r>
      </text>
    </comment>
    <comment ref="J3081" authorId="0">
      <text>
        <r>
          <t>Giá +1: ảnh danh sách LN do người dùng cung cấp ngày 28/10/2026. +2…+13 theo công thức bp2 (117, ×1).</t>
        </r>
      </text>
    </comment>
    <comment ref="J3082" authorId="0">
      <text>
        <r>
          <t>Giá +1: ảnh danh sách LN do người dùng cung cấp ngày 28/10/2026. +2…+13 theo công thức bp2 (117, ×1).</t>
        </r>
      </text>
    </comment>
    <comment ref="J3083" authorId="0">
      <text>
        <r>
          <t>Giá +1: ảnh danh sách LN do người dùng cung cấp ngày 28/10/2026. +2…+13 theo công thức bp2 (117, ×1).</t>
        </r>
      </text>
    </comment>
    <comment ref="J3084" authorId="0">
      <text>
        <r>
          <t>Giá +1: ảnh danh sách LN do người dùng cung cấp ngày 28/10/2026. +2…+13 theo công thức bp2 (117, ×1).</t>
        </r>
      </text>
    </comment>
    <comment ref="J3085" authorId="0">
      <text>
        <r>
          <t>Giá +1: ảnh danh sách LN do người dùng cung cấp ngày 28/10/2026. +2…+13 theo công thức bp2 (117, ×1).</t>
        </r>
      </text>
    </comment>
    <comment ref="J3086" authorId="0">
      <text>
        <r>
          <t>Giá +1: ảnh danh sách LN do người dùng cung cấp ngày 28/10/2026. +2…+13 theo công thức bp2 (117, ×1).</t>
        </r>
      </text>
    </comment>
    <comment ref="J3087" authorId="0">
      <text>
        <r>
          <t>Giá +1: ảnh danh sách LN do người dùng cung cấp ngày 28/10/2026. +2…+13 theo công thức bp2 (117, ×1).</t>
        </r>
      </text>
    </comment>
    <comment ref="J3088" authorId="0">
      <text>
        <r>
          <t>Giá +1: ảnh danh sách LN do người dùng cung cấp ngày 28/10/2026. +2…+13 theo công thức bp2 (117, ×1).</t>
        </r>
      </text>
    </comment>
    <comment ref="J3089" authorId="0">
      <text>
        <r>
          <t>Giá +1: ảnh danh sách LN do người dùng cung cấp ngày 28/10/2026. +2…+13 theo công thức bp2 (117, ×1).</t>
        </r>
      </text>
    </comment>
    <comment ref="J3090" authorId="0">
      <text>
        <r>
          <t>Giá +1: ảnh danh sách LN do người dùng cung cấp ngày 28/10/2026. +2…+13 theo công thức bp2 (117, ×1).</t>
        </r>
      </text>
    </comment>
    <comment ref="J3091" authorId="0">
      <text>
        <r>
          <t>Giá +1: ảnh danh sách LN do người dùng cung cấp ngày 28/10/2026. +2…+13 theo công thức bp2 (117, ×1).</t>
        </r>
      </text>
    </comment>
    <comment ref="J3092" authorId="0">
      <text>
        <r>
          <t>Giá +1: ảnh danh sách LN do người dùng cung cấp ngày 28/10/2026. +2…+13 theo công thức bp2 (117, ×1).</t>
        </r>
      </text>
    </comment>
    <comment ref="J3093" authorId="0">
      <text>
        <r>
          <t>Giá +1: ảnh danh sách LN do người dùng cung cấp ngày 28/10/2026. +2…+13 theo công thức bp2 (117, ×1).</t>
        </r>
      </text>
    </comment>
    <comment ref="J3094" authorId="0">
      <text>
        <r>
          <t>Giá +1: ảnh danh sách LN do người dùng cung cấp ngày 28/10/2026. +2…+13 theo công thức bp2 (117, ×1).</t>
        </r>
      </text>
    </comment>
    <comment ref="J3095" authorId="0">
      <text>
        <r>
          <t>Giá +1: ảnh danh sách LN do người dùng cung cấp ngày 28/10/2026. +2…+13 theo công thức bp2 (117, ×1).</t>
        </r>
      </text>
    </comment>
    <comment ref="J3096" authorId="0">
      <text>
        <r>
          <t>Giá +1: ảnh danh sách LN do người dùng cung cấp ngày 28/10/2026. +2…+13 theo công thức bp2 (117, ×1).</t>
        </r>
      </text>
    </comment>
    <comment ref="J3097" authorId="0">
      <text>
        <r>
          <t>Giá +1: ảnh danh sách LN do người dùng cung cấp ngày 28/10/2026. +2…+13 theo công thức bp2 (117, ×1).</t>
        </r>
      </text>
    </comment>
    <comment ref="J3098" authorId="0">
      <text>
        <r>
          <t>Giá +1: ảnh danh sách LN do người dùng cung cấp ngày 28/10/2026. +2…+13 theo công thức bp2 (117, ×1).</t>
        </r>
      </text>
    </comment>
    <comment ref="J3099" authorId="0">
      <text>
        <r>
          <t>Giá +1: ảnh danh sách LN do người dùng cung cấp ngày 28/10/2026. +2…+13 theo công thức bp2 (117, ×1).</t>
        </r>
      </text>
    </comment>
    <comment ref="J3100" authorId="0">
      <text>
        <r>
          <t>Giá +1: ảnh danh sách LN do người dùng cung cấp ngày 28/10/2026. +2…+13 theo công thức bp2 (117, ×1).</t>
        </r>
      </text>
    </comment>
    <comment ref="J3101" authorId="0">
      <text>
        <r>
          <t>Giá +1: ảnh danh sách LN do người dùng cung cấp ngày 28/10/2026. +2…+13 theo công thức bp2 (117, ×1).</t>
        </r>
      </text>
    </comment>
    <comment ref="J3102" authorId="0">
      <text>
        <r>
          <t>Giá +1: ảnh danh sách LN do người dùng cung cấp ngày 28/10/2026. +2…+13 theo công thức bp2 (117, ×1).</t>
        </r>
      </text>
    </comment>
    <comment ref="J3103" authorId="0">
      <text>
        <r>
          <t>Giá +1: ảnh danh sách LN do người dùng cung cấp ngày 28/10/2026. +2…+13 theo công thức bp2 (117, ×1).</t>
        </r>
      </text>
    </comment>
    <comment ref="J3104" authorId="0">
      <text>
        <r>
          <t>Giá +1: ảnh danh sách LN do người dùng cung cấp ngày 28/10/2026. +2…+13 theo công thức bp2 (117, ×1).</t>
        </r>
      </text>
    </comment>
    <comment ref="J3105" authorId="0">
      <text>
        <r>
          <t>Giá +1: ảnh danh sách LN do người dùng cung cấp ngày 28/10/2026. +2…+13 theo công thức bp2 (117, ×1).</t>
        </r>
      </text>
    </comment>
    <comment ref="J3106" authorId="0">
      <text>
        <r>
          <t>Giá +1: ảnh danh sách LN do người dùng cung cấp ngày 28/10/2026. +2…+13 theo công thức bp2 (117, ×1).</t>
        </r>
      </text>
    </comment>
    <comment ref="J3107" authorId="0">
      <text>
        <r>
          <t>Giá +1: ảnh danh sách LN do người dùng cung cấp ngày 28/10/2026. +2…+13 theo công thức bp2 (117, ×1).</t>
        </r>
      </text>
    </comment>
    <comment ref="J3108" authorId="0">
      <text>
        <r>
          <t>Giá +1: ảnh danh sách LN do người dùng cung cấp ngày 28/10/2026. +2…+13 theo công thức bp2 (117, ×1).</t>
        </r>
      </text>
    </comment>
    <comment ref="J3109" authorId="0">
      <text>
        <r>
          <t>Giá +1: ảnh danh sách LN do người dùng cung cấp ngày 28/10/2026. +2…+13 theo công thức bp2 (117, ×1).</t>
        </r>
      </text>
    </comment>
    <comment ref="J3110" authorId="0">
      <text>
        <r>
          <t>Giá +1: ảnh danh sách LN do người dùng cung cấp ngày 28/10/2026. +2…+13 theo công thức bp2 (117, ×1).</t>
        </r>
      </text>
    </comment>
    <comment ref="J3111" authorId="0">
      <text>
        <r>
          <t>Giá +1: ảnh danh sách LN do người dùng cung cấp ngày 28/10/2026. +2…+13 theo công thức bp2 (117, ×1).</t>
        </r>
      </text>
    </comment>
    <comment ref="J3112" authorId="0">
      <text>
        <r>
          <t>Giá +1: ảnh danh sách LN do người dùng cung cấp ngày 28/10/2026. +2…+13 theo công thức bp2 (117, ×1).</t>
        </r>
      </text>
    </comment>
    <comment ref="J3113" authorId="0">
      <text>
        <r>
          <t>Giá +1: ảnh danh sách LN do người dùng cung cấp ngày 28/10/2026. +2…+13 theo công thức bp2 (117, ×1).</t>
        </r>
      </text>
    </comment>
    <comment ref="J3114" authorId="0">
      <text>
        <r>
          <t>Giá +1: ảnh danh sách LN do người dùng cung cấp ngày 28/10/2026. +2…+13 theo công thức bp2 (117, ×1).</t>
        </r>
      </text>
    </comment>
    <comment ref="J3115" authorId="0">
      <text>
        <r>
          <t>Giá +1: ảnh danh sách LN do người dùng cung cấp ngày 28/10/2026. +2…+13 theo công thức bp2 (117, ×1).</t>
        </r>
      </text>
    </comment>
    <comment ref="J3116" authorId="0">
      <text>
        <r>
          <t>Giá +1: ảnh danh sách LN do người dùng cung cấp ngày 28/10/2026. +2…+13 theo công thức bp2 (117, ×1).</t>
        </r>
      </text>
    </comment>
    <comment ref="J3117" authorId="0">
      <text>
        <r>
          <t>Giá +1: ảnh danh sách LN do người dùng cung cấp ngày 28/10/2026. +2…+13 theo công thức bp2 (117, ×1).</t>
        </r>
      </text>
    </comment>
    <comment ref="J3118" authorId="0">
      <text>
        <r>
          <t>Giá +1: ảnh danh sách LN do người dùng cung cấp ngày 28/10/2026. +2…+13 theo công thức bp2 (117, ×1).</t>
        </r>
      </text>
    </comment>
    <comment ref="J3119" authorId="0">
      <text>
        <r>
          <t>Giá +1: ảnh danh sách LN do người dùng cung cấp ngày 28/10/2026. +2…+13 theo công thức bp2 (117, ×1).</t>
        </r>
      </text>
    </comment>
    <comment ref="J3120" authorId="0">
      <text>
        <r>
          <t>Giá +1: ảnh danh sách LN do người dùng cung cấp ngày 28/10/2026. +2…+13 theo công thức bp2 (117, ×1).</t>
        </r>
      </text>
    </comment>
    <comment ref="J3121" authorId="0">
      <text>
        <r>
          <t>Giá +1: ảnh danh sách LN do người dùng cung cấp ngày 28/10/2026. +2…+13 theo công thức bp2 (117, ×1).</t>
        </r>
      </text>
    </comment>
    <comment ref="J3122" authorId="0">
      <text>
        <r>
          <t>Giá +1: ảnh danh sách LN do người dùng cung cấp ngày 28/10/2026. +2…+13 theo công thức bp2 (117, ×1).</t>
        </r>
      </text>
    </comment>
    <comment ref="J3123" authorId="0">
      <text>
        <r>
          <t>Giá +1: ảnh danh sách LN do người dùng cung cấp ngày 28/10/2026. +2…+13 theo công thức bp2 (117, ×1).</t>
        </r>
      </text>
    </comment>
    <comment ref="J3124" authorId="0">
      <text>
        <r>
          <t>Giá +1: ảnh danh sách LN do người dùng cung cấp ngày 28/10/2026. +2…+13 theo công thức bp2 (117, ×1).</t>
        </r>
      </text>
    </comment>
    <comment ref="J3125" authorId="0">
      <text>
        <r>
          <t>Giá +1: ảnh danh sách LN do người dùng cung cấp ngày 28/10/2026. +2…+13 theo công thức bp2 (117, ×1).</t>
        </r>
      </text>
    </comment>
    <comment ref="J3126" authorId="0">
      <text>
        <r>
          <t>Giá +1: ảnh danh sách LN do người dùng cung cấp ngày 28/10/2026. +2…+13 theo công thức bp2 (117, ×1).</t>
        </r>
      </text>
    </comment>
    <comment ref="J3127" authorId="0">
      <text>
        <r>
          <t>Giá +1: ảnh danh sách LN do người dùng cung cấp ngày 28/10/2026. +2…+13 theo công thức bp2 (117, ×1).</t>
        </r>
      </text>
    </comment>
    <comment ref="J3128" authorId="0">
      <text>
        <r>
          <t>Giá +1: ảnh danh sách LN do người dùng cung cấp ngày 28/10/2026. +2…+13 theo công thức bp2 (117, ×1).</t>
        </r>
      </text>
    </comment>
    <comment ref="J3129" authorId="0">
      <text>
        <r>
          <t>Giá +1: ảnh danh sách LN do người dùng cung cấp ngày 28/10/2026. +2…+13 theo công thức bp2 (117, ×1).</t>
        </r>
      </text>
    </comment>
    <comment ref="J3130" authorId="0">
      <text>
        <r>
          <t>Giá +1: ảnh danh sách LN do người dùng cung cấp ngày 28/10/2026. +2…+13 theo công thức bp2 (117, ×1).</t>
        </r>
      </text>
    </comment>
    <comment ref="J3131" authorId="0">
      <text>
        <r>
          <t>Giá +1: ảnh danh sách LN do người dùng cung cấp ngày 28/10/2026. +2…+13 theo công thức bp2 (117, ×1).</t>
        </r>
      </text>
    </comment>
    <comment ref="J3132" authorId="0">
      <text>
        <r>
          <t>Giá +1: ảnh danh sách LN do người dùng cung cấp ngày 28/10/2026. +2…+13 theo công thức bp2 (117, ×1).</t>
        </r>
      </text>
    </comment>
    <comment ref="J3133" authorId="0">
      <text>
        <r>
          <t>Giá +1: ảnh danh sách LN do người dùng cung cấp ngày 28/10/2026. +2…+13 theo công thức bp2 (117, ×1).</t>
        </r>
      </text>
    </comment>
    <comment ref="J3134" authorId="0">
      <text>
        <r>
          <t>Giá +1: ảnh danh sách LN do người dùng cung cấp ngày 28/10/2026. +2…+13 theo công thức bp2 (117, ×1).</t>
        </r>
      </text>
    </comment>
    <comment ref="J3135" authorId="0">
      <text>
        <r>
          <t>Giá +1: ảnh danh sách LN do người dùng cung cấp ngày 28/10/2026. +2…+13 theo công thức bp2 (117, ×1).</t>
        </r>
      </text>
    </comment>
    <comment ref="J3136" authorId="0">
      <text>
        <r>
          <t>Giá +1: ảnh danh sách LN do người dùng cung cấp ngày 28/10/2026. +2…+13 theo công thức bp2 (117, ×1).</t>
        </r>
      </text>
    </comment>
    <comment ref="J3137" authorId="0">
      <text>
        <r>
          <t>Giá +1: ảnh danh sách LN do người dùng cung cấp ngày 28/10/2026. +2…+13 theo công thức bp2 (117, ×1).</t>
        </r>
      </text>
    </comment>
    <comment ref="J3138" authorId="0">
      <text>
        <r>
          <t>Giá +1: ảnh danh sách LN do người dùng cung cấp ngày 28/10/2026. +2…+13 theo công thức bp2 (117, ×1).</t>
        </r>
      </text>
    </comment>
    <comment ref="J3139" authorId="0">
      <text>
        <r>
          <t>Giá +1: ảnh danh sách LN do người dùng cung cấp ngày 28/10/2026. +2…+13 theo công thức bp2 (117, ×1).</t>
        </r>
      </text>
    </comment>
    <comment ref="J3140" authorId="0">
      <text>
        <r>
          <t>Giá +1: ảnh danh sách LN do người dùng cung cấp ngày 28/10/2026. +2…+13 theo công thức bp2 (117, ×1).</t>
        </r>
      </text>
    </comment>
    <comment ref="J3141" authorId="0">
      <text>
        <r>
          <t>Giá +1: ảnh danh sách LN do người dùng cung cấp ngày 28/10/2026. +2…+13 theo công thức bp2 (117, ×1).</t>
        </r>
      </text>
    </comment>
    <comment ref="J3142" authorId="0">
      <text>
        <r>
          <t>Giá +1: ảnh danh sách LN do người dùng cung cấp ngày 28/10/2026. +2…+13 theo công thức bp2 (117, ×1).</t>
        </r>
      </text>
    </comment>
    <comment ref="J3143" authorId="0">
      <text>
        <r>
          <t>Giá +1: ảnh danh sách LN do người dùng cung cấp ngày 28/10/2026. +2…+13 theo công thức bp2 (117, ×1).</t>
        </r>
      </text>
    </comment>
    <comment ref="J3144" authorId="0">
      <text>
        <r>
          <t>Giá +1: ảnh danh sách LN do người dùng cung cấp ngày 28/10/2026. +2…+13 theo công thức bp2 (117, ×1).</t>
        </r>
      </text>
    </comment>
    <comment ref="J3145" authorId="0">
      <text>
        <r>
          <t>Giá +1: ảnh danh sách LN do người dùng cung cấp ngày 28/10/2026. +2…+13 theo công thức bp2 (117, ×1).</t>
        </r>
      </text>
    </comment>
    <comment ref="J3146" authorId="0">
      <text>
        <r>
          <t>Giá +1: ảnh danh sách LN do người dùng cung cấp ngày 28/10/2026. +2…+13 theo công thức bp2 (117, ×1).</t>
        </r>
      </text>
    </comment>
    <comment ref="J3147" authorId="0">
      <text>
        <r>
          <t>Giá +1: ảnh danh sách LN do người dùng cung cấp ngày 28/10/2026. +2…+13 theo công thức bp2 (117, ×1).</t>
        </r>
      </text>
    </comment>
    <comment ref="J3148" authorId="0">
      <text>
        <r>
          <t>Giá +1: ảnh danh sách LN do người dùng cung cấp ngày 28/10/2026. +2…+13 theo công thức bp2 (117, ×1).</t>
        </r>
      </text>
    </comment>
    <comment ref="J3149" authorId="0">
      <text>
        <r>
          <t>Giá +1: ảnh danh sách LN do người dùng cung cấp ngày 28/10/2026. +2…+13 theo công thức bp2 (117, ×1).</t>
        </r>
      </text>
    </comment>
    <comment ref="J3150" authorId="0">
      <text>
        <r>
          <t>Giá +1: ảnh danh sách LN do người dùng cung cấp ngày 28/10/2026. +2…+13 theo công thức bp2 (117, ×1).</t>
        </r>
      </text>
    </comment>
    <comment ref="J3151" authorId="0">
      <text>
        <r>
          <t>Giá +1: ảnh danh sách LN do người dùng cung cấp ngày 28/10/2026. +2…+13 theo công thức bp2 (117, ×1).</t>
        </r>
      </text>
    </comment>
    <comment ref="J3152" authorId="0">
      <text>
        <r>
          <t>Giá +1: ảnh danh sách LN do người dùng cung cấp ngày 28/10/2026. +2…+13 theo công thức bp2 (117, ×1).</t>
        </r>
      </text>
    </comment>
    <comment ref="J3153" authorId="0">
      <text>
        <r>
          <t>Giá +1: ảnh danh sách FA do người dùng cung cấp ngày 28/10/2026. +2…+13 theo công thức bp2 (117, ×1).</t>
        </r>
      </text>
    </comment>
    <comment ref="J3154" authorId="0">
      <text>
        <r>
          <t>Giá +1: ảnh danh sách FA do người dùng cung cấp ngày 28/10/2026. +2…+13 theo công thức bp2 (117, ×1).</t>
        </r>
      </text>
    </comment>
    <comment ref="J3155" authorId="0">
      <text>
        <r>
          <t>Giá +1: ảnh danh sách FA do người dùng cung cấp ngày 28/10/2026. +2…+13 theo công thức bp2 (117, ×1).</t>
        </r>
      </text>
    </comment>
    <comment ref="J3156" authorId="0">
      <text>
        <r>
          <t>Giá +1: ảnh danh sách FA do người dùng cung cấp ngày 28/10/2026. +2…+13 theo công thức bp2 (117, ×1).</t>
        </r>
      </text>
    </comment>
    <comment ref="J3157" authorId="0">
      <text>
        <r>
          <t>Giá +1: ảnh danh sách FA do người dùng cung cấp ngày 28/10/2026. +2…+13 theo công thức bp2 (117, ×1).</t>
        </r>
      </text>
    </comment>
    <comment ref="J3158" authorId="0">
      <text>
        <r>
          <t>Giá +1: ảnh danh sách FA do người dùng cung cấp ngày 28/10/2026. +2…+13 theo công thức bp2 (117, ×1).</t>
        </r>
      </text>
    </comment>
    <comment ref="J3159" authorId="0">
      <text>
        <r>
          <t>Giá +1: ảnh danh sách FA do người dùng cung cấp ngày 28/10/2026. +2…+13 theo công thức bp2 (117, ×1).</t>
        </r>
      </text>
    </comment>
    <comment ref="J3160" authorId="0">
      <text>
        <r>
          <t>Giá +1: ảnh danh sách FA do người dùng cung cấp ngày 28/10/2026. +2…+13 theo công thức bp2 (117, ×1).</t>
        </r>
      </text>
    </comment>
    <comment ref="J3161" authorId="0">
      <text>
        <r>
          <t>Giá +1: ảnh danh sách FA do người dùng cung cấp ngày 28/10/2026. +2…+13 theo công thức bp2 (117, ×1).</t>
        </r>
      </text>
    </comment>
    <comment ref="J3162" authorId="0">
      <text>
        <r>
          <t>Giá +1: ảnh danh sách FA do người dùng cung cấp ngày 28/10/2026. +2…+13 theo công thức bp2 (117, ×1).</t>
        </r>
      </text>
    </comment>
    <comment ref="J3163" authorId="0">
      <text>
        <r>
          <t>Giá +1: ảnh danh sách FA do người dùng cung cấp ngày 28/10/2026. +2…+13 theo công thức bp2 (117, ×1).</t>
        </r>
      </text>
    </comment>
    <comment ref="J3164" authorId="0">
      <text>
        <r>
          <t>Giá +1: ảnh danh sách FA do người dùng cung cấp ngày 28/10/2026. +2…+13 theo công thức bp2 (117, ×1).</t>
        </r>
      </text>
    </comment>
    <comment ref="J3165" authorId="0">
      <text>
        <r>
          <t>Giá +1: ảnh danh sách FA do người dùng cung cấp ngày 28/10/2026. +2…+13 theo công thức bp2 (117, ×1).</t>
        </r>
      </text>
    </comment>
    <comment ref="J3166" authorId="0">
      <text>
        <r>
          <t>Giá +1: ảnh danh sách FA do người dùng cung cấp ngày 28/10/2026. +2…+13 theo công thức bp2 (117, ×1).</t>
        </r>
      </text>
    </comment>
    <comment ref="J3167" authorId="0">
      <text>
        <r>
          <t>Giá +1: ảnh danh sách FA do người dùng cung cấp ngày 28/10/2026. +2…+13 theo công thức bp2 (117, ×1).</t>
        </r>
      </text>
    </comment>
    <comment ref="J3168" authorId="0">
      <text>
        <r>
          <t>Giá +1: ảnh danh sách FA do người dùng cung cấp ngày 28/10/2026. +2…+13 theo công thức bp2 (117, ×1).</t>
        </r>
      </text>
    </comment>
    <comment ref="J3169" authorId="0">
      <text>
        <r>
          <t>Giá +1: ảnh danh sách FA do người dùng cung cấp ngày 28/10/2026. +2…+13 theo công thức bp2 (117, ×1).</t>
        </r>
      </text>
    </comment>
    <comment ref="J3170" authorId="0">
      <text>
        <r>
          <t>Giá +1: ảnh danh sách FA do người dùng cung cấp ngày 28/10/2026. +2…+13 theo công thức bp2 (117, ×1).</t>
        </r>
      </text>
    </comment>
    <comment ref="J3171" authorId="0">
      <text>
        <r>
          <t>Giá +1: ảnh danh sách FA do người dùng cung cấp ngày 28/10/2026. +2…+13 theo công thức bp2 (117, ×1).</t>
        </r>
      </text>
    </comment>
    <comment ref="J3172" authorId="0">
      <text>
        <r>
          <t>Giá +1: ảnh danh sách FA do người dùng cung cấp ngày 28/10/2026. +2…+13 theo công thức bp2 (117, ×1).</t>
        </r>
      </text>
    </comment>
    <comment ref="J3173" authorId="0">
      <text>
        <r>
          <t>Giá +1: ảnh danh sách FA do người dùng cung cấp ngày 28/10/2026. +2…+13 theo công thức bp2 (117, ×1).</t>
        </r>
      </text>
    </comment>
    <comment ref="J3174" authorId="0">
      <text>
        <r>
          <t>Giá +1: ảnh danh sách FA do người dùng cung cấp ngày 28/10/2026. +2…+13 theo công thức bp2 (117, ×1).</t>
        </r>
      </text>
    </comment>
    <comment ref="J3175" authorId="0">
      <text>
        <r>
          <t>Giá +1: ảnh danh sách FA do người dùng cung cấp ngày 28/10/2026. +2…+13 theo công thức bp2 (117, ×1).</t>
        </r>
      </text>
    </comment>
    <comment ref="J3176" authorId="0">
      <text>
        <r>
          <t>Giá +1: ảnh danh sách FA do người dùng cung cấp ngày 28/10/2026. +2…+13 theo công thức bp2 (117, ×1).</t>
        </r>
      </text>
    </comment>
    <comment ref="J3177" authorId="0">
      <text>
        <r>
          <t>Giá +1: ảnh danh sách FA do người dùng cung cấp ngày 28/10/2026. +2…+13 theo công thức bp2 (117, ×1).</t>
        </r>
      </text>
    </comment>
    <comment ref="J3178" authorId="0">
      <text>
        <r>
          <t>Giá +1: ảnh danh sách FA do người dùng cung cấp ngày 28/10/2026. +2…+13 theo công thức bp2 (117, ×1).</t>
        </r>
      </text>
    </comment>
    <comment ref="J3179" authorId="0">
      <text>
        <r>
          <t>Giá +1: ảnh danh sách FA do người dùng cung cấp ngày 28/10/2026. +2…+13 theo công thức bp2 (117, ×1).</t>
        </r>
      </text>
    </comment>
    <comment ref="J3180" authorId="0">
      <text>
        <r>
          <t>Giá +1: ảnh danh sách FA do người dùng cung cấp ngày 28/10/2026. +2…+13 theo công thức bp2 (117, ×1).</t>
        </r>
      </text>
    </comment>
    <comment ref="J3181" authorId="0">
      <text>
        <r>
          <t>Giá +1: ảnh danh sách FA do người dùng cung cấp ngày 28/10/2026. +2…+13 theo công thức bp2 (117, ×1).</t>
        </r>
      </text>
    </comment>
    <comment ref="J3182" authorId="0">
      <text>
        <r>
          <t>Giá +1: ảnh danh sách FA do người dùng cung cấp ngày 28/10/2026. +2…+13 theo công thức bp2 (117, ×1).</t>
        </r>
      </text>
    </comment>
    <comment ref="J3183" authorId="0">
      <text>
        <r>
          <t>Giá +1: ảnh danh sách FA do người dùng cung cấp ngày 28/10/2026. +2…+13 theo công thức bp2 (117, ×1).</t>
        </r>
      </text>
    </comment>
    <comment ref="J3184" authorId="0">
      <text>
        <r>
          <t>Giá +1: ảnh danh sách FA do người dùng cung cấp ngày 28/10/2026. +2…+13 theo công thức bp2 (117, ×1).</t>
        </r>
      </text>
    </comment>
    <comment ref="J3185" authorId="0">
      <text>
        <r>
          <t>Giá +1: ảnh danh sách FA do người dùng cung cấp ngày 28/10/2026. +2…+13 theo công thức bp2 (117, ×1).</t>
        </r>
      </text>
    </comment>
    <comment ref="J3186" authorId="0">
      <text>
        <r>
          <t>Giá +1: ảnh danh sách FA do người dùng cung cấp ngày 28/10/2026. +2…+13 theo công thức bp2 (117, ×1).</t>
        </r>
      </text>
    </comment>
    <comment ref="J3187" authorId="0">
      <text>
        <r>
          <t>Giá +1: ảnh danh sách FA do người dùng cung cấp ngày 28/10/2026. +2…+13 theo công thức bp2 (117, ×1).</t>
        </r>
      </text>
    </comment>
    <comment ref="J3188" authorId="0">
      <text>
        <r>
          <t>Giá +1: ảnh danh sách FA do người dùng cung cấp ngày 28/10/2026. +2…+13 theo công thức bp2 (117, ×1).</t>
        </r>
      </text>
    </comment>
    <comment ref="J3189" authorId="0">
      <text>
        <r>
          <t>Giá +1: ảnh danh sách FA do người dùng cung cấp ngày 28/10/2026. +2…+13 theo công thức bp2 (117, ×1).</t>
        </r>
      </text>
    </comment>
    <comment ref="J3190" authorId="0">
      <text>
        <r>
          <t>Giá +1: ảnh danh sách FA do người dùng cung cấp ngày 28/10/2026. +2…+13 theo công thức bp2 (117, ×1).</t>
        </r>
      </text>
    </comment>
    <comment ref="J3191" authorId="0">
      <text>
        <r>
          <t>Giá +1: ảnh danh sách FA do người dùng cung cấp ngày 28/10/2026. +2…+13 theo công thức bp2 (117, ×1).</t>
        </r>
      </text>
    </comment>
    <comment ref="J3192" authorId="0">
      <text>
        <r>
          <t>Giá +1: ảnh danh sách FA do người dùng cung cấp ngày 28/10/2026. +2…+13 theo công thức bp2 (117, ×1).</t>
        </r>
      </text>
    </comment>
    <comment ref="J3193" authorId="0">
      <text>
        <r>
          <t>Giá +1: ảnh danh sách FA do người dùng cung cấp ngày 28/10/2026. +2…+13 theo công thức bp2 (117, ×1).</t>
        </r>
      </text>
    </comment>
    <comment ref="J3194" authorId="0">
      <text>
        <r>
          <t>Giá +1: ảnh danh sách FA do người dùng cung cấp ngày 28/10/2026. +2…+13 theo công thức bp2 (117, ×1).</t>
        </r>
      </text>
    </comment>
    <comment ref="J3195" authorId="0">
      <text>
        <r>
          <t>Giá +1: ảnh danh sách FA do người dùng cung cấp ngày 28/10/2026. +2…+13 theo công thức bp2 (117, ×1).</t>
        </r>
      </text>
    </comment>
    <comment ref="J3196" authorId="0">
      <text>
        <r>
          <t>Giá +1: ảnh danh sách FA do người dùng cung cấp ngày 28/10/2026. +2…+13 theo công thức bp2 (117, ×1).</t>
        </r>
      </text>
    </comment>
    <comment ref="J3197" authorId="0">
      <text>
        <r>
          <t>Giá +1: ảnh danh sách FA do người dùng cung cấp ngày 28/10/2026. +2…+13 theo công thức bp2 (117, ×1).</t>
        </r>
      </text>
    </comment>
    <comment ref="J3198" authorId="0">
      <text>
        <r>
          <t>Giá +1: ảnh danh sách FA do người dùng cung cấp ngày 28/10/2026. +2…+13 theo công thức bp2 (117, ×1).</t>
        </r>
      </text>
    </comment>
    <comment ref="J3199" authorId="0">
      <text>
        <r>
          <t>Giá +1: ảnh danh sách FA do người dùng cung cấp ngày 28/10/2026. +2…+13 theo công thức bp2 (117, ×1).</t>
        </r>
      </text>
    </comment>
    <comment ref="J3200" authorId="0">
      <text>
        <r>
          <t>Giá +1: ảnh danh sách FA do người dùng cung cấp ngày 28/10/2026. +2…+13 theo công thức bp2 (117, ×1).</t>
        </r>
      </text>
    </comment>
    <comment ref="J3201" authorId="0">
      <text>
        <r>
          <t>Giá +1: ảnh danh sách FA do người dùng cung cấp ngày 28/10/2026. +2…+13 theo công thức bp2 (117, ×1).</t>
        </r>
      </text>
    </comment>
    <comment ref="J3202" authorId="0">
      <text>
        <r>
          <t>Giá +1: ảnh danh sách FA do người dùng cung cấp ngày 28/10/2026. +2…+13 theo công thức bp2 (117, ×1).</t>
        </r>
      </text>
    </comment>
    <comment ref="J3203" authorId="0">
      <text>
        <r>
          <t>Giá +1: ảnh danh sách FA do người dùng cung cấp ngày 28/10/2026. +2…+13 theo công thức bp2 (117, ×1).</t>
        </r>
      </text>
    </comment>
    <comment ref="J3204" authorId="0">
      <text>
        <r>
          <t>Giá +1: ảnh danh sách FA do người dùng cung cấp ngày 28/10/2026. +2…+13 theo công thức bp2 (117, ×1).</t>
        </r>
      </text>
    </comment>
    <comment ref="J3205" authorId="0">
      <text>
        <r>
          <t>Giá +1: ảnh danh sách FA do người dùng cung cấp ngày 28/10/2026. +2…+13 theo công thức bp2 (117, ×1).</t>
        </r>
      </text>
    </comment>
    <comment ref="J3206" authorId="0">
      <text>
        <r>
          <t>Giá +1: ảnh danh sách FA do người dùng cung cấp ngày 28/10/2026. +2…+13 theo công thức bp2 (117, ×1).</t>
        </r>
      </text>
    </comment>
    <comment ref="J3207" authorId="0">
      <text>
        <r>
          <t>Giá +1: ảnh danh sách FA do người dùng cung cấp ngày 28/10/2026. +2…+13 theo công thức bp2 (117, ×1).</t>
        </r>
      </text>
    </comment>
    <comment ref="J3208" authorId="0">
      <text>
        <r>
          <t>Giá +1: ảnh danh sách FA do người dùng cung cấp ngày 28/10/2026. +2…+13 theo công thức bp2 (117, ×1).</t>
        </r>
      </text>
    </comment>
    <comment ref="J3209" authorId="0">
      <text>
        <r>
          <t>Giá +1: ảnh danh sách FA do người dùng cung cấp ngày 28/10/2026. +2…+13 theo công thức bp2 (117, ×1).</t>
        </r>
      </text>
    </comment>
    <comment ref="J3210" authorId="0">
      <text>
        <r>
          <t>Giá +1: ảnh danh sách FA do người dùng cung cấp ngày 28/10/2026. +2…+13 theo công thức bp2 (117, ×1).</t>
        </r>
      </text>
    </comment>
    <comment ref="J3211" authorId="0">
      <text>
        <r>
          <t>Giá +1: ảnh danh sách FA do người dùng cung cấp ngày 28/10/2026. +2…+13 theo công thức bp2 (117, ×1).</t>
        </r>
      </text>
    </comment>
    <comment ref="J3212" authorId="0">
      <text>
        <r>
          <t>Giá +1: ảnh danh sách FA do người dùng cung cấp ngày 28/10/2026. +2…+13 theo công thức bp2 (117, ×1).</t>
        </r>
      </text>
    </comment>
    <comment ref="J3213" authorId="0">
      <text>
        <r>
          <t>Giá +1: ảnh danh sách FA do người dùng cung cấp ngày 28/10/2026. +2…+13 theo công thức bp2 (117, ×1).</t>
        </r>
      </text>
    </comment>
    <comment ref="J3214" authorId="0">
      <text>
        <r>
          <t>Giá +1: ảnh danh sách FA do người dùng cung cấp ngày 28/10/2026. +2…+13 theo công thức bp2 (117, ×1).</t>
        </r>
      </text>
    </comment>
    <comment ref="J3215" authorId="0">
      <text>
        <r>
          <t>Giá +1: ảnh danh sách FA do người dùng cung cấp ngày 28/10/2026. +2…+13 theo công thức bp2 (117, ×1).</t>
        </r>
      </text>
    </comment>
    <comment ref="J3216" authorId="0">
      <text>
        <r>
          <t>Giá +1: ảnh danh sách FA do người dùng cung cấp ngày 28/10/2026. +2…+13 theo công thức bp2 (117, ×1).</t>
        </r>
      </text>
    </comment>
    <comment ref="J3217" authorId="0">
      <text>
        <r>
          <t>Giá +1: ảnh danh sách FA do người dùng cung cấp ngày 28/10/2026. +2…+13 theo công thức bp2 (117, ×1).</t>
        </r>
      </text>
    </comment>
    <comment ref="J3218" authorId="0">
      <text>
        <r>
          <t>Giá +1: ảnh danh sách FA do người dùng cung cấp ngày 28/10/2026. +2…+13 theo công thức bp2 (117, ×1).</t>
        </r>
      </text>
    </comment>
    <comment ref="J3219" authorId="0">
      <text>
        <r>
          <t>Giá +1: ảnh danh sách FA do người dùng cung cấp ngày 28/10/2026. +2…+13 theo công thức bp2 (117, ×1).</t>
        </r>
      </text>
    </comment>
    <comment ref="J3220" authorId="0">
      <text>
        <r>
          <t>Giá +1: ảnh danh sách FA do người dùng cung cấp ngày 28/10/2026. +2…+13 theo công thức bp2 (117, ×1).</t>
        </r>
      </text>
    </comment>
    <comment ref="J3221" authorId="0">
      <text>
        <r>
          <t>Giá +1: ảnh danh sách FA do người dùng cung cấp ngày 28/10/2026. +2…+13 theo công thức bp2 (117, ×1).</t>
        </r>
      </text>
    </comment>
    <comment ref="J3222" authorId="0">
      <text>
        <r>
          <t>Giá +1: ảnh danh sách FA do người dùng cung cấp ngày 28/10/2026. +2…+13 theo công thức bp2 (117, ×1).</t>
        </r>
      </text>
    </comment>
    <comment ref="J3223" authorId="0">
      <text>
        <r>
          <t>Giá +1: ảnh danh sách FA do người dùng cung cấp ngày 28/10/2026. +2…+13 theo công thức bp2 (117, ×1).</t>
        </r>
      </text>
    </comment>
    <comment ref="J3224" authorId="0">
      <text>
        <r>
          <t>Giá +1: ảnh danh sách FA do người dùng cung cấp ngày 28/10/2026. +2…+13 theo công thức bp2 (117, ×1).</t>
        </r>
      </text>
    </comment>
    <comment ref="J3225" authorId="0">
      <text>
        <r>
          <t>Giá +1: ảnh danh sách FA do người dùng cung cấp ngày 28/10/2026. +2…+13 theo công thức bp2 (117, ×1).</t>
        </r>
      </text>
    </comment>
    <comment ref="J3226" authorId="0">
      <text>
        <r>
          <t>Giá +1: ảnh danh sách FA do người dùng cung cấp ngày 28/10/2026. +2…+13 theo công thức bp2 (117, ×1).</t>
        </r>
      </text>
    </comment>
    <comment ref="J3227" authorId="0">
      <text>
        <r>
          <t>Giá +1: ảnh danh sách FA do người dùng cung cấp ngày 28/10/2026. +2…+13 theo công thức bp2 (117, ×1).</t>
        </r>
      </text>
    </comment>
    <comment ref="J3228" authorId="0">
      <text>
        <r>
          <t>Giá +1: ảnh danh sách FA do người dùng cung cấp ngày 28/10/2026. +2…+13 theo công thức bp2 (117, ×1).</t>
        </r>
      </text>
    </comment>
    <comment ref="J3229" authorId="0">
      <text>
        <r>
          <t>Giá +1: ảnh danh sách FA do người dùng cung cấp ngày 28/10/2026. +2…+13 theo công thức bp2 (117, ×1).</t>
        </r>
      </text>
    </comment>
    <comment ref="J3230" authorId="0">
      <text>
        <r>
          <t>Giá +1: ảnh danh sách FA do người dùng cung cấp ngày 28/10/2026. +2…+13 theo công thức bp2 (117, ×1).</t>
        </r>
      </text>
    </comment>
    <comment ref="J3231" authorId="0">
      <text>
        <r>
          <t>Giá +1: ảnh danh sách FA do người dùng cung cấp ngày 28/10/2026. +2…+13 theo công thức bp2 (117, ×1).</t>
        </r>
      </text>
    </comment>
    <comment ref="J3232" authorId="0">
      <text>
        <r>
          <t>Giá +1: ảnh danh sách FA do người dùng cung cấp ngày 28/10/2026. +2…+13 theo công thức bp2 (117, ×1).</t>
        </r>
      </text>
    </comment>
    <comment ref="J3233" authorId="0">
      <text>
        <r>
          <t>Giá +1: ảnh danh sách FA do người dùng cung cấp ngày 28/10/2026. +2…+13 theo công thức bp2 (117, ×1).</t>
        </r>
      </text>
    </comment>
    <comment ref="J3234" authorId="0">
      <text>
        <r>
          <t>Giá +1: ảnh danh sách FA do người dùng cung cấp ngày 28/10/2026. +2…+13 theo công thức bp2 (117, ×1).</t>
        </r>
      </text>
    </comment>
    <comment ref="J3235" authorId="0">
      <text>
        <r>
          <t>Giá +1: ảnh danh sách FA do người dùng cung cấp ngày 28/10/2026. +2…+13 theo công thức bp2 (117, ×1).</t>
        </r>
      </text>
    </comment>
    <comment ref="J3236" authorId="0">
      <text>
        <r>
          <t>Giá +1: ảnh danh sách FA do người dùng cung cấp ngày 28/10/2026. +2…+13 theo công thức bp2 (117, ×1).</t>
        </r>
      </text>
    </comment>
    <comment ref="J3237" authorId="0">
      <text>
        <r>
          <t>Giá +1: ảnh danh sách FA do người dùng cung cấp ngày 28/10/2026. +2…+13 theo công thức bp2 (117, ×1).</t>
        </r>
      </text>
    </comment>
    <comment ref="J3238" authorId="0">
      <text>
        <r>
          <t>Giá +1: ảnh danh sách FA do người dùng cung cấp ngày 28/10/2026. +2…+13 theo công thức bp2 (117, ×1).</t>
        </r>
      </text>
    </comment>
    <comment ref="J3239" authorId="0">
      <text>
        <r>
          <t>Giá +1: ảnh danh sách FA do người dùng cung cấp ngày 28/10/2026. +2…+13 theo công thức bp2 (117, ×1).</t>
        </r>
      </text>
    </comment>
    <comment ref="J3240" authorId="0">
      <text>
        <r>
          <t>Giá +1: ảnh danh sách FA do người dùng cung cấp ngày 28/10/2026. +2…+13 theo công thức bp2 (117, ×1).</t>
        </r>
      </text>
    </comment>
    <comment ref="J3241" authorId="0">
      <text>
        <r>
          <t>Giá +1: ảnh danh sách FA do người dùng cung cấp ngày 28/10/2026. +2…+13 theo công thức bp2 (117, ×1).</t>
        </r>
      </text>
    </comment>
    <comment ref="J3242" authorId="0">
      <text>
        <r>
          <t>Giá +1: ảnh danh sách FA do người dùng cung cấp ngày 28/10/2026. +2…+13 theo công thức bp2 (117, ×1).</t>
        </r>
      </text>
    </comment>
    <comment ref="J3243" authorId="0">
      <text>
        <r>
          <t>Giá +1: ảnh danh sách LOL do người dùng cung cấp ngày 28/10/2026. +2…+13 theo công thức bp2 (117, ×1).</t>
        </r>
      </text>
    </comment>
    <comment ref="J3244" authorId="0">
      <text>
        <r>
          <t>Giá +1: ảnh danh sách LOL do người dùng cung cấp ngày 28/10/2026. +2…+13 theo công thức bp2 (117, ×1).</t>
        </r>
      </text>
    </comment>
    <comment ref="J3245" authorId="0">
      <text>
        <r>
          <t>Giá +1: ảnh danh sách LOL do người dùng cung cấp ngày 28/10/2026. +2…+13 theo công thức bp2 (117, ×1).</t>
        </r>
      </text>
    </comment>
    <comment ref="J3246" authorId="0">
      <text>
        <r>
          <t>Giá +1: ảnh danh sách LOL do người dùng cung cấp ngày 28/10/2026. +2…+13 theo công thức bp2 (117, ×1).</t>
        </r>
      </text>
    </comment>
    <comment ref="J3247" authorId="0">
      <text>
        <r>
          <t>Giá +1: ảnh danh sách LOL do người dùng cung cấp ngày 28/10/2026. +2…+13 theo công thức bp2 (117, ×1).</t>
        </r>
      </text>
    </comment>
    <comment ref="J3248" authorId="0">
      <text>
        <r>
          <t>Giá +1: ảnh danh sách LOL do người dùng cung cấp ngày 28/10/2026. +2…+13 theo công thức bp2 (117, ×1).</t>
        </r>
      </text>
    </comment>
    <comment ref="J3249" authorId="0">
      <text>
        <r>
          <t>Giá +1: ảnh danh sách LOL do người dùng cung cấp ngày 28/10/2026. +2…+13 theo công thức bp2 (117, ×1).</t>
        </r>
      </text>
    </comment>
    <comment ref="J3250" authorId="0">
      <text>
        <r>
          <t>Giá +1: ảnh danh sách LOL do người dùng cung cấp ngày 28/10/2026. +2…+13 theo công thức bp2 (117, ×1).</t>
        </r>
      </text>
    </comment>
    <comment ref="J3251" authorId="0">
      <text>
        <r>
          <t>Giá +1: ảnh danh sách LOL do người dùng cung cấp ngày 28/10/2026. +2…+13 theo công thức bp2 (117, ×1).</t>
        </r>
      </text>
    </comment>
    <comment ref="J3252" authorId="0">
      <text>
        <r>
          <t>Giá +1: ảnh danh sách LOL do người dùng cung cấp ngày 28/10/2026. +2…+13 theo công thức bp2 (117, ×1).</t>
        </r>
      </text>
    </comment>
    <comment ref="J3253" authorId="0">
      <text>
        <r>
          <t>Giá +1: ảnh danh sách LOL do người dùng cung cấp ngày 28/10/2026. +2…+13 theo công thức bp2 (117, ×1).</t>
        </r>
      </text>
    </comment>
    <comment ref="J3254" authorId="0">
      <text>
        <r>
          <t>Giá +1: ảnh danh sách LOL do người dùng cung cấp ngày 28/10/2026. +2…+13 theo công thức bp2 (117, ×1).</t>
        </r>
      </text>
    </comment>
    <comment ref="J3255" authorId="0">
      <text>
        <r>
          <t>Giá +1: ảnh danh sách LOL do người dùng cung cấp ngày 28/10/2026. +2…+13 theo công thức bp2 (117, ×1).</t>
        </r>
      </text>
    </comment>
    <comment ref="J3256" authorId="0">
      <text>
        <r>
          <t>Giá +1: ảnh danh sách LOL do người dùng cung cấp ngày 28/10/2026. +2…+13 theo công thức bp2 (117, ×1).</t>
        </r>
      </text>
    </comment>
    <comment ref="J3257" authorId="0">
      <text>
        <r>
          <t>Giá +1: ảnh danh sách LOL do người dùng cung cấp ngày 28/10/2026. +2…+13 theo công thức bp2 (117, ×1).</t>
        </r>
      </text>
    </comment>
    <comment ref="J3258" authorId="0">
      <text>
        <r>
          <t>Giá +1: ảnh danh sách LOL do người dùng cung cấp ngày 28/10/2026. +2…+13 theo công thức bp2 (117, ×1).</t>
        </r>
      </text>
    </comment>
    <comment ref="J3259" authorId="0">
      <text>
        <r>
          <t>Giá +1: ảnh danh sách LOL do người dùng cung cấp ngày 28/10/2026. +2…+13 theo công thức bp2 (117, ×1).</t>
        </r>
      </text>
    </comment>
    <comment ref="J3260" authorId="0">
      <text>
        <r>
          <t>Giá +1: ảnh danh sách LOL do người dùng cung cấp ngày 28/10/2026. +2…+13 theo công thức bp2 (117, ×1).</t>
        </r>
      </text>
    </comment>
    <comment ref="J3261" authorId="0">
      <text>
        <r>
          <t>Giá +1: ảnh danh sách LOL do người dùng cung cấp ngày 28/10/2026. +2…+13 theo công thức bp2 (117, ×1).</t>
        </r>
      </text>
    </comment>
    <comment ref="J3262" authorId="0">
      <text>
        <r>
          <t>Giá +1: ảnh danh sách LOL do người dùng cung cấp ngày 28/10/2026. +2…+13 theo công thức bp2 (117, ×1).</t>
        </r>
      </text>
    </comment>
    <comment ref="J3263" authorId="0">
      <text>
        <r>
          <t>Giá +1: ảnh danh sách LOL do người dùng cung cấp ngày 28/10/2026. +2…+13 theo công thức bp2 (117, ×1).</t>
        </r>
      </text>
    </comment>
    <comment ref="J3264" authorId="0">
      <text>
        <r>
          <t>Giá +1: ảnh danh sách LOL do người dùng cung cấp ngày 28/10/2026. +2…+13 theo công thức bp2 (117, ×1).</t>
        </r>
      </text>
    </comment>
    <comment ref="J3265" authorId="0">
      <text>
        <r>
          <t>Giá +1: ảnh danh sách LOL do người dùng cung cấp ngày 28/10/2026. +2…+13 theo công thức bp2 (117, ×1).</t>
        </r>
      </text>
    </comment>
    <comment ref="J3266" authorId="0">
      <text>
        <r>
          <t>Giá +1: ảnh danh sách LOL do người dùng cung cấp ngày 28/10/2026. +2…+13 theo công thức bp2 (117, ×1).</t>
        </r>
      </text>
    </comment>
    <comment ref="J3267" authorId="0">
      <text>
        <r>
          <t>Giá +1: ảnh danh sách LOL do người dùng cung cấp ngày 28/10/2026. +2…+13 theo công thức bp2 (117, ×1).</t>
        </r>
      </text>
    </comment>
    <comment ref="J3268" authorId="0">
      <text>
        <r>
          <t>Giá +1: ảnh danh sách LOL do người dùng cung cấp ngày 28/10/2026. +2…+13 theo công thức bp2 (117, ×1).</t>
        </r>
      </text>
    </comment>
    <comment ref="J3269" authorId="0">
      <text>
        <r>
          <t>Giá +1: ảnh danh sách LOL do người dùng cung cấp ngày 28/10/2026. +2…+13 theo công thức bp2 (117, ×1).</t>
        </r>
      </text>
    </comment>
    <comment ref="J3270" authorId="0">
      <text>
        <r>
          <t>Giá +1: ảnh danh sách LOL do người dùng cung cấp ngày 28/10/2026. +2…+13 theo công thức bp2 (117, ×1).</t>
        </r>
      </text>
    </comment>
    <comment ref="J3271" authorId="0">
      <text>
        <r>
          <t>Giá +1: ảnh danh sách LOL do người dùng cung cấp ngày 28/10/2026. +2…+13 theo công thức bp2 (117, ×1).</t>
        </r>
      </text>
    </comment>
    <comment ref="J3272" authorId="0">
      <text>
        <r>
          <t>Giá +1: ảnh danh sách LOL do người dùng cung cấp ngày 28/10/2026. +2…+13 theo công thức bp2 (117, ×1).</t>
        </r>
      </text>
    </comment>
    <comment ref="J3273" authorId="0">
      <text>
        <r>
          <t>Giá +1: ảnh danh sách LOL do người dùng cung cấp ngày 28/10/2026. +2…+13 theo công thức bp2 (117, ×1).</t>
        </r>
      </text>
    </comment>
    <comment ref="J3274" authorId="0">
      <text>
        <r>
          <t>Giá +1: ảnh danh sách LOL do người dùng cung cấp ngày 28/10/2026. +2…+13 theo công thức bp2 (117, ×1).</t>
        </r>
      </text>
    </comment>
    <comment ref="J3275" authorId="0">
      <text>
        <r>
          <t>Giá +1: ảnh danh sách LOL do người dùng cung cấp ngày 28/10/2026. +2…+13 theo công thức bp2 (117, ×1).</t>
        </r>
      </text>
    </comment>
    <comment ref="J3276" authorId="0">
      <text>
        <r>
          <t>Giá +1: ảnh danh sách LOL do người dùng cung cấp ngày 28/10/2026. +2…+13 theo công thức bp2 (117, ×1).</t>
        </r>
      </text>
    </comment>
    <comment ref="J3277" authorId="0">
      <text>
        <r>
          <t>Giá +1: ảnh danh sách LOL do người dùng cung cấp ngày 28/10/2026. +2…+13 theo công thức bp2 (117, ×1).</t>
        </r>
      </text>
    </comment>
    <comment ref="J3278" authorId="0">
      <text>
        <r>
          <t>Giá +1: ảnh danh sách LOL do người dùng cung cấp ngày 28/10/2026. +2…+13 theo công thức bp2 (117, ×1).</t>
        </r>
      </text>
    </comment>
    <comment ref="J3279" authorId="0">
      <text>
        <r>
          <t>Giá +1: ảnh danh sách LOL do người dùng cung cấp ngày 28/10/2026. +2…+13 theo công thức bp2 (117, ×1).</t>
        </r>
      </text>
    </comment>
    <comment ref="J3280" authorId="0">
      <text>
        <r>
          <t>Giá +1: ảnh danh sách LOL do người dùng cung cấp ngày 28/10/2026. +2…+13 theo công thức bp2 (117, ×1).</t>
        </r>
      </text>
    </comment>
    <comment ref="J3281" authorId="0">
      <text>
        <r>
          <t>Giá +1: ảnh danh sách LOL do người dùng cung cấp ngày 28/10/2026. +2…+13 theo công thức bp2 (117, ×1).</t>
        </r>
      </text>
    </comment>
    <comment ref="J3282" authorId="0">
      <text>
        <r>
          <t>Giá +1: ảnh danh sách LOL do người dùng cung cấp ngày 28/10/2026. +2…+13 theo công thức bp2 (117, ×1).</t>
        </r>
      </text>
    </comment>
    <comment ref="J3283" authorId="0">
      <text>
        <r>
          <t>Giá +1: ảnh danh sách LOL do người dùng cung cấp ngày 28/10/2026. +2…+13 theo công thức bp2 (117, ×1).</t>
        </r>
      </text>
    </comment>
    <comment ref="J3284" authorId="0">
      <text>
        <r>
          <t>Giá +1: ảnh danh sách LOL do người dùng cung cấp ngày 28/10/2026. +2…+13 theo công thức bp2 (117, ×1).</t>
        </r>
      </text>
    </comment>
    <comment ref="J3285" authorId="0">
      <text>
        <r>
          <t>Giá +1: ảnh danh sách LOL do người dùng cung cấp ngày 28/10/2026. +2…+13 theo công thức bp2 (117, ×1).</t>
        </r>
      </text>
    </comment>
    <comment ref="J3286" authorId="0">
      <text>
        <r>
          <t>Giá +1: ảnh danh sách LOL do người dùng cung cấp ngày 28/10/2026. +2…+13 theo công thức bp2 (117, ×1).</t>
        </r>
      </text>
    </comment>
    <comment ref="J3287" authorId="0">
      <text>
        <r>
          <t>Giá +1: ảnh danh sách LOL do người dùng cung cấp ngày 28/10/2026. +2…+13 theo công thức bp2 (117, ×1).</t>
        </r>
      </text>
    </comment>
    <comment ref="J3288" authorId="0">
      <text>
        <r>
          <t>Giá +1: ảnh danh sách LOL do người dùng cung cấp ngày 28/10/2026. +2…+13 theo công thức bp2 (117, ×1).</t>
        </r>
      </text>
    </comment>
    <comment ref="J3289" authorId="0">
      <text>
        <r>
          <t>Giá +1: ảnh danh sách LOL do người dùng cung cấp ngày 28/10/2026. +2…+13 theo công thức bp2 (117, ×1).</t>
        </r>
      </text>
    </comment>
    <comment ref="J3290" authorId="0">
      <text>
        <r>
          <t>Giá +1: ảnh danh sách LOL do người dùng cung cấp ngày 28/10/2026. +2…+13 theo công thức bp2 (117, ×1).</t>
        </r>
      </text>
    </comment>
    <comment ref="J3291" authorId="0">
      <text>
        <r>
          <t>Giá +1: ảnh danh sách LOL do người dùng cung cấp ngày 28/10/2026. +2…+13 theo công thức bp2 (117, ×1).</t>
        </r>
      </text>
    </comment>
    <comment ref="J3292" authorId="0">
      <text>
        <r>
          <t>Giá +1: ảnh danh sách LOL do người dùng cung cấp ngày 28/10/2026. +2…+13 theo công thức bp2 (117, ×1).</t>
        </r>
      </text>
    </comment>
    <comment ref="J3293" authorId="0">
      <text>
        <r>
          <t>Giá +1: ảnh danh sách LOL do người dùng cung cấp ngày 28/10/2026. +2…+13 theo công thức bp2 (117, ×1).</t>
        </r>
      </text>
    </comment>
    <comment ref="J3294" authorId="0">
      <text>
        <r>
          <t>Giá +1: ảnh danh sách LOL do người dùng cung cấp ngày 28/10/2026. +2…+13 theo công thức bp2 (117, ×1).</t>
        </r>
      </text>
    </comment>
    <comment ref="J3295" authorId="0">
      <text>
        <r>
          <t>Giá +1: ảnh danh sách LOL do người dùng cung cấp ngày 28/10/2026. +2…+13 theo công thức bp2 (117, ×1).</t>
        </r>
      </text>
    </comment>
    <comment ref="J3296" authorId="0">
      <text>
        <r>
          <t>Giá +1: ảnh danh sách LOL do người dùng cung cấp ngày 28/10/2026. +2…+13 theo công thức bp2 (117, ×1).</t>
        </r>
      </text>
    </comment>
    <comment ref="J3297" authorId="0">
      <text>
        <r>
          <t>Giá +1: ảnh danh sách LOL do người dùng cung cấp ngày 28/10/2026. +2…+13 theo công thức bp2 (117, ×1).</t>
        </r>
      </text>
    </comment>
    <comment ref="J3298" authorId="0">
      <text>
        <r>
          <t>Giá +1: ảnh danh sách LOL do người dùng cung cấp ngày 28/10/2026. +2…+13 theo công thức bp2 (117, ×1).</t>
        </r>
      </text>
    </comment>
    <comment ref="J3299" authorId="0">
      <text>
        <r>
          <t>Giá +1: ảnh danh sách LOL do người dùng cung cấp ngày 28/10/2026. +2…+13 theo công thức bp2 (117, ×1).</t>
        </r>
      </text>
    </comment>
    <comment ref="J3300" authorId="0">
      <text>
        <r>
          <t>Giá +1: ảnh danh sách LOL do người dùng cung cấp ngày 28/10/2026. +2…+13 theo công thức bp2 (117, ×1).</t>
        </r>
      </text>
    </comment>
    <comment ref="J3301" authorId="0">
      <text>
        <r>
          <t>Giá +1: ảnh danh sách LOL do người dùng cung cấp ngày 28/10/2026. +2…+13 theo công thức bp2 (117, ×1).</t>
        </r>
      </text>
    </comment>
    <comment ref="J3302" authorId="0">
      <text>
        <r>
          <t>Giá +1: ảnh danh sách LOL do người dùng cung cấp ngày 28/10/2026. +2…+13 theo công thức bp2 (117, ×1).</t>
        </r>
      </text>
    </comment>
    <comment ref="J3303" authorId="0">
      <text>
        <r>
          <t>Giá +1: ảnh danh sách LOL do người dùng cung cấp ngày 28/10/2026. +2…+13 theo công thức bp2 (117, ×1).</t>
        </r>
      </text>
    </comment>
    <comment ref="J3304" authorId="0">
      <text>
        <r>
          <t>Giá +1: ảnh danh sách LOL do người dùng cung cấp ngày 28/10/2026. +2…+13 theo công thức bp2 (117, ×1).</t>
        </r>
      </text>
    </comment>
    <comment ref="J3305" authorId="0">
      <text>
        <r>
          <t>Giá +1: ảnh danh sách LOL do người dùng cung cấp ngày 28/10/2026. +2…+13 theo công thức bp2 (117, ×1).</t>
        </r>
      </text>
    </comment>
    <comment ref="J3306" authorId="0">
      <text>
        <r>
          <t>Giá +1: ảnh danh sách LOL do người dùng cung cấp ngày 28/10/2026. +2…+13 theo công thức bp2 (117, ×1).</t>
        </r>
      </text>
    </comment>
    <comment ref="J3307" authorId="0">
      <text>
        <r>
          <t>Giá +1: ảnh danh sách LOL do người dùng cung cấp ngày 28/10/2026. +2…+13 theo công thức bp2 (117, ×1).</t>
        </r>
      </text>
    </comment>
    <comment ref="J3308" authorId="0">
      <text>
        <r>
          <t>Giá +1: ảnh danh sách LOL do người dùng cung cấp ngày 28/10/2026. +2…+13 theo công thức bp2 (117, ×1).</t>
        </r>
      </text>
    </comment>
    <comment ref="J3309" authorId="0">
      <text>
        <r>
          <t>Giá +1: ảnh danh sách LOL do người dùng cung cấp ngày 28/10/2026. +2…+13 theo công thức bp2 (117, ×1).</t>
        </r>
      </text>
    </comment>
    <comment ref="J3310" authorId="0">
      <text>
        <r>
          <t>Giá +1: ảnh danh sách LOL do người dùng cung cấp ngày 28/10/2026. +2…+13 theo công thức bp2 (117, ×1).</t>
        </r>
      </text>
    </comment>
    <comment ref="J3311" authorId="0">
      <text>
        <r>
          <t>Giá +1: ảnh danh sách LOL do người dùng cung cấp ngày 28/10/2026. +2…+13 theo công thức bp2 (117, ×1).</t>
        </r>
      </text>
    </comment>
    <comment ref="J3312" authorId="0">
      <text>
        <r>
          <t>Giá +1: ảnh danh sách LOL do người dùng cung cấp ngày 28/10/2026. +2…+13 theo công thức bp2 (117, ×1).</t>
        </r>
      </text>
    </comment>
    <comment ref="J3313" authorId="0">
      <text>
        <r>
          <t>Giá +1: ảnh danh sách LOL do người dùng cung cấp ngày 28/10/2026. +2…+13 theo công thức bp2 (117, ×1).</t>
        </r>
      </text>
    </comment>
    <comment ref="J3314" authorId="0">
      <text>
        <r>
          <t>Giá +1: ảnh danh sách LOL do người dùng cung cấp ngày 28/10/2026. +2…+13 theo công thức bp2 (117, ×1).</t>
        </r>
      </text>
    </comment>
    <comment ref="J3315" authorId="0">
      <text>
        <r>
          <t>Giá +1: ảnh danh sách LOL do người dùng cung cấp ngày 28/10/2026. +2…+13 theo công thức bp2 (117, ×1).</t>
        </r>
      </text>
    </comment>
    <comment ref="J3316" authorId="0">
      <text>
        <r>
          <t>Giá +1: ảnh danh sách LOL do người dùng cung cấp ngày 28/10/2026. +2…+13 theo công thức bp2 (117, ×1).</t>
        </r>
      </text>
    </comment>
    <comment ref="J3317" authorId="0">
      <text>
        <r>
          <t>Giá +1: ảnh danh sách LOL do người dùng cung cấp ngày 28/10/2026. +2…+13 theo công thức bp2 (117, ×1).</t>
        </r>
      </text>
    </comment>
    <comment ref="J3318" authorId="0">
      <text>
        <r>
          <t>Giá +1: ảnh danh sách LOL do người dùng cung cấp ngày 28/10/2026. +2…+13 theo công thức bp2 (117, ×1).</t>
        </r>
      </text>
    </comment>
    <comment ref="J3319" authorId="0">
      <text>
        <r>
          <t>Giá +1: ảnh danh sách LOL do người dùng cung cấp ngày 28/10/2026. +2…+13 theo công thức bp2 (117, ×1).</t>
        </r>
      </text>
    </comment>
    <comment ref="J3320" authorId="0">
      <text>
        <r>
          <t>Giá +1: ảnh danh sách LOL do người dùng cung cấp ngày 28/10/2026. +2…+13 theo công thức bp2 (117, ×1).</t>
        </r>
      </text>
    </comment>
    <comment ref="J3321" authorId="0">
      <text>
        <r>
          <t>Giá +1: ảnh danh sách LOL do người dùng cung cấp ngày 28/10/2026. +2…+13 theo công thức bp2 (117, ×1).</t>
        </r>
      </text>
    </comment>
    <comment ref="J3322" authorId="0">
      <text>
        <r>
          <t>Giá +1: ảnh danh sách LOL do người dùng cung cấp ngày 28/10/2026. +2…+13 theo công thức bp2 (117, ×1).</t>
        </r>
      </text>
    </comment>
    <comment ref="J3323" authorId="0">
      <text>
        <r>
          <t>Giá +1: ảnh danh sách LOL do người dùng cung cấp ngày 28/10/2026. +2…+13 theo công thức bp2 (117, ×1).</t>
        </r>
      </text>
    </comment>
    <comment ref="J3324" authorId="0">
      <text>
        <r>
          <t>Giá +1: ảnh danh sách LOL do người dùng cung cấp ngày 28/10/2026. +2…+13 theo công thức bp2 (117, ×1).</t>
        </r>
      </text>
    </comment>
    <comment ref="J3325" authorId="0">
      <text>
        <r>
          <t>Giá +1: ảnh danh sách LOL do người dùng cung cấp ngày 28/10/2026. +2…+13 theo công thức bp2 (117, ×1).</t>
        </r>
      </text>
    </comment>
    <comment ref="J3326" authorId="0">
      <text>
        <r>
          <t>Giá +1: ảnh danh sách LOL do người dùng cung cấp ngày 28/10/2026. +2…+13 theo công thức bp2 (117, ×1).</t>
        </r>
      </text>
    </comment>
    <comment ref="J3327" authorId="0">
      <text>
        <r>
          <t>Giá +1: ảnh danh sách LOL do người dùng cung cấp ngày 28/10/2026. +2…+13 theo công thức bp2 (117, ×1).</t>
        </r>
      </text>
    </comment>
    <comment ref="J3328" authorId="0">
      <text>
        <r>
          <t>Giá +1: ảnh danh sách LOL do người dùng cung cấp ngày 28/10/2026. +2…+13 theo công thức bp2 (117, ×1).</t>
        </r>
      </text>
    </comment>
    <comment ref="J3329" authorId="0">
      <text>
        <r>
          <t>Giá +1: ảnh danh sách LOL do người dùng cung cấp ngày 28/10/2026. +2…+13 theo công thức bp2 (117, ×1).</t>
        </r>
      </text>
    </comment>
    <comment ref="J3330" authorId="0">
      <text>
        <r>
          <t>Giá +1: ảnh danh sách LOL do người dùng cung cấp ngày 28/10/2026. +2…+13 theo công thức bp2 (117, ×1).</t>
        </r>
      </text>
    </comment>
    <comment ref="J3331" authorId="0">
      <text>
        <r>
          <t>Giá +1: ảnh danh sách LOL do người dùng cung cấp ngày 28/10/2026. +2…+13 theo công thức bp2 (117, ×1).</t>
        </r>
      </text>
    </comment>
    <comment ref="J3332" authorId="0">
      <text>
        <r>
          <t>Giá +1: ảnh danh sách LOL do người dùng cung cấp ngày 28/10/2026. +2…+13 theo công thức bp2 (117, ×1).</t>
        </r>
      </text>
    </comment>
    <comment ref="J3333" authorId="0">
      <text>
        <r>
          <t>Giá +1: ảnh danh sách CAP do người dùng cung cấp ngày 28/10/2026. +2…+13 theo công thức bp2 (117, ×1).</t>
        </r>
      </text>
    </comment>
    <comment ref="J3334" authorId="0">
      <text>
        <r>
          <t>Giá +1: ảnh danh sách CAP do người dùng cung cấp ngày 28/10/2026. +2…+13 theo công thức bp2 (117, ×1).</t>
        </r>
      </text>
    </comment>
    <comment ref="J3335" authorId="0">
      <text>
        <r>
          <t>Giá +1: ảnh danh sách CAP do người dùng cung cấp ngày 28/10/2026. +2…+13 theo công thức bp2 (117, ×1).</t>
        </r>
      </text>
    </comment>
    <comment ref="J3336" authorId="0">
      <text>
        <r>
          <t>Giá +1: ảnh danh sách CAP do người dùng cung cấp ngày 28/10/2026. +2…+13 theo công thức bp2 (117, ×1).</t>
        </r>
      </text>
    </comment>
    <comment ref="J3337" authorId="0">
      <text>
        <r>
          <t>Giá +1: ảnh danh sách CAP do người dùng cung cấp ngày 28/10/2026. +2…+13 theo công thức bp2 (117, ×1).</t>
        </r>
      </text>
    </comment>
    <comment ref="J3338" authorId="0">
      <text>
        <r>
          <t>Giá +1: ảnh danh sách CAP do người dùng cung cấp ngày 28/10/2026. +2…+13 theo công thức bp2 (117, ×1).</t>
        </r>
      </text>
    </comment>
    <comment ref="J3339" authorId="0">
      <text>
        <r>
          <t>Giá +1: ảnh danh sách CAP do người dùng cung cấp ngày 28/10/2026. +2…+13 theo công thức bp2 (117, ×1).</t>
        </r>
      </text>
    </comment>
    <comment ref="J3340" authorId="0">
      <text>
        <r>
          <t>Giá +1: ảnh danh sách CAP do người dùng cung cấp ngày 28/10/2026. +2…+13 theo công thức bp2 (117, ×1).</t>
        </r>
      </text>
    </comment>
    <comment ref="J3341" authorId="0">
      <text>
        <r>
          <t>Giá +1: ảnh danh sách CAP do người dùng cung cấp ngày 28/10/2026. +2…+13 theo công thức bp2 (117, ×1).</t>
        </r>
      </text>
    </comment>
    <comment ref="J3342" authorId="0">
      <text>
        <r>
          <t>Giá +1: ảnh danh sách CAP do người dùng cung cấp ngày 28/10/2026. +2…+13 theo công thức bp2 (117, ×1).</t>
        </r>
      </text>
    </comment>
    <comment ref="J3343" authorId="0">
      <text>
        <r>
          <t>Giá +1: ảnh danh sách CAP do người dùng cung cấp ngày 28/10/2026. +2…+13 theo công thức bp2 (117, ×1).</t>
        </r>
      </text>
    </comment>
    <comment ref="J3344" authorId="0">
      <text>
        <r>
          <t>Giá +1: ảnh danh sách CAP do người dùng cung cấp ngày 28/10/2026. +2…+13 theo công thức bp2 (117, ×1).</t>
        </r>
      </text>
    </comment>
    <comment ref="J3345" authorId="0">
      <text>
        <r>
          <t>Giá +1: ảnh danh sách CAP do người dùng cung cấp ngày 28/10/2026. +2…+13 theo công thức bp2 (117, ×1).</t>
        </r>
      </text>
    </comment>
    <comment ref="J3346" authorId="0">
      <text>
        <r>
          <t>Giá +1: ảnh danh sách CAP do người dùng cung cấp ngày 28/10/2026. +2…+13 theo công thức bp2 (117, ×1).</t>
        </r>
      </text>
    </comment>
    <comment ref="J3347" authorId="0">
      <text>
        <r>
          <t>Giá +1: ảnh danh sách CAP do người dùng cung cấp ngày 28/10/2026. +2…+13 theo công thức bp2 (117, ×1).</t>
        </r>
      </text>
    </comment>
    <comment ref="J3348" authorId="0">
      <text>
        <r>
          <t>Giá +1: ảnh danh sách CAP do người dùng cung cấp ngày 28/10/2026. +2…+13 theo công thức bp2 (117, ×1).</t>
        </r>
      </text>
    </comment>
    <comment ref="J3349" authorId="0">
      <text>
        <r>
          <t>Giá +1: ảnh danh sách CAP do người dùng cung cấp ngày 28/10/2026. +2…+13 theo công thức bp2 (117, ×1).</t>
        </r>
      </text>
    </comment>
    <comment ref="J3350" authorId="0">
      <text>
        <r>
          <t>Giá +1: ảnh danh sách CAP do người dùng cung cấp ngày 28/10/2026. +2…+13 theo công thức bp2 (117, ×1).</t>
        </r>
      </text>
    </comment>
    <comment ref="J3351" authorId="0">
      <text>
        <r>
          <t>Giá +1: ảnh danh sách CAP do người dùng cung cấp ngày 28/10/2026. +2…+13 theo công thức bp2 (117, ×1).</t>
        </r>
      </text>
    </comment>
    <comment ref="J3352" authorId="0">
      <text>
        <r>
          <t>Giá +1: ảnh danh sách CAP do người dùng cung cấp ngày 28/10/2026. +2…+13 theo công thức bp2 (117, ×1).</t>
        </r>
      </text>
    </comment>
    <comment ref="J3353" authorId="0">
      <text>
        <r>
          <t>Giá +1: ảnh danh sách CAP do người dùng cung cấp ngày 28/10/2026. +2…+13 theo công thức bp2 (117, ×1).</t>
        </r>
      </text>
    </comment>
    <comment ref="J3354" authorId="0">
      <text>
        <r>
          <t>Giá +1: ảnh danh sách CAP do người dùng cung cấp ngày 28/10/2026. +2…+13 theo công thức bp2 (117, ×1).</t>
        </r>
      </text>
    </comment>
    <comment ref="J3355" authorId="0">
      <text>
        <r>
          <t>Giá +1: ảnh danh sách CAP do người dùng cung cấp ngày 28/10/2026. +2…+13 theo công thức bp2 (117, ×1).</t>
        </r>
      </text>
    </comment>
    <comment ref="J3356" authorId="0">
      <text>
        <r>
          <t>Giá +1: ảnh danh sách CAP do người dùng cung cấp ngày 28/10/2026. +2…+13 theo công thức bp2 (117, ×1).</t>
        </r>
      </text>
    </comment>
    <comment ref="J3357" authorId="0">
      <text>
        <r>
          <t>Giá +1: ảnh danh sách CAP do người dùng cung cấp ngày 28/10/2026. +2…+13 theo công thức bp2 (117, ×1).</t>
        </r>
      </text>
    </comment>
    <comment ref="J3358" authorId="0">
      <text>
        <r>
          <t>Giá +1: ảnh danh sách CAP do người dùng cung cấp ngày 28/10/2026. +2…+13 theo công thức bp2 (117, ×1).</t>
        </r>
      </text>
    </comment>
    <comment ref="J3359" authorId="0">
      <text>
        <r>
          <t>Giá +1: ảnh danh sách CAP do người dùng cung cấp ngày 28/10/2026. +2…+13 theo công thức bp2 (117, ×1).</t>
        </r>
      </text>
    </comment>
    <comment ref="J3360" authorId="0">
      <text>
        <r>
          <t>Giá +1: ảnh danh sách CAP do người dùng cung cấp ngày 28/10/2026. +2…+13 theo công thức bp2 (117, ×1).</t>
        </r>
      </text>
    </comment>
    <comment ref="J3361" authorId="0">
      <text>
        <r>
          <t>Giá +1: ảnh danh sách CAP do người dùng cung cấp ngày 28/10/2026. +2…+13 theo công thức bp2 (117, ×1).</t>
        </r>
      </text>
    </comment>
    <comment ref="J3362" authorId="0">
      <text>
        <r>
          <t>Giá +1: ảnh danh sách CAP do người dùng cung cấp ngày 28/10/2026. +2…+13 theo công thức bp2 (117, ×1).</t>
        </r>
      </text>
    </comment>
    <comment ref="J3363" authorId="0">
      <text>
        <r>
          <t>Giá +1: ảnh danh sách CAP do người dùng cung cấp ngày 28/10/2026. +2…+13 theo công thức bp2 (117, ×1).</t>
        </r>
      </text>
    </comment>
    <comment ref="J3364" authorId="0">
      <text>
        <r>
          <t>Giá +1: ảnh danh sách CAP do người dùng cung cấp ngày 28/10/2026. +2…+13 theo công thức bp2 (117, ×1).</t>
        </r>
      </text>
    </comment>
    <comment ref="J3365" authorId="0">
      <text>
        <r>
          <t>Giá +1: ảnh danh sách CAP do người dùng cung cấp ngày 28/10/2026. +2…+13 theo công thức bp2 (117, ×1).</t>
        </r>
      </text>
    </comment>
    <comment ref="J3366" authorId="0">
      <text>
        <r>
          <t>Giá +1: ảnh danh sách CAP do người dùng cung cấp ngày 28/10/2026. +2…+13 theo công thức bp2 (117, ×1).</t>
        </r>
      </text>
    </comment>
    <comment ref="J3367" authorId="0">
      <text>
        <r>
          <t>Giá +1: ảnh danh sách CAP do người dùng cung cấp ngày 28/10/2026. +2…+13 theo công thức bp2 (117, ×1).</t>
        </r>
      </text>
    </comment>
    <comment ref="J3368" authorId="0">
      <text>
        <r>
          <t>Giá +1: ảnh danh sách CAP do người dùng cung cấp ngày 28/10/2026. +2…+13 theo công thức bp2 (117, ×1).</t>
        </r>
      </text>
    </comment>
    <comment ref="J3369" authorId="0">
      <text>
        <r>
          <t>Giá +1: ảnh danh sách CAP do người dùng cung cấp ngày 28/10/2026. +2…+13 theo công thức bp2 (117, ×1).</t>
        </r>
      </text>
    </comment>
    <comment ref="J3370" authorId="0">
      <text>
        <r>
          <t>Giá +1: ảnh danh sách CAP do người dùng cung cấp ngày 28/10/2026. +2…+13 theo công thức bp2 (117, ×1).</t>
        </r>
      </text>
    </comment>
    <comment ref="J3371" authorId="0">
      <text>
        <r>
          <t>Giá +1: ảnh danh sách CAP do người dùng cung cấp ngày 28/10/2026. +2…+13 theo công thức bp2 (117, ×1).</t>
        </r>
      </text>
    </comment>
    <comment ref="J3372" authorId="0">
      <text>
        <r>
          <t>Giá +1: ảnh danh sách CAP do người dùng cung cấp ngày 28/10/2026. +2…+13 theo công thức bp2 (117, ×1).</t>
        </r>
      </text>
    </comment>
    <comment ref="J3373" authorId="0">
      <text>
        <r>
          <t>Giá +1: ảnh danh sách CAP do người dùng cung cấp ngày 28/10/2026. +2…+13 theo công thức bp2 (117, ×1).</t>
        </r>
      </text>
    </comment>
    <comment ref="J3374" authorId="0">
      <text>
        <r>
          <t>Giá +1: ảnh danh sách CAP do người dùng cung cấp ngày 28/10/2026. +2…+13 theo công thức bp2 (117, ×1).</t>
        </r>
      </text>
    </comment>
    <comment ref="J3375" authorId="0">
      <text>
        <r>
          <t>Giá +1: ảnh danh sách CAP do người dùng cung cấp ngày 28/10/2026. +2…+13 theo công thức bp2 (117, ×1).</t>
        </r>
      </text>
    </comment>
    <comment ref="J3376" authorId="0">
      <text>
        <r>
          <t>Giá +1: ảnh danh sách CAP do người dùng cung cấp ngày 28/10/2026. +2…+13 theo công thức bp2 (117, ×1).</t>
        </r>
      </text>
    </comment>
    <comment ref="J3377" authorId="0">
      <text>
        <r>
          <t>Giá +1: ảnh danh sách CAP do người dùng cung cấp ngày 28/10/2026. +2…+13 theo công thức bp2 (117, ×1).</t>
        </r>
      </text>
    </comment>
    <comment ref="J3378" authorId="0">
      <text>
        <r>
          <t>Giá +1: ảnh danh sách CAP do người dùng cung cấp ngày 28/10/2026. +2…+13 theo công thức bp2 (117, ×1).</t>
        </r>
      </text>
    </comment>
    <comment ref="J3379" authorId="0">
      <text>
        <r>
          <t>Giá +1: ảnh danh sách CAP do người dùng cung cấp ngày 28/10/2026. +2…+13 theo công thức bp2 (117, ×1).</t>
        </r>
      </text>
    </comment>
    <comment ref="J3380" authorId="0">
      <text>
        <r>
          <t>Giá +1: ảnh danh sách CAP do người dùng cung cấp ngày 28/10/2026. +2…+13 theo công thức bp2 (117, ×1).</t>
        </r>
      </text>
    </comment>
    <comment ref="J3381" authorId="0">
      <text>
        <r>
          <t>Giá +1: ảnh danh sách CAP do người dùng cung cấp ngày 28/10/2026. +2…+13 theo công thức bp2 (117, ×1).</t>
        </r>
      </text>
    </comment>
    <comment ref="J3382" authorId="0">
      <text>
        <r>
          <t>Giá +1: ảnh danh sách CAP do người dùng cung cấp ngày 28/10/2026. +2…+13 theo công thức bp2 (117, ×1).</t>
        </r>
      </text>
    </comment>
    <comment ref="J3383" authorId="0">
      <text>
        <r>
          <t>Giá +1: ảnh danh sách CAP do người dùng cung cấp ngày 28/10/2026. +2…+13 theo công thức bp2 (117, ×1).</t>
        </r>
      </text>
    </comment>
    <comment ref="J3384" authorId="0">
      <text>
        <r>
          <t>Giá +1: ảnh danh sách CAP do người dùng cung cấp ngày 28/10/2026. +2…+13 theo công thức bp2 (117, ×1).</t>
        </r>
      </text>
    </comment>
    <comment ref="J3385" authorId="0">
      <text>
        <r>
          <t>Giá +1: ảnh danh sách CAP do người dùng cung cấp ngày 28/10/2026. +2…+13 theo công thức bp2 (117, ×1).</t>
        </r>
      </text>
    </comment>
    <comment ref="J3386" authorId="0">
      <text>
        <r>
          <t>Giá +1: ảnh danh sách CAP do người dùng cung cấp ngày 28/10/2026. +2…+13 theo công thức bp2 (117, ×1).</t>
        </r>
      </text>
    </comment>
    <comment ref="J3387" authorId="0">
      <text>
        <r>
          <t>Giá +1: ảnh danh sách CAP do người dùng cung cấp ngày 28/10/2026. +2…+13 theo công thức bp2 (117, ×1).</t>
        </r>
      </text>
    </comment>
    <comment ref="J3388" authorId="0">
      <text>
        <r>
          <t>Giá +1: ảnh danh sách CAP do người dùng cung cấp ngày 28/10/2026. +2…+13 theo công thức bp2 (117, ×1).</t>
        </r>
      </text>
    </comment>
    <comment ref="J3389" authorId="0">
      <text>
        <r>
          <t>Giá +1: ảnh danh sách CAP do người dùng cung cấp ngày 28/10/2026. +2…+13 theo công thức bp2 (117, ×1).</t>
        </r>
      </text>
    </comment>
    <comment ref="J3390" authorId="0">
      <text>
        <r>
          <t>Giá +1: ảnh danh sách CAP do người dùng cung cấp ngày 28/10/2026. +2…+13 theo công thức bp2 (117, ×1).</t>
        </r>
      </text>
    </comment>
    <comment ref="J3391" authorId="0">
      <text>
        <r>
          <t>Giá +1: ảnh danh sách CAP do người dùng cung cấp ngày 28/10/2026. +2…+13 theo công thức bp2 (117, ×1).</t>
        </r>
      </text>
    </comment>
    <comment ref="J3392" authorId="0">
      <text>
        <r>
          <t>Giá +1: ảnh danh sách CAP do người dùng cung cấp ngày 28/10/2026. +2…+13 theo công thức bp2 (117, ×1).</t>
        </r>
      </text>
    </comment>
    <comment ref="J3393" authorId="0">
      <text>
        <r>
          <t>Giá +1: ảnh danh sách CAP do người dùng cung cấp ngày 28/10/2026. +2…+13 theo công thức bp2 (117, ×1).</t>
        </r>
      </text>
    </comment>
    <comment ref="J3394" authorId="0">
      <text>
        <r>
          <t>Giá +1: ảnh danh sách CAP do người dùng cung cấp ngày 28/10/2026. +2…+13 theo công thức bp2 (117, ×1).</t>
        </r>
      </text>
    </comment>
    <comment ref="J3395" authorId="0">
      <text>
        <r>
          <t>Giá +1: ảnh danh sách CAP do người dùng cung cấp ngày 28/10/2026. +2…+13 theo công thức bp2 (117, ×1).</t>
        </r>
      </text>
    </comment>
    <comment ref="J3396" authorId="0">
      <text>
        <r>
          <t>Giá +1: ảnh danh sách CAP do người dùng cung cấp ngày 28/10/2026. +2…+13 theo công thức bp2 (117, ×1).</t>
        </r>
      </text>
    </comment>
    <comment ref="J3397" authorId="0">
      <text>
        <r>
          <t>Giá +1: ảnh danh sách CAP do người dùng cung cấp ngày 28/10/2026. +2…+13 theo công thức bp2 (117, ×1).</t>
        </r>
      </text>
    </comment>
    <comment ref="J3398" authorId="0">
      <text>
        <r>
          <t>Giá +1: ảnh danh sách CAP do người dùng cung cấp ngày 28/10/2026. +2…+13 theo công thức bp2 (117, ×1).</t>
        </r>
      </text>
    </comment>
    <comment ref="J3399" authorId="0">
      <text>
        <r>
          <t>Giá +1: ảnh danh sách CAP do người dùng cung cấp ngày 28/10/2026. +2…+13 theo công thức bp2 (117, ×1).</t>
        </r>
      </text>
    </comment>
    <comment ref="J3400" authorId="0">
      <text>
        <r>
          <t>Giá +1: ảnh danh sách CAP do người dùng cung cấp ngày 28/10/2026. +2…+13 theo công thức bp2 (117, ×1).</t>
        </r>
      </text>
    </comment>
    <comment ref="J3401" authorId="0">
      <text>
        <r>
          <t>Giá +1: ảnh danh sách CAP do người dùng cung cấp ngày 28/10/2026. +2…+13 theo công thức bp2 (117, ×1).</t>
        </r>
      </text>
    </comment>
    <comment ref="J3402" authorId="0">
      <text>
        <r>
          <t>Giá +1: ảnh danh sách CAP do người dùng cung cấp ngày 28/10/2026. +2…+13 theo công thức bp2 (117, ×1).</t>
        </r>
      </text>
    </comment>
    <comment ref="J3403" authorId="0">
      <text>
        <r>
          <t>Giá +1: ảnh danh sách CAP do người dùng cung cấp ngày 28/10/2026. +2…+13 theo công thức bp2 (117, ×1).</t>
        </r>
      </text>
    </comment>
    <comment ref="J3404" authorId="0">
      <text>
        <r>
          <t>Giá +1: ảnh danh sách CAP do người dùng cung cấp ngày 28/10/2026. +2…+13 theo công thức bp2 (117, ×1).</t>
        </r>
      </text>
    </comment>
    <comment ref="J3405" authorId="0">
      <text>
        <r>
          <t>Giá +1: ảnh danh sách CAP do người dùng cung cấp ngày 28/10/2026. +2…+13 theo công thức bp2 (117, ×1).</t>
        </r>
      </text>
    </comment>
    <comment ref="J3406" authorId="0">
      <text>
        <r>
          <t>Giá +1: ảnh danh sách CAP do người dùng cung cấp ngày 28/10/2026. +2…+13 theo công thức bp2 (117, ×1).</t>
        </r>
      </text>
    </comment>
    <comment ref="J3407" authorId="0">
      <text>
        <r>
          <t>Giá +1: ảnh danh sách CAP do người dùng cung cấp ngày 28/10/2026. +2…+13 theo công thức bp2 (117, ×1).</t>
        </r>
      </text>
    </comment>
    <comment ref="J3408" authorId="0">
      <text>
        <r>
          <t>Giá +1: ảnh danh sách CAP do người dùng cung cấp ngày 28/10/2026. +2…+13 theo công thức bp2 (117, ×1).</t>
        </r>
      </text>
    </comment>
    <comment ref="J3409" authorId="0">
      <text>
        <r>
          <t>Giá +1: ảnh danh sách CAP do người dùng cung cấp ngày 28/10/2026. +2…+13 theo công thức bp2 (117, ×1).</t>
        </r>
      </text>
    </comment>
    <comment ref="J3410" authorId="0">
      <text>
        <r>
          <t>Giá +1: ảnh danh sách CAP do người dùng cung cấp ngày 28/10/2026. +2…+13 theo công thức bp2 (117, ×1).</t>
        </r>
      </text>
    </comment>
    <comment ref="J3411" authorId="0">
      <text>
        <r>
          <t>Giá +1: ảnh danh sách CAP do người dùng cung cấp ngày 28/10/2026. +2…+13 theo công thức bp2 (117, ×1).</t>
        </r>
      </text>
    </comment>
    <comment ref="J3412" authorId="0">
      <text>
        <r>
          <t>Giá +1: ảnh danh sách CAP do người dùng cung cấp ngày 28/10/2026. +2…+13 theo công thức bp2 (117, ×1).</t>
        </r>
      </text>
    </comment>
    <comment ref="J3413" authorId="0">
      <text>
        <r>
          <t>Giá +1: ảnh danh sách CAP do người dùng cung cấp ngày 28/10/2026. +2…+13 theo công thức bp2 (117, ×1).</t>
        </r>
      </text>
    </comment>
    <comment ref="J3414" authorId="0">
      <text>
        <r>
          <t>Giá +1: ảnh danh sách CAP do người dùng cung cấp ngày 28/10/2026. +2…+13 theo công thức bp2 (117, ×1).</t>
        </r>
      </text>
    </comment>
    <comment ref="J3415" authorId="0">
      <text>
        <r>
          <t>Giá +1: ảnh danh sách CAP do người dùng cung cấp ngày 28/10/2026. +2…+13 theo công thức bp2 (117, ×1).</t>
        </r>
      </text>
    </comment>
    <comment ref="J3416" authorId="0">
      <text>
        <r>
          <t>Giá +1: ảnh danh sách CAP do người dùng cung cấp ngày 28/10/2026. +2…+13 theo công thức bp2 (117, ×1).</t>
        </r>
      </text>
    </comment>
    <comment ref="J3417" authorId="0">
      <text>
        <r>
          <t>Giá +1: ảnh danh sách CAP do người dùng cung cấp ngày 28/10/2026. +2…+13 theo công thức bp2 (117, ×1).</t>
        </r>
      </text>
    </comment>
    <comment ref="J3418" authorId="0">
      <text>
        <r>
          <t>Giá +1: ảnh danh sách CAP do người dùng cung cấp ngày 28/10/2026. +2…+13 theo công thức bp2 (117, ×1).</t>
        </r>
      </text>
    </comment>
    <comment ref="J3419" authorId="0">
      <text>
        <r>
          <t>Giá +1: ảnh danh sách CAP do người dùng cung cấp ngày 28/10/2026. +2…+13 theo công thức bp2 (117, ×1).</t>
        </r>
      </text>
    </comment>
    <comment ref="J3420" authorId="0">
      <text>
        <r>
          <t>Giá +1: ảnh danh sách CAP do người dùng cung cấp ngày 28/10/2026. +2…+13 theo công thức bp2 (117, ×1).</t>
        </r>
      </text>
    </comment>
    <comment ref="J3421" authorId="0">
      <text>
        <r>
          <t>Giá +1: ảnh danh sách CAP do người dùng cung cấp ngày 28/10/2026. +2…+13 theo công thức bp2 (117, ×1).</t>
        </r>
      </text>
    </comment>
    <comment ref="J3422" authorId="0">
      <text>
        <r>
          <t>Giá +1: ảnh danh sách CAP do người dùng cung cấp ngày 28/10/2026. +2…+13 theo công thức bp2 (117, ×1).</t>
        </r>
      </text>
    </comment>
    <comment ref="J3423" authorId="0">
      <text>
        <r>
          <t>Giá +1: ảnh danh sách BOE21 do người dùng cung cấp ngày 28–29/10/2026. +2…+13 theo công thức bp2 (117, ×1).</t>
        </r>
      </text>
    </comment>
    <comment ref="J3424" authorId="0">
      <text>
        <r>
          <t>Giá +1: ảnh danh sách BOE21 do người dùng cung cấp ngày 28–29/10/2026. +2…+13 theo công thức bp2 (117, ×1).</t>
        </r>
      </text>
    </comment>
    <comment ref="J3425" authorId="0">
      <text>
        <r>
          <t>Giá +1: ảnh danh sách BOE21 do người dùng cung cấp ngày 28–29/10/2026. +2…+13 theo công thức bp2 (117, ×1).</t>
        </r>
      </text>
    </comment>
    <comment ref="J3426" authorId="0">
      <text>
        <r>
          <t>Giá +1: ảnh danh sách BOE21 do người dùng cung cấp ngày 28–29/10/2026. +2…+13 theo công thức bp2 (117, ×1).</t>
        </r>
      </text>
    </comment>
    <comment ref="J3427" authorId="0">
      <text>
        <r>
          <t>Giá +1: ảnh danh sách BOE21 do người dùng cung cấp ngày 28–29/10/2026. +2…+13 theo công thức bp2 (117, ×1).</t>
        </r>
      </text>
    </comment>
    <comment ref="J3428" authorId="0">
      <text>
        <r>
          <t>Giá +1: ảnh danh sách BOE21 do người dùng cung cấp ngày 28–29/10/2026. +2…+13 theo công thức bp2 (117, ×1).</t>
        </r>
      </text>
    </comment>
    <comment ref="J3429" authorId="0">
      <text>
        <r>
          <t>Giá +1: ảnh danh sách BOE21 do người dùng cung cấp ngày 28–29/10/2026. +2…+13 theo công thức bp2 (117, ×1).</t>
        </r>
      </text>
    </comment>
    <comment ref="J3430" authorId="0">
      <text>
        <r>
          <t>Giá +1: ảnh danh sách BOE21 do người dùng cung cấp ngày 28–29/10/2026. +2…+13 theo công thức bp2 (117, ×1).</t>
        </r>
      </text>
    </comment>
    <comment ref="J3431" authorId="0">
      <text>
        <r>
          <t>Giá +1: ảnh danh sách BOE21 do người dùng cung cấp ngày 28–29/10/2026. +2…+13 theo công thức bp2 (117, ×1).</t>
        </r>
      </text>
    </comment>
    <comment ref="J3432" authorId="0">
      <text>
        <r>
          <t>Giá +1: ảnh danh sách BOE21 do người dùng cung cấp ngày 28–29/10/2026. +2…+13 theo công thức bp2 (117, ×1).</t>
        </r>
      </text>
    </comment>
    <comment ref="J3433" authorId="0">
      <text>
        <r>
          <t>Giá +1: ảnh danh sách BOE21 do người dùng cung cấp ngày 28–29/10/2026. +2…+13 theo công thức bp2 (117, ×1).</t>
        </r>
      </text>
    </comment>
    <comment ref="J3434" authorId="0">
      <text>
        <r>
          <t>Giá +1: ảnh danh sách BOE21 do người dùng cung cấp ngày 28–29/10/2026. +2…+13 theo công thức bp2 (117, ×1).</t>
        </r>
      </text>
    </comment>
    <comment ref="J3435" authorId="0">
      <text>
        <r>
          <t>Giá +1: ảnh danh sách BOE21 do người dùng cung cấp ngày 28–29/10/2026. +2…+13 theo công thức bp2 (117, ×1).</t>
        </r>
      </text>
    </comment>
    <comment ref="J3436" authorId="0">
      <text>
        <r>
          <t>Giá +1: ảnh danh sách BOE21 do người dùng cung cấp ngày 28–29/10/2026. +2…+13 theo công thức bp2 (117, ×1).</t>
        </r>
      </text>
    </comment>
    <comment ref="J3437" authorId="0">
      <text>
        <r>
          <t>Giá +1: ảnh danh sách BOE21 do người dùng cung cấp ngày 28–29/10/2026. +2…+13 theo công thức bp2 (117, ×1).</t>
        </r>
      </text>
    </comment>
    <comment ref="J3438" authorId="0">
      <text>
        <r>
          <t>Giá +1: ảnh danh sách BOE21 do người dùng cung cấp ngày 28–29/10/2026. +2…+13 theo công thức bp2 (117, ×1).</t>
        </r>
      </text>
    </comment>
    <comment ref="J3439" authorId="0">
      <text>
        <r>
          <t>Giá +1: ảnh danh sách BOE21 do người dùng cung cấp ngày 28–29/10/2026. +2…+13 theo công thức bp2 (117, ×1).</t>
        </r>
      </text>
    </comment>
    <comment ref="J3440" authorId="0">
      <text>
        <r>
          <t>Giá +1: ảnh danh sách BOE21 do người dùng cung cấp ngày 28–29/10/2026. +2…+13 theo công thức bp2 (117, ×1).</t>
        </r>
      </text>
    </comment>
    <comment ref="J3441" authorId="0">
      <text>
        <r>
          <t>Giá +1: ảnh danh sách BOE21 do người dùng cung cấp ngày 28–29/10/2026. +2…+13 theo công thức bp2 (117, ×1).</t>
        </r>
      </text>
    </comment>
    <comment ref="J3442" authorId="0">
      <text>
        <r>
          <t>Giá +1: ảnh danh sách BOE21 do người dùng cung cấp ngày 28–29/10/2026. +2…+13 theo công thức bp2 (117, ×1).</t>
        </r>
      </text>
    </comment>
    <comment ref="J3443" authorId="0">
      <text>
        <r>
          <t>Giá +1: ảnh danh sách BOE21 do người dùng cung cấp ngày 28–29/10/2026. +2…+13 theo công thức bp2 (117, ×1).</t>
        </r>
      </text>
    </comment>
    <comment ref="J3444" authorId="0">
      <text>
        <r>
          <t>Giá +1: ảnh danh sách BOE21 do người dùng cung cấp ngày 28–29/10/2026. +2…+13 theo công thức bp2 (117, ×1).</t>
        </r>
      </text>
    </comment>
    <comment ref="J3445" authorId="0">
      <text>
        <r>
          <t>Giá +1: ảnh danh sách BOE21 do người dùng cung cấp ngày 28–29/10/2026. +2…+13 theo công thức bp2 (117, ×1).</t>
        </r>
      </text>
    </comment>
    <comment ref="J3446" authorId="0">
      <text>
        <r>
          <t>Giá +1: ảnh danh sách BOE21 do người dùng cung cấp ngày 28–29/10/2026. +2…+13 theo công thức bp2 (117, ×1).</t>
        </r>
      </text>
    </comment>
    <comment ref="J3447" authorId="0">
      <text>
        <r>
          <t>Giá +1: ảnh danh sách BOE21 do người dùng cung cấp ngày 28–29/10/2026. +2…+13 theo công thức bp2 (117, ×1).</t>
        </r>
      </text>
    </comment>
    <comment ref="J3448" authorId="0">
      <text>
        <r>
          <t>Giá +1: ảnh danh sách BOE21 do người dùng cung cấp ngày 28–29/10/2026. +2…+13 theo công thức bp2 (117, ×1).</t>
        </r>
      </text>
    </comment>
    <comment ref="J3449" authorId="0">
      <text>
        <r>
          <t>Giá +1: ảnh danh sách BOE21 do người dùng cung cấp ngày 28–29/10/2026. +2…+13 theo công thức bp2 (117, ×1).</t>
        </r>
      </text>
    </comment>
    <comment ref="J3450" authorId="0">
      <text>
        <r>
          <t>Giá +1: ảnh danh sách BOE21 do người dùng cung cấp ngày 28–29/10/2026. +2…+13 theo công thức bp2 (117, ×1).</t>
        </r>
      </text>
    </comment>
    <comment ref="J3451" authorId="0">
      <text>
        <r>
          <t>Giá +1: ảnh danh sách BOE21 do người dùng cung cấp ngày 28–29/10/2026. +2…+13 theo công thức bp2 (117, ×1).</t>
        </r>
      </text>
    </comment>
    <comment ref="J3452" authorId="0">
      <text>
        <r>
          <t>Giá +1: ảnh danh sách BOE21 do người dùng cung cấp ngày 28–29/10/2026. +2…+13 theo công thức bp2 (117, ×1).</t>
        </r>
      </text>
    </comment>
    <comment ref="J3453" authorId="0">
      <text>
        <r>
          <t>Giá +1: ảnh danh sách BOE21 do người dùng cung cấp ngày 28–29/10/2026. +2…+13 theo công thức bp2 (117, ×1).</t>
        </r>
      </text>
    </comment>
    <comment ref="J3454" authorId="0">
      <text>
        <r>
          <t>Giá +1: ảnh danh sách BOE21 do người dùng cung cấp ngày 28–29/10/2026. +2…+13 theo công thức bp2 (117, ×1).</t>
        </r>
      </text>
    </comment>
    <comment ref="J3455" authorId="0">
      <text>
        <r>
          <t>Giá +1: ảnh danh sách BOE21 do người dùng cung cấp ngày 28–29/10/2026. +2…+13 theo công thức bp2 (117, ×1).</t>
        </r>
      </text>
    </comment>
    <comment ref="J3456" authorId="0">
      <text>
        <r>
          <t>Giá +1: ảnh danh sách BOE21 do người dùng cung cấp ngày 28–29/10/2026. +2…+13 theo công thức bp2 (117, ×1).</t>
        </r>
      </text>
    </comment>
    <comment ref="J3457" authorId="0">
      <text>
        <r>
          <t>Giá +1: ảnh danh sách BOE21 do người dùng cung cấp ngày 28–29/10/2026. +2…+13 theo công thức bp2 (117, ×1).</t>
        </r>
      </text>
    </comment>
    <comment ref="J3458" authorId="0">
      <text>
        <r>
          <t>Giá +1: ảnh danh sách BOE21 do người dùng cung cấp ngày 28–29/10/2026. +2…+13 theo công thức bp2 (117, ×1).</t>
        </r>
      </text>
    </comment>
    <comment ref="J3459" authorId="0">
      <text>
        <r>
          <t>Giá +1: ảnh danh sách BOE21 do người dùng cung cấp ngày 28–29/10/2026. +2…+13 theo công thức bp2 (117, ×1).</t>
        </r>
      </text>
    </comment>
    <comment ref="J3460" authorId="0">
      <text>
        <r>
          <t>Giá +1: ảnh danh sách BOE21 do người dùng cung cấp ngày 28–29/10/2026. +2…+13 theo công thức bp2 (117, ×1).</t>
        </r>
      </text>
    </comment>
    <comment ref="J3461" authorId="0">
      <text>
        <r>
          <t>Giá +1: ảnh danh sách BOE21 do người dùng cung cấp ngày 28–29/10/2026. +2…+13 theo công thức bp2 (117, ×1).</t>
        </r>
      </text>
    </comment>
    <comment ref="J3462" authorId="0">
      <text>
        <r>
          <t>Giá +1: ảnh danh sách BOE21 do người dùng cung cấp ngày 28–29/10/2026. +2…+13 theo công thức bp2 (117, ×1).</t>
        </r>
      </text>
    </comment>
    <comment ref="J3463" authorId="0">
      <text>
        <r>
          <t>Giá +1: ảnh danh sách BOE21 do người dùng cung cấp ngày 28–29/10/2026. +2…+13 theo công thức bp2 (117, ×1).</t>
        </r>
      </text>
    </comment>
    <comment ref="J3464" authorId="0">
      <text>
        <r>
          <t>Giá +1: ảnh danh sách BOE21 do người dùng cung cấp ngày 28–29/10/2026. +2…+13 theo công thức bp2 (117, ×1).</t>
        </r>
      </text>
    </comment>
    <comment ref="J3465" authorId="0">
      <text>
        <r>
          <t>Giá +1: ảnh danh sách BOE21 do người dùng cung cấp ngày 28–29/10/2026. +2…+13 theo công thức bp2 (117, ×1).</t>
        </r>
      </text>
    </comment>
    <comment ref="J3466" authorId="0">
      <text>
        <r>
          <t>Giá +1: ảnh danh sách BOE21 do người dùng cung cấp ngày 28–29/10/2026. +2…+13 theo công thức bp2 (117, ×1).</t>
        </r>
      </text>
    </comment>
    <comment ref="J3467" authorId="0">
      <text>
        <r>
          <t>Giá +1: ảnh danh sách BOE21 do người dùng cung cấp ngày 28–29/10/2026. +2…+13 theo công thức bp2 (117, ×1).</t>
        </r>
      </text>
    </comment>
    <comment ref="J3468" authorId="0">
      <text>
        <r>
          <t>Giá +1: ảnh danh sách BOE21 do người dùng cung cấp ngày 28–29/10/2026. +2…+13 theo công thức bp2 (117, ×1).</t>
        </r>
      </text>
    </comment>
    <comment ref="J3469" authorId="0">
      <text>
        <r>
          <t>Giá +1: ảnh danh sách BOE21 do người dùng cung cấp ngày 28–29/10/2026. +2…+13 theo công thức bp2 (117, ×1).</t>
        </r>
      </text>
    </comment>
    <comment ref="J3470" authorId="0">
      <text>
        <r>
          <t>Giá +1: ảnh danh sách BOE21 do người dùng cung cấp ngày 28–29/10/2026. +2…+13 theo công thức bp2 (117, ×1).</t>
        </r>
      </text>
    </comment>
    <comment ref="J3471" authorId="0">
      <text>
        <r>
          <t>Giá +1: ảnh danh sách BOE21 do người dùng cung cấp ngày 28–29/10/2026. +2…+13 theo công thức bp2 (117, ×1).</t>
        </r>
      </text>
    </comment>
    <comment ref="J3472" authorId="0">
      <text>
        <r>
          <t>Giá +1: ảnh danh sách BOE21 do người dùng cung cấp ngày 28–29/10/2026. +2…+13 theo công thức bp2 (117, ×1).</t>
        </r>
      </text>
    </comment>
    <comment ref="J3473" authorId="0">
      <text>
        <r>
          <t>Giá +1: ảnh danh sách BOE21 do người dùng cung cấp ngày 28–29/10/2026. +2…+13 theo công thức bp2 (117, ×1).</t>
        </r>
      </text>
    </comment>
    <comment ref="J3474" authorId="0">
      <text>
        <r>
          <t>Giá +1: ảnh danh sách BOE21 do người dùng cung cấp ngày 28–29/10/2026. +2…+13 theo công thức bp2 (117, ×1).</t>
        </r>
      </text>
    </comment>
    <comment ref="J3475" authorId="0">
      <text>
        <r>
          <t>Giá +1: ảnh danh sách BOE21 do người dùng cung cấp ngày 28–29/10/2026. +2…+13 theo công thức bp2 (117, ×1).</t>
        </r>
      </text>
    </comment>
    <comment ref="J3476" authorId="0">
      <text>
        <r>
          <t>Giá +1: ảnh danh sách BOE21 do người dùng cung cấp ngày 28–29/10/2026. +2…+13 theo công thức bp2 (117, ×1).</t>
        </r>
      </text>
    </comment>
    <comment ref="J3477" authorId="0">
      <text>
        <r>
          <t>Giá +1: ảnh danh sách BOE21 do người dùng cung cấp ngày 28–29/10/2026. +2…+13 theo công thức bp2 (117, ×1).</t>
        </r>
      </text>
    </comment>
    <comment ref="J3478" authorId="0">
      <text>
        <r>
          <t>Giá +1: ảnh danh sách BOE21 do người dùng cung cấp ngày 28–29/10/2026. +2…+13 theo công thức bp2 (117, ×1).</t>
        </r>
      </text>
    </comment>
    <comment ref="J3479" authorId="0">
      <text>
        <r>
          <t>Giá +1: ảnh danh sách BOE21 do người dùng cung cấp ngày 28–29/10/2026. +2…+13 theo công thức bp2 (117, ×1).</t>
        </r>
      </text>
    </comment>
    <comment ref="J3480" authorId="0">
      <text>
        <r>
          <t>Giá +1: ảnh danh sách BOE21 do người dùng cung cấp ngày 28–29/10/2026. +2…+13 theo công thức bp2 (117, ×1).</t>
        </r>
      </text>
    </comment>
    <comment ref="J3481" authorId="0">
      <text>
        <r>
          <t>Giá +1: ảnh danh sách BOE21 do người dùng cung cấp ngày 28–29/10/2026. +2…+13 theo công thức bp2 (117, ×1).</t>
        </r>
      </text>
    </comment>
    <comment ref="J3482" authorId="0">
      <text>
        <r>
          <t>Giá +1: ảnh danh sách BOE21 do người dùng cung cấp ngày 28–29/10/2026. +2…+13 theo công thức bp2 (117, ×1).</t>
        </r>
      </text>
    </comment>
    <comment ref="J3483" authorId="0">
      <text>
        <r>
          <t>Giá +1: ảnh danh sách BOE21 do người dùng cung cấp ngày 28–29/10/2026. +2…+13 theo công thức bp2 (117, ×1).</t>
        </r>
      </text>
    </comment>
    <comment ref="J3484" authorId="0">
      <text>
        <r>
          <t>Giá +1: ảnh danh sách BOE21 do người dùng cung cấp ngày 28–29/10/2026. +2…+13 theo công thức bp2 (117, ×1).</t>
        </r>
      </text>
    </comment>
    <comment ref="J3485" authorId="0">
      <text>
        <r>
          <t>Giá +1: ảnh danh sách BOE21 do người dùng cung cấp ngày 28–29/10/2026. +2…+13 theo công thức bp2 (117, ×1).</t>
        </r>
      </text>
    </comment>
    <comment ref="J3486" authorId="0">
      <text>
        <r>
          <t>Giá +1: ảnh danh sách BOE21 do người dùng cung cấp ngày 28–29/10/2026. +2…+13 theo công thức bp2 (117, ×1).</t>
        </r>
      </text>
    </comment>
    <comment ref="J3487" authorId="0">
      <text>
        <r>
          <t>Giá +1: ảnh danh sách BOE21 do người dùng cung cấp ngày 28–29/10/2026. +2…+13 theo công thức bp2 (117, ×1).</t>
        </r>
      </text>
    </comment>
    <comment ref="J3488" authorId="0">
      <text>
        <r>
          <t>Giá +1: ảnh danh sách BOE21 do người dùng cung cấp ngày 28–29/10/2026. +2…+13 theo công thức bp2 (117, ×1).</t>
        </r>
      </text>
    </comment>
    <comment ref="J3489" authorId="0">
      <text>
        <r>
          <t>Giá +1: ảnh danh sách BOE21 do người dùng cung cấp ngày 28–29/10/2026. +2…+13 theo công thức bp2 (117, ×1).</t>
        </r>
      </text>
    </comment>
    <comment ref="J3490" authorId="0">
      <text>
        <r>
          <t>Giá +1: ảnh danh sách BOE21 do người dùng cung cấp ngày 28–29/10/2026. +2…+13 theo công thức bp2 (117, ×1).</t>
        </r>
      </text>
    </comment>
    <comment ref="J3491" authorId="0">
      <text>
        <r>
          <t>Giá +1: ảnh danh sách BOE21 do người dùng cung cấp ngày 28–29/10/2026. +2…+13 theo công thức bp2 (117, ×1).</t>
        </r>
      </text>
    </comment>
    <comment ref="J3492" authorId="0">
      <text>
        <r>
          <t>Giá +1: ảnh danh sách BOE21 do người dùng cung cấp ngày 28–29/10/2026. +2…+13 theo công thức bp2 (117, ×1).</t>
        </r>
      </text>
    </comment>
    <comment ref="J3493" authorId="0">
      <text>
        <r>
          <t>Giá +1: ảnh danh sách BOE21 do người dùng cung cấp ngày 28–29/10/2026. +2…+13 theo công thức bp2 (117, ×1).</t>
        </r>
      </text>
    </comment>
    <comment ref="J3494" authorId="0">
      <text>
        <r>
          <t>Giá +1: ảnh danh sách BOE21 do người dùng cung cấp ngày 28–29/10/2026. +2…+13 theo công thức bp2 (117, ×1).</t>
        </r>
      </text>
    </comment>
    <comment ref="J3495" authorId="0">
      <text>
        <r>
          <t>Giá +1: ảnh danh sách BOE21 do người dùng cung cấp ngày 28–29/10/2026. +2…+13 theo công thức bp2 (117, ×1).</t>
        </r>
      </text>
    </comment>
    <comment ref="J3496" authorId="0">
      <text>
        <r>
          <t>Giá +1: ảnh danh sách BOE21 do người dùng cung cấp ngày 28–29/10/2026. +2…+13 theo công thức bp2 (117, ×1).</t>
        </r>
      </text>
    </comment>
    <comment ref="J3497" authorId="0">
      <text>
        <r>
          <t>Giá +1: ảnh danh sách BOE21 do người dùng cung cấp ngày 28–29/10/2026. +2…+13 theo công thức bp2 (117, ×1).</t>
        </r>
      </text>
    </comment>
    <comment ref="J3498" authorId="0">
      <text>
        <r>
          <t>Giá +1: ảnh danh sách BOE21 do người dùng cung cấp ngày 28–29/10/2026. +2…+13 theo công thức bp2 (117, ×1).</t>
        </r>
      </text>
    </comment>
    <comment ref="J3499" authorId="0">
      <text>
        <r>
          <t>Giá +1: ảnh danh sách BOE21 do người dùng cung cấp ngày 28–29/10/2026. +2…+13 theo công thức bp2 (117, ×1).</t>
        </r>
      </text>
    </comment>
    <comment ref="J3500" authorId="0">
      <text>
        <r>
          <t>Giá +1: ảnh danh sách BOE21 do người dùng cung cấp ngày 28–29/10/2026. +2…+13 theo công thức bp2 (117, ×1).</t>
        </r>
      </text>
    </comment>
    <comment ref="J3501" authorId="0">
      <text>
        <r>
          <t>Giá +1: ảnh danh sách BOE21 do người dùng cung cấp ngày 28–29/10/2026. +2…+13 theo công thức bp2 (117, ×1).</t>
        </r>
      </text>
    </comment>
    <comment ref="J3502" authorId="0">
      <text>
        <r>
          <t>Giá +1: ảnh danh sách BOE21 do người dùng cung cấp ngày 28–29/10/2026. +2…+13 theo công thức bp2 (117, ×1).</t>
        </r>
      </text>
    </comment>
    <comment ref="J3503" authorId="0">
      <text>
        <r>
          <t>Giá +1: ảnh danh sách BOE21 do người dùng cung cấp ngày 28–29/10/2026. +2…+13 theo công thức bp2 (117, ×1).</t>
        </r>
      </text>
    </comment>
    <comment ref="J3504" authorId="0">
      <text>
        <r>
          <t>Giá +1: ảnh danh sách BOE21 do người dùng cung cấp ngày 28–29/10/2026. +2…+13 theo công thức bp2 (117, ×1).</t>
        </r>
      </text>
    </comment>
    <comment ref="J3505" authorId="0">
      <text>
        <r>
          <t>Giá +1: ảnh danh sách BOE21 do người dùng cung cấp ngày 28–29/10/2026. +2…+13 theo công thức bp2 (117, ×1).</t>
        </r>
      </text>
    </comment>
    <comment ref="J3506" authorId="0">
      <text>
        <r>
          <t>Giá +1: ảnh danh sách BOE21 do người dùng cung cấp ngày 28–29/10/2026. +2…+13 theo công thức bp2 (117, ×1).</t>
        </r>
      </text>
    </comment>
    <comment ref="J3507" authorId="0">
      <text>
        <r>
          <t>Giá +1: ảnh danh sách BOE21 do người dùng cung cấp ngày 28–29/10/2026. +2…+13 theo công thức bp2 (117, ×1).</t>
        </r>
      </text>
    </comment>
    <comment ref="J3508" authorId="0">
      <text>
        <r>
          <t>Giá +1: ảnh danh sách BOE21 do người dùng cung cấp ngày 28–29/10/2026. +2…+13 theo công thức bp2 (117, ×1).</t>
        </r>
      </text>
    </comment>
    <comment ref="J3509" authorId="0">
      <text>
        <r>
          <t>Giá +1: ảnh danh sách BOE21 do người dùng cung cấp ngày 28–29/10/2026. +2…+13 theo công thức bp2 (117, ×1).</t>
        </r>
      </text>
    </comment>
    <comment ref="J3510" authorId="0">
      <text>
        <r>
          <t>Giá +1: ảnh danh sách BOE21 do người dùng cung cấp ngày 28–29/10/2026. +2…+13 theo công thức bp2 (117, ×1).</t>
        </r>
      </text>
    </comment>
    <comment ref="J3511" authorId="0">
      <text>
        <r>
          <t>Giá +1: ảnh danh sách BOE21 do người dùng cung cấp ngày 28–29/10/2026. +2…+13 theo công thức bp2 (117, ×1).</t>
        </r>
      </text>
    </comment>
    <comment ref="J3512" authorId="0">
      <text>
        <r>
          <t>Giá +1: ảnh danh sách BOE21 do người dùng cung cấp ngày 28–29/10/2026. +2…+13 theo công thức bp2 (117, ×1).</t>
        </r>
      </text>
    </comment>
    <comment ref="J3513" authorId="0">
      <text>
        <r>
          <t>Giá +1: ảnh danh sách BTB do người dùng cung cấp ngày 29/10/2026. +2…+13 theo công thức bp2 (117, ×1).</t>
        </r>
      </text>
    </comment>
    <comment ref="J3514" authorId="0">
      <text>
        <r>
          <t>Giá +1: ảnh danh sách BTB do người dùng cung cấp ngày 29/10/2026. +2…+13 theo công thức bp2 (117, ×1).</t>
        </r>
      </text>
    </comment>
    <comment ref="J3515" authorId="0">
      <text>
        <r>
          <t>Giá +1: ảnh danh sách BTB do người dùng cung cấp ngày 29/10/2026. +2…+13 theo công thức bp2 (117, ×1).</t>
        </r>
      </text>
    </comment>
    <comment ref="J3516" authorId="0">
      <text>
        <r>
          <t>Giá +1: ảnh danh sách BTB do người dùng cung cấp ngày 29/10/2026. +2…+13 theo công thức bp2 (117, ×1).</t>
        </r>
      </text>
    </comment>
    <comment ref="J3517" authorId="0">
      <text>
        <r>
          <t>Giá +1: ảnh danh sách BTB do người dùng cung cấp ngày 29/10/2026. +2…+13 theo công thức bp2 (117, ×1).</t>
        </r>
      </text>
    </comment>
    <comment ref="J3518" authorId="0">
      <text>
        <r>
          <t>Giá +1: ảnh danh sách BTB do người dùng cung cấp ngày 29/10/2026. +2…+13 theo công thức bp2 (117, ×1).</t>
        </r>
      </text>
    </comment>
    <comment ref="J3519" authorId="0">
      <text>
        <r>
          <t>Giá +1: ảnh danh sách BTB do người dùng cung cấp ngày 29/10/2026. +2…+13 theo công thức bp2 (117, ×1).</t>
        </r>
      </text>
    </comment>
    <comment ref="J3520" authorId="0">
      <text>
        <r>
          <t>Giá +1: ảnh danh sách BTB do người dùng cung cấp ngày 29/10/2026. +2…+13 theo công thức bp2 (117, ×1).</t>
        </r>
      </text>
    </comment>
    <comment ref="J3521" authorId="0">
      <text>
        <r>
          <t>Giá +1: ảnh danh sách BTB do người dùng cung cấp ngày 29/10/2026. +2…+13 theo công thức bp2 (117, ×1).</t>
        </r>
      </text>
    </comment>
    <comment ref="J3522" authorId="0">
      <text>
        <r>
          <t>Giá +1: ảnh danh sách BTB do người dùng cung cấp ngày 29/10/2026. +2…+13 theo công thức bp2 (117, ×1).</t>
        </r>
      </text>
    </comment>
    <comment ref="J3523" authorId="0">
      <text>
        <r>
          <t>Giá +1: ảnh danh sách BTB do người dùng cung cấp ngày 29/10/2026. +2…+13 theo công thức bp2 (117, ×1).</t>
        </r>
      </text>
    </comment>
    <comment ref="J3524" authorId="0">
      <text>
        <r>
          <t>Giá +1: ảnh danh sách BTB do người dùng cung cấp ngày 29/10/2026. +2…+13 theo công thức bp2 (117, ×1).</t>
        </r>
      </text>
    </comment>
    <comment ref="J3525" authorId="0">
      <text>
        <r>
          <t>Giá +1: ảnh danh sách BTB do người dùng cung cấp ngày 29/10/2026. +2…+13 theo công thức bp2 (117, ×1).</t>
        </r>
      </text>
    </comment>
    <comment ref="J3526" authorId="0">
      <text>
        <r>
          <t>Giá +1: ảnh danh sách BTB do người dùng cung cấp ngày 29/10/2026. +2…+13 theo công thức bp2 (117, ×1).</t>
        </r>
      </text>
    </comment>
    <comment ref="J3527" authorId="0">
      <text>
        <r>
          <t>Giá +1: ảnh danh sách BTB do người dùng cung cấp ngày 29/10/2026. +2…+13 theo công thức bp2 (117, ×1).</t>
        </r>
      </text>
    </comment>
    <comment ref="J3528" authorId="0">
      <text>
        <r>
          <t>Giá +1: ảnh danh sách BTB do người dùng cung cấp ngày 29/10/2026. +2…+13 theo công thức bp2 (117, ×1).</t>
        </r>
      </text>
    </comment>
    <comment ref="J3529" authorId="0">
      <text>
        <r>
          <t>Giá +1: ảnh danh sách BTB do người dùng cung cấp ngày 29/10/2026. +2…+13 theo công thức bp2 (117, ×1).</t>
        </r>
      </text>
    </comment>
    <comment ref="J3530" authorId="0">
      <text>
        <r>
          <t>Giá +1: ảnh danh sách BTB do người dùng cung cấp ngày 29/10/2026. +2…+13 theo công thức bp2 (117, ×1).</t>
        </r>
      </text>
    </comment>
    <comment ref="J3531" authorId="0">
      <text>
        <r>
          <t>Giá +1: ảnh danh sách BTB do người dùng cung cấp ngày 29/10/2026. +2…+13 theo công thức bp2 (117, ×1).</t>
        </r>
      </text>
    </comment>
    <comment ref="J3532" authorId="0">
      <text>
        <r>
          <t>Giá +1: ảnh danh sách BTB do người dùng cung cấp ngày 29/10/2026. +2…+13 theo công thức bp2 (117, ×1).</t>
        </r>
      </text>
    </comment>
    <comment ref="J3533" authorId="0">
      <text>
        <r>
          <t>Giá +1: ảnh danh sách BTB do người dùng cung cấp ngày 29/10/2026. +2…+13 theo công thức bp2 (117, ×1).</t>
        </r>
      </text>
    </comment>
    <comment ref="J3534" authorId="0">
      <text>
        <r>
          <t>Giá +1: ảnh danh sách BTB do người dùng cung cấp ngày 29/10/2026. +2…+13 theo công thức bp2 (117, ×1).</t>
        </r>
      </text>
    </comment>
    <comment ref="J3535" authorId="0">
      <text>
        <r>
          <t>Giá +1: ảnh danh sách BTB do người dùng cung cấp ngày 29/10/2026. +2…+13 theo công thức bp2 (117, ×1).</t>
        </r>
      </text>
    </comment>
    <comment ref="J3536" authorId="0">
      <text>
        <r>
          <t>Giá +1: ảnh danh sách BTB do người dùng cung cấp ngày 29/10/2026. +2…+13 theo công thức bp2 (117, ×1).</t>
        </r>
      </text>
    </comment>
    <comment ref="J3537" authorId="0">
      <text>
        <r>
          <t>Giá +1: ảnh danh sách BTB do người dùng cung cấp ngày 29/10/2026. +2…+13 theo công thức bp2 (117, ×1).</t>
        </r>
      </text>
    </comment>
    <comment ref="J3538" authorId="0">
      <text>
        <r>
          <t>Giá +1: ảnh danh sách BTB do người dùng cung cấp ngày 29/10/2026. +2…+13 theo công thức bp2 (117, ×1).</t>
        </r>
      </text>
    </comment>
    <comment ref="J3539" authorId="0">
      <text>
        <r>
          <t>Giá +1: ảnh danh sách BTB do người dùng cung cấp ngày 29/10/2026. +2…+13 theo công thức bp2 (117, ×1).</t>
        </r>
      </text>
    </comment>
    <comment ref="J3540" authorId="0">
      <text>
        <r>
          <t>Giá +1: ảnh danh sách BTB do người dùng cung cấp ngày 29/10/2026. +2…+13 theo công thức bp2 (117, ×1).</t>
        </r>
      </text>
    </comment>
    <comment ref="J3541" authorId="0">
      <text>
        <r>
          <t>Giá +1: ảnh danh sách BTB do người dùng cung cấp ngày 29/10/2026. +2…+13 theo công thức bp2 (117, ×1).</t>
        </r>
      </text>
    </comment>
    <comment ref="J3542" authorId="0">
      <text>
        <r>
          <t>Giá +1: ảnh danh sách BTB do người dùng cung cấp ngày 29/10/2026. +2…+13 theo công thức bp2 (117, ×1).</t>
        </r>
      </text>
    </comment>
    <comment ref="J3543" authorId="0">
      <text>
        <r>
          <t>Giá +1: ảnh danh sách BTB do người dùng cung cấp ngày 29/10/2026. +2…+13 theo công thức bp2 (117, ×1).</t>
        </r>
      </text>
    </comment>
    <comment ref="J3544" authorId="0">
      <text>
        <r>
          <t>Giá +1: ảnh danh sách BTB do người dùng cung cấp ngày 29/10/2026. +2…+13 theo công thức bp2 (117, ×1).</t>
        </r>
      </text>
    </comment>
    <comment ref="J3545" authorId="0">
      <text>
        <r>
          <t>Giá +1: ảnh danh sách BTB do người dùng cung cấp ngày 29/10/2026. +2…+13 theo công thức bp2 (117, ×1).</t>
        </r>
      </text>
    </comment>
    <comment ref="J3546" authorId="0">
      <text>
        <r>
          <t>Giá +1: ảnh danh sách BTB do người dùng cung cấp ngày 29/10/2026. +2…+13 theo công thức bp2 (117, ×1).</t>
        </r>
      </text>
    </comment>
    <comment ref="J3547" authorId="0">
      <text>
        <r>
          <t>Giá +1: ảnh danh sách BTB do người dùng cung cấp ngày 29/10/2026. +2…+13 theo công thức bp2 (117, ×1).</t>
        </r>
      </text>
    </comment>
    <comment ref="J3548" authorId="0">
      <text>
        <r>
          <t>Giá +1: ảnh danh sách BTB do người dùng cung cấp ngày 29/10/2026. +2…+13 theo công thức bp2 (117, ×1).</t>
        </r>
      </text>
    </comment>
    <comment ref="J3549" authorId="0">
      <text>
        <r>
          <t>Giá +1: ảnh danh sách BTB do người dùng cung cấp ngày 29/10/2026. +2…+13 theo công thức bp2 (117, ×1).</t>
        </r>
      </text>
    </comment>
    <comment ref="J3550" authorId="0">
      <text>
        <r>
          <t>Giá +1: ảnh danh sách BTB do người dùng cung cấp ngày 29/10/2026. +2…+13 theo công thức bp2 (117, ×1).</t>
        </r>
      </text>
    </comment>
    <comment ref="J3551" authorId="0">
      <text>
        <r>
          <t>Giá +1: ảnh danh sách BTB do người dùng cung cấp ngày 29/10/2026. +2…+13 theo công thức bp2 (117, ×1).</t>
        </r>
      </text>
    </comment>
    <comment ref="J3552" authorId="0">
      <text>
        <r>
          <t>Giá +1: ảnh danh sách BTB do người dùng cung cấp ngày 29/10/2026. +2…+13 theo công thức bp2 (117, ×1).</t>
        </r>
      </text>
    </comment>
    <comment ref="J3553" authorId="0">
      <text>
        <r>
          <t>Giá +1: ảnh danh sách BTB do người dùng cung cấp ngày 29/10/2026. +2…+13 theo công thức bp2 (117, ×1).</t>
        </r>
      </text>
    </comment>
    <comment ref="J3554" authorId="0">
      <text>
        <r>
          <t>Giá +1: ảnh danh sách BTB do người dùng cung cấp ngày 29/10/2026. +2…+13 theo công thức bp2 (117, ×1).</t>
        </r>
      </text>
    </comment>
    <comment ref="J3555" authorId="0">
      <text>
        <r>
          <t>Giá +1: ảnh danh sách BTB do người dùng cung cấp ngày 29/10/2026. +2…+13 theo công thức bp2 (117, ×1).</t>
        </r>
      </text>
    </comment>
    <comment ref="J3556" authorId="0">
      <text>
        <r>
          <t>Giá +1: ảnh danh sách BTB do người dùng cung cấp ngày 29/10/2026. +2…+13 theo công thức bp2 (117, ×1).</t>
        </r>
      </text>
    </comment>
    <comment ref="J3557" authorId="0">
      <text>
        <r>
          <t>Giá +1: ảnh danh sách BTB do người dùng cung cấp ngày 29/10/2026. +2…+13 theo công thức bp2 (117, ×1).</t>
        </r>
      </text>
    </comment>
    <comment ref="J3558" authorId="0">
      <text>
        <r>
          <t>Giá +1: ảnh danh sách BTB do người dùng cung cấp ngày 29/10/2026. +2…+13 theo công thức bp2 (117, ×1).</t>
        </r>
      </text>
    </comment>
    <comment ref="J3559" authorId="0">
      <text>
        <r>
          <t>Giá +1: ảnh danh sách BTB do người dùng cung cấp ngày 29/10/2026. +2…+13 theo công thức bp2 (117, ×1).</t>
        </r>
      </text>
    </comment>
    <comment ref="J3560" authorId="0">
      <text>
        <r>
          <t>Giá +1: ảnh danh sách BTB do người dùng cung cấp ngày 29/10/2026. +2…+13 theo công thức bp2 (117, ×1).</t>
        </r>
      </text>
    </comment>
    <comment ref="J3561" authorId="0">
      <text>
        <r>
          <t>Giá +1: ảnh danh sách BTB do người dùng cung cấp ngày 29/10/2026. +2…+13 theo công thức bp2 (117, ×1).</t>
        </r>
      </text>
    </comment>
    <comment ref="J3562" authorId="0">
      <text>
        <r>
          <t>Giá +1: ảnh danh sách BTB do người dùng cung cấp ngày 29/10/2026. +2…+13 theo công thức bp2 (117, ×1).</t>
        </r>
      </text>
    </comment>
    <comment ref="J3563" authorId="0">
      <text>
        <r>
          <t>Giá +1: ảnh danh sách BTB do người dùng cung cấp ngày 29/10/2026. +2…+13 theo công thức bp2 (117, ×1).</t>
        </r>
      </text>
    </comment>
    <comment ref="J3564" authorId="0">
      <text>
        <r>
          <t>Giá +1: ảnh danh sách BTB do người dùng cung cấp ngày 29/10/2026. +2…+13 theo công thức bp2 (117, ×1).</t>
        </r>
      </text>
    </comment>
    <comment ref="J3565" authorId="0">
      <text>
        <r>
          <t>Giá +1: ảnh danh sách BTB do người dùng cung cấp ngày 29/10/2026. +2…+13 theo công thức bp2 (117, ×1).</t>
        </r>
      </text>
    </comment>
    <comment ref="J3566" authorId="0">
      <text>
        <r>
          <t>Giá +1: ảnh danh sách BTB do người dùng cung cấp ngày 29/10/2026. +2…+13 theo công thức bp2 (117, ×1).</t>
        </r>
      </text>
    </comment>
    <comment ref="J3567" authorId="0">
      <text>
        <r>
          <t>Giá +1: ảnh danh sách BTB do người dùng cung cấp ngày 29/10/2026. +2…+13 theo công thức bp2 (117, ×1).</t>
        </r>
      </text>
    </comment>
    <comment ref="J3568" authorId="0">
      <text>
        <r>
          <t>Giá +1: ảnh danh sách BTB do người dùng cung cấp ngày 29/10/2026. +2…+13 theo công thức bp2 (117, ×1).</t>
        </r>
      </text>
    </comment>
    <comment ref="J3569" authorId="0">
      <text>
        <r>
          <t>Giá +1: ảnh danh sách BTB do người dùng cung cấp ngày 29/10/2026. +2…+13 theo công thức bp2 (117, ×1).</t>
        </r>
      </text>
    </comment>
    <comment ref="J3570" authorId="0">
      <text>
        <r>
          <t>Giá +1: ảnh danh sách BTB do người dùng cung cấp ngày 29/10/2026. +2…+13 theo công thức bp2 (117, ×1).</t>
        </r>
      </text>
    </comment>
    <comment ref="J3571" authorId="0">
      <text>
        <r>
          <t>Giá +1: ảnh danh sách BTB do người dùng cung cấp ngày 29/10/2026. +2…+13 theo công thức bp2 (117, ×1).</t>
        </r>
      </text>
    </comment>
    <comment ref="J3572" authorId="0">
      <text>
        <r>
          <t>Giá +1: ảnh danh sách BTB do người dùng cung cấp ngày 29/10/2026. +2…+13 theo công thức bp2 (117, ×1).</t>
        </r>
      </text>
    </comment>
    <comment ref="J3573" authorId="0">
      <text>
        <r>
          <t>Giá +1: ảnh danh sách BTB do người dùng cung cấp ngày 29/10/2026. +2…+13 theo công thức bp2 (117, ×1).</t>
        </r>
      </text>
    </comment>
    <comment ref="J3574" authorId="0">
      <text>
        <r>
          <t>Giá +1: ảnh danh sách BTB do người dùng cung cấp ngày 29/10/2026. +2…+13 theo công thức bp2 (117, ×1).</t>
        </r>
      </text>
    </comment>
    <comment ref="J3575" authorId="0">
      <text>
        <r>
          <t>Giá +1: ảnh danh sách BTB do người dùng cung cấp ngày 29/10/2026. +2…+13 theo công thức bp2 (117, ×1).</t>
        </r>
      </text>
    </comment>
    <comment ref="J3576" authorId="0">
      <text>
        <r>
          <t>Giá +1: ảnh danh sách BTB do người dùng cung cấp ngày 29/10/2026. +2…+13 theo công thức bp2 (117, ×1).</t>
        </r>
      </text>
    </comment>
    <comment ref="J3577" authorId="0">
      <text>
        <r>
          <t>Giá +1: ảnh danh sách BTB do người dùng cung cấp ngày 29/10/2026. +2…+13 theo công thức bp2 (117, ×1).</t>
        </r>
      </text>
    </comment>
    <comment ref="J3578" authorId="0">
      <text>
        <r>
          <t>Giá +1: ảnh danh sách BTB do người dùng cung cấp ngày 29/10/2026. +2…+13 theo công thức bp2 (117, ×1).</t>
        </r>
      </text>
    </comment>
    <comment ref="J3579" authorId="0">
      <text>
        <r>
          <t>Giá +1: ảnh danh sách BTB do người dùng cung cấp ngày 29/10/2026. +2…+13 theo công thức bp2 (117, ×1).</t>
        </r>
      </text>
    </comment>
    <comment ref="J3580" authorId="0">
      <text>
        <r>
          <t>Giá +1: ảnh danh sách BTB do người dùng cung cấp ngày 29/10/2026. +2…+13 theo công thức bp2 (117, ×1).</t>
        </r>
      </text>
    </comment>
    <comment ref="J3581" authorId="0">
      <text>
        <r>
          <t>Giá +1: ảnh danh sách BTB do người dùng cung cấp ngày 29/10/2026. +2…+13 theo công thức bp2 (117, ×1).</t>
        </r>
      </text>
    </comment>
    <comment ref="J3582" authorId="0">
      <text>
        <r>
          <t>Giá +1: ảnh danh sách BTB do người dùng cung cấp ngày 29/10/2026. +2…+13 theo công thức bp2 (117, ×1).</t>
        </r>
      </text>
    </comment>
    <comment ref="J3583" authorId="0">
      <text>
        <r>
          <t>Giá +1: ảnh danh sách BTB do người dùng cung cấp ngày 29/10/2026. +2…+13 theo công thức bp2 (117, ×1).</t>
        </r>
      </text>
    </comment>
    <comment ref="J3584" authorId="0">
      <text>
        <r>
          <t>Giá +1: ảnh danh sách BTB do người dùng cung cấp ngày 29/10/2026. +2…+13 theo công thức bp2 (117, ×1).</t>
        </r>
      </text>
    </comment>
    <comment ref="J3585" authorId="0">
      <text>
        <r>
          <t>Giá +1: ảnh danh sách BTB do người dùng cung cấp ngày 29/10/2026. +2…+13 theo công thức bp2 (117, ×1).</t>
        </r>
      </text>
    </comment>
    <comment ref="J3586" authorId="0">
      <text>
        <r>
          <t>Giá +1: ảnh danh sách BTB do người dùng cung cấp ngày 29/10/2026. +2…+13 theo công thức bp2 (117, ×1).</t>
        </r>
      </text>
    </comment>
    <comment ref="J3587" authorId="0">
      <text>
        <r>
          <t>Giá +1: ảnh danh sách BTB do người dùng cung cấp ngày 29/10/2026. +2…+13 theo công thức bp2 (117, ×1).</t>
        </r>
      </text>
    </comment>
    <comment ref="J3588" authorId="0">
      <text>
        <r>
          <t>Giá +1: ảnh danh sách BTB do người dùng cung cấp ngày 29/10/2026. +2…+13 theo công thức bp2 (117, ×1).</t>
        </r>
      </text>
    </comment>
    <comment ref="J3589" authorId="0">
      <text>
        <r>
          <t>Giá +1: ảnh danh sách BTB do người dùng cung cấp ngày 29/10/2026. +2…+13 theo công thức bp2 (117, ×1).</t>
        </r>
      </text>
    </comment>
    <comment ref="J3590" authorId="0">
      <text>
        <r>
          <t>Giá +1: ảnh danh sách BTB do người dùng cung cấp ngày 29/10/2026. +2…+13 theo công thức bp2 (117, ×1).</t>
        </r>
      </text>
    </comment>
    <comment ref="J3591" authorId="0">
      <text>
        <r>
          <t>Giá +1: ảnh danh sách BTB do người dùng cung cấp ngày 29/10/2026. +2…+13 theo công thức bp2 (117, ×1).</t>
        </r>
      </text>
    </comment>
    <comment ref="J3592" authorId="0">
      <text>
        <r>
          <t>Giá +1: ảnh danh sách BTB do người dùng cung cấp ngày 29/10/2026. +2…+13 theo công thức bp2 (117, ×1).</t>
        </r>
      </text>
    </comment>
    <comment ref="J3593" authorId="0">
      <text>
        <r>
          <t>Giá +1: ảnh danh sách BTB do người dùng cung cấp ngày 29/10/2026. +2…+13 theo công thức bp2 (117, ×1).</t>
        </r>
      </text>
    </comment>
    <comment ref="J3594" authorId="0">
      <text>
        <r>
          <t>Giá +1: ảnh danh sách BTB do người dùng cung cấp ngày 29/10/2026. +2…+13 theo công thức bp2 (117, ×1).</t>
        </r>
      </text>
    </comment>
    <comment ref="J3595" authorId="0">
      <text>
        <r>
          <t>Giá +1: ảnh danh sách BTB do người dùng cung cấp ngày 29/10/2026. +2…+13 theo công thức bp2 (117, ×1).</t>
        </r>
      </text>
    </comment>
    <comment ref="J3596" authorId="0">
      <text>
        <r>
          <t>Giá +1: ảnh danh sách BTB do người dùng cung cấp ngày 29/10/2026. +2…+13 theo công thức bp2 (117, ×1).</t>
        </r>
      </text>
    </comment>
    <comment ref="J3597" authorId="0">
      <text>
        <r>
          <t>Giá +1: ảnh danh sách BTB do người dùng cung cấp ngày 29/10/2026. +2…+13 theo công thức bp2 (117, ×1).</t>
        </r>
      </text>
    </comment>
    <comment ref="J3598" authorId="0">
      <text>
        <r>
          <t>Giá +1: ảnh danh sách BTB do người dùng cung cấp ngày 29/10/2026. +2…+13 theo công thức bp2 (117, ×1).</t>
        </r>
      </text>
    </comment>
    <comment ref="J3599" authorId="0">
      <text>
        <r>
          <t>Giá +1: ảnh danh sách BTB do người dùng cung cấp ngày 29/10/2026. +2…+13 theo công thức bp2 (117, ×1).</t>
        </r>
      </text>
    </comment>
    <comment ref="J3600" authorId="0">
      <text>
        <r>
          <t>Giá +1: ảnh danh sách BTB do người dùng cung cấp ngày 29/10/2026. +2…+13 theo công thức bp2 (117, ×1).</t>
        </r>
      </text>
    </comment>
    <comment ref="J3601" authorId="0">
      <text>
        <r>
          <t>Giá +1: ảnh danh sách BTB do người dùng cung cấp ngày 29/10/2026. +2…+13 theo công thức bp2 (117, ×1).</t>
        </r>
      </text>
    </comment>
    <comment ref="J3602" authorId="0">
      <text>
        <r>
          <t>Giá +1: ảnh danh sách BTB do người dùng cung cấp ngày 29/10/2026. +2…+13 theo công thức bp2 (117, ×1).</t>
        </r>
      </text>
    </comment>
    <comment ref="J3603" authorId="0">
      <text>
        <r>
          <t>Giá +1: ảnh danh sách BTB do người dùng cung cấp ngày 29/10/2026. +2…+13 theo công thức bp2 (117, ×1).</t>
        </r>
      </text>
    </comment>
    <comment ref="J3604" authorId="0">
      <text>
        <r>
          <t>Giá +1: ảnh danh sách BTB do người dùng cung cấp ngày 29/10/2026. +2…+13 theo công thức bp2 (117, ×1).</t>
        </r>
      </text>
    </comment>
    <comment ref="J3605" authorId="0">
      <text>
        <r>
          <t>Giá +1: ảnh danh sách BTB do người dùng cung cấp ngày 29/10/2026. +2…+13 theo công thức bp2 (117, ×1).</t>
        </r>
      </text>
    </comment>
    <comment ref="J3606" authorId="0">
      <text>
        <r>
          <t>Giá +1: ảnh danh sách BTB do người dùng cung cấp ngày 29/10/2026. +2…+13 theo công thức bp2 (117, ×1).</t>
        </r>
      </text>
    </comment>
    <comment ref="J3607" authorId="0">
      <text>
        <r>
          <t>Giá +1: ảnh danh sách BTB do người dùng cung cấp ngày 29/10/2026. +2…+13 theo công thức bp2 (117, ×1).</t>
        </r>
      </text>
    </comment>
    <comment ref="J3608" authorId="0">
      <text>
        <r>
          <t>Giá +1: ảnh danh sách BTB do người dùng cung cấp ngày 29/10/2026. +2…+13 theo công thức bp2 (117, ×1).</t>
        </r>
      </text>
    </comment>
    <comment ref="J3609" authorId="0">
      <text>
        <r>
          <t>Giá +1: ảnh danh sách BTB do người dùng cung cấp ngày 29/10/2026. +2…+13 theo công thức bp2 (117, ×1).</t>
        </r>
      </text>
    </comment>
    <comment ref="J3610" authorId="0">
      <text>
        <r>
          <t>Giá +1: ảnh danh sách BTB do người dùng cung cấp ngày 29/10/2026. +2…+13 theo công thức bp2 (117, ×1).</t>
        </r>
      </text>
    </comment>
    <comment ref="J3611" authorId="0">
      <text>
        <r>
          <t>Giá +1: ảnh danh sách BTB do người dùng cung cấp ngày 29/10/2026. +2…+13 theo công thức bp2 (117, ×1).</t>
        </r>
      </text>
    </comment>
    <comment ref="J3612" authorId="0">
      <text>
        <r>
          <t>Giá +1: ảnh danh sách BTB do người dùng cung cấp ngày 29/10/2026. +2…+13 theo công thức bp2 (117, ×1).</t>
        </r>
      </text>
    </comment>
    <comment ref="J3613" authorId="0">
      <text>
        <r>
          <t>Giá +1: ảnh danh sách EBS do người dùng cung cấp ngày 29/10/2026. +2…+13 theo công thức bp2 (117, ×1).</t>
        </r>
      </text>
    </comment>
    <comment ref="J3614" authorId="0">
      <text>
        <r>
          <t>Giá +1: ảnh danh sách EBS do người dùng cung cấp ngày 29/10/2026. +2…+13 theo công thức bp2 (117, ×1).</t>
        </r>
      </text>
    </comment>
    <comment ref="J3615" authorId="0">
      <text>
        <r>
          <t>Giá +1: ảnh danh sách EBS do người dùng cung cấp ngày 29/10/2026. +2…+13 theo công thức bp2 (117, ×1).</t>
        </r>
      </text>
    </comment>
    <comment ref="J3616" authorId="0">
      <text>
        <r>
          <t>Giá +1: ảnh danh sách EBS do người dùng cung cấp ngày 29/10/2026. +2…+13 theo công thức bp2 (117, ×1).</t>
        </r>
      </text>
    </comment>
    <comment ref="J3617" authorId="0">
      <text>
        <r>
          <t>Giá +1: ảnh danh sách EBS do người dùng cung cấp ngày 29/10/2026. +2…+13 theo công thức bp2 (117, ×1).</t>
        </r>
      </text>
    </comment>
    <comment ref="J3618" authorId="0">
      <text>
        <r>
          <t>Giá +1: ảnh danh sách EBS do người dùng cung cấp ngày 29/10/2026. +2…+13 theo công thức bp2 (117, ×1).</t>
        </r>
      </text>
    </comment>
    <comment ref="J3619" authorId="0">
      <text>
        <r>
          <t>Giá +1: ảnh danh sách EBS do người dùng cung cấp ngày 29/10/2026. +2…+13 theo công thức bp2 (117, ×1).</t>
        </r>
      </text>
    </comment>
    <comment ref="J3620" authorId="0">
      <text>
        <r>
          <t>Giá +1: ảnh danh sách EBS do người dùng cung cấp ngày 29/10/2026. +2…+13 theo công thức bp2 (117, ×1).</t>
        </r>
      </text>
    </comment>
    <comment ref="J3621" authorId="0">
      <text>
        <r>
          <t>Giá +1: ảnh danh sách EBS do người dùng cung cấp ngày 29/10/2026. +2…+13 theo công thức bp2 (117, ×1).</t>
        </r>
      </text>
    </comment>
    <comment ref="J3622" authorId="0">
      <text>
        <r>
          <t>Giá +1: ảnh danh sách EBS do người dùng cung cấp ngày 29/10/2026. +2…+13 theo công thức bp2 (117, ×1).</t>
        </r>
      </text>
    </comment>
    <comment ref="J3623" authorId="0">
      <text>
        <r>
          <t>Giá +1: ảnh danh sách EBS do người dùng cung cấp ngày 29/10/2026. +2…+13 theo công thức bp2 (117, ×1).</t>
        </r>
      </text>
    </comment>
    <comment ref="J3624" authorId="0">
      <text>
        <r>
          <t>Giá +1: ảnh danh sách EBS do người dùng cung cấp ngày 29/10/2026. +2…+13 theo công thức bp2 (117, ×1).</t>
        </r>
      </text>
    </comment>
    <comment ref="J3625" authorId="0">
      <text>
        <r>
          <t>Giá +1: ảnh danh sách EBS do người dùng cung cấp ngày 29/10/2026. +2…+13 theo công thức bp2 (117, ×1).</t>
        </r>
      </text>
    </comment>
    <comment ref="J3626" authorId="0">
      <text>
        <r>
          <t>Giá +1: ảnh danh sách EBS do người dùng cung cấp ngày 29/10/2026. +2…+13 theo công thức bp2 (117, ×1).</t>
        </r>
      </text>
    </comment>
    <comment ref="J3627" authorId="0">
      <text>
        <r>
          <t>Giá +1: ảnh danh sách EBS do người dùng cung cấp ngày 29/10/2026. +2…+13 theo công thức bp2 (117, ×1).</t>
        </r>
      </text>
    </comment>
    <comment ref="J3628" authorId="0">
      <text>
        <r>
          <t>Giá +1: ảnh danh sách EBS do người dùng cung cấp ngày 29/10/2026. +2…+13 theo công thức bp2 (117, ×1).</t>
        </r>
      </text>
    </comment>
    <comment ref="J3629" authorId="0">
      <text>
        <r>
          <t>Giá +1: ảnh danh sách EBS do người dùng cung cấp ngày 29/10/2026. +2…+13 theo công thức bp2 (117, ×1).</t>
        </r>
      </text>
    </comment>
    <comment ref="J3630" authorId="0">
      <text>
        <r>
          <t>Giá +1: ảnh danh sách EBS do người dùng cung cấp ngày 29/10/2026. +2…+13 theo công thức bp2 (117, ×1).</t>
        </r>
      </text>
    </comment>
    <comment ref="J3631" authorId="0">
      <text>
        <r>
          <t>Giá +1: ảnh danh sách EBS do người dùng cung cấp ngày 29/10/2026. +2…+13 theo công thức bp2 (117, ×1).</t>
        </r>
      </text>
    </comment>
    <comment ref="J3632" authorId="0">
      <text>
        <r>
          <t>Giá +1: ảnh danh sách EBS do người dùng cung cấp ngày 29/10/2026. +2…+13 theo công thức bp2 (117, ×1).</t>
        </r>
      </text>
    </comment>
    <comment ref="J3633" authorId="0">
      <text>
        <r>
          <t>Giá +1: ảnh danh sách EBS do người dùng cung cấp ngày 29/10/2026. +2…+13 theo công thức bp2 (117, ×1).</t>
        </r>
      </text>
    </comment>
    <comment ref="J3634" authorId="0">
      <text>
        <r>
          <t>Giá +1: ảnh danh sách EBS do người dùng cung cấp ngày 29/10/2026. +2…+13 theo công thức bp2 (117, ×1).</t>
        </r>
      </text>
    </comment>
    <comment ref="J3635" authorId="0">
      <text>
        <r>
          <t>Giá +1: ảnh danh sách EBS do người dùng cung cấp ngày 29/10/2026. +2…+13 theo công thức bp2 (117, ×1).</t>
        </r>
      </text>
    </comment>
    <comment ref="J3636" authorId="0">
      <text>
        <r>
          <t>Giá +1: ảnh danh sách EBS do người dùng cung cấp ngày 29/10/2026. +2…+13 theo công thức bp2 (117, ×1).</t>
        </r>
      </text>
    </comment>
    <comment ref="J3637" authorId="0">
      <text>
        <r>
          <t>Giá +1: ảnh danh sách EBS do người dùng cung cấp ngày 29/10/2026. +2…+13 theo công thức bp2 (117, ×1).</t>
        </r>
      </text>
    </comment>
    <comment ref="J3638" authorId="0">
      <text>
        <r>
          <t>Giá +1: ảnh danh sách EBS do người dùng cung cấp ngày 29/10/2026. +2…+13 theo công thức bp2 (117, ×1).</t>
        </r>
      </text>
    </comment>
    <comment ref="J3639" authorId="0">
      <text>
        <r>
          <t>Giá +1: ảnh danh sách EBS do người dùng cung cấp ngày 29/10/2026. +2…+13 theo công thức bp2 (117, ×1).</t>
        </r>
      </text>
    </comment>
    <comment ref="J3640" authorId="0">
      <text>
        <r>
          <t>Giá +1: ảnh danh sách EBS do người dùng cung cấp ngày 29/10/2026. +2…+13 theo công thức bp2 (117, ×1).</t>
        </r>
      </text>
    </comment>
    <comment ref="J3641" authorId="0">
      <text>
        <r>
          <t>Giá +1: ảnh danh sách EBS do người dùng cung cấp ngày 29/10/2026. +2…+13 theo công thức bp2 (117, ×1).</t>
        </r>
      </text>
    </comment>
    <comment ref="J3642" authorId="0">
      <text>
        <r>
          <t>Giá +1: ảnh danh sách EBS do người dùng cung cấp ngày 29/10/2026. +2…+13 theo công thức bp2 (117, ×1).</t>
        </r>
      </text>
    </comment>
    <comment ref="J3643" authorId="0">
      <text>
        <r>
          <t>Giá +1: ảnh danh sách EBS do người dùng cung cấp ngày 29/10/2026. +2…+13 theo công thức bp2 (117, ×1).</t>
        </r>
      </text>
    </comment>
    <comment ref="J3644" authorId="0">
      <text>
        <r>
          <t>Giá +1: ảnh danh sách EBS do người dùng cung cấp ngày 29/10/2026. +2…+13 theo công thức bp2 (117, ×1).</t>
        </r>
      </text>
    </comment>
    <comment ref="J3645" authorId="0">
      <text>
        <r>
          <t>Giá +1: ảnh danh sách EBS do người dùng cung cấp ngày 29/10/2026. +2…+13 theo công thức bp2 (117, ×1).</t>
        </r>
      </text>
    </comment>
    <comment ref="J3646" authorId="0">
      <text>
        <r>
          <t>Giá +1: ảnh danh sách EBS do người dùng cung cấp ngày 29/10/2026. +2…+13 theo công thức bp2 (117, ×1).</t>
        </r>
      </text>
    </comment>
    <comment ref="J3647" authorId="0">
      <text>
        <r>
          <t>Giá +1: ảnh danh sách EBS do người dùng cung cấp ngày 29/10/2026. +2…+13 theo công thức bp2 (117, ×1).</t>
        </r>
      </text>
    </comment>
    <comment ref="J3648" authorId="0">
      <text>
        <r>
          <t>Giá +1: ảnh danh sách EBS do người dùng cung cấp ngày 29/10/2026. +2…+13 theo công thức bp2 (117, ×1).</t>
        </r>
      </text>
    </comment>
    <comment ref="J3649" authorId="0">
      <text>
        <r>
          <t>Giá +1: ảnh danh sách EBS do người dùng cung cấp ngày 29/10/2026. +2…+13 theo công thức bp2 (117, ×1).</t>
        </r>
      </text>
    </comment>
    <comment ref="J3650" authorId="0">
      <text>
        <r>
          <t>Giá +1: ảnh danh sách EBS do người dùng cung cấp ngày 29/10/2026. +2…+13 theo công thức bp2 (117, ×1).</t>
        </r>
      </text>
    </comment>
    <comment ref="J3651" authorId="0">
      <text>
        <r>
          <t>Giá +1: ảnh danh sách EBS do người dùng cung cấp ngày 29/10/2026. +2…+13 theo công thức bp2 (117, ×1).</t>
        </r>
      </text>
    </comment>
    <comment ref="J3652" authorId="0">
      <text>
        <r>
          <t>Giá +1: ảnh danh sách EBS do người dùng cung cấp ngày 29/10/2026. +2…+13 theo công thức bp2 (117, ×1).</t>
        </r>
      </text>
    </comment>
    <comment ref="J3653" authorId="0">
      <text>
        <r>
          <t>Giá +1: ảnh danh sách EBS do người dùng cung cấp ngày 29/10/2026. +2…+13 theo công thức bp2 (117, ×1).</t>
        </r>
      </text>
    </comment>
    <comment ref="J3654" authorId="0">
      <text>
        <r>
          <t>Giá +1: ảnh danh sách EBS do người dùng cung cấp ngày 29/10/2026. +2…+13 theo công thức bp2 (117, ×1).</t>
        </r>
      </text>
    </comment>
    <comment ref="J3655" authorId="0">
      <text>
        <r>
          <t>Giá +1: ảnh danh sách EBS do người dùng cung cấp ngày 29/10/2026. +2…+13 theo công thức bp2 (117, ×1).</t>
        </r>
      </text>
    </comment>
    <comment ref="J3656" authorId="0">
      <text>
        <r>
          <t>Giá +1: ảnh danh sách EBS do người dùng cung cấp ngày 29/10/2026. +2…+13 theo công thức bp2 (117, ×1).</t>
        </r>
      </text>
    </comment>
    <comment ref="J3657" authorId="0">
      <text>
        <r>
          <t>Giá +1: ảnh danh sách EBS do người dùng cung cấp ngày 29/10/2026. +2…+13 theo công thức bp2 (117, ×1).</t>
        </r>
      </text>
    </comment>
    <comment ref="J3658" authorId="0">
      <text>
        <r>
          <t>Giá +1: ảnh danh sách EBS do người dùng cung cấp ngày 29/10/2026. +2…+13 theo công thức bp2 (117, ×1).</t>
        </r>
      </text>
    </comment>
    <comment ref="J3659" authorId="0">
      <text>
        <r>
          <t>Giá +1: ảnh danh sách EBS do người dùng cung cấp ngày 29/10/2026. +2…+13 theo công thức bp2 (117, ×1).</t>
        </r>
      </text>
    </comment>
    <comment ref="J3660" authorId="0">
      <text>
        <r>
          <t>Giá +1: ảnh danh sách EBS do người dùng cung cấp ngày 29/10/2026. +2…+13 theo công thức bp2 (117, ×1).</t>
        </r>
      </text>
    </comment>
    <comment ref="J3661" authorId="0">
      <text>
        <r>
          <t>Giá +1: ảnh danh sách EBS do người dùng cung cấp ngày 29/10/2026. +2…+13 theo công thức bp2 (117, ×1).</t>
        </r>
      </text>
    </comment>
    <comment ref="J3662" authorId="0">
      <text>
        <r>
          <t>Giá +1: ảnh danh sách EBS do người dùng cung cấp ngày 29/10/2026. +2…+13 theo công thức bp2 (117, ×1).</t>
        </r>
      </text>
    </comment>
    <comment ref="J3663" authorId="0">
      <text>
        <r>
          <t>Giá +1: ảnh danh sách EBS do người dùng cung cấp ngày 29/10/2026. +2…+13 theo công thức bp2 (117, ×1).</t>
        </r>
      </text>
    </comment>
    <comment ref="J3664" authorId="0">
      <text>
        <r>
          <t>Giá +1: ảnh danh sách EBS do người dùng cung cấp ngày 29/10/2026. +2…+13 theo công thức bp2 (117, ×1).</t>
        </r>
      </text>
    </comment>
    <comment ref="J3665" authorId="0">
      <text>
        <r>
          <t>Giá +1: ảnh danh sách EBS do người dùng cung cấp ngày 29/10/2026. +2…+13 theo công thức bp2 (117, ×1).</t>
        </r>
      </text>
    </comment>
    <comment ref="J3666" authorId="0">
      <text>
        <r>
          <t>Giá +1: ảnh danh sách EBS do người dùng cung cấp ngày 29/10/2026. +2…+13 theo công thức bp2 (117, ×1).</t>
        </r>
      </text>
    </comment>
    <comment ref="J3667" authorId="0">
      <text>
        <r>
          <t>Giá +1: ảnh danh sách EBS do người dùng cung cấp ngày 29/10/2026. +2…+13 theo công thức bp2 (117, ×1).</t>
        </r>
      </text>
    </comment>
    <comment ref="J3668" authorId="0">
      <text>
        <r>
          <t>Giá +1: ảnh danh sách EBS do người dùng cung cấp ngày 29/10/2026. +2…+13 theo công thức bp2 (117, ×1).</t>
        </r>
      </text>
    </comment>
    <comment ref="J3669" authorId="0">
      <text>
        <r>
          <t>Giá +1: ảnh danh sách EBS do người dùng cung cấp ngày 29/10/2026. +2…+13 theo công thức bp2 (117, ×1).</t>
        </r>
      </text>
    </comment>
    <comment ref="J3670" authorId="0">
      <text>
        <r>
          <t>Giá +1: ảnh danh sách EBS do người dùng cung cấp ngày 29/10/2026. +2…+13 theo công thức bp2 (117, ×1).</t>
        </r>
      </text>
    </comment>
    <comment ref="J3671" authorId="0">
      <text>
        <r>
          <t>Giá +1: ảnh danh sách EBS do người dùng cung cấp ngày 29/10/2026. +2…+13 theo công thức bp2 (117, ×1).</t>
        </r>
      </text>
    </comment>
    <comment ref="J3672" authorId="0">
      <text>
        <r>
          <t>Giá +1: ảnh danh sách EBS do người dùng cung cấp ngày 29/10/2026. +2…+13 theo công thức bp2 (117, ×1).</t>
        </r>
      </text>
    </comment>
    <comment ref="J3673" authorId="0">
      <text>
        <r>
          <t>Giá +1: ảnh danh sách EBS do người dùng cung cấp ngày 29/10/2026. +2…+13 theo công thức bp2 (117, ×1).</t>
        </r>
      </text>
    </comment>
    <comment ref="J3674" authorId="0">
      <text>
        <r>
          <t>Giá +1: ảnh danh sách EBS do người dùng cung cấp ngày 29/10/2026. +2…+13 theo công thức bp2 (117, ×1).</t>
        </r>
      </text>
    </comment>
    <comment ref="J3675" authorId="0">
      <text>
        <r>
          <t>Giá +1: ảnh danh sách EBS do người dùng cung cấp ngày 29/10/2026. +2…+13 theo công thức bp2 (117, ×1).</t>
        </r>
      </text>
    </comment>
    <comment ref="J3676" authorId="0">
      <text>
        <r>
          <t>Giá +1: ảnh danh sách EBS do người dùng cung cấp ngày 29/10/2026. +2…+13 theo công thức bp2 (117, ×1).</t>
        </r>
      </text>
    </comment>
    <comment ref="J3677" authorId="0">
      <text>
        <r>
          <t>Giá +1: ảnh danh sách EBS do người dùng cung cấp ngày 29/10/2026. +2…+13 theo công thức bp2 (117, ×1).</t>
        </r>
      </text>
    </comment>
    <comment ref="J3678" authorId="0">
      <text>
        <r>
          <t>Giá +1: ảnh danh sách EBS do người dùng cung cấp ngày 29/10/2026. +2…+13 theo công thức bp2 (117, ×1).</t>
        </r>
      </text>
    </comment>
    <comment ref="J3679" authorId="0">
      <text>
        <r>
          <t>Giá +1: ảnh danh sách EBS do người dùng cung cấp ngày 29/10/2026. +2…+13 theo công thức bp2 (117, ×1).</t>
        </r>
      </text>
    </comment>
    <comment ref="J3680" authorId="0">
      <text>
        <r>
          <t>Giá +1: ảnh danh sách EBS do người dùng cung cấp ngày 29/10/2026. +2…+13 theo công thức bp2 (117, ×1).</t>
        </r>
      </text>
    </comment>
    <comment ref="J3681" authorId="0">
      <text>
        <r>
          <t>Giá +1: ảnh danh sách EBS do người dùng cung cấp ngày 29/10/2026. +2…+13 theo công thức bp2 (117, ×1).</t>
        </r>
      </text>
    </comment>
    <comment ref="J3682" authorId="0">
      <text>
        <r>
          <t>Giá +1: ảnh danh sách EBS do người dùng cung cấp ngày 29/10/2026. +2…+13 theo công thức bp2 (117, ×1).</t>
        </r>
      </text>
    </comment>
    <comment ref="J3683" authorId="0">
      <text>
        <r>
          <t>Giá +1: ảnh danh sách EBS do người dùng cung cấp ngày 29/10/2026. +2…+13 theo công thức bp2 (117, ×1).</t>
        </r>
      </text>
    </comment>
    <comment ref="J3684" authorId="0">
      <text>
        <r>
          <t>Giá +1: ảnh danh sách EBS do người dùng cung cấp ngày 29/10/2026. +2…+13 theo công thức bp2 (117, ×1).</t>
        </r>
      </text>
    </comment>
    <comment ref="J3685" authorId="0">
      <text>
        <r>
          <t>Giá +1: ảnh danh sách EBS do người dùng cung cấp ngày 29/10/2026. +2…+13 theo công thức bp2 (117, ×1).</t>
        </r>
      </text>
    </comment>
    <comment ref="J3686" authorId="0">
      <text>
        <r>
          <t>Giá +1: ảnh danh sách EBS do người dùng cung cấp ngày 29/10/2026. +2…+13 theo công thức bp2 (117, ×1).</t>
        </r>
      </text>
    </comment>
    <comment ref="J3687" authorId="0">
      <text>
        <r>
          <t>Giá +1: ảnh danh sách EBS do người dùng cung cấp ngày 29/10/2026. +2…+13 theo công thức bp2 (117, ×1).</t>
        </r>
      </text>
    </comment>
    <comment ref="J3688" authorId="0">
      <text>
        <r>
          <t>Giá +1: ảnh danh sách EBS do người dùng cung cấp ngày 29/10/2026. +2…+13 theo công thức bp2 (117, ×1).</t>
        </r>
      </text>
    </comment>
    <comment ref="J3689" authorId="0">
      <text>
        <r>
          <t>Giá +1: ảnh danh sách EBS do người dùng cung cấp ngày 29/10/2026. +2…+13 theo công thức bp2 (117, ×1).</t>
        </r>
      </text>
    </comment>
    <comment ref="J3690" authorId="0">
      <text>
        <r>
          <t>Giá +1: ảnh danh sách EBS do người dùng cung cấp ngày 29/10/2026. +2…+13 theo công thức bp2 (117, ×1).</t>
        </r>
      </text>
    </comment>
    <comment ref="J3691" authorId="0">
      <text>
        <r>
          <t>Giá +1: ảnh danh sách EBS do người dùng cung cấp ngày 29/10/2026. +2…+13 theo công thức bp2 (117, ×1).</t>
        </r>
      </text>
    </comment>
    <comment ref="J3692" authorId="0">
      <text>
        <r>
          <t>Giá +1: ảnh danh sách EBS do người dùng cung cấp ngày 29/10/2026. +2…+13 theo công thức bp2 (117, ×1).</t>
        </r>
      </text>
    </comment>
    <comment ref="J3693" authorId="0">
      <text>
        <r>
          <t>Giá +1: ảnh danh sách EBS do người dùng cung cấp ngày 29/10/2026. +2…+13 theo công thức bp2 (117, ×1).</t>
        </r>
      </text>
    </comment>
    <comment ref="J3694" authorId="0">
      <text>
        <r>
          <t>Giá +1: ảnh danh sách EBS do người dùng cung cấp ngày 29/10/2026. +2…+13 theo công thức bp2 (117, ×1).</t>
        </r>
      </text>
    </comment>
    <comment ref="J3695" authorId="0">
      <text>
        <r>
          <t>Giá +1: ảnh danh sách EBS do người dùng cung cấp ngày 29/10/2026. +2…+13 theo công thức bp2 (117, ×1).</t>
        </r>
      </text>
    </comment>
    <comment ref="J3696" authorId="0">
      <text>
        <r>
          <t>Giá +1: ảnh danh sách EBS do người dùng cung cấp ngày 29/10/2026. +2…+13 theo công thức bp2 (117, ×1).</t>
        </r>
      </text>
    </comment>
    <comment ref="J3697" authorId="0">
      <text>
        <r>
          <t>Giá +1: ảnh danh sách EBS do người dùng cung cấp ngày 29/10/2026. +2…+13 theo công thức bp2 (117, ×1).</t>
        </r>
      </text>
    </comment>
    <comment ref="J3698" authorId="0">
      <text>
        <r>
          <t>Giá +1: ảnh danh sách EBS do người dùng cung cấp ngày 29/10/2026. +2…+13 theo công thức bp2 (117, ×1).</t>
        </r>
      </text>
    </comment>
    <comment ref="J3699" authorId="0">
      <text>
        <r>
          <t>Giá +1: ảnh danh sách EBS do người dùng cung cấp ngày 29/10/2026. +2…+13 theo công thức bp2 (117, ×1).</t>
        </r>
      </text>
    </comment>
    <comment ref="J3700" authorId="0">
      <text>
        <r>
          <t>Giá +1: ảnh danh sách EBS do người dùng cung cấp ngày 29/10/2026. +2…+13 theo công thức bp2 (117, ×1).</t>
        </r>
      </text>
    </comment>
    <comment ref="J3701" authorId="0">
      <text>
        <r>
          <t>Giá +1: ảnh danh sách EBS do người dùng cung cấp ngày 29/10/2026. +2…+13 theo công thức bp2 (117, ×1).</t>
        </r>
      </text>
    </comment>
    <comment ref="J3702" authorId="0">
      <text>
        <r>
          <t>Giá +1: ảnh danh sách EBS do người dùng cung cấp ngày 29/10/2026. +2…+13 theo công thức bp2 (117, ×1).</t>
        </r>
      </text>
    </comment>
    <comment ref="J3703" authorId="0">
      <text>
        <r>
          <t>Giá +1: ảnh danh sách EBS do người dùng cung cấp ngày 29/10/2026. +2…+13 theo công thức bp2 (117, ×1).</t>
        </r>
      </text>
    </comment>
    <comment ref="J3704" authorId="0">
      <text>
        <r>
          <t>Giá +1: ảnh danh sách EBS do người dùng cung cấp ngày 29/10/2026. +2…+13 theo công thức bp2 (117, ×1).</t>
        </r>
      </text>
    </comment>
    <comment ref="J3705" authorId="0">
      <text>
        <r>
          <t>Giá +1: ảnh danh sách EBS do người dùng cung cấp ngày 29/10/2026. +2…+13 theo công thức bp2 (117, ×1).</t>
        </r>
      </text>
    </comment>
    <comment ref="J3706" authorId="0">
      <text>
        <r>
          <t>Giá +1: ảnh danh sách EBS do người dùng cung cấp ngày 29/10/2026. +2…+13 theo công thức bp2 (117, ×1).</t>
        </r>
      </text>
    </comment>
    <comment ref="J3707" authorId="0">
      <text>
        <r>
          <t>Giá +1: ảnh danh sách EBS do người dùng cung cấp ngày 29/10/2026. +2…+13 theo công thức bp2 (117, ×1).</t>
        </r>
      </text>
    </comment>
    <comment ref="J3708" authorId="0">
      <text>
        <r>
          <t>Giá +1: ảnh danh sách EBS do người dùng cung cấp ngày 29/10/2026. +2…+13 theo công thức bp2 (117, ×1).</t>
        </r>
      </text>
    </comment>
    <comment ref="J3709" authorId="0">
      <text>
        <r>
          <t>Giá +1: ảnh danh sách EBS do người dùng cung cấp ngày 29/10/2026. +2…+13 theo công thức bp2 (117, ×1).</t>
        </r>
      </text>
    </comment>
    <comment ref="J3710" authorId="0">
      <text>
        <r>
          <t>Giá +1: ảnh danh sách EBS do người dùng cung cấp ngày 29/10/2026. +2…+13 theo công thức bp2 (117, ×1).</t>
        </r>
      </text>
    </comment>
    <comment ref="J3711" authorId="0">
      <text>
        <r>
          <t>Giá +1: ảnh danh sách EBS do người dùng cung cấp ngày 29/10/2026. +2…+13 theo công thức bp2 (117, ×1).</t>
        </r>
      </text>
    </comment>
    <comment ref="J3712" authorId="0">
      <text>
        <r>
          <t>Giá +1: ảnh danh sách EBS do người dùng cung cấp ngày 29/10/2026. +2…+13 theo công thức bp2 (117, ×1).</t>
        </r>
      </text>
    </comment>
    <comment ref="J3713" authorId="0">
      <text>
        <r>
          <t>Giá +1: ảnh danh sách JUVENTUS do người dùng cung cấp ngày 29/10/2026. +2…+13 theo công thức bp2 (117, ×1).</t>
        </r>
      </text>
    </comment>
    <comment ref="J3714" authorId="0">
      <text>
        <r>
          <t>Giá +1: ảnh danh sách JUVENTUS do người dùng cung cấp ngày 29/10/2026. +2…+13 theo công thức bp2 (117, ×1).</t>
        </r>
      </text>
    </comment>
    <comment ref="J3715" authorId="0">
      <text>
        <r>
          <t>Giá +1: ảnh danh sách JUVENTUS do người dùng cung cấp ngày 29/10/2026. +2…+13 theo công thức bp2 (117, ×1).</t>
        </r>
      </text>
    </comment>
    <comment ref="J3716" authorId="0">
      <text>
        <r>
          <t>Giá +1: ảnh danh sách JUVENTUS do người dùng cung cấp ngày 29/10/2026. +2…+13 theo công thức bp2 (117, ×1).</t>
        </r>
      </text>
    </comment>
    <comment ref="J3717" authorId="0">
      <text>
        <r>
          <t>Giá +1: ảnh danh sách JUVENTUS do người dùng cung cấp ngày 29/10/2026. +2…+13 theo công thức bp2 (117, ×1).</t>
        </r>
      </text>
    </comment>
    <comment ref="J3718" authorId="0">
      <text>
        <r>
          <t>Giá +1: ảnh danh sách JUVENTUS do người dùng cung cấp ngày 29/10/2026. +2…+13 theo công thức bp2 (117, ×1).</t>
        </r>
      </text>
    </comment>
    <comment ref="J3719" authorId="0">
      <text>
        <r>
          <t>Giá +1: ảnh danh sách JUVENTUS do người dùng cung cấp ngày 29/10/2026. +2…+13 theo công thức bp2 (117, ×1).</t>
        </r>
      </text>
    </comment>
    <comment ref="J3720" authorId="0">
      <text>
        <r>
          <t>Giá +1: ảnh danh sách JUVENTUS do người dùng cung cấp ngày 29/10/2026. +2…+13 theo công thức bp2 (117, ×1).</t>
        </r>
      </text>
    </comment>
    <comment ref="J3721" authorId="0">
      <text>
        <r>
          <t>Giá +1: ảnh danh sách JUVENTUS do người dùng cung cấp ngày 29/10/2026. +2…+13 theo công thức bp2 (117, ×1).</t>
        </r>
      </text>
    </comment>
    <comment ref="J3722" authorId="0">
      <text>
        <r>
          <t>Giá +1: ảnh danh sách JUVENTUS do người dùng cung cấp ngày 29/10/2026. +2…+13 theo công thức bp2 (117, ×1).</t>
        </r>
      </text>
    </comment>
    <comment ref="J3723" authorId="0">
      <text>
        <r>
          <t>Giá +1: ảnh danh sách JUVENTUS do người dùng cung cấp ngày 29/10/2026. +2…+13 theo công thức bp2 (117, ×1).</t>
        </r>
      </text>
    </comment>
    <comment ref="J3724" authorId="0">
      <text>
        <r>
          <t>Giá +1: ảnh danh sách JUVENTUS do người dùng cung cấp ngày 29/10/2026. +2…+13 theo công thức bp2 (117, ×1).</t>
        </r>
      </text>
    </comment>
    <comment ref="J3725" authorId="0">
      <text>
        <r>
          <t>Giá +1: ảnh danh sách JUVENTUS do người dùng cung cấp ngày 29/10/2026. +2…+13 theo công thức bp2 (117, ×1).</t>
        </r>
      </text>
    </comment>
    <comment ref="J3726" authorId="0">
      <text>
        <r>
          <t>Giá +1: ảnh danh sách JUVENTUS do người dùng cung cấp ngày 29/10/2026. +2…+13 theo công thức bp2 (117, ×1).</t>
        </r>
      </text>
    </comment>
    <comment ref="J3727" authorId="0">
      <text>
        <r>
          <t>Giá +1: ảnh danh sách JNM do người dùng cung cấp ngày 29/10/2026. +2…+13 theo công thức bp2 (117, ×1).</t>
        </r>
      </text>
    </comment>
    <comment ref="J3728" authorId="0">
      <text>
        <r>
          <t>Giá +1: ảnh danh sách JNM do người dùng cung cấp ngày 29/10/2026. +2…+13 theo công thức bp2 (117, ×1).</t>
        </r>
      </text>
    </comment>
    <comment ref="J3729" authorId="0">
      <text>
        <r>
          <t>Giá +1: ảnh danh sách JNM do người dùng cung cấp ngày 29/10/2026. +2…+13 theo công thức bp2 (117, ×1).</t>
        </r>
      </text>
    </comment>
    <comment ref="J3730" authorId="0">
      <text>
        <r>
          <t>Giá +1: ảnh danh sách JNM do người dùng cung cấp ngày 29/10/2026. +2…+13 theo công thức bp2 (117, ×1).</t>
        </r>
      </text>
    </comment>
    <comment ref="J3731" authorId="0">
      <text>
        <r>
          <t>Giá +1: ảnh danh sách JNM do người dùng cung cấp ngày 29/10/2026. +2…+13 theo công thức bp2 (117, ×1).</t>
        </r>
      </text>
    </comment>
    <comment ref="J3732" authorId="0">
      <text>
        <r>
          <t>Giá +1: ảnh danh sách JNM do người dùng cung cấp ngày 29/10/2026. +2…+13 theo công thức bp2 (117, ×1).</t>
        </r>
      </text>
    </comment>
    <comment ref="J3733" authorId="0">
      <text>
        <r>
          <t>Giá +1: ảnh danh sách JNM do người dùng cung cấp ngày 29/10/2026. +2…+13 theo công thức bp2 (117, ×1).</t>
        </r>
      </text>
    </comment>
    <comment ref="J3734" authorId="0">
      <text>
        <r>
          <t>Giá +1: ảnh danh sách JNM do người dùng cung cấp ngày 29/10/2026. +2…+13 theo công thức bp2 (117, ×1).</t>
        </r>
      </text>
    </comment>
    <comment ref="J3735" authorId="0">
      <text>
        <r>
          <t>Giá +1: ảnh danh sách JNM do người dùng cung cấp ngày 29/10/2026. +2…+13 theo công thức bp2 (117, ×1).</t>
        </r>
      </text>
    </comment>
    <comment ref="J3736" authorId="0">
      <text>
        <r>
          <t>Giá +1: ảnh danh sách JNM do người dùng cung cấp ngày 29/10/2026. +2…+13 theo công thức bp2 (117, ×1).</t>
        </r>
      </text>
    </comment>
    <comment ref="J3737" authorId="0">
      <text>
        <r>
          <t>Giá +1: ảnh danh sách JNM do người dùng cung cấp ngày 29/10/2026. +2…+13 theo công thức bp2 (117, ×1).</t>
        </r>
      </text>
    </comment>
    <comment ref="J3738" authorId="0">
      <text>
        <r>
          <t>Giá +1: ảnh danh sách JNM do người dùng cung cấp ngày 29/10/2026. +2…+13 theo công thức bp2 (117, ×1).</t>
        </r>
      </text>
    </comment>
    <comment ref="J3739" authorId="0">
      <text>
        <r>
          <t>Giá +1: ảnh danh sách JNM do người dùng cung cấp ngày 29/10/2026. +2…+13 theo công thức bp2 (117, ×1).</t>
        </r>
      </text>
    </comment>
    <comment ref="J3740" authorId="0">
      <text>
        <r>
          <t>Giá +1: ảnh danh sách JNM do người dùng cung cấp ngày 29/10/2026. +2…+13 theo công thức bp2 (117, ×1).</t>
        </r>
      </text>
    </comment>
    <comment ref="J3741" authorId="0">
      <text>
        <r>
          <t>Giá +1: ảnh danh sách JNM do người dùng cung cấp ngày 29/10/2026. +2…+13 theo công thức bp2 (117, ×1).</t>
        </r>
      </text>
    </comment>
    <comment ref="J3742" authorId="0">
      <text>
        <r>
          <t>Giá +1: ảnh danh sách JNM do người dùng cung cấp ngày 29/10/2026. +2…+13 theo công thức bp2 (117, ×1).</t>
        </r>
      </text>
    </comment>
    <comment ref="J3743" authorId="0">
      <text>
        <r>
          <t>Giá +1: ảnh danh sách JNM do người dùng cung cấp ngày 29/10/2026. +2…+13 theo công thức bp2 (117, ×1).</t>
        </r>
      </text>
    </comment>
    <comment ref="J3744" authorId="0">
      <text>
        <r>
          <t>Giá +1: ảnh danh sách JNM do người dùng cung cấp ngày 29/10/2026. +2…+13 theo công thức bp2 (117, ×1).</t>
        </r>
      </text>
    </comment>
    <comment ref="J3745" authorId="0">
      <text>
        <r>
          <t>Giá +1: ảnh danh sách JNM do người dùng cung cấp ngày 29/10/2026. +2…+13 theo công thức bp2 (117, ×1).</t>
        </r>
      </text>
    </comment>
    <comment ref="J3746" authorId="0">
      <text>
        <r>
          <t>Giá +1: ảnh danh sách JNM do người dùng cung cấp ngày 29/10/2026. +2…+13 theo công thức bp2 (117, ×1).</t>
        </r>
      </text>
    </comment>
    <comment ref="J3747" authorId="0">
      <text>
        <r>
          <t>Giá +1: ảnh danh sách JNM do người dùng cung cấp ngày 29/10/2026. +2…+13 theo công thức bp2 (117, ×1).</t>
        </r>
      </text>
    </comment>
    <comment ref="J3748" authorId="0">
      <text>
        <r>
          <t>Giá +1: ảnh danh sách JNM do người dùng cung cấp ngày 29/10/2026. +2…+13 theo công thức bp2 (117, ×1).</t>
        </r>
      </text>
    </comment>
    <comment ref="J3749" authorId="0">
      <text>
        <r>
          <t>Giá +1: ảnh danh sách JNM do người dùng cung cấp ngày 29/10/2026. +2…+13 theo công thức bp2 (117, ×1).</t>
        </r>
      </text>
    </comment>
    <comment ref="J3750" authorId="0">
      <text>
        <r>
          <t>Giá +1: ảnh danh sách JNM do người dùng cung cấp ngày 29/10/2026. +2…+13 theo công thức bp2 (117, ×1).</t>
        </r>
      </text>
    </comment>
    <comment ref="J3751" authorId="0">
      <text>
        <r>
          <t>Giá +1: ảnh danh sách JNM do người dùng cung cấp ngày 29/10/2026. +2…+13 theo công thức bp2 (117, ×1).</t>
        </r>
      </text>
    </comment>
    <comment ref="J3752" authorId="0">
      <text>
        <r>
          <t>Giá +1: ảnh danh sách JNM do người dùng cung cấp ngày 29/10/2026. +2…+13 theo công thức bp2 (117, ×1).</t>
        </r>
      </text>
    </comment>
    <comment ref="J3753" authorId="0">
      <text>
        <r>
          <t>Giá +1: ảnh danh sách JNM do người dùng cung cấp ngày 29/10/2026. +2…+13 theo công thức bp2 (117, ×1).</t>
        </r>
      </text>
    </comment>
    <comment ref="J3754" authorId="0">
      <text>
        <r>
          <t>Giá +1: ảnh danh sách JNM do người dùng cung cấp ngày 29/10/2026. +2…+13 theo công thức bp2 (117, ×1).</t>
        </r>
      </text>
    </comment>
    <comment ref="J3755" authorId="0">
      <text>
        <r>
          <t>Giá +1: ảnh danh sách JNM do người dùng cung cấp ngày 29/10/2026. +2…+13 theo công thức bp2 (117, ×1).</t>
        </r>
      </text>
    </comment>
    <comment ref="J3756" authorId="0">
      <text>
        <r>
          <t>Giá +1: ảnh danh sách JNM do người dùng cung cấp ngày 29/10/2026. +2…+13 theo công thức bp2 (117, ×1).</t>
        </r>
      </text>
    </comment>
    <comment ref="J3757" authorId="0">
      <text>
        <r>
          <t>Giá +1: ảnh danh sách JNM do người dùng cung cấp ngày 29/10/2026. +2…+13 theo công thức bp2 (117, ×1).</t>
        </r>
      </text>
    </comment>
    <comment ref="J3758" authorId="0">
      <text>
        <r>
          <t>Giá +1: ảnh danh sách JNM do người dùng cung cấp ngày 29/10/2026. +2…+13 theo công thức bp2 (117, ×1).</t>
        </r>
      </text>
    </comment>
    <comment ref="J3759" authorId="0">
      <text>
        <r>
          <t>Giá +1: ảnh danh sách JNM do người dùng cung cấp ngày 29/10/2026. +2…+13 theo công thức bp2 (117, ×1).</t>
        </r>
      </text>
    </comment>
    <comment ref="J3760" authorId="0">
      <text>
        <r>
          <t>Giá +1: ảnh danh sách JNM do người dùng cung cấp ngày 29/10/2026. +2…+13 theo công thức bp2 (117, ×1).</t>
        </r>
      </text>
    </comment>
  </commentList>
</comments>
</file>

<file path=xl/sharedStrings.xml><?xml version="1.0" encoding="utf-8"?>
<sst xmlns="http://schemas.openxmlformats.org/spreadsheetml/2006/main" count="18837" uniqueCount="1835">
  <si>
    <t>ID</t>
  </si>
  <si>
    <t>Tên</t>
  </si>
  <si>
    <t>Mùa thẻ</t>
  </si>
  <si>
    <t>Vị trí</t>
  </si>
  <si>
    <t>OVR gốc</t>
  </si>
  <si>
    <t>Quốc tịch</t>
  </si>
  <si>
    <t>CLB</t>
  </si>
  <si>
    <t>Lương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</si>
  <si>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</si>
  <si>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</si>
  <si>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</si>
  <si>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</si>
  <si>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</si>
  <si>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</si>
  <si>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</si>
  <si>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</si>
  <si>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</si>
  <si>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</si>
  <si>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</si>
  <si>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</si>
  <si>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</si>
  <si>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OVR</t>
  </si>
  <si>
    <t>Giá BP</t>
  </si>
  <si>
    <t>D. Maradona</t>
  </si>
  <si>
    <t>ICON TM</t>
  </si>
  <si>
    <t>CAM</t>
  </si>
  <si>
    <t>Argentina</t>
  </si>
  <si>
    <t>Napoli</t>
  </si>
  <si>
    <t>Pelé</t>
  </si>
  <si>
    <t>CF</t>
  </si>
  <si>
    <t>Brazil</t>
  </si>
  <si>
    <t>Santos</t>
  </si>
  <si>
    <t>F. Beckenbauer</t>
  </si>
  <si>
    <t>CB</t>
  </si>
  <si>
    <t>Đức</t>
  </si>
  <si>
    <t>Bayern</t>
  </si>
  <si>
    <t>Ferenc Puskás</t>
  </si>
  <si>
    <t>Hungary</t>
  </si>
  <si>
    <t>Madrid</t>
  </si>
  <si>
    <t>G. Müller</t>
  </si>
  <si>
    <t>ST</t>
  </si>
  <si>
    <t>J. Cruyff</t>
  </si>
  <si>
    <t>Hà Lan</t>
  </si>
  <si>
    <t>Ajax</t>
  </si>
  <si>
    <t>L. Matthäus</t>
  </si>
  <si>
    <t>CM</t>
  </si>
  <si>
    <t>L. Yashin</t>
  </si>
  <si>
    <t>GK</t>
  </si>
  <si>
    <t>Nga</t>
  </si>
  <si>
    <t>Dynamo</t>
  </si>
  <si>
    <t>M. van Basten</t>
  </si>
  <si>
    <t>Milano</t>
  </si>
  <si>
    <t>Ronaldo</t>
  </si>
  <si>
    <t>Z. Zidane</t>
  </si>
  <si>
    <t>Pháp</t>
  </si>
  <si>
    <t>B. Charlton</t>
  </si>
  <si>
    <t>Anh</t>
  </si>
  <si>
    <t>Manchester Đỏ</t>
  </si>
  <si>
    <t>Eusébio</t>
  </si>
  <si>
    <t>Bồ Đào Nha</t>
  </si>
  <si>
    <t>Benfica</t>
  </si>
  <si>
    <t>F. Baresi</t>
  </si>
  <si>
    <t>Ý</t>
  </si>
  <si>
    <t>G. Best</t>
  </si>
  <si>
    <t>RW</t>
  </si>
  <si>
    <t>Bắc Ireland</t>
  </si>
  <si>
    <t>G. Buffon</t>
  </si>
  <si>
    <t>Torino</t>
  </si>
  <si>
    <t>Garrincha</t>
  </si>
  <si>
    <t>Botafogo</t>
  </si>
  <si>
    <t>Iniesta</t>
  </si>
  <si>
    <t>Tây Ban Nha</t>
  </si>
  <si>
    <t>Barcelona</t>
  </si>
  <si>
    <t>Jairzinho</t>
  </si>
  <si>
    <t>P. Maldini</t>
  </si>
  <si>
    <t>LB</t>
  </si>
  <si>
    <t>R. Baggio</t>
  </si>
  <si>
    <t>R. Gullit</t>
  </si>
  <si>
    <t>Ronaldinho</t>
  </si>
  <si>
    <t>LW</t>
  </si>
  <si>
    <t>Xavi</t>
  </si>
  <si>
    <t>Zico</t>
  </si>
  <si>
    <t>Flamengo</t>
  </si>
  <si>
    <t>A. Nesta</t>
  </si>
  <si>
    <t>A. Pirlo</t>
  </si>
  <si>
    <t>A. Shearer</t>
  </si>
  <si>
    <t>Newcastle</t>
  </si>
  <si>
    <t>A. Shevchenko</t>
  </si>
  <si>
    <t>Ukraine</t>
  </si>
  <si>
    <t>Cafu</t>
  </si>
  <si>
    <t>RB</t>
  </si>
  <si>
    <t>Casillas</t>
  </si>
  <si>
    <t>D. Beckham</t>
  </si>
  <si>
    <t>RM</t>
  </si>
  <si>
    <t>D. Bergkamp</t>
  </si>
  <si>
    <t>Arsenal</t>
  </si>
  <si>
    <t>D. Drogba</t>
  </si>
  <si>
    <t>Bờ Biển Ngà</t>
  </si>
  <si>
    <t>Chelsea</t>
  </si>
  <si>
    <t>E. Cantona</t>
  </si>
  <si>
    <t>F. Cannavaro</t>
  </si>
  <si>
    <t>F. Rijkaard</t>
  </si>
  <si>
    <t>CDM</t>
  </si>
  <si>
    <t>F. Totti</t>
  </si>
  <si>
    <t>Roma</t>
  </si>
  <si>
    <t>Gabriel Batistuta</t>
  </si>
  <si>
    <t>Fiorentina</t>
  </si>
  <si>
    <t>H. Sánchez</t>
  </si>
  <si>
    <t>Mexico</t>
  </si>
  <si>
    <t>Kaká</t>
  </si>
  <si>
    <t>Luís Figo</t>
  </si>
  <si>
    <t>O. Kahn</t>
  </si>
  <si>
    <t>R. van Nistelrooy</t>
  </si>
  <si>
    <t>Rivaldo</t>
  </si>
  <si>
    <t>Roberto Carlos</t>
  </si>
  <si>
    <t>S. Eto'o</t>
  </si>
  <si>
    <t>Cameroon</t>
  </si>
  <si>
    <t>T. Henry</t>
  </si>
  <si>
    <t>W. Rooney</t>
  </si>
  <si>
    <t>Z. Ibrahimović</t>
  </si>
  <si>
    <t>Thụy Điển</t>
  </si>
  <si>
    <t>A. Del Piero</t>
  </si>
  <si>
    <t>B. Cha</t>
  </si>
  <si>
    <t>Hàn Quốc</t>
  </si>
  <si>
    <t>Leverkusen</t>
  </si>
  <si>
    <t>B. Moore</t>
  </si>
  <si>
    <t>West Ham</t>
  </si>
  <si>
    <t>C. Puyol</t>
  </si>
  <si>
    <t>Carlos Alberto</t>
  </si>
  <si>
    <t>Dunga</t>
  </si>
  <si>
    <t>F. Lampard</t>
  </si>
  <si>
    <t>I. Rush</t>
  </si>
  <si>
    <t>Wales</t>
  </si>
  <si>
    <t>Liverpool</t>
  </si>
  <si>
    <t>J. Zanetti</t>
  </si>
  <si>
    <t>K. Dalglish</t>
  </si>
  <si>
    <t>Scotland</t>
  </si>
  <si>
    <t>L. Thuram</t>
  </si>
  <si>
    <t>M. Ballack</t>
  </si>
  <si>
    <t>M. Klose</t>
  </si>
  <si>
    <t>M. Owen</t>
  </si>
  <si>
    <t>Marcelo</t>
  </si>
  <si>
    <t>P. Lahm</t>
  </si>
  <si>
    <t>P. Nedvěd</t>
  </si>
  <si>
    <t>Séc</t>
  </si>
  <si>
    <t>P. Schmeichel</t>
  </si>
  <si>
    <t>Đan Mạch</t>
  </si>
  <si>
    <t>P. Scholes</t>
  </si>
  <si>
    <t>P. Vieira</t>
  </si>
  <si>
    <t>R. Ferdinand</t>
  </si>
  <si>
    <t>R. Koeman</t>
  </si>
  <si>
    <t>R. van Persie</t>
  </si>
  <si>
    <t>Raúl</t>
  </si>
  <si>
    <t>S. Gerrard</t>
  </si>
  <si>
    <t>T. Kroos</t>
  </si>
  <si>
    <t>Xabi Alonso</t>
  </si>
  <si>
    <t>B. Schweinsteiger</t>
  </si>
  <si>
    <t>Butragueño</t>
  </si>
  <si>
    <t>C. Makélélé</t>
  </si>
  <si>
    <t>C. Seedorf</t>
  </si>
  <si>
    <t>D. Trezeguet</t>
  </si>
  <si>
    <t>F. Ribéry</t>
  </si>
  <si>
    <t>Fernando Hierro</t>
  </si>
  <si>
    <t>Fernando Torres</t>
  </si>
  <si>
    <t>G. Bale</t>
  </si>
  <si>
    <t>LM</t>
  </si>
  <si>
    <t>G. Chiellini</t>
  </si>
  <si>
    <t>G. Hagi</t>
  </si>
  <si>
    <t>Romania</t>
  </si>
  <si>
    <t>Galatasaray</t>
  </si>
  <si>
    <t>G. Lineker</t>
  </si>
  <si>
    <t>Tottenham</t>
  </si>
  <si>
    <t>H. Crespo</t>
  </si>
  <si>
    <t>H. Stoichkov</t>
  </si>
  <si>
    <t>Bulgaria</t>
  </si>
  <si>
    <t>L. Blanc</t>
  </si>
  <si>
    <t>M. Desailly</t>
  </si>
  <si>
    <t>M. Laudrup</t>
  </si>
  <si>
    <t>N. Vidić</t>
  </si>
  <si>
    <t>Serbia</t>
  </si>
  <si>
    <t>P. Čech</t>
  </si>
  <si>
    <t>Park Ji-sung</t>
  </si>
  <si>
    <t>R. Keane</t>
  </si>
  <si>
    <t>Ireland</t>
  </si>
  <si>
    <t>Y. Touré</t>
  </si>
  <si>
    <t>Manchester Xanh</t>
  </si>
  <si>
    <t>A. Cole</t>
  </si>
  <si>
    <t>E. Petit</t>
  </si>
  <si>
    <t>E. van der Sar</t>
  </si>
  <si>
    <t>G. Gattuso</t>
  </si>
  <si>
    <t>G. Zambrotta</t>
  </si>
  <si>
    <t>H. Larsson</t>
  </si>
  <si>
    <t>I. Wright</t>
  </si>
  <si>
    <t>M. Essien</t>
  </si>
  <si>
    <t>Ghana</t>
  </si>
  <si>
    <t>P. Kluivert</t>
  </si>
  <si>
    <t>Rui Costa</t>
  </si>
  <si>
    <t>Sócrates</t>
  </si>
  <si>
    <t>Corinthians</t>
  </si>
  <si>
    <t>Verón</t>
  </si>
  <si>
    <t>Lazio</t>
  </si>
  <si>
    <t>F. Ljungberg</t>
  </si>
  <si>
    <t>G. Zola</t>
  </si>
  <si>
    <t>J. Litmanen</t>
  </si>
  <si>
    <t>Phần Lan</t>
  </si>
  <si>
    <t>Paulo Futre</t>
  </si>
  <si>
    <t>Atlético</t>
  </si>
  <si>
    <t>R. Pirès</t>
  </si>
  <si>
    <t>Riquelme</t>
  </si>
  <si>
    <t>Boca Juniors</t>
  </si>
  <si>
    <t>S. Campbell</t>
  </si>
  <si>
    <t>D. Šuker</t>
  </si>
  <si>
    <t>Croatia</t>
  </si>
  <si>
    <t>Sevilla</t>
  </si>
  <si>
    <t>J. Barnes</t>
  </si>
  <si>
    <t>J. Carragher</t>
  </si>
  <si>
    <t>J. Okocha</t>
  </si>
  <si>
    <t>Nigeria</t>
  </si>
  <si>
    <t>Paris</t>
  </si>
  <si>
    <t>L. Hernández</t>
  </si>
  <si>
    <t>Necaxa</t>
  </si>
  <si>
    <t>O. Bierhoff</t>
  </si>
  <si>
    <t>O. Solskjaer</t>
  </si>
  <si>
    <t>Na Uy</t>
  </si>
  <si>
    <t>H. Nakata</t>
  </si>
  <si>
    <t>Nhật Bản</t>
  </si>
  <si>
    <t>Parma</t>
  </si>
  <si>
    <t>H. Kane</t>
  </si>
  <si>
    <t>26TS</t>
  </si>
  <si>
    <t>K. Mbappé</t>
  </si>
  <si>
    <t>Lamine Yamal</t>
  </si>
  <si>
    <t>M. Olise</t>
  </si>
  <si>
    <t>Bruno Fernandes</t>
  </si>
  <si>
    <t>D. Rice</t>
  </si>
  <si>
    <t>E. Haaland</t>
  </si>
  <si>
    <t>Gabriel</t>
  </si>
  <si>
    <t>L. Díaz</t>
  </si>
  <si>
    <t>Colombia</t>
  </si>
  <si>
    <t>Pedri</t>
  </si>
  <si>
    <t>Vitinha</t>
  </si>
  <si>
    <t>F. Dimarco</t>
  </si>
  <si>
    <t>LWB</t>
  </si>
  <si>
    <t>Inter</t>
  </si>
  <si>
    <t>Igor Thiago</t>
  </si>
  <si>
    <t>Brentford</t>
  </si>
  <si>
    <t>L. Modrić</t>
  </si>
  <si>
    <t>Nico Paz</t>
  </si>
  <si>
    <t>Como</t>
  </si>
  <si>
    <t>W. Saliba</t>
  </si>
  <si>
    <t>A. Semenyo</t>
  </si>
  <si>
    <t>Bruno Guimarães</t>
  </si>
  <si>
    <t>Cristiano Ronaldo</t>
  </si>
  <si>
    <t>Al Nassr</t>
  </si>
  <si>
    <t>D. Raum</t>
  </si>
  <si>
    <t>Leipzig</t>
  </si>
  <si>
    <t>D. Szoboszlai</t>
  </si>
  <si>
    <t>David Raya</t>
  </si>
  <si>
    <t>F. Valverde</t>
  </si>
  <si>
    <t>Uruguay</t>
  </si>
  <si>
    <t>J. Kimmich</t>
  </si>
  <si>
    <t>J. Veerman</t>
  </si>
  <si>
    <t>PSV</t>
  </si>
  <si>
    <t>Jacobo Ramón</t>
  </si>
  <si>
    <t>João Pedro</t>
  </si>
  <si>
    <t>K. Kvaratskhelia</t>
  </si>
  <si>
    <t>Georgia</t>
  </si>
  <si>
    <t>K. Yıldız</t>
  </si>
  <si>
    <t>Thổ Nhĩ Kỳ</t>
  </si>
  <si>
    <t>L. Martínez</t>
  </si>
  <si>
    <t>L. Messi</t>
  </si>
  <si>
    <t>Inter Miami</t>
  </si>
  <si>
    <t>L. Suárez</t>
  </si>
  <si>
    <t>Sporting</t>
  </si>
  <si>
    <t>L. Vušković</t>
  </si>
  <si>
    <t>Hamburg</t>
  </si>
  <si>
    <t>Marcos Llorente</t>
  </si>
  <si>
    <t>N. Schlotterbeck</t>
  </si>
  <si>
    <t>Dortmund</t>
  </si>
  <si>
    <t>Nuno Mendes</t>
  </si>
  <si>
    <t>O. Dembélé</t>
  </si>
  <si>
    <t>V. Muriqi</t>
  </si>
  <si>
    <t>Kosovo</t>
  </si>
  <si>
    <t>Mallorca</t>
  </si>
  <si>
    <t>V. van Dijk</t>
  </si>
  <si>
    <t>A. Pavlović</t>
  </si>
  <si>
    <t>A. Rabiot</t>
  </si>
  <si>
    <t>A. Tchouaméni</t>
  </si>
  <si>
    <t>Bremer</t>
  </si>
  <si>
    <t>Casemiro</t>
  </si>
  <si>
    <t>D. Undav</t>
  </si>
  <si>
    <t>Stuttgart</t>
  </si>
  <si>
    <t>D. Upamecano</t>
  </si>
  <si>
    <t>E. Fernández</t>
  </si>
  <si>
    <t>Eric García</t>
  </si>
  <si>
    <t>F. Thauvin</t>
  </si>
  <si>
    <t>Lens</t>
  </si>
  <si>
    <t>G. Donnarumma</t>
  </si>
  <si>
    <t>G. Kobel</t>
  </si>
  <si>
    <t>Thụy Sĩ</t>
  </si>
  <si>
    <t>G. Xhaka</t>
  </si>
  <si>
    <t>Sunderland</t>
  </si>
  <si>
    <t>Grimaldo</t>
  </si>
  <si>
    <t>I. Saibari</t>
  </si>
  <si>
    <t>Ma-rốc</t>
  </si>
  <si>
    <t>J. Alvarez</t>
  </si>
  <si>
    <t>J. Tah</t>
  </si>
  <si>
    <t>J. Timber</t>
  </si>
  <si>
    <t>Joan García</t>
  </si>
  <si>
    <t>João Félix</t>
  </si>
  <si>
    <t>M. Godts</t>
  </si>
  <si>
    <t>Bỉ</t>
  </si>
  <si>
    <t>M. Locatelli</t>
  </si>
  <si>
    <t>M. Sangaré</t>
  </si>
  <si>
    <t>Mali</t>
  </si>
  <si>
    <t>M. Sarr</t>
  </si>
  <si>
    <t>M. Udol</t>
  </si>
  <si>
    <t>Mauro Júnior</t>
  </si>
  <si>
    <t>N. O'Reilly</t>
  </si>
  <si>
    <t>Oyarzabal</t>
  </si>
  <si>
    <t>Real Sociedad</t>
  </si>
  <si>
    <t>R. Cherki</t>
  </si>
  <si>
    <t>R. James</t>
  </si>
  <si>
    <t>Raphinha</t>
  </si>
  <si>
    <t>S. Gnabry</t>
  </si>
  <si>
    <t>S. McTominay</t>
  </si>
  <si>
    <t>S. Mouriño</t>
  </si>
  <si>
    <t>Villarreal</t>
  </si>
  <si>
    <t>T. Courtois</t>
  </si>
  <si>
    <t>A. Ezzalzouli</t>
  </si>
  <si>
    <t>Real Betis</t>
  </si>
  <si>
    <t>A. Saelemaekers</t>
  </si>
  <si>
    <t>RWB</t>
  </si>
  <si>
    <t>A. Stiller</t>
  </si>
  <si>
    <t>A. Thomasson</t>
  </si>
  <si>
    <t>Aleix García</t>
  </si>
  <si>
    <t>B. Barcola</t>
  </si>
  <si>
    <t>C. Tolisso</t>
  </si>
  <si>
    <t>Lyon</t>
  </si>
  <si>
    <t>Carlos Romero</t>
  </si>
  <si>
    <t>Espanyol</t>
  </si>
  <si>
    <t>D. Bouanga</t>
  </si>
  <si>
    <t>Gabon</t>
  </si>
  <si>
    <t>LAFC</t>
  </si>
  <si>
    <t>E. Ndicka</t>
  </si>
  <si>
    <t>H. Koffi</t>
  </si>
  <si>
    <t>Burkina Faso</t>
  </si>
  <si>
    <t>Angers</t>
  </si>
  <si>
    <t>H. Son</t>
  </si>
  <si>
    <t>H. Wilson</t>
  </si>
  <si>
    <t>Fulham</t>
  </si>
  <si>
    <t>I. Toney</t>
  </si>
  <si>
    <t>Al Ahli</t>
  </si>
  <si>
    <t>J. Bednarek</t>
  </si>
  <si>
    <t>Ba Lan</t>
  </si>
  <si>
    <t>Porto</t>
  </si>
  <si>
    <t>J. Panichelli</t>
  </si>
  <si>
    <t>Strasbourg</t>
  </si>
  <si>
    <t>J. Quiñones</t>
  </si>
  <si>
    <t>Al Qadsiah</t>
  </si>
  <si>
    <t>J. Ryerson</t>
  </si>
  <si>
    <t>L. Karl</t>
  </si>
  <si>
    <t>Luis Milla</t>
  </si>
  <si>
    <t>Getafe</t>
  </si>
  <si>
    <t>M. Akanji</t>
  </si>
  <si>
    <t>M. Maignan</t>
  </si>
  <si>
    <t>M. Palestra</t>
  </si>
  <si>
    <t>Cagliari</t>
  </si>
  <si>
    <t>M. Svilar</t>
  </si>
  <si>
    <t>Marc Cucurella</t>
  </si>
  <si>
    <t>P. Zieliński</t>
  </si>
  <si>
    <t>Pablo Fornals</t>
  </si>
  <si>
    <t>Pau Cubarsí</t>
  </si>
  <si>
    <t>Pubill</t>
  </si>
  <si>
    <t>Rúben Neves</t>
  </si>
  <si>
    <t>Al Hilal</t>
  </si>
  <si>
    <t>S. Guirassy</t>
  </si>
  <si>
    <t>Guinea</t>
  </si>
  <si>
    <t>Trincão</t>
  </si>
  <si>
    <t>V. Coufal</t>
  </si>
  <si>
    <t>Hoffenheim</t>
  </si>
  <si>
    <t>V. Rongier</t>
  </si>
  <si>
    <t>Rennes</t>
  </si>
  <si>
    <t>W. McKennie</t>
  </si>
  <si>
    <t>Mỹ</t>
  </si>
  <si>
    <t>W. Pacho</t>
  </si>
  <si>
    <t>Ecuador</t>
  </si>
  <si>
    <t>W. Zaïre-Emery</t>
  </si>
  <si>
    <t>Wesley</t>
  </si>
  <si>
    <t>A. Dreyer</t>
  </si>
  <si>
    <t>San Diego FC</t>
  </si>
  <si>
    <t>A. Kramarić</t>
  </si>
  <si>
    <t>A. Ueda</t>
  </si>
  <si>
    <t>Feyenoord</t>
  </si>
  <si>
    <t>Aleix Febas</t>
  </si>
  <si>
    <t>Elche</t>
  </si>
  <si>
    <t>B. André</t>
  </si>
  <si>
    <t>Lille</t>
  </si>
  <si>
    <t>Borja Iglesias</t>
  </si>
  <si>
    <t>Celta</t>
  </si>
  <si>
    <t>C. Baumgartner</t>
  </si>
  <si>
    <t>Áo</t>
  </si>
  <si>
    <t>D. Welbeck</t>
  </si>
  <si>
    <t>Brighton</t>
  </si>
  <si>
    <t>E. Lepaul</t>
  </si>
  <si>
    <t>Evander</t>
  </si>
  <si>
    <t>FC Cincinnati</t>
  </si>
  <si>
    <t>J. Kiwior</t>
  </si>
  <si>
    <t>J. Schouten</t>
  </si>
  <si>
    <t>K. Fortounis</t>
  </si>
  <si>
    <t>Hy Lạp</t>
  </si>
  <si>
    <t>Al Khaleej</t>
  </si>
  <si>
    <t>K. Koulibaly</t>
  </si>
  <si>
    <t>Senegal</t>
  </si>
  <si>
    <t>K. Sano</t>
  </si>
  <si>
    <t>NEC Nijmegen</t>
  </si>
  <si>
    <t>L. Camara</t>
  </si>
  <si>
    <t>Monaco</t>
  </si>
  <si>
    <t>M. Akliouche</t>
  </si>
  <si>
    <t>M. Niakhaté</t>
  </si>
  <si>
    <t>M. Perrone</t>
  </si>
  <si>
    <t>M. Simakan</t>
  </si>
  <si>
    <t>Moleiro</t>
  </si>
  <si>
    <t>N. Vlašić</t>
  </si>
  <si>
    <t>Torino FC</t>
  </si>
  <si>
    <t>P. Aubameyang</t>
  </si>
  <si>
    <t>Marseille</t>
  </si>
  <si>
    <t>P. Šulc</t>
  </si>
  <si>
    <t>R. Højlund</t>
  </si>
  <si>
    <t>R. Zalazar</t>
  </si>
  <si>
    <t>Braga</t>
  </si>
  <si>
    <t>S. Al Dawsari</t>
  </si>
  <si>
    <t>Ả Rập Xê Út</t>
  </si>
  <si>
    <t>S. Surridge</t>
  </si>
  <si>
    <t>Nashville SC</t>
  </si>
  <si>
    <t>T. Douvikas</t>
  </si>
  <si>
    <t>V. Pavlidis</t>
  </si>
  <si>
    <t>Y. Carrasco</t>
  </si>
  <si>
    <t>Al Shabab</t>
  </si>
  <si>
    <t>B. van Rooij</t>
  </si>
  <si>
    <t>Twente</t>
  </si>
  <si>
    <t>D. Nejašmić</t>
  </si>
  <si>
    <t>F. Aursnes</t>
  </si>
  <si>
    <t>Ibañez</t>
  </si>
  <si>
    <t>L. Carević</t>
  </si>
  <si>
    <t>Montenegro</t>
  </si>
  <si>
    <t>Famalicão</t>
  </si>
  <si>
    <t>O. Baumann</t>
  </si>
  <si>
    <t>R. Koeman Jr.</t>
  </si>
  <si>
    <t>Telstar</t>
  </si>
  <si>
    <t>S. Berhalter</t>
  </si>
  <si>
    <t>Vancouver Whitecaps</t>
  </si>
  <si>
    <t>T. Watanabe</t>
  </si>
  <si>
    <t>V. Froholdt</t>
  </si>
  <si>
    <t>Y. Begraoui</t>
  </si>
  <si>
    <t>Estoril</t>
  </si>
  <si>
    <t>A. Najar</t>
  </si>
  <si>
    <t>Honduras</t>
  </si>
  <si>
    <t>C. Roldan</t>
  </si>
  <si>
    <t>Seattle Sounders</t>
  </si>
  <si>
    <t>D. St. Clair</t>
  </si>
  <si>
    <t>Canada</t>
  </si>
  <si>
    <t>J. Glesnes</t>
  </si>
  <si>
    <t>LA Galaxy</t>
  </si>
  <si>
    <t>Mailson</t>
  </si>
  <si>
    <t>Al Taawoun</t>
  </si>
  <si>
    <t>T. Blackmon</t>
  </si>
  <si>
    <t>NO.7</t>
  </si>
  <si>
    <t>B. Saka</t>
  </si>
  <si>
    <t>D. Forlán</t>
  </si>
  <si>
    <t>E. Butragueño</t>
  </si>
  <si>
    <t>Los Angeles FC</t>
  </si>
  <si>
    <t>N. Kanté</t>
  </si>
  <si>
    <t>Al Ittihad</t>
  </si>
  <si>
    <t>Park Ji Sung</t>
  </si>
  <si>
    <t>Celtic</t>
  </si>
  <si>
    <t>Ramires</t>
  </si>
  <si>
    <t>T. Rosický</t>
  </si>
  <si>
    <t>Pedro Neto</t>
  </si>
  <si>
    <t>R. Mahrez</t>
  </si>
  <si>
    <t>Algeria</t>
  </si>
  <si>
    <t>Nguyễn Quang Hải</t>
  </si>
  <si>
    <t>INFINITE PRIME</t>
  </si>
  <si>
    <t>Việt Nam</t>
  </si>
  <si>
    <t>Lúcio</t>
  </si>
  <si>
    <t>J. Stam</t>
  </si>
  <si>
    <t>Marquinhos</t>
  </si>
  <si>
    <t>Đỗ Hùng Dũng</t>
  </si>
  <si>
    <t>C. Marchisio</t>
  </si>
  <si>
    <t>Zé Roberto</t>
  </si>
  <si>
    <t>Neymar Jr</t>
  </si>
  <si>
    <t>Roy Makaay</t>
  </si>
  <si>
    <t>Iván Zamorano</t>
  </si>
  <si>
    <t>Chile</t>
  </si>
  <si>
    <t>VIETNAM</t>
  </si>
  <si>
    <t>Đỗ Hoàng Hên</t>
  </si>
  <si>
    <t>Đỗ Duy Mạnh</t>
  </si>
  <si>
    <t>Đặng Văn Lâm</t>
  </si>
  <si>
    <t>Đoàn Văn Hậu</t>
  </si>
  <si>
    <t>Vũ Văn Thanh</t>
  </si>
  <si>
    <t>Trần Đình Trọng</t>
  </si>
  <si>
    <t>Trần Trung Kiên</t>
  </si>
  <si>
    <t>Quế Ngọc Hải</t>
  </si>
  <si>
    <t>Phạm Đức Huy</t>
  </si>
  <si>
    <t>Phạm Xuân Mạnh</t>
  </si>
  <si>
    <t>Phạm Tuấn Hải</t>
  </si>
  <si>
    <t>Phạm Thành Lương</t>
  </si>
  <si>
    <t>Phan Văn Đức</t>
  </si>
  <si>
    <t>Phan Văn Tài Em</t>
  </si>
  <si>
    <t>Phan Tuấn Tài</t>
  </si>
  <si>
    <t>Nhâm Mạnh Dũng</t>
  </si>
  <si>
    <t>Nguyễn Đình Bắc</t>
  </si>
  <si>
    <t>Nguyễn Xuân Son</t>
  </si>
  <si>
    <t>Nguyễn Văn Tùng</t>
  </si>
  <si>
    <t>Nguyễn Văn Trường</t>
  </si>
  <si>
    <t>Nguyễn Văn Toản</t>
  </si>
  <si>
    <t>Nguyễn Văn Quyết</t>
  </si>
  <si>
    <t>Nguyễn Trọng Hoàng</t>
  </si>
  <si>
    <t>Nguyễn Tiến Linh</t>
  </si>
  <si>
    <t>Nguyễn Thành Chung</t>
  </si>
  <si>
    <t>Nguyễn Thanh Bình</t>
  </si>
  <si>
    <t>Nguyễn Quốc Việt</t>
  </si>
  <si>
    <t>Nguyễn Minh Phương</t>
  </si>
  <si>
    <t>Nguyễn Hồng Sơn</t>
  </si>
  <si>
    <t>Nguyễn Hoàng Đức</t>
  </si>
  <si>
    <t>Nguyễn Hai Long</t>
  </si>
  <si>
    <t>Nguyễn Công Phượng</t>
  </si>
  <si>
    <t>Nguyễn Anh Đức</t>
  </si>
  <si>
    <t>Lương Xuân Trường</t>
  </si>
  <si>
    <t>Lê Viktor</t>
  </si>
  <si>
    <t>Lê Phước Tứ</t>
  </si>
  <si>
    <t>Lê Huỳnh Đức</t>
  </si>
  <si>
    <t>Lê Công Vinh</t>
  </si>
  <si>
    <t>PRIME</t>
  </si>
  <si>
    <t>Maicon</t>
  </si>
  <si>
    <t>E. Hazard</t>
  </si>
  <si>
    <t>M. Reus</t>
  </si>
  <si>
    <t>C. Tévez</t>
  </si>
  <si>
    <t>João Cancelo</t>
  </si>
  <si>
    <t>Guti</t>
  </si>
  <si>
    <t>T. Müller</t>
  </si>
  <si>
    <t>S. Mané</t>
  </si>
  <si>
    <t>K. Benzema</t>
  </si>
  <si>
    <t>MEDALIST</t>
  </si>
  <si>
    <t>Ji Dong Won</t>
  </si>
  <si>
    <t>Seongnam FC</t>
  </si>
  <si>
    <t>J. Brandt</t>
  </si>
  <si>
    <t>Park Chu Young</t>
  </si>
  <si>
    <t>U. Sadiq</t>
  </si>
  <si>
    <t>Matheus Cunha</t>
  </si>
  <si>
    <t>Richarlison</t>
  </si>
  <si>
    <t>Rafa Mir</t>
  </si>
  <si>
    <t>Dani Olmo</t>
  </si>
  <si>
    <t>Walace</t>
  </si>
  <si>
    <t>Jung Woo Young</t>
  </si>
  <si>
    <t>Ulsan HD</t>
  </si>
  <si>
    <t>D. Selke</t>
  </si>
  <si>
    <t>Başakşehir</t>
  </si>
  <si>
    <t>N. Kanu</t>
  </si>
  <si>
    <t>Capdevila</t>
  </si>
  <si>
    <t>L. Klostermann</t>
  </si>
  <si>
    <t>P. Max</t>
  </si>
  <si>
    <t>Panathinaikos</t>
  </si>
  <si>
    <t>Tự do</t>
  </si>
  <si>
    <t>Gabriel Jesus</t>
  </si>
  <si>
    <t>Juan Miranda</t>
  </si>
  <si>
    <t>Bologna</t>
  </si>
  <si>
    <t>C. Montes</t>
  </si>
  <si>
    <t>Thiago Silva</t>
  </si>
  <si>
    <t>M. Ginter</t>
  </si>
  <si>
    <t>Freiburg</t>
  </si>
  <si>
    <t>R. Bauer</t>
  </si>
  <si>
    <t>Diego Carlos</t>
  </si>
  <si>
    <t>Vallejo</t>
  </si>
  <si>
    <t>Albacete</t>
  </si>
  <si>
    <t>G. Ochoa</t>
  </si>
  <si>
    <t>Hwang Seok Ho</t>
  </si>
  <si>
    <t>Suwon Samsung</t>
  </si>
  <si>
    <t>J. Toljan</t>
  </si>
  <si>
    <t>Levante</t>
  </si>
  <si>
    <t>J. Vásquez</t>
  </si>
  <si>
    <t>Genoa</t>
  </si>
  <si>
    <t>FC AMBASSADOR</t>
  </si>
  <si>
    <t>Y. Moukoko</t>
  </si>
  <si>
    <t>FC Copenhagen</t>
  </si>
  <si>
    <t>F. Chiesa</t>
  </si>
  <si>
    <t>J. Grealish</t>
  </si>
  <si>
    <t>Everton</t>
  </si>
  <si>
    <t>Vini Jr.</t>
  </si>
  <si>
    <t>J. Bellingham</t>
  </si>
  <si>
    <t>Carlos Augusto</t>
  </si>
  <si>
    <t>UC</t>
  </si>
  <si>
    <t>H. Lozano</t>
  </si>
  <si>
    <t>M. Olivera</t>
  </si>
  <si>
    <t>R. Bentancur</t>
  </si>
  <si>
    <t>O. Kossounou</t>
  </si>
  <si>
    <t>Atalanta</t>
  </si>
  <si>
    <t>J. Mascherano</t>
  </si>
  <si>
    <t>J. Cole</t>
  </si>
  <si>
    <t>C. Jones</t>
  </si>
  <si>
    <t>A. Valencia</t>
  </si>
  <si>
    <t>J. Stones</t>
  </si>
  <si>
    <t>A. Rrahmani</t>
  </si>
  <si>
    <t>R. Márquez</t>
  </si>
  <si>
    <t>Sergi Roberto</t>
  </si>
  <si>
    <t>C. Pizarro</t>
  </si>
  <si>
    <t>Peru</t>
  </si>
  <si>
    <t>Ricardo Carvalho</t>
  </si>
  <si>
    <t>Nacho Fernández</t>
  </si>
  <si>
    <t>De Gea</t>
  </si>
  <si>
    <t>B. Lizarazu</t>
  </si>
  <si>
    <t>J. Gomez</t>
  </si>
  <si>
    <t>A. Zambo Anguissa</t>
  </si>
  <si>
    <t>J. Henderson</t>
  </si>
  <si>
    <t>H. Mkhitaryan</t>
  </si>
  <si>
    <t>Armenia</t>
  </si>
  <si>
    <t>M. Thuram</t>
  </si>
  <si>
    <t>A. Mac Allister</t>
  </si>
  <si>
    <t>A. Barzagli</t>
  </si>
  <si>
    <t>J. Frimpong</t>
  </si>
  <si>
    <t>L. Giuly</t>
  </si>
  <si>
    <t>R. Gravenberch</t>
  </si>
  <si>
    <t>N. Barella</t>
  </si>
  <si>
    <t>I. Cordoba</t>
  </si>
  <si>
    <t>M. Carrick</t>
  </si>
  <si>
    <t>P. Dybala</t>
  </si>
  <si>
    <t>Alisson</t>
  </si>
  <si>
    <t>Gilberto Silva</t>
  </si>
  <si>
    <t>Cesc Fàbregas</t>
  </si>
  <si>
    <t>A. Robertson</t>
  </si>
  <si>
    <t>G. Di Lorenzo</t>
  </si>
  <si>
    <t>Rodri</t>
  </si>
  <si>
    <t>M. Mandžukić</t>
  </si>
  <si>
    <t>E. Cambiasso</t>
  </si>
  <si>
    <t>H. Çalhanoğlu</t>
  </si>
  <si>
    <t>Rúben Dias</t>
  </si>
  <si>
    <t>R. Lukaku</t>
  </si>
  <si>
    <t>F. Wirtz</t>
  </si>
  <si>
    <t>S. Agüero</t>
  </si>
  <si>
    <t>K. De Bruyne</t>
  </si>
  <si>
    <t>R. Lewandowski</t>
  </si>
  <si>
    <t>Chicago Fire</t>
  </si>
  <si>
    <t>WG</t>
  </si>
  <si>
    <t>T. Cahill</t>
  </si>
  <si>
    <t>Úc</t>
  </si>
  <si>
    <t>V. Kompany</t>
  </si>
  <si>
    <t>C. Dempsey</t>
  </si>
  <si>
    <t>Gervinho</t>
  </si>
  <si>
    <t>B. Matuidi</t>
  </si>
  <si>
    <t>W. Smolarek</t>
  </si>
  <si>
    <t>Ulrich Hoeneß</t>
  </si>
  <si>
    <t>J. Kohler</t>
  </si>
  <si>
    <t>Fernando Morientes</t>
  </si>
  <si>
    <t>D. Kuyt</t>
  </si>
  <si>
    <t>R. Völler</t>
  </si>
  <si>
    <t>W. Sneijder</t>
  </si>
  <si>
    <t>Tomas Brolin</t>
  </si>
  <si>
    <t>L. Donovan</t>
  </si>
  <si>
    <t>E. Francescoli</t>
  </si>
  <si>
    <t>G. Vialli</t>
  </si>
  <si>
    <t>M. Fellaini</t>
  </si>
  <si>
    <t>D. De Rossi</t>
  </si>
  <si>
    <t>H. Kewell</t>
  </si>
  <si>
    <t>P. Crouch</t>
  </si>
  <si>
    <t>S. Owairan</t>
  </si>
  <si>
    <t>T. Howard</t>
  </si>
  <si>
    <t>S. Al Jaber</t>
  </si>
  <si>
    <t>M. Noor</t>
  </si>
  <si>
    <t>D. Beasley</t>
  </si>
  <si>
    <t>J. Campos</t>
  </si>
  <si>
    <t>Quaresma</t>
  </si>
  <si>
    <t>UT</t>
  </si>
  <si>
    <t>Unexpected Transfer</t>
  </si>
  <si>
    <t>M. Hummels</t>
  </si>
  <si>
    <t>M. Gómez</t>
  </si>
  <si>
    <t>M. Götze</t>
  </si>
  <si>
    <t>Eintracht Frankfurt</t>
  </si>
  <si>
    <t>J. Hofmann</t>
  </si>
  <si>
    <t>Parejo</t>
  </si>
  <si>
    <t>D. Vlahović</t>
  </si>
  <si>
    <t>Kim Min Jae</t>
  </si>
  <si>
    <t>S. Milinković-Savić</t>
  </si>
  <si>
    <t>Sergio Ramos</t>
  </si>
  <si>
    <t>Gabri Veiga</t>
  </si>
  <si>
    <t>A. Laporte</t>
  </si>
  <si>
    <t>Athletic Club</t>
  </si>
  <si>
    <t>A. Sánchez</t>
  </si>
  <si>
    <t>O. Giroud</t>
  </si>
  <si>
    <t>Abédi Pelé</t>
  </si>
  <si>
    <t>B. Pavard</t>
  </si>
  <si>
    <t>M. De Sciglio</t>
  </si>
  <si>
    <t>K. Thuram</t>
  </si>
  <si>
    <t>K. Havertz</t>
  </si>
  <si>
    <t>Roberto Firmino</t>
  </si>
  <si>
    <t>R. Varane</t>
  </si>
  <si>
    <t>Sergio Busquets</t>
  </si>
  <si>
    <t>Lee Chung Yong</t>
  </si>
  <si>
    <t>Incheon United</t>
  </si>
  <si>
    <t>Lee Kang In</t>
  </si>
  <si>
    <t>A. Laurienté</t>
  </si>
  <si>
    <t>Sassuolo</t>
  </si>
  <si>
    <t>R. Del Castillo</t>
  </si>
  <si>
    <t>Brest</t>
  </si>
  <si>
    <t>F. Kessié</t>
  </si>
  <si>
    <t>A. Saint-Maximin</t>
  </si>
  <si>
    <t>Club América</t>
  </si>
  <si>
    <t>M. Brozović</t>
  </si>
  <si>
    <t>N. Süle</t>
  </si>
  <si>
    <t>Fabinho</t>
  </si>
  <si>
    <t>M. Sabitzer</t>
  </si>
  <si>
    <t>Iñigo Martínez</t>
  </si>
  <si>
    <t>C. Kramer</t>
  </si>
  <si>
    <t>N. Mendy</t>
  </si>
  <si>
    <t>Watford</t>
  </si>
  <si>
    <t>L. Insigne</t>
  </si>
  <si>
    <t>Pescara</t>
  </si>
  <si>
    <t>Jaume Costa</t>
  </si>
  <si>
    <t>Alex Telles</t>
  </si>
  <si>
    <t>Álex Remiro</t>
  </si>
  <si>
    <t>X. Shaqiri</t>
  </si>
  <si>
    <t>Basel</t>
  </si>
  <si>
    <t>M. Arnautović</t>
  </si>
  <si>
    <t>Crvena zvezda</t>
  </si>
  <si>
    <t>M. Mudryk</t>
  </si>
  <si>
    <t>S. Diop</t>
  </si>
  <si>
    <t>Nice</t>
  </si>
  <si>
    <t>T. Hernández</t>
  </si>
  <si>
    <t>D. James</t>
  </si>
  <si>
    <t>Leeds</t>
  </si>
  <si>
    <t>E. Ünal</t>
  </si>
  <si>
    <t>Bournemouth</t>
  </si>
  <si>
    <t>F. Bernardeschi</t>
  </si>
  <si>
    <t>K. Hause</t>
  </si>
  <si>
    <t>V. Wanyama</t>
  </si>
  <si>
    <t>Kenya</t>
  </si>
  <si>
    <t>Willian</t>
  </si>
  <si>
    <t>Ki Sung Yueng</t>
  </si>
  <si>
    <t>Pohang Steelers</t>
  </si>
  <si>
    <t>L. Brassier</t>
  </si>
  <si>
    <t>E. Le Fée</t>
  </si>
  <si>
    <t>R. Guerreiro</t>
  </si>
  <si>
    <t>Jorginho</t>
  </si>
  <si>
    <t>J. Colback</t>
  </si>
  <si>
    <t>F. Coquelin</t>
  </si>
  <si>
    <t>Nantes</t>
  </si>
  <si>
    <t>É. Mendy</t>
  </si>
  <si>
    <t>A. Nübel</t>
  </si>
  <si>
    <t>S. Ulreich</t>
  </si>
  <si>
    <t>A. Witsel</t>
  </si>
  <si>
    <t>Girona</t>
  </si>
  <si>
    <t>M. Abline</t>
  </si>
  <si>
    <t>L. Blas</t>
  </si>
  <si>
    <t>Marcos Alonso</t>
  </si>
  <si>
    <t>Jordi Alba</t>
  </si>
  <si>
    <t>A. Ogbonna</t>
  </si>
  <si>
    <t>J. Duverne</t>
  </si>
  <si>
    <t>R. Mandragora</t>
  </si>
  <si>
    <t>J. Castelletto</t>
  </si>
  <si>
    <t>R. Loftus-Cheek</t>
  </si>
  <si>
    <t>Neto</t>
  </si>
  <si>
    <t>J. Cuadrado</t>
  </si>
  <si>
    <t>Pisa</t>
  </si>
  <si>
    <t>F. Neuhaus</t>
  </si>
  <si>
    <t>Gladbach</t>
  </si>
  <si>
    <t>S. Hogan</t>
  </si>
  <si>
    <t>MK Dons</t>
  </si>
  <si>
    <t>S. Rode</t>
  </si>
  <si>
    <t>Bebé</t>
  </si>
  <si>
    <t>Cabo Verde</t>
  </si>
  <si>
    <t>CU</t>
  </si>
  <si>
    <t>Champions of Europe</t>
  </si>
  <si>
    <t>Carvajal</t>
  </si>
  <si>
    <t>D. Milito</t>
  </si>
  <si>
    <t>M. Salah</t>
  </si>
  <si>
    <t>Ai Cập</t>
  </si>
  <si>
    <t>S. McManaman</t>
  </si>
  <si>
    <t>D. Alaba</t>
  </si>
  <si>
    <t>J. Papin</t>
  </si>
  <si>
    <t>Lucas Vázquez</t>
  </si>
  <si>
    <t>Isco</t>
  </si>
  <si>
    <t>İ. Gündoğan</t>
  </si>
  <si>
    <t>T. Alexander-Arnold</t>
  </si>
  <si>
    <t>A. Rüdiger</t>
  </si>
  <si>
    <t>Azpilicueta</t>
  </si>
  <si>
    <t>Ederson</t>
  </si>
  <si>
    <t>Fenerbahçe</t>
  </si>
  <si>
    <t>M. ter Stegen</t>
  </si>
  <si>
    <t>M. Kovačić</t>
  </si>
  <si>
    <t>J. Milner</t>
  </si>
  <si>
    <t>E. Camavinga</t>
  </si>
  <si>
    <t>M. Mount</t>
  </si>
  <si>
    <t>F. Mendy</t>
  </si>
  <si>
    <t>A. Christensen</t>
  </si>
  <si>
    <t>T. Werner</t>
  </si>
  <si>
    <t>N. Aké</t>
  </si>
  <si>
    <t>Danilo</t>
  </si>
  <si>
    <t>Pedro</t>
  </si>
  <si>
    <t>G. Wijnaldum</t>
  </si>
  <si>
    <t>Al Ettifaq</t>
  </si>
  <si>
    <t>B. Chilwell</t>
  </si>
  <si>
    <t>A. Lunin</t>
  </si>
  <si>
    <t>C. Hudson-Odoi</t>
  </si>
  <si>
    <t>Nottingham Forest</t>
  </si>
  <si>
    <t>Brahim</t>
  </si>
  <si>
    <t>C. Pulisic</t>
  </si>
  <si>
    <t>D. Origi</t>
  </si>
  <si>
    <t>P. Foden</t>
  </si>
  <si>
    <t>Emerson</t>
  </si>
  <si>
    <t>K. Zouma</t>
  </si>
  <si>
    <t>Al Orobah</t>
  </si>
  <si>
    <t>Marc Bartra</t>
  </si>
  <si>
    <t>Asier Illarramendi</t>
  </si>
  <si>
    <t>Kepa</t>
  </si>
  <si>
    <t>T. Abraham</t>
  </si>
  <si>
    <t>Beşiktaş</t>
  </si>
  <si>
    <t>Morata</t>
  </si>
  <si>
    <t>K. Walker</t>
  </si>
  <si>
    <t>Burnley</t>
  </si>
  <si>
    <t>M. Cáceres</t>
  </si>
  <si>
    <t>Oriol Romeu</t>
  </si>
  <si>
    <t>Southampton</t>
  </si>
  <si>
    <t>Dani Ceballos</t>
  </si>
  <si>
    <t>A. Lallana</t>
  </si>
  <si>
    <t>J. Evans</t>
  </si>
  <si>
    <t>R. Lewis</t>
  </si>
  <si>
    <t>Sergio Gómez</t>
  </si>
  <si>
    <t>Borja Mayoral</t>
  </si>
  <si>
    <t>S. Ortega</t>
  </si>
  <si>
    <t>L. Jović</t>
  </si>
  <si>
    <t>AEK Athens</t>
  </si>
  <si>
    <t>GRU</t>
  </si>
  <si>
    <t>Greatest Runner-Ups</t>
  </si>
  <si>
    <t>J. Sancho</t>
  </si>
  <si>
    <t>Aston Villa</t>
  </si>
  <si>
    <t>M. Ødegaard</t>
  </si>
  <si>
    <t>L. de Jong</t>
  </si>
  <si>
    <t>R. Sterling</t>
  </si>
  <si>
    <t>C. Gakpo</t>
  </si>
  <si>
    <t>L. Openda</t>
  </si>
  <si>
    <t>S. Bergwijn</t>
  </si>
  <si>
    <t>D. Berbatov</t>
  </si>
  <si>
    <t>J. Riise</t>
  </si>
  <si>
    <t>J. Veltman</t>
  </si>
  <si>
    <t>Angeliño</t>
  </si>
  <si>
    <t>A. Milik</t>
  </si>
  <si>
    <t>N. Gudelj</t>
  </si>
  <si>
    <t>L. Schøne</t>
  </si>
  <si>
    <t>A. Bastoni</t>
  </si>
  <si>
    <t>B. White</t>
  </si>
  <si>
    <t>M. Neuer</t>
  </si>
  <si>
    <t>J. Martínez</t>
  </si>
  <si>
    <t>Venezuela</t>
  </si>
  <si>
    <t>San Jose Earthquakes</t>
  </si>
  <si>
    <t>Gabriel Martinelli</t>
  </si>
  <si>
    <t>P. Rosario</t>
  </si>
  <si>
    <t>M. Almirón</t>
  </si>
  <si>
    <t>Paraguay</t>
  </si>
  <si>
    <t>Atlanta United</t>
  </si>
  <si>
    <t>F. Sotoca</t>
  </si>
  <si>
    <t>J. Gradit</t>
  </si>
  <si>
    <t>S. Fofana</t>
  </si>
  <si>
    <t>P. Frankowski</t>
  </si>
  <si>
    <t>M. Dijks</t>
  </si>
  <si>
    <t>Fortuna Sittard</t>
  </si>
  <si>
    <t>N. Lodeiro</t>
  </si>
  <si>
    <t>Orlando City</t>
  </si>
  <si>
    <t>Raúl Albiol</t>
  </si>
  <si>
    <t>K. Danso</t>
  </si>
  <si>
    <t>S. Mandanda</t>
  </si>
  <si>
    <t>L. Trossard</t>
  </si>
  <si>
    <t>D. Mihailovic</t>
  </si>
  <si>
    <t>Toronto FC</t>
  </si>
  <si>
    <t>M. Kean</t>
  </si>
  <si>
    <t>D. Malen</t>
  </si>
  <si>
    <t>E. Can</t>
  </si>
  <si>
    <t>B. Traoré</t>
  </si>
  <si>
    <t>A. Young</t>
  </si>
  <si>
    <t>Ipswich Town</t>
  </si>
  <si>
    <t>D. Dumfries</t>
  </si>
  <si>
    <t>O. Boscagli</t>
  </si>
  <si>
    <t>R. Gagliardini</t>
  </si>
  <si>
    <t>Verona</t>
  </si>
  <si>
    <t>S. Umtiti</t>
  </si>
  <si>
    <t>N. Viergever</t>
  </si>
  <si>
    <t>Utrecht</t>
  </si>
  <si>
    <t>D. Sinkgraven</t>
  </si>
  <si>
    <t>A. Onana</t>
  </si>
  <si>
    <t>R. Bürki</t>
  </si>
  <si>
    <t>St. Louis City</t>
  </si>
  <si>
    <t>B. Samba</t>
  </si>
  <si>
    <t>J. Cillessen</t>
  </si>
  <si>
    <t>G. Zardes</t>
  </si>
  <si>
    <t>Austin FC</t>
  </si>
  <si>
    <t>S. de Vrij</t>
  </si>
  <si>
    <t>F. Medina</t>
  </si>
  <si>
    <t>R. Doan</t>
  </si>
  <si>
    <t>G. Pereiro</t>
  </si>
  <si>
    <t>Bari</t>
  </si>
  <si>
    <t>P. Kimpembe</t>
  </si>
  <si>
    <t>Marco Asensio</t>
  </si>
  <si>
    <t>I. Gueye</t>
  </si>
  <si>
    <t>Ander Herrera</t>
  </si>
  <si>
    <t>M. Bakker</t>
  </si>
  <si>
    <t>O. Zinchenko</t>
  </si>
  <si>
    <t>D. Machado</t>
  </si>
  <si>
    <t>K. Tete</t>
  </si>
  <si>
    <t>A. Florenzi</t>
  </si>
  <si>
    <t>C. Biraghi</t>
  </si>
  <si>
    <t>T. Kehrer</t>
  </si>
  <si>
    <t>J. Morris</t>
  </si>
  <si>
    <t>T. McNamara</t>
  </si>
  <si>
    <t>New England Revolution</t>
  </si>
  <si>
    <t>J. Teze</t>
  </si>
  <si>
    <t>M. Wolf</t>
  </si>
  <si>
    <t>Augsburg</t>
  </si>
  <si>
    <t>M. Darmian</t>
  </si>
  <si>
    <t>S. Özcan</t>
  </si>
  <si>
    <t>M. Haïdara</t>
  </si>
  <si>
    <t>Kasımpaşa</t>
  </si>
  <si>
    <t>J. Drommel</t>
  </si>
  <si>
    <t>Sparta Rotterdam</t>
  </si>
  <si>
    <t>RTN</t>
  </si>
  <si>
    <t>Returnees</t>
  </si>
  <si>
    <t>S. Effenberg</t>
  </si>
  <si>
    <t>Gerard Moreno</t>
  </si>
  <si>
    <t>N. Matić</t>
  </si>
  <si>
    <t>T. Sheringham</t>
  </si>
  <si>
    <t>Iago Aspas</t>
  </si>
  <si>
    <t>D. Payet</t>
  </si>
  <si>
    <t>D. Berardi</t>
  </si>
  <si>
    <t>A. Lacazette</t>
  </si>
  <si>
    <t>NEOM</t>
  </si>
  <si>
    <t>P. Pogba</t>
  </si>
  <si>
    <t>D. Blind</t>
  </si>
  <si>
    <t>T. Savanier</t>
  </si>
  <si>
    <t>Montpellier</t>
  </si>
  <si>
    <t>F. Quagliarella</t>
  </si>
  <si>
    <t>L. Pellegrini</t>
  </si>
  <si>
    <t>D. Klaassen</t>
  </si>
  <si>
    <t>A. Maher</t>
  </si>
  <si>
    <t>Damac</t>
  </si>
  <si>
    <t>W. Zaha</t>
  </si>
  <si>
    <t>Charlotte FC</t>
  </si>
  <si>
    <t>R. van Wolfswinkel</t>
  </si>
  <si>
    <t>I. Rakitić</t>
  </si>
  <si>
    <t>Jesús Navas</t>
  </si>
  <si>
    <t>M. de Roon</t>
  </si>
  <si>
    <t>Felipe Anderson</t>
  </si>
  <si>
    <t>David López</t>
  </si>
  <si>
    <t>L. Bonucci</t>
  </si>
  <si>
    <t>Mario Suárez</t>
  </si>
  <si>
    <t>Joaquín</t>
  </si>
  <si>
    <t>B. Brobbey</t>
  </si>
  <si>
    <t>H. Veerman</t>
  </si>
  <si>
    <t>Volendam</t>
  </si>
  <si>
    <t>V. Grifo</t>
  </si>
  <si>
    <t>Lucas Torró</t>
  </si>
  <si>
    <t>Osasuna</t>
  </si>
  <si>
    <t>J. Boëtius</t>
  </si>
  <si>
    <t>Darmstadt</t>
  </si>
  <si>
    <t>T. Chandler</t>
  </si>
  <si>
    <t>R. Saponara</t>
  </si>
  <si>
    <t>K. Kampl</t>
  </si>
  <si>
    <t>Slovenia</t>
  </si>
  <si>
    <t>Balenziaga</t>
  </si>
  <si>
    <t>É. Banega</t>
  </si>
  <si>
    <t>Newell's Old Boys</t>
  </si>
  <si>
    <t>A. Rosi</t>
  </si>
  <si>
    <t>Diego Costa</t>
  </si>
  <si>
    <t>Moi Gómez</t>
  </si>
  <si>
    <t>S. Verdi</t>
  </si>
  <si>
    <t>Südtirol</t>
  </si>
  <si>
    <t>R. Pereyra</t>
  </si>
  <si>
    <t>K. Gameiro</t>
  </si>
  <si>
    <t>Q. Timber</t>
  </si>
  <si>
    <t>R. Janssen</t>
  </si>
  <si>
    <t>T. Hübers</t>
  </si>
  <si>
    <t>Köln</t>
  </si>
  <si>
    <t>Toni Villa</t>
  </si>
  <si>
    <t>Eibar</t>
  </si>
  <si>
    <t>A. Hahn</t>
  </si>
  <si>
    <t>F. Falco</t>
  </si>
  <si>
    <t>Denis Suárez</t>
  </si>
  <si>
    <t>Alavés</t>
  </si>
  <si>
    <t>Sergi Darder</t>
  </si>
  <si>
    <t>J. Schmid</t>
  </si>
  <si>
    <t>B. Rienstra</t>
  </si>
  <si>
    <t>M. Uth</t>
  </si>
  <si>
    <t>Sergio León</t>
  </si>
  <si>
    <t>M. Gabbiadini</t>
  </si>
  <si>
    <t>G. Pezzella</t>
  </si>
  <si>
    <t>River Plate</t>
  </si>
  <si>
    <t>S. El Shaarawy</t>
  </si>
  <si>
    <t>Fidel</t>
  </si>
  <si>
    <t>L. Duarte</t>
  </si>
  <si>
    <t>Puskás Akadémia</t>
  </si>
  <si>
    <t>C. Traoré</t>
  </si>
  <si>
    <t>B. Ramselaar</t>
  </si>
  <si>
    <t>R. Mühren</t>
  </si>
  <si>
    <t>I. Success</t>
  </si>
  <si>
    <t>Ander Capa</t>
  </si>
  <si>
    <t>D. Zappacosta</t>
  </si>
  <si>
    <t>T. Dingomé</t>
  </si>
  <si>
    <t>D. Baselli</t>
  </si>
  <si>
    <t>Padova</t>
  </si>
  <si>
    <t>G. Defrel</t>
  </si>
  <si>
    <t>Modena</t>
  </si>
  <si>
    <t>N. Clyne</t>
  </si>
  <si>
    <t>Crystal Palace</t>
  </si>
  <si>
    <t>G. Angella</t>
  </si>
  <si>
    <t>Yuri Berchiche</t>
  </si>
  <si>
    <t>R. Fährmann</t>
  </si>
  <si>
    <t>S. Rudy</t>
  </si>
  <si>
    <t>Rogério</t>
  </si>
  <si>
    <t>Wolfsburg</t>
  </si>
  <si>
    <t>D. Mirani</t>
  </si>
  <si>
    <t>Heracles</t>
  </si>
  <si>
    <t>M. Autret</t>
  </si>
  <si>
    <t>F. Đuričić</t>
  </si>
  <si>
    <t>J. Veldmate</t>
  </si>
  <si>
    <t>W. Brama</t>
  </si>
  <si>
    <t>M. Stekelenburg</t>
  </si>
  <si>
    <t>N. Füllkrug</t>
  </si>
  <si>
    <t>S. Terodde</t>
  </si>
  <si>
    <t>R. Nteka</t>
  </si>
  <si>
    <t>Rayo Vallecano</t>
  </si>
  <si>
    <t>V. Marchetti</t>
  </si>
  <si>
    <t>Paris FC</t>
  </si>
  <si>
    <t>Gumbau</t>
  </si>
  <si>
    <t>D. Kohr</t>
  </si>
  <si>
    <t>Mainz</t>
  </si>
  <si>
    <t>Aleix Vidal</t>
  </si>
  <si>
    <t>H. Mulder</t>
  </si>
  <si>
    <t>Diego López</t>
  </si>
  <si>
    <t>Mariano</t>
  </si>
  <si>
    <t>Cộng hòa Dominica</t>
  </si>
  <si>
    <t>P. Förster</t>
  </si>
  <si>
    <t>Karlsruher SC</t>
  </si>
  <si>
    <t>C. Mac-Intosch</t>
  </si>
  <si>
    <t>Suriname</t>
  </si>
  <si>
    <t>L. Burnet</t>
  </si>
  <si>
    <t>D. Falcinelli</t>
  </si>
  <si>
    <t>R. Nouri</t>
  </si>
  <si>
    <t>DC</t>
  </si>
  <si>
    <t>Decade</t>
  </si>
  <si>
    <t>J. Oblak</t>
  </si>
  <si>
    <t>Koke</t>
  </si>
  <si>
    <t>D. Mertens</t>
  </si>
  <si>
    <t>A. Di Natale</t>
  </si>
  <si>
    <t>H. Lloris</t>
  </si>
  <si>
    <t>J. Vardy</t>
  </si>
  <si>
    <t>Cremonese</t>
  </si>
  <si>
    <t>Saúl</t>
  </si>
  <si>
    <t>K. Schmeichel</t>
  </si>
  <si>
    <t>Y. Poulsen</t>
  </si>
  <si>
    <t>Manu Trigueros</t>
  </si>
  <si>
    <t>Granada</t>
  </si>
  <si>
    <t>Iñaki Williams</t>
  </si>
  <si>
    <t>Gayà</t>
  </si>
  <si>
    <t>Valencia</t>
  </si>
  <si>
    <t>M. Arnold</t>
  </si>
  <si>
    <t>L. Shaw</t>
  </si>
  <si>
    <t>J. Ward-Prowse</t>
  </si>
  <si>
    <t>P. Herrmann</t>
  </si>
  <si>
    <t>Muniain</t>
  </si>
  <si>
    <t>A. Ramsey</t>
  </si>
  <si>
    <t>M. Albrighton</t>
  </si>
  <si>
    <t>S. Coleman</t>
  </si>
  <si>
    <t>L. King</t>
  </si>
  <si>
    <t>S. Govou</t>
  </si>
  <si>
    <t>L. Ricken</t>
  </si>
  <si>
    <t>A. Barnes</t>
  </si>
  <si>
    <t>M. Hasebe</t>
  </si>
  <si>
    <t>C. Günter</t>
  </si>
  <si>
    <t>S. March</t>
  </si>
  <si>
    <t>B. Davies</t>
  </si>
  <si>
    <t>E. Dier</t>
  </si>
  <si>
    <t>L. Dunk</t>
  </si>
  <si>
    <t>N. Höfler</t>
  </si>
  <si>
    <t>S. Bell</t>
  </si>
  <si>
    <t>C. Trimmel</t>
  </si>
  <si>
    <t>Union Berlin</t>
  </si>
  <si>
    <t>T. Jantschke</t>
  </si>
  <si>
    <t>De Marcos</t>
  </si>
  <si>
    <t>B. Mee</t>
  </si>
  <si>
    <t>Sheffield United</t>
  </si>
  <si>
    <t>A. Cresswell</t>
  </si>
  <si>
    <t>Stoke City</t>
  </si>
  <si>
    <t>L. Cooper</t>
  </si>
  <si>
    <t>Sheffield Wednesday</t>
  </si>
  <si>
    <t>J. Ward</t>
  </si>
  <si>
    <t>Swansea City</t>
  </si>
  <si>
    <t>A. Browne</t>
  </si>
  <si>
    <t>E. Višća</t>
  </si>
  <si>
    <t>Bosnia và Herzegovina</t>
  </si>
  <si>
    <t>Trabzonspor</t>
  </si>
  <si>
    <t>J. Ralls</t>
  </si>
  <si>
    <t>Plymouth Argyle</t>
  </si>
  <si>
    <t>A. Losilla</t>
  </si>
  <si>
    <t>F. Muslera</t>
  </si>
  <si>
    <t>Estudiantes</t>
  </si>
  <si>
    <t>Yeom Ki Hun</t>
  </si>
  <si>
    <t>M. Bradley</t>
  </si>
  <si>
    <t>M. Tekdemir</t>
  </si>
  <si>
    <t>N. Uysal</t>
  </si>
  <si>
    <t>G. Zusi</t>
  </si>
  <si>
    <t>Go Yo Han</t>
  </si>
  <si>
    <t>Choi Chul Soon</t>
  </si>
  <si>
    <t>Jeonbuk Hyundai Motors</t>
  </si>
  <si>
    <t>D. Chará</t>
  </si>
  <si>
    <t>Portland Timbers</t>
  </si>
  <si>
    <t>Han Kyo Won</t>
  </si>
  <si>
    <t>Chungnam Asan</t>
  </si>
  <si>
    <t>Shin Kwang Hoon</t>
  </si>
  <si>
    <t>Kim Do Hyeok</t>
  </si>
  <si>
    <t>Daejeon Hana Citizen</t>
  </si>
  <si>
    <t>Y. Al Shahrani</t>
  </si>
  <si>
    <t>Min Sang Gi</t>
  </si>
  <si>
    <t>Busan IPark</t>
  </si>
  <si>
    <t>O. Hawsawi</t>
  </si>
  <si>
    <t>CC</t>
  </si>
  <si>
    <t>Century Club</t>
  </si>
  <si>
    <t>A. Griezmann</t>
  </si>
  <si>
    <t>I. Perišić</t>
  </si>
  <si>
    <t>E. Cavani</t>
  </si>
  <si>
    <t>David Silva</t>
  </si>
  <si>
    <t>K. Navas</t>
  </si>
  <si>
    <t>Costa Rica</t>
  </si>
  <si>
    <t>Á. Di María</t>
  </si>
  <si>
    <t>Rosario Central</t>
  </si>
  <si>
    <t>E. Džeko</t>
  </si>
  <si>
    <t>C. Eriksen</t>
  </si>
  <si>
    <t>J. Vertonghen</t>
  </si>
  <si>
    <t>D. Ospina</t>
  </si>
  <si>
    <t>Atlético Nacional</t>
  </si>
  <si>
    <t>C. Bravo</t>
  </si>
  <si>
    <t>AEL Limassol</t>
  </si>
  <si>
    <t>Falcao</t>
  </si>
  <si>
    <t>T. Alderweireld</t>
  </si>
  <si>
    <t>J. Hernández</t>
  </si>
  <si>
    <t>A. Guardado</t>
  </si>
  <si>
    <t>R. Rodríguez</t>
  </si>
  <si>
    <t>M. Gradel</t>
  </si>
  <si>
    <t>H. Herrera</t>
  </si>
  <si>
    <t>Houston Dynamo</t>
  </si>
  <si>
    <t>K. Glik</t>
  </si>
  <si>
    <t>Cracovia</t>
  </si>
  <si>
    <t>S. Kjær</t>
  </si>
  <si>
    <t>A. Musa</t>
  </si>
  <si>
    <t>D. Vida</t>
  </si>
  <si>
    <t>Rui Patrício</t>
  </si>
  <si>
    <t>W. Hennessey</t>
  </si>
  <si>
    <t>S. Okazaki</t>
  </si>
  <si>
    <t>E. Haji Safi</t>
  </si>
  <si>
    <t>Iran</t>
  </si>
  <si>
    <t>Kim Young Gwon</t>
  </si>
  <si>
    <t>A. Godoy</t>
  </si>
  <si>
    <t>Panama</t>
  </si>
  <si>
    <t>T. Pukki</t>
  </si>
  <si>
    <t>HJK</t>
  </si>
  <si>
    <t>BLD</t>
  </si>
  <si>
    <t>V. Osimhen</t>
  </si>
  <si>
    <t>Bernardo Silva</t>
  </si>
  <si>
    <t>F. de Jong</t>
  </si>
  <si>
    <t>S. Haller</t>
  </si>
  <si>
    <t>Rafael Leão</t>
  </si>
  <si>
    <t>Y. Bounou</t>
  </si>
  <si>
    <t>M. de Ligt</t>
  </si>
  <si>
    <t>E. Martínez</t>
  </si>
  <si>
    <t>D. Tadić</t>
  </si>
  <si>
    <t>J. Musiala</t>
  </si>
  <si>
    <t>D. Núñez</t>
  </si>
  <si>
    <t>C. Nkunku</t>
  </si>
  <si>
    <t>D. van de Beek</t>
  </si>
  <si>
    <t>J. Gvardiol</t>
  </si>
  <si>
    <t>R. Kolo Muani</t>
  </si>
  <si>
    <t>WB</t>
  </si>
  <si>
    <t>Wonderboys</t>
  </si>
  <si>
    <t>C. Palmer</t>
  </si>
  <si>
    <t>A. Davies</t>
  </si>
  <si>
    <t>X. Simons</t>
  </si>
  <si>
    <t>João Neves</t>
  </si>
  <si>
    <t>L. Goretzka</t>
  </si>
  <si>
    <t>Savinho</t>
  </si>
  <si>
    <t>M. Caicedo</t>
  </si>
  <si>
    <t>T. Bischof</t>
  </si>
  <si>
    <t>Nico Williams</t>
  </si>
  <si>
    <t>D. Kulusevski</t>
  </si>
  <si>
    <t>I. Konaté</t>
  </si>
  <si>
    <t>A. Isak</t>
  </si>
  <si>
    <t>M. Rashford</t>
  </si>
  <si>
    <t>L. Sané</t>
  </si>
  <si>
    <t>C. De Ketelaere</t>
  </si>
  <si>
    <t>C. Gallagher</t>
  </si>
  <si>
    <t>J. Gittens</t>
  </si>
  <si>
    <t>Gonçalo Ramos</t>
  </si>
  <si>
    <t>L. Hall</t>
  </si>
  <si>
    <t>G. Scalvini</t>
  </si>
  <si>
    <t>L. Colwill</t>
  </si>
  <si>
    <t>E. Millot</t>
  </si>
  <si>
    <t>W. Fofana</t>
  </si>
  <si>
    <t>J. Branthwaite</t>
  </si>
  <si>
    <t>T. Kubo</t>
  </si>
  <si>
    <t>B. Šeško</t>
  </si>
  <si>
    <t>J. David</t>
  </si>
  <si>
    <t>A. Januzaj</t>
  </si>
  <si>
    <t>M. Hamšík</t>
  </si>
  <si>
    <t>Slovakia</t>
  </si>
  <si>
    <t>C. Baleba</t>
  </si>
  <si>
    <t>K. Mainoo</t>
  </si>
  <si>
    <t>Vanderson</t>
  </si>
  <si>
    <t>Balde</t>
  </si>
  <si>
    <t>M. Beier</t>
  </si>
  <si>
    <t>F. Balogun</t>
  </si>
  <si>
    <t>E. Wahi</t>
  </si>
  <si>
    <t>N. Jackson</t>
  </si>
  <si>
    <t>L. Delap</t>
  </si>
  <si>
    <t>N. Zézé</t>
  </si>
  <si>
    <t>Marc Casadó</t>
  </si>
  <si>
    <t>Gavi</t>
  </si>
  <si>
    <t>M. Kerkez</t>
  </si>
  <si>
    <t>D. Udogie</t>
  </si>
  <si>
    <t>A. Gordon</t>
  </si>
  <si>
    <t>R. Aït-Nouri</t>
  </si>
  <si>
    <t>M. Guéhi</t>
  </si>
  <si>
    <t>S. Tonali</t>
  </si>
  <si>
    <t>N. Zaniolo</t>
  </si>
  <si>
    <t>Udinese</t>
  </si>
  <si>
    <t>E. Ben Seghir</t>
  </si>
  <si>
    <t>L. Yoro</t>
  </si>
  <si>
    <t>A. Garnacho</t>
  </si>
  <si>
    <t>T. Rothe</t>
  </si>
  <si>
    <t>A. Nusa</t>
  </si>
  <si>
    <t>Amad</t>
  </si>
  <si>
    <t>W. Singo</t>
  </si>
  <si>
    <t>B. Johnson</t>
  </si>
  <si>
    <t>Rodrygo</t>
  </si>
  <si>
    <t>N. Savona</t>
  </si>
  <si>
    <t>E. Forsberg</t>
  </si>
  <si>
    <t>New York Red Bulls</t>
  </si>
  <si>
    <t>P. Sarr</t>
  </si>
  <si>
    <t>K. Adeyemi</t>
  </si>
  <si>
    <t>J. Ramsey</t>
  </si>
  <si>
    <t>H. Elliott</t>
  </si>
  <si>
    <t>SPT</t>
  </si>
  <si>
    <t>Spartan</t>
  </si>
  <si>
    <t>F. Schär</t>
  </si>
  <si>
    <t>Mikel Merino</t>
  </si>
  <si>
    <t>J. Maddison</t>
  </si>
  <si>
    <t>Álex Baena</t>
  </si>
  <si>
    <t>C. Romero</t>
  </si>
  <si>
    <t>Joelinton</t>
  </si>
  <si>
    <t>J. Tarkowski</t>
  </si>
  <si>
    <t>Joan Jordán</t>
  </si>
  <si>
    <t>M. Zaccagni</t>
  </si>
  <si>
    <t>D. Ginola</t>
  </si>
  <si>
    <t>Y. Herrera</t>
  </si>
  <si>
    <t>D. Djené</t>
  </si>
  <si>
    <t>Togo</t>
  </si>
  <si>
    <t>Omar Mascarell</t>
  </si>
  <si>
    <t>Guinea Xích Đạo</t>
  </si>
  <si>
    <t>Juan Jesus</t>
  </si>
  <si>
    <t>M. Salgado</t>
  </si>
  <si>
    <t>D. Muñoz</t>
  </si>
  <si>
    <t>Palhinha</t>
  </si>
  <si>
    <t>A. Romagnoli</t>
  </si>
  <si>
    <t>H. Maguire</t>
  </si>
  <si>
    <t>S. van den Berg</t>
  </si>
  <si>
    <t>Javi Galán</t>
  </si>
  <si>
    <t>L. Cabrera</t>
  </si>
  <si>
    <t>C. Stuani</t>
  </si>
  <si>
    <t>M. Gibbs-White</t>
  </si>
  <si>
    <t>Jonny</t>
  </si>
  <si>
    <t>Ó. Trejo</t>
  </si>
  <si>
    <t>K. Koné</t>
  </si>
  <si>
    <t>Y. Bissouma</t>
  </si>
  <si>
    <t>A. Doucouré</t>
  </si>
  <si>
    <t>BDO</t>
  </si>
  <si>
    <t>Ballon d’Or</t>
  </si>
  <si>
    <t>23HW</t>
  </si>
  <si>
    <t>A. Mitrović</t>
  </si>
  <si>
    <t>B. Dia</t>
  </si>
  <si>
    <t>E. Eze</t>
  </si>
  <si>
    <t>E. Skhiri</t>
  </si>
  <si>
    <t>Tunisia</t>
  </si>
  <si>
    <t>Frankfurt</t>
  </si>
  <si>
    <t>M. Gregoritsch</t>
  </si>
  <si>
    <t>Brøndby</t>
  </si>
  <si>
    <t>M. Ducksch</t>
  </si>
  <si>
    <t>Birmingham</t>
  </si>
  <si>
    <t>F. Tomori</t>
  </si>
  <si>
    <t>S. Becker</t>
  </si>
  <si>
    <t>P. Højbjerg</t>
  </si>
  <si>
    <t>W. Orban</t>
  </si>
  <si>
    <t>P. Groß</t>
  </si>
  <si>
    <t>B. Mbeumo</t>
  </si>
  <si>
    <t>E. Pinnock</t>
  </si>
  <si>
    <t>Jamaica</t>
  </si>
  <si>
    <t>H. Barnes</t>
  </si>
  <si>
    <t>Yeremy Pino</t>
  </si>
  <si>
    <t>Athletic Bilbao</t>
  </si>
  <si>
    <t>Sancet</t>
  </si>
  <si>
    <t>D. McNeil</t>
  </si>
  <si>
    <t>M. Pessina</t>
  </si>
  <si>
    <t>Monza</t>
  </si>
  <si>
    <t>J. Willock</t>
  </si>
  <si>
    <t>T. Souček</t>
  </si>
  <si>
    <t>Douglas Luiz</t>
  </si>
  <si>
    <t>Brais Méndez</t>
  </si>
  <si>
    <t>R. Orsolini</t>
  </si>
  <si>
    <t>K. Onisiwo</t>
  </si>
  <si>
    <t>Salzburg</t>
  </si>
  <si>
    <t>D. Solanke</t>
  </si>
  <si>
    <t>Juventus</t>
  </si>
  <si>
    <t>A. Sanabria</t>
  </si>
  <si>
    <t>A. Sørloth</t>
  </si>
  <si>
    <t>R. Andrich</t>
  </si>
  <si>
    <t>J. McGinn</t>
  </si>
  <si>
    <t>F. Kostić</t>
  </si>
  <si>
    <t>P. Hofmann</t>
  </si>
  <si>
    <t>Bochum</t>
  </si>
  <si>
    <t>M. Weiser</t>
  </si>
  <si>
    <t>Bremen</t>
  </si>
  <si>
    <t>K. Stöger</t>
  </si>
  <si>
    <t>Mönchengladbach</t>
  </si>
  <si>
    <t>R. Knoche</t>
  </si>
  <si>
    <t>Nürnberg</t>
  </si>
  <si>
    <t>D. Burn</t>
  </si>
  <si>
    <t>P. Estupiñán</t>
  </si>
  <si>
    <t>W. Endo</t>
  </si>
  <si>
    <t>M. Jensen</t>
  </si>
  <si>
    <t>G. Rodríguez</t>
  </si>
  <si>
    <t>J. Bowen</t>
  </si>
  <si>
    <t>R. Bensebaini</t>
  </si>
  <si>
    <t>S. Posch</t>
  </si>
  <si>
    <t>A. Iwobi</t>
  </si>
  <si>
    <t>Andreas Pereira</t>
  </si>
  <si>
    <t>23 Hard Worker</t>
  </si>
  <si>
    <t>William Carvalho</t>
  </si>
  <si>
    <t>J. Ayew</t>
  </si>
  <si>
    <t>Leicester</t>
  </si>
  <si>
    <t>Arnau Martínez</t>
  </si>
  <si>
    <t>F. Parisi</t>
  </si>
  <si>
    <t>Samuel Lino</t>
  </si>
  <si>
    <t>Zubimendi</t>
  </si>
  <si>
    <t>André Almeida</t>
  </si>
  <si>
    <t>E. Tapsoba</t>
  </si>
  <si>
    <t>Tuta</t>
  </si>
  <si>
    <t>M. Hjulmand</t>
  </si>
  <si>
    <t>M. Bülter</t>
  </si>
  <si>
    <t>J. Bijol</t>
  </si>
  <si>
    <t>A. Buongiorno</t>
  </si>
  <si>
    <t>L. Robertone</t>
  </si>
  <si>
    <t>Vélez Sarsfield</t>
  </si>
  <si>
    <t>R. Le Normand</t>
  </si>
  <si>
    <t>Raíllo</t>
  </si>
  <si>
    <t>L. Tousart</t>
  </si>
  <si>
    <t>J. Andersen</t>
  </si>
  <si>
    <t>Pablo Maffeo</t>
  </si>
  <si>
    <t>P. Billing</t>
  </si>
  <si>
    <t>Midtjylland</t>
  </si>
  <si>
    <t>P. Ciurria</t>
  </si>
  <si>
    <t>Álvaro García</t>
  </si>
  <si>
    <t>T. Mings</t>
  </si>
  <si>
    <t>David Soria</t>
  </si>
  <si>
    <t>M. Flekken</t>
  </si>
  <si>
    <t>K. Casteels</t>
  </si>
  <si>
    <t>M. van de Ven</t>
  </si>
  <si>
    <t>T. Krauß</t>
  </si>
  <si>
    <t>C. Doucouré</t>
  </si>
  <si>
    <t>D. Frattesi</t>
  </si>
  <si>
    <t>E. Demirović</t>
  </si>
  <si>
    <t>R. Marin</t>
  </si>
  <si>
    <t>J. Harrison</t>
  </si>
  <si>
    <t>L. Coulibaly</t>
  </si>
  <si>
    <t>Lecce</t>
  </si>
  <si>
    <t>D. Sow</t>
  </si>
  <si>
    <t>M. Eggestein</t>
  </si>
  <si>
    <t>E. Buendía</t>
  </si>
  <si>
    <t>J. Lerma</t>
  </si>
  <si>
    <t>R. Khedira</t>
  </si>
  <si>
    <t>Ruiz de Galarreta</t>
  </si>
  <si>
    <t>J. Schlupp</t>
  </si>
  <si>
    <t>Norwich</t>
  </si>
  <si>
    <t>A. Candreva</t>
  </si>
  <si>
    <t>Vesga</t>
  </si>
  <si>
    <t>F. Baschirotto</t>
  </si>
  <si>
    <t>Fran García</t>
  </si>
  <si>
    <t>N. Pérez</t>
  </si>
  <si>
    <t>Unai Núñez</t>
  </si>
  <si>
    <t>Hellas Verona</t>
  </si>
  <si>
    <t>W. Faes</t>
  </si>
  <si>
    <t>J. Aidoo</t>
  </si>
  <si>
    <t>A. Robinson</t>
  </si>
  <si>
    <t>T. Castagne</t>
  </si>
  <si>
    <t>T. Ream</t>
  </si>
  <si>
    <t>Charlotte</t>
  </si>
  <si>
    <t>M. Riemann</t>
  </si>
  <si>
    <t>S. Bueno</t>
  </si>
  <si>
    <t>Wolves</t>
  </si>
  <si>
    <t>S. Longstaff</t>
  </si>
  <si>
    <t>E. Ampadu</t>
  </si>
  <si>
    <t>D. Okereke</t>
  </si>
  <si>
    <t>J. Lucumí</t>
  </si>
  <si>
    <t>R. Henry</t>
  </si>
  <si>
    <t>D. Gray</t>
  </si>
  <si>
    <t>S. Luperto</t>
  </si>
  <si>
    <t>J. Gouweleeuw</t>
  </si>
  <si>
    <t>G. Mamardashvili</t>
  </si>
  <si>
    <t>T. Mitchell</t>
  </si>
  <si>
    <t>T. Augello</t>
  </si>
  <si>
    <t>Palermo</t>
  </si>
  <si>
    <t>R. Koch</t>
  </si>
  <si>
    <t>W. Anton</t>
  </si>
  <si>
    <t>A. Jung</t>
  </si>
  <si>
    <t>V. Mykolenko</t>
  </si>
  <si>
    <t>K. Walker-Peters</t>
  </si>
  <si>
    <t>E. Konsa</t>
  </si>
  <si>
    <t>M. Léris</t>
  </si>
  <si>
    <t>Nélson Semedo</t>
  </si>
  <si>
    <t>H. Reed</t>
  </si>
  <si>
    <t>M. Bourabia</t>
  </si>
  <si>
    <t>24EP</t>
  </si>
  <si>
    <t>M. Kudus</t>
  </si>
  <si>
    <t>C. Führich</t>
  </si>
  <si>
    <t>Guruzeta</t>
  </si>
  <si>
    <t>V. Tsygankov</t>
  </si>
  <si>
    <t>J. Wind</t>
  </si>
  <si>
    <t>L. Bailey</t>
  </si>
  <si>
    <t>T. Kleindienst</t>
  </si>
  <si>
    <t>Pedro Porro</t>
  </si>
  <si>
    <t>F. Honorat</t>
  </si>
  <si>
    <t>Ayoze</t>
  </si>
  <si>
    <t>P. Gazzaniga</t>
  </si>
  <si>
    <t>E. Dinkçi</t>
  </si>
  <si>
    <t>A. Stach</t>
  </si>
  <si>
    <t>T. Reijnders</t>
  </si>
  <si>
    <t>J. Mateta</t>
  </si>
  <si>
    <t>B. Henrichs</t>
  </si>
  <si>
    <t>P. Mainka</t>
  </si>
  <si>
    <t>Heidenheim</t>
  </si>
  <si>
    <t>D. Zapata</t>
  </si>
  <si>
    <t>B. Cristante</t>
  </si>
  <si>
    <t>R. Barkley</t>
  </si>
  <si>
    <t>Éderson</t>
  </si>
  <si>
    <t>Pepelu</t>
  </si>
  <si>
    <t>M. Politano</t>
  </si>
  <si>
    <t>L. Ocampos</t>
  </si>
  <si>
    <t>Monterrey</t>
  </si>
  <si>
    <t>Hugo Duro</t>
  </si>
  <si>
    <t>J. Larsen</t>
  </si>
  <si>
    <t>Y. Wissa</t>
  </si>
  <si>
    <t>CHDC Congo</t>
  </si>
  <si>
    <t>X. Schlager</t>
  </si>
  <si>
    <t>P. Kadeřábek</t>
  </si>
  <si>
    <t>Sparta Praha</t>
  </si>
  <si>
    <t>B. Djimsiti</t>
  </si>
  <si>
    <t>Albania</t>
  </si>
  <si>
    <t>L. Paredes</t>
  </si>
  <si>
    <t>R. Freuler</t>
  </si>
  <si>
    <t>A. Elanga</t>
  </si>
  <si>
    <t>A. Doughty</t>
  </si>
  <si>
    <t>Millwall</t>
  </si>
  <si>
    <t>Iván Martín</t>
  </si>
  <si>
    <t>J. Garner</t>
  </si>
  <si>
    <t>R. Schmid</t>
  </si>
  <si>
    <t>D. O'Shea</t>
  </si>
  <si>
    <t>Diogo Dalot</t>
  </si>
  <si>
    <t>F. Grillitsch</t>
  </si>
  <si>
    <t>Hwang Hee Chan</t>
  </si>
  <si>
    <t>L. Cook</t>
  </si>
  <si>
    <t>R. Gosens</t>
  </si>
  <si>
    <t>R. Christie</t>
  </si>
  <si>
    <t>C. Nørgaard</t>
  </si>
  <si>
    <t>24 Energetic Player</t>
  </si>
  <si>
    <t>R. Bellanova</t>
  </si>
  <si>
    <t>V. Janelt</t>
  </si>
  <si>
    <t>Bernardo</t>
  </si>
  <si>
    <t>J. Pickford</t>
  </si>
  <si>
    <t>B. Leno</t>
  </si>
  <si>
    <t>P. Tietz</t>
  </si>
  <si>
    <t>W. Weghorst</t>
  </si>
  <si>
    <t>Lee Jae Sung</t>
  </si>
  <si>
    <t>N. Elvedi</t>
  </si>
  <si>
    <t>M. Lemina</t>
  </si>
  <si>
    <t>Murillo</t>
  </si>
  <si>
    <t>João Gomes</t>
  </si>
  <si>
    <t>Vinicius Souza</t>
  </si>
  <si>
    <t>A. Cambiaso</t>
  </si>
  <si>
    <t>L. Samardžić</t>
  </si>
  <si>
    <t>A. Colpani</t>
  </si>
  <si>
    <t>M. Kilman</t>
  </si>
  <si>
    <t>A. Dossena</t>
  </si>
  <si>
    <t>A. Caci</t>
  </si>
  <si>
    <t>L. Höler</t>
  </si>
  <si>
    <t>J. Mæhle</t>
  </si>
  <si>
    <t>J. Stage</t>
  </si>
  <si>
    <t>F. Uduokhai</t>
  </si>
  <si>
    <t>J. Weigl</t>
  </si>
  <si>
    <t>D. Calvert-Lewin</t>
  </si>
  <si>
    <t>C. Morris</t>
  </si>
  <si>
    <t>Derby County</t>
  </si>
  <si>
    <t>L. Digne</t>
  </si>
  <si>
    <t>M. Ruggeri</t>
  </si>
  <si>
    <t>W. Falcone</t>
  </si>
  <si>
    <t>K. Müller</t>
  </si>
  <si>
    <t>Schalke</t>
  </si>
  <si>
    <t>Isi</t>
  </si>
  <si>
    <t>T. Skarke</t>
  </si>
  <si>
    <t>Luis Rioja</t>
  </si>
  <si>
    <t>O. Duda</t>
  </si>
  <si>
    <t>Embarba</t>
  </si>
  <si>
    <t>Almería</t>
  </si>
  <si>
    <t>S. Lobotka</t>
  </si>
  <si>
    <t>M. Badelj</t>
  </si>
  <si>
    <t>F. Lejeune</t>
  </si>
  <si>
    <t>M. Folorunsho</t>
  </si>
  <si>
    <t>Mika Mármol</t>
  </si>
  <si>
    <t>Las Palmas</t>
  </si>
  <si>
    <t>Mosquera</t>
  </si>
  <si>
    <t>Sergi Cardona</t>
  </si>
  <si>
    <t>Mingueza</t>
  </si>
  <si>
    <t>Vivian</t>
  </si>
  <si>
    <t>V. Gendrey</t>
  </si>
  <si>
    <t>Óscar Valentín</t>
  </si>
  <si>
    <t>Areso</t>
  </si>
  <si>
    <t>J. Chabot</t>
  </si>
  <si>
    <t>L. Netz</t>
  </si>
  <si>
    <t>Gorosabel</t>
  </si>
  <si>
    <t>Guridi</t>
  </si>
  <si>
    <t>Diogo Leite</t>
  </si>
  <si>
    <t>Dani Rodríguez</t>
  </si>
  <si>
    <t>Leganés</t>
  </si>
  <si>
    <t>N. Atubolu</t>
  </si>
  <si>
    <t>PTG</t>
  </si>
  <si>
    <t>J. Doku</t>
  </si>
  <si>
    <t>N. Otamendi</t>
  </si>
  <si>
    <t>Unai Simón</t>
  </si>
  <si>
    <t>M. Depay</t>
  </si>
  <si>
    <t>R. De Paul</t>
  </si>
  <si>
    <t>M. Amoura</t>
  </si>
  <si>
    <t>Y. Tielemans</t>
  </si>
  <si>
    <t>M. Rogers</t>
  </si>
  <si>
    <t>D. Ndoye</t>
  </si>
  <si>
    <t>S. Berge</t>
  </si>
  <si>
    <t>M. Taremi</t>
  </si>
  <si>
    <t>Olympiacos</t>
  </si>
  <si>
    <t>J. Rodríguez</t>
  </si>
  <si>
    <t>Minnesota United</t>
  </si>
  <si>
    <t>B. Embolo</t>
  </si>
  <si>
    <t>H. Vanaken</t>
  </si>
  <si>
    <t>Club Brugge</t>
  </si>
  <si>
    <t>E. Anderson</t>
  </si>
  <si>
    <t>M. De Cuyper</t>
  </si>
  <si>
    <t>Ferran Torres</t>
  </si>
  <si>
    <t>N. Gonzalez</t>
  </si>
  <si>
    <t>N. Molina</t>
  </si>
  <si>
    <t>N. Tagliafico</t>
  </si>
  <si>
    <t>Ø. Nyland</t>
  </si>
  <si>
    <t>A. Theate</t>
  </si>
  <si>
    <t>P. Hincapié</t>
  </si>
  <si>
    <t>N. Aguerd</t>
  </si>
  <si>
    <t>J. Koundé</t>
  </si>
  <si>
    <t>R. Vargas</t>
  </si>
  <si>
    <t>K. Ajer</t>
  </si>
  <si>
    <t>S. Amrabat</t>
  </si>
  <si>
    <t>H. Ekitiké</t>
  </si>
  <si>
    <t>H. Galíndez</t>
  </si>
  <si>
    <t>Huracán</t>
  </si>
  <si>
    <t>T. Almada</t>
  </si>
  <si>
    <t>D. Livaković</t>
  </si>
  <si>
    <t>Dinamo Zagreb</t>
  </si>
  <si>
    <t>M. Al Tamari</t>
  </si>
  <si>
    <t>Jordan</t>
  </si>
  <si>
    <t>J. Ito</t>
  </si>
  <si>
    <t>Genk</t>
  </si>
  <si>
    <t>A. Güler</t>
  </si>
  <si>
    <t>S. Adingra</t>
  </si>
  <si>
    <t>N. Seiwald</t>
  </si>
  <si>
    <t>L. Krejčí</t>
  </si>
  <si>
    <t>J. Arias</t>
  </si>
  <si>
    <t>E. Álvarez</t>
  </si>
  <si>
    <t>K. Laimer</t>
  </si>
  <si>
    <t>C. Mbemba</t>
  </si>
  <si>
    <t>T. Meunier</t>
  </si>
  <si>
    <t>A. Mandi</t>
  </si>
  <si>
    <t>Z. Debast</t>
  </si>
  <si>
    <t>Y. En-Nesyri</t>
  </si>
  <si>
    <t>S. Widmer</t>
  </si>
  <si>
    <t>M. Lewis-Skelly</t>
  </si>
  <si>
    <t>M. Gusto</t>
  </si>
  <si>
    <t>Y. Fofana</t>
  </si>
  <si>
    <t>Rizespor</t>
  </si>
  <si>
    <t>C. Bakambu</t>
  </si>
  <si>
    <t>LE</t>
  </si>
  <si>
    <t>Munir</t>
  </si>
  <si>
    <t>Newell’s Old Boys</t>
  </si>
  <si>
    <t>Á. Correa</t>
  </si>
  <si>
    <t>Tigres</t>
  </si>
  <si>
    <t>J. Koller</t>
  </si>
  <si>
    <t>A. Lookman</t>
  </si>
  <si>
    <t>J. Giménez</t>
  </si>
  <si>
    <t>Alberto Moreno</t>
  </si>
  <si>
    <t>San Lorenzo</t>
  </si>
  <si>
    <t>A. Knauff</t>
  </si>
  <si>
    <t>J. Foyth</t>
  </si>
  <si>
    <t>J. Amavi</t>
  </si>
  <si>
    <t>C. Smalling</t>
  </si>
  <si>
    <t>Al Fayha</t>
  </si>
  <si>
    <t>D. Sánchez</t>
  </si>
  <si>
    <t>Suso</t>
  </si>
  <si>
    <t>Cádiz</t>
  </si>
  <si>
    <t>André Gomes</t>
  </si>
  <si>
    <t>Al Sadd</t>
  </si>
  <si>
    <t>A. Adli</t>
  </si>
  <si>
    <t>T. Koopmeiners</t>
  </si>
  <si>
    <t>J. Aribo</t>
  </si>
  <si>
    <t>A. Wan-Bissaka</t>
  </si>
  <si>
    <t>V. Lindelöf</t>
  </si>
  <si>
    <t>Fred</t>
  </si>
  <si>
    <t>Ipswich</t>
  </si>
  <si>
    <t>M. Kovář</t>
  </si>
  <si>
    <t>S. Romero</t>
  </si>
  <si>
    <t>Argentinos Juniors</t>
  </si>
  <si>
    <t>G. Mancini</t>
  </si>
  <si>
    <t>E. Salvio</t>
  </si>
  <si>
    <t>Lanús</t>
  </si>
  <si>
    <t>Reguilón</t>
  </si>
  <si>
    <t>Pedraza</t>
  </si>
  <si>
    <t>S. Kolašinac</t>
  </si>
  <si>
    <t>L. Spinazzola</t>
  </si>
  <si>
    <t>J. Lundstram</t>
  </si>
  <si>
    <t>Hull City</t>
  </si>
  <si>
    <t>R. Funes Mori</t>
  </si>
  <si>
    <t>Sergi Gómez</t>
  </si>
  <si>
    <t>Anorthosis</t>
  </si>
  <si>
    <t>J. Musso</t>
  </si>
  <si>
    <t>Pau Torres</t>
  </si>
  <si>
    <t>N. Tella</t>
  </si>
  <si>
    <t>B. Kamara</t>
  </si>
  <si>
    <t>M. Guendouzi</t>
  </si>
  <si>
    <t>E. Bailly</t>
  </si>
  <si>
    <t>Real Oviedo</t>
  </si>
  <si>
    <t>L. Torreira</t>
  </si>
  <si>
    <t>M. Sanson</t>
  </si>
  <si>
    <t>D. D'Ambrosio</t>
  </si>
  <si>
    <t>E. Pérez</t>
  </si>
  <si>
    <t>G. Rulli</t>
  </si>
  <si>
    <t>K. Trapp</t>
  </si>
  <si>
    <t>I. Hien</t>
  </si>
  <si>
    <t>M. Pašalić</t>
  </si>
  <si>
    <t>HG</t>
  </si>
  <si>
    <t>R. Fowler</t>
  </si>
  <si>
    <t>T. Partey</t>
  </si>
  <si>
    <t>Carlos Soler</t>
  </si>
  <si>
    <t>G. Neville</t>
  </si>
  <si>
    <t>J. Matip</t>
  </si>
  <si>
    <t>W. Szczęsny</t>
  </si>
  <si>
    <t>F. De Boer</t>
  </si>
  <si>
    <t>O. Kökçü</t>
  </si>
  <si>
    <t>J. Lingard</t>
  </si>
  <si>
    <t>FC Seoul</t>
  </si>
  <si>
    <t>E. Capoue</t>
  </si>
  <si>
    <t>M. Gonalons</t>
  </si>
  <si>
    <t>João Moutinho</t>
  </si>
  <si>
    <t>H. Aouar</t>
  </si>
  <si>
    <t>D. Calabria</t>
  </si>
  <si>
    <t>Y. Ayoub</t>
  </si>
  <si>
    <t>M. Sakho</t>
  </si>
  <si>
    <t>A. Ayew</t>
  </si>
  <si>
    <t>M. Sissoko</t>
  </si>
  <si>
    <t>O. Wijndal</t>
  </si>
  <si>
    <t>Yeray</t>
  </si>
  <si>
    <t>S. van Beek</t>
  </si>
  <si>
    <t>SPL</t>
  </si>
  <si>
    <t>M. Diaby</t>
  </si>
  <si>
    <t>A. Danjuma</t>
  </si>
  <si>
    <t>N. Fekir</t>
  </si>
  <si>
    <t>Raúl de Tomás</t>
  </si>
  <si>
    <t>N. Mazraoui</t>
  </si>
  <si>
    <t>Gonçalo Guedes</t>
  </si>
  <si>
    <t>Fábio Vieira</t>
  </si>
  <si>
    <t>R. Araujo</t>
  </si>
  <si>
    <t>Matheus Nunes</t>
  </si>
  <si>
    <t>E. Smith Rowe</t>
  </si>
  <si>
    <t>G. Scamacca</t>
  </si>
  <si>
    <t>I. Sangaré</t>
  </si>
  <si>
    <t>T. Awoniyi</t>
  </si>
  <si>
    <t>J. Correa</t>
  </si>
  <si>
    <t>T. Lemar</t>
  </si>
  <si>
    <t>K. Phillips</t>
  </si>
  <si>
    <t>T. Malacia</t>
  </si>
  <si>
    <t>C. Ünder</t>
  </si>
  <si>
    <t>L. Sinisterra</t>
  </si>
  <si>
    <t>M. Grujić</t>
  </si>
  <si>
    <t>T. Chalobah</t>
  </si>
  <si>
    <t>P. Kalulu</t>
  </si>
  <si>
    <t>A. Ramsdale</t>
  </si>
  <si>
    <t>A. Broja</t>
  </si>
  <si>
    <t>B. Gilmour</t>
  </si>
  <si>
    <t>E. Nketiah</t>
  </si>
  <si>
    <t>David Neres</t>
  </si>
  <si>
    <t>J. Hauge</t>
  </si>
  <si>
    <t>Bodø/Glimt</t>
  </si>
  <si>
    <t>T. Minamino</t>
  </si>
  <si>
    <t>LN</t>
  </si>
  <si>
    <t>Deco</t>
  </si>
  <si>
    <t>F. Inzaghi</t>
  </si>
  <si>
    <t>R. Giggs</t>
  </si>
  <si>
    <t>A. Brehme</t>
  </si>
  <si>
    <t>FA</t>
  </si>
  <si>
    <t>Llorente</t>
  </si>
  <si>
    <t>S. Savić</t>
  </si>
  <si>
    <t>M. Balotelli</t>
  </si>
  <si>
    <t>J. Bamba</t>
  </si>
  <si>
    <t>Dani Alves</t>
  </si>
  <si>
    <t>L. Dubois</t>
  </si>
  <si>
    <t>Canales</t>
  </si>
  <si>
    <t>João Mário</t>
  </si>
  <si>
    <t>M. Diouf</t>
  </si>
  <si>
    <t>E. Choupo-Moting</t>
  </si>
  <si>
    <t>K. Boateng</t>
  </si>
  <si>
    <t>C. Vieri</t>
  </si>
  <si>
    <t>Rui Silva</t>
  </si>
  <si>
    <t>Sporting CP</t>
  </si>
  <si>
    <t>R. Borré</t>
  </si>
  <si>
    <t>Internacional</t>
  </si>
  <si>
    <t>G. Bonaventura</t>
  </si>
  <si>
    <t>J. King</t>
  </si>
  <si>
    <t>M. Kruse</t>
  </si>
  <si>
    <t>D. Didavi</t>
  </si>
  <si>
    <t>T. Cleverley</t>
  </si>
  <si>
    <t>J. Boateng</t>
  </si>
  <si>
    <t>A. Vidal</t>
  </si>
  <si>
    <t>Miguel Veloso</t>
  </si>
  <si>
    <t>E. Lamela</t>
  </si>
  <si>
    <t>G. Cahill</t>
  </si>
  <si>
    <t>A. Gignac</t>
  </si>
  <si>
    <t>S. Feghouli</t>
  </si>
  <si>
    <t>Santi Mina</t>
  </si>
  <si>
    <t>E. Hysaj</t>
  </si>
  <si>
    <t>Y. Konoplyanka</t>
  </si>
  <si>
    <t>A. Townsend</t>
  </si>
  <si>
    <t>Alex Teixeira</t>
  </si>
  <si>
    <t>L. Fer</t>
  </si>
  <si>
    <t>LOL</t>
  </si>
  <si>
    <t>G. Kondogbia</t>
  </si>
  <si>
    <t>Cộng hòa Trung Phi</t>
  </si>
  <si>
    <t>A. Hakimi</t>
  </si>
  <si>
    <t>A. Delort</t>
  </si>
  <si>
    <t>T. Ndombele</t>
  </si>
  <si>
    <t>Paco Alcácer</t>
  </si>
  <si>
    <t>G. Lo Celso</t>
  </si>
  <si>
    <t>R. Jiménez</t>
  </si>
  <si>
    <t>Coutinho</t>
  </si>
  <si>
    <t>K. Coman</t>
  </si>
  <si>
    <t>D. Cheryshev</t>
  </si>
  <si>
    <t>P. Schick</t>
  </si>
  <si>
    <t>M. Batshuayi</t>
  </si>
  <si>
    <t>D. Sturridge</t>
  </si>
  <si>
    <t>D. Henderson</t>
  </si>
  <si>
    <t>S. Lammers</t>
  </si>
  <si>
    <t>A. Rebić</t>
  </si>
  <si>
    <t>Hajduk Split</t>
  </si>
  <si>
    <t>M. Barrow</t>
  </si>
  <si>
    <t>Gambia</t>
  </si>
  <si>
    <t>A. Petagna</t>
  </si>
  <si>
    <t>M. Demiral</t>
  </si>
  <si>
    <t>Bryan Gil</t>
  </si>
  <si>
    <t>Aarón Martín</t>
  </si>
  <si>
    <t>D. Lukébakio</t>
  </si>
  <si>
    <t>M. Caldara</t>
  </si>
  <si>
    <t>I. Radu</t>
  </si>
  <si>
    <t>Rafinha</t>
  </si>
  <si>
    <t>A. Kalimuendo</t>
  </si>
  <si>
    <t>E. Audero</t>
  </si>
  <si>
    <t>Gelson Martins</t>
  </si>
  <si>
    <t>D. Ings</t>
  </si>
  <si>
    <t>CAP</t>
  </si>
  <si>
    <t>Vitor Baía</t>
  </si>
  <si>
    <t>D. Godín</t>
  </si>
  <si>
    <t>S. Coates</t>
  </si>
  <si>
    <t>José Fonte</t>
  </si>
  <si>
    <t>Casa Pia</t>
  </si>
  <si>
    <t>S. Handanovič</t>
  </si>
  <si>
    <t>D. Seaman</t>
  </si>
  <si>
    <t>BOE21</t>
  </si>
  <si>
    <t>M. Verratti</t>
  </si>
  <si>
    <t>A. Yarmolenko</t>
  </si>
  <si>
    <t>Dynamo Kyiv</t>
  </si>
  <si>
    <t>M. Damsgaard</t>
  </si>
  <si>
    <t>K. Dolberg</t>
  </si>
  <si>
    <t>H. Seferović</t>
  </si>
  <si>
    <t>T. Hazard</t>
  </si>
  <si>
    <t>Anderlecht</t>
  </si>
  <si>
    <t>S. Zuber</t>
  </si>
  <si>
    <t>Zürich</t>
  </si>
  <si>
    <t>Pablo Sarabia</t>
  </si>
  <si>
    <t>T. Delaney</t>
  </si>
  <si>
    <t>R. Yaremchuk</t>
  </si>
  <si>
    <t>S. Lainer</t>
  </si>
  <si>
    <t>J. Vestergaard</t>
  </si>
  <si>
    <t>T. Holeš</t>
  </si>
  <si>
    <t>Slavia Prague</t>
  </si>
  <si>
    <t>F. Acerbi</t>
  </si>
  <si>
    <t>C. Immobile</t>
  </si>
  <si>
    <t>M. Braithwaite</t>
  </si>
  <si>
    <t>Crvena Zvezda</t>
  </si>
  <si>
    <t>BTB</t>
  </si>
  <si>
    <t>Fernandinho</t>
  </si>
  <si>
    <t>Thiago</t>
  </si>
  <si>
    <t>M. Pjanić</t>
  </si>
  <si>
    <t>G. Higuaín</t>
  </si>
  <si>
    <t>Piqué</t>
  </si>
  <si>
    <t>EBS</t>
  </si>
  <si>
    <t>Pepe</t>
  </si>
  <si>
    <t>L. Podolski</t>
  </si>
  <si>
    <t>Górnik Zabrze</t>
  </si>
  <si>
    <t>Nani</t>
  </si>
  <si>
    <t>M. Özil</t>
  </si>
  <si>
    <t>B. Laudrup</t>
  </si>
  <si>
    <t>J. Błaszczykowski</t>
  </si>
  <si>
    <t>J. Draxler</t>
  </si>
  <si>
    <t>M. Overmars</t>
  </si>
  <si>
    <t>Renato Sanches</t>
  </si>
  <si>
    <t>K. Sigþórsson</t>
  </si>
  <si>
    <t>Iceland</t>
  </si>
  <si>
    <t>R. Nainggolan</t>
  </si>
  <si>
    <t>Cédric</t>
  </si>
  <si>
    <t>L. Koscielny</t>
  </si>
  <si>
    <t>J. Allen</t>
  </si>
  <si>
    <t>J. Hart</t>
  </si>
  <si>
    <t>I. Akinfeev</t>
  </si>
  <si>
    <t>JUVENTUS</t>
  </si>
  <si>
    <t>Alex Sandro</t>
  </si>
  <si>
    <t>JNM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</si>
</sst>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1000000000]0.0#,,,&quot; tỷ&quot;;[&gt;=1000000]0.0#,,&quot; tr&quot;;#,##0"/>
  </numFmts>
  <fonts count="7" x14ac:knownFonts="1">
    <font>
      <color theme="1"/>
      <family val="2"/>
      <scheme val="minor"/>
      <sz val="11"/>
      <name val="Calibri"/>
    </font>
    <font>
      <b/>
      <charset val="1"/>
      <color rgb="FFFFFFFF"/>
      <sz val="10"/>
      <name val="Arial"/>
    </font>
    <font>
      <charset val="1"/>
      <sz val="10"/>
      <name val="Arial"/>
    </font>
    <font>
      <charset val="1"/>
      <color rgb="FF0000FF"/>
      <sz val="10"/>
      <name val="Arial"/>
    </font>
    <font>
      <charset val="1"/>
      <color rgb="FF000000"/>
      <sz val="10"/>
      <name val="Arial"/>
    </font>
    <font>
      <sz val="10"/>
      <name val="Arial"/>
    </font>
    <font>
      <color rgb="FF0000FF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2E5577"/>
        <bgColor rgb="FF1F3B57"/>
      </patternFill>
    </fill>
    <fill>
      <patternFill patternType="solid">
        <fgColor rgb="FFEEF3F8"/>
        <bgColor rgb="FFFFFFFF"/>
      </patternFill>
    </fill>
    <fill>
      <patternFill patternType="solid">
        <fgColor rgb="FFFFFFFF"/>
        <bgColor rgb="FFEEF3F8"/>
      </patternFill>
    </fill>
    <fill>
      <patternFill patternType="solid">
        <fgColor rgb="FFFFF2B3"/>
        <bgColor rgb="FFFFFF99"/>
      </patternFill>
    </fill>
    <fill>
      <patternFill patternType="solid">
        <fgColor rgb="FFEEF3F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164" fontId="3" fillId="6" borderId="1" xfId="0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5" fillId="7" borderId="0" xfId="0" applyFont="1" applyFill="1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60"/>
  <sheetViews>
    <sheetView workbookViewId="0" zoomScale="100" zoomScaleNormal="100"/>
  </sheetViews>
  <sheetFormatPr defaultRowHeight="14.4" outlineLevelRow="0" outlineLevelCol="0" x14ac:dyDescent="0.3" defaultColWidth="8.6640625" customHeight="1"/>
  <cols>
    <col min="1" max="1" width="5" customWidth="1"/>
    <col min="2" max="2" width="20" customWidth="1"/>
    <col min="3" max="3" width="15.109375" customWidth="1"/>
    <col min="4" max="4" width="7" customWidth="1"/>
    <col min="5" max="5" width="8" customWidth="1"/>
    <col min="6" max="6" width="13" customWidth="1"/>
    <col min="7" max="7" width="15" customWidth="1"/>
    <col min="8" max="8" width="7" customWidth="1"/>
    <col min="9" max="9" width="5.44140625" customWidth="1"/>
    <col min="10" max="10" width="10.44140625" customWidth="1"/>
    <col min="11" max="11" width="5.44140625" customWidth="1"/>
    <col min="12" max="12" width="10.44140625" customWidth="1"/>
    <col min="13" max="13" width="5.44140625" customWidth="1"/>
    <col min="14" max="14" width="10.44140625" customWidth="1"/>
    <col min="15" max="15" width="5.44140625" customWidth="1"/>
    <col min="16" max="16" width="10.44140625" customWidth="1"/>
    <col min="17" max="17" width="5.44140625" customWidth="1"/>
    <col min="18" max="18" width="10.44140625" customWidth="1"/>
    <col min="19" max="19" width="5.44140625" customWidth="1"/>
    <col min="20" max="20" width="10.44140625" customWidth="1"/>
    <col min="21" max="21" width="5.44140625" customWidth="1"/>
    <col min="22" max="22" width="10.44140625" customWidth="1"/>
    <col min="23" max="23" width="5.44140625" customWidth="1"/>
    <col min="24" max="24" width="10.44140625" customWidth="1"/>
    <col min="25" max="25" width="5.44140625" customWidth="1"/>
    <col min="26" max="26" width="10.44140625" customWidth="1"/>
    <col min="27" max="27" width="5.44140625" customWidth="1"/>
    <col min="28" max="28" width="10.44140625" customWidth="1"/>
    <col min="29" max="29" width="5.44140625" customWidth="1"/>
    <col min="30" max="30" width="10.44140625" customWidth="1"/>
    <col min="31" max="31" width="5.44140625" customWidth="1"/>
    <col min="32" max="32" width="10.44140625" customWidth="1"/>
    <col min="33" max="33" width="5.44140625" customWidth="1"/>
    <col min="34" max="34" width="10.441406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/>
      <c r="M1" s="1" t="s">
        <v>10</v>
      </c>
      <c r="N1" s="1"/>
      <c r="O1" s="1" t="s">
        <v>11</v>
      </c>
      <c r="P1" s="1"/>
      <c r="Q1" s="1" t="s">
        <v>12</v>
      </c>
      <c r="R1" s="1"/>
      <c r="S1" s="1" t="s">
        <v>13</v>
      </c>
      <c r="T1" s="1"/>
      <c r="U1" s="1" t="s">
        <v>14</v>
      </c>
      <c r="V1" s="1"/>
      <c r="W1" s="1" t="s">
        <v>15</v>
      </c>
      <c r="X1" s="1"/>
      <c r="Y1" s="1" t="s">
        <v>16</v>
      </c>
      <c r="Z1" s="1"/>
      <c r="AA1" s="1" t="s">
        <v>17</v>
      </c>
      <c r="AB1" s="1"/>
      <c r="AC1" s="1" t="s">
        <v>18</v>
      </c>
      <c r="AD1" s="1"/>
      <c r="AE1" s="1" t="s">
        <v>19</v>
      </c>
      <c r="AF1" s="1"/>
      <c r="AG1" s="1" t="s">
        <v>20</v>
      </c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2" t="s">
        <v>21</v>
      </c>
      <c r="J2" s="2" t="s">
        <v>22</v>
      </c>
      <c r="K2" s="2" t="s">
        <v>21</v>
      </c>
      <c r="L2" s="2" t="s">
        <v>22</v>
      </c>
      <c r="M2" s="2" t="s">
        <v>21</v>
      </c>
      <c r="N2" s="2" t="s">
        <v>22</v>
      </c>
      <c r="O2" s="2" t="s">
        <v>21</v>
      </c>
      <c r="P2" s="2" t="s">
        <v>22</v>
      </c>
      <c r="Q2" s="2" t="s">
        <v>21</v>
      </c>
      <c r="R2" s="2" t="s">
        <v>22</v>
      </c>
      <c r="S2" s="2" t="s">
        <v>21</v>
      </c>
      <c r="T2" s="2" t="s">
        <v>22</v>
      </c>
      <c r="U2" s="2" t="s">
        <v>21</v>
      </c>
      <c r="V2" s="2" t="s">
        <v>22</v>
      </c>
      <c r="W2" s="2" t="s">
        <v>21</v>
      </c>
      <c r="X2" s="2" t="s">
        <v>22</v>
      </c>
      <c r="Y2" s="2" t="s">
        <v>21</v>
      </c>
      <c r="Z2" s="2" t="s">
        <v>22</v>
      </c>
      <c r="AA2" s="2" t="s">
        <v>21</v>
      </c>
      <c r="AB2" s="2" t="s">
        <v>22</v>
      </c>
      <c r="AC2" s="2" t="s">
        <v>21</v>
      </c>
      <c r="AD2" s="2" t="s">
        <v>22</v>
      </c>
      <c r="AE2" s="2" t="s">
        <v>21</v>
      </c>
      <c r="AF2" s="2" t="s">
        <v>22</v>
      </c>
      <c r="AG2" s="2" t="s">
        <v>21</v>
      </c>
      <c r="AH2" s="2" t="s">
        <v>22</v>
      </c>
    </row>
    <row r="3" spans="1:34" x14ac:dyDescent="0.25">
      <c r="A3" s="3">
        <v>49</v>
      </c>
      <c r="B3" s="3" t="s">
        <v>23</v>
      </c>
      <c r="C3" s="3" t="s">
        <v>24</v>
      </c>
      <c r="D3" s="3" t="s">
        <v>25</v>
      </c>
      <c r="E3" s="3">
        <v>127</v>
      </c>
      <c r="F3" s="3" t="s">
        <v>26</v>
      </c>
      <c r="G3" s="3" t="s">
        <v>27</v>
      </c>
      <c r="H3" s="3">
        <v>33</v>
      </c>
      <c r="I3" s="4">
        <v>127</v>
      </c>
      <c r="J3" s="5">
        <v>5100000000</v>
      </c>
      <c r="K3" s="6">
        <f t="shared" ref="K3:K66" si="0">$E3+1</f>
        <v>128</v>
      </c>
      <c r="L3" s="7">
        <f t="shared" ref="L3:L27" si="1">IF($J3=0,0,ROUND(MAX($J3*1.4*1,4020000*(1.354082^(MIN($E3,123)-118))),0))</f>
        <v>7140000000</v>
      </c>
      <c r="M3" s="4">
        <f t="shared" ref="M3:M66" si="2">$E3+2</f>
        <v>129</v>
      </c>
      <c r="N3" s="8">
        <f t="shared" ref="N3:N27" si="3">IF($J3=0,0,ROUND(MAX($J3*1.4*1.5*1,6950000*(1.375334^(MIN($E3,123)-118))),0))</f>
        <v>10710000000</v>
      </c>
      <c r="O3" s="6">
        <f t="shared" ref="O3:O66" si="4">$E3+4</f>
        <v>131</v>
      </c>
      <c r="P3" s="7">
        <f t="shared" ref="P3:P27" si="5">IF($J3=0,0,ROUND(MAX($J3*1.4*1.5*1.6*1,23900000*(1.1788^(MIN($E3,123)-118))),0))</f>
        <v>17136000000</v>
      </c>
      <c r="Q3" s="4">
        <f t="shared" ref="Q3:Q66" si="6">$E3+6</f>
        <v>133</v>
      </c>
      <c r="R3" s="8">
        <f t="shared" ref="R3:R27" si="7">IF($J3=0,0,ROUND(MAX($J3*1.4*1.5*1.6*1.6*1.25,77000000*(1.127009^(MIN($E3,123)-118))),0))</f>
        <v>34272000000</v>
      </c>
      <c r="S3" s="6">
        <f t="shared" ref="S3:S66" si="8">$E3+8</f>
        <v>135</v>
      </c>
      <c r="T3" s="7">
        <f t="shared" ref="T3:T27" si="9">IF($J3=0,0,ROUND(MAX($J3*1.4*1.5*1.6*1.6*2.2*1.25,270000000*(1.248411^(MIN($E3,123)-118))),0))</f>
        <v>75398400000</v>
      </c>
      <c r="U3" s="4">
        <f t="shared" ref="U3:U66" si="10">$E3+11</f>
        <v>138</v>
      </c>
      <c r="V3" s="8">
        <f t="shared" ref="V3:V27" si="11">IF($J3=0,0,ROUND(MAX($J3*1.4*1.5*1.6*1.6*2.2*2.715*1.25,2400000000*(1.293039^(MIN($E3,123)-118))),0))</f>
        <v>204706656000</v>
      </c>
      <c r="W3" s="6">
        <f t="shared" ref="W3:W66" si="12">$E3+15</f>
        <v>142</v>
      </c>
      <c r="X3" s="7">
        <f t="shared" ref="X3:X27" si="13">IF($J3=0,0,ROUND(MAX($J3*1.4*1.5*1.6*1.6*2.2*2.715*2.6*1.25,20000000000*(1.280114^(MIN($E3,123)-118))),0))</f>
        <v>532237305600</v>
      </c>
      <c r="Y3" s="4">
        <f t="shared" ref="Y3:Y66" si="14">$E3+17</f>
        <v>144</v>
      </c>
      <c r="Z3" s="8">
        <f t="shared" ref="Z3:Z27" si="15">IF($J3=0,0,ROUND(MAX($J3*1.4*1.5*1.6*1.6*2.2*2.715*2.6*1.4*1.25,39200000000*(1.31219^(MIN($E3,123)-118))),0))</f>
        <v>745132227840</v>
      </c>
      <c r="AA3" s="6">
        <f t="shared" ref="AA3:AA66" si="16">$E3+19</f>
        <v>146</v>
      </c>
      <c r="AB3" s="7">
        <f t="shared" ref="AB3:AB27" si="17">IF($J3=0,0,ROUND(MAX($J3*1.4*1.5*1.6*1.6*2.2*2.715*2.6*1.4*1.4*1.25,54900000000*(1.312402^(MIN($E3,123)-118))),0))</f>
        <v>1043185118976</v>
      </c>
      <c r="AC3" s="4">
        <f t="shared" ref="AC3:AC66" si="18">$E3+21</f>
        <v>148</v>
      </c>
      <c r="AD3" s="8">
        <f t="shared" ref="AD3:AD27" si="19">IF($J3=0,0,ROUND(MAX($J3*1.4*1.5*1.6*1.6*2.2*2.715*2.6*1.4*1.4*1.5*1.25,82400000000*(1.312754^(MIN($E3,123)-118))),0))</f>
        <v>1564777678464</v>
      </c>
      <c r="AE3" s="6">
        <f t="shared" ref="AE3:AE66" si="20">$E3+24</f>
        <v>151</v>
      </c>
      <c r="AF3" s="7">
        <f t="shared" ref="AF3:AF27" si="21">IF($J3=0,0,ROUND(MAX($J3*1.4*1.5*1.6*1.6*2.2*2.715*2.6*1.4*1.4*1.5*1.5*1.25,124000000000*(1.312246^(MIN($E3,123)-118))),0))</f>
        <v>2347166517696</v>
      </c>
      <c r="AG3" s="4">
        <f t="shared" ref="AG3:AG66" si="22">$E3+27</f>
        <v>154</v>
      </c>
      <c r="AH3" s="8">
        <f t="shared" ref="AH3:AH27" si="23">IF($J3=0,0,ROUND(MAX($J3*1.4*1.5*1.6*1.6*2.2*2.715*2.6*1.4*1.4*1.5*1.5*3.2*1.25,397000000000*(1.313132^(MIN($E3,123)-118))),0))</f>
        <v>7510932856627</v>
      </c>
    </row>
    <row r="4" spans="1:34" x14ac:dyDescent="0.25">
      <c r="A4" s="3">
        <v>31</v>
      </c>
      <c r="B4" s="3" t="s">
        <v>28</v>
      </c>
      <c r="C4" s="3" t="s">
        <v>24</v>
      </c>
      <c r="D4" s="3" t="s">
        <v>29</v>
      </c>
      <c r="E4" s="3">
        <v>127</v>
      </c>
      <c r="F4" s="3" t="s">
        <v>30</v>
      </c>
      <c r="G4" s="3" t="s">
        <v>31</v>
      </c>
      <c r="H4" s="3">
        <v>34</v>
      </c>
      <c r="I4" s="4">
        <v>127</v>
      </c>
      <c r="J4" s="5">
        <v>5820000000</v>
      </c>
      <c r="K4" s="6">
        <f t="shared" si="0"/>
        <v>128</v>
      </c>
      <c r="L4" s="7">
        <f t="shared" si="1"/>
        <v>8148000000</v>
      </c>
      <c r="M4" s="4">
        <f t="shared" si="2"/>
        <v>129</v>
      </c>
      <c r="N4" s="8">
        <f t="shared" si="3"/>
        <v>12222000000</v>
      </c>
      <c r="O4" s="6">
        <f t="shared" si="4"/>
        <v>131</v>
      </c>
      <c r="P4" s="7">
        <f t="shared" si="5"/>
        <v>19555200000</v>
      </c>
      <c r="Q4" s="4">
        <f t="shared" si="6"/>
        <v>133</v>
      </c>
      <c r="R4" s="8">
        <f t="shared" si="7"/>
        <v>39110400000</v>
      </c>
      <c r="S4" s="6">
        <f t="shared" si="8"/>
        <v>135</v>
      </c>
      <c r="T4" s="7">
        <f t="shared" si="9"/>
        <v>86042880000</v>
      </c>
      <c r="U4" s="4">
        <f t="shared" si="10"/>
        <v>138</v>
      </c>
      <c r="V4" s="8">
        <f t="shared" si="11"/>
        <v>233606419200</v>
      </c>
      <c r="W4" s="6">
        <f t="shared" si="12"/>
        <v>142</v>
      </c>
      <c r="X4" s="7">
        <f t="shared" si="13"/>
        <v>607376689920</v>
      </c>
      <c r="Y4" s="4">
        <f t="shared" si="14"/>
        <v>144</v>
      </c>
      <c r="Z4" s="8">
        <f t="shared" si="15"/>
        <v>850327365888</v>
      </c>
      <c r="AA4" s="6">
        <f t="shared" si="16"/>
        <v>146</v>
      </c>
      <c r="AB4" s="7">
        <f t="shared" si="17"/>
        <v>1190458312243</v>
      </c>
      <c r="AC4" s="4">
        <f t="shared" si="18"/>
        <v>148</v>
      </c>
      <c r="AD4" s="8">
        <f t="shared" si="19"/>
        <v>1785687468365</v>
      </c>
      <c r="AE4" s="6">
        <f t="shared" si="20"/>
        <v>151</v>
      </c>
      <c r="AF4" s="7">
        <f t="shared" si="21"/>
        <v>2678531202547</v>
      </c>
      <c r="AG4" s="4">
        <f t="shared" si="22"/>
        <v>154</v>
      </c>
      <c r="AH4" s="8">
        <f t="shared" si="23"/>
        <v>8571299848151</v>
      </c>
    </row>
    <row r="5" spans="1:34" x14ac:dyDescent="0.25">
      <c r="A5" s="3">
        <v>52</v>
      </c>
      <c r="B5" s="3" t="s">
        <v>32</v>
      </c>
      <c r="C5" s="3" t="s">
        <v>24</v>
      </c>
      <c r="D5" s="3" t="s">
        <v>33</v>
      </c>
      <c r="E5" s="3">
        <v>126</v>
      </c>
      <c r="F5" s="3" t="s">
        <v>34</v>
      </c>
      <c r="G5" s="3" t="s">
        <v>35</v>
      </c>
      <c r="H5" s="3">
        <v>33</v>
      </c>
      <c r="I5" s="4">
        <v>126</v>
      </c>
      <c r="J5" s="5">
        <v>16400000000</v>
      </c>
      <c r="K5" s="6">
        <f t="shared" si="0"/>
        <v>127</v>
      </c>
      <c r="L5" s="7">
        <f t="shared" si="1"/>
        <v>22960000000</v>
      </c>
      <c r="M5" s="4">
        <f t="shared" si="2"/>
        <v>128</v>
      </c>
      <c r="N5" s="8">
        <f t="shared" si="3"/>
        <v>34440000000</v>
      </c>
      <c r="O5" s="6">
        <f t="shared" si="4"/>
        <v>130</v>
      </c>
      <c r="P5" s="7">
        <f t="shared" si="5"/>
        <v>55104000000</v>
      </c>
      <c r="Q5" s="4">
        <f t="shared" si="6"/>
        <v>132</v>
      </c>
      <c r="R5" s="8">
        <f t="shared" si="7"/>
        <v>110208000000</v>
      </c>
      <c r="S5" s="6">
        <f t="shared" si="8"/>
        <v>134</v>
      </c>
      <c r="T5" s="7">
        <f t="shared" si="9"/>
        <v>242457600000</v>
      </c>
      <c r="U5" s="4">
        <f t="shared" si="10"/>
        <v>137</v>
      </c>
      <c r="V5" s="8">
        <f t="shared" si="11"/>
        <v>658272384000</v>
      </c>
      <c r="W5" s="6">
        <f t="shared" si="12"/>
        <v>141</v>
      </c>
      <c r="X5" s="7">
        <f t="shared" si="13"/>
        <v>1711508198400</v>
      </c>
      <c r="Y5" s="4">
        <f t="shared" si="14"/>
        <v>143</v>
      </c>
      <c r="Z5" s="8">
        <f t="shared" si="15"/>
        <v>2396111477760</v>
      </c>
      <c r="AA5" s="6">
        <f t="shared" si="16"/>
        <v>145</v>
      </c>
      <c r="AB5" s="7">
        <f t="shared" si="17"/>
        <v>3354556068864</v>
      </c>
      <c r="AC5" s="4">
        <f t="shared" si="18"/>
        <v>147</v>
      </c>
      <c r="AD5" s="8">
        <f t="shared" si="19"/>
        <v>5031834103296</v>
      </c>
      <c r="AE5" s="6">
        <f t="shared" si="20"/>
        <v>150</v>
      </c>
      <c r="AF5" s="7">
        <f t="shared" si="21"/>
        <v>7547751154944</v>
      </c>
      <c r="AG5" s="4">
        <f t="shared" si="22"/>
        <v>153</v>
      </c>
      <c r="AH5" s="8">
        <f t="shared" si="23"/>
        <v>24152803695821</v>
      </c>
    </row>
    <row r="6" spans="1:34" x14ac:dyDescent="0.25">
      <c r="A6" s="3">
        <v>53</v>
      </c>
      <c r="B6" s="3" t="s">
        <v>36</v>
      </c>
      <c r="C6" s="3" t="s">
        <v>24</v>
      </c>
      <c r="D6" s="3" t="s">
        <v>29</v>
      </c>
      <c r="E6" s="3">
        <v>126</v>
      </c>
      <c r="F6" s="3" t="s">
        <v>37</v>
      </c>
      <c r="G6" s="3" t="s">
        <v>38</v>
      </c>
      <c r="H6" s="3">
        <v>32</v>
      </c>
      <c r="I6" s="4">
        <v>126</v>
      </c>
      <c r="J6" s="5">
        <v>1968000000</v>
      </c>
      <c r="K6" s="6">
        <f t="shared" si="0"/>
        <v>127</v>
      </c>
      <c r="L6" s="7">
        <f t="shared" si="1"/>
        <v>2755200000</v>
      </c>
      <c r="M6" s="4">
        <f t="shared" si="2"/>
        <v>128</v>
      </c>
      <c r="N6" s="8">
        <f t="shared" si="3"/>
        <v>4132800000</v>
      </c>
      <c r="O6" s="6">
        <f t="shared" si="4"/>
        <v>130</v>
      </c>
      <c r="P6" s="7">
        <f t="shared" si="5"/>
        <v>6612480000</v>
      </c>
      <c r="Q6" s="4">
        <f t="shared" si="6"/>
        <v>132</v>
      </c>
      <c r="R6" s="8">
        <f t="shared" si="7"/>
        <v>13224960000</v>
      </c>
      <c r="S6" s="6">
        <f t="shared" si="8"/>
        <v>134</v>
      </c>
      <c r="T6" s="7">
        <f t="shared" si="9"/>
        <v>29094912000</v>
      </c>
      <c r="U6" s="4">
        <f t="shared" si="10"/>
        <v>137</v>
      </c>
      <c r="V6" s="8">
        <f t="shared" si="11"/>
        <v>78992686080</v>
      </c>
      <c r="W6" s="6">
        <f t="shared" si="12"/>
        <v>141</v>
      </c>
      <c r="X6" s="7">
        <f t="shared" si="13"/>
        <v>205380983808</v>
      </c>
      <c r="Y6" s="4">
        <f t="shared" si="14"/>
        <v>143</v>
      </c>
      <c r="Z6" s="8">
        <f t="shared" si="15"/>
        <v>287533377331</v>
      </c>
      <c r="AA6" s="6">
        <f t="shared" si="16"/>
        <v>145</v>
      </c>
      <c r="AB6" s="7">
        <f t="shared" si="17"/>
        <v>402546728264</v>
      </c>
      <c r="AC6" s="4">
        <f t="shared" si="18"/>
        <v>147</v>
      </c>
      <c r="AD6" s="8">
        <f t="shared" si="19"/>
        <v>603820092396</v>
      </c>
      <c r="AE6" s="6">
        <f t="shared" si="20"/>
        <v>150</v>
      </c>
      <c r="AF6" s="7">
        <f t="shared" si="21"/>
        <v>905730138593</v>
      </c>
      <c r="AG6" s="4">
        <f t="shared" si="22"/>
        <v>153</v>
      </c>
      <c r="AH6" s="8">
        <f t="shared" si="23"/>
        <v>2898336443499</v>
      </c>
    </row>
    <row r="7" spans="1:34" x14ac:dyDescent="0.25">
      <c r="A7" s="3">
        <v>51</v>
      </c>
      <c r="B7" s="3" t="s">
        <v>39</v>
      </c>
      <c r="C7" s="3" t="s">
        <v>24</v>
      </c>
      <c r="D7" s="3" t="s">
        <v>40</v>
      </c>
      <c r="E7" s="3">
        <v>126</v>
      </c>
      <c r="F7" s="3" t="s">
        <v>34</v>
      </c>
      <c r="G7" s="3" t="s">
        <v>35</v>
      </c>
      <c r="H7" s="3">
        <v>34</v>
      </c>
      <c r="I7" s="4">
        <v>126</v>
      </c>
      <c r="J7" s="5">
        <v>3859600000</v>
      </c>
      <c r="K7" s="6">
        <f t="shared" si="0"/>
        <v>127</v>
      </c>
      <c r="L7" s="7">
        <f t="shared" si="1"/>
        <v>5403440000</v>
      </c>
      <c r="M7" s="4">
        <f t="shared" si="2"/>
        <v>128</v>
      </c>
      <c r="N7" s="8">
        <f t="shared" si="3"/>
        <v>8105160000</v>
      </c>
      <c r="O7" s="6">
        <f t="shared" si="4"/>
        <v>130</v>
      </c>
      <c r="P7" s="7">
        <f t="shared" si="5"/>
        <v>12968256000</v>
      </c>
      <c r="Q7" s="4">
        <f t="shared" si="6"/>
        <v>132</v>
      </c>
      <c r="R7" s="8">
        <f t="shared" si="7"/>
        <v>25936512000</v>
      </c>
      <c r="S7" s="6">
        <f t="shared" si="8"/>
        <v>134</v>
      </c>
      <c r="T7" s="7">
        <f t="shared" si="9"/>
        <v>57060326400</v>
      </c>
      <c r="U7" s="4">
        <f t="shared" si="10"/>
        <v>137</v>
      </c>
      <c r="V7" s="8">
        <f t="shared" si="11"/>
        <v>154918786176</v>
      </c>
      <c r="W7" s="6">
        <f t="shared" si="12"/>
        <v>141</v>
      </c>
      <c r="X7" s="7">
        <f t="shared" si="13"/>
        <v>402788844058</v>
      </c>
      <c r="Y7" s="4">
        <f t="shared" si="14"/>
        <v>143</v>
      </c>
      <c r="Z7" s="8">
        <f t="shared" si="15"/>
        <v>563904381681</v>
      </c>
      <c r="AA7" s="6">
        <f t="shared" si="16"/>
        <v>145</v>
      </c>
      <c r="AB7" s="7">
        <f t="shared" si="17"/>
        <v>789466134353</v>
      </c>
      <c r="AC7" s="4">
        <f t="shared" si="18"/>
        <v>147</v>
      </c>
      <c r="AD7" s="8">
        <f t="shared" si="19"/>
        <v>1184199201529</v>
      </c>
      <c r="AE7" s="6">
        <f t="shared" si="20"/>
        <v>150</v>
      </c>
      <c r="AF7" s="7">
        <f t="shared" si="21"/>
        <v>1776298802294</v>
      </c>
      <c r="AG7" s="4">
        <f t="shared" si="22"/>
        <v>153</v>
      </c>
      <c r="AH7" s="8">
        <f t="shared" si="23"/>
        <v>5684156167341</v>
      </c>
    </row>
    <row r="8" spans="1:34" x14ac:dyDescent="0.25">
      <c r="A8" s="3">
        <v>32</v>
      </c>
      <c r="B8" s="3" t="s">
        <v>41</v>
      </c>
      <c r="C8" s="3" t="s">
        <v>24</v>
      </c>
      <c r="D8" s="3" t="s">
        <v>29</v>
      </c>
      <c r="E8" s="3">
        <v>126</v>
      </c>
      <c r="F8" s="3" t="s">
        <v>42</v>
      </c>
      <c r="G8" s="3" t="s">
        <v>43</v>
      </c>
      <c r="H8" s="3">
        <v>33</v>
      </c>
      <c r="I8" s="4">
        <v>126</v>
      </c>
      <c r="J8" s="5">
        <v>2760000000</v>
      </c>
      <c r="K8" s="6">
        <f t="shared" si="0"/>
        <v>127</v>
      </c>
      <c r="L8" s="7">
        <f t="shared" si="1"/>
        <v>3864000000</v>
      </c>
      <c r="M8" s="4">
        <f t="shared" si="2"/>
        <v>128</v>
      </c>
      <c r="N8" s="8">
        <f t="shared" si="3"/>
        <v>5796000000</v>
      </c>
      <c r="O8" s="6">
        <f t="shared" si="4"/>
        <v>130</v>
      </c>
      <c r="P8" s="7">
        <f t="shared" si="5"/>
        <v>9273600000</v>
      </c>
      <c r="Q8" s="4">
        <f t="shared" si="6"/>
        <v>132</v>
      </c>
      <c r="R8" s="8">
        <f t="shared" si="7"/>
        <v>18547200000</v>
      </c>
      <c r="S8" s="6">
        <f t="shared" si="8"/>
        <v>134</v>
      </c>
      <c r="T8" s="7">
        <f t="shared" si="9"/>
        <v>40803840000</v>
      </c>
      <c r="U8" s="4">
        <f t="shared" si="10"/>
        <v>137</v>
      </c>
      <c r="V8" s="8">
        <f t="shared" si="11"/>
        <v>110782425600</v>
      </c>
      <c r="W8" s="6">
        <f t="shared" si="12"/>
        <v>141</v>
      </c>
      <c r="X8" s="7">
        <f t="shared" si="13"/>
        <v>288034306560</v>
      </c>
      <c r="Y8" s="4">
        <f t="shared" si="14"/>
        <v>143</v>
      </c>
      <c r="Z8" s="8">
        <f t="shared" si="15"/>
        <v>403248029184</v>
      </c>
      <c r="AA8" s="6">
        <f t="shared" si="16"/>
        <v>145</v>
      </c>
      <c r="AB8" s="7">
        <f t="shared" si="17"/>
        <v>564547240858</v>
      </c>
      <c r="AC8" s="4">
        <f t="shared" si="18"/>
        <v>147</v>
      </c>
      <c r="AD8" s="8">
        <f t="shared" si="19"/>
        <v>846820861286</v>
      </c>
      <c r="AE8" s="6">
        <f t="shared" si="20"/>
        <v>150</v>
      </c>
      <c r="AF8" s="7">
        <f t="shared" si="21"/>
        <v>1270231291930</v>
      </c>
      <c r="AG8" s="4">
        <f t="shared" si="22"/>
        <v>153</v>
      </c>
      <c r="AH8" s="8">
        <f t="shared" si="23"/>
        <v>4064740134175</v>
      </c>
    </row>
    <row r="9" spans="1:34" x14ac:dyDescent="0.25">
      <c r="A9" s="3">
        <v>236</v>
      </c>
      <c r="B9" s="3" t="s">
        <v>44</v>
      </c>
      <c r="C9" s="3" t="s">
        <v>24</v>
      </c>
      <c r="D9" s="3" t="s">
        <v>45</v>
      </c>
      <c r="E9" s="3">
        <v>126</v>
      </c>
      <c r="F9" s="3" t="s">
        <v>34</v>
      </c>
      <c r="G9" s="3" t="s">
        <v>35</v>
      </c>
      <c r="H9" s="3">
        <v>33</v>
      </c>
      <c r="I9" s="4">
        <v>126</v>
      </c>
      <c r="J9" s="5">
        <v>6430000000</v>
      </c>
      <c r="K9" s="6">
        <f t="shared" si="0"/>
        <v>127</v>
      </c>
      <c r="L9" s="7">
        <f t="shared" si="1"/>
        <v>9002000000</v>
      </c>
      <c r="M9" s="4">
        <f t="shared" si="2"/>
        <v>128</v>
      </c>
      <c r="N9" s="8">
        <f t="shared" si="3"/>
        <v>13503000000</v>
      </c>
      <c r="O9" s="6">
        <f t="shared" si="4"/>
        <v>130</v>
      </c>
      <c r="P9" s="7">
        <f t="shared" si="5"/>
        <v>21604800000</v>
      </c>
      <c r="Q9" s="4">
        <f t="shared" si="6"/>
        <v>132</v>
      </c>
      <c r="R9" s="8">
        <f t="shared" si="7"/>
        <v>43209600000</v>
      </c>
      <c r="S9" s="6">
        <f t="shared" si="8"/>
        <v>134</v>
      </c>
      <c r="T9" s="7">
        <f t="shared" si="9"/>
        <v>95061120000</v>
      </c>
      <c r="U9" s="4">
        <f t="shared" si="10"/>
        <v>137</v>
      </c>
      <c r="V9" s="8">
        <f t="shared" si="11"/>
        <v>258090940800</v>
      </c>
      <c r="W9" s="6">
        <f t="shared" si="12"/>
        <v>141</v>
      </c>
      <c r="X9" s="7">
        <f t="shared" si="13"/>
        <v>671036446080</v>
      </c>
      <c r="Y9" s="4">
        <f t="shared" si="14"/>
        <v>143</v>
      </c>
      <c r="Z9" s="8">
        <f t="shared" si="15"/>
        <v>939451024512</v>
      </c>
      <c r="AA9" s="6">
        <f t="shared" si="16"/>
        <v>145</v>
      </c>
      <c r="AB9" s="7">
        <f t="shared" si="17"/>
        <v>1315231434317</v>
      </c>
      <c r="AC9" s="4">
        <f t="shared" si="18"/>
        <v>147</v>
      </c>
      <c r="AD9" s="8">
        <f t="shared" si="19"/>
        <v>1972847151475</v>
      </c>
      <c r="AE9" s="6">
        <f t="shared" si="20"/>
        <v>150</v>
      </c>
      <c r="AF9" s="7">
        <f t="shared" si="21"/>
        <v>2959270727213</v>
      </c>
      <c r="AG9" s="4">
        <f t="shared" si="22"/>
        <v>153</v>
      </c>
      <c r="AH9" s="8">
        <f t="shared" si="23"/>
        <v>9469666327081</v>
      </c>
    </row>
    <row r="10" spans="1:34" x14ac:dyDescent="0.25">
      <c r="A10" s="3">
        <v>46</v>
      </c>
      <c r="B10" s="3" t="s">
        <v>46</v>
      </c>
      <c r="C10" s="3" t="s">
        <v>24</v>
      </c>
      <c r="D10" s="3" t="s">
        <v>47</v>
      </c>
      <c r="E10" s="3">
        <v>126</v>
      </c>
      <c r="F10" s="3" t="s">
        <v>48</v>
      </c>
      <c r="G10" s="3" t="s">
        <v>49</v>
      </c>
      <c r="H10" s="3">
        <v>29</v>
      </c>
      <c r="I10" s="4">
        <v>126</v>
      </c>
      <c r="J10" s="5">
        <v>844800000</v>
      </c>
      <c r="K10" s="6">
        <f t="shared" si="0"/>
        <v>127</v>
      </c>
      <c r="L10" s="7">
        <f t="shared" si="1"/>
        <v>1182720000</v>
      </c>
      <c r="M10" s="4">
        <f t="shared" si="2"/>
        <v>128</v>
      </c>
      <c r="N10" s="8">
        <f t="shared" si="3"/>
        <v>1774080000</v>
      </c>
      <c r="O10" s="6">
        <f t="shared" si="4"/>
        <v>130</v>
      </c>
      <c r="P10" s="7">
        <f t="shared" si="5"/>
        <v>2838528000</v>
      </c>
      <c r="Q10" s="4">
        <f t="shared" si="6"/>
        <v>132</v>
      </c>
      <c r="R10" s="8">
        <f t="shared" si="7"/>
        <v>5677056000</v>
      </c>
      <c r="S10" s="6">
        <f t="shared" si="8"/>
        <v>134</v>
      </c>
      <c r="T10" s="7">
        <f t="shared" si="9"/>
        <v>12489523200</v>
      </c>
      <c r="U10" s="4">
        <f t="shared" si="10"/>
        <v>137</v>
      </c>
      <c r="V10" s="8">
        <f t="shared" si="11"/>
        <v>33909055488</v>
      </c>
      <c r="W10" s="6">
        <f t="shared" si="12"/>
        <v>141</v>
      </c>
      <c r="X10" s="7">
        <f t="shared" si="13"/>
        <v>88163544269</v>
      </c>
      <c r="Y10" s="4">
        <f t="shared" si="14"/>
        <v>143</v>
      </c>
      <c r="Z10" s="8">
        <f t="shared" si="15"/>
        <v>152499944536</v>
      </c>
      <c r="AA10" s="6">
        <f t="shared" si="16"/>
        <v>145</v>
      </c>
      <c r="AB10" s="7">
        <f t="shared" si="17"/>
        <v>213750314393</v>
      </c>
      <c r="AC10" s="4">
        <f t="shared" si="18"/>
        <v>147</v>
      </c>
      <c r="AD10" s="8">
        <f t="shared" si="19"/>
        <v>321250611518</v>
      </c>
      <c r="AE10" s="6">
        <f t="shared" si="20"/>
        <v>150</v>
      </c>
      <c r="AF10" s="7">
        <f t="shared" si="21"/>
        <v>482500728361</v>
      </c>
      <c r="AG10" s="4">
        <f t="shared" si="22"/>
        <v>153</v>
      </c>
      <c r="AH10" s="8">
        <f t="shared" si="23"/>
        <v>1550002616035</v>
      </c>
    </row>
    <row r="11" spans="1:34" x14ac:dyDescent="0.25">
      <c r="A11" s="3">
        <v>50</v>
      </c>
      <c r="B11" s="3" t="s">
        <v>50</v>
      </c>
      <c r="C11" s="3" t="s">
        <v>24</v>
      </c>
      <c r="D11" s="3" t="s">
        <v>40</v>
      </c>
      <c r="E11" s="3">
        <v>126</v>
      </c>
      <c r="F11" s="3" t="s">
        <v>42</v>
      </c>
      <c r="G11" s="3" t="s">
        <v>51</v>
      </c>
      <c r="H11" s="3">
        <v>34</v>
      </c>
      <c r="I11" s="4">
        <v>126</v>
      </c>
      <c r="J11" s="5">
        <v>6500000000</v>
      </c>
      <c r="K11" s="6">
        <f t="shared" si="0"/>
        <v>127</v>
      </c>
      <c r="L11" s="7">
        <f t="shared" si="1"/>
        <v>9100000000</v>
      </c>
      <c r="M11" s="4">
        <f t="shared" si="2"/>
        <v>128</v>
      </c>
      <c r="N11" s="8">
        <f t="shared" si="3"/>
        <v>13650000000</v>
      </c>
      <c r="O11" s="6">
        <f t="shared" si="4"/>
        <v>130</v>
      </c>
      <c r="P11" s="7">
        <f t="shared" si="5"/>
        <v>21840000000</v>
      </c>
      <c r="Q11" s="4">
        <f t="shared" si="6"/>
        <v>132</v>
      </c>
      <c r="R11" s="8">
        <f t="shared" si="7"/>
        <v>43680000000</v>
      </c>
      <c r="S11" s="6">
        <f t="shared" si="8"/>
        <v>134</v>
      </c>
      <c r="T11" s="7">
        <f t="shared" si="9"/>
        <v>96096000000</v>
      </c>
      <c r="U11" s="4">
        <f t="shared" si="10"/>
        <v>137</v>
      </c>
      <c r="V11" s="8">
        <f t="shared" si="11"/>
        <v>260900640000</v>
      </c>
      <c r="W11" s="6">
        <f t="shared" si="12"/>
        <v>141</v>
      </c>
      <c r="X11" s="7">
        <f t="shared" si="13"/>
        <v>678341664000</v>
      </c>
      <c r="Y11" s="4">
        <f t="shared" si="14"/>
        <v>143</v>
      </c>
      <c r="Z11" s="8">
        <f t="shared" si="15"/>
        <v>949678329600</v>
      </c>
      <c r="AA11" s="6">
        <f t="shared" si="16"/>
        <v>145</v>
      </c>
      <c r="AB11" s="7">
        <f t="shared" si="17"/>
        <v>1329549661440</v>
      </c>
      <c r="AC11" s="4">
        <f t="shared" si="18"/>
        <v>147</v>
      </c>
      <c r="AD11" s="8">
        <f t="shared" si="19"/>
        <v>1994324492160</v>
      </c>
      <c r="AE11" s="6">
        <f t="shared" si="20"/>
        <v>150</v>
      </c>
      <c r="AF11" s="7">
        <f t="shared" si="21"/>
        <v>2991486738240</v>
      </c>
      <c r="AG11" s="4">
        <f t="shared" si="22"/>
        <v>153</v>
      </c>
      <c r="AH11" s="8">
        <f t="shared" si="23"/>
        <v>9572757562368</v>
      </c>
    </row>
    <row r="12" spans="1:34" x14ac:dyDescent="0.25">
      <c r="A12" s="3">
        <v>1</v>
      </c>
      <c r="B12" s="3" t="s">
        <v>52</v>
      </c>
      <c r="C12" s="3" t="s">
        <v>24</v>
      </c>
      <c r="D12" s="3" t="s">
        <v>40</v>
      </c>
      <c r="E12" s="3">
        <v>126</v>
      </c>
      <c r="F12" s="3" t="s">
        <v>30</v>
      </c>
      <c r="G12" s="3" t="s">
        <v>51</v>
      </c>
      <c r="H12" s="3">
        <v>34</v>
      </c>
      <c r="I12" s="4">
        <v>126</v>
      </c>
      <c r="J12" s="5">
        <v>25600000000</v>
      </c>
      <c r="K12" s="6">
        <f t="shared" si="0"/>
        <v>127</v>
      </c>
      <c r="L12" s="7">
        <f t="shared" si="1"/>
        <v>35840000000</v>
      </c>
      <c r="M12" s="4">
        <f t="shared" si="2"/>
        <v>128</v>
      </c>
      <c r="N12" s="8">
        <f t="shared" si="3"/>
        <v>53760000000</v>
      </c>
      <c r="O12" s="6">
        <f t="shared" si="4"/>
        <v>130</v>
      </c>
      <c r="P12" s="7">
        <f t="shared" si="5"/>
        <v>86016000000</v>
      </c>
      <c r="Q12" s="4">
        <f t="shared" si="6"/>
        <v>132</v>
      </c>
      <c r="R12" s="8">
        <f t="shared" si="7"/>
        <v>172032000000</v>
      </c>
      <c r="S12" s="6">
        <f t="shared" si="8"/>
        <v>134</v>
      </c>
      <c r="T12" s="7">
        <f t="shared" si="9"/>
        <v>378470400000</v>
      </c>
      <c r="U12" s="4">
        <f t="shared" si="10"/>
        <v>137</v>
      </c>
      <c r="V12" s="8">
        <f t="shared" si="11"/>
        <v>1027547136000</v>
      </c>
      <c r="W12" s="6">
        <f t="shared" si="12"/>
        <v>141</v>
      </c>
      <c r="X12" s="7">
        <f t="shared" si="13"/>
        <v>2671622553600</v>
      </c>
      <c r="Y12" s="4">
        <f t="shared" si="14"/>
        <v>143</v>
      </c>
      <c r="Z12" s="8">
        <f t="shared" si="15"/>
        <v>3740271575040</v>
      </c>
      <c r="AA12" s="6">
        <f t="shared" si="16"/>
        <v>145</v>
      </c>
      <c r="AB12" s="7">
        <f t="shared" si="17"/>
        <v>5236380205056</v>
      </c>
      <c r="AC12" s="4">
        <f t="shared" si="18"/>
        <v>147</v>
      </c>
      <c r="AD12" s="8">
        <f t="shared" si="19"/>
        <v>7854570307584</v>
      </c>
      <c r="AE12" s="6">
        <f t="shared" si="20"/>
        <v>150</v>
      </c>
      <c r="AF12" s="7">
        <f t="shared" si="21"/>
        <v>11781855461376</v>
      </c>
      <c r="AG12" s="4">
        <f t="shared" si="22"/>
        <v>153</v>
      </c>
      <c r="AH12" s="8">
        <f t="shared" si="23"/>
        <v>37701937476403</v>
      </c>
    </row>
    <row r="13" spans="1:34" x14ac:dyDescent="0.25">
      <c r="A13" s="3">
        <v>3</v>
      </c>
      <c r="B13" s="3" t="s">
        <v>53</v>
      </c>
      <c r="C13" s="3" t="s">
        <v>24</v>
      </c>
      <c r="D13" s="3" t="s">
        <v>25</v>
      </c>
      <c r="E13" s="3">
        <v>126</v>
      </c>
      <c r="F13" s="3" t="s">
        <v>54</v>
      </c>
      <c r="G13" s="3" t="s">
        <v>38</v>
      </c>
      <c r="H13" s="3">
        <v>34</v>
      </c>
      <c r="I13" s="4">
        <v>126</v>
      </c>
      <c r="J13" s="5">
        <v>21700000000</v>
      </c>
      <c r="K13" s="6">
        <f t="shared" si="0"/>
        <v>127</v>
      </c>
      <c r="L13" s="7">
        <f t="shared" si="1"/>
        <v>30380000000</v>
      </c>
      <c r="M13" s="4">
        <f t="shared" si="2"/>
        <v>128</v>
      </c>
      <c r="N13" s="8">
        <f t="shared" si="3"/>
        <v>45570000000</v>
      </c>
      <c r="O13" s="6">
        <f t="shared" si="4"/>
        <v>130</v>
      </c>
      <c r="P13" s="7">
        <f t="shared" si="5"/>
        <v>72912000000</v>
      </c>
      <c r="Q13" s="4">
        <f t="shared" si="6"/>
        <v>132</v>
      </c>
      <c r="R13" s="8">
        <f t="shared" si="7"/>
        <v>145824000000</v>
      </c>
      <c r="S13" s="6">
        <f t="shared" si="8"/>
        <v>134</v>
      </c>
      <c r="T13" s="7">
        <f t="shared" si="9"/>
        <v>320812800000</v>
      </c>
      <c r="U13" s="4">
        <f t="shared" si="10"/>
        <v>137</v>
      </c>
      <c r="V13" s="8">
        <f t="shared" si="11"/>
        <v>871006752000</v>
      </c>
      <c r="W13" s="6">
        <f t="shared" si="12"/>
        <v>141</v>
      </c>
      <c r="X13" s="7">
        <f t="shared" si="13"/>
        <v>2264617555200</v>
      </c>
      <c r="Y13" s="4">
        <f t="shared" si="14"/>
        <v>143</v>
      </c>
      <c r="Z13" s="8">
        <f t="shared" si="15"/>
        <v>3170464577280</v>
      </c>
      <c r="AA13" s="6">
        <f t="shared" si="16"/>
        <v>145</v>
      </c>
      <c r="AB13" s="7">
        <f t="shared" si="17"/>
        <v>4438650408192</v>
      </c>
      <c r="AC13" s="4">
        <f t="shared" si="18"/>
        <v>147</v>
      </c>
      <c r="AD13" s="8">
        <f t="shared" si="19"/>
        <v>6657975612288</v>
      </c>
      <c r="AE13" s="6">
        <f t="shared" si="20"/>
        <v>150</v>
      </c>
      <c r="AF13" s="7">
        <f t="shared" si="21"/>
        <v>9986963418432</v>
      </c>
      <c r="AG13" s="4">
        <f t="shared" si="22"/>
        <v>153</v>
      </c>
      <c r="AH13" s="8">
        <f t="shared" si="23"/>
        <v>31958282938982</v>
      </c>
    </row>
    <row r="14" spans="1:34" x14ac:dyDescent="0.25">
      <c r="A14" s="3">
        <v>58</v>
      </c>
      <c r="B14" s="3" t="s">
        <v>55</v>
      </c>
      <c r="C14" s="3" t="s">
        <v>24</v>
      </c>
      <c r="D14" s="3" t="s">
        <v>25</v>
      </c>
      <c r="E14" s="3">
        <v>125</v>
      </c>
      <c r="F14" s="3" t="s">
        <v>56</v>
      </c>
      <c r="G14" s="3" t="s">
        <v>57</v>
      </c>
      <c r="H14" s="3">
        <v>32</v>
      </c>
      <c r="I14" s="4">
        <v>125</v>
      </c>
      <c r="J14" s="5">
        <v>3810000000</v>
      </c>
      <c r="K14" s="6">
        <f t="shared" si="0"/>
        <v>126</v>
      </c>
      <c r="L14" s="7">
        <f t="shared" si="1"/>
        <v>5334000000</v>
      </c>
      <c r="M14" s="4">
        <f t="shared" si="2"/>
        <v>127</v>
      </c>
      <c r="N14" s="8">
        <f t="shared" si="3"/>
        <v>8001000000</v>
      </c>
      <c r="O14" s="6">
        <f t="shared" si="4"/>
        <v>129</v>
      </c>
      <c r="P14" s="7">
        <f t="shared" si="5"/>
        <v>12801600000</v>
      </c>
      <c r="Q14" s="4">
        <f t="shared" si="6"/>
        <v>131</v>
      </c>
      <c r="R14" s="8">
        <f t="shared" si="7"/>
        <v>25603200000</v>
      </c>
      <c r="S14" s="6">
        <f t="shared" si="8"/>
        <v>133</v>
      </c>
      <c r="T14" s="7">
        <f t="shared" si="9"/>
        <v>56327040000</v>
      </c>
      <c r="U14" s="4">
        <f t="shared" si="10"/>
        <v>136</v>
      </c>
      <c r="V14" s="8">
        <f t="shared" si="11"/>
        <v>152927913600</v>
      </c>
      <c r="W14" s="6">
        <f t="shared" si="12"/>
        <v>140</v>
      </c>
      <c r="X14" s="7">
        <f t="shared" si="13"/>
        <v>397612575360</v>
      </c>
      <c r="Y14" s="4">
        <f t="shared" si="14"/>
        <v>142</v>
      </c>
      <c r="Z14" s="8">
        <f t="shared" si="15"/>
        <v>556657605504</v>
      </c>
      <c r="AA14" s="6">
        <f t="shared" si="16"/>
        <v>144</v>
      </c>
      <c r="AB14" s="7">
        <f t="shared" si="17"/>
        <v>779320647706</v>
      </c>
      <c r="AC14" s="4">
        <f t="shared" si="18"/>
        <v>146</v>
      </c>
      <c r="AD14" s="8">
        <f t="shared" si="19"/>
        <v>1168980971558</v>
      </c>
      <c r="AE14" s="6">
        <f t="shared" si="20"/>
        <v>149</v>
      </c>
      <c r="AF14" s="7">
        <f t="shared" si="21"/>
        <v>1753471457338</v>
      </c>
      <c r="AG14" s="4">
        <f t="shared" si="22"/>
        <v>152</v>
      </c>
      <c r="AH14" s="8">
        <f t="shared" si="23"/>
        <v>5611108663480</v>
      </c>
    </row>
    <row r="15" spans="1:34" x14ac:dyDescent="0.25">
      <c r="A15" s="3">
        <v>34</v>
      </c>
      <c r="B15" s="3" t="s">
        <v>58</v>
      </c>
      <c r="C15" s="3" t="s">
        <v>24</v>
      </c>
      <c r="D15" s="3" t="s">
        <v>40</v>
      </c>
      <c r="E15" s="3">
        <v>125</v>
      </c>
      <c r="F15" s="3" t="s">
        <v>59</v>
      </c>
      <c r="G15" s="3" t="s">
        <v>60</v>
      </c>
      <c r="H15" s="3">
        <v>33</v>
      </c>
      <c r="I15" s="4">
        <v>125</v>
      </c>
      <c r="J15" s="5">
        <v>1878000000</v>
      </c>
      <c r="K15" s="6">
        <f t="shared" si="0"/>
        <v>126</v>
      </c>
      <c r="L15" s="7">
        <f t="shared" si="1"/>
        <v>2629200000</v>
      </c>
      <c r="M15" s="4">
        <f t="shared" si="2"/>
        <v>127</v>
      </c>
      <c r="N15" s="8">
        <f t="shared" si="3"/>
        <v>3943800000</v>
      </c>
      <c r="O15" s="6">
        <f t="shared" si="4"/>
        <v>129</v>
      </c>
      <c r="P15" s="7">
        <f t="shared" si="5"/>
        <v>6310080000</v>
      </c>
      <c r="Q15" s="4">
        <f t="shared" si="6"/>
        <v>131</v>
      </c>
      <c r="R15" s="8">
        <f t="shared" si="7"/>
        <v>12620160000</v>
      </c>
      <c r="S15" s="6">
        <f t="shared" si="8"/>
        <v>133</v>
      </c>
      <c r="T15" s="7">
        <f t="shared" si="9"/>
        <v>27764352000</v>
      </c>
      <c r="U15" s="4">
        <f t="shared" si="10"/>
        <v>136</v>
      </c>
      <c r="V15" s="8">
        <f t="shared" si="11"/>
        <v>75380215680</v>
      </c>
      <c r="W15" s="6">
        <f t="shared" si="12"/>
        <v>140</v>
      </c>
      <c r="X15" s="7">
        <f t="shared" si="13"/>
        <v>195988560768</v>
      </c>
      <c r="Y15" s="4">
        <f t="shared" si="14"/>
        <v>142</v>
      </c>
      <c r="Z15" s="8">
        <f t="shared" si="15"/>
        <v>274383985075</v>
      </c>
      <c r="AA15" s="6">
        <f t="shared" si="16"/>
        <v>144</v>
      </c>
      <c r="AB15" s="7">
        <f t="shared" si="17"/>
        <v>384137579105</v>
      </c>
      <c r="AC15" s="4">
        <f t="shared" si="18"/>
        <v>146</v>
      </c>
      <c r="AD15" s="8">
        <f t="shared" si="19"/>
        <v>576206368658</v>
      </c>
      <c r="AE15" s="6">
        <f t="shared" si="20"/>
        <v>149</v>
      </c>
      <c r="AF15" s="7">
        <f t="shared" si="21"/>
        <v>864309552987</v>
      </c>
      <c r="AG15" s="4">
        <f t="shared" si="22"/>
        <v>152</v>
      </c>
      <c r="AH15" s="8">
        <f t="shared" si="23"/>
        <v>2765790569558</v>
      </c>
    </row>
    <row r="16" spans="1:34" x14ac:dyDescent="0.25">
      <c r="A16" s="3">
        <v>59</v>
      </c>
      <c r="B16" s="3" t="s">
        <v>61</v>
      </c>
      <c r="C16" s="3" t="s">
        <v>24</v>
      </c>
      <c r="D16" s="3" t="s">
        <v>33</v>
      </c>
      <c r="E16" s="3">
        <v>125</v>
      </c>
      <c r="F16" s="3" t="s">
        <v>62</v>
      </c>
      <c r="G16" s="3" t="s">
        <v>51</v>
      </c>
      <c r="H16" s="3">
        <v>32</v>
      </c>
      <c r="I16" s="4">
        <v>125</v>
      </c>
      <c r="J16" s="5">
        <v>460000000</v>
      </c>
      <c r="K16" s="6">
        <f t="shared" si="0"/>
        <v>126</v>
      </c>
      <c r="L16" s="7">
        <f t="shared" si="1"/>
        <v>644000000</v>
      </c>
      <c r="M16" s="4">
        <f t="shared" si="2"/>
        <v>127</v>
      </c>
      <c r="N16" s="8">
        <f t="shared" si="3"/>
        <v>966000000</v>
      </c>
      <c r="O16" s="6">
        <f t="shared" si="4"/>
        <v>129</v>
      </c>
      <c r="P16" s="7">
        <f t="shared" si="5"/>
        <v>1545600000</v>
      </c>
      <c r="Q16" s="4">
        <f t="shared" si="6"/>
        <v>131</v>
      </c>
      <c r="R16" s="8">
        <f t="shared" si="7"/>
        <v>3091200000</v>
      </c>
      <c r="S16" s="6">
        <f t="shared" si="8"/>
        <v>133</v>
      </c>
      <c r="T16" s="7">
        <f t="shared" si="9"/>
        <v>6800640000</v>
      </c>
      <c r="U16" s="4">
        <f t="shared" si="10"/>
        <v>136</v>
      </c>
      <c r="V16" s="8">
        <f t="shared" si="11"/>
        <v>18463737600</v>
      </c>
      <c r="W16" s="6">
        <f t="shared" si="12"/>
        <v>140</v>
      </c>
      <c r="X16" s="7">
        <f t="shared" si="13"/>
        <v>68750083829</v>
      </c>
      <c r="Y16" s="4">
        <f t="shared" si="14"/>
        <v>142</v>
      </c>
      <c r="Z16" s="8">
        <f t="shared" si="15"/>
        <v>152499944536</v>
      </c>
      <c r="AA16" s="6">
        <f t="shared" si="16"/>
        <v>144</v>
      </c>
      <c r="AB16" s="7">
        <f t="shared" si="17"/>
        <v>213750314393</v>
      </c>
      <c r="AC16" s="4">
        <f t="shared" si="18"/>
        <v>146</v>
      </c>
      <c r="AD16" s="8">
        <f t="shared" si="19"/>
        <v>321250611518</v>
      </c>
      <c r="AE16" s="6">
        <f t="shared" si="20"/>
        <v>149</v>
      </c>
      <c r="AF16" s="7">
        <f t="shared" si="21"/>
        <v>482500728361</v>
      </c>
      <c r="AG16" s="4">
        <f t="shared" si="22"/>
        <v>152</v>
      </c>
      <c r="AH16" s="8">
        <f t="shared" si="23"/>
        <v>1550002616035</v>
      </c>
    </row>
    <row r="17" spans="1:34" x14ac:dyDescent="0.25">
      <c r="A17" s="3">
        <v>54</v>
      </c>
      <c r="B17" s="3" t="s">
        <v>63</v>
      </c>
      <c r="C17" s="3" t="s">
        <v>24</v>
      </c>
      <c r="D17" s="3" t="s">
        <v>64</v>
      </c>
      <c r="E17" s="3">
        <v>125</v>
      </c>
      <c r="F17" s="3" t="s">
        <v>65</v>
      </c>
      <c r="G17" s="3" t="s">
        <v>57</v>
      </c>
      <c r="H17" s="3">
        <v>33</v>
      </c>
      <c r="I17" s="4">
        <v>125</v>
      </c>
      <c r="J17" s="5">
        <v>7800000000</v>
      </c>
      <c r="K17" s="6">
        <f t="shared" si="0"/>
        <v>126</v>
      </c>
      <c r="L17" s="7">
        <f t="shared" si="1"/>
        <v>10920000000</v>
      </c>
      <c r="M17" s="4">
        <f t="shared" si="2"/>
        <v>127</v>
      </c>
      <c r="N17" s="8">
        <f t="shared" si="3"/>
        <v>16380000000</v>
      </c>
      <c r="O17" s="6">
        <f t="shared" si="4"/>
        <v>129</v>
      </c>
      <c r="P17" s="7">
        <f t="shared" si="5"/>
        <v>26208000000</v>
      </c>
      <c r="Q17" s="4">
        <f t="shared" si="6"/>
        <v>131</v>
      </c>
      <c r="R17" s="8">
        <f t="shared" si="7"/>
        <v>52416000000</v>
      </c>
      <c r="S17" s="6">
        <f t="shared" si="8"/>
        <v>133</v>
      </c>
      <c r="T17" s="7">
        <f t="shared" si="9"/>
        <v>115315200000</v>
      </c>
      <c r="U17" s="4">
        <f t="shared" si="10"/>
        <v>136</v>
      </c>
      <c r="V17" s="8">
        <f t="shared" si="11"/>
        <v>313080768000</v>
      </c>
      <c r="W17" s="6">
        <f t="shared" si="12"/>
        <v>140</v>
      </c>
      <c r="X17" s="7">
        <f t="shared" si="13"/>
        <v>814009996800</v>
      </c>
      <c r="Y17" s="4">
        <f t="shared" si="14"/>
        <v>142</v>
      </c>
      <c r="Z17" s="8">
        <f t="shared" si="15"/>
        <v>1139613995520</v>
      </c>
      <c r="AA17" s="6">
        <f t="shared" si="16"/>
        <v>144</v>
      </c>
      <c r="AB17" s="7">
        <f t="shared" si="17"/>
        <v>1595459593728</v>
      </c>
      <c r="AC17" s="4">
        <f t="shared" si="18"/>
        <v>146</v>
      </c>
      <c r="AD17" s="8">
        <f t="shared" si="19"/>
        <v>2393189390592</v>
      </c>
      <c r="AE17" s="6">
        <f t="shared" si="20"/>
        <v>149</v>
      </c>
      <c r="AF17" s="7">
        <f t="shared" si="21"/>
        <v>3589784085888</v>
      </c>
      <c r="AG17" s="4">
        <f t="shared" si="22"/>
        <v>152</v>
      </c>
      <c r="AH17" s="8">
        <f t="shared" si="23"/>
        <v>11487309074842</v>
      </c>
    </row>
    <row r="18" spans="1:34" x14ac:dyDescent="0.25">
      <c r="A18" s="3">
        <v>63</v>
      </c>
      <c r="B18" s="3" t="s">
        <v>66</v>
      </c>
      <c r="C18" s="3" t="s">
        <v>24</v>
      </c>
      <c r="D18" s="3" t="s">
        <v>47</v>
      </c>
      <c r="E18" s="3">
        <v>125</v>
      </c>
      <c r="F18" s="3" t="s">
        <v>62</v>
      </c>
      <c r="G18" s="3" t="s">
        <v>67</v>
      </c>
      <c r="H18" s="3">
        <v>29</v>
      </c>
      <c r="I18" s="4">
        <v>125</v>
      </c>
      <c r="J18" s="5">
        <v>164000000</v>
      </c>
      <c r="K18" s="6">
        <f t="shared" si="0"/>
        <v>126</v>
      </c>
      <c r="L18" s="7">
        <f t="shared" si="1"/>
        <v>229600000</v>
      </c>
      <c r="M18" s="4">
        <f t="shared" si="2"/>
        <v>127</v>
      </c>
      <c r="N18" s="8">
        <f t="shared" si="3"/>
        <v>344400000</v>
      </c>
      <c r="O18" s="6">
        <f t="shared" si="4"/>
        <v>129</v>
      </c>
      <c r="P18" s="7">
        <f t="shared" si="5"/>
        <v>551040000</v>
      </c>
      <c r="Q18" s="4">
        <f t="shared" si="6"/>
        <v>131</v>
      </c>
      <c r="R18" s="8">
        <f t="shared" si="7"/>
        <v>1102080000</v>
      </c>
      <c r="S18" s="6">
        <f t="shared" si="8"/>
        <v>133</v>
      </c>
      <c r="T18" s="7">
        <f t="shared" si="9"/>
        <v>2424576000</v>
      </c>
      <c r="U18" s="4">
        <f t="shared" si="10"/>
        <v>136</v>
      </c>
      <c r="V18" s="8">
        <f t="shared" si="11"/>
        <v>8674997573</v>
      </c>
      <c r="W18" s="6">
        <f t="shared" si="12"/>
        <v>140</v>
      </c>
      <c r="X18" s="7">
        <f t="shared" si="13"/>
        <v>68750083829</v>
      </c>
      <c r="Y18" s="4">
        <f t="shared" si="14"/>
        <v>142</v>
      </c>
      <c r="Z18" s="8">
        <f t="shared" si="15"/>
        <v>152499944536</v>
      </c>
      <c r="AA18" s="6">
        <f t="shared" si="16"/>
        <v>144</v>
      </c>
      <c r="AB18" s="7">
        <f t="shared" si="17"/>
        <v>213750314393</v>
      </c>
      <c r="AC18" s="4">
        <f t="shared" si="18"/>
        <v>146</v>
      </c>
      <c r="AD18" s="8">
        <f t="shared" si="19"/>
        <v>321250611518</v>
      </c>
      <c r="AE18" s="6">
        <f t="shared" si="20"/>
        <v>149</v>
      </c>
      <c r="AF18" s="7">
        <f t="shared" si="21"/>
        <v>482500728361</v>
      </c>
      <c r="AG18" s="4">
        <f t="shared" si="22"/>
        <v>152</v>
      </c>
      <c r="AH18" s="8">
        <f t="shared" si="23"/>
        <v>1550002616035</v>
      </c>
    </row>
    <row r="19" spans="1:34" x14ac:dyDescent="0.25">
      <c r="A19" s="3">
        <v>57</v>
      </c>
      <c r="B19" s="3" t="s">
        <v>68</v>
      </c>
      <c r="C19" s="3" t="s">
        <v>24</v>
      </c>
      <c r="D19" s="3" t="s">
        <v>64</v>
      </c>
      <c r="E19" s="3">
        <v>125</v>
      </c>
      <c r="F19" s="3" t="s">
        <v>30</v>
      </c>
      <c r="G19" s="3" t="s">
        <v>69</v>
      </c>
      <c r="H19" s="3">
        <v>32</v>
      </c>
      <c r="I19" s="4">
        <v>125</v>
      </c>
      <c r="J19" s="5">
        <v>482000000</v>
      </c>
      <c r="K19" s="6">
        <f t="shared" si="0"/>
        <v>126</v>
      </c>
      <c r="L19" s="7">
        <f t="shared" si="1"/>
        <v>674800000</v>
      </c>
      <c r="M19" s="4">
        <f t="shared" si="2"/>
        <v>127</v>
      </c>
      <c r="N19" s="8">
        <f t="shared" si="3"/>
        <v>1012200000</v>
      </c>
      <c r="O19" s="6">
        <f t="shared" si="4"/>
        <v>129</v>
      </c>
      <c r="P19" s="7">
        <f t="shared" si="5"/>
        <v>1619520000</v>
      </c>
      <c r="Q19" s="4">
        <f t="shared" si="6"/>
        <v>131</v>
      </c>
      <c r="R19" s="8">
        <f t="shared" si="7"/>
        <v>3239040000</v>
      </c>
      <c r="S19" s="6">
        <f t="shared" si="8"/>
        <v>133</v>
      </c>
      <c r="T19" s="7">
        <f t="shared" si="9"/>
        <v>7125888000</v>
      </c>
      <c r="U19" s="4">
        <f t="shared" si="10"/>
        <v>136</v>
      </c>
      <c r="V19" s="8">
        <f t="shared" si="11"/>
        <v>19346785920</v>
      </c>
      <c r="W19" s="6">
        <f t="shared" si="12"/>
        <v>140</v>
      </c>
      <c r="X19" s="7">
        <f t="shared" si="13"/>
        <v>68750083829</v>
      </c>
      <c r="Y19" s="4">
        <f t="shared" si="14"/>
        <v>142</v>
      </c>
      <c r="Z19" s="8">
        <f t="shared" si="15"/>
        <v>152499944536</v>
      </c>
      <c r="AA19" s="6">
        <f t="shared" si="16"/>
        <v>144</v>
      </c>
      <c r="AB19" s="7">
        <f t="shared" si="17"/>
        <v>213750314393</v>
      </c>
      <c r="AC19" s="4">
        <f t="shared" si="18"/>
        <v>146</v>
      </c>
      <c r="AD19" s="8">
        <f t="shared" si="19"/>
        <v>321250611518</v>
      </c>
      <c r="AE19" s="6">
        <f t="shared" si="20"/>
        <v>149</v>
      </c>
      <c r="AF19" s="7">
        <f t="shared" si="21"/>
        <v>482500728361</v>
      </c>
      <c r="AG19" s="4">
        <f t="shared" si="22"/>
        <v>152</v>
      </c>
      <c r="AH19" s="8">
        <f t="shared" si="23"/>
        <v>1550002616035</v>
      </c>
    </row>
    <row r="20" spans="1:34" x14ac:dyDescent="0.25">
      <c r="A20" s="3">
        <v>61</v>
      </c>
      <c r="B20" s="3" t="s">
        <v>70</v>
      </c>
      <c r="C20" s="3" t="s">
        <v>24</v>
      </c>
      <c r="D20" s="3" t="s">
        <v>45</v>
      </c>
      <c r="E20" s="3">
        <v>125</v>
      </c>
      <c r="F20" s="3" t="s">
        <v>71</v>
      </c>
      <c r="G20" s="3" t="s">
        <v>72</v>
      </c>
      <c r="H20" s="3">
        <v>32</v>
      </c>
      <c r="I20" s="4">
        <v>125</v>
      </c>
      <c r="J20" s="5">
        <v>9690000000</v>
      </c>
      <c r="K20" s="6">
        <f t="shared" si="0"/>
        <v>126</v>
      </c>
      <c r="L20" s="7">
        <f t="shared" si="1"/>
        <v>13566000000</v>
      </c>
      <c r="M20" s="4">
        <f t="shared" si="2"/>
        <v>127</v>
      </c>
      <c r="N20" s="8">
        <f t="shared" si="3"/>
        <v>20349000000</v>
      </c>
      <c r="O20" s="6">
        <f t="shared" si="4"/>
        <v>129</v>
      </c>
      <c r="P20" s="7">
        <f t="shared" si="5"/>
        <v>32558400000</v>
      </c>
      <c r="Q20" s="4">
        <f t="shared" si="6"/>
        <v>131</v>
      </c>
      <c r="R20" s="8">
        <f t="shared" si="7"/>
        <v>65116800000</v>
      </c>
      <c r="S20" s="6">
        <f t="shared" si="8"/>
        <v>133</v>
      </c>
      <c r="T20" s="7">
        <f t="shared" si="9"/>
        <v>143256960000</v>
      </c>
      <c r="U20" s="4">
        <f t="shared" si="10"/>
        <v>136</v>
      </c>
      <c r="V20" s="8">
        <f t="shared" si="11"/>
        <v>388942646400</v>
      </c>
      <c r="W20" s="6">
        <f t="shared" si="12"/>
        <v>140</v>
      </c>
      <c r="X20" s="7">
        <f t="shared" si="13"/>
        <v>1011250880640</v>
      </c>
      <c r="Y20" s="4">
        <f t="shared" si="14"/>
        <v>142</v>
      </c>
      <c r="Z20" s="8">
        <f t="shared" si="15"/>
        <v>1415751232896</v>
      </c>
      <c r="AA20" s="6">
        <f t="shared" si="16"/>
        <v>144</v>
      </c>
      <c r="AB20" s="7">
        <f t="shared" si="17"/>
        <v>1982051726054</v>
      </c>
      <c r="AC20" s="4">
        <f t="shared" si="18"/>
        <v>146</v>
      </c>
      <c r="AD20" s="8">
        <f t="shared" si="19"/>
        <v>2973077589082</v>
      </c>
      <c r="AE20" s="6">
        <f t="shared" si="20"/>
        <v>149</v>
      </c>
      <c r="AF20" s="7">
        <f t="shared" si="21"/>
        <v>4459616383622</v>
      </c>
      <c r="AG20" s="4">
        <f t="shared" si="22"/>
        <v>152</v>
      </c>
      <c r="AH20" s="8">
        <f t="shared" si="23"/>
        <v>14270772427592</v>
      </c>
    </row>
    <row r="21" spans="1:34" x14ac:dyDescent="0.25">
      <c r="A21" s="3">
        <v>56</v>
      </c>
      <c r="B21" s="3" t="s">
        <v>73</v>
      </c>
      <c r="C21" s="3" t="s">
        <v>24</v>
      </c>
      <c r="D21" s="3" t="s">
        <v>64</v>
      </c>
      <c r="E21" s="3">
        <v>125</v>
      </c>
      <c r="F21" s="3" t="s">
        <v>30</v>
      </c>
      <c r="G21" s="3" t="s">
        <v>69</v>
      </c>
      <c r="H21" s="3">
        <v>32</v>
      </c>
      <c r="I21" s="4">
        <v>125</v>
      </c>
      <c r="J21" s="5">
        <v>451000000</v>
      </c>
      <c r="K21" s="6">
        <f t="shared" si="0"/>
        <v>126</v>
      </c>
      <c r="L21" s="7">
        <f t="shared" si="1"/>
        <v>631400000</v>
      </c>
      <c r="M21" s="4">
        <f t="shared" si="2"/>
        <v>127</v>
      </c>
      <c r="N21" s="8">
        <f t="shared" si="3"/>
        <v>947100000</v>
      </c>
      <c r="O21" s="6">
        <f t="shared" si="4"/>
        <v>129</v>
      </c>
      <c r="P21" s="7">
        <f t="shared" si="5"/>
        <v>1515360000</v>
      </c>
      <c r="Q21" s="4">
        <f t="shared" si="6"/>
        <v>131</v>
      </c>
      <c r="R21" s="8">
        <f t="shared" si="7"/>
        <v>3030720000</v>
      </c>
      <c r="S21" s="6">
        <f t="shared" si="8"/>
        <v>133</v>
      </c>
      <c r="T21" s="7">
        <f t="shared" si="9"/>
        <v>6667584000</v>
      </c>
      <c r="U21" s="4">
        <f t="shared" si="10"/>
        <v>136</v>
      </c>
      <c r="V21" s="8">
        <f t="shared" si="11"/>
        <v>18102490560</v>
      </c>
      <c r="W21" s="6">
        <f t="shared" si="12"/>
        <v>140</v>
      </c>
      <c r="X21" s="7">
        <f t="shared" si="13"/>
        <v>68750083829</v>
      </c>
      <c r="Y21" s="4">
        <f t="shared" si="14"/>
        <v>142</v>
      </c>
      <c r="Z21" s="8">
        <f t="shared" si="15"/>
        <v>152499944536</v>
      </c>
      <c r="AA21" s="6">
        <f t="shared" si="16"/>
        <v>144</v>
      </c>
      <c r="AB21" s="7">
        <f t="shared" si="17"/>
        <v>213750314393</v>
      </c>
      <c r="AC21" s="4">
        <f t="shared" si="18"/>
        <v>146</v>
      </c>
      <c r="AD21" s="8">
        <f t="shared" si="19"/>
        <v>321250611518</v>
      </c>
      <c r="AE21" s="6">
        <f t="shared" si="20"/>
        <v>149</v>
      </c>
      <c r="AF21" s="7">
        <f t="shared" si="21"/>
        <v>482500728361</v>
      </c>
      <c r="AG21" s="4">
        <f t="shared" si="22"/>
        <v>152</v>
      </c>
      <c r="AH21" s="8">
        <f t="shared" si="23"/>
        <v>1550002616035</v>
      </c>
    </row>
    <row r="22" spans="1:34" x14ac:dyDescent="0.25">
      <c r="A22" s="3">
        <v>6</v>
      </c>
      <c r="B22" s="3" t="s">
        <v>74</v>
      </c>
      <c r="C22" s="3" t="s">
        <v>24</v>
      </c>
      <c r="D22" s="3" t="s">
        <v>75</v>
      </c>
      <c r="E22" s="3">
        <v>125</v>
      </c>
      <c r="F22" s="3" t="s">
        <v>62</v>
      </c>
      <c r="G22" s="3" t="s">
        <v>51</v>
      </c>
      <c r="H22" s="3">
        <v>32</v>
      </c>
      <c r="I22" s="4">
        <v>125</v>
      </c>
      <c r="J22" s="5">
        <v>6870000000</v>
      </c>
      <c r="K22" s="6">
        <f t="shared" si="0"/>
        <v>126</v>
      </c>
      <c r="L22" s="7">
        <f t="shared" si="1"/>
        <v>9618000000</v>
      </c>
      <c r="M22" s="4">
        <f t="shared" si="2"/>
        <v>127</v>
      </c>
      <c r="N22" s="8">
        <f t="shared" si="3"/>
        <v>14427000000</v>
      </c>
      <c r="O22" s="6">
        <f t="shared" si="4"/>
        <v>129</v>
      </c>
      <c r="P22" s="7">
        <f t="shared" si="5"/>
        <v>23083200000</v>
      </c>
      <c r="Q22" s="4">
        <f t="shared" si="6"/>
        <v>131</v>
      </c>
      <c r="R22" s="8">
        <f t="shared" si="7"/>
        <v>46166400000</v>
      </c>
      <c r="S22" s="6">
        <f t="shared" si="8"/>
        <v>133</v>
      </c>
      <c r="T22" s="7">
        <f t="shared" si="9"/>
        <v>101566080000</v>
      </c>
      <c r="U22" s="4">
        <f t="shared" si="10"/>
        <v>136</v>
      </c>
      <c r="V22" s="8">
        <f t="shared" si="11"/>
        <v>275751907200</v>
      </c>
      <c r="W22" s="6">
        <f t="shared" si="12"/>
        <v>140</v>
      </c>
      <c r="X22" s="7">
        <f t="shared" si="13"/>
        <v>716954958720</v>
      </c>
      <c r="Y22" s="4">
        <f t="shared" si="14"/>
        <v>142</v>
      </c>
      <c r="Z22" s="8">
        <f t="shared" si="15"/>
        <v>1003736942208</v>
      </c>
      <c r="AA22" s="6">
        <f t="shared" si="16"/>
        <v>144</v>
      </c>
      <c r="AB22" s="7">
        <f t="shared" si="17"/>
        <v>1405231719091</v>
      </c>
      <c r="AC22" s="4">
        <f t="shared" si="18"/>
        <v>146</v>
      </c>
      <c r="AD22" s="8">
        <f t="shared" si="19"/>
        <v>2107847578637</v>
      </c>
      <c r="AE22" s="6">
        <f t="shared" si="20"/>
        <v>149</v>
      </c>
      <c r="AF22" s="7">
        <f t="shared" si="21"/>
        <v>3161771367955</v>
      </c>
      <c r="AG22" s="4">
        <f t="shared" si="22"/>
        <v>152</v>
      </c>
      <c r="AH22" s="8">
        <f t="shared" si="23"/>
        <v>10117668377457</v>
      </c>
    </row>
    <row r="23" spans="1:34" x14ac:dyDescent="0.25">
      <c r="A23" s="3">
        <v>55</v>
      </c>
      <c r="B23" s="3" t="s">
        <v>76</v>
      </c>
      <c r="C23" s="3" t="s">
        <v>24</v>
      </c>
      <c r="D23" s="3" t="s">
        <v>29</v>
      </c>
      <c r="E23" s="3">
        <v>125</v>
      </c>
      <c r="F23" s="3" t="s">
        <v>62</v>
      </c>
      <c r="G23" s="3" t="s">
        <v>67</v>
      </c>
      <c r="H23" s="3">
        <v>33</v>
      </c>
      <c r="I23" s="4">
        <v>125</v>
      </c>
      <c r="J23" s="5">
        <v>2400000000</v>
      </c>
      <c r="K23" s="6">
        <f t="shared" si="0"/>
        <v>126</v>
      </c>
      <c r="L23" s="7">
        <f t="shared" si="1"/>
        <v>3360000000</v>
      </c>
      <c r="M23" s="4">
        <f t="shared" si="2"/>
        <v>127</v>
      </c>
      <c r="N23" s="8">
        <f t="shared" si="3"/>
        <v>5040000000</v>
      </c>
      <c r="O23" s="6">
        <f t="shared" si="4"/>
        <v>129</v>
      </c>
      <c r="P23" s="7">
        <f t="shared" si="5"/>
        <v>8064000000</v>
      </c>
      <c r="Q23" s="4">
        <f t="shared" si="6"/>
        <v>131</v>
      </c>
      <c r="R23" s="8">
        <f t="shared" si="7"/>
        <v>16128000000</v>
      </c>
      <c r="S23" s="6">
        <f t="shared" si="8"/>
        <v>133</v>
      </c>
      <c r="T23" s="7">
        <f t="shared" si="9"/>
        <v>35481600000</v>
      </c>
      <c r="U23" s="4">
        <f t="shared" si="10"/>
        <v>136</v>
      </c>
      <c r="V23" s="8">
        <f t="shared" si="11"/>
        <v>96332544000</v>
      </c>
      <c r="W23" s="6">
        <f t="shared" si="12"/>
        <v>140</v>
      </c>
      <c r="X23" s="7">
        <f t="shared" si="13"/>
        <v>250464614400</v>
      </c>
      <c r="Y23" s="4">
        <f t="shared" si="14"/>
        <v>142</v>
      </c>
      <c r="Z23" s="8">
        <f t="shared" si="15"/>
        <v>350650460160</v>
      </c>
      <c r="AA23" s="6">
        <f t="shared" si="16"/>
        <v>144</v>
      </c>
      <c r="AB23" s="7">
        <f t="shared" si="17"/>
        <v>490910644224</v>
      </c>
      <c r="AC23" s="4">
        <f t="shared" si="18"/>
        <v>146</v>
      </c>
      <c r="AD23" s="8">
        <f t="shared" si="19"/>
        <v>736365966336</v>
      </c>
      <c r="AE23" s="6">
        <f t="shared" si="20"/>
        <v>149</v>
      </c>
      <c r="AF23" s="7">
        <f t="shared" si="21"/>
        <v>1104548949504</v>
      </c>
      <c r="AG23" s="4">
        <f t="shared" si="22"/>
        <v>152</v>
      </c>
      <c r="AH23" s="8">
        <f t="shared" si="23"/>
        <v>3534556638413</v>
      </c>
    </row>
    <row r="24" spans="1:34" x14ac:dyDescent="0.25">
      <c r="A24" s="3">
        <v>33</v>
      </c>
      <c r="B24" s="3" t="s">
        <v>77</v>
      </c>
      <c r="C24" s="3" t="s">
        <v>24</v>
      </c>
      <c r="D24" s="3" t="s">
        <v>29</v>
      </c>
      <c r="E24" s="3">
        <v>125</v>
      </c>
      <c r="F24" s="3" t="s">
        <v>42</v>
      </c>
      <c r="G24" s="3" t="s">
        <v>51</v>
      </c>
      <c r="H24" s="3">
        <v>34</v>
      </c>
      <c r="I24" s="4">
        <v>125</v>
      </c>
      <c r="J24" s="5">
        <v>22590000000</v>
      </c>
      <c r="K24" s="6">
        <f t="shared" si="0"/>
        <v>126</v>
      </c>
      <c r="L24" s="7">
        <f t="shared" si="1"/>
        <v>31626000000</v>
      </c>
      <c r="M24" s="4">
        <f t="shared" si="2"/>
        <v>127</v>
      </c>
      <c r="N24" s="8">
        <f t="shared" si="3"/>
        <v>47439000000</v>
      </c>
      <c r="O24" s="6">
        <f t="shared" si="4"/>
        <v>129</v>
      </c>
      <c r="P24" s="7">
        <f t="shared" si="5"/>
        <v>75902400000</v>
      </c>
      <c r="Q24" s="4">
        <f t="shared" si="6"/>
        <v>131</v>
      </c>
      <c r="R24" s="8">
        <f t="shared" si="7"/>
        <v>151804800000</v>
      </c>
      <c r="S24" s="6">
        <f t="shared" si="8"/>
        <v>133</v>
      </c>
      <c r="T24" s="7">
        <f t="shared" si="9"/>
        <v>333970560000</v>
      </c>
      <c r="U24" s="4">
        <f t="shared" si="10"/>
        <v>136</v>
      </c>
      <c r="V24" s="8">
        <f t="shared" si="11"/>
        <v>906730070400</v>
      </c>
      <c r="W24" s="6">
        <f t="shared" si="12"/>
        <v>140</v>
      </c>
      <c r="X24" s="7">
        <f t="shared" si="13"/>
        <v>2357498183040</v>
      </c>
      <c r="Y24" s="4">
        <f t="shared" si="14"/>
        <v>142</v>
      </c>
      <c r="Z24" s="8">
        <f t="shared" si="15"/>
        <v>3300497456256</v>
      </c>
      <c r="AA24" s="6">
        <f t="shared" si="16"/>
        <v>144</v>
      </c>
      <c r="AB24" s="7">
        <f t="shared" si="17"/>
        <v>4620696438758</v>
      </c>
      <c r="AC24" s="4">
        <f t="shared" si="18"/>
        <v>146</v>
      </c>
      <c r="AD24" s="8">
        <f t="shared" si="19"/>
        <v>6931044658138</v>
      </c>
      <c r="AE24" s="6">
        <f t="shared" si="20"/>
        <v>149</v>
      </c>
      <c r="AF24" s="7">
        <f t="shared" si="21"/>
        <v>10396566987206</v>
      </c>
      <c r="AG24" s="4">
        <f t="shared" si="22"/>
        <v>152</v>
      </c>
      <c r="AH24" s="8">
        <f t="shared" si="23"/>
        <v>33269014359061</v>
      </c>
    </row>
    <row r="25" spans="1:34" x14ac:dyDescent="0.25">
      <c r="A25" s="3">
        <v>4</v>
      </c>
      <c r="B25" s="3" t="s">
        <v>78</v>
      </c>
      <c r="C25" s="3" t="s">
        <v>24</v>
      </c>
      <c r="D25" s="3" t="s">
        <v>79</v>
      </c>
      <c r="E25" s="3">
        <v>125</v>
      </c>
      <c r="F25" s="3" t="s">
        <v>30</v>
      </c>
      <c r="G25" s="3" t="s">
        <v>72</v>
      </c>
      <c r="H25" s="3">
        <v>32</v>
      </c>
      <c r="I25" s="4">
        <v>125</v>
      </c>
      <c r="J25" s="5">
        <v>1930000000</v>
      </c>
      <c r="K25" s="6">
        <f t="shared" si="0"/>
        <v>126</v>
      </c>
      <c r="L25" s="7">
        <f t="shared" si="1"/>
        <v>2702000000</v>
      </c>
      <c r="M25" s="4">
        <f t="shared" si="2"/>
        <v>127</v>
      </c>
      <c r="N25" s="8">
        <f t="shared" si="3"/>
        <v>4053000000</v>
      </c>
      <c r="O25" s="6">
        <f t="shared" si="4"/>
        <v>129</v>
      </c>
      <c r="P25" s="7">
        <f t="shared" si="5"/>
        <v>6484800000</v>
      </c>
      <c r="Q25" s="4">
        <f t="shared" si="6"/>
        <v>131</v>
      </c>
      <c r="R25" s="8">
        <f t="shared" si="7"/>
        <v>12969600000</v>
      </c>
      <c r="S25" s="6">
        <f t="shared" si="8"/>
        <v>133</v>
      </c>
      <c r="T25" s="7">
        <f t="shared" si="9"/>
        <v>28533120000</v>
      </c>
      <c r="U25" s="4">
        <f t="shared" si="10"/>
        <v>136</v>
      </c>
      <c r="V25" s="8">
        <f t="shared" si="11"/>
        <v>77467420800</v>
      </c>
      <c r="W25" s="6">
        <f t="shared" si="12"/>
        <v>140</v>
      </c>
      <c r="X25" s="7">
        <f t="shared" si="13"/>
        <v>201415294080</v>
      </c>
      <c r="Y25" s="4">
        <f t="shared" si="14"/>
        <v>142</v>
      </c>
      <c r="Z25" s="8">
        <f t="shared" si="15"/>
        <v>281981411712</v>
      </c>
      <c r="AA25" s="6">
        <f t="shared" si="16"/>
        <v>144</v>
      </c>
      <c r="AB25" s="7">
        <f t="shared" si="17"/>
        <v>394773976397</v>
      </c>
      <c r="AC25" s="4">
        <f t="shared" si="18"/>
        <v>146</v>
      </c>
      <c r="AD25" s="8">
        <f t="shared" si="19"/>
        <v>592160964595</v>
      </c>
      <c r="AE25" s="6">
        <f t="shared" si="20"/>
        <v>149</v>
      </c>
      <c r="AF25" s="7">
        <f t="shared" si="21"/>
        <v>888241446893</v>
      </c>
      <c r="AG25" s="4">
        <f t="shared" si="22"/>
        <v>152</v>
      </c>
      <c r="AH25" s="8">
        <f t="shared" si="23"/>
        <v>2842372630057</v>
      </c>
    </row>
    <row r="26" spans="1:34" x14ac:dyDescent="0.25">
      <c r="A26" s="3">
        <v>62</v>
      </c>
      <c r="B26" s="3" t="s">
        <v>80</v>
      </c>
      <c r="C26" s="3" t="s">
        <v>24</v>
      </c>
      <c r="D26" s="3" t="s">
        <v>45</v>
      </c>
      <c r="E26" s="3">
        <v>125</v>
      </c>
      <c r="F26" s="3" t="s">
        <v>71</v>
      </c>
      <c r="G26" s="3" t="s">
        <v>72</v>
      </c>
      <c r="H26" s="3">
        <v>31</v>
      </c>
      <c r="I26" s="4">
        <v>125</v>
      </c>
      <c r="J26" s="5">
        <v>1600000000</v>
      </c>
      <c r="K26" s="6">
        <f t="shared" si="0"/>
        <v>126</v>
      </c>
      <c r="L26" s="7">
        <f t="shared" si="1"/>
        <v>2240000000</v>
      </c>
      <c r="M26" s="4">
        <f t="shared" si="2"/>
        <v>127</v>
      </c>
      <c r="N26" s="8">
        <f t="shared" si="3"/>
        <v>3360000000</v>
      </c>
      <c r="O26" s="6">
        <f t="shared" si="4"/>
        <v>129</v>
      </c>
      <c r="P26" s="7">
        <f t="shared" si="5"/>
        <v>5376000000</v>
      </c>
      <c r="Q26" s="4">
        <f t="shared" si="6"/>
        <v>131</v>
      </c>
      <c r="R26" s="8">
        <f t="shared" si="7"/>
        <v>10752000000</v>
      </c>
      <c r="S26" s="6">
        <f t="shared" si="8"/>
        <v>133</v>
      </c>
      <c r="T26" s="7">
        <f t="shared" si="9"/>
        <v>23654400000</v>
      </c>
      <c r="U26" s="4">
        <f t="shared" si="10"/>
        <v>136</v>
      </c>
      <c r="V26" s="8">
        <f t="shared" si="11"/>
        <v>64221696000</v>
      </c>
      <c r="W26" s="6">
        <f t="shared" si="12"/>
        <v>140</v>
      </c>
      <c r="X26" s="7">
        <f t="shared" si="13"/>
        <v>166976409600</v>
      </c>
      <c r="Y26" s="4">
        <f t="shared" si="14"/>
        <v>142</v>
      </c>
      <c r="Z26" s="8">
        <f t="shared" si="15"/>
        <v>233766973440</v>
      </c>
      <c r="AA26" s="6">
        <f t="shared" si="16"/>
        <v>144</v>
      </c>
      <c r="AB26" s="7">
        <f t="shared" si="17"/>
        <v>327273762816</v>
      </c>
      <c r="AC26" s="4">
        <f t="shared" si="18"/>
        <v>146</v>
      </c>
      <c r="AD26" s="8">
        <f t="shared" si="19"/>
        <v>490910644224</v>
      </c>
      <c r="AE26" s="6">
        <f t="shared" si="20"/>
        <v>149</v>
      </c>
      <c r="AF26" s="7">
        <f t="shared" si="21"/>
        <v>736365966336</v>
      </c>
      <c r="AG26" s="4">
        <f t="shared" si="22"/>
        <v>152</v>
      </c>
      <c r="AH26" s="8">
        <f t="shared" si="23"/>
        <v>2356371092275</v>
      </c>
    </row>
    <row r="27" spans="1:34" x14ac:dyDescent="0.25">
      <c r="A27" s="3">
        <v>60</v>
      </c>
      <c r="B27" s="3" t="s">
        <v>81</v>
      </c>
      <c r="C27" s="3" t="s">
        <v>24</v>
      </c>
      <c r="D27" s="3" t="s">
        <v>25</v>
      </c>
      <c r="E27" s="3">
        <v>125</v>
      </c>
      <c r="F27" s="3" t="s">
        <v>30</v>
      </c>
      <c r="G27" s="3" t="s">
        <v>82</v>
      </c>
      <c r="H27" s="3">
        <v>32</v>
      </c>
      <c r="I27" s="4">
        <v>125</v>
      </c>
      <c r="J27" s="5">
        <v>7160000000</v>
      </c>
      <c r="K27" s="6">
        <f t="shared" si="0"/>
        <v>126</v>
      </c>
      <c r="L27" s="7">
        <f t="shared" si="1"/>
        <v>10024000000</v>
      </c>
      <c r="M27" s="4">
        <f t="shared" si="2"/>
        <v>127</v>
      </c>
      <c r="N27" s="8">
        <f t="shared" si="3"/>
        <v>15036000000</v>
      </c>
      <c r="O27" s="6">
        <f t="shared" si="4"/>
        <v>129</v>
      </c>
      <c r="P27" s="7">
        <f t="shared" si="5"/>
        <v>24057600000</v>
      </c>
      <c r="Q27" s="4">
        <f t="shared" si="6"/>
        <v>131</v>
      </c>
      <c r="R27" s="8">
        <f t="shared" si="7"/>
        <v>48115200000</v>
      </c>
      <c r="S27" s="6">
        <f t="shared" si="8"/>
        <v>133</v>
      </c>
      <c r="T27" s="7">
        <f t="shared" si="9"/>
        <v>105853440000</v>
      </c>
      <c r="U27" s="4">
        <f t="shared" si="10"/>
        <v>136</v>
      </c>
      <c r="V27" s="8">
        <f t="shared" si="11"/>
        <v>287392089600</v>
      </c>
      <c r="W27" s="6">
        <f t="shared" si="12"/>
        <v>140</v>
      </c>
      <c r="X27" s="7">
        <f t="shared" si="13"/>
        <v>747219432960</v>
      </c>
      <c r="Y27" s="4">
        <f t="shared" si="14"/>
        <v>142</v>
      </c>
      <c r="Z27" s="8">
        <f t="shared" si="15"/>
        <v>1046107206144</v>
      </c>
      <c r="AA27" s="6">
        <f t="shared" si="16"/>
        <v>144</v>
      </c>
      <c r="AB27" s="7">
        <f t="shared" si="17"/>
        <v>1464550088602</v>
      </c>
      <c r="AC27" s="4">
        <f t="shared" si="18"/>
        <v>146</v>
      </c>
      <c r="AD27" s="8">
        <f t="shared" si="19"/>
        <v>2196825132902</v>
      </c>
      <c r="AE27" s="6">
        <f t="shared" si="20"/>
        <v>149</v>
      </c>
      <c r="AF27" s="7">
        <f t="shared" si="21"/>
        <v>3295237699354</v>
      </c>
      <c r="AG27" s="4">
        <f t="shared" si="22"/>
        <v>152</v>
      </c>
      <c r="AH27" s="8">
        <f t="shared" si="23"/>
        <v>10544760637932</v>
      </c>
    </row>
    <row r="28" spans="1:34" x14ac:dyDescent="0.25">
      <c r="A28" s="3">
        <v>76</v>
      </c>
      <c r="B28" s="3" t="s">
        <v>83</v>
      </c>
      <c r="C28" s="3" t="s">
        <v>24</v>
      </c>
      <c r="D28" s="3" t="s">
        <v>33</v>
      </c>
      <c r="E28" s="3">
        <v>124</v>
      </c>
      <c r="F28" s="3" t="s">
        <v>62</v>
      </c>
      <c r="G28" s="3" t="s">
        <v>51</v>
      </c>
      <c r="H28" s="3">
        <v>32</v>
      </c>
      <c r="I28" s="4">
        <v>124</v>
      </c>
      <c r="J28" s="5">
        <v>1010000000</v>
      </c>
      <c r="K28" s="6">
        <f t="shared" si="0"/>
        <v>125</v>
      </c>
      <c r="L28" s="7">
        <f>IF($J28=0,0,ROUND(MAX($J28*1.4,1620000*(1.497923^(MIN($E28,123)-117)))*1,0))</f>
        <v>1414000000</v>
      </c>
      <c r="M28" s="4">
        <f t="shared" si="2"/>
        <v>126</v>
      </c>
      <c r="N28" s="8">
        <f>IF($J28=0,0,ROUND(MAX($J28*1.4*1.5,2190000*(1.580994^(MIN($E28,123)-117)))*1,0))</f>
        <v>2121000000</v>
      </c>
      <c r="O28" s="6">
        <f t="shared" si="4"/>
        <v>128</v>
      </c>
      <c r="P28" s="7">
        <f>IF($J28=0,0,ROUND(MAX($J28*1.4*1.5*1.6,3500000*(1.57975^(MIN($E28,123)-117)))*1,0))</f>
        <v>3393600000</v>
      </c>
      <c r="Q28" s="4">
        <f t="shared" si="6"/>
        <v>130</v>
      </c>
      <c r="R28" s="8">
        <f>IF($J28=0,0,ROUND(MAX($J28*1.4*1.5*1.6*1.6,13100000*(1.429962^(MIN($E28,123)-117)))*1,0))</f>
        <v>5429760000</v>
      </c>
      <c r="S28" s="6">
        <f t="shared" si="8"/>
        <v>132</v>
      </c>
      <c r="T28" s="7">
        <f>IF($J28=0,0,ROUND(MAX($J28*1.4*1.5*1.6*1.6*2.2,42600000*(1.576904^(MIN($E28,123)-117)))*1,0))</f>
        <v>11945472000</v>
      </c>
      <c r="U28" s="4">
        <f t="shared" si="10"/>
        <v>135</v>
      </c>
      <c r="V28" s="8">
        <f>IF($J28=0,0,ROUND(MAX($J28*1.4*1.5*1.6*1.6*2.2*2.715,354000000*(1.642074^(MIN($E28,123)-117)))*1,0))</f>
        <v>32431956480</v>
      </c>
      <c r="W28" s="6">
        <f t="shared" si="12"/>
        <v>139</v>
      </c>
      <c r="X28" s="7">
        <f>IF($J28=0,0,ROUND(MAX($J28*1.4*1.5*1.6*1.6*2.2*2.715*2.6,3540000000*(1.579646^(MIN($E28,123)-117)))*1,0))</f>
        <v>84323086848</v>
      </c>
      <c r="Y28" s="4">
        <f t="shared" si="14"/>
        <v>141</v>
      </c>
      <c r="Z28" s="8">
        <f>IF($J28=0,0,ROUND(MAX($J28*1.4*1.5*1.6*1.6*2.2*2.715*2.6*1.4,6020000000*(1.651178^(MIN($E28,123)-117)))*1,0))</f>
        <v>122000006103</v>
      </c>
      <c r="AA28" s="6">
        <f t="shared" si="16"/>
        <v>143</v>
      </c>
      <c r="AB28" s="7">
        <f>IF($J28=0,0,ROUND(MAX($J28*1.4*1.5*1.6*1.6*2.2*2.715*2.6*1.4*1.4,8430000000*(1.651435^(MIN($E28,123)-117)))*1,0))</f>
        <v>171000146547</v>
      </c>
      <c r="AC28" s="4">
        <f t="shared" si="18"/>
        <v>145</v>
      </c>
      <c r="AD28" s="8">
        <f>IF($J28=0,0,ROUND(MAX($J28*1.4*1.5*1.6*1.6*2.2*2.715*2.6*1.4*1.4*1.5,12600000000*(1.652953^(MIN($E28,123)-117)))*1,0))</f>
        <v>257000267475</v>
      </c>
      <c r="AE28" s="6">
        <f t="shared" si="20"/>
        <v>148</v>
      </c>
      <c r="AF28" s="7">
        <f>IF($J28=0,0,ROUND(MAX($J28*1.4*1.5*1.6*1.6*2.2*2.715*2.6*1.4*1.4*1.5*1.5,18900000000*(1.65331^(MIN($E28,123)-117)))*1,0))</f>
        <v>386000226581</v>
      </c>
      <c r="AG28" s="4">
        <f t="shared" si="22"/>
        <v>151</v>
      </c>
      <c r="AH28" s="8">
        <f>IF($J28=0,0,ROUND(MAX($J28*1.4*1.5*1.6*1.6*2.2*2.715*2.6*1.4*1.4*1.5*1.5*3.2,60500000000*(1.654288^(MIN($E28,123)-117)))*1,0))</f>
        <v>1240001159555</v>
      </c>
    </row>
    <row r="29" spans="1:34" x14ac:dyDescent="0.25">
      <c r="A29" s="3">
        <v>9</v>
      </c>
      <c r="B29" s="3" t="s">
        <v>84</v>
      </c>
      <c r="C29" s="3" t="s">
        <v>24</v>
      </c>
      <c r="D29" s="3" t="s">
        <v>45</v>
      </c>
      <c r="E29" s="3">
        <v>124</v>
      </c>
      <c r="F29" s="3" t="s">
        <v>62</v>
      </c>
      <c r="G29" s="3" t="s">
        <v>51</v>
      </c>
      <c r="H29" s="3">
        <v>32</v>
      </c>
      <c r="I29" s="4">
        <v>124</v>
      </c>
      <c r="J29" s="5">
        <v>1092000000</v>
      </c>
      <c r="K29" s="6">
        <f t="shared" si="0"/>
        <v>125</v>
      </c>
      <c r="L29" s="7">
        <f t="shared" ref="L29:L38" si="24">IF($J29=0,0,ROUND(MAX($J29*1.4*1,4020000*(1.354082^(MIN($E29,123)-118))),0))</f>
        <v>1528800000</v>
      </c>
      <c r="M29" s="4">
        <f t="shared" si="2"/>
        <v>126</v>
      </c>
      <c r="N29" s="8">
        <f t="shared" ref="N29:N38" si="25">IF($J29=0,0,ROUND(MAX($J29*1.4*1.5*1,6950000*(1.375334^(MIN($E29,123)-118))),0))</f>
        <v>2293200000</v>
      </c>
      <c r="O29" s="6">
        <f t="shared" si="4"/>
        <v>128</v>
      </c>
      <c r="P29" s="7">
        <f t="shared" ref="P29:P38" si="26">IF($J29=0,0,ROUND(MAX($J29*1.4*1.5*1.6*1,23900000*(1.1788^(MIN($E29,123)-118))),0))</f>
        <v>3669120000</v>
      </c>
      <c r="Q29" s="4">
        <f t="shared" si="6"/>
        <v>130</v>
      </c>
      <c r="R29" s="8">
        <f t="shared" ref="R29:R38" si="27">IF($J29=0,0,ROUND(MAX($J29*1.4*1.5*1.6*1.6*1.25,77000000*(1.127009^(MIN($E29,123)-118))),0))</f>
        <v>7338240000</v>
      </c>
      <c r="S29" s="6">
        <f t="shared" si="8"/>
        <v>132</v>
      </c>
      <c r="T29" s="7">
        <f t="shared" ref="T29:T38" si="28">IF($J29=0,0,ROUND(MAX($J29*1.4*1.5*1.6*1.6*2.2*1.25,270000000*(1.248411^(MIN($E29,123)-118))),0))</f>
        <v>16144128000</v>
      </c>
      <c r="U29" s="4">
        <f t="shared" si="10"/>
        <v>135</v>
      </c>
      <c r="V29" s="8">
        <f t="shared" ref="V29:V38" si="29">IF($J29=0,0,ROUND(MAX($J29*1.4*1.5*1.6*1.6*2.2*2.715*1.25,2400000000*(1.293039^(MIN($E29,123)-118))),0))</f>
        <v>43831307520</v>
      </c>
      <c r="W29" s="6">
        <f t="shared" si="12"/>
        <v>139</v>
      </c>
      <c r="X29" s="7">
        <f t="shared" ref="X29:X38" si="30">IF($J29=0,0,ROUND(MAX($J29*1.4*1.5*1.6*1.6*2.2*2.715*2.6*1.25,20000000000*(1.280114^(MIN($E29,123)-118))),0))</f>
        <v>113961399552</v>
      </c>
      <c r="Y29" s="4">
        <f t="shared" si="14"/>
        <v>141</v>
      </c>
      <c r="Z29" s="8">
        <f t="shared" ref="Z29:Z38" si="31">IF($J29=0,0,ROUND(MAX($J29*1.4*1.5*1.6*1.6*2.2*2.715*2.6*1.4*1.25,39200000000*(1.31219^(MIN($E29,123)-118))),0))</f>
        <v>159545959373</v>
      </c>
      <c r="AA29" s="6">
        <f t="shared" si="16"/>
        <v>143</v>
      </c>
      <c r="AB29" s="7">
        <f t="shared" ref="AB29:AB38" si="32">IF($J29=0,0,ROUND(MAX($J29*1.4*1.5*1.6*1.6*2.2*2.715*2.6*1.4*1.4*1.25,54900000000*(1.312402^(MIN($E29,123)-118))),0))</f>
        <v>223364343122</v>
      </c>
      <c r="AC29" s="4">
        <f t="shared" si="18"/>
        <v>145</v>
      </c>
      <c r="AD29" s="8">
        <f t="shared" ref="AD29:AD38" si="33">IF($J29=0,0,ROUND(MAX($J29*1.4*1.5*1.6*1.6*2.2*2.715*2.6*1.4*1.4*1.5*1.25,82400000000*(1.312754^(MIN($E29,123)-118))),0))</f>
        <v>335046514683</v>
      </c>
      <c r="AE29" s="6">
        <f t="shared" si="20"/>
        <v>148</v>
      </c>
      <c r="AF29" s="7">
        <f t="shared" ref="AF29:AF38" si="34">IF($J29=0,0,ROUND(MAX($J29*1.4*1.5*1.6*1.6*2.2*2.715*2.6*1.4*1.4*1.5*1.5*1.25,124000000000*(1.312246^(MIN($E29,123)-118))),0))</f>
        <v>502569772024</v>
      </c>
      <c r="AG29" s="4">
        <f t="shared" si="22"/>
        <v>151</v>
      </c>
      <c r="AH29" s="8">
        <f t="shared" ref="AH29:AH38" si="35">IF($J29=0,0,ROUND(MAX($J29*1.4*1.5*1.6*1.6*2.2*2.715*2.6*1.4*1.4*1.5*1.5*3.2*1.25,397000000000*(1.313132^(MIN($E29,123)-118))),0))</f>
        <v>1608223270478</v>
      </c>
    </row>
    <row r="30" spans="1:34" x14ac:dyDescent="0.25">
      <c r="A30" s="3">
        <v>77</v>
      </c>
      <c r="B30" s="3" t="s">
        <v>85</v>
      </c>
      <c r="C30" s="3" t="s">
        <v>24</v>
      </c>
      <c r="D30" s="3" t="s">
        <v>40</v>
      </c>
      <c r="E30" s="3">
        <v>124</v>
      </c>
      <c r="F30" s="3" t="s">
        <v>56</v>
      </c>
      <c r="G30" s="3" t="s">
        <v>86</v>
      </c>
      <c r="H30" s="3">
        <v>32</v>
      </c>
      <c r="I30" s="4">
        <v>124</v>
      </c>
      <c r="J30" s="5">
        <v>234000000</v>
      </c>
      <c r="K30" s="6">
        <f t="shared" si="0"/>
        <v>125</v>
      </c>
      <c r="L30" s="7">
        <f t="shared" si="24"/>
        <v>327600000</v>
      </c>
      <c r="M30" s="4">
        <f t="shared" si="2"/>
        <v>126</v>
      </c>
      <c r="N30" s="8">
        <f t="shared" si="25"/>
        <v>491400000</v>
      </c>
      <c r="O30" s="6">
        <f t="shared" si="4"/>
        <v>128</v>
      </c>
      <c r="P30" s="7">
        <f t="shared" si="26"/>
        <v>786240000</v>
      </c>
      <c r="Q30" s="4">
        <f t="shared" si="6"/>
        <v>130</v>
      </c>
      <c r="R30" s="8">
        <f t="shared" si="27"/>
        <v>1572480000</v>
      </c>
      <c r="S30" s="6">
        <f t="shared" si="8"/>
        <v>132</v>
      </c>
      <c r="T30" s="7">
        <f t="shared" si="28"/>
        <v>3459456000</v>
      </c>
      <c r="U30" s="4">
        <f t="shared" si="10"/>
        <v>135</v>
      </c>
      <c r="V30" s="8">
        <f t="shared" si="29"/>
        <v>9392423040</v>
      </c>
      <c r="W30" s="6">
        <f t="shared" si="12"/>
        <v>139</v>
      </c>
      <c r="X30" s="7">
        <f t="shared" si="30"/>
        <v>68750083829</v>
      </c>
      <c r="Y30" s="4">
        <f t="shared" si="14"/>
        <v>141</v>
      </c>
      <c r="Z30" s="8">
        <f t="shared" si="31"/>
        <v>152499944536</v>
      </c>
      <c r="AA30" s="6">
        <f t="shared" si="16"/>
        <v>143</v>
      </c>
      <c r="AB30" s="7">
        <f t="shared" si="32"/>
        <v>213750314393</v>
      </c>
      <c r="AC30" s="4">
        <f t="shared" si="18"/>
        <v>145</v>
      </c>
      <c r="AD30" s="8">
        <f t="shared" si="33"/>
        <v>321250611518</v>
      </c>
      <c r="AE30" s="6">
        <f t="shared" si="20"/>
        <v>148</v>
      </c>
      <c r="AF30" s="7">
        <f t="shared" si="34"/>
        <v>482500728361</v>
      </c>
      <c r="AG30" s="4">
        <f t="shared" si="22"/>
        <v>151</v>
      </c>
      <c r="AH30" s="8">
        <f t="shared" si="35"/>
        <v>1550002616035</v>
      </c>
    </row>
    <row r="31" spans="1:34" x14ac:dyDescent="0.25">
      <c r="A31" s="3">
        <v>66</v>
      </c>
      <c r="B31" s="3" t="s">
        <v>87</v>
      </c>
      <c r="C31" s="3" t="s">
        <v>24</v>
      </c>
      <c r="D31" s="3" t="s">
        <v>40</v>
      </c>
      <c r="E31" s="3">
        <v>124</v>
      </c>
      <c r="F31" s="3" t="s">
        <v>88</v>
      </c>
      <c r="G31" s="3" t="s">
        <v>51</v>
      </c>
      <c r="H31" s="3">
        <v>33</v>
      </c>
      <c r="I31" s="4">
        <v>124</v>
      </c>
      <c r="J31" s="5">
        <v>8450000000</v>
      </c>
      <c r="K31" s="6">
        <f t="shared" si="0"/>
        <v>125</v>
      </c>
      <c r="L31" s="7">
        <f t="shared" si="24"/>
        <v>11830000000</v>
      </c>
      <c r="M31" s="4">
        <f t="shared" si="2"/>
        <v>126</v>
      </c>
      <c r="N31" s="8">
        <f t="shared" si="25"/>
        <v>17745000000</v>
      </c>
      <c r="O31" s="6">
        <f t="shared" si="4"/>
        <v>128</v>
      </c>
      <c r="P31" s="7">
        <f t="shared" si="26"/>
        <v>28392000000</v>
      </c>
      <c r="Q31" s="4">
        <f t="shared" si="6"/>
        <v>130</v>
      </c>
      <c r="R31" s="8">
        <f t="shared" si="27"/>
        <v>56784000000</v>
      </c>
      <c r="S31" s="6">
        <f t="shared" si="8"/>
        <v>132</v>
      </c>
      <c r="T31" s="7">
        <f t="shared" si="28"/>
        <v>124924800000</v>
      </c>
      <c r="U31" s="4">
        <f t="shared" si="10"/>
        <v>135</v>
      </c>
      <c r="V31" s="8">
        <f t="shared" si="29"/>
        <v>339170832000</v>
      </c>
      <c r="W31" s="6">
        <f t="shared" si="12"/>
        <v>139</v>
      </c>
      <c r="X31" s="7">
        <f t="shared" si="30"/>
        <v>881844163200</v>
      </c>
      <c r="Y31" s="4">
        <f t="shared" si="14"/>
        <v>141</v>
      </c>
      <c r="Z31" s="8">
        <f t="shared" si="31"/>
        <v>1234581828480</v>
      </c>
      <c r="AA31" s="6">
        <f t="shared" si="16"/>
        <v>143</v>
      </c>
      <c r="AB31" s="7">
        <f t="shared" si="32"/>
        <v>1728414559872</v>
      </c>
      <c r="AC31" s="4">
        <f t="shared" si="18"/>
        <v>145</v>
      </c>
      <c r="AD31" s="8">
        <f t="shared" si="33"/>
        <v>2592621839808</v>
      </c>
      <c r="AE31" s="6">
        <f t="shared" si="20"/>
        <v>148</v>
      </c>
      <c r="AF31" s="7">
        <f t="shared" si="34"/>
        <v>3888932759712</v>
      </c>
      <c r="AG31" s="4">
        <f t="shared" si="22"/>
        <v>151</v>
      </c>
      <c r="AH31" s="8">
        <f t="shared" si="35"/>
        <v>12444584831078</v>
      </c>
    </row>
    <row r="32" spans="1:34" x14ac:dyDescent="0.25">
      <c r="A32" s="3">
        <v>78</v>
      </c>
      <c r="B32" s="3" t="s">
        <v>89</v>
      </c>
      <c r="C32" s="3" t="s">
        <v>24</v>
      </c>
      <c r="D32" s="3" t="s">
        <v>90</v>
      </c>
      <c r="E32" s="3">
        <v>124</v>
      </c>
      <c r="F32" s="3" t="s">
        <v>30</v>
      </c>
      <c r="G32" s="3" t="s">
        <v>51</v>
      </c>
      <c r="H32" s="3">
        <v>31</v>
      </c>
      <c r="I32" s="4">
        <v>124</v>
      </c>
      <c r="J32" s="5">
        <v>404000000</v>
      </c>
      <c r="K32" s="6">
        <f t="shared" si="0"/>
        <v>125</v>
      </c>
      <c r="L32" s="7">
        <f t="shared" si="24"/>
        <v>565600000</v>
      </c>
      <c r="M32" s="4">
        <f t="shared" si="2"/>
        <v>126</v>
      </c>
      <c r="N32" s="8">
        <f t="shared" si="25"/>
        <v>848400000</v>
      </c>
      <c r="O32" s="6">
        <f t="shared" si="4"/>
        <v>128</v>
      </c>
      <c r="P32" s="7">
        <f t="shared" si="26"/>
        <v>1357440000</v>
      </c>
      <c r="Q32" s="4">
        <f t="shared" si="6"/>
        <v>130</v>
      </c>
      <c r="R32" s="8">
        <f t="shared" si="27"/>
        <v>2714880000</v>
      </c>
      <c r="S32" s="6">
        <f t="shared" si="8"/>
        <v>132</v>
      </c>
      <c r="T32" s="7">
        <f t="shared" si="28"/>
        <v>5972736000</v>
      </c>
      <c r="U32" s="4">
        <f t="shared" si="10"/>
        <v>135</v>
      </c>
      <c r="V32" s="8">
        <f t="shared" si="29"/>
        <v>16215978240</v>
      </c>
      <c r="W32" s="6">
        <f t="shared" si="12"/>
        <v>139</v>
      </c>
      <c r="X32" s="7">
        <f t="shared" si="30"/>
        <v>68750083829</v>
      </c>
      <c r="Y32" s="4">
        <f t="shared" si="14"/>
        <v>141</v>
      </c>
      <c r="Z32" s="8">
        <f t="shared" si="31"/>
        <v>152499944536</v>
      </c>
      <c r="AA32" s="6">
        <f t="shared" si="16"/>
        <v>143</v>
      </c>
      <c r="AB32" s="7">
        <f t="shared" si="32"/>
        <v>213750314393</v>
      </c>
      <c r="AC32" s="4">
        <f t="shared" si="18"/>
        <v>145</v>
      </c>
      <c r="AD32" s="8">
        <f t="shared" si="33"/>
        <v>321250611518</v>
      </c>
      <c r="AE32" s="6">
        <f t="shared" si="20"/>
        <v>148</v>
      </c>
      <c r="AF32" s="7">
        <f t="shared" si="34"/>
        <v>482500728361</v>
      </c>
      <c r="AG32" s="4">
        <f t="shared" si="22"/>
        <v>151</v>
      </c>
      <c r="AH32" s="8">
        <f t="shared" si="35"/>
        <v>1550002616035</v>
      </c>
    </row>
    <row r="33" spans="1:34" x14ac:dyDescent="0.25">
      <c r="A33" s="3">
        <v>10</v>
      </c>
      <c r="B33" s="3" t="s">
        <v>91</v>
      </c>
      <c r="C33" s="3" t="s">
        <v>24</v>
      </c>
      <c r="D33" s="3" t="s">
        <v>47</v>
      </c>
      <c r="E33" s="3">
        <v>124</v>
      </c>
      <c r="F33" s="3" t="s">
        <v>71</v>
      </c>
      <c r="G33" s="3" t="s">
        <v>38</v>
      </c>
      <c r="H33" s="3">
        <v>27</v>
      </c>
      <c r="I33" s="4">
        <v>124</v>
      </c>
      <c r="J33" s="5">
        <v>129000000</v>
      </c>
      <c r="K33" s="6">
        <f t="shared" si="0"/>
        <v>125</v>
      </c>
      <c r="L33" s="7">
        <f t="shared" si="24"/>
        <v>180600000</v>
      </c>
      <c r="M33" s="4">
        <f t="shared" si="2"/>
        <v>126</v>
      </c>
      <c r="N33" s="8">
        <f t="shared" si="25"/>
        <v>270900000</v>
      </c>
      <c r="O33" s="6">
        <f t="shared" si="4"/>
        <v>128</v>
      </c>
      <c r="P33" s="7">
        <f t="shared" si="26"/>
        <v>433440000</v>
      </c>
      <c r="Q33" s="4">
        <f t="shared" si="6"/>
        <v>130</v>
      </c>
      <c r="R33" s="8">
        <f t="shared" si="27"/>
        <v>866880000</v>
      </c>
      <c r="S33" s="6">
        <f t="shared" si="8"/>
        <v>132</v>
      </c>
      <c r="T33" s="7">
        <f t="shared" si="28"/>
        <v>1907136000</v>
      </c>
      <c r="U33" s="4">
        <f t="shared" si="10"/>
        <v>135</v>
      </c>
      <c r="V33" s="8">
        <f t="shared" si="29"/>
        <v>8674997573</v>
      </c>
      <c r="W33" s="6">
        <f t="shared" si="12"/>
        <v>139</v>
      </c>
      <c r="X33" s="7">
        <f t="shared" si="30"/>
        <v>68750083829</v>
      </c>
      <c r="Y33" s="4">
        <f t="shared" si="14"/>
        <v>141</v>
      </c>
      <c r="Z33" s="8">
        <f t="shared" si="31"/>
        <v>152499944536</v>
      </c>
      <c r="AA33" s="6">
        <f t="shared" si="16"/>
        <v>143</v>
      </c>
      <c r="AB33" s="7">
        <f t="shared" si="32"/>
        <v>213750314393</v>
      </c>
      <c r="AC33" s="4">
        <f t="shared" si="18"/>
        <v>145</v>
      </c>
      <c r="AD33" s="8">
        <f t="shared" si="33"/>
        <v>321250611518</v>
      </c>
      <c r="AE33" s="6">
        <f t="shared" si="20"/>
        <v>148</v>
      </c>
      <c r="AF33" s="7">
        <f t="shared" si="34"/>
        <v>482500728361</v>
      </c>
      <c r="AG33" s="4">
        <f t="shared" si="22"/>
        <v>151</v>
      </c>
      <c r="AH33" s="8">
        <f t="shared" si="35"/>
        <v>1550002616035</v>
      </c>
    </row>
    <row r="34" spans="1:34" x14ac:dyDescent="0.25">
      <c r="A34" s="3">
        <v>8</v>
      </c>
      <c r="B34" s="3" t="s">
        <v>92</v>
      </c>
      <c r="C34" s="3" t="s">
        <v>24</v>
      </c>
      <c r="D34" s="3" t="s">
        <v>93</v>
      </c>
      <c r="E34" s="3">
        <v>124</v>
      </c>
      <c r="F34" s="3" t="s">
        <v>56</v>
      </c>
      <c r="G34" s="3" t="s">
        <v>57</v>
      </c>
      <c r="H34" s="3">
        <v>32</v>
      </c>
      <c r="I34" s="4">
        <v>124</v>
      </c>
      <c r="J34" s="5">
        <v>5000000000</v>
      </c>
      <c r="K34" s="6">
        <f t="shared" si="0"/>
        <v>125</v>
      </c>
      <c r="L34" s="7">
        <f t="shared" si="24"/>
        <v>7000000000</v>
      </c>
      <c r="M34" s="4">
        <f t="shared" si="2"/>
        <v>126</v>
      </c>
      <c r="N34" s="8">
        <f t="shared" si="25"/>
        <v>10500000000</v>
      </c>
      <c r="O34" s="6">
        <f t="shared" si="4"/>
        <v>128</v>
      </c>
      <c r="P34" s="7">
        <f t="shared" si="26"/>
        <v>16800000000</v>
      </c>
      <c r="Q34" s="4">
        <f t="shared" si="6"/>
        <v>130</v>
      </c>
      <c r="R34" s="8">
        <f t="shared" si="27"/>
        <v>33600000000</v>
      </c>
      <c r="S34" s="6">
        <f t="shared" si="8"/>
        <v>132</v>
      </c>
      <c r="T34" s="7">
        <f t="shared" si="28"/>
        <v>73920000000</v>
      </c>
      <c r="U34" s="4">
        <f t="shared" si="10"/>
        <v>135</v>
      </c>
      <c r="V34" s="8">
        <f t="shared" si="29"/>
        <v>200692800000</v>
      </c>
      <c r="W34" s="6">
        <f t="shared" si="12"/>
        <v>139</v>
      </c>
      <c r="X34" s="7">
        <f t="shared" si="30"/>
        <v>521801280000</v>
      </c>
      <c r="Y34" s="4">
        <f t="shared" si="14"/>
        <v>141</v>
      </c>
      <c r="Z34" s="8">
        <f t="shared" si="31"/>
        <v>730521792000</v>
      </c>
      <c r="AA34" s="6">
        <f t="shared" si="16"/>
        <v>143</v>
      </c>
      <c r="AB34" s="7">
        <f t="shared" si="32"/>
        <v>1022730508800</v>
      </c>
      <c r="AC34" s="4">
        <f t="shared" si="18"/>
        <v>145</v>
      </c>
      <c r="AD34" s="8">
        <f t="shared" si="33"/>
        <v>1534095763200</v>
      </c>
      <c r="AE34" s="6">
        <f t="shared" si="20"/>
        <v>148</v>
      </c>
      <c r="AF34" s="7">
        <f t="shared" si="34"/>
        <v>2301143644800</v>
      </c>
      <c r="AG34" s="4">
        <f t="shared" si="22"/>
        <v>151</v>
      </c>
      <c r="AH34" s="8">
        <f t="shared" si="35"/>
        <v>7363659663360</v>
      </c>
    </row>
    <row r="35" spans="1:34" x14ac:dyDescent="0.25">
      <c r="A35" s="3">
        <v>75</v>
      </c>
      <c r="B35" s="3" t="s">
        <v>94</v>
      </c>
      <c r="C35" s="3" t="s">
        <v>24</v>
      </c>
      <c r="D35" s="3" t="s">
        <v>29</v>
      </c>
      <c r="E35" s="3">
        <v>124</v>
      </c>
      <c r="F35" s="3" t="s">
        <v>42</v>
      </c>
      <c r="G35" s="3" t="s">
        <v>95</v>
      </c>
      <c r="H35" s="3">
        <v>32</v>
      </c>
      <c r="I35" s="4">
        <v>124</v>
      </c>
      <c r="J35" s="5">
        <v>1200000000</v>
      </c>
      <c r="K35" s="6">
        <f t="shared" si="0"/>
        <v>125</v>
      </c>
      <c r="L35" s="7">
        <f t="shared" si="24"/>
        <v>1680000000</v>
      </c>
      <c r="M35" s="4">
        <f t="shared" si="2"/>
        <v>126</v>
      </c>
      <c r="N35" s="8">
        <f t="shared" si="25"/>
        <v>2520000000</v>
      </c>
      <c r="O35" s="6">
        <f t="shared" si="4"/>
        <v>128</v>
      </c>
      <c r="P35" s="7">
        <f t="shared" si="26"/>
        <v>4032000000</v>
      </c>
      <c r="Q35" s="4">
        <f t="shared" si="6"/>
        <v>130</v>
      </c>
      <c r="R35" s="8">
        <f t="shared" si="27"/>
        <v>8064000000</v>
      </c>
      <c r="S35" s="6">
        <f t="shared" si="8"/>
        <v>132</v>
      </c>
      <c r="T35" s="7">
        <f t="shared" si="28"/>
        <v>17740800000</v>
      </c>
      <c r="U35" s="4">
        <f t="shared" si="10"/>
        <v>135</v>
      </c>
      <c r="V35" s="8">
        <f t="shared" si="29"/>
        <v>48166272000</v>
      </c>
      <c r="W35" s="6">
        <f t="shared" si="12"/>
        <v>139</v>
      </c>
      <c r="X35" s="7">
        <f t="shared" si="30"/>
        <v>125232307200</v>
      </c>
      <c r="Y35" s="4">
        <f t="shared" si="14"/>
        <v>141</v>
      </c>
      <c r="Z35" s="8">
        <f t="shared" si="31"/>
        <v>175325230080</v>
      </c>
      <c r="AA35" s="6">
        <f t="shared" si="16"/>
        <v>143</v>
      </c>
      <c r="AB35" s="7">
        <f t="shared" si="32"/>
        <v>245455322112</v>
      </c>
      <c r="AC35" s="4">
        <f t="shared" si="18"/>
        <v>145</v>
      </c>
      <c r="AD35" s="8">
        <f t="shared" si="33"/>
        <v>368182983168</v>
      </c>
      <c r="AE35" s="6">
        <f t="shared" si="20"/>
        <v>148</v>
      </c>
      <c r="AF35" s="7">
        <f t="shared" si="34"/>
        <v>552274474752</v>
      </c>
      <c r="AG35" s="4">
        <f t="shared" si="22"/>
        <v>151</v>
      </c>
      <c r="AH35" s="8">
        <f t="shared" si="35"/>
        <v>1767278319206</v>
      </c>
    </row>
    <row r="36" spans="1:34" x14ac:dyDescent="0.25">
      <c r="A36" s="3">
        <v>36</v>
      </c>
      <c r="B36" s="3" t="s">
        <v>96</v>
      </c>
      <c r="C36" s="3" t="s">
        <v>24</v>
      </c>
      <c r="D36" s="3" t="s">
        <v>40</v>
      </c>
      <c r="E36" s="3">
        <v>124</v>
      </c>
      <c r="F36" s="3" t="s">
        <v>97</v>
      </c>
      <c r="G36" s="3" t="s">
        <v>98</v>
      </c>
      <c r="H36" s="3">
        <v>33</v>
      </c>
      <c r="I36" s="4">
        <v>124</v>
      </c>
      <c r="J36" s="5">
        <v>8500000000</v>
      </c>
      <c r="K36" s="6">
        <f t="shared" si="0"/>
        <v>125</v>
      </c>
      <c r="L36" s="7">
        <f t="shared" si="24"/>
        <v>11900000000</v>
      </c>
      <c r="M36" s="4">
        <f t="shared" si="2"/>
        <v>126</v>
      </c>
      <c r="N36" s="8">
        <f t="shared" si="25"/>
        <v>17850000000</v>
      </c>
      <c r="O36" s="6">
        <f t="shared" si="4"/>
        <v>128</v>
      </c>
      <c r="P36" s="7">
        <f t="shared" si="26"/>
        <v>28560000000</v>
      </c>
      <c r="Q36" s="4">
        <f t="shared" si="6"/>
        <v>130</v>
      </c>
      <c r="R36" s="8">
        <f t="shared" si="27"/>
        <v>57120000000</v>
      </c>
      <c r="S36" s="6">
        <f t="shared" si="8"/>
        <v>132</v>
      </c>
      <c r="T36" s="7">
        <f t="shared" si="28"/>
        <v>125664000000</v>
      </c>
      <c r="U36" s="4">
        <f t="shared" si="10"/>
        <v>135</v>
      </c>
      <c r="V36" s="8">
        <f t="shared" si="29"/>
        <v>341177760000</v>
      </c>
      <c r="W36" s="6">
        <f t="shared" si="12"/>
        <v>139</v>
      </c>
      <c r="X36" s="7">
        <f t="shared" si="30"/>
        <v>887062176000</v>
      </c>
      <c r="Y36" s="4">
        <f t="shared" si="14"/>
        <v>141</v>
      </c>
      <c r="Z36" s="8">
        <f t="shared" si="31"/>
        <v>1241887046400</v>
      </c>
      <c r="AA36" s="6">
        <f t="shared" si="16"/>
        <v>143</v>
      </c>
      <c r="AB36" s="7">
        <f t="shared" si="32"/>
        <v>1738641864960</v>
      </c>
      <c r="AC36" s="4">
        <f t="shared" si="18"/>
        <v>145</v>
      </c>
      <c r="AD36" s="8">
        <f t="shared" si="33"/>
        <v>2607962797440</v>
      </c>
      <c r="AE36" s="6">
        <f t="shared" si="20"/>
        <v>148</v>
      </c>
      <c r="AF36" s="7">
        <f t="shared" si="34"/>
        <v>3911944196160</v>
      </c>
      <c r="AG36" s="4">
        <f t="shared" si="22"/>
        <v>151</v>
      </c>
      <c r="AH36" s="8">
        <f t="shared" si="35"/>
        <v>12518221427712</v>
      </c>
    </row>
    <row r="37" spans="1:34" x14ac:dyDescent="0.25">
      <c r="A37" s="3">
        <v>64</v>
      </c>
      <c r="B37" s="3" t="s">
        <v>99</v>
      </c>
      <c r="C37" s="3" t="s">
        <v>24</v>
      </c>
      <c r="D37" s="3" t="s">
        <v>29</v>
      </c>
      <c r="E37" s="3">
        <v>124</v>
      </c>
      <c r="F37" s="3" t="s">
        <v>54</v>
      </c>
      <c r="G37" s="3" t="s">
        <v>57</v>
      </c>
      <c r="H37" s="3">
        <v>33</v>
      </c>
      <c r="I37" s="4">
        <v>124</v>
      </c>
      <c r="J37" s="5">
        <v>3816000000</v>
      </c>
      <c r="K37" s="6">
        <f t="shared" si="0"/>
        <v>125</v>
      </c>
      <c r="L37" s="7">
        <f t="shared" si="24"/>
        <v>5342400000</v>
      </c>
      <c r="M37" s="4">
        <f t="shared" si="2"/>
        <v>126</v>
      </c>
      <c r="N37" s="8">
        <f t="shared" si="25"/>
        <v>8013600000</v>
      </c>
      <c r="O37" s="6">
        <f t="shared" si="4"/>
        <v>128</v>
      </c>
      <c r="P37" s="7">
        <f t="shared" si="26"/>
        <v>12821760000</v>
      </c>
      <c r="Q37" s="4">
        <f t="shared" si="6"/>
        <v>130</v>
      </c>
      <c r="R37" s="8">
        <f t="shared" si="27"/>
        <v>25643520000</v>
      </c>
      <c r="S37" s="6">
        <f t="shared" si="8"/>
        <v>132</v>
      </c>
      <c r="T37" s="7">
        <f t="shared" si="28"/>
        <v>56415744000</v>
      </c>
      <c r="U37" s="4">
        <f t="shared" si="10"/>
        <v>135</v>
      </c>
      <c r="V37" s="8">
        <f t="shared" si="29"/>
        <v>153168744960</v>
      </c>
      <c r="W37" s="6">
        <f t="shared" si="12"/>
        <v>139</v>
      </c>
      <c r="X37" s="7">
        <f t="shared" si="30"/>
        <v>398238736896</v>
      </c>
      <c r="Y37" s="4">
        <f t="shared" si="14"/>
        <v>141</v>
      </c>
      <c r="Z37" s="8">
        <f t="shared" si="31"/>
        <v>557534231654</v>
      </c>
      <c r="AA37" s="6">
        <f t="shared" si="16"/>
        <v>143</v>
      </c>
      <c r="AB37" s="7">
        <f t="shared" si="32"/>
        <v>780547924316</v>
      </c>
      <c r="AC37" s="4">
        <f t="shared" si="18"/>
        <v>145</v>
      </c>
      <c r="AD37" s="8">
        <f t="shared" si="33"/>
        <v>1170821886474</v>
      </c>
      <c r="AE37" s="6">
        <f t="shared" si="20"/>
        <v>148</v>
      </c>
      <c r="AF37" s="7">
        <f t="shared" si="34"/>
        <v>1756232829711</v>
      </c>
      <c r="AG37" s="4">
        <f t="shared" si="22"/>
        <v>151</v>
      </c>
      <c r="AH37" s="8">
        <f t="shared" si="35"/>
        <v>5619945055076</v>
      </c>
    </row>
    <row r="38" spans="1:34" x14ac:dyDescent="0.25">
      <c r="A38" s="3">
        <v>79</v>
      </c>
      <c r="B38" s="3" t="s">
        <v>100</v>
      </c>
      <c r="C38" s="3" t="s">
        <v>24</v>
      </c>
      <c r="D38" s="3" t="s">
        <v>33</v>
      </c>
      <c r="E38" s="3">
        <v>124</v>
      </c>
      <c r="F38" s="3" t="s">
        <v>62</v>
      </c>
      <c r="G38" s="3" t="s">
        <v>38</v>
      </c>
      <c r="H38" s="3">
        <v>31</v>
      </c>
      <c r="I38" s="4">
        <v>124</v>
      </c>
      <c r="J38" s="5">
        <v>722000000</v>
      </c>
      <c r="K38" s="6">
        <f t="shared" si="0"/>
        <v>125</v>
      </c>
      <c r="L38" s="7">
        <f t="shared" si="24"/>
        <v>1010800000</v>
      </c>
      <c r="M38" s="4">
        <f t="shared" si="2"/>
        <v>126</v>
      </c>
      <c r="N38" s="8">
        <f t="shared" si="25"/>
        <v>1516200000</v>
      </c>
      <c r="O38" s="6">
        <f t="shared" si="4"/>
        <v>128</v>
      </c>
      <c r="P38" s="7">
        <f t="shared" si="26"/>
        <v>2425920000</v>
      </c>
      <c r="Q38" s="4">
        <f t="shared" si="6"/>
        <v>130</v>
      </c>
      <c r="R38" s="8">
        <f t="shared" si="27"/>
        <v>4851840000</v>
      </c>
      <c r="S38" s="6">
        <f t="shared" si="8"/>
        <v>132</v>
      </c>
      <c r="T38" s="7">
        <f t="shared" si="28"/>
        <v>10674048000</v>
      </c>
      <c r="U38" s="4">
        <f t="shared" si="10"/>
        <v>135</v>
      </c>
      <c r="V38" s="8">
        <f t="shared" si="29"/>
        <v>28980040320</v>
      </c>
      <c r="W38" s="6">
        <f t="shared" si="12"/>
        <v>139</v>
      </c>
      <c r="X38" s="7">
        <f t="shared" si="30"/>
        <v>75348104832</v>
      </c>
      <c r="Y38" s="4">
        <f t="shared" si="14"/>
        <v>141</v>
      </c>
      <c r="Z38" s="8">
        <f t="shared" si="31"/>
        <v>152499944536</v>
      </c>
      <c r="AA38" s="6">
        <f t="shared" si="16"/>
        <v>143</v>
      </c>
      <c r="AB38" s="7">
        <f t="shared" si="32"/>
        <v>213750314393</v>
      </c>
      <c r="AC38" s="4">
        <f t="shared" si="18"/>
        <v>145</v>
      </c>
      <c r="AD38" s="8">
        <f t="shared" si="33"/>
        <v>321250611518</v>
      </c>
      <c r="AE38" s="6">
        <f t="shared" si="20"/>
        <v>148</v>
      </c>
      <c r="AF38" s="7">
        <f t="shared" si="34"/>
        <v>482500728361</v>
      </c>
      <c r="AG38" s="4">
        <f t="shared" si="22"/>
        <v>151</v>
      </c>
      <c r="AH38" s="8">
        <f t="shared" si="35"/>
        <v>1550002616035</v>
      </c>
    </row>
    <row r="39" spans="1:34" x14ac:dyDescent="0.25">
      <c r="A39" s="3">
        <v>69</v>
      </c>
      <c r="B39" s="3" t="s">
        <v>101</v>
      </c>
      <c r="C39" s="3" t="s">
        <v>24</v>
      </c>
      <c r="D39" s="3" t="s">
        <v>102</v>
      </c>
      <c r="E39" s="3">
        <v>124</v>
      </c>
      <c r="F39" s="3" t="s">
        <v>42</v>
      </c>
      <c r="G39" s="3" t="s">
        <v>51</v>
      </c>
      <c r="H39" s="3">
        <v>32</v>
      </c>
      <c r="I39" s="4">
        <v>124</v>
      </c>
      <c r="J39" s="5">
        <v>5910000000</v>
      </c>
      <c r="K39" s="6">
        <f t="shared" si="0"/>
        <v>125</v>
      </c>
      <c r="L39" s="7">
        <f>IF($J39=0,0,ROUND(MAX($J39*1.4,1620000*(1.497923^(MIN($E39,123)-117)))*1,0))</f>
        <v>8274000000</v>
      </c>
      <c r="M39" s="4">
        <f t="shared" si="2"/>
        <v>126</v>
      </c>
      <c r="N39" s="8">
        <f>IF($J39=0,0,ROUND(MAX($J39*1.4*1.5,2190000*(1.580994^(MIN($E39,123)-117)))*1,0))</f>
        <v>12411000000</v>
      </c>
      <c r="O39" s="6">
        <f t="shared" si="4"/>
        <v>128</v>
      </c>
      <c r="P39" s="7">
        <f>IF($J39=0,0,ROUND(MAX($J39*1.4*1.5*1.6,3500000*(1.57975^(MIN($E39,123)-117)))*1,0))</f>
        <v>19857600000</v>
      </c>
      <c r="Q39" s="4">
        <f t="shared" si="6"/>
        <v>130</v>
      </c>
      <c r="R39" s="8">
        <f>IF($J39=0,0,ROUND(MAX($J39*1.4*1.5*1.6*1.6,13100000*(1.429962^(MIN($E39,123)-117)))*1,0))</f>
        <v>31772160000</v>
      </c>
      <c r="S39" s="6">
        <f t="shared" si="8"/>
        <v>132</v>
      </c>
      <c r="T39" s="7">
        <f>IF($J39=0,0,ROUND(MAX($J39*1.4*1.5*1.6*1.6*2.2,42600000*(1.576904^(MIN($E39,123)-117)))*1,0))</f>
        <v>69898752000</v>
      </c>
      <c r="U39" s="4">
        <f t="shared" si="10"/>
        <v>135</v>
      </c>
      <c r="V39" s="8">
        <f>IF($J39=0,0,ROUND(MAX($J39*1.4*1.5*1.6*1.6*2.2*2.715,354000000*(1.642074^(MIN($E39,123)-117)))*1,0))</f>
        <v>189775111680</v>
      </c>
      <c r="W39" s="6">
        <f t="shared" si="12"/>
        <v>139</v>
      </c>
      <c r="X39" s="7">
        <f>IF($J39=0,0,ROUND(MAX($J39*1.4*1.5*1.6*1.6*2.2*2.715*2.6,3540000000*(1.579646^(MIN($E39,123)-117)))*1,0))</f>
        <v>493415290368</v>
      </c>
      <c r="Y39" s="4">
        <f t="shared" si="14"/>
        <v>141</v>
      </c>
      <c r="Z39" s="8">
        <f>IF($J39=0,0,ROUND(MAX($J39*1.4*1.5*1.6*1.6*2.2*2.715*2.6*1.4,6020000000*(1.651178^(MIN($E39,123)-117)))*1,0))</f>
        <v>690781406515</v>
      </c>
      <c r="AA39" s="6">
        <f t="shared" si="16"/>
        <v>143</v>
      </c>
      <c r="AB39" s="7">
        <f>IF($J39=0,0,ROUND(MAX($J39*1.4*1.5*1.6*1.6*2.2*2.715*2.6*1.4*1.4,8430000000*(1.651435^(MIN($E39,123)-117)))*1,0))</f>
        <v>967093969121</v>
      </c>
      <c r="AC39" s="4">
        <f t="shared" si="18"/>
        <v>145</v>
      </c>
      <c r="AD39" s="8">
        <f>IF($J39=0,0,ROUND(MAX($J39*1.4*1.5*1.6*1.6*2.2*2.715*2.6*1.4*1.4*1.5,12600000000*(1.652953^(MIN($E39,123)-117)))*1,0))</f>
        <v>1450640953682</v>
      </c>
      <c r="AE39" s="6">
        <f t="shared" si="20"/>
        <v>148</v>
      </c>
      <c r="AF39" s="7">
        <f>IF($J39=0,0,ROUND(MAX($J39*1.4*1.5*1.6*1.6*2.2*2.715*2.6*1.4*1.4*1.5*1.5,18900000000*(1.65331^(MIN($E39,123)-117)))*1,0))</f>
        <v>2175961430523</v>
      </c>
      <c r="AG39" s="4">
        <f t="shared" si="22"/>
        <v>151</v>
      </c>
      <c r="AH39" s="8">
        <f>IF($J39=0,0,ROUND(MAX($J39*1.4*1.5*1.6*1.6*2.2*2.715*2.6*1.4*1.4*1.5*1.5*3.2,60500000000*(1.654288^(MIN($E39,123)-117)))*1,0))</f>
        <v>6963076577673</v>
      </c>
    </row>
    <row r="40" spans="1:34" x14ac:dyDescent="0.25">
      <c r="A40" s="3">
        <v>67</v>
      </c>
      <c r="B40" s="3" t="s">
        <v>103</v>
      </c>
      <c r="C40" s="3" t="s">
        <v>24</v>
      </c>
      <c r="D40" s="3" t="s">
        <v>29</v>
      </c>
      <c r="E40" s="3">
        <v>124</v>
      </c>
      <c r="F40" s="3" t="s">
        <v>62</v>
      </c>
      <c r="G40" s="3" t="s">
        <v>104</v>
      </c>
      <c r="H40" s="3">
        <v>33</v>
      </c>
      <c r="I40" s="4">
        <v>124</v>
      </c>
      <c r="J40" s="5">
        <v>4300000000</v>
      </c>
      <c r="K40" s="6">
        <f t="shared" si="0"/>
        <v>125</v>
      </c>
      <c r="L40" s="7">
        <f>IF($J40=0,0,ROUND(MAX($J40*1.4*1,4020000*(1.354082^(MIN($E40,123)-118))),0))</f>
        <v>6020000000</v>
      </c>
      <c r="M40" s="4">
        <f t="shared" si="2"/>
        <v>126</v>
      </c>
      <c r="N40" s="8">
        <f>IF($J40=0,0,ROUND(MAX($J40*1.4*1.5*1,6950000*(1.375334^(MIN($E40,123)-118))),0))</f>
        <v>9030000000</v>
      </c>
      <c r="O40" s="6">
        <f t="shared" si="4"/>
        <v>128</v>
      </c>
      <c r="P40" s="7">
        <f>IF($J40=0,0,ROUND(MAX($J40*1.4*1.5*1.6*1,23900000*(1.1788^(MIN($E40,123)-118))),0))</f>
        <v>14448000000</v>
      </c>
      <c r="Q40" s="4">
        <f t="shared" si="6"/>
        <v>130</v>
      </c>
      <c r="R40" s="8">
        <f>IF($J40=0,0,ROUND(MAX($J40*1.4*1.5*1.6*1.6*1.25,77000000*(1.127009^(MIN($E40,123)-118))),0))</f>
        <v>28896000000</v>
      </c>
      <c r="S40" s="6">
        <f t="shared" si="8"/>
        <v>132</v>
      </c>
      <c r="T40" s="7">
        <f>IF($J40=0,0,ROUND(MAX($J40*1.4*1.5*1.6*1.6*2.2*1.25,270000000*(1.248411^(MIN($E40,123)-118))),0))</f>
        <v>63571200000</v>
      </c>
      <c r="U40" s="4">
        <f t="shared" si="10"/>
        <v>135</v>
      </c>
      <c r="V40" s="8">
        <f>IF($J40=0,0,ROUND(MAX($J40*1.4*1.5*1.6*1.6*2.2*2.715*1.25,2400000000*(1.293039^(MIN($E40,123)-118))),0))</f>
        <v>172595808000</v>
      </c>
      <c r="W40" s="6">
        <f t="shared" si="12"/>
        <v>139</v>
      </c>
      <c r="X40" s="7">
        <f>IF($J40=0,0,ROUND(MAX($J40*1.4*1.5*1.6*1.6*2.2*2.715*2.6*1.25,20000000000*(1.280114^(MIN($E40,123)-118))),0))</f>
        <v>448749100800</v>
      </c>
      <c r="Y40" s="4">
        <f t="shared" si="14"/>
        <v>141</v>
      </c>
      <c r="Z40" s="8">
        <f>IF($J40=0,0,ROUND(MAX($J40*1.4*1.5*1.6*1.6*2.2*2.715*2.6*1.4*1.25,39200000000*(1.31219^(MIN($E40,123)-118))),0))</f>
        <v>628248741120</v>
      </c>
      <c r="AA40" s="6">
        <f t="shared" si="16"/>
        <v>143</v>
      </c>
      <c r="AB40" s="7">
        <f>IF($J40=0,0,ROUND(MAX($J40*1.4*1.5*1.6*1.6*2.2*2.715*2.6*1.4*1.4*1.25,54900000000*(1.312402^(MIN($E40,123)-118))),0))</f>
        <v>879548237568</v>
      </c>
      <c r="AC40" s="4">
        <f t="shared" si="18"/>
        <v>145</v>
      </c>
      <c r="AD40" s="8">
        <f>IF($J40=0,0,ROUND(MAX($J40*1.4*1.5*1.6*1.6*2.2*2.715*2.6*1.4*1.4*1.5*1.25,82400000000*(1.312754^(MIN($E40,123)-118))),0))</f>
        <v>1319322356352</v>
      </c>
      <c r="AE40" s="6">
        <f t="shared" si="20"/>
        <v>148</v>
      </c>
      <c r="AF40" s="7">
        <f>IF($J40=0,0,ROUND(MAX($J40*1.4*1.5*1.6*1.6*2.2*2.715*2.6*1.4*1.4*1.5*1.5*1.25,124000000000*(1.312246^(MIN($E40,123)-118))),0))</f>
        <v>1978983534528</v>
      </c>
      <c r="AG40" s="4">
        <f t="shared" si="22"/>
        <v>151</v>
      </c>
      <c r="AH40" s="8">
        <f>IF($J40=0,0,ROUND(MAX($J40*1.4*1.5*1.6*1.6*2.2*2.715*2.6*1.4*1.4*1.5*1.5*3.2*1.25,397000000000*(1.313132^(MIN($E40,123)-118))),0))</f>
        <v>6332747310490</v>
      </c>
    </row>
    <row r="41" spans="1:34" x14ac:dyDescent="0.25">
      <c r="A41" s="3">
        <v>68</v>
      </c>
      <c r="B41" s="3" t="s">
        <v>105</v>
      </c>
      <c r="C41" s="3" t="s">
        <v>24</v>
      </c>
      <c r="D41" s="3" t="s">
        <v>40</v>
      </c>
      <c r="E41" s="3">
        <v>124</v>
      </c>
      <c r="F41" s="3" t="s">
        <v>26</v>
      </c>
      <c r="G41" s="3" t="s">
        <v>106</v>
      </c>
      <c r="H41" s="3">
        <v>32</v>
      </c>
      <c r="I41" s="4">
        <v>124</v>
      </c>
      <c r="J41" s="5">
        <v>4440000000</v>
      </c>
      <c r="K41" s="6">
        <f t="shared" si="0"/>
        <v>125</v>
      </c>
      <c r="L41" s="7">
        <f>IF($J41=0,0,ROUND(MAX($J41*1.4*1,4020000*(1.354082^(MIN($E41,123)-118))),0))</f>
        <v>6216000000</v>
      </c>
      <c r="M41" s="4">
        <f t="shared" si="2"/>
        <v>126</v>
      </c>
      <c r="N41" s="8">
        <f>IF($J41=0,0,ROUND(MAX($J41*1.4*1.5*1,6950000*(1.375334^(MIN($E41,123)-118))),0))</f>
        <v>9324000000</v>
      </c>
      <c r="O41" s="6">
        <f t="shared" si="4"/>
        <v>128</v>
      </c>
      <c r="P41" s="7">
        <f>IF($J41=0,0,ROUND(MAX($J41*1.4*1.5*1.6*1,23900000*(1.1788^(MIN($E41,123)-118))),0))</f>
        <v>14918400000</v>
      </c>
      <c r="Q41" s="4">
        <f t="shared" si="6"/>
        <v>130</v>
      </c>
      <c r="R41" s="8">
        <f>IF($J41=0,0,ROUND(MAX($J41*1.4*1.5*1.6*1.6*1.25,77000000*(1.127009^(MIN($E41,123)-118))),0))</f>
        <v>29836800000</v>
      </c>
      <c r="S41" s="6">
        <f t="shared" si="8"/>
        <v>132</v>
      </c>
      <c r="T41" s="7">
        <f>IF($J41=0,0,ROUND(MAX($J41*1.4*1.5*1.6*1.6*2.2*1.25,270000000*(1.248411^(MIN($E41,123)-118))),0))</f>
        <v>65640960000</v>
      </c>
      <c r="U41" s="4">
        <f t="shared" si="10"/>
        <v>135</v>
      </c>
      <c r="V41" s="8">
        <f>IF($J41=0,0,ROUND(MAX($J41*1.4*1.5*1.6*1.6*2.2*2.715*1.25,2400000000*(1.293039^(MIN($E41,123)-118))),0))</f>
        <v>178215206400</v>
      </c>
      <c r="W41" s="6">
        <f t="shared" si="12"/>
        <v>139</v>
      </c>
      <c r="X41" s="7">
        <f>IF($J41=0,0,ROUND(MAX($J41*1.4*1.5*1.6*1.6*2.2*2.715*2.6*1.25,20000000000*(1.280114^(MIN($E41,123)-118))),0))</f>
        <v>463359536640</v>
      </c>
      <c r="Y41" s="4">
        <f t="shared" si="14"/>
        <v>141</v>
      </c>
      <c r="Z41" s="8">
        <f>IF($J41=0,0,ROUND(MAX($J41*1.4*1.5*1.6*1.6*2.2*2.715*2.6*1.4*1.25,39200000000*(1.31219^(MIN($E41,123)-118))),0))</f>
        <v>648703351296</v>
      </c>
      <c r="AA41" s="6">
        <f t="shared" si="16"/>
        <v>143</v>
      </c>
      <c r="AB41" s="7">
        <f>IF($J41=0,0,ROUND(MAX($J41*1.4*1.5*1.6*1.6*2.2*2.715*2.6*1.4*1.4*1.25,54900000000*(1.312402^(MIN($E41,123)-118))),0))</f>
        <v>908184691814</v>
      </c>
      <c r="AC41" s="4">
        <f t="shared" si="18"/>
        <v>145</v>
      </c>
      <c r="AD41" s="8">
        <f>IF($J41=0,0,ROUND(MAX($J41*1.4*1.5*1.6*1.6*2.2*2.715*2.6*1.4*1.4*1.5*1.25,82400000000*(1.312754^(MIN($E41,123)-118))),0))</f>
        <v>1362277037722</v>
      </c>
      <c r="AE41" s="6">
        <f t="shared" si="20"/>
        <v>148</v>
      </c>
      <c r="AF41" s="7">
        <f>IF($J41=0,0,ROUND(MAX($J41*1.4*1.5*1.6*1.6*2.2*2.715*2.6*1.4*1.4*1.5*1.5*1.25,124000000000*(1.312246^(MIN($E41,123)-118))),0))</f>
        <v>2043415556582</v>
      </c>
      <c r="AG41" s="4">
        <f t="shared" si="22"/>
        <v>151</v>
      </c>
      <c r="AH41" s="8">
        <f>IF($J41=0,0,ROUND(MAX($J41*1.4*1.5*1.6*1.6*2.2*2.715*2.6*1.4*1.4*1.5*1.5*3.2*1.25,397000000000*(1.313132^(MIN($E41,123)-118))),0))</f>
        <v>6538929781064</v>
      </c>
    </row>
    <row r="42" spans="1:34" x14ac:dyDescent="0.25">
      <c r="A42" s="3">
        <v>70</v>
      </c>
      <c r="B42" s="3" t="s">
        <v>107</v>
      </c>
      <c r="C42" s="3" t="s">
        <v>24</v>
      </c>
      <c r="D42" s="3" t="s">
        <v>40</v>
      </c>
      <c r="E42" s="3">
        <v>124</v>
      </c>
      <c r="F42" s="3" t="s">
        <v>108</v>
      </c>
      <c r="G42" s="3" t="s">
        <v>38</v>
      </c>
      <c r="H42" s="3">
        <v>32</v>
      </c>
      <c r="I42" s="4">
        <v>124</v>
      </c>
      <c r="J42" s="5">
        <v>300000000</v>
      </c>
      <c r="K42" s="6">
        <f t="shared" si="0"/>
        <v>125</v>
      </c>
      <c r="L42" s="7">
        <f>IF($J42=0,0,ROUND(MAX($J42*1.4,1620000*(1.497923^(MIN($E42,123)-117)))*1,0))</f>
        <v>420000000</v>
      </c>
      <c r="M42" s="4">
        <f t="shared" si="2"/>
        <v>126</v>
      </c>
      <c r="N42" s="8">
        <f>IF($J42=0,0,ROUND(MAX($J42*1.4*1.5,2190000*(1.580994^(MIN($E42,123)-117)))*1,0))</f>
        <v>630000000</v>
      </c>
      <c r="O42" s="6">
        <f t="shared" si="4"/>
        <v>128</v>
      </c>
      <c r="P42" s="7">
        <f>IF($J42=0,0,ROUND(MAX($J42*1.4*1.5*1.6,3500000*(1.57975^(MIN($E42,123)-117)))*1,0))</f>
        <v>1008000000</v>
      </c>
      <c r="Q42" s="4">
        <f t="shared" si="6"/>
        <v>130</v>
      </c>
      <c r="R42" s="8">
        <f>IF($J42=0,0,ROUND(MAX($J42*1.4*1.5*1.6*1.6,13100000*(1.429962^(MIN($E42,123)-117)))*1,0))</f>
        <v>1612800000</v>
      </c>
      <c r="S42" s="6">
        <f t="shared" si="8"/>
        <v>132</v>
      </c>
      <c r="T42" s="7">
        <f>IF($J42=0,0,ROUND(MAX($J42*1.4*1.5*1.6*1.6*2.2,42600000*(1.576904^(MIN($E42,123)-117)))*1,0))</f>
        <v>3548160000</v>
      </c>
      <c r="U42" s="4">
        <f t="shared" si="10"/>
        <v>135</v>
      </c>
      <c r="V42" s="8">
        <f>IF($J42=0,0,ROUND(MAX($J42*1.4*1.5*1.6*1.6*2.2*2.715,354000000*(1.642074^(MIN($E42,123)-117)))*1,0))</f>
        <v>9633254400</v>
      </c>
      <c r="W42" s="6">
        <f t="shared" si="12"/>
        <v>139</v>
      </c>
      <c r="X42" s="7">
        <f>IF($J42=0,0,ROUND(MAX($J42*1.4*1.5*1.6*1.6*2.2*2.715*2.6,3540000000*(1.579646^(MIN($E42,123)-117)))*1,0))</f>
        <v>54999899335</v>
      </c>
      <c r="Y42" s="4">
        <f t="shared" si="14"/>
        <v>141</v>
      </c>
      <c r="Z42" s="8">
        <f>IF($J42=0,0,ROUND(MAX($J42*1.4*1.5*1.6*1.6*2.2*2.715*2.6*1.4,6020000000*(1.651178^(MIN($E42,123)-117)))*1,0))</f>
        <v>122000006103</v>
      </c>
      <c r="AA42" s="6">
        <f t="shared" si="16"/>
        <v>143</v>
      </c>
      <c r="AB42" s="7">
        <f>IF($J42=0,0,ROUND(MAX($J42*1.4*1.5*1.6*1.6*2.2*2.715*2.6*1.4*1.4,8430000000*(1.651435^(MIN($E42,123)-117)))*1,0))</f>
        <v>171000146547</v>
      </c>
      <c r="AC42" s="4">
        <f t="shared" si="18"/>
        <v>145</v>
      </c>
      <c r="AD42" s="8">
        <f>IF($J42=0,0,ROUND(MAX($J42*1.4*1.5*1.6*1.6*2.2*2.715*2.6*1.4*1.4*1.5,12600000000*(1.652953^(MIN($E42,123)-117)))*1,0))</f>
        <v>257000267475</v>
      </c>
      <c r="AE42" s="6">
        <f t="shared" si="20"/>
        <v>148</v>
      </c>
      <c r="AF42" s="7">
        <f>IF($J42=0,0,ROUND(MAX($J42*1.4*1.5*1.6*1.6*2.2*2.715*2.6*1.4*1.4*1.5*1.5,18900000000*(1.65331^(MIN($E42,123)-117)))*1,0))</f>
        <v>386000226581</v>
      </c>
      <c r="AG42" s="4">
        <f t="shared" si="22"/>
        <v>151</v>
      </c>
      <c r="AH42" s="8">
        <f>IF($J42=0,0,ROUND(MAX($J42*1.4*1.5*1.6*1.6*2.2*2.715*2.6*1.4*1.4*1.5*1.5*3.2,60500000000*(1.654288^(MIN($E42,123)-117)))*1,0))</f>
        <v>1240001159555</v>
      </c>
    </row>
    <row r="43" spans="1:34" x14ac:dyDescent="0.25">
      <c r="A43" s="3">
        <v>38</v>
      </c>
      <c r="B43" s="3" t="s">
        <v>109</v>
      </c>
      <c r="C43" s="3" t="s">
        <v>24</v>
      </c>
      <c r="D43" s="3" t="s">
        <v>25</v>
      </c>
      <c r="E43" s="3">
        <v>124</v>
      </c>
      <c r="F43" s="3" t="s">
        <v>30</v>
      </c>
      <c r="G43" s="3" t="s">
        <v>51</v>
      </c>
      <c r="H43" s="3">
        <v>33</v>
      </c>
      <c r="I43" s="4">
        <v>124</v>
      </c>
      <c r="J43" s="5">
        <v>3640000000</v>
      </c>
      <c r="K43" s="6">
        <f t="shared" si="0"/>
        <v>125</v>
      </c>
      <c r="L43" s="7">
        <f t="shared" ref="L43:L53" si="36">IF($J43=0,0,ROUND(MAX($J43*1.4*1,4020000*(1.354082^(MIN($E43,123)-118))),0))</f>
        <v>5096000000</v>
      </c>
      <c r="M43" s="4">
        <f t="shared" si="2"/>
        <v>126</v>
      </c>
      <c r="N43" s="8">
        <f t="shared" ref="N43:N53" si="37">IF($J43=0,0,ROUND(MAX($J43*1.4*1.5*1,6950000*(1.375334^(MIN($E43,123)-118))),0))</f>
        <v>7644000000</v>
      </c>
      <c r="O43" s="6">
        <f t="shared" si="4"/>
        <v>128</v>
      </c>
      <c r="P43" s="7">
        <f t="shared" ref="P43:P53" si="38">IF($J43=0,0,ROUND(MAX($J43*1.4*1.5*1.6*1,23900000*(1.1788^(MIN($E43,123)-118))),0))</f>
        <v>12230400000</v>
      </c>
      <c r="Q43" s="4">
        <f t="shared" si="6"/>
        <v>130</v>
      </c>
      <c r="R43" s="8">
        <f t="shared" ref="R43:R53" si="39">IF($J43=0,0,ROUND(MAX($J43*1.4*1.5*1.6*1.6*1.25,77000000*(1.127009^(MIN($E43,123)-118))),0))</f>
        <v>24460800000</v>
      </c>
      <c r="S43" s="6">
        <f t="shared" si="8"/>
        <v>132</v>
      </c>
      <c r="T43" s="7">
        <f t="shared" ref="T43:T53" si="40">IF($J43=0,0,ROUND(MAX($J43*1.4*1.5*1.6*1.6*2.2*1.25,270000000*(1.248411^(MIN($E43,123)-118))),0))</f>
        <v>53813760000</v>
      </c>
      <c r="U43" s="4">
        <f t="shared" si="10"/>
        <v>135</v>
      </c>
      <c r="V43" s="8">
        <f t="shared" ref="V43:V53" si="41">IF($J43=0,0,ROUND(MAX($J43*1.4*1.5*1.6*1.6*2.2*2.715*1.25,2400000000*(1.293039^(MIN($E43,123)-118))),0))</f>
        <v>146104358400</v>
      </c>
      <c r="W43" s="6">
        <f t="shared" si="12"/>
        <v>139</v>
      </c>
      <c r="X43" s="7">
        <f t="shared" ref="X43:X53" si="42">IF($J43=0,0,ROUND(MAX($J43*1.4*1.5*1.6*1.6*2.2*2.715*2.6*1.25,20000000000*(1.280114^(MIN($E43,123)-118))),0))</f>
        <v>379871331840</v>
      </c>
      <c r="Y43" s="4">
        <f t="shared" si="14"/>
        <v>141</v>
      </c>
      <c r="Z43" s="8">
        <f t="shared" ref="Z43:Z53" si="43">IF($J43=0,0,ROUND(MAX($J43*1.4*1.5*1.6*1.6*2.2*2.715*2.6*1.4*1.25,39200000000*(1.31219^(MIN($E43,123)-118))),0))</f>
        <v>531819864576</v>
      </c>
      <c r="AA43" s="6">
        <f t="shared" si="16"/>
        <v>143</v>
      </c>
      <c r="AB43" s="7">
        <f t="shared" ref="AB43:AB53" si="44">IF($J43=0,0,ROUND(MAX($J43*1.4*1.5*1.6*1.6*2.2*2.715*2.6*1.4*1.4*1.25,54900000000*(1.312402^(MIN($E43,123)-118))),0))</f>
        <v>744547810406</v>
      </c>
      <c r="AC43" s="4">
        <f t="shared" si="18"/>
        <v>145</v>
      </c>
      <c r="AD43" s="8">
        <f t="shared" ref="AD43:AD53" si="45">IF($J43=0,0,ROUND(MAX($J43*1.4*1.5*1.6*1.6*2.2*2.715*2.6*1.4*1.4*1.5*1.25,82400000000*(1.312754^(MIN($E43,123)-118))),0))</f>
        <v>1116821715610</v>
      </c>
      <c r="AE43" s="6">
        <f t="shared" si="20"/>
        <v>148</v>
      </c>
      <c r="AF43" s="7">
        <f t="shared" ref="AF43:AF53" si="46">IF($J43=0,0,ROUND(MAX($J43*1.4*1.5*1.6*1.6*2.2*2.715*2.6*1.4*1.4*1.5*1.5*1.25,124000000000*(1.312246^(MIN($E43,123)-118))),0))</f>
        <v>1675232573414</v>
      </c>
      <c r="AG43" s="4">
        <f t="shared" si="22"/>
        <v>151</v>
      </c>
      <c r="AH43" s="8">
        <f t="shared" ref="AH43:AH53" si="47">IF($J43=0,0,ROUND(MAX($J43*1.4*1.5*1.6*1.6*2.2*2.715*2.6*1.4*1.4*1.5*1.5*3.2*1.25,397000000000*(1.313132^(MIN($E43,123)-118))),0))</f>
        <v>5360744234926</v>
      </c>
    </row>
    <row r="44" spans="1:34" x14ac:dyDescent="0.25">
      <c r="A44" s="3">
        <v>73</v>
      </c>
      <c r="B44" s="3" t="s">
        <v>110</v>
      </c>
      <c r="C44" s="3" t="s">
        <v>24</v>
      </c>
      <c r="D44" s="3" t="s">
        <v>64</v>
      </c>
      <c r="E44" s="3">
        <v>124</v>
      </c>
      <c r="F44" s="3" t="s">
        <v>59</v>
      </c>
      <c r="G44" s="3" t="s">
        <v>38</v>
      </c>
      <c r="H44" s="3">
        <v>32</v>
      </c>
      <c r="I44" s="4">
        <v>124</v>
      </c>
      <c r="J44" s="5">
        <v>4080000000</v>
      </c>
      <c r="K44" s="6">
        <f t="shared" si="0"/>
        <v>125</v>
      </c>
      <c r="L44" s="7">
        <f t="shared" si="36"/>
        <v>5712000000</v>
      </c>
      <c r="M44" s="4">
        <f t="shared" si="2"/>
        <v>126</v>
      </c>
      <c r="N44" s="8">
        <f t="shared" si="37"/>
        <v>8568000000</v>
      </c>
      <c r="O44" s="6">
        <f t="shared" si="4"/>
        <v>128</v>
      </c>
      <c r="P44" s="7">
        <f t="shared" si="38"/>
        <v>13708800000</v>
      </c>
      <c r="Q44" s="4">
        <f t="shared" si="6"/>
        <v>130</v>
      </c>
      <c r="R44" s="8">
        <f t="shared" si="39"/>
        <v>27417600000</v>
      </c>
      <c r="S44" s="6">
        <f t="shared" si="8"/>
        <v>132</v>
      </c>
      <c r="T44" s="7">
        <f t="shared" si="40"/>
        <v>60318720000</v>
      </c>
      <c r="U44" s="4">
        <f t="shared" si="10"/>
        <v>135</v>
      </c>
      <c r="V44" s="8">
        <f t="shared" si="41"/>
        <v>163765324800</v>
      </c>
      <c r="W44" s="6">
        <f t="shared" si="12"/>
        <v>139</v>
      </c>
      <c r="X44" s="7">
        <f t="shared" si="42"/>
        <v>425789844480</v>
      </c>
      <c r="Y44" s="4">
        <f t="shared" si="14"/>
        <v>141</v>
      </c>
      <c r="Z44" s="8">
        <f t="shared" si="43"/>
        <v>596105782272</v>
      </c>
      <c r="AA44" s="6">
        <f t="shared" si="16"/>
        <v>143</v>
      </c>
      <c r="AB44" s="7">
        <f t="shared" si="44"/>
        <v>834548095181</v>
      </c>
      <c r="AC44" s="4">
        <f t="shared" si="18"/>
        <v>145</v>
      </c>
      <c r="AD44" s="8">
        <f t="shared" si="45"/>
        <v>1251822142771</v>
      </c>
      <c r="AE44" s="6">
        <f t="shared" si="20"/>
        <v>148</v>
      </c>
      <c r="AF44" s="7">
        <f t="shared" si="46"/>
        <v>1877733214157</v>
      </c>
      <c r="AG44" s="4">
        <f t="shared" si="22"/>
        <v>151</v>
      </c>
      <c r="AH44" s="8">
        <f t="shared" si="47"/>
        <v>6008746285302</v>
      </c>
    </row>
    <row r="45" spans="1:34" x14ac:dyDescent="0.25">
      <c r="A45" s="3">
        <v>80</v>
      </c>
      <c r="B45" s="3" t="s">
        <v>111</v>
      </c>
      <c r="C45" s="3" t="s">
        <v>24</v>
      </c>
      <c r="D45" s="3" t="s">
        <v>47</v>
      </c>
      <c r="E45" s="3">
        <v>124</v>
      </c>
      <c r="F45" s="3" t="s">
        <v>34</v>
      </c>
      <c r="G45" s="3" t="s">
        <v>35</v>
      </c>
      <c r="H45" s="3">
        <v>28</v>
      </c>
      <c r="I45" s="4">
        <v>124</v>
      </c>
      <c r="J45" s="5">
        <v>291400000</v>
      </c>
      <c r="K45" s="6">
        <f t="shared" si="0"/>
        <v>125</v>
      </c>
      <c r="L45" s="7">
        <f t="shared" si="36"/>
        <v>407960000</v>
      </c>
      <c r="M45" s="4">
        <f t="shared" si="2"/>
        <v>126</v>
      </c>
      <c r="N45" s="8">
        <f t="shared" si="37"/>
        <v>611940000</v>
      </c>
      <c r="O45" s="6">
        <f t="shared" si="4"/>
        <v>128</v>
      </c>
      <c r="P45" s="7">
        <f t="shared" si="38"/>
        <v>979104000</v>
      </c>
      <c r="Q45" s="4">
        <f t="shared" si="6"/>
        <v>130</v>
      </c>
      <c r="R45" s="8">
        <f t="shared" si="39"/>
        <v>1958208000</v>
      </c>
      <c r="S45" s="6">
        <f t="shared" si="8"/>
        <v>132</v>
      </c>
      <c r="T45" s="7">
        <f t="shared" si="40"/>
        <v>4308057600</v>
      </c>
      <c r="U45" s="4">
        <f t="shared" si="10"/>
        <v>135</v>
      </c>
      <c r="V45" s="8">
        <f t="shared" si="41"/>
        <v>11696376384</v>
      </c>
      <c r="W45" s="6">
        <f t="shared" si="12"/>
        <v>139</v>
      </c>
      <c r="X45" s="7">
        <f t="shared" si="42"/>
        <v>68750083829</v>
      </c>
      <c r="Y45" s="4">
        <f t="shared" si="14"/>
        <v>141</v>
      </c>
      <c r="Z45" s="8">
        <f t="shared" si="43"/>
        <v>152499944536</v>
      </c>
      <c r="AA45" s="6">
        <f t="shared" si="16"/>
        <v>143</v>
      </c>
      <c r="AB45" s="7">
        <f t="shared" si="44"/>
        <v>213750314393</v>
      </c>
      <c r="AC45" s="4">
        <f t="shared" si="18"/>
        <v>145</v>
      </c>
      <c r="AD45" s="8">
        <f t="shared" si="45"/>
        <v>321250611518</v>
      </c>
      <c r="AE45" s="6">
        <f t="shared" si="20"/>
        <v>148</v>
      </c>
      <c r="AF45" s="7">
        <f t="shared" si="46"/>
        <v>482500728361</v>
      </c>
      <c r="AG45" s="4">
        <f t="shared" si="22"/>
        <v>151</v>
      </c>
      <c r="AH45" s="8">
        <f t="shared" si="47"/>
        <v>1550002616035</v>
      </c>
    </row>
    <row r="46" spans="1:34" x14ac:dyDescent="0.25">
      <c r="A46" s="3">
        <v>71</v>
      </c>
      <c r="B46" s="3" t="s">
        <v>112</v>
      </c>
      <c r="C46" s="3" t="s">
        <v>24</v>
      </c>
      <c r="D46" s="3" t="s">
        <v>40</v>
      </c>
      <c r="E46" s="3">
        <v>124</v>
      </c>
      <c r="F46" s="3" t="s">
        <v>42</v>
      </c>
      <c r="G46" s="3" t="s">
        <v>57</v>
      </c>
      <c r="H46" s="3">
        <v>32</v>
      </c>
      <c r="I46" s="4">
        <v>124</v>
      </c>
      <c r="J46" s="5">
        <v>856000000</v>
      </c>
      <c r="K46" s="6">
        <f t="shared" si="0"/>
        <v>125</v>
      </c>
      <c r="L46" s="7">
        <f t="shared" si="36"/>
        <v>1198400000</v>
      </c>
      <c r="M46" s="4">
        <f t="shared" si="2"/>
        <v>126</v>
      </c>
      <c r="N46" s="8">
        <f t="shared" si="37"/>
        <v>1797600000</v>
      </c>
      <c r="O46" s="6">
        <f t="shared" si="4"/>
        <v>128</v>
      </c>
      <c r="P46" s="7">
        <f t="shared" si="38"/>
        <v>2876160000</v>
      </c>
      <c r="Q46" s="4">
        <f t="shared" si="6"/>
        <v>130</v>
      </c>
      <c r="R46" s="8">
        <f t="shared" si="39"/>
        <v>5752320000</v>
      </c>
      <c r="S46" s="6">
        <f t="shared" si="8"/>
        <v>132</v>
      </c>
      <c r="T46" s="7">
        <f t="shared" si="40"/>
        <v>12655104000</v>
      </c>
      <c r="U46" s="4">
        <f t="shared" si="10"/>
        <v>135</v>
      </c>
      <c r="V46" s="8">
        <f t="shared" si="41"/>
        <v>34358607360</v>
      </c>
      <c r="W46" s="6">
        <f t="shared" si="12"/>
        <v>139</v>
      </c>
      <c r="X46" s="7">
        <f t="shared" si="42"/>
        <v>89332379136</v>
      </c>
      <c r="Y46" s="4">
        <f t="shared" si="14"/>
        <v>141</v>
      </c>
      <c r="Z46" s="8">
        <f t="shared" si="43"/>
        <v>152499944536</v>
      </c>
      <c r="AA46" s="6">
        <f t="shared" si="16"/>
        <v>143</v>
      </c>
      <c r="AB46" s="7">
        <f t="shared" si="44"/>
        <v>213750314393</v>
      </c>
      <c r="AC46" s="4">
        <f t="shared" si="18"/>
        <v>145</v>
      </c>
      <c r="AD46" s="8">
        <f t="shared" si="45"/>
        <v>321250611518</v>
      </c>
      <c r="AE46" s="6">
        <f t="shared" si="20"/>
        <v>148</v>
      </c>
      <c r="AF46" s="7">
        <f t="shared" si="46"/>
        <v>482500728361</v>
      </c>
      <c r="AG46" s="4">
        <f t="shared" si="22"/>
        <v>151</v>
      </c>
      <c r="AH46" s="8">
        <f t="shared" si="47"/>
        <v>1550002616035</v>
      </c>
    </row>
    <row r="47" spans="1:34" x14ac:dyDescent="0.25">
      <c r="A47" s="3">
        <v>74</v>
      </c>
      <c r="B47" s="3" t="s">
        <v>113</v>
      </c>
      <c r="C47" s="3" t="s">
        <v>24</v>
      </c>
      <c r="D47" s="3" t="s">
        <v>25</v>
      </c>
      <c r="E47" s="3">
        <v>124</v>
      </c>
      <c r="F47" s="3" t="s">
        <v>30</v>
      </c>
      <c r="G47" s="3" t="s">
        <v>72</v>
      </c>
      <c r="H47" s="3">
        <v>32</v>
      </c>
      <c r="I47" s="4">
        <v>124</v>
      </c>
      <c r="J47" s="5">
        <v>582000000</v>
      </c>
      <c r="K47" s="6">
        <f t="shared" si="0"/>
        <v>125</v>
      </c>
      <c r="L47" s="7">
        <f t="shared" si="36"/>
        <v>814800000</v>
      </c>
      <c r="M47" s="4">
        <f t="shared" si="2"/>
        <v>126</v>
      </c>
      <c r="N47" s="8">
        <f t="shared" si="37"/>
        <v>1222200000</v>
      </c>
      <c r="O47" s="6">
        <f t="shared" si="4"/>
        <v>128</v>
      </c>
      <c r="P47" s="7">
        <f t="shared" si="38"/>
        <v>1955520000</v>
      </c>
      <c r="Q47" s="4">
        <f t="shared" si="6"/>
        <v>130</v>
      </c>
      <c r="R47" s="8">
        <f t="shared" si="39"/>
        <v>3911040000</v>
      </c>
      <c r="S47" s="6">
        <f t="shared" si="8"/>
        <v>132</v>
      </c>
      <c r="T47" s="7">
        <f t="shared" si="40"/>
        <v>8604288000</v>
      </c>
      <c r="U47" s="4">
        <f t="shared" si="10"/>
        <v>135</v>
      </c>
      <c r="V47" s="8">
        <f t="shared" si="41"/>
        <v>23360641920</v>
      </c>
      <c r="W47" s="6">
        <f t="shared" si="12"/>
        <v>139</v>
      </c>
      <c r="X47" s="7">
        <f t="shared" si="42"/>
        <v>68750083829</v>
      </c>
      <c r="Y47" s="4">
        <f t="shared" si="14"/>
        <v>141</v>
      </c>
      <c r="Z47" s="8">
        <f t="shared" si="43"/>
        <v>152499944536</v>
      </c>
      <c r="AA47" s="6">
        <f t="shared" si="16"/>
        <v>143</v>
      </c>
      <c r="AB47" s="7">
        <f t="shared" si="44"/>
        <v>213750314393</v>
      </c>
      <c r="AC47" s="4">
        <f t="shared" si="18"/>
        <v>145</v>
      </c>
      <c r="AD47" s="8">
        <f t="shared" si="45"/>
        <v>321250611518</v>
      </c>
      <c r="AE47" s="6">
        <f t="shared" si="20"/>
        <v>148</v>
      </c>
      <c r="AF47" s="7">
        <f t="shared" si="46"/>
        <v>482500728361</v>
      </c>
      <c r="AG47" s="4">
        <f t="shared" si="22"/>
        <v>151</v>
      </c>
      <c r="AH47" s="8">
        <f t="shared" si="47"/>
        <v>1550002616035</v>
      </c>
    </row>
    <row r="48" spans="1:34" x14ac:dyDescent="0.25">
      <c r="A48" s="3">
        <v>45</v>
      </c>
      <c r="B48" s="3" t="s">
        <v>114</v>
      </c>
      <c r="C48" s="3" t="s">
        <v>24</v>
      </c>
      <c r="D48" s="3" t="s">
        <v>75</v>
      </c>
      <c r="E48" s="3">
        <v>124</v>
      </c>
      <c r="F48" s="3" t="s">
        <v>30</v>
      </c>
      <c r="G48" s="3" t="s">
        <v>38</v>
      </c>
      <c r="H48" s="3">
        <v>32</v>
      </c>
      <c r="I48" s="4">
        <v>124</v>
      </c>
      <c r="J48" s="5">
        <v>1063000000</v>
      </c>
      <c r="K48" s="6">
        <f t="shared" si="0"/>
        <v>125</v>
      </c>
      <c r="L48" s="7">
        <f t="shared" si="36"/>
        <v>1488200000</v>
      </c>
      <c r="M48" s="4">
        <f t="shared" si="2"/>
        <v>126</v>
      </c>
      <c r="N48" s="8">
        <f t="shared" si="37"/>
        <v>2232300000</v>
      </c>
      <c r="O48" s="6">
        <f t="shared" si="4"/>
        <v>128</v>
      </c>
      <c r="P48" s="7">
        <f t="shared" si="38"/>
        <v>3571680000</v>
      </c>
      <c r="Q48" s="4">
        <f t="shared" si="6"/>
        <v>130</v>
      </c>
      <c r="R48" s="8">
        <f t="shared" si="39"/>
        <v>7143360000</v>
      </c>
      <c r="S48" s="6">
        <f t="shared" si="8"/>
        <v>132</v>
      </c>
      <c r="T48" s="7">
        <f t="shared" si="40"/>
        <v>15715392000</v>
      </c>
      <c r="U48" s="4">
        <f t="shared" si="10"/>
        <v>135</v>
      </c>
      <c r="V48" s="8">
        <f t="shared" si="41"/>
        <v>42667289280</v>
      </c>
      <c r="W48" s="6">
        <f t="shared" si="12"/>
        <v>139</v>
      </c>
      <c r="X48" s="7">
        <f t="shared" si="42"/>
        <v>110934952128</v>
      </c>
      <c r="Y48" s="4">
        <f t="shared" si="14"/>
        <v>141</v>
      </c>
      <c r="Z48" s="8">
        <f t="shared" si="43"/>
        <v>155308932979</v>
      </c>
      <c r="AA48" s="6">
        <f t="shared" si="16"/>
        <v>143</v>
      </c>
      <c r="AB48" s="7">
        <f t="shared" si="44"/>
        <v>217432506171</v>
      </c>
      <c r="AC48" s="4">
        <f t="shared" si="18"/>
        <v>145</v>
      </c>
      <c r="AD48" s="8">
        <f t="shared" si="45"/>
        <v>326148759256</v>
      </c>
      <c r="AE48" s="6">
        <f t="shared" si="20"/>
        <v>148</v>
      </c>
      <c r="AF48" s="7">
        <f t="shared" si="46"/>
        <v>489223138884</v>
      </c>
      <c r="AG48" s="4">
        <f t="shared" si="22"/>
        <v>151</v>
      </c>
      <c r="AH48" s="8">
        <f t="shared" si="47"/>
        <v>1565514044430</v>
      </c>
    </row>
    <row r="49" spans="1:34" x14ac:dyDescent="0.25">
      <c r="A49" s="3">
        <v>72</v>
      </c>
      <c r="B49" s="3" t="s">
        <v>115</v>
      </c>
      <c r="C49" s="3" t="s">
        <v>24</v>
      </c>
      <c r="D49" s="3" t="s">
        <v>40</v>
      </c>
      <c r="E49" s="3">
        <v>124</v>
      </c>
      <c r="F49" s="3" t="s">
        <v>116</v>
      </c>
      <c r="G49" s="3" t="s">
        <v>72</v>
      </c>
      <c r="H49" s="3">
        <v>32</v>
      </c>
      <c r="I49" s="4">
        <v>124</v>
      </c>
      <c r="J49" s="5">
        <v>3250000000</v>
      </c>
      <c r="K49" s="6">
        <f t="shared" si="0"/>
        <v>125</v>
      </c>
      <c r="L49" s="7">
        <f t="shared" si="36"/>
        <v>4550000000</v>
      </c>
      <c r="M49" s="4">
        <f t="shared" si="2"/>
        <v>126</v>
      </c>
      <c r="N49" s="8">
        <f t="shared" si="37"/>
        <v>6825000000</v>
      </c>
      <c r="O49" s="6">
        <f t="shared" si="4"/>
        <v>128</v>
      </c>
      <c r="P49" s="7">
        <f t="shared" si="38"/>
        <v>10920000000</v>
      </c>
      <c r="Q49" s="4">
        <f t="shared" si="6"/>
        <v>130</v>
      </c>
      <c r="R49" s="8">
        <f t="shared" si="39"/>
        <v>21840000000</v>
      </c>
      <c r="S49" s="6">
        <f t="shared" si="8"/>
        <v>132</v>
      </c>
      <c r="T49" s="7">
        <f t="shared" si="40"/>
        <v>48048000000</v>
      </c>
      <c r="U49" s="4">
        <f t="shared" si="10"/>
        <v>135</v>
      </c>
      <c r="V49" s="8">
        <f t="shared" si="41"/>
        <v>130450320000</v>
      </c>
      <c r="W49" s="6">
        <f t="shared" si="12"/>
        <v>139</v>
      </c>
      <c r="X49" s="7">
        <f t="shared" si="42"/>
        <v>339170832000</v>
      </c>
      <c r="Y49" s="4">
        <f t="shared" si="14"/>
        <v>141</v>
      </c>
      <c r="Z49" s="8">
        <f t="shared" si="43"/>
        <v>474839164800</v>
      </c>
      <c r="AA49" s="6">
        <f t="shared" si="16"/>
        <v>143</v>
      </c>
      <c r="AB49" s="7">
        <f t="shared" si="44"/>
        <v>664774830720</v>
      </c>
      <c r="AC49" s="4">
        <f t="shared" si="18"/>
        <v>145</v>
      </c>
      <c r="AD49" s="8">
        <f t="shared" si="45"/>
        <v>997162246080</v>
      </c>
      <c r="AE49" s="6">
        <f t="shared" si="20"/>
        <v>148</v>
      </c>
      <c r="AF49" s="7">
        <f t="shared" si="46"/>
        <v>1495743369120</v>
      </c>
      <c r="AG49" s="4">
        <f t="shared" si="22"/>
        <v>151</v>
      </c>
      <c r="AH49" s="8">
        <f t="shared" si="47"/>
        <v>4786378781184</v>
      </c>
    </row>
    <row r="50" spans="1:34" x14ac:dyDescent="0.25">
      <c r="A50" s="3">
        <v>5</v>
      </c>
      <c r="B50" s="3" t="s">
        <v>117</v>
      </c>
      <c r="C50" s="3" t="s">
        <v>24</v>
      </c>
      <c r="D50" s="3" t="s">
        <v>40</v>
      </c>
      <c r="E50" s="3">
        <v>124</v>
      </c>
      <c r="F50" s="3" t="s">
        <v>54</v>
      </c>
      <c r="G50" s="3" t="s">
        <v>95</v>
      </c>
      <c r="H50" s="3">
        <v>32</v>
      </c>
      <c r="I50" s="4">
        <v>124</v>
      </c>
      <c r="J50" s="5">
        <v>3310000000</v>
      </c>
      <c r="K50" s="6">
        <f t="shared" si="0"/>
        <v>125</v>
      </c>
      <c r="L50" s="7">
        <f t="shared" si="36"/>
        <v>4634000000</v>
      </c>
      <c r="M50" s="4">
        <f t="shared" si="2"/>
        <v>126</v>
      </c>
      <c r="N50" s="8">
        <f t="shared" si="37"/>
        <v>6951000000</v>
      </c>
      <c r="O50" s="6">
        <f t="shared" si="4"/>
        <v>128</v>
      </c>
      <c r="P50" s="7">
        <f t="shared" si="38"/>
        <v>11121600000</v>
      </c>
      <c r="Q50" s="4">
        <f t="shared" si="6"/>
        <v>130</v>
      </c>
      <c r="R50" s="8">
        <f t="shared" si="39"/>
        <v>22243200000</v>
      </c>
      <c r="S50" s="6">
        <f t="shared" si="8"/>
        <v>132</v>
      </c>
      <c r="T50" s="7">
        <f t="shared" si="40"/>
        <v>48935040000</v>
      </c>
      <c r="U50" s="4">
        <f t="shared" si="10"/>
        <v>135</v>
      </c>
      <c r="V50" s="8">
        <f t="shared" si="41"/>
        <v>132858633600</v>
      </c>
      <c r="W50" s="6">
        <f t="shared" si="12"/>
        <v>139</v>
      </c>
      <c r="X50" s="7">
        <f t="shared" si="42"/>
        <v>345432447360</v>
      </c>
      <c r="Y50" s="4">
        <f t="shared" si="14"/>
        <v>141</v>
      </c>
      <c r="Z50" s="8">
        <f t="shared" si="43"/>
        <v>483605426304</v>
      </c>
      <c r="AA50" s="6">
        <f t="shared" si="16"/>
        <v>143</v>
      </c>
      <c r="AB50" s="7">
        <f t="shared" si="44"/>
        <v>677047596826</v>
      </c>
      <c r="AC50" s="4">
        <f t="shared" si="18"/>
        <v>145</v>
      </c>
      <c r="AD50" s="8">
        <f t="shared" si="45"/>
        <v>1015571395238</v>
      </c>
      <c r="AE50" s="6">
        <f t="shared" si="20"/>
        <v>148</v>
      </c>
      <c r="AF50" s="7">
        <f t="shared" si="46"/>
        <v>1523357092858</v>
      </c>
      <c r="AG50" s="4">
        <f t="shared" si="22"/>
        <v>151</v>
      </c>
      <c r="AH50" s="8">
        <f t="shared" si="47"/>
        <v>4874742697144</v>
      </c>
    </row>
    <row r="51" spans="1:34" x14ac:dyDescent="0.25">
      <c r="A51" s="3">
        <v>35</v>
      </c>
      <c r="B51" s="3" t="s">
        <v>118</v>
      </c>
      <c r="C51" s="3" t="s">
        <v>24</v>
      </c>
      <c r="D51" s="3" t="s">
        <v>40</v>
      </c>
      <c r="E51" s="3">
        <v>124</v>
      </c>
      <c r="F51" s="3" t="s">
        <v>56</v>
      </c>
      <c r="G51" s="3" t="s">
        <v>57</v>
      </c>
      <c r="H51" s="3">
        <v>32</v>
      </c>
      <c r="I51" s="4">
        <v>124</v>
      </c>
      <c r="J51" s="5">
        <v>5000000000</v>
      </c>
      <c r="K51" s="6">
        <f t="shared" si="0"/>
        <v>125</v>
      </c>
      <c r="L51" s="7">
        <f t="shared" si="36"/>
        <v>7000000000</v>
      </c>
      <c r="M51" s="4">
        <f t="shared" si="2"/>
        <v>126</v>
      </c>
      <c r="N51" s="8">
        <f t="shared" si="37"/>
        <v>10500000000</v>
      </c>
      <c r="O51" s="6">
        <f t="shared" si="4"/>
        <v>128</v>
      </c>
      <c r="P51" s="7">
        <f t="shared" si="38"/>
        <v>16800000000</v>
      </c>
      <c r="Q51" s="4">
        <f t="shared" si="6"/>
        <v>130</v>
      </c>
      <c r="R51" s="8">
        <f t="shared" si="39"/>
        <v>33600000000</v>
      </c>
      <c r="S51" s="6">
        <f t="shared" si="8"/>
        <v>132</v>
      </c>
      <c r="T51" s="7">
        <f t="shared" si="40"/>
        <v>73920000000</v>
      </c>
      <c r="U51" s="4">
        <f t="shared" si="10"/>
        <v>135</v>
      </c>
      <c r="V51" s="8">
        <f t="shared" si="41"/>
        <v>200692800000</v>
      </c>
      <c r="W51" s="6">
        <f t="shared" si="12"/>
        <v>139</v>
      </c>
      <c r="X51" s="7">
        <f t="shared" si="42"/>
        <v>521801280000</v>
      </c>
      <c r="Y51" s="4">
        <f t="shared" si="14"/>
        <v>141</v>
      </c>
      <c r="Z51" s="8">
        <f t="shared" si="43"/>
        <v>730521792000</v>
      </c>
      <c r="AA51" s="6">
        <f t="shared" si="16"/>
        <v>143</v>
      </c>
      <c r="AB51" s="7">
        <f t="shared" si="44"/>
        <v>1022730508800</v>
      </c>
      <c r="AC51" s="4">
        <f t="shared" si="18"/>
        <v>145</v>
      </c>
      <c r="AD51" s="8">
        <f t="shared" si="45"/>
        <v>1534095763200</v>
      </c>
      <c r="AE51" s="6">
        <f t="shared" si="20"/>
        <v>148</v>
      </c>
      <c r="AF51" s="7">
        <f t="shared" si="46"/>
        <v>2301143644800</v>
      </c>
      <c r="AG51" s="4">
        <f t="shared" si="22"/>
        <v>151</v>
      </c>
      <c r="AH51" s="8">
        <f t="shared" si="47"/>
        <v>7363659663360</v>
      </c>
    </row>
    <row r="52" spans="1:34" x14ac:dyDescent="0.25">
      <c r="A52" s="3">
        <v>65</v>
      </c>
      <c r="B52" s="3" t="s">
        <v>119</v>
      </c>
      <c r="C52" s="3" t="s">
        <v>24</v>
      </c>
      <c r="D52" s="3" t="s">
        <v>40</v>
      </c>
      <c r="E52" s="3">
        <v>124</v>
      </c>
      <c r="F52" s="3" t="s">
        <v>120</v>
      </c>
      <c r="G52" s="3" t="s">
        <v>51</v>
      </c>
      <c r="H52" s="3">
        <v>33</v>
      </c>
      <c r="I52" s="4">
        <v>124</v>
      </c>
      <c r="J52" s="5">
        <v>8100000000</v>
      </c>
      <c r="K52" s="6">
        <f t="shared" si="0"/>
        <v>125</v>
      </c>
      <c r="L52" s="7">
        <f t="shared" si="36"/>
        <v>11340000000</v>
      </c>
      <c r="M52" s="4">
        <f t="shared" si="2"/>
        <v>126</v>
      </c>
      <c r="N52" s="8">
        <f t="shared" si="37"/>
        <v>17010000000</v>
      </c>
      <c r="O52" s="6">
        <f t="shared" si="4"/>
        <v>128</v>
      </c>
      <c r="P52" s="7">
        <f t="shared" si="38"/>
        <v>27216000000</v>
      </c>
      <c r="Q52" s="4">
        <f t="shared" si="6"/>
        <v>130</v>
      </c>
      <c r="R52" s="8">
        <f t="shared" si="39"/>
        <v>54432000000</v>
      </c>
      <c r="S52" s="6">
        <f t="shared" si="8"/>
        <v>132</v>
      </c>
      <c r="T52" s="7">
        <f t="shared" si="40"/>
        <v>119750400000</v>
      </c>
      <c r="U52" s="4">
        <f t="shared" si="10"/>
        <v>135</v>
      </c>
      <c r="V52" s="8">
        <f t="shared" si="41"/>
        <v>325122336000</v>
      </c>
      <c r="W52" s="6">
        <f t="shared" si="12"/>
        <v>139</v>
      </c>
      <c r="X52" s="7">
        <f t="shared" si="42"/>
        <v>845318073600</v>
      </c>
      <c r="Y52" s="4">
        <f t="shared" si="14"/>
        <v>141</v>
      </c>
      <c r="Z52" s="8">
        <f t="shared" si="43"/>
        <v>1183445303040</v>
      </c>
      <c r="AA52" s="6">
        <f t="shared" si="16"/>
        <v>143</v>
      </c>
      <c r="AB52" s="7">
        <f t="shared" si="44"/>
        <v>1656823424256</v>
      </c>
      <c r="AC52" s="4">
        <f t="shared" si="18"/>
        <v>145</v>
      </c>
      <c r="AD52" s="8">
        <f t="shared" si="45"/>
        <v>2485235136384</v>
      </c>
      <c r="AE52" s="6">
        <f t="shared" si="20"/>
        <v>148</v>
      </c>
      <c r="AF52" s="7">
        <f t="shared" si="46"/>
        <v>3727852704576</v>
      </c>
      <c r="AG52" s="4">
        <f t="shared" si="22"/>
        <v>151</v>
      </c>
      <c r="AH52" s="8">
        <f t="shared" si="47"/>
        <v>11929128654643</v>
      </c>
    </row>
    <row r="53" spans="1:34" x14ac:dyDescent="0.25">
      <c r="A53" s="3">
        <v>90</v>
      </c>
      <c r="B53" s="3" t="s">
        <v>121</v>
      </c>
      <c r="C53" s="3" t="s">
        <v>24</v>
      </c>
      <c r="D53" s="3" t="s">
        <v>29</v>
      </c>
      <c r="E53" s="3">
        <v>123</v>
      </c>
      <c r="F53" s="3" t="s">
        <v>62</v>
      </c>
      <c r="G53" s="3" t="s">
        <v>67</v>
      </c>
      <c r="H53" s="3">
        <v>32</v>
      </c>
      <c r="I53" s="4">
        <v>123</v>
      </c>
      <c r="J53" s="5">
        <v>1160000000</v>
      </c>
      <c r="K53" s="6">
        <f t="shared" si="0"/>
        <v>124</v>
      </c>
      <c r="L53" s="7">
        <f t="shared" si="36"/>
        <v>1624000000</v>
      </c>
      <c r="M53" s="4">
        <f t="shared" si="2"/>
        <v>125</v>
      </c>
      <c r="N53" s="8">
        <f t="shared" si="37"/>
        <v>2436000000</v>
      </c>
      <c r="O53" s="6">
        <f t="shared" si="4"/>
        <v>127</v>
      </c>
      <c r="P53" s="7">
        <f t="shared" si="38"/>
        <v>3897600000</v>
      </c>
      <c r="Q53" s="4">
        <f t="shared" si="6"/>
        <v>129</v>
      </c>
      <c r="R53" s="8">
        <f t="shared" si="39"/>
        <v>7795200000</v>
      </c>
      <c r="S53" s="6">
        <f t="shared" si="8"/>
        <v>131</v>
      </c>
      <c r="T53" s="7">
        <f t="shared" si="40"/>
        <v>17149440000</v>
      </c>
      <c r="U53" s="4">
        <f t="shared" si="10"/>
        <v>134</v>
      </c>
      <c r="V53" s="8">
        <f t="shared" si="41"/>
        <v>46560729600</v>
      </c>
      <c r="W53" s="6">
        <f t="shared" si="12"/>
        <v>138</v>
      </c>
      <c r="X53" s="7">
        <f t="shared" si="42"/>
        <v>121057896960</v>
      </c>
      <c r="Y53" s="4">
        <f t="shared" si="14"/>
        <v>140</v>
      </c>
      <c r="Z53" s="8">
        <f t="shared" si="43"/>
        <v>169481055744</v>
      </c>
      <c r="AA53" s="6">
        <f t="shared" si="16"/>
        <v>142</v>
      </c>
      <c r="AB53" s="7">
        <f t="shared" si="44"/>
        <v>237273478042</v>
      </c>
      <c r="AC53" s="4">
        <f t="shared" si="18"/>
        <v>144</v>
      </c>
      <c r="AD53" s="8">
        <f t="shared" si="45"/>
        <v>355910217062</v>
      </c>
      <c r="AE53" s="6">
        <f t="shared" si="20"/>
        <v>147</v>
      </c>
      <c r="AF53" s="7">
        <f t="shared" si="46"/>
        <v>533865325594</v>
      </c>
      <c r="AG53" s="4">
        <f t="shared" si="22"/>
        <v>150</v>
      </c>
      <c r="AH53" s="8">
        <f t="shared" si="47"/>
        <v>1708369041900</v>
      </c>
    </row>
    <row r="54" spans="1:34" x14ac:dyDescent="0.25">
      <c r="A54" s="3">
        <v>83</v>
      </c>
      <c r="B54" s="3" t="s">
        <v>122</v>
      </c>
      <c r="C54" s="3" t="s">
        <v>24</v>
      </c>
      <c r="D54" s="3" t="s">
        <v>40</v>
      </c>
      <c r="E54" s="3">
        <v>123</v>
      </c>
      <c r="F54" s="3" t="s">
        <v>123</v>
      </c>
      <c r="G54" s="3" t="s">
        <v>124</v>
      </c>
      <c r="H54" s="3">
        <v>32</v>
      </c>
      <c r="I54" s="4">
        <v>123</v>
      </c>
      <c r="J54" s="5">
        <v>1859000000</v>
      </c>
      <c r="K54" s="6">
        <f t="shared" si="0"/>
        <v>124</v>
      </c>
      <c r="L54" s="7">
        <f>IF($J54=0,0,ROUND(MAX($J54*1.4,1620000*(1.497923^(MIN($E54,123)-117)))*1,0))</f>
        <v>2602600000</v>
      </c>
      <c r="M54" s="4">
        <f t="shared" si="2"/>
        <v>125</v>
      </c>
      <c r="N54" s="8">
        <f>IF($J54=0,0,ROUND(MAX($J54*1.4*1.5,2190000*(1.580994^(MIN($E54,123)-117)))*1,0))</f>
        <v>3903900000</v>
      </c>
      <c r="O54" s="6">
        <f t="shared" si="4"/>
        <v>127</v>
      </c>
      <c r="P54" s="7">
        <f>IF($J54=0,0,ROUND(MAX($J54*1.4*1.5*1.6,3500000*(1.57975^(MIN($E54,123)-117)))*1,0))</f>
        <v>6246240000</v>
      </c>
      <c r="Q54" s="4">
        <f t="shared" si="6"/>
        <v>129</v>
      </c>
      <c r="R54" s="8">
        <f>IF($J54=0,0,ROUND(MAX($J54*1.4*1.5*1.6*1.6,13100000*(1.429962^(MIN($E54,123)-117)))*1,0))</f>
        <v>9993984000</v>
      </c>
      <c r="S54" s="6">
        <f t="shared" si="8"/>
        <v>131</v>
      </c>
      <c r="T54" s="7">
        <f>IF($J54=0,0,ROUND(MAX($J54*1.4*1.5*1.6*1.6*2.2,42600000*(1.576904^(MIN($E54,123)-117)))*1,0))</f>
        <v>21986764800</v>
      </c>
      <c r="U54" s="4">
        <f t="shared" si="10"/>
        <v>134</v>
      </c>
      <c r="V54" s="8">
        <f>IF($J54=0,0,ROUND(MAX($J54*1.4*1.5*1.6*1.6*2.2*2.715,354000000*(1.642074^(MIN($E54,123)-117)))*1,0))</f>
        <v>59694066432</v>
      </c>
      <c r="W54" s="6">
        <f t="shared" si="12"/>
        <v>138</v>
      </c>
      <c r="X54" s="7">
        <f>IF($J54=0,0,ROUND(MAX($J54*1.4*1.5*1.6*1.6*2.2*2.715*2.6,3540000000*(1.579646^(MIN($E54,123)-117)))*1,0))</f>
        <v>155204572723</v>
      </c>
      <c r="Y54" s="4">
        <f t="shared" si="14"/>
        <v>140</v>
      </c>
      <c r="Z54" s="8">
        <f>IF($J54=0,0,ROUND(MAX($J54*1.4*1.5*1.6*1.6*2.2*2.715*2.6*1.4,6020000000*(1.651178^(MIN($E54,123)-117)))*1,0))</f>
        <v>217286401812</v>
      </c>
      <c r="AA54" s="6">
        <f t="shared" si="16"/>
        <v>142</v>
      </c>
      <c r="AB54" s="7">
        <f>IF($J54=0,0,ROUND(MAX($J54*1.4*1.5*1.6*1.6*2.2*2.715*2.6*1.4*1.4,8430000000*(1.651435^(MIN($E54,123)-117)))*1,0))</f>
        <v>304200962537</v>
      </c>
      <c r="AC54" s="4">
        <f t="shared" si="18"/>
        <v>144</v>
      </c>
      <c r="AD54" s="8">
        <f>IF($J54=0,0,ROUND(MAX($J54*1.4*1.5*1.6*1.6*2.2*2.715*2.6*1.4*1.4*1.5,12600000000*(1.652953^(MIN($E54,123)-117)))*1,0))</f>
        <v>456301443806</v>
      </c>
      <c r="AE54" s="6">
        <f t="shared" si="20"/>
        <v>147</v>
      </c>
      <c r="AF54" s="7">
        <f>IF($J54=0,0,ROUND(MAX($J54*1.4*1.5*1.6*1.6*2.2*2.715*2.6*1.4*1.4*1.5*1.5,18900000000*(1.65331^(MIN($E54,123)-117)))*1,0))</f>
        <v>684452165709</v>
      </c>
      <c r="AG54" s="4">
        <f t="shared" si="22"/>
        <v>150</v>
      </c>
      <c r="AH54" s="8">
        <f>IF($J54=0,0,ROUND(MAX($J54*1.4*1.5*1.6*1.6*2.2*2.715*2.6*1.4*1.4*1.5*1.5*3.2,60500000000*(1.654288^(MIN($E54,123)-117)))*1,0))</f>
        <v>2190246930270</v>
      </c>
    </row>
    <row r="55" spans="1:34" x14ac:dyDescent="0.25">
      <c r="A55" s="3">
        <v>92</v>
      </c>
      <c r="B55" s="3" t="s">
        <v>125</v>
      </c>
      <c r="C55" s="3" t="s">
        <v>24</v>
      </c>
      <c r="D55" s="3" t="s">
        <v>33</v>
      </c>
      <c r="E55" s="3">
        <v>123</v>
      </c>
      <c r="F55" s="3" t="s">
        <v>56</v>
      </c>
      <c r="G55" s="3" t="s">
        <v>126</v>
      </c>
      <c r="H55" s="3">
        <v>31</v>
      </c>
      <c r="I55" s="4">
        <v>123</v>
      </c>
      <c r="J55" s="5">
        <v>168000000</v>
      </c>
      <c r="K55" s="6">
        <f t="shared" si="0"/>
        <v>124</v>
      </c>
      <c r="L55" s="7">
        <f>IF($J55=0,0,ROUND(MAX($J55*1.4*1,4020000*(1.354082^(MIN($E55,123)-118))),0))</f>
        <v>235200000</v>
      </c>
      <c r="M55" s="4">
        <f t="shared" si="2"/>
        <v>125</v>
      </c>
      <c r="N55" s="8">
        <f>IF($J55=0,0,ROUND(MAX($J55*1.4*1.5*1,6950000*(1.375334^(MIN($E55,123)-118))),0))</f>
        <v>352800000</v>
      </c>
      <c r="O55" s="6">
        <f t="shared" si="4"/>
        <v>127</v>
      </c>
      <c r="P55" s="7">
        <f>IF($J55=0,0,ROUND(MAX($J55*1.4*1.5*1.6*1,23900000*(1.1788^(MIN($E55,123)-118))),0))</f>
        <v>564480000</v>
      </c>
      <c r="Q55" s="4">
        <f t="shared" si="6"/>
        <v>129</v>
      </c>
      <c r="R55" s="8">
        <f>IF($J55=0,0,ROUND(MAX($J55*1.4*1.5*1.6*1.6*1.25,77000000*(1.127009^(MIN($E55,123)-118))),0))</f>
        <v>1128960000</v>
      </c>
      <c r="S55" s="6">
        <f t="shared" si="8"/>
        <v>131</v>
      </c>
      <c r="T55" s="7">
        <f>IF($J55=0,0,ROUND(MAX($J55*1.4*1.5*1.6*1.6*2.2*1.25,270000000*(1.248411^(MIN($E55,123)-118))),0))</f>
        <v>2483712000</v>
      </c>
      <c r="U55" s="4">
        <f t="shared" si="10"/>
        <v>134</v>
      </c>
      <c r="V55" s="8">
        <f>IF($J55=0,0,ROUND(MAX($J55*1.4*1.5*1.6*1.6*2.2*2.715*1.25,2400000000*(1.293039^(MIN($E55,123)-118))),0))</f>
        <v>8674997573</v>
      </c>
      <c r="W55" s="6">
        <f t="shared" si="12"/>
        <v>138</v>
      </c>
      <c r="X55" s="7">
        <f>IF($J55=0,0,ROUND(MAX($J55*1.4*1.5*1.6*1.6*2.2*2.715*2.6*1.25,20000000000*(1.280114^(MIN($E55,123)-118))),0))</f>
        <v>68750083829</v>
      </c>
      <c r="Y55" s="4">
        <f t="shared" si="14"/>
        <v>140</v>
      </c>
      <c r="Z55" s="8">
        <f>IF($J55=0,0,ROUND(MAX($J55*1.4*1.5*1.6*1.6*2.2*2.715*2.6*1.4*1.25,39200000000*(1.31219^(MIN($E55,123)-118))),0))</f>
        <v>152499944536</v>
      </c>
      <c r="AA55" s="6">
        <f t="shared" si="16"/>
        <v>142</v>
      </c>
      <c r="AB55" s="7">
        <f>IF($J55=0,0,ROUND(MAX($J55*1.4*1.5*1.6*1.6*2.2*2.715*2.6*1.4*1.4*1.25,54900000000*(1.312402^(MIN($E55,123)-118))),0))</f>
        <v>213750314393</v>
      </c>
      <c r="AC55" s="4">
        <f t="shared" si="18"/>
        <v>144</v>
      </c>
      <c r="AD55" s="8">
        <f>IF($J55=0,0,ROUND(MAX($J55*1.4*1.5*1.6*1.6*2.2*2.715*2.6*1.4*1.4*1.5*1.25,82400000000*(1.312754^(MIN($E55,123)-118))),0))</f>
        <v>321250611518</v>
      </c>
      <c r="AE55" s="6">
        <f t="shared" si="20"/>
        <v>147</v>
      </c>
      <c r="AF55" s="7">
        <f>IF($J55=0,0,ROUND(MAX($J55*1.4*1.5*1.6*1.6*2.2*2.715*2.6*1.4*1.4*1.5*1.5*1.25,124000000000*(1.312246^(MIN($E55,123)-118))),0))</f>
        <v>482500728361</v>
      </c>
      <c r="AG55" s="4">
        <f t="shared" si="22"/>
        <v>150</v>
      </c>
      <c r="AH55" s="8">
        <f>IF($J55=0,0,ROUND(MAX($J55*1.4*1.5*1.6*1.6*2.2*2.715*2.6*1.4*1.4*1.5*1.5*3.2*1.25,397000000000*(1.313132^(MIN($E55,123)-118))),0))</f>
        <v>1550002616035</v>
      </c>
    </row>
    <row r="56" spans="1:34" x14ac:dyDescent="0.25">
      <c r="A56" s="3">
        <v>98</v>
      </c>
      <c r="B56" s="3" t="s">
        <v>127</v>
      </c>
      <c r="C56" s="3" t="s">
        <v>24</v>
      </c>
      <c r="D56" s="3" t="s">
        <v>33</v>
      </c>
      <c r="E56" s="3">
        <v>123</v>
      </c>
      <c r="F56" s="3" t="s">
        <v>71</v>
      </c>
      <c r="G56" s="3" t="s">
        <v>72</v>
      </c>
      <c r="H56" s="3">
        <v>31</v>
      </c>
      <c r="I56" s="4">
        <v>123</v>
      </c>
      <c r="J56" s="5">
        <v>385000000</v>
      </c>
      <c r="K56" s="6">
        <f t="shared" si="0"/>
        <v>124</v>
      </c>
      <c r="L56" s="7">
        <f>IF($J56=0,0,ROUND(MAX($J56*1.4*1,4020000*(1.354082^(MIN($E56,123)-118))),0))</f>
        <v>539000000</v>
      </c>
      <c r="M56" s="4">
        <f t="shared" si="2"/>
        <v>125</v>
      </c>
      <c r="N56" s="8">
        <f>IF($J56=0,0,ROUND(MAX($J56*1.4*1.5*1,6950000*(1.375334^(MIN($E56,123)-118))),0))</f>
        <v>808500000</v>
      </c>
      <c r="O56" s="6">
        <f t="shared" si="4"/>
        <v>127</v>
      </c>
      <c r="P56" s="7">
        <f>IF($J56=0,0,ROUND(MAX($J56*1.4*1.5*1.6*1,23900000*(1.1788^(MIN($E56,123)-118))),0))</f>
        <v>1293600000</v>
      </c>
      <c r="Q56" s="4">
        <f t="shared" si="6"/>
        <v>129</v>
      </c>
      <c r="R56" s="8">
        <f>IF($J56=0,0,ROUND(MAX($J56*1.4*1.5*1.6*1.6*1.25,77000000*(1.127009^(MIN($E56,123)-118))),0))</f>
        <v>2587200000</v>
      </c>
      <c r="S56" s="6">
        <f t="shared" si="8"/>
        <v>131</v>
      </c>
      <c r="T56" s="7">
        <f>IF($J56=0,0,ROUND(MAX($J56*1.4*1.5*1.6*1.6*2.2*1.25,270000000*(1.248411^(MIN($E56,123)-118))),0))</f>
        <v>5691840000</v>
      </c>
      <c r="U56" s="4">
        <f t="shared" si="10"/>
        <v>134</v>
      </c>
      <c r="V56" s="8">
        <f>IF($J56=0,0,ROUND(MAX($J56*1.4*1.5*1.6*1.6*2.2*2.715*1.25,2400000000*(1.293039^(MIN($E56,123)-118))),0))</f>
        <v>15453345600</v>
      </c>
      <c r="W56" s="6">
        <f t="shared" si="12"/>
        <v>138</v>
      </c>
      <c r="X56" s="7">
        <f>IF($J56=0,0,ROUND(MAX($J56*1.4*1.5*1.6*1.6*2.2*2.715*2.6*1.25,20000000000*(1.280114^(MIN($E56,123)-118))),0))</f>
        <v>68750083829</v>
      </c>
      <c r="Y56" s="4">
        <f t="shared" si="14"/>
        <v>140</v>
      </c>
      <c r="Z56" s="8">
        <f>IF($J56=0,0,ROUND(MAX($J56*1.4*1.5*1.6*1.6*2.2*2.715*2.6*1.4*1.25,39200000000*(1.31219^(MIN($E56,123)-118))),0))</f>
        <v>152499944536</v>
      </c>
      <c r="AA56" s="6">
        <f t="shared" si="16"/>
        <v>142</v>
      </c>
      <c r="AB56" s="7">
        <f>IF($J56=0,0,ROUND(MAX($J56*1.4*1.5*1.6*1.6*2.2*2.715*2.6*1.4*1.4*1.25,54900000000*(1.312402^(MIN($E56,123)-118))),0))</f>
        <v>213750314393</v>
      </c>
      <c r="AC56" s="4">
        <f t="shared" si="18"/>
        <v>144</v>
      </c>
      <c r="AD56" s="8">
        <f>IF($J56=0,0,ROUND(MAX($J56*1.4*1.5*1.6*1.6*2.2*2.715*2.6*1.4*1.4*1.5*1.25,82400000000*(1.312754^(MIN($E56,123)-118))),0))</f>
        <v>321250611518</v>
      </c>
      <c r="AE56" s="6">
        <f t="shared" si="20"/>
        <v>147</v>
      </c>
      <c r="AF56" s="7">
        <f>IF($J56=0,0,ROUND(MAX($J56*1.4*1.5*1.6*1.6*2.2*2.715*2.6*1.4*1.4*1.5*1.5*1.25,124000000000*(1.312246^(MIN($E56,123)-118))),0))</f>
        <v>482500728361</v>
      </c>
      <c r="AG56" s="4">
        <f t="shared" si="22"/>
        <v>150</v>
      </c>
      <c r="AH56" s="8">
        <f>IF($J56=0,0,ROUND(MAX($J56*1.4*1.5*1.6*1.6*2.2*2.715*2.6*1.4*1.4*1.5*1.5*3.2*1.25,397000000000*(1.313132^(MIN($E56,123)-118))),0))</f>
        <v>1550002616035</v>
      </c>
    </row>
    <row r="57" spans="1:34" x14ac:dyDescent="0.25">
      <c r="A57" s="3">
        <v>94</v>
      </c>
      <c r="B57" s="3" t="s">
        <v>128</v>
      </c>
      <c r="C57" s="3" t="s">
        <v>24</v>
      </c>
      <c r="D57" s="3" t="s">
        <v>90</v>
      </c>
      <c r="E57" s="3">
        <v>123</v>
      </c>
      <c r="F57" s="3" t="s">
        <v>30</v>
      </c>
      <c r="G57" s="3" t="s">
        <v>31</v>
      </c>
      <c r="H57" s="3">
        <v>31</v>
      </c>
      <c r="I57" s="4">
        <v>123</v>
      </c>
      <c r="J57" s="5">
        <v>180000000</v>
      </c>
      <c r="K57" s="6">
        <f t="shared" si="0"/>
        <v>124</v>
      </c>
      <c r="L57" s="7">
        <f>IF($J57=0,0,ROUND(MAX($J57*1.4,1620000*(1.497923^(MIN($E57,123)-117)))*1,0))</f>
        <v>252000000</v>
      </c>
      <c r="M57" s="4">
        <f t="shared" si="2"/>
        <v>125</v>
      </c>
      <c r="N57" s="8">
        <f>IF($J57=0,0,ROUND(MAX($J57*1.4*1.5,2190000*(1.580994^(MIN($E57,123)-117)))*1,0))</f>
        <v>378000000</v>
      </c>
      <c r="O57" s="6">
        <f t="shared" si="4"/>
        <v>127</v>
      </c>
      <c r="P57" s="7">
        <f>IF($J57=0,0,ROUND(MAX($J57*1.4*1.5*1.6,3500000*(1.57975^(MIN($E57,123)-117)))*1,0))</f>
        <v>604800000</v>
      </c>
      <c r="Q57" s="4">
        <f t="shared" si="6"/>
        <v>129</v>
      </c>
      <c r="R57" s="8">
        <f>IF($J57=0,0,ROUND(MAX($J57*1.4*1.5*1.6*1.6,13100000*(1.429962^(MIN($E57,123)-117)))*1,0))</f>
        <v>967680000</v>
      </c>
      <c r="S57" s="6">
        <f t="shared" si="8"/>
        <v>131</v>
      </c>
      <c r="T57" s="7">
        <f>IF($J57=0,0,ROUND(MAX($J57*1.4*1.5*1.6*1.6*2.2,42600000*(1.576904^(MIN($E57,123)-117)))*1,0))</f>
        <v>2128896000</v>
      </c>
      <c r="U57" s="4">
        <f t="shared" si="10"/>
        <v>134</v>
      </c>
      <c r="V57" s="8">
        <f>IF($J57=0,0,ROUND(MAX($J57*1.4*1.5*1.6*1.6*2.2*2.715,354000000*(1.642074^(MIN($E57,123)-117)))*1,0))</f>
        <v>6940002232</v>
      </c>
      <c r="W57" s="6">
        <f t="shared" si="12"/>
        <v>138</v>
      </c>
      <c r="X57" s="7">
        <f>IF($J57=0,0,ROUND(MAX($J57*1.4*1.5*1.6*1.6*2.2*2.715*2.6,3540000000*(1.579646^(MIN($E57,123)-117)))*1,0))</f>
        <v>54999899335</v>
      </c>
      <c r="Y57" s="4">
        <f t="shared" si="14"/>
        <v>140</v>
      </c>
      <c r="Z57" s="8">
        <f>IF($J57=0,0,ROUND(MAX($J57*1.4*1.5*1.6*1.6*2.2*2.715*2.6*1.4,6020000000*(1.651178^(MIN($E57,123)-117)))*1,0))</f>
        <v>122000006103</v>
      </c>
      <c r="AA57" s="6">
        <f t="shared" si="16"/>
        <v>142</v>
      </c>
      <c r="AB57" s="7">
        <f>IF($J57=0,0,ROUND(MAX($J57*1.4*1.5*1.6*1.6*2.2*2.715*2.6*1.4*1.4,8430000000*(1.651435^(MIN($E57,123)-117)))*1,0))</f>
        <v>171000146547</v>
      </c>
      <c r="AC57" s="4">
        <f t="shared" si="18"/>
        <v>144</v>
      </c>
      <c r="AD57" s="8">
        <f>IF($J57=0,0,ROUND(MAX($J57*1.4*1.5*1.6*1.6*2.2*2.715*2.6*1.4*1.4*1.5,12600000000*(1.652953^(MIN($E57,123)-117)))*1,0))</f>
        <v>257000267475</v>
      </c>
      <c r="AE57" s="6">
        <f t="shared" si="20"/>
        <v>147</v>
      </c>
      <c r="AF57" s="7">
        <f>IF($J57=0,0,ROUND(MAX($J57*1.4*1.5*1.6*1.6*2.2*2.715*2.6*1.4*1.4*1.5*1.5,18900000000*(1.65331^(MIN($E57,123)-117)))*1,0))</f>
        <v>386000226581</v>
      </c>
      <c r="AG57" s="4">
        <f t="shared" si="22"/>
        <v>150</v>
      </c>
      <c r="AH57" s="8">
        <f>IF($J57=0,0,ROUND(MAX($J57*1.4*1.5*1.6*1.6*2.2*2.715*2.6*1.4*1.4*1.5*1.5*3.2,60500000000*(1.654288^(MIN($E57,123)-117)))*1,0))</f>
        <v>1240001159555</v>
      </c>
    </row>
    <row r="58" spans="1:34" x14ac:dyDescent="0.25">
      <c r="A58" s="3">
        <v>82</v>
      </c>
      <c r="B58" s="3" t="s">
        <v>129</v>
      </c>
      <c r="C58" s="3" t="s">
        <v>24</v>
      </c>
      <c r="D58" s="3" t="s">
        <v>102</v>
      </c>
      <c r="E58" s="3">
        <v>123</v>
      </c>
      <c r="F58" s="3" t="s">
        <v>30</v>
      </c>
      <c r="G58" s="3" t="s">
        <v>106</v>
      </c>
      <c r="H58" s="3">
        <v>32</v>
      </c>
      <c r="I58" s="4">
        <v>123</v>
      </c>
      <c r="J58" s="5">
        <v>723000000</v>
      </c>
      <c r="K58" s="6">
        <f t="shared" si="0"/>
        <v>124</v>
      </c>
      <c r="L58" s="7">
        <f>IF($J58=0,0,ROUND(MAX($J58*1.4,1620000*(1.497923^(MIN($E58,123)-117)))*1,0))</f>
        <v>1012200000</v>
      </c>
      <c r="M58" s="4">
        <f t="shared" si="2"/>
        <v>125</v>
      </c>
      <c r="N58" s="8">
        <f>IF($J58=0,0,ROUND(MAX($J58*1.4*1.5,2190000*(1.580994^(MIN($E58,123)-117)))*1,0))</f>
        <v>1518300000</v>
      </c>
      <c r="O58" s="6">
        <f t="shared" si="4"/>
        <v>127</v>
      </c>
      <c r="P58" s="7">
        <f>IF($J58=0,0,ROUND(MAX($J58*1.4*1.5*1.6,3500000*(1.57975^(MIN($E58,123)-117)))*1,0))</f>
        <v>2429280000</v>
      </c>
      <c r="Q58" s="4">
        <f t="shared" si="6"/>
        <v>129</v>
      </c>
      <c r="R58" s="8">
        <f>IF($J58=0,0,ROUND(MAX($J58*1.4*1.5*1.6*1.6,13100000*(1.429962^(MIN($E58,123)-117)))*1,0))</f>
        <v>3886848000</v>
      </c>
      <c r="S58" s="6">
        <f t="shared" si="8"/>
        <v>131</v>
      </c>
      <c r="T58" s="7">
        <f>IF($J58=0,0,ROUND(MAX($J58*1.4*1.5*1.6*1.6*2.2,42600000*(1.576904^(MIN($E58,123)-117)))*1,0))</f>
        <v>8551065600</v>
      </c>
      <c r="U58" s="4">
        <f t="shared" si="10"/>
        <v>134</v>
      </c>
      <c r="V58" s="8">
        <f>IF($J58=0,0,ROUND(MAX($J58*1.4*1.5*1.6*1.6*2.2*2.715,354000000*(1.642074^(MIN($E58,123)-117)))*1,0))</f>
        <v>23216143104</v>
      </c>
      <c r="W58" s="6">
        <f t="shared" si="12"/>
        <v>138</v>
      </c>
      <c r="X58" s="7">
        <f>IF($J58=0,0,ROUND(MAX($J58*1.4*1.5*1.6*1.6*2.2*2.715*2.6,3540000000*(1.579646^(MIN($E58,123)-117)))*1,0))</f>
        <v>60361972070</v>
      </c>
      <c r="Y58" s="4">
        <f t="shared" si="14"/>
        <v>140</v>
      </c>
      <c r="Z58" s="8">
        <f>IF($J58=0,0,ROUND(MAX($J58*1.4*1.5*1.6*1.6*2.2*2.715*2.6*1.4,6020000000*(1.651178^(MIN($E58,123)-117)))*1,0))</f>
        <v>122000006103</v>
      </c>
      <c r="AA58" s="6">
        <f t="shared" si="16"/>
        <v>142</v>
      </c>
      <c r="AB58" s="7">
        <f>IF($J58=0,0,ROUND(MAX($J58*1.4*1.5*1.6*1.6*2.2*2.715*2.6*1.4*1.4,8430000000*(1.651435^(MIN($E58,123)-117)))*1,0))</f>
        <v>171000146547</v>
      </c>
      <c r="AC58" s="4">
        <f t="shared" si="18"/>
        <v>144</v>
      </c>
      <c r="AD58" s="8">
        <f>IF($J58=0,0,ROUND(MAX($J58*1.4*1.5*1.6*1.6*2.2*2.715*2.6*1.4*1.4*1.5,12600000000*(1.652953^(MIN($E58,123)-117)))*1,0))</f>
        <v>257000267475</v>
      </c>
      <c r="AE58" s="6">
        <f t="shared" si="20"/>
        <v>147</v>
      </c>
      <c r="AF58" s="7">
        <f>IF($J58=0,0,ROUND(MAX($J58*1.4*1.5*1.6*1.6*2.2*2.715*2.6*1.4*1.4*1.5*1.5,18900000000*(1.65331^(MIN($E58,123)-117)))*1,0))</f>
        <v>386000226581</v>
      </c>
      <c r="AG58" s="4">
        <f t="shared" si="22"/>
        <v>150</v>
      </c>
      <c r="AH58" s="8">
        <f>IF($J58=0,0,ROUND(MAX($J58*1.4*1.5*1.6*1.6*2.2*2.715*2.6*1.4*1.4*1.5*1.5*3.2,60500000000*(1.654288^(MIN($E58,123)-117)))*1,0))</f>
        <v>1240001159555</v>
      </c>
    </row>
    <row r="59" spans="1:34" x14ac:dyDescent="0.25">
      <c r="A59" s="3">
        <v>89</v>
      </c>
      <c r="B59" s="3" t="s">
        <v>130</v>
      </c>
      <c r="C59" s="3" t="s">
        <v>24</v>
      </c>
      <c r="D59" s="3" t="s">
        <v>45</v>
      </c>
      <c r="E59" s="3">
        <v>123</v>
      </c>
      <c r="F59" s="3" t="s">
        <v>56</v>
      </c>
      <c r="G59" s="3" t="s">
        <v>98</v>
      </c>
      <c r="H59" s="3">
        <v>32</v>
      </c>
      <c r="I59" s="4">
        <v>123</v>
      </c>
      <c r="J59" s="5">
        <v>738000000</v>
      </c>
      <c r="K59" s="6">
        <f t="shared" si="0"/>
        <v>124</v>
      </c>
      <c r="L59" s="7">
        <f>IF($J59=0,0,ROUND(MAX($J59*1.4*1,4020000*(1.354082^(MIN($E59,123)-118))),0))</f>
        <v>1033200000</v>
      </c>
      <c r="M59" s="4">
        <f t="shared" si="2"/>
        <v>125</v>
      </c>
      <c r="N59" s="8">
        <f>IF($J59=0,0,ROUND(MAX($J59*1.4*1.5*1,6950000*(1.375334^(MIN($E59,123)-118))),0))</f>
        <v>1549800000</v>
      </c>
      <c r="O59" s="6">
        <f t="shared" si="4"/>
        <v>127</v>
      </c>
      <c r="P59" s="7">
        <f>IF($J59=0,0,ROUND(MAX($J59*1.4*1.5*1.6*1,23900000*(1.1788^(MIN($E59,123)-118))),0))</f>
        <v>2479680000</v>
      </c>
      <c r="Q59" s="4">
        <f t="shared" si="6"/>
        <v>129</v>
      </c>
      <c r="R59" s="8">
        <f>IF($J59=0,0,ROUND(MAX($J59*1.4*1.5*1.6*1.6*1.25,77000000*(1.127009^(MIN($E59,123)-118))),0))</f>
        <v>4959360000</v>
      </c>
      <c r="S59" s="6">
        <f t="shared" si="8"/>
        <v>131</v>
      </c>
      <c r="T59" s="7">
        <f>IF($J59=0,0,ROUND(MAX($J59*1.4*1.5*1.6*1.6*2.2*1.25,270000000*(1.248411^(MIN($E59,123)-118))),0))</f>
        <v>10910592000</v>
      </c>
      <c r="U59" s="4">
        <f t="shared" si="10"/>
        <v>134</v>
      </c>
      <c r="V59" s="8">
        <f>IF($J59=0,0,ROUND(MAX($J59*1.4*1.5*1.6*1.6*2.2*2.715*1.25,2400000000*(1.293039^(MIN($E59,123)-118))),0))</f>
        <v>29622257280</v>
      </c>
      <c r="W59" s="6">
        <f t="shared" si="12"/>
        <v>138</v>
      </c>
      <c r="X59" s="7">
        <f>IF($J59=0,0,ROUND(MAX($J59*1.4*1.5*1.6*1.6*2.2*2.715*2.6*1.25,20000000000*(1.280114^(MIN($E59,123)-118))),0))</f>
        <v>77017868928</v>
      </c>
      <c r="Y59" s="4">
        <f t="shared" si="14"/>
        <v>140</v>
      </c>
      <c r="Z59" s="8">
        <f>IF($J59=0,0,ROUND(MAX($J59*1.4*1.5*1.6*1.6*2.2*2.715*2.6*1.4*1.25,39200000000*(1.31219^(MIN($E59,123)-118))),0))</f>
        <v>152499944536</v>
      </c>
      <c r="AA59" s="6">
        <f t="shared" si="16"/>
        <v>142</v>
      </c>
      <c r="AB59" s="7">
        <f>IF($J59=0,0,ROUND(MAX($J59*1.4*1.5*1.6*1.6*2.2*2.715*2.6*1.4*1.4*1.25,54900000000*(1.312402^(MIN($E59,123)-118))),0))</f>
        <v>213750314393</v>
      </c>
      <c r="AC59" s="4">
        <f t="shared" si="18"/>
        <v>144</v>
      </c>
      <c r="AD59" s="8">
        <f>IF($J59=0,0,ROUND(MAX($J59*1.4*1.5*1.6*1.6*2.2*2.715*2.6*1.4*1.4*1.5*1.25,82400000000*(1.312754^(MIN($E59,123)-118))),0))</f>
        <v>321250611518</v>
      </c>
      <c r="AE59" s="6">
        <f t="shared" si="20"/>
        <v>147</v>
      </c>
      <c r="AF59" s="7">
        <f>IF($J59=0,0,ROUND(MAX($J59*1.4*1.5*1.6*1.6*2.2*2.715*2.6*1.4*1.4*1.5*1.5*1.25,124000000000*(1.312246^(MIN($E59,123)-118))),0))</f>
        <v>482500728361</v>
      </c>
      <c r="AG59" s="4">
        <f t="shared" si="22"/>
        <v>150</v>
      </c>
      <c r="AH59" s="8">
        <f>IF($J59=0,0,ROUND(MAX($J59*1.4*1.5*1.6*1.6*2.2*2.715*2.6*1.4*1.4*1.5*1.5*3.2*1.25,397000000000*(1.313132^(MIN($E59,123)-118))),0))</f>
        <v>1550002616035</v>
      </c>
    </row>
    <row r="60" spans="1:34" x14ac:dyDescent="0.25">
      <c r="A60" s="3">
        <v>91</v>
      </c>
      <c r="B60" s="3" t="s">
        <v>131</v>
      </c>
      <c r="C60" s="3" t="s">
        <v>24</v>
      </c>
      <c r="D60" s="3" t="s">
        <v>40</v>
      </c>
      <c r="E60" s="3">
        <v>123</v>
      </c>
      <c r="F60" s="3" t="s">
        <v>132</v>
      </c>
      <c r="G60" s="3" t="s">
        <v>133</v>
      </c>
      <c r="H60" s="3">
        <v>31</v>
      </c>
      <c r="I60" s="4">
        <v>123</v>
      </c>
      <c r="J60" s="5">
        <v>656000000</v>
      </c>
      <c r="K60" s="6">
        <f t="shared" si="0"/>
        <v>124</v>
      </c>
      <c r="L60" s="7">
        <f>IF($J60=0,0,ROUND(MAX($J60*1.4,1620000*(1.497923^(MIN($E60,123)-117)))*1,0))</f>
        <v>918400000</v>
      </c>
      <c r="M60" s="4">
        <f t="shared" si="2"/>
        <v>125</v>
      </c>
      <c r="N60" s="8">
        <f>IF($J60=0,0,ROUND(MAX($J60*1.4*1.5,2190000*(1.580994^(MIN($E60,123)-117)))*1,0))</f>
        <v>1377600000</v>
      </c>
      <c r="O60" s="6">
        <f t="shared" si="4"/>
        <v>127</v>
      </c>
      <c r="P60" s="7">
        <f>IF($J60=0,0,ROUND(MAX($J60*1.4*1.5*1.6,3500000*(1.57975^(MIN($E60,123)-117)))*1,0))</f>
        <v>2204160000</v>
      </c>
      <c r="Q60" s="4">
        <f t="shared" si="6"/>
        <v>129</v>
      </c>
      <c r="R60" s="8">
        <f>IF($J60=0,0,ROUND(MAX($J60*1.4*1.5*1.6*1.6,13100000*(1.429962^(MIN($E60,123)-117)))*1,0))</f>
        <v>3526656000</v>
      </c>
      <c r="S60" s="6">
        <f t="shared" si="8"/>
        <v>131</v>
      </c>
      <c r="T60" s="7">
        <f>IF($J60=0,0,ROUND(MAX($J60*1.4*1.5*1.6*1.6*2.2,42600000*(1.576904^(MIN($E60,123)-117)))*1,0))</f>
        <v>7758643200</v>
      </c>
      <c r="U60" s="4">
        <f t="shared" si="10"/>
        <v>134</v>
      </c>
      <c r="V60" s="8">
        <f>IF($J60=0,0,ROUND(MAX($J60*1.4*1.5*1.6*1.6*2.2*2.715,354000000*(1.642074^(MIN($E60,123)-117)))*1,0))</f>
        <v>21064716288</v>
      </c>
      <c r="W60" s="6">
        <f t="shared" si="12"/>
        <v>138</v>
      </c>
      <c r="X60" s="7">
        <f>IF($J60=0,0,ROUND(MAX($J60*1.4*1.5*1.6*1.6*2.2*2.715*2.6,3540000000*(1.579646^(MIN($E60,123)-117)))*1,0))</f>
        <v>54999899335</v>
      </c>
      <c r="Y60" s="4">
        <f t="shared" si="14"/>
        <v>140</v>
      </c>
      <c r="Z60" s="8">
        <f>IF($J60=0,0,ROUND(MAX($J60*1.4*1.5*1.6*1.6*2.2*2.715*2.6*1.4,6020000000*(1.651178^(MIN($E60,123)-117)))*1,0))</f>
        <v>122000006103</v>
      </c>
      <c r="AA60" s="6">
        <f t="shared" si="16"/>
        <v>142</v>
      </c>
      <c r="AB60" s="7">
        <f>IF($J60=0,0,ROUND(MAX($J60*1.4*1.5*1.6*1.6*2.2*2.715*2.6*1.4*1.4,8430000000*(1.651435^(MIN($E60,123)-117)))*1,0))</f>
        <v>171000146547</v>
      </c>
      <c r="AC60" s="4">
        <f t="shared" si="18"/>
        <v>144</v>
      </c>
      <c r="AD60" s="8">
        <f>IF($J60=0,0,ROUND(MAX($J60*1.4*1.5*1.6*1.6*2.2*2.715*2.6*1.4*1.4*1.5,12600000000*(1.652953^(MIN($E60,123)-117)))*1,0))</f>
        <v>257000267475</v>
      </c>
      <c r="AE60" s="6">
        <f t="shared" si="20"/>
        <v>147</v>
      </c>
      <c r="AF60" s="7">
        <f>IF($J60=0,0,ROUND(MAX($J60*1.4*1.5*1.6*1.6*2.2*2.715*2.6*1.4*1.4*1.5*1.5,18900000000*(1.65331^(MIN($E60,123)-117)))*1,0))</f>
        <v>386000226581</v>
      </c>
      <c r="AG60" s="4">
        <f t="shared" si="22"/>
        <v>150</v>
      </c>
      <c r="AH60" s="8">
        <f>IF($J60=0,0,ROUND(MAX($J60*1.4*1.5*1.6*1.6*2.2*2.715*2.6*1.4*1.4*1.5*1.5*3.2,60500000000*(1.654288^(MIN($E60,123)-117)))*1,0))</f>
        <v>1240001159555</v>
      </c>
    </row>
    <row r="61" spans="1:34" x14ac:dyDescent="0.25">
      <c r="A61" s="3">
        <v>101</v>
      </c>
      <c r="B61" s="3" t="s">
        <v>134</v>
      </c>
      <c r="C61" s="3" t="s">
        <v>24</v>
      </c>
      <c r="D61" s="3" t="s">
        <v>75</v>
      </c>
      <c r="E61" s="3">
        <v>123</v>
      </c>
      <c r="F61" s="3" t="s">
        <v>26</v>
      </c>
      <c r="G61" s="3" t="s">
        <v>51</v>
      </c>
      <c r="H61" s="3">
        <v>31</v>
      </c>
      <c r="I61" s="4">
        <v>123</v>
      </c>
      <c r="J61" s="5">
        <v>123000000</v>
      </c>
      <c r="K61" s="6">
        <f t="shared" si="0"/>
        <v>124</v>
      </c>
      <c r="L61" s="7">
        <f>IF($J61=0,0,ROUND(MAX($J61*1.4,1620000*(1.497923^(MIN($E61,123)-117)))*1,0))</f>
        <v>172200000</v>
      </c>
      <c r="M61" s="4">
        <f t="shared" si="2"/>
        <v>125</v>
      </c>
      <c r="N61" s="8">
        <f>IF($J61=0,0,ROUND(MAX($J61*1.4*1.5,2190000*(1.580994^(MIN($E61,123)-117)))*1,0))</f>
        <v>258300000</v>
      </c>
      <c r="O61" s="6">
        <f t="shared" si="4"/>
        <v>127</v>
      </c>
      <c r="P61" s="7">
        <f>IF($J61=0,0,ROUND(MAX($J61*1.4*1.5*1.6,3500000*(1.57975^(MIN($E61,123)-117)))*1,0))</f>
        <v>413280000</v>
      </c>
      <c r="Q61" s="4">
        <f t="shared" si="6"/>
        <v>129</v>
      </c>
      <c r="R61" s="8">
        <f>IF($J61=0,0,ROUND(MAX($J61*1.4*1.5*1.6*1.6,13100000*(1.429962^(MIN($E61,123)-117)))*1,0))</f>
        <v>661248000</v>
      </c>
      <c r="S61" s="6">
        <f t="shared" si="8"/>
        <v>131</v>
      </c>
      <c r="T61" s="7">
        <f>IF($J61=0,0,ROUND(MAX($J61*1.4*1.5*1.6*1.6*2.2,42600000*(1.576904^(MIN($E61,123)-117)))*1,0))</f>
        <v>1454745600</v>
      </c>
      <c r="U61" s="4">
        <f t="shared" si="10"/>
        <v>134</v>
      </c>
      <c r="V61" s="8">
        <f>IF($J61=0,0,ROUND(MAX($J61*1.4*1.5*1.6*1.6*2.2*2.715,354000000*(1.642074^(MIN($E61,123)-117)))*1,0))</f>
        <v>6940002232</v>
      </c>
      <c r="W61" s="6">
        <f t="shared" si="12"/>
        <v>138</v>
      </c>
      <c r="X61" s="7">
        <f>IF($J61=0,0,ROUND(MAX($J61*1.4*1.5*1.6*1.6*2.2*2.715*2.6,3540000000*(1.579646^(MIN($E61,123)-117)))*1,0))</f>
        <v>54999899335</v>
      </c>
      <c r="Y61" s="4">
        <f t="shared" si="14"/>
        <v>140</v>
      </c>
      <c r="Z61" s="8">
        <f>IF($J61=0,0,ROUND(MAX($J61*1.4*1.5*1.6*1.6*2.2*2.715*2.6*1.4,6020000000*(1.651178^(MIN($E61,123)-117)))*1,0))</f>
        <v>122000006103</v>
      </c>
      <c r="AA61" s="6">
        <f t="shared" si="16"/>
        <v>142</v>
      </c>
      <c r="AB61" s="7">
        <f>IF($J61=0,0,ROUND(MAX($J61*1.4*1.5*1.6*1.6*2.2*2.715*2.6*1.4*1.4,8430000000*(1.651435^(MIN($E61,123)-117)))*1,0))</f>
        <v>171000146547</v>
      </c>
      <c r="AC61" s="4">
        <f t="shared" si="18"/>
        <v>144</v>
      </c>
      <c r="AD61" s="8">
        <f>IF($J61=0,0,ROUND(MAX($J61*1.4*1.5*1.6*1.6*2.2*2.715*2.6*1.4*1.4*1.5,12600000000*(1.652953^(MIN($E61,123)-117)))*1,0))</f>
        <v>257000267475</v>
      </c>
      <c r="AE61" s="6">
        <f t="shared" si="20"/>
        <v>147</v>
      </c>
      <c r="AF61" s="7">
        <f>IF($J61=0,0,ROUND(MAX($J61*1.4*1.5*1.6*1.6*2.2*2.715*2.6*1.4*1.4*1.5*1.5,18900000000*(1.65331^(MIN($E61,123)-117)))*1,0))</f>
        <v>386000226581</v>
      </c>
      <c r="AG61" s="4">
        <f t="shared" si="22"/>
        <v>150</v>
      </c>
      <c r="AH61" s="8">
        <f>IF($J61=0,0,ROUND(MAX($J61*1.4*1.5*1.6*1.6*2.2*2.715*2.6*1.4*1.4*1.5*1.5*3.2,60500000000*(1.654288^(MIN($E61,123)-117)))*1,0))</f>
        <v>1240001159555</v>
      </c>
    </row>
    <row r="62" spans="1:34" x14ac:dyDescent="0.25">
      <c r="A62" s="3">
        <v>81</v>
      </c>
      <c r="B62" s="3" t="s">
        <v>135</v>
      </c>
      <c r="C62" s="3" t="s">
        <v>24</v>
      </c>
      <c r="D62" s="3" t="s">
        <v>29</v>
      </c>
      <c r="E62" s="3">
        <v>123</v>
      </c>
      <c r="F62" s="3" t="s">
        <v>136</v>
      </c>
      <c r="G62" s="3" t="s">
        <v>133</v>
      </c>
      <c r="H62" s="3">
        <v>32</v>
      </c>
      <c r="I62" s="4">
        <v>123</v>
      </c>
      <c r="J62" s="5">
        <v>576100000</v>
      </c>
      <c r="K62" s="6">
        <f t="shared" si="0"/>
        <v>124</v>
      </c>
      <c r="L62" s="7">
        <f>IF($J62=0,0,ROUND(MAX($J62*1.4,1620000*(1.497923^(MIN($E62,123)-117)))*1,0))</f>
        <v>806540000</v>
      </c>
      <c r="M62" s="4">
        <f t="shared" si="2"/>
        <v>125</v>
      </c>
      <c r="N62" s="8">
        <f>IF($J62=0,0,ROUND(MAX($J62*1.4*1.5,2190000*(1.580994^(MIN($E62,123)-117)))*1,0))</f>
        <v>1209810000</v>
      </c>
      <c r="O62" s="6">
        <f t="shared" si="4"/>
        <v>127</v>
      </c>
      <c r="P62" s="7">
        <f>IF($J62=0,0,ROUND(MAX($J62*1.4*1.5*1.6,3500000*(1.57975^(MIN($E62,123)-117)))*1,0))</f>
        <v>1935696000</v>
      </c>
      <c r="Q62" s="4">
        <f t="shared" si="6"/>
        <v>129</v>
      </c>
      <c r="R62" s="8">
        <f>IF($J62=0,0,ROUND(MAX($J62*1.4*1.5*1.6*1.6,13100000*(1.429962^(MIN($E62,123)-117)))*1,0))</f>
        <v>3097113600</v>
      </c>
      <c r="S62" s="6">
        <f t="shared" si="8"/>
        <v>131</v>
      </c>
      <c r="T62" s="7">
        <f>IF($J62=0,0,ROUND(MAX($J62*1.4*1.5*1.6*1.6*2.2,42600000*(1.576904^(MIN($E62,123)-117)))*1,0))</f>
        <v>6813649920</v>
      </c>
      <c r="U62" s="4">
        <f t="shared" si="10"/>
        <v>134</v>
      </c>
      <c r="V62" s="8">
        <f>IF($J62=0,0,ROUND(MAX($J62*1.4*1.5*1.6*1.6*2.2*2.715,354000000*(1.642074^(MIN($E62,123)-117)))*1,0))</f>
        <v>18499059533</v>
      </c>
      <c r="W62" s="6">
        <f t="shared" si="12"/>
        <v>138</v>
      </c>
      <c r="X62" s="7">
        <f>IF($J62=0,0,ROUND(MAX($J62*1.4*1.5*1.6*1.6*2.2*2.715*2.6,3540000000*(1.579646^(MIN($E62,123)-117)))*1,0))</f>
        <v>54999899335</v>
      </c>
      <c r="Y62" s="4">
        <f t="shared" si="14"/>
        <v>140</v>
      </c>
      <c r="Z62" s="8">
        <f>IF($J62=0,0,ROUND(MAX($J62*1.4*1.5*1.6*1.6*2.2*2.715*2.6*1.4,6020000000*(1.651178^(MIN($E62,123)-117)))*1,0))</f>
        <v>122000006103</v>
      </c>
      <c r="AA62" s="6">
        <f t="shared" si="16"/>
        <v>142</v>
      </c>
      <c r="AB62" s="7">
        <f>IF($J62=0,0,ROUND(MAX($J62*1.4*1.5*1.6*1.6*2.2*2.715*2.6*1.4*1.4,8430000000*(1.651435^(MIN($E62,123)-117)))*1,0))</f>
        <v>171000146547</v>
      </c>
      <c r="AC62" s="4">
        <f t="shared" si="18"/>
        <v>144</v>
      </c>
      <c r="AD62" s="8">
        <f>IF($J62=0,0,ROUND(MAX($J62*1.4*1.5*1.6*1.6*2.2*2.715*2.6*1.4*1.4*1.5,12600000000*(1.652953^(MIN($E62,123)-117)))*1,0))</f>
        <v>257000267475</v>
      </c>
      <c r="AE62" s="6">
        <f t="shared" si="20"/>
        <v>147</v>
      </c>
      <c r="AF62" s="7">
        <f>IF($J62=0,0,ROUND(MAX($J62*1.4*1.5*1.6*1.6*2.2*2.715*2.6*1.4*1.4*1.5*1.5,18900000000*(1.65331^(MIN($E62,123)-117)))*1,0))</f>
        <v>386000226581</v>
      </c>
      <c r="AG62" s="4">
        <f t="shared" si="22"/>
        <v>150</v>
      </c>
      <c r="AH62" s="8">
        <f>IF($J62=0,0,ROUND(MAX($J62*1.4*1.5*1.6*1.6*2.2*2.715*2.6*1.4*1.4*1.5*1.5*3.2,60500000000*(1.654288^(MIN($E62,123)-117)))*1,0))</f>
        <v>1240001159555</v>
      </c>
    </row>
    <row r="63" spans="1:34" x14ac:dyDescent="0.25">
      <c r="A63" s="3">
        <v>100</v>
      </c>
      <c r="B63" s="3" t="s">
        <v>137</v>
      </c>
      <c r="C63" s="3" t="s">
        <v>24</v>
      </c>
      <c r="D63" s="3" t="s">
        <v>90</v>
      </c>
      <c r="E63" s="3">
        <v>123</v>
      </c>
      <c r="F63" s="3" t="s">
        <v>54</v>
      </c>
      <c r="G63" s="3" t="s">
        <v>67</v>
      </c>
      <c r="H63" s="3">
        <v>31</v>
      </c>
      <c r="I63" s="4">
        <v>123</v>
      </c>
      <c r="J63" s="5">
        <v>3730000000</v>
      </c>
      <c r="K63" s="6">
        <f t="shared" si="0"/>
        <v>124</v>
      </c>
      <c r="L63" s="7">
        <f>IF($J63=0,0,ROUND(MAX($J63*1.4,1620000*(1.497923^(MIN($E63,123)-117)))*1,0))</f>
        <v>5222000000</v>
      </c>
      <c r="M63" s="4">
        <f t="shared" si="2"/>
        <v>125</v>
      </c>
      <c r="N63" s="8">
        <f>IF($J63=0,0,ROUND(MAX($J63*1.4*1.5,2190000*(1.580994^(MIN($E63,123)-117)))*1,0))</f>
        <v>7833000000</v>
      </c>
      <c r="O63" s="6">
        <f t="shared" si="4"/>
        <v>127</v>
      </c>
      <c r="P63" s="7">
        <f>IF($J63=0,0,ROUND(MAX($J63*1.4*1.5*1.6,3500000*(1.57975^(MIN($E63,123)-117)))*1,0))</f>
        <v>12532800000</v>
      </c>
      <c r="Q63" s="4">
        <f t="shared" si="6"/>
        <v>129</v>
      </c>
      <c r="R63" s="8">
        <f>IF($J63=0,0,ROUND(MAX($J63*1.4*1.5*1.6*1.6,13100000*(1.429962^(MIN($E63,123)-117)))*1,0))</f>
        <v>20052480000</v>
      </c>
      <c r="S63" s="6">
        <f t="shared" si="8"/>
        <v>131</v>
      </c>
      <c r="T63" s="7">
        <f>IF($J63=0,0,ROUND(MAX($J63*1.4*1.5*1.6*1.6*2.2,42600000*(1.576904^(MIN($E63,123)-117)))*1,0))</f>
        <v>44115456000</v>
      </c>
      <c r="U63" s="4">
        <f t="shared" si="10"/>
        <v>134</v>
      </c>
      <c r="V63" s="8">
        <f>IF($J63=0,0,ROUND(MAX($J63*1.4*1.5*1.6*1.6*2.2*2.715,354000000*(1.642074^(MIN($E63,123)-117)))*1,0))</f>
        <v>119773463040</v>
      </c>
      <c r="W63" s="6">
        <f t="shared" si="12"/>
        <v>138</v>
      </c>
      <c r="X63" s="7">
        <f>IF($J63=0,0,ROUND(MAX($J63*1.4*1.5*1.6*1.6*2.2*2.715*2.6,3540000000*(1.579646^(MIN($E63,123)-117)))*1,0))</f>
        <v>311411003904</v>
      </c>
      <c r="Y63" s="4">
        <f t="shared" si="14"/>
        <v>140</v>
      </c>
      <c r="Z63" s="8">
        <f>IF($J63=0,0,ROUND(MAX($J63*1.4*1.5*1.6*1.6*2.2*2.715*2.6*1.4,6020000000*(1.651178^(MIN($E63,123)-117)))*1,0))</f>
        <v>435975405466</v>
      </c>
      <c r="AA63" s="6">
        <f t="shared" si="16"/>
        <v>142</v>
      </c>
      <c r="AB63" s="7">
        <f>IF($J63=0,0,ROUND(MAX($J63*1.4*1.5*1.6*1.6*2.2*2.715*2.6*1.4*1.4,8430000000*(1.651435^(MIN($E63,123)-117)))*1,0))</f>
        <v>610365567652</v>
      </c>
      <c r="AC63" s="4">
        <f t="shared" si="18"/>
        <v>144</v>
      </c>
      <c r="AD63" s="8">
        <f>IF($J63=0,0,ROUND(MAX($J63*1.4*1.5*1.6*1.6*2.2*2.715*2.6*1.4*1.4*1.5,12600000000*(1.652953^(MIN($E63,123)-117)))*1,0))</f>
        <v>915548351478</v>
      </c>
      <c r="AE63" s="6">
        <f t="shared" si="20"/>
        <v>147</v>
      </c>
      <c r="AF63" s="7">
        <f>IF($J63=0,0,ROUND(MAX($J63*1.4*1.5*1.6*1.6*2.2*2.715*2.6*1.4*1.4*1.5*1.5,18900000000*(1.65331^(MIN($E63,123)-117)))*1,0))</f>
        <v>1373322527217</v>
      </c>
      <c r="AG63" s="4">
        <f t="shared" si="22"/>
        <v>150</v>
      </c>
      <c r="AH63" s="8">
        <f>IF($J63=0,0,ROUND(MAX($J63*1.4*1.5*1.6*1.6*2.2*2.715*2.6*1.4*1.4*1.5*1.5*3.2,60500000000*(1.654288^(MIN($E63,123)-117)))*1,0))</f>
        <v>4394632087093</v>
      </c>
    </row>
    <row r="64" spans="1:34" x14ac:dyDescent="0.25">
      <c r="A64" s="3">
        <v>40</v>
      </c>
      <c r="B64" s="3" t="s">
        <v>138</v>
      </c>
      <c r="C64" s="3" t="s">
        <v>24</v>
      </c>
      <c r="D64" s="3" t="s">
        <v>25</v>
      </c>
      <c r="E64" s="3">
        <v>123</v>
      </c>
      <c r="F64" s="3" t="s">
        <v>34</v>
      </c>
      <c r="G64" s="3" t="s">
        <v>98</v>
      </c>
      <c r="H64" s="3">
        <v>32</v>
      </c>
      <c r="I64" s="4">
        <v>123</v>
      </c>
      <c r="J64" s="5">
        <v>9580000000</v>
      </c>
      <c r="K64" s="6">
        <f t="shared" si="0"/>
        <v>124</v>
      </c>
      <c r="L64" s="7">
        <f>IF($J64=0,0,ROUND(MAX($J64*1.4,1620000*(1.497923^(MIN($E64,123)-117)))*1,0))</f>
        <v>13412000000</v>
      </c>
      <c r="M64" s="4">
        <f t="shared" si="2"/>
        <v>125</v>
      </c>
      <c r="N64" s="8">
        <f>IF($J64=0,0,ROUND(MAX($J64*1.4*1.5,2190000*(1.580994^(MIN($E64,123)-117)))*1,0))</f>
        <v>20118000000</v>
      </c>
      <c r="O64" s="6">
        <f t="shared" si="4"/>
        <v>127</v>
      </c>
      <c r="P64" s="7">
        <f>IF($J64=0,0,ROUND(MAX($J64*1.4*1.5*1.6,3500000*(1.57975^(MIN($E64,123)-117)))*1,0))</f>
        <v>32188800000</v>
      </c>
      <c r="Q64" s="4">
        <f t="shared" si="6"/>
        <v>129</v>
      </c>
      <c r="R64" s="8">
        <f>IF($J64=0,0,ROUND(MAX($J64*1.4*1.5*1.6*1.6,13100000*(1.429962^(MIN($E64,123)-117)))*1,0))</f>
        <v>51502080000</v>
      </c>
      <c r="S64" s="6">
        <f t="shared" si="8"/>
        <v>131</v>
      </c>
      <c r="T64" s="7">
        <f>IF($J64=0,0,ROUND(MAX($J64*1.4*1.5*1.6*1.6*2.2,42600000*(1.576904^(MIN($E64,123)-117)))*1,0))</f>
        <v>113304576000</v>
      </c>
      <c r="U64" s="4">
        <f t="shared" si="10"/>
        <v>134</v>
      </c>
      <c r="V64" s="8">
        <f>IF($J64=0,0,ROUND(MAX($J64*1.4*1.5*1.6*1.6*2.2*2.715,354000000*(1.642074^(MIN($E64,123)-117)))*1,0))</f>
        <v>307621923840</v>
      </c>
      <c r="W64" s="6">
        <f t="shared" si="12"/>
        <v>138</v>
      </c>
      <c r="X64" s="7">
        <f>IF($J64=0,0,ROUND(MAX($J64*1.4*1.5*1.6*1.6*2.2*2.715*2.6,3540000000*(1.579646^(MIN($E64,123)-117)))*1,0))</f>
        <v>799817001984</v>
      </c>
      <c r="Y64" s="4">
        <f t="shared" si="14"/>
        <v>140</v>
      </c>
      <c r="Z64" s="8">
        <f>IF($J64=0,0,ROUND(MAX($J64*1.4*1.5*1.6*1.6*2.2*2.715*2.6*1.4,6020000000*(1.651178^(MIN($E64,123)-117)))*1,0))</f>
        <v>1119743802778</v>
      </c>
      <c r="AA64" s="6">
        <f t="shared" si="16"/>
        <v>142</v>
      </c>
      <c r="AB64" s="7">
        <f>IF($J64=0,0,ROUND(MAX($J64*1.4*1.5*1.6*1.6*2.2*2.715*2.6*1.4*1.4,8430000000*(1.651435^(MIN($E64,123)-117)))*1,0))</f>
        <v>1567641323889</v>
      </c>
      <c r="AC64" s="4">
        <f t="shared" si="18"/>
        <v>144</v>
      </c>
      <c r="AD64" s="8">
        <f>IF($J64=0,0,ROUND(MAX($J64*1.4*1.5*1.6*1.6*2.2*2.715*2.6*1.4*1.4*1.5,12600000000*(1.652953^(MIN($E64,123)-117)))*1,0))</f>
        <v>2351461985833</v>
      </c>
      <c r="AE64" s="6">
        <f t="shared" si="20"/>
        <v>147</v>
      </c>
      <c r="AF64" s="7">
        <f>IF($J64=0,0,ROUND(MAX($J64*1.4*1.5*1.6*1.6*2.2*2.715*2.6*1.4*1.4*1.5*1.5,18900000000*(1.65331^(MIN($E64,123)-117)))*1,0))</f>
        <v>3527192978749</v>
      </c>
      <c r="AG64" s="4">
        <f t="shared" si="22"/>
        <v>150</v>
      </c>
      <c r="AH64" s="8">
        <f>IF($J64=0,0,ROUND(MAX($J64*1.4*1.5*1.6*1.6*2.2*2.715*2.6*1.4*1.4*1.5*1.5*3.2,60500000000*(1.654288^(MIN($E64,123)-117)))*1,0))</f>
        <v>11287017531998</v>
      </c>
    </row>
    <row r="65" spans="1:34" x14ac:dyDescent="0.25">
      <c r="A65" s="3">
        <v>86</v>
      </c>
      <c r="B65" s="3" t="s">
        <v>139</v>
      </c>
      <c r="C65" s="3" t="s">
        <v>24</v>
      </c>
      <c r="D65" s="3" t="s">
        <v>40</v>
      </c>
      <c r="E65" s="3">
        <v>123</v>
      </c>
      <c r="F65" s="3" t="s">
        <v>34</v>
      </c>
      <c r="G65" s="3" t="s">
        <v>35</v>
      </c>
      <c r="H65" s="3">
        <v>32</v>
      </c>
      <c r="I65" s="4">
        <v>123</v>
      </c>
      <c r="J65" s="5">
        <v>206000000</v>
      </c>
      <c r="K65" s="6">
        <f t="shared" si="0"/>
        <v>124</v>
      </c>
      <c r="L65" s="7">
        <f t="shared" ref="L65:L70" si="48">IF($J65=0,0,ROUND(MAX($J65*1.4*1,4020000*(1.354082^(MIN($E65,123)-118))),0))</f>
        <v>288400000</v>
      </c>
      <c r="M65" s="4">
        <f t="shared" si="2"/>
        <v>125</v>
      </c>
      <c r="N65" s="8">
        <f t="shared" ref="N65:N70" si="49">IF($J65=0,0,ROUND(MAX($J65*1.4*1.5*1,6950000*(1.375334^(MIN($E65,123)-118))),0))</f>
        <v>432600000</v>
      </c>
      <c r="O65" s="6">
        <f t="shared" si="4"/>
        <v>127</v>
      </c>
      <c r="P65" s="7">
        <f t="shared" ref="P65:P70" si="50">IF($J65=0,0,ROUND(MAX($J65*1.4*1.5*1.6*1,23900000*(1.1788^(MIN($E65,123)-118))),0))</f>
        <v>692160000</v>
      </c>
      <c r="Q65" s="4">
        <f t="shared" si="6"/>
        <v>129</v>
      </c>
      <c r="R65" s="8">
        <f t="shared" ref="R65:R70" si="51">IF($J65=0,0,ROUND(MAX($J65*1.4*1.5*1.6*1.6*1.25,77000000*(1.127009^(MIN($E65,123)-118))),0))</f>
        <v>1384320000</v>
      </c>
      <c r="S65" s="6">
        <f t="shared" si="8"/>
        <v>131</v>
      </c>
      <c r="T65" s="7">
        <f t="shared" ref="T65:T70" si="52">IF($J65=0,0,ROUND(MAX($J65*1.4*1.5*1.6*1.6*2.2*1.25,270000000*(1.248411^(MIN($E65,123)-118))),0))</f>
        <v>3045504000</v>
      </c>
      <c r="U65" s="4">
        <f t="shared" si="10"/>
        <v>134</v>
      </c>
      <c r="V65" s="8">
        <f t="shared" ref="V65:V70" si="53">IF($J65=0,0,ROUND(MAX($J65*1.4*1.5*1.6*1.6*2.2*2.715*1.25,2400000000*(1.293039^(MIN($E65,123)-118))),0))</f>
        <v>8674997573</v>
      </c>
      <c r="W65" s="6">
        <f t="shared" si="12"/>
        <v>138</v>
      </c>
      <c r="X65" s="7">
        <f t="shared" ref="X65:X70" si="54">IF($J65=0,0,ROUND(MAX($J65*1.4*1.5*1.6*1.6*2.2*2.715*2.6*1.25,20000000000*(1.280114^(MIN($E65,123)-118))),0))</f>
        <v>68750083829</v>
      </c>
      <c r="Y65" s="4">
        <f t="shared" si="14"/>
        <v>140</v>
      </c>
      <c r="Z65" s="8">
        <f t="shared" ref="Z65:Z70" si="55">IF($J65=0,0,ROUND(MAX($J65*1.4*1.5*1.6*1.6*2.2*2.715*2.6*1.4*1.25,39200000000*(1.31219^(MIN($E65,123)-118))),0))</f>
        <v>152499944536</v>
      </c>
      <c r="AA65" s="6">
        <f t="shared" si="16"/>
        <v>142</v>
      </c>
      <c r="AB65" s="7">
        <f t="shared" ref="AB65:AB70" si="56">IF($J65=0,0,ROUND(MAX($J65*1.4*1.5*1.6*1.6*2.2*2.715*2.6*1.4*1.4*1.25,54900000000*(1.312402^(MIN($E65,123)-118))),0))</f>
        <v>213750314393</v>
      </c>
      <c r="AC65" s="4">
        <f t="shared" si="18"/>
        <v>144</v>
      </c>
      <c r="AD65" s="8">
        <f t="shared" ref="AD65:AD70" si="57">IF($J65=0,0,ROUND(MAX($J65*1.4*1.5*1.6*1.6*2.2*2.715*2.6*1.4*1.4*1.5*1.25,82400000000*(1.312754^(MIN($E65,123)-118))),0))</f>
        <v>321250611518</v>
      </c>
      <c r="AE65" s="6">
        <f t="shared" si="20"/>
        <v>147</v>
      </c>
      <c r="AF65" s="7">
        <f t="shared" ref="AF65:AF70" si="58">IF($J65=0,0,ROUND(MAX($J65*1.4*1.5*1.6*1.6*2.2*2.715*2.6*1.4*1.4*1.5*1.5*1.25,124000000000*(1.312246^(MIN($E65,123)-118))),0))</f>
        <v>482500728361</v>
      </c>
      <c r="AG65" s="4">
        <f t="shared" si="22"/>
        <v>150</v>
      </c>
      <c r="AH65" s="8">
        <f t="shared" ref="AH65:AH70" si="59">IF($J65=0,0,ROUND(MAX($J65*1.4*1.5*1.6*1.6*2.2*2.715*2.6*1.4*1.4*1.5*1.5*3.2*1.25,397000000000*(1.313132^(MIN($E65,123)-118))),0))</f>
        <v>1550002616035</v>
      </c>
    </row>
    <row r="66" spans="1:34" x14ac:dyDescent="0.25">
      <c r="A66" s="3">
        <v>99</v>
      </c>
      <c r="B66" s="3" t="s">
        <v>140</v>
      </c>
      <c r="C66" s="3" t="s">
        <v>24</v>
      </c>
      <c r="D66" s="3" t="s">
        <v>40</v>
      </c>
      <c r="E66" s="3">
        <v>123</v>
      </c>
      <c r="F66" s="3" t="s">
        <v>56</v>
      </c>
      <c r="G66" s="3" t="s">
        <v>133</v>
      </c>
      <c r="H66" s="3">
        <v>31</v>
      </c>
      <c r="I66" s="4">
        <v>123</v>
      </c>
      <c r="J66" s="5">
        <v>407000000</v>
      </c>
      <c r="K66" s="6">
        <f t="shared" si="0"/>
        <v>124</v>
      </c>
      <c r="L66" s="7">
        <f t="shared" si="48"/>
        <v>569800000</v>
      </c>
      <c r="M66" s="4">
        <f t="shared" si="2"/>
        <v>125</v>
      </c>
      <c r="N66" s="8">
        <f t="shared" si="49"/>
        <v>854700000</v>
      </c>
      <c r="O66" s="6">
        <f t="shared" si="4"/>
        <v>127</v>
      </c>
      <c r="P66" s="7">
        <f t="shared" si="50"/>
        <v>1367520000</v>
      </c>
      <c r="Q66" s="4">
        <f t="shared" si="6"/>
        <v>129</v>
      </c>
      <c r="R66" s="8">
        <f t="shared" si="51"/>
        <v>2735040000</v>
      </c>
      <c r="S66" s="6">
        <f t="shared" si="8"/>
        <v>131</v>
      </c>
      <c r="T66" s="7">
        <f t="shared" si="52"/>
        <v>6017088000</v>
      </c>
      <c r="U66" s="4">
        <f t="shared" si="10"/>
        <v>134</v>
      </c>
      <c r="V66" s="8">
        <f t="shared" si="53"/>
        <v>16336393920</v>
      </c>
      <c r="W66" s="6">
        <f t="shared" si="12"/>
        <v>138</v>
      </c>
      <c r="X66" s="7">
        <f t="shared" si="54"/>
        <v>68750083829</v>
      </c>
      <c r="Y66" s="4">
        <f t="shared" si="14"/>
        <v>140</v>
      </c>
      <c r="Z66" s="8">
        <f t="shared" si="55"/>
        <v>152499944536</v>
      </c>
      <c r="AA66" s="6">
        <f t="shared" si="16"/>
        <v>142</v>
      </c>
      <c r="AB66" s="7">
        <f t="shared" si="56"/>
        <v>213750314393</v>
      </c>
      <c r="AC66" s="4">
        <f t="shared" si="18"/>
        <v>144</v>
      </c>
      <c r="AD66" s="8">
        <f t="shared" si="57"/>
        <v>321250611518</v>
      </c>
      <c r="AE66" s="6">
        <f t="shared" si="20"/>
        <v>147</v>
      </c>
      <c r="AF66" s="7">
        <f t="shared" si="58"/>
        <v>482500728361</v>
      </c>
      <c r="AG66" s="4">
        <f t="shared" si="22"/>
        <v>150</v>
      </c>
      <c r="AH66" s="8">
        <f t="shared" si="59"/>
        <v>1550002616035</v>
      </c>
    </row>
    <row r="67" spans="1:34" x14ac:dyDescent="0.25">
      <c r="A67" s="3">
        <v>85</v>
      </c>
      <c r="B67" s="3" t="s">
        <v>141</v>
      </c>
      <c r="C67" s="3" t="s">
        <v>24</v>
      </c>
      <c r="D67" s="3" t="s">
        <v>75</v>
      </c>
      <c r="E67" s="3">
        <v>123</v>
      </c>
      <c r="F67" s="3" t="s">
        <v>30</v>
      </c>
      <c r="G67" s="3" t="s">
        <v>38</v>
      </c>
      <c r="H67" s="3">
        <v>32</v>
      </c>
      <c r="I67" s="4">
        <v>123</v>
      </c>
      <c r="J67" s="5">
        <v>960000000</v>
      </c>
      <c r="K67" s="6">
        <f t="shared" ref="K67:K130" si="60">$E67+1</f>
        <v>124</v>
      </c>
      <c r="L67" s="7">
        <f t="shared" si="48"/>
        <v>1344000000</v>
      </c>
      <c r="M67" s="4">
        <f t="shared" ref="M67:M130" si="61">$E67+2</f>
        <v>125</v>
      </c>
      <c r="N67" s="8">
        <f t="shared" si="49"/>
        <v>2016000000</v>
      </c>
      <c r="O67" s="6">
        <f t="shared" ref="O67:O130" si="62">$E67+4</f>
        <v>127</v>
      </c>
      <c r="P67" s="7">
        <f t="shared" si="50"/>
        <v>3225600000</v>
      </c>
      <c r="Q67" s="4">
        <f t="shared" ref="Q67:Q130" si="63">$E67+6</f>
        <v>129</v>
      </c>
      <c r="R67" s="8">
        <f t="shared" si="51"/>
        <v>6451200000</v>
      </c>
      <c r="S67" s="6">
        <f t="shared" ref="S67:S130" si="64">$E67+8</f>
        <v>131</v>
      </c>
      <c r="T67" s="7">
        <f t="shared" si="52"/>
        <v>14192640000</v>
      </c>
      <c r="U67" s="4">
        <f t="shared" ref="U67:U130" si="65">$E67+11</f>
        <v>134</v>
      </c>
      <c r="V67" s="8">
        <f t="shared" si="53"/>
        <v>38533017600</v>
      </c>
      <c r="W67" s="6">
        <f t="shared" ref="W67:W130" si="66">$E67+15</f>
        <v>138</v>
      </c>
      <c r="X67" s="7">
        <f t="shared" si="54"/>
        <v>100185845760</v>
      </c>
      <c r="Y67" s="4">
        <f t="shared" ref="Y67:Y130" si="67">$E67+17</f>
        <v>140</v>
      </c>
      <c r="Z67" s="8">
        <f t="shared" si="55"/>
        <v>152499944536</v>
      </c>
      <c r="AA67" s="6">
        <f t="shared" ref="AA67:AA130" si="68">$E67+19</f>
        <v>142</v>
      </c>
      <c r="AB67" s="7">
        <f t="shared" si="56"/>
        <v>213750314393</v>
      </c>
      <c r="AC67" s="4">
        <f t="shared" ref="AC67:AC130" si="69">$E67+21</f>
        <v>144</v>
      </c>
      <c r="AD67" s="8">
        <f t="shared" si="57"/>
        <v>321250611518</v>
      </c>
      <c r="AE67" s="6">
        <f t="shared" ref="AE67:AE130" si="70">$E67+24</f>
        <v>147</v>
      </c>
      <c r="AF67" s="7">
        <f t="shared" si="58"/>
        <v>482500728361</v>
      </c>
      <c r="AG67" s="4">
        <f t="shared" ref="AG67:AG130" si="71">$E67+27</f>
        <v>150</v>
      </c>
      <c r="AH67" s="8">
        <f t="shared" si="59"/>
        <v>1550002616035</v>
      </c>
    </row>
    <row r="68" spans="1:34" x14ac:dyDescent="0.25">
      <c r="A68" s="3">
        <v>95</v>
      </c>
      <c r="B68" s="3" t="s">
        <v>142</v>
      </c>
      <c r="C68" s="3" t="s">
        <v>24</v>
      </c>
      <c r="D68" s="3" t="s">
        <v>90</v>
      </c>
      <c r="E68" s="3">
        <v>123</v>
      </c>
      <c r="F68" s="3" t="s">
        <v>34</v>
      </c>
      <c r="G68" s="3" t="s">
        <v>35</v>
      </c>
      <c r="H68" s="3">
        <v>31</v>
      </c>
      <c r="I68" s="4">
        <v>123</v>
      </c>
      <c r="J68" s="5">
        <v>274000000</v>
      </c>
      <c r="K68" s="6">
        <f t="shared" si="60"/>
        <v>124</v>
      </c>
      <c r="L68" s="7">
        <f t="shared" si="48"/>
        <v>383600000</v>
      </c>
      <c r="M68" s="4">
        <f t="shared" si="61"/>
        <v>125</v>
      </c>
      <c r="N68" s="8">
        <f t="shared" si="49"/>
        <v>575400000</v>
      </c>
      <c r="O68" s="6">
        <f t="shared" si="62"/>
        <v>127</v>
      </c>
      <c r="P68" s="7">
        <f t="shared" si="50"/>
        <v>920640000</v>
      </c>
      <c r="Q68" s="4">
        <f t="shared" si="63"/>
        <v>129</v>
      </c>
      <c r="R68" s="8">
        <f t="shared" si="51"/>
        <v>1841280000</v>
      </c>
      <c r="S68" s="6">
        <f t="shared" si="64"/>
        <v>131</v>
      </c>
      <c r="T68" s="7">
        <f t="shared" si="52"/>
        <v>4050816000</v>
      </c>
      <c r="U68" s="4">
        <f t="shared" si="65"/>
        <v>134</v>
      </c>
      <c r="V68" s="8">
        <f t="shared" si="53"/>
        <v>10997965440</v>
      </c>
      <c r="W68" s="6">
        <f t="shared" si="66"/>
        <v>138</v>
      </c>
      <c r="X68" s="7">
        <f t="shared" si="54"/>
        <v>68750083829</v>
      </c>
      <c r="Y68" s="4">
        <f t="shared" si="67"/>
        <v>140</v>
      </c>
      <c r="Z68" s="8">
        <f t="shared" si="55"/>
        <v>152499944536</v>
      </c>
      <c r="AA68" s="6">
        <f t="shared" si="68"/>
        <v>142</v>
      </c>
      <c r="AB68" s="7">
        <f t="shared" si="56"/>
        <v>213750314393</v>
      </c>
      <c r="AC68" s="4">
        <f t="shared" si="69"/>
        <v>144</v>
      </c>
      <c r="AD68" s="8">
        <f t="shared" si="57"/>
        <v>321250611518</v>
      </c>
      <c r="AE68" s="6">
        <f t="shared" si="70"/>
        <v>147</v>
      </c>
      <c r="AF68" s="7">
        <f t="shared" si="58"/>
        <v>482500728361</v>
      </c>
      <c r="AG68" s="4">
        <f t="shared" si="71"/>
        <v>150</v>
      </c>
      <c r="AH68" s="8">
        <f t="shared" si="59"/>
        <v>1550002616035</v>
      </c>
    </row>
    <row r="69" spans="1:34" x14ac:dyDescent="0.25">
      <c r="A69" s="3">
        <v>88</v>
      </c>
      <c r="B69" s="3" t="s">
        <v>143</v>
      </c>
      <c r="C69" s="3" t="s">
        <v>24</v>
      </c>
      <c r="D69" s="3" t="s">
        <v>25</v>
      </c>
      <c r="E69" s="3">
        <v>123</v>
      </c>
      <c r="F69" s="3" t="s">
        <v>144</v>
      </c>
      <c r="G69" s="3" t="s">
        <v>67</v>
      </c>
      <c r="H69" s="3">
        <v>32</v>
      </c>
      <c r="I69" s="4">
        <v>123</v>
      </c>
      <c r="J69" s="5">
        <v>2592000000</v>
      </c>
      <c r="K69" s="6">
        <f t="shared" si="60"/>
        <v>124</v>
      </c>
      <c r="L69" s="7">
        <f t="shared" si="48"/>
        <v>3628800000</v>
      </c>
      <c r="M69" s="4">
        <f t="shared" si="61"/>
        <v>125</v>
      </c>
      <c r="N69" s="8">
        <f t="shared" si="49"/>
        <v>5443200000</v>
      </c>
      <c r="O69" s="6">
        <f t="shared" si="62"/>
        <v>127</v>
      </c>
      <c r="P69" s="7">
        <f t="shared" si="50"/>
        <v>8709120000</v>
      </c>
      <c r="Q69" s="4">
        <f t="shared" si="63"/>
        <v>129</v>
      </c>
      <c r="R69" s="8">
        <f t="shared" si="51"/>
        <v>17418240000</v>
      </c>
      <c r="S69" s="6">
        <f t="shared" si="64"/>
        <v>131</v>
      </c>
      <c r="T69" s="7">
        <f t="shared" si="52"/>
        <v>38320128000</v>
      </c>
      <c r="U69" s="4">
        <f t="shared" si="65"/>
        <v>134</v>
      </c>
      <c r="V69" s="8">
        <f t="shared" si="53"/>
        <v>104039147520</v>
      </c>
      <c r="W69" s="6">
        <f t="shared" si="66"/>
        <v>138</v>
      </c>
      <c r="X69" s="7">
        <f t="shared" si="54"/>
        <v>270501783552</v>
      </c>
      <c r="Y69" s="4">
        <f t="shared" si="67"/>
        <v>140</v>
      </c>
      <c r="Z69" s="8">
        <f t="shared" si="55"/>
        <v>378702496973</v>
      </c>
      <c r="AA69" s="6">
        <f t="shared" si="68"/>
        <v>142</v>
      </c>
      <c r="AB69" s="7">
        <f t="shared" si="56"/>
        <v>530183495762</v>
      </c>
      <c r="AC69" s="4">
        <f t="shared" si="69"/>
        <v>144</v>
      </c>
      <c r="AD69" s="8">
        <f t="shared" si="57"/>
        <v>795275243643</v>
      </c>
      <c r="AE69" s="6">
        <f t="shared" si="70"/>
        <v>147</v>
      </c>
      <c r="AF69" s="7">
        <f t="shared" si="58"/>
        <v>1192912865464</v>
      </c>
      <c r="AG69" s="4">
        <f t="shared" si="71"/>
        <v>150</v>
      </c>
      <c r="AH69" s="8">
        <f t="shared" si="59"/>
        <v>3817321169486</v>
      </c>
    </row>
    <row r="70" spans="1:34" x14ac:dyDescent="0.25">
      <c r="A70" s="3">
        <v>103</v>
      </c>
      <c r="B70" s="3" t="s">
        <v>145</v>
      </c>
      <c r="C70" s="3" t="s">
        <v>24</v>
      </c>
      <c r="D70" s="3" t="s">
        <v>47</v>
      </c>
      <c r="E70" s="3">
        <v>123</v>
      </c>
      <c r="F70" s="3" t="s">
        <v>146</v>
      </c>
      <c r="G70" s="3" t="s">
        <v>57</v>
      </c>
      <c r="H70" s="3">
        <v>28</v>
      </c>
      <c r="I70" s="4">
        <v>123</v>
      </c>
      <c r="J70" s="5">
        <v>124000000</v>
      </c>
      <c r="K70" s="6">
        <f t="shared" si="60"/>
        <v>124</v>
      </c>
      <c r="L70" s="7">
        <f t="shared" si="48"/>
        <v>173600000</v>
      </c>
      <c r="M70" s="4">
        <f t="shared" si="61"/>
        <v>125</v>
      </c>
      <c r="N70" s="8">
        <f t="shared" si="49"/>
        <v>260400000</v>
      </c>
      <c r="O70" s="6">
        <f t="shared" si="62"/>
        <v>127</v>
      </c>
      <c r="P70" s="7">
        <f t="shared" si="50"/>
        <v>416640000</v>
      </c>
      <c r="Q70" s="4">
        <f t="shared" si="63"/>
        <v>129</v>
      </c>
      <c r="R70" s="8">
        <f t="shared" si="51"/>
        <v>833280000</v>
      </c>
      <c r="S70" s="6">
        <f t="shared" si="64"/>
        <v>131</v>
      </c>
      <c r="T70" s="7">
        <f t="shared" si="52"/>
        <v>1833216000</v>
      </c>
      <c r="U70" s="4">
        <f t="shared" si="65"/>
        <v>134</v>
      </c>
      <c r="V70" s="8">
        <f t="shared" si="53"/>
        <v>8674997573</v>
      </c>
      <c r="W70" s="6">
        <f t="shared" si="66"/>
        <v>138</v>
      </c>
      <c r="X70" s="7">
        <f t="shared" si="54"/>
        <v>68750083829</v>
      </c>
      <c r="Y70" s="4">
        <f t="shared" si="67"/>
        <v>140</v>
      </c>
      <c r="Z70" s="8">
        <f t="shared" si="55"/>
        <v>152499944536</v>
      </c>
      <c r="AA70" s="6">
        <f t="shared" si="68"/>
        <v>142</v>
      </c>
      <c r="AB70" s="7">
        <f t="shared" si="56"/>
        <v>213750314393</v>
      </c>
      <c r="AC70" s="4">
        <f t="shared" si="69"/>
        <v>144</v>
      </c>
      <c r="AD70" s="8">
        <f t="shared" si="57"/>
        <v>321250611518</v>
      </c>
      <c r="AE70" s="6">
        <f t="shared" si="70"/>
        <v>147</v>
      </c>
      <c r="AF70" s="7">
        <f t="shared" si="58"/>
        <v>482500728361</v>
      </c>
      <c r="AG70" s="4">
        <f t="shared" si="71"/>
        <v>150</v>
      </c>
      <c r="AH70" s="8">
        <f t="shared" si="59"/>
        <v>1550002616035</v>
      </c>
    </row>
    <row r="71" spans="1:34" x14ac:dyDescent="0.25">
      <c r="A71" s="3">
        <v>102</v>
      </c>
      <c r="B71" s="3" t="s">
        <v>147</v>
      </c>
      <c r="C71" s="3" t="s">
        <v>24</v>
      </c>
      <c r="D71" s="3" t="s">
        <v>45</v>
      </c>
      <c r="E71" s="3">
        <v>123</v>
      </c>
      <c r="F71" s="3" t="s">
        <v>56</v>
      </c>
      <c r="G71" s="3" t="s">
        <v>57</v>
      </c>
      <c r="H71" s="3">
        <v>31</v>
      </c>
      <c r="I71" s="4">
        <v>123</v>
      </c>
      <c r="J71" s="5">
        <v>372000000</v>
      </c>
      <c r="K71" s="6">
        <f t="shared" si="60"/>
        <v>124</v>
      </c>
      <c r="L71" s="7">
        <f>IF($J71=0,0,ROUND(MAX($J71*1.4,1620000*(1.497923^(MIN($E71,123)-117)))*1,0))</f>
        <v>520800000</v>
      </c>
      <c r="M71" s="4">
        <f t="shared" si="61"/>
        <v>125</v>
      </c>
      <c r="N71" s="8">
        <f>IF($J71=0,0,ROUND(MAX($J71*1.4*1.5,2190000*(1.580994^(MIN($E71,123)-117)))*1,0))</f>
        <v>781200000</v>
      </c>
      <c r="O71" s="6">
        <f t="shared" si="62"/>
        <v>127</v>
      </c>
      <c r="P71" s="7">
        <f>IF($J71=0,0,ROUND(MAX($J71*1.4*1.5*1.6,3500000*(1.57975^(MIN($E71,123)-117)))*1,0))</f>
        <v>1249920000</v>
      </c>
      <c r="Q71" s="4">
        <f t="shared" si="63"/>
        <v>129</v>
      </c>
      <c r="R71" s="8">
        <f>IF($J71=0,0,ROUND(MAX($J71*1.4*1.5*1.6*1.6,13100000*(1.429962^(MIN($E71,123)-117)))*1,0))</f>
        <v>1999872000</v>
      </c>
      <c r="S71" s="6">
        <f t="shared" si="64"/>
        <v>131</v>
      </c>
      <c r="T71" s="7">
        <f>IF($J71=0,0,ROUND(MAX($J71*1.4*1.5*1.6*1.6*2.2,42600000*(1.576904^(MIN($E71,123)-117)))*1,0))</f>
        <v>4399718400</v>
      </c>
      <c r="U71" s="4">
        <f t="shared" si="65"/>
        <v>134</v>
      </c>
      <c r="V71" s="8">
        <f>IF($J71=0,0,ROUND(MAX($J71*1.4*1.5*1.6*1.6*2.2*2.715,354000000*(1.642074^(MIN($E71,123)-117)))*1,0))</f>
        <v>11945235456</v>
      </c>
      <c r="W71" s="6">
        <f t="shared" si="66"/>
        <v>138</v>
      </c>
      <c r="X71" s="7">
        <f>IF($J71=0,0,ROUND(MAX($J71*1.4*1.5*1.6*1.6*2.2*2.715*2.6,3540000000*(1.579646^(MIN($E71,123)-117)))*1,0))</f>
        <v>54999899335</v>
      </c>
      <c r="Y71" s="4">
        <f t="shared" si="67"/>
        <v>140</v>
      </c>
      <c r="Z71" s="8">
        <f>IF($J71=0,0,ROUND(MAX($J71*1.4*1.5*1.6*1.6*2.2*2.715*2.6*1.4,6020000000*(1.651178^(MIN($E71,123)-117)))*1,0))</f>
        <v>122000006103</v>
      </c>
      <c r="AA71" s="6">
        <f t="shared" si="68"/>
        <v>142</v>
      </c>
      <c r="AB71" s="7">
        <f>IF($J71=0,0,ROUND(MAX($J71*1.4*1.5*1.6*1.6*2.2*2.715*2.6*1.4*1.4,8430000000*(1.651435^(MIN($E71,123)-117)))*1,0))</f>
        <v>171000146547</v>
      </c>
      <c r="AC71" s="4">
        <f t="shared" si="69"/>
        <v>144</v>
      </c>
      <c r="AD71" s="8">
        <f>IF($J71=0,0,ROUND(MAX($J71*1.4*1.5*1.6*1.6*2.2*2.715*2.6*1.4*1.4*1.5,12600000000*(1.652953^(MIN($E71,123)-117)))*1,0))</f>
        <v>257000267475</v>
      </c>
      <c r="AE71" s="6">
        <f t="shared" si="70"/>
        <v>147</v>
      </c>
      <c r="AF71" s="7">
        <f>IF($J71=0,0,ROUND(MAX($J71*1.4*1.5*1.6*1.6*2.2*2.715*2.6*1.4*1.4*1.5*1.5,18900000000*(1.65331^(MIN($E71,123)-117)))*1,0))</f>
        <v>386000226581</v>
      </c>
      <c r="AG71" s="4">
        <f t="shared" si="71"/>
        <v>150</v>
      </c>
      <c r="AH71" s="8">
        <f>IF($J71=0,0,ROUND(MAX($J71*1.4*1.5*1.6*1.6*2.2*2.715*2.6*1.4*1.4*1.5*1.5*3.2,60500000000*(1.654288^(MIN($E71,123)-117)))*1,0))</f>
        <v>1240001159555</v>
      </c>
    </row>
    <row r="72" spans="1:34" x14ac:dyDescent="0.25">
      <c r="A72" s="3">
        <v>39</v>
      </c>
      <c r="B72" s="3" t="s">
        <v>148</v>
      </c>
      <c r="C72" s="3" t="s">
        <v>24</v>
      </c>
      <c r="D72" s="3" t="s">
        <v>102</v>
      </c>
      <c r="E72" s="3">
        <v>123</v>
      </c>
      <c r="F72" s="3" t="s">
        <v>54</v>
      </c>
      <c r="G72" s="3" t="s">
        <v>95</v>
      </c>
      <c r="H72" s="3">
        <v>32</v>
      </c>
      <c r="I72" s="4">
        <v>123</v>
      </c>
      <c r="J72" s="5">
        <v>2330000000</v>
      </c>
      <c r="K72" s="6">
        <f t="shared" si="60"/>
        <v>124</v>
      </c>
      <c r="L72" s="7">
        <f>IF($J72=0,0,ROUND(MAX($J72*1.4,1620000*(1.497923^(MIN($E72,123)-117)))*1,0))</f>
        <v>3262000000</v>
      </c>
      <c r="M72" s="4">
        <f t="shared" si="61"/>
        <v>125</v>
      </c>
      <c r="N72" s="8">
        <f>IF($J72=0,0,ROUND(MAX($J72*1.4*1.5,2190000*(1.580994^(MIN($E72,123)-117)))*1,0))</f>
        <v>4893000000</v>
      </c>
      <c r="O72" s="6">
        <f t="shared" si="62"/>
        <v>127</v>
      </c>
      <c r="P72" s="7">
        <f>IF($J72=0,0,ROUND(MAX($J72*1.4*1.5*1.6,3500000*(1.57975^(MIN($E72,123)-117)))*1,0))</f>
        <v>7828800000</v>
      </c>
      <c r="Q72" s="4">
        <f t="shared" si="63"/>
        <v>129</v>
      </c>
      <c r="R72" s="8">
        <f>IF($J72=0,0,ROUND(MAX($J72*1.4*1.5*1.6*1.6,13100000*(1.429962^(MIN($E72,123)-117)))*1,0))</f>
        <v>12526080000</v>
      </c>
      <c r="S72" s="6">
        <f t="shared" si="64"/>
        <v>131</v>
      </c>
      <c r="T72" s="7">
        <f>IF($J72=0,0,ROUND(MAX($J72*1.4*1.5*1.6*1.6*2.2,42600000*(1.576904^(MIN($E72,123)-117)))*1,0))</f>
        <v>27557376000</v>
      </c>
      <c r="U72" s="4">
        <f t="shared" si="65"/>
        <v>134</v>
      </c>
      <c r="V72" s="8">
        <f>IF($J72=0,0,ROUND(MAX($J72*1.4*1.5*1.6*1.6*2.2*2.715,354000000*(1.642074^(MIN($E72,123)-117)))*1,0))</f>
        <v>74818275840</v>
      </c>
      <c r="W72" s="6">
        <f t="shared" si="66"/>
        <v>138</v>
      </c>
      <c r="X72" s="7">
        <f>IF($J72=0,0,ROUND(MAX($J72*1.4*1.5*1.6*1.6*2.2*2.715*2.6,3540000000*(1.579646^(MIN($E72,123)-117)))*1,0))</f>
        <v>194527517184</v>
      </c>
      <c r="Y72" s="4">
        <f t="shared" si="67"/>
        <v>140</v>
      </c>
      <c r="Z72" s="8">
        <f>IF($J72=0,0,ROUND(MAX($J72*1.4*1.5*1.6*1.6*2.2*2.715*2.6*1.4,6020000000*(1.651178^(MIN($E72,123)-117)))*1,0))</f>
        <v>272338524058</v>
      </c>
      <c r="AA72" s="6">
        <f t="shared" si="68"/>
        <v>142</v>
      </c>
      <c r="AB72" s="7">
        <f>IF($J72=0,0,ROUND(MAX($J72*1.4*1.5*1.6*1.6*2.2*2.715*2.6*1.4*1.4,8430000000*(1.651435^(MIN($E72,123)-117)))*1,0))</f>
        <v>381273933681</v>
      </c>
      <c r="AC72" s="4">
        <f t="shared" si="69"/>
        <v>144</v>
      </c>
      <c r="AD72" s="8">
        <f>IF($J72=0,0,ROUND(MAX($J72*1.4*1.5*1.6*1.6*2.2*2.715*2.6*1.4*1.4*1.5,12600000000*(1.652953^(MIN($E72,123)-117)))*1,0))</f>
        <v>571910900521</v>
      </c>
      <c r="AE72" s="6">
        <f t="shared" si="70"/>
        <v>147</v>
      </c>
      <c r="AF72" s="7">
        <f>IF($J72=0,0,ROUND(MAX($J72*1.4*1.5*1.6*1.6*2.2*2.715*2.6*1.4*1.4*1.5*1.5,18900000000*(1.65331^(MIN($E72,123)-117)))*1,0))</f>
        <v>857866350781</v>
      </c>
      <c r="AG72" s="4">
        <f t="shared" si="71"/>
        <v>150</v>
      </c>
      <c r="AH72" s="8">
        <f>IF($J72=0,0,ROUND(MAX($J72*1.4*1.5*1.6*1.6*2.2*2.715*2.6*1.4*1.4*1.5*1.5*3.2,60500000000*(1.654288^(MIN($E72,123)-117)))*1,0))</f>
        <v>2745172322501</v>
      </c>
    </row>
    <row r="73" spans="1:34" x14ac:dyDescent="0.25">
      <c r="A73" s="3">
        <v>43</v>
      </c>
      <c r="B73" s="3" t="s">
        <v>149</v>
      </c>
      <c r="C73" s="3" t="s">
        <v>24</v>
      </c>
      <c r="D73" s="3" t="s">
        <v>33</v>
      </c>
      <c r="E73" s="3">
        <v>123</v>
      </c>
      <c r="F73" s="3" t="s">
        <v>56</v>
      </c>
      <c r="G73" s="3" t="s">
        <v>57</v>
      </c>
      <c r="H73" s="3">
        <v>32</v>
      </c>
      <c r="I73" s="4">
        <v>123</v>
      </c>
      <c r="J73" s="5">
        <v>950000000</v>
      </c>
      <c r="K73" s="6">
        <f t="shared" si="60"/>
        <v>124</v>
      </c>
      <c r="L73" s="7">
        <f>IF($J73=0,0,ROUND(MAX($J73*1.4,1620000*(1.497923^(MIN($E73,123)-117)))*1,0))</f>
        <v>1330000000</v>
      </c>
      <c r="M73" s="4">
        <f t="shared" si="61"/>
        <v>125</v>
      </c>
      <c r="N73" s="8">
        <f>IF($J73=0,0,ROUND(MAX($J73*1.4*1.5,2190000*(1.580994^(MIN($E73,123)-117)))*1,0))</f>
        <v>1995000000</v>
      </c>
      <c r="O73" s="6">
        <f t="shared" si="62"/>
        <v>127</v>
      </c>
      <c r="P73" s="7">
        <f>IF($J73=0,0,ROUND(MAX($J73*1.4*1.5*1.6,3500000*(1.57975^(MIN($E73,123)-117)))*1,0))</f>
        <v>3192000000</v>
      </c>
      <c r="Q73" s="4">
        <f t="shared" si="63"/>
        <v>129</v>
      </c>
      <c r="R73" s="8">
        <f>IF($J73=0,0,ROUND(MAX($J73*1.4*1.5*1.6*1.6,13100000*(1.429962^(MIN($E73,123)-117)))*1,0))</f>
        <v>5107200000</v>
      </c>
      <c r="S73" s="6">
        <f t="shared" si="64"/>
        <v>131</v>
      </c>
      <c r="T73" s="7">
        <f>IF($J73=0,0,ROUND(MAX($J73*1.4*1.5*1.6*1.6*2.2,42600000*(1.576904^(MIN($E73,123)-117)))*1,0))</f>
        <v>11235840000</v>
      </c>
      <c r="U73" s="4">
        <f t="shared" si="65"/>
        <v>134</v>
      </c>
      <c r="V73" s="8">
        <f>IF($J73=0,0,ROUND(MAX($J73*1.4*1.5*1.6*1.6*2.2*2.715,354000000*(1.642074^(MIN($E73,123)-117)))*1,0))</f>
        <v>30505305600</v>
      </c>
      <c r="W73" s="6">
        <f t="shared" si="66"/>
        <v>138</v>
      </c>
      <c r="X73" s="7">
        <f>IF($J73=0,0,ROUND(MAX($J73*1.4*1.5*1.6*1.6*2.2*2.715*2.6,3540000000*(1.579646^(MIN($E73,123)-117)))*1,0))</f>
        <v>79313794560</v>
      </c>
      <c r="Y73" s="4">
        <f t="shared" si="67"/>
        <v>140</v>
      </c>
      <c r="Z73" s="8">
        <f>IF($J73=0,0,ROUND(MAX($J73*1.4*1.5*1.6*1.6*2.2*2.715*2.6*1.4,6020000000*(1.651178^(MIN($E73,123)-117)))*1,0))</f>
        <v>122000006103</v>
      </c>
      <c r="AA73" s="6">
        <f t="shared" si="68"/>
        <v>142</v>
      </c>
      <c r="AB73" s="7">
        <f>IF($J73=0,0,ROUND(MAX($J73*1.4*1.5*1.6*1.6*2.2*2.715*2.6*1.4*1.4,8430000000*(1.651435^(MIN($E73,123)-117)))*1,0))</f>
        <v>171000146547</v>
      </c>
      <c r="AC73" s="4">
        <f t="shared" si="69"/>
        <v>144</v>
      </c>
      <c r="AD73" s="8">
        <f>IF($J73=0,0,ROUND(MAX($J73*1.4*1.5*1.6*1.6*2.2*2.715*2.6*1.4*1.4*1.5,12600000000*(1.652953^(MIN($E73,123)-117)))*1,0))</f>
        <v>257000267475</v>
      </c>
      <c r="AE73" s="6">
        <f t="shared" si="70"/>
        <v>147</v>
      </c>
      <c r="AF73" s="7">
        <f>IF($J73=0,0,ROUND(MAX($J73*1.4*1.5*1.6*1.6*2.2*2.715*2.6*1.4*1.4*1.5*1.5,18900000000*(1.65331^(MIN($E73,123)-117)))*1,0))</f>
        <v>386000226581</v>
      </c>
      <c r="AG73" s="4">
        <f t="shared" si="71"/>
        <v>150</v>
      </c>
      <c r="AH73" s="8">
        <f>IF($J73=0,0,ROUND(MAX($J73*1.4*1.5*1.6*1.6*2.2*2.715*2.6*1.4*1.4*1.5*1.5*3.2,60500000000*(1.654288^(MIN($E73,123)-117)))*1,0))</f>
        <v>1240001159555</v>
      </c>
    </row>
    <row r="74" spans="1:34" x14ac:dyDescent="0.25">
      <c r="A74" s="3">
        <v>93</v>
      </c>
      <c r="B74" s="3" t="s">
        <v>150</v>
      </c>
      <c r="C74" s="3" t="s">
        <v>24</v>
      </c>
      <c r="D74" s="3" t="s">
        <v>33</v>
      </c>
      <c r="E74" s="3">
        <v>123</v>
      </c>
      <c r="F74" s="3" t="s">
        <v>42</v>
      </c>
      <c r="G74" s="3" t="s">
        <v>72</v>
      </c>
      <c r="H74" s="3">
        <v>31</v>
      </c>
      <c r="I74" s="4">
        <v>123</v>
      </c>
      <c r="J74" s="5">
        <v>209000000</v>
      </c>
      <c r="K74" s="6">
        <f t="shared" si="60"/>
        <v>124</v>
      </c>
      <c r="L74" s="7">
        <f>IF($J74=0,0,ROUND(MAX($J74*1.4,1620000*(1.497923^(MIN($E74,123)-117)))*1,0))</f>
        <v>292600000</v>
      </c>
      <c r="M74" s="4">
        <f t="shared" si="61"/>
        <v>125</v>
      </c>
      <c r="N74" s="8">
        <f>IF($J74=0,0,ROUND(MAX($J74*1.4*1.5,2190000*(1.580994^(MIN($E74,123)-117)))*1,0))</f>
        <v>438900000</v>
      </c>
      <c r="O74" s="6">
        <f t="shared" si="62"/>
        <v>127</v>
      </c>
      <c r="P74" s="7">
        <f>IF($J74=0,0,ROUND(MAX($J74*1.4*1.5*1.6,3500000*(1.57975^(MIN($E74,123)-117)))*1,0))</f>
        <v>702240000</v>
      </c>
      <c r="Q74" s="4">
        <f t="shared" si="63"/>
        <v>129</v>
      </c>
      <c r="R74" s="8">
        <f>IF($J74=0,0,ROUND(MAX($J74*1.4*1.5*1.6*1.6,13100000*(1.429962^(MIN($E74,123)-117)))*1,0))</f>
        <v>1123584000</v>
      </c>
      <c r="S74" s="6">
        <f t="shared" si="64"/>
        <v>131</v>
      </c>
      <c r="T74" s="7">
        <f>IF($J74=0,0,ROUND(MAX($J74*1.4*1.5*1.6*1.6*2.2,42600000*(1.576904^(MIN($E74,123)-117)))*1,0))</f>
        <v>2471884800</v>
      </c>
      <c r="U74" s="4">
        <f t="shared" si="65"/>
        <v>134</v>
      </c>
      <c r="V74" s="8">
        <f>IF($J74=0,0,ROUND(MAX($J74*1.4*1.5*1.6*1.6*2.2*2.715,354000000*(1.642074^(MIN($E74,123)-117)))*1,0))</f>
        <v>6940002232</v>
      </c>
      <c r="W74" s="6">
        <f t="shared" si="66"/>
        <v>138</v>
      </c>
      <c r="X74" s="7">
        <f>IF($J74=0,0,ROUND(MAX($J74*1.4*1.5*1.6*1.6*2.2*2.715*2.6,3540000000*(1.579646^(MIN($E74,123)-117)))*1,0))</f>
        <v>54999899335</v>
      </c>
      <c r="Y74" s="4">
        <f t="shared" si="67"/>
        <v>140</v>
      </c>
      <c r="Z74" s="8">
        <f>IF($J74=0,0,ROUND(MAX($J74*1.4*1.5*1.6*1.6*2.2*2.715*2.6*1.4,6020000000*(1.651178^(MIN($E74,123)-117)))*1,0))</f>
        <v>122000006103</v>
      </c>
      <c r="AA74" s="6">
        <f t="shared" si="68"/>
        <v>142</v>
      </c>
      <c r="AB74" s="7">
        <f>IF($J74=0,0,ROUND(MAX($J74*1.4*1.5*1.6*1.6*2.2*2.715*2.6*1.4*1.4,8430000000*(1.651435^(MIN($E74,123)-117)))*1,0))</f>
        <v>171000146547</v>
      </c>
      <c r="AC74" s="4">
        <f t="shared" si="69"/>
        <v>144</v>
      </c>
      <c r="AD74" s="8">
        <f>IF($J74=0,0,ROUND(MAX($J74*1.4*1.5*1.6*1.6*2.2*2.715*2.6*1.4*1.4*1.5,12600000000*(1.652953^(MIN($E74,123)-117)))*1,0))</f>
        <v>257000267475</v>
      </c>
      <c r="AE74" s="6">
        <f t="shared" si="70"/>
        <v>147</v>
      </c>
      <c r="AF74" s="7">
        <f>IF($J74=0,0,ROUND(MAX($J74*1.4*1.5*1.6*1.6*2.2*2.715*2.6*1.4*1.4*1.5*1.5,18900000000*(1.65331^(MIN($E74,123)-117)))*1,0))</f>
        <v>386000226581</v>
      </c>
      <c r="AG74" s="4">
        <f t="shared" si="71"/>
        <v>150</v>
      </c>
      <c r="AH74" s="8">
        <f>IF($J74=0,0,ROUND(MAX($J74*1.4*1.5*1.6*1.6*2.2*2.715*2.6*1.4*1.4*1.5*1.5*3.2,60500000000*(1.654288^(MIN($E74,123)-117)))*1,0))</f>
        <v>1240001159555</v>
      </c>
    </row>
    <row r="75" spans="1:34" x14ac:dyDescent="0.25">
      <c r="A75" s="3">
        <v>87</v>
      </c>
      <c r="B75" s="3" t="s">
        <v>151</v>
      </c>
      <c r="C75" s="3" t="s">
        <v>24</v>
      </c>
      <c r="D75" s="3" t="s">
        <v>40</v>
      </c>
      <c r="E75" s="3">
        <v>123</v>
      </c>
      <c r="F75" s="3" t="s">
        <v>42</v>
      </c>
      <c r="G75" s="3" t="s">
        <v>95</v>
      </c>
      <c r="H75" s="3">
        <v>32</v>
      </c>
      <c r="I75" s="4">
        <v>123</v>
      </c>
      <c r="J75" s="5">
        <v>850000000</v>
      </c>
      <c r="K75" s="6">
        <f t="shared" si="60"/>
        <v>124</v>
      </c>
      <c r="L75" s="7">
        <f>IF($J75=0,0,ROUND(MAX($J75*1.4*1,4020000*(1.354082^(MIN($E75,123)-118))),0))</f>
        <v>1190000000</v>
      </c>
      <c r="M75" s="4">
        <f t="shared" si="61"/>
        <v>125</v>
      </c>
      <c r="N75" s="8">
        <f>IF($J75=0,0,ROUND(MAX($J75*1.4*1.5*1,6950000*(1.375334^(MIN($E75,123)-118))),0))</f>
        <v>1785000000</v>
      </c>
      <c r="O75" s="6">
        <f t="shared" si="62"/>
        <v>127</v>
      </c>
      <c r="P75" s="7">
        <f>IF($J75=0,0,ROUND(MAX($J75*1.4*1.5*1.6*1,23900000*(1.1788^(MIN($E75,123)-118))),0))</f>
        <v>2856000000</v>
      </c>
      <c r="Q75" s="4">
        <f t="shared" si="63"/>
        <v>129</v>
      </c>
      <c r="R75" s="8">
        <f>IF($J75=0,0,ROUND(MAX($J75*1.4*1.5*1.6*1.6*1.25,77000000*(1.127009^(MIN($E75,123)-118))),0))</f>
        <v>5712000000</v>
      </c>
      <c r="S75" s="6">
        <f t="shared" si="64"/>
        <v>131</v>
      </c>
      <c r="T75" s="7">
        <f>IF($J75=0,0,ROUND(MAX($J75*1.4*1.5*1.6*1.6*2.2*1.25,270000000*(1.248411^(MIN($E75,123)-118))),0))</f>
        <v>12566400000</v>
      </c>
      <c r="U75" s="4">
        <f t="shared" si="65"/>
        <v>134</v>
      </c>
      <c r="V75" s="8">
        <f>IF($J75=0,0,ROUND(MAX($J75*1.4*1.5*1.6*1.6*2.2*2.715*1.25,2400000000*(1.293039^(MIN($E75,123)-118))),0))</f>
        <v>34117776000</v>
      </c>
      <c r="W75" s="6">
        <f t="shared" si="66"/>
        <v>138</v>
      </c>
      <c r="X75" s="7">
        <f>IF($J75=0,0,ROUND(MAX($J75*1.4*1.5*1.6*1.6*2.2*2.715*2.6*1.25,20000000000*(1.280114^(MIN($E75,123)-118))),0))</f>
        <v>88706217600</v>
      </c>
      <c r="Y75" s="4">
        <f t="shared" si="67"/>
        <v>140</v>
      </c>
      <c r="Z75" s="8">
        <f>IF($J75=0,0,ROUND(MAX($J75*1.4*1.5*1.6*1.6*2.2*2.715*2.6*1.4*1.25,39200000000*(1.31219^(MIN($E75,123)-118))),0))</f>
        <v>152499944536</v>
      </c>
      <c r="AA75" s="6">
        <f t="shared" si="68"/>
        <v>142</v>
      </c>
      <c r="AB75" s="7">
        <f>IF($J75=0,0,ROUND(MAX($J75*1.4*1.5*1.6*1.6*2.2*2.715*2.6*1.4*1.4*1.25,54900000000*(1.312402^(MIN($E75,123)-118))),0))</f>
        <v>213750314393</v>
      </c>
      <c r="AC75" s="4">
        <f t="shared" si="69"/>
        <v>144</v>
      </c>
      <c r="AD75" s="8">
        <f>IF($J75=0,0,ROUND(MAX($J75*1.4*1.5*1.6*1.6*2.2*2.715*2.6*1.4*1.4*1.5*1.25,82400000000*(1.312754^(MIN($E75,123)-118))),0))</f>
        <v>321250611518</v>
      </c>
      <c r="AE75" s="6">
        <f t="shared" si="70"/>
        <v>147</v>
      </c>
      <c r="AF75" s="7">
        <f>IF($J75=0,0,ROUND(MAX($J75*1.4*1.5*1.6*1.6*2.2*2.715*2.6*1.4*1.4*1.5*1.5*1.25,124000000000*(1.312246^(MIN($E75,123)-118))),0))</f>
        <v>482500728361</v>
      </c>
      <c r="AG75" s="4">
        <f t="shared" si="71"/>
        <v>150</v>
      </c>
      <c r="AH75" s="8">
        <f>IF($J75=0,0,ROUND(MAX($J75*1.4*1.5*1.6*1.6*2.2*2.715*2.6*1.4*1.4*1.5*1.5*3.2*1.25,397000000000*(1.313132^(MIN($E75,123)-118))),0))</f>
        <v>1550002616035</v>
      </c>
    </row>
    <row r="76" spans="1:34" x14ac:dyDescent="0.25">
      <c r="A76" s="3">
        <v>96</v>
      </c>
      <c r="B76" s="3" t="s">
        <v>152</v>
      </c>
      <c r="C76" s="3" t="s">
        <v>24</v>
      </c>
      <c r="D76" s="3" t="s">
        <v>29</v>
      </c>
      <c r="E76" s="3">
        <v>123</v>
      </c>
      <c r="F76" s="3" t="s">
        <v>71</v>
      </c>
      <c r="G76" s="3" t="s">
        <v>38</v>
      </c>
      <c r="H76" s="3">
        <v>31</v>
      </c>
      <c r="I76" s="4">
        <v>123</v>
      </c>
      <c r="J76" s="5">
        <v>268000000</v>
      </c>
      <c r="K76" s="6">
        <f t="shared" si="60"/>
        <v>124</v>
      </c>
      <c r="L76" s="7">
        <f>IF($J76=0,0,ROUND(MAX($J76*1.4*1,4020000*(1.354082^(MIN($E76,123)-118))),0))</f>
        <v>375200000</v>
      </c>
      <c r="M76" s="4">
        <f t="shared" si="61"/>
        <v>125</v>
      </c>
      <c r="N76" s="8">
        <f>IF($J76=0,0,ROUND(MAX($J76*1.4*1.5*1,6950000*(1.375334^(MIN($E76,123)-118))),0))</f>
        <v>562800000</v>
      </c>
      <c r="O76" s="6">
        <f t="shared" si="62"/>
        <v>127</v>
      </c>
      <c r="P76" s="7">
        <f>IF($J76=0,0,ROUND(MAX($J76*1.4*1.5*1.6*1,23900000*(1.1788^(MIN($E76,123)-118))),0))</f>
        <v>900480000</v>
      </c>
      <c r="Q76" s="4">
        <f t="shared" si="63"/>
        <v>129</v>
      </c>
      <c r="R76" s="8">
        <f>IF($J76=0,0,ROUND(MAX($J76*1.4*1.5*1.6*1.6*1.25,77000000*(1.127009^(MIN($E76,123)-118))),0))</f>
        <v>1800960000</v>
      </c>
      <c r="S76" s="6">
        <f t="shared" si="64"/>
        <v>131</v>
      </c>
      <c r="T76" s="7">
        <f>IF($J76=0,0,ROUND(MAX($J76*1.4*1.5*1.6*1.6*2.2*1.25,270000000*(1.248411^(MIN($E76,123)-118))),0))</f>
        <v>3962112000</v>
      </c>
      <c r="U76" s="4">
        <f t="shared" si="65"/>
        <v>134</v>
      </c>
      <c r="V76" s="8">
        <f>IF($J76=0,0,ROUND(MAX($J76*1.4*1.5*1.6*1.6*2.2*2.715*1.25,2400000000*(1.293039^(MIN($E76,123)-118))),0))</f>
        <v>10757134080</v>
      </c>
      <c r="W76" s="6">
        <f t="shared" si="66"/>
        <v>138</v>
      </c>
      <c r="X76" s="7">
        <f>IF($J76=0,0,ROUND(MAX($J76*1.4*1.5*1.6*1.6*2.2*2.715*2.6*1.25,20000000000*(1.280114^(MIN($E76,123)-118))),0))</f>
        <v>68750083829</v>
      </c>
      <c r="Y76" s="4">
        <f t="shared" si="67"/>
        <v>140</v>
      </c>
      <c r="Z76" s="8">
        <f>IF($J76=0,0,ROUND(MAX($J76*1.4*1.5*1.6*1.6*2.2*2.715*2.6*1.4*1.25,39200000000*(1.31219^(MIN($E76,123)-118))),0))</f>
        <v>152499944536</v>
      </c>
      <c r="AA76" s="6">
        <f t="shared" si="68"/>
        <v>142</v>
      </c>
      <c r="AB76" s="7">
        <f>IF($J76=0,0,ROUND(MAX($J76*1.4*1.5*1.6*1.6*2.2*2.715*2.6*1.4*1.4*1.25,54900000000*(1.312402^(MIN($E76,123)-118))),0))</f>
        <v>213750314393</v>
      </c>
      <c r="AC76" s="4">
        <f t="shared" si="69"/>
        <v>144</v>
      </c>
      <c r="AD76" s="8">
        <f>IF($J76=0,0,ROUND(MAX($J76*1.4*1.5*1.6*1.6*2.2*2.715*2.6*1.4*1.4*1.5*1.25,82400000000*(1.312754^(MIN($E76,123)-118))),0))</f>
        <v>321250611518</v>
      </c>
      <c r="AE76" s="6">
        <f t="shared" si="70"/>
        <v>147</v>
      </c>
      <c r="AF76" s="7">
        <f>IF($J76=0,0,ROUND(MAX($J76*1.4*1.5*1.6*1.6*2.2*2.715*2.6*1.4*1.4*1.5*1.5*1.25,124000000000*(1.312246^(MIN($E76,123)-118))),0))</f>
        <v>482500728361</v>
      </c>
      <c r="AG76" s="4">
        <f t="shared" si="71"/>
        <v>150</v>
      </c>
      <c r="AH76" s="8">
        <f>IF($J76=0,0,ROUND(MAX($J76*1.4*1.5*1.6*1.6*2.2*2.715*2.6*1.4*1.4*1.5*1.5*3.2*1.25,397000000000*(1.313132^(MIN($E76,123)-118))),0))</f>
        <v>1550002616035</v>
      </c>
    </row>
    <row r="77" spans="1:34" x14ac:dyDescent="0.25">
      <c r="A77" s="3">
        <v>41</v>
      </c>
      <c r="B77" s="3" t="s">
        <v>153</v>
      </c>
      <c r="C77" s="3" t="s">
        <v>24</v>
      </c>
      <c r="D77" s="3" t="s">
        <v>25</v>
      </c>
      <c r="E77" s="3">
        <v>123</v>
      </c>
      <c r="F77" s="3" t="s">
        <v>56</v>
      </c>
      <c r="G77" s="3" t="s">
        <v>133</v>
      </c>
      <c r="H77" s="3">
        <v>32</v>
      </c>
      <c r="I77" s="4">
        <v>123</v>
      </c>
      <c r="J77" s="5">
        <v>936000000</v>
      </c>
      <c r="K77" s="6">
        <f t="shared" si="60"/>
        <v>124</v>
      </c>
      <c r="L77" s="7">
        <f>IF($J77=0,0,ROUND(MAX($J77*1.4*1,4020000*(1.354082^(MIN($E77,123)-118))),0))</f>
        <v>1310400000</v>
      </c>
      <c r="M77" s="4">
        <f t="shared" si="61"/>
        <v>125</v>
      </c>
      <c r="N77" s="8">
        <f>IF($J77=0,0,ROUND(MAX($J77*1.4*1.5*1,6950000*(1.375334^(MIN($E77,123)-118))),0))</f>
        <v>1965600000</v>
      </c>
      <c r="O77" s="6">
        <f t="shared" si="62"/>
        <v>127</v>
      </c>
      <c r="P77" s="7">
        <f>IF($J77=0,0,ROUND(MAX($J77*1.4*1.5*1.6*1,23900000*(1.1788^(MIN($E77,123)-118))),0))</f>
        <v>3144960000</v>
      </c>
      <c r="Q77" s="4">
        <f t="shared" si="63"/>
        <v>129</v>
      </c>
      <c r="R77" s="8">
        <f>IF($J77=0,0,ROUND(MAX($J77*1.4*1.5*1.6*1.6*1.25,77000000*(1.127009^(MIN($E77,123)-118))),0))</f>
        <v>6289920000</v>
      </c>
      <c r="S77" s="6">
        <f t="shared" si="64"/>
        <v>131</v>
      </c>
      <c r="T77" s="7">
        <f>IF($J77=0,0,ROUND(MAX($J77*1.4*1.5*1.6*1.6*2.2*1.25,270000000*(1.248411^(MIN($E77,123)-118))),0))</f>
        <v>13837824000</v>
      </c>
      <c r="U77" s="4">
        <f t="shared" si="65"/>
        <v>134</v>
      </c>
      <c r="V77" s="8">
        <f>IF($J77=0,0,ROUND(MAX($J77*1.4*1.5*1.6*1.6*2.2*2.715*1.25,2400000000*(1.293039^(MIN($E77,123)-118))),0))</f>
        <v>37569692160</v>
      </c>
      <c r="W77" s="6">
        <f t="shared" si="66"/>
        <v>138</v>
      </c>
      <c r="X77" s="7">
        <f>IF($J77=0,0,ROUND(MAX($J77*1.4*1.5*1.6*1.6*2.2*2.715*2.6*1.25,20000000000*(1.280114^(MIN($E77,123)-118))),0))</f>
        <v>97681199616</v>
      </c>
      <c r="Y77" s="4">
        <f t="shared" si="67"/>
        <v>140</v>
      </c>
      <c r="Z77" s="8">
        <f>IF($J77=0,0,ROUND(MAX($J77*1.4*1.5*1.6*1.6*2.2*2.715*2.6*1.4*1.25,39200000000*(1.31219^(MIN($E77,123)-118))),0))</f>
        <v>152499944536</v>
      </c>
      <c r="AA77" s="6">
        <f t="shared" si="68"/>
        <v>142</v>
      </c>
      <c r="AB77" s="7">
        <f>IF($J77=0,0,ROUND(MAX($J77*1.4*1.5*1.6*1.6*2.2*2.715*2.6*1.4*1.4*1.25,54900000000*(1.312402^(MIN($E77,123)-118))),0))</f>
        <v>213750314393</v>
      </c>
      <c r="AC77" s="4">
        <f t="shared" si="69"/>
        <v>144</v>
      </c>
      <c r="AD77" s="8">
        <f>IF($J77=0,0,ROUND(MAX($J77*1.4*1.5*1.6*1.6*2.2*2.715*2.6*1.4*1.4*1.5*1.25,82400000000*(1.312754^(MIN($E77,123)-118))),0))</f>
        <v>321250611518</v>
      </c>
      <c r="AE77" s="6">
        <f t="shared" si="70"/>
        <v>147</v>
      </c>
      <c r="AF77" s="7">
        <f>IF($J77=0,0,ROUND(MAX($J77*1.4*1.5*1.6*1.6*2.2*2.715*2.6*1.4*1.4*1.5*1.5*1.25,124000000000*(1.312246^(MIN($E77,123)-118))),0))</f>
        <v>482500728361</v>
      </c>
      <c r="AG77" s="4">
        <f t="shared" si="71"/>
        <v>150</v>
      </c>
      <c r="AH77" s="8">
        <f>IF($J77=0,0,ROUND(MAX($J77*1.4*1.5*1.6*1.6*2.2*2.715*2.6*1.4*1.4*1.5*1.5*3.2*1.25,397000000000*(1.313132^(MIN($E77,123)-118))),0))</f>
        <v>1550002616035</v>
      </c>
    </row>
    <row r="78" spans="1:34" x14ac:dyDescent="0.25">
      <c r="A78" s="3">
        <v>84</v>
      </c>
      <c r="B78" s="3" t="s">
        <v>154</v>
      </c>
      <c r="C78" s="3" t="s">
        <v>24</v>
      </c>
      <c r="D78" s="3" t="s">
        <v>45</v>
      </c>
      <c r="E78" s="3">
        <v>123</v>
      </c>
      <c r="F78" s="3" t="s">
        <v>34</v>
      </c>
      <c r="G78" s="3" t="s">
        <v>38</v>
      </c>
      <c r="H78" s="3">
        <v>32</v>
      </c>
      <c r="I78" s="4">
        <v>123</v>
      </c>
      <c r="J78" s="5">
        <v>9240000000</v>
      </c>
      <c r="K78" s="6">
        <f t="shared" si="60"/>
        <v>124</v>
      </c>
      <c r="L78" s="7">
        <f>IF($J78=0,0,ROUND(MAX($J78*1.4*1,4020000*(1.354082^(MIN($E78,123)-118))),0))</f>
        <v>12936000000</v>
      </c>
      <c r="M78" s="4">
        <f t="shared" si="61"/>
        <v>125</v>
      </c>
      <c r="N78" s="8">
        <f>IF($J78=0,0,ROUND(MAX($J78*1.4*1.5*1,6950000*(1.375334^(MIN($E78,123)-118))),0))</f>
        <v>19404000000</v>
      </c>
      <c r="O78" s="6">
        <f t="shared" si="62"/>
        <v>127</v>
      </c>
      <c r="P78" s="7">
        <f>IF($J78=0,0,ROUND(MAX($J78*1.4*1.5*1.6*1,23900000*(1.1788^(MIN($E78,123)-118))),0))</f>
        <v>31046400000</v>
      </c>
      <c r="Q78" s="4">
        <f t="shared" si="63"/>
        <v>129</v>
      </c>
      <c r="R78" s="8">
        <f>IF($J78=0,0,ROUND(MAX($J78*1.4*1.5*1.6*1.6*1.25,77000000*(1.127009^(MIN($E78,123)-118))),0))</f>
        <v>62092800000</v>
      </c>
      <c r="S78" s="6">
        <f t="shared" si="64"/>
        <v>131</v>
      </c>
      <c r="T78" s="7">
        <f>IF($J78=0,0,ROUND(MAX($J78*1.4*1.5*1.6*1.6*2.2*1.25,270000000*(1.248411^(MIN($E78,123)-118))),0))</f>
        <v>136604160000</v>
      </c>
      <c r="U78" s="4">
        <f t="shared" si="65"/>
        <v>134</v>
      </c>
      <c r="V78" s="8">
        <f>IF($J78=0,0,ROUND(MAX($J78*1.4*1.5*1.6*1.6*2.2*2.715*1.25,2400000000*(1.293039^(MIN($E78,123)-118))),0))</f>
        <v>370880294400</v>
      </c>
      <c r="W78" s="6">
        <f t="shared" si="66"/>
        <v>138</v>
      </c>
      <c r="X78" s="7">
        <f>IF($J78=0,0,ROUND(MAX($J78*1.4*1.5*1.6*1.6*2.2*2.715*2.6*1.25,20000000000*(1.280114^(MIN($E78,123)-118))),0))</f>
        <v>964288765440</v>
      </c>
      <c r="Y78" s="4">
        <f t="shared" si="67"/>
        <v>140</v>
      </c>
      <c r="Z78" s="8">
        <f>IF($J78=0,0,ROUND(MAX($J78*1.4*1.5*1.6*1.6*2.2*2.715*2.6*1.4*1.25,39200000000*(1.31219^(MIN($E78,123)-118))),0))</f>
        <v>1350004271616</v>
      </c>
      <c r="AA78" s="6">
        <f t="shared" si="68"/>
        <v>142</v>
      </c>
      <c r="AB78" s="7">
        <f>IF($J78=0,0,ROUND(MAX($J78*1.4*1.5*1.6*1.6*2.2*2.715*2.6*1.4*1.4*1.25,54900000000*(1.312402^(MIN($E78,123)-118))),0))</f>
        <v>1890005980262</v>
      </c>
      <c r="AC78" s="4">
        <f t="shared" si="69"/>
        <v>144</v>
      </c>
      <c r="AD78" s="8">
        <f>IF($J78=0,0,ROUND(MAX($J78*1.4*1.5*1.6*1.6*2.2*2.715*2.6*1.4*1.4*1.5*1.25,82400000000*(1.312754^(MIN($E78,123)-118))),0))</f>
        <v>2835008970394</v>
      </c>
      <c r="AE78" s="6">
        <f t="shared" si="70"/>
        <v>147</v>
      </c>
      <c r="AF78" s="7">
        <f>IF($J78=0,0,ROUND(MAX($J78*1.4*1.5*1.6*1.6*2.2*2.715*2.6*1.4*1.4*1.5*1.5*1.25,124000000000*(1.312246^(MIN($E78,123)-118))),0))</f>
        <v>4252513455590</v>
      </c>
      <c r="AG78" s="4">
        <f t="shared" si="71"/>
        <v>150</v>
      </c>
      <c r="AH78" s="8">
        <f>IF($J78=0,0,ROUND(MAX($J78*1.4*1.5*1.6*1.6*2.2*2.715*2.6*1.4*1.4*1.5*1.5*3.2*1.25,397000000000*(1.313132^(MIN($E78,123)-118))),0))</f>
        <v>13608043057889</v>
      </c>
    </row>
    <row r="79" spans="1:34" x14ac:dyDescent="0.25">
      <c r="A79" s="3">
        <v>97</v>
      </c>
      <c r="B79" s="3" t="s">
        <v>155</v>
      </c>
      <c r="C79" s="3" t="s">
        <v>24</v>
      </c>
      <c r="D79" s="3" t="s">
        <v>45</v>
      </c>
      <c r="E79" s="3">
        <v>123</v>
      </c>
      <c r="F79" s="3" t="s">
        <v>71</v>
      </c>
      <c r="G79" s="3" t="s">
        <v>133</v>
      </c>
      <c r="H79" s="3">
        <v>31</v>
      </c>
      <c r="I79" s="4">
        <v>123</v>
      </c>
      <c r="J79" s="5">
        <v>6580000000</v>
      </c>
      <c r="K79" s="6">
        <f t="shared" si="60"/>
        <v>124</v>
      </c>
      <c r="L79" s="7">
        <f>IF($J79=0,0,ROUND(MAX($J79*1.4*1,4020000*(1.354082^(MIN($E79,123)-118))),0))</f>
        <v>9212000000</v>
      </c>
      <c r="M79" s="4">
        <f t="shared" si="61"/>
        <v>125</v>
      </c>
      <c r="N79" s="8">
        <f>IF($J79=0,0,ROUND(MAX($J79*1.4*1.5*1,6950000*(1.375334^(MIN($E79,123)-118))),0))</f>
        <v>13818000000</v>
      </c>
      <c r="O79" s="6">
        <f t="shared" si="62"/>
        <v>127</v>
      </c>
      <c r="P79" s="7">
        <f>IF($J79=0,0,ROUND(MAX($J79*1.4*1.5*1.6*1,23900000*(1.1788^(MIN($E79,123)-118))),0))</f>
        <v>22108800000</v>
      </c>
      <c r="Q79" s="4">
        <f t="shared" si="63"/>
        <v>129</v>
      </c>
      <c r="R79" s="8">
        <f>IF($J79=0,0,ROUND(MAX($J79*1.4*1.5*1.6*1.6*1.25,77000000*(1.127009^(MIN($E79,123)-118))),0))</f>
        <v>44217600000</v>
      </c>
      <c r="S79" s="6">
        <f t="shared" si="64"/>
        <v>131</v>
      </c>
      <c r="T79" s="7">
        <f>IF($J79=0,0,ROUND(MAX($J79*1.4*1.5*1.6*1.6*2.2*1.25,270000000*(1.248411^(MIN($E79,123)-118))),0))</f>
        <v>97278720000</v>
      </c>
      <c r="U79" s="4">
        <f t="shared" si="65"/>
        <v>134</v>
      </c>
      <c r="V79" s="8">
        <f>IF($J79=0,0,ROUND(MAX($J79*1.4*1.5*1.6*1.6*2.2*2.715*1.25,2400000000*(1.293039^(MIN($E79,123)-118))),0))</f>
        <v>264111724800</v>
      </c>
      <c r="W79" s="6">
        <f t="shared" si="66"/>
        <v>138</v>
      </c>
      <c r="X79" s="7">
        <f>IF($J79=0,0,ROUND(MAX($J79*1.4*1.5*1.6*1.6*2.2*2.715*2.6*1.25,20000000000*(1.280114^(MIN($E79,123)-118))),0))</f>
        <v>686690484480</v>
      </c>
      <c r="Y79" s="4">
        <f t="shared" si="67"/>
        <v>140</v>
      </c>
      <c r="Z79" s="8">
        <f>IF($J79=0,0,ROUND(MAX($J79*1.4*1.5*1.6*1.6*2.2*2.715*2.6*1.4*1.25,39200000000*(1.31219^(MIN($E79,123)-118))),0))</f>
        <v>961366678272</v>
      </c>
      <c r="AA79" s="6">
        <f t="shared" si="68"/>
        <v>142</v>
      </c>
      <c r="AB79" s="7">
        <f>IF($J79=0,0,ROUND(MAX($J79*1.4*1.5*1.6*1.6*2.2*2.715*2.6*1.4*1.4*1.25,54900000000*(1.312402^(MIN($E79,123)-118))),0))</f>
        <v>1345913349581</v>
      </c>
      <c r="AC79" s="4">
        <f t="shared" si="69"/>
        <v>144</v>
      </c>
      <c r="AD79" s="8">
        <f>IF($J79=0,0,ROUND(MAX($J79*1.4*1.5*1.6*1.6*2.2*2.715*2.6*1.4*1.4*1.5*1.25,82400000000*(1.312754^(MIN($E79,123)-118))),0))</f>
        <v>2018870024371</v>
      </c>
      <c r="AE79" s="6">
        <f t="shared" si="70"/>
        <v>147</v>
      </c>
      <c r="AF79" s="7">
        <f>IF($J79=0,0,ROUND(MAX($J79*1.4*1.5*1.6*1.6*2.2*2.715*2.6*1.4*1.4*1.5*1.5*1.25,124000000000*(1.312246^(MIN($E79,123)-118))),0))</f>
        <v>3028305036557</v>
      </c>
      <c r="AG79" s="4">
        <f t="shared" si="71"/>
        <v>150</v>
      </c>
      <c r="AH79" s="8">
        <f>IF($J79=0,0,ROUND(MAX($J79*1.4*1.5*1.6*1.6*2.2*2.715*2.6*1.4*1.4*1.5*1.5*3.2*1.25,397000000000*(1.313132^(MIN($E79,123)-118))),0))</f>
        <v>9690576116982</v>
      </c>
    </row>
    <row r="80" spans="1:34" x14ac:dyDescent="0.25">
      <c r="A80" s="3">
        <v>119</v>
      </c>
      <c r="B80" s="3" t="s">
        <v>156</v>
      </c>
      <c r="C80" s="3" t="s">
        <v>24</v>
      </c>
      <c r="D80" s="3" t="s">
        <v>45</v>
      </c>
      <c r="E80" s="3">
        <v>122</v>
      </c>
      <c r="F80" s="3" t="s">
        <v>34</v>
      </c>
      <c r="G80" s="3" t="s">
        <v>35</v>
      </c>
      <c r="H80" s="3">
        <v>30</v>
      </c>
      <c r="I80" s="4">
        <v>122</v>
      </c>
      <c r="J80" s="5">
        <v>531000000</v>
      </c>
      <c r="K80" s="6">
        <f t="shared" si="60"/>
        <v>123</v>
      </c>
      <c r="L80" s="7">
        <f>IF($J80=0,0,ROUND(MAX($J80*1.4,1620000*(1.497923^(MIN($E80,123)-117)))*1,0))</f>
        <v>743400000</v>
      </c>
      <c r="M80" s="4">
        <f t="shared" si="61"/>
        <v>124</v>
      </c>
      <c r="N80" s="8">
        <f>IF($J80=0,0,ROUND(MAX($J80*1.4*1.5,2190000*(1.580994^(MIN($E80,123)-117)))*1,0))</f>
        <v>1115100000</v>
      </c>
      <c r="O80" s="6">
        <f t="shared" si="62"/>
        <v>126</v>
      </c>
      <c r="P80" s="7">
        <f>IF($J80=0,0,ROUND(MAX($J80*1.4*1.5*1.6,3500000*(1.57975^(MIN($E80,123)-117)))*1,0))</f>
        <v>1784160000</v>
      </c>
      <c r="Q80" s="4">
        <f t="shared" si="63"/>
        <v>128</v>
      </c>
      <c r="R80" s="8">
        <f>IF($J80=0,0,ROUND(MAX($J80*1.4*1.5*1.6*1.6,13100000*(1.429962^(MIN($E80,123)-117)))*1,0))</f>
        <v>2854656000</v>
      </c>
      <c r="S80" s="6">
        <f t="shared" si="64"/>
        <v>130</v>
      </c>
      <c r="T80" s="7">
        <f>IF($J80=0,0,ROUND(MAX($J80*1.4*1.5*1.6*1.6*2.2,42600000*(1.576904^(MIN($E80,123)-117)))*1,0))</f>
        <v>6280243200</v>
      </c>
      <c r="U80" s="4">
        <f t="shared" si="65"/>
        <v>133</v>
      </c>
      <c r="V80" s="8">
        <f>IF($J80=0,0,ROUND(MAX($J80*1.4*1.5*1.6*1.6*2.2*2.715,354000000*(1.642074^(MIN($E80,123)-117)))*1,0))</f>
        <v>17050860288</v>
      </c>
      <c r="W80" s="6">
        <f t="shared" si="66"/>
        <v>137</v>
      </c>
      <c r="X80" s="7">
        <f>IF($J80=0,0,ROUND(MAX($J80*1.4*1.5*1.6*1.6*2.2*2.715*2.6,3540000000*(1.579646^(MIN($E80,123)-117)))*1,0))</f>
        <v>44332236749</v>
      </c>
      <c r="Y80" s="4">
        <f t="shared" si="67"/>
        <v>139</v>
      </c>
      <c r="Z80" s="8">
        <f>IF($J80=0,0,ROUND(MAX($J80*1.4*1.5*1.6*1.6*2.2*2.715*2.6*1.4,6020000000*(1.651178^(MIN($E80,123)-117)))*1,0))</f>
        <v>73886647050</v>
      </c>
      <c r="AA80" s="6">
        <f t="shared" si="68"/>
        <v>141</v>
      </c>
      <c r="AB80" s="7">
        <f>IF($J80=0,0,ROUND(MAX($J80*1.4*1.5*1.6*1.6*2.2*2.715*2.6*1.4*1.4,8430000000*(1.651435^(MIN($E80,123)-117)))*1,0))</f>
        <v>103546398464</v>
      </c>
      <c r="AC80" s="4">
        <f t="shared" si="69"/>
        <v>143</v>
      </c>
      <c r="AD80" s="8">
        <f>IF($J80=0,0,ROUND(MAX($J80*1.4*1.5*1.6*1.6*2.2*2.715*2.6*1.4*1.4*1.5,12600000000*(1.652953^(MIN($E80,123)-117)))*1,0))</f>
        <v>155479476715</v>
      </c>
      <c r="AE80" s="6">
        <f t="shared" si="70"/>
        <v>146</v>
      </c>
      <c r="AF80" s="7">
        <f>IF($J80=0,0,ROUND(MAX($J80*1.4*1.5*1.6*1.6*2.2*2.715*2.6*1.4*1.4*1.5*1.5,18900000000*(1.65331^(MIN($E80,123)-117)))*1,0))</f>
        <v>233471173936</v>
      </c>
      <c r="AG80" s="4">
        <f t="shared" si="71"/>
        <v>149</v>
      </c>
      <c r="AH80" s="8">
        <f>IF($J80=0,0,ROUND(MAX($J80*1.4*1.5*1.6*1.6*2.2*2.715*2.6*1.4*1.4*1.5*1.5*3.2,60500000000*(1.654288^(MIN($E80,123)-117)))*1,0))</f>
        <v>749567886338</v>
      </c>
    </row>
    <row r="81" spans="1:34" x14ac:dyDescent="0.25">
      <c r="A81" s="3">
        <v>107</v>
      </c>
      <c r="B81" s="3" t="s">
        <v>157</v>
      </c>
      <c r="C81" s="3" t="s">
        <v>24</v>
      </c>
      <c r="D81" s="3" t="s">
        <v>40</v>
      </c>
      <c r="E81" s="3">
        <v>122</v>
      </c>
      <c r="F81" s="3" t="s">
        <v>71</v>
      </c>
      <c r="G81" s="3" t="s">
        <v>38</v>
      </c>
      <c r="H81" s="3">
        <v>31</v>
      </c>
      <c r="I81" s="4">
        <v>122</v>
      </c>
      <c r="J81" s="5">
        <v>360000000</v>
      </c>
      <c r="K81" s="6">
        <f t="shared" si="60"/>
        <v>123</v>
      </c>
      <c r="L81" s="7">
        <f>IF($J81=0,0,ROUND(MAX($J81*1.4,1620000*(1.497923^(MIN($E81,123)-117)))*1,0))</f>
        <v>504000000</v>
      </c>
      <c r="M81" s="4">
        <f t="shared" si="61"/>
        <v>124</v>
      </c>
      <c r="N81" s="8">
        <f>IF($J81=0,0,ROUND(MAX($J81*1.4*1.5,2190000*(1.580994^(MIN($E81,123)-117)))*1,0))</f>
        <v>756000000</v>
      </c>
      <c r="O81" s="6">
        <f t="shared" si="62"/>
        <v>126</v>
      </c>
      <c r="P81" s="7">
        <f>IF($J81=0,0,ROUND(MAX($J81*1.4*1.5*1.6,3500000*(1.57975^(MIN($E81,123)-117)))*1,0))</f>
        <v>1209600000</v>
      </c>
      <c r="Q81" s="4">
        <f t="shared" si="63"/>
        <v>128</v>
      </c>
      <c r="R81" s="8">
        <f>IF($J81=0,0,ROUND(MAX($J81*1.4*1.5*1.6*1.6,13100000*(1.429962^(MIN($E81,123)-117)))*1,0))</f>
        <v>1935360000</v>
      </c>
      <c r="S81" s="6">
        <f t="shared" si="64"/>
        <v>130</v>
      </c>
      <c r="T81" s="7">
        <f>IF($J81=0,0,ROUND(MAX($J81*1.4*1.5*1.6*1.6*2.2,42600000*(1.576904^(MIN($E81,123)-117)))*1,0))</f>
        <v>4257792000</v>
      </c>
      <c r="U81" s="4">
        <f t="shared" si="65"/>
        <v>133</v>
      </c>
      <c r="V81" s="8">
        <f>IF($J81=0,0,ROUND(MAX($J81*1.4*1.5*1.6*1.6*2.2*2.715,354000000*(1.642074^(MIN($E81,123)-117)))*1,0))</f>
        <v>11559905280</v>
      </c>
      <c r="W81" s="6">
        <f t="shared" si="66"/>
        <v>137</v>
      </c>
      <c r="X81" s="7">
        <f>IF($J81=0,0,ROUND(MAX($J81*1.4*1.5*1.6*1.6*2.2*2.715*2.6,3540000000*(1.579646^(MIN($E81,123)-117)))*1,0))</f>
        <v>34817863835</v>
      </c>
      <c r="Y81" s="4">
        <f t="shared" si="67"/>
        <v>139</v>
      </c>
      <c r="Z81" s="8">
        <f>IF($J81=0,0,ROUND(MAX($J81*1.4*1.5*1.6*1.6*2.2*2.715*2.6*1.4,6020000000*(1.651178^(MIN($E81,123)-117)))*1,0))</f>
        <v>73886647050</v>
      </c>
      <c r="AA81" s="6">
        <f t="shared" si="68"/>
        <v>141</v>
      </c>
      <c r="AB81" s="7">
        <f>IF($J81=0,0,ROUND(MAX($J81*1.4*1.5*1.6*1.6*2.2*2.715*2.6*1.4*1.4,8430000000*(1.651435^(MIN($E81,123)-117)))*1,0))</f>
        <v>103546398464</v>
      </c>
      <c r="AC81" s="4">
        <f t="shared" si="69"/>
        <v>143</v>
      </c>
      <c r="AD81" s="8">
        <f>IF($J81=0,0,ROUND(MAX($J81*1.4*1.5*1.6*1.6*2.2*2.715*2.6*1.4*1.4*1.5,12600000000*(1.652953^(MIN($E81,123)-117)))*1,0))</f>
        <v>155479476715</v>
      </c>
      <c r="AE81" s="6">
        <f t="shared" si="70"/>
        <v>146</v>
      </c>
      <c r="AF81" s="7">
        <f>IF($J81=0,0,ROUND(MAX($J81*1.4*1.5*1.6*1.6*2.2*2.715*2.6*1.4*1.4*1.5*1.5,18900000000*(1.65331^(MIN($E81,123)-117)))*1,0))</f>
        <v>233471173936</v>
      </c>
      <c r="AG81" s="4">
        <f t="shared" si="71"/>
        <v>149</v>
      </c>
      <c r="AH81" s="8">
        <f>IF($J81=0,0,ROUND(MAX($J81*1.4*1.5*1.6*1.6*2.2*2.715*2.6*1.4*1.4*1.5*1.5*3.2,60500000000*(1.654288^(MIN($E81,123)-117)))*1,0))</f>
        <v>749567886338</v>
      </c>
    </row>
    <row r="82" spans="1:34" x14ac:dyDescent="0.25">
      <c r="A82" s="3">
        <v>120</v>
      </c>
      <c r="B82" s="3" t="s">
        <v>158</v>
      </c>
      <c r="C82" s="3" t="s">
        <v>24</v>
      </c>
      <c r="D82" s="3" t="s">
        <v>102</v>
      </c>
      <c r="E82" s="3">
        <v>122</v>
      </c>
      <c r="F82" s="3" t="s">
        <v>54</v>
      </c>
      <c r="G82" s="3" t="s">
        <v>98</v>
      </c>
      <c r="H82" s="3">
        <v>30</v>
      </c>
      <c r="I82" s="4">
        <v>122</v>
      </c>
      <c r="J82" s="5">
        <v>314300000</v>
      </c>
      <c r="K82" s="6">
        <f t="shared" si="60"/>
        <v>123</v>
      </c>
      <c r="L82" s="7">
        <f>IF($J82=0,0,ROUND(MAX($J82*1.4,1620000*(1.497923^(MIN($E82,123)-117)))*1,0))</f>
        <v>440020000</v>
      </c>
      <c r="M82" s="4">
        <f t="shared" si="61"/>
        <v>124</v>
      </c>
      <c r="N82" s="8">
        <f>IF($J82=0,0,ROUND(MAX($J82*1.4*1.5,2190000*(1.580994^(MIN($E82,123)-117)))*1,0))</f>
        <v>660030000</v>
      </c>
      <c r="O82" s="6">
        <f t="shared" si="62"/>
        <v>126</v>
      </c>
      <c r="P82" s="7">
        <f>IF($J82=0,0,ROUND(MAX($J82*1.4*1.5*1.6,3500000*(1.57975^(MIN($E82,123)-117)))*1,0))</f>
        <v>1056048000</v>
      </c>
      <c r="Q82" s="4">
        <f t="shared" si="63"/>
        <v>128</v>
      </c>
      <c r="R82" s="8">
        <f>IF($J82=0,0,ROUND(MAX($J82*1.4*1.5*1.6*1.6,13100000*(1.429962^(MIN($E82,123)-117)))*1,0))</f>
        <v>1689676800</v>
      </c>
      <c r="S82" s="6">
        <f t="shared" si="64"/>
        <v>130</v>
      </c>
      <c r="T82" s="7">
        <f>IF($J82=0,0,ROUND(MAX($J82*1.4*1.5*1.6*1.6*2.2,42600000*(1.576904^(MIN($E82,123)-117)))*1,0))</f>
        <v>3717288960</v>
      </c>
      <c r="U82" s="4">
        <f t="shared" si="65"/>
        <v>133</v>
      </c>
      <c r="V82" s="8">
        <f>IF($J82=0,0,ROUND(MAX($J82*1.4*1.5*1.6*1.6*2.2*2.715,354000000*(1.642074^(MIN($E82,123)-117)))*1,0))</f>
        <v>10092439526</v>
      </c>
      <c r="W82" s="6">
        <f t="shared" si="66"/>
        <v>137</v>
      </c>
      <c r="X82" s="7">
        <f>IF($J82=0,0,ROUND(MAX($J82*1.4*1.5*1.6*1.6*2.2*2.715*2.6,3540000000*(1.579646^(MIN($E82,123)-117)))*1,0))</f>
        <v>34817863835</v>
      </c>
      <c r="Y82" s="4">
        <f t="shared" si="67"/>
        <v>139</v>
      </c>
      <c r="Z82" s="8">
        <f>IF($J82=0,0,ROUND(MAX($J82*1.4*1.5*1.6*1.6*2.2*2.715*2.6*1.4,6020000000*(1.651178^(MIN($E82,123)-117)))*1,0))</f>
        <v>73886647050</v>
      </c>
      <c r="AA82" s="6">
        <f t="shared" si="68"/>
        <v>141</v>
      </c>
      <c r="AB82" s="7">
        <f>IF($J82=0,0,ROUND(MAX($J82*1.4*1.5*1.6*1.6*2.2*2.715*2.6*1.4*1.4,8430000000*(1.651435^(MIN($E82,123)-117)))*1,0))</f>
        <v>103546398464</v>
      </c>
      <c r="AC82" s="4">
        <f t="shared" si="69"/>
        <v>143</v>
      </c>
      <c r="AD82" s="8">
        <f>IF($J82=0,0,ROUND(MAX($J82*1.4*1.5*1.6*1.6*2.2*2.715*2.6*1.4*1.4*1.5,12600000000*(1.652953^(MIN($E82,123)-117)))*1,0))</f>
        <v>155479476715</v>
      </c>
      <c r="AE82" s="6">
        <f t="shared" si="70"/>
        <v>146</v>
      </c>
      <c r="AF82" s="7">
        <f>IF($J82=0,0,ROUND(MAX($J82*1.4*1.5*1.6*1.6*2.2*2.715*2.6*1.4*1.4*1.5*1.5,18900000000*(1.65331^(MIN($E82,123)-117)))*1,0))</f>
        <v>233471173936</v>
      </c>
      <c r="AG82" s="4">
        <f t="shared" si="71"/>
        <v>149</v>
      </c>
      <c r="AH82" s="8">
        <f>IF($J82=0,0,ROUND(MAX($J82*1.4*1.5*1.6*1.6*2.2*2.715*2.6*1.4*1.4*1.5*1.5*3.2,60500000000*(1.654288^(MIN($E82,123)-117)))*1,0))</f>
        <v>749567886338</v>
      </c>
    </row>
    <row r="83" spans="1:34" x14ac:dyDescent="0.25">
      <c r="A83" s="3">
        <v>115</v>
      </c>
      <c r="B83" s="3" t="s">
        <v>159</v>
      </c>
      <c r="C83" s="3" t="s">
        <v>24</v>
      </c>
      <c r="D83" s="3" t="s">
        <v>25</v>
      </c>
      <c r="E83" s="3">
        <v>122</v>
      </c>
      <c r="F83" s="3" t="s">
        <v>42</v>
      </c>
      <c r="G83" s="3" t="s">
        <v>51</v>
      </c>
      <c r="H83" s="3">
        <v>31</v>
      </c>
      <c r="I83" s="4">
        <v>122</v>
      </c>
      <c r="J83" s="5">
        <v>2701000000</v>
      </c>
      <c r="K83" s="6">
        <f t="shared" si="60"/>
        <v>123</v>
      </c>
      <c r="L83" s="7">
        <f>IF($J83=0,0,ROUND(MAX($J83*1.4,1620000*(1.497923^(MIN($E83,123)-117)))*1,0))</f>
        <v>3781400000</v>
      </c>
      <c r="M83" s="4">
        <f t="shared" si="61"/>
        <v>124</v>
      </c>
      <c r="N83" s="8">
        <f>IF($J83=0,0,ROUND(MAX($J83*1.4*1.5,2190000*(1.580994^(MIN($E83,123)-117)))*1,0))</f>
        <v>5672100000</v>
      </c>
      <c r="O83" s="6">
        <f t="shared" si="62"/>
        <v>126</v>
      </c>
      <c r="P83" s="7">
        <f>IF($J83=0,0,ROUND(MAX($J83*1.4*1.5*1.6,3500000*(1.57975^(MIN($E83,123)-117)))*1,0))</f>
        <v>9075360000</v>
      </c>
      <c r="Q83" s="4">
        <f t="shared" si="63"/>
        <v>128</v>
      </c>
      <c r="R83" s="8">
        <f>IF($J83=0,0,ROUND(MAX($J83*1.4*1.5*1.6*1.6,13100000*(1.429962^(MIN($E83,123)-117)))*1,0))</f>
        <v>14520576000</v>
      </c>
      <c r="S83" s="6">
        <f t="shared" si="64"/>
        <v>130</v>
      </c>
      <c r="T83" s="7">
        <f>IF($J83=0,0,ROUND(MAX($J83*1.4*1.5*1.6*1.6*2.2,42600000*(1.576904^(MIN($E83,123)-117)))*1,0))</f>
        <v>31945267200</v>
      </c>
      <c r="U83" s="4">
        <f t="shared" si="65"/>
        <v>133</v>
      </c>
      <c r="V83" s="8">
        <f>IF($J83=0,0,ROUND(MAX($J83*1.4*1.5*1.6*1.6*2.2*2.715,354000000*(1.642074^(MIN($E83,123)-117)))*1,0))</f>
        <v>86731400448</v>
      </c>
      <c r="W83" s="6">
        <f t="shared" si="66"/>
        <v>137</v>
      </c>
      <c r="X83" s="7">
        <f>IF($J83=0,0,ROUND(MAX($J83*1.4*1.5*1.6*1.6*2.2*2.715*2.6,3540000000*(1.579646^(MIN($E83,123)-117)))*1,0))</f>
        <v>225501641165</v>
      </c>
      <c r="Y83" s="4">
        <f t="shared" si="67"/>
        <v>139</v>
      </c>
      <c r="Z83" s="8">
        <f>IF($J83=0,0,ROUND(MAX($J83*1.4*1.5*1.6*1.6*2.2*2.715*2.6*1.4,6020000000*(1.651178^(MIN($E83,123)-117)))*1,0))</f>
        <v>315702297631</v>
      </c>
      <c r="AA83" s="6">
        <f t="shared" si="68"/>
        <v>141</v>
      </c>
      <c r="AB83" s="7">
        <f>IF($J83=0,0,ROUND(MAX($J83*1.4*1.5*1.6*1.6*2.2*2.715*2.6*1.4*1.4,8430000000*(1.651435^(MIN($E83,123)-117)))*1,0))</f>
        <v>441983216683</v>
      </c>
      <c r="AC83" s="4">
        <f t="shared" si="69"/>
        <v>143</v>
      </c>
      <c r="AD83" s="8">
        <f>IF($J83=0,0,ROUND(MAX($J83*1.4*1.5*1.6*1.6*2.2*2.715*2.6*1.4*1.4*1.5,12600000000*(1.652953^(MIN($E83,123)-117)))*1,0))</f>
        <v>662974825025</v>
      </c>
      <c r="AE83" s="6">
        <f t="shared" si="70"/>
        <v>146</v>
      </c>
      <c r="AF83" s="7">
        <f>IF($J83=0,0,ROUND(MAX($J83*1.4*1.5*1.6*1.6*2.2*2.715*2.6*1.4*1.4*1.5*1.5,18900000000*(1.65331^(MIN($E83,123)-117)))*1,0))</f>
        <v>994462237537</v>
      </c>
      <c r="AG83" s="4">
        <f t="shared" si="71"/>
        <v>149</v>
      </c>
      <c r="AH83" s="8">
        <f>IF($J83=0,0,ROUND(MAX($J83*1.4*1.5*1.6*1.6*2.2*2.715*2.6*1.4*1.4*1.5*1.5*3.2,60500000000*(1.654288^(MIN($E83,123)-117)))*1,0))</f>
        <v>3182279160118</v>
      </c>
    </row>
    <row r="84" spans="1:34" x14ac:dyDescent="0.25">
      <c r="A84" s="3">
        <v>113</v>
      </c>
      <c r="B84" s="3" t="s">
        <v>160</v>
      </c>
      <c r="C84" s="3" t="s">
        <v>24</v>
      </c>
      <c r="D84" s="3" t="s">
        <v>40</v>
      </c>
      <c r="E84" s="3">
        <v>122</v>
      </c>
      <c r="F84" s="3" t="s">
        <v>54</v>
      </c>
      <c r="G84" s="3" t="s">
        <v>67</v>
      </c>
      <c r="H84" s="3">
        <v>31</v>
      </c>
      <c r="I84" s="4">
        <v>122</v>
      </c>
      <c r="J84" s="5">
        <v>4120000000</v>
      </c>
      <c r="K84" s="6">
        <f t="shared" si="60"/>
        <v>123</v>
      </c>
      <c r="L84" s="7">
        <f>IF($J84=0,0,ROUND(MAX($J84*1.4,1620000*(1.497923^(MIN($E84,123)-117)))*1,0))</f>
        <v>5768000000</v>
      </c>
      <c r="M84" s="4">
        <f t="shared" si="61"/>
        <v>124</v>
      </c>
      <c r="N84" s="8">
        <f>IF($J84=0,0,ROUND(MAX($J84*1.4*1.5,2190000*(1.580994^(MIN($E84,123)-117)))*1,0))</f>
        <v>8652000000</v>
      </c>
      <c r="O84" s="6">
        <f t="shared" si="62"/>
        <v>126</v>
      </c>
      <c r="P84" s="7">
        <f>IF($J84=0,0,ROUND(MAX($J84*1.4*1.5*1.6,3500000*(1.57975^(MIN($E84,123)-117)))*1,0))</f>
        <v>13843200000</v>
      </c>
      <c r="Q84" s="4">
        <f t="shared" si="63"/>
        <v>128</v>
      </c>
      <c r="R84" s="8">
        <f>IF($J84=0,0,ROUND(MAX($J84*1.4*1.5*1.6*1.6,13100000*(1.429962^(MIN($E84,123)-117)))*1,0))</f>
        <v>22149120000</v>
      </c>
      <c r="S84" s="6">
        <f t="shared" si="64"/>
        <v>130</v>
      </c>
      <c r="T84" s="7">
        <f>IF($J84=0,0,ROUND(MAX($J84*1.4*1.5*1.6*1.6*2.2,42600000*(1.576904^(MIN($E84,123)-117)))*1,0))</f>
        <v>48728064000</v>
      </c>
      <c r="U84" s="4">
        <f t="shared" si="65"/>
        <v>133</v>
      </c>
      <c r="V84" s="8">
        <f>IF($J84=0,0,ROUND(MAX($J84*1.4*1.5*1.6*1.6*2.2*2.715,354000000*(1.642074^(MIN($E84,123)-117)))*1,0))</f>
        <v>132296693760</v>
      </c>
      <c r="W84" s="6">
        <f t="shared" si="66"/>
        <v>137</v>
      </c>
      <c r="X84" s="7">
        <f>IF($J84=0,0,ROUND(MAX($J84*1.4*1.5*1.6*1.6*2.2*2.715*2.6,3540000000*(1.579646^(MIN($E84,123)-117)))*1,0))</f>
        <v>343971403776</v>
      </c>
      <c r="Y84" s="4">
        <f t="shared" si="67"/>
        <v>139</v>
      </c>
      <c r="Z84" s="8">
        <f>IF($J84=0,0,ROUND(MAX($J84*1.4*1.5*1.6*1.6*2.2*2.715*2.6*1.4,6020000000*(1.651178^(MIN($E84,123)-117)))*1,0))</f>
        <v>481559965286</v>
      </c>
      <c r="AA84" s="6">
        <f t="shared" si="68"/>
        <v>141</v>
      </c>
      <c r="AB84" s="7">
        <f>IF($J84=0,0,ROUND(MAX($J84*1.4*1.5*1.6*1.6*2.2*2.715*2.6*1.4*1.4,8430000000*(1.651435^(MIN($E84,123)-117)))*1,0))</f>
        <v>674183951401</v>
      </c>
      <c r="AC84" s="4">
        <f t="shared" si="69"/>
        <v>143</v>
      </c>
      <c r="AD84" s="8">
        <f>IF($J84=0,0,ROUND(MAX($J84*1.4*1.5*1.6*1.6*2.2*2.715*2.6*1.4*1.4*1.5,12600000000*(1.652953^(MIN($E84,123)-117)))*1,0))</f>
        <v>1011275927101</v>
      </c>
      <c r="AE84" s="6">
        <f t="shared" si="70"/>
        <v>146</v>
      </c>
      <c r="AF84" s="7">
        <f>IF($J84=0,0,ROUND(MAX($J84*1.4*1.5*1.6*1.6*2.2*2.715*2.6*1.4*1.4*1.5*1.5,18900000000*(1.65331^(MIN($E84,123)-117)))*1,0))</f>
        <v>1516913890652</v>
      </c>
      <c r="AG84" s="4">
        <f t="shared" si="71"/>
        <v>149</v>
      </c>
      <c r="AH84" s="8">
        <f>IF($J84=0,0,ROUND(MAX($J84*1.4*1.5*1.6*1.6*2.2*2.715*2.6*1.4*1.4*1.5*1.5*3.2,60500000000*(1.654288^(MIN($E84,123)-117)))*1,0))</f>
        <v>4854124450087</v>
      </c>
    </row>
    <row r="85" spans="1:34" x14ac:dyDescent="0.25">
      <c r="A85" s="3">
        <v>110</v>
      </c>
      <c r="B85" s="3" t="s">
        <v>161</v>
      </c>
      <c r="C85" s="3" t="s">
        <v>24</v>
      </c>
      <c r="D85" s="3" t="s">
        <v>79</v>
      </c>
      <c r="E85" s="3">
        <v>122</v>
      </c>
      <c r="F85" s="3" t="s">
        <v>54</v>
      </c>
      <c r="G85" s="3" t="s">
        <v>35</v>
      </c>
      <c r="H85" s="3">
        <v>31</v>
      </c>
      <c r="I85" s="4">
        <v>122</v>
      </c>
      <c r="J85" s="5">
        <v>681000000</v>
      </c>
      <c r="K85" s="6">
        <f t="shared" si="60"/>
        <v>123</v>
      </c>
      <c r="L85" s="7">
        <f>IF($J85=0,0,ROUND(MAX($J85*1.4*1,4020000*(1.354082^(MIN($E85,123)-118))),0))</f>
        <v>953400000</v>
      </c>
      <c r="M85" s="4">
        <f t="shared" si="61"/>
        <v>124</v>
      </c>
      <c r="N85" s="8">
        <f>IF($J85=0,0,ROUND(MAX($J85*1.4*1.5*1,6950000*(1.375334^(MIN($E85,123)-118))),0))</f>
        <v>1430100000</v>
      </c>
      <c r="O85" s="6">
        <f t="shared" si="62"/>
        <v>126</v>
      </c>
      <c r="P85" s="7">
        <f>IF($J85=0,0,ROUND(MAX($J85*1.4*1.5*1.6*1,23900000*(1.1788^(MIN($E85,123)-118))),0))</f>
        <v>2288160000</v>
      </c>
      <c r="Q85" s="4">
        <f t="shared" si="63"/>
        <v>128</v>
      </c>
      <c r="R85" s="8">
        <f>IF($J85=0,0,ROUND(MAX($J85*1.4*1.5*1.6*1.6*1.25,77000000*(1.127009^(MIN($E85,123)-118))),0))</f>
        <v>4576320000</v>
      </c>
      <c r="S85" s="6">
        <f t="shared" si="64"/>
        <v>130</v>
      </c>
      <c r="T85" s="7">
        <f>IF($J85=0,0,ROUND(MAX($J85*1.4*1.5*1.6*1.6*2.2*1.25,270000000*(1.248411^(MIN($E85,123)-118))),0))</f>
        <v>10067904000</v>
      </c>
      <c r="U85" s="4">
        <f t="shared" si="65"/>
        <v>133</v>
      </c>
      <c r="V85" s="8">
        <f>IF($J85=0,0,ROUND(MAX($J85*1.4*1.5*1.6*1.6*2.2*2.715*1.25,2400000000*(1.293039^(MIN($E85,123)-118))),0))</f>
        <v>27334359360</v>
      </c>
      <c r="W85" s="6">
        <f t="shared" si="66"/>
        <v>137</v>
      </c>
      <c r="X85" s="7">
        <f>IF($J85=0,0,ROUND(MAX($J85*1.4*1.5*1.6*1.6*2.2*2.715*2.6*1.25,20000000000*(1.280114^(MIN($E85,123)-118))),0))</f>
        <v>71069334336</v>
      </c>
      <c r="Y85" s="4">
        <f t="shared" si="67"/>
        <v>139</v>
      </c>
      <c r="Z85" s="8">
        <f>IF($J85=0,0,ROUND(MAX($J85*1.4*1.5*1.6*1.6*2.2*2.715*2.6*1.4*1.25,39200000000*(1.31219^(MIN($E85,123)-118))),0))</f>
        <v>116217883489</v>
      </c>
      <c r="AA85" s="6">
        <f t="shared" si="68"/>
        <v>141</v>
      </c>
      <c r="AB85" s="7">
        <f>IF($J85=0,0,ROUND(MAX($J85*1.4*1.5*1.6*1.6*2.2*2.715*2.6*1.4*1.4*1.25,54900000000*(1.312402^(MIN($E85,123)-118))),0))</f>
        <v>162869543321</v>
      </c>
      <c r="AC85" s="4">
        <f t="shared" si="69"/>
        <v>143</v>
      </c>
      <c r="AD85" s="8">
        <f>IF($J85=0,0,ROUND(MAX($J85*1.4*1.5*1.6*1.6*2.2*2.715*2.6*1.4*1.4*1.5*1.25,82400000000*(1.312754^(MIN($E85,123)-118))),0))</f>
        <v>244715012499</v>
      </c>
      <c r="AE85" s="6">
        <f t="shared" si="70"/>
        <v>146</v>
      </c>
      <c r="AF85" s="7">
        <f>IF($J85=0,0,ROUND(MAX($J85*1.4*1.5*1.6*1.6*2.2*2.715*2.6*1.4*1.4*1.5*1.5*1.25,124000000000*(1.312246^(MIN($E85,123)-118))),0))</f>
        <v>367690759477</v>
      </c>
      <c r="AG85" s="4">
        <f t="shared" si="71"/>
        <v>149</v>
      </c>
      <c r="AH85" s="8">
        <f>IF($J85=0,0,ROUND(MAX($J85*1.4*1.5*1.6*1.6*2.2*2.715*2.6*1.4*1.4*1.5*1.5*3.2*1.25,397000000000*(1.313132^(MIN($E85,123)-118))),0))</f>
        <v>1180385990163</v>
      </c>
    </row>
    <row r="86" spans="1:34" x14ac:dyDescent="0.25">
      <c r="A86" s="3">
        <v>118</v>
      </c>
      <c r="B86" s="3" t="s">
        <v>162</v>
      </c>
      <c r="C86" s="3" t="s">
        <v>24</v>
      </c>
      <c r="D86" s="3" t="s">
        <v>33</v>
      </c>
      <c r="E86" s="3">
        <v>122</v>
      </c>
      <c r="F86" s="3" t="s">
        <v>71</v>
      </c>
      <c r="G86" s="3" t="s">
        <v>38</v>
      </c>
      <c r="H86" s="3">
        <v>30</v>
      </c>
      <c r="I86" s="4">
        <v>122</v>
      </c>
      <c r="J86" s="5">
        <v>288000000</v>
      </c>
      <c r="K86" s="6">
        <f t="shared" si="60"/>
        <v>123</v>
      </c>
      <c r="L86" s="7">
        <f>IF($J86=0,0,ROUND(MAX($J86*1.4,1620000*(1.497923^(MIN($E86,123)-117)))*1,0))</f>
        <v>403200000</v>
      </c>
      <c r="M86" s="4">
        <f t="shared" si="61"/>
        <v>124</v>
      </c>
      <c r="N86" s="8">
        <f>IF($J86=0,0,ROUND(MAX($J86*1.4*1.5,2190000*(1.580994^(MIN($E86,123)-117)))*1,0))</f>
        <v>604800000</v>
      </c>
      <c r="O86" s="6">
        <f t="shared" si="62"/>
        <v>126</v>
      </c>
      <c r="P86" s="7">
        <f>IF($J86=0,0,ROUND(MAX($J86*1.4*1.5*1.6,3500000*(1.57975^(MIN($E86,123)-117)))*1,0))</f>
        <v>967680000</v>
      </c>
      <c r="Q86" s="4">
        <f t="shared" si="63"/>
        <v>128</v>
      </c>
      <c r="R86" s="8">
        <f>IF($J86=0,0,ROUND(MAX($J86*1.4*1.5*1.6*1.6,13100000*(1.429962^(MIN($E86,123)-117)))*1,0))</f>
        <v>1548288000</v>
      </c>
      <c r="S86" s="6">
        <f t="shared" si="64"/>
        <v>130</v>
      </c>
      <c r="T86" s="7">
        <f>IF($J86=0,0,ROUND(MAX($J86*1.4*1.5*1.6*1.6*2.2,42600000*(1.576904^(MIN($E86,123)-117)))*1,0))</f>
        <v>3406233600</v>
      </c>
      <c r="U86" s="4">
        <f t="shared" si="65"/>
        <v>133</v>
      </c>
      <c r="V86" s="8">
        <f>IF($J86=0,0,ROUND(MAX($J86*1.4*1.5*1.6*1.6*2.2*2.715,354000000*(1.642074^(MIN($E86,123)-117)))*1,0))</f>
        <v>9247924224</v>
      </c>
      <c r="W86" s="6">
        <f t="shared" si="66"/>
        <v>137</v>
      </c>
      <c r="X86" s="7">
        <f>IF($J86=0,0,ROUND(MAX($J86*1.4*1.5*1.6*1.6*2.2*2.715*2.6,3540000000*(1.579646^(MIN($E86,123)-117)))*1,0))</f>
        <v>34817863835</v>
      </c>
      <c r="Y86" s="4">
        <f t="shared" si="67"/>
        <v>139</v>
      </c>
      <c r="Z86" s="8">
        <f>IF($J86=0,0,ROUND(MAX($J86*1.4*1.5*1.6*1.6*2.2*2.715*2.6*1.4,6020000000*(1.651178^(MIN($E86,123)-117)))*1,0))</f>
        <v>73886647050</v>
      </c>
      <c r="AA86" s="6">
        <f t="shared" si="68"/>
        <v>141</v>
      </c>
      <c r="AB86" s="7">
        <f>IF($J86=0,0,ROUND(MAX($J86*1.4*1.5*1.6*1.6*2.2*2.715*2.6*1.4*1.4,8430000000*(1.651435^(MIN($E86,123)-117)))*1,0))</f>
        <v>103546398464</v>
      </c>
      <c r="AC86" s="4">
        <f t="shared" si="69"/>
        <v>143</v>
      </c>
      <c r="AD86" s="8">
        <f>IF($J86=0,0,ROUND(MAX($J86*1.4*1.5*1.6*1.6*2.2*2.715*2.6*1.4*1.4*1.5,12600000000*(1.652953^(MIN($E86,123)-117)))*1,0))</f>
        <v>155479476715</v>
      </c>
      <c r="AE86" s="6">
        <f t="shared" si="70"/>
        <v>146</v>
      </c>
      <c r="AF86" s="7">
        <f>IF($J86=0,0,ROUND(MAX($J86*1.4*1.5*1.6*1.6*2.2*2.715*2.6*1.4*1.4*1.5*1.5,18900000000*(1.65331^(MIN($E86,123)-117)))*1,0))</f>
        <v>233471173936</v>
      </c>
      <c r="AG86" s="4">
        <f t="shared" si="71"/>
        <v>149</v>
      </c>
      <c r="AH86" s="8">
        <f>IF($J86=0,0,ROUND(MAX($J86*1.4*1.5*1.6*1.6*2.2*2.715*2.6*1.4*1.4*1.5*1.5*3.2,60500000000*(1.654288^(MIN($E86,123)-117)))*1,0))</f>
        <v>749567886338</v>
      </c>
    </row>
    <row r="87" spans="1:34" x14ac:dyDescent="0.25">
      <c r="A87" s="3">
        <v>37</v>
      </c>
      <c r="B87" s="3" t="s">
        <v>163</v>
      </c>
      <c r="C87" s="3" t="s">
        <v>24</v>
      </c>
      <c r="D87" s="3" t="s">
        <v>40</v>
      </c>
      <c r="E87" s="3">
        <v>122</v>
      </c>
      <c r="F87" s="3" t="s">
        <v>71</v>
      </c>
      <c r="G87" s="3" t="s">
        <v>133</v>
      </c>
      <c r="H87" s="3">
        <v>32</v>
      </c>
      <c r="I87" s="4">
        <v>122</v>
      </c>
      <c r="J87" s="5">
        <v>2200000000</v>
      </c>
      <c r="K87" s="6">
        <f t="shared" si="60"/>
        <v>123</v>
      </c>
      <c r="L87" s="7">
        <f>IF($J87=0,0,ROUND(MAX($J87*1.4*1,4020000*(1.354082^(MIN($E87,123)-118))),0))</f>
        <v>3080000000</v>
      </c>
      <c r="M87" s="4">
        <f t="shared" si="61"/>
        <v>124</v>
      </c>
      <c r="N87" s="8">
        <f>IF($J87=0,0,ROUND(MAX($J87*1.4*1.5*1,6950000*(1.375334^(MIN($E87,123)-118))),0))</f>
        <v>4620000000</v>
      </c>
      <c r="O87" s="6">
        <f t="shared" si="62"/>
        <v>126</v>
      </c>
      <c r="P87" s="7">
        <f>IF($J87=0,0,ROUND(MAX($J87*1.4*1.5*1.6*1,23900000*(1.1788^(MIN($E87,123)-118))),0))</f>
        <v>7392000000</v>
      </c>
      <c r="Q87" s="4">
        <f t="shared" si="63"/>
        <v>128</v>
      </c>
      <c r="R87" s="8">
        <f>IF($J87=0,0,ROUND(MAX($J87*1.4*1.5*1.6*1.6*1.25,77000000*(1.127009^(MIN($E87,123)-118))),0))</f>
        <v>14784000000</v>
      </c>
      <c r="S87" s="6">
        <f t="shared" si="64"/>
        <v>130</v>
      </c>
      <c r="T87" s="7">
        <f>IF($J87=0,0,ROUND(MAX($J87*1.4*1.5*1.6*1.6*2.2*1.25,270000000*(1.248411^(MIN($E87,123)-118))),0))</f>
        <v>32524800000</v>
      </c>
      <c r="U87" s="4">
        <f t="shared" si="65"/>
        <v>133</v>
      </c>
      <c r="V87" s="8">
        <f>IF($J87=0,0,ROUND(MAX($J87*1.4*1.5*1.6*1.6*2.2*2.715*1.25,2400000000*(1.293039^(MIN($E87,123)-118))),0))</f>
        <v>88304832000</v>
      </c>
      <c r="W87" s="6">
        <f t="shared" si="66"/>
        <v>137</v>
      </c>
      <c r="X87" s="7">
        <f>IF($J87=0,0,ROUND(MAX($J87*1.4*1.5*1.6*1.6*2.2*2.715*2.6*1.25,20000000000*(1.280114^(MIN($E87,123)-118))),0))</f>
        <v>229592563200</v>
      </c>
      <c r="Y87" s="4">
        <f t="shared" si="67"/>
        <v>139</v>
      </c>
      <c r="Z87" s="8">
        <f>IF($J87=0,0,ROUND(MAX($J87*1.4*1.5*1.6*1.6*2.2*2.715*2.6*1.4*1.25,39200000000*(1.31219^(MIN($E87,123)-118))),0))</f>
        <v>321429588480</v>
      </c>
      <c r="AA87" s="6">
        <f t="shared" si="68"/>
        <v>141</v>
      </c>
      <c r="AB87" s="7">
        <f>IF($J87=0,0,ROUND(MAX($J87*1.4*1.5*1.6*1.6*2.2*2.715*2.6*1.4*1.4*1.25,54900000000*(1.312402^(MIN($E87,123)-118))),0))</f>
        <v>450001423872</v>
      </c>
      <c r="AC87" s="4">
        <f t="shared" si="69"/>
        <v>143</v>
      </c>
      <c r="AD87" s="8">
        <f>IF($J87=0,0,ROUND(MAX($J87*1.4*1.5*1.6*1.6*2.2*2.715*2.6*1.4*1.4*1.5*1.25,82400000000*(1.312754^(MIN($E87,123)-118))),0))</f>
        <v>675002135808</v>
      </c>
      <c r="AE87" s="6">
        <f t="shared" si="70"/>
        <v>146</v>
      </c>
      <c r="AF87" s="7">
        <f>IF($J87=0,0,ROUND(MAX($J87*1.4*1.5*1.6*1.6*2.2*2.715*2.6*1.4*1.4*1.5*1.5*1.25,124000000000*(1.312246^(MIN($E87,123)-118))),0))</f>
        <v>1012503203712</v>
      </c>
      <c r="AG87" s="4">
        <f t="shared" si="71"/>
        <v>149</v>
      </c>
      <c r="AH87" s="8">
        <f>IF($J87=0,0,ROUND(MAX($J87*1.4*1.5*1.6*1.6*2.2*2.715*2.6*1.4*1.4*1.5*1.5*3.2*1.25,397000000000*(1.313132^(MIN($E87,123)-118))),0))</f>
        <v>3240010251878</v>
      </c>
    </row>
    <row r="88" spans="1:34" x14ac:dyDescent="0.25">
      <c r="A88" s="3">
        <v>108</v>
      </c>
      <c r="B88" s="3" t="s">
        <v>164</v>
      </c>
      <c r="C88" s="3" t="s">
        <v>24</v>
      </c>
      <c r="D88" s="3" t="s">
        <v>165</v>
      </c>
      <c r="E88" s="3">
        <v>122</v>
      </c>
      <c r="F88" s="3" t="s">
        <v>132</v>
      </c>
      <c r="G88" s="3" t="s">
        <v>38</v>
      </c>
      <c r="H88" s="3">
        <v>31</v>
      </c>
      <c r="I88" s="4">
        <v>122</v>
      </c>
      <c r="J88" s="5">
        <v>2240000000</v>
      </c>
      <c r="K88" s="6">
        <f t="shared" si="60"/>
        <v>123</v>
      </c>
      <c r="L88" s="7">
        <f>IF($J88=0,0,ROUND(MAX($J88*1.4*1,4020000*(1.354082^(MIN($E88,123)-118))),0))</f>
        <v>3136000000</v>
      </c>
      <c r="M88" s="4">
        <f t="shared" si="61"/>
        <v>124</v>
      </c>
      <c r="N88" s="8">
        <f>IF($J88=0,0,ROUND(MAX($J88*1.4*1.5*1,6950000*(1.375334^(MIN($E88,123)-118))),0))</f>
        <v>4704000000</v>
      </c>
      <c r="O88" s="6">
        <f t="shared" si="62"/>
        <v>126</v>
      </c>
      <c r="P88" s="7">
        <f>IF($J88=0,0,ROUND(MAX($J88*1.4*1.5*1.6*1,23900000*(1.1788^(MIN($E88,123)-118))),0))</f>
        <v>7526400000</v>
      </c>
      <c r="Q88" s="4">
        <f t="shared" si="63"/>
        <v>128</v>
      </c>
      <c r="R88" s="8">
        <f>IF($J88=0,0,ROUND(MAX($J88*1.4*1.5*1.6*1.6*1.25,77000000*(1.127009^(MIN($E88,123)-118))),0))</f>
        <v>15052800000</v>
      </c>
      <c r="S88" s="6">
        <f t="shared" si="64"/>
        <v>130</v>
      </c>
      <c r="T88" s="7">
        <f>IF($J88=0,0,ROUND(MAX($J88*1.4*1.5*1.6*1.6*2.2*1.25,270000000*(1.248411^(MIN($E88,123)-118))),0))</f>
        <v>33116160000</v>
      </c>
      <c r="U88" s="4">
        <f t="shared" si="65"/>
        <v>133</v>
      </c>
      <c r="V88" s="8">
        <f>IF($J88=0,0,ROUND(MAX($J88*1.4*1.5*1.6*1.6*2.2*2.715*1.25,2400000000*(1.293039^(MIN($E88,123)-118))),0))</f>
        <v>89910374400</v>
      </c>
      <c r="W88" s="6">
        <f t="shared" si="66"/>
        <v>137</v>
      </c>
      <c r="X88" s="7">
        <f>IF($J88=0,0,ROUND(MAX($J88*1.4*1.5*1.6*1.6*2.2*2.715*2.6*1.25,20000000000*(1.280114^(MIN($E88,123)-118))),0))</f>
        <v>233766973440</v>
      </c>
      <c r="Y88" s="4">
        <f t="shared" si="67"/>
        <v>139</v>
      </c>
      <c r="Z88" s="8">
        <f>IF($J88=0,0,ROUND(MAX($J88*1.4*1.5*1.6*1.6*2.2*2.715*2.6*1.4*1.25,39200000000*(1.31219^(MIN($E88,123)-118))),0))</f>
        <v>327273762816</v>
      </c>
      <c r="AA88" s="6">
        <f t="shared" si="68"/>
        <v>141</v>
      </c>
      <c r="AB88" s="7">
        <f>IF($J88=0,0,ROUND(MAX($J88*1.4*1.5*1.6*1.6*2.2*2.715*2.6*1.4*1.4*1.25,54900000000*(1.312402^(MIN($E88,123)-118))),0))</f>
        <v>458183267942</v>
      </c>
      <c r="AC88" s="4">
        <f t="shared" si="69"/>
        <v>143</v>
      </c>
      <c r="AD88" s="8">
        <f>IF($J88=0,0,ROUND(MAX($J88*1.4*1.5*1.6*1.6*2.2*2.715*2.6*1.4*1.4*1.5*1.25,82400000000*(1.312754^(MIN($E88,123)-118))),0))</f>
        <v>687274901914</v>
      </c>
      <c r="AE88" s="6">
        <f t="shared" si="70"/>
        <v>146</v>
      </c>
      <c r="AF88" s="7">
        <f>IF($J88=0,0,ROUND(MAX($J88*1.4*1.5*1.6*1.6*2.2*2.715*2.6*1.4*1.4*1.5*1.5*1.25,124000000000*(1.312246^(MIN($E88,123)-118))),0))</f>
        <v>1030912352870</v>
      </c>
      <c r="AG88" s="4">
        <f t="shared" si="71"/>
        <v>149</v>
      </c>
      <c r="AH88" s="8">
        <f>IF($J88=0,0,ROUND(MAX($J88*1.4*1.5*1.6*1.6*2.2*2.715*2.6*1.4*1.4*1.5*1.5*3.2*1.25,397000000000*(1.313132^(MIN($E88,123)-118))),0))</f>
        <v>3298919529185</v>
      </c>
    </row>
    <row r="89" spans="1:34" x14ac:dyDescent="0.25">
      <c r="A89" s="3">
        <v>111</v>
      </c>
      <c r="B89" s="3" t="s">
        <v>166</v>
      </c>
      <c r="C89" s="3" t="s">
        <v>24</v>
      </c>
      <c r="D89" s="3" t="s">
        <v>33</v>
      </c>
      <c r="E89" s="3">
        <v>122</v>
      </c>
      <c r="F89" s="3" t="s">
        <v>62</v>
      </c>
      <c r="G89" s="3" t="s">
        <v>67</v>
      </c>
      <c r="H89" s="3">
        <v>31</v>
      </c>
      <c r="I89" s="4">
        <v>122</v>
      </c>
      <c r="J89" s="5">
        <v>511200000</v>
      </c>
      <c r="K89" s="6">
        <f t="shared" si="60"/>
        <v>123</v>
      </c>
      <c r="L89" s="7">
        <f>IF($J89=0,0,ROUND(MAX($J89*1.4,1620000*(1.497923^(MIN($E89,123)-117)))*1,0))</f>
        <v>715680000</v>
      </c>
      <c r="M89" s="4">
        <f t="shared" si="61"/>
        <v>124</v>
      </c>
      <c r="N89" s="8">
        <f>IF($J89=0,0,ROUND(MAX($J89*1.4*1.5,2190000*(1.580994^(MIN($E89,123)-117)))*1,0))</f>
        <v>1073520000</v>
      </c>
      <c r="O89" s="6">
        <f t="shared" si="62"/>
        <v>126</v>
      </c>
      <c r="P89" s="7">
        <f>IF($J89=0,0,ROUND(MAX($J89*1.4*1.5*1.6,3500000*(1.57975^(MIN($E89,123)-117)))*1,0))</f>
        <v>1717632000</v>
      </c>
      <c r="Q89" s="4">
        <f t="shared" si="63"/>
        <v>128</v>
      </c>
      <c r="R89" s="8">
        <f>IF($J89=0,0,ROUND(MAX($J89*1.4*1.5*1.6*1.6,13100000*(1.429962^(MIN($E89,123)-117)))*1,0))</f>
        <v>2748211200</v>
      </c>
      <c r="S89" s="6">
        <f t="shared" si="64"/>
        <v>130</v>
      </c>
      <c r="T89" s="7">
        <f>IF($J89=0,0,ROUND(MAX($J89*1.4*1.5*1.6*1.6*2.2,42600000*(1.576904^(MIN($E89,123)-117)))*1,0))</f>
        <v>6046064640</v>
      </c>
      <c r="U89" s="4">
        <f t="shared" si="65"/>
        <v>133</v>
      </c>
      <c r="V89" s="8">
        <f>IF($J89=0,0,ROUND(MAX($J89*1.4*1.5*1.6*1.6*2.2*2.715,354000000*(1.642074^(MIN($E89,123)-117)))*1,0))</f>
        <v>16415065498</v>
      </c>
      <c r="W89" s="6">
        <f t="shared" si="66"/>
        <v>137</v>
      </c>
      <c r="X89" s="7">
        <f>IF($J89=0,0,ROUND(MAX($J89*1.4*1.5*1.6*1.6*2.2*2.715*2.6,3540000000*(1.579646^(MIN($E89,123)-117)))*1,0))</f>
        <v>42679170294</v>
      </c>
      <c r="Y89" s="4">
        <f t="shared" si="67"/>
        <v>139</v>
      </c>
      <c r="Z89" s="8">
        <f>IF($J89=0,0,ROUND(MAX($J89*1.4*1.5*1.6*1.6*2.2*2.715*2.6*1.4,6020000000*(1.651178^(MIN($E89,123)-117)))*1,0))</f>
        <v>73886647050</v>
      </c>
      <c r="AA89" s="6">
        <f t="shared" si="68"/>
        <v>141</v>
      </c>
      <c r="AB89" s="7">
        <f>IF($J89=0,0,ROUND(MAX($J89*1.4*1.5*1.6*1.6*2.2*2.715*2.6*1.4*1.4,8430000000*(1.651435^(MIN($E89,123)-117)))*1,0))</f>
        <v>103546398464</v>
      </c>
      <c r="AC89" s="4">
        <f t="shared" si="69"/>
        <v>143</v>
      </c>
      <c r="AD89" s="8">
        <f>IF($J89=0,0,ROUND(MAX($J89*1.4*1.5*1.6*1.6*2.2*2.715*2.6*1.4*1.4*1.5,12600000000*(1.652953^(MIN($E89,123)-117)))*1,0))</f>
        <v>155479476715</v>
      </c>
      <c r="AE89" s="6">
        <f t="shared" si="70"/>
        <v>146</v>
      </c>
      <c r="AF89" s="7">
        <f>IF($J89=0,0,ROUND(MAX($J89*1.4*1.5*1.6*1.6*2.2*2.715*2.6*1.4*1.4*1.5*1.5,18900000000*(1.65331^(MIN($E89,123)-117)))*1,0))</f>
        <v>233471173936</v>
      </c>
      <c r="AG89" s="4">
        <f t="shared" si="71"/>
        <v>149</v>
      </c>
      <c r="AH89" s="8">
        <f>IF($J89=0,0,ROUND(MAX($J89*1.4*1.5*1.6*1.6*2.2*2.715*2.6*1.4*1.4*1.5*1.5*3.2,60500000000*(1.654288^(MIN($E89,123)-117)))*1,0))</f>
        <v>749567886338</v>
      </c>
    </row>
    <row r="90" spans="1:34" x14ac:dyDescent="0.25">
      <c r="A90" s="3">
        <v>109</v>
      </c>
      <c r="B90" s="3" t="s">
        <v>167</v>
      </c>
      <c r="C90" s="3" t="s">
        <v>24</v>
      </c>
      <c r="D90" s="3" t="s">
        <v>25</v>
      </c>
      <c r="E90" s="3">
        <v>122</v>
      </c>
      <c r="F90" s="3" t="s">
        <v>168</v>
      </c>
      <c r="G90" s="3" t="s">
        <v>169</v>
      </c>
      <c r="H90" s="3">
        <v>31</v>
      </c>
      <c r="I90" s="4">
        <v>122</v>
      </c>
      <c r="J90" s="5">
        <v>574000000</v>
      </c>
      <c r="K90" s="6">
        <f t="shared" si="60"/>
        <v>123</v>
      </c>
      <c r="L90" s="7">
        <f>IF($J90=0,0,ROUND(MAX($J90*1.4,1620000*(1.497923^(MIN($E90,123)-117)))*1,0))</f>
        <v>803600000</v>
      </c>
      <c r="M90" s="4">
        <f t="shared" si="61"/>
        <v>124</v>
      </c>
      <c r="N90" s="8">
        <f>IF($J90=0,0,ROUND(MAX($J90*1.4*1.5,2190000*(1.580994^(MIN($E90,123)-117)))*1,0))</f>
        <v>1205400000</v>
      </c>
      <c r="O90" s="6">
        <f t="shared" si="62"/>
        <v>126</v>
      </c>
      <c r="P90" s="7">
        <f>IF($J90=0,0,ROUND(MAX($J90*1.4*1.5*1.6,3500000*(1.57975^(MIN($E90,123)-117)))*1,0))</f>
        <v>1928640000</v>
      </c>
      <c r="Q90" s="4">
        <f t="shared" si="63"/>
        <v>128</v>
      </c>
      <c r="R90" s="8">
        <f>IF($J90=0,0,ROUND(MAX($J90*1.4*1.5*1.6*1.6,13100000*(1.429962^(MIN($E90,123)-117)))*1,0))</f>
        <v>3085824000</v>
      </c>
      <c r="S90" s="6">
        <f t="shared" si="64"/>
        <v>130</v>
      </c>
      <c r="T90" s="7">
        <f>IF($J90=0,0,ROUND(MAX($J90*1.4*1.5*1.6*1.6*2.2,42600000*(1.576904^(MIN($E90,123)-117)))*1,0))</f>
        <v>6788812800</v>
      </c>
      <c r="U90" s="4">
        <f t="shared" si="65"/>
        <v>133</v>
      </c>
      <c r="V90" s="8">
        <f>IF($J90=0,0,ROUND(MAX($J90*1.4*1.5*1.6*1.6*2.2*2.715,354000000*(1.642074^(MIN($E90,123)-117)))*1,0))</f>
        <v>18431626752</v>
      </c>
      <c r="W90" s="6">
        <f t="shared" si="66"/>
        <v>137</v>
      </c>
      <c r="X90" s="7">
        <f>IF($J90=0,0,ROUND(MAX($J90*1.4*1.5*1.6*1.6*2.2*2.715*2.6,3540000000*(1.579646^(MIN($E90,123)-117)))*1,0))</f>
        <v>47922229555</v>
      </c>
      <c r="Y90" s="4">
        <f t="shared" si="67"/>
        <v>139</v>
      </c>
      <c r="Z90" s="8">
        <f>IF($J90=0,0,ROUND(MAX($J90*1.4*1.5*1.6*1.6*2.2*2.715*2.6*1.4,6020000000*(1.651178^(MIN($E90,123)-117)))*1,0))</f>
        <v>73886647050</v>
      </c>
      <c r="AA90" s="6">
        <f t="shared" si="68"/>
        <v>141</v>
      </c>
      <c r="AB90" s="7">
        <f>IF($J90=0,0,ROUND(MAX($J90*1.4*1.5*1.6*1.6*2.2*2.715*2.6*1.4*1.4,8430000000*(1.651435^(MIN($E90,123)-117)))*1,0))</f>
        <v>103546398464</v>
      </c>
      <c r="AC90" s="4">
        <f t="shared" si="69"/>
        <v>143</v>
      </c>
      <c r="AD90" s="8">
        <f>IF($J90=0,0,ROUND(MAX($J90*1.4*1.5*1.6*1.6*2.2*2.715*2.6*1.4*1.4*1.5,12600000000*(1.652953^(MIN($E90,123)-117)))*1,0))</f>
        <v>155479476715</v>
      </c>
      <c r="AE90" s="6">
        <f t="shared" si="70"/>
        <v>146</v>
      </c>
      <c r="AF90" s="7">
        <f>IF($J90=0,0,ROUND(MAX($J90*1.4*1.5*1.6*1.6*2.2*2.715*2.6*1.4*1.4*1.5*1.5,18900000000*(1.65331^(MIN($E90,123)-117)))*1,0))</f>
        <v>233471173936</v>
      </c>
      <c r="AG90" s="4">
        <f t="shared" si="71"/>
        <v>149</v>
      </c>
      <c r="AH90" s="8">
        <f>IF($J90=0,0,ROUND(MAX($J90*1.4*1.5*1.6*1.6*2.2*2.715*2.6*1.4*1.4*1.5*1.5*3.2,60500000000*(1.654288^(MIN($E90,123)-117)))*1,0))</f>
        <v>749567886338</v>
      </c>
    </row>
    <row r="91" spans="1:34" x14ac:dyDescent="0.25">
      <c r="A91" s="3">
        <v>106</v>
      </c>
      <c r="B91" s="3" t="s">
        <v>170</v>
      </c>
      <c r="C91" s="3" t="s">
        <v>24</v>
      </c>
      <c r="D91" s="3" t="s">
        <v>40</v>
      </c>
      <c r="E91" s="3">
        <v>122</v>
      </c>
      <c r="F91" s="3" t="s">
        <v>56</v>
      </c>
      <c r="G91" s="3" t="s">
        <v>171</v>
      </c>
      <c r="H91" s="3">
        <v>31</v>
      </c>
      <c r="I91" s="4">
        <v>122</v>
      </c>
      <c r="J91" s="5">
        <v>183000000</v>
      </c>
      <c r="K91" s="6">
        <f t="shared" si="60"/>
        <v>123</v>
      </c>
      <c r="L91" s="7">
        <f>IF($J91=0,0,ROUND(MAX($J91*1.4,1620000*(1.497923^(MIN($E91,123)-117)))*1,0))</f>
        <v>256200000</v>
      </c>
      <c r="M91" s="4">
        <f t="shared" si="61"/>
        <v>124</v>
      </c>
      <c r="N91" s="8">
        <f>IF($J91=0,0,ROUND(MAX($J91*1.4*1.5,2190000*(1.580994^(MIN($E91,123)-117)))*1,0))</f>
        <v>384300000</v>
      </c>
      <c r="O91" s="6">
        <f t="shared" si="62"/>
        <v>126</v>
      </c>
      <c r="P91" s="7">
        <f>IF($J91=0,0,ROUND(MAX($J91*1.4*1.5*1.6,3500000*(1.57975^(MIN($E91,123)-117)))*1,0))</f>
        <v>614880000</v>
      </c>
      <c r="Q91" s="4">
        <f t="shared" si="63"/>
        <v>128</v>
      </c>
      <c r="R91" s="8">
        <f>IF($J91=0,0,ROUND(MAX($J91*1.4*1.5*1.6*1.6,13100000*(1.429962^(MIN($E91,123)-117)))*1,0))</f>
        <v>983808000</v>
      </c>
      <c r="S91" s="6">
        <f t="shared" si="64"/>
        <v>130</v>
      </c>
      <c r="T91" s="7">
        <f>IF($J91=0,0,ROUND(MAX($J91*1.4*1.5*1.6*1.6*2.2,42600000*(1.576904^(MIN($E91,123)-117)))*1,0))</f>
        <v>2164377600</v>
      </c>
      <c r="U91" s="4">
        <f t="shared" si="65"/>
        <v>133</v>
      </c>
      <c r="V91" s="8">
        <f>IF($J91=0,0,ROUND(MAX($J91*1.4*1.5*1.6*1.6*2.2*2.715,354000000*(1.642074^(MIN($E91,123)-117)))*1,0))</f>
        <v>5876285184</v>
      </c>
      <c r="W91" s="6">
        <f t="shared" si="66"/>
        <v>137</v>
      </c>
      <c r="X91" s="7">
        <f>IF($J91=0,0,ROUND(MAX($J91*1.4*1.5*1.6*1.6*2.2*2.715*2.6,3540000000*(1.579646^(MIN($E91,123)-117)))*1,0))</f>
        <v>34817863835</v>
      </c>
      <c r="Y91" s="4">
        <f t="shared" si="67"/>
        <v>139</v>
      </c>
      <c r="Z91" s="8">
        <f>IF($J91=0,0,ROUND(MAX($J91*1.4*1.5*1.6*1.6*2.2*2.715*2.6*1.4,6020000000*(1.651178^(MIN($E91,123)-117)))*1,0))</f>
        <v>73886647050</v>
      </c>
      <c r="AA91" s="6">
        <f t="shared" si="68"/>
        <v>141</v>
      </c>
      <c r="AB91" s="7">
        <f>IF($J91=0,0,ROUND(MAX($J91*1.4*1.5*1.6*1.6*2.2*2.715*2.6*1.4*1.4,8430000000*(1.651435^(MIN($E91,123)-117)))*1,0))</f>
        <v>103546398464</v>
      </c>
      <c r="AC91" s="4">
        <f t="shared" si="69"/>
        <v>143</v>
      </c>
      <c r="AD91" s="8">
        <f>IF($J91=0,0,ROUND(MAX($J91*1.4*1.5*1.6*1.6*2.2*2.715*2.6*1.4*1.4*1.5,12600000000*(1.652953^(MIN($E91,123)-117)))*1,0))</f>
        <v>155479476715</v>
      </c>
      <c r="AE91" s="6">
        <f t="shared" si="70"/>
        <v>146</v>
      </c>
      <c r="AF91" s="7">
        <f>IF($J91=0,0,ROUND(MAX($J91*1.4*1.5*1.6*1.6*2.2*2.715*2.6*1.4*1.4*1.5*1.5,18900000000*(1.65331^(MIN($E91,123)-117)))*1,0))</f>
        <v>233471173936</v>
      </c>
      <c r="AG91" s="4">
        <f t="shared" si="71"/>
        <v>149</v>
      </c>
      <c r="AH91" s="8">
        <f>IF($J91=0,0,ROUND(MAX($J91*1.4*1.5*1.6*1.6*2.2*2.715*2.6*1.4*1.4*1.5*1.5*3.2,60500000000*(1.654288^(MIN($E91,123)-117)))*1,0))</f>
        <v>749567886338</v>
      </c>
    </row>
    <row r="92" spans="1:34" x14ac:dyDescent="0.25">
      <c r="A92" s="3">
        <v>112</v>
      </c>
      <c r="B92" s="3" t="s">
        <v>172</v>
      </c>
      <c r="C92" s="3" t="s">
        <v>24</v>
      </c>
      <c r="D92" s="3" t="s">
        <v>40</v>
      </c>
      <c r="E92" s="3">
        <v>122</v>
      </c>
      <c r="F92" s="3" t="s">
        <v>26</v>
      </c>
      <c r="G92" s="3" t="s">
        <v>51</v>
      </c>
      <c r="H92" s="3">
        <v>31</v>
      </c>
      <c r="I92" s="4">
        <v>122</v>
      </c>
      <c r="J92" s="5">
        <v>630000000</v>
      </c>
      <c r="K92" s="6">
        <f t="shared" si="60"/>
        <v>123</v>
      </c>
      <c r="L92" s="7">
        <f>IF($J92=0,0,ROUND(MAX($J92*1.4,1620000*(1.497923^(MIN($E92,123)-117)))*1,0))</f>
        <v>882000000</v>
      </c>
      <c r="M92" s="4">
        <f t="shared" si="61"/>
        <v>124</v>
      </c>
      <c r="N92" s="8">
        <f>IF($J92=0,0,ROUND(MAX($J92*1.4*1.5,2190000*(1.580994^(MIN($E92,123)-117)))*1,0))</f>
        <v>1323000000</v>
      </c>
      <c r="O92" s="6">
        <f t="shared" si="62"/>
        <v>126</v>
      </c>
      <c r="P92" s="7">
        <f>IF($J92=0,0,ROUND(MAX($J92*1.4*1.5*1.6,3500000*(1.57975^(MIN($E92,123)-117)))*1,0))</f>
        <v>2116800000</v>
      </c>
      <c r="Q92" s="4">
        <f t="shared" si="63"/>
        <v>128</v>
      </c>
      <c r="R92" s="8">
        <f>IF($J92=0,0,ROUND(MAX($J92*1.4*1.5*1.6*1.6,13100000*(1.429962^(MIN($E92,123)-117)))*1,0))</f>
        <v>3386880000</v>
      </c>
      <c r="S92" s="6">
        <f t="shared" si="64"/>
        <v>130</v>
      </c>
      <c r="T92" s="7">
        <f>IF($J92=0,0,ROUND(MAX($J92*1.4*1.5*1.6*1.6*2.2,42600000*(1.576904^(MIN($E92,123)-117)))*1,0))</f>
        <v>7451136000</v>
      </c>
      <c r="U92" s="4">
        <f t="shared" si="65"/>
        <v>133</v>
      </c>
      <c r="V92" s="8">
        <f>IF($J92=0,0,ROUND(MAX($J92*1.4*1.5*1.6*1.6*2.2*2.715,354000000*(1.642074^(MIN($E92,123)-117)))*1,0))</f>
        <v>20229834240</v>
      </c>
      <c r="W92" s="6">
        <f t="shared" si="66"/>
        <v>137</v>
      </c>
      <c r="X92" s="7">
        <f>IF($J92=0,0,ROUND(MAX($J92*1.4*1.5*1.6*1.6*2.2*2.715*2.6,3540000000*(1.579646^(MIN($E92,123)-117)))*1,0))</f>
        <v>52597569024</v>
      </c>
      <c r="Y92" s="4">
        <f t="shared" si="67"/>
        <v>139</v>
      </c>
      <c r="Z92" s="8">
        <f>IF($J92=0,0,ROUND(MAX($J92*1.4*1.5*1.6*1.6*2.2*2.715*2.6*1.4,6020000000*(1.651178^(MIN($E92,123)-117)))*1,0))</f>
        <v>73886647050</v>
      </c>
      <c r="AA92" s="6">
        <f t="shared" si="68"/>
        <v>141</v>
      </c>
      <c r="AB92" s="7">
        <f>IF($J92=0,0,ROUND(MAX($J92*1.4*1.5*1.6*1.6*2.2*2.715*2.6*1.4*1.4,8430000000*(1.651435^(MIN($E92,123)-117)))*1,0))</f>
        <v>103546398464</v>
      </c>
      <c r="AC92" s="4">
        <f t="shared" si="69"/>
        <v>143</v>
      </c>
      <c r="AD92" s="8">
        <f>IF($J92=0,0,ROUND(MAX($J92*1.4*1.5*1.6*1.6*2.2*2.715*2.6*1.4*1.4*1.5,12600000000*(1.652953^(MIN($E92,123)-117)))*1,0))</f>
        <v>155479476715</v>
      </c>
      <c r="AE92" s="6">
        <f t="shared" si="70"/>
        <v>146</v>
      </c>
      <c r="AF92" s="7">
        <f>IF($J92=0,0,ROUND(MAX($J92*1.4*1.5*1.6*1.6*2.2*2.715*2.6*1.4*1.4*1.5*1.5,18900000000*(1.65331^(MIN($E92,123)-117)))*1,0))</f>
        <v>233471173936</v>
      </c>
      <c r="AG92" s="4">
        <f t="shared" si="71"/>
        <v>149</v>
      </c>
      <c r="AH92" s="8">
        <f>IF($J92=0,0,ROUND(MAX($J92*1.4*1.5*1.6*1.6*2.2*2.715*2.6*1.4*1.4*1.5*1.5*3.2,60500000000*(1.654288^(MIN($E92,123)-117)))*1,0))</f>
        <v>749567886338</v>
      </c>
    </row>
    <row r="93" spans="1:34" x14ac:dyDescent="0.25">
      <c r="A93" s="3">
        <v>114</v>
      </c>
      <c r="B93" s="3" t="s">
        <v>173</v>
      </c>
      <c r="C93" s="3" t="s">
        <v>24</v>
      </c>
      <c r="D93" s="3" t="s">
        <v>64</v>
      </c>
      <c r="E93" s="3">
        <v>122</v>
      </c>
      <c r="F93" s="3" t="s">
        <v>174</v>
      </c>
      <c r="G93" s="3" t="s">
        <v>72</v>
      </c>
      <c r="H93" s="3">
        <v>31</v>
      </c>
      <c r="I93" s="4">
        <v>122</v>
      </c>
      <c r="J93" s="5">
        <v>254000000</v>
      </c>
      <c r="K93" s="6">
        <f t="shared" si="60"/>
        <v>123</v>
      </c>
      <c r="L93" s="7">
        <f>IF($J93=0,0,ROUND(MAX($J93*1.4*1,4020000*(1.354082^(MIN($E93,123)-118))),0))</f>
        <v>355600000</v>
      </c>
      <c r="M93" s="4">
        <f t="shared" si="61"/>
        <v>124</v>
      </c>
      <c r="N93" s="8">
        <f>IF($J93=0,0,ROUND(MAX($J93*1.4*1.5*1,6950000*(1.375334^(MIN($E93,123)-118))),0))</f>
        <v>533400000</v>
      </c>
      <c r="O93" s="6">
        <f t="shared" si="62"/>
        <v>126</v>
      </c>
      <c r="P93" s="7">
        <f>IF($J93=0,0,ROUND(MAX($J93*1.4*1.5*1.6*1,23900000*(1.1788^(MIN($E93,123)-118))),0))</f>
        <v>853440000</v>
      </c>
      <c r="Q93" s="4">
        <f t="shared" si="63"/>
        <v>128</v>
      </c>
      <c r="R93" s="8">
        <f>IF($J93=0,0,ROUND(MAX($J93*1.4*1.5*1.6*1.6*1.25,77000000*(1.127009^(MIN($E93,123)-118))),0))</f>
        <v>1706880000</v>
      </c>
      <c r="S93" s="6">
        <f t="shared" si="64"/>
        <v>130</v>
      </c>
      <c r="T93" s="7">
        <f>IF($J93=0,0,ROUND(MAX($J93*1.4*1.5*1.6*1.6*2.2*1.25,270000000*(1.248411^(MIN($E93,123)-118))),0))</f>
        <v>3755136000</v>
      </c>
      <c r="U93" s="4">
        <f t="shared" si="65"/>
        <v>133</v>
      </c>
      <c r="V93" s="8">
        <f>IF($J93=0,0,ROUND(MAX($J93*1.4*1.5*1.6*1.6*2.2*2.715*1.25,2400000000*(1.293039^(MIN($E93,123)-118))),0))</f>
        <v>10195194240</v>
      </c>
      <c r="W93" s="6">
        <f t="shared" si="66"/>
        <v>137</v>
      </c>
      <c r="X93" s="7">
        <f>IF($J93=0,0,ROUND(MAX($J93*1.4*1.5*1.6*1.6*2.2*2.715*2.6*1.25,20000000000*(1.280114^(MIN($E93,123)-118))),0))</f>
        <v>53706219782</v>
      </c>
      <c r="Y93" s="4">
        <f t="shared" si="67"/>
        <v>139</v>
      </c>
      <c r="Z93" s="8">
        <f>IF($J93=0,0,ROUND(MAX($J93*1.4*1.5*1.6*1.6*2.2*2.715*2.6*1.4*1.25,39200000000*(1.31219^(MIN($E93,123)-118))),0))</f>
        <v>116217883489</v>
      </c>
      <c r="AA93" s="6">
        <f t="shared" si="68"/>
        <v>141</v>
      </c>
      <c r="AB93" s="7">
        <f>IF($J93=0,0,ROUND(MAX($J93*1.4*1.5*1.6*1.6*2.2*2.715*2.6*1.4*1.4*1.25,54900000000*(1.312402^(MIN($E93,123)-118))),0))</f>
        <v>162869543321</v>
      </c>
      <c r="AC93" s="4">
        <f t="shared" si="69"/>
        <v>143</v>
      </c>
      <c r="AD93" s="8">
        <f>IF($J93=0,0,ROUND(MAX($J93*1.4*1.5*1.6*1.6*2.2*2.715*2.6*1.4*1.4*1.5*1.25,82400000000*(1.312754^(MIN($E93,123)-118))),0))</f>
        <v>244715012499</v>
      </c>
      <c r="AE93" s="6">
        <f t="shared" si="70"/>
        <v>146</v>
      </c>
      <c r="AF93" s="7">
        <f>IF($J93=0,0,ROUND(MAX($J93*1.4*1.5*1.6*1.6*2.2*2.715*2.6*1.4*1.4*1.5*1.5*1.25,124000000000*(1.312246^(MIN($E93,123)-118))),0))</f>
        <v>367690759477</v>
      </c>
      <c r="AG93" s="4">
        <f t="shared" si="71"/>
        <v>149</v>
      </c>
      <c r="AH93" s="8">
        <f>IF($J93=0,0,ROUND(MAX($J93*1.4*1.5*1.6*1.6*2.2*2.715*2.6*1.4*1.4*1.5*1.5*3.2*1.25,397000000000*(1.313132^(MIN($E93,123)-118))),0))</f>
        <v>1180385990163</v>
      </c>
    </row>
    <row r="94" spans="1:34" x14ac:dyDescent="0.25">
      <c r="A94" s="3">
        <v>117</v>
      </c>
      <c r="B94" s="3" t="s">
        <v>175</v>
      </c>
      <c r="C94" s="3" t="s">
        <v>24</v>
      </c>
      <c r="D94" s="3" t="s">
        <v>33</v>
      </c>
      <c r="E94" s="3">
        <v>122</v>
      </c>
      <c r="F94" s="3" t="s">
        <v>54</v>
      </c>
      <c r="G94" s="3" t="s">
        <v>57</v>
      </c>
      <c r="H94" s="3">
        <v>30</v>
      </c>
      <c r="I94" s="4">
        <v>122</v>
      </c>
      <c r="J94" s="5">
        <v>186000000</v>
      </c>
      <c r="K94" s="6">
        <f t="shared" si="60"/>
        <v>123</v>
      </c>
      <c r="L94" s="7">
        <f>IF($J94=0,0,ROUND(MAX($J94*1.4,1620000*(1.497923^(MIN($E94,123)-117)))*1,0))</f>
        <v>260400000</v>
      </c>
      <c r="M94" s="4">
        <f t="shared" si="61"/>
        <v>124</v>
      </c>
      <c r="N94" s="8">
        <f>IF($J94=0,0,ROUND(MAX($J94*1.4*1.5,2190000*(1.580994^(MIN($E94,123)-117)))*1,0))</f>
        <v>390600000</v>
      </c>
      <c r="O94" s="6">
        <f t="shared" si="62"/>
        <v>126</v>
      </c>
      <c r="P94" s="7">
        <f>IF($J94=0,0,ROUND(MAX($J94*1.4*1.5*1.6,3500000*(1.57975^(MIN($E94,123)-117)))*1,0))</f>
        <v>624960000</v>
      </c>
      <c r="Q94" s="4">
        <f t="shared" si="63"/>
        <v>128</v>
      </c>
      <c r="R94" s="8">
        <f>IF($J94=0,0,ROUND(MAX($J94*1.4*1.5*1.6*1.6,13100000*(1.429962^(MIN($E94,123)-117)))*1,0))</f>
        <v>999936000</v>
      </c>
      <c r="S94" s="6">
        <f t="shared" si="64"/>
        <v>130</v>
      </c>
      <c r="T94" s="7">
        <f>IF($J94=0,0,ROUND(MAX($J94*1.4*1.5*1.6*1.6*2.2,42600000*(1.576904^(MIN($E94,123)-117)))*1,0))</f>
        <v>2199859200</v>
      </c>
      <c r="U94" s="4">
        <f t="shared" si="65"/>
        <v>133</v>
      </c>
      <c r="V94" s="8">
        <f>IF($J94=0,0,ROUND(MAX($J94*1.4*1.5*1.6*1.6*2.2*2.715,354000000*(1.642074^(MIN($E94,123)-117)))*1,0))</f>
        <v>5972617728</v>
      </c>
      <c r="W94" s="6">
        <f t="shared" si="66"/>
        <v>137</v>
      </c>
      <c r="X94" s="7">
        <f>IF($J94=0,0,ROUND(MAX($J94*1.4*1.5*1.6*1.6*2.2*2.715*2.6,3540000000*(1.579646^(MIN($E94,123)-117)))*1,0))</f>
        <v>34817863835</v>
      </c>
      <c r="Y94" s="4">
        <f t="shared" si="67"/>
        <v>139</v>
      </c>
      <c r="Z94" s="8">
        <f>IF($J94=0,0,ROUND(MAX($J94*1.4*1.5*1.6*1.6*2.2*2.715*2.6*1.4,6020000000*(1.651178^(MIN($E94,123)-117)))*1,0))</f>
        <v>73886647050</v>
      </c>
      <c r="AA94" s="6">
        <f t="shared" si="68"/>
        <v>141</v>
      </c>
      <c r="AB94" s="7">
        <f>IF($J94=0,0,ROUND(MAX($J94*1.4*1.5*1.6*1.6*2.2*2.715*2.6*1.4*1.4,8430000000*(1.651435^(MIN($E94,123)-117)))*1,0))</f>
        <v>103546398464</v>
      </c>
      <c r="AC94" s="4">
        <f t="shared" si="69"/>
        <v>143</v>
      </c>
      <c r="AD94" s="8">
        <f>IF($J94=0,0,ROUND(MAX($J94*1.4*1.5*1.6*1.6*2.2*2.715*2.6*1.4*1.4*1.5,12600000000*(1.652953^(MIN($E94,123)-117)))*1,0))</f>
        <v>155479476715</v>
      </c>
      <c r="AE94" s="6">
        <f t="shared" si="70"/>
        <v>146</v>
      </c>
      <c r="AF94" s="7">
        <f>IF($J94=0,0,ROUND(MAX($J94*1.4*1.5*1.6*1.6*2.2*2.715*2.6*1.4*1.4*1.5*1.5,18900000000*(1.65331^(MIN($E94,123)-117)))*1,0))</f>
        <v>233471173936</v>
      </c>
      <c r="AG94" s="4">
        <f t="shared" si="71"/>
        <v>149</v>
      </c>
      <c r="AH94" s="8">
        <f>IF($J94=0,0,ROUND(MAX($J94*1.4*1.5*1.6*1.6*2.2*2.715*2.6*1.4*1.4*1.5*1.5*3.2,60500000000*(1.654288^(MIN($E94,123)-117)))*1,0))</f>
        <v>749567886338</v>
      </c>
    </row>
    <row r="95" spans="1:34" x14ac:dyDescent="0.25">
      <c r="A95" s="3">
        <v>116</v>
      </c>
      <c r="B95" s="3" t="s">
        <v>176</v>
      </c>
      <c r="C95" s="3" t="s">
        <v>24</v>
      </c>
      <c r="D95" s="3" t="s">
        <v>102</v>
      </c>
      <c r="E95" s="3">
        <v>122</v>
      </c>
      <c r="F95" s="3" t="s">
        <v>54</v>
      </c>
      <c r="G95" s="3" t="s">
        <v>98</v>
      </c>
      <c r="H95" s="3">
        <v>31</v>
      </c>
      <c r="I95" s="4">
        <v>122</v>
      </c>
      <c r="J95" s="5">
        <v>529000000</v>
      </c>
      <c r="K95" s="6">
        <f t="shared" si="60"/>
        <v>123</v>
      </c>
      <c r="L95" s="7">
        <f>IF($J95=0,0,ROUND(MAX($J95*1.4,1620000*(1.497923^(MIN($E95,123)-117)))*1,0))</f>
        <v>740600000</v>
      </c>
      <c r="M95" s="4">
        <f t="shared" si="61"/>
        <v>124</v>
      </c>
      <c r="N95" s="8">
        <f>IF($J95=0,0,ROUND(MAX($J95*1.4*1.5,2190000*(1.580994^(MIN($E95,123)-117)))*1,0))</f>
        <v>1110900000</v>
      </c>
      <c r="O95" s="6">
        <f t="shared" si="62"/>
        <v>126</v>
      </c>
      <c r="P95" s="7">
        <f>IF($J95=0,0,ROUND(MAX($J95*1.4*1.5*1.6,3500000*(1.57975^(MIN($E95,123)-117)))*1,0))</f>
        <v>1777440000</v>
      </c>
      <c r="Q95" s="4">
        <f t="shared" si="63"/>
        <v>128</v>
      </c>
      <c r="R95" s="8">
        <f>IF($J95=0,0,ROUND(MAX($J95*1.4*1.5*1.6*1.6,13100000*(1.429962^(MIN($E95,123)-117)))*1,0))</f>
        <v>2843904000</v>
      </c>
      <c r="S95" s="6">
        <f t="shared" si="64"/>
        <v>130</v>
      </c>
      <c r="T95" s="7">
        <f>IF($J95=0,0,ROUND(MAX($J95*1.4*1.5*1.6*1.6*2.2,42600000*(1.576904^(MIN($E95,123)-117)))*1,0))</f>
        <v>6256588800</v>
      </c>
      <c r="U95" s="4">
        <f t="shared" si="65"/>
        <v>133</v>
      </c>
      <c r="V95" s="8">
        <f>IF($J95=0,0,ROUND(MAX($J95*1.4*1.5*1.6*1.6*2.2*2.715,354000000*(1.642074^(MIN($E95,123)-117)))*1,0))</f>
        <v>16986638592</v>
      </c>
      <c r="W95" s="6">
        <f t="shared" si="66"/>
        <v>137</v>
      </c>
      <c r="X95" s="7">
        <f>IF($J95=0,0,ROUND(MAX($J95*1.4*1.5*1.6*1.6*2.2*2.715*2.6,3540000000*(1.579646^(MIN($E95,123)-117)))*1,0))</f>
        <v>44165260339</v>
      </c>
      <c r="Y95" s="4">
        <f t="shared" si="67"/>
        <v>139</v>
      </c>
      <c r="Z95" s="8">
        <f>IF($J95=0,0,ROUND(MAX($J95*1.4*1.5*1.6*1.6*2.2*2.715*2.6*1.4,6020000000*(1.651178^(MIN($E95,123)-117)))*1,0))</f>
        <v>73886647050</v>
      </c>
      <c r="AA95" s="6">
        <f t="shared" si="68"/>
        <v>141</v>
      </c>
      <c r="AB95" s="7">
        <f>IF($J95=0,0,ROUND(MAX($J95*1.4*1.5*1.6*1.6*2.2*2.715*2.6*1.4*1.4,8430000000*(1.651435^(MIN($E95,123)-117)))*1,0))</f>
        <v>103546398464</v>
      </c>
      <c r="AC95" s="4">
        <f t="shared" si="69"/>
        <v>143</v>
      </c>
      <c r="AD95" s="8">
        <f>IF($J95=0,0,ROUND(MAX($J95*1.4*1.5*1.6*1.6*2.2*2.715*2.6*1.4*1.4*1.5,12600000000*(1.652953^(MIN($E95,123)-117)))*1,0))</f>
        <v>155479476715</v>
      </c>
      <c r="AE95" s="6">
        <f t="shared" si="70"/>
        <v>146</v>
      </c>
      <c r="AF95" s="7">
        <f>IF($J95=0,0,ROUND(MAX($J95*1.4*1.5*1.6*1.6*2.2*2.715*2.6*1.4*1.4*1.5*1.5,18900000000*(1.65331^(MIN($E95,123)-117)))*1,0))</f>
        <v>233471173936</v>
      </c>
      <c r="AG95" s="4">
        <f t="shared" si="71"/>
        <v>149</v>
      </c>
      <c r="AH95" s="8">
        <f>IF($J95=0,0,ROUND(MAX($J95*1.4*1.5*1.6*1.6*2.2*2.715*2.6*1.4*1.4*1.5*1.5*3.2,60500000000*(1.654288^(MIN($E95,123)-117)))*1,0))</f>
        <v>749567886338</v>
      </c>
    </row>
    <row r="96" spans="1:34" x14ac:dyDescent="0.25">
      <c r="A96" s="3">
        <v>105</v>
      </c>
      <c r="B96" s="3" t="s">
        <v>177</v>
      </c>
      <c r="C96" s="3" t="s">
        <v>24</v>
      </c>
      <c r="D96" s="3" t="s">
        <v>29</v>
      </c>
      <c r="E96" s="3">
        <v>122</v>
      </c>
      <c r="F96" s="3" t="s">
        <v>146</v>
      </c>
      <c r="G96" s="3" t="s">
        <v>72</v>
      </c>
      <c r="H96" s="3">
        <v>31</v>
      </c>
      <c r="I96" s="4">
        <v>122</v>
      </c>
      <c r="J96" s="5">
        <v>493000000</v>
      </c>
      <c r="K96" s="6">
        <f t="shared" si="60"/>
        <v>123</v>
      </c>
      <c r="L96" s="7">
        <f>IF($J96=0,0,ROUND(MAX($J96*1.4,1620000*(1.497923^(MIN($E96,123)-117)))*1,0))</f>
        <v>690200000</v>
      </c>
      <c r="M96" s="4">
        <f t="shared" si="61"/>
        <v>124</v>
      </c>
      <c r="N96" s="8">
        <f>IF($J96=0,0,ROUND(MAX($J96*1.4*1.5,2190000*(1.580994^(MIN($E96,123)-117)))*1,0))</f>
        <v>1035300000</v>
      </c>
      <c r="O96" s="6">
        <f t="shared" si="62"/>
        <v>126</v>
      </c>
      <c r="P96" s="7">
        <f>IF($J96=0,0,ROUND(MAX($J96*1.4*1.5*1.6,3500000*(1.57975^(MIN($E96,123)-117)))*1,0))</f>
        <v>1656480000</v>
      </c>
      <c r="Q96" s="4">
        <f t="shared" si="63"/>
        <v>128</v>
      </c>
      <c r="R96" s="8">
        <f>IF($J96=0,0,ROUND(MAX($J96*1.4*1.5*1.6*1.6,13100000*(1.429962^(MIN($E96,123)-117)))*1,0))</f>
        <v>2650368000</v>
      </c>
      <c r="S96" s="6">
        <f t="shared" si="64"/>
        <v>130</v>
      </c>
      <c r="T96" s="7">
        <f>IF($J96=0,0,ROUND(MAX($J96*1.4*1.5*1.6*1.6*2.2,42600000*(1.576904^(MIN($E96,123)-117)))*1,0))</f>
        <v>5830809600</v>
      </c>
      <c r="U96" s="4">
        <f t="shared" si="65"/>
        <v>133</v>
      </c>
      <c r="V96" s="8">
        <f>IF($J96=0,0,ROUND(MAX($J96*1.4*1.5*1.6*1.6*2.2*2.715,354000000*(1.642074^(MIN($E96,123)-117)))*1,0))</f>
        <v>15830648064</v>
      </c>
      <c r="W96" s="6">
        <f t="shared" si="66"/>
        <v>137</v>
      </c>
      <c r="X96" s="7">
        <f>IF($J96=0,0,ROUND(MAX($J96*1.4*1.5*1.6*1.6*2.2*2.715*2.6,3540000000*(1.579646^(MIN($E96,123)-117)))*1,0))</f>
        <v>41159684966</v>
      </c>
      <c r="Y96" s="4">
        <f t="shared" si="67"/>
        <v>139</v>
      </c>
      <c r="Z96" s="8">
        <f>IF($J96=0,0,ROUND(MAX($J96*1.4*1.5*1.6*1.6*2.2*2.715*2.6*1.4,6020000000*(1.651178^(MIN($E96,123)-117)))*1,0))</f>
        <v>73886647050</v>
      </c>
      <c r="AA96" s="6">
        <f t="shared" si="68"/>
        <v>141</v>
      </c>
      <c r="AB96" s="7">
        <f>IF($J96=0,0,ROUND(MAX($J96*1.4*1.5*1.6*1.6*2.2*2.715*2.6*1.4*1.4,8430000000*(1.651435^(MIN($E96,123)-117)))*1,0))</f>
        <v>103546398464</v>
      </c>
      <c r="AC96" s="4">
        <f t="shared" si="69"/>
        <v>143</v>
      </c>
      <c r="AD96" s="8">
        <f>IF($J96=0,0,ROUND(MAX($J96*1.4*1.5*1.6*1.6*2.2*2.715*2.6*1.4*1.4*1.5,12600000000*(1.652953^(MIN($E96,123)-117)))*1,0))</f>
        <v>155479476715</v>
      </c>
      <c r="AE96" s="6">
        <f t="shared" si="70"/>
        <v>146</v>
      </c>
      <c r="AF96" s="7">
        <f>IF($J96=0,0,ROUND(MAX($J96*1.4*1.5*1.6*1.6*2.2*2.715*2.6*1.4*1.4*1.5*1.5,18900000000*(1.65331^(MIN($E96,123)-117)))*1,0))</f>
        <v>233471173936</v>
      </c>
      <c r="AG96" s="4">
        <f t="shared" si="71"/>
        <v>149</v>
      </c>
      <c r="AH96" s="8">
        <f>IF($J96=0,0,ROUND(MAX($J96*1.4*1.5*1.6*1.6*2.2*2.715*2.6*1.4*1.4*1.5*1.5*3.2,60500000000*(1.654288^(MIN($E96,123)-117)))*1,0))</f>
        <v>749567886338</v>
      </c>
    </row>
    <row r="97" spans="1:34" x14ac:dyDescent="0.25">
      <c r="A97" s="3">
        <v>44</v>
      </c>
      <c r="B97" s="3" t="s">
        <v>178</v>
      </c>
      <c r="C97" s="3" t="s">
        <v>24</v>
      </c>
      <c r="D97" s="3" t="s">
        <v>33</v>
      </c>
      <c r="E97" s="3">
        <v>122</v>
      </c>
      <c r="F97" s="3" t="s">
        <v>179</v>
      </c>
      <c r="G97" s="3" t="s">
        <v>57</v>
      </c>
      <c r="H97" s="3">
        <v>31</v>
      </c>
      <c r="I97" s="4">
        <v>122</v>
      </c>
      <c r="J97" s="5">
        <v>680000000</v>
      </c>
      <c r="K97" s="6">
        <f t="shared" si="60"/>
        <v>123</v>
      </c>
      <c r="L97" s="7">
        <f>IF($J97=0,0,ROUND(MAX($J97*1.4,1620000*(1.497923^(MIN($E97,123)-117)))*1,0))</f>
        <v>952000000</v>
      </c>
      <c r="M97" s="4">
        <f t="shared" si="61"/>
        <v>124</v>
      </c>
      <c r="N97" s="8">
        <f>IF($J97=0,0,ROUND(MAX($J97*1.4*1.5,2190000*(1.580994^(MIN($E97,123)-117)))*1,0))</f>
        <v>1428000000</v>
      </c>
      <c r="O97" s="6">
        <f t="shared" si="62"/>
        <v>126</v>
      </c>
      <c r="P97" s="7">
        <f>IF($J97=0,0,ROUND(MAX($J97*1.4*1.5*1.6,3500000*(1.57975^(MIN($E97,123)-117)))*1,0))</f>
        <v>2284800000</v>
      </c>
      <c r="Q97" s="4">
        <f t="shared" si="63"/>
        <v>128</v>
      </c>
      <c r="R97" s="8">
        <f>IF($J97=0,0,ROUND(MAX($J97*1.4*1.5*1.6*1.6,13100000*(1.429962^(MIN($E97,123)-117)))*1,0))</f>
        <v>3655680000</v>
      </c>
      <c r="S97" s="6">
        <f t="shared" si="64"/>
        <v>130</v>
      </c>
      <c r="T97" s="7">
        <f>IF($J97=0,0,ROUND(MAX($J97*1.4*1.5*1.6*1.6*2.2,42600000*(1.576904^(MIN($E97,123)-117)))*1,0))</f>
        <v>8042496000</v>
      </c>
      <c r="U97" s="4">
        <f t="shared" si="65"/>
        <v>133</v>
      </c>
      <c r="V97" s="8">
        <f>IF($J97=0,0,ROUND(MAX($J97*1.4*1.5*1.6*1.6*2.2*2.715,354000000*(1.642074^(MIN($E97,123)-117)))*1,0))</f>
        <v>21835376640</v>
      </c>
      <c r="W97" s="6">
        <f t="shared" si="66"/>
        <v>137</v>
      </c>
      <c r="X97" s="7">
        <f>IF($J97=0,0,ROUND(MAX($J97*1.4*1.5*1.6*1.6*2.2*2.715*2.6,3540000000*(1.579646^(MIN($E97,123)-117)))*1,0))</f>
        <v>56771979264</v>
      </c>
      <c r="Y97" s="4">
        <f t="shared" si="67"/>
        <v>139</v>
      </c>
      <c r="Z97" s="8">
        <f>IF($J97=0,0,ROUND(MAX($J97*1.4*1.5*1.6*1.6*2.2*2.715*2.6*1.4,6020000000*(1.651178^(MIN($E97,123)-117)))*1,0))</f>
        <v>79480770970</v>
      </c>
      <c r="AA97" s="6">
        <f t="shared" si="68"/>
        <v>141</v>
      </c>
      <c r="AB97" s="7">
        <f>IF($J97=0,0,ROUND(MAX($J97*1.4*1.5*1.6*1.6*2.2*2.715*2.6*1.4*1.4,8430000000*(1.651435^(MIN($E97,123)-117)))*1,0))</f>
        <v>111273079357</v>
      </c>
      <c r="AC97" s="4">
        <f t="shared" si="69"/>
        <v>143</v>
      </c>
      <c r="AD97" s="8">
        <f>IF($J97=0,0,ROUND(MAX($J97*1.4*1.5*1.6*1.6*2.2*2.715*2.6*1.4*1.4*1.5,12600000000*(1.652953^(MIN($E97,123)-117)))*1,0))</f>
        <v>166909619036</v>
      </c>
      <c r="AE97" s="6">
        <f t="shared" si="70"/>
        <v>146</v>
      </c>
      <c r="AF97" s="7">
        <f>IF($J97=0,0,ROUND(MAX($J97*1.4*1.5*1.6*1.6*2.2*2.715*2.6*1.4*1.4*1.5*1.5,18900000000*(1.65331^(MIN($E97,123)-117)))*1,0))</f>
        <v>250364428554</v>
      </c>
      <c r="AG97" s="4">
        <f t="shared" si="71"/>
        <v>149</v>
      </c>
      <c r="AH97" s="8">
        <f>IF($J97=0,0,ROUND(MAX($J97*1.4*1.5*1.6*1.6*2.2*2.715*2.6*1.4*1.4*1.5*1.5*3.2,60500000000*(1.654288^(MIN($E97,123)-117)))*1,0))</f>
        <v>801166171374</v>
      </c>
    </row>
    <row r="98" spans="1:34" x14ac:dyDescent="0.25">
      <c r="A98" s="3">
        <v>48</v>
      </c>
      <c r="B98" s="3" t="s">
        <v>180</v>
      </c>
      <c r="C98" s="3" t="s">
        <v>24</v>
      </c>
      <c r="D98" s="3" t="s">
        <v>47</v>
      </c>
      <c r="E98" s="3">
        <v>122</v>
      </c>
      <c r="F98" s="3" t="s">
        <v>144</v>
      </c>
      <c r="G98" s="3" t="s">
        <v>98</v>
      </c>
      <c r="H98" s="3">
        <v>27</v>
      </c>
      <c r="I98" s="4">
        <v>122</v>
      </c>
      <c r="J98" s="5">
        <v>146000000</v>
      </c>
      <c r="K98" s="6">
        <f t="shared" si="60"/>
        <v>123</v>
      </c>
      <c r="L98" s="7">
        <f>IF($J98=0,0,ROUND(MAX($J98*1.4*1,4020000*(1.354082^(MIN($E98,123)-118))),0))</f>
        <v>204400000</v>
      </c>
      <c r="M98" s="4">
        <f t="shared" si="61"/>
        <v>124</v>
      </c>
      <c r="N98" s="8">
        <f>IF($J98=0,0,ROUND(MAX($J98*1.4*1.5*1,6950000*(1.375334^(MIN($E98,123)-118))),0))</f>
        <v>306600000</v>
      </c>
      <c r="O98" s="6">
        <f t="shared" si="62"/>
        <v>126</v>
      </c>
      <c r="P98" s="7">
        <f>IF($J98=0,0,ROUND(MAX($J98*1.4*1.5*1.6*1,23900000*(1.1788^(MIN($E98,123)-118))),0))</f>
        <v>490560000</v>
      </c>
      <c r="Q98" s="4">
        <f t="shared" si="63"/>
        <v>128</v>
      </c>
      <c r="R98" s="8">
        <f>IF($J98=0,0,ROUND(MAX($J98*1.4*1.5*1.6*1.6*1.25,77000000*(1.127009^(MIN($E98,123)-118))),0))</f>
        <v>981120000</v>
      </c>
      <c r="S98" s="6">
        <f t="shared" si="64"/>
        <v>130</v>
      </c>
      <c r="T98" s="7">
        <f>IF($J98=0,0,ROUND(MAX($J98*1.4*1.5*1.6*1.6*2.2*1.25,270000000*(1.248411^(MIN($E98,123)-118))),0))</f>
        <v>2158464000</v>
      </c>
      <c r="U98" s="4">
        <f t="shared" si="65"/>
        <v>133</v>
      </c>
      <c r="V98" s="8">
        <f>IF($J98=0,0,ROUND(MAX($J98*1.4*1.5*1.6*1.6*2.2*2.715*1.25,2400000000*(1.293039^(MIN($E98,123)-118))),0))</f>
        <v>6708999167</v>
      </c>
      <c r="W98" s="6">
        <f t="shared" si="66"/>
        <v>137</v>
      </c>
      <c r="X98" s="7">
        <f>IF($J98=0,0,ROUND(MAX($J98*1.4*1.5*1.6*1.6*2.2*2.715*2.6*1.25,20000000000*(1.280114^(MIN($E98,123)-118))),0))</f>
        <v>53706219782</v>
      </c>
      <c r="Y98" s="4">
        <f t="shared" si="67"/>
        <v>139</v>
      </c>
      <c r="Z98" s="8">
        <f>IF($J98=0,0,ROUND(MAX($J98*1.4*1.5*1.6*1.6*2.2*2.715*2.6*1.4*1.25,39200000000*(1.31219^(MIN($E98,123)-118))),0))</f>
        <v>116217883489</v>
      </c>
      <c r="AA98" s="6">
        <f t="shared" si="68"/>
        <v>141</v>
      </c>
      <c r="AB98" s="7">
        <f>IF($J98=0,0,ROUND(MAX($J98*1.4*1.5*1.6*1.6*2.2*2.715*2.6*1.4*1.4*1.25,54900000000*(1.312402^(MIN($E98,123)-118))),0))</f>
        <v>162869543321</v>
      </c>
      <c r="AC98" s="4">
        <f t="shared" si="69"/>
        <v>143</v>
      </c>
      <c r="AD98" s="8">
        <f>IF($J98=0,0,ROUND(MAX($J98*1.4*1.5*1.6*1.6*2.2*2.715*2.6*1.4*1.4*1.5*1.25,82400000000*(1.312754^(MIN($E98,123)-118))),0))</f>
        <v>244715012499</v>
      </c>
      <c r="AE98" s="6">
        <f t="shared" si="70"/>
        <v>146</v>
      </c>
      <c r="AF98" s="7">
        <f>IF($J98=0,0,ROUND(MAX($J98*1.4*1.5*1.6*1.6*2.2*2.715*2.6*1.4*1.4*1.5*1.5*1.25,124000000000*(1.312246^(MIN($E98,123)-118))),0))</f>
        <v>367690759477</v>
      </c>
      <c r="AG98" s="4">
        <f t="shared" si="71"/>
        <v>149</v>
      </c>
      <c r="AH98" s="8">
        <f>IF($J98=0,0,ROUND(MAX($J98*1.4*1.5*1.6*1.6*2.2*2.715*2.6*1.4*1.4*1.5*1.5*3.2*1.25,397000000000*(1.313132^(MIN($E98,123)-118))),0))</f>
        <v>1180385990163</v>
      </c>
    </row>
    <row r="99" spans="1:34" x14ac:dyDescent="0.25">
      <c r="A99" s="3">
        <v>42</v>
      </c>
      <c r="B99" s="3" t="s">
        <v>181</v>
      </c>
      <c r="C99" s="3" t="s">
        <v>24</v>
      </c>
      <c r="D99" s="3" t="s">
        <v>25</v>
      </c>
      <c r="E99" s="3">
        <v>122</v>
      </c>
      <c r="F99" s="3" t="s">
        <v>123</v>
      </c>
      <c r="G99" s="3" t="s">
        <v>57</v>
      </c>
      <c r="H99" s="3">
        <v>31</v>
      </c>
      <c r="I99" s="4">
        <v>122</v>
      </c>
      <c r="J99" s="5">
        <v>362000000</v>
      </c>
      <c r="K99" s="6">
        <f t="shared" si="60"/>
        <v>123</v>
      </c>
      <c r="L99" s="7">
        <f t="shared" ref="L99:L128" si="72">IF($J99=0,0,ROUND(MAX($J99*1.4,1620000*(1.497923^(MIN($E99,123)-117)))*1,0))</f>
        <v>506800000</v>
      </c>
      <c r="M99" s="4">
        <f t="shared" si="61"/>
        <v>124</v>
      </c>
      <c r="N99" s="8">
        <f t="shared" ref="N99:N128" si="73">IF($J99=0,0,ROUND(MAX($J99*1.4*1.5,2190000*(1.580994^(MIN($E99,123)-117)))*1,0))</f>
        <v>760200000</v>
      </c>
      <c r="O99" s="6">
        <f t="shared" si="62"/>
        <v>126</v>
      </c>
      <c r="P99" s="7">
        <f t="shared" ref="P99:P128" si="74">IF($J99=0,0,ROUND(MAX($J99*1.4*1.5*1.6,3500000*(1.57975^(MIN($E99,123)-117)))*1,0))</f>
        <v>1216320000</v>
      </c>
      <c r="Q99" s="4">
        <f t="shared" si="63"/>
        <v>128</v>
      </c>
      <c r="R99" s="8">
        <f t="shared" ref="R99:R128" si="75">IF($J99=0,0,ROUND(MAX($J99*1.4*1.5*1.6*1.6,13100000*(1.429962^(MIN($E99,123)-117)))*1,0))</f>
        <v>1946112000</v>
      </c>
      <c r="S99" s="6">
        <f t="shared" si="64"/>
        <v>130</v>
      </c>
      <c r="T99" s="7">
        <f t="shared" ref="T99:T128" si="76">IF($J99=0,0,ROUND(MAX($J99*1.4*1.5*1.6*1.6*2.2,42600000*(1.576904^(MIN($E99,123)-117)))*1,0))</f>
        <v>4281446400</v>
      </c>
      <c r="U99" s="4">
        <f t="shared" si="65"/>
        <v>133</v>
      </c>
      <c r="V99" s="8">
        <f t="shared" ref="V99:V128" si="77">IF($J99=0,0,ROUND(MAX($J99*1.4*1.5*1.6*1.6*2.2*2.715,354000000*(1.642074^(MIN($E99,123)-117)))*1,0))</f>
        <v>11624126976</v>
      </c>
      <c r="W99" s="6">
        <f t="shared" si="66"/>
        <v>137</v>
      </c>
      <c r="X99" s="7">
        <f t="shared" ref="X99:X128" si="78">IF($J99=0,0,ROUND(MAX($J99*1.4*1.5*1.6*1.6*2.2*2.715*2.6,3540000000*(1.579646^(MIN($E99,123)-117)))*1,0))</f>
        <v>34817863835</v>
      </c>
      <c r="Y99" s="4">
        <f t="shared" si="67"/>
        <v>139</v>
      </c>
      <c r="Z99" s="8">
        <f t="shared" ref="Z99:Z128" si="79">IF($J99=0,0,ROUND(MAX($J99*1.4*1.5*1.6*1.6*2.2*2.715*2.6*1.4,6020000000*(1.651178^(MIN($E99,123)-117)))*1,0))</f>
        <v>73886647050</v>
      </c>
      <c r="AA99" s="6">
        <f t="shared" si="68"/>
        <v>141</v>
      </c>
      <c r="AB99" s="7">
        <f t="shared" ref="AB99:AB128" si="80">IF($J99=0,0,ROUND(MAX($J99*1.4*1.5*1.6*1.6*2.2*2.715*2.6*1.4*1.4,8430000000*(1.651435^(MIN($E99,123)-117)))*1,0))</f>
        <v>103546398464</v>
      </c>
      <c r="AC99" s="4">
        <f t="shared" si="69"/>
        <v>143</v>
      </c>
      <c r="AD99" s="8">
        <f t="shared" ref="AD99:AD128" si="81">IF($J99=0,0,ROUND(MAX($J99*1.4*1.5*1.6*1.6*2.2*2.715*2.6*1.4*1.4*1.5,12600000000*(1.652953^(MIN($E99,123)-117)))*1,0))</f>
        <v>155479476715</v>
      </c>
      <c r="AE99" s="6">
        <f t="shared" si="70"/>
        <v>146</v>
      </c>
      <c r="AF99" s="7">
        <f t="shared" ref="AF99:AF128" si="82">IF($J99=0,0,ROUND(MAX($J99*1.4*1.5*1.6*1.6*2.2*2.715*2.6*1.4*1.4*1.5*1.5,18900000000*(1.65331^(MIN($E99,123)-117)))*1,0))</f>
        <v>233471173936</v>
      </c>
      <c r="AG99" s="4">
        <f t="shared" si="71"/>
        <v>149</v>
      </c>
      <c r="AH99" s="8">
        <f t="shared" ref="AH99:AH128" si="83">IF($J99=0,0,ROUND(MAX($J99*1.4*1.5*1.6*1.6*2.2*2.715*2.6*1.4*1.4*1.5*1.5*3.2,60500000000*(1.654288^(MIN($E99,123)-117)))*1,0))</f>
        <v>749567886338</v>
      </c>
    </row>
    <row r="100" spans="1:34" x14ac:dyDescent="0.25">
      <c r="A100" s="3">
        <v>121</v>
      </c>
      <c r="B100" s="3" t="s">
        <v>182</v>
      </c>
      <c r="C100" s="3" t="s">
        <v>24</v>
      </c>
      <c r="D100" s="3" t="s">
        <v>102</v>
      </c>
      <c r="E100" s="3">
        <v>122</v>
      </c>
      <c r="F100" s="3" t="s">
        <v>183</v>
      </c>
      <c r="G100" s="3" t="s">
        <v>57</v>
      </c>
      <c r="H100" s="3">
        <v>30</v>
      </c>
      <c r="I100" s="4">
        <v>122</v>
      </c>
      <c r="J100" s="5">
        <v>418100000</v>
      </c>
      <c r="K100" s="6">
        <f t="shared" si="60"/>
        <v>123</v>
      </c>
      <c r="L100" s="7">
        <f t="shared" si="72"/>
        <v>585340000</v>
      </c>
      <c r="M100" s="4">
        <f t="shared" si="61"/>
        <v>124</v>
      </c>
      <c r="N100" s="8">
        <f t="shared" si="73"/>
        <v>878010000</v>
      </c>
      <c r="O100" s="6">
        <f t="shared" si="62"/>
        <v>126</v>
      </c>
      <c r="P100" s="7">
        <f t="shared" si="74"/>
        <v>1404816000</v>
      </c>
      <c r="Q100" s="4">
        <f t="shared" si="63"/>
        <v>128</v>
      </c>
      <c r="R100" s="8">
        <f t="shared" si="75"/>
        <v>2247705600</v>
      </c>
      <c r="S100" s="6">
        <f t="shared" si="64"/>
        <v>130</v>
      </c>
      <c r="T100" s="7">
        <f t="shared" si="76"/>
        <v>4944952320</v>
      </c>
      <c r="U100" s="4">
        <f t="shared" si="65"/>
        <v>133</v>
      </c>
      <c r="V100" s="8">
        <f t="shared" si="77"/>
        <v>13425545549</v>
      </c>
      <c r="W100" s="6">
        <f t="shared" si="66"/>
        <v>137</v>
      </c>
      <c r="X100" s="7">
        <f t="shared" si="78"/>
        <v>34906418427</v>
      </c>
      <c r="Y100" s="4">
        <f t="shared" si="67"/>
        <v>139</v>
      </c>
      <c r="Z100" s="8">
        <f t="shared" si="79"/>
        <v>73886647050</v>
      </c>
      <c r="AA100" s="6">
        <f t="shared" si="68"/>
        <v>141</v>
      </c>
      <c r="AB100" s="7">
        <f t="shared" si="80"/>
        <v>103546398464</v>
      </c>
      <c r="AC100" s="4">
        <f t="shared" si="69"/>
        <v>143</v>
      </c>
      <c r="AD100" s="8">
        <f t="shared" si="81"/>
        <v>155479476715</v>
      </c>
      <c r="AE100" s="6">
        <f t="shared" si="70"/>
        <v>146</v>
      </c>
      <c r="AF100" s="7">
        <f t="shared" si="82"/>
        <v>233471173936</v>
      </c>
      <c r="AG100" s="4">
        <f t="shared" si="71"/>
        <v>149</v>
      </c>
      <c r="AH100" s="8">
        <f t="shared" si="83"/>
        <v>749567886338</v>
      </c>
    </row>
    <row r="101" spans="1:34" x14ac:dyDescent="0.25">
      <c r="A101" s="3">
        <v>104</v>
      </c>
      <c r="B101" s="3" t="s">
        <v>184</v>
      </c>
      <c r="C101" s="3" t="s">
        <v>24</v>
      </c>
      <c r="D101" s="3" t="s">
        <v>45</v>
      </c>
      <c r="E101" s="3">
        <v>122</v>
      </c>
      <c r="F101" s="3" t="s">
        <v>97</v>
      </c>
      <c r="G101" s="3" t="s">
        <v>185</v>
      </c>
      <c r="H101" s="3">
        <v>32</v>
      </c>
      <c r="I101" s="4">
        <v>122</v>
      </c>
      <c r="J101" s="5">
        <v>531000000</v>
      </c>
      <c r="K101" s="6">
        <f t="shared" si="60"/>
        <v>123</v>
      </c>
      <c r="L101" s="7">
        <f t="shared" si="72"/>
        <v>743400000</v>
      </c>
      <c r="M101" s="4">
        <f t="shared" si="61"/>
        <v>124</v>
      </c>
      <c r="N101" s="8">
        <f t="shared" si="73"/>
        <v>1115100000</v>
      </c>
      <c r="O101" s="6">
        <f t="shared" si="62"/>
        <v>126</v>
      </c>
      <c r="P101" s="7">
        <f t="shared" si="74"/>
        <v>1784160000</v>
      </c>
      <c r="Q101" s="4">
        <f t="shared" si="63"/>
        <v>128</v>
      </c>
      <c r="R101" s="8">
        <f t="shared" si="75"/>
        <v>2854656000</v>
      </c>
      <c r="S101" s="6">
        <f t="shared" si="64"/>
        <v>130</v>
      </c>
      <c r="T101" s="7">
        <f t="shared" si="76"/>
        <v>6280243200</v>
      </c>
      <c r="U101" s="4">
        <f t="shared" si="65"/>
        <v>133</v>
      </c>
      <c r="V101" s="8">
        <f t="shared" si="77"/>
        <v>17050860288</v>
      </c>
      <c r="W101" s="6">
        <f t="shared" si="66"/>
        <v>137</v>
      </c>
      <c r="X101" s="7">
        <f t="shared" si="78"/>
        <v>44332236749</v>
      </c>
      <c r="Y101" s="4">
        <f t="shared" si="67"/>
        <v>139</v>
      </c>
      <c r="Z101" s="8">
        <f t="shared" si="79"/>
        <v>73886647050</v>
      </c>
      <c r="AA101" s="6">
        <f t="shared" si="68"/>
        <v>141</v>
      </c>
      <c r="AB101" s="7">
        <f t="shared" si="80"/>
        <v>103546398464</v>
      </c>
      <c r="AC101" s="4">
        <f t="shared" si="69"/>
        <v>143</v>
      </c>
      <c r="AD101" s="8">
        <f t="shared" si="81"/>
        <v>155479476715</v>
      </c>
      <c r="AE101" s="6">
        <f t="shared" si="70"/>
        <v>146</v>
      </c>
      <c r="AF101" s="7">
        <f t="shared" si="82"/>
        <v>233471173936</v>
      </c>
      <c r="AG101" s="4">
        <f t="shared" si="71"/>
        <v>149</v>
      </c>
      <c r="AH101" s="8">
        <f t="shared" si="83"/>
        <v>749567886338</v>
      </c>
    </row>
    <row r="102" spans="1:34" x14ac:dyDescent="0.25">
      <c r="A102" s="3">
        <v>237</v>
      </c>
      <c r="B102" s="3" t="s">
        <v>186</v>
      </c>
      <c r="C102" s="3" t="s">
        <v>24</v>
      </c>
      <c r="D102" s="3" t="s">
        <v>75</v>
      </c>
      <c r="E102" s="3">
        <v>121</v>
      </c>
      <c r="F102" s="3" t="s">
        <v>56</v>
      </c>
      <c r="G102" s="3" t="s">
        <v>95</v>
      </c>
      <c r="H102" s="3">
        <v>30</v>
      </c>
      <c r="I102" s="4">
        <v>121</v>
      </c>
      <c r="J102" s="5">
        <v>118000000</v>
      </c>
      <c r="K102" s="6">
        <f t="shared" si="60"/>
        <v>122</v>
      </c>
      <c r="L102" s="7">
        <f t="shared" si="72"/>
        <v>165200000</v>
      </c>
      <c r="M102" s="4">
        <f t="shared" si="61"/>
        <v>123</v>
      </c>
      <c r="N102" s="8">
        <f t="shared" si="73"/>
        <v>247800000</v>
      </c>
      <c r="O102" s="6">
        <f t="shared" si="62"/>
        <v>125</v>
      </c>
      <c r="P102" s="7">
        <f t="shared" si="74"/>
        <v>396480000</v>
      </c>
      <c r="Q102" s="4">
        <f t="shared" si="63"/>
        <v>127</v>
      </c>
      <c r="R102" s="8">
        <f t="shared" si="75"/>
        <v>634368000</v>
      </c>
      <c r="S102" s="6">
        <f t="shared" si="64"/>
        <v>129</v>
      </c>
      <c r="T102" s="7">
        <f t="shared" si="76"/>
        <v>1395609600</v>
      </c>
      <c r="U102" s="4">
        <f t="shared" si="65"/>
        <v>132</v>
      </c>
      <c r="V102" s="8">
        <f t="shared" si="77"/>
        <v>3789080064</v>
      </c>
      <c r="W102" s="6">
        <f t="shared" si="66"/>
        <v>136</v>
      </c>
      <c r="X102" s="7">
        <f t="shared" si="78"/>
        <v>22041561106</v>
      </c>
      <c r="Y102" s="4">
        <f t="shared" si="67"/>
        <v>138</v>
      </c>
      <c r="Z102" s="8">
        <f t="shared" si="79"/>
        <v>44747838846</v>
      </c>
      <c r="AA102" s="6">
        <f t="shared" si="68"/>
        <v>140</v>
      </c>
      <c r="AB102" s="7">
        <f t="shared" si="80"/>
        <v>62700862258</v>
      </c>
      <c r="AC102" s="4">
        <f t="shared" si="69"/>
        <v>142</v>
      </c>
      <c r="AD102" s="8">
        <f t="shared" si="81"/>
        <v>94061644049</v>
      </c>
      <c r="AE102" s="6">
        <f t="shared" si="70"/>
        <v>145</v>
      </c>
      <c r="AF102" s="7">
        <f t="shared" si="82"/>
        <v>141214396536</v>
      </c>
      <c r="AG102" s="4">
        <f t="shared" si="71"/>
        <v>148</v>
      </c>
      <c r="AH102" s="8">
        <f t="shared" si="83"/>
        <v>453106040991</v>
      </c>
    </row>
    <row r="103" spans="1:34" x14ac:dyDescent="0.25">
      <c r="A103" s="3">
        <v>238</v>
      </c>
      <c r="B103" s="3" t="s">
        <v>187</v>
      </c>
      <c r="C103" s="3" t="s">
        <v>24</v>
      </c>
      <c r="D103" s="3" t="s">
        <v>102</v>
      </c>
      <c r="E103" s="3">
        <v>121</v>
      </c>
      <c r="F103" s="3" t="s">
        <v>54</v>
      </c>
      <c r="G103" s="3" t="s">
        <v>95</v>
      </c>
      <c r="H103" s="3">
        <v>30</v>
      </c>
      <c r="I103" s="4">
        <v>121</v>
      </c>
      <c r="J103" s="5">
        <v>163100000</v>
      </c>
      <c r="K103" s="6">
        <f t="shared" si="60"/>
        <v>122</v>
      </c>
      <c r="L103" s="7">
        <f t="shared" si="72"/>
        <v>228340000</v>
      </c>
      <c r="M103" s="4">
        <f t="shared" si="61"/>
        <v>123</v>
      </c>
      <c r="N103" s="8">
        <f t="shared" si="73"/>
        <v>342510000</v>
      </c>
      <c r="O103" s="6">
        <f t="shared" si="62"/>
        <v>125</v>
      </c>
      <c r="P103" s="7">
        <f t="shared" si="74"/>
        <v>548016000</v>
      </c>
      <c r="Q103" s="4">
        <f t="shared" si="63"/>
        <v>127</v>
      </c>
      <c r="R103" s="8">
        <f t="shared" si="75"/>
        <v>876825600</v>
      </c>
      <c r="S103" s="6">
        <f t="shared" si="64"/>
        <v>129</v>
      </c>
      <c r="T103" s="7">
        <f t="shared" si="76"/>
        <v>1929016320</v>
      </c>
      <c r="U103" s="4">
        <f t="shared" si="65"/>
        <v>132</v>
      </c>
      <c r="V103" s="8">
        <f t="shared" si="77"/>
        <v>5237279309</v>
      </c>
      <c r="W103" s="6">
        <f t="shared" si="66"/>
        <v>136</v>
      </c>
      <c r="X103" s="7">
        <f t="shared" si="78"/>
        <v>22041561106</v>
      </c>
      <c r="Y103" s="4">
        <f t="shared" si="67"/>
        <v>138</v>
      </c>
      <c r="Z103" s="8">
        <f t="shared" si="79"/>
        <v>44747838846</v>
      </c>
      <c r="AA103" s="6">
        <f t="shared" si="68"/>
        <v>140</v>
      </c>
      <c r="AB103" s="7">
        <f t="shared" si="80"/>
        <v>62700862258</v>
      </c>
      <c r="AC103" s="4">
        <f t="shared" si="69"/>
        <v>142</v>
      </c>
      <c r="AD103" s="8">
        <f t="shared" si="81"/>
        <v>94061644049</v>
      </c>
      <c r="AE103" s="6">
        <f t="shared" si="70"/>
        <v>145</v>
      </c>
      <c r="AF103" s="7">
        <f t="shared" si="82"/>
        <v>141214396536</v>
      </c>
      <c r="AG103" s="4">
        <f t="shared" si="71"/>
        <v>148</v>
      </c>
      <c r="AH103" s="8">
        <f t="shared" si="83"/>
        <v>453106040991</v>
      </c>
    </row>
    <row r="104" spans="1:34" x14ac:dyDescent="0.25">
      <c r="A104" s="3">
        <v>47</v>
      </c>
      <c r="B104" s="3" t="s">
        <v>188</v>
      </c>
      <c r="C104" s="3" t="s">
        <v>24</v>
      </c>
      <c r="D104" s="3" t="s">
        <v>47</v>
      </c>
      <c r="E104" s="3">
        <v>121</v>
      </c>
      <c r="F104" s="3" t="s">
        <v>42</v>
      </c>
      <c r="G104" s="3" t="s">
        <v>57</v>
      </c>
      <c r="H104" s="3">
        <v>27</v>
      </c>
      <c r="I104" s="4">
        <v>121</v>
      </c>
      <c r="J104" s="5">
        <v>160400000</v>
      </c>
      <c r="K104" s="6">
        <f t="shared" si="60"/>
        <v>122</v>
      </c>
      <c r="L104" s="7">
        <f t="shared" si="72"/>
        <v>224560000</v>
      </c>
      <c r="M104" s="4">
        <f t="shared" si="61"/>
        <v>123</v>
      </c>
      <c r="N104" s="8">
        <f t="shared" si="73"/>
        <v>336840000</v>
      </c>
      <c r="O104" s="6">
        <f t="shared" si="62"/>
        <v>125</v>
      </c>
      <c r="P104" s="7">
        <f t="shared" si="74"/>
        <v>538944000</v>
      </c>
      <c r="Q104" s="4">
        <f t="shared" si="63"/>
        <v>127</v>
      </c>
      <c r="R104" s="8">
        <f t="shared" si="75"/>
        <v>862310400</v>
      </c>
      <c r="S104" s="6">
        <f t="shared" si="64"/>
        <v>129</v>
      </c>
      <c r="T104" s="7">
        <f t="shared" si="76"/>
        <v>1897082880</v>
      </c>
      <c r="U104" s="4">
        <f t="shared" si="65"/>
        <v>132</v>
      </c>
      <c r="V104" s="8">
        <f t="shared" si="77"/>
        <v>5150580019</v>
      </c>
      <c r="W104" s="6">
        <f t="shared" si="66"/>
        <v>136</v>
      </c>
      <c r="X104" s="7">
        <f t="shared" si="78"/>
        <v>22041561106</v>
      </c>
      <c r="Y104" s="4">
        <f t="shared" si="67"/>
        <v>138</v>
      </c>
      <c r="Z104" s="8">
        <f t="shared" si="79"/>
        <v>44747838846</v>
      </c>
      <c r="AA104" s="6">
        <f t="shared" si="68"/>
        <v>140</v>
      </c>
      <c r="AB104" s="7">
        <f t="shared" si="80"/>
        <v>62700862258</v>
      </c>
      <c r="AC104" s="4">
        <f t="shared" si="69"/>
        <v>142</v>
      </c>
      <c r="AD104" s="8">
        <f t="shared" si="81"/>
        <v>94061644049</v>
      </c>
      <c r="AE104" s="6">
        <f t="shared" si="70"/>
        <v>145</v>
      </c>
      <c r="AF104" s="7">
        <f t="shared" si="82"/>
        <v>141214396536</v>
      </c>
      <c r="AG104" s="4">
        <f t="shared" si="71"/>
        <v>148</v>
      </c>
      <c r="AH104" s="8">
        <f t="shared" si="83"/>
        <v>453106040991</v>
      </c>
    </row>
    <row r="105" spans="1:34" x14ac:dyDescent="0.25">
      <c r="A105" s="3">
        <v>239</v>
      </c>
      <c r="B105" s="3" t="s">
        <v>189</v>
      </c>
      <c r="C105" s="3" t="s">
        <v>24</v>
      </c>
      <c r="D105" s="3" t="s">
        <v>102</v>
      </c>
      <c r="E105" s="3">
        <v>121</v>
      </c>
      <c r="F105" s="3" t="s">
        <v>62</v>
      </c>
      <c r="G105" s="3" t="s">
        <v>51</v>
      </c>
      <c r="H105" s="3">
        <v>30</v>
      </c>
      <c r="I105" s="4">
        <v>121</v>
      </c>
      <c r="J105" s="5">
        <v>172000000</v>
      </c>
      <c r="K105" s="6">
        <f t="shared" si="60"/>
        <v>122</v>
      </c>
      <c r="L105" s="7">
        <f t="shared" si="72"/>
        <v>240800000</v>
      </c>
      <c r="M105" s="4">
        <f t="shared" si="61"/>
        <v>123</v>
      </c>
      <c r="N105" s="8">
        <f t="shared" si="73"/>
        <v>361200000</v>
      </c>
      <c r="O105" s="6">
        <f t="shared" si="62"/>
        <v>125</v>
      </c>
      <c r="P105" s="7">
        <f t="shared" si="74"/>
        <v>577920000</v>
      </c>
      <c r="Q105" s="4">
        <f t="shared" si="63"/>
        <v>127</v>
      </c>
      <c r="R105" s="8">
        <f t="shared" si="75"/>
        <v>924672000</v>
      </c>
      <c r="S105" s="6">
        <f t="shared" si="64"/>
        <v>129</v>
      </c>
      <c r="T105" s="7">
        <f t="shared" si="76"/>
        <v>2034278400</v>
      </c>
      <c r="U105" s="4">
        <f t="shared" si="65"/>
        <v>132</v>
      </c>
      <c r="V105" s="8">
        <f t="shared" si="77"/>
        <v>5523065856</v>
      </c>
      <c r="W105" s="6">
        <f t="shared" si="66"/>
        <v>136</v>
      </c>
      <c r="X105" s="7">
        <f t="shared" si="78"/>
        <v>22041561106</v>
      </c>
      <c r="Y105" s="4">
        <f t="shared" si="67"/>
        <v>138</v>
      </c>
      <c r="Z105" s="8">
        <f t="shared" si="79"/>
        <v>44747838846</v>
      </c>
      <c r="AA105" s="6">
        <f t="shared" si="68"/>
        <v>140</v>
      </c>
      <c r="AB105" s="7">
        <f t="shared" si="80"/>
        <v>62700862258</v>
      </c>
      <c r="AC105" s="4">
        <f t="shared" si="69"/>
        <v>142</v>
      </c>
      <c r="AD105" s="8">
        <f t="shared" si="81"/>
        <v>94061644049</v>
      </c>
      <c r="AE105" s="6">
        <f t="shared" si="70"/>
        <v>145</v>
      </c>
      <c r="AF105" s="7">
        <f t="shared" si="82"/>
        <v>141214396536</v>
      </c>
      <c r="AG105" s="4">
        <f t="shared" si="71"/>
        <v>148</v>
      </c>
      <c r="AH105" s="8">
        <f t="shared" si="83"/>
        <v>453106040991</v>
      </c>
    </row>
    <row r="106" spans="1:34" x14ac:dyDescent="0.25">
      <c r="A106" s="3">
        <v>240</v>
      </c>
      <c r="B106" s="3" t="s">
        <v>190</v>
      </c>
      <c r="C106" s="3" t="s">
        <v>24</v>
      </c>
      <c r="D106" s="3" t="s">
        <v>90</v>
      </c>
      <c r="E106" s="3">
        <v>121</v>
      </c>
      <c r="F106" s="3" t="s">
        <v>62</v>
      </c>
      <c r="G106" s="3" t="s">
        <v>51</v>
      </c>
      <c r="H106" s="3">
        <v>30</v>
      </c>
      <c r="I106" s="4">
        <v>121</v>
      </c>
      <c r="J106" s="5">
        <v>242000000</v>
      </c>
      <c r="K106" s="6">
        <f t="shared" si="60"/>
        <v>122</v>
      </c>
      <c r="L106" s="7">
        <f t="shared" si="72"/>
        <v>338800000</v>
      </c>
      <c r="M106" s="4">
        <f t="shared" si="61"/>
        <v>123</v>
      </c>
      <c r="N106" s="8">
        <f t="shared" si="73"/>
        <v>508200000</v>
      </c>
      <c r="O106" s="6">
        <f t="shared" si="62"/>
        <v>125</v>
      </c>
      <c r="P106" s="7">
        <f t="shared" si="74"/>
        <v>813120000</v>
      </c>
      <c r="Q106" s="4">
        <f t="shared" si="63"/>
        <v>127</v>
      </c>
      <c r="R106" s="8">
        <f t="shared" si="75"/>
        <v>1300992000</v>
      </c>
      <c r="S106" s="6">
        <f t="shared" si="64"/>
        <v>129</v>
      </c>
      <c r="T106" s="7">
        <f t="shared" si="76"/>
        <v>2862182400</v>
      </c>
      <c r="U106" s="4">
        <f t="shared" si="65"/>
        <v>132</v>
      </c>
      <c r="V106" s="8">
        <f t="shared" si="77"/>
        <v>7770825216</v>
      </c>
      <c r="W106" s="6">
        <f t="shared" si="66"/>
        <v>136</v>
      </c>
      <c r="X106" s="7">
        <f t="shared" si="78"/>
        <v>22041561106</v>
      </c>
      <c r="Y106" s="4">
        <f t="shared" si="67"/>
        <v>138</v>
      </c>
      <c r="Z106" s="8">
        <f t="shared" si="79"/>
        <v>44747838846</v>
      </c>
      <c r="AA106" s="6">
        <f t="shared" si="68"/>
        <v>140</v>
      </c>
      <c r="AB106" s="7">
        <f t="shared" si="80"/>
        <v>62700862258</v>
      </c>
      <c r="AC106" s="4">
        <f t="shared" si="69"/>
        <v>142</v>
      </c>
      <c r="AD106" s="8">
        <f t="shared" si="81"/>
        <v>94061644049</v>
      </c>
      <c r="AE106" s="6">
        <f t="shared" si="70"/>
        <v>145</v>
      </c>
      <c r="AF106" s="7">
        <f t="shared" si="82"/>
        <v>141214396536</v>
      </c>
      <c r="AG106" s="4">
        <f t="shared" si="71"/>
        <v>148</v>
      </c>
      <c r="AH106" s="8">
        <f t="shared" si="83"/>
        <v>453106040991</v>
      </c>
    </row>
    <row r="107" spans="1:34" x14ac:dyDescent="0.25">
      <c r="A107" s="3">
        <v>243</v>
      </c>
      <c r="B107" s="3" t="s">
        <v>191</v>
      </c>
      <c r="C107" s="3" t="s">
        <v>24</v>
      </c>
      <c r="D107" s="3" t="s">
        <v>40</v>
      </c>
      <c r="E107" s="3">
        <v>121</v>
      </c>
      <c r="F107" s="3" t="s">
        <v>120</v>
      </c>
      <c r="G107" s="3" t="s">
        <v>72</v>
      </c>
      <c r="H107" s="3">
        <v>30</v>
      </c>
      <c r="I107" s="4">
        <v>121</v>
      </c>
      <c r="J107" s="5">
        <v>152000000</v>
      </c>
      <c r="K107" s="6">
        <f t="shared" si="60"/>
        <v>122</v>
      </c>
      <c r="L107" s="7">
        <f t="shared" si="72"/>
        <v>212800000</v>
      </c>
      <c r="M107" s="4">
        <f t="shared" si="61"/>
        <v>123</v>
      </c>
      <c r="N107" s="8">
        <f t="shared" si="73"/>
        <v>319200000</v>
      </c>
      <c r="O107" s="6">
        <f t="shared" si="62"/>
        <v>125</v>
      </c>
      <c r="P107" s="7">
        <f t="shared" si="74"/>
        <v>510720000</v>
      </c>
      <c r="Q107" s="4">
        <f t="shared" si="63"/>
        <v>127</v>
      </c>
      <c r="R107" s="8">
        <f t="shared" si="75"/>
        <v>817152000</v>
      </c>
      <c r="S107" s="6">
        <f t="shared" si="64"/>
        <v>129</v>
      </c>
      <c r="T107" s="7">
        <f t="shared" si="76"/>
        <v>1797734400</v>
      </c>
      <c r="U107" s="4">
        <f t="shared" si="65"/>
        <v>132</v>
      </c>
      <c r="V107" s="8">
        <f t="shared" si="77"/>
        <v>4880848896</v>
      </c>
      <c r="W107" s="6">
        <f t="shared" si="66"/>
        <v>136</v>
      </c>
      <c r="X107" s="7">
        <f t="shared" si="78"/>
        <v>22041561106</v>
      </c>
      <c r="Y107" s="4">
        <f t="shared" si="67"/>
        <v>138</v>
      </c>
      <c r="Z107" s="8">
        <f t="shared" si="79"/>
        <v>44747838846</v>
      </c>
      <c r="AA107" s="6">
        <f t="shared" si="68"/>
        <v>140</v>
      </c>
      <c r="AB107" s="7">
        <f t="shared" si="80"/>
        <v>62700862258</v>
      </c>
      <c r="AC107" s="4">
        <f t="shared" si="69"/>
        <v>142</v>
      </c>
      <c r="AD107" s="8">
        <f t="shared" si="81"/>
        <v>94061644049</v>
      </c>
      <c r="AE107" s="6">
        <f t="shared" si="70"/>
        <v>145</v>
      </c>
      <c r="AF107" s="7">
        <f t="shared" si="82"/>
        <v>141214396536</v>
      </c>
      <c r="AG107" s="4">
        <f t="shared" si="71"/>
        <v>148</v>
      </c>
      <c r="AH107" s="8">
        <f t="shared" si="83"/>
        <v>453106040991</v>
      </c>
    </row>
    <row r="108" spans="1:34" x14ac:dyDescent="0.25">
      <c r="A108" s="3">
        <v>244</v>
      </c>
      <c r="B108" s="3" t="s">
        <v>192</v>
      </c>
      <c r="C108" s="3" t="s">
        <v>24</v>
      </c>
      <c r="D108" s="3" t="s">
        <v>40</v>
      </c>
      <c r="E108" s="3">
        <v>121</v>
      </c>
      <c r="F108" s="3" t="s">
        <v>56</v>
      </c>
      <c r="G108" s="3" t="s">
        <v>95</v>
      </c>
      <c r="H108" s="3">
        <v>30</v>
      </c>
      <c r="I108" s="4">
        <v>121</v>
      </c>
      <c r="J108" s="5">
        <v>277000000</v>
      </c>
      <c r="K108" s="6">
        <f t="shared" si="60"/>
        <v>122</v>
      </c>
      <c r="L108" s="7">
        <f t="shared" si="72"/>
        <v>387800000</v>
      </c>
      <c r="M108" s="4">
        <f t="shared" si="61"/>
        <v>123</v>
      </c>
      <c r="N108" s="8">
        <f t="shared" si="73"/>
        <v>581700000</v>
      </c>
      <c r="O108" s="6">
        <f t="shared" si="62"/>
        <v>125</v>
      </c>
      <c r="P108" s="7">
        <f t="shared" si="74"/>
        <v>930720000</v>
      </c>
      <c r="Q108" s="4">
        <f t="shared" si="63"/>
        <v>127</v>
      </c>
      <c r="R108" s="8">
        <f t="shared" si="75"/>
        <v>1489152000</v>
      </c>
      <c r="S108" s="6">
        <f t="shared" si="64"/>
        <v>129</v>
      </c>
      <c r="T108" s="7">
        <f t="shared" si="76"/>
        <v>3276134400</v>
      </c>
      <c r="U108" s="4">
        <f t="shared" si="65"/>
        <v>132</v>
      </c>
      <c r="V108" s="8">
        <f t="shared" si="77"/>
        <v>8894704896</v>
      </c>
      <c r="W108" s="6">
        <f t="shared" si="66"/>
        <v>136</v>
      </c>
      <c r="X108" s="7">
        <f t="shared" si="78"/>
        <v>23126232730</v>
      </c>
      <c r="Y108" s="4">
        <f t="shared" si="67"/>
        <v>138</v>
      </c>
      <c r="Z108" s="8">
        <f t="shared" si="79"/>
        <v>44747838846</v>
      </c>
      <c r="AA108" s="6">
        <f t="shared" si="68"/>
        <v>140</v>
      </c>
      <c r="AB108" s="7">
        <f t="shared" si="80"/>
        <v>62700862258</v>
      </c>
      <c r="AC108" s="4">
        <f t="shared" si="69"/>
        <v>142</v>
      </c>
      <c r="AD108" s="8">
        <f t="shared" si="81"/>
        <v>94061644049</v>
      </c>
      <c r="AE108" s="6">
        <f t="shared" si="70"/>
        <v>145</v>
      </c>
      <c r="AF108" s="7">
        <f t="shared" si="82"/>
        <v>141214396536</v>
      </c>
      <c r="AG108" s="4">
        <f t="shared" si="71"/>
        <v>148</v>
      </c>
      <c r="AH108" s="8">
        <f t="shared" si="83"/>
        <v>453106040991</v>
      </c>
    </row>
    <row r="109" spans="1:34" x14ac:dyDescent="0.25">
      <c r="A109" s="3">
        <v>242</v>
      </c>
      <c r="B109" s="3" t="s">
        <v>193</v>
      </c>
      <c r="C109" s="3" t="s">
        <v>24</v>
      </c>
      <c r="D109" s="3" t="s">
        <v>102</v>
      </c>
      <c r="E109" s="3">
        <v>121</v>
      </c>
      <c r="F109" s="3" t="s">
        <v>194</v>
      </c>
      <c r="G109" s="3" t="s">
        <v>98</v>
      </c>
      <c r="H109" s="3">
        <v>30</v>
      </c>
      <c r="I109" s="4">
        <v>121</v>
      </c>
      <c r="J109" s="5">
        <v>144000000</v>
      </c>
      <c r="K109" s="6">
        <f t="shared" si="60"/>
        <v>122</v>
      </c>
      <c r="L109" s="7">
        <f t="shared" si="72"/>
        <v>201600000</v>
      </c>
      <c r="M109" s="4">
        <f t="shared" si="61"/>
        <v>123</v>
      </c>
      <c r="N109" s="8">
        <f t="shared" si="73"/>
        <v>302400000</v>
      </c>
      <c r="O109" s="6">
        <f t="shared" si="62"/>
        <v>125</v>
      </c>
      <c r="P109" s="7">
        <f t="shared" si="74"/>
        <v>483840000</v>
      </c>
      <c r="Q109" s="4">
        <f t="shared" si="63"/>
        <v>127</v>
      </c>
      <c r="R109" s="8">
        <f t="shared" si="75"/>
        <v>774144000</v>
      </c>
      <c r="S109" s="6">
        <f t="shared" si="64"/>
        <v>129</v>
      </c>
      <c r="T109" s="7">
        <f t="shared" si="76"/>
        <v>1703116800</v>
      </c>
      <c r="U109" s="4">
        <f t="shared" si="65"/>
        <v>132</v>
      </c>
      <c r="V109" s="8">
        <f t="shared" si="77"/>
        <v>4623962112</v>
      </c>
      <c r="W109" s="6">
        <f t="shared" si="66"/>
        <v>136</v>
      </c>
      <c r="X109" s="7">
        <f t="shared" si="78"/>
        <v>22041561106</v>
      </c>
      <c r="Y109" s="4">
        <f t="shared" si="67"/>
        <v>138</v>
      </c>
      <c r="Z109" s="8">
        <f t="shared" si="79"/>
        <v>44747838846</v>
      </c>
      <c r="AA109" s="6">
        <f t="shared" si="68"/>
        <v>140</v>
      </c>
      <c r="AB109" s="7">
        <f t="shared" si="80"/>
        <v>62700862258</v>
      </c>
      <c r="AC109" s="4">
        <f t="shared" si="69"/>
        <v>142</v>
      </c>
      <c r="AD109" s="8">
        <f t="shared" si="81"/>
        <v>94061644049</v>
      </c>
      <c r="AE109" s="6">
        <f t="shared" si="70"/>
        <v>145</v>
      </c>
      <c r="AF109" s="7">
        <f t="shared" si="82"/>
        <v>141214396536</v>
      </c>
      <c r="AG109" s="4">
        <f t="shared" si="71"/>
        <v>148</v>
      </c>
      <c r="AH109" s="8">
        <f t="shared" si="83"/>
        <v>453106040991</v>
      </c>
    </row>
    <row r="110" spans="1:34" x14ac:dyDescent="0.25">
      <c r="A110" s="3">
        <v>245</v>
      </c>
      <c r="B110" s="3" t="s">
        <v>195</v>
      </c>
      <c r="C110" s="3" t="s">
        <v>24</v>
      </c>
      <c r="D110" s="3" t="s">
        <v>40</v>
      </c>
      <c r="E110" s="3">
        <v>121</v>
      </c>
      <c r="F110" s="3" t="s">
        <v>42</v>
      </c>
      <c r="G110" s="3" t="s">
        <v>72</v>
      </c>
      <c r="H110" s="3">
        <v>30</v>
      </c>
      <c r="I110" s="4">
        <v>121</v>
      </c>
      <c r="J110" s="5">
        <v>257900000</v>
      </c>
      <c r="K110" s="6">
        <f t="shared" si="60"/>
        <v>122</v>
      </c>
      <c r="L110" s="7">
        <f t="shared" si="72"/>
        <v>361060000</v>
      </c>
      <c r="M110" s="4">
        <f t="shared" si="61"/>
        <v>123</v>
      </c>
      <c r="N110" s="8">
        <f t="shared" si="73"/>
        <v>541590000</v>
      </c>
      <c r="O110" s="6">
        <f t="shared" si="62"/>
        <v>125</v>
      </c>
      <c r="P110" s="7">
        <f t="shared" si="74"/>
        <v>866544000</v>
      </c>
      <c r="Q110" s="4">
        <f t="shared" si="63"/>
        <v>127</v>
      </c>
      <c r="R110" s="8">
        <f t="shared" si="75"/>
        <v>1386470400</v>
      </c>
      <c r="S110" s="6">
        <f t="shared" si="64"/>
        <v>129</v>
      </c>
      <c r="T110" s="7">
        <f t="shared" si="76"/>
        <v>3050234880</v>
      </c>
      <c r="U110" s="4">
        <f t="shared" si="65"/>
        <v>132</v>
      </c>
      <c r="V110" s="8">
        <f t="shared" si="77"/>
        <v>8281387699</v>
      </c>
      <c r="W110" s="6">
        <f t="shared" si="66"/>
        <v>136</v>
      </c>
      <c r="X110" s="7">
        <f t="shared" si="78"/>
        <v>22041561106</v>
      </c>
      <c r="Y110" s="4">
        <f t="shared" si="67"/>
        <v>138</v>
      </c>
      <c r="Z110" s="8">
        <f t="shared" si="79"/>
        <v>44747838846</v>
      </c>
      <c r="AA110" s="6">
        <f t="shared" si="68"/>
        <v>140</v>
      </c>
      <c r="AB110" s="7">
        <f t="shared" si="80"/>
        <v>62700862258</v>
      </c>
      <c r="AC110" s="4">
        <f t="shared" si="69"/>
        <v>142</v>
      </c>
      <c r="AD110" s="8">
        <f t="shared" si="81"/>
        <v>94061644049</v>
      </c>
      <c r="AE110" s="6">
        <f t="shared" si="70"/>
        <v>145</v>
      </c>
      <c r="AF110" s="7">
        <f t="shared" si="82"/>
        <v>141214396536</v>
      </c>
      <c r="AG110" s="4">
        <f t="shared" si="71"/>
        <v>148</v>
      </c>
      <c r="AH110" s="8">
        <f t="shared" si="83"/>
        <v>453106040991</v>
      </c>
    </row>
    <row r="111" spans="1:34" x14ac:dyDescent="0.25">
      <c r="A111" s="3">
        <v>122</v>
      </c>
      <c r="B111" s="3" t="s">
        <v>196</v>
      </c>
      <c r="C111" s="3" t="s">
        <v>24</v>
      </c>
      <c r="D111" s="3" t="s">
        <v>25</v>
      </c>
      <c r="E111" s="3">
        <v>121</v>
      </c>
      <c r="F111" s="3" t="s">
        <v>59</v>
      </c>
      <c r="G111" s="3" t="s">
        <v>51</v>
      </c>
      <c r="H111" s="3">
        <v>30</v>
      </c>
      <c r="I111" s="4">
        <v>121</v>
      </c>
      <c r="J111" s="5">
        <v>118000000</v>
      </c>
      <c r="K111" s="6">
        <f t="shared" si="60"/>
        <v>122</v>
      </c>
      <c r="L111" s="7">
        <f t="shared" si="72"/>
        <v>165200000</v>
      </c>
      <c r="M111" s="4">
        <f t="shared" si="61"/>
        <v>123</v>
      </c>
      <c r="N111" s="8">
        <f t="shared" si="73"/>
        <v>247800000</v>
      </c>
      <c r="O111" s="6">
        <f t="shared" si="62"/>
        <v>125</v>
      </c>
      <c r="P111" s="7">
        <f t="shared" si="74"/>
        <v>396480000</v>
      </c>
      <c r="Q111" s="4">
        <f t="shared" si="63"/>
        <v>127</v>
      </c>
      <c r="R111" s="8">
        <f t="shared" si="75"/>
        <v>634368000</v>
      </c>
      <c r="S111" s="6">
        <f t="shared" si="64"/>
        <v>129</v>
      </c>
      <c r="T111" s="7">
        <f t="shared" si="76"/>
        <v>1395609600</v>
      </c>
      <c r="U111" s="4">
        <f t="shared" si="65"/>
        <v>132</v>
      </c>
      <c r="V111" s="8">
        <f t="shared" si="77"/>
        <v>3789080064</v>
      </c>
      <c r="W111" s="6">
        <f t="shared" si="66"/>
        <v>136</v>
      </c>
      <c r="X111" s="7">
        <f t="shared" si="78"/>
        <v>22041561106</v>
      </c>
      <c r="Y111" s="4">
        <f t="shared" si="67"/>
        <v>138</v>
      </c>
      <c r="Z111" s="8">
        <f t="shared" si="79"/>
        <v>44747838846</v>
      </c>
      <c r="AA111" s="6">
        <f t="shared" si="68"/>
        <v>140</v>
      </c>
      <c r="AB111" s="7">
        <f t="shared" si="80"/>
        <v>62700862258</v>
      </c>
      <c r="AC111" s="4">
        <f t="shared" si="69"/>
        <v>142</v>
      </c>
      <c r="AD111" s="8">
        <f t="shared" si="81"/>
        <v>94061644049</v>
      </c>
      <c r="AE111" s="6">
        <f t="shared" si="70"/>
        <v>145</v>
      </c>
      <c r="AF111" s="7">
        <f t="shared" si="82"/>
        <v>141214396536</v>
      </c>
      <c r="AG111" s="4">
        <f t="shared" si="71"/>
        <v>148</v>
      </c>
      <c r="AH111" s="8">
        <f t="shared" si="83"/>
        <v>453106040991</v>
      </c>
    </row>
    <row r="112" spans="1:34" x14ac:dyDescent="0.25">
      <c r="A112" s="3">
        <v>246</v>
      </c>
      <c r="B112" s="3" t="s">
        <v>197</v>
      </c>
      <c r="C112" s="3" t="s">
        <v>24</v>
      </c>
      <c r="D112" s="3" t="s">
        <v>25</v>
      </c>
      <c r="E112" s="3">
        <v>121</v>
      </c>
      <c r="F112" s="3" t="s">
        <v>30</v>
      </c>
      <c r="G112" s="3" t="s">
        <v>198</v>
      </c>
      <c r="H112" s="3">
        <v>30</v>
      </c>
      <c r="I112" s="4">
        <v>121</v>
      </c>
      <c r="J112" s="5">
        <v>147000000</v>
      </c>
      <c r="K112" s="6">
        <f t="shared" si="60"/>
        <v>122</v>
      </c>
      <c r="L112" s="7">
        <f t="shared" si="72"/>
        <v>205800000</v>
      </c>
      <c r="M112" s="4">
        <f t="shared" si="61"/>
        <v>123</v>
      </c>
      <c r="N112" s="8">
        <f t="shared" si="73"/>
        <v>308700000</v>
      </c>
      <c r="O112" s="6">
        <f t="shared" si="62"/>
        <v>125</v>
      </c>
      <c r="P112" s="7">
        <f t="shared" si="74"/>
        <v>493920000</v>
      </c>
      <c r="Q112" s="4">
        <f t="shared" si="63"/>
        <v>127</v>
      </c>
      <c r="R112" s="8">
        <f t="shared" si="75"/>
        <v>790272000</v>
      </c>
      <c r="S112" s="6">
        <f t="shared" si="64"/>
        <v>129</v>
      </c>
      <c r="T112" s="7">
        <f t="shared" si="76"/>
        <v>1738598400</v>
      </c>
      <c r="U112" s="4">
        <f t="shared" si="65"/>
        <v>132</v>
      </c>
      <c r="V112" s="8">
        <f t="shared" si="77"/>
        <v>4720294656</v>
      </c>
      <c r="W112" s="6">
        <f t="shared" si="66"/>
        <v>136</v>
      </c>
      <c r="X112" s="7">
        <f t="shared" si="78"/>
        <v>22041561106</v>
      </c>
      <c r="Y112" s="4">
        <f t="shared" si="67"/>
        <v>138</v>
      </c>
      <c r="Z112" s="8">
        <f t="shared" si="79"/>
        <v>44747838846</v>
      </c>
      <c r="AA112" s="6">
        <f t="shared" si="68"/>
        <v>140</v>
      </c>
      <c r="AB112" s="7">
        <f t="shared" si="80"/>
        <v>62700862258</v>
      </c>
      <c r="AC112" s="4">
        <f t="shared" si="69"/>
        <v>142</v>
      </c>
      <c r="AD112" s="8">
        <f t="shared" si="81"/>
        <v>94061644049</v>
      </c>
      <c r="AE112" s="6">
        <f t="shared" si="70"/>
        <v>145</v>
      </c>
      <c r="AF112" s="7">
        <f t="shared" si="82"/>
        <v>141214396536</v>
      </c>
      <c r="AG112" s="4">
        <f t="shared" si="71"/>
        <v>148</v>
      </c>
      <c r="AH112" s="8">
        <f t="shared" si="83"/>
        <v>453106040991</v>
      </c>
    </row>
    <row r="113" spans="1:34" x14ac:dyDescent="0.25">
      <c r="A113" s="3">
        <v>241</v>
      </c>
      <c r="B113" s="3" t="s">
        <v>199</v>
      </c>
      <c r="C113" s="3" t="s">
        <v>24</v>
      </c>
      <c r="D113" s="3" t="s">
        <v>45</v>
      </c>
      <c r="E113" s="3">
        <v>121</v>
      </c>
      <c r="F113" s="3" t="s">
        <v>26</v>
      </c>
      <c r="G113" s="3" t="s">
        <v>200</v>
      </c>
      <c r="H113" s="3">
        <v>30</v>
      </c>
      <c r="I113" s="4">
        <v>121</v>
      </c>
      <c r="J113" s="5">
        <v>228100000</v>
      </c>
      <c r="K113" s="6">
        <f t="shared" si="60"/>
        <v>122</v>
      </c>
      <c r="L113" s="7">
        <f t="shared" si="72"/>
        <v>319340000</v>
      </c>
      <c r="M113" s="4">
        <f t="shared" si="61"/>
        <v>123</v>
      </c>
      <c r="N113" s="8">
        <f t="shared" si="73"/>
        <v>479010000</v>
      </c>
      <c r="O113" s="6">
        <f t="shared" si="62"/>
        <v>125</v>
      </c>
      <c r="P113" s="7">
        <f t="shared" si="74"/>
        <v>766416000</v>
      </c>
      <c r="Q113" s="4">
        <f t="shared" si="63"/>
        <v>127</v>
      </c>
      <c r="R113" s="8">
        <f t="shared" si="75"/>
        <v>1226265600</v>
      </c>
      <c r="S113" s="6">
        <f t="shared" si="64"/>
        <v>129</v>
      </c>
      <c r="T113" s="7">
        <f t="shared" si="76"/>
        <v>2697784320</v>
      </c>
      <c r="U113" s="4">
        <f t="shared" si="65"/>
        <v>132</v>
      </c>
      <c r="V113" s="8">
        <f t="shared" si="77"/>
        <v>7324484429</v>
      </c>
      <c r="W113" s="6">
        <f t="shared" si="66"/>
        <v>136</v>
      </c>
      <c r="X113" s="7">
        <f t="shared" si="78"/>
        <v>22041561106</v>
      </c>
      <c r="Y113" s="4">
        <f t="shared" si="67"/>
        <v>138</v>
      </c>
      <c r="Z113" s="8">
        <f t="shared" si="79"/>
        <v>44747838846</v>
      </c>
      <c r="AA113" s="6">
        <f t="shared" si="68"/>
        <v>140</v>
      </c>
      <c r="AB113" s="7">
        <f t="shared" si="80"/>
        <v>62700862258</v>
      </c>
      <c r="AC113" s="4">
        <f t="shared" si="69"/>
        <v>142</v>
      </c>
      <c r="AD113" s="8">
        <f t="shared" si="81"/>
        <v>94061644049</v>
      </c>
      <c r="AE113" s="6">
        <f t="shared" si="70"/>
        <v>145</v>
      </c>
      <c r="AF113" s="7">
        <f t="shared" si="82"/>
        <v>141214396536</v>
      </c>
      <c r="AG113" s="4">
        <f t="shared" si="71"/>
        <v>148</v>
      </c>
      <c r="AH113" s="8">
        <f t="shared" si="83"/>
        <v>453106040991</v>
      </c>
    </row>
    <row r="114" spans="1:34" x14ac:dyDescent="0.25">
      <c r="A114" s="3">
        <v>258</v>
      </c>
      <c r="B114" s="3" t="s">
        <v>201</v>
      </c>
      <c r="C114" s="3" t="s">
        <v>24</v>
      </c>
      <c r="D114" s="3" t="s">
        <v>93</v>
      </c>
      <c r="E114" s="3">
        <v>120</v>
      </c>
      <c r="F114" s="3" t="s">
        <v>120</v>
      </c>
      <c r="G114" s="3" t="s">
        <v>95</v>
      </c>
      <c r="H114" s="3">
        <v>30</v>
      </c>
      <c r="I114" s="4">
        <v>120</v>
      </c>
      <c r="J114" s="5">
        <v>221000000</v>
      </c>
      <c r="K114" s="6">
        <f t="shared" si="60"/>
        <v>121</v>
      </c>
      <c r="L114" s="7">
        <f t="shared" si="72"/>
        <v>309400000</v>
      </c>
      <c r="M114" s="4">
        <f t="shared" si="61"/>
        <v>122</v>
      </c>
      <c r="N114" s="8">
        <f t="shared" si="73"/>
        <v>464100000</v>
      </c>
      <c r="O114" s="6">
        <f t="shared" si="62"/>
        <v>124</v>
      </c>
      <c r="P114" s="7">
        <f t="shared" si="74"/>
        <v>742560000</v>
      </c>
      <c r="Q114" s="4">
        <f t="shared" si="63"/>
        <v>126</v>
      </c>
      <c r="R114" s="8">
        <f t="shared" si="75"/>
        <v>1188096000</v>
      </c>
      <c r="S114" s="6">
        <f t="shared" si="64"/>
        <v>128</v>
      </c>
      <c r="T114" s="7">
        <f t="shared" si="76"/>
        <v>2613811200</v>
      </c>
      <c r="U114" s="4">
        <f t="shared" si="65"/>
        <v>131</v>
      </c>
      <c r="V114" s="8">
        <f t="shared" si="77"/>
        <v>7096497408</v>
      </c>
      <c r="W114" s="6">
        <f t="shared" si="66"/>
        <v>135</v>
      </c>
      <c r="X114" s="7">
        <f t="shared" si="78"/>
        <v>18450893261</v>
      </c>
      <c r="Y114" s="4">
        <f t="shared" si="67"/>
        <v>137</v>
      </c>
      <c r="Z114" s="8">
        <f t="shared" si="79"/>
        <v>27100554178</v>
      </c>
      <c r="AA114" s="6">
        <f t="shared" si="68"/>
        <v>139</v>
      </c>
      <c r="AB114" s="7">
        <f t="shared" si="80"/>
        <v>37967502359</v>
      </c>
      <c r="AC114" s="4">
        <f t="shared" si="69"/>
        <v>141</v>
      </c>
      <c r="AD114" s="8">
        <f t="shared" si="81"/>
        <v>56905213910</v>
      </c>
      <c r="AE114" s="6">
        <f t="shared" si="70"/>
        <v>144</v>
      </c>
      <c r="AF114" s="7">
        <f t="shared" si="82"/>
        <v>85413138816</v>
      </c>
      <c r="AG114" s="4">
        <f t="shared" si="71"/>
        <v>147</v>
      </c>
      <c r="AH114" s="8">
        <f t="shared" si="83"/>
        <v>273897919220</v>
      </c>
    </row>
    <row r="115" spans="1:34" x14ac:dyDescent="0.25">
      <c r="A115" s="3">
        <v>255</v>
      </c>
      <c r="B115" s="3" t="s">
        <v>202</v>
      </c>
      <c r="C115" s="3" t="s">
        <v>24</v>
      </c>
      <c r="D115" s="3" t="s">
        <v>29</v>
      </c>
      <c r="E115" s="3">
        <v>120</v>
      </c>
      <c r="F115" s="3" t="s">
        <v>62</v>
      </c>
      <c r="G115" s="3" t="s">
        <v>98</v>
      </c>
      <c r="H115" s="3">
        <v>30</v>
      </c>
      <c r="I115" s="4">
        <v>120</v>
      </c>
      <c r="J115" s="5">
        <v>217000000</v>
      </c>
      <c r="K115" s="6">
        <f t="shared" si="60"/>
        <v>121</v>
      </c>
      <c r="L115" s="7">
        <f t="shared" si="72"/>
        <v>303800000</v>
      </c>
      <c r="M115" s="4">
        <f t="shared" si="61"/>
        <v>122</v>
      </c>
      <c r="N115" s="8">
        <f t="shared" si="73"/>
        <v>455700000</v>
      </c>
      <c r="O115" s="6">
        <f t="shared" si="62"/>
        <v>124</v>
      </c>
      <c r="P115" s="7">
        <f t="shared" si="74"/>
        <v>729120000</v>
      </c>
      <c r="Q115" s="4">
        <f t="shared" si="63"/>
        <v>126</v>
      </c>
      <c r="R115" s="8">
        <f t="shared" si="75"/>
        <v>1166592000</v>
      </c>
      <c r="S115" s="6">
        <f t="shared" si="64"/>
        <v>128</v>
      </c>
      <c r="T115" s="7">
        <f t="shared" si="76"/>
        <v>2566502400</v>
      </c>
      <c r="U115" s="4">
        <f t="shared" si="65"/>
        <v>131</v>
      </c>
      <c r="V115" s="8">
        <f t="shared" si="77"/>
        <v>6968054016</v>
      </c>
      <c r="W115" s="6">
        <f t="shared" si="66"/>
        <v>135</v>
      </c>
      <c r="X115" s="7">
        <f t="shared" si="78"/>
        <v>18116940442</v>
      </c>
      <c r="Y115" s="4">
        <f t="shared" si="67"/>
        <v>137</v>
      </c>
      <c r="Z115" s="8">
        <f t="shared" si="79"/>
        <v>27100554178</v>
      </c>
      <c r="AA115" s="6">
        <f t="shared" si="68"/>
        <v>139</v>
      </c>
      <c r="AB115" s="7">
        <f t="shared" si="80"/>
        <v>37967502359</v>
      </c>
      <c r="AC115" s="4">
        <f t="shared" si="69"/>
        <v>141</v>
      </c>
      <c r="AD115" s="8">
        <f t="shared" si="81"/>
        <v>56905213910</v>
      </c>
      <c r="AE115" s="6">
        <f t="shared" si="70"/>
        <v>144</v>
      </c>
      <c r="AF115" s="7">
        <f t="shared" si="82"/>
        <v>85413138816</v>
      </c>
      <c r="AG115" s="4">
        <f t="shared" si="71"/>
        <v>147</v>
      </c>
      <c r="AH115" s="8">
        <f t="shared" si="83"/>
        <v>273897919220</v>
      </c>
    </row>
    <row r="116" spans="1:34" x14ac:dyDescent="0.25">
      <c r="A116" s="3">
        <v>257</v>
      </c>
      <c r="B116" s="3" t="s">
        <v>203</v>
      </c>
      <c r="C116" s="3" t="s">
        <v>24</v>
      </c>
      <c r="D116" s="3" t="s">
        <v>25</v>
      </c>
      <c r="E116" s="3">
        <v>120</v>
      </c>
      <c r="F116" s="3" t="s">
        <v>204</v>
      </c>
      <c r="G116" s="3" t="s">
        <v>43</v>
      </c>
      <c r="H116" s="3">
        <v>30</v>
      </c>
      <c r="I116" s="4">
        <v>120</v>
      </c>
      <c r="J116" s="5">
        <v>155000000</v>
      </c>
      <c r="K116" s="6">
        <f t="shared" si="60"/>
        <v>121</v>
      </c>
      <c r="L116" s="7">
        <f t="shared" si="72"/>
        <v>217000000</v>
      </c>
      <c r="M116" s="4">
        <f t="shared" si="61"/>
        <v>122</v>
      </c>
      <c r="N116" s="8">
        <f t="shared" si="73"/>
        <v>325500000</v>
      </c>
      <c r="O116" s="6">
        <f t="shared" si="62"/>
        <v>124</v>
      </c>
      <c r="P116" s="7">
        <f t="shared" si="74"/>
        <v>520800000</v>
      </c>
      <c r="Q116" s="4">
        <f t="shared" si="63"/>
        <v>126</v>
      </c>
      <c r="R116" s="8">
        <f t="shared" si="75"/>
        <v>833280000</v>
      </c>
      <c r="S116" s="6">
        <f t="shared" si="64"/>
        <v>128</v>
      </c>
      <c r="T116" s="7">
        <f t="shared" si="76"/>
        <v>1833216000</v>
      </c>
      <c r="U116" s="4">
        <f t="shared" si="65"/>
        <v>131</v>
      </c>
      <c r="V116" s="8">
        <f t="shared" si="77"/>
        <v>4977181440</v>
      </c>
      <c r="W116" s="6">
        <f t="shared" si="66"/>
        <v>135</v>
      </c>
      <c r="X116" s="7">
        <f t="shared" si="78"/>
        <v>13953481417</v>
      </c>
      <c r="Y116" s="4">
        <f t="shared" si="67"/>
        <v>137</v>
      </c>
      <c r="Z116" s="8">
        <f t="shared" si="79"/>
        <v>27100554178</v>
      </c>
      <c r="AA116" s="6">
        <f t="shared" si="68"/>
        <v>139</v>
      </c>
      <c r="AB116" s="7">
        <f t="shared" si="80"/>
        <v>37967502359</v>
      </c>
      <c r="AC116" s="4">
        <f t="shared" si="69"/>
        <v>141</v>
      </c>
      <c r="AD116" s="8">
        <f t="shared" si="81"/>
        <v>56905213910</v>
      </c>
      <c r="AE116" s="6">
        <f t="shared" si="70"/>
        <v>144</v>
      </c>
      <c r="AF116" s="7">
        <f t="shared" si="82"/>
        <v>85413138816</v>
      </c>
      <c r="AG116" s="4">
        <f t="shared" si="71"/>
        <v>147</v>
      </c>
      <c r="AH116" s="8">
        <f t="shared" si="83"/>
        <v>273897919220</v>
      </c>
    </row>
    <row r="117" spans="1:34" x14ac:dyDescent="0.25">
      <c r="A117" s="3">
        <v>259</v>
      </c>
      <c r="B117" s="3" t="s">
        <v>205</v>
      </c>
      <c r="C117" s="3" t="s">
        <v>24</v>
      </c>
      <c r="D117" s="3" t="s">
        <v>25</v>
      </c>
      <c r="E117" s="3">
        <v>120</v>
      </c>
      <c r="F117" s="3" t="s">
        <v>59</v>
      </c>
      <c r="G117" s="3" t="s">
        <v>206</v>
      </c>
      <c r="H117" s="3">
        <v>30</v>
      </c>
      <c r="I117" s="4">
        <v>120</v>
      </c>
      <c r="J117" s="5">
        <v>220000000</v>
      </c>
      <c r="K117" s="6">
        <f t="shared" si="60"/>
        <v>121</v>
      </c>
      <c r="L117" s="7">
        <f t="shared" si="72"/>
        <v>308000000</v>
      </c>
      <c r="M117" s="4">
        <f t="shared" si="61"/>
        <v>122</v>
      </c>
      <c r="N117" s="8">
        <f t="shared" si="73"/>
        <v>462000000</v>
      </c>
      <c r="O117" s="6">
        <f t="shared" si="62"/>
        <v>124</v>
      </c>
      <c r="P117" s="7">
        <f t="shared" si="74"/>
        <v>739200000</v>
      </c>
      <c r="Q117" s="4">
        <f t="shared" si="63"/>
        <v>126</v>
      </c>
      <c r="R117" s="8">
        <f t="shared" si="75"/>
        <v>1182720000</v>
      </c>
      <c r="S117" s="6">
        <f t="shared" si="64"/>
        <v>128</v>
      </c>
      <c r="T117" s="7">
        <f t="shared" si="76"/>
        <v>2601984000</v>
      </c>
      <c r="U117" s="4">
        <f t="shared" si="65"/>
        <v>131</v>
      </c>
      <c r="V117" s="8">
        <f t="shared" si="77"/>
        <v>7064386560</v>
      </c>
      <c r="W117" s="6">
        <f t="shared" si="66"/>
        <v>135</v>
      </c>
      <c r="X117" s="7">
        <f t="shared" si="78"/>
        <v>18367405056</v>
      </c>
      <c r="Y117" s="4">
        <f t="shared" si="67"/>
        <v>137</v>
      </c>
      <c r="Z117" s="8">
        <f t="shared" si="79"/>
        <v>27100554178</v>
      </c>
      <c r="AA117" s="6">
        <f t="shared" si="68"/>
        <v>139</v>
      </c>
      <c r="AB117" s="7">
        <f t="shared" si="80"/>
        <v>37967502359</v>
      </c>
      <c r="AC117" s="4">
        <f t="shared" si="69"/>
        <v>141</v>
      </c>
      <c r="AD117" s="8">
        <f t="shared" si="81"/>
        <v>56905213910</v>
      </c>
      <c r="AE117" s="6">
        <f t="shared" si="70"/>
        <v>144</v>
      </c>
      <c r="AF117" s="7">
        <f t="shared" si="82"/>
        <v>85413138816</v>
      </c>
      <c r="AG117" s="4">
        <f t="shared" si="71"/>
        <v>147</v>
      </c>
      <c r="AH117" s="8">
        <f t="shared" si="83"/>
        <v>273897919220</v>
      </c>
    </row>
    <row r="118" spans="1:34" x14ac:dyDescent="0.25">
      <c r="A118" s="3">
        <v>256</v>
      </c>
      <c r="B118" s="3" t="s">
        <v>207</v>
      </c>
      <c r="C118" s="3" t="s">
        <v>24</v>
      </c>
      <c r="D118" s="3" t="s">
        <v>165</v>
      </c>
      <c r="E118" s="3">
        <v>120</v>
      </c>
      <c r="F118" s="3" t="s">
        <v>54</v>
      </c>
      <c r="G118" s="3" t="s">
        <v>95</v>
      </c>
      <c r="H118" s="3">
        <v>30</v>
      </c>
      <c r="I118" s="4">
        <v>120</v>
      </c>
      <c r="J118" s="5">
        <v>167000000</v>
      </c>
      <c r="K118" s="6">
        <f t="shared" si="60"/>
        <v>121</v>
      </c>
      <c r="L118" s="7">
        <f t="shared" si="72"/>
        <v>233800000</v>
      </c>
      <c r="M118" s="4">
        <f t="shared" si="61"/>
        <v>122</v>
      </c>
      <c r="N118" s="8">
        <f t="shared" si="73"/>
        <v>350700000</v>
      </c>
      <c r="O118" s="6">
        <f t="shared" si="62"/>
        <v>124</v>
      </c>
      <c r="P118" s="7">
        <f t="shared" si="74"/>
        <v>561120000</v>
      </c>
      <c r="Q118" s="4">
        <f t="shared" si="63"/>
        <v>126</v>
      </c>
      <c r="R118" s="8">
        <f t="shared" si="75"/>
        <v>897792000</v>
      </c>
      <c r="S118" s="6">
        <f t="shared" si="64"/>
        <v>128</v>
      </c>
      <c r="T118" s="7">
        <f t="shared" si="76"/>
        <v>1975142400</v>
      </c>
      <c r="U118" s="4">
        <f t="shared" si="65"/>
        <v>131</v>
      </c>
      <c r="V118" s="8">
        <f t="shared" si="77"/>
        <v>5362511616</v>
      </c>
      <c r="W118" s="6">
        <f t="shared" si="66"/>
        <v>135</v>
      </c>
      <c r="X118" s="7">
        <f t="shared" si="78"/>
        <v>13953481417</v>
      </c>
      <c r="Y118" s="4">
        <f t="shared" si="67"/>
        <v>137</v>
      </c>
      <c r="Z118" s="8">
        <f t="shared" si="79"/>
        <v>27100554178</v>
      </c>
      <c r="AA118" s="6">
        <f t="shared" si="68"/>
        <v>139</v>
      </c>
      <c r="AB118" s="7">
        <f t="shared" si="80"/>
        <v>37967502359</v>
      </c>
      <c r="AC118" s="4">
        <f t="shared" si="69"/>
        <v>141</v>
      </c>
      <c r="AD118" s="8">
        <f t="shared" si="81"/>
        <v>56905213910</v>
      </c>
      <c r="AE118" s="6">
        <f t="shared" si="70"/>
        <v>144</v>
      </c>
      <c r="AF118" s="7">
        <f t="shared" si="82"/>
        <v>85413138816</v>
      </c>
      <c r="AG118" s="4">
        <f t="shared" si="71"/>
        <v>147</v>
      </c>
      <c r="AH118" s="8">
        <f t="shared" si="83"/>
        <v>273897919220</v>
      </c>
    </row>
    <row r="119" spans="1:34" x14ac:dyDescent="0.25">
      <c r="A119" s="3">
        <v>254</v>
      </c>
      <c r="B119" s="3" t="s">
        <v>208</v>
      </c>
      <c r="C119" s="3" t="s">
        <v>24</v>
      </c>
      <c r="D119" s="3" t="s">
        <v>25</v>
      </c>
      <c r="E119" s="3">
        <v>120</v>
      </c>
      <c r="F119" s="3" t="s">
        <v>26</v>
      </c>
      <c r="G119" s="3" t="s">
        <v>209</v>
      </c>
      <c r="H119" s="3">
        <v>29</v>
      </c>
      <c r="I119" s="4">
        <v>120</v>
      </c>
      <c r="J119" s="5">
        <v>133000000</v>
      </c>
      <c r="K119" s="6">
        <f t="shared" si="60"/>
        <v>121</v>
      </c>
      <c r="L119" s="7">
        <f t="shared" si="72"/>
        <v>186200000</v>
      </c>
      <c r="M119" s="4">
        <f t="shared" si="61"/>
        <v>122</v>
      </c>
      <c r="N119" s="8">
        <f t="shared" si="73"/>
        <v>279300000</v>
      </c>
      <c r="O119" s="6">
        <f t="shared" si="62"/>
        <v>124</v>
      </c>
      <c r="P119" s="7">
        <f t="shared" si="74"/>
        <v>446880000</v>
      </c>
      <c r="Q119" s="4">
        <f t="shared" si="63"/>
        <v>126</v>
      </c>
      <c r="R119" s="8">
        <f t="shared" si="75"/>
        <v>715008000</v>
      </c>
      <c r="S119" s="6">
        <f t="shared" si="64"/>
        <v>128</v>
      </c>
      <c r="T119" s="7">
        <f t="shared" si="76"/>
        <v>1573017600</v>
      </c>
      <c r="U119" s="4">
        <f t="shared" si="65"/>
        <v>131</v>
      </c>
      <c r="V119" s="8">
        <f t="shared" si="77"/>
        <v>4270742784</v>
      </c>
      <c r="W119" s="6">
        <f t="shared" si="66"/>
        <v>135</v>
      </c>
      <c r="X119" s="7">
        <f t="shared" si="78"/>
        <v>13953481417</v>
      </c>
      <c r="Y119" s="4">
        <f t="shared" si="67"/>
        <v>137</v>
      </c>
      <c r="Z119" s="8">
        <f t="shared" si="79"/>
        <v>27100554178</v>
      </c>
      <c r="AA119" s="6">
        <f t="shared" si="68"/>
        <v>139</v>
      </c>
      <c r="AB119" s="7">
        <f t="shared" si="80"/>
        <v>37967502359</v>
      </c>
      <c r="AC119" s="4">
        <f t="shared" si="69"/>
        <v>141</v>
      </c>
      <c r="AD119" s="8">
        <f t="shared" si="81"/>
        <v>56905213910</v>
      </c>
      <c r="AE119" s="6">
        <f t="shared" si="70"/>
        <v>144</v>
      </c>
      <c r="AF119" s="7">
        <f t="shared" si="82"/>
        <v>85413138816</v>
      </c>
      <c r="AG119" s="4">
        <f t="shared" si="71"/>
        <v>147</v>
      </c>
      <c r="AH119" s="8">
        <f t="shared" si="83"/>
        <v>273897919220</v>
      </c>
    </row>
    <row r="120" spans="1:34" x14ac:dyDescent="0.25">
      <c r="A120" s="3">
        <v>260</v>
      </c>
      <c r="B120" s="3" t="s">
        <v>210</v>
      </c>
      <c r="C120" s="3" t="s">
        <v>24</v>
      </c>
      <c r="D120" s="3" t="s">
        <v>33</v>
      </c>
      <c r="E120" s="3">
        <v>120</v>
      </c>
      <c r="F120" s="3" t="s">
        <v>56</v>
      </c>
      <c r="G120" s="3" t="s">
        <v>95</v>
      </c>
      <c r="H120" s="3">
        <v>31</v>
      </c>
      <c r="I120" s="4">
        <v>120</v>
      </c>
      <c r="J120" s="5">
        <v>205000000</v>
      </c>
      <c r="K120" s="6">
        <f t="shared" si="60"/>
        <v>121</v>
      </c>
      <c r="L120" s="7">
        <f t="shared" si="72"/>
        <v>287000000</v>
      </c>
      <c r="M120" s="4">
        <f t="shared" si="61"/>
        <v>122</v>
      </c>
      <c r="N120" s="8">
        <f t="shared" si="73"/>
        <v>430500000</v>
      </c>
      <c r="O120" s="6">
        <f t="shared" si="62"/>
        <v>124</v>
      </c>
      <c r="P120" s="7">
        <f t="shared" si="74"/>
        <v>688800000</v>
      </c>
      <c r="Q120" s="4">
        <f t="shared" si="63"/>
        <v>126</v>
      </c>
      <c r="R120" s="8">
        <f t="shared" si="75"/>
        <v>1102080000</v>
      </c>
      <c r="S120" s="6">
        <f t="shared" si="64"/>
        <v>128</v>
      </c>
      <c r="T120" s="7">
        <f t="shared" si="76"/>
        <v>2424576000</v>
      </c>
      <c r="U120" s="4">
        <f t="shared" si="65"/>
        <v>131</v>
      </c>
      <c r="V120" s="8">
        <f t="shared" si="77"/>
        <v>6582723840</v>
      </c>
      <c r="W120" s="6">
        <f t="shared" si="66"/>
        <v>135</v>
      </c>
      <c r="X120" s="7">
        <f t="shared" si="78"/>
        <v>17115081984</v>
      </c>
      <c r="Y120" s="4">
        <f t="shared" si="67"/>
        <v>137</v>
      </c>
      <c r="Z120" s="8">
        <f t="shared" si="79"/>
        <v>27100554178</v>
      </c>
      <c r="AA120" s="6">
        <f t="shared" si="68"/>
        <v>139</v>
      </c>
      <c r="AB120" s="7">
        <f t="shared" si="80"/>
        <v>37967502359</v>
      </c>
      <c r="AC120" s="4">
        <f t="shared" si="69"/>
        <v>141</v>
      </c>
      <c r="AD120" s="8">
        <f t="shared" si="81"/>
        <v>56905213910</v>
      </c>
      <c r="AE120" s="6">
        <f t="shared" si="70"/>
        <v>144</v>
      </c>
      <c r="AF120" s="7">
        <f t="shared" si="82"/>
        <v>85413138816</v>
      </c>
      <c r="AG120" s="4">
        <f t="shared" si="71"/>
        <v>147</v>
      </c>
      <c r="AH120" s="8">
        <f t="shared" si="83"/>
        <v>273897919220</v>
      </c>
    </row>
    <row r="121" spans="1:34" x14ac:dyDescent="0.25">
      <c r="A121" s="3">
        <v>252</v>
      </c>
      <c r="B121" s="3" t="s">
        <v>211</v>
      </c>
      <c r="C121" s="3" t="s">
        <v>24</v>
      </c>
      <c r="D121" s="3" t="s">
        <v>40</v>
      </c>
      <c r="E121" s="3">
        <v>119</v>
      </c>
      <c r="F121" s="3" t="s">
        <v>212</v>
      </c>
      <c r="G121" s="3" t="s">
        <v>213</v>
      </c>
      <c r="H121" s="3">
        <v>30</v>
      </c>
      <c r="I121" s="4">
        <v>119</v>
      </c>
      <c r="J121" s="5">
        <v>189000000</v>
      </c>
      <c r="K121" s="6">
        <f t="shared" si="60"/>
        <v>120</v>
      </c>
      <c r="L121" s="7">
        <f t="shared" si="72"/>
        <v>264600000</v>
      </c>
      <c r="M121" s="4">
        <f t="shared" si="61"/>
        <v>121</v>
      </c>
      <c r="N121" s="8">
        <f t="shared" si="73"/>
        <v>396900000</v>
      </c>
      <c r="O121" s="6">
        <f t="shared" si="62"/>
        <v>123</v>
      </c>
      <c r="P121" s="7">
        <f t="shared" si="74"/>
        <v>635040000</v>
      </c>
      <c r="Q121" s="4">
        <f t="shared" si="63"/>
        <v>125</v>
      </c>
      <c r="R121" s="8">
        <f t="shared" si="75"/>
        <v>1016064000</v>
      </c>
      <c r="S121" s="6">
        <f t="shared" si="64"/>
        <v>127</v>
      </c>
      <c r="T121" s="7">
        <f t="shared" si="76"/>
        <v>2235340800</v>
      </c>
      <c r="U121" s="4">
        <f t="shared" si="65"/>
        <v>130</v>
      </c>
      <c r="V121" s="8">
        <f t="shared" si="77"/>
        <v>6068950272</v>
      </c>
      <c r="W121" s="6">
        <f t="shared" si="66"/>
        <v>134</v>
      </c>
      <c r="X121" s="7">
        <f t="shared" si="78"/>
        <v>15779270707</v>
      </c>
      <c r="Y121" s="4">
        <f t="shared" si="67"/>
        <v>136</v>
      </c>
      <c r="Z121" s="8">
        <f t="shared" si="79"/>
        <v>22090978990</v>
      </c>
      <c r="AA121" s="6">
        <f t="shared" si="68"/>
        <v>138</v>
      </c>
      <c r="AB121" s="7">
        <f t="shared" si="80"/>
        <v>30927370586</v>
      </c>
      <c r="AC121" s="4">
        <f t="shared" si="69"/>
        <v>140</v>
      </c>
      <c r="AD121" s="8">
        <f t="shared" si="81"/>
        <v>46391055879</v>
      </c>
      <c r="AE121" s="6">
        <f t="shared" si="70"/>
        <v>143</v>
      </c>
      <c r="AF121" s="7">
        <f t="shared" si="82"/>
        <v>69586583819</v>
      </c>
      <c r="AG121" s="4">
        <f t="shared" si="71"/>
        <v>146</v>
      </c>
      <c r="AH121" s="8">
        <f t="shared" si="83"/>
        <v>222677068220</v>
      </c>
    </row>
    <row r="122" spans="1:34" x14ac:dyDescent="0.25">
      <c r="A122" s="3">
        <v>253</v>
      </c>
      <c r="B122" s="3" t="s">
        <v>214</v>
      </c>
      <c r="C122" s="3" t="s">
        <v>24</v>
      </c>
      <c r="D122" s="3" t="s">
        <v>79</v>
      </c>
      <c r="E122" s="3">
        <v>119</v>
      </c>
      <c r="F122" s="3" t="s">
        <v>56</v>
      </c>
      <c r="G122" s="3" t="s">
        <v>133</v>
      </c>
      <c r="H122" s="3">
        <v>30</v>
      </c>
      <c r="I122" s="4">
        <v>119</v>
      </c>
      <c r="J122" s="5">
        <v>180000000</v>
      </c>
      <c r="K122" s="6">
        <f t="shared" si="60"/>
        <v>120</v>
      </c>
      <c r="L122" s="7">
        <f t="shared" si="72"/>
        <v>252000000</v>
      </c>
      <c r="M122" s="4">
        <f t="shared" si="61"/>
        <v>121</v>
      </c>
      <c r="N122" s="8">
        <f t="shared" si="73"/>
        <v>378000000</v>
      </c>
      <c r="O122" s="6">
        <f t="shared" si="62"/>
        <v>123</v>
      </c>
      <c r="P122" s="7">
        <f t="shared" si="74"/>
        <v>604800000</v>
      </c>
      <c r="Q122" s="4">
        <f t="shared" si="63"/>
        <v>125</v>
      </c>
      <c r="R122" s="8">
        <f t="shared" si="75"/>
        <v>967680000</v>
      </c>
      <c r="S122" s="6">
        <f t="shared" si="64"/>
        <v>127</v>
      </c>
      <c r="T122" s="7">
        <f t="shared" si="76"/>
        <v>2128896000</v>
      </c>
      <c r="U122" s="4">
        <f t="shared" si="65"/>
        <v>130</v>
      </c>
      <c r="V122" s="8">
        <f t="shared" si="77"/>
        <v>5779952640</v>
      </c>
      <c r="W122" s="6">
        <f t="shared" si="66"/>
        <v>134</v>
      </c>
      <c r="X122" s="7">
        <f t="shared" si="78"/>
        <v>15027876864</v>
      </c>
      <c r="Y122" s="4">
        <f t="shared" si="67"/>
        <v>136</v>
      </c>
      <c r="Z122" s="8">
        <f t="shared" si="79"/>
        <v>21039027610</v>
      </c>
      <c r="AA122" s="6">
        <f t="shared" si="68"/>
        <v>138</v>
      </c>
      <c r="AB122" s="7">
        <f t="shared" si="80"/>
        <v>29454638653</v>
      </c>
      <c r="AC122" s="4">
        <f t="shared" si="69"/>
        <v>140</v>
      </c>
      <c r="AD122" s="8">
        <f t="shared" si="81"/>
        <v>44181957980</v>
      </c>
      <c r="AE122" s="6">
        <f t="shared" si="70"/>
        <v>143</v>
      </c>
      <c r="AF122" s="7">
        <f t="shared" si="82"/>
        <v>66272936970</v>
      </c>
      <c r="AG122" s="4">
        <f t="shared" si="71"/>
        <v>146</v>
      </c>
      <c r="AH122" s="8">
        <f t="shared" si="83"/>
        <v>212073398305</v>
      </c>
    </row>
    <row r="123" spans="1:34" x14ac:dyDescent="0.25">
      <c r="A123" s="3">
        <v>251</v>
      </c>
      <c r="B123" s="3" t="s">
        <v>215</v>
      </c>
      <c r="C123" s="3" t="s">
        <v>24</v>
      </c>
      <c r="D123" s="3" t="s">
        <v>33</v>
      </c>
      <c r="E123" s="3">
        <v>119</v>
      </c>
      <c r="F123" s="3" t="s">
        <v>56</v>
      </c>
      <c r="G123" s="3" t="s">
        <v>133</v>
      </c>
      <c r="H123" s="3">
        <v>30</v>
      </c>
      <c r="I123" s="4">
        <v>119</v>
      </c>
      <c r="J123" s="5">
        <v>120000000</v>
      </c>
      <c r="K123" s="6">
        <f t="shared" si="60"/>
        <v>120</v>
      </c>
      <c r="L123" s="7">
        <f t="shared" si="72"/>
        <v>168000000</v>
      </c>
      <c r="M123" s="4">
        <f t="shared" si="61"/>
        <v>121</v>
      </c>
      <c r="N123" s="8">
        <f t="shared" si="73"/>
        <v>252000000</v>
      </c>
      <c r="O123" s="6">
        <f t="shared" si="62"/>
        <v>123</v>
      </c>
      <c r="P123" s="7">
        <f t="shared" si="74"/>
        <v>403200000</v>
      </c>
      <c r="Q123" s="4">
        <f t="shared" si="63"/>
        <v>125</v>
      </c>
      <c r="R123" s="8">
        <f t="shared" si="75"/>
        <v>645120000</v>
      </c>
      <c r="S123" s="6">
        <f t="shared" si="64"/>
        <v>127</v>
      </c>
      <c r="T123" s="7">
        <f t="shared" si="76"/>
        <v>1419264000</v>
      </c>
      <c r="U123" s="4">
        <f t="shared" si="65"/>
        <v>130</v>
      </c>
      <c r="V123" s="8">
        <f t="shared" si="77"/>
        <v>3853301760</v>
      </c>
      <c r="W123" s="6">
        <f t="shared" si="66"/>
        <v>134</v>
      </c>
      <c r="X123" s="7">
        <f t="shared" si="78"/>
        <v>10018584576</v>
      </c>
      <c r="Y123" s="4">
        <f t="shared" si="67"/>
        <v>136</v>
      </c>
      <c r="Z123" s="8">
        <f t="shared" si="79"/>
        <v>16412860502</v>
      </c>
      <c r="AA123" s="6">
        <f t="shared" si="68"/>
        <v>138</v>
      </c>
      <c r="AB123" s="7">
        <f t="shared" si="80"/>
        <v>22990612624</v>
      </c>
      <c r="AC123" s="4">
        <f t="shared" si="69"/>
        <v>140</v>
      </c>
      <c r="AD123" s="8">
        <f t="shared" si="81"/>
        <v>34426395615</v>
      </c>
      <c r="AE123" s="6">
        <f t="shared" si="70"/>
        <v>143</v>
      </c>
      <c r="AF123" s="7">
        <f t="shared" si="82"/>
        <v>51661901770</v>
      </c>
      <c r="AG123" s="4">
        <f t="shared" si="71"/>
        <v>146</v>
      </c>
      <c r="AH123" s="8">
        <f t="shared" si="83"/>
        <v>165568461610</v>
      </c>
    </row>
    <row r="124" spans="1:34" x14ac:dyDescent="0.25">
      <c r="A124" s="3">
        <v>261</v>
      </c>
      <c r="B124" s="3" t="s">
        <v>216</v>
      </c>
      <c r="C124" s="3" t="s">
        <v>24</v>
      </c>
      <c r="D124" s="3" t="s">
        <v>25</v>
      </c>
      <c r="E124" s="3">
        <v>119</v>
      </c>
      <c r="F124" s="3" t="s">
        <v>217</v>
      </c>
      <c r="G124" s="3" t="s">
        <v>218</v>
      </c>
      <c r="H124" s="3">
        <v>29</v>
      </c>
      <c r="I124" s="4">
        <v>119</v>
      </c>
      <c r="J124" s="5">
        <v>90000000</v>
      </c>
      <c r="K124" s="6">
        <f t="shared" si="60"/>
        <v>120</v>
      </c>
      <c r="L124" s="7">
        <f t="shared" si="72"/>
        <v>126000000</v>
      </c>
      <c r="M124" s="4">
        <f t="shared" si="61"/>
        <v>121</v>
      </c>
      <c r="N124" s="8">
        <f t="shared" si="73"/>
        <v>189000000</v>
      </c>
      <c r="O124" s="6">
        <f t="shared" si="62"/>
        <v>123</v>
      </c>
      <c r="P124" s="7">
        <f t="shared" si="74"/>
        <v>302400000</v>
      </c>
      <c r="Q124" s="4">
        <f t="shared" si="63"/>
        <v>125</v>
      </c>
      <c r="R124" s="8">
        <f t="shared" si="75"/>
        <v>483840000</v>
      </c>
      <c r="S124" s="6">
        <f t="shared" si="64"/>
        <v>127</v>
      </c>
      <c r="T124" s="7">
        <f t="shared" si="76"/>
        <v>1064448000</v>
      </c>
      <c r="U124" s="4">
        <f t="shared" si="65"/>
        <v>130</v>
      </c>
      <c r="V124" s="8">
        <f t="shared" si="77"/>
        <v>2889976320</v>
      </c>
      <c r="W124" s="6">
        <f t="shared" si="66"/>
        <v>134</v>
      </c>
      <c r="X124" s="7">
        <f t="shared" si="78"/>
        <v>8833296458</v>
      </c>
      <c r="Y124" s="4">
        <f t="shared" si="67"/>
        <v>136</v>
      </c>
      <c r="Z124" s="8">
        <f t="shared" si="79"/>
        <v>16412860502</v>
      </c>
      <c r="AA124" s="6">
        <f t="shared" si="68"/>
        <v>138</v>
      </c>
      <c r="AB124" s="7">
        <f t="shared" si="80"/>
        <v>22990612624</v>
      </c>
      <c r="AC124" s="4">
        <f t="shared" si="69"/>
        <v>140</v>
      </c>
      <c r="AD124" s="8">
        <f t="shared" si="81"/>
        <v>34426395615</v>
      </c>
      <c r="AE124" s="6">
        <f t="shared" si="70"/>
        <v>143</v>
      </c>
      <c r="AF124" s="7">
        <f t="shared" si="82"/>
        <v>51661901770</v>
      </c>
      <c r="AG124" s="4">
        <f t="shared" si="71"/>
        <v>146</v>
      </c>
      <c r="AH124" s="8">
        <f t="shared" si="83"/>
        <v>165568461610</v>
      </c>
    </row>
    <row r="125" spans="1:34" x14ac:dyDescent="0.25">
      <c r="A125" s="3">
        <v>248</v>
      </c>
      <c r="B125" s="3" t="s">
        <v>219</v>
      </c>
      <c r="C125" s="3" t="s">
        <v>24</v>
      </c>
      <c r="D125" s="3" t="s">
        <v>40</v>
      </c>
      <c r="E125" s="3">
        <v>119</v>
      </c>
      <c r="F125" s="3" t="s">
        <v>108</v>
      </c>
      <c r="G125" s="3" t="s">
        <v>220</v>
      </c>
      <c r="H125" s="3">
        <v>29</v>
      </c>
      <c r="I125" s="4">
        <v>119</v>
      </c>
      <c r="J125" s="5">
        <v>70000000</v>
      </c>
      <c r="K125" s="6">
        <f t="shared" si="60"/>
        <v>120</v>
      </c>
      <c r="L125" s="7">
        <f t="shared" si="72"/>
        <v>98000000</v>
      </c>
      <c r="M125" s="4">
        <f t="shared" si="61"/>
        <v>121</v>
      </c>
      <c r="N125" s="8">
        <f t="shared" si="73"/>
        <v>147000000</v>
      </c>
      <c r="O125" s="6">
        <f t="shared" si="62"/>
        <v>123</v>
      </c>
      <c r="P125" s="7">
        <f t="shared" si="74"/>
        <v>235200000</v>
      </c>
      <c r="Q125" s="4">
        <f t="shared" si="63"/>
        <v>125</v>
      </c>
      <c r="R125" s="8">
        <f t="shared" si="75"/>
        <v>376320000</v>
      </c>
      <c r="S125" s="6">
        <f t="shared" si="64"/>
        <v>127</v>
      </c>
      <c r="T125" s="7">
        <f t="shared" si="76"/>
        <v>827904000</v>
      </c>
      <c r="U125" s="4">
        <f t="shared" si="65"/>
        <v>130</v>
      </c>
      <c r="V125" s="8">
        <f t="shared" si="77"/>
        <v>2247759360</v>
      </c>
      <c r="W125" s="6">
        <f t="shared" si="66"/>
        <v>134</v>
      </c>
      <c r="X125" s="7">
        <f t="shared" si="78"/>
        <v>8833296458</v>
      </c>
      <c r="Y125" s="4">
        <f t="shared" si="67"/>
        <v>136</v>
      </c>
      <c r="Z125" s="8">
        <f t="shared" si="79"/>
        <v>16412860502</v>
      </c>
      <c r="AA125" s="6">
        <f t="shared" si="68"/>
        <v>138</v>
      </c>
      <c r="AB125" s="7">
        <f t="shared" si="80"/>
        <v>22990612624</v>
      </c>
      <c r="AC125" s="4">
        <f t="shared" si="69"/>
        <v>140</v>
      </c>
      <c r="AD125" s="8">
        <f t="shared" si="81"/>
        <v>34426395615</v>
      </c>
      <c r="AE125" s="6">
        <f t="shared" si="70"/>
        <v>143</v>
      </c>
      <c r="AF125" s="7">
        <f t="shared" si="82"/>
        <v>51661901770</v>
      </c>
      <c r="AG125" s="4">
        <f t="shared" si="71"/>
        <v>146</v>
      </c>
      <c r="AH125" s="8">
        <f t="shared" si="83"/>
        <v>165568461610</v>
      </c>
    </row>
    <row r="126" spans="1:34" x14ac:dyDescent="0.25">
      <c r="A126" s="3">
        <v>249</v>
      </c>
      <c r="B126" s="3" t="s">
        <v>221</v>
      </c>
      <c r="C126" s="3" t="s">
        <v>24</v>
      </c>
      <c r="D126" s="3" t="s">
        <v>40</v>
      </c>
      <c r="E126" s="3">
        <v>119</v>
      </c>
      <c r="F126" s="3" t="s">
        <v>34</v>
      </c>
      <c r="G126" s="3" t="s">
        <v>51</v>
      </c>
      <c r="H126" s="3">
        <v>29</v>
      </c>
      <c r="I126" s="4">
        <v>119</v>
      </c>
      <c r="J126" s="5">
        <v>124000000</v>
      </c>
      <c r="K126" s="6">
        <f t="shared" si="60"/>
        <v>120</v>
      </c>
      <c r="L126" s="7">
        <f t="shared" si="72"/>
        <v>173600000</v>
      </c>
      <c r="M126" s="4">
        <f t="shared" si="61"/>
        <v>121</v>
      </c>
      <c r="N126" s="8">
        <f t="shared" si="73"/>
        <v>260400000</v>
      </c>
      <c r="O126" s="6">
        <f t="shared" si="62"/>
        <v>123</v>
      </c>
      <c r="P126" s="7">
        <f t="shared" si="74"/>
        <v>416640000</v>
      </c>
      <c r="Q126" s="4">
        <f t="shared" si="63"/>
        <v>125</v>
      </c>
      <c r="R126" s="8">
        <f t="shared" si="75"/>
        <v>666624000</v>
      </c>
      <c r="S126" s="6">
        <f t="shared" si="64"/>
        <v>127</v>
      </c>
      <c r="T126" s="7">
        <f t="shared" si="76"/>
        <v>1466572800</v>
      </c>
      <c r="U126" s="4">
        <f t="shared" si="65"/>
        <v>130</v>
      </c>
      <c r="V126" s="8">
        <f t="shared" si="77"/>
        <v>3981745152</v>
      </c>
      <c r="W126" s="6">
        <f t="shared" si="66"/>
        <v>134</v>
      </c>
      <c r="X126" s="7">
        <f t="shared" si="78"/>
        <v>10352537395</v>
      </c>
      <c r="Y126" s="4">
        <f t="shared" si="67"/>
        <v>136</v>
      </c>
      <c r="Z126" s="8">
        <f t="shared" si="79"/>
        <v>16412860502</v>
      </c>
      <c r="AA126" s="6">
        <f t="shared" si="68"/>
        <v>138</v>
      </c>
      <c r="AB126" s="7">
        <f t="shared" si="80"/>
        <v>22990612624</v>
      </c>
      <c r="AC126" s="4">
        <f t="shared" si="69"/>
        <v>140</v>
      </c>
      <c r="AD126" s="8">
        <f t="shared" si="81"/>
        <v>34426395615</v>
      </c>
      <c r="AE126" s="6">
        <f t="shared" si="70"/>
        <v>143</v>
      </c>
      <c r="AF126" s="7">
        <f t="shared" si="82"/>
        <v>51661901770</v>
      </c>
      <c r="AG126" s="4">
        <f t="shared" si="71"/>
        <v>146</v>
      </c>
      <c r="AH126" s="8">
        <f t="shared" si="83"/>
        <v>165568461610</v>
      </c>
    </row>
    <row r="127" spans="1:34" x14ac:dyDescent="0.25">
      <c r="A127" s="3">
        <v>250</v>
      </c>
      <c r="B127" s="3" t="s">
        <v>222</v>
      </c>
      <c r="C127" s="3" t="s">
        <v>24</v>
      </c>
      <c r="D127" s="3" t="s">
        <v>40</v>
      </c>
      <c r="E127" s="3">
        <v>119</v>
      </c>
      <c r="F127" s="3" t="s">
        <v>223</v>
      </c>
      <c r="G127" s="3" t="s">
        <v>57</v>
      </c>
      <c r="H127" s="3">
        <v>30</v>
      </c>
      <c r="I127" s="4">
        <v>119</v>
      </c>
      <c r="J127" s="5">
        <v>122000000</v>
      </c>
      <c r="K127" s="6">
        <f t="shared" si="60"/>
        <v>120</v>
      </c>
      <c r="L127" s="7">
        <f t="shared" si="72"/>
        <v>170800000</v>
      </c>
      <c r="M127" s="4">
        <f t="shared" si="61"/>
        <v>121</v>
      </c>
      <c r="N127" s="8">
        <f t="shared" si="73"/>
        <v>256200000</v>
      </c>
      <c r="O127" s="6">
        <f t="shared" si="62"/>
        <v>123</v>
      </c>
      <c r="P127" s="7">
        <f t="shared" si="74"/>
        <v>409920000</v>
      </c>
      <c r="Q127" s="4">
        <f t="shared" si="63"/>
        <v>125</v>
      </c>
      <c r="R127" s="8">
        <f t="shared" si="75"/>
        <v>655872000</v>
      </c>
      <c r="S127" s="6">
        <f t="shared" si="64"/>
        <v>127</v>
      </c>
      <c r="T127" s="7">
        <f t="shared" si="76"/>
        <v>1442918400</v>
      </c>
      <c r="U127" s="4">
        <f t="shared" si="65"/>
        <v>130</v>
      </c>
      <c r="V127" s="8">
        <f t="shared" si="77"/>
        <v>3917523456</v>
      </c>
      <c r="W127" s="6">
        <f t="shared" si="66"/>
        <v>134</v>
      </c>
      <c r="X127" s="7">
        <f t="shared" si="78"/>
        <v>10185560986</v>
      </c>
      <c r="Y127" s="4">
        <f t="shared" si="67"/>
        <v>136</v>
      </c>
      <c r="Z127" s="8">
        <f t="shared" si="79"/>
        <v>16412860502</v>
      </c>
      <c r="AA127" s="6">
        <f t="shared" si="68"/>
        <v>138</v>
      </c>
      <c r="AB127" s="7">
        <f t="shared" si="80"/>
        <v>22990612624</v>
      </c>
      <c r="AC127" s="4">
        <f t="shared" si="69"/>
        <v>140</v>
      </c>
      <c r="AD127" s="8">
        <f t="shared" si="81"/>
        <v>34426395615</v>
      </c>
      <c r="AE127" s="6">
        <f t="shared" si="70"/>
        <v>143</v>
      </c>
      <c r="AF127" s="7">
        <f t="shared" si="82"/>
        <v>51661901770</v>
      </c>
      <c r="AG127" s="4">
        <f t="shared" si="71"/>
        <v>146</v>
      </c>
      <c r="AH127" s="8">
        <f t="shared" si="83"/>
        <v>165568461610</v>
      </c>
    </row>
    <row r="128" spans="1:34" x14ac:dyDescent="0.25">
      <c r="A128" s="3">
        <v>247</v>
      </c>
      <c r="B128" s="3" t="s">
        <v>224</v>
      </c>
      <c r="C128" s="3" t="s">
        <v>24</v>
      </c>
      <c r="D128" s="3" t="s">
        <v>25</v>
      </c>
      <c r="E128" s="3">
        <v>117</v>
      </c>
      <c r="F128" s="3" t="s">
        <v>225</v>
      </c>
      <c r="G128" s="3" t="s">
        <v>226</v>
      </c>
      <c r="H128" s="3">
        <v>29</v>
      </c>
      <c r="I128" s="4">
        <v>117</v>
      </c>
      <c r="J128" s="5">
        <v>20000000</v>
      </c>
      <c r="K128" s="6">
        <f t="shared" si="60"/>
        <v>118</v>
      </c>
      <c r="L128" s="7">
        <f t="shared" si="72"/>
        <v>28000000</v>
      </c>
      <c r="M128" s="4">
        <f t="shared" si="61"/>
        <v>119</v>
      </c>
      <c r="N128" s="8">
        <f t="shared" si="73"/>
        <v>42000000</v>
      </c>
      <c r="O128" s="6">
        <f t="shared" si="62"/>
        <v>121</v>
      </c>
      <c r="P128" s="7">
        <f t="shared" si="74"/>
        <v>67200000</v>
      </c>
      <c r="Q128" s="4">
        <f t="shared" si="63"/>
        <v>123</v>
      </c>
      <c r="R128" s="8">
        <f t="shared" si="75"/>
        <v>107520000</v>
      </c>
      <c r="S128" s="6">
        <f t="shared" si="64"/>
        <v>125</v>
      </c>
      <c r="T128" s="7">
        <f t="shared" si="76"/>
        <v>236544000</v>
      </c>
      <c r="U128" s="4">
        <f t="shared" si="65"/>
        <v>128</v>
      </c>
      <c r="V128" s="8">
        <f t="shared" si="77"/>
        <v>642216960</v>
      </c>
      <c r="W128" s="6">
        <f t="shared" si="66"/>
        <v>132</v>
      </c>
      <c r="X128" s="7">
        <f t="shared" si="78"/>
        <v>3540000000</v>
      </c>
      <c r="Y128" s="4">
        <f t="shared" si="67"/>
        <v>134</v>
      </c>
      <c r="Z128" s="8">
        <f t="shared" si="79"/>
        <v>6020000000</v>
      </c>
      <c r="AA128" s="6">
        <f t="shared" si="68"/>
        <v>136</v>
      </c>
      <c r="AB128" s="7">
        <f t="shared" si="80"/>
        <v>8430000000</v>
      </c>
      <c r="AC128" s="4">
        <f t="shared" si="69"/>
        <v>138</v>
      </c>
      <c r="AD128" s="8">
        <f t="shared" si="81"/>
        <v>12600000000</v>
      </c>
      <c r="AE128" s="6">
        <f t="shared" si="70"/>
        <v>141</v>
      </c>
      <c r="AF128" s="7">
        <f t="shared" si="82"/>
        <v>18900000000</v>
      </c>
      <c r="AG128" s="4">
        <f t="shared" si="71"/>
        <v>144</v>
      </c>
      <c r="AH128" s="8">
        <f t="shared" si="83"/>
        <v>60500000000</v>
      </c>
    </row>
    <row r="129" spans="1:34" x14ac:dyDescent="0.25">
      <c r="A129" s="3">
        <v>13</v>
      </c>
      <c r="B129" s="3" t="s">
        <v>227</v>
      </c>
      <c r="C129" s="3" t="s">
        <v>228</v>
      </c>
      <c r="D129" s="3" t="s">
        <v>40</v>
      </c>
      <c r="E129" s="3">
        <v>126</v>
      </c>
      <c r="F129" s="3" t="s">
        <v>56</v>
      </c>
      <c r="G129" s="3" t="s">
        <v>35</v>
      </c>
      <c r="H129" s="3">
        <v>34</v>
      </c>
      <c r="I129" s="4">
        <v>126</v>
      </c>
      <c r="J129" s="5">
        <v>2503000000</v>
      </c>
      <c r="K129" s="6">
        <f t="shared" si="60"/>
        <v>127</v>
      </c>
      <c r="L129" s="7">
        <f>IF($J129=0,0,ROUND(MAX($J129*1.4*1,4020000*(1.354082^(MIN($E129,123)-118))),0))</f>
        <v>3504200000</v>
      </c>
      <c r="M129" s="4">
        <f t="shared" si="61"/>
        <v>128</v>
      </c>
      <c r="N129" s="8">
        <f>IF($J129=0,0,ROUND(MAX($J129*1.4*1.5*1,6950000*(1.375334^(MIN($E129,123)-118))),0))</f>
        <v>5256300000</v>
      </c>
      <c r="O129" s="6">
        <f t="shared" si="62"/>
        <v>130</v>
      </c>
      <c r="P129" s="7">
        <f>IF($J129=0,0,ROUND(MAX($J129*1.4*1.5*1.6*1,23900000*(1.1788^(MIN($E129,123)-118))),0))</f>
        <v>8410080000</v>
      </c>
      <c r="Q129" s="4">
        <f t="shared" si="63"/>
        <v>132</v>
      </c>
      <c r="R129" s="8">
        <f>IF($J129=0,0,ROUND(MAX($J129*1.4*1.5*1.6*1.6*1.25,77000000*(1.127009^(MIN($E129,123)-118))),0))</f>
        <v>16820160000</v>
      </c>
      <c r="S129" s="6">
        <f t="shared" si="64"/>
        <v>134</v>
      </c>
      <c r="T129" s="7">
        <f>IF($J129=0,0,ROUND(MAX($J129*1.4*1.5*1.6*1.6*2.2*1.25,270000000*(1.248411^(MIN($E129,123)-118))),0))</f>
        <v>37004352000</v>
      </c>
      <c r="U129" s="4">
        <f t="shared" si="65"/>
        <v>137</v>
      </c>
      <c r="V129" s="8">
        <f>IF($J129=0,0,ROUND(MAX($J129*1.4*1.5*1.6*1.6*2.2*2.715*1.25,2400000000*(1.293039^(MIN($E129,123)-118))),0))</f>
        <v>100466815680</v>
      </c>
      <c r="W129" s="6">
        <f t="shared" si="66"/>
        <v>141</v>
      </c>
      <c r="X129" s="7">
        <f>IF($J129=0,0,ROUND(MAX($J129*1.4*1.5*1.6*1.6*2.2*2.715*2.6*1.25,20000000000*(1.280114^(MIN($E129,123)-118))),0))</f>
        <v>261213720768</v>
      </c>
      <c r="Y129" s="4">
        <f t="shared" si="67"/>
        <v>143</v>
      </c>
      <c r="Z129" s="8">
        <f>IF($J129=0,0,ROUND(MAX($J129*1.4*1.5*1.6*1.6*2.2*2.715*2.6*1.4*1.25,39200000000*(1.31219^(MIN($E129,123)-118))),0))</f>
        <v>365699209075</v>
      </c>
      <c r="AA129" s="6">
        <f t="shared" si="68"/>
        <v>145</v>
      </c>
      <c r="AB129" s="7">
        <f>IF($J129=0,0,ROUND(MAX($J129*1.4*1.5*1.6*1.6*2.2*2.715*2.6*1.4*1.4*1.25,54900000000*(1.312402^(MIN($E129,123)-118))),0))</f>
        <v>511978892705</v>
      </c>
      <c r="AC129" s="4">
        <f t="shared" si="69"/>
        <v>147</v>
      </c>
      <c r="AD129" s="8">
        <f>IF($J129=0,0,ROUND(MAX($J129*1.4*1.5*1.6*1.6*2.2*2.715*2.6*1.4*1.4*1.5*1.25,82400000000*(1.312754^(MIN($E129,123)-118))),0))</f>
        <v>767968339058</v>
      </c>
      <c r="AE129" s="6">
        <f t="shared" si="70"/>
        <v>150</v>
      </c>
      <c r="AF129" s="7">
        <f>IF($J129=0,0,ROUND(MAX($J129*1.4*1.5*1.6*1.6*2.2*2.715*2.6*1.4*1.4*1.5*1.5*1.25,124000000000*(1.312246^(MIN($E129,123)-118))),0))</f>
        <v>1151952508587</v>
      </c>
      <c r="AG129" s="4">
        <f t="shared" si="71"/>
        <v>153</v>
      </c>
      <c r="AH129" s="8">
        <f>IF($J129=0,0,ROUND(MAX($J129*1.4*1.5*1.6*1.6*2.2*2.715*2.6*1.4*1.4*1.5*1.5*3.2*1.25,397000000000*(1.313132^(MIN($E129,123)-118))),0))</f>
        <v>3686248027478</v>
      </c>
    </row>
    <row r="130" spans="1:34" x14ac:dyDescent="0.25">
      <c r="A130" s="3">
        <v>11</v>
      </c>
      <c r="B130" s="3" t="s">
        <v>229</v>
      </c>
      <c r="C130" s="3" t="s">
        <v>228</v>
      </c>
      <c r="D130" s="3" t="s">
        <v>40</v>
      </c>
      <c r="E130" s="3">
        <v>126</v>
      </c>
      <c r="F130" s="3" t="s">
        <v>54</v>
      </c>
      <c r="G130" s="3" t="s">
        <v>38</v>
      </c>
      <c r="H130" s="3">
        <v>33</v>
      </c>
      <c r="I130" s="4">
        <v>126</v>
      </c>
      <c r="J130" s="5">
        <v>848000000</v>
      </c>
      <c r="K130" s="6">
        <f t="shared" si="60"/>
        <v>127</v>
      </c>
      <c r="L130" s="7">
        <f>IF($J130=0,0,ROUND(MAX($J130*1.4*1,4020000*(1.354082^(MIN($E130,123)-118))),0))</f>
        <v>1187200000</v>
      </c>
      <c r="M130" s="4">
        <f t="shared" si="61"/>
        <v>128</v>
      </c>
      <c r="N130" s="8">
        <f>IF($J130=0,0,ROUND(MAX($J130*1.4*1.5*1,6950000*(1.375334^(MIN($E130,123)-118))),0))</f>
        <v>1780800000</v>
      </c>
      <c r="O130" s="6">
        <f t="shared" si="62"/>
        <v>130</v>
      </c>
      <c r="P130" s="7">
        <f>IF($J130=0,0,ROUND(MAX($J130*1.4*1.5*1.6*1,23900000*(1.1788^(MIN($E130,123)-118))),0))</f>
        <v>2849280000</v>
      </c>
      <c r="Q130" s="4">
        <f t="shared" si="63"/>
        <v>132</v>
      </c>
      <c r="R130" s="8">
        <f>IF($J130=0,0,ROUND(MAX($J130*1.4*1.5*1.6*1.6*1.25,77000000*(1.127009^(MIN($E130,123)-118))),0))</f>
        <v>5698560000</v>
      </c>
      <c r="S130" s="6">
        <f t="shared" si="64"/>
        <v>134</v>
      </c>
      <c r="T130" s="7">
        <f>IF($J130=0,0,ROUND(MAX($J130*1.4*1.5*1.6*1.6*2.2*1.25,270000000*(1.248411^(MIN($E130,123)-118))),0))</f>
        <v>12536832000</v>
      </c>
      <c r="U130" s="4">
        <f t="shared" si="65"/>
        <v>137</v>
      </c>
      <c r="V130" s="8">
        <f>IF($J130=0,0,ROUND(MAX($J130*1.4*1.5*1.6*1.6*2.2*2.715*1.25,2400000000*(1.293039^(MIN($E130,123)-118))),0))</f>
        <v>34037498880</v>
      </c>
      <c r="W130" s="6">
        <f t="shared" si="66"/>
        <v>141</v>
      </c>
      <c r="X130" s="7">
        <f>IF($J130=0,0,ROUND(MAX($J130*1.4*1.5*1.6*1.6*2.2*2.715*2.6*1.25,20000000000*(1.280114^(MIN($E130,123)-118))),0))</f>
        <v>88497497088</v>
      </c>
      <c r="Y130" s="4">
        <f t="shared" si="67"/>
        <v>143</v>
      </c>
      <c r="Z130" s="8">
        <f>IF($J130=0,0,ROUND(MAX($J130*1.4*1.5*1.6*1.6*2.2*2.715*2.6*1.4*1.25,39200000000*(1.31219^(MIN($E130,123)-118))),0))</f>
        <v>152499944536</v>
      </c>
      <c r="AA130" s="6">
        <f t="shared" si="68"/>
        <v>145</v>
      </c>
      <c r="AB130" s="7">
        <f>IF($J130=0,0,ROUND(MAX($J130*1.4*1.5*1.6*1.6*2.2*2.715*2.6*1.4*1.4*1.25,54900000000*(1.312402^(MIN($E130,123)-118))),0))</f>
        <v>213750314393</v>
      </c>
      <c r="AC130" s="4">
        <f t="shared" si="69"/>
        <v>147</v>
      </c>
      <c r="AD130" s="8">
        <f>IF($J130=0,0,ROUND(MAX($J130*1.4*1.5*1.6*1.6*2.2*2.715*2.6*1.4*1.4*1.5*1.25,82400000000*(1.312754^(MIN($E130,123)-118))),0))</f>
        <v>321250611518</v>
      </c>
      <c r="AE130" s="6">
        <f t="shared" si="70"/>
        <v>150</v>
      </c>
      <c r="AF130" s="7">
        <f>IF($J130=0,0,ROUND(MAX($J130*1.4*1.5*1.6*1.6*2.2*2.715*2.6*1.4*1.4*1.5*1.5*1.25,124000000000*(1.312246^(MIN($E130,123)-118))),0))</f>
        <v>482500728361</v>
      </c>
      <c r="AG130" s="4">
        <f t="shared" si="71"/>
        <v>153</v>
      </c>
      <c r="AH130" s="8">
        <f>IF($J130=0,0,ROUND(MAX($J130*1.4*1.5*1.6*1.6*2.2*2.715*2.6*1.4*1.4*1.5*1.5*3.2*1.25,397000000000*(1.313132^(MIN($E130,123)-118))),0))</f>
        <v>1550002616035</v>
      </c>
    </row>
    <row r="131" spans="1:34" x14ac:dyDescent="0.25">
      <c r="A131" s="3">
        <v>14</v>
      </c>
      <c r="B131" s="3" t="s">
        <v>230</v>
      </c>
      <c r="C131" s="3" t="s">
        <v>228</v>
      </c>
      <c r="D131" s="3" t="s">
        <v>64</v>
      </c>
      <c r="E131" s="3">
        <v>126</v>
      </c>
      <c r="F131" s="3" t="s">
        <v>71</v>
      </c>
      <c r="G131" s="3" t="s">
        <v>72</v>
      </c>
      <c r="H131" s="3">
        <v>32</v>
      </c>
      <c r="I131" s="4">
        <v>126</v>
      </c>
      <c r="J131" s="5">
        <v>1236000000</v>
      </c>
      <c r="K131" s="6">
        <f t="shared" ref="K131:K194" si="84">$E131+1</f>
        <v>127</v>
      </c>
      <c r="L131" s="7">
        <f>IF($J131=0,0,ROUND(MAX($J131*1.4*1,4020000*(1.354082^(MIN($E131,123)-118))),0))</f>
        <v>1730400000</v>
      </c>
      <c r="M131" s="4">
        <f t="shared" ref="M131:M194" si="85">$E131+2</f>
        <v>128</v>
      </c>
      <c r="N131" s="8">
        <f>IF($J131=0,0,ROUND(MAX($J131*1.4*1.5*1,6950000*(1.375334^(MIN($E131,123)-118))),0))</f>
        <v>2595600000</v>
      </c>
      <c r="O131" s="6">
        <f t="shared" ref="O131:O194" si="86">$E131+4</f>
        <v>130</v>
      </c>
      <c r="P131" s="7">
        <f>IF($J131=0,0,ROUND(MAX($J131*1.4*1.5*1.6*1,23900000*(1.1788^(MIN($E131,123)-118))),0))</f>
        <v>4152960000</v>
      </c>
      <c r="Q131" s="4">
        <f t="shared" ref="Q131:Q194" si="87">$E131+6</f>
        <v>132</v>
      </c>
      <c r="R131" s="8">
        <f>IF($J131=0,0,ROUND(MAX($J131*1.4*1.5*1.6*1.6*1.25,77000000*(1.127009^(MIN($E131,123)-118))),0))</f>
        <v>8305920000</v>
      </c>
      <c r="S131" s="6">
        <f t="shared" ref="S131:S194" si="88">$E131+8</f>
        <v>134</v>
      </c>
      <c r="T131" s="7">
        <f>IF($J131=0,0,ROUND(MAX($J131*1.4*1.5*1.6*1.6*2.2*1.25,270000000*(1.248411^(MIN($E131,123)-118))),0))</f>
        <v>18273024000</v>
      </c>
      <c r="U131" s="4">
        <f t="shared" ref="U131:U194" si="89">$E131+11</f>
        <v>137</v>
      </c>
      <c r="V131" s="8">
        <f>IF($J131=0,0,ROUND(MAX($J131*1.4*1.5*1.6*1.6*2.2*2.715*1.25,2400000000*(1.293039^(MIN($E131,123)-118))),0))</f>
        <v>49611260160</v>
      </c>
      <c r="W131" s="6">
        <f t="shared" ref="W131:W194" si="90">$E131+15</f>
        <v>141</v>
      </c>
      <c r="X131" s="7">
        <f>IF($J131=0,0,ROUND(MAX($J131*1.4*1.5*1.6*1.6*2.2*2.715*2.6*1.25,20000000000*(1.280114^(MIN($E131,123)-118))),0))</f>
        <v>128989276416</v>
      </c>
      <c r="Y131" s="4">
        <f t="shared" ref="Y131:Y194" si="91">$E131+17</f>
        <v>143</v>
      </c>
      <c r="Z131" s="8">
        <f>IF($J131=0,0,ROUND(MAX($J131*1.4*1.5*1.6*1.6*2.2*2.715*2.6*1.4*1.25,39200000000*(1.31219^(MIN($E131,123)-118))),0))</f>
        <v>180584986982</v>
      </c>
      <c r="AA131" s="6">
        <f t="shared" ref="AA131:AA194" si="92">$E131+19</f>
        <v>145</v>
      </c>
      <c r="AB131" s="7">
        <f>IF($J131=0,0,ROUND(MAX($J131*1.4*1.5*1.6*1.6*2.2*2.715*2.6*1.4*1.4*1.25,54900000000*(1.312402^(MIN($E131,123)-118))),0))</f>
        <v>252818981775</v>
      </c>
      <c r="AC131" s="4">
        <f t="shared" ref="AC131:AC194" si="93">$E131+21</f>
        <v>147</v>
      </c>
      <c r="AD131" s="8">
        <f>IF($J131=0,0,ROUND(MAX($J131*1.4*1.5*1.6*1.6*2.2*2.715*2.6*1.4*1.4*1.5*1.25,82400000000*(1.312754^(MIN($E131,123)-118))),0))</f>
        <v>379228472663</v>
      </c>
      <c r="AE131" s="6">
        <f t="shared" ref="AE131:AE194" si="94">$E131+24</f>
        <v>150</v>
      </c>
      <c r="AF131" s="7">
        <f>IF($J131=0,0,ROUND(MAX($J131*1.4*1.5*1.6*1.6*2.2*2.715*2.6*1.4*1.4*1.5*1.5*1.25,124000000000*(1.312246^(MIN($E131,123)-118))),0))</f>
        <v>568842708995</v>
      </c>
      <c r="AG131" s="4">
        <f t="shared" ref="AG131:AG194" si="95">$E131+27</f>
        <v>153</v>
      </c>
      <c r="AH131" s="8">
        <f>IF($J131=0,0,ROUND(MAX($J131*1.4*1.5*1.6*1.6*2.2*2.715*2.6*1.4*1.4*1.5*1.5*3.2*1.25,397000000000*(1.313132^(MIN($E131,123)-118))),0))</f>
        <v>1820296668783</v>
      </c>
    </row>
    <row r="132" spans="1:34" x14ac:dyDescent="0.25">
      <c r="A132" s="3">
        <v>15</v>
      </c>
      <c r="B132" s="3" t="s">
        <v>231</v>
      </c>
      <c r="C132" s="3" t="s">
        <v>228</v>
      </c>
      <c r="D132" s="3" t="s">
        <v>64</v>
      </c>
      <c r="E132" s="3">
        <v>126</v>
      </c>
      <c r="F132" s="3" t="s">
        <v>54</v>
      </c>
      <c r="G132" s="3" t="s">
        <v>35</v>
      </c>
      <c r="H132" s="3">
        <v>32</v>
      </c>
      <c r="I132" s="4">
        <v>126</v>
      </c>
      <c r="J132" s="5">
        <v>935000000</v>
      </c>
      <c r="K132" s="6">
        <f t="shared" si="84"/>
        <v>127</v>
      </c>
      <c r="L132" s="7">
        <f>IF($J132=0,0,ROUND(MAX($J132*1.4,1620000*(1.497923^(MIN($E132,123)-117)))*1,0))</f>
        <v>1309000000</v>
      </c>
      <c r="M132" s="4">
        <f t="shared" si="85"/>
        <v>128</v>
      </c>
      <c r="N132" s="8">
        <f>IF($J132=0,0,ROUND(MAX($J132*1.4*1.5,2190000*(1.580994^(MIN($E132,123)-117)))*1,0))</f>
        <v>1963500000</v>
      </c>
      <c r="O132" s="6">
        <f t="shared" si="86"/>
        <v>130</v>
      </c>
      <c r="P132" s="7">
        <f>IF($J132=0,0,ROUND(MAX($J132*1.4*1.5*1.6,3500000*(1.57975^(MIN($E132,123)-117)))*1,0))</f>
        <v>3141600000</v>
      </c>
      <c r="Q132" s="4">
        <f t="shared" si="87"/>
        <v>132</v>
      </c>
      <c r="R132" s="8">
        <f>IF($J132=0,0,ROUND(MAX($J132*1.4*1.5*1.6*1.6,13100000*(1.429962^(MIN($E132,123)-117)))*1,0))</f>
        <v>5026560000</v>
      </c>
      <c r="S132" s="6">
        <f t="shared" si="88"/>
        <v>134</v>
      </c>
      <c r="T132" s="7">
        <f>IF($J132=0,0,ROUND(MAX($J132*1.4*1.5*1.6*1.6*2.2,42600000*(1.576904^(MIN($E132,123)-117)))*1,0))</f>
        <v>11058432000</v>
      </c>
      <c r="U132" s="4">
        <f t="shared" si="89"/>
        <v>137</v>
      </c>
      <c r="V132" s="8">
        <f>IF($J132=0,0,ROUND(MAX($J132*1.4*1.5*1.6*1.6*2.2*2.715,354000000*(1.642074^(MIN($E132,123)-117)))*1,0))</f>
        <v>30023642880</v>
      </c>
      <c r="W132" s="6">
        <f t="shared" si="90"/>
        <v>141</v>
      </c>
      <c r="X132" s="7">
        <f>IF($J132=0,0,ROUND(MAX($J132*1.4*1.5*1.6*1.6*2.2*2.715*2.6,3540000000*(1.579646^(MIN($E132,123)-117)))*1,0))</f>
        <v>78061471488</v>
      </c>
      <c r="Y132" s="4">
        <f t="shared" si="91"/>
        <v>143</v>
      </c>
      <c r="Z132" s="8">
        <f>IF($J132=0,0,ROUND(MAX($J132*1.4*1.5*1.6*1.6*2.2*2.715*2.6*1.4,6020000000*(1.651178^(MIN($E132,123)-117)))*1,0))</f>
        <v>122000006103</v>
      </c>
      <c r="AA132" s="6">
        <f t="shared" si="92"/>
        <v>145</v>
      </c>
      <c r="AB132" s="7">
        <f>IF($J132=0,0,ROUND(MAX($J132*1.4*1.5*1.6*1.6*2.2*2.715*2.6*1.4*1.4,8430000000*(1.651435^(MIN($E132,123)-117)))*1,0))</f>
        <v>171000146547</v>
      </c>
      <c r="AC132" s="4">
        <f t="shared" si="93"/>
        <v>147</v>
      </c>
      <c r="AD132" s="8">
        <f>IF($J132=0,0,ROUND(MAX($J132*1.4*1.5*1.6*1.6*2.2*2.715*2.6*1.4*1.4*1.5,12600000000*(1.652953^(MIN($E132,123)-117)))*1,0))</f>
        <v>257000267475</v>
      </c>
      <c r="AE132" s="6">
        <f t="shared" si="94"/>
        <v>150</v>
      </c>
      <c r="AF132" s="7">
        <f>IF($J132=0,0,ROUND(MAX($J132*1.4*1.5*1.6*1.6*2.2*2.715*2.6*1.4*1.4*1.5*1.5,18900000000*(1.65331^(MIN($E132,123)-117)))*1,0))</f>
        <v>386000226581</v>
      </c>
      <c r="AG132" s="4">
        <f t="shared" si="95"/>
        <v>153</v>
      </c>
      <c r="AH132" s="8">
        <f>IF($J132=0,0,ROUND(MAX($J132*1.4*1.5*1.6*1.6*2.2*2.715*2.6*1.4*1.4*1.5*1.5*3.2,60500000000*(1.654288^(MIN($E132,123)-117)))*1,0))</f>
        <v>1240001159555</v>
      </c>
    </row>
    <row r="133" spans="1:34" x14ac:dyDescent="0.25">
      <c r="A133" s="3">
        <v>16</v>
      </c>
      <c r="B133" s="3" t="s">
        <v>232</v>
      </c>
      <c r="C133" s="3" t="s">
        <v>228</v>
      </c>
      <c r="D133" s="3" t="s">
        <v>25</v>
      </c>
      <c r="E133" s="3">
        <v>125</v>
      </c>
      <c r="F133" s="3" t="s">
        <v>59</v>
      </c>
      <c r="G133" s="3" t="s">
        <v>57</v>
      </c>
      <c r="H133" s="3">
        <v>33</v>
      </c>
      <c r="I133" s="4">
        <v>125</v>
      </c>
      <c r="J133" s="5">
        <v>390000000</v>
      </c>
      <c r="K133" s="6">
        <f t="shared" si="84"/>
        <v>126</v>
      </c>
      <c r="L133" s="7">
        <f>IF($J133=0,0,ROUND(MAX($J133*1.4,1620000*(1.497923^(MIN($E133,123)-117)))*1,0))</f>
        <v>546000000</v>
      </c>
      <c r="M133" s="4">
        <f t="shared" si="85"/>
        <v>127</v>
      </c>
      <c r="N133" s="8">
        <f>IF($J133=0,0,ROUND(MAX($J133*1.4*1.5,2190000*(1.580994^(MIN($E133,123)-117)))*1,0))</f>
        <v>819000000</v>
      </c>
      <c r="O133" s="6">
        <f t="shared" si="86"/>
        <v>129</v>
      </c>
      <c r="P133" s="7">
        <f>IF($J133=0,0,ROUND(MAX($J133*1.4*1.5*1.6,3500000*(1.57975^(MIN($E133,123)-117)))*1,0))</f>
        <v>1310400000</v>
      </c>
      <c r="Q133" s="4">
        <f t="shared" si="87"/>
        <v>131</v>
      </c>
      <c r="R133" s="8">
        <f>IF($J133=0,0,ROUND(MAX($J133*1.4*1.5*1.6*1.6,13100000*(1.429962^(MIN($E133,123)-117)))*1,0))</f>
        <v>2096640000</v>
      </c>
      <c r="S133" s="6">
        <f t="shared" si="88"/>
        <v>133</v>
      </c>
      <c r="T133" s="7">
        <f>IF($J133=0,0,ROUND(MAX($J133*1.4*1.5*1.6*1.6*2.2,42600000*(1.576904^(MIN($E133,123)-117)))*1,0))</f>
        <v>4612608000</v>
      </c>
      <c r="U133" s="4">
        <f t="shared" si="89"/>
        <v>136</v>
      </c>
      <c r="V133" s="8">
        <f>IF($J133=0,0,ROUND(MAX($J133*1.4*1.5*1.6*1.6*2.2*2.715,354000000*(1.642074^(MIN($E133,123)-117)))*1,0))</f>
        <v>12523230720</v>
      </c>
      <c r="W133" s="6">
        <f t="shared" si="90"/>
        <v>140</v>
      </c>
      <c r="X133" s="7">
        <f>IF($J133=0,0,ROUND(MAX($J133*1.4*1.5*1.6*1.6*2.2*2.715*2.6,3540000000*(1.579646^(MIN($E133,123)-117)))*1,0))</f>
        <v>54999899335</v>
      </c>
      <c r="Y133" s="4">
        <f t="shared" si="91"/>
        <v>142</v>
      </c>
      <c r="Z133" s="8">
        <f>IF($J133=0,0,ROUND(MAX($J133*1.4*1.5*1.6*1.6*2.2*2.715*2.6*1.4,6020000000*(1.651178^(MIN($E133,123)-117)))*1,0))</f>
        <v>122000006103</v>
      </c>
      <c r="AA133" s="6">
        <f t="shared" si="92"/>
        <v>144</v>
      </c>
      <c r="AB133" s="7">
        <f>IF($J133=0,0,ROUND(MAX($J133*1.4*1.5*1.6*1.6*2.2*2.715*2.6*1.4*1.4,8430000000*(1.651435^(MIN($E133,123)-117)))*1,0))</f>
        <v>171000146547</v>
      </c>
      <c r="AC133" s="4">
        <f t="shared" si="93"/>
        <v>146</v>
      </c>
      <c r="AD133" s="8">
        <f>IF($J133=0,0,ROUND(MAX($J133*1.4*1.5*1.6*1.6*2.2*2.715*2.6*1.4*1.4*1.5,12600000000*(1.652953^(MIN($E133,123)-117)))*1,0))</f>
        <v>257000267475</v>
      </c>
      <c r="AE133" s="6">
        <f t="shared" si="94"/>
        <v>149</v>
      </c>
      <c r="AF133" s="7">
        <f>IF($J133=0,0,ROUND(MAX($J133*1.4*1.5*1.6*1.6*2.2*2.715*2.6*1.4*1.4*1.5*1.5,18900000000*(1.65331^(MIN($E133,123)-117)))*1,0))</f>
        <v>386000226581</v>
      </c>
      <c r="AG133" s="4">
        <f t="shared" si="95"/>
        <v>152</v>
      </c>
      <c r="AH133" s="8">
        <f>IF($J133=0,0,ROUND(MAX($J133*1.4*1.5*1.6*1.6*2.2*2.715*2.6*1.4*1.4*1.5*1.5*3.2,60500000000*(1.654288^(MIN($E133,123)-117)))*1,0))</f>
        <v>1240001159555</v>
      </c>
    </row>
    <row r="134" spans="1:34" x14ac:dyDescent="0.25">
      <c r="A134" s="3">
        <v>20</v>
      </c>
      <c r="B134" s="3" t="s">
        <v>233</v>
      </c>
      <c r="C134" s="3" t="s">
        <v>228</v>
      </c>
      <c r="D134" s="3" t="s">
        <v>45</v>
      </c>
      <c r="E134" s="3">
        <v>125</v>
      </c>
      <c r="F134" s="3" t="s">
        <v>56</v>
      </c>
      <c r="G134" s="3" t="s">
        <v>95</v>
      </c>
      <c r="H134" s="3">
        <v>32</v>
      </c>
      <c r="I134" s="4">
        <v>125</v>
      </c>
      <c r="J134" s="5">
        <v>92100000</v>
      </c>
      <c r="K134" s="6">
        <f t="shared" si="84"/>
        <v>126</v>
      </c>
      <c r="L134" s="7">
        <f>IF($J134=0,0,ROUND(MAX($J134*1.4,1620000*(1.497923^(MIN($E134,123)-117)))*1,0))</f>
        <v>128940000</v>
      </c>
      <c r="M134" s="4">
        <f t="shared" si="85"/>
        <v>127</v>
      </c>
      <c r="N134" s="8">
        <f>IF($J134=0,0,ROUND(MAX($J134*1.4*1.5,2190000*(1.580994^(MIN($E134,123)-117)))*1,0))</f>
        <v>193410000</v>
      </c>
      <c r="O134" s="6">
        <f t="shared" si="86"/>
        <v>129</v>
      </c>
      <c r="P134" s="7">
        <f>IF($J134=0,0,ROUND(MAX($J134*1.4*1.5*1.6,3500000*(1.57975^(MIN($E134,123)-117)))*1,0))</f>
        <v>309456000</v>
      </c>
      <c r="Q134" s="4">
        <f t="shared" si="87"/>
        <v>131</v>
      </c>
      <c r="R134" s="8">
        <f>IF($J134=0,0,ROUND(MAX($J134*1.4*1.5*1.6*1.6,13100000*(1.429962^(MIN($E134,123)-117)))*1,0))</f>
        <v>495129600</v>
      </c>
      <c r="S134" s="6">
        <f t="shared" si="88"/>
        <v>133</v>
      </c>
      <c r="T134" s="7">
        <f>IF($J134=0,0,ROUND(MAX($J134*1.4*1.5*1.6*1.6*2.2,42600000*(1.576904^(MIN($E134,123)-117)))*1,0))</f>
        <v>1089285120</v>
      </c>
      <c r="U134" s="4">
        <f t="shared" si="89"/>
        <v>136</v>
      </c>
      <c r="V134" s="8">
        <f>IF($J134=0,0,ROUND(MAX($J134*1.4*1.5*1.6*1.6*2.2*2.715,354000000*(1.642074^(MIN($E134,123)-117)))*1,0))</f>
        <v>6940002232</v>
      </c>
      <c r="W134" s="6">
        <f t="shared" si="90"/>
        <v>140</v>
      </c>
      <c r="X134" s="7">
        <f>IF($J134=0,0,ROUND(MAX($J134*1.4*1.5*1.6*1.6*2.2*2.715*2.6,3540000000*(1.579646^(MIN($E134,123)-117)))*1,0))</f>
        <v>54999899335</v>
      </c>
      <c r="Y134" s="4">
        <f t="shared" si="91"/>
        <v>142</v>
      </c>
      <c r="Z134" s="8">
        <f>IF($J134=0,0,ROUND(MAX($J134*1.4*1.5*1.6*1.6*2.2*2.715*2.6*1.4,6020000000*(1.651178^(MIN($E134,123)-117)))*1,0))</f>
        <v>122000006103</v>
      </c>
      <c r="AA134" s="6">
        <f t="shared" si="92"/>
        <v>144</v>
      </c>
      <c r="AB134" s="7">
        <f>IF($J134=0,0,ROUND(MAX($J134*1.4*1.5*1.6*1.6*2.2*2.715*2.6*1.4*1.4,8430000000*(1.651435^(MIN($E134,123)-117)))*1,0))</f>
        <v>171000146547</v>
      </c>
      <c r="AC134" s="4">
        <f t="shared" si="93"/>
        <v>146</v>
      </c>
      <c r="AD134" s="8">
        <f>IF($J134=0,0,ROUND(MAX($J134*1.4*1.5*1.6*1.6*2.2*2.715*2.6*1.4*1.4*1.5,12600000000*(1.652953^(MIN($E134,123)-117)))*1,0))</f>
        <v>257000267475</v>
      </c>
      <c r="AE134" s="6">
        <f t="shared" si="94"/>
        <v>149</v>
      </c>
      <c r="AF134" s="7">
        <f>IF($J134=0,0,ROUND(MAX($J134*1.4*1.5*1.6*1.6*2.2*2.715*2.6*1.4*1.4*1.5*1.5,18900000000*(1.65331^(MIN($E134,123)-117)))*1,0))</f>
        <v>386000226581</v>
      </c>
      <c r="AG134" s="4">
        <f t="shared" si="95"/>
        <v>152</v>
      </c>
      <c r="AH134" s="8">
        <f>IF($J134=0,0,ROUND(MAX($J134*1.4*1.5*1.6*1.6*2.2*2.715*2.6*1.4*1.4*1.5*1.5*3.2,60500000000*(1.654288^(MIN($E134,123)-117)))*1,0))</f>
        <v>1240001159555</v>
      </c>
    </row>
    <row r="135" spans="1:34" x14ac:dyDescent="0.25">
      <c r="A135" s="3">
        <v>12</v>
      </c>
      <c r="B135" s="3" t="s">
        <v>234</v>
      </c>
      <c r="C135" s="3" t="s">
        <v>228</v>
      </c>
      <c r="D135" s="3" t="s">
        <v>40</v>
      </c>
      <c r="E135" s="3">
        <v>125</v>
      </c>
      <c r="F135" s="3" t="s">
        <v>223</v>
      </c>
      <c r="G135" s="3" t="s">
        <v>185</v>
      </c>
      <c r="H135" s="3">
        <v>33</v>
      </c>
      <c r="I135" s="4">
        <v>125</v>
      </c>
      <c r="J135" s="5">
        <v>132000000</v>
      </c>
      <c r="K135" s="6">
        <f t="shared" si="84"/>
        <v>126</v>
      </c>
      <c r="L135" s="7">
        <f>IF($J135=0,0,ROUND(MAX($J135*1.4*1,4020000*(1.354082^(MIN($E135,123)-118))),0))</f>
        <v>184800000</v>
      </c>
      <c r="M135" s="4">
        <f t="shared" si="85"/>
        <v>127</v>
      </c>
      <c r="N135" s="8">
        <f>IF($J135=0,0,ROUND(MAX($J135*1.4*1.5*1,6950000*(1.375334^(MIN($E135,123)-118))),0))</f>
        <v>277200000</v>
      </c>
      <c r="O135" s="6">
        <f t="shared" si="86"/>
        <v>129</v>
      </c>
      <c r="P135" s="7">
        <f>IF($J135=0,0,ROUND(MAX($J135*1.4*1.5*1.6*1,23900000*(1.1788^(MIN($E135,123)-118))),0))</f>
        <v>443520000</v>
      </c>
      <c r="Q135" s="4">
        <f t="shared" si="87"/>
        <v>131</v>
      </c>
      <c r="R135" s="8">
        <f>IF($J135=0,0,ROUND(MAX($J135*1.4*1.5*1.6*1.6*1.25,77000000*(1.127009^(MIN($E135,123)-118))),0))</f>
        <v>887040000</v>
      </c>
      <c r="S135" s="6">
        <f t="shared" si="88"/>
        <v>133</v>
      </c>
      <c r="T135" s="7">
        <f>IF($J135=0,0,ROUND(MAX($J135*1.4*1.5*1.6*1.6*2.2*1.25,270000000*(1.248411^(MIN($E135,123)-118))),0))</f>
        <v>1951488000</v>
      </c>
      <c r="U135" s="4">
        <f t="shared" si="89"/>
        <v>136</v>
      </c>
      <c r="V135" s="8">
        <f>IF($J135=0,0,ROUND(MAX($J135*1.4*1.5*1.6*1.6*2.2*2.715*1.25,2400000000*(1.293039^(MIN($E135,123)-118))),0))</f>
        <v>8674997573</v>
      </c>
      <c r="W135" s="6">
        <f t="shared" si="90"/>
        <v>140</v>
      </c>
      <c r="X135" s="7">
        <f>IF($J135=0,0,ROUND(MAX($J135*1.4*1.5*1.6*1.6*2.2*2.715*2.6*1.25,20000000000*(1.280114^(MIN($E135,123)-118))),0))</f>
        <v>68750083829</v>
      </c>
      <c r="Y135" s="4">
        <f t="shared" si="91"/>
        <v>142</v>
      </c>
      <c r="Z135" s="8">
        <f>IF($J135=0,0,ROUND(MAX($J135*1.4*1.5*1.6*1.6*2.2*2.715*2.6*1.4*1.25,39200000000*(1.31219^(MIN($E135,123)-118))),0))</f>
        <v>152499944536</v>
      </c>
      <c r="AA135" s="6">
        <f t="shared" si="92"/>
        <v>144</v>
      </c>
      <c r="AB135" s="7">
        <f>IF($J135=0,0,ROUND(MAX($J135*1.4*1.5*1.6*1.6*2.2*2.715*2.6*1.4*1.4*1.25,54900000000*(1.312402^(MIN($E135,123)-118))),0))</f>
        <v>213750314393</v>
      </c>
      <c r="AC135" s="4">
        <f t="shared" si="93"/>
        <v>146</v>
      </c>
      <c r="AD135" s="8">
        <f>IF($J135=0,0,ROUND(MAX($J135*1.4*1.5*1.6*1.6*2.2*2.715*2.6*1.4*1.4*1.5*1.25,82400000000*(1.312754^(MIN($E135,123)-118))),0))</f>
        <v>321250611518</v>
      </c>
      <c r="AE135" s="6">
        <f t="shared" si="94"/>
        <v>149</v>
      </c>
      <c r="AF135" s="7">
        <f>IF($J135=0,0,ROUND(MAX($J135*1.4*1.5*1.6*1.6*2.2*2.715*2.6*1.4*1.4*1.5*1.5*1.25,124000000000*(1.312246^(MIN($E135,123)-118))),0))</f>
        <v>482500728361</v>
      </c>
      <c r="AG135" s="4">
        <f t="shared" si="95"/>
        <v>152</v>
      </c>
      <c r="AH135" s="8">
        <f>IF($J135=0,0,ROUND(MAX($J135*1.4*1.5*1.6*1.6*2.2*2.715*2.6*1.4*1.4*1.5*1.5*3.2*1.25,397000000000*(1.313132^(MIN($E135,123)-118))),0))</f>
        <v>1550002616035</v>
      </c>
    </row>
    <row r="136" spans="1:34" x14ac:dyDescent="0.25">
      <c r="A136" s="3">
        <v>124</v>
      </c>
      <c r="B136" s="3" t="s">
        <v>235</v>
      </c>
      <c r="C136" s="3" t="s">
        <v>228</v>
      </c>
      <c r="D136" s="3" t="s">
        <v>33</v>
      </c>
      <c r="E136" s="3">
        <v>125</v>
      </c>
      <c r="F136" s="3" t="s">
        <v>30</v>
      </c>
      <c r="G136" s="3" t="s">
        <v>95</v>
      </c>
      <c r="H136" s="3">
        <v>32</v>
      </c>
      <c r="I136" s="4">
        <v>125</v>
      </c>
      <c r="J136" s="5">
        <v>48500000</v>
      </c>
      <c r="K136" s="6">
        <f t="shared" si="84"/>
        <v>126</v>
      </c>
      <c r="L136" s="7">
        <f>IF($J136=0,0,ROUND(MAX($J136*1.4,1620000*(1.497923^(MIN($E136,123)-117)))*1,0))</f>
        <v>67900000</v>
      </c>
      <c r="M136" s="4">
        <f t="shared" si="85"/>
        <v>127</v>
      </c>
      <c r="N136" s="8">
        <f>IF($J136=0,0,ROUND(MAX($J136*1.4*1.5,2190000*(1.580994^(MIN($E136,123)-117)))*1,0))</f>
        <v>101850000</v>
      </c>
      <c r="O136" s="6">
        <f t="shared" si="86"/>
        <v>129</v>
      </c>
      <c r="P136" s="7">
        <f>IF($J136=0,0,ROUND(MAX($J136*1.4*1.5*1.6,3500000*(1.57975^(MIN($E136,123)-117)))*1,0))</f>
        <v>162960000</v>
      </c>
      <c r="Q136" s="4">
        <f t="shared" si="87"/>
        <v>131</v>
      </c>
      <c r="R136" s="8">
        <f>IF($J136=0,0,ROUND(MAX($J136*1.4*1.5*1.6*1.6,13100000*(1.429962^(MIN($E136,123)-117)))*1,0))</f>
        <v>260736000</v>
      </c>
      <c r="S136" s="6">
        <f t="shared" si="88"/>
        <v>133</v>
      </c>
      <c r="T136" s="7">
        <f>IF($J136=0,0,ROUND(MAX($J136*1.4*1.5*1.6*1.6*2.2,42600000*(1.576904^(MIN($E136,123)-117)))*1,0))</f>
        <v>654999741</v>
      </c>
      <c r="U136" s="4">
        <f t="shared" si="89"/>
        <v>136</v>
      </c>
      <c r="V136" s="8">
        <f>IF($J136=0,0,ROUND(MAX($J136*1.4*1.5*1.6*1.6*2.2*2.715,354000000*(1.642074^(MIN($E136,123)-117)))*1,0))</f>
        <v>6940002232</v>
      </c>
      <c r="W136" s="6">
        <f t="shared" si="90"/>
        <v>140</v>
      </c>
      <c r="X136" s="7">
        <f>IF($J136=0,0,ROUND(MAX($J136*1.4*1.5*1.6*1.6*2.2*2.715*2.6,3540000000*(1.579646^(MIN($E136,123)-117)))*1,0))</f>
        <v>54999899335</v>
      </c>
      <c r="Y136" s="4">
        <f t="shared" si="91"/>
        <v>142</v>
      </c>
      <c r="Z136" s="8">
        <f>IF($J136=0,0,ROUND(MAX($J136*1.4*1.5*1.6*1.6*2.2*2.715*2.6*1.4,6020000000*(1.651178^(MIN($E136,123)-117)))*1,0))</f>
        <v>122000006103</v>
      </c>
      <c r="AA136" s="6">
        <f t="shared" si="92"/>
        <v>144</v>
      </c>
      <c r="AB136" s="7">
        <f>IF($J136=0,0,ROUND(MAX($J136*1.4*1.5*1.6*1.6*2.2*2.715*2.6*1.4*1.4,8430000000*(1.651435^(MIN($E136,123)-117)))*1,0))</f>
        <v>171000146547</v>
      </c>
      <c r="AC136" s="4">
        <f t="shared" si="93"/>
        <v>146</v>
      </c>
      <c r="AD136" s="8">
        <f>IF($J136=0,0,ROUND(MAX($J136*1.4*1.5*1.6*1.6*2.2*2.715*2.6*1.4*1.4*1.5,12600000000*(1.652953^(MIN($E136,123)-117)))*1,0))</f>
        <v>257000267475</v>
      </c>
      <c r="AE136" s="6">
        <f t="shared" si="94"/>
        <v>149</v>
      </c>
      <c r="AF136" s="7">
        <f>IF($J136=0,0,ROUND(MAX($J136*1.4*1.5*1.6*1.6*2.2*2.715*2.6*1.4*1.4*1.5*1.5,18900000000*(1.65331^(MIN($E136,123)-117)))*1,0))</f>
        <v>386000226581</v>
      </c>
      <c r="AG136" s="4">
        <f t="shared" si="95"/>
        <v>152</v>
      </c>
      <c r="AH136" s="8">
        <f>IF($J136=0,0,ROUND(MAX($J136*1.4*1.5*1.6*1.6*2.2*2.715*2.6*1.4*1.4*1.5*1.5*3.2,60500000000*(1.654288^(MIN($E136,123)-117)))*1,0))</f>
        <v>1240001159555</v>
      </c>
    </row>
    <row r="137" spans="1:34" x14ac:dyDescent="0.25">
      <c r="A137" s="3">
        <v>123</v>
      </c>
      <c r="B137" s="3" t="s">
        <v>236</v>
      </c>
      <c r="C137" s="3" t="s">
        <v>228</v>
      </c>
      <c r="D137" s="3" t="s">
        <v>79</v>
      </c>
      <c r="E137" s="3">
        <v>125</v>
      </c>
      <c r="F137" s="3" t="s">
        <v>237</v>
      </c>
      <c r="G137" s="3" t="s">
        <v>35</v>
      </c>
      <c r="H137" s="3">
        <v>32</v>
      </c>
      <c r="I137" s="4">
        <v>125</v>
      </c>
      <c r="J137" s="5">
        <v>331000000</v>
      </c>
      <c r="K137" s="6">
        <f t="shared" si="84"/>
        <v>126</v>
      </c>
      <c r="L137" s="7">
        <f>IF($J137=0,0,ROUND(MAX($J137*1.4,1620000*(1.497923^(MIN($E137,123)-117)))*1,0))</f>
        <v>463400000</v>
      </c>
      <c r="M137" s="4">
        <f t="shared" si="85"/>
        <v>127</v>
      </c>
      <c r="N137" s="8">
        <f>IF($J137=0,0,ROUND(MAX($J137*1.4*1.5,2190000*(1.580994^(MIN($E137,123)-117)))*1,0))</f>
        <v>695100000</v>
      </c>
      <c r="O137" s="6">
        <f t="shared" si="86"/>
        <v>129</v>
      </c>
      <c r="P137" s="7">
        <f>IF($J137=0,0,ROUND(MAX($J137*1.4*1.5*1.6,3500000*(1.57975^(MIN($E137,123)-117)))*1,0))</f>
        <v>1112160000</v>
      </c>
      <c r="Q137" s="4">
        <f t="shared" si="87"/>
        <v>131</v>
      </c>
      <c r="R137" s="8">
        <f>IF($J137=0,0,ROUND(MAX($J137*1.4*1.5*1.6*1.6,13100000*(1.429962^(MIN($E137,123)-117)))*1,0))</f>
        <v>1779456000</v>
      </c>
      <c r="S137" s="6">
        <f t="shared" si="88"/>
        <v>133</v>
      </c>
      <c r="T137" s="7">
        <f>IF($J137=0,0,ROUND(MAX($J137*1.4*1.5*1.6*1.6*2.2,42600000*(1.576904^(MIN($E137,123)-117)))*1,0))</f>
        <v>3914803200</v>
      </c>
      <c r="U137" s="4">
        <f t="shared" si="89"/>
        <v>136</v>
      </c>
      <c r="V137" s="8">
        <f>IF($J137=0,0,ROUND(MAX($J137*1.4*1.5*1.6*1.6*2.2*2.715,354000000*(1.642074^(MIN($E137,123)-117)))*1,0))</f>
        <v>10628690688</v>
      </c>
      <c r="W137" s="6">
        <f t="shared" si="90"/>
        <v>140</v>
      </c>
      <c r="X137" s="7">
        <f>IF($J137=0,0,ROUND(MAX($J137*1.4*1.5*1.6*1.6*2.2*2.715*2.6,3540000000*(1.579646^(MIN($E137,123)-117)))*1,0))</f>
        <v>54999899335</v>
      </c>
      <c r="Y137" s="4">
        <f t="shared" si="91"/>
        <v>142</v>
      </c>
      <c r="Z137" s="8">
        <f>IF($J137=0,0,ROUND(MAX($J137*1.4*1.5*1.6*1.6*2.2*2.715*2.6*1.4,6020000000*(1.651178^(MIN($E137,123)-117)))*1,0))</f>
        <v>122000006103</v>
      </c>
      <c r="AA137" s="6">
        <f t="shared" si="92"/>
        <v>144</v>
      </c>
      <c r="AB137" s="7">
        <f>IF($J137=0,0,ROUND(MAX($J137*1.4*1.5*1.6*1.6*2.2*2.715*2.6*1.4*1.4,8430000000*(1.651435^(MIN($E137,123)-117)))*1,0))</f>
        <v>171000146547</v>
      </c>
      <c r="AC137" s="4">
        <f t="shared" si="93"/>
        <v>146</v>
      </c>
      <c r="AD137" s="8">
        <f>IF($J137=0,0,ROUND(MAX($J137*1.4*1.5*1.6*1.6*2.2*2.715*2.6*1.4*1.4*1.5,12600000000*(1.652953^(MIN($E137,123)-117)))*1,0))</f>
        <v>257000267475</v>
      </c>
      <c r="AE137" s="6">
        <f t="shared" si="94"/>
        <v>149</v>
      </c>
      <c r="AF137" s="7">
        <f>IF($J137=0,0,ROUND(MAX($J137*1.4*1.5*1.6*1.6*2.2*2.715*2.6*1.4*1.4*1.5*1.5,18900000000*(1.65331^(MIN($E137,123)-117)))*1,0))</f>
        <v>386000226581</v>
      </c>
      <c r="AG137" s="4">
        <f t="shared" si="95"/>
        <v>152</v>
      </c>
      <c r="AH137" s="8">
        <f>IF($J137=0,0,ROUND(MAX($J137*1.4*1.5*1.6*1.6*2.2*2.715*2.6*1.4*1.4*1.5*1.5*3.2,60500000000*(1.654288^(MIN($E137,123)-117)))*1,0))</f>
        <v>1240001159555</v>
      </c>
    </row>
    <row r="138" spans="1:34" x14ac:dyDescent="0.25">
      <c r="A138" s="3">
        <v>18</v>
      </c>
      <c r="B138" s="3" t="s">
        <v>238</v>
      </c>
      <c r="C138" s="3" t="s">
        <v>228</v>
      </c>
      <c r="D138" s="3" t="s">
        <v>45</v>
      </c>
      <c r="E138" s="3">
        <v>125</v>
      </c>
      <c r="F138" s="3" t="s">
        <v>71</v>
      </c>
      <c r="G138" s="3" t="s">
        <v>72</v>
      </c>
      <c r="H138" s="3">
        <v>32</v>
      </c>
      <c r="I138" s="4">
        <v>125</v>
      </c>
      <c r="J138" s="5">
        <v>197000000</v>
      </c>
      <c r="K138" s="6">
        <f t="shared" si="84"/>
        <v>126</v>
      </c>
      <c r="L138" s="7">
        <f>IF($J138=0,0,ROUND(MAX($J138*1.4,1620000*(1.497923^(MIN($E138,123)-117)))*1,0))</f>
        <v>275800000</v>
      </c>
      <c r="M138" s="4">
        <f t="shared" si="85"/>
        <v>127</v>
      </c>
      <c r="N138" s="8">
        <f>IF($J138=0,0,ROUND(MAX($J138*1.4*1.5,2190000*(1.580994^(MIN($E138,123)-117)))*1,0))</f>
        <v>413700000</v>
      </c>
      <c r="O138" s="6">
        <f t="shared" si="86"/>
        <v>129</v>
      </c>
      <c r="P138" s="7">
        <f>IF($J138=0,0,ROUND(MAX($J138*1.4*1.5*1.6,3500000*(1.57975^(MIN($E138,123)-117)))*1,0))</f>
        <v>661920000</v>
      </c>
      <c r="Q138" s="4">
        <f t="shared" si="87"/>
        <v>131</v>
      </c>
      <c r="R138" s="8">
        <f>IF($J138=0,0,ROUND(MAX($J138*1.4*1.5*1.6*1.6,13100000*(1.429962^(MIN($E138,123)-117)))*1,0))</f>
        <v>1059072000</v>
      </c>
      <c r="S138" s="6">
        <f t="shared" si="88"/>
        <v>133</v>
      </c>
      <c r="T138" s="7">
        <f>IF($J138=0,0,ROUND(MAX($J138*1.4*1.5*1.6*1.6*2.2,42600000*(1.576904^(MIN($E138,123)-117)))*1,0))</f>
        <v>2329958400</v>
      </c>
      <c r="U138" s="4">
        <f t="shared" si="89"/>
        <v>136</v>
      </c>
      <c r="V138" s="8">
        <f>IF($J138=0,0,ROUND(MAX($J138*1.4*1.5*1.6*1.6*2.2*2.715,354000000*(1.642074^(MIN($E138,123)-117)))*1,0))</f>
        <v>6940002232</v>
      </c>
      <c r="W138" s="6">
        <f t="shared" si="90"/>
        <v>140</v>
      </c>
      <c r="X138" s="7">
        <f>IF($J138=0,0,ROUND(MAX($J138*1.4*1.5*1.6*1.6*2.2*2.715*2.6,3540000000*(1.579646^(MIN($E138,123)-117)))*1,0))</f>
        <v>54999899335</v>
      </c>
      <c r="Y138" s="4">
        <f t="shared" si="91"/>
        <v>142</v>
      </c>
      <c r="Z138" s="8">
        <f>IF($J138=0,0,ROUND(MAX($J138*1.4*1.5*1.6*1.6*2.2*2.715*2.6*1.4,6020000000*(1.651178^(MIN($E138,123)-117)))*1,0))</f>
        <v>122000006103</v>
      </c>
      <c r="AA138" s="6">
        <f t="shared" si="92"/>
        <v>144</v>
      </c>
      <c r="AB138" s="7">
        <f>IF($J138=0,0,ROUND(MAX($J138*1.4*1.5*1.6*1.6*2.2*2.715*2.6*1.4*1.4,8430000000*(1.651435^(MIN($E138,123)-117)))*1,0))</f>
        <v>171000146547</v>
      </c>
      <c r="AC138" s="4">
        <f t="shared" si="93"/>
        <v>146</v>
      </c>
      <c r="AD138" s="8">
        <f>IF($J138=0,0,ROUND(MAX($J138*1.4*1.5*1.6*1.6*2.2*2.715*2.6*1.4*1.4*1.5,12600000000*(1.652953^(MIN($E138,123)-117)))*1,0))</f>
        <v>257000267475</v>
      </c>
      <c r="AE138" s="6">
        <f t="shared" si="94"/>
        <v>149</v>
      </c>
      <c r="AF138" s="7">
        <f>IF($J138=0,0,ROUND(MAX($J138*1.4*1.5*1.6*1.6*2.2*2.715*2.6*1.4*1.4*1.5*1.5,18900000000*(1.65331^(MIN($E138,123)-117)))*1,0))</f>
        <v>386000226581</v>
      </c>
      <c r="AG138" s="4">
        <f t="shared" si="95"/>
        <v>152</v>
      </c>
      <c r="AH138" s="8">
        <f>IF($J138=0,0,ROUND(MAX($J138*1.4*1.5*1.6*1.6*2.2*2.715*2.6*1.4*1.4*1.5*1.5*3.2,60500000000*(1.654288^(MIN($E138,123)-117)))*1,0))</f>
        <v>1240001159555</v>
      </c>
    </row>
    <row r="139" spans="1:34" x14ac:dyDescent="0.25">
      <c r="A139" s="3">
        <v>17</v>
      </c>
      <c r="B139" s="3" t="s">
        <v>239</v>
      </c>
      <c r="C139" s="3" t="s">
        <v>228</v>
      </c>
      <c r="D139" s="3" t="s">
        <v>45</v>
      </c>
      <c r="E139" s="3">
        <v>125</v>
      </c>
      <c r="F139" s="3" t="s">
        <v>59</v>
      </c>
      <c r="G139" s="3" t="s">
        <v>218</v>
      </c>
      <c r="H139" s="3">
        <v>32</v>
      </c>
      <c r="I139" s="4">
        <v>125</v>
      </c>
      <c r="J139" s="5">
        <v>57500000</v>
      </c>
      <c r="K139" s="6">
        <f t="shared" si="84"/>
        <v>126</v>
      </c>
      <c r="L139" s="7">
        <f>IF($J139=0,0,ROUND(MAX($J139*1.4,1620000*(1.497923^(MIN($E139,123)-117)))*1,0))</f>
        <v>80500000</v>
      </c>
      <c r="M139" s="4">
        <f t="shared" si="85"/>
        <v>127</v>
      </c>
      <c r="N139" s="8">
        <f>IF($J139=0,0,ROUND(MAX($J139*1.4*1.5,2190000*(1.580994^(MIN($E139,123)-117)))*1,0))</f>
        <v>120750000</v>
      </c>
      <c r="O139" s="6">
        <f t="shared" si="86"/>
        <v>129</v>
      </c>
      <c r="P139" s="7">
        <f>IF($J139=0,0,ROUND(MAX($J139*1.4*1.5*1.6,3500000*(1.57975^(MIN($E139,123)-117)))*1,0))</f>
        <v>193200000</v>
      </c>
      <c r="Q139" s="4">
        <f t="shared" si="87"/>
        <v>131</v>
      </c>
      <c r="R139" s="8">
        <f>IF($J139=0,0,ROUND(MAX($J139*1.4*1.5*1.6*1.6,13100000*(1.429962^(MIN($E139,123)-117)))*1,0))</f>
        <v>309120000</v>
      </c>
      <c r="S139" s="6">
        <f t="shared" si="88"/>
        <v>133</v>
      </c>
      <c r="T139" s="7">
        <f>IF($J139=0,0,ROUND(MAX($J139*1.4*1.5*1.6*1.6*2.2,42600000*(1.576904^(MIN($E139,123)-117)))*1,0))</f>
        <v>680064000</v>
      </c>
      <c r="U139" s="4">
        <f t="shared" si="89"/>
        <v>136</v>
      </c>
      <c r="V139" s="8">
        <f>IF($J139=0,0,ROUND(MAX($J139*1.4*1.5*1.6*1.6*2.2*2.715,354000000*(1.642074^(MIN($E139,123)-117)))*1,0))</f>
        <v>6940002232</v>
      </c>
      <c r="W139" s="6">
        <f t="shared" si="90"/>
        <v>140</v>
      </c>
      <c r="X139" s="7">
        <f>IF($J139=0,0,ROUND(MAX($J139*1.4*1.5*1.6*1.6*2.2*2.715*2.6,3540000000*(1.579646^(MIN($E139,123)-117)))*1,0))</f>
        <v>54999899335</v>
      </c>
      <c r="Y139" s="4">
        <f t="shared" si="91"/>
        <v>142</v>
      </c>
      <c r="Z139" s="8">
        <f>IF($J139=0,0,ROUND(MAX($J139*1.4*1.5*1.6*1.6*2.2*2.715*2.6*1.4,6020000000*(1.651178^(MIN($E139,123)-117)))*1,0))</f>
        <v>122000006103</v>
      </c>
      <c r="AA139" s="6">
        <f t="shared" si="92"/>
        <v>144</v>
      </c>
      <c r="AB139" s="7">
        <f>IF($J139=0,0,ROUND(MAX($J139*1.4*1.5*1.6*1.6*2.2*2.715*2.6*1.4*1.4,8430000000*(1.651435^(MIN($E139,123)-117)))*1,0))</f>
        <v>171000146547</v>
      </c>
      <c r="AC139" s="4">
        <f t="shared" si="93"/>
        <v>146</v>
      </c>
      <c r="AD139" s="8">
        <f>IF($J139=0,0,ROUND(MAX($J139*1.4*1.5*1.6*1.6*2.2*2.715*2.6*1.4*1.4*1.5,12600000000*(1.652953^(MIN($E139,123)-117)))*1,0))</f>
        <v>257000267475</v>
      </c>
      <c r="AE139" s="6">
        <f t="shared" si="94"/>
        <v>149</v>
      </c>
      <c r="AF139" s="7">
        <f>IF($J139=0,0,ROUND(MAX($J139*1.4*1.5*1.6*1.6*2.2*2.715*2.6*1.4*1.4*1.5*1.5,18900000000*(1.65331^(MIN($E139,123)-117)))*1,0))</f>
        <v>386000226581</v>
      </c>
      <c r="AG139" s="4">
        <f t="shared" si="95"/>
        <v>152</v>
      </c>
      <c r="AH139" s="8">
        <f>IF($J139=0,0,ROUND(MAX($J139*1.4*1.5*1.6*1.6*2.2*2.715*2.6*1.4*1.4*1.5*1.5*3.2,60500000000*(1.654288^(MIN($E139,123)-117)))*1,0))</f>
        <v>1240001159555</v>
      </c>
    </row>
    <row r="140" spans="1:34" x14ac:dyDescent="0.25">
      <c r="A140" s="3">
        <v>128</v>
      </c>
      <c r="B140" s="3" t="s">
        <v>240</v>
      </c>
      <c r="C140" s="3" t="s">
        <v>228</v>
      </c>
      <c r="D140" s="3" t="s">
        <v>241</v>
      </c>
      <c r="E140" s="3">
        <v>124</v>
      </c>
      <c r="F140" s="3" t="s">
        <v>62</v>
      </c>
      <c r="G140" s="3" t="s">
        <v>242</v>
      </c>
      <c r="H140" s="3">
        <v>31</v>
      </c>
      <c r="I140" s="4">
        <v>124</v>
      </c>
      <c r="J140" s="5">
        <v>21700000</v>
      </c>
      <c r="K140" s="6">
        <f t="shared" si="84"/>
        <v>125</v>
      </c>
      <c r="L140" s="7">
        <f>IF($J140=0,0,ROUND(MAX($J140*1.4,1620000*(1.497923^(MIN($E140,123)-117)))*1,0))</f>
        <v>30380000</v>
      </c>
      <c r="M140" s="4">
        <f t="shared" si="85"/>
        <v>126</v>
      </c>
      <c r="N140" s="8">
        <f>IF($J140=0,0,ROUND(MAX($J140*1.4*1.5,2190000*(1.580994^(MIN($E140,123)-117)))*1,0))</f>
        <v>45570000</v>
      </c>
      <c r="O140" s="6">
        <f t="shared" si="86"/>
        <v>128</v>
      </c>
      <c r="P140" s="7">
        <f>IF($J140=0,0,ROUND(MAX($J140*1.4*1.5*1.6,3500000*(1.57975^(MIN($E140,123)-117)))*1,0))</f>
        <v>72912000</v>
      </c>
      <c r="Q140" s="4">
        <f t="shared" si="87"/>
        <v>130</v>
      </c>
      <c r="R140" s="8">
        <f>IF($J140=0,0,ROUND(MAX($J140*1.4*1.5*1.6*1.6,13100000*(1.429962^(MIN($E140,123)-117)))*1,0))</f>
        <v>116659200</v>
      </c>
      <c r="S140" s="6">
        <f t="shared" si="88"/>
        <v>132</v>
      </c>
      <c r="T140" s="7">
        <f>IF($J140=0,0,ROUND(MAX($J140*1.4*1.5*1.6*1.6*2.2,42600000*(1.576904^(MIN($E140,123)-117)))*1,0))</f>
        <v>654999741</v>
      </c>
      <c r="U140" s="4">
        <f t="shared" si="89"/>
        <v>135</v>
      </c>
      <c r="V140" s="8">
        <f>IF($J140=0,0,ROUND(MAX($J140*1.4*1.5*1.6*1.6*2.2*2.715,354000000*(1.642074^(MIN($E140,123)-117)))*1,0))</f>
        <v>6940002232</v>
      </c>
      <c r="W140" s="6">
        <f t="shared" si="90"/>
        <v>139</v>
      </c>
      <c r="X140" s="7">
        <f>IF($J140=0,0,ROUND(MAX($J140*1.4*1.5*1.6*1.6*2.2*2.715*2.6,3540000000*(1.579646^(MIN($E140,123)-117)))*1,0))</f>
        <v>54999899335</v>
      </c>
      <c r="Y140" s="4">
        <f t="shared" si="91"/>
        <v>141</v>
      </c>
      <c r="Z140" s="8">
        <f>IF($J140=0,0,ROUND(MAX($J140*1.4*1.5*1.6*1.6*2.2*2.715*2.6*1.4,6020000000*(1.651178^(MIN($E140,123)-117)))*1,0))</f>
        <v>122000006103</v>
      </c>
      <c r="AA140" s="6">
        <f t="shared" si="92"/>
        <v>143</v>
      </c>
      <c r="AB140" s="7">
        <f>IF($J140=0,0,ROUND(MAX($J140*1.4*1.5*1.6*1.6*2.2*2.715*2.6*1.4*1.4,8430000000*(1.651435^(MIN($E140,123)-117)))*1,0))</f>
        <v>171000146547</v>
      </c>
      <c r="AC140" s="4">
        <f t="shared" si="93"/>
        <v>145</v>
      </c>
      <c r="AD140" s="8">
        <f>IF($J140=0,0,ROUND(MAX($J140*1.4*1.5*1.6*1.6*2.2*2.715*2.6*1.4*1.4*1.5,12600000000*(1.652953^(MIN($E140,123)-117)))*1,0))</f>
        <v>257000267475</v>
      </c>
      <c r="AE140" s="6">
        <f t="shared" si="94"/>
        <v>148</v>
      </c>
      <c r="AF140" s="7">
        <f>IF($J140=0,0,ROUND(MAX($J140*1.4*1.5*1.6*1.6*2.2*2.715*2.6*1.4*1.4*1.5*1.5,18900000000*(1.65331^(MIN($E140,123)-117)))*1,0))</f>
        <v>386000226581</v>
      </c>
      <c r="AG140" s="4">
        <f t="shared" si="95"/>
        <v>151</v>
      </c>
      <c r="AH140" s="8">
        <f>IF($J140=0,0,ROUND(MAX($J140*1.4*1.5*1.6*1.6*2.2*2.715*2.6*1.4*1.4*1.5*1.5*3.2,60500000000*(1.654288^(MIN($E140,123)-117)))*1,0))</f>
        <v>1240001159555</v>
      </c>
    </row>
    <row r="141" spans="1:34" x14ac:dyDescent="0.25">
      <c r="A141" s="3">
        <v>126</v>
      </c>
      <c r="B141" s="3" t="s">
        <v>243</v>
      </c>
      <c r="C141" s="3" t="s">
        <v>228</v>
      </c>
      <c r="D141" s="3" t="s">
        <v>40</v>
      </c>
      <c r="E141" s="3">
        <v>124</v>
      </c>
      <c r="F141" s="3" t="s">
        <v>30</v>
      </c>
      <c r="G141" s="3" t="s">
        <v>244</v>
      </c>
      <c r="H141" s="3">
        <v>31</v>
      </c>
      <c r="I141" s="4">
        <v>124</v>
      </c>
      <c r="J141" s="5">
        <v>19400000</v>
      </c>
      <c r="K141" s="6">
        <f t="shared" si="84"/>
        <v>125</v>
      </c>
      <c r="L141" s="7">
        <f>IF($J141=0,0,ROUND(MAX($J141*1.4,1620000*(1.497923^(MIN($E141,123)-117)))*0.8,0))</f>
        <v>21728000</v>
      </c>
      <c r="M141" s="4">
        <f t="shared" si="85"/>
        <v>126</v>
      </c>
      <c r="N141" s="8">
        <f>IF($J141=0,0,ROUND(MAX($J141*1.4*1.5,2190000*(1.580994^(MIN($E141,123)-117)))*0.8,0))</f>
        <v>32592000</v>
      </c>
      <c r="O141" s="6">
        <f t="shared" si="86"/>
        <v>128</v>
      </c>
      <c r="P141" s="7">
        <f>IF($J141=0,0,ROUND(MAX($J141*1.4*1.5*1.6,3500000*(1.57975^(MIN($E141,123)-117)))*0.8,0))</f>
        <v>52147200</v>
      </c>
      <c r="Q141" s="4">
        <f t="shared" si="87"/>
        <v>130</v>
      </c>
      <c r="R141" s="8">
        <f>IF($J141=0,0,ROUND(MAX($J141*1.4*1.5*1.6*1.6,13100000*(1.429962^(MIN($E141,123)-117)))*0.651041666666667,0))</f>
        <v>72916709</v>
      </c>
      <c r="S141" s="6">
        <f t="shared" si="88"/>
        <v>132</v>
      </c>
      <c r="T141" s="7">
        <f>IF($J141=0,0,ROUND(MAX($J141*1.4*1.5*1.6*1.6*2.2,42600000*(1.576904^(MIN($E141,123)-117)))*0.617361111111111,0))</f>
        <v>404371368</v>
      </c>
      <c r="U141" s="4">
        <f t="shared" si="89"/>
        <v>135</v>
      </c>
      <c r="V141" s="8">
        <f>IF($J141=0,0,ROUND(MAX($J141*1.4*1.5*1.6*1.6*2.2*2.715,354000000*(1.642074^(MIN($E141,123)-117)))*0.583680555555556,0))</f>
        <v>4050744359</v>
      </c>
      <c r="W141" s="6">
        <f t="shared" si="90"/>
        <v>139</v>
      </c>
      <c r="X141" s="7">
        <f>IF($J141=0,0,ROUND(MAX($J141*1.4*1.5*1.6*1.6*2.2*2.715*2.6,3540000000*(1.579646^(MIN($E141,123)-117)))*0.55,0))</f>
        <v>30249944634</v>
      </c>
      <c r="Y141" s="4">
        <f t="shared" si="91"/>
        <v>141</v>
      </c>
      <c r="Z141" s="8">
        <f>IF($J141=0,0,ROUND(MAX($J141*1.4*1.5*1.6*1.6*2.2*2.715*2.6*1.4,6020000000*(1.651178^(MIN($E141,123)-117)))*0.55,0))</f>
        <v>67100003357</v>
      </c>
      <c r="AA141" s="6">
        <f t="shared" si="92"/>
        <v>143</v>
      </c>
      <c r="AB141" s="7">
        <f>IF($J141=0,0,ROUND(MAX($J141*1.4*1.5*1.6*1.6*2.2*2.715*2.6*1.4*1.4,8430000000*(1.651435^(MIN($E141,123)-117)))*0.55,0))</f>
        <v>94050080601</v>
      </c>
      <c r="AC141" s="4">
        <f t="shared" si="93"/>
        <v>145</v>
      </c>
      <c r="AD141" s="8">
        <f>IF($J141=0,0,ROUND(MAX($J141*1.4*1.5*1.6*1.6*2.2*2.715*2.6*1.4*1.4*1.5,12600000000*(1.652953^(MIN($E141,123)-117)))*0.55,0))</f>
        <v>141350147111</v>
      </c>
      <c r="AE141" s="6">
        <f t="shared" si="94"/>
        <v>148</v>
      </c>
      <c r="AF141" s="7">
        <f>IF($J141=0,0,ROUND(MAX($J141*1.4*1.5*1.6*1.6*2.2*2.715*2.6*1.4*1.4*1.5*1.5,18900000000*(1.65331^(MIN($E141,123)-117)))*0.55,0))</f>
        <v>212300124619</v>
      </c>
      <c r="AG141" s="4">
        <f t="shared" si="95"/>
        <v>151</v>
      </c>
      <c r="AH141" s="8">
        <f>IF($J141=0,0,ROUND(MAX($J141*1.4*1.5*1.6*1.6*2.2*2.715*2.6*1.4*1.4*1.5*1.5*3.2,60500000000*(1.654288^(MIN($E141,123)-117)))*0.55,0))</f>
        <v>682000637755</v>
      </c>
    </row>
    <row r="142" spans="1:34" x14ac:dyDescent="0.25">
      <c r="A142" s="3">
        <v>19</v>
      </c>
      <c r="B142" s="3" t="s">
        <v>245</v>
      </c>
      <c r="C142" s="3" t="s">
        <v>228</v>
      </c>
      <c r="D142" s="3" t="s">
        <v>45</v>
      </c>
      <c r="E142" s="3">
        <v>124</v>
      </c>
      <c r="F142" s="3" t="s">
        <v>212</v>
      </c>
      <c r="G142" s="3" t="s">
        <v>51</v>
      </c>
      <c r="H142" s="3">
        <v>32</v>
      </c>
      <c r="I142" s="4">
        <v>124</v>
      </c>
      <c r="J142" s="5">
        <v>18700000</v>
      </c>
      <c r="K142" s="6">
        <f t="shared" si="84"/>
        <v>125</v>
      </c>
      <c r="L142" s="7">
        <f>IF($J142=0,0,ROUND(MAX($J142*1.4*1,4020000*(1.354082^(MIN($E142,123)-118))),0))</f>
        <v>26180000</v>
      </c>
      <c r="M142" s="4">
        <f t="shared" si="85"/>
        <v>126</v>
      </c>
      <c r="N142" s="8">
        <f>IF($J142=0,0,ROUND(MAX($J142*1.4*1.5*1,6950000*(1.375334^(MIN($E142,123)-118))),0))</f>
        <v>39270000</v>
      </c>
      <c r="O142" s="6">
        <f t="shared" si="86"/>
        <v>128</v>
      </c>
      <c r="P142" s="7">
        <f>IF($J142=0,0,ROUND(MAX($J142*1.4*1.5*1.6*1,23900000*(1.1788^(MIN($E142,123)-118))),0))</f>
        <v>62832000</v>
      </c>
      <c r="Q142" s="4">
        <f t="shared" si="87"/>
        <v>130</v>
      </c>
      <c r="R142" s="8">
        <f>IF($J142=0,0,ROUND(MAX($J142*1.4*1.5*1.6*1.6*1.25,77000000*(1.127009^(MIN($E142,123)-118))),0))</f>
        <v>139999874</v>
      </c>
      <c r="S142" s="6">
        <f t="shared" si="88"/>
        <v>132</v>
      </c>
      <c r="T142" s="7">
        <f>IF($J142=0,0,ROUND(MAX($J142*1.4*1.5*1.6*1.6*2.2*1.25,270000000*(1.248411^(MIN($E142,123)-118))),0))</f>
        <v>818750725</v>
      </c>
      <c r="U142" s="4">
        <f t="shared" si="89"/>
        <v>135</v>
      </c>
      <c r="V142" s="8">
        <f>IF($J142=0,0,ROUND(MAX($J142*1.4*1.5*1.6*1.6*2.2*2.715*1.25,2400000000*(1.293039^(MIN($E142,123)-118))),0))</f>
        <v>8674997573</v>
      </c>
      <c r="W142" s="6">
        <f t="shared" si="90"/>
        <v>139</v>
      </c>
      <c r="X142" s="7">
        <f>IF($J142=0,0,ROUND(MAX($J142*1.4*1.5*1.6*1.6*2.2*2.715*2.6*1.25,20000000000*(1.280114^(MIN($E142,123)-118))),0))</f>
        <v>68750083829</v>
      </c>
      <c r="Y142" s="4">
        <f t="shared" si="91"/>
        <v>141</v>
      </c>
      <c r="Z142" s="8">
        <f>IF($J142=0,0,ROUND(MAX($J142*1.4*1.5*1.6*1.6*2.2*2.715*2.6*1.4*1.25,39200000000*(1.31219^(MIN($E142,123)-118))),0))</f>
        <v>152499944536</v>
      </c>
      <c r="AA142" s="6">
        <f t="shared" si="92"/>
        <v>143</v>
      </c>
      <c r="AB142" s="7">
        <f>IF($J142=0,0,ROUND(MAX($J142*1.4*1.5*1.6*1.6*2.2*2.715*2.6*1.4*1.4*1.25,54900000000*(1.312402^(MIN($E142,123)-118))),0))</f>
        <v>213750314393</v>
      </c>
      <c r="AC142" s="4">
        <f t="shared" si="93"/>
        <v>145</v>
      </c>
      <c r="AD142" s="8">
        <f>IF($J142=0,0,ROUND(MAX($J142*1.4*1.5*1.6*1.6*2.2*2.715*2.6*1.4*1.4*1.5*1.25,82400000000*(1.312754^(MIN($E142,123)-118))),0))</f>
        <v>321250611518</v>
      </c>
      <c r="AE142" s="6">
        <f t="shared" si="94"/>
        <v>148</v>
      </c>
      <c r="AF142" s="7">
        <f>IF($J142=0,0,ROUND(MAX($J142*1.4*1.5*1.6*1.6*2.2*2.715*2.6*1.4*1.4*1.5*1.5*1.25,124000000000*(1.312246^(MIN($E142,123)-118))),0))</f>
        <v>482500728361</v>
      </c>
      <c r="AG142" s="4">
        <f t="shared" si="95"/>
        <v>151</v>
      </c>
      <c r="AH142" s="8">
        <f>IF($J142=0,0,ROUND(MAX($J142*1.4*1.5*1.6*1.6*2.2*2.715*2.6*1.4*1.4*1.5*1.5*3.2*1.25,397000000000*(1.313132^(MIN($E142,123)-118))),0))</f>
        <v>1550002616035</v>
      </c>
    </row>
    <row r="143" spans="1:34" x14ac:dyDescent="0.25">
      <c r="A143" s="3">
        <v>125</v>
      </c>
      <c r="B143" s="3" t="s">
        <v>246</v>
      </c>
      <c r="C143" s="3" t="s">
        <v>228</v>
      </c>
      <c r="D143" s="3" t="s">
        <v>25</v>
      </c>
      <c r="E143" s="3">
        <v>124</v>
      </c>
      <c r="F143" s="3" t="s">
        <v>26</v>
      </c>
      <c r="G143" s="3" t="s">
        <v>247</v>
      </c>
      <c r="H143" s="3">
        <v>31</v>
      </c>
      <c r="I143" s="4">
        <v>124</v>
      </c>
      <c r="J143" s="5">
        <v>19700000</v>
      </c>
      <c r="K143" s="6">
        <f t="shared" si="84"/>
        <v>125</v>
      </c>
      <c r="L143" s="7">
        <f>IF($J143=0,0,ROUND(MAX($J143*1.4,1620000*(1.497923^(MIN($E143,123)-117)))*0.8,0))</f>
        <v>22064000</v>
      </c>
      <c r="M143" s="4">
        <f t="shared" si="85"/>
        <v>126</v>
      </c>
      <c r="N143" s="8">
        <f>IF($J143=0,0,ROUND(MAX($J143*1.4*1.5,2190000*(1.580994^(MIN($E143,123)-117)))*0.8,0))</f>
        <v>33096000</v>
      </c>
      <c r="O143" s="6">
        <f t="shared" si="86"/>
        <v>128</v>
      </c>
      <c r="P143" s="7">
        <f>IF($J143=0,0,ROUND(MAX($J143*1.4*1.5*1.6,3500000*(1.57975^(MIN($E143,123)-117)))*0.8,0))</f>
        <v>52953600</v>
      </c>
      <c r="Q143" s="4">
        <f t="shared" si="87"/>
        <v>130</v>
      </c>
      <c r="R143" s="8">
        <f>IF($J143=0,0,ROUND(MAX($J143*1.4*1.5*1.6*1.6,13100000*(1.429962^(MIN($E143,123)-117)))*0.651041666666667,0))</f>
        <v>72916709</v>
      </c>
      <c r="S143" s="6">
        <f t="shared" si="88"/>
        <v>132</v>
      </c>
      <c r="T143" s="7">
        <f>IF($J143=0,0,ROUND(MAX($J143*1.4*1.5*1.6*1.6*2.2,42600000*(1.576904^(MIN($E143,123)-117)))*0.617361111111111,0))</f>
        <v>404371368</v>
      </c>
      <c r="U143" s="4">
        <f t="shared" si="89"/>
        <v>135</v>
      </c>
      <c r="V143" s="8">
        <f>IF($J143=0,0,ROUND(MAX($J143*1.4*1.5*1.6*1.6*2.2*2.715,354000000*(1.642074^(MIN($E143,123)-117)))*0.583680555555556,0))</f>
        <v>4050744359</v>
      </c>
      <c r="W143" s="6">
        <f t="shared" si="90"/>
        <v>139</v>
      </c>
      <c r="X143" s="7">
        <f>IF($J143=0,0,ROUND(MAX($J143*1.4*1.5*1.6*1.6*2.2*2.715*2.6,3540000000*(1.579646^(MIN($E143,123)-117)))*0.55,0))</f>
        <v>30249944634</v>
      </c>
      <c r="Y143" s="4">
        <f t="shared" si="91"/>
        <v>141</v>
      </c>
      <c r="Z143" s="8">
        <f>IF($J143=0,0,ROUND(MAX($J143*1.4*1.5*1.6*1.6*2.2*2.715*2.6*1.4,6020000000*(1.651178^(MIN($E143,123)-117)))*0.55,0))</f>
        <v>67100003357</v>
      </c>
      <c r="AA143" s="6">
        <f t="shared" si="92"/>
        <v>143</v>
      </c>
      <c r="AB143" s="7">
        <f>IF($J143=0,0,ROUND(MAX($J143*1.4*1.5*1.6*1.6*2.2*2.715*2.6*1.4*1.4,8430000000*(1.651435^(MIN($E143,123)-117)))*0.55,0))</f>
        <v>94050080601</v>
      </c>
      <c r="AC143" s="4">
        <f t="shared" si="93"/>
        <v>145</v>
      </c>
      <c r="AD143" s="8">
        <f>IF($J143=0,0,ROUND(MAX($J143*1.4*1.5*1.6*1.6*2.2*2.715*2.6*1.4*1.4*1.5,12600000000*(1.652953^(MIN($E143,123)-117)))*0.55,0))</f>
        <v>141350147111</v>
      </c>
      <c r="AE143" s="6">
        <f t="shared" si="94"/>
        <v>148</v>
      </c>
      <c r="AF143" s="7">
        <f>IF($J143=0,0,ROUND(MAX($J143*1.4*1.5*1.6*1.6*2.2*2.715*2.6*1.4*1.4*1.5*1.5,18900000000*(1.65331^(MIN($E143,123)-117)))*0.55,0))</f>
        <v>212300124619</v>
      </c>
      <c r="AG143" s="4">
        <f t="shared" si="95"/>
        <v>151</v>
      </c>
      <c r="AH143" s="8">
        <f>IF($J143=0,0,ROUND(MAX($J143*1.4*1.5*1.6*1.6*2.2*2.715*2.6*1.4*1.4*1.5*1.5*3.2,60500000000*(1.654288^(MIN($E143,123)-117)))*0.55,0))</f>
        <v>682000637755</v>
      </c>
    </row>
    <row r="144" spans="1:34" x14ac:dyDescent="0.25">
      <c r="A144" s="3">
        <v>127</v>
      </c>
      <c r="B144" s="3" t="s">
        <v>248</v>
      </c>
      <c r="C144" s="3" t="s">
        <v>228</v>
      </c>
      <c r="D144" s="3" t="s">
        <v>33</v>
      </c>
      <c r="E144" s="3">
        <v>124</v>
      </c>
      <c r="F144" s="3" t="s">
        <v>54</v>
      </c>
      <c r="G144" s="3" t="s">
        <v>95</v>
      </c>
      <c r="H144" s="3">
        <v>31</v>
      </c>
      <c r="I144" s="4">
        <v>124</v>
      </c>
      <c r="J144" s="5">
        <v>22300000</v>
      </c>
      <c r="K144" s="6">
        <f t="shared" si="84"/>
        <v>125</v>
      </c>
      <c r="L144" s="7">
        <f>IF($J144=0,0,ROUND(MAX($J144*1.4,1620000*(1.497923^(MIN($E144,123)-117)))*1,0))</f>
        <v>31220000</v>
      </c>
      <c r="M144" s="4">
        <f t="shared" si="85"/>
        <v>126</v>
      </c>
      <c r="N144" s="8">
        <f>IF($J144=0,0,ROUND(MAX($J144*1.4*1.5,2190000*(1.580994^(MIN($E144,123)-117)))*1,0))</f>
        <v>46830000</v>
      </c>
      <c r="O144" s="6">
        <f t="shared" si="86"/>
        <v>128</v>
      </c>
      <c r="P144" s="7">
        <f>IF($J144=0,0,ROUND(MAX($J144*1.4*1.5*1.6,3500000*(1.57975^(MIN($E144,123)-117)))*1,0))</f>
        <v>74928000</v>
      </c>
      <c r="Q144" s="4">
        <f t="shared" si="87"/>
        <v>130</v>
      </c>
      <c r="R144" s="8">
        <f>IF($J144=0,0,ROUND(MAX($J144*1.4*1.5*1.6*1.6,13100000*(1.429962^(MIN($E144,123)-117)))*1,0))</f>
        <v>119884800</v>
      </c>
      <c r="S144" s="6">
        <f t="shared" si="88"/>
        <v>132</v>
      </c>
      <c r="T144" s="7">
        <f>IF($J144=0,0,ROUND(MAX($J144*1.4*1.5*1.6*1.6*2.2,42600000*(1.576904^(MIN($E144,123)-117)))*1,0))</f>
        <v>654999741</v>
      </c>
      <c r="U144" s="4">
        <f t="shared" si="89"/>
        <v>135</v>
      </c>
      <c r="V144" s="8">
        <f>IF($J144=0,0,ROUND(MAX($J144*1.4*1.5*1.6*1.6*2.2*2.715,354000000*(1.642074^(MIN($E144,123)-117)))*1,0))</f>
        <v>6940002232</v>
      </c>
      <c r="W144" s="6">
        <f t="shared" si="90"/>
        <v>139</v>
      </c>
      <c r="X144" s="7">
        <f>IF($J144=0,0,ROUND(MAX($J144*1.4*1.5*1.6*1.6*2.2*2.715*2.6,3540000000*(1.579646^(MIN($E144,123)-117)))*1,0))</f>
        <v>54999899335</v>
      </c>
      <c r="Y144" s="4">
        <f t="shared" si="91"/>
        <v>141</v>
      </c>
      <c r="Z144" s="8">
        <f>IF($J144=0,0,ROUND(MAX($J144*1.4*1.5*1.6*1.6*2.2*2.715*2.6*1.4,6020000000*(1.651178^(MIN($E144,123)-117)))*1,0))</f>
        <v>122000006103</v>
      </c>
      <c r="AA144" s="6">
        <f t="shared" si="92"/>
        <v>143</v>
      </c>
      <c r="AB144" s="7">
        <f>IF($J144=0,0,ROUND(MAX($J144*1.4*1.5*1.6*1.6*2.2*2.715*2.6*1.4*1.4,8430000000*(1.651435^(MIN($E144,123)-117)))*1,0))</f>
        <v>171000146547</v>
      </c>
      <c r="AC144" s="4">
        <f t="shared" si="93"/>
        <v>145</v>
      </c>
      <c r="AD144" s="8">
        <f>IF($J144=0,0,ROUND(MAX($J144*1.4*1.5*1.6*1.6*2.2*2.715*2.6*1.4*1.4*1.5,12600000000*(1.652953^(MIN($E144,123)-117)))*1,0))</f>
        <v>257000267475</v>
      </c>
      <c r="AE144" s="6">
        <f t="shared" si="94"/>
        <v>148</v>
      </c>
      <c r="AF144" s="7">
        <f>IF($J144=0,0,ROUND(MAX($J144*1.4*1.5*1.6*1.6*2.2*2.715*2.6*1.4*1.4*1.5*1.5,18900000000*(1.65331^(MIN($E144,123)-117)))*1,0))</f>
        <v>386000226581</v>
      </c>
      <c r="AG144" s="4">
        <f t="shared" si="95"/>
        <v>151</v>
      </c>
      <c r="AH144" s="8">
        <f>IF($J144=0,0,ROUND(MAX($J144*1.4*1.5*1.6*1.6*2.2*2.715*2.6*1.4*1.4*1.5*1.5*3.2,60500000000*(1.654288^(MIN($E144,123)-117)))*1,0))</f>
        <v>1240001159555</v>
      </c>
    </row>
    <row r="145" spans="1:34" x14ac:dyDescent="0.25">
      <c r="A145" s="3">
        <v>145</v>
      </c>
      <c r="B145" s="3" t="s">
        <v>249</v>
      </c>
      <c r="C145" s="3" t="s">
        <v>228</v>
      </c>
      <c r="D145" s="3" t="s">
        <v>64</v>
      </c>
      <c r="E145" s="3">
        <v>123</v>
      </c>
      <c r="F145" s="3" t="s">
        <v>194</v>
      </c>
      <c r="G145" s="3" t="s">
        <v>185</v>
      </c>
      <c r="H145" s="3">
        <v>31</v>
      </c>
      <c r="I145" s="4">
        <v>123</v>
      </c>
      <c r="J145" s="5">
        <v>12500000</v>
      </c>
      <c r="K145" s="6">
        <f t="shared" si="84"/>
        <v>124</v>
      </c>
      <c r="L145" s="7">
        <f>IF($J145=0,0,ROUND(MAX($J145*1.4,1620000*(1.497923^(MIN($E145,123)-117)))*1,0))</f>
        <v>18300036</v>
      </c>
      <c r="M145" s="4">
        <f t="shared" si="85"/>
        <v>125</v>
      </c>
      <c r="N145" s="8">
        <f>IF($J145=0,0,ROUND(MAX($J145*1.4*1.5,2190000*(1.580994^(MIN($E145,123)-117)))*1,0))</f>
        <v>34199948</v>
      </c>
      <c r="O145" s="6">
        <f t="shared" si="86"/>
        <v>127</v>
      </c>
      <c r="P145" s="7">
        <f>IF($J145=0,0,ROUND(MAX($J145*1.4*1.5*1.6,3500000*(1.57975^(MIN($E145,123)-117)))*1,0))</f>
        <v>54399916</v>
      </c>
      <c r="Q145" s="4">
        <f t="shared" si="87"/>
        <v>129</v>
      </c>
      <c r="R145" s="8">
        <f>IF($J145=0,0,ROUND(MAX($J145*1.4*1.5*1.6*1.6,13100000*(1.429962^(MIN($E145,123)-117)))*1,0))</f>
        <v>112000065</v>
      </c>
      <c r="S145" s="6">
        <f t="shared" si="88"/>
        <v>131</v>
      </c>
      <c r="T145" s="7">
        <f>IF($J145=0,0,ROUND(MAX($J145*1.4*1.5*1.6*1.6*2.2,42600000*(1.576904^(MIN($E145,123)-117)))*1,0))</f>
        <v>654999741</v>
      </c>
      <c r="U145" s="4">
        <f t="shared" si="89"/>
        <v>134</v>
      </c>
      <c r="V145" s="8">
        <f>IF($J145=0,0,ROUND(MAX($J145*1.4*1.5*1.6*1.6*2.2*2.715,354000000*(1.642074^(MIN($E145,123)-117)))*1,0))</f>
        <v>6940002232</v>
      </c>
      <c r="W145" s="6">
        <f t="shared" si="90"/>
        <v>138</v>
      </c>
      <c r="X145" s="7">
        <f>IF($J145=0,0,ROUND(MAX($J145*1.4*1.5*1.6*1.6*2.2*2.715*2.6,3540000000*(1.579646^(MIN($E145,123)-117)))*1,0))</f>
        <v>54999899335</v>
      </c>
      <c r="Y145" s="4">
        <f t="shared" si="91"/>
        <v>140</v>
      </c>
      <c r="Z145" s="8">
        <f>IF($J145=0,0,ROUND(MAX($J145*1.4*1.5*1.6*1.6*2.2*2.715*2.6*1.4,6020000000*(1.651178^(MIN($E145,123)-117)))*1,0))</f>
        <v>122000006103</v>
      </c>
      <c r="AA145" s="6">
        <f t="shared" si="92"/>
        <v>142</v>
      </c>
      <c r="AB145" s="7">
        <f>IF($J145=0,0,ROUND(MAX($J145*1.4*1.5*1.6*1.6*2.2*2.715*2.6*1.4*1.4,8430000000*(1.651435^(MIN($E145,123)-117)))*1,0))</f>
        <v>171000146547</v>
      </c>
      <c r="AC145" s="4">
        <f t="shared" si="93"/>
        <v>144</v>
      </c>
      <c r="AD145" s="8">
        <f>IF($J145=0,0,ROUND(MAX($J145*1.4*1.5*1.6*1.6*2.2*2.715*2.6*1.4*1.4*1.5,12600000000*(1.652953^(MIN($E145,123)-117)))*1,0))</f>
        <v>257000267475</v>
      </c>
      <c r="AE145" s="6">
        <f t="shared" si="94"/>
        <v>147</v>
      </c>
      <c r="AF145" s="7">
        <f>IF($J145=0,0,ROUND(MAX($J145*1.4*1.5*1.6*1.6*2.2*2.715*2.6*1.4*1.4*1.5*1.5,18900000000*(1.65331^(MIN($E145,123)-117)))*1,0))</f>
        <v>386000226581</v>
      </c>
      <c r="AG145" s="4">
        <f t="shared" si="95"/>
        <v>150</v>
      </c>
      <c r="AH145" s="8">
        <f>IF($J145=0,0,ROUND(MAX($J145*1.4*1.5*1.6*1.6*2.2*2.715*2.6*1.4*1.4*1.5*1.5*3.2,60500000000*(1.654288^(MIN($E145,123)-117)))*1,0))</f>
        <v>1240001159555</v>
      </c>
    </row>
    <row r="146" spans="1:34" x14ac:dyDescent="0.25">
      <c r="A146" s="3">
        <v>142</v>
      </c>
      <c r="B146" s="3" t="s">
        <v>250</v>
      </c>
      <c r="C146" s="3" t="s">
        <v>228</v>
      </c>
      <c r="D146" s="3" t="s">
        <v>45</v>
      </c>
      <c r="E146" s="3">
        <v>123</v>
      </c>
      <c r="F146" s="3" t="s">
        <v>30</v>
      </c>
      <c r="G146" s="3" t="s">
        <v>86</v>
      </c>
      <c r="H146" s="3">
        <v>31</v>
      </c>
      <c r="I146" s="4">
        <v>123</v>
      </c>
      <c r="J146" s="5">
        <v>10300000</v>
      </c>
      <c r="K146" s="6">
        <f t="shared" si="84"/>
        <v>124</v>
      </c>
      <c r="L146" s="7">
        <f>IF($J146=0,0,ROUND(MAX($J146*1.4,1620000*(1.497923^(MIN($E146,123)-117)))*1,0))</f>
        <v>18300036</v>
      </c>
      <c r="M146" s="4">
        <f t="shared" si="85"/>
        <v>125</v>
      </c>
      <c r="N146" s="8">
        <f>IF($J146=0,0,ROUND(MAX($J146*1.4*1.5,2190000*(1.580994^(MIN($E146,123)-117)))*1,0))</f>
        <v>34199948</v>
      </c>
      <c r="O146" s="6">
        <f t="shared" si="86"/>
        <v>127</v>
      </c>
      <c r="P146" s="7">
        <f>IF($J146=0,0,ROUND(MAX($J146*1.4*1.5*1.6,3500000*(1.57975^(MIN($E146,123)-117)))*1,0))</f>
        <v>54399916</v>
      </c>
      <c r="Q146" s="4">
        <f t="shared" si="87"/>
        <v>129</v>
      </c>
      <c r="R146" s="8">
        <f>IF($J146=0,0,ROUND(MAX($J146*1.4*1.5*1.6*1.6,13100000*(1.429962^(MIN($E146,123)-117)))*1,0))</f>
        <v>112000065</v>
      </c>
      <c r="S146" s="6">
        <f t="shared" si="88"/>
        <v>131</v>
      </c>
      <c r="T146" s="7">
        <f>IF($J146=0,0,ROUND(MAX($J146*1.4*1.5*1.6*1.6*2.2,42600000*(1.576904^(MIN($E146,123)-117)))*1,0))</f>
        <v>654999741</v>
      </c>
      <c r="U146" s="4">
        <f t="shared" si="89"/>
        <v>134</v>
      </c>
      <c r="V146" s="8">
        <f>IF($J146=0,0,ROUND(MAX($J146*1.4*1.5*1.6*1.6*2.2*2.715,354000000*(1.642074^(MIN($E146,123)-117)))*1,0))</f>
        <v>6940002232</v>
      </c>
      <c r="W146" s="6">
        <f t="shared" si="90"/>
        <v>138</v>
      </c>
      <c r="X146" s="7">
        <f>IF($J146=0,0,ROUND(MAX($J146*1.4*1.5*1.6*1.6*2.2*2.715*2.6,3540000000*(1.579646^(MIN($E146,123)-117)))*1,0))</f>
        <v>54999899335</v>
      </c>
      <c r="Y146" s="4">
        <f t="shared" si="91"/>
        <v>140</v>
      </c>
      <c r="Z146" s="8">
        <f>IF($J146=0,0,ROUND(MAX($J146*1.4*1.5*1.6*1.6*2.2*2.715*2.6*1.4,6020000000*(1.651178^(MIN($E146,123)-117)))*1,0))</f>
        <v>122000006103</v>
      </c>
      <c r="AA146" s="6">
        <f t="shared" si="92"/>
        <v>142</v>
      </c>
      <c r="AB146" s="7">
        <f>IF($J146=0,0,ROUND(MAX($J146*1.4*1.5*1.6*1.6*2.2*2.715*2.6*1.4*1.4,8430000000*(1.651435^(MIN($E146,123)-117)))*1,0))</f>
        <v>171000146547</v>
      </c>
      <c r="AC146" s="4">
        <f t="shared" si="93"/>
        <v>144</v>
      </c>
      <c r="AD146" s="8">
        <f>IF($J146=0,0,ROUND(MAX($J146*1.4*1.5*1.6*1.6*2.2*2.715*2.6*1.4*1.4*1.5,12600000000*(1.652953^(MIN($E146,123)-117)))*1,0))</f>
        <v>257000267475</v>
      </c>
      <c r="AE146" s="6">
        <f t="shared" si="94"/>
        <v>147</v>
      </c>
      <c r="AF146" s="7">
        <f>IF($J146=0,0,ROUND(MAX($J146*1.4*1.5*1.6*1.6*2.2*2.715*2.6*1.4*1.4*1.5*1.5,18900000000*(1.65331^(MIN($E146,123)-117)))*1,0))</f>
        <v>386000226581</v>
      </c>
      <c r="AG146" s="4">
        <f t="shared" si="95"/>
        <v>150</v>
      </c>
      <c r="AH146" s="8">
        <f>IF($J146=0,0,ROUND(MAX($J146*1.4*1.5*1.6*1.6*2.2*2.715*2.6*1.4*1.4*1.5*1.5*3.2,60500000000*(1.654288^(MIN($E146,123)-117)))*1,0))</f>
        <v>1240001159555</v>
      </c>
    </row>
    <row r="147" spans="1:34" x14ac:dyDescent="0.25">
      <c r="A147" s="3">
        <v>130</v>
      </c>
      <c r="B147" s="3" t="s">
        <v>251</v>
      </c>
      <c r="C147" s="3" t="s">
        <v>228</v>
      </c>
      <c r="D147" s="3" t="s">
        <v>40</v>
      </c>
      <c r="E147" s="3">
        <v>123</v>
      </c>
      <c r="F147" s="3" t="s">
        <v>59</v>
      </c>
      <c r="G147" s="3" t="s">
        <v>252</v>
      </c>
      <c r="H147" s="3">
        <v>33</v>
      </c>
      <c r="I147" s="4">
        <v>123</v>
      </c>
      <c r="J147" s="5">
        <v>34000000</v>
      </c>
      <c r="K147" s="6">
        <f t="shared" si="84"/>
        <v>124</v>
      </c>
      <c r="L147" s="7">
        <f>IF($J147=0,0,ROUND(MAX($J147*1.4*1,4020000*(1.354082^(MIN($E147,123)-118))),0))</f>
        <v>47600000</v>
      </c>
      <c r="M147" s="4">
        <f t="shared" si="85"/>
        <v>125</v>
      </c>
      <c r="N147" s="8">
        <f>IF($J147=0,0,ROUND(MAX($J147*1.4*1.5*1,6950000*(1.375334^(MIN($E147,123)-118))),0))</f>
        <v>71400000</v>
      </c>
      <c r="O147" s="6">
        <f t="shared" si="86"/>
        <v>127</v>
      </c>
      <c r="P147" s="7">
        <f>IF($J147=0,0,ROUND(MAX($J147*1.4*1.5*1.6*1,23900000*(1.1788^(MIN($E147,123)-118))),0))</f>
        <v>114240000</v>
      </c>
      <c r="Q147" s="4">
        <f t="shared" si="87"/>
        <v>129</v>
      </c>
      <c r="R147" s="8">
        <f>IF($J147=0,0,ROUND(MAX($J147*1.4*1.5*1.6*1.6*1.25,77000000*(1.127009^(MIN($E147,123)-118))),0))</f>
        <v>228480000</v>
      </c>
      <c r="S147" s="6">
        <f t="shared" si="88"/>
        <v>131</v>
      </c>
      <c r="T147" s="7">
        <f>IF($J147=0,0,ROUND(MAX($J147*1.4*1.5*1.6*1.6*2.2*1.25,270000000*(1.248411^(MIN($E147,123)-118))),0))</f>
        <v>818750725</v>
      </c>
      <c r="U147" s="4">
        <f t="shared" si="89"/>
        <v>134</v>
      </c>
      <c r="V147" s="8">
        <f>IF($J147=0,0,ROUND(MAX($J147*1.4*1.5*1.6*1.6*2.2*2.715*1.25,2400000000*(1.293039^(MIN($E147,123)-118))),0))</f>
        <v>8674997573</v>
      </c>
      <c r="W147" s="6">
        <f t="shared" si="90"/>
        <v>138</v>
      </c>
      <c r="X147" s="7">
        <f>IF($J147=0,0,ROUND(MAX($J147*1.4*1.5*1.6*1.6*2.2*2.715*2.6*1.25,20000000000*(1.280114^(MIN($E147,123)-118))),0))</f>
        <v>68750083829</v>
      </c>
      <c r="Y147" s="4">
        <f t="shared" si="91"/>
        <v>140</v>
      </c>
      <c r="Z147" s="8">
        <f>IF($J147=0,0,ROUND(MAX($J147*1.4*1.5*1.6*1.6*2.2*2.715*2.6*1.4*1.25,39200000000*(1.31219^(MIN($E147,123)-118))),0))</f>
        <v>152499944536</v>
      </c>
      <c r="AA147" s="6">
        <f t="shared" si="92"/>
        <v>142</v>
      </c>
      <c r="AB147" s="7">
        <f>IF($J147=0,0,ROUND(MAX($J147*1.4*1.5*1.6*1.6*2.2*2.715*2.6*1.4*1.4*1.25,54900000000*(1.312402^(MIN($E147,123)-118))),0))</f>
        <v>213750314393</v>
      </c>
      <c r="AC147" s="4">
        <f t="shared" si="93"/>
        <v>144</v>
      </c>
      <c r="AD147" s="8">
        <f>IF($J147=0,0,ROUND(MAX($J147*1.4*1.5*1.6*1.6*2.2*2.715*2.6*1.4*1.4*1.5*1.25,82400000000*(1.312754^(MIN($E147,123)-118))),0))</f>
        <v>321250611518</v>
      </c>
      <c r="AE147" s="6">
        <f t="shared" si="94"/>
        <v>147</v>
      </c>
      <c r="AF147" s="7">
        <f>IF($J147=0,0,ROUND(MAX($J147*1.4*1.5*1.6*1.6*2.2*2.715*2.6*1.4*1.4*1.5*1.5*1.25,124000000000*(1.312246^(MIN($E147,123)-118))),0))</f>
        <v>482500728361</v>
      </c>
      <c r="AG147" s="4">
        <f t="shared" si="95"/>
        <v>150</v>
      </c>
      <c r="AH147" s="8">
        <f>IF($J147=0,0,ROUND(MAX($J147*1.4*1.5*1.6*1.6*2.2*2.715*2.6*1.4*1.4*1.5*1.5*3.2*1.25,397000000000*(1.313132^(MIN($E147,123)-118))),0))</f>
        <v>1550002616035</v>
      </c>
    </row>
    <row r="148" spans="1:34" x14ac:dyDescent="0.25">
      <c r="A148" s="3">
        <v>147</v>
      </c>
      <c r="B148" s="3" t="s">
        <v>253</v>
      </c>
      <c r="C148" s="3" t="s">
        <v>228</v>
      </c>
      <c r="D148" s="3" t="s">
        <v>75</v>
      </c>
      <c r="E148" s="3">
        <v>123</v>
      </c>
      <c r="F148" s="3" t="s">
        <v>34</v>
      </c>
      <c r="G148" s="3" t="s">
        <v>254</v>
      </c>
      <c r="H148" s="3">
        <v>31</v>
      </c>
      <c r="I148" s="4">
        <v>123</v>
      </c>
      <c r="J148" s="5">
        <v>11400000</v>
      </c>
      <c r="K148" s="6">
        <f t="shared" si="84"/>
        <v>124</v>
      </c>
      <c r="L148" s="7">
        <f>IF($J148=0,0,ROUND(MAX($J148*1.4,1620000*(1.497923^(MIN($E148,123)-117)))*1,0))</f>
        <v>18300036</v>
      </c>
      <c r="M148" s="4">
        <f t="shared" si="85"/>
        <v>125</v>
      </c>
      <c r="N148" s="8">
        <f>IF($J148=0,0,ROUND(MAX($J148*1.4*1.5,2190000*(1.580994^(MIN($E148,123)-117)))*1,0))</f>
        <v>34199948</v>
      </c>
      <c r="O148" s="6">
        <f t="shared" si="86"/>
        <v>127</v>
      </c>
      <c r="P148" s="7">
        <f>IF($J148=0,0,ROUND(MAX($J148*1.4*1.5*1.6,3500000*(1.57975^(MIN($E148,123)-117)))*1,0))</f>
        <v>54399916</v>
      </c>
      <c r="Q148" s="4">
        <f t="shared" si="87"/>
        <v>129</v>
      </c>
      <c r="R148" s="8">
        <f>IF($J148=0,0,ROUND(MAX($J148*1.4*1.5*1.6*1.6,13100000*(1.429962^(MIN($E148,123)-117)))*1,0))</f>
        <v>112000065</v>
      </c>
      <c r="S148" s="6">
        <f t="shared" si="88"/>
        <v>131</v>
      </c>
      <c r="T148" s="7">
        <f>IF($J148=0,0,ROUND(MAX($J148*1.4*1.5*1.6*1.6*2.2,42600000*(1.576904^(MIN($E148,123)-117)))*1,0))</f>
        <v>654999741</v>
      </c>
      <c r="U148" s="4">
        <f t="shared" si="89"/>
        <v>134</v>
      </c>
      <c r="V148" s="8">
        <f>IF($J148=0,0,ROUND(MAX($J148*1.4*1.5*1.6*1.6*2.2*2.715,354000000*(1.642074^(MIN($E148,123)-117)))*1,0))</f>
        <v>6940002232</v>
      </c>
      <c r="W148" s="6">
        <f t="shared" si="90"/>
        <v>138</v>
      </c>
      <c r="X148" s="7">
        <f>IF($J148=0,0,ROUND(MAX($J148*1.4*1.5*1.6*1.6*2.2*2.715*2.6,3540000000*(1.579646^(MIN($E148,123)-117)))*1,0))</f>
        <v>54999899335</v>
      </c>
      <c r="Y148" s="4">
        <f t="shared" si="91"/>
        <v>140</v>
      </c>
      <c r="Z148" s="8">
        <f>IF($J148=0,0,ROUND(MAX($J148*1.4*1.5*1.6*1.6*2.2*2.715*2.6*1.4,6020000000*(1.651178^(MIN($E148,123)-117)))*1,0))</f>
        <v>122000006103</v>
      </c>
      <c r="AA148" s="6">
        <f t="shared" si="92"/>
        <v>142</v>
      </c>
      <c r="AB148" s="7">
        <f>IF($J148=0,0,ROUND(MAX($J148*1.4*1.5*1.6*1.6*2.2*2.715*2.6*1.4*1.4,8430000000*(1.651435^(MIN($E148,123)-117)))*1,0))</f>
        <v>171000146547</v>
      </c>
      <c r="AC148" s="4">
        <f t="shared" si="93"/>
        <v>144</v>
      </c>
      <c r="AD148" s="8">
        <f>IF($J148=0,0,ROUND(MAX($J148*1.4*1.5*1.6*1.6*2.2*2.715*2.6*1.4*1.4*1.5,12600000000*(1.652953^(MIN($E148,123)-117)))*1,0))</f>
        <v>257000267475</v>
      </c>
      <c r="AE148" s="6">
        <f t="shared" si="94"/>
        <v>147</v>
      </c>
      <c r="AF148" s="7">
        <f>IF($J148=0,0,ROUND(MAX($J148*1.4*1.5*1.6*1.6*2.2*2.715*2.6*1.4*1.4*1.5*1.5,18900000000*(1.65331^(MIN($E148,123)-117)))*1,0))</f>
        <v>386000226581</v>
      </c>
      <c r="AG148" s="4">
        <f t="shared" si="95"/>
        <v>150</v>
      </c>
      <c r="AH148" s="8">
        <f>IF($J148=0,0,ROUND(MAX($J148*1.4*1.5*1.6*1.6*2.2*2.715*2.6*1.4*1.4*1.5*1.5*3.2,60500000000*(1.654288^(MIN($E148,123)-117)))*1,0))</f>
        <v>1240001159555</v>
      </c>
    </row>
    <row r="149" spans="1:34" x14ac:dyDescent="0.25">
      <c r="A149" s="3">
        <v>146</v>
      </c>
      <c r="B149" s="3" t="s">
        <v>255</v>
      </c>
      <c r="C149" s="3" t="s">
        <v>228</v>
      </c>
      <c r="D149" s="3" t="s">
        <v>25</v>
      </c>
      <c r="E149" s="3">
        <v>123</v>
      </c>
      <c r="F149" s="3" t="s">
        <v>37</v>
      </c>
      <c r="G149" s="3" t="s">
        <v>133</v>
      </c>
      <c r="H149" s="3">
        <v>31</v>
      </c>
      <c r="I149" s="4">
        <v>123</v>
      </c>
      <c r="J149" s="5">
        <v>11300000</v>
      </c>
      <c r="K149" s="6">
        <f t="shared" si="84"/>
        <v>124</v>
      </c>
      <c r="L149" s="7">
        <f>IF($J149=0,0,ROUND(MAX($J149*1.4,1620000*(1.497923^(MIN($E149,123)-117)))*1,0))</f>
        <v>18300036</v>
      </c>
      <c r="M149" s="4">
        <f t="shared" si="85"/>
        <v>125</v>
      </c>
      <c r="N149" s="8">
        <f>IF($J149=0,0,ROUND(MAX($J149*1.4*1.5,2190000*(1.580994^(MIN($E149,123)-117)))*1,0))</f>
        <v>34199948</v>
      </c>
      <c r="O149" s="6">
        <f t="shared" si="86"/>
        <v>127</v>
      </c>
      <c r="P149" s="7">
        <f>IF($J149=0,0,ROUND(MAX($J149*1.4*1.5*1.6,3500000*(1.57975^(MIN($E149,123)-117)))*1,0))</f>
        <v>54399916</v>
      </c>
      <c r="Q149" s="4">
        <f t="shared" si="87"/>
        <v>129</v>
      </c>
      <c r="R149" s="8">
        <f>IF($J149=0,0,ROUND(MAX($J149*1.4*1.5*1.6*1.6,13100000*(1.429962^(MIN($E149,123)-117)))*1,0))</f>
        <v>112000065</v>
      </c>
      <c r="S149" s="6">
        <f t="shared" si="88"/>
        <v>131</v>
      </c>
      <c r="T149" s="7">
        <f>IF($J149=0,0,ROUND(MAX($J149*1.4*1.5*1.6*1.6*2.2,42600000*(1.576904^(MIN($E149,123)-117)))*1,0))</f>
        <v>654999741</v>
      </c>
      <c r="U149" s="4">
        <f t="shared" si="89"/>
        <v>134</v>
      </c>
      <c r="V149" s="8">
        <f>IF($J149=0,0,ROUND(MAX($J149*1.4*1.5*1.6*1.6*2.2*2.715,354000000*(1.642074^(MIN($E149,123)-117)))*1,0))</f>
        <v>6940002232</v>
      </c>
      <c r="W149" s="6">
        <f t="shared" si="90"/>
        <v>138</v>
      </c>
      <c r="X149" s="7">
        <f>IF($J149=0,0,ROUND(MAX($J149*1.4*1.5*1.6*1.6*2.2*2.715*2.6,3540000000*(1.579646^(MIN($E149,123)-117)))*1,0))</f>
        <v>54999899335</v>
      </c>
      <c r="Y149" s="4">
        <f t="shared" si="91"/>
        <v>140</v>
      </c>
      <c r="Z149" s="8">
        <f>IF($J149=0,0,ROUND(MAX($J149*1.4*1.5*1.6*1.6*2.2*2.715*2.6*1.4,6020000000*(1.651178^(MIN($E149,123)-117)))*1,0))</f>
        <v>122000006103</v>
      </c>
      <c r="AA149" s="6">
        <f t="shared" si="92"/>
        <v>142</v>
      </c>
      <c r="AB149" s="7">
        <f>IF($J149=0,0,ROUND(MAX($J149*1.4*1.5*1.6*1.6*2.2*2.715*2.6*1.4*1.4,8430000000*(1.651435^(MIN($E149,123)-117)))*1,0))</f>
        <v>171000146547</v>
      </c>
      <c r="AC149" s="4">
        <f t="shared" si="93"/>
        <v>144</v>
      </c>
      <c r="AD149" s="8">
        <f>IF($J149=0,0,ROUND(MAX($J149*1.4*1.5*1.6*1.6*2.2*2.715*2.6*1.4*1.4*1.5,12600000000*(1.652953^(MIN($E149,123)-117)))*1,0))</f>
        <v>257000267475</v>
      </c>
      <c r="AE149" s="6">
        <f t="shared" si="94"/>
        <v>147</v>
      </c>
      <c r="AF149" s="7">
        <f>IF($J149=0,0,ROUND(MAX($J149*1.4*1.5*1.6*1.6*2.2*2.715*2.6*1.4*1.4*1.5*1.5,18900000000*(1.65331^(MIN($E149,123)-117)))*1,0))</f>
        <v>386000226581</v>
      </c>
      <c r="AG149" s="4">
        <f t="shared" si="95"/>
        <v>150</v>
      </c>
      <c r="AH149" s="8">
        <f>IF($J149=0,0,ROUND(MAX($J149*1.4*1.5*1.6*1.6*2.2*2.715*2.6*1.4*1.4*1.5*1.5*3.2,60500000000*(1.654288^(MIN($E149,123)-117)))*1,0))</f>
        <v>1240001159555</v>
      </c>
    </row>
    <row r="150" spans="1:34" x14ac:dyDescent="0.25">
      <c r="A150" s="3">
        <v>151</v>
      </c>
      <c r="B150" s="3" t="s">
        <v>256</v>
      </c>
      <c r="C150" s="3" t="s">
        <v>228</v>
      </c>
      <c r="D150" s="3" t="s">
        <v>47</v>
      </c>
      <c r="E150" s="3">
        <v>123</v>
      </c>
      <c r="F150" s="3" t="s">
        <v>71</v>
      </c>
      <c r="G150" s="3" t="s">
        <v>95</v>
      </c>
      <c r="H150" s="3">
        <v>28</v>
      </c>
      <c r="I150" s="4">
        <v>123</v>
      </c>
      <c r="J150" s="5">
        <v>13800000</v>
      </c>
      <c r="K150" s="6">
        <f t="shared" si="84"/>
        <v>124</v>
      </c>
      <c r="L150" s="7">
        <f>IF($J150=0,0,ROUND(MAX($J150*1.4,1620000*(1.497923^(MIN($E150,123)-117)))*1,0))</f>
        <v>19320000</v>
      </c>
      <c r="M150" s="4">
        <f t="shared" si="85"/>
        <v>125</v>
      </c>
      <c r="N150" s="8">
        <f>IF($J150=0,0,ROUND(MAX($J150*1.4*1.5,2190000*(1.580994^(MIN($E150,123)-117)))*1,0))</f>
        <v>34199948</v>
      </c>
      <c r="O150" s="6">
        <f t="shared" si="86"/>
        <v>127</v>
      </c>
      <c r="P150" s="7">
        <f>IF($J150=0,0,ROUND(MAX($J150*1.4*1.5*1.6,3500000*(1.57975^(MIN($E150,123)-117)))*1,0))</f>
        <v>54399916</v>
      </c>
      <c r="Q150" s="4">
        <f t="shared" si="87"/>
        <v>129</v>
      </c>
      <c r="R150" s="8">
        <f>IF($J150=0,0,ROUND(MAX($J150*1.4*1.5*1.6*1.6,13100000*(1.429962^(MIN($E150,123)-117)))*1,0))</f>
        <v>112000065</v>
      </c>
      <c r="S150" s="6">
        <f t="shared" si="88"/>
        <v>131</v>
      </c>
      <c r="T150" s="7">
        <f>IF($J150=0,0,ROUND(MAX($J150*1.4*1.5*1.6*1.6*2.2,42600000*(1.576904^(MIN($E150,123)-117)))*1,0))</f>
        <v>654999741</v>
      </c>
      <c r="U150" s="4">
        <f t="shared" si="89"/>
        <v>134</v>
      </c>
      <c r="V150" s="8">
        <f>IF($J150=0,0,ROUND(MAX($J150*1.4*1.5*1.6*1.6*2.2*2.715,354000000*(1.642074^(MIN($E150,123)-117)))*1,0))</f>
        <v>6940002232</v>
      </c>
      <c r="W150" s="6">
        <f t="shared" si="90"/>
        <v>138</v>
      </c>
      <c r="X150" s="7">
        <f>IF($J150=0,0,ROUND(MAX($J150*1.4*1.5*1.6*1.6*2.2*2.715*2.6,3540000000*(1.579646^(MIN($E150,123)-117)))*1,0))</f>
        <v>54999899335</v>
      </c>
      <c r="Y150" s="4">
        <f t="shared" si="91"/>
        <v>140</v>
      </c>
      <c r="Z150" s="8">
        <f>IF($J150=0,0,ROUND(MAX($J150*1.4*1.5*1.6*1.6*2.2*2.715*2.6*1.4,6020000000*(1.651178^(MIN($E150,123)-117)))*1,0))</f>
        <v>122000006103</v>
      </c>
      <c r="AA150" s="6">
        <f t="shared" si="92"/>
        <v>142</v>
      </c>
      <c r="AB150" s="7">
        <f>IF($J150=0,0,ROUND(MAX($J150*1.4*1.5*1.6*1.6*2.2*2.715*2.6*1.4*1.4,8430000000*(1.651435^(MIN($E150,123)-117)))*1,0))</f>
        <v>171000146547</v>
      </c>
      <c r="AC150" s="4">
        <f t="shared" si="93"/>
        <v>144</v>
      </c>
      <c r="AD150" s="8">
        <f>IF($J150=0,0,ROUND(MAX($J150*1.4*1.5*1.6*1.6*2.2*2.715*2.6*1.4*1.4*1.5,12600000000*(1.652953^(MIN($E150,123)-117)))*1,0))</f>
        <v>257000267475</v>
      </c>
      <c r="AE150" s="6">
        <f t="shared" si="94"/>
        <v>147</v>
      </c>
      <c r="AF150" s="7">
        <f>IF($J150=0,0,ROUND(MAX($J150*1.4*1.5*1.6*1.6*2.2*2.715*2.6*1.4*1.4*1.5*1.5,18900000000*(1.65331^(MIN($E150,123)-117)))*1,0))</f>
        <v>386000226581</v>
      </c>
      <c r="AG150" s="4">
        <f t="shared" si="95"/>
        <v>150</v>
      </c>
      <c r="AH150" s="8">
        <f>IF($J150=0,0,ROUND(MAX($J150*1.4*1.5*1.6*1.6*2.2*2.715*2.6*1.4*1.4*1.5*1.5*3.2,60500000000*(1.654288^(MIN($E150,123)-117)))*1,0))</f>
        <v>1240001159555</v>
      </c>
    </row>
    <row r="151" spans="1:34" x14ac:dyDescent="0.25">
      <c r="A151" s="3">
        <v>133</v>
      </c>
      <c r="B151" s="3" t="s">
        <v>257</v>
      </c>
      <c r="C151" s="3" t="s">
        <v>228</v>
      </c>
      <c r="D151" s="3" t="s">
        <v>93</v>
      </c>
      <c r="E151" s="3">
        <v>123</v>
      </c>
      <c r="F151" s="3" t="s">
        <v>258</v>
      </c>
      <c r="G151" s="3" t="s">
        <v>38</v>
      </c>
      <c r="H151" s="3">
        <v>32</v>
      </c>
      <c r="I151" s="4">
        <v>123</v>
      </c>
      <c r="J151" s="5">
        <v>239000000</v>
      </c>
      <c r="K151" s="6">
        <f t="shared" si="84"/>
        <v>124</v>
      </c>
      <c r="L151" s="7">
        <f>IF($J151=0,0,ROUND(MAX($J151*1.4,1620000*(1.497923^(MIN($E151,123)-117)))*1,0))</f>
        <v>334600000</v>
      </c>
      <c r="M151" s="4">
        <f t="shared" si="85"/>
        <v>125</v>
      </c>
      <c r="N151" s="8">
        <f>IF($J151=0,0,ROUND(MAX($J151*1.4*1.5,2190000*(1.580994^(MIN($E151,123)-117)))*1,0))</f>
        <v>501900000</v>
      </c>
      <c r="O151" s="6">
        <f t="shared" si="86"/>
        <v>127</v>
      </c>
      <c r="P151" s="7">
        <f>IF($J151=0,0,ROUND(MAX($J151*1.4*1.5*1.6,3500000*(1.57975^(MIN($E151,123)-117)))*1,0))</f>
        <v>803040000</v>
      </c>
      <c r="Q151" s="4">
        <f t="shared" si="87"/>
        <v>129</v>
      </c>
      <c r="R151" s="8">
        <f>IF($J151=0,0,ROUND(MAX($J151*1.4*1.5*1.6*1.6,13100000*(1.429962^(MIN($E151,123)-117)))*1,0))</f>
        <v>1284864000</v>
      </c>
      <c r="S151" s="6">
        <f t="shared" si="88"/>
        <v>131</v>
      </c>
      <c r="T151" s="7">
        <f>IF($J151=0,0,ROUND(MAX($J151*1.4*1.5*1.6*1.6*2.2,42600000*(1.576904^(MIN($E151,123)-117)))*1,0))</f>
        <v>2826700800</v>
      </c>
      <c r="U151" s="4">
        <f t="shared" si="89"/>
        <v>134</v>
      </c>
      <c r="V151" s="8">
        <f>IF($J151=0,0,ROUND(MAX($J151*1.4*1.5*1.6*1.6*2.2*2.715,354000000*(1.642074^(MIN($E151,123)-117)))*1,0))</f>
        <v>7674492672</v>
      </c>
      <c r="W151" s="6">
        <f t="shared" si="90"/>
        <v>138</v>
      </c>
      <c r="X151" s="7">
        <f>IF($J151=0,0,ROUND(MAX($J151*1.4*1.5*1.6*1.6*2.2*2.715*2.6,3540000000*(1.579646^(MIN($E151,123)-117)))*1,0))</f>
        <v>54999899335</v>
      </c>
      <c r="Y151" s="4">
        <f t="shared" si="91"/>
        <v>140</v>
      </c>
      <c r="Z151" s="8">
        <f>IF($J151=0,0,ROUND(MAX($J151*1.4*1.5*1.6*1.6*2.2*2.715*2.6*1.4,6020000000*(1.651178^(MIN($E151,123)-117)))*1,0))</f>
        <v>122000006103</v>
      </c>
      <c r="AA151" s="6">
        <f t="shared" si="92"/>
        <v>142</v>
      </c>
      <c r="AB151" s="7">
        <f>IF($J151=0,0,ROUND(MAX($J151*1.4*1.5*1.6*1.6*2.2*2.715*2.6*1.4*1.4,8430000000*(1.651435^(MIN($E151,123)-117)))*1,0))</f>
        <v>171000146547</v>
      </c>
      <c r="AC151" s="4">
        <f t="shared" si="93"/>
        <v>144</v>
      </c>
      <c r="AD151" s="8">
        <f>IF($J151=0,0,ROUND(MAX($J151*1.4*1.5*1.6*1.6*2.2*2.715*2.6*1.4*1.4*1.5,12600000000*(1.652953^(MIN($E151,123)-117)))*1,0))</f>
        <v>257000267475</v>
      </c>
      <c r="AE151" s="6">
        <f t="shared" si="94"/>
        <v>147</v>
      </c>
      <c r="AF151" s="7">
        <f>IF($J151=0,0,ROUND(MAX($J151*1.4*1.5*1.6*1.6*2.2*2.715*2.6*1.4*1.4*1.5*1.5,18900000000*(1.65331^(MIN($E151,123)-117)))*1,0))</f>
        <v>386000226581</v>
      </c>
      <c r="AG151" s="4">
        <f t="shared" si="95"/>
        <v>150</v>
      </c>
      <c r="AH151" s="8">
        <f>IF($J151=0,0,ROUND(MAX($J151*1.4*1.5*1.6*1.6*2.2*2.715*2.6*1.4*1.4*1.5*1.5*3.2,60500000000*(1.654288^(MIN($E151,123)-117)))*1,0))</f>
        <v>1240001159555</v>
      </c>
    </row>
    <row r="152" spans="1:34" x14ac:dyDescent="0.25">
      <c r="A152" s="3">
        <v>137</v>
      </c>
      <c r="B152" s="3" t="s">
        <v>259</v>
      </c>
      <c r="C152" s="3" t="s">
        <v>228</v>
      </c>
      <c r="D152" s="3" t="s">
        <v>102</v>
      </c>
      <c r="E152" s="3">
        <v>123</v>
      </c>
      <c r="F152" s="3" t="s">
        <v>34</v>
      </c>
      <c r="G152" s="3" t="s">
        <v>35</v>
      </c>
      <c r="H152" s="3">
        <v>32</v>
      </c>
      <c r="I152" s="4">
        <v>123</v>
      </c>
      <c r="J152" s="5">
        <v>12700000</v>
      </c>
      <c r="K152" s="6">
        <f t="shared" si="84"/>
        <v>124</v>
      </c>
      <c r="L152" s="7">
        <f>IF($J152=0,0,ROUND(MAX($J152*1.4,1620000*(1.497923^(MIN($E152,123)-117)))*1,0))</f>
        <v>18300036</v>
      </c>
      <c r="M152" s="4">
        <f t="shared" si="85"/>
        <v>125</v>
      </c>
      <c r="N152" s="8">
        <f>IF($J152=0,0,ROUND(MAX($J152*1.4*1.5,2190000*(1.580994^(MIN($E152,123)-117)))*1,0))</f>
        <v>34199948</v>
      </c>
      <c r="O152" s="6">
        <f t="shared" si="86"/>
        <v>127</v>
      </c>
      <c r="P152" s="7">
        <f>IF($J152=0,0,ROUND(MAX($J152*1.4*1.5*1.6,3500000*(1.57975^(MIN($E152,123)-117)))*1,0))</f>
        <v>54399916</v>
      </c>
      <c r="Q152" s="4">
        <f t="shared" si="87"/>
        <v>129</v>
      </c>
      <c r="R152" s="8">
        <f>IF($J152=0,0,ROUND(MAX($J152*1.4*1.5*1.6*1.6,13100000*(1.429962^(MIN($E152,123)-117)))*1,0))</f>
        <v>112000065</v>
      </c>
      <c r="S152" s="6">
        <f t="shared" si="88"/>
        <v>131</v>
      </c>
      <c r="T152" s="7">
        <f>IF($J152=0,0,ROUND(MAX($J152*1.4*1.5*1.6*1.6*2.2,42600000*(1.576904^(MIN($E152,123)-117)))*1,0))</f>
        <v>654999741</v>
      </c>
      <c r="U152" s="4">
        <f t="shared" si="89"/>
        <v>134</v>
      </c>
      <c r="V152" s="8">
        <f>IF($J152=0,0,ROUND(MAX($J152*1.4*1.5*1.6*1.6*2.2*2.715,354000000*(1.642074^(MIN($E152,123)-117)))*1,0))</f>
        <v>6940002232</v>
      </c>
      <c r="W152" s="6">
        <f t="shared" si="90"/>
        <v>138</v>
      </c>
      <c r="X152" s="7">
        <f>IF($J152=0,0,ROUND(MAX($J152*1.4*1.5*1.6*1.6*2.2*2.715*2.6,3540000000*(1.579646^(MIN($E152,123)-117)))*1,0))</f>
        <v>54999899335</v>
      </c>
      <c r="Y152" s="4">
        <f t="shared" si="91"/>
        <v>140</v>
      </c>
      <c r="Z152" s="8">
        <f>IF($J152=0,0,ROUND(MAX($J152*1.4*1.5*1.6*1.6*2.2*2.715*2.6*1.4,6020000000*(1.651178^(MIN($E152,123)-117)))*1,0))</f>
        <v>122000006103</v>
      </c>
      <c r="AA152" s="6">
        <f t="shared" si="92"/>
        <v>142</v>
      </c>
      <c r="AB152" s="7">
        <f>IF($J152=0,0,ROUND(MAX($J152*1.4*1.5*1.6*1.6*2.2*2.715*2.6*1.4*1.4,8430000000*(1.651435^(MIN($E152,123)-117)))*1,0))</f>
        <v>171000146547</v>
      </c>
      <c r="AC152" s="4">
        <f t="shared" si="93"/>
        <v>144</v>
      </c>
      <c r="AD152" s="8">
        <f>IF($J152=0,0,ROUND(MAX($J152*1.4*1.5*1.6*1.6*2.2*2.715*2.6*1.4*1.4*1.5,12600000000*(1.652953^(MIN($E152,123)-117)))*1,0))</f>
        <v>257000267475</v>
      </c>
      <c r="AE152" s="6">
        <f t="shared" si="94"/>
        <v>147</v>
      </c>
      <c r="AF152" s="7">
        <f>IF($J152=0,0,ROUND(MAX($J152*1.4*1.5*1.6*1.6*2.2*2.715*2.6*1.4*1.4*1.5*1.5,18900000000*(1.65331^(MIN($E152,123)-117)))*1,0))</f>
        <v>386000226581</v>
      </c>
      <c r="AG152" s="4">
        <f t="shared" si="95"/>
        <v>150</v>
      </c>
      <c r="AH152" s="8">
        <f>IF($J152=0,0,ROUND(MAX($J152*1.4*1.5*1.6*1.6*2.2*2.715*2.6*1.4*1.4*1.5*1.5*3.2,60500000000*(1.654288^(MIN($E152,123)-117)))*1,0))</f>
        <v>1240001159555</v>
      </c>
    </row>
    <row r="153" spans="1:34" x14ac:dyDescent="0.25">
      <c r="A153" s="3">
        <v>139</v>
      </c>
      <c r="B153" s="3" t="s">
        <v>260</v>
      </c>
      <c r="C153" s="3" t="s">
        <v>228</v>
      </c>
      <c r="D153" s="3" t="s">
        <v>45</v>
      </c>
      <c r="E153" s="3">
        <v>123</v>
      </c>
      <c r="F153" s="3" t="s">
        <v>42</v>
      </c>
      <c r="G153" s="3" t="s">
        <v>261</v>
      </c>
      <c r="H153" s="3">
        <v>31</v>
      </c>
      <c r="I153" s="4">
        <v>123</v>
      </c>
      <c r="J153" s="5">
        <v>11700000</v>
      </c>
      <c r="K153" s="6">
        <f t="shared" si="84"/>
        <v>124</v>
      </c>
      <c r="L153" s="7">
        <f>IF($J153=0,0,ROUND(MAX($J153*1.4,1620000*(1.497923^(MIN($E153,123)-117)))*0.8,0))</f>
        <v>14640029</v>
      </c>
      <c r="M153" s="4">
        <f t="shared" si="85"/>
        <v>125</v>
      </c>
      <c r="N153" s="8">
        <f>IF($J153=0,0,ROUND(MAX($J153*1.4*1.5,2190000*(1.580994^(MIN($E153,123)-117)))*0.8,0))</f>
        <v>27359958</v>
      </c>
      <c r="O153" s="6">
        <f t="shared" si="86"/>
        <v>127</v>
      </c>
      <c r="P153" s="7">
        <f>IF($J153=0,0,ROUND(MAX($J153*1.4*1.5*1.6,3500000*(1.57975^(MIN($E153,123)-117)))*0.8,0))</f>
        <v>43519933</v>
      </c>
      <c r="Q153" s="4">
        <f t="shared" si="87"/>
        <v>129</v>
      </c>
      <c r="R153" s="8">
        <f>IF($J153=0,0,ROUND(MAX($J153*1.4*1.5*1.6*1.6,13100000*(1.429962^(MIN($E153,123)-117)))*0.651041666666667,0))</f>
        <v>72916709</v>
      </c>
      <c r="S153" s="6">
        <f t="shared" si="88"/>
        <v>131</v>
      </c>
      <c r="T153" s="7">
        <f>IF($J153=0,0,ROUND(MAX($J153*1.4*1.5*1.6*1.6*2.2,42600000*(1.576904^(MIN($E153,123)-117)))*0.617361111111111,0))</f>
        <v>404371368</v>
      </c>
      <c r="U153" s="4">
        <f t="shared" si="89"/>
        <v>134</v>
      </c>
      <c r="V153" s="8">
        <f>IF($J153=0,0,ROUND(MAX($J153*1.4*1.5*1.6*1.6*2.2*2.715,354000000*(1.642074^(MIN($E153,123)-117)))*0.583680555555556,0))</f>
        <v>4050744359</v>
      </c>
      <c r="W153" s="6">
        <f t="shared" si="90"/>
        <v>138</v>
      </c>
      <c r="X153" s="7">
        <f>IF($J153=0,0,ROUND(MAX($J153*1.4*1.5*1.6*1.6*2.2*2.715*2.6,3540000000*(1.579646^(MIN($E153,123)-117)))*0.55,0))</f>
        <v>30249944634</v>
      </c>
      <c r="Y153" s="4">
        <f t="shared" si="91"/>
        <v>140</v>
      </c>
      <c r="Z153" s="8">
        <f>IF($J153=0,0,ROUND(MAX($J153*1.4*1.5*1.6*1.6*2.2*2.715*2.6*1.4,6020000000*(1.651178^(MIN($E153,123)-117)))*0.55,0))</f>
        <v>67100003357</v>
      </c>
      <c r="AA153" s="6">
        <f t="shared" si="92"/>
        <v>142</v>
      </c>
      <c r="AB153" s="7">
        <f>IF($J153=0,0,ROUND(MAX($J153*1.4*1.5*1.6*1.6*2.2*2.715*2.6*1.4*1.4,8430000000*(1.651435^(MIN($E153,123)-117)))*0.55,0))</f>
        <v>94050080601</v>
      </c>
      <c r="AC153" s="4">
        <f t="shared" si="93"/>
        <v>144</v>
      </c>
      <c r="AD153" s="8">
        <f>IF($J153=0,0,ROUND(MAX($J153*1.4*1.5*1.6*1.6*2.2*2.715*2.6*1.4*1.4*1.5,12600000000*(1.652953^(MIN($E153,123)-117)))*0.55,0))</f>
        <v>141350147111</v>
      </c>
      <c r="AE153" s="6">
        <f t="shared" si="94"/>
        <v>147</v>
      </c>
      <c r="AF153" s="7">
        <f>IF($J153=0,0,ROUND(MAX($J153*1.4*1.5*1.6*1.6*2.2*2.715*2.6*1.4*1.4*1.5*1.5,18900000000*(1.65331^(MIN($E153,123)-117)))*0.55,0))</f>
        <v>212300124619</v>
      </c>
      <c r="AG153" s="4">
        <f t="shared" si="95"/>
        <v>150</v>
      </c>
      <c r="AH153" s="8">
        <f>IF($J153=0,0,ROUND(MAX($J153*1.4*1.5*1.6*1.6*2.2*2.715*2.6*1.4*1.4*1.5*1.5*3.2,60500000000*(1.654288^(MIN($E153,123)-117)))*0.55,0))</f>
        <v>682000637755</v>
      </c>
    </row>
    <row r="154" spans="1:34" x14ac:dyDescent="0.25">
      <c r="A154" s="3">
        <v>149</v>
      </c>
      <c r="B154" s="3" t="s">
        <v>262</v>
      </c>
      <c r="C154" s="3" t="s">
        <v>228</v>
      </c>
      <c r="D154" s="3" t="s">
        <v>33</v>
      </c>
      <c r="E154" s="3">
        <v>123</v>
      </c>
      <c r="F154" s="3" t="s">
        <v>71</v>
      </c>
      <c r="G154" s="3" t="s">
        <v>247</v>
      </c>
      <c r="H154" s="3">
        <v>31</v>
      </c>
      <c r="I154" s="4">
        <v>123</v>
      </c>
      <c r="J154" s="5">
        <v>13200000</v>
      </c>
      <c r="K154" s="6">
        <f t="shared" si="84"/>
        <v>124</v>
      </c>
      <c r="L154" s="7">
        <f>IF($J154=0,0,ROUND(MAX($J154*1.4,1620000*(1.497923^(MIN($E154,123)-117)))*0.8,0))</f>
        <v>14784000</v>
      </c>
      <c r="M154" s="4">
        <f t="shared" si="85"/>
        <v>125</v>
      </c>
      <c r="N154" s="8">
        <f>IF($J154=0,0,ROUND(MAX($J154*1.4*1.5,2190000*(1.580994^(MIN($E154,123)-117)))*0.8,0))</f>
        <v>27359958</v>
      </c>
      <c r="O154" s="6">
        <f t="shared" si="86"/>
        <v>127</v>
      </c>
      <c r="P154" s="7">
        <f>IF($J154=0,0,ROUND(MAX($J154*1.4*1.5*1.6,3500000*(1.57975^(MIN($E154,123)-117)))*0.8,0))</f>
        <v>43519933</v>
      </c>
      <c r="Q154" s="4">
        <f t="shared" si="87"/>
        <v>129</v>
      </c>
      <c r="R154" s="8">
        <f>IF($J154=0,0,ROUND(MAX($J154*1.4*1.5*1.6*1.6,13100000*(1.429962^(MIN($E154,123)-117)))*0.651041666666667,0))</f>
        <v>72916709</v>
      </c>
      <c r="S154" s="6">
        <f t="shared" si="88"/>
        <v>131</v>
      </c>
      <c r="T154" s="7">
        <f>IF($J154=0,0,ROUND(MAX($J154*1.4*1.5*1.6*1.6*2.2,42600000*(1.576904^(MIN($E154,123)-117)))*0.617361111111111,0))</f>
        <v>404371368</v>
      </c>
      <c r="U154" s="4">
        <f t="shared" si="89"/>
        <v>134</v>
      </c>
      <c r="V154" s="8">
        <f>IF($J154=0,0,ROUND(MAX($J154*1.4*1.5*1.6*1.6*2.2*2.715,354000000*(1.642074^(MIN($E154,123)-117)))*0.583680555555556,0))</f>
        <v>4050744359</v>
      </c>
      <c r="W154" s="6">
        <f t="shared" si="90"/>
        <v>138</v>
      </c>
      <c r="X154" s="7">
        <f>IF($J154=0,0,ROUND(MAX($J154*1.4*1.5*1.6*1.6*2.2*2.715*2.6,3540000000*(1.579646^(MIN($E154,123)-117)))*0.55,0))</f>
        <v>30249944634</v>
      </c>
      <c r="Y154" s="4">
        <f t="shared" si="91"/>
        <v>140</v>
      </c>
      <c r="Z154" s="8">
        <f>IF($J154=0,0,ROUND(MAX($J154*1.4*1.5*1.6*1.6*2.2*2.715*2.6*1.4,6020000000*(1.651178^(MIN($E154,123)-117)))*0.55,0))</f>
        <v>67100003357</v>
      </c>
      <c r="AA154" s="6">
        <f t="shared" si="92"/>
        <v>142</v>
      </c>
      <c r="AB154" s="7">
        <f>IF($J154=0,0,ROUND(MAX($J154*1.4*1.5*1.6*1.6*2.2*2.715*2.6*1.4*1.4,8430000000*(1.651435^(MIN($E154,123)-117)))*0.55,0))</f>
        <v>94050080601</v>
      </c>
      <c r="AC154" s="4">
        <f t="shared" si="93"/>
        <v>144</v>
      </c>
      <c r="AD154" s="8">
        <f>IF($J154=0,0,ROUND(MAX($J154*1.4*1.5*1.6*1.6*2.2*2.715*2.6*1.4*1.4*1.5,12600000000*(1.652953^(MIN($E154,123)-117)))*0.55,0))</f>
        <v>141350147111</v>
      </c>
      <c r="AE154" s="6">
        <f t="shared" si="94"/>
        <v>147</v>
      </c>
      <c r="AF154" s="7">
        <f>IF($J154=0,0,ROUND(MAX($J154*1.4*1.5*1.6*1.6*2.2*2.715*2.6*1.4*1.4*1.5*1.5,18900000000*(1.65331^(MIN($E154,123)-117)))*0.55,0))</f>
        <v>212300124619</v>
      </c>
      <c r="AG154" s="4">
        <f t="shared" si="95"/>
        <v>150</v>
      </c>
      <c r="AH154" s="8">
        <f>IF($J154=0,0,ROUND(MAX($J154*1.4*1.5*1.6*1.6*2.2*2.715*2.6*1.4*1.4*1.5*1.5*3.2,60500000000*(1.654288^(MIN($E154,123)-117)))*0.55,0))</f>
        <v>682000637755</v>
      </c>
    </row>
    <row r="155" spans="1:34" x14ac:dyDescent="0.25">
      <c r="A155" s="3">
        <v>141</v>
      </c>
      <c r="B155" s="3" t="s">
        <v>263</v>
      </c>
      <c r="C155" s="3" t="s">
        <v>228</v>
      </c>
      <c r="D155" s="3" t="s">
        <v>40</v>
      </c>
      <c r="E155" s="3">
        <v>123</v>
      </c>
      <c r="F155" s="3" t="s">
        <v>30</v>
      </c>
      <c r="G155" s="3" t="s">
        <v>98</v>
      </c>
      <c r="H155" s="3">
        <v>31</v>
      </c>
      <c r="I155" s="4">
        <v>123</v>
      </c>
      <c r="J155" s="5">
        <v>12500000</v>
      </c>
      <c r="K155" s="6">
        <f t="shared" si="84"/>
        <v>124</v>
      </c>
      <c r="L155" s="7">
        <f>IF($J155=0,0,ROUND(MAX($J155*1.4,1620000*(1.497923^(MIN($E155,123)-117)))*1,0))</f>
        <v>18300036</v>
      </c>
      <c r="M155" s="4">
        <f t="shared" si="85"/>
        <v>125</v>
      </c>
      <c r="N155" s="8">
        <f>IF($J155=0,0,ROUND(MAX($J155*1.4*1.5,2190000*(1.580994^(MIN($E155,123)-117)))*1,0))</f>
        <v>34199948</v>
      </c>
      <c r="O155" s="6">
        <f t="shared" si="86"/>
        <v>127</v>
      </c>
      <c r="P155" s="7">
        <f>IF($J155=0,0,ROUND(MAX($J155*1.4*1.5*1.6,3500000*(1.57975^(MIN($E155,123)-117)))*1,0))</f>
        <v>54399916</v>
      </c>
      <c r="Q155" s="4">
        <f t="shared" si="87"/>
        <v>129</v>
      </c>
      <c r="R155" s="8">
        <f>IF($J155=0,0,ROUND(MAX($J155*1.4*1.5*1.6*1.6,13100000*(1.429962^(MIN($E155,123)-117)))*1,0))</f>
        <v>112000065</v>
      </c>
      <c r="S155" s="6">
        <f t="shared" si="88"/>
        <v>131</v>
      </c>
      <c r="T155" s="7">
        <f>IF($J155=0,0,ROUND(MAX($J155*1.4*1.5*1.6*1.6*2.2,42600000*(1.576904^(MIN($E155,123)-117)))*1,0))</f>
        <v>654999741</v>
      </c>
      <c r="U155" s="4">
        <f t="shared" si="89"/>
        <v>134</v>
      </c>
      <c r="V155" s="8">
        <f>IF($J155=0,0,ROUND(MAX($J155*1.4*1.5*1.6*1.6*2.2*2.715,354000000*(1.642074^(MIN($E155,123)-117)))*1,0))</f>
        <v>6940002232</v>
      </c>
      <c r="W155" s="6">
        <f t="shared" si="90"/>
        <v>138</v>
      </c>
      <c r="X155" s="7">
        <f>IF($J155=0,0,ROUND(MAX($J155*1.4*1.5*1.6*1.6*2.2*2.715*2.6,3540000000*(1.579646^(MIN($E155,123)-117)))*1,0))</f>
        <v>54999899335</v>
      </c>
      <c r="Y155" s="4">
        <f t="shared" si="91"/>
        <v>140</v>
      </c>
      <c r="Z155" s="8">
        <f>IF($J155=0,0,ROUND(MAX($J155*1.4*1.5*1.6*1.6*2.2*2.715*2.6*1.4,6020000000*(1.651178^(MIN($E155,123)-117)))*1,0))</f>
        <v>122000006103</v>
      </c>
      <c r="AA155" s="6">
        <f t="shared" si="92"/>
        <v>142</v>
      </c>
      <c r="AB155" s="7">
        <f>IF($J155=0,0,ROUND(MAX($J155*1.4*1.5*1.6*1.6*2.2*2.715*2.6*1.4*1.4,8430000000*(1.651435^(MIN($E155,123)-117)))*1,0))</f>
        <v>171000146547</v>
      </c>
      <c r="AC155" s="4">
        <f t="shared" si="93"/>
        <v>144</v>
      </c>
      <c r="AD155" s="8">
        <f>IF($J155=0,0,ROUND(MAX($J155*1.4*1.5*1.6*1.6*2.2*2.715*2.6*1.4*1.4*1.5,12600000000*(1.652953^(MIN($E155,123)-117)))*1,0))</f>
        <v>257000267475</v>
      </c>
      <c r="AE155" s="6">
        <f t="shared" si="94"/>
        <v>147</v>
      </c>
      <c r="AF155" s="7">
        <f>IF($J155=0,0,ROUND(MAX($J155*1.4*1.5*1.6*1.6*2.2*2.715*2.6*1.4*1.4*1.5*1.5,18900000000*(1.65331^(MIN($E155,123)-117)))*1,0))</f>
        <v>386000226581</v>
      </c>
      <c r="AG155" s="4">
        <f t="shared" si="95"/>
        <v>150</v>
      </c>
      <c r="AH155" s="8">
        <f>IF($J155=0,0,ROUND(MAX($J155*1.4*1.5*1.6*1.6*2.2*2.715*2.6*1.4*1.4*1.5*1.5*3.2,60500000000*(1.654288^(MIN($E155,123)-117)))*1,0))</f>
        <v>1240001159555</v>
      </c>
    </row>
    <row r="156" spans="1:34" x14ac:dyDescent="0.25">
      <c r="A156" s="3">
        <v>144</v>
      </c>
      <c r="B156" s="3" t="s">
        <v>264</v>
      </c>
      <c r="C156" s="3" t="s">
        <v>228</v>
      </c>
      <c r="D156" s="3" t="s">
        <v>79</v>
      </c>
      <c r="E156" s="3">
        <v>123</v>
      </c>
      <c r="F156" s="3" t="s">
        <v>265</v>
      </c>
      <c r="G156" s="3" t="s">
        <v>218</v>
      </c>
      <c r="H156" s="3">
        <v>31</v>
      </c>
      <c r="I156" s="4">
        <v>123</v>
      </c>
      <c r="J156" s="5">
        <v>19400000</v>
      </c>
      <c r="K156" s="6">
        <f t="shared" si="84"/>
        <v>124</v>
      </c>
      <c r="L156" s="7">
        <f>IF($J156=0,0,ROUND(MAX($J156*1.4,1620000*(1.497923^(MIN($E156,123)-117)))*1,0))</f>
        <v>27160000</v>
      </c>
      <c r="M156" s="4">
        <f t="shared" si="85"/>
        <v>125</v>
      </c>
      <c r="N156" s="8">
        <f>IF($J156=0,0,ROUND(MAX($J156*1.4*1.5,2190000*(1.580994^(MIN($E156,123)-117)))*1,0))</f>
        <v>40740000</v>
      </c>
      <c r="O156" s="6">
        <f t="shared" si="86"/>
        <v>127</v>
      </c>
      <c r="P156" s="7">
        <f>IF($J156=0,0,ROUND(MAX($J156*1.4*1.5*1.6,3500000*(1.57975^(MIN($E156,123)-117)))*1,0))</f>
        <v>65184000</v>
      </c>
      <c r="Q156" s="4">
        <f t="shared" si="87"/>
        <v>129</v>
      </c>
      <c r="R156" s="8">
        <f>IF($J156=0,0,ROUND(MAX($J156*1.4*1.5*1.6*1.6,13100000*(1.429962^(MIN($E156,123)-117)))*1,0))</f>
        <v>112000065</v>
      </c>
      <c r="S156" s="6">
        <f t="shared" si="88"/>
        <v>131</v>
      </c>
      <c r="T156" s="7">
        <f>IF($J156=0,0,ROUND(MAX($J156*1.4*1.5*1.6*1.6*2.2,42600000*(1.576904^(MIN($E156,123)-117)))*1,0))</f>
        <v>654999741</v>
      </c>
      <c r="U156" s="4">
        <f t="shared" si="89"/>
        <v>134</v>
      </c>
      <c r="V156" s="8">
        <f>IF($J156=0,0,ROUND(MAX($J156*1.4*1.5*1.6*1.6*2.2*2.715,354000000*(1.642074^(MIN($E156,123)-117)))*1,0))</f>
        <v>6940002232</v>
      </c>
      <c r="W156" s="6">
        <f t="shared" si="90"/>
        <v>138</v>
      </c>
      <c r="X156" s="7">
        <f>IF($J156=0,0,ROUND(MAX($J156*1.4*1.5*1.6*1.6*2.2*2.715*2.6,3540000000*(1.579646^(MIN($E156,123)-117)))*1,0))</f>
        <v>54999899335</v>
      </c>
      <c r="Y156" s="4">
        <f t="shared" si="91"/>
        <v>140</v>
      </c>
      <c r="Z156" s="8">
        <f>IF($J156=0,0,ROUND(MAX($J156*1.4*1.5*1.6*1.6*2.2*2.715*2.6*1.4,6020000000*(1.651178^(MIN($E156,123)-117)))*1,0))</f>
        <v>122000006103</v>
      </c>
      <c r="AA156" s="6">
        <f t="shared" si="92"/>
        <v>142</v>
      </c>
      <c r="AB156" s="7">
        <f>IF($J156=0,0,ROUND(MAX($J156*1.4*1.5*1.6*1.6*2.2*2.715*2.6*1.4*1.4,8430000000*(1.651435^(MIN($E156,123)-117)))*1,0))</f>
        <v>171000146547</v>
      </c>
      <c r="AC156" s="4">
        <f t="shared" si="93"/>
        <v>144</v>
      </c>
      <c r="AD156" s="8">
        <f>IF($J156=0,0,ROUND(MAX($J156*1.4*1.5*1.6*1.6*2.2*2.715*2.6*1.4*1.4*1.5,12600000000*(1.652953^(MIN($E156,123)-117)))*1,0))</f>
        <v>257000267475</v>
      </c>
      <c r="AE156" s="6">
        <f t="shared" si="94"/>
        <v>147</v>
      </c>
      <c r="AF156" s="7">
        <f>IF($J156=0,0,ROUND(MAX($J156*1.4*1.5*1.6*1.6*2.2*2.715*2.6*1.4*1.4*1.5*1.5,18900000000*(1.65331^(MIN($E156,123)-117)))*1,0))</f>
        <v>386000226581</v>
      </c>
      <c r="AG156" s="4">
        <f t="shared" si="95"/>
        <v>150</v>
      </c>
      <c r="AH156" s="8">
        <f>IF($J156=0,0,ROUND(MAX($J156*1.4*1.5*1.6*1.6*2.2*2.715*2.6*1.4*1.4*1.5*1.5*3.2,60500000000*(1.654288^(MIN($E156,123)-117)))*1,0))</f>
        <v>1240001159555</v>
      </c>
    </row>
    <row r="157" spans="1:34" x14ac:dyDescent="0.25">
      <c r="A157" s="3">
        <v>131</v>
      </c>
      <c r="B157" s="3" t="s">
        <v>266</v>
      </c>
      <c r="C157" s="3" t="s">
        <v>228</v>
      </c>
      <c r="D157" s="3" t="s">
        <v>79</v>
      </c>
      <c r="E157" s="3">
        <v>123</v>
      </c>
      <c r="F157" s="3" t="s">
        <v>267</v>
      </c>
      <c r="G157" s="3" t="s">
        <v>67</v>
      </c>
      <c r="H157" s="3">
        <v>32</v>
      </c>
      <c r="I157" s="4">
        <v>123</v>
      </c>
      <c r="J157" s="5">
        <v>39200000</v>
      </c>
      <c r="K157" s="6">
        <f t="shared" si="84"/>
        <v>124</v>
      </c>
      <c r="L157" s="7">
        <f>IF($J157=0,0,ROUND(MAX($J157*1.4,1620000*(1.497923^(MIN($E157,123)-117)))*1,0))</f>
        <v>54880000</v>
      </c>
      <c r="M157" s="4">
        <f t="shared" si="85"/>
        <v>125</v>
      </c>
      <c r="N157" s="8">
        <f>IF($J157=0,0,ROUND(MAX($J157*1.4*1.5,2190000*(1.580994^(MIN($E157,123)-117)))*1,0))</f>
        <v>82320000</v>
      </c>
      <c r="O157" s="6">
        <f t="shared" si="86"/>
        <v>127</v>
      </c>
      <c r="P157" s="7">
        <f>IF($J157=0,0,ROUND(MAX($J157*1.4*1.5*1.6,3500000*(1.57975^(MIN($E157,123)-117)))*1,0))</f>
        <v>131712000</v>
      </c>
      <c r="Q157" s="4">
        <f t="shared" si="87"/>
        <v>129</v>
      </c>
      <c r="R157" s="8">
        <f>IF($J157=0,0,ROUND(MAX($J157*1.4*1.5*1.6*1.6,13100000*(1.429962^(MIN($E157,123)-117)))*1,0))</f>
        <v>210739200</v>
      </c>
      <c r="S157" s="6">
        <f t="shared" si="88"/>
        <v>131</v>
      </c>
      <c r="T157" s="7">
        <f>IF($J157=0,0,ROUND(MAX($J157*1.4*1.5*1.6*1.6*2.2,42600000*(1.576904^(MIN($E157,123)-117)))*1,0))</f>
        <v>654999741</v>
      </c>
      <c r="U157" s="4">
        <f t="shared" si="89"/>
        <v>134</v>
      </c>
      <c r="V157" s="8">
        <f>IF($J157=0,0,ROUND(MAX($J157*1.4*1.5*1.6*1.6*2.2*2.715,354000000*(1.642074^(MIN($E157,123)-117)))*1,0))</f>
        <v>6940002232</v>
      </c>
      <c r="W157" s="6">
        <f t="shared" si="90"/>
        <v>138</v>
      </c>
      <c r="X157" s="7">
        <f>IF($J157=0,0,ROUND(MAX($J157*1.4*1.5*1.6*1.6*2.2*2.715*2.6,3540000000*(1.579646^(MIN($E157,123)-117)))*1,0))</f>
        <v>54999899335</v>
      </c>
      <c r="Y157" s="4">
        <f t="shared" si="91"/>
        <v>140</v>
      </c>
      <c r="Z157" s="8">
        <f>IF($J157=0,0,ROUND(MAX($J157*1.4*1.5*1.6*1.6*2.2*2.715*2.6*1.4,6020000000*(1.651178^(MIN($E157,123)-117)))*1,0))</f>
        <v>122000006103</v>
      </c>
      <c r="AA157" s="6">
        <f t="shared" si="92"/>
        <v>142</v>
      </c>
      <c r="AB157" s="7">
        <f>IF($J157=0,0,ROUND(MAX($J157*1.4*1.5*1.6*1.6*2.2*2.715*2.6*1.4*1.4,8430000000*(1.651435^(MIN($E157,123)-117)))*1,0))</f>
        <v>171000146547</v>
      </c>
      <c r="AC157" s="4">
        <f t="shared" si="93"/>
        <v>144</v>
      </c>
      <c r="AD157" s="8">
        <f>IF($J157=0,0,ROUND(MAX($J157*1.4*1.5*1.6*1.6*2.2*2.715*2.6*1.4*1.4*1.5,12600000000*(1.652953^(MIN($E157,123)-117)))*1,0))</f>
        <v>257000267475</v>
      </c>
      <c r="AE157" s="6">
        <f t="shared" si="94"/>
        <v>147</v>
      </c>
      <c r="AF157" s="7">
        <f>IF($J157=0,0,ROUND(MAX($J157*1.4*1.5*1.6*1.6*2.2*2.715*2.6*1.4*1.4*1.5*1.5,18900000000*(1.65331^(MIN($E157,123)-117)))*1,0))</f>
        <v>386000226581</v>
      </c>
      <c r="AG157" s="4">
        <f t="shared" si="95"/>
        <v>150</v>
      </c>
      <c r="AH157" s="8">
        <f>IF($J157=0,0,ROUND(MAX($J157*1.4*1.5*1.6*1.6*2.2*2.715*2.6*1.4*1.4*1.5*1.5*3.2,60500000000*(1.654288^(MIN($E157,123)-117)))*1,0))</f>
        <v>1240001159555</v>
      </c>
    </row>
    <row r="158" spans="1:34" x14ac:dyDescent="0.25">
      <c r="A158" s="3">
        <v>134</v>
      </c>
      <c r="B158" s="3" t="s">
        <v>268</v>
      </c>
      <c r="C158" s="3" t="s">
        <v>228</v>
      </c>
      <c r="D158" s="3" t="s">
        <v>40</v>
      </c>
      <c r="E158" s="3">
        <v>123</v>
      </c>
      <c r="F158" s="3" t="s">
        <v>26</v>
      </c>
      <c r="G158" s="3" t="s">
        <v>242</v>
      </c>
      <c r="H158" s="3">
        <v>32</v>
      </c>
      <c r="I158" s="4">
        <v>123</v>
      </c>
      <c r="J158" s="5">
        <v>9520000</v>
      </c>
      <c r="K158" s="6">
        <f t="shared" si="84"/>
        <v>124</v>
      </c>
      <c r="L158" s="7">
        <f>IF($J158=0,0,ROUND(MAX($J158*1.4,1620000*(1.497923^(MIN($E158,123)-117)))*1,0))</f>
        <v>18300036</v>
      </c>
      <c r="M158" s="4">
        <f t="shared" si="85"/>
        <v>125</v>
      </c>
      <c r="N158" s="8">
        <f>IF($J158=0,0,ROUND(MAX($J158*1.4*1.5,2190000*(1.580994^(MIN($E158,123)-117)))*1,0))</f>
        <v>34199948</v>
      </c>
      <c r="O158" s="6">
        <f t="shared" si="86"/>
        <v>127</v>
      </c>
      <c r="P158" s="7">
        <f>IF($J158=0,0,ROUND(MAX($J158*1.4*1.5*1.6,3500000*(1.57975^(MIN($E158,123)-117)))*1,0))</f>
        <v>54399916</v>
      </c>
      <c r="Q158" s="4">
        <f t="shared" si="87"/>
        <v>129</v>
      </c>
      <c r="R158" s="8">
        <f>IF($J158=0,0,ROUND(MAX($J158*1.4*1.5*1.6*1.6,13100000*(1.429962^(MIN($E158,123)-117)))*1,0))</f>
        <v>112000065</v>
      </c>
      <c r="S158" s="6">
        <f t="shared" si="88"/>
        <v>131</v>
      </c>
      <c r="T158" s="7">
        <f>IF($J158=0,0,ROUND(MAX($J158*1.4*1.5*1.6*1.6*2.2,42600000*(1.576904^(MIN($E158,123)-117)))*1,0))</f>
        <v>654999741</v>
      </c>
      <c r="U158" s="4">
        <f t="shared" si="89"/>
        <v>134</v>
      </c>
      <c r="V158" s="8">
        <f>IF($J158=0,0,ROUND(MAX($J158*1.4*1.5*1.6*1.6*2.2*2.715,354000000*(1.642074^(MIN($E158,123)-117)))*1,0))</f>
        <v>6940002232</v>
      </c>
      <c r="W158" s="6">
        <f t="shared" si="90"/>
        <v>138</v>
      </c>
      <c r="X158" s="7">
        <f>IF($J158=0,0,ROUND(MAX($J158*1.4*1.5*1.6*1.6*2.2*2.715*2.6,3540000000*(1.579646^(MIN($E158,123)-117)))*1,0))</f>
        <v>54999899335</v>
      </c>
      <c r="Y158" s="4">
        <f t="shared" si="91"/>
        <v>140</v>
      </c>
      <c r="Z158" s="8">
        <f>IF($J158=0,0,ROUND(MAX($J158*1.4*1.5*1.6*1.6*2.2*2.715*2.6*1.4,6020000000*(1.651178^(MIN($E158,123)-117)))*1,0))</f>
        <v>122000006103</v>
      </c>
      <c r="AA158" s="6">
        <f t="shared" si="92"/>
        <v>142</v>
      </c>
      <c r="AB158" s="7">
        <f>IF($J158=0,0,ROUND(MAX($J158*1.4*1.5*1.6*1.6*2.2*2.715*2.6*1.4*1.4,8430000000*(1.651435^(MIN($E158,123)-117)))*1,0))</f>
        <v>171000146547</v>
      </c>
      <c r="AC158" s="4">
        <f t="shared" si="93"/>
        <v>144</v>
      </c>
      <c r="AD158" s="8">
        <f>IF($J158=0,0,ROUND(MAX($J158*1.4*1.5*1.6*1.6*2.2*2.715*2.6*1.4*1.4*1.5,12600000000*(1.652953^(MIN($E158,123)-117)))*1,0))</f>
        <v>257000267475</v>
      </c>
      <c r="AE158" s="6">
        <f t="shared" si="94"/>
        <v>147</v>
      </c>
      <c r="AF158" s="7">
        <f>IF($J158=0,0,ROUND(MAX($J158*1.4*1.5*1.6*1.6*2.2*2.715*2.6*1.4*1.4*1.5*1.5,18900000000*(1.65331^(MIN($E158,123)-117)))*1,0))</f>
        <v>386000226581</v>
      </c>
      <c r="AG158" s="4">
        <f t="shared" si="95"/>
        <v>150</v>
      </c>
      <c r="AH158" s="8">
        <f>IF($J158=0,0,ROUND(MAX($J158*1.4*1.5*1.6*1.6*2.2*2.715*2.6*1.4*1.4*1.5*1.5*3.2,60500000000*(1.654288^(MIN($E158,123)-117)))*1,0))</f>
        <v>1240001159555</v>
      </c>
    </row>
    <row r="159" spans="1:34" x14ac:dyDescent="0.25">
      <c r="A159" s="3">
        <v>129</v>
      </c>
      <c r="B159" s="3" t="s">
        <v>269</v>
      </c>
      <c r="C159" s="3" t="s">
        <v>228</v>
      </c>
      <c r="D159" s="3" t="s">
        <v>29</v>
      </c>
      <c r="E159" s="3">
        <v>123</v>
      </c>
      <c r="F159" s="3" t="s">
        <v>26</v>
      </c>
      <c r="G159" s="3" t="s">
        <v>270</v>
      </c>
      <c r="H159" s="3">
        <v>33</v>
      </c>
      <c r="I159" s="4">
        <v>123</v>
      </c>
      <c r="J159" s="5">
        <v>13400000</v>
      </c>
      <c r="K159" s="6">
        <f t="shared" si="84"/>
        <v>124</v>
      </c>
      <c r="L159" s="7">
        <f>IF($J159=0,0,ROUND(MAX($J159*1.4*1,4020000*(1.354082^(MIN($E159,123)-118))),0))</f>
        <v>18760000</v>
      </c>
      <c r="M159" s="4">
        <f t="shared" si="85"/>
        <v>125</v>
      </c>
      <c r="N159" s="8">
        <f>IF($J159=0,0,ROUND(MAX($J159*1.4*1.5*1,6950000*(1.375334^(MIN($E159,123)-118))),0))</f>
        <v>34199968</v>
      </c>
      <c r="O159" s="6">
        <f t="shared" si="86"/>
        <v>127</v>
      </c>
      <c r="P159" s="7">
        <f>IF($J159=0,0,ROUND(MAX($J159*1.4*1.5*1.6*1,23900000*(1.1788^(MIN($E159,123)-118))),0))</f>
        <v>54399955</v>
      </c>
      <c r="Q159" s="4">
        <f t="shared" si="87"/>
        <v>129</v>
      </c>
      <c r="R159" s="8">
        <f>IF($J159=0,0,ROUND(MAX($J159*1.4*1.5*1.6*1.6*1.25,77000000*(1.127009^(MIN($E159,123)-118))),0))</f>
        <v>139999874</v>
      </c>
      <c r="S159" s="6">
        <f t="shared" si="88"/>
        <v>131</v>
      </c>
      <c r="T159" s="7">
        <f>IF($J159=0,0,ROUND(MAX($J159*1.4*1.5*1.6*1.6*2.2*1.25,270000000*(1.248411^(MIN($E159,123)-118))),0))</f>
        <v>818750725</v>
      </c>
      <c r="U159" s="4">
        <f t="shared" si="89"/>
        <v>134</v>
      </c>
      <c r="V159" s="8">
        <f>IF($J159=0,0,ROUND(MAX($J159*1.4*1.5*1.6*1.6*2.2*2.715*1.25,2400000000*(1.293039^(MIN($E159,123)-118))),0))</f>
        <v>8674997573</v>
      </c>
      <c r="W159" s="6">
        <f t="shared" si="90"/>
        <v>138</v>
      </c>
      <c r="X159" s="7">
        <f>IF($J159=0,0,ROUND(MAX($J159*1.4*1.5*1.6*1.6*2.2*2.715*2.6*1.25,20000000000*(1.280114^(MIN($E159,123)-118))),0))</f>
        <v>68750083829</v>
      </c>
      <c r="Y159" s="4">
        <f t="shared" si="91"/>
        <v>140</v>
      </c>
      <c r="Z159" s="8">
        <f>IF($J159=0,0,ROUND(MAX($J159*1.4*1.5*1.6*1.6*2.2*2.715*2.6*1.4*1.25,39200000000*(1.31219^(MIN($E159,123)-118))),0))</f>
        <v>152499944536</v>
      </c>
      <c r="AA159" s="6">
        <f t="shared" si="92"/>
        <v>142</v>
      </c>
      <c r="AB159" s="7">
        <f>IF($J159=0,0,ROUND(MAX($J159*1.4*1.5*1.6*1.6*2.2*2.715*2.6*1.4*1.4*1.25,54900000000*(1.312402^(MIN($E159,123)-118))),0))</f>
        <v>213750314393</v>
      </c>
      <c r="AC159" s="4">
        <f t="shared" si="93"/>
        <v>144</v>
      </c>
      <c r="AD159" s="8">
        <f>IF($J159=0,0,ROUND(MAX($J159*1.4*1.5*1.6*1.6*2.2*2.715*2.6*1.4*1.4*1.5*1.25,82400000000*(1.312754^(MIN($E159,123)-118))),0))</f>
        <v>321250611518</v>
      </c>
      <c r="AE159" s="6">
        <f t="shared" si="94"/>
        <v>147</v>
      </c>
      <c r="AF159" s="7">
        <f>IF($J159=0,0,ROUND(MAX($J159*1.4*1.5*1.6*1.6*2.2*2.715*2.6*1.4*1.4*1.5*1.5*1.25,124000000000*(1.312246^(MIN($E159,123)-118))),0))</f>
        <v>482500728361</v>
      </c>
      <c r="AG159" s="4">
        <f t="shared" si="95"/>
        <v>150</v>
      </c>
      <c r="AH159" s="8">
        <f>IF($J159=0,0,ROUND(MAX($J159*1.4*1.5*1.6*1.6*2.2*2.715*2.6*1.4*1.4*1.5*1.5*3.2*1.25,397000000000*(1.313132^(MIN($E159,123)-118))),0))</f>
        <v>1550002616035</v>
      </c>
    </row>
    <row r="160" spans="1:34" x14ac:dyDescent="0.25">
      <c r="A160" s="3">
        <v>132</v>
      </c>
      <c r="B160" s="3" t="s">
        <v>271</v>
      </c>
      <c r="C160" s="3" t="s">
        <v>228</v>
      </c>
      <c r="D160" s="3" t="s">
        <v>40</v>
      </c>
      <c r="E160" s="3">
        <v>123</v>
      </c>
      <c r="F160" s="3" t="s">
        <v>237</v>
      </c>
      <c r="G160" s="3" t="s">
        <v>272</v>
      </c>
      <c r="H160" s="3">
        <v>32</v>
      </c>
      <c r="I160" s="4">
        <v>123</v>
      </c>
      <c r="J160" s="5">
        <v>12300000</v>
      </c>
      <c r="K160" s="6">
        <f t="shared" si="84"/>
        <v>124</v>
      </c>
      <c r="L160" s="7">
        <f>IF($J160=0,0,ROUND(MAX($J160*1.4,1620000*(1.497923^(MIN($E160,123)-117)))*1,0))</f>
        <v>18300036</v>
      </c>
      <c r="M160" s="4">
        <f t="shared" si="85"/>
        <v>125</v>
      </c>
      <c r="N160" s="8">
        <f>IF($J160=0,0,ROUND(MAX($J160*1.4*1.5,2190000*(1.580994^(MIN($E160,123)-117)))*1,0))</f>
        <v>34199948</v>
      </c>
      <c r="O160" s="6">
        <f t="shared" si="86"/>
        <v>127</v>
      </c>
      <c r="P160" s="7">
        <f>IF($J160=0,0,ROUND(MAX($J160*1.4*1.5*1.6,3500000*(1.57975^(MIN($E160,123)-117)))*1,0))</f>
        <v>54399916</v>
      </c>
      <c r="Q160" s="4">
        <f t="shared" si="87"/>
        <v>129</v>
      </c>
      <c r="R160" s="8">
        <f>IF($J160=0,0,ROUND(MAX($J160*1.4*1.5*1.6*1.6,13100000*(1.429962^(MIN($E160,123)-117)))*1,0))</f>
        <v>112000065</v>
      </c>
      <c r="S160" s="6">
        <f t="shared" si="88"/>
        <v>131</v>
      </c>
      <c r="T160" s="7">
        <f>IF($J160=0,0,ROUND(MAX($J160*1.4*1.5*1.6*1.6*2.2,42600000*(1.576904^(MIN($E160,123)-117)))*1,0))</f>
        <v>654999741</v>
      </c>
      <c r="U160" s="4">
        <f t="shared" si="89"/>
        <v>134</v>
      </c>
      <c r="V160" s="8">
        <f>IF($J160=0,0,ROUND(MAX($J160*1.4*1.5*1.6*1.6*2.2*2.715,354000000*(1.642074^(MIN($E160,123)-117)))*1,0))</f>
        <v>6940002232</v>
      </c>
      <c r="W160" s="6">
        <f t="shared" si="90"/>
        <v>138</v>
      </c>
      <c r="X160" s="7">
        <f>IF($J160=0,0,ROUND(MAX($J160*1.4*1.5*1.6*1.6*2.2*2.715*2.6,3540000000*(1.579646^(MIN($E160,123)-117)))*1,0))</f>
        <v>54999899335</v>
      </c>
      <c r="Y160" s="4">
        <f t="shared" si="91"/>
        <v>140</v>
      </c>
      <c r="Z160" s="8">
        <f>IF($J160=0,0,ROUND(MAX($J160*1.4*1.5*1.6*1.6*2.2*2.715*2.6*1.4,6020000000*(1.651178^(MIN($E160,123)-117)))*1,0))</f>
        <v>122000006103</v>
      </c>
      <c r="AA160" s="6">
        <f t="shared" si="92"/>
        <v>142</v>
      </c>
      <c r="AB160" s="7">
        <f>IF($J160=0,0,ROUND(MAX($J160*1.4*1.5*1.6*1.6*2.2*2.715*2.6*1.4*1.4,8430000000*(1.651435^(MIN($E160,123)-117)))*1,0))</f>
        <v>171000146547</v>
      </c>
      <c r="AC160" s="4">
        <f t="shared" si="93"/>
        <v>144</v>
      </c>
      <c r="AD160" s="8">
        <f>IF($J160=0,0,ROUND(MAX($J160*1.4*1.5*1.6*1.6*2.2*2.715*2.6*1.4*1.4*1.5,12600000000*(1.652953^(MIN($E160,123)-117)))*1,0))</f>
        <v>257000267475</v>
      </c>
      <c r="AE160" s="6">
        <f t="shared" si="94"/>
        <v>147</v>
      </c>
      <c r="AF160" s="7">
        <f>IF($J160=0,0,ROUND(MAX($J160*1.4*1.5*1.6*1.6*2.2*2.715*2.6*1.4*1.4*1.5*1.5,18900000000*(1.65331^(MIN($E160,123)-117)))*1,0))</f>
        <v>386000226581</v>
      </c>
      <c r="AG160" s="4">
        <f t="shared" si="95"/>
        <v>150</v>
      </c>
      <c r="AH160" s="8">
        <f>IF($J160=0,0,ROUND(MAX($J160*1.4*1.5*1.6*1.6*2.2*2.715*2.6*1.4*1.4*1.5*1.5*3.2,60500000000*(1.654288^(MIN($E160,123)-117)))*1,0))</f>
        <v>1240001159555</v>
      </c>
    </row>
    <row r="161" spans="1:34" x14ac:dyDescent="0.25">
      <c r="A161" s="3">
        <v>150</v>
      </c>
      <c r="B161" s="3" t="s">
        <v>273</v>
      </c>
      <c r="C161" s="3" t="s">
        <v>228</v>
      </c>
      <c r="D161" s="3" t="s">
        <v>33</v>
      </c>
      <c r="E161" s="3">
        <v>123</v>
      </c>
      <c r="F161" s="3" t="s">
        <v>212</v>
      </c>
      <c r="G161" s="3" t="s">
        <v>274</v>
      </c>
      <c r="H161" s="3">
        <v>30</v>
      </c>
      <c r="I161" s="4">
        <v>123</v>
      </c>
      <c r="J161" s="5">
        <v>12200000</v>
      </c>
      <c r="K161" s="6">
        <f t="shared" si="84"/>
        <v>124</v>
      </c>
      <c r="L161" s="7">
        <f>IF($J161=0,0,ROUND(MAX($J161*1.4,1620000*(1.497923^(MIN($E161,123)-117)))*0.8,0))</f>
        <v>14640029</v>
      </c>
      <c r="M161" s="4">
        <f t="shared" si="85"/>
        <v>125</v>
      </c>
      <c r="N161" s="8">
        <f>IF($J161=0,0,ROUND(MAX($J161*1.4*1.5,2190000*(1.580994^(MIN($E161,123)-117)))*0.8,0))</f>
        <v>27359958</v>
      </c>
      <c r="O161" s="6">
        <f t="shared" si="86"/>
        <v>127</v>
      </c>
      <c r="P161" s="7">
        <f>IF($J161=0,0,ROUND(MAX($J161*1.4*1.5*1.6,3500000*(1.57975^(MIN($E161,123)-117)))*0.8,0))</f>
        <v>43519933</v>
      </c>
      <c r="Q161" s="4">
        <f t="shared" si="87"/>
        <v>129</v>
      </c>
      <c r="R161" s="8">
        <f>IF($J161=0,0,ROUND(MAX($J161*1.4*1.5*1.6*1.6,13100000*(1.429962^(MIN($E161,123)-117)))*0.651041666666667,0))</f>
        <v>72916709</v>
      </c>
      <c r="S161" s="6">
        <f t="shared" si="88"/>
        <v>131</v>
      </c>
      <c r="T161" s="7">
        <f>IF($J161=0,0,ROUND(MAX($J161*1.4*1.5*1.6*1.6*2.2,42600000*(1.576904^(MIN($E161,123)-117)))*0.617361111111111,0))</f>
        <v>404371368</v>
      </c>
      <c r="U161" s="4">
        <f t="shared" si="89"/>
        <v>134</v>
      </c>
      <c r="V161" s="8">
        <f>IF($J161=0,0,ROUND(MAX($J161*1.4*1.5*1.6*1.6*2.2*2.715,354000000*(1.642074^(MIN($E161,123)-117)))*0.583680555555556,0))</f>
        <v>4050744359</v>
      </c>
      <c r="W161" s="6">
        <f t="shared" si="90"/>
        <v>138</v>
      </c>
      <c r="X161" s="7">
        <f>IF($J161=0,0,ROUND(MAX($J161*1.4*1.5*1.6*1.6*2.2*2.715*2.6,3540000000*(1.579646^(MIN($E161,123)-117)))*0.55,0))</f>
        <v>30249944634</v>
      </c>
      <c r="Y161" s="4">
        <f t="shared" si="91"/>
        <v>140</v>
      </c>
      <c r="Z161" s="8">
        <f>IF($J161=0,0,ROUND(MAX($J161*1.4*1.5*1.6*1.6*2.2*2.715*2.6*1.4,6020000000*(1.651178^(MIN($E161,123)-117)))*0.55,0))</f>
        <v>67100003357</v>
      </c>
      <c r="AA161" s="6">
        <f t="shared" si="92"/>
        <v>142</v>
      </c>
      <c r="AB161" s="7">
        <f>IF($J161=0,0,ROUND(MAX($J161*1.4*1.5*1.6*1.6*2.2*2.715*2.6*1.4*1.4,8430000000*(1.651435^(MIN($E161,123)-117)))*0.55,0))</f>
        <v>94050080601</v>
      </c>
      <c r="AC161" s="4">
        <f t="shared" si="93"/>
        <v>144</v>
      </c>
      <c r="AD161" s="8">
        <f>IF($J161=0,0,ROUND(MAX($J161*1.4*1.5*1.6*1.6*2.2*2.715*2.6*1.4*1.4*1.5,12600000000*(1.652953^(MIN($E161,123)-117)))*0.55,0))</f>
        <v>141350147111</v>
      </c>
      <c r="AE161" s="6">
        <f t="shared" si="94"/>
        <v>147</v>
      </c>
      <c r="AF161" s="7">
        <f>IF($J161=0,0,ROUND(MAX($J161*1.4*1.5*1.6*1.6*2.2*2.715*2.6*1.4*1.4*1.5*1.5,18900000000*(1.65331^(MIN($E161,123)-117)))*0.55,0))</f>
        <v>212300124619</v>
      </c>
      <c r="AG161" s="4">
        <f t="shared" si="95"/>
        <v>150</v>
      </c>
      <c r="AH161" s="8">
        <f>IF($J161=0,0,ROUND(MAX($J161*1.4*1.5*1.6*1.6*2.2*2.715*2.6*1.4*1.4*1.5*1.5*3.2,60500000000*(1.654288^(MIN($E161,123)-117)))*0.55,0))</f>
        <v>682000637755</v>
      </c>
    </row>
    <row r="162" spans="1:34" x14ac:dyDescent="0.25">
      <c r="A162" s="3">
        <v>135</v>
      </c>
      <c r="B162" s="3" t="s">
        <v>275</v>
      </c>
      <c r="C162" s="3" t="s">
        <v>228</v>
      </c>
      <c r="D162" s="3" t="s">
        <v>90</v>
      </c>
      <c r="E162" s="3">
        <v>123</v>
      </c>
      <c r="F162" s="3" t="s">
        <v>71</v>
      </c>
      <c r="G162" s="3" t="s">
        <v>206</v>
      </c>
      <c r="H162" s="3">
        <v>32</v>
      </c>
      <c r="I162" s="4">
        <v>123</v>
      </c>
      <c r="J162" s="5">
        <v>12200000</v>
      </c>
      <c r="K162" s="6">
        <f t="shared" si="84"/>
        <v>124</v>
      </c>
      <c r="L162" s="7">
        <f>IF($J162=0,0,ROUND(MAX($J162*1.4,1620000*(1.497923^(MIN($E162,123)-117)))*1,0))</f>
        <v>18300036</v>
      </c>
      <c r="M162" s="4">
        <f t="shared" si="85"/>
        <v>125</v>
      </c>
      <c r="N162" s="8">
        <f>IF($J162=0,0,ROUND(MAX($J162*1.4*1.5,2190000*(1.580994^(MIN($E162,123)-117)))*1,0))</f>
        <v>34199948</v>
      </c>
      <c r="O162" s="6">
        <f t="shared" si="86"/>
        <v>127</v>
      </c>
      <c r="P162" s="7">
        <f>IF($J162=0,0,ROUND(MAX($J162*1.4*1.5*1.6,3500000*(1.57975^(MIN($E162,123)-117)))*1,0))</f>
        <v>54399916</v>
      </c>
      <c r="Q162" s="4">
        <f t="shared" si="87"/>
        <v>129</v>
      </c>
      <c r="R162" s="8">
        <f>IF($J162=0,0,ROUND(MAX($J162*1.4*1.5*1.6*1.6,13100000*(1.429962^(MIN($E162,123)-117)))*1,0))</f>
        <v>112000065</v>
      </c>
      <c r="S162" s="6">
        <f t="shared" si="88"/>
        <v>131</v>
      </c>
      <c r="T162" s="7">
        <f>IF($J162=0,0,ROUND(MAX($J162*1.4*1.5*1.6*1.6*2.2,42600000*(1.576904^(MIN($E162,123)-117)))*1,0))</f>
        <v>654999741</v>
      </c>
      <c r="U162" s="4">
        <f t="shared" si="89"/>
        <v>134</v>
      </c>
      <c r="V162" s="8">
        <f>IF($J162=0,0,ROUND(MAX($J162*1.4*1.5*1.6*1.6*2.2*2.715,354000000*(1.642074^(MIN($E162,123)-117)))*1,0))</f>
        <v>6940002232</v>
      </c>
      <c r="W162" s="6">
        <f t="shared" si="90"/>
        <v>138</v>
      </c>
      <c r="X162" s="7">
        <f>IF($J162=0,0,ROUND(MAX($J162*1.4*1.5*1.6*1.6*2.2*2.715*2.6,3540000000*(1.579646^(MIN($E162,123)-117)))*1,0))</f>
        <v>54999899335</v>
      </c>
      <c r="Y162" s="4">
        <f t="shared" si="91"/>
        <v>140</v>
      </c>
      <c r="Z162" s="8">
        <f>IF($J162=0,0,ROUND(MAX($J162*1.4*1.5*1.6*1.6*2.2*2.715*2.6*1.4,6020000000*(1.651178^(MIN($E162,123)-117)))*1,0))</f>
        <v>122000006103</v>
      </c>
      <c r="AA162" s="6">
        <f t="shared" si="92"/>
        <v>142</v>
      </c>
      <c r="AB162" s="7">
        <f>IF($J162=0,0,ROUND(MAX($J162*1.4*1.5*1.6*1.6*2.2*2.715*2.6*1.4*1.4,8430000000*(1.651435^(MIN($E162,123)-117)))*1,0))</f>
        <v>171000146547</v>
      </c>
      <c r="AC162" s="4">
        <f t="shared" si="93"/>
        <v>144</v>
      </c>
      <c r="AD162" s="8">
        <f>IF($J162=0,0,ROUND(MAX($J162*1.4*1.5*1.6*1.6*2.2*2.715*2.6*1.4*1.4*1.5,12600000000*(1.652953^(MIN($E162,123)-117)))*1,0))</f>
        <v>257000267475</v>
      </c>
      <c r="AE162" s="6">
        <f t="shared" si="94"/>
        <v>147</v>
      </c>
      <c r="AF162" s="7">
        <f>IF($J162=0,0,ROUND(MAX($J162*1.4*1.5*1.6*1.6*2.2*2.715*2.6*1.4*1.4*1.5*1.5,18900000000*(1.65331^(MIN($E162,123)-117)))*1,0))</f>
        <v>386000226581</v>
      </c>
      <c r="AG162" s="4">
        <f t="shared" si="95"/>
        <v>150</v>
      </c>
      <c r="AH162" s="8">
        <f>IF($J162=0,0,ROUND(MAX($J162*1.4*1.5*1.6*1.6*2.2*2.715*2.6*1.4*1.4*1.5*1.5*3.2,60500000000*(1.654288^(MIN($E162,123)-117)))*1,0))</f>
        <v>1240001159555</v>
      </c>
    </row>
    <row r="163" spans="1:34" x14ac:dyDescent="0.25">
      <c r="A163" s="3">
        <v>143</v>
      </c>
      <c r="B163" s="3" t="s">
        <v>276</v>
      </c>
      <c r="C163" s="3" t="s">
        <v>228</v>
      </c>
      <c r="D163" s="3" t="s">
        <v>33</v>
      </c>
      <c r="E163" s="3">
        <v>123</v>
      </c>
      <c r="F163" s="3" t="s">
        <v>34</v>
      </c>
      <c r="G163" s="3" t="s">
        <v>277</v>
      </c>
      <c r="H163" s="3">
        <v>31</v>
      </c>
      <c r="I163" s="4">
        <v>123</v>
      </c>
      <c r="J163" s="5">
        <v>12800000</v>
      </c>
      <c r="K163" s="6">
        <f t="shared" si="84"/>
        <v>124</v>
      </c>
      <c r="L163" s="7">
        <f>IF($J163=0,0,ROUND(MAX($J163*1.4,1620000*(1.497923^(MIN($E163,123)-117)))*1,0))</f>
        <v>18300036</v>
      </c>
      <c r="M163" s="4">
        <f t="shared" si="85"/>
        <v>125</v>
      </c>
      <c r="N163" s="8">
        <f>IF($J163=0,0,ROUND(MAX($J163*1.4*1.5,2190000*(1.580994^(MIN($E163,123)-117)))*1,0))</f>
        <v>34199948</v>
      </c>
      <c r="O163" s="6">
        <f t="shared" si="86"/>
        <v>127</v>
      </c>
      <c r="P163" s="7">
        <f>IF($J163=0,0,ROUND(MAX($J163*1.4*1.5*1.6,3500000*(1.57975^(MIN($E163,123)-117)))*1,0))</f>
        <v>54399916</v>
      </c>
      <c r="Q163" s="4">
        <f t="shared" si="87"/>
        <v>129</v>
      </c>
      <c r="R163" s="8">
        <f>IF($J163=0,0,ROUND(MAX($J163*1.4*1.5*1.6*1.6,13100000*(1.429962^(MIN($E163,123)-117)))*1,0))</f>
        <v>112000065</v>
      </c>
      <c r="S163" s="6">
        <f t="shared" si="88"/>
        <v>131</v>
      </c>
      <c r="T163" s="7">
        <f>IF($J163=0,0,ROUND(MAX($J163*1.4*1.5*1.6*1.6*2.2,42600000*(1.576904^(MIN($E163,123)-117)))*1,0))</f>
        <v>654999741</v>
      </c>
      <c r="U163" s="4">
        <f t="shared" si="89"/>
        <v>134</v>
      </c>
      <c r="V163" s="8">
        <f>IF($J163=0,0,ROUND(MAX($J163*1.4*1.5*1.6*1.6*2.2*2.715,354000000*(1.642074^(MIN($E163,123)-117)))*1,0))</f>
        <v>6940002232</v>
      </c>
      <c r="W163" s="6">
        <f t="shared" si="90"/>
        <v>138</v>
      </c>
      <c r="X163" s="7">
        <f>IF($J163=0,0,ROUND(MAX($J163*1.4*1.5*1.6*1.6*2.2*2.715*2.6,3540000000*(1.579646^(MIN($E163,123)-117)))*1,0))</f>
        <v>54999899335</v>
      </c>
      <c r="Y163" s="4">
        <f t="shared" si="91"/>
        <v>140</v>
      </c>
      <c r="Z163" s="8">
        <f>IF($J163=0,0,ROUND(MAX($J163*1.4*1.5*1.6*1.6*2.2*2.715*2.6*1.4,6020000000*(1.651178^(MIN($E163,123)-117)))*1,0))</f>
        <v>122000006103</v>
      </c>
      <c r="AA163" s="6">
        <f t="shared" si="92"/>
        <v>142</v>
      </c>
      <c r="AB163" s="7">
        <f>IF($J163=0,0,ROUND(MAX($J163*1.4*1.5*1.6*1.6*2.2*2.715*2.6*1.4*1.4,8430000000*(1.651435^(MIN($E163,123)-117)))*1,0))</f>
        <v>171000146547</v>
      </c>
      <c r="AC163" s="4">
        <f t="shared" si="93"/>
        <v>144</v>
      </c>
      <c r="AD163" s="8">
        <f>IF($J163=0,0,ROUND(MAX($J163*1.4*1.5*1.6*1.6*2.2*2.715*2.6*1.4*1.4*1.5,12600000000*(1.652953^(MIN($E163,123)-117)))*1,0))</f>
        <v>257000267475</v>
      </c>
      <c r="AE163" s="6">
        <f t="shared" si="94"/>
        <v>147</v>
      </c>
      <c r="AF163" s="7">
        <f>IF($J163=0,0,ROUND(MAX($J163*1.4*1.5*1.6*1.6*2.2*2.715*2.6*1.4*1.4*1.5*1.5,18900000000*(1.65331^(MIN($E163,123)-117)))*1,0))</f>
        <v>386000226581</v>
      </c>
      <c r="AG163" s="4">
        <f t="shared" si="95"/>
        <v>150</v>
      </c>
      <c r="AH163" s="8">
        <f>IF($J163=0,0,ROUND(MAX($J163*1.4*1.5*1.6*1.6*2.2*2.715*2.6*1.4*1.4*1.5*1.5*3.2,60500000000*(1.654288^(MIN($E163,123)-117)))*1,0))</f>
        <v>1240001159555</v>
      </c>
    </row>
    <row r="164" spans="1:34" x14ac:dyDescent="0.25">
      <c r="A164" s="3">
        <v>140</v>
      </c>
      <c r="B164" s="3" t="s">
        <v>278</v>
      </c>
      <c r="C164" s="3" t="s">
        <v>228</v>
      </c>
      <c r="D164" s="3" t="s">
        <v>75</v>
      </c>
      <c r="E164" s="3">
        <v>123</v>
      </c>
      <c r="F164" s="3" t="s">
        <v>59</v>
      </c>
      <c r="G164" s="3" t="s">
        <v>218</v>
      </c>
      <c r="H164" s="3">
        <v>31</v>
      </c>
      <c r="I164" s="4">
        <v>123</v>
      </c>
      <c r="J164" s="5">
        <v>13200000</v>
      </c>
      <c r="K164" s="6">
        <f t="shared" si="84"/>
        <v>124</v>
      </c>
      <c r="L164" s="7">
        <f>IF($J164=0,0,ROUND(MAX($J164*1.4,1620000*(1.497923^(MIN($E164,123)-117)))*1,0))</f>
        <v>18480000</v>
      </c>
      <c r="M164" s="4">
        <f t="shared" si="85"/>
        <v>125</v>
      </c>
      <c r="N164" s="8">
        <f>IF($J164=0,0,ROUND(MAX($J164*1.4*1.5,2190000*(1.580994^(MIN($E164,123)-117)))*1,0))</f>
        <v>34199948</v>
      </c>
      <c r="O164" s="6">
        <f t="shared" si="86"/>
        <v>127</v>
      </c>
      <c r="P164" s="7">
        <f>IF($J164=0,0,ROUND(MAX($J164*1.4*1.5*1.6,3500000*(1.57975^(MIN($E164,123)-117)))*1,0))</f>
        <v>54399916</v>
      </c>
      <c r="Q164" s="4">
        <f t="shared" si="87"/>
        <v>129</v>
      </c>
      <c r="R164" s="8">
        <f>IF($J164=0,0,ROUND(MAX($J164*1.4*1.5*1.6*1.6,13100000*(1.429962^(MIN($E164,123)-117)))*1,0))</f>
        <v>112000065</v>
      </c>
      <c r="S164" s="6">
        <f t="shared" si="88"/>
        <v>131</v>
      </c>
      <c r="T164" s="7">
        <f>IF($J164=0,0,ROUND(MAX($J164*1.4*1.5*1.6*1.6*2.2,42600000*(1.576904^(MIN($E164,123)-117)))*1,0))</f>
        <v>654999741</v>
      </c>
      <c r="U164" s="4">
        <f t="shared" si="89"/>
        <v>134</v>
      </c>
      <c r="V164" s="8">
        <f>IF($J164=0,0,ROUND(MAX($J164*1.4*1.5*1.6*1.6*2.2*2.715,354000000*(1.642074^(MIN($E164,123)-117)))*1,0))</f>
        <v>6940002232</v>
      </c>
      <c r="W164" s="6">
        <f t="shared" si="90"/>
        <v>138</v>
      </c>
      <c r="X164" s="7">
        <f>IF($J164=0,0,ROUND(MAX($J164*1.4*1.5*1.6*1.6*2.2*2.715*2.6,3540000000*(1.579646^(MIN($E164,123)-117)))*1,0))</f>
        <v>54999899335</v>
      </c>
      <c r="Y164" s="4">
        <f t="shared" si="91"/>
        <v>140</v>
      </c>
      <c r="Z164" s="8">
        <f>IF($J164=0,0,ROUND(MAX($J164*1.4*1.5*1.6*1.6*2.2*2.715*2.6*1.4,6020000000*(1.651178^(MIN($E164,123)-117)))*1,0))</f>
        <v>122000006103</v>
      </c>
      <c r="AA164" s="6">
        <f t="shared" si="92"/>
        <v>142</v>
      </c>
      <c r="AB164" s="7">
        <f>IF($J164=0,0,ROUND(MAX($J164*1.4*1.5*1.6*1.6*2.2*2.715*2.6*1.4*1.4,8430000000*(1.651435^(MIN($E164,123)-117)))*1,0))</f>
        <v>171000146547</v>
      </c>
      <c r="AC164" s="4">
        <f t="shared" si="93"/>
        <v>144</v>
      </c>
      <c r="AD164" s="8">
        <f>IF($J164=0,0,ROUND(MAX($J164*1.4*1.5*1.6*1.6*2.2*2.715*2.6*1.4*1.4*1.5,12600000000*(1.652953^(MIN($E164,123)-117)))*1,0))</f>
        <v>257000267475</v>
      </c>
      <c r="AE164" s="6">
        <f t="shared" si="94"/>
        <v>147</v>
      </c>
      <c r="AF164" s="7">
        <f>IF($J164=0,0,ROUND(MAX($J164*1.4*1.5*1.6*1.6*2.2*2.715*2.6*1.4*1.4*1.5*1.5,18900000000*(1.65331^(MIN($E164,123)-117)))*1,0))</f>
        <v>386000226581</v>
      </c>
      <c r="AG164" s="4">
        <f t="shared" si="95"/>
        <v>150</v>
      </c>
      <c r="AH164" s="8">
        <f>IF($J164=0,0,ROUND(MAX($J164*1.4*1.5*1.6*1.6*2.2*2.715*2.6*1.4*1.4*1.5*1.5*3.2,60500000000*(1.654288^(MIN($E164,123)-117)))*1,0))</f>
        <v>1240001159555</v>
      </c>
    </row>
    <row r="165" spans="1:34" x14ac:dyDescent="0.25">
      <c r="A165" s="3">
        <v>148</v>
      </c>
      <c r="B165" s="3" t="s">
        <v>279</v>
      </c>
      <c r="C165" s="3" t="s">
        <v>228</v>
      </c>
      <c r="D165" s="3" t="s">
        <v>40</v>
      </c>
      <c r="E165" s="3">
        <v>123</v>
      </c>
      <c r="F165" s="3" t="s">
        <v>54</v>
      </c>
      <c r="G165" s="3" t="s">
        <v>218</v>
      </c>
      <c r="H165" s="3">
        <v>31</v>
      </c>
      <c r="I165" s="4">
        <v>123</v>
      </c>
      <c r="J165" s="5">
        <v>51900000</v>
      </c>
      <c r="K165" s="6">
        <f t="shared" si="84"/>
        <v>124</v>
      </c>
      <c r="L165" s="7">
        <f>IF($J165=0,0,ROUND(MAX($J165*1.4*1,4020000*(1.354082^(MIN($E165,123)-118))),0))</f>
        <v>72660000</v>
      </c>
      <c r="M165" s="4">
        <f t="shared" si="85"/>
        <v>125</v>
      </c>
      <c r="N165" s="8">
        <f>IF($J165=0,0,ROUND(MAX($J165*1.4*1.5*1,6950000*(1.375334^(MIN($E165,123)-118))),0))</f>
        <v>108990000</v>
      </c>
      <c r="O165" s="6">
        <f t="shared" si="86"/>
        <v>127</v>
      </c>
      <c r="P165" s="7">
        <f>IF($J165=0,0,ROUND(MAX($J165*1.4*1.5*1.6*1,23900000*(1.1788^(MIN($E165,123)-118))),0))</f>
        <v>174384000</v>
      </c>
      <c r="Q165" s="4">
        <f t="shared" si="87"/>
        <v>129</v>
      </c>
      <c r="R165" s="8">
        <f>IF($J165=0,0,ROUND(MAX($J165*1.4*1.5*1.6*1.6*1.25,77000000*(1.127009^(MIN($E165,123)-118))),0))</f>
        <v>348768000</v>
      </c>
      <c r="S165" s="6">
        <f t="shared" si="88"/>
        <v>131</v>
      </c>
      <c r="T165" s="7">
        <f>IF($J165=0,0,ROUND(MAX($J165*1.4*1.5*1.6*1.6*2.2*1.25,270000000*(1.248411^(MIN($E165,123)-118))),0))</f>
        <v>818750725</v>
      </c>
      <c r="U165" s="4">
        <f t="shared" si="89"/>
        <v>134</v>
      </c>
      <c r="V165" s="8">
        <f>IF($J165=0,0,ROUND(MAX($J165*1.4*1.5*1.6*1.6*2.2*2.715*1.25,2400000000*(1.293039^(MIN($E165,123)-118))),0))</f>
        <v>8674997573</v>
      </c>
      <c r="W165" s="6">
        <f t="shared" si="90"/>
        <v>138</v>
      </c>
      <c r="X165" s="7">
        <f>IF($J165=0,0,ROUND(MAX($J165*1.4*1.5*1.6*1.6*2.2*2.715*2.6*1.25,20000000000*(1.280114^(MIN($E165,123)-118))),0))</f>
        <v>68750083829</v>
      </c>
      <c r="Y165" s="4">
        <f t="shared" si="91"/>
        <v>140</v>
      </c>
      <c r="Z165" s="8">
        <f>IF($J165=0,0,ROUND(MAX($J165*1.4*1.5*1.6*1.6*2.2*2.715*2.6*1.4*1.25,39200000000*(1.31219^(MIN($E165,123)-118))),0))</f>
        <v>152499944536</v>
      </c>
      <c r="AA165" s="6">
        <f t="shared" si="92"/>
        <v>142</v>
      </c>
      <c r="AB165" s="7">
        <f>IF($J165=0,0,ROUND(MAX($J165*1.4*1.5*1.6*1.6*2.2*2.715*2.6*1.4*1.4*1.25,54900000000*(1.312402^(MIN($E165,123)-118))),0))</f>
        <v>213750314393</v>
      </c>
      <c r="AC165" s="4">
        <f t="shared" si="93"/>
        <v>144</v>
      </c>
      <c r="AD165" s="8">
        <f>IF($J165=0,0,ROUND(MAX($J165*1.4*1.5*1.6*1.6*2.2*2.715*2.6*1.4*1.4*1.5*1.25,82400000000*(1.312754^(MIN($E165,123)-118))),0))</f>
        <v>321250611518</v>
      </c>
      <c r="AE165" s="6">
        <f t="shared" si="94"/>
        <v>147</v>
      </c>
      <c r="AF165" s="7">
        <f>IF($J165=0,0,ROUND(MAX($J165*1.4*1.5*1.6*1.6*2.2*2.715*2.6*1.4*1.4*1.5*1.5*1.25,124000000000*(1.312246^(MIN($E165,123)-118))),0))</f>
        <v>482500728361</v>
      </c>
      <c r="AG165" s="4">
        <f t="shared" si="95"/>
        <v>150</v>
      </c>
      <c r="AH165" s="8">
        <f>IF($J165=0,0,ROUND(MAX($J165*1.4*1.5*1.6*1.6*2.2*2.715*2.6*1.4*1.4*1.5*1.5*3.2*1.25,397000000000*(1.313132^(MIN($E165,123)-118))),0))</f>
        <v>1550002616035</v>
      </c>
    </row>
    <row r="166" spans="1:34" x14ac:dyDescent="0.25">
      <c r="A166" s="3">
        <v>136</v>
      </c>
      <c r="B166" s="3" t="s">
        <v>280</v>
      </c>
      <c r="C166" s="3" t="s">
        <v>228</v>
      </c>
      <c r="D166" s="3" t="s">
        <v>40</v>
      </c>
      <c r="E166" s="3">
        <v>123</v>
      </c>
      <c r="F166" s="3" t="s">
        <v>281</v>
      </c>
      <c r="G166" s="3" t="s">
        <v>282</v>
      </c>
      <c r="H166" s="3">
        <v>32</v>
      </c>
      <c r="I166" s="4">
        <v>123</v>
      </c>
      <c r="J166" s="5">
        <v>12300000</v>
      </c>
      <c r="K166" s="6">
        <f t="shared" si="84"/>
        <v>124</v>
      </c>
      <c r="L166" s="7">
        <f>IF($J166=0,0,ROUND(MAX($J166*1.4,1620000*(1.497923^(MIN($E166,123)-117)))*1,0))</f>
        <v>18300036</v>
      </c>
      <c r="M166" s="4">
        <f t="shared" si="85"/>
        <v>125</v>
      </c>
      <c r="N166" s="8">
        <f>IF($J166=0,0,ROUND(MAX($J166*1.4*1.5,2190000*(1.580994^(MIN($E166,123)-117)))*1,0))</f>
        <v>34199948</v>
      </c>
      <c r="O166" s="6">
        <f t="shared" si="86"/>
        <v>127</v>
      </c>
      <c r="P166" s="7">
        <f>IF($J166=0,0,ROUND(MAX($J166*1.4*1.5*1.6,3500000*(1.57975^(MIN($E166,123)-117)))*1,0))</f>
        <v>54399916</v>
      </c>
      <c r="Q166" s="4">
        <f t="shared" si="87"/>
        <v>129</v>
      </c>
      <c r="R166" s="8">
        <f>IF($J166=0,0,ROUND(MAX($J166*1.4*1.5*1.6*1.6,13100000*(1.429962^(MIN($E166,123)-117)))*1,0))</f>
        <v>112000065</v>
      </c>
      <c r="S166" s="6">
        <f t="shared" si="88"/>
        <v>131</v>
      </c>
      <c r="T166" s="7">
        <f>IF($J166=0,0,ROUND(MAX($J166*1.4*1.5*1.6*1.6*2.2,42600000*(1.576904^(MIN($E166,123)-117)))*1,0))</f>
        <v>654999741</v>
      </c>
      <c r="U166" s="4">
        <f t="shared" si="89"/>
        <v>134</v>
      </c>
      <c r="V166" s="8">
        <f>IF($J166=0,0,ROUND(MAX($J166*1.4*1.5*1.6*1.6*2.2*2.715,354000000*(1.642074^(MIN($E166,123)-117)))*1,0))</f>
        <v>6940002232</v>
      </c>
      <c r="W166" s="6">
        <f t="shared" si="90"/>
        <v>138</v>
      </c>
      <c r="X166" s="7">
        <f>IF($J166=0,0,ROUND(MAX($J166*1.4*1.5*1.6*1.6*2.2*2.715*2.6,3540000000*(1.579646^(MIN($E166,123)-117)))*1,0))</f>
        <v>54999899335</v>
      </c>
      <c r="Y166" s="4">
        <f t="shared" si="91"/>
        <v>140</v>
      </c>
      <c r="Z166" s="8">
        <f>IF($J166=0,0,ROUND(MAX($J166*1.4*1.5*1.6*1.6*2.2*2.715*2.6*1.4,6020000000*(1.651178^(MIN($E166,123)-117)))*1,0))</f>
        <v>122000006103</v>
      </c>
      <c r="AA166" s="6">
        <f t="shared" si="92"/>
        <v>142</v>
      </c>
      <c r="AB166" s="7">
        <f>IF($J166=0,0,ROUND(MAX($J166*1.4*1.5*1.6*1.6*2.2*2.715*2.6*1.4*1.4,8430000000*(1.651435^(MIN($E166,123)-117)))*1,0))</f>
        <v>171000146547</v>
      </c>
      <c r="AC166" s="4">
        <f t="shared" si="93"/>
        <v>144</v>
      </c>
      <c r="AD166" s="8">
        <f>IF($J166=0,0,ROUND(MAX($J166*1.4*1.5*1.6*1.6*2.2*2.715*2.6*1.4*1.4*1.5,12600000000*(1.652953^(MIN($E166,123)-117)))*1,0))</f>
        <v>257000267475</v>
      </c>
      <c r="AE166" s="6">
        <f t="shared" si="94"/>
        <v>147</v>
      </c>
      <c r="AF166" s="7">
        <f>IF($J166=0,0,ROUND(MAX($J166*1.4*1.5*1.6*1.6*2.2*2.715*2.6*1.4*1.4*1.5*1.5,18900000000*(1.65331^(MIN($E166,123)-117)))*1,0))</f>
        <v>386000226581</v>
      </c>
      <c r="AG166" s="4">
        <f t="shared" si="95"/>
        <v>150</v>
      </c>
      <c r="AH166" s="8">
        <f>IF($J166=0,0,ROUND(MAX($J166*1.4*1.5*1.6*1.6*2.2*2.715*2.6*1.4*1.4*1.5*1.5*3.2,60500000000*(1.654288^(MIN($E166,123)-117)))*1,0))</f>
        <v>1240001159555</v>
      </c>
    </row>
    <row r="167" spans="1:34" x14ac:dyDescent="0.25">
      <c r="A167" s="3">
        <v>138</v>
      </c>
      <c r="B167" s="3" t="s">
        <v>283</v>
      </c>
      <c r="C167" s="3" t="s">
        <v>228</v>
      </c>
      <c r="D167" s="3" t="s">
        <v>33</v>
      </c>
      <c r="E167" s="3">
        <v>123</v>
      </c>
      <c r="F167" s="3" t="s">
        <v>42</v>
      </c>
      <c r="G167" s="3" t="s">
        <v>133</v>
      </c>
      <c r="H167" s="3">
        <v>32</v>
      </c>
      <c r="I167" s="4">
        <v>123</v>
      </c>
      <c r="J167" s="5">
        <v>11800000</v>
      </c>
      <c r="K167" s="6">
        <f t="shared" si="84"/>
        <v>124</v>
      </c>
      <c r="L167" s="7">
        <f>IF($J167=0,0,ROUND(MAX($J167*1.4*1,4020000*(1.354082^(MIN($E167,123)-118))),0))</f>
        <v>18299991</v>
      </c>
      <c r="M167" s="4">
        <f t="shared" si="85"/>
        <v>125</v>
      </c>
      <c r="N167" s="8">
        <f>IF($J167=0,0,ROUND(MAX($J167*1.4*1.5*1,6950000*(1.375334^(MIN($E167,123)-118))),0))</f>
        <v>34199968</v>
      </c>
      <c r="O167" s="6">
        <f t="shared" si="86"/>
        <v>127</v>
      </c>
      <c r="P167" s="7">
        <f>IF($J167=0,0,ROUND(MAX($J167*1.4*1.5*1.6*1,23900000*(1.1788^(MIN($E167,123)-118))),0))</f>
        <v>54399955</v>
      </c>
      <c r="Q167" s="4">
        <f t="shared" si="87"/>
        <v>129</v>
      </c>
      <c r="R167" s="8">
        <f>IF($J167=0,0,ROUND(MAX($J167*1.4*1.5*1.6*1.6*1.25,77000000*(1.127009^(MIN($E167,123)-118))),0))</f>
        <v>139999874</v>
      </c>
      <c r="S167" s="6">
        <f t="shared" si="88"/>
        <v>131</v>
      </c>
      <c r="T167" s="7">
        <f>IF($J167=0,0,ROUND(MAX($J167*1.4*1.5*1.6*1.6*2.2*1.25,270000000*(1.248411^(MIN($E167,123)-118))),0))</f>
        <v>818750725</v>
      </c>
      <c r="U167" s="4">
        <f t="shared" si="89"/>
        <v>134</v>
      </c>
      <c r="V167" s="8">
        <f>IF($J167=0,0,ROUND(MAX($J167*1.4*1.5*1.6*1.6*2.2*2.715*1.25,2400000000*(1.293039^(MIN($E167,123)-118))),0))</f>
        <v>8674997573</v>
      </c>
      <c r="W167" s="6">
        <f t="shared" si="90"/>
        <v>138</v>
      </c>
      <c r="X167" s="7">
        <f>IF($J167=0,0,ROUND(MAX($J167*1.4*1.5*1.6*1.6*2.2*2.715*2.6*1.25,20000000000*(1.280114^(MIN($E167,123)-118))),0))</f>
        <v>68750083829</v>
      </c>
      <c r="Y167" s="4">
        <f t="shared" si="91"/>
        <v>140</v>
      </c>
      <c r="Z167" s="8">
        <f>IF($J167=0,0,ROUND(MAX($J167*1.4*1.5*1.6*1.6*2.2*2.715*2.6*1.4*1.25,39200000000*(1.31219^(MIN($E167,123)-118))),0))</f>
        <v>152499944536</v>
      </c>
      <c r="AA167" s="6">
        <f t="shared" si="92"/>
        <v>142</v>
      </c>
      <c r="AB167" s="7">
        <f>IF($J167=0,0,ROUND(MAX($J167*1.4*1.5*1.6*1.6*2.2*2.715*2.6*1.4*1.4*1.25,54900000000*(1.312402^(MIN($E167,123)-118))),0))</f>
        <v>213750314393</v>
      </c>
      <c r="AC167" s="4">
        <f t="shared" si="93"/>
        <v>144</v>
      </c>
      <c r="AD167" s="8">
        <f>IF($J167=0,0,ROUND(MAX($J167*1.4*1.5*1.6*1.6*2.2*2.715*2.6*1.4*1.4*1.5*1.25,82400000000*(1.312754^(MIN($E167,123)-118))),0))</f>
        <v>321250611518</v>
      </c>
      <c r="AE167" s="6">
        <f t="shared" si="94"/>
        <v>147</v>
      </c>
      <c r="AF167" s="7">
        <f>IF($J167=0,0,ROUND(MAX($J167*1.4*1.5*1.6*1.6*2.2*2.715*2.6*1.4*1.4*1.5*1.5*1.25,124000000000*(1.312246^(MIN($E167,123)-118))),0))</f>
        <v>482500728361</v>
      </c>
      <c r="AG167" s="4">
        <f t="shared" si="95"/>
        <v>150</v>
      </c>
      <c r="AH167" s="8">
        <f>IF($J167=0,0,ROUND(MAX($J167*1.4*1.5*1.6*1.6*2.2*2.715*2.6*1.4*1.4*1.5*1.5*3.2*1.25,397000000000*(1.313132^(MIN($E167,123)-118))),0))</f>
        <v>1550002616035</v>
      </c>
    </row>
    <row r="168" spans="1:34" x14ac:dyDescent="0.25">
      <c r="A168" s="3">
        <v>174</v>
      </c>
      <c r="B168" s="3" t="s">
        <v>284</v>
      </c>
      <c r="C168" s="3" t="s">
        <v>228</v>
      </c>
      <c r="D168" s="3" t="s">
        <v>102</v>
      </c>
      <c r="E168" s="3">
        <v>122</v>
      </c>
      <c r="F168" s="3" t="s">
        <v>34</v>
      </c>
      <c r="G168" s="3" t="s">
        <v>35</v>
      </c>
      <c r="H168" s="3">
        <v>30</v>
      </c>
      <c r="I168" s="4">
        <v>122</v>
      </c>
      <c r="J168" s="5">
        <v>4330000</v>
      </c>
      <c r="K168" s="6">
        <f t="shared" si="84"/>
        <v>123</v>
      </c>
      <c r="L168" s="7">
        <f t="shared" ref="L168:L181" si="96">IF($J168=0,0,ROUND(MAX($J168*1.4,1620000*(1.497923^(MIN($E168,123)-117)))*1,0))</f>
        <v>12216941</v>
      </c>
      <c r="M168" s="4">
        <f t="shared" si="85"/>
        <v>124</v>
      </c>
      <c r="N168" s="8">
        <f t="shared" ref="N168:N181" si="97">IF($J168=0,0,ROUND(MAX($J168*1.4*1.5,2190000*(1.580994^(MIN($E168,123)-117)))*1,0))</f>
        <v>21631928</v>
      </c>
      <c r="O168" s="6">
        <f t="shared" si="86"/>
        <v>126</v>
      </c>
      <c r="P168" s="7">
        <f t="shared" ref="P168:P181" si="98">IF($J168=0,0,ROUND(MAX($J168*1.4*1.5*1.6,3500000*(1.57975^(MIN($E168,123)-117)))*1,0))</f>
        <v>34435775</v>
      </c>
      <c r="Q168" s="4">
        <f t="shared" si="87"/>
        <v>128</v>
      </c>
      <c r="R168" s="8">
        <f t="shared" ref="R168:R181" si="99">IF($J168=0,0,ROUND(MAX($J168*1.4*1.5*1.6*1.6,13100000*(1.429962^(MIN($E168,123)-117)))*1,0))</f>
        <v>78323805</v>
      </c>
      <c r="S168" s="6">
        <f t="shared" si="88"/>
        <v>130</v>
      </c>
      <c r="T168" s="7">
        <f t="shared" ref="T168:T181" si="100">IF($J168=0,0,ROUND(MAX($J168*1.4*1.5*1.6*1.6*2.2,42600000*(1.576904^(MIN($E168,123)-117)))*1,0))</f>
        <v>415370714</v>
      </c>
      <c r="U168" s="4">
        <f t="shared" si="89"/>
        <v>133</v>
      </c>
      <c r="V168" s="8">
        <f t="shared" ref="V168:V181" si="101">IF($J168=0,0,ROUND(MAX($J168*1.4*1.5*1.6*1.6*2.2*2.715,354000000*(1.642074^(MIN($E168,123)-117)))*1,0))</f>
        <v>4226363874</v>
      </c>
      <c r="W168" s="6">
        <f t="shared" si="90"/>
        <v>137</v>
      </c>
      <c r="X168" s="7">
        <f t="shared" ref="X168:X181" si="102">IF($J168=0,0,ROUND(MAX($J168*1.4*1.5*1.6*1.6*2.2*2.715*2.6,3540000000*(1.579646^(MIN($E168,123)-117)))*1,0))</f>
        <v>34817863835</v>
      </c>
      <c r="Y168" s="4">
        <f t="shared" si="91"/>
        <v>139</v>
      </c>
      <c r="Z168" s="8">
        <f t="shared" ref="Z168:Z181" si="103">IF($J168=0,0,ROUND(MAX($J168*1.4*1.5*1.6*1.6*2.2*2.715*2.6*1.4,6020000000*(1.651178^(MIN($E168,123)-117)))*1,0))</f>
        <v>73886647050</v>
      </c>
      <c r="AA168" s="6">
        <f t="shared" si="92"/>
        <v>141</v>
      </c>
      <c r="AB168" s="7">
        <f t="shared" ref="AB168:AB181" si="104">IF($J168=0,0,ROUND(MAX($J168*1.4*1.5*1.6*1.6*2.2*2.715*2.6*1.4*1.4,8430000000*(1.651435^(MIN($E168,123)-117)))*1,0))</f>
        <v>103546398464</v>
      </c>
      <c r="AC168" s="4">
        <f t="shared" si="93"/>
        <v>143</v>
      </c>
      <c r="AD168" s="8">
        <f t="shared" ref="AD168:AD181" si="105">IF($J168=0,0,ROUND(MAX($J168*1.4*1.5*1.6*1.6*2.2*2.715*2.6*1.4*1.4*1.5,12600000000*(1.652953^(MIN($E168,123)-117)))*1,0))</f>
        <v>155479476715</v>
      </c>
      <c r="AE168" s="6">
        <f t="shared" si="94"/>
        <v>146</v>
      </c>
      <c r="AF168" s="7">
        <f t="shared" ref="AF168:AF181" si="106">IF($J168=0,0,ROUND(MAX($J168*1.4*1.5*1.6*1.6*2.2*2.715*2.6*1.4*1.4*1.5*1.5,18900000000*(1.65331^(MIN($E168,123)-117)))*1,0))</f>
        <v>233471173936</v>
      </c>
      <c r="AG168" s="4">
        <f t="shared" si="95"/>
        <v>149</v>
      </c>
      <c r="AH168" s="8">
        <f t="shared" ref="AH168:AH181" si="107">IF($J168=0,0,ROUND(MAX($J168*1.4*1.5*1.6*1.6*2.2*2.715*2.6*1.4*1.4*1.5*1.5*3.2,60500000000*(1.654288^(MIN($E168,123)-117)))*1,0))</f>
        <v>749567886338</v>
      </c>
    </row>
    <row r="169" spans="1:34" x14ac:dyDescent="0.25">
      <c r="A169" s="3">
        <v>170</v>
      </c>
      <c r="B169" s="3" t="s">
        <v>285</v>
      </c>
      <c r="C169" s="3" t="s">
        <v>228</v>
      </c>
      <c r="D169" s="3" t="s">
        <v>45</v>
      </c>
      <c r="E169" s="3">
        <v>122</v>
      </c>
      <c r="F169" s="3" t="s">
        <v>54</v>
      </c>
      <c r="G169" s="3" t="s">
        <v>51</v>
      </c>
      <c r="H169" s="3">
        <v>31</v>
      </c>
      <c r="I169" s="4">
        <v>122</v>
      </c>
      <c r="J169" s="5">
        <v>4270000</v>
      </c>
      <c r="K169" s="6">
        <f t="shared" si="84"/>
        <v>123</v>
      </c>
      <c r="L169" s="7">
        <f t="shared" si="96"/>
        <v>12216941</v>
      </c>
      <c r="M169" s="4">
        <f t="shared" si="85"/>
        <v>124</v>
      </c>
      <c r="N169" s="8">
        <f t="shared" si="97"/>
        <v>21631928</v>
      </c>
      <c r="O169" s="6">
        <f t="shared" si="86"/>
        <v>126</v>
      </c>
      <c r="P169" s="7">
        <f t="shared" si="98"/>
        <v>34435775</v>
      </c>
      <c r="Q169" s="4">
        <f t="shared" si="87"/>
        <v>128</v>
      </c>
      <c r="R169" s="8">
        <f t="shared" si="99"/>
        <v>78323805</v>
      </c>
      <c r="S169" s="6">
        <f t="shared" si="88"/>
        <v>130</v>
      </c>
      <c r="T169" s="7">
        <f t="shared" si="100"/>
        <v>415370714</v>
      </c>
      <c r="U169" s="4">
        <f t="shared" si="89"/>
        <v>133</v>
      </c>
      <c r="V169" s="8">
        <f t="shared" si="101"/>
        <v>4226363874</v>
      </c>
      <c r="W169" s="6">
        <f t="shared" si="90"/>
        <v>137</v>
      </c>
      <c r="X169" s="7">
        <f t="shared" si="102"/>
        <v>34817863835</v>
      </c>
      <c r="Y169" s="4">
        <f t="shared" si="91"/>
        <v>139</v>
      </c>
      <c r="Z169" s="8">
        <f t="shared" si="103"/>
        <v>73886647050</v>
      </c>
      <c r="AA169" s="6">
        <f t="shared" si="92"/>
        <v>141</v>
      </c>
      <c r="AB169" s="7">
        <f t="shared" si="104"/>
        <v>103546398464</v>
      </c>
      <c r="AC169" s="4">
        <f t="shared" si="93"/>
        <v>143</v>
      </c>
      <c r="AD169" s="8">
        <f t="shared" si="105"/>
        <v>155479476715</v>
      </c>
      <c r="AE169" s="6">
        <f t="shared" si="94"/>
        <v>146</v>
      </c>
      <c r="AF169" s="7">
        <f t="shared" si="106"/>
        <v>233471173936</v>
      </c>
      <c r="AG169" s="4">
        <f t="shared" si="95"/>
        <v>149</v>
      </c>
      <c r="AH169" s="8">
        <f t="shared" si="107"/>
        <v>749567886338</v>
      </c>
    </row>
    <row r="170" spans="1:34" x14ac:dyDescent="0.25">
      <c r="A170" s="3">
        <v>164</v>
      </c>
      <c r="B170" s="3" t="s">
        <v>286</v>
      </c>
      <c r="C170" s="3" t="s">
        <v>228</v>
      </c>
      <c r="D170" s="3" t="s">
        <v>102</v>
      </c>
      <c r="E170" s="3">
        <v>122</v>
      </c>
      <c r="F170" s="3" t="s">
        <v>54</v>
      </c>
      <c r="G170" s="3" t="s">
        <v>38</v>
      </c>
      <c r="H170" s="3">
        <v>31</v>
      </c>
      <c r="I170" s="4">
        <v>122</v>
      </c>
      <c r="J170" s="5">
        <v>4580000</v>
      </c>
      <c r="K170" s="6">
        <f t="shared" si="84"/>
        <v>123</v>
      </c>
      <c r="L170" s="7">
        <f t="shared" si="96"/>
        <v>12216941</v>
      </c>
      <c r="M170" s="4">
        <f t="shared" si="85"/>
        <v>124</v>
      </c>
      <c r="N170" s="8">
        <f t="shared" si="97"/>
        <v>21631928</v>
      </c>
      <c r="O170" s="6">
        <f t="shared" si="86"/>
        <v>126</v>
      </c>
      <c r="P170" s="7">
        <f t="shared" si="98"/>
        <v>34435775</v>
      </c>
      <c r="Q170" s="4">
        <f t="shared" si="87"/>
        <v>128</v>
      </c>
      <c r="R170" s="8">
        <f t="shared" si="99"/>
        <v>78323805</v>
      </c>
      <c r="S170" s="6">
        <f t="shared" si="88"/>
        <v>130</v>
      </c>
      <c r="T170" s="7">
        <f t="shared" si="100"/>
        <v>415370714</v>
      </c>
      <c r="U170" s="4">
        <f t="shared" si="89"/>
        <v>133</v>
      </c>
      <c r="V170" s="8">
        <f t="shared" si="101"/>
        <v>4226363874</v>
      </c>
      <c r="W170" s="6">
        <f t="shared" si="90"/>
        <v>137</v>
      </c>
      <c r="X170" s="7">
        <f t="shared" si="102"/>
        <v>34817863835</v>
      </c>
      <c r="Y170" s="4">
        <f t="shared" si="91"/>
        <v>139</v>
      </c>
      <c r="Z170" s="8">
        <f t="shared" si="103"/>
        <v>73886647050</v>
      </c>
      <c r="AA170" s="6">
        <f t="shared" si="92"/>
        <v>141</v>
      </c>
      <c r="AB170" s="7">
        <f t="shared" si="104"/>
        <v>103546398464</v>
      </c>
      <c r="AC170" s="4">
        <f t="shared" si="93"/>
        <v>143</v>
      </c>
      <c r="AD170" s="8">
        <f t="shared" si="105"/>
        <v>155479476715</v>
      </c>
      <c r="AE170" s="6">
        <f t="shared" si="94"/>
        <v>146</v>
      </c>
      <c r="AF170" s="7">
        <f t="shared" si="106"/>
        <v>233471173936</v>
      </c>
      <c r="AG170" s="4">
        <f t="shared" si="95"/>
        <v>149</v>
      </c>
      <c r="AH170" s="8">
        <f t="shared" si="107"/>
        <v>749567886338</v>
      </c>
    </row>
    <row r="171" spans="1:34" x14ac:dyDescent="0.25">
      <c r="A171" s="3">
        <v>165</v>
      </c>
      <c r="B171" s="3" t="s">
        <v>287</v>
      </c>
      <c r="C171" s="3" t="s">
        <v>228</v>
      </c>
      <c r="D171" s="3" t="s">
        <v>33</v>
      </c>
      <c r="E171" s="3">
        <v>122</v>
      </c>
      <c r="F171" s="3" t="s">
        <v>30</v>
      </c>
      <c r="G171" s="3" t="s">
        <v>67</v>
      </c>
      <c r="H171" s="3">
        <v>31</v>
      </c>
      <c r="I171" s="4">
        <v>122</v>
      </c>
      <c r="J171" s="5">
        <v>4660000</v>
      </c>
      <c r="K171" s="6">
        <f t="shared" si="84"/>
        <v>123</v>
      </c>
      <c r="L171" s="7">
        <f t="shared" si="96"/>
        <v>12216941</v>
      </c>
      <c r="M171" s="4">
        <f t="shared" si="85"/>
        <v>124</v>
      </c>
      <c r="N171" s="8">
        <f t="shared" si="97"/>
        <v>21631928</v>
      </c>
      <c r="O171" s="6">
        <f t="shared" si="86"/>
        <v>126</v>
      </c>
      <c r="P171" s="7">
        <f t="shared" si="98"/>
        <v>34435775</v>
      </c>
      <c r="Q171" s="4">
        <f t="shared" si="87"/>
        <v>128</v>
      </c>
      <c r="R171" s="8">
        <f t="shared" si="99"/>
        <v>78323805</v>
      </c>
      <c r="S171" s="6">
        <f t="shared" si="88"/>
        <v>130</v>
      </c>
      <c r="T171" s="7">
        <f t="shared" si="100"/>
        <v>415370714</v>
      </c>
      <c r="U171" s="4">
        <f t="shared" si="89"/>
        <v>133</v>
      </c>
      <c r="V171" s="8">
        <f t="shared" si="101"/>
        <v>4226363874</v>
      </c>
      <c r="W171" s="6">
        <f t="shared" si="90"/>
        <v>137</v>
      </c>
      <c r="X171" s="7">
        <f t="shared" si="102"/>
        <v>34817863835</v>
      </c>
      <c r="Y171" s="4">
        <f t="shared" si="91"/>
        <v>139</v>
      </c>
      <c r="Z171" s="8">
        <f t="shared" si="103"/>
        <v>73886647050</v>
      </c>
      <c r="AA171" s="6">
        <f t="shared" si="92"/>
        <v>141</v>
      </c>
      <c r="AB171" s="7">
        <f t="shared" si="104"/>
        <v>103546398464</v>
      </c>
      <c r="AC171" s="4">
        <f t="shared" si="93"/>
        <v>143</v>
      </c>
      <c r="AD171" s="8">
        <f t="shared" si="105"/>
        <v>155479476715</v>
      </c>
      <c r="AE171" s="6">
        <f t="shared" si="94"/>
        <v>146</v>
      </c>
      <c r="AF171" s="7">
        <f t="shared" si="106"/>
        <v>233471173936</v>
      </c>
      <c r="AG171" s="4">
        <f t="shared" si="95"/>
        <v>149</v>
      </c>
      <c r="AH171" s="8">
        <f t="shared" si="107"/>
        <v>749567886338</v>
      </c>
    </row>
    <row r="172" spans="1:34" x14ac:dyDescent="0.25">
      <c r="A172" s="3">
        <v>171</v>
      </c>
      <c r="B172" s="3" t="s">
        <v>288</v>
      </c>
      <c r="C172" s="3" t="s">
        <v>228</v>
      </c>
      <c r="D172" s="3" t="s">
        <v>102</v>
      </c>
      <c r="E172" s="3">
        <v>122</v>
      </c>
      <c r="F172" s="3" t="s">
        <v>30</v>
      </c>
      <c r="G172" s="3" t="s">
        <v>57</v>
      </c>
      <c r="H172" s="3">
        <v>31</v>
      </c>
      <c r="I172" s="4">
        <v>122</v>
      </c>
      <c r="J172" s="5">
        <v>4760000</v>
      </c>
      <c r="K172" s="6">
        <f t="shared" si="84"/>
        <v>123</v>
      </c>
      <c r="L172" s="7">
        <f t="shared" si="96"/>
        <v>12216941</v>
      </c>
      <c r="M172" s="4">
        <f t="shared" si="85"/>
        <v>124</v>
      </c>
      <c r="N172" s="8">
        <f t="shared" si="97"/>
        <v>21631928</v>
      </c>
      <c r="O172" s="6">
        <f t="shared" si="86"/>
        <v>126</v>
      </c>
      <c r="P172" s="7">
        <f t="shared" si="98"/>
        <v>34435775</v>
      </c>
      <c r="Q172" s="4">
        <f t="shared" si="87"/>
        <v>128</v>
      </c>
      <c r="R172" s="8">
        <f t="shared" si="99"/>
        <v>78323805</v>
      </c>
      <c r="S172" s="6">
        <f t="shared" si="88"/>
        <v>130</v>
      </c>
      <c r="T172" s="7">
        <f t="shared" si="100"/>
        <v>415370714</v>
      </c>
      <c r="U172" s="4">
        <f t="shared" si="89"/>
        <v>133</v>
      </c>
      <c r="V172" s="8">
        <f t="shared" si="101"/>
        <v>4226363874</v>
      </c>
      <c r="W172" s="6">
        <f t="shared" si="90"/>
        <v>137</v>
      </c>
      <c r="X172" s="7">
        <f t="shared" si="102"/>
        <v>34817863835</v>
      </c>
      <c r="Y172" s="4">
        <f t="shared" si="91"/>
        <v>139</v>
      </c>
      <c r="Z172" s="8">
        <f t="shared" si="103"/>
        <v>73886647050</v>
      </c>
      <c r="AA172" s="6">
        <f t="shared" si="92"/>
        <v>141</v>
      </c>
      <c r="AB172" s="7">
        <f t="shared" si="104"/>
        <v>103546398464</v>
      </c>
      <c r="AC172" s="4">
        <f t="shared" si="93"/>
        <v>143</v>
      </c>
      <c r="AD172" s="8">
        <f t="shared" si="105"/>
        <v>155479476715</v>
      </c>
      <c r="AE172" s="6">
        <f t="shared" si="94"/>
        <v>146</v>
      </c>
      <c r="AF172" s="7">
        <f t="shared" si="106"/>
        <v>233471173936</v>
      </c>
      <c r="AG172" s="4">
        <f t="shared" si="95"/>
        <v>149</v>
      </c>
      <c r="AH172" s="8">
        <f t="shared" si="107"/>
        <v>749567886338</v>
      </c>
    </row>
    <row r="173" spans="1:34" x14ac:dyDescent="0.25">
      <c r="A173" s="3">
        <v>154</v>
      </c>
      <c r="B173" s="3" t="s">
        <v>289</v>
      </c>
      <c r="C173" s="3" t="s">
        <v>228</v>
      </c>
      <c r="D173" s="3" t="s">
        <v>40</v>
      </c>
      <c r="E173" s="3">
        <v>122</v>
      </c>
      <c r="F173" s="3" t="s">
        <v>34</v>
      </c>
      <c r="G173" s="3" t="s">
        <v>290</v>
      </c>
      <c r="H173" s="3">
        <v>32</v>
      </c>
      <c r="I173" s="4">
        <v>122</v>
      </c>
      <c r="J173" s="5">
        <v>4880000</v>
      </c>
      <c r="K173" s="6">
        <f t="shared" si="84"/>
        <v>123</v>
      </c>
      <c r="L173" s="7">
        <f t="shared" si="96"/>
        <v>12216941</v>
      </c>
      <c r="M173" s="4">
        <f t="shared" si="85"/>
        <v>124</v>
      </c>
      <c r="N173" s="8">
        <f t="shared" si="97"/>
        <v>21631928</v>
      </c>
      <c r="O173" s="6">
        <f t="shared" si="86"/>
        <v>126</v>
      </c>
      <c r="P173" s="7">
        <f t="shared" si="98"/>
        <v>34435775</v>
      </c>
      <c r="Q173" s="4">
        <f t="shared" si="87"/>
        <v>128</v>
      </c>
      <c r="R173" s="8">
        <f t="shared" si="99"/>
        <v>78323805</v>
      </c>
      <c r="S173" s="6">
        <f t="shared" si="88"/>
        <v>130</v>
      </c>
      <c r="T173" s="7">
        <f t="shared" si="100"/>
        <v>415370714</v>
      </c>
      <c r="U173" s="4">
        <f t="shared" si="89"/>
        <v>133</v>
      </c>
      <c r="V173" s="8">
        <f t="shared" si="101"/>
        <v>4226363874</v>
      </c>
      <c r="W173" s="6">
        <f t="shared" si="90"/>
        <v>137</v>
      </c>
      <c r="X173" s="7">
        <f t="shared" si="102"/>
        <v>34817863835</v>
      </c>
      <c r="Y173" s="4">
        <f t="shared" si="91"/>
        <v>139</v>
      </c>
      <c r="Z173" s="8">
        <f t="shared" si="103"/>
        <v>73886647050</v>
      </c>
      <c r="AA173" s="6">
        <f t="shared" si="92"/>
        <v>141</v>
      </c>
      <c r="AB173" s="7">
        <f t="shared" si="104"/>
        <v>103546398464</v>
      </c>
      <c r="AC173" s="4">
        <f t="shared" si="93"/>
        <v>143</v>
      </c>
      <c r="AD173" s="8">
        <f t="shared" si="105"/>
        <v>155479476715</v>
      </c>
      <c r="AE173" s="6">
        <f t="shared" si="94"/>
        <v>146</v>
      </c>
      <c r="AF173" s="7">
        <f t="shared" si="106"/>
        <v>233471173936</v>
      </c>
      <c r="AG173" s="4">
        <f t="shared" si="95"/>
        <v>149</v>
      </c>
      <c r="AH173" s="8">
        <f t="shared" si="107"/>
        <v>749567886338</v>
      </c>
    </row>
    <row r="174" spans="1:34" x14ac:dyDescent="0.25">
      <c r="A174" s="3">
        <v>179</v>
      </c>
      <c r="B174" s="3" t="s">
        <v>291</v>
      </c>
      <c r="C174" s="3" t="s">
        <v>228</v>
      </c>
      <c r="D174" s="3" t="s">
        <v>33</v>
      </c>
      <c r="E174" s="3">
        <v>122</v>
      </c>
      <c r="F174" s="3" t="s">
        <v>54</v>
      </c>
      <c r="G174" s="3" t="s">
        <v>35</v>
      </c>
      <c r="H174" s="3">
        <v>30</v>
      </c>
      <c r="I174" s="4">
        <v>122</v>
      </c>
      <c r="J174" s="5">
        <v>4310000</v>
      </c>
      <c r="K174" s="6">
        <f t="shared" si="84"/>
        <v>123</v>
      </c>
      <c r="L174" s="7">
        <f t="shared" si="96"/>
        <v>12216941</v>
      </c>
      <c r="M174" s="4">
        <f t="shared" si="85"/>
        <v>124</v>
      </c>
      <c r="N174" s="8">
        <f t="shared" si="97"/>
        <v>21631928</v>
      </c>
      <c r="O174" s="6">
        <f t="shared" si="86"/>
        <v>126</v>
      </c>
      <c r="P174" s="7">
        <f t="shared" si="98"/>
        <v>34435775</v>
      </c>
      <c r="Q174" s="4">
        <f t="shared" si="87"/>
        <v>128</v>
      </c>
      <c r="R174" s="8">
        <f t="shared" si="99"/>
        <v>78323805</v>
      </c>
      <c r="S174" s="6">
        <f t="shared" si="88"/>
        <v>130</v>
      </c>
      <c r="T174" s="7">
        <f t="shared" si="100"/>
        <v>415370714</v>
      </c>
      <c r="U174" s="4">
        <f t="shared" si="89"/>
        <v>133</v>
      </c>
      <c r="V174" s="8">
        <f t="shared" si="101"/>
        <v>4226363874</v>
      </c>
      <c r="W174" s="6">
        <f t="shared" si="90"/>
        <v>137</v>
      </c>
      <c r="X174" s="7">
        <f t="shared" si="102"/>
        <v>34817863835</v>
      </c>
      <c r="Y174" s="4">
        <f t="shared" si="91"/>
        <v>139</v>
      </c>
      <c r="Z174" s="8">
        <f t="shared" si="103"/>
        <v>73886647050</v>
      </c>
      <c r="AA174" s="6">
        <f t="shared" si="92"/>
        <v>141</v>
      </c>
      <c r="AB174" s="7">
        <f t="shared" si="104"/>
        <v>103546398464</v>
      </c>
      <c r="AC174" s="4">
        <f t="shared" si="93"/>
        <v>143</v>
      </c>
      <c r="AD174" s="8">
        <f t="shared" si="105"/>
        <v>155479476715</v>
      </c>
      <c r="AE174" s="6">
        <f t="shared" si="94"/>
        <v>146</v>
      </c>
      <c r="AF174" s="7">
        <f t="shared" si="106"/>
        <v>233471173936</v>
      </c>
      <c r="AG174" s="4">
        <f t="shared" si="95"/>
        <v>149</v>
      </c>
      <c r="AH174" s="8">
        <f t="shared" si="107"/>
        <v>749567886338</v>
      </c>
    </row>
    <row r="175" spans="1:34" x14ac:dyDescent="0.25">
      <c r="A175" s="3">
        <v>161</v>
      </c>
      <c r="B175" s="3" t="s">
        <v>292</v>
      </c>
      <c r="C175" s="3" t="s">
        <v>228</v>
      </c>
      <c r="D175" s="3" t="s">
        <v>45</v>
      </c>
      <c r="E175" s="3">
        <v>122</v>
      </c>
      <c r="F175" s="3" t="s">
        <v>26</v>
      </c>
      <c r="G175" s="3" t="s">
        <v>98</v>
      </c>
      <c r="H175" s="3">
        <v>31</v>
      </c>
      <c r="I175" s="4">
        <v>122</v>
      </c>
      <c r="J175" s="5">
        <v>4600000</v>
      </c>
      <c r="K175" s="6">
        <f t="shared" si="84"/>
        <v>123</v>
      </c>
      <c r="L175" s="7">
        <f t="shared" si="96"/>
        <v>12216941</v>
      </c>
      <c r="M175" s="4">
        <f t="shared" si="85"/>
        <v>124</v>
      </c>
      <c r="N175" s="8">
        <f t="shared" si="97"/>
        <v>21631928</v>
      </c>
      <c r="O175" s="6">
        <f t="shared" si="86"/>
        <v>126</v>
      </c>
      <c r="P175" s="7">
        <f t="shared" si="98"/>
        <v>34435775</v>
      </c>
      <c r="Q175" s="4">
        <f t="shared" si="87"/>
        <v>128</v>
      </c>
      <c r="R175" s="8">
        <f t="shared" si="99"/>
        <v>78323805</v>
      </c>
      <c r="S175" s="6">
        <f t="shared" si="88"/>
        <v>130</v>
      </c>
      <c r="T175" s="7">
        <f t="shared" si="100"/>
        <v>415370714</v>
      </c>
      <c r="U175" s="4">
        <f t="shared" si="89"/>
        <v>133</v>
      </c>
      <c r="V175" s="8">
        <f t="shared" si="101"/>
        <v>4226363874</v>
      </c>
      <c r="W175" s="6">
        <f t="shared" si="90"/>
        <v>137</v>
      </c>
      <c r="X175" s="7">
        <f t="shared" si="102"/>
        <v>34817863835</v>
      </c>
      <c r="Y175" s="4">
        <f t="shared" si="91"/>
        <v>139</v>
      </c>
      <c r="Z175" s="8">
        <f t="shared" si="103"/>
        <v>73886647050</v>
      </c>
      <c r="AA175" s="6">
        <f t="shared" si="92"/>
        <v>141</v>
      </c>
      <c r="AB175" s="7">
        <f t="shared" si="104"/>
        <v>103546398464</v>
      </c>
      <c r="AC175" s="4">
        <f t="shared" si="93"/>
        <v>143</v>
      </c>
      <c r="AD175" s="8">
        <f t="shared" si="105"/>
        <v>155479476715</v>
      </c>
      <c r="AE175" s="6">
        <f t="shared" si="94"/>
        <v>146</v>
      </c>
      <c r="AF175" s="7">
        <f t="shared" si="106"/>
        <v>233471173936</v>
      </c>
      <c r="AG175" s="4">
        <f t="shared" si="95"/>
        <v>149</v>
      </c>
      <c r="AH175" s="8">
        <f t="shared" si="107"/>
        <v>749567886338</v>
      </c>
    </row>
    <row r="176" spans="1:34" x14ac:dyDescent="0.25">
      <c r="A176" s="3">
        <v>162</v>
      </c>
      <c r="B176" s="3" t="s">
        <v>293</v>
      </c>
      <c r="C176" s="3" t="s">
        <v>228</v>
      </c>
      <c r="D176" s="3" t="s">
        <v>33</v>
      </c>
      <c r="E176" s="3">
        <v>122</v>
      </c>
      <c r="F176" s="3" t="s">
        <v>71</v>
      </c>
      <c r="G176" s="3" t="s">
        <v>72</v>
      </c>
      <c r="H176" s="3">
        <v>31</v>
      </c>
      <c r="I176" s="4">
        <v>122</v>
      </c>
      <c r="J176" s="5">
        <v>4920000</v>
      </c>
      <c r="K176" s="6">
        <f t="shared" si="84"/>
        <v>123</v>
      </c>
      <c r="L176" s="7">
        <f t="shared" si="96"/>
        <v>12216941</v>
      </c>
      <c r="M176" s="4">
        <f t="shared" si="85"/>
        <v>124</v>
      </c>
      <c r="N176" s="8">
        <f t="shared" si="97"/>
        <v>21631928</v>
      </c>
      <c r="O176" s="6">
        <f t="shared" si="86"/>
        <v>126</v>
      </c>
      <c r="P176" s="7">
        <f t="shared" si="98"/>
        <v>34435775</v>
      </c>
      <c r="Q176" s="4">
        <f t="shared" si="87"/>
        <v>128</v>
      </c>
      <c r="R176" s="8">
        <f t="shared" si="99"/>
        <v>78323805</v>
      </c>
      <c r="S176" s="6">
        <f t="shared" si="88"/>
        <v>130</v>
      </c>
      <c r="T176" s="7">
        <f t="shared" si="100"/>
        <v>415370714</v>
      </c>
      <c r="U176" s="4">
        <f t="shared" si="89"/>
        <v>133</v>
      </c>
      <c r="V176" s="8">
        <f t="shared" si="101"/>
        <v>4226363874</v>
      </c>
      <c r="W176" s="6">
        <f t="shared" si="90"/>
        <v>137</v>
      </c>
      <c r="X176" s="7">
        <f t="shared" si="102"/>
        <v>34817863835</v>
      </c>
      <c r="Y176" s="4">
        <f t="shared" si="91"/>
        <v>139</v>
      </c>
      <c r="Z176" s="8">
        <f t="shared" si="103"/>
        <v>73886647050</v>
      </c>
      <c r="AA176" s="6">
        <f t="shared" si="92"/>
        <v>141</v>
      </c>
      <c r="AB176" s="7">
        <f t="shared" si="104"/>
        <v>103546398464</v>
      </c>
      <c r="AC176" s="4">
        <f t="shared" si="93"/>
        <v>143</v>
      </c>
      <c r="AD176" s="8">
        <f t="shared" si="105"/>
        <v>155479476715</v>
      </c>
      <c r="AE176" s="6">
        <f t="shared" si="94"/>
        <v>146</v>
      </c>
      <c r="AF176" s="7">
        <f t="shared" si="106"/>
        <v>233471173936</v>
      </c>
      <c r="AG176" s="4">
        <f t="shared" si="95"/>
        <v>149</v>
      </c>
      <c r="AH176" s="8">
        <f t="shared" si="107"/>
        <v>749567886338</v>
      </c>
    </row>
    <row r="177" spans="1:34" x14ac:dyDescent="0.25">
      <c r="A177" s="3">
        <v>181</v>
      </c>
      <c r="B177" s="3" t="s">
        <v>294</v>
      </c>
      <c r="C177" s="3" t="s">
        <v>228</v>
      </c>
      <c r="D177" s="3" t="s">
        <v>64</v>
      </c>
      <c r="E177" s="3">
        <v>122</v>
      </c>
      <c r="F177" s="3" t="s">
        <v>54</v>
      </c>
      <c r="G177" s="3" t="s">
        <v>295</v>
      </c>
      <c r="H177" s="3">
        <v>30</v>
      </c>
      <c r="I177" s="4">
        <v>122</v>
      </c>
      <c r="J177" s="5">
        <v>4820000</v>
      </c>
      <c r="K177" s="6">
        <f t="shared" si="84"/>
        <v>123</v>
      </c>
      <c r="L177" s="7">
        <f t="shared" si="96"/>
        <v>12216941</v>
      </c>
      <c r="M177" s="4">
        <f t="shared" si="85"/>
        <v>124</v>
      </c>
      <c r="N177" s="8">
        <f t="shared" si="97"/>
        <v>21631928</v>
      </c>
      <c r="O177" s="6">
        <f t="shared" si="86"/>
        <v>126</v>
      </c>
      <c r="P177" s="7">
        <f t="shared" si="98"/>
        <v>34435775</v>
      </c>
      <c r="Q177" s="4">
        <f t="shared" si="87"/>
        <v>128</v>
      </c>
      <c r="R177" s="8">
        <f t="shared" si="99"/>
        <v>78323805</v>
      </c>
      <c r="S177" s="6">
        <f t="shared" si="88"/>
        <v>130</v>
      </c>
      <c r="T177" s="7">
        <f t="shared" si="100"/>
        <v>415370714</v>
      </c>
      <c r="U177" s="4">
        <f t="shared" si="89"/>
        <v>133</v>
      </c>
      <c r="V177" s="8">
        <f t="shared" si="101"/>
        <v>4226363874</v>
      </c>
      <c r="W177" s="6">
        <f t="shared" si="90"/>
        <v>137</v>
      </c>
      <c r="X177" s="7">
        <f t="shared" si="102"/>
        <v>34817863835</v>
      </c>
      <c r="Y177" s="4">
        <f t="shared" si="91"/>
        <v>139</v>
      </c>
      <c r="Z177" s="8">
        <f t="shared" si="103"/>
        <v>73886647050</v>
      </c>
      <c r="AA177" s="6">
        <f t="shared" si="92"/>
        <v>141</v>
      </c>
      <c r="AB177" s="7">
        <f t="shared" si="104"/>
        <v>103546398464</v>
      </c>
      <c r="AC177" s="4">
        <f t="shared" si="93"/>
        <v>143</v>
      </c>
      <c r="AD177" s="8">
        <f t="shared" si="105"/>
        <v>155479476715</v>
      </c>
      <c r="AE177" s="6">
        <f t="shared" si="94"/>
        <v>146</v>
      </c>
      <c r="AF177" s="7">
        <f t="shared" si="106"/>
        <v>233471173936</v>
      </c>
      <c r="AG177" s="4">
        <f t="shared" si="95"/>
        <v>149</v>
      </c>
      <c r="AH177" s="8">
        <f t="shared" si="107"/>
        <v>749567886338</v>
      </c>
    </row>
    <row r="178" spans="1:34" x14ac:dyDescent="0.25">
      <c r="A178" s="3">
        <v>184</v>
      </c>
      <c r="B178" s="3" t="s">
        <v>296</v>
      </c>
      <c r="C178" s="3" t="s">
        <v>228</v>
      </c>
      <c r="D178" s="3" t="s">
        <v>47</v>
      </c>
      <c r="E178" s="3">
        <v>122</v>
      </c>
      <c r="F178" s="3" t="s">
        <v>62</v>
      </c>
      <c r="G178" s="3" t="s">
        <v>185</v>
      </c>
      <c r="H178" s="3">
        <v>29</v>
      </c>
      <c r="I178" s="4">
        <v>122</v>
      </c>
      <c r="J178" s="5">
        <v>4810000</v>
      </c>
      <c r="K178" s="6">
        <f t="shared" si="84"/>
        <v>123</v>
      </c>
      <c r="L178" s="7">
        <f t="shared" si="96"/>
        <v>12216941</v>
      </c>
      <c r="M178" s="4">
        <f t="shared" si="85"/>
        <v>124</v>
      </c>
      <c r="N178" s="8">
        <f t="shared" si="97"/>
        <v>21631928</v>
      </c>
      <c r="O178" s="6">
        <f t="shared" si="86"/>
        <v>126</v>
      </c>
      <c r="P178" s="7">
        <f t="shared" si="98"/>
        <v>34435775</v>
      </c>
      <c r="Q178" s="4">
        <f t="shared" si="87"/>
        <v>128</v>
      </c>
      <c r="R178" s="8">
        <f t="shared" si="99"/>
        <v>78323805</v>
      </c>
      <c r="S178" s="6">
        <f t="shared" si="88"/>
        <v>130</v>
      </c>
      <c r="T178" s="7">
        <f t="shared" si="100"/>
        <v>415370714</v>
      </c>
      <c r="U178" s="4">
        <f t="shared" si="89"/>
        <v>133</v>
      </c>
      <c r="V178" s="8">
        <f t="shared" si="101"/>
        <v>4226363874</v>
      </c>
      <c r="W178" s="6">
        <f t="shared" si="90"/>
        <v>137</v>
      </c>
      <c r="X178" s="7">
        <f t="shared" si="102"/>
        <v>34817863835</v>
      </c>
      <c r="Y178" s="4">
        <f t="shared" si="91"/>
        <v>139</v>
      </c>
      <c r="Z178" s="8">
        <f t="shared" si="103"/>
        <v>73886647050</v>
      </c>
      <c r="AA178" s="6">
        <f t="shared" si="92"/>
        <v>141</v>
      </c>
      <c r="AB178" s="7">
        <f t="shared" si="104"/>
        <v>103546398464</v>
      </c>
      <c r="AC178" s="4">
        <f t="shared" si="93"/>
        <v>143</v>
      </c>
      <c r="AD178" s="8">
        <f t="shared" si="105"/>
        <v>155479476715</v>
      </c>
      <c r="AE178" s="6">
        <f t="shared" si="94"/>
        <v>146</v>
      </c>
      <c r="AF178" s="7">
        <f t="shared" si="106"/>
        <v>233471173936</v>
      </c>
      <c r="AG178" s="4">
        <f t="shared" si="95"/>
        <v>149</v>
      </c>
      <c r="AH178" s="8">
        <f t="shared" si="107"/>
        <v>749567886338</v>
      </c>
    </row>
    <row r="179" spans="1:34" x14ac:dyDescent="0.25">
      <c r="A179" s="3">
        <v>322</v>
      </c>
      <c r="B179" s="3" t="s">
        <v>297</v>
      </c>
      <c r="C179" s="3" t="s">
        <v>228</v>
      </c>
      <c r="D179" s="3" t="s">
        <v>47</v>
      </c>
      <c r="E179" s="3">
        <v>122</v>
      </c>
      <c r="F179" s="3" t="s">
        <v>298</v>
      </c>
      <c r="G179" s="3" t="s">
        <v>277</v>
      </c>
      <c r="H179" s="3">
        <v>28</v>
      </c>
      <c r="I179" s="4">
        <v>122</v>
      </c>
      <c r="J179" s="9">
        <v>4110000</v>
      </c>
      <c r="K179" s="6">
        <f t="shared" si="84"/>
        <v>123</v>
      </c>
      <c r="L179" s="7">
        <f t="shared" si="96"/>
        <v>12216941</v>
      </c>
      <c r="M179" s="4">
        <f t="shared" si="85"/>
        <v>124</v>
      </c>
      <c r="N179" s="8">
        <f t="shared" si="97"/>
        <v>21631928</v>
      </c>
      <c r="O179" s="6">
        <f t="shared" si="86"/>
        <v>126</v>
      </c>
      <c r="P179" s="7">
        <f t="shared" si="98"/>
        <v>34435775</v>
      </c>
      <c r="Q179" s="4">
        <f t="shared" si="87"/>
        <v>128</v>
      </c>
      <c r="R179" s="8">
        <f t="shared" si="99"/>
        <v>78323805</v>
      </c>
      <c r="S179" s="6">
        <f t="shared" si="88"/>
        <v>130</v>
      </c>
      <c r="T179" s="7">
        <f t="shared" si="100"/>
        <v>415370714</v>
      </c>
      <c r="U179" s="4">
        <f t="shared" si="89"/>
        <v>133</v>
      </c>
      <c r="V179" s="8">
        <f t="shared" si="101"/>
        <v>4226363874</v>
      </c>
      <c r="W179" s="6">
        <f t="shared" si="90"/>
        <v>137</v>
      </c>
      <c r="X179" s="7">
        <f t="shared" si="102"/>
        <v>34817863835</v>
      </c>
      <c r="Y179" s="4">
        <f t="shared" si="91"/>
        <v>139</v>
      </c>
      <c r="Z179" s="8">
        <f t="shared" si="103"/>
        <v>73886647050</v>
      </c>
      <c r="AA179" s="6">
        <f t="shared" si="92"/>
        <v>141</v>
      </c>
      <c r="AB179" s="7">
        <f t="shared" si="104"/>
        <v>103546398464</v>
      </c>
      <c r="AC179" s="4">
        <f t="shared" si="93"/>
        <v>143</v>
      </c>
      <c r="AD179" s="8">
        <f t="shared" si="105"/>
        <v>155479476715</v>
      </c>
      <c r="AE179" s="6">
        <f t="shared" si="94"/>
        <v>146</v>
      </c>
      <c r="AF179" s="7">
        <f t="shared" si="106"/>
        <v>233471173936</v>
      </c>
      <c r="AG179" s="4">
        <f t="shared" si="95"/>
        <v>149</v>
      </c>
      <c r="AH179" s="8">
        <f t="shared" si="107"/>
        <v>749567886338</v>
      </c>
    </row>
    <row r="180" spans="1:34" x14ac:dyDescent="0.25">
      <c r="A180" s="3">
        <v>156</v>
      </c>
      <c r="B180" s="3" t="s">
        <v>299</v>
      </c>
      <c r="C180" s="3" t="s">
        <v>228</v>
      </c>
      <c r="D180" s="3" t="s">
        <v>102</v>
      </c>
      <c r="E180" s="3">
        <v>122</v>
      </c>
      <c r="F180" s="3" t="s">
        <v>298</v>
      </c>
      <c r="G180" s="3" t="s">
        <v>300</v>
      </c>
      <c r="H180" s="3">
        <v>32</v>
      </c>
      <c r="I180" s="4">
        <v>122</v>
      </c>
      <c r="J180" s="5">
        <v>4730000</v>
      </c>
      <c r="K180" s="6">
        <f t="shared" si="84"/>
        <v>123</v>
      </c>
      <c r="L180" s="7">
        <f t="shared" si="96"/>
        <v>12216941</v>
      </c>
      <c r="M180" s="4">
        <f t="shared" si="85"/>
        <v>124</v>
      </c>
      <c r="N180" s="8">
        <f t="shared" si="97"/>
        <v>21631928</v>
      </c>
      <c r="O180" s="6">
        <f t="shared" si="86"/>
        <v>126</v>
      </c>
      <c r="P180" s="7">
        <f t="shared" si="98"/>
        <v>34435775</v>
      </c>
      <c r="Q180" s="4">
        <f t="shared" si="87"/>
        <v>128</v>
      </c>
      <c r="R180" s="8">
        <f t="shared" si="99"/>
        <v>78323805</v>
      </c>
      <c r="S180" s="6">
        <f t="shared" si="88"/>
        <v>130</v>
      </c>
      <c r="T180" s="7">
        <f t="shared" si="100"/>
        <v>415370714</v>
      </c>
      <c r="U180" s="4">
        <f t="shared" si="89"/>
        <v>133</v>
      </c>
      <c r="V180" s="8">
        <f t="shared" si="101"/>
        <v>4226363874</v>
      </c>
      <c r="W180" s="6">
        <f t="shared" si="90"/>
        <v>137</v>
      </c>
      <c r="X180" s="7">
        <f t="shared" si="102"/>
        <v>34817863835</v>
      </c>
      <c r="Y180" s="4">
        <f t="shared" si="91"/>
        <v>139</v>
      </c>
      <c r="Z180" s="8">
        <f t="shared" si="103"/>
        <v>73886647050</v>
      </c>
      <c r="AA180" s="6">
        <f t="shared" si="92"/>
        <v>141</v>
      </c>
      <c r="AB180" s="7">
        <f t="shared" si="104"/>
        <v>103546398464</v>
      </c>
      <c r="AC180" s="4">
        <f t="shared" si="93"/>
        <v>143</v>
      </c>
      <c r="AD180" s="8">
        <f t="shared" si="105"/>
        <v>155479476715</v>
      </c>
      <c r="AE180" s="6">
        <f t="shared" si="94"/>
        <v>146</v>
      </c>
      <c r="AF180" s="7">
        <f t="shared" si="106"/>
        <v>233471173936</v>
      </c>
      <c r="AG180" s="4">
        <f t="shared" si="95"/>
        <v>149</v>
      </c>
      <c r="AH180" s="8">
        <f t="shared" si="107"/>
        <v>749567886338</v>
      </c>
    </row>
    <row r="181" spans="1:34" x14ac:dyDescent="0.25">
      <c r="A181" s="3">
        <v>180</v>
      </c>
      <c r="B181" s="3" t="s">
        <v>301</v>
      </c>
      <c r="C181" s="3" t="s">
        <v>228</v>
      </c>
      <c r="D181" s="3" t="s">
        <v>165</v>
      </c>
      <c r="E181" s="3">
        <v>122</v>
      </c>
      <c r="F181" s="3" t="s">
        <v>71</v>
      </c>
      <c r="G181" s="3" t="s">
        <v>124</v>
      </c>
      <c r="H181" s="3">
        <v>30</v>
      </c>
      <c r="I181" s="4">
        <v>122</v>
      </c>
      <c r="J181" s="5">
        <v>3740000</v>
      </c>
      <c r="K181" s="6">
        <f t="shared" si="84"/>
        <v>123</v>
      </c>
      <c r="L181" s="7">
        <f t="shared" si="96"/>
        <v>12216941</v>
      </c>
      <c r="M181" s="4">
        <f t="shared" si="85"/>
        <v>124</v>
      </c>
      <c r="N181" s="8">
        <f t="shared" si="97"/>
        <v>21631928</v>
      </c>
      <c r="O181" s="6">
        <f t="shared" si="86"/>
        <v>126</v>
      </c>
      <c r="P181" s="7">
        <f t="shared" si="98"/>
        <v>34435775</v>
      </c>
      <c r="Q181" s="4">
        <f t="shared" si="87"/>
        <v>128</v>
      </c>
      <c r="R181" s="8">
        <f t="shared" si="99"/>
        <v>78323805</v>
      </c>
      <c r="S181" s="6">
        <f t="shared" si="88"/>
        <v>130</v>
      </c>
      <c r="T181" s="7">
        <f t="shared" si="100"/>
        <v>415370714</v>
      </c>
      <c r="U181" s="4">
        <f t="shared" si="89"/>
        <v>133</v>
      </c>
      <c r="V181" s="8">
        <f t="shared" si="101"/>
        <v>4226363874</v>
      </c>
      <c r="W181" s="6">
        <f t="shared" si="90"/>
        <v>137</v>
      </c>
      <c r="X181" s="7">
        <f t="shared" si="102"/>
        <v>34817863835</v>
      </c>
      <c r="Y181" s="4">
        <f t="shared" si="91"/>
        <v>139</v>
      </c>
      <c r="Z181" s="8">
        <f t="shared" si="103"/>
        <v>73886647050</v>
      </c>
      <c r="AA181" s="6">
        <f t="shared" si="92"/>
        <v>141</v>
      </c>
      <c r="AB181" s="7">
        <f t="shared" si="104"/>
        <v>103546398464</v>
      </c>
      <c r="AC181" s="4">
        <f t="shared" si="93"/>
        <v>143</v>
      </c>
      <c r="AD181" s="8">
        <f t="shared" si="105"/>
        <v>155479476715</v>
      </c>
      <c r="AE181" s="6">
        <f t="shared" si="94"/>
        <v>146</v>
      </c>
      <c r="AF181" s="7">
        <f t="shared" si="106"/>
        <v>233471173936</v>
      </c>
      <c r="AG181" s="4">
        <f t="shared" si="95"/>
        <v>149</v>
      </c>
      <c r="AH181" s="8">
        <f t="shared" si="107"/>
        <v>749567886338</v>
      </c>
    </row>
    <row r="182" spans="1:34" x14ac:dyDescent="0.25">
      <c r="A182" s="3">
        <v>158</v>
      </c>
      <c r="B182" s="3" t="s">
        <v>302</v>
      </c>
      <c r="C182" s="3" t="s">
        <v>228</v>
      </c>
      <c r="D182" s="3" t="s">
        <v>25</v>
      </c>
      <c r="E182" s="3">
        <v>122</v>
      </c>
      <c r="F182" s="3" t="s">
        <v>303</v>
      </c>
      <c r="G182" s="3" t="s">
        <v>261</v>
      </c>
      <c r="H182" s="3">
        <v>31</v>
      </c>
      <c r="I182" s="4">
        <v>122</v>
      </c>
      <c r="J182" s="5">
        <v>4400000</v>
      </c>
      <c r="K182" s="6">
        <f t="shared" si="84"/>
        <v>123</v>
      </c>
      <c r="L182" s="7">
        <f>IF($J182=0,0,ROUND(MAX($J182*1.4,1620000*(1.497923^(MIN($E182,123)-117)))*0.8,0))</f>
        <v>9773552</v>
      </c>
      <c r="M182" s="4">
        <f t="shared" si="85"/>
        <v>124</v>
      </c>
      <c r="N182" s="8">
        <f>IF($J182=0,0,ROUND(MAX($J182*1.4*1.5,2190000*(1.580994^(MIN($E182,123)-117)))*0.8,0))</f>
        <v>17305542</v>
      </c>
      <c r="O182" s="6">
        <f t="shared" si="86"/>
        <v>126</v>
      </c>
      <c r="P182" s="7">
        <f>IF($J182=0,0,ROUND(MAX($J182*1.4*1.5*1.6,3500000*(1.57975^(MIN($E182,123)-117)))*0.8,0))</f>
        <v>27548620</v>
      </c>
      <c r="Q182" s="4">
        <f t="shared" si="87"/>
        <v>128</v>
      </c>
      <c r="R182" s="8">
        <f>IF($J182=0,0,ROUND(MAX($J182*1.4*1.5*1.6*1.6,13100000*(1.429962^(MIN($E182,123)-117)))*0.651041666666667,0))</f>
        <v>50992061</v>
      </c>
      <c r="S182" s="6">
        <f t="shared" si="88"/>
        <v>130</v>
      </c>
      <c r="T182" s="7">
        <f>IF($J182=0,0,ROUND(MAX($J182*1.4*1.5*1.6*1.6*2.2,42600000*(1.576904^(MIN($E182,123)-117)))*0.617361111111111,0))</f>
        <v>256433726</v>
      </c>
      <c r="U182" s="4">
        <f t="shared" si="89"/>
        <v>133</v>
      </c>
      <c r="V182" s="8">
        <f>IF($J182=0,0,ROUND(MAX($J182*1.4*1.5*1.6*1.6*2.2*2.715,354000000*(1.642074^(MIN($E182,123)-117)))*0.583680555555556,0))</f>
        <v>2466846414</v>
      </c>
      <c r="W182" s="6">
        <f t="shared" si="90"/>
        <v>137</v>
      </c>
      <c r="X182" s="7">
        <f>IF($J182=0,0,ROUND(MAX($J182*1.4*1.5*1.6*1.6*2.2*2.715*2.6,3540000000*(1.579646^(MIN($E182,123)-117)))*0.55,0))</f>
        <v>19149825109</v>
      </c>
      <c r="Y182" s="4">
        <f t="shared" si="91"/>
        <v>139</v>
      </c>
      <c r="Z182" s="8">
        <f>IF($J182=0,0,ROUND(MAX($J182*1.4*1.5*1.6*1.6*2.2*2.715*2.6*1.4,6020000000*(1.651178^(MIN($E182,123)-117)))*0.55,0))</f>
        <v>40637655878</v>
      </c>
      <c r="AA182" s="6">
        <f t="shared" si="92"/>
        <v>141</v>
      </c>
      <c r="AB182" s="7">
        <f>IF($J182=0,0,ROUND(MAX($J182*1.4*1.5*1.6*1.6*2.2*2.715*2.6*1.4*1.4,8430000000*(1.651435^(MIN($E182,123)-117)))*0.55,0))</f>
        <v>56950519155</v>
      </c>
      <c r="AC182" s="4">
        <f t="shared" si="93"/>
        <v>143</v>
      </c>
      <c r="AD182" s="8">
        <f>IF($J182=0,0,ROUND(MAX($J182*1.4*1.5*1.6*1.6*2.2*2.715*2.6*1.4*1.4*1.5,12600000000*(1.652953^(MIN($E182,123)-117)))*0.55,0))</f>
        <v>85513712193</v>
      </c>
      <c r="AE182" s="6">
        <f t="shared" si="94"/>
        <v>146</v>
      </c>
      <c r="AF182" s="7">
        <f>IF($J182=0,0,ROUND(MAX($J182*1.4*1.5*1.6*1.6*2.2*2.715*2.6*1.4*1.4*1.5*1.5,18900000000*(1.65331^(MIN($E182,123)-117)))*0.55,0))</f>
        <v>128409145665</v>
      </c>
      <c r="AG182" s="4">
        <f t="shared" si="95"/>
        <v>149</v>
      </c>
      <c r="AH182" s="8">
        <f>IF($J182=0,0,ROUND(MAX($J182*1.4*1.5*1.6*1.6*2.2*2.715*2.6*1.4*1.4*1.5*1.5*3.2,60500000000*(1.654288^(MIN($E182,123)-117)))*0.55,0))</f>
        <v>412262337486</v>
      </c>
    </row>
    <row r="183" spans="1:34" x14ac:dyDescent="0.25">
      <c r="A183" s="3">
        <v>153</v>
      </c>
      <c r="B183" s="3" t="s">
        <v>304</v>
      </c>
      <c r="C183" s="3" t="s">
        <v>228</v>
      </c>
      <c r="D183" s="3" t="s">
        <v>29</v>
      </c>
      <c r="E183" s="3">
        <v>122</v>
      </c>
      <c r="F183" s="3" t="s">
        <v>26</v>
      </c>
      <c r="G183" s="3" t="s">
        <v>206</v>
      </c>
      <c r="H183" s="3">
        <v>32</v>
      </c>
      <c r="I183" s="4">
        <v>122</v>
      </c>
      <c r="J183" s="5">
        <v>4180000</v>
      </c>
      <c r="K183" s="6">
        <f t="shared" si="84"/>
        <v>123</v>
      </c>
      <c r="L183" s="7">
        <f>IF($J183=0,0,ROUND(MAX($J183*1.4,1620000*(1.497923^(MIN($E183,123)-117)))*1,0))</f>
        <v>12216941</v>
      </c>
      <c r="M183" s="4">
        <f t="shared" si="85"/>
        <v>124</v>
      </c>
      <c r="N183" s="8">
        <f>IF($J183=0,0,ROUND(MAX($J183*1.4*1.5,2190000*(1.580994^(MIN($E183,123)-117)))*1,0))</f>
        <v>21631928</v>
      </c>
      <c r="O183" s="6">
        <f t="shared" si="86"/>
        <v>126</v>
      </c>
      <c r="P183" s="7">
        <f>IF($J183=0,0,ROUND(MAX($J183*1.4*1.5*1.6,3500000*(1.57975^(MIN($E183,123)-117)))*1,0))</f>
        <v>34435775</v>
      </c>
      <c r="Q183" s="4">
        <f t="shared" si="87"/>
        <v>128</v>
      </c>
      <c r="R183" s="8">
        <f>IF($J183=0,0,ROUND(MAX($J183*1.4*1.5*1.6*1.6,13100000*(1.429962^(MIN($E183,123)-117)))*1,0))</f>
        <v>78323805</v>
      </c>
      <c r="S183" s="6">
        <f t="shared" si="88"/>
        <v>130</v>
      </c>
      <c r="T183" s="7">
        <f>IF($J183=0,0,ROUND(MAX($J183*1.4*1.5*1.6*1.6*2.2,42600000*(1.576904^(MIN($E183,123)-117)))*1,0))</f>
        <v>415370714</v>
      </c>
      <c r="U183" s="4">
        <f t="shared" si="89"/>
        <v>133</v>
      </c>
      <c r="V183" s="8">
        <f>IF($J183=0,0,ROUND(MAX($J183*1.4*1.5*1.6*1.6*2.2*2.715,354000000*(1.642074^(MIN($E183,123)-117)))*1,0))</f>
        <v>4226363874</v>
      </c>
      <c r="W183" s="6">
        <f t="shared" si="90"/>
        <v>137</v>
      </c>
      <c r="X183" s="7">
        <f>IF($J183=0,0,ROUND(MAX($J183*1.4*1.5*1.6*1.6*2.2*2.715*2.6,3540000000*(1.579646^(MIN($E183,123)-117)))*1,0))</f>
        <v>34817863835</v>
      </c>
      <c r="Y183" s="4">
        <f t="shared" si="91"/>
        <v>139</v>
      </c>
      <c r="Z183" s="8">
        <f>IF($J183=0,0,ROUND(MAX($J183*1.4*1.5*1.6*1.6*2.2*2.715*2.6*1.4,6020000000*(1.651178^(MIN($E183,123)-117)))*1,0))</f>
        <v>73886647050</v>
      </c>
      <c r="AA183" s="6">
        <f t="shared" si="92"/>
        <v>141</v>
      </c>
      <c r="AB183" s="7">
        <f>IF($J183=0,0,ROUND(MAX($J183*1.4*1.5*1.6*1.6*2.2*2.715*2.6*1.4*1.4,8430000000*(1.651435^(MIN($E183,123)-117)))*1,0))</f>
        <v>103546398464</v>
      </c>
      <c r="AC183" s="4">
        <f t="shared" si="93"/>
        <v>143</v>
      </c>
      <c r="AD183" s="8">
        <f>IF($J183=0,0,ROUND(MAX($J183*1.4*1.5*1.6*1.6*2.2*2.715*2.6*1.4*1.4*1.5,12600000000*(1.652953^(MIN($E183,123)-117)))*1,0))</f>
        <v>155479476715</v>
      </c>
      <c r="AE183" s="6">
        <f t="shared" si="94"/>
        <v>146</v>
      </c>
      <c r="AF183" s="7">
        <f>IF($J183=0,0,ROUND(MAX($J183*1.4*1.5*1.6*1.6*2.2*2.715*2.6*1.4*1.4*1.5*1.5,18900000000*(1.65331^(MIN($E183,123)-117)))*1,0))</f>
        <v>233471173936</v>
      </c>
      <c r="AG183" s="4">
        <f t="shared" si="95"/>
        <v>149</v>
      </c>
      <c r="AH183" s="8">
        <f>IF($J183=0,0,ROUND(MAX($J183*1.4*1.5*1.6*1.6*2.2*2.715*2.6*1.4*1.4*1.5*1.5*3.2,60500000000*(1.654288^(MIN($E183,123)-117)))*1,0))</f>
        <v>749567886338</v>
      </c>
    </row>
    <row r="184" spans="1:34" x14ac:dyDescent="0.25">
      <c r="A184" s="3">
        <v>169</v>
      </c>
      <c r="B184" s="3" t="s">
        <v>305</v>
      </c>
      <c r="C184" s="3" t="s">
        <v>228</v>
      </c>
      <c r="D184" s="3" t="s">
        <v>33</v>
      </c>
      <c r="E184" s="3">
        <v>122</v>
      </c>
      <c r="F184" s="3" t="s">
        <v>34</v>
      </c>
      <c r="G184" s="3" t="s">
        <v>35</v>
      </c>
      <c r="H184" s="3">
        <v>31</v>
      </c>
      <c r="I184" s="4">
        <v>122</v>
      </c>
      <c r="J184" s="5">
        <v>4750000</v>
      </c>
      <c r="K184" s="6">
        <f t="shared" si="84"/>
        <v>123</v>
      </c>
      <c r="L184" s="7">
        <f>IF($J184=0,0,ROUND(MAX($J184*1.4,1620000*(1.497923^(MIN($E184,123)-117)))*1,0))</f>
        <v>12216941</v>
      </c>
      <c r="M184" s="4">
        <f t="shared" si="85"/>
        <v>124</v>
      </c>
      <c r="N184" s="8">
        <f>IF($J184=0,0,ROUND(MAX($J184*1.4*1.5,2190000*(1.580994^(MIN($E184,123)-117)))*1,0))</f>
        <v>21631928</v>
      </c>
      <c r="O184" s="6">
        <f t="shared" si="86"/>
        <v>126</v>
      </c>
      <c r="P184" s="7">
        <f>IF($J184=0,0,ROUND(MAX($J184*1.4*1.5*1.6,3500000*(1.57975^(MIN($E184,123)-117)))*1,0))</f>
        <v>34435775</v>
      </c>
      <c r="Q184" s="4">
        <f t="shared" si="87"/>
        <v>128</v>
      </c>
      <c r="R184" s="8">
        <f>IF($J184=0,0,ROUND(MAX($J184*1.4*1.5*1.6*1.6,13100000*(1.429962^(MIN($E184,123)-117)))*1,0))</f>
        <v>78323805</v>
      </c>
      <c r="S184" s="6">
        <f t="shared" si="88"/>
        <v>130</v>
      </c>
      <c r="T184" s="7">
        <f>IF($J184=0,0,ROUND(MAX($J184*1.4*1.5*1.6*1.6*2.2,42600000*(1.576904^(MIN($E184,123)-117)))*1,0))</f>
        <v>415370714</v>
      </c>
      <c r="U184" s="4">
        <f t="shared" si="89"/>
        <v>133</v>
      </c>
      <c r="V184" s="8">
        <f>IF($J184=0,0,ROUND(MAX($J184*1.4*1.5*1.6*1.6*2.2*2.715,354000000*(1.642074^(MIN($E184,123)-117)))*1,0))</f>
        <v>4226363874</v>
      </c>
      <c r="W184" s="6">
        <f t="shared" si="90"/>
        <v>137</v>
      </c>
      <c r="X184" s="7">
        <f>IF($J184=0,0,ROUND(MAX($J184*1.4*1.5*1.6*1.6*2.2*2.715*2.6,3540000000*(1.579646^(MIN($E184,123)-117)))*1,0))</f>
        <v>34817863835</v>
      </c>
      <c r="Y184" s="4">
        <f t="shared" si="91"/>
        <v>139</v>
      </c>
      <c r="Z184" s="8">
        <f>IF($J184=0,0,ROUND(MAX($J184*1.4*1.5*1.6*1.6*2.2*2.715*2.6*1.4,6020000000*(1.651178^(MIN($E184,123)-117)))*1,0))</f>
        <v>73886647050</v>
      </c>
      <c r="AA184" s="6">
        <f t="shared" si="92"/>
        <v>141</v>
      </c>
      <c r="AB184" s="7">
        <f>IF($J184=0,0,ROUND(MAX($J184*1.4*1.5*1.6*1.6*2.2*2.715*2.6*1.4*1.4,8430000000*(1.651435^(MIN($E184,123)-117)))*1,0))</f>
        <v>103546398464</v>
      </c>
      <c r="AC184" s="4">
        <f t="shared" si="93"/>
        <v>143</v>
      </c>
      <c r="AD184" s="8">
        <f>IF($J184=0,0,ROUND(MAX($J184*1.4*1.5*1.6*1.6*2.2*2.715*2.6*1.4*1.4*1.5,12600000000*(1.652953^(MIN($E184,123)-117)))*1,0))</f>
        <v>155479476715</v>
      </c>
      <c r="AE184" s="6">
        <f t="shared" si="94"/>
        <v>146</v>
      </c>
      <c r="AF184" s="7">
        <f>IF($J184=0,0,ROUND(MAX($J184*1.4*1.5*1.6*1.6*2.2*2.715*2.6*1.4*1.4*1.5*1.5,18900000000*(1.65331^(MIN($E184,123)-117)))*1,0))</f>
        <v>233471173936</v>
      </c>
      <c r="AG184" s="4">
        <f t="shared" si="95"/>
        <v>149</v>
      </c>
      <c r="AH184" s="8">
        <f>IF($J184=0,0,ROUND(MAX($J184*1.4*1.5*1.6*1.6*2.2*2.715*2.6*1.4*1.4*1.5*1.5*3.2,60500000000*(1.654288^(MIN($E184,123)-117)))*1,0))</f>
        <v>749567886338</v>
      </c>
    </row>
    <row r="185" spans="1:34" x14ac:dyDescent="0.25">
      <c r="A185" s="3">
        <v>159</v>
      </c>
      <c r="B185" s="3" t="s">
        <v>306</v>
      </c>
      <c r="C185" s="3" t="s">
        <v>228</v>
      </c>
      <c r="D185" s="3" t="s">
        <v>90</v>
      </c>
      <c r="E185" s="3">
        <v>122</v>
      </c>
      <c r="F185" s="3" t="s">
        <v>42</v>
      </c>
      <c r="G185" s="3" t="s">
        <v>95</v>
      </c>
      <c r="H185" s="3">
        <v>31</v>
      </c>
      <c r="I185" s="4">
        <v>122</v>
      </c>
      <c r="J185" s="5">
        <v>3680000</v>
      </c>
      <c r="K185" s="6">
        <f t="shared" si="84"/>
        <v>123</v>
      </c>
      <c r="L185" s="7">
        <f>IF($J185=0,0,ROUND(MAX($J185*1.4,1620000*(1.497923^(MIN($E185,123)-117)))*1,0))</f>
        <v>12216941</v>
      </c>
      <c r="M185" s="4">
        <f t="shared" si="85"/>
        <v>124</v>
      </c>
      <c r="N185" s="8">
        <f>IF($J185=0,0,ROUND(MAX($J185*1.4*1.5,2190000*(1.580994^(MIN($E185,123)-117)))*1,0))</f>
        <v>21631928</v>
      </c>
      <c r="O185" s="6">
        <f t="shared" si="86"/>
        <v>126</v>
      </c>
      <c r="P185" s="7">
        <f>IF($J185=0,0,ROUND(MAX($J185*1.4*1.5*1.6,3500000*(1.57975^(MIN($E185,123)-117)))*1,0))</f>
        <v>34435775</v>
      </c>
      <c r="Q185" s="4">
        <f t="shared" si="87"/>
        <v>128</v>
      </c>
      <c r="R185" s="8">
        <f>IF($J185=0,0,ROUND(MAX($J185*1.4*1.5*1.6*1.6,13100000*(1.429962^(MIN($E185,123)-117)))*1,0))</f>
        <v>78323805</v>
      </c>
      <c r="S185" s="6">
        <f t="shared" si="88"/>
        <v>130</v>
      </c>
      <c r="T185" s="7">
        <f>IF($J185=0,0,ROUND(MAX($J185*1.4*1.5*1.6*1.6*2.2,42600000*(1.576904^(MIN($E185,123)-117)))*1,0))</f>
        <v>415370714</v>
      </c>
      <c r="U185" s="4">
        <f t="shared" si="89"/>
        <v>133</v>
      </c>
      <c r="V185" s="8">
        <f>IF($J185=0,0,ROUND(MAX($J185*1.4*1.5*1.6*1.6*2.2*2.715,354000000*(1.642074^(MIN($E185,123)-117)))*1,0))</f>
        <v>4226363874</v>
      </c>
      <c r="W185" s="6">
        <f t="shared" si="90"/>
        <v>137</v>
      </c>
      <c r="X185" s="7">
        <f>IF($J185=0,0,ROUND(MAX($J185*1.4*1.5*1.6*1.6*2.2*2.715*2.6,3540000000*(1.579646^(MIN($E185,123)-117)))*1,0))</f>
        <v>34817863835</v>
      </c>
      <c r="Y185" s="4">
        <f t="shared" si="91"/>
        <v>139</v>
      </c>
      <c r="Z185" s="8">
        <f>IF($J185=0,0,ROUND(MAX($J185*1.4*1.5*1.6*1.6*2.2*2.715*2.6*1.4,6020000000*(1.651178^(MIN($E185,123)-117)))*1,0))</f>
        <v>73886647050</v>
      </c>
      <c r="AA185" s="6">
        <f t="shared" si="92"/>
        <v>141</v>
      </c>
      <c r="AB185" s="7">
        <f>IF($J185=0,0,ROUND(MAX($J185*1.4*1.5*1.6*1.6*2.2*2.715*2.6*1.4*1.4,8430000000*(1.651435^(MIN($E185,123)-117)))*1,0))</f>
        <v>103546398464</v>
      </c>
      <c r="AC185" s="4">
        <f t="shared" si="93"/>
        <v>143</v>
      </c>
      <c r="AD185" s="8">
        <f>IF($J185=0,0,ROUND(MAX($J185*1.4*1.5*1.6*1.6*2.2*2.715*2.6*1.4*1.4*1.5,12600000000*(1.652953^(MIN($E185,123)-117)))*1,0))</f>
        <v>155479476715</v>
      </c>
      <c r="AE185" s="6">
        <f t="shared" si="94"/>
        <v>146</v>
      </c>
      <c r="AF185" s="7">
        <f>IF($J185=0,0,ROUND(MAX($J185*1.4*1.5*1.6*1.6*2.2*2.715*2.6*1.4*1.4*1.5*1.5,18900000000*(1.65331^(MIN($E185,123)-117)))*1,0))</f>
        <v>233471173936</v>
      </c>
      <c r="AG185" s="4">
        <f t="shared" si="95"/>
        <v>149</v>
      </c>
      <c r="AH185" s="8">
        <f>IF($J185=0,0,ROUND(MAX($J185*1.4*1.5*1.6*1.6*2.2*2.715*2.6*1.4*1.4*1.5*1.5*3.2,60500000000*(1.654288^(MIN($E185,123)-117)))*1,0))</f>
        <v>749567886338</v>
      </c>
    </row>
    <row r="186" spans="1:34" x14ac:dyDescent="0.25">
      <c r="A186" s="3">
        <v>182</v>
      </c>
      <c r="B186" s="3" t="s">
        <v>307</v>
      </c>
      <c r="C186" s="3" t="s">
        <v>228</v>
      </c>
      <c r="D186" s="3" t="s">
        <v>47</v>
      </c>
      <c r="E186" s="3">
        <v>122</v>
      </c>
      <c r="F186" s="3" t="s">
        <v>71</v>
      </c>
      <c r="G186" s="3" t="s">
        <v>72</v>
      </c>
      <c r="H186" s="3">
        <v>29</v>
      </c>
      <c r="I186" s="4">
        <v>122</v>
      </c>
      <c r="J186" s="5">
        <v>4530000</v>
      </c>
      <c r="K186" s="6">
        <f t="shared" si="84"/>
        <v>123</v>
      </c>
      <c r="L186" s="7">
        <f>IF($J186=0,0,ROUND(MAX($J186*1.4,1620000*(1.497923^(MIN($E186,123)-117)))*1,0))</f>
        <v>12216941</v>
      </c>
      <c r="M186" s="4">
        <f t="shared" si="85"/>
        <v>124</v>
      </c>
      <c r="N186" s="8">
        <f>IF($J186=0,0,ROUND(MAX($J186*1.4*1.5,2190000*(1.580994^(MIN($E186,123)-117)))*1,0))</f>
        <v>21631928</v>
      </c>
      <c r="O186" s="6">
        <f t="shared" si="86"/>
        <v>126</v>
      </c>
      <c r="P186" s="7">
        <f>IF($J186=0,0,ROUND(MAX($J186*1.4*1.5*1.6,3500000*(1.57975^(MIN($E186,123)-117)))*1,0))</f>
        <v>34435775</v>
      </c>
      <c r="Q186" s="4">
        <f t="shared" si="87"/>
        <v>128</v>
      </c>
      <c r="R186" s="8">
        <f>IF($J186=0,0,ROUND(MAX($J186*1.4*1.5*1.6*1.6,13100000*(1.429962^(MIN($E186,123)-117)))*1,0))</f>
        <v>78323805</v>
      </c>
      <c r="S186" s="6">
        <f t="shared" si="88"/>
        <v>130</v>
      </c>
      <c r="T186" s="7">
        <f>IF($J186=0,0,ROUND(MAX($J186*1.4*1.5*1.6*1.6*2.2,42600000*(1.576904^(MIN($E186,123)-117)))*1,0))</f>
        <v>415370714</v>
      </c>
      <c r="U186" s="4">
        <f t="shared" si="89"/>
        <v>133</v>
      </c>
      <c r="V186" s="8">
        <f>IF($J186=0,0,ROUND(MAX($J186*1.4*1.5*1.6*1.6*2.2*2.715,354000000*(1.642074^(MIN($E186,123)-117)))*1,0))</f>
        <v>4226363874</v>
      </c>
      <c r="W186" s="6">
        <f t="shared" si="90"/>
        <v>137</v>
      </c>
      <c r="X186" s="7">
        <f>IF($J186=0,0,ROUND(MAX($J186*1.4*1.5*1.6*1.6*2.2*2.715*2.6,3540000000*(1.579646^(MIN($E186,123)-117)))*1,0))</f>
        <v>34817863835</v>
      </c>
      <c r="Y186" s="4">
        <f t="shared" si="91"/>
        <v>139</v>
      </c>
      <c r="Z186" s="8">
        <f>IF($J186=0,0,ROUND(MAX($J186*1.4*1.5*1.6*1.6*2.2*2.715*2.6*1.4,6020000000*(1.651178^(MIN($E186,123)-117)))*1,0))</f>
        <v>73886647050</v>
      </c>
      <c r="AA186" s="6">
        <f t="shared" si="92"/>
        <v>141</v>
      </c>
      <c r="AB186" s="7">
        <f>IF($J186=0,0,ROUND(MAX($J186*1.4*1.5*1.6*1.6*2.2*2.715*2.6*1.4*1.4,8430000000*(1.651435^(MIN($E186,123)-117)))*1,0))</f>
        <v>103546398464</v>
      </c>
      <c r="AC186" s="4">
        <f t="shared" si="93"/>
        <v>143</v>
      </c>
      <c r="AD186" s="8">
        <f>IF($J186=0,0,ROUND(MAX($J186*1.4*1.5*1.6*1.6*2.2*2.715*2.6*1.4*1.4*1.5,12600000000*(1.652953^(MIN($E186,123)-117)))*1,0))</f>
        <v>155479476715</v>
      </c>
      <c r="AE186" s="6">
        <f t="shared" si="94"/>
        <v>146</v>
      </c>
      <c r="AF186" s="7">
        <f>IF($J186=0,0,ROUND(MAX($J186*1.4*1.5*1.6*1.6*2.2*2.715*2.6*1.4*1.4*1.5*1.5,18900000000*(1.65331^(MIN($E186,123)-117)))*1,0))</f>
        <v>233471173936</v>
      </c>
      <c r="AG186" s="4">
        <f t="shared" si="95"/>
        <v>149</v>
      </c>
      <c r="AH186" s="8">
        <f>IF($J186=0,0,ROUND(MAX($J186*1.4*1.5*1.6*1.6*2.2*2.715*2.6*1.4*1.4*1.5*1.5*3.2,60500000000*(1.654288^(MIN($E186,123)-117)))*1,0))</f>
        <v>749567886338</v>
      </c>
    </row>
    <row r="187" spans="1:34" x14ac:dyDescent="0.25">
      <c r="A187" s="3">
        <v>163</v>
      </c>
      <c r="B187" s="3" t="s">
        <v>308</v>
      </c>
      <c r="C187" s="3" t="s">
        <v>228</v>
      </c>
      <c r="D187" s="3" t="s">
        <v>29</v>
      </c>
      <c r="E187" s="3">
        <v>122</v>
      </c>
      <c r="F187" s="3" t="s">
        <v>59</v>
      </c>
      <c r="G187" s="3" t="s">
        <v>252</v>
      </c>
      <c r="H187" s="3">
        <v>31</v>
      </c>
      <c r="I187" s="4">
        <v>122</v>
      </c>
      <c r="J187" s="5">
        <v>4850000</v>
      </c>
      <c r="K187" s="6">
        <f t="shared" si="84"/>
        <v>123</v>
      </c>
      <c r="L187" s="7">
        <f>IF($J187=0,0,ROUND(MAX($J187*1.4,1620000*(1.497923^(MIN($E187,123)-117)))*1,0))</f>
        <v>12216941</v>
      </c>
      <c r="M187" s="4">
        <f t="shared" si="85"/>
        <v>124</v>
      </c>
      <c r="N187" s="8">
        <f>IF($J187=0,0,ROUND(MAX($J187*1.4*1.5,2190000*(1.580994^(MIN($E187,123)-117)))*1,0))</f>
        <v>21631928</v>
      </c>
      <c r="O187" s="6">
        <f t="shared" si="86"/>
        <v>126</v>
      </c>
      <c r="P187" s="7">
        <f>IF($J187=0,0,ROUND(MAX($J187*1.4*1.5*1.6,3500000*(1.57975^(MIN($E187,123)-117)))*1,0))</f>
        <v>34435775</v>
      </c>
      <c r="Q187" s="4">
        <f t="shared" si="87"/>
        <v>128</v>
      </c>
      <c r="R187" s="8">
        <f>IF($J187=0,0,ROUND(MAX($J187*1.4*1.5*1.6*1.6,13100000*(1.429962^(MIN($E187,123)-117)))*1,0))</f>
        <v>78323805</v>
      </c>
      <c r="S187" s="6">
        <f t="shared" si="88"/>
        <v>130</v>
      </c>
      <c r="T187" s="7">
        <f>IF($J187=0,0,ROUND(MAX($J187*1.4*1.5*1.6*1.6*2.2,42600000*(1.576904^(MIN($E187,123)-117)))*1,0))</f>
        <v>415370714</v>
      </c>
      <c r="U187" s="4">
        <f t="shared" si="89"/>
        <v>133</v>
      </c>
      <c r="V187" s="8">
        <f>IF($J187=0,0,ROUND(MAX($J187*1.4*1.5*1.6*1.6*2.2*2.715,354000000*(1.642074^(MIN($E187,123)-117)))*1,0))</f>
        <v>4226363874</v>
      </c>
      <c r="W187" s="6">
        <f t="shared" si="90"/>
        <v>137</v>
      </c>
      <c r="X187" s="7">
        <f>IF($J187=0,0,ROUND(MAX($J187*1.4*1.5*1.6*1.6*2.2*2.715*2.6,3540000000*(1.579646^(MIN($E187,123)-117)))*1,0))</f>
        <v>34817863835</v>
      </c>
      <c r="Y187" s="4">
        <f t="shared" si="91"/>
        <v>139</v>
      </c>
      <c r="Z187" s="8">
        <f>IF($J187=0,0,ROUND(MAX($J187*1.4*1.5*1.6*1.6*2.2*2.715*2.6*1.4,6020000000*(1.651178^(MIN($E187,123)-117)))*1,0))</f>
        <v>73886647050</v>
      </c>
      <c r="AA187" s="6">
        <f t="shared" si="92"/>
        <v>141</v>
      </c>
      <c r="AB187" s="7">
        <f>IF($J187=0,0,ROUND(MAX($J187*1.4*1.5*1.6*1.6*2.2*2.715*2.6*1.4*1.4,8430000000*(1.651435^(MIN($E187,123)-117)))*1,0))</f>
        <v>103546398464</v>
      </c>
      <c r="AC187" s="4">
        <f t="shared" si="93"/>
        <v>143</v>
      </c>
      <c r="AD187" s="8">
        <f>IF($J187=0,0,ROUND(MAX($J187*1.4*1.5*1.6*1.6*2.2*2.715*2.6*1.4*1.4*1.5,12600000000*(1.652953^(MIN($E187,123)-117)))*1,0))</f>
        <v>155479476715</v>
      </c>
      <c r="AE187" s="6">
        <f t="shared" si="94"/>
        <v>146</v>
      </c>
      <c r="AF187" s="7">
        <f>IF($J187=0,0,ROUND(MAX($J187*1.4*1.5*1.6*1.6*2.2*2.715*2.6*1.4*1.4*1.5*1.5,18900000000*(1.65331^(MIN($E187,123)-117)))*1,0))</f>
        <v>233471173936</v>
      </c>
      <c r="AG187" s="4">
        <f t="shared" si="95"/>
        <v>149</v>
      </c>
      <c r="AH187" s="8">
        <f>IF($J187=0,0,ROUND(MAX($J187*1.4*1.5*1.6*1.6*2.2*2.715*2.6*1.4*1.4*1.5*1.5*3.2,60500000000*(1.654288^(MIN($E187,123)-117)))*1,0))</f>
        <v>749567886338</v>
      </c>
    </row>
    <row r="188" spans="1:34" x14ac:dyDescent="0.25">
      <c r="A188" s="3">
        <v>152</v>
      </c>
      <c r="B188" s="3" t="s">
        <v>309</v>
      </c>
      <c r="C188" s="3" t="s">
        <v>228</v>
      </c>
      <c r="D188" s="3" t="s">
        <v>79</v>
      </c>
      <c r="E188" s="3">
        <v>122</v>
      </c>
      <c r="F188" s="3" t="s">
        <v>310</v>
      </c>
      <c r="G188" s="3" t="s">
        <v>43</v>
      </c>
      <c r="H188" s="3">
        <v>32</v>
      </c>
      <c r="I188" s="4">
        <v>122</v>
      </c>
      <c r="J188" s="5">
        <v>3680000</v>
      </c>
      <c r="K188" s="6">
        <f t="shared" si="84"/>
        <v>123</v>
      </c>
      <c r="L188" s="7">
        <f>IF($J188=0,0,ROUND(MAX($J188*1.4,1620000*(1.497923^(MIN($E188,123)-117)))*0.8,0))</f>
        <v>9773552</v>
      </c>
      <c r="M188" s="4">
        <f t="shared" si="85"/>
        <v>124</v>
      </c>
      <c r="N188" s="8">
        <f>IF($J188=0,0,ROUND(MAX($J188*1.4*1.5,2190000*(1.580994^(MIN($E188,123)-117)))*0.8,0))</f>
        <v>17305542</v>
      </c>
      <c r="O188" s="6">
        <f t="shared" si="86"/>
        <v>126</v>
      </c>
      <c r="P188" s="7">
        <f>IF($J188=0,0,ROUND(MAX($J188*1.4*1.5*1.6,3500000*(1.57975^(MIN($E188,123)-117)))*0.8,0))</f>
        <v>27548620</v>
      </c>
      <c r="Q188" s="4">
        <f t="shared" si="87"/>
        <v>128</v>
      </c>
      <c r="R188" s="8">
        <f>IF($J188=0,0,ROUND(MAX($J188*1.4*1.5*1.6*1.6,13100000*(1.429962^(MIN($E188,123)-117)))*0.651041666666667,0))</f>
        <v>50992061</v>
      </c>
      <c r="S188" s="6">
        <f t="shared" si="88"/>
        <v>130</v>
      </c>
      <c r="T188" s="7">
        <f>IF($J188=0,0,ROUND(MAX($J188*1.4*1.5*1.6*1.6*2.2,42600000*(1.576904^(MIN($E188,123)-117)))*0.617361111111111,0))</f>
        <v>256433726</v>
      </c>
      <c r="U188" s="4">
        <f t="shared" si="89"/>
        <v>133</v>
      </c>
      <c r="V188" s="8">
        <f>IF($J188=0,0,ROUND(MAX($J188*1.4*1.5*1.6*1.6*2.2*2.715,354000000*(1.642074^(MIN($E188,123)-117)))*0.583680555555556,0))</f>
        <v>2466846414</v>
      </c>
      <c r="W188" s="6">
        <f t="shared" si="90"/>
        <v>137</v>
      </c>
      <c r="X188" s="7">
        <f>IF($J188=0,0,ROUND(MAX($J188*1.4*1.5*1.6*1.6*2.2*2.715*2.6,3540000000*(1.579646^(MIN($E188,123)-117)))*0.55,0))</f>
        <v>19149825109</v>
      </c>
      <c r="Y188" s="4">
        <f t="shared" si="91"/>
        <v>139</v>
      </c>
      <c r="Z188" s="8">
        <f>IF($J188=0,0,ROUND(MAX($J188*1.4*1.5*1.6*1.6*2.2*2.715*2.6*1.4,6020000000*(1.651178^(MIN($E188,123)-117)))*0.55,0))</f>
        <v>40637655878</v>
      </c>
      <c r="AA188" s="6">
        <f t="shared" si="92"/>
        <v>141</v>
      </c>
      <c r="AB188" s="7">
        <f>IF($J188=0,0,ROUND(MAX($J188*1.4*1.5*1.6*1.6*2.2*2.715*2.6*1.4*1.4,8430000000*(1.651435^(MIN($E188,123)-117)))*0.55,0))</f>
        <v>56950519155</v>
      </c>
      <c r="AC188" s="4">
        <f t="shared" si="93"/>
        <v>143</v>
      </c>
      <c r="AD188" s="8">
        <f>IF($J188=0,0,ROUND(MAX($J188*1.4*1.5*1.6*1.6*2.2*2.715*2.6*1.4*1.4*1.5,12600000000*(1.652953^(MIN($E188,123)-117)))*0.55,0))</f>
        <v>85513712193</v>
      </c>
      <c r="AE188" s="6">
        <f t="shared" si="94"/>
        <v>146</v>
      </c>
      <c r="AF188" s="7">
        <f>IF($J188=0,0,ROUND(MAX($J188*1.4*1.5*1.6*1.6*2.2*2.715*2.6*1.4*1.4*1.5*1.5,18900000000*(1.65331^(MIN($E188,123)-117)))*0.55,0))</f>
        <v>128409145665</v>
      </c>
      <c r="AG188" s="4">
        <f t="shared" si="95"/>
        <v>149</v>
      </c>
      <c r="AH188" s="8">
        <f>IF($J188=0,0,ROUND(MAX($J188*1.4*1.5*1.6*1.6*2.2*2.715*2.6*1.4*1.4*1.5*1.5*3.2,60500000000*(1.654288^(MIN($E188,123)-117)))*0.55,0))</f>
        <v>412262337486</v>
      </c>
    </row>
    <row r="189" spans="1:34" x14ac:dyDescent="0.25">
      <c r="A189" s="3">
        <v>168</v>
      </c>
      <c r="B189" s="3" t="s">
        <v>311</v>
      </c>
      <c r="C189" s="3" t="s">
        <v>228</v>
      </c>
      <c r="D189" s="3" t="s">
        <v>102</v>
      </c>
      <c r="E189" s="3">
        <v>122</v>
      </c>
      <c r="F189" s="3" t="s">
        <v>62</v>
      </c>
      <c r="G189" s="3" t="s">
        <v>67</v>
      </c>
      <c r="H189" s="3">
        <v>31</v>
      </c>
      <c r="I189" s="4">
        <v>122</v>
      </c>
      <c r="J189" s="5">
        <v>3780000</v>
      </c>
      <c r="K189" s="6">
        <f t="shared" si="84"/>
        <v>123</v>
      </c>
      <c r="L189" s="7">
        <f>IF($J189=0,0,ROUND(MAX($J189*1.4,1620000*(1.497923^(MIN($E189,123)-117)))*1,0))</f>
        <v>12216941</v>
      </c>
      <c r="M189" s="4">
        <f t="shared" si="85"/>
        <v>124</v>
      </c>
      <c r="N189" s="8">
        <f>IF($J189=0,0,ROUND(MAX($J189*1.4*1.5,2190000*(1.580994^(MIN($E189,123)-117)))*1,0))</f>
        <v>21631928</v>
      </c>
      <c r="O189" s="6">
        <f t="shared" si="86"/>
        <v>126</v>
      </c>
      <c r="P189" s="7">
        <f>IF($J189=0,0,ROUND(MAX($J189*1.4*1.5*1.6,3500000*(1.57975^(MIN($E189,123)-117)))*1,0))</f>
        <v>34435775</v>
      </c>
      <c r="Q189" s="4">
        <f t="shared" si="87"/>
        <v>128</v>
      </c>
      <c r="R189" s="8">
        <f>IF($J189=0,0,ROUND(MAX($J189*1.4*1.5*1.6*1.6,13100000*(1.429962^(MIN($E189,123)-117)))*1,0))</f>
        <v>78323805</v>
      </c>
      <c r="S189" s="6">
        <f t="shared" si="88"/>
        <v>130</v>
      </c>
      <c r="T189" s="7">
        <f>IF($J189=0,0,ROUND(MAX($J189*1.4*1.5*1.6*1.6*2.2,42600000*(1.576904^(MIN($E189,123)-117)))*1,0))</f>
        <v>415370714</v>
      </c>
      <c r="U189" s="4">
        <f t="shared" si="89"/>
        <v>133</v>
      </c>
      <c r="V189" s="8">
        <f>IF($J189=0,0,ROUND(MAX($J189*1.4*1.5*1.6*1.6*2.2*2.715,354000000*(1.642074^(MIN($E189,123)-117)))*1,0))</f>
        <v>4226363874</v>
      </c>
      <c r="W189" s="6">
        <f t="shared" si="90"/>
        <v>137</v>
      </c>
      <c r="X189" s="7">
        <f>IF($J189=0,0,ROUND(MAX($J189*1.4*1.5*1.6*1.6*2.2*2.715*2.6,3540000000*(1.579646^(MIN($E189,123)-117)))*1,0))</f>
        <v>34817863835</v>
      </c>
      <c r="Y189" s="4">
        <f t="shared" si="91"/>
        <v>139</v>
      </c>
      <c r="Z189" s="8">
        <f>IF($J189=0,0,ROUND(MAX($J189*1.4*1.5*1.6*1.6*2.2*2.715*2.6*1.4,6020000000*(1.651178^(MIN($E189,123)-117)))*1,0))</f>
        <v>73886647050</v>
      </c>
      <c r="AA189" s="6">
        <f t="shared" si="92"/>
        <v>141</v>
      </c>
      <c r="AB189" s="7">
        <f>IF($J189=0,0,ROUND(MAX($J189*1.4*1.5*1.6*1.6*2.2*2.715*2.6*1.4*1.4,8430000000*(1.651435^(MIN($E189,123)-117)))*1,0))</f>
        <v>103546398464</v>
      </c>
      <c r="AC189" s="4">
        <f t="shared" si="93"/>
        <v>143</v>
      </c>
      <c r="AD189" s="8">
        <f>IF($J189=0,0,ROUND(MAX($J189*1.4*1.5*1.6*1.6*2.2*2.715*2.6*1.4*1.4*1.5,12600000000*(1.652953^(MIN($E189,123)-117)))*1,0))</f>
        <v>155479476715</v>
      </c>
      <c r="AE189" s="6">
        <f t="shared" si="94"/>
        <v>146</v>
      </c>
      <c r="AF189" s="7">
        <f>IF($J189=0,0,ROUND(MAX($J189*1.4*1.5*1.6*1.6*2.2*2.715*2.6*1.4*1.4*1.5*1.5,18900000000*(1.65331^(MIN($E189,123)-117)))*1,0))</f>
        <v>233471173936</v>
      </c>
      <c r="AG189" s="4">
        <f t="shared" si="95"/>
        <v>149</v>
      </c>
      <c r="AH189" s="8">
        <f>IF($J189=0,0,ROUND(MAX($J189*1.4*1.5*1.6*1.6*2.2*2.715*2.6*1.4*1.4*1.5*1.5*3.2,60500000000*(1.654288^(MIN($E189,123)-117)))*1,0))</f>
        <v>749567886338</v>
      </c>
    </row>
    <row r="190" spans="1:34" x14ac:dyDescent="0.25">
      <c r="A190" s="3">
        <v>175</v>
      </c>
      <c r="B190" s="3" t="s">
        <v>312</v>
      </c>
      <c r="C190" s="3" t="s">
        <v>228</v>
      </c>
      <c r="D190" s="3" t="s">
        <v>45</v>
      </c>
      <c r="E190" s="3">
        <v>122</v>
      </c>
      <c r="F190" s="3" t="s">
        <v>313</v>
      </c>
      <c r="G190" s="3" t="s">
        <v>295</v>
      </c>
      <c r="H190" s="3">
        <v>30</v>
      </c>
      <c r="I190" s="4">
        <v>122</v>
      </c>
      <c r="J190" s="5">
        <v>4490000</v>
      </c>
      <c r="K190" s="6">
        <f t="shared" si="84"/>
        <v>123</v>
      </c>
      <c r="L190" s="7">
        <f>IF($J190=0,0,ROUND(MAX($J190*1.4,1620000*(1.497923^(MIN($E190,123)-117)))*0.8,0))</f>
        <v>9773552</v>
      </c>
      <c r="M190" s="4">
        <f t="shared" si="85"/>
        <v>124</v>
      </c>
      <c r="N190" s="8">
        <f>IF($J190=0,0,ROUND(MAX($J190*1.4*1.5,2190000*(1.580994^(MIN($E190,123)-117)))*0.8,0))</f>
        <v>17305542</v>
      </c>
      <c r="O190" s="6">
        <f t="shared" si="86"/>
        <v>126</v>
      </c>
      <c r="P190" s="7">
        <f>IF($J190=0,0,ROUND(MAX($J190*1.4*1.5*1.6,3500000*(1.57975^(MIN($E190,123)-117)))*0.8,0))</f>
        <v>27548620</v>
      </c>
      <c r="Q190" s="4">
        <f t="shared" si="87"/>
        <v>128</v>
      </c>
      <c r="R190" s="8">
        <f>IF($J190=0,0,ROUND(MAX($J190*1.4*1.5*1.6*1.6,13100000*(1.429962^(MIN($E190,123)-117)))*0.651041666666667,0))</f>
        <v>50992061</v>
      </c>
      <c r="S190" s="6">
        <f t="shared" si="88"/>
        <v>130</v>
      </c>
      <c r="T190" s="7">
        <f>IF($J190=0,0,ROUND(MAX($J190*1.4*1.5*1.6*1.6*2.2,42600000*(1.576904^(MIN($E190,123)-117)))*0.617361111111111,0))</f>
        <v>256433726</v>
      </c>
      <c r="U190" s="4">
        <f t="shared" si="89"/>
        <v>133</v>
      </c>
      <c r="V190" s="8">
        <f>IF($J190=0,0,ROUND(MAX($J190*1.4*1.5*1.6*1.6*2.2*2.715,354000000*(1.642074^(MIN($E190,123)-117)))*0.583680555555556,0))</f>
        <v>2466846414</v>
      </c>
      <c r="W190" s="6">
        <f t="shared" si="90"/>
        <v>137</v>
      </c>
      <c r="X190" s="7">
        <f>IF($J190=0,0,ROUND(MAX($J190*1.4*1.5*1.6*1.6*2.2*2.715*2.6,3540000000*(1.579646^(MIN($E190,123)-117)))*0.55,0))</f>
        <v>19149825109</v>
      </c>
      <c r="Y190" s="4">
        <f t="shared" si="91"/>
        <v>139</v>
      </c>
      <c r="Z190" s="8">
        <f>IF($J190=0,0,ROUND(MAX($J190*1.4*1.5*1.6*1.6*2.2*2.715*2.6*1.4,6020000000*(1.651178^(MIN($E190,123)-117)))*0.55,0))</f>
        <v>40637655878</v>
      </c>
      <c r="AA190" s="6">
        <f t="shared" si="92"/>
        <v>141</v>
      </c>
      <c r="AB190" s="7">
        <f>IF($J190=0,0,ROUND(MAX($J190*1.4*1.5*1.6*1.6*2.2*2.715*2.6*1.4*1.4,8430000000*(1.651435^(MIN($E190,123)-117)))*0.55,0))</f>
        <v>56950519155</v>
      </c>
      <c r="AC190" s="4">
        <f t="shared" si="93"/>
        <v>143</v>
      </c>
      <c r="AD190" s="8">
        <f>IF($J190=0,0,ROUND(MAX($J190*1.4*1.5*1.6*1.6*2.2*2.715*2.6*1.4*1.4*1.5,12600000000*(1.652953^(MIN($E190,123)-117)))*0.55,0))</f>
        <v>85513712193</v>
      </c>
      <c r="AE190" s="6">
        <f t="shared" si="94"/>
        <v>146</v>
      </c>
      <c r="AF190" s="7">
        <f>IF($J190=0,0,ROUND(MAX($J190*1.4*1.5*1.6*1.6*2.2*2.715*2.6*1.4*1.4*1.5*1.5,18900000000*(1.65331^(MIN($E190,123)-117)))*0.55,0))</f>
        <v>128409145665</v>
      </c>
      <c r="AG190" s="4">
        <f t="shared" si="95"/>
        <v>149</v>
      </c>
      <c r="AH190" s="8">
        <f>IF($J190=0,0,ROUND(MAX($J190*1.4*1.5*1.6*1.6*2.2*2.715*2.6*1.4*1.4*1.5*1.5*3.2,60500000000*(1.654288^(MIN($E190,123)-117)))*0.55,0))</f>
        <v>412262337486</v>
      </c>
    </row>
    <row r="191" spans="1:34" x14ac:dyDescent="0.25">
      <c r="A191" s="3">
        <v>177</v>
      </c>
      <c r="B191" s="3" t="s">
        <v>314</v>
      </c>
      <c r="C191" s="3" t="s">
        <v>228</v>
      </c>
      <c r="D191" s="3" t="s">
        <v>33</v>
      </c>
      <c r="E191" s="3">
        <v>122</v>
      </c>
      <c r="F191" s="3" t="s">
        <v>54</v>
      </c>
      <c r="G191" s="3" t="s">
        <v>295</v>
      </c>
      <c r="H191" s="3">
        <v>30</v>
      </c>
      <c r="I191" s="4">
        <v>122</v>
      </c>
      <c r="J191" s="5">
        <v>4020000</v>
      </c>
      <c r="K191" s="6">
        <f t="shared" si="84"/>
        <v>123</v>
      </c>
      <c r="L191" s="7">
        <f>IF($J191=0,0,ROUND(MAX($J191*1.4,1620000*(1.497923^(MIN($E191,123)-117)))*0.8,0))</f>
        <v>9773552</v>
      </c>
      <c r="M191" s="4">
        <f t="shared" si="85"/>
        <v>124</v>
      </c>
      <c r="N191" s="8">
        <f>IF($J191=0,0,ROUND(MAX($J191*1.4*1.5,2190000*(1.580994^(MIN($E191,123)-117)))*0.8,0))</f>
        <v>17305542</v>
      </c>
      <c r="O191" s="6">
        <f t="shared" si="86"/>
        <v>126</v>
      </c>
      <c r="P191" s="7">
        <f>IF($J191=0,0,ROUND(MAX($J191*1.4*1.5*1.6,3500000*(1.57975^(MIN($E191,123)-117)))*0.8,0))</f>
        <v>27548620</v>
      </c>
      <c r="Q191" s="4">
        <f t="shared" si="87"/>
        <v>128</v>
      </c>
      <c r="R191" s="8">
        <f>IF($J191=0,0,ROUND(MAX($J191*1.4*1.5*1.6*1.6,13100000*(1.429962^(MIN($E191,123)-117)))*0.651041666666667,0))</f>
        <v>50992061</v>
      </c>
      <c r="S191" s="6">
        <f t="shared" si="88"/>
        <v>130</v>
      </c>
      <c r="T191" s="7">
        <f>IF($J191=0,0,ROUND(MAX($J191*1.4*1.5*1.6*1.6*2.2,42600000*(1.576904^(MIN($E191,123)-117)))*0.617361111111111,0))</f>
        <v>256433726</v>
      </c>
      <c r="U191" s="4">
        <f t="shared" si="89"/>
        <v>133</v>
      </c>
      <c r="V191" s="8">
        <f>IF($J191=0,0,ROUND(MAX($J191*1.4*1.5*1.6*1.6*2.2*2.715,354000000*(1.642074^(MIN($E191,123)-117)))*0.583680555555556,0))</f>
        <v>2466846414</v>
      </c>
      <c r="W191" s="6">
        <f t="shared" si="90"/>
        <v>137</v>
      </c>
      <c r="X191" s="7">
        <f>IF($J191=0,0,ROUND(MAX($J191*1.4*1.5*1.6*1.6*2.2*2.715*2.6,3540000000*(1.579646^(MIN($E191,123)-117)))*0.55,0))</f>
        <v>19149825109</v>
      </c>
      <c r="Y191" s="4">
        <f t="shared" si="91"/>
        <v>139</v>
      </c>
      <c r="Z191" s="8">
        <f>IF($J191=0,0,ROUND(MAX($J191*1.4*1.5*1.6*1.6*2.2*2.715*2.6*1.4,6020000000*(1.651178^(MIN($E191,123)-117)))*0.55,0))</f>
        <v>40637655878</v>
      </c>
      <c r="AA191" s="6">
        <f t="shared" si="92"/>
        <v>141</v>
      </c>
      <c r="AB191" s="7">
        <f>IF($J191=0,0,ROUND(MAX($J191*1.4*1.5*1.6*1.6*2.2*2.715*2.6*1.4*1.4,8430000000*(1.651435^(MIN($E191,123)-117)))*0.55,0))</f>
        <v>56950519155</v>
      </c>
      <c r="AC191" s="4">
        <f t="shared" si="93"/>
        <v>143</v>
      </c>
      <c r="AD191" s="8">
        <f>IF($J191=0,0,ROUND(MAX($J191*1.4*1.5*1.6*1.6*2.2*2.715*2.6*1.4*1.4*1.5,12600000000*(1.652953^(MIN($E191,123)-117)))*0.55,0))</f>
        <v>85513712193</v>
      </c>
      <c r="AE191" s="6">
        <f t="shared" si="94"/>
        <v>146</v>
      </c>
      <c r="AF191" s="7">
        <f>IF($J191=0,0,ROUND(MAX($J191*1.4*1.5*1.6*1.6*2.2*2.715*2.6*1.4*1.4*1.5*1.5,18900000000*(1.65331^(MIN($E191,123)-117)))*0.55,0))</f>
        <v>128409145665</v>
      </c>
      <c r="AG191" s="4">
        <f t="shared" si="95"/>
        <v>149</v>
      </c>
      <c r="AH191" s="8">
        <f>IF($J191=0,0,ROUND(MAX($J191*1.4*1.5*1.6*1.6*2.2*2.715*2.6*1.4*1.4*1.5*1.5*3.2,60500000000*(1.654288^(MIN($E191,123)-117)))*0.55,0))</f>
        <v>412262337486</v>
      </c>
    </row>
    <row r="192" spans="1:34" x14ac:dyDescent="0.25">
      <c r="A192" s="3">
        <v>185</v>
      </c>
      <c r="B192" s="3" t="s">
        <v>315</v>
      </c>
      <c r="C192" s="3" t="s">
        <v>228</v>
      </c>
      <c r="D192" s="3" t="s">
        <v>241</v>
      </c>
      <c r="E192" s="3">
        <v>122</v>
      </c>
      <c r="F192" s="3" t="s">
        <v>54</v>
      </c>
      <c r="G192" s="3" t="s">
        <v>295</v>
      </c>
      <c r="H192" s="3">
        <v>29</v>
      </c>
      <c r="I192" s="4">
        <v>122</v>
      </c>
      <c r="J192" s="5">
        <v>4590000</v>
      </c>
      <c r="K192" s="6">
        <f t="shared" si="84"/>
        <v>123</v>
      </c>
      <c r="L192" s="7">
        <f>IF($J192=0,0,ROUND(MAX($J192*1.4,1620000*(1.497923^(MIN($E192,123)-117)))*0.8,0))</f>
        <v>9773552</v>
      </c>
      <c r="M192" s="4">
        <f t="shared" si="85"/>
        <v>124</v>
      </c>
      <c r="N192" s="8">
        <f>IF($J192=0,0,ROUND(MAX($J192*1.4*1.5,2190000*(1.580994^(MIN($E192,123)-117)))*0.8,0))</f>
        <v>17305542</v>
      </c>
      <c r="O192" s="6">
        <f t="shared" si="86"/>
        <v>126</v>
      </c>
      <c r="P192" s="7">
        <f>IF($J192=0,0,ROUND(MAX($J192*1.4*1.5*1.6,3500000*(1.57975^(MIN($E192,123)-117)))*0.8,0))</f>
        <v>27548620</v>
      </c>
      <c r="Q192" s="4">
        <f t="shared" si="87"/>
        <v>128</v>
      </c>
      <c r="R192" s="8">
        <f>IF($J192=0,0,ROUND(MAX($J192*1.4*1.5*1.6*1.6,13100000*(1.429962^(MIN($E192,123)-117)))*0.651041666666667,0))</f>
        <v>50992061</v>
      </c>
      <c r="S192" s="6">
        <f t="shared" si="88"/>
        <v>130</v>
      </c>
      <c r="T192" s="7">
        <f>IF($J192=0,0,ROUND(MAX($J192*1.4*1.5*1.6*1.6*2.2,42600000*(1.576904^(MIN($E192,123)-117)))*0.617361111111111,0))</f>
        <v>256433726</v>
      </c>
      <c r="U192" s="4">
        <f t="shared" si="89"/>
        <v>133</v>
      </c>
      <c r="V192" s="8">
        <f>IF($J192=0,0,ROUND(MAX($J192*1.4*1.5*1.6*1.6*2.2*2.715,354000000*(1.642074^(MIN($E192,123)-117)))*0.583680555555556,0))</f>
        <v>2466846414</v>
      </c>
      <c r="W192" s="6">
        <f t="shared" si="90"/>
        <v>137</v>
      </c>
      <c r="X192" s="7">
        <f>IF($J192=0,0,ROUND(MAX($J192*1.4*1.5*1.6*1.6*2.2*2.715*2.6,3540000000*(1.579646^(MIN($E192,123)-117)))*0.55,0))</f>
        <v>19149825109</v>
      </c>
      <c r="Y192" s="4">
        <f t="shared" si="91"/>
        <v>139</v>
      </c>
      <c r="Z192" s="8">
        <f>IF($J192=0,0,ROUND(MAX($J192*1.4*1.5*1.6*1.6*2.2*2.715*2.6*1.4,6020000000*(1.651178^(MIN($E192,123)-117)))*0.55,0))</f>
        <v>40637655878</v>
      </c>
      <c r="AA192" s="6">
        <f t="shared" si="92"/>
        <v>141</v>
      </c>
      <c r="AB192" s="7">
        <f>IF($J192=0,0,ROUND(MAX($J192*1.4*1.5*1.6*1.6*2.2*2.715*2.6*1.4*1.4,8430000000*(1.651435^(MIN($E192,123)-117)))*0.55,0))</f>
        <v>56950519155</v>
      </c>
      <c r="AC192" s="4">
        <f t="shared" si="93"/>
        <v>143</v>
      </c>
      <c r="AD192" s="8">
        <f>IF($J192=0,0,ROUND(MAX($J192*1.4*1.5*1.6*1.6*2.2*2.715*2.6*1.4*1.4*1.5,12600000000*(1.652953^(MIN($E192,123)-117)))*0.55,0))</f>
        <v>85513712193</v>
      </c>
      <c r="AE192" s="6">
        <f t="shared" si="94"/>
        <v>146</v>
      </c>
      <c r="AF192" s="7">
        <f>IF($J192=0,0,ROUND(MAX($J192*1.4*1.5*1.6*1.6*2.2*2.715*2.6*1.4*1.4*1.5*1.5,18900000000*(1.65331^(MIN($E192,123)-117)))*0.55,0))</f>
        <v>128409145665</v>
      </c>
      <c r="AG192" s="4">
        <f t="shared" si="95"/>
        <v>149</v>
      </c>
      <c r="AH192" s="8">
        <f>IF($J192=0,0,ROUND(MAX($J192*1.4*1.5*1.6*1.6*2.2*2.715*2.6*1.4*1.4*1.5*1.5*3.2,60500000000*(1.654288^(MIN($E192,123)-117)))*0.55,0))</f>
        <v>412262337486</v>
      </c>
    </row>
    <row r="193" spans="1:34" x14ac:dyDescent="0.25">
      <c r="A193" s="3">
        <v>183</v>
      </c>
      <c r="B193" s="3" t="s">
        <v>316</v>
      </c>
      <c r="C193" s="3" t="s">
        <v>228</v>
      </c>
      <c r="D193" s="3" t="s">
        <v>75</v>
      </c>
      <c r="E193" s="3">
        <v>122</v>
      </c>
      <c r="F193" s="3" t="s">
        <v>30</v>
      </c>
      <c r="G193" s="3" t="s">
        <v>261</v>
      </c>
      <c r="H193" s="3">
        <v>29</v>
      </c>
      <c r="I193" s="4">
        <v>122</v>
      </c>
      <c r="J193" s="5">
        <v>4430000</v>
      </c>
      <c r="K193" s="6">
        <f t="shared" si="84"/>
        <v>123</v>
      </c>
      <c r="L193" s="7">
        <f>IF($J193=0,0,ROUND(MAX($J193*1.4,1620000*(1.497923^(MIN($E193,123)-117)))*0.8,0))</f>
        <v>9773552</v>
      </c>
      <c r="M193" s="4">
        <f t="shared" si="85"/>
        <v>124</v>
      </c>
      <c r="N193" s="8">
        <f>IF($J193=0,0,ROUND(MAX($J193*1.4*1.5,2190000*(1.580994^(MIN($E193,123)-117)))*0.8,0))</f>
        <v>17305542</v>
      </c>
      <c r="O193" s="6">
        <f t="shared" si="86"/>
        <v>126</v>
      </c>
      <c r="P193" s="7">
        <f>IF($J193=0,0,ROUND(MAX($J193*1.4*1.5*1.6,3500000*(1.57975^(MIN($E193,123)-117)))*0.8,0))</f>
        <v>27548620</v>
      </c>
      <c r="Q193" s="4">
        <f t="shared" si="87"/>
        <v>128</v>
      </c>
      <c r="R193" s="8">
        <f>IF($J193=0,0,ROUND(MAX($J193*1.4*1.5*1.6*1.6,13100000*(1.429962^(MIN($E193,123)-117)))*0.651041666666667,0))</f>
        <v>50992061</v>
      </c>
      <c r="S193" s="6">
        <f t="shared" si="88"/>
        <v>130</v>
      </c>
      <c r="T193" s="7">
        <f>IF($J193=0,0,ROUND(MAX($J193*1.4*1.5*1.6*1.6*2.2,42600000*(1.576904^(MIN($E193,123)-117)))*0.617361111111111,0))</f>
        <v>256433726</v>
      </c>
      <c r="U193" s="4">
        <f t="shared" si="89"/>
        <v>133</v>
      </c>
      <c r="V193" s="8">
        <f>IF($J193=0,0,ROUND(MAX($J193*1.4*1.5*1.6*1.6*2.2*2.715,354000000*(1.642074^(MIN($E193,123)-117)))*0.583680555555556,0))</f>
        <v>2466846414</v>
      </c>
      <c r="W193" s="6">
        <f t="shared" si="90"/>
        <v>137</v>
      </c>
      <c r="X193" s="7">
        <f>IF($J193=0,0,ROUND(MAX($J193*1.4*1.5*1.6*1.6*2.2*2.715*2.6,3540000000*(1.579646^(MIN($E193,123)-117)))*0.55,0))</f>
        <v>19149825109</v>
      </c>
      <c r="Y193" s="4">
        <f t="shared" si="91"/>
        <v>139</v>
      </c>
      <c r="Z193" s="8">
        <f>IF($J193=0,0,ROUND(MAX($J193*1.4*1.5*1.6*1.6*2.2*2.715*2.6*1.4,6020000000*(1.651178^(MIN($E193,123)-117)))*0.55,0))</f>
        <v>40637655878</v>
      </c>
      <c r="AA193" s="6">
        <f t="shared" si="92"/>
        <v>141</v>
      </c>
      <c r="AB193" s="7">
        <f>IF($J193=0,0,ROUND(MAX($J193*1.4*1.5*1.6*1.6*2.2*2.715*2.6*1.4*1.4,8430000000*(1.651435^(MIN($E193,123)-117)))*0.55,0))</f>
        <v>56950519155</v>
      </c>
      <c r="AC193" s="4">
        <f t="shared" si="93"/>
        <v>143</v>
      </c>
      <c r="AD193" s="8">
        <f>IF($J193=0,0,ROUND(MAX($J193*1.4*1.5*1.6*1.6*2.2*2.715*2.6*1.4*1.4*1.5,12600000000*(1.652953^(MIN($E193,123)-117)))*0.55,0))</f>
        <v>85513712193</v>
      </c>
      <c r="AE193" s="6">
        <f t="shared" si="94"/>
        <v>146</v>
      </c>
      <c r="AF193" s="7">
        <f>IF($J193=0,0,ROUND(MAX($J193*1.4*1.5*1.6*1.6*2.2*2.715*2.6*1.4*1.4*1.5*1.5,18900000000*(1.65331^(MIN($E193,123)-117)))*0.55,0))</f>
        <v>128409145665</v>
      </c>
      <c r="AG193" s="4">
        <f t="shared" si="95"/>
        <v>149</v>
      </c>
      <c r="AH193" s="8">
        <f>IF($J193=0,0,ROUND(MAX($J193*1.4*1.5*1.6*1.6*2.2*2.715*2.6*1.4*1.4*1.5*1.5*3.2,60500000000*(1.654288^(MIN($E193,123)-117)))*0.55,0))</f>
        <v>412262337486</v>
      </c>
    </row>
    <row r="194" spans="1:34" x14ac:dyDescent="0.25">
      <c r="A194" s="3">
        <v>172</v>
      </c>
      <c r="B194" s="3" t="s">
        <v>317</v>
      </c>
      <c r="C194" s="3" t="s">
        <v>228</v>
      </c>
      <c r="D194" s="3" t="s">
        <v>75</v>
      </c>
      <c r="E194" s="3">
        <v>122</v>
      </c>
      <c r="F194" s="3" t="s">
        <v>56</v>
      </c>
      <c r="G194" s="3" t="s">
        <v>185</v>
      </c>
      <c r="H194" s="3">
        <v>30</v>
      </c>
      <c r="I194" s="4">
        <v>122</v>
      </c>
      <c r="J194" s="5">
        <v>4420000</v>
      </c>
      <c r="K194" s="6">
        <f t="shared" si="84"/>
        <v>123</v>
      </c>
      <c r="L194" s="7">
        <f t="shared" ref="L194:L200" si="108">IF($J194=0,0,ROUND(MAX($J194*1.4,1620000*(1.497923^(MIN($E194,123)-117)))*1,0))</f>
        <v>12216941</v>
      </c>
      <c r="M194" s="4">
        <f t="shared" si="85"/>
        <v>124</v>
      </c>
      <c r="N194" s="8">
        <f t="shared" ref="N194:N200" si="109">IF($J194=0,0,ROUND(MAX($J194*1.4*1.5,2190000*(1.580994^(MIN($E194,123)-117)))*1,0))</f>
        <v>21631928</v>
      </c>
      <c r="O194" s="6">
        <f t="shared" si="86"/>
        <v>126</v>
      </c>
      <c r="P194" s="7">
        <f t="shared" ref="P194:P200" si="110">IF($J194=0,0,ROUND(MAX($J194*1.4*1.5*1.6,3500000*(1.57975^(MIN($E194,123)-117)))*1,0))</f>
        <v>34435775</v>
      </c>
      <c r="Q194" s="4">
        <f t="shared" si="87"/>
        <v>128</v>
      </c>
      <c r="R194" s="8">
        <f t="shared" ref="R194:R200" si="111">IF($J194=0,0,ROUND(MAX($J194*1.4*1.5*1.6*1.6,13100000*(1.429962^(MIN($E194,123)-117)))*1,0))</f>
        <v>78323805</v>
      </c>
      <c r="S194" s="6">
        <f t="shared" si="88"/>
        <v>130</v>
      </c>
      <c r="T194" s="7">
        <f t="shared" ref="T194:T200" si="112">IF($J194=0,0,ROUND(MAX($J194*1.4*1.5*1.6*1.6*2.2,42600000*(1.576904^(MIN($E194,123)-117)))*1,0))</f>
        <v>415370714</v>
      </c>
      <c r="U194" s="4">
        <f t="shared" si="89"/>
        <v>133</v>
      </c>
      <c r="V194" s="8">
        <f t="shared" ref="V194:V200" si="113">IF($J194=0,0,ROUND(MAX($J194*1.4*1.5*1.6*1.6*2.2*2.715,354000000*(1.642074^(MIN($E194,123)-117)))*1,0))</f>
        <v>4226363874</v>
      </c>
      <c r="W194" s="6">
        <f t="shared" si="90"/>
        <v>137</v>
      </c>
      <c r="X194" s="7">
        <f t="shared" ref="X194:X200" si="114">IF($J194=0,0,ROUND(MAX($J194*1.4*1.5*1.6*1.6*2.2*2.715*2.6,3540000000*(1.579646^(MIN($E194,123)-117)))*1,0))</f>
        <v>34817863835</v>
      </c>
      <c r="Y194" s="4">
        <f t="shared" si="91"/>
        <v>139</v>
      </c>
      <c r="Z194" s="8">
        <f t="shared" ref="Z194:Z200" si="115">IF($J194=0,0,ROUND(MAX($J194*1.4*1.5*1.6*1.6*2.2*2.715*2.6*1.4,6020000000*(1.651178^(MIN($E194,123)-117)))*1,0))</f>
        <v>73886647050</v>
      </c>
      <c r="AA194" s="6">
        <f t="shared" si="92"/>
        <v>141</v>
      </c>
      <c r="AB194" s="7">
        <f t="shared" ref="AB194:AB200" si="116">IF($J194=0,0,ROUND(MAX($J194*1.4*1.5*1.6*1.6*2.2*2.715*2.6*1.4*1.4,8430000000*(1.651435^(MIN($E194,123)-117)))*1,0))</f>
        <v>103546398464</v>
      </c>
      <c r="AC194" s="4">
        <f t="shared" si="93"/>
        <v>143</v>
      </c>
      <c r="AD194" s="8">
        <f t="shared" ref="AD194:AD200" si="117">IF($J194=0,0,ROUND(MAX($J194*1.4*1.5*1.6*1.6*2.2*2.715*2.6*1.4*1.4*1.5,12600000000*(1.652953^(MIN($E194,123)-117)))*1,0))</f>
        <v>155479476715</v>
      </c>
      <c r="AE194" s="6">
        <f t="shared" si="94"/>
        <v>146</v>
      </c>
      <c r="AF194" s="7">
        <f t="shared" ref="AF194:AF200" si="118">IF($J194=0,0,ROUND(MAX($J194*1.4*1.5*1.6*1.6*2.2*2.715*2.6*1.4*1.4*1.5*1.5,18900000000*(1.65331^(MIN($E194,123)-117)))*1,0))</f>
        <v>233471173936</v>
      </c>
      <c r="AG194" s="4">
        <f t="shared" si="95"/>
        <v>149</v>
      </c>
      <c r="AH194" s="8">
        <f t="shared" ref="AH194:AH200" si="119">IF($J194=0,0,ROUND(MAX($J194*1.4*1.5*1.6*1.6*2.2*2.715*2.6*1.4*1.4*1.5*1.5*3.2,60500000000*(1.654288^(MIN($E194,123)-117)))*1,0))</f>
        <v>749567886338</v>
      </c>
    </row>
    <row r="195" spans="1:34" x14ac:dyDescent="0.25">
      <c r="A195" s="3">
        <v>167</v>
      </c>
      <c r="B195" s="3" t="s">
        <v>318</v>
      </c>
      <c r="C195" s="3" t="s">
        <v>228</v>
      </c>
      <c r="D195" s="3" t="s">
        <v>29</v>
      </c>
      <c r="E195" s="3">
        <v>122</v>
      </c>
      <c r="F195" s="3" t="s">
        <v>71</v>
      </c>
      <c r="G195" s="3" t="s">
        <v>319</v>
      </c>
      <c r="H195" s="3">
        <v>31</v>
      </c>
      <c r="I195" s="4">
        <v>122</v>
      </c>
      <c r="J195" s="5">
        <v>4610000</v>
      </c>
      <c r="K195" s="6">
        <f t="shared" ref="K195:K258" si="120">$E195+1</f>
        <v>123</v>
      </c>
      <c r="L195" s="7">
        <f t="shared" si="108"/>
        <v>12216941</v>
      </c>
      <c r="M195" s="4">
        <f t="shared" ref="M195:M258" si="121">$E195+2</f>
        <v>124</v>
      </c>
      <c r="N195" s="8">
        <f t="shared" si="109"/>
        <v>21631928</v>
      </c>
      <c r="O195" s="6">
        <f t="shared" ref="O195:O258" si="122">$E195+4</f>
        <v>126</v>
      </c>
      <c r="P195" s="7">
        <f t="shared" si="110"/>
        <v>34435775</v>
      </c>
      <c r="Q195" s="4">
        <f t="shared" ref="Q195:Q258" si="123">$E195+6</f>
        <v>128</v>
      </c>
      <c r="R195" s="8">
        <f t="shared" si="111"/>
        <v>78323805</v>
      </c>
      <c r="S195" s="6">
        <f t="shared" ref="S195:S258" si="124">$E195+8</f>
        <v>130</v>
      </c>
      <c r="T195" s="7">
        <f t="shared" si="112"/>
        <v>415370714</v>
      </c>
      <c r="U195" s="4">
        <f t="shared" ref="U195:U258" si="125">$E195+11</f>
        <v>133</v>
      </c>
      <c r="V195" s="8">
        <f t="shared" si="113"/>
        <v>4226363874</v>
      </c>
      <c r="W195" s="6">
        <f t="shared" ref="W195:W258" si="126">$E195+15</f>
        <v>137</v>
      </c>
      <c r="X195" s="7">
        <f t="shared" si="114"/>
        <v>34817863835</v>
      </c>
      <c r="Y195" s="4">
        <f t="shared" ref="Y195:Y258" si="127">$E195+17</f>
        <v>139</v>
      </c>
      <c r="Z195" s="8">
        <f t="shared" si="115"/>
        <v>73886647050</v>
      </c>
      <c r="AA195" s="6">
        <f t="shared" ref="AA195:AA258" si="128">$E195+19</f>
        <v>141</v>
      </c>
      <c r="AB195" s="7">
        <f t="shared" si="116"/>
        <v>103546398464</v>
      </c>
      <c r="AC195" s="4">
        <f t="shared" ref="AC195:AC258" si="129">$E195+21</f>
        <v>143</v>
      </c>
      <c r="AD195" s="8">
        <f t="shared" si="117"/>
        <v>155479476715</v>
      </c>
      <c r="AE195" s="6">
        <f t="shared" ref="AE195:AE258" si="130">$E195+24</f>
        <v>146</v>
      </c>
      <c r="AF195" s="7">
        <f t="shared" si="118"/>
        <v>233471173936</v>
      </c>
      <c r="AG195" s="4">
        <f t="shared" ref="AG195:AG258" si="131">$E195+27</f>
        <v>149</v>
      </c>
      <c r="AH195" s="8">
        <f t="shared" si="119"/>
        <v>749567886338</v>
      </c>
    </row>
    <row r="196" spans="1:34" x14ac:dyDescent="0.25">
      <c r="A196" s="3">
        <v>160</v>
      </c>
      <c r="B196" s="3" t="s">
        <v>320</v>
      </c>
      <c r="C196" s="3" t="s">
        <v>228</v>
      </c>
      <c r="D196" s="3" t="s">
        <v>64</v>
      </c>
      <c r="E196" s="3">
        <v>122</v>
      </c>
      <c r="F196" s="3" t="s">
        <v>54</v>
      </c>
      <c r="G196" s="3" t="s">
        <v>185</v>
      </c>
      <c r="H196" s="3">
        <v>31</v>
      </c>
      <c r="I196" s="4">
        <v>122</v>
      </c>
      <c r="J196" s="5">
        <v>3800000</v>
      </c>
      <c r="K196" s="6">
        <f t="shared" si="120"/>
        <v>123</v>
      </c>
      <c r="L196" s="7">
        <f t="shared" si="108"/>
        <v>12216941</v>
      </c>
      <c r="M196" s="4">
        <f t="shared" si="121"/>
        <v>124</v>
      </c>
      <c r="N196" s="8">
        <f t="shared" si="109"/>
        <v>21631928</v>
      </c>
      <c r="O196" s="6">
        <f t="shared" si="122"/>
        <v>126</v>
      </c>
      <c r="P196" s="7">
        <f t="shared" si="110"/>
        <v>34435775</v>
      </c>
      <c r="Q196" s="4">
        <f t="shared" si="123"/>
        <v>128</v>
      </c>
      <c r="R196" s="8">
        <f t="shared" si="111"/>
        <v>78323805</v>
      </c>
      <c r="S196" s="6">
        <f t="shared" si="124"/>
        <v>130</v>
      </c>
      <c r="T196" s="7">
        <f t="shared" si="112"/>
        <v>415370714</v>
      </c>
      <c r="U196" s="4">
        <f t="shared" si="125"/>
        <v>133</v>
      </c>
      <c r="V196" s="8">
        <f t="shared" si="113"/>
        <v>4226363874</v>
      </c>
      <c r="W196" s="6">
        <f t="shared" si="126"/>
        <v>137</v>
      </c>
      <c r="X196" s="7">
        <f t="shared" si="114"/>
        <v>34817863835</v>
      </c>
      <c r="Y196" s="4">
        <f t="shared" si="127"/>
        <v>139</v>
      </c>
      <c r="Z196" s="8">
        <f t="shared" si="115"/>
        <v>73886647050</v>
      </c>
      <c r="AA196" s="6">
        <f t="shared" si="128"/>
        <v>141</v>
      </c>
      <c r="AB196" s="7">
        <f t="shared" si="116"/>
        <v>103546398464</v>
      </c>
      <c r="AC196" s="4">
        <f t="shared" si="129"/>
        <v>143</v>
      </c>
      <c r="AD196" s="8">
        <f t="shared" si="117"/>
        <v>155479476715</v>
      </c>
      <c r="AE196" s="6">
        <f t="shared" si="130"/>
        <v>146</v>
      </c>
      <c r="AF196" s="7">
        <f t="shared" si="118"/>
        <v>233471173936</v>
      </c>
      <c r="AG196" s="4">
        <f t="shared" si="131"/>
        <v>149</v>
      </c>
      <c r="AH196" s="8">
        <f t="shared" si="119"/>
        <v>749567886338</v>
      </c>
    </row>
    <row r="197" spans="1:34" x14ac:dyDescent="0.25">
      <c r="A197" s="3">
        <v>176</v>
      </c>
      <c r="B197" s="3" t="s">
        <v>321</v>
      </c>
      <c r="C197" s="3" t="s">
        <v>228</v>
      </c>
      <c r="D197" s="3" t="s">
        <v>90</v>
      </c>
      <c r="E197" s="3">
        <v>122</v>
      </c>
      <c r="F197" s="3" t="s">
        <v>56</v>
      </c>
      <c r="G197" s="3" t="s">
        <v>98</v>
      </c>
      <c r="H197" s="3">
        <v>30</v>
      </c>
      <c r="I197" s="4">
        <v>122</v>
      </c>
      <c r="J197" s="5">
        <v>4510000</v>
      </c>
      <c r="K197" s="6">
        <f t="shared" si="120"/>
        <v>123</v>
      </c>
      <c r="L197" s="7">
        <f t="shared" si="108"/>
        <v>12216941</v>
      </c>
      <c r="M197" s="4">
        <f t="shared" si="121"/>
        <v>124</v>
      </c>
      <c r="N197" s="8">
        <f t="shared" si="109"/>
        <v>21631928</v>
      </c>
      <c r="O197" s="6">
        <f t="shared" si="122"/>
        <v>126</v>
      </c>
      <c r="P197" s="7">
        <f t="shared" si="110"/>
        <v>34435775</v>
      </c>
      <c r="Q197" s="4">
        <f t="shared" si="123"/>
        <v>128</v>
      </c>
      <c r="R197" s="8">
        <f t="shared" si="111"/>
        <v>78323805</v>
      </c>
      <c r="S197" s="6">
        <f t="shared" si="124"/>
        <v>130</v>
      </c>
      <c r="T197" s="7">
        <f t="shared" si="112"/>
        <v>415370714</v>
      </c>
      <c r="U197" s="4">
        <f t="shared" si="125"/>
        <v>133</v>
      </c>
      <c r="V197" s="8">
        <f t="shared" si="113"/>
        <v>4226363874</v>
      </c>
      <c r="W197" s="6">
        <f t="shared" si="126"/>
        <v>137</v>
      </c>
      <c r="X197" s="7">
        <f t="shared" si="114"/>
        <v>34817863835</v>
      </c>
      <c r="Y197" s="4">
        <f t="shared" si="127"/>
        <v>139</v>
      </c>
      <c r="Z197" s="8">
        <f t="shared" si="115"/>
        <v>73886647050</v>
      </c>
      <c r="AA197" s="6">
        <f t="shared" si="128"/>
        <v>141</v>
      </c>
      <c r="AB197" s="7">
        <f t="shared" si="116"/>
        <v>103546398464</v>
      </c>
      <c r="AC197" s="4">
        <f t="shared" si="129"/>
        <v>143</v>
      </c>
      <c r="AD197" s="8">
        <f t="shared" si="117"/>
        <v>155479476715</v>
      </c>
      <c r="AE197" s="6">
        <f t="shared" si="130"/>
        <v>146</v>
      </c>
      <c r="AF197" s="7">
        <f t="shared" si="118"/>
        <v>233471173936</v>
      </c>
      <c r="AG197" s="4">
        <f t="shared" si="131"/>
        <v>149</v>
      </c>
      <c r="AH197" s="8">
        <f t="shared" si="119"/>
        <v>749567886338</v>
      </c>
    </row>
    <row r="198" spans="1:34" x14ac:dyDescent="0.25">
      <c r="A198" s="3">
        <v>178</v>
      </c>
      <c r="B198" s="3" t="s">
        <v>322</v>
      </c>
      <c r="C198" s="3" t="s">
        <v>228</v>
      </c>
      <c r="D198" s="3" t="s">
        <v>79</v>
      </c>
      <c r="E198" s="3">
        <v>122</v>
      </c>
      <c r="F198" s="3" t="s">
        <v>30</v>
      </c>
      <c r="G198" s="3" t="s">
        <v>72</v>
      </c>
      <c r="H198" s="3">
        <v>30</v>
      </c>
      <c r="I198" s="4">
        <v>122</v>
      </c>
      <c r="J198" s="5">
        <v>4790000</v>
      </c>
      <c r="K198" s="6">
        <f t="shared" si="120"/>
        <v>123</v>
      </c>
      <c r="L198" s="7">
        <f t="shared" si="108"/>
        <v>12216941</v>
      </c>
      <c r="M198" s="4">
        <f t="shared" si="121"/>
        <v>124</v>
      </c>
      <c r="N198" s="8">
        <f t="shared" si="109"/>
        <v>21631928</v>
      </c>
      <c r="O198" s="6">
        <f t="shared" si="122"/>
        <v>126</v>
      </c>
      <c r="P198" s="7">
        <f t="shared" si="110"/>
        <v>34435775</v>
      </c>
      <c r="Q198" s="4">
        <f t="shared" si="123"/>
        <v>128</v>
      </c>
      <c r="R198" s="8">
        <f t="shared" si="111"/>
        <v>78323805</v>
      </c>
      <c r="S198" s="6">
        <f t="shared" si="124"/>
        <v>130</v>
      </c>
      <c r="T198" s="7">
        <f t="shared" si="112"/>
        <v>415370714</v>
      </c>
      <c r="U198" s="4">
        <f t="shared" si="125"/>
        <v>133</v>
      </c>
      <c r="V198" s="8">
        <f t="shared" si="113"/>
        <v>4226363874</v>
      </c>
      <c r="W198" s="6">
        <f t="shared" si="126"/>
        <v>137</v>
      </c>
      <c r="X198" s="7">
        <f t="shared" si="114"/>
        <v>34817863835</v>
      </c>
      <c r="Y198" s="4">
        <f t="shared" si="127"/>
        <v>139</v>
      </c>
      <c r="Z198" s="8">
        <f t="shared" si="115"/>
        <v>73886647050</v>
      </c>
      <c r="AA198" s="6">
        <f t="shared" si="128"/>
        <v>141</v>
      </c>
      <c r="AB198" s="7">
        <f t="shared" si="116"/>
        <v>103546398464</v>
      </c>
      <c r="AC198" s="4">
        <f t="shared" si="129"/>
        <v>143</v>
      </c>
      <c r="AD198" s="8">
        <f t="shared" si="117"/>
        <v>155479476715</v>
      </c>
      <c r="AE198" s="6">
        <f t="shared" si="130"/>
        <v>146</v>
      </c>
      <c r="AF198" s="7">
        <f t="shared" si="118"/>
        <v>233471173936</v>
      </c>
      <c r="AG198" s="4">
        <f t="shared" si="131"/>
        <v>149</v>
      </c>
      <c r="AH198" s="8">
        <f t="shared" si="119"/>
        <v>749567886338</v>
      </c>
    </row>
    <row r="199" spans="1:34" x14ac:dyDescent="0.25">
      <c r="A199" s="3">
        <v>155</v>
      </c>
      <c r="B199" s="3" t="s">
        <v>323</v>
      </c>
      <c r="C199" s="3" t="s">
        <v>228</v>
      </c>
      <c r="D199" s="3" t="s">
        <v>29</v>
      </c>
      <c r="E199" s="3">
        <v>122</v>
      </c>
      <c r="F199" s="3" t="s">
        <v>34</v>
      </c>
      <c r="G199" s="3" t="s">
        <v>35</v>
      </c>
      <c r="H199" s="3">
        <v>32</v>
      </c>
      <c r="I199" s="4">
        <v>122</v>
      </c>
      <c r="J199" s="5">
        <v>4940000</v>
      </c>
      <c r="K199" s="6">
        <f t="shared" si="120"/>
        <v>123</v>
      </c>
      <c r="L199" s="7">
        <f t="shared" si="108"/>
        <v>12216941</v>
      </c>
      <c r="M199" s="4">
        <f t="shared" si="121"/>
        <v>124</v>
      </c>
      <c r="N199" s="8">
        <f t="shared" si="109"/>
        <v>21631928</v>
      </c>
      <c r="O199" s="6">
        <f t="shared" si="122"/>
        <v>126</v>
      </c>
      <c r="P199" s="7">
        <f t="shared" si="110"/>
        <v>34435775</v>
      </c>
      <c r="Q199" s="4">
        <f t="shared" si="123"/>
        <v>128</v>
      </c>
      <c r="R199" s="8">
        <f t="shared" si="111"/>
        <v>78323805</v>
      </c>
      <c r="S199" s="6">
        <f t="shared" si="124"/>
        <v>130</v>
      </c>
      <c r="T199" s="7">
        <f t="shared" si="112"/>
        <v>415370714</v>
      </c>
      <c r="U199" s="4">
        <f t="shared" si="125"/>
        <v>133</v>
      </c>
      <c r="V199" s="8">
        <f t="shared" si="113"/>
        <v>4226363874</v>
      </c>
      <c r="W199" s="6">
        <f t="shared" si="126"/>
        <v>137</v>
      </c>
      <c r="X199" s="7">
        <f t="shared" si="114"/>
        <v>34817863835</v>
      </c>
      <c r="Y199" s="4">
        <f t="shared" si="127"/>
        <v>139</v>
      </c>
      <c r="Z199" s="8">
        <f t="shared" si="115"/>
        <v>73886647050</v>
      </c>
      <c r="AA199" s="6">
        <f t="shared" si="128"/>
        <v>141</v>
      </c>
      <c r="AB199" s="7">
        <f t="shared" si="116"/>
        <v>103546398464</v>
      </c>
      <c r="AC199" s="4">
        <f t="shared" si="129"/>
        <v>143</v>
      </c>
      <c r="AD199" s="8">
        <f t="shared" si="117"/>
        <v>155479476715</v>
      </c>
      <c r="AE199" s="6">
        <f t="shared" si="130"/>
        <v>146</v>
      </c>
      <c r="AF199" s="7">
        <f t="shared" si="118"/>
        <v>233471173936</v>
      </c>
      <c r="AG199" s="4">
        <f t="shared" si="131"/>
        <v>149</v>
      </c>
      <c r="AH199" s="8">
        <f t="shared" si="119"/>
        <v>749567886338</v>
      </c>
    </row>
    <row r="200" spans="1:34" x14ac:dyDescent="0.25">
      <c r="A200" s="3">
        <v>166</v>
      </c>
      <c r="B200" s="3" t="s">
        <v>324</v>
      </c>
      <c r="C200" s="3" t="s">
        <v>228</v>
      </c>
      <c r="D200" s="3" t="s">
        <v>45</v>
      </c>
      <c r="E200" s="3">
        <v>122</v>
      </c>
      <c r="F200" s="3" t="s">
        <v>136</v>
      </c>
      <c r="G200" s="3" t="s">
        <v>27</v>
      </c>
      <c r="H200" s="3">
        <v>31</v>
      </c>
      <c r="I200" s="4">
        <v>122</v>
      </c>
      <c r="J200" s="5">
        <v>4610000</v>
      </c>
      <c r="K200" s="6">
        <f t="shared" si="120"/>
        <v>123</v>
      </c>
      <c r="L200" s="7">
        <f t="shared" si="108"/>
        <v>12216941</v>
      </c>
      <c r="M200" s="4">
        <f t="shared" si="121"/>
        <v>124</v>
      </c>
      <c r="N200" s="8">
        <f t="shared" si="109"/>
        <v>21631928</v>
      </c>
      <c r="O200" s="6">
        <f t="shared" si="122"/>
        <v>126</v>
      </c>
      <c r="P200" s="7">
        <f t="shared" si="110"/>
        <v>34435775</v>
      </c>
      <c r="Q200" s="4">
        <f t="shared" si="123"/>
        <v>128</v>
      </c>
      <c r="R200" s="8">
        <f t="shared" si="111"/>
        <v>78323805</v>
      </c>
      <c r="S200" s="6">
        <f t="shared" si="124"/>
        <v>130</v>
      </c>
      <c r="T200" s="7">
        <f t="shared" si="112"/>
        <v>415370714</v>
      </c>
      <c r="U200" s="4">
        <f t="shared" si="125"/>
        <v>133</v>
      </c>
      <c r="V200" s="8">
        <f t="shared" si="113"/>
        <v>4226363874</v>
      </c>
      <c r="W200" s="6">
        <f t="shared" si="126"/>
        <v>137</v>
      </c>
      <c r="X200" s="7">
        <f t="shared" si="114"/>
        <v>34817863835</v>
      </c>
      <c r="Y200" s="4">
        <f t="shared" si="127"/>
        <v>139</v>
      </c>
      <c r="Z200" s="8">
        <f t="shared" si="115"/>
        <v>73886647050</v>
      </c>
      <c r="AA200" s="6">
        <f t="shared" si="128"/>
        <v>141</v>
      </c>
      <c r="AB200" s="7">
        <f t="shared" si="116"/>
        <v>103546398464</v>
      </c>
      <c r="AC200" s="4">
        <f t="shared" si="129"/>
        <v>143</v>
      </c>
      <c r="AD200" s="8">
        <f t="shared" si="117"/>
        <v>155479476715</v>
      </c>
      <c r="AE200" s="6">
        <f t="shared" si="130"/>
        <v>146</v>
      </c>
      <c r="AF200" s="7">
        <f t="shared" si="118"/>
        <v>233471173936</v>
      </c>
      <c r="AG200" s="4">
        <f t="shared" si="131"/>
        <v>149</v>
      </c>
      <c r="AH200" s="8">
        <f t="shared" si="119"/>
        <v>749567886338</v>
      </c>
    </row>
    <row r="201" spans="1:34" x14ac:dyDescent="0.25">
      <c r="A201" s="3">
        <v>173</v>
      </c>
      <c r="B201" s="3" t="s">
        <v>325</v>
      </c>
      <c r="C201" s="3" t="s">
        <v>228</v>
      </c>
      <c r="D201" s="3" t="s">
        <v>90</v>
      </c>
      <c r="E201" s="3">
        <v>122</v>
      </c>
      <c r="F201" s="3" t="s">
        <v>258</v>
      </c>
      <c r="G201" s="3" t="s">
        <v>326</v>
      </c>
      <c r="H201" s="3">
        <v>30</v>
      </c>
      <c r="I201" s="4">
        <v>122</v>
      </c>
      <c r="J201" s="5">
        <v>4360000</v>
      </c>
      <c r="K201" s="6">
        <f t="shared" si="120"/>
        <v>123</v>
      </c>
      <c r="L201" s="7">
        <f>IF($J201=0,0,ROUND(MAX($J201*1.4,1620000*(1.497923^(MIN($E201,123)-117)))*0.8,0))</f>
        <v>9773552</v>
      </c>
      <c r="M201" s="4">
        <f t="shared" si="121"/>
        <v>124</v>
      </c>
      <c r="N201" s="8">
        <f>IF($J201=0,0,ROUND(MAX($J201*1.4*1.5,2190000*(1.580994^(MIN($E201,123)-117)))*0.8,0))</f>
        <v>17305542</v>
      </c>
      <c r="O201" s="6">
        <f t="shared" si="122"/>
        <v>126</v>
      </c>
      <c r="P201" s="7">
        <f>IF($J201=0,0,ROUND(MAX($J201*1.4*1.5*1.6,3500000*(1.57975^(MIN($E201,123)-117)))*0.8,0))</f>
        <v>27548620</v>
      </c>
      <c r="Q201" s="4">
        <f t="shared" si="123"/>
        <v>128</v>
      </c>
      <c r="R201" s="8">
        <f>IF($J201=0,0,ROUND(MAX($J201*1.4*1.5*1.6*1.6,13100000*(1.429962^(MIN($E201,123)-117)))*0.651041666666667,0))</f>
        <v>50992061</v>
      </c>
      <c r="S201" s="6">
        <f t="shared" si="124"/>
        <v>130</v>
      </c>
      <c r="T201" s="7">
        <f>IF($J201=0,0,ROUND(MAX($J201*1.4*1.5*1.6*1.6*2.2,42600000*(1.576904^(MIN($E201,123)-117)))*0.617361111111111,0))</f>
        <v>256433726</v>
      </c>
      <c r="U201" s="4">
        <f t="shared" si="125"/>
        <v>133</v>
      </c>
      <c r="V201" s="8">
        <f>IF($J201=0,0,ROUND(MAX($J201*1.4*1.5*1.6*1.6*2.2*2.715,354000000*(1.642074^(MIN($E201,123)-117)))*0.583680555555556,0))</f>
        <v>2466846414</v>
      </c>
      <c r="W201" s="6">
        <f t="shared" si="126"/>
        <v>137</v>
      </c>
      <c r="X201" s="7">
        <f>IF($J201=0,0,ROUND(MAX($J201*1.4*1.5*1.6*1.6*2.2*2.715*2.6,3540000000*(1.579646^(MIN($E201,123)-117)))*0.55,0))</f>
        <v>19149825109</v>
      </c>
      <c r="Y201" s="4">
        <f t="shared" si="127"/>
        <v>139</v>
      </c>
      <c r="Z201" s="8">
        <f>IF($J201=0,0,ROUND(MAX($J201*1.4*1.5*1.6*1.6*2.2*2.715*2.6*1.4,6020000000*(1.651178^(MIN($E201,123)-117)))*0.55,0))</f>
        <v>40637655878</v>
      </c>
      <c r="AA201" s="6">
        <f t="shared" si="128"/>
        <v>141</v>
      </c>
      <c r="AB201" s="7">
        <f>IF($J201=0,0,ROUND(MAX($J201*1.4*1.5*1.6*1.6*2.2*2.715*2.6*1.4*1.4,8430000000*(1.651435^(MIN($E201,123)-117)))*0.55,0))</f>
        <v>56950519155</v>
      </c>
      <c r="AC201" s="4">
        <f t="shared" si="129"/>
        <v>143</v>
      </c>
      <c r="AD201" s="8">
        <f>IF($J201=0,0,ROUND(MAX($J201*1.4*1.5*1.6*1.6*2.2*2.715*2.6*1.4*1.4*1.5,12600000000*(1.652953^(MIN($E201,123)-117)))*0.55,0))</f>
        <v>85513712193</v>
      </c>
      <c r="AE201" s="6">
        <f t="shared" si="130"/>
        <v>146</v>
      </c>
      <c r="AF201" s="7">
        <f>IF($J201=0,0,ROUND(MAX($J201*1.4*1.5*1.6*1.6*2.2*2.715*2.6*1.4*1.4*1.5*1.5,18900000000*(1.65331^(MIN($E201,123)-117)))*0.55,0))</f>
        <v>128409145665</v>
      </c>
      <c r="AG201" s="4">
        <f t="shared" si="131"/>
        <v>149</v>
      </c>
      <c r="AH201" s="8">
        <f>IF($J201=0,0,ROUND(MAX($J201*1.4*1.5*1.6*1.6*2.2*2.715*2.6*1.4*1.4*1.5*1.5*3.2,60500000000*(1.654288^(MIN($E201,123)-117)))*0.55,0))</f>
        <v>412262337486</v>
      </c>
    </row>
    <row r="202" spans="1:34" x14ac:dyDescent="0.25">
      <c r="A202" s="3">
        <v>186</v>
      </c>
      <c r="B202" s="3" t="s">
        <v>327</v>
      </c>
      <c r="C202" s="3" t="s">
        <v>228</v>
      </c>
      <c r="D202" s="3" t="s">
        <v>47</v>
      </c>
      <c r="E202" s="3">
        <v>122</v>
      </c>
      <c r="F202" s="3" t="s">
        <v>310</v>
      </c>
      <c r="G202" s="3" t="s">
        <v>38</v>
      </c>
      <c r="H202" s="3">
        <v>29</v>
      </c>
      <c r="I202" s="4">
        <v>122</v>
      </c>
      <c r="J202" s="5">
        <v>4850000</v>
      </c>
      <c r="K202" s="6">
        <f t="shared" si="120"/>
        <v>123</v>
      </c>
      <c r="L202" s="7">
        <f>IF($J202=0,0,ROUND(MAX($J202*1.4*1,4020000*(1.354082^(MIN($E202,123)-118))),0))</f>
        <v>13514685</v>
      </c>
      <c r="M202" s="4">
        <f t="shared" si="121"/>
        <v>124</v>
      </c>
      <c r="N202" s="8">
        <f>IF($J202=0,0,ROUND(MAX($J202*1.4*1.5*1,6950000*(1.375334^(MIN($E202,123)-118))),0))</f>
        <v>24866664</v>
      </c>
      <c r="O202" s="6">
        <f t="shared" si="122"/>
        <v>126</v>
      </c>
      <c r="P202" s="7">
        <f>IF($J202=0,0,ROUND(MAX($J202*1.4*1.5*1.6*1,23900000*(1.1788^(MIN($E202,123)-118))),0))</f>
        <v>46148587</v>
      </c>
      <c r="Q202" s="4">
        <f t="shared" si="123"/>
        <v>128</v>
      </c>
      <c r="R202" s="8">
        <f>IF($J202=0,0,ROUND(MAX($J202*1.4*1.5*1.6*1.6*1.25,77000000*(1.127009^(MIN($E202,123)-118))),0))</f>
        <v>124222499</v>
      </c>
      <c r="S202" s="6">
        <f t="shared" si="124"/>
        <v>130</v>
      </c>
      <c r="T202" s="7">
        <f>IF($J202=0,0,ROUND(MAX($J202*1.4*1.5*1.6*1.6*2.2*1.25,270000000*(1.248411^(MIN($E202,123)-118))),0))</f>
        <v>655834276</v>
      </c>
      <c r="U202" s="4">
        <f t="shared" si="125"/>
        <v>133</v>
      </c>
      <c r="V202" s="8">
        <f>IF($J202=0,0,ROUND(MAX($J202*1.4*1.5*1.6*1.6*2.2*2.715*1.25,2400000000*(1.293039^(MIN($E202,123)-118))),0))</f>
        <v>6708999167</v>
      </c>
      <c r="W202" s="6">
        <f t="shared" si="126"/>
        <v>137</v>
      </c>
      <c r="X202" s="7">
        <f>IF($J202=0,0,ROUND(MAX($J202*1.4*1.5*1.6*1.6*2.2*2.715*2.6*1.25,20000000000*(1.280114^(MIN($E202,123)-118))),0))</f>
        <v>53706219782</v>
      </c>
      <c r="Y202" s="4">
        <f t="shared" si="127"/>
        <v>139</v>
      </c>
      <c r="Z202" s="8">
        <f>IF($J202=0,0,ROUND(MAX($J202*1.4*1.5*1.6*1.6*2.2*2.715*2.6*1.4*1.25,39200000000*(1.31219^(MIN($E202,123)-118))),0))</f>
        <v>116217883489</v>
      </c>
      <c r="AA202" s="6">
        <f t="shared" si="128"/>
        <v>141</v>
      </c>
      <c r="AB202" s="7">
        <f>IF($J202=0,0,ROUND(MAX($J202*1.4*1.5*1.6*1.6*2.2*2.715*2.6*1.4*1.4*1.25,54900000000*(1.312402^(MIN($E202,123)-118))),0))</f>
        <v>162869543321</v>
      </c>
      <c r="AC202" s="4">
        <f t="shared" si="129"/>
        <v>143</v>
      </c>
      <c r="AD202" s="8">
        <f>IF($J202=0,0,ROUND(MAX($J202*1.4*1.5*1.6*1.6*2.2*2.715*2.6*1.4*1.4*1.5*1.25,82400000000*(1.312754^(MIN($E202,123)-118))),0))</f>
        <v>244715012499</v>
      </c>
      <c r="AE202" s="6">
        <f t="shared" si="130"/>
        <v>146</v>
      </c>
      <c r="AF202" s="7">
        <f>IF($J202=0,0,ROUND(MAX($J202*1.4*1.5*1.6*1.6*2.2*2.715*2.6*1.4*1.4*1.5*1.5*1.25,124000000000*(1.312246^(MIN($E202,123)-118))),0))</f>
        <v>367690759477</v>
      </c>
      <c r="AG202" s="4">
        <f t="shared" si="131"/>
        <v>149</v>
      </c>
      <c r="AH202" s="8">
        <f>IF($J202=0,0,ROUND(MAX($J202*1.4*1.5*1.6*1.6*2.2*2.715*2.6*1.4*1.4*1.5*1.5*3.2*1.25,397000000000*(1.313132^(MIN($E202,123)-118))),0))</f>
        <v>1180385990163</v>
      </c>
    </row>
    <row r="203" spans="1:34" x14ac:dyDescent="0.25">
      <c r="A203" s="3">
        <v>276</v>
      </c>
      <c r="B203" s="3" t="s">
        <v>328</v>
      </c>
      <c r="C203" s="3" t="s">
        <v>228</v>
      </c>
      <c r="D203" s="3" t="s">
        <v>79</v>
      </c>
      <c r="E203" s="3">
        <v>121</v>
      </c>
      <c r="F203" s="3" t="s">
        <v>303</v>
      </c>
      <c r="G203" s="3" t="s">
        <v>329</v>
      </c>
      <c r="H203" s="3">
        <v>30</v>
      </c>
      <c r="I203" s="4">
        <v>121</v>
      </c>
      <c r="J203" s="5">
        <v>3000000</v>
      </c>
      <c r="K203" s="6">
        <f t="shared" si="120"/>
        <v>122</v>
      </c>
      <c r="L203" s="7">
        <f>IF($J203=0,0,ROUND(MAX($J203*1.4,1620000*(1.497923^(MIN($E203,123)-117)))*0.8,0))</f>
        <v>6524736</v>
      </c>
      <c r="M203" s="4">
        <f t="shared" si="121"/>
        <v>123</v>
      </c>
      <c r="N203" s="8">
        <f>IF($J203=0,0,ROUND(MAX($J203*1.4*1.5,2190000*(1.580994^(MIN($E203,123)-117)))*0.8,0))</f>
        <v>10945989</v>
      </c>
      <c r="O203" s="6">
        <f t="shared" si="122"/>
        <v>125</v>
      </c>
      <c r="P203" s="7">
        <f>IF($J203=0,0,ROUND(MAX($J203*1.4*1.5*1.6,3500000*(1.57975^(MIN($E203,123)-117)))*0.8,0))</f>
        <v>17438595</v>
      </c>
      <c r="Q203" s="4">
        <f t="shared" si="123"/>
        <v>127</v>
      </c>
      <c r="R203" s="8">
        <f>IF($J203=0,0,ROUND(MAX($J203*1.4*1.5*1.6*1.6,13100000*(1.429962^(MIN($E203,123)-117)))*0.651041666666667,0))</f>
        <v>35659731</v>
      </c>
      <c r="S203" s="6">
        <f t="shared" si="124"/>
        <v>129</v>
      </c>
      <c r="T203" s="7">
        <f>IF($J203=0,0,ROUND(MAX($J203*1.4*1.5*1.6*1.6*2.2,42600000*(1.576904^(MIN($E203,123)-117)))*0.617361111111111,0))</f>
        <v>162618476</v>
      </c>
      <c r="U203" s="4">
        <f t="shared" si="125"/>
        <v>132</v>
      </c>
      <c r="V203" s="8">
        <f>IF($J203=0,0,ROUND(MAX($J203*1.4*1.5*1.6*1.6*2.2*2.715,354000000*(1.642074^(MIN($E203,123)-117)))*0.583680555555556,0))</f>
        <v>1502274815</v>
      </c>
      <c r="W203" s="6">
        <f t="shared" si="126"/>
        <v>136</v>
      </c>
      <c r="X203" s="7">
        <f>IF($J203=0,0,ROUND(MAX($J203*1.4*1.5*1.6*1.6*2.2*2.715*2.6,3540000000*(1.579646^(MIN($E203,123)-117)))*0.55,0))</f>
        <v>12122858608</v>
      </c>
      <c r="Y203" s="4">
        <f t="shared" si="127"/>
        <v>138</v>
      </c>
      <c r="Z203" s="8">
        <f>IF($J203=0,0,ROUND(MAX($J203*1.4*1.5*1.6*1.6*2.2*2.715*2.6*1.4,6020000000*(1.651178^(MIN($E203,123)-117)))*0.55,0))</f>
        <v>24611311365</v>
      </c>
      <c r="AA203" s="6">
        <f t="shared" si="128"/>
        <v>140</v>
      </c>
      <c r="AB203" s="7">
        <f>IF($J203=0,0,ROUND(MAX($J203*1.4*1.5*1.6*1.6*2.2*2.715*2.6*1.4*1.4,8430000000*(1.651435^(MIN($E203,123)-117)))*0.55,0))</f>
        <v>34485474242</v>
      </c>
      <c r="AC203" s="4">
        <f t="shared" si="129"/>
        <v>142</v>
      </c>
      <c r="AD203" s="8">
        <f>IF($J203=0,0,ROUND(MAX($J203*1.4*1.5*1.6*1.6*2.2*2.715*2.6*1.4*1.4*1.5,12600000000*(1.652953^(MIN($E203,123)-117)))*0.55,0))</f>
        <v>51733904227</v>
      </c>
      <c r="AE203" s="6">
        <f t="shared" si="130"/>
        <v>145</v>
      </c>
      <c r="AF203" s="7">
        <f>IF($J203=0,0,ROUND(MAX($J203*1.4*1.5*1.6*1.6*2.2*2.715*2.6*1.4*1.4*1.5*1.5,18900000000*(1.65331^(MIN($E203,123)-117)))*0.55,0))</f>
        <v>77667918095</v>
      </c>
      <c r="AG203" s="4">
        <f t="shared" si="131"/>
        <v>148</v>
      </c>
      <c r="AH203" s="8">
        <f>IF($J203=0,0,ROUND(MAX($J203*1.4*1.5*1.6*1.6*2.2*2.715*2.6*1.4*1.4*1.5*1.5*3.2,60500000000*(1.654288^(MIN($E203,123)-117)))*0.55,0))</f>
        <v>249208322545</v>
      </c>
    </row>
    <row r="204" spans="1:34" x14ac:dyDescent="0.25">
      <c r="A204" s="3">
        <v>306</v>
      </c>
      <c r="B204" s="3" t="s">
        <v>330</v>
      </c>
      <c r="C204" s="3" t="s">
        <v>228</v>
      </c>
      <c r="D204" s="3" t="s">
        <v>331</v>
      </c>
      <c r="E204" s="3">
        <v>121</v>
      </c>
      <c r="F204" s="3" t="s">
        <v>310</v>
      </c>
      <c r="G204" s="3" t="s">
        <v>51</v>
      </c>
      <c r="H204" s="3">
        <v>31</v>
      </c>
      <c r="I204" s="4">
        <v>121</v>
      </c>
      <c r="J204" s="9">
        <v>2890000</v>
      </c>
      <c r="K204" s="6">
        <f t="shared" si="120"/>
        <v>122</v>
      </c>
      <c r="L204" s="7">
        <f>IF($J204=0,0,ROUND(MAX($J204*1.4,1620000*(1.497923^(MIN($E204,123)-117)))*1,0))</f>
        <v>8155920</v>
      </c>
      <c r="M204" s="4">
        <f t="shared" si="121"/>
        <v>123</v>
      </c>
      <c r="N204" s="8">
        <f>IF($J204=0,0,ROUND(MAX($J204*1.4*1.5,2190000*(1.580994^(MIN($E204,123)-117)))*1,0))</f>
        <v>13682486</v>
      </c>
      <c r="O204" s="6">
        <f t="shared" si="122"/>
        <v>125</v>
      </c>
      <c r="P204" s="7">
        <f>IF($J204=0,0,ROUND(MAX($J204*1.4*1.5*1.6,3500000*(1.57975^(MIN($E204,123)-117)))*1,0))</f>
        <v>21798244</v>
      </c>
      <c r="Q204" s="4">
        <f t="shared" si="123"/>
        <v>127</v>
      </c>
      <c r="R204" s="8">
        <f>IF($J204=0,0,ROUND(MAX($J204*1.4*1.5*1.6*1.6,13100000*(1.429962^(MIN($E204,123)-117)))*1,0))</f>
        <v>54773347</v>
      </c>
      <c r="S204" s="6">
        <f t="shared" si="124"/>
        <v>129</v>
      </c>
      <c r="T204" s="7">
        <f>IF($J204=0,0,ROUND(MAX($J204*1.4*1.5*1.6*1.6*2.2,42600000*(1.576904^(MIN($E204,123)-117)))*1,0))</f>
        <v>263409005</v>
      </c>
      <c r="U204" s="4">
        <f t="shared" si="125"/>
        <v>132</v>
      </c>
      <c r="V204" s="8">
        <f>IF($J204=0,0,ROUND(MAX($J204*1.4*1.5*1.6*1.6*2.2*2.715,354000000*(1.642074^(MIN($E204,123)-117)))*1,0))</f>
        <v>2573796232</v>
      </c>
      <c r="W204" s="6">
        <f t="shared" si="126"/>
        <v>136</v>
      </c>
      <c r="X204" s="7">
        <f>IF($J204=0,0,ROUND(MAX($J204*1.4*1.5*1.6*1.6*2.2*2.715*2.6,3540000000*(1.579646^(MIN($E204,123)-117)))*1,0))</f>
        <v>22041561106</v>
      </c>
      <c r="Y204" s="4">
        <f t="shared" si="127"/>
        <v>138</v>
      </c>
      <c r="Z204" s="8">
        <f>IF($J204=0,0,ROUND(MAX($J204*1.4*1.5*1.6*1.6*2.2*2.715*2.6*1.4,6020000000*(1.651178^(MIN($E204,123)-117)))*1,0))</f>
        <v>44747838846</v>
      </c>
      <c r="AA204" s="6">
        <f t="shared" si="128"/>
        <v>140</v>
      </c>
      <c r="AB204" s="7">
        <f>IF($J204=0,0,ROUND(MAX($J204*1.4*1.5*1.6*1.6*2.2*2.715*2.6*1.4*1.4,8430000000*(1.651435^(MIN($E204,123)-117)))*1,0))</f>
        <v>62700862258</v>
      </c>
      <c r="AC204" s="4">
        <f t="shared" si="129"/>
        <v>142</v>
      </c>
      <c r="AD204" s="8">
        <f>IF($J204=0,0,ROUND(MAX($J204*1.4*1.5*1.6*1.6*2.2*2.715*2.6*1.4*1.4*1.5,12600000000*(1.652953^(MIN($E204,123)-117)))*1,0))</f>
        <v>94061644049</v>
      </c>
      <c r="AE204" s="6">
        <f t="shared" si="130"/>
        <v>145</v>
      </c>
      <c r="AF204" s="7">
        <f>IF($J204=0,0,ROUND(MAX($J204*1.4*1.5*1.6*1.6*2.2*2.715*2.6*1.4*1.4*1.5*1.5,18900000000*(1.65331^(MIN($E204,123)-117)))*1,0))</f>
        <v>141214396536</v>
      </c>
      <c r="AG204" s="4">
        <f t="shared" si="131"/>
        <v>148</v>
      </c>
      <c r="AH204" s="8">
        <f>IF($J204=0,0,ROUND(MAX($J204*1.4*1.5*1.6*1.6*2.2*2.715*2.6*1.4*1.4*1.5*1.5*3.2,60500000000*(1.654288^(MIN($E204,123)-117)))*1,0))</f>
        <v>453106040991</v>
      </c>
    </row>
    <row r="205" spans="1:34" x14ac:dyDescent="0.25">
      <c r="A205" s="3">
        <v>301</v>
      </c>
      <c r="B205" s="3" t="s">
        <v>332</v>
      </c>
      <c r="C205" s="3" t="s">
        <v>228</v>
      </c>
      <c r="D205" s="3" t="s">
        <v>102</v>
      </c>
      <c r="E205" s="3">
        <v>121</v>
      </c>
      <c r="F205" s="3" t="s">
        <v>34</v>
      </c>
      <c r="G205" s="3" t="s">
        <v>290</v>
      </c>
      <c r="H205" s="3">
        <v>29</v>
      </c>
      <c r="I205" s="4">
        <v>121</v>
      </c>
      <c r="J205" s="9">
        <v>2610000</v>
      </c>
      <c r="K205" s="6">
        <f t="shared" si="120"/>
        <v>122</v>
      </c>
      <c r="L205" s="7">
        <f>IF($J205=0,0,ROUND(MAX($J205*1.4,1620000*(1.497923^(MIN($E205,123)-117)))*0.8,0))</f>
        <v>6524736</v>
      </c>
      <c r="M205" s="4">
        <f t="shared" si="121"/>
        <v>123</v>
      </c>
      <c r="N205" s="8">
        <f>IF($J205=0,0,ROUND(MAX($J205*1.4*1.5,2190000*(1.580994^(MIN($E205,123)-117)))*0.8,0))</f>
        <v>10945989</v>
      </c>
      <c r="O205" s="6">
        <f t="shared" si="122"/>
        <v>125</v>
      </c>
      <c r="P205" s="7">
        <f>IF($J205=0,0,ROUND(MAX($J205*1.4*1.5*1.6,3500000*(1.57975^(MIN($E205,123)-117)))*0.8,0))</f>
        <v>17438595</v>
      </c>
      <c r="Q205" s="4">
        <f t="shared" si="123"/>
        <v>127</v>
      </c>
      <c r="R205" s="8">
        <f>IF($J205=0,0,ROUND(MAX($J205*1.4*1.5*1.6*1.6,13100000*(1.429962^(MIN($E205,123)-117)))*0.651041666666667,0))</f>
        <v>35659731</v>
      </c>
      <c r="S205" s="6">
        <f t="shared" si="124"/>
        <v>129</v>
      </c>
      <c r="T205" s="7">
        <f>IF($J205=0,0,ROUND(MAX($J205*1.4*1.5*1.6*1.6*2.2,42600000*(1.576904^(MIN($E205,123)-117)))*0.617361111111111,0))</f>
        <v>162618476</v>
      </c>
      <c r="U205" s="4">
        <f t="shared" si="125"/>
        <v>132</v>
      </c>
      <c r="V205" s="8">
        <f>IF($J205=0,0,ROUND(MAX($J205*1.4*1.5*1.6*1.6*2.2*2.715,354000000*(1.642074^(MIN($E205,123)-117)))*0.583680555555556,0))</f>
        <v>1502274815</v>
      </c>
      <c r="W205" s="6">
        <f t="shared" si="126"/>
        <v>136</v>
      </c>
      <c r="X205" s="7">
        <f>IF($J205=0,0,ROUND(MAX($J205*1.4*1.5*1.6*1.6*2.2*2.715*2.6,3540000000*(1.579646^(MIN($E205,123)-117)))*0.55,0))</f>
        <v>12122858608</v>
      </c>
      <c r="Y205" s="4">
        <f t="shared" si="127"/>
        <v>138</v>
      </c>
      <c r="Z205" s="8">
        <f>IF($J205=0,0,ROUND(MAX($J205*1.4*1.5*1.6*1.6*2.2*2.715*2.6*1.4,6020000000*(1.651178^(MIN($E205,123)-117)))*0.55,0))</f>
        <v>24611311365</v>
      </c>
      <c r="AA205" s="6">
        <f t="shared" si="128"/>
        <v>140</v>
      </c>
      <c r="AB205" s="7">
        <f>IF($J205=0,0,ROUND(MAX($J205*1.4*1.5*1.6*1.6*2.2*2.715*2.6*1.4*1.4,8430000000*(1.651435^(MIN($E205,123)-117)))*0.55,0))</f>
        <v>34485474242</v>
      </c>
      <c r="AC205" s="4">
        <f t="shared" si="129"/>
        <v>142</v>
      </c>
      <c r="AD205" s="8">
        <f>IF($J205=0,0,ROUND(MAX($J205*1.4*1.5*1.6*1.6*2.2*2.715*2.6*1.4*1.4*1.5,12600000000*(1.652953^(MIN($E205,123)-117)))*0.55,0))</f>
        <v>51733904227</v>
      </c>
      <c r="AE205" s="6">
        <f t="shared" si="130"/>
        <v>145</v>
      </c>
      <c r="AF205" s="7">
        <f>IF($J205=0,0,ROUND(MAX($J205*1.4*1.5*1.6*1.6*2.2*2.715*2.6*1.4*1.4*1.5*1.5,18900000000*(1.65331^(MIN($E205,123)-117)))*0.55,0))</f>
        <v>77667918095</v>
      </c>
      <c r="AG205" s="4">
        <f t="shared" si="131"/>
        <v>148</v>
      </c>
      <c r="AH205" s="8">
        <f>IF($J205=0,0,ROUND(MAX($J205*1.4*1.5*1.6*1.6*2.2*2.715*2.6*1.4*1.4*1.5*1.5*3.2,60500000000*(1.654288^(MIN($E205,123)-117)))*0.55,0))</f>
        <v>249208322545</v>
      </c>
    </row>
    <row r="206" spans="1:34" x14ac:dyDescent="0.25">
      <c r="A206" s="3">
        <v>206</v>
      </c>
      <c r="B206" s="3" t="s">
        <v>333</v>
      </c>
      <c r="C206" s="3" t="s">
        <v>228</v>
      </c>
      <c r="D206" s="3" t="s">
        <v>45</v>
      </c>
      <c r="E206" s="3">
        <v>121</v>
      </c>
      <c r="F206" s="3" t="s">
        <v>54</v>
      </c>
      <c r="G206" s="3" t="s">
        <v>295</v>
      </c>
      <c r="H206" s="3">
        <v>30</v>
      </c>
      <c r="I206" s="4">
        <v>121</v>
      </c>
      <c r="J206" s="5">
        <v>2360000</v>
      </c>
      <c r="K206" s="6">
        <f t="shared" si="120"/>
        <v>122</v>
      </c>
      <c r="L206" s="7">
        <f>IF($J206=0,0,ROUND(MAX($J206*1.4,1620000*(1.497923^(MIN($E206,123)-117)))*0.8,0))</f>
        <v>6524736</v>
      </c>
      <c r="M206" s="4">
        <f t="shared" si="121"/>
        <v>123</v>
      </c>
      <c r="N206" s="8">
        <f>IF($J206=0,0,ROUND(MAX($J206*1.4*1.5,2190000*(1.580994^(MIN($E206,123)-117)))*0.8,0))</f>
        <v>10945989</v>
      </c>
      <c r="O206" s="6">
        <f t="shared" si="122"/>
        <v>125</v>
      </c>
      <c r="P206" s="7">
        <f>IF($J206=0,0,ROUND(MAX($J206*1.4*1.5*1.6,3500000*(1.57975^(MIN($E206,123)-117)))*0.8,0))</f>
        <v>17438595</v>
      </c>
      <c r="Q206" s="4">
        <f t="shared" si="123"/>
        <v>127</v>
      </c>
      <c r="R206" s="8">
        <f>IF($J206=0,0,ROUND(MAX($J206*1.4*1.5*1.6*1.6,13100000*(1.429962^(MIN($E206,123)-117)))*0.651041666666667,0))</f>
        <v>35659731</v>
      </c>
      <c r="S206" s="6">
        <f t="shared" si="124"/>
        <v>129</v>
      </c>
      <c r="T206" s="7">
        <f>IF($J206=0,0,ROUND(MAX($J206*1.4*1.5*1.6*1.6*2.2,42600000*(1.576904^(MIN($E206,123)-117)))*0.617361111111111,0))</f>
        <v>162618476</v>
      </c>
      <c r="U206" s="4">
        <f t="shared" si="125"/>
        <v>132</v>
      </c>
      <c r="V206" s="8">
        <f>IF($J206=0,0,ROUND(MAX($J206*1.4*1.5*1.6*1.6*2.2*2.715,354000000*(1.642074^(MIN($E206,123)-117)))*0.583680555555556,0))</f>
        <v>1502274815</v>
      </c>
      <c r="W206" s="6">
        <f t="shared" si="126"/>
        <v>136</v>
      </c>
      <c r="X206" s="7">
        <f>IF($J206=0,0,ROUND(MAX($J206*1.4*1.5*1.6*1.6*2.2*2.715*2.6,3540000000*(1.579646^(MIN($E206,123)-117)))*0.55,0))</f>
        <v>12122858608</v>
      </c>
      <c r="Y206" s="4">
        <f t="shared" si="127"/>
        <v>138</v>
      </c>
      <c r="Z206" s="8">
        <f>IF($J206=0,0,ROUND(MAX($J206*1.4*1.5*1.6*1.6*2.2*2.715*2.6*1.4,6020000000*(1.651178^(MIN($E206,123)-117)))*0.55,0))</f>
        <v>24611311365</v>
      </c>
      <c r="AA206" s="6">
        <f t="shared" si="128"/>
        <v>140</v>
      </c>
      <c r="AB206" s="7">
        <f>IF($J206=0,0,ROUND(MAX($J206*1.4*1.5*1.6*1.6*2.2*2.715*2.6*1.4*1.4,8430000000*(1.651435^(MIN($E206,123)-117)))*0.55,0))</f>
        <v>34485474242</v>
      </c>
      <c r="AC206" s="4">
        <f t="shared" si="129"/>
        <v>142</v>
      </c>
      <c r="AD206" s="8">
        <f>IF($J206=0,0,ROUND(MAX($J206*1.4*1.5*1.6*1.6*2.2*2.715*2.6*1.4*1.4*1.5,12600000000*(1.652953^(MIN($E206,123)-117)))*0.55,0))</f>
        <v>51733904227</v>
      </c>
      <c r="AE206" s="6">
        <f t="shared" si="130"/>
        <v>145</v>
      </c>
      <c r="AF206" s="7">
        <f>IF($J206=0,0,ROUND(MAX($J206*1.4*1.5*1.6*1.6*2.2*2.715*2.6*1.4*1.4*1.5*1.5,18900000000*(1.65331^(MIN($E206,123)-117)))*0.55,0))</f>
        <v>77667918095</v>
      </c>
      <c r="AG206" s="4">
        <f t="shared" si="131"/>
        <v>148</v>
      </c>
      <c r="AH206" s="8">
        <f>IF($J206=0,0,ROUND(MAX($J206*1.4*1.5*1.6*1.6*2.2*2.715*2.6*1.4*1.4*1.5*1.5*3.2,60500000000*(1.654288^(MIN($E206,123)-117)))*0.55,0))</f>
        <v>249208322545</v>
      </c>
    </row>
    <row r="207" spans="1:34" x14ac:dyDescent="0.25">
      <c r="A207" s="3">
        <v>192</v>
      </c>
      <c r="B207" s="3" t="s">
        <v>334</v>
      </c>
      <c r="C207" s="3" t="s">
        <v>228</v>
      </c>
      <c r="D207" s="3" t="s">
        <v>45</v>
      </c>
      <c r="E207" s="3">
        <v>121</v>
      </c>
      <c r="F207" s="3" t="s">
        <v>71</v>
      </c>
      <c r="G207" s="3" t="s">
        <v>124</v>
      </c>
      <c r="H207" s="3">
        <v>31</v>
      </c>
      <c r="I207" s="4">
        <v>121</v>
      </c>
      <c r="J207" s="5">
        <v>2750000</v>
      </c>
      <c r="K207" s="6">
        <f t="shared" si="120"/>
        <v>122</v>
      </c>
      <c r="L207" s="7">
        <f>IF($J207=0,0,ROUND(MAX($J207*1.4,1620000*(1.497923^(MIN($E207,123)-117)))*0.8,0))</f>
        <v>6524736</v>
      </c>
      <c r="M207" s="4">
        <f t="shared" si="121"/>
        <v>123</v>
      </c>
      <c r="N207" s="8">
        <f>IF($J207=0,0,ROUND(MAX($J207*1.4*1.5,2190000*(1.580994^(MIN($E207,123)-117)))*0.8,0))</f>
        <v>10945989</v>
      </c>
      <c r="O207" s="6">
        <f t="shared" si="122"/>
        <v>125</v>
      </c>
      <c r="P207" s="7">
        <f>IF($J207=0,0,ROUND(MAX($J207*1.4*1.5*1.6,3500000*(1.57975^(MIN($E207,123)-117)))*0.8,0))</f>
        <v>17438595</v>
      </c>
      <c r="Q207" s="4">
        <f t="shared" si="123"/>
        <v>127</v>
      </c>
      <c r="R207" s="8">
        <f>IF($J207=0,0,ROUND(MAX($J207*1.4*1.5*1.6*1.6,13100000*(1.429962^(MIN($E207,123)-117)))*0.651041666666667,0))</f>
        <v>35659731</v>
      </c>
      <c r="S207" s="6">
        <f t="shared" si="124"/>
        <v>129</v>
      </c>
      <c r="T207" s="7">
        <f>IF($J207=0,0,ROUND(MAX($J207*1.4*1.5*1.6*1.6*2.2,42600000*(1.576904^(MIN($E207,123)-117)))*0.617361111111111,0))</f>
        <v>162618476</v>
      </c>
      <c r="U207" s="4">
        <f t="shared" si="125"/>
        <v>132</v>
      </c>
      <c r="V207" s="8">
        <f>IF($J207=0,0,ROUND(MAX($J207*1.4*1.5*1.6*1.6*2.2*2.715,354000000*(1.642074^(MIN($E207,123)-117)))*0.583680555555556,0))</f>
        <v>1502274815</v>
      </c>
      <c r="W207" s="6">
        <f t="shared" si="126"/>
        <v>136</v>
      </c>
      <c r="X207" s="7">
        <f>IF($J207=0,0,ROUND(MAX($J207*1.4*1.5*1.6*1.6*2.2*2.715*2.6,3540000000*(1.579646^(MIN($E207,123)-117)))*0.55,0))</f>
        <v>12122858608</v>
      </c>
      <c r="Y207" s="4">
        <f t="shared" si="127"/>
        <v>138</v>
      </c>
      <c r="Z207" s="8">
        <f>IF($J207=0,0,ROUND(MAX($J207*1.4*1.5*1.6*1.6*2.2*2.715*2.6*1.4,6020000000*(1.651178^(MIN($E207,123)-117)))*0.55,0))</f>
        <v>24611311365</v>
      </c>
      <c r="AA207" s="6">
        <f t="shared" si="128"/>
        <v>140</v>
      </c>
      <c r="AB207" s="7">
        <f>IF($J207=0,0,ROUND(MAX($J207*1.4*1.5*1.6*1.6*2.2*2.715*2.6*1.4*1.4,8430000000*(1.651435^(MIN($E207,123)-117)))*0.55,0))</f>
        <v>34485474242</v>
      </c>
      <c r="AC207" s="4">
        <f t="shared" si="129"/>
        <v>142</v>
      </c>
      <c r="AD207" s="8">
        <f>IF($J207=0,0,ROUND(MAX($J207*1.4*1.5*1.6*1.6*2.2*2.715*2.6*1.4*1.4*1.5,12600000000*(1.652953^(MIN($E207,123)-117)))*0.55,0))</f>
        <v>51733904227</v>
      </c>
      <c r="AE207" s="6">
        <f t="shared" si="130"/>
        <v>145</v>
      </c>
      <c r="AF207" s="7">
        <f>IF($J207=0,0,ROUND(MAX($J207*1.4*1.5*1.6*1.6*2.2*2.715*2.6*1.4*1.4*1.5*1.5,18900000000*(1.65331^(MIN($E207,123)-117)))*0.55,0))</f>
        <v>77667918095</v>
      </c>
      <c r="AG207" s="4">
        <f t="shared" si="131"/>
        <v>148</v>
      </c>
      <c r="AH207" s="8">
        <f>IF($J207=0,0,ROUND(MAX($J207*1.4*1.5*1.6*1.6*2.2*2.715*2.6*1.4*1.4*1.5*1.5*3.2,60500000000*(1.654288^(MIN($E207,123)-117)))*0.55,0))</f>
        <v>249208322545</v>
      </c>
    </row>
    <row r="208" spans="1:34" x14ac:dyDescent="0.25">
      <c r="A208" s="3">
        <v>277</v>
      </c>
      <c r="B208" s="3" t="s">
        <v>335</v>
      </c>
      <c r="C208" s="3" t="s">
        <v>228</v>
      </c>
      <c r="D208" s="3" t="s">
        <v>79</v>
      </c>
      <c r="E208" s="3">
        <v>121</v>
      </c>
      <c r="F208" s="3" t="s">
        <v>54</v>
      </c>
      <c r="G208" s="3" t="s">
        <v>218</v>
      </c>
      <c r="H208" s="3">
        <v>30</v>
      </c>
      <c r="I208" s="4">
        <v>121</v>
      </c>
      <c r="J208" s="5">
        <v>2980000</v>
      </c>
      <c r="K208" s="6">
        <f t="shared" si="120"/>
        <v>122</v>
      </c>
      <c r="L208" s="7">
        <f>IF($J208=0,0,ROUND(MAX($J208*1.4,1620000*(1.497923^(MIN($E208,123)-117)))*1,0))</f>
        <v>8155920</v>
      </c>
      <c r="M208" s="4">
        <f t="shared" si="121"/>
        <v>123</v>
      </c>
      <c r="N208" s="8">
        <f>IF($J208=0,0,ROUND(MAX($J208*1.4*1.5,2190000*(1.580994^(MIN($E208,123)-117)))*1,0))</f>
        <v>13682486</v>
      </c>
      <c r="O208" s="6">
        <f t="shared" si="122"/>
        <v>125</v>
      </c>
      <c r="P208" s="7">
        <f>IF($J208=0,0,ROUND(MAX($J208*1.4*1.5*1.6,3500000*(1.57975^(MIN($E208,123)-117)))*1,0))</f>
        <v>21798244</v>
      </c>
      <c r="Q208" s="4">
        <f t="shared" si="123"/>
        <v>127</v>
      </c>
      <c r="R208" s="8">
        <f>IF($J208=0,0,ROUND(MAX($J208*1.4*1.5*1.6*1.6,13100000*(1.429962^(MIN($E208,123)-117)))*1,0))</f>
        <v>54773347</v>
      </c>
      <c r="S208" s="6">
        <f t="shared" si="124"/>
        <v>129</v>
      </c>
      <c r="T208" s="7">
        <f>IF($J208=0,0,ROUND(MAX($J208*1.4*1.5*1.6*1.6*2.2,42600000*(1.576904^(MIN($E208,123)-117)))*1,0))</f>
        <v>263409005</v>
      </c>
      <c r="U208" s="4">
        <f t="shared" si="125"/>
        <v>132</v>
      </c>
      <c r="V208" s="8">
        <f>IF($J208=0,0,ROUND(MAX($J208*1.4*1.5*1.6*1.6*2.2*2.715,354000000*(1.642074^(MIN($E208,123)-117)))*1,0))</f>
        <v>2573796232</v>
      </c>
      <c r="W208" s="6">
        <f t="shared" si="126"/>
        <v>136</v>
      </c>
      <c r="X208" s="7">
        <f>IF($J208=0,0,ROUND(MAX($J208*1.4*1.5*1.6*1.6*2.2*2.715*2.6,3540000000*(1.579646^(MIN($E208,123)-117)))*1,0))</f>
        <v>22041561106</v>
      </c>
      <c r="Y208" s="4">
        <f t="shared" si="127"/>
        <v>138</v>
      </c>
      <c r="Z208" s="8">
        <f>IF($J208=0,0,ROUND(MAX($J208*1.4*1.5*1.6*1.6*2.2*2.715*2.6*1.4,6020000000*(1.651178^(MIN($E208,123)-117)))*1,0))</f>
        <v>44747838846</v>
      </c>
      <c r="AA208" s="6">
        <f t="shared" si="128"/>
        <v>140</v>
      </c>
      <c r="AB208" s="7">
        <f>IF($J208=0,0,ROUND(MAX($J208*1.4*1.5*1.6*1.6*2.2*2.715*2.6*1.4*1.4,8430000000*(1.651435^(MIN($E208,123)-117)))*1,0))</f>
        <v>62700862258</v>
      </c>
      <c r="AC208" s="4">
        <f t="shared" si="129"/>
        <v>142</v>
      </c>
      <c r="AD208" s="8">
        <f>IF($J208=0,0,ROUND(MAX($J208*1.4*1.5*1.6*1.6*2.2*2.715*2.6*1.4*1.4*1.5,12600000000*(1.652953^(MIN($E208,123)-117)))*1,0))</f>
        <v>94061644049</v>
      </c>
      <c r="AE208" s="6">
        <f t="shared" si="130"/>
        <v>145</v>
      </c>
      <c r="AF208" s="7">
        <f>IF($J208=0,0,ROUND(MAX($J208*1.4*1.5*1.6*1.6*2.2*2.715*2.6*1.4*1.4*1.5*1.5,18900000000*(1.65331^(MIN($E208,123)-117)))*1,0))</f>
        <v>141214396536</v>
      </c>
      <c r="AG208" s="4">
        <f t="shared" si="131"/>
        <v>148</v>
      </c>
      <c r="AH208" s="8">
        <f>IF($J208=0,0,ROUND(MAX($J208*1.4*1.5*1.6*1.6*2.2*2.715*2.6*1.4*1.4*1.5*1.5*3.2,60500000000*(1.654288^(MIN($E208,123)-117)))*1,0))</f>
        <v>453106040991</v>
      </c>
    </row>
    <row r="209" spans="1:34" x14ac:dyDescent="0.25">
      <c r="A209" s="3">
        <v>205</v>
      </c>
      <c r="B209" s="3" t="s">
        <v>336</v>
      </c>
      <c r="C209" s="3" t="s">
        <v>228</v>
      </c>
      <c r="D209" s="3" t="s">
        <v>25</v>
      </c>
      <c r="E209" s="3">
        <v>121</v>
      </c>
      <c r="F209" s="3" t="s">
        <v>54</v>
      </c>
      <c r="G209" s="3" t="s">
        <v>337</v>
      </c>
      <c r="H209" s="3">
        <v>30</v>
      </c>
      <c r="I209" s="4">
        <v>121</v>
      </c>
      <c r="J209" s="5">
        <v>2390000</v>
      </c>
      <c r="K209" s="6">
        <f t="shared" si="120"/>
        <v>122</v>
      </c>
      <c r="L209" s="7">
        <f>IF($J209=0,0,ROUND(MAX($J209*1.4,1620000*(1.497923^(MIN($E209,123)-117)))*1,0))</f>
        <v>8155920</v>
      </c>
      <c r="M209" s="4">
        <f t="shared" si="121"/>
        <v>123</v>
      </c>
      <c r="N209" s="8">
        <f>IF($J209=0,0,ROUND(MAX($J209*1.4*1.5,2190000*(1.580994^(MIN($E209,123)-117)))*1,0))</f>
        <v>13682486</v>
      </c>
      <c r="O209" s="6">
        <f t="shared" si="122"/>
        <v>125</v>
      </c>
      <c r="P209" s="7">
        <f>IF($J209=0,0,ROUND(MAX($J209*1.4*1.5*1.6,3500000*(1.57975^(MIN($E209,123)-117)))*1,0))</f>
        <v>21798244</v>
      </c>
      <c r="Q209" s="4">
        <f t="shared" si="123"/>
        <v>127</v>
      </c>
      <c r="R209" s="8">
        <f>IF($J209=0,0,ROUND(MAX($J209*1.4*1.5*1.6*1.6,13100000*(1.429962^(MIN($E209,123)-117)))*1,0))</f>
        <v>54773347</v>
      </c>
      <c r="S209" s="6">
        <f t="shared" si="124"/>
        <v>129</v>
      </c>
      <c r="T209" s="7">
        <f>IF($J209=0,0,ROUND(MAX($J209*1.4*1.5*1.6*1.6*2.2,42600000*(1.576904^(MIN($E209,123)-117)))*1,0))</f>
        <v>263409005</v>
      </c>
      <c r="U209" s="4">
        <f t="shared" si="125"/>
        <v>132</v>
      </c>
      <c r="V209" s="8">
        <f>IF($J209=0,0,ROUND(MAX($J209*1.4*1.5*1.6*1.6*2.2*2.715,354000000*(1.642074^(MIN($E209,123)-117)))*1,0))</f>
        <v>2573796232</v>
      </c>
      <c r="W209" s="6">
        <f t="shared" si="126"/>
        <v>136</v>
      </c>
      <c r="X209" s="7">
        <f>IF($J209=0,0,ROUND(MAX($J209*1.4*1.5*1.6*1.6*2.2*2.715*2.6,3540000000*(1.579646^(MIN($E209,123)-117)))*1,0))</f>
        <v>22041561106</v>
      </c>
      <c r="Y209" s="4">
        <f t="shared" si="127"/>
        <v>138</v>
      </c>
      <c r="Z209" s="8">
        <f>IF($J209=0,0,ROUND(MAX($J209*1.4*1.5*1.6*1.6*2.2*2.715*2.6*1.4,6020000000*(1.651178^(MIN($E209,123)-117)))*1,0))</f>
        <v>44747838846</v>
      </c>
      <c r="AA209" s="6">
        <f t="shared" si="128"/>
        <v>140</v>
      </c>
      <c r="AB209" s="7">
        <f>IF($J209=0,0,ROUND(MAX($J209*1.4*1.5*1.6*1.6*2.2*2.715*2.6*1.4*1.4,8430000000*(1.651435^(MIN($E209,123)-117)))*1,0))</f>
        <v>62700862258</v>
      </c>
      <c r="AC209" s="4">
        <f t="shared" si="129"/>
        <v>142</v>
      </c>
      <c r="AD209" s="8">
        <f>IF($J209=0,0,ROUND(MAX($J209*1.4*1.5*1.6*1.6*2.2*2.715*2.6*1.4*1.4*1.5,12600000000*(1.652953^(MIN($E209,123)-117)))*1,0))</f>
        <v>94061644049</v>
      </c>
      <c r="AE209" s="6">
        <f t="shared" si="130"/>
        <v>145</v>
      </c>
      <c r="AF209" s="7">
        <f>IF($J209=0,0,ROUND(MAX($J209*1.4*1.5*1.6*1.6*2.2*2.715*2.6*1.4*1.4*1.5*1.5,18900000000*(1.65331^(MIN($E209,123)-117)))*1,0))</f>
        <v>141214396536</v>
      </c>
      <c r="AG209" s="4">
        <f t="shared" si="131"/>
        <v>148</v>
      </c>
      <c r="AH209" s="8">
        <f>IF($J209=0,0,ROUND(MAX($J209*1.4*1.5*1.6*1.6*2.2*2.715*2.6*1.4*1.4*1.5*1.5*3.2,60500000000*(1.654288^(MIN($E209,123)-117)))*1,0))</f>
        <v>453106040991</v>
      </c>
    </row>
    <row r="210" spans="1:34" x14ac:dyDescent="0.25">
      <c r="A210" s="3">
        <v>157</v>
      </c>
      <c r="B210" s="3" t="s">
        <v>338</v>
      </c>
      <c r="C210" s="3" t="s">
        <v>228</v>
      </c>
      <c r="D210" s="3" t="s">
        <v>75</v>
      </c>
      <c r="E210" s="3">
        <v>121</v>
      </c>
      <c r="F210" s="3" t="s">
        <v>71</v>
      </c>
      <c r="G210" s="3" t="s">
        <v>339</v>
      </c>
      <c r="H210" s="3">
        <v>31</v>
      </c>
      <c r="I210" s="4">
        <v>121</v>
      </c>
      <c r="J210" s="5">
        <v>4590000</v>
      </c>
      <c r="K210" s="6">
        <f t="shared" si="120"/>
        <v>122</v>
      </c>
      <c r="L210" s="7">
        <f>IF($J210=0,0,ROUND(MAX($J210*1.4,1620000*(1.497923^(MIN($E210,123)-117)))*0.8,0))</f>
        <v>6524736</v>
      </c>
      <c r="M210" s="4">
        <f t="shared" si="121"/>
        <v>123</v>
      </c>
      <c r="N210" s="8">
        <f>IF($J210=0,0,ROUND(MAX($J210*1.4*1.5,2190000*(1.580994^(MIN($E210,123)-117)))*0.8,0))</f>
        <v>10945989</v>
      </c>
      <c r="O210" s="6">
        <f t="shared" si="122"/>
        <v>125</v>
      </c>
      <c r="P210" s="7">
        <f>IF($J210=0,0,ROUND(MAX($J210*1.4*1.5*1.6,3500000*(1.57975^(MIN($E210,123)-117)))*0.8,0))</f>
        <v>17438595</v>
      </c>
      <c r="Q210" s="4">
        <f t="shared" si="123"/>
        <v>127</v>
      </c>
      <c r="R210" s="8">
        <f>IF($J210=0,0,ROUND(MAX($J210*1.4*1.5*1.6*1.6,13100000*(1.429962^(MIN($E210,123)-117)))*0.651041666666667,0))</f>
        <v>35659731</v>
      </c>
      <c r="S210" s="6">
        <f t="shared" si="124"/>
        <v>129</v>
      </c>
      <c r="T210" s="7">
        <f>IF($J210=0,0,ROUND(MAX($J210*1.4*1.5*1.6*1.6*2.2,42600000*(1.576904^(MIN($E210,123)-117)))*0.617361111111111,0))</f>
        <v>162618476</v>
      </c>
      <c r="U210" s="4">
        <f t="shared" si="125"/>
        <v>132</v>
      </c>
      <c r="V210" s="8">
        <f>IF($J210=0,0,ROUND(MAX($J210*1.4*1.5*1.6*1.6*2.2*2.715,354000000*(1.642074^(MIN($E210,123)-117)))*0.583680555555556,0))</f>
        <v>1502274815</v>
      </c>
      <c r="W210" s="6">
        <f t="shared" si="126"/>
        <v>136</v>
      </c>
      <c r="X210" s="7">
        <f>IF($J210=0,0,ROUND(MAX($J210*1.4*1.5*1.6*1.6*2.2*2.715*2.6,3540000000*(1.579646^(MIN($E210,123)-117)))*0.55,0))</f>
        <v>12122858608</v>
      </c>
      <c r="Y210" s="4">
        <f t="shared" si="127"/>
        <v>138</v>
      </c>
      <c r="Z210" s="8">
        <f>IF($J210=0,0,ROUND(MAX($J210*1.4*1.5*1.6*1.6*2.2*2.715*2.6*1.4,6020000000*(1.651178^(MIN($E210,123)-117)))*0.55,0))</f>
        <v>24611311365</v>
      </c>
      <c r="AA210" s="6">
        <f t="shared" si="128"/>
        <v>140</v>
      </c>
      <c r="AB210" s="7">
        <f>IF($J210=0,0,ROUND(MAX($J210*1.4*1.5*1.6*1.6*2.2*2.715*2.6*1.4*1.4,8430000000*(1.651435^(MIN($E210,123)-117)))*0.55,0))</f>
        <v>34485474242</v>
      </c>
      <c r="AC210" s="4">
        <f t="shared" si="129"/>
        <v>142</v>
      </c>
      <c r="AD210" s="8">
        <f>IF($J210=0,0,ROUND(MAX($J210*1.4*1.5*1.6*1.6*2.2*2.715*2.6*1.4*1.4*1.5,12600000000*(1.652953^(MIN($E210,123)-117)))*0.55,0))</f>
        <v>51733904227</v>
      </c>
      <c r="AE210" s="6">
        <f t="shared" si="130"/>
        <v>145</v>
      </c>
      <c r="AF210" s="7">
        <f>IF($J210=0,0,ROUND(MAX($J210*1.4*1.5*1.6*1.6*2.2*2.715*2.6*1.4*1.4*1.5*1.5,18900000000*(1.65331^(MIN($E210,123)-117)))*0.55,0))</f>
        <v>77667918095</v>
      </c>
      <c r="AG210" s="4">
        <f t="shared" si="131"/>
        <v>148</v>
      </c>
      <c r="AH210" s="8">
        <f>IF($J210=0,0,ROUND(MAX($J210*1.4*1.5*1.6*1.6*2.2*2.715*2.6*1.4*1.4*1.5*1.5*3.2,60500000000*(1.654288^(MIN($E210,123)-117)))*0.55,0))</f>
        <v>249208322545</v>
      </c>
    </row>
    <row r="211" spans="1:34" x14ac:dyDescent="0.25">
      <c r="A211" s="3">
        <v>193</v>
      </c>
      <c r="B211" s="3" t="s">
        <v>340</v>
      </c>
      <c r="C211" s="3" t="s">
        <v>228</v>
      </c>
      <c r="D211" s="3" t="s">
        <v>79</v>
      </c>
      <c r="E211" s="3">
        <v>121</v>
      </c>
      <c r="F211" s="3" t="s">
        <v>341</v>
      </c>
      <c r="G211" s="3" t="s">
        <v>342</v>
      </c>
      <c r="H211" s="3">
        <v>31</v>
      </c>
      <c r="I211" s="4">
        <v>121</v>
      </c>
      <c r="J211" s="5">
        <v>2750000</v>
      </c>
      <c r="K211" s="6">
        <f t="shared" si="120"/>
        <v>122</v>
      </c>
      <c r="L211" s="7">
        <f>IF($J211=0,0,ROUND(MAX($J211*1.4,1620000*(1.497923^(MIN($E211,123)-117)))*0.8,0))</f>
        <v>6524736</v>
      </c>
      <c r="M211" s="4">
        <f t="shared" si="121"/>
        <v>123</v>
      </c>
      <c r="N211" s="8">
        <f>IF($J211=0,0,ROUND(MAX($J211*1.4*1.5,2190000*(1.580994^(MIN($E211,123)-117)))*0.8,0))</f>
        <v>10945989</v>
      </c>
      <c r="O211" s="6">
        <f t="shared" si="122"/>
        <v>125</v>
      </c>
      <c r="P211" s="7">
        <f>IF($J211=0,0,ROUND(MAX($J211*1.4*1.5*1.6,3500000*(1.57975^(MIN($E211,123)-117)))*0.8,0))</f>
        <v>17438595</v>
      </c>
      <c r="Q211" s="4">
        <f t="shared" si="123"/>
        <v>127</v>
      </c>
      <c r="R211" s="8">
        <f>IF($J211=0,0,ROUND(MAX($J211*1.4*1.5*1.6*1.6,13100000*(1.429962^(MIN($E211,123)-117)))*0.651041666666667,0))</f>
        <v>35659731</v>
      </c>
      <c r="S211" s="6">
        <f t="shared" si="124"/>
        <v>129</v>
      </c>
      <c r="T211" s="7">
        <f>IF($J211=0,0,ROUND(MAX($J211*1.4*1.5*1.6*1.6*2.2,42600000*(1.576904^(MIN($E211,123)-117)))*0.617361111111111,0))</f>
        <v>162618476</v>
      </c>
      <c r="U211" s="4">
        <f t="shared" si="125"/>
        <v>132</v>
      </c>
      <c r="V211" s="8">
        <f>IF($J211=0,0,ROUND(MAX($J211*1.4*1.5*1.6*1.6*2.2*2.715,354000000*(1.642074^(MIN($E211,123)-117)))*0.583680555555556,0))</f>
        <v>1502274815</v>
      </c>
      <c r="W211" s="6">
        <f t="shared" si="126"/>
        <v>136</v>
      </c>
      <c r="X211" s="7">
        <f>IF($J211=0,0,ROUND(MAX($J211*1.4*1.5*1.6*1.6*2.2*2.715*2.6,3540000000*(1.579646^(MIN($E211,123)-117)))*0.55,0))</f>
        <v>12122858608</v>
      </c>
      <c r="Y211" s="4">
        <f t="shared" si="127"/>
        <v>138</v>
      </c>
      <c r="Z211" s="8">
        <f>IF($J211=0,0,ROUND(MAX($J211*1.4*1.5*1.6*1.6*2.2*2.715*2.6*1.4,6020000000*(1.651178^(MIN($E211,123)-117)))*0.55,0))</f>
        <v>24611311365</v>
      </c>
      <c r="AA211" s="6">
        <f t="shared" si="128"/>
        <v>140</v>
      </c>
      <c r="AB211" s="7">
        <f>IF($J211=0,0,ROUND(MAX($J211*1.4*1.5*1.6*1.6*2.2*2.715*2.6*1.4*1.4,8430000000*(1.651435^(MIN($E211,123)-117)))*0.55,0))</f>
        <v>34485474242</v>
      </c>
      <c r="AC211" s="4">
        <f t="shared" si="129"/>
        <v>142</v>
      </c>
      <c r="AD211" s="8">
        <f>IF($J211=0,0,ROUND(MAX($J211*1.4*1.5*1.6*1.6*2.2*2.715*2.6*1.4*1.4*1.5,12600000000*(1.652953^(MIN($E211,123)-117)))*0.55,0))</f>
        <v>51733904227</v>
      </c>
      <c r="AE211" s="6">
        <f t="shared" si="130"/>
        <v>145</v>
      </c>
      <c r="AF211" s="7">
        <f>IF($J211=0,0,ROUND(MAX($J211*1.4*1.5*1.6*1.6*2.2*2.715*2.6*1.4*1.4*1.5*1.5,18900000000*(1.65331^(MIN($E211,123)-117)))*0.55,0))</f>
        <v>77667918095</v>
      </c>
      <c r="AG211" s="4">
        <f t="shared" si="131"/>
        <v>148</v>
      </c>
      <c r="AH211" s="8">
        <f>IF($J211=0,0,ROUND(MAX($J211*1.4*1.5*1.6*1.6*2.2*2.715*2.6*1.4*1.4*1.5*1.5*3.2,60500000000*(1.654288^(MIN($E211,123)-117)))*0.55,0))</f>
        <v>249208322545</v>
      </c>
    </row>
    <row r="212" spans="1:34" x14ac:dyDescent="0.25">
      <c r="A212" s="3">
        <v>199</v>
      </c>
      <c r="B212" s="3" t="s">
        <v>343</v>
      </c>
      <c r="C212" s="3" t="s">
        <v>228</v>
      </c>
      <c r="D212" s="3" t="s">
        <v>33</v>
      </c>
      <c r="E212" s="3">
        <v>121</v>
      </c>
      <c r="F212" s="3" t="s">
        <v>97</v>
      </c>
      <c r="G212" s="3" t="s">
        <v>104</v>
      </c>
      <c r="H212" s="3">
        <v>30</v>
      </c>
      <c r="I212" s="4">
        <v>121</v>
      </c>
      <c r="J212" s="5">
        <v>2360000</v>
      </c>
      <c r="K212" s="6">
        <f t="shared" si="120"/>
        <v>122</v>
      </c>
      <c r="L212" s="7">
        <f>IF($J212=0,0,ROUND(MAX($J212*1.4,1620000*(1.497923^(MIN($E212,123)-117)))*1,0))</f>
        <v>8155920</v>
      </c>
      <c r="M212" s="4">
        <f t="shared" si="121"/>
        <v>123</v>
      </c>
      <c r="N212" s="8">
        <f>IF($J212=0,0,ROUND(MAX($J212*1.4*1.5,2190000*(1.580994^(MIN($E212,123)-117)))*1,0))</f>
        <v>13682486</v>
      </c>
      <c r="O212" s="6">
        <f t="shared" si="122"/>
        <v>125</v>
      </c>
      <c r="P212" s="7">
        <f>IF($J212=0,0,ROUND(MAX($J212*1.4*1.5*1.6,3500000*(1.57975^(MIN($E212,123)-117)))*1,0))</f>
        <v>21798244</v>
      </c>
      <c r="Q212" s="4">
        <f t="shared" si="123"/>
        <v>127</v>
      </c>
      <c r="R212" s="8">
        <f>IF($J212=0,0,ROUND(MAX($J212*1.4*1.5*1.6*1.6,13100000*(1.429962^(MIN($E212,123)-117)))*1,0))</f>
        <v>54773347</v>
      </c>
      <c r="S212" s="6">
        <f t="shared" si="124"/>
        <v>129</v>
      </c>
      <c r="T212" s="7">
        <f>IF($J212=0,0,ROUND(MAX($J212*1.4*1.5*1.6*1.6*2.2,42600000*(1.576904^(MIN($E212,123)-117)))*1,0))</f>
        <v>263409005</v>
      </c>
      <c r="U212" s="4">
        <f t="shared" si="125"/>
        <v>132</v>
      </c>
      <c r="V212" s="8">
        <f>IF($J212=0,0,ROUND(MAX($J212*1.4*1.5*1.6*1.6*2.2*2.715,354000000*(1.642074^(MIN($E212,123)-117)))*1,0))</f>
        <v>2573796232</v>
      </c>
      <c r="W212" s="6">
        <f t="shared" si="126"/>
        <v>136</v>
      </c>
      <c r="X212" s="7">
        <f>IF($J212=0,0,ROUND(MAX($J212*1.4*1.5*1.6*1.6*2.2*2.715*2.6,3540000000*(1.579646^(MIN($E212,123)-117)))*1,0))</f>
        <v>22041561106</v>
      </c>
      <c r="Y212" s="4">
        <f t="shared" si="127"/>
        <v>138</v>
      </c>
      <c r="Z212" s="8">
        <f>IF($J212=0,0,ROUND(MAX($J212*1.4*1.5*1.6*1.6*2.2*2.715*2.6*1.4,6020000000*(1.651178^(MIN($E212,123)-117)))*1,0))</f>
        <v>44747838846</v>
      </c>
      <c r="AA212" s="6">
        <f t="shared" si="128"/>
        <v>140</v>
      </c>
      <c r="AB212" s="7">
        <f>IF($J212=0,0,ROUND(MAX($J212*1.4*1.5*1.6*1.6*2.2*2.715*2.6*1.4*1.4,8430000000*(1.651435^(MIN($E212,123)-117)))*1,0))</f>
        <v>62700862258</v>
      </c>
      <c r="AC212" s="4">
        <f t="shared" si="129"/>
        <v>142</v>
      </c>
      <c r="AD212" s="8">
        <f>IF($J212=0,0,ROUND(MAX($J212*1.4*1.5*1.6*1.6*2.2*2.715*2.6*1.4*1.4*1.5,12600000000*(1.652953^(MIN($E212,123)-117)))*1,0))</f>
        <v>94061644049</v>
      </c>
      <c r="AE212" s="6">
        <f t="shared" si="130"/>
        <v>145</v>
      </c>
      <c r="AF212" s="7">
        <f>IF($J212=0,0,ROUND(MAX($J212*1.4*1.5*1.6*1.6*2.2*2.715*2.6*1.4*1.4*1.5*1.5,18900000000*(1.65331^(MIN($E212,123)-117)))*1,0))</f>
        <v>141214396536</v>
      </c>
      <c r="AG212" s="4">
        <f t="shared" si="131"/>
        <v>148</v>
      </c>
      <c r="AH212" s="8">
        <f>IF($J212=0,0,ROUND(MAX($J212*1.4*1.5*1.6*1.6*2.2*2.715*2.6*1.4*1.4*1.5*1.5*3.2,60500000000*(1.654288^(MIN($E212,123)-117)))*1,0))</f>
        <v>453106040991</v>
      </c>
    </row>
    <row r="213" spans="1:34" x14ac:dyDescent="0.25">
      <c r="A213" s="3">
        <v>210</v>
      </c>
      <c r="B213" s="3" t="s">
        <v>344</v>
      </c>
      <c r="C213" s="3" t="s">
        <v>228</v>
      </c>
      <c r="D213" s="3" t="s">
        <v>47</v>
      </c>
      <c r="E213" s="3">
        <v>121</v>
      </c>
      <c r="F213" s="3" t="s">
        <v>345</v>
      </c>
      <c r="G213" s="3" t="s">
        <v>346</v>
      </c>
      <c r="H213" s="3">
        <v>27</v>
      </c>
      <c r="I213" s="4">
        <v>121</v>
      </c>
      <c r="J213" s="5">
        <v>2360000</v>
      </c>
      <c r="K213" s="6">
        <f t="shared" si="120"/>
        <v>122</v>
      </c>
      <c r="L213" s="7">
        <f>IF($J213=0,0,ROUND(MAX($J213*1.4,1620000*(1.497923^(MIN($E213,123)-117)))*0.8,0))</f>
        <v>6524736</v>
      </c>
      <c r="M213" s="4">
        <f t="shared" si="121"/>
        <v>123</v>
      </c>
      <c r="N213" s="8">
        <f>IF($J213=0,0,ROUND(MAX($J213*1.4*1.5,2190000*(1.580994^(MIN($E213,123)-117)))*0.8,0))</f>
        <v>10945989</v>
      </c>
      <c r="O213" s="6">
        <f t="shared" si="122"/>
        <v>125</v>
      </c>
      <c r="P213" s="7">
        <f>IF($J213=0,0,ROUND(MAX($J213*1.4*1.5*1.6,3500000*(1.57975^(MIN($E213,123)-117)))*0.8,0))</f>
        <v>17438595</v>
      </c>
      <c r="Q213" s="4">
        <f t="shared" si="123"/>
        <v>127</v>
      </c>
      <c r="R213" s="8">
        <f>IF($J213=0,0,ROUND(MAX($J213*1.4*1.5*1.6*1.6,13100000*(1.429962^(MIN($E213,123)-117)))*0.651041666666667,0))</f>
        <v>35659731</v>
      </c>
      <c r="S213" s="6">
        <f t="shared" si="124"/>
        <v>129</v>
      </c>
      <c r="T213" s="7">
        <f>IF($J213=0,0,ROUND(MAX($J213*1.4*1.5*1.6*1.6*2.2,42600000*(1.576904^(MIN($E213,123)-117)))*0.617361111111111,0))</f>
        <v>162618476</v>
      </c>
      <c r="U213" s="4">
        <f t="shared" si="125"/>
        <v>132</v>
      </c>
      <c r="V213" s="8">
        <f>IF($J213=0,0,ROUND(MAX($J213*1.4*1.5*1.6*1.6*2.2*2.715,354000000*(1.642074^(MIN($E213,123)-117)))*0.583680555555556,0))</f>
        <v>1502274815</v>
      </c>
      <c r="W213" s="6">
        <f t="shared" si="126"/>
        <v>136</v>
      </c>
      <c r="X213" s="7">
        <f>IF($J213=0,0,ROUND(MAX($J213*1.4*1.5*1.6*1.6*2.2*2.715*2.6,3540000000*(1.579646^(MIN($E213,123)-117)))*0.55,0))</f>
        <v>12122858608</v>
      </c>
      <c r="Y213" s="4">
        <f t="shared" si="127"/>
        <v>138</v>
      </c>
      <c r="Z213" s="8">
        <f>IF($J213=0,0,ROUND(MAX($J213*1.4*1.5*1.6*1.6*2.2*2.715*2.6*1.4,6020000000*(1.651178^(MIN($E213,123)-117)))*0.55,0))</f>
        <v>24611311365</v>
      </c>
      <c r="AA213" s="6">
        <f t="shared" si="128"/>
        <v>140</v>
      </c>
      <c r="AB213" s="7">
        <f>IF($J213=0,0,ROUND(MAX($J213*1.4*1.5*1.6*1.6*2.2*2.715*2.6*1.4*1.4,8430000000*(1.651435^(MIN($E213,123)-117)))*0.55,0))</f>
        <v>34485474242</v>
      </c>
      <c r="AC213" s="4">
        <f t="shared" si="129"/>
        <v>142</v>
      </c>
      <c r="AD213" s="8">
        <f>IF($J213=0,0,ROUND(MAX($J213*1.4*1.5*1.6*1.6*2.2*2.715*2.6*1.4*1.4*1.5,12600000000*(1.652953^(MIN($E213,123)-117)))*0.55,0))</f>
        <v>51733904227</v>
      </c>
      <c r="AE213" s="6">
        <f t="shared" si="130"/>
        <v>145</v>
      </c>
      <c r="AF213" s="7">
        <f>IF($J213=0,0,ROUND(MAX($J213*1.4*1.5*1.6*1.6*2.2*2.715*2.6*1.4*1.4*1.5*1.5,18900000000*(1.65331^(MIN($E213,123)-117)))*0.55,0))</f>
        <v>77667918095</v>
      </c>
      <c r="AG213" s="4">
        <f t="shared" si="131"/>
        <v>148</v>
      </c>
      <c r="AH213" s="8">
        <f>IF($J213=0,0,ROUND(MAX($J213*1.4*1.5*1.6*1.6*2.2*2.715*2.6*1.4*1.4*1.5*1.5*3.2,60500000000*(1.654288^(MIN($E213,123)-117)))*0.55,0))</f>
        <v>249208322545</v>
      </c>
    </row>
    <row r="214" spans="1:34" x14ac:dyDescent="0.25">
      <c r="A214" s="3">
        <v>188</v>
      </c>
      <c r="B214" s="3" t="s">
        <v>347</v>
      </c>
      <c r="C214" s="3" t="s">
        <v>228</v>
      </c>
      <c r="D214" s="3" t="s">
        <v>29</v>
      </c>
      <c r="E214" s="3">
        <v>121</v>
      </c>
      <c r="F214" s="3" t="s">
        <v>123</v>
      </c>
      <c r="G214" s="3" t="s">
        <v>342</v>
      </c>
      <c r="H214" s="3">
        <v>32</v>
      </c>
      <c r="I214" s="4">
        <v>121</v>
      </c>
      <c r="J214" s="5">
        <v>2750000</v>
      </c>
      <c r="K214" s="6">
        <f t="shared" si="120"/>
        <v>122</v>
      </c>
      <c r="L214" s="7">
        <f>IF($J214=0,0,ROUND(MAX($J214*1.4*1,4020000*(1.354082^(MIN($E214,123)-118))),0))</f>
        <v>9980699</v>
      </c>
      <c r="M214" s="4">
        <f t="shared" si="121"/>
        <v>123</v>
      </c>
      <c r="N214" s="8">
        <f>IF($J214=0,0,ROUND(MAX($J214*1.4*1.5*1,6950000*(1.375334^(MIN($E214,123)-118))),0))</f>
        <v>18080454</v>
      </c>
      <c r="O214" s="6">
        <f t="shared" si="122"/>
        <v>125</v>
      </c>
      <c r="P214" s="7">
        <f>IF($J214=0,0,ROUND(MAX($J214*1.4*1.5*1.6*1,23900000*(1.1788^(MIN($E214,123)-118))),0))</f>
        <v>39148784</v>
      </c>
      <c r="Q214" s="4">
        <f t="shared" si="123"/>
        <v>127</v>
      </c>
      <c r="R214" s="8">
        <f>IF($J214=0,0,ROUND(MAX($J214*1.4*1.5*1.6*1.6*1.25,77000000*(1.127009^(MIN($E214,123)-118))),0))</f>
        <v>110223165</v>
      </c>
      <c r="S214" s="6">
        <f t="shared" si="124"/>
        <v>129</v>
      </c>
      <c r="T214" s="7">
        <f>IF($J214=0,0,ROUND(MAX($J214*1.4*1.5*1.6*1.6*2.2*1.25,270000000*(1.248411^(MIN($E214,123)-118))),0))</f>
        <v>525335227</v>
      </c>
      <c r="U214" s="4">
        <f t="shared" si="125"/>
        <v>132</v>
      </c>
      <c r="V214" s="8">
        <f>IF($J214=0,0,ROUND(MAX($J214*1.4*1.5*1.6*1.6*2.2*2.715*1.25,2400000000*(1.293039^(MIN($E214,123)-118))),0))</f>
        <v>5188551286</v>
      </c>
      <c r="W214" s="6">
        <f t="shared" si="126"/>
        <v>136</v>
      </c>
      <c r="X214" s="7">
        <f>IF($J214=0,0,ROUND(MAX($J214*1.4*1.5*1.6*1.6*2.2*2.715*2.6*1.25,20000000000*(1.280114^(MIN($E214,123)-118))),0))</f>
        <v>41954247654</v>
      </c>
      <c r="Y214" s="4">
        <f t="shared" si="127"/>
        <v>138</v>
      </c>
      <c r="Z214" s="8">
        <f>IF($J214=0,0,ROUND(MAX($J214*1.4*1.5*1.6*1.6*2.2*2.715*2.6*1.4*1.25,39200000000*(1.31219^(MIN($E214,123)-118))),0))</f>
        <v>88567877738</v>
      </c>
      <c r="AA214" s="6">
        <f t="shared" si="128"/>
        <v>140</v>
      </c>
      <c r="AB214" s="7">
        <f>IF($J214=0,0,ROUND(MAX($J214*1.4*1.5*1.6*1.6*2.2*2.715*2.6*1.4*1.4*1.25,54900000000*(1.312402^(MIN($E214,123)-118))),0))</f>
        <v>124100346785</v>
      </c>
      <c r="AC214" s="4">
        <f t="shared" si="129"/>
        <v>142</v>
      </c>
      <c r="AD214" s="8">
        <f>IF($J214=0,0,ROUND(MAX($J214*1.4*1.5*1.6*1.6*2.2*2.715*2.6*1.4*1.4*1.5*1.25,82400000000*(1.312754^(MIN($E214,123)-118))),0))</f>
        <v>186413457890</v>
      </c>
      <c r="AE214" s="6">
        <f t="shared" si="130"/>
        <v>145</v>
      </c>
      <c r="AF214" s="7">
        <f>IF($J214=0,0,ROUND(MAX($J214*1.4*1.5*1.6*1.6*2.2*2.715*2.6*1.4*1.4*1.5*1.5*1.25,124000000000*(1.312246^(MIN($E214,123)-118))),0))</f>
        <v>280199565842</v>
      </c>
      <c r="AG214" s="4">
        <f t="shared" si="131"/>
        <v>148</v>
      </c>
      <c r="AH214" s="8">
        <f>IF($J214=0,0,ROUND(MAX($J214*1.4*1.5*1.6*1.6*2.2*2.715*2.6*1.4*1.4*1.5*1.5*3.2*1.25,397000000000*(1.313132^(MIN($E214,123)-118))),0))</f>
        <v>898908860772</v>
      </c>
    </row>
    <row r="215" spans="1:34" x14ac:dyDescent="0.25">
      <c r="A215" s="3">
        <v>204</v>
      </c>
      <c r="B215" s="3" t="s">
        <v>348</v>
      </c>
      <c r="C215" s="3" t="s">
        <v>228</v>
      </c>
      <c r="D215" s="3" t="s">
        <v>64</v>
      </c>
      <c r="E215" s="3">
        <v>121</v>
      </c>
      <c r="F215" s="3" t="s">
        <v>132</v>
      </c>
      <c r="G215" s="3" t="s">
        <v>349</v>
      </c>
      <c r="H215" s="3">
        <v>30</v>
      </c>
      <c r="I215" s="4">
        <v>121</v>
      </c>
      <c r="J215" s="5">
        <v>2780000</v>
      </c>
      <c r="K215" s="6">
        <f t="shared" si="120"/>
        <v>122</v>
      </c>
      <c r="L215" s="7">
        <f>IF($J215=0,0,ROUND(MAX($J215*1.4,1620000*(1.497923^(MIN($E215,123)-117)))*1,0))</f>
        <v>8155920</v>
      </c>
      <c r="M215" s="4">
        <f t="shared" si="121"/>
        <v>123</v>
      </c>
      <c r="N215" s="8">
        <f>IF($J215=0,0,ROUND(MAX($J215*1.4*1.5,2190000*(1.580994^(MIN($E215,123)-117)))*1,0))</f>
        <v>13682486</v>
      </c>
      <c r="O215" s="6">
        <f t="shared" si="122"/>
        <v>125</v>
      </c>
      <c r="P215" s="7">
        <f>IF($J215=0,0,ROUND(MAX($J215*1.4*1.5*1.6,3500000*(1.57975^(MIN($E215,123)-117)))*1,0))</f>
        <v>21798244</v>
      </c>
      <c r="Q215" s="4">
        <f t="shared" si="123"/>
        <v>127</v>
      </c>
      <c r="R215" s="8">
        <f>IF($J215=0,0,ROUND(MAX($J215*1.4*1.5*1.6*1.6,13100000*(1.429962^(MIN($E215,123)-117)))*1,0))</f>
        <v>54773347</v>
      </c>
      <c r="S215" s="6">
        <f t="shared" si="124"/>
        <v>129</v>
      </c>
      <c r="T215" s="7">
        <f>IF($J215=0,0,ROUND(MAX($J215*1.4*1.5*1.6*1.6*2.2,42600000*(1.576904^(MIN($E215,123)-117)))*1,0))</f>
        <v>263409005</v>
      </c>
      <c r="U215" s="4">
        <f t="shared" si="125"/>
        <v>132</v>
      </c>
      <c r="V215" s="8">
        <f>IF($J215=0,0,ROUND(MAX($J215*1.4*1.5*1.6*1.6*2.2*2.715,354000000*(1.642074^(MIN($E215,123)-117)))*1,0))</f>
        <v>2573796232</v>
      </c>
      <c r="W215" s="6">
        <f t="shared" si="126"/>
        <v>136</v>
      </c>
      <c r="X215" s="7">
        <f>IF($J215=0,0,ROUND(MAX($J215*1.4*1.5*1.6*1.6*2.2*2.715*2.6,3540000000*(1.579646^(MIN($E215,123)-117)))*1,0))</f>
        <v>22041561106</v>
      </c>
      <c r="Y215" s="4">
        <f t="shared" si="127"/>
        <v>138</v>
      </c>
      <c r="Z215" s="8">
        <f>IF($J215=0,0,ROUND(MAX($J215*1.4*1.5*1.6*1.6*2.2*2.715*2.6*1.4,6020000000*(1.651178^(MIN($E215,123)-117)))*1,0))</f>
        <v>44747838846</v>
      </c>
      <c r="AA215" s="6">
        <f t="shared" si="128"/>
        <v>140</v>
      </c>
      <c r="AB215" s="7">
        <f>IF($J215=0,0,ROUND(MAX($J215*1.4*1.5*1.6*1.6*2.2*2.715*2.6*1.4*1.4,8430000000*(1.651435^(MIN($E215,123)-117)))*1,0))</f>
        <v>62700862258</v>
      </c>
      <c r="AC215" s="4">
        <f t="shared" si="129"/>
        <v>142</v>
      </c>
      <c r="AD215" s="8">
        <f>IF($J215=0,0,ROUND(MAX($J215*1.4*1.5*1.6*1.6*2.2*2.715*2.6*1.4*1.4*1.5,12600000000*(1.652953^(MIN($E215,123)-117)))*1,0))</f>
        <v>94061644049</v>
      </c>
      <c r="AE215" s="6">
        <f t="shared" si="130"/>
        <v>145</v>
      </c>
      <c r="AF215" s="7">
        <f>IF($J215=0,0,ROUND(MAX($J215*1.4*1.5*1.6*1.6*2.2*2.715*2.6*1.4*1.4*1.5*1.5,18900000000*(1.65331^(MIN($E215,123)-117)))*1,0))</f>
        <v>141214396536</v>
      </c>
      <c r="AG215" s="4">
        <f t="shared" si="131"/>
        <v>148</v>
      </c>
      <c r="AH215" s="8">
        <f>IF($J215=0,0,ROUND(MAX($J215*1.4*1.5*1.6*1.6*2.2*2.715*2.6*1.4*1.4*1.5*1.5*3.2,60500000000*(1.654288^(MIN($E215,123)-117)))*1,0))</f>
        <v>453106040991</v>
      </c>
    </row>
    <row r="216" spans="1:34" x14ac:dyDescent="0.25">
      <c r="A216" s="3">
        <v>187</v>
      </c>
      <c r="B216" s="3" t="s">
        <v>350</v>
      </c>
      <c r="C216" s="3" t="s">
        <v>228</v>
      </c>
      <c r="D216" s="3" t="s">
        <v>40</v>
      </c>
      <c r="E216" s="3">
        <v>121</v>
      </c>
      <c r="F216" s="3" t="s">
        <v>56</v>
      </c>
      <c r="G216" s="3" t="s">
        <v>351</v>
      </c>
      <c r="H216" s="3">
        <v>32</v>
      </c>
      <c r="I216" s="4">
        <v>121</v>
      </c>
      <c r="J216" s="5">
        <v>2390000</v>
      </c>
      <c r="K216" s="6">
        <f t="shared" si="120"/>
        <v>122</v>
      </c>
      <c r="L216" s="7">
        <f>IF($J216=0,0,ROUND(MAX($J216*1.4,1620000*(1.497923^(MIN($E216,123)-117)))*1,0))</f>
        <v>8155920</v>
      </c>
      <c r="M216" s="4">
        <f t="shared" si="121"/>
        <v>123</v>
      </c>
      <c r="N216" s="8">
        <f>IF($J216=0,0,ROUND(MAX($J216*1.4*1.5,2190000*(1.580994^(MIN($E216,123)-117)))*1,0))</f>
        <v>13682486</v>
      </c>
      <c r="O216" s="6">
        <f t="shared" si="122"/>
        <v>125</v>
      </c>
      <c r="P216" s="7">
        <f>IF($J216=0,0,ROUND(MAX($J216*1.4*1.5*1.6,3500000*(1.57975^(MIN($E216,123)-117)))*1,0))</f>
        <v>21798244</v>
      </c>
      <c r="Q216" s="4">
        <f t="shared" si="123"/>
        <v>127</v>
      </c>
      <c r="R216" s="8">
        <f>IF($J216=0,0,ROUND(MAX($J216*1.4*1.5*1.6*1.6,13100000*(1.429962^(MIN($E216,123)-117)))*1,0))</f>
        <v>54773347</v>
      </c>
      <c r="S216" s="6">
        <f t="shared" si="124"/>
        <v>129</v>
      </c>
      <c r="T216" s="7">
        <f>IF($J216=0,0,ROUND(MAX($J216*1.4*1.5*1.6*1.6*2.2,42600000*(1.576904^(MIN($E216,123)-117)))*1,0))</f>
        <v>263409005</v>
      </c>
      <c r="U216" s="4">
        <f t="shared" si="125"/>
        <v>132</v>
      </c>
      <c r="V216" s="8">
        <f>IF($J216=0,0,ROUND(MAX($J216*1.4*1.5*1.6*1.6*2.2*2.715,354000000*(1.642074^(MIN($E216,123)-117)))*1,0))</f>
        <v>2573796232</v>
      </c>
      <c r="W216" s="6">
        <f t="shared" si="126"/>
        <v>136</v>
      </c>
      <c r="X216" s="7">
        <f>IF($J216=0,0,ROUND(MAX($J216*1.4*1.5*1.6*1.6*2.2*2.715*2.6,3540000000*(1.579646^(MIN($E216,123)-117)))*1,0))</f>
        <v>22041561106</v>
      </c>
      <c r="Y216" s="4">
        <f t="shared" si="127"/>
        <v>138</v>
      </c>
      <c r="Z216" s="8">
        <f>IF($J216=0,0,ROUND(MAX($J216*1.4*1.5*1.6*1.6*2.2*2.715*2.6*1.4,6020000000*(1.651178^(MIN($E216,123)-117)))*1,0))</f>
        <v>44747838846</v>
      </c>
      <c r="AA216" s="6">
        <f t="shared" si="128"/>
        <v>140</v>
      </c>
      <c r="AB216" s="7">
        <f>IF($J216=0,0,ROUND(MAX($J216*1.4*1.5*1.6*1.6*2.2*2.715*2.6*1.4*1.4,8430000000*(1.651435^(MIN($E216,123)-117)))*1,0))</f>
        <v>62700862258</v>
      </c>
      <c r="AC216" s="4">
        <f t="shared" si="129"/>
        <v>142</v>
      </c>
      <c r="AD216" s="8">
        <f>IF($J216=0,0,ROUND(MAX($J216*1.4*1.5*1.6*1.6*2.2*2.715*2.6*1.4*1.4*1.5,12600000000*(1.652953^(MIN($E216,123)-117)))*1,0))</f>
        <v>94061644049</v>
      </c>
      <c r="AE216" s="6">
        <f t="shared" si="130"/>
        <v>145</v>
      </c>
      <c r="AF216" s="7">
        <f>IF($J216=0,0,ROUND(MAX($J216*1.4*1.5*1.6*1.6*2.2*2.715*2.6*1.4*1.4*1.5*1.5,18900000000*(1.65331^(MIN($E216,123)-117)))*1,0))</f>
        <v>141214396536</v>
      </c>
      <c r="AG216" s="4">
        <f t="shared" si="131"/>
        <v>148</v>
      </c>
      <c r="AH216" s="8">
        <f>IF($J216=0,0,ROUND(MAX($J216*1.4*1.5*1.6*1.6*2.2*2.715*2.6*1.4*1.4*1.5*1.5*3.2,60500000000*(1.654288^(MIN($E216,123)-117)))*1,0))</f>
        <v>453106040991</v>
      </c>
    </row>
    <row r="217" spans="1:34" x14ac:dyDescent="0.25">
      <c r="A217" s="3">
        <v>195</v>
      </c>
      <c r="B217" s="3" t="s">
        <v>352</v>
      </c>
      <c r="C217" s="3" t="s">
        <v>228</v>
      </c>
      <c r="D217" s="3" t="s">
        <v>33</v>
      </c>
      <c r="E217" s="3">
        <v>121</v>
      </c>
      <c r="F217" s="3" t="s">
        <v>353</v>
      </c>
      <c r="G217" s="3" t="s">
        <v>354</v>
      </c>
      <c r="H217" s="3">
        <v>31</v>
      </c>
      <c r="I217" s="4">
        <v>121</v>
      </c>
      <c r="J217" s="5">
        <v>2750000</v>
      </c>
      <c r="K217" s="6">
        <f t="shared" si="120"/>
        <v>122</v>
      </c>
      <c r="L217" s="7">
        <f>IF($J217=0,0,ROUND(MAX($J217*1.4,1620000*(1.497923^(MIN($E217,123)-117)))*1,0))</f>
        <v>8155920</v>
      </c>
      <c r="M217" s="4">
        <f t="shared" si="121"/>
        <v>123</v>
      </c>
      <c r="N217" s="8">
        <f>IF($J217=0,0,ROUND(MAX($J217*1.4*1.5,2190000*(1.580994^(MIN($E217,123)-117)))*1,0))</f>
        <v>13682486</v>
      </c>
      <c r="O217" s="6">
        <f t="shared" si="122"/>
        <v>125</v>
      </c>
      <c r="P217" s="7">
        <f>IF($J217=0,0,ROUND(MAX($J217*1.4*1.5*1.6,3500000*(1.57975^(MIN($E217,123)-117)))*1,0))</f>
        <v>21798244</v>
      </c>
      <c r="Q217" s="4">
        <f t="shared" si="123"/>
        <v>127</v>
      </c>
      <c r="R217" s="8">
        <f>IF($J217=0,0,ROUND(MAX($J217*1.4*1.5*1.6*1.6,13100000*(1.429962^(MIN($E217,123)-117)))*1,0))</f>
        <v>54773347</v>
      </c>
      <c r="S217" s="6">
        <f t="shared" si="124"/>
        <v>129</v>
      </c>
      <c r="T217" s="7">
        <f>IF($J217=0,0,ROUND(MAX($J217*1.4*1.5*1.6*1.6*2.2,42600000*(1.576904^(MIN($E217,123)-117)))*1,0))</f>
        <v>263409005</v>
      </c>
      <c r="U217" s="4">
        <f t="shared" si="125"/>
        <v>132</v>
      </c>
      <c r="V217" s="8">
        <f>IF($J217=0,0,ROUND(MAX($J217*1.4*1.5*1.6*1.6*2.2*2.715,354000000*(1.642074^(MIN($E217,123)-117)))*1,0))</f>
        <v>2573796232</v>
      </c>
      <c r="W217" s="6">
        <f t="shared" si="126"/>
        <v>136</v>
      </c>
      <c r="X217" s="7">
        <f>IF($J217=0,0,ROUND(MAX($J217*1.4*1.5*1.6*1.6*2.2*2.715*2.6,3540000000*(1.579646^(MIN($E217,123)-117)))*1,0))</f>
        <v>22041561106</v>
      </c>
      <c r="Y217" s="4">
        <f t="shared" si="127"/>
        <v>138</v>
      </c>
      <c r="Z217" s="8">
        <f>IF($J217=0,0,ROUND(MAX($J217*1.4*1.5*1.6*1.6*2.2*2.715*2.6*1.4,6020000000*(1.651178^(MIN($E217,123)-117)))*1,0))</f>
        <v>44747838846</v>
      </c>
      <c r="AA217" s="6">
        <f t="shared" si="128"/>
        <v>140</v>
      </c>
      <c r="AB217" s="7">
        <f>IF($J217=0,0,ROUND(MAX($J217*1.4*1.5*1.6*1.6*2.2*2.715*2.6*1.4*1.4,8430000000*(1.651435^(MIN($E217,123)-117)))*1,0))</f>
        <v>62700862258</v>
      </c>
      <c r="AC217" s="4">
        <f t="shared" si="129"/>
        <v>142</v>
      </c>
      <c r="AD217" s="8">
        <f>IF($J217=0,0,ROUND(MAX($J217*1.4*1.5*1.6*1.6*2.2*2.715*2.6*1.4*1.4*1.5,12600000000*(1.652953^(MIN($E217,123)-117)))*1,0))</f>
        <v>94061644049</v>
      </c>
      <c r="AE217" s="6">
        <f t="shared" si="130"/>
        <v>145</v>
      </c>
      <c r="AF217" s="7">
        <f>IF($J217=0,0,ROUND(MAX($J217*1.4*1.5*1.6*1.6*2.2*2.715*2.6*1.4*1.4*1.5*1.5,18900000000*(1.65331^(MIN($E217,123)-117)))*1,0))</f>
        <v>141214396536</v>
      </c>
      <c r="AG217" s="4">
        <f t="shared" si="131"/>
        <v>148</v>
      </c>
      <c r="AH217" s="8">
        <f>IF($J217=0,0,ROUND(MAX($J217*1.4*1.5*1.6*1.6*2.2*2.715*2.6*1.4*1.4*1.5*1.5*3.2,60500000000*(1.654288^(MIN($E217,123)-117)))*1,0))</f>
        <v>453106040991</v>
      </c>
    </row>
    <row r="218" spans="1:34" x14ac:dyDescent="0.25">
      <c r="A218" s="3">
        <v>278</v>
      </c>
      <c r="B218" s="3" t="s">
        <v>355</v>
      </c>
      <c r="C218" s="3" t="s">
        <v>228</v>
      </c>
      <c r="D218" s="3" t="s">
        <v>40</v>
      </c>
      <c r="E218" s="3">
        <v>121</v>
      </c>
      <c r="F218" s="3" t="s">
        <v>26</v>
      </c>
      <c r="G218" s="3" t="s">
        <v>356</v>
      </c>
      <c r="H218" s="3">
        <v>30</v>
      </c>
      <c r="I218" s="4">
        <v>121</v>
      </c>
      <c r="J218" s="5">
        <v>2990000</v>
      </c>
      <c r="K218" s="6">
        <f t="shared" si="120"/>
        <v>122</v>
      </c>
      <c r="L218" s="7">
        <f>IF($J218=0,0,ROUND(MAX($J218*1.4,1620000*(1.497923^(MIN($E218,123)-117)))*0.8,0))</f>
        <v>6524736</v>
      </c>
      <c r="M218" s="4">
        <f t="shared" si="121"/>
        <v>123</v>
      </c>
      <c r="N218" s="8">
        <f>IF($J218=0,0,ROUND(MAX($J218*1.4*1.5,2190000*(1.580994^(MIN($E218,123)-117)))*0.8,0))</f>
        <v>10945989</v>
      </c>
      <c r="O218" s="6">
        <f t="shared" si="122"/>
        <v>125</v>
      </c>
      <c r="P218" s="7">
        <f>IF($J218=0,0,ROUND(MAX($J218*1.4*1.5*1.6,3500000*(1.57975^(MIN($E218,123)-117)))*0.8,0))</f>
        <v>17438595</v>
      </c>
      <c r="Q218" s="4">
        <f t="shared" si="123"/>
        <v>127</v>
      </c>
      <c r="R218" s="8">
        <f>IF($J218=0,0,ROUND(MAX($J218*1.4*1.5*1.6*1.6,13100000*(1.429962^(MIN($E218,123)-117)))*0.651041666666667,0))</f>
        <v>35659731</v>
      </c>
      <c r="S218" s="6">
        <f t="shared" si="124"/>
        <v>129</v>
      </c>
      <c r="T218" s="7">
        <f>IF($J218=0,0,ROUND(MAX($J218*1.4*1.5*1.6*1.6*2.2,42600000*(1.576904^(MIN($E218,123)-117)))*0.617361111111111,0))</f>
        <v>162618476</v>
      </c>
      <c r="U218" s="4">
        <f t="shared" si="125"/>
        <v>132</v>
      </c>
      <c r="V218" s="8">
        <f>IF($J218=0,0,ROUND(MAX($J218*1.4*1.5*1.6*1.6*2.2*2.715,354000000*(1.642074^(MIN($E218,123)-117)))*0.583680555555556,0))</f>
        <v>1502274815</v>
      </c>
      <c r="W218" s="6">
        <f t="shared" si="126"/>
        <v>136</v>
      </c>
      <c r="X218" s="7">
        <f>IF($J218=0,0,ROUND(MAX($J218*1.4*1.5*1.6*1.6*2.2*2.715*2.6,3540000000*(1.579646^(MIN($E218,123)-117)))*0.55,0))</f>
        <v>12122858608</v>
      </c>
      <c r="Y218" s="4">
        <f t="shared" si="127"/>
        <v>138</v>
      </c>
      <c r="Z218" s="8">
        <f>IF($J218=0,0,ROUND(MAX($J218*1.4*1.5*1.6*1.6*2.2*2.715*2.6*1.4,6020000000*(1.651178^(MIN($E218,123)-117)))*0.55,0))</f>
        <v>24611311365</v>
      </c>
      <c r="AA218" s="6">
        <f t="shared" si="128"/>
        <v>140</v>
      </c>
      <c r="AB218" s="7">
        <f>IF($J218=0,0,ROUND(MAX($J218*1.4*1.5*1.6*1.6*2.2*2.715*2.6*1.4*1.4,8430000000*(1.651435^(MIN($E218,123)-117)))*0.55,0))</f>
        <v>34485474242</v>
      </c>
      <c r="AC218" s="4">
        <f t="shared" si="129"/>
        <v>142</v>
      </c>
      <c r="AD218" s="8">
        <f>IF($J218=0,0,ROUND(MAX($J218*1.4*1.5*1.6*1.6*2.2*2.715*2.6*1.4*1.4*1.5,12600000000*(1.652953^(MIN($E218,123)-117)))*0.55,0))</f>
        <v>51733904227</v>
      </c>
      <c r="AE218" s="6">
        <f t="shared" si="130"/>
        <v>145</v>
      </c>
      <c r="AF218" s="7">
        <f>IF($J218=0,0,ROUND(MAX($J218*1.4*1.5*1.6*1.6*2.2*2.715*2.6*1.4*1.4*1.5*1.5,18900000000*(1.65331^(MIN($E218,123)-117)))*0.55,0))</f>
        <v>77667918095</v>
      </c>
      <c r="AG218" s="4">
        <f t="shared" si="131"/>
        <v>148</v>
      </c>
      <c r="AH218" s="8">
        <f>IF($J218=0,0,ROUND(MAX($J218*1.4*1.5*1.6*1.6*2.2*2.715*2.6*1.4*1.4*1.5*1.5*3.2,60500000000*(1.654288^(MIN($E218,123)-117)))*0.55,0))</f>
        <v>249208322545</v>
      </c>
    </row>
    <row r="219" spans="1:34" x14ac:dyDescent="0.25">
      <c r="A219" s="3">
        <v>191</v>
      </c>
      <c r="B219" s="3" t="s">
        <v>357</v>
      </c>
      <c r="C219" s="3" t="s">
        <v>228</v>
      </c>
      <c r="D219" s="3" t="s">
        <v>40</v>
      </c>
      <c r="E219" s="3">
        <v>121</v>
      </c>
      <c r="F219" s="3" t="s">
        <v>108</v>
      </c>
      <c r="G219" s="3" t="s">
        <v>358</v>
      </c>
      <c r="H219" s="3">
        <v>31</v>
      </c>
      <c r="I219" s="4">
        <v>121</v>
      </c>
      <c r="J219" s="5">
        <v>2380000</v>
      </c>
      <c r="K219" s="6">
        <f t="shared" si="120"/>
        <v>122</v>
      </c>
      <c r="L219" s="7">
        <f>IF($J219=0,0,ROUND(MAX($J219*1.4,1620000*(1.497923^(MIN($E219,123)-117)))*0.8,0))</f>
        <v>6524736</v>
      </c>
      <c r="M219" s="4">
        <f t="shared" si="121"/>
        <v>123</v>
      </c>
      <c r="N219" s="8">
        <f>IF($J219=0,0,ROUND(MAX($J219*1.4*1.5,2190000*(1.580994^(MIN($E219,123)-117)))*0.8,0))</f>
        <v>10945989</v>
      </c>
      <c r="O219" s="6">
        <f t="shared" si="122"/>
        <v>125</v>
      </c>
      <c r="P219" s="7">
        <f>IF($J219=0,0,ROUND(MAX($J219*1.4*1.5*1.6,3500000*(1.57975^(MIN($E219,123)-117)))*0.8,0))</f>
        <v>17438595</v>
      </c>
      <c r="Q219" s="4">
        <f t="shared" si="123"/>
        <v>127</v>
      </c>
      <c r="R219" s="8">
        <f>IF($J219=0,0,ROUND(MAX($J219*1.4*1.5*1.6*1.6,13100000*(1.429962^(MIN($E219,123)-117)))*0.651041666666667,0))</f>
        <v>35659731</v>
      </c>
      <c r="S219" s="6">
        <f t="shared" si="124"/>
        <v>129</v>
      </c>
      <c r="T219" s="7">
        <f>IF($J219=0,0,ROUND(MAX($J219*1.4*1.5*1.6*1.6*2.2,42600000*(1.576904^(MIN($E219,123)-117)))*0.617361111111111,0))</f>
        <v>162618476</v>
      </c>
      <c r="U219" s="4">
        <f t="shared" si="125"/>
        <v>132</v>
      </c>
      <c r="V219" s="8">
        <f>IF($J219=0,0,ROUND(MAX($J219*1.4*1.5*1.6*1.6*2.2*2.715,354000000*(1.642074^(MIN($E219,123)-117)))*0.583680555555556,0))</f>
        <v>1502274815</v>
      </c>
      <c r="W219" s="6">
        <f t="shared" si="126"/>
        <v>136</v>
      </c>
      <c r="X219" s="7">
        <f>IF($J219=0,0,ROUND(MAX($J219*1.4*1.5*1.6*1.6*2.2*2.715*2.6,3540000000*(1.579646^(MIN($E219,123)-117)))*0.55,0))</f>
        <v>12122858608</v>
      </c>
      <c r="Y219" s="4">
        <f t="shared" si="127"/>
        <v>138</v>
      </c>
      <c r="Z219" s="8">
        <f>IF($J219=0,0,ROUND(MAX($J219*1.4*1.5*1.6*1.6*2.2*2.715*2.6*1.4,6020000000*(1.651178^(MIN($E219,123)-117)))*0.55,0))</f>
        <v>24611311365</v>
      </c>
      <c r="AA219" s="6">
        <f t="shared" si="128"/>
        <v>140</v>
      </c>
      <c r="AB219" s="7">
        <f>IF($J219=0,0,ROUND(MAX($J219*1.4*1.5*1.6*1.6*2.2*2.715*2.6*1.4*1.4,8430000000*(1.651435^(MIN($E219,123)-117)))*0.55,0))</f>
        <v>34485474242</v>
      </c>
      <c r="AC219" s="4">
        <f t="shared" si="129"/>
        <v>142</v>
      </c>
      <c r="AD219" s="8">
        <f>IF($J219=0,0,ROUND(MAX($J219*1.4*1.5*1.6*1.6*2.2*2.715*2.6*1.4*1.4*1.5,12600000000*(1.652953^(MIN($E219,123)-117)))*0.55,0))</f>
        <v>51733904227</v>
      </c>
      <c r="AE219" s="6">
        <f t="shared" si="130"/>
        <v>145</v>
      </c>
      <c r="AF219" s="7">
        <f>IF($J219=0,0,ROUND(MAX($J219*1.4*1.5*1.6*1.6*2.2*2.715*2.6*1.4*1.4*1.5*1.5,18900000000*(1.65331^(MIN($E219,123)-117)))*0.55,0))</f>
        <v>77667918095</v>
      </c>
      <c r="AG219" s="4">
        <f t="shared" si="131"/>
        <v>148</v>
      </c>
      <c r="AH219" s="8">
        <f>IF($J219=0,0,ROUND(MAX($J219*1.4*1.5*1.6*1.6*2.2*2.715*2.6*1.4*1.4*1.5*1.5*3.2,60500000000*(1.654288^(MIN($E219,123)-117)))*0.55,0))</f>
        <v>249208322545</v>
      </c>
    </row>
    <row r="220" spans="1:34" x14ac:dyDescent="0.25">
      <c r="A220" s="3">
        <v>200</v>
      </c>
      <c r="B220" s="3" t="s">
        <v>359</v>
      </c>
      <c r="C220" s="3" t="s">
        <v>228</v>
      </c>
      <c r="D220" s="3" t="s">
        <v>331</v>
      </c>
      <c r="E220" s="3">
        <v>121</v>
      </c>
      <c r="F220" s="3" t="s">
        <v>223</v>
      </c>
      <c r="G220" s="3" t="s">
        <v>277</v>
      </c>
      <c r="H220" s="3">
        <v>30</v>
      </c>
      <c r="I220" s="4">
        <v>121</v>
      </c>
      <c r="J220" s="5">
        <v>2790000</v>
      </c>
      <c r="K220" s="6">
        <f t="shared" si="120"/>
        <v>122</v>
      </c>
      <c r="L220" s="7">
        <f>IF($J220=0,0,ROUND(MAX($J220*1.4,1620000*(1.497923^(MIN($E220,123)-117)))*1,0))</f>
        <v>8155920</v>
      </c>
      <c r="M220" s="4">
        <f t="shared" si="121"/>
        <v>123</v>
      </c>
      <c r="N220" s="8">
        <f>IF($J220=0,0,ROUND(MAX($J220*1.4*1.5,2190000*(1.580994^(MIN($E220,123)-117)))*1,0))</f>
        <v>13682486</v>
      </c>
      <c r="O220" s="6">
        <f t="shared" si="122"/>
        <v>125</v>
      </c>
      <c r="P220" s="7">
        <f>IF($J220=0,0,ROUND(MAX($J220*1.4*1.5*1.6,3500000*(1.57975^(MIN($E220,123)-117)))*1,0))</f>
        <v>21798244</v>
      </c>
      <c r="Q220" s="4">
        <f t="shared" si="123"/>
        <v>127</v>
      </c>
      <c r="R220" s="8">
        <f>IF($J220=0,0,ROUND(MAX($J220*1.4*1.5*1.6*1.6,13100000*(1.429962^(MIN($E220,123)-117)))*1,0))</f>
        <v>54773347</v>
      </c>
      <c r="S220" s="6">
        <f t="shared" si="124"/>
        <v>129</v>
      </c>
      <c r="T220" s="7">
        <f>IF($J220=0,0,ROUND(MAX($J220*1.4*1.5*1.6*1.6*2.2,42600000*(1.576904^(MIN($E220,123)-117)))*1,0))</f>
        <v>263409005</v>
      </c>
      <c r="U220" s="4">
        <f t="shared" si="125"/>
        <v>132</v>
      </c>
      <c r="V220" s="8">
        <f>IF($J220=0,0,ROUND(MAX($J220*1.4*1.5*1.6*1.6*2.2*2.715,354000000*(1.642074^(MIN($E220,123)-117)))*1,0))</f>
        <v>2573796232</v>
      </c>
      <c r="W220" s="6">
        <f t="shared" si="126"/>
        <v>136</v>
      </c>
      <c r="X220" s="7">
        <f>IF($J220=0,0,ROUND(MAX($J220*1.4*1.5*1.6*1.6*2.2*2.715*2.6,3540000000*(1.579646^(MIN($E220,123)-117)))*1,0))</f>
        <v>22041561106</v>
      </c>
      <c r="Y220" s="4">
        <f t="shared" si="127"/>
        <v>138</v>
      </c>
      <c r="Z220" s="8">
        <f>IF($J220=0,0,ROUND(MAX($J220*1.4*1.5*1.6*1.6*2.2*2.715*2.6*1.4,6020000000*(1.651178^(MIN($E220,123)-117)))*1,0))</f>
        <v>44747838846</v>
      </c>
      <c r="AA220" s="6">
        <f t="shared" si="128"/>
        <v>140</v>
      </c>
      <c r="AB220" s="7">
        <f>IF($J220=0,0,ROUND(MAX($J220*1.4*1.5*1.6*1.6*2.2*2.715*2.6*1.4*1.4,8430000000*(1.651435^(MIN($E220,123)-117)))*1,0))</f>
        <v>62700862258</v>
      </c>
      <c r="AC220" s="4">
        <f t="shared" si="129"/>
        <v>142</v>
      </c>
      <c r="AD220" s="8">
        <f>IF($J220=0,0,ROUND(MAX($J220*1.4*1.5*1.6*1.6*2.2*2.715*2.6*1.4*1.4*1.5,12600000000*(1.652953^(MIN($E220,123)-117)))*1,0))</f>
        <v>94061644049</v>
      </c>
      <c r="AE220" s="6">
        <f t="shared" si="130"/>
        <v>145</v>
      </c>
      <c r="AF220" s="7">
        <f>IF($J220=0,0,ROUND(MAX($J220*1.4*1.5*1.6*1.6*2.2*2.715*2.6*1.4*1.4*1.5*1.5,18900000000*(1.65331^(MIN($E220,123)-117)))*1,0))</f>
        <v>141214396536</v>
      </c>
      <c r="AG220" s="4">
        <f t="shared" si="131"/>
        <v>148</v>
      </c>
      <c r="AH220" s="8">
        <f>IF($J220=0,0,ROUND(MAX($J220*1.4*1.5*1.6*1.6*2.2*2.715*2.6*1.4*1.4*1.5*1.5*3.2,60500000000*(1.654288^(MIN($E220,123)-117)))*1,0))</f>
        <v>453106040991</v>
      </c>
    </row>
    <row r="221" spans="1:34" x14ac:dyDescent="0.25">
      <c r="A221" s="3">
        <v>208</v>
      </c>
      <c r="B221" s="3" t="s">
        <v>360</v>
      </c>
      <c r="C221" s="3" t="s">
        <v>228</v>
      </c>
      <c r="D221" s="3" t="s">
        <v>25</v>
      </c>
      <c r="E221" s="3">
        <v>121</v>
      </c>
      <c r="F221" s="3" t="s">
        <v>34</v>
      </c>
      <c r="G221" s="3" t="s">
        <v>35</v>
      </c>
      <c r="H221" s="3">
        <v>30</v>
      </c>
      <c r="I221" s="4">
        <v>121</v>
      </c>
      <c r="J221" s="5">
        <v>2750000</v>
      </c>
      <c r="K221" s="6">
        <f t="shared" si="120"/>
        <v>122</v>
      </c>
      <c r="L221" s="7">
        <f>IF($J221=0,0,ROUND(MAX($J221*1.4,1620000*(1.497923^(MIN($E221,123)-117)))*0.8,0))</f>
        <v>6524736</v>
      </c>
      <c r="M221" s="4">
        <f t="shared" si="121"/>
        <v>123</v>
      </c>
      <c r="N221" s="8">
        <f>IF($J221=0,0,ROUND(MAX($J221*1.4*1.5,2190000*(1.580994^(MIN($E221,123)-117)))*0.8,0))</f>
        <v>10945989</v>
      </c>
      <c r="O221" s="6">
        <f t="shared" si="122"/>
        <v>125</v>
      </c>
      <c r="P221" s="7">
        <f>IF($J221=0,0,ROUND(MAX($J221*1.4*1.5*1.6,3500000*(1.57975^(MIN($E221,123)-117)))*0.8,0))</f>
        <v>17438595</v>
      </c>
      <c r="Q221" s="4">
        <f t="shared" si="123"/>
        <v>127</v>
      </c>
      <c r="R221" s="8">
        <f>IF($J221=0,0,ROUND(MAX($J221*1.4*1.5*1.6*1.6,13100000*(1.429962^(MIN($E221,123)-117)))*0.651041666666667,0))</f>
        <v>35659731</v>
      </c>
      <c r="S221" s="6">
        <f t="shared" si="124"/>
        <v>129</v>
      </c>
      <c r="T221" s="7">
        <f>IF($J221=0,0,ROUND(MAX($J221*1.4*1.5*1.6*1.6*2.2,42600000*(1.576904^(MIN($E221,123)-117)))*0.617361111111111,0))</f>
        <v>162618476</v>
      </c>
      <c r="U221" s="4">
        <f t="shared" si="125"/>
        <v>132</v>
      </c>
      <c r="V221" s="8">
        <f>IF($J221=0,0,ROUND(MAX($J221*1.4*1.5*1.6*1.6*2.2*2.715,354000000*(1.642074^(MIN($E221,123)-117)))*0.583680555555556,0))</f>
        <v>1502274815</v>
      </c>
      <c r="W221" s="6">
        <f t="shared" si="126"/>
        <v>136</v>
      </c>
      <c r="X221" s="7">
        <f>IF($J221=0,0,ROUND(MAX($J221*1.4*1.5*1.6*1.6*2.2*2.715*2.6,3540000000*(1.579646^(MIN($E221,123)-117)))*0.55,0))</f>
        <v>12122858608</v>
      </c>
      <c r="Y221" s="4">
        <f t="shared" si="127"/>
        <v>138</v>
      </c>
      <c r="Z221" s="8">
        <f>IF($J221=0,0,ROUND(MAX($J221*1.4*1.5*1.6*1.6*2.2*2.715*2.6*1.4,6020000000*(1.651178^(MIN($E221,123)-117)))*0.55,0))</f>
        <v>24611311365</v>
      </c>
      <c r="AA221" s="6">
        <f t="shared" si="128"/>
        <v>140</v>
      </c>
      <c r="AB221" s="7">
        <f>IF($J221=0,0,ROUND(MAX($J221*1.4*1.5*1.6*1.6*2.2*2.715*2.6*1.4*1.4,8430000000*(1.651435^(MIN($E221,123)-117)))*0.55,0))</f>
        <v>34485474242</v>
      </c>
      <c r="AC221" s="4">
        <f t="shared" si="129"/>
        <v>142</v>
      </c>
      <c r="AD221" s="8">
        <f>IF($J221=0,0,ROUND(MAX($J221*1.4*1.5*1.6*1.6*2.2*2.715*2.6*1.4*1.4*1.5,12600000000*(1.652953^(MIN($E221,123)-117)))*0.55,0))</f>
        <v>51733904227</v>
      </c>
      <c r="AE221" s="6">
        <f t="shared" si="130"/>
        <v>145</v>
      </c>
      <c r="AF221" s="7">
        <f>IF($J221=0,0,ROUND(MAX($J221*1.4*1.5*1.6*1.6*2.2*2.715*2.6*1.4*1.4*1.5*1.5,18900000000*(1.65331^(MIN($E221,123)-117)))*0.55,0))</f>
        <v>77667918095</v>
      </c>
      <c r="AG221" s="4">
        <f t="shared" si="131"/>
        <v>148</v>
      </c>
      <c r="AH221" s="8">
        <f>IF($J221=0,0,ROUND(MAX($J221*1.4*1.5*1.6*1.6*2.2*2.715*2.6*1.4*1.4*1.5*1.5*3.2,60500000000*(1.654288^(MIN($E221,123)-117)))*0.55,0))</f>
        <v>249208322545</v>
      </c>
    </row>
    <row r="222" spans="1:34" x14ac:dyDescent="0.25">
      <c r="A222" s="3">
        <v>189</v>
      </c>
      <c r="B222" s="3" t="s">
        <v>361</v>
      </c>
      <c r="C222" s="3" t="s">
        <v>228</v>
      </c>
      <c r="D222" s="3" t="s">
        <v>45</v>
      </c>
      <c r="E222" s="3">
        <v>121</v>
      </c>
      <c r="F222" s="3" t="s">
        <v>71</v>
      </c>
      <c r="G222" s="3" t="s">
        <v>362</v>
      </c>
      <c r="H222" s="3">
        <v>31</v>
      </c>
      <c r="I222" s="4">
        <v>121</v>
      </c>
      <c r="J222" s="5">
        <v>2760000</v>
      </c>
      <c r="K222" s="6">
        <f t="shared" si="120"/>
        <v>122</v>
      </c>
      <c r="L222" s="7">
        <f>IF($J222=0,0,ROUND(MAX($J222*1.4,1620000*(1.497923^(MIN($E222,123)-117)))*0.8,0))</f>
        <v>6524736</v>
      </c>
      <c r="M222" s="4">
        <f t="shared" si="121"/>
        <v>123</v>
      </c>
      <c r="N222" s="8">
        <f>IF($J222=0,0,ROUND(MAX($J222*1.4*1.5,2190000*(1.580994^(MIN($E222,123)-117)))*0.8,0))</f>
        <v>10945989</v>
      </c>
      <c r="O222" s="6">
        <f t="shared" si="122"/>
        <v>125</v>
      </c>
      <c r="P222" s="7">
        <f>IF($J222=0,0,ROUND(MAX($J222*1.4*1.5*1.6,3500000*(1.57975^(MIN($E222,123)-117)))*0.8,0))</f>
        <v>17438595</v>
      </c>
      <c r="Q222" s="4">
        <f t="shared" si="123"/>
        <v>127</v>
      </c>
      <c r="R222" s="8">
        <f>IF($J222=0,0,ROUND(MAX($J222*1.4*1.5*1.6*1.6,13100000*(1.429962^(MIN($E222,123)-117)))*0.651041666666667,0))</f>
        <v>35659731</v>
      </c>
      <c r="S222" s="6">
        <f t="shared" si="124"/>
        <v>129</v>
      </c>
      <c r="T222" s="7">
        <f>IF($J222=0,0,ROUND(MAX($J222*1.4*1.5*1.6*1.6*2.2,42600000*(1.576904^(MIN($E222,123)-117)))*0.617361111111111,0))</f>
        <v>162618476</v>
      </c>
      <c r="U222" s="4">
        <f t="shared" si="125"/>
        <v>132</v>
      </c>
      <c r="V222" s="8">
        <f>IF($J222=0,0,ROUND(MAX($J222*1.4*1.5*1.6*1.6*2.2*2.715,354000000*(1.642074^(MIN($E222,123)-117)))*0.583680555555556,0))</f>
        <v>1502274815</v>
      </c>
      <c r="W222" s="6">
        <f t="shared" si="126"/>
        <v>136</v>
      </c>
      <c r="X222" s="7">
        <f>IF($J222=0,0,ROUND(MAX($J222*1.4*1.5*1.6*1.6*2.2*2.715*2.6,3540000000*(1.579646^(MIN($E222,123)-117)))*0.55,0))</f>
        <v>12122858608</v>
      </c>
      <c r="Y222" s="4">
        <f t="shared" si="127"/>
        <v>138</v>
      </c>
      <c r="Z222" s="8">
        <f>IF($J222=0,0,ROUND(MAX($J222*1.4*1.5*1.6*1.6*2.2*2.715*2.6*1.4,6020000000*(1.651178^(MIN($E222,123)-117)))*0.55,0))</f>
        <v>24611311365</v>
      </c>
      <c r="AA222" s="6">
        <f t="shared" si="128"/>
        <v>140</v>
      </c>
      <c r="AB222" s="7">
        <f>IF($J222=0,0,ROUND(MAX($J222*1.4*1.5*1.6*1.6*2.2*2.715*2.6*1.4*1.4,8430000000*(1.651435^(MIN($E222,123)-117)))*0.55,0))</f>
        <v>34485474242</v>
      </c>
      <c r="AC222" s="4">
        <f t="shared" si="129"/>
        <v>142</v>
      </c>
      <c r="AD222" s="8">
        <f>IF($J222=0,0,ROUND(MAX($J222*1.4*1.5*1.6*1.6*2.2*2.715*2.6*1.4*1.4*1.5,12600000000*(1.652953^(MIN($E222,123)-117)))*0.55,0))</f>
        <v>51733904227</v>
      </c>
      <c r="AE222" s="6">
        <f t="shared" si="130"/>
        <v>145</v>
      </c>
      <c r="AF222" s="7">
        <f>IF($J222=0,0,ROUND(MAX($J222*1.4*1.5*1.6*1.6*2.2*2.715*2.6*1.4*1.4*1.5*1.5,18900000000*(1.65331^(MIN($E222,123)-117)))*0.55,0))</f>
        <v>77667918095</v>
      </c>
      <c r="AG222" s="4">
        <f t="shared" si="131"/>
        <v>148</v>
      </c>
      <c r="AH222" s="8">
        <f>IF($J222=0,0,ROUND(MAX($J222*1.4*1.5*1.6*1.6*2.2*2.715*2.6*1.4*1.4*1.5*1.5*3.2,60500000000*(1.654288^(MIN($E222,123)-117)))*0.55,0))</f>
        <v>249208322545</v>
      </c>
    </row>
    <row r="223" spans="1:34" x14ac:dyDescent="0.25">
      <c r="A223" s="3">
        <v>201</v>
      </c>
      <c r="B223" s="3" t="s">
        <v>363</v>
      </c>
      <c r="C223" s="3" t="s">
        <v>228</v>
      </c>
      <c r="D223" s="3" t="s">
        <v>33</v>
      </c>
      <c r="E223" s="3">
        <v>121</v>
      </c>
      <c r="F223" s="3" t="s">
        <v>298</v>
      </c>
      <c r="G223" s="3" t="s">
        <v>242</v>
      </c>
      <c r="H223" s="3">
        <v>30</v>
      </c>
      <c r="I223" s="4">
        <v>121</v>
      </c>
      <c r="J223" s="5">
        <v>2750000</v>
      </c>
      <c r="K223" s="6">
        <f t="shared" si="120"/>
        <v>122</v>
      </c>
      <c r="L223" s="7">
        <f>IF($J223=0,0,ROUND(MAX($J223*1.4,1620000*(1.497923^(MIN($E223,123)-117)))*1,0))</f>
        <v>8155920</v>
      </c>
      <c r="M223" s="4">
        <f t="shared" si="121"/>
        <v>123</v>
      </c>
      <c r="N223" s="8">
        <f>IF($J223=0,0,ROUND(MAX($J223*1.4*1.5,2190000*(1.580994^(MIN($E223,123)-117)))*1,0))</f>
        <v>13682486</v>
      </c>
      <c r="O223" s="6">
        <f t="shared" si="122"/>
        <v>125</v>
      </c>
      <c r="P223" s="7">
        <f>IF($J223=0,0,ROUND(MAX($J223*1.4*1.5*1.6,3500000*(1.57975^(MIN($E223,123)-117)))*1,0))</f>
        <v>21798244</v>
      </c>
      <c r="Q223" s="4">
        <f t="shared" si="123"/>
        <v>127</v>
      </c>
      <c r="R223" s="8">
        <f>IF($J223=0,0,ROUND(MAX($J223*1.4*1.5*1.6*1.6,13100000*(1.429962^(MIN($E223,123)-117)))*1,0))</f>
        <v>54773347</v>
      </c>
      <c r="S223" s="6">
        <f t="shared" si="124"/>
        <v>129</v>
      </c>
      <c r="T223" s="7">
        <f>IF($J223=0,0,ROUND(MAX($J223*1.4*1.5*1.6*1.6*2.2,42600000*(1.576904^(MIN($E223,123)-117)))*1,0))</f>
        <v>263409005</v>
      </c>
      <c r="U223" s="4">
        <f t="shared" si="125"/>
        <v>132</v>
      </c>
      <c r="V223" s="8">
        <f>IF($J223=0,0,ROUND(MAX($J223*1.4*1.5*1.6*1.6*2.2*2.715,354000000*(1.642074^(MIN($E223,123)-117)))*1,0))</f>
        <v>2573796232</v>
      </c>
      <c r="W223" s="6">
        <f t="shared" si="126"/>
        <v>136</v>
      </c>
      <c r="X223" s="7">
        <f>IF($J223=0,0,ROUND(MAX($J223*1.4*1.5*1.6*1.6*2.2*2.715*2.6,3540000000*(1.579646^(MIN($E223,123)-117)))*1,0))</f>
        <v>22041561106</v>
      </c>
      <c r="Y223" s="4">
        <f t="shared" si="127"/>
        <v>138</v>
      </c>
      <c r="Z223" s="8">
        <f>IF($J223=0,0,ROUND(MAX($J223*1.4*1.5*1.6*1.6*2.2*2.715*2.6*1.4,6020000000*(1.651178^(MIN($E223,123)-117)))*1,0))</f>
        <v>44747838846</v>
      </c>
      <c r="AA223" s="6">
        <f t="shared" si="128"/>
        <v>140</v>
      </c>
      <c r="AB223" s="7">
        <f>IF($J223=0,0,ROUND(MAX($J223*1.4*1.5*1.6*1.6*2.2*2.715*2.6*1.4*1.4,8430000000*(1.651435^(MIN($E223,123)-117)))*1,0))</f>
        <v>62700862258</v>
      </c>
      <c r="AC223" s="4">
        <f t="shared" si="129"/>
        <v>142</v>
      </c>
      <c r="AD223" s="8">
        <f>IF($J223=0,0,ROUND(MAX($J223*1.4*1.5*1.6*1.6*2.2*2.715*2.6*1.4*1.4*1.5,12600000000*(1.652953^(MIN($E223,123)-117)))*1,0))</f>
        <v>94061644049</v>
      </c>
      <c r="AE223" s="6">
        <f t="shared" si="130"/>
        <v>145</v>
      </c>
      <c r="AF223" s="7">
        <f>IF($J223=0,0,ROUND(MAX($J223*1.4*1.5*1.6*1.6*2.2*2.715*2.6*1.4*1.4*1.5*1.5,18900000000*(1.65331^(MIN($E223,123)-117)))*1,0))</f>
        <v>141214396536</v>
      </c>
      <c r="AG223" s="4">
        <f t="shared" si="131"/>
        <v>148</v>
      </c>
      <c r="AH223" s="8">
        <f>IF($J223=0,0,ROUND(MAX($J223*1.4*1.5*1.6*1.6*2.2*2.715*2.6*1.4*1.4*1.5*1.5*3.2,60500000000*(1.654288^(MIN($E223,123)-117)))*1,0))</f>
        <v>453106040991</v>
      </c>
    </row>
    <row r="224" spans="1:34" x14ac:dyDescent="0.25">
      <c r="A224" s="3">
        <v>209</v>
      </c>
      <c r="B224" s="3" t="s">
        <v>364</v>
      </c>
      <c r="C224" s="3" t="s">
        <v>228</v>
      </c>
      <c r="D224" s="3" t="s">
        <v>47</v>
      </c>
      <c r="E224" s="3">
        <v>121</v>
      </c>
      <c r="F224" s="3" t="s">
        <v>54</v>
      </c>
      <c r="G224" s="3" t="s">
        <v>51</v>
      </c>
      <c r="H224" s="3">
        <v>28</v>
      </c>
      <c r="I224" s="4">
        <v>121</v>
      </c>
      <c r="J224" s="5">
        <v>2770000</v>
      </c>
      <c r="K224" s="6">
        <f t="shared" si="120"/>
        <v>122</v>
      </c>
      <c r="L224" s="7">
        <f>IF($J224=0,0,ROUND(MAX($J224*1.4,1620000*(1.497923^(MIN($E224,123)-117)))*1,0))</f>
        <v>8155920</v>
      </c>
      <c r="M224" s="4">
        <f t="shared" si="121"/>
        <v>123</v>
      </c>
      <c r="N224" s="8">
        <f>IF($J224=0,0,ROUND(MAX($J224*1.4*1.5,2190000*(1.580994^(MIN($E224,123)-117)))*1,0))</f>
        <v>13682486</v>
      </c>
      <c r="O224" s="6">
        <f t="shared" si="122"/>
        <v>125</v>
      </c>
      <c r="P224" s="7">
        <f>IF($J224=0,0,ROUND(MAX($J224*1.4*1.5*1.6,3500000*(1.57975^(MIN($E224,123)-117)))*1,0))</f>
        <v>21798244</v>
      </c>
      <c r="Q224" s="4">
        <f t="shared" si="123"/>
        <v>127</v>
      </c>
      <c r="R224" s="8">
        <f>IF($J224=0,0,ROUND(MAX($J224*1.4*1.5*1.6*1.6,13100000*(1.429962^(MIN($E224,123)-117)))*1,0))</f>
        <v>54773347</v>
      </c>
      <c r="S224" s="6">
        <f t="shared" si="124"/>
        <v>129</v>
      </c>
      <c r="T224" s="7">
        <f>IF($J224=0,0,ROUND(MAX($J224*1.4*1.5*1.6*1.6*2.2,42600000*(1.576904^(MIN($E224,123)-117)))*1,0))</f>
        <v>263409005</v>
      </c>
      <c r="U224" s="4">
        <f t="shared" si="125"/>
        <v>132</v>
      </c>
      <c r="V224" s="8">
        <f>IF($J224=0,0,ROUND(MAX($J224*1.4*1.5*1.6*1.6*2.2*2.715,354000000*(1.642074^(MIN($E224,123)-117)))*1,0))</f>
        <v>2573796232</v>
      </c>
      <c r="W224" s="6">
        <f t="shared" si="126"/>
        <v>136</v>
      </c>
      <c r="X224" s="7">
        <f>IF($J224=0,0,ROUND(MAX($J224*1.4*1.5*1.6*1.6*2.2*2.715*2.6,3540000000*(1.579646^(MIN($E224,123)-117)))*1,0))</f>
        <v>22041561106</v>
      </c>
      <c r="Y224" s="4">
        <f t="shared" si="127"/>
        <v>138</v>
      </c>
      <c r="Z224" s="8">
        <f>IF($J224=0,0,ROUND(MAX($J224*1.4*1.5*1.6*1.6*2.2*2.715*2.6*1.4,6020000000*(1.651178^(MIN($E224,123)-117)))*1,0))</f>
        <v>44747838846</v>
      </c>
      <c r="AA224" s="6">
        <f t="shared" si="128"/>
        <v>140</v>
      </c>
      <c r="AB224" s="7">
        <f>IF($J224=0,0,ROUND(MAX($J224*1.4*1.5*1.6*1.6*2.2*2.715*2.6*1.4*1.4,8430000000*(1.651435^(MIN($E224,123)-117)))*1,0))</f>
        <v>62700862258</v>
      </c>
      <c r="AC224" s="4">
        <f t="shared" si="129"/>
        <v>142</v>
      </c>
      <c r="AD224" s="8">
        <f>IF($J224=0,0,ROUND(MAX($J224*1.4*1.5*1.6*1.6*2.2*2.715*2.6*1.4*1.4*1.5,12600000000*(1.652953^(MIN($E224,123)-117)))*1,0))</f>
        <v>94061644049</v>
      </c>
      <c r="AE224" s="6">
        <f t="shared" si="130"/>
        <v>145</v>
      </c>
      <c r="AF224" s="7">
        <f>IF($J224=0,0,ROUND(MAX($J224*1.4*1.5*1.6*1.6*2.2*2.715*2.6*1.4*1.4*1.5*1.5,18900000000*(1.65331^(MIN($E224,123)-117)))*1,0))</f>
        <v>141214396536</v>
      </c>
      <c r="AG224" s="4">
        <f t="shared" si="131"/>
        <v>148</v>
      </c>
      <c r="AH224" s="8">
        <f>IF($J224=0,0,ROUND(MAX($J224*1.4*1.5*1.6*1.6*2.2*2.715*2.6*1.4*1.4*1.5*1.5*3.2,60500000000*(1.654288^(MIN($E224,123)-117)))*1,0))</f>
        <v>453106040991</v>
      </c>
    </row>
    <row r="225" spans="1:34" x14ac:dyDescent="0.25">
      <c r="A225" s="3">
        <v>305</v>
      </c>
      <c r="B225" s="3" t="s">
        <v>365</v>
      </c>
      <c r="C225" s="3" t="s">
        <v>228</v>
      </c>
      <c r="D225" s="3" t="s">
        <v>331</v>
      </c>
      <c r="E225" s="3">
        <v>121</v>
      </c>
      <c r="F225" s="3" t="s">
        <v>62</v>
      </c>
      <c r="G225" s="3" t="s">
        <v>366</v>
      </c>
      <c r="H225" s="3">
        <v>29</v>
      </c>
      <c r="I225" s="4">
        <v>121</v>
      </c>
      <c r="J225" s="9">
        <v>2920000</v>
      </c>
      <c r="K225" s="6">
        <f t="shared" si="120"/>
        <v>122</v>
      </c>
      <c r="L225" s="7">
        <f>IF($J225=0,0,ROUND(MAX($J225*1.4,1620000*(1.497923^(MIN($E225,123)-117)))*0.8,0))</f>
        <v>6524736</v>
      </c>
      <c r="M225" s="4">
        <f t="shared" si="121"/>
        <v>123</v>
      </c>
      <c r="N225" s="8">
        <f>IF($J225=0,0,ROUND(MAX($J225*1.4*1.5,2190000*(1.580994^(MIN($E225,123)-117)))*0.8,0))</f>
        <v>10945989</v>
      </c>
      <c r="O225" s="6">
        <f t="shared" si="122"/>
        <v>125</v>
      </c>
      <c r="P225" s="7">
        <f>IF($J225=0,0,ROUND(MAX($J225*1.4*1.5*1.6,3500000*(1.57975^(MIN($E225,123)-117)))*0.8,0))</f>
        <v>17438595</v>
      </c>
      <c r="Q225" s="4">
        <f t="shared" si="123"/>
        <v>127</v>
      </c>
      <c r="R225" s="8">
        <f>IF($J225=0,0,ROUND(MAX($J225*1.4*1.5*1.6*1.6,13100000*(1.429962^(MIN($E225,123)-117)))*0.651041666666667,0))</f>
        <v>35659731</v>
      </c>
      <c r="S225" s="6">
        <f t="shared" si="124"/>
        <v>129</v>
      </c>
      <c r="T225" s="7">
        <f>IF($J225=0,0,ROUND(MAX($J225*1.4*1.5*1.6*1.6*2.2,42600000*(1.576904^(MIN($E225,123)-117)))*0.617361111111111,0))</f>
        <v>162618476</v>
      </c>
      <c r="U225" s="4">
        <f t="shared" si="125"/>
        <v>132</v>
      </c>
      <c r="V225" s="8">
        <f>IF($J225=0,0,ROUND(MAX($J225*1.4*1.5*1.6*1.6*2.2*2.715,354000000*(1.642074^(MIN($E225,123)-117)))*0.583680555555556,0))</f>
        <v>1502274815</v>
      </c>
      <c r="W225" s="6">
        <f t="shared" si="126"/>
        <v>136</v>
      </c>
      <c r="X225" s="7">
        <f>IF($J225=0,0,ROUND(MAX($J225*1.4*1.5*1.6*1.6*2.2*2.715*2.6,3540000000*(1.579646^(MIN($E225,123)-117)))*0.55,0))</f>
        <v>12122858608</v>
      </c>
      <c r="Y225" s="4">
        <f t="shared" si="127"/>
        <v>138</v>
      </c>
      <c r="Z225" s="8">
        <f>IF($J225=0,0,ROUND(MAX($J225*1.4*1.5*1.6*1.6*2.2*2.715*2.6*1.4,6020000000*(1.651178^(MIN($E225,123)-117)))*0.55,0))</f>
        <v>24611311365</v>
      </c>
      <c r="AA225" s="6">
        <f t="shared" si="128"/>
        <v>140</v>
      </c>
      <c r="AB225" s="7">
        <f>IF($J225=0,0,ROUND(MAX($J225*1.4*1.5*1.6*1.6*2.2*2.715*2.6*1.4*1.4,8430000000*(1.651435^(MIN($E225,123)-117)))*0.55,0))</f>
        <v>34485474242</v>
      </c>
      <c r="AC225" s="4">
        <f t="shared" si="129"/>
        <v>142</v>
      </c>
      <c r="AD225" s="8">
        <f>IF($J225=0,0,ROUND(MAX($J225*1.4*1.5*1.6*1.6*2.2*2.715*2.6*1.4*1.4*1.5,12600000000*(1.652953^(MIN($E225,123)-117)))*0.55,0))</f>
        <v>51733904227</v>
      </c>
      <c r="AE225" s="6">
        <f t="shared" si="130"/>
        <v>145</v>
      </c>
      <c r="AF225" s="7">
        <f>IF($J225=0,0,ROUND(MAX($J225*1.4*1.5*1.6*1.6*2.2*2.715*2.6*1.4*1.4*1.5*1.5,18900000000*(1.65331^(MIN($E225,123)-117)))*0.55,0))</f>
        <v>77667918095</v>
      </c>
      <c r="AG225" s="4">
        <f t="shared" si="131"/>
        <v>148</v>
      </c>
      <c r="AH225" s="8">
        <f>IF($J225=0,0,ROUND(MAX($J225*1.4*1.5*1.6*1.6*2.2*2.715*2.6*1.4*1.4*1.5*1.5*3.2,60500000000*(1.654288^(MIN($E225,123)-117)))*0.55,0))</f>
        <v>249208322545</v>
      </c>
    </row>
    <row r="226" spans="1:34" x14ac:dyDescent="0.25">
      <c r="A226" s="3">
        <v>211</v>
      </c>
      <c r="B226" s="3" t="s">
        <v>367</v>
      </c>
      <c r="C226" s="3" t="s">
        <v>228</v>
      </c>
      <c r="D226" s="3" t="s">
        <v>47</v>
      </c>
      <c r="E226" s="3">
        <v>121</v>
      </c>
      <c r="F226" s="3" t="s">
        <v>179</v>
      </c>
      <c r="G226" s="3" t="s">
        <v>104</v>
      </c>
      <c r="H226" s="3">
        <v>26</v>
      </c>
      <c r="I226" s="4">
        <v>121</v>
      </c>
      <c r="J226" s="5">
        <v>2330000</v>
      </c>
      <c r="K226" s="6">
        <f t="shared" si="120"/>
        <v>122</v>
      </c>
      <c r="L226" s="7">
        <f>IF($J226=0,0,ROUND(MAX($J226*1.4,1620000*(1.497923^(MIN($E226,123)-117)))*0.8,0))</f>
        <v>6524736</v>
      </c>
      <c r="M226" s="4">
        <f t="shared" si="121"/>
        <v>123</v>
      </c>
      <c r="N226" s="8">
        <f>IF($J226=0,0,ROUND(MAX($J226*1.4*1.5,2190000*(1.580994^(MIN($E226,123)-117)))*0.8,0))</f>
        <v>10945989</v>
      </c>
      <c r="O226" s="6">
        <f t="shared" si="122"/>
        <v>125</v>
      </c>
      <c r="P226" s="7">
        <f>IF($J226=0,0,ROUND(MAX($J226*1.4*1.5*1.6,3500000*(1.57975^(MIN($E226,123)-117)))*0.8,0))</f>
        <v>17438595</v>
      </c>
      <c r="Q226" s="4">
        <f t="shared" si="123"/>
        <v>127</v>
      </c>
      <c r="R226" s="8">
        <f>IF($J226=0,0,ROUND(MAX($J226*1.4*1.5*1.6*1.6,13100000*(1.429962^(MIN($E226,123)-117)))*0.651041666666667,0))</f>
        <v>35659731</v>
      </c>
      <c r="S226" s="6">
        <f t="shared" si="124"/>
        <v>129</v>
      </c>
      <c r="T226" s="7">
        <f>IF($J226=0,0,ROUND(MAX($J226*1.4*1.5*1.6*1.6*2.2,42600000*(1.576904^(MIN($E226,123)-117)))*0.617361111111111,0))</f>
        <v>162618476</v>
      </c>
      <c r="U226" s="4">
        <f t="shared" si="125"/>
        <v>132</v>
      </c>
      <c r="V226" s="8">
        <f>IF($J226=0,0,ROUND(MAX($J226*1.4*1.5*1.6*1.6*2.2*2.715,354000000*(1.642074^(MIN($E226,123)-117)))*0.583680555555556,0))</f>
        <v>1502274815</v>
      </c>
      <c r="W226" s="6">
        <f t="shared" si="126"/>
        <v>136</v>
      </c>
      <c r="X226" s="7">
        <f>IF($J226=0,0,ROUND(MAX($J226*1.4*1.5*1.6*1.6*2.2*2.715*2.6,3540000000*(1.579646^(MIN($E226,123)-117)))*0.55,0))</f>
        <v>12122858608</v>
      </c>
      <c r="Y226" s="4">
        <f t="shared" si="127"/>
        <v>138</v>
      </c>
      <c r="Z226" s="8">
        <f>IF($J226=0,0,ROUND(MAX($J226*1.4*1.5*1.6*1.6*2.2*2.715*2.6*1.4,6020000000*(1.651178^(MIN($E226,123)-117)))*0.55,0))</f>
        <v>24611311365</v>
      </c>
      <c r="AA226" s="6">
        <f t="shared" si="128"/>
        <v>140</v>
      </c>
      <c r="AB226" s="7">
        <f>IF($J226=0,0,ROUND(MAX($J226*1.4*1.5*1.6*1.6*2.2*2.715*2.6*1.4*1.4,8430000000*(1.651435^(MIN($E226,123)-117)))*0.55,0))</f>
        <v>34485474242</v>
      </c>
      <c r="AC226" s="4">
        <f t="shared" si="129"/>
        <v>142</v>
      </c>
      <c r="AD226" s="8">
        <f>IF($J226=0,0,ROUND(MAX($J226*1.4*1.5*1.6*1.6*2.2*2.715*2.6*1.4*1.4*1.5,12600000000*(1.652953^(MIN($E226,123)-117)))*0.55,0))</f>
        <v>51733904227</v>
      </c>
      <c r="AE226" s="6">
        <f t="shared" si="130"/>
        <v>145</v>
      </c>
      <c r="AF226" s="7">
        <f>IF($J226=0,0,ROUND(MAX($J226*1.4*1.5*1.6*1.6*2.2*2.715*2.6*1.4*1.4*1.5*1.5,18900000000*(1.65331^(MIN($E226,123)-117)))*0.55,0))</f>
        <v>77667918095</v>
      </c>
      <c r="AG226" s="4">
        <f t="shared" si="131"/>
        <v>148</v>
      </c>
      <c r="AH226" s="8">
        <f>IF($J226=0,0,ROUND(MAX($J226*1.4*1.5*1.6*1.6*2.2*2.715*2.6*1.4*1.4*1.5*1.5*3.2,60500000000*(1.654288^(MIN($E226,123)-117)))*0.55,0))</f>
        <v>249208322545</v>
      </c>
    </row>
    <row r="227" spans="1:34" x14ac:dyDescent="0.25">
      <c r="A227" s="3">
        <v>198</v>
      </c>
      <c r="B227" s="3" t="s">
        <v>368</v>
      </c>
      <c r="C227" s="3" t="s">
        <v>228</v>
      </c>
      <c r="D227" s="3" t="s">
        <v>75</v>
      </c>
      <c r="E227" s="3">
        <v>121</v>
      </c>
      <c r="F227" s="3" t="s">
        <v>71</v>
      </c>
      <c r="G227" s="3" t="s">
        <v>98</v>
      </c>
      <c r="H227" s="3">
        <v>30</v>
      </c>
      <c r="I227" s="4">
        <v>121</v>
      </c>
      <c r="J227" s="5">
        <v>2760000</v>
      </c>
      <c r="K227" s="6">
        <f t="shared" si="120"/>
        <v>122</v>
      </c>
      <c r="L227" s="7">
        <f>IF($J227=0,0,ROUND(MAX($J227*1.4,1620000*(1.497923^(MIN($E227,123)-117)))*1,0))</f>
        <v>8155920</v>
      </c>
      <c r="M227" s="4">
        <f t="shared" si="121"/>
        <v>123</v>
      </c>
      <c r="N227" s="8">
        <f>IF($J227=0,0,ROUND(MAX($J227*1.4*1.5,2190000*(1.580994^(MIN($E227,123)-117)))*1,0))</f>
        <v>13682486</v>
      </c>
      <c r="O227" s="6">
        <f t="shared" si="122"/>
        <v>125</v>
      </c>
      <c r="P227" s="7">
        <f>IF($J227=0,0,ROUND(MAX($J227*1.4*1.5*1.6,3500000*(1.57975^(MIN($E227,123)-117)))*1,0))</f>
        <v>21798244</v>
      </c>
      <c r="Q227" s="4">
        <f t="shared" si="123"/>
        <v>127</v>
      </c>
      <c r="R227" s="8">
        <f>IF($J227=0,0,ROUND(MAX($J227*1.4*1.5*1.6*1.6,13100000*(1.429962^(MIN($E227,123)-117)))*1,0))</f>
        <v>54773347</v>
      </c>
      <c r="S227" s="6">
        <f t="shared" si="124"/>
        <v>129</v>
      </c>
      <c r="T227" s="7">
        <f>IF($J227=0,0,ROUND(MAX($J227*1.4*1.5*1.6*1.6*2.2,42600000*(1.576904^(MIN($E227,123)-117)))*1,0))</f>
        <v>263409005</v>
      </c>
      <c r="U227" s="4">
        <f t="shared" si="125"/>
        <v>132</v>
      </c>
      <c r="V227" s="8">
        <f>IF($J227=0,0,ROUND(MAX($J227*1.4*1.5*1.6*1.6*2.2*2.715,354000000*(1.642074^(MIN($E227,123)-117)))*1,0))</f>
        <v>2573796232</v>
      </c>
      <c r="W227" s="6">
        <f t="shared" si="126"/>
        <v>136</v>
      </c>
      <c r="X227" s="7">
        <f>IF($J227=0,0,ROUND(MAX($J227*1.4*1.5*1.6*1.6*2.2*2.715*2.6,3540000000*(1.579646^(MIN($E227,123)-117)))*1,0))</f>
        <v>22041561106</v>
      </c>
      <c r="Y227" s="4">
        <f t="shared" si="127"/>
        <v>138</v>
      </c>
      <c r="Z227" s="8">
        <f>IF($J227=0,0,ROUND(MAX($J227*1.4*1.5*1.6*1.6*2.2*2.715*2.6*1.4,6020000000*(1.651178^(MIN($E227,123)-117)))*1,0))</f>
        <v>44747838846</v>
      </c>
      <c r="AA227" s="6">
        <f t="shared" si="128"/>
        <v>140</v>
      </c>
      <c r="AB227" s="7">
        <f>IF($J227=0,0,ROUND(MAX($J227*1.4*1.5*1.6*1.6*2.2*2.715*2.6*1.4*1.4,8430000000*(1.651435^(MIN($E227,123)-117)))*1,0))</f>
        <v>62700862258</v>
      </c>
      <c r="AC227" s="4">
        <f t="shared" si="129"/>
        <v>142</v>
      </c>
      <c r="AD227" s="8">
        <f>IF($J227=0,0,ROUND(MAX($J227*1.4*1.5*1.6*1.6*2.2*2.715*2.6*1.4*1.4*1.5,12600000000*(1.652953^(MIN($E227,123)-117)))*1,0))</f>
        <v>94061644049</v>
      </c>
      <c r="AE227" s="6">
        <f t="shared" si="130"/>
        <v>145</v>
      </c>
      <c r="AF227" s="7">
        <f>IF($J227=0,0,ROUND(MAX($J227*1.4*1.5*1.6*1.6*2.2*2.715*2.6*1.4*1.4*1.5*1.5,18900000000*(1.65331^(MIN($E227,123)-117)))*1,0))</f>
        <v>141214396536</v>
      </c>
      <c r="AG227" s="4">
        <f t="shared" si="131"/>
        <v>148</v>
      </c>
      <c r="AH227" s="8">
        <f>IF($J227=0,0,ROUND(MAX($J227*1.4*1.5*1.6*1.6*2.2*2.715*2.6*1.4*1.4*1.5*1.5*3.2,60500000000*(1.654288^(MIN($E227,123)-117)))*1,0))</f>
        <v>453106040991</v>
      </c>
    </row>
    <row r="228" spans="1:34" x14ac:dyDescent="0.25">
      <c r="A228" s="3">
        <v>197</v>
      </c>
      <c r="B228" s="3" t="s">
        <v>369</v>
      </c>
      <c r="C228" s="3" t="s">
        <v>228</v>
      </c>
      <c r="D228" s="3" t="s">
        <v>45</v>
      </c>
      <c r="E228" s="3">
        <v>121</v>
      </c>
      <c r="F228" s="3" t="s">
        <v>353</v>
      </c>
      <c r="G228" s="3" t="s">
        <v>242</v>
      </c>
      <c r="H228" s="3">
        <v>31</v>
      </c>
      <c r="I228" s="4">
        <v>121</v>
      </c>
      <c r="J228" s="5">
        <v>2800000</v>
      </c>
      <c r="K228" s="6">
        <f t="shared" si="120"/>
        <v>122</v>
      </c>
      <c r="L228" s="7">
        <f>IF($J228=0,0,ROUND(MAX($J228*1.4,1620000*(1.497923^(MIN($E228,123)-117)))*1,0))</f>
        <v>8155920</v>
      </c>
      <c r="M228" s="4">
        <f t="shared" si="121"/>
        <v>123</v>
      </c>
      <c r="N228" s="8">
        <f>IF($J228=0,0,ROUND(MAX($J228*1.4*1.5,2190000*(1.580994^(MIN($E228,123)-117)))*1,0))</f>
        <v>13682486</v>
      </c>
      <c r="O228" s="6">
        <f t="shared" si="122"/>
        <v>125</v>
      </c>
      <c r="P228" s="7">
        <f>IF($J228=0,0,ROUND(MAX($J228*1.4*1.5*1.6,3500000*(1.57975^(MIN($E228,123)-117)))*1,0))</f>
        <v>21798244</v>
      </c>
      <c r="Q228" s="4">
        <f t="shared" si="123"/>
        <v>127</v>
      </c>
      <c r="R228" s="8">
        <f>IF($J228=0,0,ROUND(MAX($J228*1.4*1.5*1.6*1.6,13100000*(1.429962^(MIN($E228,123)-117)))*1,0))</f>
        <v>54773347</v>
      </c>
      <c r="S228" s="6">
        <f t="shared" si="124"/>
        <v>129</v>
      </c>
      <c r="T228" s="7">
        <f>IF($J228=0,0,ROUND(MAX($J228*1.4*1.5*1.6*1.6*2.2,42600000*(1.576904^(MIN($E228,123)-117)))*1,0))</f>
        <v>263409005</v>
      </c>
      <c r="U228" s="4">
        <f t="shared" si="125"/>
        <v>132</v>
      </c>
      <c r="V228" s="8">
        <f>IF($J228=0,0,ROUND(MAX($J228*1.4*1.5*1.6*1.6*2.2*2.715,354000000*(1.642074^(MIN($E228,123)-117)))*1,0))</f>
        <v>2573796232</v>
      </c>
      <c r="W228" s="6">
        <f t="shared" si="126"/>
        <v>136</v>
      </c>
      <c r="X228" s="7">
        <f>IF($J228=0,0,ROUND(MAX($J228*1.4*1.5*1.6*1.6*2.2*2.715*2.6,3540000000*(1.579646^(MIN($E228,123)-117)))*1,0))</f>
        <v>22041561106</v>
      </c>
      <c r="Y228" s="4">
        <f t="shared" si="127"/>
        <v>138</v>
      </c>
      <c r="Z228" s="8">
        <f>IF($J228=0,0,ROUND(MAX($J228*1.4*1.5*1.6*1.6*2.2*2.715*2.6*1.4,6020000000*(1.651178^(MIN($E228,123)-117)))*1,0))</f>
        <v>44747838846</v>
      </c>
      <c r="AA228" s="6">
        <f t="shared" si="128"/>
        <v>140</v>
      </c>
      <c r="AB228" s="7">
        <f>IF($J228=0,0,ROUND(MAX($J228*1.4*1.5*1.6*1.6*2.2*2.715*2.6*1.4*1.4,8430000000*(1.651435^(MIN($E228,123)-117)))*1,0))</f>
        <v>62700862258</v>
      </c>
      <c r="AC228" s="4">
        <f t="shared" si="129"/>
        <v>142</v>
      </c>
      <c r="AD228" s="8">
        <f>IF($J228=0,0,ROUND(MAX($J228*1.4*1.5*1.6*1.6*2.2*2.715*2.6*1.4*1.4*1.5,12600000000*(1.652953^(MIN($E228,123)-117)))*1,0))</f>
        <v>94061644049</v>
      </c>
      <c r="AE228" s="6">
        <f t="shared" si="130"/>
        <v>145</v>
      </c>
      <c r="AF228" s="7">
        <f>IF($J228=0,0,ROUND(MAX($J228*1.4*1.5*1.6*1.6*2.2*2.715*2.6*1.4*1.4*1.5*1.5,18900000000*(1.65331^(MIN($E228,123)-117)))*1,0))</f>
        <v>141214396536</v>
      </c>
      <c r="AG228" s="4">
        <f t="shared" si="131"/>
        <v>148</v>
      </c>
      <c r="AH228" s="8">
        <f>IF($J228=0,0,ROUND(MAX($J228*1.4*1.5*1.6*1.6*2.2*2.715*2.6*1.4*1.4*1.5*1.5*3.2,60500000000*(1.654288^(MIN($E228,123)-117)))*1,0))</f>
        <v>453106040991</v>
      </c>
    </row>
    <row r="229" spans="1:34" x14ac:dyDescent="0.25">
      <c r="A229" s="3">
        <v>202</v>
      </c>
      <c r="B229" s="3" t="s">
        <v>370</v>
      </c>
      <c r="C229" s="3" t="s">
        <v>228</v>
      </c>
      <c r="D229" s="3" t="s">
        <v>25</v>
      </c>
      <c r="E229" s="3">
        <v>121</v>
      </c>
      <c r="F229" s="3" t="s">
        <v>71</v>
      </c>
      <c r="G229" s="3" t="s">
        <v>329</v>
      </c>
      <c r="H229" s="3">
        <v>30</v>
      </c>
      <c r="I229" s="4">
        <v>121</v>
      </c>
      <c r="J229" s="5">
        <v>2790000</v>
      </c>
      <c r="K229" s="6">
        <f t="shared" si="120"/>
        <v>122</v>
      </c>
      <c r="L229" s="7">
        <f>IF($J229=0,0,ROUND(MAX($J229*1.4,1620000*(1.497923^(MIN($E229,123)-117)))*1,0))</f>
        <v>8155920</v>
      </c>
      <c r="M229" s="4">
        <f t="shared" si="121"/>
        <v>123</v>
      </c>
      <c r="N229" s="8">
        <f>IF($J229=0,0,ROUND(MAX($J229*1.4*1.5,2190000*(1.580994^(MIN($E229,123)-117)))*1,0))</f>
        <v>13682486</v>
      </c>
      <c r="O229" s="6">
        <f t="shared" si="122"/>
        <v>125</v>
      </c>
      <c r="P229" s="7">
        <f>IF($J229=0,0,ROUND(MAX($J229*1.4*1.5*1.6,3500000*(1.57975^(MIN($E229,123)-117)))*1,0))</f>
        <v>21798244</v>
      </c>
      <c r="Q229" s="4">
        <f t="shared" si="123"/>
        <v>127</v>
      </c>
      <c r="R229" s="8">
        <f>IF($J229=0,0,ROUND(MAX($J229*1.4*1.5*1.6*1.6,13100000*(1.429962^(MIN($E229,123)-117)))*1,0))</f>
        <v>54773347</v>
      </c>
      <c r="S229" s="6">
        <f t="shared" si="124"/>
        <v>129</v>
      </c>
      <c r="T229" s="7">
        <f>IF($J229=0,0,ROUND(MAX($J229*1.4*1.5*1.6*1.6*2.2,42600000*(1.576904^(MIN($E229,123)-117)))*1,0))</f>
        <v>263409005</v>
      </c>
      <c r="U229" s="4">
        <f t="shared" si="125"/>
        <v>132</v>
      </c>
      <c r="V229" s="8">
        <f>IF($J229=0,0,ROUND(MAX($J229*1.4*1.5*1.6*1.6*2.2*2.715,354000000*(1.642074^(MIN($E229,123)-117)))*1,0))</f>
        <v>2573796232</v>
      </c>
      <c r="W229" s="6">
        <f t="shared" si="126"/>
        <v>136</v>
      </c>
      <c r="X229" s="7">
        <f>IF($J229=0,0,ROUND(MAX($J229*1.4*1.5*1.6*1.6*2.2*2.715*2.6,3540000000*(1.579646^(MIN($E229,123)-117)))*1,0))</f>
        <v>22041561106</v>
      </c>
      <c r="Y229" s="4">
        <f t="shared" si="127"/>
        <v>138</v>
      </c>
      <c r="Z229" s="8">
        <f>IF($J229=0,0,ROUND(MAX($J229*1.4*1.5*1.6*1.6*2.2*2.715*2.6*1.4,6020000000*(1.651178^(MIN($E229,123)-117)))*1,0))</f>
        <v>44747838846</v>
      </c>
      <c r="AA229" s="6">
        <f t="shared" si="128"/>
        <v>140</v>
      </c>
      <c r="AB229" s="7">
        <f>IF($J229=0,0,ROUND(MAX($J229*1.4*1.5*1.6*1.6*2.2*2.715*2.6*1.4*1.4,8430000000*(1.651435^(MIN($E229,123)-117)))*1,0))</f>
        <v>62700862258</v>
      </c>
      <c r="AC229" s="4">
        <f t="shared" si="129"/>
        <v>142</v>
      </c>
      <c r="AD229" s="8">
        <f>IF($J229=0,0,ROUND(MAX($J229*1.4*1.5*1.6*1.6*2.2*2.715*2.6*1.4*1.4*1.5,12600000000*(1.652953^(MIN($E229,123)-117)))*1,0))</f>
        <v>94061644049</v>
      </c>
      <c r="AE229" s="6">
        <f t="shared" si="130"/>
        <v>145</v>
      </c>
      <c r="AF229" s="7">
        <f>IF($J229=0,0,ROUND(MAX($J229*1.4*1.5*1.6*1.6*2.2*2.715*2.6*1.4*1.4*1.5*1.5,18900000000*(1.65331^(MIN($E229,123)-117)))*1,0))</f>
        <v>141214396536</v>
      </c>
      <c r="AG229" s="4">
        <f t="shared" si="131"/>
        <v>148</v>
      </c>
      <c r="AH229" s="8">
        <f>IF($J229=0,0,ROUND(MAX($J229*1.4*1.5*1.6*1.6*2.2*2.715*2.6*1.4*1.4*1.5*1.5*3.2,60500000000*(1.654288^(MIN($E229,123)-117)))*1,0))</f>
        <v>453106040991</v>
      </c>
    </row>
    <row r="230" spans="1:34" x14ac:dyDescent="0.25">
      <c r="A230" s="3">
        <v>310</v>
      </c>
      <c r="B230" s="3" t="s">
        <v>371</v>
      </c>
      <c r="C230" s="3" t="s">
        <v>228</v>
      </c>
      <c r="D230" s="3" t="s">
        <v>33</v>
      </c>
      <c r="E230" s="3">
        <v>121</v>
      </c>
      <c r="F230" s="3" t="s">
        <v>71</v>
      </c>
      <c r="G230" s="3" t="s">
        <v>72</v>
      </c>
      <c r="H230" s="3">
        <v>30</v>
      </c>
      <c r="I230" s="4">
        <v>121</v>
      </c>
      <c r="J230" s="9">
        <v>2950000</v>
      </c>
      <c r="K230" s="6">
        <f t="shared" si="120"/>
        <v>122</v>
      </c>
      <c r="L230" s="7">
        <f>IF($J230=0,0,ROUND(MAX($J230*1.4,1620000*(1.497923^(MIN($E230,123)-117)))*1,0))</f>
        <v>8155920</v>
      </c>
      <c r="M230" s="4">
        <f t="shared" si="121"/>
        <v>123</v>
      </c>
      <c r="N230" s="8">
        <f>IF($J230=0,0,ROUND(MAX($J230*1.4*1.5,2190000*(1.580994^(MIN($E230,123)-117)))*1,0))</f>
        <v>13682486</v>
      </c>
      <c r="O230" s="6">
        <f t="shared" si="122"/>
        <v>125</v>
      </c>
      <c r="P230" s="7">
        <f>IF($J230=0,0,ROUND(MAX($J230*1.4*1.5*1.6,3500000*(1.57975^(MIN($E230,123)-117)))*1,0))</f>
        <v>21798244</v>
      </c>
      <c r="Q230" s="4">
        <f t="shared" si="123"/>
        <v>127</v>
      </c>
      <c r="R230" s="8">
        <f>IF($J230=0,0,ROUND(MAX($J230*1.4*1.5*1.6*1.6,13100000*(1.429962^(MIN($E230,123)-117)))*1,0))</f>
        <v>54773347</v>
      </c>
      <c r="S230" s="6">
        <f t="shared" si="124"/>
        <v>129</v>
      </c>
      <c r="T230" s="7">
        <f>IF($J230=0,0,ROUND(MAX($J230*1.4*1.5*1.6*1.6*2.2,42600000*(1.576904^(MIN($E230,123)-117)))*1,0))</f>
        <v>263409005</v>
      </c>
      <c r="U230" s="4">
        <f t="shared" si="125"/>
        <v>132</v>
      </c>
      <c r="V230" s="8">
        <f>IF($J230=0,0,ROUND(MAX($J230*1.4*1.5*1.6*1.6*2.2*2.715,354000000*(1.642074^(MIN($E230,123)-117)))*1,0))</f>
        <v>2573796232</v>
      </c>
      <c r="W230" s="6">
        <f t="shared" si="126"/>
        <v>136</v>
      </c>
      <c r="X230" s="7">
        <f>IF($J230=0,0,ROUND(MAX($J230*1.4*1.5*1.6*1.6*2.2*2.715*2.6,3540000000*(1.579646^(MIN($E230,123)-117)))*1,0))</f>
        <v>22041561106</v>
      </c>
      <c r="Y230" s="4">
        <f t="shared" si="127"/>
        <v>138</v>
      </c>
      <c r="Z230" s="8">
        <f>IF($J230=0,0,ROUND(MAX($J230*1.4*1.5*1.6*1.6*2.2*2.715*2.6*1.4,6020000000*(1.651178^(MIN($E230,123)-117)))*1,0))</f>
        <v>44747838846</v>
      </c>
      <c r="AA230" s="6">
        <f t="shared" si="128"/>
        <v>140</v>
      </c>
      <c r="AB230" s="7">
        <f>IF($J230=0,0,ROUND(MAX($J230*1.4*1.5*1.6*1.6*2.2*2.715*2.6*1.4*1.4,8430000000*(1.651435^(MIN($E230,123)-117)))*1,0))</f>
        <v>62700862258</v>
      </c>
      <c r="AC230" s="4">
        <f t="shared" si="129"/>
        <v>142</v>
      </c>
      <c r="AD230" s="8">
        <f>IF($J230=0,0,ROUND(MAX($J230*1.4*1.5*1.6*1.6*2.2*2.715*2.6*1.4*1.4*1.5,12600000000*(1.652953^(MIN($E230,123)-117)))*1,0))</f>
        <v>94061644049</v>
      </c>
      <c r="AE230" s="6">
        <f t="shared" si="130"/>
        <v>145</v>
      </c>
      <c r="AF230" s="7">
        <f>IF($J230=0,0,ROUND(MAX($J230*1.4*1.5*1.6*1.6*2.2*2.715*2.6*1.4*1.4*1.5*1.5,18900000000*(1.65331^(MIN($E230,123)-117)))*1,0))</f>
        <v>141214396536</v>
      </c>
      <c r="AG230" s="4">
        <f t="shared" si="131"/>
        <v>148</v>
      </c>
      <c r="AH230" s="8">
        <f>IF($J230=0,0,ROUND(MAX($J230*1.4*1.5*1.6*1.6*2.2*2.715*2.6*1.4*1.4*1.5*1.5*3.2,60500000000*(1.654288^(MIN($E230,123)-117)))*1,0))</f>
        <v>453106040991</v>
      </c>
    </row>
    <row r="231" spans="1:34" x14ac:dyDescent="0.25">
      <c r="A231" s="3">
        <v>311</v>
      </c>
      <c r="B231" s="3" t="s">
        <v>372</v>
      </c>
      <c r="C231" s="3" t="s">
        <v>228</v>
      </c>
      <c r="D231" s="3" t="s">
        <v>33</v>
      </c>
      <c r="E231" s="3">
        <v>121</v>
      </c>
      <c r="F231" s="3" t="s">
        <v>71</v>
      </c>
      <c r="G231" s="3" t="s">
        <v>206</v>
      </c>
      <c r="H231" s="3">
        <v>30</v>
      </c>
      <c r="I231" s="4">
        <v>121</v>
      </c>
      <c r="J231" s="9">
        <v>2920000</v>
      </c>
      <c r="K231" s="6">
        <f t="shared" si="120"/>
        <v>122</v>
      </c>
      <c r="L231" s="7">
        <f>IF($J231=0,0,ROUND(MAX($J231*1.4,1620000*(1.497923^(MIN($E231,123)-117)))*0.8,0))</f>
        <v>6524736</v>
      </c>
      <c r="M231" s="4">
        <f t="shared" si="121"/>
        <v>123</v>
      </c>
      <c r="N231" s="8">
        <f>IF($J231=0,0,ROUND(MAX($J231*1.4*1.5,2190000*(1.580994^(MIN($E231,123)-117)))*0.8,0))</f>
        <v>10945989</v>
      </c>
      <c r="O231" s="6">
        <f t="shared" si="122"/>
        <v>125</v>
      </c>
      <c r="P231" s="7">
        <f>IF($J231=0,0,ROUND(MAX($J231*1.4*1.5*1.6,3500000*(1.57975^(MIN($E231,123)-117)))*0.8,0))</f>
        <v>17438595</v>
      </c>
      <c r="Q231" s="4">
        <f t="shared" si="123"/>
        <v>127</v>
      </c>
      <c r="R231" s="8">
        <f>IF($J231=0,0,ROUND(MAX($J231*1.4*1.5*1.6*1.6,13100000*(1.429962^(MIN($E231,123)-117)))*0.651041666666667,0))</f>
        <v>35659731</v>
      </c>
      <c r="S231" s="6">
        <f t="shared" si="124"/>
        <v>129</v>
      </c>
      <c r="T231" s="7">
        <f>IF($J231=0,0,ROUND(MAX($J231*1.4*1.5*1.6*1.6*2.2,42600000*(1.576904^(MIN($E231,123)-117)))*0.617361111111111,0))</f>
        <v>162618476</v>
      </c>
      <c r="U231" s="4">
        <f t="shared" si="125"/>
        <v>132</v>
      </c>
      <c r="V231" s="8">
        <f>IF($J231=0,0,ROUND(MAX($J231*1.4*1.5*1.6*1.6*2.2*2.715,354000000*(1.642074^(MIN($E231,123)-117)))*0.583680555555556,0))</f>
        <v>1502274815</v>
      </c>
      <c r="W231" s="6">
        <f t="shared" si="126"/>
        <v>136</v>
      </c>
      <c r="X231" s="7">
        <f>IF($J231=0,0,ROUND(MAX($J231*1.4*1.5*1.6*1.6*2.2*2.715*2.6,3540000000*(1.579646^(MIN($E231,123)-117)))*0.55,0))</f>
        <v>12122858608</v>
      </c>
      <c r="Y231" s="4">
        <f t="shared" si="127"/>
        <v>138</v>
      </c>
      <c r="Z231" s="8">
        <f>IF($J231=0,0,ROUND(MAX($J231*1.4*1.5*1.6*1.6*2.2*2.715*2.6*1.4,6020000000*(1.651178^(MIN($E231,123)-117)))*0.55,0))</f>
        <v>24611311365</v>
      </c>
      <c r="AA231" s="6">
        <f t="shared" si="128"/>
        <v>140</v>
      </c>
      <c r="AB231" s="7">
        <f>IF($J231=0,0,ROUND(MAX($J231*1.4*1.5*1.6*1.6*2.2*2.715*2.6*1.4*1.4,8430000000*(1.651435^(MIN($E231,123)-117)))*0.55,0))</f>
        <v>34485474242</v>
      </c>
      <c r="AC231" s="4">
        <f t="shared" si="129"/>
        <v>142</v>
      </c>
      <c r="AD231" s="8">
        <f>IF($J231=0,0,ROUND(MAX($J231*1.4*1.5*1.6*1.6*2.2*2.715*2.6*1.4*1.4*1.5,12600000000*(1.652953^(MIN($E231,123)-117)))*0.55,0))</f>
        <v>51733904227</v>
      </c>
      <c r="AE231" s="6">
        <f t="shared" si="130"/>
        <v>145</v>
      </c>
      <c r="AF231" s="7">
        <f>IF($J231=0,0,ROUND(MAX($J231*1.4*1.5*1.6*1.6*2.2*2.715*2.6*1.4*1.4*1.5*1.5,18900000000*(1.65331^(MIN($E231,123)-117)))*0.55,0))</f>
        <v>77667918095</v>
      </c>
      <c r="AG231" s="4">
        <f t="shared" si="131"/>
        <v>148</v>
      </c>
      <c r="AH231" s="8">
        <f>IF($J231=0,0,ROUND(MAX($J231*1.4*1.5*1.6*1.6*2.2*2.715*2.6*1.4*1.4*1.5*1.5*3.2,60500000000*(1.654288^(MIN($E231,123)-117)))*0.55,0))</f>
        <v>249208322545</v>
      </c>
    </row>
    <row r="232" spans="1:34" x14ac:dyDescent="0.25">
      <c r="A232" s="3">
        <v>194</v>
      </c>
      <c r="B232" s="3" t="s">
        <v>373</v>
      </c>
      <c r="C232" s="3" t="s">
        <v>228</v>
      </c>
      <c r="D232" s="3" t="s">
        <v>102</v>
      </c>
      <c r="E232" s="3">
        <v>121</v>
      </c>
      <c r="F232" s="3" t="s">
        <v>59</v>
      </c>
      <c r="G232" s="3" t="s">
        <v>374</v>
      </c>
      <c r="H232" s="3">
        <v>31</v>
      </c>
      <c r="I232" s="4">
        <v>121</v>
      </c>
      <c r="J232" s="5">
        <v>2380000</v>
      </c>
      <c r="K232" s="6">
        <f t="shared" si="120"/>
        <v>122</v>
      </c>
      <c r="L232" s="7">
        <f>IF($J232=0,0,ROUND(MAX($J232*1.4,1620000*(1.497923^(MIN($E232,123)-117)))*1,0))</f>
        <v>8155920</v>
      </c>
      <c r="M232" s="4">
        <f t="shared" si="121"/>
        <v>123</v>
      </c>
      <c r="N232" s="8">
        <f>IF($J232=0,0,ROUND(MAX($J232*1.4*1.5,2190000*(1.580994^(MIN($E232,123)-117)))*1,0))</f>
        <v>13682486</v>
      </c>
      <c r="O232" s="6">
        <f t="shared" si="122"/>
        <v>125</v>
      </c>
      <c r="P232" s="7">
        <f>IF($J232=0,0,ROUND(MAX($J232*1.4*1.5*1.6,3500000*(1.57975^(MIN($E232,123)-117)))*1,0))</f>
        <v>21798244</v>
      </c>
      <c r="Q232" s="4">
        <f t="shared" si="123"/>
        <v>127</v>
      </c>
      <c r="R232" s="8">
        <f>IF($J232=0,0,ROUND(MAX($J232*1.4*1.5*1.6*1.6,13100000*(1.429962^(MIN($E232,123)-117)))*1,0))</f>
        <v>54773347</v>
      </c>
      <c r="S232" s="6">
        <f t="shared" si="124"/>
        <v>129</v>
      </c>
      <c r="T232" s="7">
        <f>IF($J232=0,0,ROUND(MAX($J232*1.4*1.5*1.6*1.6*2.2,42600000*(1.576904^(MIN($E232,123)-117)))*1,0))</f>
        <v>263409005</v>
      </c>
      <c r="U232" s="4">
        <f t="shared" si="125"/>
        <v>132</v>
      </c>
      <c r="V232" s="8">
        <f>IF($J232=0,0,ROUND(MAX($J232*1.4*1.5*1.6*1.6*2.2*2.715,354000000*(1.642074^(MIN($E232,123)-117)))*1,0))</f>
        <v>2573796232</v>
      </c>
      <c r="W232" s="6">
        <f t="shared" si="126"/>
        <v>136</v>
      </c>
      <c r="X232" s="7">
        <f>IF($J232=0,0,ROUND(MAX($J232*1.4*1.5*1.6*1.6*2.2*2.715*2.6,3540000000*(1.579646^(MIN($E232,123)-117)))*1,0))</f>
        <v>22041561106</v>
      </c>
      <c r="Y232" s="4">
        <f t="shared" si="127"/>
        <v>138</v>
      </c>
      <c r="Z232" s="8">
        <f>IF($J232=0,0,ROUND(MAX($J232*1.4*1.5*1.6*1.6*2.2*2.715*2.6*1.4,6020000000*(1.651178^(MIN($E232,123)-117)))*1,0))</f>
        <v>44747838846</v>
      </c>
      <c r="AA232" s="6">
        <f t="shared" si="128"/>
        <v>140</v>
      </c>
      <c r="AB232" s="7">
        <f>IF($J232=0,0,ROUND(MAX($J232*1.4*1.5*1.6*1.6*2.2*2.715*2.6*1.4*1.4,8430000000*(1.651435^(MIN($E232,123)-117)))*1,0))</f>
        <v>62700862258</v>
      </c>
      <c r="AC232" s="4">
        <f t="shared" si="129"/>
        <v>142</v>
      </c>
      <c r="AD232" s="8">
        <f>IF($J232=0,0,ROUND(MAX($J232*1.4*1.5*1.6*1.6*2.2*2.715*2.6*1.4*1.4*1.5,12600000000*(1.652953^(MIN($E232,123)-117)))*1,0))</f>
        <v>94061644049</v>
      </c>
      <c r="AE232" s="6">
        <f t="shared" si="130"/>
        <v>145</v>
      </c>
      <c r="AF232" s="7">
        <f>IF($J232=0,0,ROUND(MAX($J232*1.4*1.5*1.6*1.6*2.2*2.715*2.6*1.4*1.4*1.5*1.5,18900000000*(1.65331^(MIN($E232,123)-117)))*1,0))</f>
        <v>141214396536</v>
      </c>
      <c r="AG232" s="4">
        <f t="shared" si="131"/>
        <v>148</v>
      </c>
      <c r="AH232" s="8">
        <f>IF($J232=0,0,ROUND(MAX($J232*1.4*1.5*1.6*1.6*2.2*2.715*2.6*1.4*1.4*1.5*1.5*3.2,60500000000*(1.654288^(MIN($E232,123)-117)))*1,0))</f>
        <v>453106040991</v>
      </c>
    </row>
    <row r="233" spans="1:34" x14ac:dyDescent="0.25">
      <c r="A233" s="3">
        <v>196</v>
      </c>
      <c r="B233" s="3" t="s">
        <v>375</v>
      </c>
      <c r="C233" s="3" t="s">
        <v>228</v>
      </c>
      <c r="D233" s="3" t="s">
        <v>40</v>
      </c>
      <c r="E233" s="3">
        <v>121</v>
      </c>
      <c r="F233" s="3" t="s">
        <v>376</v>
      </c>
      <c r="G233" s="3" t="s">
        <v>277</v>
      </c>
      <c r="H233" s="3">
        <v>31</v>
      </c>
      <c r="I233" s="4">
        <v>121</v>
      </c>
      <c r="J233" s="5">
        <v>2750000</v>
      </c>
      <c r="K233" s="6">
        <f t="shared" si="120"/>
        <v>122</v>
      </c>
      <c r="L233" s="7">
        <f>IF($J233=0,0,ROUND(MAX($J233*1.4,1620000*(1.497923^(MIN($E233,123)-117)))*1,0))</f>
        <v>8155920</v>
      </c>
      <c r="M233" s="4">
        <f t="shared" si="121"/>
        <v>123</v>
      </c>
      <c r="N233" s="8">
        <f>IF($J233=0,0,ROUND(MAX($J233*1.4*1.5,2190000*(1.580994^(MIN($E233,123)-117)))*1,0))</f>
        <v>13682486</v>
      </c>
      <c r="O233" s="6">
        <f t="shared" si="122"/>
        <v>125</v>
      </c>
      <c r="P233" s="7">
        <f>IF($J233=0,0,ROUND(MAX($J233*1.4*1.5*1.6,3500000*(1.57975^(MIN($E233,123)-117)))*1,0))</f>
        <v>21798244</v>
      </c>
      <c r="Q233" s="4">
        <f t="shared" si="123"/>
        <v>127</v>
      </c>
      <c r="R233" s="8">
        <f>IF($J233=0,0,ROUND(MAX($J233*1.4*1.5*1.6*1.6,13100000*(1.429962^(MIN($E233,123)-117)))*1,0))</f>
        <v>54773347</v>
      </c>
      <c r="S233" s="6">
        <f t="shared" si="124"/>
        <v>129</v>
      </c>
      <c r="T233" s="7">
        <f>IF($J233=0,0,ROUND(MAX($J233*1.4*1.5*1.6*1.6*2.2,42600000*(1.576904^(MIN($E233,123)-117)))*1,0))</f>
        <v>263409005</v>
      </c>
      <c r="U233" s="4">
        <f t="shared" si="125"/>
        <v>132</v>
      </c>
      <c r="V233" s="8">
        <f>IF($J233=0,0,ROUND(MAX($J233*1.4*1.5*1.6*1.6*2.2*2.715,354000000*(1.642074^(MIN($E233,123)-117)))*1,0))</f>
        <v>2573796232</v>
      </c>
      <c r="W233" s="6">
        <f t="shared" si="126"/>
        <v>136</v>
      </c>
      <c r="X233" s="7">
        <f>IF($J233=0,0,ROUND(MAX($J233*1.4*1.5*1.6*1.6*2.2*2.715*2.6,3540000000*(1.579646^(MIN($E233,123)-117)))*1,0))</f>
        <v>22041561106</v>
      </c>
      <c r="Y233" s="4">
        <f t="shared" si="127"/>
        <v>138</v>
      </c>
      <c r="Z233" s="8">
        <f>IF($J233=0,0,ROUND(MAX($J233*1.4*1.5*1.6*1.6*2.2*2.715*2.6*1.4,6020000000*(1.651178^(MIN($E233,123)-117)))*1,0))</f>
        <v>44747838846</v>
      </c>
      <c r="AA233" s="6">
        <f t="shared" si="128"/>
        <v>140</v>
      </c>
      <c r="AB233" s="7">
        <f>IF($J233=0,0,ROUND(MAX($J233*1.4*1.5*1.6*1.6*2.2*2.715*2.6*1.4*1.4,8430000000*(1.651435^(MIN($E233,123)-117)))*1,0))</f>
        <v>62700862258</v>
      </c>
      <c r="AC233" s="4">
        <f t="shared" si="129"/>
        <v>142</v>
      </c>
      <c r="AD233" s="8">
        <f>IF($J233=0,0,ROUND(MAX($J233*1.4*1.5*1.6*1.6*2.2*2.715*2.6*1.4*1.4*1.5,12600000000*(1.652953^(MIN($E233,123)-117)))*1,0))</f>
        <v>94061644049</v>
      </c>
      <c r="AE233" s="6">
        <f t="shared" si="130"/>
        <v>145</v>
      </c>
      <c r="AF233" s="7">
        <f>IF($J233=0,0,ROUND(MAX($J233*1.4*1.5*1.6*1.6*2.2*2.715*2.6*1.4*1.4*1.5*1.5,18900000000*(1.65331^(MIN($E233,123)-117)))*1,0))</f>
        <v>141214396536</v>
      </c>
      <c r="AG233" s="4">
        <f t="shared" si="131"/>
        <v>148</v>
      </c>
      <c r="AH233" s="8">
        <f>IF($J233=0,0,ROUND(MAX($J233*1.4*1.5*1.6*1.6*2.2*2.715*2.6*1.4*1.4*1.5*1.5*3.2,60500000000*(1.654288^(MIN($E233,123)-117)))*1,0))</f>
        <v>453106040991</v>
      </c>
    </row>
    <row r="234" spans="1:34" x14ac:dyDescent="0.25">
      <c r="A234" s="3">
        <v>294</v>
      </c>
      <c r="B234" s="3" t="s">
        <v>377</v>
      </c>
      <c r="C234" s="3" t="s">
        <v>228</v>
      </c>
      <c r="D234" s="3" t="s">
        <v>25</v>
      </c>
      <c r="E234" s="3">
        <v>121</v>
      </c>
      <c r="F234" s="3" t="s">
        <v>59</v>
      </c>
      <c r="G234" s="3" t="s">
        <v>272</v>
      </c>
      <c r="H234" s="3">
        <v>31</v>
      </c>
      <c r="I234" s="4">
        <v>121</v>
      </c>
      <c r="J234" s="9">
        <v>2920000</v>
      </c>
      <c r="K234" s="6">
        <f t="shared" si="120"/>
        <v>122</v>
      </c>
      <c r="L234" s="7">
        <f>IF($J234=0,0,ROUND(MAX($J234*1.4,1620000*(1.497923^(MIN($E234,123)-117)))*1,0))</f>
        <v>8155920</v>
      </c>
      <c r="M234" s="4">
        <f t="shared" si="121"/>
        <v>123</v>
      </c>
      <c r="N234" s="8">
        <f>IF($J234=0,0,ROUND(MAX($J234*1.4*1.5,2190000*(1.580994^(MIN($E234,123)-117)))*1,0))</f>
        <v>13682486</v>
      </c>
      <c r="O234" s="6">
        <f t="shared" si="122"/>
        <v>125</v>
      </c>
      <c r="P234" s="7">
        <f>IF($J234=0,0,ROUND(MAX($J234*1.4*1.5*1.6,3500000*(1.57975^(MIN($E234,123)-117)))*1,0))</f>
        <v>21798244</v>
      </c>
      <c r="Q234" s="4">
        <f t="shared" si="123"/>
        <v>127</v>
      </c>
      <c r="R234" s="8">
        <f>IF($J234=0,0,ROUND(MAX($J234*1.4*1.5*1.6*1.6,13100000*(1.429962^(MIN($E234,123)-117)))*1,0))</f>
        <v>54773347</v>
      </c>
      <c r="S234" s="6">
        <f t="shared" si="124"/>
        <v>129</v>
      </c>
      <c r="T234" s="7">
        <f>IF($J234=0,0,ROUND(MAX($J234*1.4*1.5*1.6*1.6*2.2,42600000*(1.576904^(MIN($E234,123)-117)))*1,0))</f>
        <v>263409005</v>
      </c>
      <c r="U234" s="4">
        <f t="shared" si="125"/>
        <v>132</v>
      </c>
      <c r="V234" s="8">
        <f>IF($J234=0,0,ROUND(MAX($J234*1.4*1.5*1.6*1.6*2.2*2.715,354000000*(1.642074^(MIN($E234,123)-117)))*1,0))</f>
        <v>2573796232</v>
      </c>
      <c r="W234" s="6">
        <f t="shared" si="126"/>
        <v>136</v>
      </c>
      <c r="X234" s="7">
        <f>IF($J234=0,0,ROUND(MAX($J234*1.4*1.5*1.6*1.6*2.2*2.715*2.6,3540000000*(1.579646^(MIN($E234,123)-117)))*1,0))</f>
        <v>22041561106</v>
      </c>
      <c r="Y234" s="4">
        <f t="shared" si="127"/>
        <v>138</v>
      </c>
      <c r="Z234" s="8">
        <f>IF($J234=0,0,ROUND(MAX($J234*1.4*1.5*1.6*1.6*2.2*2.715*2.6*1.4,6020000000*(1.651178^(MIN($E234,123)-117)))*1,0))</f>
        <v>44747838846</v>
      </c>
      <c r="AA234" s="6">
        <f t="shared" si="128"/>
        <v>140</v>
      </c>
      <c r="AB234" s="7">
        <f>IF($J234=0,0,ROUND(MAX($J234*1.4*1.5*1.6*1.6*2.2*2.715*2.6*1.4*1.4,8430000000*(1.651435^(MIN($E234,123)-117)))*1,0))</f>
        <v>62700862258</v>
      </c>
      <c r="AC234" s="4">
        <f t="shared" si="129"/>
        <v>142</v>
      </c>
      <c r="AD234" s="8">
        <f>IF($J234=0,0,ROUND(MAX($J234*1.4*1.5*1.6*1.6*2.2*2.715*2.6*1.4*1.4*1.5,12600000000*(1.652953^(MIN($E234,123)-117)))*1,0))</f>
        <v>94061644049</v>
      </c>
      <c r="AE234" s="6">
        <f t="shared" si="130"/>
        <v>145</v>
      </c>
      <c r="AF234" s="7">
        <f>IF($J234=0,0,ROUND(MAX($J234*1.4*1.5*1.6*1.6*2.2*2.715*2.6*1.4*1.4*1.5*1.5,18900000000*(1.65331^(MIN($E234,123)-117)))*1,0))</f>
        <v>141214396536</v>
      </c>
      <c r="AG234" s="4">
        <f t="shared" si="131"/>
        <v>148</v>
      </c>
      <c r="AH234" s="8">
        <f>IF($J234=0,0,ROUND(MAX($J234*1.4*1.5*1.6*1.6*2.2*2.715*2.6*1.4*1.4*1.5*1.5*3.2,60500000000*(1.654288^(MIN($E234,123)-117)))*1,0))</f>
        <v>453106040991</v>
      </c>
    </row>
    <row r="235" spans="1:34" x14ac:dyDescent="0.25">
      <c r="A235" s="3">
        <v>309</v>
      </c>
      <c r="B235" s="3" t="s">
        <v>378</v>
      </c>
      <c r="C235" s="3" t="s">
        <v>228</v>
      </c>
      <c r="D235" s="3" t="s">
        <v>90</v>
      </c>
      <c r="E235" s="3">
        <v>121</v>
      </c>
      <c r="F235" s="3" t="s">
        <v>144</v>
      </c>
      <c r="G235" s="3" t="s">
        <v>379</v>
      </c>
      <c r="H235" s="3">
        <v>30</v>
      </c>
      <c r="I235" s="4">
        <v>121</v>
      </c>
      <c r="J235" s="9">
        <v>2560000</v>
      </c>
      <c r="K235" s="6">
        <f t="shared" si="120"/>
        <v>122</v>
      </c>
      <c r="L235" s="7">
        <f>IF($J235=0,0,ROUND(MAX($J235*1.4,1620000*(1.497923^(MIN($E235,123)-117)))*1,0))</f>
        <v>8155920</v>
      </c>
      <c r="M235" s="4">
        <f t="shared" si="121"/>
        <v>123</v>
      </c>
      <c r="N235" s="8">
        <f>IF($J235=0,0,ROUND(MAX($J235*1.4*1.5,2190000*(1.580994^(MIN($E235,123)-117)))*1,0))</f>
        <v>13682486</v>
      </c>
      <c r="O235" s="6">
        <f t="shared" si="122"/>
        <v>125</v>
      </c>
      <c r="P235" s="7">
        <f>IF($J235=0,0,ROUND(MAX($J235*1.4*1.5*1.6,3500000*(1.57975^(MIN($E235,123)-117)))*1,0))</f>
        <v>21798244</v>
      </c>
      <c r="Q235" s="4">
        <f t="shared" si="123"/>
        <v>127</v>
      </c>
      <c r="R235" s="8">
        <f>IF($J235=0,0,ROUND(MAX($J235*1.4*1.5*1.6*1.6,13100000*(1.429962^(MIN($E235,123)-117)))*1,0))</f>
        <v>54773347</v>
      </c>
      <c r="S235" s="6">
        <f t="shared" si="124"/>
        <v>129</v>
      </c>
      <c r="T235" s="7">
        <f>IF($J235=0,0,ROUND(MAX($J235*1.4*1.5*1.6*1.6*2.2,42600000*(1.576904^(MIN($E235,123)-117)))*1,0))</f>
        <v>263409005</v>
      </c>
      <c r="U235" s="4">
        <f t="shared" si="125"/>
        <v>132</v>
      </c>
      <c r="V235" s="8">
        <f>IF($J235=0,0,ROUND(MAX($J235*1.4*1.5*1.6*1.6*2.2*2.715,354000000*(1.642074^(MIN($E235,123)-117)))*1,0))</f>
        <v>2573796232</v>
      </c>
      <c r="W235" s="6">
        <f t="shared" si="126"/>
        <v>136</v>
      </c>
      <c r="X235" s="7">
        <f>IF($J235=0,0,ROUND(MAX($J235*1.4*1.5*1.6*1.6*2.2*2.715*2.6,3540000000*(1.579646^(MIN($E235,123)-117)))*1,0))</f>
        <v>22041561106</v>
      </c>
      <c r="Y235" s="4">
        <f t="shared" si="127"/>
        <v>138</v>
      </c>
      <c r="Z235" s="8">
        <f>IF($J235=0,0,ROUND(MAX($J235*1.4*1.5*1.6*1.6*2.2*2.715*2.6*1.4,6020000000*(1.651178^(MIN($E235,123)-117)))*1,0))</f>
        <v>44747838846</v>
      </c>
      <c r="AA235" s="6">
        <f t="shared" si="128"/>
        <v>140</v>
      </c>
      <c r="AB235" s="7">
        <f>IF($J235=0,0,ROUND(MAX($J235*1.4*1.5*1.6*1.6*2.2*2.715*2.6*1.4*1.4,8430000000*(1.651435^(MIN($E235,123)-117)))*1,0))</f>
        <v>62700862258</v>
      </c>
      <c r="AC235" s="4">
        <f t="shared" si="129"/>
        <v>142</v>
      </c>
      <c r="AD235" s="8">
        <f>IF($J235=0,0,ROUND(MAX($J235*1.4*1.5*1.6*1.6*2.2*2.715*2.6*1.4*1.4*1.5,12600000000*(1.652953^(MIN($E235,123)-117)))*1,0))</f>
        <v>94061644049</v>
      </c>
      <c r="AE235" s="6">
        <f t="shared" si="130"/>
        <v>145</v>
      </c>
      <c r="AF235" s="7">
        <f>IF($J235=0,0,ROUND(MAX($J235*1.4*1.5*1.6*1.6*2.2*2.715*2.6*1.4*1.4*1.5*1.5,18900000000*(1.65331^(MIN($E235,123)-117)))*1,0))</f>
        <v>141214396536</v>
      </c>
      <c r="AG235" s="4">
        <f t="shared" si="131"/>
        <v>148</v>
      </c>
      <c r="AH235" s="8">
        <f>IF($J235=0,0,ROUND(MAX($J235*1.4*1.5*1.6*1.6*2.2*2.715*2.6*1.4*1.4*1.5*1.5*3.2,60500000000*(1.654288^(MIN($E235,123)-117)))*1,0))</f>
        <v>453106040991</v>
      </c>
    </row>
    <row r="236" spans="1:34" x14ac:dyDescent="0.25">
      <c r="A236" s="3">
        <v>203</v>
      </c>
      <c r="B236" s="3" t="s">
        <v>380</v>
      </c>
      <c r="C236" s="3" t="s">
        <v>228</v>
      </c>
      <c r="D236" s="3" t="s">
        <v>45</v>
      </c>
      <c r="E236" s="3">
        <v>121</v>
      </c>
      <c r="F236" s="3" t="s">
        <v>54</v>
      </c>
      <c r="G236" s="3" t="s">
        <v>381</v>
      </c>
      <c r="H236" s="3">
        <v>30</v>
      </c>
      <c r="I236" s="4">
        <v>121</v>
      </c>
      <c r="J236" s="5">
        <v>2750000</v>
      </c>
      <c r="K236" s="6">
        <f t="shared" si="120"/>
        <v>122</v>
      </c>
      <c r="L236" s="7">
        <f>IF($J236=0,0,ROUND(MAX($J236*1.4,1620000*(1.497923^(MIN($E236,123)-117)))*0.8,0))</f>
        <v>6524736</v>
      </c>
      <c r="M236" s="4">
        <f t="shared" si="121"/>
        <v>123</v>
      </c>
      <c r="N236" s="8">
        <f>IF($J236=0,0,ROUND(MAX($J236*1.4*1.5,2190000*(1.580994^(MIN($E236,123)-117)))*0.8,0))</f>
        <v>10945989</v>
      </c>
      <c r="O236" s="6">
        <f t="shared" si="122"/>
        <v>125</v>
      </c>
      <c r="P236" s="7">
        <f>IF($J236=0,0,ROUND(MAX($J236*1.4*1.5*1.6,3500000*(1.57975^(MIN($E236,123)-117)))*0.8,0))</f>
        <v>17438595</v>
      </c>
      <c r="Q236" s="4">
        <f t="shared" si="123"/>
        <v>127</v>
      </c>
      <c r="R236" s="8">
        <f>IF($J236=0,0,ROUND(MAX($J236*1.4*1.5*1.6*1.6,13100000*(1.429962^(MIN($E236,123)-117)))*0.651041666666667,0))</f>
        <v>35659731</v>
      </c>
      <c r="S236" s="6">
        <f t="shared" si="124"/>
        <v>129</v>
      </c>
      <c r="T236" s="7">
        <f>IF($J236=0,0,ROUND(MAX($J236*1.4*1.5*1.6*1.6*2.2,42600000*(1.576904^(MIN($E236,123)-117)))*0.617361111111111,0))</f>
        <v>162618476</v>
      </c>
      <c r="U236" s="4">
        <f t="shared" si="125"/>
        <v>132</v>
      </c>
      <c r="V236" s="8">
        <f>IF($J236=0,0,ROUND(MAX($J236*1.4*1.5*1.6*1.6*2.2*2.715,354000000*(1.642074^(MIN($E236,123)-117)))*0.583680555555556,0))</f>
        <v>1502274815</v>
      </c>
      <c r="W236" s="6">
        <f t="shared" si="126"/>
        <v>136</v>
      </c>
      <c r="X236" s="7">
        <f>IF($J236=0,0,ROUND(MAX($J236*1.4*1.5*1.6*1.6*2.2*2.715*2.6,3540000000*(1.579646^(MIN($E236,123)-117)))*0.55,0))</f>
        <v>12122858608</v>
      </c>
      <c r="Y236" s="4">
        <f t="shared" si="127"/>
        <v>138</v>
      </c>
      <c r="Z236" s="8">
        <f>IF($J236=0,0,ROUND(MAX($J236*1.4*1.5*1.6*1.6*2.2*2.715*2.6*1.4,6020000000*(1.651178^(MIN($E236,123)-117)))*0.55,0))</f>
        <v>24611311365</v>
      </c>
      <c r="AA236" s="6">
        <f t="shared" si="128"/>
        <v>140</v>
      </c>
      <c r="AB236" s="7">
        <f>IF($J236=0,0,ROUND(MAX($J236*1.4*1.5*1.6*1.6*2.2*2.715*2.6*1.4*1.4,8430000000*(1.651435^(MIN($E236,123)-117)))*0.55,0))</f>
        <v>34485474242</v>
      </c>
      <c r="AC236" s="4">
        <f t="shared" si="129"/>
        <v>142</v>
      </c>
      <c r="AD236" s="8">
        <f>IF($J236=0,0,ROUND(MAX($J236*1.4*1.5*1.6*1.6*2.2*2.715*2.6*1.4*1.4*1.5,12600000000*(1.652953^(MIN($E236,123)-117)))*0.55,0))</f>
        <v>51733904227</v>
      </c>
      <c r="AE236" s="6">
        <f t="shared" si="130"/>
        <v>145</v>
      </c>
      <c r="AF236" s="7">
        <f>IF($J236=0,0,ROUND(MAX($J236*1.4*1.5*1.6*1.6*2.2*2.715*2.6*1.4*1.4*1.5*1.5,18900000000*(1.65331^(MIN($E236,123)-117)))*0.55,0))</f>
        <v>77667918095</v>
      </c>
      <c r="AG236" s="4">
        <f t="shared" si="131"/>
        <v>148</v>
      </c>
      <c r="AH236" s="8">
        <f>IF($J236=0,0,ROUND(MAX($J236*1.4*1.5*1.6*1.6*2.2*2.715*2.6*1.4*1.4*1.5*1.5*3.2,60500000000*(1.654288^(MIN($E236,123)-117)))*0.55,0))</f>
        <v>249208322545</v>
      </c>
    </row>
    <row r="237" spans="1:34" x14ac:dyDescent="0.25">
      <c r="A237" s="3">
        <v>190</v>
      </c>
      <c r="B237" s="3" t="s">
        <v>382</v>
      </c>
      <c r="C237" s="3" t="s">
        <v>228</v>
      </c>
      <c r="D237" s="3" t="s">
        <v>93</v>
      </c>
      <c r="E237" s="3">
        <v>121</v>
      </c>
      <c r="F237" s="3" t="s">
        <v>383</v>
      </c>
      <c r="G237" s="3" t="s">
        <v>67</v>
      </c>
      <c r="H237" s="3">
        <v>31</v>
      </c>
      <c r="I237" s="4">
        <v>121</v>
      </c>
      <c r="J237" s="5">
        <v>2750000</v>
      </c>
      <c r="K237" s="6">
        <f t="shared" si="120"/>
        <v>122</v>
      </c>
      <c r="L237" s="7">
        <f>IF($J237=0,0,ROUND(MAX($J237*1.4,1620000*(1.497923^(MIN($E237,123)-117)))*1,0))</f>
        <v>8155920</v>
      </c>
      <c r="M237" s="4">
        <f t="shared" si="121"/>
        <v>123</v>
      </c>
      <c r="N237" s="8">
        <f>IF($J237=0,0,ROUND(MAX($J237*1.4*1.5,2190000*(1.580994^(MIN($E237,123)-117)))*1,0))</f>
        <v>13682486</v>
      </c>
      <c r="O237" s="6">
        <f t="shared" si="122"/>
        <v>125</v>
      </c>
      <c r="P237" s="7">
        <f>IF($J237=0,0,ROUND(MAX($J237*1.4*1.5*1.6,3500000*(1.57975^(MIN($E237,123)-117)))*1,0))</f>
        <v>21798244</v>
      </c>
      <c r="Q237" s="4">
        <f t="shared" si="123"/>
        <v>127</v>
      </c>
      <c r="R237" s="8">
        <f>IF($J237=0,0,ROUND(MAX($J237*1.4*1.5*1.6*1.6,13100000*(1.429962^(MIN($E237,123)-117)))*1,0))</f>
        <v>54773347</v>
      </c>
      <c r="S237" s="6">
        <f t="shared" si="124"/>
        <v>129</v>
      </c>
      <c r="T237" s="7">
        <f>IF($J237=0,0,ROUND(MAX($J237*1.4*1.5*1.6*1.6*2.2,42600000*(1.576904^(MIN($E237,123)-117)))*1,0))</f>
        <v>263409005</v>
      </c>
      <c r="U237" s="4">
        <f t="shared" si="125"/>
        <v>132</v>
      </c>
      <c r="V237" s="8">
        <f>IF($J237=0,0,ROUND(MAX($J237*1.4*1.5*1.6*1.6*2.2*2.715,354000000*(1.642074^(MIN($E237,123)-117)))*1,0))</f>
        <v>2573796232</v>
      </c>
      <c r="W237" s="6">
        <f t="shared" si="126"/>
        <v>136</v>
      </c>
      <c r="X237" s="7">
        <f>IF($J237=0,0,ROUND(MAX($J237*1.4*1.5*1.6*1.6*2.2*2.715*2.6,3540000000*(1.579646^(MIN($E237,123)-117)))*1,0))</f>
        <v>22041561106</v>
      </c>
      <c r="Y237" s="4">
        <f t="shared" si="127"/>
        <v>138</v>
      </c>
      <c r="Z237" s="8">
        <f>IF($J237=0,0,ROUND(MAX($J237*1.4*1.5*1.6*1.6*2.2*2.715*2.6*1.4,6020000000*(1.651178^(MIN($E237,123)-117)))*1,0))</f>
        <v>44747838846</v>
      </c>
      <c r="AA237" s="6">
        <f t="shared" si="128"/>
        <v>140</v>
      </c>
      <c r="AB237" s="7">
        <f>IF($J237=0,0,ROUND(MAX($J237*1.4*1.5*1.6*1.6*2.2*2.715*2.6*1.4*1.4,8430000000*(1.651435^(MIN($E237,123)-117)))*1,0))</f>
        <v>62700862258</v>
      </c>
      <c r="AC237" s="4">
        <f t="shared" si="129"/>
        <v>142</v>
      </c>
      <c r="AD237" s="8">
        <f>IF($J237=0,0,ROUND(MAX($J237*1.4*1.5*1.6*1.6*2.2*2.715*2.6*1.4*1.4*1.5,12600000000*(1.652953^(MIN($E237,123)-117)))*1,0))</f>
        <v>94061644049</v>
      </c>
      <c r="AE237" s="6">
        <f t="shared" si="130"/>
        <v>145</v>
      </c>
      <c r="AF237" s="7">
        <f>IF($J237=0,0,ROUND(MAX($J237*1.4*1.5*1.6*1.6*2.2*2.715*2.6*1.4*1.4*1.5*1.5,18900000000*(1.65331^(MIN($E237,123)-117)))*1,0))</f>
        <v>141214396536</v>
      </c>
      <c r="AG237" s="4">
        <f t="shared" si="131"/>
        <v>148</v>
      </c>
      <c r="AH237" s="8">
        <f>IF($J237=0,0,ROUND(MAX($J237*1.4*1.5*1.6*1.6*2.2*2.715*2.6*1.4*1.4*1.5*1.5*3.2,60500000000*(1.654288^(MIN($E237,123)-117)))*1,0))</f>
        <v>453106040991</v>
      </c>
    </row>
    <row r="238" spans="1:34" x14ac:dyDescent="0.25">
      <c r="A238" s="3">
        <v>312</v>
      </c>
      <c r="B238" s="3" t="s">
        <v>384</v>
      </c>
      <c r="C238" s="3" t="s">
        <v>228</v>
      </c>
      <c r="D238" s="3" t="s">
        <v>33</v>
      </c>
      <c r="E238" s="3">
        <v>121</v>
      </c>
      <c r="F238" s="3" t="s">
        <v>385</v>
      </c>
      <c r="G238" s="3" t="s">
        <v>218</v>
      </c>
      <c r="H238" s="3">
        <v>29</v>
      </c>
      <c r="I238" s="4">
        <v>121</v>
      </c>
      <c r="J238" s="9">
        <v>3000000</v>
      </c>
      <c r="K238" s="6">
        <f t="shared" si="120"/>
        <v>122</v>
      </c>
      <c r="L238" s="7">
        <f>IF($J238=0,0,ROUND(MAX($J238*1.4,1620000*(1.497923^(MIN($E238,123)-117)))*1,0))</f>
        <v>8155920</v>
      </c>
      <c r="M238" s="4">
        <f t="shared" si="121"/>
        <v>123</v>
      </c>
      <c r="N238" s="8">
        <f>IF($J238=0,0,ROUND(MAX($J238*1.4*1.5,2190000*(1.580994^(MIN($E238,123)-117)))*1,0))</f>
        <v>13682486</v>
      </c>
      <c r="O238" s="6">
        <f t="shared" si="122"/>
        <v>125</v>
      </c>
      <c r="P238" s="7">
        <f>IF($J238=0,0,ROUND(MAX($J238*1.4*1.5*1.6,3500000*(1.57975^(MIN($E238,123)-117)))*1,0))</f>
        <v>21798244</v>
      </c>
      <c r="Q238" s="4">
        <f t="shared" si="123"/>
        <v>127</v>
      </c>
      <c r="R238" s="8">
        <f>IF($J238=0,0,ROUND(MAX($J238*1.4*1.5*1.6*1.6,13100000*(1.429962^(MIN($E238,123)-117)))*1,0))</f>
        <v>54773347</v>
      </c>
      <c r="S238" s="6">
        <f t="shared" si="124"/>
        <v>129</v>
      </c>
      <c r="T238" s="7">
        <f>IF($J238=0,0,ROUND(MAX($J238*1.4*1.5*1.6*1.6*2.2,42600000*(1.576904^(MIN($E238,123)-117)))*1,0))</f>
        <v>263409005</v>
      </c>
      <c r="U238" s="4">
        <f t="shared" si="125"/>
        <v>132</v>
      </c>
      <c r="V238" s="8">
        <f>IF($J238=0,0,ROUND(MAX($J238*1.4*1.5*1.6*1.6*2.2*2.715,354000000*(1.642074^(MIN($E238,123)-117)))*1,0))</f>
        <v>2573796232</v>
      </c>
      <c r="W238" s="6">
        <f t="shared" si="126"/>
        <v>136</v>
      </c>
      <c r="X238" s="7">
        <f>IF($J238=0,0,ROUND(MAX($J238*1.4*1.5*1.6*1.6*2.2*2.715*2.6,3540000000*(1.579646^(MIN($E238,123)-117)))*1,0))</f>
        <v>22041561106</v>
      </c>
      <c r="Y238" s="4">
        <f t="shared" si="127"/>
        <v>138</v>
      </c>
      <c r="Z238" s="8">
        <f>IF($J238=0,0,ROUND(MAX($J238*1.4*1.5*1.6*1.6*2.2*2.715*2.6*1.4,6020000000*(1.651178^(MIN($E238,123)-117)))*1,0))</f>
        <v>44747838846</v>
      </c>
      <c r="AA238" s="6">
        <f t="shared" si="128"/>
        <v>140</v>
      </c>
      <c r="AB238" s="7">
        <f>IF($J238=0,0,ROUND(MAX($J238*1.4*1.5*1.6*1.6*2.2*2.715*2.6*1.4*1.4,8430000000*(1.651435^(MIN($E238,123)-117)))*1,0))</f>
        <v>62700862258</v>
      </c>
      <c r="AC238" s="4">
        <f t="shared" si="129"/>
        <v>142</v>
      </c>
      <c r="AD238" s="8">
        <f>IF($J238=0,0,ROUND(MAX($J238*1.4*1.5*1.6*1.6*2.2*2.715*2.6*1.4*1.4*1.5,12600000000*(1.652953^(MIN($E238,123)-117)))*1,0))</f>
        <v>94061644049</v>
      </c>
      <c r="AE238" s="6">
        <f t="shared" si="130"/>
        <v>145</v>
      </c>
      <c r="AF238" s="7">
        <f>IF($J238=0,0,ROUND(MAX($J238*1.4*1.5*1.6*1.6*2.2*2.715*2.6*1.4*1.4*1.5*1.5,18900000000*(1.65331^(MIN($E238,123)-117)))*1,0))</f>
        <v>141214396536</v>
      </c>
      <c r="AG238" s="4">
        <f t="shared" si="131"/>
        <v>148</v>
      </c>
      <c r="AH238" s="8">
        <f>IF($J238=0,0,ROUND(MAX($J238*1.4*1.5*1.6*1.6*2.2*2.715*2.6*1.4*1.4*1.5*1.5*3.2,60500000000*(1.654288^(MIN($E238,123)-117)))*1,0))</f>
        <v>453106040991</v>
      </c>
    </row>
    <row r="239" spans="1:34" x14ac:dyDescent="0.25">
      <c r="A239" s="3">
        <v>287</v>
      </c>
      <c r="B239" s="3" t="s">
        <v>386</v>
      </c>
      <c r="C239" s="3" t="s">
        <v>228</v>
      </c>
      <c r="D239" s="3" t="s">
        <v>45</v>
      </c>
      <c r="E239" s="3">
        <v>121</v>
      </c>
      <c r="F239" s="3" t="s">
        <v>54</v>
      </c>
      <c r="G239" s="3" t="s">
        <v>218</v>
      </c>
      <c r="H239" s="3">
        <v>30</v>
      </c>
      <c r="I239" s="4">
        <v>121</v>
      </c>
      <c r="J239" s="9">
        <v>3600000</v>
      </c>
      <c r="K239" s="6">
        <f t="shared" si="120"/>
        <v>122</v>
      </c>
      <c r="L239" s="7">
        <f>IF($J239=0,0,ROUND(MAX($J239*1.4,1620000*(1.497923^(MIN($E239,123)-117)))*1,0))</f>
        <v>8155920</v>
      </c>
      <c r="M239" s="4">
        <f t="shared" si="121"/>
        <v>123</v>
      </c>
      <c r="N239" s="8">
        <f>IF($J239=0,0,ROUND(MAX($J239*1.4*1.5,2190000*(1.580994^(MIN($E239,123)-117)))*1,0))</f>
        <v>13682486</v>
      </c>
      <c r="O239" s="6">
        <f t="shared" si="122"/>
        <v>125</v>
      </c>
      <c r="P239" s="7">
        <f>IF($J239=0,0,ROUND(MAX($J239*1.4*1.5*1.6,3500000*(1.57975^(MIN($E239,123)-117)))*1,0))</f>
        <v>21798244</v>
      </c>
      <c r="Q239" s="4">
        <f t="shared" si="123"/>
        <v>127</v>
      </c>
      <c r="R239" s="8">
        <f>IF($J239=0,0,ROUND(MAX($J239*1.4*1.5*1.6*1.6,13100000*(1.429962^(MIN($E239,123)-117)))*1,0))</f>
        <v>54773347</v>
      </c>
      <c r="S239" s="6">
        <f t="shared" si="124"/>
        <v>129</v>
      </c>
      <c r="T239" s="7">
        <f>IF($J239=0,0,ROUND(MAX($J239*1.4*1.5*1.6*1.6*2.2,42600000*(1.576904^(MIN($E239,123)-117)))*1,0))</f>
        <v>263409005</v>
      </c>
      <c r="U239" s="4">
        <f t="shared" si="125"/>
        <v>132</v>
      </c>
      <c r="V239" s="8">
        <f>IF($J239=0,0,ROUND(MAX($J239*1.4*1.5*1.6*1.6*2.2*2.715,354000000*(1.642074^(MIN($E239,123)-117)))*1,0))</f>
        <v>2573796232</v>
      </c>
      <c r="W239" s="6">
        <f t="shared" si="126"/>
        <v>136</v>
      </c>
      <c r="X239" s="7">
        <f>IF($J239=0,0,ROUND(MAX($J239*1.4*1.5*1.6*1.6*2.2*2.715*2.6,3540000000*(1.579646^(MIN($E239,123)-117)))*1,0))</f>
        <v>22041561106</v>
      </c>
      <c r="Y239" s="4">
        <f t="shared" si="127"/>
        <v>138</v>
      </c>
      <c r="Z239" s="8">
        <f>IF($J239=0,0,ROUND(MAX($J239*1.4*1.5*1.6*1.6*2.2*2.715*2.6*1.4,6020000000*(1.651178^(MIN($E239,123)-117)))*1,0))</f>
        <v>44747838846</v>
      </c>
      <c r="AA239" s="6">
        <f t="shared" si="128"/>
        <v>140</v>
      </c>
      <c r="AB239" s="7">
        <f>IF($J239=0,0,ROUND(MAX($J239*1.4*1.5*1.6*1.6*2.2*2.715*2.6*1.4*1.4,8430000000*(1.651435^(MIN($E239,123)-117)))*1,0))</f>
        <v>62700862258</v>
      </c>
      <c r="AC239" s="4">
        <f t="shared" si="129"/>
        <v>142</v>
      </c>
      <c r="AD239" s="8">
        <f>IF($J239=0,0,ROUND(MAX($J239*1.4*1.5*1.6*1.6*2.2*2.715*2.6*1.4*1.4*1.5,12600000000*(1.652953^(MIN($E239,123)-117)))*1,0))</f>
        <v>94061644049</v>
      </c>
      <c r="AE239" s="6">
        <f t="shared" si="130"/>
        <v>145</v>
      </c>
      <c r="AF239" s="7">
        <f>IF($J239=0,0,ROUND(MAX($J239*1.4*1.5*1.6*1.6*2.2*2.715*2.6*1.4*1.4*1.5*1.5,18900000000*(1.65331^(MIN($E239,123)-117)))*1,0))</f>
        <v>141214396536</v>
      </c>
      <c r="AG239" s="4">
        <f t="shared" si="131"/>
        <v>148</v>
      </c>
      <c r="AH239" s="8">
        <f>IF($J239=0,0,ROUND(MAX($J239*1.4*1.5*1.6*1.6*2.2*2.715*2.6*1.4*1.4*1.5*1.5*3.2,60500000000*(1.654288^(MIN($E239,123)-117)))*1,0))</f>
        <v>453106040991</v>
      </c>
    </row>
    <row r="240" spans="1:34" x14ac:dyDescent="0.25">
      <c r="A240" s="3">
        <v>207</v>
      </c>
      <c r="B240" s="3" t="s">
        <v>387</v>
      </c>
      <c r="C240" s="3" t="s">
        <v>228</v>
      </c>
      <c r="D240" s="3" t="s">
        <v>241</v>
      </c>
      <c r="E240" s="3">
        <v>121</v>
      </c>
      <c r="F240" s="3" t="s">
        <v>30</v>
      </c>
      <c r="G240" s="3" t="s">
        <v>104</v>
      </c>
      <c r="H240" s="3">
        <v>30</v>
      </c>
      <c r="I240" s="4">
        <v>121</v>
      </c>
      <c r="J240" s="5">
        <v>2740000</v>
      </c>
      <c r="K240" s="6">
        <f t="shared" si="120"/>
        <v>122</v>
      </c>
      <c r="L240" s="7">
        <f>IF($J240=0,0,ROUND(MAX($J240*1.4,1620000*(1.497923^(MIN($E240,123)-117)))*0.8,0))</f>
        <v>6524736</v>
      </c>
      <c r="M240" s="4">
        <f t="shared" si="121"/>
        <v>123</v>
      </c>
      <c r="N240" s="8">
        <f>IF($J240=0,0,ROUND(MAX($J240*1.4*1.5,2190000*(1.580994^(MIN($E240,123)-117)))*0.8,0))</f>
        <v>10945989</v>
      </c>
      <c r="O240" s="6">
        <f t="shared" si="122"/>
        <v>125</v>
      </c>
      <c r="P240" s="7">
        <f>IF($J240=0,0,ROUND(MAX($J240*1.4*1.5*1.6,3500000*(1.57975^(MIN($E240,123)-117)))*0.8,0))</f>
        <v>17438595</v>
      </c>
      <c r="Q240" s="4">
        <f t="shared" si="123"/>
        <v>127</v>
      </c>
      <c r="R240" s="8">
        <f>IF($J240=0,0,ROUND(MAX($J240*1.4*1.5*1.6*1.6,13100000*(1.429962^(MIN($E240,123)-117)))*0.651041666666667,0))</f>
        <v>35659731</v>
      </c>
      <c r="S240" s="6">
        <f t="shared" si="124"/>
        <v>129</v>
      </c>
      <c r="T240" s="7">
        <f>IF($J240=0,0,ROUND(MAX($J240*1.4*1.5*1.6*1.6*2.2,42600000*(1.576904^(MIN($E240,123)-117)))*0.617361111111111,0))</f>
        <v>162618476</v>
      </c>
      <c r="U240" s="4">
        <f t="shared" si="125"/>
        <v>132</v>
      </c>
      <c r="V240" s="8">
        <f>IF($J240=0,0,ROUND(MAX($J240*1.4*1.5*1.6*1.6*2.2*2.715,354000000*(1.642074^(MIN($E240,123)-117)))*0.583680555555556,0))</f>
        <v>1502274815</v>
      </c>
      <c r="W240" s="6">
        <f t="shared" si="126"/>
        <v>136</v>
      </c>
      <c r="X240" s="7">
        <f>IF($J240=0,0,ROUND(MAX($J240*1.4*1.5*1.6*1.6*2.2*2.715*2.6,3540000000*(1.579646^(MIN($E240,123)-117)))*0.55,0))</f>
        <v>12122858608</v>
      </c>
      <c r="Y240" s="4">
        <f t="shared" si="127"/>
        <v>138</v>
      </c>
      <c r="Z240" s="8">
        <f>IF($J240=0,0,ROUND(MAX($J240*1.4*1.5*1.6*1.6*2.2*2.715*2.6*1.4,6020000000*(1.651178^(MIN($E240,123)-117)))*0.55,0))</f>
        <v>24611311365</v>
      </c>
      <c r="AA240" s="6">
        <f t="shared" si="128"/>
        <v>140</v>
      </c>
      <c r="AB240" s="7">
        <f>IF($J240=0,0,ROUND(MAX($J240*1.4*1.5*1.6*1.6*2.2*2.715*2.6*1.4*1.4,8430000000*(1.651435^(MIN($E240,123)-117)))*0.55,0))</f>
        <v>34485474242</v>
      </c>
      <c r="AC240" s="4">
        <f t="shared" si="129"/>
        <v>142</v>
      </c>
      <c r="AD240" s="8">
        <f>IF($J240=0,0,ROUND(MAX($J240*1.4*1.5*1.6*1.6*2.2*2.715*2.6*1.4*1.4*1.5,12600000000*(1.652953^(MIN($E240,123)-117)))*0.55,0))</f>
        <v>51733904227</v>
      </c>
      <c r="AE240" s="6">
        <f t="shared" si="130"/>
        <v>145</v>
      </c>
      <c r="AF240" s="7">
        <f>IF($J240=0,0,ROUND(MAX($J240*1.4*1.5*1.6*1.6*2.2*2.715*2.6*1.4*1.4*1.5*1.5,18900000000*(1.65331^(MIN($E240,123)-117)))*0.55,0))</f>
        <v>77667918095</v>
      </c>
      <c r="AG240" s="4">
        <f t="shared" si="131"/>
        <v>148</v>
      </c>
      <c r="AH240" s="8">
        <f>IF($J240=0,0,ROUND(MAX($J240*1.4*1.5*1.6*1.6*2.2*2.715*2.6*1.4*1.4*1.5*1.5*3.2,60500000000*(1.654288^(MIN($E240,123)-117)))*0.55,0))</f>
        <v>249208322545</v>
      </c>
    </row>
    <row r="241" spans="1:34" x14ac:dyDescent="0.25">
      <c r="A241" s="3">
        <v>266</v>
      </c>
      <c r="B241" s="3" t="s">
        <v>388</v>
      </c>
      <c r="C241" s="3" t="s">
        <v>228</v>
      </c>
      <c r="D241" s="3" t="s">
        <v>64</v>
      </c>
      <c r="E241" s="3">
        <v>120</v>
      </c>
      <c r="F241" s="3" t="s">
        <v>146</v>
      </c>
      <c r="G241" s="3" t="s">
        <v>389</v>
      </c>
      <c r="H241" s="3">
        <v>30</v>
      </c>
      <c r="I241" s="4">
        <v>120</v>
      </c>
      <c r="J241" s="5">
        <v>2500000</v>
      </c>
      <c r="K241" s="6">
        <f t="shared" si="120"/>
        <v>121</v>
      </c>
      <c r="L241" s="7">
        <f>IF($J241=0,0,ROUND(MAX($J241*1.4,1620000*(1.497923^(MIN($E241,123)-117)))*0.8,0))</f>
        <v>4355856</v>
      </c>
      <c r="M241" s="4">
        <f t="shared" si="121"/>
        <v>122</v>
      </c>
      <c r="N241" s="8">
        <f>IF($J241=0,0,ROUND(MAX($J241*1.4*1.5,2190000*(1.580994^(MIN($E241,123)-117)))*0.8,0))</f>
        <v>6923485</v>
      </c>
      <c r="O241" s="6">
        <f t="shared" si="122"/>
        <v>124</v>
      </c>
      <c r="P241" s="7">
        <f>IF($J241=0,0,ROUND(MAX($J241*1.4*1.5*1.6,3500000*(1.57975^(MIN($E241,123)-117)))*0.8,0))</f>
        <v>11038832</v>
      </c>
      <c r="Q241" s="4">
        <f t="shared" si="123"/>
        <v>126</v>
      </c>
      <c r="R241" s="8">
        <f>IF($J241=0,0,ROUND(MAX($J241*1.4*1.5*1.6*1.6,13100000*(1.429962^(MIN($E241,123)-117)))*0.651041666666667,0))</f>
        <v>24937538</v>
      </c>
      <c r="S241" s="6">
        <f t="shared" si="124"/>
        <v>128</v>
      </c>
      <c r="T241" s="7">
        <f>IF($J241=0,0,ROUND(MAX($J241*1.4*1.5*1.6*1.6*2.2,42600000*(1.576904^(MIN($E241,123)-117)))*0.617361111111111,0))</f>
        <v>103125159</v>
      </c>
      <c r="U241" s="4">
        <f t="shared" si="125"/>
        <v>131</v>
      </c>
      <c r="V241" s="8">
        <f>IF($J241=0,0,ROUND(MAX($J241*1.4*1.5*1.6*1.6*2.2*2.715,354000000*(1.642074^(MIN($E241,123)-117)))*0.583680555555556,0))</f>
        <v>914864260</v>
      </c>
      <c r="W241" s="6">
        <f t="shared" si="126"/>
        <v>135</v>
      </c>
      <c r="X241" s="7">
        <f>IF($J241=0,0,ROUND(MAX($J241*1.4*1.5*1.6*1.6*2.2*2.715*2.6,3540000000*(1.579646^(MIN($E241,123)-117)))*0.55,0))</f>
        <v>7674414779</v>
      </c>
      <c r="Y241" s="4">
        <f t="shared" si="127"/>
        <v>137</v>
      </c>
      <c r="Z241" s="8">
        <f>IF($J241=0,0,ROUND(MAX($J241*1.4*1.5*1.6*1.6*2.2*2.715*2.6*1.4,6020000000*(1.651178^(MIN($E241,123)-117)))*0.55,0))</f>
        <v>14905304798</v>
      </c>
      <c r="AA241" s="6">
        <f t="shared" si="128"/>
        <v>139</v>
      </c>
      <c r="AB241" s="7">
        <f>IF($J241=0,0,ROUND(MAX($J241*1.4*1.5*1.6*1.6*2.2*2.715*2.6*1.4*1.4,8430000000*(1.651435^(MIN($E241,123)-117)))*0.55,0))</f>
        <v>20882126298</v>
      </c>
      <c r="AC241" s="4">
        <f t="shared" si="129"/>
        <v>141</v>
      </c>
      <c r="AD241" s="8">
        <f>IF($J241=0,0,ROUND(MAX($J241*1.4*1.5*1.6*1.6*2.2*2.715*2.6*1.4*1.4*1.5,12600000000*(1.652953^(MIN($E241,123)-117)))*0.55,0))</f>
        <v>31297867651</v>
      </c>
      <c r="AE241" s="6">
        <f t="shared" si="130"/>
        <v>144</v>
      </c>
      <c r="AF241" s="7">
        <f>IF($J241=0,0,ROUND(MAX($J241*1.4*1.5*1.6*1.6*2.2*2.715*2.6*1.4*1.4*1.5*1.5,18900000000*(1.65331^(MIN($E241,123)-117)))*0.55,0))</f>
        <v>46977226349</v>
      </c>
      <c r="AG241" s="4">
        <f t="shared" si="131"/>
        <v>147</v>
      </c>
      <c r="AH241" s="8">
        <f>IF($J241=0,0,ROUND(MAX($J241*1.4*1.5*1.6*1.6*2.2*2.715*2.6*1.4*1.4*1.5*1.5*3.2,60500000000*(1.654288^(MIN($E241,123)-117)))*0.55,0))</f>
        <v>150643855571</v>
      </c>
    </row>
    <row r="242" spans="1:34" x14ac:dyDescent="0.25">
      <c r="A242" s="3">
        <v>289</v>
      </c>
      <c r="B242" s="3" t="s">
        <v>390</v>
      </c>
      <c r="C242" s="3" t="s">
        <v>228</v>
      </c>
      <c r="D242" s="3" t="s">
        <v>25</v>
      </c>
      <c r="E242" s="3">
        <v>120</v>
      </c>
      <c r="F242" s="3" t="s">
        <v>212</v>
      </c>
      <c r="G242" s="3" t="s">
        <v>379</v>
      </c>
      <c r="H242" s="3">
        <v>31</v>
      </c>
      <c r="I242" s="4">
        <v>120</v>
      </c>
      <c r="J242" s="9">
        <v>2200000</v>
      </c>
      <c r="K242" s="6">
        <f t="shared" si="120"/>
        <v>121</v>
      </c>
      <c r="L242" s="7">
        <f>IF($J242=0,0,ROUND(MAX($J242*1.4,1620000*(1.497923^(MIN($E242,123)-117)))*1,0))</f>
        <v>5444819</v>
      </c>
      <c r="M242" s="4">
        <f t="shared" si="121"/>
        <v>122</v>
      </c>
      <c r="N242" s="8">
        <f>IF($J242=0,0,ROUND(MAX($J242*1.4*1.5,2190000*(1.580994^(MIN($E242,123)-117)))*1,0))</f>
        <v>8654356</v>
      </c>
      <c r="O242" s="6">
        <f t="shared" si="122"/>
        <v>124</v>
      </c>
      <c r="P242" s="7">
        <f>IF($J242=0,0,ROUND(MAX($J242*1.4*1.5*1.6,3500000*(1.57975^(MIN($E242,123)-117)))*1,0))</f>
        <v>13798540</v>
      </c>
      <c r="Q242" s="4">
        <f t="shared" si="123"/>
        <v>126</v>
      </c>
      <c r="R242" s="8">
        <f>IF($J242=0,0,ROUND(MAX($J242*1.4*1.5*1.6*1.6,13100000*(1.429962^(MIN($E242,123)-117)))*1,0))</f>
        <v>38304058</v>
      </c>
      <c r="S242" s="6">
        <f t="shared" si="124"/>
        <v>128</v>
      </c>
      <c r="T242" s="7">
        <f>IF($J242=0,0,ROUND(MAX($J242*1.4*1.5*1.6*1.6*2.2,42600000*(1.576904^(MIN($E242,123)-117)))*1,0))</f>
        <v>167041878</v>
      </c>
      <c r="U242" s="4">
        <f t="shared" si="125"/>
        <v>131</v>
      </c>
      <c r="V242" s="8">
        <f>IF($J242=0,0,ROUND(MAX($J242*1.4*1.5*1.6*1.6*2.2*2.715,354000000*(1.642074^(MIN($E242,123)-117)))*1,0))</f>
        <v>1567405752</v>
      </c>
      <c r="W242" s="6">
        <f t="shared" si="126"/>
        <v>135</v>
      </c>
      <c r="X242" s="7">
        <f>IF($J242=0,0,ROUND(MAX($J242*1.4*1.5*1.6*1.6*2.2*2.715*2.6,3540000000*(1.579646^(MIN($E242,123)-117)))*1,0))</f>
        <v>13953481417</v>
      </c>
      <c r="Y242" s="4">
        <f t="shared" si="127"/>
        <v>137</v>
      </c>
      <c r="Z242" s="8">
        <f>IF($J242=0,0,ROUND(MAX($J242*1.4*1.5*1.6*1.6*2.2*2.715*2.6*1.4,6020000000*(1.651178^(MIN($E242,123)-117)))*1,0))</f>
        <v>27100554178</v>
      </c>
      <c r="AA242" s="6">
        <f t="shared" si="128"/>
        <v>139</v>
      </c>
      <c r="AB242" s="7">
        <f>IF($J242=0,0,ROUND(MAX($J242*1.4*1.5*1.6*1.6*2.2*2.715*2.6*1.4*1.4,8430000000*(1.651435^(MIN($E242,123)-117)))*1,0))</f>
        <v>37967502359</v>
      </c>
      <c r="AC242" s="4">
        <f t="shared" si="129"/>
        <v>141</v>
      </c>
      <c r="AD242" s="8">
        <f>IF($J242=0,0,ROUND(MAX($J242*1.4*1.5*1.6*1.6*2.2*2.715*2.6*1.4*1.4*1.5,12600000000*(1.652953^(MIN($E242,123)-117)))*1,0))</f>
        <v>56905213910</v>
      </c>
      <c r="AE242" s="6">
        <f t="shared" si="130"/>
        <v>144</v>
      </c>
      <c r="AF242" s="7">
        <f>IF($J242=0,0,ROUND(MAX($J242*1.4*1.5*1.6*1.6*2.2*2.715*2.6*1.4*1.4*1.5*1.5,18900000000*(1.65331^(MIN($E242,123)-117)))*1,0))</f>
        <v>85413138816</v>
      </c>
      <c r="AG242" s="4">
        <f t="shared" si="131"/>
        <v>147</v>
      </c>
      <c r="AH242" s="8">
        <f>IF($J242=0,0,ROUND(MAX($J242*1.4*1.5*1.6*1.6*2.2*2.715*2.6*1.4*1.4*1.5*1.5*3.2,60500000000*(1.654288^(MIN($E242,123)-117)))*1,0))</f>
        <v>273897919220</v>
      </c>
    </row>
    <row r="243" spans="1:34" x14ac:dyDescent="0.25">
      <c r="A243" s="3">
        <v>275</v>
      </c>
      <c r="B243" s="3" t="s">
        <v>391</v>
      </c>
      <c r="C243" s="3" t="s">
        <v>228</v>
      </c>
      <c r="D243" s="3" t="s">
        <v>40</v>
      </c>
      <c r="E243" s="3">
        <v>120</v>
      </c>
      <c r="F243" s="3" t="s">
        <v>225</v>
      </c>
      <c r="G243" s="3" t="s">
        <v>392</v>
      </c>
      <c r="H243" s="3">
        <v>31</v>
      </c>
      <c r="I243" s="4">
        <v>120</v>
      </c>
      <c r="J243" s="5">
        <v>2000000</v>
      </c>
      <c r="K243" s="6">
        <f t="shared" si="120"/>
        <v>121</v>
      </c>
      <c r="L243" s="7">
        <f>IF($J243=0,0,ROUND(MAX($J243*1.4,1620000*(1.497923^(MIN($E243,123)-117)))*0.8,0))</f>
        <v>4355856</v>
      </c>
      <c r="M243" s="4">
        <f t="shared" si="121"/>
        <v>122</v>
      </c>
      <c r="N243" s="8">
        <f>IF($J243=0,0,ROUND(MAX($J243*1.4*1.5,2190000*(1.580994^(MIN($E243,123)-117)))*0.8,0))</f>
        <v>6923485</v>
      </c>
      <c r="O243" s="6">
        <f t="shared" si="122"/>
        <v>124</v>
      </c>
      <c r="P243" s="7">
        <f>IF($J243=0,0,ROUND(MAX($J243*1.4*1.5*1.6,3500000*(1.57975^(MIN($E243,123)-117)))*0.8,0))</f>
        <v>11038832</v>
      </c>
      <c r="Q243" s="4">
        <f t="shared" si="123"/>
        <v>126</v>
      </c>
      <c r="R243" s="8">
        <f>IF($J243=0,0,ROUND(MAX($J243*1.4*1.5*1.6*1.6,13100000*(1.429962^(MIN($E243,123)-117)))*0.651041666666667,0))</f>
        <v>24937538</v>
      </c>
      <c r="S243" s="6">
        <f t="shared" si="124"/>
        <v>128</v>
      </c>
      <c r="T243" s="7">
        <f>IF($J243=0,0,ROUND(MAX($J243*1.4*1.5*1.6*1.6*2.2,42600000*(1.576904^(MIN($E243,123)-117)))*0.617361111111111,0))</f>
        <v>103125159</v>
      </c>
      <c r="U243" s="4">
        <f t="shared" si="125"/>
        <v>131</v>
      </c>
      <c r="V243" s="8">
        <f>IF($J243=0,0,ROUND(MAX($J243*1.4*1.5*1.6*1.6*2.2*2.715,354000000*(1.642074^(MIN($E243,123)-117)))*0.583680555555556,0))</f>
        <v>914864260</v>
      </c>
      <c r="W243" s="6">
        <f t="shared" si="126"/>
        <v>135</v>
      </c>
      <c r="X243" s="7">
        <f>IF($J243=0,0,ROUND(MAX($J243*1.4*1.5*1.6*1.6*2.2*2.715*2.6,3540000000*(1.579646^(MIN($E243,123)-117)))*0.55,0))</f>
        <v>7674414779</v>
      </c>
      <c r="Y243" s="4">
        <f t="shared" si="127"/>
        <v>137</v>
      </c>
      <c r="Z243" s="8">
        <f>IF($J243=0,0,ROUND(MAX($J243*1.4*1.5*1.6*1.6*2.2*2.715*2.6*1.4,6020000000*(1.651178^(MIN($E243,123)-117)))*0.55,0))</f>
        <v>14905304798</v>
      </c>
      <c r="AA243" s="6">
        <f t="shared" si="128"/>
        <v>139</v>
      </c>
      <c r="AB243" s="7">
        <f>IF($J243=0,0,ROUND(MAX($J243*1.4*1.5*1.6*1.6*2.2*2.715*2.6*1.4*1.4,8430000000*(1.651435^(MIN($E243,123)-117)))*0.55,0))</f>
        <v>20882126298</v>
      </c>
      <c r="AC243" s="4">
        <f t="shared" si="129"/>
        <v>141</v>
      </c>
      <c r="AD243" s="8">
        <f>IF($J243=0,0,ROUND(MAX($J243*1.4*1.5*1.6*1.6*2.2*2.715*2.6*1.4*1.4*1.5,12600000000*(1.652953^(MIN($E243,123)-117)))*0.55,0))</f>
        <v>31297867651</v>
      </c>
      <c r="AE243" s="6">
        <f t="shared" si="130"/>
        <v>144</v>
      </c>
      <c r="AF243" s="7">
        <f>IF($J243=0,0,ROUND(MAX($J243*1.4*1.5*1.6*1.6*2.2*2.715*2.6*1.4*1.4*1.5*1.5,18900000000*(1.65331^(MIN($E243,123)-117)))*0.55,0))</f>
        <v>46977226349</v>
      </c>
      <c r="AG243" s="4">
        <f t="shared" si="131"/>
        <v>147</v>
      </c>
      <c r="AH243" s="8">
        <f>IF($J243=0,0,ROUND(MAX($J243*1.4*1.5*1.6*1.6*2.2*2.715*2.6*1.4*1.4*1.5*1.5*3.2,60500000000*(1.654288^(MIN($E243,123)-117)))*0.55,0))</f>
        <v>150643855571</v>
      </c>
    </row>
    <row r="244" spans="1:34" x14ac:dyDescent="0.25">
      <c r="A244" s="3">
        <v>283</v>
      </c>
      <c r="B244" s="3" t="s">
        <v>393</v>
      </c>
      <c r="C244" s="3" t="s">
        <v>228</v>
      </c>
      <c r="D244" s="3" t="s">
        <v>45</v>
      </c>
      <c r="E244" s="3">
        <v>120</v>
      </c>
      <c r="F244" s="3" t="s">
        <v>71</v>
      </c>
      <c r="G244" s="3" t="s">
        <v>394</v>
      </c>
      <c r="H244" s="3">
        <v>30</v>
      </c>
      <c r="I244" s="4">
        <v>120</v>
      </c>
      <c r="J244" s="9">
        <v>1900000</v>
      </c>
      <c r="K244" s="6">
        <f t="shared" si="120"/>
        <v>121</v>
      </c>
      <c r="L244" s="7">
        <f>IF($J244=0,0,ROUND(MAX($J244*1.4,1620000*(1.497923^(MIN($E244,123)-117)))*0.8,0))</f>
        <v>4355856</v>
      </c>
      <c r="M244" s="4">
        <f t="shared" si="121"/>
        <v>122</v>
      </c>
      <c r="N244" s="8">
        <f>IF($J244=0,0,ROUND(MAX($J244*1.4*1.5,2190000*(1.580994^(MIN($E244,123)-117)))*0.8,0))</f>
        <v>6923485</v>
      </c>
      <c r="O244" s="6">
        <f t="shared" si="122"/>
        <v>124</v>
      </c>
      <c r="P244" s="7">
        <f>IF($J244=0,0,ROUND(MAX($J244*1.4*1.5*1.6,3500000*(1.57975^(MIN($E244,123)-117)))*0.8,0))</f>
        <v>11038832</v>
      </c>
      <c r="Q244" s="4">
        <f t="shared" si="123"/>
        <v>126</v>
      </c>
      <c r="R244" s="8">
        <f>IF($J244=0,0,ROUND(MAX($J244*1.4*1.5*1.6*1.6,13100000*(1.429962^(MIN($E244,123)-117)))*0.651041666666667,0))</f>
        <v>24937538</v>
      </c>
      <c r="S244" s="6">
        <f t="shared" si="124"/>
        <v>128</v>
      </c>
      <c r="T244" s="7">
        <f>IF($J244=0,0,ROUND(MAX($J244*1.4*1.5*1.6*1.6*2.2,42600000*(1.576904^(MIN($E244,123)-117)))*0.617361111111111,0))</f>
        <v>103125159</v>
      </c>
      <c r="U244" s="4">
        <f t="shared" si="125"/>
        <v>131</v>
      </c>
      <c r="V244" s="8">
        <f>IF($J244=0,0,ROUND(MAX($J244*1.4*1.5*1.6*1.6*2.2*2.715,354000000*(1.642074^(MIN($E244,123)-117)))*0.583680555555556,0))</f>
        <v>914864260</v>
      </c>
      <c r="W244" s="6">
        <f t="shared" si="126"/>
        <v>135</v>
      </c>
      <c r="X244" s="7">
        <f>IF($J244=0,0,ROUND(MAX($J244*1.4*1.5*1.6*1.6*2.2*2.715*2.6,3540000000*(1.579646^(MIN($E244,123)-117)))*0.55,0))</f>
        <v>7674414779</v>
      </c>
      <c r="Y244" s="4">
        <f t="shared" si="127"/>
        <v>137</v>
      </c>
      <c r="Z244" s="8">
        <f>IF($J244=0,0,ROUND(MAX($J244*1.4*1.5*1.6*1.6*2.2*2.715*2.6*1.4,6020000000*(1.651178^(MIN($E244,123)-117)))*0.55,0))</f>
        <v>14905304798</v>
      </c>
      <c r="AA244" s="6">
        <f t="shared" si="128"/>
        <v>139</v>
      </c>
      <c r="AB244" s="7">
        <f>IF($J244=0,0,ROUND(MAX($J244*1.4*1.5*1.6*1.6*2.2*2.715*2.6*1.4*1.4,8430000000*(1.651435^(MIN($E244,123)-117)))*0.55,0))</f>
        <v>20882126298</v>
      </c>
      <c r="AC244" s="4">
        <f t="shared" si="129"/>
        <v>141</v>
      </c>
      <c r="AD244" s="8">
        <f>IF($J244=0,0,ROUND(MAX($J244*1.4*1.5*1.6*1.6*2.2*2.715*2.6*1.4*1.4*1.5,12600000000*(1.652953^(MIN($E244,123)-117)))*0.55,0))</f>
        <v>31297867651</v>
      </c>
      <c r="AE244" s="6">
        <f t="shared" si="130"/>
        <v>144</v>
      </c>
      <c r="AF244" s="7">
        <f>IF($J244=0,0,ROUND(MAX($J244*1.4*1.5*1.6*1.6*2.2*2.715*2.6*1.4*1.4*1.5*1.5,18900000000*(1.65331^(MIN($E244,123)-117)))*0.55,0))</f>
        <v>46977226349</v>
      </c>
      <c r="AG244" s="4">
        <f t="shared" si="131"/>
        <v>147</v>
      </c>
      <c r="AH244" s="8">
        <f>IF($J244=0,0,ROUND(MAX($J244*1.4*1.5*1.6*1.6*2.2*2.715*2.6*1.4*1.4*1.5*1.5*3.2,60500000000*(1.654288^(MIN($E244,123)-117)))*0.55,0))</f>
        <v>150643855571</v>
      </c>
    </row>
    <row r="245" spans="1:34" x14ac:dyDescent="0.25">
      <c r="A245" s="3">
        <v>303</v>
      </c>
      <c r="B245" s="3" t="s">
        <v>395</v>
      </c>
      <c r="C245" s="3" t="s">
        <v>228</v>
      </c>
      <c r="D245" s="3" t="s">
        <v>102</v>
      </c>
      <c r="E245" s="3">
        <v>120</v>
      </c>
      <c r="F245" s="3" t="s">
        <v>54</v>
      </c>
      <c r="G245" s="3" t="s">
        <v>396</v>
      </c>
      <c r="H245" s="3">
        <v>30</v>
      </c>
      <c r="I245" s="4">
        <v>120</v>
      </c>
      <c r="J245" s="9">
        <v>2400000</v>
      </c>
      <c r="K245" s="6">
        <f t="shared" si="120"/>
        <v>121</v>
      </c>
      <c r="L245" s="7">
        <f>IF($J245=0,0,ROUND(MAX($J245*1.4,1620000*(1.497923^(MIN($E245,123)-117)))*0.8,0))</f>
        <v>4355856</v>
      </c>
      <c r="M245" s="4">
        <f t="shared" si="121"/>
        <v>122</v>
      </c>
      <c r="N245" s="8">
        <f>IF($J245=0,0,ROUND(MAX($J245*1.4*1.5,2190000*(1.580994^(MIN($E245,123)-117)))*0.8,0))</f>
        <v>6923485</v>
      </c>
      <c r="O245" s="6">
        <f t="shared" si="122"/>
        <v>124</v>
      </c>
      <c r="P245" s="7">
        <f>IF($J245=0,0,ROUND(MAX($J245*1.4*1.5*1.6,3500000*(1.57975^(MIN($E245,123)-117)))*0.8,0))</f>
        <v>11038832</v>
      </c>
      <c r="Q245" s="4">
        <f t="shared" si="123"/>
        <v>126</v>
      </c>
      <c r="R245" s="8">
        <f>IF($J245=0,0,ROUND(MAX($J245*1.4*1.5*1.6*1.6,13100000*(1.429962^(MIN($E245,123)-117)))*0.651041666666667,0))</f>
        <v>24937538</v>
      </c>
      <c r="S245" s="6">
        <f t="shared" si="124"/>
        <v>128</v>
      </c>
      <c r="T245" s="7">
        <f>IF($J245=0,0,ROUND(MAX($J245*1.4*1.5*1.6*1.6*2.2,42600000*(1.576904^(MIN($E245,123)-117)))*0.617361111111111,0))</f>
        <v>103125159</v>
      </c>
      <c r="U245" s="4">
        <f t="shared" si="125"/>
        <v>131</v>
      </c>
      <c r="V245" s="8">
        <f>IF($J245=0,0,ROUND(MAX($J245*1.4*1.5*1.6*1.6*2.2*2.715,354000000*(1.642074^(MIN($E245,123)-117)))*0.583680555555556,0))</f>
        <v>914864260</v>
      </c>
      <c r="W245" s="6">
        <f t="shared" si="126"/>
        <v>135</v>
      </c>
      <c r="X245" s="7">
        <f>IF($J245=0,0,ROUND(MAX($J245*1.4*1.5*1.6*1.6*2.2*2.715*2.6,3540000000*(1.579646^(MIN($E245,123)-117)))*0.55,0))</f>
        <v>7674414779</v>
      </c>
      <c r="Y245" s="4">
        <f t="shared" si="127"/>
        <v>137</v>
      </c>
      <c r="Z245" s="8">
        <f>IF($J245=0,0,ROUND(MAX($J245*1.4*1.5*1.6*1.6*2.2*2.715*2.6*1.4,6020000000*(1.651178^(MIN($E245,123)-117)))*0.55,0))</f>
        <v>14905304798</v>
      </c>
      <c r="AA245" s="6">
        <f t="shared" si="128"/>
        <v>139</v>
      </c>
      <c r="AB245" s="7">
        <f>IF($J245=0,0,ROUND(MAX($J245*1.4*1.5*1.6*1.6*2.2*2.715*2.6*1.4*1.4,8430000000*(1.651435^(MIN($E245,123)-117)))*0.55,0))</f>
        <v>20882126298</v>
      </c>
      <c r="AC245" s="4">
        <f t="shared" si="129"/>
        <v>141</v>
      </c>
      <c r="AD245" s="8">
        <f>IF($J245=0,0,ROUND(MAX($J245*1.4*1.5*1.6*1.6*2.2*2.715*2.6*1.4*1.4*1.5,12600000000*(1.652953^(MIN($E245,123)-117)))*0.55,0))</f>
        <v>31297867651</v>
      </c>
      <c r="AE245" s="6">
        <f t="shared" si="130"/>
        <v>144</v>
      </c>
      <c r="AF245" s="7">
        <f>IF($J245=0,0,ROUND(MAX($J245*1.4*1.5*1.6*1.6*2.2*2.715*2.6*1.4*1.4*1.5*1.5,18900000000*(1.65331^(MIN($E245,123)-117)))*0.55,0))</f>
        <v>46977226349</v>
      </c>
      <c r="AG245" s="4">
        <f t="shared" si="131"/>
        <v>147</v>
      </c>
      <c r="AH245" s="8">
        <f>IF($J245=0,0,ROUND(MAX($J245*1.4*1.5*1.6*1.6*2.2*2.715*2.6*1.4*1.4*1.5*1.5*3.2,60500000000*(1.654288^(MIN($E245,123)-117)))*0.55,0))</f>
        <v>150643855571</v>
      </c>
    </row>
    <row r="246" spans="1:34" x14ac:dyDescent="0.25">
      <c r="A246" s="3">
        <v>263</v>
      </c>
      <c r="B246" s="3" t="s">
        <v>397</v>
      </c>
      <c r="C246" s="3" t="s">
        <v>228</v>
      </c>
      <c r="D246" s="3" t="s">
        <v>40</v>
      </c>
      <c r="E246" s="3">
        <v>120</v>
      </c>
      <c r="F246" s="3" t="s">
        <v>71</v>
      </c>
      <c r="G246" s="3" t="s">
        <v>398</v>
      </c>
      <c r="H246" s="3">
        <v>29</v>
      </c>
      <c r="I246" s="4">
        <v>120</v>
      </c>
      <c r="J246" s="5">
        <v>2000000</v>
      </c>
      <c r="K246" s="6">
        <f t="shared" si="120"/>
        <v>121</v>
      </c>
      <c r="L246" s="7">
        <f>IF($J246=0,0,ROUND(MAX($J246*1.4,1620000*(1.497923^(MIN($E246,123)-117)))*0.8,0))</f>
        <v>4355856</v>
      </c>
      <c r="M246" s="4">
        <f t="shared" si="121"/>
        <v>122</v>
      </c>
      <c r="N246" s="8">
        <f>IF($J246=0,0,ROUND(MAX($J246*1.4*1.5,2190000*(1.580994^(MIN($E246,123)-117)))*0.8,0))</f>
        <v>6923485</v>
      </c>
      <c r="O246" s="6">
        <f t="shared" si="122"/>
        <v>124</v>
      </c>
      <c r="P246" s="7">
        <f>IF($J246=0,0,ROUND(MAX($J246*1.4*1.5*1.6,3500000*(1.57975^(MIN($E246,123)-117)))*0.8,0))</f>
        <v>11038832</v>
      </c>
      <c r="Q246" s="4">
        <f t="shared" si="123"/>
        <v>126</v>
      </c>
      <c r="R246" s="8">
        <f>IF($J246=0,0,ROUND(MAX($J246*1.4*1.5*1.6*1.6,13100000*(1.429962^(MIN($E246,123)-117)))*0.651041666666667,0))</f>
        <v>24937538</v>
      </c>
      <c r="S246" s="6">
        <f t="shared" si="124"/>
        <v>128</v>
      </c>
      <c r="T246" s="7">
        <f>IF($J246=0,0,ROUND(MAX($J246*1.4*1.5*1.6*1.6*2.2,42600000*(1.576904^(MIN($E246,123)-117)))*0.617361111111111,0))</f>
        <v>103125159</v>
      </c>
      <c r="U246" s="4">
        <f t="shared" si="125"/>
        <v>131</v>
      </c>
      <c r="V246" s="8">
        <f>IF($J246=0,0,ROUND(MAX($J246*1.4*1.5*1.6*1.6*2.2*2.715,354000000*(1.642074^(MIN($E246,123)-117)))*0.583680555555556,0))</f>
        <v>914864260</v>
      </c>
      <c r="W246" s="6">
        <f t="shared" si="126"/>
        <v>135</v>
      </c>
      <c r="X246" s="7">
        <f>IF($J246=0,0,ROUND(MAX($J246*1.4*1.5*1.6*1.6*2.2*2.715*2.6,3540000000*(1.579646^(MIN($E246,123)-117)))*0.55,0))</f>
        <v>7674414779</v>
      </c>
      <c r="Y246" s="4">
        <f t="shared" si="127"/>
        <v>137</v>
      </c>
      <c r="Z246" s="8">
        <f>IF($J246=0,0,ROUND(MAX($J246*1.4*1.5*1.6*1.6*2.2*2.715*2.6*1.4,6020000000*(1.651178^(MIN($E246,123)-117)))*0.55,0))</f>
        <v>14905304798</v>
      </c>
      <c r="AA246" s="6">
        <f t="shared" si="128"/>
        <v>139</v>
      </c>
      <c r="AB246" s="7">
        <f>IF($J246=0,0,ROUND(MAX($J246*1.4*1.5*1.6*1.6*2.2*2.715*2.6*1.4*1.4,8430000000*(1.651435^(MIN($E246,123)-117)))*0.55,0))</f>
        <v>20882126298</v>
      </c>
      <c r="AC246" s="4">
        <f t="shared" si="129"/>
        <v>141</v>
      </c>
      <c r="AD246" s="8">
        <f>IF($J246=0,0,ROUND(MAX($J246*1.4*1.5*1.6*1.6*2.2*2.715*2.6*1.4*1.4*1.5,12600000000*(1.652953^(MIN($E246,123)-117)))*0.55,0))</f>
        <v>31297867651</v>
      </c>
      <c r="AE246" s="6">
        <f t="shared" si="130"/>
        <v>144</v>
      </c>
      <c r="AF246" s="7">
        <f>IF($J246=0,0,ROUND(MAX($J246*1.4*1.5*1.6*1.6*2.2*2.715*2.6*1.4*1.4*1.5*1.5,18900000000*(1.65331^(MIN($E246,123)-117)))*0.55,0))</f>
        <v>46977226349</v>
      </c>
      <c r="AG246" s="4">
        <f t="shared" si="131"/>
        <v>147</v>
      </c>
      <c r="AH246" s="8">
        <f>IF($J246=0,0,ROUND(MAX($J246*1.4*1.5*1.6*1.6*2.2*2.715*2.6*1.4*1.4*1.5*1.5*3.2,60500000000*(1.654288^(MIN($E246,123)-117)))*0.55,0))</f>
        <v>150643855571</v>
      </c>
    </row>
    <row r="247" spans="1:34" x14ac:dyDescent="0.25">
      <c r="A247" s="3">
        <v>291</v>
      </c>
      <c r="B247" s="3" t="s">
        <v>399</v>
      </c>
      <c r="C247" s="3" t="s">
        <v>228</v>
      </c>
      <c r="D247" s="3" t="s">
        <v>25</v>
      </c>
      <c r="E247" s="3">
        <v>120</v>
      </c>
      <c r="F247" s="3" t="s">
        <v>400</v>
      </c>
      <c r="G247" s="3" t="s">
        <v>254</v>
      </c>
      <c r="H247" s="3">
        <v>30</v>
      </c>
      <c r="I247" s="4">
        <v>120</v>
      </c>
      <c r="J247" s="9">
        <v>2800000</v>
      </c>
      <c r="K247" s="6">
        <f t="shared" si="120"/>
        <v>121</v>
      </c>
      <c r="L247" s="7">
        <f>IF($J247=0,0,ROUND(MAX($J247*1.4,1620000*(1.497923^(MIN($E247,123)-117)))*1,0))</f>
        <v>5444819</v>
      </c>
      <c r="M247" s="4">
        <f t="shared" si="121"/>
        <v>122</v>
      </c>
      <c r="N247" s="8">
        <f>IF($J247=0,0,ROUND(MAX($J247*1.4*1.5,2190000*(1.580994^(MIN($E247,123)-117)))*1,0))</f>
        <v>8654356</v>
      </c>
      <c r="O247" s="6">
        <f t="shared" si="122"/>
        <v>124</v>
      </c>
      <c r="P247" s="7">
        <f>IF($J247=0,0,ROUND(MAX($J247*1.4*1.5*1.6,3500000*(1.57975^(MIN($E247,123)-117)))*1,0))</f>
        <v>13798540</v>
      </c>
      <c r="Q247" s="4">
        <f t="shared" si="123"/>
        <v>126</v>
      </c>
      <c r="R247" s="8">
        <f>IF($J247=0,0,ROUND(MAX($J247*1.4*1.5*1.6*1.6,13100000*(1.429962^(MIN($E247,123)-117)))*1,0))</f>
        <v>38304058</v>
      </c>
      <c r="S247" s="6">
        <f t="shared" si="124"/>
        <v>128</v>
      </c>
      <c r="T247" s="7">
        <f>IF($J247=0,0,ROUND(MAX($J247*1.4*1.5*1.6*1.6*2.2,42600000*(1.576904^(MIN($E247,123)-117)))*1,0))</f>
        <v>167041878</v>
      </c>
      <c r="U247" s="4">
        <f t="shared" si="125"/>
        <v>131</v>
      </c>
      <c r="V247" s="8">
        <f>IF($J247=0,0,ROUND(MAX($J247*1.4*1.5*1.6*1.6*2.2*2.715,354000000*(1.642074^(MIN($E247,123)-117)))*1,0))</f>
        <v>1567405752</v>
      </c>
      <c r="W247" s="6">
        <f t="shared" si="126"/>
        <v>135</v>
      </c>
      <c r="X247" s="7">
        <f>IF($J247=0,0,ROUND(MAX($J247*1.4*1.5*1.6*1.6*2.2*2.715*2.6,3540000000*(1.579646^(MIN($E247,123)-117)))*1,0))</f>
        <v>13953481417</v>
      </c>
      <c r="Y247" s="4">
        <f t="shared" si="127"/>
        <v>137</v>
      </c>
      <c r="Z247" s="8">
        <f>IF($J247=0,0,ROUND(MAX($J247*1.4*1.5*1.6*1.6*2.2*2.715*2.6*1.4,6020000000*(1.651178^(MIN($E247,123)-117)))*1,0))</f>
        <v>27100554178</v>
      </c>
      <c r="AA247" s="6">
        <f t="shared" si="128"/>
        <v>139</v>
      </c>
      <c r="AB247" s="7">
        <f>IF($J247=0,0,ROUND(MAX($J247*1.4*1.5*1.6*1.6*2.2*2.715*2.6*1.4*1.4,8430000000*(1.651435^(MIN($E247,123)-117)))*1,0))</f>
        <v>37967502359</v>
      </c>
      <c r="AC247" s="4">
        <f t="shared" si="129"/>
        <v>141</v>
      </c>
      <c r="AD247" s="8">
        <f>IF($J247=0,0,ROUND(MAX($J247*1.4*1.5*1.6*1.6*2.2*2.715*2.6*1.4*1.4*1.5,12600000000*(1.652953^(MIN($E247,123)-117)))*1,0))</f>
        <v>56905213910</v>
      </c>
      <c r="AE247" s="6">
        <f t="shared" si="130"/>
        <v>144</v>
      </c>
      <c r="AF247" s="7">
        <f>IF($J247=0,0,ROUND(MAX($J247*1.4*1.5*1.6*1.6*2.2*2.715*2.6*1.4*1.4*1.5*1.5,18900000000*(1.65331^(MIN($E247,123)-117)))*1,0))</f>
        <v>85413138816</v>
      </c>
      <c r="AG247" s="4">
        <f t="shared" si="131"/>
        <v>147</v>
      </c>
      <c r="AH247" s="8">
        <f>IF($J247=0,0,ROUND(MAX($J247*1.4*1.5*1.6*1.6*2.2*2.715*2.6*1.4*1.4*1.5*1.5*3.2,60500000000*(1.654288^(MIN($E247,123)-117)))*1,0))</f>
        <v>273897919220</v>
      </c>
    </row>
    <row r="248" spans="1:34" x14ac:dyDescent="0.25">
      <c r="A248" s="3">
        <v>265</v>
      </c>
      <c r="B248" s="3" t="s">
        <v>401</v>
      </c>
      <c r="C248" s="3" t="s">
        <v>228</v>
      </c>
      <c r="D248" s="3" t="s">
        <v>40</v>
      </c>
      <c r="E248" s="3">
        <v>120</v>
      </c>
      <c r="F248" s="3" t="s">
        <v>56</v>
      </c>
      <c r="G248" s="3" t="s">
        <v>402</v>
      </c>
      <c r="H248" s="3">
        <v>30</v>
      </c>
      <c r="I248" s="4">
        <v>120</v>
      </c>
      <c r="J248" s="5">
        <v>2000000</v>
      </c>
      <c r="K248" s="6">
        <f t="shared" si="120"/>
        <v>121</v>
      </c>
      <c r="L248" s="7">
        <f>IF($J248=0,0,ROUND(MAX($J248*1.4,1620000*(1.497923^(MIN($E248,123)-117)))*1,0))</f>
        <v>5444819</v>
      </c>
      <c r="M248" s="4">
        <f t="shared" si="121"/>
        <v>122</v>
      </c>
      <c r="N248" s="8">
        <f>IF($J248=0,0,ROUND(MAX($J248*1.4*1.5,2190000*(1.580994^(MIN($E248,123)-117)))*1,0))</f>
        <v>8654356</v>
      </c>
      <c r="O248" s="6">
        <f t="shared" si="122"/>
        <v>124</v>
      </c>
      <c r="P248" s="7">
        <f>IF($J248=0,0,ROUND(MAX($J248*1.4*1.5*1.6,3500000*(1.57975^(MIN($E248,123)-117)))*1,0))</f>
        <v>13798540</v>
      </c>
      <c r="Q248" s="4">
        <f t="shared" si="123"/>
        <v>126</v>
      </c>
      <c r="R248" s="8">
        <f>IF($J248=0,0,ROUND(MAX($J248*1.4*1.5*1.6*1.6,13100000*(1.429962^(MIN($E248,123)-117)))*1,0))</f>
        <v>38304058</v>
      </c>
      <c r="S248" s="6">
        <f t="shared" si="124"/>
        <v>128</v>
      </c>
      <c r="T248" s="7">
        <f>IF($J248=0,0,ROUND(MAX($J248*1.4*1.5*1.6*1.6*2.2,42600000*(1.576904^(MIN($E248,123)-117)))*1,0))</f>
        <v>167041878</v>
      </c>
      <c r="U248" s="4">
        <f t="shared" si="125"/>
        <v>131</v>
      </c>
      <c r="V248" s="8">
        <f>IF($J248=0,0,ROUND(MAX($J248*1.4*1.5*1.6*1.6*2.2*2.715,354000000*(1.642074^(MIN($E248,123)-117)))*1,0))</f>
        <v>1567405752</v>
      </c>
      <c r="W248" s="6">
        <f t="shared" si="126"/>
        <v>135</v>
      </c>
      <c r="X248" s="7">
        <f>IF($J248=0,0,ROUND(MAX($J248*1.4*1.5*1.6*1.6*2.2*2.715*2.6,3540000000*(1.579646^(MIN($E248,123)-117)))*1,0))</f>
        <v>13953481417</v>
      </c>
      <c r="Y248" s="4">
        <f t="shared" si="127"/>
        <v>137</v>
      </c>
      <c r="Z248" s="8">
        <f>IF($J248=0,0,ROUND(MAX($J248*1.4*1.5*1.6*1.6*2.2*2.715*2.6*1.4,6020000000*(1.651178^(MIN($E248,123)-117)))*1,0))</f>
        <v>27100554178</v>
      </c>
      <c r="AA248" s="6">
        <f t="shared" si="128"/>
        <v>139</v>
      </c>
      <c r="AB248" s="7">
        <f>IF($J248=0,0,ROUND(MAX($J248*1.4*1.5*1.6*1.6*2.2*2.715*2.6*1.4*1.4,8430000000*(1.651435^(MIN($E248,123)-117)))*1,0))</f>
        <v>37967502359</v>
      </c>
      <c r="AC248" s="4">
        <f t="shared" si="129"/>
        <v>141</v>
      </c>
      <c r="AD248" s="8">
        <f>IF($J248=0,0,ROUND(MAX($J248*1.4*1.5*1.6*1.6*2.2*2.715*2.6*1.4*1.4*1.5,12600000000*(1.652953^(MIN($E248,123)-117)))*1,0))</f>
        <v>56905213910</v>
      </c>
      <c r="AE248" s="6">
        <f t="shared" si="130"/>
        <v>144</v>
      </c>
      <c r="AF248" s="7">
        <f>IF($J248=0,0,ROUND(MAX($J248*1.4*1.5*1.6*1.6*2.2*2.715*2.6*1.4*1.4*1.5*1.5,18900000000*(1.65331^(MIN($E248,123)-117)))*1,0))</f>
        <v>85413138816</v>
      </c>
      <c r="AG248" s="4">
        <f t="shared" si="131"/>
        <v>147</v>
      </c>
      <c r="AH248" s="8">
        <f>IF($J248=0,0,ROUND(MAX($J248*1.4*1.5*1.6*1.6*2.2*2.715*2.6*1.4*1.4*1.5*1.5*3.2,60500000000*(1.654288^(MIN($E248,123)-117)))*1,0))</f>
        <v>273897919220</v>
      </c>
    </row>
    <row r="249" spans="1:34" x14ac:dyDescent="0.25">
      <c r="A249" s="3">
        <v>264</v>
      </c>
      <c r="B249" s="3" t="s">
        <v>403</v>
      </c>
      <c r="C249" s="3" t="s">
        <v>228</v>
      </c>
      <c r="D249" s="3" t="s">
        <v>40</v>
      </c>
      <c r="E249" s="3">
        <v>120</v>
      </c>
      <c r="F249" s="3" t="s">
        <v>54</v>
      </c>
      <c r="G249" s="3" t="s">
        <v>381</v>
      </c>
      <c r="H249" s="3">
        <v>30</v>
      </c>
      <c r="I249" s="4">
        <v>120</v>
      </c>
      <c r="J249" s="5">
        <v>2010000</v>
      </c>
      <c r="K249" s="6">
        <f t="shared" si="120"/>
        <v>121</v>
      </c>
      <c r="L249" s="7">
        <f>IF($J249=0,0,ROUND(MAX($J249*1.4,1620000*(1.497923^(MIN($E249,123)-117)))*0.8,0))</f>
        <v>4355856</v>
      </c>
      <c r="M249" s="4">
        <f t="shared" si="121"/>
        <v>122</v>
      </c>
      <c r="N249" s="8">
        <f>IF($J249=0,0,ROUND(MAX($J249*1.4*1.5,2190000*(1.580994^(MIN($E249,123)-117)))*0.8,0))</f>
        <v>6923485</v>
      </c>
      <c r="O249" s="6">
        <f t="shared" si="122"/>
        <v>124</v>
      </c>
      <c r="P249" s="7">
        <f>IF($J249=0,0,ROUND(MAX($J249*1.4*1.5*1.6,3500000*(1.57975^(MIN($E249,123)-117)))*0.8,0))</f>
        <v>11038832</v>
      </c>
      <c r="Q249" s="4">
        <f t="shared" si="123"/>
        <v>126</v>
      </c>
      <c r="R249" s="8">
        <f>IF($J249=0,0,ROUND(MAX($J249*1.4*1.5*1.6*1.6,13100000*(1.429962^(MIN($E249,123)-117)))*0.651041666666667,0))</f>
        <v>24937538</v>
      </c>
      <c r="S249" s="6">
        <f t="shared" si="124"/>
        <v>128</v>
      </c>
      <c r="T249" s="7">
        <f>IF($J249=0,0,ROUND(MAX($J249*1.4*1.5*1.6*1.6*2.2,42600000*(1.576904^(MIN($E249,123)-117)))*0.617361111111111,0))</f>
        <v>103125159</v>
      </c>
      <c r="U249" s="4">
        <f t="shared" si="125"/>
        <v>131</v>
      </c>
      <c r="V249" s="8">
        <f>IF($J249=0,0,ROUND(MAX($J249*1.4*1.5*1.6*1.6*2.2*2.715,354000000*(1.642074^(MIN($E249,123)-117)))*0.583680555555556,0))</f>
        <v>914864260</v>
      </c>
      <c r="W249" s="6">
        <f t="shared" si="126"/>
        <v>135</v>
      </c>
      <c r="X249" s="7">
        <f>IF($J249=0,0,ROUND(MAX($J249*1.4*1.5*1.6*1.6*2.2*2.715*2.6,3540000000*(1.579646^(MIN($E249,123)-117)))*0.55,0))</f>
        <v>7674414779</v>
      </c>
      <c r="Y249" s="4">
        <f t="shared" si="127"/>
        <v>137</v>
      </c>
      <c r="Z249" s="8">
        <f>IF($J249=0,0,ROUND(MAX($J249*1.4*1.5*1.6*1.6*2.2*2.715*2.6*1.4,6020000000*(1.651178^(MIN($E249,123)-117)))*0.55,0))</f>
        <v>14905304798</v>
      </c>
      <c r="AA249" s="6">
        <f t="shared" si="128"/>
        <v>139</v>
      </c>
      <c r="AB249" s="7">
        <f>IF($J249=0,0,ROUND(MAX($J249*1.4*1.5*1.6*1.6*2.2*2.715*2.6*1.4*1.4,8430000000*(1.651435^(MIN($E249,123)-117)))*0.55,0))</f>
        <v>20882126298</v>
      </c>
      <c r="AC249" s="4">
        <f t="shared" si="129"/>
        <v>141</v>
      </c>
      <c r="AD249" s="8">
        <f>IF($J249=0,0,ROUND(MAX($J249*1.4*1.5*1.6*1.6*2.2*2.715*2.6*1.4*1.4*1.5,12600000000*(1.652953^(MIN($E249,123)-117)))*0.55,0))</f>
        <v>31297867651</v>
      </c>
      <c r="AE249" s="6">
        <f t="shared" si="130"/>
        <v>144</v>
      </c>
      <c r="AF249" s="7">
        <f>IF($J249=0,0,ROUND(MAX($J249*1.4*1.5*1.6*1.6*2.2*2.715*2.6*1.4*1.4*1.5*1.5,18900000000*(1.65331^(MIN($E249,123)-117)))*0.55,0))</f>
        <v>46977226349</v>
      </c>
      <c r="AG249" s="4">
        <f t="shared" si="131"/>
        <v>147</v>
      </c>
      <c r="AH249" s="8">
        <f>IF($J249=0,0,ROUND(MAX($J249*1.4*1.5*1.6*1.6*2.2*2.715*2.6*1.4*1.4*1.5*1.5*3.2,60500000000*(1.654288^(MIN($E249,123)-117)))*0.55,0))</f>
        <v>150643855571</v>
      </c>
    </row>
    <row r="250" spans="1:34" x14ac:dyDescent="0.25">
      <c r="A250" s="3">
        <v>290</v>
      </c>
      <c r="B250" s="3" t="s">
        <v>404</v>
      </c>
      <c r="C250" s="3" t="s">
        <v>228</v>
      </c>
      <c r="D250" s="3" t="s">
        <v>25</v>
      </c>
      <c r="E250" s="3">
        <v>120</v>
      </c>
      <c r="F250" s="3" t="s">
        <v>30</v>
      </c>
      <c r="G250" s="3" t="s">
        <v>405</v>
      </c>
      <c r="H250" s="3">
        <v>30</v>
      </c>
      <c r="I250" s="4">
        <v>120</v>
      </c>
      <c r="J250" s="9">
        <v>3000000</v>
      </c>
      <c r="K250" s="6">
        <f t="shared" si="120"/>
        <v>121</v>
      </c>
      <c r="L250" s="7">
        <f>IF($J250=0,0,ROUND(MAX($J250*1.4,1620000*(1.497923^(MIN($E250,123)-117)))*0.8,0))</f>
        <v>4355856</v>
      </c>
      <c r="M250" s="4">
        <f t="shared" si="121"/>
        <v>122</v>
      </c>
      <c r="N250" s="8">
        <f>IF($J250=0,0,ROUND(MAX($J250*1.4*1.5,2190000*(1.580994^(MIN($E250,123)-117)))*0.8,0))</f>
        <v>6923485</v>
      </c>
      <c r="O250" s="6">
        <f t="shared" si="122"/>
        <v>124</v>
      </c>
      <c r="P250" s="7">
        <f>IF($J250=0,0,ROUND(MAX($J250*1.4*1.5*1.6,3500000*(1.57975^(MIN($E250,123)-117)))*0.8,0))</f>
        <v>11038832</v>
      </c>
      <c r="Q250" s="4">
        <f t="shared" si="123"/>
        <v>126</v>
      </c>
      <c r="R250" s="8">
        <f>IF($J250=0,0,ROUND(MAX($J250*1.4*1.5*1.6*1.6,13100000*(1.429962^(MIN($E250,123)-117)))*0.651041666666667,0))</f>
        <v>24937538</v>
      </c>
      <c r="S250" s="6">
        <f t="shared" si="124"/>
        <v>128</v>
      </c>
      <c r="T250" s="7">
        <f>IF($J250=0,0,ROUND(MAX($J250*1.4*1.5*1.6*1.6*2.2,42600000*(1.576904^(MIN($E250,123)-117)))*0.617361111111111,0))</f>
        <v>103125159</v>
      </c>
      <c r="U250" s="4">
        <f t="shared" si="125"/>
        <v>131</v>
      </c>
      <c r="V250" s="8">
        <f>IF($J250=0,0,ROUND(MAX($J250*1.4*1.5*1.6*1.6*2.2*2.715,354000000*(1.642074^(MIN($E250,123)-117)))*0.583680555555556,0))</f>
        <v>914864260</v>
      </c>
      <c r="W250" s="6">
        <f t="shared" si="126"/>
        <v>135</v>
      </c>
      <c r="X250" s="7">
        <f>IF($J250=0,0,ROUND(MAX($J250*1.4*1.5*1.6*1.6*2.2*2.715*2.6,3540000000*(1.579646^(MIN($E250,123)-117)))*0.55,0))</f>
        <v>7674414779</v>
      </c>
      <c r="Y250" s="4">
        <f t="shared" si="127"/>
        <v>137</v>
      </c>
      <c r="Z250" s="8">
        <f>IF($J250=0,0,ROUND(MAX($J250*1.4*1.5*1.6*1.6*2.2*2.715*2.6*1.4,6020000000*(1.651178^(MIN($E250,123)-117)))*0.55,0))</f>
        <v>14905304798</v>
      </c>
      <c r="AA250" s="6">
        <f t="shared" si="128"/>
        <v>139</v>
      </c>
      <c r="AB250" s="7">
        <f>IF($J250=0,0,ROUND(MAX($J250*1.4*1.5*1.6*1.6*2.2*2.715*2.6*1.4*1.4,8430000000*(1.651435^(MIN($E250,123)-117)))*0.55,0))</f>
        <v>20882126298</v>
      </c>
      <c r="AC250" s="4">
        <f t="shared" si="129"/>
        <v>141</v>
      </c>
      <c r="AD250" s="8">
        <f>IF($J250=0,0,ROUND(MAX($J250*1.4*1.5*1.6*1.6*2.2*2.715*2.6*1.4*1.4*1.5,12600000000*(1.652953^(MIN($E250,123)-117)))*0.55,0))</f>
        <v>31297867651</v>
      </c>
      <c r="AE250" s="6">
        <f t="shared" si="130"/>
        <v>144</v>
      </c>
      <c r="AF250" s="7">
        <f>IF($J250=0,0,ROUND(MAX($J250*1.4*1.5*1.6*1.6*2.2*2.715*2.6*1.4*1.4*1.5*1.5,18900000000*(1.65331^(MIN($E250,123)-117)))*0.55,0))</f>
        <v>46977226349</v>
      </c>
      <c r="AG250" s="4">
        <f t="shared" si="131"/>
        <v>147</v>
      </c>
      <c r="AH250" s="8">
        <f>IF($J250=0,0,ROUND(MAX($J250*1.4*1.5*1.6*1.6*2.2*2.715*2.6*1.4*1.4*1.5*1.5*3.2,60500000000*(1.654288^(MIN($E250,123)-117)))*0.55,0))</f>
        <v>150643855571</v>
      </c>
    </row>
    <row r="251" spans="1:34" x14ac:dyDescent="0.25">
      <c r="A251" s="3">
        <v>313</v>
      </c>
      <c r="B251" s="3" t="s">
        <v>406</v>
      </c>
      <c r="C251" s="3" t="s">
        <v>228</v>
      </c>
      <c r="D251" s="3" t="s">
        <v>33</v>
      </c>
      <c r="E251" s="3">
        <v>120</v>
      </c>
      <c r="F251" s="3" t="s">
        <v>353</v>
      </c>
      <c r="G251" s="3" t="s">
        <v>354</v>
      </c>
      <c r="H251" s="3">
        <v>29</v>
      </c>
      <c r="I251" s="4">
        <v>120</v>
      </c>
      <c r="J251" s="9">
        <v>2700000</v>
      </c>
      <c r="K251" s="6">
        <f t="shared" si="120"/>
        <v>121</v>
      </c>
      <c r="L251" s="7">
        <f>IF($J251=0,0,ROUND(MAX($J251*1.4,1620000*(1.497923^(MIN($E251,123)-117)))*1,0))</f>
        <v>5444819</v>
      </c>
      <c r="M251" s="4">
        <f t="shared" si="121"/>
        <v>122</v>
      </c>
      <c r="N251" s="8">
        <f>IF($J251=0,0,ROUND(MAX($J251*1.4*1.5,2190000*(1.580994^(MIN($E251,123)-117)))*1,0))</f>
        <v>8654356</v>
      </c>
      <c r="O251" s="6">
        <f t="shared" si="122"/>
        <v>124</v>
      </c>
      <c r="P251" s="7">
        <f>IF($J251=0,0,ROUND(MAX($J251*1.4*1.5*1.6,3500000*(1.57975^(MIN($E251,123)-117)))*1,0))</f>
        <v>13798540</v>
      </c>
      <c r="Q251" s="4">
        <f t="shared" si="123"/>
        <v>126</v>
      </c>
      <c r="R251" s="8">
        <f>IF($J251=0,0,ROUND(MAX($J251*1.4*1.5*1.6*1.6,13100000*(1.429962^(MIN($E251,123)-117)))*1,0))</f>
        <v>38304058</v>
      </c>
      <c r="S251" s="6">
        <f t="shared" si="124"/>
        <v>128</v>
      </c>
      <c r="T251" s="7">
        <f>IF($J251=0,0,ROUND(MAX($J251*1.4*1.5*1.6*1.6*2.2,42600000*(1.576904^(MIN($E251,123)-117)))*1,0))</f>
        <v>167041878</v>
      </c>
      <c r="U251" s="4">
        <f t="shared" si="125"/>
        <v>131</v>
      </c>
      <c r="V251" s="8">
        <f>IF($J251=0,0,ROUND(MAX($J251*1.4*1.5*1.6*1.6*2.2*2.715,354000000*(1.642074^(MIN($E251,123)-117)))*1,0))</f>
        <v>1567405752</v>
      </c>
      <c r="W251" s="6">
        <f t="shared" si="126"/>
        <v>135</v>
      </c>
      <c r="X251" s="7">
        <f>IF($J251=0,0,ROUND(MAX($J251*1.4*1.5*1.6*1.6*2.2*2.715*2.6,3540000000*(1.579646^(MIN($E251,123)-117)))*1,0))</f>
        <v>13953481417</v>
      </c>
      <c r="Y251" s="4">
        <f t="shared" si="127"/>
        <v>137</v>
      </c>
      <c r="Z251" s="8">
        <f>IF($J251=0,0,ROUND(MAX($J251*1.4*1.5*1.6*1.6*2.2*2.715*2.6*1.4,6020000000*(1.651178^(MIN($E251,123)-117)))*1,0))</f>
        <v>27100554178</v>
      </c>
      <c r="AA251" s="6">
        <f t="shared" si="128"/>
        <v>139</v>
      </c>
      <c r="AB251" s="7">
        <f>IF($J251=0,0,ROUND(MAX($J251*1.4*1.5*1.6*1.6*2.2*2.715*2.6*1.4*1.4,8430000000*(1.651435^(MIN($E251,123)-117)))*1,0))</f>
        <v>37967502359</v>
      </c>
      <c r="AC251" s="4">
        <f t="shared" si="129"/>
        <v>141</v>
      </c>
      <c r="AD251" s="8">
        <f>IF($J251=0,0,ROUND(MAX($J251*1.4*1.5*1.6*1.6*2.2*2.715*2.6*1.4*1.4*1.5,12600000000*(1.652953^(MIN($E251,123)-117)))*1,0))</f>
        <v>56905213910</v>
      </c>
      <c r="AE251" s="6">
        <f t="shared" si="130"/>
        <v>144</v>
      </c>
      <c r="AF251" s="7">
        <f>IF($J251=0,0,ROUND(MAX($J251*1.4*1.5*1.6*1.6*2.2*2.715*2.6*1.4*1.4*1.5*1.5,18900000000*(1.65331^(MIN($E251,123)-117)))*1,0))</f>
        <v>85413138816</v>
      </c>
      <c r="AG251" s="4">
        <f t="shared" si="131"/>
        <v>147</v>
      </c>
      <c r="AH251" s="8">
        <f>IF($J251=0,0,ROUND(MAX($J251*1.4*1.5*1.6*1.6*2.2*2.715*2.6*1.4*1.4*1.5*1.5*3.2,60500000000*(1.654288^(MIN($E251,123)-117)))*1,0))</f>
        <v>273897919220</v>
      </c>
    </row>
    <row r="252" spans="1:34" x14ac:dyDescent="0.25">
      <c r="A252" s="3">
        <v>319</v>
      </c>
      <c r="B252" s="3" t="s">
        <v>407</v>
      </c>
      <c r="C252" s="3" t="s">
        <v>228</v>
      </c>
      <c r="D252" s="3" t="s">
        <v>33</v>
      </c>
      <c r="E252" s="3">
        <v>120</v>
      </c>
      <c r="F252" s="3" t="s">
        <v>42</v>
      </c>
      <c r="G252" s="3" t="s">
        <v>261</v>
      </c>
      <c r="H252" s="3">
        <v>30</v>
      </c>
      <c r="I252" s="4">
        <v>120</v>
      </c>
      <c r="J252" s="9">
        <v>2700000</v>
      </c>
      <c r="K252" s="6">
        <f t="shared" si="120"/>
        <v>121</v>
      </c>
      <c r="L252" s="7">
        <f>IF($J252=0,0,ROUND(MAX($J252*1.4,1620000*(1.497923^(MIN($E252,123)-117)))*1,0))</f>
        <v>5444819</v>
      </c>
      <c r="M252" s="4">
        <f t="shared" si="121"/>
        <v>122</v>
      </c>
      <c r="N252" s="8">
        <f>IF($J252=0,0,ROUND(MAX($J252*1.4*1.5,2190000*(1.580994^(MIN($E252,123)-117)))*1,0))</f>
        <v>8654356</v>
      </c>
      <c r="O252" s="6">
        <f t="shared" si="122"/>
        <v>124</v>
      </c>
      <c r="P252" s="7">
        <f>IF($J252=0,0,ROUND(MAX($J252*1.4*1.5*1.6,3500000*(1.57975^(MIN($E252,123)-117)))*1,0))</f>
        <v>13798540</v>
      </c>
      <c r="Q252" s="4">
        <f t="shared" si="123"/>
        <v>126</v>
      </c>
      <c r="R252" s="8">
        <f>IF($J252=0,0,ROUND(MAX($J252*1.4*1.5*1.6*1.6,13100000*(1.429962^(MIN($E252,123)-117)))*1,0))</f>
        <v>38304058</v>
      </c>
      <c r="S252" s="6">
        <f t="shared" si="124"/>
        <v>128</v>
      </c>
      <c r="T252" s="7">
        <f>IF($J252=0,0,ROUND(MAX($J252*1.4*1.5*1.6*1.6*2.2,42600000*(1.576904^(MIN($E252,123)-117)))*1,0))</f>
        <v>167041878</v>
      </c>
      <c r="U252" s="4">
        <f t="shared" si="125"/>
        <v>131</v>
      </c>
      <c r="V252" s="8">
        <f>IF($J252=0,0,ROUND(MAX($J252*1.4*1.5*1.6*1.6*2.2*2.715,354000000*(1.642074^(MIN($E252,123)-117)))*1,0))</f>
        <v>1567405752</v>
      </c>
      <c r="W252" s="6">
        <f t="shared" si="126"/>
        <v>135</v>
      </c>
      <c r="X252" s="7">
        <f>IF($J252=0,0,ROUND(MAX($J252*1.4*1.5*1.6*1.6*2.2*2.715*2.6,3540000000*(1.579646^(MIN($E252,123)-117)))*1,0))</f>
        <v>13953481417</v>
      </c>
      <c r="Y252" s="4">
        <f t="shared" si="127"/>
        <v>137</v>
      </c>
      <c r="Z252" s="8">
        <f>IF($J252=0,0,ROUND(MAX($J252*1.4*1.5*1.6*1.6*2.2*2.715*2.6*1.4,6020000000*(1.651178^(MIN($E252,123)-117)))*1,0))</f>
        <v>27100554178</v>
      </c>
      <c r="AA252" s="6">
        <f t="shared" si="128"/>
        <v>139</v>
      </c>
      <c r="AB252" s="7">
        <f>IF($J252=0,0,ROUND(MAX($J252*1.4*1.5*1.6*1.6*2.2*2.715*2.6*1.4*1.4,8430000000*(1.651435^(MIN($E252,123)-117)))*1,0))</f>
        <v>37967502359</v>
      </c>
      <c r="AC252" s="4">
        <f t="shared" si="129"/>
        <v>141</v>
      </c>
      <c r="AD252" s="8">
        <f>IF($J252=0,0,ROUND(MAX($J252*1.4*1.5*1.6*1.6*2.2*2.715*2.6*1.4*1.4*1.5,12600000000*(1.652953^(MIN($E252,123)-117)))*1,0))</f>
        <v>56905213910</v>
      </c>
      <c r="AE252" s="6">
        <f t="shared" si="130"/>
        <v>144</v>
      </c>
      <c r="AF252" s="7">
        <f>IF($J252=0,0,ROUND(MAX($J252*1.4*1.5*1.6*1.6*2.2*2.715*2.6*1.4*1.4*1.5*1.5,18900000000*(1.65331^(MIN($E252,123)-117)))*1,0))</f>
        <v>85413138816</v>
      </c>
      <c r="AG252" s="4">
        <f t="shared" si="131"/>
        <v>147</v>
      </c>
      <c r="AH252" s="8">
        <f>IF($J252=0,0,ROUND(MAX($J252*1.4*1.5*1.6*1.6*2.2*2.715*2.6*1.4*1.4*1.5*1.5*3.2,60500000000*(1.654288^(MIN($E252,123)-117)))*1,0))</f>
        <v>273897919220</v>
      </c>
    </row>
    <row r="253" spans="1:34" x14ac:dyDescent="0.25">
      <c r="A253" s="3">
        <v>288</v>
      </c>
      <c r="B253" s="3" t="s">
        <v>408</v>
      </c>
      <c r="C253" s="3" t="s">
        <v>228</v>
      </c>
      <c r="D253" s="3" t="s">
        <v>25</v>
      </c>
      <c r="E253" s="3">
        <v>120</v>
      </c>
      <c r="F253" s="3" t="s">
        <v>409</v>
      </c>
      <c r="G253" s="3" t="s">
        <v>410</v>
      </c>
      <c r="H253" s="3">
        <v>31</v>
      </c>
      <c r="I253" s="4">
        <v>120</v>
      </c>
      <c r="J253" s="9">
        <v>2700000</v>
      </c>
      <c r="K253" s="6">
        <f t="shared" si="120"/>
        <v>121</v>
      </c>
      <c r="L253" s="7">
        <f>IF($J253=0,0,ROUND(MAX($J253*1.4,1620000*(1.497923^(MIN($E253,123)-117)))*0.8,0))</f>
        <v>4355856</v>
      </c>
      <c r="M253" s="4">
        <f t="shared" si="121"/>
        <v>122</v>
      </c>
      <c r="N253" s="8">
        <f>IF($J253=0,0,ROUND(MAX($J253*1.4*1.5,2190000*(1.580994^(MIN($E253,123)-117)))*0.8,0))</f>
        <v>6923485</v>
      </c>
      <c r="O253" s="6">
        <f t="shared" si="122"/>
        <v>124</v>
      </c>
      <c r="P253" s="7">
        <f>IF($J253=0,0,ROUND(MAX($J253*1.4*1.5*1.6,3500000*(1.57975^(MIN($E253,123)-117)))*0.8,0))</f>
        <v>11038832</v>
      </c>
      <c r="Q253" s="4">
        <f t="shared" si="123"/>
        <v>126</v>
      </c>
      <c r="R253" s="8">
        <f>IF($J253=0,0,ROUND(MAX($J253*1.4*1.5*1.6*1.6,13100000*(1.429962^(MIN($E253,123)-117)))*0.651041666666667,0))</f>
        <v>24937538</v>
      </c>
      <c r="S253" s="6">
        <f t="shared" si="124"/>
        <v>128</v>
      </c>
      <c r="T253" s="7">
        <f>IF($J253=0,0,ROUND(MAX($J253*1.4*1.5*1.6*1.6*2.2,42600000*(1.576904^(MIN($E253,123)-117)))*0.617361111111111,0))</f>
        <v>103125159</v>
      </c>
      <c r="U253" s="4">
        <f t="shared" si="125"/>
        <v>131</v>
      </c>
      <c r="V253" s="8">
        <f>IF($J253=0,0,ROUND(MAX($J253*1.4*1.5*1.6*1.6*2.2*2.715,354000000*(1.642074^(MIN($E253,123)-117)))*0.583680555555556,0))</f>
        <v>914864260</v>
      </c>
      <c r="W253" s="6">
        <f t="shared" si="126"/>
        <v>135</v>
      </c>
      <c r="X253" s="7">
        <f>IF($J253=0,0,ROUND(MAX($J253*1.4*1.5*1.6*1.6*2.2*2.715*2.6,3540000000*(1.579646^(MIN($E253,123)-117)))*0.55,0))</f>
        <v>7674414779</v>
      </c>
      <c r="Y253" s="4">
        <f t="shared" si="127"/>
        <v>137</v>
      </c>
      <c r="Z253" s="8">
        <f>IF($J253=0,0,ROUND(MAX($J253*1.4*1.5*1.6*1.6*2.2*2.715*2.6*1.4,6020000000*(1.651178^(MIN($E253,123)-117)))*0.55,0))</f>
        <v>14905304798</v>
      </c>
      <c r="AA253" s="6">
        <f t="shared" si="128"/>
        <v>139</v>
      </c>
      <c r="AB253" s="7">
        <f>IF($J253=0,0,ROUND(MAX($J253*1.4*1.5*1.6*1.6*2.2*2.715*2.6*1.4*1.4,8430000000*(1.651435^(MIN($E253,123)-117)))*0.55,0))</f>
        <v>20882126298</v>
      </c>
      <c r="AC253" s="4">
        <f t="shared" si="129"/>
        <v>141</v>
      </c>
      <c r="AD253" s="8">
        <f>IF($J253=0,0,ROUND(MAX($J253*1.4*1.5*1.6*1.6*2.2*2.715*2.6*1.4*1.4*1.5,12600000000*(1.652953^(MIN($E253,123)-117)))*0.55,0))</f>
        <v>31297867651</v>
      </c>
      <c r="AE253" s="6">
        <f t="shared" si="130"/>
        <v>144</v>
      </c>
      <c r="AF253" s="7">
        <f>IF($J253=0,0,ROUND(MAX($J253*1.4*1.5*1.6*1.6*2.2*2.715*2.6*1.4*1.4*1.5*1.5,18900000000*(1.65331^(MIN($E253,123)-117)))*0.55,0))</f>
        <v>46977226349</v>
      </c>
      <c r="AG253" s="4">
        <f t="shared" si="131"/>
        <v>147</v>
      </c>
      <c r="AH253" s="8">
        <f>IF($J253=0,0,ROUND(MAX($J253*1.4*1.5*1.6*1.6*2.2*2.715*2.6*1.4*1.4*1.5*1.5*3.2,60500000000*(1.654288^(MIN($E253,123)-117)))*0.55,0))</f>
        <v>150643855571</v>
      </c>
    </row>
    <row r="254" spans="1:34" x14ac:dyDescent="0.25">
      <c r="A254" s="3">
        <v>321</v>
      </c>
      <c r="B254" s="3" t="s">
        <v>411</v>
      </c>
      <c r="C254" s="3" t="s">
        <v>228</v>
      </c>
      <c r="D254" s="3" t="s">
        <v>33</v>
      </c>
      <c r="E254" s="3">
        <v>120</v>
      </c>
      <c r="F254" s="3" t="s">
        <v>412</v>
      </c>
      <c r="G254" s="3" t="s">
        <v>374</v>
      </c>
      <c r="H254" s="3">
        <v>31</v>
      </c>
      <c r="I254" s="4">
        <v>120</v>
      </c>
      <c r="J254" s="9">
        <v>2700000</v>
      </c>
      <c r="K254" s="6">
        <f t="shared" si="120"/>
        <v>121</v>
      </c>
      <c r="L254" s="7">
        <f>IF($J254=0,0,ROUND(MAX($J254*1.4,1620000*(1.497923^(MIN($E254,123)-117)))*1,0))</f>
        <v>5444819</v>
      </c>
      <c r="M254" s="4">
        <f t="shared" si="121"/>
        <v>122</v>
      </c>
      <c r="N254" s="8">
        <f>IF($J254=0,0,ROUND(MAX($J254*1.4*1.5,2190000*(1.580994^(MIN($E254,123)-117)))*1,0))</f>
        <v>8654356</v>
      </c>
      <c r="O254" s="6">
        <f t="shared" si="122"/>
        <v>124</v>
      </c>
      <c r="P254" s="7">
        <f>IF($J254=0,0,ROUND(MAX($J254*1.4*1.5*1.6,3500000*(1.57975^(MIN($E254,123)-117)))*1,0))</f>
        <v>13798540</v>
      </c>
      <c r="Q254" s="4">
        <f t="shared" si="123"/>
        <v>126</v>
      </c>
      <c r="R254" s="8">
        <f>IF($J254=0,0,ROUND(MAX($J254*1.4*1.5*1.6*1.6,13100000*(1.429962^(MIN($E254,123)-117)))*1,0))</f>
        <v>38304058</v>
      </c>
      <c r="S254" s="6">
        <f t="shared" si="124"/>
        <v>128</v>
      </c>
      <c r="T254" s="7">
        <f>IF($J254=0,0,ROUND(MAX($J254*1.4*1.5*1.6*1.6*2.2,42600000*(1.576904^(MIN($E254,123)-117)))*1,0))</f>
        <v>167041878</v>
      </c>
      <c r="U254" s="4">
        <f t="shared" si="125"/>
        <v>131</v>
      </c>
      <c r="V254" s="8">
        <f>IF($J254=0,0,ROUND(MAX($J254*1.4*1.5*1.6*1.6*2.2*2.715,354000000*(1.642074^(MIN($E254,123)-117)))*1,0))</f>
        <v>1567405752</v>
      </c>
      <c r="W254" s="6">
        <f t="shared" si="126"/>
        <v>135</v>
      </c>
      <c r="X254" s="7">
        <f>IF($J254=0,0,ROUND(MAX($J254*1.4*1.5*1.6*1.6*2.2*2.715*2.6,3540000000*(1.579646^(MIN($E254,123)-117)))*1,0))</f>
        <v>13953481417</v>
      </c>
      <c r="Y254" s="4">
        <f t="shared" si="127"/>
        <v>137</v>
      </c>
      <c r="Z254" s="8">
        <f>IF($J254=0,0,ROUND(MAX($J254*1.4*1.5*1.6*1.6*2.2*2.715*2.6*1.4,6020000000*(1.651178^(MIN($E254,123)-117)))*1,0))</f>
        <v>27100554178</v>
      </c>
      <c r="AA254" s="6">
        <f t="shared" si="128"/>
        <v>139</v>
      </c>
      <c r="AB254" s="7">
        <f>IF($J254=0,0,ROUND(MAX($J254*1.4*1.5*1.6*1.6*2.2*2.715*2.6*1.4*1.4,8430000000*(1.651435^(MIN($E254,123)-117)))*1,0))</f>
        <v>37967502359</v>
      </c>
      <c r="AC254" s="4">
        <f t="shared" si="129"/>
        <v>141</v>
      </c>
      <c r="AD254" s="8">
        <f>IF($J254=0,0,ROUND(MAX($J254*1.4*1.5*1.6*1.6*2.2*2.715*2.6*1.4*1.4*1.5,12600000000*(1.652953^(MIN($E254,123)-117)))*1,0))</f>
        <v>56905213910</v>
      </c>
      <c r="AE254" s="6">
        <f t="shared" si="130"/>
        <v>144</v>
      </c>
      <c r="AF254" s="7">
        <f>IF($J254=0,0,ROUND(MAX($J254*1.4*1.5*1.6*1.6*2.2*2.715*2.6*1.4*1.4*1.5*1.5,18900000000*(1.65331^(MIN($E254,123)-117)))*1,0))</f>
        <v>85413138816</v>
      </c>
      <c r="AG254" s="4">
        <f t="shared" si="131"/>
        <v>147</v>
      </c>
      <c r="AH254" s="8">
        <f>IF($J254=0,0,ROUND(MAX($J254*1.4*1.5*1.6*1.6*2.2*2.715*2.6*1.4*1.4*1.5*1.5*3.2,60500000000*(1.654288^(MIN($E254,123)-117)))*1,0))</f>
        <v>273897919220</v>
      </c>
    </row>
    <row r="255" spans="1:34" x14ac:dyDescent="0.25">
      <c r="A255" s="3">
        <v>286</v>
      </c>
      <c r="B255" s="3" t="s">
        <v>413</v>
      </c>
      <c r="C255" s="3" t="s">
        <v>228</v>
      </c>
      <c r="D255" s="3" t="s">
        <v>45</v>
      </c>
      <c r="E255" s="3">
        <v>120</v>
      </c>
      <c r="F255" s="3" t="s">
        <v>225</v>
      </c>
      <c r="G255" s="3" t="s">
        <v>414</v>
      </c>
      <c r="H255" s="3">
        <v>30</v>
      </c>
      <c r="I255" s="4">
        <v>120</v>
      </c>
      <c r="J255" s="9">
        <v>2700000</v>
      </c>
      <c r="K255" s="6">
        <f t="shared" si="120"/>
        <v>121</v>
      </c>
      <c r="L255" s="7">
        <f t="shared" ref="L255:L261" si="132">IF($J255=0,0,ROUND(MAX($J255*1.4,1620000*(1.497923^(MIN($E255,123)-117)))*0.8,0))</f>
        <v>4355856</v>
      </c>
      <c r="M255" s="4">
        <f t="shared" si="121"/>
        <v>122</v>
      </c>
      <c r="N255" s="8">
        <f t="shared" ref="N255:N261" si="133">IF($J255=0,0,ROUND(MAX($J255*1.4*1.5,2190000*(1.580994^(MIN($E255,123)-117)))*0.8,0))</f>
        <v>6923485</v>
      </c>
      <c r="O255" s="6">
        <f t="shared" si="122"/>
        <v>124</v>
      </c>
      <c r="P255" s="7">
        <f t="shared" ref="P255:P261" si="134">IF($J255=0,0,ROUND(MAX($J255*1.4*1.5*1.6,3500000*(1.57975^(MIN($E255,123)-117)))*0.8,0))</f>
        <v>11038832</v>
      </c>
      <c r="Q255" s="4">
        <f t="shared" si="123"/>
        <v>126</v>
      </c>
      <c r="R255" s="8">
        <f t="shared" ref="R255:R261" si="135">IF($J255=0,0,ROUND(MAX($J255*1.4*1.5*1.6*1.6,13100000*(1.429962^(MIN($E255,123)-117)))*0.651041666666667,0))</f>
        <v>24937538</v>
      </c>
      <c r="S255" s="6">
        <f t="shared" si="124"/>
        <v>128</v>
      </c>
      <c r="T255" s="7">
        <f t="shared" ref="T255:T261" si="136">IF($J255=0,0,ROUND(MAX($J255*1.4*1.5*1.6*1.6*2.2,42600000*(1.576904^(MIN($E255,123)-117)))*0.617361111111111,0))</f>
        <v>103125159</v>
      </c>
      <c r="U255" s="4">
        <f t="shared" si="125"/>
        <v>131</v>
      </c>
      <c r="V255" s="8">
        <f t="shared" ref="V255:V261" si="137">IF($J255=0,0,ROUND(MAX($J255*1.4*1.5*1.6*1.6*2.2*2.715,354000000*(1.642074^(MIN($E255,123)-117)))*0.583680555555556,0))</f>
        <v>914864260</v>
      </c>
      <c r="W255" s="6">
        <f t="shared" si="126"/>
        <v>135</v>
      </c>
      <c r="X255" s="7">
        <f t="shared" ref="X255:X261" si="138">IF($J255=0,0,ROUND(MAX($J255*1.4*1.5*1.6*1.6*2.2*2.715*2.6,3540000000*(1.579646^(MIN($E255,123)-117)))*0.55,0))</f>
        <v>7674414779</v>
      </c>
      <c r="Y255" s="4">
        <f t="shared" si="127"/>
        <v>137</v>
      </c>
      <c r="Z255" s="8">
        <f t="shared" ref="Z255:Z261" si="139">IF($J255=0,0,ROUND(MAX($J255*1.4*1.5*1.6*1.6*2.2*2.715*2.6*1.4,6020000000*(1.651178^(MIN($E255,123)-117)))*0.55,0))</f>
        <v>14905304798</v>
      </c>
      <c r="AA255" s="6">
        <f t="shared" si="128"/>
        <v>139</v>
      </c>
      <c r="AB255" s="7">
        <f t="shared" ref="AB255:AB261" si="140">IF($J255=0,0,ROUND(MAX($J255*1.4*1.5*1.6*1.6*2.2*2.715*2.6*1.4*1.4,8430000000*(1.651435^(MIN($E255,123)-117)))*0.55,0))</f>
        <v>20882126298</v>
      </c>
      <c r="AC255" s="4">
        <f t="shared" si="129"/>
        <v>141</v>
      </c>
      <c r="AD255" s="8">
        <f t="shared" ref="AD255:AD261" si="141">IF($J255=0,0,ROUND(MAX($J255*1.4*1.5*1.6*1.6*2.2*2.715*2.6*1.4*1.4*1.5,12600000000*(1.652953^(MIN($E255,123)-117)))*0.55,0))</f>
        <v>31297867651</v>
      </c>
      <c r="AE255" s="6">
        <f t="shared" si="130"/>
        <v>144</v>
      </c>
      <c r="AF255" s="7">
        <f t="shared" ref="AF255:AF261" si="142">IF($J255=0,0,ROUND(MAX($J255*1.4*1.5*1.6*1.6*2.2*2.715*2.6*1.4*1.4*1.5*1.5,18900000000*(1.65331^(MIN($E255,123)-117)))*0.55,0))</f>
        <v>46977226349</v>
      </c>
      <c r="AG255" s="4">
        <f t="shared" si="131"/>
        <v>147</v>
      </c>
      <c r="AH255" s="8">
        <f t="shared" ref="AH255:AH261" si="143">IF($J255=0,0,ROUND(MAX($J255*1.4*1.5*1.6*1.6*2.2*2.715*2.6*1.4*1.4*1.5*1.5*3.2,60500000000*(1.654288^(MIN($E255,123)-117)))*0.55,0))</f>
        <v>150643855571</v>
      </c>
    </row>
    <row r="256" spans="1:34" x14ac:dyDescent="0.25">
      <c r="A256" s="3">
        <v>285</v>
      </c>
      <c r="B256" s="3" t="s">
        <v>415</v>
      </c>
      <c r="C256" s="3" t="s">
        <v>228</v>
      </c>
      <c r="D256" s="3" t="s">
        <v>45</v>
      </c>
      <c r="E256" s="3">
        <v>120</v>
      </c>
      <c r="F256" s="3" t="s">
        <v>412</v>
      </c>
      <c r="G256" s="3" t="s">
        <v>416</v>
      </c>
      <c r="H256" s="3">
        <v>29</v>
      </c>
      <c r="I256" s="4">
        <v>120</v>
      </c>
      <c r="J256" s="9">
        <v>2700000</v>
      </c>
      <c r="K256" s="6">
        <f t="shared" si="120"/>
        <v>121</v>
      </c>
      <c r="L256" s="7">
        <f t="shared" si="132"/>
        <v>4355856</v>
      </c>
      <c r="M256" s="4">
        <f t="shared" si="121"/>
        <v>122</v>
      </c>
      <c r="N256" s="8">
        <f t="shared" si="133"/>
        <v>6923485</v>
      </c>
      <c r="O256" s="6">
        <f t="shared" si="122"/>
        <v>124</v>
      </c>
      <c r="P256" s="7">
        <f t="shared" si="134"/>
        <v>11038832</v>
      </c>
      <c r="Q256" s="4">
        <f t="shared" si="123"/>
        <v>126</v>
      </c>
      <c r="R256" s="8">
        <f t="shared" si="135"/>
        <v>24937538</v>
      </c>
      <c r="S256" s="6">
        <f t="shared" si="124"/>
        <v>128</v>
      </c>
      <c r="T256" s="7">
        <f t="shared" si="136"/>
        <v>103125159</v>
      </c>
      <c r="U256" s="4">
        <f t="shared" si="125"/>
        <v>131</v>
      </c>
      <c r="V256" s="8">
        <f t="shared" si="137"/>
        <v>914864260</v>
      </c>
      <c r="W256" s="6">
        <f t="shared" si="126"/>
        <v>135</v>
      </c>
      <c r="X256" s="7">
        <f t="shared" si="138"/>
        <v>7674414779</v>
      </c>
      <c r="Y256" s="4">
        <f t="shared" si="127"/>
        <v>137</v>
      </c>
      <c r="Z256" s="8">
        <f t="shared" si="139"/>
        <v>14905304798</v>
      </c>
      <c r="AA256" s="6">
        <f t="shared" si="128"/>
        <v>139</v>
      </c>
      <c r="AB256" s="7">
        <f t="shared" si="140"/>
        <v>20882126298</v>
      </c>
      <c r="AC256" s="4">
        <f t="shared" si="129"/>
        <v>141</v>
      </c>
      <c r="AD256" s="8">
        <f t="shared" si="141"/>
        <v>31297867651</v>
      </c>
      <c r="AE256" s="6">
        <f t="shared" si="130"/>
        <v>144</v>
      </c>
      <c r="AF256" s="7">
        <f t="shared" si="142"/>
        <v>46977226349</v>
      </c>
      <c r="AG256" s="4">
        <f t="shared" si="131"/>
        <v>147</v>
      </c>
      <c r="AH256" s="8">
        <f t="shared" si="143"/>
        <v>150643855571</v>
      </c>
    </row>
    <row r="257" spans="1:34" x14ac:dyDescent="0.25">
      <c r="A257" s="3">
        <v>302</v>
      </c>
      <c r="B257" s="3" t="s">
        <v>417</v>
      </c>
      <c r="C257" s="3" t="s">
        <v>228</v>
      </c>
      <c r="D257" s="3" t="s">
        <v>93</v>
      </c>
      <c r="E257" s="3">
        <v>120</v>
      </c>
      <c r="F257" s="3" t="s">
        <v>54</v>
      </c>
      <c r="G257" s="3" t="s">
        <v>416</v>
      </c>
      <c r="H257" s="3">
        <v>30</v>
      </c>
      <c r="I257" s="4">
        <v>120</v>
      </c>
      <c r="J257" s="9">
        <v>2300000</v>
      </c>
      <c r="K257" s="6">
        <f t="shared" si="120"/>
        <v>121</v>
      </c>
      <c r="L257" s="7">
        <f t="shared" si="132"/>
        <v>4355856</v>
      </c>
      <c r="M257" s="4">
        <f t="shared" si="121"/>
        <v>122</v>
      </c>
      <c r="N257" s="8">
        <f t="shared" si="133"/>
        <v>6923485</v>
      </c>
      <c r="O257" s="6">
        <f t="shared" si="122"/>
        <v>124</v>
      </c>
      <c r="P257" s="7">
        <f t="shared" si="134"/>
        <v>11038832</v>
      </c>
      <c r="Q257" s="4">
        <f t="shared" si="123"/>
        <v>126</v>
      </c>
      <c r="R257" s="8">
        <f t="shared" si="135"/>
        <v>24937538</v>
      </c>
      <c r="S257" s="6">
        <f t="shared" si="124"/>
        <v>128</v>
      </c>
      <c r="T257" s="7">
        <f t="shared" si="136"/>
        <v>103125159</v>
      </c>
      <c r="U257" s="4">
        <f t="shared" si="125"/>
        <v>131</v>
      </c>
      <c r="V257" s="8">
        <f t="shared" si="137"/>
        <v>914864260</v>
      </c>
      <c r="W257" s="6">
        <f t="shared" si="126"/>
        <v>135</v>
      </c>
      <c r="X257" s="7">
        <f t="shared" si="138"/>
        <v>7674414779</v>
      </c>
      <c r="Y257" s="4">
        <f t="shared" si="127"/>
        <v>137</v>
      </c>
      <c r="Z257" s="8">
        <f t="shared" si="139"/>
        <v>14905304798</v>
      </c>
      <c r="AA257" s="6">
        <f t="shared" si="128"/>
        <v>139</v>
      </c>
      <c r="AB257" s="7">
        <f t="shared" si="140"/>
        <v>20882126298</v>
      </c>
      <c r="AC257" s="4">
        <f t="shared" si="129"/>
        <v>141</v>
      </c>
      <c r="AD257" s="8">
        <f t="shared" si="141"/>
        <v>31297867651</v>
      </c>
      <c r="AE257" s="6">
        <f t="shared" si="130"/>
        <v>144</v>
      </c>
      <c r="AF257" s="7">
        <f t="shared" si="142"/>
        <v>46977226349</v>
      </c>
      <c r="AG257" s="4">
        <f t="shared" si="131"/>
        <v>147</v>
      </c>
      <c r="AH257" s="8">
        <f t="shared" si="143"/>
        <v>150643855571</v>
      </c>
    </row>
    <row r="258" spans="1:34" x14ac:dyDescent="0.25">
      <c r="A258" s="3">
        <v>320</v>
      </c>
      <c r="B258" s="3" t="s">
        <v>418</v>
      </c>
      <c r="C258" s="3" t="s">
        <v>228</v>
      </c>
      <c r="D258" s="3" t="s">
        <v>33</v>
      </c>
      <c r="E258" s="3">
        <v>120</v>
      </c>
      <c r="F258" s="3" t="s">
        <v>412</v>
      </c>
      <c r="G258" s="3" t="s">
        <v>337</v>
      </c>
      <c r="H258" s="3">
        <v>29</v>
      </c>
      <c r="I258" s="4">
        <v>120</v>
      </c>
      <c r="J258" s="9">
        <v>2300000</v>
      </c>
      <c r="K258" s="6">
        <f t="shared" si="120"/>
        <v>121</v>
      </c>
      <c r="L258" s="7">
        <f t="shared" si="132"/>
        <v>4355856</v>
      </c>
      <c r="M258" s="4">
        <f t="shared" si="121"/>
        <v>122</v>
      </c>
      <c r="N258" s="8">
        <f t="shared" si="133"/>
        <v>6923485</v>
      </c>
      <c r="O258" s="6">
        <f t="shared" si="122"/>
        <v>124</v>
      </c>
      <c r="P258" s="7">
        <f t="shared" si="134"/>
        <v>11038832</v>
      </c>
      <c r="Q258" s="4">
        <f t="shared" si="123"/>
        <v>126</v>
      </c>
      <c r="R258" s="8">
        <f t="shared" si="135"/>
        <v>24937538</v>
      </c>
      <c r="S258" s="6">
        <f t="shared" si="124"/>
        <v>128</v>
      </c>
      <c r="T258" s="7">
        <f t="shared" si="136"/>
        <v>103125159</v>
      </c>
      <c r="U258" s="4">
        <f t="shared" si="125"/>
        <v>131</v>
      </c>
      <c r="V258" s="8">
        <f t="shared" si="137"/>
        <v>914864260</v>
      </c>
      <c r="W258" s="6">
        <f t="shared" si="126"/>
        <v>135</v>
      </c>
      <c r="X258" s="7">
        <f t="shared" si="138"/>
        <v>7674414779</v>
      </c>
      <c r="Y258" s="4">
        <f t="shared" si="127"/>
        <v>137</v>
      </c>
      <c r="Z258" s="8">
        <f t="shared" si="139"/>
        <v>14905304798</v>
      </c>
      <c r="AA258" s="6">
        <f t="shared" si="128"/>
        <v>139</v>
      </c>
      <c r="AB258" s="7">
        <f t="shared" si="140"/>
        <v>20882126298</v>
      </c>
      <c r="AC258" s="4">
        <f t="shared" si="129"/>
        <v>141</v>
      </c>
      <c r="AD258" s="8">
        <f t="shared" si="141"/>
        <v>31297867651</v>
      </c>
      <c r="AE258" s="6">
        <f t="shared" si="130"/>
        <v>144</v>
      </c>
      <c r="AF258" s="7">
        <f t="shared" si="142"/>
        <v>46977226349</v>
      </c>
      <c r="AG258" s="4">
        <f t="shared" si="131"/>
        <v>147</v>
      </c>
      <c r="AH258" s="8">
        <f t="shared" si="143"/>
        <v>150643855571</v>
      </c>
    </row>
    <row r="259" spans="1:34" x14ac:dyDescent="0.25">
      <c r="A259" s="3">
        <v>304</v>
      </c>
      <c r="B259" s="3" t="s">
        <v>419</v>
      </c>
      <c r="C259" s="3" t="s">
        <v>228</v>
      </c>
      <c r="D259" s="3" t="s">
        <v>102</v>
      </c>
      <c r="E259" s="3">
        <v>120</v>
      </c>
      <c r="F259" s="3" t="s">
        <v>26</v>
      </c>
      <c r="G259" s="3" t="s">
        <v>247</v>
      </c>
      <c r="H259" s="3">
        <v>29</v>
      </c>
      <c r="I259" s="4">
        <v>120</v>
      </c>
      <c r="J259" s="9">
        <v>2300000</v>
      </c>
      <c r="K259" s="6">
        <f t="shared" ref="K259:K322" si="144">$E259+1</f>
        <v>121</v>
      </c>
      <c r="L259" s="7">
        <f t="shared" si="132"/>
        <v>4355856</v>
      </c>
      <c r="M259" s="4">
        <f t="shared" ref="M259:M322" si="145">$E259+2</f>
        <v>122</v>
      </c>
      <c r="N259" s="8">
        <f t="shared" si="133"/>
        <v>6923485</v>
      </c>
      <c r="O259" s="6">
        <f t="shared" ref="O259:O322" si="146">$E259+4</f>
        <v>124</v>
      </c>
      <c r="P259" s="7">
        <f t="shared" si="134"/>
        <v>11038832</v>
      </c>
      <c r="Q259" s="4">
        <f t="shared" ref="Q259:Q322" si="147">$E259+6</f>
        <v>126</v>
      </c>
      <c r="R259" s="8">
        <f t="shared" si="135"/>
        <v>24937538</v>
      </c>
      <c r="S259" s="6">
        <f t="shared" ref="S259:S322" si="148">$E259+8</f>
        <v>128</v>
      </c>
      <c r="T259" s="7">
        <f t="shared" si="136"/>
        <v>103125159</v>
      </c>
      <c r="U259" s="4">
        <f t="shared" ref="U259:U322" si="149">$E259+11</f>
        <v>131</v>
      </c>
      <c r="V259" s="8">
        <f t="shared" si="137"/>
        <v>914864260</v>
      </c>
      <c r="W259" s="6">
        <f t="shared" ref="W259:W322" si="150">$E259+15</f>
        <v>135</v>
      </c>
      <c r="X259" s="7">
        <f t="shared" si="138"/>
        <v>7674414779</v>
      </c>
      <c r="Y259" s="4">
        <f t="shared" ref="Y259:Y322" si="151">$E259+17</f>
        <v>137</v>
      </c>
      <c r="Z259" s="8">
        <f t="shared" si="139"/>
        <v>14905304798</v>
      </c>
      <c r="AA259" s="6">
        <f t="shared" ref="AA259:AA322" si="152">$E259+19</f>
        <v>139</v>
      </c>
      <c r="AB259" s="7">
        <f t="shared" si="140"/>
        <v>20882126298</v>
      </c>
      <c r="AC259" s="4">
        <f t="shared" ref="AC259:AC322" si="153">$E259+21</f>
        <v>141</v>
      </c>
      <c r="AD259" s="8">
        <f t="shared" si="141"/>
        <v>31297867651</v>
      </c>
      <c r="AE259" s="6">
        <f t="shared" ref="AE259:AE322" si="154">$E259+24</f>
        <v>144</v>
      </c>
      <c r="AF259" s="7">
        <f t="shared" si="142"/>
        <v>46977226349</v>
      </c>
      <c r="AG259" s="4">
        <f t="shared" ref="AG259:AG322" si="155">$E259+27</f>
        <v>147</v>
      </c>
      <c r="AH259" s="8">
        <f t="shared" si="143"/>
        <v>150643855571</v>
      </c>
    </row>
    <row r="260" spans="1:34" x14ac:dyDescent="0.25">
      <c r="A260" s="3">
        <v>316</v>
      </c>
      <c r="B260" s="3" t="s">
        <v>420</v>
      </c>
      <c r="C260" s="3" t="s">
        <v>228</v>
      </c>
      <c r="D260" s="3" t="s">
        <v>33</v>
      </c>
      <c r="E260" s="3">
        <v>120</v>
      </c>
      <c r="F260" s="3" t="s">
        <v>54</v>
      </c>
      <c r="G260" s="3" t="s">
        <v>252</v>
      </c>
      <c r="H260" s="3">
        <v>29</v>
      </c>
      <c r="I260" s="4">
        <v>120</v>
      </c>
      <c r="J260" s="9">
        <v>2300000</v>
      </c>
      <c r="K260" s="6">
        <f t="shared" si="144"/>
        <v>121</v>
      </c>
      <c r="L260" s="7">
        <f t="shared" si="132"/>
        <v>4355856</v>
      </c>
      <c r="M260" s="4">
        <f t="shared" si="145"/>
        <v>122</v>
      </c>
      <c r="N260" s="8">
        <f t="shared" si="133"/>
        <v>6923485</v>
      </c>
      <c r="O260" s="6">
        <f t="shared" si="146"/>
        <v>124</v>
      </c>
      <c r="P260" s="7">
        <f t="shared" si="134"/>
        <v>11038832</v>
      </c>
      <c r="Q260" s="4">
        <f t="shared" si="147"/>
        <v>126</v>
      </c>
      <c r="R260" s="8">
        <f t="shared" si="135"/>
        <v>24937538</v>
      </c>
      <c r="S260" s="6">
        <f t="shared" si="148"/>
        <v>128</v>
      </c>
      <c r="T260" s="7">
        <f t="shared" si="136"/>
        <v>103125159</v>
      </c>
      <c r="U260" s="4">
        <f t="shared" si="149"/>
        <v>131</v>
      </c>
      <c r="V260" s="8">
        <f t="shared" si="137"/>
        <v>914864260</v>
      </c>
      <c r="W260" s="6">
        <f t="shared" si="150"/>
        <v>135</v>
      </c>
      <c r="X260" s="7">
        <f t="shared" si="138"/>
        <v>7674414779</v>
      </c>
      <c r="Y260" s="4">
        <f t="shared" si="151"/>
        <v>137</v>
      </c>
      <c r="Z260" s="8">
        <f t="shared" si="139"/>
        <v>14905304798</v>
      </c>
      <c r="AA260" s="6">
        <f t="shared" si="152"/>
        <v>139</v>
      </c>
      <c r="AB260" s="7">
        <f t="shared" si="140"/>
        <v>20882126298</v>
      </c>
      <c r="AC260" s="4">
        <f t="shared" si="153"/>
        <v>141</v>
      </c>
      <c r="AD260" s="8">
        <f t="shared" si="141"/>
        <v>31297867651</v>
      </c>
      <c r="AE260" s="6">
        <f t="shared" si="154"/>
        <v>144</v>
      </c>
      <c r="AF260" s="7">
        <f t="shared" si="142"/>
        <v>46977226349</v>
      </c>
      <c r="AG260" s="4">
        <f t="shared" si="155"/>
        <v>147</v>
      </c>
      <c r="AH260" s="8">
        <f t="shared" si="143"/>
        <v>150643855571</v>
      </c>
    </row>
    <row r="261" spans="1:34" x14ac:dyDescent="0.25">
      <c r="A261" s="3">
        <v>269</v>
      </c>
      <c r="B261" s="3" t="s">
        <v>421</v>
      </c>
      <c r="C261" s="3" t="s">
        <v>228</v>
      </c>
      <c r="D261" s="3" t="s">
        <v>79</v>
      </c>
      <c r="E261" s="3">
        <v>120</v>
      </c>
      <c r="F261" s="3" t="s">
        <v>71</v>
      </c>
      <c r="G261" s="3" t="s">
        <v>326</v>
      </c>
      <c r="H261" s="3">
        <v>30</v>
      </c>
      <c r="I261" s="4">
        <v>120</v>
      </c>
      <c r="J261" s="5">
        <v>2600000</v>
      </c>
      <c r="K261" s="6">
        <f t="shared" si="144"/>
        <v>121</v>
      </c>
      <c r="L261" s="7">
        <f t="shared" si="132"/>
        <v>4355856</v>
      </c>
      <c r="M261" s="4">
        <f t="shared" si="145"/>
        <v>122</v>
      </c>
      <c r="N261" s="8">
        <f t="shared" si="133"/>
        <v>6923485</v>
      </c>
      <c r="O261" s="6">
        <f t="shared" si="146"/>
        <v>124</v>
      </c>
      <c r="P261" s="7">
        <f t="shared" si="134"/>
        <v>11038832</v>
      </c>
      <c r="Q261" s="4">
        <f t="shared" si="147"/>
        <v>126</v>
      </c>
      <c r="R261" s="8">
        <f t="shared" si="135"/>
        <v>24937538</v>
      </c>
      <c r="S261" s="6">
        <f t="shared" si="148"/>
        <v>128</v>
      </c>
      <c r="T261" s="7">
        <f t="shared" si="136"/>
        <v>103125159</v>
      </c>
      <c r="U261" s="4">
        <f t="shared" si="149"/>
        <v>131</v>
      </c>
      <c r="V261" s="8">
        <f t="shared" si="137"/>
        <v>914864260</v>
      </c>
      <c r="W261" s="6">
        <f t="shared" si="150"/>
        <v>135</v>
      </c>
      <c r="X261" s="7">
        <f t="shared" si="138"/>
        <v>7674414779</v>
      </c>
      <c r="Y261" s="4">
        <f t="shared" si="151"/>
        <v>137</v>
      </c>
      <c r="Z261" s="8">
        <f t="shared" si="139"/>
        <v>14905304798</v>
      </c>
      <c r="AA261" s="6">
        <f t="shared" si="152"/>
        <v>139</v>
      </c>
      <c r="AB261" s="7">
        <f t="shared" si="140"/>
        <v>20882126298</v>
      </c>
      <c r="AC261" s="4">
        <f t="shared" si="153"/>
        <v>141</v>
      </c>
      <c r="AD261" s="8">
        <f t="shared" si="141"/>
        <v>31297867651</v>
      </c>
      <c r="AE261" s="6">
        <f t="shared" si="154"/>
        <v>144</v>
      </c>
      <c r="AF261" s="7">
        <f t="shared" si="142"/>
        <v>46977226349</v>
      </c>
      <c r="AG261" s="4">
        <f t="shared" si="155"/>
        <v>147</v>
      </c>
      <c r="AH261" s="8">
        <f t="shared" si="143"/>
        <v>150643855571</v>
      </c>
    </row>
    <row r="262" spans="1:34" x14ac:dyDescent="0.25">
      <c r="A262" s="3">
        <v>284</v>
      </c>
      <c r="B262" s="3" t="s">
        <v>422</v>
      </c>
      <c r="C262" s="3" t="s">
        <v>228</v>
      </c>
      <c r="D262" s="3" t="s">
        <v>45</v>
      </c>
      <c r="E262" s="3">
        <v>120</v>
      </c>
      <c r="F262" s="3" t="s">
        <v>212</v>
      </c>
      <c r="G262" s="3" t="s">
        <v>423</v>
      </c>
      <c r="H262" s="3">
        <v>30</v>
      </c>
      <c r="I262" s="4">
        <v>120</v>
      </c>
      <c r="J262" s="5">
        <v>2600000</v>
      </c>
      <c r="K262" s="6">
        <f t="shared" si="144"/>
        <v>121</v>
      </c>
      <c r="L262" s="7">
        <f>IF($J262=0,0,ROUND(MAX($J262*1.4,1620000*(1.497923^(MIN($E262,123)-117)))*1,0))</f>
        <v>5444819</v>
      </c>
      <c r="M262" s="4">
        <f t="shared" si="145"/>
        <v>122</v>
      </c>
      <c r="N262" s="8">
        <f>IF($J262=0,0,ROUND(MAX($J262*1.4*1.5,2190000*(1.580994^(MIN($E262,123)-117)))*1,0))</f>
        <v>8654356</v>
      </c>
      <c r="O262" s="6">
        <f t="shared" si="146"/>
        <v>124</v>
      </c>
      <c r="P262" s="7">
        <f>IF($J262=0,0,ROUND(MAX($J262*1.4*1.5*1.6,3500000*(1.57975^(MIN($E262,123)-117)))*1,0))</f>
        <v>13798540</v>
      </c>
      <c r="Q262" s="4">
        <f t="shared" si="147"/>
        <v>126</v>
      </c>
      <c r="R262" s="8">
        <f>IF($J262=0,0,ROUND(MAX($J262*1.4*1.5*1.6*1.6,13100000*(1.429962^(MIN($E262,123)-117)))*1,0))</f>
        <v>38304058</v>
      </c>
      <c r="S262" s="6">
        <f t="shared" si="148"/>
        <v>128</v>
      </c>
      <c r="T262" s="7">
        <f>IF($J262=0,0,ROUND(MAX($J262*1.4*1.5*1.6*1.6*2.2,42600000*(1.576904^(MIN($E262,123)-117)))*1,0))</f>
        <v>167041878</v>
      </c>
      <c r="U262" s="4">
        <f t="shared" si="149"/>
        <v>131</v>
      </c>
      <c r="V262" s="8">
        <f>IF($J262=0,0,ROUND(MAX($J262*1.4*1.5*1.6*1.6*2.2*2.715,354000000*(1.642074^(MIN($E262,123)-117)))*1,0))</f>
        <v>1567405752</v>
      </c>
      <c r="W262" s="6">
        <f t="shared" si="150"/>
        <v>135</v>
      </c>
      <c r="X262" s="7">
        <f>IF($J262=0,0,ROUND(MAX($J262*1.4*1.5*1.6*1.6*2.2*2.715*2.6,3540000000*(1.579646^(MIN($E262,123)-117)))*1,0))</f>
        <v>13953481417</v>
      </c>
      <c r="Y262" s="4">
        <f t="shared" si="151"/>
        <v>137</v>
      </c>
      <c r="Z262" s="8">
        <f>IF($J262=0,0,ROUND(MAX($J262*1.4*1.5*1.6*1.6*2.2*2.715*2.6*1.4,6020000000*(1.651178^(MIN($E262,123)-117)))*1,0))</f>
        <v>27100554178</v>
      </c>
      <c r="AA262" s="6">
        <f t="shared" si="152"/>
        <v>139</v>
      </c>
      <c r="AB262" s="7">
        <f>IF($J262=0,0,ROUND(MAX($J262*1.4*1.5*1.6*1.6*2.2*2.715*2.6*1.4*1.4,8430000000*(1.651435^(MIN($E262,123)-117)))*1,0))</f>
        <v>37967502359</v>
      </c>
      <c r="AC262" s="4">
        <f t="shared" si="153"/>
        <v>141</v>
      </c>
      <c r="AD262" s="8">
        <f>IF($J262=0,0,ROUND(MAX($J262*1.4*1.5*1.6*1.6*2.2*2.715*2.6*1.4*1.4*1.5,12600000000*(1.652953^(MIN($E262,123)-117)))*1,0))</f>
        <v>56905213910</v>
      </c>
      <c r="AE262" s="6">
        <f t="shared" si="154"/>
        <v>144</v>
      </c>
      <c r="AF262" s="7">
        <f>IF($J262=0,0,ROUND(MAX($J262*1.4*1.5*1.6*1.6*2.2*2.715*2.6*1.4*1.4*1.5*1.5,18900000000*(1.65331^(MIN($E262,123)-117)))*1,0))</f>
        <v>85413138816</v>
      </c>
      <c r="AG262" s="4">
        <f t="shared" si="155"/>
        <v>147</v>
      </c>
      <c r="AH262" s="8">
        <f>IF($J262=0,0,ROUND(MAX($J262*1.4*1.5*1.6*1.6*2.2*2.715*2.6*1.4*1.4*1.5*1.5*3.2,60500000000*(1.654288^(MIN($E262,123)-117)))*1,0))</f>
        <v>273897919220</v>
      </c>
    </row>
    <row r="263" spans="1:34" x14ac:dyDescent="0.25">
      <c r="A263" s="3">
        <v>270</v>
      </c>
      <c r="B263" s="3" t="s">
        <v>424</v>
      </c>
      <c r="C263" s="3" t="s">
        <v>228</v>
      </c>
      <c r="D263" s="3" t="s">
        <v>40</v>
      </c>
      <c r="E263" s="3">
        <v>120</v>
      </c>
      <c r="F263" s="3" t="s">
        <v>341</v>
      </c>
      <c r="G263" s="3" t="s">
        <v>425</v>
      </c>
      <c r="H263" s="3">
        <v>31</v>
      </c>
      <c r="I263" s="4">
        <v>120</v>
      </c>
      <c r="J263" s="5">
        <v>2000000</v>
      </c>
      <c r="K263" s="6">
        <f t="shared" si="144"/>
        <v>121</v>
      </c>
      <c r="L263" s="7">
        <f>IF($J263=0,0,ROUND(MAX($J263*1.4,1620000*(1.497923^(MIN($E263,123)-117)))*1,0))</f>
        <v>5444819</v>
      </c>
      <c r="M263" s="4">
        <f t="shared" si="145"/>
        <v>122</v>
      </c>
      <c r="N263" s="8">
        <f>IF($J263=0,0,ROUND(MAX($J263*1.4*1.5,2190000*(1.580994^(MIN($E263,123)-117)))*1,0))</f>
        <v>8654356</v>
      </c>
      <c r="O263" s="6">
        <f t="shared" si="146"/>
        <v>124</v>
      </c>
      <c r="P263" s="7">
        <f>IF($J263=0,0,ROUND(MAX($J263*1.4*1.5*1.6,3500000*(1.57975^(MIN($E263,123)-117)))*1,0))</f>
        <v>13798540</v>
      </c>
      <c r="Q263" s="4">
        <f t="shared" si="147"/>
        <v>126</v>
      </c>
      <c r="R263" s="8">
        <f>IF($J263=0,0,ROUND(MAX($J263*1.4*1.5*1.6*1.6,13100000*(1.429962^(MIN($E263,123)-117)))*1,0))</f>
        <v>38304058</v>
      </c>
      <c r="S263" s="6">
        <f t="shared" si="148"/>
        <v>128</v>
      </c>
      <c r="T263" s="7">
        <f>IF($J263=0,0,ROUND(MAX($J263*1.4*1.5*1.6*1.6*2.2,42600000*(1.576904^(MIN($E263,123)-117)))*1,0))</f>
        <v>167041878</v>
      </c>
      <c r="U263" s="4">
        <f t="shared" si="149"/>
        <v>131</v>
      </c>
      <c r="V263" s="8">
        <f>IF($J263=0,0,ROUND(MAX($J263*1.4*1.5*1.6*1.6*2.2*2.715,354000000*(1.642074^(MIN($E263,123)-117)))*1,0))</f>
        <v>1567405752</v>
      </c>
      <c r="W263" s="6">
        <f t="shared" si="150"/>
        <v>135</v>
      </c>
      <c r="X263" s="7">
        <f>IF($J263=0,0,ROUND(MAX($J263*1.4*1.5*1.6*1.6*2.2*2.715*2.6,3540000000*(1.579646^(MIN($E263,123)-117)))*1,0))</f>
        <v>13953481417</v>
      </c>
      <c r="Y263" s="4">
        <f t="shared" si="151"/>
        <v>137</v>
      </c>
      <c r="Z263" s="8">
        <f>IF($J263=0,0,ROUND(MAX($J263*1.4*1.5*1.6*1.6*2.2*2.715*2.6*1.4,6020000000*(1.651178^(MIN($E263,123)-117)))*1,0))</f>
        <v>27100554178</v>
      </c>
      <c r="AA263" s="6">
        <f t="shared" si="152"/>
        <v>139</v>
      </c>
      <c r="AB263" s="7">
        <f>IF($J263=0,0,ROUND(MAX($J263*1.4*1.5*1.6*1.6*2.2*2.715*2.6*1.4*1.4,8430000000*(1.651435^(MIN($E263,123)-117)))*1,0))</f>
        <v>37967502359</v>
      </c>
      <c r="AC263" s="4">
        <f t="shared" si="153"/>
        <v>141</v>
      </c>
      <c r="AD263" s="8">
        <f>IF($J263=0,0,ROUND(MAX($J263*1.4*1.5*1.6*1.6*2.2*2.715*2.6*1.4*1.4*1.5,12600000000*(1.652953^(MIN($E263,123)-117)))*1,0))</f>
        <v>56905213910</v>
      </c>
      <c r="AE263" s="6">
        <f t="shared" si="154"/>
        <v>144</v>
      </c>
      <c r="AF263" s="7">
        <f>IF($J263=0,0,ROUND(MAX($J263*1.4*1.5*1.6*1.6*2.2*2.715*2.6*1.4*1.4*1.5*1.5,18900000000*(1.65331^(MIN($E263,123)-117)))*1,0))</f>
        <v>85413138816</v>
      </c>
      <c r="AG263" s="4">
        <f t="shared" si="155"/>
        <v>147</v>
      </c>
      <c r="AH263" s="8">
        <f>IF($J263=0,0,ROUND(MAX($J263*1.4*1.5*1.6*1.6*2.2*2.715*2.6*1.4*1.4*1.5*1.5*3.2,60500000000*(1.654288^(MIN($E263,123)-117)))*1,0))</f>
        <v>273897919220</v>
      </c>
    </row>
    <row r="264" spans="1:34" x14ac:dyDescent="0.25">
      <c r="A264" s="3">
        <v>292</v>
      </c>
      <c r="B264" s="3" t="s">
        <v>426</v>
      </c>
      <c r="C264" s="3" t="s">
        <v>228</v>
      </c>
      <c r="D264" s="3" t="s">
        <v>25</v>
      </c>
      <c r="E264" s="3">
        <v>120</v>
      </c>
      <c r="F264" s="3" t="s">
        <v>144</v>
      </c>
      <c r="G264" s="3" t="s">
        <v>337</v>
      </c>
      <c r="H264" s="3">
        <v>30</v>
      </c>
      <c r="I264" s="4">
        <v>120</v>
      </c>
      <c r="J264" s="5">
        <v>2000000</v>
      </c>
      <c r="K264" s="6">
        <f t="shared" si="144"/>
        <v>121</v>
      </c>
      <c r="L264" s="7">
        <f>IF($J264=0,0,ROUND(MAX($J264*1.4,1620000*(1.497923^(MIN($E264,123)-117)))*0.8,0))</f>
        <v>4355856</v>
      </c>
      <c r="M264" s="4">
        <f t="shared" si="145"/>
        <v>122</v>
      </c>
      <c r="N264" s="8">
        <f>IF($J264=0,0,ROUND(MAX($J264*1.4*1.5,2190000*(1.580994^(MIN($E264,123)-117)))*0.8,0))</f>
        <v>6923485</v>
      </c>
      <c r="O264" s="6">
        <f t="shared" si="146"/>
        <v>124</v>
      </c>
      <c r="P264" s="7">
        <f>IF($J264=0,0,ROUND(MAX($J264*1.4*1.5*1.6,3500000*(1.57975^(MIN($E264,123)-117)))*0.8,0))</f>
        <v>11038832</v>
      </c>
      <c r="Q264" s="4">
        <f t="shared" si="147"/>
        <v>126</v>
      </c>
      <c r="R264" s="8">
        <f>IF($J264=0,0,ROUND(MAX($J264*1.4*1.5*1.6*1.6,13100000*(1.429962^(MIN($E264,123)-117)))*0.651041666666667,0))</f>
        <v>24937538</v>
      </c>
      <c r="S264" s="6">
        <f t="shared" si="148"/>
        <v>128</v>
      </c>
      <c r="T264" s="7">
        <f>IF($J264=0,0,ROUND(MAX($J264*1.4*1.5*1.6*1.6*2.2,42600000*(1.576904^(MIN($E264,123)-117)))*0.617361111111111,0))</f>
        <v>103125159</v>
      </c>
      <c r="U264" s="4">
        <f t="shared" si="149"/>
        <v>131</v>
      </c>
      <c r="V264" s="8">
        <f>IF($J264=0,0,ROUND(MAX($J264*1.4*1.5*1.6*1.6*2.2*2.715,354000000*(1.642074^(MIN($E264,123)-117)))*0.583680555555556,0))</f>
        <v>914864260</v>
      </c>
      <c r="W264" s="6">
        <f t="shared" si="150"/>
        <v>135</v>
      </c>
      <c r="X264" s="7">
        <f>IF($J264=0,0,ROUND(MAX($J264*1.4*1.5*1.6*1.6*2.2*2.715*2.6,3540000000*(1.579646^(MIN($E264,123)-117)))*0.55,0))</f>
        <v>7674414779</v>
      </c>
      <c r="Y264" s="4">
        <f t="shared" si="151"/>
        <v>137</v>
      </c>
      <c r="Z264" s="8">
        <f>IF($J264=0,0,ROUND(MAX($J264*1.4*1.5*1.6*1.6*2.2*2.715*2.6*1.4,6020000000*(1.651178^(MIN($E264,123)-117)))*0.55,0))</f>
        <v>14905304798</v>
      </c>
      <c r="AA264" s="6">
        <f t="shared" si="152"/>
        <v>139</v>
      </c>
      <c r="AB264" s="7">
        <f>IF($J264=0,0,ROUND(MAX($J264*1.4*1.5*1.6*1.6*2.2*2.715*2.6*1.4*1.4,8430000000*(1.651435^(MIN($E264,123)-117)))*0.55,0))</f>
        <v>20882126298</v>
      </c>
      <c r="AC264" s="4">
        <f t="shared" si="153"/>
        <v>141</v>
      </c>
      <c r="AD264" s="8">
        <f>IF($J264=0,0,ROUND(MAX($J264*1.4*1.5*1.6*1.6*2.2*2.715*2.6*1.4*1.4*1.5,12600000000*(1.652953^(MIN($E264,123)-117)))*0.55,0))</f>
        <v>31297867651</v>
      </c>
      <c r="AE264" s="6">
        <f t="shared" si="154"/>
        <v>144</v>
      </c>
      <c r="AF264" s="7">
        <f>IF($J264=0,0,ROUND(MAX($J264*1.4*1.5*1.6*1.6*2.2*2.715*2.6*1.4*1.4*1.5*1.5,18900000000*(1.65331^(MIN($E264,123)-117)))*0.55,0))</f>
        <v>46977226349</v>
      </c>
      <c r="AG264" s="4">
        <f t="shared" si="155"/>
        <v>147</v>
      </c>
      <c r="AH264" s="8">
        <f>IF($J264=0,0,ROUND(MAX($J264*1.4*1.5*1.6*1.6*2.2*2.715*2.6*1.4*1.4*1.5*1.5*3.2,60500000000*(1.654288^(MIN($E264,123)-117)))*0.55,0))</f>
        <v>150643855571</v>
      </c>
    </row>
    <row r="265" spans="1:34" x14ac:dyDescent="0.25">
      <c r="A265" s="3">
        <v>267</v>
      </c>
      <c r="B265" s="3" t="s">
        <v>427</v>
      </c>
      <c r="C265" s="3" t="s">
        <v>228</v>
      </c>
      <c r="D265" s="3" t="s">
        <v>40</v>
      </c>
      <c r="E265" s="3">
        <v>120</v>
      </c>
      <c r="F265" s="3" t="s">
        <v>146</v>
      </c>
      <c r="G265" s="3" t="s">
        <v>27</v>
      </c>
      <c r="H265" s="3">
        <v>30</v>
      </c>
      <c r="I265" s="4">
        <v>120</v>
      </c>
      <c r="J265" s="5">
        <v>2000000</v>
      </c>
      <c r="K265" s="6">
        <f t="shared" si="144"/>
        <v>121</v>
      </c>
      <c r="L265" s="7">
        <f>IF($J265=0,0,ROUND(MAX($J265*1.4,1620000*(1.497923^(MIN($E265,123)-117)))*1,0))</f>
        <v>5444819</v>
      </c>
      <c r="M265" s="4">
        <f t="shared" si="145"/>
        <v>122</v>
      </c>
      <c r="N265" s="8">
        <f>IF($J265=0,0,ROUND(MAX($J265*1.4*1.5,2190000*(1.580994^(MIN($E265,123)-117)))*1,0))</f>
        <v>8654356</v>
      </c>
      <c r="O265" s="6">
        <f t="shared" si="146"/>
        <v>124</v>
      </c>
      <c r="P265" s="7">
        <f>IF($J265=0,0,ROUND(MAX($J265*1.4*1.5*1.6,3500000*(1.57975^(MIN($E265,123)-117)))*1,0))</f>
        <v>13798540</v>
      </c>
      <c r="Q265" s="4">
        <f t="shared" si="147"/>
        <v>126</v>
      </c>
      <c r="R265" s="8">
        <f>IF($J265=0,0,ROUND(MAX($J265*1.4*1.5*1.6*1.6,13100000*(1.429962^(MIN($E265,123)-117)))*1,0))</f>
        <v>38304058</v>
      </c>
      <c r="S265" s="6">
        <f t="shared" si="148"/>
        <v>128</v>
      </c>
      <c r="T265" s="7">
        <f>IF($J265=0,0,ROUND(MAX($J265*1.4*1.5*1.6*1.6*2.2,42600000*(1.576904^(MIN($E265,123)-117)))*1,0))</f>
        <v>167041878</v>
      </c>
      <c r="U265" s="4">
        <f t="shared" si="149"/>
        <v>131</v>
      </c>
      <c r="V265" s="8">
        <f>IF($J265=0,0,ROUND(MAX($J265*1.4*1.5*1.6*1.6*2.2*2.715,354000000*(1.642074^(MIN($E265,123)-117)))*1,0))</f>
        <v>1567405752</v>
      </c>
      <c r="W265" s="6">
        <f t="shared" si="150"/>
        <v>135</v>
      </c>
      <c r="X265" s="7">
        <f>IF($J265=0,0,ROUND(MAX($J265*1.4*1.5*1.6*1.6*2.2*2.715*2.6,3540000000*(1.579646^(MIN($E265,123)-117)))*1,0))</f>
        <v>13953481417</v>
      </c>
      <c r="Y265" s="4">
        <f t="shared" si="151"/>
        <v>137</v>
      </c>
      <c r="Z265" s="8">
        <f>IF($J265=0,0,ROUND(MAX($J265*1.4*1.5*1.6*1.6*2.2*2.715*2.6*1.4,6020000000*(1.651178^(MIN($E265,123)-117)))*1,0))</f>
        <v>27100554178</v>
      </c>
      <c r="AA265" s="6">
        <f t="shared" si="152"/>
        <v>139</v>
      </c>
      <c r="AB265" s="7">
        <f>IF($J265=0,0,ROUND(MAX($J265*1.4*1.5*1.6*1.6*2.2*2.715*2.6*1.4*1.4,8430000000*(1.651435^(MIN($E265,123)-117)))*1,0))</f>
        <v>37967502359</v>
      </c>
      <c r="AC265" s="4">
        <f t="shared" si="153"/>
        <v>141</v>
      </c>
      <c r="AD265" s="8">
        <f>IF($J265=0,0,ROUND(MAX($J265*1.4*1.5*1.6*1.6*2.2*2.715*2.6*1.4*1.4*1.5,12600000000*(1.652953^(MIN($E265,123)-117)))*1,0))</f>
        <v>56905213910</v>
      </c>
      <c r="AE265" s="6">
        <f t="shared" si="154"/>
        <v>144</v>
      </c>
      <c r="AF265" s="7">
        <f>IF($J265=0,0,ROUND(MAX($J265*1.4*1.5*1.6*1.6*2.2*2.715*2.6*1.4*1.4*1.5*1.5,18900000000*(1.65331^(MIN($E265,123)-117)))*1,0))</f>
        <v>85413138816</v>
      </c>
      <c r="AG265" s="4">
        <f t="shared" si="155"/>
        <v>147</v>
      </c>
      <c r="AH265" s="8">
        <f>IF($J265=0,0,ROUND(MAX($J265*1.4*1.5*1.6*1.6*2.2*2.715*2.6*1.4*1.4*1.5*1.5*3.2,60500000000*(1.654288^(MIN($E265,123)-117)))*1,0))</f>
        <v>273897919220</v>
      </c>
    </row>
    <row r="266" spans="1:34" x14ac:dyDescent="0.25">
      <c r="A266" s="3">
        <v>293</v>
      </c>
      <c r="B266" s="3" t="s">
        <v>428</v>
      </c>
      <c r="C266" s="3" t="s">
        <v>228</v>
      </c>
      <c r="D266" s="3" t="s">
        <v>25</v>
      </c>
      <c r="E266" s="3">
        <v>120</v>
      </c>
      <c r="F266" s="3" t="s">
        <v>258</v>
      </c>
      <c r="G266" s="3" t="s">
        <v>429</v>
      </c>
      <c r="H266" s="3">
        <v>30</v>
      </c>
      <c r="I266" s="4">
        <v>120</v>
      </c>
      <c r="J266" s="5">
        <v>2000000</v>
      </c>
      <c r="K266" s="6">
        <f t="shared" si="144"/>
        <v>121</v>
      </c>
      <c r="L266" s="7">
        <f>IF($J266=0,0,ROUND(MAX($J266*1.4,1620000*(1.497923^(MIN($E266,123)-117)))*0.8,0))</f>
        <v>4355856</v>
      </c>
      <c r="M266" s="4">
        <f t="shared" si="145"/>
        <v>122</v>
      </c>
      <c r="N266" s="8">
        <f>IF($J266=0,0,ROUND(MAX($J266*1.4*1.5,2190000*(1.580994^(MIN($E266,123)-117)))*0.8,0))</f>
        <v>6923485</v>
      </c>
      <c r="O266" s="6">
        <f t="shared" si="146"/>
        <v>124</v>
      </c>
      <c r="P266" s="7">
        <f>IF($J266=0,0,ROUND(MAX($J266*1.4*1.5*1.6,3500000*(1.57975^(MIN($E266,123)-117)))*0.8,0))</f>
        <v>11038832</v>
      </c>
      <c r="Q266" s="4">
        <f t="shared" si="147"/>
        <v>126</v>
      </c>
      <c r="R266" s="8">
        <f>IF($J266=0,0,ROUND(MAX($J266*1.4*1.5*1.6*1.6,13100000*(1.429962^(MIN($E266,123)-117)))*0.651041666666667,0))</f>
        <v>24937538</v>
      </c>
      <c r="S266" s="6">
        <f t="shared" si="148"/>
        <v>128</v>
      </c>
      <c r="T266" s="7">
        <f>IF($J266=0,0,ROUND(MAX($J266*1.4*1.5*1.6*1.6*2.2,42600000*(1.576904^(MIN($E266,123)-117)))*0.617361111111111,0))</f>
        <v>103125159</v>
      </c>
      <c r="U266" s="4">
        <f t="shared" si="149"/>
        <v>131</v>
      </c>
      <c r="V266" s="8">
        <f>IF($J266=0,0,ROUND(MAX($J266*1.4*1.5*1.6*1.6*2.2*2.715,354000000*(1.642074^(MIN($E266,123)-117)))*0.583680555555556,0))</f>
        <v>914864260</v>
      </c>
      <c r="W266" s="6">
        <f t="shared" si="150"/>
        <v>135</v>
      </c>
      <c r="X266" s="7">
        <f>IF($J266=0,0,ROUND(MAX($J266*1.4*1.5*1.6*1.6*2.2*2.715*2.6,3540000000*(1.579646^(MIN($E266,123)-117)))*0.55,0))</f>
        <v>7674414779</v>
      </c>
      <c r="Y266" s="4">
        <f t="shared" si="151"/>
        <v>137</v>
      </c>
      <c r="Z266" s="8">
        <f>IF($J266=0,0,ROUND(MAX($J266*1.4*1.5*1.6*1.6*2.2*2.715*2.6*1.4,6020000000*(1.651178^(MIN($E266,123)-117)))*0.55,0))</f>
        <v>14905304798</v>
      </c>
      <c r="AA266" s="6">
        <f t="shared" si="152"/>
        <v>139</v>
      </c>
      <c r="AB266" s="7">
        <f>IF($J266=0,0,ROUND(MAX($J266*1.4*1.5*1.6*1.6*2.2*2.715*2.6*1.4*1.4,8430000000*(1.651435^(MIN($E266,123)-117)))*0.55,0))</f>
        <v>20882126298</v>
      </c>
      <c r="AC266" s="4">
        <f t="shared" si="153"/>
        <v>141</v>
      </c>
      <c r="AD266" s="8">
        <f>IF($J266=0,0,ROUND(MAX($J266*1.4*1.5*1.6*1.6*2.2*2.715*2.6*1.4*1.4*1.5,12600000000*(1.652953^(MIN($E266,123)-117)))*0.55,0))</f>
        <v>31297867651</v>
      </c>
      <c r="AE266" s="6">
        <f t="shared" si="154"/>
        <v>144</v>
      </c>
      <c r="AF266" s="7">
        <f>IF($J266=0,0,ROUND(MAX($J266*1.4*1.5*1.6*1.6*2.2*2.715*2.6*1.4*1.4*1.5*1.5,18900000000*(1.65331^(MIN($E266,123)-117)))*0.55,0))</f>
        <v>46977226349</v>
      </c>
      <c r="AG266" s="4">
        <f t="shared" si="155"/>
        <v>147</v>
      </c>
      <c r="AH266" s="8">
        <f>IF($J266=0,0,ROUND(MAX($J266*1.4*1.5*1.6*1.6*2.2*2.715*2.6*1.4*1.4*1.5*1.5*3.2,60500000000*(1.654288^(MIN($E266,123)-117)))*0.55,0))</f>
        <v>150643855571</v>
      </c>
    </row>
    <row r="267" spans="1:34" x14ac:dyDescent="0.25">
      <c r="A267" s="3">
        <v>272</v>
      </c>
      <c r="B267" s="3" t="s">
        <v>430</v>
      </c>
      <c r="C267" s="3" t="s">
        <v>228</v>
      </c>
      <c r="D267" s="3" t="s">
        <v>79</v>
      </c>
      <c r="E267" s="3">
        <v>120</v>
      </c>
      <c r="F267" s="3" t="s">
        <v>431</v>
      </c>
      <c r="G267" s="3" t="s">
        <v>374</v>
      </c>
      <c r="H267" s="3">
        <v>31</v>
      </c>
      <c r="I267" s="4">
        <v>120</v>
      </c>
      <c r="J267" s="5">
        <v>2000000</v>
      </c>
      <c r="K267" s="6">
        <f t="shared" si="144"/>
        <v>121</v>
      </c>
      <c r="L267" s="7">
        <f>IF($J267=0,0,ROUND(MAX($J267*1.4,1620000*(1.497923^(MIN($E267,123)-117)))*1,0))</f>
        <v>5444819</v>
      </c>
      <c r="M267" s="4">
        <f t="shared" si="145"/>
        <v>122</v>
      </c>
      <c r="N267" s="8">
        <f>IF($J267=0,0,ROUND(MAX($J267*1.4*1.5,2190000*(1.580994^(MIN($E267,123)-117)))*1,0))</f>
        <v>8654356</v>
      </c>
      <c r="O267" s="6">
        <f t="shared" si="146"/>
        <v>124</v>
      </c>
      <c r="P267" s="7">
        <f>IF($J267=0,0,ROUND(MAX($J267*1.4*1.5*1.6,3500000*(1.57975^(MIN($E267,123)-117)))*1,0))</f>
        <v>13798540</v>
      </c>
      <c r="Q267" s="4">
        <f t="shared" si="147"/>
        <v>126</v>
      </c>
      <c r="R267" s="8">
        <f>IF($J267=0,0,ROUND(MAX($J267*1.4*1.5*1.6*1.6,13100000*(1.429962^(MIN($E267,123)-117)))*1,0))</f>
        <v>38304058</v>
      </c>
      <c r="S267" s="6">
        <f t="shared" si="148"/>
        <v>128</v>
      </c>
      <c r="T267" s="7">
        <f>IF($J267=0,0,ROUND(MAX($J267*1.4*1.5*1.6*1.6*2.2,42600000*(1.576904^(MIN($E267,123)-117)))*1,0))</f>
        <v>167041878</v>
      </c>
      <c r="U267" s="4">
        <f t="shared" si="149"/>
        <v>131</v>
      </c>
      <c r="V267" s="8">
        <f>IF($J267=0,0,ROUND(MAX($J267*1.4*1.5*1.6*1.6*2.2*2.715,354000000*(1.642074^(MIN($E267,123)-117)))*1,0))</f>
        <v>1567405752</v>
      </c>
      <c r="W267" s="6">
        <f t="shared" si="150"/>
        <v>135</v>
      </c>
      <c r="X267" s="7">
        <f>IF($J267=0,0,ROUND(MAX($J267*1.4*1.5*1.6*1.6*2.2*2.715*2.6,3540000000*(1.579646^(MIN($E267,123)-117)))*1,0))</f>
        <v>13953481417</v>
      </c>
      <c r="Y267" s="4">
        <f t="shared" si="151"/>
        <v>137</v>
      </c>
      <c r="Z267" s="8">
        <f>IF($J267=0,0,ROUND(MAX($J267*1.4*1.5*1.6*1.6*2.2*2.715*2.6*1.4,6020000000*(1.651178^(MIN($E267,123)-117)))*1,0))</f>
        <v>27100554178</v>
      </c>
      <c r="AA267" s="6">
        <f t="shared" si="152"/>
        <v>139</v>
      </c>
      <c r="AB267" s="7">
        <f>IF($J267=0,0,ROUND(MAX($J267*1.4*1.5*1.6*1.6*2.2*2.715*2.6*1.4*1.4,8430000000*(1.651435^(MIN($E267,123)-117)))*1,0))</f>
        <v>37967502359</v>
      </c>
      <c r="AC267" s="4">
        <f t="shared" si="153"/>
        <v>141</v>
      </c>
      <c r="AD267" s="8">
        <f>IF($J267=0,0,ROUND(MAX($J267*1.4*1.5*1.6*1.6*2.2*2.715*2.6*1.4*1.4*1.5,12600000000*(1.652953^(MIN($E267,123)-117)))*1,0))</f>
        <v>56905213910</v>
      </c>
      <c r="AE267" s="6">
        <f t="shared" si="154"/>
        <v>144</v>
      </c>
      <c r="AF267" s="7">
        <f>IF($J267=0,0,ROUND(MAX($J267*1.4*1.5*1.6*1.6*2.2*2.715*2.6*1.4*1.4*1.5*1.5,18900000000*(1.65331^(MIN($E267,123)-117)))*1,0))</f>
        <v>85413138816</v>
      </c>
      <c r="AG267" s="4">
        <f t="shared" si="155"/>
        <v>147</v>
      </c>
      <c r="AH267" s="8">
        <f>IF($J267=0,0,ROUND(MAX($J267*1.4*1.5*1.6*1.6*2.2*2.715*2.6*1.4*1.4*1.5*1.5*3.2,60500000000*(1.654288^(MIN($E267,123)-117)))*1,0))</f>
        <v>273897919220</v>
      </c>
    </row>
    <row r="268" spans="1:34" x14ac:dyDescent="0.25">
      <c r="A268" s="3">
        <v>274</v>
      </c>
      <c r="B268" s="3" t="s">
        <v>432</v>
      </c>
      <c r="C268" s="3" t="s">
        <v>228</v>
      </c>
      <c r="D268" s="3" t="s">
        <v>40</v>
      </c>
      <c r="E268" s="3">
        <v>120</v>
      </c>
      <c r="F268" s="3" t="s">
        <v>56</v>
      </c>
      <c r="G268" s="3" t="s">
        <v>433</v>
      </c>
      <c r="H268" s="3">
        <v>31</v>
      </c>
      <c r="I268" s="4">
        <v>120</v>
      </c>
      <c r="J268" s="5">
        <v>2000000</v>
      </c>
      <c r="K268" s="6">
        <f t="shared" si="144"/>
        <v>121</v>
      </c>
      <c r="L268" s="7">
        <f>IF($J268=0,0,ROUND(MAX($J268*1.4,1620000*(1.497923^(MIN($E268,123)-117)))*0.8,0))</f>
        <v>4355856</v>
      </c>
      <c r="M268" s="4">
        <f t="shared" si="145"/>
        <v>122</v>
      </c>
      <c r="N268" s="8">
        <f>IF($J268=0,0,ROUND(MAX($J268*1.4*1.5,2190000*(1.580994^(MIN($E268,123)-117)))*0.8,0))</f>
        <v>6923485</v>
      </c>
      <c r="O268" s="6">
        <f t="shared" si="146"/>
        <v>124</v>
      </c>
      <c r="P268" s="7">
        <f>IF($J268=0,0,ROUND(MAX($J268*1.4*1.5*1.6,3500000*(1.57975^(MIN($E268,123)-117)))*0.8,0))</f>
        <v>11038832</v>
      </c>
      <c r="Q268" s="4">
        <f t="shared" si="147"/>
        <v>126</v>
      </c>
      <c r="R268" s="8">
        <f>IF($J268=0,0,ROUND(MAX($J268*1.4*1.5*1.6*1.6,13100000*(1.429962^(MIN($E268,123)-117)))*0.651041666666667,0))</f>
        <v>24937538</v>
      </c>
      <c r="S268" s="6">
        <f t="shared" si="148"/>
        <v>128</v>
      </c>
      <c r="T268" s="7">
        <f>IF($J268=0,0,ROUND(MAX($J268*1.4*1.5*1.6*1.6*2.2,42600000*(1.576904^(MIN($E268,123)-117)))*0.617361111111111,0))</f>
        <v>103125159</v>
      </c>
      <c r="U268" s="4">
        <f t="shared" si="149"/>
        <v>131</v>
      </c>
      <c r="V268" s="8">
        <f>IF($J268=0,0,ROUND(MAX($J268*1.4*1.5*1.6*1.6*2.2*2.715,354000000*(1.642074^(MIN($E268,123)-117)))*0.583680555555556,0))</f>
        <v>914864260</v>
      </c>
      <c r="W268" s="6">
        <f t="shared" si="150"/>
        <v>135</v>
      </c>
      <c r="X268" s="7">
        <f>IF($J268=0,0,ROUND(MAX($J268*1.4*1.5*1.6*1.6*2.2*2.715*2.6,3540000000*(1.579646^(MIN($E268,123)-117)))*0.55,0))</f>
        <v>7674414779</v>
      </c>
      <c r="Y268" s="4">
        <f t="shared" si="151"/>
        <v>137</v>
      </c>
      <c r="Z268" s="8">
        <f>IF($J268=0,0,ROUND(MAX($J268*1.4*1.5*1.6*1.6*2.2*2.715*2.6*1.4,6020000000*(1.651178^(MIN($E268,123)-117)))*0.55,0))</f>
        <v>14905304798</v>
      </c>
      <c r="AA268" s="6">
        <f t="shared" si="152"/>
        <v>139</v>
      </c>
      <c r="AB268" s="7">
        <f>IF($J268=0,0,ROUND(MAX($J268*1.4*1.5*1.6*1.6*2.2*2.715*2.6*1.4*1.4,8430000000*(1.651435^(MIN($E268,123)-117)))*0.55,0))</f>
        <v>20882126298</v>
      </c>
      <c r="AC268" s="4">
        <f t="shared" si="153"/>
        <v>141</v>
      </c>
      <c r="AD268" s="8">
        <f>IF($J268=0,0,ROUND(MAX($J268*1.4*1.5*1.6*1.6*2.2*2.715*2.6*1.4*1.4*1.5,12600000000*(1.652953^(MIN($E268,123)-117)))*0.55,0))</f>
        <v>31297867651</v>
      </c>
      <c r="AE268" s="6">
        <f t="shared" si="154"/>
        <v>144</v>
      </c>
      <c r="AF268" s="7">
        <f>IF($J268=0,0,ROUND(MAX($J268*1.4*1.5*1.6*1.6*2.2*2.715*2.6*1.4*1.4*1.5*1.5,18900000000*(1.65331^(MIN($E268,123)-117)))*0.55,0))</f>
        <v>46977226349</v>
      </c>
      <c r="AG268" s="4">
        <f t="shared" si="155"/>
        <v>147</v>
      </c>
      <c r="AH268" s="8">
        <f>IF($J268=0,0,ROUND(MAX($J268*1.4*1.5*1.6*1.6*2.2*2.715*2.6*1.4*1.4*1.5*1.5*3.2,60500000000*(1.654288^(MIN($E268,123)-117)))*0.55,0))</f>
        <v>150643855571</v>
      </c>
    </row>
    <row r="269" spans="1:34" x14ac:dyDescent="0.25">
      <c r="A269" s="3">
        <v>268</v>
      </c>
      <c r="B269" s="3" t="s">
        <v>434</v>
      </c>
      <c r="C269" s="3" t="s">
        <v>228</v>
      </c>
      <c r="D269" s="3" t="s">
        <v>40</v>
      </c>
      <c r="E269" s="3">
        <v>120</v>
      </c>
      <c r="F269" s="3" t="s">
        <v>409</v>
      </c>
      <c r="G269" s="3" t="s">
        <v>247</v>
      </c>
      <c r="H269" s="3">
        <v>30</v>
      </c>
      <c r="I269" s="4">
        <v>120</v>
      </c>
      <c r="J269" s="5">
        <v>2000000</v>
      </c>
      <c r="K269" s="6">
        <f t="shared" si="144"/>
        <v>121</v>
      </c>
      <c r="L269" s="7">
        <f>IF($J269=0,0,ROUND(MAX($J269*1.4,1620000*(1.497923^(MIN($E269,123)-117)))*0.8,0))</f>
        <v>4355856</v>
      </c>
      <c r="M269" s="4">
        <f t="shared" si="145"/>
        <v>122</v>
      </c>
      <c r="N269" s="8">
        <f>IF($J269=0,0,ROUND(MAX($J269*1.4*1.5,2190000*(1.580994^(MIN($E269,123)-117)))*0.8,0))</f>
        <v>6923485</v>
      </c>
      <c r="O269" s="6">
        <f t="shared" si="146"/>
        <v>124</v>
      </c>
      <c r="P269" s="7">
        <f>IF($J269=0,0,ROUND(MAX($J269*1.4*1.5*1.6,3500000*(1.57975^(MIN($E269,123)-117)))*0.8,0))</f>
        <v>11038832</v>
      </c>
      <c r="Q269" s="4">
        <f t="shared" si="147"/>
        <v>126</v>
      </c>
      <c r="R269" s="8">
        <f>IF($J269=0,0,ROUND(MAX($J269*1.4*1.5*1.6*1.6,13100000*(1.429962^(MIN($E269,123)-117)))*0.651041666666667,0))</f>
        <v>24937538</v>
      </c>
      <c r="S269" s="6">
        <f t="shared" si="148"/>
        <v>128</v>
      </c>
      <c r="T269" s="7">
        <f>IF($J269=0,0,ROUND(MAX($J269*1.4*1.5*1.6*1.6*2.2,42600000*(1.576904^(MIN($E269,123)-117)))*0.617361111111111,0))</f>
        <v>103125159</v>
      </c>
      <c r="U269" s="4">
        <f t="shared" si="149"/>
        <v>131</v>
      </c>
      <c r="V269" s="8">
        <f>IF($J269=0,0,ROUND(MAX($J269*1.4*1.5*1.6*1.6*2.2*2.715,354000000*(1.642074^(MIN($E269,123)-117)))*0.583680555555556,0))</f>
        <v>914864260</v>
      </c>
      <c r="W269" s="6">
        <f t="shared" si="150"/>
        <v>135</v>
      </c>
      <c r="X269" s="7">
        <f>IF($J269=0,0,ROUND(MAX($J269*1.4*1.5*1.6*1.6*2.2*2.715*2.6,3540000000*(1.579646^(MIN($E269,123)-117)))*0.55,0))</f>
        <v>7674414779</v>
      </c>
      <c r="Y269" s="4">
        <f t="shared" si="151"/>
        <v>137</v>
      </c>
      <c r="Z269" s="8">
        <f>IF($J269=0,0,ROUND(MAX($J269*1.4*1.5*1.6*1.6*2.2*2.715*2.6*1.4,6020000000*(1.651178^(MIN($E269,123)-117)))*0.55,0))</f>
        <v>14905304798</v>
      </c>
      <c r="AA269" s="6">
        <f t="shared" si="152"/>
        <v>139</v>
      </c>
      <c r="AB269" s="7">
        <f>IF($J269=0,0,ROUND(MAX($J269*1.4*1.5*1.6*1.6*2.2*2.715*2.6*1.4*1.4,8430000000*(1.651435^(MIN($E269,123)-117)))*0.55,0))</f>
        <v>20882126298</v>
      </c>
      <c r="AC269" s="4">
        <f t="shared" si="153"/>
        <v>141</v>
      </c>
      <c r="AD269" s="8">
        <f>IF($J269=0,0,ROUND(MAX($J269*1.4*1.5*1.6*1.6*2.2*2.715*2.6*1.4*1.4*1.5,12600000000*(1.652953^(MIN($E269,123)-117)))*0.55,0))</f>
        <v>31297867651</v>
      </c>
      <c r="AE269" s="6">
        <f t="shared" si="154"/>
        <v>144</v>
      </c>
      <c r="AF269" s="7">
        <f>IF($J269=0,0,ROUND(MAX($J269*1.4*1.5*1.6*1.6*2.2*2.715*2.6*1.4*1.4*1.5*1.5,18900000000*(1.65331^(MIN($E269,123)-117)))*0.55,0))</f>
        <v>46977226349</v>
      </c>
      <c r="AG269" s="4">
        <f t="shared" si="155"/>
        <v>147</v>
      </c>
      <c r="AH269" s="8">
        <f>IF($J269=0,0,ROUND(MAX($J269*1.4*1.5*1.6*1.6*2.2*2.715*2.6*1.4*1.4*1.5*1.5*3.2,60500000000*(1.654288^(MIN($E269,123)-117)))*0.55,0))</f>
        <v>150643855571</v>
      </c>
    </row>
    <row r="270" spans="1:34" x14ac:dyDescent="0.25">
      <c r="A270" s="3">
        <v>273</v>
      </c>
      <c r="B270" s="3" t="s">
        <v>435</v>
      </c>
      <c r="C270" s="3" t="s">
        <v>228</v>
      </c>
      <c r="D270" s="3" t="s">
        <v>40</v>
      </c>
      <c r="E270" s="3">
        <v>120</v>
      </c>
      <c r="F270" s="3" t="s">
        <v>409</v>
      </c>
      <c r="G270" s="3" t="s">
        <v>60</v>
      </c>
      <c r="H270" s="3">
        <v>31</v>
      </c>
      <c r="I270" s="4">
        <v>120</v>
      </c>
      <c r="J270" s="5">
        <v>2000000</v>
      </c>
      <c r="K270" s="6">
        <f t="shared" si="144"/>
        <v>121</v>
      </c>
      <c r="L270" s="7">
        <f>IF($J270=0,0,ROUND(MAX($J270*1.4,1620000*(1.497923^(MIN($E270,123)-117)))*1,0))</f>
        <v>5444819</v>
      </c>
      <c r="M270" s="4">
        <f t="shared" si="145"/>
        <v>122</v>
      </c>
      <c r="N270" s="8">
        <f>IF($J270=0,0,ROUND(MAX($J270*1.4*1.5,2190000*(1.580994^(MIN($E270,123)-117)))*1,0))</f>
        <v>8654356</v>
      </c>
      <c r="O270" s="6">
        <f t="shared" si="146"/>
        <v>124</v>
      </c>
      <c r="P270" s="7">
        <f>IF($J270=0,0,ROUND(MAX($J270*1.4*1.5*1.6,3500000*(1.57975^(MIN($E270,123)-117)))*1,0))</f>
        <v>13798540</v>
      </c>
      <c r="Q270" s="4">
        <f t="shared" si="147"/>
        <v>126</v>
      </c>
      <c r="R270" s="8">
        <f>IF($J270=0,0,ROUND(MAX($J270*1.4*1.5*1.6*1.6,13100000*(1.429962^(MIN($E270,123)-117)))*1,0))</f>
        <v>38304058</v>
      </c>
      <c r="S270" s="6">
        <f t="shared" si="148"/>
        <v>128</v>
      </c>
      <c r="T270" s="7">
        <f>IF($J270=0,0,ROUND(MAX($J270*1.4*1.5*1.6*1.6*2.2,42600000*(1.576904^(MIN($E270,123)-117)))*1,0))</f>
        <v>167041878</v>
      </c>
      <c r="U270" s="4">
        <f t="shared" si="149"/>
        <v>131</v>
      </c>
      <c r="V270" s="8">
        <f>IF($J270=0,0,ROUND(MAX($J270*1.4*1.5*1.6*1.6*2.2*2.715,354000000*(1.642074^(MIN($E270,123)-117)))*1,0))</f>
        <v>1567405752</v>
      </c>
      <c r="W270" s="6">
        <f t="shared" si="150"/>
        <v>135</v>
      </c>
      <c r="X270" s="7">
        <f>IF($J270=0,0,ROUND(MAX($J270*1.4*1.5*1.6*1.6*2.2*2.715*2.6,3540000000*(1.579646^(MIN($E270,123)-117)))*1,0))</f>
        <v>13953481417</v>
      </c>
      <c r="Y270" s="4">
        <f t="shared" si="151"/>
        <v>137</v>
      </c>
      <c r="Z270" s="8">
        <f>IF($J270=0,0,ROUND(MAX($J270*1.4*1.5*1.6*1.6*2.2*2.715*2.6*1.4,6020000000*(1.651178^(MIN($E270,123)-117)))*1,0))</f>
        <v>27100554178</v>
      </c>
      <c r="AA270" s="6">
        <f t="shared" si="152"/>
        <v>139</v>
      </c>
      <c r="AB270" s="7">
        <f>IF($J270=0,0,ROUND(MAX($J270*1.4*1.5*1.6*1.6*2.2*2.715*2.6*1.4*1.4,8430000000*(1.651435^(MIN($E270,123)-117)))*1,0))</f>
        <v>37967502359</v>
      </c>
      <c r="AC270" s="4">
        <f t="shared" si="153"/>
        <v>141</v>
      </c>
      <c r="AD270" s="8">
        <f>IF($J270=0,0,ROUND(MAX($J270*1.4*1.5*1.6*1.6*2.2*2.715*2.6*1.4*1.4*1.5,12600000000*(1.652953^(MIN($E270,123)-117)))*1,0))</f>
        <v>56905213910</v>
      </c>
      <c r="AE270" s="6">
        <f t="shared" si="154"/>
        <v>144</v>
      </c>
      <c r="AF270" s="7">
        <f>IF($J270=0,0,ROUND(MAX($J270*1.4*1.5*1.6*1.6*2.2*2.715*2.6*1.4*1.4*1.5*1.5,18900000000*(1.65331^(MIN($E270,123)-117)))*1,0))</f>
        <v>85413138816</v>
      </c>
      <c r="AG270" s="4">
        <f t="shared" si="155"/>
        <v>147</v>
      </c>
      <c r="AH270" s="8">
        <f>IF($J270=0,0,ROUND(MAX($J270*1.4*1.5*1.6*1.6*2.2*2.715*2.6*1.4*1.4*1.5*1.5*3.2,60500000000*(1.654288^(MIN($E270,123)-117)))*1,0))</f>
        <v>273897919220</v>
      </c>
    </row>
    <row r="271" spans="1:34" x14ac:dyDescent="0.25">
      <c r="A271" s="3">
        <v>271</v>
      </c>
      <c r="B271" s="3" t="s">
        <v>436</v>
      </c>
      <c r="C271" s="3" t="s">
        <v>228</v>
      </c>
      <c r="D271" s="3" t="s">
        <v>79</v>
      </c>
      <c r="E271" s="3">
        <v>120</v>
      </c>
      <c r="F271" s="3" t="s">
        <v>310</v>
      </c>
      <c r="G271" s="3" t="s">
        <v>437</v>
      </c>
      <c r="H271" s="3">
        <v>31</v>
      </c>
      <c r="I271" s="4">
        <v>120</v>
      </c>
      <c r="J271" s="5">
        <v>2000000</v>
      </c>
      <c r="K271" s="6">
        <f t="shared" si="144"/>
        <v>121</v>
      </c>
      <c r="L271" s="7">
        <f>IF($J271=0,0,ROUND(MAX($J271*1.4,1620000*(1.497923^(MIN($E271,123)-117)))*1,0))</f>
        <v>5444819</v>
      </c>
      <c r="M271" s="4">
        <f t="shared" si="145"/>
        <v>122</v>
      </c>
      <c r="N271" s="8">
        <f>IF($J271=0,0,ROUND(MAX($J271*1.4*1.5,2190000*(1.580994^(MIN($E271,123)-117)))*1,0))</f>
        <v>8654356</v>
      </c>
      <c r="O271" s="6">
        <f t="shared" si="146"/>
        <v>124</v>
      </c>
      <c r="P271" s="7">
        <f>IF($J271=0,0,ROUND(MAX($J271*1.4*1.5*1.6,3500000*(1.57975^(MIN($E271,123)-117)))*1,0))</f>
        <v>13798540</v>
      </c>
      <c r="Q271" s="4">
        <f t="shared" si="147"/>
        <v>126</v>
      </c>
      <c r="R271" s="8">
        <f>IF($J271=0,0,ROUND(MAX($J271*1.4*1.5*1.6*1.6,13100000*(1.429962^(MIN($E271,123)-117)))*1,0))</f>
        <v>38304058</v>
      </c>
      <c r="S271" s="6">
        <f t="shared" si="148"/>
        <v>128</v>
      </c>
      <c r="T271" s="7">
        <f>IF($J271=0,0,ROUND(MAX($J271*1.4*1.5*1.6*1.6*2.2,42600000*(1.576904^(MIN($E271,123)-117)))*1,0))</f>
        <v>167041878</v>
      </c>
      <c r="U271" s="4">
        <f t="shared" si="149"/>
        <v>131</v>
      </c>
      <c r="V271" s="8">
        <f>IF($J271=0,0,ROUND(MAX($J271*1.4*1.5*1.6*1.6*2.2*2.715,354000000*(1.642074^(MIN($E271,123)-117)))*1,0))</f>
        <v>1567405752</v>
      </c>
      <c r="W271" s="6">
        <f t="shared" si="150"/>
        <v>135</v>
      </c>
      <c r="X271" s="7">
        <f>IF($J271=0,0,ROUND(MAX($J271*1.4*1.5*1.6*1.6*2.2*2.715*2.6,3540000000*(1.579646^(MIN($E271,123)-117)))*1,0))</f>
        <v>13953481417</v>
      </c>
      <c r="Y271" s="4">
        <f t="shared" si="151"/>
        <v>137</v>
      </c>
      <c r="Z271" s="8">
        <f>IF($J271=0,0,ROUND(MAX($J271*1.4*1.5*1.6*1.6*2.2*2.715*2.6*1.4,6020000000*(1.651178^(MIN($E271,123)-117)))*1,0))</f>
        <v>27100554178</v>
      </c>
      <c r="AA271" s="6">
        <f t="shared" si="152"/>
        <v>139</v>
      </c>
      <c r="AB271" s="7">
        <f>IF($J271=0,0,ROUND(MAX($J271*1.4*1.5*1.6*1.6*2.2*2.715*2.6*1.4*1.4,8430000000*(1.651435^(MIN($E271,123)-117)))*1,0))</f>
        <v>37967502359</v>
      </c>
      <c r="AC271" s="4">
        <f t="shared" si="153"/>
        <v>141</v>
      </c>
      <c r="AD271" s="8">
        <f>IF($J271=0,0,ROUND(MAX($J271*1.4*1.5*1.6*1.6*2.2*2.715*2.6*1.4*1.4*1.5,12600000000*(1.652953^(MIN($E271,123)-117)))*1,0))</f>
        <v>56905213910</v>
      </c>
      <c r="AE271" s="6">
        <f t="shared" si="154"/>
        <v>144</v>
      </c>
      <c r="AF271" s="7">
        <f>IF($J271=0,0,ROUND(MAX($J271*1.4*1.5*1.6*1.6*2.2*2.715*2.6*1.4*1.4*1.5*1.5,18900000000*(1.65331^(MIN($E271,123)-117)))*1,0))</f>
        <v>85413138816</v>
      </c>
      <c r="AG271" s="4">
        <f t="shared" si="155"/>
        <v>147</v>
      </c>
      <c r="AH271" s="8">
        <f>IF($J271=0,0,ROUND(MAX($J271*1.4*1.5*1.6*1.6*2.2*2.715*2.6*1.4*1.4*1.5*1.5*3.2,60500000000*(1.654288^(MIN($E271,123)-117)))*1,0))</f>
        <v>273897919220</v>
      </c>
    </row>
    <row r="272" spans="1:34" x14ac:dyDescent="0.25">
      <c r="A272" s="3">
        <v>307</v>
      </c>
      <c r="B272" s="3" t="s">
        <v>438</v>
      </c>
      <c r="C272" s="3" t="s">
        <v>228</v>
      </c>
      <c r="D272" s="3" t="s">
        <v>90</v>
      </c>
      <c r="E272" s="3">
        <v>119</v>
      </c>
      <c r="F272" s="3" t="s">
        <v>42</v>
      </c>
      <c r="G272" s="3" t="s">
        <v>439</v>
      </c>
      <c r="H272" s="3">
        <v>29</v>
      </c>
      <c r="I272" s="4">
        <v>119</v>
      </c>
      <c r="J272" s="9">
        <v>2900000</v>
      </c>
      <c r="K272" s="6">
        <f t="shared" si="144"/>
        <v>120</v>
      </c>
      <c r="L272" s="7">
        <f>IF($J272=0,0,ROUND(MAX($J272*1.4,1620000*(1.497923^(MIN($E272,123)-117)))*0.8,0))</f>
        <v>3248000</v>
      </c>
      <c r="M272" s="4">
        <f t="shared" si="145"/>
        <v>121</v>
      </c>
      <c r="N272" s="8">
        <f>IF($J272=0,0,ROUND(MAX($J272*1.4*1.5,2190000*(1.580994^(MIN($E272,123)-117)))*0.8,0))</f>
        <v>4872000</v>
      </c>
      <c r="O272" s="6">
        <f t="shared" si="146"/>
        <v>123</v>
      </c>
      <c r="P272" s="7">
        <f>IF($J272=0,0,ROUND(MAX($J272*1.4*1.5*1.6,3500000*(1.57975^(MIN($E272,123)-117)))*0.8,0))</f>
        <v>7795200</v>
      </c>
      <c r="Q272" s="4">
        <f t="shared" si="147"/>
        <v>125</v>
      </c>
      <c r="R272" s="8">
        <f>IF($J272=0,0,ROUND(MAX($J272*1.4*1.5*1.6*1.6,13100000*(1.429962^(MIN($E272,123)-117)))*0.651041666666667,0))</f>
        <v>17439301</v>
      </c>
      <c r="S272" s="6">
        <f t="shared" si="148"/>
        <v>127</v>
      </c>
      <c r="T272" s="7">
        <f>IF($J272=0,0,ROUND(MAX($J272*1.4*1.5*1.6*1.6*2.2,42600000*(1.576904^(MIN($E272,123)-117)))*0.617361111111111,0))</f>
        <v>65397234</v>
      </c>
      <c r="U272" s="4">
        <f t="shared" si="149"/>
        <v>130</v>
      </c>
      <c r="V272" s="8">
        <f>IF($J272=0,0,ROUND(MAX($J272*1.4*1.5*1.6*1.6*2.2*2.715,354000000*(1.642074^(MIN($E272,123)-117)))*0.583680555555556,0))</f>
        <v>557139483</v>
      </c>
      <c r="W272" s="6">
        <f t="shared" si="150"/>
        <v>134</v>
      </c>
      <c r="X272" s="7">
        <f>IF($J272=0,0,ROUND(MAX($J272*1.4*1.5*1.6*1.6*2.2*2.715*2.6,3540000000*(1.579646^(MIN($E272,123)-117)))*0.55,0))</f>
        <v>4858313052</v>
      </c>
      <c r="Y272" s="4">
        <f t="shared" si="151"/>
        <v>136</v>
      </c>
      <c r="Z272" s="8">
        <f>IF($J272=0,0,ROUND(MAX($J272*1.4*1.5*1.6*1.6*2.2*2.715*2.6*1.4,6020000000*(1.651178^(MIN($E272,123)-117)))*0.55,0))</f>
        <v>9027073276</v>
      </c>
      <c r="AA272" s="6">
        <f t="shared" si="152"/>
        <v>138</v>
      </c>
      <c r="AB272" s="7">
        <f>IF($J272=0,0,ROUND(MAX($J272*1.4*1.5*1.6*1.6*2.2*2.715*2.6*1.4*1.4,8430000000*(1.651435^(MIN($E272,123)-117)))*0.55,0))</f>
        <v>12644836943</v>
      </c>
      <c r="AC272" s="4">
        <f t="shared" si="153"/>
        <v>140</v>
      </c>
      <c r="AD272" s="8">
        <f>IF($J272=0,0,ROUND(MAX($J272*1.4*1.5*1.6*1.6*2.2*2.715*2.6*1.4*1.4*1.5,12600000000*(1.652953^(MIN($E272,123)-117)))*0.55,0))</f>
        <v>18934517588</v>
      </c>
      <c r="AE272" s="6">
        <f t="shared" si="154"/>
        <v>143</v>
      </c>
      <c r="AF272" s="7">
        <f>IF($J272=0,0,ROUND(MAX($J272*1.4*1.5*1.6*1.6*2.2*2.715*2.6*1.4*1.4*1.5*1.5,18900000000*(1.65331^(MIN($E272,123)-117)))*0.55,0))</f>
        <v>28414045974</v>
      </c>
      <c r="AG272" s="4">
        <f t="shared" si="155"/>
        <v>146</v>
      </c>
      <c r="AH272" s="8">
        <f>IF($J272=0,0,ROUND(MAX($J272*1.4*1.5*1.6*1.6*2.2*2.715*2.6*1.4*1.4*1.5*1.5*3.2,60500000000*(1.654288^(MIN($E272,123)-117)))*0.55,0))</f>
        <v>91062653886</v>
      </c>
    </row>
    <row r="273" spans="1:34" x14ac:dyDescent="0.25">
      <c r="A273" s="3">
        <v>300</v>
      </c>
      <c r="B273" s="3" t="s">
        <v>440</v>
      </c>
      <c r="C273" s="3" t="s">
        <v>228</v>
      </c>
      <c r="D273" s="3" t="s">
        <v>102</v>
      </c>
      <c r="E273" s="3">
        <v>119</v>
      </c>
      <c r="F273" s="3" t="s">
        <v>212</v>
      </c>
      <c r="G273" s="3" t="s">
        <v>414</v>
      </c>
      <c r="H273" s="3">
        <v>29</v>
      </c>
      <c r="I273" s="4">
        <v>119</v>
      </c>
      <c r="J273" s="9">
        <v>2900000</v>
      </c>
      <c r="K273" s="6">
        <f t="shared" si="144"/>
        <v>120</v>
      </c>
      <c r="L273" s="7">
        <f>IF($J273=0,0,ROUND(MAX($J273*1.4,1620000*(1.497923^(MIN($E273,123)-117)))*0.8,0))</f>
        <v>3248000</v>
      </c>
      <c r="M273" s="4">
        <f t="shared" si="145"/>
        <v>121</v>
      </c>
      <c r="N273" s="8">
        <f>IF($J273=0,0,ROUND(MAX($J273*1.4*1.5,2190000*(1.580994^(MIN($E273,123)-117)))*0.8,0))</f>
        <v>4872000</v>
      </c>
      <c r="O273" s="6">
        <f t="shared" si="146"/>
        <v>123</v>
      </c>
      <c r="P273" s="7">
        <f>IF($J273=0,0,ROUND(MAX($J273*1.4*1.5*1.6,3500000*(1.57975^(MIN($E273,123)-117)))*0.8,0))</f>
        <v>7795200</v>
      </c>
      <c r="Q273" s="4">
        <f t="shared" si="147"/>
        <v>125</v>
      </c>
      <c r="R273" s="8">
        <f>IF($J273=0,0,ROUND(MAX($J273*1.4*1.5*1.6*1.6,13100000*(1.429962^(MIN($E273,123)-117)))*0.651041666666667,0))</f>
        <v>17439301</v>
      </c>
      <c r="S273" s="6">
        <f t="shared" si="148"/>
        <v>127</v>
      </c>
      <c r="T273" s="7">
        <f>IF($J273=0,0,ROUND(MAX($J273*1.4*1.5*1.6*1.6*2.2,42600000*(1.576904^(MIN($E273,123)-117)))*0.617361111111111,0))</f>
        <v>65397234</v>
      </c>
      <c r="U273" s="4">
        <f t="shared" si="149"/>
        <v>130</v>
      </c>
      <c r="V273" s="8">
        <f>IF($J273=0,0,ROUND(MAX($J273*1.4*1.5*1.6*1.6*2.2*2.715,354000000*(1.642074^(MIN($E273,123)-117)))*0.583680555555556,0))</f>
        <v>557139483</v>
      </c>
      <c r="W273" s="6">
        <f t="shared" si="150"/>
        <v>134</v>
      </c>
      <c r="X273" s="7">
        <f>IF($J273=0,0,ROUND(MAX($J273*1.4*1.5*1.6*1.6*2.2*2.715*2.6,3540000000*(1.579646^(MIN($E273,123)-117)))*0.55,0))</f>
        <v>4858313052</v>
      </c>
      <c r="Y273" s="4">
        <f t="shared" si="151"/>
        <v>136</v>
      </c>
      <c r="Z273" s="8">
        <f>IF($J273=0,0,ROUND(MAX($J273*1.4*1.5*1.6*1.6*2.2*2.715*2.6*1.4,6020000000*(1.651178^(MIN($E273,123)-117)))*0.55,0))</f>
        <v>9027073276</v>
      </c>
      <c r="AA273" s="6">
        <f t="shared" si="152"/>
        <v>138</v>
      </c>
      <c r="AB273" s="7">
        <f>IF($J273=0,0,ROUND(MAX($J273*1.4*1.5*1.6*1.6*2.2*2.715*2.6*1.4*1.4,8430000000*(1.651435^(MIN($E273,123)-117)))*0.55,0))</f>
        <v>12644836943</v>
      </c>
      <c r="AC273" s="4">
        <f t="shared" si="153"/>
        <v>140</v>
      </c>
      <c r="AD273" s="8">
        <f>IF($J273=0,0,ROUND(MAX($J273*1.4*1.5*1.6*1.6*2.2*2.715*2.6*1.4*1.4*1.5,12600000000*(1.652953^(MIN($E273,123)-117)))*0.55,0))</f>
        <v>18934517588</v>
      </c>
      <c r="AE273" s="6">
        <f t="shared" si="154"/>
        <v>143</v>
      </c>
      <c r="AF273" s="7">
        <f>IF($J273=0,0,ROUND(MAX($J273*1.4*1.5*1.6*1.6*2.2*2.715*2.6*1.4*1.4*1.5*1.5,18900000000*(1.65331^(MIN($E273,123)-117)))*0.55,0))</f>
        <v>28414045974</v>
      </c>
      <c r="AG273" s="4">
        <f t="shared" si="155"/>
        <v>146</v>
      </c>
      <c r="AH273" s="8">
        <f>IF($J273=0,0,ROUND(MAX($J273*1.4*1.5*1.6*1.6*2.2*2.715*2.6*1.4*1.4*1.5*1.5*3.2,60500000000*(1.654288^(MIN($E273,123)-117)))*0.55,0))</f>
        <v>91062653886</v>
      </c>
    </row>
    <row r="274" spans="1:34" x14ac:dyDescent="0.25">
      <c r="A274" s="3">
        <v>280</v>
      </c>
      <c r="B274" s="3" t="s">
        <v>441</v>
      </c>
      <c r="C274" s="3" t="s">
        <v>228</v>
      </c>
      <c r="D274" s="3" t="s">
        <v>45</v>
      </c>
      <c r="E274" s="3">
        <v>119</v>
      </c>
      <c r="F274" s="3" t="s">
        <v>223</v>
      </c>
      <c r="G274" s="3" t="s">
        <v>60</v>
      </c>
      <c r="H274" s="3">
        <v>29</v>
      </c>
      <c r="I274" s="4">
        <v>119</v>
      </c>
      <c r="J274" s="9">
        <v>2900000</v>
      </c>
      <c r="K274" s="6">
        <f t="shared" si="144"/>
        <v>120</v>
      </c>
      <c r="L274" s="7">
        <f>IF($J274=0,0,ROUND(MAX($J274*1.4,1620000*(1.497923^(MIN($E274,123)-117)))*0.8,0))</f>
        <v>3248000</v>
      </c>
      <c r="M274" s="4">
        <f t="shared" si="145"/>
        <v>121</v>
      </c>
      <c r="N274" s="8">
        <f>IF($J274=0,0,ROUND(MAX($J274*1.4*1.5,2190000*(1.580994^(MIN($E274,123)-117)))*0.8,0))</f>
        <v>4872000</v>
      </c>
      <c r="O274" s="6">
        <f t="shared" si="146"/>
        <v>123</v>
      </c>
      <c r="P274" s="7">
        <f>IF($J274=0,0,ROUND(MAX($J274*1.4*1.5*1.6,3500000*(1.57975^(MIN($E274,123)-117)))*0.8,0))</f>
        <v>7795200</v>
      </c>
      <c r="Q274" s="4">
        <f t="shared" si="147"/>
        <v>125</v>
      </c>
      <c r="R274" s="8">
        <f>IF($J274=0,0,ROUND(MAX($J274*1.4*1.5*1.6*1.6,13100000*(1.429962^(MIN($E274,123)-117)))*0.651041666666667,0))</f>
        <v>17439301</v>
      </c>
      <c r="S274" s="6">
        <f t="shared" si="148"/>
        <v>127</v>
      </c>
      <c r="T274" s="7">
        <f>IF($J274=0,0,ROUND(MAX($J274*1.4*1.5*1.6*1.6*2.2,42600000*(1.576904^(MIN($E274,123)-117)))*0.617361111111111,0))</f>
        <v>65397234</v>
      </c>
      <c r="U274" s="4">
        <f t="shared" si="149"/>
        <v>130</v>
      </c>
      <c r="V274" s="8">
        <f>IF($J274=0,0,ROUND(MAX($J274*1.4*1.5*1.6*1.6*2.2*2.715,354000000*(1.642074^(MIN($E274,123)-117)))*0.583680555555556,0))</f>
        <v>557139483</v>
      </c>
      <c r="W274" s="6">
        <f t="shared" si="150"/>
        <v>134</v>
      </c>
      <c r="X274" s="7">
        <f>IF($J274=0,0,ROUND(MAX($J274*1.4*1.5*1.6*1.6*2.2*2.715*2.6,3540000000*(1.579646^(MIN($E274,123)-117)))*0.55,0))</f>
        <v>4858313052</v>
      </c>
      <c r="Y274" s="4">
        <f t="shared" si="151"/>
        <v>136</v>
      </c>
      <c r="Z274" s="8">
        <f>IF($J274=0,0,ROUND(MAX($J274*1.4*1.5*1.6*1.6*2.2*2.715*2.6*1.4,6020000000*(1.651178^(MIN($E274,123)-117)))*0.55,0))</f>
        <v>9027073276</v>
      </c>
      <c r="AA274" s="6">
        <f t="shared" si="152"/>
        <v>138</v>
      </c>
      <c r="AB274" s="7">
        <f>IF($J274=0,0,ROUND(MAX($J274*1.4*1.5*1.6*1.6*2.2*2.715*2.6*1.4*1.4,8430000000*(1.651435^(MIN($E274,123)-117)))*0.55,0))</f>
        <v>12644836943</v>
      </c>
      <c r="AC274" s="4">
        <f t="shared" si="153"/>
        <v>140</v>
      </c>
      <c r="AD274" s="8">
        <f>IF($J274=0,0,ROUND(MAX($J274*1.4*1.5*1.6*1.6*2.2*2.715*2.6*1.4*1.4*1.5,12600000000*(1.652953^(MIN($E274,123)-117)))*0.55,0))</f>
        <v>18934517588</v>
      </c>
      <c r="AE274" s="6">
        <f t="shared" si="154"/>
        <v>143</v>
      </c>
      <c r="AF274" s="7">
        <f>IF($J274=0,0,ROUND(MAX($J274*1.4*1.5*1.6*1.6*2.2*2.715*2.6*1.4*1.4*1.5*1.5,18900000000*(1.65331^(MIN($E274,123)-117)))*0.55,0))</f>
        <v>28414045974</v>
      </c>
      <c r="AG274" s="4">
        <f t="shared" si="155"/>
        <v>146</v>
      </c>
      <c r="AH274" s="8">
        <f>IF($J274=0,0,ROUND(MAX($J274*1.4*1.5*1.6*1.6*2.2*2.715*2.6*1.4*1.4*1.5*1.5*3.2,60500000000*(1.654288^(MIN($E274,123)-117)))*0.55,0))</f>
        <v>91062653886</v>
      </c>
    </row>
    <row r="275" spans="1:34" x14ac:dyDescent="0.25">
      <c r="A275" s="3">
        <v>314</v>
      </c>
      <c r="B275" s="3" t="s">
        <v>442</v>
      </c>
      <c r="C275" s="3" t="s">
        <v>228</v>
      </c>
      <c r="D275" s="3" t="s">
        <v>33</v>
      </c>
      <c r="E275" s="3">
        <v>119</v>
      </c>
      <c r="F275" s="3" t="s">
        <v>30</v>
      </c>
      <c r="G275" s="3" t="s">
        <v>351</v>
      </c>
      <c r="H275" s="3">
        <v>28</v>
      </c>
      <c r="I275" s="4">
        <v>119</v>
      </c>
      <c r="J275" s="9">
        <v>2900000</v>
      </c>
      <c r="K275" s="6">
        <f t="shared" si="144"/>
        <v>120</v>
      </c>
      <c r="L275" s="7">
        <f>IF($J275=0,0,ROUND(MAX($J275*1.4,1620000*(1.497923^(MIN($E275,123)-117)))*1,0))</f>
        <v>4060000</v>
      </c>
      <c r="M275" s="4">
        <f t="shared" si="145"/>
        <v>121</v>
      </c>
      <c r="N275" s="8">
        <f>IF($J275=0,0,ROUND(MAX($J275*1.4*1.5,2190000*(1.580994^(MIN($E275,123)-117)))*1,0))</f>
        <v>6090000</v>
      </c>
      <c r="O275" s="6">
        <f t="shared" si="146"/>
        <v>123</v>
      </c>
      <c r="P275" s="7">
        <f>IF($J275=0,0,ROUND(MAX($J275*1.4*1.5*1.6,3500000*(1.57975^(MIN($E275,123)-117)))*1,0))</f>
        <v>9744000</v>
      </c>
      <c r="Q275" s="4">
        <f t="shared" si="147"/>
        <v>125</v>
      </c>
      <c r="R275" s="8">
        <f>IF($J275=0,0,ROUND(MAX($J275*1.4*1.5*1.6*1.6,13100000*(1.429962^(MIN($E275,123)-117)))*1,0))</f>
        <v>26786766</v>
      </c>
      <c r="S275" s="6">
        <f t="shared" si="148"/>
        <v>127</v>
      </c>
      <c r="T275" s="7">
        <f>IF($J275=0,0,ROUND(MAX($J275*1.4*1.5*1.6*1.6*2.2,42600000*(1.576904^(MIN($E275,123)-117)))*1,0))</f>
        <v>105930277</v>
      </c>
      <c r="U275" s="4">
        <f t="shared" si="149"/>
        <v>130</v>
      </c>
      <c r="V275" s="8">
        <f>IF($J275=0,0,ROUND(MAX($J275*1.4*1.5*1.6*1.6*2.2*2.715,354000000*(1.642074^(MIN($E275,123)-117)))*1,0))</f>
        <v>954528086</v>
      </c>
      <c r="W275" s="6">
        <f t="shared" si="150"/>
        <v>134</v>
      </c>
      <c r="X275" s="7">
        <f>IF($J275=0,0,ROUND(MAX($J275*1.4*1.5*1.6*1.6*2.2*2.715*2.6,3540000000*(1.579646^(MIN($E275,123)-117)))*1,0))</f>
        <v>8833296458</v>
      </c>
      <c r="Y275" s="4">
        <f t="shared" si="151"/>
        <v>136</v>
      </c>
      <c r="Z275" s="8">
        <f>IF($J275=0,0,ROUND(MAX($J275*1.4*1.5*1.6*1.6*2.2*2.715*2.6*1.4,6020000000*(1.651178^(MIN($E275,123)-117)))*1,0))</f>
        <v>16412860502</v>
      </c>
      <c r="AA275" s="6">
        <f t="shared" si="152"/>
        <v>138</v>
      </c>
      <c r="AB275" s="7">
        <f>IF($J275=0,0,ROUND(MAX($J275*1.4*1.5*1.6*1.6*2.2*2.715*2.6*1.4*1.4,8430000000*(1.651435^(MIN($E275,123)-117)))*1,0))</f>
        <v>22990612624</v>
      </c>
      <c r="AC275" s="4">
        <f t="shared" si="153"/>
        <v>140</v>
      </c>
      <c r="AD275" s="8">
        <f>IF($J275=0,0,ROUND(MAX($J275*1.4*1.5*1.6*1.6*2.2*2.715*2.6*1.4*1.4*1.5,12600000000*(1.652953^(MIN($E275,123)-117)))*1,0))</f>
        <v>34426395615</v>
      </c>
      <c r="AE275" s="6">
        <f t="shared" si="154"/>
        <v>143</v>
      </c>
      <c r="AF275" s="7">
        <f>IF($J275=0,0,ROUND(MAX($J275*1.4*1.5*1.6*1.6*2.2*2.715*2.6*1.4*1.4*1.5*1.5,18900000000*(1.65331^(MIN($E275,123)-117)))*1,0))</f>
        <v>51661901770</v>
      </c>
      <c r="AG275" s="4">
        <f t="shared" si="155"/>
        <v>146</v>
      </c>
      <c r="AH275" s="8">
        <f>IF($J275=0,0,ROUND(MAX($J275*1.4*1.5*1.6*1.6*2.2*2.715*2.6*1.4*1.4*1.5*1.5*3.2,60500000000*(1.654288^(MIN($E275,123)-117)))*1,0))</f>
        <v>165568461610</v>
      </c>
    </row>
    <row r="276" spans="1:34" x14ac:dyDescent="0.25">
      <c r="A276" s="3">
        <v>299</v>
      </c>
      <c r="B276" s="3" t="s">
        <v>443</v>
      </c>
      <c r="C276" s="3" t="s">
        <v>228</v>
      </c>
      <c r="D276" s="3" t="s">
        <v>47</v>
      </c>
      <c r="E276" s="3">
        <v>119</v>
      </c>
      <c r="F276" s="3" t="s">
        <v>444</v>
      </c>
      <c r="G276" s="3" t="s">
        <v>445</v>
      </c>
      <c r="H276" s="3">
        <v>27</v>
      </c>
      <c r="I276" s="4">
        <v>119</v>
      </c>
      <c r="J276" s="9">
        <v>2900000</v>
      </c>
      <c r="K276" s="6">
        <f t="shared" si="144"/>
        <v>120</v>
      </c>
      <c r="L276" s="7">
        <f>IF($J276=0,0,ROUND(MAX($J276*1.4,1620000*(1.497923^(MIN($E276,123)-117)))*0.8,0))</f>
        <v>3248000</v>
      </c>
      <c r="M276" s="4">
        <f t="shared" si="145"/>
        <v>121</v>
      </c>
      <c r="N276" s="8">
        <f>IF($J276=0,0,ROUND(MAX($J276*1.4*1.5,2190000*(1.580994^(MIN($E276,123)-117)))*0.8,0))</f>
        <v>4872000</v>
      </c>
      <c r="O276" s="6">
        <f t="shared" si="146"/>
        <v>123</v>
      </c>
      <c r="P276" s="7">
        <f>IF($J276=0,0,ROUND(MAX($J276*1.4*1.5*1.6,3500000*(1.57975^(MIN($E276,123)-117)))*0.8,0))</f>
        <v>7795200</v>
      </c>
      <c r="Q276" s="4">
        <f t="shared" si="147"/>
        <v>125</v>
      </c>
      <c r="R276" s="8">
        <f>IF($J276=0,0,ROUND(MAX($J276*1.4*1.5*1.6*1.6,13100000*(1.429962^(MIN($E276,123)-117)))*0.651041666666667,0))</f>
        <v>17439301</v>
      </c>
      <c r="S276" s="6">
        <f t="shared" si="148"/>
        <v>127</v>
      </c>
      <c r="T276" s="7">
        <f>IF($J276=0,0,ROUND(MAX($J276*1.4*1.5*1.6*1.6*2.2,42600000*(1.576904^(MIN($E276,123)-117)))*0.617361111111111,0))</f>
        <v>65397234</v>
      </c>
      <c r="U276" s="4">
        <f t="shared" si="149"/>
        <v>130</v>
      </c>
      <c r="V276" s="8">
        <f>IF($J276=0,0,ROUND(MAX($J276*1.4*1.5*1.6*1.6*2.2*2.715,354000000*(1.642074^(MIN($E276,123)-117)))*0.583680555555556,0))</f>
        <v>557139483</v>
      </c>
      <c r="W276" s="6">
        <f t="shared" si="150"/>
        <v>134</v>
      </c>
      <c r="X276" s="7">
        <f>IF($J276=0,0,ROUND(MAX($J276*1.4*1.5*1.6*1.6*2.2*2.715*2.6,3540000000*(1.579646^(MIN($E276,123)-117)))*0.55,0))</f>
        <v>4858313052</v>
      </c>
      <c r="Y276" s="4">
        <f t="shared" si="151"/>
        <v>136</v>
      </c>
      <c r="Z276" s="8">
        <f>IF($J276=0,0,ROUND(MAX($J276*1.4*1.5*1.6*1.6*2.2*2.715*2.6*1.4,6020000000*(1.651178^(MIN($E276,123)-117)))*0.55,0))</f>
        <v>9027073276</v>
      </c>
      <c r="AA276" s="6">
        <f t="shared" si="152"/>
        <v>138</v>
      </c>
      <c r="AB276" s="7">
        <f>IF($J276=0,0,ROUND(MAX($J276*1.4*1.5*1.6*1.6*2.2*2.715*2.6*1.4*1.4,8430000000*(1.651435^(MIN($E276,123)-117)))*0.55,0))</f>
        <v>12644836943</v>
      </c>
      <c r="AC276" s="4">
        <f t="shared" si="153"/>
        <v>140</v>
      </c>
      <c r="AD276" s="8">
        <f>IF($J276=0,0,ROUND(MAX($J276*1.4*1.5*1.6*1.6*2.2*2.715*2.6*1.4*1.4*1.5,12600000000*(1.652953^(MIN($E276,123)-117)))*0.55,0))</f>
        <v>18934517588</v>
      </c>
      <c r="AE276" s="6">
        <f t="shared" si="154"/>
        <v>143</v>
      </c>
      <c r="AF276" s="7">
        <f>IF($J276=0,0,ROUND(MAX($J276*1.4*1.5*1.6*1.6*2.2*2.715*2.6*1.4*1.4*1.5*1.5,18900000000*(1.65331^(MIN($E276,123)-117)))*0.55,0))</f>
        <v>28414045974</v>
      </c>
      <c r="AG276" s="4">
        <f t="shared" si="155"/>
        <v>146</v>
      </c>
      <c r="AH276" s="8">
        <f>IF($J276=0,0,ROUND(MAX($J276*1.4*1.5*1.6*1.6*2.2*2.715*2.6*1.4*1.4*1.5*1.5*3.2,60500000000*(1.654288^(MIN($E276,123)-117)))*0.55,0))</f>
        <v>91062653886</v>
      </c>
    </row>
    <row r="277" spans="1:34" x14ac:dyDescent="0.25">
      <c r="A277" s="3">
        <v>298</v>
      </c>
      <c r="B277" s="3" t="s">
        <v>446</v>
      </c>
      <c r="C277" s="3" t="s">
        <v>228</v>
      </c>
      <c r="D277" s="3" t="s">
        <v>47</v>
      </c>
      <c r="E277" s="3">
        <v>119</v>
      </c>
      <c r="F277" s="3" t="s">
        <v>34</v>
      </c>
      <c r="G277" s="3" t="s">
        <v>379</v>
      </c>
      <c r="H277" s="3">
        <v>27</v>
      </c>
      <c r="I277" s="4">
        <v>119</v>
      </c>
      <c r="J277" s="9">
        <v>2900000</v>
      </c>
      <c r="K277" s="6">
        <f t="shared" si="144"/>
        <v>120</v>
      </c>
      <c r="L277" s="7">
        <f>IF($J277=0,0,ROUND(MAX($J277*1.4,1620000*(1.497923^(MIN($E277,123)-117)))*1,0))</f>
        <v>4060000</v>
      </c>
      <c r="M277" s="4">
        <f t="shared" si="145"/>
        <v>121</v>
      </c>
      <c r="N277" s="8">
        <f>IF($J277=0,0,ROUND(MAX($J277*1.4*1.5,2190000*(1.580994^(MIN($E277,123)-117)))*1,0))</f>
        <v>6090000</v>
      </c>
      <c r="O277" s="6">
        <f t="shared" si="146"/>
        <v>123</v>
      </c>
      <c r="P277" s="7">
        <f>IF($J277=0,0,ROUND(MAX($J277*1.4*1.5*1.6,3500000*(1.57975^(MIN($E277,123)-117)))*1,0))</f>
        <v>9744000</v>
      </c>
      <c r="Q277" s="4">
        <f t="shared" si="147"/>
        <v>125</v>
      </c>
      <c r="R277" s="8">
        <f>IF($J277=0,0,ROUND(MAX($J277*1.4*1.5*1.6*1.6,13100000*(1.429962^(MIN($E277,123)-117)))*1,0))</f>
        <v>26786766</v>
      </c>
      <c r="S277" s="6">
        <f t="shared" si="148"/>
        <v>127</v>
      </c>
      <c r="T277" s="7">
        <f>IF($J277=0,0,ROUND(MAX($J277*1.4*1.5*1.6*1.6*2.2,42600000*(1.576904^(MIN($E277,123)-117)))*1,0))</f>
        <v>105930277</v>
      </c>
      <c r="U277" s="4">
        <f t="shared" si="149"/>
        <v>130</v>
      </c>
      <c r="V277" s="8">
        <f>IF($J277=0,0,ROUND(MAX($J277*1.4*1.5*1.6*1.6*2.2*2.715,354000000*(1.642074^(MIN($E277,123)-117)))*1,0))</f>
        <v>954528086</v>
      </c>
      <c r="W277" s="6">
        <f t="shared" si="150"/>
        <v>134</v>
      </c>
      <c r="X277" s="7">
        <f>IF($J277=0,0,ROUND(MAX($J277*1.4*1.5*1.6*1.6*2.2*2.715*2.6,3540000000*(1.579646^(MIN($E277,123)-117)))*1,0))</f>
        <v>8833296458</v>
      </c>
      <c r="Y277" s="4">
        <f t="shared" si="151"/>
        <v>136</v>
      </c>
      <c r="Z277" s="8">
        <f>IF($J277=0,0,ROUND(MAX($J277*1.4*1.5*1.6*1.6*2.2*2.715*2.6*1.4,6020000000*(1.651178^(MIN($E277,123)-117)))*1,0))</f>
        <v>16412860502</v>
      </c>
      <c r="AA277" s="6">
        <f t="shared" si="152"/>
        <v>138</v>
      </c>
      <c r="AB277" s="7">
        <f>IF($J277=0,0,ROUND(MAX($J277*1.4*1.5*1.6*1.6*2.2*2.715*2.6*1.4*1.4,8430000000*(1.651435^(MIN($E277,123)-117)))*1,0))</f>
        <v>22990612624</v>
      </c>
      <c r="AC277" s="4">
        <f t="shared" si="153"/>
        <v>140</v>
      </c>
      <c r="AD277" s="8">
        <f>IF($J277=0,0,ROUND(MAX($J277*1.4*1.5*1.6*1.6*2.2*2.715*2.6*1.4*1.4*1.5,12600000000*(1.652953^(MIN($E277,123)-117)))*1,0))</f>
        <v>34426395615</v>
      </c>
      <c r="AE277" s="6">
        <f t="shared" si="154"/>
        <v>143</v>
      </c>
      <c r="AF277" s="7">
        <f>IF($J277=0,0,ROUND(MAX($J277*1.4*1.5*1.6*1.6*2.2*2.715*2.6*1.4*1.4*1.5*1.5,18900000000*(1.65331^(MIN($E277,123)-117)))*1,0))</f>
        <v>51661901770</v>
      </c>
      <c r="AG277" s="4">
        <f t="shared" si="155"/>
        <v>146</v>
      </c>
      <c r="AH277" s="8">
        <f>IF($J277=0,0,ROUND(MAX($J277*1.4*1.5*1.6*1.6*2.2*2.715*2.6*1.4*1.4*1.5*1.5*3.2,60500000000*(1.654288^(MIN($E277,123)-117)))*1,0))</f>
        <v>165568461610</v>
      </c>
    </row>
    <row r="278" spans="1:34" x14ac:dyDescent="0.25">
      <c r="A278" s="3">
        <v>297</v>
      </c>
      <c r="B278" s="3" t="s">
        <v>447</v>
      </c>
      <c r="C278" s="3" t="s">
        <v>228</v>
      </c>
      <c r="D278" s="3" t="s">
        <v>47</v>
      </c>
      <c r="E278" s="3">
        <v>119</v>
      </c>
      <c r="F278" s="3" t="s">
        <v>42</v>
      </c>
      <c r="G278" s="3" t="s">
        <v>448</v>
      </c>
      <c r="H278" s="3">
        <v>27</v>
      </c>
      <c r="I278" s="4">
        <v>119</v>
      </c>
      <c r="J278" s="9">
        <v>2900000</v>
      </c>
      <c r="K278" s="6">
        <f t="shared" si="144"/>
        <v>120</v>
      </c>
      <c r="L278" s="7">
        <f t="shared" ref="L278:L288" si="156">IF($J278=0,0,ROUND(MAX($J278*1.4,1620000*(1.497923^(MIN($E278,123)-117)))*0.8,0))</f>
        <v>3248000</v>
      </c>
      <c r="M278" s="4">
        <f t="shared" si="145"/>
        <v>121</v>
      </c>
      <c r="N278" s="8">
        <f t="shared" ref="N278:N288" si="157">IF($J278=0,0,ROUND(MAX($J278*1.4*1.5,2190000*(1.580994^(MIN($E278,123)-117)))*0.8,0))</f>
        <v>4872000</v>
      </c>
      <c r="O278" s="6">
        <f t="shared" si="146"/>
        <v>123</v>
      </c>
      <c r="P278" s="7">
        <f t="shared" ref="P278:P288" si="158">IF($J278=0,0,ROUND(MAX($J278*1.4*1.5*1.6,3500000*(1.57975^(MIN($E278,123)-117)))*0.8,0))</f>
        <v>7795200</v>
      </c>
      <c r="Q278" s="4">
        <f t="shared" si="147"/>
        <v>125</v>
      </c>
      <c r="R278" s="8">
        <f t="shared" ref="R278:R288" si="159">IF($J278=0,0,ROUND(MAX($J278*1.4*1.5*1.6*1.6,13100000*(1.429962^(MIN($E278,123)-117)))*0.651041666666667,0))</f>
        <v>17439301</v>
      </c>
      <c r="S278" s="6">
        <f t="shared" si="148"/>
        <v>127</v>
      </c>
      <c r="T278" s="7">
        <f t="shared" ref="T278:T288" si="160">IF($J278=0,0,ROUND(MAX($J278*1.4*1.5*1.6*1.6*2.2,42600000*(1.576904^(MIN($E278,123)-117)))*0.617361111111111,0))</f>
        <v>65397234</v>
      </c>
      <c r="U278" s="4">
        <f t="shared" si="149"/>
        <v>130</v>
      </c>
      <c r="V278" s="8">
        <f t="shared" ref="V278:V288" si="161">IF($J278=0,0,ROUND(MAX($J278*1.4*1.5*1.6*1.6*2.2*2.715,354000000*(1.642074^(MIN($E278,123)-117)))*0.583680555555556,0))</f>
        <v>557139483</v>
      </c>
      <c r="W278" s="6">
        <f t="shared" si="150"/>
        <v>134</v>
      </c>
      <c r="X278" s="7">
        <f t="shared" ref="X278:X288" si="162">IF($J278=0,0,ROUND(MAX($J278*1.4*1.5*1.6*1.6*2.2*2.715*2.6,3540000000*(1.579646^(MIN($E278,123)-117)))*0.55,0))</f>
        <v>4858313052</v>
      </c>
      <c r="Y278" s="4">
        <f t="shared" si="151"/>
        <v>136</v>
      </c>
      <c r="Z278" s="8">
        <f t="shared" ref="Z278:Z288" si="163">IF($J278=0,0,ROUND(MAX($J278*1.4*1.5*1.6*1.6*2.2*2.715*2.6*1.4,6020000000*(1.651178^(MIN($E278,123)-117)))*0.55,0))</f>
        <v>9027073276</v>
      </c>
      <c r="AA278" s="6">
        <f t="shared" si="152"/>
        <v>138</v>
      </c>
      <c r="AB278" s="7">
        <f t="shared" ref="AB278:AB288" si="164">IF($J278=0,0,ROUND(MAX($J278*1.4*1.5*1.6*1.6*2.2*2.715*2.6*1.4*1.4,8430000000*(1.651435^(MIN($E278,123)-117)))*0.55,0))</f>
        <v>12644836943</v>
      </c>
      <c r="AC278" s="4">
        <f t="shared" si="153"/>
        <v>140</v>
      </c>
      <c r="AD278" s="8">
        <f t="shared" ref="AD278:AD288" si="165">IF($J278=0,0,ROUND(MAX($J278*1.4*1.5*1.6*1.6*2.2*2.715*2.6*1.4*1.4*1.5,12600000000*(1.652953^(MIN($E278,123)-117)))*0.55,0))</f>
        <v>18934517588</v>
      </c>
      <c r="AE278" s="6">
        <f t="shared" si="154"/>
        <v>143</v>
      </c>
      <c r="AF278" s="7">
        <f t="shared" ref="AF278:AF288" si="166">IF($J278=0,0,ROUND(MAX($J278*1.4*1.5*1.6*1.6*2.2*2.715*2.6*1.4*1.4*1.5*1.5,18900000000*(1.65331^(MIN($E278,123)-117)))*0.55,0))</f>
        <v>28414045974</v>
      </c>
      <c r="AG278" s="4">
        <f t="shared" si="155"/>
        <v>146</v>
      </c>
      <c r="AH278" s="8">
        <f t="shared" ref="AH278:AH288" si="167">IF($J278=0,0,ROUND(MAX($J278*1.4*1.5*1.6*1.6*2.2*2.715*2.6*1.4*1.4*1.5*1.5*3.2,60500000000*(1.654288^(MIN($E278,123)-117)))*0.55,0))</f>
        <v>91062653886</v>
      </c>
    </row>
    <row r="279" spans="1:34" x14ac:dyDescent="0.25">
      <c r="A279" s="3">
        <v>281</v>
      </c>
      <c r="B279" s="3" t="s">
        <v>449</v>
      </c>
      <c r="C279" s="3" t="s">
        <v>228</v>
      </c>
      <c r="D279" s="3" t="s">
        <v>45</v>
      </c>
      <c r="E279" s="3">
        <v>119</v>
      </c>
      <c r="F279" s="3" t="s">
        <v>383</v>
      </c>
      <c r="G279" s="3" t="s">
        <v>450</v>
      </c>
      <c r="H279" s="3">
        <v>30</v>
      </c>
      <c r="I279" s="4">
        <v>119</v>
      </c>
      <c r="J279" s="9">
        <v>2900000</v>
      </c>
      <c r="K279" s="6">
        <f t="shared" si="144"/>
        <v>120</v>
      </c>
      <c r="L279" s="7">
        <f t="shared" si="156"/>
        <v>3248000</v>
      </c>
      <c r="M279" s="4">
        <f t="shared" si="145"/>
        <v>121</v>
      </c>
      <c r="N279" s="8">
        <f t="shared" si="157"/>
        <v>4872000</v>
      </c>
      <c r="O279" s="6">
        <f t="shared" si="146"/>
        <v>123</v>
      </c>
      <c r="P279" s="7">
        <f t="shared" si="158"/>
        <v>7795200</v>
      </c>
      <c r="Q279" s="4">
        <f t="shared" si="147"/>
        <v>125</v>
      </c>
      <c r="R279" s="8">
        <f t="shared" si="159"/>
        <v>17439301</v>
      </c>
      <c r="S279" s="6">
        <f t="shared" si="148"/>
        <v>127</v>
      </c>
      <c r="T279" s="7">
        <f t="shared" si="160"/>
        <v>65397234</v>
      </c>
      <c r="U279" s="4">
        <f t="shared" si="149"/>
        <v>130</v>
      </c>
      <c r="V279" s="8">
        <f t="shared" si="161"/>
        <v>557139483</v>
      </c>
      <c r="W279" s="6">
        <f t="shared" si="150"/>
        <v>134</v>
      </c>
      <c r="X279" s="7">
        <f t="shared" si="162"/>
        <v>4858313052</v>
      </c>
      <c r="Y279" s="4">
        <f t="shared" si="151"/>
        <v>136</v>
      </c>
      <c r="Z279" s="8">
        <f t="shared" si="163"/>
        <v>9027073276</v>
      </c>
      <c r="AA279" s="6">
        <f t="shared" si="152"/>
        <v>138</v>
      </c>
      <c r="AB279" s="7">
        <f t="shared" si="164"/>
        <v>12644836943</v>
      </c>
      <c r="AC279" s="4">
        <f t="shared" si="153"/>
        <v>140</v>
      </c>
      <c r="AD279" s="8">
        <f t="shared" si="165"/>
        <v>18934517588</v>
      </c>
      <c r="AE279" s="6">
        <f t="shared" si="154"/>
        <v>143</v>
      </c>
      <c r="AF279" s="7">
        <f t="shared" si="166"/>
        <v>28414045974</v>
      </c>
      <c r="AG279" s="4">
        <f t="shared" si="155"/>
        <v>146</v>
      </c>
      <c r="AH279" s="8">
        <f t="shared" si="167"/>
        <v>91062653886</v>
      </c>
    </row>
    <row r="280" spans="1:34" x14ac:dyDescent="0.25">
      <c r="A280" s="3">
        <v>315</v>
      </c>
      <c r="B280" s="3" t="s">
        <v>451</v>
      </c>
      <c r="C280" s="3" t="s">
        <v>228</v>
      </c>
      <c r="D280" s="3" t="s">
        <v>33</v>
      </c>
      <c r="E280" s="3">
        <v>119</v>
      </c>
      <c r="F280" s="3" t="s">
        <v>225</v>
      </c>
      <c r="G280" s="3" t="s">
        <v>392</v>
      </c>
      <c r="H280" s="3">
        <v>29</v>
      </c>
      <c r="I280" s="4">
        <v>119</v>
      </c>
      <c r="J280" s="9">
        <v>2900000</v>
      </c>
      <c r="K280" s="6">
        <f t="shared" si="144"/>
        <v>120</v>
      </c>
      <c r="L280" s="7">
        <f t="shared" si="156"/>
        <v>3248000</v>
      </c>
      <c r="M280" s="4">
        <f t="shared" si="145"/>
        <v>121</v>
      </c>
      <c r="N280" s="8">
        <f t="shared" si="157"/>
        <v>4872000</v>
      </c>
      <c r="O280" s="6">
        <f t="shared" si="146"/>
        <v>123</v>
      </c>
      <c r="P280" s="7">
        <f t="shared" si="158"/>
        <v>7795200</v>
      </c>
      <c r="Q280" s="4">
        <f t="shared" si="147"/>
        <v>125</v>
      </c>
      <c r="R280" s="8">
        <f t="shared" si="159"/>
        <v>17439301</v>
      </c>
      <c r="S280" s="6">
        <f t="shared" si="148"/>
        <v>127</v>
      </c>
      <c r="T280" s="7">
        <f t="shared" si="160"/>
        <v>65397234</v>
      </c>
      <c r="U280" s="4">
        <f t="shared" si="149"/>
        <v>130</v>
      </c>
      <c r="V280" s="8">
        <f t="shared" si="161"/>
        <v>557139483</v>
      </c>
      <c r="W280" s="6">
        <f t="shared" si="150"/>
        <v>134</v>
      </c>
      <c r="X280" s="7">
        <f t="shared" si="162"/>
        <v>4858313052</v>
      </c>
      <c r="Y280" s="4">
        <f t="shared" si="151"/>
        <v>136</v>
      </c>
      <c r="Z280" s="8">
        <f t="shared" si="163"/>
        <v>9027073276</v>
      </c>
      <c r="AA280" s="6">
        <f t="shared" si="152"/>
        <v>138</v>
      </c>
      <c r="AB280" s="7">
        <f t="shared" si="164"/>
        <v>12644836943</v>
      </c>
      <c r="AC280" s="4">
        <f t="shared" si="153"/>
        <v>140</v>
      </c>
      <c r="AD280" s="8">
        <f t="shared" si="165"/>
        <v>18934517588</v>
      </c>
      <c r="AE280" s="6">
        <f t="shared" si="154"/>
        <v>143</v>
      </c>
      <c r="AF280" s="7">
        <f t="shared" si="166"/>
        <v>28414045974</v>
      </c>
      <c r="AG280" s="4">
        <f t="shared" si="155"/>
        <v>146</v>
      </c>
      <c r="AH280" s="8">
        <f t="shared" si="167"/>
        <v>91062653886</v>
      </c>
    </row>
    <row r="281" spans="1:34" x14ac:dyDescent="0.25">
      <c r="A281" s="3">
        <v>282</v>
      </c>
      <c r="B281" s="3" t="s">
        <v>452</v>
      </c>
      <c r="C281" s="3" t="s">
        <v>228</v>
      </c>
      <c r="D281" s="3" t="s">
        <v>45</v>
      </c>
      <c r="E281" s="3">
        <v>119</v>
      </c>
      <c r="F281" s="3" t="s">
        <v>146</v>
      </c>
      <c r="G281" s="3" t="s">
        <v>354</v>
      </c>
      <c r="H281" s="3">
        <v>30</v>
      </c>
      <c r="I281" s="4">
        <v>119</v>
      </c>
      <c r="J281" s="9">
        <v>2900000</v>
      </c>
      <c r="K281" s="6">
        <f t="shared" si="144"/>
        <v>120</v>
      </c>
      <c r="L281" s="7">
        <f t="shared" si="156"/>
        <v>3248000</v>
      </c>
      <c r="M281" s="4">
        <f t="shared" si="145"/>
        <v>121</v>
      </c>
      <c r="N281" s="8">
        <f t="shared" si="157"/>
        <v>4872000</v>
      </c>
      <c r="O281" s="6">
        <f t="shared" si="146"/>
        <v>123</v>
      </c>
      <c r="P281" s="7">
        <f t="shared" si="158"/>
        <v>7795200</v>
      </c>
      <c r="Q281" s="4">
        <f t="shared" si="147"/>
        <v>125</v>
      </c>
      <c r="R281" s="8">
        <f t="shared" si="159"/>
        <v>17439301</v>
      </c>
      <c r="S281" s="6">
        <f t="shared" si="148"/>
        <v>127</v>
      </c>
      <c r="T281" s="7">
        <f t="shared" si="160"/>
        <v>65397234</v>
      </c>
      <c r="U281" s="4">
        <f t="shared" si="149"/>
        <v>130</v>
      </c>
      <c r="V281" s="8">
        <f t="shared" si="161"/>
        <v>557139483</v>
      </c>
      <c r="W281" s="6">
        <f t="shared" si="150"/>
        <v>134</v>
      </c>
      <c r="X281" s="7">
        <f t="shared" si="162"/>
        <v>4858313052</v>
      </c>
      <c r="Y281" s="4">
        <f t="shared" si="151"/>
        <v>136</v>
      </c>
      <c r="Z281" s="8">
        <f t="shared" si="163"/>
        <v>9027073276</v>
      </c>
      <c r="AA281" s="6">
        <f t="shared" si="152"/>
        <v>138</v>
      </c>
      <c r="AB281" s="7">
        <f t="shared" si="164"/>
        <v>12644836943</v>
      </c>
      <c r="AC281" s="4">
        <f t="shared" si="153"/>
        <v>140</v>
      </c>
      <c r="AD281" s="8">
        <f t="shared" si="165"/>
        <v>18934517588</v>
      </c>
      <c r="AE281" s="6">
        <f t="shared" si="154"/>
        <v>143</v>
      </c>
      <c r="AF281" s="7">
        <f t="shared" si="166"/>
        <v>28414045974</v>
      </c>
      <c r="AG281" s="4">
        <f t="shared" si="155"/>
        <v>146</v>
      </c>
      <c r="AH281" s="8">
        <f t="shared" si="167"/>
        <v>91062653886</v>
      </c>
    </row>
    <row r="282" spans="1:34" x14ac:dyDescent="0.25">
      <c r="A282" s="3">
        <v>262</v>
      </c>
      <c r="B282" s="3" t="s">
        <v>453</v>
      </c>
      <c r="C282" s="3" t="s">
        <v>228</v>
      </c>
      <c r="D282" s="3" t="s">
        <v>40</v>
      </c>
      <c r="E282" s="3">
        <v>119</v>
      </c>
      <c r="F282" s="3" t="s">
        <v>303</v>
      </c>
      <c r="G282" s="3" t="s">
        <v>454</v>
      </c>
      <c r="H282" s="3">
        <v>29</v>
      </c>
      <c r="I282" s="4">
        <v>119</v>
      </c>
      <c r="J282" s="5">
        <v>1620000</v>
      </c>
      <c r="K282" s="6">
        <f t="shared" si="144"/>
        <v>120</v>
      </c>
      <c r="L282" s="7">
        <f t="shared" si="156"/>
        <v>2907930</v>
      </c>
      <c r="M282" s="4">
        <f t="shared" si="145"/>
        <v>121</v>
      </c>
      <c r="N282" s="8">
        <f t="shared" si="157"/>
        <v>4379198</v>
      </c>
      <c r="O282" s="6">
        <f t="shared" si="146"/>
        <v>123</v>
      </c>
      <c r="P282" s="7">
        <f t="shared" si="158"/>
        <v>6987708</v>
      </c>
      <c r="Q282" s="4">
        <f t="shared" si="147"/>
        <v>125</v>
      </c>
      <c r="R282" s="8">
        <f t="shared" si="159"/>
        <v>17439301</v>
      </c>
      <c r="S282" s="6">
        <f t="shared" si="148"/>
        <v>127</v>
      </c>
      <c r="T282" s="7">
        <f t="shared" si="160"/>
        <v>65397234</v>
      </c>
      <c r="U282" s="4">
        <f t="shared" si="149"/>
        <v>130</v>
      </c>
      <c r="V282" s="8">
        <f t="shared" si="161"/>
        <v>557139483</v>
      </c>
      <c r="W282" s="6">
        <f t="shared" si="150"/>
        <v>134</v>
      </c>
      <c r="X282" s="7">
        <f t="shared" si="162"/>
        <v>4858313052</v>
      </c>
      <c r="Y282" s="4">
        <f t="shared" si="151"/>
        <v>136</v>
      </c>
      <c r="Z282" s="8">
        <f t="shared" si="163"/>
        <v>9027073276</v>
      </c>
      <c r="AA282" s="6">
        <f t="shared" si="152"/>
        <v>138</v>
      </c>
      <c r="AB282" s="7">
        <f t="shared" si="164"/>
        <v>12644836943</v>
      </c>
      <c r="AC282" s="4">
        <f t="shared" si="153"/>
        <v>140</v>
      </c>
      <c r="AD282" s="8">
        <f t="shared" si="165"/>
        <v>18934517588</v>
      </c>
      <c r="AE282" s="6">
        <f t="shared" si="154"/>
        <v>143</v>
      </c>
      <c r="AF282" s="7">
        <f t="shared" si="166"/>
        <v>28414045974</v>
      </c>
      <c r="AG282" s="4">
        <f t="shared" si="155"/>
        <v>146</v>
      </c>
      <c r="AH282" s="8">
        <f t="shared" si="167"/>
        <v>91062653886</v>
      </c>
    </row>
    <row r="283" spans="1:34" x14ac:dyDescent="0.25">
      <c r="A283" s="3">
        <v>308</v>
      </c>
      <c r="B283" s="3" t="s">
        <v>455</v>
      </c>
      <c r="C283" s="3" t="s">
        <v>228</v>
      </c>
      <c r="D283" s="3" t="s">
        <v>90</v>
      </c>
      <c r="E283" s="3">
        <v>118</v>
      </c>
      <c r="F283" s="3" t="s">
        <v>456</v>
      </c>
      <c r="G283" s="3" t="s">
        <v>433</v>
      </c>
      <c r="H283" s="3">
        <v>29</v>
      </c>
      <c r="I283" s="4">
        <v>118</v>
      </c>
      <c r="J283" s="5">
        <v>1620000</v>
      </c>
      <c r="K283" s="6">
        <f t="shared" si="144"/>
        <v>119</v>
      </c>
      <c r="L283" s="7">
        <f t="shared" si="156"/>
        <v>1941308</v>
      </c>
      <c r="M283" s="4">
        <f t="shared" si="145"/>
        <v>120</v>
      </c>
      <c r="N283" s="8">
        <f t="shared" si="157"/>
        <v>2769901</v>
      </c>
      <c r="O283" s="6">
        <f t="shared" si="146"/>
        <v>122</v>
      </c>
      <c r="P283" s="7">
        <f t="shared" si="158"/>
        <v>4423300</v>
      </c>
      <c r="Q283" s="4">
        <f t="shared" si="147"/>
        <v>124</v>
      </c>
      <c r="R283" s="8">
        <f t="shared" si="159"/>
        <v>12195639</v>
      </c>
      <c r="S283" s="6">
        <f t="shared" si="148"/>
        <v>126</v>
      </c>
      <c r="T283" s="7">
        <f t="shared" si="160"/>
        <v>41471918</v>
      </c>
      <c r="U283" s="4">
        <f t="shared" si="149"/>
        <v>129</v>
      </c>
      <c r="V283" s="8">
        <f t="shared" si="161"/>
        <v>339290119</v>
      </c>
      <c r="W283" s="6">
        <f t="shared" si="150"/>
        <v>133</v>
      </c>
      <c r="X283" s="7">
        <f t="shared" si="162"/>
        <v>3075570762</v>
      </c>
      <c r="Y283" s="4">
        <f t="shared" si="151"/>
        <v>135</v>
      </c>
      <c r="Z283" s="8">
        <f t="shared" si="163"/>
        <v>5467050358</v>
      </c>
      <c r="AA283" s="6">
        <f t="shared" si="152"/>
        <v>137</v>
      </c>
      <c r="AB283" s="7">
        <f t="shared" si="164"/>
        <v>7656878378</v>
      </c>
      <c r="AC283" s="4">
        <f t="shared" si="153"/>
        <v>139</v>
      </c>
      <c r="AD283" s="8">
        <f t="shared" si="165"/>
        <v>11454964290</v>
      </c>
      <c r="AE283" s="6">
        <f t="shared" si="154"/>
        <v>142</v>
      </c>
      <c r="AF283" s="7">
        <f t="shared" si="166"/>
        <v>17186157450</v>
      </c>
      <c r="AG283" s="4">
        <f t="shared" si="155"/>
        <v>145</v>
      </c>
      <c r="AH283" s="8">
        <f t="shared" si="167"/>
        <v>55046433200</v>
      </c>
    </row>
    <row r="284" spans="1:34" x14ac:dyDescent="0.25">
      <c r="A284" s="3">
        <v>279</v>
      </c>
      <c r="B284" s="3" t="s">
        <v>457</v>
      </c>
      <c r="C284" s="3" t="s">
        <v>228</v>
      </c>
      <c r="D284" s="3" t="s">
        <v>45</v>
      </c>
      <c r="E284" s="3">
        <v>118</v>
      </c>
      <c r="F284" s="3" t="s">
        <v>383</v>
      </c>
      <c r="G284" s="3" t="s">
        <v>458</v>
      </c>
      <c r="H284" s="3">
        <v>29</v>
      </c>
      <c r="I284" s="4">
        <v>118</v>
      </c>
      <c r="J284" s="5">
        <v>1620000</v>
      </c>
      <c r="K284" s="6">
        <f t="shared" si="144"/>
        <v>119</v>
      </c>
      <c r="L284" s="7">
        <f t="shared" si="156"/>
        <v>1941308</v>
      </c>
      <c r="M284" s="4">
        <f t="shared" si="145"/>
        <v>120</v>
      </c>
      <c r="N284" s="8">
        <f t="shared" si="157"/>
        <v>2769901</v>
      </c>
      <c r="O284" s="6">
        <f t="shared" si="146"/>
        <v>122</v>
      </c>
      <c r="P284" s="7">
        <f t="shared" si="158"/>
        <v>4423300</v>
      </c>
      <c r="Q284" s="4">
        <f t="shared" si="147"/>
        <v>124</v>
      </c>
      <c r="R284" s="8">
        <f t="shared" si="159"/>
        <v>12195639</v>
      </c>
      <c r="S284" s="6">
        <f t="shared" si="148"/>
        <v>126</v>
      </c>
      <c r="T284" s="7">
        <f t="shared" si="160"/>
        <v>41471918</v>
      </c>
      <c r="U284" s="4">
        <f t="shared" si="149"/>
        <v>129</v>
      </c>
      <c r="V284" s="8">
        <f t="shared" si="161"/>
        <v>339290119</v>
      </c>
      <c r="W284" s="6">
        <f t="shared" si="150"/>
        <v>133</v>
      </c>
      <c r="X284" s="7">
        <f t="shared" si="162"/>
        <v>3075570762</v>
      </c>
      <c r="Y284" s="4">
        <f t="shared" si="151"/>
        <v>135</v>
      </c>
      <c r="Z284" s="8">
        <f t="shared" si="163"/>
        <v>5467050358</v>
      </c>
      <c r="AA284" s="6">
        <f t="shared" si="152"/>
        <v>137</v>
      </c>
      <c r="AB284" s="7">
        <f t="shared" si="164"/>
        <v>7656878378</v>
      </c>
      <c r="AC284" s="4">
        <f t="shared" si="153"/>
        <v>139</v>
      </c>
      <c r="AD284" s="8">
        <f t="shared" si="165"/>
        <v>11454964290</v>
      </c>
      <c r="AE284" s="6">
        <f t="shared" si="154"/>
        <v>142</v>
      </c>
      <c r="AF284" s="7">
        <f t="shared" si="166"/>
        <v>17186157450</v>
      </c>
      <c r="AG284" s="4">
        <f t="shared" si="155"/>
        <v>145</v>
      </c>
      <c r="AH284" s="8">
        <f t="shared" si="167"/>
        <v>55046433200</v>
      </c>
    </row>
    <row r="285" spans="1:34" x14ac:dyDescent="0.25">
      <c r="A285" s="3">
        <v>296</v>
      </c>
      <c r="B285" s="3" t="s">
        <v>459</v>
      </c>
      <c r="C285" s="3" t="s">
        <v>228</v>
      </c>
      <c r="D285" s="3" t="s">
        <v>47</v>
      </c>
      <c r="E285" s="3">
        <v>118</v>
      </c>
      <c r="F285" s="3" t="s">
        <v>460</v>
      </c>
      <c r="G285" s="3" t="s">
        <v>270</v>
      </c>
      <c r="H285" s="3">
        <v>26</v>
      </c>
      <c r="I285" s="4">
        <v>118</v>
      </c>
      <c r="J285" s="5">
        <v>1620000</v>
      </c>
      <c r="K285" s="6">
        <f t="shared" si="144"/>
        <v>119</v>
      </c>
      <c r="L285" s="7">
        <f t="shared" si="156"/>
        <v>1941308</v>
      </c>
      <c r="M285" s="4">
        <f t="shared" si="145"/>
        <v>120</v>
      </c>
      <c r="N285" s="8">
        <f t="shared" si="157"/>
        <v>2769901</v>
      </c>
      <c r="O285" s="6">
        <f t="shared" si="146"/>
        <v>122</v>
      </c>
      <c r="P285" s="7">
        <f t="shared" si="158"/>
        <v>4423300</v>
      </c>
      <c r="Q285" s="4">
        <f t="shared" si="147"/>
        <v>124</v>
      </c>
      <c r="R285" s="8">
        <f t="shared" si="159"/>
        <v>12195639</v>
      </c>
      <c r="S285" s="6">
        <f t="shared" si="148"/>
        <v>126</v>
      </c>
      <c r="T285" s="7">
        <f t="shared" si="160"/>
        <v>41471918</v>
      </c>
      <c r="U285" s="4">
        <f t="shared" si="149"/>
        <v>129</v>
      </c>
      <c r="V285" s="8">
        <f t="shared" si="161"/>
        <v>339290119</v>
      </c>
      <c r="W285" s="6">
        <f t="shared" si="150"/>
        <v>133</v>
      </c>
      <c r="X285" s="7">
        <f t="shared" si="162"/>
        <v>3075570762</v>
      </c>
      <c r="Y285" s="4">
        <f t="shared" si="151"/>
        <v>135</v>
      </c>
      <c r="Z285" s="8">
        <f t="shared" si="163"/>
        <v>5467050358</v>
      </c>
      <c r="AA285" s="6">
        <f t="shared" si="152"/>
        <v>137</v>
      </c>
      <c r="AB285" s="7">
        <f t="shared" si="164"/>
        <v>7656878378</v>
      </c>
      <c r="AC285" s="4">
        <f t="shared" si="153"/>
        <v>139</v>
      </c>
      <c r="AD285" s="8">
        <f t="shared" si="165"/>
        <v>11454964290</v>
      </c>
      <c r="AE285" s="6">
        <f t="shared" si="154"/>
        <v>142</v>
      </c>
      <c r="AF285" s="7">
        <f t="shared" si="166"/>
        <v>17186157450</v>
      </c>
      <c r="AG285" s="4">
        <f t="shared" si="155"/>
        <v>145</v>
      </c>
      <c r="AH285" s="8">
        <f t="shared" si="167"/>
        <v>55046433200</v>
      </c>
    </row>
    <row r="286" spans="1:34" x14ac:dyDescent="0.25">
      <c r="A286" s="3">
        <v>318</v>
      </c>
      <c r="B286" s="3" t="s">
        <v>461</v>
      </c>
      <c r="C286" s="3" t="s">
        <v>228</v>
      </c>
      <c r="D286" s="3" t="s">
        <v>33</v>
      </c>
      <c r="E286" s="3">
        <v>118</v>
      </c>
      <c r="F286" s="3" t="s">
        <v>223</v>
      </c>
      <c r="G286" s="3" t="s">
        <v>462</v>
      </c>
      <c r="H286" s="3">
        <v>29</v>
      </c>
      <c r="I286" s="4">
        <v>118</v>
      </c>
      <c r="J286" s="5">
        <v>1620000</v>
      </c>
      <c r="K286" s="6">
        <f t="shared" si="144"/>
        <v>119</v>
      </c>
      <c r="L286" s="7">
        <f t="shared" si="156"/>
        <v>1941308</v>
      </c>
      <c r="M286" s="4">
        <f t="shared" si="145"/>
        <v>120</v>
      </c>
      <c r="N286" s="8">
        <f t="shared" si="157"/>
        <v>2769901</v>
      </c>
      <c r="O286" s="6">
        <f t="shared" si="146"/>
        <v>122</v>
      </c>
      <c r="P286" s="7">
        <f t="shared" si="158"/>
        <v>4423300</v>
      </c>
      <c r="Q286" s="4">
        <f t="shared" si="147"/>
        <v>124</v>
      </c>
      <c r="R286" s="8">
        <f t="shared" si="159"/>
        <v>12195639</v>
      </c>
      <c r="S286" s="6">
        <f t="shared" si="148"/>
        <v>126</v>
      </c>
      <c r="T286" s="7">
        <f t="shared" si="160"/>
        <v>41471918</v>
      </c>
      <c r="U286" s="4">
        <f t="shared" si="149"/>
        <v>129</v>
      </c>
      <c r="V286" s="8">
        <f t="shared" si="161"/>
        <v>339290119</v>
      </c>
      <c r="W286" s="6">
        <f t="shared" si="150"/>
        <v>133</v>
      </c>
      <c r="X286" s="7">
        <f t="shared" si="162"/>
        <v>3075570762</v>
      </c>
      <c r="Y286" s="4">
        <f t="shared" si="151"/>
        <v>135</v>
      </c>
      <c r="Z286" s="8">
        <f t="shared" si="163"/>
        <v>5467050358</v>
      </c>
      <c r="AA286" s="6">
        <f t="shared" si="152"/>
        <v>137</v>
      </c>
      <c r="AB286" s="7">
        <f t="shared" si="164"/>
        <v>7656878378</v>
      </c>
      <c r="AC286" s="4">
        <f t="shared" si="153"/>
        <v>139</v>
      </c>
      <c r="AD286" s="8">
        <f t="shared" si="165"/>
        <v>11454964290</v>
      </c>
      <c r="AE286" s="6">
        <f t="shared" si="154"/>
        <v>142</v>
      </c>
      <c r="AF286" s="7">
        <f t="shared" si="166"/>
        <v>17186157450</v>
      </c>
      <c r="AG286" s="4">
        <f t="shared" si="155"/>
        <v>145</v>
      </c>
      <c r="AH286" s="8">
        <f t="shared" si="167"/>
        <v>55046433200</v>
      </c>
    </row>
    <row r="287" spans="1:34" x14ac:dyDescent="0.25">
      <c r="A287" s="3">
        <v>295</v>
      </c>
      <c r="B287" s="3" t="s">
        <v>463</v>
      </c>
      <c r="C287" s="3" t="s">
        <v>228</v>
      </c>
      <c r="D287" s="3" t="s">
        <v>47</v>
      </c>
      <c r="E287" s="3">
        <v>118</v>
      </c>
      <c r="F287" s="3" t="s">
        <v>30</v>
      </c>
      <c r="G287" s="3" t="s">
        <v>464</v>
      </c>
      <c r="H287" s="3">
        <v>26</v>
      </c>
      <c r="I287" s="4">
        <v>118</v>
      </c>
      <c r="J287" s="5">
        <v>1620000</v>
      </c>
      <c r="K287" s="6">
        <f t="shared" si="144"/>
        <v>119</v>
      </c>
      <c r="L287" s="7">
        <f t="shared" si="156"/>
        <v>1941308</v>
      </c>
      <c r="M287" s="4">
        <f t="shared" si="145"/>
        <v>120</v>
      </c>
      <c r="N287" s="8">
        <f t="shared" si="157"/>
        <v>2769901</v>
      </c>
      <c r="O287" s="6">
        <f t="shared" si="146"/>
        <v>122</v>
      </c>
      <c r="P287" s="7">
        <f t="shared" si="158"/>
        <v>4423300</v>
      </c>
      <c r="Q287" s="4">
        <f t="shared" si="147"/>
        <v>124</v>
      </c>
      <c r="R287" s="8">
        <f t="shared" si="159"/>
        <v>12195639</v>
      </c>
      <c r="S287" s="6">
        <f t="shared" si="148"/>
        <v>126</v>
      </c>
      <c r="T287" s="7">
        <f t="shared" si="160"/>
        <v>41471918</v>
      </c>
      <c r="U287" s="4">
        <f t="shared" si="149"/>
        <v>129</v>
      </c>
      <c r="V287" s="8">
        <f t="shared" si="161"/>
        <v>339290119</v>
      </c>
      <c r="W287" s="6">
        <f t="shared" si="150"/>
        <v>133</v>
      </c>
      <c r="X287" s="7">
        <f t="shared" si="162"/>
        <v>3075570762</v>
      </c>
      <c r="Y287" s="4">
        <f t="shared" si="151"/>
        <v>135</v>
      </c>
      <c r="Z287" s="8">
        <f t="shared" si="163"/>
        <v>5467050358</v>
      </c>
      <c r="AA287" s="6">
        <f t="shared" si="152"/>
        <v>137</v>
      </c>
      <c r="AB287" s="7">
        <f t="shared" si="164"/>
        <v>7656878378</v>
      </c>
      <c r="AC287" s="4">
        <f t="shared" si="153"/>
        <v>139</v>
      </c>
      <c r="AD287" s="8">
        <f t="shared" si="165"/>
        <v>11454964290</v>
      </c>
      <c r="AE287" s="6">
        <f t="shared" si="154"/>
        <v>142</v>
      </c>
      <c r="AF287" s="7">
        <f t="shared" si="166"/>
        <v>17186157450</v>
      </c>
      <c r="AG287" s="4">
        <f t="shared" si="155"/>
        <v>145</v>
      </c>
      <c r="AH287" s="8">
        <f t="shared" si="167"/>
        <v>55046433200</v>
      </c>
    </row>
    <row r="288" spans="1:34" x14ac:dyDescent="0.25">
      <c r="A288" s="3">
        <v>317</v>
      </c>
      <c r="B288" s="3" t="s">
        <v>465</v>
      </c>
      <c r="C288" s="3" t="s">
        <v>228</v>
      </c>
      <c r="D288" s="3" t="s">
        <v>33</v>
      </c>
      <c r="E288" s="3">
        <v>118</v>
      </c>
      <c r="F288" s="3" t="s">
        <v>383</v>
      </c>
      <c r="G288" s="3" t="s">
        <v>450</v>
      </c>
      <c r="H288" s="3">
        <v>29</v>
      </c>
      <c r="I288" s="4">
        <v>118</v>
      </c>
      <c r="J288" s="5">
        <v>1620000</v>
      </c>
      <c r="K288" s="6">
        <f t="shared" si="144"/>
        <v>119</v>
      </c>
      <c r="L288" s="7">
        <f t="shared" si="156"/>
        <v>1941308</v>
      </c>
      <c r="M288" s="4">
        <f t="shared" si="145"/>
        <v>120</v>
      </c>
      <c r="N288" s="8">
        <f t="shared" si="157"/>
        <v>2769901</v>
      </c>
      <c r="O288" s="6">
        <f t="shared" si="146"/>
        <v>122</v>
      </c>
      <c r="P288" s="7">
        <f t="shared" si="158"/>
        <v>4423300</v>
      </c>
      <c r="Q288" s="4">
        <f t="shared" si="147"/>
        <v>124</v>
      </c>
      <c r="R288" s="8">
        <f t="shared" si="159"/>
        <v>12195639</v>
      </c>
      <c r="S288" s="6">
        <f t="shared" si="148"/>
        <v>126</v>
      </c>
      <c r="T288" s="7">
        <f t="shared" si="160"/>
        <v>41471918</v>
      </c>
      <c r="U288" s="4">
        <f t="shared" si="149"/>
        <v>129</v>
      </c>
      <c r="V288" s="8">
        <f t="shared" si="161"/>
        <v>339290119</v>
      </c>
      <c r="W288" s="6">
        <f t="shared" si="150"/>
        <v>133</v>
      </c>
      <c r="X288" s="7">
        <f t="shared" si="162"/>
        <v>3075570762</v>
      </c>
      <c r="Y288" s="4">
        <f t="shared" si="151"/>
        <v>135</v>
      </c>
      <c r="Z288" s="8">
        <f t="shared" si="163"/>
        <v>5467050358</v>
      </c>
      <c r="AA288" s="6">
        <f t="shared" si="152"/>
        <v>137</v>
      </c>
      <c r="AB288" s="7">
        <f t="shared" si="164"/>
        <v>7656878378</v>
      </c>
      <c r="AC288" s="4">
        <f t="shared" si="153"/>
        <v>139</v>
      </c>
      <c r="AD288" s="8">
        <f t="shared" si="165"/>
        <v>11454964290</v>
      </c>
      <c r="AE288" s="6">
        <f t="shared" si="154"/>
        <v>142</v>
      </c>
      <c r="AF288" s="7">
        <f t="shared" si="166"/>
        <v>17186157450</v>
      </c>
      <c r="AG288" s="4">
        <f t="shared" si="155"/>
        <v>145</v>
      </c>
      <c r="AH288" s="8">
        <f t="shared" si="167"/>
        <v>55046433200</v>
      </c>
    </row>
    <row r="289" spans="1:34" x14ac:dyDescent="0.25">
      <c r="A289" s="3">
        <v>235</v>
      </c>
      <c r="B289" s="3" t="s">
        <v>251</v>
      </c>
      <c r="C289" s="3" t="s">
        <v>466</v>
      </c>
      <c r="D289" s="3" t="s">
        <v>64</v>
      </c>
      <c r="E289" s="3">
        <v>119</v>
      </c>
      <c r="F289" s="3" t="s">
        <v>59</v>
      </c>
      <c r="G289" s="3" t="s">
        <v>252</v>
      </c>
      <c r="H289" s="3">
        <v>32</v>
      </c>
      <c r="I289" s="4">
        <v>119</v>
      </c>
      <c r="J289" s="5">
        <v>12800000</v>
      </c>
      <c r="K289" s="6">
        <f t="shared" si="144"/>
        <v>120</v>
      </c>
      <c r="L289" s="7">
        <f>IF($J289=0,0,ROUND(MAX($J289*1.4*1,4020000*(1.354082^(MIN($E289,123)-118))),0))</f>
        <v>17920000</v>
      </c>
      <c r="M289" s="4">
        <f t="shared" si="145"/>
        <v>121</v>
      </c>
      <c r="N289" s="8">
        <f>IF($J289=0,0,ROUND(MAX($J289*1.4*1.5*1,6950000*(1.375334^(MIN($E289,123)-118))),0))</f>
        <v>26880000</v>
      </c>
      <c r="O289" s="6">
        <f t="shared" si="146"/>
        <v>123</v>
      </c>
      <c r="P289" s="7">
        <f>IF($J289=0,0,ROUND(MAX($J289*1.4*1.5*1.6*1,23900000*(1.1788^(MIN($E289,123)-118))),0))</f>
        <v>43008000</v>
      </c>
      <c r="Q289" s="4">
        <f t="shared" si="147"/>
        <v>125</v>
      </c>
      <c r="R289" s="8">
        <f>IF($J289=0,0,ROUND(MAX($J289*1.4*1.5*1.6*1.6*1.25,77000000*(1.127009^(MIN($E289,123)-118))),0))</f>
        <v>86779693</v>
      </c>
      <c r="S289" s="6">
        <f t="shared" si="148"/>
        <v>127</v>
      </c>
      <c r="T289" s="7">
        <f>IF($J289=0,0,ROUND(MAX($J289*1.4*1.5*1.6*1.6*2.2*1.25,270000000*(1.248411^(MIN($E289,123)-118))),0))</f>
        <v>337070970</v>
      </c>
      <c r="U289" s="4">
        <f t="shared" si="149"/>
        <v>130</v>
      </c>
      <c r="V289" s="8">
        <f>IF($J289=0,0,ROUND(MAX($J289*1.4*1.5*1.6*1.6*2.2*2.715*1.25,2400000000*(1.293039^(MIN($E289,123)-118))),0))</f>
        <v>3103293600</v>
      </c>
      <c r="W289" s="6">
        <f t="shared" si="150"/>
        <v>134</v>
      </c>
      <c r="X289" s="7">
        <f>IF($J289=0,0,ROUND(MAX($J289*1.4*1.5*1.6*1.6*2.2*2.715*2.6*1.25,20000000000*(1.280114^(MIN($E289,123)-118))),0))</f>
        <v>25602280000</v>
      </c>
      <c r="Y289" s="4">
        <f t="shared" si="151"/>
        <v>136</v>
      </c>
      <c r="Z289" s="8">
        <f>IF($J289=0,0,ROUND(MAX($J289*1.4*1.5*1.6*1.6*2.2*2.715*2.6*1.4*1.25,39200000000*(1.31219^(MIN($E289,123)-118))),0))</f>
        <v>51437848000</v>
      </c>
      <c r="AA289" s="6">
        <f t="shared" si="152"/>
        <v>138</v>
      </c>
      <c r="AB289" s="7">
        <f>IF($J289=0,0,ROUND(MAX($J289*1.4*1.5*1.6*1.6*2.2*2.715*2.6*1.4*1.4*1.25,54900000000*(1.312402^(MIN($E289,123)-118))),0))</f>
        <v>72050869800</v>
      </c>
      <c r="AC289" s="4">
        <f t="shared" si="153"/>
        <v>140</v>
      </c>
      <c r="AD289" s="8">
        <f>IF($J289=0,0,ROUND(MAX($J289*1.4*1.5*1.6*1.6*2.2*2.715*2.6*1.4*1.4*1.5*1.25,82400000000*(1.312754^(MIN($E289,123)-118))),0))</f>
        <v>108170929600</v>
      </c>
      <c r="AE289" s="6">
        <f t="shared" si="154"/>
        <v>143</v>
      </c>
      <c r="AF289" s="7">
        <f>IF($J289=0,0,ROUND(MAX($J289*1.4*1.5*1.6*1.6*2.2*2.715*2.6*1.4*1.4*1.5*1.5*1.25,124000000000*(1.312246^(MIN($E289,123)-118))),0))</f>
        <v>162718504000</v>
      </c>
      <c r="AG289" s="4">
        <f t="shared" si="155"/>
        <v>146</v>
      </c>
      <c r="AH289" s="8">
        <f>IF($J289=0,0,ROUND(MAX($J289*1.4*1.5*1.6*1.6*2.2*2.715*2.6*1.4*1.4*1.5*1.5*3.2*1.25,397000000000*(1.313132^(MIN($E289,123)-118))),0))</f>
        <v>521313404000</v>
      </c>
    </row>
    <row r="290" spans="1:34" x14ac:dyDescent="0.25">
      <c r="A290" s="3">
        <v>234</v>
      </c>
      <c r="B290" s="3" t="s">
        <v>87</v>
      </c>
      <c r="C290" s="3" t="s">
        <v>466</v>
      </c>
      <c r="D290" s="3" t="s">
        <v>40</v>
      </c>
      <c r="E290" s="3">
        <v>118</v>
      </c>
      <c r="F290" s="3" t="s">
        <v>88</v>
      </c>
      <c r="G290" s="3" t="s">
        <v>51</v>
      </c>
      <c r="H290" s="3">
        <v>31</v>
      </c>
      <c r="I290" s="4">
        <v>118</v>
      </c>
      <c r="J290" s="5">
        <v>1010000</v>
      </c>
      <c r="K290" s="6">
        <f t="shared" si="144"/>
        <v>119</v>
      </c>
      <c r="L290" s="7">
        <f>IF($J290=0,0,ROUND(MAX($J290*1.4*1,4020000*(1.354082^(MIN($E290,123)-118))),0))</f>
        <v>4020000</v>
      </c>
      <c r="M290" s="4">
        <f t="shared" si="145"/>
        <v>120</v>
      </c>
      <c r="N290" s="8">
        <f>IF($J290=0,0,ROUND(MAX($J290*1.4*1.5*1,6950000*(1.375334^(MIN($E290,123)-118))),0))</f>
        <v>6950000</v>
      </c>
      <c r="O290" s="6">
        <f t="shared" si="146"/>
        <v>122</v>
      </c>
      <c r="P290" s="7">
        <f>IF($J290=0,0,ROUND(MAX($J290*1.4*1.5*1.6*1,23900000*(1.1788^(MIN($E290,123)-118))),0))</f>
        <v>23900000</v>
      </c>
      <c r="Q290" s="4">
        <f t="shared" si="147"/>
        <v>124</v>
      </c>
      <c r="R290" s="8">
        <f>IF($J290=0,0,ROUND(MAX($J290*1.4*1.5*1.6*1.6*1.25,77000000*(1.127009^(MIN($E290,123)-118))),0))</f>
        <v>77000000</v>
      </c>
      <c r="S290" s="6">
        <f t="shared" si="148"/>
        <v>126</v>
      </c>
      <c r="T290" s="7">
        <f>IF($J290=0,0,ROUND(MAX($J290*1.4*1.5*1.6*1.6*2.2*1.25,270000000*(1.248411^(MIN($E290,123)-118))),0))</f>
        <v>270000000</v>
      </c>
      <c r="U290" s="4">
        <f t="shared" si="149"/>
        <v>129</v>
      </c>
      <c r="V290" s="8">
        <f>IF($J290=0,0,ROUND(MAX($J290*1.4*1.5*1.6*1.6*2.2*2.715*1.25,2400000000*(1.293039^(MIN($E290,123)-118))),0))</f>
        <v>2400000000</v>
      </c>
      <c r="W290" s="6">
        <f t="shared" si="150"/>
        <v>133</v>
      </c>
      <c r="X290" s="7">
        <f>IF($J290=0,0,ROUND(MAX($J290*1.4*1.5*1.6*1.6*2.2*2.715*2.6*1.25,20000000000*(1.280114^(MIN($E290,123)-118))),0))</f>
        <v>20000000000</v>
      </c>
      <c r="Y290" s="4">
        <f t="shared" si="151"/>
        <v>135</v>
      </c>
      <c r="Z290" s="8">
        <f>IF($J290=0,0,ROUND(MAX($J290*1.4*1.5*1.6*1.6*2.2*2.715*2.6*1.4*1.25,39200000000*(1.31219^(MIN($E290,123)-118))),0))</f>
        <v>39200000000</v>
      </c>
      <c r="AA290" s="6">
        <f t="shared" si="152"/>
        <v>137</v>
      </c>
      <c r="AB290" s="7">
        <f>IF($J290=0,0,ROUND(MAX($J290*1.4*1.5*1.6*1.6*2.2*2.715*2.6*1.4*1.4*1.25,54900000000*(1.312402^(MIN($E290,123)-118))),0))</f>
        <v>54900000000</v>
      </c>
      <c r="AC290" s="4">
        <f t="shared" si="153"/>
        <v>139</v>
      </c>
      <c r="AD290" s="8">
        <f>IF($J290=0,0,ROUND(MAX($J290*1.4*1.5*1.6*1.6*2.2*2.715*2.6*1.4*1.4*1.5*1.25,82400000000*(1.312754^(MIN($E290,123)-118))),0))</f>
        <v>82400000000</v>
      </c>
      <c r="AE290" s="6">
        <f t="shared" si="154"/>
        <v>142</v>
      </c>
      <c r="AF290" s="7">
        <f>IF($J290=0,0,ROUND(MAX($J290*1.4*1.5*1.6*1.6*2.2*2.715*2.6*1.4*1.4*1.5*1.5*1.25,124000000000*(1.312246^(MIN($E290,123)-118))),0))</f>
        <v>124000000000</v>
      </c>
      <c r="AG290" s="4">
        <f t="shared" si="155"/>
        <v>145</v>
      </c>
      <c r="AH290" s="8">
        <f>IF($J290=0,0,ROUND(MAX($J290*1.4*1.5*1.6*1.6*2.2*2.715*2.6*1.4*1.4*1.5*1.5*3.2*1.25,397000000000*(1.313132^(MIN($E290,123)-118))),0))</f>
        <v>397000000000</v>
      </c>
    </row>
    <row r="291" spans="1:34" x14ac:dyDescent="0.25">
      <c r="A291" s="3">
        <v>232</v>
      </c>
      <c r="B291" s="3" t="s">
        <v>63</v>
      </c>
      <c r="C291" s="3" t="s">
        <v>466</v>
      </c>
      <c r="D291" s="3" t="s">
        <v>64</v>
      </c>
      <c r="E291" s="3">
        <v>118</v>
      </c>
      <c r="F291" s="3" t="s">
        <v>65</v>
      </c>
      <c r="G291" s="3" t="s">
        <v>57</v>
      </c>
      <c r="H291" s="3">
        <v>30</v>
      </c>
      <c r="I291" s="4">
        <v>118</v>
      </c>
      <c r="J291" s="5">
        <v>990000</v>
      </c>
      <c r="K291" s="6">
        <f t="shared" si="144"/>
        <v>119</v>
      </c>
      <c r="L291" s="7">
        <f>IF($J291=0,0,ROUND(MAX($J291*1.4*1,4020000*(1.354082^(MIN($E291,123)-118))),0))</f>
        <v>4020000</v>
      </c>
      <c r="M291" s="4">
        <f t="shared" si="145"/>
        <v>120</v>
      </c>
      <c r="N291" s="8">
        <f>IF($J291=0,0,ROUND(MAX($J291*1.4*1.5*1,6950000*(1.375334^(MIN($E291,123)-118))),0))</f>
        <v>6950000</v>
      </c>
      <c r="O291" s="6">
        <f t="shared" si="146"/>
        <v>122</v>
      </c>
      <c r="P291" s="7">
        <f>IF($J291=0,0,ROUND(MAX($J291*1.4*1.5*1.6*1,23900000*(1.1788^(MIN($E291,123)-118))),0))</f>
        <v>23900000</v>
      </c>
      <c r="Q291" s="4">
        <f t="shared" si="147"/>
        <v>124</v>
      </c>
      <c r="R291" s="8">
        <f>IF($J291=0,0,ROUND(MAX($J291*1.4*1.5*1.6*1.6*1.25,77000000*(1.127009^(MIN($E291,123)-118))),0))</f>
        <v>77000000</v>
      </c>
      <c r="S291" s="6">
        <f t="shared" si="148"/>
        <v>126</v>
      </c>
      <c r="T291" s="7">
        <f>IF($J291=0,0,ROUND(MAX($J291*1.4*1.5*1.6*1.6*2.2*1.25,270000000*(1.248411^(MIN($E291,123)-118))),0))</f>
        <v>270000000</v>
      </c>
      <c r="U291" s="4">
        <f t="shared" si="149"/>
        <v>129</v>
      </c>
      <c r="V291" s="8">
        <f>IF($J291=0,0,ROUND(MAX($J291*1.4*1.5*1.6*1.6*2.2*2.715*1.25,2400000000*(1.293039^(MIN($E291,123)-118))),0))</f>
        <v>2400000000</v>
      </c>
      <c r="W291" s="6">
        <f t="shared" si="150"/>
        <v>133</v>
      </c>
      <c r="X291" s="7">
        <f>IF($J291=0,0,ROUND(MAX($J291*1.4*1.5*1.6*1.6*2.2*2.715*2.6*1.25,20000000000*(1.280114^(MIN($E291,123)-118))),0))</f>
        <v>20000000000</v>
      </c>
      <c r="Y291" s="4">
        <f t="shared" si="151"/>
        <v>135</v>
      </c>
      <c r="Z291" s="8">
        <f>IF($J291=0,0,ROUND(MAX($J291*1.4*1.5*1.6*1.6*2.2*2.715*2.6*1.4*1.25,39200000000*(1.31219^(MIN($E291,123)-118))),0))</f>
        <v>39200000000</v>
      </c>
      <c r="AA291" s="6">
        <f t="shared" si="152"/>
        <v>137</v>
      </c>
      <c r="AB291" s="7">
        <f>IF($J291=0,0,ROUND(MAX($J291*1.4*1.5*1.6*1.6*2.2*2.715*2.6*1.4*1.4*1.25,54900000000*(1.312402^(MIN($E291,123)-118))),0))</f>
        <v>54900000000</v>
      </c>
      <c r="AC291" s="4">
        <f t="shared" si="153"/>
        <v>139</v>
      </c>
      <c r="AD291" s="8">
        <f>IF($J291=0,0,ROUND(MAX($J291*1.4*1.5*1.6*1.6*2.2*2.715*2.6*1.4*1.4*1.5*1.25,82400000000*(1.312754^(MIN($E291,123)-118))),0))</f>
        <v>82400000000</v>
      </c>
      <c r="AE291" s="6">
        <f t="shared" si="154"/>
        <v>142</v>
      </c>
      <c r="AF291" s="7">
        <f>IF($J291=0,0,ROUND(MAX($J291*1.4*1.5*1.6*1.6*2.2*2.715*2.6*1.4*1.4*1.5*1.5*1.25,124000000000*(1.312246^(MIN($E291,123)-118))),0))</f>
        <v>124000000000</v>
      </c>
      <c r="AG291" s="4">
        <f t="shared" si="155"/>
        <v>145</v>
      </c>
      <c r="AH291" s="8">
        <f>IF($J291=0,0,ROUND(MAX($J291*1.4*1.5*1.6*1.6*2.2*2.715*2.6*1.4*1.4*1.5*1.5*3.2*1.25,397000000000*(1.313132^(MIN($E291,123)-118))),0))</f>
        <v>397000000000</v>
      </c>
    </row>
    <row r="292" spans="1:34" x14ac:dyDescent="0.25">
      <c r="A292" s="3">
        <v>233</v>
      </c>
      <c r="B292" s="3" t="s">
        <v>110</v>
      </c>
      <c r="C292" s="3" t="s">
        <v>466</v>
      </c>
      <c r="D292" s="3" t="s">
        <v>64</v>
      </c>
      <c r="E292" s="3">
        <v>118</v>
      </c>
      <c r="F292" s="3" t="s">
        <v>59</v>
      </c>
      <c r="G292" s="3" t="s">
        <v>72</v>
      </c>
      <c r="H292" s="3">
        <v>31</v>
      </c>
      <c r="I292" s="4">
        <v>118</v>
      </c>
      <c r="J292" s="5">
        <v>1270000</v>
      </c>
      <c r="K292" s="6">
        <f t="shared" si="144"/>
        <v>119</v>
      </c>
      <c r="L292" s="7">
        <f>IF($J292=0,0,ROUND(MAX($J292*1.4*1,4020000*(1.354082^(MIN($E292,123)-118))),0))</f>
        <v>4020000</v>
      </c>
      <c r="M292" s="4">
        <f t="shared" si="145"/>
        <v>120</v>
      </c>
      <c r="N292" s="8">
        <f>IF($J292=0,0,ROUND(MAX($J292*1.4*1.5*1,6950000*(1.375334^(MIN($E292,123)-118))),0))</f>
        <v>6950000</v>
      </c>
      <c r="O292" s="6">
        <f t="shared" si="146"/>
        <v>122</v>
      </c>
      <c r="P292" s="7">
        <f>IF($J292=0,0,ROUND(MAX($J292*1.4*1.5*1.6*1,23900000*(1.1788^(MIN($E292,123)-118))),0))</f>
        <v>23900000</v>
      </c>
      <c r="Q292" s="4">
        <f t="shared" si="147"/>
        <v>124</v>
      </c>
      <c r="R292" s="8">
        <f>IF($J292=0,0,ROUND(MAX($J292*1.4*1.5*1.6*1.6*1.25,77000000*(1.127009^(MIN($E292,123)-118))),0))</f>
        <v>77000000</v>
      </c>
      <c r="S292" s="6">
        <f t="shared" si="148"/>
        <v>126</v>
      </c>
      <c r="T292" s="7">
        <f>IF($J292=0,0,ROUND(MAX($J292*1.4*1.5*1.6*1.6*2.2*1.25,270000000*(1.248411^(MIN($E292,123)-118))),0))</f>
        <v>270000000</v>
      </c>
      <c r="U292" s="4">
        <f t="shared" si="149"/>
        <v>129</v>
      </c>
      <c r="V292" s="8">
        <f>IF($J292=0,0,ROUND(MAX($J292*1.4*1.5*1.6*1.6*2.2*2.715*1.25,2400000000*(1.293039^(MIN($E292,123)-118))),0))</f>
        <v>2400000000</v>
      </c>
      <c r="W292" s="6">
        <f t="shared" si="150"/>
        <v>133</v>
      </c>
      <c r="X292" s="7">
        <f>IF($J292=0,0,ROUND(MAX($J292*1.4*1.5*1.6*1.6*2.2*2.715*2.6*1.25,20000000000*(1.280114^(MIN($E292,123)-118))),0))</f>
        <v>20000000000</v>
      </c>
      <c r="Y292" s="4">
        <f t="shared" si="151"/>
        <v>135</v>
      </c>
      <c r="Z292" s="8">
        <f>IF($J292=0,0,ROUND(MAX($J292*1.4*1.5*1.6*1.6*2.2*2.715*2.6*1.4*1.25,39200000000*(1.31219^(MIN($E292,123)-118))),0))</f>
        <v>39200000000</v>
      </c>
      <c r="AA292" s="6">
        <f t="shared" si="152"/>
        <v>137</v>
      </c>
      <c r="AB292" s="7">
        <f>IF($J292=0,0,ROUND(MAX($J292*1.4*1.5*1.6*1.6*2.2*2.715*2.6*1.4*1.4*1.25,54900000000*(1.312402^(MIN($E292,123)-118))),0))</f>
        <v>54900000000</v>
      </c>
      <c r="AC292" s="4">
        <f t="shared" si="153"/>
        <v>139</v>
      </c>
      <c r="AD292" s="8">
        <f>IF($J292=0,0,ROUND(MAX($J292*1.4*1.5*1.6*1.6*2.2*2.715*2.6*1.4*1.4*1.5*1.25,82400000000*(1.312754^(MIN($E292,123)-118))),0))</f>
        <v>82400000000</v>
      </c>
      <c r="AE292" s="6">
        <f t="shared" si="154"/>
        <v>142</v>
      </c>
      <c r="AF292" s="7">
        <f>IF($J292=0,0,ROUND(MAX($J292*1.4*1.5*1.6*1.6*2.2*2.715*2.6*1.4*1.4*1.5*1.5*1.25,124000000000*(1.312246^(MIN($E292,123)-118))),0))</f>
        <v>124000000000</v>
      </c>
      <c r="AG292" s="4">
        <f t="shared" si="155"/>
        <v>145</v>
      </c>
      <c r="AH292" s="8">
        <f>IF($J292=0,0,ROUND(MAX($J292*1.4*1.5*1.6*1.6*2.2*2.715*2.6*1.4*1.4*1.5*1.5*3.2*1.25,397000000000*(1.313132^(MIN($E292,123)-118))),0))</f>
        <v>397000000000</v>
      </c>
    </row>
    <row r="293" spans="1:34" x14ac:dyDescent="0.25">
      <c r="A293" s="3">
        <v>224</v>
      </c>
      <c r="B293" s="3" t="s">
        <v>467</v>
      </c>
      <c r="C293" s="3" t="s">
        <v>466</v>
      </c>
      <c r="D293" s="3" t="s">
        <v>64</v>
      </c>
      <c r="E293" s="3">
        <v>117</v>
      </c>
      <c r="F293" s="3" t="s">
        <v>56</v>
      </c>
      <c r="G293" s="3" t="s">
        <v>95</v>
      </c>
      <c r="H293" s="3">
        <v>29</v>
      </c>
      <c r="I293" s="4">
        <v>117</v>
      </c>
      <c r="J293" s="5">
        <v>943000</v>
      </c>
      <c r="K293" s="6">
        <f t="shared" si="144"/>
        <v>118</v>
      </c>
      <c r="L293" s="7">
        <f>IF($J293=0,0,ROUND(MAX($J293*1.4,1620000*(1.497923^(MIN($E293,123)-117)))*1,0))</f>
        <v>1620000</v>
      </c>
      <c r="M293" s="4">
        <f t="shared" si="145"/>
        <v>119</v>
      </c>
      <c r="N293" s="8">
        <f>IF($J293=0,0,ROUND(MAX($J293*1.4*1.5,2190000*(1.580994^(MIN($E293,123)-117)))*1,0))</f>
        <v>2190000</v>
      </c>
      <c r="O293" s="6">
        <f t="shared" si="146"/>
        <v>121</v>
      </c>
      <c r="P293" s="7">
        <f>IF($J293=0,0,ROUND(MAX($J293*1.4*1.5*1.6,3500000*(1.57975^(MIN($E293,123)-117)))*1,0))</f>
        <v>3500000</v>
      </c>
      <c r="Q293" s="4">
        <f t="shared" si="147"/>
        <v>123</v>
      </c>
      <c r="R293" s="8">
        <f>IF($J293=0,0,ROUND(MAX($J293*1.4*1.5*1.6*1.6,13100000*(1.429962^(MIN($E293,123)-117)))*1,0))</f>
        <v>13100000</v>
      </c>
      <c r="S293" s="6">
        <f t="shared" si="148"/>
        <v>125</v>
      </c>
      <c r="T293" s="7">
        <f>IF($J293=0,0,ROUND(MAX($J293*1.4*1.5*1.6*1.6*2.2,42600000*(1.576904^(MIN($E293,123)-117)))*1,0))</f>
        <v>42600000</v>
      </c>
      <c r="U293" s="4">
        <f t="shared" si="149"/>
        <v>128</v>
      </c>
      <c r="V293" s="8">
        <f>IF($J293=0,0,ROUND(MAX($J293*1.4*1.5*1.6*1.6*2.2*2.715,354000000*(1.642074^(MIN($E293,123)-117)))*1,0))</f>
        <v>354000000</v>
      </c>
      <c r="W293" s="6">
        <f t="shared" si="150"/>
        <v>132</v>
      </c>
      <c r="X293" s="7">
        <f>IF($J293=0,0,ROUND(MAX($J293*1.4*1.5*1.6*1.6*2.2*2.715*2.6,3540000000*(1.579646^(MIN($E293,123)-117)))*1,0))</f>
        <v>3540000000</v>
      </c>
      <c r="Y293" s="4">
        <f t="shared" si="151"/>
        <v>134</v>
      </c>
      <c r="Z293" s="8">
        <f>IF($J293=0,0,ROUND(MAX($J293*1.4*1.5*1.6*1.6*2.2*2.715*2.6*1.4,6020000000*(1.651178^(MIN($E293,123)-117)))*1,0))</f>
        <v>6020000000</v>
      </c>
      <c r="AA293" s="6">
        <f t="shared" si="152"/>
        <v>136</v>
      </c>
      <c r="AB293" s="7">
        <f>IF($J293=0,0,ROUND(MAX($J293*1.4*1.5*1.6*1.6*2.2*2.715*2.6*1.4*1.4,8430000000*(1.651435^(MIN($E293,123)-117)))*1,0))</f>
        <v>8430000000</v>
      </c>
      <c r="AC293" s="4">
        <f t="shared" si="153"/>
        <v>138</v>
      </c>
      <c r="AD293" s="8">
        <f>IF($J293=0,0,ROUND(MAX($J293*1.4*1.5*1.6*1.6*2.2*2.715*2.6*1.4*1.4*1.5,12600000000*(1.652953^(MIN($E293,123)-117)))*1,0))</f>
        <v>12600000000</v>
      </c>
      <c r="AE293" s="6">
        <f t="shared" si="154"/>
        <v>141</v>
      </c>
      <c r="AF293" s="7">
        <f>IF($J293=0,0,ROUND(MAX($J293*1.4*1.5*1.6*1.6*2.2*2.715*2.6*1.4*1.4*1.5*1.5,18900000000*(1.65331^(MIN($E293,123)-117)))*1,0))</f>
        <v>18900000000</v>
      </c>
      <c r="AG293" s="4">
        <f t="shared" si="155"/>
        <v>144</v>
      </c>
      <c r="AH293" s="8">
        <f>IF($J293=0,0,ROUND(MAX($J293*1.4*1.5*1.6*1.6*2.2*2.715*2.6*1.4*1.4*1.5*1.5*3.2,60500000000*(1.654288^(MIN($E293,123)-117)))*1,0))</f>
        <v>60500000000</v>
      </c>
    </row>
    <row r="294" spans="1:34" x14ac:dyDescent="0.25">
      <c r="A294" s="3">
        <v>221</v>
      </c>
      <c r="B294" s="3" t="s">
        <v>92</v>
      </c>
      <c r="C294" s="3" t="s">
        <v>466</v>
      </c>
      <c r="D294" s="3" t="s">
        <v>93</v>
      </c>
      <c r="E294" s="3">
        <v>117</v>
      </c>
      <c r="F294" s="3" t="s">
        <v>56</v>
      </c>
      <c r="G294" s="3" t="s">
        <v>57</v>
      </c>
      <c r="H294" s="3">
        <v>29</v>
      </c>
      <c r="I294" s="4">
        <v>117</v>
      </c>
      <c r="J294" s="5">
        <v>997000</v>
      </c>
      <c r="K294" s="6">
        <f t="shared" si="144"/>
        <v>118</v>
      </c>
      <c r="L294" s="7">
        <f>IF($J294=0,0,ROUND(MAX($J294*1.4*1,4020000*(1.354082^(MIN($E294,123)-118))),0))</f>
        <v>2968801</v>
      </c>
      <c r="M294" s="4">
        <f t="shared" si="145"/>
        <v>119</v>
      </c>
      <c r="N294" s="8">
        <f>IF($J294=0,0,ROUND(MAX($J294*1.4*1.5*1,6950000*(1.375334^(MIN($E294,123)-118))),0))</f>
        <v>5053318</v>
      </c>
      <c r="O294" s="6">
        <f t="shared" si="146"/>
        <v>121</v>
      </c>
      <c r="P294" s="7">
        <f>IF($J294=0,0,ROUND(MAX($J294*1.4*1.5*1.6*1,23900000*(1.1788^(MIN($E294,123)-118))),0))</f>
        <v>20274856</v>
      </c>
      <c r="Q294" s="4">
        <f t="shared" si="147"/>
        <v>123</v>
      </c>
      <c r="R294" s="8">
        <f>IF($J294=0,0,ROUND(MAX($J294*1.4*1.5*1.6*1.6*1.25,77000000*(1.127009^(MIN($E294,123)-118))),0))</f>
        <v>68322436</v>
      </c>
      <c r="S294" s="6">
        <f t="shared" si="148"/>
        <v>125</v>
      </c>
      <c r="T294" s="7">
        <f>IF($J294=0,0,ROUND(MAX($J294*1.4*1.5*1.6*1.6*2.2*1.25,270000000*(1.248411^(MIN($E294,123)-118))),0))</f>
        <v>216274929</v>
      </c>
      <c r="U294" s="4">
        <f t="shared" si="149"/>
        <v>128</v>
      </c>
      <c r="V294" s="8">
        <f>IF($J294=0,0,ROUND(MAX($J294*1.4*1.5*1.6*1.6*2.2*2.715*1.25,2400000000*(1.293039^(MIN($E294,123)-118))),0))</f>
        <v>1856092508</v>
      </c>
      <c r="W294" s="6">
        <f t="shared" si="150"/>
        <v>132</v>
      </c>
      <c r="X294" s="7">
        <f>IF($J294=0,0,ROUND(MAX($J294*1.4*1.5*1.6*1.6*2.2*2.715*2.6*1.25,20000000000*(1.280114^(MIN($E294,123)-118))),0))</f>
        <v>15623608522</v>
      </c>
      <c r="Y294" s="4">
        <f t="shared" si="151"/>
        <v>134</v>
      </c>
      <c r="Z294" s="8">
        <f>IF($J294=0,0,ROUND(MAX($J294*1.4*1.5*1.6*1.6*2.2*2.715*2.6*1.4*1.25,39200000000*(1.31219^(MIN($E294,123)-118))),0))</f>
        <v>29873722555</v>
      </c>
      <c r="AA294" s="6">
        <f t="shared" si="152"/>
        <v>136</v>
      </c>
      <c r="AB294" s="7">
        <f>IF($J294=0,0,ROUND(MAX($J294*1.4*1.5*1.6*1.6*2.2*2.715*2.6*1.4*1.4*1.25,54900000000*(1.312402^(MIN($E294,123)-118))),0))</f>
        <v>41831694862</v>
      </c>
      <c r="AC294" s="4">
        <f t="shared" si="153"/>
        <v>138</v>
      </c>
      <c r="AD294" s="8">
        <f>IF($J294=0,0,ROUND(MAX($J294*1.4*1.5*1.6*1.6*2.2*2.715*2.6*1.4*1.4*1.5*1.25,82400000000*(1.312754^(MIN($E294,123)-118))),0))</f>
        <v>62768805123</v>
      </c>
      <c r="AE294" s="6">
        <f t="shared" si="154"/>
        <v>141</v>
      </c>
      <c r="AF294" s="7">
        <f>IF($J294=0,0,ROUND(MAX($J294*1.4*1.5*1.6*1.6*2.2*2.715*2.6*1.4*1.4*1.5*1.5*1.25,124000000000*(1.312246^(MIN($E294,123)-118))),0))</f>
        <v>94494477407</v>
      </c>
      <c r="AG294" s="4">
        <f t="shared" si="155"/>
        <v>144</v>
      </c>
      <c r="AH294" s="8">
        <f>IF($J294=0,0,ROUND(MAX($J294*1.4*1.5*1.6*1.6*2.2*2.715*2.6*1.4*1.4*1.5*1.5*3.2*1.25,397000000000*(1.313132^(MIN($E294,123)-118))),0))</f>
        <v>302330611089</v>
      </c>
    </row>
    <row r="295" spans="1:34" x14ac:dyDescent="0.25">
      <c r="A295" s="3">
        <v>227</v>
      </c>
      <c r="B295" s="3" t="s">
        <v>468</v>
      </c>
      <c r="C295" s="3" t="s">
        <v>466</v>
      </c>
      <c r="D295" s="3" t="s">
        <v>40</v>
      </c>
      <c r="E295" s="3">
        <v>117</v>
      </c>
      <c r="F295" s="3" t="s">
        <v>258</v>
      </c>
      <c r="G295" s="3" t="s">
        <v>206</v>
      </c>
      <c r="H295" s="3">
        <v>30</v>
      </c>
      <c r="I295" s="4">
        <v>117</v>
      </c>
      <c r="J295" s="5">
        <v>966000</v>
      </c>
      <c r="K295" s="6">
        <f t="shared" si="144"/>
        <v>118</v>
      </c>
      <c r="L295" s="7">
        <f>IF($J295=0,0,ROUND(MAX($J295*1.4,1620000*(1.497923^(MIN($E295,123)-117)))*1,0))</f>
        <v>1620000</v>
      </c>
      <c r="M295" s="4">
        <f t="shared" si="145"/>
        <v>119</v>
      </c>
      <c r="N295" s="8">
        <f>IF($J295=0,0,ROUND(MAX($J295*1.4*1.5,2190000*(1.580994^(MIN($E295,123)-117)))*1,0))</f>
        <v>2190000</v>
      </c>
      <c r="O295" s="6">
        <f t="shared" si="146"/>
        <v>121</v>
      </c>
      <c r="P295" s="7">
        <f>IF($J295=0,0,ROUND(MAX($J295*1.4*1.5*1.6,3500000*(1.57975^(MIN($E295,123)-117)))*1,0))</f>
        <v>3500000</v>
      </c>
      <c r="Q295" s="4">
        <f t="shared" si="147"/>
        <v>123</v>
      </c>
      <c r="R295" s="8">
        <f>IF($J295=0,0,ROUND(MAX($J295*1.4*1.5*1.6*1.6,13100000*(1.429962^(MIN($E295,123)-117)))*1,0))</f>
        <v>13100000</v>
      </c>
      <c r="S295" s="6">
        <f t="shared" si="148"/>
        <v>125</v>
      </c>
      <c r="T295" s="7">
        <f>IF($J295=0,0,ROUND(MAX($J295*1.4*1.5*1.6*1.6*2.2,42600000*(1.576904^(MIN($E295,123)-117)))*1,0))</f>
        <v>42600000</v>
      </c>
      <c r="U295" s="4">
        <f t="shared" si="149"/>
        <v>128</v>
      </c>
      <c r="V295" s="8">
        <f>IF($J295=0,0,ROUND(MAX($J295*1.4*1.5*1.6*1.6*2.2*2.715,354000000*(1.642074^(MIN($E295,123)-117)))*1,0))</f>
        <v>354000000</v>
      </c>
      <c r="W295" s="6">
        <f t="shared" si="150"/>
        <v>132</v>
      </c>
      <c r="X295" s="7">
        <f>IF($J295=0,0,ROUND(MAX($J295*1.4*1.5*1.6*1.6*2.2*2.715*2.6,3540000000*(1.579646^(MIN($E295,123)-117)))*1,0))</f>
        <v>3540000000</v>
      </c>
      <c r="Y295" s="4">
        <f t="shared" si="151"/>
        <v>134</v>
      </c>
      <c r="Z295" s="8">
        <f>IF($J295=0,0,ROUND(MAX($J295*1.4*1.5*1.6*1.6*2.2*2.715*2.6*1.4,6020000000*(1.651178^(MIN($E295,123)-117)))*1,0))</f>
        <v>6020000000</v>
      </c>
      <c r="AA295" s="6">
        <f t="shared" si="152"/>
        <v>136</v>
      </c>
      <c r="AB295" s="7">
        <f>IF($J295=0,0,ROUND(MAX($J295*1.4*1.5*1.6*1.6*2.2*2.715*2.6*1.4*1.4,8430000000*(1.651435^(MIN($E295,123)-117)))*1,0))</f>
        <v>8430000000</v>
      </c>
      <c r="AC295" s="4">
        <f t="shared" si="153"/>
        <v>138</v>
      </c>
      <c r="AD295" s="8">
        <f>IF($J295=0,0,ROUND(MAX($J295*1.4*1.5*1.6*1.6*2.2*2.715*2.6*1.4*1.4*1.5,12600000000*(1.652953^(MIN($E295,123)-117)))*1,0))</f>
        <v>12600000000</v>
      </c>
      <c r="AE295" s="6">
        <f t="shared" si="154"/>
        <v>141</v>
      </c>
      <c r="AF295" s="7">
        <f>IF($J295=0,0,ROUND(MAX($J295*1.4*1.5*1.6*1.6*2.2*2.715*2.6*1.4*1.4*1.5*1.5,18900000000*(1.65331^(MIN($E295,123)-117)))*1,0))</f>
        <v>18900000000</v>
      </c>
      <c r="AG295" s="4">
        <f t="shared" si="155"/>
        <v>144</v>
      </c>
      <c r="AH295" s="8">
        <f>IF($J295=0,0,ROUND(MAX($J295*1.4*1.5*1.6*1.6*2.2*2.715*2.6*1.4*1.4*1.5*1.5*3.2,60500000000*(1.654288^(MIN($E295,123)-117)))*1,0))</f>
        <v>60500000000</v>
      </c>
    </row>
    <row r="296" spans="1:34" x14ac:dyDescent="0.25">
      <c r="A296" s="3">
        <v>230</v>
      </c>
      <c r="B296" s="3" t="s">
        <v>469</v>
      </c>
      <c r="C296" s="3" t="s">
        <v>466</v>
      </c>
      <c r="D296" s="3" t="s">
        <v>29</v>
      </c>
      <c r="E296" s="3">
        <v>117</v>
      </c>
      <c r="F296" s="3" t="s">
        <v>71</v>
      </c>
      <c r="G296" s="3" t="s">
        <v>38</v>
      </c>
      <c r="H296" s="3">
        <v>30</v>
      </c>
      <c r="I296" s="4">
        <v>117</v>
      </c>
      <c r="J296" s="5">
        <v>964000</v>
      </c>
      <c r="K296" s="6">
        <f t="shared" si="144"/>
        <v>118</v>
      </c>
      <c r="L296" s="7">
        <f>IF($J296=0,0,ROUND(MAX($J296*1.4,1620000*(1.497923^(MIN($E296,123)-117)))*1,0))</f>
        <v>1620000</v>
      </c>
      <c r="M296" s="4">
        <f t="shared" si="145"/>
        <v>119</v>
      </c>
      <c r="N296" s="8">
        <f>IF($J296=0,0,ROUND(MAX($J296*1.4*1.5,2190000*(1.580994^(MIN($E296,123)-117)))*1,0))</f>
        <v>2190000</v>
      </c>
      <c r="O296" s="6">
        <f t="shared" si="146"/>
        <v>121</v>
      </c>
      <c r="P296" s="7">
        <f>IF($J296=0,0,ROUND(MAX($J296*1.4*1.5*1.6,3500000*(1.57975^(MIN($E296,123)-117)))*1,0))</f>
        <v>3500000</v>
      </c>
      <c r="Q296" s="4">
        <f t="shared" si="147"/>
        <v>123</v>
      </c>
      <c r="R296" s="8">
        <f>IF($J296=0,0,ROUND(MAX($J296*1.4*1.5*1.6*1.6,13100000*(1.429962^(MIN($E296,123)-117)))*1,0))</f>
        <v>13100000</v>
      </c>
      <c r="S296" s="6">
        <f t="shared" si="148"/>
        <v>125</v>
      </c>
      <c r="T296" s="7">
        <f>IF($J296=0,0,ROUND(MAX($J296*1.4*1.5*1.6*1.6*2.2,42600000*(1.576904^(MIN($E296,123)-117)))*1,0))</f>
        <v>42600000</v>
      </c>
      <c r="U296" s="4">
        <f t="shared" si="149"/>
        <v>128</v>
      </c>
      <c r="V296" s="8">
        <f>IF($J296=0,0,ROUND(MAX($J296*1.4*1.5*1.6*1.6*2.2*2.715,354000000*(1.642074^(MIN($E296,123)-117)))*1,0))</f>
        <v>354000000</v>
      </c>
      <c r="W296" s="6">
        <f t="shared" si="150"/>
        <v>132</v>
      </c>
      <c r="X296" s="7">
        <f>IF($J296=0,0,ROUND(MAX($J296*1.4*1.5*1.6*1.6*2.2*2.715*2.6,3540000000*(1.579646^(MIN($E296,123)-117)))*1,0))</f>
        <v>3540000000</v>
      </c>
      <c r="Y296" s="4">
        <f t="shared" si="151"/>
        <v>134</v>
      </c>
      <c r="Z296" s="8">
        <f>IF($J296=0,0,ROUND(MAX($J296*1.4*1.5*1.6*1.6*2.2*2.715*2.6*1.4,6020000000*(1.651178^(MIN($E296,123)-117)))*1,0))</f>
        <v>6020000000</v>
      </c>
      <c r="AA296" s="6">
        <f t="shared" si="152"/>
        <v>136</v>
      </c>
      <c r="AB296" s="7">
        <f>IF($J296=0,0,ROUND(MAX($J296*1.4*1.5*1.6*1.6*2.2*2.715*2.6*1.4*1.4,8430000000*(1.651435^(MIN($E296,123)-117)))*1,0))</f>
        <v>8430000000</v>
      </c>
      <c r="AC296" s="4">
        <f t="shared" si="153"/>
        <v>138</v>
      </c>
      <c r="AD296" s="8">
        <f>IF($J296=0,0,ROUND(MAX($J296*1.4*1.5*1.6*1.6*2.2*2.715*2.6*1.4*1.4*1.5,12600000000*(1.652953^(MIN($E296,123)-117)))*1,0))</f>
        <v>12600000000</v>
      </c>
      <c r="AE296" s="6">
        <f t="shared" si="154"/>
        <v>141</v>
      </c>
      <c r="AF296" s="7">
        <f>IF($J296=0,0,ROUND(MAX($J296*1.4*1.5*1.6*1.6*2.2*2.715*2.6*1.4*1.4*1.5*1.5,18900000000*(1.65331^(MIN($E296,123)-117)))*1,0))</f>
        <v>18900000000</v>
      </c>
      <c r="AG296" s="4">
        <f t="shared" si="155"/>
        <v>144</v>
      </c>
      <c r="AH296" s="8">
        <f>IF($J296=0,0,ROUND(MAX($J296*1.4*1.5*1.6*1.6*2.2*2.715*2.6*1.4*1.4*1.5*1.5*3.2,60500000000*(1.654288^(MIN($E296,123)-117)))*1,0))</f>
        <v>60500000000</v>
      </c>
    </row>
    <row r="297" spans="1:34" x14ac:dyDescent="0.25">
      <c r="A297" s="3">
        <v>229</v>
      </c>
      <c r="B297" s="3" t="s">
        <v>99</v>
      </c>
      <c r="C297" s="3" t="s">
        <v>466</v>
      </c>
      <c r="D297" s="3" t="s">
        <v>29</v>
      </c>
      <c r="E297" s="3">
        <v>117</v>
      </c>
      <c r="F297" s="3" t="s">
        <v>54</v>
      </c>
      <c r="G297" s="3" t="s">
        <v>57</v>
      </c>
      <c r="H297" s="3">
        <v>30</v>
      </c>
      <c r="I297" s="4">
        <v>117</v>
      </c>
      <c r="J297" s="5">
        <v>752000</v>
      </c>
      <c r="K297" s="6">
        <f t="shared" si="144"/>
        <v>118</v>
      </c>
      <c r="L297" s="7">
        <f>IF($J297=0,0,ROUND(MAX($J297*1.4*1,4020000*(1.354082^(MIN($E297,123)-118))),0))</f>
        <v>2968801</v>
      </c>
      <c r="M297" s="4">
        <f t="shared" si="145"/>
        <v>119</v>
      </c>
      <c r="N297" s="8">
        <f>IF($J297=0,0,ROUND(MAX($J297*1.4*1.5*1,6950000*(1.375334^(MIN($E297,123)-118))),0))</f>
        <v>5053318</v>
      </c>
      <c r="O297" s="6">
        <f t="shared" si="146"/>
        <v>121</v>
      </c>
      <c r="P297" s="7">
        <f>IF($J297=0,0,ROUND(MAX($J297*1.4*1.5*1.6*1,23900000*(1.1788^(MIN($E297,123)-118))),0))</f>
        <v>20274856</v>
      </c>
      <c r="Q297" s="4">
        <f t="shared" si="147"/>
        <v>123</v>
      </c>
      <c r="R297" s="8">
        <f>IF($J297=0,0,ROUND(MAX($J297*1.4*1.5*1.6*1.6*1.25,77000000*(1.127009^(MIN($E297,123)-118))),0))</f>
        <v>68322436</v>
      </c>
      <c r="S297" s="6">
        <f t="shared" si="148"/>
        <v>125</v>
      </c>
      <c r="T297" s="7">
        <f>IF($J297=0,0,ROUND(MAX($J297*1.4*1.5*1.6*1.6*2.2*1.25,270000000*(1.248411^(MIN($E297,123)-118))),0))</f>
        <v>216274929</v>
      </c>
      <c r="U297" s="4">
        <f t="shared" si="149"/>
        <v>128</v>
      </c>
      <c r="V297" s="8">
        <f>IF($J297=0,0,ROUND(MAX($J297*1.4*1.5*1.6*1.6*2.2*2.715*1.25,2400000000*(1.293039^(MIN($E297,123)-118))),0))</f>
        <v>1856092508</v>
      </c>
      <c r="W297" s="6">
        <f t="shared" si="150"/>
        <v>132</v>
      </c>
      <c r="X297" s="7">
        <f>IF($J297=0,0,ROUND(MAX($J297*1.4*1.5*1.6*1.6*2.2*2.715*2.6*1.25,20000000000*(1.280114^(MIN($E297,123)-118))),0))</f>
        <v>15623608522</v>
      </c>
      <c r="Y297" s="4">
        <f t="shared" si="151"/>
        <v>134</v>
      </c>
      <c r="Z297" s="8">
        <f>IF($J297=0,0,ROUND(MAX($J297*1.4*1.5*1.6*1.6*2.2*2.715*2.6*1.4*1.25,39200000000*(1.31219^(MIN($E297,123)-118))),0))</f>
        <v>29873722555</v>
      </c>
      <c r="AA297" s="6">
        <f t="shared" si="152"/>
        <v>136</v>
      </c>
      <c r="AB297" s="7">
        <f>IF($J297=0,0,ROUND(MAX($J297*1.4*1.5*1.6*1.6*2.2*2.715*2.6*1.4*1.4*1.25,54900000000*(1.312402^(MIN($E297,123)-118))),0))</f>
        <v>41831694862</v>
      </c>
      <c r="AC297" s="4">
        <f t="shared" si="153"/>
        <v>138</v>
      </c>
      <c r="AD297" s="8">
        <f>IF($J297=0,0,ROUND(MAX($J297*1.4*1.5*1.6*1.6*2.2*2.715*2.6*1.4*1.4*1.5*1.25,82400000000*(1.312754^(MIN($E297,123)-118))),0))</f>
        <v>62768805123</v>
      </c>
      <c r="AE297" s="6">
        <f t="shared" si="154"/>
        <v>141</v>
      </c>
      <c r="AF297" s="7">
        <f>IF($J297=0,0,ROUND(MAX($J297*1.4*1.5*1.6*1.6*2.2*2.715*2.6*1.4*1.4*1.5*1.5*1.25,124000000000*(1.312246^(MIN($E297,123)-118))),0))</f>
        <v>94494477407</v>
      </c>
      <c r="AG297" s="4">
        <f t="shared" si="155"/>
        <v>144</v>
      </c>
      <c r="AH297" s="8">
        <f>IF($J297=0,0,ROUND(MAX($J297*1.4*1.5*1.6*1.6*2.2*2.715*2.6*1.4*1.4*1.5*1.5*3.2*1.25,397000000000*(1.313132^(MIN($E297,123)-118))),0))</f>
        <v>302330611089</v>
      </c>
    </row>
    <row r="298" spans="1:34" x14ac:dyDescent="0.25">
      <c r="A298" s="3">
        <v>228</v>
      </c>
      <c r="B298" s="3" t="s">
        <v>161</v>
      </c>
      <c r="C298" s="3" t="s">
        <v>466</v>
      </c>
      <c r="D298" s="3" t="s">
        <v>79</v>
      </c>
      <c r="E298" s="3">
        <v>117</v>
      </c>
      <c r="F298" s="3" t="s">
        <v>54</v>
      </c>
      <c r="G298" s="3" t="s">
        <v>35</v>
      </c>
      <c r="H298" s="3">
        <v>30</v>
      </c>
      <c r="I298" s="4">
        <v>117</v>
      </c>
      <c r="J298" s="5">
        <v>971000</v>
      </c>
      <c r="K298" s="6">
        <f t="shared" si="144"/>
        <v>118</v>
      </c>
      <c r="L298" s="7">
        <f>IF($J298=0,0,ROUND(MAX($J298*1.4*1,4020000*(1.354082^(MIN($E298,123)-118))),0))</f>
        <v>2968801</v>
      </c>
      <c r="M298" s="4">
        <f t="shared" si="145"/>
        <v>119</v>
      </c>
      <c r="N298" s="8">
        <f>IF($J298=0,0,ROUND(MAX($J298*1.4*1.5*1,6950000*(1.375334^(MIN($E298,123)-118))),0))</f>
        <v>5053318</v>
      </c>
      <c r="O298" s="6">
        <f t="shared" si="146"/>
        <v>121</v>
      </c>
      <c r="P298" s="7">
        <f>IF($J298=0,0,ROUND(MAX($J298*1.4*1.5*1.6*1,23900000*(1.1788^(MIN($E298,123)-118))),0))</f>
        <v>20274856</v>
      </c>
      <c r="Q298" s="4">
        <f t="shared" si="147"/>
        <v>123</v>
      </c>
      <c r="R298" s="8">
        <f>IF($J298=0,0,ROUND(MAX($J298*1.4*1.5*1.6*1.6*1.25,77000000*(1.127009^(MIN($E298,123)-118))),0))</f>
        <v>68322436</v>
      </c>
      <c r="S298" s="6">
        <f t="shared" si="148"/>
        <v>125</v>
      </c>
      <c r="T298" s="7">
        <f>IF($J298=0,0,ROUND(MAX($J298*1.4*1.5*1.6*1.6*2.2*1.25,270000000*(1.248411^(MIN($E298,123)-118))),0))</f>
        <v>216274929</v>
      </c>
      <c r="U298" s="4">
        <f t="shared" si="149"/>
        <v>128</v>
      </c>
      <c r="V298" s="8">
        <f>IF($J298=0,0,ROUND(MAX($J298*1.4*1.5*1.6*1.6*2.2*2.715*1.25,2400000000*(1.293039^(MIN($E298,123)-118))),0))</f>
        <v>1856092508</v>
      </c>
      <c r="W298" s="6">
        <f t="shared" si="150"/>
        <v>132</v>
      </c>
      <c r="X298" s="7">
        <f>IF($J298=0,0,ROUND(MAX($J298*1.4*1.5*1.6*1.6*2.2*2.715*2.6*1.25,20000000000*(1.280114^(MIN($E298,123)-118))),0))</f>
        <v>15623608522</v>
      </c>
      <c r="Y298" s="4">
        <f t="shared" si="151"/>
        <v>134</v>
      </c>
      <c r="Z298" s="8">
        <f>IF($J298=0,0,ROUND(MAX($J298*1.4*1.5*1.6*1.6*2.2*2.715*2.6*1.4*1.25,39200000000*(1.31219^(MIN($E298,123)-118))),0))</f>
        <v>29873722555</v>
      </c>
      <c r="AA298" s="6">
        <f t="shared" si="152"/>
        <v>136</v>
      </c>
      <c r="AB298" s="7">
        <f>IF($J298=0,0,ROUND(MAX($J298*1.4*1.5*1.6*1.6*2.2*2.715*2.6*1.4*1.4*1.25,54900000000*(1.312402^(MIN($E298,123)-118))),0))</f>
        <v>41831694862</v>
      </c>
      <c r="AC298" s="4">
        <f t="shared" si="153"/>
        <v>138</v>
      </c>
      <c r="AD298" s="8">
        <f>IF($J298=0,0,ROUND(MAX($J298*1.4*1.5*1.6*1.6*2.2*2.715*2.6*1.4*1.4*1.5*1.25,82400000000*(1.312754^(MIN($E298,123)-118))),0))</f>
        <v>62768805123</v>
      </c>
      <c r="AE298" s="6">
        <f t="shared" si="154"/>
        <v>141</v>
      </c>
      <c r="AF298" s="7">
        <f>IF($J298=0,0,ROUND(MAX($J298*1.4*1.5*1.6*1.6*2.2*2.715*2.6*1.4*1.4*1.5*1.5*1.25,124000000000*(1.312246^(MIN($E298,123)-118))),0))</f>
        <v>94494477407</v>
      </c>
      <c r="AG298" s="4">
        <f t="shared" si="155"/>
        <v>144</v>
      </c>
      <c r="AH298" s="8">
        <f>IF($J298=0,0,ROUND(MAX($J298*1.4*1.5*1.6*1.6*2.2*2.715*2.6*1.4*1.4*1.5*1.5*3.2*1.25,397000000000*(1.313132^(MIN($E298,123)-118))),0))</f>
        <v>302330611089</v>
      </c>
    </row>
    <row r="299" spans="1:34" x14ac:dyDescent="0.25">
      <c r="A299" s="3">
        <v>231</v>
      </c>
      <c r="B299" s="3" t="s">
        <v>347</v>
      </c>
      <c r="C299" s="3" t="s">
        <v>466</v>
      </c>
      <c r="D299" s="3" t="s">
        <v>79</v>
      </c>
      <c r="E299" s="3">
        <v>117</v>
      </c>
      <c r="F299" s="3" t="s">
        <v>123</v>
      </c>
      <c r="G299" s="3" t="s">
        <v>470</v>
      </c>
      <c r="H299" s="3">
        <v>30</v>
      </c>
      <c r="I299" s="4">
        <v>117</v>
      </c>
      <c r="J299" s="5">
        <v>797000</v>
      </c>
      <c r="K299" s="6">
        <f t="shared" si="144"/>
        <v>118</v>
      </c>
      <c r="L299" s="7">
        <f>IF($J299=0,0,ROUND(MAX($J299*1.4*1,4020000*(1.354082^(MIN($E299,123)-118))),0))</f>
        <v>2968801</v>
      </c>
      <c r="M299" s="4">
        <f t="shared" si="145"/>
        <v>119</v>
      </c>
      <c r="N299" s="8">
        <f>IF($J299=0,0,ROUND(MAX($J299*1.4*1.5*1,6950000*(1.375334^(MIN($E299,123)-118))),0))</f>
        <v>5053318</v>
      </c>
      <c r="O299" s="6">
        <f t="shared" si="146"/>
        <v>121</v>
      </c>
      <c r="P299" s="7">
        <f>IF($J299=0,0,ROUND(MAX($J299*1.4*1.5*1.6*1,23900000*(1.1788^(MIN($E299,123)-118))),0))</f>
        <v>20274856</v>
      </c>
      <c r="Q299" s="4">
        <f t="shared" si="147"/>
        <v>123</v>
      </c>
      <c r="R299" s="8">
        <f>IF($J299=0,0,ROUND(MAX($J299*1.4*1.5*1.6*1.6*1.25,77000000*(1.127009^(MIN($E299,123)-118))),0))</f>
        <v>68322436</v>
      </c>
      <c r="S299" s="6">
        <f t="shared" si="148"/>
        <v>125</v>
      </c>
      <c r="T299" s="7">
        <f>IF($J299=0,0,ROUND(MAX($J299*1.4*1.5*1.6*1.6*2.2*1.25,270000000*(1.248411^(MIN($E299,123)-118))),0))</f>
        <v>216274929</v>
      </c>
      <c r="U299" s="4">
        <f t="shared" si="149"/>
        <v>128</v>
      </c>
      <c r="V299" s="8">
        <f>IF($J299=0,0,ROUND(MAX($J299*1.4*1.5*1.6*1.6*2.2*2.715*1.25,2400000000*(1.293039^(MIN($E299,123)-118))),0))</f>
        <v>1856092508</v>
      </c>
      <c r="W299" s="6">
        <f t="shared" si="150"/>
        <v>132</v>
      </c>
      <c r="X299" s="7">
        <f>IF($J299=0,0,ROUND(MAX($J299*1.4*1.5*1.6*1.6*2.2*2.715*2.6*1.25,20000000000*(1.280114^(MIN($E299,123)-118))),0))</f>
        <v>15623608522</v>
      </c>
      <c r="Y299" s="4">
        <f t="shared" si="151"/>
        <v>134</v>
      </c>
      <c r="Z299" s="8">
        <f>IF($J299=0,0,ROUND(MAX($J299*1.4*1.5*1.6*1.6*2.2*2.715*2.6*1.4*1.25,39200000000*(1.31219^(MIN($E299,123)-118))),0))</f>
        <v>29873722555</v>
      </c>
      <c r="AA299" s="6">
        <f t="shared" si="152"/>
        <v>136</v>
      </c>
      <c r="AB299" s="7">
        <f>IF($J299=0,0,ROUND(MAX($J299*1.4*1.5*1.6*1.6*2.2*2.715*2.6*1.4*1.4*1.25,54900000000*(1.312402^(MIN($E299,123)-118))),0))</f>
        <v>41831694862</v>
      </c>
      <c r="AC299" s="4">
        <f t="shared" si="153"/>
        <v>138</v>
      </c>
      <c r="AD299" s="8">
        <f>IF($J299=0,0,ROUND(MAX($J299*1.4*1.5*1.6*1.6*2.2*2.715*2.6*1.4*1.4*1.5*1.25,82400000000*(1.312754^(MIN($E299,123)-118))),0))</f>
        <v>62768805123</v>
      </c>
      <c r="AE299" s="6">
        <f t="shared" si="154"/>
        <v>141</v>
      </c>
      <c r="AF299" s="7">
        <f>IF($J299=0,0,ROUND(MAX($J299*1.4*1.5*1.6*1.6*2.2*2.715*2.6*1.4*1.4*1.5*1.5*1.25,124000000000*(1.312246^(MIN($E299,123)-118))),0))</f>
        <v>94494477407</v>
      </c>
      <c r="AG299" s="4">
        <f t="shared" si="155"/>
        <v>144</v>
      </c>
      <c r="AH299" s="8">
        <f>IF($J299=0,0,ROUND(MAX($J299*1.4*1.5*1.6*1.6*2.2*2.715*2.6*1.4*1.4*1.5*1.5*3.2*1.25,397000000000*(1.313132^(MIN($E299,123)-118))),0))</f>
        <v>302330611089</v>
      </c>
    </row>
    <row r="300" spans="1:34" x14ac:dyDescent="0.25">
      <c r="A300" s="3">
        <v>212</v>
      </c>
      <c r="B300" s="3" t="s">
        <v>73</v>
      </c>
      <c r="C300" s="3" t="s">
        <v>466</v>
      </c>
      <c r="D300" s="3" t="s">
        <v>64</v>
      </c>
      <c r="E300" s="3">
        <v>117</v>
      </c>
      <c r="F300" s="3" t="s">
        <v>30</v>
      </c>
      <c r="G300" s="3" t="s">
        <v>69</v>
      </c>
      <c r="H300" s="3">
        <v>30</v>
      </c>
      <c r="I300" s="4">
        <v>117</v>
      </c>
      <c r="J300" s="5">
        <v>992000</v>
      </c>
      <c r="K300" s="6">
        <f t="shared" si="144"/>
        <v>118</v>
      </c>
      <c r="L300" s="7">
        <f>IF($J300=0,0,ROUND(MAX($J300*1.4*1,4020000*(1.354082^(MIN($E300,123)-118))),0))</f>
        <v>2968801</v>
      </c>
      <c r="M300" s="4">
        <f t="shared" si="145"/>
        <v>119</v>
      </c>
      <c r="N300" s="8">
        <f>IF($J300=0,0,ROUND(MAX($J300*1.4*1.5*1,6950000*(1.375334^(MIN($E300,123)-118))),0))</f>
        <v>5053318</v>
      </c>
      <c r="O300" s="6">
        <f t="shared" si="146"/>
        <v>121</v>
      </c>
      <c r="P300" s="7">
        <f>IF($J300=0,0,ROUND(MAX($J300*1.4*1.5*1.6*1,23900000*(1.1788^(MIN($E300,123)-118))),0))</f>
        <v>20274856</v>
      </c>
      <c r="Q300" s="4">
        <f t="shared" si="147"/>
        <v>123</v>
      </c>
      <c r="R300" s="8">
        <f>IF($J300=0,0,ROUND(MAX($J300*1.4*1.5*1.6*1.6*1.25,77000000*(1.127009^(MIN($E300,123)-118))),0))</f>
        <v>68322436</v>
      </c>
      <c r="S300" s="6">
        <f t="shared" si="148"/>
        <v>125</v>
      </c>
      <c r="T300" s="7">
        <f>IF($J300=0,0,ROUND(MAX($J300*1.4*1.5*1.6*1.6*2.2*1.25,270000000*(1.248411^(MIN($E300,123)-118))),0))</f>
        <v>216274929</v>
      </c>
      <c r="U300" s="4">
        <f t="shared" si="149"/>
        <v>128</v>
      </c>
      <c r="V300" s="8">
        <f>IF($J300=0,0,ROUND(MAX($J300*1.4*1.5*1.6*1.6*2.2*2.715*1.25,2400000000*(1.293039^(MIN($E300,123)-118))),0))</f>
        <v>1856092508</v>
      </c>
      <c r="W300" s="6">
        <f t="shared" si="150"/>
        <v>132</v>
      </c>
      <c r="X300" s="7">
        <f>IF($J300=0,0,ROUND(MAX($J300*1.4*1.5*1.6*1.6*2.2*2.715*2.6*1.25,20000000000*(1.280114^(MIN($E300,123)-118))),0))</f>
        <v>15623608522</v>
      </c>
      <c r="Y300" s="4">
        <f t="shared" si="151"/>
        <v>134</v>
      </c>
      <c r="Z300" s="8">
        <f>IF($J300=0,0,ROUND(MAX($J300*1.4*1.5*1.6*1.6*2.2*2.715*2.6*1.4*1.25,39200000000*(1.31219^(MIN($E300,123)-118))),0))</f>
        <v>29873722555</v>
      </c>
      <c r="AA300" s="6">
        <f t="shared" si="152"/>
        <v>136</v>
      </c>
      <c r="AB300" s="7">
        <f>IF($J300=0,0,ROUND(MAX($J300*1.4*1.5*1.6*1.6*2.2*2.715*2.6*1.4*1.4*1.25,54900000000*(1.312402^(MIN($E300,123)-118))),0))</f>
        <v>41831694862</v>
      </c>
      <c r="AC300" s="4">
        <f t="shared" si="153"/>
        <v>138</v>
      </c>
      <c r="AD300" s="8">
        <f>IF($J300=0,0,ROUND(MAX($J300*1.4*1.5*1.6*1.6*2.2*2.715*2.6*1.4*1.4*1.5*1.25,82400000000*(1.312754^(MIN($E300,123)-118))),0))</f>
        <v>62768805123</v>
      </c>
      <c r="AE300" s="6">
        <f t="shared" si="154"/>
        <v>141</v>
      </c>
      <c r="AF300" s="7">
        <f>IF($J300=0,0,ROUND(MAX($J300*1.4*1.5*1.6*1.6*2.2*2.715*2.6*1.4*1.4*1.5*1.5*1.25,124000000000*(1.312246^(MIN($E300,123)-118))),0))</f>
        <v>94494477407</v>
      </c>
      <c r="AG300" s="4">
        <f t="shared" si="155"/>
        <v>144</v>
      </c>
      <c r="AH300" s="8">
        <f>IF($J300=0,0,ROUND(MAX($J300*1.4*1.5*1.6*1.6*2.2*2.715*2.6*1.4*1.4*1.5*1.5*3.2*1.25,397000000000*(1.313132^(MIN($E300,123)-118))),0))</f>
        <v>302330611089</v>
      </c>
    </row>
    <row r="301" spans="1:34" x14ac:dyDescent="0.25">
      <c r="A301" s="3">
        <v>225</v>
      </c>
      <c r="B301" s="3" t="s">
        <v>135</v>
      </c>
      <c r="C301" s="3" t="s">
        <v>466</v>
      </c>
      <c r="D301" s="3" t="s">
        <v>29</v>
      </c>
      <c r="E301" s="3">
        <v>117</v>
      </c>
      <c r="F301" s="3" t="s">
        <v>136</v>
      </c>
      <c r="G301" s="3" t="s">
        <v>133</v>
      </c>
      <c r="H301" s="3">
        <v>29</v>
      </c>
      <c r="I301" s="4">
        <v>117</v>
      </c>
      <c r="J301" s="5">
        <v>990000</v>
      </c>
      <c r="K301" s="6">
        <f t="shared" si="144"/>
        <v>118</v>
      </c>
      <c r="L301" s="7">
        <f>IF($J301=0,0,ROUND(MAX($J301*1.4,1620000*(1.497923^(MIN($E301,123)-117)))*1,0))</f>
        <v>1620000</v>
      </c>
      <c r="M301" s="4">
        <f t="shared" si="145"/>
        <v>119</v>
      </c>
      <c r="N301" s="8">
        <f>IF($J301=0,0,ROUND(MAX($J301*1.4*1.5,2190000*(1.580994^(MIN($E301,123)-117)))*1,0))</f>
        <v>2190000</v>
      </c>
      <c r="O301" s="6">
        <f t="shared" si="146"/>
        <v>121</v>
      </c>
      <c r="P301" s="7">
        <f>IF($J301=0,0,ROUND(MAX($J301*1.4*1.5*1.6,3500000*(1.57975^(MIN($E301,123)-117)))*1,0))</f>
        <v>3500000</v>
      </c>
      <c r="Q301" s="4">
        <f t="shared" si="147"/>
        <v>123</v>
      </c>
      <c r="R301" s="8">
        <f>IF($J301=0,0,ROUND(MAX($J301*1.4*1.5*1.6*1.6,13100000*(1.429962^(MIN($E301,123)-117)))*1,0))</f>
        <v>13100000</v>
      </c>
      <c r="S301" s="6">
        <f t="shared" si="148"/>
        <v>125</v>
      </c>
      <c r="T301" s="7">
        <f>IF($J301=0,0,ROUND(MAX($J301*1.4*1.5*1.6*1.6*2.2,42600000*(1.576904^(MIN($E301,123)-117)))*1,0))</f>
        <v>42600000</v>
      </c>
      <c r="U301" s="4">
        <f t="shared" si="149"/>
        <v>128</v>
      </c>
      <c r="V301" s="8">
        <f>IF($J301=0,0,ROUND(MAX($J301*1.4*1.5*1.6*1.6*2.2*2.715,354000000*(1.642074^(MIN($E301,123)-117)))*1,0))</f>
        <v>354000000</v>
      </c>
      <c r="W301" s="6">
        <f t="shared" si="150"/>
        <v>132</v>
      </c>
      <c r="X301" s="7">
        <f>IF($J301=0,0,ROUND(MAX($J301*1.4*1.5*1.6*1.6*2.2*2.715*2.6,3540000000*(1.579646^(MIN($E301,123)-117)))*1,0))</f>
        <v>3540000000</v>
      </c>
      <c r="Y301" s="4">
        <f t="shared" si="151"/>
        <v>134</v>
      </c>
      <c r="Z301" s="8">
        <f>IF($J301=0,0,ROUND(MAX($J301*1.4*1.5*1.6*1.6*2.2*2.715*2.6*1.4,6020000000*(1.651178^(MIN($E301,123)-117)))*1,0))</f>
        <v>6020000000</v>
      </c>
      <c r="AA301" s="6">
        <f t="shared" si="152"/>
        <v>136</v>
      </c>
      <c r="AB301" s="7">
        <f>IF($J301=0,0,ROUND(MAX($J301*1.4*1.5*1.6*1.6*2.2*2.715*2.6*1.4*1.4,8430000000*(1.651435^(MIN($E301,123)-117)))*1,0))</f>
        <v>8430000000</v>
      </c>
      <c r="AC301" s="4">
        <f t="shared" si="153"/>
        <v>138</v>
      </c>
      <c r="AD301" s="8">
        <f>IF($J301=0,0,ROUND(MAX($J301*1.4*1.5*1.6*1.6*2.2*2.715*2.6*1.4*1.4*1.5,12600000000*(1.652953^(MIN($E301,123)-117)))*1,0))</f>
        <v>12600000000</v>
      </c>
      <c r="AE301" s="6">
        <f t="shared" si="154"/>
        <v>141</v>
      </c>
      <c r="AF301" s="7">
        <f>IF($J301=0,0,ROUND(MAX($J301*1.4*1.5*1.6*1.6*2.2*2.715*2.6*1.4*1.4*1.5*1.5,18900000000*(1.65331^(MIN($E301,123)-117)))*1,0))</f>
        <v>18900000000</v>
      </c>
      <c r="AG301" s="4">
        <f t="shared" si="155"/>
        <v>144</v>
      </c>
      <c r="AH301" s="8">
        <f>IF($J301=0,0,ROUND(MAX($J301*1.4*1.5*1.6*1.6*2.2*2.715*2.6*1.4*1.4*1.5*1.5*3.2,60500000000*(1.654288^(MIN($E301,123)-117)))*1,0))</f>
        <v>60500000000</v>
      </c>
    </row>
    <row r="302" spans="1:34" x14ac:dyDescent="0.25">
      <c r="A302" s="3">
        <v>220</v>
      </c>
      <c r="B302" s="3" t="s">
        <v>471</v>
      </c>
      <c r="C302" s="3" t="s">
        <v>466</v>
      </c>
      <c r="D302" s="3" t="s">
        <v>102</v>
      </c>
      <c r="E302" s="3">
        <v>117</v>
      </c>
      <c r="F302" s="3" t="s">
        <v>54</v>
      </c>
      <c r="G302" s="3" t="s">
        <v>472</v>
      </c>
      <c r="H302" s="3">
        <v>28</v>
      </c>
      <c r="I302" s="4">
        <v>117</v>
      </c>
      <c r="J302" s="5">
        <v>1005000</v>
      </c>
      <c r="K302" s="6">
        <f t="shared" si="144"/>
        <v>118</v>
      </c>
      <c r="L302" s="7">
        <f>IF($J302=0,0,ROUND(MAX($J302*1.4*1,4020000*(1.354082^(MIN($E302,123)-118))),0))</f>
        <v>2968801</v>
      </c>
      <c r="M302" s="4">
        <f t="shared" si="145"/>
        <v>119</v>
      </c>
      <c r="N302" s="8">
        <f>IF($J302=0,0,ROUND(MAX($J302*1.4*1.5*1,6950000*(1.375334^(MIN($E302,123)-118))),0))</f>
        <v>5053318</v>
      </c>
      <c r="O302" s="6">
        <f t="shared" si="146"/>
        <v>121</v>
      </c>
      <c r="P302" s="7">
        <f>IF($J302=0,0,ROUND(MAX($J302*1.4*1.5*1.6*1,23900000*(1.1788^(MIN($E302,123)-118))),0))</f>
        <v>20274856</v>
      </c>
      <c r="Q302" s="4">
        <f t="shared" si="147"/>
        <v>123</v>
      </c>
      <c r="R302" s="8">
        <f>IF($J302=0,0,ROUND(MAX($J302*1.4*1.5*1.6*1.6*1.25,77000000*(1.127009^(MIN($E302,123)-118))),0))</f>
        <v>68322436</v>
      </c>
      <c r="S302" s="6">
        <f t="shared" si="148"/>
        <v>125</v>
      </c>
      <c r="T302" s="7">
        <f>IF($J302=0,0,ROUND(MAX($J302*1.4*1.5*1.6*1.6*2.2*1.25,270000000*(1.248411^(MIN($E302,123)-118))),0))</f>
        <v>216274929</v>
      </c>
      <c r="U302" s="4">
        <f t="shared" si="149"/>
        <v>128</v>
      </c>
      <c r="V302" s="8">
        <f>IF($J302=0,0,ROUND(MAX($J302*1.4*1.5*1.6*1.6*2.2*2.715*1.25,2400000000*(1.293039^(MIN($E302,123)-118))),0))</f>
        <v>1856092508</v>
      </c>
      <c r="W302" s="6">
        <f t="shared" si="150"/>
        <v>132</v>
      </c>
      <c r="X302" s="7">
        <f>IF($J302=0,0,ROUND(MAX($J302*1.4*1.5*1.6*1.6*2.2*2.715*2.6*1.25,20000000000*(1.280114^(MIN($E302,123)-118))),0))</f>
        <v>15623608522</v>
      </c>
      <c r="Y302" s="4">
        <f t="shared" si="151"/>
        <v>134</v>
      </c>
      <c r="Z302" s="8">
        <f>IF($J302=0,0,ROUND(MAX($J302*1.4*1.5*1.6*1.6*2.2*2.715*2.6*1.4*1.25,39200000000*(1.31219^(MIN($E302,123)-118))),0))</f>
        <v>29873722555</v>
      </c>
      <c r="AA302" s="6">
        <f t="shared" si="152"/>
        <v>136</v>
      </c>
      <c r="AB302" s="7">
        <f>IF($J302=0,0,ROUND(MAX($J302*1.4*1.5*1.6*1.6*2.2*2.715*2.6*1.4*1.4*1.25,54900000000*(1.312402^(MIN($E302,123)-118))),0))</f>
        <v>41831694862</v>
      </c>
      <c r="AC302" s="4">
        <f t="shared" si="153"/>
        <v>138</v>
      </c>
      <c r="AD302" s="8">
        <f>IF($J302=0,0,ROUND(MAX($J302*1.4*1.5*1.6*1.6*2.2*2.715*2.6*1.4*1.4*1.5*1.25,82400000000*(1.312754^(MIN($E302,123)-118))),0))</f>
        <v>62768805123</v>
      </c>
      <c r="AE302" s="6">
        <f t="shared" si="154"/>
        <v>141</v>
      </c>
      <c r="AF302" s="7">
        <f>IF($J302=0,0,ROUND(MAX($J302*1.4*1.5*1.6*1.6*2.2*2.715*2.6*1.4*1.4*1.5*1.5*1.25,124000000000*(1.312246^(MIN($E302,123)-118))),0))</f>
        <v>94494477407</v>
      </c>
      <c r="AG302" s="4">
        <f t="shared" si="155"/>
        <v>144</v>
      </c>
      <c r="AH302" s="8">
        <f>IF($J302=0,0,ROUND(MAX($J302*1.4*1.5*1.6*1.6*2.2*2.715*2.6*1.4*1.4*1.5*1.5*3.2*1.25,397000000000*(1.313132^(MIN($E302,123)-118))),0))</f>
        <v>302330611089</v>
      </c>
    </row>
    <row r="303" spans="1:34" x14ac:dyDescent="0.25">
      <c r="A303" s="3">
        <v>222</v>
      </c>
      <c r="B303" s="3" t="s">
        <v>473</v>
      </c>
      <c r="C303" s="3" t="s">
        <v>466</v>
      </c>
      <c r="D303" s="3" t="s">
        <v>25</v>
      </c>
      <c r="E303" s="3">
        <v>117</v>
      </c>
      <c r="F303" s="3" t="s">
        <v>123</v>
      </c>
      <c r="G303" s="3" t="s">
        <v>57</v>
      </c>
      <c r="H303" s="3">
        <v>29</v>
      </c>
      <c r="I303" s="4">
        <v>117</v>
      </c>
      <c r="J303" s="5">
        <v>992000</v>
      </c>
      <c r="K303" s="6">
        <f t="shared" si="144"/>
        <v>118</v>
      </c>
      <c r="L303" s="7">
        <f>IF($J303=0,0,ROUND(MAX($J303*1.4,1620000*(1.497923^(MIN($E303,123)-117)))*1,0))</f>
        <v>1620000</v>
      </c>
      <c r="M303" s="4">
        <f t="shared" si="145"/>
        <v>119</v>
      </c>
      <c r="N303" s="8">
        <f>IF($J303=0,0,ROUND(MAX($J303*1.4*1.5,2190000*(1.580994^(MIN($E303,123)-117)))*1,0))</f>
        <v>2190000</v>
      </c>
      <c r="O303" s="6">
        <f t="shared" si="146"/>
        <v>121</v>
      </c>
      <c r="P303" s="7">
        <f>IF($J303=0,0,ROUND(MAX($J303*1.4*1.5*1.6,3500000*(1.57975^(MIN($E303,123)-117)))*1,0))</f>
        <v>3500000</v>
      </c>
      <c r="Q303" s="4">
        <f t="shared" si="147"/>
        <v>123</v>
      </c>
      <c r="R303" s="8">
        <f>IF($J303=0,0,ROUND(MAX($J303*1.4*1.5*1.6*1.6,13100000*(1.429962^(MIN($E303,123)-117)))*1,0))</f>
        <v>13100000</v>
      </c>
      <c r="S303" s="6">
        <f t="shared" si="148"/>
        <v>125</v>
      </c>
      <c r="T303" s="7">
        <f>IF($J303=0,0,ROUND(MAX($J303*1.4*1.5*1.6*1.6*2.2,42600000*(1.576904^(MIN($E303,123)-117)))*1,0))</f>
        <v>42600000</v>
      </c>
      <c r="U303" s="4">
        <f t="shared" si="149"/>
        <v>128</v>
      </c>
      <c r="V303" s="8">
        <f>IF($J303=0,0,ROUND(MAX($J303*1.4*1.5*1.6*1.6*2.2*2.715,354000000*(1.642074^(MIN($E303,123)-117)))*1,0))</f>
        <v>354000000</v>
      </c>
      <c r="W303" s="6">
        <f t="shared" si="150"/>
        <v>132</v>
      </c>
      <c r="X303" s="7">
        <f>IF($J303=0,0,ROUND(MAX($J303*1.4*1.5*1.6*1.6*2.2*2.715*2.6,3540000000*(1.579646^(MIN($E303,123)-117)))*1,0))</f>
        <v>3540000000</v>
      </c>
      <c r="Y303" s="4">
        <f t="shared" si="151"/>
        <v>134</v>
      </c>
      <c r="Z303" s="8">
        <f>IF($J303=0,0,ROUND(MAX($J303*1.4*1.5*1.6*1.6*2.2*2.715*2.6*1.4,6020000000*(1.651178^(MIN($E303,123)-117)))*1,0))</f>
        <v>6020000000</v>
      </c>
      <c r="AA303" s="6">
        <f t="shared" si="152"/>
        <v>136</v>
      </c>
      <c r="AB303" s="7">
        <f>IF($J303=0,0,ROUND(MAX($J303*1.4*1.5*1.6*1.6*2.2*2.715*2.6*1.4*1.4,8430000000*(1.651435^(MIN($E303,123)-117)))*1,0))</f>
        <v>8430000000</v>
      </c>
      <c r="AC303" s="4">
        <f t="shared" si="153"/>
        <v>138</v>
      </c>
      <c r="AD303" s="8">
        <f>IF($J303=0,0,ROUND(MAX($J303*1.4*1.5*1.6*1.6*2.2*2.715*2.6*1.4*1.4*1.5,12600000000*(1.652953^(MIN($E303,123)-117)))*1,0))</f>
        <v>12600000000</v>
      </c>
      <c r="AE303" s="6">
        <f t="shared" si="154"/>
        <v>141</v>
      </c>
      <c r="AF303" s="7">
        <f>IF($J303=0,0,ROUND(MAX($J303*1.4*1.5*1.6*1.6*2.2*2.715*2.6*1.4*1.4*1.5*1.5,18900000000*(1.65331^(MIN($E303,123)-117)))*1,0))</f>
        <v>18900000000</v>
      </c>
      <c r="AG303" s="4">
        <f t="shared" si="155"/>
        <v>144</v>
      </c>
      <c r="AH303" s="8">
        <f>IF($J303=0,0,ROUND(MAX($J303*1.4*1.5*1.6*1.6*2.2*2.715*2.6*1.4*1.4*1.5*1.5*3.2,60500000000*(1.654288^(MIN($E303,123)-117)))*1,0))</f>
        <v>60500000000</v>
      </c>
    </row>
    <row r="304" spans="1:34" x14ac:dyDescent="0.25">
      <c r="A304" s="3">
        <v>226</v>
      </c>
      <c r="B304" s="3" t="s">
        <v>207</v>
      </c>
      <c r="C304" s="3" t="s">
        <v>466</v>
      </c>
      <c r="D304" s="3" t="s">
        <v>165</v>
      </c>
      <c r="E304" s="3">
        <v>117</v>
      </c>
      <c r="F304" s="3" t="s">
        <v>54</v>
      </c>
      <c r="G304" s="3" t="s">
        <v>95</v>
      </c>
      <c r="H304" s="3">
        <v>30</v>
      </c>
      <c r="I304" s="4">
        <v>117</v>
      </c>
      <c r="J304" s="5">
        <v>990000</v>
      </c>
      <c r="K304" s="6">
        <f t="shared" si="144"/>
        <v>118</v>
      </c>
      <c r="L304" s="7">
        <f>IF($J304=0,0,ROUND(MAX($J304*1.4,1620000*(1.497923^(MIN($E304,123)-117)))*1,0))</f>
        <v>1620000</v>
      </c>
      <c r="M304" s="4">
        <f t="shared" si="145"/>
        <v>119</v>
      </c>
      <c r="N304" s="8">
        <f>IF($J304=0,0,ROUND(MAX($J304*1.4*1.5,2190000*(1.580994^(MIN($E304,123)-117)))*1,0))</f>
        <v>2190000</v>
      </c>
      <c r="O304" s="6">
        <f t="shared" si="146"/>
        <v>121</v>
      </c>
      <c r="P304" s="7">
        <f>IF($J304=0,0,ROUND(MAX($J304*1.4*1.5*1.6,3500000*(1.57975^(MIN($E304,123)-117)))*1,0))</f>
        <v>3500000</v>
      </c>
      <c r="Q304" s="4">
        <f t="shared" si="147"/>
        <v>123</v>
      </c>
      <c r="R304" s="8">
        <f>IF($J304=0,0,ROUND(MAX($J304*1.4*1.5*1.6*1.6,13100000*(1.429962^(MIN($E304,123)-117)))*1,0))</f>
        <v>13100000</v>
      </c>
      <c r="S304" s="6">
        <f t="shared" si="148"/>
        <v>125</v>
      </c>
      <c r="T304" s="7">
        <f>IF($J304=0,0,ROUND(MAX($J304*1.4*1.5*1.6*1.6*2.2,42600000*(1.576904^(MIN($E304,123)-117)))*1,0))</f>
        <v>42600000</v>
      </c>
      <c r="U304" s="4">
        <f t="shared" si="149"/>
        <v>128</v>
      </c>
      <c r="V304" s="8">
        <f>IF($J304=0,0,ROUND(MAX($J304*1.4*1.5*1.6*1.6*2.2*2.715,354000000*(1.642074^(MIN($E304,123)-117)))*1,0))</f>
        <v>354000000</v>
      </c>
      <c r="W304" s="6">
        <f t="shared" si="150"/>
        <v>132</v>
      </c>
      <c r="X304" s="7">
        <f>IF($J304=0,0,ROUND(MAX($J304*1.4*1.5*1.6*1.6*2.2*2.715*2.6,3540000000*(1.579646^(MIN($E304,123)-117)))*1,0))</f>
        <v>3540000000</v>
      </c>
      <c r="Y304" s="4">
        <f t="shared" si="151"/>
        <v>134</v>
      </c>
      <c r="Z304" s="8">
        <f>IF($J304=0,0,ROUND(MAX($J304*1.4*1.5*1.6*1.6*2.2*2.715*2.6*1.4,6020000000*(1.651178^(MIN($E304,123)-117)))*1,0))</f>
        <v>6020000000</v>
      </c>
      <c r="AA304" s="6">
        <f t="shared" si="152"/>
        <v>136</v>
      </c>
      <c r="AB304" s="7">
        <f>IF($J304=0,0,ROUND(MAX($J304*1.4*1.5*1.6*1.6*2.2*2.715*2.6*1.4*1.4,8430000000*(1.651435^(MIN($E304,123)-117)))*1,0))</f>
        <v>8430000000</v>
      </c>
      <c r="AC304" s="4">
        <f t="shared" si="153"/>
        <v>138</v>
      </c>
      <c r="AD304" s="8">
        <f>IF($J304=0,0,ROUND(MAX($J304*1.4*1.5*1.6*1.6*2.2*2.715*2.6*1.4*1.4*1.5,12600000000*(1.652953^(MIN($E304,123)-117)))*1,0))</f>
        <v>12600000000</v>
      </c>
      <c r="AE304" s="6">
        <f t="shared" si="154"/>
        <v>141</v>
      </c>
      <c r="AF304" s="7">
        <f>IF($J304=0,0,ROUND(MAX($J304*1.4*1.5*1.6*1.6*2.2*2.715*2.6*1.4*1.4*1.5*1.5,18900000000*(1.65331^(MIN($E304,123)-117)))*1,0))</f>
        <v>18900000000</v>
      </c>
      <c r="AG304" s="4">
        <f t="shared" si="155"/>
        <v>144</v>
      </c>
      <c r="AH304" s="8">
        <f>IF($J304=0,0,ROUND(MAX($J304*1.4*1.5*1.6*1.6*2.2*2.715*2.6*1.4*1.4*1.5*1.5*3.2,60500000000*(1.654288^(MIN($E304,123)-117)))*1,0))</f>
        <v>60500000000</v>
      </c>
    </row>
    <row r="305" spans="1:34" x14ac:dyDescent="0.25">
      <c r="A305" s="3">
        <v>223</v>
      </c>
      <c r="B305" s="3" t="s">
        <v>152</v>
      </c>
      <c r="C305" s="3" t="s">
        <v>466</v>
      </c>
      <c r="D305" s="3" t="s">
        <v>40</v>
      </c>
      <c r="E305" s="3">
        <v>117</v>
      </c>
      <c r="F305" s="3" t="s">
        <v>71</v>
      </c>
      <c r="G305" s="3" t="s">
        <v>38</v>
      </c>
      <c r="H305" s="3">
        <v>29</v>
      </c>
      <c r="I305" s="4">
        <v>117</v>
      </c>
      <c r="J305" s="5">
        <v>989000</v>
      </c>
      <c r="K305" s="6">
        <f t="shared" si="144"/>
        <v>118</v>
      </c>
      <c r="L305" s="7">
        <f>IF($J305=0,0,ROUND(MAX($J305*1.4*1,4020000*(1.354082^(MIN($E305,123)-118))),0))</f>
        <v>2968801</v>
      </c>
      <c r="M305" s="4">
        <f t="shared" si="145"/>
        <v>119</v>
      </c>
      <c r="N305" s="8">
        <f>IF($J305=0,0,ROUND(MAX($J305*1.4*1.5*1,6950000*(1.375334^(MIN($E305,123)-118))),0))</f>
        <v>5053318</v>
      </c>
      <c r="O305" s="6">
        <f t="shared" si="146"/>
        <v>121</v>
      </c>
      <c r="P305" s="7">
        <f>IF($J305=0,0,ROUND(MAX($J305*1.4*1.5*1.6*1,23900000*(1.1788^(MIN($E305,123)-118))),0))</f>
        <v>20274856</v>
      </c>
      <c r="Q305" s="4">
        <f t="shared" si="147"/>
        <v>123</v>
      </c>
      <c r="R305" s="8">
        <f>IF($J305=0,0,ROUND(MAX($J305*1.4*1.5*1.6*1.6*1.25,77000000*(1.127009^(MIN($E305,123)-118))),0))</f>
        <v>68322436</v>
      </c>
      <c r="S305" s="6">
        <f t="shared" si="148"/>
        <v>125</v>
      </c>
      <c r="T305" s="7">
        <f>IF($J305=0,0,ROUND(MAX($J305*1.4*1.5*1.6*1.6*2.2*1.25,270000000*(1.248411^(MIN($E305,123)-118))),0))</f>
        <v>216274929</v>
      </c>
      <c r="U305" s="4">
        <f t="shared" si="149"/>
        <v>128</v>
      </c>
      <c r="V305" s="8">
        <f>IF($J305=0,0,ROUND(MAX($J305*1.4*1.5*1.6*1.6*2.2*2.715*1.25,2400000000*(1.293039^(MIN($E305,123)-118))),0))</f>
        <v>1856092508</v>
      </c>
      <c r="W305" s="6">
        <f t="shared" si="150"/>
        <v>132</v>
      </c>
      <c r="X305" s="7">
        <f>IF($J305=0,0,ROUND(MAX($J305*1.4*1.5*1.6*1.6*2.2*2.715*2.6*1.25,20000000000*(1.280114^(MIN($E305,123)-118))),0))</f>
        <v>15623608522</v>
      </c>
      <c r="Y305" s="4">
        <f t="shared" si="151"/>
        <v>134</v>
      </c>
      <c r="Z305" s="8">
        <f>IF($J305=0,0,ROUND(MAX($J305*1.4*1.5*1.6*1.6*2.2*2.715*2.6*1.4*1.25,39200000000*(1.31219^(MIN($E305,123)-118))),0))</f>
        <v>29873722555</v>
      </c>
      <c r="AA305" s="6">
        <f t="shared" si="152"/>
        <v>136</v>
      </c>
      <c r="AB305" s="7">
        <f>IF($J305=0,0,ROUND(MAX($J305*1.4*1.5*1.6*1.6*2.2*2.715*2.6*1.4*1.4*1.25,54900000000*(1.312402^(MIN($E305,123)-118))),0))</f>
        <v>41831694862</v>
      </c>
      <c r="AC305" s="4">
        <f t="shared" si="153"/>
        <v>138</v>
      </c>
      <c r="AD305" s="8">
        <f>IF($J305=0,0,ROUND(MAX($J305*1.4*1.5*1.6*1.6*2.2*2.715*2.6*1.4*1.4*1.5*1.25,82400000000*(1.312754^(MIN($E305,123)-118))),0))</f>
        <v>62768805123</v>
      </c>
      <c r="AE305" s="6">
        <f t="shared" si="154"/>
        <v>141</v>
      </c>
      <c r="AF305" s="7">
        <f>IF($J305=0,0,ROUND(MAX($J305*1.4*1.5*1.6*1.6*2.2*2.715*2.6*1.4*1.4*1.5*1.5*1.25,124000000000*(1.312246^(MIN($E305,123)-118))),0))</f>
        <v>94494477407</v>
      </c>
      <c r="AG305" s="4">
        <f t="shared" si="155"/>
        <v>144</v>
      </c>
      <c r="AH305" s="8">
        <f>IF($J305=0,0,ROUND(MAX($J305*1.4*1.5*1.6*1.6*2.2*2.715*2.6*1.4*1.4*1.5*1.5*3.2*1.25,397000000000*(1.313132^(MIN($E305,123)-118))),0))</f>
        <v>302330611089</v>
      </c>
    </row>
    <row r="306" spans="1:34" x14ac:dyDescent="0.25">
      <c r="A306" s="3">
        <v>219</v>
      </c>
      <c r="B306" s="3" t="s">
        <v>191</v>
      </c>
      <c r="C306" s="3" t="s">
        <v>466</v>
      </c>
      <c r="D306" s="3" t="s">
        <v>40</v>
      </c>
      <c r="E306" s="3">
        <v>116</v>
      </c>
      <c r="F306" s="3" t="s">
        <v>120</v>
      </c>
      <c r="G306" s="3" t="s">
        <v>474</v>
      </c>
      <c r="H306" s="3">
        <v>29</v>
      </c>
      <c r="I306" s="4">
        <v>116</v>
      </c>
      <c r="J306" s="5">
        <v>684000</v>
      </c>
      <c r="K306" s="6">
        <f t="shared" si="144"/>
        <v>117</v>
      </c>
      <c r="L306" s="7">
        <f t="shared" ref="L306:L312" si="168">IF($J306=0,0,ROUND(MAX($J306*1.4,1620000*(1.497923^(MIN($E306,123)-117)))*1,0))</f>
        <v>1081498</v>
      </c>
      <c r="M306" s="4">
        <f t="shared" si="145"/>
        <v>118</v>
      </c>
      <c r="N306" s="8">
        <f t="shared" ref="N306:N312" si="169">IF($J306=0,0,ROUND(MAX($J306*1.4*1.5,2190000*(1.580994^(MIN($E306,123)-117)))*1,0))</f>
        <v>1436400</v>
      </c>
      <c r="O306" s="6">
        <f t="shared" si="146"/>
        <v>120</v>
      </c>
      <c r="P306" s="7">
        <f t="shared" ref="P306:P312" si="170">IF($J306=0,0,ROUND(MAX($J306*1.4*1.5*1.6,3500000*(1.57975^(MIN($E306,123)-117)))*1,0))</f>
        <v>2298240</v>
      </c>
      <c r="Q306" s="4">
        <f t="shared" si="147"/>
        <v>122</v>
      </c>
      <c r="R306" s="8">
        <f t="shared" ref="R306:R312" si="171">IF($J306=0,0,ROUND(MAX($J306*1.4*1.5*1.6*1.6,13100000*(1.429962^(MIN($E306,123)-117)))*1,0))</f>
        <v>9161083</v>
      </c>
      <c r="S306" s="6">
        <f t="shared" si="148"/>
        <v>124</v>
      </c>
      <c r="T306" s="7">
        <f t="shared" ref="T306:T312" si="172">IF($J306=0,0,ROUND(MAX($J306*1.4*1.5*1.6*1.6*2.2,42600000*(1.576904^(MIN($E306,123)-117)))*1,0))</f>
        <v>27014961</v>
      </c>
      <c r="U306" s="4">
        <f t="shared" si="149"/>
        <v>127</v>
      </c>
      <c r="V306" s="8">
        <f t="shared" ref="V306:V312" si="173">IF($J306=0,0,ROUND(MAX($J306*1.4*1.5*1.6*1.6*2.2*2.715,354000000*(1.642074^(MIN($E306,123)-117)))*1,0))</f>
        <v>215581027</v>
      </c>
      <c r="W306" s="6">
        <f t="shared" si="150"/>
        <v>131</v>
      </c>
      <c r="X306" s="7">
        <f t="shared" ref="X306:X312" si="174">IF($J306=0,0,ROUND(MAX($J306*1.4*1.5*1.6*1.6*2.2*2.715*2.6,3540000000*(1.579646^(MIN($E306,123)-117)))*1,0))</f>
        <v>2241008428</v>
      </c>
      <c r="Y306" s="4">
        <f t="shared" si="151"/>
        <v>133</v>
      </c>
      <c r="Z306" s="8">
        <f t="shared" ref="Z306:Z312" si="175">IF($J306=0,0,ROUND(MAX($J306*1.4*1.5*1.6*1.6*2.2*2.715*2.6*1.4,6020000000*(1.651178^(MIN($E306,123)-117)))*1,0))</f>
        <v>3645881910</v>
      </c>
      <c r="AA306" s="6">
        <f t="shared" si="152"/>
        <v>135</v>
      </c>
      <c r="AB306" s="7">
        <f t="shared" ref="AB306:AB312" si="176">IF($J306=0,0,ROUND(MAX($J306*1.4*1.5*1.6*1.6*2.2*2.715*2.6*1.4*1.4,8430000000*(1.651435^(MIN($E306,123)-117)))*1,0))</f>
        <v>5104651409</v>
      </c>
      <c r="AC306" s="4">
        <f t="shared" si="153"/>
        <v>137</v>
      </c>
      <c r="AD306" s="8">
        <f t="shared" ref="AD306:AD312" si="177">IF($J306=0,0,ROUND(MAX($J306*1.4*1.5*1.6*1.6*2.2*2.715*2.6*1.4*1.4*1.5,12600000000*(1.652953^(MIN($E306,123)-117)))*1,0))</f>
        <v>7622721275</v>
      </c>
      <c r="AE306" s="6">
        <f t="shared" si="154"/>
        <v>140</v>
      </c>
      <c r="AF306" s="7">
        <f t="shared" ref="AF306:AF312" si="178">IF($J306=0,0,ROUND(MAX($J306*1.4*1.5*1.6*1.6*2.2*2.715*2.6*1.4*1.4*1.5*1.5,18900000000*(1.65331^(MIN($E306,123)-117)))*1,0))</f>
        <v>11431612946</v>
      </c>
      <c r="AG306" s="4">
        <f t="shared" si="155"/>
        <v>143</v>
      </c>
      <c r="AH306" s="8">
        <f t="shared" ref="AH306:AH312" si="179">IF($J306=0,0,ROUND(MAX($J306*1.4*1.5*1.6*1.6*2.2*2.715*2.6*1.4*1.4*1.5*1.5*3.2,60500000000*(1.654288^(MIN($E306,123)-117)))*1,0))</f>
        <v>36571624772</v>
      </c>
    </row>
    <row r="307" spans="1:34" x14ac:dyDescent="0.25">
      <c r="A307" s="3">
        <v>217</v>
      </c>
      <c r="B307" s="3" t="s">
        <v>236</v>
      </c>
      <c r="C307" s="3" t="s">
        <v>466</v>
      </c>
      <c r="D307" s="3" t="s">
        <v>79</v>
      </c>
      <c r="E307" s="3">
        <v>116</v>
      </c>
      <c r="F307" s="3" t="s">
        <v>237</v>
      </c>
      <c r="G307" s="3" t="s">
        <v>35</v>
      </c>
      <c r="H307" s="3">
        <v>28</v>
      </c>
      <c r="I307" s="4">
        <v>116</v>
      </c>
      <c r="J307" s="5">
        <v>741000</v>
      </c>
      <c r="K307" s="6">
        <f t="shared" si="144"/>
        <v>117</v>
      </c>
      <c r="L307" s="7">
        <f t="shared" si="168"/>
        <v>1081498</v>
      </c>
      <c r="M307" s="4">
        <f t="shared" si="145"/>
        <v>118</v>
      </c>
      <c r="N307" s="8">
        <f t="shared" si="169"/>
        <v>1556100</v>
      </c>
      <c r="O307" s="6">
        <f t="shared" si="146"/>
        <v>120</v>
      </c>
      <c r="P307" s="7">
        <f t="shared" si="170"/>
        <v>2489760</v>
      </c>
      <c r="Q307" s="4">
        <f t="shared" si="147"/>
        <v>122</v>
      </c>
      <c r="R307" s="8">
        <f t="shared" si="171"/>
        <v>9161083</v>
      </c>
      <c r="S307" s="6">
        <f t="shared" si="148"/>
        <v>124</v>
      </c>
      <c r="T307" s="7">
        <f t="shared" si="172"/>
        <v>27014961</v>
      </c>
      <c r="U307" s="4">
        <f t="shared" si="149"/>
        <v>127</v>
      </c>
      <c r="V307" s="8">
        <f t="shared" si="173"/>
        <v>215581027</v>
      </c>
      <c r="W307" s="6">
        <f t="shared" si="150"/>
        <v>131</v>
      </c>
      <c r="X307" s="7">
        <f t="shared" si="174"/>
        <v>2241008428</v>
      </c>
      <c r="Y307" s="4">
        <f t="shared" si="151"/>
        <v>133</v>
      </c>
      <c r="Z307" s="8">
        <f t="shared" si="175"/>
        <v>3645881910</v>
      </c>
      <c r="AA307" s="6">
        <f t="shared" si="152"/>
        <v>135</v>
      </c>
      <c r="AB307" s="7">
        <f t="shared" si="176"/>
        <v>5104651409</v>
      </c>
      <c r="AC307" s="4">
        <f t="shared" si="153"/>
        <v>137</v>
      </c>
      <c r="AD307" s="8">
        <f t="shared" si="177"/>
        <v>7622721275</v>
      </c>
      <c r="AE307" s="6">
        <f t="shared" si="154"/>
        <v>140</v>
      </c>
      <c r="AF307" s="7">
        <f t="shared" si="178"/>
        <v>11431612946</v>
      </c>
      <c r="AG307" s="4">
        <f t="shared" si="155"/>
        <v>143</v>
      </c>
      <c r="AH307" s="8">
        <f t="shared" si="179"/>
        <v>36571624772</v>
      </c>
    </row>
    <row r="308" spans="1:34" x14ac:dyDescent="0.25">
      <c r="A308" s="3">
        <v>216</v>
      </c>
      <c r="B308" s="3" t="s">
        <v>475</v>
      </c>
      <c r="C308" s="3" t="s">
        <v>466</v>
      </c>
      <c r="D308" s="3" t="s">
        <v>102</v>
      </c>
      <c r="E308" s="3">
        <v>116</v>
      </c>
      <c r="F308" s="3" t="s">
        <v>30</v>
      </c>
      <c r="G308" s="3" t="s">
        <v>98</v>
      </c>
      <c r="H308" s="3">
        <v>28</v>
      </c>
      <c r="I308" s="4">
        <v>116</v>
      </c>
      <c r="J308" s="5">
        <v>828000</v>
      </c>
      <c r="K308" s="6">
        <f t="shared" si="144"/>
        <v>117</v>
      </c>
      <c r="L308" s="7">
        <f t="shared" si="168"/>
        <v>1159200</v>
      </c>
      <c r="M308" s="4">
        <f t="shared" si="145"/>
        <v>118</v>
      </c>
      <c r="N308" s="8">
        <f t="shared" si="169"/>
        <v>1738800</v>
      </c>
      <c r="O308" s="6">
        <f t="shared" si="146"/>
        <v>120</v>
      </c>
      <c r="P308" s="7">
        <f t="shared" si="170"/>
        <v>2782080</v>
      </c>
      <c r="Q308" s="4">
        <f t="shared" si="147"/>
        <v>122</v>
      </c>
      <c r="R308" s="8">
        <f t="shared" si="171"/>
        <v>9161083</v>
      </c>
      <c r="S308" s="6">
        <f t="shared" si="148"/>
        <v>124</v>
      </c>
      <c r="T308" s="7">
        <f t="shared" si="172"/>
        <v>27014961</v>
      </c>
      <c r="U308" s="4">
        <f t="shared" si="149"/>
        <v>127</v>
      </c>
      <c r="V308" s="8">
        <f t="shared" si="173"/>
        <v>215581027</v>
      </c>
      <c r="W308" s="6">
        <f t="shared" si="150"/>
        <v>131</v>
      </c>
      <c r="X308" s="7">
        <f t="shared" si="174"/>
        <v>2241008428</v>
      </c>
      <c r="Y308" s="4">
        <f t="shared" si="151"/>
        <v>133</v>
      </c>
      <c r="Z308" s="8">
        <f t="shared" si="175"/>
        <v>3645881910</v>
      </c>
      <c r="AA308" s="6">
        <f t="shared" si="152"/>
        <v>135</v>
      </c>
      <c r="AB308" s="7">
        <f t="shared" si="176"/>
        <v>5104651409</v>
      </c>
      <c r="AC308" s="4">
        <f t="shared" si="153"/>
        <v>137</v>
      </c>
      <c r="AD308" s="8">
        <f t="shared" si="177"/>
        <v>7622721275</v>
      </c>
      <c r="AE308" s="6">
        <f t="shared" si="154"/>
        <v>140</v>
      </c>
      <c r="AF308" s="7">
        <f t="shared" si="178"/>
        <v>11431612946</v>
      </c>
      <c r="AG308" s="4">
        <f t="shared" si="155"/>
        <v>143</v>
      </c>
      <c r="AH308" s="8">
        <f t="shared" si="179"/>
        <v>36571624772</v>
      </c>
    </row>
    <row r="309" spans="1:34" x14ac:dyDescent="0.25">
      <c r="A309" s="3">
        <v>218</v>
      </c>
      <c r="B309" s="3" t="s">
        <v>476</v>
      </c>
      <c r="C309" s="3" t="s">
        <v>466</v>
      </c>
      <c r="D309" s="3" t="s">
        <v>25</v>
      </c>
      <c r="E309" s="3">
        <v>116</v>
      </c>
      <c r="F309" s="3" t="s">
        <v>144</v>
      </c>
      <c r="G309" s="3" t="s">
        <v>95</v>
      </c>
      <c r="H309" s="3">
        <v>29</v>
      </c>
      <c r="I309" s="4">
        <v>116</v>
      </c>
      <c r="J309" s="5">
        <v>848000</v>
      </c>
      <c r="K309" s="6">
        <f t="shared" si="144"/>
        <v>117</v>
      </c>
      <c r="L309" s="7">
        <f t="shared" si="168"/>
        <v>1187200</v>
      </c>
      <c r="M309" s="4">
        <f t="shared" si="145"/>
        <v>118</v>
      </c>
      <c r="N309" s="8">
        <f t="shared" si="169"/>
        <v>1780800</v>
      </c>
      <c r="O309" s="6">
        <f t="shared" si="146"/>
        <v>120</v>
      </c>
      <c r="P309" s="7">
        <f t="shared" si="170"/>
        <v>2849280</v>
      </c>
      <c r="Q309" s="4">
        <f t="shared" si="147"/>
        <v>122</v>
      </c>
      <c r="R309" s="8">
        <f t="shared" si="171"/>
        <v>9161083</v>
      </c>
      <c r="S309" s="6">
        <f t="shared" si="148"/>
        <v>124</v>
      </c>
      <c r="T309" s="7">
        <f t="shared" si="172"/>
        <v>27014961</v>
      </c>
      <c r="U309" s="4">
        <f t="shared" si="149"/>
        <v>127</v>
      </c>
      <c r="V309" s="8">
        <f t="shared" si="173"/>
        <v>215581027</v>
      </c>
      <c r="W309" s="6">
        <f t="shared" si="150"/>
        <v>131</v>
      </c>
      <c r="X309" s="7">
        <f t="shared" si="174"/>
        <v>2241008428</v>
      </c>
      <c r="Y309" s="4">
        <f t="shared" si="151"/>
        <v>133</v>
      </c>
      <c r="Z309" s="8">
        <f t="shared" si="175"/>
        <v>3645881910</v>
      </c>
      <c r="AA309" s="6">
        <f t="shared" si="152"/>
        <v>135</v>
      </c>
      <c r="AB309" s="7">
        <f t="shared" si="176"/>
        <v>5104651409</v>
      </c>
      <c r="AC309" s="4">
        <f t="shared" si="153"/>
        <v>137</v>
      </c>
      <c r="AD309" s="8">
        <f t="shared" si="177"/>
        <v>7622721275</v>
      </c>
      <c r="AE309" s="6">
        <f t="shared" si="154"/>
        <v>140</v>
      </c>
      <c r="AF309" s="7">
        <f t="shared" si="178"/>
        <v>11431612946</v>
      </c>
      <c r="AG309" s="4">
        <f t="shared" si="155"/>
        <v>143</v>
      </c>
      <c r="AH309" s="8">
        <f t="shared" si="179"/>
        <v>36571624772</v>
      </c>
    </row>
    <row r="310" spans="1:34" x14ac:dyDescent="0.25">
      <c r="A310" s="3">
        <v>213</v>
      </c>
      <c r="B310" s="3" t="s">
        <v>224</v>
      </c>
      <c r="C310" s="3" t="s">
        <v>466</v>
      </c>
      <c r="D310" s="3" t="s">
        <v>25</v>
      </c>
      <c r="E310" s="3">
        <v>115</v>
      </c>
      <c r="F310" s="3" t="s">
        <v>225</v>
      </c>
      <c r="G310" s="3" t="s">
        <v>226</v>
      </c>
      <c r="H310" s="3">
        <v>28</v>
      </c>
      <c r="I310" s="4">
        <v>115</v>
      </c>
      <c r="J310" s="5">
        <v>893000</v>
      </c>
      <c r="K310" s="6">
        <f t="shared" si="144"/>
        <v>116</v>
      </c>
      <c r="L310" s="7">
        <f t="shared" si="168"/>
        <v>1250200</v>
      </c>
      <c r="M310" s="4">
        <f t="shared" si="145"/>
        <v>117</v>
      </c>
      <c r="N310" s="8">
        <f t="shared" si="169"/>
        <v>1875300</v>
      </c>
      <c r="O310" s="6">
        <f t="shared" si="146"/>
        <v>119</v>
      </c>
      <c r="P310" s="7">
        <f t="shared" si="170"/>
        <v>3000480</v>
      </c>
      <c r="Q310" s="4">
        <f t="shared" si="147"/>
        <v>121</v>
      </c>
      <c r="R310" s="8">
        <f t="shared" si="171"/>
        <v>6406522</v>
      </c>
      <c r="S310" s="6">
        <f t="shared" si="148"/>
        <v>123</v>
      </c>
      <c r="T310" s="7">
        <f t="shared" si="172"/>
        <v>17131646</v>
      </c>
      <c r="U310" s="4">
        <f t="shared" si="149"/>
        <v>126</v>
      </c>
      <c r="V310" s="8">
        <f t="shared" si="173"/>
        <v>131285817</v>
      </c>
      <c r="W310" s="6">
        <f t="shared" si="150"/>
        <v>130</v>
      </c>
      <c r="X310" s="7">
        <f t="shared" si="174"/>
        <v>1418677620</v>
      </c>
      <c r="Y310" s="4">
        <f t="shared" si="151"/>
        <v>132</v>
      </c>
      <c r="Z310" s="8">
        <f t="shared" si="175"/>
        <v>2208048987</v>
      </c>
      <c r="AA310" s="6">
        <f t="shared" si="152"/>
        <v>134</v>
      </c>
      <c r="AB310" s="7">
        <f t="shared" si="176"/>
        <v>3091039859</v>
      </c>
      <c r="AC310" s="4">
        <f t="shared" si="153"/>
        <v>136</v>
      </c>
      <c r="AD310" s="8">
        <f t="shared" si="177"/>
        <v>4611577749</v>
      </c>
      <c r="AE310" s="6">
        <f t="shared" si="154"/>
        <v>139</v>
      </c>
      <c r="AF310" s="7">
        <f t="shared" si="178"/>
        <v>6914379606</v>
      </c>
      <c r="AG310" s="4">
        <f t="shared" si="155"/>
        <v>142</v>
      </c>
      <c r="AH310" s="8">
        <f t="shared" si="179"/>
        <v>22107169230</v>
      </c>
    </row>
    <row r="311" spans="1:34" x14ac:dyDescent="0.25">
      <c r="A311" s="3">
        <v>215</v>
      </c>
      <c r="B311" s="3" t="s">
        <v>477</v>
      </c>
      <c r="C311" s="3" t="s">
        <v>466</v>
      </c>
      <c r="D311" s="3" t="s">
        <v>79</v>
      </c>
      <c r="E311" s="3">
        <v>115</v>
      </c>
      <c r="F311" s="3" t="s">
        <v>59</v>
      </c>
      <c r="G311" s="3" t="s">
        <v>98</v>
      </c>
      <c r="H311" s="3">
        <v>28</v>
      </c>
      <c r="I311" s="4">
        <v>115</v>
      </c>
      <c r="J311" s="5">
        <v>765000</v>
      </c>
      <c r="K311" s="6">
        <f t="shared" si="144"/>
        <v>116</v>
      </c>
      <c r="L311" s="7">
        <f t="shared" si="168"/>
        <v>1071000</v>
      </c>
      <c r="M311" s="4">
        <f t="shared" si="145"/>
        <v>117</v>
      </c>
      <c r="N311" s="8">
        <f t="shared" si="169"/>
        <v>1606500</v>
      </c>
      <c r="O311" s="6">
        <f t="shared" si="146"/>
        <v>119</v>
      </c>
      <c r="P311" s="7">
        <f t="shared" si="170"/>
        <v>2570400</v>
      </c>
      <c r="Q311" s="4">
        <f t="shared" si="147"/>
        <v>121</v>
      </c>
      <c r="R311" s="8">
        <f t="shared" si="171"/>
        <v>6406522</v>
      </c>
      <c r="S311" s="6">
        <f t="shared" si="148"/>
        <v>123</v>
      </c>
      <c r="T311" s="7">
        <f t="shared" si="172"/>
        <v>17131646</v>
      </c>
      <c r="U311" s="4">
        <f t="shared" si="149"/>
        <v>126</v>
      </c>
      <c r="V311" s="8">
        <f t="shared" si="173"/>
        <v>131285817</v>
      </c>
      <c r="W311" s="6">
        <f t="shared" si="150"/>
        <v>130</v>
      </c>
      <c r="X311" s="7">
        <f t="shared" si="174"/>
        <v>1418677620</v>
      </c>
      <c r="Y311" s="4">
        <f t="shared" si="151"/>
        <v>132</v>
      </c>
      <c r="Z311" s="8">
        <f t="shared" si="175"/>
        <v>2208048987</v>
      </c>
      <c r="AA311" s="6">
        <f t="shared" si="152"/>
        <v>134</v>
      </c>
      <c r="AB311" s="7">
        <f t="shared" si="176"/>
        <v>3091039859</v>
      </c>
      <c r="AC311" s="4">
        <f t="shared" si="153"/>
        <v>136</v>
      </c>
      <c r="AD311" s="8">
        <f t="shared" si="177"/>
        <v>4611577749</v>
      </c>
      <c r="AE311" s="6">
        <f t="shared" si="154"/>
        <v>139</v>
      </c>
      <c r="AF311" s="7">
        <f t="shared" si="178"/>
        <v>6914379606</v>
      </c>
      <c r="AG311" s="4">
        <f t="shared" si="155"/>
        <v>142</v>
      </c>
      <c r="AH311" s="8">
        <f t="shared" si="179"/>
        <v>22107169230</v>
      </c>
    </row>
    <row r="312" spans="1:34" x14ac:dyDescent="0.25">
      <c r="A312" s="3">
        <v>214</v>
      </c>
      <c r="B312" s="3" t="s">
        <v>478</v>
      </c>
      <c r="C312" s="3" t="s">
        <v>466</v>
      </c>
      <c r="D312" s="3" t="s">
        <v>64</v>
      </c>
      <c r="E312" s="3">
        <v>115</v>
      </c>
      <c r="F312" s="3" t="s">
        <v>479</v>
      </c>
      <c r="G312" s="3" t="s">
        <v>351</v>
      </c>
      <c r="H312" s="3">
        <v>28</v>
      </c>
      <c r="I312" s="4">
        <v>115</v>
      </c>
      <c r="J312" s="5">
        <v>689000</v>
      </c>
      <c r="K312" s="6">
        <f t="shared" si="144"/>
        <v>116</v>
      </c>
      <c r="L312" s="7">
        <f t="shared" si="168"/>
        <v>964600</v>
      </c>
      <c r="M312" s="4">
        <f t="shared" si="145"/>
        <v>117</v>
      </c>
      <c r="N312" s="8">
        <f t="shared" si="169"/>
        <v>1446900</v>
      </c>
      <c r="O312" s="6">
        <f t="shared" si="146"/>
        <v>119</v>
      </c>
      <c r="P312" s="7">
        <f t="shared" si="170"/>
        <v>2315040</v>
      </c>
      <c r="Q312" s="4">
        <f t="shared" si="147"/>
        <v>121</v>
      </c>
      <c r="R312" s="8">
        <f t="shared" si="171"/>
        <v>6406522</v>
      </c>
      <c r="S312" s="6">
        <f t="shared" si="148"/>
        <v>123</v>
      </c>
      <c r="T312" s="7">
        <f t="shared" si="172"/>
        <v>17131646</v>
      </c>
      <c r="U312" s="4">
        <f t="shared" si="149"/>
        <v>126</v>
      </c>
      <c r="V312" s="8">
        <f t="shared" si="173"/>
        <v>131285817</v>
      </c>
      <c r="W312" s="6">
        <f t="shared" si="150"/>
        <v>130</v>
      </c>
      <c r="X312" s="7">
        <f t="shared" si="174"/>
        <v>1418677620</v>
      </c>
      <c r="Y312" s="4">
        <f t="shared" si="151"/>
        <v>132</v>
      </c>
      <c r="Z312" s="8">
        <f t="shared" si="175"/>
        <v>2208048987</v>
      </c>
      <c r="AA312" s="6">
        <f t="shared" si="152"/>
        <v>134</v>
      </c>
      <c r="AB312" s="7">
        <f t="shared" si="176"/>
        <v>3091039859</v>
      </c>
      <c r="AC312" s="4">
        <f t="shared" si="153"/>
        <v>136</v>
      </c>
      <c r="AD312" s="8">
        <f t="shared" si="177"/>
        <v>4611577749</v>
      </c>
      <c r="AE312" s="6">
        <f t="shared" si="154"/>
        <v>139</v>
      </c>
      <c r="AF312" s="7">
        <f t="shared" si="178"/>
        <v>6914379606</v>
      </c>
      <c r="AG312" s="4">
        <f t="shared" si="155"/>
        <v>142</v>
      </c>
      <c r="AH312" s="8">
        <f t="shared" si="179"/>
        <v>22107169230</v>
      </c>
    </row>
    <row r="313" ht="22.5" customHeight="1" spans="1:34" x14ac:dyDescent="0.25">
      <c r="A313" s="3">
        <v>324</v>
      </c>
      <c r="B313" s="3" t="s">
        <v>480</v>
      </c>
      <c r="C313" s="3" t="s">
        <v>481</v>
      </c>
      <c r="D313" s="3" t="s">
        <v>25</v>
      </c>
      <c r="E313" s="3">
        <v>124</v>
      </c>
      <c r="F313" s="3" t="s">
        <v>482</v>
      </c>
      <c r="G313" s="3" t="s">
        <v>482</v>
      </c>
      <c r="H313" s="3">
        <v>30</v>
      </c>
      <c r="I313" s="4">
        <v>124</v>
      </c>
      <c r="J313" s="5">
        <v>0</v>
      </c>
      <c r="K313" s="6">
        <f t="shared" si="144"/>
        <v>125</v>
      </c>
      <c r="L313" s="7">
        <f>IF($J313=0,0,ROUND(MAX($J313*1.4,1620000*(1.497923^(MIN($E313,123)-117)))*0.8,0))</f>
        <v>0</v>
      </c>
      <c r="M313" s="4">
        <f t="shared" si="145"/>
        <v>126</v>
      </c>
      <c r="N313" s="8">
        <f>IF($J313=0,0,ROUND(MAX($J313*1.4*1.5,2190000*(1.580994^(MIN($E313,123)-117)))*0.8,0))</f>
        <v>0</v>
      </c>
      <c r="O313" s="6">
        <f t="shared" si="146"/>
        <v>128</v>
      </c>
      <c r="P313" s="7">
        <f>IF($J313=0,0,ROUND(MAX($J313*1.4*1.5*1.6,3500000*(1.57975^(MIN($E313,123)-117)))*0.8,0))</f>
        <v>0</v>
      </c>
      <c r="Q313" s="4">
        <f t="shared" si="147"/>
        <v>130</v>
      </c>
      <c r="R313" s="8">
        <f>IF($J313=0,0,ROUND(MAX($J313*1.4*1.5*1.6*1.6,13100000*(1.429962^(MIN($E313,123)-117)))*0.651041666666667,0))</f>
        <v>0</v>
      </c>
      <c r="S313" s="6">
        <f t="shared" si="148"/>
        <v>132</v>
      </c>
      <c r="T313" s="7">
        <f>IF($J313=0,0,ROUND(MAX($J313*1.4*1.5*1.6*1.6*2.2,42600000*(1.576904^(MIN($E313,123)-117)))*0.617361111111111,0))</f>
        <v>0</v>
      </c>
      <c r="U313" s="4">
        <f t="shared" si="149"/>
        <v>135</v>
      </c>
      <c r="V313" s="8">
        <f>IF($J313=0,0,ROUND(MAX($J313*1.4*1.5*1.6*1.6*2.2*2.715,354000000*(1.642074^(MIN($E313,123)-117)))*0.583680555555556,0))</f>
        <v>0</v>
      </c>
      <c r="W313" s="6">
        <f t="shared" si="150"/>
        <v>139</v>
      </c>
      <c r="X313" s="7">
        <f>IF($J313=0,0,ROUND(MAX($J313*1.4*1.5*1.6*1.6*2.2*2.715*2.6,3540000000*(1.579646^(MIN($E313,123)-117)))*0.55,0))</f>
        <v>0</v>
      </c>
      <c r="Y313" s="4">
        <f t="shared" si="151"/>
        <v>141</v>
      </c>
      <c r="Z313" s="8">
        <f>IF($J313=0,0,ROUND(MAX($J313*1.4*1.5*1.6*1.6*2.2*2.715*2.6*1.4,6020000000*(1.651178^(MIN($E313,123)-117)))*0.55,0))</f>
        <v>0</v>
      </c>
      <c r="AA313" s="6">
        <f t="shared" si="152"/>
        <v>143</v>
      </c>
      <c r="AB313" s="7">
        <f>IF($J313=0,0,ROUND(MAX($J313*1.4*1.5*1.6*1.6*2.2*2.715*2.6*1.4*1.4,8430000000*(1.651435^(MIN($E313,123)-117)))*0.55,0))</f>
        <v>0</v>
      </c>
      <c r="AC313" s="4">
        <f t="shared" si="153"/>
        <v>145</v>
      </c>
      <c r="AD313" s="8">
        <f>IF($J313=0,0,ROUND(MAX($J313*1.4*1.5*1.6*1.6*2.2*2.715*2.6*1.4*1.4*1.5,12600000000*(1.652953^(MIN($E313,123)-117)))*0.55,0))</f>
        <v>0</v>
      </c>
      <c r="AE313" s="6">
        <f t="shared" si="154"/>
        <v>148</v>
      </c>
      <c r="AF313" s="7">
        <f>IF($J313=0,0,ROUND(MAX($J313*1.4*1.5*1.6*1.6*2.2*2.715*2.6*1.4*1.4*1.5*1.5,18900000000*(1.65331^(MIN($E313,123)-117)))*0.55,0))</f>
        <v>0</v>
      </c>
      <c r="AG313" s="4">
        <f t="shared" si="155"/>
        <v>151</v>
      </c>
      <c r="AH313" s="8">
        <f>IF($J313=0,0,ROUND(MAX($J313*1.4*1.5*1.6*1.6*2.2*2.715*2.6*1.4*1.4*1.5*1.5*3.2,60500000000*(1.654288^(MIN($E313,123)-117)))*0.55,0))</f>
        <v>0</v>
      </c>
    </row>
    <row r="314" ht="27.75" customHeight="1" spans="1:34" x14ac:dyDescent="0.25">
      <c r="A314" s="3">
        <v>353</v>
      </c>
      <c r="B314" s="3" t="s">
        <v>203</v>
      </c>
      <c r="C314" s="3" t="s">
        <v>481</v>
      </c>
      <c r="D314" s="3" t="s">
        <v>25</v>
      </c>
      <c r="E314" s="3">
        <v>131</v>
      </c>
      <c r="F314" s="3" t="s">
        <v>204</v>
      </c>
      <c r="G314" s="3" t="s">
        <v>204</v>
      </c>
      <c r="H314" s="3">
        <v>34</v>
      </c>
      <c r="I314" s="4">
        <v>131</v>
      </c>
      <c r="J314" s="5">
        <v>4800000000</v>
      </c>
      <c r="K314" s="6">
        <f t="shared" si="144"/>
        <v>132</v>
      </c>
      <c r="L314" s="7">
        <f>IF($J314=0,0,ROUND(MAX($J314*1.4,1620000*(1.497923^(MIN($E314,123)-117)))*1,0))</f>
        <v>6720000000</v>
      </c>
      <c r="M314" s="4">
        <f t="shared" si="145"/>
        <v>133</v>
      </c>
      <c r="N314" s="8">
        <f>IF($J314=0,0,ROUND(MAX($J314*1.4*1.5,2190000*(1.580994^(MIN($E314,123)-117)))*1,0))</f>
        <v>10080000000</v>
      </c>
      <c r="O314" s="6">
        <f t="shared" si="146"/>
        <v>135</v>
      </c>
      <c r="P314" s="7">
        <f>IF($J314=0,0,ROUND(MAX($J314*1.4*1.5*1.6,3500000*(1.57975^(MIN($E314,123)-117)))*1,0))</f>
        <v>16128000000</v>
      </c>
      <c r="Q314" s="4">
        <f t="shared" si="147"/>
        <v>137</v>
      </c>
      <c r="R314" s="8">
        <f>IF($J314=0,0,ROUND(MAX($J314*1.4*1.5*1.6*1.6,13100000*(1.429962^(MIN($E314,123)-117)))*1,0))</f>
        <v>25804800000</v>
      </c>
      <c r="S314" s="6">
        <f t="shared" si="148"/>
        <v>139</v>
      </c>
      <c r="T314" s="7">
        <f>IF($J314=0,0,ROUND(MAX($J314*1.4*1.5*1.6*1.6*2.2,42600000*(1.576904^(MIN($E314,123)-117)))*1,0))</f>
        <v>56770560000</v>
      </c>
      <c r="U314" s="4">
        <f t="shared" si="149"/>
        <v>142</v>
      </c>
      <c r="V314" s="8">
        <f>IF($J314=0,0,ROUND(MAX($J314*1.4*1.5*1.6*1.6*2.2*2.715,354000000*(1.642074^(MIN($E314,123)-117)))*1,0))</f>
        <v>154132070400</v>
      </c>
      <c r="W314" s="6">
        <f t="shared" si="150"/>
        <v>146</v>
      </c>
      <c r="X314" s="7">
        <f>IF($J314=0,0,ROUND(MAX($J314*1.4*1.5*1.6*1.6*2.2*2.715*2.6,3540000000*(1.579646^(MIN($E314,123)-117)))*1,0))</f>
        <v>400743383040</v>
      </c>
      <c r="Y314" s="4">
        <f t="shared" si="151"/>
        <v>148</v>
      </c>
      <c r="Z314" s="8">
        <f>IF($J314=0,0,ROUND(MAX($J314*1.4*1.5*1.6*1.6*2.2*2.715*2.6*1.4,6020000000*(1.651178^(MIN($E314,123)-117)))*1,0))</f>
        <v>561040736256</v>
      </c>
      <c r="AA314" s="6">
        <f t="shared" si="152"/>
        <v>150</v>
      </c>
      <c r="AB314" s="7">
        <f>IF($J314=0,0,ROUND(MAX($J314*1.4*1.5*1.6*1.6*2.2*2.715*2.6*1.4*1.4,8430000000*(1.651435^(MIN($E314,123)-117)))*1,0))</f>
        <v>785457030758</v>
      </c>
      <c r="AC314" s="4">
        <f t="shared" si="153"/>
        <v>152</v>
      </c>
      <c r="AD314" s="8">
        <f>IF($J314=0,0,ROUND(MAX($J314*1.4*1.5*1.6*1.6*2.2*2.715*2.6*1.4*1.4*1.5,12600000000*(1.652953^(MIN($E314,123)-117)))*1,0))</f>
        <v>1178185546138</v>
      </c>
      <c r="AE314" s="6">
        <f t="shared" si="154"/>
        <v>155</v>
      </c>
      <c r="AF314" s="7">
        <f>IF($J314=0,0,ROUND(MAX($J314*1.4*1.5*1.6*1.6*2.2*2.715*2.6*1.4*1.4*1.5*1.5,18900000000*(1.65331^(MIN($E314,123)-117)))*1,0))</f>
        <v>1767278319206</v>
      </c>
      <c r="AG314" s="4">
        <f t="shared" si="155"/>
        <v>158</v>
      </c>
      <c r="AH314" s="8">
        <f>IF($J314=0,0,ROUND(MAX($J314*1.4*1.5*1.6*1.6*2.2*2.715*2.6*1.4*1.4*1.5*1.5*3.2,60500000000*(1.654288^(MIN($E314,123)-117)))*1,0))</f>
        <v>5655290621460</v>
      </c>
    </row>
    <row r="315" ht="27.75" customHeight="1" spans="1:34" x14ac:dyDescent="0.25">
      <c r="A315" s="3">
        <v>354</v>
      </c>
      <c r="B315" s="3" t="s">
        <v>208</v>
      </c>
      <c r="C315" s="3" t="s">
        <v>481</v>
      </c>
      <c r="D315" s="3" t="s">
        <v>25</v>
      </c>
      <c r="E315" s="3">
        <v>131</v>
      </c>
      <c r="F315" s="3" t="s">
        <v>26</v>
      </c>
      <c r="G315" s="3" t="s">
        <v>26</v>
      </c>
      <c r="H315" s="3">
        <v>33</v>
      </c>
      <c r="I315" s="4">
        <v>131</v>
      </c>
      <c r="J315" s="5">
        <v>3260000000</v>
      </c>
      <c r="K315" s="6">
        <f t="shared" si="144"/>
        <v>132</v>
      </c>
      <c r="L315" s="7">
        <f>IF($J315=0,0,ROUND(MAX($J315*1.4,1620000*(1.497923^(MIN($E315,123)-117)))*1,0))</f>
        <v>4564000000</v>
      </c>
      <c r="M315" s="4">
        <f t="shared" si="145"/>
        <v>133</v>
      </c>
      <c r="N315" s="8">
        <f>IF($J315=0,0,ROUND(MAX($J315*1.4*1.5,2190000*(1.580994^(MIN($E315,123)-117)))*1,0))</f>
        <v>6846000000</v>
      </c>
      <c r="O315" s="6">
        <f t="shared" si="146"/>
        <v>135</v>
      </c>
      <c r="P315" s="7">
        <f>IF($J315=0,0,ROUND(MAX($J315*1.4*1.5*1.6,3500000*(1.57975^(MIN($E315,123)-117)))*1,0))</f>
        <v>10953600000</v>
      </c>
      <c r="Q315" s="4">
        <f t="shared" si="147"/>
        <v>137</v>
      </c>
      <c r="R315" s="8">
        <f>IF($J315=0,0,ROUND(MAX($J315*1.4*1.5*1.6*1.6,13100000*(1.429962^(MIN($E315,123)-117)))*1,0))</f>
        <v>17525760000</v>
      </c>
      <c r="S315" s="6">
        <f t="shared" si="148"/>
        <v>139</v>
      </c>
      <c r="T315" s="7">
        <f>IF($J315=0,0,ROUND(MAX($J315*1.4*1.5*1.6*1.6*2.2,42600000*(1.576904^(MIN($E315,123)-117)))*1,0))</f>
        <v>38556672000</v>
      </c>
      <c r="U315" s="4">
        <f t="shared" si="149"/>
        <v>142</v>
      </c>
      <c r="V315" s="8">
        <f>IF($J315=0,0,ROUND(MAX($J315*1.4*1.5*1.6*1.6*2.2*2.715,354000000*(1.642074^(MIN($E315,123)-117)))*1,0))</f>
        <v>104681364480</v>
      </c>
      <c r="W315" s="6">
        <f t="shared" si="150"/>
        <v>146</v>
      </c>
      <c r="X315" s="7">
        <f>IF($J315=0,0,ROUND(MAX($J315*1.4*1.5*1.6*1.6*2.2*2.715*2.6,3540000000*(1.579646^(MIN($E315,123)-117)))*1,0))</f>
        <v>272171547648</v>
      </c>
      <c r="Y315" s="4">
        <f t="shared" si="151"/>
        <v>148</v>
      </c>
      <c r="Z315" s="8">
        <f>IF($J315=0,0,ROUND(MAX($J315*1.4*1.5*1.6*1.6*2.2*2.715*2.6*1.4,6020000000*(1.651178^(MIN($E315,123)-117)))*1,0))</f>
        <v>381040166707</v>
      </c>
      <c r="AA315" s="6">
        <f t="shared" si="152"/>
        <v>150</v>
      </c>
      <c r="AB315" s="7">
        <f>IF($J315=0,0,ROUND(MAX($J315*1.4*1.5*1.6*1.6*2.2*2.715*2.6*1.4*1.4,8430000000*(1.651435^(MIN($E315,123)-117)))*1,0))</f>
        <v>533456233390</v>
      </c>
      <c r="AC315" s="4">
        <f t="shared" si="153"/>
        <v>152</v>
      </c>
      <c r="AD315" s="8">
        <f>IF($J315=0,0,ROUND(MAX($J315*1.4*1.5*1.6*1.6*2.2*2.715*2.6*1.4*1.4*1.5,12600000000*(1.652953^(MIN($E315,123)-117)))*1,0))</f>
        <v>800184350085</v>
      </c>
      <c r="AE315" s="6">
        <f t="shared" si="154"/>
        <v>155</v>
      </c>
      <c r="AF315" s="7">
        <f>IF($J315=0,0,ROUND(MAX($J315*1.4*1.5*1.6*1.6*2.2*2.715*2.6*1.4*1.4*1.5*1.5,18900000000*(1.65331^(MIN($E315,123)-117)))*1,0))</f>
        <v>1200276525128</v>
      </c>
      <c r="AG315" s="4">
        <f t="shared" si="155"/>
        <v>158</v>
      </c>
      <c r="AH315" s="8">
        <f>IF($J315=0,0,ROUND(MAX($J315*1.4*1.5*1.6*1.6*2.2*2.715*2.6*1.4*1.4*1.5*1.5*3.2,60500000000*(1.654288^(MIN($E315,123)-117)))*1,0))</f>
        <v>3840884880409</v>
      </c>
    </row>
    <row r="316" ht="27.75" customHeight="1" spans="1:34" x14ac:dyDescent="0.25">
      <c r="A316" s="3">
        <v>355</v>
      </c>
      <c r="B316" s="3" t="s">
        <v>167</v>
      </c>
      <c r="C316" s="3" t="s">
        <v>481</v>
      </c>
      <c r="D316" s="3" t="s">
        <v>25</v>
      </c>
      <c r="E316" s="3">
        <v>133</v>
      </c>
      <c r="F316" s="3" t="s">
        <v>168</v>
      </c>
      <c r="G316" s="3" t="s">
        <v>168</v>
      </c>
      <c r="H316" s="3">
        <v>35</v>
      </c>
      <c r="I316" s="4">
        <v>133</v>
      </c>
      <c r="J316" s="5">
        <v>11600000000</v>
      </c>
      <c r="K316" s="6">
        <f t="shared" si="144"/>
        <v>134</v>
      </c>
      <c r="L316" s="7">
        <f>IF($J316=0,0,ROUND(MAX($J316*1.4,1620000*(1.497923^(MIN($E316,123)-117)))*1,0))</f>
        <v>16240000000</v>
      </c>
      <c r="M316" s="4">
        <f t="shared" si="145"/>
        <v>135</v>
      </c>
      <c r="N316" s="8">
        <f>IF($J316=0,0,ROUND(MAX($J316*1.4*1.5,2190000*(1.580994^(MIN($E316,123)-117)))*1,0))</f>
        <v>24360000000</v>
      </c>
      <c r="O316" s="6">
        <f t="shared" si="146"/>
        <v>137</v>
      </c>
      <c r="P316" s="7">
        <f>IF($J316=0,0,ROUND(MAX($J316*1.4*1.5*1.6,3500000*(1.57975^(MIN($E316,123)-117)))*1,0))</f>
        <v>38976000000</v>
      </c>
      <c r="Q316" s="4">
        <f t="shared" si="147"/>
        <v>139</v>
      </c>
      <c r="R316" s="8">
        <f>IF($J316=0,0,ROUND(MAX($J316*1.4*1.5*1.6*1.6,13100000*(1.429962^(MIN($E316,123)-117)))*1,0))</f>
        <v>62361600000</v>
      </c>
      <c r="S316" s="6">
        <f t="shared" si="148"/>
        <v>141</v>
      </c>
      <c r="T316" s="7">
        <f>IF($J316=0,0,ROUND(MAX($J316*1.4*1.5*1.6*1.6*2.2,42600000*(1.576904^(MIN($E316,123)-117)))*1,0))</f>
        <v>137195520000</v>
      </c>
      <c r="U316" s="4">
        <f t="shared" si="149"/>
        <v>144</v>
      </c>
      <c r="V316" s="8">
        <f>IF($J316=0,0,ROUND(MAX($J316*1.4*1.5*1.6*1.6*2.2*2.715,354000000*(1.642074^(MIN($E316,123)-117)))*1,0))</f>
        <v>372485836800</v>
      </c>
      <c r="W316" s="6">
        <f t="shared" si="150"/>
        <v>148</v>
      </c>
      <c r="X316" s="7">
        <f>IF($J316=0,0,ROUND(MAX($J316*1.4*1.5*1.6*1.6*2.2*2.715*2.6,3540000000*(1.579646^(MIN($E316,123)-117)))*1,0))</f>
        <v>968463175680</v>
      </c>
      <c r="Y316" s="4">
        <f t="shared" si="151"/>
        <v>150</v>
      </c>
      <c r="Z316" s="8">
        <f>IF($J316=0,0,ROUND(MAX($J316*1.4*1.5*1.6*1.6*2.2*2.715*2.6*1.4,6020000000*(1.651178^(MIN($E316,123)-117)))*1,0))</f>
        <v>1355848445952</v>
      </c>
      <c r="AA316" s="6">
        <f t="shared" si="152"/>
        <v>152</v>
      </c>
      <c r="AB316" s="7">
        <f>IF($J316=0,0,ROUND(MAX($J316*1.4*1.5*1.6*1.6*2.2*2.715*2.6*1.4*1.4,8430000000*(1.651435^(MIN($E316,123)-117)))*1,0))</f>
        <v>1898187824333</v>
      </c>
      <c r="AC316" s="4">
        <f t="shared" si="153"/>
        <v>154</v>
      </c>
      <c r="AD316" s="8">
        <f>IF($J316=0,0,ROUND(MAX($J316*1.4*1.5*1.6*1.6*2.2*2.715*2.6*1.4*1.4*1.5,12600000000*(1.652953^(MIN($E316,123)-117)))*1,0))</f>
        <v>2847281736499</v>
      </c>
      <c r="AE316" s="6">
        <f t="shared" si="154"/>
        <v>157</v>
      </c>
      <c r="AF316" s="7">
        <f>IF($J316=0,0,ROUND(MAX($J316*1.4*1.5*1.6*1.6*2.2*2.715*2.6*1.4*1.4*1.5*1.5,18900000000*(1.65331^(MIN($E316,123)-117)))*1,0))</f>
        <v>4270922604749</v>
      </c>
      <c r="AG316" s="4">
        <f t="shared" si="155"/>
        <v>160</v>
      </c>
      <c r="AH316" s="8">
        <f>IF($J316=0,0,ROUND(MAX($J316*1.4*1.5*1.6*1.6*2.2*2.715*2.6*1.4*1.4*1.5*1.5*3.2,60500000000*(1.654288^(MIN($E316,123)-117)))*1,0))</f>
        <v>13666952335196</v>
      </c>
    </row>
    <row r="317" ht="27.75" customHeight="1" spans="1:34" x14ac:dyDescent="0.25">
      <c r="A317" s="3">
        <v>356</v>
      </c>
      <c r="B317" s="3" t="s">
        <v>113</v>
      </c>
      <c r="C317" s="3" t="s">
        <v>481</v>
      </c>
      <c r="D317" s="3" t="s">
        <v>25</v>
      </c>
      <c r="E317" s="3">
        <v>134</v>
      </c>
      <c r="F317" s="3" t="s">
        <v>30</v>
      </c>
      <c r="G317" s="3" t="s">
        <v>30</v>
      </c>
      <c r="H317" s="3">
        <v>35</v>
      </c>
      <c r="I317" s="4">
        <v>134</v>
      </c>
      <c r="J317" s="5">
        <v>7440000000</v>
      </c>
      <c r="K317" s="6">
        <f t="shared" si="144"/>
        <v>135</v>
      </c>
      <c r="L317" s="7">
        <f>IF($J317=0,0,ROUND(MAX($J317*1.4*1,4020000*(1.354082^(MIN($E317,123)-118))),0))</f>
        <v>10416000000</v>
      </c>
      <c r="M317" s="4">
        <f t="shared" si="145"/>
        <v>136</v>
      </c>
      <c r="N317" s="8">
        <f>IF($J317=0,0,ROUND(MAX($J317*1.4*1.5*1,6950000*(1.375334^(MIN($E317,123)-118))),0))</f>
        <v>15624000000</v>
      </c>
      <c r="O317" s="6">
        <f t="shared" si="146"/>
        <v>138</v>
      </c>
      <c r="P317" s="7">
        <f>IF($J317=0,0,ROUND(MAX($J317*1.4*1.5*1.6*1,23900000*(1.1788^(MIN($E317,123)-118))),0))</f>
        <v>24998400000</v>
      </c>
      <c r="Q317" s="4">
        <f t="shared" si="147"/>
        <v>140</v>
      </c>
      <c r="R317" s="8">
        <f>IF($J317=0,0,ROUND(MAX($J317*1.4*1.5*1.6*1.6*1.25,77000000*(1.127009^(MIN($E317,123)-118))),0))</f>
        <v>49996800000</v>
      </c>
      <c r="S317" s="6">
        <f t="shared" si="148"/>
        <v>142</v>
      </c>
      <c r="T317" s="7">
        <f>IF($J317=0,0,ROUND(MAX($J317*1.4*1.5*1.6*1.6*2.2*1.25,270000000*(1.248411^(MIN($E317,123)-118))),0))</f>
        <v>109992960000</v>
      </c>
      <c r="U317" s="4">
        <f t="shared" si="149"/>
        <v>145</v>
      </c>
      <c r="V317" s="8">
        <f>IF($J317=0,0,ROUND(MAX($J317*1.4*1.5*1.6*1.6*2.2*2.715*1.25,2400000000*(1.293039^(MIN($E317,123)-118))),0))</f>
        <v>298630886400</v>
      </c>
      <c r="W317" s="6">
        <f t="shared" si="150"/>
        <v>149</v>
      </c>
      <c r="X317" s="7">
        <f>IF($J317=0,0,ROUND(MAX($J317*1.4*1.5*1.6*1.6*2.2*2.715*2.6*1.25,20000000000*(1.280114^(MIN($E317,123)-118))),0))</f>
        <v>776440304640</v>
      </c>
      <c r="Y317" s="4">
        <f t="shared" si="151"/>
        <v>151</v>
      </c>
      <c r="Z317" s="8">
        <f>IF($J317=0,0,ROUND(MAX($J317*1.4*1.5*1.6*1.6*2.2*2.715*2.6*1.4*1.25,39200000000*(1.31219^(MIN($E317,123)-118))),0))</f>
        <v>1087016426496</v>
      </c>
      <c r="AA317" s="6">
        <f t="shared" si="152"/>
        <v>153</v>
      </c>
      <c r="AB317" s="7">
        <f>IF($J317=0,0,ROUND(MAX($J317*1.4*1.5*1.6*1.6*2.2*2.715*2.6*1.4*1.4*1.25,54900000000*(1.312402^(MIN($E317,123)-118))),0))</f>
        <v>1521822997094</v>
      </c>
      <c r="AC317" s="4">
        <f t="shared" si="153"/>
        <v>155</v>
      </c>
      <c r="AD317" s="8">
        <f>IF($J317=0,0,ROUND(MAX($J317*1.4*1.5*1.6*1.6*2.2*2.715*2.6*1.4*1.4*1.5*1.25,82400000000*(1.312754^(MIN($E317,123)-118))),0))</f>
        <v>2282734495642</v>
      </c>
      <c r="AE317" s="6">
        <f t="shared" si="154"/>
        <v>158</v>
      </c>
      <c r="AF317" s="7">
        <f>IF($J317=0,0,ROUND(MAX($J317*1.4*1.5*1.6*1.6*2.2*2.715*2.6*1.4*1.4*1.5*1.5*1.25,124000000000*(1.312246^(MIN($E317,123)-118))),0))</f>
        <v>3424101743462</v>
      </c>
      <c r="AG317" s="4">
        <f t="shared" si="155"/>
        <v>161</v>
      </c>
      <c r="AH317" s="8">
        <f>IF($J317=0,0,ROUND(MAX($J317*1.4*1.5*1.6*1.6*2.2*2.715*2.6*1.4*1.4*1.5*1.5*3.2*1.25,397000000000*(1.313132^(MIN($E317,123)-118))),0))</f>
        <v>10957125579080</v>
      </c>
    </row>
    <row r="318" ht="27.75" customHeight="1" spans="1:34" x14ac:dyDescent="0.25">
      <c r="A318" s="3">
        <v>357</v>
      </c>
      <c r="B318" s="3" t="s">
        <v>81</v>
      </c>
      <c r="C318" s="3" t="s">
        <v>481</v>
      </c>
      <c r="D318" s="3" t="s">
        <v>25</v>
      </c>
      <c r="E318" s="3">
        <v>136</v>
      </c>
      <c r="F318" s="3" t="s">
        <v>30</v>
      </c>
      <c r="G318" s="3" t="s">
        <v>30</v>
      </c>
      <c r="H318" s="3">
        <v>36</v>
      </c>
      <c r="I318" s="4">
        <v>136</v>
      </c>
      <c r="J318" s="5">
        <v>22800000000</v>
      </c>
      <c r="K318" s="6">
        <f t="shared" si="144"/>
        <v>137</v>
      </c>
      <c r="L318" s="7">
        <f>IF($J318=0,0,ROUND(MAX($J318*1.4*1,4020000*(1.354082^(MIN($E318,123)-118))),0))</f>
        <v>31920000000</v>
      </c>
      <c r="M318" s="4">
        <f t="shared" si="145"/>
        <v>138</v>
      </c>
      <c r="N318" s="8">
        <f>IF($J318=0,0,ROUND(MAX($J318*1.4*1.5*1,6950000*(1.375334^(MIN($E318,123)-118))),0))</f>
        <v>47880000000</v>
      </c>
      <c r="O318" s="6">
        <f t="shared" si="146"/>
        <v>140</v>
      </c>
      <c r="P318" s="7">
        <f>IF($J318=0,0,ROUND(MAX($J318*1.4*1.5*1.6*1,23900000*(1.1788^(MIN($E318,123)-118))),0))</f>
        <v>76608000000</v>
      </c>
      <c r="Q318" s="4">
        <f t="shared" si="147"/>
        <v>142</v>
      </c>
      <c r="R318" s="8">
        <f>IF($J318=0,0,ROUND(MAX($J318*1.4*1.5*1.6*1.6*1.25,77000000*(1.127009^(MIN($E318,123)-118))),0))</f>
        <v>153216000000</v>
      </c>
      <c r="S318" s="6">
        <f t="shared" si="148"/>
        <v>144</v>
      </c>
      <c r="T318" s="7">
        <f>IF($J318=0,0,ROUND(MAX($J318*1.4*1.5*1.6*1.6*2.2*1.25,270000000*(1.248411^(MIN($E318,123)-118))),0))</f>
        <v>337075200000</v>
      </c>
      <c r="U318" s="4">
        <f t="shared" si="149"/>
        <v>147</v>
      </c>
      <c r="V318" s="8">
        <f>IF($J318=0,0,ROUND(MAX($J318*1.4*1.5*1.6*1.6*2.2*2.715*1.25,2400000000*(1.293039^(MIN($E318,123)-118))),0))</f>
        <v>915159168000</v>
      </c>
      <c r="W318" s="6">
        <f t="shared" si="150"/>
        <v>151</v>
      </c>
      <c r="X318" s="7">
        <f>IF($J318=0,0,ROUND(MAX($J318*1.4*1.5*1.6*1.6*2.2*2.715*2.6*1.25,20000000000*(1.280114^(MIN($E318,123)-118))),0))</f>
        <v>2379413836800</v>
      </c>
      <c r="Y318" s="4">
        <f t="shared" si="151"/>
        <v>153</v>
      </c>
      <c r="Z318" s="8">
        <f>IF($J318=0,0,ROUND(MAX($J318*1.4*1.5*1.6*1.6*2.2*2.715*2.6*1.4*1.25,39200000000*(1.31219^(MIN($E318,123)-118))),0))</f>
        <v>3331179371520</v>
      </c>
      <c r="AA318" s="6">
        <f t="shared" si="152"/>
        <v>155</v>
      </c>
      <c r="AB318" s="7">
        <f>IF($J318=0,0,ROUND(MAX($J318*1.4*1.5*1.6*1.6*2.2*2.715*2.6*1.4*1.4*1.25,54900000000*(1.312402^(MIN($E318,123)-118))),0))</f>
        <v>4663651120128</v>
      </c>
      <c r="AC318" s="4">
        <f t="shared" si="153"/>
        <v>157</v>
      </c>
      <c r="AD318" s="8">
        <f>IF($J318=0,0,ROUND(MAX($J318*1.4*1.5*1.6*1.6*2.2*2.715*2.6*1.4*1.4*1.5*1.25,82400000000*(1.312754^(MIN($E318,123)-118))),0))</f>
        <v>6995476680192</v>
      </c>
      <c r="AE318" s="6">
        <f t="shared" si="154"/>
        <v>160</v>
      </c>
      <c r="AF318" s="7">
        <f>IF($J318=0,0,ROUND(MAX($J318*1.4*1.5*1.6*1.6*2.2*2.715*2.6*1.4*1.4*1.5*1.5*1.25,124000000000*(1.312246^(MIN($E318,123)-118))),0))</f>
        <v>10493215020288</v>
      </c>
      <c r="AG318" s="4">
        <f t="shared" si="155"/>
        <v>163</v>
      </c>
      <c r="AH318" s="8">
        <f>IF($J318=0,0,ROUND(MAX($J318*1.4*1.5*1.6*1.6*2.2*2.715*2.6*1.4*1.4*1.5*1.5*3.2*1.25,397000000000*(1.313132^(MIN($E318,123)-118))),0))</f>
        <v>33578288064922</v>
      </c>
    </row>
    <row r="319" ht="27.75" customHeight="1" spans="1:34" x14ac:dyDescent="0.25">
      <c r="A319" s="3">
        <v>329</v>
      </c>
      <c r="B319" s="3" t="s">
        <v>483</v>
      </c>
      <c r="C319" s="3" t="s">
        <v>481</v>
      </c>
      <c r="D319" s="3" t="s">
        <v>33</v>
      </c>
      <c r="E319" s="3">
        <v>129</v>
      </c>
      <c r="F319" s="3" t="s">
        <v>30</v>
      </c>
      <c r="G319" s="3" t="s">
        <v>30</v>
      </c>
      <c r="H319" s="3">
        <v>32</v>
      </c>
      <c r="I319" s="4">
        <v>129</v>
      </c>
      <c r="J319" s="5">
        <v>7440000000</v>
      </c>
      <c r="K319" s="6">
        <f t="shared" si="144"/>
        <v>130</v>
      </c>
      <c r="L319" s="7">
        <f t="shared" ref="L319:L325" si="180">IF($J319=0,0,ROUND(MAX($J319*1.4,1620000*(1.497923^(MIN($E319,123)-117)))*1,0))</f>
        <v>10416000000</v>
      </c>
      <c r="M319" s="4">
        <f t="shared" si="145"/>
        <v>131</v>
      </c>
      <c r="N319" s="8">
        <f t="shared" ref="N319:N325" si="181">IF($J319=0,0,ROUND(MAX($J319*1.4*1.5,2190000*(1.580994^(MIN($E319,123)-117)))*1,0))</f>
        <v>15624000000</v>
      </c>
      <c r="O319" s="6">
        <f t="shared" si="146"/>
        <v>133</v>
      </c>
      <c r="P319" s="7">
        <f t="shared" ref="P319:P325" si="182">IF($J319=0,0,ROUND(MAX($J319*1.4*1.5*1.6,3500000*(1.57975^(MIN($E319,123)-117)))*1,0))</f>
        <v>24998400000</v>
      </c>
      <c r="Q319" s="4">
        <f t="shared" si="147"/>
        <v>135</v>
      </c>
      <c r="R319" s="8">
        <f t="shared" ref="R319:R325" si="183">IF($J319=0,0,ROUND(MAX($J319*1.4*1.5*1.6*1.6,13100000*(1.429962^(MIN($E319,123)-117)))*1,0))</f>
        <v>39997440000</v>
      </c>
      <c r="S319" s="6">
        <f t="shared" si="148"/>
        <v>137</v>
      </c>
      <c r="T319" s="7">
        <f t="shared" ref="T319:T325" si="184">IF($J319=0,0,ROUND(MAX($J319*1.4*1.5*1.6*1.6*2.2,42600000*(1.576904^(MIN($E319,123)-117)))*1,0))</f>
        <v>87994368000</v>
      </c>
      <c r="U319" s="4">
        <f t="shared" si="149"/>
        <v>140</v>
      </c>
      <c r="V319" s="8">
        <f t="shared" ref="V319:V325" si="185">IF($J319=0,0,ROUND(MAX($J319*1.4*1.5*1.6*1.6*2.2*2.715,354000000*(1.642074^(MIN($E319,123)-117)))*1,0))</f>
        <v>238904709120</v>
      </c>
      <c r="W319" s="6">
        <f t="shared" si="150"/>
        <v>144</v>
      </c>
      <c r="X319" s="7">
        <f t="shared" ref="X319:X325" si="186">IF($J319=0,0,ROUND(MAX($J319*1.4*1.5*1.6*1.6*2.2*2.715*2.6,3540000000*(1.579646^(MIN($E319,123)-117)))*1,0))</f>
        <v>621152243712</v>
      </c>
      <c r="Y319" s="4">
        <f t="shared" si="151"/>
        <v>146</v>
      </c>
      <c r="Z319" s="8">
        <f t="shared" ref="Z319:Z325" si="187">IF($J319=0,0,ROUND(MAX($J319*1.4*1.5*1.6*1.6*2.2*2.715*2.6*1.4,6020000000*(1.651178^(MIN($E319,123)-117)))*1,0))</f>
        <v>869613141197</v>
      </c>
      <c r="AA319" s="6">
        <f t="shared" si="152"/>
        <v>148</v>
      </c>
      <c r="AB319" s="7">
        <f t="shared" ref="AB319:AB325" si="188">IF($J319=0,0,ROUND(MAX($J319*1.4*1.5*1.6*1.6*2.2*2.715*2.6*1.4*1.4,8430000000*(1.651435^(MIN($E319,123)-117)))*1,0))</f>
        <v>1217458397676</v>
      </c>
      <c r="AC319" s="4">
        <f t="shared" si="153"/>
        <v>150</v>
      </c>
      <c r="AD319" s="8">
        <f t="shared" ref="AD319:AD325" si="189">IF($J319=0,0,ROUND(MAX($J319*1.4*1.5*1.6*1.6*2.2*2.715*2.6*1.4*1.4*1.5,12600000000*(1.652953^(MIN($E319,123)-117)))*1,0))</f>
        <v>1826187596513</v>
      </c>
      <c r="AE319" s="6">
        <f t="shared" si="154"/>
        <v>153</v>
      </c>
      <c r="AF319" s="7">
        <f t="shared" ref="AF319:AF325" si="190">IF($J319=0,0,ROUND(MAX($J319*1.4*1.5*1.6*1.6*2.2*2.715*2.6*1.4*1.4*1.5*1.5,18900000000*(1.65331^(MIN($E319,123)-117)))*1,0))</f>
        <v>2739281394770</v>
      </c>
      <c r="AG319" s="4">
        <f t="shared" si="155"/>
        <v>156</v>
      </c>
      <c r="AH319" s="8">
        <f t="shared" ref="AH319:AH325" si="191">IF($J319=0,0,ROUND(MAX($J319*1.4*1.5*1.6*1.6*2.2*2.715*2.6*1.4*1.4*1.5*1.5*3.2,60500000000*(1.654288^(MIN($E319,123)-117)))*1,0))</f>
        <v>8765700463264</v>
      </c>
    </row>
    <row r="320" ht="27.75" customHeight="1" spans="1:34" x14ac:dyDescent="0.25">
      <c r="A320" s="3">
        <v>330</v>
      </c>
      <c r="B320" s="3" t="s">
        <v>484</v>
      </c>
      <c r="C320" s="3" t="s">
        <v>481</v>
      </c>
      <c r="D320" s="3" t="s">
        <v>33</v>
      </c>
      <c r="E320" s="3">
        <v>132</v>
      </c>
      <c r="F320" s="3" t="s">
        <v>42</v>
      </c>
      <c r="G320" s="3" t="s">
        <v>42</v>
      </c>
      <c r="H320" s="3">
        <v>34</v>
      </c>
      <c r="I320" s="4">
        <v>132</v>
      </c>
      <c r="J320" s="5">
        <v>7840000000</v>
      </c>
      <c r="K320" s="6">
        <f t="shared" si="144"/>
        <v>133</v>
      </c>
      <c r="L320" s="7">
        <f t="shared" si="180"/>
        <v>10976000000</v>
      </c>
      <c r="M320" s="4">
        <f t="shared" si="145"/>
        <v>134</v>
      </c>
      <c r="N320" s="8">
        <f t="shared" si="181"/>
        <v>16464000000</v>
      </c>
      <c r="O320" s="6">
        <f t="shared" si="146"/>
        <v>136</v>
      </c>
      <c r="P320" s="7">
        <f t="shared" si="182"/>
        <v>26342400000</v>
      </c>
      <c r="Q320" s="4">
        <f t="shared" si="147"/>
        <v>138</v>
      </c>
      <c r="R320" s="8">
        <f t="shared" si="183"/>
        <v>42147840000</v>
      </c>
      <c r="S320" s="6">
        <f t="shared" si="148"/>
        <v>140</v>
      </c>
      <c r="T320" s="7">
        <f t="shared" si="184"/>
        <v>92725248000</v>
      </c>
      <c r="U320" s="4">
        <f t="shared" si="149"/>
        <v>143</v>
      </c>
      <c r="V320" s="8">
        <f t="shared" si="185"/>
        <v>251749048320</v>
      </c>
      <c r="W320" s="6">
        <f t="shared" si="150"/>
        <v>147</v>
      </c>
      <c r="X320" s="7">
        <f t="shared" si="186"/>
        <v>654547525632</v>
      </c>
      <c r="Y320" s="4">
        <f t="shared" si="151"/>
        <v>149</v>
      </c>
      <c r="Z320" s="8">
        <f t="shared" si="187"/>
        <v>916366535885</v>
      </c>
      <c r="AA320" s="6">
        <f t="shared" si="152"/>
        <v>151</v>
      </c>
      <c r="AB320" s="7">
        <f t="shared" si="188"/>
        <v>1282913150239</v>
      </c>
      <c r="AC320" s="4">
        <f t="shared" si="153"/>
        <v>153</v>
      </c>
      <c r="AD320" s="8">
        <f t="shared" si="189"/>
        <v>1924369725358</v>
      </c>
      <c r="AE320" s="6">
        <f t="shared" si="154"/>
        <v>156</v>
      </c>
      <c r="AF320" s="7">
        <f t="shared" si="190"/>
        <v>2886554588037</v>
      </c>
      <c r="AG320" s="4">
        <f t="shared" si="155"/>
        <v>159</v>
      </c>
      <c r="AH320" s="8">
        <f t="shared" si="191"/>
        <v>9236974681719</v>
      </c>
    </row>
    <row r="321" ht="27.75" customHeight="1" spans="1:34" x14ac:dyDescent="0.25">
      <c r="A321" s="3">
        <v>331</v>
      </c>
      <c r="B321" s="3" t="s">
        <v>485</v>
      </c>
      <c r="C321" s="3" t="s">
        <v>481</v>
      </c>
      <c r="D321" s="3" t="s">
        <v>33</v>
      </c>
      <c r="E321" s="3">
        <v>132</v>
      </c>
      <c r="F321" s="3" t="s">
        <v>30</v>
      </c>
      <c r="G321" s="3" t="s">
        <v>30</v>
      </c>
      <c r="H321" s="3">
        <v>35</v>
      </c>
      <c r="I321" s="4">
        <v>132</v>
      </c>
      <c r="J321" s="5">
        <v>5180000000</v>
      </c>
      <c r="K321" s="6">
        <f t="shared" si="144"/>
        <v>133</v>
      </c>
      <c r="L321" s="7">
        <f t="shared" si="180"/>
        <v>7252000000</v>
      </c>
      <c r="M321" s="4">
        <f t="shared" si="145"/>
        <v>134</v>
      </c>
      <c r="N321" s="8">
        <f t="shared" si="181"/>
        <v>10878000000</v>
      </c>
      <c r="O321" s="6">
        <f t="shared" si="146"/>
        <v>136</v>
      </c>
      <c r="P321" s="7">
        <f t="shared" si="182"/>
        <v>17404800000</v>
      </c>
      <c r="Q321" s="4">
        <f t="shared" si="147"/>
        <v>138</v>
      </c>
      <c r="R321" s="8">
        <f t="shared" si="183"/>
        <v>27847680000</v>
      </c>
      <c r="S321" s="6">
        <f t="shared" si="148"/>
        <v>140</v>
      </c>
      <c r="T321" s="7">
        <f t="shared" si="184"/>
        <v>61264896000</v>
      </c>
      <c r="U321" s="4">
        <f t="shared" si="149"/>
        <v>143</v>
      </c>
      <c r="V321" s="8">
        <f t="shared" si="185"/>
        <v>166334192640</v>
      </c>
      <c r="W321" s="6">
        <f t="shared" si="150"/>
        <v>147</v>
      </c>
      <c r="X321" s="7">
        <f t="shared" si="186"/>
        <v>432468900864</v>
      </c>
      <c r="Y321" s="4">
        <f t="shared" si="151"/>
        <v>149</v>
      </c>
      <c r="Z321" s="8">
        <f t="shared" si="187"/>
        <v>605456461210</v>
      </c>
      <c r="AA321" s="6">
        <f t="shared" si="152"/>
        <v>151</v>
      </c>
      <c r="AB321" s="7">
        <f t="shared" si="188"/>
        <v>847639045693</v>
      </c>
      <c r="AC321" s="4">
        <f t="shared" si="153"/>
        <v>153</v>
      </c>
      <c r="AD321" s="8">
        <f t="shared" si="189"/>
        <v>1271458568540</v>
      </c>
      <c r="AE321" s="6">
        <f t="shared" si="154"/>
        <v>156</v>
      </c>
      <c r="AF321" s="7">
        <f t="shared" si="190"/>
        <v>1907187852810</v>
      </c>
      <c r="AG321" s="4">
        <f t="shared" si="155"/>
        <v>159</v>
      </c>
      <c r="AH321" s="8">
        <f t="shared" si="191"/>
        <v>6103001128993</v>
      </c>
    </row>
    <row r="322" ht="27.75" customHeight="1" spans="1:34" x14ac:dyDescent="0.25">
      <c r="A322" s="3">
        <v>332</v>
      </c>
      <c r="B322" s="3" t="s">
        <v>176</v>
      </c>
      <c r="C322" s="3" t="s">
        <v>481</v>
      </c>
      <c r="D322" s="3" t="s">
        <v>33</v>
      </c>
      <c r="E322" s="3">
        <v>133</v>
      </c>
      <c r="F322" s="3" t="s">
        <v>54</v>
      </c>
      <c r="G322" s="3" t="s">
        <v>54</v>
      </c>
      <c r="H322" s="3">
        <v>35</v>
      </c>
      <c r="I322" s="4">
        <v>133</v>
      </c>
      <c r="J322" s="5">
        <v>5600000000</v>
      </c>
      <c r="K322" s="6">
        <f t="shared" si="144"/>
        <v>134</v>
      </c>
      <c r="L322" s="7">
        <f t="shared" si="180"/>
        <v>7840000000</v>
      </c>
      <c r="M322" s="4">
        <f t="shared" si="145"/>
        <v>135</v>
      </c>
      <c r="N322" s="8">
        <f t="shared" si="181"/>
        <v>11760000000</v>
      </c>
      <c r="O322" s="6">
        <f t="shared" si="146"/>
        <v>137</v>
      </c>
      <c r="P322" s="7">
        <f t="shared" si="182"/>
        <v>18816000000</v>
      </c>
      <c r="Q322" s="4">
        <f t="shared" si="147"/>
        <v>139</v>
      </c>
      <c r="R322" s="8">
        <f t="shared" si="183"/>
        <v>30105600000</v>
      </c>
      <c r="S322" s="6">
        <f t="shared" si="148"/>
        <v>141</v>
      </c>
      <c r="T322" s="7">
        <f t="shared" si="184"/>
        <v>66232320000</v>
      </c>
      <c r="U322" s="4">
        <f t="shared" si="149"/>
        <v>144</v>
      </c>
      <c r="V322" s="8">
        <f t="shared" si="185"/>
        <v>179820748800</v>
      </c>
      <c r="W322" s="6">
        <f t="shared" si="150"/>
        <v>148</v>
      </c>
      <c r="X322" s="7">
        <f t="shared" si="186"/>
        <v>467533946880</v>
      </c>
      <c r="Y322" s="4">
        <f t="shared" si="151"/>
        <v>150</v>
      </c>
      <c r="Z322" s="8">
        <f t="shared" si="187"/>
        <v>654547525632</v>
      </c>
      <c r="AA322" s="6">
        <f t="shared" si="152"/>
        <v>152</v>
      </c>
      <c r="AB322" s="7">
        <f t="shared" si="188"/>
        <v>916366535885</v>
      </c>
      <c r="AC322" s="4">
        <f t="shared" si="153"/>
        <v>154</v>
      </c>
      <c r="AD322" s="8">
        <f t="shared" si="189"/>
        <v>1374549803827</v>
      </c>
      <c r="AE322" s="6">
        <f t="shared" si="154"/>
        <v>157</v>
      </c>
      <c r="AF322" s="7">
        <f t="shared" si="190"/>
        <v>2061824705741</v>
      </c>
      <c r="AG322" s="4">
        <f t="shared" si="155"/>
        <v>160</v>
      </c>
      <c r="AH322" s="8">
        <f t="shared" si="191"/>
        <v>6597839058371</v>
      </c>
    </row>
    <row r="323" ht="27.75" customHeight="1" spans="1:34" x14ac:dyDescent="0.25">
      <c r="A323" s="3">
        <v>333</v>
      </c>
      <c r="B323" s="3" t="s">
        <v>162</v>
      </c>
      <c r="C323" s="3" t="s">
        <v>481</v>
      </c>
      <c r="D323" s="3" t="s">
        <v>33</v>
      </c>
      <c r="E323" s="3">
        <v>133</v>
      </c>
      <c r="F323" s="3" t="s">
        <v>71</v>
      </c>
      <c r="G323" s="3" t="s">
        <v>71</v>
      </c>
      <c r="H323" s="3">
        <v>34</v>
      </c>
      <c r="I323" s="4">
        <v>133</v>
      </c>
      <c r="J323" s="5">
        <v>7840000000</v>
      </c>
      <c r="K323" s="6">
        <f t="shared" ref="K323:K386" si="192">$E323+1</f>
        <v>134</v>
      </c>
      <c r="L323" s="7">
        <f t="shared" si="180"/>
        <v>10976000000</v>
      </c>
      <c r="M323" s="4">
        <f t="shared" ref="M323:M386" si="193">$E323+2</f>
        <v>135</v>
      </c>
      <c r="N323" s="8">
        <f t="shared" si="181"/>
        <v>16464000000</v>
      </c>
      <c r="O323" s="6">
        <f t="shared" ref="O323:O386" si="194">$E323+4</f>
        <v>137</v>
      </c>
      <c r="P323" s="7">
        <f t="shared" si="182"/>
        <v>26342400000</v>
      </c>
      <c r="Q323" s="4">
        <f t="shared" ref="Q323:Q386" si="195">$E323+6</f>
        <v>139</v>
      </c>
      <c r="R323" s="8">
        <f t="shared" si="183"/>
        <v>42147840000</v>
      </c>
      <c r="S323" s="6">
        <f t="shared" ref="S323:S386" si="196">$E323+8</f>
        <v>141</v>
      </c>
      <c r="T323" s="7">
        <f t="shared" si="184"/>
        <v>92725248000</v>
      </c>
      <c r="U323" s="4">
        <f t="shared" ref="U323:U386" si="197">$E323+11</f>
        <v>144</v>
      </c>
      <c r="V323" s="8">
        <f t="shared" si="185"/>
        <v>251749048320</v>
      </c>
      <c r="W323" s="6">
        <f t="shared" ref="W323:W386" si="198">$E323+15</f>
        <v>148</v>
      </c>
      <c r="X323" s="7">
        <f t="shared" si="186"/>
        <v>654547525632</v>
      </c>
      <c r="Y323" s="4">
        <f t="shared" ref="Y323:Y386" si="199">$E323+17</f>
        <v>150</v>
      </c>
      <c r="Z323" s="8">
        <f t="shared" si="187"/>
        <v>916366535885</v>
      </c>
      <c r="AA323" s="6">
        <f t="shared" ref="AA323:AA386" si="200">$E323+19</f>
        <v>152</v>
      </c>
      <c r="AB323" s="7">
        <f t="shared" si="188"/>
        <v>1282913150239</v>
      </c>
      <c r="AC323" s="4">
        <f t="shared" ref="AC323:AC386" si="201">$E323+21</f>
        <v>154</v>
      </c>
      <c r="AD323" s="8">
        <f t="shared" si="189"/>
        <v>1924369725358</v>
      </c>
      <c r="AE323" s="6">
        <f t="shared" ref="AE323:AE386" si="202">$E323+24</f>
        <v>157</v>
      </c>
      <c r="AF323" s="7">
        <f t="shared" si="190"/>
        <v>2886554588037</v>
      </c>
      <c r="AG323" s="4">
        <f t="shared" ref="AG323:AG386" si="203">$E323+27</f>
        <v>160</v>
      </c>
      <c r="AH323" s="8">
        <f t="shared" si="191"/>
        <v>9236974681719</v>
      </c>
    </row>
    <row r="324" ht="27.75" customHeight="1" spans="1:34" x14ac:dyDescent="0.25">
      <c r="A324" s="3">
        <v>334</v>
      </c>
      <c r="B324" s="3" t="s">
        <v>175</v>
      </c>
      <c r="C324" s="3" t="s">
        <v>481</v>
      </c>
      <c r="D324" s="3" t="s">
        <v>33</v>
      </c>
      <c r="E324" s="3">
        <v>133</v>
      </c>
      <c r="F324" s="3" t="s">
        <v>54</v>
      </c>
      <c r="G324" s="3" t="s">
        <v>54</v>
      </c>
      <c r="H324" s="3">
        <v>34</v>
      </c>
      <c r="I324" s="4">
        <v>133</v>
      </c>
      <c r="J324" s="5">
        <v>5980000000</v>
      </c>
      <c r="K324" s="6">
        <f t="shared" si="192"/>
        <v>134</v>
      </c>
      <c r="L324" s="7">
        <f t="shared" si="180"/>
        <v>8372000000</v>
      </c>
      <c r="M324" s="4">
        <f t="shared" si="193"/>
        <v>135</v>
      </c>
      <c r="N324" s="8">
        <f t="shared" si="181"/>
        <v>12558000000</v>
      </c>
      <c r="O324" s="6">
        <f t="shared" si="194"/>
        <v>137</v>
      </c>
      <c r="P324" s="7">
        <f t="shared" si="182"/>
        <v>20092800000</v>
      </c>
      <c r="Q324" s="4">
        <f t="shared" si="195"/>
        <v>139</v>
      </c>
      <c r="R324" s="8">
        <f t="shared" si="183"/>
        <v>32148480000</v>
      </c>
      <c r="S324" s="6">
        <f t="shared" si="196"/>
        <v>141</v>
      </c>
      <c r="T324" s="7">
        <f t="shared" si="184"/>
        <v>70726656000</v>
      </c>
      <c r="U324" s="4">
        <f t="shared" si="197"/>
        <v>144</v>
      </c>
      <c r="V324" s="8">
        <f t="shared" si="185"/>
        <v>192022871040</v>
      </c>
      <c r="W324" s="6">
        <f t="shared" si="198"/>
        <v>148</v>
      </c>
      <c r="X324" s="7">
        <f t="shared" si="186"/>
        <v>499259464704</v>
      </c>
      <c r="Y324" s="4">
        <f t="shared" si="199"/>
        <v>150</v>
      </c>
      <c r="Z324" s="8">
        <f t="shared" si="187"/>
        <v>698963250586</v>
      </c>
      <c r="AA324" s="6">
        <f t="shared" si="200"/>
        <v>152</v>
      </c>
      <c r="AB324" s="7">
        <f t="shared" si="188"/>
        <v>978548550820</v>
      </c>
      <c r="AC324" s="4">
        <f t="shared" si="201"/>
        <v>154</v>
      </c>
      <c r="AD324" s="8">
        <f t="shared" si="189"/>
        <v>1467822826230</v>
      </c>
      <c r="AE324" s="6">
        <f t="shared" si="202"/>
        <v>157</v>
      </c>
      <c r="AF324" s="7">
        <f t="shared" si="190"/>
        <v>2201734239345</v>
      </c>
      <c r="AG324" s="4">
        <f t="shared" si="203"/>
        <v>160</v>
      </c>
      <c r="AH324" s="8">
        <f t="shared" si="191"/>
        <v>7045549565903</v>
      </c>
    </row>
    <row r="325" ht="27.75" customHeight="1" spans="1:34" x14ac:dyDescent="0.25">
      <c r="A325" s="3">
        <v>335</v>
      </c>
      <c r="B325" s="3" t="s">
        <v>149</v>
      </c>
      <c r="C325" s="3" t="s">
        <v>481</v>
      </c>
      <c r="D325" s="3" t="s">
        <v>33</v>
      </c>
      <c r="E325" s="3">
        <v>135</v>
      </c>
      <c r="F325" s="3" t="s">
        <v>56</v>
      </c>
      <c r="G325" s="3" t="s">
        <v>56</v>
      </c>
      <c r="H325" s="3">
        <v>37</v>
      </c>
      <c r="I325" s="4">
        <v>135</v>
      </c>
      <c r="J325" s="5">
        <v>5000000000</v>
      </c>
      <c r="K325" s="6">
        <f t="shared" si="192"/>
        <v>136</v>
      </c>
      <c r="L325" s="7">
        <f t="shared" si="180"/>
        <v>7000000000</v>
      </c>
      <c r="M325" s="4">
        <f t="shared" si="193"/>
        <v>137</v>
      </c>
      <c r="N325" s="8">
        <f t="shared" si="181"/>
        <v>10500000000</v>
      </c>
      <c r="O325" s="6">
        <f t="shared" si="194"/>
        <v>139</v>
      </c>
      <c r="P325" s="7">
        <f t="shared" si="182"/>
        <v>16800000000</v>
      </c>
      <c r="Q325" s="4">
        <f t="shared" si="195"/>
        <v>141</v>
      </c>
      <c r="R325" s="8">
        <f t="shared" si="183"/>
        <v>26880000000</v>
      </c>
      <c r="S325" s="6">
        <f t="shared" si="196"/>
        <v>143</v>
      </c>
      <c r="T325" s="7">
        <f t="shared" si="184"/>
        <v>59136000000</v>
      </c>
      <c r="U325" s="4">
        <f t="shared" si="197"/>
        <v>146</v>
      </c>
      <c r="V325" s="8">
        <f t="shared" si="185"/>
        <v>160554240000</v>
      </c>
      <c r="W325" s="6">
        <f t="shared" si="198"/>
        <v>150</v>
      </c>
      <c r="X325" s="7">
        <f t="shared" si="186"/>
        <v>417441024000</v>
      </c>
      <c r="Y325" s="4">
        <f t="shared" si="199"/>
        <v>152</v>
      </c>
      <c r="Z325" s="8">
        <f t="shared" si="187"/>
        <v>584417433600</v>
      </c>
      <c r="AA325" s="6">
        <f t="shared" si="200"/>
        <v>154</v>
      </c>
      <c r="AB325" s="7">
        <f t="shared" si="188"/>
        <v>818184407040</v>
      </c>
      <c r="AC325" s="4">
        <f t="shared" si="201"/>
        <v>156</v>
      </c>
      <c r="AD325" s="8">
        <f t="shared" si="189"/>
        <v>1227276610560</v>
      </c>
      <c r="AE325" s="6">
        <f t="shared" si="202"/>
        <v>159</v>
      </c>
      <c r="AF325" s="7">
        <f t="shared" si="190"/>
        <v>1840914915840</v>
      </c>
      <c r="AG325" s="4">
        <f t="shared" si="203"/>
        <v>162</v>
      </c>
      <c r="AH325" s="8">
        <f t="shared" si="191"/>
        <v>5890927730688</v>
      </c>
    </row>
    <row r="326" ht="27.75" customHeight="1" spans="1:34" x14ac:dyDescent="0.25">
      <c r="A326" s="3">
        <v>336</v>
      </c>
      <c r="B326" s="3" t="s">
        <v>125</v>
      </c>
      <c r="C326" s="3" t="s">
        <v>481</v>
      </c>
      <c r="D326" s="3" t="s">
        <v>33</v>
      </c>
      <c r="E326" s="3">
        <v>135</v>
      </c>
      <c r="F326" s="3" t="s">
        <v>56</v>
      </c>
      <c r="G326" s="3" t="s">
        <v>56</v>
      </c>
      <c r="H326" s="3">
        <v>36</v>
      </c>
      <c r="I326" s="4">
        <v>135</v>
      </c>
      <c r="J326" s="5">
        <v>11600000000</v>
      </c>
      <c r="K326" s="6">
        <f t="shared" si="192"/>
        <v>136</v>
      </c>
      <c r="L326" s="7">
        <f>IF($J326=0,0,ROUND(MAX($J326*1.4*1,4020000*(1.354082^(MIN($E326,123)-118))),0))</f>
        <v>16240000000</v>
      </c>
      <c r="M326" s="4">
        <f t="shared" si="193"/>
        <v>137</v>
      </c>
      <c r="N326" s="8">
        <f>IF($J326=0,0,ROUND(MAX($J326*1.4*1.5*1,6950000*(1.375334^(MIN($E326,123)-118))),0))</f>
        <v>24360000000</v>
      </c>
      <c r="O326" s="6">
        <f t="shared" si="194"/>
        <v>139</v>
      </c>
      <c r="P326" s="7">
        <f>IF($J326=0,0,ROUND(MAX($J326*1.4*1.5*1.6*1,23900000*(1.1788^(MIN($E326,123)-118))),0))</f>
        <v>38976000000</v>
      </c>
      <c r="Q326" s="4">
        <f t="shared" si="195"/>
        <v>141</v>
      </c>
      <c r="R326" s="8">
        <f>IF($J326=0,0,ROUND(MAX($J326*1.4*1.5*1.6*1.6*1.25,77000000*(1.127009^(MIN($E326,123)-118))),0))</f>
        <v>77952000000</v>
      </c>
      <c r="S326" s="6">
        <f t="shared" si="196"/>
        <v>143</v>
      </c>
      <c r="T326" s="7">
        <f>IF($J326=0,0,ROUND(MAX($J326*1.4*1.5*1.6*1.6*2.2*1.25,270000000*(1.248411^(MIN($E326,123)-118))),0))</f>
        <v>171494400000</v>
      </c>
      <c r="U326" s="4">
        <f t="shared" si="197"/>
        <v>146</v>
      </c>
      <c r="V326" s="8">
        <f>IF($J326=0,0,ROUND(MAX($J326*1.4*1.5*1.6*1.6*2.2*2.715*1.25,2400000000*(1.293039^(MIN($E326,123)-118))),0))</f>
        <v>465607296000</v>
      </c>
      <c r="W326" s="6">
        <f t="shared" si="198"/>
        <v>150</v>
      </c>
      <c r="X326" s="7">
        <f>IF($J326=0,0,ROUND(MAX($J326*1.4*1.5*1.6*1.6*2.2*2.715*2.6*1.25,20000000000*(1.280114^(MIN($E326,123)-118))),0))</f>
        <v>1210578969600</v>
      </c>
      <c r="Y326" s="4">
        <f t="shared" si="199"/>
        <v>152</v>
      </c>
      <c r="Z326" s="8">
        <f>IF($J326=0,0,ROUND(MAX($J326*1.4*1.5*1.6*1.6*2.2*2.715*2.6*1.4*1.25,39200000000*(1.31219^(MIN($E326,123)-118))),0))</f>
        <v>1694810557440</v>
      </c>
      <c r="AA326" s="6">
        <f t="shared" si="200"/>
        <v>154</v>
      </c>
      <c r="AB326" s="7">
        <f>IF($J326=0,0,ROUND(MAX($J326*1.4*1.5*1.6*1.6*2.2*2.715*2.6*1.4*1.4*1.25,54900000000*(1.312402^(MIN($E326,123)-118))),0))</f>
        <v>2372734780416</v>
      </c>
      <c r="AC326" s="4">
        <f t="shared" si="201"/>
        <v>156</v>
      </c>
      <c r="AD326" s="8">
        <f>IF($J326=0,0,ROUND(MAX($J326*1.4*1.5*1.6*1.6*2.2*2.715*2.6*1.4*1.4*1.5*1.25,82400000000*(1.312754^(MIN($E326,123)-118))),0))</f>
        <v>3559102170624</v>
      </c>
      <c r="AE326" s="6">
        <f t="shared" si="202"/>
        <v>159</v>
      </c>
      <c r="AF326" s="7">
        <f>IF($J326=0,0,ROUND(MAX($J326*1.4*1.5*1.6*1.6*2.2*2.715*2.6*1.4*1.4*1.5*1.5*1.25,124000000000*(1.312246^(MIN($E326,123)-118))),0))</f>
        <v>5338653255936</v>
      </c>
      <c r="AG326" s="4">
        <f t="shared" si="203"/>
        <v>162</v>
      </c>
      <c r="AH326" s="8">
        <f>IF($J326=0,0,ROUND(MAX($J326*1.4*1.5*1.6*1.6*2.2*2.715*2.6*1.4*1.4*1.5*1.5*3.2*1.25,397000000000*(1.313132^(MIN($E326,123)-118))),0))</f>
        <v>17083690418995</v>
      </c>
    </row>
    <row r="327" ht="27.75" customHeight="1" spans="1:34" x14ac:dyDescent="0.25">
      <c r="A327" s="3">
        <v>337</v>
      </c>
      <c r="B327" s="3" t="s">
        <v>32</v>
      </c>
      <c r="C327" s="3" t="s">
        <v>481</v>
      </c>
      <c r="D327" s="3" t="s">
        <v>33</v>
      </c>
      <c r="E327" s="3">
        <v>136</v>
      </c>
      <c r="F327" s="3" t="s">
        <v>34</v>
      </c>
      <c r="G327" s="3" t="s">
        <v>34</v>
      </c>
      <c r="H327" s="3">
        <v>37</v>
      </c>
      <c r="I327" s="4">
        <v>136</v>
      </c>
      <c r="J327" s="5">
        <v>32800000000</v>
      </c>
      <c r="K327" s="6">
        <f t="shared" si="192"/>
        <v>137</v>
      </c>
      <c r="L327" s="7">
        <f>IF($J327=0,0,ROUND(MAX($J327*1.4*1,4020000*(1.354082^(MIN($E327,123)-118))),0))</f>
        <v>45920000000</v>
      </c>
      <c r="M327" s="4">
        <f t="shared" si="193"/>
        <v>138</v>
      </c>
      <c r="N327" s="8">
        <f>IF($J327=0,0,ROUND(MAX($J327*1.4*1.5*1,6950000*(1.375334^(MIN($E327,123)-118))),0))</f>
        <v>68880000000</v>
      </c>
      <c r="O327" s="6">
        <f t="shared" si="194"/>
        <v>140</v>
      </c>
      <c r="P327" s="7">
        <f>IF($J327=0,0,ROUND(MAX($J327*1.4*1.5*1.6*1,23900000*(1.1788^(MIN($E327,123)-118))),0))</f>
        <v>110208000000</v>
      </c>
      <c r="Q327" s="4">
        <f t="shared" si="195"/>
        <v>142</v>
      </c>
      <c r="R327" s="8">
        <f>IF($J327=0,0,ROUND(MAX($J327*1.4*1.5*1.6*1.6*1.25,77000000*(1.127009^(MIN($E327,123)-118))),0))</f>
        <v>220416000000</v>
      </c>
      <c r="S327" s="6">
        <f t="shared" si="196"/>
        <v>144</v>
      </c>
      <c r="T327" s="7">
        <f>IF($J327=0,0,ROUND(MAX($J327*1.4*1.5*1.6*1.6*2.2*1.25,270000000*(1.248411^(MIN($E327,123)-118))),0))</f>
        <v>484915200000</v>
      </c>
      <c r="U327" s="4">
        <f t="shared" si="197"/>
        <v>147</v>
      </c>
      <c r="V327" s="8">
        <f>IF($J327=0,0,ROUND(MAX($J327*1.4*1.5*1.6*1.6*2.2*2.715*1.25,2400000000*(1.293039^(MIN($E327,123)-118))),0))</f>
        <v>1316544768000</v>
      </c>
      <c r="W327" s="6">
        <f t="shared" si="198"/>
        <v>151</v>
      </c>
      <c r="X327" s="7">
        <f>IF($J327=0,0,ROUND(MAX($J327*1.4*1.5*1.6*1.6*2.2*2.715*2.6*1.25,20000000000*(1.280114^(MIN($E327,123)-118))),0))</f>
        <v>3423016396800</v>
      </c>
      <c r="Y327" s="4">
        <f t="shared" si="199"/>
        <v>153</v>
      </c>
      <c r="Z327" s="8">
        <f>IF($J327=0,0,ROUND(MAX($J327*1.4*1.5*1.6*1.6*2.2*2.715*2.6*1.4*1.25,39200000000*(1.31219^(MIN($E327,123)-118))),0))</f>
        <v>4792222955520</v>
      </c>
      <c r="AA327" s="6">
        <f t="shared" si="200"/>
        <v>155</v>
      </c>
      <c r="AB327" s="7">
        <f>IF($J327=0,0,ROUND(MAX($J327*1.4*1.5*1.6*1.6*2.2*2.715*2.6*1.4*1.4*1.25,54900000000*(1.312402^(MIN($E327,123)-118))),0))</f>
        <v>6709112137728</v>
      </c>
      <c r="AC327" s="4">
        <f t="shared" si="201"/>
        <v>157</v>
      </c>
      <c r="AD327" s="8">
        <f>IF($J327=0,0,ROUND(MAX($J327*1.4*1.5*1.6*1.6*2.2*2.715*2.6*1.4*1.4*1.5*1.25,82400000000*(1.312754^(MIN($E327,123)-118))),0))</f>
        <v>10063668206592</v>
      </c>
      <c r="AE327" s="6">
        <f t="shared" si="202"/>
        <v>160</v>
      </c>
      <c r="AF327" s="7">
        <f>IF($J327=0,0,ROUND(MAX($J327*1.4*1.5*1.6*1.6*2.2*2.715*2.6*1.4*1.4*1.5*1.5*1.25,124000000000*(1.312246^(MIN($E327,123)-118))),0))</f>
        <v>15095502309888</v>
      </c>
      <c r="AG327" s="4">
        <f t="shared" si="203"/>
        <v>163</v>
      </c>
      <c r="AH327" s="8">
        <f>IF($J327=0,0,ROUND(MAX($J327*1.4*1.5*1.6*1.6*2.2*2.715*2.6*1.4*1.4*1.5*1.5*3.2*1.25,397000000000*(1.313132^(MIN($E327,123)-118))),0))</f>
        <v>48305607391642</v>
      </c>
    </row>
    <row r="328" ht="27.75" customHeight="1" spans="1:34" x14ac:dyDescent="0.25">
      <c r="A328" s="3">
        <v>340</v>
      </c>
      <c r="B328" s="3" t="s">
        <v>193</v>
      </c>
      <c r="C328" s="3" t="s">
        <v>481</v>
      </c>
      <c r="D328" s="3" t="s">
        <v>102</v>
      </c>
      <c r="E328" s="3">
        <v>131</v>
      </c>
      <c r="F328" s="3" t="s">
        <v>194</v>
      </c>
      <c r="G328" s="3" t="s">
        <v>194</v>
      </c>
      <c r="H328" s="3">
        <v>34</v>
      </c>
      <c r="I328" s="4">
        <v>131</v>
      </c>
      <c r="J328" s="5">
        <v>16900000000</v>
      </c>
      <c r="K328" s="6">
        <f t="shared" si="192"/>
        <v>132</v>
      </c>
      <c r="L328" s="7">
        <f>IF($J328=0,0,ROUND(MAX($J328*1.4,1620000*(1.497923^(MIN($E328,123)-117)))*1,0))</f>
        <v>23660000000</v>
      </c>
      <c r="M328" s="4">
        <f t="shared" si="193"/>
        <v>133</v>
      </c>
      <c r="N328" s="8">
        <f>IF($J328=0,0,ROUND(MAX($J328*1.4*1.5,2190000*(1.580994^(MIN($E328,123)-117)))*1,0))</f>
        <v>35490000000</v>
      </c>
      <c r="O328" s="6">
        <f t="shared" si="194"/>
        <v>135</v>
      </c>
      <c r="P328" s="7">
        <f>IF($J328=0,0,ROUND(MAX($J328*1.4*1.5*1.6,3500000*(1.57975^(MIN($E328,123)-117)))*1,0))</f>
        <v>56784000000</v>
      </c>
      <c r="Q328" s="4">
        <f t="shared" si="195"/>
        <v>137</v>
      </c>
      <c r="R328" s="8">
        <f>IF($J328=0,0,ROUND(MAX($J328*1.4*1.5*1.6*1.6,13100000*(1.429962^(MIN($E328,123)-117)))*1,0))</f>
        <v>90854400000</v>
      </c>
      <c r="S328" s="6">
        <f t="shared" si="196"/>
        <v>139</v>
      </c>
      <c r="T328" s="7">
        <f>IF($J328=0,0,ROUND(MAX($J328*1.4*1.5*1.6*1.6*2.2,42600000*(1.576904^(MIN($E328,123)-117)))*1,0))</f>
        <v>199879680000</v>
      </c>
      <c r="U328" s="4">
        <f t="shared" si="197"/>
        <v>142</v>
      </c>
      <c r="V328" s="8">
        <f>IF($J328=0,0,ROUND(MAX($J328*1.4*1.5*1.6*1.6*2.2*2.715,354000000*(1.642074^(MIN($E328,123)-117)))*1,0))</f>
        <v>542673331200</v>
      </c>
      <c r="W328" s="6">
        <f t="shared" si="198"/>
        <v>146</v>
      </c>
      <c r="X328" s="7">
        <f>IF($J328=0,0,ROUND(MAX($J328*1.4*1.5*1.6*1.6*2.2*2.715*2.6,3540000000*(1.579646^(MIN($E328,123)-117)))*1,0))</f>
        <v>1410950661120</v>
      </c>
      <c r="Y328" s="4">
        <f t="shared" si="199"/>
        <v>148</v>
      </c>
      <c r="Z328" s="8">
        <f>IF($J328=0,0,ROUND(MAX($J328*1.4*1.5*1.6*1.6*2.2*2.715*2.6*1.4,6020000000*(1.651178^(MIN($E328,123)-117)))*1,0))</f>
        <v>1975330925568</v>
      </c>
      <c r="AA328" s="6">
        <f t="shared" si="200"/>
        <v>150</v>
      </c>
      <c r="AB328" s="7">
        <f>IF($J328=0,0,ROUND(MAX($J328*1.4*1.5*1.6*1.6*2.2*2.715*2.6*1.4*1.4,8430000000*(1.651435^(MIN($E328,123)-117)))*1,0))</f>
        <v>2765463295795</v>
      </c>
      <c r="AC328" s="4">
        <f t="shared" si="201"/>
        <v>152</v>
      </c>
      <c r="AD328" s="8">
        <f>IF($J328=0,0,ROUND(MAX($J328*1.4*1.5*1.6*1.6*2.2*2.715*2.6*1.4*1.4*1.5,12600000000*(1.652953^(MIN($E328,123)-117)))*1,0))</f>
        <v>4148194943693</v>
      </c>
      <c r="AE328" s="6">
        <f t="shared" si="202"/>
        <v>155</v>
      </c>
      <c r="AF328" s="7">
        <f>IF($J328=0,0,ROUND(MAX($J328*1.4*1.5*1.6*1.6*2.2*2.715*2.6*1.4*1.4*1.5*1.5,18900000000*(1.65331^(MIN($E328,123)-117)))*1,0))</f>
        <v>6222292415539</v>
      </c>
      <c r="AG328" s="4">
        <f t="shared" si="203"/>
        <v>158</v>
      </c>
      <c r="AH328" s="8">
        <f>IF($J328=0,0,ROUND(MAX($J328*1.4*1.5*1.6*1.6*2.2*2.715*2.6*1.4*1.4*1.5*1.5*3.2,60500000000*(1.654288^(MIN($E328,123)-117)))*1,0))</f>
        <v>19911335729725</v>
      </c>
    </row>
    <row r="329" ht="27.75" customHeight="1" spans="1:34" x14ac:dyDescent="0.25">
      <c r="A329" s="3">
        <v>341</v>
      </c>
      <c r="B329" s="3" t="s">
        <v>189</v>
      </c>
      <c r="C329" s="3" t="s">
        <v>481</v>
      </c>
      <c r="D329" s="3" t="s">
        <v>102</v>
      </c>
      <c r="E329" s="3">
        <v>132</v>
      </c>
      <c r="F329" s="3" t="s">
        <v>62</v>
      </c>
      <c r="G329" s="3" t="s">
        <v>62</v>
      </c>
      <c r="H329" s="3">
        <v>34</v>
      </c>
      <c r="I329" s="4">
        <v>132</v>
      </c>
      <c r="J329" s="5">
        <v>8840000000</v>
      </c>
      <c r="K329" s="6">
        <f t="shared" si="192"/>
        <v>133</v>
      </c>
      <c r="L329" s="7">
        <f>IF($J329=0,0,ROUND(MAX($J329*1.4,1620000*(1.497923^(MIN($E329,123)-117)))*1,0))</f>
        <v>12376000000</v>
      </c>
      <c r="M329" s="4">
        <f t="shared" si="193"/>
        <v>134</v>
      </c>
      <c r="N329" s="8">
        <f>IF($J329=0,0,ROUND(MAX($J329*1.4*1.5,2190000*(1.580994^(MIN($E329,123)-117)))*1,0))</f>
        <v>18564000000</v>
      </c>
      <c r="O329" s="6">
        <f t="shared" si="194"/>
        <v>136</v>
      </c>
      <c r="P329" s="7">
        <f>IF($J329=0,0,ROUND(MAX($J329*1.4*1.5*1.6,3500000*(1.57975^(MIN($E329,123)-117)))*1,0))</f>
        <v>29702400000</v>
      </c>
      <c r="Q329" s="4">
        <f t="shared" si="195"/>
        <v>138</v>
      </c>
      <c r="R329" s="8">
        <f>IF($J329=0,0,ROUND(MAX($J329*1.4*1.5*1.6*1.6,13100000*(1.429962^(MIN($E329,123)-117)))*1,0))</f>
        <v>47523840000</v>
      </c>
      <c r="S329" s="6">
        <f t="shared" si="196"/>
        <v>140</v>
      </c>
      <c r="T329" s="7">
        <f>IF($J329=0,0,ROUND(MAX($J329*1.4*1.5*1.6*1.6*2.2,42600000*(1.576904^(MIN($E329,123)-117)))*1,0))</f>
        <v>104552448000</v>
      </c>
      <c r="U329" s="4">
        <f t="shared" si="197"/>
        <v>143</v>
      </c>
      <c r="V329" s="8">
        <f>IF($J329=0,0,ROUND(MAX($J329*1.4*1.5*1.6*1.6*2.2*2.715,354000000*(1.642074^(MIN($E329,123)-117)))*1,0))</f>
        <v>283859896320</v>
      </c>
      <c r="W329" s="6">
        <f t="shared" si="198"/>
        <v>147</v>
      </c>
      <c r="X329" s="7">
        <f>IF($J329=0,0,ROUND(MAX($J329*1.4*1.5*1.6*1.6*2.2*2.715*2.6,3540000000*(1.579646^(MIN($E329,123)-117)))*1,0))</f>
        <v>738035730432</v>
      </c>
      <c r="Y329" s="4">
        <f t="shared" si="199"/>
        <v>149</v>
      </c>
      <c r="Z329" s="8">
        <f>IF($J329=0,0,ROUND(MAX($J329*1.4*1.5*1.6*1.6*2.2*2.715*2.6*1.4,6020000000*(1.651178^(MIN($E329,123)-117)))*1,0))</f>
        <v>1033250022605</v>
      </c>
      <c r="AA329" s="6">
        <f t="shared" si="200"/>
        <v>151</v>
      </c>
      <c r="AB329" s="7">
        <f>IF($J329=0,0,ROUND(MAX($J329*1.4*1.5*1.6*1.6*2.2*2.715*2.6*1.4*1.4,8430000000*(1.651435^(MIN($E329,123)-117)))*1,0))</f>
        <v>1446550031647</v>
      </c>
      <c r="AC329" s="4">
        <f t="shared" si="201"/>
        <v>153</v>
      </c>
      <c r="AD329" s="8">
        <f>IF($J329=0,0,ROUND(MAX($J329*1.4*1.5*1.6*1.6*2.2*2.715*2.6*1.4*1.4*1.5,12600000000*(1.652953^(MIN($E329,123)-117)))*1,0))</f>
        <v>2169825047470</v>
      </c>
      <c r="AE329" s="6">
        <f t="shared" si="202"/>
        <v>156</v>
      </c>
      <c r="AF329" s="7">
        <f>IF($J329=0,0,ROUND(MAX($J329*1.4*1.5*1.6*1.6*2.2*2.715*2.6*1.4*1.4*1.5*1.5,18900000000*(1.65331^(MIN($E329,123)-117)))*1,0))</f>
        <v>3254737571205</v>
      </c>
      <c r="AG329" s="4">
        <f t="shared" si="203"/>
        <v>159</v>
      </c>
      <c r="AH329" s="8">
        <f>IF($J329=0,0,ROUND(MAX($J329*1.4*1.5*1.6*1.6*2.2*2.715*2.6*1.4*1.4*1.5*1.5*3.2,60500000000*(1.654288^(MIN($E329,123)-117)))*1,0))</f>
        <v>10415160227856</v>
      </c>
    </row>
    <row r="330" ht="27.75" customHeight="1" spans="1:34" x14ac:dyDescent="0.25">
      <c r="A330" s="3">
        <v>342</v>
      </c>
      <c r="B330" s="3" t="s">
        <v>288</v>
      </c>
      <c r="C330" s="3" t="s">
        <v>481</v>
      </c>
      <c r="D330" s="3" t="s">
        <v>102</v>
      </c>
      <c r="E330" s="3">
        <v>134</v>
      </c>
      <c r="F330" s="3" t="s">
        <v>30</v>
      </c>
      <c r="G330" s="3" t="s">
        <v>30</v>
      </c>
      <c r="H330" s="3">
        <v>35</v>
      </c>
      <c r="I330" s="4">
        <v>134</v>
      </c>
      <c r="J330" s="5">
        <v>21500000000</v>
      </c>
      <c r="K330" s="6">
        <f t="shared" si="192"/>
        <v>135</v>
      </c>
      <c r="L330" s="7">
        <f>IF($J330=0,0,ROUND(MAX($J330*1.4,1620000*(1.497923^(MIN($E330,123)-117)))*1,0))</f>
        <v>30100000000</v>
      </c>
      <c r="M330" s="4">
        <f t="shared" si="193"/>
        <v>136</v>
      </c>
      <c r="N330" s="8">
        <f>IF($J330=0,0,ROUND(MAX($J330*1.4*1.5,2190000*(1.580994^(MIN($E330,123)-117)))*1,0))</f>
        <v>45150000000</v>
      </c>
      <c r="O330" s="6">
        <f t="shared" si="194"/>
        <v>138</v>
      </c>
      <c r="P330" s="7">
        <f>IF($J330=0,0,ROUND(MAX($J330*1.4*1.5*1.6,3500000*(1.57975^(MIN($E330,123)-117)))*1,0))</f>
        <v>72240000000</v>
      </c>
      <c r="Q330" s="4">
        <f t="shared" si="195"/>
        <v>140</v>
      </c>
      <c r="R330" s="8">
        <f>IF($J330=0,0,ROUND(MAX($J330*1.4*1.5*1.6*1.6,13100000*(1.429962^(MIN($E330,123)-117)))*1,0))</f>
        <v>115584000000</v>
      </c>
      <c r="S330" s="6">
        <f t="shared" si="196"/>
        <v>142</v>
      </c>
      <c r="T330" s="7">
        <f>IF($J330=0,0,ROUND(MAX($J330*1.4*1.5*1.6*1.6*2.2,42600000*(1.576904^(MIN($E330,123)-117)))*1,0))</f>
        <v>254284800000</v>
      </c>
      <c r="U330" s="4">
        <f t="shared" si="197"/>
        <v>145</v>
      </c>
      <c r="V330" s="8">
        <f>IF($J330=0,0,ROUND(MAX($J330*1.4*1.5*1.6*1.6*2.2*2.715,354000000*(1.642074^(MIN($E330,123)-117)))*1,0))</f>
        <v>690383232000</v>
      </c>
      <c r="W330" s="6">
        <f t="shared" si="198"/>
        <v>149</v>
      </c>
      <c r="X330" s="7">
        <f>IF($J330=0,0,ROUND(MAX($J330*1.4*1.5*1.6*1.6*2.2*2.715*2.6,3540000000*(1.579646^(MIN($E330,123)-117)))*1,0))</f>
        <v>1794996403200</v>
      </c>
      <c r="Y330" s="4">
        <f t="shared" si="199"/>
        <v>151</v>
      </c>
      <c r="Z330" s="8">
        <f>IF($J330=0,0,ROUND(MAX($J330*1.4*1.5*1.6*1.6*2.2*2.715*2.6*1.4,6020000000*(1.651178^(MIN($E330,123)-117)))*1,0))</f>
        <v>2512994964480</v>
      </c>
      <c r="AA330" s="6">
        <f t="shared" si="200"/>
        <v>153</v>
      </c>
      <c r="AB330" s="7">
        <f>IF($J330=0,0,ROUND(MAX($J330*1.4*1.5*1.6*1.6*2.2*2.715*2.6*1.4*1.4,8430000000*(1.651435^(MIN($E330,123)-117)))*1,0))</f>
        <v>3518192950272</v>
      </c>
      <c r="AC330" s="4">
        <f t="shared" si="201"/>
        <v>155</v>
      </c>
      <c r="AD330" s="8">
        <f>IF($J330=0,0,ROUND(MAX($J330*1.4*1.5*1.6*1.6*2.2*2.715*2.6*1.4*1.4*1.5,12600000000*(1.652953^(MIN($E330,123)-117)))*1,0))</f>
        <v>5277289425408</v>
      </c>
      <c r="AE330" s="6">
        <f t="shared" si="202"/>
        <v>158</v>
      </c>
      <c r="AF330" s="7">
        <f>IF($J330=0,0,ROUND(MAX($J330*1.4*1.5*1.6*1.6*2.2*2.715*2.6*1.4*1.4*1.5*1.5,18900000000*(1.65331^(MIN($E330,123)-117)))*1,0))</f>
        <v>7915934138112</v>
      </c>
      <c r="AG330" s="4">
        <f t="shared" si="203"/>
        <v>161</v>
      </c>
      <c r="AH330" s="8">
        <f>IF($J330=0,0,ROUND(MAX($J330*1.4*1.5*1.6*1.6*2.2*2.715*2.6*1.4*1.4*1.5*1.5*3.2,60500000000*(1.654288^(MIN($E330,123)-117)))*1,0))</f>
        <v>25330989241958</v>
      </c>
    </row>
    <row r="331" ht="27.75" customHeight="1" spans="1:34" x14ac:dyDescent="0.25">
      <c r="A331" s="3">
        <v>343</v>
      </c>
      <c r="B331" s="3" t="s">
        <v>148</v>
      </c>
      <c r="C331" s="3" t="s">
        <v>481</v>
      </c>
      <c r="D331" s="3" t="s">
        <v>102</v>
      </c>
      <c r="E331" s="3">
        <v>135</v>
      </c>
      <c r="F331" s="3" t="s">
        <v>54</v>
      </c>
      <c r="G331" s="3" t="s">
        <v>54</v>
      </c>
      <c r="H331" s="3">
        <v>36</v>
      </c>
      <c r="I331" s="4">
        <v>135</v>
      </c>
      <c r="J331" s="5">
        <v>18600000000</v>
      </c>
      <c r="K331" s="6">
        <f t="shared" si="192"/>
        <v>136</v>
      </c>
      <c r="L331" s="7">
        <f>IF($J331=0,0,ROUND(MAX($J331*1.4,1620000*(1.497923^(MIN($E331,123)-117)))*1,0))</f>
        <v>26040000000</v>
      </c>
      <c r="M331" s="4">
        <f t="shared" si="193"/>
        <v>137</v>
      </c>
      <c r="N331" s="8">
        <f>IF($J331=0,0,ROUND(MAX($J331*1.4*1.5,2190000*(1.580994^(MIN($E331,123)-117)))*1,0))</f>
        <v>39060000000</v>
      </c>
      <c r="O331" s="6">
        <f t="shared" si="194"/>
        <v>139</v>
      </c>
      <c r="P331" s="7">
        <f>IF($J331=0,0,ROUND(MAX($J331*1.4*1.5*1.6,3500000*(1.57975^(MIN($E331,123)-117)))*1,0))</f>
        <v>62496000000</v>
      </c>
      <c r="Q331" s="4">
        <f t="shared" si="195"/>
        <v>141</v>
      </c>
      <c r="R331" s="8">
        <f>IF($J331=0,0,ROUND(MAX($J331*1.4*1.5*1.6*1.6,13100000*(1.429962^(MIN($E331,123)-117)))*1,0))</f>
        <v>99993600000</v>
      </c>
      <c r="S331" s="6">
        <f t="shared" si="196"/>
        <v>143</v>
      </c>
      <c r="T331" s="7">
        <f>IF($J331=0,0,ROUND(MAX($J331*1.4*1.5*1.6*1.6*2.2,42600000*(1.576904^(MIN($E331,123)-117)))*1,0))</f>
        <v>219985920000</v>
      </c>
      <c r="U331" s="4">
        <f t="shared" si="197"/>
        <v>146</v>
      </c>
      <c r="V331" s="8">
        <f>IF($J331=0,0,ROUND(MAX($J331*1.4*1.5*1.6*1.6*2.2*2.715,354000000*(1.642074^(MIN($E331,123)-117)))*1,0))</f>
        <v>597261772800</v>
      </c>
      <c r="W331" s="6">
        <f t="shared" si="198"/>
        <v>150</v>
      </c>
      <c r="X331" s="7">
        <f>IF($J331=0,0,ROUND(MAX($J331*1.4*1.5*1.6*1.6*2.2*2.715*2.6,3540000000*(1.579646^(MIN($E331,123)-117)))*1,0))</f>
        <v>1552880609280</v>
      </c>
      <c r="Y331" s="4">
        <f t="shared" si="199"/>
        <v>152</v>
      </c>
      <c r="Z331" s="8">
        <f>IF($J331=0,0,ROUND(MAX($J331*1.4*1.5*1.6*1.6*2.2*2.715*2.6*1.4,6020000000*(1.651178^(MIN($E331,123)-117)))*1,0))</f>
        <v>2174032852992</v>
      </c>
      <c r="AA331" s="6">
        <f t="shared" si="200"/>
        <v>154</v>
      </c>
      <c r="AB331" s="7">
        <f>IF($J331=0,0,ROUND(MAX($J331*1.4*1.5*1.6*1.6*2.2*2.715*2.6*1.4*1.4,8430000000*(1.651435^(MIN($E331,123)-117)))*1,0))</f>
        <v>3043645994189</v>
      </c>
      <c r="AC331" s="4">
        <f t="shared" si="201"/>
        <v>156</v>
      </c>
      <c r="AD331" s="8">
        <f>IF($J331=0,0,ROUND(MAX($J331*1.4*1.5*1.6*1.6*2.2*2.715*2.6*1.4*1.4*1.5,12600000000*(1.652953^(MIN($E331,123)-117)))*1,0))</f>
        <v>4565468991283</v>
      </c>
      <c r="AE331" s="6">
        <f t="shared" si="202"/>
        <v>159</v>
      </c>
      <c r="AF331" s="7">
        <f>IF($J331=0,0,ROUND(MAX($J331*1.4*1.5*1.6*1.6*2.2*2.715*2.6*1.4*1.4*1.5*1.5,18900000000*(1.65331^(MIN($E331,123)-117)))*1,0))</f>
        <v>6848203486925</v>
      </c>
      <c r="AG331" s="4">
        <f t="shared" si="203"/>
        <v>162</v>
      </c>
      <c r="AH331" s="8">
        <f>IF($J331=0,0,ROUND(MAX($J331*1.4*1.5*1.6*1.6*2.2*2.715*2.6*1.4*1.4*1.5*1.5*3.2,60500000000*(1.654288^(MIN($E331,123)-117)))*1,0))</f>
        <v>21914251158159</v>
      </c>
    </row>
    <row r="332" ht="27.75" customHeight="1" spans="1:34" x14ac:dyDescent="0.25">
      <c r="A332" s="3">
        <v>358</v>
      </c>
      <c r="B332" s="3" t="s">
        <v>121</v>
      </c>
      <c r="C332" s="3" t="s">
        <v>481</v>
      </c>
      <c r="D332" s="3" t="s">
        <v>29</v>
      </c>
      <c r="E332" s="3">
        <v>133</v>
      </c>
      <c r="F332" s="3" t="s">
        <v>62</v>
      </c>
      <c r="G332" s="3" t="s">
        <v>62</v>
      </c>
      <c r="H332" s="3">
        <v>35</v>
      </c>
      <c r="I332" s="4">
        <v>133</v>
      </c>
      <c r="J332" s="5">
        <v>9600000000</v>
      </c>
      <c r="K332" s="6">
        <f t="shared" si="192"/>
        <v>134</v>
      </c>
      <c r="L332" s="7">
        <f>IF($J332=0,0,ROUND(MAX($J332*1.4*1,4020000*(1.354082^(MIN($E332,123)-118))),0))</f>
        <v>13440000000</v>
      </c>
      <c r="M332" s="4">
        <f t="shared" si="193"/>
        <v>135</v>
      </c>
      <c r="N332" s="8">
        <f>IF($J332=0,0,ROUND(MAX($J332*1.4*1.5*1,6950000*(1.375334^(MIN($E332,123)-118))),0))</f>
        <v>20160000000</v>
      </c>
      <c r="O332" s="6">
        <f t="shared" si="194"/>
        <v>137</v>
      </c>
      <c r="P332" s="7">
        <f>IF($J332=0,0,ROUND(MAX($J332*1.4*1.5*1.6*1,23900000*(1.1788^(MIN($E332,123)-118))),0))</f>
        <v>32256000000</v>
      </c>
      <c r="Q332" s="4">
        <f t="shared" si="195"/>
        <v>139</v>
      </c>
      <c r="R332" s="8">
        <f>IF($J332=0,0,ROUND(MAX($J332*1.4*1.5*1.6*1.6*1.25,77000000*(1.127009^(MIN($E332,123)-118))),0))</f>
        <v>64512000000</v>
      </c>
      <c r="S332" s="6">
        <f t="shared" si="196"/>
        <v>141</v>
      </c>
      <c r="T332" s="7">
        <f>IF($J332=0,0,ROUND(MAX($J332*1.4*1.5*1.6*1.6*2.2*1.25,270000000*(1.248411^(MIN($E332,123)-118))),0))</f>
        <v>141926400000</v>
      </c>
      <c r="U332" s="4">
        <f t="shared" si="197"/>
        <v>144</v>
      </c>
      <c r="V332" s="8">
        <f>IF($J332=0,0,ROUND(MAX($J332*1.4*1.5*1.6*1.6*2.2*2.715*1.25,2400000000*(1.293039^(MIN($E332,123)-118))),0))</f>
        <v>385330176000</v>
      </c>
      <c r="W332" s="6">
        <f t="shared" si="198"/>
        <v>148</v>
      </c>
      <c r="X332" s="7">
        <f>IF($J332=0,0,ROUND(MAX($J332*1.4*1.5*1.6*1.6*2.2*2.715*2.6*1.25,20000000000*(1.280114^(MIN($E332,123)-118))),0))</f>
        <v>1001858457600</v>
      </c>
      <c r="Y332" s="4">
        <f t="shared" si="199"/>
        <v>150</v>
      </c>
      <c r="Z332" s="8">
        <f>IF($J332=0,0,ROUND(MAX($J332*1.4*1.5*1.6*1.6*2.2*2.715*2.6*1.4*1.25,39200000000*(1.31219^(MIN($E332,123)-118))),0))</f>
        <v>1402601840640</v>
      </c>
      <c r="AA332" s="6">
        <f t="shared" si="200"/>
        <v>152</v>
      </c>
      <c r="AB332" s="7">
        <f>IF($J332=0,0,ROUND(MAX($J332*1.4*1.5*1.6*1.6*2.2*2.715*2.6*1.4*1.4*1.25,54900000000*(1.312402^(MIN($E332,123)-118))),0))</f>
        <v>1963642576896</v>
      </c>
      <c r="AC332" s="4">
        <f t="shared" si="201"/>
        <v>154</v>
      </c>
      <c r="AD332" s="8">
        <f>IF($J332=0,0,ROUND(MAX($J332*1.4*1.5*1.6*1.6*2.2*2.715*2.6*1.4*1.4*1.5*1.25,82400000000*(1.312754^(MIN($E332,123)-118))),0))</f>
        <v>2945463865344</v>
      </c>
      <c r="AE332" s="6">
        <f t="shared" si="202"/>
        <v>157</v>
      </c>
      <c r="AF332" s="7">
        <f>IF($J332=0,0,ROUND(MAX($J332*1.4*1.5*1.6*1.6*2.2*2.715*2.6*1.4*1.4*1.5*1.5*1.25,124000000000*(1.312246^(MIN($E332,123)-118))),0))</f>
        <v>4418195798016</v>
      </c>
      <c r="AG332" s="4">
        <f t="shared" si="203"/>
        <v>160</v>
      </c>
      <c r="AH332" s="8">
        <f>IF($J332=0,0,ROUND(MAX($J332*1.4*1.5*1.6*1.6*2.2*2.715*2.6*1.4*1.4*1.5*1.5*3.2*1.25,397000000000*(1.313132^(MIN($E332,123)-118))),0))</f>
        <v>14138226553651</v>
      </c>
    </row>
    <row r="333" ht="27.75" customHeight="1" spans="1:34" x14ac:dyDescent="0.25">
      <c r="A333" s="3">
        <v>359</v>
      </c>
      <c r="B333" s="3" t="s">
        <v>41</v>
      </c>
      <c r="C333" s="3" t="s">
        <v>481</v>
      </c>
      <c r="D333" s="3" t="s">
        <v>29</v>
      </c>
      <c r="E333" s="3">
        <v>136</v>
      </c>
      <c r="F333" s="3" t="s">
        <v>42</v>
      </c>
      <c r="G333" s="3" t="s">
        <v>42</v>
      </c>
      <c r="H333" s="3">
        <v>38</v>
      </c>
      <c r="I333" s="4">
        <v>136</v>
      </c>
      <c r="J333" s="5">
        <v>14700000000</v>
      </c>
      <c r="K333" s="6">
        <f t="shared" si="192"/>
        <v>137</v>
      </c>
      <c r="L333" s="7">
        <f>IF($J333=0,0,ROUND(MAX($J333*1.4*1,4020000*(1.354082^(MIN($E333,123)-118))),0))</f>
        <v>20580000000</v>
      </c>
      <c r="M333" s="4">
        <f t="shared" si="193"/>
        <v>138</v>
      </c>
      <c r="N333" s="8">
        <f>IF($J333=0,0,ROUND(MAX($J333*1.4*1.5*1,6950000*(1.375334^(MIN($E333,123)-118))),0))</f>
        <v>30870000000</v>
      </c>
      <c r="O333" s="6">
        <f t="shared" si="194"/>
        <v>140</v>
      </c>
      <c r="P333" s="7">
        <f>IF($J333=0,0,ROUND(MAX($J333*1.4*1.5*1.6*1,23900000*(1.1788^(MIN($E333,123)-118))),0))</f>
        <v>49392000000</v>
      </c>
      <c r="Q333" s="4">
        <f t="shared" si="195"/>
        <v>142</v>
      </c>
      <c r="R333" s="8">
        <f>IF($J333=0,0,ROUND(MAX($J333*1.4*1.5*1.6*1.6*1.25,77000000*(1.127009^(MIN($E333,123)-118))),0))</f>
        <v>98784000000</v>
      </c>
      <c r="S333" s="6">
        <f t="shared" si="196"/>
        <v>144</v>
      </c>
      <c r="T333" s="7">
        <f>IF($J333=0,0,ROUND(MAX($J333*1.4*1.5*1.6*1.6*2.2*1.25,270000000*(1.248411^(MIN($E333,123)-118))),0))</f>
        <v>217324800000</v>
      </c>
      <c r="U333" s="4">
        <f t="shared" si="197"/>
        <v>147</v>
      </c>
      <c r="V333" s="8">
        <f>IF($J333=0,0,ROUND(MAX($J333*1.4*1.5*1.6*1.6*2.2*2.715*1.25,2400000000*(1.293039^(MIN($E333,123)-118))),0))</f>
        <v>590036832000</v>
      </c>
      <c r="W333" s="6">
        <f t="shared" si="198"/>
        <v>151</v>
      </c>
      <c r="X333" s="7">
        <f>IF($J333=0,0,ROUND(MAX($J333*1.4*1.5*1.6*1.6*2.2*2.715*2.6*1.25,20000000000*(1.280114^(MIN($E333,123)-118))),0))</f>
        <v>1534095763200</v>
      </c>
      <c r="Y333" s="4">
        <f t="shared" si="199"/>
        <v>153</v>
      </c>
      <c r="Z333" s="8">
        <f>IF($J333=0,0,ROUND(MAX($J333*1.4*1.5*1.6*1.6*2.2*2.715*2.6*1.4*1.25,39200000000*(1.31219^(MIN($E333,123)-118))),0))</f>
        <v>2147734068480</v>
      </c>
      <c r="AA333" s="6">
        <f t="shared" si="200"/>
        <v>155</v>
      </c>
      <c r="AB333" s="7">
        <f>IF($J333=0,0,ROUND(MAX($J333*1.4*1.5*1.6*1.6*2.2*2.715*2.6*1.4*1.4*1.25,54900000000*(1.312402^(MIN($E333,123)-118))),0))</f>
        <v>3006827695872</v>
      </c>
      <c r="AC333" s="4">
        <f t="shared" si="201"/>
        <v>157</v>
      </c>
      <c r="AD333" s="8">
        <f>IF($J333=0,0,ROUND(MAX($J333*1.4*1.5*1.6*1.6*2.2*2.715*2.6*1.4*1.4*1.5*1.25,82400000000*(1.312754^(MIN($E333,123)-118))),0))</f>
        <v>4510241543808</v>
      </c>
      <c r="AE333" s="6">
        <f t="shared" si="202"/>
        <v>160</v>
      </c>
      <c r="AF333" s="7">
        <f>IF($J333=0,0,ROUND(MAX($J333*1.4*1.5*1.6*1.6*2.2*2.715*2.6*1.4*1.4*1.5*1.5*1.25,124000000000*(1.312246^(MIN($E333,123)-118))),0))</f>
        <v>6765362315712</v>
      </c>
      <c r="AG333" s="4">
        <f t="shared" si="203"/>
        <v>163</v>
      </c>
      <c r="AH333" s="8">
        <f>IF($J333=0,0,ROUND(MAX($J333*1.4*1.5*1.6*1.6*2.2*2.715*2.6*1.4*1.4*1.5*1.5*3.2*1.25,397000000000*(1.313132^(MIN($E333,123)-118))),0))</f>
        <v>21649159410278</v>
      </c>
    </row>
    <row r="334" ht="27.75" customHeight="1" spans="1:34" x14ac:dyDescent="0.25">
      <c r="A334" s="3">
        <v>323</v>
      </c>
      <c r="B334" s="3" t="s">
        <v>486</v>
      </c>
      <c r="C334" s="3" t="s">
        <v>481</v>
      </c>
      <c r="D334" s="3" t="s">
        <v>45</v>
      </c>
      <c r="E334" s="3">
        <v>124</v>
      </c>
      <c r="F334" s="3" t="s">
        <v>482</v>
      </c>
      <c r="G334" s="3" t="s">
        <v>482</v>
      </c>
      <c r="H334" s="3">
        <v>29</v>
      </c>
      <c r="I334" s="4">
        <v>124</v>
      </c>
      <c r="J334" s="5">
        <v>0</v>
      </c>
      <c r="K334" s="6">
        <f t="shared" si="192"/>
        <v>125</v>
      </c>
      <c r="L334" s="7">
        <f>IF($J334=0,0,ROUND(MAX($J334*1.4,1620000*(1.497923^(MIN($E334,123)-117)))*0.8,0))</f>
        <v>0</v>
      </c>
      <c r="M334" s="4">
        <f t="shared" si="193"/>
        <v>126</v>
      </c>
      <c r="N334" s="8">
        <f>IF($J334=0,0,ROUND(MAX($J334*1.4*1.5,2190000*(1.580994^(MIN($E334,123)-117)))*0.8,0))</f>
        <v>0</v>
      </c>
      <c r="O334" s="6">
        <f t="shared" si="194"/>
        <v>128</v>
      </c>
      <c r="P334" s="7">
        <f>IF($J334=0,0,ROUND(MAX($J334*1.4*1.5*1.6,3500000*(1.57975^(MIN($E334,123)-117)))*0.8,0))</f>
        <v>0</v>
      </c>
      <c r="Q334" s="4">
        <f t="shared" si="195"/>
        <v>130</v>
      </c>
      <c r="R334" s="8">
        <f>IF($J334=0,0,ROUND(MAX($J334*1.4*1.5*1.6*1.6,13100000*(1.429962^(MIN($E334,123)-117)))*0.651041666666667,0))</f>
        <v>0</v>
      </c>
      <c r="S334" s="6">
        <f t="shared" si="196"/>
        <v>132</v>
      </c>
      <c r="T334" s="7">
        <f>IF($J334=0,0,ROUND(MAX($J334*1.4*1.5*1.6*1.6*2.2,42600000*(1.576904^(MIN($E334,123)-117)))*0.617361111111111,0))</f>
        <v>0</v>
      </c>
      <c r="U334" s="4">
        <f t="shared" si="197"/>
        <v>135</v>
      </c>
      <c r="V334" s="8">
        <f>IF($J334=0,0,ROUND(MAX($J334*1.4*1.5*1.6*1.6*2.2*2.715,354000000*(1.642074^(MIN($E334,123)-117)))*0.583680555555556,0))</f>
        <v>0</v>
      </c>
      <c r="W334" s="6">
        <f t="shared" si="198"/>
        <v>139</v>
      </c>
      <c r="X334" s="7">
        <f>IF($J334=0,0,ROUND(MAX($J334*1.4*1.5*1.6*1.6*2.2*2.715*2.6,3540000000*(1.579646^(MIN($E334,123)-117)))*0.55,0))</f>
        <v>0</v>
      </c>
      <c r="Y334" s="4">
        <f t="shared" si="199"/>
        <v>141</v>
      </c>
      <c r="Z334" s="8">
        <f>IF($J334=0,0,ROUND(MAX($J334*1.4*1.5*1.6*1.6*2.2*2.715*2.6*1.4,6020000000*(1.651178^(MIN($E334,123)-117)))*0.55,0))</f>
        <v>0</v>
      </c>
      <c r="AA334" s="6">
        <f t="shared" si="200"/>
        <v>143</v>
      </c>
      <c r="AB334" s="7">
        <f>IF($J334=0,0,ROUND(MAX($J334*1.4*1.5*1.6*1.6*2.2*2.715*2.6*1.4*1.4,8430000000*(1.651435^(MIN($E334,123)-117)))*0.55,0))</f>
        <v>0</v>
      </c>
      <c r="AC334" s="4">
        <f t="shared" si="201"/>
        <v>145</v>
      </c>
      <c r="AD334" s="8">
        <f>IF($J334=0,0,ROUND(MAX($J334*1.4*1.5*1.6*1.6*2.2*2.715*2.6*1.4*1.4*1.5,12600000000*(1.652953^(MIN($E334,123)-117)))*0.55,0))</f>
        <v>0</v>
      </c>
      <c r="AE334" s="6">
        <f t="shared" si="202"/>
        <v>148</v>
      </c>
      <c r="AF334" s="7">
        <f>IF($J334=0,0,ROUND(MAX($J334*1.4*1.5*1.6*1.6*2.2*2.715*2.6*1.4*1.4*1.5*1.5,18900000000*(1.65331^(MIN($E334,123)-117)))*0.55,0))</f>
        <v>0</v>
      </c>
      <c r="AG334" s="4">
        <f t="shared" si="203"/>
        <v>151</v>
      </c>
      <c r="AH334" s="8">
        <f>IF($J334=0,0,ROUND(MAX($J334*1.4*1.5*1.6*1.6*2.2*2.715*2.6*1.4*1.4*1.5*1.5*3.2,60500000000*(1.654288^(MIN($E334,123)-117)))*0.55,0))</f>
        <v>0</v>
      </c>
    </row>
    <row r="335" ht="27.75" customHeight="1" spans="1:34" x14ac:dyDescent="0.25">
      <c r="A335" s="3">
        <v>345</v>
      </c>
      <c r="B335" s="3" t="s">
        <v>487</v>
      </c>
      <c r="C335" s="3" t="s">
        <v>481</v>
      </c>
      <c r="D335" s="3" t="s">
        <v>45</v>
      </c>
      <c r="E335" s="3">
        <v>128</v>
      </c>
      <c r="F335" s="3" t="s">
        <v>62</v>
      </c>
      <c r="G335" s="3" t="s">
        <v>62</v>
      </c>
      <c r="H335" s="3">
        <v>31</v>
      </c>
      <c r="I335" s="4">
        <v>128</v>
      </c>
      <c r="J335" s="5">
        <v>21500000000</v>
      </c>
      <c r="K335" s="6">
        <f t="shared" si="192"/>
        <v>129</v>
      </c>
      <c r="L335" s="7">
        <f>IF($J335=0,0,ROUND(MAX($J335*1.4,1620000*(1.497923^(MIN($E335,123)-117)))*1,0))</f>
        <v>30100000000</v>
      </c>
      <c r="M335" s="4">
        <f t="shared" si="193"/>
        <v>130</v>
      </c>
      <c r="N335" s="8">
        <f>IF($J335=0,0,ROUND(MAX($J335*1.4*1.5,2190000*(1.580994^(MIN($E335,123)-117)))*1,0))</f>
        <v>45150000000</v>
      </c>
      <c r="O335" s="6">
        <f t="shared" si="194"/>
        <v>132</v>
      </c>
      <c r="P335" s="7">
        <f>IF($J335=0,0,ROUND(MAX($J335*1.4*1.5*1.6,3500000*(1.57975^(MIN($E335,123)-117)))*1,0))</f>
        <v>72240000000</v>
      </c>
      <c r="Q335" s="4">
        <f t="shared" si="195"/>
        <v>134</v>
      </c>
      <c r="R335" s="8">
        <f>IF($J335=0,0,ROUND(MAX($J335*1.4*1.5*1.6*1.6,13100000*(1.429962^(MIN($E335,123)-117)))*1,0))</f>
        <v>115584000000</v>
      </c>
      <c r="S335" s="6">
        <f t="shared" si="196"/>
        <v>136</v>
      </c>
      <c r="T335" s="7">
        <f>IF($J335=0,0,ROUND(MAX($J335*1.4*1.5*1.6*1.6*2.2,42600000*(1.576904^(MIN($E335,123)-117)))*1,0))</f>
        <v>254284800000</v>
      </c>
      <c r="U335" s="4">
        <f t="shared" si="197"/>
        <v>139</v>
      </c>
      <c r="V335" s="8">
        <f>IF($J335=0,0,ROUND(MAX($J335*1.4*1.5*1.6*1.6*2.2*2.715,354000000*(1.642074^(MIN($E335,123)-117)))*1,0))</f>
        <v>690383232000</v>
      </c>
      <c r="W335" s="6">
        <f t="shared" si="198"/>
        <v>143</v>
      </c>
      <c r="X335" s="7">
        <f>IF($J335=0,0,ROUND(MAX($J335*1.4*1.5*1.6*1.6*2.2*2.715*2.6,3540000000*(1.579646^(MIN($E335,123)-117)))*1,0))</f>
        <v>1794996403200</v>
      </c>
      <c r="Y335" s="4">
        <f t="shared" si="199"/>
        <v>145</v>
      </c>
      <c r="Z335" s="8">
        <f>IF($J335=0,0,ROUND(MAX($J335*1.4*1.5*1.6*1.6*2.2*2.715*2.6*1.4,6020000000*(1.651178^(MIN($E335,123)-117)))*1,0))</f>
        <v>2512994964480</v>
      </c>
      <c r="AA335" s="6">
        <f t="shared" si="200"/>
        <v>147</v>
      </c>
      <c r="AB335" s="7">
        <f>IF($J335=0,0,ROUND(MAX($J335*1.4*1.5*1.6*1.6*2.2*2.715*2.6*1.4*1.4,8430000000*(1.651435^(MIN($E335,123)-117)))*1,0))</f>
        <v>3518192950272</v>
      </c>
      <c r="AC335" s="4">
        <f t="shared" si="201"/>
        <v>149</v>
      </c>
      <c r="AD335" s="8">
        <f>IF($J335=0,0,ROUND(MAX($J335*1.4*1.5*1.6*1.6*2.2*2.715*2.6*1.4*1.4*1.5,12600000000*(1.652953^(MIN($E335,123)-117)))*1,0))</f>
        <v>5277289425408</v>
      </c>
      <c r="AE335" s="6">
        <f t="shared" si="202"/>
        <v>152</v>
      </c>
      <c r="AF335" s="7">
        <f>IF($J335=0,0,ROUND(MAX($J335*1.4*1.5*1.6*1.6*2.2*2.715*2.6*1.4*1.4*1.5*1.5,18900000000*(1.65331^(MIN($E335,123)-117)))*1,0))</f>
        <v>7915934138112</v>
      </c>
      <c r="AG335" s="4">
        <f t="shared" si="203"/>
        <v>155</v>
      </c>
      <c r="AH335" s="8">
        <f>IF($J335=0,0,ROUND(MAX($J335*1.4*1.5*1.6*1.6*2.2*2.715*2.6*1.4*1.4*1.5*1.5*3.2,60500000000*(1.654288^(MIN($E335,123)-117)))*1,0))</f>
        <v>25330989241958</v>
      </c>
    </row>
    <row r="336" ht="27.75" customHeight="1" spans="1:34" x14ac:dyDescent="0.25">
      <c r="A336" s="3">
        <v>346</v>
      </c>
      <c r="B336" s="3" t="s">
        <v>130</v>
      </c>
      <c r="C336" s="3" t="s">
        <v>481</v>
      </c>
      <c r="D336" s="3" t="s">
        <v>45</v>
      </c>
      <c r="E336" s="3">
        <v>134</v>
      </c>
      <c r="F336" s="3" t="s">
        <v>56</v>
      </c>
      <c r="G336" s="3" t="s">
        <v>56</v>
      </c>
      <c r="H336" s="3">
        <v>36</v>
      </c>
      <c r="I336" s="4">
        <v>134</v>
      </c>
      <c r="J336" s="5">
        <v>11700000000</v>
      </c>
      <c r="K336" s="6">
        <f t="shared" si="192"/>
        <v>135</v>
      </c>
      <c r="L336" s="7">
        <f>IF($J336=0,0,ROUND(MAX($J336*1.4*1,4020000*(1.354082^(MIN($E336,123)-118))),0))</f>
        <v>16380000000</v>
      </c>
      <c r="M336" s="4">
        <f t="shared" si="193"/>
        <v>136</v>
      </c>
      <c r="N336" s="8">
        <f>IF($J336=0,0,ROUND(MAX($J336*1.4*1.5*1,6950000*(1.375334^(MIN($E336,123)-118))),0))</f>
        <v>24570000000</v>
      </c>
      <c r="O336" s="6">
        <f t="shared" si="194"/>
        <v>138</v>
      </c>
      <c r="P336" s="7">
        <f>IF($J336=0,0,ROUND(MAX($J336*1.4*1.5*1.6*1,23900000*(1.1788^(MIN($E336,123)-118))),0))</f>
        <v>39312000000</v>
      </c>
      <c r="Q336" s="4">
        <f t="shared" si="195"/>
        <v>140</v>
      </c>
      <c r="R336" s="8">
        <f>IF($J336=0,0,ROUND(MAX($J336*1.4*1.5*1.6*1.6*1.25,77000000*(1.127009^(MIN($E336,123)-118))),0))</f>
        <v>78624000000</v>
      </c>
      <c r="S336" s="6">
        <f t="shared" si="196"/>
        <v>142</v>
      </c>
      <c r="T336" s="7">
        <f>IF($J336=0,0,ROUND(MAX($J336*1.4*1.5*1.6*1.6*2.2*1.25,270000000*(1.248411^(MIN($E336,123)-118))),0))</f>
        <v>172972800000</v>
      </c>
      <c r="U336" s="4">
        <f t="shared" si="197"/>
        <v>145</v>
      </c>
      <c r="V336" s="8">
        <f>IF($J336=0,0,ROUND(MAX($J336*1.4*1.5*1.6*1.6*2.2*2.715*1.25,2400000000*(1.293039^(MIN($E336,123)-118))),0))</f>
        <v>469621152000</v>
      </c>
      <c r="W336" s="6">
        <f t="shared" si="198"/>
        <v>149</v>
      </c>
      <c r="X336" s="7">
        <f>IF($J336=0,0,ROUND(MAX($J336*1.4*1.5*1.6*1.6*2.2*2.715*2.6*1.25,20000000000*(1.280114^(MIN($E336,123)-118))),0))</f>
        <v>1221014995200</v>
      </c>
      <c r="Y336" s="4">
        <f t="shared" si="199"/>
        <v>151</v>
      </c>
      <c r="Z336" s="8">
        <f>IF($J336=0,0,ROUND(MAX($J336*1.4*1.5*1.6*1.6*2.2*2.715*2.6*1.4*1.25,39200000000*(1.31219^(MIN($E336,123)-118))),0))</f>
        <v>1709420993280</v>
      </c>
      <c r="AA336" s="6">
        <f t="shared" si="200"/>
        <v>153</v>
      </c>
      <c r="AB336" s="7">
        <f>IF($J336=0,0,ROUND(MAX($J336*1.4*1.5*1.6*1.6*2.2*2.715*2.6*1.4*1.4*1.25,54900000000*(1.312402^(MIN($E336,123)-118))),0))</f>
        <v>2393189390592</v>
      </c>
      <c r="AC336" s="4">
        <f t="shared" si="201"/>
        <v>155</v>
      </c>
      <c r="AD336" s="8">
        <f>IF($J336=0,0,ROUND(MAX($J336*1.4*1.5*1.6*1.6*2.2*2.715*2.6*1.4*1.4*1.5*1.25,82400000000*(1.312754^(MIN($E336,123)-118))),0))</f>
        <v>3589784085888</v>
      </c>
      <c r="AE336" s="6">
        <f t="shared" si="202"/>
        <v>158</v>
      </c>
      <c r="AF336" s="7">
        <f>IF($J336=0,0,ROUND(MAX($J336*1.4*1.5*1.6*1.6*2.2*2.715*2.6*1.4*1.4*1.5*1.5*1.25,124000000000*(1.312246^(MIN($E336,123)-118))),0))</f>
        <v>5384676128832</v>
      </c>
      <c r="AG336" s="4">
        <f t="shared" si="203"/>
        <v>161</v>
      </c>
      <c r="AH336" s="8">
        <f>IF($J336=0,0,ROUND(MAX($J336*1.4*1.5*1.6*1.6*2.2*2.715*2.6*1.4*1.4*1.5*1.5*3.2*1.25,397000000000*(1.313132^(MIN($E336,123)-118))),0))</f>
        <v>17230963612262</v>
      </c>
    </row>
    <row r="337" ht="27.75" customHeight="1" spans="1:34" x14ac:dyDescent="0.25">
      <c r="A337" s="3">
        <v>347</v>
      </c>
      <c r="B337" s="3" t="s">
        <v>153</v>
      </c>
      <c r="C337" s="3" t="s">
        <v>481</v>
      </c>
      <c r="D337" s="3" t="s">
        <v>45</v>
      </c>
      <c r="E337" s="3">
        <v>134</v>
      </c>
      <c r="F337" s="3" t="s">
        <v>56</v>
      </c>
      <c r="G337" s="3" t="s">
        <v>56</v>
      </c>
      <c r="H337" s="3">
        <v>36</v>
      </c>
      <c r="I337" s="4">
        <v>134</v>
      </c>
      <c r="J337" s="5">
        <v>15000000000</v>
      </c>
      <c r="K337" s="6">
        <f t="shared" si="192"/>
        <v>135</v>
      </c>
      <c r="L337" s="7">
        <f>IF($J337=0,0,ROUND(MAX($J337*1.4*1,4020000*(1.354082^(MIN($E337,123)-118))),0))</f>
        <v>21000000000</v>
      </c>
      <c r="M337" s="4">
        <f t="shared" si="193"/>
        <v>136</v>
      </c>
      <c r="N337" s="8">
        <f>IF($J337=0,0,ROUND(MAX($J337*1.4*1.5*1,6950000*(1.375334^(MIN($E337,123)-118))),0))</f>
        <v>31500000000</v>
      </c>
      <c r="O337" s="6">
        <f t="shared" si="194"/>
        <v>138</v>
      </c>
      <c r="P337" s="7">
        <f>IF($J337=0,0,ROUND(MAX($J337*1.4*1.5*1.6*1,23900000*(1.1788^(MIN($E337,123)-118))),0))</f>
        <v>50400000000</v>
      </c>
      <c r="Q337" s="4">
        <f t="shared" si="195"/>
        <v>140</v>
      </c>
      <c r="R337" s="8">
        <f>IF($J337=0,0,ROUND(MAX($J337*1.4*1.5*1.6*1.6*1.25,77000000*(1.127009^(MIN($E337,123)-118))),0))</f>
        <v>100800000000</v>
      </c>
      <c r="S337" s="6">
        <f t="shared" si="196"/>
        <v>142</v>
      </c>
      <c r="T337" s="7">
        <f>IF($J337=0,0,ROUND(MAX($J337*1.4*1.5*1.6*1.6*2.2*1.25,270000000*(1.248411^(MIN($E337,123)-118))),0))</f>
        <v>221760000000</v>
      </c>
      <c r="U337" s="4">
        <f t="shared" si="197"/>
        <v>145</v>
      </c>
      <c r="V337" s="8">
        <f>IF($J337=0,0,ROUND(MAX($J337*1.4*1.5*1.6*1.6*2.2*2.715*1.25,2400000000*(1.293039^(MIN($E337,123)-118))),0))</f>
        <v>602078400000</v>
      </c>
      <c r="W337" s="6">
        <f t="shared" si="198"/>
        <v>149</v>
      </c>
      <c r="X337" s="7">
        <f>IF($J337=0,0,ROUND(MAX($J337*1.4*1.5*1.6*1.6*2.2*2.715*2.6*1.25,20000000000*(1.280114^(MIN($E337,123)-118))),0))</f>
        <v>1565403840000</v>
      </c>
      <c r="Y337" s="4">
        <f t="shared" si="199"/>
        <v>151</v>
      </c>
      <c r="Z337" s="8">
        <f>IF($J337=0,0,ROUND(MAX($J337*1.4*1.5*1.6*1.6*2.2*2.715*2.6*1.4*1.25,39200000000*(1.31219^(MIN($E337,123)-118))),0))</f>
        <v>2191565376000</v>
      </c>
      <c r="AA337" s="6">
        <f t="shared" si="200"/>
        <v>153</v>
      </c>
      <c r="AB337" s="7">
        <f>IF($J337=0,0,ROUND(MAX($J337*1.4*1.5*1.6*1.6*2.2*2.715*2.6*1.4*1.4*1.25,54900000000*(1.312402^(MIN($E337,123)-118))),0))</f>
        <v>3068191526400</v>
      </c>
      <c r="AC337" s="4">
        <f t="shared" si="201"/>
        <v>155</v>
      </c>
      <c r="AD337" s="8">
        <f>IF($J337=0,0,ROUND(MAX($J337*1.4*1.5*1.6*1.6*2.2*2.715*2.6*1.4*1.4*1.5*1.25,82400000000*(1.312754^(MIN($E337,123)-118))),0))</f>
        <v>4602287289600</v>
      </c>
      <c r="AE337" s="6">
        <f t="shared" si="202"/>
        <v>158</v>
      </c>
      <c r="AF337" s="7">
        <f>IF($J337=0,0,ROUND(MAX($J337*1.4*1.5*1.6*1.6*2.2*2.715*2.6*1.4*1.4*1.5*1.5*1.25,124000000000*(1.312246^(MIN($E337,123)-118))),0))</f>
        <v>6903430934400</v>
      </c>
      <c r="AG337" s="4">
        <f t="shared" si="203"/>
        <v>161</v>
      </c>
      <c r="AH337" s="8">
        <f>IF($J337=0,0,ROUND(MAX($J337*1.4*1.5*1.6*1.6*2.2*2.715*2.6*1.4*1.4*1.5*1.5*3.2*1.25,397000000000*(1.313132^(MIN($E337,123)-118))),0))</f>
        <v>22090978990080</v>
      </c>
    </row>
    <row r="338" ht="27.75" customHeight="1" spans="1:34" x14ac:dyDescent="0.25">
      <c r="A338" s="3">
        <v>348</v>
      </c>
      <c r="B338" s="3" t="s">
        <v>154</v>
      </c>
      <c r="C338" s="3" t="s">
        <v>481</v>
      </c>
      <c r="D338" s="3" t="s">
        <v>45</v>
      </c>
      <c r="E338" s="3">
        <v>134</v>
      </c>
      <c r="F338" s="3" t="s">
        <v>34</v>
      </c>
      <c r="G338" s="3" t="s">
        <v>34</v>
      </c>
      <c r="H338" s="3">
        <v>36</v>
      </c>
      <c r="I338" s="4">
        <v>134</v>
      </c>
      <c r="J338" s="5">
        <v>21400000000</v>
      </c>
      <c r="K338" s="6">
        <f t="shared" si="192"/>
        <v>135</v>
      </c>
      <c r="L338" s="7">
        <f>IF($J338=0,0,ROUND(MAX($J338*1.4*1,4020000*(1.354082^(MIN($E338,123)-118))),0))</f>
        <v>29960000000</v>
      </c>
      <c r="M338" s="4">
        <f t="shared" si="193"/>
        <v>136</v>
      </c>
      <c r="N338" s="8">
        <f>IF($J338=0,0,ROUND(MAX($J338*1.4*1.5*1,6950000*(1.375334^(MIN($E338,123)-118))),0))</f>
        <v>44940000000</v>
      </c>
      <c r="O338" s="6">
        <f t="shared" si="194"/>
        <v>138</v>
      </c>
      <c r="P338" s="7">
        <f>IF($J338=0,0,ROUND(MAX($J338*1.4*1.5*1.6*1,23900000*(1.1788^(MIN($E338,123)-118))),0))</f>
        <v>71904000000</v>
      </c>
      <c r="Q338" s="4">
        <f t="shared" si="195"/>
        <v>140</v>
      </c>
      <c r="R338" s="8">
        <f>IF($J338=0,0,ROUND(MAX($J338*1.4*1.5*1.6*1.6*1.25,77000000*(1.127009^(MIN($E338,123)-118))),0))</f>
        <v>143808000000</v>
      </c>
      <c r="S338" s="6">
        <f t="shared" si="196"/>
        <v>142</v>
      </c>
      <c r="T338" s="7">
        <f>IF($J338=0,0,ROUND(MAX($J338*1.4*1.5*1.6*1.6*2.2*1.25,270000000*(1.248411^(MIN($E338,123)-118))),0))</f>
        <v>316377600000</v>
      </c>
      <c r="U338" s="4">
        <f t="shared" si="197"/>
        <v>145</v>
      </c>
      <c r="V338" s="8">
        <f>IF($J338=0,0,ROUND(MAX($J338*1.4*1.5*1.6*1.6*2.2*2.715*1.25,2400000000*(1.293039^(MIN($E338,123)-118))),0))</f>
        <v>858965184000</v>
      </c>
      <c r="W338" s="6">
        <f t="shared" si="198"/>
        <v>149</v>
      </c>
      <c r="X338" s="7">
        <f>IF($J338=0,0,ROUND(MAX($J338*1.4*1.5*1.6*1.6*2.2*2.715*2.6*1.25,20000000000*(1.280114^(MIN($E338,123)-118))),0))</f>
        <v>2233309478400</v>
      </c>
      <c r="Y338" s="4">
        <f t="shared" si="199"/>
        <v>151</v>
      </c>
      <c r="Z338" s="8">
        <f>IF($J338=0,0,ROUND(MAX($J338*1.4*1.5*1.6*1.6*2.2*2.715*2.6*1.4*1.25,39200000000*(1.31219^(MIN($E338,123)-118))),0))</f>
        <v>3126633269760</v>
      </c>
      <c r="AA338" s="6">
        <f t="shared" si="200"/>
        <v>153</v>
      </c>
      <c r="AB338" s="7">
        <f>IF($J338=0,0,ROUND(MAX($J338*1.4*1.5*1.6*1.6*2.2*2.715*2.6*1.4*1.4*1.25,54900000000*(1.312402^(MIN($E338,123)-118))),0))</f>
        <v>4377286577664</v>
      </c>
      <c r="AC338" s="4">
        <f t="shared" si="201"/>
        <v>155</v>
      </c>
      <c r="AD338" s="8">
        <f>IF($J338=0,0,ROUND(MAX($J338*1.4*1.5*1.6*1.6*2.2*2.715*2.6*1.4*1.4*1.5*1.25,82400000000*(1.312754^(MIN($E338,123)-118))),0))</f>
        <v>6565929866496</v>
      </c>
      <c r="AE338" s="6">
        <f t="shared" si="202"/>
        <v>158</v>
      </c>
      <c r="AF338" s="7">
        <f>IF($J338=0,0,ROUND(MAX($J338*1.4*1.5*1.6*1.6*2.2*2.715*2.6*1.4*1.4*1.5*1.5*1.25,124000000000*(1.312246^(MIN($E338,123)-118))),0))</f>
        <v>9848894799744</v>
      </c>
      <c r="AG338" s="4">
        <f t="shared" si="203"/>
        <v>161</v>
      </c>
      <c r="AH338" s="8">
        <f>IF($J338=0,0,ROUND(MAX($J338*1.4*1.5*1.6*1.6*2.2*2.715*2.6*1.4*1.4*1.5*1.5*3.2*1.25,397000000000*(1.313132^(MIN($E338,123)-118))),0))</f>
        <v>31516463359181</v>
      </c>
    </row>
    <row r="339" ht="27.75" customHeight="1" spans="1:34" x14ac:dyDescent="0.25">
      <c r="A339" s="3">
        <v>349</v>
      </c>
      <c r="B339" s="3" t="s">
        <v>80</v>
      </c>
      <c r="C339" s="3" t="s">
        <v>481</v>
      </c>
      <c r="D339" s="3" t="s">
        <v>45</v>
      </c>
      <c r="E339" s="3">
        <v>135</v>
      </c>
      <c r="F339" s="3" t="s">
        <v>71</v>
      </c>
      <c r="G339" s="3" t="s">
        <v>71</v>
      </c>
      <c r="H339" s="3">
        <v>35</v>
      </c>
      <c r="I339" s="4">
        <v>135</v>
      </c>
      <c r="J339" s="5">
        <v>14800000000</v>
      </c>
      <c r="K339" s="6">
        <f t="shared" si="192"/>
        <v>136</v>
      </c>
      <c r="L339" s="7">
        <f>IF($J339=0,0,ROUND(MAX($J339*1.4*1,4020000*(1.354082^(MIN($E339,123)-118))),0))</f>
        <v>20720000000</v>
      </c>
      <c r="M339" s="4">
        <f t="shared" si="193"/>
        <v>137</v>
      </c>
      <c r="N339" s="8">
        <f>IF($J339=0,0,ROUND(MAX($J339*1.4*1.5*1,6950000*(1.375334^(MIN($E339,123)-118))),0))</f>
        <v>31080000000</v>
      </c>
      <c r="O339" s="6">
        <f t="shared" si="194"/>
        <v>139</v>
      </c>
      <c r="P339" s="7">
        <f>IF($J339=0,0,ROUND(MAX($J339*1.4*1.5*1.6*1,23900000*(1.1788^(MIN($E339,123)-118))),0))</f>
        <v>49728000000</v>
      </c>
      <c r="Q339" s="4">
        <f t="shared" si="195"/>
        <v>141</v>
      </c>
      <c r="R339" s="8">
        <f>IF($J339=0,0,ROUND(MAX($J339*1.4*1.5*1.6*1.6*1.25,77000000*(1.127009^(MIN($E339,123)-118))),0))</f>
        <v>99456000000</v>
      </c>
      <c r="S339" s="6">
        <f t="shared" si="196"/>
        <v>143</v>
      </c>
      <c r="T339" s="7">
        <f>IF($J339=0,0,ROUND(MAX($J339*1.4*1.5*1.6*1.6*2.2*1.25,270000000*(1.248411^(MIN($E339,123)-118))),0))</f>
        <v>218803200000</v>
      </c>
      <c r="U339" s="4">
        <f t="shared" si="197"/>
        <v>146</v>
      </c>
      <c r="V339" s="8">
        <f>IF($J339=0,0,ROUND(MAX($J339*1.4*1.5*1.6*1.6*2.2*2.715*1.25,2400000000*(1.293039^(MIN($E339,123)-118))),0))</f>
        <v>594050688000</v>
      </c>
      <c r="W339" s="6">
        <f t="shared" si="198"/>
        <v>150</v>
      </c>
      <c r="X339" s="7">
        <f>IF($J339=0,0,ROUND(MAX($J339*1.4*1.5*1.6*1.6*2.2*2.715*2.6*1.25,20000000000*(1.280114^(MIN($E339,123)-118))),0))</f>
        <v>1544531788800</v>
      </c>
      <c r="Y339" s="4">
        <f t="shared" si="199"/>
        <v>152</v>
      </c>
      <c r="Z339" s="8">
        <f>IF($J339=0,0,ROUND(MAX($J339*1.4*1.5*1.6*1.6*2.2*2.715*2.6*1.4*1.25,39200000000*(1.31219^(MIN($E339,123)-118))),0))</f>
        <v>2162344504320</v>
      </c>
      <c r="AA339" s="6">
        <f t="shared" si="200"/>
        <v>154</v>
      </c>
      <c r="AB339" s="7">
        <f>IF($J339=0,0,ROUND(MAX($J339*1.4*1.5*1.6*1.6*2.2*2.715*2.6*1.4*1.4*1.25,54900000000*(1.312402^(MIN($E339,123)-118))),0))</f>
        <v>3027282306048</v>
      </c>
      <c r="AC339" s="4">
        <f t="shared" si="201"/>
        <v>156</v>
      </c>
      <c r="AD339" s="8">
        <f>IF($J339=0,0,ROUND(MAX($J339*1.4*1.5*1.6*1.6*2.2*2.715*2.6*1.4*1.4*1.5*1.25,82400000000*(1.312754^(MIN($E339,123)-118))),0))</f>
        <v>4540923459072</v>
      </c>
      <c r="AE339" s="6">
        <f t="shared" si="202"/>
        <v>159</v>
      </c>
      <c r="AF339" s="7">
        <f>IF($J339=0,0,ROUND(MAX($J339*1.4*1.5*1.6*1.6*2.2*2.715*2.6*1.4*1.4*1.5*1.5*1.25,124000000000*(1.312246^(MIN($E339,123)-118))),0))</f>
        <v>6811385188608</v>
      </c>
      <c r="AG339" s="4">
        <f t="shared" si="203"/>
        <v>162</v>
      </c>
      <c r="AH339" s="8">
        <f>IF($J339=0,0,ROUND(MAX($J339*1.4*1.5*1.6*1.6*2.2*2.715*2.6*1.4*1.4*1.5*1.5*3.2*1.25,397000000000*(1.313132^(MIN($E339,123)-118))),0))</f>
        <v>21796432603546</v>
      </c>
    </row>
    <row r="340" ht="27.75" customHeight="1" spans="1:34" x14ac:dyDescent="0.25">
      <c r="A340" s="3">
        <v>325</v>
      </c>
      <c r="B340" s="3" t="s">
        <v>180</v>
      </c>
      <c r="C340" s="3" t="s">
        <v>481</v>
      </c>
      <c r="D340" s="3" t="s">
        <v>47</v>
      </c>
      <c r="E340" s="3">
        <v>130</v>
      </c>
      <c r="F340" s="3" t="s">
        <v>144</v>
      </c>
      <c r="G340" s="3" t="s">
        <v>144</v>
      </c>
      <c r="H340" s="3">
        <v>30</v>
      </c>
      <c r="I340" s="4">
        <v>130</v>
      </c>
      <c r="J340" s="5">
        <v>2800000000</v>
      </c>
      <c r="K340" s="6">
        <f t="shared" si="192"/>
        <v>131</v>
      </c>
      <c r="L340" s="7">
        <f>IF($J340=0,0,ROUND(MAX($J340*1.4*1,4020000*(1.354082^(MIN($E340,123)-118))),0))</f>
        <v>3920000000</v>
      </c>
      <c r="M340" s="4">
        <f t="shared" si="193"/>
        <v>132</v>
      </c>
      <c r="N340" s="8">
        <f>IF($J340=0,0,ROUND(MAX($J340*1.4*1.5*1,6950000*(1.375334^(MIN($E340,123)-118))),0))</f>
        <v>5880000000</v>
      </c>
      <c r="O340" s="6">
        <f t="shared" si="194"/>
        <v>134</v>
      </c>
      <c r="P340" s="7">
        <f>IF($J340=0,0,ROUND(MAX($J340*1.4*1.5*1.6*1,23900000*(1.1788^(MIN($E340,123)-118))),0))</f>
        <v>9408000000</v>
      </c>
      <c r="Q340" s="4">
        <f t="shared" si="195"/>
        <v>136</v>
      </c>
      <c r="R340" s="8">
        <f>IF($J340=0,0,ROUND(MAX($J340*1.4*1.5*1.6*1.6*1.25,77000000*(1.127009^(MIN($E340,123)-118))),0))</f>
        <v>18816000000</v>
      </c>
      <c r="S340" s="6">
        <f t="shared" si="196"/>
        <v>138</v>
      </c>
      <c r="T340" s="7">
        <f>IF($J340=0,0,ROUND(MAX($J340*1.4*1.5*1.6*1.6*2.2*1.25,270000000*(1.248411^(MIN($E340,123)-118))),0))</f>
        <v>41395200000</v>
      </c>
      <c r="U340" s="4">
        <f t="shared" si="197"/>
        <v>141</v>
      </c>
      <c r="V340" s="8">
        <f>IF($J340=0,0,ROUND(MAX($J340*1.4*1.5*1.6*1.6*2.2*2.715*1.25,2400000000*(1.293039^(MIN($E340,123)-118))),0))</f>
        <v>112387968000</v>
      </c>
      <c r="W340" s="6">
        <f t="shared" si="198"/>
        <v>145</v>
      </c>
      <c r="X340" s="7">
        <f>IF($J340=0,0,ROUND(MAX($J340*1.4*1.5*1.6*1.6*2.2*2.715*2.6*1.25,20000000000*(1.280114^(MIN($E340,123)-118))),0))</f>
        <v>292208716800</v>
      </c>
      <c r="Y340" s="4">
        <f t="shared" si="199"/>
        <v>147</v>
      </c>
      <c r="Z340" s="8">
        <f>IF($J340=0,0,ROUND(MAX($J340*1.4*1.5*1.6*1.6*2.2*2.715*2.6*1.4*1.25,39200000000*(1.31219^(MIN($E340,123)-118))),0))</f>
        <v>409092203520</v>
      </c>
      <c r="AA340" s="6">
        <f t="shared" si="200"/>
        <v>149</v>
      </c>
      <c r="AB340" s="7">
        <f>IF($J340=0,0,ROUND(MAX($J340*1.4*1.5*1.6*1.6*2.2*2.715*2.6*1.4*1.4*1.25,54900000000*(1.312402^(MIN($E340,123)-118))),0))</f>
        <v>572729084928</v>
      </c>
      <c r="AC340" s="4">
        <f t="shared" si="201"/>
        <v>151</v>
      </c>
      <c r="AD340" s="8">
        <f>IF($J340=0,0,ROUND(MAX($J340*1.4*1.5*1.6*1.6*2.2*2.715*2.6*1.4*1.4*1.5*1.25,82400000000*(1.312754^(MIN($E340,123)-118))),0))</f>
        <v>859093627392</v>
      </c>
      <c r="AE340" s="6">
        <f t="shared" si="202"/>
        <v>154</v>
      </c>
      <c r="AF340" s="7">
        <f>IF($J340=0,0,ROUND(MAX($J340*1.4*1.5*1.6*1.6*2.2*2.715*2.6*1.4*1.4*1.5*1.5*1.25,124000000000*(1.312246^(MIN($E340,123)-118))),0))</f>
        <v>1288640441088</v>
      </c>
      <c r="AG340" s="4">
        <f t="shared" si="203"/>
        <v>157</v>
      </c>
      <c r="AH340" s="8">
        <f>IF($J340=0,0,ROUND(MAX($J340*1.4*1.5*1.6*1.6*2.2*2.715*2.6*1.4*1.4*1.5*1.5*3.2*1.25,397000000000*(1.313132^(MIN($E340,123)-118))),0))</f>
        <v>4123649411482</v>
      </c>
    </row>
    <row r="341" ht="27.75" customHeight="1" spans="1:34" x14ac:dyDescent="0.25">
      <c r="A341" s="3">
        <v>326</v>
      </c>
      <c r="B341" s="3" t="s">
        <v>188</v>
      </c>
      <c r="C341" s="3" t="s">
        <v>481</v>
      </c>
      <c r="D341" s="3" t="s">
        <v>47</v>
      </c>
      <c r="E341" s="3">
        <v>133</v>
      </c>
      <c r="F341" s="3" t="s">
        <v>42</v>
      </c>
      <c r="G341" s="3" t="s">
        <v>42</v>
      </c>
      <c r="H341" s="3">
        <v>32</v>
      </c>
      <c r="I341" s="4">
        <v>133</v>
      </c>
      <c r="J341" s="5">
        <v>8840000000</v>
      </c>
      <c r="K341" s="6">
        <f t="shared" si="192"/>
        <v>134</v>
      </c>
      <c r="L341" s="7">
        <f>IF($J341=0,0,ROUND(MAX($J341*1.4,1620000*(1.497923^(MIN($E341,123)-117)))*1,0))</f>
        <v>12376000000</v>
      </c>
      <c r="M341" s="4">
        <f t="shared" si="193"/>
        <v>135</v>
      </c>
      <c r="N341" s="8">
        <f>IF($J341=0,0,ROUND(MAX($J341*1.4*1.5,2190000*(1.580994^(MIN($E341,123)-117)))*1,0))</f>
        <v>18564000000</v>
      </c>
      <c r="O341" s="6">
        <f t="shared" si="194"/>
        <v>137</v>
      </c>
      <c r="P341" s="7">
        <f>IF($J341=0,0,ROUND(MAX($J341*1.4*1.5*1.6,3500000*(1.57975^(MIN($E341,123)-117)))*1,0))</f>
        <v>29702400000</v>
      </c>
      <c r="Q341" s="4">
        <f t="shared" si="195"/>
        <v>139</v>
      </c>
      <c r="R341" s="8">
        <f>IF($J341=0,0,ROUND(MAX($J341*1.4*1.5*1.6*1.6,13100000*(1.429962^(MIN($E341,123)-117)))*1,0))</f>
        <v>47523840000</v>
      </c>
      <c r="S341" s="6">
        <f t="shared" si="196"/>
        <v>141</v>
      </c>
      <c r="T341" s="7">
        <f>IF($J341=0,0,ROUND(MAX($J341*1.4*1.5*1.6*1.6*2.2,42600000*(1.576904^(MIN($E341,123)-117)))*1,0))</f>
        <v>104552448000</v>
      </c>
      <c r="U341" s="4">
        <f t="shared" si="197"/>
        <v>144</v>
      </c>
      <c r="V341" s="8">
        <f>IF($J341=0,0,ROUND(MAX($J341*1.4*1.5*1.6*1.6*2.2*2.715,354000000*(1.642074^(MIN($E341,123)-117)))*1,0))</f>
        <v>283859896320</v>
      </c>
      <c r="W341" s="6">
        <f t="shared" si="198"/>
        <v>148</v>
      </c>
      <c r="X341" s="7">
        <f>IF($J341=0,0,ROUND(MAX($J341*1.4*1.5*1.6*1.6*2.2*2.715*2.6,3540000000*(1.579646^(MIN($E341,123)-117)))*1,0))</f>
        <v>738035730432</v>
      </c>
      <c r="Y341" s="4">
        <f t="shared" si="199"/>
        <v>150</v>
      </c>
      <c r="Z341" s="8">
        <f>IF($J341=0,0,ROUND(MAX($J341*1.4*1.5*1.6*1.6*2.2*2.715*2.6*1.4,6020000000*(1.651178^(MIN($E341,123)-117)))*1,0))</f>
        <v>1033250022605</v>
      </c>
      <c r="AA341" s="6">
        <f t="shared" si="200"/>
        <v>152</v>
      </c>
      <c r="AB341" s="7">
        <f>IF($J341=0,0,ROUND(MAX($J341*1.4*1.5*1.6*1.6*2.2*2.715*2.6*1.4*1.4,8430000000*(1.651435^(MIN($E341,123)-117)))*1,0))</f>
        <v>1446550031647</v>
      </c>
      <c r="AC341" s="4">
        <f t="shared" si="201"/>
        <v>154</v>
      </c>
      <c r="AD341" s="8">
        <f>IF($J341=0,0,ROUND(MAX($J341*1.4*1.5*1.6*1.6*2.2*2.715*2.6*1.4*1.4*1.5,12600000000*(1.652953^(MIN($E341,123)-117)))*1,0))</f>
        <v>2169825047470</v>
      </c>
      <c r="AE341" s="6">
        <f t="shared" si="202"/>
        <v>157</v>
      </c>
      <c r="AF341" s="7">
        <f>IF($J341=0,0,ROUND(MAX($J341*1.4*1.5*1.6*1.6*2.2*2.715*2.6*1.4*1.4*1.5*1.5,18900000000*(1.65331^(MIN($E341,123)-117)))*1,0))</f>
        <v>3254737571205</v>
      </c>
      <c r="AG341" s="4">
        <f t="shared" si="203"/>
        <v>160</v>
      </c>
      <c r="AH341" s="8">
        <f>IF($J341=0,0,ROUND(MAX($J341*1.4*1.5*1.6*1.6*2.2*2.715*2.6*1.4*1.4*1.5*1.5*3.2,60500000000*(1.654288^(MIN($E341,123)-117)))*1,0))</f>
        <v>10415160227856</v>
      </c>
    </row>
    <row r="342" ht="27.75" customHeight="1" spans="1:34" x14ac:dyDescent="0.25">
      <c r="A342" s="3">
        <v>327</v>
      </c>
      <c r="B342" s="3" t="s">
        <v>66</v>
      </c>
      <c r="C342" s="3" t="s">
        <v>481</v>
      </c>
      <c r="D342" s="3" t="s">
        <v>47</v>
      </c>
      <c r="E342" s="3">
        <v>136</v>
      </c>
      <c r="F342" s="3" t="s">
        <v>62</v>
      </c>
      <c r="G342" s="3" t="s">
        <v>62</v>
      </c>
      <c r="H342" s="3">
        <v>33</v>
      </c>
      <c r="I342" s="4">
        <v>136</v>
      </c>
      <c r="J342" s="5">
        <v>12800000000</v>
      </c>
      <c r="K342" s="6">
        <f t="shared" si="192"/>
        <v>137</v>
      </c>
      <c r="L342" s="7">
        <f>IF($J342=0,0,ROUND(MAX($J342*1.4*1,4020000*(1.354082^(MIN($E342,123)-118))),0))</f>
        <v>17920000000</v>
      </c>
      <c r="M342" s="4">
        <f t="shared" si="193"/>
        <v>138</v>
      </c>
      <c r="N342" s="8">
        <f>IF($J342=0,0,ROUND(MAX($J342*1.4*1.5*1,6950000*(1.375334^(MIN($E342,123)-118))),0))</f>
        <v>26880000000</v>
      </c>
      <c r="O342" s="6">
        <f t="shared" si="194"/>
        <v>140</v>
      </c>
      <c r="P342" s="7">
        <f>IF($J342=0,0,ROUND(MAX($J342*1.4*1.5*1.6*1,23900000*(1.1788^(MIN($E342,123)-118))),0))</f>
        <v>43008000000</v>
      </c>
      <c r="Q342" s="4">
        <f t="shared" si="195"/>
        <v>142</v>
      </c>
      <c r="R342" s="8">
        <f>IF($J342=0,0,ROUND(MAX($J342*1.4*1.5*1.6*1.6*1.25,77000000*(1.127009^(MIN($E342,123)-118))),0))</f>
        <v>86016000000</v>
      </c>
      <c r="S342" s="6">
        <f t="shared" si="196"/>
        <v>144</v>
      </c>
      <c r="T342" s="7">
        <f>IF($J342=0,0,ROUND(MAX($J342*1.4*1.5*1.6*1.6*2.2*1.25,270000000*(1.248411^(MIN($E342,123)-118))),0))</f>
        <v>189235200000</v>
      </c>
      <c r="U342" s="4">
        <f t="shared" si="197"/>
        <v>147</v>
      </c>
      <c r="V342" s="8">
        <f>IF($J342=0,0,ROUND(MAX($J342*1.4*1.5*1.6*1.6*2.2*2.715*1.25,2400000000*(1.293039^(MIN($E342,123)-118))),0))</f>
        <v>513773568000</v>
      </c>
      <c r="W342" s="6">
        <f t="shared" si="198"/>
        <v>151</v>
      </c>
      <c r="X342" s="7">
        <f>IF($J342=0,0,ROUND(MAX($J342*1.4*1.5*1.6*1.6*2.2*2.715*2.6*1.25,20000000000*(1.280114^(MIN($E342,123)-118))),0))</f>
        <v>1335811276800</v>
      </c>
      <c r="Y342" s="4">
        <f t="shared" si="199"/>
        <v>153</v>
      </c>
      <c r="Z342" s="8">
        <f>IF($J342=0,0,ROUND(MAX($J342*1.4*1.5*1.6*1.6*2.2*2.715*2.6*1.4*1.25,39200000000*(1.31219^(MIN($E342,123)-118))),0))</f>
        <v>1870135787520</v>
      </c>
      <c r="AA342" s="6">
        <f t="shared" si="200"/>
        <v>155</v>
      </c>
      <c r="AB342" s="7">
        <f>IF($J342=0,0,ROUND(MAX($J342*1.4*1.5*1.6*1.6*2.2*2.715*2.6*1.4*1.4*1.25,54900000000*(1.312402^(MIN($E342,123)-118))),0))</f>
        <v>2618190102528</v>
      </c>
      <c r="AC342" s="4">
        <f t="shared" si="201"/>
        <v>157</v>
      </c>
      <c r="AD342" s="8">
        <f>IF($J342=0,0,ROUND(MAX($J342*1.4*1.5*1.6*1.6*2.2*2.715*2.6*1.4*1.4*1.5*1.25,82400000000*(1.312754^(MIN($E342,123)-118))),0))</f>
        <v>3927285153792</v>
      </c>
      <c r="AE342" s="6">
        <f t="shared" si="202"/>
        <v>160</v>
      </c>
      <c r="AF342" s="7">
        <f>IF($J342=0,0,ROUND(MAX($J342*1.4*1.5*1.6*1.6*2.2*2.715*2.6*1.4*1.4*1.5*1.5*1.25,124000000000*(1.312246^(MIN($E342,123)-118))),0))</f>
        <v>5890927730688</v>
      </c>
      <c r="AG342" s="4">
        <f t="shared" si="203"/>
        <v>163</v>
      </c>
      <c r="AH342" s="8">
        <f>IF($J342=0,0,ROUND(MAX($J342*1.4*1.5*1.6*1.6*2.2*2.715*2.6*1.4*1.4*1.5*1.5*3.2*1.25,397000000000*(1.313132^(MIN($E342,123)-118))),0))</f>
        <v>18850968738202</v>
      </c>
    </row>
    <row r="343" ht="27.75" customHeight="1" spans="1:34" x14ac:dyDescent="0.25">
      <c r="A343" s="3">
        <v>338</v>
      </c>
      <c r="B343" s="3" t="s">
        <v>114</v>
      </c>
      <c r="C343" s="3" t="s">
        <v>481</v>
      </c>
      <c r="D343" s="3" t="s">
        <v>75</v>
      </c>
      <c r="E343" s="3">
        <v>135</v>
      </c>
      <c r="F343" s="3" t="s">
        <v>30</v>
      </c>
      <c r="G343" s="3" t="s">
        <v>30</v>
      </c>
      <c r="H343" s="3">
        <v>36</v>
      </c>
      <c r="I343" s="4">
        <v>135</v>
      </c>
      <c r="J343" s="5">
        <v>9600000000</v>
      </c>
      <c r="K343" s="6">
        <f t="shared" si="192"/>
        <v>136</v>
      </c>
      <c r="L343" s="7">
        <f>IF($J343=0,0,ROUND(MAX($J343*1.4*1,4020000*(1.354082^(MIN($E343,123)-118))),0))</f>
        <v>13440000000</v>
      </c>
      <c r="M343" s="4">
        <f t="shared" si="193"/>
        <v>137</v>
      </c>
      <c r="N343" s="8">
        <f>IF($J343=0,0,ROUND(MAX($J343*1.4*1.5*1,6950000*(1.375334^(MIN($E343,123)-118))),0))</f>
        <v>20160000000</v>
      </c>
      <c r="O343" s="6">
        <f t="shared" si="194"/>
        <v>139</v>
      </c>
      <c r="P343" s="7">
        <f>IF($J343=0,0,ROUND(MAX($J343*1.4*1.5*1.6*1,23900000*(1.1788^(MIN($E343,123)-118))),0))</f>
        <v>32256000000</v>
      </c>
      <c r="Q343" s="4">
        <f t="shared" si="195"/>
        <v>141</v>
      </c>
      <c r="R343" s="8">
        <f>IF($J343=0,0,ROUND(MAX($J343*1.4*1.5*1.6*1.6*1.25,77000000*(1.127009^(MIN($E343,123)-118))),0))</f>
        <v>64512000000</v>
      </c>
      <c r="S343" s="6">
        <f t="shared" si="196"/>
        <v>143</v>
      </c>
      <c r="T343" s="7">
        <f>IF($J343=0,0,ROUND(MAX($J343*1.4*1.5*1.6*1.6*2.2*1.25,270000000*(1.248411^(MIN($E343,123)-118))),0))</f>
        <v>141926400000</v>
      </c>
      <c r="U343" s="4">
        <f t="shared" si="197"/>
        <v>146</v>
      </c>
      <c r="V343" s="8">
        <f>IF($J343=0,0,ROUND(MAX($J343*1.4*1.5*1.6*1.6*2.2*2.715*1.25,2400000000*(1.293039^(MIN($E343,123)-118))),0))</f>
        <v>385330176000</v>
      </c>
      <c r="W343" s="6">
        <f t="shared" si="198"/>
        <v>150</v>
      </c>
      <c r="X343" s="7">
        <f>IF($J343=0,0,ROUND(MAX($J343*1.4*1.5*1.6*1.6*2.2*2.715*2.6*1.25,20000000000*(1.280114^(MIN($E343,123)-118))),0))</f>
        <v>1001858457600</v>
      </c>
      <c r="Y343" s="4">
        <f t="shared" si="199"/>
        <v>152</v>
      </c>
      <c r="Z343" s="8">
        <f>IF($J343=0,0,ROUND(MAX($J343*1.4*1.5*1.6*1.6*2.2*2.715*2.6*1.4*1.25,39200000000*(1.31219^(MIN($E343,123)-118))),0))</f>
        <v>1402601840640</v>
      </c>
      <c r="AA343" s="6">
        <f t="shared" si="200"/>
        <v>154</v>
      </c>
      <c r="AB343" s="7">
        <f>IF($J343=0,0,ROUND(MAX($J343*1.4*1.5*1.6*1.6*2.2*2.715*2.6*1.4*1.4*1.25,54900000000*(1.312402^(MIN($E343,123)-118))),0))</f>
        <v>1963642576896</v>
      </c>
      <c r="AC343" s="4">
        <f t="shared" si="201"/>
        <v>156</v>
      </c>
      <c r="AD343" s="8">
        <f>IF($J343=0,0,ROUND(MAX($J343*1.4*1.5*1.6*1.6*2.2*2.715*2.6*1.4*1.4*1.5*1.25,82400000000*(1.312754^(MIN($E343,123)-118))),0))</f>
        <v>2945463865344</v>
      </c>
      <c r="AE343" s="6">
        <f t="shared" si="202"/>
        <v>159</v>
      </c>
      <c r="AF343" s="7">
        <f>IF($J343=0,0,ROUND(MAX($J343*1.4*1.5*1.6*1.6*2.2*2.715*2.6*1.4*1.4*1.5*1.5*1.25,124000000000*(1.312246^(MIN($E343,123)-118))),0))</f>
        <v>4418195798016</v>
      </c>
      <c r="AG343" s="4">
        <f t="shared" si="203"/>
        <v>162</v>
      </c>
      <c r="AH343" s="8">
        <f>IF($J343=0,0,ROUND(MAX($J343*1.4*1.5*1.6*1.6*2.2*2.715*2.6*1.4*1.4*1.5*1.5*3.2*1.25,397000000000*(1.313132^(MIN($E343,123)-118))),0))</f>
        <v>14138226553651</v>
      </c>
    </row>
    <row r="344" ht="27.75" customHeight="1" spans="1:34" x14ac:dyDescent="0.25">
      <c r="A344" s="3">
        <v>339</v>
      </c>
      <c r="B344" s="3" t="s">
        <v>74</v>
      </c>
      <c r="C344" s="3" t="s">
        <v>481</v>
      </c>
      <c r="D344" s="3" t="s">
        <v>75</v>
      </c>
      <c r="E344" s="3">
        <v>136</v>
      </c>
      <c r="F344" s="3" t="s">
        <v>62</v>
      </c>
      <c r="G344" s="3" t="s">
        <v>62</v>
      </c>
      <c r="H344" s="3">
        <v>37</v>
      </c>
      <c r="I344" s="4">
        <v>136</v>
      </c>
      <c r="J344" s="5">
        <v>15600000000</v>
      </c>
      <c r="K344" s="6">
        <f t="shared" si="192"/>
        <v>137</v>
      </c>
      <c r="L344" s="7">
        <f>IF($J344=0,0,ROUND(MAX($J344*1.4*1,4020000*(1.354082^(MIN($E344,123)-118))),0))</f>
        <v>21840000000</v>
      </c>
      <c r="M344" s="4">
        <f t="shared" si="193"/>
        <v>138</v>
      </c>
      <c r="N344" s="8">
        <f>IF($J344=0,0,ROUND(MAX($J344*1.4*1.5*1,6950000*(1.375334^(MIN($E344,123)-118))),0))</f>
        <v>32760000000</v>
      </c>
      <c r="O344" s="6">
        <f t="shared" si="194"/>
        <v>140</v>
      </c>
      <c r="P344" s="7">
        <f>IF($J344=0,0,ROUND(MAX($J344*1.4*1.5*1.6*1,23900000*(1.1788^(MIN($E344,123)-118))),0))</f>
        <v>52416000000</v>
      </c>
      <c r="Q344" s="4">
        <f t="shared" si="195"/>
        <v>142</v>
      </c>
      <c r="R344" s="8">
        <f>IF($J344=0,0,ROUND(MAX($J344*1.4*1.5*1.6*1.6*1.25,77000000*(1.127009^(MIN($E344,123)-118))),0))</f>
        <v>104832000000</v>
      </c>
      <c r="S344" s="6">
        <f t="shared" si="196"/>
        <v>144</v>
      </c>
      <c r="T344" s="7">
        <f>IF($J344=0,0,ROUND(MAX($J344*1.4*1.5*1.6*1.6*2.2*1.25,270000000*(1.248411^(MIN($E344,123)-118))),0))</f>
        <v>230630400000</v>
      </c>
      <c r="U344" s="4">
        <f t="shared" si="197"/>
        <v>147</v>
      </c>
      <c r="V344" s="8">
        <f>IF($J344=0,0,ROUND(MAX($J344*1.4*1.5*1.6*1.6*2.2*2.715*1.25,2400000000*(1.293039^(MIN($E344,123)-118))),0))</f>
        <v>626161536000</v>
      </c>
      <c r="W344" s="6">
        <f t="shared" si="198"/>
        <v>151</v>
      </c>
      <c r="X344" s="7">
        <f>IF($J344=0,0,ROUND(MAX($J344*1.4*1.5*1.6*1.6*2.2*2.715*2.6*1.25,20000000000*(1.280114^(MIN($E344,123)-118))),0))</f>
        <v>1628019993600</v>
      </c>
      <c r="Y344" s="4">
        <f t="shared" si="199"/>
        <v>153</v>
      </c>
      <c r="Z344" s="8">
        <f>IF($J344=0,0,ROUND(MAX($J344*1.4*1.5*1.6*1.6*2.2*2.715*2.6*1.4*1.25,39200000000*(1.31219^(MIN($E344,123)-118))),0))</f>
        <v>2279227991040</v>
      </c>
      <c r="AA344" s="6">
        <f t="shared" si="200"/>
        <v>155</v>
      </c>
      <c r="AB344" s="7">
        <f>IF($J344=0,0,ROUND(MAX($J344*1.4*1.5*1.6*1.6*2.2*2.715*2.6*1.4*1.4*1.25,54900000000*(1.312402^(MIN($E344,123)-118))),0))</f>
        <v>3190919187456</v>
      </c>
      <c r="AC344" s="4">
        <f t="shared" si="201"/>
        <v>157</v>
      </c>
      <c r="AD344" s="8">
        <f>IF($J344=0,0,ROUND(MAX($J344*1.4*1.5*1.6*1.6*2.2*2.715*2.6*1.4*1.4*1.5*1.25,82400000000*(1.312754^(MIN($E344,123)-118))),0))</f>
        <v>4786378781184</v>
      </c>
      <c r="AE344" s="6">
        <f t="shared" si="202"/>
        <v>160</v>
      </c>
      <c r="AF344" s="7">
        <f>IF($J344=0,0,ROUND(MAX($J344*1.4*1.5*1.6*1.6*2.2*2.715*2.6*1.4*1.4*1.5*1.5*1.25,124000000000*(1.312246^(MIN($E344,123)-118))),0))</f>
        <v>7179568171776</v>
      </c>
      <c r="AG344" s="4">
        <f t="shared" si="203"/>
        <v>163</v>
      </c>
      <c r="AH344" s="8">
        <f>IF($J344=0,0,ROUND(MAX($J344*1.4*1.5*1.6*1.6*2.2*2.715*2.6*1.4*1.4*1.5*1.5*3.2*1.25,397000000000*(1.313132^(MIN($E344,123)-118))),0))</f>
        <v>22974618149683</v>
      </c>
    </row>
    <row r="345" ht="27.75" customHeight="1" spans="1:34" x14ac:dyDescent="0.25">
      <c r="A345" s="3">
        <v>350</v>
      </c>
      <c r="B345" s="3" t="s">
        <v>488</v>
      </c>
      <c r="C345" s="3" t="s">
        <v>481</v>
      </c>
      <c r="D345" s="3" t="s">
        <v>165</v>
      </c>
      <c r="E345" s="3">
        <v>129</v>
      </c>
      <c r="F345" s="3" t="s">
        <v>30</v>
      </c>
      <c r="G345" s="3" t="s">
        <v>30</v>
      </c>
      <c r="H345" s="3">
        <v>32</v>
      </c>
      <c r="I345" s="4">
        <v>129</v>
      </c>
      <c r="J345" s="5">
        <v>3650000000</v>
      </c>
      <c r="K345" s="6">
        <f t="shared" si="192"/>
        <v>130</v>
      </c>
      <c r="L345" s="7">
        <f>IF($J345=0,0,ROUND(MAX($J345*1.4,1620000*(1.497923^(MIN($E345,123)-117)))*1,0))</f>
        <v>5110000000</v>
      </c>
      <c r="M345" s="4">
        <f t="shared" si="193"/>
        <v>131</v>
      </c>
      <c r="N345" s="8">
        <f>IF($J345=0,0,ROUND(MAX($J345*1.4*1.5,2190000*(1.580994^(MIN($E345,123)-117)))*1,0))</f>
        <v>7665000000</v>
      </c>
      <c r="O345" s="6">
        <f t="shared" si="194"/>
        <v>133</v>
      </c>
      <c r="P345" s="7">
        <f>IF($J345=0,0,ROUND(MAX($J345*1.4*1.5*1.6,3500000*(1.57975^(MIN($E345,123)-117)))*1,0))</f>
        <v>12264000000</v>
      </c>
      <c r="Q345" s="4">
        <f t="shared" si="195"/>
        <v>135</v>
      </c>
      <c r="R345" s="8">
        <f>IF($J345=0,0,ROUND(MAX($J345*1.4*1.5*1.6*1.6,13100000*(1.429962^(MIN($E345,123)-117)))*1,0))</f>
        <v>19622400000</v>
      </c>
      <c r="S345" s="6">
        <f t="shared" si="196"/>
        <v>137</v>
      </c>
      <c r="T345" s="7">
        <f>IF($J345=0,0,ROUND(MAX($J345*1.4*1.5*1.6*1.6*2.2,42600000*(1.576904^(MIN($E345,123)-117)))*1,0))</f>
        <v>43169280000</v>
      </c>
      <c r="U345" s="4">
        <f t="shared" si="197"/>
        <v>140</v>
      </c>
      <c r="V345" s="8">
        <f>IF($J345=0,0,ROUND(MAX($J345*1.4*1.5*1.6*1.6*2.2*2.715,354000000*(1.642074^(MIN($E345,123)-117)))*1,0))</f>
        <v>117204595200</v>
      </c>
      <c r="W345" s="6">
        <f t="shared" si="198"/>
        <v>144</v>
      </c>
      <c r="X345" s="7">
        <f>IF($J345=0,0,ROUND(MAX($J345*1.4*1.5*1.6*1.6*2.2*2.715*2.6,3540000000*(1.579646^(MIN($E345,123)-117)))*1,0))</f>
        <v>304731947520</v>
      </c>
      <c r="Y345" s="4">
        <f t="shared" si="199"/>
        <v>146</v>
      </c>
      <c r="Z345" s="8">
        <f>IF($J345=0,0,ROUND(MAX($J345*1.4*1.5*1.6*1.6*2.2*2.715*2.6*1.4,6020000000*(1.651178^(MIN($E345,123)-117)))*1,0))</f>
        <v>426624726528</v>
      </c>
      <c r="AA345" s="6">
        <f t="shared" si="200"/>
        <v>148</v>
      </c>
      <c r="AB345" s="7">
        <f>IF($J345=0,0,ROUND(MAX($J345*1.4*1.5*1.6*1.6*2.2*2.715*2.6*1.4*1.4,8430000000*(1.651435^(MIN($E345,123)-117)))*1,0))</f>
        <v>597274617139</v>
      </c>
      <c r="AC345" s="4">
        <f t="shared" si="201"/>
        <v>150</v>
      </c>
      <c r="AD345" s="8">
        <f>IF($J345=0,0,ROUND(MAX($J345*1.4*1.5*1.6*1.6*2.2*2.715*2.6*1.4*1.4*1.5,12600000000*(1.652953^(MIN($E345,123)-117)))*1,0))</f>
        <v>895911925709</v>
      </c>
      <c r="AE345" s="6">
        <f t="shared" si="202"/>
        <v>153</v>
      </c>
      <c r="AF345" s="7">
        <f>IF($J345=0,0,ROUND(MAX($J345*1.4*1.5*1.6*1.6*2.2*2.715*2.6*1.4*1.4*1.5*1.5,18900000000*(1.65331^(MIN($E345,123)-117)))*1,0))</f>
        <v>1343867888563</v>
      </c>
      <c r="AG345" s="4">
        <f t="shared" si="203"/>
        <v>156</v>
      </c>
      <c r="AH345" s="8">
        <f>IF($J345=0,0,ROUND(MAX($J345*1.4*1.5*1.6*1.6*2.2*2.715*2.6*1.4*1.4*1.5*1.5*3.2,60500000000*(1.654288^(MIN($E345,123)-117)))*1,0))</f>
        <v>4300377243402</v>
      </c>
    </row>
    <row r="346" ht="27.75" customHeight="1" spans="1:34" x14ac:dyDescent="0.25">
      <c r="A346" s="3">
        <v>351</v>
      </c>
      <c r="B346" s="3" t="s">
        <v>473</v>
      </c>
      <c r="C346" s="3" t="s">
        <v>481</v>
      </c>
      <c r="D346" s="3" t="s">
        <v>165</v>
      </c>
      <c r="E346" s="3">
        <v>130</v>
      </c>
      <c r="F346" s="3" t="s">
        <v>123</v>
      </c>
      <c r="G346" s="3" t="s">
        <v>123</v>
      </c>
      <c r="H346" s="3">
        <v>33</v>
      </c>
      <c r="I346" s="4">
        <v>130</v>
      </c>
      <c r="J346" s="5">
        <v>11600000000</v>
      </c>
      <c r="K346" s="6">
        <f t="shared" si="192"/>
        <v>131</v>
      </c>
      <c r="L346" s="7">
        <f>IF($J346=0,0,ROUND(MAX($J346*1.4,1620000*(1.497923^(MIN($E346,123)-117)))*1,0))</f>
        <v>16240000000</v>
      </c>
      <c r="M346" s="4">
        <f t="shared" si="193"/>
        <v>132</v>
      </c>
      <c r="N346" s="8">
        <f>IF($J346=0,0,ROUND(MAX($J346*1.4*1.5,2190000*(1.580994^(MIN($E346,123)-117)))*1,0))</f>
        <v>24360000000</v>
      </c>
      <c r="O346" s="6">
        <f t="shared" si="194"/>
        <v>134</v>
      </c>
      <c r="P346" s="7">
        <f>IF($J346=0,0,ROUND(MAX($J346*1.4*1.5*1.6,3500000*(1.57975^(MIN($E346,123)-117)))*1,0))</f>
        <v>38976000000</v>
      </c>
      <c r="Q346" s="4">
        <f t="shared" si="195"/>
        <v>136</v>
      </c>
      <c r="R346" s="8">
        <f>IF($J346=0,0,ROUND(MAX($J346*1.4*1.5*1.6*1.6,13100000*(1.429962^(MIN($E346,123)-117)))*1,0))</f>
        <v>62361600000</v>
      </c>
      <c r="S346" s="6">
        <f t="shared" si="196"/>
        <v>138</v>
      </c>
      <c r="T346" s="7">
        <f>IF($J346=0,0,ROUND(MAX($J346*1.4*1.5*1.6*1.6*2.2,42600000*(1.576904^(MIN($E346,123)-117)))*1,0))</f>
        <v>137195520000</v>
      </c>
      <c r="U346" s="4">
        <f t="shared" si="197"/>
        <v>141</v>
      </c>
      <c r="V346" s="8">
        <f>IF($J346=0,0,ROUND(MAX($J346*1.4*1.5*1.6*1.6*2.2*2.715,354000000*(1.642074^(MIN($E346,123)-117)))*1,0))</f>
        <v>372485836800</v>
      </c>
      <c r="W346" s="6">
        <f t="shared" si="198"/>
        <v>145</v>
      </c>
      <c r="X346" s="7">
        <f>IF($J346=0,0,ROUND(MAX($J346*1.4*1.5*1.6*1.6*2.2*2.715*2.6,3540000000*(1.579646^(MIN($E346,123)-117)))*1,0))</f>
        <v>968463175680</v>
      </c>
      <c r="Y346" s="4">
        <f t="shared" si="199"/>
        <v>147</v>
      </c>
      <c r="Z346" s="8">
        <f>IF($J346=0,0,ROUND(MAX($J346*1.4*1.5*1.6*1.6*2.2*2.715*2.6*1.4,6020000000*(1.651178^(MIN($E346,123)-117)))*1,0))</f>
        <v>1355848445952</v>
      </c>
      <c r="AA346" s="6">
        <f t="shared" si="200"/>
        <v>149</v>
      </c>
      <c r="AB346" s="7">
        <f>IF($J346=0,0,ROUND(MAX($J346*1.4*1.5*1.6*1.6*2.2*2.715*2.6*1.4*1.4,8430000000*(1.651435^(MIN($E346,123)-117)))*1,0))</f>
        <v>1898187824333</v>
      </c>
      <c r="AC346" s="4">
        <f t="shared" si="201"/>
        <v>151</v>
      </c>
      <c r="AD346" s="8">
        <f>IF($J346=0,0,ROUND(MAX($J346*1.4*1.5*1.6*1.6*2.2*2.715*2.6*1.4*1.4*1.5,12600000000*(1.652953^(MIN($E346,123)-117)))*1,0))</f>
        <v>2847281736499</v>
      </c>
      <c r="AE346" s="6">
        <f t="shared" si="202"/>
        <v>154</v>
      </c>
      <c r="AF346" s="7">
        <f>IF($J346=0,0,ROUND(MAX($J346*1.4*1.5*1.6*1.6*2.2*2.715*2.6*1.4*1.4*1.5*1.5,18900000000*(1.65331^(MIN($E346,123)-117)))*1,0))</f>
        <v>4270922604749</v>
      </c>
      <c r="AG346" s="4">
        <f t="shared" si="203"/>
        <v>157</v>
      </c>
      <c r="AH346" s="8">
        <f>IF($J346=0,0,ROUND(MAX($J346*1.4*1.5*1.6*1.6*2.2*2.715*2.6*1.4*1.4*1.5*1.5*3.2,60500000000*(1.654288^(MIN($E346,123)-117)))*1,0))</f>
        <v>13666952335196</v>
      </c>
    </row>
    <row r="347" ht="27.75" customHeight="1" spans="1:34" x14ac:dyDescent="0.25">
      <c r="A347" s="3">
        <v>352</v>
      </c>
      <c r="B347" s="3" t="s">
        <v>207</v>
      </c>
      <c r="C347" s="3" t="s">
        <v>481</v>
      </c>
      <c r="D347" s="3" t="s">
        <v>165</v>
      </c>
      <c r="E347" s="3">
        <v>131</v>
      </c>
      <c r="F347" s="3" t="s">
        <v>54</v>
      </c>
      <c r="G347" s="3" t="s">
        <v>54</v>
      </c>
      <c r="H347" s="3">
        <v>34</v>
      </c>
      <c r="I347" s="4">
        <v>131</v>
      </c>
      <c r="J347" s="5">
        <v>11600000000</v>
      </c>
      <c r="K347" s="6">
        <f t="shared" si="192"/>
        <v>132</v>
      </c>
      <c r="L347" s="7">
        <f>IF($J347=0,0,ROUND(MAX($J347*1.4,1620000*(1.497923^(MIN($E347,123)-117)))*1,0))</f>
        <v>16240000000</v>
      </c>
      <c r="M347" s="4">
        <f t="shared" si="193"/>
        <v>133</v>
      </c>
      <c r="N347" s="8">
        <f>IF($J347=0,0,ROUND(MAX($J347*1.4*1.5,2190000*(1.580994^(MIN($E347,123)-117)))*1,0))</f>
        <v>24360000000</v>
      </c>
      <c r="O347" s="6">
        <f t="shared" si="194"/>
        <v>135</v>
      </c>
      <c r="P347" s="7">
        <f>IF($J347=0,0,ROUND(MAX($J347*1.4*1.5*1.6,3500000*(1.57975^(MIN($E347,123)-117)))*1,0))</f>
        <v>38976000000</v>
      </c>
      <c r="Q347" s="4">
        <f t="shared" si="195"/>
        <v>137</v>
      </c>
      <c r="R347" s="8">
        <f>IF($J347=0,0,ROUND(MAX($J347*1.4*1.5*1.6*1.6,13100000*(1.429962^(MIN($E347,123)-117)))*1,0))</f>
        <v>62361600000</v>
      </c>
      <c r="S347" s="6">
        <f t="shared" si="196"/>
        <v>139</v>
      </c>
      <c r="T347" s="7">
        <f>IF($J347=0,0,ROUND(MAX($J347*1.4*1.5*1.6*1.6*2.2,42600000*(1.576904^(MIN($E347,123)-117)))*1,0))</f>
        <v>137195520000</v>
      </c>
      <c r="U347" s="4">
        <f t="shared" si="197"/>
        <v>142</v>
      </c>
      <c r="V347" s="8">
        <f>IF($J347=0,0,ROUND(MAX($J347*1.4*1.5*1.6*1.6*2.2*2.715,354000000*(1.642074^(MIN($E347,123)-117)))*1,0))</f>
        <v>372485836800</v>
      </c>
      <c r="W347" s="6">
        <f t="shared" si="198"/>
        <v>146</v>
      </c>
      <c r="X347" s="7">
        <f>IF($J347=0,0,ROUND(MAX($J347*1.4*1.5*1.6*1.6*2.2*2.715*2.6,3540000000*(1.579646^(MIN($E347,123)-117)))*1,0))</f>
        <v>968463175680</v>
      </c>
      <c r="Y347" s="4">
        <f t="shared" si="199"/>
        <v>148</v>
      </c>
      <c r="Z347" s="8">
        <f>IF($J347=0,0,ROUND(MAX($J347*1.4*1.5*1.6*1.6*2.2*2.715*2.6*1.4,6020000000*(1.651178^(MIN($E347,123)-117)))*1,0))</f>
        <v>1355848445952</v>
      </c>
      <c r="AA347" s="6">
        <f t="shared" si="200"/>
        <v>150</v>
      </c>
      <c r="AB347" s="7">
        <f>IF($J347=0,0,ROUND(MAX($J347*1.4*1.5*1.6*1.6*2.2*2.715*2.6*1.4*1.4,8430000000*(1.651435^(MIN($E347,123)-117)))*1,0))</f>
        <v>1898187824333</v>
      </c>
      <c r="AC347" s="4">
        <f t="shared" si="201"/>
        <v>152</v>
      </c>
      <c r="AD347" s="8">
        <f>IF($J347=0,0,ROUND(MAX($J347*1.4*1.5*1.6*1.6*2.2*2.715*2.6*1.4*1.4*1.5,12600000000*(1.652953^(MIN($E347,123)-117)))*1,0))</f>
        <v>2847281736499</v>
      </c>
      <c r="AE347" s="6">
        <f t="shared" si="202"/>
        <v>155</v>
      </c>
      <c r="AF347" s="7">
        <f>IF($J347=0,0,ROUND(MAX($J347*1.4*1.5*1.6*1.6*2.2*2.715*2.6*1.4*1.4*1.5*1.5,18900000000*(1.65331^(MIN($E347,123)-117)))*1,0))</f>
        <v>4270922604749</v>
      </c>
      <c r="AG347" s="4">
        <f t="shared" si="203"/>
        <v>158</v>
      </c>
      <c r="AH347" s="8">
        <f>IF($J347=0,0,ROUND(MAX($J347*1.4*1.5*1.6*1.6*2.2*2.715*2.6*1.4*1.4*1.5*1.5*3.2,60500000000*(1.654288^(MIN($E347,123)-117)))*1,0))</f>
        <v>13666952335196</v>
      </c>
    </row>
    <row r="348" ht="27.75" customHeight="1" spans="1:34" x14ac:dyDescent="0.25">
      <c r="A348" s="3">
        <v>379</v>
      </c>
      <c r="B348" s="3" t="s">
        <v>214</v>
      </c>
      <c r="C348" s="3" t="s">
        <v>481</v>
      </c>
      <c r="D348" s="3" t="s">
        <v>79</v>
      </c>
      <c r="E348" s="3">
        <v>130</v>
      </c>
      <c r="F348" s="3" t="s">
        <v>56</v>
      </c>
      <c r="G348" s="3" t="s">
        <v>56</v>
      </c>
      <c r="H348" s="3">
        <v>34</v>
      </c>
      <c r="I348" s="4">
        <v>130</v>
      </c>
      <c r="J348" s="5">
        <v>3600000000</v>
      </c>
      <c r="K348" s="6">
        <f t="shared" si="192"/>
        <v>131</v>
      </c>
      <c r="L348" s="7">
        <f>IF($J348=0,0,ROUND(MAX($J348*1.4,1620000*(1.497923^(MIN($E348,123)-117)))*1,0))</f>
        <v>5040000000</v>
      </c>
      <c r="M348" s="4">
        <f t="shared" si="193"/>
        <v>132</v>
      </c>
      <c r="N348" s="8">
        <f>IF($J348=0,0,ROUND(MAX($J348*1.4*1.5,2190000*(1.580994^(MIN($E348,123)-117)))*1,0))</f>
        <v>7560000000</v>
      </c>
      <c r="O348" s="6">
        <f t="shared" si="194"/>
        <v>134</v>
      </c>
      <c r="P348" s="7">
        <f>IF($J348=0,0,ROUND(MAX($J348*1.4*1.5*1.6,3500000*(1.57975^(MIN($E348,123)-117)))*1,0))</f>
        <v>12096000000</v>
      </c>
      <c r="Q348" s="4">
        <f t="shared" si="195"/>
        <v>136</v>
      </c>
      <c r="R348" s="8">
        <f>IF($J348=0,0,ROUND(MAX($J348*1.4*1.5*1.6*1.6,13100000*(1.429962^(MIN($E348,123)-117)))*1,0))</f>
        <v>19353600000</v>
      </c>
      <c r="S348" s="6">
        <f t="shared" si="196"/>
        <v>138</v>
      </c>
      <c r="T348" s="7">
        <f>IF($J348=0,0,ROUND(MAX($J348*1.4*1.5*1.6*1.6*2.2,42600000*(1.576904^(MIN($E348,123)-117)))*1,0))</f>
        <v>42577920000</v>
      </c>
      <c r="U348" s="4">
        <f t="shared" si="197"/>
        <v>141</v>
      </c>
      <c r="V348" s="8">
        <f>IF($J348=0,0,ROUND(MAX($J348*1.4*1.5*1.6*1.6*2.2*2.715,354000000*(1.642074^(MIN($E348,123)-117)))*1,0))</f>
        <v>115599052800</v>
      </c>
      <c r="W348" s="6">
        <f t="shared" si="198"/>
        <v>145</v>
      </c>
      <c r="X348" s="7">
        <f>IF($J348=0,0,ROUND(MAX($J348*1.4*1.5*1.6*1.6*2.2*2.715*2.6,3540000000*(1.579646^(MIN($E348,123)-117)))*1,0))</f>
        <v>300557537280</v>
      </c>
      <c r="Y348" s="4">
        <f t="shared" si="199"/>
        <v>147</v>
      </c>
      <c r="Z348" s="8">
        <f>IF($J348=0,0,ROUND(MAX($J348*1.4*1.5*1.6*1.6*2.2*2.715*2.6*1.4,6020000000*(1.651178^(MIN($E348,123)-117)))*1,0))</f>
        <v>420780552192</v>
      </c>
      <c r="AA348" s="6">
        <f t="shared" si="200"/>
        <v>149</v>
      </c>
      <c r="AB348" s="7">
        <f>IF($J348=0,0,ROUND(MAX($J348*1.4*1.5*1.6*1.6*2.2*2.715*2.6*1.4*1.4,8430000000*(1.651435^(MIN($E348,123)-117)))*1,0))</f>
        <v>589092773069</v>
      </c>
      <c r="AC348" s="4">
        <f t="shared" si="201"/>
        <v>151</v>
      </c>
      <c r="AD348" s="8">
        <f>IF($J348=0,0,ROUND(MAX($J348*1.4*1.5*1.6*1.6*2.2*2.715*2.6*1.4*1.4*1.5,12600000000*(1.652953^(MIN($E348,123)-117)))*1,0))</f>
        <v>883639159603</v>
      </c>
      <c r="AE348" s="6">
        <f t="shared" si="202"/>
        <v>154</v>
      </c>
      <c r="AF348" s="7">
        <f>IF($J348=0,0,ROUND(MAX($J348*1.4*1.5*1.6*1.6*2.2*2.715*2.6*1.4*1.4*1.5*1.5,18900000000*(1.65331^(MIN($E348,123)-117)))*1,0))</f>
        <v>1325458739405</v>
      </c>
      <c r="AG348" s="4">
        <f t="shared" si="203"/>
        <v>157</v>
      </c>
      <c r="AH348" s="8">
        <f>IF($J348=0,0,ROUND(MAX($J348*1.4*1.5*1.6*1.6*2.2*2.715*2.6*1.4*1.4*1.5*1.5*3.2,60500000000*(1.654288^(MIN($E348,123)-117)))*1,0))</f>
        <v>4241467966095</v>
      </c>
    </row>
    <row r="349" ht="27.75" customHeight="1" spans="1:34" x14ac:dyDescent="0.25">
      <c r="A349" s="3">
        <v>380</v>
      </c>
      <c r="B349" s="3" t="s">
        <v>205</v>
      </c>
      <c r="C349" s="3" t="s">
        <v>481</v>
      </c>
      <c r="D349" s="3" t="s">
        <v>79</v>
      </c>
      <c r="E349" s="3">
        <v>131</v>
      </c>
      <c r="F349" s="3" t="s">
        <v>59</v>
      </c>
      <c r="G349" s="3" t="s">
        <v>59</v>
      </c>
      <c r="H349" s="3">
        <v>34</v>
      </c>
      <c r="I349" s="4">
        <v>131</v>
      </c>
      <c r="J349" s="5">
        <v>4800000000</v>
      </c>
      <c r="K349" s="6">
        <f t="shared" si="192"/>
        <v>132</v>
      </c>
      <c r="L349" s="7">
        <f>IF($J349=0,0,ROUND(MAX($J349*1.4,1620000*(1.497923^(MIN($E349,123)-117)))*1,0))</f>
        <v>6720000000</v>
      </c>
      <c r="M349" s="4">
        <f t="shared" si="193"/>
        <v>133</v>
      </c>
      <c r="N349" s="8">
        <f>IF($J349=0,0,ROUND(MAX($J349*1.4*1.5,2190000*(1.580994^(MIN($E349,123)-117)))*1,0))</f>
        <v>10080000000</v>
      </c>
      <c r="O349" s="6">
        <f t="shared" si="194"/>
        <v>135</v>
      </c>
      <c r="P349" s="7">
        <f>IF($J349=0,0,ROUND(MAX($J349*1.4*1.5*1.6,3500000*(1.57975^(MIN($E349,123)-117)))*1,0))</f>
        <v>16128000000</v>
      </c>
      <c r="Q349" s="4">
        <f t="shared" si="195"/>
        <v>137</v>
      </c>
      <c r="R349" s="8">
        <f>IF($J349=0,0,ROUND(MAX($J349*1.4*1.5*1.6*1.6,13100000*(1.429962^(MIN($E349,123)-117)))*1,0))</f>
        <v>25804800000</v>
      </c>
      <c r="S349" s="6">
        <f t="shared" si="196"/>
        <v>139</v>
      </c>
      <c r="T349" s="7">
        <f>IF($J349=0,0,ROUND(MAX($J349*1.4*1.5*1.6*1.6*2.2,42600000*(1.576904^(MIN($E349,123)-117)))*1,0))</f>
        <v>56770560000</v>
      </c>
      <c r="U349" s="4">
        <f t="shared" si="197"/>
        <v>142</v>
      </c>
      <c r="V349" s="8">
        <f>IF($J349=0,0,ROUND(MAX($J349*1.4*1.5*1.6*1.6*2.2*2.715,354000000*(1.642074^(MIN($E349,123)-117)))*1,0))</f>
        <v>154132070400</v>
      </c>
      <c r="W349" s="6">
        <f t="shared" si="198"/>
        <v>146</v>
      </c>
      <c r="X349" s="7">
        <f>IF($J349=0,0,ROUND(MAX($J349*1.4*1.5*1.6*1.6*2.2*2.715*2.6,3540000000*(1.579646^(MIN($E349,123)-117)))*1,0))</f>
        <v>400743383040</v>
      </c>
      <c r="Y349" s="4">
        <f t="shared" si="199"/>
        <v>148</v>
      </c>
      <c r="Z349" s="8">
        <f>IF($J349=0,0,ROUND(MAX($J349*1.4*1.5*1.6*1.6*2.2*2.715*2.6*1.4,6020000000*(1.651178^(MIN($E349,123)-117)))*1,0))</f>
        <v>561040736256</v>
      </c>
      <c r="AA349" s="6">
        <f t="shared" si="200"/>
        <v>150</v>
      </c>
      <c r="AB349" s="7">
        <f>IF($J349=0,0,ROUND(MAX($J349*1.4*1.5*1.6*1.6*2.2*2.715*2.6*1.4*1.4,8430000000*(1.651435^(MIN($E349,123)-117)))*1,0))</f>
        <v>785457030758</v>
      </c>
      <c r="AC349" s="4">
        <f t="shared" si="201"/>
        <v>152</v>
      </c>
      <c r="AD349" s="8">
        <f>IF($J349=0,0,ROUND(MAX($J349*1.4*1.5*1.6*1.6*2.2*2.715*2.6*1.4*1.4*1.5,12600000000*(1.652953^(MIN($E349,123)-117)))*1,0))</f>
        <v>1178185546138</v>
      </c>
      <c r="AE349" s="6">
        <f t="shared" si="202"/>
        <v>155</v>
      </c>
      <c r="AF349" s="7">
        <f>IF($J349=0,0,ROUND(MAX($J349*1.4*1.5*1.6*1.6*2.2*2.715*2.6*1.4*1.4*1.5*1.5,18900000000*(1.65331^(MIN($E349,123)-117)))*1,0))</f>
        <v>1767278319206</v>
      </c>
      <c r="AG349" s="4">
        <f t="shared" si="203"/>
        <v>158</v>
      </c>
      <c r="AH349" s="8">
        <f>IF($J349=0,0,ROUND(MAX($J349*1.4*1.5*1.6*1.6*2.2*2.715*2.6*1.4*1.4*1.5*1.5*3.2,60500000000*(1.654288^(MIN($E349,123)-117)))*1,0))</f>
        <v>5655290621460</v>
      </c>
    </row>
    <row r="350" ht="27.75" customHeight="1" spans="1:34" x14ac:dyDescent="0.25">
      <c r="A350" s="3">
        <v>381</v>
      </c>
      <c r="B350" s="3" t="s">
        <v>489</v>
      </c>
      <c r="C350" s="3" t="s">
        <v>481</v>
      </c>
      <c r="D350" s="3" t="s">
        <v>79</v>
      </c>
      <c r="E350" s="3">
        <v>135</v>
      </c>
      <c r="F350" s="3" t="s">
        <v>30</v>
      </c>
      <c r="G350" s="3" t="s">
        <v>30</v>
      </c>
      <c r="H350" s="3">
        <v>37</v>
      </c>
      <c r="I350" s="4">
        <v>135</v>
      </c>
      <c r="J350" s="5">
        <v>47600000000</v>
      </c>
      <c r="K350" s="6">
        <f t="shared" si="192"/>
        <v>136</v>
      </c>
      <c r="L350" s="7">
        <f>IF($J350=0,0,ROUND(MAX($J350*1.4*1,4020000*(1.354082^(MIN($E350,123)-118))),0))</f>
        <v>66640000000</v>
      </c>
      <c r="M350" s="4">
        <f t="shared" si="193"/>
        <v>137</v>
      </c>
      <c r="N350" s="8">
        <f>IF($J350=0,0,ROUND(MAX($J350*1.4*1.5*1,6950000*(1.375334^(MIN($E350,123)-118))),0))</f>
        <v>99960000000</v>
      </c>
      <c r="O350" s="6">
        <f t="shared" si="194"/>
        <v>139</v>
      </c>
      <c r="P350" s="7">
        <f>IF($J350=0,0,ROUND(MAX($J350*1.4*1.5*1.6*1,23900000*(1.1788^(MIN($E350,123)-118))),0))</f>
        <v>159936000000</v>
      </c>
      <c r="Q350" s="4">
        <f t="shared" si="195"/>
        <v>141</v>
      </c>
      <c r="R350" s="8">
        <f>IF($J350=0,0,ROUND(MAX($J350*1.4*1.5*1.6*1.6*1.25,77000000*(1.127009^(MIN($E350,123)-118))),0))</f>
        <v>319872000000</v>
      </c>
      <c r="S350" s="6">
        <f t="shared" si="196"/>
        <v>143</v>
      </c>
      <c r="T350" s="7">
        <f>IF($J350=0,0,ROUND(MAX($J350*1.4*1.5*1.6*1.6*2.2*1.25,270000000*(1.248411^(MIN($E350,123)-118))),0))</f>
        <v>703718400000</v>
      </c>
      <c r="U350" s="4">
        <f t="shared" si="197"/>
        <v>146</v>
      </c>
      <c r="V350" s="8">
        <f>IF($J350=0,0,ROUND(MAX($J350*1.4*1.5*1.6*1.6*2.2*2.715*1.25,2400000000*(1.293039^(MIN($E350,123)-118))),0))</f>
        <v>1910595456000</v>
      </c>
      <c r="W350" s="6">
        <f t="shared" si="198"/>
        <v>150</v>
      </c>
      <c r="X350" s="7">
        <f>IF($J350=0,0,ROUND(MAX($J350*1.4*1.5*1.6*1.6*2.2*2.715*2.6*1.25,20000000000*(1.280114^(MIN($E350,123)-118))),0))</f>
        <v>4967548185600</v>
      </c>
      <c r="Y350" s="4">
        <f t="shared" si="199"/>
        <v>152</v>
      </c>
      <c r="Z350" s="8">
        <f>IF($J350=0,0,ROUND(MAX($J350*1.4*1.5*1.6*1.6*2.2*2.715*2.6*1.4*1.25,39200000000*(1.31219^(MIN($E350,123)-118))),0))</f>
        <v>6954567459840</v>
      </c>
      <c r="AA350" s="6">
        <f t="shared" si="200"/>
        <v>154</v>
      </c>
      <c r="AB350" s="7">
        <f>IF($J350=0,0,ROUND(MAX($J350*1.4*1.5*1.6*1.6*2.2*2.715*2.6*1.4*1.4*1.25,54900000000*(1.312402^(MIN($E350,123)-118))),0))</f>
        <v>9736394443776</v>
      </c>
      <c r="AC350" s="4">
        <f t="shared" si="201"/>
        <v>156</v>
      </c>
      <c r="AD350" s="8">
        <f>IF($J350=0,0,ROUND(MAX($J350*1.4*1.5*1.6*1.6*2.2*2.715*2.6*1.4*1.4*1.5*1.25,82400000000*(1.312754^(MIN($E350,123)-118))),0))</f>
        <v>14604591665664</v>
      </c>
      <c r="AE350" s="6">
        <f t="shared" si="202"/>
        <v>159</v>
      </c>
      <c r="AF350" s="7">
        <f>IF($J350=0,0,ROUND(MAX($J350*1.4*1.5*1.6*1.6*2.2*2.715*2.6*1.4*1.4*1.5*1.5*1.25,124000000000*(1.312246^(MIN($E350,123)-118))),0))</f>
        <v>21906887498496</v>
      </c>
      <c r="AG350" s="4">
        <f t="shared" si="203"/>
        <v>162</v>
      </c>
      <c r="AH350" s="8">
        <f>IF($J350=0,0,ROUND(MAX($J350*1.4*1.5*1.6*1.6*2.2*2.715*2.6*1.4*1.4*1.5*1.5*3.2*1.25,397000000000*(1.313132^(MIN($E350,123)-118))),0))</f>
        <v>70102039995187</v>
      </c>
    </row>
    <row r="351" ht="27.75" customHeight="1" spans="1:34" x14ac:dyDescent="0.25">
      <c r="A351" s="3">
        <v>382</v>
      </c>
      <c r="B351" s="3" t="s">
        <v>78</v>
      </c>
      <c r="C351" s="3" t="s">
        <v>481</v>
      </c>
      <c r="D351" s="3" t="s">
        <v>79</v>
      </c>
      <c r="E351" s="3">
        <v>136</v>
      </c>
      <c r="F351" s="3" t="s">
        <v>30</v>
      </c>
      <c r="G351" s="3" t="s">
        <v>30</v>
      </c>
      <c r="H351" s="3">
        <v>37</v>
      </c>
      <c r="I351" s="4">
        <v>136</v>
      </c>
      <c r="J351" s="5">
        <v>32800000000</v>
      </c>
      <c r="K351" s="6">
        <f t="shared" si="192"/>
        <v>137</v>
      </c>
      <c r="L351" s="7">
        <f>IF($J351=0,0,ROUND(MAX($J351*1.4*1,4020000*(1.354082^(MIN($E351,123)-118))),0))</f>
        <v>45920000000</v>
      </c>
      <c r="M351" s="4">
        <f t="shared" si="193"/>
        <v>138</v>
      </c>
      <c r="N351" s="8">
        <f>IF($J351=0,0,ROUND(MAX($J351*1.4*1.5*1,6950000*(1.375334^(MIN($E351,123)-118))),0))</f>
        <v>68880000000</v>
      </c>
      <c r="O351" s="6">
        <f t="shared" si="194"/>
        <v>140</v>
      </c>
      <c r="P351" s="7">
        <f>IF($J351=0,0,ROUND(MAX($J351*1.4*1.5*1.6*1,23900000*(1.1788^(MIN($E351,123)-118))),0))</f>
        <v>110208000000</v>
      </c>
      <c r="Q351" s="4">
        <f t="shared" si="195"/>
        <v>142</v>
      </c>
      <c r="R351" s="8">
        <f>IF($J351=0,0,ROUND(MAX($J351*1.4*1.5*1.6*1.6*1.25,77000000*(1.127009^(MIN($E351,123)-118))),0))</f>
        <v>220416000000</v>
      </c>
      <c r="S351" s="6">
        <f t="shared" si="196"/>
        <v>144</v>
      </c>
      <c r="T351" s="7">
        <f>IF($J351=0,0,ROUND(MAX($J351*1.4*1.5*1.6*1.6*2.2*1.25,270000000*(1.248411^(MIN($E351,123)-118))),0))</f>
        <v>484915200000</v>
      </c>
      <c r="U351" s="4">
        <f t="shared" si="197"/>
        <v>147</v>
      </c>
      <c r="V351" s="8">
        <f>IF($J351=0,0,ROUND(MAX($J351*1.4*1.5*1.6*1.6*2.2*2.715*1.25,2400000000*(1.293039^(MIN($E351,123)-118))),0))</f>
        <v>1316544768000</v>
      </c>
      <c r="W351" s="6">
        <f t="shared" si="198"/>
        <v>151</v>
      </c>
      <c r="X351" s="7">
        <f>IF($J351=0,0,ROUND(MAX($J351*1.4*1.5*1.6*1.6*2.2*2.715*2.6*1.25,20000000000*(1.280114^(MIN($E351,123)-118))),0))</f>
        <v>3423016396800</v>
      </c>
      <c r="Y351" s="4">
        <f t="shared" si="199"/>
        <v>153</v>
      </c>
      <c r="Z351" s="8">
        <f>IF($J351=0,0,ROUND(MAX($J351*1.4*1.5*1.6*1.6*2.2*2.715*2.6*1.4*1.25,39200000000*(1.31219^(MIN($E351,123)-118))),0))</f>
        <v>4792222955520</v>
      </c>
      <c r="AA351" s="6">
        <f t="shared" si="200"/>
        <v>155</v>
      </c>
      <c r="AB351" s="7">
        <f>IF($J351=0,0,ROUND(MAX($J351*1.4*1.5*1.6*1.6*2.2*2.715*2.6*1.4*1.4*1.25,54900000000*(1.312402^(MIN($E351,123)-118))),0))</f>
        <v>6709112137728</v>
      </c>
      <c r="AC351" s="4">
        <f t="shared" si="201"/>
        <v>157</v>
      </c>
      <c r="AD351" s="8">
        <f>IF($J351=0,0,ROUND(MAX($J351*1.4*1.5*1.6*1.6*2.2*2.715*2.6*1.4*1.4*1.5*1.25,82400000000*(1.312754^(MIN($E351,123)-118))),0))</f>
        <v>10063668206592</v>
      </c>
      <c r="AE351" s="6">
        <f t="shared" si="202"/>
        <v>160</v>
      </c>
      <c r="AF351" s="7">
        <f>IF($J351=0,0,ROUND(MAX($J351*1.4*1.5*1.6*1.6*2.2*2.715*2.6*1.4*1.4*1.5*1.5*1.25,124000000000*(1.312246^(MIN($E351,123)-118))),0))</f>
        <v>15095502309888</v>
      </c>
      <c r="AG351" s="4">
        <f t="shared" si="203"/>
        <v>163</v>
      </c>
      <c r="AH351" s="8">
        <f>IF($J351=0,0,ROUND(MAX($J351*1.4*1.5*1.6*1.6*2.2*2.715*2.6*1.4*1.4*1.5*1.5*3.2*1.25,397000000000*(1.313132^(MIN($E351,123)-118))),0))</f>
        <v>48305607391642</v>
      </c>
    </row>
    <row r="352" ht="27.75" customHeight="1" spans="1:34" x14ac:dyDescent="0.25">
      <c r="A352" s="3">
        <v>328</v>
      </c>
      <c r="B352" s="3" t="s">
        <v>190</v>
      </c>
      <c r="C352" s="3" t="s">
        <v>481</v>
      </c>
      <c r="D352" s="3" t="s">
        <v>90</v>
      </c>
      <c r="E352" s="3">
        <v>132</v>
      </c>
      <c r="F352" s="3" t="s">
        <v>62</v>
      </c>
      <c r="G352" s="3" t="s">
        <v>62</v>
      </c>
      <c r="H352" s="3">
        <v>34</v>
      </c>
      <c r="I352" s="4">
        <v>132</v>
      </c>
      <c r="J352" s="5">
        <v>6840000000</v>
      </c>
      <c r="K352" s="6">
        <f t="shared" si="192"/>
        <v>133</v>
      </c>
      <c r="L352" s="7">
        <f>IF($J352=0,0,ROUND(MAX($J352*1.4,1620000*(1.497923^(MIN($E352,123)-117)))*1,0))</f>
        <v>9576000000</v>
      </c>
      <c r="M352" s="4">
        <f t="shared" si="193"/>
        <v>134</v>
      </c>
      <c r="N352" s="8">
        <f>IF($J352=0,0,ROUND(MAX($J352*1.4*1.5,2190000*(1.580994^(MIN($E352,123)-117)))*1,0))</f>
        <v>14364000000</v>
      </c>
      <c r="O352" s="6">
        <f t="shared" si="194"/>
        <v>136</v>
      </c>
      <c r="P352" s="7">
        <f>IF($J352=0,0,ROUND(MAX($J352*1.4*1.5*1.6,3500000*(1.57975^(MIN($E352,123)-117)))*1,0))</f>
        <v>22982400000</v>
      </c>
      <c r="Q352" s="4">
        <f t="shared" si="195"/>
        <v>138</v>
      </c>
      <c r="R352" s="8">
        <f>IF($J352=0,0,ROUND(MAX($J352*1.4*1.5*1.6*1.6,13100000*(1.429962^(MIN($E352,123)-117)))*1,0))</f>
        <v>36771840000</v>
      </c>
      <c r="S352" s="6">
        <f t="shared" si="196"/>
        <v>140</v>
      </c>
      <c r="T352" s="7">
        <f>IF($J352=0,0,ROUND(MAX($J352*1.4*1.5*1.6*1.6*2.2,42600000*(1.576904^(MIN($E352,123)-117)))*1,0))</f>
        <v>80898048000</v>
      </c>
      <c r="U352" s="4">
        <f t="shared" si="197"/>
        <v>143</v>
      </c>
      <c r="V352" s="8">
        <f>IF($J352=0,0,ROUND(MAX($J352*1.4*1.5*1.6*1.6*2.2*2.715,354000000*(1.642074^(MIN($E352,123)-117)))*1,0))</f>
        <v>219638200320</v>
      </c>
      <c r="W352" s="6">
        <f t="shared" si="198"/>
        <v>147</v>
      </c>
      <c r="X352" s="7">
        <f>IF($J352=0,0,ROUND(MAX($J352*1.4*1.5*1.6*1.6*2.2*2.715*2.6,3540000000*(1.579646^(MIN($E352,123)-117)))*1,0))</f>
        <v>571059320832</v>
      </c>
      <c r="Y352" s="4">
        <f t="shared" si="199"/>
        <v>149</v>
      </c>
      <c r="Z352" s="8">
        <f>IF($J352=0,0,ROUND(MAX($J352*1.4*1.5*1.6*1.6*2.2*2.715*2.6*1.4,6020000000*(1.651178^(MIN($E352,123)-117)))*1,0))</f>
        <v>799483049165</v>
      </c>
      <c r="AA352" s="6">
        <f t="shared" si="200"/>
        <v>151</v>
      </c>
      <c r="AB352" s="7">
        <f>IF($J352=0,0,ROUND(MAX($J352*1.4*1.5*1.6*1.6*2.2*2.715*2.6*1.4*1.4,8430000000*(1.651435^(MIN($E352,123)-117)))*1,0))</f>
        <v>1119276268831</v>
      </c>
      <c r="AC352" s="4">
        <f t="shared" si="201"/>
        <v>153</v>
      </c>
      <c r="AD352" s="8">
        <f>IF($J352=0,0,ROUND(MAX($J352*1.4*1.5*1.6*1.6*2.2*2.715*2.6*1.4*1.4*1.5,12600000000*(1.652953^(MIN($E352,123)-117)))*1,0))</f>
        <v>1678914403246</v>
      </c>
      <c r="AE352" s="6">
        <f t="shared" si="202"/>
        <v>156</v>
      </c>
      <c r="AF352" s="7">
        <f>IF($J352=0,0,ROUND(MAX($J352*1.4*1.5*1.6*1.6*2.2*2.715*2.6*1.4*1.4*1.5*1.5,18900000000*(1.65331^(MIN($E352,123)-117)))*1,0))</f>
        <v>2518371604869</v>
      </c>
      <c r="AG352" s="4">
        <f t="shared" si="203"/>
        <v>159</v>
      </c>
      <c r="AH352" s="8">
        <f>IF($J352=0,0,ROUND(MAX($J352*1.4*1.5*1.6*1.6*2.2*2.715*2.6*1.4*1.4*1.5*1.5*3.2,60500000000*(1.654288^(MIN($E352,123)-117)))*1,0))</f>
        <v>8058789135581</v>
      </c>
    </row>
    <row r="353" ht="27.75" customHeight="1" spans="1:34" x14ac:dyDescent="0.25">
      <c r="A353" s="3">
        <v>344</v>
      </c>
      <c r="B353" s="3" t="s">
        <v>92</v>
      </c>
      <c r="C353" s="3" t="s">
        <v>481</v>
      </c>
      <c r="D353" s="3" t="s">
        <v>93</v>
      </c>
      <c r="E353" s="3">
        <v>135</v>
      </c>
      <c r="F353" s="3" t="s">
        <v>56</v>
      </c>
      <c r="G353" s="3" t="s">
        <v>56</v>
      </c>
      <c r="H353" s="3">
        <v>36</v>
      </c>
      <c r="I353" s="4">
        <v>135</v>
      </c>
      <c r="J353" s="5">
        <v>20700000000</v>
      </c>
      <c r="K353" s="6">
        <f t="shared" si="192"/>
        <v>136</v>
      </c>
      <c r="L353" s="7">
        <f>IF($J353=0,0,ROUND(MAX($J353*1.4*1,4020000*(1.354082^(MIN($E353,123)-118))),0))</f>
        <v>28980000000</v>
      </c>
      <c r="M353" s="4">
        <f t="shared" si="193"/>
        <v>137</v>
      </c>
      <c r="N353" s="8">
        <f>IF($J353=0,0,ROUND(MAX($J353*1.4*1.5*1,6950000*(1.375334^(MIN($E353,123)-118))),0))</f>
        <v>43470000000</v>
      </c>
      <c r="O353" s="6">
        <f t="shared" si="194"/>
        <v>139</v>
      </c>
      <c r="P353" s="7">
        <f>IF($J353=0,0,ROUND(MAX($J353*1.4*1.5*1.6*1,23900000*(1.1788^(MIN($E353,123)-118))),0))</f>
        <v>69552000000</v>
      </c>
      <c r="Q353" s="4">
        <f t="shared" si="195"/>
        <v>141</v>
      </c>
      <c r="R353" s="8">
        <f>IF($J353=0,0,ROUND(MAX($J353*1.4*1.5*1.6*1.6*1.25,77000000*(1.127009^(MIN($E353,123)-118))),0))</f>
        <v>139104000000</v>
      </c>
      <c r="S353" s="6">
        <f t="shared" si="196"/>
        <v>143</v>
      </c>
      <c r="T353" s="7">
        <f>IF($J353=0,0,ROUND(MAX($J353*1.4*1.5*1.6*1.6*2.2*1.25,270000000*(1.248411^(MIN($E353,123)-118))),0))</f>
        <v>306028800000</v>
      </c>
      <c r="U353" s="4">
        <f t="shared" si="197"/>
        <v>146</v>
      </c>
      <c r="V353" s="8">
        <f>IF($J353=0,0,ROUND(MAX($J353*1.4*1.5*1.6*1.6*2.2*2.715*1.25,2400000000*(1.293039^(MIN($E353,123)-118))),0))</f>
        <v>830868192000</v>
      </c>
      <c r="W353" s="6">
        <f t="shared" si="198"/>
        <v>150</v>
      </c>
      <c r="X353" s="7">
        <f>IF($J353=0,0,ROUND(MAX($J353*1.4*1.5*1.6*1.6*2.2*2.715*2.6*1.25,20000000000*(1.280114^(MIN($E353,123)-118))),0))</f>
        <v>2160257299200</v>
      </c>
      <c r="Y353" s="4">
        <f t="shared" si="199"/>
        <v>152</v>
      </c>
      <c r="Z353" s="8">
        <f>IF($J353=0,0,ROUND(MAX($J353*1.4*1.5*1.6*1.6*2.2*2.715*2.6*1.4*1.25,39200000000*(1.31219^(MIN($E353,123)-118))),0))</f>
        <v>3024360218880</v>
      </c>
      <c r="AA353" s="6">
        <f t="shared" si="200"/>
        <v>154</v>
      </c>
      <c r="AB353" s="7">
        <f>IF($J353=0,0,ROUND(MAX($J353*1.4*1.5*1.6*1.6*2.2*2.715*2.6*1.4*1.4*1.25,54900000000*(1.312402^(MIN($E353,123)-118))),0))</f>
        <v>4234104306432</v>
      </c>
      <c r="AC353" s="4">
        <f t="shared" si="201"/>
        <v>156</v>
      </c>
      <c r="AD353" s="8">
        <f>IF($J353=0,0,ROUND(MAX($J353*1.4*1.5*1.6*1.6*2.2*2.715*2.6*1.4*1.4*1.5*1.25,82400000000*(1.312754^(MIN($E353,123)-118))),0))</f>
        <v>6351156459648</v>
      </c>
      <c r="AE353" s="6">
        <f t="shared" si="202"/>
        <v>159</v>
      </c>
      <c r="AF353" s="7">
        <f>IF($J353=0,0,ROUND(MAX($J353*1.4*1.5*1.6*1.6*2.2*2.715*2.6*1.4*1.4*1.5*1.5*1.25,124000000000*(1.312246^(MIN($E353,123)-118))),0))</f>
        <v>9526734689472</v>
      </c>
      <c r="AG353" s="4">
        <f t="shared" si="203"/>
        <v>162</v>
      </c>
      <c r="AH353" s="8">
        <f>IF($J353=0,0,ROUND(MAX($J353*1.4*1.5*1.6*1.6*2.2*2.715*2.6*1.4*1.4*1.5*1.5*3.2*1.25,397000000000*(1.313132^(MIN($E353,123)-118))),0))</f>
        <v>30485551006310</v>
      </c>
    </row>
    <row r="354" ht="27.75" customHeight="1" spans="1:34" x14ac:dyDescent="0.25">
      <c r="A354" s="3">
        <v>360</v>
      </c>
      <c r="B354" s="3" t="s">
        <v>164</v>
      </c>
      <c r="C354" s="3" t="s">
        <v>481</v>
      </c>
      <c r="D354" s="3" t="s">
        <v>64</v>
      </c>
      <c r="E354" s="3">
        <v>133</v>
      </c>
      <c r="F354" s="3" t="s">
        <v>132</v>
      </c>
      <c r="G354" s="3" t="s">
        <v>132</v>
      </c>
      <c r="H354" s="3">
        <v>35</v>
      </c>
      <c r="I354" s="4">
        <v>133</v>
      </c>
      <c r="J354" s="5">
        <v>22800000000</v>
      </c>
      <c r="K354" s="6">
        <f t="shared" si="192"/>
        <v>134</v>
      </c>
      <c r="L354" s="7">
        <f>IF($J354=0,0,ROUND(MAX($J354*1.4*1,4020000*(1.354082^(MIN($E354,123)-118))),0))</f>
        <v>31920000000</v>
      </c>
      <c r="M354" s="4">
        <f t="shared" si="193"/>
        <v>135</v>
      </c>
      <c r="N354" s="8">
        <f>IF($J354=0,0,ROUND(MAX($J354*1.4*1.5*1,6950000*(1.375334^(MIN($E354,123)-118))),0))</f>
        <v>47880000000</v>
      </c>
      <c r="O354" s="6">
        <f t="shared" si="194"/>
        <v>137</v>
      </c>
      <c r="P354" s="7">
        <f>IF($J354=0,0,ROUND(MAX($J354*1.4*1.5*1.6*1,23900000*(1.1788^(MIN($E354,123)-118))),0))</f>
        <v>76608000000</v>
      </c>
      <c r="Q354" s="4">
        <f t="shared" si="195"/>
        <v>139</v>
      </c>
      <c r="R354" s="8">
        <f>IF($J354=0,0,ROUND(MAX($J354*1.4*1.5*1.6*1.6*1.25,77000000*(1.127009^(MIN($E354,123)-118))),0))</f>
        <v>153216000000</v>
      </c>
      <c r="S354" s="6">
        <f t="shared" si="196"/>
        <v>141</v>
      </c>
      <c r="T354" s="7">
        <f>IF($J354=0,0,ROUND(MAX($J354*1.4*1.5*1.6*1.6*2.2*1.25,270000000*(1.248411^(MIN($E354,123)-118))),0))</f>
        <v>337075200000</v>
      </c>
      <c r="U354" s="4">
        <f t="shared" si="197"/>
        <v>144</v>
      </c>
      <c r="V354" s="8">
        <f>IF($J354=0,0,ROUND(MAX($J354*1.4*1.5*1.6*1.6*2.2*2.715*1.25,2400000000*(1.293039^(MIN($E354,123)-118))),0))</f>
        <v>915159168000</v>
      </c>
      <c r="W354" s="6">
        <f t="shared" si="198"/>
        <v>148</v>
      </c>
      <c r="X354" s="7">
        <f>IF($J354=0,0,ROUND(MAX($J354*1.4*1.5*1.6*1.6*2.2*2.715*2.6*1.25,20000000000*(1.280114^(MIN($E354,123)-118))),0))</f>
        <v>2379413836800</v>
      </c>
      <c r="Y354" s="4">
        <f t="shared" si="199"/>
        <v>150</v>
      </c>
      <c r="Z354" s="8">
        <f>IF($J354=0,0,ROUND(MAX($J354*1.4*1.5*1.6*1.6*2.2*2.715*2.6*1.4*1.25,39200000000*(1.31219^(MIN($E354,123)-118))),0))</f>
        <v>3331179371520</v>
      </c>
      <c r="AA354" s="6">
        <f t="shared" si="200"/>
        <v>152</v>
      </c>
      <c r="AB354" s="7">
        <f>IF($J354=0,0,ROUND(MAX($J354*1.4*1.5*1.6*1.6*2.2*2.715*2.6*1.4*1.4*1.25,54900000000*(1.312402^(MIN($E354,123)-118))),0))</f>
        <v>4663651120128</v>
      </c>
      <c r="AC354" s="4">
        <f t="shared" si="201"/>
        <v>154</v>
      </c>
      <c r="AD354" s="8">
        <f>IF($J354=0,0,ROUND(MAX($J354*1.4*1.5*1.6*1.6*2.2*2.715*2.6*1.4*1.4*1.5*1.25,82400000000*(1.312754^(MIN($E354,123)-118))),0))</f>
        <v>6995476680192</v>
      </c>
      <c r="AE354" s="6">
        <f t="shared" si="202"/>
        <v>157</v>
      </c>
      <c r="AF354" s="7">
        <f>IF($J354=0,0,ROUND(MAX($J354*1.4*1.5*1.6*1.6*2.2*2.715*2.6*1.4*1.4*1.5*1.5*1.25,124000000000*(1.312246^(MIN($E354,123)-118))),0))</f>
        <v>10493215020288</v>
      </c>
      <c r="AG354" s="4">
        <f t="shared" si="203"/>
        <v>160</v>
      </c>
      <c r="AH354" s="8">
        <f>IF($J354=0,0,ROUND(MAX($J354*1.4*1.5*1.6*1.6*2.2*2.715*2.6*1.4*1.4*1.5*1.5*3.2*1.25,397000000000*(1.313132^(MIN($E354,123)-118))),0))</f>
        <v>33578288064922</v>
      </c>
    </row>
    <row r="355" ht="27.75" customHeight="1" spans="1:34" x14ac:dyDescent="0.25">
      <c r="A355" s="3">
        <v>361</v>
      </c>
      <c r="B355" s="3" t="s">
        <v>110</v>
      </c>
      <c r="C355" s="3" t="s">
        <v>481</v>
      </c>
      <c r="D355" s="3" t="s">
        <v>64</v>
      </c>
      <c r="E355" s="3">
        <v>135</v>
      </c>
      <c r="F355" s="3" t="s">
        <v>59</v>
      </c>
      <c r="G355" s="3" t="s">
        <v>59</v>
      </c>
      <c r="H355" s="3">
        <v>37</v>
      </c>
      <c r="I355" s="4">
        <v>135</v>
      </c>
      <c r="J355" s="5">
        <v>15600000000</v>
      </c>
      <c r="K355" s="6">
        <f t="shared" si="192"/>
        <v>136</v>
      </c>
      <c r="L355" s="7">
        <f>IF($J355=0,0,ROUND(MAX($J355*1.4*1,4020000*(1.354082^(MIN($E355,123)-118))),0))</f>
        <v>21840000000</v>
      </c>
      <c r="M355" s="4">
        <f t="shared" si="193"/>
        <v>137</v>
      </c>
      <c r="N355" s="8">
        <f>IF($J355=0,0,ROUND(MAX($J355*1.4*1.5*1,6950000*(1.375334^(MIN($E355,123)-118))),0))</f>
        <v>32760000000</v>
      </c>
      <c r="O355" s="6">
        <f t="shared" si="194"/>
        <v>139</v>
      </c>
      <c r="P355" s="7">
        <f>IF($J355=0,0,ROUND(MAX($J355*1.4*1.5*1.6*1,23900000*(1.1788^(MIN($E355,123)-118))),0))</f>
        <v>52416000000</v>
      </c>
      <c r="Q355" s="4">
        <f t="shared" si="195"/>
        <v>141</v>
      </c>
      <c r="R355" s="8">
        <f>IF($J355=0,0,ROUND(MAX($J355*1.4*1.5*1.6*1.6*1.25,77000000*(1.127009^(MIN($E355,123)-118))),0))</f>
        <v>104832000000</v>
      </c>
      <c r="S355" s="6">
        <f t="shared" si="196"/>
        <v>143</v>
      </c>
      <c r="T355" s="7">
        <f>IF($J355=0,0,ROUND(MAX($J355*1.4*1.5*1.6*1.6*2.2*1.25,270000000*(1.248411^(MIN($E355,123)-118))),0))</f>
        <v>230630400000</v>
      </c>
      <c r="U355" s="4">
        <f t="shared" si="197"/>
        <v>146</v>
      </c>
      <c r="V355" s="8">
        <f>IF($J355=0,0,ROUND(MAX($J355*1.4*1.5*1.6*1.6*2.2*2.715*1.25,2400000000*(1.293039^(MIN($E355,123)-118))),0))</f>
        <v>626161536000</v>
      </c>
      <c r="W355" s="6">
        <f t="shared" si="198"/>
        <v>150</v>
      </c>
      <c r="X355" s="7">
        <f>IF($J355=0,0,ROUND(MAX($J355*1.4*1.5*1.6*1.6*2.2*2.715*2.6*1.25,20000000000*(1.280114^(MIN($E355,123)-118))),0))</f>
        <v>1628019993600</v>
      </c>
      <c r="Y355" s="4">
        <f t="shared" si="199"/>
        <v>152</v>
      </c>
      <c r="Z355" s="8">
        <f>IF($J355=0,0,ROUND(MAX($J355*1.4*1.5*1.6*1.6*2.2*2.715*2.6*1.4*1.25,39200000000*(1.31219^(MIN($E355,123)-118))),0))</f>
        <v>2279227991040</v>
      </c>
      <c r="AA355" s="6">
        <f t="shared" si="200"/>
        <v>154</v>
      </c>
      <c r="AB355" s="7">
        <f>IF($J355=0,0,ROUND(MAX($J355*1.4*1.5*1.6*1.6*2.2*2.715*2.6*1.4*1.4*1.25,54900000000*(1.312402^(MIN($E355,123)-118))),0))</f>
        <v>3190919187456</v>
      </c>
      <c r="AC355" s="4">
        <f t="shared" si="201"/>
        <v>156</v>
      </c>
      <c r="AD355" s="8">
        <f>IF($J355=0,0,ROUND(MAX($J355*1.4*1.5*1.6*1.6*2.2*2.715*2.6*1.4*1.4*1.5*1.25,82400000000*(1.312754^(MIN($E355,123)-118))),0))</f>
        <v>4786378781184</v>
      </c>
      <c r="AE355" s="6">
        <f t="shared" si="202"/>
        <v>159</v>
      </c>
      <c r="AF355" s="7">
        <f>IF($J355=0,0,ROUND(MAX($J355*1.4*1.5*1.6*1.6*2.2*2.715*2.6*1.4*1.4*1.5*1.5*1.25,124000000000*(1.312246^(MIN($E355,123)-118))),0))</f>
        <v>7179568171776</v>
      </c>
      <c r="AG355" s="4">
        <f t="shared" si="203"/>
        <v>162</v>
      </c>
      <c r="AH355" s="8">
        <f>IF($J355=0,0,ROUND(MAX($J355*1.4*1.5*1.6*1.6*2.2*2.715*2.6*1.4*1.4*1.5*1.5*3.2*1.25,397000000000*(1.313132^(MIN($E355,123)-118))),0))</f>
        <v>22974618149683</v>
      </c>
    </row>
    <row r="356" ht="27.75" customHeight="1" spans="1:34" x14ac:dyDescent="0.25">
      <c r="A356" s="3">
        <v>362</v>
      </c>
      <c r="B356" s="3" t="s">
        <v>63</v>
      </c>
      <c r="C356" s="3" t="s">
        <v>481</v>
      </c>
      <c r="D356" s="3" t="s">
        <v>64</v>
      </c>
      <c r="E356" s="3">
        <v>136</v>
      </c>
      <c r="F356" s="3" t="s">
        <v>65</v>
      </c>
      <c r="G356" s="3" t="s">
        <v>65</v>
      </c>
      <c r="H356" s="3">
        <v>37</v>
      </c>
      <c r="I356" s="4">
        <v>136</v>
      </c>
      <c r="J356" s="5">
        <v>15600000000</v>
      </c>
      <c r="K356" s="6">
        <f t="shared" si="192"/>
        <v>137</v>
      </c>
      <c r="L356" s="7">
        <f>IF($J356=0,0,ROUND(MAX($J356*1.4*1,4020000*(1.354082^(MIN($E356,123)-118))),0))</f>
        <v>21840000000</v>
      </c>
      <c r="M356" s="4">
        <f t="shared" si="193"/>
        <v>138</v>
      </c>
      <c r="N356" s="8">
        <f>IF($J356=0,0,ROUND(MAX($J356*1.4*1.5*1,6950000*(1.375334^(MIN($E356,123)-118))),0))</f>
        <v>32760000000</v>
      </c>
      <c r="O356" s="6">
        <f t="shared" si="194"/>
        <v>140</v>
      </c>
      <c r="P356" s="7">
        <f>IF($J356=0,0,ROUND(MAX($J356*1.4*1.5*1.6*1,23900000*(1.1788^(MIN($E356,123)-118))),0))</f>
        <v>52416000000</v>
      </c>
      <c r="Q356" s="4">
        <f t="shared" si="195"/>
        <v>142</v>
      </c>
      <c r="R356" s="8">
        <f>IF($J356=0,0,ROUND(MAX($J356*1.4*1.5*1.6*1.6*1.25,77000000*(1.127009^(MIN($E356,123)-118))),0))</f>
        <v>104832000000</v>
      </c>
      <c r="S356" s="6">
        <f t="shared" si="196"/>
        <v>144</v>
      </c>
      <c r="T356" s="7">
        <f>IF($J356=0,0,ROUND(MAX($J356*1.4*1.5*1.6*1.6*2.2*1.25,270000000*(1.248411^(MIN($E356,123)-118))),0))</f>
        <v>230630400000</v>
      </c>
      <c r="U356" s="4">
        <f t="shared" si="197"/>
        <v>147</v>
      </c>
      <c r="V356" s="8">
        <f>IF($J356=0,0,ROUND(MAX($J356*1.4*1.5*1.6*1.6*2.2*2.715*1.25,2400000000*(1.293039^(MIN($E356,123)-118))),0))</f>
        <v>626161536000</v>
      </c>
      <c r="W356" s="6">
        <f t="shared" si="198"/>
        <v>151</v>
      </c>
      <c r="X356" s="7">
        <f>IF($J356=0,0,ROUND(MAX($J356*1.4*1.5*1.6*1.6*2.2*2.715*2.6*1.25,20000000000*(1.280114^(MIN($E356,123)-118))),0))</f>
        <v>1628019993600</v>
      </c>
      <c r="Y356" s="4">
        <f t="shared" si="199"/>
        <v>153</v>
      </c>
      <c r="Z356" s="8">
        <f>IF($J356=0,0,ROUND(MAX($J356*1.4*1.5*1.6*1.6*2.2*2.715*2.6*1.4*1.25,39200000000*(1.31219^(MIN($E356,123)-118))),0))</f>
        <v>2279227991040</v>
      </c>
      <c r="AA356" s="6">
        <f t="shared" si="200"/>
        <v>155</v>
      </c>
      <c r="AB356" s="7">
        <f>IF($J356=0,0,ROUND(MAX($J356*1.4*1.5*1.6*1.6*2.2*2.715*2.6*1.4*1.4*1.25,54900000000*(1.312402^(MIN($E356,123)-118))),0))</f>
        <v>3190919187456</v>
      </c>
      <c r="AC356" s="4">
        <f t="shared" si="201"/>
        <v>157</v>
      </c>
      <c r="AD356" s="8">
        <f>IF($J356=0,0,ROUND(MAX($J356*1.4*1.5*1.6*1.6*2.2*2.715*2.6*1.4*1.4*1.5*1.25,82400000000*(1.312754^(MIN($E356,123)-118))),0))</f>
        <v>4786378781184</v>
      </c>
      <c r="AE356" s="6">
        <f t="shared" si="202"/>
        <v>160</v>
      </c>
      <c r="AF356" s="7">
        <f>IF($J356=0,0,ROUND(MAX($J356*1.4*1.5*1.6*1.6*2.2*2.715*2.6*1.4*1.4*1.5*1.5*1.25,124000000000*(1.312246^(MIN($E356,123)-118))),0))</f>
        <v>7179568171776</v>
      </c>
      <c r="AG356" s="4">
        <f t="shared" si="203"/>
        <v>163</v>
      </c>
      <c r="AH356" s="8">
        <f>IF($J356=0,0,ROUND(MAX($J356*1.4*1.5*1.6*1.6*2.2*2.715*2.6*1.4*1.4*1.5*1.5*3.2*1.25,397000000000*(1.313132^(MIN($E356,123)-118))),0))</f>
        <v>22974618149683</v>
      </c>
    </row>
    <row r="357" ht="27.75" customHeight="1" spans="1:34" x14ac:dyDescent="0.25">
      <c r="A357" s="3">
        <v>363</v>
      </c>
      <c r="B357" s="3" t="s">
        <v>490</v>
      </c>
      <c r="C357" s="3" t="s">
        <v>481</v>
      </c>
      <c r="D357" s="3" t="s">
        <v>40</v>
      </c>
      <c r="E357" s="3">
        <v>130</v>
      </c>
      <c r="F357" s="3" t="s">
        <v>42</v>
      </c>
      <c r="G357" s="3" t="s">
        <v>42</v>
      </c>
      <c r="H357" s="3">
        <v>33</v>
      </c>
      <c r="I357" s="4">
        <v>130</v>
      </c>
      <c r="J357" s="5">
        <v>6180000000</v>
      </c>
      <c r="K357" s="6">
        <f t="shared" si="192"/>
        <v>131</v>
      </c>
      <c r="L357" s="7">
        <f>IF($J357=0,0,ROUND(MAX($J357*1.4,1620000*(1.497923^(MIN($E357,123)-117)))*1,0))</f>
        <v>8652000000</v>
      </c>
      <c r="M357" s="4">
        <f t="shared" si="193"/>
        <v>132</v>
      </c>
      <c r="N357" s="8">
        <f>IF($J357=0,0,ROUND(MAX($J357*1.4*1.5,2190000*(1.580994^(MIN($E357,123)-117)))*1,0))</f>
        <v>12978000000</v>
      </c>
      <c r="O357" s="6">
        <f t="shared" si="194"/>
        <v>134</v>
      </c>
      <c r="P357" s="7">
        <f>IF($J357=0,0,ROUND(MAX($J357*1.4*1.5*1.6,3500000*(1.57975^(MIN($E357,123)-117)))*1,0))</f>
        <v>20764800000</v>
      </c>
      <c r="Q357" s="4">
        <f t="shared" si="195"/>
        <v>136</v>
      </c>
      <c r="R357" s="8">
        <f>IF($J357=0,0,ROUND(MAX($J357*1.4*1.5*1.6*1.6,13100000*(1.429962^(MIN($E357,123)-117)))*1,0))</f>
        <v>33223680000</v>
      </c>
      <c r="S357" s="6">
        <f t="shared" si="196"/>
        <v>138</v>
      </c>
      <c r="T357" s="7">
        <f>IF($J357=0,0,ROUND(MAX($J357*1.4*1.5*1.6*1.6*2.2,42600000*(1.576904^(MIN($E357,123)-117)))*1,0))</f>
        <v>73092096000</v>
      </c>
      <c r="U357" s="4">
        <f t="shared" si="197"/>
        <v>141</v>
      </c>
      <c r="V357" s="8">
        <f>IF($J357=0,0,ROUND(MAX($J357*1.4*1.5*1.6*1.6*2.2*2.715,354000000*(1.642074^(MIN($E357,123)-117)))*1,0))</f>
        <v>198445040640</v>
      </c>
      <c r="W357" s="6">
        <f t="shared" si="198"/>
        <v>145</v>
      </c>
      <c r="X357" s="7">
        <f>IF($J357=0,0,ROUND(MAX($J357*1.4*1.5*1.6*1.6*2.2*2.715*2.6,3540000000*(1.579646^(MIN($E357,123)-117)))*1,0))</f>
        <v>515957105664</v>
      </c>
      <c r="Y357" s="4">
        <f t="shared" si="199"/>
        <v>147</v>
      </c>
      <c r="Z357" s="8">
        <f>IF($J357=0,0,ROUND(MAX($J357*1.4*1.5*1.6*1.6*2.2*2.715*2.6*1.4,6020000000*(1.651178^(MIN($E357,123)-117)))*1,0))</f>
        <v>722339947930</v>
      </c>
      <c r="AA357" s="6">
        <f t="shared" si="200"/>
        <v>149</v>
      </c>
      <c r="AB357" s="7">
        <f>IF($J357=0,0,ROUND(MAX($J357*1.4*1.5*1.6*1.6*2.2*2.715*2.6*1.4*1.4,8430000000*(1.651435^(MIN($E357,123)-117)))*1,0))</f>
        <v>1011275927101</v>
      </c>
      <c r="AC357" s="4">
        <f t="shared" si="201"/>
        <v>151</v>
      </c>
      <c r="AD357" s="8">
        <f>IF($J357=0,0,ROUND(MAX($J357*1.4*1.5*1.6*1.6*2.2*2.715*2.6*1.4*1.4*1.5,12600000000*(1.652953^(MIN($E357,123)-117)))*1,0))</f>
        <v>1516913890652</v>
      </c>
      <c r="AE357" s="6">
        <f t="shared" si="202"/>
        <v>154</v>
      </c>
      <c r="AF357" s="7">
        <f>IF($J357=0,0,ROUND(MAX($J357*1.4*1.5*1.6*1.6*2.2*2.715*2.6*1.4*1.4*1.5*1.5,18900000000*(1.65331^(MIN($E357,123)-117)))*1,0))</f>
        <v>2275370835978</v>
      </c>
      <c r="AG357" s="4">
        <f t="shared" si="203"/>
        <v>157</v>
      </c>
      <c r="AH357" s="8">
        <f>IF($J357=0,0,ROUND(MAX($J357*1.4*1.5*1.6*1.6*2.2*2.715*2.6*1.4*1.4*1.5*1.5*3.2,60500000000*(1.654288^(MIN($E357,123)-117)))*1,0))</f>
        <v>7281186675130</v>
      </c>
    </row>
    <row r="358" ht="27.75" customHeight="1" spans="1:34" x14ac:dyDescent="0.25">
      <c r="A358" s="3">
        <v>364</v>
      </c>
      <c r="B358" s="3" t="s">
        <v>491</v>
      </c>
      <c r="C358" s="3" t="s">
        <v>481</v>
      </c>
      <c r="D358" s="3" t="s">
        <v>40</v>
      </c>
      <c r="E358" s="3">
        <v>130</v>
      </c>
      <c r="F358" s="3" t="s">
        <v>492</v>
      </c>
      <c r="G358" s="3" t="s">
        <v>492</v>
      </c>
      <c r="H358" s="3">
        <v>33</v>
      </c>
      <c r="I358" s="4">
        <v>130</v>
      </c>
      <c r="J358" s="5">
        <v>2860000000</v>
      </c>
      <c r="K358" s="6">
        <f t="shared" si="192"/>
        <v>131</v>
      </c>
      <c r="L358" s="7">
        <f>IF($J358=0,0,ROUND(MAX($J358*1.4,1620000*(1.497923^(MIN($E358,123)-117)))*1,0))</f>
        <v>4004000000</v>
      </c>
      <c r="M358" s="4">
        <f t="shared" si="193"/>
        <v>132</v>
      </c>
      <c r="N358" s="8">
        <f>IF($J358=0,0,ROUND(MAX($J358*1.4*1.5,2190000*(1.580994^(MIN($E358,123)-117)))*1,0))</f>
        <v>6006000000</v>
      </c>
      <c r="O358" s="6">
        <f t="shared" si="194"/>
        <v>134</v>
      </c>
      <c r="P358" s="7">
        <f>IF($J358=0,0,ROUND(MAX($J358*1.4*1.5*1.6,3500000*(1.57975^(MIN($E358,123)-117)))*1,0))</f>
        <v>9609600000</v>
      </c>
      <c r="Q358" s="4">
        <f t="shared" si="195"/>
        <v>136</v>
      </c>
      <c r="R358" s="8">
        <f>IF($J358=0,0,ROUND(MAX($J358*1.4*1.5*1.6*1.6,13100000*(1.429962^(MIN($E358,123)-117)))*1,0))</f>
        <v>15375360000</v>
      </c>
      <c r="S358" s="6">
        <f t="shared" si="196"/>
        <v>138</v>
      </c>
      <c r="T358" s="7">
        <f>IF($J358=0,0,ROUND(MAX($J358*1.4*1.5*1.6*1.6*2.2,42600000*(1.576904^(MIN($E358,123)-117)))*1,0))</f>
        <v>33825792000</v>
      </c>
      <c r="U358" s="4">
        <f t="shared" si="197"/>
        <v>141</v>
      </c>
      <c r="V358" s="8">
        <f>IF($J358=0,0,ROUND(MAX($J358*1.4*1.5*1.6*1.6*2.2*2.715,354000000*(1.642074^(MIN($E358,123)-117)))*1,0))</f>
        <v>91837025280</v>
      </c>
      <c r="W358" s="6">
        <f t="shared" si="198"/>
        <v>145</v>
      </c>
      <c r="X358" s="7">
        <f>IF($J358=0,0,ROUND(MAX($J358*1.4*1.5*1.6*1.6*2.2*2.715*2.6,3540000000*(1.579646^(MIN($E358,123)-117)))*1,0))</f>
        <v>238776265728</v>
      </c>
      <c r="Y358" s="4">
        <f t="shared" si="199"/>
        <v>147</v>
      </c>
      <c r="Z358" s="8">
        <f>IF($J358=0,0,ROUND(MAX($J358*1.4*1.5*1.6*1.6*2.2*2.715*2.6*1.4,6020000000*(1.651178^(MIN($E358,123)-117)))*1,0))</f>
        <v>334286772019</v>
      </c>
      <c r="AA358" s="6">
        <f t="shared" si="200"/>
        <v>149</v>
      </c>
      <c r="AB358" s="7">
        <f>IF($J358=0,0,ROUND(MAX($J358*1.4*1.5*1.6*1.6*2.2*2.715*2.6*1.4*1.4,8430000000*(1.651435^(MIN($E358,123)-117)))*1,0))</f>
        <v>468001480827</v>
      </c>
      <c r="AC358" s="4">
        <f t="shared" si="201"/>
        <v>151</v>
      </c>
      <c r="AD358" s="8">
        <f>IF($J358=0,0,ROUND(MAX($J358*1.4*1.5*1.6*1.6*2.2*2.715*2.6*1.4*1.4*1.5,12600000000*(1.652953^(MIN($E358,123)-117)))*1,0))</f>
        <v>702002221240</v>
      </c>
      <c r="AE358" s="6">
        <f t="shared" si="202"/>
        <v>154</v>
      </c>
      <c r="AF358" s="7">
        <f>IF($J358=0,0,ROUND(MAX($J358*1.4*1.5*1.6*1.6*2.2*2.715*2.6*1.4*1.4*1.5*1.5,18900000000*(1.65331^(MIN($E358,123)-117)))*1,0))</f>
        <v>1053003331860</v>
      </c>
      <c r="AG358" s="4">
        <f t="shared" si="203"/>
        <v>157</v>
      </c>
      <c r="AH358" s="8">
        <f>IF($J358=0,0,ROUND(MAX($J358*1.4*1.5*1.6*1.6*2.2*2.715*2.6*1.4*1.4*1.5*1.5*3.2,60500000000*(1.654288^(MIN($E358,123)-117)))*1,0))</f>
        <v>3369610661954</v>
      </c>
    </row>
    <row r="359" ht="27.75" customHeight="1" spans="1:34" x14ac:dyDescent="0.25">
      <c r="A359" s="3">
        <v>365</v>
      </c>
      <c r="B359" s="3" t="s">
        <v>172</v>
      </c>
      <c r="C359" s="3" t="s">
        <v>481</v>
      </c>
      <c r="D359" s="3" t="s">
        <v>40</v>
      </c>
      <c r="E359" s="3">
        <v>131</v>
      </c>
      <c r="F359" s="3" t="s">
        <v>26</v>
      </c>
      <c r="G359" s="3" t="s">
        <v>26</v>
      </c>
      <c r="H359" s="3">
        <v>34</v>
      </c>
      <c r="I359" s="4">
        <v>131</v>
      </c>
      <c r="J359" s="5">
        <v>5280000000</v>
      </c>
      <c r="K359" s="6">
        <f t="shared" si="192"/>
        <v>132</v>
      </c>
      <c r="L359" s="7">
        <f>IF($J359=0,0,ROUND(MAX($J359*1.4,1620000*(1.497923^(MIN($E359,123)-117)))*1,0))</f>
        <v>7392000000</v>
      </c>
      <c r="M359" s="4">
        <f t="shared" si="193"/>
        <v>133</v>
      </c>
      <c r="N359" s="8">
        <f>IF($J359=0,0,ROUND(MAX($J359*1.4*1.5,2190000*(1.580994^(MIN($E359,123)-117)))*1,0))</f>
        <v>11088000000</v>
      </c>
      <c r="O359" s="6">
        <f t="shared" si="194"/>
        <v>135</v>
      </c>
      <c r="P359" s="7">
        <f>IF($J359=0,0,ROUND(MAX($J359*1.4*1.5*1.6,3500000*(1.57975^(MIN($E359,123)-117)))*1,0))</f>
        <v>17740800000</v>
      </c>
      <c r="Q359" s="4">
        <f t="shared" si="195"/>
        <v>137</v>
      </c>
      <c r="R359" s="8">
        <f>IF($J359=0,0,ROUND(MAX($J359*1.4*1.5*1.6*1.6,13100000*(1.429962^(MIN($E359,123)-117)))*1,0))</f>
        <v>28385280000</v>
      </c>
      <c r="S359" s="6">
        <f t="shared" si="196"/>
        <v>139</v>
      </c>
      <c r="T359" s="7">
        <f>IF($J359=0,0,ROUND(MAX($J359*1.4*1.5*1.6*1.6*2.2,42600000*(1.576904^(MIN($E359,123)-117)))*1,0))</f>
        <v>62447616000</v>
      </c>
      <c r="U359" s="4">
        <f t="shared" si="197"/>
        <v>142</v>
      </c>
      <c r="V359" s="8">
        <f>IF($J359=0,0,ROUND(MAX($J359*1.4*1.5*1.6*1.6*2.2*2.715,354000000*(1.642074^(MIN($E359,123)-117)))*1,0))</f>
        <v>169545277440</v>
      </c>
      <c r="W359" s="6">
        <f t="shared" si="198"/>
        <v>146</v>
      </c>
      <c r="X359" s="7">
        <f>IF($J359=0,0,ROUND(MAX($J359*1.4*1.5*1.6*1.6*2.2*2.715*2.6,3540000000*(1.579646^(MIN($E359,123)-117)))*1,0))</f>
        <v>440817721344</v>
      </c>
      <c r="Y359" s="4">
        <f t="shared" si="199"/>
        <v>148</v>
      </c>
      <c r="Z359" s="8">
        <f>IF($J359=0,0,ROUND(MAX($J359*1.4*1.5*1.6*1.6*2.2*2.715*2.6*1.4,6020000000*(1.651178^(MIN($E359,123)-117)))*1,0))</f>
        <v>617144809882</v>
      </c>
      <c r="AA359" s="6">
        <f t="shared" si="200"/>
        <v>150</v>
      </c>
      <c r="AB359" s="7">
        <f>IF($J359=0,0,ROUND(MAX($J359*1.4*1.5*1.6*1.6*2.2*2.715*2.6*1.4*1.4,8430000000*(1.651435^(MIN($E359,123)-117)))*1,0))</f>
        <v>864002733834</v>
      </c>
      <c r="AC359" s="4">
        <f t="shared" si="201"/>
        <v>152</v>
      </c>
      <c r="AD359" s="8">
        <f>IF($J359=0,0,ROUND(MAX($J359*1.4*1.5*1.6*1.6*2.2*2.715*2.6*1.4*1.4*1.5,12600000000*(1.652953^(MIN($E359,123)-117)))*1,0))</f>
        <v>1296004100751</v>
      </c>
      <c r="AE359" s="6">
        <f t="shared" si="202"/>
        <v>155</v>
      </c>
      <c r="AF359" s="7">
        <f>IF($J359=0,0,ROUND(MAX($J359*1.4*1.5*1.6*1.6*2.2*2.715*2.6*1.4*1.4*1.5*1.5,18900000000*(1.65331^(MIN($E359,123)-117)))*1,0))</f>
        <v>1944006151127</v>
      </c>
      <c r="AG359" s="4">
        <f t="shared" si="203"/>
        <v>158</v>
      </c>
      <c r="AH359" s="8">
        <f>IF($J359=0,0,ROUND(MAX($J359*1.4*1.5*1.6*1.6*2.2*2.715*2.6*1.4*1.4*1.5*1.5*3.2,60500000000*(1.654288^(MIN($E359,123)-117)))*1,0))</f>
        <v>6220819683607</v>
      </c>
    </row>
    <row r="360" ht="27.75" customHeight="1" spans="1:34" x14ac:dyDescent="0.25">
      <c r="A360" s="3">
        <v>366</v>
      </c>
      <c r="B360" s="3" t="s">
        <v>139</v>
      </c>
      <c r="C360" s="3" t="s">
        <v>481</v>
      </c>
      <c r="D360" s="3" t="s">
        <v>40</v>
      </c>
      <c r="E360" s="3">
        <v>132</v>
      </c>
      <c r="F360" s="3" t="s">
        <v>34</v>
      </c>
      <c r="G360" s="3" t="s">
        <v>34</v>
      </c>
      <c r="H360" s="3">
        <v>35</v>
      </c>
      <c r="I360" s="4">
        <v>132</v>
      </c>
      <c r="J360" s="5">
        <v>5070000000</v>
      </c>
      <c r="K360" s="6">
        <f t="shared" si="192"/>
        <v>133</v>
      </c>
      <c r="L360" s="7">
        <f>IF($J360=0,0,ROUND(MAX($J360*1.4*1,4020000*(1.354082^(MIN($E360,123)-118))),0))</f>
        <v>7098000000</v>
      </c>
      <c r="M360" s="4">
        <f t="shared" si="193"/>
        <v>134</v>
      </c>
      <c r="N360" s="8">
        <f>IF($J360=0,0,ROUND(MAX($J360*1.4*1.5*1,6950000*(1.375334^(MIN($E360,123)-118))),0))</f>
        <v>10647000000</v>
      </c>
      <c r="O360" s="6">
        <f t="shared" si="194"/>
        <v>136</v>
      </c>
      <c r="P360" s="7">
        <f>IF($J360=0,0,ROUND(MAX($J360*1.4*1.5*1.6*1,23900000*(1.1788^(MIN($E360,123)-118))),0))</f>
        <v>17035200000</v>
      </c>
      <c r="Q360" s="4">
        <f t="shared" si="195"/>
        <v>138</v>
      </c>
      <c r="R360" s="8">
        <f>IF($J360=0,0,ROUND(MAX($J360*1.4*1.5*1.6*1.6*1.25,77000000*(1.127009^(MIN($E360,123)-118))),0))</f>
        <v>34070400000</v>
      </c>
      <c r="S360" s="6">
        <f t="shared" si="196"/>
        <v>140</v>
      </c>
      <c r="T360" s="7">
        <f>IF($J360=0,0,ROUND(MAX($J360*1.4*1.5*1.6*1.6*2.2*1.25,270000000*(1.248411^(MIN($E360,123)-118))),0))</f>
        <v>74954880000</v>
      </c>
      <c r="U360" s="4">
        <f t="shared" si="197"/>
        <v>143</v>
      </c>
      <c r="V360" s="8">
        <f>IF($J360=0,0,ROUND(MAX($J360*1.4*1.5*1.6*1.6*2.2*2.715*1.25,2400000000*(1.293039^(MIN($E360,123)-118))),0))</f>
        <v>203502499200</v>
      </c>
      <c r="W360" s="6">
        <f t="shared" si="198"/>
        <v>147</v>
      </c>
      <c r="X360" s="7">
        <f>IF($J360=0,0,ROUND(MAX($J360*1.4*1.5*1.6*1.6*2.2*2.715*2.6*1.25,20000000000*(1.280114^(MIN($E360,123)-118))),0))</f>
        <v>529106497920</v>
      </c>
      <c r="Y360" s="4">
        <f t="shared" si="199"/>
        <v>149</v>
      </c>
      <c r="Z360" s="8">
        <f>IF($J360=0,0,ROUND(MAX($J360*1.4*1.5*1.6*1.6*2.2*2.715*2.6*1.4*1.25,39200000000*(1.31219^(MIN($E360,123)-118))),0))</f>
        <v>740749097088</v>
      </c>
      <c r="AA360" s="6">
        <f t="shared" si="200"/>
        <v>151</v>
      </c>
      <c r="AB360" s="7">
        <f>IF($J360=0,0,ROUND(MAX($J360*1.4*1.5*1.6*1.6*2.2*2.715*2.6*1.4*1.4*1.25,54900000000*(1.312402^(MIN($E360,123)-118))),0))</f>
        <v>1037048735923</v>
      </c>
      <c r="AC360" s="4">
        <f t="shared" si="201"/>
        <v>153</v>
      </c>
      <c r="AD360" s="8">
        <f>IF($J360=0,0,ROUND(MAX($J360*1.4*1.5*1.6*1.6*2.2*2.715*2.6*1.4*1.4*1.5*1.25,82400000000*(1.312754^(MIN($E360,123)-118))),0))</f>
        <v>1555573103885</v>
      </c>
      <c r="AE360" s="6">
        <f t="shared" si="202"/>
        <v>156</v>
      </c>
      <c r="AF360" s="7">
        <f>IF($J360=0,0,ROUND(MAX($J360*1.4*1.5*1.6*1.6*2.2*2.715*2.6*1.4*1.4*1.5*1.5*1.25,124000000000*(1.312246^(MIN($E360,123)-118))),0))</f>
        <v>2333359655827</v>
      </c>
      <c r="AG360" s="4">
        <f t="shared" si="203"/>
        <v>159</v>
      </c>
      <c r="AH360" s="8">
        <f>IF($J360=0,0,ROUND(MAX($J360*1.4*1.5*1.6*1.6*2.2*2.715*2.6*1.4*1.4*1.5*1.5*3.2*1.25,397000000000*(1.313132^(MIN($E360,123)-118))),0))</f>
        <v>7466750898647</v>
      </c>
    </row>
    <row r="361" ht="27.75" customHeight="1" spans="1:34" x14ac:dyDescent="0.25">
      <c r="A361" s="3">
        <v>367</v>
      </c>
      <c r="B361" s="3" t="s">
        <v>163</v>
      </c>
      <c r="C361" s="3" t="s">
        <v>481</v>
      </c>
      <c r="D361" s="3" t="s">
        <v>40</v>
      </c>
      <c r="E361" s="3">
        <v>132</v>
      </c>
      <c r="F361" s="3" t="s">
        <v>71</v>
      </c>
      <c r="G361" s="3" t="s">
        <v>71</v>
      </c>
      <c r="H361" s="3">
        <v>35</v>
      </c>
      <c r="I361" s="4">
        <v>132</v>
      </c>
      <c r="J361" s="5">
        <v>14100000000</v>
      </c>
      <c r="K361" s="6">
        <f t="shared" si="192"/>
        <v>133</v>
      </c>
      <c r="L361" s="7">
        <f>IF($J361=0,0,ROUND(MAX($J361*1.4*1,4020000*(1.354082^(MIN($E361,123)-118))),0))</f>
        <v>19740000000</v>
      </c>
      <c r="M361" s="4">
        <f t="shared" si="193"/>
        <v>134</v>
      </c>
      <c r="N361" s="8">
        <f>IF($J361=0,0,ROUND(MAX($J361*1.4*1.5*1,6950000*(1.375334^(MIN($E361,123)-118))),0))</f>
        <v>29610000000</v>
      </c>
      <c r="O361" s="6">
        <f t="shared" si="194"/>
        <v>136</v>
      </c>
      <c r="P361" s="7">
        <f>IF($J361=0,0,ROUND(MAX($J361*1.4*1.5*1.6*1,23900000*(1.1788^(MIN($E361,123)-118))),0))</f>
        <v>47376000000</v>
      </c>
      <c r="Q361" s="4">
        <f t="shared" si="195"/>
        <v>138</v>
      </c>
      <c r="R361" s="8">
        <f>IF($J361=0,0,ROUND(MAX($J361*1.4*1.5*1.6*1.6*1.25,77000000*(1.127009^(MIN($E361,123)-118))),0))</f>
        <v>94752000000</v>
      </c>
      <c r="S361" s="6">
        <f t="shared" si="196"/>
        <v>140</v>
      </c>
      <c r="T361" s="7">
        <f>IF($J361=0,0,ROUND(MAX($J361*1.4*1.5*1.6*1.6*2.2*1.25,270000000*(1.248411^(MIN($E361,123)-118))),0))</f>
        <v>208454400000</v>
      </c>
      <c r="U361" s="4">
        <f t="shared" si="197"/>
        <v>143</v>
      </c>
      <c r="V361" s="8">
        <f>IF($J361=0,0,ROUND(MAX($J361*1.4*1.5*1.6*1.6*2.2*2.715*1.25,2400000000*(1.293039^(MIN($E361,123)-118))),0))</f>
        <v>565953696000</v>
      </c>
      <c r="W361" s="6">
        <f t="shared" si="198"/>
        <v>147</v>
      </c>
      <c r="X361" s="7">
        <f>IF($J361=0,0,ROUND(MAX($J361*1.4*1.5*1.6*1.6*2.2*2.715*2.6*1.25,20000000000*(1.280114^(MIN($E361,123)-118))),0))</f>
        <v>1471479609600</v>
      </c>
      <c r="Y361" s="4">
        <f t="shared" si="199"/>
        <v>149</v>
      </c>
      <c r="Z361" s="8">
        <f>IF($J361=0,0,ROUND(MAX($J361*1.4*1.5*1.6*1.6*2.2*2.715*2.6*1.4*1.25,39200000000*(1.31219^(MIN($E361,123)-118))),0))</f>
        <v>2060071453440</v>
      </c>
      <c r="AA361" s="6">
        <f t="shared" si="200"/>
        <v>151</v>
      </c>
      <c r="AB361" s="7">
        <f>IF($J361=0,0,ROUND(MAX($J361*1.4*1.5*1.6*1.6*2.2*2.715*2.6*1.4*1.4*1.25,54900000000*(1.312402^(MIN($E361,123)-118))),0))</f>
        <v>2884100034816</v>
      </c>
      <c r="AC361" s="4">
        <f t="shared" si="201"/>
        <v>153</v>
      </c>
      <c r="AD361" s="8">
        <f>IF($J361=0,0,ROUND(MAX($J361*1.4*1.5*1.6*1.6*2.2*2.715*2.6*1.4*1.4*1.5*1.25,82400000000*(1.312754^(MIN($E361,123)-118))),0))</f>
        <v>4326150052224</v>
      </c>
      <c r="AE361" s="6">
        <f t="shared" si="202"/>
        <v>156</v>
      </c>
      <c r="AF361" s="7">
        <f>IF($J361=0,0,ROUND(MAX($J361*1.4*1.5*1.6*1.6*2.2*2.715*2.6*1.4*1.4*1.5*1.5*1.25,124000000000*(1.312246^(MIN($E361,123)-118))),0))</f>
        <v>6489225078336</v>
      </c>
      <c r="AG361" s="4">
        <f t="shared" si="203"/>
        <v>159</v>
      </c>
      <c r="AH361" s="8">
        <f>IF($J361=0,0,ROUND(MAX($J361*1.4*1.5*1.6*1.6*2.2*2.715*2.6*1.4*1.4*1.5*1.5*3.2*1.25,397000000000*(1.313132^(MIN($E361,123)-118))),0))</f>
        <v>20765520250675</v>
      </c>
    </row>
    <row r="362" ht="27.75" customHeight="1" spans="1:34" x14ac:dyDescent="0.25">
      <c r="A362" s="3">
        <v>368</v>
      </c>
      <c r="B362" s="3" t="s">
        <v>192</v>
      </c>
      <c r="C362" s="3" t="s">
        <v>481</v>
      </c>
      <c r="D362" s="3" t="s">
        <v>40</v>
      </c>
      <c r="E362" s="3">
        <v>132</v>
      </c>
      <c r="F362" s="3" t="s">
        <v>56</v>
      </c>
      <c r="G362" s="3" t="s">
        <v>56</v>
      </c>
      <c r="H362" s="3">
        <v>34</v>
      </c>
      <c r="I362" s="4">
        <v>132</v>
      </c>
      <c r="J362" s="5">
        <v>4610000000</v>
      </c>
      <c r="K362" s="6">
        <f t="shared" si="192"/>
        <v>133</v>
      </c>
      <c r="L362" s="7">
        <f>IF($J362=0,0,ROUND(MAX($J362*1.4,1620000*(1.497923^(MIN($E362,123)-117)))*1,0))</f>
        <v>6454000000</v>
      </c>
      <c r="M362" s="4">
        <f t="shared" si="193"/>
        <v>134</v>
      </c>
      <c r="N362" s="8">
        <f>IF($J362=0,0,ROUND(MAX($J362*1.4*1.5,2190000*(1.580994^(MIN($E362,123)-117)))*1,0))</f>
        <v>9681000000</v>
      </c>
      <c r="O362" s="6">
        <f t="shared" si="194"/>
        <v>136</v>
      </c>
      <c r="P362" s="7">
        <f>IF($J362=0,0,ROUND(MAX($J362*1.4*1.5*1.6,3500000*(1.57975^(MIN($E362,123)-117)))*1,0))</f>
        <v>15489600000</v>
      </c>
      <c r="Q362" s="4">
        <f t="shared" si="195"/>
        <v>138</v>
      </c>
      <c r="R362" s="8">
        <f>IF($J362=0,0,ROUND(MAX($J362*1.4*1.5*1.6*1.6,13100000*(1.429962^(MIN($E362,123)-117)))*1,0))</f>
        <v>24783360000</v>
      </c>
      <c r="S362" s="6">
        <f t="shared" si="196"/>
        <v>140</v>
      </c>
      <c r="T362" s="7">
        <f>IF($J362=0,0,ROUND(MAX($J362*1.4*1.5*1.6*1.6*2.2,42600000*(1.576904^(MIN($E362,123)-117)))*1,0))</f>
        <v>54523392000</v>
      </c>
      <c r="U362" s="4">
        <f t="shared" si="197"/>
        <v>143</v>
      </c>
      <c r="V362" s="8">
        <f>IF($J362=0,0,ROUND(MAX($J362*1.4*1.5*1.6*1.6*2.2*2.715,354000000*(1.642074^(MIN($E362,123)-117)))*1,0))</f>
        <v>148031009280</v>
      </c>
      <c r="W362" s="6">
        <f t="shared" si="198"/>
        <v>147</v>
      </c>
      <c r="X362" s="7">
        <f>IF($J362=0,0,ROUND(MAX($J362*1.4*1.5*1.6*1.6*2.2*2.715*2.6,3540000000*(1.579646^(MIN($E362,123)-117)))*1,0))</f>
        <v>384880624128</v>
      </c>
      <c r="Y362" s="4">
        <f t="shared" si="199"/>
        <v>149</v>
      </c>
      <c r="Z362" s="8">
        <f>IF($J362=0,0,ROUND(MAX($J362*1.4*1.5*1.6*1.6*2.2*2.715*2.6*1.4,6020000000*(1.651178^(MIN($E362,123)-117)))*1,0))</f>
        <v>538832873779</v>
      </c>
      <c r="AA362" s="6">
        <f t="shared" si="200"/>
        <v>151</v>
      </c>
      <c r="AB362" s="7">
        <f>IF($J362=0,0,ROUND(MAX($J362*1.4*1.5*1.6*1.6*2.2*2.715*2.6*1.4*1.4,8430000000*(1.651435^(MIN($E362,123)-117)))*1,0))</f>
        <v>754366023291</v>
      </c>
      <c r="AC362" s="4">
        <f t="shared" si="201"/>
        <v>153</v>
      </c>
      <c r="AD362" s="8">
        <f>IF($J362=0,0,ROUND(MAX($J362*1.4*1.5*1.6*1.6*2.2*2.715*2.6*1.4*1.4*1.5,12600000000*(1.652953^(MIN($E362,123)-117)))*1,0))</f>
        <v>1131549034936</v>
      </c>
      <c r="AE362" s="6">
        <f t="shared" si="202"/>
        <v>156</v>
      </c>
      <c r="AF362" s="7">
        <f>IF($J362=0,0,ROUND(MAX($J362*1.4*1.5*1.6*1.6*2.2*2.715*2.6*1.4*1.4*1.5*1.5,18900000000*(1.65331^(MIN($E362,123)-117)))*1,0))</f>
        <v>1697323552404</v>
      </c>
      <c r="AG362" s="4">
        <f t="shared" si="203"/>
        <v>159</v>
      </c>
      <c r="AH362" s="8">
        <f>IF($J362=0,0,ROUND(MAX($J362*1.4*1.5*1.6*1.6*2.2*2.715*2.6*1.4*1.4*1.5*1.5*3.2,60500000000*(1.654288^(MIN($E362,123)-117)))*1,0))</f>
        <v>5431435367694</v>
      </c>
    </row>
    <row r="363" ht="27.75" customHeight="1" spans="1:34" x14ac:dyDescent="0.25">
      <c r="A363" s="3">
        <v>369</v>
      </c>
      <c r="B363" s="3" t="s">
        <v>115</v>
      </c>
      <c r="C363" s="3" t="s">
        <v>481</v>
      </c>
      <c r="D363" s="3" t="s">
        <v>40</v>
      </c>
      <c r="E363" s="3">
        <v>133</v>
      </c>
      <c r="F363" s="3" t="s">
        <v>116</v>
      </c>
      <c r="G363" s="3" t="s">
        <v>116</v>
      </c>
      <c r="H363" s="3">
        <v>35</v>
      </c>
      <c r="I363" s="4">
        <v>133</v>
      </c>
      <c r="J363" s="5">
        <v>22800000000</v>
      </c>
      <c r="K363" s="6">
        <f t="shared" si="192"/>
        <v>134</v>
      </c>
      <c r="L363" s="7">
        <f>IF($J363=0,0,ROUND(MAX($J363*1.4*1,4020000*(1.354082^(MIN($E363,123)-118))),0))</f>
        <v>31920000000</v>
      </c>
      <c r="M363" s="4">
        <f t="shared" si="193"/>
        <v>135</v>
      </c>
      <c r="N363" s="8">
        <f>IF($J363=0,0,ROUND(MAX($J363*1.4*1.5*1,6950000*(1.375334^(MIN($E363,123)-118))),0))</f>
        <v>47880000000</v>
      </c>
      <c r="O363" s="6">
        <f t="shared" si="194"/>
        <v>137</v>
      </c>
      <c r="P363" s="7">
        <f>IF($J363=0,0,ROUND(MAX($J363*1.4*1.5*1.6*1,23900000*(1.1788^(MIN($E363,123)-118))),0))</f>
        <v>76608000000</v>
      </c>
      <c r="Q363" s="4">
        <f t="shared" si="195"/>
        <v>139</v>
      </c>
      <c r="R363" s="8">
        <f>IF($J363=0,0,ROUND(MAX($J363*1.4*1.5*1.6*1.6*1.25,77000000*(1.127009^(MIN($E363,123)-118))),0))</f>
        <v>153216000000</v>
      </c>
      <c r="S363" s="6">
        <f t="shared" si="196"/>
        <v>141</v>
      </c>
      <c r="T363" s="7">
        <f>IF($J363=0,0,ROUND(MAX($J363*1.4*1.5*1.6*1.6*2.2*1.25,270000000*(1.248411^(MIN($E363,123)-118))),0))</f>
        <v>337075200000</v>
      </c>
      <c r="U363" s="4">
        <f t="shared" si="197"/>
        <v>144</v>
      </c>
      <c r="V363" s="8">
        <f>IF($J363=0,0,ROUND(MAX($J363*1.4*1.5*1.6*1.6*2.2*2.715*1.25,2400000000*(1.293039^(MIN($E363,123)-118))),0))</f>
        <v>915159168000</v>
      </c>
      <c r="W363" s="6">
        <f t="shared" si="198"/>
        <v>148</v>
      </c>
      <c r="X363" s="7">
        <f>IF($J363=0,0,ROUND(MAX($J363*1.4*1.5*1.6*1.6*2.2*2.715*2.6*1.25,20000000000*(1.280114^(MIN($E363,123)-118))),0))</f>
        <v>2379413836800</v>
      </c>
      <c r="Y363" s="4">
        <f t="shared" si="199"/>
        <v>150</v>
      </c>
      <c r="Z363" s="8">
        <f>IF($J363=0,0,ROUND(MAX($J363*1.4*1.5*1.6*1.6*2.2*2.715*2.6*1.4*1.25,39200000000*(1.31219^(MIN($E363,123)-118))),0))</f>
        <v>3331179371520</v>
      </c>
      <c r="AA363" s="6">
        <f t="shared" si="200"/>
        <v>152</v>
      </c>
      <c r="AB363" s="7">
        <f>IF($J363=0,0,ROUND(MAX($J363*1.4*1.5*1.6*1.6*2.2*2.715*2.6*1.4*1.4*1.25,54900000000*(1.312402^(MIN($E363,123)-118))),0))</f>
        <v>4663651120128</v>
      </c>
      <c r="AC363" s="4">
        <f t="shared" si="201"/>
        <v>154</v>
      </c>
      <c r="AD363" s="8">
        <f>IF($J363=0,0,ROUND(MAX($J363*1.4*1.5*1.6*1.6*2.2*2.715*2.6*1.4*1.4*1.5*1.25,82400000000*(1.312754^(MIN($E363,123)-118))),0))</f>
        <v>6995476680192</v>
      </c>
      <c r="AE363" s="6">
        <f t="shared" si="202"/>
        <v>157</v>
      </c>
      <c r="AF363" s="7">
        <f>IF($J363=0,0,ROUND(MAX($J363*1.4*1.5*1.6*1.6*2.2*2.715*2.6*1.4*1.4*1.5*1.5*1.25,124000000000*(1.312246^(MIN($E363,123)-118))),0))</f>
        <v>10493215020288</v>
      </c>
      <c r="AG363" s="4">
        <f t="shared" si="203"/>
        <v>160</v>
      </c>
      <c r="AH363" s="8">
        <f>IF($J363=0,0,ROUND(MAX($J363*1.4*1.5*1.6*1.6*2.2*2.715*2.6*1.4*1.4*1.5*1.5*3.2*1.25,397000000000*(1.313132^(MIN($E363,123)-118))),0))</f>
        <v>33578288064922</v>
      </c>
    </row>
    <row r="364" ht="27.75" customHeight="1" spans="1:34" x14ac:dyDescent="0.25">
      <c r="A364" s="3">
        <v>370</v>
      </c>
      <c r="B364" s="3" t="s">
        <v>170</v>
      </c>
      <c r="C364" s="3" t="s">
        <v>481</v>
      </c>
      <c r="D364" s="3" t="s">
        <v>40</v>
      </c>
      <c r="E364" s="3">
        <v>133</v>
      </c>
      <c r="F364" s="3" t="s">
        <v>56</v>
      </c>
      <c r="G364" s="3" t="s">
        <v>56</v>
      </c>
      <c r="H364" s="3">
        <v>35</v>
      </c>
      <c r="I364" s="4">
        <v>133</v>
      </c>
      <c r="J364" s="5">
        <v>7440000000</v>
      </c>
      <c r="K364" s="6">
        <f t="shared" si="192"/>
        <v>134</v>
      </c>
      <c r="L364" s="7">
        <f>IF($J364=0,0,ROUND(MAX($J364*1.4,1620000*(1.497923^(MIN($E364,123)-117)))*1,0))</f>
        <v>10416000000</v>
      </c>
      <c r="M364" s="4">
        <f t="shared" si="193"/>
        <v>135</v>
      </c>
      <c r="N364" s="8">
        <f>IF($J364=0,0,ROUND(MAX($J364*1.4*1.5,2190000*(1.580994^(MIN($E364,123)-117)))*1,0))</f>
        <v>15624000000</v>
      </c>
      <c r="O364" s="6">
        <f t="shared" si="194"/>
        <v>137</v>
      </c>
      <c r="P364" s="7">
        <f>IF($J364=0,0,ROUND(MAX($J364*1.4*1.5*1.6,3500000*(1.57975^(MIN($E364,123)-117)))*1,0))</f>
        <v>24998400000</v>
      </c>
      <c r="Q364" s="4">
        <f t="shared" si="195"/>
        <v>139</v>
      </c>
      <c r="R364" s="8">
        <f>IF($J364=0,0,ROUND(MAX($J364*1.4*1.5*1.6*1.6,13100000*(1.429962^(MIN($E364,123)-117)))*1,0))</f>
        <v>39997440000</v>
      </c>
      <c r="S364" s="6">
        <f t="shared" si="196"/>
        <v>141</v>
      </c>
      <c r="T364" s="7">
        <f>IF($J364=0,0,ROUND(MAX($J364*1.4*1.5*1.6*1.6*2.2,42600000*(1.576904^(MIN($E364,123)-117)))*1,0))</f>
        <v>87994368000</v>
      </c>
      <c r="U364" s="4">
        <f t="shared" si="197"/>
        <v>144</v>
      </c>
      <c r="V364" s="8">
        <f>IF($J364=0,0,ROUND(MAX($J364*1.4*1.5*1.6*1.6*2.2*2.715,354000000*(1.642074^(MIN($E364,123)-117)))*1,0))</f>
        <v>238904709120</v>
      </c>
      <c r="W364" s="6">
        <f t="shared" si="198"/>
        <v>148</v>
      </c>
      <c r="X364" s="7">
        <f>IF($J364=0,0,ROUND(MAX($J364*1.4*1.5*1.6*1.6*2.2*2.715*2.6,3540000000*(1.579646^(MIN($E364,123)-117)))*1,0))</f>
        <v>621152243712</v>
      </c>
      <c r="Y364" s="4">
        <f t="shared" si="199"/>
        <v>150</v>
      </c>
      <c r="Z364" s="8">
        <f>IF($J364=0,0,ROUND(MAX($J364*1.4*1.5*1.6*1.6*2.2*2.715*2.6*1.4,6020000000*(1.651178^(MIN($E364,123)-117)))*1,0))</f>
        <v>869613141197</v>
      </c>
      <c r="AA364" s="6">
        <f t="shared" si="200"/>
        <v>152</v>
      </c>
      <c r="AB364" s="7">
        <f>IF($J364=0,0,ROUND(MAX($J364*1.4*1.5*1.6*1.6*2.2*2.715*2.6*1.4*1.4,8430000000*(1.651435^(MIN($E364,123)-117)))*1,0))</f>
        <v>1217458397676</v>
      </c>
      <c r="AC364" s="4">
        <f t="shared" si="201"/>
        <v>154</v>
      </c>
      <c r="AD364" s="8">
        <f>IF($J364=0,0,ROUND(MAX($J364*1.4*1.5*1.6*1.6*2.2*2.715*2.6*1.4*1.4*1.5,12600000000*(1.652953^(MIN($E364,123)-117)))*1,0))</f>
        <v>1826187596513</v>
      </c>
      <c r="AE364" s="6">
        <f t="shared" si="202"/>
        <v>157</v>
      </c>
      <c r="AF364" s="7">
        <f>IF($J364=0,0,ROUND(MAX($J364*1.4*1.5*1.6*1.6*2.2*2.715*2.6*1.4*1.4*1.5*1.5,18900000000*(1.65331^(MIN($E364,123)-117)))*1,0))</f>
        <v>2739281394770</v>
      </c>
      <c r="AG364" s="4">
        <f t="shared" si="203"/>
        <v>160</v>
      </c>
      <c r="AH364" s="8">
        <f>IF($J364=0,0,ROUND(MAX($J364*1.4*1.5*1.6*1.6*2.2*2.715*2.6*1.4*1.4*1.5*1.5*3.2,60500000000*(1.654288^(MIN($E364,123)-117)))*1,0))</f>
        <v>8765700463264</v>
      </c>
    </row>
    <row r="365" ht="27.75" customHeight="1" spans="1:34" x14ac:dyDescent="0.25">
      <c r="A365" s="3">
        <v>371</v>
      </c>
      <c r="B365" s="3" t="s">
        <v>85</v>
      </c>
      <c r="C365" s="3" t="s">
        <v>481</v>
      </c>
      <c r="D365" s="3" t="s">
        <v>40</v>
      </c>
      <c r="E365" s="3">
        <v>134</v>
      </c>
      <c r="F365" s="3" t="s">
        <v>56</v>
      </c>
      <c r="G365" s="3" t="s">
        <v>56</v>
      </c>
      <c r="H365" s="3">
        <v>35</v>
      </c>
      <c r="I365" s="4">
        <v>134</v>
      </c>
      <c r="J365" s="5">
        <v>7440000000</v>
      </c>
      <c r="K365" s="6">
        <f t="shared" si="192"/>
        <v>135</v>
      </c>
      <c r="L365" s="7">
        <f t="shared" ref="L365:L372" si="204">IF($J365=0,0,ROUND(MAX($J365*1.4*1,4020000*(1.354082^(MIN($E365,123)-118))),0))</f>
        <v>10416000000</v>
      </c>
      <c r="M365" s="4">
        <f t="shared" si="193"/>
        <v>136</v>
      </c>
      <c r="N365" s="8">
        <f t="shared" ref="N365:N372" si="205">IF($J365=0,0,ROUND(MAX($J365*1.4*1.5*1,6950000*(1.375334^(MIN($E365,123)-118))),0))</f>
        <v>15624000000</v>
      </c>
      <c r="O365" s="6">
        <f t="shared" si="194"/>
        <v>138</v>
      </c>
      <c r="P365" s="7">
        <f t="shared" ref="P365:P372" si="206">IF($J365=0,0,ROUND(MAX($J365*1.4*1.5*1.6*1,23900000*(1.1788^(MIN($E365,123)-118))),0))</f>
        <v>24998400000</v>
      </c>
      <c r="Q365" s="4">
        <f t="shared" si="195"/>
        <v>140</v>
      </c>
      <c r="R365" s="8">
        <f t="shared" ref="R365:R372" si="207">IF($J365=0,0,ROUND(MAX($J365*1.4*1.5*1.6*1.6*1.25,77000000*(1.127009^(MIN($E365,123)-118))),0))</f>
        <v>49996800000</v>
      </c>
      <c r="S365" s="6">
        <f t="shared" si="196"/>
        <v>142</v>
      </c>
      <c r="T365" s="7">
        <f t="shared" ref="T365:T372" si="208">IF($J365=0,0,ROUND(MAX($J365*1.4*1.5*1.6*1.6*2.2*1.25,270000000*(1.248411^(MIN($E365,123)-118))),0))</f>
        <v>109992960000</v>
      </c>
      <c r="U365" s="4">
        <f t="shared" si="197"/>
        <v>145</v>
      </c>
      <c r="V365" s="8">
        <f t="shared" ref="V365:V372" si="209">IF($J365=0,0,ROUND(MAX($J365*1.4*1.5*1.6*1.6*2.2*2.715*1.25,2400000000*(1.293039^(MIN($E365,123)-118))),0))</f>
        <v>298630886400</v>
      </c>
      <c r="W365" s="6">
        <f t="shared" si="198"/>
        <v>149</v>
      </c>
      <c r="X365" s="7">
        <f t="shared" ref="X365:X372" si="210">IF($J365=0,0,ROUND(MAX($J365*1.4*1.5*1.6*1.6*2.2*2.715*2.6*1.25,20000000000*(1.280114^(MIN($E365,123)-118))),0))</f>
        <v>776440304640</v>
      </c>
      <c r="Y365" s="4">
        <f t="shared" si="199"/>
        <v>151</v>
      </c>
      <c r="Z365" s="8">
        <f t="shared" ref="Z365:Z372" si="211">IF($J365=0,0,ROUND(MAX($J365*1.4*1.5*1.6*1.6*2.2*2.715*2.6*1.4*1.25,39200000000*(1.31219^(MIN($E365,123)-118))),0))</f>
        <v>1087016426496</v>
      </c>
      <c r="AA365" s="6">
        <f t="shared" si="200"/>
        <v>153</v>
      </c>
      <c r="AB365" s="7">
        <f t="shared" ref="AB365:AB372" si="212">IF($J365=0,0,ROUND(MAX($J365*1.4*1.5*1.6*1.6*2.2*2.715*2.6*1.4*1.4*1.25,54900000000*(1.312402^(MIN($E365,123)-118))),0))</f>
        <v>1521822997094</v>
      </c>
      <c r="AC365" s="4">
        <f t="shared" si="201"/>
        <v>155</v>
      </c>
      <c r="AD365" s="8">
        <f t="shared" ref="AD365:AD372" si="213">IF($J365=0,0,ROUND(MAX($J365*1.4*1.5*1.6*1.6*2.2*2.715*2.6*1.4*1.4*1.5*1.25,82400000000*(1.312754^(MIN($E365,123)-118))),0))</f>
        <v>2282734495642</v>
      </c>
      <c r="AE365" s="6">
        <f t="shared" si="202"/>
        <v>158</v>
      </c>
      <c r="AF365" s="7">
        <f t="shared" ref="AF365:AF372" si="214">IF($J365=0,0,ROUND(MAX($J365*1.4*1.5*1.6*1.6*2.2*2.715*2.6*1.4*1.4*1.5*1.5*1.25,124000000000*(1.312246^(MIN($E365,123)-118))),0))</f>
        <v>3424101743462</v>
      </c>
      <c r="AG365" s="4">
        <f t="shared" si="203"/>
        <v>161</v>
      </c>
      <c r="AH365" s="8">
        <f t="shared" ref="AH365:AH372" si="215">IF($J365=0,0,ROUND(MAX($J365*1.4*1.5*1.6*1.6*2.2*2.715*2.6*1.4*1.4*1.5*1.5*3.2*1.25,397000000000*(1.313132^(MIN($E365,123)-118))),0))</f>
        <v>10957125579080</v>
      </c>
    </row>
    <row r="366" ht="27.75" customHeight="1" spans="1:34" x14ac:dyDescent="0.25">
      <c r="A366" s="3">
        <v>372</v>
      </c>
      <c r="B366" s="3" t="s">
        <v>151</v>
      </c>
      <c r="C366" s="3" t="s">
        <v>481</v>
      </c>
      <c r="D366" s="3" t="s">
        <v>40</v>
      </c>
      <c r="E366" s="3">
        <v>134</v>
      </c>
      <c r="F366" s="3" t="s">
        <v>42</v>
      </c>
      <c r="G366" s="3" t="s">
        <v>42</v>
      </c>
      <c r="H366" s="3">
        <v>36</v>
      </c>
      <c r="I366" s="4">
        <v>134</v>
      </c>
      <c r="J366" s="5">
        <v>10600000000</v>
      </c>
      <c r="K366" s="6">
        <f t="shared" si="192"/>
        <v>135</v>
      </c>
      <c r="L366" s="7">
        <f t="shared" si="204"/>
        <v>14840000000</v>
      </c>
      <c r="M366" s="4">
        <f t="shared" si="193"/>
        <v>136</v>
      </c>
      <c r="N366" s="8">
        <f t="shared" si="205"/>
        <v>22260000000</v>
      </c>
      <c r="O366" s="6">
        <f t="shared" si="194"/>
        <v>138</v>
      </c>
      <c r="P366" s="7">
        <f t="shared" si="206"/>
        <v>35616000000</v>
      </c>
      <c r="Q366" s="4">
        <f t="shared" si="195"/>
        <v>140</v>
      </c>
      <c r="R366" s="8">
        <f t="shared" si="207"/>
        <v>71232000000</v>
      </c>
      <c r="S366" s="6">
        <f t="shared" si="196"/>
        <v>142</v>
      </c>
      <c r="T366" s="7">
        <f t="shared" si="208"/>
        <v>156710400000</v>
      </c>
      <c r="U366" s="4">
        <f t="shared" si="197"/>
        <v>145</v>
      </c>
      <c r="V366" s="8">
        <f t="shared" si="209"/>
        <v>425468736000</v>
      </c>
      <c r="W366" s="6">
        <f t="shared" si="198"/>
        <v>149</v>
      </c>
      <c r="X366" s="7">
        <f t="shared" si="210"/>
        <v>1106218713600</v>
      </c>
      <c r="Y366" s="4">
        <f t="shared" si="199"/>
        <v>151</v>
      </c>
      <c r="Z366" s="8">
        <f t="shared" si="211"/>
        <v>1548706199040</v>
      </c>
      <c r="AA366" s="6">
        <f t="shared" si="200"/>
        <v>153</v>
      </c>
      <c r="AB366" s="7">
        <f t="shared" si="212"/>
        <v>2168188678656</v>
      </c>
      <c r="AC366" s="4">
        <f t="shared" si="201"/>
        <v>155</v>
      </c>
      <c r="AD366" s="8">
        <f t="shared" si="213"/>
        <v>3252283017984</v>
      </c>
      <c r="AE366" s="6">
        <f t="shared" si="202"/>
        <v>158</v>
      </c>
      <c r="AF366" s="7">
        <f t="shared" si="214"/>
        <v>4878424526976</v>
      </c>
      <c r="AG366" s="4">
        <f t="shared" si="203"/>
        <v>161</v>
      </c>
      <c r="AH366" s="8">
        <f t="shared" si="215"/>
        <v>15610958486323</v>
      </c>
    </row>
    <row r="367" ht="27.75" customHeight="1" spans="1:34" x14ac:dyDescent="0.25">
      <c r="A367" s="3">
        <v>373</v>
      </c>
      <c r="B367" s="3" t="s">
        <v>117</v>
      </c>
      <c r="C367" s="3" t="s">
        <v>481</v>
      </c>
      <c r="D367" s="3" t="s">
        <v>40</v>
      </c>
      <c r="E367" s="3">
        <v>135</v>
      </c>
      <c r="F367" s="3" t="s">
        <v>54</v>
      </c>
      <c r="G367" s="3" t="s">
        <v>54</v>
      </c>
      <c r="H367" s="3">
        <v>37</v>
      </c>
      <c r="I367" s="4">
        <v>135</v>
      </c>
      <c r="J367" s="5">
        <v>48800000000</v>
      </c>
      <c r="K367" s="6">
        <f t="shared" si="192"/>
        <v>136</v>
      </c>
      <c r="L367" s="7">
        <f t="shared" si="204"/>
        <v>68320000000</v>
      </c>
      <c r="M367" s="4">
        <f t="shared" si="193"/>
        <v>137</v>
      </c>
      <c r="N367" s="8">
        <f t="shared" si="205"/>
        <v>102480000000</v>
      </c>
      <c r="O367" s="6">
        <f t="shared" si="194"/>
        <v>139</v>
      </c>
      <c r="P367" s="7">
        <f t="shared" si="206"/>
        <v>163968000000</v>
      </c>
      <c r="Q367" s="4">
        <f t="shared" si="195"/>
        <v>141</v>
      </c>
      <c r="R367" s="8">
        <f t="shared" si="207"/>
        <v>327936000000</v>
      </c>
      <c r="S367" s="6">
        <f t="shared" si="196"/>
        <v>143</v>
      </c>
      <c r="T367" s="7">
        <f t="shared" si="208"/>
        <v>721459200000</v>
      </c>
      <c r="U367" s="4">
        <f t="shared" si="197"/>
        <v>146</v>
      </c>
      <c r="V367" s="8">
        <f t="shared" si="209"/>
        <v>1958761728000</v>
      </c>
      <c r="W367" s="6">
        <f t="shared" si="198"/>
        <v>150</v>
      </c>
      <c r="X367" s="7">
        <f t="shared" si="210"/>
        <v>5092780492800</v>
      </c>
      <c r="Y367" s="4">
        <f t="shared" si="199"/>
        <v>152</v>
      </c>
      <c r="Z367" s="8">
        <f t="shared" si="211"/>
        <v>7129892689920</v>
      </c>
      <c r="AA367" s="6">
        <f t="shared" si="200"/>
        <v>154</v>
      </c>
      <c r="AB367" s="7">
        <f t="shared" si="212"/>
        <v>9981849765888</v>
      </c>
      <c r="AC367" s="4">
        <f t="shared" si="201"/>
        <v>156</v>
      </c>
      <c r="AD367" s="8">
        <f t="shared" si="213"/>
        <v>14972774648832</v>
      </c>
      <c r="AE367" s="6">
        <f t="shared" si="202"/>
        <v>159</v>
      </c>
      <c r="AF367" s="7">
        <f t="shared" si="214"/>
        <v>22459161973248</v>
      </c>
      <c r="AG367" s="4">
        <f t="shared" si="203"/>
        <v>162</v>
      </c>
      <c r="AH367" s="8">
        <f t="shared" si="215"/>
        <v>71869318314394</v>
      </c>
    </row>
    <row r="368" ht="27.75" customHeight="1" spans="1:34" x14ac:dyDescent="0.25">
      <c r="A368" s="3">
        <v>374</v>
      </c>
      <c r="B368" s="3" t="s">
        <v>112</v>
      </c>
      <c r="C368" s="3" t="s">
        <v>481</v>
      </c>
      <c r="D368" s="3" t="s">
        <v>40</v>
      </c>
      <c r="E368" s="3">
        <v>135</v>
      </c>
      <c r="F368" s="3" t="s">
        <v>42</v>
      </c>
      <c r="G368" s="3" t="s">
        <v>42</v>
      </c>
      <c r="H368" s="3">
        <v>36</v>
      </c>
      <c r="I368" s="4">
        <v>135</v>
      </c>
      <c r="J368" s="5">
        <v>6180000000</v>
      </c>
      <c r="K368" s="6">
        <f t="shared" si="192"/>
        <v>136</v>
      </c>
      <c r="L368" s="7">
        <f t="shared" si="204"/>
        <v>8652000000</v>
      </c>
      <c r="M368" s="4">
        <f t="shared" si="193"/>
        <v>137</v>
      </c>
      <c r="N368" s="8">
        <f t="shared" si="205"/>
        <v>12978000000</v>
      </c>
      <c r="O368" s="6">
        <f t="shared" si="194"/>
        <v>139</v>
      </c>
      <c r="P368" s="7">
        <f t="shared" si="206"/>
        <v>20764800000</v>
      </c>
      <c r="Q368" s="4">
        <f t="shared" si="195"/>
        <v>141</v>
      </c>
      <c r="R368" s="8">
        <f t="shared" si="207"/>
        <v>41529600000</v>
      </c>
      <c r="S368" s="6">
        <f t="shared" si="196"/>
        <v>143</v>
      </c>
      <c r="T368" s="7">
        <f t="shared" si="208"/>
        <v>91365120000</v>
      </c>
      <c r="U368" s="4">
        <f t="shared" si="197"/>
        <v>146</v>
      </c>
      <c r="V368" s="8">
        <f t="shared" si="209"/>
        <v>248056300800</v>
      </c>
      <c r="W368" s="6">
        <f t="shared" si="198"/>
        <v>150</v>
      </c>
      <c r="X368" s="7">
        <f t="shared" si="210"/>
        <v>644946382080</v>
      </c>
      <c r="Y368" s="4">
        <f t="shared" si="199"/>
        <v>152</v>
      </c>
      <c r="Z368" s="8">
        <f t="shared" si="211"/>
        <v>902924934912</v>
      </c>
      <c r="AA368" s="6">
        <f t="shared" si="200"/>
        <v>154</v>
      </c>
      <c r="AB368" s="7">
        <f t="shared" si="212"/>
        <v>1264094908877</v>
      </c>
      <c r="AC368" s="4">
        <f t="shared" si="201"/>
        <v>156</v>
      </c>
      <c r="AD368" s="8">
        <f t="shared" si="213"/>
        <v>1896142363315</v>
      </c>
      <c r="AE368" s="6">
        <f t="shared" si="202"/>
        <v>159</v>
      </c>
      <c r="AF368" s="7">
        <f t="shared" si="214"/>
        <v>2844213544973</v>
      </c>
      <c r="AG368" s="4">
        <f t="shared" si="203"/>
        <v>162</v>
      </c>
      <c r="AH368" s="8">
        <f t="shared" si="215"/>
        <v>9101483343913</v>
      </c>
    </row>
    <row r="369" ht="27.75" customHeight="1" spans="1:34" x14ac:dyDescent="0.25">
      <c r="A369" s="3">
        <v>375</v>
      </c>
      <c r="B369" s="3" t="s">
        <v>152</v>
      </c>
      <c r="C369" s="3" t="s">
        <v>481</v>
      </c>
      <c r="D369" s="3" t="s">
        <v>40</v>
      </c>
      <c r="E369" s="3">
        <v>135</v>
      </c>
      <c r="F369" s="3" t="s">
        <v>71</v>
      </c>
      <c r="G369" s="3" t="s">
        <v>71</v>
      </c>
      <c r="H369" s="3">
        <v>37</v>
      </c>
      <c r="I369" s="4">
        <v>135</v>
      </c>
      <c r="J369" s="5">
        <v>14800000000</v>
      </c>
      <c r="K369" s="6">
        <f t="shared" si="192"/>
        <v>136</v>
      </c>
      <c r="L369" s="7">
        <f t="shared" si="204"/>
        <v>20720000000</v>
      </c>
      <c r="M369" s="4">
        <f t="shared" si="193"/>
        <v>137</v>
      </c>
      <c r="N369" s="8">
        <f t="shared" si="205"/>
        <v>31080000000</v>
      </c>
      <c r="O369" s="6">
        <f t="shared" si="194"/>
        <v>139</v>
      </c>
      <c r="P369" s="7">
        <f t="shared" si="206"/>
        <v>49728000000</v>
      </c>
      <c r="Q369" s="4">
        <f t="shared" si="195"/>
        <v>141</v>
      </c>
      <c r="R369" s="8">
        <f t="shared" si="207"/>
        <v>99456000000</v>
      </c>
      <c r="S369" s="6">
        <f t="shared" si="196"/>
        <v>143</v>
      </c>
      <c r="T369" s="7">
        <f t="shared" si="208"/>
        <v>218803200000</v>
      </c>
      <c r="U369" s="4">
        <f t="shared" si="197"/>
        <v>146</v>
      </c>
      <c r="V369" s="8">
        <f t="shared" si="209"/>
        <v>594050688000</v>
      </c>
      <c r="W369" s="6">
        <f t="shared" si="198"/>
        <v>150</v>
      </c>
      <c r="X369" s="7">
        <f t="shared" si="210"/>
        <v>1544531788800</v>
      </c>
      <c r="Y369" s="4">
        <f t="shared" si="199"/>
        <v>152</v>
      </c>
      <c r="Z369" s="8">
        <f t="shared" si="211"/>
        <v>2162344504320</v>
      </c>
      <c r="AA369" s="6">
        <f t="shared" si="200"/>
        <v>154</v>
      </c>
      <c r="AB369" s="7">
        <f t="shared" si="212"/>
        <v>3027282306048</v>
      </c>
      <c r="AC369" s="4">
        <f t="shared" si="201"/>
        <v>156</v>
      </c>
      <c r="AD369" s="8">
        <f t="shared" si="213"/>
        <v>4540923459072</v>
      </c>
      <c r="AE369" s="6">
        <f t="shared" si="202"/>
        <v>159</v>
      </c>
      <c r="AF369" s="7">
        <f t="shared" si="214"/>
        <v>6811385188608</v>
      </c>
      <c r="AG369" s="4">
        <f t="shared" si="203"/>
        <v>162</v>
      </c>
      <c r="AH369" s="8">
        <f t="shared" si="215"/>
        <v>21796432603546</v>
      </c>
    </row>
    <row r="370" ht="27.75" customHeight="1" spans="1:34" x14ac:dyDescent="0.25">
      <c r="A370" s="3">
        <v>376</v>
      </c>
      <c r="B370" s="3" t="s">
        <v>118</v>
      </c>
      <c r="C370" s="3" t="s">
        <v>481</v>
      </c>
      <c r="D370" s="3" t="s">
        <v>40</v>
      </c>
      <c r="E370" s="3">
        <v>135</v>
      </c>
      <c r="F370" s="3" t="s">
        <v>56</v>
      </c>
      <c r="G370" s="3" t="s">
        <v>56</v>
      </c>
      <c r="H370" s="3">
        <v>37</v>
      </c>
      <c r="I370" s="4">
        <v>135</v>
      </c>
      <c r="J370" s="5">
        <v>11200000000</v>
      </c>
      <c r="K370" s="6">
        <f t="shared" si="192"/>
        <v>136</v>
      </c>
      <c r="L370" s="7">
        <f t="shared" si="204"/>
        <v>15680000000</v>
      </c>
      <c r="M370" s="4">
        <f t="shared" si="193"/>
        <v>137</v>
      </c>
      <c r="N370" s="8">
        <f t="shared" si="205"/>
        <v>23520000000</v>
      </c>
      <c r="O370" s="6">
        <f t="shared" si="194"/>
        <v>139</v>
      </c>
      <c r="P370" s="7">
        <f t="shared" si="206"/>
        <v>37632000000</v>
      </c>
      <c r="Q370" s="4">
        <f t="shared" si="195"/>
        <v>141</v>
      </c>
      <c r="R370" s="8">
        <f t="shared" si="207"/>
        <v>75264000000</v>
      </c>
      <c r="S370" s="6">
        <f t="shared" si="196"/>
        <v>143</v>
      </c>
      <c r="T370" s="7">
        <f t="shared" si="208"/>
        <v>165580800000</v>
      </c>
      <c r="U370" s="4">
        <f t="shared" si="197"/>
        <v>146</v>
      </c>
      <c r="V370" s="8">
        <f t="shared" si="209"/>
        <v>449551872000</v>
      </c>
      <c r="W370" s="6">
        <f t="shared" si="198"/>
        <v>150</v>
      </c>
      <c r="X370" s="7">
        <f t="shared" si="210"/>
        <v>1168834867200</v>
      </c>
      <c r="Y370" s="4">
        <f t="shared" si="199"/>
        <v>152</v>
      </c>
      <c r="Z370" s="8">
        <f t="shared" si="211"/>
        <v>1636368814080</v>
      </c>
      <c r="AA370" s="6">
        <f t="shared" si="200"/>
        <v>154</v>
      </c>
      <c r="AB370" s="7">
        <f t="shared" si="212"/>
        <v>2290916339712</v>
      </c>
      <c r="AC370" s="4">
        <f t="shared" si="201"/>
        <v>156</v>
      </c>
      <c r="AD370" s="8">
        <f t="shared" si="213"/>
        <v>3436374509568</v>
      </c>
      <c r="AE370" s="6">
        <f t="shared" si="202"/>
        <v>159</v>
      </c>
      <c r="AF370" s="7">
        <f t="shared" si="214"/>
        <v>5154561764352</v>
      </c>
      <c r="AG370" s="4">
        <f t="shared" si="203"/>
        <v>162</v>
      </c>
      <c r="AH370" s="8">
        <f t="shared" si="215"/>
        <v>16494597645926</v>
      </c>
    </row>
    <row r="371" ht="27.75" customHeight="1" spans="1:34" x14ac:dyDescent="0.25">
      <c r="A371" s="3">
        <v>377</v>
      </c>
      <c r="B371" s="3" t="s">
        <v>52</v>
      </c>
      <c r="C371" s="3" t="s">
        <v>481</v>
      </c>
      <c r="D371" s="3" t="s">
        <v>40</v>
      </c>
      <c r="E371" s="3">
        <v>136</v>
      </c>
      <c r="F371" s="3" t="s">
        <v>30</v>
      </c>
      <c r="G371" s="3" t="s">
        <v>30</v>
      </c>
      <c r="H371" s="3">
        <v>37</v>
      </c>
      <c r="I371" s="4">
        <v>136</v>
      </c>
      <c r="J371" s="5">
        <v>100000000000</v>
      </c>
      <c r="K371" s="6">
        <f t="shared" si="192"/>
        <v>137</v>
      </c>
      <c r="L371" s="7">
        <f t="shared" si="204"/>
        <v>140000000000</v>
      </c>
      <c r="M371" s="4">
        <f t="shared" si="193"/>
        <v>138</v>
      </c>
      <c r="N371" s="8">
        <f t="shared" si="205"/>
        <v>210000000000</v>
      </c>
      <c r="O371" s="6">
        <f t="shared" si="194"/>
        <v>140</v>
      </c>
      <c r="P371" s="7">
        <f t="shared" si="206"/>
        <v>336000000000</v>
      </c>
      <c r="Q371" s="4">
        <f t="shared" si="195"/>
        <v>142</v>
      </c>
      <c r="R371" s="8">
        <f t="shared" si="207"/>
        <v>672000000000</v>
      </c>
      <c r="S371" s="6">
        <f t="shared" si="196"/>
        <v>144</v>
      </c>
      <c r="T371" s="7">
        <f t="shared" si="208"/>
        <v>1478400000000</v>
      </c>
      <c r="U371" s="4">
        <f t="shared" si="197"/>
        <v>147</v>
      </c>
      <c r="V371" s="8">
        <f t="shared" si="209"/>
        <v>4013856000000</v>
      </c>
      <c r="W371" s="6">
        <f t="shared" si="198"/>
        <v>151</v>
      </c>
      <c r="X371" s="7">
        <f t="shared" si="210"/>
        <v>10436025600000</v>
      </c>
      <c r="Y371" s="4">
        <f t="shared" si="199"/>
        <v>153</v>
      </c>
      <c r="Z371" s="8">
        <f t="shared" si="211"/>
        <v>14610435840000</v>
      </c>
      <c r="AA371" s="6">
        <f t="shared" si="200"/>
        <v>155</v>
      </c>
      <c r="AB371" s="7">
        <f t="shared" si="212"/>
        <v>20454610176000</v>
      </c>
      <c r="AC371" s="4">
        <f t="shared" si="201"/>
        <v>157</v>
      </c>
      <c r="AD371" s="8">
        <f t="shared" si="213"/>
        <v>30681915264000</v>
      </c>
      <c r="AE371" s="6">
        <f t="shared" si="202"/>
        <v>160</v>
      </c>
      <c r="AF371" s="7">
        <f t="shared" si="214"/>
        <v>46022872896000</v>
      </c>
      <c r="AG371" s="4">
        <f t="shared" si="203"/>
        <v>163</v>
      </c>
      <c r="AH371" s="8">
        <f t="shared" si="215"/>
        <v>147273193267200</v>
      </c>
    </row>
    <row r="372" ht="27.75" customHeight="1" spans="1:34" x14ac:dyDescent="0.25">
      <c r="A372" s="3">
        <v>378</v>
      </c>
      <c r="B372" s="3" t="s">
        <v>50</v>
      </c>
      <c r="C372" s="3" t="s">
        <v>481</v>
      </c>
      <c r="D372" s="3" t="s">
        <v>40</v>
      </c>
      <c r="E372" s="3">
        <v>136</v>
      </c>
      <c r="F372" s="3" t="s">
        <v>42</v>
      </c>
      <c r="G372" s="3" t="s">
        <v>42</v>
      </c>
      <c r="H372" s="3">
        <v>38</v>
      </c>
      <c r="I372" s="4">
        <v>136</v>
      </c>
      <c r="J372" s="5">
        <v>32800000000</v>
      </c>
      <c r="K372" s="6">
        <f t="shared" si="192"/>
        <v>137</v>
      </c>
      <c r="L372" s="7">
        <f t="shared" si="204"/>
        <v>45920000000</v>
      </c>
      <c r="M372" s="4">
        <f t="shared" si="193"/>
        <v>138</v>
      </c>
      <c r="N372" s="8">
        <f t="shared" si="205"/>
        <v>68880000000</v>
      </c>
      <c r="O372" s="6">
        <f t="shared" si="194"/>
        <v>140</v>
      </c>
      <c r="P372" s="7">
        <f t="shared" si="206"/>
        <v>110208000000</v>
      </c>
      <c r="Q372" s="4">
        <f t="shared" si="195"/>
        <v>142</v>
      </c>
      <c r="R372" s="8">
        <f t="shared" si="207"/>
        <v>220416000000</v>
      </c>
      <c r="S372" s="6">
        <f t="shared" si="196"/>
        <v>144</v>
      </c>
      <c r="T372" s="7">
        <f t="shared" si="208"/>
        <v>484915200000</v>
      </c>
      <c r="U372" s="4">
        <f t="shared" si="197"/>
        <v>147</v>
      </c>
      <c r="V372" s="8">
        <f t="shared" si="209"/>
        <v>1316544768000</v>
      </c>
      <c r="W372" s="6">
        <f t="shared" si="198"/>
        <v>151</v>
      </c>
      <c r="X372" s="7">
        <f t="shared" si="210"/>
        <v>3423016396800</v>
      </c>
      <c r="Y372" s="4">
        <f t="shared" si="199"/>
        <v>153</v>
      </c>
      <c r="Z372" s="8">
        <f t="shared" si="211"/>
        <v>4792222955520</v>
      </c>
      <c r="AA372" s="6">
        <f t="shared" si="200"/>
        <v>155</v>
      </c>
      <c r="AB372" s="7">
        <f t="shared" si="212"/>
        <v>6709112137728</v>
      </c>
      <c r="AC372" s="4">
        <f t="shared" si="201"/>
        <v>157</v>
      </c>
      <c r="AD372" s="8">
        <f t="shared" si="213"/>
        <v>10063668206592</v>
      </c>
      <c r="AE372" s="6">
        <f t="shared" si="202"/>
        <v>160</v>
      </c>
      <c r="AF372" s="7">
        <f t="shared" si="214"/>
        <v>15095502309888</v>
      </c>
      <c r="AG372" s="4">
        <f t="shared" si="203"/>
        <v>163</v>
      </c>
      <c r="AH372" s="8">
        <f t="shared" si="215"/>
        <v>48305607391642</v>
      </c>
    </row>
    <row r="373" ht="27.75" customHeight="1" spans="1:34" x14ac:dyDescent="0.25">
      <c r="A373" s="3">
        <v>383</v>
      </c>
      <c r="B373" s="3" t="s">
        <v>486</v>
      </c>
      <c r="C373" s="3" t="s">
        <v>493</v>
      </c>
      <c r="D373" s="3" t="s">
        <v>45</v>
      </c>
      <c r="E373" s="3">
        <v>105</v>
      </c>
      <c r="F373" s="3" t="s">
        <v>482</v>
      </c>
      <c r="G373" s="3" t="s">
        <v>482</v>
      </c>
      <c r="H373" s="3">
        <v>23</v>
      </c>
      <c r="I373" s="4">
        <v>105</v>
      </c>
      <c r="J373" s="5">
        <v>789000</v>
      </c>
      <c r="K373" s="6">
        <f t="shared" si="192"/>
        <v>106</v>
      </c>
      <c r="L373" s="7">
        <f t="shared" ref="L373:L413" si="216">IF($J373=0,0,ROUND(MAX($J373*1.4,1620000*(1.497923^(MIN($E373,123)-117)))*0.8,0))</f>
        <v>883680</v>
      </c>
      <c r="M373" s="4">
        <f t="shared" si="193"/>
        <v>107</v>
      </c>
      <c r="N373" s="8">
        <f t="shared" ref="N373:N413" si="217">IF($J373=0,0,ROUND(MAX($J373*1.4*1.5,2190000*(1.580994^(MIN($E373,123)-117)))*0.8,0))</f>
        <v>1325520</v>
      </c>
      <c r="O373" s="6">
        <f t="shared" si="194"/>
        <v>109</v>
      </c>
      <c r="P373" s="7">
        <f t="shared" ref="P373:P413" si="218">IF($J373=0,0,ROUND(MAX($J373*1.4*1.5*1.6,3500000*(1.57975^(MIN($E373,123)-117)))*0.8,0))</f>
        <v>2120832</v>
      </c>
      <c r="Q373" s="4">
        <f t="shared" si="195"/>
        <v>111</v>
      </c>
      <c r="R373" s="8">
        <f t="shared" ref="R373:R413" si="219">IF($J373=0,0,ROUND(MAX($J373*1.4*1.5*1.6*1.6,13100000*(1.429962^(MIN($E373,123)-117)))*0.651041666666667,0))</f>
        <v>2761500</v>
      </c>
      <c r="S373" s="6">
        <f t="shared" si="196"/>
        <v>113</v>
      </c>
      <c r="T373" s="7">
        <f t="shared" ref="T373:T413" si="220">IF($J373=0,0,ROUND(MAX($J373*1.4*1.5*1.6*1.6*2.2,42600000*(1.576904^(MIN($E373,123)-117)))*0.617361111111111,0))</f>
        <v>5761004</v>
      </c>
      <c r="U373" s="4">
        <f t="shared" si="197"/>
        <v>116</v>
      </c>
      <c r="V373" s="8">
        <f t="shared" ref="V373:V413" si="221">IF($J373=0,0,ROUND(MAX($J373*1.4*1.5*1.6*1.6*2.2*2.715,354000000*(1.642074^(MIN($E373,123)-117)))*0.583680555555556,0))</f>
        <v>14787815</v>
      </c>
      <c r="W373" s="6">
        <f t="shared" si="198"/>
        <v>120</v>
      </c>
      <c r="X373" s="7">
        <f t="shared" ref="X373:X413" si="222">IF($J373=0,0,ROUND(MAX($J373*1.4*1.5*1.6*1.6*2.2*2.715*2.6,3540000000*(1.579646^(MIN($E373,123)-117)))*0.55,0))</f>
        <v>36229706</v>
      </c>
      <c r="Y373" s="4">
        <f t="shared" si="199"/>
        <v>122</v>
      </c>
      <c r="Z373" s="8">
        <f t="shared" ref="Z373:Z413" si="223">IF($J373=0,0,ROUND(MAX($J373*1.4*1.5*1.6*1.6*2.2*2.715*2.6*1.4,6020000000*(1.651178^(MIN($E373,123)-117)))*0.55,0))</f>
        <v>50721589</v>
      </c>
      <c r="AA373" s="6">
        <f t="shared" si="200"/>
        <v>124</v>
      </c>
      <c r="AB373" s="7">
        <f t="shared" ref="AB373:AB413" si="224">IF($J373=0,0,ROUND(MAX($J373*1.4*1.5*1.6*1.6*2.2*2.715*2.6*1.4*1.4,8430000000*(1.651435^(MIN($E373,123)-117)))*0.55,0))</f>
        <v>71010225</v>
      </c>
      <c r="AC373" s="4">
        <f t="shared" si="201"/>
        <v>126</v>
      </c>
      <c r="AD373" s="8">
        <f t="shared" ref="AD373:AD413" si="225">IF($J373=0,0,ROUND(MAX($J373*1.4*1.5*1.6*1.6*2.2*2.715*2.6*1.4*1.4*1.5,12600000000*(1.652953^(MIN($E373,123)-117)))*0.55,0))</f>
        <v>106515337</v>
      </c>
      <c r="AE373" s="6">
        <f t="shared" si="202"/>
        <v>129</v>
      </c>
      <c r="AF373" s="7">
        <f t="shared" ref="AF373:AF413" si="226">IF($J373=0,0,ROUND(MAX($J373*1.4*1.5*1.6*1.6*2.2*2.715*2.6*1.4*1.4*1.5*1.5,18900000000*(1.65331^(MIN($E373,123)-117)))*0.55,0))</f>
        <v>159773006</v>
      </c>
      <c r="AG373" s="4">
        <f t="shared" si="203"/>
        <v>132</v>
      </c>
      <c r="AH373" s="8">
        <f t="shared" ref="AH373:AH413" si="227">IF($J373=0,0,ROUND(MAX($J373*1.4*1.5*1.6*1.6*2.2*2.715*2.6*1.4*1.4*1.5*1.5*3.2,60500000000*(1.654288^(MIN($E373,123)-117)))*0.55,0))</f>
        <v>511273618</v>
      </c>
    </row>
    <row r="374" ht="27.75" customHeight="1" spans="1:34" x14ac:dyDescent="0.25">
      <c r="A374" s="3">
        <v>384</v>
      </c>
      <c r="B374" s="3" t="s">
        <v>494</v>
      </c>
      <c r="C374" s="3" t="s">
        <v>493</v>
      </c>
      <c r="D374" s="3" t="s">
        <v>64</v>
      </c>
      <c r="E374" s="3">
        <v>119</v>
      </c>
      <c r="F374" s="3" t="s">
        <v>482</v>
      </c>
      <c r="G374" s="3" t="s">
        <v>482</v>
      </c>
      <c r="H374" s="3">
        <v>29</v>
      </c>
      <c r="I374" s="4">
        <v>119</v>
      </c>
      <c r="J374" s="5">
        <v>11300000</v>
      </c>
      <c r="K374" s="6">
        <f t="shared" si="192"/>
        <v>120</v>
      </c>
      <c r="L374" s="7">
        <f t="shared" si="216"/>
        <v>12656000</v>
      </c>
      <c r="M374" s="4">
        <f t="shared" si="193"/>
        <v>121</v>
      </c>
      <c r="N374" s="8">
        <f t="shared" si="217"/>
        <v>18984000</v>
      </c>
      <c r="O374" s="6">
        <f t="shared" si="194"/>
        <v>123</v>
      </c>
      <c r="P374" s="7">
        <f t="shared" si="218"/>
        <v>30374400</v>
      </c>
      <c r="Q374" s="4">
        <f t="shared" si="195"/>
        <v>125</v>
      </c>
      <c r="R374" s="8">
        <f t="shared" si="219"/>
        <v>39550000</v>
      </c>
      <c r="S374" s="6">
        <f t="shared" si="196"/>
        <v>127</v>
      </c>
      <c r="T374" s="7">
        <f t="shared" si="220"/>
        <v>82508683</v>
      </c>
      <c r="U374" s="4">
        <f t="shared" si="197"/>
        <v>130</v>
      </c>
      <c r="V374" s="8">
        <f t="shared" si="221"/>
        <v>557139483</v>
      </c>
      <c r="W374" s="6">
        <f t="shared" si="198"/>
        <v>134</v>
      </c>
      <c r="X374" s="7">
        <f t="shared" si="222"/>
        <v>4858313052</v>
      </c>
      <c r="Y374" s="4">
        <f t="shared" si="199"/>
        <v>136</v>
      </c>
      <c r="Z374" s="8">
        <f t="shared" si="223"/>
        <v>9027073276</v>
      </c>
      <c r="AA374" s="6">
        <f t="shared" si="200"/>
        <v>138</v>
      </c>
      <c r="AB374" s="7">
        <f t="shared" si="224"/>
        <v>12644836943</v>
      </c>
      <c r="AC374" s="4">
        <f t="shared" si="201"/>
        <v>140</v>
      </c>
      <c r="AD374" s="8">
        <f t="shared" si="225"/>
        <v>18934517588</v>
      </c>
      <c r="AE374" s="6">
        <f t="shared" si="202"/>
        <v>143</v>
      </c>
      <c r="AF374" s="7">
        <f t="shared" si="226"/>
        <v>28414045974</v>
      </c>
      <c r="AG374" s="4">
        <f t="shared" si="203"/>
        <v>146</v>
      </c>
      <c r="AH374" s="8">
        <f t="shared" si="227"/>
        <v>91062653886</v>
      </c>
    </row>
    <row r="375" ht="27.75" customHeight="1" spans="1:34" x14ac:dyDescent="0.25">
      <c r="A375" s="3">
        <v>385</v>
      </c>
      <c r="B375" s="3" t="s">
        <v>495</v>
      </c>
      <c r="C375" s="3" t="s">
        <v>493</v>
      </c>
      <c r="D375" s="3" t="s">
        <v>33</v>
      </c>
      <c r="E375" s="3">
        <v>115</v>
      </c>
      <c r="F375" s="3" t="s">
        <v>482</v>
      </c>
      <c r="G375" s="3" t="s">
        <v>482</v>
      </c>
      <c r="H375" s="3">
        <v>26</v>
      </c>
      <c r="I375" s="4">
        <v>115</v>
      </c>
      <c r="J375" s="5">
        <v>915000</v>
      </c>
      <c r="K375" s="6">
        <f t="shared" si="192"/>
        <v>116</v>
      </c>
      <c r="L375" s="7">
        <f t="shared" si="216"/>
        <v>1024800</v>
      </c>
      <c r="M375" s="4">
        <f t="shared" si="193"/>
        <v>117</v>
      </c>
      <c r="N375" s="8">
        <f t="shared" si="217"/>
        <v>1537200</v>
      </c>
      <c r="O375" s="6">
        <f t="shared" si="194"/>
        <v>119</v>
      </c>
      <c r="P375" s="7">
        <f t="shared" si="218"/>
        <v>2459520</v>
      </c>
      <c r="Q375" s="4">
        <f t="shared" si="195"/>
        <v>121</v>
      </c>
      <c r="R375" s="8">
        <f t="shared" si="219"/>
        <v>4170913</v>
      </c>
      <c r="S375" s="6">
        <f t="shared" si="196"/>
        <v>123</v>
      </c>
      <c r="T375" s="7">
        <f t="shared" si="220"/>
        <v>10576412</v>
      </c>
      <c r="U375" s="4">
        <f t="shared" si="197"/>
        <v>126</v>
      </c>
      <c r="V375" s="8">
        <f t="shared" si="221"/>
        <v>76628979</v>
      </c>
      <c r="W375" s="6">
        <f t="shared" si="198"/>
        <v>130</v>
      </c>
      <c r="X375" s="7">
        <f t="shared" si="222"/>
        <v>780272691</v>
      </c>
      <c r="Y375" s="4">
        <f t="shared" si="199"/>
        <v>132</v>
      </c>
      <c r="Z375" s="8">
        <f t="shared" si="223"/>
        <v>1214426943</v>
      </c>
      <c r="AA375" s="6">
        <f t="shared" si="200"/>
        <v>134</v>
      </c>
      <c r="AB375" s="7">
        <f t="shared" si="224"/>
        <v>1700071922</v>
      </c>
      <c r="AC375" s="4">
        <f t="shared" si="201"/>
        <v>136</v>
      </c>
      <c r="AD375" s="8">
        <f t="shared" si="225"/>
        <v>2536367762</v>
      </c>
      <c r="AE375" s="6">
        <f t="shared" si="202"/>
        <v>139</v>
      </c>
      <c r="AF375" s="7">
        <f t="shared" si="226"/>
        <v>3802908783</v>
      </c>
      <c r="AG375" s="4">
        <f t="shared" si="203"/>
        <v>142</v>
      </c>
      <c r="AH375" s="8">
        <f t="shared" si="227"/>
        <v>12158943077</v>
      </c>
    </row>
    <row r="376" ht="27.75" customHeight="1" spans="1:34" x14ac:dyDescent="0.25">
      <c r="A376" s="3">
        <v>386</v>
      </c>
      <c r="B376" s="3" t="s">
        <v>496</v>
      </c>
      <c r="C376" s="3" t="s">
        <v>493</v>
      </c>
      <c r="D376" s="3" t="s">
        <v>47</v>
      </c>
      <c r="E376" s="3">
        <v>109</v>
      </c>
      <c r="F376" s="3" t="s">
        <v>482</v>
      </c>
      <c r="G376" s="3" t="s">
        <v>482</v>
      </c>
      <c r="H376" s="3">
        <v>20</v>
      </c>
      <c r="I376" s="4">
        <v>109</v>
      </c>
      <c r="J376" s="5">
        <v>2970000</v>
      </c>
      <c r="K376" s="6">
        <f t="shared" si="192"/>
        <v>110</v>
      </c>
      <c r="L376" s="7">
        <f t="shared" si="216"/>
        <v>3326400</v>
      </c>
      <c r="M376" s="4">
        <f t="shared" si="193"/>
        <v>111</v>
      </c>
      <c r="N376" s="8">
        <f t="shared" si="217"/>
        <v>4989600</v>
      </c>
      <c r="O376" s="6">
        <f t="shared" si="194"/>
        <v>113</v>
      </c>
      <c r="P376" s="7">
        <f t="shared" si="218"/>
        <v>7983360</v>
      </c>
      <c r="Q376" s="4">
        <f t="shared" si="195"/>
        <v>115</v>
      </c>
      <c r="R376" s="8">
        <f t="shared" si="219"/>
        <v>10395000</v>
      </c>
      <c r="S376" s="6">
        <f t="shared" si="196"/>
        <v>117</v>
      </c>
      <c r="T376" s="7">
        <f t="shared" si="220"/>
        <v>21685910</v>
      </c>
      <c r="U376" s="4">
        <f t="shared" si="197"/>
        <v>120</v>
      </c>
      <c r="V376" s="8">
        <f t="shared" si="221"/>
        <v>55665158</v>
      </c>
      <c r="W376" s="6">
        <f t="shared" si="198"/>
        <v>124</v>
      </c>
      <c r="X376" s="7">
        <f t="shared" si="222"/>
        <v>136377983</v>
      </c>
      <c r="Y376" s="4">
        <f t="shared" si="199"/>
        <v>126</v>
      </c>
      <c r="Z376" s="8">
        <f t="shared" si="223"/>
        <v>190929176</v>
      </c>
      <c r="AA376" s="6">
        <f t="shared" si="200"/>
        <v>128</v>
      </c>
      <c r="AB376" s="7">
        <f t="shared" si="224"/>
        <v>267300846</v>
      </c>
      <c r="AC376" s="4">
        <f t="shared" si="201"/>
        <v>130</v>
      </c>
      <c r="AD376" s="8">
        <f t="shared" si="225"/>
        <v>400951269</v>
      </c>
      <c r="AE376" s="6">
        <f t="shared" si="202"/>
        <v>133</v>
      </c>
      <c r="AF376" s="7">
        <f t="shared" si="226"/>
        <v>601426903</v>
      </c>
      <c r="AG376" s="4">
        <f t="shared" si="203"/>
        <v>136</v>
      </c>
      <c r="AH376" s="8">
        <f t="shared" si="227"/>
        <v>1924566090</v>
      </c>
    </row>
    <row r="377" ht="27.75" customHeight="1" spans="1:34" x14ac:dyDescent="0.25">
      <c r="A377" s="3">
        <v>387</v>
      </c>
      <c r="B377" s="3" t="s">
        <v>497</v>
      </c>
      <c r="C377" s="3" t="s">
        <v>493</v>
      </c>
      <c r="D377" s="3" t="s">
        <v>33</v>
      </c>
      <c r="E377" s="3">
        <v>114</v>
      </c>
      <c r="F377" s="3" t="s">
        <v>482</v>
      </c>
      <c r="G377" s="3" t="s">
        <v>482</v>
      </c>
      <c r="H377" s="3">
        <v>25</v>
      </c>
      <c r="I377" s="4">
        <v>114</v>
      </c>
      <c r="J377" s="5">
        <v>672000</v>
      </c>
      <c r="K377" s="6">
        <f t="shared" si="192"/>
        <v>115</v>
      </c>
      <c r="L377" s="7">
        <f t="shared" si="216"/>
        <v>752640</v>
      </c>
      <c r="M377" s="4">
        <f t="shared" si="193"/>
        <v>116</v>
      </c>
      <c r="N377" s="8">
        <f t="shared" si="217"/>
        <v>1128960</v>
      </c>
      <c r="O377" s="6">
        <f t="shared" si="194"/>
        <v>118</v>
      </c>
      <c r="P377" s="7">
        <f t="shared" si="218"/>
        <v>1806336</v>
      </c>
      <c r="Q377" s="4">
        <f t="shared" si="195"/>
        <v>120</v>
      </c>
      <c r="R377" s="8">
        <f t="shared" si="219"/>
        <v>2916800</v>
      </c>
      <c r="S377" s="6">
        <f t="shared" si="196"/>
        <v>122</v>
      </c>
      <c r="T377" s="7">
        <f t="shared" si="220"/>
        <v>6707074</v>
      </c>
      <c r="U377" s="4">
        <f t="shared" si="197"/>
        <v>125</v>
      </c>
      <c r="V377" s="8">
        <f t="shared" si="221"/>
        <v>46665972</v>
      </c>
      <c r="W377" s="6">
        <f t="shared" si="198"/>
        <v>129</v>
      </c>
      <c r="X377" s="7">
        <f t="shared" si="222"/>
        <v>493954146</v>
      </c>
      <c r="Y377" s="4">
        <f t="shared" si="199"/>
        <v>131</v>
      </c>
      <c r="Z377" s="8">
        <f t="shared" si="223"/>
        <v>735491233</v>
      </c>
      <c r="AA377" s="6">
        <f t="shared" si="200"/>
        <v>133</v>
      </c>
      <c r="AB377" s="7">
        <f t="shared" si="224"/>
        <v>1029451309</v>
      </c>
      <c r="AC377" s="4">
        <f t="shared" si="201"/>
        <v>135</v>
      </c>
      <c r="AD377" s="8">
        <f t="shared" si="225"/>
        <v>1534446389</v>
      </c>
      <c r="AE377" s="6">
        <f t="shared" si="202"/>
        <v>138</v>
      </c>
      <c r="AF377" s="7">
        <f t="shared" si="226"/>
        <v>2300178904</v>
      </c>
      <c r="AG377" s="4">
        <f t="shared" si="203"/>
        <v>141</v>
      </c>
      <c r="AH377" s="8">
        <f t="shared" si="227"/>
        <v>7349955435</v>
      </c>
    </row>
    <row r="378" ht="27.75" customHeight="1" spans="1:34" x14ac:dyDescent="0.25">
      <c r="A378" s="3">
        <v>388</v>
      </c>
      <c r="B378" s="3" t="s">
        <v>498</v>
      </c>
      <c r="C378" s="3" t="s">
        <v>493</v>
      </c>
      <c r="D378" s="3" t="s">
        <v>93</v>
      </c>
      <c r="E378" s="3">
        <v>111</v>
      </c>
      <c r="F378" s="3" t="s">
        <v>482</v>
      </c>
      <c r="G378" s="3" t="s">
        <v>482</v>
      </c>
      <c r="H378" s="3">
        <v>24</v>
      </c>
      <c r="I378" s="4">
        <v>111</v>
      </c>
      <c r="J378" s="5">
        <v>1990000</v>
      </c>
      <c r="K378" s="6">
        <f t="shared" si="192"/>
        <v>112</v>
      </c>
      <c r="L378" s="7">
        <f t="shared" si="216"/>
        <v>2228800</v>
      </c>
      <c r="M378" s="4">
        <f t="shared" si="193"/>
        <v>113</v>
      </c>
      <c r="N378" s="8">
        <f t="shared" si="217"/>
        <v>3343200</v>
      </c>
      <c r="O378" s="6">
        <f t="shared" si="194"/>
        <v>115</v>
      </c>
      <c r="P378" s="7">
        <f t="shared" si="218"/>
        <v>5349120</v>
      </c>
      <c r="Q378" s="4">
        <f t="shared" si="195"/>
        <v>117</v>
      </c>
      <c r="R378" s="8">
        <f t="shared" si="219"/>
        <v>6965000</v>
      </c>
      <c r="S378" s="6">
        <f t="shared" si="196"/>
        <v>119</v>
      </c>
      <c r="T378" s="7">
        <f t="shared" si="220"/>
        <v>14530290</v>
      </c>
      <c r="U378" s="4">
        <f t="shared" si="197"/>
        <v>122</v>
      </c>
      <c r="V378" s="8">
        <f t="shared" si="221"/>
        <v>37297530</v>
      </c>
      <c r="W378" s="6">
        <f t="shared" si="198"/>
        <v>126</v>
      </c>
      <c r="X378" s="7">
        <f t="shared" si="222"/>
        <v>125316229</v>
      </c>
      <c r="Y378" s="4">
        <f t="shared" si="199"/>
        <v>128</v>
      </c>
      <c r="Z378" s="8">
        <f t="shared" si="223"/>
        <v>163378844</v>
      </c>
      <c r="AA378" s="6">
        <f t="shared" si="200"/>
        <v>130</v>
      </c>
      <c r="AB378" s="7">
        <f t="shared" si="224"/>
        <v>228571120</v>
      </c>
      <c r="AC378" s="4">
        <f t="shared" si="201"/>
        <v>132</v>
      </c>
      <c r="AD378" s="8">
        <f t="shared" si="225"/>
        <v>339758401</v>
      </c>
      <c r="AE378" s="6">
        <f t="shared" si="202"/>
        <v>135</v>
      </c>
      <c r="AF378" s="7">
        <f t="shared" si="226"/>
        <v>508977681</v>
      </c>
      <c r="AG378" s="4">
        <f t="shared" si="203"/>
        <v>138</v>
      </c>
      <c r="AH378" s="8">
        <f t="shared" si="227"/>
        <v>1623496466</v>
      </c>
    </row>
    <row r="379" ht="27.75" customHeight="1" spans="1:34" x14ac:dyDescent="0.25">
      <c r="A379" s="3">
        <v>389</v>
      </c>
      <c r="B379" s="3" t="s">
        <v>499</v>
      </c>
      <c r="C379" s="3" t="s">
        <v>493</v>
      </c>
      <c r="D379" s="3" t="s">
        <v>33</v>
      </c>
      <c r="E379" s="3">
        <v>116</v>
      </c>
      <c r="F379" s="3" t="s">
        <v>482</v>
      </c>
      <c r="G379" s="3" t="s">
        <v>482</v>
      </c>
      <c r="H379" s="3">
        <v>27</v>
      </c>
      <c r="I379" s="4">
        <v>116</v>
      </c>
      <c r="J379" s="5">
        <v>825000</v>
      </c>
      <c r="K379" s="6">
        <f t="shared" si="192"/>
        <v>117</v>
      </c>
      <c r="L379" s="7">
        <f t="shared" si="216"/>
        <v>924000</v>
      </c>
      <c r="M379" s="4">
        <f t="shared" si="193"/>
        <v>118</v>
      </c>
      <c r="N379" s="8">
        <f t="shared" si="217"/>
        <v>1386000</v>
      </c>
      <c r="O379" s="6">
        <f t="shared" si="194"/>
        <v>120</v>
      </c>
      <c r="P379" s="7">
        <f t="shared" si="218"/>
        <v>2217600</v>
      </c>
      <c r="Q379" s="4">
        <f t="shared" si="195"/>
        <v>122</v>
      </c>
      <c r="R379" s="8">
        <f t="shared" si="219"/>
        <v>5964246</v>
      </c>
      <c r="S379" s="6">
        <f t="shared" si="196"/>
        <v>124</v>
      </c>
      <c r="T379" s="7">
        <f t="shared" si="220"/>
        <v>16677986</v>
      </c>
      <c r="U379" s="4">
        <f t="shared" si="197"/>
        <v>127</v>
      </c>
      <c r="V379" s="8">
        <f t="shared" si="221"/>
        <v>125830454</v>
      </c>
      <c r="W379" s="6">
        <f t="shared" si="198"/>
        <v>131</v>
      </c>
      <c r="X379" s="7">
        <f t="shared" si="222"/>
        <v>1232554636</v>
      </c>
      <c r="Y379" s="4">
        <f t="shared" si="199"/>
        <v>133</v>
      </c>
      <c r="Z379" s="8">
        <f t="shared" si="223"/>
        <v>2005235050</v>
      </c>
      <c r="AA379" s="6">
        <f t="shared" si="200"/>
        <v>135</v>
      </c>
      <c r="AB379" s="7">
        <f t="shared" si="224"/>
        <v>2807558275</v>
      </c>
      <c r="AC379" s="4">
        <f t="shared" si="201"/>
        <v>137</v>
      </c>
      <c r="AD379" s="8">
        <f t="shared" si="225"/>
        <v>4192496701</v>
      </c>
      <c r="AE379" s="6">
        <f t="shared" si="202"/>
        <v>140</v>
      </c>
      <c r="AF379" s="7">
        <f t="shared" si="226"/>
        <v>6287387120</v>
      </c>
      <c r="AG379" s="4">
        <f t="shared" si="203"/>
        <v>143</v>
      </c>
      <c r="AH379" s="8">
        <f t="shared" si="227"/>
        <v>20114393624</v>
      </c>
    </row>
    <row r="380" ht="27.75" customHeight="1" spans="1:34" x14ac:dyDescent="0.25">
      <c r="A380" s="3">
        <v>390</v>
      </c>
      <c r="B380" s="3" t="s">
        <v>500</v>
      </c>
      <c r="C380" s="3" t="s">
        <v>493</v>
      </c>
      <c r="D380" s="3" t="s">
        <v>47</v>
      </c>
      <c r="E380" s="3">
        <v>117</v>
      </c>
      <c r="F380" s="3" t="s">
        <v>482</v>
      </c>
      <c r="G380" s="3" t="s">
        <v>482</v>
      </c>
      <c r="H380" s="3">
        <v>25</v>
      </c>
      <c r="I380" s="4">
        <v>117</v>
      </c>
      <c r="J380" s="5">
        <v>4670000</v>
      </c>
      <c r="K380" s="6">
        <f t="shared" si="192"/>
        <v>118</v>
      </c>
      <c r="L380" s="7">
        <f t="shared" si="216"/>
        <v>5230400</v>
      </c>
      <c r="M380" s="4">
        <f t="shared" si="193"/>
        <v>119</v>
      </c>
      <c r="N380" s="8">
        <f t="shared" si="217"/>
        <v>7845600</v>
      </c>
      <c r="O380" s="6">
        <f t="shared" si="194"/>
        <v>121</v>
      </c>
      <c r="P380" s="7">
        <f t="shared" si="218"/>
        <v>12552960</v>
      </c>
      <c r="Q380" s="4">
        <f t="shared" si="195"/>
        <v>123</v>
      </c>
      <c r="R380" s="8">
        <f t="shared" si="219"/>
        <v>16345000</v>
      </c>
      <c r="S380" s="6">
        <f t="shared" si="196"/>
        <v>125</v>
      </c>
      <c r="T380" s="7">
        <f t="shared" si="220"/>
        <v>34098721</v>
      </c>
      <c r="U380" s="4">
        <f t="shared" si="197"/>
        <v>128</v>
      </c>
      <c r="V380" s="8">
        <f t="shared" si="221"/>
        <v>206622917</v>
      </c>
      <c r="W380" s="6">
        <f t="shared" si="198"/>
        <v>132</v>
      </c>
      <c r="X380" s="7">
        <f t="shared" si="222"/>
        <v>1947000000</v>
      </c>
      <c r="Y380" s="4">
        <f t="shared" si="199"/>
        <v>134</v>
      </c>
      <c r="Z380" s="8">
        <f t="shared" si="223"/>
        <v>3311000000</v>
      </c>
      <c r="AA380" s="6">
        <f t="shared" si="200"/>
        <v>136</v>
      </c>
      <c r="AB380" s="7">
        <f t="shared" si="224"/>
        <v>4636500000</v>
      </c>
      <c r="AC380" s="4">
        <f t="shared" si="201"/>
        <v>138</v>
      </c>
      <c r="AD380" s="8">
        <f t="shared" si="225"/>
        <v>6930000000</v>
      </c>
      <c r="AE380" s="6">
        <f t="shared" si="202"/>
        <v>141</v>
      </c>
      <c r="AF380" s="7">
        <f t="shared" si="226"/>
        <v>10395000000</v>
      </c>
      <c r="AG380" s="4">
        <f t="shared" si="203"/>
        <v>144</v>
      </c>
      <c r="AH380" s="8">
        <f t="shared" si="227"/>
        <v>33275000000</v>
      </c>
    </row>
    <row r="381" ht="27.75" customHeight="1" spans="1:34" x14ac:dyDescent="0.25">
      <c r="A381" s="3">
        <v>391</v>
      </c>
      <c r="B381" s="3" t="s">
        <v>501</v>
      </c>
      <c r="C381" s="3" t="s">
        <v>493</v>
      </c>
      <c r="D381" s="3" t="s">
        <v>33</v>
      </c>
      <c r="E381" s="3">
        <v>116</v>
      </c>
      <c r="F381" s="3" t="s">
        <v>482</v>
      </c>
      <c r="G381" s="3" t="s">
        <v>482</v>
      </c>
      <c r="H381" s="3">
        <v>26</v>
      </c>
      <c r="I381" s="4">
        <v>116</v>
      </c>
      <c r="J381" s="5">
        <v>576000</v>
      </c>
      <c r="K381" s="6">
        <f t="shared" si="192"/>
        <v>117</v>
      </c>
      <c r="L381" s="7">
        <f t="shared" si="216"/>
        <v>865198</v>
      </c>
      <c r="M381" s="4">
        <f t="shared" si="193"/>
        <v>118</v>
      </c>
      <c r="N381" s="8">
        <f t="shared" si="217"/>
        <v>1108164</v>
      </c>
      <c r="O381" s="6">
        <f t="shared" si="194"/>
        <v>120</v>
      </c>
      <c r="P381" s="7">
        <f t="shared" si="218"/>
        <v>1772432</v>
      </c>
      <c r="Q381" s="4">
        <f t="shared" si="195"/>
        <v>122</v>
      </c>
      <c r="R381" s="8">
        <f t="shared" si="219"/>
        <v>5964246</v>
      </c>
      <c r="S381" s="6">
        <f t="shared" si="196"/>
        <v>124</v>
      </c>
      <c r="T381" s="7">
        <f t="shared" si="220"/>
        <v>16677986</v>
      </c>
      <c r="U381" s="4">
        <f t="shared" si="197"/>
        <v>127</v>
      </c>
      <c r="V381" s="8">
        <f t="shared" si="221"/>
        <v>125830454</v>
      </c>
      <c r="W381" s="6">
        <f t="shared" si="198"/>
        <v>131</v>
      </c>
      <c r="X381" s="7">
        <f t="shared" si="222"/>
        <v>1232554636</v>
      </c>
      <c r="Y381" s="4">
        <f t="shared" si="199"/>
        <v>133</v>
      </c>
      <c r="Z381" s="8">
        <f t="shared" si="223"/>
        <v>2005235050</v>
      </c>
      <c r="AA381" s="6">
        <f t="shared" si="200"/>
        <v>135</v>
      </c>
      <c r="AB381" s="7">
        <f t="shared" si="224"/>
        <v>2807558275</v>
      </c>
      <c r="AC381" s="4">
        <f t="shared" si="201"/>
        <v>137</v>
      </c>
      <c r="AD381" s="8">
        <f t="shared" si="225"/>
        <v>4192496701</v>
      </c>
      <c r="AE381" s="6">
        <f t="shared" si="202"/>
        <v>140</v>
      </c>
      <c r="AF381" s="7">
        <f t="shared" si="226"/>
        <v>6287387120</v>
      </c>
      <c r="AG381" s="4">
        <f t="shared" si="203"/>
        <v>143</v>
      </c>
      <c r="AH381" s="8">
        <f t="shared" si="227"/>
        <v>20114393624</v>
      </c>
    </row>
    <row r="382" ht="27.75" customHeight="1" spans="1:34" x14ac:dyDescent="0.25">
      <c r="A382" s="3">
        <v>392</v>
      </c>
      <c r="B382" s="3" t="s">
        <v>502</v>
      </c>
      <c r="C382" s="3" t="s">
        <v>493</v>
      </c>
      <c r="D382" s="3" t="s">
        <v>102</v>
      </c>
      <c r="E382" s="3">
        <v>113</v>
      </c>
      <c r="F382" s="3" t="s">
        <v>482</v>
      </c>
      <c r="G382" s="3" t="s">
        <v>482</v>
      </c>
      <c r="H382" s="3">
        <v>25</v>
      </c>
      <c r="I382" s="4">
        <v>113</v>
      </c>
      <c r="J382" s="5">
        <v>636000</v>
      </c>
      <c r="K382" s="6">
        <f t="shared" si="192"/>
        <v>114</v>
      </c>
      <c r="L382" s="7">
        <f t="shared" si="216"/>
        <v>712320</v>
      </c>
      <c r="M382" s="4">
        <f t="shared" si="193"/>
        <v>115</v>
      </c>
      <c r="N382" s="8">
        <f t="shared" si="217"/>
        <v>1068480</v>
      </c>
      <c r="O382" s="6">
        <f t="shared" si="194"/>
        <v>117</v>
      </c>
      <c r="P382" s="7">
        <f t="shared" si="218"/>
        <v>1709568</v>
      </c>
      <c r="Q382" s="4">
        <f t="shared" si="195"/>
        <v>119</v>
      </c>
      <c r="R382" s="8">
        <f t="shared" si="219"/>
        <v>2226000</v>
      </c>
      <c r="S382" s="6">
        <f t="shared" si="196"/>
        <v>121</v>
      </c>
      <c r="T382" s="7">
        <f t="shared" si="220"/>
        <v>4643852</v>
      </c>
      <c r="U382" s="4">
        <f t="shared" si="197"/>
        <v>124</v>
      </c>
      <c r="V382" s="8">
        <f t="shared" si="221"/>
        <v>28418921</v>
      </c>
      <c r="W382" s="6">
        <f t="shared" si="198"/>
        <v>128</v>
      </c>
      <c r="X382" s="7">
        <f t="shared" si="222"/>
        <v>312699267</v>
      </c>
      <c r="Y382" s="4">
        <f t="shared" si="199"/>
        <v>130</v>
      </c>
      <c r="Z382" s="8">
        <f t="shared" si="223"/>
        <v>445434249</v>
      </c>
      <c r="AA382" s="6">
        <f t="shared" si="200"/>
        <v>132</v>
      </c>
      <c r="AB382" s="7">
        <f t="shared" si="224"/>
        <v>623367743</v>
      </c>
      <c r="AC382" s="4">
        <f t="shared" si="201"/>
        <v>134</v>
      </c>
      <c r="AD382" s="8">
        <f t="shared" si="225"/>
        <v>928306122</v>
      </c>
      <c r="AE382" s="6">
        <f t="shared" si="202"/>
        <v>137</v>
      </c>
      <c r="AF382" s="7">
        <f t="shared" si="226"/>
        <v>1391256875</v>
      </c>
      <c r="AG382" s="4">
        <f t="shared" si="203"/>
        <v>140</v>
      </c>
      <c r="AH382" s="8">
        <f t="shared" si="227"/>
        <v>4442972103</v>
      </c>
    </row>
    <row r="383" ht="27.75" customHeight="1" spans="1:34" x14ac:dyDescent="0.25">
      <c r="A383" s="3">
        <v>393</v>
      </c>
      <c r="B383" s="3" t="s">
        <v>503</v>
      </c>
      <c r="C383" s="3" t="s">
        <v>493</v>
      </c>
      <c r="D383" s="3" t="s">
        <v>90</v>
      </c>
      <c r="E383" s="3">
        <v>113</v>
      </c>
      <c r="F383" s="3" t="s">
        <v>482</v>
      </c>
      <c r="G383" s="3" t="s">
        <v>482</v>
      </c>
      <c r="H383" s="3">
        <v>24</v>
      </c>
      <c r="I383" s="4">
        <v>113</v>
      </c>
      <c r="J383" s="5">
        <v>35800000</v>
      </c>
      <c r="K383" s="6">
        <f t="shared" si="192"/>
        <v>114</v>
      </c>
      <c r="L383" s="7">
        <f t="shared" si="216"/>
        <v>40096000</v>
      </c>
      <c r="M383" s="4">
        <f t="shared" si="193"/>
        <v>115</v>
      </c>
      <c r="N383" s="8">
        <f t="shared" si="217"/>
        <v>60144000</v>
      </c>
      <c r="O383" s="6">
        <f t="shared" si="194"/>
        <v>117</v>
      </c>
      <c r="P383" s="7">
        <f t="shared" si="218"/>
        <v>96230400</v>
      </c>
      <c r="Q383" s="4">
        <f t="shared" si="195"/>
        <v>119</v>
      </c>
      <c r="R383" s="8">
        <f t="shared" si="219"/>
        <v>125300000</v>
      </c>
      <c r="S383" s="6">
        <f t="shared" si="196"/>
        <v>121</v>
      </c>
      <c r="T383" s="7">
        <f t="shared" si="220"/>
        <v>261399189</v>
      </c>
      <c r="U383" s="4">
        <f t="shared" si="197"/>
        <v>124</v>
      </c>
      <c r="V383" s="8">
        <f t="shared" si="221"/>
        <v>670980698</v>
      </c>
      <c r="W383" s="6">
        <f t="shared" si="198"/>
        <v>128</v>
      </c>
      <c r="X383" s="7">
        <f t="shared" si="222"/>
        <v>1643882753</v>
      </c>
      <c r="Y383" s="4">
        <f t="shared" si="199"/>
        <v>130</v>
      </c>
      <c r="Z383" s="8">
        <f t="shared" si="223"/>
        <v>2301435854</v>
      </c>
      <c r="AA383" s="6">
        <f t="shared" si="200"/>
        <v>132</v>
      </c>
      <c r="AB383" s="7">
        <f t="shared" si="224"/>
        <v>3222010195</v>
      </c>
      <c r="AC383" s="4">
        <f t="shared" si="201"/>
        <v>134</v>
      </c>
      <c r="AD383" s="8">
        <f t="shared" si="225"/>
        <v>4833015292</v>
      </c>
      <c r="AE383" s="6">
        <f t="shared" si="202"/>
        <v>137</v>
      </c>
      <c r="AF383" s="7">
        <f t="shared" si="226"/>
        <v>7249522939</v>
      </c>
      <c r="AG383" s="4">
        <f t="shared" si="203"/>
        <v>140</v>
      </c>
      <c r="AH383" s="8">
        <f t="shared" si="227"/>
        <v>23198473403</v>
      </c>
    </row>
    <row r="384" ht="27.75" customHeight="1" spans="1:34" x14ac:dyDescent="0.25">
      <c r="A384" s="3">
        <v>394</v>
      </c>
      <c r="B384" s="3" t="s">
        <v>504</v>
      </c>
      <c r="C384" s="3" t="s">
        <v>493</v>
      </c>
      <c r="D384" s="3" t="s">
        <v>79</v>
      </c>
      <c r="E384" s="3">
        <v>116</v>
      </c>
      <c r="F384" s="3" t="s">
        <v>482</v>
      </c>
      <c r="G384" s="3" t="s">
        <v>482</v>
      </c>
      <c r="H384" s="3">
        <v>27</v>
      </c>
      <c r="I384" s="4">
        <v>116</v>
      </c>
      <c r="J384" s="5">
        <v>682000</v>
      </c>
      <c r="K384" s="6">
        <f t="shared" si="192"/>
        <v>117</v>
      </c>
      <c r="L384" s="7">
        <f t="shared" si="216"/>
        <v>865198</v>
      </c>
      <c r="M384" s="4">
        <f t="shared" si="193"/>
        <v>118</v>
      </c>
      <c r="N384" s="8">
        <f t="shared" si="217"/>
        <v>1145760</v>
      </c>
      <c r="O384" s="6">
        <f t="shared" si="194"/>
        <v>120</v>
      </c>
      <c r="P384" s="7">
        <f t="shared" si="218"/>
        <v>1833216</v>
      </c>
      <c r="Q384" s="4">
        <f t="shared" si="195"/>
        <v>122</v>
      </c>
      <c r="R384" s="8">
        <f t="shared" si="219"/>
        <v>5964246</v>
      </c>
      <c r="S384" s="6">
        <f t="shared" si="196"/>
        <v>124</v>
      </c>
      <c r="T384" s="7">
        <f t="shared" si="220"/>
        <v>16677986</v>
      </c>
      <c r="U384" s="4">
        <f t="shared" si="197"/>
        <v>127</v>
      </c>
      <c r="V384" s="8">
        <f t="shared" si="221"/>
        <v>125830454</v>
      </c>
      <c r="W384" s="6">
        <f t="shared" si="198"/>
        <v>131</v>
      </c>
      <c r="X384" s="7">
        <f t="shared" si="222"/>
        <v>1232554636</v>
      </c>
      <c r="Y384" s="4">
        <f t="shared" si="199"/>
        <v>133</v>
      </c>
      <c r="Z384" s="8">
        <f t="shared" si="223"/>
        <v>2005235050</v>
      </c>
      <c r="AA384" s="6">
        <f t="shared" si="200"/>
        <v>135</v>
      </c>
      <c r="AB384" s="7">
        <f t="shared" si="224"/>
        <v>2807558275</v>
      </c>
      <c r="AC384" s="4">
        <f t="shared" si="201"/>
        <v>137</v>
      </c>
      <c r="AD384" s="8">
        <f t="shared" si="225"/>
        <v>4192496701</v>
      </c>
      <c r="AE384" s="6">
        <f t="shared" si="202"/>
        <v>140</v>
      </c>
      <c r="AF384" s="7">
        <f t="shared" si="226"/>
        <v>6287387120</v>
      </c>
      <c r="AG384" s="4">
        <f t="shared" si="203"/>
        <v>143</v>
      </c>
      <c r="AH384" s="8">
        <f t="shared" si="227"/>
        <v>20114393624</v>
      </c>
    </row>
    <row r="385" ht="27.75" customHeight="1" spans="1:34" x14ac:dyDescent="0.25">
      <c r="A385" s="3">
        <v>395</v>
      </c>
      <c r="B385" s="3" t="s">
        <v>505</v>
      </c>
      <c r="C385" s="3" t="s">
        <v>493</v>
      </c>
      <c r="D385" s="3" t="s">
        <v>79</v>
      </c>
      <c r="E385" s="3">
        <v>115</v>
      </c>
      <c r="F385" s="3" t="s">
        <v>482</v>
      </c>
      <c r="G385" s="3" t="s">
        <v>482</v>
      </c>
      <c r="H385" s="3">
        <v>26</v>
      </c>
      <c r="I385" s="4">
        <v>115</v>
      </c>
      <c r="J385" s="5">
        <v>71300000</v>
      </c>
      <c r="K385" s="6">
        <f t="shared" si="192"/>
        <v>116</v>
      </c>
      <c r="L385" s="7">
        <f t="shared" si="216"/>
        <v>79856000</v>
      </c>
      <c r="M385" s="4">
        <f t="shared" si="193"/>
        <v>117</v>
      </c>
      <c r="N385" s="8">
        <f t="shared" si="217"/>
        <v>119784000</v>
      </c>
      <c r="O385" s="6">
        <f t="shared" si="194"/>
        <v>119</v>
      </c>
      <c r="P385" s="7">
        <f t="shared" si="218"/>
        <v>191654400</v>
      </c>
      <c r="Q385" s="4">
        <f t="shared" si="195"/>
        <v>121</v>
      </c>
      <c r="R385" s="8">
        <f t="shared" si="219"/>
        <v>249550000</v>
      </c>
      <c r="S385" s="6">
        <f t="shared" si="196"/>
        <v>123</v>
      </c>
      <c r="T385" s="7">
        <f t="shared" si="220"/>
        <v>520607883</v>
      </c>
      <c r="U385" s="4">
        <f t="shared" si="197"/>
        <v>126</v>
      </c>
      <c r="V385" s="8">
        <f t="shared" si="221"/>
        <v>1336338653</v>
      </c>
      <c r="W385" s="6">
        <f t="shared" si="198"/>
        <v>130</v>
      </c>
      <c r="X385" s="7">
        <f t="shared" si="222"/>
        <v>3273989951</v>
      </c>
      <c r="Y385" s="4">
        <f t="shared" si="199"/>
        <v>132</v>
      </c>
      <c r="Z385" s="8">
        <f t="shared" si="223"/>
        <v>4583585932</v>
      </c>
      <c r="AA385" s="6">
        <f t="shared" si="200"/>
        <v>134</v>
      </c>
      <c r="AB385" s="7">
        <f t="shared" si="224"/>
        <v>6417020304</v>
      </c>
      <c r="AC385" s="4">
        <f t="shared" si="201"/>
        <v>136</v>
      </c>
      <c r="AD385" s="8">
        <f t="shared" si="225"/>
        <v>9625530457</v>
      </c>
      <c r="AE385" s="6">
        <f t="shared" si="202"/>
        <v>139</v>
      </c>
      <c r="AF385" s="7">
        <f t="shared" si="226"/>
        <v>14438295685</v>
      </c>
      <c r="AG385" s="4">
        <f t="shared" si="203"/>
        <v>142</v>
      </c>
      <c r="AH385" s="8">
        <f t="shared" si="227"/>
        <v>46202546192</v>
      </c>
    </row>
    <row r="386" ht="27.75" customHeight="1" spans="1:34" x14ac:dyDescent="0.25">
      <c r="A386" s="3">
        <v>396</v>
      </c>
      <c r="B386" s="3" t="s">
        <v>506</v>
      </c>
      <c r="C386" s="3" t="s">
        <v>493</v>
      </c>
      <c r="D386" s="3" t="s">
        <v>64</v>
      </c>
      <c r="E386" s="3">
        <v>108</v>
      </c>
      <c r="F386" s="3" t="s">
        <v>482</v>
      </c>
      <c r="G386" s="3" t="s">
        <v>482</v>
      </c>
      <c r="H386" s="3">
        <v>23</v>
      </c>
      <c r="I386" s="4">
        <v>108</v>
      </c>
      <c r="J386" s="5">
        <v>96300</v>
      </c>
      <c r="K386" s="6">
        <f t="shared" si="192"/>
        <v>109</v>
      </c>
      <c r="L386" s="7">
        <f t="shared" si="216"/>
        <v>107856</v>
      </c>
      <c r="M386" s="4">
        <f t="shared" si="193"/>
        <v>110</v>
      </c>
      <c r="N386" s="8">
        <f t="shared" si="217"/>
        <v>161784</v>
      </c>
      <c r="O386" s="6">
        <f t="shared" si="194"/>
        <v>112</v>
      </c>
      <c r="P386" s="7">
        <f t="shared" si="218"/>
        <v>258854</v>
      </c>
      <c r="Q386" s="4">
        <f t="shared" si="195"/>
        <v>114</v>
      </c>
      <c r="R386" s="8">
        <f t="shared" si="219"/>
        <v>341161</v>
      </c>
      <c r="S386" s="6">
        <f t="shared" si="196"/>
        <v>116</v>
      </c>
      <c r="T386" s="7">
        <f t="shared" si="220"/>
        <v>703149</v>
      </c>
      <c r="U386" s="4">
        <f t="shared" si="197"/>
        <v>119</v>
      </c>
      <c r="V386" s="8">
        <f t="shared" si="221"/>
        <v>2380367</v>
      </c>
      <c r="W386" s="6">
        <f t="shared" si="198"/>
        <v>123</v>
      </c>
      <c r="X386" s="7">
        <f t="shared" si="222"/>
        <v>31792743</v>
      </c>
      <c r="Y386" s="4">
        <f t="shared" si="199"/>
        <v>125</v>
      </c>
      <c r="Z386" s="8">
        <f t="shared" si="223"/>
        <v>36292270</v>
      </c>
      <c r="AA386" s="6">
        <f t="shared" si="200"/>
        <v>127</v>
      </c>
      <c r="AB386" s="7">
        <f t="shared" si="224"/>
        <v>50750100</v>
      </c>
      <c r="AC386" s="4">
        <f t="shared" si="201"/>
        <v>129</v>
      </c>
      <c r="AD386" s="8">
        <f t="shared" si="225"/>
        <v>75229589</v>
      </c>
      <c r="AE386" s="6">
        <f t="shared" si="202"/>
        <v>132</v>
      </c>
      <c r="AF386" s="7">
        <f t="shared" si="226"/>
        <v>112625274</v>
      </c>
      <c r="AG386" s="4">
        <f t="shared" si="203"/>
        <v>135</v>
      </c>
      <c r="AH386" s="8">
        <f t="shared" si="227"/>
        <v>358606361</v>
      </c>
    </row>
    <row r="387" ht="27.75" customHeight="1" spans="1:34" x14ac:dyDescent="0.25">
      <c r="A387" s="3">
        <v>397</v>
      </c>
      <c r="B387" s="3" t="s">
        <v>507</v>
      </c>
      <c r="C387" s="3" t="s">
        <v>493</v>
      </c>
      <c r="D387" s="3" t="s">
        <v>45</v>
      </c>
      <c r="E387" s="3">
        <v>114</v>
      </c>
      <c r="F387" s="3" t="s">
        <v>482</v>
      </c>
      <c r="G387" s="3" t="s">
        <v>482</v>
      </c>
      <c r="H387" s="3">
        <v>26</v>
      </c>
      <c r="I387" s="4">
        <v>114</v>
      </c>
      <c r="J387" s="5">
        <v>17300000</v>
      </c>
      <c r="K387" s="6">
        <f t="shared" ref="K387:K450" si="228">$E387+1</f>
        <v>115</v>
      </c>
      <c r="L387" s="7">
        <f t="shared" si="216"/>
        <v>19376000</v>
      </c>
      <c r="M387" s="4">
        <f t="shared" ref="M387:M450" si="229">$E387+2</f>
        <v>116</v>
      </c>
      <c r="N387" s="8">
        <f t="shared" si="217"/>
        <v>29064000</v>
      </c>
      <c r="O387" s="6">
        <f t="shared" ref="O387:O450" si="230">$E387+4</f>
        <v>118</v>
      </c>
      <c r="P387" s="7">
        <f t="shared" si="218"/>
        <v>46502400</v>
      </c>
      <c r="Q387" s="4">
        <f t="shared" ref="Q387:Q450" si="231">$E387+6</f>
        <v>120</v>
      </c>
      <c r="R387" s="8">
        <f t="shared" si="219"/>
        <v>60550000</v>
      </c>
      <c r="S387" s="6">
        <f t="shared" ref="S387:S450" si="232">$E387+8</f>
        <v>122</v>
      </c>
      <c r="T387" s="7">
        <f t="shared" si="220"/>
        <v>126318603</v>
      </c>
      <c r="U387" s="4">
        <f t="shared" ref="U387:U450" si="233">$E387+11</f>
        <v>125</v>
      </c>
      <c r="V387" s="8">
        <f t="shared" si="221"/>
        <v>324244862</v>
      </c>
      <c r="W387" s="6">
        <f t="shared" ref="W387:W450" si="234">$E387+15</f>
        <v>129</v>
      </c>
      <c r="X387" s="7">
        <f t="shared" si="222"/>
        <v>794390269</v>
      </c>
      <c r="Y387" s="4">
        <f t="shared" ref="Y387:Y450" si="235">$E387+17</f>
        <v>131</v>
      </c>
      <c r="Z387" s="8">
        <f t="shared" si="223"/>
        <v>1112146376</v>
      </c>
      <c r="AA387" s="6">
        <f t="shared" ref="AA387:AA450" si="236">$E387+19</f>
        <v>133</v>
      </c>
      <c r="AB387" s="7">
        <f t="shared" si="224"/>
        <v>1557004927</v>
      </c>
      <c r="AC387" s="4">
        <f t="shared" ref="AC387:AC450" si="237">$E387+21</f>
        <v>135</v>
      </c>
      <c r="AD387" s="8">
        <f t="shared" si="225"/>
        <v>2335507390</v>
      </c>
      <c r="AE387" s="6">
        <f t="shared" ref="AE387:AE450" si="238">$E387+24</f>
        <v>138</v>
      </c>
      <c r="AF387" s="7">
        <f t="shared" si="226"/>
        <v>3503261085</v>
      </c>
      <c r="AG387" s="4">
        <f t="shared" ref="AG387:AG450" si="239">$E387+27</f>
        <v>141</v>
      </c>
      <c r="AH387" s="8">
        <f t="shared" si="227"/>
        <v>11210435471</v>
      </c>
    </row>
    <row r="388" ht="27.75" customHeight="1" spans="1:34" x14ac:dyDescent="0.25">
      <c r="A388" s="3">
        <v>398</v>
      </c>
      <c r="B388" s="3" t="s">
        <v>508</v>
      </c>
      <c r="C388" s="3" t="s">
        <v>493</v>
      </c>
      <c r="D388" s="3" t="s">
        <v>75</v>
      </c>
      <c r="E388" s="3">
        <v>109</v>
      </c>
      <c r="F388" s="3" t="s">
        <v>482</v>
      </c>
      <c r="G388" s="3" t="s">
        <v>482</v>
      </c>
      <c r="H388" s="3">
        <v>22</v>
      </c>
      <c r="I388" s="4">
        <v>109</v>
      </c>
      <c r="J388" s="5">
        <v>1480000</v>
      </c>
      <c r="K388" s="6">
        <f t="shared" si="228"/>
        <v>110</v>
      </c>
      <c r="L388" s="7">
        <f t="shared" si="216"/>
        <v>1657600</v>
      </c>
      <c r="M388" s="4">
        <f t="shared" si="229"/>
        <v>111</v>
      </c>
      <c r="N388" s="8">
        <f t="shared" si="217"/>
        <v>2486400</v>
      </c>
      <c r="O388" s="6">
        <f t="shared" si="230"/>
        <v>113</v>
      </c>
      <c r="P388" s="7">
        <f t="shared" si="218"/>
        <v>3978240</v>
      </c>
      <c r="Q388" s="4">
        <f t="shared" si="231"/>
        <v>115</v>
      </c>
      <c r="R388" s="8">
        <f t="shared" si="219"/>
        <v>5180000</v>
      </c>
      <c r="S388" s="6">
        <f t="shared" si="232"/>
        <v>117</v>
      </c>
      <c r="T388" s="7">
        <f t="shared" si="220"/>
        <v>10806447</v>
      </c>
      <c r="U388" s="4">
        <f t="shared" si="233"/>
        <v>120</v>
      </c>
      <c r="V388" s="8">
        <f t="shared" si="221"/>
        <v>27738867</v>
      </c>
      <c r="W388" s="6">
        <f t="shared" si="234"/>
        <v>124</v>
      </c>
      <c r="X388" s="7">
        <f t="shared" si="222"/>
        <v>67959399</v>
      </c>
      <c r="Y388" s="4">
        <f t="shared" si="235"/>
        <v>126</v>
      </c>
      <c r="Z388" s="8">
        <f t="shared" si="223"/>
        <v>95143158</v>
      </c>
      <c r="AA388" s="6">
        <f t="shared" si="236"/>
        <v>128</v>
      </c>
      <c r="AB388" s="7">
        <f t="shared" si="224"/>
        <v>133200421</v>
      </c>
      <c r="AC388" s="4">
        <f t="shared" si="237"/>
        <v>130</v>
      </c>
      <c r="AD388" s="8">
        <f t="shared" si="225"/>
        <v>199800632</v>
      </c>
      <c r="AE388" s="6">
        <f t="shared" si="238"/>
        <v>133</v>
      </c>
      <c r="AF388" s="7">
        <f t="shared" si="226"/>
        <v>299700948</v>
      </c>
      <c r="AG388" s="4">
        <f t="shared" si="239"/>
        <v>136</v>
      </c>
      <c r="AH388" s="8">
        <f t="shared" si="227"/>
        <v>959043035</v>
      </c>
    </row>
    <row r="389" ht="27.75" customHeight="1" spans="1:34" x14ac:dyDescent="0.25">
      <c r="A389" s="3">
        <v>399</v>
      </c>
      <c r="B389" s="3" t="s">
        <v>509</v>
      </c>
      <c r="C389" s="3" t="s">
        <v>493</v>
      </c>
      <c r="D389" s="3" t="s">
        <v>40</v>
      </c>
      <c r="E389" s="3">
        <v>107</v>
      </c>
      <c r="F389" s="3" t="s">
        <v>482</v>
      </c>
      <c r="G389" s="3" t="s">
        <v>482</v>
      </c>
      <c r="H389" s="3">
        <v>21</v>
      </c>
      <c r="I389" s="4">
        <v>107</v>
      </c>
      <c r="J389" s="5">
        <v>55600</v>
      </c>
      <c r="K389" s="6">
        <f t="shared" si="228"/>
        <v>108</v>
      </c>
      <c r="L389" s="7">
        <f t="shared" si="216"/>
        <v>62272</v>
      </c>
      <c r="M389" s="4">
        <f t="shared" si="229"/>
        <v>109</v>
      </c>
      <c r="N389" s="8">
        <f t="shared" si="217"/>
        <v>93408</v>
      </c>
      <c r="O389" s="6">
        <f t="shared" si="230"/>
        <v>111</v>
      </c>
      <c r="P389" s="7">
        <f t="shared" si="218"/>
        <v>149453</v>
      </c>
      <c r="Q389" s="4">
        <f t="shared" si="231"/>
        <v>113</v>
      </c>
      <c r="R389" s="8">
        <f t="shared" si="219"/>
        <v>238581</v>
      </c>
      <c r="S389" s="6">
        <f t="shared" si="232"/>
        <v>115</v>
      </c>
      <c r="T389" s="7">
        <f t="shared" si="220"/>
        <v>405972</v>
      </c>
      <c r="U389" s="4">
        <f t="shared" si="233"/>
        <v>118</v>
      </c>
      <c r="V389" s="8">
        <f t="shared" si="221"/>
        <v>1449610</v>
      </c>
      <c r="W389" s="6">
        <f t="shared" si="234"/>
        <v>122</v>
      </c>
      <c r="X389" s="7">
        <f t="shared" si="222"/>
        <v>20126499</v>
      </c>
      <c r="Y389" s="4">
        <f t="shared" si="235"/>
        <v>124</v>
      </c>
      <c r="Z389" s="8">
        <f t="shared" si="223"/>
        <v>21979623</v>
      </c>
      <c r="AA389" s="6">
        <f t="shared" si="236"/>
        <v>126</v>
      </c>
      <c r="AB389" s="7">
        <f t="shared" si="224"/>
        <v>30730910</v>
      </c>
      <c r="AC389" s="4">
        <f t="shared" si="237"/>
        <v>128</v>
      </c>
      <c r="AD389" s="8">
        <f t="shared" si="225"/>
        <v>45512237</v>
      </c>
      <c r="AE389" s="6">
        <f t="shared" si="238"/>
        <v>131</v>
      </c>
      <c r="AF389" s="7">
        <f t="shared" si="226"/>
        <v>68121087</v>
      </c>
      <c r="AG389" s="4">
        <f t="shared" si="239"/>
        <v>134</v>
      </c>
      <c r="AH389" s="8">
        <f t="shared" si="227"/>
        <v>216773839</v>
      </c>
    </row>
    <row r="390" ht="27.75" customHeight="1" spans="1:34" x14ac:dyDescent="0.25">
      <c r="A390" s="3">
        <v>400</v>
      </c>
      <c r="B390" s="3" t="s">
        <v>510</v>
      </c>
      <c r="C390" s="3" t="s">
        <v>493</v>
      </c>
      <c r="D390" s="3" t="s">
        <v>29</v>
      </c>
      <c r="E390" s="3">
        <v>118</v>
      </c>
      <c r="F390" s="3" t="s">
        <v>482</v>
      </c>
      <c r="G390" s="3" t="s">
        <v>482</v>
      </c>
      <c r="H390" s="3">
        <v>28</v>
      </c>
      <c r="I390" s="4">
        <v>118</v>
      </c>
      <c r="J390" s="5">
        <v>34000000</v>
      </c>
      <c r="K390" s="6">
        <f t="shared" si="228"/>
        <v>119</v>
      </c>
      <c r="L390" s="7">
        <f t="shared" si="216"/>
        <v>38080000</v>
      </c>
      <c r="M390" s="4">
        <f t="shared" si="229"/>
        <v>120</v>
      </c>
      <c r="N390" s="8">
        <f t="shared" si="217"/>
        <v>57120000</v>
      </c>
      <c r="O390" s="6">
        <f t="shared" si="230"/>
        <v>122</v>
      </c>
      <c r="P390" s="7">
        <f t="shared" si="218"/>
        <v>91392000</v>
      </c>
      <c r="Q390" s="4">
        <f t="shared" si="231"/>
        <v>124</v>
      </c>
      <c r="R390" s="8">
        <f t="shared" si="219"/>
        <v>119000000</v>
      </c>
      <c r="S390" s="6">
        <f t="shared" si="232"/>
        <v>126</v>
      </c>
      <c r="T390" s="7">
        <f t="shared" si="220"/>
        <v>248256213</v>
      </c>
      <c r="U390" s="4">
        <f t="shared" si="233"/>
        <v>129</v>
      </c>
      <c r="V390" s="8">
        <f t="shared" si="221"/>
        <v>637244238</v>
      </c>
      <c r="W390" s="6">
        <f t="shared" si="234"/>
        <v>133</v>
      </c>
      <c r="X390" s="7">
        <f t="shared" si="222"/>
        <v>3075570762</v>
      </c>
      <c r="Y390" s="4">
        <f t="shared" si="235"/>
        <v>135</v>
      </c>
      <c r="Z390" s="8">
        <f t="shared" si="223"/>
        <v>5467050358</v>
      </c>
      <c r="AA390" s="6">
        <f t="shared" si="236"/>
        <v>137</v>
      </c>
      <c r="AB390" s="7">
        <f t="shared" si="224"/>
        <v>7656878378</v>
      </c>
      <c r="AC390" s="4">
        <f t="shared" si="237"/>
        <v>139</v>
      </c>
      <c r="AD390" s="8">
        <f t="shared" si="225"/>
        <v>11454964290</v>
      </c>
      <c r="AE390" s="6">
        <f t="shared" si="238"/>
        <v>142</v>
      </c>
      <c r="AF390" s="7">
        <f t="shared" si="226"/>
        <v>17186157450</v>
      </c>
      <c r="AG390" s="4">
        <f t="shared" si="239"/>
        <v>145</v>
      </c>
      <c r="AH390" s="8">
        <f t="shared" si="227"/>
        <v>55046433200</v>
      </c>
    </row>
    <row r="391" ht="27.75" customHeight="1" spans="1:34" x14ac:dyDescent="0.25">
      <c r="A391" s="3">
        <v>401</v>
      </c>
      <c r="B391" s="3" t="s">
        <v>511</v>
      </c>
      <c r="C391" s="3" t="s">
        <v>493</v>
      </c>
      <c r="D391" s="3" t="s">
        <v>40</v>
      </c>
      <c r="E391" s="3">
        <v>117</v>
      </c>
      <c r="F391" s="3" t="s">
        <v>482</v>
      </c>
      <c r="G391" s="3" t="s">
        <v>482</v>
      </c>
      <c r="H391" s="3">
        <v>27</v>
      </c>
      <c r="I391" s="4">
        <v>117</v>
      </c>
      <c r="J391" s="5">
        <v>13400000</v>
      </c>
      <c r="K391" s="6">
        <f t="shared" si="228"/>
        <v>118</v>
      </c>
      <c r="L391" s="7">
        <f t="shared" si="216"/>
        <v>15008000</v>
      </c>
      <c r="M391" s="4">
        <f t="shared" si="229"/>
        <v>119</v>
      </c>
      <c r="N391" s="8">
        <f t="shared" si="217"/>
        <v>22512000</v>
      </c>
      <c r="O391" s="6">
        <f t="shared" si="230"/>
        <v>121</v>
      </c>
      <c r="P391" s="7">
        <f t="shared" si="218"/>
        <v>36019200</v>
      </c>
      <c r="Q391" s="4">
        <f t="shared" si="231"/>
        <v>123</v>
      </c>
      <c r="R391" s="8">
        <f t="shared" si="219"/>
        <v>46900000</v>
      </c>
      <c r="S391" s="6">
        <f t="shared" si="232"/>
        <v>125</v>
      </c>
      <c r="T391" s="7">
        <f t="shared" si="220"/>
        <v>97842155</v>
      </c>
      <c r="U391" s="4">
        <f t="shared" si="233"/>
        <v>128</v>
      </c>
      <c r="V391" s="8">
        <f t="shared" si="221"/>
        <v>251149200</v>
      </c>
      <c r="W391" s="6">
        <f t="shared" si="234"/>
        <v>132</v>
      </c>
      <c r="X391" s="7">
        <f t="shared" si="222"/>
        <v>1947000000</v>
      </c>
      <c r="Y391" s="4">
        <f t="shared" si="235"/>
        <v>134</v>
      </c>
      <c r="Z391" s="8">
        <f t="shared" si="223"/>
        <v>3311000000</v>
      </c>
      <c r="AA391" s="6">
        <f t="shared" si="236"/>
        <v>136</v>
      </c>
      <c r="AB391" s="7">
        <f t="shared" si="224"/>
        <v>4636500000</v>
      </c>
      <c r="AC391" s="4">
        <f t="shared" si="237"/>
        <v>138</v>
      </c>
      <c r="AD391" s="8">
        <f t="shared" si="225"/>
        <v>6930000000</v>
      </c>
      <c r="AE391" s="6">
        <f t="shared" si="238"/>
        <v>141</v>
      </c>
      <c r="AF391" s="7">
        <f t="shared" si="226"/>
        <v>10395000000</v>
      </c>
      <c r="AG391" s="4">
        <f t="shared" si="239"/>
        <v>144</v>
      </c>
      <c r="AH391" s="8">
        <f t="shared" si="227"/>
        <v>33275000000</v>
      </c>
    </row>
    <row r="392" ht="27.75" customHeight="1" spans="1:34" x14ac:dyDescent="0.25">
      <c r="A392" s="3">
        <v>402</v>
      </c>
      <c r="B392" s="3" t="s">
        <v>512</v>
      </c>
      <c r="C392" s="3" t="s">
        <v>493</v>
      </c>
      <c r="D392" s="3" t="s">
        <v>40</v>
      </c>
      <c r="E392" s="3">
        <v>110</v>
      </c>
      <c r="F392" s="3" t="s">
        <v>482</v>
      </c>
      <c r="G392" s="3" t="s">
        <v>482</v>
      </c>
      <c r="H392" s="3">
        <v>24</v>
      </c>
      <c r="I392" s="4">
        <v>110</v>
      </c>
      <c r="J392" s="5">
        <v>108000</v>
      </c>
      <c r="K392" s="6">
        <f t="shared" si="228"/>
        <v>111</v>
      </c>
      <c r="L392" s="7">
        <f t="shared" si="216"/>
        <v>120960</v>
      </c>
      <c r="M392" s="4">
        <f t="shared" si="229"/>
        <v>112</v>
      </c>
      <c r="N392" s="8">
        <f t="shared" si="217"/>
        <v>181440</v>
      </c>
      <c r="O392" s="6">
        <f t="shared" si="230"/>
        <v>114</v>
      </c>
      <c r="P392" s="7">
        <f t="shared" si="218"/>
        <v>290304</v>
      </c>
      <c r="Q392" s="4">
        <f t="shared" si="231"/>
        <v>116</v>
      </c>
      <c r="R392" s="8">
        <f t="shared" si="219"/>
        <v>697603</v>
      </c>
      <c r="S392" s="6">
        <f t="shared" si="232"/>
        <v>118</v>
      </c>
      <c r="T392" s="7">
        <f t="shared" si="220"/>
        <v>1084706</v>
      </c>
      <c r="U392" s="4">
        <f t="shared" si="233"/>
        <v>121</v>
      </c>
      <c r="V392" s="8">
        <f t="shared" si="221"/>
        <v>6418439</v>
      </c>
      <c r="W392" s="6">
        <f t="shared" si="234"/>
        <v>125</v>
      </c>
      <c r="X392" s="7">
        <f t="shared" si="222"/>
        <v>79331844</v>
      </c>
      <c r="Y392" s="4">
        <f t="shared" si="235"/>
        <v>127</v>
      </c>
      <c r="Z392" s="8">
        <f t="shared" si="223"/>
        <v>98946839</v>
      </c>
      <c r="AA392" s="6">
        <f t="shared" si="236"/>
        <v>129</v>
      </c>
      <c r="AB392" s="7">
        <f t="shared" si="224"/>
        <v>138407579</v>
      </c>
      <c r="AC392" s="4">
        <f t="shared" si="237"/>
        <v>131</v>
      </c>
      <c r="AD392" s="8">
        <f t="shared" si="225"/>
        <v>205546317</v>
      </c>
      <c r="AE392" s="6">
        <f t="shared" si="238"/>
        <v>134</v>
      </c>
      <c r="AF392" s="7">
        <f t="shared" si="226"/>
        <v>307853748</v>
      </c>
      <c r="AG392" s="4">
        <f t="shared" si="239"/>
        <v>137</v>
      </c>
      <c r="AH392" s="8">
        <f t="shared" si="227"/>
        <v>981386836</v>
      </c>
    </row>
    <row r="393" ht="27.75" customHeight="1" spans="1:34" x14ac:dyDescent="0.25">
      <c r="A393" s="3">
        <v>403</v>
      </c>
      <c r="B393" s="3" t="s">
        <v>513</v>
      </c>
      <c r="C393" s="3" t="s">
        <v>493</v>
      </c>
      <c r="D393" s="3" t="s">
        <v>25</v>
      </c>
      <c r="E393" s="3">
        <v>112</v>
      </c>
      <c r="F393" s="3" t="s">
        <v>482</v>
      </c>
      <c r="G393" s="3" t="s">
        <v>482</v>
      </c>
      <c r="H393" s="3">
        <v>24</v>
      </c>
      <c r="I393" s="4">
        <v>112</v>
      </c>
      <c r="J393" s="5">
        <v>427000</v>
      </c>
      <c r="K393" s="6">
        <f t="shared" si="228"/>
        <v>113</v>
      </c>
      <c r="L393" s="7">
        <f t="shared" si="216"/>
        <v>478240</v>
      </c>
      <c r="M393" s="4">
        <f t="shared" si="229"/>
        <v>114</v>
      </c>
      <c r="N393" s="8">
        <f t="shared" si="217"/>
        <v>717360</v>
      </c>
      <c r="O393" s="6">
        <f t="shared" si="230"/>
        <v>116</v>
      </c>
      <c r="P393" s="7">
        <f t="shared" si="218"/>
        <v>1147776</v>
      </c>
      <c r="Q393" s="4">
        <f t="shared" si="231"/>
        <v>118</v>
      </c>
      <c r="R393" s="8">
        <f t="shared" si="219"/>
        <v>1494500</v>
      </c>
      <c r="S393" s="6">
        <f t="shared" si="232"/>
        <v>120</v>
      </c>
      <c r="T393" s="7">
        <f t="shared" si="220"/>
        <v>3117806</v>
      </c>
      <c r="U393" s="4">
        <f t="shared" si="233"/>
        <v>123</v>
      </c>
      <c r="V393" s="8">
        <f t="shared" si="221"/>
        <v>17306724</v>
      </c>
      <c r="W393" s="6">
        <f t="shared" si="234"/>
        <v>127</v>
      </c>
      <c r="X393" s="7">
        <f t="shared" si="222"/>
        <v>197955280</v>
      </c>
      <c r="Y393" s="4">
        <f t="shared" si="235"/>
        <v>129</v>
      </c>
      <c r="Z393" s="8">
        <f t="shared" si="223"/>
        <v>269767553</v>
      </c>
      <c r="AA393" s="6">
        <f t="shared" si="236"/>
        <v>131</v>
      </c>
      <c r="AB393" s="7">
        <f t="shared" si="224"/>
        <v>377470347</v>
      </c>
      <c r="AC393" s="4">
        <f t="shared" si="237"/>
        <v>133</v>
      </c>
      <c r="AD393" s="8">
        <f t="shared" si="225"/>
        <v>561604669</v>
      </c>
      <c r="AE393" s="6">
        <f t="shared" si="238"/>
        <v>136</v>
      </c>
      <c r="AF393" s="7">
        <f t="shared" si="226"/>
        <v>841497889</v>
      </c>
      <c r="AG393" s="4">
        <f t="shared" si="239"/>
        <v>139</v>
      </c>
      <c r="AH393" s="8">
        <f t="shared" si="227"/>
        <v>2685730721</v>
      </c>
    </row>
    <row r="394" ht="27.75" customHeight="1" spans="1:34" x14ac:dyDescent="0.25">
      <c r="A394" s="3">
        <v>404</v>
      </c>
      <c r="B394" s="3" t="s">
        <v>514</v>
      </c>
      <c r="C394" s="3" t="s">
        <v>493</v>
      </c>
      <c r="D394" s="3" t="s">
        <v>47</v>
      </c>
      <c r="E394" s="3">
        <v>107</v>
      </c>
      <c r="F394" s="3" t="s">
        <v>482</v>
      </c>
      <c r="G394" s="3" t="s">
        <v>482</v>
      </c>
      <c r="H394" s="3">
        <v>18</v>
      </c>
      <c r="I394" s="4">
        <v>107</v>
      </c>
      <c r="J394" s="5">
        <v>52100</v>
      </c>
      <c r="K394" s="6">
        <f t="shared" si="228"/>
        <v>108</v>
      </c>
      <c r="L394" s="7">
        <f t="shared" si="216"/>
        <v>58352</v>
      </c>
      <c r="M394" s="4">
        <f t="shared" si="229"/>
        <v>109</v>
      </c>
      <c r="N394" s="8">
        <f t="shared" si="217"/>
        <v>87528</v>
      </c>
      <c r="O394" s="6">
        <f t="shared" si="230"/>
        <v>111</v>
      </c>
      <c r="P394" s="7">
        <f t="shared" si="218"/>
        <v>140045</v>
      </c>
      <c r="Q394" s="4">
        <f t="shared" si="231"/>
        <v>113</v>
      </c>
      <c r="R394" s="8">
        <f t="shared" si="219"/>
        <v>238581</v>
      </c>
      <c r="S394" s="6">
        <f t="shared" si="232"/>
        <v>115</v>
      </c>
      <c r="T394" s="7">
        <f t="shared" si="220"/>
        <v>380416</v>
      </c>
      <c r="U394" s="4">
        <f t="shared" si="233"/>
        <v>118</v>
      </c>
      <c r="V394" s="8">
        <f t="shared" si="221"/>
        <v>1449610</v>
      </c>
      <c r="W394" s="6">
        <f t="shared" si="234"/>
        <v>122</v>
      </c>
      <c r="X394" s="7">
        <f t="shared" si="222"/>
        <v>20126499</v>
      </c>
      <c r="Y394" s="4">
        <f t="shared" si="235"/>
        <v>124</v>
      </c>
      <c r="Z394" s="8">
        <f t="shared" si="223"/>
        <v>21979623</v>
      </c>
      <c r="AA394" s="6">
        <f t="shared" si="236"/>
        <v>126</v>
      </c>
      <c r="AB394" s="7">
        <f t="shared" si="224"/>
        <v>30730910</v>
      </c>
      <c r="AC394" s="4">
        <f t="shared" si="237"/>
        <v>128</v>
      </c>
      <c r="AD394" s="8">
        <f t="shared" si="225"/>
        <v>45512237</v>
      </c>
      <c r="AE394" s="6">
        <f t="shared" si="238"/>
        <v>131</v>
      </c>
      <c r="AF394" s="7">
        <f t="shared" si="226"/>
        <v>68121087</v>
      </c>
      <c r="AG394" s="4">
        <f t="shared" si="239"/>
        <v>134</v>
      </c>
      <c r="AH394" s="8">
        <f t="shared" si="227"/>
        <v>216773839</v>
      </c>
    </row>
    <row r="395" ht="27.75" customHeight="1" spans="1:34" x14ac:dyDescent="0.25">
      <c r="A395" s="3">
        <v>405</v>
      </c>
      <c r="B395" s="3" t="s">
        <v>515</v>
      </c>
      <c r="C395" s="3" t="s">
        <v>493</v>
      </c>
      <c r="D395" s="3" t="s">
        <v>29</v>
      </c>
      <c r="E395" s="3">
        <v>112</v>
      </c>
      <c r="F395" s="3" t="s">
        <v>482</v>
      </c>
      <c r="G395" s="3" t="s">
        <v>482</v>
      </c>
      <c r="H395" s="3">
        <v>25</v>
      </c>
      <c r="I395" s="4">
        <v>112</v>
      </c>
      <c r="J395" s="5">
        <v>247000</v>
      </c>
      <c r="K395" s="6">
        <f t="shared" si="228"/>
        <v>113</v>
      </c>
      <c r="L395" s="7">
        <f t="shared" si="216"/>
        <v>276640</v>
      </c>
      <c r="M395" s="4">
        <f t="shared" si="229"/>
        <v>114</v>
      </c>
      <c r="N395" s="8">
        <f t="shared" si="217"/>
        <v>414960</v>
      </c>
      <c r="O395" s="6">
        <f t="shared" si="230"/>
        <v>116</v>
      </c>
      <c r="P395" s="7">
        <f t="shared" si="218"/>
        <v>663936</v>
      </c>
      <c r="Q395" s="4">
        <f t="shared" si="231"/>
        <v>118</v>
      </c>
      <c r="R395" s="8">
        <f t="shared" si="219"/>
        <v>1426453</v>
      </c>
      <c r="S395" s="6">
        <f t="shared" si="232"/>
        <v>120</v>
      </c>
      <c r="T395" s="7">
        <f t="shared" si="220"/>
        <v>2697259</v>
      </c>
      <c r="U395" s="4">
        <f t="shared" si="233"/>
        <v>123</v>
      </c>
      <c r="V395" s="8">
        <f t="shared" si="221"/>
        <v>17306724</v>
      </c>
      <c r="W395" s="6">
        <f t="shared" si="234"/>
        <v>127</v>
      </c>
      <c r="X395" s="7">
        <f t="shared" si="222"/>
        <v>197955280</v>
      </c>
      <c r="Y395" s="4">
        <f t="shared" si="235"/>
        <v>129</v>
      </c>
      <c r="Z395" s="8">
        <f t="shared" si="223"/>
        <v>269767553</v>
      </c>
      <c r="AA395" s="6">
        <f t="shared" si="236"/>
        <v>131</v>
      </c>
      <c r="AB395" s="7">
        <f t="shared" si="224"/>
        <v>377470347</v>
      </c>
      <c r="AC395" s="4">
        <f t="shared" si="237"/>
        <v>133</v>
      </c>
      <c r="AD395" s="8">
        <f t="shared" si="225"/>
        <v>561604669</v>
      </c>
      <c r="AE395" s="6">
        <f t="shared" si="238"/>
        <v>136</v>
      </c>
      <c r="AF395" s="7">
        <f t="shared" si="226"/>
        <v>841497889</v>
      </c>
      <c r="AG395" s="4">
        <f t="shared" si="239"/>
        <v>139</v>
      </c>
      <c r="AH395" s="8">
        <f t="shared" si="227"/>
        <v>2685730721</v>
      </c>
    </row>
    <row r="396" ht="27.75" customHeight="1" spans="1:34" x14ac:dyDescent="0.25">
      <c r="A396" s="3">
        <v>406</v>
      </c>
      <c r="B396" s="3" t="s">
        <v>516</v>
      </c>
      <c r="C396" s="3" t="s">
        <v>493</v>
      </c>
      <c r="D396" s="3" t="s">
        <v>93</v>
      </c>
      <c r="E396" s="3">
        <v>111</v>
      </c>
      <c r="F396" s="3" t="s">
        <v>482</v>
      </c>
      <c r="G396" s="3" t="s">
        <v>482</v>
      </c>
      <c r="H396" s="3">
        <v>24</v>
      </c>
      <c r="I396" s="4">
        <v>111</v>
      </c>
      <c r="J396" s="5">
        <v>972000</v>
      </c>
      <c r="K396" s="6">
        <f t="shared" si="228"/>
        <v>112</v>
      </c>
      <c r="L396" s="7">
        <f t="shared" si="216"/>
        <v>1088640</v>
      </c>
      <c r="M396" s="4">
        <f t="shared" si="229"/>
        <v>113</v>
      </c>
      <c r="N396" s="8">
        <f t="shared" si="217"/>
        <v>1632960</v>
      </c>
      <c r="O396" s="6">
        <f t="shared" si="230"/>
        <v>115</v>
      </c>
      <c r="P396" s="7">
        <f t="shared" si="218"/>
        <v>2612736</v>
      </c>
      <c r="Q396" s="4">
        <f t="shared" si="231"/>
        <v>117</v>
      </c>
      <c r="R396" s="8">
        <f t="shared" si="219"/>
        <v>3402000</v>
      </c>
      <c r="S396" s="6">
        <f t="shared" si="232"/>
        <v>119</v>
      </c>
      <c r="T396" s="7">
        <f t="shared" si="220"/>
        <v>7097207</v>
      </c>
      <c r="U396" s="4">
        <f t="shared" si="233"/>
        <v>122</v>
      </c>
      <c r="V396" s="8">
        <f t="shared" si="221"/>
        <v>18217688</v>
      </c>
      <c r="W396" s="6">
        <f t="shared" si="234"/>
        <v>126</v>
      </c>
      <c r="X396" s="7">
        <f t="shared" si="222"/>
        <v>125316229</v>
      </c>
      <c r="Y396" s="4">
        <f t="shared" si="235"/>
        <v>128</v>
      </c>
      <c r="Z396" s="8">
        <f t="shared" si="223"/>
        <v>163378844</v>
      </c>
      <c r="AA396" s="6">
        <f t="shared" si="236"/>
        <v>130</v>
      </c>
      <c r="AB396" s="7">
        <f t="shared" si="224"/>
        <v>228571120</v>
      </c>
      <c r="AC396" s="4">
        <f t="shared" si="237"/>
        <v>132</v>
      </c>
      <c r="AD396" s="8">
        <f t="shared" si="225"/>
        <v>339758401</v>
      </c>
      <c r="AE396" s="6">
        <f t="shared" si="238"/>
        <v>135</v>
      </c>
      <c r="AF396" s="7">
        <f t="shared" si="226"/>
        <v>508977681</v>
      </c>
      <c r="AG396" s="4">
        <f t="shared" si="239"/>
        <v>138</v>
      </c>
      <c r="AH396" s="8">
        <f t="shared" si="227"/>
        <v>1623496466</v>
      </c>
    </row>
    <row r="397" ht="27.75" customHeight="1" spans="1:34" x14ac:dyDescent="0.25">
      <c r="A397" s="3">
        <v>407</v>
      </c>
      <c r="B397" s="3" t="s">
        <v>517</v>
      </c>
      <c r="C397" s="3" t="s">
        <v>493</v>
      </c>
      <c r="D397" s="3" t="s">
        <v>40</v>
      </c>
      <c r="E397" s="3">
        <v>115</v>
      </c>
      <c r="F397" s="3" t="s">
        <v>482</v>
      </c>
      <c r="G397" s="3" t="s">
        <v>482</v>
      </c>
      <c r="H397" s="3">
        <v>26</v>
      </c>
      <c r="I397" s="4">
        <v>115</v>
      </c>
      <c r="J397" s="5">
        <v>18400000</v>
      </c>
      <c r="K397" s="6">
        <f t="shared" si="228"/>
        <v>116</v>
      </c>
      <c r="L397" s="7">
        <f t="shared" si="216"/>
        <v>20608000</v>
      </c>
      <c r="M397" s="4">
        <f t="shared" si="229"/>
        <v>117</v>
      </c>
      <c r="N397" s="8">
        <f t="shared" si="217"/>
        <v>30912000</v>
      </c>
      <c r="O397" s="6">
        <f t="shared" si="230"/>
        <v>119</v>
      </c>
      <c r="P397" s="7">
        <f t="shared" si="218"/>
        <v>49459200</v>
      </c>
      <c r="Q397" s="4">
        <f t="shared" si="231"/>
        <v>121</v>
      </c>
      <c r="R397" s="8">
        <f t="shared" si="219"/>
        <v>64400000</v>
      </c>
      <c r="S397" s="6">
        <f t="shared" si="232"/>
        <v>123</v>
      </c>
      <c r="T397" s="7">
        <f t="shared" si="220"/>
        <v>134350421</v>
      </c>
      <c r="U397" s="4">
        <f t="shared" si="233"/>
        <v>126</v>
      </c>
      <c r="V397" s="8">
        <f t="shared" si="221"/>
        <v>344861588</v>
      </c>
      <c r="W397" s="6">
        <f t="shared" si="234"/>
        <v>130</v>
      </c>
      <c r="X397" s="7">
        <f t="shared" si="222"/>
        <v>844900633</v>
      </c>
      <c r="Y397" s="4">
        <f t="shared" si="235"/>
        <v>132</v>
      </c>
      <c r="Z397" s="8">
        <f t="shared" si="223"/>
        <v>1214426943</v>
      </c>
      <c r="AA397" s="6">
        <f t="shared" si="236"/>
        <v>134</v>
      </c>
      <c r="AB397" s="7">
        <f t="shared" si="224"/>
        <v>1700071922</v>
      </c>
      <c r="AC397" s="4">
        <f t="shared" si="237"/>
        <v>136</v>
      </c>
      <c r="AD397" s="8">
        <f t="shared" si="225"/>
        <v>2536367762</v>
      </c>
      <c r="AE397" s="6">
        <f t="shared" si="238"/>
        <v>139</v>
      </c>
      <c r="AF397" s="7">
        <f t="shared" si="226"/>
        <v>3802908783</v>
      </c>
      <c r="AG397" s="4">
        <f t="shared" si="239"/>
        <v>142</v>
      </c>
      <c r="AH397" s="8">
        <f t="shared" si="227"/>
        <v>12158943077</v>
      </c>
    </row>
    <row r="398" ht="27.75" customHeight="1" spans="1:34" x14ac:dyDescent="0.25">
      <c r="A398" s="3">
        <v>408</v>
      </c>
      <c r="B398" s="3" t="s">
        <v>518</v>
      </c>
      <c r="C398" s="3" t="s">
        <v>493</v>
      </c>
      <c r="D398" s="3" t="s">
        <v>33</v>
      </c>
      <c r="E398" s="3">
        <v>110</v>
      </c>
      <c r="F398" s="3" t="s">
        <v>482</v>
      </c>
      <c r="G398" s="3" t="s">
        <v>482</v>
      </c>
      <c r="H398" s="3">
        <v>23</v>
      </c>
      <c r="I398" s="4">
        <v>110</v>
      </c>
      <c r="J398" s="5">
        <v>606000</v>
      </c>
      <c r="K398" s="6">
        <f t="shared" si="228"/>
        <v>111</v>
      </c>
      <c r="L398" s="7">
        <f t="shared" si="216"/>
        <v>678720</v>
      </c>
      <c r="M398" s="4">
        <f t="shared" si="229"/>
        <v>112</v>
      </c>
      <c r="N398" s="8">
        <f t="shared" si="217"/>
        <v>1018080</v>
      </c>
      <c r="O398" s="6">
        <f t="shared" si="230"/>
        <v>114</v>
      </c>
      <c r="P398" s="7">
        <f t="shared" si="218"/>
        <v>1628928</v>
      </c>
      <c r="Q398" s="4">
        <f t="shared" si="231"/>
        <v>116</v>
      </c>
      <c r="R398" s="8">
        <f t="shared" si="219"/>
        <v>2121000</v>
      </c>
      <c r="S398" s="6">
        <f t="shared" si="232"/>
        <v>118</v>
      </c>
      <c r="T398" s="7">
        <f t="shared" si="220"/>
        <v>4424802</v>
      </c>
      <c r="U398" s="4">
        <f t="shared" si="233"/>
        <v>121</v>
      </c>
      <c r="V398" s="8">
        <f t="shared" si="221"/>
        <v>11357941</v>
      </c>
      <c r="W398" s="6">
        <f t="shared" si="234"/>
        <v>125</v>
      </c>
      <c r="X398" s="7">
        <f t="shared" si="222"/>
        <v>79331844</v>
      </c>
      <c r="Y398" s="4">
        <f t="shared" si="235"/>
        <v>127</v>
      </c>
      <c r="Z398" s="8">
        <f t="shared" si="223"/>
        <v>98946839</v>
      </c>
      <c r="AA398" s="6">
        <f t="shared" si="236"/>
        <v>129</v>
      </c>
      <c r="AB398" s="7">
        <f t="shared" si="224"/>
        <v>138407579</v>
      </c>
      <c r="AC398" s="4">
        <f t="shared" si="237"/>
        <v>131</v>
      </c>
      <c r="AD398" s="8">
        <f t="shared" si="225"/>
        <v>205546317</v>
      </c>
      <c r="AE398" s="6">
        <f t="shared" si="238"/>
        <v>134</v>
      </c>
      <c r="AF398" s="7">
        <f t="shared" si="226"/>
        <v>307853748</v>
      </c>
      <c r="AG398" s="4">
        <f t="shared" si="239"/>
        <v>137</v>
      </c>
      <c r="AH398" s="8">
        <f t="shared" si="227"/>
        <v>981386836</v>
      </c>
    </row>
    <row r="399" ht="27.75" customHeight="1" spans="1:34" x14ac:dyDescent="0.25">
      <c r="A399" s="3">
        <v>409</v>
      </c>
      <c r="B399" s="3" t="s">
        <v>519</v>
      </c>
      <c r="C399" s="3" t="s">
        <v>493</v>
      </c>
      <c r="D399" s="3" t="s">
        <v>33</v>
      </c>
      <c r="E399" s="3">
        <v>111</v>
      </c>
      <c r="F399" s="3" t="s">
        <v>482</v>
      </c>
      <c r="G399" s="3" t="s">
        <v>482</v>
      </c>
      <c r="H399" s="3">
        <v>23</v>
      </c>
      <c r="I399" s="4">
        <v>111</v>
      </c>
      <c r="J399" s="5">
        <v>166000</v>
      </c>
      <c r="K399" s="6">
        <f t="shared" si="228"/>
        <v>112</v>
      </c>
      <c r="L399" s="7">
        <f t="shared" si="216"/>
        <v>185920</v>
      </c>
      <c r="M399" s="4">
        <f t="shared" si="229"/>
        <v>113</v>
      </c>
      <c r="N399" s="8">
        <f t="shared" si="217"/>
        <v>278880</v>
      </c>
      <c r="O399" s="6">
        <f t="shared" si="230"/>
        <v>115</v>
      </c>
      <c r="P399" s="7">
        <f t="shared" si="218"/>
        <v>446208</v>
      </c>
      <c r="Q399" s="4">
        <f t="shared" si="231"/>
        <v>117</v>
      </c>
      <c r="R399" s="8">
        <f t="shared" si="219"/>
        <v>997546</v>
      </c>
      <c r="S399" s="6">
        <f t="shared" si="232"/>
        <v>119</v>
      </c>
      <c r="T399" s="7">
        <f t="shared" si="220"/>
        <v>1710477</v>
      </c>
      <c r="U399" s="4">
        <f t="shared" si="233"/>
        <v>122</v>
      </c>
      <c r="V399" s="8">
        <f t="shared" si="221"/>
        <v>10539552</v>
      </c>
      <c r="W399" s="6">
        <f t="shared" si="234"/>
        <v>126</v>
      </c>
      <c r="X399" s="7">
        <f t="shared" si="222"/>
        <v>125316229</v>
      </c>
      <c r="Y399" s="4">
        <f t="shared" si="235"/>
        <v>128</v>
      </c>
      <c r="Z399" s="8">
        <f t="shared" si="223"/>
        <v>163378844</v>
      </c>
      <c r="AA399" s="6">
        <f t="shared" si="236"/>
        <v>130</v>
      </c>
      <c r="AB399" s="7">
        <f t="shared" si="224"/>
        <v>228571120</v>
      </c>
      <c r="AC399" s="4">
        <f t="shared" si="237"/>
        <v>132</v>
      </c>
      <c r="AD399" s="8">
        <f t="shared" si="225"/>
        <v>339758401</v>
      </c>
      <c r="AE399" s="6">
        <f t="shared" si="238"/>
        <v>135</v>
      </c>
      <c r="AF399" s="7">
        <f t="shared" si="226"/>
        <v>508977681</v>
      </c>
      <c r="AG399" s="4">
        <f t="shared" si="239"/>
        <v>138</v>
      </c>
      <c r="AH399" s="8">
        <f t="shared" si="227"/>
        <v>1623496466</v>
      </c>
    </row>
    <row r="400" ht="27.75" customHeight="1" spans="1:34" x14ac:dyDescent="0.25">
      <c r="A400" s="3">
        <v>410</v>
      </c>
      <c r="B400" s="3" t="s">
        <v>520</v>
      </c>
      <c r="C400" s="3" t="s">
        <v>493</v>
      </c>
      <c r="D400" s="3" t="s">
        <v>40</v>
      </c>
      <c r="E400" s="3">
        <v>112</v>
      </c>
      <c r="F400" s="3" t="s">
        <v>482</v>
      </c>
      <c r="G400" s="3" t="s">
        <v>482</v>
      </c>
      <c r="H400" s="3">
        <v>24</v>
      </c>
      <c r="I400" s="4">
        <v>112</v>
      </c>
      <c r="J400" s="5">
        <v>147000</v>
      </c>
      <c r="K400" s="6">
        <f t="shared" si="228"/>
        <v>113</v>
      </c>
      <c r="L400" s="7">
        <f t="shared" si="216"/>
        <v>171853</v>
      </c>
      <c r="M400" s="4">
        <f t="shared" si="229"/>
        <v>114</v>
      </c>
      <c r="N400" s="8">
        <f t="shared" si="217"/>
        <v>246960</v>
      </c>
      <c r="O400" s="6">
        <f t="shared" si="230"/>
        <v>116</v>
      </c>
      <c r="P400" s="7">
        <f t="shared" si="218"/>
        <v>395136</v>
      </c>
      <c r="Q400" s="4">
        <f t="shared" si="231"/>
        <v>118</v>
      </c>
      <c r="R400" s="8">
        <f t="shared" si="219"/>
        <v>1426453</v>
      </c>
      <c r="S400" s="6">
        <f t="shared" si="232"/>
        <v>120</v>
      </c>
      <c r="T400" s="7">
        <f t="shared" si="220"/>
        <v>2697259</v>
      </c>
      <c r="U400" s="4">
        <f t="shared" si="233"/>
        <v>123</v>
      </c>
      <c r="V400" s="8">
        <f t="shared" si="221"/>
        <v>17306724</v>
      </c>
      <c r="W400" s="6">
        <f t="shared" si="234"/>
        <v>127</v>
      </c>
      <c r="X400" s="7">
        <f t="shared" si="222"/>
        <v>197955280</v>
      </c>
      <c r="Y400" s="4">
        <f t="shared" si="235"/>
        <v>129</v>
      </c>
      <c r="Z400" s="8">
        <f t="shared" si="223"/>
        <v>269767553</v>
      </c>
      <c r="AA400" s="6">
        <f t="shared" si="236"/>
        <v>131</v>
      </c>
      <c r="AB400" s="7">
        <f t="shared" si="224"/>
        <v>377470347</v>
      </c>
      <c r="AC400" s="4">
        <f t="shared" si="237"/>
        <v>133</v>
      </c>
      <c r="AD400" s="8">
        <f t="shared" si="225"/>
        <v>561604669</v>
      </c>
      <c r="AE400" s="6">
        <f t="shared" si="238"/>
        <v>136</v>
      </c>
      <c r="AF400" s="7">
        <f t="shared" si="226"/>
        <v>841497889</v>
      </c>
      <c r="AG400" s="4">
        <f t="shared" si="239"/>
        <v>139</v>
      </c>
      <c r="AH400" s="8">
        <f t="shared" si="227"/>
        <v>2685730721</v>
      </c>
    </row>
    <row r="401" ht="27.75" customHeight="1" spans="1:34" x14ac:dyDescent="0.25">
      <c r="A401" s="3">
        <v>411</v>
      </c>
      <c r="B401" s="3" t="s">
        <v>480</v>
      </c>
      <c r="C401" s="3" t="s">
        <v>493</v>
      </c>
      <c r="D401" s="3" t="s">
        <v>25</v>
      </c>
      <c r="E401" s="3">
        <v>118</v>
      </c>
      <c r="F401" s="3" t="s">
        <v>482</v>
      </c>
      <c r="G401" s="3" t="s">
        <v>482</v>
      </c>
      <c r="H401" s="3">
        <v>28</v>
      </c>
      <c r="I401" s="4">
        <v>118</v>
      </c>
      <c r="J401" s="5">
        <v>20700000</v>
      </c>
      <c r="K401" s="6">
        <f t="shared" si="228"/>
        <v>119</v>
      </c>
      <c r="L401" s="7">
        <f t="shared" si="216"/>
        <v>23184000</v>
      </c>
      <c r="M401" s="4">
        <f t="shared" si="229"/>
        <v>120</v>
      </c>
      <c r="N401" s="8">
        <f t="shared" si="217"/>
        <v>34776000</v>
      </c>
      <c r="O401" s="6">
        <f t="shared" si="230"/>
        <v>122</v>
      </c>
      <c r="P401" s="7">
        <f t="shared" si="218"/>
        <v>55641600</v>
      </c>
      <c r="Q401" s="4">
        <f t="shared" si="231"/>
        <v>124</v>
      </c>
      <c r="R401" s="8">
        <f t="shared" si="219"/>
        <v>72450000</v>
      </c>
      <c r="S401" s="6">
        <f t="shared" si="232"/>
        <v>126</v>
      </c>
      <c r="T401" s="7">
        <f t="shared" si="220"/>
        <v>151144224</v>
      </c>
      <c r="U401" s="4">
        <f t="shared" si="233"/>
        <v>129</v>
      </c>
      <c r="V401" s="8">
        <f t="shared" si="221"/>
        <v>387969286</v>
      </c>
      <c r="W401" s="6">
        <f t="shared" si="234"/>
        <v>133</v>
      </c>
      <c r="X401" s="7">
        <f t="shared" si="222"/>
        <v>3075570762</v>
      </c>
      <c r="Y401" s="4">
        <f t="shared" si="235"/>
        <v>135</v>
      </c>
      <c r="Z401" s="8">
        <f t="shared" si="223"/>
        <v>5467050358</v>
      </c>
      <c r="AA401" s="6">
        <f t="shared" si="236"/>
        <v>137</v>
      </c>
      <c r="AB401" s="7">
        <f t="shared" si="224"/>
        <v>7656878378</v>
      </c>
      <c r="AC401" s="4">
        <f t="shared" si="237"/>
        <v>139</v>
      </c>
      <c r="AD401" s="8">
        <f t="shared" si="225"/>
        <v>11454964290</v>
      </c>
      <c r="AE401" s="6">
        <f t="shared" si="238"/>
        <v>142</v>
      </c>
      <c r="AF401" s="7">
        <f t="shared" si="226"/>
        <v>17186157450</v>
      </c>
      <c r="AG401" s="4">
        <f t="shared" si="239"/>
        <v>145</v>
      </c>
      <c r="AH401" s="8">
        <f t="shared" si="227"/>
        <v>55046433200</v>
      </c>
    </row>
    <row r="402" ht="27.75" customHeight="1" spans="1:34" x14ac:dyDescent="0.25">
      <c r="A402" s="3">
        <v>412</v>
      </c>
      <c r="B402" s="3" t="s">
        <v>521</v>
      </c>
      <c r="C402" s="3" t="s">
        <v>493</v>
      </c>
      <c r="D402" s="3" t="s">
        <v>25</v>
      </c>
      <c r="E402" s="3">
        <v>116</v>
      </c>
      <c r="F402" s="3" t="s">
        <v>482</v>
      </c>
      <c r="G402" s="3" t="s">
        <v>482</v>
      </c>
      <c r="H402" s="3">
        <v>27</v>
      </c>
      <c r="I402" s="4">
        <v>116</v>
      </c>
      <c r="J402" s="5">
        <v>9780000</v>
      </c>
      <c r="K402" s="6">
        <f t="shared" si="228"/>
        <v>117</v>
      </c>
      <c r="L402" s="7">
        <f t="shared" si="216"/>
        <v>10953600</v>
      </c>
      <c r="M402" s="4">
        <f t="shared" si="229"/>
        <v>118</v>
      </c>
      <c r="N402" s="8">
        <f t="shared" si="217"/>
        <v>16430400</v>
      </c>
      <c r="O402" s="6">
        <f t="shared" si="230"/>
        <v>120</v>
      </c>
      <c r="P402" s="7">
        <f t="shared" si="218"/>
        <v>26288640</v>
      </c>
      <c r="Q402" s="4">
        <f t="shared" si="231"/>
        <v>122</v>
      </c>
      <c r="R402" s="8">
        <f t="shared" si="219"/>
        <v>34230000</v>
      </c>
      <c r="S402" s="6">
        <f t="shared" si="232"/>
        <v>124</v>
      </c>
      <c r="T402" s="7">
        <f t="shared" si="220"/>
        <v>71410170</v>
      </c>
      <c r="U402" s="4">
        <f t="shared" si="233"/>
        <v>127</v>
      </c>
      <c r="V402" s="8">
        <f t="shared" si="221"/>
        <v>183301431</v>
      </c>
      <c r="W402" s="6">
        <f t="shared" si="234"/>
        <v>131</v>
      </c>
      <c r="X402" s="7">
        <f t="shared" si="222"/>
        <v>1232554636</v>
      </c>
      <c r="Y402" s="4">
        <f t="shared" si="235"/>
        <v>133</v>
      </c>
      <c r="Z402" s="8">
        <f t="shared" si="223"/>
        <v>2005235050</v>
      </c>
      <c r="AA402" s="6">
        <f t="shared" si="236"/>
        <v>135</v>
      </c>
      <c r="AB402" s="7">
        <f t="shared" si="224"/>
        <v>2807558275</v>
      </c>
      <c r="AC402" s="4">
        <f t="shared" si="237"/>
        <v>137</v>
      </c>
      <c r="AD402" s="8">
        <f t="shared" si="225"/>
        <v>4192496701</v>
      </c>
      <c r="AE402" s="6">
        <f t="shared" si="238"/>
        <v>140</v>
      </c>
      <c r="AF402" s="7">
        <f t="shared" si="226"/>
        <v>6287387120</v>
      </c>
      <c r="AG402" s="4">
        <f t="shared" si="239"/>
        <v>143</v>
      </c>
      <c r="AH402" s="8">
        <f t="shared" si="227"/>
        <v>20114393624</v>
      </c>
    </row>
    <row r="403" ht="27.75" customHeight="1" spans="1:34" x14ac:dyDescent="0.25">
      <c r="A403" s="3">
        <v>413</v>
      </c>
      <c r="B403" s="3" t="s">
        <v>522</v>
      </c>
      <c r="C403" s="3" t="s">
        <v>493</v>
      </c>
      <c r="D403" s="3" t="s">
        <v>25</v>
      </c>
      <c r="E403" s="3">
        <v>116</v>
      </c>
      <c r="F403" s="3" t="s">
        <v>482</v>
      </c>
      <c r="G403" s="3" t="s">
        <v>482</v>
      </c>
      <c r="H403" s="3">
        <v>26</v>
      </c>
      <c r="I403" s="4">
        <v>116</v>
      </c>
      <c r="J403" s="5">
        <v>56300000</v>
      </c>
      <c r="K403" s="6">
        <f t="shared" si="228"/>
        <v>117</v>
      </c>
      <c r="L403" s="7">
        <f t="shared" si="216"/>
        <v>63056000</v>
      </c>
      <c r="M403" s="4">
        <f t="shared" si="229"/>
        <v>118</v>
      </c>
      <c r="N403" s="8">
        <f t="shared" si="217"/>
        <v>94584000</v>
      </c>
      <c r="O403" s="6">
        <f t="shared" si="230"/>
        <v>120</v>
      </c>
      <c r="P403" s="7">
        <f t="shared" si="218"/>
        <v>151334400</v>
      </c>
      <c r="Q403" s="4">
        <f t="shared" si="231"/>
        <v>122</v>
      </c>
      <c r="R403" s="8">
        <f t="shared" si="219"/>
        <v>197050000</v>
      </c>
      <c r="S403" s="6">
        <f t="shared" si="232"/>
        <v>124</v>
      </c>
      <c r="T403" s="7">
        <f t="shared" si="220"/>
        <v>411083083</v>
      </c>
      <c r="U403" s="4">
        <f t="shared" si="233"/>
        <v>127</v>
      </c>
      <c r="V403" s="8">
        <f t="shared" si="221"/>
        <v>1055201489</v>
      </c>
      <c r="W403" s="6">
        <f t="shared" si="234"/>
        <v>131</v>
      </c>
      <c r="X403" s="7">
        <f t="shared" si="222"/>
        <v>2585212262</v>
      </c>
      <c r="Y403" s="4">
        <f t="shared" si="235"/>
        <v>133</v>
      </c>
      <c r="Z403" s="8">
        <f t="shared" si="223"/>
        <v>3619297166</v>
      </c>
      <c r="AA403" s="6">
        <f t="shared" si="236"/>
        <v>135</v>
      </c>
      <c r="AB403" s="7">
        <f t="shared" si="224"/>
        <v>5067016033</v>
      </c>
      <c r="AC403" s="4">
        <f t="shared" si="237"/>
        <v>137</v>
      </c>
      <c r="AD403" s="8">
        <f t="shared" si="225"/>
        <v>7600524049</v>
      </c>
      <c r="AE403" s="6">
        <f t="shared" si="238"/>
        <v>140</v>
      </c>
      <c r="AF403" s="7">
        <f t="shared" si="226"/>
        <v>11400786074</v>
      </c>
      <c r="AG403" s="4">
        <f t="shared" si="239"/>
        <v>143</v>
      </c>
      <c r="AH403" s="8">
        <f t="shared" si="227"/>
        <v>36482515436</v>
      </c>
    </row>
    <row r="404" ht="27.75" customHeight="1" spans="1:34" x14ac:dyDescent="0.25">
      <c r="A404" s="3">
        <v>414</v>
      </c>
      <c r="B404" s="3" t="s">
        <v>523</v>
      </c>
      <c r="C404" s="3" t="s">
        <v>493</v>
      </c>
      <c r="D404" s="3" t="s">
        <v>45</v>
      </c>
      <c r="E404" s="3">
        <v>119</v>
      </c>
      <c r="F404" s="3" t="s">
        <v>482</v>
      </c>
      <c r="G404" s="3" t="s">
        <v>482</v>
      </c>
      <c r="H404" s="3">
        <v>28</v>
      </c>
      <c r="I404" s="4">
        <v>119</v>
      </c>
      <c r="J404" s="5">
        <v>33400000</v>
      </c>
      <c r="K404" s="6">
        <f t="shared" si="228"/>
        <v>120</v>
      </c>
      <c r="L404" s="7">
        <f t="shared" si="216"/>
        <v>37408000</v>
      </c>
      <c r="M404" s="4">
        <f t="shared" si="229"/>
        <v>121</v>
      </c>
      <c r="N404" s="8">
        <f t="shared" si="217"/>
        <v>56112000</v>
      </c>
      <c r="O404" s="6">
        <f t="shared" si="230"/>
        <v>123</v>
      </c>
      <c r="P404" s="7">
        <f t="shared" si="218"/>
        <v>89779200</v>
      </c>
      <c r="Q404" s="4">
        <f t="shared" si="231"/>
        <v>125</v>
      </c>
      <c r="R404" s="8">
        <f t="shared" si="219"/>
        <v>116900000</v>
      </c>
      <c r="S404" s="6">
        <f t="shared" si="232"/>
        <v>127</v>
      </c>
      <c r="T404" s="7">
        <f t="shared" si="220"/>
        <v>243875221</v>
      </c>
      <c r="U404" s="4">
        <f t="shared" si="233"/>
        <v>130</v>
      </c>
      <c r="V404" s="8">
        <f t="shared" si="221"/>
        <v>625998752</v>
      </c>
      <c r="W404" s="6">
        <f t="shared" si="234"/>
        <v>134</v>
      </c>
      <c r="X404" s="7">
        <f t="shared" si="222"/>
        <v>4858313052</v>
      </c>
      <c r="Y404" s="4">
        <f t="shared" si="235"/>
        <v>136</v>
      </c>
      <c r="Z404" s="8">
        <f t="shared" si="223"/>
        <v>9027073276</v>
      </c>
      <c r="AA404" s="6">
        <f t="shared" si="236"/>
        <v>138</v>
      </c>
      <c r="AB404" s="7">
        <f t="shared" si="224"/>
        <v>12644836943</v>
      </c>
      <c r="AC404" s="4">
        <f t="shared" si="237"/>
        <v>140</v>
      </c>
      <c r="AD404" s="8">
        <f t="shared" si="225"/>
        <v>18934517588</v>
      </c>
      <c r="AE404" s="6">
        <f t="shared" si="238"/>
        <v>143</v>
      </c>
      <c r="AF404" s="7">
        <f t="shared" si="226"/>
        <v>28414045974</v>
      </c>
      <c r="AG404" s="4">
        <f t="shared" si="239"/>
        <v>146</v>
      </c>
      <c r="AH404" s="8">
        <f t="shared" si="227"/>
        <v>91062653886</v>
      </c>
    </row>
    <row r="405" ht="27.75" customHeight="1" spans="1:34" x14ac:dyDescent="0.25">
      <c r="A405" s="3">
        <v>415</v>
      </c>
      <c r="B405" s="3" t="s">
        <v>524</v>
      </c>
      <c r="C405" s="3" t="s">
        <v>493</v>
      </c>
      <c r="D405" s="3" t="s">
        <v>64</v>
      </c>
      <c r="E405" s="3">
        <v>117</v>
      </c>
      <c r="F405" s="3" t="s">
        <v>482</v>
      </c>
      <c r="G405" s="3" t="s">
        <v>482</v>
      </c>
      <c r="H405" s="3">
        <v>28</v>
      </c>
      <c r="I405" s="4">
        <v>117</v>
      </c>
      <c r="J405" s="5">
        <v>4140000</v>
      </c>
      <c r="K405" s="6">
        <f t="shared" si="228"/>
        <v>118</v>
      </c>
      <c r="L405" s="7">
        <f t="shared" si="216"/>
        <v>4636800</v>
      </c>
      <c r="M405" s="4">
        <f t="shared" si="229"/>
        <v>119</v>
      </c>
      <c r="N405" s="8">
        <f t="shared" si="217"/>
        <v>6955200</v>
      </c>
      <c r="O405" s="6">
        <f t="shared" si="230"/>
        <v>121</v>
      </c>
      <c r="P405" s="7">
        <f t="shared" si="218"/>
        <v>11128320</v>
      </c>
      <c r="Q405" s="4">
        <f t="shared" si="231"/>
        <v>123</v>
      </c>
      <c r="R405" s="8">
        <f t="shared" si="219"/>
        <v>14490000</v>
      </c>
      <c r="S405" s="6">
        <f t="shared" si="232"/>
        <v>125</v>
      </c>
      <c r="T405" s="7">
        <f t="shared" si="220"/>
        <v>30228845</v>
      </c>
      <c r="U405" s="4">
        <f t="shared" si="233"/>
        <v>128</v>
      </c>
      <c r="V405" s="8">
        <f t="shared" si="221"/>
        <v>206622917</v>
      </c>
      <c r="W405" s="6">
        <f t="shared" si="234"/>
        <v>132</v>
      </c>
      <c r="X405" s="7">
        <f t="shared" si="222"/>
        <v>1947000000</v>
      </c>
      <c r="Y405" s="4">
        <f t="shared" si="235"/>
        <v>134</v>
      </c>
      <c r="Z405" s="8">
        <f t="shared" si="223"/>
        <v>3311000000</v>
      </c>
      <c r="AA405" s="6">
        <f t="shared" si="236"/>
        <v>136</v>
      </c>
      <c r="AB405" s="7">
        <f t="shared" si="224"/>
        <v>4636500000</v>
      </c>
      <c r="AC405" s="4">
        <f t="shared" si="237"/>
        <v>138</v>
      </c>
      <c r="AD405" s="8">
        <f t="shared" si="225"/>
        <v>6930000000</v>
      </c>
      <c r="AE405" s="6">
        <f t="shared" si="238"/>
        <v>141</v>
      </c>
      <c r="AF405" s="7">
        <f t="shared" si="226"/>
        <v>10395000000</v>
      </c>
      <c r="AG405" s="4">
        <f t="shared" si="239"/>
        <v>144</v>
      </c>
      <c r="AH405" s="8">
        <f t="shared" si="227"/>
        <v>33275000000</v>
      </c>
    </row>
    <row r="406" ht="27.75" customHeight="1" spans="1:34" x14ac:dyDescent="0.25">
      <c r="A406" s="3">
        <v>416</v>
      </c>
      <c r="B406" s="3" t="s">
        <v>525</v>
      </c>
      <c r="C406" s="3" t="s">
        <v>493</v>
      </c>
      <c r="D406" s="3" t="s">
        <v>64</v>
      </c>
      <c r="E406" s="3">
        <v>109</v>
      </c>
      <c r="F406" s="3" t="s">
        <v>482</v>
      </c>
      <c r="G406" s="3" t="s">
        <v>482</v>
      </c>
      <c r="H406" s="3">
        <v>23</v>
      </c>
      <c r="I406" s="4">
        <v>109</v>
      </c>
      <c r="J406" s="5">
        <v>3740000</v>
      </c>
      <c r="K406" s="6">
        <f t="shared" si="228"/>
        <v>110</v>
      </c>
      <c r="L406" s="7">
        <f t="shared" si="216"/>
        <v>4188800</v>
      </c>
      <c r="M406" s="4">
        <f t="shared" si="229"/>
        <v>111</v>
      </c>
      <c r="N406" s="8">
        <f t="shared" si="217"/>
        <v>6283200</v>
      </c>
      <c r="O406" s="6">
        <f t="shared" si="230"/>
        <v>113</v>
      </c>
      <c r="P406" s="7">
        <f t="shared" si="218"/>
        <v>10053120</v>
      </c>
      <c r="Q406" s="4">
        <f t="shared" si="231"/>
        <v>115</v>
      </c>
      <c r="R406" s="8">
        <f t="shared" si="219"/>
        <v>13090000</v>
      </c>
      <c r="S406" s="6">
        <f t="shared" si="232"/>
        <v>117</v>
      </c>
      <c r="T406" s="7">
        <f t="shared" si="220"/>
        <v>27308183</v>
      </c>
      <c r="U406" s="4">
        <f t="shared" si="233"/>
        <v>120</v>
      </c>
      <c r="V406" s="8">
        <f t="shared" si="221"/>
        <v>70096866</v>
      </c>
      <c r="W406" s="6">
        <f t="shared" si="234"/>
        <v>124</v>
      </c>
      <c r="X406" s="7">
        <f t="shared" si="222"/>
        <v>171735237</v>
      </c>
      <c r="Y406" s="4">
        <f t="shared" si="235"/>
        <v>126</v>
      </c>
      <c r="Z406" s="8">
        <f t="shared" si="223"/>
        <v>240429332</v>
      </c>
      <c r="AA406" s="6">
        <f t="shared" si="236"/>
        <v>128</v>
      </c>
      <c r="AB406" s="7">
        <f t="shared" si="224"/>
        <v>336601065</v>
      </c>
      <c r="AC406" s="4">
        <f t="shared" si="237"/>
        <v>130</v>
      </c>
      <c r="AD406" s="8">
        <f t="shared" si="225"/>
        <v>504901598</v>
      </c>
      <c r="AE406" s="6">
        <f t="shared" si="238"/>
        <v>133</v>
      </c>
      <c r="AF406" s="7">
        <f t="shared" si="226"/>
        <v>757352396</v>
      </c>
      <c r="AG406" s="4">
        <f t="shared" si="239"/>
        <v>136</v>
      </c>
      <c r="AH406" s="8">
        <f t="shared" si="227"/>
        <v>2423527668</v>
      </c>
    </row>
    <row r="407" ht="27.75" customHeight="1" spans="1:34" x14ac:dyDescent="0.25">
      <c r="A407" s="3">
        <v>417</v>
      </c>
      <c r="B407" s="3" t="s">
        <v>526</v>
      </c>
      <c r="C407" s="3" t="s">
        <v>493</v>
      </c>
      <c r="D407" s="3" t="s">
        <v>40</v>
      </c>
      <c r="E407" s="3">
        <v>115</v>
      </c>
      <c r="F407" s="3" t="s">
        <v>482</v>
      </c>
      <c r="G407" s="3" t="s">
        <v>482</v>
      </c>
      <c r="H407" s="3">
        <v>26</v>
      </c>
      <c r="I407" s="4">
        <v>115</v>
      </c>
      <c r="J407" s="5">
        <v>11900000</v>
      </c>
      <c r="K407" s="6">
        <f t="shared" si="228"/>
        <v>116</v>
      </c>
      <c r="L407" s="7">
        <f t="shared" si="216"/>
        <v>13328000</v>
      </c>
      <c r="M407" s="4">
        <f t="shared" si="229"/>
        <v>117</v>
      </c>
      <c r="N407" s="8">
        <f t="shared" si="217"/>
        <v>19992000</v>
      </c>
      <c r="O407" s="6">
        <f t="shared" si="230"/>
        <v>119</v>
      </c>
      <c r="P407" s="7">
        <f t="shared" si="218"/>
        <v>31987200</v>
      </c>
      <c r="Q407" s="4">
        <f t="shared" si="231"/>
        <v>121</v>
      </c>
      <c r="R407" s="8">
        <f t="shared" si="219"/>
        <v>41650000</v>
      </c>
      <c r="S407" s="6">
        <f t="shared" si="232"/>
        <v>123</v>
      </c>
      <c r="T407" s="7">
        <f t="shared" si="220"/>
        <v>86889675</v>
      </c>
      <c r="U407" s="4">
        <f t="shared" si="233"/>
        <v>126</v>
      </c>
      <c r="V407" s="8">
        <f t="shared" si="221"/>
        <v>223035483</v>
      </c>
      <c r="W407" s="6">
        <f t="shared" si="234"/>
        <v>130</v>
      </c>
      <c r="X407" s="7">
        <f t="shared" si="222"/>
        <v>780272691</v>
      </c>
      <c r="Y407" s="4">
        <f t="shared" si="235"/>
        <v>132</v>
      </c>
      <c r="Z407" s="8">
        <f t="shared" si="223"/>
        <v>1214426943</v>
      </c>
      <c r="AA407" s="6">
        <f t="shared" si="236"/>
        <v>134</v>
      </c>
      <c r="AB407" s="7">
        <f t="shared" si="224"/>
        <v>1700071922</v>
      </c>
      <c r="AC407" s="4">
        <f t="shared" si="237"/>
        <v>136</v>
      </c>
      <c r="AD407" s="8">
        <f t="shared" si="225"/>
        <v>2536367762</v>
      </c>
      <c r="AE407" s="6">
        <f t="shared" si="238"/>
        <v>139</v>
      </c>
      <c r="AF407" s="7">
        <f t="shared" si="226"/>
        <v>3802908783</v>
      </c>
      <c r="AG407" s="4">
        <f t="shared" si="239"/>
        <v>142</v>
      </c>
      <c r="AH407" s="8">
        <f t="shared" si="227"/>
        <v>12158943077</v>
      </c>
    </row>
    <row r="408" ht="27.75" customHeight="1" spans="1:34" x14ac:dyDescent="0.25">
      <c r="A408" s="3">
        <v>418</v>
      </c>
      <c r="B408" s="3" t="s">
        <v>527</v>
      </c>
      <c r="C408" s="3" t="s">
        <v>493</v>
      </c>
      <c r="D408" s="3" t="s">
        <v>45</v>
      </c>
      <c r="E408" s="3">
        <v>110</v>
      </c>
      <c r="F408" s="3" t="s">
        <v>482</v>
      </c>
      <c r="G408" s="3" t="s">
        <v>482</v>
      </c>
      <c r="H408" s="3">
        <v>24</v>
      </c>
      <c r="I408" s="4">
        <v>110</v>
      </c>
      <c r="J408" s="5">
        <v>601000</v>
      </c>
      <c r="K408" s="6">
        <f t="shared" si="228"/>
        <v>111</v>
      </c>
      <c r="L408" s="7">
        <f t="shared" si="216"/>
        <v>673120</v>
      </c>
      <c r="M408" s="4">
        <f t="shared" si="229"/>
        <v>112</v>
      </c>
      <c r="N408" s="8">
        <f t="shared" si="217"/>
        <v>1009680</v>
      </c>
      <c r="O408" s="6">
        <f t="shared" si="230"/>
        <v>114</v>
      </c>
      <c r="P408" s="7">
        <f t="shared" si="218"/>
        <v>1615488</v>
      </c>
      <c r="Q408" s="4">
        <f t="shared" si="231"/>
        <v>116</v>
      </c>
      <c r="R408" s="8">
        <f t="shared" si="219"/>
        <v>2103500</v>
      </c>
      <c r="S408" s="6">
        <f t="shared" si="232"/>
        <v>118</v>
      </c>
      <c r="T408" s="7">
        <f t="shared" si="220"/>
        <v>4388294</v>
      </c>
      <c r="U408" s="4">
        <f t="shared" si="233"/>
        <v>121</v>
      </c>
      <c r="V408" s="8">
        <f t="shared" si="221"/>
        <v>11264229</v>
      </c>
      <c r="W408" s="6">
        <f t="shared" si="234"/>
        <v>125</v>
      </c>
      <c r="X408" s="7">
        <f t="shared" si="222"/>
        <v>79331844</v>
      </c>
      <c r="Y408" s="4">
        <f t="shared" si="235"/>
        <v>127</v>
      </c>
      <c r="Z408" s="8">
        <f t="shared" si="223"/>
        <v>98946839</v>
      </c>
      <c r="AA408" s="6">
        <f t="shared" si="236"/>
        <v>129</v>
      </c>
      <c r="AB408" s="7">
        <f t="shared" si="224"/>
        <v>138407579</v>
      </c>
      <c r="AC408" s="4">
        <f t="shared" si="237"/>
        <v>131</v>
      </c>
      <c r="AD408" s="8">
        <f t="shared" si="225"/>
        <v>205546317</v>
      </c>
      <c r="AE408" s="6">
        <f t="shared" si="238"/>
        <v>134</v>
      </c>
      <c r="AF408" s="7">
        <f t="shared" si="226"/>
        <v>307853748</v>
      </c>
      <c r="AG408" s="4">
        <f t="shared" si="239"/>
        <v>137</v>
      </c>
      <c r="AH408" s="8">
        <f t="shared" si="227"/>
        <v>981386836</v>
      </c>
    </row>
    <row r="409" ht="27.75" customHeight="1" spans="1:34" x14ac:dyDescent="0.25">
      <c r="A409" s="3">
        <v>419</v>
      </c>
      <c r="B409" s="3" t="s">
        <v>528</v>
      </c>
      <c r="C409" s="3" t="s">
        <v>493</v>
      </c>
      <c r="D409" s="3" t="s">
        <v>79</v>
      </c>
      <c r="E409" s="3">
        <v>113</v>
      </c>
      <c r="F409" s="3" t="s">
        <v>482</v>
      </c>
      <c r="G409" s="3" t="s">
        <v>482</v>
      </c>
      <c r="H409" s="3">
        <v>24</v>
      </c>
      <c r="I409" s="4">
        <v>113</v>
      </c>
      <c r="J409" s="5">
        <v>402000</v>
      </c>
      <c r="K409" s="6">
        <f t="shared" si="228"/>
        <v>114</v>
      </c>
      <c r="L409" s="7">
        <f t="shared" si="216"/>
        <v>450240</v>
      </c>
      <c r="M409" s="4">
        <f t="shared" si="229"/>
        <v>115</v>
      </c>
      <c r="N409" s="8">
        <f t="shared" si="217"/>
        <v>675360</v>
      </c>
      <c r="O409" s="6">
        <f t="shared" si="230"/>
        <v>117</v>
      </c>
      <c r="P409" s="7">
        <f t="shared" si="218"/>
        <v>1080576</v>
      </c>
      <c r="Q409" s="4">
        <f t="shared" si="231"/>
        <v>119</v>
      </c>
      <c r="R409" s="8">
        <f t="shared" si="219"/>
        <v>2039774</v>
      </c>
      <c r="S409" s="6">
        <f t="shared" si="232"/>
        <v>121</v>
      </c>
      <c r="T409" s="7">
        <f t="shared" si="220"/>
        <v>4253318</v>
      </c>
      <c r="U409" s="4">
        <f t="shared" si="233"/>
        <v>124</v>
      </c>
      <c r="V409" s="8">
        <f t="shared" si="221"/>
        <v>28418921</v>
      </c>
      <c r="W409" s="6">
        <f t="shared" si="234"/>
        <v>128</v>
      </c>
      <c r="X409" s="7">
        <f t="shared" si="222"/>
        <v>312699267</v>
      </c>
      <c r="Y409" s="4">
        <f t="shared" si="235"/>
        <v>130</v>
      </c>
      <c r="Z409" s="8">
        <f t="shared" si="223"/>
        <v>445434249</v>
      </c>
      <c r="AA409" s="6">
        <f t="shared" si="236"/>
        <v>132</v>
      </c>
      <c r="AB409" s="7">
        <f t="shared" si="224"/>
        <v>623367743</v>
      </c>
      <c r="AC409" s="4">
        <f t="shared" si="237"/>
        <v>134</v>
      </c>
      <c r="AD409" s="8">
        <f t="shared" si="225"/>
        <v>928306122</v>
      </c>
      <c r="AE409" s="6">
        <f t="shared" si="238"/>
        <v>137</v>
      </c>
      <c r="AF409" s="7">
        <f t="shared" si="226"/>
        <v>1391256875</v>
      </c>
      <c r="AG409" s="4">
        <f t="shared" si="239"/>
        <v>140</v>
      </c>
      <c r="AH409" s="8">
        <f t="shared" si="227"/>
        <v>4442972103</v>
      </c>
    </row>
    <row r="410" ht="27.75" customHeight="1" spans="1:34" x14ac:dyDescent="0.25">
      <c r="A410" s="3">
        <v>420</v>
      </c>
      <c r="B410" s="3" t="s">
        <v>529</v>
      </c>
      <c r="C410" s="3" t="s">
        <v>493</v>
      </c>
      <c r="D410" s="3" t="s">
        <v>33</v>
      </c>
      <c r="E410" s="3">
        <v>113</v>
      </c>
      <c r="F410" s="3" t="s">
        <v>482</v>
      </c>
      <c r="G410" s="3" t="s">
        <v>482</v>
      </c>
      <c r="H410" s="3">
        <v>24</v>
      </c>
      <c r="I410" s="4">
        <v>113</v>
      </c>
      <c r="J410" s="5">
        <v>618000</v>
      </c>
      <c r="K410" s="6">
        <f t="shared" si="228"/>
        <v>114</v>
      </c>
      <c r="L410" s="7">
        <f t="shared" si="216"/>
        <v>692160</v>
      </c>
      <c r="M410" s="4">
        <f t="shared" si="229"/>
        <v>115</v>
      </c>
      <c r="N410" s="8">
        <f t="shared" si="217"/>
        <v>1038240</v>
      </c>
      <c r="O410" s="6">
        <f t="shared" si="230"/>
        <v>117</v>
      </c>
      <c r="P410" s="7">
        <f t="shared" si="218"/>
        <v>1661184</v>
      </c>
      <c r="Q410" s="4">
        <f t="shared" si="231"/>
        <v>119</v>
      </c>
      <c r="R410" s="8">
        <f t="shared" si="219"/>
        <v>2163000</v>
      </c>
      <c r="S410" s="6">
        <f t="shared" si="232"/>
        <v>121</v>
      </c>
      <c r="T410" s="7">
        <f t="shared" si="220"/>
        <v>4512422</v>
      </c>
      <c r="U410" s="4">
        <f t="shared" si="233"/>
        <v>124</v>
      </c>
      <c r="V410" s="8">
        <f t="shared" si="221"/>
        <v>28418921</v>
      </c>
      <c r="W410" s="6">
        <f t="shared" si="234"/>
        <v>128</v>
      </c>
      <c r="X410" s="7">
        <f t="shared" si="222"/>
        <v>312699267</v>
      </c>
      <c r="Y410" s="4">
        <f t="shared" si="235"/>
        <v>130</v>
      </c>
      <c r="Z410" s="8">
        <f t="shared" si="223"/>
        <v>445434249</v>
      </c>
      <c r="AA410" s="6">
        <f t="shared" si="236"/>
        <v>132</v>
      </c>
      <c r="AB410" s="7">
        <f t="shared" si="224"/>
        <v>623367743</v>
      </c>
      <c r="AC410" s="4">
        <f t="shared" si="237"/>
        <v>134</v>
      </c>
      <c r="AD410" s="8">
        <f t="shared" si="225"/>
        <v>928306122</v>
      </c>
      <c r="AE410" s="6">
        <f t="shared" si="238"/>
        <v>137</v>
      </c>
      <c r="AF410" s="7">
        <f t="shared" si="226"/>
        <v>1391256875</v>
      </c>
      <c r="AG410" s="4">
        <f t="shared" si="239"/>
        <v>140</v>
      </c>
      <c r="AH410" s="8">
        <f t="shared" si="227"/>
        <v>4442972103</v>
      </c>
    </row>
    <row r="411" ht="27.75" customHeight="1" spans="1:34" x14ac:dyDescent="0.25">
      <c r="A411" s="3">
        <v>421</v>
      </c>
      <c r="B411" s="3" t="s">
        <v>530</v>
      </c>
      <c r="C411" s="3" t="s">
        <v>493</v>
      </c>
      <c r="D411" s="3" t="s">
        <v>40</v>
      </c>
      <c r="E411" s="3">
        <v>118</v>
      </c>
      <c r="F411" s="3" t="s">
        <v>482</v>
      </c>
      <c r="G411" s="3" t="s">
        <v>482</v>
      </c>
      <c r="H411" s="3">
        <v>28</v>
      </c>
      <c r="I411" s="4">
        <v>118</v>
      </c>
      <c r="J411" s="5">
        <v>25100000</v>
      </c>
      <c r="K411" s="6">
        <f t="shared" si="228"/>
        <v>119</v>
      </c>
      <c r="L411" s="7">
        <f t="shared" si="216"/>
        <v>28112000</v>
      </c>
      <c r="M411" s="4">
        <f t="shared" si="229"/>
        <v>120</v>
      </c>
      <c r="N411" s="8">
        <f t="shared" si="217"/>
        <v>42168000</v>
      </c>
      <c r="O411" s="6">
        <f t="shared" si="230"/>
        <v>122</v>
      </c>
      <c r="P411" s="7">
        <f t="shared" si="218"/>
        <v>67468800</v>
      </c>
      <c r="Q411" s="4">
        <f t="shared" si="231"/>
        <v>124</v>
      </c>
      <c r="R411" s="8">
        <f t="shared" si="219"/>
        <v>87850000</v>
      </c>
      <c r="S411" s="6">
        <f t="shared" si="232"/>
        <v>126</v>
      </c>
      <c r="T411" s="7">
        <f t="shared" si="220"/>
        <v>183271499</v>
      </c>
      <c r="U411" s="4">
        <f t="shared" si="233"/>
        <v>129</v>
      </c>
      <c r="V411" s="8">
        <f t="shared" si="221"/>
        <v>470436188</v>
      </c>
      <c r="W411" s="6">
        <f t="shared" si="234"/>
        <v>133</v>
      </c>
      <c r="X411" s="7">
        <f t="shared" si="222"/>
        <v>3075570762</v>
      </c>
      <c r="Y411" s="4">
        <f t="shared" si="235"/>
        <v>135</v>
      </c>
      <c r="Z411" s="8">
        <f t="shared" si="223"/>
        <v>5467050358</v>
      </c>
      <c r="AA411" s="6">
        <f t="shared" si="236"/>
        <v>137</v>
      </c>
      <c r="AB411" s="7">
        <f t="shared" si="224"/>
        <v>7656878378</v>
      </c>
      <c r="AC411" s="4">
        <f t="shared" si="237"/>
        <v>139</v>
      </c>
      <c r="AD411" s="8">
        <f t="shared" si="225"/>
        <v>11454964290</v>
      </c>
      <c r="AE411" s="6">
        <f t="shared" si="238"/>
        <v>142</v>
      </c>
      <c r="AF411" s="7">
        <f t="shared" si="226"/>
        <v>17186157450</v>
      </c>
      <c r="AG411" s="4">
        <f t="shared" si="239"/>
        <v>145</v>
      </c>
      <c r="AH411" s="8">
        <f t="shared" si="227"/>
        <v>55046433200</v>
      </c>
    </row>
    <row r="412" ht="27.75" customHeight="1" spans="1:34" x14ac:dyDescent="0.25">
      <c r="A412" s="3">
        <v>422</v>
      </c>
      <c r="B412" s="3" t="s">
        <v>531</v>
      </c>
      <c r="C412" s="3" t="s">
        <v>493</v>
      </c>
      <c r="D412" s="3" t="s">
        <v>40</v>
      </c>
      <c r="E412" s="3">
        <v>117</v>
      </c>
      <c r="F412" s="3" t="s">
        <v>482</v>
      </c>
      <c r="G412" s="3" t="s">
        <v>482</v>
      </c>
      <c r="H412" s="3">
        <v>27</v>
      </c>
      <c r="I412" s="4">
        <v>117</v>
      </c>
      <c r="J412" s="5">
        <v>5480000</v>
      </c>
      <c r="K412" s="6">
        <f t="shared" si="228"/>
        <v>118</v>
      </c>
      <c r="L412" s="7">
        <f t="shared" si="216"/>
        <v>6137600</v>
      </c>
      <c r="M412" s="4">
        <f t="shared" si="229"/>
        <v>119</v>
      </c>
      <c r="N412" s="8">
        <f t="shared" si="217"/>
        <v>9206400</v>
      </c>
      <c r="O412" s="6">
        <f t="shared" si="230"/>
        <v>121</v>
      </c>
      <c r="P412" s="7">
        <f t="shared" si="218"/>
        <v>14730240</v>
      </c>
      <c r="Q412" s="4">
        <f t="shared" si="231"/>
        <v>123</v>
      </c>
      <c r="R412" s="8">
        <f t="shared" si="219"/>
        <v>19180000</v>
      </c>
      <c r="S412" s="6">
        <f t="shared" si="232"/>
        <v>125</v>
      </c>
      <c r="T412" s="7">
        <f t="shared" si="220"/>
        <v>40013060</v>
      </c>
      <c r="U412" s="4">
        <f t="shared" si="233"/>
        <v>128</v>
      </c>
      <c r="V412" s="8">
        <f t="shared" si="221"/>
        <v>206622917</v>
      </c>
      <c r="W412" s="6">
        <f t="shared" si="234"/>
        <v>132</v>
      </c>
      <c r="X412" s="7">
        <f t="shared" si="222"/>
        <v>1947000000</v>
      </c>
      <c r="Y412" s="4">
        <f t="shared" si="235"/>
        <v>134</v>
      </c>
      <c r="Z412" s="8">
        <f t="shared" si="223"/>
        <v>3311000000</v>
      </c>
      <c r="AA412" s="6">
        <f t="shared" si="236"/>
        <v>136</v>
      </c>
      <c r="AB412" s="7">
        <f t="shared" si="224"/>
        <v>4636500000</v>
      </c>
      <c r="AC412" s="4">
        <f t="shared" si="237"/>
        <v>138</v>
      </c>
      <c r="AD412" s="8">
        <f t="shared" si="225"/>
        <v>6930000000</v>
      </c>
      <c r="AE412" s="6">
        <f t="shared" si="238"/>
        <v>141</v>
      </c>
      <c r="AF412" s="7">
        <f t="shared" si="226"/>
        <v>10395000000</v>
      </c>
      <c r="AG412" s="4">
        <f t="shared" si="239"/>
        <v>144</v>
      </c>
      <c r="AH412" s="8">
        <f t="shared" si="227"/>
        <v>33275000000</v>
      </c>
    </row>
    <row r="413" ht="27.75" customHeight="1" spans="1:34" x14ac:dyDescent="0.25">
      <c r="A413" s="3">
        <v>423</v>
      </c>
      <c r="B413" s="3" t="s">
        <v>480</v>
      </c>
      <c r="C413" s="3" t="s">
        <v>532</v>
      </c>
      <c r="D413" s="3" t="s">
        <v>64</v>
      </c>
      <c r="E413" s="3">
        <v>119</v>
      </c>
      <c r="F413" s="3" t="s">
        <v>482</v>
      </c>
      <c r="G413" s="3" t="s">
        <v>482</v>
      </c>
      <c r="H413" s="3">
        <v>30</v>
      </c>
      <c r="I413" s="4">
        <v>119</v>
      </c>
      <c r="J413" s="5">
        <v>0</v>
      </c>
      <c r="K413" s="6">
        <f t="shared" si="228"/>
        <v>120</v>
      </c>
      <c r="L413" s="7">
        <f t="shared" si="216"/>
        <v>0</v>
      </c>
      <c r="M413" s="4">
        <f t="shared" si="229"/>
        <v>121</v>
      </c>
      <c r="N413" s="8">
        <f t="shared" si="217"/>
        <v>0</v>
      </c>
      <c r="O413" s="6">
        <f t="shared" si="230"/>
        <v>123</v>
      </c>
      <c r="P413" s="7">
        <f t="shared" si="218"/>
        <v>0</v>
      </c>
      <c r="Q413" s="4">
        <f t="shared" si="231"/>
        <v>125</v>
      </c>
      <c r="R413" s="8">
        <f t="shared" si="219"/>
        <v>0</v>
      </c>
      <c r="S413" s="6">
        <f t="shared" si="232"/>
        <v>127</v>
      </c>
      <c r="T413" s="7">
        <f t="shared" si="220"/>
        <v>0</v>
      </c>
      <c r="U413" s="4">
        <f t="shared" si="233"/>
        <v>130</v>
      </c>
      <c r="V413" s="8">
        <f t="shared" si="221"/>
        <v>0</v>
      </c>
      <c r="W413" s="6">
        <f t="shared" si="234"/>
        <v>134</v>
      </c>
      <c r="X413" s="7">
        <f t="shared" si="222"/>
        <v>0</v>
      </c>
      <c r="Y413" s="4">
        <f t="shared" si="235"/>
        <v>136</v>
      </c>
      <c r="Z413" s="8">
        <f t="shared" si="223"/>
        <v>0</v>
      </c>
      <c r="AA413" s="6">
        <f t="shared" si="236"/>
        <v>138</v>
      </c>
      <c r="AB413" s="7">
        <f t="shared" si="224"/>
        <v>0</v>
      </c>
      <c r="AC413" s="4">
        <f t="shared" si="237"/>
        <v>140</v>
      </c>
      <c r="AD413" s="8">
        <f t="shared" si="225"/>
        <v>0</v>
      </c>
      <c r="AE413" s="6">
        <f t="shared" si="238"/>
        <v>143</v>
      </c>
      <c r="AF413" s="7">
        <f t="shared" si="226"/>
        <v>0</v>
      </c>
      <c r="AG413" s="4">
        <f t="shared" si="239"/>
        <v>146</v>
      </c>
      <c r="AH413" s="8">
        <f t="shared" si="227"/>
        <v>0</v>
      </c>
    </row>
    <row r="414" ht="27.75" customHeight="1" spans="1:34" x14ac:dyDescent="0.25">
      <c r="A414" s="3">
        <v>424</v>
      </c>
      <c r="B414" s="3" t="s">
        <v>271</v>
      </c>
      <c r="C414" s="3" t="s">
        <v>532</v>
      </c>
      <c r="D414" s="3" t="s">
        <v>40</v>
      </c>
      <c r="E414" s="3">
        <v>125</v>
      </c>
      <c r="F414" s="3" t="s">
        <v>258</v>
      </c>
      <c r="G414" s="3" t="s">
        <v>270</v>
      </c>
      <c r="H414" s="3">
        <v>34</v>
      </c>
      <c r="I414" s="4">
        <v>125</v>
      </c>
      <c r="J414" s="5">
        <v>6200000000</v>
      </c>
      <c r="K414" s="6">
        <f t="shared" si="228"/>
        <v>126</v>
      </c>
      <c r="L414" s="7">
        <f>IF($J414=0,0,ROUND(MAX($J414*1.4*1,4020000*(1.354082^(MIN($E414,123)-118))),0))</f>
        <v>8680000000</v>
      </c>
      <c r="M414" s="4">
        <f t="shared" si="229"/>
        <v>127</v>
      </c>
      <c r="N414" s="8">
        <f>IF($J414=0,0,ROUND(MAX($J414*1.4*1.5*1,6950000*(1.375334^(MIN($E414,123)-118))),0))</f>
        <v>13020000000</v>
      </c>
      <c r="O414" s="6">
        <f t="shared" si="230"/>
        <v>129</v>
      </c>
      <c r="P414" s="7">
        <f>IF($J414=0,0,ROUND(MAX($J414*1.4*1.5*1.6*1,23900000*(1.1788^(MIN($E414,123)-118))),0))</f>
        <v>20832000000</v>
      </c>
      <c r="Q414" s="4">
        <f t="shared" si="231"/>
        <v>131</v>
      </c>
      <c r="R414" s="8">
        <f>IF($J414=0,0,ROUND(MAX($J414*1.4*1.5*1.6*1.6*1.25,77000000*(1.127009^(MIN($E414,123)-118))),0))</f>
        <v>41664000000</v>
      </c>
      <c r="S414" s="6">
        <f t="shared" si="232"/>
        <v>133</v>
      </c>
      <c r="T414" s="7">
        <f>IF($J414=0,0,ROUND(MAX($J414*1.4*1.5*1.6*1.6*2.2*1.25,270000000*(1.248411^(MIN($E414,123)-118))),0))</f>
        <v>91660800000</v>
      </c>
      <c r="U414" s="4">
        <f t="shared" si="233"/>
        <v>136</v>
      </c>
      <c r="V414" s="8">
        <f>IF($J414=0,0,ROUND(MAX($J414*1.4*1.5*1.6*1.6*2.2*2.715*1.25,2400000000*(1.293039^(MIN($E414,123)-118))),0))</f>
        <v>248859072000</v>
      </c>
      <c r="W414" s="6">
        <f t="shared" si="234"/>
        <v>140</v>
      </c>
      <c r="X414" s="7">
        <f>IF($J414=0,0,ROUND(MAX($J414*1.4*1.5*1.6*1.6*2.2*2.715*2.6*1.25,20000000000*(1.280114^(MIN($E414,123)-118))),0))</f>
        <v>647033587200</v>
      </c>
      <c r="Y414" s="4">
        <f t="shared" si="235"/>
        <v>142</v>
      </c>
      <c r="Z414" s="8">
        <f>IF($J414=0,0,ROUND(MAX($J414*1.4*1.5*1.6*1.6*2.2*2.715*2.6*1.4*1.25,39200000000*(1.31219^(MIN($E414,123)-118))),0))</f>
        <v>905847022080</v>
      </c>
      <c r="AA414" s="6">
        <f t="shared" si="236"/>
        <v>144</v>
      </c>
      <c r="AB414" s="7">
        <f>IF($J414=0,0,ROUND(MAX($J414*1.4*1.5*1.6*1.6*2.2*2.715*2.6*1.4*1.4*1.25,54900000000*(1.312402^(MIN($E414,123)-118))),0))</f>
        <v>1268185830912</v>
      </c>
      <c r="AC414" s="4">
        <f t="shared" si="237"/>
        <v>146</v>
      </c>
      <c r="AD414" s="8">
        <f>IF($J414=0,0,ROUND(MAX($J414*1.4*1.5*1.6*1.6*2.2*2.715*2.6*1.4*1.4*1.5*1.25,82400000000*(1.312754^(MIN($E414,123)-118))),0))</f>
        <v>1902278746368</v>
      </c>
      <c r="AE414" s="6">
        <f t="shared" si="238"/>
        <v>149</v>
      </c>
      <c r="AF414" s="7">
        <f>IF($J414=0,0,ROUND(MAX($J414*1.4*1.5*1.6*1.6*2.2*2.715*2.6*1.4*1.4*1.5*1.5*1.25,124000000000*(1.312246^(MIN($E414,123)-118))),0))</f>
        <v>2853418119552</v>
      </c>
      <c r="AG414" s="4">
        <f t="shared" si="239"/>
        <v>152</v>
      </c>
      <c r="AH414" s="8">
        <f>IF($J414=0,0,ROUND(MAX($J414*1.4*1.5*1.6*1.6*2.2*2.715*2.6*1.4*1.4*1.5*1.5*3.2*1.25,397000000000*(1.313132^(MIN($E414,123)-118))),0))</f>
        <v>9130937982566</v>
      </c>
    </row>
    <row r="415" ht="27.75" customHeight="1" spans="1:34" x14ac:dyDescent="0.25">
      <c r="A415" s="3">
        <v>425</v>
      </c>
      <c r="B415" s="3" t="s">
        <v>533</v>
      </c>
      <c r="C415" s="3" t="s">
        <v>532</v>
      </c>
      <c r="D415" s="3" t="s">
        <v>90</v>
      </c>
      <c r="E415" s="3">
        <v>124</v>
      </c>
      <c r="F415" s="3" t="s">
        <v>30</v>
      </c>
      <c r="G415" s="3" t="s">
        <v>242</v>
      </c>
      <c r="H415" s="3">
        <v>31</v>
      </c>
      <c r="I415" s="4">
        <v>124</v>
      </c>
      <c r="J415" s="5">
        <v>1480000000</v>
      </c>
      <c r="K415" s="6">
        <f t="shared" si="228"/>
        <v>125</v>
      </c>
      <c r="L415" s="7">
        <f>IF($J415=0,0,ROUND(MAX($J415*1.4,1620000*(1.497923^(MIN($E415,123)-117)))*1,0))</f>
        <v>2072000000</v>
      </c>
      <c r="M415" s="4">
        <f t="shared" si="229"/>
        <v>126</v>
      </c>
      <c r="N415" s="8">
        <f>IF($J415=0,0,ROUND(MAX($J415*1.4*1.5,2190000*(1.580994^(MIN($E415,123)-117)))*1,0))</f>
        <v>3108000000</v>
      </c>
      <c r="O415" s="6">
        <f t="shared" si="230"/>
        <v>128</v>
      </c>
      <c r="P415" s="7">
        <f>IF($J415=0,0,ROUND(MAX($J415*1.4*1.5*1.6,3500000*(1.57975^(MIN($E415,123)-117)))*1,0))</f>
        <v>4972800000</v>
      </c>
      <c r="Q415" s="4">
        <f t="shared" si="231"/>
        <v>130</v>
      </c>
      <c r="R415" s="8">
        <f>IF($J415=0,0,ROUND(MAX($J415*1.4*1.5*1.6*1.6,13100000*(1.429962^(MIN($E415,123)-117)))*1,0))</f>
        <v>7956480000</v>
      </c>
      <c r="S415" s="6">
        <f t="shared" si="232"/>
        <v>132</v>
      </c>
      <c r="T415" s="7">
        <f>IF($J415=0,0,ROUND(MAX($J415*1.4*1.5*1.6*1.6*2.2,42600000*(1.576904^(MIN($E415,123)-117)))*1,0))</f>
        <v>17504256000</v>
      </c>
      <c r="U415" s="4">
        <f t="shared" si="233"/>
        <v>135</v>
      </c>
      <c r="V415" s="8">
        <f>IF($J415=0,0,ROUND(MAX($J415*1.4*1.5*1.6*1.6*2.2*2.715,354000000*(1.642074^(MIN($E415,123)-117)))*1,0))</f>
        <v>47524055040</v>
      </c>
      <c r="W415" s="6">
        <f t="shared" si="234"/>
        <v>139</v>
      </c>
      <c r="X415" s="7">
        <f>IF($J415=0,0,ROUND(MAX($J415*1.4*1.5*1.6*1.6*2.2*2.715*2.6,3540000000*(1.579646^(MIN($E415,123)-117)))*1,0))</f>
        <v>123562543104</v>
      </c>
      <c r="Y415" s="4">
        <f t="shared" si="235"/>
        <v>141</v>
      </c>
      <c r="Z415" s="8">
        <f>IF($J415=0,0,ROUND(MAX($J415*1.4*1.5*1.6*1.6*2.2*2.715*2.6*1.4,6020000000*(1.651178^(MIN($E415,123)-117)))*1,0))</f>
        <v>172987560346</v>
      </c>
      <c r="AA415" s="6">
        <f t="shared" si="236"/>
        <v>143</v>
      </c>
      <c r="AB415" s="7">
        <f>IF($J415=0,0,ROUND(MAX($J415*1.4*1.5*1.6*1.6*2.2*2.715*2.6*1.4*1.4,8430000000*(1.651435^(MIN($E415,123)-117)))*1,0))</f>
        <v>242182584484</v>
      </c>
      <c r="AC415" s="4">
        <f t="shared" si="237"/>
        <v>145</v>
      </c>
      <c r="AD415" s="8">
        <f>IF($J415=0,0,ROUND(MAX($J415*1.4*1.5*1.6*1.6*2.2*2.715*2.6*1.4*1.4*1.5,12600000000*(1.652953^(MIN($E415,123)-117)))*1,0))</f>
        <v>363273876726</v>
      </c>
      <c r="AE415" s="6">
        <f t="shared" si="238"/>
        <v>148</v>
      </c>
      <c r="AF415" s="7">
        <f>IF($J415=0,0,ROUND(MAX($J415*1.4*1.5*1.6*1.6*2.2*2.715*2.6*1.4*1.4*1.5*1.5,18900000000*(1.65331^(MIN($E415,123)-117)))*1,0))</f>
        <v>544910815089</v>
      </c>
      <c r="AG415" s="4">
        <f t="shared" si="239"/>
        <v>151</v>
      </c>
      <c r="AH415" s="8">
        <f>IF($J415=0,0,ROUND(MAX($J415*1.4*1.5*1.6*1.6*2.2*2.715*2.6*1.4*1.4*1.5*1.5*3.2,60500000000*(1.654288^(MIN($E415,123)-117)))*1,0))</f>
        <v>1743714608284</v>
      </c>
    </row>
    <row r="416" ht="27.75" customHeight="1" spans="1:34" x14ac:dyDescent="0.25">
      <c r="A416" s="3">
        <v>426</v>
      </c>
      <c r="B416" s="3" t="s">
        <v>534</v>
      </c>
      <c r="C416" s="3" t="s">
        <v>532</v>
      </c>
      <c r="D416" s="3" t="s">
        <v>79</v>
      </c>
      <c r="E416" s="3">
        <v>124</v>
      </c>
      <c r="F416" s="3" t="s">
        <v>310</v>
      </c>
      <c r="G416" s="3" t="s">
        <v>98</v>
      </c>
      <c r="H416" s="3">
        <v>33</v>
      </c>
      <c r="I416" s="4">
        <v>124</v>
      </c>
      <c r="J416" s="5">
        <v>7300000000</v>
      </c>
      <c r="K416" s="6">
        <f t="shared" si="228"/>
        <v>125</v>
      </c>
      <c r="L416" s="7">
        <f>IF($J416=0,0,ROUND(MAX($J416*1.4*1,4020000*(1.354082^(MIN($E416,123)-118))),0))</f>
        <v>10220000000</v>
      </c>
      <c r="M416" s="4">
        <f t="shared" si="229"/>
        <v>126</v>
      </c>
      <c r="N416" s="8">
        <f>IF($J416=0,0,ROUND(MAX($J416*1.4*1.5*1,6950000*(1.375334^(MIN($E416,123)-118))),0))</f>
        <v>15330000000</v>
      </c>
      <c r="O416" s="6">
        <f t="shared" si="230"/>
        <v>128</v>
      </c>
      <c r="P416" s="7">
        <f>IF($J416=0,0,ROUND(MAX($J416*1.4*1.5*1.6*1,23900000*(1.1788^(MIN($E416,123)-118))),0))</f>
        <v>24528000000</v>
      </c>
      <c r="Q416" s="4">
        <f t="shared" si="231"/>
        <v>130</v>
      </c>
      <c r="R416" s="8">
        <f>IF($J416=0,0,ROUND(MAX($J416*1.4*1.5*1.6*1.6*1.25,77000000*(1.127009^(MIN($E416,123)-118))),0))</f>
        <v>49056000000</v>
      </c>
      <c r="S416" s="6">
        <f t="shared" si="232"/>
        <v>132</v>
      </c>
      <c r="T416" s="7">
        <f>IF($J416=0,0,ROUND(MAX($J416*1.4*1.5*1.6*1.6*2.2*1.25,270000000*(1.248411^(MIN($E416,123)-118))),0))</f>
        <v>107923200000</v>
      </c>
      <c r="U416" s="4">
        <f t="shared" si="233"/>
        <v>135</v>
      </c>
      <c r="V416" s="8">
        <f>IF($J416=0,0,ROUND(MAX($J416*1.4*1.5*1.6*1.6*2.2*2.715*1.25,2400000000*(1.293039^(MIN($E416,123)-118))),0))</f>
        <v>293011488000</v>
      </c>
      <c r="W416" s="6">
        <f t="shared" si="234"/>
        <v>139</v>
      </c>
      <c r="X416" s="7">
        <f>IF($J416=0,0,ROUND(MAX($J416*1.4*1.5*1.6*1.6*2.2*2.715*2.6*1.25,20000000000*(1.280114^(MIN($E416,123)-118))),0))</f>
        <v>761829868800</v>
      </c>
      <c r="Y416" s="4">
        <f t="shared" si="235"/>
        <v>141</v>
      </c>
      <c r="Z416" s="8">
        <f>IF($J416=0,0,ROUND(MAX($J416*1.4*1.5*1.6*1.6*2.2*2.715*2.6*1.4*1.25,39200000000*(1.31219^(MIN($E416,123)-118))),0))</f>
        <v>1066561816320</v>
      </c>
      <c r="AA416" s="6">
        <f t="shared" si="236"/>
        <v>143</v>
      </c>
      <c r="AB416" s="7">
        <f>IF($J416=0,0,ROUND(MAX($J416*1.4*1.5*1.6*1.6*2.2*2.715*2.6*1.4*1.4*1.25,54900000000*(1.312402^(MIN($E416,123)-118))),0))</f>
        <v>1493186542848</v>
      </c>
      <c r="AC416" s="4">
        <f t="shared" si="237"/>
        <v>145</v>
      </c>
      <c r="AD416" s="8">
        <f>IF($J416=0,0,ROUND(MAX($J416*1.4*1.5*1.6*1.6*2.2*2.715*2.6*1.4*1.4*1.5*1.25,82400000000*(1.312754^(MIN($E416,123)-118))),0))</f>
        <v>2239779814272</v>
      </c>
      <c r="AE416" s="6">
        <f t="shared" si="238"/>
        <v>148</v>
      </c>
      <c r="AF416" s="7">
        <f>IF($J416=0,0,ROUND(MAX($J416*1.4*1.5*1.6*1.6*2.2*2.715*2.6*1.4*1.4*1.5*1.5*1.25,124000000000*(1.312246^(MIN($E416,123)-118))),0))</f>
        <v>3359669721408</v>
      </c>
      <c r="AG416" s="4">
        <f t="shared" si="239"/>
        <v>151</v>
      </c>
      <c r="AH416" s="8">
        <f>IF($J416=0,0,ROUND(MAX($J416*1.4*1.5*1.6*1.6*2.2*2.715*2.6*1.4*1.4*1.5*1.5*3.2*1.25,397000000000*(1.313132^(MIN($E416,123)-118))),0))</f>
        <v>10750943108506</v>
      </c>
    </row>
    <row r="417" ht="27.75" customHeight="1" spans="1:34" x14ac:dyDescent="0.25">
      <c r="A417" s="3">
        <v>427</v>
      </c>
      <c r="B417" s="3" t="s">
        <v>535</v>
      </c>
      <c r="C417" s="3" t="s">
        <v>532</v>
      </c>
      <c r="D417" s="3" t="s">
        <v>25</v>
      </c>
      <c r="E417" s="3">
        <v>124</v>
      </c>
      <c r="F417" s="3" t="s">
        <v>34</v>
      </c>
      <c r="G417" s="3" t="s">
        <v>462</v>
      </c>
      <c r="H417" s="3">
        <v>33</v>
      </c>
      <c r="I417" s="4">
        <v>124</v>
      </c>
      <c r="J417" s="5">
        <v>3970000000</v>
      </c>
      <c r="K417" s="6">
        <f t="shared" si="228"/>
        <v>125</v>
      </c>
      <c r="L417" s="7">
        <f t="shared" ref="L417:L422" si="240">IF($J417=0,0,ROUND(MAX($J417*1.4,1620000*(1.497923^(MIN($E417,123)-117)))*1,0))</f>
        <v>5558000000</v>
      </c>
      <c r="M417" s="4">
        <f t="shared" si="229"/>
        <v>126</v>
      </c>
      <c r="N417" s="8">
        <f t="shared" ref="N417:N422" si="241">IF($J417=0,0,ROUND(MAX($J417*1.4*1.5,2190000*(1.580994^(MIN($E417,123)-117)))*1,0))</f>
        <v>8337000000</v>
      </c>
      <c r="O417" s="6">
        <f t="shared" si="230"/>
        <v>128</v>
      </c>
      <c r="P417" s="7">
        <f t="shared" ref="P417:P422" si="242">IF($J417=0,0,ROUND(MAX($J417*1.4*1.5*1.6,3500000*(1.57975^(MIN($E417,123)-117)))*1,0))</f>
        <v>13339200000</v>
      </c>
      <c r="Q417" s="4">
        <f t="shared" si="231"/>
        <v>130</v>
      </c>
      <c r="R417" s="8">
        <f t="shared" ref="R417:R422" si="243">IF($J417=0,0,ROUND(MAX($J417*1.4*1.5*1.6*1.6,13100000*(1.429962^(MIN($E417,123)-117)))*1,0))</f>
        <v>21342720000</v>
      </c>
      <c r="S417" s="6">
        <f t="shared" si="232"/>
        <v>132</v>
      </c>
      <c r="T417" s="7">
        <f t="shared" ref="T417:T422" si="244">IF($J417=0,0,ROUND(MAX($J417*1.4*1.5*1.6*1.6*2.2,42600000*(1.576904^(MIN($E417,123)-117)))*1,0))</f>
        <v>46953984000</v>
      </c>
      <c r="U417" s="4">
        <f t="shared" si="233"/>
        <v>135</v>
      </c>
      <c r="V417" s="8">
        <f t="shared" ref="V417:V422" si="245">IF($J417=0,0,ROUND(MAX($J417*1.4*1.5*1.6*1.6*2.2*2.715,354000000*(1.642074^(MIN($E417,123)-117)))*1,0))</f>
        <v>127480066560</v>
      </c>
      <c r="W417" s="6">
        <f t="shared" si="234"/>
        <v>139</v>
      </c>
      <c r="X417" s="7">
        <f t="shared" ref="X417:X422" si="246">IF($J417=0,0,ROUND(MAX($J417*1.4*1.5*1.6*1.6*2.2*2.715*2.6,3540000000*(1.579646^(MIN($E417,123)-117)))*1,0))</f>
        <v>331448173056</v>
      </c>
      <c r="Y417" s="4">
        <f t="shared" si="235"/>
        <v>141</v>
      </c>
      <c r="Z417" s="8">
        <f t="shared" ref="Z417:Z422" si="247">IF($J417=0,0,ROUND(MAX($J417*1.4*1.5*1.6*1.6*2.2*2.715*2.6*1.4,6020000000*(1.651178^(MIN($E417,123)-117)))*1,0))</f>
        <v>464027442278</v>
      </c>
      <c r="AA417" s="6">
        <f t="shared" si="236"/>
        <v>143</v>
      </c>
      <c r="AB417" s="7">
        <f t="shared" ref="AB417:AB422" si="248">IF($J417=0,0,ROUND(MAX($J417*1.4*1.5*1.6*1.6*2.2*2.715*2.6*1.4*1.4,8430000000*(1.651435^(MIN($E417,123)-117)))*1,0))</f>
        <v>649638419190</v>
      </c>
      <c r="AC417" s="4">
        <f t="shared" si="237"/>
        <v>145</v>
      </c>
      <c r="AD417" s="8">
        <f t="shared" ref="AD417:AD422" si="249">IF($J417=0,0,ROUND(MAX($J417*1.4*1.5*1.6*1.6*2.2*2.715*2.6*1.4*1.4*1.5,12600000000*(1.652953^(MIN($E417,123)-117)))*1,0))</f>
        <v>974457628785</v>
      </c>
      <c r="AE417" s="6">
        <f t="shared" si="238"/>
        <v>148</v>
      </c>
      <c r="AF417" s="7">
        <f t="shared" ref="AF417:AF422" si="250">IF($J417=0,0,ROUND(MAX($J417*1.4*1.5*1.6*1.6*2.2*2.715*2.6*1.4*1.4*1.5*1.5,18900000000*(1.65331^(MIN($E417,123)-117)))*1,0))</f>
        <v>1461686443177</v>
      </c>
      <c r="AG417" s="4">
        <f t="shared" si="239"/>
        <v>151</v>
      </c>
      <c r="AH417" s="8">
        <f t="shared" ref="AH417:AH422" si="251">IF($J417=0,0,ROUND(MAX($J417*1.4*1.5*1.6*1.6*2.2*2.715*2.6*1.4*1.4*1.5*1.5*3.2,60500000000*(1.654288^(MIN($E417,123)-117)))*1,0))</f>
        <v>4677396618166</v>
      </c>
    </row>
    <row r="418" ht="27.75" customHeight="1" spans="1:34" x14ac:dyDescent="0.25">
      <c r="A418" s="3">
        <v>428</v>
      </c>
      <c r="B418" s="3" t="s">
        <v>483</v>
      </c>
      <c r="C418" s="3" t="s">
        <v>532</v>
      </c>
      <c r="D418" s="3" t="s">
        <v>33</v>
      </c>
      <c r="E418" s="3">
        <v>124</v>
      </c>
      <c r="F418" s="3" t="s">
        <v>30</v>
      </c>
      <c r="G418" s="3" t="s">
        <v>242</v>
      </c>
      <c r="H418" s="3">
        <v>32</v>
      </c>
      <c r="I418" s="4">
        <v>124</v>
      </c>
      <c r="J418" s="5">
        <v>5060000000</v>
      </c>
      <c r="K418" s="6">
        <f t="shared" si="228"/>
        <v>125</v>
      </c>
      <c r="L418" s="7">
        <f t="shared" si="240"/>
        <v>7084000000</v>
      </c>
      <c r="M418" s="4">
        <f t="shared" si="229"/>
        <v>126</v>
      </c>
      <c r="N418" s="8">
        <f t="shared" si="241"/>
        <v>10626000000</v>
      </c>
      <c r="O418" s="6">
        <f t="shared" si="230"/>
        <v>128</v>
      </c>
      <c r="P418" s="7">
        <f t="shared" si="242"/>
        <v>17001600000</v>
      </c>
      <c r="Q418" s="4">
        <f t="shared" si="231"/>
        <v>130</v>
      </c>
      <c r="R418" s="8">
        <f t="shared" si="243"/>
        <v>27202560000</v>
      </c>
      <c r="S418" s="6">
        <f t="shared" si="232"/>
        <v>132</v>
      </c>
      <c r="T418" s="7">
        <f t="shared" si="244"/>
        <v>59845632000</v>
      </c>
      <c r="U418" s="4">
        <f t="shared" si="233"/>
        <v>135</v>
      </c>
      <c r="V418" s="8">
        <f t="shared" si="245"/>
        <v>162480890880</v>
      </c>
      <c r="W418" s="6">
        <f t="shared" si="234"/>
        <v>139</v>
      </c>
      <c r="X418" s="7">
        <f t="shared" si="246"/>
        <v>422450316288</v>
      </c>
      <c r="Y418" s="4">
        <f t="shared" si="235"/>
        <v>141</v>
      </c>
      <c r="Z418" s="8">
        <f t="shared" si="247"/>
        <v>591430442803</v>
      </c>
      <c r="AA418" s="6">
        <f t="shared" si="236"/>
        <v>143</v>
      </c>
      <c r="AB418" s="7">
        <f t="shared" si="248"/>
        <v>828002619924</v>
      </c>
      <c r="AC418" s="4">
        <f t="shared" si="237"/>
        <v>145</v>
      </c>
      <c r="AD418" s="8">
        <f t="shared" si="249"/>
        <v>1242003929887</v>
      </c>
      <c r="AE418" s="6">
        <f t="shared" si="238"/>
        <v>148</v>
      </c>
      <c r="AF418" s="7">
        <f t="shared" si="250"/>
        <v>1863005894830</v>
      </c>
      <c r="AG418" s="4">
        <f t="shared" si="239"/>
        <v>151</v>
      </c>
      <c r="AH418" s="8">
        <f t="shared" si="251"/>
        <v>5961618863456</v>
      </c>
    </row>
    <row r="419" ht="27.75" customHeight="1" spans="1:34" x14ac:dyDescent="0.25">
      <c r="A419" s="3">
        <v>429</v>
      </c>
      <c r="B419" s="3" t="s">
        <v>468</v>
      </c>
      <c r="C419" s="3" t="s">
        <v>532</v>
      </c>
      <c r="D419" s="3" t="s">
        <v>40</v>
      </c>
      <c r="E419" s="3">
        <v>124</v>
      </c>
      <c r="F419" s="3" t="s">
        <v>258</v>
      </c>
      <c r="G419" s="3" t="s">
        <v>206</v>
      </c>
      <c r="H419" s="3">
        <v>33</v>
      </c>
      <c r="I419" s="4">
        <v>124</v>
      </c>
      <c r="J419" s="5">
        <v>6620000000</v>
      </c>
      <c r="K419" s="6">
        <f t="shared" si="228"/>
        <v>125</v>
      </c>
      <c r="L419" s="7">
        <f t="shared" si="240"/>
        <v>9268000000</v>
      </c>
      <c r="M419" s="4">
        <f t="shared" si="229"/>
        <v>126</v>
      </c>
      <c r="N419" s="8">
        <f t="shared" si="241"/>
        <v>13902000000</v>
      </c>
      <c r="O419" s="6">
        <f t="shared" si="230"/>
        <v>128</v>
      </c>
      <c r="P419" s="7">
        <f t="shared" si="242"/>
        <v>22243200000</v>
      </c>
      <c r="Q419" s="4">
        <f t="shared" si="231"/>
        <v>130</v>
      </c>
      <c r="R419" s="8">
        <f t="shared" si="243"/>
        <v>35589120000</v>
      </c>
      <c r="S419" s="6">
        <f t="shared" si="232"/>
        <v>132</v>
      </c>
      <c r="T419" s="7">
        <f t="shared" si="244"/>
        <v>78296064000</v>
      </c>
      <c r="U419" s="4">
        <f t="shared" si="233"/>
        <v>135</v>
      </c>
      <c r="V419" s="8">
        <f t="shared" si="245"/>
        <v>212573813760</v>
      </c>
      <c r="W419" s="6">
        <f t="shared" si="234"/>
        <v>139</v>
      </c>
      <c r="X419" s="7">
        <f t="shared" si="246"/>
        <v>552691915776</v>
      </c>
      <c r="Y419" s="4">
        <f t="shared" si="235"/>
        <v>141</v>
      </c>
      <c r="Z419" s="8">
        <f t="shared" si="247"/>
        <v>773768682086</v>
      </c>
      <c r="AA419" s="6">
        <f t="shared" si="236"/>
        <v>143</v>
      </c>
      <c r="AB419" s="7">
        <f t="shared" si="248"/>
        <v>1083276154921</v>
      </c>
      <c r="AC419" s="4">
        <f t="shared" si="237"/>
        <v>145</v>
      </c>
      <c r="AD419" s="8">
        <f t="shared" si="249"/>
        <v>1624914232381</v>
      </c>
      <c r="AE419" s="6">
        <f t="shared" si="238"/>
        <v>148</v>
      </c>
      <c r="AF419" s="7">
        <f t="shared" si="250"/>
        <v>2437371348572</v>
      </c>
      <c r="AG419" s="4">
        <f t="shared" si="239"/>
        <v>151</v>
      </c>
      <c r="AH419" s="8">
        <f t="shared" si="251"/>
        <v>7799588315431</v>
      </c>
    </row>
    <row r="420" ht="27.75" customHeight="1" spans="1:34" x14ac:dyDescent="0.25">
      <c r="A420" s="3">
        <v>430</v>
      </c>
      <c r="B420" s="3" t="s">
        <v>536</v>
      </c>
      <c r="C420" s="3" t="s">
        <v>532</v>
      </c>
      <c r="D420" s="3" t="s">
        <v>40</v>
      </c>
      <c r="E420" s="3">
        <v>123</v>
      </c>
      <c r="F420" s="3" t="s">
        <v>26</v>
      </c>
      <c r="G420" s="3" t="s">
        <v>185</v>
      </c>
      <c r="H420" s="3">
        <v>32</v>
      </c>
      <c r="I420" s="4">
        <v>123</v>
      </c>
      <c r="J420" s="5">
        <v>7930000000</v>
      </c>
      <c r="K420" s="6">
        <f t="shared" si="228"/>
        <v>124</v>
      </c>
      <c r="L420" s="7">
        <f t="shared" si="240"/>
        <v>11102000000</v>
      </c>
      <c r="M420" s="4">
        <f t="shared" si="229"/>
        <v>125</v>
      </c>
      <c r="N420" s="8">
        <f t="shared" si="241"/>
        <v>16653000000</v>
      </c>
      <c r="O420" s="6">
        <f t="shared" si="230"/>
        <v>127</v>
      </c>
      <c r="P420" s="7">
        <f t="shared" si="242"/>
        <v>26644800000</v>
      </c>
      <c r="Q420" s="4">
        <f t="shared" si="231"/>
        <v>129</v>
      </c>
      <c r="R420" s="8">
        <f t="shared" si="243"/>
        <v>42631680000</v>
      </c>
      <c r="S420" s="6">
        <f t="shared" si="232"/>
        <v>131</v>
      </c>
      <c r="T420" s="7">
        <f t="shared" si="244"/>
        <v>93789696000</v>
      </c>
      <c r="U420" s="4">
        <f t="shared" si="233"/>
        <v>134</v>
      </c>
      <c r="V420" s="8">
        <f t="shared" si="245"/>
        <v>254639024640</v>
      </c>
      <c r="W420" s="6">
        <f t="shared" si="234"/>
        <v>138</v>
      </c>
      <c r="X420" s="7">
        <f t="shared" si="246"/>
        <v>662061464064</v>
      </c>
      <c r="Y420" s="4">
        <f t="shared" si="235"/>
        <v>140</v>
      </c>
      <c r="Z420" s="8">
        <f t="shared" si="247"/>
        <v>926886049690</v>
      </c>
      <c r="AA420" s="6">
        <f t="shared" si="236"/>
        <v>142</v>
      </c>
      <c r="AB420" s="7">
        <f t="shared" si="248"/>
        <v>1297640469565</v>
      </c>
      <c r="AC420" s="4">
        <f t="shared" si="237"/>
        <v>144</v>
      </c>
      <c r="AD420" s="8">
        <f t="shared" si="249"/>
        <v>1946460704348</v>
      </c>
      <c r="AE420" s="6">
        <f t="shared" si="238"/>
        <v>147</v>
      </c>
      <c r="AF420" s="7">
        <f t="shared" si="250"/>
        <v>2919691056522</v>
      </c>
      <c r="AG420" s="4">
        <f t="shared" si="239"/>
        <v>150</v>
      </c>
      <c r="AH420" s="8">
        <f t="shared" si="251"/>
        <v>9343011380871</v>
      </c>
    </row>
    <row r="421" ht="27.75" customHeight="1" spans="1:34" x14ac:dyDescent="0.25">
      <c r="A421" s="3">
        <v>431</v>
      </c>
      <c r="B421" s="3" t="s">
        <v>537</v>
      </c>
      <c r="C421" s="3" t="s">
        <v>532</v>
      </c>
      <c r="D421" s="3" t="s">
        <v>75</v>
      </c>
      <c r="E421" s="3">
        <v>123</v>
      </c>
      <c r="F421" s="3" t="s">
        <v>59</v>
      </c>
      <c r="G421" s="3" t="s">
        <v>374</v>
      </c>
      <c r="H421" s="3">
        <v>30</v>
      </c>
      <c r="I421" s="4">
        <v>123</v>
      </c>
      <c r="J421" s="5">
        <v>2540000000</v>
      </c>
      <c r="K421" s="6">
        <f t="shared" si="228"/>
        <v>124</v>
      </c>
      <c r="L421" s="7">
        <f t="shared" si="240"/>
        <v>3556000000</v>
      </c>
      <c r="M421" s="4">
        <f t="shared" si="229"/>
        <v>125</v>
      </c>
      <c r="N421" s="8">
        <f t="shared" si="241"/>
        <v>5334000000</v>
      </c>
      <c r="O421" s="6">
        <f t="shared" si="230"/>
        <v>127</v>
      </c>
      <c r="P421" s="7">
        <f t="shared" si="242"/>
        <v>8534400000</v>
      </c>
      <c r="Q421" s="4">
        <f t="shared" si="231"/>
        <v>129</v>
      </c>
      <c r="R421" s="8">
        <f t="shared" si="243"/>
        <v>13655040000</v>
      </c>
      <c r="S421" s="6">
        <f t="shared" si="232"/>
        <v>131</v>
      </c>
      <c r="T421" s="7">
        <f t="shared" si="244"/>
        <v>30041088000</v>
      </c>
      <c r="U421" s="4">
        <f t="shared" si="233"/>
        <v>134</v>
      </c>
      <c r="V421" s="8">
        <f t="shared" si="245"/>
        <v>81561553920</v>
      </c>
      <c r="W421" s="6">
        <f t="shared" si="234"/>
        <v>138</v>
      </c>
      <c r="X421" s="7">
        <f t="shared" si="246"/>
        <v>212060040192</v>
      </c>
      <c r="Y421" s="4">
        <f t="shared" si="235"/>
        <v>140</v>
      </c>
      <c r="Z421" s="8">
        <f t="shared" si="247"/>
        <v>296884056269</v>
      </c>
      <c r="AA421" s="6">
        <f t="shared" si="236"/>
        <v>142</v>
      </c>
      <c r="AB421" s="7">
        <f t="shared" si="248"/>
        <v>415637678776</v>
      </c>
      <c r="AC421" s="4">
        <f t="shared" si="237"/>
        <v>144</v>
      </c>
      <c r="AD421" s="8">
        <f t="shared" si="249"/>
        <v>623456518164</v>
      </c>
      <c r="AE421" s="6">
        <f t="shared" si="238"/>
        <v>147</v>
      </c>
      <c r="AF421" s="7">
        <f t="shared" si="250"/>
        <v>935184777247</v>
      </c>
      <c r="AG421" s="4">
        <f t="shared" si="239"/>
        <v>150</v>
      </c>
      <c r="AH421" s="8">
        <f t="shared" si="251"/>
        <v>2992591287190</v>
      </c>
    </row>
    <row r="422" ht="27.75" customHeight="1" spans="1:34" x14ac:dyDescent="0.25">
      <c r="A422" s="3">
        <v>432</v>
      </c>
      <c r="B422" s="3" t="s">
        <v>538</v>
      </c>
      <c r="C422" s="3" t="s">
        <v>532</v>
      </c>
      <c r="D422" s="3" t="s">
        <v>25</v>
      </c>
      <c r="E422" s="3">
        <v>123</v>
      </c>
      <c r="F422" s="3" t="s">
        <v>71</v>
      </c>
      <c r="G422" s="3" t="s">
        <v>38</v>
      </c>
      <c r="H422" s="3">
        <v>32</v>
      </c>
      <c r="I422" s="4">
        <v>123</v>
      </c>
      <c r="J422" s="5">
        <v>1210000000</v>
      </c>
      <c r="K422" s="6">
        <f t="shared" si="228"/>
        <v>124</v>
      </c>
      <c r="L422" s="7">
        <f t="shared" si="240"/>
        <v>1694000000</v>
      </c>
      <c r="M422" s="4">
        <f t="shared" si="229"/>
        <v>125</v>
      </c>
      <c r="N422" s="8">
        <f t="shared" si="241"/>
        <v>2541000000</v>
      </c>
      <c r="O422" s="6">
        <f t="shared" si="230"/>
        <v>127</v>
      </c>
      <c r="P422" s="7">
        <f t="shared" si="242"/>
        <v>4065600000</v>
      </c>
      <c r="Q422" s="4">
        <f t="shared" si="231"/>
        <v>129</v>
      </c>
      <c r="R422" s="8">
        <f t="shared" si="243"/>
        <v>6504960000</v>
      </c>
      <c r="S422" s="6">
        <f t="shared" si="232"/>
        <v>131</v>
      </c>
      <c r="T422" s="7">
        <f t="shared" si="244"/>
        <v>14310912000</v>
      </c>
      <c r="U422" s="4">
        <f t="shared" si="233"/>
        <v>134</v>
      </c>
      <c r="V422" s="8">
        <f t="shared" si="245"/>
        <v>38854126080</v>
      </c>
      <c r="W422" s="6">
        <f t="shared" si="234"/>
        <v>138</v>
      </c>
      <c r="X422" s="7">
        <f t="shared" si="246"/>
        <v>101020727808</v>
      </c>
      <c r="Y422" s="4">
        <f t="shared" si="235"/>
        <v>140</v>
      </c>
      <c r="Z422" s="8">
        <f t="shared" si="247"/>
        <v>141429018931</v>
      </c>
      <c r="AA422" s="6">
        <f t="shared" si="236"/>
        <v>142</v>
      </c>
      <c r="AB422" s="7">
        <f t="shared" si="248"/>
        <v>198000626504</v>
      </c>
      <c r="AC422" s="4">
        <f t="shared" si="237"/>
        <v>144</v>
      </c>
      <c r="AD422" s="8">
        <f t="shared" si="249"/>
        <v>297000939756</v>
      </c>
      <c r="AE422" s="6">
        <f t="shared" si="238"/>
        <v>147</v>
      </c>
      <c r="AF422" s="7">
        <f t="shared" si="250"/>
        <v>445501409633</v>
      </c>
      <c r="AG422" s="4">
        <f t="shared" si="239"/>
        <v>150</v>
      </c>
      <c r="AH422" s="8">
        <f t="shared" si="251"/>
        <v>1425604510827</v>
      </c>
    </row>
    <row r="423" ht="27.75" customHeight="1" spans="1:34" x14ac:dyDescent="0.25">
      <c r="A423" s="3">
        <v>433</v>
      </c>
      <c r="B423" s="3" t="s">
        <v>511</v>
      </c>
      <c r="C423" s="3" t="s">
        <v>532</v>
      </c>
      <c r="D423" s="3" t="s">
        <v>40</v>
      </c>
      <c r="E423" s="3">
        <v>120</v>
      </c>
      <c r="F423" s="3" t="s">
        <v>482</v>
      </c>
      <c r="G423" s="3" t="s">
        <v>482</v>
      </c>
      <c r="H423" s="3">
        <v>30</v>
      </c>
      <c r="I423" s="4">
        <v>120</v>
      </c>
      <c r="J423" s="5">
        <v>0</v>
      </c>
      <c r="K423" s="6">
        <f t="shared" si="228"/>
        <v>121</v>
      </c>
      <c r="L423" s="7">
        <f>IF($J423=0,0,ROUND(MAX($J423*1.4,1620000*(1.497923^(MIN($E423,123)-117)))*0.8,0))</f>
        <v>0</v>
      </c>
      <c r="M423" s="4">
        <f t="shared" si="229"/>
        <v>122</v>
      </c>
      <c r="N423" s="8">
        <f>IF($J423=0,0,ROUND(MAX($J423*1.4*1.5,2190000*(1.580994^(MIN($E423,123)-117)))*0.8,0))</f>
        <v>0</v>
      </c>
      <c r="O423" s="6">
        <f t="shared" si="230"/>
        <v>124</v>
      </c>
      <c r="P423" s="7">
        <f>IF($J423=0,0,ROUND(MAX($J423*1.4*1.5*1.6,3500000*(1.57975^(MIN($E423,123)-117)))*0.8,0))</f>
        <v>0</v>
      </c>
      <c r="Q423" s="4">
        <f t="shared" si="231"/>
        <v>126</v>
      </c>
      <c r="R423" s="8">
        <f>IF($J423=0,0,ROUND(MAX($J423*1.4*1.5*1.6*1.6,13100000*(1.429962^(MIN($E423,123)-117)))*0.651041666666667,0))</f>
        <v>0</v>
      </c>
      <c r="S423" s="6">
        <f t="shared" si="232"/>
        <v>128</v>
      </c>
      <c r="T423" s="7">
        <f>IF($J423=0,0,ROUND(MAX($J423*1.4*1.5*1.6*1.6*2.2,42600000*(1.576904^(MIN($E423,123)-117)))*0.617361111111111,0))</f>
        <v>0</v>
      </c>
      <c r="U423" s="4">
        <f t="shared" si="233"/>
        <v>131</v>
      </c>
      <c r="V423" s="8">
        <f>IF($J423=0,0,ROUND(MAX($J423*1.4*1.5*1.6*1.6*2.2*2.715,354000000*(1.642074^(MIN($E423,123)-117)))*0.583680555555556,0))</f>
        <v>0</v>
      </c>
      <c r="W423" s="6">
        <f t="shared" si="234"/>
        <v>135</v>
      </c>
      <c r="X423" s="7">
        <f>IF($J423=0,0,ROUND(MAX($J423*1.4*1.5*1.6*1.6*2.2*2.715*2.6,3540000000*(1.579646^(MIN($E423,123)-117)))*0.55,0))</f>
        <v>0</v>
      </c>
      <c r="Y423" s="4">
        <f t="shared" si="235"/>
        <v>137</v>
      </c>
      <c r="Z423" s="8">
        <f>IF($J423=0,0,ROUND(MAX($J423*1.4*1.5*1.6*1.6*2.2*2.715*2.6*1.4,6020000000*(1.651178^(MIN($E423,123)-117)))*0.55,0))</f>
        <v>0</v>
      </c>
      <c r="AA423" s="6">
        <f t="shared" si="236"/>
        <v>139</v>
      </c>
      <c r="AB423" s="7">
        <f>IF($J423=0,0,ROUND(MAX($J423*1.4*1.5*1.6*1.6*2.2*2.715*2.6*1.4*1.4,8430000000*(1.651435^(MIN($E423,123)-117)))*0.55,0))</f>
        <v>0</v>
      </c>
      <c r="AC423" s="4">
        <f t="shared" si="237"/>
        <v>141</v>
      </c>
      <c r="AD423" s="8">
        <f>IF($J423=0,0,ROUND(MAX($J423*1.4*1.5*1.6*1.6*2.2*2.715*2.6*1.4*1.4*1.5,12600000000*(1.652953^(MIN($E423,123)-117)))*0.55,0))</f>
        <v>0</v>
      </c>
      <c r="AE423" s="6">
        <f t="shared" si="238"/>
        <v>144</v>
      </c>
      <c r="AF423" s="7">
        <f>IF($J423=0,0,ROUND(MAX($J423*1.4*1.5*1.6*1.6*2.2*2.715*2.6*1.4*1.4*1.5*1.5,18900000000*(1.65331^(MIN($E423,123)-117)))*0.55,0))</f>
        <v>0</v>
      </c>
      <c r="AG423" s="4">
        <f t="shared" si="239"/>
        <v>147</v>
      </c>
      <c r="AH423" s="8">
        <f>IF($J423=0,0,ROUND(MAX($J423*1.4*1.5*1.6*1.6*2.2*2.715*2.6*1.4*1.4*1.5*1.5*3.2,60500000000*(1.654288^(MIN($E423,123)-117)))*0.55,0))</f>
        <v>0</v>
      </c>
    </row>
    <row r="424" ht="27.75" customHeight="1" spans="1:34" x14ac:dyDescent="0.25">
      <c r="A424" s="3">
        <v>434</v>
      </c>
      <c r="B424" s="3" t="s">
        <v>525</v>
      </c>
      <c r="C424" s="3" t="s">
        <v>532</v>
      </c>
      <c r="D424" s="3" t="s">
        <v>29</v>
      </c>
      <c r="E424" s="3">
        <v>119</v>
      </c>
      <c r="F424" s="3" t="s">
        <v>482</v>
      </c>
      <c r="G424" s="3" t="s">
        <v>482</v>
      </c>
      <c r="H424" s="3">
        <v>29</v>
      </c>
      <c r="I424" s="4">
        <v>119</v>
      </c>
      <c r="J424" s="5">
        <v>0</v>
      </c>
      <c r="K424" s="6">
        <f t="shared" si="228"/>
        <v>120</v>
      </c>
      <c r="L424" s="7">
        <f>IF($J424=0,0,ROUND(MAX($J424*1.4,1620000*(1.497923^(MIN($E424,123)-117)))*0.8,0))</f>
        <v>0</v>
      </c>
      <c r="M424" s="4">
        <f t="shared" si="229"/>
        <v>121</v>
      </c>
      <c r="N424" s="8">
        <f>IF($J424=0,0,ROUND(MAX($J424*1.4*1.5,2190000*(1.580994^(MIN($E424,123)-117)))*0.8,0))</f>
        <v>0</v>
      </c>
      <c r="O424" s="6">
        <f t="shared" si="230"/>
        <v>123</v>
      </c>
      <c r="P424" s="7">
        <f>IF($J424=0,0,ROUND(MAX($J424*1.4*1.5*1.6,3500000*(1.57975^(MIN($E424,123)-117)))*0.8,0))</f>
        <v>0</v>
      </c>
      <c r="Q424" s="4">
        <f t="shared" si="231"/>
        <v>125</v>
      </c>
      <c r="R424" s="8">
        <f>IF($J424=0,0,ROUND(MAX($J424*1.4*1.5*1.6*1.6,13100000*(1.429962^(MIN($E424,123)-117)))*0.651041666666667,0))</f>
        <v>0</v>
      </c>
      <c r="S424" s="6">
        <f t="shared" si="232"/>
        <v>127</v>
      </c>
      <c r="T424" s="7">
        <f>IF($J424=0,0,ROUND(MAX($J424*1.4*1.5*1.6*1.6*2.2,42600000*(1.576904^(MIN($E424,123)-117)))*0.617361111111111,0))</f>
        <v>0</v>
      </c>
      <c r="U424" s="4">
        <f t="shared" si="233"/>
        <v>130</v>
      </c>
      <c r="V424" s="8">
        <f>IF($J424=0,0,ROUND(MAX($J424*1.4*1.5*1.6*1.6*2.2*2.715,354000000*(1.642074^(MIN($E424,123)-117)))*0.583680555555556,0))</f>
        <v>0</v>
      </c>
      <c r="W424" s="6">
        <f t="shared" si="234"/>
        <v>134</v>
      </c>
      <c r="X424" s="7">
        <f>IF($J424=0,0,ROUND(MAX($J424*1.4*1.5*1.6*1.6*2.2*2.715*2.6,3540000000*(1.579646^(MIN($E424,123)-117)))*0.55,0))</f>
        <v>0</v>
      </c>
      <c r="Y424" s="4">
        <f t="shared" si="235"/>
        <v>136</v>
      </c>
      <c r="Z424" s="8">
        <f>IF($J424=0,0,ROUND(MAX($J424*1.4*1.5*1.6*1.6*2.2*2.715*2.6*1.4,6020000000*(1.651178^(MIN($E424,123)-117)))*0.55,0))</f>
        <v>0</v>
      </c>
      <c r="AA424" s="6">
        <f t="shared" si="236"/>
        <v>138</v>
      </c>
      <c r="AB424" s="7">
        <f>IF($J424=0,0,ROUND(MAX($J424*1.4*1.5*1.6*1.6*2.2*2.715*2.6*1.4*1.4,8430000000*(1.651435^(MIN($E424,123)-117)))*0.55,0))</f>
        <v>0</v>
      </c>
      <c r="AC424" s="4">
        <f t="shared" si="237"/>
        <v>140</v>
      </c>
      <c r="AD424" s="8">
        <f>IF($J424=0,0,ROUND(MAX($J424*1.4*1.5*1.6*1.6*2.2*2.715*2.6*1.4*1.4*1.5,12600000000*(1.652953^(MIN($E424,123)-117)))*0.55,0))</f>
        <v>0</v>
      </c>
      <c r="AE424" s="6">
        <f t="shared" si="238"/>
        <v>143</v>
      </c>
      <c r="AF424" s="7">
        <f>IF($J424=0,0,ROUND(MAX($J424*1.4*1.5*1.6*1.6*2.2*2.715*2.6*1.4*1.4*1.5*1.5,18900000000*(1.65331^(MIN($E424,123)-117)))*0.55,0))</f>
        <v>0</v>
      </c>
      <c r="AG424" s="4">
        <f t="shared" si="239"/>
        <v>146</v>
      </c>
      <c r="AH424" s="8">
        <f>IF($J424=0,0,ROUND(MAX($J424*1.4*1.5*1.6*1.6*2.2*2.715*2.6*1.4*1.4*1.5*1.5*3.2,60500000000*(1.654288^(MIN($E424,123)-117)))*0.55,0))</f>
        <v>0</v>
      </c>
    </row>
    <row r="425" ht="27.75" customHeight="1" spans="1:34" x14ac:dyDescent="0.25">
      <c r="A425" s="3">
        <v>435</v>
      </c>
      <c r="B425" s="3" t="s">
        <v>530</v>
      </c>
      <c r="C425" s="3" t="s">
        <v>532</v>
      </c>
      <c r="D425" s="3" t="s">
        <v>40</v>
      </c>
      <c r="E425" s="3">
        <v>122</v>
      </c>
      <c r="F425" s="3" t="s">
        <v>482</v>
      </c>
      <c r="G425" s="3" t="s">
        <v>482</v>
      </c>
      <c r="H425" s="3">
        <v>31</v>
      </c>
      <c r="I425" s="4">
        <v>122</v>
      </c>
      <c r="J425" s="5">
        <v>0</v>
      </c>
      <c r="K425" s="6">
        <f t="shared" si="228"/>
        <v>123</v>
      </c>
      <c r="L425" s="7">
        <f>IF($J425=0,0,ROUND(MAX($J425*1.4,1620000*(1.497923^(MIN($E425,123)-117)))*0.8,0))</f>
        <v>0</v>
      </c>
      <c r="M425" s="4">
        <f t="shared" si="229"/>
        <v>124</v>
      </c>
      <c r="N425" s="8">
        <f>IF($J425=0,0,ROUND(MAX($J425*1.4*1.5,2190000*(1.580994^(MIN($E425,123)-117)))*0.8,0))</f>
        <v>0</v>
      </c>
      <c r="O425" s="6">
        <f t="shared" si="230"/>
        <v>126</v>
      </c>
      <c r="P425" s="7">
        <f>IF($J425=0,0,ROUND(MAX($J425*1.4*1.5*1.6,3500000*(1.57975^(MIN($E425,123)-117)))*0.8,0))</f>
        <v>0</v>
      </c>
      <c r="Q425" s="4">
        <f t="shared" si="231"/>
        <v>128</v>
      </c>
      <c r="R425" s="8">
        <f>IF($J425=0,0,ROUND(MAX($J425*1.4*1.5*1.6*1.6,13100000*(1.429962^(MIN($E425,123)-117)))*0.651041666666667,0))</f>
        <v>0</v>
      </c>
      <c r="S425" s="6">
        <f t="shared" si="232"/>
        <v>130</v>
      </c>
      <c r="T425" s="7">
        <f>IF($J425=0,0,ROUND(MAX($J425*1.4*1.5*1.6*1.6*2.2,42600000*(1.576904^(MIN($E425,123)-117)))*0.617361111111111,0))</f>
        <v>0</v>
      </c>
      <c r="U425" s="4">
        <f t="shared" si="233"/>
        <v>133</v>
      </c>
      <c r="V425" s="8">
        <f>IF($J425=0,0,ROUND(MAX($J425*1.4*1.5*1.6*1.6*2.2*2.715,354000000*(1.642074^(MIN($E425,123)-117)))*0.583680555555556,0))</f>
        <v>0</v>
      </c>
      <c r="W425" s="6">
        <f t="shared" si="234"/>
        <v>137</v>
      </c>
      <c r="X425" s="7">
        <f>IF($J425=0,0,ROUND(MAX($J425*1.4*1.5*1.6*1.6*2.2*2.715*2.6,3540000000*(1.579646^(MIN($E425,123)-117)))*0.55,0))</f>
        <v>0</v>
      </c>
      <c r="Y425" s="4">
        <f t="shared" si="235"/>
        <v>139</v>
      </c>
      <c r="Z425" s="8">
        <f>IF($J425=0,0,ROUND(MAX($J425*1.4*1.5*1.6*1.6*2.2*2.715*2.6*1.4,6020000000*(1.651178^(MIN($E425,123)-117)))*0.55,0))</f>
        <v>0</v>
      </c>
      <c r="AA425" s="6">
        <f t="shared" si="236"/>
        <v>141</v>
      </c>
      <c r="AB425" s="7">
        <f>IF($J425=0,0,ROUND(MAX($J425*1.4*1.5*1.6*1.6*2.2*2.715*2.6*1.4*1.4,8430000000*(1.651435^(MIN($E425,123)-117)))*0.55,0))</f>
        <v>0</v>
      </c>
      <c r="AC425" s="4">
        <f t="shared" si="237"/>
        <v>143</v>
      </c>
      <c r="AD425" s="8">
        <f>IF($J425=0,0,ROUND(MAX($J425*1.4*1.5*1.6*1.6*2.2*2.715*2.6*1.4*1.4*1.5,12600000000*(1.652953^(MIN($E425,123)-117)))*0.55,0))</f>
        <v>0</v>
      </c>
      <c r="AE425" s="6">
        <f t="shared" si="238"/>
        <v>146</v>
      </c>
      <c r="AF425" s="7">
        <f>IF($J425=0,0,ROUND(MAX($J425*1.4*1.5*1.6*1.6*2.2*2.715*2.6*1.4*1.4*1.5*1.5,18900000000*(1.65331^(MIN($E425,123)-117)))*0.55,0))</f>
        <v>0</v>
      </c>
      <c r="AG425" s="4">
        <f t="shared" si="239"/>
        <v>149</v>
      </c>
      <c r="AH425" s="8">
        <f>IF($J425=0,0,ROUND(MAX($J425*1.4*1.5*1.6*1.6*2.2*2.715*2.6*1.4*1.4*1.5*1.5*3.2,60500000000*(1.654288^(MIN($E425,123)-117)))*0.55,0))</f>
        <v>0</v>
      </c>
    </row>
    <row r="426" ht="27.75" customHeight="1" spans="1:34" x14ac:dyDescent="0.25">
      <c r="A426" s="3">
        <v>436</v>
      </c>
      <c r="B426" s="3" t="s">
        <v>523</v>
      </c>
      <c r="C426" s="3" t="s">
        <v>532</v>
      </c>
      <c r="D426" s="3" t="s">
        <v>45</v>
      </c>
      <c r="E426" s="3">
        <v>121</v>
      </c>
      <c r="F426" s="3" t="s">
        <v>482</v>
      </c>
      <c r="G426" s="3" t="s">
        <v>482</v>
      </c>
      <c r="H426" s="3">
        <v>31</v>
      </c>
      <c r="I426" s="4">
        <v>121</v>
      </c>
      <c r="J426" s="5">
        <v>0</v>
      </c>
      <c r="K426" s="6">
        <f t="shared" si="228"/>
        <v>122</v>
      </c>
      <c r="L426" s="7">
        <f>IF($J426=0,0,ROUND(MAX($J426*1.4,1620000*(1.497923^(MIN($E426,123)-117)))*0.8,0))</f>
        <v>0</v>
      </c>
      <c r="M426" s="4">
        <f t="shared" si="229"/>
        <v>123</v>
      </c>
      <c r="N426" s="8">
        <f>IF($J426=0,0,ROUND(MAX($J426*1.4*1.5,2190000*(1.580994^(MIN($E426,123)-117)))*0.8,0))</f>
        <v>0</v>
      </c>
      <c r="O426" s="6">
        <f t="shared" si="230"/>
        <v>125</v>
      </c>
      <c r="P426" s="7">
        <f>IF($J426=0,0,ROUND(MAX($J426*1.4*1.5*1.6,3500000*(1.57975^(MIN($E426,123)-117)))*0.8,0))</f>
        <v>0</v>
      </c>
      <c r="Q426" s="4">
        <f t="shared" si="231"/>
        <v>127</v>
      </c>
      <c r="R426" s="8">
        <f>IF($J426=0,0,ROUND(MAX($J426*1.4*1.5*1.6*1.6,13100000*(1.429962^(MIN($E426,123)-117)))*0.651041666666667,0))</f>
        <v>0</v>
      </c>
      <c r="S426" s="6">
        <f t="shared" si="232"/>
        <v>129</v>
      </c>
      <c r="T426" s="7">
        <f>IF($J426=0,0,ROUND(MAX($J426*1.4*1.5*1.6*1.6*2.2,42600000*(1.576904^(MIN($E426,123)-117)))*0.617361111111111,0))</f>
        <v>0</v>
      </c>
      <c r="U426" s="4">
        <f t="shared" si="233"/>
        <v>132</v>
      </c>
      <c r="V426" s="8">
        <f>IF($J426=0,0,ROUND(MAX($J426*1.4*1.5*1.6*1.6*2.2*2.715,354000000*(1.642074^(MIN($E426,123)-117)))*0.583680555555556,0))</f>
        <v>0</v>
      </c>
      <c r="W426" s="6">
        <f t="shared" si="234"/>
        <v>136</v>
      </c>
      <c r="X426" s="7">
        <f>IF($J426=0,0,ROUND(MAX($J426*1.4*1.5*1.6*1.6*2.2*2.715*2.6,3540000000*(1.579646^(MIN($E426,123)-117)))*0.55,0))</f>
        <v>0</v>
      </c>
      <c r="Y426" s="4">
        <f t="shared" si="235"/>
        <v>138</v>
      </c>
      <c r="Z426" s="8">
        <f>IF($J426=0,0,ROUND(MAX($J426*1.4*1.5*1.6*1.6*2.2*2.715*2.6*1.4,6020000000*(1.651178^(MIN($E426,123)-117)))*0.55,0))</f>
        <v>0</v>
      </c>
      <c r="AA426" s="6">
        <f t="shared" si="236"/>
        <v>140</v>
      </c>
      <c r="AB426" s="7">
        <f>IF($J426=0,0,ROUND(MAX($J426*1.4*1.5*1.6*1.6*2.2*2.715*2.6*1.4*1.4,8430000000*(1.651435^(MIN($E426,123)-117)))*0.55,0))</f>
        <v>0</v>
      </c>
      <c r="AC426" s="4">
        <f t="shared" si="237"/>
        <v>142</v>
      </c>
      <c r="AD426" s="8">
        <f>IF($J426=0,0,ROUND(MAX($J426*1.4*1.5*1.6*1.6*2.2*2.715*2.6*1.4*1.4*1.5,12600000000*(1.652953^(MIN($E426,123)-117)))*0.55,0))</f>
        <v>0</v>
      </c>
      <c r="AE426" s="6">
        <f t="shared" si="238"/>
        <v>145</v>
      </c>
      <c r="AF426" s="7">
        <f>IF($J426=0,0,ROUND(MAX($J426*1.4*1.5*1.6*1.6*2.2*2.715*2.6*1.4*1.4*1.5*1.5,18900000000*(1.65331^(MIN($E426,123)-117)))*0.55,0))</f>
        <v>0</v>
      </c>
      <c r="AG426" s="4">
        <f t="shared" si="239"/>
        <v>148</v>
      </c>
      <c r="AH426" s="8">
        <f>IF($J426=0,0,ROUND(MAX($J426*1.4*1.5*1.6*1.6*2.2*2.715*2.6*1.4*1.4*1.5*1.5*3.2,60500000000*(1.654288^(MIN($E426,123)-117)))*0.55,0))</f>
        <v>0</v>
      </c>
    </row>
    <row r="427" ht="27.75" customHeight="1" spans="1:34" x14ac:dyDescent="0.25">
      <c r="A427" s="3">
        <v>437</v>
      </c>
      <c r="B427" s="3" t="s">
        <v>539</v>
      </c>
      <c r="C427" s="3" t="s">
        <v>532</v>
      </c>
      <c r="D427" s="3" t="s">
        <v>29</v>
      </c>
      <c r="E427" s="3">
        <v>124</v>
      </c>
      <c r="F427" s="3" t="s">
        <v>34</v>
      </c>
      <c r="G427" s="3" t="s">
        <v>450</v>
      </c>
      <c r="H427" s="3">
        <v>33</v>
      </c>
      <c r="I427" s="4">
        <v>124</v>
      </c>
      <c r="J427" s="5">
        <v>11600000000</v>
      </c>
      <c r="K427" s="6">
        <f t="shared" si="228"/>
        <v>125</v>
      </c>
      <c r="L427" s="7">
        <f t="shared" ref="L427:L432" si="252">IF($J427=0,0,ROUND(MAX($J427*1.4*1,4020000*(1.354082^(MIN($E427,123)-118))),0))</f>
        <v>16240000000</v>
      </c>
      <c r="M427" s="4">
        <f t="shared" si="229"/>
        <v>126</v>
      </c>
      <c r="N427" s="8">
        <f t="shared" ref="N427:N432" si="253">IF($J427=0,0,ROUND(MAX($J427*1.4*1.5*1,6950000*(1.375334^(MIN($E427,123)-118))),0))</f>
        <v>24360000000</v>
      </c>
      <c r="O427" s="6">
        <f t="shared" si="230"/>
        <v>128</v>
      </c>
      <c r="P427" s="7">
        <f t="shared" ref="P427:P432" si="254">IF($J427=0,0,ROUND(MAX($J427*1.4*1.5*1.6*1,23900000*(1.1788^(MIN($E427,123)-118))),0))</f>
        <v>38976000000</v>
      </c>
      <c r="Q427" s="4">
        <f t="shared" si="231"/>
        <v>130</v>
      </c>
      <c r="R427" s="8">
        <f t="shared" ref="R427:R432" si="255">IF($J427=0,0,ROUND(MAX($J427*1.4*1.5*1.6*1.6*1.25,77000000*(1.127009^(MIN($E427,123)-118))),0))</f>
        <v>77952000000</v>
      </c>
      <c r="S427" s="6">
        <f t="shared" si="232"/>
        <v>132</v>
      </c>
      <c r="T427" s="7">
        <f t="shared" ref="T427:T432" si="256">IF($J427=0,0,ROUND(MAX($J427*1.4*1.5*1.6*1.6*2.2*1.25,270000000*(1.248411^(MIN($E427,123)-118))),0))</f>
        <v>171494400000</v>
      </c>
      <c r="U427" s="4">
        <f t="shared" si="233"/>
        <v>135</v>
      </c>
      <c r="V427" s="8">
        <f t="shared" ref="V427:V432" si="257">IF($J427=0,0,ROUND(MAX($J427*1.4*1.5*1.6*1.6*2.2*2.715*1.25,2400000000*(1.293039^(MIN($E427,123)-118))),0))</f>
        <v>465607296000</v>
      </c>
      <c r="W427" s="6">
        <f t="shared" si="234"/>
        <v>139</v>
      </c>
      <c r="X427" s="7">
        <f t="shared" ref="X427:X432" si="258">IF($J427=0,0,ROUND(MAX($J427*1.4*1.5*1.6*1.6*2.2*2.715*2.6*1.25,20000000000*(1.280114^(MIN($E427,123)-118))),0))</f>
        <v>1210578969600</v>
      </c>
      <c r="Y427" s="4">
        <f t="shared" si="235"/>
        <v>141</v>
      </c>
      <c r="Z427" s="8">
        <f t="shared" ref="Z427:Z432" si="259">IF($J427=0,0,ROUND(MAX($J427*1.4*1.5*1.6*1.6*2.2*2.715*2.6*1.4*1.25,39200000000*(1.31219^(MIN($E427,123)-118))),0))</f>
        <v>1694810557440</v>
      </c>
      <c r="AA427" s="6">
        <f t="shared" si="236"/>
        <v>143</v>
      </c>
      <c r="AB427" s="7">
        <f t="shared" ref="AB427:AB432" si="260">IF($J427=0,0,ROUND(MAX($J427*1.4*1.5*1.6*1.6*2.2*2.715*2.6*1.4*1.4*1.25,54900000000*(1.312402^(MIN($E427,123)-118))),0))</f>
        <v>2372734780416</v>
      </c>
      <c r="AC427" s="4">
        <f t="shared" si="237"/>
        <v>145</v>
      </c>
      <c r="AD427" s="8">
        <f t="shared" ref="AD427:AD432" si="261">IF($J427=0,0,ROUND(MAX($J427*1.4*1.5*1.6*1.6*2.2*2.715*2.6*1.4*1.4*1.5*1.25,82400000000*(1.312754^(MIN($E427,123)-118))),0))</f>
        <v>3559102170624</v>
      </c>
      <c r="AE427" s="6">
        <f t="shared" si="238"/>
        <v>148</v>
      </c>
      <c r="AF427" s="7">
        <f t="shared" ref="AF427:AF432" si="262">IF($J427=0,0,ROUND(MAX($J427*1.4*1.5*1.6*1.6*2.2*2.715*2.6*1.4*1.4*1.5*1.5*1.25,124000000000*(1.312246^(MIN($E427,123)-118))),0))</f>
        <v>5338653255936</v>
      </c>
      <c r="AG427" s="4">
        <f t="shared" si="239"/>
        <v>151</v>
      </c>
      <c r="AH427" s="8">
        <f t="shared" ref="AH427:AH432" si="263">IF($J427=0,0,ROUND(MAX($J427*1.4*1.5*1.6*1.6*2.2*2.715*2.6*1.4*1.4*1.5*1.5*3.2*1.25,397000000000*(1.313132^(MIN($E427,123)-118))),0))</f>
        <v>17083690418995</v>
      </c>
    </row>
    <row r="428" ht="27.75" customHeight="1" spans="1:34" x14ac:dyDescent="0.25">
      <c r="A428" s="3">
        <v>438</v>
      </c>
      <c r="B428" s="3" t="s">
        <v>347</v>
      </c>
      <c r="C428" s="3" t="s">
        <v>532</v>
      </c>
      <c r="D428" s="3" t="s">
        <v>79</v>
      </c>
      <c r="E428" s="3">
        <v>124</v>
      </c>
      <c r="F428" s="3" t="s">
        <v>123</v>
      </c>
      <c r="G428" s="3" t="s">
        <v>342</v>
      </c>
      <c r="H428" s="3">
        <v>33</v>
      </c>
      <c r="I428" s="4">
        <v>124</v>
      </c>
      <c r="J428" s="5">
        <v>4160000000</v>
      </c>
      <c r="K428" s="6">
        <f t="shared" si="228"/>
        <v>125</v>
      </c>
      <c r="L428" s="7">
        <f t="shared" si="252"/>
        <v>5824000000</v>
      </c>
      <c r="M428" s="4">
        <f t="shared" si="229"/>
        <v>126</v>
      </c>
      <c r="N428" s="8">
        <f t="shared" si="253"/>
        <v>8736000000</v>
      </c>
      <c r="O428" s="6">
        <f t="shared" si="230"/>
        <v>128</v>
      </c>
      <c r="P428" s="7">
        <f t="shared" si="254"/>
        <v>13977600000</v>
      </c>
      <c r="Q428" s="4">
        <f t="shared" si="231"/>
        <v>130</v>
      </c>
      <c r="R428" s="8">
        <f t="shared" si="255"/>
        <v>27955200000</v>
      </c>
      <c r="S428" s="6">
        <f t="shared" si="232"/>
        <v>132</v>
      </c>
      <c r="T428" s="7">
        <f t="shared" si="256"/>
        <v>61501440000</v>
      </c>
      <c r="U428" s="4">
        <f t="shared" si="233"/>
        <v>135</v>
      </c>
      <c r="V428" s="8">
        <f t="shared" si="257"/>
        <v>166976409600</v>
      </c>
      <c r="W428" s="6">
        <f t="shared" si="234"/>
        <v>139</v>
      </c>
      <c r="X428" s="7">
        <f t="shared" si="258"/>
        <v>434138664960</v>
      </c>
      <c r="Y428" s="4">
        <f t="shared" si="235"/>
        <v>141</v>
      </c>
      <c r="Z428" s="8">
        <f t="shared" si="259"/>
        <v>607794130944</v>
      </c>
      <c r="AA428" s="6">
        <f t="shared" si="236"/>
        <v>143</v>
      </c>
      <c r="AB428" s="7">
        <f t="shared" si="260"/>
        <v>850911783322</v>
      </c>
      <c r="AC428" s="4">
        <f t="shared" si="237"/>
        <v>145</v>
      </c>
      <c r="AD428" s="8">
        <f t="shared" si="261"/>
        <v>1276367674982</v>
      </c>
      <c r="AE428" s="6">
        <f t="shared" si="238"/>
        <v>148</v>
      </c>
      <c r="AF428" s="7">
        <f t="shared" si="262"/>
        <v>1914551512474</v>
      </c>
      <c r="AG428" s="4">
        <f t="shared" si="239"/>
        <v>151</v>
      </c>
      <c r="AH428" s="8">
        <f t="shared" si="263"/>
        <v>6126564839916</v>
      </c>
    </row>
    <row r="429" ht="27.75" customHeight="1" spans="1:34" x14ac:dyDescent="0.25">
      <c r="A429" s="3">
        <v>439</v>
      </c>
      <c r="B429" s="3" t="s">
        <v>540</v>
      </c>
      <c r="C429" s="3" t="s">
        <v>532</v>
      </c>
      <c r="D429" s="3" t="s">
        <v>79</v>
      </c>
      <c r="E429" s="3">
        <v>124</v>
      </c>
      <c r="F429" s="3" t="s">
        <v>412</v>
      </c>
      <c r="G429" s="3" t="s">
        <v>252</v>
      </c>
      <c r="H429" s="3">
        <v>33</v>
      </c>
      <c r="I429" s="4">
        <v>124</v>
      </c>
      <c r="J429" s="5">
        <v>4810000000</v>
      </c>
      <c r="K429" s="6">
        <f t="shared" si="228"/>
        <v>125</v>
      </c>
      <c r="L429" s="7">
        <f t="shared" si="252"/>
        <v>6734000000</v>
      </c>
      <c r="M429" s="4">
        <f t="shared" si="229"/>
        <v>126</v>
      </c>
      <c r="N429" s="8">
        <f t="shared" si="253"/>
        <v>10101000000</v>
      </c>
      <c r="O429" s="6">
        <f t="shared" si="230"/>
        <v>128</v>
      </c>
      <c r="P429" s="7">
        <f t="shared" si="254"/>
        <v>16161600000</v>
      </c>
      <c r="Q429" s="4">
        <f t="shared" si="231"/>
        <v>130</v>
      </c>
      <c r="R429" s="8">
        <f t="shared" si="255"/>
        <v>32323200000</v>
      </c>
      <c r="S429" s="6">
        <f t="shared" si="232"/>
        <v>132</v>
      </c>
      <c r="T429" s="7">
        <f t="shared" si="256"/>
        <v>71111040000</v>
      </c>
      <c r="U429" s="4">
        <f t="shared" si="233"/>
        <v>135</v>
      </c>
      <c r="V429" s="8">
        <f t="shared" si="257"/>
        <v>193066473600</v>
      </c>
      <c r="W429" s="6">
        <f t="shared" si="234"/>
        <v>139</v>
      </c>
      <c r="X429" s="7">
        <f t="shared" si="258"/>
        <v>501972831360</v>
      </c>
      <c r="Y429" s="4">
        <f t="shared" si="235"/>
        <v>141</v>
      </c>
      <c r="Z429" s="8">
        <f t="shared" si="259"/>
        <v>702761963904</v>
      </c>
      <c r="AA429" s="6">
        <f t="shared" si="236"/>
        <v>143</v>
      </c>
      <c r="AB429" s="7">
        <f t="shared" si="260"/>
        <v>983866749466</v>
      </c>
      <c r="AC429" s="4">
        <f t="shared" si="237"/>
        <v>145</v>
      </c>
      <c r="AD429" s="8">
        <f t="shared" si="261"/>
        <v>1475800124198</v>
      </c>
      <c r="AE429" s="6">
        <f t="shared" si="238"/>
        <v>148</v>
      </c>
      <c r="AF429" s="7">
        <f t="shared" si="262"/>
        <v>2213700186298</v>
      </c>
      <c r="AG429" s="4">
        <f t="shared" si="239"/>
        <v>151</v>
      </c>
      <c r="AH429" s="8">
        <f t="shared" si="263"/>
        <v>7083840596152</v>
      </c>
    </row>
    <row r="430" ht="27.75" customHeight="1" spans="1:34" x14ac:dyDescent="0.25">
      <c r="A430" s="3">
        <v>440</v>
      </c>
      <c r="B430" s="3" t="s">
        <v>541</v>
      </c>
      <c r="C430" s="3" t="s">
        <v>532</v>
      </c>
      <c r="D430" s="3" t="s">
        <v>29</v>
      </c>
      <c r="E430" s="3">
        <v>125</v>
      </c>
      <c r="F430" s="3" t="s">
        <v>54</v>
      </c>
      <c r="G430" s="3" t="s">
        <v>472</v>
      </c>
      <c r="H430" s="3">
        <v>34</v>
      </c>
      <c r="I430" s="4">
        <v>125</v>
      </c>
      <c r="J430" s="5">
        <v>8360000000</v>
      </c>
      <c r="K430" s="6">
        <f t="shared" si="228"/>
        <v>126</v>
      </c>
      <c r="L430" s="7">
        <f t="shared" si="252"/>
        <v>11704000000</v>
      </c>
      <c r="M430" s="4">
        <f t="shared" si="229"/>
        <v>127</v>
      </c>
      <c r="N430" s="8">
        <f t="shared" si="253"/>
        <v>17556000000</v>
      </c>
      <c r="O430" s="6">
        <f t="shared" si="230"/>
        <v>129</v>
      </c>
      <c r="P430" s="7">
        <f t="shared" si="254"/>
        <v>28089600000</v>
      </c>
      <c r="Q430" s="4">
        <f t="shared" si="231"/>
        <v>131</v>
      </c>
      <c r="R430" s="8">
        <f t="shared" si="255"/>
        <v>56179200000</v>
      </c>
      <c r="S430" s="6">
        <f t="shared" si="232"/>
        <v>133</v>
      </c>
      <c r="T430" s="7">
        <f t="shared" si="256"/>
        <v>123594240000</v>
      </c>
      <c r="U430" s="4">
        <f t="shared" si="233"/>
        <v>136</v>
      </c>
      <c r="V430" s="8">
        <f t="shared" si="257"/>
        <v>335558361600</v>
      </c>
      <c r="W430" s="6">
        <f t="shared" si="234"/>
        <v>140</v>
      </c>
      <c r="X430" s="7">
        <f t="shared" si="258"/>
        <v>872451740160</v>
      </c>
      <c r="Y430" s="4">
        <f t="shared" si="235"/>
        <v>142</v>
      </c>
      <c r="Z430" s="8">
        <f t="shared" si="259"/>
        <v>1221432436224</v>
      </c>
      <c r="AA430" s="6">
        <f t="shared" si="236"/>
        <v>144</v>
      </c>
      <c r="AB430" s="7">
        <f t="shared" si="260"/>
        <v>1710005410714</v>
      </c>
      <c r="AC430" s="4">
        <f t="shared" si="237"/>
        <v>146</v>
      </c>
      <c r="AD430" s="8">
        <f t="shared" si="261"/>
        <v>2565008116070</v>
      </c>
      <c r="AE430" s="6">
        <f t="shared" si="238"/>
        <v>149</v>
      </c>
      <c r="AF430" s="7">
        <f t="shared" si="262"/>
        <v>3847512174106</v>
      </c>
      <c r="AG430" s="4">
        <f t="shared" si="239"/>
        <v>152</v>
      </c>
      <c r="AH430" s="8">
        <f t="shared" si="263"/>
        <v>12312038957138</v>
      </c>
    </row>
    <row r="431" ht="27.75" customHeight="1" spans="1:34" x14ac:dyDescent="0.25">
      <c r="A431" s="3">
        <v>441</v>
      </c>
      <c r="B431" s="3" t="s">
        <v>251</v>
      </c>
      <c r="C431" s="3" t="s">
        <v>532</v>
      </c>
      <c r="D431" s="3" t="s">
        <v>40</v>
      </c>
      <c r="E431" s="3">
        <v>126</v>
      </c>
      <c r="F431" s="3" t="s">
        <v>59</v>
      </c>
      <c r="G431" s="3" t="s">
        <v>252</v>
      </c>
      <c r="H431" s="3">
        <v>35</v>
      </c>
      <c r="I431" s="4">
        <v>126</v>
      </c>
      <c r="J431" s="5">
        <v>30500000000</v>
      </c>
      <c r="K431" s="6">
        <f t="shared" si="228"/>
        <v>127</v>
      </c>
      <c r="L431" s="7">
        <f t="shared" si="252"/>
        <v>42700000000</v>
      </c>
      <c r="M431" s="4">
        <f t="shared" si="229"/>
        <v>128</v>
      </c>
      <c r="N431" s="8">
        <f t="shared" si="253"/>
        <v>64050000000</v>
      </c>
      <c r="O431" s="6">
        <f t="shared" si="230"/>
        <v>130</v>
      </c>
      <c r="P431" s="7">
        <f t="shared" si="254"/>
        <v>102480000000</v>
      </c>
      <c r="Q431" s="4">
        <f t="shared" si="231"/>
        <v>132</v>
      </c>
      <c r="R431" s="8">
        <f t="shared" si="255"/>
        <v>204960000000</v>
      </c>
      <c r="S431" s="6">
        <f t="shared" si="232"/>
        <v>134</v>
      </c>
      <c r="T431" s="7">
        <f t="shared" si="256"/>
        <v>450912000000</v>
      </c>
      <c r="U431" s="4">
        <f t="shared" si="233"/>
        <v>137</v>
      </c>
      <c r="V431" s="8">
        <f t="shared" si="257"/>
        <v>1224226080000</v>
      </c>
      <c r="W431" s="6">
        <f t="shared" si="234"/>
        <v>141</v>
      </c>
      <c r="X431" s="7">
        <f t="shared" si="258"/>
        <v>3182987808000</v>
      </c>
      <c r="Y431" s="4">
        <f t="shared" si="235"/>
        <v>143</v>
      </c>
      <c r="Z431" s="8">
        <f t="shared" si="259"/>
        <v>4456182931200</v>
      </c>
      <c r="AA431" s="6">
        <f t="shared" si="236"/>
        <v>145</v>
      </c>
      <c r="AB431" s="7">
        <f t="shared" si="260"/>
        <v>6238656103680</v>
      </c>
      <c r="AC431" s="4">
        <f t="shared" si="237"/>
        <v>147</v>
      </c>
      <c r="AD431" s="8">
        <f t="shared" si="261"/>
        <v>9357984155520</v>
      </c>
      <c r="AE431" s="6">
        <f t="shared" si="238"/>
        <v>150</v>
      </c>
      <c r="AF431" s="7">
        <f t="shared" si="262"/>
        <v>14036976233280</v>
      </c>
      <c r="AG431" s="4">
        <f t="shared" si="239"/>
        <v>153</v>
      </c>
      <c r="AH431" s="8">
        <f t="shared" si="263"/>
        <v>44918323946496</v>
      </c>
    </row>
    <row r="432" ht="27.75" customHeight="1" spans="1:34" x14ac:dyDescent="0.25">
      <c r="A432" s="3">
        <v>442</v>
      </c>
      <c r="B432" s="3" t="s">
        <v>269</v>
      </c>
      <c r="C432" s="3" t="s">
        <v>532</v>
      </c>
      <c r="D432" s="3" t="s">
        <v>25</v>
      </c>
      <c r="E432" s="3">
        <v>126</v>
      </c>
      <c r="F432" s="3" t="s">
        <v>26</v>
      </c>
      <c r="G432" s="3" t="s">
        <v>270</v>
      </c>
      <c r="H432" s="3">
        <v>35</v>
      </c>
      <c r="I432" s="4">
        <v>126</v>
      </c>
      <c r="J432" s="5">
        <v>20400000000</v>
      </c>
      <c r="K432" s="6">
        <f t="shared" si="228"/>
        <v>127</v>
      </c>
      <c r="L432" s="7">
        <f t="shared" si="252"/>
        <v>28560000000</v>
      </c>
      <c r="M432" s="4">
        <f t="shared" si="229"/>
        <v>128</v>
      </c>
      <c r="N432" s="8">
        <f t="shared" si="253"/>
        <v>42840000000</v>
      </c>
      <c r="O432" s="6">
        <f t="shared" si="230"/>
        <v>130</v>
      </c>
      <c r="P432" s="7">
        <f t="shared" si="254"/>
        <v>68544000000</v>
      </c>
      <c r="Q432" s="4">
        <f t="shared" si="231"/>
        <v>132</v>
      </c>
      <c r="R432" s="8">
        <f t="shared" si="255"/>
        <v>137088000000</v>
      </c>
      <c r="S432" s="6">
        <f t="shared" si="232"/>
        <v>134</v>
      </c>
      <c r="T432" s="7">
        <f t="shared" si="256"/>
        <v>301593600000</v>
      </c>
      <c r="U432" s="4">
        <f t="shared" si="233"/>
        <v>137</v>
      </c>
      <c r="V432" s="8">
        <f t="shared" si="257"/>
        <v>818826624000</v>
      </c>
      <c r="W432" s="6">
        <f t="shared" si="234"/>
        <v>141</v>
      </c>
      <c r="X432" s="7">
        <f t="shared" si="258"/>
        <v>2128949222400</v>
      </c>
      <c r="Y432" s="4">
        <f t="shared" si="235"/>
        <v>143</v>
      </c>
      <c r="Z432" s="8">
        <f t="shared" si="259"/>
        <v>2980528911360</v>
      </c>
      <c r="AA432" s="6">
        <f t="shared" si="236"/>
        <v>145</v>
      </c>
      <c r="AB432" s="7">
        <f t="shared" si="260"/>
        <v>4172740475904</v>
      </c>
      <c r="AC432" s="4">
        <f t="shared" si="237"/>
        <v>147</v>
      </c>
      <c r="AD432" s="8">
        <f t="shared" si="261"/>
        <v>6259110713856</v>
      </c>
      <c r="AE432" s="6">
        <f t="shared" si="238"/>
        <v>150</v>
      </c>
      <c r="AF432" s="7">
        <f t="shared" si="262"/>
        <v>9388666070784</v>
      </c>
      <c r="AG432" s="4">
        <f t="shared" si="239"/>
        <v>153</v>
      </c>
      <c r="AH432" s="8">
        <f t="shared" si="263"/>
        <v>30043731426509</v>
      </c>
    </row>
    <row r="433" ht="27.75" customHeight="1" spans="1:34" x14ac:dyDescent="0.25">
      <c r="A433" s="3">
        <v>443</v>
      </c>
      <c r="B433" s="3" t="s">
        <v>323</v>
      </c>
      <c r="C433" s="3" t="s">
        <v>542</v>
      </c>
      <c r="D433" s="3" t="s">
        <v>79</v>
      </c>
      <c r="E433" s="3">
        <v>114</v>
      </c>
      <c r="F433" s="3" t="s">
        <v>34</v>
      </c>
      <c r="G433" s="3" t="s">
        <v>35</v>
      </c>
      <c r="H433" s="3">
        <v>28</v>
      </c>
      <c r="I433" s="4">
        <v>114</v>
      </c>
      <c r="J433" s="5">
        <v>179000</v>
      </c>
      <c r="K433" s="6">
        <f t="shared" si="228"/>
        <v>115</v>
      </c>
      <c r="L433" s="7">
        <f>IF($J433=0,0,ROUND(MAX($J433*1.4,1620000*(1.497923^(MIN($E433,123)-117)))*1,0))</f>
        <v>481999</v>
      </c>
      <c r="M433" s="4">
        <f t="shared" si="229"/>
        <v>116</v>
      </c>
      <c r="N433" s="8">
        <f>IF($J433=0,0,ROUND(MAX($J433*1.4*1.5,2190000*(1.580994^(MIN($E433,123)-117)))*1,0))</f>
        <v>554183</v>
      </c>
      <c r="O433" s="6">
        <f t="shared" si="230"/>
        <v>118</v>
      </c>
      <c r="P433" s="7">
        <f>IF($J433=0,0,ROUND(MAX($J433*1.4*1.5*1.6,3500000*(1.57975^(MIN($E433,123)-117)))*1,0))</f>
        <v>887775</v>
      </c>
      <c r="Q433" s="4">
        <f t="shared" si="231"/>
        <v>120</v>
      </c>
      <c r="R433" s="8">
        <f>IF($J433=0,0,ROUND(MAX($J433*1.4*1.5*1.6*1.6,13100000*(1.429962^(MIN($E433,123)-117)))*1,0))</f>
        <v>4480204</v>
      </c>
      <c r="S433" s="6">
        <f t="shared" si="232"/>
        <v>122</v>
      </c>
      <c r="T433" s="7">
        <f>IF($J433=0,0,ROUND(MAX($J433*1.4*1.5*1.6*1.6*2.2,42600000*(1.576904^(MIN($E433,123)-117)))*1,0))</f>
        <v>10864102</v>
      </c>
      <c r="U433" s="4">
        <f t="shared" si="233"/>
        <v>125</v>
      </c>
      <c r="V433" s="8">
        <f>IF($J433=0,0,ROUND(MAX($J433*1.4*1.5*1.6*1.6*2.2*2.715,354000000*(1.642074^(MIN($E433,123)-117)))*1,0))</f>
        <v>79951219</v>
      </c>
      <c r="W433" s="6">
        <f t="shared" si="234"/>
        <v>129</v>
      </c>
      <c r="X433" s="7">
        <f>IF($J433=0,0,ROUND(MAX($J433*1.4*1.5*1.6*1.6*2.2*2.715*2.6,3540000000*(1.579646^(MIN($E433,123)-117)))*1,0))</f>
        <v>898098448</v>
      </c>
      <c r="Y433" s="4">
        <f t="shared" si="235"/>
        <v>131</v>
      </c>
      <c r="Z433" s="8">
        <f>IF($J433=0,0,ROUND(MAX($J433*1.4*1.5*1.6*1.6*2.2*2.715*2.6*1.4,6020000000*(1.651178^(MIN($E433,123)-117)))*1,0))</f>
        <v>1337256787</v>
      </c>
      <c r="AA433" s="6">
        <f t="shared" si="236"/>
        <v>133</v>
      </c>
      <c r="AB433" s="7">
        <f>IF($J433=0,0,ROUND(MAX($J433*1.4*1.5*1.6*1.6*2.2*2.715*2.6*1.4*1.4,8430000000*(1.651435^(MIN($E433,123)-117)))*1,0))</f>
        <v>1871729653</v>
      </c>
      <c r="AC433" s="4">
        <f t="shared" si="237"/>
        <v>135</v>
      </c>
      <c r="AD433" s="8">
        <f>IF($J433=0,0,ROUND(MAX($J433*1.4*1.5*1.6*1.6*2.2*2.715*2.6*1.4*1.4*1.5,12600000000*(1.652953^(MIN($E433,123)-117)))*1,0))</f>
        <v>2789902525</v>
      </c>
      <c r="AE433" s="6">
        <f t="shared" si="238"/>
        <v>138</v>
      </c>
      <c r="AF433" s="7">
        <f>IF($J433=0,0,ROUND(MAX($J433*1.4*1.5*1.6*1.6*2.2*2.715*2.6*1.4*1.4*1.5*1.5,18900000000*(1.65331^(MIN($E433,123)-117)))*1,0))</f>
        <v>4182143461</v>
      </c>
      <c r="AG433" s="4">
        <f t="shared" si="239"/>
        <v>141</v>
      </c>
      <c r="AH433" s="8">
        <f>IF($J433=0,0,ROUND(MAX($J433*1.4*1.5*1.6*1.6*2.2*2.715*2.6*1.4*1.4*1.5*1.5*3.2,60500000000*(1.654288^(MIN($E433,123)-117)))*1,0))</f>
        <v>13363555336</v>
      </c>
    </row>
    <row r="434" ht="27.75" customHeight="1" spans="1:34" x14ac:dyDescent="0.25">
      <c r="A434" s="3">
        <v>444</v>
      </c>
      <c r="B434" s="3" t="s">
        <v>543</v>
      </c>
      <c r="C434" s="3" t="s">
        <v>542</v>
      </c>
      <c r="D434" s="3" t="s">
        <v>40</v>
      </c>
      <c r="E434" s="3">
        <v>106</v>
      </c>
      <c r="F434" s="3" t="s">
        <v>123</v>
      </c>
      <c r="G434" s="3" t="s">
        <v>544</v>
      </c>
      <c r="H434" s="3">
        <v>24</v>
      </c>
      <c r="I434" s="4">
        <v>106</v>
      </c>
      <c r="J434" s="5">
        <v>29600</v>
      </c>
      <c r="K434" s="6">
        <f t="shared" si="228"/>
        <v>107</v>
      </c>
      <c r="L434" s="7">
        <f>IF($J434=0,0,ROUND(MAX($J434*1.4,1620000*(1.497923^(MIN($E434,123)-117)))*0.8,0))</f>
        <v>33152</v>
      </c>
      <c r="M434" s="4">
        <f t="shared" si="229"/>
        <v>108</v>
      </c>
      <c r="N434" s="8">
        <f>IF($J434=0,0,ROUND(MAX($J434*1.4*1.5,2190000*(1.580994^(MIN($E434,123)-117)))*0.8,0))</f>
        <v>49728</v>
      </c>
      <c r="O434" s="6">
        <f t="shared" si="230"/>
        <v>110</v>
      </c>
      <c r="P434" s="7">
        <f>IF($J434=0,0,ROUND(MAX($J434*1.4*1.5*1.6,3500000*(1.57975^(MIN($E434,123)-117)))*0.8,0))</f>
        <v>79565</v>
      </c>
      <c r="Q434" s="4">
        <f t="shared" si="231"/>
        <v>112</v>
      </c>
      <c r="R434" s="8">
        <f>IF($J434=0,0,ROUND(MAX($J434*1.4*1.5*1.6*1.6,13100000*(1.429962^(MIN($E434,123)-117)))*0.651041666666667,0))</f>
        <v>166844</v>
      </c>
      <c r="S434" s="6">
        <f t="shared" si="232"/>
        <v>114</v>
      </c>
      <c r="T434" s="7">
        <f>IF($J434=0,0,ROUND(MAX($J434*1.4*1.5*1.6*1.6*2.2,42600000*(1.576904^(MIN($E434,123)-117)))*0.617361111111111,0))</f>
        <v>216129</v>
      </c>
      <c r="U434" s="4">
        <f t="shared" si="233"/>
        <v>117</v>
      </c>
      <c r="V434" s="8">
        <f>IF($J434=0,0,ROUND(MAX($J434*1.4*1.5*1.6*1.6*2.2*2.715,354000000*(1.642074^(MIN($E434,123)-117)))*0.583680555555556,0))</f>
        <v>882792</v>
      </c>
      <c r="W434" s="6">
        <f t="shared" si="234"/>
        <v>121</v>
      </c>
      <c r="X434" s="7">
        <f>IF($J434=0,0,ROUND(MAX($J434*1.4*1.5*1.6*1.6*2.2*2.715*2.6,3540000000*(1.579646^(MIN($E434,123)-117)))*0.55,0))</f>
        <v>12741145</v>
      </c>
      <c r="Y434" s="4">
        <f t="shared" si="235"/>
        <v>123</v>
      </c>
      <c r="Z434" s="8">
        <f>IF($J434=0,0,ROUND(MAX($J434*1.4*1.5*1.6*1.6*2.2*2.715*2.6*1.4,6020000000*(1.651178^(MIN($E434,123)-117)))*0.55,0))</f>
        <v>13311480</v>
      </c>
      <c r="AA434" s="6">
        <f t="shared" si="236"/>
        <v>125</v>
      </c>
      <c r="AB434" s="7">
        <f>IF($J434=0,0,ROUND(MAX($J434*1.4*1.5*1.6*1.6*2.2*2.715*2.6*1.4*1.4,8430000000*(1.651435^(MIN($E434,123)-117)))*0.55,0))</f>
        <v>18608610</v>
      </c>
      <c r="AC434" s="4">
        <f t="shared" si="237"/>
        <v>127</v>
      </c>
      <c r="AD434" s="8">
        <f>IF($J434=0,0,ROUND(MAX($J434*1.4*1.5*1.6*1.6*2.2*2.715*2.6*1.4*1.4*1.5,12600000000*(1.652953^(MIN($E434,123)-117)))*0.55,0))</f>
        <v>27533897</v>
      </c>
      <c r="AE434" s="6">
        <f t="shared" si="238"/>
        <v>130</v>
      </c>
      <c r="AF434" s="7">
        <f>IF($J434=0,0,ROUND(MAX($J434*1.4*1.5*1.6*1.6*2.2*2.715*2.6*1.4*1.4*1.5*1.5,18900000000*(1.65331^(MIN($E434,123)-117)))*0.55,0))</f>
        <v>41202852</v>
      </c>
      <c r="AG434" s="4">
        <f t="shared" si="239"/>
        <v>133</v>
      </c>
      <c r="AH434" s="8">
        <f>IF($J434=0,0,ROUND(MAX($J434*1.4*1.5*1.6*1.6*2.2*2.715*2.6*1.4*1.4*1.5*1.5*3.2,60500000000*(1.654288^(MIN($E434,123)-117)))*0.55,0))</f>
        <v>131037546</v>
      </c>
    </row>
    <row r="435" ht="27.75" customHeight="1" spans="1:34" x14ac:dyDescent="0.25">
      <c r="A435" s="3">
        <v>445</v>
      </c>
      <c r="B435" s="3" t="s">
        <v>545</v>
      </c>
      <c r="C435" s="3" t="s">
        <v>542</v>
      </c>
      <c r="D435" s="3" t="s">
        <v>25</v>
      </c>
      <c r="E435" s="3">
        <v>114</v>
      </c>
      <c r="F435" s="3" t="s">
        <v>34</v>
      </c>
      <c r="G435" s="3" t="s">
        <v>277</v>
      </c>
      <c r="H435" s="3">
        <v>28</v>
      </c>
      <c r="I435" s="4">
        <v>114</v>
      </c>
      <c r="J435" s="5">
        <v>101000</v>
      </c>
      <c r="K435" s="6">
        <f t="shared" si="228"/>
        <v>115</v>
      </c>
      <c r="L435" s="7">
        <f>IF($J435=0,0,ROUND(MAX($J435*1.4,1620000*(1.497923^(MIN($E435,123)-117)))*1,0))</f>
        <v>481999</v>
      </c>
      <c r="M435" s="4">
        <f t="shared" si="229"/>
        <v>116</v>
      </c>
      <c r="N435" s="8">
        <f>IF($J435=0,0,ROUND(MAX($J435*1.4*1.5,2190000*(1.580994^(MIN($E435,123)-117)))*1,0))</f>
        <v>554183</v>
      </c>
      <c r="O435" s="6">
        <f t="shared" si="230"/>
        <v>118</v>
      </c>
      <c r="P435" s="7">
        <f>IF($J435=0,0,ROUND(MAX($J435*1.4*1.5*1.6,3500000*(1.57975^(MIN($E435,123)-117)))*1,0))</f>
        <v>887775</v>
      </c>
      <c r="Q435" s="4">
        <f t="shared" si="231"/>
        <v>120</v>
      </c>
      <c r="R435" s="8">
        <f>IF($J435=0,0,ROUND(MAX($J435*1.4*1.5*1.6*1.6,13100000*(1.429962^(MIN($E435,123)-117)))*1,0))</f>
        <v>4480204</v>
      </c>
      <c r="S435" s="6">
        <f t="shared" si="232"/>
        <v>122</v>
      </c>
      <c r="T435" s="7">
        <f>IF($J435=0,0,ROUND(MAX($J435*1.4*1.5*1.6*1.6*2.2,42600000*(1.576904^(MIN($E435,123)-117)))*1,0))</f>
        <v>10864102</v>
      </c>
      <c r="U435" s="4">
        <f t="shared" si="233"/>
        <v>125</v>
      </c>
      <c r="V435" s="8">
        <f>IF($J435=0,0,ROUND(MAX($J435*1.4*1.5*1.6*1.6*2.2*2.715,354000000*(1.642074^(MIN($E435,123)-117)))*1,0))</f>
        <v>79951219</v>
      </c>
      <c r="W435" s="6">
        <f t="shared" si="234"/>
        <v>129</v>
      </c>
      <c r="X435" s="7">
        <f>IF($J435=0,0,ROUND(MAX($J435*1.4*1.5*1.6*1.6*2.2*2.715*2.6,3540000000*(1.579646^(MIN($E435,123)-117)))*1,0))</f>
        <v>898098448</v>
      </c>
      <c r="Y435" s="4">
        <f t="shared" si="235"/>
        <v>131</v>
      </c>
      <c r="Z435" s="8">
        <f>IF($J435=0,0,ROUND(MAX($J435*1.4*1.5*1.6*1.6*2.2*2.715*2.6*1.4,6020000000*(1.651178^(MIN($E435,123)-117)))*1,0))</f>
        <v>1337256787</v>
      </c>
      <c r="AA435" s="6">
        <f t="shared" si="236"/>
        <v>133</v>
      </c>
      <c r="AB435" s="7">
        <f>IF($J435=0,0,ROUND(MAX($J435*1.4*1.5*1.6*1.6*2.2*2.715*2.6*1.4*1.4,8430000000*(1.651435^(MIN($E435,123)-117)))*1,0))</f>
        <v>1871729653</v>
      </c>
      <c r="AC435" s="4">
        <f t="shared" si="237"/>
        <v>135</v>
      </c>
      <c r="AD435" s="8">
        <f>IF($J435=0,0,ROUND(MAX($J435*1.4*1.5*1.6*1.6*2.2*2.715*2.6*1.4*1.4*1.5,12600000000*(1.652953^(MIN($E435,123)-117)))*1,0))</f>
        <v>2789902525</v>
      </c>
      <c r="AE435" s="6">
        <f t="shared" si="238"/>
        <v>138</v>
      </c>
      <c r="AF435" s="7">
        <f>IF($J435=0,0,ROUND(MAX($J435*1.4*1.5*1.6*1.6*2.2*2.715*2.6*1.4*1.4*1.5*1.5,18900000000*(1.65331^(MIN($E435,123)-117)))*1,0))</f>
        <v>4182143461</v>
      </c>
      <c r="AG435" s="4">
        <f t="shared" si="239"/>
        <v>141</v>
      </c>
      <c r="AH435" s="8">
        <f>IF($J435=0,0,ROUND(MAX($J435*1.4*1.5*1.6*1.6*2.2*2.715*2.6*1.4*1.4*1.5*1.5*3.2,60500000000*(1.654288^(MIN($E435,123)-117)))*1,0))</f>
        <v>13363555336</v>
      </c>
    </row>
    <row r="436" ht="27.75" customHeight="1" spans="1:34" x14ac:dyDescent="0.25">
      <c r="A436" s="3">
        <v>446</v>
      </c>
      <c r="B436" s="3" t="s">
        <v>238</v>
      </c>
      <c r="C436" s="3" t="s">
        <v>542</v>
      </c>
      <c r="D436" s="3" t="s">
        <v>25</v>
      </c>
      <c r="E436" s="3">
        <v>113</v>
      </c>
      <c r="F436" s="3" t="s">
        <v>71</v>
      </c>
      <c r="G436" s="3" t="s">
        <v>72</v>
      </c>
      <c r="H436" s="3">
        <v>27</v>
      </c>
      <c r="I436" s="4">
        <v>113</v>
      </c>
      <c r="J436" s="5">
        <v>75000</v>
      </c>
      <c r="K436" s="6">
        <f t="shared" si="228"/>
        <v>114</v>
      </c>
      <c r="L436" s="7">
        <f>IF($J436=0,0,ROUND(MAX($J436*1.4,1620000*(1.497923^(MIN($E436,123)-117)))*1,0))</f>
        <v>321779</v>
      </c>
      <c r="M436" s="4">
        <f t="shared" si="229"/>
        <v>115</v>
      </c>
      <c r="N436" s="8">
        <f>IF($J436=0,0,ROUND(MAX($J436*1.4*1.5,2190000*(1.580994^(MIN($E436,123)-117)))*1,0))</f>
        <v>350528</v>
      </c>
      <c r="O436" s="6">
        <f t="shared" si="230"/>
        <v>117</v>
      </c>
      <c r="P436" s="7">
        <f>IF($J436=0,0,ROUND(MAX($J436*1.4*1.5*1.6,3500000*(1.57975^(MIN($E436,123)-117)))*1,0))</f>
        <v>561972</v>
      </c>
      <c r="Q436" s="4">
        <f t="shared" si="231"/>
        <v>119</v>
      </c>
      <c r="R436" s="8">
        <f>IF($J436=0,0,ROUND(MAX($J436*1.4*1.5*1.6*1.6,13100000*(1.429962^(MIN($E436,123)-117)))*1,0))</f>
        <v>3133093</v>
      </c>
      <c r="S436" s="6">
        <f t="shared" si="232"/>
        <v>121</v>
      </c>
      <c r="T436" s="7">
        <f>IF($J436=0,0,ROUND(MAX($J436*1.4*1.5*1.6*1.6*2.2,42600000*(1.576904^(MIN($E436,123)-117)))*1,0))</f>
        <v>6889514</v>
      </c>
      <c r="U436" s="4">
        <f t="shared" si="233"/>
        <v>124</v>
      </c>
      <c r="V436" s="8">
        <f>IF($J436=0,0,ROUND(MAX($J436*1.4*1.5*1.6*1.6*2.2*2.715,354000000*(1.642074^(MIN($E436,123)-117)))*1,0))</f>
        <v>48689169</v>
      </c>
      <c r="W436" s="6">
        <f t="shared" si="234"/>
        <v>128</v>
      </c>
      <c r="X436" s="7">
        <f>IF($J436=0,0,ROUND(MAX($J436*1.4*1.5*1.6*1.6*2.2*2.715*2.6,3540000000*(1.579646^(MIN($E436,123)-117)))*1,0))</f>
        <v>568544122</v>
      </c>
      <c r="Y436" s="4">
        <f t="shared" si="235"/>
        <v>130</v>
      </c>
      <c r="Z436" s="8">
        <f>IF($J436=0,0,ROUND(MAX($J436*1.4*1.5*1.6*1.6*2.2*2.715*2.6*1.4,6020000000*(1.651178^(MIN($E436,123)-117)))*1,0))</f>
        <v>809880453</v>
      </c>
      <c r="AA436" s="6">
        <f t="shared" si="236"/>
        <v>132</v>
      </c>
      <c r="AB436" s="7">
        <f>IF($J436=0,0,ROUND(MAX($J436*1.4*1.5*1.6*1.6*2.2*2.715*2.6*1.4*1.4,8430000000*(1.651435^(MIN($E436,123)-117)))*1,0))</f>
        <v>1133395897</v>
      </c>
      <c r="AC436" s="4">
        <f t="shared" si="237"/>
        <v>134</v>
      </c>
      <c r="AD436" s="8">
        <f>IF($J436=0,0,ROUND(MAX($J436*1.4*1.5*1.6*1.6*2.2*2.715*2.6*1.4*1.4*1.5,12600000000*(1.652953^(MIN($E436,123)-117)))*1,0))</f>
        <v>1687829312</v>
      </c>
      <c r="AE436" s="6">
        <f t="shared" si="238"/>
        <v>137</v>
      </c>
      <c r="AF436" s="7">
        <f>IF($J436=0,0,ROUND(MAX($J436*1.4*1.5*1.6*1.6*2.2*2.715*2.6*1.4*1.4*1.5*1.5,18900000000*(1.65331^(MIN($E436,123)-117)))*1,0))</f>
        <v>2529557954</v>
      </c>
      <c r="AG436" s="4">
        <f t="shared" si="239"/>
        <v>140</v>
      </c>
      <c r="AH436" s="8">
        <f>IF($J436=0,0,ROUND(MAX($J436*1.4*1.5*1.6*1.6*2.2*2.715*2.6*1.4*1.4*1.5*1.5*3.2,60500000000*(1.654288^(MIN($E436,123)-117)))*1,0))</f>
        <v>8078131097</v>
      </c>
    </row>
    <row r="437" ht="27.75" customHeight="1" spans="1:34" x14ac:dyDescent="0.25">
      <c r="A437" s="3">
        <v>447</v>
      </c>
      <c r="B437" s="3" t="s">
        <v>546</v>
      </c>
      <c r="C437" s="3" t="s">
        <v>542</v>
      </c>
      <c r="D437" s="3" t="s">
        <v>40</v>
      </c>
      <c r="E437" s="3">
        <v>107</v>
      </c>
      <c r="F437" s="3" t="s">
        <v>123</v>
      </c>
      <c r="G437" s="3" t="s">
        <v>123</v>
      </c>
      <c r="H437" s="3">
        <v>25</v>
      </c>
      <c r="I437" s="4">
        <v>107</v>
      </c>
      <c r="J437" s="5">
        <v>46800</v>
      </c>
      <c r="K437" s="6">
        <f t="shared" si="228"/>
        <v>108</v>
      </c>
      <c r="L437" s="7">
        <f>IF($J437=0,0,ROUND(MAX($J437*1.4,1620000*(1.497923^(MIN($E437,123)-117)))*1,0))</f>
        <v>65520</v>
      </c>
      <c r="M437" s="4">
        <f t="shared" si="229"/>
        <v>109</v>
      </c>
      <c r="N437" s="8">
        <f>IF($J437=0,0,ROUND(MAX($J437*1.4*1.5,2190000*(1.580994^(MIN($E437,123)-117)))*1,0))</f>
        <v>98280</v>
      </c>
      <c r="O437" s="6">
        <f t="shared" si="230"/>
        <v>111</v>
      </c>
      <c r="P437" s="7">
        <f>IF($J437=0,0,ROUND(MAX($J437*1.4*1.5*1.6,3500000*(1.57975^(MIN($E437,123)-117)))*1,0))</f>
        <v>157248</v>
      </c>
      <c r="Q437" s="4">
        <f t="shared" si="231"/>
        <v>113</v>
      </c>
      <c r="R437" s="8">
        <f>IF($J437=0,0,ROUND(MAX($J437*1.4*1.5*1.6*1.6,13100000*(1.429962^(MIN($E437,123)-117)))*1,0))</f>
        <v>366460</v>
      </c>
      <c r="S437" s="6">
        <f t="shared" si="232"/>
        <v>115</v>
      </c>
      <c r="T437" s="7">
        <f>IF($J437=0,0,ROUND(MAX($J437*1.4*1.5*1.6*1.6*2.2,42600000*(1.576904^(MIN($E437,123)-117)))*1,0))</f>
        <v>553513</v>
      </c>
      <c r="U437" s="4">
        <f t="shared" si="233"/>
        <v>118</v>
      </c>
      <c r="V437" s="8">
        <f>IF($J437=0,0,ROUND(MAX($J437*1.4*1.5*1.6*1.6*2.2*2.715,354000000*(1.642074^(MIN($E437,123)-117)))*1,0))</f>
        <v>2483568</v>
      </c>
      <c r="W437" s="6">
        <f t="shared" si="234"/>
        <v>122</v>
      </c>
      <c r="X437" s="7">
        <f>IF($J437=0,0,ROUND(MAX($J437*1.4*1.5*1.6*1.6*2.2*2.715*2.6,3540000000*(1.579646^(MIN($E437,123)-117)))*1,0))</f>
        <v>36593634</v>
      </c>
      <c r="Y437" s="4">
        <f t="shared" si="235"/>
        <v>124</v>
      </c>
      <c r="Z437" s="8">
        <f>IF($J437=0,0,ROUND(MAX($J437*1.4*1.5*1.6*1.6*2.2*2.715*2.6*1.4,6020000000*(1.651178^(MIN($E437,123)-117)))*1,0))</f>
        <v>39962952</v>
      </c>
      <c r="AA437" s="6">
        <f t="shared" si="236"/>
        <v>126</v>
      </c>
      <c r="AB437" s="7">
        <f>IF($J437=0,0,ROUND(MAX($J437*1.4*1.5*1.6*1.6*2.2*2.715*2.6*1.4*1.4,8430000000*(1.651435^(MIN($E437,123)-117)))*1,0))</f>
        <v>55874381</v>
      </c>
      <c r="AC437" s="4">
        <f t="shared" si="237"/>
        <v>128</v>
      </c>
      <c r="AD437" s="8">
        <f>IF($J437=0,0,ROUND(MAX($J437*1.4*1.5*1.6*1.6*2.2*2.715*2.6*1.4*1.4*1.5,12600000000*(1.652953^(MIN($E437,123)-117)))*1,0))</f>
        <v>82749522</v>
      </c>
      <c r="AE437" s="6">
        <f t="shared" si="238"/>
        <v>131</v>
      </c>
      <c r="AF437" s="7">
        <f>IF($J437=0,0,ROUND(MAX($J437*1.4*1.5*1.6*1.6*2.2*2.715*2.6*1.4*1.4*1.5*1.5,18900000000*(1.65331^(MIN($E437,123)-117)))*1,0))</f>
        <v>123856521</v>
      </c>
      <c r="AG437" s="4">
        <f t="shared" si="239"/>
        <v>134</v>
      </c>
      <c r="AH437" s="8">
        <f>IF($J437=0,0,ROUND(MAX($J437*1.4*1.5*1.6*1.6*2.2*2.715*2.6*1.4*1.4*1.5*1.5*3.2,60500000000*(1.654288^(MIN($E437,123)-117)))*1,0))</f>
        <v>394134254</v>
      </c>
    </row>
    <row r="438" ht="27.75" customHeight="1" spans="1:34" x14ac:dyDescent="0.25">
      <c r="A438" s="3">
        <v>448</v>
      </c>
      <c r="B438" s="3" t="s">
        <v>208</v>
      </c>
      <c r="C438" s="3" t="s">
        <v>542</v>
      </c>
      <c r="D438" s="3" t="s">
        <v>25</v>
      </c>
      <c r="E438" s="3">
        <v>112</v>
      </c>
      <c r="F438" s="3" t="s">
        <v>26</v>
      </c>
      <c r="G438" s="3" t="s">
        <v>26</v>
      </c>
      <c r="H438" s="3">
        <v>26</v>
      </c>
      <c r="I438" s="4">
        <v>112</v>
      </c>
      <c r="J438" s="5">
        <v>154000</v>
      </c>
      <c r="K438" s="6">
        <f t="shared" si="228"/>
        <v>113</v>
      </c>
      <c r="L438" s="7">
        <f>IF($J438=0,0,ROUND(MAX($J438*1.4,1620000*(1.497923^(MIN($E438,123)-117)))*1,0))</f>
        <v>215600</v>
      </c>
      <c r="M438" s="4">
        <f t="shared" si="229"/>
        <v>114</v>
      </c>
      <c r="N438" s="8">
        <f>IF($J438=0,0,ROUND(MAX($J438*1.4*1.5,2190000*(1.580994^(MIN($E438,123)-117)))*1,0))</f>
        <v>323400</v>
      </c>
      <c r="O438" s="6">
        <f t="shared" si="230"/>
        <v>116</v>
      </c>
      <c r="P438" s="7">
        <f>IF($J438=0,0,ROUND(MAX($J438*1.4*1.5*1.6,3500000*(1.57975^(MIN($E438,123)-117)))*1,0))</f>
        <v>517440</v>
      </c>
      <c r="Q438" s="4">
        <f t="shared" si="231"/>
        <v>118</v>
      </c>
      <c r="R438" s="8">
        <f>IF($J438=0,0,ROUND(MAX($J438*1.4*1.5*1.6*1.6,13100000*(1.429962^(MIN($E438,123)-117)))*1,0))</f>
        <v>2191032</v>
      </c>
      <c r="S438" s="6">
        <f t="shared" si="232"/>
        <v>120</v>
      </c>
      <c r="T438" s="7">
        <f>IF($J438=0,0,ROUND(MAX($J438*1.4*1.5*1.6*1.6*2.2,42600000*(1.576904^(MIN($E438,123)-117)))*1,0))</f>
        <v>4369013</v>
      </c>
      <c r="U438" s="4">
        <f t="shared" si="233"/>
        <v>123</v>
      </c>
      <c r="V438" s="8">
        <f>IF($J438=0,0,ROUND(MAX($J438*1.4*1.5*1.6*1.6*2.2*2.715,354000000*(1.642074^(MIN($E438,123)-117)))*1,0))</f>
        <v>29651020</v>
      </c>
      <c r="W438" s="6">
        <f t="shared" si="234"/>
        <v>127</v>
      </c>
      <c r="X438" s="7">
        <f>IF($J438=0,0,ROUND(MAX($J438*1.4*1.5*1.6*1.6*2.2*2.715*2.6,3540000000*(1.579646^(MIN($E438,123)-117)))*1,0))</f>
        <v>359918692</v>
      </c>
      <c r="Y438" s="4">
        <f t="shared" si="235"/>
        <v>129</v>
      </c>
      <c r="Z438" s="8">
        <f>IF($J438=0,0,ROUND(MAX($J438*1.4*1.5*1.6*1.6*2.2*2.715*2.6*1.4,6020000000*(1.651178^(MIN($E438,123)-117)))*1,0))</f>
        <v>490486461</v>
      </c>
      <c r="AA438" s="6">
        <f t="shared" si="236"/>
        <v>131</v>
      </c>
      <c r="AB438" s="7">
        <f>IF($J438=0,0,ROUND(MAX($J438*1.4*1.5*1.6*1.6*2.2*2.715*2.6*1.4*1.4,8430000000*(1.651435^(MIN($E438,123)-117)))*1,0))</f>
        <v>686309723</v>
      </c>
      <c r="AC438" s="4">
        <f t="shared" si="237"/>
        <v>133</v>
      </c>
      <c r="AD438" s="8">
        <f>IF($J438=0,0,ROUND(MAX($J438*1.4*1.5*1.6*1.6*2.2*2.715*2.6*1.4*1.4*1.5,12600000000*(1.652953^(MIN($E438,123)-117)))*1,0))</f>
        <v>1021099398</v>
      </c>
      <c r="AE438" s="6">
        <f t="shared" si="238"/>
        <v>136</v>
      </c>
      <c r="AF438" s="7">
        <f>IF($J438=0,0,ROUND(MAX($J438*1.4*1.5*1.6*1.6*2.2*2.715*2.6*1.4*1.4*1.5*1.5,18900000000*(1.65331^(MIN($E438,123)-117)))*1,0))</f>
        <v>1529996162</v>
      </c>
      <c r="AG438" s="4">
        <f t="shared" si="239"/>
        <v>139</v>
      </c>
      <c r="AH438" s="8">
        <f>IF($J438=0,0,ROUND(MAX($J438*1.4*1.5*1.6*1.6*2.2*2.715*2.6*1.4*1.4*1.5*1.5*3.2,60500000000*(1.654288^(MIN($E438,123)-117)))*1,0))</f>
        <v>4883146766</v>
      </c>
    </row>
    <row r="439" ht="27.75" customHeight="1" spans="1:34" x14ac:dyDescent="0.25">
      <c r="A439" s="3">
        <v>449</v>
      </c>
      <c r="B439" s="3" t="s">
        <v>318</v>
      </c>
      <c r="C439" s="3" t="s">
        <v>542</v>
      </c>
      <c r="D439" s="3" t="s">
        <v>29</v>
      </c>
      <c r="E439" s="3">
        <v>113</v>
      </c>
      <c r="F439" s="3" t="s">
        <v>71</v>
      </c>
      <c r="G439" s="3" t="s">
        <v>319</v>
      </c>
      <c r="H439" s="3">
        <v>26</v>
      </c>
      <c r="I439" s="4">
        <v>113</v>
      </c>
      <c r="J439" s="5">
        <v>277000</v>
      </c>
      <c r="K439" s="6">
        <f t="shared" si="228"/>
        <v>114</v>
      </c>
      <c r="L439" s="7">
        <f>IF($J439=0,0,ROUND(MAX($J439*1.4,1620000*(1.497923^(MIN($E439,123)-117)))*1,0))</f>
        <v>387800</v>
      </c>
      <c r="M439" s="4">
        <f t="shared" si="229"/>
        <v>115</v>
      </c>
      <c r="N439" s="8">
        <f>IF($J439=0,0,ROUND(MAX($J439*1.4*1.5,2190000*(1.580994^(MIN($E439,123)-117)))*1,0))</f>
        <v>581700</v>
      </c>
      <c r="O439" s="6">
        <f t="shared" si="230"/>
        <v>117</v>
      </c>
      <c r="P439" s="7">
        <f>IF($J439=0,0,ROUND(MAX($J439*1.4*1.5*1.6,3500000*(1.57975^(MIN($E439,123)-117)))*1,0))</f>
        <v>930720</v>
      </c>
      <c r="Q439" s="4">
        <f t="shared" si="231"/>
        <v>119</v>
      </c>
      <c r="R439" s="8">
        <f>IF($J439=0,0,ROUND(MAX($J439*1.4*1.5*1.6*1.6,13100000*(1.429962^(MIN($E439,123)-117)))*1,0))</f>
        <v>3133093</v>
      </c>
      <c r="S439" s="6">
        <f t="shared" si="232"/>
        <v>121</v>
      </c>
      <c r="T439" s="7">
        <f>IF($J439=0,0,ROUND(MAX($J439*1.4*1.5*1.6*1.6*2.2,42600000*(1.576904^(MIN($E439,123)-117)))*1,0))</f>
        <v>6889514</v>
      </c>
      <c r="U439" s="4">
        <f t="shared" si="233"/>
        <v>124</v>
      </c>
      <c r="V439" s="8">
        <f>IF($J439=0,0,ROUND(MAX($J439*1.4*1.5*1.6*1.6*2.2*2.715,354000000*(1.642074^(MIN($E439,123)-117)))*1,0))</f>
        <v>48689169</v>
      </c>
      <c r="W439" s="6">
        <f t="shared" si="234"/>
        <v>128</v>
      </c>
      <c r="X439" s="7">
        <f>IF($J439=0,0,ROUND(MAX($J439*1.4*1.5*1.6*1.6*2.2*2.715*2.6,3540000000*(1.579646^(MIN($E439,123)-117)))*1,0))</f>
        <v>568544122</v>
      </c>
      <c r="Y439" s="4">
        <f t="shared" si="235"/>
        <v>130</v>
      </c>
      <c r="Z439" s="8">
        <f>IF($J439=0,0,ROUND(MAX($J439*1.4*1.5*1.6*1.6*2.2*2.715*2.6*1.4,6020000000*(1.651178^(MIN($E439,123)-117)))*1,0))</f>
        <v>809880453</v>
      </c>
      <c r="AA439" s="6">
        <f t="shared" si="236"/>
        <v>132</v>
      </c>
      <c r="AB439" s="7">
        <f>IF($J439=0,0,ROUND(MAX($J439*1.4*1.5*1.6*1.6*2.2*2.715*2.6*1.4*1.4,8430000000*(1.651435^(MIN($E439,123)-117)))*1,0))</f>
        <v>1133395897</v>
      </c>
      <c r="AC439" s="4">
        <f t="shared" si="237"/>
        <v>134</v>
      </c>
      <c r="AD439" s="8">
        <f>IF($J439=0,0,ROUND(MAX($J439*1.4*1.5*1.6*1.6*2.2*2.715*2.6*1.4*1.4*1.5,12600000000*(1.652953^(MIN($E439,123)-117)))*1,0))</f>
        <v>1687829312</v>
      </c>
      <c r="AE439" s="6">
        <f t="shared" si="238"/>
        <v>137</v>
      </c>
      <c r="AF439" s="7">
        <f>IF($J439=0,0,ROUND(MAX($J439*1.4*1.5*1.6*1.6*2.2*2.715*2.6*1.4*1.4*1.5*1.5,18900000000*(1.65331^(MIN($E439,123)-117)))*1,0))</f>
        <v>2529557954</v>
      </c>
      <c r="AG439" s="4">
        <f t="shared" si="239"/>
        <v>140</v>
      </c>
      <c r="AH439" s="8">
        <f>IF($J439=0,0,ROUND(MAX($J439*1.4*1.5*1.6*1.6*2.2*2.715*2.6*1.4*1.4*1.5*1.5*3.2,60500000000*(1.654288^(MIN($E439,123)-117)))*1,0))</f>
        <v>8078131097</v>
      </c>
    </row>
    <row r="440" ht="27.75" customHeight="1" spans="1:34" x14ac:dyDescent="0.25">
      <c r="A440" s="3">
        <v>450</v>
      </c>
      <c r="B440" s="3" t="s">
        <v>547</v>
      </c>
      <c r="C440" s="3" t="s">
        <v>542</v>
      </c>
      <c r="D440" s="3" t="s">
        <v>40</v>
      </c>
      <c r="E440" s="3">
        <v>112</v>
      </c>
      <c r="F440" s="3" t="s">
        <v>217</v>
      </c>
      <c r="G440" s="3" t="s">
        <v>319</v>
      </c>
      <c r="H440" s="3">
        <v>26</v>
      </c>
      <c r="I440" s="4">
        <v>112</v>
      </c>
      <c r="J440" s="5">
        <v>352000</v>
      </c>
      <c r="K440" s="6">
        <f t="shared" si="228"/>
        <v>113</v>
      </c>
      <c r="L440" s="7">
        <f>IF($J440=0,0,ROUND(MAX($J440*1.4,1620000*(1.497923^(MIN($E440,123)-117)))*0.8,0))</f>
        <v>394240</v>
      </c>
      <c r="M440" s="4">
        <f t="shared" si="229"/>
        <v>114</v>
      </c>
      <c r="N440" s="8">
        <f>IF($J440=0,0,ROUND(MAX($J440*1.4*1.5,2190000*(1.580994^(MIN($E440,123)-117)))*0.8,0))</f>
        <v>591360</v>
      </c>
      <c r="O440" s="6">
        <f t="shared" si="230"/>
        <v>116</v>
      </c>
      <c r="P440" s="7">
        <f>IF($J440=0,0,ROUND(MAX($J440*1.4*1.5*1.6,3500000*(1.57975^(MIN($E440,123)-117)))*0.8,0))</f>
        <v>946176</v>
      </c>
      <c r="Q440" s="4">
        <f t="shared" si="231"/>
        <v>118</v>
      </c>
      <c r="R440" s="8">
        <f>IF($J440=0,0,ROUND(MAX($J440*1.4*1.5*1.6*1.6,13100000*(1.429962^(MIN($E440,123)-117)))*0.651041666666667,0))</f>
        <v>1426453</v>
      </c>
      <c r="S440" s="6">
        <f t="shared" si="232"/>
        <v>120</v>
      </c>
      <c r="T440" s="7">
        <f>IF($J440=0,0,ROUND(MAX($J440*1.4*1.5*1.6*1.6*2.2,42600000*(1.576904^(MIN($E440,123)-117)))*0.617361111111111,0))</f>
        <v>2697259</v>
      </c>
      <c r="U440" s="4">
        <f t="shared" si="233"/>
        <v>123</v>
      </c>
      <c r="V440" s="8">
        <f>IF($J440=0,0,ROUND(MAX($J440*1.4*1.5*1.6*1.6*2.2*2.715,354000000*(1.642074^(MIN($E440,123)-117)))*0.583680555555556,0))</f>
        <v>17306724</v>
      </c>
      <c r="W440" s="6">
        <f t="shared" si="234"/>
        <v>127</v>
      </c>
      <c r="X440" s="7">
        <f>IF($J440=0,0,ROUND(MAX($J440*1.4*1.5*1.6*1.6*2.2*2.715*2.6,3540000000*(1.579646^(MIN($E440,123)-117)))*0.55,0))</f>
        <v>197955280</v>
      </c>
      <c r="Y440" s="4">
        <f t="shared" si="235"/>
        <v>129</v>
      </c>
      <c r="Z440" s="8">
        <f>IF($J440=0,0,ROUND(MAX($J440*1.4*1.5*1.6*1.6*2.2*2.715*2.6*1.4,6020000000*(1.651178^(MIN($E440,123)-117)))*0.55,0))</f>
        <v>269767553</v>
      </c>
      <c r="AA440" s="6">
        <f t="shared" si="236"/>
        <v>131</v>
      </c>
      <c r="AB440" s="7">
        <f>IF($J440=0,0,ROUND(MAX($J440*1.4*1.5*1.6*1.6*2.2*2.715*2.6*1.4*1.4,8430000000*(1.651435^(MIN($E440,123)-117)))*0.55,0))</f>
        <v>377470347</v>
      </c>
      <c r="AC440" s="4">
        <f t="shared" si="237"/>
        <v>133</v>
      </c>
      <c r="AD440" s="8">
        <f>IF($J440=0,0,ROUND(MAX($J440*1.4*1.5*1.6*1.6*2.2*2.715*2.6*1.4*1.4*1.5,12600000000*(1.652953^(MIN($E440,123)-117)))*0.55,0))</f>
        <v>561604669</v>
      </c>
      <c r="AE440" s="6">
        <f t="shared" si="238"/>
        <v>136</v>
      </c>
      <c r="AF440" s="7">
        <f>IF($J440=0,0,ROUND(MAX($J440*1.4*1.5*1.6*1.6*2.2*2.715*2.6*1.4*1.4*1.5*1.5,18900000000*(1.65331^(MIN($E440,123)-117)))*0.55,0))</f>
        <v>841497889</v>
      </c>
      <c r="AG440" s="4">
        <f t="shared" si="239"/>
        <v>139</v>
      </c>
      <c r="AH440" s="8">
        <f>IF($J440=0,0,ROUND(MAX($J440*1.4*1.5*1.6*1.6*2.2*2.715*2.6*1.4*1.4*1.5*1.5*3.2,60500000000*(1.654288^(MIN($E440,123)-117)))*0.55,0))</f>
        <v>2685730721</v>
      </c>
    </row>
    <row r="441" ht="27.75" customHeight="1" spans="1:34" x14ac:dyDescent="0.25">
      <c r="A441" s="3">
        <v>451</v>
      </c>
      <c r="B441" s="3" t="s">
        <v>548</v>
      </c>
      <c r="C441" s="3" t="s">
        <v>542</v>
      </c>
      <c r="D441" s="3" t="s">
        <v>29</v>
      </c>
      <c r="E441" s="3">
        <v>112</v>
      </c>
      <c r="F441" s="3" t="s">
        <v>30</v>
      </c>
      <c r="G441" s="3" t="s">
        <v>57</v>
      </c>
      <c r="H441" s="3">
        <v>26</v>
      </c>
      <c r="I441" s="4">
        <v>112</v>
      </c>
      <c r="J441" s="5">
        <v>157000</v>
      </c>
      <c r="K441" s="6">
        <f t="shared" si="228"/>
        <v>113</v>
      </c>
      <c r="L441" s="7">
        <f>IF($J441=0,0,ROUND(MAX($J441*1.4,1620000*(1.497923^(MIN($E441,123)-117)))*1,0))</f>
        <v>219800</v>
      </c>
      <c r="M441" s="4">
        <f t="shared" si="229"/>
        <v>114</v>
      </c>
      <c r="N441" s="8">
        <f>IF($J441=0,0,ROUND(MAX($J441*1.4*1.5,2190000*(1.580994^(MIN($E441,123)-117)))*1,0))</f>
        <v>329700</v>
      </c>
      <c r="O441" s="6">
        <f t="shared" si="230"/>
        <v>116</v>
      </c>
      <c r="P441" s="7">
        <f>IF($J441=0,0,ROUND(MAX($J441*1.4*1.5*1.6,3500000*(1.57975^(MIN($E441,123)-117)))*1,0))</f>
        <v>527520</v>
      </c>
      <c r="Q441" s="4">
        <f t="shared" si="231"/>
        <v>118</v>
      </c>
      <c r="R441" s="8">
        <f>IF($J441=0,0,ROUND(MAX($J441*1.4*1.5*1.6*1.6,13100000*(1.429962^(MIN($E441,123)-117)))*1,0))</f>
        <v>2191032</v>
      </c>
      <c r="S441" s="6">
        <f t="shared" si="232"/>
        <v>120</v>
      </c>
      <c r="T441" s="7">
        <f>IF($J441=0,0,ROUND(MAX($J441*1.4*1.5*1.6*1.6*2.2,42600000*(1.576904^(MIN($E441,123)-117)))*1,0))</f>
        <v>4369013</v>
      </c>
      <c r="U441" s="4">
        <f t="shared" si="233"/>
        <v>123</v>
      </c>
      <c r="V441" s="8">
        <f>IF($J441=0,0,ROUND(MAX($J441*1.4*1.5*1.6*1.6*2.2*2.715,354000000*(1.642074^(MIN($E441,123)-117)))*1,0))</f>
        <v>29651020</v>
      </c>
      <c r="W441" s="6">
        <f t="shared" si="234"/>
        <v>127</v>
      </c>
      <c r="X441" s="7">
        <f>IF($J441=0,0,ROUND(MAX($J441*1.4*1.5*1.6*1.6*2.2*2.715*2.6,3540000000*(1.579646^(MIN($E441,123)-117)))*1,0))</f>
        <v>359918692</v>
      </c>
      <c r="Y441" s="4">
        <f t="shared" si="235"/>
        <v>129</v>
      </c>
      <c r="Z441" s="8">
        <f>IF($J441=0,0,ROUND(MAX($J441*1.4*1.5*1.6*1.6*2.2*2.715*2.6*1.4,6020000000*(1.651178^(MIN($E441,123)-117)))*1,0))</f>
        <v>490486461</v>
      </c>
      <c r="AA441" s="6">
        <f t="shared" si="236"/>
        <v>131</v>
      </c>
      <c r="AB441" s="7">
        <f>IF($J441=0,0,ROUND(MAX($J441*1.4*1.5*1.6*1.6*2.2*2.715*2.6*1.4*1.4,8430000000*(1.651435^(MIN($E441,123)-117)))*1,0))</f>
        <v>686309723</v>
      </c>
      <c r="AC441" s="4">
        <f t="shared" si="237"/>
        <v>133</v>
      </c>
      <c r="AD441" s="8">
        <f>IF($J441=0,0,ROUND(MAX($J441*1.4*1.5*1.6*1.6*2.2*2.715*2.6*1.4*1.4*1.5,12600000000*(1.652953^(MIN($E441,123)-117)))*1,0))</f>
        <v>1021099398</v>
      </c>
      <c r="AE441" s="6">
        <f t="shared" si="238"/>
        <v>136</v>
      </c>
      <c r="AF441" s="7">
        <f>IF($J441=0,0,ROUND(MAX($J441*1.4*1.5*1.6*1.6*2.2*2.715*2.6*1.4*1.4*1.5*1.5,18900000000*(1.65331^(MIN($E441,123)-117)))*1,0))</f>
        <v>1529996162</v>
      </c>
      <c r="AG441" s="4">
        <f t="shared" si="239"/>
        <v>139</v>
      </c>
      <c r="AH441" s="8">
        <f>IF($J441=0,0,ROUND(MAX($J441*1.4*1.5*1.6*1.6*2.2*2.715*2.6*1.4*1.4*1.5*1.5*3.2,60500000000*(1.654288^(MIN($E441,123)-117)))*1,0))</f>
        <v>4883146766</v>
      </c>
    </row>
    <row r="442" ht="27.75" customHeight="1" spans="1:34" x14ac:dyDescent="0.25">
      <c r="A442" s="3">
        <v>452</v>
      </c>
      <c r="B442" s="3" t="s">
        <v>172</v>
      </c>
      <c r="C442" s="3" t="s">
        <v>542</v>
      </c>
      <c r="D442" s="3" t="s">
        <v>40</v>
      </c>
      <c r="E442" s="3">
        <v>115</v>
      </c>
      <c r="F442" s="3" t="s">
        <v>26</v>
      </c>
      <c r="G442" s="3" t="s">
        <v>26</v>
      </c>
      <c r="H442" s="3">
        <v>29</v>
      </c>
      <c r="I442" s="4">
        <v>115</v>
      </c>
      <c r="J442" s="5">
        <v>355000</v>
      </c>
      <c r="K442" s="6">
        <f t="shared" si="228"/>
        <v>116</v>
      </c>
      <c r="L442" s="7">
        <f>IF($J442=0,0,ROUND(MAX($J442*1.4,1620000*(1.497923^(MIN($E442,123)-117)))*1,0))</f>
        <v>721998</v>
      </c>
      <c r="M442" s="4">
        <f t="shared" si="229"/>
        <v>117</v>
      </c>
      <c r="N442" s="8">
        <f>IF($J442=0,0,ROUND(MAX($J442*1.4*1.5,2190000*(1.580994^(MIN($E442,123)-117)))*1,0))</f>
        <v>876161</v>
      </c>
      <c r="O442" s="6">
        <f t="shared" si="230"/>
        <v>119</v>
      </c>
      <c r="P442" s="7">
        <f>IF($J442=0,0,ROUND(MAX($J442*1.4*1.5*1.6,3500000*(1.57975^(MIN($E442,123)-117)))*1,0))</f>
        <v>1402463</v>
      </c>
      <c r="Q442" s="4">
        <f t="shared" si="231"/>
        <v>121</v>
      </c>
      <c r="R442" s="8">
        <f>IF($J442=0,0,ROUND(MAX($J442*1.4*1.5*1.6*1.6,13100000*(1.429962^(MIN($E442,123)-117)))*1,0))</f>
        <v>6406522</v>
      </c>
      <c r="S442" s="6">
        <f t="shared" si="232"/>
        <v>123</v>
      </c>
      <c r="T442" s="7">
        <f>IF($J442=0,0,ROUND(MAX($J442*1.4*1.5*1.6*1.6*2.2,42600000*(1.576904^(MIN($E442,123)-117)))*1,0))</f>
        <v>17131646</v>
      </c>
      <c r="U442" s="4">
        <f t="shared" si="233"/>
        <v>126</v>
      </c>
      <c r="V442" s="8">
        <f>IF($J442=0,0,ROUND(MAX($J442*1.4*1.5*1.6*1.6*2.2*2.715,354000000*(1.642074^(MIN($E442,123)-117)))*1,0))</f>
        <v>131285817</v>
      </c>
      <c r="W442" s="6">
        <f t="shared" si="234"/>
        <v>130</v>
      </c>
      <c r="X442" s="7">
        <f>IF($J442=0,0,ROUND(MAX($J442*1.4*1.5*1.6*1.6*2.2*2.715*2.6,3540000000*(1.579646^(MIN($E442,123)-117)))*1,0))</f>
        <v>1418677620</v>
      </c>
      <c r="Y442" s="4">
        <f t="shared" si="235"/>
        <v>132</v>
      </c>
      <c r="Z442" s="8">
        <f>IF($J442=0,0,ROUND(MAX($J442*1.4*1.5*1.6*1.6*2.2*2.715*2.6*1.4,6020000000*(1.651178^(MIN($E442,123)-117)))*1,0))</f>
        <v>2208048987</v>
      </c>
      <c r="AA442" s="6">
        <f t="shared" si="236"/>
        <v>134</v>
      </c>
      <c r="AB442" s="7">
        <f>IF($J442=0,0,ROUND(MAX($J442*1.4*1.5*1.6*1.6*2.2*2.715*2.6*1.4*1.4,8430000000*(1.651435^(MIN($E442,123)-117)))*1,0))</f>
        <v>3091039859</v>
      </c>
      <c r="AC442" s="4">
        <f t="shared" si="237"/>
        <v>136</v>
      </c>
      <c r="AD442" s="8">
        <f>IF($J442=0,0,ROUND(MAX($J442*1.4*1.5*1.6*1.6*2.2*2.715*2.6*1.4*1.4*1.5,12600000000*(1.652953^(MIN($E442,123)-117)))*1,0))</f>
        <v>4611577749</v>
      </c>
      <c r="AE442" s="6">
        <f t="shared" si="238"/>
        <v>139</v>
      </c>
      <c r="AF442" s="7">
        <f>IF($J442=0,0,ROUND(MAX($J442*1.4*1.5*1.6*1.6*2.2*2.715*2.6*1.4*1.4*1.5*1.5,18900000000*(1.65331^(MIN($E442,123)-117)))*1,0))</f>
        <v>6914379606</v>
      </c>
      <c r="AG442" s="4">
        <f t="shared" si="239"/>
        <v>142</v>
      </c>
      <c r="AH442" s="8">
        <f>IF($J442=0,0,ROUND(MAX($J442*1.4*1.5*1.6*1.6*2.2*2.715*2.6*1.4*1.4*1.5*1.5*3.2,60500000000*(1.654288^(MIN($E442,123)-117)))*1,0))</f>
        <v>22107169230</v>
      </c>
    </row>
    <row r="443" ht="27.75" customHeight="1" spans="1:34" x14ac:dyDescent="0.25">
      <c r="A443" s="3">
        <v>453</v>
      </c>
      <c r="B443" s="3" t="s">
        <v>549</v>
      </c>
      <c r="C443" s="3" t="s">
        <v>542</v>
      </c>
      <c r="D443" s="3" t="s">
        <v>40</v>
      </c>
      <c r="E443" s="3">
        <v>112</v>
      </c>
      <c r="F443" s="3" t="s">
        <v>30</v>
      </c>
      <c r="G443" s="3" t="s">
        <v>171</v>
      </c>
      <c r="H443" s="3">
        <v>27</v>
      </c>
      <c r="I443" s="4">
        <v>112</v>
      </c>
      <c r="J443" s="5">
        <v>96100</v>
      </c>
      <c r="K443" s="6">
        <f t="shared" si="228"/>
        <v>113</v>
      </c>
      <c r="L443" s="7">
        <f>IF($J443=0,0,ROUND(MAX($J443*1.4,1620000*(1.497923^(MIN($E443,123)-117)))*1,0))</f>
        <v>214816</v>
      </c>
      <c r="M443" s="4">
        <f t="shared" si="229"/>
        <v>114</v>
      </c>
      <c r="N443" s="8">
        <f>IF($J443=0,0,ROUND(MAX($J443*1.4*1.5,2190000*(1.580994^(MIN($E443,123)-117)))*1,0))</f>
        <v>221714</v>
      </c>
      <c r="O443" s="6">
        <f t="shared" si="230"/>
        <v>116</v>
      </c>
      <c r="P443" s="7">
        <f>IF($J443=0,0,ROUND(MAX($J443*1.4*1.5*1.6,3500000*(1.57975^(MIN($E443,123)-117)))*1,0))</f>
        <v>355735</v>
      </c>
      <c r="Q443" s="4">
        <f t="shared" si="231"/>
        <v>118</v>
      </c>
      <c r="R443" s="8">
        <f>IF($J443=0,0,ROUND(MAX($J443*1.4*1.5*1.6*1.6,13100000*(1.429962^(MIN($E443,123)-117)))*1,0))</f>
        <v>2191032</v>
      </c>
      <c r="S443" s="6">
        <f t="shared" si="232"/>
        <v>120</v>
      </c>
      <c r="T443" s="7">
        <f>IF($J443=0,0,ROUND(MAX($J443*1.4*1.5*1.6*1.6*2.2,42600000*(1.576904^(MIN($E443,123)-117)))*1,0))</f>
        <v>4369013</v>
      </c>
      <c r="U443" s="4">
        <f t="shared" si="233"/>
        <v>123</v>
      </c>
      <c r="V443" s="8">
        <f>IF($J443=0,0,ROUND(MAX($J443*1.4*1.5*1.6*1.6*2.2*2.715,354000000*(1.642074^(MIN($E443,123)-117)))*1,0))</f>
        <v>29651020</v>
      </c>
      <c r="W443" s="6">
        <f t="shared" si="234"/>
        <v>127</v>
      </c>
      <c r="X443" s="7">
        <f>IF($J443=0,0,ROUND(MAX($J443*1.4*1.5*1.6*1.6*2.2*2.715*2.6,3540000000*(1.579646^(MIN($E443,123)-117)))*1,0))</f>
        <v>359918692</v>
      </c>
      <c r="Y443" s="4">
        <f t="shared" si="235"/>
        <v>129</v>
      </c>
      <c r="Z443" s="8">
        <f>IF($J443=0,0,ROUND(MAX($J443*1.4*1.5*1.6*1.6*2.2*2.715*2.6*1.4,6020000000*(1.651178^(MIN($E443,123)-117)))*1,0))</f>
        <v>490486461</v>
      </c>
      <c r="AA443" s="6">
        <f t="shared" si="236"/>
        <v>131</v>
      </c>
      <c r="AB443" s="7">
        <f>IF($J443=0,0,ROUND(MAX($J443*1.4*1.5*1.6*1.6*2.2*2.715*2.6*1.4*1.4,8430000000*(1.651435^(MIN($E443,123)-117)))*1,0))</f>
        <v>686309723</v>
      </c>
      <c r="AC443" s="4">
        <f t="shared" si="237"/>
        <v>133</v>
      </c>
      <c r="AD443" s="8">
        <f>IF($J443=0,0,ROUND(MAX($J443*1.4*1.5*1.6*1.6*2.2*2.715*2.6*1.4*1.4*1.5,12600000000*(1.652953^(MIN($E443,123)-117)))*1,0))</f>
        <v>1021099398</v>
      </c>
      <c r="AE443" s="6">
        <f t="shared" si="238"/>
        <v>136</v>
      </c>
      <c r="AF443" s="7">
        <f>IF($J443=0,0,ROUND(MAX($J443*1.4*1.5*1.6*1.6*2.2*2.715*2.6*1.4*1.4*1.5*1.5,18900000000*(1.65331^(MIN($E443,123)-117)))*1,0))</f>
        <v>1529996162</v>
      </c>
      <c r="AG443" s="4">
        <f t="shared" si="239"/>
        <v>139</v>
      </c>
      <c r="AH443" s="8">
        <f>IF($J443=0,0,ROUND(MAX($J443*1.4*1.5*1.6*1.6*2.2*2.715*2.6*1.4*1.4*1.5*1.5*3.2,60500000000*(1.654288^(MIN($E443,123)-117)))*1,0))</f>
        <v>4883146766</v>
      </c>
    </row>
    <row r="444" ht="27.75" customHeight="1" spans="1:34" x14ac:dyDescent="0.25">
      <c r="A444" s="3">
        <v>454</v>
      </c>
      <c r="B444" s="3" t="s">
        <v>52</v>
      </c>
      <c r="C444" s="3" t="s">
        <v>542</v>
      </c>
      <c r="D444" s="3" t="s">
        <v>40</v>
      </c>
      <c r="E444" s="3">
        <v>115</v>
      </c>
      <c r="F444" s="3" t="s">
        <v>30</v>
      </c>
      <c r="G444" s="3" t="s">
        <v>30</v>
      </c>
      <c r="H444" s="3">
        <v>30</v>
      </c>
      <c r="I444" s="4">
        <v>115</v>
      </c>
      <c r="J444" s="5">
        <v>1800000</v>
      </c>
      <c r="K444" s="6">
        <f t="shared" si="228"/>
        <v>116</v>
      </c>
      <c r="L444" s="7">
        <f>IF($J444=0,0,ROUND(MAX($J444*1.4*1,4020000*(1.354082^(MIN($E444,123)-118))),0))</f>
        <v>2520000</v>
      </c>
      <c r="M444" s="4">
        <f t="shared" si="229"/>
        <v>117</v>
      </c>
      <c r="N444" s="8">
        <f>IF($J444=0,0,ROUND(MAX($J444*1.4*1.5*1,6950000*(1.375334^(MIN($E444,123)-118))),0))</f>
        <v>3780000</v>
      </c>
      <c r="O444" s="6">
        <f t="shared" si="230"/>
        <v>119</v>
      </c>
      <c r="P444" s="7">
        <f>IF($J444=0,0,ROUND(MAX($J444*1.4*1.5*1.6*1,23900000*(1.1788^(MIN($E444,123)-118))),0))</f>
        <v>14590747</v>
      </c>
      <c r="Q444" s="4">
        <f t="shared" si="231"/>
        <v>121</v>
      </c>
      <c r="R444" s="8">
        <f>IF($J444=0,0,ROUND(MAX($J444*1.4*1.5*1.6*1.6*1.25,77000000*(1.127009^(MIN($E444,123)-118))),0))</f>
        <v>53790870</v>
      </c>
      <c r="S444" s="6">
        <f t="shared" si="232"/>
        <v>123</v>
      </c>
      <c r="T444" s="7">
        <f>IF($J444=0,0,ROUND(MAX($J444*1.4*1.5*1.6*1.6*2.2*1.25,270000000*(1.248411^(MIN($E444,123)-118))),0))</f>
        <v>138768535</v>
      </c>
      <c r="U444" s="4">
        <f t="shared" si="233"/>
        <v>126</v>
      </c>
      <c r="V444" s="8">
        <f>IF($J444=0,0,ROUND(MAX($J444*1.4*1.5*1.6*1.6*2.2*2.715*1.25,2400000000*(1.293039^(MIN($E444,123)-118))),0))</f>
        <v>1110136468</v>
      </c>
      <c r="W444" s="6">
        <f t="shared" si="234"/>
        <v>130</v>
      </c>
      <c r="X444" s="7">
        <f>IF($J444=0,0,ROUND(MAX($J444*1.4*1.5*1.6*1.6*2.2*2.715*2.6*1.25,20000000000*(1.280114^(MIN($E444,123)-118))),0))</f>
        <v>9534195519</v>
      </c>
      <c r="Y444" s="4">
        <f t="shared" si="235"/>
        <v>132</v>
      </c>
      <c r="Z444" s="8">
        <f>IF($J444=0,0,ROUND(MAX($J444*1.4*1.5*1.6*1.6*2.2*2.715*2.6*1.4*1.25,39200000000*(1.31219^(MIN($E444,123)-118))),0))</f>
        <v>17349856847</v>
      </c>
      <c r="AA444" s="6">
        <f t="shared" si="236"/>
        <v>134</v>
      </c>
      <c r="AB444" s="7">
        <f>IF($J444=0,0,ROUND(MAX($J444*1.4*1.5*1.6*1.6*2.2*2.715*2.6*1.4*1.4*1.25,54900000000*(1.312402^(MIN($E444,123)-118))),0))</f>
        <v>24286878144</v>
      </c>
      <c r="AC444" s="4">
        <f t="shared" si="237"/>
        <v>136</v>
      </c>
      <c r="AD444" s="8">
        <f>IF($J444=0,0,ROUND(MAX($J444*1.4*1.5*1.6*1.6*2.2*2.715*2.6*1.4*1.4*1.5*1.25,82400000000*(1.312754^(MIN($E444,123)-118))),0))</f>
        <v>36423121361</v>
      </c>
      <c r="AE444" s="6">
        <f t="shared" si="238"/>
        <v>139</v>
      </c>
      <c r="AF444" s="7">
        <f>IF($J444=0,0,ROUND(MAX($J444*1.4*1.5*1.6*1.6*2.2*2.715*2.6*1.4*1.4*1.5*1.5*1.25,124000000000*(1.312246^(MIN($E444,123)-118))),0))</f>
        <v>54875174249</v>
      </c>
      <c r="AG444" s="4">
        <f t="shared" si="239"/>
        <v>142</v>
      </c>
      <c r="AH444" s="8">
        <f>IF($J444=0,0,ROUND(MAX($J444*1.4*1.5*1.6*1.6*2.2*2.715*2.6*1.4*1.4*1.5*1.5*3.2*1.25,397000000000*(1.313132^(MIN($E444,123)-118))),0))</f>
        <v>175333681620</v>
      </c>
    </row>
    <row r="445" ht="27.75" customHeight="1" spans="1:34" x14ac:dyDescent="0.25">
      <c r="A445" s="3">
        <v>455</v>
      </c>
      <c r="B445" s="3" t="s">
        <v>550</v>
      </c>
      <c r="C445" s="3" t="s">
        <v>542</v>
      </c>
      <c r="D445" s="3" t="s">
        <v>40</v>
      </c>
      <c r="E445" s="3">
        <v>109</v>
      </c>
      <c r="F445" s="3" t="s">
        <v>71</v>
      </c>
      <c r="G445" s="3" t="s">
        <v>394</v>
      </c>
      <c r="H445" s="3">
        <v>25</v>
      </c>
      <c r="I445" s="4">
        <v>109</v>
      </c>
      <c r="J445" s="5">
        <v>70300</v>
      </c>
      <c r="K445" s="6">
        <f t="shared" si="228"/>
        <v>110</v>
      </c>
      <c r="L445" s="7">
        <f>IF($J445=0,0,ROUND(MAX($J445*1.4,1620000*(1.497923^(MIN($E445,123)-117)))*0.8,0))</f>
        <v>78736</v>
      </c>
      <c r="M445" s="4">
        <f t="shared" si="229"/>
        <v>111</v>
      </c>
      <c r="N445" s="8">
        <f>IF($J445=0,0,ROUND(MAX($J445*1.4*1.5,2190000*(1.580994^(MIN($E445,123)-117)))*0.8,0))</f>
        <v>118104</v>
      </c>
      <c r="O445" s="6">
        <f t="shared" si="230"/>
        <v>113</v>
      </c>
      <c r="P445" s="7">
        <f>IF($J445=0,0,ROUND(MAX($J445*1.4*1.5*1.6,3500000*(1.57975^(MIN($E445,123)-117)))*0.8,0))</f>
        <v>188966</v>
      </c>
      <c r="Q445" s="4">
        <f t="shared" si="231"/>
        <v>115</v>
      </c>
      <c r="R445" s="8">
        <f>IF($J445=0,0,ROUND(MAX($J445*1.4*1.5*1.6*1.6,13100000*(1.429962^(MIN($E445,123)-117)))*0.651041666666667,0))</f>
        <v>487848</v>
      </c>
      <c r="S445" s="6">
        <f t="shared" si="232"/>
        <v>117</v>
      </c>
      <c r="T445" s="7">
        <f>IF($J445=0,0,ROUND(MAX($J445*1.4*1.5*1.6*1.6*2.2,42600000*(1.576904^(MIN($E445,123)-117)))*0.617361111111111,0))</f>
        <v>687871</v>
      </c>
      <c r="U445" s="4">
        <f t="shared" si="233"/>
        <v>120</v>
      </c>
      <c r="V445" s="8">
        <f>IF($J445=0,0,ROUND(MAX($J445*1.4*1.5*1.6*1.6*2.2*2.715,354000000*(1.642074^(MIN($E445,123)-117)))*0.583680555555556,0))</f>
        <v>3908739</v>
      </c>
      <c r="W445" s="6">
        <f t="shared" si="234"/>
        <v>124</v>
      </c>
      <c r="X445" s="7">
        <f>IF($J445=0,0,ROUND(MAX($J445*1.4*1.5*1.6*1.6*2.2*2.715*2.6,3540000000*(1.579646^(MIN($E445,123)-117)))*0.55,0))</f>
        <v>50221280</v>
      </c>
      <c r="Y445" s="4">
        <f t="shared" si="235"/>
        <v>126</v>
      </c>
      <c r="Z445" s="8">
        <f>IF($J445=0,0,ROUND(MAX($J445*1.4*1.5*1.6*1.6*2.2*2.715*2.6*1.4,6020000000*(1.651178^(MIN($E445,123)-117)))*0.55,0))</f>
        <v>59924999</v>
      </c>
      <c r="AA445" s="6">
        <f t="shared" si="236"/>
        <v>128</v>
      </c>
      <c r="AB445" s="7">
        <f>IF($J445=0,0,ROUND(MAX($J445*1.4*1.5*1.6*1.6*2.2*2.715*2.6*1.4*1.4,8430000000*(1.651435^(MIN($E445,123)-117)))*0.55,0))</f>
        <v>83810491</v>
      </c>
      <c r="AC445" s="4">
        <f t="shared" si="237"/>
        <v>130</v>
      </c>
      <c r="AD445" s="8">
        <f>IF($J445=0,0,ROUND(MAX($J445*1.4*1.5*1.6*1.6*2.2*2.715*2.6*1.4*1.4*1.5,12600000000*(1.652953^(MIN($E445,123)-117)))*0.55,0))</f>
        <v>124350975</v>
      </c>
      <c r="AE445" s="6">
        <f t="shared" si="238"/>
        <v>133</v>
      </c>
      <c r="AF445" s="7">
        <f>IF($J445=0,0,ROUND(MAX($J445*1.4*1.5*1.6*1.6*2.2*2.715*2.6*1.4*1.4*1.5*1.5,18900000000*(1.65331^(MIN($E445,123)-117)))*0.55,0))</f>
        <v>186204492</v>
      </c>
      <c r="AG445" s="4">
        <f t="shared" si="239"/>
        <v>136</v>
      </c>
      <c r="AH445" s="8">
        <f>IF($J445=0,0,ROUND(MAX($J445*1.4*1.5*1.6*1.6*2.2*2.715*2.6*1.4*1.4*1.5*1.5*3.2,60500000000*(1.654288^(MIN($E445,123)-117)))*0.55,0))</f>
        <v>593238200</v>
      </c>
    </row>
    <row r="446" ht="27.75" customHeight="1" spans="1:34" x14ac:dyDescent="0.25">
      <c r="A446" s="3">
        <v>456</v>
      </c>
      <c r="B446" s="3" t="s">
        <v>551</v>
      </c>
      <c r="C446" s="3" t="s">
        <v>542</v>
      </c>
      <c r="D446" s="3" t="s">
        <v>79</v>
      </c>
      <c r="E446" s="3">
        <v>111</v>
      </c>
      <c r="F446" s="3" t="s">
        <v>71</v>
      </c>
      <c r="G446" s="3" t="s">
        <v>72</v>
      </c>
      <c r="H446" s="3">
        <v>26</v>
      </c>
      <c r="I446" s="4">
        <v>111</v>
      </c>
      <c r="J446" s="5">
        <v>111000</v>
      </c>
      <c r="K446" s="6">
        <f t="shared" si="228"/>
        <v>112</v>
      </c>
      <c r="L446" s="7">
        <f>IF($J446=0,0,ROUND(MAX($J446*1.4,1620000*(1.497923^(MIN($E446,123)-117)))*1,0))</f>
        <v>155400</v>
      </c>
      <c r="M446" s="4">
        <f t="shared" si="229"/>
        <v>113</v>
      </c>
      <c r="N446" s="8">
        <f>IF($J446=0,0,ROUND(MAX($J446*1.4*1.5,2190000*(1.580994^(MIN($E446,123)-117)))*1,0))</f>
        <v>233100</v>
      </c>
      <c r="O446" s="6">
        <f t="shared" si="230"/>
        <v>115</v>
      </c>
      <c r="P446" s="7">
        <f>IF($J446=0,0,ROUND(MAX($J446*1.4*1.5*1.6,3500000*(1.57975^(MIN($E446,123)-117)))*1,0))</f>
        <v>372960</v>
      </c>
      <c r="Q446" s="4">
        <f t="shared" si="231"/>
        <v>117</v>
      </c>
      <c r="R446" s="8">
        <f>IF($J446=0,0,ROUND(MAX($J446*1.4*1.5*1.6*1.6,13100000*(1.429962^(MIN($E446,123)-117)))*1,0))</f>
        <v>1532231</v>
      </c>
      <c r="S446" s="6">
        <f t="shared" si="232"/>
        <v>119</v>
      </c>
      <c r="T446" s="7">
        <f>IF($J446=0,0,ROUND(MAX($J446*1.4*1.5*1.6*1.6*2.2,42600000*(1.576904^(MIN($E446,123)-117)))*1,0))</f>
        <v>2770627</v>
      </c>
      <c r="U446" s="4">
        <f t="shared" si="233"/>
        <v>122</v>
      </c>
      <c r="V446" s="8">
        <f>IF($J446=0,0,ROUND(MAX($J446*1.4*1.5*1.6*1.6*2.2*2.715,354000000*(1.642074^(MIN($E446,123)-117)))*1,0))</f>
        <v>18057055</v>
      </c>
      <c r="W446" s="6">
        <f t="shared" si="234"/>
        <v>126</v>
      </c>
      <c r="X446" s="7">
        <f>IF($J446=0,0,ROUND(MAX($J446*1.4*1.5*1.6*1.6*2.2*2.715*2.6,3540000000*(1.579646^(MIN($E446,123)-117)))*1,0))</f>
        <v>227847690</v>
      </c>
      <c r="Y446" s="4">
        <f t="shared" si="235"/>
        <v>128</v>
      </c>
      <c r="Z446" s="8">
        <f>IF($J446=0,0,ROUND(MAX($J446*1.4*1.5*1.6*1.6*2.2*2.715*2.6*1.4,6020000000*(1.651178^(MIN($E446,123)-117)))*1,0))</f>
        <v>297052444</v>
      </c>
      <c r="AA446" s="6">
        <f t="shared" si="236"/>
        <v>130</v>
      </c>
      <c r="AB446" s="7">
        <f>IF($J446=0,0,ROUND(MAX($J446*1.4*1.5*1.6*1.6*2.2*2.715*2.6*1.4*1.4,8430000000*(1.651435^(MIN($E446,123)-117)))*1,0))</f>
        <v>415583854</v>
      </c>
      <c r="AC446" s="4">
        <f t="shared" si="237"/>
        <v>132</v>
      </c>
      <c r="AD446" s="8">
        <f>IF($J446=0,0,ROUND(MAX($J446*1.4*1.5*1.6*1.6*2.2*2.715*2.6*1.4*1.4*1.5,12600000000*(1.652953^(MIN($E446,123)-117)))*1,0))</f>
        <v>617742548</v>
      </c>
      <c r="AE446" s="6">
        <f t="shared" si="238"/>
        <v>135</v>
      </c>
      <c r="AF446" s="7">
        <f>IF($J446=0,0,ROUND(MAX($J446*1.4*1.5*1.6*1.6*2.2*2.715*2.6*1.4*1.4*1.5*1.5,18900000000*(1.65331^(MIN($E446,123)-117)))*1,0))</f>
        <v>925413965</v>
      </c>
      <c r="AG446" s="4">
        <f t="shared" si="239"/>
        <v>138</v>
      </c>
      <c r="AH446" s="8">
        <f>IF($J446=0,0,ROUND(MAX($J446*1.4*1.5*1.6*1.6*2.2*2.715*2.6*1.4*1.4*1.5*1.5*3.2,60500000000*(1.654288^(MIN($E446,123)-117)))*1,0))</f>
        <v>2951811756</v>
      </c>
    </row>
    <row r="447" ht="27.75" customHeight="1" spans="1:34" x14ac:dyDescent="0.25">
      <c r="A447" s="3">
        <v>457</v>
      </c>
      <c r="B447" s="3" t="s">
        <v>552</v>
      </c>
      <c r="C447" s="3" t="s">
        <v>542</v>
      </c>
      <c r="D447" s="3" t="s">
        <v>102</v>
      </c>
      <c r="E447" s="3">
        <v>109</v>
      </c>
      <c r="F447" s="3" t="s">
        <v>30</v>
      </c>
      <c r="G447" s="3" t="s">
        <v>30</v>
      </c>
      <c r="H447" s="3">
        <v>24</v>
      </c>
      <c r="I447" s="4">
        <v>109</v>
      </c>
      <c r="J447" s="5">
        <v>39000</v>
      </c>
      <c r="K447" s="6">
        <f t="shared" si="228"/>
        <v>110</v>
      </c>
      <c r="L447" s="7">
        <f>IF($J447=0,0,ROUND(MAX($J447*1.4,1620000*(1.497923^(MIN($E447,123)-117)))*0.8,0))</f>
        <v>51132</v>
      </c>
      <c r="M447" s="4">
        <f t="shared" si="229"/>
        <v>111</v>
      </c>
      <c r="N447" s="8">
        <f>IF($J447=0,0,ROUND(MAX($J447*1.4*1.5,2190000*(1.580994^(MIN($E447,123)-117)))*0.8,0))</f>
        <v>65520</v>
      </c>
      <c r="O447" s="6">
        <f t="shared" si="230"/>
        <v>113</v>
      </c>
      <c r="P447" s="7">
        <f>IF($J447=0,0,ROUND(MAX($J447*1.4*1.5*1.6,3500000*(1.57975^(MIN($E447,123)-117)))*0.8,0))</f>
        <v>104832</v>
      </c>
      <c r="Q447" s="4">
        <f t="shared" si="231"/>
        <v>115</v>
      </c>
      <c r="R447" s="8">
        <f>IF($J447=0,0,ROUND(MAX($J447*1.4*1.5*1.6*1.6,13100000*(1.429962^(MIN($E447,123)-117)))*0.651041666666667,0))</f>
        <v>487848</v>
      </c>
      <c r="S447" s="6">
        <f t="shared" si="232"/>
        <v>117</v>
      </c>
      <c r="T447" s="7">
        <f>IF($J447=0,0,ROUND(MAX($J447*1.4*1.5*1.6*1.6*2.2,42600000*(1.576904^(MIN($E447,123)-117)))*0.617361111111111,0))</f>
        <v>687871</v>
      </c>
      <c r="U447" s="4">
        <f t="shared" si="233"/>
        <v>120</v>
      </c>
      <c r="V447" s="8">
        <f>IF($J447=0,0,ROUND(MAX($J447*1.4*1.5*1.6*1.6*2.2*2.715,354000000*(1.642074^(MIN($E447,123)-117)))*0.583680555555556,0))</f>
        <v>3908739</v>
      </c>
      <c r="W447" s="6">
        <f t="shared" si="234"/>
        <v>124</v>
      </c>
      <c r="X447" s="7">
        <f>IF($J447=0,0,ROUND(MAX($J447*1.4*1.5*1.6*1.6*2.2*2.715*2.6,3540000000*(1.579646^(MIN($E447,123)-117)))*0.55,0))</f>
        <v>50221280</v>
      </c>
      <c r="Y447" s="4">
        <f t="shared" si="235"/>
        <v>126</v>
      </c>
      <c r="Z447" s="8">
        <f>IF($J447=0,0,ROUND(MAX($J447*1.4*1.5*1.6*1.6*2.2*2.715*2.6*1.4,6020000000*(1.651178^(MIN($E447,123)-117)))*0.55,0))</f>
        <v>59924999</v>
      </c>
      <c r="AA447" s="6">
        <f t="shared" si="236"/>
        <v>128</v>
      </c>
      <c r="AB447" s="7">
        <f>IF($J447=0,0,ROUND(MAX($J447*1.4*1.5*1.6*1.6*2.2*2.715*2.6*1.4*1.4,8430000000*(1.651435^(MIN($E447,123)-117)))*0.55,0))</f>
        <v>83810491</v>
      </c>
      <c r="AC447" s="4">
        <f t="shared" si="237"/>
        <v>130</v>
      </c>
      <c r="AD447" s="8">
        <f>IF($J447=0,0,ROUND(MAX($J447*1.4*1.5*1.6*1.6*2.2*2.715*2.6*1.4*1.4*1.5,12600000000*(1.652953^(MIN($E447,123)-117)))*0.55,0))</f>
        <v>124350975</v>
      </c>
      <c r="AE447" s="6">
        <f t="shared" si="238"/>
        <v>133</v>
      </c>
      <c r="AF447" s="7">
        <f>IF($J447=0,0,ROUND(MAX($J447*1.4*1.5*1.6*1.6*2.2*2.715*2.6*1.4*1.4*1.5*1.5,18900000000*(1.65331^(MIN($E447,123)-117)))*0.55,0))</f>
        <v>186204492</v>
      </c>
      <c r="AG447" s="4">
        <f t="shared" si="239"/>
        <v>136</v>
      </c>
      <c r="AH447" s="8">
        <f>IF($J447=0,0,ROUND(MAX($J447*1.4*1.5*1.6*1.6*2.2*2.715*2.6*1.4*1.4*1.5*1.5*3.2,60500000000*(1.654288^(MIN($E447,123)-117)))*0.55,0))</f>
        <v>593238200</v>
      </c>
    </row>
    <row r="448" ht="27.75" customHeight="1" spans="1:34" x14ac:dyDescent="0.25">
      <c r="A448" s="3">
        <v>458</v>
      </c>
      <c r="B448" s="3" t="s">
        <v>553</v>
      </c>
      <c r="C448" s="3" t="s">
        <v>542</v>
      </c>
      <c r="D448" s="3" t="s">
        <v>102</v>
      </c>
      <c r="E448" s="3">
        <v>100</v>
      </c>
      <c r="F448" s="3" t="s">
        <v>123</v>
      </c>
      <c r="G448" s="3" t="s">
        <v>554</v>
      </c>
      <c r="H448" s="3">
        <v>19</v>
      </c>
      <c r="I448" s="4">
        <v>100</v>
      </c>
      <c r="J448" s="5">
        <v>19900</v>
      </c>
      <c r="K448" s="6">
        <f t="shared" si="228"/>
        <v>101</v>
      </c>
      <c r="L448" s="7">
        <f>IF($J448=0,0,ROUND(MAX($J448*1.4,1620000*(1.497923^(MIN($E448,123)-117)))*0.8,0))</f>
        <v>22288</v>
      </c>
      <c r="M448" s="4">
        <f t="shared" si="229"/>
        <v>102</v>
      </c>
      <c r="N448" s="8">
        <f>IF($J448=0,0,ROUND(MAX($J448*1.4*1.5,2190000*(1.580994^(MIN($E448,123)-117)))*0.8,0))</f>
        <v>33432</v>
      </c>
      <c r="O448" s="6">
        <f t="shared" si="230"/>
        <v>104</v>
      </c>
      <c r="P448" s="7">
        <f>IF($J448=0,0,ROUND(MAX($J448*1.4*1.5*1.6,3500000*(1.57975^(MIN($E448,123)-117)))*0.8,0))</f>
        <v>53491</v>
      </c>
      <c r="Q448" s="4">
        <f t="shared" si="231"/>
        <v>106</v>
      </c>
      <c r="R448" s="8">
        <f>IF($J448=0,0,ROUND(MAX($J448*1.4*1.5*1.6*1.6,13100000*(1.429962^(MIN($E448,123)-117)))*0.651041666666667,0))</f>
        <v>69650</v>
      </c>
      <c r="S448" s="6">
        <f t="shared" si="232"/>
        <v>108</v>
      </c>
      <c r="T448" s="7">
        <f>IF($J448=0,0,ROUND(MAX($J448*1.4*1.5*1.6*1.6*2.2,42600000*(1.576904^(MIN($E448,123)-117)))*0.617361111111111,0))</f>
        <v>145303</v>
      </c>
      <c r="U448" s="4">
        <f t="shared" si="233"/>
        <v>111</v>
      </c>
      <c r="V448" s="8">
        <f>IF($J448=0,0,ROUND(MAX($J448*1.4*1.5*1.6*1.6*2.2*2.715,354000000*(1.642074^(MIN($E448,123)-117)))*0.583680555555556,0))</f>
        <v>372975</v>
      </c>
      <c r="W448" s="6">
        <f t="shared" si="234"/>
        <v>115</v>
      </c>
      <c r="X448" s="7">
        <f>IF($J448=0,0,ROUND(MAX($J448*1.4*1.5*1.6*1.6*2.2*2.715*2.6,3540000000*(1.579646^(MIN($E448,123)-117)))*0.55,0))</f>
        <v>913778</v>
      </c>
      <c r="Y448" s="4">
        <f t="shared" si="235"/>
        <v>117</v>
      </c>
      <c r="Z448" s="8">
        <f>IF($J448=0,0,ROUND(MAX($J448*1.4*1.5*1.6*1.6*2.2*2.715*2.6*1.4,6020000000*(1.651178^(MIN($E448,123)-117)))*0.55,0))</f>
        <v>1279290</v>
      </c>
      <c r="AA448" s="6">
        <f t="shared" si="236"/>
        <v>119</v>
      </c>
      <c r="AB448" s="7">
        <f>IF($J448=0,0,ROUND(MAX($J448*1.4*1.5*1.6*1.6*2.2*2.715*2.6*1.4*1.4,8430000000*(1.651435^(MIN($E448,123)-117)))*0.55,0))</f>
        <v>1791006</v>
      </c>
      <c r="AC448" s="4">
        <f t="shared" si="237"/>
        <v>121</v>
      </c>
      <c r="AD448" s="8">
        <f>IF($J448=0,0,ROUND(MAX($J448*1.4*1.5*1.6*1.6*2.2*2.715*2.6*1.4*1.4*1.5,12600000000*(1.652953^(MIN($E448,123)-117)))*0.55,0))</f>
        <v>2686509</v>
      </c>
      <c r="AE448" s="6">
        <f t="shared" si="238"/>
        <v>124</v>
      </c>
      <c r="AF448" s="7">
        <f>IF($J448=0,0,ROUND(MAX($J448*1.4*1.5*1.6*1.6*2.2*2.715*2.6*1.4*1.4*1.5*1.5,18900000000*(1.65331^(MIN($E448,123)-117)))*0.55,0))</f>
        <v>4029763</v>
      </c>
      <c r="AG448" s="4">
        <f t="shared" si="239"/>
        <v>127</v>
      </c>
      <c r="AH448" s="8">
        <f>IF($J448=0,0,ROUND(MAX($J448*1.4*1.5*1.6*1.6*2.2*2.715*2.6*1.4*1.4*1.5*1.5*3.2,60500000000*(1.654288^(MIN($E448,123)-117)))*0.55,0))</f>
        <v>12895241</v>
      </c>
    </row>
    <row r="449" ht="27.75" customHeight="1" spans="1:34" x14ac:dyDescent="0.25">
      <c r="A449" s="3">
        <v>459</v>
      </c>
      <c r="B449" s="3" t="s">
        <v>555</v>
      </c>
      <c r="C449" s="3" t="s">
        <v>542</v>
      </c>
      <c r="D449" s="3" t="s">
        <v>40</v>
      </c>
      <c r="E449" s="3">
        <v>110</v>
      </c>
      <c r="F449" s="3" t="s">
        <v>34</v>
      </c>
      <c r="G449" s="3" t="s">
        <v>556</v>
      </c>
      <c r="H449" s="3">
        <v>26</v>
      </c>
      <c r="I449" s="4">
        <v>110</v>
      </c>
      <c r="J449" s="5">
        <v>67100</v>
      </c>
      <c r="K449" s="6">
        <f t="shared" si="228"/>
        <v>111</v>
      </c>
      <c r="L449" s="7">
        <f>IF($J449=0,0,ROUND(MAX($J449*1.4,1620000*(1.497923^(MIN($E449,123)-117)))*0.8,0))</f>
        <v>76591</v>
      </c>
      <c r="M449" s="4">
        <f t="shared" si="229"/>
        <v>112</v>
      </c>
      <c r="N449" s="8">
        <f>IF($J449=0,0,ROUND(MAX($J449*1.4*1.5,2190000*(1.580994^(MIN($E449,123)-117)))*0.8,0))</f>
        <v>112728</v>
      </c>
      <c r="O449" s="6">
        <f t="shared" si="230"/>
        <v>114</v>
      </c>
      <c r="P449" s="7">
        <f>IF($J449=0,0,ROUND(MAX($J449*1.4*1.5*1.6,3500000*(1.57975^(MIN($E449,123)-117)))*0.8,0))</f>
        <v>180365</v>
      </c>
      <c r="Q449" s="4">
        <f t="shared" si="231"/>
        <v>116</v>
      </c>
      <c r="R449" s="8">
        <f>IF($J449=0,0,ROUND(MAX($J449*1.4*1.5*1.6*1.6,13100000*(1.429962^(MIN($E449,123)-117)))*0.651041666666667,0))</f>
        <v>697603</v>
      </c>
      <c r="S449" s="6">
        <f t="shared" si="232"/>
        <v>118</v>
      </c>
      <c r="T449" s="7">
        <f>IF($J449=0,0,ROUND(MAX($J449*1.4*1.5*1.6*1.6*2.2,42600000*(1.576904^(MIN($E449,123)-117)))*0.617361111111111,0))</f>
        <v>1084706</v>
      </c>
      <c r="U449" s="4">
        <f t="shared" si="233"/>
        <v>121</v>
      </c>
      <c r="V449" s="8">
        <f>IF($J449=0,0,ROUND(MAX($J449*1.4*1.5*1.6*1.6*2.2*2.715,354000000*(1.642074^(MIN($E449,123)-117)))*0.583680555555556,0))</f>
        <v>6418439</v>
      </c>
      <c r="W449" s="6">
        <f t="shared" si="234"/>
        <v>125</v>
      </c>
      <c r="X449" s="7">
        <f>IF($J449=0,0,ROUND(MAX($J449*1.4*1.5*1.6*1.6*2.2*2.715*2.6,3540000000*(1.579646^(MIN($E449,123)-117)))*0.55,0))</f>
        <v>79331844</v>
      </c>
      <c r="Y449" s="4">
        <f t="shared" si="235"/>
        <v>127</v>
      </c>
      <c r="Z449" s="8">
        <f>IF($J449=0,0,ROUND(MAX($J449*1.4*1.5*1.6*1.6*2.2*2.715*2.6*1.4,6020000000*(1.651178^(MIN($E449,123)-117)))*0.55,0))</f>
        <v>98946839</v>
      </c>
      <c r="AA449" s="6">
        <f t="shared" si="236"/>
        <v>129</v>
      </c>
      <c r="AB449" s="7">
        <f>IF($J449=0,0,ROUND(MAX($J449*1.4*1.5*1.6*1.6*2.2*2.715*2.6*1.4*1.4,8430000000*(1.651435^(MIN($E449,123)-117)))*0.55,0))</f>
        <v>138407579</v>
      </c>
      <c r="AC449" s="4">
        <f t="shared" si="237"/>
        <v>131</v>
      </c>
      <c r="AD449" s="8">
        <f>IF($J449=0,0,ROUND(MAX($J449*1.4*1.5*1.6*1.6*2.2*2.715*2.6*1.4*1.4*1.5,12600000000*(1.652953^(MIN($E449,123)-117)))*0.55,0))</f>
        <v>205546317</v>
      </c>
      <c r="AE449" s="6">
        <f t="shared" si="238"/>
        <v>134</v>
      </c>
      <c r="AF449" s="7">
        <f>IF($J449=0,0,ROUND(MAX($J449*1.4*1.5*1.6*1.6*2.2*2.715*2.6*1.4*1.4*1.5*1.5,18900000000*(1.65331^(MIN($E449,123)-117)))*0.55,0))</f>
        <v>307853748</v>
      </c>
      <c r="AG449" s="4">
        <f t="shared" si="239"/>
        <v>137</v>
      </c>
      <c r="AH449" s="8">
        <f>IF($J449=0,0,ROUND(MAX($J449*1.4*1.5*1.6*1.6*2.2*2.715*2.6*1.4*1.4*1.5*1.5*3.2,60500000000*(1.654288^(MIN($E449,123)-117)))*0.55,0))</f>
        <v>981386836</v>
      </c>
    </row>
    <row r="450" ht="27.75" customHeight="1" spans="1:34" x14ac:dyDescent="0.25">
      <c r="A450" s="3">
        <v>460</v>
      </c>
      <c r="B450" s="3" t="s">
        <v>557</v>
      </c>
      <c r="C450" s="3" t="s">
        <v>542</v>
      </c>
      <c r="D450" s="3" t="s">
        <v>40</v>
      </c>
      <c r="E450" s="3">
        <v>112</v>
      </c>
      <c r="F450" s="3" t="s">
        <v>217</v>
      </c>
      <c r="G450" s="3" t="s">
        <v>217</v>
      </c>
      <c r="H450" s="3">
        <v>27</v>
      </c>
      <c r="I450" s="4">
        <v>112</v>
      </c>
      <c r="J450" s="5">
        <v>115000</v>
      </c>
      <c r="K450" s="6">
        <f t="shared" si="228"/>
        <v>113</v>
      </c>
      <c r="L450" s="7">
        <f>IF($J450=0,0,ROUND(MAX($J450*1.4,1620000*(1.497923^(MIN($E450,123)-117)))*1,0))</f>
        <v>214816</v>
      </c>
      <c r="M450" s="4">
        <f t="shared" si="229"/>
        <v>114</v>
      </c>
      <c r="N450" s="8">
        <f>IF($J450=0,0,ROUND(MAX($J450*1.4*1.5,2190000*(1.580994^(MIN($E450,123)-117)))*1,0))</f>
        <v>241500</v>
      </c>
      <c r="O450" s="6">
        <f t="shared" si="230"/>
        <v>116</v>
      </c>
      <c r="P450" s="7">
        <f>IF($J450=0,0,ROUND(MAX($J450*1.4*1.5*1.6,3500000*(1.57975^(MIN($E450,123)-117)))*1,0))</f>
        <v>386400</v>
      </c>
      <c r="Q450" s="4">
        <f t="shared" si="231"/>
        <v>118</v>
      </c>
      <c r="R450" s="8">
        <f>IF($J450=0,0,ROUND(MAX($J450*1.4*1.5*1.6*1.6,13100000*(1.429962^(MIN($E450,123)-117)))*1,0))</f>
        <v>2191032</v>
      </c>
      <c r="S450" s="6">
        <f t="shared" si="232"/>
        <v>120</v>
      </c>
      <c r="T450" s="7">
        <f>IF($J450=0,0,ROUND(MAX($J450*1.4*1.5*1.6*1.6*2.2,42600000*(1.576904^(MIN($E450,123)-117)))*1,0))</f>
        <v>4369013</v>
      </c>
      <c r="U450" s="4">
        <f t="shared" si="233"/>
        <v>123</v>
      </c>
      <c r="V450" s="8">
        <f>IF($J450=0,0,ROUND(MAX($J450*1.4*1.5*1.6*1.6*2.2*2.715,354000000*(1.642074^(MIN($E450,123)-117)))*1,0))</f>
        <v>29651020</v>
      </c>
      <c r="W450" s="6">
        <f t="shared" si="234"/>
        <v>127</v>
      </c>
      <c r="X450" s="7">
        <f>IF($J450=0,0,ROUND(MAX($J450*1.4*1.5*1.6*1.6*2.2*2.715*2.6,3540000000*(1.579646^(MIN($E450,123)-117)))*1,0))</f>
        <v>359918692</v>
      </c>
      <c r="Y450" s="4">
        <f t="shared" si="235"/>
        <v>129</v>
      </c>
      <c r="Z450" s="8">
        <f>IF($J450=0,0,ROUND(MAX($J450*1.4*1.5*1.6*1.6*2.2*2.715*2.6*1.4,6020000000*(1.651178^(MIN($E450,123)-117)))*1,0))</f>
        <v>490486461</v>
      </c>
      <c r="AA450" s="6">
        <f t="shared" si="236"/>
        <v>131</v>
      </c>
      <c r="AB450" s="7">
        <f>IF($J450=0,0,ROUND(MAX($J450*1.4*1.5*1.6*1.6*2.2*2.715*2.6*1.4*1.4,8430000000*(1.651435^(MIN($E450,123)-117)))*1,0))</f>
        <v>686309723</v>
      </c>
      <c r="AC450" s="4">
        <f t="shared" si="237"/>
        <v>133</v>
      </c>
      <c r="AD450" s="8">
        <f>IF($J450=0,0,ROUND(MAX($J450*1.4*1.5*1.6*1.6*2.2*2.715*2.6*1.4*1.4*1.5,12600000000*(1.652953^(MIN($E450,123)-117)))*1,0))</f>
        <v>1021099398</v>
      </c>
      <c r="AE450" s="6">
        <f t="shared" si="238"/>
        <v>136</v>
      </c>
      <c r="AF450" s="7">
        <f>IF($J450=0,0,ROUND(MAX($J450*1.4*1.5*1.6*1.6*2.2*2.715*2.6*1.4*1.4*1.5*1.5,18900000000*(1.65331^(MIN($E450,123)-117)))*1,0))</f>
        <v>1529996162</v>
      </c>
      <c r="AG450" s="4">
        <f t="shared" si="239"/>
        <v>139</v>
      </c>
      <c r="AH450" s="8">
        <f>IF($J450=0,0,ROUND(MAX($J450*1.4*1.5*1.6*1.6*2.2*2.715*2.6*1.4*1.4*1.5*1.5*3.2,60500000000*(1.654288^(MIN($E450,123)-117)))*1,0))</f>
        <v>4883146766</v>
      </c>
    </row>
    <row r="451" ht="27.75" customHeight="1" spans="1:34" x14ac:dyDescent="0.25">
      <c r="A451" s="3">
        <v>461</v>
      </c>
      <c r="B451" s="3" t="s">
        <v>558</v>
      </c>
      <c r="C451" s="3" t="s">
        <v>542</v>
      </c>
      <c r="D451" s="3" t="s">
        <v>75</v>
      </c>
      <c r="E451" s="3">
        <v>109</v>
      </c>
      <c r="F451" s="3" t="s">
        <v>71</v>
      </c>
      <c r="G451" s="3" t="s">
        <v>71</v>
      </c>
      <c r="H451" s="3">
        <v>25</v>
      </c>
      <c r="I451" s="4">
        <v>109</v>
      </c>
      <c r="J451" s="5">
        <v>75700</v>
      </c>
      <c r="K451" s="6">
        <f t="shared" ref="K451:K481" si="264">$E451+1</f>
        <v>110</v>
      </c>
      <c r="L451" s="7">
        <f>IF($J451=0,0,ROUND(MAX($J451*1.4,1620000*(1.497923^(MIN($E451,123)-117)))*1,0))</f>
        <v>105980</v>
      </c>
      <c r="M451" s="4">
        <f t="shared" ref="M451:M481" si="265">$E451+2</f>
        <v>111</v>
      </c>
      <c r="N451" s="8">
        <f>IF($J451=0,0,ROUND(MAX($J451*1.4*1.5,2190000*(1.580994^(MIN($E451,123)-117)))*1,0))</f>
        <v>158970</v>
      </c>
      <c r="O451" s="6">
        <f t="shared" ref="O451:O481" si="266">$E451+4</f>
        <v>113</v>
      </c>
      <c r="P451" s="7">
        <f>IF($J451=0,0,ROUND(MAX($J451*1.4*1.5*1.6,3500000*(1.57975^(MIN($E451,123)-117)))*1,0))</f>
        <v>254352</v>
      </c>
      <c r="Q451" s="4">
        <f t="shared" ref="Q451:Q481" si="267">$E451+6</f>
        <v>115</v>
      </c>
      <c r="R451" s="8">
        <f>IF($J451=0,0,ROUND(MAX($J451*1.4*1.5*1.6*1.6,13100000*(1.429962^(MIN($E451,123)-117)))*1,0))</f>
        <v>749334</v>
      </c>
      <c r="S451" s="6">
        <f t="shared" ref="S451:S481" si="268">$E451+8</f>
        <v>117</v>
      </c>
      <c r="T451" s="7">
        <f>IF($J451=0,0,ROUND(MAX($J451*1.4*1.5*1.6*1.6*2.2,42600000*(1.576904^(MIN($E451,123)-117)))*1,0))</f>
        <v>1114211</v>
      </c>
      <c r="U451" s="4">
        <f t="shared" ref="U451:U481" si="269">$E451+11</f>
        <v>120</v>
      </c>
      <c r="V451" s="8">
        <f>IF($J451=0,0,ROUND(MAX($J451*1.4*1.5*1.6*1.6*2.2*2.715,354000000*(1.642074^(MIN($E451,123)-117)))*1,0))</f>
        <v>6696710</v>
      </c>
      <c r="W451" s="6">
        <f t="shared" ref="W451:W481" si="270">$E451+15</f>
        <v>124</v>
      </c>
      <c r="X451" s="7">
        <f>IF($J451=0,0,ROUND(MAX($J451*1.4*1.5*1.6*1.6*2.2*2.715*2.6,3540000000*(1.579646^(MIN($E451,123)-117)))*1,0))</f>
        <v>91311418</v>
      </c>
      <c r="Y451" s="4">
        <f t="shared" ref="Y451:Y481" si="271">$E451+17</f>
        <v>126</v>
      </c>
      <c r="Z451" s="8">
        <f>IF($J451=0,0,ROUND(MAX($J451*1.4*1.5*1.6*1.6*2.2*2.715*2.6*1.4,6020000000*(1.651178^(MIN($E451,123)-117)))*1,0))</f>
        <v>108954543</v>
      </c>
      <c r="AA451" s="6">
        <f t="shared" ref="AA451:AA481" si="272">$E451+19</f>
        <v>128</v>
      </c>
      <c r="AB451" s="7">
        <f>IF($J451=0,0,ROUND(MAX($J451*1.4*1.5*1.6*1.6*2.2*2.715*2.6*1.4*1.4,8430000000*(1.651435^(MIN($E451,123)-117)))*1,0))</f>
        <v>152382712</v>
      </c>
      <c r="AC451" s="4">
        <f t="shared" ref="AC451:AC481" si="273">$E451+21</f>
        <v>130</v>
      </c>
      <c r="AD451" s="8">
        <f>IF($J451=0,0,ROUND(MAX($J451*1.4*1.5*1.6*1.6*2.2*2.715*2.6*1.4*1.4*1.5,12600000000*(1.652953^(MIN($E451,123)-117)))*1,0))</f>
        <v>226092682</v>
      </c>
      <c r="AE451" s="6">
        <f t="shared" ref="AE451:AE481" si="274">$E451+24</f>
        <v>133</v>
      </c>
      <c r="AF451" s="7">
        <f>IF($J451=0,0,ROUND(MAX($J451*1.4*1.5*1.6*1.6*2.2*2.715*2.6*1.4*1.4*1.5*1.5,18900000000*(1.65331^(MIN($E451,123)-117)))*1,0))</f>
        <v>338553621</v>
      </c>
      <c r="AG451" s="4">
        <f t="shared" ref="AG451:AG481" si="275">$E451+27</f>
        <v>136</v>
      </c>
      <c r="AH451" s="8">
        <f>IF($J451=0,0,ROUND(MAX($J451*1.4*1.5*1.6*1.6*2.2*2.715*2.6*1.4*1.4*1.5*1.5*3.2,60500000000*(1.654288^(MIN($E451,123)-117)))*1,0))</f>
        <v>1078614909</v>
      </c>
    </row>
    <row r="452" ht="27.75" customHeight="1" spans="1:34" x14ac:dyDescent="0.25">
      <c r="A452" s="3">
        <v>462</v>
      </c>
      <c r="B452" s="3" t="s">
        <v>559</v>
      </c>
      <c r="C452" s="3" t="s">
        <v>542</v>
      </c>
      <c r="D452" s="3" t="s">
        <v>75</v>
      </c>
      <c r="E452" s="3">
        <v>110</v>
      </c>
      <c r="F452" s="3" t="s">
        <v>34</v>
      </c>
      <c r="G452" s="3" t="s">
        <v>254</v>
      </c>
      <c r="H452" s="3">
        <v>25</v>
      </c>
      <c r="I452" s="4">
        <v>110</v>
      </c>
      <c r="J452" s="5">
        <v>66100</v>
      </c>
      <c r="K452" s="6">
        <f t="shared" si="264"/>
        <v>111</v>
      </c>
      <c r="L452" s="7">
        <f>IF($J452=0,0,ROUND(MAX($J452*1.4,1620000*(1.497923^(MIN($E452,123)-117)))*1,0))</f>
        <v>95739</v>
      </c>
      <c r="M452" s="4">
        <f t="shared" si="265"/>
        <v>112</v>
      </c>
      <c r="N452" s="8">
        <f>IF($J452=0,0,ROUND(MAX($J452*1.4*1.5,2190000*(1.580994^(MIN($E452,123)-117)))*1,0))</f>
        <v>138810</v>
      </c>
      <c r="O452" s="6">
        <f t="shared" si="266"/>
        <v>114</v>
      </c>
      <c r="P452" s="7">
        <f>IF($J452=0,0,ROUND(MAX($J452*1.4*1.5*1.6,3500000*(1.57975^(MIN($E452,123)-117)))*1,0))</f>
        <v>222096</v>
      </c>
      <c r="Q452" s="4">
        <f t="shared" si="267"/>
        <v>116</v>
      </c>
      <c r="R452" s="8">
        <f>IF($J452=0,0,ROUND(MAX($J452*1.4*1.5*1.6*1.6,13100000*(1.429962^(MIN($E452,123)-117)))*1,0))</f>
        <v>1071519</v>
      </c>
      <c r="S452" s="6">
        <f t="shared" si="268"/>
        <v>118</v>
      </c>
      <c r="T452" s="7">
        <f>IF($J452=0,0,ROUND(MAX($J452*1.4*1.5*1.6*1.6*2.2,42600000*(1.576904^(MIN($E452,123)-117)))*1,0))</f>
        <v>1757004</v>
      </c>
      <c r="U452" s="4">
        <f t="shared" si="269"/>
        <v>121</v>
      </c>
      <c r="V452" s="8">
        <f>IF($J452=0,0,ROUND(MAX($J452*1.4*1.5*1.6*1.6*2.2*2.715,354000000*(1.642074^(MIN($E452,123)-117)))*1,0))</f>
        <v>10996493</v>
      </c>
      <c r="W452" s="6">
        <f t="shared" si="270"/>
        <v>125</v>
      </c>
      <c r="X452" s="7">
        <f>IF($J452=0,0,ROUND(MAX($J452*1.4*1.5*1.6*1.6*2.2*2.715*2.6,3540000000*(1.579646^(MIN($E452,123)-117)))*1,0))</f>
        <v>144239716</v>
      </c>
      <c r="Y452" s="4">
        <f t="shared" si="271"/>
        <v>127</v>
      </c>
      <c r="Z452" s="8">
        <f>IF($J452=0,0,ROUND(MAX($J452*1.4*1.5*1.6*1.6*2.2*2.715*2.6*1.4,6020000000*(1.651178^(MIN($E452,123)-117)))*1,0))</f>
        <v>179903344</v>
      </c>
      <c r="AA452" s="6">
        <f t="shared" si="272"/>
        <v>129</v>
      </c>
      <c r="AB452" s="7">
        <f>IF($J452=0,0,ROUND(MAX($J452*1.4*1.5*1.6*1.6*2.2*2.715*2.6*1.4*1.4,8430000000*(1.651435^(MIN($E452,123)-117)))*1,0))</f>
        <v>251650143</v>
      </c>
      <c r="AC452" s="4">
        <f t="shared" si="273"/>
        <v>131</v>
      </c>
      <c r="AD452" s="8">
        <f>IF($J452=0,0,ROUND(MAX($J452*1.4*1.5*1.6*1.6*2.2*2.715*2.6*1.4*1.4*1.5,12600000000*(1.652953^(MIN($E452,123)-117)))*1,0))</f>
        <v>373720576</v>
      </c>
      <c r="AE452" s="6">
        <f t="shared" si="274"/>
        <v>134</v>
      </c>
      <c r="AF452" s="7">
        <f>IF($J452=0,0,ROUND(MAX($J452*1.4*1.5*1.6*1.6*2.2*2.715*2.6*1.4*1.4*1.5*1.5,18900000000*(1.65331^(MIN($E452,123)-117)))*1,0))</f>
        <v>559734088</v>
      </c>
      <c r="AG452" s="4">
        <f t="shared" si="275"/>
        <v>137</v>
      </c>
      <c r="AH452" s="8">
        <f>IF($J452=0,0,ROUND(MAX($J452*1.4*1.5*1.6*1.6*2.2*2.715*2.6*1.4*1.4*1.5*1.5*3.2,60500000000*(1.654288^(MIN($E452,123)-117)))*1,0))</f>
        <v>1784339701</v>
      </c>
    </row>
    <row r="453" ht="27.75" customHeight="1" spans="1:34" x14ac:dyDescent="0.25">
      <c r="A453" s="3">
        <v>463</v>
      </c>
      <c r="B453" s="3" t="s">
        <v>560</v>
      </c>
      <c r="C453" s="3" t="s">
        <v>542</v>
      </c>
      <c r="D453" s="3" t="s">
        <v>75</v>
      </c>
      <c r="E453" s="3">
        <v>104</v>
      </c>
      <c r="F453" s="3" t="s">
        <v>34</v>
      </c>
      <c r="G453" s="3" t="s">
        <v>561</v>
      </c>
      <c r="H453" s="3">
        <v>21</v>
      </c>
      <c r="I453" s="4">
        <v>104</v>
      </c>
      <c r="J453" s="5">
        <v>18400</v>
      </c>
      <c r="K453" s="6">
        <f t="shared" si="264"/>
        <v>105</v>
      </c>
      <c r="L453" s="7">
        <f>IF($J453=0,0,ROUND(MAX($J453*1.4,1620000*(1.497923^(MIN($E453,123)-117)))*0.8,0))</f>
        <v>20608</v>
      </c>
      <c r="M453" s="4">
        <f t="shared" si="265"/>
        <v>106</v>
      </c>
      <c r="N453" s="8">
        <f>IF($J453=0,0,ROUND(MAX($J453*1.4*1.5,2190000*(1.580994^(MIN($E453,123)-117)))*0.8,0))</f>
        <v>30912</v>
      </c>
      <c r="O453" s="6">
        <f t="shared" si="266"/>
        <v>108</v>
      </c>
      <c r="P453" s="7">
        <f>IF($J453=0,0,ROUND(MAX($J453*1.4*1.5*1.6,3500000*(1.57975^(MIN($E453,123)-117)))*0.8,0))</f>
        <v>49459</v>
      </c>
      <c r="Q453" s="4">
        <f t="shared" si="267"/>
        <v>110</v>
      </c>
      <c r="R453" s="8">
        <f>IF($J453=0,0,ROUND(MAX($J453*1.4*1.5*1.6*1.6,13100000*(1.429962^(MIN($E453,123)-117)))*0.651041666666667,0))</f>
        <v>81595</v>
      </c>
      <c r="S453" s="6">
        <f t="shared" si="268"/>
        <v>112</v>
      </c>
      <c r="T453" s="7">
        <f>IF($J453=0,0,ROUND(MAX($J453*1.4*1.5*1.6*1.6*2.2,42600000*(1.576904^(MIN($E453,123)-117)))*0.617361111111111,0))</f>
        <v>134350</v>
      </c>
      <c r="U453" s="4">
        <f t="shared" si="269"/>
        <v>115</v>
      </c>
      <c r="V453" s="8">
        <f>IF($J453=0,0,ROUND(MAX($J453*1.4*1.5*1.6*1.6*2.2*2.715,354000000*(1.642074^(MIN($E453,123)-117)))*0.583680555555556,0))</f>
        <v>344862</v>
      </c>
      <c r="W453" s="6">
        <f t="shared" si="270"/>
        <v>119</v>
      </c>
      <c r="X453" s="7">
        <f>IF($J453=0,0,ROUND(MAX($J453*1.4*1.5*1.6*1.6*2.2*2.715*2.6,3540000000*(1.579646^(MIN($E453,123)-117)))*0.55,0))</f>
        <v>5106095</v>
      </c>
      <c r="Y453" s="4">
        <f t="shared" si="271"/>
        <v>121</v>
      </c>
      <c r="Z453" s="8">
        <f>IF($J453=0,0,ROUND(MAX($J453*1.4*1.5*1.6*1.6*2.2*2.715*2.6*1.4,6020000000*(1.651178^(MIN($E453,123)-117)))*0.55,0))</f>
        <v>4882459</v>
      </c>
      <c r="AA453" s="6">
        <f t="shared" si="272"/>
        <v>123</v>
      </c>
      <c r="AB453" s="7">
        <f>IF($J453=0,0,ROUND(MAX($J453*1.4*1.5*1.6*1.6*2.2*2.715*2.6*1.4*1.4,8430000000*(1.651435^(MIN($E453,123)-117)))*0.55,0))</f>
        <v>6823245</v>
      </c>
      <c r="AC453" s="4">
        <f t="shared" si="273"/>
        <v>125</v>
      </c>
      <c r="AD453" s="8">
        <f>IF($J453=0,0,ROUND(MAX($J453*1.4*1.5*1.6*1.6*2.2*2.715*2.6*1.4*1.4*1.5,12600000000*(1.652953^(MIN($E453,123)-117)))*0.55,0))</f>
        <v>10077358</v>
      </c>
      <c r="AE453" s="6">
        <f t="shared" si="274"/>
        <v>128</v>
      </c>
      <c r="AF453" s="7">
        <f>IF($J453=0,0,ROUND(MAX($J453*1.4*1.5*1.6*1.6*2.2*2.715*2.6*1.4*1.4*1.5*1.5,18900000000*(1.65331^(MIN($E453,123)-117)))*0.55,0))</f>
        <v>15073659</v>
      </c>
      <c r="AG453" s="4">
        <f t="shared" si="275"/>
        <v>131</v>
      </c>
      <c r="AH453" s="8">
        <f>IF($J453=0,0,ROUND(MAX($J453*1.4*1.5*1.6*1.6*2.2*2.715*2.6*1.4*1.4*1.5*1.5*3.2,60500000000*(1.654288^(MIN($E453,123)-117)))*0.55,0))</f>
        <v>47882136</v>
      </c>
    </row>
    <row r="454" ht="27.75" customHeight="1" spans="1:34" x14ac:dyDescent="0.25">
      <c r="A454" s="3">
        <v>464</v>
      </c>
      <c r="B454" s="3" t="s">
        <v>536</v>
      </c>
      <c r="C454" s="3" t="s">
        <v>542</v>
      </c>
      <c r="D454" s="3" t="s">
        <v>40</v>
      </c>
      <c r="E454" s="3">
        <v>115</v>
      </c>
      <c r="F454" s="3" t="s">
        <v>26</v>
      </c>
      <c r="G454" s="3" t="s">
        <v>26</v>
      </c>
      <c r="H454" s="3">
        <v>29</v>
      </c>
      <c r="I454" s="4">
        <v>115</v>
      </c>
      <c r="J454" s="5">
        <v>422000</v>
      </c>
      <c r="K454" s="6">
        <f t="shared" si="264"/>
        <v>116</v>
      </c>
      <c r="L454" s="7">
        <f>IF($J454=0,0,ROUND(MAX($J454*1.4,1620000*(1.497923^(MIN($E454,123)-117)))*1,0))</f>
        <v>721998</v>
      </c>
      <c r="M454" s="4">
        <f t="shared" si="265"/>
        <v>117</v>
      </c>
      <c r="N454" s="8">
        <f>IF($J454=0,0,ROUND(MAX($J454*1.4*1.5,2190000*(1.580994^(MIN($E454,123)-117)))*1,0))</f>
        <v>886200</v>
      </c>
      <c r="O454" s="6">
        <f t="shared" si="266"/>
        <v>119</v>
      </c>
      <c r="P454" s="7">
        <f>IF($J454=0,0,ROUND(MAX($J454*1.4*1.5*1.6,3500000*(1.57975^(MIN($E454,123)-117)))*1,0))</f>
        <v>1417920</v>
      </c>
      <c r="Q454" s="4">
        <f t="shared" si="267"/>
        <v>121</v>
      </c>
      <c r="R454" s="8">
        <f>IF($J454=0,0,ROUND(MAX($J454*1.4*1.5*1.6*1.6,13100000*(1.429962^(MIN($E454,123)-117)))*1,0))</f>
        <v>6406522</v>
      </c>
      <c r="S454" s="6">
        <f t="shared" si="268"/>
        <v>123</v>
      </c>
      <c r="T454" s="7">
        <f>IF($J454=0,0,ROUND(MAX($J454*1.4*1.5*1.6*1.6*2.2,42600000*(1.576904^(MIN($E454,123)-117)))*1,0))</f>
        <v>17131646</v>
      </c>
      <c r="U454" s="4">
        <f t="shared" si="269"/>
        <v>126</v>
      </c>
      <c r="V454" s="8">
        <f>IF($J454=0,0,ROUND(MAX($J454*1.4*1.5*1.6*1.6*2.2*2.715,354000000*(1.642074^(MIN($E454,123)-117)))*1,0))</f>
        <v>131285817</v>
      </c>
      <c r="W454" s="6">
        <f t="shared" si="270"/>
        <v>130</v>
      </c>
      <c r="X454" s="7">
        <f>IF($J454=0,0,ROUND(MAX($J454*1.4*1.5*1.6*1.6*2.2*2.715*2.6,3540000000*(1.579646^(MIN($E454,123)-117)))*1,0))</f>
        <v>1418677620</v>
      </c>
      <c r="Y454" s="4">
        <f t="shared" si="271"/>
        <v>132</v>
      </c>
      <c r="Z454" s="8">
        <f>IF($J454=0,0,ROUND(MAX($J454*1.4*1.5*1.6*1.6*2.2*2.715*2.6*1.4,6020000000*(1.651178^(MIN($E454,123)-117)))*1,0))</f>
        <v>2208048987</v>
      </c>
      <c r="AA454" s="6">
        <f t="shared" si="272"/>
        <v>134</v>
      </c>
      <c r="AB454" s="7">
        <f>IF($J454=0,0,ROUND(MAX($J454*1.4*1.5*1.6*1.6*2.2*2.715*2.6*1.4*1.4,8430000000*(1.651435^(MIN($E454,123)-117)))*1,0))</f>
        <v>3091039859</v>
      </c>
      <c r="AC454" s="4">
        <f t="shared" si="273"/>
        <v>136</v>
      </c>
      <c r="AD454" s="8">
        <f>IF($J454=0,0,ROUND(MAX($J454*1.4*1.5*1.6*1.6*2.2*2.715*2.6*1.4*1.4*1.5,12600000000*(1.652953^(MIN($E454,123)-117)))*1,0))</f>
        <v>4611577749</v>
      </c>
      <c r="AE454" s="6">
        <f t="shared" si="274"/>
        <v>139</v>
      </c>
      <c r="AF454" s="7">
        <f>IF($J454=0,0,ROUND(MAX($J454*1.4*1.5*1.6*1.6*2.2*2.715*2.6*1.4*1.4*1.5*1.5,18900000000*(1.65331^(MIN($E454,123)-117)))*1,0))</f>
        <v>6914379606</v>
      </c>
      <c r="AG454" s="4">
        <f t="shared" si="275"/>
        <v>142</v>
      </c>
      <c r="AH454" s="8">
        <f>IF($J454=0,0,ROUND(MAX($J454*1.4*1.5*1.6*1.6*2.2*2.715*2.6*1.4*1.4*1.5*1.5*3.2,60500000000*(1.654288^(MIN($E454,123)-117)))*1,0))</f>
        <v>22107169230</v>
      </c>
    </row>
    <row r="455" ht="27.75" customHeight="1" spans="1:34" x14ac:dyDescent="0.25">
      <c r="A455" s="3">
        <v>465</v>
      </c>
      <c r="B455" s="3" t="s">
        <v>489</v>
      </c>
      <c r="C455" s="3" t="s">
        <v>542</v>
      </c>
      <c r="D455" s="3" t="s">
        <v>79</v>
      </c>
      <c r="E455" s="3">
        <v>114</v>
      </c>
      <c r="F455" s="3" t="s">
        <v>30</v>
      </c>
      <c r="G455" s="3" t="s">
        <v>562</v>
      </c>
      <c r="H455" s="3">
        <v>28</v>
      </c>
      <c r="I455" s="4">
        <v>114</v>
      </c>
      <c r="J455" s="5">
        <v>164000</v>
      </c>
      <c r="K455" s="6">
        <f t="shared" si="264"/>
        <v>115</v>
      </c>
      <c r="L455" s="7">
        <f>IF($J455=0,0,ROUND(MAX($J455*1.4*1,4020000*(1.354082^(MIN($E455,123)-118))),0))</f>
        <v>1195766</v>
      </c>
      <c r="M455" s="4">
        <f t="shared" si="265"/>
        <v>116</v>
      </c>
      <c r="N455" s="8">
        <f>IF($J455=0,0,ROUND(MAX($J455*1.4*1.5*1,6950000*(1.375334^(MIN($E455,123)-118))),0))</f>
        <v>1942460</v>
      </c>
      <c r="O455" s="6">
        <f t="shared" si="266"/>
        <v>118</v>
      </c>
      <c r="P455" s="7">
        <f>IF($J455=0,0,ROUND(MAX($J455*1.4*1.5*1.6*1,23900000*(1.1788^(MIN($E455,123)-118))),0))</f>
        <v>12377627</v>
      </c>
      <c r="Q455" s="4">
        <f t="shared" si="267"/>
        <v>120</v>
      </c>
      <c r="R455" s="8">
        <f>IF($J455=0,0,ROUND(MAX($J455*1.4*1.5*1.6*1.6*1.25,77000000*(1.127009^(MIN($E455,123)-118))),0))</f>
        <v>47728874</v>
      </c>
      <c r="S455" s="6">
        <f t="shared" si="268"/>
        <v>122</v>
      </c>
      <c r="T455" s="7">
        <f>IF($J455=0,0,ROUND(MAX($J455*1.4*1.5*1.6*1.6*2.2*1.25,270000000*(1.248411^(MIN($E455,123)-118))),0))</f>
        <v>111156130</v>
      </c>
      <c r="U455" s="4">
        <f t="shared" si="269"/>
        <v>125</v>
      </c>
      <c r="V455" s="8">
        <f>IF($J455=0,0,ROUND(MAX($J455*1.4*1.5*1.6*1.6*2.2*2.715*1.25,2400000000*(1.293039^(MIN($E455,123)-118))),0))</f>
        <v>858548325</v>
      </c>
      <c r="W455" s="6">
        <f t="shared" si="270"/>
        <v>129</v>
      </c>
      <c r="X455" s="7">
        <f>IF($J455=0,0,ROUND(MAX($J455*1.4*1.5*1.6*1.6*2.2*2.715*2.6*1.25,20000000000*(1.280114^(MIN($E455,123)-118))),0))</f>
        <v>7447926918</v>
      </c>
      <c r="Y455" s="4">
        <f t="shared" si="271"/>
        <v>131</v>
      </c>
      <c r="Z455" s="8">
        <f>IF($J455=0,0,ROUND(MAX($J455*1.4*1.5*1.6*1.6*2.2*2.715*2.6*1.4*1.25,39200000000*(1.31219^(MIN($E455,123)-118))),0))</f>
        <v>13222061475</v>
      </c>
      <c r="AA455" s="6">
        <f t="shared" si="272"/>
        <v>133</v>
      </c>
      <c r="AB455" s="7">
        <f>IF($J455=0,0,ROUND(MAX($J455*1.4*1.5*1.6*1.6*2.2*2.715*2.6*1.4*1.4*1.25,54900000000*(1.312402^(MIN($E455,123)-118))),0))</f>
        <v>18505669866</v>
      </c>
      <c r="AC455" s="4">
        <f t="shared" si="273"/>
        <v>135</v>
      </c>
      <c r="AD455" s="8">
        <f>IF($J455=0,0,ROUND(MAX($J455*1.4*1.5*1.6*1.6*2.2*2.715*2.6*1.4*1.4*1.5*1.25,82400000000*(1.312754^(MIN($E455,123)-118))),0))</f>
        <v>27745580178</v>
      </c>
      <c r="AE455" s="6">
        <f t="shared" si="274"/>
        <v>138</v>
      </c>
      <c r="AF455" s="7">
        <f>IF($J455=0,0,ROUND(MAX($J455*1.4*1.5*1.6*1.6*2.2*2.715*2.6*1.4*1.4*1.5*1.5*1.25,124000000000*(1.312246^(MIN($E455,123)-118))),0))</f>
        <v>41817749301</v>
      </c>
      <c r="AG455" s="4">
        <f t="shared" si="275"/>
        <v>141</v>
      </c>
      <c r="AH455" s="8">
        <f>IF($J455=0,0,ROUND(MAX($J455*1.4*1.5*1.6*1.6*2.2*2.715*2.6*1.4*1.4*1.5*1.5*3.2*1.25,397000000000*(1.313132^(MIN($E455,123)-118))),0))</f>
        <v>133523272314</v>
      </c>
    </row>
    <row r="456" ht="27.75" customHeight="1" spans="1:34" x14ac:dyDescent="0.25">
      <c r="A456" s="3">
        <v>466</v>
      </c>
      <c r="B456" s="3" t="s">
        <v>563</v>
      </c>
      <c r="C456" s="3" t="s">
        <v>542</v>
      </c>
      <c r="D456" s="3" t="s">
        <v>40</v>
      </c>
      <c r="E456" s="3">
        <v>111</v>
      </c>
      <c r="F456" s="3" t="s">
        <v>30</v>
      </c>
      <c r="G456" s="3" t="s">
        <v>95</v>
      </c>
      <c r="H456" s="3">
        <v>26</v>
      </c>
      <c r="I456" s="4">
        <v>111</v>
      </c>
      <c r="J456" s="5">
        <v>128000</v>
      </c>
      <c r="K456" s="6">
        <f t="shared" si="264"/>
        <v>112</v>
      </c>
      <c r="L456" s="7">
        <f>IF($J456=0,0,ROUND(MAX($J456*1.4,1620000*(1.497923^(MIN($E456,123)-117)))*1,0))</f>
        <v>179200</v>
      </c>
      <c r="M456" s="4">
        <f t="shared" si="265"/>
        <v>113</v>
      </c>
      <c r="N456" s="8">
        <f>IF($J456=0,0,ROUND(MAX($J456*1.4*1.5,2190000*(1.580994^(MIN($E456,123)-117)))*1,0))</f>
        <v>268800</v>
      </c>
      <c r="O456" s="6">
        <f t="shared" si="266"/>
        <v>115</v>
      </c>
      <c r="P456" s="7">
        <f>IF($J456=0,0,ROUND(MAX($J456*1.4*1.5*1.6,3500000*(1.57975^(MIN($E456,123)-117)))*1,0))</f>
        <v>430080</v>
      </c>
      <c r="Q456" s="4">
        <f t="shared" si="267"/>
        <v>117</v>
      </c>
      <c r="R456" s="8">
        <f>IF($J456=0,0,ROUND(MAX($J456*1.4*1.5*1.6*1.6,13100000*(1.429962^(MIN($E456,123)-117)))*1,0))</f>
        <v>1532231</v>
      </c>
      <c r="S456" s="6">
        <f t="shared" si="268"/>
        <v>119</v>
      </c>
      <c r="T456" s="7">
        <f>IF($J456=0,0,ROUND(MAX($J456*1.4*1.5*1.6*1.6*2.2,42600000*(1.576904^(MIN($E456,123)-117)))*1,0))</f>
        <v>2770627</v>
      </c>
      <c r="U456" s="4">
        <f t="shared" si="269"/>
        <v>122</v>
      </c>
      <c r="V456" s="8">
        <f>IF($J456=0,0,ROUND(MAX($J456*1.4*1.5*1.6*1.6*2.2*2.715,354000000*(1.642074^(MIN($E456,123)-117)))*1,0))</f>
        <v>18057055</v>
      </c>
      <c r="W456" s="6">
        <f t="shared" si="270"/>
        <v>126</v>
      </c>
      <c r="X456" s="7">
        <f>IF($J456=0,0,ROUND(MAX($J456*1.4*1.5*1.6*1.6*2.2*2.715*2.6,3540000000*(1.579646^(MIN($E456,123)-117)))*1,0))</f>
        <v>227847690</v>
      </c>
      <c r="Y456" s="4">
        <f t="shared" si="271"/>
        <v>128</v>
      </c>
      <c r="Z456" s="8">
        <f>IF($J456=0,0,ROUND(MAX($J456*1.4*1.5*1.6*1.6*2.2*2.715*2.6*1.4,6020000000*(1.651178^(MIN($E456,123)-117)))*1,0))</f>
        <v>297052444</v>
      </c>
      <c r="AA456" s="6">
        <f t="shared" si="272"/>
        <v>130</v>
      </c>
      <c r="AB456" s="7">
        <f>IF($J456=0,0,ROUND(MAX($J456*1.4*1.5*1.6*1.6*2.2*2.715*2.6*1.4*1.4,8430000000*(1.651435^(MIN($E456,123)-117)))*1,0))</f>
        <v>415583854</v>
      </c>
      <c r="AC456" s="4">
        <f t="shared" si="273"/>
        <v>132</v>
      </c>
      <c r="AD456" s="8">
        <f>IF($J456=0,0,ROUND(MAX($J456*1.4*1.5*1.6*1.6*2.2*2.715*2.6*1.4*1.4*1.5,12600000000*(1.652953^(MIN($E456,123)-117)))*1,0))</f>
        <v>617742548</v>
      </c>
      <c r="AE456" s="6">
        <f t="shared" si="274"/>
        <v>135</v>
      </c>
      <c r="AF456" s="7">
        <f>IF($J456=0,0,ROUND(MAX($J456*1.4*1.5*1.6*1.6*2.2*2.715*2.6*1.4*1.4*1.5*1.5,18900000000*(1.65331^(MIN($E456,123)-117)))*1,0))</f>
        <v>925413965</v>
      </c>
      <c r="AG456" s="4">
        <f t="shared" si="275"/>
        <v>138</v>
      </c>
      <c r="AH456" s="8">
        <f>IF($J456=0,0,ROUND(MAX($J456*1.4*1.5*1.6*1.6*2.2*2.715*2.6*1.4*1.4*1.5*1.5*3.2,60500000000*(1.654288^(MIN($E456,123)-117)))*1,0))</f>
        <v>2951811756</v>
      </c>
    </row>
    <row r="457" ht="27.75" customHeight="1" spans="1:34" x14ac:dyDescent="0.25">
      <c r="A457" s="3">
        <v>467</v>
      </c>
      <c r="B457" s="3" t="s">
        <v>127</v>
      </c>
      <c r="C457" s="3" t="s">
        <v>542</v>
      </c>
      <c r="D457" s="3" t="s">
        <v>33</v>
      </c>
      <c r="E457" s="3">
        <v>111</v>
      </c>
      <c r="F457" s="3" t="s">
        <v>71</v>
      </c>
      <c r="G457" s="3" t="s">
        <v>71</v>
      </c>
      <c r="H457" s="3">
        <v>26</v>
      </c>
      <c r="I457" s="4">
        <v>111</v>
      </c>
      <c r="J457" s="5">
        <v>167000</v>
      </c>
      <c r="K457" s="6">
        <f t="shared" si="264"/>
        <v>112</v>
      </c>
      <c r="L457" s="7">
        <f>IF($J457=0,0,ROUND(MAX($J457*1.4*1,4020000*(1.354082^(MIN($E457,123)-118))),0))</f>
        <v>481628</v>
      </c>
      <c r="M457" s="4">
        <f t="shared" si="265"/>
        <v>113</v>
      </c>
      <c r="N457" s="8">
        <f>IF($J457=0,0,ROUND(MAX($J457*1.4*1.5*1,6950000*(1.375334^(MIN($E457,123)-118))),0))</f>
        <v>746668</v>
      </c>
      <c r="O457" s="6">
        <f t="shared" si="266"/>
        <v>115</v>
      </c>
      <c r="P457" s="7">
        <f>IF($J457=0,0,ROUND(MAX($J457*1.4*1.5*1.6*1,23900000*(1.1788^(MIN($E457,123)-118))),0))</f>
        <v>7556436</v>
      </c>
      <c r="Q457" s="4">
        <f t="shared" si="267"/>
        <v>117</v>
      </c>
      <c r="R457" s="8">
        <f>IF($J457=0,0,ROUND(MAX($J457*1.4*1.5*1.6*1.6*1.25,77000000*(1.127009^(MIN($E457,123)-118))),0))</f>
        <v>33342567</v>
      </c>
      <c r="S457" s="6">
        <f t="shared" si="268"/>
        <v>119</v>
      </c>
      <c r="T457" s="7">
        <f>IF($J457=0,0,ROUND(MAX($J457*1.4*1.5*1.6*1.6*2.2*1.25,270000000*(1.248411^(MIN($E457,123)-118))),0))</f>
        <v>57129531</v>
      </c>
      <c r="U457" s="4">
        <f t="shared" si="269"/>
        <v>122</v>
      </c>
      <c r="V457" s="8">
        <f>IF($J457=0,0,ROUND(MAX($J457*1.4*1.5*1.6*1.6*2.2*2.715*1.25,2400000000*(1.293039^(MIN($E457,123)-118))),0))</f>
        <v>397127419</v>
      </c>
      <c r="W457" s="6">
        <f t="shared" si="270"/>
        <v>126</v>
      </c>
      <c r="X457" s="7">
        <f>IF($J457=0,0,ROUND(MAX($J457*1.4*1.5*1.6*1.6*2.2*2.715*2.6*1.25,20000000000*(1.280114^(MIN($E457,123)-118))),0))</f>
        <v>3550499573</v>
      </c>
      <c r="Y457" s="4">
        <f t="shared" si="271"/>
        <v>128</v>
      </c>
      <c r="Z457" s="8">
        <f>IF($J457=0,0,ROUND(MAX($J457*1.4*1.5*1.6*1.6*2.2*2.715*2.6*1.4*1.25,39200000000*(1.31219^(MIN($E457,123)-118))),0))</f>
        <v>5852063108</v>
      </c>
      <c r="AA457" s="6">
        <f t="shared" si="272"/>
        <v>130</v>
      </c>
      <c r="AB457" s="7">
        <f>IF($J457=0,0,ROUND(MAX($J457*1.4*1.5*1.6*1.6*2.2*2.715*2.6*1.4*1.4*1.25,54900000000*(1.312402^(MIN($E457,123)-118))),0))</f>
        <v>8186611093</v>
      </c>
      <c r="AC457" s="4">
        <f t="shared" si="273"/>
        <v>132</v>
      </c>
      <c r="AD457" s="8">
        <f>IF($J457=0,0,ROUND(MAX($J457*1.4*1.5*1.6*1.6*2.2*2.715*2.6*1.4*1.4*1.5*1.25,82400000000*(1.312754^(MIN($E457,123)-118))),0))</f>
        <v>12264328083</v>
      </c>
      <c r="AE457" s="6">
        <f t="shared" si="274"/>
        <v>135</v>
      </c>
      <c r="AF457" s="7">
        <f>IF($J457=0,0,ROUND(MAX($J457*1.4*1.5*1.6*1.6*2.2*2.715*2.6*1.4*1.4*1.5*1.5*1.25,124000000000*(1.312246^(MIN($E457,123)-118))),0))</f>
        <v>18506099029</v>
      </c>
      <c r="AG457" s="4">
        <f t="shared" si="275"/>
        <v>138</v>
      </c>
      <c r="AH457" s="8">
        <f>IF($J457=0,0,ROUND(MAX($J457*1.4*1.5*1.6*1.6*2.2*2.715*2.6*1.4*1.4*1.5*1.5*3.2*1.25,397000000000*(1.313132^(MIN($E457,123)-118))),0))</f>
        <v>58970092989</v>
      </c>
    </row>
    <row r="458" ht="27.75" customHeight="1" spans="1:34" x14ac:dyDescent="0.25">
      <c r="A458" s="3">
        <v>468</v>
      </c>
      <c r="B458" s="3" t="s">
        <v>564</v>
      </c>
      <c r="C458" s="3" t="s">
        <v>542</v>
      </c>
      <c r="D458" s="3" t="s">
        <v>75</v>
      </c>
      <c r="E458" s="3">
        <v>107</v>
      </c>
      <c r="F458" s="3" t="s">
        <v>71</v>
      </c>
      <c r="G458" s="3" t="s">
        <v>565</v>
      </c>
      <c r="H458" s="3">
        <v>24</v>
      </c>
      <c r="I458" s="4">
        <v>107</v>
      </c>
      <c r="J458" s="5">
        <v>52900</v>
      </c>
      <c r="K458" s="6">
        <f t="shared" si="264"/>
        <v>108</v>
      </c>
      <c r="L458" s="7">
        <f>IF($J458=0,0,ROUND(MAX($J458*1.4,1620000*(1.497923^(MIN($E458,123)-117)))*0.8,0))</f>
        <v>59248</v>
      </c>
      <c r="M458" s="4">
        <f t="shared" si="265"/>
        <v>109</v>
      </c>
      <c r="N458" s="8">
        <f>IF($J458=0,0,ROUND(MAX($J458*1.4*1.5,2190000*(1.580994^(MIN($E458,123)-117)))*0.8,0))</f>
        <v>88872</v>
      </c>
      <c r="O458" s="6">
        <f t="shared" si="266"/>
        <v>111</v>
      </c>
      <c r="P458" s="7">
        <f>IF($J458=0,0,ROUND(MAX($J458*1.4*1.5*1.6,3500000*(1.57975^(MIN($E458,123)-117)))*0.8,0))</f>
        <v>142195</v>
      </c>
      <c r="Q458" s="4">
        <f t="shared" si="267"/>
        <v>113</v>
      </c>
      <c r="R458" s="8">
        <f>IF($J458=0,0,ROUND(MAX($J458*1.4*1.5*1.6*1.6,13100000*(1.429962^(MIN($E458,123)-117)))*0.651041666666667,0))</f>
        <v>238581</v>
      </c>
      <c r="S458" s="6">
        <f t="shared" si="268"/>
        <v>115</v>
      </c>
      <c r="T458" s="7">
        <f>IF($J458=0,0,ROUND(MAX($J458*1.4*1.5*1.6*1.6*2.2,42600000*(1.576904^(MIN($E458,123)-117)))*0.617361111111111,0))</f>
        <v>386257</v>
      </c>
      <c r="U458" s="4">
        <f t="shared" si="269"/>
        <v>118</v>
      </c>
      <c r="V458" s="8">
        <f>IF($J458=0,0,ROUND(MAX($J458*1.4*1.5*1.6*1.6*2.2*2.715,354000000*(1.642074^(MIN($E458,123)-117)))*0.583680555555556,0))</f>
        <v>1449610</v>
      </c>
      <c r="W458" s="6">
        <f t="shared" si="270"/>
        <v>122</v>
      </c>
      <c r="X458" s="7">
        <f>IF($J458=0,0,ROUND(MAX($J458*1.4*1.5*1.6*1.6*2.2*2.715*2.6,3540000000*(1.579646^(MIN($E458,123)-117)))*0.55,0))</f>
        <v>20126499</v>
      </c>
      <c r="Y458" s="4">
        <f t="shared" si="271"/>
        <v>124</v>
      </c>
      <c r="Z458" s="8">
        <f>IF($J458=0,0,ROUND(MAX($J458*1.4*1.5*1.6*1.6*2.2*2.715*2.6*1.4,6020000000*(1.651178^(MIN($E458,123)-117)))*0.55,0))</f>
        <v>21979623</v>
      </c>
      <c r="AA458" s="6">
        <f t="shared" si="272"/>
        <v>126</v>
      </c>
      <c r="AB458" s="7">
        <f>IF($J458=0,0,ROUND(MAX($J458*1.4*1.5*1.6*1.6*2.2*2.715*2.6*1.4*1.4,8430000000*(1.651435^(MIN($E458,123)-117)))*0.55,0))</f>
        <v>30730910</v>
      </c>
      <c r="AC458" s="4">
        <f t="shared" si="273"/>
        <v>128</v>
      </c>
      <c r="AD458" s="8">
        <f>IF($J458=0,0,ROUND(MAX($J458*1.4*1.5*1.6*1.6*2.2*2.715*2.6*1.4*1.4*1.5,12600000000*(1.652953^(MIN($E458,123)-117)))*0.55,0))</f>
        <v>45512237</v>
      </c>
      <c r="AE458" s="6">
        <f t="shared" si="274"/>
        <v>131</v>
      </c>
      <c r="AF458" s="7">
        <f>IF($J458=0,0,ROUND(MAX($J458*1.4*1.5*1.6*1.6*2.2*2.715*2.6*1.4*1.4*1.5*1.5,18900000000*(1.65331^(MIN($E458,123)-117)))*0.55,0))</f>
        <v>68121087</v>
      </c>
      <c r="AG458" s="4">
        <f t="shared" si="275"/>
        <v>134</v>
      </c>
      <c r="AH458" s="8">
        <f>IF($J458=0,0,ROUND(MAX($J458*1.4*1.5*1.6*1.6*2.2*2.715*2.6*1.4*1.4*1.5*1.5*3.2,60500000000*(1.654288^(MIN($E458,123)-117)))*0.55,0))</f>
        <v>216773839</v>
      </c>
    </row>
    <row r="459" ht="27.75" customHeight="1" spans="1:34" x14ac:dyDescent="0.25">
      <c r="A459" s="3">
        <v>469</v>
      </c>
      <c r="B459" s="3" t="s">
        <v>114</v>
      </c>
      <c r="C459" s="3" t="s">
        <v>542</v>
      </c>
      <c r="D459" s="3" t="s">
        <v>75</v>
      </c>
      <c r="E459" s="3">
        <v>111</v>
      </c>
      <c r="F459" s="3" t="s">
        <v>30</v>
      </c>
      <c r="G459" s="3" t="s">
        <v>30</v>
      </c>
      <c r="H459" s="3">
        <v>26</v>
      </c>
      <c r="I459" s="4">
        <v>111</v>
      </c>
      <c r="J459" s="5">
        <v>145000</v>
      </c>
      <c r="K459" s="6">
        <f t="shared" si="264"/>
        <v>112</v>
      </c>
      <c r="L459" s="7">
        <f>IF($J459=0,0,ROUND(MAX($J459*1.4*1,4020000*(1.354082^(MIN($E459,123)-118))),0))</f>
        <v>481628</v>
      </c>
      <c r="M459" s="4">
        <f t="shared" si="265"/>
        <v>113</v>
      </c>
      <c r="N459" s="8">
        <f>IF($J459=0,0,ROUND(MAX($J459*1.4*1.5*1,6950000*(1.375334^(MIN($E459,123)-118))),0))</f>
        <v>746668</v>
      </c>
      <c r="O459" s="6">
        <f t="shared" si="266"/>
        <v>115</v>
      </c>
      <c r="P459" s="7">
        <f>IF($J459=0,0,ROUND(MAX($J459*1.4*1.5*1.6*1,23900000*(1.1788^(MIN($E459,123)-118))),0))</f>
        <v>7556436</v>
      </c>
      <c r="Q459" s="4">
        <f t="shared" si="267"/>
        <v>117</v>
      </c>
      <c r="R459" s="8">
        <f>IF($J459=0,0,ROUND(MAX($J459*1.4*1.5*1.6*1.6*1.25,77000000*(1.127009^(MIN($E459,123)-118))),0))</f>
        <v>33342567</v>
      </c>
      <c r="S459" s="6">
        <f t="shared" si="268"/>
        <v>119</v>
      </c>
      <c r="T459" s="7">
        <f>IF($J459=0,0,ROUND(MAX($J459*1.4*1.5*1.6*1.6*2.2*1.25,270000000*(1.248411^(MIN($E459,123)-118))),0))</f>
        <v>57129531</v>
      </c>
      <c r="U459" s="4">
        <f t="shared" si="269"/>
        <v>122</v>
      </c>
      <c r="V459" s="8">
        <f>IF($J459=0,0,ROUND(MAX($J459*1.4*1.5*1.6*1.6*2.2*2.715*1.25,2400000000*(1.293039^(MIN($E459,123)-118))),0))</f>
        <v>397127419</v>
      </c>
      <c r="W459" s="6">
        <f t="shared" si="270"/>
        <v>126</v>
      </c>
      <c r="X459" s="7">
        <f>IF($J459=0,0,ROUND(MAX($J459*1.4*1.5*1.6*1.6*2.2*2.715*2.6*1.25,20000000000*(1.280114^(MIN($E459,123)-118))),0))</f>
        <v>3550499573</v>
      </c>
      <c r="Y459" s="4">
        <f t="shared" si="271"/>
        <v>128</v>
      </c>
      <c r="Z459" s="8">
        <f>IF($J459=0,0,ROUND(MAX($J459*1.4*1.5*1.6*1.6*2.2*2.715*2.6*1.4*1.25,39200000000*(1.31219^(MIN($E459,123)-118))),0))</f>
        <v>5852063108</v>
      </c>
      <c r="AA459" s="6">
        <f t="shared" si="272"/>
        <v>130</v>
      </c>
      <c r="AB459" s="7">
        <f>IF($J459=0,0,ROUND(MAX($J459*1.4*1.5*1.6*1.6*2.2*2.715*2.6*1.4*1.4*1.25,54900000000*(1.312402^(MIN($E459,123)-118))),0))</f>
        <v>8186611093</v>
      </c>
      <c r="AC459" s="4">
        <f t="shared" si="273"/>
        <v>132</v>
      </c>
      <c r="AD459" s="8">
        <f>IF($J459=0,0,ROUND(MAX($J459*1.4*1.5*1.6*1.6*2.2*2.715*2.6*1.4*1.4*1.5*1.25,82400000000*(1.312754^(MIN($E459,123)-118))),0))</f>
        <v>12264328083</v>
      </c>
      <c r="AE459" s="6">
        <f t="shared" si="274"/>
        <v>135</v>
      </c>
      <c r="AF459" s="7">
        <f>IF($J459=0,0,ROUND(MAX($J459*1.4*1.5*1.6*1.6*2.2*2.715*2.6*1.4*1.4*1.5*1.5*1.25,124000000000*(1.312246^(MIN($E459,123)-118))),0))</f>
        <v>18506099029</v>
      </c>
      <c r="AG459" s="4">
        <f t="shared" si="275"/>
        <v>138</v>
      </c>
      <c r="AH459" s="8">
        <f>IF($J459=0,0,ROUND(MAX($J459*1.4*1.5*1.6*1.6*2.2*2.715*2.6*1.4*1.4*1.5*1.5*3.2*1.25,397000000000*(1.313132^(MIN($E459,123)-118))),0))</f>
        <v>58970092989</v>
      </c>
    </row>
    <row r="460" ht="27.75" customHeight="1" spans="1:34" x14ac:dyDescent="0.25">
      <c r="A460" s="3">
        <v>470</v>
      </c>
      <c r="B460" s="3" t="s">
        <v>566</v>
      </c>
      <c r="C460" s="3" t="s">
        <v>542</v>
      </c>
      <c r="D460" s="3" t="s">
        <v>33</v>
      </c>
      <c r="E460" s="3">
        <v>108</v>
      </c>
      <c r="F460" s="3" t="s">
        <v>108</v>
      </c>
      <c r="G460" s="3" t="s">
        <v>562</v>
      </c>
      <c r="H460" s="3">
        <v>24</v>
      </c>
      <c r="I460" s="4">
        <v>108</v>
      </c>
      <c r="J460" s="5">
        <v>82800</v>
      </c>
      <c r="K460" s="6">
        <f t="shared" si="264"/>
        <v>109</v>
      </c>
      <c r="L460" s="7">
        <f>IF($J460=0,0,ROUND(MAX($J460*1.4,1620000*(1.497923^(MIN($E460,123)-117)))*0.8,0))</f>
        <v>92736</v>
      </c>
      <c r="M460" s="4">
        <f t="shared" si="265"/>
        <v>110</v>
      </c>
      <c r="N460" s="8">
        <f>IF($J460=0,0,ROUND(MAX($J460*1.4*1.5,2190000*(1.580994^(MIN($E460,123)-117)))*0.8,0))</f>
        <v>139104</v>
      </c>
      <c r="O460" s="6">
        <f t="shared" si="266"/>
        <v>112</v>
      </c>
      <c r="P460" s="7">
        <f>IF($J460=0,0,ROUND(MAX($J460*1.4*1.5*1.6,3500000*(1.57975^(MIN($E460,123)-117)))*0.8,0))</f>
        <v>222566</v>
      </c>
      <c r="Q460" s="4">
        <f t="shared" si="267"/>
        <v>114</v>
      </c>
      <c r="R460" s="8">
        <f>IF($J460=0,0,ROUND(MAX($J460*1.4*1.5*1.6*1.6,13100000*(1.429962^(MIN($E460,123)-117)))*0.651041666666667,0))</f>
        <v>341161</v>
      </c>
      <c r="S460" s="6">
        <f t="shared" si="268"/>
        <v>116</v>
      </c>
      <c r="T460" s="7">
        <f>IF($J460=0,0,ROUND(MAX($J460*1.4*1.5*1.6*1.6*2.2,42600000*(1.576904^(MIN($E460,123)-117)))*0.617361111111111,0))</f>
        <v>604577</v>
      </c>
      <c r="U460" s="4">
        <f t="shared" si="269"/>
        <v>119</v>
      </c>
      <c r="V460" s="8">
        <f>IF($J460=0,0,ROUND(MAX($J460*1.4*1.5*1.6*1.6*2.2*2.715,354000000*(1.642074^(MIN($E460,123)-117)))*0.583680555555556,0))</f>
        <v>2380367</v>
      </c>
      <c r="W460" s="6">
        <f t="shared" si="270"/>
        <v>123</v>
      </c>
      <c r="X460" s="7">
        <f>IF($J460=0,0,ROUND(MAX($J460*1.4*1.5*1.6*1.6*2.2*2.715*2.6,3540000000*(1.579646^(MIN($E460,123)-117)))*0.55,0))</f>
        <v>31792743</v>
      </c>
      <c r="Y460" s="4">
        <f t="shared" si="271"/>
        <v>125</v>
      </c>
      <c r="Z460" s="8">
        <f>IF($J460=0,0,ROUND(MAX($J460*1.4*1.5*1.6*1.6*2.2*2.715*2.6*1.4,6020000000*(1.651178^(MIN($E460,123)-117)))*0.55,0))</f>
        <v>36292270</v>
      </c>
      <c r="AA460" s="6">
        <f t="shared" si="272"/>
        <v>127</v>
      </c>
      <c r="AB460" s="7">
        <f>IF($J460=0,0,ROUND(MAX($J460*1.4*1.5*1.6*1.6*2.2*2.715*2.6*1.4*1.4,8430000000*(1.651435^(MIN($E460,123)-117)))*0.55,0))</f>
        <v>50750100</v>
      </c>
      <c r="AC460" s="4">
        <f t="shared" si="273"/>
        <v>129</v>
      </c>
      <c r="AD460" s="8">
        <f>IF($J460=0,0,ROUND(MAX($J460*1.4*1.5*1.6*1.6*2.2*2.715*2.6*1.4*1.4*1.5,12600000000*(1.652953^(MIN($E460,123)-117)))*0.55,0))</f>
        <v>75229589</v>
      </c>
      <c r="AE460" s="6">
        <f t="shared" si="274"/>
        <v>132</v>
      </c>
      <c r="AF460" s="7">
        <f>IF($J460=0,0,ROUND(MAX($J460*1.4*1.5*1.6*1.6*2.2*2.715*2.6*1.4*1.4*1.5*1.5,18900000000*(1.65331^(MIN($E460,123)-117)))*0.55,0))</f>
        <v>112625274</v>
      </c>
      <c r="AG460" s="4">
        <f t="shared" si="275"/>
        <v>135</v>
      </c>
      <c r="AH460" s="8">
        <f>IF($J460=0,0,ROUND(MAX($J460*1.4*1.5*1.6*1.6*2.2*2.715*2.6*1.4*1.4*1.5*1.5*3.2,60500000000*(1.654288^(MIN($E460,123)-117)))*0.55,0))</f>
        <v>358606361</v>
      </c>
    </row>
    <row r="461" ht="27.75" customHeight="1" spans="1:34" x14ac:dyDescent="0.25">
      <c r="A461" s="3">
        <v>471</v>
      </c>
      <c r="B461" s="3" t="s">
        <v>567</v>
      </c>
      <c r="C461" s="3" t="s">
        <v>542</v>
      </c>
      <c r="D461" s="3" t="s">
        <v>33</v>
      </c>
      <c r="E461" s="3">
        <v>111</v>
      </c>
      <c r="F461" s="3" t="s">
        <v>30</v>
      </c>
      <c r="G461" s="3" t="s">
        <v>354</v>
      </c>
      <c r="H461" s="3">
        <v>25</v>
      </c>
      <c r="I461" s="4">
        <v>111</v>
      </c>
      <c r="J461" s="5">
        <v>184000</v>
      </c>
      <c r="K461" s="6">
        <f t="shared" si="264"/>
        <v>112</v>
      </c>
      <c r="L461" s="7">
        <f>IF($J461=0,0,ROUND(MAX($J461*1.4,1620000*(1.497923^(MIN($E461,123)-117)))*1,0))</f>
        <v>257600</v>
      </c>
      <c r="M461" s="4">
        <f t="shared" si="265"/>
        <v>113</v>
      </c>
      <c r="N461" s="8">
        <f>IF($J461=0,0,ROUND(MAX($J461*1.4*1.5,2190000*(1.580994^(MIN($E461,123)-117)))*1,0))</f>
        <v>386400</v>
      </c>
      <c r="O461" s="6">
        <f t="shared" si="266"/>
        <v>115</v>
      </c>
      <c r="P461" s="7">
        <f>IF($J461=0,0,ROUND(MAX($J461*1.4*1.5*1.6,3500000*(1.57975^(MIN($E461,123)-117)))*1,0))</f>
        <v>618240</v>
      </c>
      <c r="Q461" s="4">
        <f t="shared" si="267"/>
        <v>117</v>
      </c>
      <c r="R461" s="8">
        <f>IF($J461=0,0,ROUND(MAX($J461*1.4*1.5*1.6*1.6,13100000*(1.429962^(MIN($E461,123)-117)))*1,0))</f>
        <v>1532231</v>
      </c>
      <c r="S461" s="6">
        <f t="shared" si="268"/>
        <v>119</v>
      </c>
      <c r="T461" s="7">
        <f>IF($J461=0,0,ROUND(MAX($J461*1.4*1.5*1.6*1.6*2.2,42600000*(1.576904^(MIN($E461,123)-117)))*1,0))</f>
        <v>2770627</v>
      </c>
      <c r="U461" s="4">
        <f t="shared" si="269"/>
        <v>122</v>
      </c>
      <c r="V461" s="8">
        <f>IF($J461=0,0,ROUND(MAX($J461*1.4*1.5*1.6*1.6*2.2*2.715,354000000*(1.642074^(MIN($E461,123)-117)))*1,0))</f>
        <v>18057055</v>
      </c>
      <c r="W461" s="6">
        <f t="shared" si="270"/>
        <v>126</v>
      </c>
      <c r="X461" s="7">
        <f>IF($J461=0,0,ROUND(MAX($J461*1.4*1.5*1.6*1.6*2.2*2.715*2.6,3540000000*(1.579646^(MIN($E461,123)-117)))*1,0))</f>
        <v>227847690</v>
      </c>
      <c r="Y461" s="4">
        <f t="shared" si="271"/>
        <v>128</v>
      </c>
      <c r="Z461" s="8">
        <f>IF($J461=0,0,ROUND(MAX($J461*1.4*1.5*1.6*1.6*2.2*2.715*2.6*1.4,6020000000*(1.651178^(MIN($E461,123)-117)))*1,0))</f>
        <v>297052444</v>
      </c>
      <c r="AA461" s="6">
        <f t="shared" si="272"/>
        <v>130</v>
      </c>
      <c r="AB461" s="7">
        <f>IF($J461=0,0,ROUND(MAX($J461*1.4*1.5*1.6*1.6*2.2*2.715*2.6*1.4*1.4,8430000000*(1.651435^(MIN($E461,123)-117)))*1,0))</f>
        <v>415583854</v>
      </c>
      <c r="AC461" s="4">
        <f t="shared" si="273"/>
        <v>132</v>
      </c>
      <c r="AD461" s="8">
        <f>IF($J461=0,0,ROUND(MAX($J461*1.4*1.5*1.6*1.6*2.2*2.715*2.6*1.4*1.4*1.5,12600000000*(1.652953^(MIN($E461,123)-117)))*1,0))</f>
        <v>617742548</v>
      </c>
      <c r="AE461" s="6">
        <f t="shared" si="274"/>
        <v>135</v>
      </c>
      <c r="AF461" s="7">
        <f>IF($J461=0,0,ROUND(MAX($J461*1.4*1.5*1.6*1.6*2.2*2.715*2.6*1.4*1.4*1.5*1.5,18900000000*(1.65331^(MIN($E461,123)-117)))*1,0))</f>
        <v>925413965</v>
      </c>
      <c r="AG461" s="4">
        <f t="shared" si="275"/>
        <v>138</v>
      </c>
      <c r="AH461" s="8">
        <f>IF($J461=0,0,ROUND(MAX($J461*1.4*1.5*1.6*1.6*2.2*2.715*2.6*1.4*1.4*1.5*1.5*3.2,60500000000*(1.654288^(MIN($E461,123)-117)))*1,0))</f>
        <v>2951811756</v>
      </c>
    </row>
    <row r="462" ht="27.75" customHeight="1" spans="1:34" x14ac:dyDescent="0.25">
      <c r="A462" s="3">
        <v>472</v>
      </c>
      <c r="B462" s="3" t="s">
        <v>568</v>
      </c>
      <c r="C462" s="3" t="s">
        <v>542</v>
      </c>
      <c r="D462" s="3" t="s">
        <v>33</v>
      </c>
      <c r="E462" s="3">
        <v>110</v>
      </c>
      <c r="F462" s="3" t="s">
        <v>34</v>
      </c>
      <c r="G462" s="3" t="s">
        <v>569</v>
      </c>
      <c r="H462" s="3">
        <v>25</v>
      </c>
      <c r="I462" s="4">
        <v>110</v>
      </c>
      <c r="J462" s="5">
        <v>68400</v>
      </c>
      <c r="K462" s="6">
        <f t="shared" si="264"/>
        <v>111</v>
      </c>
      <c r="L462" s="7">
        <f>IF($J462=0,0,ROUND(MAX($J462*1.4,1620000*(1.497923^(MIN($E462,123)-117)))*1,0))</f>
        <v>95760</v>
      </c>
      <c r="M462" s="4">
        <f t="shared" si="265"/>
        <v>112</v>
      </c>
      <c r="N462" s="8">
        <f>IF($J462=0,0,ROUND(MAX($J462*1.4*1.5,2190000*(1.580994^(MIN($E462,123)-117)))*1,0))</f>
        <v>143640</v>
      </c>
      <c r="O462" s="6">
        <f t="shared" si="266"/>
        <v>114</v>
      </c>
      <c r="P462" s="7">
        <f>IF($J462=0,0,ROUND(MAX($J462*1.4*1.5*1.6,3500000*(1.57975^(MIN($E462,123)-117)))*1,0))</f>
        <v>229824</v>
      </c>
      <c r="Q462" s="4">
        <f t="shared" si="267"/>
        <v>116</v>
      </c>
      <c r="R462" s="8">
        <f>IF($J462=0,0,ROUND(MAX($J462*1.4*1.5*1.6*1.6,13100000*(1.429962^(MIN($E462,123)-117)))*1,0))</f>
        <v>1071519</v>
      </c>
      <c r="S462" s="6">
        <f t="shared" si="268"/>
        <v>118</v>
      </c>
      <c r="T462" s="7">
        <f>IF($J462=0,0,ROUND(MAX($J462*1.4*1.5*1.6*1.6*2.2,42600000*(1.576904^(MIN($E462,123)-117)))*1,0))</f>
        <v>1757004</v>
      </c>
      <c r="U462" s="4">
        <f t="shared" si="269"/>
        <v>121</v>
      </c>
      <c r="V462" s="8">
        <f>IF($J462=0,0,ROUND(MAX($J462*1.4*1.5*1.6*1.6*2.2*2.715,354000000*(1.642074^(MIN($E462,123)-117)))*1,0))</f>
        <v>10996493</v>
      </c>
      <c r="W462" s="6">
        <f t="shared" si="270"/>
        <v>125</v>
      </c>
      <c r="X462" s="7">
        <f>IF($J462=0,0,ROUND(MAX($J462*1.4*1.5*1.6*1.6*2.2*2.715*2.6,3540000000*(1.579646^(MIN($E462,123)-117)))*1,0))</f>
        <v>144239716</v>
      </c>
      <c r="Y462" s="4">
        <f t="shared" si="271"/>
        <v>127</v>
      </c>
      <c r="Z462" s="8">
        <f>IF($J462=0,0,ROUND(MAX($J462*1.4*1.5*1.6*1.6*2.2*2.715*2.6*1.4,6020000000*(1.651178^(MIN($E462,123)-117)))*1,0))</f>
        <v>179903344</v>
      </c>
      <c r="AA462" s="6">
        <f t="shared" si="272"/>
        <v>129</v>
      </c>
      <c r="AB462" s="7">
        <f>IF($J462=0,0,ROUND(MAX($J462*1.4*1.5*1.6*1.6*2.2*2.715*2.6*1.4*1.4,8430000000*(1.651435^(MIN($E462,123)-117)))*1,0))</f>
        <v>251650143</v>
      </c>
      <c r="AC462" s="4">
        <f t="shared" si="273"/>
        <v>131</v>
      </c>
      <c r="AD462" s="8">
        <f>IF($J462=0,0,ROUND(MAX($J462*1.4*1.5*1.6*1.6*2.2*2.715*2.6*1.4*1.4*1.5,12600000000*(1.652953^(MIN($E462,123)-117)))*1,0))</f>
        <v>373720576</v>
      </c>
      <c r="AE462" s="6">
        <f t="shared" si="274"/>
        <v>134</v>
      </c>
      <c r="AF462" s="7">
        <f>IF($J462=0,0,ROUND(MAX($J462*1.4*1.5*1.6*1.6*2.2*2.715*2.6*1.4*1.4*1.5*1.5,18900000000*(1.65331^(MIN($E462,123)-117)))*1,0))</f>
        <v>559734088</v>
      </c>
      <c r="AG462" s="4">
        <f t="shared" si="275"/>
        <v>137</v>
      </c>
      <c r="AH462" s="8">
        <f>IF($J462=0,0,ROUND(MAX($J462*1.4*1.5*1.6*1.6*2.2*2.715*2.6*1.4*1.4*1.5*1.5*3.2,60500000000*(1.654288^(MIN($E462,123)-117)))*1,0))</f>
        <v>1784339701</v>
      </c>
    </row>
    <row r="463" ht="27.75" customHeight="1" spans="1:34" x14ac:dyDescent="0.25">
      <c r="A463" s="3">
        <v>473</v>
      </c>
      <c r="B463" s="3" t="s">
        <v>134</v>
      </c>
      <c r="C463" s="3" t="s">
        <v>542</v>
      </c>
      <c r="D463" s="3" t="s">
        <v>90</v>
      </c>
      <c r="E463" s="3">
        <v>112</v>
      </c>
      <c r="F463" s="3" t="s">
        <v>26</v>
      </c>
      <c r="G463" s="3" t="s">
        <v>26</v>
      </c>
      <c r="H463" s="3">
        <v>26</v>
      </c>
      <c r="I463" s="4">
        <v>112</v>
      </c>
      <c r="J463" s="5">
        <v>242000</v>
      </c>
      <c r="K463" s="6">
        <f t="shared" si="264"/>
        <v>113</v>
      </c>
      <c r="L463" s="7">
        <f>IF($J463=0,0,ROUND(MAX($J463*1.4,1620000*(1.497923^(MIN($E463,123)-117)))*1,0))</f>
        <v>338800</v>
      </c>
      <c r="M463" s="4">
        <f t="shared" si="265"/>
        <v>114</v>
      </c>
      <c r="N463" s="8">
        <f>IF($J463=0,0,ROUND(MAX($J463*1.4*1.5,2190000*(1.580994^(MIN($E463,123)-117)))*1,0))</f>
        <v>508200</v>
      </c>
      <c r="O463" s="6">
        <f t="shared" si="266"/>
        <v>116</v>
      </c>
      <c r="P463" s="7">
        <f>IF($J463=0,0,ROUND(MAX($J463*1.4*1.5*1.6,3500000*(1.57975^(MIN($E463,123)-117)))*1,0))</f>
        <v>813120</v>
      </c>
      <c r="Q463" s="4">
        <f t="shared" si="267"/>
        <v>118</v>
      </c>
      <c r="R463" s="8">
        <f>IF($J463=0,0,ROUND(MAX($J463*1.4*1.5*1.6*1.6,13100000*(1.429962^(MIN($E463,123)-117)))*1,0))</f>
        <v>2191032</v>
      </c>
      <c r="S463" s="6">
        <f t="shared" si="268"/>
        <v>120</v>
      </c>
      <c r="T463" s="7">
        <f>IF($J463=0,0,ROUND(MAX($J463*1.4*1.5*1.6*1.6*2.2,42600000*(1.576904^(MIN($E463,123)-117)))*1,0))</f>
        <v>4369013</v>
      </c>
      <c r="U463" s="4">
        <f t="shared" si="269"/>
        <v>123</v>
      </c>
      <c r="V463" s="8">
        <f>IF($J463=0,0,ROUND(MAX($J463*1.4*1.5*1.6*1.6*2.2*2.715,354000000*(1.642074^(MIN($E463,123)-117)))*1,0))</f>
        <v>29651020</v>
      </c>
      <c r="W463" s="6">
        <f t="shared" si="270"/>
        <v>127</v>
      </c>
      <c r="X463" s="7">
        <f>IF($J463=0,0,ROUND(MAX($J463*1.4*1.5*1.6*1.6*2.2*2.715*2.6,3540000000*(1.579646^(MIN($E463,123)-117)))*1,0))</f>
        <v>359918692</v>
      </c>
      <c r="Y463" s="4">
        <f t="shared" si="271"/>
        <v>129</v>
      </c>
      <c r="Z463" s="8">
        <f>IF($J463=0,0,ROUND(MAX($J463*1.4*1.5*1.6*1.6*2.2*2.715*2.6*1.4,6020000000*(1.651178^(MIN($E463,123)-117)))*1,0))</f>
        <v>490486461</v>
      </c>
      <c r="AA463" s="6">
        <f t="shared" si="272"/>
        <v>131</v>
      </c>
      <c r="AB463" s="7">
        <f>IF($J463=0,0,ROUND(MAX($J463*1.4*1.5*1.6*1.6*2.2*2.715*2.6*1.4*1.4,8430000000*(1.651435^(MIN($E463,123)-117)))*1,0))</f>
        <v>686309723</v>
      </c>
      <c r="AC463" s="4">
        <f t="shared" si="273"/>
        <v>133</v>
      </c>
      <c r="AD463" s="8">
        <f>IF($J463=0,0,ROUND(MAX($J463*1.4*1.5*1.6*1.6*2.2*2.715*2.6*1.4*1.4*1.5,12600000000*(1.652953^(MIN($E463,123)-117)))*1,0))</f>
        <v>1021099398</v>
      </c>
      <c r="AE463" s="6">
        <f t="shared" si="274"/>
        <v>136</v>
      </c>
      <c r="AF463" s="7">
        <f>IF($J463=0,0,ROUND(MAX($J463*1.4*1.5*1.6*1.6*2.2*2.715*2.6*1.4*1.4*1.5*1.5,18900000000*(1.65331^(MIN($E463,123)-117)))*1,0))</f>
        <v>1529996162</v>
      </c>
      <c r="AG463" s="4">
        <f t="shared" si="275"/>
        <v>139</v>
      </c>
      <c r="AH463" s="8">
        <f>IF($J463=0,0,ROUND(MAX($J463*1.4*1.5*1.6*1.6*2.2*2.715*2.6*1.4*1.4*1.5*1.5*3.2,60500000000*(1.654288^(MIN($E463,123)-117)))*1,0))</f>
        <v>4883146766</v>
      </c>
    </row>
    <row r="464" ht="27.75" customHeight="1" spans="1:34" x14ac:dyDescent="0.25">
      <c r="A464" s="3">
        <v>474</v>
      </c>
      <c r="B464" s="3" t="s">
        <v>570</v>
      </c>
      <c r="C464" s="3" t="s">
        <v>542</v>
      </c>
      <c r="D464" s="3" t="s">
        <v>90</v>
      </c>
      <c r="E464" s="3">
        <v>102</v>
      </c>
      <c r="F464" s="3" t="s">
        <v>34</v>
      </c>
      <c r="G464" s="3" t="s">
        <v>34</v>
      </c>
      <c r="H464" s="3">
        <v>21</v>
      </c>
      <c r="I464" s="4">
        <v>102</v>
      </c>
      <c r="J464" s="5">
        <v>4430</v>
      </c>
      <c r="K464" s="6">
        <f t="shared" si="264"/>
        <v>103</v>
      </c>
      <c r="L464" s="7">
        <f>IF($J464=0,0,ROUND(MAX($J464*1.4,1620000*(1.497923^(MIN($E464,123)-117)))*0.8,0))</f>
        <v>4962</v>
      </c>
      <c r="M464" s="4">
        <f t="shared" si="265"/>
        <v>104</v>
      </c>
      <c r="N464" s="8">
        <f>IF($J464=0,0,ROUND(MAX($J464*1.4*1.5,2190000*(1.580994^(MIN($E464,123)-117)))*0.8,0))</f>
        <v>7442</v>
      </c>
      <c r="O464" s="6">
        <f t="shared" si="266"/>
        <v>106</v>
      </c>
      <c r="P464" s="7">
        <f>IF($J464=0,0,ROUND(MAX($J464*1.4*1.5*1.6,3500000*(1.57975^(MIN($E464,123)-117)))*0.8,0))</f>
        <v>11908</v>
      </c>
      <c r="Q464" s="4">
        <f t="shared" si="267"/>
        <v>108</v>
      </c>
      <c r="R464" s="8">
        <f>IF($J464=0,0,ROUND(MAX($J464*1.4*1.5*1.6*1.6,13100000*(1.429962^(MIN($E464,123)-117)))*0.651041666666667,0))</f>
        <v>39904</v>
      </c>
      <c r="S464" s="6">
        <f t="shared" si="268"/>
        <v>110</v>
      </c>
      <c r="T464" s="7">
        <f>IF($J464=0,0,ROUND(MAX($J464*1.4*1.5*1.6*1.6*2.2,42600000*(1.576904^(MIN($E464,123)-117)))*0.617361111111111,0))</f>
        <v>32346</v>
      </c>
      <c r="U464" s="4">
        <f t="shared" si="269"/>
        <v>113</v>
      </c>
      <c r="V464" s="8">
        <f>IF($J464=0,0,ROUND(MAX($J464*1.4*1.5*1.6*1.6*2.2*2.715,354000000*(1.642074^(MIN($E464,123)-117)))*0.583680555555556,0))</f>
        <v>121419</v>
      </c>
      <c r="W464" s="6">
        <f t="shared" si="270"/>
        <v>117</v>
      </c>
      <c r="X464" s="7">
        <f>IF($J464=0,0,ROUND(MAX($J464*1.4*1.5*1.6*1.6*2.2*2.715*2.6,3540000000*(1.579646^(MIN($E464,123)-117)))*0.55,0))</f>
        <v>2046300</v>
      </c>
      <c r="Y464" s="4">
        <f t="shared" si="271"/>
        <v>119</v>
      </c>
      <c r="Z464" s="8">
        <f>IF($J464=0,0,ROUND(MAX($J464*1.4*1.5*1.6*1.6*2.2*2.715*2.6*1.4,6020000000*(1.651178^(MIN($E464,123)-117)))*0.55,0))</f>
        <v>1790815</v>
      </c>
      <c r="AA464" s="6">
        <f t="shared" si="272"/>
        <v>121</v>
      </c>
      <c r="AB464" s="7">
        <f>IF($J464=0,0,ROUND(MAX($J464*1.4*1.5*1.6*1.6*2.2*2.715*2.6*1.4*1.4,8430000000*(1.651435^(MIN($E464,123)-117)))*0.55,0))</f>
        <v>2501889</v>
      </c>
      <c r="AC464" s="4">
        <f t="shared" si="273"/>
        <v>123</v>
      </c>
      <c r="AD464" s="8">
        <f>IF($J464=0,0,ROUND(MAX($J464*1.4*1.5*1.6*1.6*2.2*2.715*2.6*1.4*1.4*1.5,12600000000*(1.652953^(MIN($E464,123)-117)))*0.55,0))</f>
        <v>3688295</v>
      </c>
      <c r="AE464" s="6">
        <f t="shared" si="274"/>
        <v>126</v>
      </c>
      <c r="AF464" s="7">
        <f>IF($J464=0,0,ROUND(MAX($J464*1.4*1.5*1.6*1.6*2.2*2.715*2.6*1.4*1.4*1.5*1.5,18900000000*(1.65331^(MIN($E464,123)-117)))*0.55,0))</f>
        <v>5514550</v>
      </c>
      <c r="AG464" s="4">
        <f t="shared" si="275"/>
        <v>129</v>
      </c>
      <c r="AH464" s="8">
        <f>IF($J464=0,0,ROUND(MAX($J464*1.4*1.5*1.6*1.6*2.2*2.715*2.6*1.4*1.4*1.5*1.5*3.2,60500000000*(1.654288^(MIN($E464,123)-117)))*0.55,0))</f>
        <v>17496504</v>
      </c>
    </row>
    <row r="465" ht="27.75" customHeight="1" spans="1:34" x14ac:dyDescent="0.25">
      <c r="A465" s="3">
        <v>475</v>
      </c>
      <c r="B465" s="3" t="s">
        <v>571</v>
      </c>
      <c r="C465" s="3" t="s">
        <v>542</v>
      </c>
      <c r="D465" s="3" t="s">
        <v>33</v>
      </c>
      <c r="E465" s="3">
        <v>110</v>
      </c>
      <c r="F465" s="3" t="s">
        <v>30</v>
      </c>
      <c r="G465" s="3" t="s">
        <v>247</v>
      </c>
      <c r="H465" s="3">
        <v>25</v>
      </c>
      <c r="I465" s="4">
        <v>110</v>
      </c>
      <c r="J465" s="5">
        <v>80400</v>
      </c>
      <c r="K465" s="6">
        <f t="shared" si="264"/>
        <v>111</v>
      </c>
      <c r="L465" s="7">
        <f>IF($J465=0,0,ROUND(MAX($J465*1.4,1620000*(1.497923^(MIN($E465,123)-117)))*1,0))</f>
        <v>112560</v>
      </c>
      <c r="M465" s="4">
        <f t="shared" si="265"/>
        <v>112</v>
      </c>
      <c r="N465" s="8">
        <f>IF($J465=0,0,ROUND(MAX($J465*1.4*1.5,2190000*(1.580994^(MIN($E465,123)-117)))*1,0))</f>
        <v>168840</v>
      </c>
      <c r="O465" s="6">
        <f t="shared" si="266"/>
        <v>114</v>
      </c>
      <c r="P465" s="7">
        <f>IF($J465=0,0,ROUND(MAX($J465*1.4*1.5*1.6,3500000*(1.57975^(MIN($E465,123)-117)))*1,0))</f>
        <v>270144</v>
      </c>
      <c r="Q465" s="4">
        <f t="shared" si="267"/>
        <v>116</v>
      </c>
      <c r="R465" s="8">
        <f>IF($J465=0,0,ROUND(MAX($J465*1.4*1.5*1.6*1.6,13100000*(1.429962^(MIN($E465,123)-117)))*1,0))</f>
        <v>1071519</v>
      </c>
      <c r="S465" s="6">
        <f t="shared" si="268"/>
        <v>118</v>
      </c>
      <c r="T465" s="7">
        <f>IF($J465=0,0,ROUND(MAX($J465*1.4*1.5*1.6*1.6*2.2,42600000*(1.576904^(MIN($E465,123)-117)))*1,0))</f>
        <v>1757004</v>
      </c>
      <c r="U465" s="4">
        <f t="shared" si="269"/>
        <v>121</v>
      </c>
      <c r="V465" s="8">
        <f>IF($J465=0,0,ROUND(MAX($J465*1.4*1.5*1.6*1.6*2.2*2.715,354000000*(1.642074^(MIN($E465,123)-117)))*1,0))</f>
        <v>10996493</v>
      </c>
      <c r="W465" s="6">
        <f t="shared" si="270"/>
        <v>125</v>
      </c>
      <c r="X465" s="7">
        <f>IF($J465=0,0,ROUND(MAX($J465*1.4*1.5*1.6*1.6*2.2*2.715*2.6,3540000000*(1.579646^(MIN($E465,123)-117)))*1,0))</f>
        <v>144239716</v>
      </c>
      <c r="Y465" s="4">
        <f t="shared" si="271"/>
        <v>127</v>
      </c>
      <c r="Z465" s="8">
        <f>IF($J465=0,0,ROUND(MAX($J465*1.4*1.5*1.6*1.6*2.2*2.715*2.6*1.4,6020000000*(1.651178^(MIN($E465,123)-117)))*1,0))</f>
        <v>179903344</v>
      </c>
      <c r="AA465" s="6">
        <f t="shared" si="272"/>
        <v>129</v>
      </c>
      <c r="AB465" s="7">
        <f>IF($J465=0,0,ROUND(MAX($J465*1.4*1.5*1.6*1.6*2.2*2.715*2.6*1.4*1.4,8430000000*(1.651435^(MIN($E465,123)-117)))*1,0))</f>
        <v>251650143</v>
      </c>
      <c r="AC465" s="4">
        <f t="shared" si="273"/>
        <v>131</v>
      </c>
      <c r="AD465" s="8">
        <f>IF($J465=0,0,ROUND(MAX($J465*1.4*1.5*1.6*1.6*2.2*2.715*2.6*1.4*1.4*1.5,12600000000*(1.652953^(MIN($E465,123)-117)))*1,0))</f>
        <v>373720576</v>
      </c>
      <c r="AE465" s="6">
        <f t="shared" si="274"/>
        <v>134</v>
      </c>
      <c r="AF465" s="7">
        <f>IF($J465=0,0,ROUND(MAX($J465*1.4*1.5*1.6*1.6*2.2*2.715*2.6*1.4*1.4*1.5*1.5,18900000000*(1.65331^(MIN($E465,123)-117)))*1,0))</f>
        <v>559734088</v>
      </c>
      <c r="AG465" s="4">
        <f t="shared" si="275"/>
        <v>137</v>
      </c>
      <c r="AH465" s="8">
        <f>IF($J465=0,0,ROUND(MAX($J465*1.4*1.5*1.6*1.6*2.2*2.715*2.6*1.4*1.4*1.5*1.5*3.2,60500000000*(1.654288^(MIN($E465,123)-117)))*1,0))</f>
        <v>1784339701</v>
      </c>
    </row>
    <row r="466" ht="27.75" customHeight="1" spans="1:34" x14ac:dyDescent="0.25">
      <c r="A466" s="3">
        <v>476</v>
      </c>
      <c r="B466" s="3" t="s">
        <v>293</v>
      </c>
      <c r="C466" s="3" t="s">
        <v>542</v>
      </c>
      <c r="D466" s="3" t="s">
        <v>33</v>
      </c>
      <c r="E466" s="3">
        <v>110</v>
      </c>
      <c r="F466" s="3" t="s">
        <v>71</v>
      </c>
      <c r="G466" s="3" t="s">
        <v>72</v>
      </c>
      <c r="H466" s="3">
        <v>25</v>
      </c>
      <c r="I466" s="4">
        <v>110</v>
      </c>
      <c r="J466" s="5">
        <v>90300</v>
      </c>
      <c r="K466" s="6">
        <f t="shared" si="264"/>
        <v>111</v>
      </c>
      <c r="L466" s="7">
        <f>IF($J466=0,0,ROUND(MAX($J466*1.4,1620000*(1.497923^(MIN($E466,123)-117)))*1,0))</f>
        <v>126420</v>
      </c>
      <c r="M466" s="4">
        <f t="shared" si="265"/>
        <v>112</v>
      </c>
      <c r="N466" s="8">
        <f>IF($J466=0,0,ROUND(MAX($J466*1.4*1.5,2190000*(1.580994^(MIN($E466,123)-117)))*1,0))</f>
        <v>189630</v>
      </c>
      <c r="O466" s="6">
        <f t="shared" si="266"/>
        <v>114</v>
      </c>
      <c r="P466" s="7">
        <f>IF($J466=0,0,ROUND(MAX($J466*1.4*1.5*1.6,3500000*(1.57975^(MIN($E466,123)-117)))*1,0))</f>
        <v>303408</v>
      </c>
      <c r="Q466" s="4">
        <f t="shared" si="267"/>
        <v>116</v>
      </c>
      <c r="R466" s="8">
        <f>IF($J466=0,0,ROUND(MAX($J466*1.4*1.5*1.6*1.6,13100000*(1.429962^(MIN($E466,123)-117)))*1,0))</f>
        <v>1071519</v>
      </c>
      <c r="S466" s="6">
        <f t="shared" si="268"/>
        <v>118</v>
      </c>
      <c r="T466" s="7">
        <f>IF($J466=0,0,ROUND(MAX($J466*1.4*1.5*1.6*1.6*2.2,42600000*(1.576904^(MIN($E466,123)-117)))*1,0))</f>
        <v>1757004</v>
      </c>
      <c r="U466" s="4">
        <f t="shared" si="269"/>
        <v>121</v>
      </c>
      <c r="V466" s="8">
        <f>IF($J466=0,0,ROUND(MAX($J466*1.4*1.5*1.6*1.6*2.2*2.715,354000000*(1.642074^(MIN($E466,123)-117)))*1,0))</f>
        <v>10996493</v>
      </c>
      <c r="W466" s="6">
        <f t="shared" si="270"/>
        <v>125</v>
      </c>
      <c r="X466" s="7">
        <f>IF($J466=0,0,ROUND(MAX($J466*1.4*1.5*1.6*1.6*2.2*2.715*2.6,3540000000*(1.579646^(MIN($E466,123)-117)))*1,0))</f>
        <v>144239716</v>
      </c>
      <c r="Y466" s="4">
        <f t="shared" si="271"/>
        <v>127</v>
      </c>
      <c r="Z466" s="8">
        <f>IF($J466=0,0,ROUND(MAX($J466*1.4*1.5*1.6*1.6*2.2*2.715*2.6*1.4,6020000000*(1.651178^(MIN($E466,123)-117)))*1,0))</f>
        <v>179903344</v>
      </c>
      <c r="AA466" s="6">
        <f t="shared" si="272"/>
        <v>129</v>
      </c>
      <c r="AB466" s="7">
        <f>IF($J466=0,0,ROUND(MAX($J466*1.4*1.5*1.6*1.6*2.2*2.715*2.6*1.4*1.4,8430000000*(1.651435^(MIN($E466,123)-117)))*1,0))</f>
        <v>251650143</v>
      </c>
      <c r="AC466" s="4">
        <f t="shared" si="273"/>
        <v>131</v>
      </c>
      <c r="AD466" s="8">
        <f>IF($J466=0,0,ROUND(MAX($J466*1.4*1.5*1.6*1.6*2.2*2.715*2.6*1.4*1.4*1.5,12600000000*(1.652953^(MIN($E466,123)-117)))*1,0))</f>
        <v>373720576</v>
      </c>
      <c r="AE466" s="6">
        <f t="shared" si="274"/>
        <v>134</v>
      </c>
      <c r="AF466" s="7">
        <f>IF($J466=0,0,ROUND(MAX($J466*1.4*1.5*1.6*1.6*2.2*2.715*2.6*1.4*1.4*1.5*1.5,18900000000*(1.65331^(MIN($E466,123)-117)))*1,0))</f>
        <v>559734088</v>
      </c>
      <c r="AG466" s="4">
        <f t="shared" si="275"/>
        <v>137</v>
      </c>
      <c r="AH466" s="8">
        <f>IF($J466=0,0,ROUND(MAX($J466*1.4*1.5*1.6*1.6*2.2*2.715*2.6*1.4*1.4*1.5*1.5*3.2,60500000000*(1.654288^(MIN($E466,123)-117)))*1,0))</f>
        <v>1784339701</v>
      </c>
    </row>
    <row r="467" ht="27.75" customHeight="1" spans="1:34" x14ac:dyDescent="0.25">
      <c r="A467" s="3">
        <v>477</v>
      </c>
      <c r="B467" s="3" t="s">
        <v>572</v>
      </c>
      <c r="C467" s="3" t="s">
        <v>542</v>
      </c>
      <c r="D467" s="3" t="s">
        <v>33</v>
      </c>
      <c r="E467" s="3">
        <v>107</v>
      </c>
      <c r="F467" s="3" t="s">
        <v>71</v>
      </c>
      <c r="G467" s="3" t="s">
        <v>573</v>
      </c>
      <c r="H467" s="3">
        <v>24</v>
      </c>
      <c r="I467" s="4">
        <v>107</v>
      </c>
      <c r="J467" s="5">
        <v>55100</v>
      </c>
      <c r="K467" s="6">
        <f t="shared" si="264"/>
        <v>108</v>
      </c>
      <c r="L467" s="7">
        <f>IF($J467=0,0,ROUND(MAX($J467*1.4,1620000*(1.497923^(MIN($E467,123)-117)))*0.8,0))</f>
        <v>61712</v>
      </c>
      <c r="M467" s="4">
        <f t="shared" si="265"/>
        <v>109</v>
      </c>
      <c r="N467" s="8">
        <f>IF($J467=0,0,ROUND(MAX($J467*1.4*1.5,2190000*(1.580994^(MIN($E467,123)-117)))*0.8,0))</f>
        <v>92568</v>
      </c>
      <c r="O467" s="6">
        <f t="shared" si="266"/>
        <v>111</v>
      </c>
      <c r="P467" s="7">
        <f>IF($J467=0,0,ROUND(MAX($J467*1.4*1.5*1.6,3500000*(1.57975^(MIN($E467,123)-117)))*0.8,0))</f>
        <v>148109</v>
      </c>
      <c r="Q467" s="4">
        <f t="shared" si="267"/>
        <v>113</v>
      </c>
      <c r="R467" s="8">
        <f>IF($J467=0,0,ROUND(MAX($J467*1.4*1.5*1.6*1.6,13100000*(1.429962^(MIN($E467,123)-117)))*0.651041666666667,0))</f>
        <v>238581</v>
      </c>
      <c r="S467" s="6">
        <f t="shared" si="268"/>
        <v>115</v>
      </c>
      <c r="T467" s="7">
        <f>IF($J467=0,0,ROUND(MAX($J467*1.4*1.5*1.6*1.6*2.2,42600000*(1.576904^(MIN($E467,123)-117)))*0.617361111111111,0))</f>
        <v>402321</v>
      </c>
      <c r="U467" s="4">
        <f t="shared" si="269"/>
        <v>118</v>
      </c>
      <c r="V467" s="8">
        <f>IF($J467=0,0,ROUND(MAX($J467*1.4*1.5*1.6*1.6*2.2*2.715,354000000*(1.642074^(MIN($E467,123)-117)))*0.583680555555556,0))</f>
        <v>1449610</v>
      </c>
      <c r="W467" s="6">
        <f t="shared" si="270"/>
        <v>122</v>
      </c>
      <c r="X467" s="7">
        <f>IF($J467=0,0,ROUND(MAX($J467*1.4*1.5*1.6*1.6*2.2*2.715*2.6,3540000000*(1.579646^(MIN($E467,123)-117)))*0.55,0))</f>
        <v>20126499</v>
      </c>
      <c r="Y467" s="4">
        <f t="shared" si="271"/>
        <v>124</v>
      </c>
      <c r="Z467" s="8">
        <f>IF($J467=0,0,ROUND(MAX($J467*1.4*1.5*1.6*1.6*2.2*2.715*2.6*1.4,6020000000*(1.651178^(MIN($E467,123)-117)))*0.55,0))</f>
        <v>21979623</v>
      </c>
      <c r="AA467" s="6">
        <f t="shared" si="272"/>
        <v>126</v>
      </c>
      <c r="AB467" s="7">
        <f>IF($J467=0,0,ROUND(MAX($J467*1.4*1.5*1.6*1.6*2.2*2.715*2.6*1.4*1.4,8430000000*(1.651435^(MIN($E467,123)-117)))*0.55,0))</f>
        <v>30730910</v>
      </c>
      <c r="AC467" s="4">
        <f t="shared" si="273"/>
        <v>128</v>
      </c>
      <c r="AD467" s="8">
        <f>IF($J467=0,0,ROUND(MAX($J467*1.4*1.5*1.6*1.6*2.2*2.715*2.6*1.4*1.4*1.5,12600000000*(1.652953^(MIN($E467,123)-117)))*0.55,0))</f>
        <v>45512237</v>
      </c>
      <c r="AE467" s="6">
        <f t="shared" si="274"/>
        <v>131</v>
      </c>
      <c r="AF467" s="7">
        <f>IF($J467=0,0,ROUND(MAX($J467*1.4*1.5*1.6*1.6*2.2*2.715*2.6*1.4*1.4*1.5*1.5,18900000000*(1.65331^(MIN($E467,123)-117)))*0.55,0))</f>
        <v>68121087</v>
      </c>
      <c r="AG467" s="4">
        <f t="shared" si="275"/>
        <v>134</v>
      </c>
      <c r="AH467" s="8">
        <f>IF($J467=0,0,ROUND(MAX($J467*1.4*1.5*1.6*1.6*2.2*2.715*2.6*1.4*1.4*1.5*1.5*3.2,60500000000*(1.654288^(MIN($E467,123)-117)))*0.55,0))</f>
        <v>216773839</v>
      </c>
    </row>
    <row r="468" ht="27.75" customHeight="1" spans="1:34" x14ac:dyDescent="0.25">
      <c r="A468" s="3">
        <v>478</v>
      </c>
      <c r="B468" s="3" t="s">
        <v>78</v>
      </c>
      <c r="C468" s="3" t="s">
        <v>542</v>
      </c>
      <c r="D468" s="3" t="s">
        <v>79</v>
      </c>
      <c r="E468" s="3">
        <v>112</v>
      </c>
      <c r="F468" s="3" t="s">
        <v>30</v>
      </c>
      <c r="G468" s="3" t="s">
        <v>30</v>
      </c>
      <c r="H468" s="3">
        <v>27</v>
      </c>
      <c r="I468" s="4">
        <v>112</v>
      </c>
      <c r="J468" s="5">
        <v>234000</v>
      </c>
      <c r="K468" s="6">
        <f t="shared" si="264"/>
        <v>113</v>
      </c>
      <c r="L468" s="7">
        <f>IF($J468=0,0,ROUND(MAX($J468*1.4*1,4020000*(1.354082^(MIN($E468,123)-118))),0))</f>
        <v>652163</v>
      </c>
      <c r="M468" s="4">
        <f t="shared" si="265"/>
        <v>114</v>
      </c>
      <c r="N468" s="8">
        <f>IF($J468=0,0,ROUND(MAX($J468*1.4*1.5*1,6950000*(1.375334^(MIN($E468,123)-118))),0))</f>
        <v>1026918</v>
      </c>
      <c r="O468" s="6">
        <f t="shared" si="266"/>
        <v>116</v>
      </c>
      <c r="P468" s="7">
        <f>IF($J468=0,0,ROUND(MAX($J468*1.4*1.5*1.6*1,23900000*(1.1788^(MIN($E468,123)-118))),0))</f>
        <v>8907527</v>
      </c>
      <c r="Q468" s="4">
        <f t="shared" si="267"/>
        <v>118</v>
      </c>
      <c r="R468" s="8">
        <f>IF($J468=0,0,ROUND(MAX($J468*1.4*1.5*1.6*1.6*1.25,77000000*(1.127009^(MIN($E468,123)-118))),0))</f>
        <v>37577373</v>
      </c>
      <c r="S468" s="6">
        <f t="shared" si="268"/>
        <v>120</v>
      </c>
      <c r="T468" s="7">
        <f>IF($J468=0,0,ROUND(MAX($J468*1.4*1.5*1.6*1.6*2.2*1.25,270000000*(1.248411^(MIN($E468,123)-118))),0))</f>
        <v>71321135</v>
      </c>
      <c r="U468" s="4">
        <f t="shared" si="269"/>
        <v>123</v>
      </c>
      <c r="V468" s="8">
        <f>IF($J468=0,0,ROUND(MAX($J468*1.4*1.5*1.6*1.6*2.2*2.715*1.25,2400000000*(1.293039^(MIN($E468,123)-118))),0))</f>
        <v>513501241</v>
      </c>
      <c r="W468" s="6">
        <f t="shared" si="270"/>
        <v>127</v>
      </c>
      <c r="X468" s="7">
        <f>IF($J468=0,0,ROUND(MAX($J468*1.4*1.5*1.6*1.6*2.2*2.715*2.6*1.25,20000000000*(1.280114^(MIN($E468,123)-118))),0))</f>
        <v>4545044210</v>
      </c>
      <c r="Y468" s="4">
        <f t="shared" si="271"/>
        <v>129</v>
      </c>
      <c r="Z468" s="8">
        <f>IF($J468=0,0,ROUND(MAX($J468*1.4*1.5*1.6*1.6*2.2*2.715*2.6*1.4*1.25,39200000000*(1.31219^(MIN($E468,123)-118))),0))</f>
        <v>7679018689</v>
      </c>
      <c r="AA468" s="6">
        <f t="shared" si="272"/>
        <v>131</v>
      </c>
      <c r="AB468" s="7">
        <f>IF($J468=0,0,ROUND(MAX($J468*1.4*1.5*1.6*1.6*2.2*2.715*2.6*1.4*1.4*1.25,54900000000*(1.312402^(MIN($E468,123)-118))),0))</f>
        <v>10744124772</v>
      </c>
      <c r="AC468" s="4">
        <f t="shared" si="273"/>
        <v>133</v>
      </c>
      <c r="AD468" s="8">
        <f>IF($J468=0,0,ROUND(MAX($J468*1.4*1.5*1.6*1.6*2.2*2.715*2.6*1.4*1.4*1.5*1.25,82400000000*(1.312754^(MIN($E468,123)-118))),0))</f>
        <v>16100045748</v>
      </c>
      <c r="AE468" s="6">
        <f t="shared" si="274"/>
        <v>136</v>
      </c>
      <c r="AF468" s="7">
        <f>IF($J468=0,0,ROUND(MAX($J468*1.4*1.5*1.6*1.6*2.2*2.715*2.6*1.4*1.4*1.5*1.5*1.25,124000000000*(1.312246^(MIN($E468,123)-118))),0))</f>
        <v>24284554426</v>
      </c>
      <c r="AG468" s="4">
        <f t="shared" si="275"/>
        <v>139</v>
      </c>
      <c r="AH468" s="8">
        <f>IF($J468=0,0,ROUND(MAX($J468*1.4*1.5*1.6*1.6*2.2*2.715*2.6*1.4*1.4*1.5*1.5*3.2*1.25,397000000000*(1.313132^(MIN($E468,123)-118))),0))</f>
        <v>77435516147</v>
      </c>
    </row>
    <row r="469" ht="27.75" customHeight="1" spans="1:34" x14ac:dyDescent="0.25">
      <c r="A469" s="3">
        <v>479</v>
      </c>
      <c r="B469" s="3" t="s">
        <v>574</v>
      </c>
      <c r="C469" s="3" t="s">
        <v>542</v>
      </c>
      <c r="D469" s="3" t="s">
        <v>47</v>
      </c>
      <c r="E469" s="3">
        <v>109</v>
      </c>
      <c r="F469" s="3" t="s">
        <v>108</v>
      </c>
      <c r="G469" s="3" t="s">
        <v>562</v>
      </c>
      <c r="H469" s="3">
        <v>22</v>
      </c>
      <c r="I469" s="4">
        <v>109</v>
      </c>
      <c r="J469" s="5">
        <v>72400</v>
      </c>
      <c r="K469" s="6">
        <f t="shared" si="264"/>
        <v>110</v>
      </c>
      <c r="L469" s="7">
        <f>IF($J469=0,0,ROUND(MAX($J469*1.4,1620000*(1.497923^(MIN($E469,123)-117)))*1,0))</f>
        <v>101360</v>
      </c>
      <c r="M469" s="4">
        <f t="shared" si="265"/>
        <v>111</v>
      </c>
      <c r="N469" s="8">
        <f>IF($J469=0,0,ROUND(MAX($J469*1.4*1.5,2190000*(1.580994^(MIN($E469,123)-117)))*1,0))</f>
        <v>152040</v>
      </c>
      <c r="O469" s="6">
        <f t="shared" si="266"/>
        <v>113</v>
      </c>
      <c r="P469" s="7">
        <f>IF($J469=0,0,ROUND(MAX($J469*1.4*1.5*1.6,3500000*(1.57975^(MIN($E469,123)-117)))*1,0))</f>
        <v>243264</v>
      </c>
      <c r="Q469" s="4">
        <f t="shared" si="267"/>
        <v>115</v>
      </c>
      <c r="R469" s="8">
        <f>IF($J469=0,0,ROUND(MAX($J469*1.4*1.5*1.6*1.6,13100000*(1.429962^(MIN($E469,123)-117)))*1,0))</f>
        <v>749334</v>
      </c>
      <c r="S469" s="6">
        <f t="shared" si="268"/>
        <v>117</v>
      </c>
      <c r="T469" s="7">
        <f>IF($J469=0,0,ROUND(MAX($J469*1.4*1.5*1.6*1.6*2.2,42600000*(1.576904^(MIN($E469,123)-117)))*1,0))</f>
        <v>1114211</v>
      </c>
      <c r="U469" s="4">
        <f t="shared" si="269"/>
        <v>120</v>
      </c>
      <c r="V469" s="8">
        <f>IF($J469=0,0,ROUND(MAX($J469*1.4*1.5*1.6*1.6*2.2*2.715,354000000*(1.642074^(MIN($E469,123)-117)))*1,0))</f>
        <v>6696710</v>
      </c>
      <c r="W469" s="6">
        <f t="shared" si="270"/>
        <v>124</v>
      </c>
      <c r="X469" s="7">
        <f>IF($J469=0,0,ROUND(MAX($J469*1.4*1.5*1.6*1.6*2.2*2.715*2.6,3540000000*(1.579646^(MIN($E469,123)-117)))*1,0))</f>
        <v>91311418</v>
      </c>
      <c r="Y469" s="4">
        <f t="shared" si="271"/>
        <v>126</v>
      </c>
      <c r="Z469" s="8">
        <f>IF($J469=0,0,ROUND(MAX($J469*1.4*1.5*1.6*1.6*2.2*2.715*2.6*1.4,6020000000*(1.651178^(MIN($E469,123)-117)))*1,0))</f>
        <v>108954543</v>
      </c>
      <c r="AA469" s="6">
        <f t="shared" si="272"/>
        <v>128</v>
      </c>
      <c r="AB469" s="7">
        <f>IF($J469=0,0,ROUND(MAX($J469*1.4*1.5*1.6*1.6*2.2*2.715*2.6*1.4*1.4,8430000000*(1.651435^(MIN($E469,123)-117)))*1,0))</f>
        <v>152382712</v>
      </c>
      <c r="AC469" s="4">
        <f t="shared" si="273"/>
        <v>130</v>
      </c>
      <c r="AD469" s="8">
        <f>IF($J469=0,0,ROUND(MAX($J469*1.4*1.5*1.6*1.6*2.2*2.715*2.6*1.4*1.4*1.5,12600000000*(1.652953^(MIN($E469,123)-117)))*1,0))</f>
        <v>226092682</v>
      </c>
      <c r="AE469" s="6">
        <f t="shared" si="274"/>
        <v>133</v>
      </c>
      <c r="AF469" s="7">
        <f>IF($J469=0,0,ROUND(MAX($J469*1.4*1.5*1.6*1.6*2.2*2.715*2.6*1.4*1.4*1.5*1.5,18900000000*(1.65331^(MIN($E469,123)-117)))*1,0))</f>
        <v>338553621</v>
      </c>
      <c r="AG469" s="4">
        <f t="shared" si="275"/>
        <v>136</v>
      </c>
      <c r="AH469" s="8">
        <f>IF($J469=0,0,ROUND(MAX($J469*1.4*1.5*1.6*1.6*2.2*2.715*2.6*1.4*1.4*1.5*1.5*3.2,60500000000*(1.654288^(MIN($E469,123)-117)))*1,0))</f>
        <v>1078614909</v>
      </c>
    </row>
    <row r="470" ht="27.75" customHeight="1" spans="1:34" x14ac:dyDescent="0.25">
      <c r="A470" s="3">
        <v>480</v>
      </c>
      <c r="B470" s="3" t="s">
        <v>575</v>
      </c>
      <c r="C470" s="3" t="s">
        <v>542</v>
      </c>
      <c r="D470" s="3" t="s">
        <v>33</v>
      </c>
      <c r="E470" s="3">
        <v>106</v>
      </c>
      <c r="F470" s="3" t="s">
        <v>123</v>
      </c>
      <c r="G470" s="3" t="s">
        <v>576</v>
      </c>
      <c r="H470" s="3">
        <v>23</v>
      </c>
      <c r="I470" s="4">
        <v>106</v>
      </c>
      <c r="J470" s="5">
        <v>25800</v>
      </c>
      <c r="K470" s="6">
        <f t="shared" si="264"/>
        <v>107</v>
      </c>
      <c r="L470" s="7">
        <f>IF($J470=0,0,ROUND(MAX($J470*1.4,1620000*(1.497923^(MIN($E470,123)-117)))*0.8,0))</f>
        <v>28896</v>
      </c>
      <c r="M470" s="4">
        <f t="shared" si="265"/>
        <v>108</v>
      </c>
      <c r="N470" s="8">
        <f>IF($J470=0,0,ROUND(MAX($J470*1.4*1.5,2190000*(1.580994^(MIN($E470,123)-117)))*0.8,0))</f>
        <v>43344</v>
      </c>
      <c r="O470" s="6">
        <f t="shared" si="266"/>
        <v>110</v>
      </c>
      <c r="P470" s="7">
        <f>IF($J470=0,0,ROUND(MAX($J470*1.4*1.5*1.6,3500000*(1.57975^(MIN($E470,123)-117)))*0.8,0))</f>
        <v>69350</v>
      </c>
      <c r="Q470" s="4">
        <f t="shared" si="267"/>
        <v>112</v>
      </c>
      <c r="R470" s="8">
        <f>IF($J470=0,0,ROUND(MAX($J470*1.4*1.5*1.6*1.6,13100000*(1.429962^(MIN($E470,123)-117)))*0.651041666666667,0))</f>
        <v>166844</v>
      </c>
      <c r="S470" s="6">
        <f t="shared" si="268"/>
        <v>114</v>
      </c>
      <c r="T470" s="7">
        <f>IF($J470=0,0,ROUND(MAX($J470*1.4*1.5*1.6*1.6*2.2,42600000*(1.576904^(MIN($E470,123)-117)))*0.617361111111111,0))</f>
        <v>188383</v>
      </c>
      <c r="U470" s="4">
        <f t="shared" si="269"/>
        <v>117</v>
      </c>
      <c r="V470" s="8">
        <f>IF($J470=0,0,ROUND(MAX($J470*1.4*1.5*1.6*1.6*2.2*2.715,354000000*(1.642074^(MIN($E470,123)-117)))*0.583680555555556,0))</f>
        <v>882792</v>
      </c>
      <c r="W470" s="6">
        <f t="shared" si="270"/>
        <v>121</v>
      </c>
      <c r="X470" s="7">
        <f>IF($J470=0,0,ROUND(MAX($J470*1.4*1.5*1.6*1.6*2.2*2.715*2.6,3540000000*(1.579646^(MIN($E470,123)-117)))*0.55,0))</f>
        <v>12741145</v>
      </c>
      <c r="Y470" s="4">
        <f t="shared" si="271"/>
        <v>123</v>
      </c>
      <c r="Z470" s="8">
        <f>IF($J470=0,0,ROUND(MAX($J470*1.4*1.5*1.6*1.6*2.2*2.715*2.6*1.4,6020000000*(1.651178^(MIN($E470,123)-117)))*0.55,0))</f>
        <v>13311480</v>
      </c>
      <c r="AA470" s="6">
        <f t="shared" si="272"/>
        <v>125</v>
      </c>
      <c r="AB470" s="7">
        <f>IF($J470=0,0,ROUND(MAX($J470*1.4*1.5*1.6*1.6*2.2*2.715*2.6*1.4*1.4,8430000000*(1.651435^(MIN($E470,123)-117)))*0.55,0))</f>
        <v>18608610</v>
      </c>
      <c r="AC470" s="4">
        <f t="shared" si="273"/>
        <v>127</v>
      </c>
      <c r="AD470" s="8">
        <f>IF($J470=0,0,ROUND(MAX($J470*1.4*1.5*1.6*1.6*2.2*2.715*2.6*1.4*1.4*1.5,12600000000*(1.652953^(MIN($E470,123)-117)))*0.55,0))</f>
        <v>27533897</v>
      </c>
      <c r="AE470" s="6">
        <f t="shared" si="274"/>
        <v>130</v>
      </c>
      <c r="AF470" s="7">
        <f>IF($J470=0,0,ROUND(MAX($J470*1.4*1.5*1.6*1.6*2.2*2.715*2.6*1.4*1.4*1.5*1.5,18900000000*(1.65331^(MIN($E470,123)-117)))*0.55,0))</f>
        <v>41202852</v>
      </c>
      <c r="AG470" s="4">
        <f t="shared" si="275"/>
        <v>133</v>
      </c>
      <c r="AH470" s="8">
        <f>IF($J470=0,0,ROUND(MAX($J470*1.4*1.5*1.6*1.6*2.2*2.715*2.6*1.4*1.4*1.5*1.5*3.2,60500000000*(1.654288^(MIN($E470,123)-117)))*0.55,0))</f>
        <v>131037546</v>
      </c>
    </row>
    <row r="471" ht="27.75" customHeight="1" spans="1:34" x14ac:dyDescent="0.25">
      <c r="A471" s="3">
        <v>481</v>
      </c>
      <c r="B471" s="3" t="s">
        <v>577</v>
      </c>
      <c r="C471" s="3" t="s">
        <v>542</v>
      </c>
      <c r="D471" s="3" t="s">
        <v>90</v>
      </c>
      <c r="E471" s="3">
        <v>109</v>
      </c>
      <c r="F471" s="3" t="s">
        <v>34</v>
      </c>
      <c r="G471" s="3" t="s">
        <v>578</v>
      </c>
      <c r="H471" s="3">
        <v>24</v>
      </c>
      <c r="I471" s="4">
        <v>109</v>
      </c>
      <c r="J471" s="5">
        <v>72400</v>
      </c>
      <c r="K471" s="6">
        <f t="shared" si="264"/>
        <v>110</v>
      </c>
      <c r="L471" s="7">
        <f>IF($J471=0,0,ROUND(MAX($J471*1.4,1620000*(1.497923^(MIN($E471,123)-117)))*0.8,0))</f>
        <v>81088</v>
      </c>
      <c r="M471" s="4">
        <f t="shared" si="265"/>
        <v>111</v>
      </c>
      <c r="N471" s="8">
        <f>IF($J471=0,0,ROUND(MAX($J471*1.4*1.5,2190000*(1.580994^(MIN($E471,123)-117)))*0.8,0))</f>
        <v>121632</v>
      </c>
      <c r="O471" s="6">
        <f t="shared" si="266"/>
        <v>113</v>
      </c>
      <c r="P471" s="7">
        <f>IF($J471=0,0,ROUND(MAX($J471*1.4*1.5*1.6,3500000*(1.57975^(MIN($E471,123)-117)))*0.8,0))</f>
        <v>194611</v>
      </c>
      <c r="Q471" s="4">
        <f t="shared" si="267"/>
        <v>115</v>
      </c>
      <c r="R471" s="8">
        <f>IF($J471=0,0,ROUND(MAX($J471*1.4*1.5*1.6*1.6,13100000*(1.429962^(MIN($E471,123)-117)))*0.651041666666667,0))</f>
        <v>487848</v>
      </c>
      <c r="S471" s="6">
        <f t="shared" si="268"/>
        <v>117</v>
      </c>
      <c r="T471" s="7">
        <f>IF($J471=0,0,ROUND(MAX($J471*1.4*1.5*1.6*1.6*2.2,42600000*(1.576904^(MIN($E471,123)-117)))*0.617361111111111,0))</f>
        <v>687871</v>
      </c>
      <c r="U471" s="4">
        <f t="shared" si="269"/>
        <v>120</v>
      </c>
      <c r="V471" s="8">
        <f>IF($J471=0,0,ROUND(MAX($J471*1.4*1.5*1.6*1.6*2.2*2.715,354000000*(1.642074^(MIN($E471,123)-117)))*0.583680555555556,0))</f>
        <v>3908739</v>
      </c>
      <c r="W471" s="6">
        <f t="shared" si="270"/>
        <v>124</v>
      </c>
      <c r="X471" s="7">
        <f>IF($J471=0,0,ROUND(MAX($J471*1.4*1.5*1.6*1.6*2.2*2.715*2.6,3540000000*(1.579646^(MIN($E471,123)-117)))*0.55,0))</f>
        <v>50221280</v>
      </c>
      <c r="Y471" s="4">
        <f t="shared" si="271"/>
        <v>126</v>
      </c>
      <c r="Z471" s="8">
        <f>IF($J471=0,0,ROUND(MAX($J471*1.4*1.5*1.6*1.6*2.2*2.715*2.6*1.4,6020000000*(1.651178^(MIN($E471,123)-117)))*0.55,0))</f>
        <v>59924999</v>
      </c>
      <c r="AA471" s="6">
        <f t="shared" si="272"/>
        <v>128</v>
      </c>
      <c r="AB471" s="7">
        <f>IF($J471=0,0,ROUND(MAX($J471*1.4*1.5*1.6*1.6*2.2*2.715*2.6*1.4*1.4,8430000000*(1.651435^(MIN($E471,123)-117)))*0.55,0))</f>
        <v>83810491</v>
      </c>
      <c r="AC471" s="4">
        <f t="shared" si="273"/>
        <v>130</v>
      </c>
      <c r="AD471" s="8">
        <f>IF($J471=0,0,ROUND(MAX($J471*1.4*1.5*1.6*1.6*2.2*2.715*2.6*1.4*1.4*1.5,12600000000*(1.652953^(MIN($E471,123)-117)))*0.55,0))</f>
        <v>124350975</v>
      </c>
      <c r="AE471" s="6">
        <f t="shared" si="274"/>
        <v>133</v>
      </c>
      <c r="AF471" s="7">
        <f>IF($J471=0,0,ROUND(MAX($J471*1.4*1.5*1.6*1.6*2.2*2.715*2.6*1.4*1.4*1.5*1.5,18900000000*(1.65331^(MIN($E471,123)-117)))*0.55,0))</f>
        <v>186204492</v>
      </c>
      <c r="AG471" s="4">
        <f t="shared" si="275"/>
        <v>136</v>
      </c>
      <c r="AH471" s="8">
        <f>IF($J471=0,0,ROUND(MAX($J471*1.4*1.5*1.6*1.6*2.2*2.715*2.6*1.4*1.4*1.5*1.5*3.2,60500000000*(1.654288^(MIN($E471,123)-117)))*0.55,0))</f>
        <v>593238200</v>
      </c>
    </row>
    <row r="472" ht="27.75" customHeight="1" spans="1:34" x14ac:dyDescent="0.25">
      <c r="A472" s="3">
        <v>482</v>
      </c>
      <c r="B472" s="3" t="s">
        <v>579</v>
      </c>
      <c r="C472" s="3" t="s">
        <v>542</v>
      </c>
      <c r="D472" s="3" t="s">
        <v>33</v>
      </c>
      <c r="E472" s="3">
        <v>108</v>
      </c>
      <c r="F472" s="3" t="s">
        <v>108</v>
      </c>
      <c r="G472" s="3" t="s">
        <v>580</v>
      </c>
      <c r="H472" s="3">
        <v>24</v>
      </c>
      <c r="I472" s="4">
        <v>108</v>
      </c>
      <c r="J472" s="5">
        <v>82800</v>
      </c>
      <c r="K472" s="6">
        <f t="shared" si="264"/>
        <v>109</v>
      </c>
      <c r="L472" s="7">
        <f>IF($J472=0,0,ROUND(MAX($J472*1.4,1620000*(1.497923^(MIN($E472,123)-117)))*0.8,0))</f>
        <v>92736</v>
      </c>
      <c r="M472" s="4">
        <f t="shared" si="265"/>
        <v>110</v>
      </c>
      <c r="N472" s="8">
        <f>IF($J472=0,0,ROUND(MAX($J472*1.4*1.5,2190000*(1.580994^(MIN($E472,123)-117)))*0.8,0))</f>
        <v>139104</v>
      </c>
      <c r="O472" s="6">
        <f t="shared" si="266"/>
        <v>112</v>
      </c>
      <c r="P472" s="7">
        <f>IF($J472=0,0,ROUND(MAX($J472*1.4*1.5*1.6,3500000*(1.57975^(MIN($E472,123)-117)))*0.8,0))</f>
        <v>222566</v>
      </c>
      <c r="Q472" s="4">
        <f t="shared" si="267"/>
        <v>114</v>
      </c>
      <c r="R472" s="8">
        <f>IF($J472=0,0,ROUND(MAX($J472*1.4*1.5*1.6*1.6,13100000*(1.429962^(MIN($E472,123)-117)))*0.651041666666667,0))</f>
        <v>341161</v>
      </c>
      <c r="S472" s="6">
        <f t="shared" si="268"/>
        <v>116</v>
      </c>
      <c r="T472" s="7">
        <f>IF($J472=0,0,ROUND(MAX($J472*1.4*1.5*1.6*1.6*2.2,42600000*(1.576904^(MIN($E472,123)-117)))*0.617361111111111,0))</f>
        <v>604577</v>
      </c>
      <c r="U472" s="4">
        <f t="shared" si="269"/>
        <v>119</v>
      </c>
      <c r="V472" s="8">
        <f>IF($J472=0,0,ROUND(MAX($J472*1.4*1.5*1.6*1.6*2.2*2.715,354000000*(1.642074^(MIN($E472,123)-117)))*0.583680555555556,0))</f>
        <v>2380367</v>
      </c>
      <c r="W472" s="6">
        <f t="shared" si="270"/>
        <v>123</v>
      </c>
      <c r="X472" s="7">
        <f>IF($J472=0,0,ROUND(MAX($J472*1.4*1.5*1.6*1.6*2.2*2.715*2.6,3540000000*(1.579646^(MIN($E472,123)-117)))*0.55,0))</f>
        <v>31792743</v>
      </c>
      <c r="Y472" s="4">
        <f t="shared" si="271"/>
        <v>125</v>
      </c>
      <c r="Z472" s="8">
        <f>IF($J472=0,0,ROUND(MAX($J472*1.4*1.5*1.6*1.6*2.2*2.715*2.6*1.4,6020000000*(1.651178^(MIN($E472,123)-117)))*0.55,0))</f>
        <v>36292270</v>
      </c>
      <c r="AA472" s="6">
        <f t="shared" si="272"/>
        <v>127</v>
      </c>
      <c r="AB472" s="7">
        <f>IF($J472=0,0,ROUND(MAX($J472*1.4*1.5*1.6*1.6*2.2*2.715*2.6*1.4*1.4,8430000000*(1.651435^(MIN($E472,123)-117)))*0.55,0))</f>
        <v>50750100</v>
      </c>
      <c r="AC472" s="4">
        <f t="shared" si="273"/>
        <v>129</v>
      </c>
      <c r="AD472" s="8">
        <f>IF($J472=0,0,ROUND(MAX($J472*1.4*1.5*1.6*1.6*2.2*2.715*2.6*1.4*1.4*1.5,12600000000*(1.652953^(MIN($E472,123)-117)))*0.55,0))</f>
        <v>75229589</v>
      </c>
      <c r="AE472" s="6">
        <f t="shared" si="274"/>
        <v>132</v>
      </c>
      <c r="AF472" s="7">
        <f>IF($J472=0,0,ROUND(MAX($J472*1.4*1.5*1.6*1.6*2.2*2.715*2.6*1.4*1.4*1.5*1.5,18900000000*(1.65331^(MIN($E472,123)-117)))*0.55,0))</f>
        <v>112625274</v>
      </c>
      <c r="AG472" s="4">
        <f t="shared" si="275"/>
        <v>135</v>
      </c>
      <c r="AH472" s="8">
        <f>IF($J472=0,0,ROUND(MAX($J472*1.4*1.5*1.6*1.6*2.2*2.715*2.6*1.4*1.4*1.5*1.5*3.2,60500000000*(1.654288^(MIN($E472,123)-117)))*0.55,0))</f>
        <v>358606361</v>
      </c>
    </row>
    <row r="473" ht="27.75" customHeight="1" spans="1:34" x14ac:dyDescent="0.25">
      <c r="A473" s="3">
        <v>483</v>
      </c>
      <c r="B473" s="3" t="s">
        <v>283</v>
      </c>
      <c r="C473" s="3" t="s">
        <v>581</v>
      </c>
      <c r="D473" s="3" t="s">
        <v>33</v>
      </c>
      <c r="E473" s="3">
        <v>112</v>
      </c>
      <c r="F473" s="3" t="s">
        <v>42</v>
      </c>
      <c r="G473" s="3" t="s">
        <v>133</v>
      </c>
      <c r="H473" s="3">
        <v>28</v>
      </c>
      <c r="I473" s="4">
        <v>112</v>
      </c>
      <c r="J473" s="5">
        <v>194000</v>
      </c>
      <c r="K473" s="6">
        <f t="shared" si="264"/>
        <v>113</v>
      </c>
      <c r="L473" s="7">
        <f>ROUND(487704.84597459494*1.1360736298509833^($E473-106),0)</f>
        <v>1048566</v>
      </c>
      <c r="M473" s="4">
        <f t="shared" si="265"/>
        <v>114</v>
      </c>
      <c r="N473" s="8">
        <f>ROUND(734841.7882200773*1.1360736298509833^($E473-106),0)</f>
        <v>1579911</v>
      </c>
      <c r="O473" s="6">
        <f t="shared" si="266"/>
        <v>116</v>
      </c>
      <c r="P473" s="7">
        <f>ROUND(1177385.809488363*1.1360736298509833^($E473-106),0)</f>
        <v>2531382</v>
      </c>
      <c r="Q473" s="4">
        <f t="shared" si="267"/>
        <v>118</v>
      </c>
      <c r="R473" s="8">
        <f>ROUND(2855811.220162202*1.1360736298509833^($E473-106),0)</f>
        <v>6140000</v>
      </c>
      <c r="S473" s="6">
        <f t="shared" si="268"/>
        <v>120</v>
      </c>
      <c r="T473" s="7">
        <f>ROUND(19151606.952114522*1.1360736298509833^($E473-106),0)</f>
        <v>41175994</v>
      </c>
      <c r="U473" s="4">
        <f t="shared" si="269"/>
        <v>123</v>
      </c>
      <c r="V473" s="8">
        <f>ROUND(157808934.98809043*1.1360736298509833^($E473-106),0)</f>
        <v>339289535</v>
      </c>
      <c r="W473" s="6">
        <f t="shared" si="270"/>
        <v>127</v>
      </c>
      <c r="X473" s="7">
        <f>ROUND(754395771.5734873*1.1360736298509833^($E473-106),0)</f>
        <v>1621952461</v>
      </c>
      <c r="Y473" s="4">
        <f t="shared" si="271"/>
        <v>129</v>
      </c>
      <c r="Z473" s="8">
        <f>ROUND(1622888309.924365*1.1360736298509833^($E473-106),0)</f>
        <v>3489213206</v>
      </c>
      <c r="AA473" s="6">
        <f t="shared" si="272"/>
        <v>131</v>
      </c>
      <c r="AB473" s="7">
        <f>ROUND(2269765269.4448776*1.1360736298509833^($E473-106),0)</f>
        <v>4880000000</v>
      </c>
      <c r="AC473" s="4">
        <f t="shared" si="273"/>
        <v>133</v>
      </c>
      <c r="AD473" s="8">
        <f>ROUND(3408916570.0091968*1.1360736298509833^($E473-106),0)</f>
        <v>7329177640</v>
      </c>
      <c r="AE473" s="6">
        <f t="shared" si="274"/>
        <v>136</v>
      </c>
      <c r="AF473" s="7">
        <f>ROUND(5114968470.43804*1.1360736298509833^($E473-106),0)</f>
        <v>10997192737</v>
      </c>
      <c r="AG473" s="4">
        <f t="shared" si="275"/>
        <v>139</v>
      </c>
      <c r="AH473" s="8">
        <f>ROUND(16376170874.39243*1.1360736298509833^($E473-106),0)</f>
        <v>35208801079</v>
      </c>
    </row>
    <row r="474" ht="27.75" customHeight="1" spans="1:34" x14ac:dyDescent="0.25">
      <c r="A474" s="3">
        <v>484</v>
      </c>
      <c r="B474" s="3" t="s">
        <v>582</v>
      </c>
      <c r="C474" s="3" t="s">
        <v>581</v>
      </c>
      <c r="D474" s="3" t="s">
        <v>40</v>
      </c>
      <c r="E474" s="3">
        <v>106</v>
      </c>
      <c r="F474" s="3" t="s">
        <v>34</v>
      </c>
      <c r="G474" s="3" t="s">
        <v>583</v>
      </c>
      <c r="H474" s="3">
        <v>23</v>
      </c>
      <c r="I474" s="4">
        <v>106</v>
      </c>
      <c r="J474" s="5">
        <v>32700</v>
      </c>
      <c r="K474" s="6">
        <f t="shared" si="264"/>
        <v>107</v>
      </c>
      <c r="L474" s="7">
        <f>ROUND(390163.88698166405*1.1360736298509833^($E474-106),0)</f>
        <v>390164</v>
      </c>
      <c r="M474" s="4">
        <f t="shared" si="265"/>
        <v>108</v>
      </c>
      <c r="N474" s="8">
        <f>ROUND(586832.151514285*1.1360736298509833^($E474-106),0)</f>
        <v>586832</v>
      </c>
      <c r="O474" s="6">
        <f t="shared" si="266"/>
        <v>110</v>
      </c>
      <c r="P474" s="7">
        <f>ROUND(942104.0*1.1360736298509833^($E474-106),0)</f>
        <v>942104</v>
      </c>
      <c r="Q474" s="4">
        <f t="shared" si="267"/>
        <v>112</v>
      </c>
      <c r="R474" s="8">
        <f>ROUND(2283386.24711179*1.1360736298509833^($E474-106),0)</f>
        <v>2283386</v>
      </c>
      <c r="S474" s="6">
        <f t="shared" si="268"/>
        <v>114</v>
      </c>
      <c r="T474" s="7">
        <f>ROUND(15321287.408035984*1.1360736298509833^($E474-106),0)</f>
        <v>15321287</v>
      </c>
      <c r="U474" s="4">
        <f t="shared" si="269"/>
        <v>117</v>
      </c>
      <c r="V474" s="8">
        <f>ROUND(126248180.23433179*1.1360736298509833^($E474-106),0)</f>
        <v>126248180</v>
      </c>
      <c r="W474" s="6">
        <f t="shared" si="270"/>
        <v>121</v>
      </c>
      <c r="X474" s="7">
        <f>ROUND(602691160.9745907*1.1360736298509833^($E474-106),0)</f>
        <v>602691161</v>
      </c>
      <c r="Y474" s="4">
        <f t="shared" si="271"/>
        <v>123</v>
      </c>
      <c r="Z474" s="8">
        <f>ROUND(1293908341.3763595*1.1360736298509833^($E474-106),0)</f>
        <v>1293908341</v>
      </c>
      <c r="AA474" s="6">
        <f t="shared" si="272"/>
        <v>125</v>
      </c>
      <c r="AB474" s="7">
        <f>ROUND(1820924014.9738598*1.1360736298509833^($E474-106),0)</f>
        <v>1820924015</v>
      </c>
      <c r="AC474" s="4">
        <f t="shared" si="273"/>
        <v>127</v>
      </c>
      <c r="AD474" s="8">
        <f>ROUND(2728076917.171158*1.1360736298509833^($E474-106),0)</f>
        <v>2728076917</v>
      </c>
      <c r="AE474" s="6">
        <f t="shared" si="274"/>
        <v>130</v>
      </c>
      <c r="AF474" s="7">
        <f>ROUND(4090919785.908489*1.1360736298509833^($E474-106),0)</f>
        <v>4090919786</v>
      </c>
      <c r="AG474" s="4">
        <f t="shared" si="275"/>
        <v>133</v>
      </c>
      <c r="AH474" s="8">
        <f>ROUND(13101215717.663525*1.1360736298509833^($E474-106),0)</f>
        <v>13101215718</v>
      </c>
    </row>
    <row r="475" ht="27.75" customHeight="1" spans="1:34" x14ac:dyDescent="0.25">
      <c r="A475" s="3">
        <v>485</v>
      </c>
      <c r="B475" s="3" t="s">
        <v>347</v>
      </c>
      <c r="C475" s="3" t="s">
        <v>581</v>
      </c>
      <c r="D475" s="3" t="s">
        <v>79</v>
      </c>
      <c r="E475" s="3">
        <v>111</v>
      </c>
      <c r="F475" s="3" t="s">
        <v>123</v>
      </c>
      <c r="G475" s="3" t="s">
        <v>342</v>
      </c>
      <c r="H475" s="3">
        <v>27</v>
      </c>
      <c r="I475" s="4">
        <v>111</v>
      </c>
      <c r="J475" s="5">
        <v>105000</v>
      </c>
      <c r="K475" s="6">
        <f t="shared" si="264"/>
        <v>112</v>
      </c>
      <c r="L475" s="7">
        <f>ROUND(487704.84597459494*1.1360736298509833^($E475-106),0)</f>
        <v>922974</v>
      </c>
      <c r="M475" s="4">
        <f t="shared" si="265"/>
        <v>113</v>
      </c>
      <c r="N475" s="8">
        <f>ROUND(734841.7882200773*1.1360736298509833^($E475-106),0)</f>
        <v>1390677</v>
      </c>
      <c r="O475" s="6">
        <f t="shared" si="266"/>
        <v>115</v>
      </c>
      <c r="P475" s="7">
        <f>ROUND(1177385.809488363*1.1360736298509833^($E475-106),0)</f>
        <v>2228185</v>
      </c>
      <c r="Q475" s="4">
        <f t="shared" si="267"/>
        <v>117</v>
      </c>
      <c r="R475" s="8">
        <f>ROUND(2855811.220162202*1.1360736298509833^($E475-106),0)</f>
        <v>5404579</v>
      </c>
      <c r="S475" s="6">
        <f t="shared" si="268"/>
        <v>119</v>
      </c>
      <c r="T475" s="7">
        <f>ROUND(19151606.952114522*1.1360736298509833^($E475-106),0)</f>
        <v>36244125</v>
      </c>
      <c r="U475" s="4">
        <f t="shared" si="269"/>
        <v>122</v>
      </c>
      <c r="V475" s="8">
        <f>ROUND(157808934.98809043*1.1360736298509833^($E475-106),0)</f>
        <v>298651008</v>
      </c>
      <c r="W475" s="6">
        <f t="shared" si="270"/>
        <v>126</v>
      </c>
      <c r="X475" s="7">
        <f>ROUND(754395771.5734873*1.1360736298509833^($E475-106),0)</f>
        <v>1427682519</v>
      </c>
      <c r="Y475" s="4">
        <f t="shared" si="271"/>
        <v>128</v>
      </c>
      <c r="Z475" s="8">
        <f>ROUND(1622888309.924365*1.1360736298509833^($E475-106),0)</f>
        <v>3071291432</v>
      </c>
      <c r="AA475" s="6">
        <f t="shared" si="272"/>
        <v>130</v>
      </c>
      <c r="AB475" s="7">
        <f>ROUND(2269765269.4448776*1.1360736298509833^($E475-106),0)</f>
        <v>4295496235</v>
      </c>
      <c r="AC475" s="4">
        <f t="shared" si="273"/>
        <v>132</v>
      </c>
      <c r="AD475" s="8">
        <f>ROUND(3408916570.0091968*1.1360736298509833^($E475-106),0)</f>
        <v>6451322738</v>
      </c>
      <c r="AE475" s="6">
        <f t="shared" si="274"/>
        <v>135</v>
      </c>
      <c r="AF475" s="7">
        <f>ROUND(5114968470.43804*1.1360736298509833^($E475-106),0)</f>
        <v>9680000000</v>
      </c>
      <c r="AG475" s="4">
        <f t="shared" si="275"/>
        <v>138</v>
      </c>
      <c r="AH475" s="8">
        <f>ROUND(16376170874.39243*1.1360736298509833^($E475-106),0)</f>
        <v>30991654197</v>
      </c>
    </row>
    <row r="476" ht="27.75" customHeight="1" spans="1:34" x14ac:dyDescent="0.25">
      <c r="A476" s="3">
        <v>486</v>
      </c>
      <c r="B476" s="3" t="s">
        <v>584</v>
      </c>
      <c r="C476" s="3" t="s">
        <v>581</v>
      </c>
      <c r="D476" s="3" t="s">
        <v>79</v>
      </c>
      <c r="E476" s="3">
        <v>109</v>
      </c>
      <c r="F476" s="3" t="s">
        <v>62</v>
      </c>
      <c r="G476" s="3" t="s">
        <v>133</v>
      </c>
      <c r="H476" s="3">
        <v>26</v>
      </c>
      <c r="I476" s="4">
        <v>109</v>
      </c>
      <c r="J476" s="5">
        <v>361000</v>
      </c>
      <c r="K476" s="6">
        <f t="shared" si="264"/>
        <v>110</v>
      </c>
      <c r="L476" s="7">
        <f>ROUND(390163.88698166405*1.1360736298509833^($E476-106),0)</f>
        <v>572093</v>
      </c>
      <c r="M476" s="4">
        <f t="shared" si="265"/>
        <v>111</v>
      </c>
      <c r="N476" s="8">
        <f>ROUND(586832.151514285*1.1360736298509833^($E476-106),0)</f>
        <v>860465</v>
      </c>
      <c r="O476" s="6">
        <f t="shared" si="266"/>
        <v>113</v>
      </c>
      <c r="P476" s="7">
        <f>ROUND(942104.0*1.1360736298509833^($E476-106),0)</f>
        <v>1381396</v>
      </c>
      <c r="Q476" s="4">
        <f t="shared" si="267"/>
        <v>115</v>
      </c>
      <c r="R476" s="8">
        <f>ROUND(2283386.24711179*1.1360736298509833^($E476-106),0)</f>
        <v>3348103</v>
      </c>
      <c r="S476" s="6">
        <f t="shared" si="268"/>
        <v>117</v>
      </c>
      <c r="T476" s="7">
        <f>ROUND(15321287.408035984*1.1360736298509833^($E476-106),0)</f>
        <v>22465428</v>
      </c>
      <c r="U476" s="4">
        <f t="shared" si="269"/>
        <v>120</v>
      </c>
      <c r="V476" s="8">
        <f>ROUND(126248180.23433179*1.1360736298509833^($E476-106),0)</f>
        <v>185116259</v>
      </c>
      <c r="W476" s="6">
        <f t="shared" si="270"/>
        <v>124</v>
      </c>
      <c r="X476" s="7">
        <f>ROUND(602691160.9745907*1.1360736298509833^($E476-106),0)</f>
        <v>883719137</v>
      </c>
      <c r="Y476" s="4">
        <f t="shared" si="271"/>
        <v>126</v>
      </c>
      <c r="Z476" s="8">
        <f>ROUND(1293908341.3763595*1.1360736298509833^($E476-106),0)</f>
        <v>1897242962</v>
      </c>
      <c r="AA476" s="6">
        <f t="shared" si="272"/>
        <v>128</v>
      </c>
      <c r="AB476" s="7">
        <f>ROUND(1820924014.9738598*1.1360736298509833^($E476-106),0)</f>
        <v>2670000000</v>
      </c>
      <c r="AC476" s="4">
        <f t="shared" si="273"/>
        <v>130</v>
      </c>
      <c r="AD476" s="8">
        <f>ROUND(2728076917.171158*1.1360736298509833^($E476-106),0)</f>
        <v>4000147897</v>
      </c>
      <c r="AE476" s="6">
        <f t="shared" si="274"/>
        <v>133</v>
      </c>
      <c r="AF476" s="7">
        <f>ROUND(4090919785.908489*1.1360736298509833^($E476-106),0)</f>
        <v>5998468766</v>
      </c>
      <c r="AG476" s="4">
        <f t="shared" si="275"/>
        <v>136</v>
      </c>
      <c r="AH476" s="8">
        <f>ROUND(13101215717.663525*1.1360736298509833^($E476-106),0)</f>
        <v>19210162356</v>
      </c>
    </row>
    <row r="477" ht="27.75" customHeight="1" spans="1:34" x14ac:dyDescent="0.25">
      <c r="A477" s="3">
        <v>487</v>
      </c>
      <c r="B477" s="3" t="s">
        <v>585</v>
      </c>
      <c r="C477" s="3" t="s">
        <v>581</v>
      </c>
      <c r="D477" s="3" t="s">
        <v>79</v>
      </c>
      <c r="E477" s="3">
        <v>109</v>
      </c>
      <c r="F477" s="3" t="s">
        <v>56</v>
      </c>
      <c r="G477" s="3" t="s">
        <v>586</v>
      </c>
      <c r="H477" s="3">
        <v>25</v>
      </c>
      <c r="I477" s="4">
        <v>109</v>
      </c>
      <c r="J477" s="5">
        <v>206000</v>
      </c>
      <c r="K477" s="6">
        <f t="shared" si="264"/>
        <v>110</v>
      </c>
      <c r="L477" s="7">
        <f>ROUND(390163.88698166405*1.1360736298509833^($E477-106),0)</f>
        <v>572093</v>
      </c>
      <c r="M477" s="4">
        <f t="shared" si="265"/>
        <v>111</v>
      </c>
      <c r="N477" s="8">
        <f>ROUND(586832.151514285*1.1360736298509833^($E477-106),0)</f>
        <v>860465</v>
      </c>
      <c r="O477" s="6">
        <f t="shared" si="266"/>
        <v>113</v>
      </c>
      <c r="P477" s="7">
        <f>ROUND(942104.0*1.1360736298509833^($E477-106),0)</f>
        <v>1381396</v>
      </c>
      <c r="Q477" s="4">
        <f t="shared" si="267"/>
        <v>115</v>
      </c>
      <c r="R477" s="8">
        <f>ROUND(2283386.24711179*1.1360736298509833^($E477-106),0)</f>
        <v>3348103</v>
      </c>
      <c r="S477" s="6">
        <f t="shared" si="268"/>
        <v>117</v>
      </c>
      <c r="T477" s="7">
        <f>ROUND(15321287.408035984*1.1360736298509833^($E477-106),0)</f>
        <v>22465428</v>
      </c>
      <c r="U477" s="4">
        <f t="shared" si="269"/>
        <v>120</v>
      </c>
      <c r="V477" s="8">
        <f>ROUND(126248180.23433179*1.1360736298509833^($E477-106),0)</f>
        <v>185116259</v>
      </c>
      <c r="W477" s="6">
        <f t="shared" si="270"/>
        <v>124</v>
      </c>
      <c r="X477" s="7">
        <f>ROUND(602691160.9745907*1.1360736298509833^($E477-106),0)</f>
        <v>883719137</v>
      </c>
      <c r="Y477" s="4">
        <f t="shared" si="271"/>
        <v>126</v>
      </c>
      <c r="Z477" s="8">
        <f>ROUND(1293908341.3763595*1.1360736298509833^($E477-106),0)</f>
        <v>1897242962</v>
      </c>
      <c r="AA477" s="6">
        <f t="shared" si="272"/>
        <v>128</v>
      </c>
      <c r="AB477" s="7">
        <f>ROUND(1820924014.9738598*1.1360736298509833^($E477-106),0)</f>
        <v>2670000000</v>
      </c>
      <c r="AC477" s="4">
        <f t="shared" si="273"/>
        <v>130</v>
      </c>
      <c r="AD477" s="8">
        <f>ROUND(2728076917.171158*1.1360736298509833^($E477-106),0)</f>
        <v>4000147897</v>
      </c>
      <c r="AE477" s="6">
        <f t="shared" si="274"/>
        <v>133</v>
      </c>
      <c r="AF477" s="7">
        <f>ROUND(4090919785.908489*1.1360736298509833^($E477-106),0)</f>
        <v>5998468766</v>
      </c>
      <c r="AG477" s="4">
        <f t="shared" si="275"/>
        <v>136</v>
      </c>
      <c r="AH477" s="8">
        <f>ROUND(13101215717.663525*1.1360736298509833^($E477-106),0)</f>
        <v>19210162356</v>
      </c>
    </row>
    <row r="478" ht="27.75" customHeight="1" spans="1:34" x14ac:dyDescent="0.25">
      <c r="A478" s="3">
        <v>488</v>
      </c>
      <c r="B478" s="3" t="s">
        <v>292</v>
      </c>
      <c r="C478" s="3" t="s">
        <v>581</v>
      </c>
      <c r="D478" s="3" t="s">
        <v>45</v>
      </c>
      <c r="E478" s="3">
        <v>108</v>
      </c>
      <c r="F478" s="3" t="s">
        <v>26</v>
      </c>
      <c r="G478" s="3" t="s">
        <v>98</v>
      </c>
      <c r="H478" s="3">
        <v>24</v>
      </c>
      <c r="I478" s="4">
        <v>108</v>
      </c>
      <c r="J478" s="5">
        <v>114000</v>
      </c>
      <c r="K478" s="6">
        <f t="shared" si="264"/>
        <v>109</v>
      </c>
      <c r="L478" s="7">
        <f>ROUND(390163.88698166405*1.1360736298509833^($E478-106),0)</f>
        <v>503570</v>
      </c>
      <c r="M478" s="4">
        <f t="shared" si="265"/>
        <v>110</v>
      </c>
      <c r="N478" s="8">
        <f>ROUND(586832.151514285*1.1360736298509833^($E478-106),0)</f>
        <v>757403</v>
      </c>
      <c r="O478" s="6">
        <f t="shared" si="266"/>
        <v>112</v>
      </c>
      <c r="P478" s="7">
        <f>ROUND(942104.0*1.1360736298509833^($E478-106),0)</f>
        <v>1215939</v>
      </c>
      <c r="Q478" s="4">
        <f t="shared" si="267"/>
        <v>114</v>
      </c>
      <c r="R478" s="8">
        <f>ROUND(2283386.24711179*1.1360736298509833^($E478-106),0)</f>
        <v>2947083</v>
      </c>
      <c r="S478" s="6">
        <f t="shared" si="268"/>
        <v>116</v>
      </c>
      <c r="T478" s="7">
        <f>ROUND(15321287.408035984*1.1360736298509833^($E478-106),0)</f>
        <v>19774623</v>
      </c>
      <c r="U478" s="4">
        <f t="shared" si="269"/>
        <v>119</v>
      </c>
      <c r="V478" s="8">
        <f>ROUND(126248180.23433179*1.1360736298509833^($E478-106),0)</f>
        <v>162943892</v>
      </c>
      <c r="W478" s="6">
        <f t="shared" si="270"/>
        <v>123</v>
      </c>
      <c r="X478" s="7">
        <f>ROUND(602691160.9745907*1.1360736298509833^($E478-106),0)</f>
        <v>777871358</v>
      </c>
      <c r="Y478" s="4">
        <f t="shared" si="271"/>
        <v>125</v>
      </c>
      <c r="Z478" s="8">
        <f>ROUND(1293908341.3763595*1.1360736298509833^($E478-106),0)</f>
        <v>1670000000</v>
      </c>
      <c r="AA478" s="6">
        <f t="shared" si="272"/>
        <v>127</v>
      </c>
      <c r="AB478" s="7">
        <f>ROUND(1820924014.9738598*1.1360736298509833^($E478-106),0)</f>
        <v>2350199784</v>
      </c>
      <c r="AC478" s="4">
        <f t="shared" si="273"/>
        <v>129</v>
      </c>
      <c r="AD478" s="8">
        <f>ROUND(2728076917.171158*1.1360736298509833^($E478-106),0)</f>
        <v>3521028736</v>
      </c>
      <c r="AE478" s="6">
        <f t="shared" si="274"/>
        <v>132</v>
      </c>
      <c r="AF478" s="7">
        <f>ROUND(4090919785.908489*1.1360736298509833^($E478-106),0)</f>
        <v>5280000000</v>
      </c>
      <c r="AG478" s="4">
        <f t="shared" si="275"/>
        <v>135</v>
      </c>
      <c r="AH478" s="8">
        <f>ROUND(13101215717.663525*1.1360736298509833^($E478-106),0)</f>
        <v>16909258213</v>
      </c>
    </row>
    <row r="479" ht="27.75" customHeight="1" spans="1:34" x14ac:dyDescent="0.25">
      <c r="A479" s="3">
        <v>489</v>
      </c>
      <c r="B479" s="3" t="s">
        <v>587</v>
      </c>
      <c r="C479" s="3" t="s">
        <v>581</v>
      </c>
      <c r="D479" s="3" t="s">
        <v>79</v>
      </c>
      <c r="E479" s="3">
        <v>111</v>
      </c>
      <c r="F479" s="3" t="s">
        <v>30</v>
      </c>
      <c r="G479" s="3" t="s">
        <v>38</v>
      </c>
      <c r="H479" s="3">
        <v>26</v>
      </c>
      <c r="I479" s="4">
        <v>111</v>
      </c>
      <c r="J479" s="5">
        <v>69700</v>
      </c>
      <c r="K479" s="6">
        <f t="shared" si="264"/>
        <v>112</v>
      </c>
      <c r="L479" s="7">
        <f>ROUND(487704.84597459494*1.1360736298509833^($E479-106),0)</f>
        <v>922974</v>
      </c>
      <c r="M479" s="4">
        <f t="shared" si="265"/>
        <v>113</v>
      </c>
      <c r="N479" s="8">
        <f>ROUND(734841.7882200773*1.1360736298509833^($E479-106),0)</f>
        <v>1390677</v>
      </c>
      <c r="O479" s="6">
        <f t="shared" si="266"/>
        <v>115</v>
      </c>
      <c r="P479" s="7">
        <f>ROUND(1177385.809488363*1.1360736298509833^($E479-106),0)</f>
        <v>2228185</v>
      </c>
      <c r="Q479" s="4">
        <f t="shared" si="267"/>
        <v>117</v>
      </c>
      <c r="R479" s="8">
        <f>ROUND(2855811.220162202*1.1360736298509833^($E479-106),0)</f>
        <v>5404579</v>
      </c>
      <c r="S479" s="6">
        <f t="shared" si="268"/>
        <v>119</v>
      </c>
      <c r="T479" s="7">
        <f>ROUND(19151606.952114522*1.1360736298509833^($E479-106),0)</f>
        <v>36244125</v>
      </c>
      <c r="U479" s="4">
        <f t="shared" si="269"/>
        <v>122</v>
      </c>
      <c r="V479" s="8">
        <f>ROUND(157808934.98809043*1.1360736298509833^($E479-106),0)</f>
        <v>298651008</v>
      </c>
      <c r="W479" s="6">
        <f t="shared" si="270"/>
        <v>126</v>
      </c>
      <c r="X479" s="7">
        <f>ROUND(754395771.5734873*1.1360736298509833^($E479-106),0)</f>
        <v>1427682519</v>
      </c>
      <c r="Y479" s="4">
        <f t="shared" si="271"/>
        <v>128</v>
      </c>
      <c r="Z479" s="8">
        <f>ROUND(1622888309.924365*1.1360736298509833^($E479-106),0)</f>
        <v>3071291432</v>
      </c>
      <c r="AA479" s="6">
        <f t="shared" si="272"/>
        <v>130</v>
      </c>
      <c r="AB479" s="7">
        <f>ROUND(2269765269.4448776*1.1360736298509833^($E479-106),0)</f>
        <v>4295496235</v>
      </c>
      <c r="AC479" s="4">
        <f t="shared" si="273"/>
        <v>132</v>
      </c>
      <c r="AD479" s="8">
        <f>ROUND(3408916570.0091968*1.1360736298509833^($E479-106),0)</f>
        <v>6451322738</v>
      </c>
      <c r="AE479" s="6">
        <f t="shared" si="274"/>
        <v>135</v>
      </c>
      <c r="AF479" s="7">
        <f>ROUND(5114968470.43804*1.1360736298509833^($E479-106),0)</f>
        <v>9680000000</v>
      </c>
      <c r="AG479" s="4">
        <f t="shared" si="275"/>
        <v>138</v>
      </c>
      <c r="AH479" s="8">
        <f>ROUND(16376170874.39243*1.1360736298509833^($E479-106),0)</f>
        <v>30991654197</v>
      </c>
    </row>
    <row r="480" ht="27.75" customHeight="1" spans="1:34" x14ac:dyDescent="0.25">
      <c r="A480" s="3">
        <v>490</v>
      </c>
      <c r="B480" s="3" t="s">
        <v>588</v>
      </c>
      <c r="C480" s="3" t="s">
        <v>581</v>
      </c>
      <c r="D480" s="3" t="s">
        <v>45</v>
      </c>
      <c r="E480" s="3">
        <v>112</v>
      </c>
      <c r="F480" s="3" t="s">
        <v>56</v>
      </c>
      <c r="G480" s="3" t="s">
        <v>38</v>
      </c>
      <c r="H480" s="3">
        <v>26</v>
      </c>
      <c r="I480" s="4">
        <v>112</v>
      </c>
      <c r="J480" s="5">
        <v>614000</v>
      </c>
      <c r="K480" s="6">
        <f t="shared" si="264"/>
        <v>113</v>
      </c>
      <c r="L480" s="7">
        <f>ROUND(487704.84597459494*1.1360736298509833^($E480-106),0)</f>
        <v>1048566</v>
      </c>
      <c r="M480" s="4">
        <f t="shared" si="265"/>
        <v>114</v>
      </c>
      <c r="N480" s="8">
        <f>ROUND(734841.7882200773*1.1360736298509833^($E480-106),0)</f>
        <v>1579911</v>
      </c>
      <c r="O480" s="6">
        <f t="shared" si="266"/>
        <v>116</v>
      </c>
      <c r="P480" s="7">
        <f>ROUND(1177385.809488363*1.1360736298509833^($E480-106),0)</f>
        <v>2531382</v>
      </c>
      <c r="Q480" s="4">
        <f t="shared" si="267"/>
        <v>118</v>
      </c>
      <c r="R480" s="8">
        <f>ROUND(2855811.220162202*1.1360736298509833^($E480-106),0)</f>
        <v>6140000</v>
      </c>
      <c r="S480" s="6">
        <f t="shared" si="268"/>
        <v>120</v>
      </c>
      <c r="T480" s="7">
        <f>ROUND(19151606.952114522*1.1360736298509833^($E480-106),0)</f>
        <v>41175994</v>
      </c>
      <c r="U480" s="4">
        <f t="shared" si="269"/>
        <v>123</v>
      </c>
      <c r="V480" s="8">
        <f>ROUND(157808934.98809043*1.1360736298509833^($E480-106),0)</f>
        <v>339289535</v>
      </c>
      <c r="W480" s="6">
        <f t="shared" si="270"/>
        <v>127</v>
      </c>
      <c r="X480" s="7">
        <f>ROUND(754395771.5734873*1.1360736298509833^($E480-106),0)</f>
        <v>1621952461</v>
      </c>
      <c r="Y480" s="4">
        <f t="shared" si="271"/>
        <v>129</v>
      </c>
      <c r="Z480" s="8">
        <f>ROUND(1622888309.924365*1.1360736298509833^($E480-106),0)</f>
        <v>3489213206</v>
      </c>
      <c r="AA480" s="6">
        <f t="shared" si="272"/>
        <v>131</v>
      </c>
      <c r="AB480" s="7">
        <f>ROUND(2269765269.4448776*1.1360736298509833^($E480-106),0)</f>
        <v>4880000000</v>
      </c>
      <c r="AC480" s="4">
        <f t="shared" si="273"/>
        <v>133</v>
      </c>
      <c r="AD480" s="8">
        <f>ROUND(3408916570.0091968*1.1360736298509833^($E480-106),0)</f>
        <v>7329177640</v>
      </c>
      <c r="AE480" s="6">
        <f t="shared" si="274"/>
        <v>136</v>
      </c>
      <c r="AF480" s="7">
        <f>ROUND(5114968470.43804*1.1360736298509833^($E480-106),0)</f>
        <v>10997192737</v>
      </c>
      <c r="AG480" s="4">
        <f t="shared" si="275"/>
        <v>139</v>
      </c>
      <c r="AH480" s="8">
        <f>ROUND(16376170874.39243*1.1360736298509833^($E480-106),0)</f>
        <v>35208801079</v>
      </c>
    </row>
    <row r="481" ht="27.75" customHeight="1" spans="1:34" x14ac:dyDescent="0.25">
      <c r="A481" s="3">
        <v>491</v>
      </c>
      <c r="B481" s="3" t="s">
        <v>234</v>
      </c>
      <c r="C481" s="3" t="s">
        <v>581</v>
      </c>
      <c r="D481" s="3" t="s">
        <v>40</v>
      </c>
      <c r="E481" s="3">
        <v>112</v>
      </c>
      <c r="F481" s="3" t="s">
        <v>223</v>
      </c>
      <c r="G481" s="3" t="s">
        <v>185</v>
      </c>
      <c r="H481" s="3">
        <v>27</v>
      </c>
      <c r="I481" s="4">
        <v>112</v>
      </c>
      <c r="J481" s="5">
        <v>412000</v>
      </c>
      <c r="K481" s="6">
        <f t="shared" si="264"/>
        <v>113</v>
      </c>
      <c r="L481" s="7">
        <f>ROUND(487704.84597459494*1.1360736298509833^($E481-106),0)</f>
        <v>1048566</v>
      </c>
      <c r="M481" s="4">
        <f t="shared" si="265"/>
        <v>114</v>
      </c>
      <c r="N481" s="8">
        <f>ROUND(734841.7882200773*1.1360736298509833^($E481-106),0)</f>
        <v>1579911</v>
      </c>
      <c r="O481" s="6">
        <f t="shared" si="266"/>
        <v>116</v>
      </c>
      <c r="P481" s="7">
        <f>ROUND(1177385.809488363*1.1360736298509833^($E481-106),0)</f>
        <v>2531382</v>
      </c>
      <c r="Q481" s="4">
        <f t="shared" si="267"/>
        <v>118</v>
      </c>
      <c r="R481" s="8">
        <f>ROUND(2855811.220162202*1.1360736298509833^($E481-106),0)</f>
        <v>6140000</v>
      </c>
      <c r="S481" s="6">
        <f t="shared" si="268"/>
        <v>120</v>
      </c>
      <c r="T481" s="7">
        <f>ROUND(19151606.952114522*1.1360736298509833^($E481-106),0)</f>
        <v>41175994</v>
      </c>
      <c r="U481" s="4">
        <f t="shared" si="269"/>
        <v>123</v>
      </c>
      <c r="V481" s="8">
        <f>ROUND(157808934.98809043*1.1360736298509833^($E481-106),0)</f>
        <v>339289535</v>
      </c>
      <c r="W481" s="6">
        <f t="shared" si="270"/>
        <v>127</v>
      </c>
      <c r="X481" s="7">
        <f>ROUND(754395771.5734873*1.1360736298509833^($E481-106),0)</f>
        <v>1621952461</v>
      </c>
      <c r="Y481" s="4">
        <f t="shared" si="271"/>
        <v>129</v>
      </c>
      <c r="Z481" s="8">
        <f>ROUND(1622888309.924365*1.1360736298509833^($E481-106),0)</f>
        <v>3489213206</v>
      </c>
      <c r="AA481" s="6">
        <f t="shared" si="272"/>
        <v>131</v>
      </c>
      <c r="AB481" s="7">
        <f>ROUND(2269765269.4448776*1.1360736298509833^($E481-106),0)</f>
        <v>4880000000</v>
      </c>
      <c r="AC481" s="4">
        <f t="shared" si="273"/>
        <v>133</v>
      </c>
      <c r="AD481" s="8">
        <f>ROUND(3408916570.0091968*1.1360736298509833^($E481-106),0)</f>
        <v>7329177640</v>
      </c>
      <c r="AE481" s="6">
        <f t="shared" si="274"/>
        <v>136</v>
      </c>
      <c r="AF481" s="7">
        <f>ROUND(5114968470.43804*1.1360736298509833^($E481-106),0)</f>
        <v>10997192737</v>
      </c>
      <c r="AG481" s="4">
        <f t="shared" si="275"/>
        <v>139</v>
      </c>
      <c r="AH481" s="8">
        <f>ROUND(16376170874.39243*1.1360736298509833^($E481-106),0)</f>
        <v>35208801079</v>
      </c>
    </row>
    <row r="482" ht="27.75" customHeight="1" spans="1:34" x14ac:dyDescent="0.25">
      <c r="A482" s="3">
        <v>492</v>
      </c>
      <c r="B482" s="3" t="s">
        <v>589</v>
      </c>
      <c r="C482" s="3" t="s">
        <v>590</v>
      </c>
      <c r="D482" s="3" t="s">
        <v>241</v>
      </c>
      <c r="E482" s="3">
        <v>118</v>
      </c>
      <c r="F482" s="3" t="s">
        <v>30</v>
      </c>
      <c r="G482" s="3" t="s">
        <v>242</v>
      </c>
      <c r="H482" s="3">
        <v>28</v>
      </c>
      <c r="I482" s="4">
        <v>118</v>
      </c>
      <c r="J482" s="5">
        <v>888000</v>
      </c>
      <c r="K482" s="6">
        <f>$E482+1</f>
        <v>119</v>
      </c>
      <c r="L482" s="7">
        <f>IF($J482=0,0,ROUND(MAX($J482*1.4,1620000*(1.497923^(MIN($E482,123)-117)))*1,0))</f>
        <v>2426635</v>
      </c>
      <c r="M482" s="4">
        <f>$E482+2</f>
        <v>120</v>
      </c>
      <c r="N482" s="8">
        <f>IF($J482=0,0,ROUND(MAX($J482*1.4*1.5,2190000*(1.580994^(MIN($E482,123)-117)))*1,0))</f>
        <v>3462377</v>
      </c>
      <c r="O482" s="6">
        <f>$E482+4</f>
        <v>122</v>
      </c>
      <c r="P482" s="7">
        <f>IF($J482=0,0,ROUND(MAX($J482*1.4*1.5*1.6,3500000*(1.57975^(MIN($E482,123)-117)))*1,0))</f>
        <v>5529125</v>
      </c>
      <c r="Q482" s="4">
        <f>$E482+6</f>
        <v>124</v>
      </c>
      <c r="R482" s="8">
        <f>IF($J482=0,0,ROUND(MAX($J482*1.4*1.5*1.6*1.6,13100000*(1.429962^(MIN($E482,123)-117)))*1,0))</f>
        <v>18732502</v>
      </c>
      <c r="S482" s="6">
        <f>$E482+8</f>
        <v>126</v>
      </c>
      <c r="T482" s="7">
        <f>IF($J482=0,0,ROUND(MAX($J482*1.4*1.5*1.6*1.6*2.2,42600000*(1.576904^(MIN($E482,123)-117)))*1,0))</f>
        <v>67176110</v>
      </c>
      <c r="U482" s="4">
        <f>$E482+11</f>
        <v>129</v>
      </c>
      <c r="V482" s="8">
        <f>IF($J482=0,0,ROUND(MAX($J482*1.4*1.5*1.6*1.6*2.2*2.715,354000000*(1.642074^(MIN($E482,123)-117)))*1,0))</f>
        <v>581294196</v>
      </c>
      <c r="W482" s="6">
        <f>$E482+15</f>
        <v>133</v>
      </c>
      <c r="X482" s="7">
        <f>IF($J482=0,0,ROUND(MAX($J482*1.4*1.5*1.6*1.6*2.2*2.715*2.6,3540000000*(1.579646^(MIN($E482,123)-117)))*1,0))</f>
        <v>5591946840</v>
      </c>
      <c r="Y482" s="4">
        <f>$E482+17</f>
        <v>135</v>
      </c>
      <c r="Z482" s="8">
        <f>IF($J482=0,0,ROUND(MAX($J482*1.4*1.5*1.6*1.6*2.2*2.715*2.6*1.4,6020000000*(1.651178^(MIN($E482,123)-117)))*1,0))</f>
        <v>9940091560</v>
      </c>
      <c r="AA482" s="6">
        <f>$E482+19</f>
        <v>137</v>
      </c>
      <c r="AB482" s="7">
        <f>IF($J482=0,0,ROUND(MAX($J482*1.4*1.5*1.6*1.6*2.2*2.715*2.6*1.4*1.4,8430000000*(1.651435^(MIN($E482,123)-117)))*1,0))</f>
        <v>13921597050</v>
      </c>
      <c r="AC482" s="4">
        <f>$E482+21</f>
        <v>139</v>
      </c>
      <c r="AD482" s="8">
        <f>IF($J482=0,0,ROUND(MAX($J482*1.4*1.5*1.6*1.6*2.2*2.715*2.6*1.4*1.4*1.5,12600000000*(1.652953^(MIN($E482,123)-117)))*1,0))</f>
        <v>20827207800</v>
      </c>
      <c r="AE482" s="6">
        <f>$E482+24</f>
        <v>142</v>
      </c>
      <c r="AF482" s="7">
        <f>IF($J482=0,0,ROUND(MAX($J482*1.4*1.5*1.6*1.6*2.2*2.715*2.6*1.4*1.4*1.5*1.5,18900000000*(1.65331^(MIN($E482,123)-117)))*1,0))</f>
        <v>31247559000</v>
      </c>
      <c r="AG482" s="4">
        <f>$E482+27</f>
        <v>145</v>
      </c>
      <c r="AH482" s="8">
        <f>IF($J482=0,0,ROUND(MAX($J482*1.4*1.5*1.6*1.6*2.2*2.715*2.6*1.4*1.4*1.5*1.5*3.2,60500000000*(1.654288^(MIN($E482,123)-117)))*1,0))</f>
        <v>100084424000</v>
      </c>
    </row>
    <row r="483" ht="27.75" customHeight="1" spans="1:34" x14ac:dyDescent="0.25">
      <c r="A483" s="3">
        <v>493</v>
      </c>
      <c r="B483" s="3" t="s">
        <v>591</v>
      </c>
      <c r="C483" s="3" t="s">
        <v>590</v>
      </c>
      <c r="D483" s="3" t="s">
        <v>64</v>
      </c>
      <c r="E483" s="3">
        <v>118</v>
      </c>
      <c r="F483" s="3" t="s">
        <v>108</v>
      </c>
      <c r="G483" s="3" t="s">
        <v>389</v>
      </c>
      <c r="H483" s="3">
        <v>29</v>
      </c>
      <c r="I483" s="4">
        <v>118</v>
      </c>
      <c r="J483" s="5">
        <v>814000</v>
      </c>
      <c r="K483" s="6">
        <f>$E483+1</f>
        <v>119</v>
      </c>
      <c r="L483" s="7">
        <f>IF($J483=0,0,ROUND(MAX($J483*1.4,1620000*(1.497923^(MIN($E483,123)-117)))*1,0))</f>
        <v>2426635</v>
      </c>
      <c r="M483" s="4">
        <f>$E483+2</f>
        <v>120</v>
      </c>
      <c r="N483" s="8">
        <f>IF($J483=0,0,ROUND(MAX($J483*1.4*1.5,2190000*(1.580994^(MIN($E483,123)-117)))*1,0))</f>
        <v>3462377</v>
      </c>
      <c r="O483" s="6">
        <f>$E483+4</f>
        <v>122</v>
      </c>
      <c r="P483" s="7">
        <f>IF($J483=0,0,ROUND(MAX($J483*1.4*1.5*1.6,3500000*(1.57975^(MIN($E483,123)-117)))*1,0))</f>
        <v>5529125</v>
      </c>
      <c r="Q483" s="4">
        <f>$E483+6</f>
        <v>124</v>
      </c>
      <c r="R483" s="8">
        <f>IF($J483=0,0,ROUND(MAX($J483*1.4*1.5*1.6*1.6,13100000*(1.429962^(MIN($E483,123)-117)))*1,0))</f>
        <v>18732502</v>
      </c>
      <c r="S483" s="6">
        <f>$E483+8</f>
        <v>126</v>
      </c>
      <c r="T483" s="7">
        <f>IF($J483=0,0,ROUND(MAX($J483*1.4*1.5*1.6*1.6*2.2,42600000*(1.576904^(MIN($E483,123)-117)))*1,0))</f>
        <v>67176110</v>
      </c>
      <c r="U483" s="4">
        <f>$E483+11</f>
        <v>129</v>
      </c>
      <c r="V483" s="8">
        <f>IF($J483=0,0,ROUND(MAX($J483*1.4*1.5*1.6*1.6*2.2*2.715,354000000*(1.642074^(MIN($E483,123)-117)))*1,0))</f>
        <v>581294196</v>
      </c>
      <c r="W483" s="6">
        <f>$E483+15</f>
        <v>133</v>
      </c>
      <c r="X483" s="7">
        <f>IF($J483=0,0,ROUND(MAX($J483*1.4*1.5*1.6*1.6*2.2*2.715*2.6,3540000000*(1.579646^(MIN($E483,123)-117)))*1,0))</f>
        <v>5591946840</v>
      </c>
      <c r="Y483" s="4">
        <f>$E483+17</f>
        <v>135</v>
      </c>
      <c r="Z483" s="8">
        <f>IF($J483=0,0,ROUND(MAX($J483*1.4*1.5*1.6*1.6*2.2*2.715*2.6*1.4,6020000000*(1.651178^(MIN($E483,123)-117)))*1,0))</f>
        <v>9940091560</v>
      </c>
      <c r="AA483" s="6">
        <f>$E483+19</f>
        <v>137</v>
      </c>
      <c r="AB483" s="7">
        <f>IF($J483=0,0,ROUND(MAX($J483*1.4*1.5*1.6*1.6*2.2*2.715*2.6*1.4*1.4,8430000000*(1.651435^(MIN($E483,123)-117)))*1,0))</f>
        <v>13921597050</v>
      </c>
      <c r="AC483" s="4">
        <f>$E483+21</f>
        <v>139</v>
      </c>
      <c r="AD483" s="8">
        <f>IF($J483=0,0,ROUND(MAX($J483*1.4*1.5*1.6*1.6*2.2*2.715*2.6*1.4*1.4*1.5,12600000000*(1.652953^(MIN($E483,123)-117)))*1,0))</f>
        <v>20827207800</v>
      </c>
      <c r="AE483" s="6">
        <f>$E483+24</f>
        <v>142</v>
      </c>
      <c r="AF483" s="7">
        <f>IF($J483=0,0,ROUND(MAX($J483*1.4*1.5*1.6*1.6*2.2*2.715*2.6*1.4*1.4*1.5*1.5,18900000000*(1.65331^(MIN($E483,123)-117)))*1,0))</f>
        <v>31247559000</v>
      </c>
      <c r="AG483" s="4">
        <f>$E483+27</f>
        <v>145</v>
      </c>
      <c r="AH483" s="8">
        <f>IF($J483=0,0,ROUND(MAX($J483*1.4*1.5*1.6*1.6*2.2*2.715*2.6*1.4*1.4*1.5*1.5*3.2,60500000000*(1.654288^(MIN($E483,123)-117)))*1,0))</f>
        <v>100084424000</v>
      </c>
    </row>
    <row r="484" ht="27.75" customHeight="1" spans="1:34" x14ac:dyDescent="0.25">
      <c r="A484" s="3">
        <v>494</v>
      </c>
      <c r="B484" s="3" t="s">
        <v>592</v>
      </c>
      <c r="C484" s="3" t="s">
        <v>590</v>
      </c>
      <c r="D484" s="3" t="s">
        <v>75</v>
      </c>
      <c r="E484" s="3">
        <v>117</v>
      </c>
      <c r="F484" s="3" t="s">
        <v>258</v>
      </c>
      <c r="G484" s="3" t="s">
        <v>27</v>
      </c>
      <c r="H484" s="3">
        <v>28</v>
      </c>
      <c r="I484" s="4">
        <v>117</v>
      </c>
      <c r="J484" s="5">
        <v>689000</v>
      </c>
      <c r="K484" s="6">
        <f>$E484+1</f>
        <v>118</v>
      </c>
      <c r="L484" s="7">
        <f>IF($J484=0,0,ROUND(MAX($J484*1.4,1620000*(1.497923^(MIN($E484,123)-117)))*1,0))</f>
        <v>1620000</v>
      </c>
      <c r="M484" s="4">
        <f>$E484+2</f>
        <v>119</v>
      </c>
      <c r="N484" s="8">
        <f>IF($J484=0,0,ROUND(MAX($J484*1.4*1.5,2190000*(1.580994^(MIN($E484,123)-117)))*1,0))</f>
        <v>2190000</v>
      </c>
      <c r="O484" s="6">
        <f>$E484+4</f>
        <v>121</v>
      </c>
      <c r="P484" s="7">
        <f>IF($J484=0,0,ROUND(MAX($J484*1.4*1.5*1.6,3500000*(1.57975^(MIN($E484,123)-117)))*1,0))</f>
        <v>3500000</v>
      </c>
      <c r="Q484" s="4">
        <f>$E484+6</f>
        <v>123</v>
      </c>
      <c r="R484" s="8">
        <f>IF($J484=0,0,ROUND(MAX($J484*1.4*1.5*1.6*1.6,13100000*(1.429962^(MIN($E484,123)-117)))*1,0))</f>
        <v>13100000</v>
      </c>
      <c r="S484" s="6">
        <f>$E484+8</f>
        <v>125</v>
      </c>
      <c r="T484" s="7">
        <f>IF($J484=0,0,ROUND(MAX($J484*1.4*1.5*1.6*1.6*2.2,42600000*(1.576904^(MIN($E484,123)-117)))*1,0))</f>
        <v>42600000</v>
      </c>
      <c r="U484" s="4">
        <f>$E484+11</f>
        <v>128</v>
      </c>
      <c r="V484" s="8">
        <f>IF($J484=0,0,ROUND(MAX($J484*1.4*1.5*1.6*1.6*2.2*2.715,354000000*(1.642074^(MIN($E484,123)-117)))*1,0))</f>
        <v>354000000</v>
      </c>
      <c r="W484" s="6">
        <f>$E484+15</f>
        <v>132</v>
      </c>
      <c r="X484" s="7">
        <f>IF($J484=0,0,ROUND(MAX($J484*1.4*1.5*1.6*1.6*2.2*2.715*2.6,3540000000*(1.579646^(MIN($E484,123)-117)))*1,0))</f>
        <v>3540000000</v>
      </c>
      <c r="Y484" s="4">
        <f>$E484+17</f>
        <v>134</v>
      </c>
      <c r="Z484" s="8">
        <f>IF($J484=0,0,ROUND(MAX($J484*1.4*1.5*1.6*1.6*2.2*2.715*2.6*1.4,6020000000*(1.651178^(MIN($E484,123)-117)))*1,0))</f>
        <v>6020000000</v>
      </c>
      <c r="AA484" s="6">
        <f>$E484+19</f>
        <v>136</v>
      </c>
      <c r="AB484" s="7">
        <f>IF($J484=0,0,ROUND(MAX($J484*1.4*1.5*1.6*1.6*2.2*2.715*2.6*1.4*1.4,8430000000*(1.651435^(MIN($E484,123)-117)))*1,0))</f>
        <v>8430000000</v>
      </c>
      <c r="AC484" s="4">
        <f>$E484+21</f>
        <v>138</v>
      </c>
      <c r="AD484" s="8">
        <f>IF($J484=0,0,ROUND(MAX($J484*1.4*1.5*1.6*1.6*2.2*2.715*2.6*1.4*1.4*1.5,12600000000*(1.652953^(MIN($E484,123)-117)))*1,0))</f>
        <v>12600000000</v>
      </c>
      <c r="AE484" s="6">
        <f>$E484+24</f>
        <v>141</v>
      </c>
      <c r="AF484" s="7">
        <f>IF($J484=0,0,ROUND(MAX($J484*1.4*1.5*1.6*1.6*2.2*2.715*2.6*1.4*1.4*1.5*1.5,18900000000*(1.65331^(MIN($E484,123)-117)))*1,0))</f>
        <v>18900000000</v>
      </c>
      <c r="AG484" s="4">
        <f>$E484+27</f>
        <v>144</v>
      </c>
      <c r="AH484" s="8">
        <f>IF($J484=0,0,ROUND(MAX($J484*1.4*1.5*1.6*1.6*2.2*2.715*2.6*1.4*1.4*1.5*1.5*3.2,60500000000*(1.654288^(MIN($E484,123)-117)))*1,0))</f>
        <v>60500000000</v>
      </c>
    </row>
    <row r="485" ht="27.75" customHeight="1" spans="1:34" x14ac:dyDescent="0.25">
      <c r="A485" s="3">
        <v>495</v>
      </c>
      <c r="B485" s="3" t="s">
        <v>593</v>
      </c>
      <c r="C485" s="3" t="s">
        <v>590</v>
      </c>
      <c r="D485" s="3" t="s">
        <v>45</v>
      </c>
      <c r="E485" s="3">
        <v>119</v>
      </c>
      <c r="F485" s="3" t="s">
        <v>258</v>
      </c>
      <c r="G485" s="3" t="s">
        <v>171</v>
      </c>
      <c r="H485" s="3">
        <v>30</v>
      </c>
      <c r="I485" s="4">
        <v>119</v>
      </c>
      <c r="J485" s="5">
        <v>1490000</v>
      </c>
      <c r="K485" s="6">
        <f>$E485+1</f>
        <v>120</v>
      </c>
      <c r="L485" s="7">
        <f>IF($J485=0,0,ROUND(MAX($J485*1.4,1620000*(1.497923^(MIN($E485,123)-117)))*1,0))</f>
        <v>3634913</v>
      </c>
      <c r="M485" s="4">
        <f>$E485+2</f>
        <v>121</v>
      </c>
      <c r="N485" s="8">
        <f>IF($J485=0,0,ROUND(MAX($J485*1.4*1.5,2190000*(1.580994^(MIN($E485,123)-117)))*1,0))</f>
        <v>5473997</v>
      </c>
      <c r="O485" s="6">
        <f>$E485+4</f>
        <v>123</v>
      </c>
      <c r="P485" s="7">
        <f>IF($J485=0,0,ROUND(MAX($J485*1.4*1.5*1.6,3500000*(1.57975^(MIN($E485,123)-117)))*1,0))</f>
        <v>8734635</v>
      </c>
      <c r="Q485" s="4">
        <f>$E485+6</f>
        <v>125</v>
      </c>
      <c r="R485" s="8">
        <f>IF($J485=0,0,ROUND(MAX($J485*1.4*1.5*1.6*1.6,13100000*(1.429962^(MIN($E485,123)-117)))*1,0))</f>
        <v>26786766</v>
      </c>
      <c r="S485" s="6">
        <f>$E485+8</f>
        <v>127</v>
      </c>
      <c r="T485" s="7">
        <f>IF($J485=0,0,ROUND(MAX($J485*1.4*1.5*1.6*1.6*2.2,42600000*(1.576904^(MIN($E485,123)-117)))*1,0))</f>
        <v>105930277</v>
      </c>
      <c r="U485" s="4">
        <f>$E485+11</f>
        <v>130</v>
      </c>
      <c r="V485" s="8">
        <f>IF($J485=0,0,ROUND(MAX($J485*1.4*1.5*1.6*1.6*2.2*2.715,354000000*(1.642074^(MIN($E485,123)-117)))*1,0))</f>
        <v>954528086</v>
      </c>
      <c r="W485" s="6">
        <f>$E485+15</f>
        <v>134</v>
      </c>
      <c r="X485" s="7">
        <f>IF($J485=0,0,ROUND(MAX($J485*1.4*1.5*1.6*1.6*2.2*2.715*2.6,3540000000*(1.579646^(MIN($E485,123)-117)))*1,0))</f>
        <v>8833296458</v>
      </c>
      <c r="Y485" s="4">
        <f>$E485+17</f>
        <v>136</v>
      </c>
      <c r="Z485" s="8">
        <f>IF($J485=0,0,ROUND(MAX($J485*1.4*1.5*1.6*1.6*2.2*2.715*2.6*1.4,6020000000*(1.651178^(MIN($E485,123)-117)))*1,0))</f>
        <v>16412860502</v>
      </c>
      <c r="AA485" s="6">
        <f>$E485+19</f>
        <v>138</v>
      </c>
      <c r="AB485" s="7">
        <f>IF($J485=0,0,ROUND(MAX($J485*1.4*1.5*1.6*1.6*2.2*2.715*2.6*1.4*1.4,8430000000*(1.651435^(MIN($E485,123)-117)))*1,0))</f>
        <v>22990612624</v>
      </c>
      <c r="AC485" s="4">
        <f>$E485+21</f>
        <v>140</v>
      </c>
      <c r="AD485" s="8">
        <f>IF($J485=0,0,ROUND(MAX($J485*1.4*1.5*1.6*1.6*2.2*2.715*2.6*1.4*1.4*1.5,12600000000*(1.652953^(MIN($E485,123)-117)))*1,0))</f>
        <v>34426395615</v>
      </c>
      <c r="AE485" s="6">
        <f>$E485+24</f>
        <v>143</v>
      </c>
      <c r="AF485" s="7">
        <f>IF($J485=0,0,ROUND(MAX($J485*1.4*1.5*1.6*1.6*2.2*2.715*2.6*1.4*1.4*1.5*1.5,18900000000*(1.65331^(MIN($E485,123)-117)))*1,0))</f>
        <v>51661901770</v>
      </c>
      <c r="AG485" s="4">
        <f>$E485+27</f>
        <v>146</v>
      </c>
      <c r="AH485" s="8">
        <f>IF($J485=0,0,ROUND(MAX($J485*1.4*1.5*1.6*1.6*2.2*2.715*2.6*1.4*1.4*1.5*1.5*3.2,60500000000*(1.654288^(MIN($E485,123)-117)))*1,0))</f>
        <v>165568461610</v>
      </c>
    </row>
    <row r="486" ht="27.75" customHeight="1" spans="1:34" x14ac:dyDescent="0.25">
      <c r="A486" s="3">
        <v>496</v>
      </c>
      <c r="B486" s="3" t="s">
        <v>594</v>
      </c>
      <c r="C486" s="3" t="s">
        <v>590</v>
      </c>
      <c r="D486" s="3" t="s">
        <v>33</v>
      </c>
      <c r="E486" s="3">
        <v>118</v>
      </c>
      <c r="F486" s="3" t="s">
        <v>97</v>
      </c>
      <c r="G486" s="3" t="s">
        <v>595</v>
      </c>
      <c r="H486" s="3">
        <v>29</v>
      </c>
      <c r="I486" s="4">
        <v>118</v>
      </c>
      <c r="J486" s="5">
        <v>851000</v>
      </c>
      <c r="K486" s="6">
        <f>$E486+1</f>
        <v>119</v>
      </c>
      <c r="L486" s="7">
        <f>IF($J486=0,0,ROUND(MAX($J486*1.4,1620000*(1.497923^(MIN($E486,123)-117)))*1,0))</f>
        <v>2426635</v>
      </c>
      <c r="M486" s="4">
        <f>$E486+2</f>
        <v>120</v>
      </c>
      <c r="N486" s="8">
        <f>IF($J486=0,0,ROUND(MAX($J486*1.4*1.5,2190000*(1.580994^(MIN($E486,123)-117)))*1,0))</f>
        <v>3462377</v>
      </c>
      <c r="O486" s="6">
        <f>$E486+4</f>
        <v>122</v>
      </c>
      <c r="P486" s="7">
        <f>IF($J486=0,0,ROUND(MAX($J486*1.4*1.5*1.6,3500000*(1.57975^(MIN($E486,123)-117)))*1,0))</f>
        <v>5529125</v>
      </c>
      <c r="Q486" s="4">
        <f>$E486+6</f>
        <v>124</v>
      </c>
      <c r="R486" s="8">
        <f>IF($J486=0,0,ROUND(MAX($J486*1.4*1.5*1.6*1.6,13100000*(1.429962^(MIN($E486,123)-117)))*1,0))</f>
        <v>18732502</v>
      </c>
      <c r="S486" s="6">
        <f>$E486+8</f>
        <v>126</v>
      </c>
      <c r="T486" s="7">
        <f>IF($J486=0,0,ROUND(MAX($J486*1.4*1.5*1.6*1.6*2.2,42600000*(1.576904^(MIN($E486,123)-117)))*1,0))</f>
        <v>67176110</v>
      </c>
      <c r="U486" s="4">
        <f>$E486+11</f>
        <v>129</v>
      </c>
      <c r="V486" s="8">
        <f>IF($J486=0,0,ROUND(MAX($J486*1.4*1.5*1.6*1.6*2.2*2.715,354000000*(1.642074^(MIN($E486,123)-117)))*1,0))</f>
        <v>581294196</v>
      </c>
      <c r="W486" s="6">
        <f>$E486+15</f>
        <v>133</v>
      </c>
      <c r="X486" s="7">
        <f>IF($J486=0,0,ROUND(MAX($J486*1.4*1.5*1.6*1.6*2.2*2.715*2.6,3540000000*(1.579646^(MIN($E486,123)-117)))*1,0))</f>
        <v>5591946840</v>
      </c>
      <c r="Y486" s="4">
        <f>$E486+17</f>
        <v>135</v>
      </c>
      <c r="Z486" s="8">
        <f>IF($J486=0,0,ROUND(MAX($J486*1.4*1.5*1.6*1.6*2.2*2.715*2.6*1.4,6020000000*(1.651178^(MIN($E486,123)-117)))*1,0))</f>
        <v>9940091560</v>
      </c>
      <c r="AA486" s="6">
        <f>$E486+19</f>
        <v>137</v>
      </c>
      <c r="AB486" s="7">
        <f>IF($J486=0,0,ROUND(MAX($J486*1.4*1.5*1.6*1.6*2.2*2.715*2.6*1.4*1.4,8430000000*(1.651435^(MIN($E486,123)-117)))*1,0))</f>
        <v>13921597050</v>
      </c>
      <c r="AC486" s="4">
        <f>$E486+21</f>
        <v>139</v>
      </c>
      <c r="AD486" s="8">
        <f>IF($J486=0,0,ROUND(MAX($J486*1.4*1.5*1.6*1.6*2.2*2.715*2.6*1.4*1.4*1.5,12600000000*(1.652953^(MIN($E486,123)-117)))*1,0))</f>
        <v>20827207800</v>
      </c>
      <c r="AE486" s="6">
        <f>$E486+24</f>
        <v>142</v>
      </c>
      <c r="AF486" s="7">
        <f>IF($J486=0,0,ROUND(MAX($J486*1.4*1.5*1.6*1.6*2.2*2.715*2.6*1.4*1.4*1.5*1.5,18900000000*(1.65331^(MIN($E486,123)-117)))*1,0))</f>
        <v>31247559000</v>
      </c>
      <c r="AG486" s="4">
        <f>$E486+27</f>
        <v>145</v>
      </c>
      <c r="AH486" s="8">
        <f>IF($J486=0,0,ROUND(MAX($J486*1.4*1.5*1.6*1.6*2.2*2.715*2.6*1.4*1.4*1.5*1.5*3.2,60500000000*(1.654288^(MIN($E486,123)-117)))*1,0))</f>
        <v>100084424000</v>
      </c>
    </row>
    <row r="487" ht="27.75" customHeight="1" spans="1:34" x14ac:dyDescent="0.25">
      <c r="A487" s="3">
        <v>497</v>
      </c>
      <c r="B487" s="3" t="s">
        <v>240</v>
      </c>
      <c r="C487" s="3" t="s">
        <v>590</v>
      </c>
      <c r="D487" s="3" t="s">
        <v>241</v>
      </c>
      <c r="E487" s="3">
        <v>120</v>
      </c>
      <c r="F487" s="3" t="s">
        <v>62</v>
      </c>
      <c r="G487" s="3" t="s">
        <v>242</v>
      </c>
      <c r="H487" s="3">
        <v>29</v>
      </c>
      <c r="I487" s="4">
        <v>120</v>
      </c>
      <c r="J487" s="5">
        <v>1800000</v>
      </c>
      <c r="K487" s="6">
        <f>$E487+1</f>
        <v>121</v>
      </c>
      <c r="L487" s="7">
        <f>IF($J487=0,0,ROUND(MAX($J487*1.4,1620000*(1.497923^(MIN($E487,123)-117)))*1,0))</f>
        <v>5444819</v>
      </c>
      <c r="M487" s="4">
        <f>$E487+2</f>
        <v>122</v>
      </c>
      <c r="N487" s="8">
        <f>IF($J487=0,0,ROUND(MAX($J487*1.4*1.5,2190000*(1.580994^(MIN($E487,123)-117)))*1,0))</f>
        <v>8654356</v>
      </c>
      <c r="O487" s="6">
        <f>$E487+4</f>
        <v>124</v>
      </c>
      <c r="P487" s="7">
        <f>IF($J487=0,0,ROUND(MAX($J487*1.4*1.5*1.6,3500000*(1.57975^(MIN($E487,123)-117)))*1,0))</f>
        <v>13798540</v>
      </c>
      <c r="Q487" s="4">
        <f>$E487+6</f>
        <v>126</v>
      </c>
      <c r="R487" s="8">
        <f>IF($J487=0,0,ROUND(MAX($J487*1.4*1.5*1.6*1.6,13100000*(1.429962^(MIN($E487,123)-117)))*1,0))</f>
        <v>38304058</v>
      </c>
      <c r="S487" s="6">
        <f>$E487+8</f>
        <v>128</v>
      </c>
      <c r="T487" s="7">
        <f>IF($J487=0,0,ROUND(MAX($J487*1.4*1.5*1.6*1.6*2.2,42600000*(1.576904^(MIN($E487,123)-117)))*1,0))</f>
        <v>167041878</v>
      </c>
      <c r="U487" s="4">
        <f>$E487+11</f>
        <v>131</v>
      </c>
      <c r="V487" s="8">
        <f>IF($J487=0,0,ROUND(MAX($J487*1.4*1.5*1.6*1.6*2.2*2.715,354000000*(1.642074^(MIN($E487,123)-117)))*1,0))</f>
        <v>1567405752</v>
      </c>
      <c r="W487" s="6">
        <f>$E487+15</f>
        <v>135</v>
      </c>
      <c r="X487" s="7">
        <f>IF($J487=0,0,ROUND(MAX($J487*1.4*1.5*1.6*1.6*2.2*2.715*2.6,3540000000*(1.579646^(MIN($E487,123)-117)))*1,0))</f>
        <v>13953481417</v>
      </c>
      <c r="Y487" s="4">
        <f>$E487+17</f>
        <v>137</v>
      </c>
      <c r="Z487" s="8">
        <f>IF($J487=0,0,ROUND(MAX($J487*1.4*1.5*1.6*1.6*2.2*2.715*2.6*1.4,6020000000*(1.651178^(MIN($E487,123)-117)))*1,0))</f>
        <v>27100554178</v>
      </c>
      <c r="AA487" s="6">
        <f>$E487+19</f>
        <v>139</v>
      </c>
      <c r="AB487" s="7">
        <f>IF($J487=0,0,ROUND(MAX($J487*1.4*1.5*1.6*1.6*2.2*2.715*2.6*1.4*1.4,8430000000*(1.651435^(MIN($E487,123)-117)))*1,0))</f>
        <v>37967502359</v>
      </c>
      <c r="AC487" s="4">
        <f>$E487+21</f>
        <v>141</v>
      </c>
      <c r="AD487" s="8">
        <f>IF($J487=0,0,ROUND(MAX($J487*1.4*1.5*1.6*1.6*2.2*2.715*2.6*1.4*1.4*1.5,12600000000*(1.652953^(MIN($E487,123)-117)))*1,0))</f>
        <v>56905213910</v>
      </c>
      <c r="AE487" s="6">
        <f>$E487+24</f>
        <v>144</v>
      </c>
      <c r="AF487" s="7">
        <f>IF($J487=0,0,ROUND(MAX($J487*1.4*1.5*1.6*1.6*2.2*2.715*2.6*1.4*1.4*1.5*1.5,18900000000*(1.65331^(MIN($E487,123)-117)))*1,0))</f>
        <v>85413138816</v>
      </c>
      <c r="AG487" s="4">
        <f>$E487+27</f>
        <v>147</v>
      </c>
      <c r="AH487" s="8">
        <f>IF($J487=0,0,ROUND(MAX($J487*1.4*1.5*1.6*1.6*2.2*2.715*2.6*1.4*1.4*1.5*1.5*3.2,60500000000*(1.654288^(MIN($E487,123)-117)))*1,0))</f>
        <v>273897919220</v>
      </c>
    </row>
    <row r="488" ht="27.75" customHeight="1" spans="1:34" x14ac:dyDescent="0.25">
      <c r="A488" s="3">
        <v>498</v>
      </c>
      <c r="B488" s="3" t="s">
        <v>596</v>
      </c>
      <c r="C488" s="3" t="s">
        <v>590</v>
      </c>
      <c r="D488" s="3" t="s">
        <v>33</v>
      </c>
      <c r="E488" s="3">
        <v>119</v>
      </c>
      <c r="F488" s="3" t="s">
        <v>26</v>
      </c>
      <c r="G488" s="3" t="s">
        <v>72</v>
      </c>
      <c r="H488" s="3">
        <v>30</v>
      </c>
      <c r="I488" s="4">
        <v>119</v>
      </c>
      <c r="J488" s="5">
        <v>1550000</v>
      </c>
      <c r="K488" s="6">
        <f>$E488+1</f>
        <v>120</v>
      </c>
      <c r="L488" s="7">
        <f>IF($J488=0,0,ROUND(MAX($J488*1.4,1620000*(1.497923^(MIN($E488,123)-117)))*1,0))</f>
        <v>3634913</v>
      </c>
      <c r="M488" s="4">
        <f>$E488+2</f>
        <v>121</v>
      </c>
      <c r="N488" s="8">
        <f>IF($J488=0,0,ROUND(MAX($J488*1.4*1.5,2190000*(1.580994^(MIN($E488,123)-117)))*1,0))</f>
        <v>5473997</v>
      </c>
      <c r="O488" s="6">
        <f>$E488+4</f>
        <v>123</v>
      </c>
      <c r="P488" s="7">
        <f>IF($J488=0,0,ROUND(MAX($J488*1.4*1.5*1.6,3500000*(1.57975^(MIN($E488,123)-117)))*1,0))</f>
        <v>8734635</v>
      </c>
      <c r="Q488" s="4">
        <f>$E488+6</f>
        <v>125</v>
      </c>
      <c r="R488" s="8">
        <f>IF($J488=0,0,ROUND(MAX($J488*1.4*1.5*1.6*1.6,13100000*(1.429962^(MIN($E488,123)-117)))*1,0))</f>
        <v>26786766</v>
      </c>
      <c r="S488" s="6">
        <f>$E488+8</f>
        <v>127</v>
      </c>
      <c r="T488" s="7">
        <f>IF($J488=0,0,ROUND(MAX($J488*1.4*1.5*1.6*1.6*2.2,42600000*(1.576904^(MIN($E488,123)-117)))*1,0))</f>
        <v>105930277</v>
      </c>
      <c r="U488" s="4">
        <f>$E488+11</f>
        <v>130</v>
      </c>
      <c r="V488" s="8">
        <f>IF($J488=0,0,ROUND(MAX($J488*1.4*1.5*1.6*1.6*2.2*2.715,354000000*(1.642074^(MIN($E488,123)-117)))*1,0))</f>
        <v>954528086</v>
      </c>
      <c r="W488" s="6">
        <f>$E488+15</f>
        <v>134</v>
      </c>
      <c r="X488" s="7">
        <f>IF($J488=0,0,ROUND(MAX($J488*1.4*1.5*1.6*1.6*2.2*2.715*2.6,3540000000*(1.579646^(MIN($E488,123)-117)))*1,0))</f>
        <v>8833296458</v>
      </c>
      <c r="Y488" s="4">
        <f>$E488+17</f>
        <v>136</v>
      </c>
      <c r="Z488" s="8">
        <f>IF($J488=0,0,ROUND(MAX($J488*1.4*1.5*1.6*1.6*2.2*2.715*2.6*1.4,6020000000*(1.651178^(MIN($E488,123)-117)))*1,0))</f>
        <v>16412860502</v>
      </c>
      <c r="AA488" s="6">
        <f>$E488+19</f>
        <v>138</v>
      </c>
      <c r="AB488" s="7">
        <f>IF($J488=0,0,ROUND(MAX($J488*1.4*1.5*1.6*1.6*2.2*2.715*2.6*1.4*1.4,8430000000*(1.651435^(MIN($E488,123)-117)))*1,0))</f>
        <v>22990612624</v>
      </c>
      <c r="AC488" s="4">
        <f>$E488+21</f>
        <v>140</v>
      </c>
      <c r="AD488" s="8">
        <f>IF($J488=0,0,ROUND(MAX($J488*1.4*1.5*1.6*1.6*2.2*2.715*2.6*1.4*1.4*1.5,12600000000*(1.652953^(MIN($E488,123)-117)))*1,0))</f>
        <v>34426395615</v>
      </c>
      <c r="AE488" s="6">
        <f>$E488+24</f>
        <v>143</v>
      </c>
      <c r="AF488" s="7">
        <f>IF($J488=0,0,ROUND(MAX($J488*1.4*1.5*1.6*1.6*2.2*2.715*2.6*1.4*1.4*1.5*1.5,18900000000*(1.65331^(MIN($E488,123)-117)))*1,0))</f>
        <v>51661901770</v>
      </c>
      <c r="AG488" s="4">
        <f>$E488+27</f>
        <v>146</v>
      </c>
      <c r="AH488" s="8">
        <f>IF($J488=0,0,ROUND(MAX($J488*1.4*1.5*1.6*1.6*2.2*2.715*2.6*1.4*1.4*1.5*1.5*3.2,60500000000*(1.654288^(MIN($E488,123)-117)))*1,0))</f>
        <v>165568461610</v>
      </c>
    </row>
    <row r="489" ht="27.75" customHeight="1" spans="1:34" x14ac:dyDescent="0.25">
      <c r="A489" s="3">
        <v>499</v>
      </c>
      <c r="B489" s="3" t="s">
        <v>597</v>
      </c>
      <c r="C489" s="3" t="s">
        <v>590</v>
      </c>
      <c r="D489" s="3" t="s">
        <v>64</v>
      </c>
      <c r="E489" s="3">
        <v>120</v>
      </c>
      <c r="F489" s="3" t="s">
        <v>56</v>
      </c>
      <c r="G489" s="3" t="s">
        <v>98</v>
      </c>
      <c r="H489" s="3">
        <v>30</v>
      </c>
      <c r="I489" s="4">
        <v>120</v>
      </c>
      <c r="J489" s="5">
        <v>1790000</v>
      </c>
      <c r="K489" s="6">
        <f>$E489+1</f>
        <v>121</v>
      </c>
      <c r="L489" s="7">
        <f>IF($J489=0,0,ROUND(MAX($J489*1.4,1620000*(1.497923^(MIN($E489,123)-117)))*1,0))</f>
        <v>5444819</v>
      </c>
      <c r="M489" s="4">
        <f>$E489+2</f>
        <v>122</v>
      </c>
      <c r="N489" s="8">
        <f>IF($J489=0,0,ROUND(MAX($J489*1.4*1.5,2190000*(1.580994^(MIN($E489,123)-117)))*1,0))</f>
        <v>8654356</v>
      </c>
      <c r="O489" s="6">
        <f>$E489+4</f>
        <v>124</v>
      </c>
      <c r="P489" s="7">
        <f>IF($J489=0,0,ROUND(MAX($J489*1.4*1.5*1.6,3500000*(1.57975^(MIN($E489,123)-117)))*1,0))</f>
        <v>13798540</v>
      </c>
      <c r="Q489" s="4">
        <f>$E489+6</f>
        <v>126</v>
      </c>
      <c r="R489" s="8">
        <f>IF($J489=0,0,ROUND(MAX($J489*1.4*1.5*1.6*1.6,13100000*(1.429962^(MIN($E489,123)-117)))*1,0))</f>
        <v>38304058</v>
      </c>
      <c r="S489" s="6">
        <f>$E489+8</f>
        <v>128</v>
      </c>
      <c r="T489" s="7">
        <f>IF($J489=0,0,ROUND(MAX($J489*1.4*1.5*1.6*1.6*2.2,42600000*(1.576904^(MIN($E489,123)-117)))*1,0))</f>
        <v>167041878</v>
      </c>
      <c r="U489" s="4">
        <f>$E489+11</f>
        <v>131</v>
      </c>
      <c r="V489" s="8">
        <f>IF($J489=0,0,ROUND(MAX($J489*1.4*1.5*1.6*1.6*2.2*2.715,354000000*(1.642074^(MIN($E489,123)-117)))*1,0))</f>
        <v>1567405752</v>
      </c>
      <c r="W489" s="6">
        <f>$E489+15</f>
        <v>135</v>
      </c>
      <c r="X489" s="7">
        <f>IF($J489=0,0,ROUND(MAX($J489*1.4*1.5*1.6*1.6*2.2*2.715*2.6,3540000000*(1.579646^(MIN($E489,123)-117)))*1,0))</f>
        <v>13953481417</v>
      </c>
      <c r="Y489" s="4">
        <f>$E489+17</f>
        <v>137</v>
      </c>
      <c r="Z489" s="8">
        <f>IF($J489=0,0,ROUND(MAX($J489*1.4*1.5*1.6*1.6*2.2*2.715*2.6*1.4,6020000000*(1.651178^(MIN($E489,123)-117)))*1,0))</f>
        <v>27100554178</v>
      </c>
      <c r="AA489" s="6">
        <f>$E489+19</f>
        <v>139</v>
      </c>
      <c r="AB489" s="7">
        <f>IF($J489=0,0,ROUND(MAX($J489*1.4*1.5*1.6*1.6*2.2*2.715*2.6*1.4*1.4,8430000000*(1.651435^(MIN($E489,123)-117)))*1,0))</f>
        <v>37967502359</v>
      </c>
      <c r="AC489" s="4">
        <f>$E489+21</f>
        <v>141</v>
      </c>
      <c r="AD489" s="8">
        <f>IF($J489=0,0,ROUND(MAX($J489*1.4*1.5*1.6*1.6*2.2*2.715*2.6*1.4*1.4*1.5,12600000000*(1.652953^(MIN($E489,123)-117)))*1,0))</f>
        <v>56905213910</v>
      </c>
      <c r="AE489" s="6">
        <f>$E489+24</f>
        <v>144</v>
      </c>
      <c r="AF489" s="7">
        <f>IF($J489=0,0,ROUND(MAX($J489*1.4*1.5*1.6*1.6*2.2*2.715*2.6*1.4*1.4*1.5*1.5,18900000000*(1.65331^(MIN($E489,123)-117)))*1,0))</f>
        <v>85413138816</v>
      </c>
      <c r="AG489" s="4">
        <f>$E489+27</f>
        <v>147</v>
      </c>
      <c r="AH489" s="8">
        <f>IF($J489=0,0,ROUND(MAX($J489*1.4*1.5*1.6*1.6*2.2*2.715*2.6*1.4*1.4*1.5*1.5*3.2,60500000000*(1.654288^(MIN($E489,123)-117)))*1,0))</f>
        <v>273897919220</v>
      </c>
    </row>
    <row r="490" ht="27.75" customHeight="1" spans="1:34" x14ac:dyDescent="0.25">
      <c r="A490" s="3">
        <v>500</v>
      </c>
      <c r="B490" s="3" t="s">
        <v>598</v>
      </c>
      <c r="C490" s="3" t="s">
        <v>590</v>
      </c>
      <c r="D490" s="3" t="s">
        <v>25</v>
      </c>
      <c r="E490" s="3">
        <v>117</v>
      </c>
      <c r="F490" s="3" t="s">
        <v>56</v>
      </c>
      <c r="G490" s="3" t="s">
        <v>133</v>
      </c>
      <c r="H490" s="3">
        <v>29</v>
      </c>
      <c r="I490" s="4">
        <v>117</v>
      </c>
      <c r="J490" s="5">
        <v>752000</v>
      </c>
      <c r="K490" s="6">
        <f>$E490+1</f>
        <v>118</v>
      </c>
      <c r="L490" s="7">
        <f>IF($J490=0,0,ROUND(MAX($J490*1.4,1620000*(1.497923^(MIN($E490,123)-117)))*1,0))</f>
        <v>1620000</v>
      </c>
      <c r="M490" s="4">
        <f>$E490+2</f>
        <v>119</v>
      </c>
      <c r="N490" s="8">
        <f>IF($J490=0,0,ROUND(MAX($J490*1.4*1.5,2190000*(1.580994^(MIN($E490,123)-117)))*1,0))</f>
        <v>2190000</v>
      </c>
      <c r="O490" s="6">
        <f>$E490+4</f>
        <v>121</v>
      </c>
      <c r="P490" s="7">
        <f>IF($J490=0,0,ROUND(MAX($J490*1.4*1.5*1.6,3500000*(1.57975^(MIN($E490,123)-117)))*1,0))</f>
        <v>3500000</v>
      </c>
      <c r="Q490" s="4">
        <f>$E490+6</f>
        <v>123</v>
      </c>
      <c r="R490" s="8">
        <f>IF($J490=0,0,ROUND(MAX($J490*1.4*1.5*1.6*1.6,13100000*(1.429962^(MIN($E490,123)-117)))*1,0))</f>
        <v>13100000</v>
      </c>
      <c r="S490" s="6">
        <f>$E490+8</f>
        <v>125</v>
      </c>
      <c r="T490" s="7">
        <f>IF($J490=0,0,ROUND(MAX($J490*1.4*1.5*1.6*1.6*2.2,42600000*(1.576904^(MIN($E490,123)-117)))*1,0))</f>
        <v>42600000</v>
      </c>
      <c r="U490" s="4">
        <f>$E490+11</f>
        <v>128</v>
      </c>
      <c r="V490" s="8">
        <f>IF($J490=0,0,ROUND(MAX($J490*1.4*1.5*1.6*1.6*2.2*2.715,354000000*(1.642074^(MIN($E490,123)-117)))*1,0))</f>
        <v>354000000</v>
      </c>
      <c r="W490" s="6">
        <f>$E490+15</f>
        <v>132</v>
      </c>
      <c r="X490" s="7">
        <f>IF($J490=0,0,ROUND(MAX($J490*1.4*1.5*1.6*1.6*2.2*2.715*2.6,3540000000*(1.579646^(MIN($E490,123)-117)))*1,0))</f>
        <v>3540000000</v>
      </c>
      <c r="Y490" s="4">
        <f>$E490+17</f>
        <v>134</v>
      </c>
      <c r="Z490" s="8">
        <f>IF($J490=0,0,ROUND(MAX($J490*1.4*1.5*1.6*1.6*2.2*2.715*2.6*1.4,6020000000*(1.651178^(MIN($E490,123)-117)))*1,0))</f>
        <v>6020000000</v>
      </c>
      <c r="AA490" s="6">
        <f>$E490+19</f>
        <v>136</v>
      </c>
      <c r="AB490" s="7">
        <f>IF($J490=0,0,ROUND(MAX($J490*1.4*1.5*1.6*1.6*2.2*2.715*2.6*1.4*1.4,8430000000*(1.651435^(MIN($E490,123)-117)))*1,0))</f>
        <v>8430000000</v>
      </c>
      <c r="AC490" s="4">
        <f>$E490+21</f>
        <v>138</v>
      </c>
      <c r="AD490" s="8">
        <f>IF($J490=0,0,ROUND(MAX($J490*1.4*1.5*1.6*1.6*2.2*2.715*2.6*1.4*1.4*1.5,12600000000*(1.652953^(MIN($E490,123)-117)))*1,0))</f>
        <v>12600000000</v>
      </c>
      <c r="AE490" s="6">
        <f>$E490+24</f>
        <v>141</v>
      </c>
      <c r="AF490" s="7">
        <f>IF($J490=0,0,ROUND(MAX($J490*1.4*1.5*1.6*1.6*2.2*2.715*2.6*1.4*1.4*1.5*1.5,18900000000*(1.65331^(MIN($E490,123)-117)))*1,0))</f>
        <v>18900000000</v>
      </c>
      <c r="AG490" s="4">
        <f>$E490+27</f>
        <v>144</v>
      </c>
      <c r="AH490" s="8">
        <f>IF($J490=0,0,ROUND(MAX($J490*1.4*1.5*1.6*1.6*2.2*2.715*2.6*1.4*1.4*1.5*1.5*3.2,60500000000*(1.654288^(MIN($E490,123)-117)))*1,0))</f>
        <v>60500000000</v>
      </c>
    </row>
    <row r="491" ht="27.75" customHeight="1" spans="1:34" x14ac:dyDescent="0.25">
      <c r="A491" s="3">
        <v>501</v>
      </c>
      <c r="B491" s="3" t="s">
        <v>599</v>
      </c>
      <c r="C491" s="3" t="s">
        <v>590</v>
      </c>
      <c r="D491" s="3" t="s">
        <v>93</v>
      </c>
      <c r="E491" s="3">
        <v>120</v>
      </c>
      <c r="F491" s="3" t="s">
        <v>385</v>
      </c>
      <c r="G491" s="3" t="s">
        <v>57</v>
      </c>
      <c r="H491" s="3">
        <v>30</v>
      </c>
      <c r="I491" s="4">
        <v>120</v>
      </c>
      <c r="J491" s="5">
        <v>1670000</v>
      </c>
      <c r="K491" s="6">
        <f>$E491+1</f>
        <v>121</v>
      </c>
      <c r="L491" s="7">
        <f>IF($J491=0,0,ROUND(MAX($J491*1.4,1620000*(1.497923^(MIN($E491,123)-117)))*1,0))</f>
        <v>5444819</v>
      </c>
      <c r="M491" s="4">
        <f>$E491+2</f>
        <v>122</v>
      </c>
      <c r="N491" s="8">
        <f>IF($J491=0,0,ROUND(MAX($J491*1.4*1.5,2190000*(1.580994^(MIN($E491,123)-117)))*1,0))</f>
        <v>8654356</v>
      </c>
      <c r="O491" s="6">
        <f>$E491+4</f>
        <v>124</v>
      </c>
      <c r="P491" s="7">
        <f>IF($J491=0,0,ROUND(MAX($J491*1.4*1.5*1.6,3500000*(1.57975^(MIN($E491,123)-117)))*1,0))</f>
        <v>13798540</v>
      </c>
      <c r="Q491" s="4">
        <f>$E491+6</f>
        <v>126</v>
      </c>
      <c r="R491" s="8">
        <f>IF($J491=0,0,ROUND(MAX($J491*1.4*1.5*1.6*1.6,13100000*(1.429962^(MIN($E491,123)-117)))*1,0))</f>
        <v>38304058</v>
      </c>
      <c r="S491" s="6">
        <f>$E491+8</f>
        <v>128</v>
      </c>
      <c r="T491" s="7">
        <f>IF($J491=0,0,ROUND(MAX($J491*1.4*1.5*1.6*1.6*2.2,42600000*(1.576904^(MIN($E491,123)-117)))*1,0))</f>
        <v>167041878</v>
      </c>
      <c r="U491" s="4">
        <f>$E491+11</f>
        <v>131</v>
      </c>
      <c r="V491" s="8">
        <f>IF($J491=0,0,ROUND(MAX($J491*1.4*1.5*1.6*1.6*2.2*2.715,354000000*(1.642074^(MIN($E491,123)-117)))*1,0))</f>
        <v>1567405752</v>
      </c>
      <c r="W491" s="6">
        <f>$E491+15</f>
        <v>135</v>
      </c>
      <c r="X491" s="7">
        <f>IF($J491=0,0,ROUND(MAX($J491*1.4*1.5*1.6*1.6*2.2*2.715*2.6,3540000000*(1.579646^(MIN($E491,123)-117)))*1,0))</f>
        <v>13953481417</v>
      </c>
      <c r="Y491" s="4">
        <f>$E491+17</f>
        <v>137</v>
      </c>
      <c r="Z491" s="8">
        <f>IF($J491=0,0,ROUND(MAX($J491*1.4*1.5*1.6*1.6*2.2*2.715*2.6*1.4,6020000000*(1.651178^(MIN($E491,123)-117)))*1,0))</f>
        <v>27100554178</v>
      </c>
      <c r="AA491" s="6">
        <f>$E491+19</f>
        <v>139</v>
      </c>
      <c r="AB491" s="7">
        <f>IF($J491=0,0,ROUND(MAX($J491*1.4*1.5*1.6*1.6*2.2*2.715*2.6*1.4*1.4,8430000000*(1.651435^(MIN($E491,123)-117)))*1,0))</f>
        <v>37967502359</v>
      </c>
      <c r="AC491" s="4">
        <f>$E491+21</f>
        <v>141</v>
      </c>
      <c r="AD491" s="8">
        <f>IF($J491=0,0,ROUND(MAX($J491*1.4*1.5*1.6*1.6*2.2*2.715*2.6*1.4*1.4*1.5,12600000000*(1.652953^(MIN($E491,123)-117)))*1,0))</f>
        <v>56905213910</v>
      </c>
      <c r="AE491" s="6">
        <f>$E491+24</f>
        <v>144</v>
      </c>
      <c r="AF491" s="7">
        <f>IF($J491=0,0,ROUND(MAX($J491*1.4*1.5*1.6*1.6*2.2*2.715*2.6*1.4*1.4*1.5*1.5,18900000000*(1.65331^(MIN($E491,123)-117)))*1,0))</f>
        <v>85413138816</v>
      </c>
      <c r="AG491" s="4">
        <f>$E491+27</f>
        <v>147</v>
      </c>
      <c r="AH491" s="8">
        <f>IF($J491=0,0,ROUND(MAX($J491*1.4*1.5*1.6*1.6*2.2*2.715*2.6*1.4*1.4*1.5*1.5*3.2,60500000000*(1.654288^(MIN($E491,123)-117)))*1,0))</f>
        <v>273897919220</v>
      </c>
    </row>
    <row r="492" ht="27.75" customHeight="1" spans="1:34" x14ac:dyDescent="0.25">
      <c r="A492" s="3">
        <v>502</v>
      </c>
      <c r="B492" s="3" t="s">
        <v>600</v>
      </c>
      <c r="C492" s="3" t="s">
        <v>590</v>
      </c>
      <c r="D492" s="3" t="s">
        <v>33</v>
      </c>
      <c r="E492" s="3">
        <v>120</v>
      </c>
      <c r="F492" s="3" t="s">
        <v>56</v>
      </c>
      <c r="G492" s="3" t="s">
        <v>242</v>
      </c>
      <c r="H492" s="3">
        <v>30</v>
      </c>
      <c r="I492" s="4">
        <v>120</v>
      </c>
      <c r="J492" s="5">
        <v>1700000</v>
      </c>
      <c r="K492" s="6">
        <f>$E492+1</f>
        <v>121</v>
      </c>
      <c r="L492" s="7">
        <f>IF($J492=0,0,ROUND(MAX($J492*1.4,1620000*(1.497923^(MIN($E492,123)-117)))*1,0))</f>
        <v>5444819</v>
      </c>
      <c r="M492" s="4">
        <f>$E492+2</f>
        <v>122</v>
      </c>
      <c r="N492" s="8">
        <f>IF($J492=0,0,ROUND(MAX($J492*1.4*1.5,2190000*(1.580994^(MIN($E492,123)-117)))*1,0))</f>
        <v>8654356</v>
      </c>
      <c r="O492" s="6">
        <f>$E492+4</f>
        <v>124</v>
      </c>
      <c r="P492" s="7">
        <f>IF($J492=0,0,ROUND(MAX($J492*1.4*1.5*1.6,3500000*(1.57975^(MIN($E492,123)-117)))*1,0))</f>
        <v>13798540</v>
      </c>
      <c r="Q492" s="4">
        <f>$E492+6</f>
        <v>126</v>
      </c>
      <c r="R492" s="8">
        <f>IF($J492=0,0,ROUND(MAX($J492*1.4*1.5*1.6*1.6,13100000*(1.429962^(MIN($E492,123)-117)))*1,0))</f>
        <v>38304058</v>
      </c>
      <c r="S492" s="6">
        <f>$E492+8</f>
        <v>128</v>
      </c>
      <c r="T492" s="7">
        <f>IF($J492=0,0,ROUND(MAX($J492*1.4*1.5*1.6*1.6*2.2,42600000*(1.576904^(MIN($E492,123)-117)))*1,0))</f>
        <v>167041878</v>
      </c>
      <c r="U492" s="4">
        <f>$E492+11</f>
        <v>131</v>
      </c>
      <c r="V492" s="8">
        <f>IF($J492=0,0,ROUND(MAX($J492*1.4*1.5*1.6*1.6*2.2*2.715,354000000*(1.642074^(MIN($E492,123)-117)))*1,0))</f>
        <v>1567405752</v>
      </c>
      <c r="W492" s="6">
        <f>$E492+15</f>
        <v>135</v>
      </c>
      <c r="X492" s="7">
        <f>IF($J492=0,0,ROUND(MAX($J492*1.4*1.5*1.6*1.6*2.2*2.715*2.6,3540000000*(1.579646^(MIN($E492,123)-117)))*1,0))</f>
        <v>13953481417</v>
      </c>
      <c r="Y492" s="4">
        <f>$E492+17</f>
        <v>137</v>
      </c>
      <c r="Z492" s="8">
        <f>IF($J492=0,0,ROUND(MAX($J492*1.4*1.5*1.6*1.6*2.2*2.715*2.6*1.4,6020000000*(1.651178^(MIN($E492,123)-117)))*1,0))</f>
        <v>27100554178</v>
      </c>
      <c r="AA492" s="6">
        <f>$E492+19</f>
        <v>139</v>
      </c>
      <c r="AB492" s="7">
        <f>IF($J492=0,0,ROUND(MAX($J492*1.4*1.5*1.6*1.6*2.2*2.715*2.6*1.4*1.4,8430000000*(1.651435^(MIN($E492,123)-117)))*1,0))</f>
        <v>37967502359</v>
      </c>
      <c r="AC492" s="4">
        <f>$E492+21</f>
        <v>141</v>
      </c>
      <c r="AD492" s="8">
        <f>IF($J492=0,0,ROUND(MAX($J492*1.4*1.5*1.6*1.6*2.2*2.715*2.6*1.4*1.4*1.5,12600000000*(1.652953^(MIN($E492,123)-117)))*1,0))</f>
        <v>56905213910</v>
      </c>
      <c r="AE492" s="6">
        <f>$E492+24</f>
        <v>144</v>
      </c>
      <c r="AF492" s="7">
        <f>IF($J492=0,0,ROUND(MAX($J492*1.4*1.5*1.6*1.6*2.2*2.715*2.6*1.4*1.4*1.5*1.5,18900000000*(1.65331^(MIN($E492,123)-117)))*1,0))</f>
        <v>85413138816</v>
      </c>
      <c r="AG492" s="4">
        <f>$E492+27</f>
        <v>147</v>
      </c>
      <c r="AH492" s="8">
        <f>IF($J492=0,0,ROUND(MAX($J492*1.4*1.5*1.6*1.6*2.2*2.715*2.6*1.4*1.4*1.5*1.5*3.2,60500000000*(1.654288^(MIN($E492,123)-117)))*1,0))</f>
        <v>273897919220</v>
      </c>
    </row>
    <row r="493" ht="27.75" customHeight="1" spans="1:34" x14ac:dyDescent="0.25">
      <c r="A493" s="3">
        <v>503</v>
      </c>
      <c r="B493" s="3" t="s">
        <v>601</v>
      </c>
      <c r="C493" s="3" t="s">
        <v>590</v>
      </c>
      <c r="D493" s="3" t="s">
        <v>33</v>
      </c>
      <c r="E493" s="3">
        <v>120</v>
      </c>
      <c r="F493" s="3" t="s">
        <v>281</v>
      </c>
      <c r="G493" s="3" t="s">
        <v>27</v>
      </c>
      <c r="H493" s="3">
        <v>29</v>
      </c>
      <c r="I493" s="4">
        <v>120</v>
      </c>
      <c r="J493" s="5">
        <v>1730000</v>
      </c>
      <c r="K493" s="6">
        <f>$E493+1</f>
        <v>121</v>
      </c>
      <c r="L493" s="7">
        <f>IF($J493=0,0,ROUND(MAX($J493*1.4,1620000*(1.497923^(MIN($E493,123)-117)))*1,0))</f>
        <v>5444819</v>
      </c>
      <c r="M493" s="4">
        <f>$E493+2</f>
        <v>122</v>
      </c>
      <c r="N493" s="8">
        <f>IF($J493=0,0,ROUND(MAX($J493*1.4*1.5,2190000*(1.580994^(MIN($E493,123)-117)))*1,0))</f>
        <v>8654356</v>
      </c>
      <c r="O493" s="6">
        <f>$E493+4</f>
        <v>124</v>
      </c>
      <c r="P493" s="7">
        <f>IF($J493=0,0,ROUND(MAX($J493*1.4*1.5*1.6,3500000*(1.57975^(MIN($E493,123)-117)))*1,0))</f>
        <v>13798540</v>
      </c>
      <c r="Q493" s="4">
        <f>$E493+6</f>
        <v>126</v>
      </c>
      <c r="R493" s="8">
        <f>IF($J493=0,0,ROUND(MAX($J493*1.4*1.5*1.6*1.6,13100000*(1.429962^(MIN($E493,123)-117)))*1,0))</f>
        <v>38304058</v>
      </c>
      <c r="S493" s="6">
        <f>$E493+8</f>
        <v>128</v>
      </c>
      <c r="T493" s="7">
        <f>IF($J493=0,0,ROUND(MAX($J493*1.4*1.5*1.6*1.6*2.2,42600000*(1.576904^(MIN($E493,123)-117)))*1,0))</f>
        <v>167041878</v>
      </c>
      <c r="U493" s="4">
        <f>$E493+11</f>
        <v>131</v>
      </c>
      <c r="V493" s="8">
        <f>IF($J493=0,0,ROUND(MAX($J493*1.4*1.5*1.6*1.6*2.2*2.715,354000000*(1.642074^(MIN($E493,123)-117)))*1,0))</f>
        <v>1567405752</v>
      </c>
      <c r="W493" s="6">
        <f>$E493+15</f>
        <v>135</v>
      </c>
      <c r="X493" s="7">
        <f>IF($J493=0,0,ROUND(MAX($J493*1.4*1.5*1.6*1.6*2.2*2.715*2.6,3540000000*(1.579646^(MIN($E493,123)-117)))*1,0))</f>
        <v>13953481417</v>
      </c>
      <c r="Y493" s="4">
        <f>$E493+17</f>
        <v>137</v>
      </c>
      <c r="Z493" s="8">
        <f>IF($J493=0,0,ROUND(MAX($J493*1.4*1.5*1.6*1.6*2.2*2.715*2.6*1.4,6020000000*(1.651178^(MIN($E493,123)-117)))*1,0))</f>
        <v>27100554178</v>
      </c>
      <c r="AA493" s="6">
        <f>$E493+19</f>
        <v>139</v>
      </c>
      <c r="AB493" s="7">
        <f>IF($J493=0,0,ROUND(MAX($J493*1.4*1.5*1.6*1.6*2.2*2.715*2.6*1.4*1.4,8430000000*(1.651435^(MIN($E493,123)-117)))*1,0))</f>
        <v>37967502359</v>
      </c>
      <c r="AC493" s="4">
        <f>$E493+21</f>
        <v>141</v>
      </c>
      <c r="AD493" s="8">
        <f>IF($J493=0,0,ROUND(MAX($J493*1.4*1.5*1.6*1.6*2.2*2.715*2.6*1.4*1.4*1.5,12600000000*(1.652953^(MIN($E493,123)-117)))*1,0))</f>
        <v>56905213910</v>
      </c>
      <c r="AE493" s="6">
        <f>$E493+24</f>
        <v>144</v>
      </c>
      <c r="AF493" s="7">
        <f>IF($J493=0,0,ROUND(MAX($J493*1.4*1.5*1.6*1.6*2.2*2.715*2.6*1.4*1.4*1.5*1.5,18900000000*(1.65331^(MIN($E493,123)-117)))*1,0))</f>
        <v>85413138816</v>
      </c>
      <c r="AG493" s="4">
        <f>$E493+27</f>
        <v>147</v>
      </c>
      <c r="AH493" s="8">
        <f>IF($J493=0,0,ROUND(MAX($J493*1.4*1.5*1.6*1.6*2.2*2.715*2.6*1.4*1.4*1.5*1.5*3.2,60500000000*(1.654288^(MIN($E493,123)-117)))*1,0))</f>
        <v>273897919220</v>
      </c>
    </row>
    <row r="494" ht="27.75" customHeight="1" spans="1:34" x14ac:dyDescent="0.25">
      <c r="A494" s="3">
        <v>504</v>
      </c>
      <c r="B494" s="3" t="s">
        <v>602</v>
      </c>
      <c r="C494" s="3" t="s">
        <v>590</v>
      </c>
      <c r="D494" s="3" t="s">
        <v>33</v>
      </c>
      <c r="E494" s="3">
        <v>120</v>
      </c>
      <c r="F494" s="3" t="s">
        <v>108</v>
      </c>
      <c r="G494" s="3" t="s">
        <v>72</v>
      </c>
      <c r="H494" s="3">
        <v>30</v>
      </c>
      <c r="I494" s="4">
        <v>120</v>
      </c>
      <c r="J494" s="5">
        <v>1810000</v>
      </c>
      <c r="K494" s="6">
        <f>$E494+1</f>
        <v>121</v>
      </c>
      <c r="L494" s="7">
        <f>IF($J494=0,0,ROUND(MAX($J494*1.4,1620000*(1.497923^(MIN($E494,123)-117)))*1,0))</f>
        <v>5444819</v>
      </c>
      <c r="M494" s="4">
        <f>$E494+2</f>
        <v>122</v>
      </c>
      <c r="N494" s="8">
        <f>IF($J494=0,0,ROUND(MAX($J494*1.4*1.5,2190000*(1.580994^(MIN($E494,123)-117)))*1,0))</f>
        <v>8654356</v>
      </c>
      <c r="O494" s="6">
        <f>$E494+4</f>
        <v>124</v>
      </c>
      <c r="P494" s="7">
        <f>IF($J494=0,0,ROUND(MAX($J494*1.4*1.5*1.6,3500000*(1.57975^(MIN($E494,123)-117)))*1,0))</f>
        <v>13798540</v>
      </c>
      <c r="Q494" s="4">
        <f>$E494+6</f>
        <v>126</v>
      </c>
      <c r="R494" s="8">
        <f>IF($J494=0,0,ROUND(MAX($J494*1.4*1.5*1.6*1.6,13100000*(1.429962^(MIN($E494,123)-117)))*1,0))</f>
        <v>38304058</v>
      </c>
      <c r="S494" s="6">
        <f>$E494+8</f>
        <v>128</v>
      </c>
      <c r="T494" s="7">
        <f>IF($J494=0,0,ROUND(MAX($J494*1.4*1.5*1.6*1.6*2.2,42600000*(1.576904^(MIN($E494,123)-117)))*1,0))</f>
        <v>167041878</v>
      </c>
      <c r="U494" s="4">
        <f>$E494+11</f>
        <v>131</v>
      </c>
      <c r="V494" s="8">
        <f>IF($J494=0,0,ROUND(MAX($J494*1.4*1.5*1.6*1.6*2.2*2.715,354000000*(1.642074^(MIN($E494,123)-117)))*1,0))</f>
        <v>1567405752</v>
      </c>
      <c r="W494" s="6">
        <f>$E494+15</f>
        <v>135</v>
      </c>
      <c r="X494" s="7">
        <f>IF($J494=0,0,ROUND(MAX($J494*1.4*1.5*1.6*1.6*2.2*2.715*2.6,3540000000*(1.579646^(MIN($E494,123)-117)))*1,0))</f>
        <v>13953481417</v>
      </c>
      <c r="Y494" s="4">
        <f>$E494+17</f>
        <v>137</v>
      </c>
      <c r="Z494" s="8">
        <f>IF($J494=0,0,ROUND(MAX($J494*1.4*1.5*1.6*1.6*2.2*2.715*2.6*1.4,6020000000*(1.651178^(MIN($E494,123)-117)))*1,0))</f>
        <v>27100554178</v>
      </c>
      <c r="AA494" s="6">
        <f>$E494+19</f>
        <v>139</v>
      </c>
      <c r="AB494" s="7">
        <f>IF($J494=0,0,ROUND(MAX($J494*1.4*1.5*1.6*1.6*2.2*2.715*2.6*1.4*1.4,8430000000*(1.651435^(MIN($E494,123)-117)))*1,0))</f>
        <v>37967502359</v>
      </c>
      <c r="AC494" s="4">
        <f>$E494+21</f>
        <v>141</v>
      </c>
      <c r="AD494" s="8">
        <f>IF($J494=0,0,ROUND(MAX($J494*1.4*1.5*1.6*1.6*2.2*2.715*2.6*1.4*1.4*1.5,12600000000*(1.652953^(MIN($E494,123)-117)))*1,0))</f>
        <v>56905213910</v>
      </c>
      <c r="AE494" s="6">
        <f>$E494+24</f>
        <v>144</v>
      </c>
      <c r="AF494" s="7">
        <f>IF($J494=0,0,ROUND(MAX($J494*1.4*1.5*1.6*1.6*2.2*2.715*2.6*1.4*1.4*1.5*1.5,18900000000*(1.65331^(MIN($E494,123)-117)))*1,0))</f>
        <v>85413138816</v>
      </c>
      <c r="AG494" s="4">
        <f>$E494+27</f>
        <v>147</v>
      </c>
      <c r="AH494" s="8">
        <f>IF($J494=0,0,ROUND(MAX($J494*1.4*1.5*1.6*1.6*2.2*2.715*2.6*1.4*1.4*1.5*1.5*3.2,60500000000*(1.654288^(MIN($E494,123)-117)))*1,0))</f>
        <v>273897919220</v>
      </c>
    </row>
    <row r="495" ht="27.75" customHeight="1" spans="1:34" x14ac:dyDescent="0.25">
      <c r="A495" s="3">
        <v>505</v>
      </c>
      <c r="B495" s="3" t="s">
        <v>603</v>
      </c>
      <c r="C495" s="3" t="s">
        <v>590</v>
      </c>
      <c r="D495" s="3" t="s">
        <v>90</v>
      </c>
      <c r="E495" s="3">
        <v>120</v>
      </c>
      <c r="F495" s="3" t="s">
        <v>71</v>
      </c>
      <c r="G495" s="3" t="s">
        <v>462</v>
      </c>
      <c r="H495" s="3">
        <v>30</v>
      </c>
      <c r="I495" s="4">
        <v>120</v>
      </c>
      <c r="J495" s="5">
        <v>1680000</v>
      </c>
      <c r="K495" s="6">
        <f>$E495+1</f>
        <v>121</v>
      </c>
      <c r="L495" s="7">
        <f>IF($J495=0,0,ROUND(MAX($J495*1.4,1620000*(1.497923^(MIN($E495,123)-117)))*1,0))</f>
        <v>5444819</v>
      </c>
      <c r="M495" s="4">
        <f>$E495+2</f>
        <v>122</v>
      </c>
      <c r="N495" s="8">
        <f>IF($J495=0,0,ROUND(MAX($J495*1.4*1.5,2190000*(1.580994^(MIN($E495,123)-117)))*1,0))</f>
        <v>8654356</v>
      </c>
      <c r="O495" s="6">
        <f>$E495+4</f>
        <v>124</v>
      </c>
      <c r="P495" s="7">
        <f>IF($J495=0,0,ROUND(MAX($J495*1.4*1.5*1.6,3500000*(1.57975^(MIN($E495,123)-117)))*1,0))</f>
        <v>13798540</v>
      </c>
      <c r="Q495" s="4">
        <f>$E495+6</f>
        <v>126</v>
      </c>
      <c r="R495" s="8">
        <f>IF($J495=0,0,ROUND(MAX($J495*1.4*1.5*1.6*1.6,13100000*(1.429962^(MIN($E495,123)-117)))*1,0))</f>
        <v>38304058</v>
      </c>
      <c r="S495" s="6">
        <f>$E495+8</f>
        <v>128</v>
      </c>
      <c r="T495" s="7">
        <f>IF($J495=0,0,ROUND(MAX($J495*1.4*1.5*1.6*1.6*2.2,42600000*(1.576904^(MIN($E495,123)-117)))*1,0))</f>
        <v>167041878</v>
      </c>
      <c r="U495" s="4">
        <f>$E495+11</f>
        <v>131</v>
      </c>
      <c r="V495" s="8">
        <f>IF($J495=0,0,ROUND(MAX($J495*1.4*1.5*1.6*1.6*2.2*2.715,354000000*(1.642074^(MIN($E495,123)-117)))*1,0))</f>
        <v>1567405752</v>
      </c>
      <c r="W495" s="6">
        <f>$E495+15</f>
        <v>135</v>
      </c>
      <c r="X495" s="7">
        <f>IF($J495=0,0,ROUND(MAX($J495*1.4*1.5*1.6*1.6*2.2*2.715*2.6,3540000000*(1.579646^(MIN($E495,123)-117)))*1,0))</f>
        <v>13953481417</v>
      </c>
      <c r="Y495" s="4">
        <f>$E495+17</f>
        <v>137</v>
      </c>
      <c r="Z495" s="8">
        <f>IF($J495=0,0,ROUND(MAX($J495*1.4*1.5*1.6*1.6*2.2*2.715*2.6*1.4,6020000000*(1.651178^(MIN($E495,123)-117)))*1,0))</f>
        <v>27100554178</v>
      </c>
      <c r="AA495" s="6">
        <f>$E495+19</f>
        <v>139</v>
      </c>
      <c r="AB495" s="7">
        <f>IF($J495=0,0,ROUND(MAX($J495*1.4*1.5*1.6*1.6*2.2*2.715*2.6*1.4*1.4,8430000000*(1.651435^(MIN($E495,123)-117)))*1,0))</f>
        <v>37967502359</v>
      </c>
      <c r="AC495" s="4">
        <f>$E495+21</f>
        <v>141</v>
      </c>
      <c r="AD495" s="8">
        <f>IF($J495=0,0,ROUND(MAX($J495*1.4*1.5*1.6*1.6*2.2*2.715*2.6*1.4*1.4*1.5,12600000000*(1.652953^(MIN($E495,123)-117)))*1,0))</f>
        <v>56905213910</v>
      </c>
      <c r="AE495" s="6">
        <f>$E495+24</f>
        <v>144</v>
      </c>
      <c r="AF495" s="7">
        <f>IF($J495=0,0,ROUND(MAX($J495*1.4*1.5*1.6*1.6*2.2*2.715*2.6*1.4*1.4*1.5*1.5,18900000000*(1.65331^(MIN($E495,123)-117)))*1,0))</f>
        <v>85413138816</v>
      </c>
      <c r="AG495" s="4">
        <f>$E495+27</f>
        <v>147</v>
      </c>
      <c r="AH495" s="8">
        <f>IF($J495=0,0,ROUND(MAX($J495*1.4*1.5*1.6*1.6*2.2*2.715*2.6*1.4*1.4*1.5*1.5*3.2,60500000000*(1.654288^(MIN($E495,123)-117)))*1,0))</f>
        <v>273897919220</v>
      </c>
    </row>
    <row r="496" ht="27.75" customHeight="1" spans="1:34" x14ac:dyDescent="0.25">
      <c r="A496" s="3">
        <v>506</v>
      </c>
      <c r="B496" s="3" t="s">
        <v>604</v>
      </c>
      <c r="C496" s="3" t="s">
        <v>590</v>
      </c>
      <c r="D496" s="3" t="s">
        <v>40</v>
      </c>
      <c r="E496" s="3">
        <v>120</v>
      </c>
      <c r="F496" s="3" t="s">
        <v>605</v>
      </c>
      <c r="G496" s="3" t="s">
        <v>35</v>
      </c>
      <c r="H496" s="3">
        <v>31</v>
      </c>
      <c r="I496" s="4">
        <v>120</v>
      </c>
      <c r="J496" s="5">
        <v>1400000</v>
      </c>
      <c r="K496" s="6">
        <f>$E496+1</f>
        <v>121</v>
      </c>
      <c r="L496" s="7">
        <f>IF($J496=0,0,ROUND(MAX($J496*1.4,1620000*(1.497923^(MIN($E496,123)-117)))*1,0))</f>
        <v>5444819</v>
      </c>
      <c r="M496" s="4">
        <f>$E496+2</f>
        <v>122</v>
      </c>
      <c r="N496" s="8">
        <f>IF($J496=0,0,ROUND(MAX($J496*1.4*1.5,2190000*(1.580994^(MIN($E496,123)-117)))*1,0))</f>
        <v>8654356</v>
      </c>
      <c r="O496" s="6">
        <f>$E496+4</f>
        <v>124</v>
      </c>
      <c r="P496" s="7">
        <f>IF($J496=0,0,ROUND(MAX($J496*1.4*1.5*1.6,3500000*(1.57975^(MIN($E496,123)-117)))*1,0))</f>
        <v>13798540</v>
      </c>
      <c r="Q496" s="4">
        <f>$E496+6</f>
        <v>126</v>
      </c>
      <c r="R496" s="8">
        <f>IF($J496=0,0,ROUND(MAX($J496*1.4*1.5*1.6*1.6,13100000*(1.429962^(MIN($E496,123)-117)))*1,0))</f>
        <v>38304058</v>
      </c>
      <c r="S496" s="6">
        <f>$E496+8</f>
        <v>128</v>
      </c>
      <c r="T496" s="7">
        <f>IF($J496=0,0,ROUND(MAX($J496*1.4*1.5*1.6*1.6*2.2,42600000*(1.576904^(MIN($E496,123)-117)))*1,0))</f>
        <v>167041878</v>
      </c>
      <c r="U496" s="4">
        <f>$E496+11</f>
        <v>131</v>
      </c>
      <c r="V496" s="8">
        <f>IF($J496=0,0,ROUND(MAX($J496*1.4*1.5*1.6*1.6*2.2*2.715,354000000*(1.642074^(MIN($E496,123)-117)))*1,0))</f>
        <v>1567405752</v>
      </c>
      <c r="W496" s="6">
        <f>$E496+15</f>
        <v>135</v>
      </c>
      <c r="X496" s="7">
        <f>IF($J496=0,0,ROUND(MAX($J496*1.4*1.5*1.6*1.6*2.2*2.715*2.6,3540000000*(1.579646^(MIN($E496,123)-117)))*1,0))</f>
        <v>13953481417</v>
      </c>
      <c r="Y496" s="4">
        <f>$E496+17</f>
        <v>137</v>
      </c>
      <c r="Z496" s="8">
        <f>IF($J496=0,0,ROUND(MAX($J496*1.4*1.5*1.6*1.6*2.2*2.715*2.6*1.4,6020000000*(1.651178^(MIN($E496,123)-117)))*1,0))</f>
        <v>27100554178</v>
      </c>
      <c r="AA496" s="6">
        <f>$E496+19</f>
        <v>139</v>
      </c>
      <c r="AB496" s="7">
        <f>IF($J496=0,0,ROUND(MAX($J496*1.4*1.5*1.6*1.6*2.2*2.715*2.6*1.4*1.4,8430000000*(1.651435^(MIN($E496,123)-117)))*1,0))</f>
        <v>37967502359</v>
      </c>
      <c r="AC496" s="4">
        <f>$E496+21</f>
        <v>141</v>
      </c>
      <c r="AD496" s="8">
        <f>IF($J496=0,0,ROUND(MAX($J496*1.4*1.5*1.6*1.6*2.2*2.715*2.6*1.4*1.4*1.5,12600000000*(1.652953^(MIN($E496,123)-117)))*1,0))</f>
        <v>56905213910</v>
      </c>
      <c r="AE496" s="6">
        <f>$E496+24</f>
        <v>144</v>
      </c>
      <c r="AF496" s="7">
        <f>IF($J496=0,0,ROUND(MAX($J496*1.4*1.5*1.6*1.6*2.2*2.715*2.6*1.4*1.4*1.5*1.5,18900000000*(1.65331^(MIN($E496,123)-117)))*1,0))</f>
        <v>85413138816</v>
      </c>
      <c r="AG496" s="4">
        <f>$E496+27</f>
        <v>147</v>
      </c>
      <c r="AH496" s="8">
        <f>IF($J496=0,0,ROUND(MAX($J496*1.4*1.5*1.6*1.6*2.2*2.715*2.6*1.4*1.4*1.5*1.5*3.2,60500000000*(1.654288^(MIN($E496,123)-117)))*1,0))</f>
        <v>273897919220</v>
      </c>
    </row>
    <row r="497" ht="27.75" customHeight="1" spans="1:34" x14ac:dyDescent="0.25">
      <c r="A497" s="3">
        <v>507</v>
      </c>
      <c r="B497" s="3" t="s">
        <v>606</v>
      </c>
      <c r="C497" s="3" t="s">
        <v>590</v>
      </c>
      <c r="D497" s="3" t="s">
        <v>33</v>
      </c>
      <c r="E497" s="3">
        <v>120</v>
      </c>
      <c r="F497" s="3" t="s">
        <v>59</v>
      </c>
      <c r="G497" s="3" t="s">
        <v>98</v>
      </c>
      <c r="H497" s="3">
        <v>30</v>
      </c>
      <c r="I497" s="4">
        <v>120</v>
      </c>
      <c r="J497" s="5">
        <v>1750000</v>
      </c>
      <c r="K497" s="6">
        <f>$E497+1</f>
        <v>121</v>
      </c>
      <c r="L497" s="7">
        <f>IF($J497=0,0,ROUND(MAX($J497*1.4,1620000*(1.497923^(MIN($E497,123)-117)))*1,0))</f>
        <v>5444819</v>
      </c>
      <c r="M497" s="4">
        <f>$E497+2</f>
        <v>122</v>
      </c>
      <c r="N497" s="8">
        <f>IF($J497=0,0,ROUND(MAX($J497*1.4*1.5,2190000*(1.580994^(MIN($E497,123)-117)))*1,0))</f>
        <v>8654356</v>
      </c>
      <c r="O497" s="6">
        <f>$E497+4</f>
        <v>124</v>
      </c>
      <c r="P497" s="7">
        <f>IF($J497=0,0,ROUND(MAX($J497*1.4*1.5*1.6,3500000*(1.57975^(MIN($E497,123)-117)))*1,0))</f>
        <v>13798540</v>
      </c>
      <c r="Q497" s="4">
        <f>$E497+6</f>
        <v>126</v>
      </c>
      <c r="R497" s="8">
        <f>IF($J497=0,0,ROUND(MAX($J497*1.4*1.5*1.6*1.6,13100000*(1.429962^(MIN($E497,123)-117)))*1,0))</f>
        <v>38304058</v>
      </c>
      <c r="S497" s="6">
        <f>$E497+8</f>
        <v>128</v>
      </c>
      <c r="T497" s="7">
        <f>IF($J497=0,0,ROUND(MAX($J497*1.4*1.5*1.6*1.6*2.2,42600000*(1.576904^(MIN($E497,123)-117)))*1,0))</f>
        <v>167041878</v>
      </c>
      <c r="U497" s="4">
        <f>$E497+11</f>
        <v>131</v>
      </c>
      <c r="V497" s="8">
        <f>IF($J497=0,0,ROUND(MAX($J497*1.4*1.5*1.6*1.6*2.2*2.715,354000000*(1.642074^(MIN($E497,123)-117)))*1,0))</f>
        <v>1567405752</v>
      </c>
      <c r="W497" s="6">
        <f>$E497+15</f>
        <v>135</v>
      </c>
      <c r="X497" s="7">
        <f>IF($J497=0,0,ROUND(MAX($J497*1.4*1.5*1.6*1.6*2.2*2.715*2.6,3540000000*(1.579646^(MIN($E497,123)-117)))*1,0))</f>
        <v>13953481417</v>
      </c>
      <c r="Y497" s="4">
        <f>$E497+17</f>
        <v>137</v>
      </c>
      <c r="Z497" s="8">
        <f>IF($J497=0,0,ROUND(MAX($J497*1.4*1.5*1.6*1.6*2.2*2.715*2.6*1.4,6020000000*(1.651178^(MIN($E497,123)-117)))*1,0))</f>
        <v>27100554178</v>
      </c>
      <c r="AA497" s="6">
        <f>$E497+19</f>
        <v>139</v>
      </c>
      <c r="AB497" s="7">
        <f>IF($J497=0,0,ROUND(MAX($J497*1.4*1.5*1.6*1.6*2.2*2.715*2.6*1.4*1.4,8430000000*(1.651435^(MIN($E497,123)-117)))*1,0))</f>
        <v>37967502359</v>
      </c>
      <c r="AC497" s="4">
        <f>$E497+21</f>
        <v>141</v>
      </c>
      <c r="AD497" s="8">
        <f>IF($J497=0,0,ROUND(MAX($J497*1.4*1.5*1.6*1.6*2.2*2.715*2.6*1.4*1.4*1.5,12600000000*(1.652953^(MIN($E497,123)-117)))*1,0))</f>
        <v>56905213910</v>
      </c>
      <c r="AE497" s="6">
        <f>$E497+24</f>
        <v>144</v>
      </c>
      <c r="AF497" s="7">
        <f>IF($J497=0,0,ROUND(MAX($J497*1.4*1.5*1.6*1.6*2.2*2.715*2.6*1.4*1.4*1.5*1.5,18900000000*(1.65331^(MIN($E497,123)-117)))*1,0))</f>
        <v>85413138816</v>
      </c>
      <c r="AG497" s="4">
        <f>$E497+27</f>
        <v>147</v>
      </c>
      <c r="AH497" s="8">
        <f>IF($J497=0,0,ROUND(MAX($J497*1.4*1.5*1.6*1.6*2.2*2.715*2.6*1.4*1.4*1.5*1.5*3.2,60500000000*(1.654288^(MIN($E497,123)-117)))*1,0))</f>
        <v>273897919220</v>
      </c>
    </row>
    <row r="498" ht="27.75" customHeight="1" spans="1:34" x14ac:dyDescent="0.25">
      <c r="A498" s="3">
        <v>508</v>
      </c>
      <c r="B498" s="3" t="s">
        <v>196</v>
      </c>
      <c r="C498" s="3" t="s">
        <v>590</v>
      </c>
      <c r="D498" s="3" t="s">
        <v>25</v>
      </c>
      <c r="E498" s="3">
        <v>119</v>
      </c>
      <c r="F498" s="3" t="s">
        <v>59</v>
      </c>
      <c r="G498" s="3" t="s">
        <v>51</v>
      </c>
      <c r="H498" s="3">
        <v>30</v>
      </c>
      <c r="I498" s="4">
        <v>119</v>
      </c>
      <c r="J498" s="5">
        <v>1620000</v>
      </c>
      <c r="K498" s="6">
        <f>$E498+1</f>
        <v>120</v>
      </c>
      <c r="L498" s="7">
        <f>IF($J498=0,0,ROUND(MAX($J498*1.4,1620000*(1.497923^(MIN($E498,123)-117)))*1,0))</f>
        <v>3634913</v>
      </c>
      <c r="M498" s="4">
        <f>$E498+2</f>
        <v>121</v>
      </c>
      <c r="N498" s="8">
        <f>IF($J498=0,0,ROUND(MAX($J498*1.4*1.5,2190000*(1.580994^(MIN($E498,123)-117)))*1,0))</f>
        <v>5473997</v>
      </c>
      <c r="O498" s="6">
        <f>$E498+4</f>
        <v>123</v>
      </c>
      <c r="P498" s="7">
        <f>IF($J498=0,0,ROUND(MAX($J498*1.4*1.5*1.6,3500000*(1.57975^(MIN($E498,123)-117)))*1,0))</f>
        <v>8734635</v>
      </c>
      <c r="Q498" s="4">
        <f>$E498+6</f>
        <v>125</v>
      </c>
      <c r="R498" s="8">
        <f>IF($J498=0,0,ROUND(MAX($J498*1.4*1.5*1.6*1.6,13100000*(1.429962^(MIN($E498,123)-117)))*1,0))</f>
        <v>26786766</v>
      </c>
      <c r="S498" s="6">
        <f>$E498+8</f>
        <v>127</v>
      </c>
      <c r="T498" s="7">
        <f>IF($J498=0,0,ROUND(MAX($J498*1.4*1.5*1.6*1.6*2.2,42600000*(1.576904^(MIN($E498,123)-117)))*1,0))</f>
        <v>105930277</v>
      </c>
      <c r="U498" s="4">
        <f>$E498+11</f>
        <v>130</v>
      </c>
      <c r="V498" s="8">
        <f>IF($J498=0,0,ROUND(MAX($J498*1.4*1.5*1.6*1.6*2.2*2.715,354000000*(1.642074^(MIN($E498,123)-117)))*1,0))</f>
        <v>954528086</v>
      </c>
      <c r="W498" s="6">
        <f>$E498+15</f>
        <v>134</v>
      </c>
      <c r="X498" s="7">
        <f>IF($J498=0,0,ROUND(MAX($J498*1.4*1.5*1.6*1.6*2.2*2.715*2.6,3540000000*(1.579646^(MIN($E498,123)-117)))*1,0))</f>
        <v>8833296458</v>
      </c>
      <c r="Y498" s="4">
        <f>$E498+17</f>
        <v>136</v>
      </c>
      <c r="Z498" s="8">
        <f>IF($J498=0,0,ROUND(MAX($J498*1.4*1.5*1.6*1.6*2.2*2.715*2.6*1.4,6020000000*(1.651178^(MIN($E498,123)-117)))*1,0))</f>
        <v>16412860502</v>
      </c>
      <c r="AA498" s="6">
        <f>$E498+19</f>
        <v>138</v>
      </c>
      <c r="AB498" s="7">
        <f>IF($J498=0,0,ROUND(MAX($J498*1.4*1.5*1.6*1.6*2.2*2.715*2.6*1.4*1.4,8430000000*(1.651435^(MIN($E498,123)-117)))*1,0))</f>
        <v>22990612624</v>
      </c>
      <c r="AC498" s="4">
        <f>$E498+21</f>
        <v>140</v>
      </c>
      <c r="AD498" s="8">
        <f>IF($J498=0,0,ROUND(MAX($J498*1.4*1.5*1.6*1.6*2.2*2.715*2.6*1.4*1.4*1.5,12600000000*(1.652953^(MIN($E498,123)-117)))*1,0))</f>
        <v>34426395615</v>
      </c>
      <c r="AE498" s="6">
        <f>$E498+24</f>
        <v>143</v>
      </c>
      <c r="AF498" s="7">
        <f>IF($J498=0,0,ROUND(MAX($J498*1.4*1.5*1.6*1.6*2.2*2.715*2.6*1.4*1.4*1.5*1.5,18900000000*(1.65331^(MIN($E498,123)-117)))*1,0))</f>
        <v>51661901770</v>
      </c>
      <c r="AG498" s="4">
        <f>$E498+27</f>
        <v>146</v>
      </c>
      <c r="AH498" s="8">
        <f>IF($J498=0,0,ROUND(MAX($J498*1.4*1.5*1.6*1.6*2.2*2.715*2.6*1.4*1.4*1.5*1.5*3.2,60500000000*(1.654288^(MIN($E498,123)-117)))*1,0))</f>
        <v>165568461610</v>
      </c>
    </row>
    <row r="499" ht="27.75" customHeight="1" spans="1:34" x14ac:dyDescent="0.25">
      <c r="A499" s="3">
        <v>509</v>
      </c>
      <c r="B499" s="3" t="s">
        <v>607</v>
      </c>
      <c r="C499" s="3" t="s">
        <v>590</v>
      </c>
      <c r="D499" s="3" t="s">
        <v>33</v>
      </c>
      <c r="E499" s="3">
        <v>118</v>
      </c>
      <c r="F499" s="3" t="s">
        <v>71</v>
      </c>
      <c r="G499" s="3" t="s">
        <v>358</v>
      </c>
      <c r="H499" s="3">
        <v>30</v>
      </c>
      <c r="I499" s="4">
        <v>118</v>
      </c>
      <c r="J499" s="5">
        <v>963000</v>
      </c>
      <c r="K499" s="6">
        <f>$E499+1</f>
        <v>119</v>
      </c>
      <c r="L499" s="7">
        <f>IF($J499=0,0,ROUND(MAX($J499*1.4,1620000*(1.497923^(MIN($E499,123)-117)))*1,0))</f>
        <v>2426635</v>
      </c>
      <c r="M499" s="4">
        <f>$E499+2</f>
        <v>120</v>
      </c>
      <c r="N499" s="8">
        <f>IF($J499=0,0,ROUND(MAX($J499*1.4*1.5,2190000*(1.580994^(MIN($E499,123)-117)))*1,0))</f>
        <v>3462377</v>
      </c>
      <c r="O499" s="6">
        <f>$E499+4</f>
        <v>122</v>
      </c>
      <c r="P499" s="7">
        <f>IF($J499=0,0,ROUND(MAX($J499*1.4*1.5*1.6,3500000*(1.57975^(MIN($E499,123)-117)))*1,0))</f>
        <v>5529125</v>
      </c>
      <c r="Q499" s="4">
        <f>$E499+6</f>
        <v>124</v>
      </c>
      <c r="R499" s="8">
        <f>IF($J499=0,0,ROUND(MAX($J499*1.4*1.5*1.6*1.6,13100000*(1.429962^(MIN($E499,123)-117)))*1,0))</f>
        <v>18732502</v>
      </c>
      <c r="S499" s="6">
        <f>$E499+8</f>
        <v>126</v>
      </c>
      <c r="T499" s="7">
        <f>IF($J499=0,0,ROUND(MAX($J499*1.4*1.5*1.6*1.6*2.2,42600000*(1.576904^(MIN($E499,123)-117)))*1,0))</f>
        <v>67176110</v>
      </c>
      <c r="U499" s="4">
        <f>$E499+11</f>
        <v>129</v>
      </c>
      <c r="V499" s="8">
        <f>IF($J499=0,0,ROUND(MAX($J499*1.4*1.5*1.6*1.6*2.2*2.715,354000000*(1.642074^(MIN($E499,123)-117)))*1,0))</f>
        <v>581294196</v>
      </c>
      <c r="W499" s="6">
        <f>$E499+15</f>
        <v>133</v>
      </c>
      <c r="X499" s="7">
        <f>IF($J499=0,0,ROUND(MAX($J499*1.4*1.5*1.6*1.6*2.2*2.715*2.6,3540000000*(1.579646^(MIN($E499,123)-117)))*1,0))</f>
        <v>5591946840</v>
      </c>
      <c r="Y499" s="4">
        <f>$E499+17</f>
        <v>135</v>
      </c>
      <c r="Z499" s="8">
        <f>IF($J499=0,0,ROUND(MAX($J499*1.4*1.5*1.6*1.6*2.2*2.715*2.6*1.4,6020000000*(1.651178^(MIN($E499,123)-117)))*1,0))</f>
        <v>9940091560</v>
      </c>
      <c r="AA499" s="6">
        <f>$E499+19</f>
        <v>137</v>
      </c>
      <c r="AB499" s="7">
        <f>IF($J499=0,0,ROUND(MAX($J499*1.4*1.5*1.6*1.6*2.2*2.715*2.6*1.4*1.4,8430000000*(1.651435^(MIN($E499,123)-117)))*1,0))</f>
        <v>13921597050</v>
      </c>
      <c r="AC499" s="4">
        <f>$E499+21</f>
        <v>139</v>
      </c>
      <c r="AD499" s="8">
        <f>IF($J499=0,0,ROUND(MAX($J499*1.4*1.5*1.6*1.6*2.2*2.715*2.6*1.4*1.4*1.5,12600000000*(1.652953^(MIN($E499,123)-117)))*1,0))</f>
        <v>20827207800</v>
      </c>
      <c r="AE499" s="6">
        <f>$E499+24</f>
        <v>142</v>
      </c>
      <c r="AF499" s="7">
        <f>IF($J499=0,0,ROUND(MAX($J499*1.4*1.5*1.6*1.6*2.2*2.715*2.6*1.4*1.4*1.5*1.5,18900000000*(1.65331^(MIN($E499,123)-117)))*1,0))</f>
        <v>31247559000</v>
      </c>
      <c r="AG499" s="4">
        <f>$E499+27</f>
        <v>145</v>
      </c>
      <c r="AH499" s="8">
        <f>IF($J499=0,0,ROUND(MAX($J499*1.4*1.5*1.6*1.6*2.2*2.715*2.6*1.4*1.4*1.5*1.5*3.2,60500000000*(1.654288^(MIN($E499,123)-117)))*1,0))</f>
        <v>100084424000</v>
      </c>
    </row>
    <row r="500" ht="27.75" customHeight="1" spans="1:34" x14ac:dyDescent="0.25">
      <c r="A500" s="3">
        <v>510</v>
      </c>
      <c r="B500" s="3" t="s">
        <v>608</v>
      </c>
      <c r="C500" s="3" t="s">
        <v>590</v>
      </c>
      <c r="D500" s="3" t="s">
        <v>47</v>
      </c>
      <c r="E500" s="3">
        <v>121</v>
      </c>
      <c r="F500" s="3" t="s">
        <v>71</v>
      </c>
      <c r="G500" s="3" t="s">
        <v>106</v>
      </c>
      <c r="H500" s="3">
        <v>29</v>
      </c>
      <c r="I500" s="4">
        <v>121</v>
      </c>
      <c r="J500" s="5">
        <v>2580000</v>
      </c>
      <c r="K500" s="6">
        <f>$E500+1</f>
        <v>122</v>
      </c>
      <c r="L500" s="7">
        <f>IF($J500=0,0,ROUND(MAX($J500*1.4,1620000*(1.497923^(MIN($E500,123)-117)))*1,0))</f>
        <v>8155920</v>
      </c>
      <c r="M500" s="4">
        <f>$E500+2</f>
        <v>123</v>
      </c>
      <c r="N500" s="8">
        <f>IF($J500=0,0,ROUND(MAX($J500*1.4*1.5,2190000*(1.580994^(MIN($E500,123)-117)))*1,0))</f>
        <v>13682486</v>
      </c>
      <c r="O500" s="6">
        <f>$E500+4</f>
        <v>125</v>
      </c>
      <c r="P500" s="7">
        <f>IF($J500=0,0,ROUND(MAX($J500*1.4*1.5*1.6,3500000*(1.57975^(MIN($E500,123)-117)))*1,0))</f>
        <v>21798244</v>
      </c>
      <c r="Q500" s="4">
        <f>$E500+6</f>
        <v>127</v>
      </c>
      <c r="R500" s="8">
        <f>IF($J500=0,0,ROUND(MAX($J500*1.4*1.5*1.6*1.6,13100000*(1.429962^(MIN($E500,123)-117)))*1,0))</f>
        <v>54773347</v>
      </c>
      <c r="S500" s="6">
        <f>$E500+8</f>
        <v>129</v>
      </c>
      <c r="T500" s="7">
        <f>IF($J500=0,0,ROUND(MAX($J500*1.4*1.5*1.6*1.6*2.2,42600000*(1.576904^(MIN($E500,123)-117)))*1,0))</f>
        <v>263409005</v>
      </c>
      <c r="U500" s="4">
        <f>$E500+11</f>
        <v>132</v>
      </c>
      <c r="V500" s="8">
        <f>IF($J500=0,0,ROUND(MAX($J500*1.4*1.5*1.6*1.6*2.2*2.715,354000000*(1.642074^(MIN($E500,123)-117)))*1,0))</f>
        <v>2573796232</v>
      </c>
      <c r="W500" s="6">
        <f>$E500+15</f>
        <v>136</v>
      </c>
      <c r="X500" s="7">
        <f>IF($J500=0,0,ROUND(MAX($J500*1.4*1.5*1.6*1.6*2.2*2.715*2.6,3540000000*(1.579646^(MIN($E500,123)-117)))*1,0))</f>
        <v>22041561106</v>
      </c>
      <c r="Y500" s="4">
        <f>$E500+17</f>
        <v>138</v>
      </c>
      <c r="Z500" s="8">
        <f>IF($J500=0,0,ROUND(MAX($J500*1.4*1.5*1.6*1.6*2.2*2.715*2.6*1.4,6020000000*(1.651178^(MIN($E500,123)-117)))*1,0))</f>
        <v>44747838846</v>
      </c>
      <c r="AA500" s="6">
        <f>$E500+19</f>
        <v>140</v>
      </c>
      <c r="AB500" s="7">
        <f>IF($J500=0,0,ROUND(MAX($J500*1.4*1.5*1.6*1.6*2.2*2.715*2.6*1.4*1.4,8430000000*(1.651435^(MIN($E500,123)-117)))*1,0))</f>
        <v>62700862258</v>
      </c>
      <c r="AC500" s="4">
        <f>$E500+21</f>
        <v>142</v>
      </c>
      <c r="AD500" s="8">
        <f>IF($J500=0,0,ROUND(MAX($J500*1.4*1.5*1.6*1.6*2.2*2.715*2.6*1.4*1.4*1.5,12600000000*(1.652953^(MIN($E500,123)-117)))*1,0))</f>
        <v>94061644049</v>
      </c>
      <c r="AE500" s="6">
        <f>$E500+24</f>
        <v>145</v>
      </c>
      <c r="AF500" s="7">
        <f>IF($J500=0,0,ROUND(MAX($J500*1.4*1.5*1.6*1.6*2.2*2.715*2.6*1.4*1.4*1.5*1.5,18900000000*(1.65331^(MIN($E500,123)-117)))*1,0))</f>
        <v>141214396536</v>
      </c>
      <c r="AG500" s="4">
        <f>$E500+27</f>
        <v>148</v>
      </c>
      <c r="AH500" s="8">
        <f>IF($J500=0,0,ROUND(MAX($J500*1.4*1.5*1.6*1.6*2.2*2.715*2.6*1.4*1.4*1.5*1.5*3.2,60500000000*(1.654288^(MIN($E500,123)-117)))*1,0))</f>
        <v>453106040991</v>
      </c>
    </row>
    <row r="501" ht="27.75" customHeight="1" spans="1:34" x14ac:dyDescent="0.25">
      <c r="A501" s="3">
        <v>511</v>
      </c>
      <c r="B501" s="3" t="s">
        <v>609</v>
      </c>
      <c r="C501" s="3" t="s">
        <v>590</v>
      </c>
      <c r="D501" s="3" t="s">
        <v>75</v>
      </c>
      <c r="E501" s="3">
        <v>121</v>
      </c>
      <c r="F501" s="3" t="s">
        <v>54</v>
      </c>
      <c r="G501" s="3" t="s">
        <v>35</v>
      </c>
      <c r="H501" s="3">
        <v>30</v>
      </c>
      <c r="I501" s="4">
        <v>121</v>
      </c>
      <c r="J501" s="5">
        <v>2460000</v>
      </c>
      <c r="K501" s="6">
        <f>$E501+1</f>
        <v>122</v>
      </c>
      <c r="L501" s="7">
        <f>IF($J501=0,0,ROUND(MAX($J501*1.4,1620000*(1.497923^(MIN($E501,123)-117)))*1,0))</f>
        <v>8155920</v>
      </c>
      <c r="M501" s="4">
        <f>$E501+2</f>
        <v>123</v>
      </c>
      <c r="N501" s="8">
        <f>IF($J501=0,0,ROUND(MAX($J501*1.4*1.5,2190000*(1.580994^(MIN($E501,123)-117)))*1,0))</f>
        <v>13682486</v>
      </c>
      <c r="O501" s="6">
        <f>$E501+4</f>
        <v>125</v>
      </c>
      <c r="P501" s="7">
        <f>IF($J501=0,0,ROUND(MAX($J501*1.4*1.5*1.6,3500000*(1.57975^(MIN($E501,123)-117)))*1,0))</f>
        <v>21798244</v>
      </c>
      <c r="Q501" s="4">
        <f>$E501+6</f>
        <v>127</v>
      </c>
      <c r="R501" s="8">
        <f>IF($J501=0,0,ROUND(MAX($J501*1.4*1.5*1.6*1.6,13100000*(1.429962^(MIN($E501,123)-117)))*1,0))</f>
        <v>54773347</v>
      </c>
      <c r="S501" s="6">
        <f>$E501+8</f>
        <v>129</v>
      </c>
      <c r="T501" s="7">
        <f>IF($J501=0,0,ROUND(MAX($J501*1.4*1.5*1.6*1.6*2.2,42600000*(1.576904^(MIN($E501,123)-117)))*1,0))</f>
        <v>263409005</v>
      </c>
      <c r="U501" s="4">
        <f>$E501+11</f>
        <v>132</v>
      </c>
      <c r="V501" s="8">
        <f>IF($J501=0,0,ROUND(MAX($J501*1.4*1.5*1.6*1.6*2.2*2.715,354000000*(1.642074^(MIN($E501,123)-117)))*1,0))</f>
        <v>2573796232</v>
      </c>
      <c r="W501" s="6">
        <f>$E501+15</f>
        <v>136</v>
      </c>
      <c r="X501" s="7">
        <f>IF($J501=0,0,ROUND(MAX($J501*1.4*1.5*1.6*1.6*2.2*2.715*2.6,3540000000*(1.579646^(MIN($E501,123)-117)))*1,0))</f>
        <v>22041561106</v>
      </c>
      <c r="Y501" s="4">
        <f>$E501+17</f>
        <v>138</v>
      </c>
      <c r="Z501" s="8">
        <f>IF($J501=0,0,ROUND(MAX($J501*1.4*1.5*1.6*1.6*2.2*2.715*2.6*1.4,6020000000*(1.651178^(MIN($E501,123)-117)))*1,0))</f>
        <v>44747838846</v>
      </c>
      <c r="AA501" s="6">
        <f>$E501+19</f>
        <v>140</v>
      </c>
      <c r="AB501" s="7">
        <f>IF($J501=0,0,ROUND(MAX($J501*1.4*1.5*1.6*1.6*2.2*2.715*2.6*1.4*1.4,8430000000*(1.651435^(MIN($E501,123)-117)))*1,0))</f>
        <v>62700862258</v>
      </c>
      <c r="AC501" s="4">
        <f>$E501+21</f>
        <v>142</v>
      </c>
      <c r="AD501" s="8">
        <f>IF($J501=0,0,ROUND(MAX($J501*1.4*1.5*1.6*1.6*2.2*2.715*2.6*1.4*1.4*1.5,12600000000*(1.652953^(MIN($E501,123)-117)))*1,0))</f>
        <v>94061644049</v>
      </c>
      <c r="AE501" s="6">
        <f>$E501+24</f>
        <v>145</v>
      </c>
      <c r="AF501" s="7">
        <f>IF($J501=0,0,ROUND(MAX($J501*1.4*1.5*1.6*1.6*2.2*2.715*2.6*1.4*1.4*1.5*1.5,18900000000*(1.65331^(MIN($E501,123)-117)))*1,0))</f>
        <v>141214396536</v>
      </c>
      <c r="AG501" s="4">
        <f>$E501+27</f>
        <v>148</v>
      </c>
      <c r="AH501" s="8">
        <f>IF($J501=0,0,ROUND(MAX($J501*1.4*1.5*1.6*1.6*2.2*2.715*2.6*1.4*1.4*1.5*1.5*3.2,60500000000*(1.654288^(MIN($E501,123)-117)))*1,0))</f>
        <v>453106040991</v>
      </c>
    </row>
    <row r="502" ht="27.75" customHeight="1" spans="1:34" x14ac:dyDescent="0.25">
      <c r="A502" s="3">
        <v>512</v>
      </c>
      <c r="B502" s="3" t="s">
        <v>610</v>
      </c>
      <c r="C502" s="3" t="s">
        <v>590</v>
      </c>
      <c r="D502" s="3" t="s">
        <v>33</v>
      </c>
      <c r="E502" s="3">
        <v>119</v>
      </c>
      <c r="F502" s="3" t="s">
        <v>56</v>
      </c>
      <c r="G502" s="3" t="s">
        <v>133</v>
      </c>
      <c r="H502" s="3">
        <v>30</v>
      </c>
      <c r="I502" s="4">
        <v>119</v>
      </c>
      <c r="J502" s="5">
        <v>1460000</v>
      </c>
      <c r="K502" s="6">
        <f>$E502+1</f>
        <v>120</v>
      </c>
      <c r="L502" s="7">
        <f>IF($J502=0,0,ROUND(MAX($J502*1.4,1620000*(1.497923^(MIN($E502,123)-117)))*1,0))</f>
        <v>3634913</v>
      </c>
      <c r="M502" s="4">
        <f>$E502+2</f>
        <v>121</v>
      </c>
      <c r="N502" s="8">
        <f>IF($J502=0,0,ROUND(MAX($J502*1.4*1.5,2190000*(1.580994^(MIN($E502,123)-117)))*1,0))</f>
        <v>5473997</v>
      </c>
      <c r="O502" s="6">
        <f>$E502+4</f>
        <v>123</v>
      </c>
      <c r="P502" s="7">
        <f>IF($J502=0,0,ROUND(MAX($J502*1.4*1.5*1.6,3500000*(1.57975^(MIN($E502,123)-117)))*1,0))</f>
        <v>8734635</v>
      </c>
      <c r="Q502" s="4">
        <f>$E502+6</f>
        <v>125</v>
      </c>
      <c r="R502" s="8">
        <f>IF($J502=0,0,ROUND(MAX($J502*1.4*1.5*1.6*1.6,13100000*(1.429962^(MIN($E502,123)-117)))*1,0))</f>
        <v>26786766</v>
      </c>
      <c r="S502" s="6">
        <f>$E502+8</f>
        <v>127</v>
      </c>
      <c r="T502" s="7">
        <f>IF($J502=0,0,ROUND(MAX($J502*1.4*1.5*1.6*1.6*2.2,42600000*(1.576904^(MIN($E502,123)-117)))*1,0))</f>
        <v>105930277</v>
      </c>
      <c r="U502" s="4">
        <f>$E502+11</f>
        <v>130</v>
      </c>
      <c r="V502" s="8">
        <f>IF($J502=0,0,ROUND(MAX($J502*1.4*1.5*1.6*1.6*2.2*2.715,354000000*(1.642074^(MIN($E502,123)-117)))*1,0))</f>
        <v>954528086</v>
      </c>
      <c r="W502" s="6">
        <f>$E502+15</f>
        <v>134</v>
      </c>
      <c r="X502" s="7">
        <f>IF($J502=0,0,ROUND(MAX($J502*1.4*1.5*1.6*1.6*2.2*2.715*2.6,3540000000*(1.579646^(MIN($E502,123)-117)))*1,0))</f>
        <v>8833296458</v>
      </c>
      <c r="Y502" s="4">
        <f>$E502+17</f>
        <v>136</v>
      </c>
      <c r="Z502" s="8">
        <f>IF($J502=0,0,ROUND(MAX($J502*1.4*1.5*1.6*1.6*2.2*2.715*2.6*1.4,6020000000*(1.651178^(MIN($E502,123)-117)))*1,0))</f>
        <v>16412860502</v>
      </c>
      <c r="AA502" s="6">
        <f>$E502+19</f>
        <v>138</v>
      </c>
      <c r="AB502" s="7">
        <f>IF($J502=0,0,ROUND(MAX($J502*1.4*1.5*1.6*1.6*2.2*2.715*2.6*1.4*1.4,8430000000*(1.651435^(MIN($E502,123)-117)))*1,0))</f>
        <v>22990612624</v>
      </c>
      <c r="AC502" s="4">
        <f>$E502+21</f>
        <v>140</v>
      </c>
      <c r="AD502" s="8">
        <f>IF($J502=0,0,ROUND(MAX($J502*1.4*1.5*1.6*1.6*2.2*2.715*2.6*1.4*1.4*1.5,12600000000*(1.652953^(MIN($E502,123)-117)))*1,0))</f>
        <v>34426395615</v>
      </c>
      <c r="AE502" s="6">
        <f>$E502+24</f>
        <v>143</v>
      </c>
      <c r="AF502" s="7">
        <f>IF($J502=0,0,ROUND(MAX($J502*1.4*1.5*1.6*1.6*2.2*2.715*2.6*1.4*1.4*1.5*1.5,18900000000*(1.65331^(MIN($E502,123)-117)))*1,0))</f>
        <v>51661901770</v>
      </c>
      <c r="AG502" s="4">
        <f>$E502+27</f>
        <v>146</v>
      </c>
      <c r="AH502" s="8">
        <f>IF($J502=0,0,ROUND(MAX($J502*1.4*1.5*1.6*1.6*2.2*2.715*2.6*1.4*1.4*1.5*1.5*3.2,60500000000*(1.654288^(MIN($E502,123)-117)))*1,0))</f>
        <v>165568461610</v>
      </c>
    </row>
    <row r="503" ht="27.75" customHeight="1" spans="1:34" x14ac:dyDescent="0.25">
      <c r="A503" s="3">
        <v>513</v>
      </c>
      <c r="B503" s="3" t="s">
        <v>611</v>
      </c>
      <c r="C503" s="3" t="s">
        <v>590</v>
      </c>
      <c r="D503" s="3" t="s">
        <v>45</v>
      </c>
      <c r="E503" s="3">
        <v>121</v>
      </c>
      <c r="F503" s="3" t="s">
        <v>116</v>
      </c>
      <c r="G503" s="3" t="s">
        <v>27</v>
      </c>
      <c r="H503" s="3">
        <v>30</v>
      </c>
      <c r="I503" s="4">
        <v>121</v>
      </c>
      <c r="J503" s="5">
        <v>2550000</v>
      </c>
      <c r="K503" s="6">
        <f>$E503+1</f>
        <v>122</v>
      </c>
      <c r="L503" s="7">
        <f>IF($J503=0,0,ROUND(MAX($J503*1.4,1620000*(1.497923^(MIN($E503,123)-117)))*1,0))</f>
        <v>8155920</v>
      </c>
      <c r="M503" s="4">
        <f>$E503+2</f>
        <v>123</v>
      </c>
      <c r="N503" s="8">
        <f>IF($J503=0,0,ROUND(MAX($J503*1.4*1.5,2190000*(1.580994^(MIN($E503,123)-117)))*1,0))</f>
        <v>13682486</v>
      </c>
      <c r="O503" s="6">
        <f>$E503+4</f>
        <v>125</v>
      </c>
      <c r="P503" s="7">
        <f>IF($J503=0,0,ROUND(MAX($J503*1.4*1.5*1.6,3500000*(1.57975^(MIN($E503,123)-117)))*1,0))</f>
        <v>21798244</v>
      </c>
      <c r="Q503" s="4">
        <f>$E503+6</f>
        <v>127</v>
      </c>
      <c r="R503" s="8">
        <f>IF($J503=0,0,ROUND(MAX($J503*1.4*1.5*1.6*1.6,13100000*(1.429962^(MIN($E503,123)-117)))*1,0))</f>
        <v>54773347</v>
      </c>
      <c r="S503" s="6">
        <f>$E503+8</f>
        <v>129</v>
      </c>
      <c r="T503" s="7">
        <f>IF($J503=0,0,ROUND(MAX($J503*1.4*1.5*1.6*1.6*2.2,42600000*(1.576904^(MIN($E503,123)-117)))*1,0))</f>
        <v>263409005</v>
      </c>
      <c r="U503" s="4">
        <f>$E503+11</f>
        <v>132</v>
      </c>
      <c r="V503" s="8">
        <f>IF($J503=0,0,ROUND(MAX($J503*1.4*1.5*1.6*1.6*2.2*2.715,354000000*(1.642074^(MIN($E503,123)-117)))*1,0))</f>
        <v>2573796232</v>
      </c>
      <c r="W503" s="6">
        <f>$E503+15</f>
        <v>136</v>
      </c>
      <c r="X503" s="7">
        <f>IF($J503=0,0,ROUND(MAX($J503*1.4*1.5*1.6*1.6*2.2*2.715*2.6,3540000000*(1.579646^(MIN($E503,123)-117)))*1,0))</f>
        <v>22041561106</v>
      </c>
      <c r="Y503" s="4">
        <f>$E503+17</f>
        <v>138</v>
      </c>
      <c r="Z503" s="8">
        <f>IF($J503=0,0,ROUND(MAX($J503*1.4*1.5*1.6*1.6*2.2*2.715*2.6*1.4,6020000000*(1.651178^(MIN($E503,123)-117)))*1,0))</f>
        <v>44747838846</v>
      </c>
      <c r="AA503" s="6">
        <f>$E503+19</f>
        <v>140</v>
      </c>
      <c r="AB503" s="7">
        <f>IF($J503=0,0,ROUND(MAX($J503*1.4*1.5*1.6*1.6*2.2*2.715*2.6*1.4*1.4,8430000000*(1.651435^(MIN($E503,123)-117)))*1,0))</f>
        <v>62700862258</v>
      </c>
      <c r="AC503" s="4">
        <f>$E503+21</f>
        <v>142</v>
      </c>
      <c r="AD503" s="8">
        <f>IF($J503=0,0,ROUND(MAX($J503*1.4*1.5*1.6*1.6*2.2*2.715*2.6*1.4*1.4*1.5,12600000000*(1.652953^(MIN($E503,123)-117)))*1,0))</f>
        <v>94061644049</v>
      </c>
      <c r="AE503" s="6">
        <f>$E503+24</f>
        <v>145</v>
      </c>
      <c r="AF503" s="7">
        <f>IF($J503=0,0,ROUND(MAX($J503*1.4*1.5*1.6*1.6*2.2*2.715*2.6*1.4*1.4*1.5*1.5,18900000000*(1.65331^(MIN($E503,123)-117)))*1,0))</f>
        <v>141214396536</v>
      </c>
      <c r="AG503" s="4">
        <f>$E503+27</f>
        <v>148</v>
      </c>
      <c r="AH503" s="8">
        <f>IF($J503=0,0,ROUND(MAX($J503*1.4*1.5*1.6*1.6*2.2*2.715*2.6*1.4*1.4*1.5*1.5*3.2,60500000000*(1.654288^(MIN($E503,123)-117)))*1,0))</f>
        <v>453106040991</v>
      </c>
    </row>
    <row r="504" ht="27.75" customHeight="1" spans="1:34" x14ac:dyDescent="0.25">
      <c r="A504" s="3">
        <v>514</v>
      </c>
      <c r="B504" s="3" t="s">
        <v>94</v>
      </c>
      <c r="C504" s="3" t="s">
        <v>590</v>
      </c>
      <c r="D504" s="3" t="s">
        <v>29</v>
      </c>
      <c r="E504" s="3">
        <v>120</v>
      </c>
      <c r="F504" s="3" t="s">
        <v>42</v>
      </c>
      <c r="G504" s="3" t="s">
        <v>95</v>
      </c>
      <c r="H504" s="3">
        <v>31</v>
      </c>
      <c r="I504" s="4">
        <v>120</v>
      </c>
      <c r="J504" s="5">
        <v>1720000</v>
      </c>
      <c r="K504" s="6">
        <f>$E504+1</f>
        <v>121</v>
      </c>
      <c r="L504" s="7">
        <f>IF($J504=0,0,ROUND(MAX($J504*1.4,1620000*(1.497923^(MIN($E504,123)-117)))*1,0))</f>
        <v>5444819</v>
      </c>
      <c r="M504" s="4">
        <f>$E504+2</f>
        <v>122</v>
      </c>
      <c r="N504" s="8">
        <f>IF($J504=0,0,ROUND(MAX($J504*1.4*1.5,2190000*(1.580994^(MIN($E504,123)-117)))*1,0))</f>
        <v>8654356</v>
      </c>
      <c r="O504" s="6">
        <f>$E504+4</f>
        <v>124</v>
      </c>
      <c r="P504" s="7">
        <f>IF($J504=0,0,ROUND(MAX($J504*1.4*1.5*1.6,3500000*(1.57975^(MIN($E504,123)-117)))*1,0))</f>
        <v>13798540</v>
      </c>
      <c r="Q504" s="4">
        <f>$E504+6</f>
        <v>126</v>
      </c>
      <c r="R504" s="8">
        <f>IF($J504=0,0,ROUND(MAX($J504*1.4*1.5*1.6*1.6,13100000*(1.429962^(MIN($E504,123)-117)))*1,0))</f>
        <v>38304058</v>
      </c>
      <c r="S504" s="6">
        <f>$E504+8</f>
        <v>128</v>
      </c>
      <c r="T504" s="7">
        <f>IF($J504=0,0,ROUND(MAX($J504*1.4*1.5*1.6*1.6*2.2,42600000*(1.576904^(MIN($E504,123)-117)))*1,0))</f>
        <v>167041878</v>
      </c>
      <c r="U504" s="4">
        <f>$E504+11</f>
        <v>131</v>
      </c>
      <c r="V504" s="8">
        <f>IF($J504=0,0,ROUND(MAX($J504*1.4*1.5*1.6*1.6*2.2*2.715,354000000*(1.642074^(MIN($E504,123)-117)))*1,0))</f>
        <v>1567405752</v>
      </c>
      <c r="W504" s="6">
        <f>$E504+15</f>
        <v>135</v>
      </c>
      <c r="X504" s="7">
        <f>IF($J504=0,0,ROUND(MAX($J504*1.4*1.5*1.6*1.6*2.2*2.715*2.6,3540000000*(1.579646^(MIN($E504,123)-117)))*1,0))</f>
        <v>13953481417</v>
      </c>
      <c r="Y504" s="4">
        <f>$E504+17</f>
        <v>137</v>
      </c>
      <c r="Z504" s="8">
        <f>IF($J504=0,0,ROUND(MAX($J504*1.4*1.5*1.6*1.6*2.2*2.715*2.6*1.4,6020000000*(1.651178^(MIN($E504,123)-117)))*1,0))</f>
        <v>27100554178</v>
      </c>
      <c r="AA504" s="6">
        <f>$E504+19</f>
        <v>139</v>
      </c>
      <c r="AB504" s="7">
        <f>IF($J504=0,0,ROUND(MAX($J504*1.4*1.5*1.6*1.6*2.2*2.715*2.6*1.4*1.4,8430000000*(1.651435^(MIN($E504,123)-117)))*1,0))</f>
        <v>37967502359</v>
      </c>
      <c r="AC504" s="4">
        <f>$E504+21</f>
        <v>141</v>
      </c>
      <c r="AD504" s="8">
        <f>IF($J504=0,0,ROUND(MAX($J504*1.4*1.5*1.6*1.6*2.2*2.715*2.6*1.4*1.4*1.5,12600000000*(1.652953^(MIN($E504,123)-117)))*1,0))</f>
        <v>56905213910</v>
      </c>
      <c r="AE504" s="6">
        <f>$E504+24</f>
        <v>144</v>
      </c>
      <c r="AF504" s="7">
        <f>IF($J504=0,0,ROUND(MAX($J504*1.4*1.5*1.6*1.6*2.2*2.715*2.6*1.4*1.4*1.5*1.5,18900000000*(1.65331^(MIN($E504,123)-117)))*1,0))</f>
        <v>85413138816</v>
      </c>
      <c r="AG504" s="4">
        <f>$E504+27</f>
        <v>147</v>
      </c>
      <c r="AH504" s="8">
        <f>IF($J504=0,0,ROUND(MAX($J504*1.4*1.5*1.6*1.6*2.2*2.715*2.6*1.4*1.4*1.5*1.5*3.2,60500000000*(1.654288^(MIN($E504,123)-117)))*1,0))</f>
        <v>273897919220</v>
      </c>
    </row>
    <row r="505" ht="27.75" customHeight="1" spans="1:34" x14ac:dyDescent="0.25">
      <c r="A505" s="3">
        <v>515</v>
      </c>
      <c r="B505" s="3" t="s">
        <v>96</v>
      </c>
      <c r="C505" s="3" t="s">
        <v>590</v>
      </c>
      <c r="D505" s="3" t="s">
        <v>40</v>
      </c>
      <c r="E505" s="3">
        <v>120</v>
      </c>
      <c r="F505" s="3" t="s">
        <v>97</v>
      </c>
      <c r="G505" s="3" t="s">
        <v>98</v>
      </c>
      <c r="H505" s="3">
        <v>31</v>
      </c>
      <c r="I505" s="4">
        <v>120</v>
      </c>
      <c r="J505" s="5">
        <v>1650000</v>
      </c>
      <c r="K505" s="6">
        <f>$E505+1</f>
        <v>121</v>
      </c>
      <c r="L505" s="7">
        <f>IF($J505=0,0,ROUND(MAX($J505*1.4,1620000*(1.497923^(MIN($E505,123)-117)))*1,0))</f>
        <v>5444819</v>
      </c>
      <c r="M505" s="4">
        <f>$E505+2</f>
        <v>122</v>
      </c>
      <c r="N505" s="8">
        <f>IF($J505=0,0,ROUND(MAX($J505*1.4*1.5,2190000*(1.580994^(MIN($E505,123)-117)))*1,0))</f>
        <v>8654356</v>
      </c>
      <c r="O505" s="6">
        <f>$E505+4</f>
        <v>124</v>
      </c>
      <c r="P505" s="7">
        <f>IF($J505=0,0,ROUND(MAX($J505*1.4*1.5*1.6,3500000*(1.57975^(MIN($E505,123)-117)))*1,0))</f>
        <v>13798540</v>
      </c>
      <c r="Q505" s="4">
        <f>$E505+6</f>
        <v>126</v>
      </c>
      <c r="R505" s="8">
        <f>IF($J505=0,0,ROUND(MAX($J505*1.4*1.5*1.6*1.6,13100000*(1.429962^(MIN($E505,123)-117)))*1,0))</f>
        <v>38304058</v>
      </c>
      <c r="S505" s="6">
        <f>$E505+8</f>
        <v>128</v>
      </c>
      <c r="T505" s="7">
        <f>IF($J505=0,0,ROUND(MAX($J505*1.4*1.5*1.6*1.6*2.2,42600000*(1.576904^(MIN($E505,123)-117)))*1,0))</f>
        <v>167041878</v>
      </c>
      <c r="U505" s="4">
        <f>$E505+11</f>
        <v>131</v>
      </c>
      <c r="V505" s="8">
        <f>IF($J505=0,0,ROUND(MAX($J505*1.4*1.5*1.6*1.6*2.2*2.715,354000000*(1.642074^(MIN($E505,123)-117)))*1,0))</f>
        <v>1567405752</v>
      </c>
      <c r="W505" s="6">
        <f>$E505+15</f>
        <v>135</v>
      </c>
      <c r="X505" s="7">
        <f>IF($J505=0,0,ROUND(MAX($J505*1.4*1.5*1.6*1.6*2.2*2.715*2.6,3540000000*(1.579646^(MIN($E505,123)-117)))*1,0))</f>
        <v>13953481417</v>
      </c>
      <c r="Y505" s="4">
        <f>$E505+17</f>
        <v>137</v>
      </c>
      <c r="Z505" s="8">
        <f>IF($J505=0,0,ROUND(MAX($J505*1.4*1.5*1.6*1.6*2.2*2.715*2.6*1.4,6020000000*(1.651178^(MIN($E505,123)-117)))*1,0))</f>
        <v>27100554178</v>
      </c>
      <c r="AA505" s="6">
        <f>$E505+19</f>
        <v>139</v>
      </c>
      <c r="AB505" s="7">
        <f>IF($J505=0,0,ROUND(MAX($J505*1.4*1.5*1.6*1.6*2.2*2.715*2.6*1.4*1.4,8430000000*(1.651435^(MIN($E505,123)-117)))*1,0))</f>
        <v>37967502359</v>
      </c>
      <c r="AC505" s="4">
        <f>$E505+21</f>
        <v>141</v>
      </c>
      <c r="AD505" s="8">
        <f>IF($J505=0,0,ROUND(MAX($J505*1.4*1.5*1.6*1.6*2.2*2.715*2.6*1.4*1.4*1.5,12600000000*(1.652953^(MIN($E505,123)-117)))*1,0))</f>
        <v>56905213910</v>
      </c>
      <c r="AE505" s="6">
        <f>$E505+24</f>
        <v>144</v>
      </c>
      <c r="AF505" s="7">
        <f>IF($J505=0,0,ROUND(MAX($J505*1.4*1.5*1.6*1.6*2.2*2.715*2.6*1.4*1.4*1.5*1.5,18900000000*(1.65331^(MIN($E505,123)-117)))*1,0))</f>
        <v>85413138816</v>
      </c>
      <c r="AG505" s="4">
        <f>$E505+27</f>
        <v>147</v>
      </c>
      <c r="AH505" s="8">
        <f>IF($J505=0,0,ROUND(MAX($J505*1.4*1.5*1.6*1.6*2.2*2.715*2.6*1.4*1.4*1.5*1.5*3.2,60500000000*(1.654288^(MIN($E505,123)-117)))*1,0))</f>
        <v>273897919220</v>
      </c>
    </row>
    <row r="506" ht="27.75" customHeight="1" spans="1:34" x14ac:dyDescent="0.25">
      <c r="A506" s="3">
        <v>516</v>
      </c>
      <c r="B506" s="3" t="s">
        <v>612</v>
      </c>
      <c r="C506" s="3" t="s">
        <v>590</v>
      </c>
      <c r="D506" s="3" t="s">
        <v>45</v>
      </c>
      <c r="E506" s="3">
        <v>120</v>
      </c>
      <c r="F506" s="3" t="s">
        <v>56</v>
      </c>
      <c r="G506" s="3" t="s">
        <v>244</v>
      </c>
      <c r="H506" s="3">
        <v>31</v>
      </c>
      <c r="I506" s="4">
        <v>120</v>
      </c>
      <c r="J506" s="5">
        <v>1640000</v>
      </c>
      <c r="K506" s="6">
        <f>$E506+1</f>
        <v>121</v>
      </c>
      <c r="L506" s="7">
        <f>IF($J506=0,0,ROUND(MAX($J506*1.4,1620000*(1.497923^(MIN($E506,123)-117)))*1,0))</f>
        <v>5444819</v>
      </c>
      <c r="M506" s="4">
        <f>$E506+2</f>
        <v>122</v>
      </c>
      <c r="N506" s="8">
        <f>IF($J506=0,0,ROUND(MAX($J506*1.4*1.5,2190000*(1.580994^(MIN($E506,123)-117)))*1,0))</f>
        <v>8654356</v>
      </c>
      <c r="O506" s="6">
        <f>$E506+4</f>
        <v>124</v>
      </c>
      <c r="P506" s="7">
        <f>IF($J506=0,0,ROUND(MAX($J506*1.4*1.5*1.6,3500000*(1.57975^(MIN($E506,123)-117)))*1,0))</f>
        <v>13798540</v>
      </c>
      <c r="Q506" s="4">
        <f>$E506+6</f>
        <v>126</v>
      </c>
      <c r="R506" s="8">
        <f>IF($J506=0,0,ROUND(MAX($J506*1.4*1.5*1.6*1.6,13100000*(1.429962^(MIN($E506,123)-117)))*1,0))</f>
        <v>38304058</v>
      </c>
      <c r="S506" s="6">
        <f>$E506+8</f>
        <v>128</v>
      </c>
      <c r="T506" s="7">
        <f>IF($J506=0,0,ROUND(MAX($J506*1.4*1.5*1.6*1.6*2.2,42600000*(1.576904^(MIN($E506,123)-117)))*1,0))</f>
        <v>167041878</v>
      </c>
      <c r="U506" s="4">
        <f>$E506+11</f>
        <v>131</v>
      </c>
      <c r="V506" s="8">
        <f>IF($J506=0,0,ROUND(MAX($J506*1.4*1.5*1.6*1.6*2.2*2.715,354000000*(1.642074^(MIN($E506,123)-117)))*1,0))</f>
        <v>1567405752</v>
      </c>
      <c r="W506" s="6">
        <f>$E506+15</f>
        <v>135</v>
      </c>
      <c r="X506" s="7">
        <f>IF($J506=0,0,ROUND(MAX($J506*1.4*1.5*1.6*1.6*2.2*2.715*2.6,3540000000*(1.579646^(MIN($E506,123)-117)))*1,0))</f>
        <v>13953481417</v>
      </c>
      <c r="Y506" s="4">
        <f>$E506+17</f>
        <v>137</v>
      </c>
      <c r="Z506" s="8">
        <f>IF($J506=0,0,ROUND(MAX($J506*1.4*1.5*1.6*1.6*2.2*2.715*2.6*1.4,6020000000*(1.651178^(MIN($E506,123)-117)))*1,0))</f>
        <v>27100554178</v>
      </c>
      <c r="AA506" s="6">
        <f>$E506+19</f>
        <v>139</v>
      </c>
      <c r="AB506" s="7">
        <f>IF($J506=0,0,ROUND(MAX($J506*1.4*1.5*1.6*1.6*2.2*2.715*2.6*1.4*1.4,8430000000*(1.651435^(MIN($E506,123)-117)))*1,0))</f>
        <v>37967502359</v>
      </c>
      <c r="AC506" s="4">
        <f>$E506+21</f>
        <v>141</v>
      </c>
      <c r="AD506" s="8">
        <f>IF($J506=0,0,ROUND(MAX($J506*1.4*1.5*1.6*1.6*2.2*2.715*2.6*1.4*1.4*1.5,12600000000*(1.652953^(MIN($E506,123)-117)))*1,0))</f>
        <v>56905213910</v>
      </c>
      <c r="AE506" s="6">
        <f>$E506+24</f>
        <v>144</v>
      </c>
      <c r="AF506" s="7">
        <f>IF($J506=0,0,ROUND(MAX($J506*1.4*1.5*1.6*1.6*2.2*2.715*2.6*1.4*1.4*1.5*1.5,18900000000*(1.65331^(MIN($E506,123)-117)))*1,0))</f>
        <v>85413138816</v>
      </c>
      <c r="AG506" s="4">
        <f>$E506+27</f>
        <v>147</v>
      </c>
      <c r="AH506" s="8">
        <f>IF($J506=0,0,ROUND(MAX($J506*1.4*1.5*1.6*1.6*2.2*2.715*2.6*1.4*1.4*1.5*1.5*3.2,60500000000*(1.654288^(MIN($E506,123)-117)))*1,0))</f>
        <v>273897919220</v>
      </c>
    </row>
    <row r="507" ht="27.75" customHeight="1" spans="1:34" x14ac:dyDescent="0.25">
      <c r="A507" s="3">
        <v>517</v>
      </c>
      <c r="B507" s="3" t="s">
        <v>613</v>
      </c>
      <c r="C507" s="3" t="s">
        <v>590</v>
      </c>
      <c r="D507" s="3" t="s">
        <v>45</v>
      </c>
      <c r="E507" s="3">
        <v>120</v>
      </c>
      <c r="F507" s="3" t="s">
        <v>614</v>
      </c>
      <c r="G507" s="3" t="s">
        <v>242</v>
      </c>
      <c r="H507" s="3">
        <v>31</v>
      </c>
      <c r="I507" s="4">
        <v>120</v>
      </c>
      <c r="J507" s="5">
        <v>1790000</v>
      </c>
      <c r="K507" s="6">
        <f>$E507+1</f>
        <v>121</v>
      </c>
      <c r="L507" s="7">
        <f>IF($J507=0,0,ROUND(MAX($J507*1.4,1620000*(1.497923^(MIN($E507,123)-117)))*1,0))</f>
        <v>5444819</v>
      </c>
      <c r="M507" s="4">
        <f>$E507+2</f>
        <v>122</v>
      </c>
      <c r="N507" s="8">
        <f>IF($J507=0,0,ROUND(MAX($J507*1.4*1.5,2190000*(1.580994^(MIN($E507,123)-117)))*1,0))</f>
        <v>8654356</v>
      </c>
      <c r="O507" s="6">
        <f>$E507+4</f>
        <v>124</v>
      </c>
      <c r="P507" s="7">
        <f>IF($J507=0,0,ROUND(MAX($J507*1.4*1.5*1.6,3500000*(1.57975^(MIN($E507,123)-117)))*1,0))</f>
        <v>13798540</v>
      </c>
      <c r="Q507" s="4">
        <f>$E507+6</f>
        <v>126</v>
      </c>
      <c r="R507" s="8">
        <f>IF($J507=0,0,ROUND(MAX($J507*1.4*1.5*1.6*1.6,13100000*(1.429962^(MIN($E507,123)-117)))*1,0))</f>
        <v>38304058</v>
      </c>
      <c r="S507" s="6">
        <f>$E507+8</f>
        <v>128</v>
      </c>
      <c r="T507" s="7">
        <f>IF($J507=0,0,ROUND(MAX($J507*1.4*1.5*1.6*1.6*2.2,42600000*(1.576904^(MIN($E507,123)-117)))*1,0))</f>
        <v>167041878</v>
      </c>
      <c r="U507" s="4">
        <f>$E507+11</f>
        <v>131</v>
      </c>
      <c r="V507" s="8">
        <f>IF($J507=0,0,ROUND(MAX($J507*1.4*1.5*1.6*1.6*2.2*2.715,354000000*(1.642074^(MIN($E507,123)-117)))*1,0))</f>
        <v>1567405752</v>
      </c>
      <c r="W507" s="6">
        <f>$E507+15</f>
        <v>135</v>
      </c>
      <c r="X507" s="7">
        <f>IF($J507=0,0,ROUND(MAX($J507*1.4*1.5*1.6*1.6*2.2*2.715*2.6,3540000000*(1.579646^(MIN($E507,123)-117)))*1,0))</f>
        <v>13953481417</v>
      </c>
      <c r="Y507" s="4">
        <f>$E507+17</f>
        <v>137</v>
      </c>
      <c r="Z507" s="8">
        <f>IF($J507=0,0,ROUND(MAX($J507*1.4*1.5*1.6*1.6*2.2*2.715*2.6*1.4,6020000000*(1.651178^(MIN($E507,123)-117)))*1,0))</f>
        <v>27100554178</v>
      </c>
      <c r="AA507" s="6">
        <f>$E507+19</f>
        <v>139</v>
      </c>
      <c r="AB507" s="7">
        <f>IF($J507=0,0,ROUND(MAX($J507*1.4*1.5*1.6*1.6*2.2*2.715*2.6*1.4*1.4,8430000000*(1.651435^(MIN($E507,123)-117)))*1,0))</f>
        <v>37967502359</v>
      </c>
      <c r="AC507" s="4">
        <f>$E507+21</f>
        <v>141</v>
      </c>
      <c r="AD507" s="8">
        <f>IF($J507=0,0,ROUND(MAX($J507*1.4*1.5*1.6*1.6*2.2*2.715*2.6*1.4*1.4*1.5,12600000000*(1.652953^(MIN($E507,123)-117)))*1,0))</f>
        <v>56905213910</v>
      </c>
      <c r="AE507" s="6">
        <f>$E507+24</f>
        <v>144</v>
      </c>
      <c r="AF507" s="7">
        <f>IF($J507=0,0,ROUND(MAX($J507*1.4*1.5*1.6*1.6*2.2*2.715*2.6*1.4*1.4*1.5*1.5,18900000000*(1.65331^(MIN($E507,123)-117)))*1,0))</f>
        <v>85413138816</v>
      </c>
      <c r="AG507" s="4">
        <f>$E507+27</f>
        <v>147</v>
      </c>
      <c r="AH507" s="8">
        <f>IF($J507=0,0,ROUND(MAX($J507*1.4*1.5*1.6*1.6*2.2*2.715*2.6*1.4*1.4*1.5*1.5*3.2,60500000000*(1.654288^(MIN($E507,123)-117)))*1,0))</f>
        <v>273897919220</v>
      </c>
    </row>
    <row r="508" ht="27.75" customHeight="1" spans="1:34" x14ac:dyDescent="0.25">
      <c r="A508" s="3">
        <v>518</v>
      </c>
      <c r="B508" s="3" t="s">
        <v>615</v>
      </c>
      <c r="C508" s="3" t="s">
        <v>590</v>
      </c>
      <c r="D508" s="3" t="s">
        <v>40</v>
      </c>
      <c r="E508" s="3">
        <v>121</v>
      </c>
      <c r="F508" s="3" t="s">
        <v>54</v>
      </c>
      <c r="G508" s="3" t="s">
        <v>242</v>
      </c>
      <c r="H508" s="3">
        <v>30</v>
      </c>
      <c r="I508" s="4">
        <v>121</v>
      </c>
      <c r="J508" s="5">
        <v>2520000</v>
      </c>
      <c r="K508" s="6">
        <f>$E508+1</f>
        <v>122</v>
      </c>
      <c r="L508" s="7">
        <f>IF($J508=0,0,ROUND(MAX($J508*1.4,1620000*(1.497923^(MIN($E508,123)-117)))*1,0))</f>
        <v>8155920</v>
      </c>
      <c r="M508" s="4">
        <f>$E508+2</f>
        <v>123</v>
      </c>
      <c r="N508" s="8">
        <f>IF($J508=0,0,ROUND(MAX($J508*1.4*1.5,2190000*(1.580994^(MIN($E508,123)-117)))*1,0))</f>
        <v>13682486</v>
      </c>
      <c r="O508" s="6">
        <f>$E508+4</f>
        <v>125</v>
      </c>
      <c r="P508" s="7">
        <f>IF($J508=0,0,ROUND(MAX($J508*1.4*1.5*1.6,3500000*(1.57975^(MIN($E508,123)-117)))*1,0))</f>
        <v>21798244</v>
      </c>
      <c r="Q508" s="4">
        <f>$E508+6</f>
        <v>127</v>
      </c>
      <c r="R508" s="8">
        <f>IF($J508=0,0,ROUND(MAX($J508*1.4*1.5*1.6*1.6,13100000*(1.429962^(MIN($E508,123)-117)))*1,0))</f>
        <v>54773347</v>
      </c>
      <c r="S508" s="6">
        <f>$E508+8</f>
        <v>129</v>
      </c>
      <c r="T508" s="7">
        <f>IF($J508=0,0,ROUND(MAX($J508*1.4*1.5*1.6*1.6*2.2,42600000*(1.576904^(MIN($E508,123)-117)))*1,0))</f>
        <v>263409005</v>
      </c>
      <c r="U508" s="4">
        <f>$E508+11</f>
        <v>132</v>
      </c>
      <c r="V508" s="8">
        <f>IF($J508=0,0,ROUND(MAX($J508*1.4*1.5*1.6*1.6*2.2*2.715,354000000*(1.642074^(MIN($E508,123)-117)))*1,0))</f>
        <v>2573796232</v>
      </c>
      <c r="W508" s="6">
        <f>$E508+15</f>
        <v>136</v>
      </c>
      <c r="X508" s="7">
        <f>IF($J508=0,0,ROUND(MAX($J508*1.4*1.5*1.6*1.6*2.2*2.715*2.6,3540000000*(1.579646^(MIN($E508,123)-117)))*1,0))</f>
        <v>22041561106</v>
      </c>
      <c r="Y508" s="4">
        <f>$E508+17</f>
        <v>138</v>
      </c>
      <c r="Z508" s="8">
        <f>IF($J508=0,0,ROUND(MAX($J508*1.4*1.5*1.6*1.6*2.2*2.715*2.6*1.4,6020000000*(1.651178^(MIN($E508,123)-117)))*1,0))</f>
        <v>44747838846</v>
      </c>
      <c r="AA508" s="6">
        <f>$E508+19</f>
        <v>140</v>
      </c>
      <c r="AB508" s="7">
        <f>IF($J508=0,0,ROUND(MAX($J508*1.4*1.5*1.6*1.6*2.2*2.715*2.6*1.4*1.4,8430000000*(1.651435^(MIN($E508,123)-117)))*1,0))</f>
        <v>62700862258</v>
      </c>
      <c r="AC508" s="4">
        <f>$E508+21</f>
        <v>142</v>
      </c>
      <c r="AD508" s="8">
        <f>IF($J508=0,0,ROUND(MAX($J508*1.4*1.5*1.6*1.6*2.2*2.715*2.6*1.4*1.4*1.5,12600000000*(1.652953^(MIN($E508,123)-117)))*1,0))</f>
        <v>94061644049</v>
      </c>
      <c r="AE508" s="6">
        <f>$E508+24</f>
        <v>145</v>
      </c>
      <c r="AF508" s="7">
        <f>IF($J508=0,0,ROUND(MAX($J508*1.4*1.5*1.6*1.6*2.2*2.715*2.6*1.4*1.4*1.5*1.5,18900000000*(1.65331^(MIN($E508,123)-117)))*1,0))</f>
        <v>141214396536</v>
      </c>
      <c r="AG508" s="4">
        <f>$E508+27</f>
        <v>148</v>
      </c>
      <c r="AH508" s="8">
        <f>IF($J508=0,0,ROUND(MAX($J508*1.4*1.5*1.6*1.6*2.2*2.715*2.6*1.4*1.4*1.5*1.5*3.2,60500000000*(1.654288^(MIN($E508,123)-117)))*1,0))</f>
        <v>453106040991</v>
      </c>
    </row>
    <row r="509" ht="27.75" customHeight="1" spans="1:34" x14ac:dyDescent="0.25">
      <c r="A509" s="3">
        <v>519</v>
      </c>
      <c r="B509" s="3" t="s">
        <v>616</v>
      </c>
      <c r="C509" s="3" t="s">
        <v>590</v>
      </c>
      <c r="D509" s="3" t="s">
        <v>45</v>
      </c>
      <c r="E509" s="3">
        <v>121</v>
      </c>
      <c r="F509" s="3" t="s">
        <v>26</v>
      </c>
      <c r="G509" s="3" t="s">
        <v>133</v>
      </c>
      <c r="H509" s="3">
        <v>30</v>
      </c>
      <c r="I509" s="4">
        <v>121</v>
      </c>
      <c r="J509" s="5">
        <v>2620000</v>
      </c>
      <c r="K509" s="6">
        <f>$E509+1</f>
        <v>122</v>
      </c>
      <c r="L509" s="7">
        <f>IF($J509=0,0,ROUND(MAX($J509*1.4,1620000*(1.497923^(MIN($E509,123)-117)))*1,0))</f>
        <v>8155920</v>
      </c>
      <c r="M509" s="4">
        <f>$E509+2</f>
        <v>123</v>
      </c>
      <c r="N509" s="8">
        <f>IF($J509=0,0,ROUND(MAX($J509*1.4*1.5,2190000*(1.580994^(MIN($E509,123)-117)))*1,0))</f>
        <v>13682486</v>
      </c>
      <c r="O509" s="6">
        <f>$E509+4</f>
        <v>125</v>
      </c>
      <c r="P509" s="7">
        <f>IF($J509=0,0,ROUND(MAX($J509*1.4*1.5*1.6,3500000*(1.57975^(MIN($E509,123)-117)))*1,0))</f>
        <v>21798244</v>
      </c>
      <c r="Q509" s="4">
        <f>$E509+6</f>
        <v>127</v>
      </c>
      <c r="R509" s="8">
        <f>IF($J509=0,0,ROUND(MAX($J509*1.4*1.5*1.6*1.6,13100000*(1.429962^(MIN($E509,123)-117)))*1,0))</f>
        <v>54773347</v>
      </c>
      <c r="S509" s="6">
        <f>$E509+8</f>
        <v>129</v>
      </c>
      <c r="T509" s="7">
        <f>IF($J509=0,0,ROUND(MAX($J509*1.4*1.5*1.6*1.6*2.2,42600000*(1.576904^(MIN($E509,123)-117)))*1,0))</f>
        <v>263409005</v>
      </c>
      <c r="U509" s="4">
        <f>$E509+11</f>
        <v>132</v>
      </c>
      <c r="V509" s="8">
        <f>IF($J509=0,0,ROUND(MAX($J509*1.4*1.5*1.6*1.6*2.2*2.715,354000000*(1.642074^(MIN($E509,123)-117)))*1,0))</f>
        <v>2573796232</v>
      </c>
      <c r="W509" s="6">
        <f>$E509+15</f>
        <v>136</v>
      </c>
      <c r="X509" s="7">
        <f>IF($J509=0,0,ROUND(MAX($J509*1.4*1.5*1.6*1.6*2.2*2.715*2.6,3540000000*(1.579646^(MIN($E509,123)-117)))*1,0))</f>
        <v>22041561106</v>
      </c>
      <c r="Y509" s="4">
        <f>$E509+17</f>
        <v>138</v>
      </c>
      <c r="Z509" s="8">
        <f>IF($J509=0,0,ROUND(MAX($J509*1.4*1.5*1.6*1.6*2.2*2.715*2.6*1.4,6020000000*(1.651178^(MIN($E509,123)-117)))*1,0))</f>
        <v>44747838846</v>
      </c>
      <c r="AA509" s="6">
        <f>$E509+19</f>
        <v>140</v>
      </c>
      <c r="AB509" s="7">
        <f>IF($J509=0,0,ROUND(MAX($J509*1.4*1.5*1.6*1.6*2.2*2.715*2.6*1.4*1.4,8430000000*(1.651435^(MIN($E509,123)-117)))*1,0))</f>
        <v>62700862258</v>
      </c>
      <c r="AC509" s="4">
        <f>$E509+21</f>
        <v>142</v>
      </c>
      <c r="AD509" s="8">
        <f>IF($J509=0,0,ROUND(MAX($J509*1.4*1.5*1.6*1.6*2.2*2.715*2.6*1.4*1.4*1.5,12600000000*(1.652953^(MIN($E509,123)-117)))*1,0))</f>
        <v>94061644049</v>
      </c>
      <c r="AE509" s="6">
        <f>$E509+24</f>
        <v>145</v>
      </c>
      <c r="AF509" s="7">
        <f>IF($J509=0,0,ROUND(MAX($J509*1.4*1.5*1.6*1.6*2.2*2.715*2.6*1.4*1.4*1.5*1.5,18900000000*(1.65331^(MIN($E509,123)-117)))*1,0))</f>
        <v>141214396536</v>
      </c>
      <c r="AG509" s="4">
        <f>$E509+27</f>
        <v>148</v>
      </c>
      <c r="AH509" s="8">
        <f>IF($J509=0,0,ROUND(MAX($J509*1.4*1.5*1.6*1.6*2.2*2.715*2.6*1.4*1.4*1.5*1.5*3.2,60500000000*(1.654288^(MIN($E509,123)-117)))*1,0))</f>
        <v>453106040991</v>
      </c>
    </row>
    <row r="510" ht="27.75" customHeight="1" spans="1:34" x14ac:dyDescent="0.25">
      <c r="A510" s="3">
        <v>520</v>
      </c>
      <c r="B510" s="3" t="s">
        <v>617</v>
      </c>
      <c r="C510" s="3" t="s">
        <v>590</v>
      </c>
      <c r="D510" s="3" t="s">
        <v>33</v>
      </c>
      <c r="E510" s="3">
        <v>120</v>
      </c>
      <c r="F510" s="3" t="s">
        <v>62</v>
      </c>
      <c r="G510" s="3" t="s">
        <v>67</v>
      </c>
      <c r="H510" s="3">
        <v>30</v>
      </c>
      <c r="I510" s="4">
        <v>120</v>
      </c>
      <c r="J510" s="5">
        <v>1700000</v>
      </c>
      <c r="K510" s="6">
        <f>$E510+1</f>
        <v>121</v>
      </c>
      <c r="L510" s="7">
        <f>IF($J510=0,0,ROUND(MAX($J510*1.4,1620000*(1.497923^(MIN($E510,123)-117)))*1,0))</f>
        <v>5444819</v>
      </c>
      <c r="M510" s="4">
        <f>$E510+2</f>
        <v>122</v>
      </c>
      <c r="N510" s="8">
        <f>IF($J510=0,0,ROUND(MAX($J510*1.4*1.5,2190000*(1.580994^(MIN($E510,123)-117)))*1,0))</f>
        <v>8654356</v>
      </c>
      <c r="O510" s="6">
        <f>$E510+4</f>
        <v>124</v>
      </c>
      <c r="P510" s="7">
        <f>IF($J510=0,0,ROUND(MAX($J510*1.4*1.5*1.6,3500000*(1.57975^(MIN($E510,123)-117)))*1,0))</f>
        <v>13798540</v>
      </c>
      <c r="Q510" s="4">
        <f>$E510+6</f>
        <v>126</v>
      </c>
      <c r="R510" s="8">
        <f>IF($J510=0,0,ROUND(MAX($J510*1.4*1.5*1.6*1.6,13100000*(1.429962^(MIN($E510,123)-117)))*1,0))</f>
        <v>38304058</v>
      </c>
      <c r="S510" s="6">
        <f>$E510+8</f>
        <v>128</v>
      </c>
      <c r="T510" s="7">
        <f>IF($J510=0,0,ROUND(MAX($J510*1.4*1.5*1.6*1.6*2.2,42600000*(1.576904^(MIN($E510,123)-117)))*1,0))</f>
        <v>167041878</v>
      </c>
      <c r="U510" s="4">
        <f>$E510+11</f>
        <v>131</v>
      </c>
      <c r="V510" s="8">
        <f>IF($J510=0,0,ROUND(MAX($J510*1.4*1.5*1.6*1.6*2.2*2.715,354000000*(1.642074^(MIN($E510,123)-117)))*1,0))</f>
        <v>1567405752</v>
      </c>
      <c r="W510" s="6">
        <f>$E510+15</f>
        <v>135</v>
      </c>
      <c r="X510" s="7">
        <f>IF($J510=0,0,ROUND(MAX($J510*1.4*1.5*1.6*1.6*2.2*2.715*2.6,3540000000*(1.579646^(MIN($E510,123)-117)))*1,0))</f>
        <v>13953481417</v>
      </c>
      <c r="Y510" s="4">
        <f>$E510+17</f>
        <v>137</v>
      </c>
      <c r="Z510" s="8">
        <f>IF($J510=0,0,ROUND(MAX($J510*1.4*1.5*1.6*1.6*2.2*2.715*2.6*1.4,6020000000*(1.651178^(MIN($E510,123)-117)))*1,0))</f>
        <v>27100554178</v>
      </c>
      <c r="AA510" s="6">
        <f>$E510+19</f>
        <v>139</v>
      </c>
      <c r="AB510" s="7">
        <f>IF($J510=0,0,ROUND(MAX($J510*1.4*1.5*1.6*1.6*2.2*2.715*2.6*1.4*1.4,8430000000*(1.651435^(MIN($E510,123)-117)))*1,0))</f>
        <v>37967502359</v>
      </c>
      <c r="AC510" s="4">
        <f>$E510+21</f>
        <v>141</v>
      </c>
      <c r="AD510" s="8">
        <f>IF($J510=0,0,ROUND(MAX($J510*1.4*1.5*1.6*1.6*2.2*2.715*2.6*1.4*1.4*1.5,12600000000*(1.652953^(MIN($E510,123)-117)))*1,0))</f>
        <v>56905213910</v>
      </c>
      <c r="AE510" s="6">
        <f>$E510+24</f>
        <v>144</v>
      </c>
      <c r="AF510" s="7">
        <f>IF($J510=0,0,ROUND(MAX($J510*1.4*1.5*1.6*1.6*2.2*2.715*2.6*1.4*1.4*1.5*1.5,18900000000*(1.65331^(MIN($E510,123)-117)))*1,0))</f>
        <v>85413138816</v>
      </c>
      <c r="AG510" s="4">
        <f>$E510+27</f>
        <v>147</v>
      </c>
      <c r="AH510" s="8">
        <f>IF($J510=0,0,ROUND(MAX($J510*1.4*1.5*1.6*1.6*2.2*2.715*2.6*1.4*1.4*1.5*1.5*3.2,60500000000*(1.654288^(MIN($E510,123)-117)))*1,0))</f>
        <v>273897919220</v>
      </c>
    </row>
    <row r="511" ht="27.75" customHeight="1" spans="1:34" x14ac:dyDescent="0.25">
      <c r="A511" s="3">
        <v>521</v>
      </c>
      <c r="B511" s="3" t="s">
        <v>618</v>
      </c>
      <c r="C511" s="3" t="s">
        <v>590</v>
      </c>
      <c r="D511" s="3" t="s">
        <v>331</v>
      </c>
      <c r="E511" s="3">
        <v>121</v>
      </c>
      <c r="F511" s="3" t="s">
        <v>42</v>
      </c>
      <c r="G511" s="3" t="s">
        <v>133</v>
      </c>
      <c r="H511" s="3">
        <v>30</v>
      </c>
      <c r="I511" s="4">
        <v>121</v>
      </c>
      <c r="J511" s="5">
        <v>2660000</v>
      </c>
      <c r="K511" s="6">
        <f>$E511+1</f>
        <v>122</v>
      </c>
      <c r="L511" s="7">
        <f>IF($J511=0,0,ROUND(MAX($J511*1.4,1620000*(1.497923^(MIN($E511,123)-117)))*1,0))</f>
        <v>8155920</v>
      </c>
      <c r="M511" s="4">
        <f>$E511+2</f>
        <v>123</v>
      </c>
      <c r="N511" s="8">
        <f>IF($J511=0,0,ROUND(MAX($J511*1.4*1.5,2190000*(1.580994^(MIN($E511,123)-117)))*1,0))</f>
        <v>13682486</v>
      </c>
      <c r="O511" s="6">
        <f>$E511+4</f>
        <v>125</v>
      </c>
      <c r="P511" s="7">
        <f>IF($J511=0,0,ROUND(MAX($J511*1.4*1.5*1.6,3500000*(1.57975^(MIN($E511,123)-117)))*1,0))</f>
        <v>21798244</v>
      </c>
      <c r="Q511" s="4">
        <f>$E511+6</f>
        <v>127</v>
      </c>
      <c r="R511" s="8">
        <f>IF($J511=0,0,ROUND(MAX($J511*1.4*1.5*1.6*1.6,13100000*(1.429962^(MIN($E511,123)-117)))*1,0))</f>
        <v>54773347</v>
      </c>
      <c r="S511" s="6">
        <f>$E511+8</f>
        <v>129</v>
      </c>
      <c r="T511" s="7">
        <f>IF($J511=0,0,ROUND(MAX($J511*1.4*1.5*1.6*1.6*2.2,42600000*(1.576904^(MIN($E511,123)-117)))*1,0))</f>
        <v>263409005</v>
      </c>
      <c r="U511" s="4">
        <f>$E511+11</f>
        <v>132</v>
      </c>
      <c r="V511" s="8">
        <f>IF($J511=0,0,ROUND(MAX($J511*1.4*1.5*1.6*1.6*2.2*2.715,354000000*(1.642074^(MIN($E511,123)-117)))*1,0))</f>
        <v>2573796232</v>
      </c>
      <c r="W511" s="6">
        <f>$E511+15</f>
        <v>136</v>
      </c>
      <c r="X511" s="7">
        <f>IF($J511=0,0,ROUND(MAX($J511*1.4*1.5*1.6*1.6*2.2*2.715*2.6,3540000000*(1.579646^(MIN($E511,123)-117)))*1,0))</f>
        <v>22041561106</v>
      </c>
      <c r="Y511" s="4">
        <f>$E511+17</f>
        <v>138</v>
      </c>
      <c r="Z511" s="8">
        <f>IF($J511=0,0,ROUND(MAX($J511*1.4*1.5*1.6*1.6*2.2*2.715*2.6*1.4,6020000000*(1.651178^(MIN($E511,123)-117)))*1,0))</f>
        <v>44747838846</v>
      </c>
      <c r="AA511" s="6">
        <f>$E511+19</f>
        <v>140</v>
      </c>
      <c r="AB511" s="7">
        <f>IF($J511=0,0,ROUND(MAX($J511*1.4*1.5*1.6*1.6*2.2*2.715*2.6*1.4*1.4,8430000000*(1.651435^(MIN($E511,123)-117)))*1,0))</f>
        <v>62700862258</v>
      </c>
      <c r="AC511" s="4">
        <f>$E511+21</f>
        <v>142</v>
      </c>
      <c r="AD511" s="8">
        <f>IF($J511=0,0,ROUND(MAX($J511*1.4*1.5*1.6*1.6*2.2*2.715*2.6*1.4*1.4*1.5,12600000000*(1.652953^(MIN($E511,123)-117)))*1,0))</f>
        <v>94061644049</v>
      </c>
      <c r="AE511" s="6">
        <f>$E511+24</f>
        <v>145</v>
      </c>
      <c r="AF511" s="7">
        <f>IF($J511=0,0,ROUND(MAX($J511*1.4*1.5*1.6*1.6*2.2*2.715*2.6*1.4*1.4*1.5*1.5,18900000000*(1.65331^(MIN($E511,123)-117)))*1,0))</f>
        <v>141214396536</v>
      </c>
      <c r="AG511" s="4">
        <f>$E511+27</f>
        <v>148</v>
      </c>
      <c r="AH511" s="8">
        <f>IF($J511=0,0,ROUND(MAX($J511*1.4*1.5*1.6*1.6*2.2*2.715*2.6*1.4*1.4*1.5*1.5*3.2,60500000000*(1.654288^(MIN($E511,123)-117)))*1,0))</f>
        <v>453106040991</v>
      </c>
    </row>
    <row r="512" ht="27.75" customHeight="1" spans="1:34" x14ac:dyDescent="0.25">
      <c r="A512" s="3">
        <v>522</v>
      </c>
      <c r="B512" s="3" t="s">
        <v>166</v>
      </c>
      <c r="C512" s="3" t="s">
        <v>590</v>
      </c>
      <c r="D512" s="3" t="s">
        <v>33</v>
      </c>
      <c r="E512" s="3">
        <v>121</v>
      </c>
      <c r="F512" s="3" t="s">
        <v>62</v>
      </c>
      <c r="G512" s="3" t="s">
        <v>67</v>
      </c>
      <c r="H512" s="3">
        <v>31</v>
      </c>
      <c r="I512" s="4">
        <v>121</v>
      </c>
      <c r="J512" s="5">
        <v>2420000</v>
      </c>
      <c r="K512" s="6">
        <f>$E512+1</f>
        <v>122</v>
      </c>
      <c r="L512" s="7">
        <f>IF($J512=0,0,ROUND(MAX($J512*1.4,1620000*(1.497923^(MIN($E512,123)-117)))*1,0))</f>
        <v>8155920</v>
      </c>
      <c r="M512" s="4">
        <f>$E512+2</f>
        <v>123</v>
      </c>
      <c r="N512" s="8">
        <f>IF($J512=0,0,ROUND(MAX($J512*1.4*1.5,2190000*(1.580994^(MIN($E512,123)-117)))*1,0))</f>
        <v>13682486</v>
      </c>
      <c r="O512" s="6">
        <f>$E512+4</f>
        <v>125</v>
      </c>
      <c r="P512" s="7">
        <f>IF($J512=0,0,ROUND(MAX($J512*1.4*1.5*1.6,3500000*(1.57975^(MIN($E512,123)-117)))*1,0))</f>
        <v>21798244</v>
      </c>
      <c r="Q512" s="4">
        <f>$E512+6</f>
        <v>127</v>
      </c>
      <c r="R512" s="8">
        <f>IF($J512=0,0,ROUND(MAX($J512*1.4*1.5*1.6*1.6,13100000*(1.429962^(MIN($E512,123)-117)))*1,0))</f>
        <v>54773347</v>
      </c>
      <c r="S512" s="6">
        <f>$E512+8</f>
        <v>129</v>
      </c>
      <c r="T512" s="7">
        <f>IF($J512=0,0,ROUND(MAX($J512*1.4*1.5*1.6*1.6*2.2,42600000*(1.576904^(MIN($E512,123)-117)))*1,0))</f>
        <v>263409005</v>
      </c>
      <c r="U512" s="4">
        <f>$E512+11</f>
        <v>132</v>
      </c>
      <c r="V512" s="8">
        <f>IF($J512=0,0,ROUND(MAX($J512*1.4*1.5*1.6*1.6*2.2*2.715,354000000*(1.642074^(MIN($E512,123)-117)))*1,0))</f>
        <v>2573796232</v>
      </c>
      <c r="W512" s="6">
        <f>$E512+15</f>
        <v>136</v>
      </c>
      <c r="X512" s="7">
        <f>IF($J512=0,0,ROUND(MAX($J512*1.4*1.5*1.6*1.6*2.2*2.715*2.6,3540000000*(1.579646^(MIN($E512,123)-117)))*1,0))</f>
        <v>22041561106</v>
      </c>
      <c r="Y512" s="4">
        <f>$E512+17</f>
        <v>138</v>
      </c>
      <c r="Z512" s="8">
        <f>IF($J512=0,0,ROUND(MAX($J512*1.4*1.5*1.6*1.6*2.2*2.715*2.6*1.4,6020000000*(1.651178^(MIN($E512,123)-117)))*1,0))</f>
        <v>44747838846</v>
      </c>
      <c r="AA512" s="6">
        <f>$E512+19</f>
        <v>140</v>
      </c>
      <c r="AB512" s="7">
        <f>IF($J512=0,0,ROUND(MAX($J512*1.4*1.5*1.6*1.6*2.2*2.715*2.6*1.4*1.4,8430000000*(1.651435^(MIN($E512,123)-117)))*1,0))</f>
        <v>62700862258</v>
      </c>
      <c r="AC512" s="4">
        <f>$E512+21</f>
        <v>142</v>
      </c>
      <c r="AD512" s="8">
        <f>IF($J512=0,0,ROUND(MAX($J512*1.4*1.5*1.6*1.6*2.2*2.715*2.6*1.4*1.4*1.5,12600000000*(1.652953^(MIN($E512,123)-117)))*1,0))</f>
        <v>94061644049</v>
      </c>
      <c r="AE512" s="6">
        <f>$E512+24</f>
        <v>145</v>
      </c>
      <c r="AF512" s="7">
        <f>IF($J512=0,0,ROUND(MAX($J512*1.4*1.5*1.6*1.6*2.2*2.715*2.6*1.4*1.4*1.5*1.5,18900000000*(1.65331^(MIN($E512,123)-117)))*1,0))</f>
        <v>141214396536</v>
      </c>
      <c r="AG512" s="4">
        <f>$E512+27</f>
        <v>148</v>
      </c>
      <c r="AH512" s="8">
        <f>IF($J512=0,0,ROUND(MAX($J512*1.4*1.5*1.6*1.6*2.2*2.715*2.6*1.4*1.4*1.5*1.5*3.2,60500000000*(1.654288^(MIN($E512,123)-117)))*1,0))</f>
        <v>453106040991</v>
      </c>
    </row>
    <row r="513" ht="27.75" customHeight="1" spans="1:34" x14ac:dyDescent="0.25">
      <c r="A513" s="3">
        <v>523</v>
      </c>
      <c r="B513" s="3" t="s">
        <v>619</v>
      </c>
      <c r="C513" s="3" t="s">
        <v>590</v>
      </c>
      <c r="D513" s="3" t="s">
        <v>64</v>
      </c>
      <c r="E513" s="3">
        <v>120</v>
      </c>
      <c r="F513" s="3" t="s">
        <v>54</v>
      </c>
      <c r="G513" s="3" t="s">
        <v>72</v>
      </c>
      <c r="H513" s="3">
        <v>31</v>
      </c>
      <c r="I513" s="4">
        <v>120</v>
      </c>
      <c r="J513" s="5">
        <v>1820000</v>
      </c>
      <c r="K513" s="6">
        <f>$E513+1</f>
        <v>121</v>
      </c>
      <c r="L513" s="7">
        <f>IF($J513=0,0,ROUND(MAX($J513*1.4,1620000*(1.497923^(MIN($E513,123)-117)))*1,0))</f>
        <v>5444819</v>
      </c>
      <c r="M513" s="4">
        <f>$E513+2</f>
        <v>122</v>
      </c>
      <c r="N513" s="8">
        <f>IF($J513=0,0,ROUND(MAX($J513*1.4*1.5,2190000*(1.580994^(MIN($E513,123)-117)))*1,0))</f>
        <v>8654356</v>
      </c>
      <c r="O513" s="6">
        <f>$E513+4</f>
        <v>124</v>
      </c>
      <c r="P513" s="7">
        <f>IF($J513=0,0,ROUND(MAX($J513*1.4*1.5*1.6,3500000*(1.57975^(MIN($E513,123)-117)))*1,0))</f>
        <v>13798540</v>
      </c>
      <c r="Q513" s="4">
        <f>$E513+6</f>
        <v>126</v>
      </c>
      <c r="R513" s="8">
        <f>IF($J513=0,0,ROUND(MAX($J513*1.4*1.5*1.6*1.6,13100000*(1.429962^(MIN($E513,123)-117)))*1,0))</f>
        <v>38304058</v>
      </c>
      <c r="S513" s="6">
        <f>$E513+8</f>
        <v>128</v>
      </c>
      <c r="T513" s="7">
        <f>IF($J513=0,0,ROUND(MAX($J513*1.4*1.5*1.6*1.6*2.2,42600000*(1.576904^(MIN($E513,123)-117)))*1,0))</f>
        <v>167041878</v>
      </c>
      <c r="U513" s="4">
        <f>$E513+11</f>
        <v>131</v>
      </c>
      <c r="V513" s="8">
        <f>IF($J513=0,0,ROUND(MAX($J513*1.4*1.5*1.6*1.6*2.2*2.715,354000000*(1.642074^(MIN($E513,123)-117)))*1,0))</f>
        <v>1567405752</v>
      </c>
      <c r="W513" s="6">
        <f>$E513+15</f>
        <v>135</v>
      </c>
      <c r="X513" s="7">
        <f>IF($J513=0,0,ROUND(MAX($J513*1.4*1.5*1.6*1.6*2.2*2.715*2.6,3540000000*(1.579646^(MIN($E513,123)-117)))*1,0))</f>
        <v>13953481417</v>
      </c>
      <c r="Y513" s="4">
        <f>$E513+17</f>
        <v>137</v>
      </c>
      <c r="Z513" s="8">
        <f>IF($J513=0,0,ROUND(MAX($J513*1.4*1.5*1.6*1.6*2.2*2.715*2.6*1.4,6020000000*(1.651178^(MIN($E513,123)-117)))*1,0))</f>
        <v>27100554178</v>
      </c>
      <c r="AA513" s="6">
        <f>$E513+19</f>
        <v>139</v>
      </c>
      <c r="AB513" s="7">
        <f>IF($J513=0,0,ROUND(MAX($J513*1.4*1.5*1.6*1.6*2.2*2.715*2.6*1.4*1.4,8430000000*(1.651435^(MIN($E513,123)-117)))*1,0))</f>
        <v>37967502359</v>
      </c>
      <c r="AC513" s="4">
        <f>$E513+21</f>
        <v>141</v>
      </c>
      <c r="AD513" s="8">
        <f>IF($J513=0,0,ROUND(MAX($J513*1.4*1.5*1.6*1.6*2.2*2.715*2.6*1.4*1.4*1.5,12600000000*(1.652953^(MIN($E513,123)-117)))*1,0))</f>
        <v>56905213910</v>
      </c>
      <c r="AE513" s="6">
        <f>$E513+24</f>
        <v>144</v>
      </c>
      <c r="AF513" s="7">
        <f>IF($J513=0,0,ROUND(MAX($J513*1.4*1.5*1.6*1.6*2.2*2.715*2.6*1.4*1.4*1.5*1.5,18900000000*(1.65331^(MIN($E513,123)-117)))*1,0))</f>
        <v>85413138816</v>
      </c>
      <c r="AG513" s="4">
        <f>$E513+27</f>
        <v>147</v>
      </c>
      <c r="AH513" s="8">
        <f>IF($J513=0,0,ROUND(MAX($J513*1.4*1.5*1.6*1.6*2.2*2.715*2.6*1.4*1.4*1.5*1.5*3.2,60500000000*(1.654288^(MIN($E513,123)-117)))*1,0))</f>
        <v>273897919220</v>
      </c>
    </row>
    <row r="514" ht="27.75" customHeight="1" spans="1:34" x14ac:dyDescent="0.25">
      <c r="A514" s="3">
        <v>524</v>
      </c>
      <c r="B514" s="3" t="s">
        <v>620</v>
      </c>
      <c r="C514" s="3" t="s">
        <v>590</v>
      </c>
      <c r="D514" s="3" t="s">
        <v>102</v>
      </c>
      <c r="E514" s="3">
        <v>121</v>
      </c>
      <c r="F514" s="3" t="s">
        <v>42</v>
      </c>
      <c r="G514" s="3" t="s">
        <v>133</v>
      </c>
      <c r="H514" s="3">
        <v>30</v>
      </c>
      <c r="I514" s="4">
        <v>121</v>
      </c>
      <c r="J514" s="5">
        <v>2660000</v>
      </c>
      <c r="K514" s="6">
        <f>$E514+1</f>
        <v>122</v>
      </c>
      <c r="L514" s="7">
        <f>IF($J514=0,0,ROUND(MAX($J514*1.4,1620000*(1.497923^(MIN($E514,123)-117)))*1,0))</f>
        <v>8155920</v>
      </c>
      <c r="M514" s="4">
        <f>$E514+2</f>
        <v>123</v>
      </c>
      <c r="N514" s="8">
        <f>IF($J514=0,0,ROUND(MAX($J514*1.4*1.5,2190000*(1.580994^(MIN($E514,123)-117)))*1,0))</f>
        <v>13682486</v>
      </c>
      <c r="O514" s="6">
        <f>$E514+4</f>
        <v>125</v>
      </c>
      <c r="P514" s="7">
        <f>IF($J514=0,0,ROUND(MAX($J514*1.4*1.5*1.6,3500000*(1.57975^(MIN($E514,123)-117)))*1,0))</f>
        <v>21798244</v>
      </c>
      <c r="Q514" s="4">
        <f>$E514+6</f>
        <v>127</v>
      </c>
      <c r="R514" s="8">
        <f>IF($J514=0,0,ROUND(MAX($J514*1.4*1.5*1.6*1.6,13100000*(1.429962^(MIN($E514,123)-117)))*1,0))</f>
        <v>54773347</v>
      </c>
      <c r="S514" s="6">
        <f>$E514+8</f>
        <v>129</v>
      </c>
      <c r="T514" s="7">
        <f>IF($J514=0,0,ROUND(MAX($J514*1.4*1.5*1.6*1.6*2.2,42600000*(1.576904^(MIN($E514,123)-117)))*1,0))</f>
        <v>263409005</v>
      </c>
      <c r="U514" s="4">
        <f>$E514+11</f>
        <v>132</v>
      </c>
      <c r="V514" s="8">
        <f>IF($J514=0,0,ROUND(MAX($J514*1.4*1.5*1.6*1.6*2.2*2.715,354000000*(1.642074^(MIN($E514,123)-117)))*1,0))</f>
        <v>2573796232</v>
      </c>
      <c r="W514" s="6">
        <f>$E514+15</f>
        <v>136</v>
      </c>
      <c r="X514" s="7">
        <f>IF($J514=0,0,ROUND(MAX($J514*1.4*1.5*1.6*1.6*2.2*2.715*2.6,3540000000*(1.579646^(MIN($E514,123)-117)))*1,0))</f>
        <v>22041561106</v>
      </c>
      <c r="Y514" s="4">
        <f>$E514+17</f>
        <v>138</v>
      </c>
      <c r="Z514" s="8">
        <f>IF($J514=0,0,ROUND(MAX($J514*1.4*1.5*1.6*1.6*2.2*2.715*2.6*1.4,6020000000*(1.651178^(MIN($E514,123)-117)))*1,0))</f>
        <v>44747838846</v>
      </c>
      <c r="AA514" s="6">
        <f>$E514+19</f>
        <v>140</v>
      </c>
      <c r="AB514" s="7">
        <f>IF($J514=0,0,ROUND(MAX($J514*1.4*1.5*1.6*1.6*2.2*2.715*2.6*1.4*1.4,8430000000*(1.651435^(MIN($E514,123)-117)))*1,0))</f>
        <v>62700862258</v>
      </c>
      <c r="AC514" s="4">
        <f>$E514+21</f>
        <v>142</v>
      </c>
      <c r="AD514" s="8">
        <f>IF($J514=0,0,ROUND(MAX($J514*1.4*1.5*1.6*1.6*2.2*2.715*2.6*1.4*1.4*1.5,12600000000*(1.652953^(MIN($E514,123)-117)))*1,0))</f>
        <v>94061644049</v>
      </c>
      <c r="AE514" s="6">
        <f>$E514+24</f>
        <v>145</v>
      </c>
      <c r="AF514" s="7">
        <f>IF($J514=0,0,ROUND(MAX($J514*1.4*1.5*1.6*1.6*2.2*2.715*2.6*1.4*1.4*1.5*1.5,18900000000*(1.65331^(MIN($E514,123)-117)))*1,0))</f>
        <v>141214396536</v>
      </c>
      <c r="AG514" s="4">
        <f>$E514+27</f>
        <v>148</v>
      </c>
      <c r="AH514" s="8">
        <f>IF($J514=0,0,ROUND(MAX($J514*1.4*1.5*1.6*1.6*2.2*2.715*2.6*1.4*1.4*1.5*1.5*3.2,60500000000*(1.654288^(MIN($E514,123)-117)))*1,0))</f>
        <v>453106040991</v>
      </c>
    </row>
    <row r="515" ht="27.75" customHeight="1" spans="1:34" x14ac:dyDescent="0.25">
      <c r="A515" s="3">
        <v>525</v>
      </c>
      <c r="B515" s="3" t="s">
        <v>487</v>
      </c>
      <c r="C515" s="3" t="s">
        <v>590</v>
      </c>
      <c r="D515" s="3" t="s">
        <v>45</v>
      </c>
      <c r="E515" s="3">
        <v>121</v>
      </c>
      <c r="F515" s="3" t="s">
        <v>62</v>
      </c>
      <c r="G515" s="3" t="s">
        <v>67</v>
      </c>
      <c r="H515" s="3">
        <v>30</v>
      </c>
      <c r="I515" s="4">
        <v>121</v>
      </c>
      <c r="J515" s="5">
        <v>2630000</v>
      </c>
      <c r="K515" s="6">
        <f>$E515+1</f>
        <v>122</v>
      </c>
      <c r="L515" s="7">
        <f>IF($J515=0,0,ROUND(MAX($J515*1.4,1620000*(1.497923^(MIN($E515,123)-117)))*1,0))</f>
        <v>8155920</v>
      </c>
      <c r="M515" s="4">
        <f>$E515+2</f>
        <v>123</v>
      </c>
      <c r="N515" s="8">
        <f>IF($J515=0,0,ROUND(MAX($J515*1.4*1.5,2190000*(1.580994^(MIN($E515,123)-117)))*1,0))</f>
        <v>13682486</v>
      </c>
      <c r="O515" s="6">
        <f>$E515+4</f>
        <v>125</v>
      </c>
      <c r="P515" s="7">
        <f>IF($J515=0,0,ROUND(MAX($J515*1.4*1.5*1.6,3500000*(1.57975^(MIN($E515,123)-117)))*1,0))</f>
        <v>21798244</v>
      </c>
      <c r="Q515" s="4">
        <f>$E515+6</f>
        <v>127</v>
      </c>
      <c r="R515" s="8">
        <f>IF($J515=0,0,ROUND(MAX($J515*1.4*1.5*1.6*1.6,13100000*(1.429962^(MIN($E515,123)-117)))*1,0))</f>
        <v>54773347</v>
      </c>
      <c r="S515" s="6">
        <f>$E515+8</f>
        <v>129</v>
      </c>
      <c r="T515" s="7">
        <f>IF($J515=0,0,ROUND(MAX($J515*1.4*1.5*1.6*1.6*2.2,42600000*(1.576904^(MIN($E515,123)-117)))*1,0))</f>
        <v>263409005</v>
      </c>
      <c r="U515" s="4">
        <f>$E515+11</f>
        <v>132</v>
      </c>
      <c r="V515" s="8">
        <f>IF($J515=0,0,ROUND(MAX($J515*1.4*1.5*1.6*1.6*2.2*2.715,354000000*(1.642074^(MIN($E515,123)-117)))*1,0))</f>
        <v>2573796232</v>
      </c>
      <c r="W515" s="6">
        <f>$E515+15</f>
        <v>136</v>
      </c>
      <c r="X515" s="7">
        <f>IF($J515=0,0,ROUND(MAX($J515*1.4*1.5*1.6*1.6*2.2*2.715*2.6,3540000000*(1.579646^(MIN($E515,123)-117)))*1,0))</f>
        <v>22041561106</v>
      </c>
      <c r="Y515" s="4">
        <f>$E515+17</f>
        <v>138</v>
      </c>
      <c r="Z515" s="8">
        <f>IF($J515=0,0,ROUND(MAX($J515*1.4*1.5*1.6*1.6*2.2*2.715*2.6*1.4,6020000000*(1.651178^(MIN($E515,123)-117)))*1,0))</f>
        <v>44747838846</v>
      </c>
      <c r="AA515" s="6">
        <f>$E515+19</f>
        <v>140</v>
      </c>
      <c r="AB515" s="7">
        <f>IF($J515=0,0,ROUND(MAX($J515*1.4*1.5*1.6*1.6*2.2*2.715*2.6*1.4*1.4,8430000000*(1.651435^(MIN($E515,123)-117)))*1,0))</f>
        <v>62700862258</v>
      </c>
      <c r="AC515" s="4">
        <f>$E515+21</f>
        <v>142</v>
      </c>
      <c r="AD515" s="8">
        <f>IF($J515=0,0,ROUND(MAX($J515*1.4*1.5*1.6*1.6*2.2*2.715*2.6*1.4*1.4*1.5,12600000000*(1.652953^(MIN($E515,123)-117)))*1,0))</f>
        <v>94061644049</v>
      </c>
      <c r="AE515" s="6">
        <f>$E515+24</f>
        <v>145</v>
      </c>
      <c r="AF515" s="7">
        <f>IF($J515=0,0,ROUND(MAX($J515*1.4*1.5*1.6*1.6*2.2*2.715*2.6*1.4*1.4*1.5*1.5,18900000000*(1.65331^(MIN($E515,123)-117)))*1,0))</f>
        <v>141214396536</v>
      </c>
      <c r="AG515" s="4">
        <f>$E515+27</f>
        <v>148</v>
      </c>
      <c r="AH515" s="8">
        <f>IF($J515=0,0,ROUND(MAX($J515*1.4*1.5*1.6*1.6*2.2*2.715*2.6*1.4*1.4*1.5*1.5*3.2,60500000000*(1.654288^(MIN($E515,123)-117)))*1,0))</f>
        <v>453106040991</v>
      </c>
    </row>
    <row r="516" ht="27.75" customHeight="1" spans="1:34" x14ac:dyDescent="0.25">
      <c r="A516" s="3">
        <v>526</v>
      </c>
      <c r="B516" s="3" t="s">
        <v>299</v>
      </c>
      <c r="C516" s="3" t="s">
        <v>590</v>
      </c>
      <c r="D516" s="3" t="s">
        <v>102</v>
      </c>
      <c r="E516" s="3">
        <v>121</v>
      </c>
      <c r="F516" s="3" t="s">
        <v>298</v>
      </c>
      <c r="G516" s="3" t="s">
        <v>300</v>
      </c>
      <c r="H516" s="3">
        <v>31</v>
      </c>
      <c r="I516" s="4">
        <v>121</v>
      </c>
      <c r="J516" s="5">
        <v>2490000</v>
      </c>
      <c r="K516" s="6">
        <f>$E516+1</f>
        <v>122</v>
      </c>
      <c r="L516" s="7">
        <f>IF($J516=0,0,ROUND(MAX($J516*1.4,1620000*(1.497923^(MIN($E516,123)-117)))*1,0))</f>
        <v>8155920</v>
      </c>
      <c r="M516" s="4">
        <f>$E516+2</f>
        <v>123</v>
      </c>
      <c r="N516" s="8">
        <f>IF($J516=0,0,ROUND(MAX($J516*1.4*1.5,2190000*(1.580994^(MIN($E516,123)-117)))*1,0))</f>
        <v>13682486</v>
      </c>
      <c r="O516" s="6">
        <f>$E516+4</f>
        <v>125</v>
      </c>
      <c r="P516" s="7">
        <f>IF($J516=0,0,ROUND(MAX($J516*1.4*1.5*1.6,3500000*(1.57975^(MIN($E516,123)-117)))*1,0))</f>
        <v>21798244</v>
      </c>
      <c r="Q516" s="4">
        <f>$E516+6</f>
        <v>127</v>
      </c>
      <c r="R516" s="8">
        <f>IF($J516=0,0,ROUND(MAX($J516*1.4*1.5*1.6*1.6,13100000*(1.429962^(MIN($E516,123)-117)))*1,0))</f>
        <v>54773347</v>
      </c>
      <c r="S516" s="6">
        <f>$E516+8</f>
        <v>129</v>
      </c>
      <c r="T516" s="7">
        <f>IF($J516=0,0,ROUND(MAX($J516*1.4*1.5*1.6*1.6*2.2,42600000*(1.576904^(MIN($E516,123)-117)))*1,0))</f>
        <v>263409005</v>
      </c>
      <c r="U516" s="4">
        <f>$E516+11</f>
        <v>132</v>
      </c>
      <c r="V516" s="8">
        <f>IF($J516=0,0,ROUND(MAX($J516*1.4*1.5*1.6*1.6*2.2*2.715,354000000*(1.642074^(MIN($E516,123)-117)))*1,0))</f>
        <v>2573796232</v>
      </c>
      <c r="W516" s="6">
        <f>$E516+15</f>
        <v>136</v>
      </c>
      <c r="X516" s="7">
        <f>IF($J516=0,0,ROUND(MAX($J516*1.4*1.5*1.6*1.6*2.2*2.715*2.6,3540000000*(1.579646^(MIN($E516,123)-117)))*1,0))</f>
        <v>22041561106</v>
      </c>
      <c r="Y516" s="4">
        <f>$E516+17</f>
        <v>138</v>
      </c>
      <c r="Z516" s="8">
        <f>IF($J516=0,0,ROUND(MAX($J516*1.4*1.5*1.6*1.6*2.2*2.715*2.6*1.4,6020000000*(1.651178^(MIN($E516,123)-117)))*1,0))</f>
        <v>44747838846</v>
      </c>
      <c r="AA516" s="6">
        <f>$E516+19</f>
        <v>140</v>
      </c>
      <c r="AB516" s="7">
        <f>IF($J516=0,0,ROUND(MAX($J516*1.4*1.5*1.6*1.6*2.2*2.715*2.6*1.4*1.4,8430000000*(1.651435^(MIN($E516,123)-117)))*1,0))</f>
        <v>62700862258</v>
      </c>
      <c r="AC516" s="4">
        <f>$E516+21</f>
        <v>142</v>
      </c>
      <c r="AD516" s="8">
        <f>IF($J516=0,0,ROUND(MAX($J516*1.4*1.5*1.6*1.6*2.2*2.715*2.6*1.4*1.4*1.5,12600000000*(1.652953^(MIN($E516,123)-117)))*1,0))</f>
        <v>94061644049</v>
      </c>
      <c r="AE516" s="6">
        <f>$E516+24</f>
        <v>145</v>
      </c>
      <c r="AF516" s="7">
        <f>IF($J516=0,0,ROUND(MAX($J516*1.4*1.5*1.6*1.6*2.2*2.715*2.6*1.4*1.4*1.5*1.5,18900000000*(1.65331^(MIN($E516,123)-117)))*1,0))</f>
        <v>141214396536</v>
      </c>
      <c r="AG516" s="4">
        <f>$E516+27</f>
        <v>148</v>
      </c>
      <c r="AH516" s="8">
        <f>IF($J516=0,0,ROUND(MAX($J516*1.4*1.5*1.6*1.6*2.2*2.715*2.6*1.4*1.4*1.5*1.5*3.2,60500000000*(1.654288^(MIN($E516,123)-117)))*1,0))</f>
        <v>453106040991</v>
      </c>
    </row>
    <row r="517" ht="27.75" customHeight="1" spans="1:34" x14ac:dyDescent="0.25">
      <c r="A517" s="3">
        <v>527</v>
      </c>
      <c r="B517" s="3" t="s">
        <v>99</v>
      </c>
      <c r="C517" s="3" t="s">
        <v>590</v>
      </c>
      <c r="D517" s="3" t="s">
        <v>29</v>
      </c>
      <c r="E517" s="3">
        <v>121</v>
      </c>
      <c r="F517" s="3" t="s">
        <v>54</v>
      </c>
      <c r="G517" s="3" t="s">
        <v>57</v>
      </c>
      <c r="H517" s="3">
        <v>32</v>
      </c>
      <c r="I517" s="4">
        <v>121</v>
      </c>
      <c r="J517" s="5">
        <v>2470000</v>
      </c>
      <c r="K517" s="6">
        <f>$E517+1</f>
        <v>122</v>
      </c>
      <c r="L517" s="7">
        <f>IF($J517=0,0,ROUND(MAX($J517*1.4,1620000*(1.497923^(MIN($E517,123)-117)))*1,0))</f>
        <v>8155920</v>
      </c>
      <c r="M517" s="4">
        <f>$E517+2</f>
        <v>123</v>
      </c>
      <c r="N517" s="8">
        <f>IF($J517=0,0,ROUND(MAX($J517*1.4*1.5,2190000*(1.580994^(MIN($E517,123)-117)))*1,0))</f>
        <v>13682486</v>
      </c>
      <c r="O517" s="6">
        <f>$E517+4</f>
        <v>125</v>
      </c>
      <c r="P517" s="7">
        <f>IF($J517=0,0,ROUND(MAX($J517*1.4*1.5*1.6,3500000*(1.57975^(MIN($E517,123)-117)))*1,0))</f>
        <v>21798244</v>
      </c>
      <c r="Q517" s="4">
        <f>$E517+6</f>
        <v>127</v>
      </c>
      <c r="R517" s="8">
        <f>IF($J517=0,0,ROUND(MAX($J517*1.4*1.5*1.6*1.6,13100000*(1.429962^(MIN($E517,123)-117)))*1,0))</f>
        <v>54773347</v>
      </c>
      <c r="S517" s="6">
        <f>$E517+8</f>
        <v>129</v>
      </c>
      <c r="T517" s="7">
        <f>IF($J517=0,0,ROUND(MAX($J517*1.4*1.5*1.6*1.6*2.2,42600000*(1.576904^(MIN($E517,123)-117)))*1,0))</f>
        <v>263409005</v>
      </c>
      <c r="U517" s="4">
        <f>$E517+11</f>
        <v>132</v>
      </c>
      <c r="V517" s="8">
        <f>IF($J517=0,0,ROUND(MAX($J517*1.4*1.5*1.6*1.6*2.2*2.715,354000000*(1.642074^(MIN($E517,123)-117)))*1,0))</f>
        <v>2573796232</v>
      </c>
      <c r="W517" s="6">
        <f>$E517+15</f>
        <v>136</v>
      </c>
      <c r="X517" s="7">
        <f>IF($J517=0,0,ROUND(MAX($J517*1.4*1.5*1.6*1.6*2.2*2.715*2.6,3540000000*(1.579646^(MIN($E517,123)-117)))*1,0))</f>
        <v>22041561106</v>
      </c>
      <c r="Y517" s="4">
        <f>$E517+17</f>
        <v>138</v>
      </c>
      <c r="Z517" s="8">
        <f>IF($J517=0,0,ROUND(MAX($J517*1.4*1.5*1.6*1.6*2.2*2.715*2.6*1.4,6020000000*(1.651178^(MIN($E517,123)-117)))*1,0))</f>
        <v>44747838846</v>
      </c>
      <c r="AA517" s="6">
        <f>$E517+19</f>
        <v>140</v>
      </c>
      <c r="AB517" s="7">
        <f>IF($J517=0,0,ROUND(MAX($J517*1.4*1.5*1.6*1.6*2.2*2.715*2.6*1.4*1.4,8430000000*(1.651435^(MIN($E517,123)-117)))*1,0))</f>
        <v>62700862258</v>
      </c>
      <c r="AC517" s="4">
        <f>$E517+21</f>
        <v>142</v>
      </c>
      <c r="AD517" s="8">
        <f>IF($J517=0,0,ROUND(MAX($J517*1.4*1.5*1.6*1.6*2.2*2.715*2.6*1.4*1.4*1.5,12600000000*(1.652953^(MIN($E517,123)-117)))*1,0))</f>
        <v>94061644049</v>
      </c>
      <c r="AE517" s="6">
        <f>$E517+24</f>
        <v>145</v>
      </c>
      <c r="AF517" s="7">
        <f>IF($J517=0,0,ROUND(MAX($J517*1.4*1.5*1.6*1.6*2.2*2.715*2.6*1.4*1.4*1.5*1.5,18900000000*(1.65331^(MIN($E517,123)-117)))*1,0))</f>
        <v>141214396536</v>
      </c>
      <c r="AG517" s="4">
        <f>$E517+27</f>
        <v>148</v>
      </c>
      <c r="AH517" s="8">
        <f>IF($J517=0,0,ROUND(MAX($J517*1.4*1.5*1.6*1.6*2.2*2.715*2.6*1.4*1.4*1.5*1.5*3.2,60500000000*(1.654288^(MIN($E517,123)-117)))*1,0))</f>
        <v>453106040991</v>
      </c>
    </row>
    <row r="518" ht="27.75" customHeight="1" spans="1:34" x14ac:dyDescent="0.25">
      <c r="A518" s="3">
        <v>528</v>
      </c>
      <c r="B518" s="3" t="s">
        <v>621</v>
      </c>
      <c r="C518" s="3" t="s">
        <v>590</v>
      </c>
      <c r="D518" s="3" t="s">
        <v>45</v>
      </c>
      <c r="E518" s="3">
        <v>121</v>
      </c>
      <c r="F518" s="3" t="s">
        <v>62</v>
      </c>
      <c r="G518" s="3" t="s">
        <v>242</v>
      </c>
      <c r="H518" s="3">
        <v>30</v>
      </c>
      <c r="I518" s="4">
        <v>121</v>
      </c>
      <c r="J518" s="5">
        <v>2500000</v>
      </c>
      <c r="K518" s="6">
        <f>$E518+1</f>
        <v>122</v>
      </c>
      <c r="L518" s="7">
        <f>IF($J518=0,0,ROUND(MAX($J518*1.4,1620000*(1.497923^(MIN($E518,123)-117)))*1,0))</f>
        <v>8155920</v>
      </c>
      <c r="M518" s="4">
        <f>$E518+2</f>
        <v>123</v>
      </c>
      <c r="N518" s="8">
        <f>IF($J518=0,0,ROUND(MAX($J518*1.4*1.5,2190000*(1.580994^(MIN($E518,123)-117)))*1,0))</f>
        <v>13682486</v>
      </c>
      <c r="O518" s="6">
        <f>$E518+4</f>
        <v>125</v>
      </c>
      <c r="P518" s="7">
        <f>IF($J518=0,0,ROUND(MAX($J518*1.4*1.5*1.6,3500000*(1.57975^(MIN($E518,123)-117)))*1,0))</f>
        <v>21798244</v>
      </c>
      <c r="Q518" s="4">
        <f>$E518+6</f>
        <v>127</v>
      </c>
      <c r="R518" s="8">
        <f>IF($J518=0,0,ROUND(MAX($J518*1.4*1.5*1.6*1.6,13100000*(1.429962^(MIN($E518,123)-117)))*1,0))</f>
        <v>54773347</v>
      </c>
      <c r="S518" s="6">
        <f>$E518+8</f>
        <v>129</v>
      </c>
      <c r="T518" s="7">
        <f>IF($J518=0,0,ROUND(MAX($J518*1.4*1.5*1.6*1.6*2.2,42600000*(1.576904^(MIN($E518,123)-117)))*1,0))</f>
        <v>263409005</v>
      </c>
      <c r="U518" s="4">
        <f>$E518+11</f>
        <v>132</v>
      </c>
      <c r="V518" s="8">
        <f>IF($J518=0,0,ROUND(MAX($J518*1.4*1.5*1.6*1.6*2.2*2.715,354000000*(1.642074^(MIN($E518,123)-117)))*1,0))</f>
        <v>2573796232</v>
      </c>
      <c r="W518" s="6">
        <f>$E518+15</f>
        <v>136</v>
      </c>
      <c r="X518" s="7">
        <f>IF($J518=0,0,ROUND(MAX($J518*1.4*1.5*1.6*1.6*2.2*2.715*2.6,3540000000*(1.579646^(MIN($E518,123)-117)))*1,0))</f>
        <v>22041561106</v>
      </c>
      <c r="Y518" s="4">
        <f>$E518+17</f>
        <v>138</v>
      </c>
      <c r="Z518" s="8">
        <f>IF($J518=0,0,ROUND(MAX($J518*1.4*1.5*1.6*1.6*2.2*2.715*2.6*1.4,6020000000*(1.651178^(MIN($E518,123)-117)))*1,0))</f>
        <v>44747838846</v>
      </c>
      <c r="AA518" s="6">
        <f>$E518+19</f>
        <v>140</v>
      </c>
      <c r="AB518" s="7">
        <f>IF($J518=0,0,ROUND(MAX($J518*1.4*1.5*1.6*1.6*2.2*2.715*2.6*1.4*1.4,8430000000*(1.651435^(MIN($E518,123)-117)))*1,0))</f>
        <v>62700862258</v>
      </c>
      <c r="AC518" s="4">
        <f>$E518+21</f>
        <v>142</v>
      </c>
      <c r="AD518" s="8">
        <f>IF($J518=0,0,ROUND(MAX($J518*1.4*1.5*1.6*1.6*2.2*2.715*2.6*1.4*1.4*1.5,12600000000*(1.652953^(MIN($E518,123)-117)))*1,0))</f>
        <v>94061644049</v>
      </c>
      <c r="AE518" s="6">
        <f>$E518+24</f>
        <v>145</v>
      </c>
      <c r="AF518" s="7">
        <f>IF($J518=0,0,ROUND(MAX($J518*1.4*1.5*1.6*1.6*2.2*2.715*2.6*1.4*1.4*1.5*1.5,18900000000*(1.65331^(MIN($E518,123)-117)))*1,0))</f>
        <v>141214396536</v>
      </c>
      <c r="AG518" s="4">
        <f>$E518+27</f>
        <v>148</v>
      </c>
      <c r="AH518" s="8">
        <f>IF($J518=0,0,ROUND(MAX($J518*1.4*1.5*1.6*1.6*2.2*2.715*2.6*1.4*1.4*1.5*1.5*3.2,60500000000*(1.654288^(MIN($E518,123)-117)))*1,0))</f>
        <v>453106040991</v>
      </c>
    </row>
    <row r="519" ht="27.75" customHeight="1" spans="1:34" x14ac:dyDescent="0.25">
      <c r="A519" s="3">
        <v>529</v>
      </c>
      <c r="B519" s="3" t="s">
        <v>622</v>
      </c>
      <c r="C519" s="3" t="s">
        <v>590</v>
      </c>
      <c r="D519" s="3" t="s">
        <v>33</v>
      </c>
      <c r="E519" s="3">
        <v>122</v>
      </c>
      <c r="F519" s="3" t="s">
        <v>237</v>
      </c>
      <c r="G519" s="3" t="s">
        <v>242</v>
      </c>
      <c r="H519" s="3">
        <v>31</v>
      </c>
      <c r="I519" s="4">
        <v>122</v>
      </c>
      <c r="J519" s="5">
        <v>4450000</v>
      </c>
      <c r="K519" s="6">
        <f>$E519+1</f>
        <v>123</v>
      </c>
      <c r="L519" s="7">
        <f>IF($J519=0,0,ROUND(MAX($J519*1.4,1620000*(1.497923^(MIN($E519,123)-117)))*1,0))</f>
        <v>12216941</v>
      </c>
      <c r="M519" s="4">
        <f>$E519+2</f>
        <v>124</v>
      </c>
      <c r="N519" s="8">
        <f>IF($J519=0,0,ROUND(MAX($J519*1.4*1.5,2190000*(1.580994^(MIN($E519,123)-117)))*1,0))</f>
        <v>21631928</v>
      </c>
      <c r="O519" s="6">
        <f>$E519+4</f>
        <v>126</v>
      </c>
      <c r="P519" s="7">
        <f>IF($J519=0,0,ROUND(MAX($J519*1.4*1.5*1.6,3500000*(1.57975^(MIN($E519,123)-117)))*1,0))</f>
        <v>34435775</v>
      </c>
      <c r="Q519" s="4">
        <f>$E519+6</f>
        <v>128</v>
      </c>
      <c r="R519" s="8">
        <f>IF($J519=0,0,ROUND(MAX($J519*1.4*1.5*1.6*1.6,13100000*(1.429962^(MIN($E519,123)-117)))*1,0))</f>
        <v>78323805</v>
      </c>
      <c r="S519" s="6">
        <f>$E519+8</f>
        <v>130</v>
      </c>
      <c r="T519" s="7">
        <f>IF($J519=0,0,ROUND(MAX($J519*1.4*1.5*1.6*1.6*2.2,42600000*(1.576904^(MIN($E519,123)-117)))*1,0))</f>
        <v>415370714</v>
      </c>
      <c r="U519" s="4">
        <f>$E519+11</f>
        <v>133</v>
      </c>
      <c r="V519" s="8">
        <f>IF($J519=0,0,ROUND(MAX($J519*1.4*1.5*1.6*1.6*2.2*2.715,354000000*(1.642074^(MIN($E519,123)-117)))*1,0))</f>
        <v>4226363874</v>
      </c>
      <c r="W519" s="6">
        <f>$E519+15</f>
        <v>137</v>
      </c>
      <c r="X519" s="7">
        <f>IF($J519=0,0,ROUND(MAX($J519*1.4*1.5*1.6*1.6*2.2*2.715*2.6,3540000000*(1.579646^(MIN($E519,123)-117)))*1,0))</f>
        <v>34817863835</v>
      </c>
      <c r="Y519" s="4">
        <f>$E519+17</f>
        <v>139</v>
      </c>
      <c r="Z519" s="8">
        <f>IF($J519=0,0,ROUND(MAX($J519*1.4*1.5*1.6*1.6*2.2*2.715*2.6*1.4,6020000000*(1.651178^(MIN($E519,123)-117)))*1,0))</f>
        <v>73886647050</v>
      </c>
      <c r="AA519" s="6">
        <f>$E519+19</f>
        <v>141</v>
      </c>
      <c r="AB519" s="7">
        <f>IF($J519=0,0,ROUND(MAX($J519*1.4*1.5*1.6*1.6*2.2*2.715*2.6*1.4*1.4,8430000000*(1.651435^(MIN($E519,123)-117)))*1,0))</f>
        <v>103546398464</v>
      </c>
      <c r="AC519" s="4">
        <f>$E519+21</f>
        <v>143</v>
      </c>
      <c r="AD519" s="8">
        <f>IF($J519=0,0,ROUND(MAX($J519*1.4*1.5*1.6*1.6*2.2*2.715*2.6*1.4*1.4*1.5,12600000000*(1.652953^(MIN($E519,123)-117)))*1,0))</f>
        <v>155479476715</v>
      </c>
      <c r="AE519" s="6">
        <f>$E519+24</f>
        <v>146</v>
      </c>
      <c r="AF519" s="7">
        <f>IF($J519=0,0,ROUND(MAX($J519*1.4*1.5*1.6*1.6*2.2*2.715*2.6*1.4*1.4*1.5*1.5,18900000000*(1.65331^(MIN($E519,123)-117)))*1,0))</f>
        <v>233471173936</v>
      </c>
      <c r="AG519" s="4">
        <f>$E519+27</f>
        <v>149</v>
      </c>
      <c r="AH519" s="8">
        <f>IF($J519=0,0,ROUND(MAX($J519*1.4*1.5*1.6*1.6*2.2*2.715*2.6*1.4*1.4*1.5*1.5*3.2,60500000000*(1.654288^(MIN($E519,123)-117)))*1,0))</f>
        <v>749567886338</v>
      </c>
    </row>
    <row r="520" ht="27.75" customHeight="1" spans="1:34" x14ac:dyDescent="0.25">
      <c r="A520" s="3">
        <v>530</v>
      </c>
      <c r="B520" s="3" t="s">
        <v>139</v>
      </c>
      <c r="C520" s="3" t="s">
        <v>590</v>
      </c>
      <c r="D520" s="3" t="s">
        <v>40</v>
      </c>
      <c r="E520" s="3">
        <v>121</v>
      </c>
      <c r="F520" s="3" t="s">
        <v>34</v>
      </c>
      <c r="G520" s="3" t="s">
        <v>35</v>
      </c>
      <c r="H520" s="3">
        <v>32</v>
      </c>
      <c r="I520" s="4">
        <v>121</v>
      </c>
      <c r="J520" s="5">
        <v>2200000</v>
      </c>
      <c r="K520" s="6">
        <f>$E520+1</f>
        <v>122</v>
      </c>
      <c r="L520" s="7">
        <f>IF($J520=0,0,ROUND(MAX($J520*1.4,1620000*(1.497923^(MIN($E520,123)-117)))*1,0))</f>
        <v>8155920</v>
      </c>
      <c r="M520" s="4">
        <f>$E520+2</f>
        <v>123</v>
      </c>
      <c r="N520" s="8">
        <f>IF($J520=0,0,ROUND(MAX($J520*1.4*1.5,2190000*(1.580994^(MIN($E520,123)-117)))*1,0))</f>
        <v>13682486</v>
      </c>
      <c r="O520" s="6">
        <f>$E520+4</f>
        <v>125</v>
      </c>
      <c r="P520" s="7">
        <f>IF($J520=0,0,ROUND(MAX($J520*1.4*1.5*1.6,3500000*(1.57975^(MIN($E520,123)-117)))*1,0))</f>
        <v>21798244</v>
      </c>
      <c r="Q520" s="4">
        <f>$E520+6</f>
        <v>127</v>
      </c>
      <c r="R520" s="8">
        <f>IF($J520=0,0,ROUND(MAX($J520*1.4*1.5*1.6*1.6,13100000*(1.429962^(MIN($E520,123)-117)))*1,0))</f>
        <v>54773347</v>
      </c>
      <c r="S520" s="6">
        <f>$E520+8</f>
        <v>129</v>
      </c>
      <c r="T520" s="7">
        <f>IF($J520=0,0,ROUND(MAX($J520*1.4*1.5*1.6*1.6*2.2,42600000*(1.576904^(MIN($E520,123)-117)))*1,0))</f>
        <v>263409005</v>
      </c>
      <c r="U520" s="4">
        <f>$E520+11</f>
        <v>132</v>
      </c>
      <c r="V520" s="8">
        <f>IF($J520=0,0,ROUND(MAX($J520*1.4*1.5*1.6*1.6*2.2*2.715,354000000*(1.642074^(MIN($E520,123)-117)))*1,0))</f>
        <v>2573796232</v>
      </c>
      <c r="W520" s="6">
        <f>$E520+15</f>
        <v>136</v>
      </c>
      <c r="X520" s="7">
        <f>IF($J520=0,0,ROUND(MAX($J520*1.4*1.5*1.6*1.6*2.2*2.715*2.6,3540000000*(1.579646^(MIN($E520,123)-117)))*1,0))</f>
        <v>22041561106</v>
      </c>
      <c r="Y520" s="4">
        <f>$E520+17</f>
        <v>138</v>
      </c>
      <c r="Z520" s="8">
        <f>IF($J520=0,0,ROUND(MAX($J520*1.4*1.5*1.6*1.6*2.2*2.715*2.6*1.4,6020000000*(1.651178^(MIN($E520,123)-117)))*1,0))</f>
        <v>44747838846</v>
      </c>
      <c r="AA520" s="6">
        <f>$E520+19</f>
        <v>140</v>
      </c>
      <c r="AB520" s="7">
        <f>IF($J520=0,0,ROUND(MAX($J520*1.4*1.5*1.6*1.6*2.2*2.715*2.6*1.4*1.4,8430000000*(1.651435^(MIN($E520,123)-117)))*1,0))</f>
        <v>62700862258</v>
      </c>
      <c r="AC520" s="4">
        <f>$E520+21</f>
        <v>142</v>
      </c>
      <c r="AD520" s="8">
        <f>IF($J520=0,0,ROUND(MAX($J520*1.4*1.5*1.6*1.6*2.2*2.715*2.6*1.4*1.4*1.5,12600000000*(1.652953^(MIN($E520,123)-117)))*1,0))</f>
        <v>94061644049</v>
      </c>
      <c r="AE520" s="6">
        <f>$E520+24</f>
        <v>145</v>
      </c>
      <c r="AF520" s="7">
        <f>IF($J520=0,0,ROUND(MAX($J520*1.4*1.5*1.6*1.6*2.2*2.715*2.6*1.4*1.4*1.5*1.5,18900000000*(1.65331^(MIN($E520,123)-117)))*1,0))</f>
        <v>141214396536</v>
      </c>
      <c r="AG520" s="4">
        <f>$E520+27</f>
        <v>148</v>
      </c>
      <c r="AH520" s="8">
        <f>IF($J520=0,0,ROUND(MAX($J520*1.4*1.5*1.6*1.6*2.2*2.715*2.6*1.4*1.4*1.5*1.5*3.2,60500000000*(1.654288^(MIN($E520,123)-117)))*1,0))</f>
        <v>453106040991</v>
      </c>
    </row>
    <row r="521" ht="27.75" customHeight="1" spans="1:34" x14ac:dyDescent="0.25">
      <c r="A521" s="3">
        <v>531</v>
      </c>
      <c r="B521" s="3" t="s">
        <v>533</v>
      </c>
      <c r="C521" s="3" t="s">
        <v>590</v>
      </c>
      <c r="D521" s="3" t="s">
        <v>90</v>
      </c>
      <c r="E521" s="3">
        <v>122</v>
      </c>
      <c r="F521" s="3" t="s">
        <v>30</v>
      </c>
      <c r="G521" s="3" t="s">
        <v>242</v>
      </c>
      <c r="H521" s="3">
        <v>30</v>
      </c>
      <c r="I521" s="4">
        <v>122</v>
      </c>
      <c r="J521" s="5">
        <v>4360000</v>
      </c>
      <c r="K521" s="6">
        <f>$E521+1</f>
        <v>123</v>
      </c>
      <c r="L521" s="7">
        <f>IF($J521=0,0,ROUND(MAX($J521*1.4,1620000*(1.497923^(MIN($E521,123)-117)))*1,0))</f>
        <v>12216941</v>
      </c>
      <c r="M521" s="4">
        <f>$E521+2</f>
        <v>124</v>
      </c>
      <c r="N521" s="8">
        <f>IF($J521=0,0,ROUND(MAX($J521*1.4*1.5,2190000*(1.580994^(MIN($E521,123)-117)))*1,0))</f>
        <v>21631928</v>
      </c>
      <c r="O521" s="6">
        <f>$E521+4</f>
        <v>126</v>
      </c>
      <c r="P521" s="7">
        <f>IF($J521=0,0,ROUND(MAX($J521*1.4*1.5*1.6,3500000*(1.57975^(MIN($E521,123)-117)))*1,0))</f>
        <v>34435775</v>
      </c>
      <c r="Q521" s="4">
        <f>$E521+6</f>
        <v>128</v>
      </c>
      <c r="R521" s="8">
        <f>IF($J521=0,0,ROUND(MAX($J521*1.4*1.5*1.6*1.6,13100000*(1.429962^(MIN($E521,123)-117)))*1,0))</f>
        <v>78323805</v>
      </c>
      <c r="S521" s="6">
        <f>$E521+8</f>
        <v>130</v>
      </c>
      <c r="T521" s="7">
        <f>IF($J521=0,0,ROUND(MAX($J521*1.4*1.5*1.6*1.6*2.2,42600000*(1.576904^(MIN($E521,123)-117)))*1,0))</f>
        <v>415370714</v>
      </c>
      <c r="U521" s="4">
        <f>$E521+11</f>
        <v>133</v>
      </c>
      <c r="V521" s="8">
        <f>IF($J521=0,0,ROUND(MAX($J521*1.4*1.5*1.6*1.6*2.2*2.715,354000000*(1.642074^(MIN($E521,123)-117)))*1,0))</f>
        <v>4226363874</v>
      </c>
      <c r="W521" s="6">
        <f>$E521+15</f>
        <v>137</v>
      </c>
      <c r="X521" s="7">
        <f>IF($J521=0,0,ROUND(MAX($J521*1.4*1.5*1.6*1.6*2.2*2.715*2.6,3540000000*(1.579646^(MIN($E521,123)-117)))*1,0))</f>
        <v>34817863835</v>
      </c>
      <c r="Y521" s="4">
        <f>$E521+17</f>
        <v>139</v>
      </c>
      <c r="Z521" s="8">
        <f>IF($J521=0,0,ROUND(MAX($J521*1.4*1.5*1.6*1.6*2.2*2.715*2.6*1.4,6020000000*(1.651178^(MIN($E521,123)-117)))*1,0))</f>
        <v>73886647050</v>
      </c>
      <c r="AA521" s="6">
        <f>$E521+19</f>
        <v>141</v>
      </c>
      <c r="AB521" s="7">
        <f>IF($J521=0,0,ROUND(MAX($J521*1.4*1.5*1.6*1.6*2.2*2.715*2.6*1.4*1.4,8430000000*(1.651435^(MIN($E521,123)-117)))*1,0))</f>
        <v>103546398464</v>
      </c>
      <c r="AC521" s="4">
        <f>$E521+21</f>
        <v>143</v>
      </c>
      <c r="AD521" s="8">
        <f>IF($J521=0,0,ROUND(MAX($J521*1.4*1.5*1.6*1.6*2.2*2.715*2.6*1.4*1.4*1.5,12600000000*(1.652953^(MIN($E521,123)-117)))*1,0))</f>
        <v>155479476715</v>
      </c>
      <c r="AE521" s="6">
        <f>$E521+24</f>
        <v>146</v>
      </c>
      <c r="AF521" s="7">
        <f>IF($J521=0,0,ROUND(MAX($J521*1.4*1.5*1.6*1.6*2.2*2.715*2.6*1.4*1.4*1.5*1.5,18900000000*(1.65331^(MIN($E521,123)-117)))*1,0))</f>
        <v>233471173936</v>
      </c>
      <c r="AG521" s="4">
        <f>$E521+27</f>
        <v>149</v>
      </c>
      <c r="AH521" s="8">
        <f>IF($J521=0,0,ROUND(MAX($J521*1.4*1.5*1.6*1.6*2.2*2.715*2.6*1.4*1.4*1.5*1.5*3.2,60500000000*(1.654288^(MIN($E521,123)-117)))*1,0))</f>
        <v>749567886338</v>
      </c>
    </row>
    <row r="522" ht="27.75" customHeight="1" spans="1:34" x14ac:dyDescent="0.25">
      <c r="A522" s="3">
        <v>532</v>
      </c>
      <c r="B522" s="3" t="s">
        <v>222</v>
      </c>
      <c r="C522" s="3" t="s">
        <v>590</v>
      </c>
      <c r="D522" s="3" t="s">
        <v>40</v>
      </c>
      <c r="E522" s="3">
        <v>121</v>
      </c>
      <c r="F522" s="3" t="s">
        <v>223</v>
      </c>
      <c r="G522" s="3" t="s">
        <v>57</v>
      </c>
      <c r="H522" s="3">
        <v>32</v>
      </c>
      <c r="I522" s="4">
        <v>121</v>
      </c>
      <c r="J522" s="5">
        <v>2530000</v>
      </c>
      <c r="K522" s="6">
        <f>$E522+1</f>
        <v>122</v>
      </c>
      <c r="L522" s="7">
        <f>IF($J522=0,0,ROUND(MAX($J522*1.4,1620000*(1.497923^(MIN($E522,123)-117)))*1,0))</f>
        <v>8155920</v>
      </c>
      <c r="M522" s="4">
        <f>$E522+2</f>
        <v>123</v>
      </c>
      <c r="N522" s="8">
        <f>IF($J522=0,0,ROUND(MAX($J522*1.4*1.5,2190000*(1.580994^(MIN($E522,123)-117)))*1,0))</f>
        <v>13682486</v>
      </c>
      <c r="O522" s="6">
        <f>$E522+4</f>
        <v>125</v>
      </c>
      <c r="P522" s="7">
        <f>IF($J522=0,0,ROUND(MAX($J522*1.4*1.5*1.6,3500000*(1.57975^(MIN($E522,123)-117)))*1,0))</f>
        <v>21798244</v>
      </c>
      <c r="Q522" s="4">
        <f>$E522+6</f>
        <v>127</v>
      </c>
      <c r="R522" s="8">
        <f>IF($J522=0,0,ROUND(MAX($J522*1.4*1.5*1.6*1.6,13100000*(1.429962^(MIN($E522,123)-117)))*1,0))</f>
        <v>54773347</v>
      </c>
      <c r="S522" s="6">
        <f>$E522+8</f>
        <v>129</v>
      </c>
      <c r="T522" s="7">
        <f>IF($J522=0,0,ROUND(MAX($J522*1.4*1.5*1.6*1.6*2.2,42600000*(1.576904^(MIN($E522,123)-117)))*1,0))</f>
        <v>263409005</v>
      </c>
      <c r="U522" s="4">
        <f>$E522+11</f>
        <v>132</v>
      </c>
      <c r="V522" s="8">
        <f>IF($J522=0,0,ROUND(MAX($J522*1.4*1.5*1.6*1.6*2.2*2.715,354000000*(1.642074^(MIN($E522,123)-117)))*1,0))</f>
        <v>2573796232</v>
      </c>
      <c r="W522" s="6">
        <f>$E522+15</f>
        <v>136</v>
      </c>
      <c r="X522" s="7">
        <f>IF($J522=0,0,ROUND(MAX($J522*1.4*1.5*1.6*1.6*2.2*2.715*2.6,3540000000*(1.579646^(MIN($E522,123)-117)))*1,0))</f>
        <v>22041561106</v>
      </c>
      <c r="Y522" s="4">
        <f>$E522+17</f>
        <v>138</v>
      </c>
      <c r="Z522" s="8">
        <f>IF($J522=0,0,ROUND(MAX($J522*1.4*1.5*1.6*1.6*2.2*2.715*2.6*1.4,6020000000*(1.651178^(MIN($E522,123)-117)))*1,0))</f>
        <v>44747838846</v>
      </c>
      <c r="AA522" s="6">
        <f>$E522+19</f>
        <v>140</v>
      </c>
      <c r="AB522" s="7">
        <f>IF($J522=0,0,ROUND(MAX($J522*1.4*1.5*1.6*1.6*2.2*2.715*2.6*1.4*1.4,8430000000*(1.651435^(MIN($E522,123)-117)))*1,0))</f>
        <v>62700862258</v>
      </c>
      <c r="AC522" s="4">
        <f>$E522+21</f>
        <v>142</v>
      </c>
      <c r="AD522" s="8">
        <f>IF($J522=0,0,ROUND(MAX($J522*1.4*1.5*1.6*1.6*2.2*2.715*2.6*1.4*1.4*1.5,12600000000*(1.652953^(MIN($E522,123)-117)))*1,0))</f>
        <v>94061644049</v>
      </c>
      <c r="AE522" s="6">
        <f>$E522+24</f>
        <v>145</v>
      </c>
      <c r="AF522" s="7">
        <f>IF($J522=0,0,ROUND(MAX($J522*1.4*1.5*1.6*1.6*2.2*2.715*2.6*1.4*1.4*1.5*1.5,18900000000*(1.65331^(MIN($E522,123)-117)))*1,0))</f>
        <v>141214396536</v>
      </c>
      <c r="AG522" s="4">
        <f>$E522+27</f>
        <v>148</v>
      </c>
      <c r="AH522" s="8">
        <f>IF($J522=0,0,ROUND(MAX($J522*1.4*1.5*1.6*1.6*2.2*2.715*2.6*1.4*1.4*1.5*1.5*3.2,60500000000*(1.654288^(MIN($E522,123)-117)))*1,0))</f>
        <v>453106040991</v>
      </c>
    </row>
    <row r="523" ht="27.75" customHeight="1" spans="1:34" x14ac:dyDescent="0.25">
      <c r="A523" s="3">
        <v>533</v>
      </c>
      <c r="B523" s="3" t="s">
        <v>189</v>
      </c>
      <c r="C523" s="3" t="s">
        <v>590</v>
      </c>
      <c r="D523" s="3" t="s">
        <v>102</v>
      </c>
      <c r="E523" s="3">
        <v>122</v>
      </c>
      <c r="F523" s="3" t="s">
        <v>62</v>
      </c>
      <c r="G523" s="3" t="s">
        <v>51</v>
      </c>
      <c r="H523" s="3">
        <v>31</v>
      </c>
      <c r="I523" s="4">
        <v>122</v>
      </c>
      <c r="J523" s="5">
        <v>4610000</v>
      </c>
      <c r="K523" s="6">
        <f>$E523+1</f>
        <v>123</v>
      </c>
      <c r="L523" s="7">
        <f>IF($J523=0,0,ROUND(MAX($J523*1.4,1620000*(1.497923^(MIN($E523,123)-117)))*1,0))</f>
        <v>12216941</v>
      </c>
      <c r="M523" s="4">
        <f>$E523+2</f>
        <v>124</v>
      </c>
      <c r="N523" s="8">
        <f>IF($J523=0,0,ROUND(MAX($J523*1.4*1.5,2190000*(1.580994^(MIN($E523,123)-117)))*1,0))</f>
        <v>21631928</v>
      </c>
      <c r="O523" s="6">
        <f>$E523+4</f>
        <v>126</v>
      </c>
      <c r="P523" s="7">
        <f>IF($J523=0,0,ROUND(MAX($J523*1.4*1.5*1.6,3500000*(1.57975^(MIN($E523,123)-117)))*1,0))</f>
        <v>34435775</v>
      </c>
      <c r="Q523" s="4">
        <f>$E523+6</f>
        <v>128</v>
      </c>
      <c r="R523" s="8">
        <f>IF($J523=0,0,ROUND(MAX($J523*1.4*1.5*1.6*1.6,13100000*(1.429962^(MIN($E523,123)-117)))*1,0))</f>
        <v>78323805</v>
      </c>
      <c r="S523" s="6">
        <f>$E523+8</f>
        <v>130</v>
      </c>
      <c r="T523" s="7">
        <f>IF($J523=0,0,ROUND(MAX($J523*1.4*1.5*1.6*1.6*2.2,42600000*(1.576904^(MIN($E523,123)-117)))*1,0))</f>
        <v>415370714</v>
      </c>
      <c r="U523" s="4">
        <f>$E523+11</f>
        <v>133</v>
      </c>
      <c r="V523" s="8">
        <f>IF($J523=0,0,ROUND(MAX($J523*1.4*1.5*1.6*1.6*2.2*2.715,354000000*(1.642074^(MIN($E523,123)-117)))*1,0))</f>
        <v>4226363874</v>
      </c>
      <c r="W523" s="6">
        <f>$E523+15</f>
        <v>137</v>
      </c>
      <c r="X523" s="7">
        <f>IF($J523=0,0,ROUND(MAX($J523*1.4*1.5*1.6*1.6*2.2*2.715*2.6,3540000000*(1.579646^(MIN($E523,123)-117)))*1,0))</f>
        <v>34817863835</v>
      </c>
      <c r="Y523" s="4">
        <f>$E523+17</f>
        <v>139</v>
      </c>
      <c r="Z523" s="8">
        <f>IF($J523=0,0,ROUND(MAX($J523*1.4*1.5*1.6*1.6*2.2*2.715*2.6*1.4,6020000000*(1.651178^(MIN($E523,123)-117)))*1,0))</f>
        <v>73886647050</v>
      </c>
      <c r="AA523" s="6">
        <f>$E523+19</f>
        <v>141</v>
      </c>
      <c r="AB523" s="7">
        <f>IF($J523=0,0,ROUND(MAX($J523*1.4*1.5*1.6*1.6*2.2*2.715*2.6*1.4*1.4,8430000000*(1.651435^(MIN($E523,123)-117)))*1,0))</f>
        <v>103546398464</v>
      </c>
      <c r="AC523" s="4">
        <f>$E523+21</f>
        <v>143</v>
      </c>
      <c r="AD523" s="8">
        <f>IF($J523=0,0,ROUND(MAX($J523*1.4*1.5*1.6*1.6*2.2*2.715*2.6*1.4*1.4*1.5,12600000000*(1.652953^(MIN($E523,123)-117)))*1,0))</f>
        <v>155479476715</v>
      </c>
      <c r="AE523" s="6">
        <f>$E523+24</f>
        <v>146</v>
      </c>
      <c r="AF523" s="7">
        <f>IF($J523=0,0,ROUND(MAX($J523*1.4*1.5*1.6*1.6*2.2*2.715*2.6*1.4*1.4*1.5*1.5,18900000000*(1.65331^(MIN($E523,123)-117)))*1,0))</f>
        <v>233471173936</v>
      </c>
      <c r="AG523" s="4">
        <f>$E523+27</f>
        <v>149</v>
      </c>
      <c r="AH523" s="8">
        <f>IF($J523=0,0,ROUND(MAX($J523*1.4*1.5*1.6*1.6*2.2*2.715*2.6*1.4*1.4*1.5*1.5*3.2,60500000000*(1.654288^(MIN($E523,123)-117)))*1,0))</f>
        <v>749567886338</v>
      </c>
    </row>
    <row r="524" ht="27.75" customHeight="1" spans="1:34" x14ac:dyDescent="0.25">
      <c r="A524" s="3">
        <v>534</v>
      </c>
      <c r="B524" s="3" t="s">
        <v>623</v>
      </c>
      <c r="C524" s="3" t="s">
        <v>590</v>
      </c>
      <c r="D524" s="3" t="s">
        <v>102</v>
      </c>
      <c r="E524" s="3">
        <v>122</v>
      </c>
      <c r="F524" s="3" t="s">
        <v>56</v>
      </c>
      <c r="G524" s="3" t="s">
        <v>57</v>
      </c>
      <c r="H524" s="3">
        <v>31</v>
      </c>
      <c r="I524" s="4">
        <v>122</v>
      </c>
      <c r="J524" s="5">
        <v>4160000</v>
      </c>
      <c r="K524" s="6">
        <f>$E524+1</f>
        <v>123</v>
      </c>
      <c r="L524" s="7">
        <f>IF($J524=0,0,ROUND(MAX($J524*1.4,1620000*(1.497923^(MIN($E524,123)-117)))*1,0))</f>
        <v>12216941</v>
      </c>
      <c r="M524" s="4">
        <f>$E524+2</f>
        <v>124</v>
      </c>
      <c r="N524" s="8">
        <f>IF($J524=0,0,ROUND(MAX($J524*1.4*1.5,2190000*(1.580994^(MIN($E524,123)-117)))*1,0))</f>
        <v>21631928</v>
      </c>
      <c r="O524" s="6">
        <f>$E524+4</f>
        <v>126</v>
      </c>
      <c r="P524" s="7">
        <f>IF($J524=0,0,ROUND(MAX($J524*1.4*1.5*1.6,3500000*(1.57975^(MIN($E524,123)-117)))*1,0))</f>
        <v>34435775</v>
      </c>
      <c r="Q524" s="4">
        <f>$E524+6</f>
        <v>128</v>
      </c>
      <c r="R524" s="8">
        <f>IF($J524=0,0,ROUND(MAX($J524*1.4*1.5*1.6*1.6,13100000*(1.429962^(MIN($E524,123)-117)))*1,0))</f>
        <v>78323805</v>
      </c>
      <c r="S524" s="6">
        <f>$E524+8</f>
        <v>130</v>
      </c>
      <c r="T524" s="7">
        <f>IF($J524=0,0,ROUND(MAX($J524*1.4*1.5*1.6*1.6*2.2,42600000*(1.576904^(MIN($E524,123)-117)))*1,0))</f>
        <v>415370714</v>
      </c>
      <c r="U524" s="4">
        <f>$E524+11</f>
        <v>133</v>
      </c>
      <c r="V524" s="8">
        <f>IF($J524=0,0,ROUND(MAX($J524*1.4*1.5*1.6*1.6*2.2*2.715,354000000*(1.642074^(MIN($E524,123)-117)))*1,0))</f>
        <v>4226363874</v>
      </c>
      <c r="W524" s="6">
        <f>$E524+15</f>
        <v>137</v>
      </c>
      <c r="X524" s="7">
        <f>IF($J524=0,0,ROUND(MAX($J524*1.4*1.5*1.6*1.6*2.2*2.715*2.6,3540000000*(1.579646^(MIN($E524,123)-117)))*1,0))</f>
        <v>34817863835</v>
      </c>
      <c r="Y524" s="4">
        <f>$E524+17</f>
        <v>139</v>
      </c>
      <c r="Z524" s="8">
        <f>IF($J524=0,0,ROUND(MAX($J524*1.4*1.5*1.6*1.6*2.2*2.715*2.6*1.4,6020000000*(1.651178^(MIN($E524,123)-117)))*1,0))</f>
        <v>73886647050</v>
      </c>
      <c r="AA524" s="6">
        <f>$E524+19</f>
        <v>141</v>
      </c>
      <c r="AB524" s="7">
        <f>IF($J524=0,0,ROUND(MAX($J524*1.4*1.5*1.6*1.6*2.2*2.715*2.6*1.4*1.4,8430000000*(1.651435^(MIN($E524,123)-117)))*1,0))</f>
        <v>103546398464</v>
      </c>
      <c r="AC524" s="4">
        <f>$E524+21</f>
        <v>143</v>
      </c>
      <c r="AD524" s="8">
        <f>IF($J524=0,0,ROUND(MAX($J524*1.4*1.5*1.6*1.6*2.2*2.715*2.6*1.4*1.4*1.5,12600000000*(1.652953^(MIN($E524,123)-117)))*1,0))</f>
        <v>155479476715</v>
      </c>
      <c r="AE524" s="6">
        <f>$E524+24</f>
        <v>146</v>
      </c>
      <c r="AF524" s="7">
        <f>IF($J524=0,0,ROUND(MAX($J524*1.4*1.5*1.6*1.6*2.2*2.715*2.6*1.4*1.4*1.5*1.5,18900000000*(1.65331^(MIN($E524,123)-117)))*1,0))</f>
        <v>233471173936</v>
      </c>
      <c r="AG524" s="4">
        <f>$E524+27</f>
        <v>149</v>
      </c>
      <c r="AH524" s="8">
        <f>IF($J524=0,0,ROUND(MAX($J524*1.4*1.5*1.6*1.6*2.2*2.715*2.6*1.4*1.4*1.5*1.5*3.2,60500000000*(1.654288^(MIN($E524,123)-117)))*1,0))</f>
        <v>749567886338</v>
      </c>
    </row>
    <row r="525" ht="27.75" customHeight="1" spans="1:34" x14ac:dyDescent="0.25">
      <c r="A525" s="3">
        <v>535</v>
      </c>
      <c r="B525" s="3" t="s">
        <v>624</v>
      </c>
      <c r="C525" s="3" t="s">
        <v>590</v>
      </c>
      <c r="D525" s="3" t="s">
        <v>25</v>
      </c>
      <c r="E525" s="3">
        <v>121</v>
      </c>
      <c r="F525" s="3" t="s">
        <v>26</v>
      </c>
      <c r="G525" s="3" t="s">
        <v>104</v>
      </c>
      <c r="H525" s="3">
        <v>31</v>
      </c>
      <c r="I525" s="4">
        <v>121</v>
      </c>
      <c r="J525" s="5">
        <v>2440000</v>
      </c>
      <c r="K525" s="6">
        <f>$E525+1</f>
        <v>122</v>
      </c>
      <c r="L525" s="7">
        <f>IF($J525=0,0,ROUND(MAX($J525*1.4,1620000*(1.497923^(MIN($E525,123)-117)))*1,0))</f>
        <v>8155920</v>
      </c>
      <c r="M525" s="4">
        <f>$E525+2</f>
        <v>123</v>
      </c>
      <c r="N525" s="8">
        <f>IF($J525=0,0,ROUND(MAX($J525*1.4*1.5,2190000*(1.580994^(MIN($E525,123)-117)))*1,0))</f>
        <v>13682486</v>
      </c>
      <c r="O525" s="6">
        <f>$E525+4</f>
        <v>125</v>
      </c>
      <c r="P525" s="7">
        <f>IF($J525=0,0,ROUND(MAX($J525*1.4*1.5*1.6,3500000*(1.57975^(MIN($E525,123)-117)))*1,0))</f>
        <v>21798244</v>
      </c>
      <c r="Q525" s="4">
        <f>$E525+6</f>
        <v>127</v>
      </c>
      <c r="R525" s="8">
        <f>IF($J525=0,0,ROUND(MAX($J525*1.4*1.5*1.6*1.6,13100000*(1.429962^(MIN($E525,123)-117)))*1,0))</f>
        <v>54773347</v>
      </c>
      <c r="S525" s="6">
        <f>$E525+8</f>
        <v>129</v>
      </c>
      <c r="T525" s="7">
        <f>IF($J525=0,0,ROUND(MAX($J525*1.4*1.5*1.6*1.6*2.2,42600000*(1.576904^(MIN($E525,123)-117)))*1,0))</f>
        <v>263409005</v>
      </c>
      <c r="U525" s="4">
        <f>$E525+11</f>
        <v>132</v>
      </c>
      <c r="V525" s="8">
        <f>IF($J525=0,0,ROUND(MAX($J525*1.4*1.5*1.6*1.6*2.2*2.715,354000000*(1.642074^(MIN($E525,123)-117)))*1,0))</f>
        <v>2573796232</v>
      </c>
      <c r="W525" s="6">
        <f>$E525+15</f>
        <v>136</v>
      </c>
      <c r="X525" s="7">
        <f>IF($J525=0,0,ROUND(MAX($J525*1.4*1.5*1.6*1.6*2.2*2.715*2.6,3540000000*(1.579646^(MIN($E525,123)-117)))*1,0))</f>
        <v>22041561106</v>
      </c>
      <c r="Y525" s="4">
        <f>$E525+17</f>
        <v>138</v>
      </c>
      <c r="Z525" s="8">
        <f>IF($J525=0,0,ROUND(MAX($J525*1.4*1.5*1.6*1.6*2.2*2.715*2.6*1.4,6020000000*(1.651178^(MIN($E525,123)-117)))*1,0))</f>
        <v>44747838846</v>
      </c>
      <c r="AA525" s="6">
        <f>$E525+19</f>
        <v>140</v>
      </c>
      <c r="AB525" s="7">
        <f>IF($J525=0,0,ROUND(MAX($J525*1.4*1.5*1.6*1.6*2.2*2.715*2.6*1.4*1.4,8430000000*(1.651435^(MIN($E525,123)-117)))*1,0))</f>
        <v>62700862258</v>
      </c>
      <c r="AC525" s="4">
        <f>$E525+21</f>
        <v>142</v>
      </c>
      <c r="AD525" s="8">
        <f>IF($J525=0,0,ROUND(MAX($J525*1.4*1.5*1.6*1.6*2.2*2.715*2.6*1.4*1.4*1.5,12600000000*(1.652953^(MIN($E525,123)-117)))*1,0))</f>
        <v>94061644049</v>
      </c>
      <c r="AE525" s="6">
        <f>$E525+24</f>
        <v>145</v>
      </c>
      <c r="AF525" s="7">
        <f>IF($J525=0,0,ROUND(MAX($J525*1.4*1.5*1.6*1.6*2.2*2.715*2.6*1.4*1.4*1.5*1.5,18900000000*(1.65331^(MIN($E525,123)-117)))*1,0))</f>
        <v>141214396536</v>
      </c>
      <c r="AG525" s="4">
        <f>$E525+27</f>
        <v>148</v>
      </c>
      <c r="AH525" s="8">
        <f>IF($J525=0,0,ROUND(MAX($J525*1.4*1.5*1.6*1.6*2.2*2.715*2.6*1.4*1.4*1.5*1.5*3.2,60500000000*(1.654288^(MIN($E525,123)-117)))*1,0))</f>
        <v>453106040991</v>
      </c>
    </row>
    <row r="526" ht="27.75" customHeight="1" spans="1:34" x14ac:dyDescent="0.25">
      <c r="A526" s="3">
        <v>536</v>
      </c>
      <c r="B526" s="3" t="s">
        <v>201</v>
      </c>
      <c r="C526" s="3" t="s">
        <v>590</v>
      </c>
      <c r="D526" s="3" t="s">
        <v>93</v>
      </c>
      <c r="E526" s="3">
        <v>121</v>
      </c>
      <c r="F526" s="3" t="s">
        <v>120</v>
      </c>
      <c r="G526" s="3" t="s">
        <v>95</v>
      </c>
      <c r="H526" s="3">
        <v>31</v>
      </c>
      <c r="I526" s="4">
        <v>121</v>
      </c>
      <c r="J526" s="5">
        <v>2520000</v>
      </c>
      <c r="K526" s="6">
        <f>$E526+1</f>
        <v>122</v>
      </c>
      <c r="L526" s="7">
        <f>IF($J526=0,0,ROUND(MAX($J526*1.4,1620000*(1.497923^(MIN($E526,123)-117)))*1,0))</f>
        <v>8155920</v>
      </c>
      <c r="M526" s="4">
        <f>$E526+2</f>
        <v>123</v>
      </c>
      <c r="N526" s="8">
        <f>IF($J526=0,0,ROUND(MAX($J526*1.4*1.5,2190000*(1.580994^(MIN($E526,123)-117)))*1,0))</f>
        <v>13682486</v>
      </c>
      <c r="O526" s="6">
        <f>$E526+4</f>
        <v>125</v>
      </c>
      <c r="P526" s="7">
        <f>IF($J526=0,0,ROUND(MAX($J526*1.4*1.5*1.6,3500000*(1.57975^(MIN($E526,123)-117)))*1,0))</f>
        <v>21798244</v>
      </c>
      <c r="Q526" s="4">
        <f>$E526+6</f>
        <v>127</v>
      </c>
      <c r="R526" s="8">
        <f>IF($J526=0,0,ROUND(MAX($J526*1.4*1.5*1.6*1.6,13100000*(1.429962^(MIN($E526,123)-117)))*1,0))</f>
        <v>54773347</v>
      </c>
      <c r="S526" s="6">
        <f>$E526+8</f>
        <v>129</v>
      </c>
      <c r="T526" s="7">
        <f>IF($J526=0,0,ROUND(MAX($J526*1.4*1.5*1.6*1.6*2.2,42600000*(1.576904^(MIN($E526,123)-117)))*1,0))</f>
        <v>263409005</v>
      </c>
      <c r="U526" s="4">
        <f>$E526+11</f>
        <v>132</v>
      </c>
      <c r="V526" s="8">
        <f>IF($J526=0,0,ROUND(MAX($J526*1.4*1.5*1.6*1.6*2.2*2.715,354000000*(1.642074^(MIN($E526,123)-117)))*1,0))</f>
        <v>2573796232</v>
      </c>
      <c r="W526" s="6">
        <f>$E526+15</f>
        <v>136</v>
      </c>
      <c r="X526" s="7">
        <f>IF($J526=0,0,ROUND(MAX($J526*1.4*1.5*1.6*1.6*2.2*2.715*2.6,3540000000*(1.579646^(MIN($E526,123)-117)))*1,0))</f>
        <v>22041561106</v>
      </c>
      <c r="Y526" s="4">
        <f>$E526+17</f>
        <v>138</v>
      </c>
      <c r="Z526" s="8">
        <f>IF($J526=0,0,ROUND(MAX($J526*1.4*1.5*1.6*1.6*2.2*2.715*2.6*1.4,6020000000*(1.651178^(MIN($E526,123)-117)))*1,0))</f>
        <v>44747838846</v>
      </c>
      <c r="AA526" s="6">
        <f>$E526+19</f>
        <v>140</v>
      </c>
      <c r="AB526" s="7">
        <f>IF($J526=0,0,ROUND(MAX($J526*1.4*1.5*1.6*1.6*2.2*2.715*2.6*1.4*1.4,8430000000*(1.651435^(MIN($E526,123)-117)))*1,0))</f>
        <v>62700862258</v>
      </c>
      <c r="AC526" s="4">
        <f>$E526+21</f>
        <v>142</v>
      </c>
      <c r="AD526" s="8">
        <f>IF($J526=0,0,ROUND(MAX($J526*1.4*1.5*1.6*1.6*2.2*2.715*2.6*1.4*1.4*1.5,12600000000*(1.652953^(MIN($E526,123)-117)))*1,0))</f>
        <v>94061644049</v>
      </c>
      <c r="AE526" s="6">
        <f>$E526+24</f>
        <v>145</v>
      </c>
      <c r="AF526" s="7">
        <f>IF($J526=0,0,ROUND(MAX($J526*1.4*1.5*1.6*1.6*2.2*2.715*2.6*1.4*1.4*1.5*1.5,18900000000*(1.65331^(MIN($E526,123)-117)))*1,0))</f>
        <v>141214396536</v>
      </c>
      <c r="AG526" s="4">
        <f>$E526+27</f>
        <v>148</v>
      </c>
      <c r="AH526" s="8">
        <f>IF($J526=0,0,ROUND(MAX($J526*1.4*1.5*1.6*1.6*2.2*2.715*2.6*1.4*1.4*1.5*1.5*3.2,60500000000*(1.654288^(MIN($E526,123)-117)))*1,0))</f>
        <v>453106040991</v>
      </c>
    </row>
    <row r="527" ht="27.75" customHeight="1" spans="1:34" x14ac:dyDescent="0.25">
      <c r="A527" s="3">
        <v>537</v>
      </c>
      <c r="B527" s="3" t="s">
        <v>89</v>
      </c>
      <c r="C527" s="3" t="s">
        <v>590</v>
      </c>
      <c r="D527" s="3" t="s">
        <v>90</v>
      </c>
      <c r="E527" s="3">
        <v>122</v>
      </c>
      <c r="F527" s="3" t="s">
        <v>30</v>
      </c>
      <c r="G527" s="3" t="s">
        <v>51</v>
      </c>
      <c r="H527" s="3">
        <v>31</v>
      </c>
      <c r="I527" s="4">
        <v>122</v>
      </c>
      <c r="J527" s="5">
        <v>4190000</v>
      </c>
      <c r="K527" s="6">
        <f>$E527+1</f>
        <v>123</v>
      </c>
      <c r="L527" s="7">
        <f>IF($J527=0,0,ROUND(MAX($J527*1.4,1620000*(1.497923^(MIN($E527,123)-117)))*1,0))</f>
        <v>12216941</v>
      </c>
      <c r="M527" s="4">
        <f>$E527+2</f>
        <v>124</v>
      </c>
      <c r="N527" s="8">
        <f>IF($J527=0,0,ROUND(MAX($J527*1.4*1.5,2190000*(1.580994^(MIN($E527,123)-117)))*1,0))</f>
        <v>21631928</v>
      </c>
      <c r="O527" s="6">
        <f>$E527+4</f>
        <v>126</v>
      </c>
      <c r="P527" s="7">
        <f>IF($J527=0,0,ROUND(MAX($J527*1.4*1.5*1.6,3500000*(1.57975^(MIN($E527,123)-117)))*1,0))</f>
        <v>34435775</v>
      </c>
      <c r="Q527" s="4">
        <f>$E527+6</f>
        <v>128</v>
      </c>
      <c r="R527" s="8">
        <f>IF($J527=0,0,ROUND(MAX($J527*1.4*1.5*1.6*1.6,13100000*(1.429962^(MIN($E527,123)-117)))*1,0))</f>
        <v>78323805</v>
      </c>
      <c r="S527" s="6">
        <f>$E527+8</f>
        <v>130</v>
      </c>
      <c r="T527" s="7">
        <f>IF($J527=0,0,ROUND(MAX($J527*1.4*1.5*1.6*1.6*2.2,42600000*(1.576904^(MIN($E527,123)-117)))*1,0))</f>
        <v>415370714</v>
      </c>
      <c r="U527" s="4">
        <f>$E527+11</f>
        <v>133</v>
      </c>
      <c r="V527" s="8">
        <f>IF($J527=0,0,ROUND(MAX($J527*1.4*1.5*1.6*1.6*2.2*2.715,354000000*(1.642074^(MIN($E527,123)-117)))*1,0))</f>
        <v>4226363874</v>
      </c>
      <c r="W527" s="6">
        <f>$E527+15</f>
        <v>137</v>
      </c>
      <c r="X527" s="7">
        <f>IF($J527=0,0,ROUND(MAX($J527*1.4*1.5*1.6*1.6*2.2*2.715*2.6,3540000000*(1.579646^(MIN($E527,123)-117)))*1,0))</f>
        <v>34817863835</v>
      </c>
      <c r="Y527" s="4">
        <f>$E527+17</f>
        <v>139</v>
      </c>
      <c r="Z527" s="8">
        <f>IF($J527=0,0,ROUND(MAX($J527*1.4*1.5*1.6*1.6*2.2*2.715*2.6*1.4,6020000000*(1.651178^(MIN($E527,123)-117)))*1,0))</f>
        <v>73886647050</v>
      </c>
      <c r="AA527" s="6">
        <f>$E527+19</f>
        <v>141</v>
      </c>
      <c r="AB527" s="7">
        <f>IF($J527=0,0,ROUND(MAX($J527*1.4*1.5*1.6*1.6*2.2*2.715*2.6*1.4*1.4,8430000000*(1.651435^(MIN($E527,123)-117)))*1,0))</f>
        <v>103546398464</v>
      </c>
      <c r="AC527" s="4">
        <f>$E527+21</f>
        <v>143</v>
      </c>
      <c r="AD527" s="8">
        <f>IF($J527=0,0,ROUND(MAX($J527*1.4*1.5*1.6*1.6*2.2*2.715*2.6*1.4*1.4*1.5,12600000000*(1.652953^(MIN($E527,123)-117)))*1,0))</f>
        <v>155479476715</v>
      </c>
      <c r="AE527" s="6">
        <f>$E527+24</f>
        <v>146</v>
      </c>
      <c r="AF527" s="7">
        <f>IF($J527=0,0,ROUND(MAX($J527*1.4*1.5*1.6*1.6*2.2*2.715*2.6*1.4*1.4*1.5*1.5,18900000000*(1.65331^(MIN($E527,123)-117)))*1,0))</f>
        <v>233471173936</v>
      </c>
      <c r="AG527" s="4">
        <f>$E527+27</f>
        <v>149</v>
      </c>
      <c r="AH527" s="8">
        <f>IF($J527=0,0,ROUND(MAX($J527*1.4*1.5*1.6*1.6*2.2*2.715*2.6*1.4*1.4*1.5*1.5*3.2,60500000000*(1.654288^(MIN($E527,123)-117)))*1,0))</f>
        <v>749567886338</v>
      </c>
    </row>
    <row r="528" ht="27.75" customHeight="1" spans="1:34" x14ac:dyDescent="0.25">
      <c r="A528" s="3">
        <v>538</v>
      </c>
      <c r="B528" s="3" t="s">
        <v>178</v>
      </c>
      <c r="C528" s="3" t="s">
        <v>590</v>
      </c>
      <c r="D528" s="3" t="s">
        <v>33</v>
      </c>
      <c r="E528" s="3">
        <v>121</v>
      </c>
      <c r="F528" s="3" t="s">
        <v>179</v>
      </c>
      <c r="G528" s="3" t="s">
        <v>57</v>
      </c>
      <c r="H528" s="3">
        <v>31</v>
      </c>
      <c r="I528" s="4">
        <v>121</v>
      </c>
      <c r="J528" s="5">
        <v>2600000</v>
      </c>
      <c r="K528" s="6">
        <f>$E528+1</f>
        <v>122</v>
      </c>
      <c r="L528" s="7">
        <f>IF($J528=0,0,ROUND(MAX($J528*1.4,1620000*(1.497923^(MIN($E528,123)-117)))*1,0))</f>
        <v>8155920</v>
      </c>
      <c r="M528" s="4">
        <f>$E528+2</f>
        <v>123</v>
      </c>
      <c r="N528" s="8">
        <f>IF($J528=0,0,ROUND(MAX($J528*1.4*1.5,2190000*(1.580994^(MIN($E528,123)-117)))*1,0))</f>
        <v>13682486</v>
      </c>
      <c r="O528" s="6">
        <f>$E528+4</f>
        <v>125</v>
      </c>
      <c r="P528" s="7">
        <f>IF($J528=0,0,ROUND(MAX($J528*1.4*1.5*1.6,3500000*(1.57975^(MIN($E528,123)-117)))*1,0))</f>
        <v>21798244</v>
      </c>
      <c r="Q528" s="4">
        <f>$E528+6</f>
        <v>127</v>
      </c>
      <c r="R528" s="8">
        <f>IF($J528=0,0,ROUND(MAX($J528*1.4*1.5*1.6*1.6,13100000*(1.429962^(MIN($E528,123)-117)))*1,0))</f>
        <v>54773347</v>
      </c>
      <c r="S528" s="6">
        <f>$E528+8</f>
        <v>129</v>
      </c>
      <c r="T528" s="7">
        <f>IF($J528=0,0,ROUND(MAX($J528*1.4*1.5*1.6*1.6*2.2,42600000*(1.576904^(MIN($E528,123)-117)))*1,0))</f>
        <v>263409005</v>
      </c>
      <c r="U528" s="4">
        <f>$E528+11</f>
        <v>132</v>
      </c>
      <c r="V528" s="8">
        <f>IF($J528=0,0,ROUND(MAX($J528*1.4*1.5*1.6*1.6*2.2*2.715,354000000*(1.642074^(MIN($E528,123)-117)))*1,0))</f>
        <v>2573796232</v>
      </c>
      <c r="W528" s="6">
        <f>$E528+15</f>
        <v>136</v>
      </c>
      <c r="X528" s="7">
        <f>IF($J528=0,0,ROUND(MAX($J528*1.4*1.5*1.6*1.6*2.2*2.715*2.6,3540000000*(1.579646^(MIN($E528,123)-117)))*1,0))</f>
        <v>22041561106</v>
      </c>
      <c r="Y528" s="4">
        <f>$E528+17</f>
        <v>138</v>
      </c>
      <c r="Z528" s="8">
        <f>IF($J528=0,0,ROUND(MAX($J528*1.4*1.5*1.6*1.6*2.2*2.715*2.6*1.4,6020000000*(1.651178^(MIN($E528,123)-117)))*1,0))</f>
        <v>44747838846</v>
      </c>
      <c r="AA528" s="6">
        <f>$E528+19</f>
        <v>140</v>
      </c>
      <c r="AB528" s="7">
        <f>IF($J528=0,0,ROUND(MAX($J528*1.4*1.5*1.6*1.6*2.2*2.715*2.6*1.4*1.4,8430000000*(1.651435^(MIN($E528,123)-117)))*1,0))</f>
        <v>62700862258</v>
      </c>
      <c r="AC528" s="4">
        <f>$E528+21</f>
        <v>142</v>
      </c>
      <c r="AD528" s="8">
        <f>IF($J528=0,0,ROUND(MAX($J528*1.4*1.5*1.6*1.6*2.2*2.715*2.6*1.4*1.4*1.5,12600000000*(1.652953^(MIN($E528,123)-117)))*1,0))</f>
        <v>94061644049</v>
      </c>
      <c r="AE528" s="6">
        <f>$E528+24</f>
        <v>145</v>
      </c>
      <c r="AF528" s="7">
        <f>IF($J528=0,0,ROUND(MAX($J528*1.4*1.5*1.6*1.6*2.2*2.715*2.6*1.4*1.4*1.5*1.5,18900000000*(1.65331^(MIN($E528,123)-117)))*1,0))</f>
        <v>141214396536</v>
      </c>
      <c r="AG528" s="4">
        <f>$E528+27</f>
        <v>148</v>
      </c>
      <c r="AH528" s="8">
        <f>IF($J528=0,0,ROUND(MAX($J528*1.4*1.5*1.6*1.6*2.2*2.715*2.6*1.4*1.4*1.5*1.5*3.2,60500000000*(1.654288^(MIN($E528,123)-117)))*1,0))</f>
        <v>453106040991</v>
      </c>
    </row>
    <row r="529" ht="27.75" customHeight="1" spans="1:34" x14ac:dyDescent="0.25">
      <c r="A529" s="3">
        <v>539</v>
      </c>
      <c r="B529" s="3" t="s">
        <v>245</v>
      </c>
      <c r="C529" s="3" t="s">
        <v>590</v>
      </c>
      <c r="D529" s="3" t="s">
        <v>45</v>
      </c>
      <c r="E529" s="3">
        <v>121</v>
      </c>
      <c r="F529" s="3" t="s">
        <v>212</v>
      </c>
      <c r="G529" s="3" t="s">
        <v>51</v>
      </c>
      <c r="H529" s="3">
        <v>31</v>
      </c>
      <c r="I529" s="4">
        <v>121</v>
      </c>
      <c r="J529" s="5">
        <v>2490000</v>
      </c>
      <c r="K529" s="6">
        <f>$E529+1</f>
        <v>122</v>
      </c>
      <c r="L529" s="7">
        <f>IF($J529=0,0,ROUND(MAX($J529*1.4,1620000*(1.497923^(MIN($E529,123)-117)))*1,0))</f>
        <v>8155920</v>
      </c>
      <c r="M529" s="4">
        <f>$E529+2</f>
        <v>123</v>
      </c>
      <c r="N529" s="8">
        <f>IF($J529=0,0,ROUND(MAX($J529*1.4*1.5,2190000*(1.580994^(MIN($E529,123)-117)))*1,0))</f>
        <v>13682486</v>
      </c>
      <c r="O529" s="6">
        <f>$E529+4</f>
        <v>125</v>
      </c>
      <c r="P529" s="7">
        <f>IF($J529=0,0,ROUND(MAX($J529*1.4*1.5*1.6,3500000*(1.57975^(MIN($E529,123)-117)))*1,0))</f>
        <v>21798244</v>
      </c>
      <c r="Q529" s="4">
        <f>$E529+6</f>
        <v>127</v>
      </c>
      <c r="R529" s="8">
        <f>IF($J529=0,0,ROUND(MAX($J529*1.4*1.5*1.6*1.6,13100000*(1.429962^(MIN($E529,123)-117)))*1,0))</f>
        <v>54773347</v>
      </c>
      <c r="S529" s="6">
        <f>$E529+8</f>
        <v>129</v>
      </c>
      <c r="T529" s="7">
        <f>IF($J529=0,0,ROUND(MAX($J529*1.4*1.5*1.6*1.6*2.2,42600000*(1.576904^(MIN($E529,123)-117)))*1,0))</f>
        <v>263409005</v>
      </c>
      <c r="U529" s="4">
        <f>$E529+11</f>
        <v>132</v>
      </c>
      <c r="V529" s="8">
        <f>IF($J529=0,0,ROUND(MAX($J529*1.4*1.5*1.6*1.6*2.2*2.715,354000000*(1.642074^(MIN($E529,123)-117)))*1,0))</f>
        <v>2573796232</v>
      </c>
      <c r="W529" s="6">
        <f>$E529+15</f>
        <v>136</v>
      </c>
      <c r="X529" s="7">
        <f>IF($J529=0,0,ROUND(MAX($J529*1.4*1.5*1.6*1.6*2.2*2.715*2.6,3540000000*(1.579646^(MIN($E529,123)-117)))*1,0))</f>
        <v>22041561106</v>
      </c>
      <c r="Y529" s="4">
        <f>$E529+17</f>
        <v>138</v>
      </c>
      <c r="Z529" s="8">
        <f>IF($J529=0,0,ROUND(MAX($J529*1.4*1.5*1.6*1.6*2.2*2.715*2.6*1.4,6020000000*(1.651178^(MIN($E529,123)-117)))*1,0))</f>
        <v>44747838846</v>
      </c>
      <c r="AA529" s="6">
        <f>$E529+19</f>
        <v>140</v>
      </c>
      <c r="AB529" s="7">
        <f>IF($J529=0,0,ROUND(MAX($J529*1.4*1.5*1.6*1.6*2.2*2.715*2.6*1.4*1.4,8430000000*(1.651435^(MIN($E529,123)-117)))*1,0))</f>
        <v>62700862258</v>
      </c>
      <c r="AC529" s="4">
        <f>$E529+21</f>
        <v>142</v>
      </c>
      <c r="AD529" s="8">
        <f>IF($J529=0,0,ROUND(MAX($J529*1.4*1.5*1.6*1.6*2.2*2.715*2.6*1.4*1.4*1.5,12600000000*(1.652953^(MIN($E529,123)-117)))*1,0))</f>
        <v>94061644049</v>
      </c>
      <c r="AE529" s="6">
        <f>$E529+24</f>
        <v>145</v>
      </c>
      <c r="AF529" s="7">
        <f>IF($J529=0,0,ROUND(MAX($J529*1.4*1.5*1.6*1.6*2.2*2.715*2.6*1.4*1.4*1.5*1.5,18900000000*(1.65331^(MIN($E529,123)-117)))*1,0))</f>
        <v>141214396536</v>
      </c>
      <c r="AG529" s="4">
        <f>$E529+27</f>
        <v>148</v>
      </c>
      <c r="AH529" s="8">
        <f>IF($J529=0,0,ROUND(MAX($J529*1.4*1.5*1.6*1.6*2.2*2.715*2.6*1.4*1.4*1.5*1.5*3.2,60500000000*(1.654288^(MIN($E529,123)-117)))*1,0))</f>
        <v>453106040991</v>
      </c>
    </row>
    <row r="530" ht="27.75" customHeight="1" spans="1:34" x14ac:dyDescent="0.25">
      <c r="A530" s="3">
        <v>540</v>
      </c>
      <c r="B530" s="3" t="s">
        <v>625</v>
      </c>
      <c r="C530" s="3" t="s">
        <v>590</v>
      </c>
      <c r="D530" s="3" t="s">
        <v>47</v>
      </c>
      <c r="E530" s="3">
        <v>121</v>
      </c>
      <c r="F530" s="3" t="s">
        <v>30</v>
      </c>
      <c r="G530" s="3" t="s">
        <v>133</v>
      </c>
      <c r="H530" s="3">
        <v>28</v>
      </c>
      <c r="I530" s="4">
        <v>121</v>
      </c>
      <c r="J530" s="5">
        <v>2420000</v>
      </c>
      <c r="K530" s="6">
        <f>$E530+1</f>
        <v>122</v>
      </c>
      <c r="L530" s="7">
        <f>IF($J530=0,0,ROUND(MAX($J530*1.4,1620000*(1.497923^(MIN($E530,123)-117)))*1,0))</f>
        <v>8155920</v>
      </c>
      <c r="M530" s="4">
        <f>$E530+2</f>
        <v>123</v>
      </c>
      <c r="N530" s="8">
        <f>IF($J530=0,0,ROUND(MAX($J530*1.4*1.5,2190000*(1.580994^(MIN($E530,123)-117)))*1,0))</f>
        <v>13682486</v>
      </c>
      <c r="O530" s="6">
        <f>$E530+4</f>
        <v>125</v>
      </c>
      <c r="P530" s="7">
        <f>IF($J530=0,0,ROUND(MAX($J530*1.4*1.5*1.6,3500000*(1.57975^(MIN($E530,123)-117)))*1,0))</f>
        <v>21798244</v>
      </c>
      <c r="Q530" s="4">
        <f>$E530+6</f>
        <v>127</v>
      </c>
      <c r="R530" s="8">
        <f>IF($J530=0,0,ROUND(MAX($J530*1.4*1.5*1.6*1.6,13100000*(1.429962^(MIN($E530,123)-117)))*1,0))</f>
        <v>54773347</v>
      </c>
      <c r="S530" s="6">
        <f>$E530+8</f>
        <v>129</v>
      </c>
      <c r="T530" s="7">
        <f>IF($J530=0,0,ROUND(MAX($J530*1.4*1.5*1.6*1.6*2.2,42600000*(1.576904^(MIN($E530,123)-117)))*1,0))</f>
        <v>263409005</v>
      </c>
      <c r="U530" s="4">
        <f>$E530+11</f>
        <v>132</v>
      </c>
      <c r="V530" s="8">
        <f>IF($J530=0,0,ROUND(MAX($J530*1.4*1.5*1.6*1.6*2.2*2.715,354000000*(1.642074^(MIN($E530,123)-117)))*1,0))</f>
        <v>2573796232</v>
      </c>
      <c r="W530" s="6">
        <f>$E530+15</f>
        <v>136</v>
      </c>
      <c r="X530" s="7">
        <f>IF($J530=0,0,ROUND(MAX($J530*1.4*1.5*1.6*1.6*2.2*2.715*2.6,3540000000*(1.579646^(MIN($E530,123)-117)))*1,0))</f>
        <v>22041561106</v>
      </c>
      <c r="Y530" s="4">
        <f>$E530+17</f>
        <v>138</v>
      </c>
      <c r="Z530" s="8">
        <f>IF($J530=0,0,ROUND(MAX($J530*1.4*1.5*1.6*1.6*2.2*2.715*2.6*1.4,6020000000*(1.651178^(MIN($E530,123)-117)))*1,0))</f>
        <v>44747838846</v>
      </c>
      <c r="AA530" s="6">
        <f>$E530+19</f>
        <v>140</v>
      </c>
      <c r="AB530" s="7">
        <f>IF($J530=0,0,ROUND(MAX($J530*1.4*1.5*1.6*1.6*2.2*2.715*2.6*1.4*1.4,8430000000*(1.651435^(MIN($E530,123)-117)))*1,0))</f>
        <v>62700862258</v>
      </c>
      <c r="AC530" s="4">
        <f>$E530+21</f>
        <v>142</v>
      </c>
      <c r="AD530" s="8">
        <f>IF($J530=0,0,ROUND(MAX($J530*1.4*1.5*1.6*1.6*2.2*2.715*2.6*1.4*1.4*1.5,12600000000*(1.652953^(MIN($E530,123)-117)))*1,0))</f>
        <v>94061644049</v>
      </c>
      <c r="AE530" s="6">
        <f>$E530+24</f>
        <v>145</v>
      </c>
      <c r="AF530" s="7">
        <f>IF($J530=0,0,ROUND(MAX($J530*1.4*1.5*1.6*1.6*2.2*2.715*2.6*1.4*1.4*1.5*1.5,18900000000*(1.65331^(MIN($E530,123)-117)))*1,0))</f>
        <v>141214396536</v>
      </c>
      <c r="AG530" s="4">
        <f>$E530+27</f>
        <v>148</v>
      </c>
      <c r="AH530" s="8">
        <f>IF($J530=0,0,ROUND(MAX($J530*1.4*1.5*1.6*1.6*2.2*2.715*2.6*1.4*1.4*1.5*1.5*3.2,60500000000*(1.654288^(MIN($E530,123)-117)))*1,0))</f>
        <v>453106040991</v>
      </c>
    </row>
    <row r="531" ht="27.75" customHeight="1" spans="1:34" x14ac:dyDescent="0.25">
      <c r="A531" s="3">
        <v>541</v>
      </c>
      <c r="B531" s="3" t="s">
        <v>182</v>
      </c>
      <c r="C531" s="3" t="s">
        <v>590</v>
      </c>
      <c r="D531" s="3" t="s">
        <v>102</v>
      </c>
      <c r="E531" s="3">
        <v>122</v>
      </c>
      <c r="F531" s="3" t="s">
        <v>183</v>
      </c>
      <c r="G531" s="3" t="s">
        <v>57</v>
      </c>
      <c r="H531" s="3">
        <v>31</v>
      </c>
      <c r="I531" s="4">
        <v>122</v>
      </c>
      <c r="J531" s="5">
        <v>4540000</v>
      </c>
      <c r="K531" s="6">
        <f>$E531+1</f>
        <v>123</v>
      </c>
      <c r="L531" s="7">
        <f>IF($J531=0,0,ROUND(MAX($J531*1.4,1620000*(1.497923^(MIN($E531,123)-117)))*1,0))</f>
        <v>12216941</v>
      </c>
      <c r="M531" s="4">
        <f>$E531+2</f>
        <v>124</v>
      </c>
      <c r="N531" s="8">
        <f>IF($J531=0,0,ROUND(MAX($J531*1.4*1.5,2190000*(1.580994^(MIN($E531,123)-117)))*1,0))</f>
        <v>21631928</v>
      </c>
      <c r="O531" s="6">
        <f>$E531+4</f>
        <v>126</v>
      </c>
      <c r="P531" s="7">
        <f>IF($J531=0,0,ROUND(MAX($J531*1.4*1.5*1.6,3500000*(1.57975^(MIN($E531,123)-117)))*1,0))</f>
        <v>34435775</v>
      </c>
      <c r="Q531" s="4">
        <f>$E531+6</f>
        <v>128</v>
      </c>
      <c r="R531" s="8">
        <f>IF($J531=0,0,ROUND(MAX($J531*1.4*1.5*1.6*1.6,13100000*(1.429962^(MIN($E531,123)-117)))*1,0))</f>
        <v>78323805</v>
      </c>
      <c r="S531" s="6">
        <f>$E531+8</f>
        <v>130</v>
      </c>
      <c r="T531" s="7">
        <f>IF($J531=0,0,ROUND(MAX($J531*1.4*1.5*1.6*1.6*2.2,42600000*(1.576904^(MIN($E531,123)-117)))*1,0))</f>
        <v>415370714</v>
      </c>
      <c r="U531" s="4">
        <f>$E531+11</f>
        <v>133</v>
      </c>
      <c r="V531" s="8">
        <f>IF($J531=0,0,ROUND(MAX($J531*1.4*1.5*1.6*1.6*2.2*2.715,354000000*(1.642074^(MIN($E531,123)-117)))*1,0))</f>
        <v>4226363874</v>
      </c>
      <c r="W531" s="6">
        <f>$E531+15</f>
        <v>137</v>
      </c>
      <c r="X531" s="7">
        <f>IF($J531=0,0,ROUND(MAX($J531*1.4*1.5*1.6*1.6*2.2*2.715*2.6,3540000000*(1.579646^(MIN($E531,123)-117)))*1,0))</f>
        <v>34817863835</v>
      </c>
      <c r="Y531" s="4">
        <f>$E531+17</f>
        <v>139</v>
      </c>
      <c r="Z531" s="8">
        <f>IF($J531=0,0,ROUND(MAX($J531*1.4*1.5*1.6*1.6*2.2*2.715*2.6*1.4,6020000000*(1.651178^(MIN($E531,123)-117)))*1,0))</f>
        <v>73886647050</v>
      </c>
      <c r="AA531" s="6">
        <f>$E531+19</f>
        <v>141</v>
      </c>
      <c r="AB531" s="7">
        <f>IF($J531=0,0,ROUND(MAX($J531*1.4*1.5*1.6*1.6*2.2*2.715*2.6*1.4*1.4,8430000000*(1.651435^(MIN($E531,123)-117)))*1,0))</f>
        <v>103546398464</v>
      </c>
      <c r="AC531" s="4">
        <f>$E531+21</f>
        <v>143</v>
      </c>
      <c r="AD531" s="8">
        <f>IF($J531=0,0,ROUND(MAX($J531*1.4*1.5*1.6*1.6*2.2*2.715*2.6*1.4*1.4*1.5,12600000000*(1.652953^(MIN($E531,123)-117)))*1,0))</f>
        <v>155479476715</v>
      </c>
      <c r="AE531" s="6">
        <f>$E531+24</f>
        <v>146</v>
      </c>
      <c r="AF531" s="7">
        <f>IF($J531=0,0,ROUND(MAX($J531*1.4*1.5*1.6*1.6*2.2*2.715*2.6*1.4*1.4*1.5*1.5,18900000000*(1.65331^(MIN($E531,123)-117)))*1,0))</f>
        <v>233471173936</v>
      </c>
      <c r="AG531" s="4">
        <f>$E531+27</f>
        <v>149</v>
      </c>
      <c r="AH531" s="8">
        <f>IF($J531=0,0,ROUND(MAX($J531*1.4*1.5*1.6*1.6*2.2*2.715*2.6*1.4*1.4*1.5*1.5*3.2,60500000000*(1.654288^(MIN($E531,123)-117)))*1,0))</f>
        <v>749567886338</v>
      </c>
    </row>
    <row r="532" ht="27.75" customHeight="1" spans="1:34" x14ac:dyDescent="0.25">
      <c r="A532" s="3">
        <v>542</v>
      </c>
      <c r="B532" s="3" t="s">
        <v>155</v>
      </c>
      <c r="C532" s="3" t="s">
        <v>590</v>
      </c>
      <c r="D532" s="3" t="s">
        <v>102</v>
      </c>
      <c r="E532" s="3">
        <v>122</v>
      </c>
      <c r="F532" s="3" t="s">
        <v>71</v>
      </c>
      <c r="G532" s="3" t="s">
        <v>133</v>
      </c>
      <c r="H532" s="3">
        <v>31</v>
      </c>
      <c r="I532" s="4">
        <v>122</v>
      </c>
      <c r="J532" s="5">
        <v>4450000</v>
      </c>
      <c r="K532" s="6">
        <f>$E532+1</f>
        <v>123</v>
      </c>
      <c r="L532" s="7">
        <f>IF($J532=0,0,ROUND(MAX($J532*1.4,1620000*(1.497923^(MIN($E532,123)-117)))*1,0))</f>
        <v>12216941</v>
      </c>
      <c r="M532" s="4">
        <f>$E532+2</f>
        <v>124</v>
      </c>
      <c r="N532" s="8">
        <f>IF($J532=0,0,ROUND(MAX($J532*1.4*1.5,2190000*(1.580994^(MIN($E532,123)-117)))*1,0))</f>
        <v>21631928</v>
      </c>
      <c r="O532" s="6">
        <f>$E532+4</f>
        <v>126</v>
      </c>
      <c r="P532" s="7">
        <f>IF($J532=0,0,ROUND(MAX($J532*1.4*1.5*1.6,3500000*(1.57975^(MIN($E532,123)-117)))*1,0))</f>
        <v>34435775</v>
      </c>
      <c r="Q532" s="4">
        <f>$E532+6</f>
        <v>128</v>
      </c>
      <c r="R532" s="8">
        <f>IF($J532=0,0,ROUND(MAX($J532*1.4*1.5*1.6*1.6,13100000*(1.429962^(MIN($E532,123)-117)))*1,0))</f>
        <v>78323805</v>
      </c>
      <c r="S532" s="6">
        <f>$E532+8</f>
        <v>130</v>
      </c>
      <c r="T532" s="7">
        <f>IF($J532=0,0,ROUND(MAX($J532*1.4*1.5*1.6*1.6*2.2,42600000*(1.576904^(MIN($E532,123)-117)))*1,0))</f>
        <v>415370714</v>
      </c>
      <c r="U532" s="4">
        <f>$E532+11</f>
        <v>133</v>
      </c>
      <c r="V532" s="8">
        <f>IF($J532=0,0,ROUND(MAX($J532*1.4*1.5*1.6*1.6*2.2*2.715,354000000*(1.642074^(MIN($E532,123)-117)))*1,0))</f>
        <v>4226363874</v>
      </c>
      <c r="W532" s="6">
        <f>$E532+15</f>
        <v>137</v>
      </c>
      <c r="X532" s="7">
        <f>IF($J532=0,0,ROUND(MAX($J532*1.4*1.5*1.6*1.6*2.2*2.715*2.6,3540000000*(1.579646^(MIN($E532,123)-117)))*1,0))</f>
        <v>34817863835</v>
      </c>
      <c r="Y532" s="4">
        <f>$E532+17</f>
        <v>139</v>
      </c>
      <c r="Z532" s="8">
        <f>IF($J532=0,0,ROUND(MAX($J532*1.4*1.5*1.6*1.6*2.2*2.715*2.6*1.4,6020000000*(1.651178^(MIN($E532,123)-117)))*1,0))</f>
        <v>73886647050</v>
      </c>
      <c r="AA532" s="6">
        <f>$E532+19</f>
        <v>141</v>
      </c>
      <c r="AB532" s="7">
        <f>IF($J532=0,0,ROUND(MAX($J532*1.4*1.5*1.6*1.6*2.2*2.715*2.6*1.4*1.4,8430000000*(1.651435^(MIN($E532,123)-117)))*1,0))</f>
        <v>103546398464</v>
      </c>
      <c r="AC532" s="4">
        <f>$E532+21</f>
        <v>143</v>
      </c>
      <c r="AD532" s="8">
        <f>IF($J532=0,0,ROUND(MAX($J532*1.4*1.5*1.6*1.6*2.2*2.715*2.6*1.4*1.4*1.5,12600000000*(1.652953^(MIN($E532,123)-117)))*1,0))</f>
        <v>155479476715</v>
      </c>
      <c r="AE532" s="6">
        <f>$E532+24</f>
        <v>146</v>
      </c>
      <c r="AF532" s="7">
        <f>IF($J532=0,0,ROUND(MAX($J532*1.4*1.5*1.6*1.6*2.2*2.715*2.6*1.4*1.4*1.5*1.5,18900000000*(1.65331^(MIN($E532,123)-117)))*1,0))</f>
        <v>233471173936</v>
      </c>
      <c r="AG532" s="4">
        <f>$E532+27</f>
        <v>149</v>
      </c>
      <c r="AH532" s="8">
        <f>IF($J532=0,0,ROUND(MAX($J532*1.4*1.5*1.6*1.6*2.2*2.715*2.6*1.4*1.4*1.5*1.5*3.2,60500000000*(1.654288^(MIN($E532,123)-117)))*1,0))</f>
        <v>749567886338</v>
      </c>
    </row>
    <row r="533" ht="27.75" customHeight="1" spans="1:34" x14ac:dyDescent="0.25">
      <c r="A533" s="3">
        <v>543</v>
      </c>
      <c r="B533" s="3" t="s">
        <v>626</v>
      </c>
      <c r="C533" s="3" t="s">
        <v>590</v>
      </c>
      <c r="D533" s="3" t="s">
        <v>102</v>
      </c>
      <c r="E533" s="3">
        <v>122</v>
      </c>
      <c r="F533" s="3" t="s">
        <v>30</v>
      </c>
      <c r="G533" s="3" t="s">
        <v>95</v>
      </c>
      <c r="H533" s="3">
        <v>31</v>
      </c>
      <c r="I533" s="4">
        <v>122</v>
      </c>
      <c r="J533" s="5">
        <v>4050000</v>
      </c>
      <c r="K533" s="6">
        <f>$E533+1</f>
        <v>123</v>
      </c>
      <c r="L533" s="7">
        <f>IF($J533=0,0,ROUND(MAX($J533*1.4,1620000*(1.497923^(MIN($E533,123)-117)))*1,0))</f>
        <v>12216941</v>
      </c>
      <c r="M533" s="4">
        <f>$E533+2</f>
        <v>124</v>
      </c>
      <c r="N533" s="8">
        <f>IF($J533=0,0,ROUND(MAX($J533*1.4*1.5,2190000*(1.580994^(MIN($E533,123)-117)))*1,0))</f>
        <v>21631928</v>
      </c>
      <c r="O533" s="6">
        <f>$E533+4</f>
        <v>126</v>
      </c>
      <c r="P533" s="7">
        <f>IF($J533=0,0,ROUND(MAX($J533*1.4*1.5*1.6,3500000*(1.57975^(MIN($E533,123)-117)))*1,0))</f>
        <v>34435775</v>
      </c>
      <c r="Q533" s="4">
        <f>$E533+6</f>
        <v>128</v>
      </c>
      <c r="R533" s="8">
        <f>IF($J533=0,0,ROUND(MAX($J533*1.4*1.5*1.6*1.6,13100000*(1.429962^(MIN($E533,123)-117)))*1,0))</f>
        <v>78323805</v>
      </c>
      <c r="S533" s="6">
        <f>$E533+8</f>
        <v>130</v>
      </c>
      <c r="T533" s="7">
        <f>IF($J533=0,0,ROUND(MAX($J533*1.4*1.5*1.6*1.6*2.2,42600000*(1.576904^(MIN($E533,123)-117)))*1,0))</f>
        <v>415370714</v>
      </c>
      <c r="U533" s="4">
        <f>$E533+11</f>
        <v>133</v>
      </c>
      <c r="V533" s="8">
        <f>IF($J533=0,0,ROUND(MAX($J533*1.4*1.5*1.6*1.6*2.2*2.715,354000000*(1.642074^(MIN($E533,123)-117)))*1,0))</f>
        <v>4226363874</v>
      </c>
      <c r="W533" s="6">
        <f>$E533+15</f>
        <v>137</v>
      </c>
      <c r="X533" s="7">
        <f>IF($J533=0,0,ROUND(MAX($J533*1.4*1.5*1.6*1.6*2.2*2.715*2.6,3540000000*(1.579646^(MIN($E533,123)-117)))*1,0))</f>
        <v>34817863835</v>
      </c>
      <c r="Y533" s="4">
        <f>$E533+17</f>
        <v>139</v>
      </c>
      <c r="Z533" s="8">
        <f>IF($J533=0,0,ROUND(MAX($J533*1.4*1.5*1.6*1.6*2.2*2.715*2.6*1.4,6020000000*(1.651178^(MIN($E533,123)-117)))*1,0))</f>
        <v>73886647050</v>
      </c>
      <c r="AA533" s="6">
        <f>$E533+19</f>
        <v>141</v>
      </c>
      <c r="AB533" s="7">
        <f>IF($J533=0,0,ROUND(MAX($J533*1.4*1.5*1.6*1.6*2.2*2.715*2.6*1.4*1.4,8430000000*(1.651435^(MIN($E533,123)-117)))*1,0))</f>
        <v>103546398464</v>
      </c>
      <c r="AC533" s="4">
        <f>$E533+21</f>
        <v>143</v>
      </c>
      <c r="AD533" s="8">
        <f>IF($J533=0,0,ROUND(MAX($J533*1.4*1.5*1.6*1.6*2.2*2.715*2.6*1.4*1.4*1.5,12600000000*(1.652953^(MIN($E533,123)-117)))*1,0))</f>
        <v>155479476715</v>
      </c>
      <c r="AE533" s="6">
        <f>$E533+24</f>
        <v>146</v>
      </c>
      <c r="AF533" s="7">
        <f>IF($J533=0,0,ROUND(MAX($J533*1.4*1.5*1.6*1.6*2.2*2.715*2.6*1.4*1.4*1.5*1.5,18900000000*(1.65331^(MIN($E533,123)-117)))*1,0))</f>
        <v>233471173936</v>
      </c>
      <c r="AG533" s="4">
        <f>$E533+27</f>
        <v>149</v>
      </c>
      <c r="AH533" s="8">
        <f>IF($J533=0,0,ROUND(MAX($J533*1.4*1.5*1.6*1.6*2.2*2.715*2.6*1.4*1.4*1.5*1.5*3.2,60500000000*(1.654288^(MIN($E533,123)-117)))*1,0))</f>
        <v>749567886338</v>
      </c>
    </row>
    <row r="534" ht="27.75" customHeight="1" spans="1:34" x14ac:dyDescent="0.25">
      <c r="A534" s="3">
        <v>544</v>
      </c>
      <c r="B534" s="3" t="s">
        <v>483</v>
      </c>
      <c r="C534" s="3" t="s">
        <v>590</v>
      </c>
      <c r="D534" s="3" t="s">
        <v>33</v>
      </c>
      <c r="E534" s="3">
        <v>122</v>
      </c>
      <c r="F534" s="3" t="s">
        <v>30</v>
      </c>
      <c r="G534" s="3" t="s">
        <v>35</v>
      </c>
      <c r="H534" s="3">
        <v>31</v>
      </c>
      <c r="I534" s="4">
        <v>122</v>
      </c>
      <c r="J534" s="5">
        <v>4030000</v>
      </c>
      <c r="K534" s="6">
        <f>$E534+1</f>
        <v>123</v>
      </c>
      <c r="L534" s="7">
        <f>IF($J534=0,0,ROUND(MAX($J534*1.4,1620000*(1.497923^(MIN($E534,123)-117)))*1,0))</f>
        <v>12216941</v>
      </c>
      <c r="M534" s="4">
        <f>$E534+2</f>
        <v>124</v>
      </c>
      <c r="N534" s="8">
        <f>IF($J534=0,0,ROUND(MAX($J534*1.4*1.5,2190000*(1.580994^(MIN($E534,123)-117)))*1,0))</f>
        <v>21631928</v>
      </c>
      <c r="O534" s="6">
        <f>$E534+4</f>
        <v>126</v>
      </c>
      <c r="P534" s="7">
        <f>IF($J534=0,0,ROUND(MAX($J534*1.4*1.5*1.6,3500000*(1.57975^(MIN($E534,123)-117)))*1,0))</f>
        <v>34435775</v>
      </c>
      <c r="Q534" s="4">
        <f>$E534+6</f>
        <v>128</v>
      </c>
      <c r="R534" s="8">
        <f>IF($J534=0,0,ROUND(MAX($J534*1.4*1.5*1.6*1.6,13100000*(1.429962^(MIN($E534,123)-117)))*1,0))</f>
        <v>78323805</v>
      </c>
      <c r="S534" s="6">
        <f>$E534+8</f>
        <v>130</v>
      </c>
      <c r="T534" s="7">
        <f>IF($J534=0,0,ROUND(MAX($J534*1.4*1.5*1.6*1.6*2.2,42600000*(1.576904^(MIN($E534,123)-117)))*1,0))</f>
        <v>415370714</v>
      </c>
      <c r="U534" s="4">
        <f>$E534+11</f>
        <v>133</v>
      </c>
      <c r="V534" s="8">
        <f>IF($J534=0,0,ROUND(MAX($J534*1.4*1.5*1.6*1.6*2.2*2.715,354000000*(1.642074^(MIN($E534,123)-117)))*1,0))</f>
        <v>4226363874</v>
      </c>
      <c r="W534" s="6">
        <f>$E534+15</f>
        <v>137</v>
      </c>
      <c r="X534" s="7">
        <f>IF($J534=0,0,ROUND(MAX($J534*1.4*1.5*1.6*1.6*2.2*2.715*2.6,3540000000*(1.579646^(MIN($E534,123)-117)))*1,0))</f>
        <v>34817863835</v>
      </c>
      <c r="Y534" s="4">
        <f>$E534+17</f>
        <v>139</v>
      </c>
      <c r="Z534" s="8">
        <f>IF($J534=0,0,ROUND(MAX($J534*1.4*1.5*1.6*1.6*2.2*2.715*2.6*1.4,6020000000*(1.651178^(MIN($E534,123)-117)))*1,0))</f>
        <v>73886647050</v>
      </c>
      <c r="AA534" s="6">
        <f>$E534+19</f>
        <v>141</v>
      </c>
      <c r="AB534" s="7">
        <f>IF($J534=0,0,ROUND(MAX($J534*1.4*1.5*1.6*1.6*2.2*2.715*2.6*1.4*1.4,8430000000*(1.651435^(MIN($E534,123)-117)))*1,0))</f>
        <v>103546398464</v>
      </c>
      <c r="AC534" s="4">
        <f>$E534+21</f>
        <v>143</v>
      </c>
      <c r="AD534" s="8">
        <f>IF($J534=0,0,ROUND(MAX($J534*1.4*1.5*1.6*1.6*2.2*2.715*2.6*1.4*1.4*1.5,12600000000*(1.652953^(MIN($E534,123)-117)))*1,0))</f>
        <v>155479476715</v>
      </c>
      <c r="AE534" s="6">
        <f>$E534+24</f>
        <v>146</v>
      </c>
      <c r="AF534" s="7">
        <f>IF($J534=0,0,ROUND(MAX($J534*1.4*1.5*1.6*1.6*2.2*2.715*2.6*1.4*1.4*1.5*1.5,18900000000*(1.65331^(MIN($E534,123)-117)))*1,0))</f>
        <v>233471173936</v>
      </c>
      <c r="AG534" s="4">
        <f>$E534+27</f>
        <v>149</v>
      </c>
      <c r="AH534" s="8">
        <f>IF($J534=0,0,ROUND(MAX($J534*1.4*1.5*1.6*1.6*2.2*2.715*2.6*1.4*1.4*1.5*1.5*3.2,60500000000*(1.654288^(MIN($E534,123)-117)))*1,0))</f>
        <v>749567886338</v>
      </c>
    </row>
    <row r="535" ht="27.75" customHeight="1" spans="1:34" x14ac:dyDescent="0.25">
      <c r="A535" s="3">
        <v>545</v>
      </c>
      <c r="B535" s="3" t="s">
        <v>627</v>
      </c>
      <c r="C535" s="3" t="s">
        <v>590</v>
      </c>
      <c r="D535" s="3" t="s">
        <v>25</v>
      </c>
      <c r="E535" s="3">
        <v>122</v>
      </c>
      <c r="F535" s="3" t="s">
        <v>71</v>
      </c>
      <c r="G535" s="3" t="s">
        <v>95</v>
      </c>
      <c r="H535" s="3">
        <v>31</v>
      </c>
      <c r="I535" s="4">
        <v>122</v>
      </c>
      <c r="J535" s="5">
        <v>4270000</v>
      </c>
      <c r="K535" s="6">
        <f>$E535+1</f>
        <v>123</v>
      </c>
      <c r="L535" s="7">
        <f>IF($J535=0,0,ROUND(MAX($J535*1.4,1620000*(1.497923^(MIN($E535,123)-117)))*1,0))</f>
        <v>12216941</v>
      </c>
      <c r="M535" s="4">
        <f>$E535+2</f>
        <v>124</v>
      </c>
      <c r="N535" s="8">
        <f>IF($J535=0,0,ROUND(MAX($J535*1.4*1.5,2190000*(1.580994^(MIN($E535,123)-117)))*1,0))</f>
        <v>21631928</v>
      </c>
      <c r="O535" s="6">
        <f>$E535+4</f>
        <v>126</v>
      </c>
      <c r="P535" s="7">
        <f>IF($J535=0,0,ROUND(MAX($J535*1.4*1.5*1.6,3500000*(1.57975^(MIN($E535,123)-117)))*1,0))</f>
        <v>34435775</v>
      </c>
      <c r="Q535" s="4">
        <f>$E535+6</f>
        <v>128</v>
      </c>
      <c r="R535" s="8">
        <f>IF($J535=0,0,ROUND(MAX($J535*1.4*1.5*1.6*1.6,13100000*(1.429962^(MIN($E535,123)-117)))*1,0))</f>
        <v>78323805</v>
      </c>
      <c r="S535" s="6">
        <f>$E535+8</f>
        <v>130</v>
      </c>
      <c r="T535" s="7">
        <f>IF($J535=0,0,ROUND(MAX($J535*1.4*1.5*1.6*1.6*2.2,42600000*(1.576904^(MIN($E535,123)-117)))*1,0))</f>
        <v>415370714</v>
      </c>
      <c r="U535" s="4">
        <f>$E535+11</f>
        <v>133</v>
      </c>
      <c r="V535" s="8">
        <f>IF($J535=0,0,ROUND(MAX($J535*1.4*1.5*1.6*1.6*2.2*2.715,354000000*(1.642074^(MIN($E535,123)-117)))*1,0))</f>
        <v>4226363874</v>
      </c>
      <c r="W535" s="6">
        <f>$E535+15</f>
        <v>137</v>
      </c>
      <c r="X535" s="7">
        <f>IF($J535=0,0,ROUND(MAX($J535*1.4*1.5*1.6*1.6*2.2*2.715*2.6,3540000000*(1.579646^(MIN($E535,123)-117)))*1,0))</f>
        <v>34817863835</v>
      </c>
      <c r="Y535" s="4">
        <f>$E535+17</f>
        <v>139</v>
      </c>
      <c r="Z535" s="8">
        <f>IF($J535=0,0,ROUND(MAX($J535*1.4*1.5*1.6*1.6*2.2*2.715*2.6*1.4,6020000000*(1.651178^(MIN($E535,123)-117)))*1,0))</f>
        <v>73886647050</v>
      </c>
      <c r="AA535" s="6">
        <f>$E535+19</f>
        <v>141</v>
      </c>
      <c r="AB535" s="7">
        <f>IF($J535=0,0,ROUND(MAX($J535*1.4*1.5*1.6*1.6*2.2*2.715*2.6*1.4*1.4,8430000000*(1.651435^(MIN($E535,123)-117)))*1,0))</f>
        <v>103546398464</v>
      </c>
      <c r="AC535" s="4">
        <f>$E535+21</f>
        <v>143</v>
      </c>
      <c r="AD535" s="8">
        <f>IF($J535=0,0,ROUND(MAX($J535*1.4*1.5*1.6*1.6*2.2*2.715*2.6*1.4*1.4*1.5,12600000000*(1.652953^(MIN($E535,123)-117)))*1,0))</f>
        <v>155479476715</v>
      </c>
      <c r="AE535" s="6">
        <f>$E535+24</f>
        <v>146</v>
      </c>
      <c r="AF535" s="7">
        <f>IF($J535=0,0,ROUND(MAX($J535*1.4*1.5*1.6*1.6*2.2*2.715*2.6*1.4*1.4*1.5*1.5,18900000000*(1.65331^(MIN($E535,123)-117)))*1,0))</f>
        <v>233471173936</v>
      </c>
      <c r="AG535" s="4">
        <f>$E535+27</f>
        <v>149</v>
      </c>
      <c r="AH535" s="8">
        <f>IF($J535=0,0,ROUND(MAX($J535*1.4*1.5*1.6*1.6*2.2*2.715*2.6*1.4*1.4*1.5*1.5*3.2,60500000000*(1.654288^(MIN($E535,123)-117)))*1,0))</f>
        <v>749567886338</v>
      </c>
    </row>
    <row r="536" ht="27.75" customHeight="1" spans="1:34" x14ac:dyDescent="0.25">
      <c r="A536" s="3">
        <v>546</v>
      </c>
      <c r="B536" s="3" t="s">
        <v>288</v>
      </c>
      <c r="C536" s="3" t="s">
        <v>590</v>
      </c>
      <c r="D536" s="3" t="s">
        <v>102</v>
      </c>
      <c r="E536" s="3">
        <v>122</v>
      </c>
      <c r="F536" s="3" t="s">
        <v>30</v>
      </c>
      <c r="G536" s="3" t="s">
        <v>270</v>
      </c>
      <c r="H536" s="3">
        <v>31</v>
      </c>
      <c r="I536" s="4">
        <v>122</v>
      </c>
      <c r="J536" s="5">
        <v>3910000</v>
      </c>
      <c r="K536" s="6">
        <f>$E536+1</f>
        <v>123</v>
      </c>
      <c r="L536" s="7">
        <f>IF($J536=0,0,ROUND(MAX($J536*1.4,1620000*(1.497923^(MIN($E536,123)-117)))*1,0))</f>
        <v>12216941</v>
      </c>
      <c r="M536" s="4">
        <f>$E536+2</f>
        <v>124</v>
      </c>
      <c r="N536" s="8">
        <f>IF($J536=0,0,ROUND(MAX($J536*1.4*1.5,2190000*(1.580994^(MIN($E536,123)-117)))*1,0))</f>
        <v>21631928</v>
      </c>
      <c r="O536" s="6">
        <f>$E536+4</f>
        <v>126</v>
      </c>
      <c r="P536" s="7">
        <f>IF($J536=0,0,ROUND(MAX($J536*1.4*1.5*1.6,3500000*(1.57975^(MIN($E536,123)-117)))*1,0))</f>
        <v>34435775</v>
      </c>
      <c r="Q536" s="4">
        <f>$E536+6</f>
        <v>128</v>
      </c>
      <c r="R536" s="8">
        <f>IF($J536=0,0,ROUND(MAX($J536*1.4*1.5*1.6*1.6,13100000*(1.429962^(MIN($E536,123)-117)))*1,0))</f>
        <v>78323805</v>
      </c>
      <c r="S536" s="6">
        <f>$E536+8</f>
        <v>130</v>
      </c>
      <c r="T536" s="7">
        <f>IF($J536=0,0,ROUND(MAX($J536*1.4*1.5*1.6*1.6*2.2,42600000*(1.576904^(MIN($E536,123)-117)))*1,0))</f>
        <v>415370714</v>
      </c>
      <c r="U536" s="4">
        <f>$E536+11</f>
        <v>133</v>
      </c>
      <c r="V536" s="8">
        <f>IF($J536=0,0,ROUND(MAX($J536*1.4*1.5*1.6*1.6*2.2*2.715,354000000*(1.642074^(MIN($E536,123)-117)))*1,0))</f>
        <v>4226363874</v>
      </c>
      <c r="W536" s="6">
        <f>$E536+15</f>
        <v>137</v>
      </c>
      <c r="X536" s="7">
        <f>IF($J536=0,0,ROUND(MAX($J536*1.4*1.5*1.6*1.6*2.2*2.715*2.6,3540000000*(1.579646^(MIN($E536,123)-117)))*1,0))</f>
        <v>34817863835</v>
      </c>
      <c r="Y536" s="4">
        <f>$E536+17</f>
        <v>139</v>
      </c>
      <c r="Z536" s="8">
        <f>IF($J536=0,0,ROUND(MAX($J536*1.4*1.5*1.6*1.6*2.2*2.715*2.6*1.4,6020000000*(1.651178^(MIN($E536,123)-117)))*1,0))</f>
        <v>73886647050</v>
      </c>
      <c r="AA536" s="6">
        <f>$E536+19</f>
        <v>141</v>
      </c>
      <c r="AB536" s="7">
        <f>IF($J536=0,0,ROUND(MAX($J536*1.4*1.5*1.6*1.6*2.2*2.715*2.6*1.4*1.4,8430000000*(1.651435^(MIN($E536,123)-117)))*1,0))</f>
        <v>103546398464</v>
      </c>
      <c r="AC536" s="4">
        <f>$E536+21</f>
        <v>143</v>
      </c>
      <c r="AD536" s="8">
        <f>IF($J536=0,0,ROUND(MAX($J536*1.4*1.5*1.6*1.6*2.2*2.715*2.6*1.4*1.4*1.5,12600000000*(1.652953^(MIN($E536,123)-117)))*1,0))</f>
        <v>155479476715</v>
      </c>
      <c r="AE536" s="6">
        <f>$E536+24</f>
        <v>146</v>
      </c>
      <c r="AF536" s="7">
        <f>IF($J536=0,0,ROUND(MAX($J536*1.4*1.5*1.6*1.6*2.2*2.715*2.6*1.4*1.4*1.5*1.5,18900000000*(1.65331^(MIN($E536,123)-117)))*1,0))</f>
        <v>233471173936</v>
      </c>
      <c r="AG536" s="4">
        <f>$E536+27</f>
        <v>149</v>
      </c>
      <c r="AH536" s="8">
        <f>IF($J536=0,0,ROUND(MAX($J536*1.4*1.5*1.6*1.6*2.2*2.715*2.6*1.4*1.4*1.5*1.5*3.2,60500000000*(1.654288^(MIN($E536,123)-117)))*1,0))</f>
        <v>749567886338</v>
      </c>
    </row>
    <row r="537" ht="27.75" customHeight="1" spans="1:34" x14ac:dyDescent="0.25">
      <c r="A537" s="3">
        <v>547</v>
      </c>
      <c r="B537" s="3" t="s">
        <v>628</v>
      </c>
      <c r="C537" s="3" t="s">
        <v>590</v>
      </c>
      <c r="D537" s="3" t="s">
        <v>75</v>
      </c>
      <c r="E537" s="3">
        <v>122</v>
      </c>
      <c r="F537" s="3" t="s">
        <v>136</v>
      </c>
      <c r="G537" s="3" t="s">
        <v>171</v>
      </c>
      <c r="H537" s="3">
        <v>31</v>
      </c>
      <c r="I537" s="4">
        <v>122</v>
      </c>
      <c r="J537" s="5">
        <v>4600000</v>
      </c>
      <c r="K537" s="6">
        <f>$E537+1</f>
        <v>123</v>
      </c>
      <c r="L537" s="7">
        <f>IF($J537=0,0,ROUND(MAX($J537*1.4,1620000*(1.497923^(MIN($E537,123)-117)))*1,0))</f>
        <v>12216941</v>
      </c>
      <c r="M537" s="4">
        <f>$E537+2</f>
        <v>124</v>
      </c>
      <c r="N537" s="8">
        <f>IF($J537=0,0,ROUND(MAX($J537*1.4*1.5,2190000*(1.580994^(MIN($E537,123)-117)))*1,0))</f>
        <v>21631928</v>
      </c>
      <c r="O537" s="6">
        <f>$E537+4</f>
        <v>126</v>
      </c>
      <c r="P537" s="7">
        <f>IF($J537=0,0,ROUND(MAX($J537*1.4*1.5*1.6,3500000*(1.57975^(MIN($E537,123)-117)))*1,0))</f>
        <v>34435775</v>
      </c>
      <c r="Q537" s="4">
        <f>$E537+6</f>
        <v>128</v>
      </c>
      <c r="R537" s="8">
        <f>IF($J537=0,0,ROUND(MAX($J537*1.4*1.5*1.6*1.6,13100000*(1.429962^(MIN($E537,123)-117)))*1,0))</f>
        <v>78323805</v>
      </c>
      <c r="S537" s="6">
        <f>$E537+8</f>
        <v>130</v>
      </c>
      <c r="T537" s="7">
        <f>IF($J537=0,0,ROUND(MAX($J537*1.4*1.5*1.6*1.6*2.2,42600000*(1.576904^(MIN($E537,123)-117)))*1,0))</f>
        <v>415370714</v>
      </c>
      <c r="U537" s="4">
        <f>$E537+11</f>
        <v>133</v>
      </c>
      <c r="V537" s="8">
        <f>IF($J537=0,0,ROUND(MAX($J537*1.4*1.5*1.6*1.6*2.2*2.715,354000000*(1.642074^(MIN($E537,123)-117)))*1,0))</f>
        <v>4226363874</v>
      </c>
      <c r="W537" s="6">
        <f>$E537+15</f>
        <v>137</v>
      </c>
      <c r="X537" s="7">
        <f>IF($J537=0,0,ROUND(MAX($J537*1.4*1.5*1.6*1.6*2.2*2.715*2.6,3540000000*(1.579646^(MIN($E537,123)-117)))*1,0))</f>
        <v>34817863835</v>
      </c>
      <c r="Y537" s="4">
        <f>$E537+17</f>
        <v>139</v>
      </c>
      <c r="Z537" s="8">
        <f>IF($J537=0,0,ROUND(MAX($J537*1.4*1.5*1.6*1.6*2.2*2.715*2.6*1.4,6020000000*(1.651178^(MIN($E537,123)-117)))*1,0))</f>
        <v>73886647050</v>
      </c>
      <c r="AA537" s="6">
        <f>$E537+19</f>
        <v>141</v>
      </c>
      <c r="AB537" s="7">
        <f>IF($J537=0,0,ROUND(MAX($J537*1.4*1.5*1.6*1.6*2.2*2.715*2.6*1.4*1.4,8430000000*(1.651435^(MIN($E537,123)-117)))*1,0))</f>
        <v>103546398464</v>
      </c>
      <c r="AC537" s="4">
        <f>$E537+21</f>
        <v>143</v>
      </c>
      <c r="AD537" s="8">
        <f>IF($J537=0,0,ROUND(MAX($J537*1.4*1.5*1.6*1.6*2.2*2.715*2.6*1.4*1.4*1.5,12600000000*(1.652953^(MIN($E537,123)-117)))*1,0))</f>
        <v>155479476715</v>
      </c>
      <c r="AE537" s="6">
        <f>$E537+24</f>
        <v>146</v>
      </c>
      <c r="AF537" s="7">
        <f>IF($J537=0,0,ROUND(MAX($J537*1.4*1.5*1.6*1.6*2.2*2.715*2.6*1.4*1.4*1.5*1.5,18900000000*(1.65331^(MIN($E537,123)-117)))*1,0))</f>
        <v>233471173936</v>
      </c>
      <c r="AG537" s="4">
        <f>$E537+27</f>
        <v>149</v>
      </c>
      <c r="AH537" s="8">
        <f>IF($J537=0,0,ROUND(MAX($J537*1.4*1.5*1.6*1.6*2.2*2.715*2.6*1.4*1.4*1.5*1.5*3.2,60500000000*(1.654288^(MIN($E537,123)-117)))*1,0))</f>
        <v>749567886338</v>
      </c>
    </row>
    <row r="538" ht="27.75" customHeight="1" spans="1:34" x14ac:dyDescent="0.25">
      <c r="A538" s="3">
        <v>548</v>
      </c>
      <c r="B538" s="3" t="s">
        <v>629</v>
      </c>
      <c r="C538" s="3" t="s">
        <v>590</v>
      </c>
      <c r="D538" s="3" t="s">
        <v>90</v>
      </c>
      <c r="E538" s="3">
        <v>122</v>
      </c>
      <c r="F538" s="3" t="s">
        <v>62</v>
      </c>
      <c r="G538" s="3" t="s">
        <v>27</v>
      </c>
      <c r="H538" s="3">
        <v>31</v>
      </c>
      <c r="I538" s="4">
        <v>122</v>
      </c>
      <c r="J538" s="5">
        <v>3970000</v>
      </c>
      <c r="K538" s="6">
        <f>$E538+1</f>
        <v>123</v>
      </c>
      <c r="L538" s="7">
        <f>IF($J538=0,0,ROUND(MAX($J538*1.4,1620000*(1.497923^(MIN($E538,123)-117)))*1,0))</f>
        <v>12216941</v>
      </c>
      <c r="M538" s="4">
        <f>$E538+2</f>
        <v>124</v>
      </c>
      <c r="N538" s="8">
        <f>IF($J538=0,0,ROUND(MAX($J538*1.4*1.5,2190000*(1.580994^(MIN($E538,123)-117)))*1,0))</f>
        <v>21631928</v>
      </c>
      <c r="O538" s="6">
        <f>$E538+4</f>
        <v>126</v>
      </c>
      <c r="P538" s="7">
        <f>IF($J538=0,0,ROUND(MAX($J538*1.4*1.5*1.6,3500000*(1.57975^(MIN($E538,123)-117)))*1,0))</f>
        <v>34435775</v>
      </c>
      <c r="Q538" s="4">
        <f>$E538+6</f>
        <v>128</v>
      </c>
      <c r="R538" s="8">
        <f>IF($J538=0,0,ROUND(MAX($J538*1.4*1.5*1.6*1.6,13100000*(1.429962^(MIN($E538,123)-117)))*1,0))</f>
        <v>78323805</v>
      </c>
      <c r="S538" s="6">
        <f>$E538+8</f>
        <v>130</v>
      </c>
      <c r="T538" s="7">
        <f>IF($J538=0,0,ROUND(MAX($J538*1.4*1.5*1.6*1.6*2.2,42600000*(1.576904^(MIN($E538,123)-117)))*1,0))</f>
        <v>415370714</v>
      </c>
      <c r="U538" s="4">
        <f>$E538+11</f>
        <v>133</v>
      </c>
      <c r="V538" s="8">
        <f>IF($J538=0,0,ROUND(MAX($J538*1.4*1.5*1.6*1.6*2.2*2.715,354000000*(1.642074^(MIN($E538,123)-117)))*1,0))</f>
        <v>4226363874</v>
      </c>
      <c r="W538" s="6">
        <f>$E538+15</f>
        <v>137</v>
      </c>
      <c r="X538" s="7">
        <f>IF($J538=0,0,ROUND(MAX($J538*1.4*1.5*1.6*1.6*2.2*2.715*2.6,3540000000*(1.579646^(MIN($E538,123)-117)))*1,0))</f>
        <v>34817863835</v>
      </c>
      <c r="Y538" s="4">
        <f>$E538+17</f>
        <v>139</v>
      </c>
      <c r="Z538" s="8">
        <f>IF($J538=0,0,ROUND(MAX($J538*1.4*1.5*1.6*1.6*2.2*2.715*2.6*1.4,6020000000*(1.651178^(MIN($E538,123)-117)))*1,0))</f>
        <v>73886647050</v>
      </c>
      <c r="AA538" s="6">
        <f>$E538+19</f>
        <v>141</v>
      </c>
      <c r="AB538" s="7">
        <f>IF($J538=0,0,ROUND(MAX($J538*1.4*1.5*1.6*1.6*2.2*2.715*2.6*1.4*1.4,8430000000*(1.651435^(MIN($E538,123)-117)))*1,0))</f>
        <v>103546398464</v>
      </c>
      <c r="AC538" s="4">
        <f>$E538+21</f>
        <v>143</v>
      </c>
      <c r="AD538" s="8">
        <f>IF($J538=0,0,ROUND(MAX($J538*1.4*1.5*1.6*1.6*2.2*2.715*2.6*1.4*1.4*1.5,12600000000*(1.652953^(MIN($E538,123)-117)))*1,0))</f>
        <v>155479476715</v>
      </c>
      <c r="AE538" s="6">
        <f>$E538+24</f>
        <v>146</v>
      </c>
      <c r="AF538" s="7">
        <f>IF($J538=0,0,ROUND(MAX($J538*1.4*1.5*1.6*1.6*2.2*2.715*2.6*1.4*1.4*1.5*1.5,18900000000*(1.65331^(MIN($E538,123)-117)))*1,0))</f>
        <v>233471173936</v>
      </c>
      <c r="AG538" s="4">
        <f>$E538+27</f>
        <v>149</v>
      </c>
      <c r="AH538" s="8">
        <f>IF($J538=0,0,ROUND(MAX($J538*1.4*1.5*1.6*1.6*2.2*2.715*2.6*1.4*1.4*1.5*1.5*3.2,60500000000*(1.654288^(MIN($E538,123)-117)))*1,0))</f>
        <v>749567886338</v>
      </c>
    </row>
    <row r="539" ht="27.75" customHeight="1" spans="1:34" x14ac:dyDescent="0.25">
      <c r="A539" s="3">
        <v>549</v>
      </c>
      <c r="B539" s="3" t="s">
        <v>630</v>
      </c>
      <c r="C539" s="3" t="s">
        <v>590</v>
      </c>
      <c r="D539" s="3" t="s">
        <v>102</v>
      </c>
      <c r="E539" s="3">
        <v>122</v>
      </c>
      <c r="F539" s="3" t="s">
        <v>71</v>
      </c>
      <c r="G539" s="3" t="s">
        <v>185</v>
      </c>
      <c r="H539" s="3">
        <v>31</v>
      </c>
      <c r="I539" s="4">
        <v>122</v>
      </c>
      <c r="J539" s="5">
        <v>5010000</v>
      </c>
      <c r="K539" s="6">
        <f>$E539+1</f>
        <v>123</v>
      </c>
      <c r="L539" s="7">
        <f>IF($J539=0,0,ROUND(MAX($J539*1.4,1620000*(1.497923^(MIN($E539,123)-117)))*1,0))</f>
        <v>12216941</v>
      </c>
      <c r="M539" s="4">
        <f>$E539+2</f>
        <v>124</v>
      </c>
      <c r="N539" s="8">
        <f>IF($J539=0,0,ROUND(MAX($J539*1.4*1.5,2190000*(1.580994^(MIN($E539,123)-117)))*1,0))</f>
        <v>21631928</v>
      </c>
      <c r="O539" s="6">
        <f>$E539+4</f>
        <v>126</v>
      </c>
      <c r="P539" s="7">
        <f>IF($J539=0,0,ROUND(MAX($J539*1.4*1.5*1.6,3500000*(1.57975^(MIN($E539,123)-117)))*1,0))</f>
        <v>34435775</v>
      </c>
      <c r="Q539" s="4">
        <f>$E539+6</f>
        <v>128</v>
      </c>
      <c r="R539" s="8">
        <f>IF($J539=0,0,ROUND(MAX($J539*1.4*1.5*1.6*1.6,13100000*(1.429962^(MIN($E539,123)-117)))*1,0))</f>
        <v>78323805</v>
      </c>
      <c r="S539" s="6">
        <f>$E539+8</f>
        <v>130</v>
      </c>
      <c r="T539" s="7">
        <f>IF($J539=0,0,ROUND(MAX($J539*1.4*1.5*1.6*1.6*2.2,42600000*(1.576904^(MIN($E539,123)-117)))*1,0))</f>
        <v>415370714</v>
      </c>
      <c r="U539" s="4">
        <f>$E539+11</f>
        <v>133</v>
      </c>
      <c r="V539" s="8">
        <f>IF($J539=0,0,ROUND(MAX($J539*1.4*1.5*1.6*1.6*2.2*2.715,354000000*(1.642074^(MIN($E539,123)-117)))*1,0))</f>
        <v>4226363874</v>
      </c>
      <c r="W539" s="6">
        <f>$E539+15</f>
        <v>137</v>
      </c>
      <c r="X539" s="7">
        <f>IF($J539=0,0,ROUND(MAX($J539*1.4*1.5*1.6*1.6*2.2*2.715*2.6,3540000000*(1.579646^(MIN($E539,123)-117)))*1,0))</f>
        <v>34817863835</v>
      </c>
      <c r="Y539" s="4">
        <f>$E539+17</f>
        <v>139</v>
      </c>
      <c r="Z539" s="8">
        <f>IF($J539=0,0,ROUND(MAX($J539*1.4*1.5*1.6*1.6*2.2*2.715*2.6*1.4,6020000000*(1.651178^(MIN($E539,123)-117)))*1,0))</f>
        <v>73886647050</v>
      </c>
      <c r="AA539" s="6">
        <f>$E539+19</f>
        <v>141</v>
      </c>
      <c r="AB539" s="7">
        <f>IF($J539=0,0,ROUND(MAX($J539*1.4*1.5*1.6*1.6*2.2*2.715*2.6*1.4*1.4,8430000000*(1.651435^(MIN($E539,123)-117)))*1,0))</f>
        <v>103546398464</v>
      </c>
      <c r="AC539" s="4">
        <f>$E539+21</f>
        <v>143</v>
      </c>
      <c r="AD539" s="8">
        <f>IF($J539=0,0,ROUND(MAX($J539*1.4*1.5*1.6*1.6*2.2*2.715*2.6*1.4*1.4*1.5,12600000000*(1.652953^(MIN($E539,123)-117)))*1,0))</f>
        <v>155479476715</v>
      </c>
      <c r="AE539" s="6">
        <f>$E539+24</f>
        <v>146</v>
      </c>
      <c r="AF539" s="7">
        <f>IF($J539=0,0,ROUND(MAX($J539*1.4*1.5*1.6*1.6*2.2*2.715*2.6*1.4*1.4*1.5*1.5,18900000000*(1.65331^(MIN($E539,123)-117)))*1,0))</f>
        <v>233471173936</v>
      </c>
      <c r="AG539" s="4">
        <f>$E539+27</f>
        <v>149</v>
      </c>
      <c r="AH539" s="8">
        <f>IF($J539=0,0,ROUND(MAX($J539*1.4*1.5*1.6*1.6*2.2*2.715*2.6*1.4*1.4*1.5*1.5*3.2,60500000000*(1.654288^(MIN($E539,123)-117)))*1,0))</f>
        <v>749567886338</v>
      </c>
    </row>
    <row r="540" ht="27.75" customHeight="1" spans="1:34" x14ac:dyDescent="0.25">
      <c r="A540" s="3">
        <v>550</v>
      </c>
      <c r="B540" s="3" t="s">
        <v>149</v>
      </c>
      <c r="C540" s="3" t="s">
        <v>590</v>
      </c>
      <c r="D540" s="3" t="s">
        <v>33</v>
      </c>
      <c r="E540" s="3">
        <v>122</v>
      </c>
      <c r="F540" s="3" t="s">
        <v>56</v>
      </c>
      <c r="G540" s="3" t="s">
        <v>57</v>
      </c>
      <c r="H540" s="3">
        <v>32</v>
      </c>
      <c r="I540" s="4">
        <v>122</v>
      </c>
      <c r="J540" s="5">
        <v>4300000</v>
      </c>
      <c r="K540" s="6">
        <f>$E540+1</f>
        <v>123</v>
      </c>
      <c r="L540" s="7">
        <f>IF($J540=0,0,ROUND(MAX($J540*1.4,1620000*(1.497923^(MIN($E540,123)-117)))*1,0))</f>
        <v>12216941</v>
      </c>
      <c r="M540" s="4">
        <f>$E540+2</f>
        <v>124</v>
      </c>
      <c r="N540" s="8">
        <f>IF($J540=0,0,ROUND(MAX($J540*1.4*1.5,2190000*(1.580994^(MIN($E540,123)-117)))*1,0))</f>
        <v>21631928</v>
      </c>
      <c r="O540" s="6">
        <f>$E540+4</f>
        <v>126</v>
      </c>
      <c r="P540" s="7">
        <f>IF($J540=0,0,ROUND(MAX($J540*1.4*1.5*1.6,3500000*(1.57975^(MIN($E540,123)-117)))*1,0))</f>
        <v>34435775</v>
      </c>
      <c r="Q540" s="4">
        <f>$E540+6</f>
        <v>128</v>
      </c>
      <c r="R540" s="8">
        <f>IF($J540=0,0,ROUND(MAX($J540*1.4*1.5*1.6*1.6,13100000*(1.429962^(MIN($E540,123)-117)))*1,0))</f>
        <v>78323805</v>
      </c>
      <c r="S540" s="6">
        <f>$E540+8</f>
        <v>130</v>
      </c>
      <c r="T540" s="7">
        <f>IF($J540=0,0,ROUND(MAX($J540*1.4*1.5*1.6*1.6*2.2,42600000*(1.576904^(MIN($E540,123)-117)))*1,0))</f>
        <v>415370714</v>
      </c>
      <c r="U540" s="4">
        <f>$E540+11</f>
        <v>133</v>
      </c>
      <c r="V540" s="8">
        <f>IF($J540=0,0,ROUND(MAX($J540*1.4*1.5*1.6*1.6*2.2*2.715,354000000*(1.642074^(MIN($E540,123)-117)))*1,0))</f>
        <v>4226363874</v>
      </c>
      <c r="W540" s="6">
        <f>$E540+15</f>
        <v>137</v>
      </c>
      <c r="X540" s="7">
        <f>IF($J540=0,0,ROUND(MAX($J540*1.4*1.5*1.6*1.6*2.2*2.715*2.6,3540000000*(1.579646^(MIN($E540,123)-117)))*1,0))</f>
        <v>34817863835</v>
      </c>
      <c r="Y540" s="4">
        <f>$E540+17</f>
        <v>139</v>
      </c>
      <c r="Z540" s="8">
        <f>IF($J540=0,0,ROUND(MAX($J540*1.4*1.5*1.6*1.6*2.2*2.715*2.6*1.4,6020000000*(1.651178^(MIN($E540,123)-117)))*1,0))</f>
        <v>73886647050</v>
      </c>
      <c r="AA540" s="6">
        <f>$E540+19</f>
        <v>141</v>
      </c>
      <c r="AB540" s="7">
        <f>IF($J540=0,0,ROUND(MAX($J540*1.4*1.5*1.6*1.6*2.2*2.715*2.6*1.4*1.4,8430000000*(1.651435^(MIN($E540,123)-117)))*1,0))</f>
        <v>103546398464</v>
      </c>
      <c r="AC540" s="4">
        <f>$E540+21</f>
        <v>143</v>
      </c>
      <c r="AD540" s="8">
        <f>IF($J540=0,0,ROUND(MAX($J540*1.4*1.5*1.6*1.6*2.2*2.715*2.6*1.4*1.4*1.5,12600000000*(1.652953^(MIN($E540,123)-117)))*1,0))</f>
        <v>155479476715</v>
      </c>
      <c r="AE540" s="6">
        <f>$E540+24</f>
        <v>146</v>
      </c>
      <c r="AF540" s="7">
        <f>IF($J540=0,0,ROUND(MAX($J540*1.4*1.5*1.6*1.6*2.2*2.715*2.6*1.4*1.4*1.5*1.5,18900000000*(1.65331^(MIN($E540,123)-117)))*1,0))</f>
        <v>233471173936</v>
      </c>
      <c r="AG540" s="4">
        <f>$E540+27</f>
        <v>149</v>
      </c>
      <c r="AH540" s="8">
        <f>IF($J540=0,0,ROUND(MAX($J540*1.4*1.5*1.6*1.6*2.2*2.715*2.6*1.4*1.4*1.5*1.5*3.2,60500000000*(1.654288^(MIN($E540,123)-117)))*1,0))</f>
        <v>749567886338</v>
      </c>
    </row>
    <row r="541" ht="27.75" customHeight="1" spans="1:34" x14ac:dyDescent="0.25">
      <c r="A541" s="3">
        <v>551</v>
      </c>
      <c r="B541" s="3" t="s">
        <v>127</v>
      </c>
      <c r="C541" s="3" t="s">
        <v>590</v>
      </c>
      <c r="D541" s="3" t="s">
        <v>33</v>
      </c>
      <c r="E541" s="3">
        <v>122</v>
      </c>
      <c r="F541" s="3" t="s">
        <v>71</v>
      </c>
      <c r="G541" s="3" t="s">
        <v>72</v>
      </c>
      <c r="H541" s="3">
        <v>32</v>
      </c>
      <c r="I541" s="4">
        <v>122</v>
      </c>
      <c r="J541" s="5">
        <v>4650000</v>
      </c>
      <c r="K541" s="6">
        <f>$E541+1</f>
        <v>123</v>
      </c>
      <c r="L541" s="7">
        <f>IF($J541=0,0,ROUND(MAX($J541*1.4,1620000*(1.497923^(MIN($E541,123)-117)))*1,0))</f>
        <v>12216941</v>
      </c>
      <c r="M541" s="4">
        <f>$E541+2</f>
        <v>124</v>
      </c>
      <c r="N541" s="8">
        <f>IF($J541=0,0,ROUND(MAX($J541*1.4*1.5,2190000*(1.580994^(MIN($E541,123)-117)))*1,0))</f>
        <v>21631928</v>
      </c>
      <c r="O541" s="6">
        <f>$E541+4</f>
        <v>126</v>
      </c>
      <c r="P541" s="7">
        <f>IF($J541=0,0,ROUND(MAX($J541*1.4*1.5*1.6,3500000*(1.57975^(MIN($E541,123)-117)))*1,0))</f>
        <v>34435775</v>
      </c>
      <c r="Q541" s="4">
        <f>$E541+6</f>
        <v>128</v>
      </c>
      <c r="R541" s="8">
        <f>IF($J541=0,0,ROUND(MAX($J541*1.4*1.5*1.6*1.6,13100000*(1.429962^(MIN($E541,123)-117)))*1,0))</f>
        <v>78323805</v>
      </c>
      <c r="S541" s="6">
        <f>$E541+8</f>
        <v>130</v>
      </c>
      <c r="T541" s="7">
        <f>IF($J541=0,0,ROUND(MAX($J541*1.4*1.5*1.6*1.6*2.2,42600000*(1.576904^(MIN($E541,123)-117)))*1,0))</f>
        <v>415370714</v>
      </c>
      <c r="U541" s="4">
        <f>$E541+11</f>
        <v>133</v>
      </c>
      <c r="V541" s="8">
        <f>IF($J541=0,0,ROUND(MAX($J541*1.4*1.5*1.6*1.6*2.2*2.715,354000000*(1.642074^(MIN($E541,123)-117)))*1,0))</f>
        <v>4226363874</v>
      </c>
      <c r="W541" s="6">
        <f>$E541+15</f>
        <v>137</v>
      </c>
      <c r="X541" s="7">
        <f>IF($J541=0,0,ROUND(MAX($J541*1.4*1.5*1.6*1.6*2.2*2.715*2.6,3540000000*(1.579646^(MIN($E541,123)-117)))*1,0))</f>
        <v>34817863835</v>
      </c>
      <c r="Y541" s="4">
        <f>$E541+17</f>
        <v>139</v>
      </c>
      <c r="Z541" s="8">
        <f>IF($J541=0,0,ROUND(MAX($J541*1.4*1.5*1.6*1.6*2.2*2.715*2.6*1.4,6020000000*(1.651178^(MIN($E541,123)-117)))*1,0))</f>
        <v>73886647050</v>
      </c>
      <c r="AA541" s="6">
        <f>$E541+19</f>
        <v>141</v>
      </c>
      <c r="AB541" s="7">
        <f>IF($J541=0,0,ROUND(MAX($J541*1.4*1.5*1.6*1.6*2.2*2.715*2.6*1.4*1.4,8430000000*(1.651435^(MIN($E541,123)-117)))*1,0))</f>
        <v>103546398464</v>
      </c>
      <c r="AC541" s="4">
        <f>$E541+21</f>
        <v>143</v>
      </c>
      <c r="AD541" s="8">
        <f>IF($J541=0,0,ROUND(MAX($J541*1.4*1.5*1.6*1.6*2.2*2.715*2.6*1.4*1.4*1.5,12600000000*(1.652953^(MIN($E541,123)-117)))*1,0))</f>
        <v>155479476715</v>
      </c>
      <c r="AE541" s="6">
        <f>$E541+24</f>
        <v>146</v>
      </c>
      <c r="AF541" s="7">
        <f>IF($J541=0,0,ROUND(MAX($J541*1.4*1.5*1.6*1.6*2.2*2.715*2.6*1.4*1.4*1.5*1.5,18900000000*(1.65331^(MIN($E541,123)-117)))*1,0))</f>
        <v>233471173936</v>
      </c>
      <c r="AG541" s="4">
        <f>$E541+27</f>
        <v>149</v>
      </c>
      <c r="AH541" s="8">
        <f>IF($J541=0,0,ROUND(MAX($J541*1.4*1.5*1.6*1.6*2.2*2.715*2.6*1.4*1.4*1.5*1.5*3.2,60500000000*(1.654288^(MIN($E541,123)-117)))*1,0))</f>
        <v>749567886338</v>
      </c>
    </row>
    <row r="542" ht="27.75" customHeight="1" spans="1:34" x14ac:dyDescent="0.25">
      <c r="A542" s="3">
        <v>552</v>
      </c>
      <c r="B542" s="3" t="s">
        <v>118</v>
      </c>
      <c r="C542" s="3" t="s">
        <v>590</v>
      </c>
      <c r="D542" s="3" t="s">
        <v>29</v>
      </c>
      <c r="E542" s="3">
        <v>122</v>
      </c>
      <c r="F542" s="3" t="s">
        <v>56</v>
      </c>
      <c r="G542" s="3" t="s">
        <v>57</v>
      </c>
      <c r="H542" s="3">
        <v>32</v>
      </c>
      <c r="I542" s="4">
        <v>122</v>
      </c>
      <c r="J542" s="5">
        <v>4350000</v>
      </c>
      <c r="K542" s="6">
        <f>$E542+1</f>
        <v>123</v>
      </c>
      <c r="L542" s="7">
        <f>IF($J542=0,0,ROUND(MAX($J542*1.4,1620000*(1.497923^(MIN($E542,123)-117)))*1,0))</f>
        <v>12216941</v>
      </c>
      <c r="M542" s="4">
        <f>$E542+2</f>
        <v>124</v>
      </c>
      <c r="N542" s="8">
        <f>IF($J542=0,0,ROUND(MAX($J542*1.4*1.5,2190000*(1.580994^(MIN($E542,123)-117)))*1,0))</f>
        <v>21631928</v>
      </c>
      <c r="O542" s="6">
        <f>$E542+4</f>
        <v>126</v>
      </c>
      <c r="P542" s="7">
        <f>IF($J542=0,0,ROUND(MAX($J542*1.4*1.5*1.6,3500000*(1.57975^(MIN($E542,123)-117)))*1,0))</f>
        <v>34435775</v>
      </c>
      <c r="Q542" s="4">
        <f>$E542+6</f>
        <v>128</v>
      </c>
      <c r="R542" s="8">
        <f>IF($J542=0,0,ROUND(MAX($J542*1.4*1.5*1.6*1.6,13100000*(1.429962^(MIN($E542,123)-117)))*1,0))</f>
        <v>78323805</v>
      </c>
      <c r="S542" s="6">
        <f>$E542+8</f>
        <v>130</v>
      </c>
      <c r="T542" s="7">
        <f>IF($J542=0,0,ROUND(MAX($J542*1.4*1.5*1.6*1.6*2.2,42600000*(1.576904^(MIN($E542,123)-117)))*1,0))</f>
        <v>415370714</v>
      </c>
      <c r="U542" s="4">
        <f>$E542+11</f>
        <v>133</v>
      </c>
      <c r="V542" s="8">
        <f>IF($J542=0,0,ROUND(MAX($J542*1.4*1.5*1.6*1.6*2.2*2.715,354000000*(1.642074^(MIN($E542,123)-117)))*1,0))</f>
        <v>4226363874</v>
      </c>
      <c r="W542" s="6">
        <f>$E542+15</f>
        <v>137</v>
      </c>
      <c r="X542" s="7">
        <f>IF($J542=0,0,ROUND(MAX($J542*1.4*1.5*1.6*1.6*2.2*2.715*2.6,3540000000*(1.579646^(MIN($E542,123)-117)))*1,0))</f>
        <v>34817863835</v>
      </c>
      <c r="Y542" s="4">
        <f>$E542+17</f>
        <v>139</v>
      </c>
      <c r="Z542" s="8">
        <f>IF($J542=0,0,ROUND(MAX($J542*1.4*1.5*1.6*1.6*2.2*2.715*2.6*1.4,6020000000*(1.651178^(MIN($E542,123)-117)))*1,0))</f>
        <v>73886647050</v>
      </c>
      <c r="AA542" s="6">
        <f>$E542+19</f>
        <v>141</v>
      </c>
      <c r="AB542" s="7">
        <f>IF($J542=0,0,ROUND(MAX($J542*1.4*1.5*1.6*1.6*2.2*2.715*2.6*1.4*1.4,8430000000*(1.651435^(MIN($E542,123)-117)))*1,0))</f>
        <v>103546398464</v>
      </c>
      <c r="AC542" s="4">
        <f>$E542+21</f>
        <v>143</v>
      </c>
      <c r="AD542" s="8">
        <f>IF($J542=0,0,ROUND(MAX($J542*1.4*1.5*1.6*1.6*2.2*2.715*2.6*1.4*1.4*1.5,12600000000*(1.652953^(MIN($E542,123)-117)))*1,0))</f>
        <v>155479476715</v>
      </c>
      <c r="AE542" s="6">
        <f>$E542+24</f>
        <v>146</v>
      </c>
      <c r="AF542" s="7">
        <f>IF($J542=0,0,ROUND(MAX($J542*1.4*1.5*1.6*1.6*2.2*2.715*2.6*1.4*1.4*1.5*1.5,18900000000*(1.65331^(MIN($E542,123)-117)))*1,0))</f>
        <v>233471173936</v>
      </c>
      <c r="AG542" s="4">
        <f>$E542+27</f>
        <v>149</v>
      </c>
      <c r="AH542" s="8">
        <f>IF($J542=0,0,ROUND(MAX($J542*1.4*1.5*1.6*1.6*2.2*2.715*2.6*1.4*1.4*1.5*1.5*3.2,60500000000*(1.654288^(MIN($E542,123)-117)))*1,0))</f>
        <v>749567886338</v>
      </c>
    </row>
    <row r="543" ht="27.75" customHeight="1" spans="1:34" x14ac:dyDescent="0.25">
      <c r="A543" s="3">
        <v>553</v>
      </c>
      <c r="B543" s="3" t="s">
        <v>631</v>
      </c>
      <c r="C543" s="3" t="s">
        <v>590</v>
      </c>
      <c r="D543" s="3" t="s">
        <v>40</v>
      </c>
      <c r="E543" s="3">
        <v>122</v>
      </c>
      <c r="F543" s="3" t="s">
        <v>212</v>
      </c>
      <c r="G543" s="3" t="s">
        <v>35</v>
      </c>
      <c r="H543" s="3">
        <v>32</v>
      </c>
      <c r="I543" s="4">
        <v>122</v>
      </c>
      <c r="J543" s="5">
        <v>4390000</v>
      </c>
      <c r="K543" s="6">
        <f>$E543+1</f>
        <v>123</v>
      </c>
      <c r="L543" s="7">
        <f>IF($J543=0,0,ROUND(MAX($J543*1.4,1620000*(1.497923^(MIN($E543,123)-117)))*1,0))</f>
        <v>12216941</v>
      </c>
      <c r="M543" s="4">
        <f>$E543+2</f>
        <v>124</v>
      </c>
      <c r="N543" s="8">
        <f>IF($J543=0,0,ROUND(MAX($J543*1.4*1.5,2190000*(1.580994^(MIN($E543,123)-117)))*1,0))</f>
        <v>21631928</v>
      </c>
      <c r="O543" s="6">
        <f>$E543+4</f>
        <v>126</v>
      </c>
      <c r="P543" s="7">
        <f>IF($J543=0,0,ROUND(MAX($J543*1.4*1.5*1.6,3500000*(1.57975^(MIN($E543,123)-117)))*1,0))</f>
        <v>34435775</v>
      </c>
      <c r="Q543" s="4">
        <f>$E543+6</f>
        <v>128</v>
      </c>
      <c r="R543" s="8">
        <f>IF($J543=0,0,ROUND(MAX($J543*1.4*1.5*1.6*1.6,13100000*(1.429962^(MIN($E543,123)-117)))*1,0))</f>
        <v>78323805</v>
      </c>
      <c r="S543" s="6">
        <f>$E543+8</f>
        <v>130</v>
      </c>
      <c r="T543" s="7">
        <f>IF($J543=0,0,ROUND(MAX($J543*1.4*1.5*1.6*1.6*2.2,42600000*(1.576904^(MIN($E543,123)-117)))*1,0))</f>
        <v>415370714</v>
      </c>
      <c r="U543" s="4">
        <f>$E543+11</f>
        <v>133</v>
      </c>
      <c r="V543" s="8">
        <f>IF($J543=0,0,ROUND(MAX($J543*1.4*1.5*1.6*1.6*2.2*2.715,354000000*(1.642074^(MIN($E543,123)-117)))*1,0))</f>
        <v>4226363874</v>
      </c>
      <c r="W543" s="6">
        <f>$E543+15</f>
        <v>137</v>
      </c>
      <c r="X543" s="7">
        <f>IF($J543=0,0,ROUND(MAX($J543*1.4*1.5*1.6*1.6*2.2*2.715*2.6,3540000000*(1.579646^(MIN($E543,123)-117)))*1,0))</f>
        <v>34817863835</v>
      </c>
      <c r="Y543" s="4">
        <f>$E543+17</f>
        <v>139</v>
      </c>
      <c r="Z543" s="8">
        <f>IF($J543=0,0,ROUND(MAX($J543*1.4*1.5*1.6*1.6*2.2*2.715*2.6*1.4,6020000000*(1.651178^(MIN($E543,123)-117)))*1,0))</f>
        <v>73886647050</v>
      </c>
      <c r="AA543" s="6">
        <f>$E543+19</f>
        <v>141</v>
      </c>
      <c r="AB543" s="7">
        <f>IF($J543=0,0,ROUND(MAX($J543*1.4*1.5*1.6*1.6*2.2*2.715*2.6*1.4*1.4,8430000000*(1.651435^(MIN($E543,123)-117)))*1,0))</f>
        <v>103546398464</v>
      </c>
      <c r="AC543" s="4">
        <f>$E543+21</f>
        <v>143</v>
      </c>
      <c r="AD543" s="8">
        <f>IF($J543=0,0,ROUND(MAX($J543*1.4*1.5*1.6*1.6*2.2*2.715*2.6*1.4*1.4*1.5,12600000000*(1.652953^(MIN($E543,123)-117)))*1,0))</f>
        <v>155479476715</v>
      </c>
      <c r="AE543" s="6">
        <f>$E543+24</f>
        <v>146</v>
      </c>
      <c r="AF543" s="7">
        <f>IF($J543=0,0,ROUND(MAX($J543*1.4*1.5*1.6*1.6*2.2*2.715*2.6*1.4*1.4*1.5*1.5,18900000000*(1.65331^(MIN($E543,123)-117)))*1,0))</f>
        <v>233471173936</v>
      </c>
      <c r="AG543" s="4">
        <f>$E543+27</f>
        <v>149</v>
      </c>
      <c r="AH543" s="8">
        <f>IF($J543=0,0,ROUND(MAX($J543*1.4*1.5*1.6*1.6*2.2*2.715*2.6*1.4*1.4*1.5*1.5*3.2,60500000000*(1.654288^(MIN($E543,123)-117)))*1,0))</f>
        <v>749567886338</v>
      </c>
    </row>
    <row r="544" ht="27.75" customHeight="1" spans="1:34" x14ac:dyDescent="0.25">
      <c r="A544" s="3">
        <v>554</v>
      </c>
      <c r="B544" s="3" t="s">
        <v>540</v>
      </c>
      <c r="C544" s="3" t="s">
        <v>590</v>
      </c>
      <c r="D544" s="3" t="s">
        <v>79</v>
      </c>
      <c r="E544" s="3">
        <v>122</v>
      </c>
      <c r="F544" s="3" t="s">
        <v>412</v>
      </c>
      <c r="G544" s="3" t="s">
        <v>252</v>
      </c>
      <c r="H544" s="3">
        <v>33</v>
      </c>
      <c r="I544" s="4">
        <v>122</v>
      </c>
      <c r="J544" s="5">
        <v>4660000</v>
      </c>
      <c r="K544" s="6">
        <f>$E544+1</f>
        <v>123</v>
      </c>
      <c r="L544" s="7">
        <f>IF($J544=0,0,ROUND(MAX($J544*1.4,1620000*(1.497923^(MIN($E544,123)-117)))*1,0))</f>
        <v>12216941</v>
      </c>
      <c r="M544" s="4">
        <f>$E544+2</f>
        <v>124</v>
      </c>
      <c r="N544" s="8">
        <f>IF($J544=0,0,ROUND(MAX($J544*1.4*1.5,2190000*(1.580994^(MIN($E544,123)-117)))*1,0))</f>
        <v>21631928</v>
      </c>
      <c r="O544" s="6">
        <f>$E544+4</f>
        <v>126</v>
      </c>
      <c r="P544" s="7">
        <f>IF($J544=0,0,ROUND(MAX($J544*1.4*1.5*1.6,3500000*(1.57975^(MIN($E544,123)-117)))*1,0))</f>
        <v>34435775</v>
      </c>
      <c r="Q544" s="4">
        <f>$E544+6</f>
        <v>128</v>
      </c>
      <c r="R544" s="8">
        <f>IF($J544=0,0,ROUND(MAX($J544*1.4*1.5*1.6*1.6,13100000*(1.429962^(MIN($E544,123)-117)))*1,0))</f>
        <v>78323805</v>
      </c>
      <c r="S544" s="6">
        <f>$E544+8</f>
        <v>130</v>
      </c>
      <c r="T544" s="7">
        <f>IF($J544=0,0,ROUND(MAX($J544*1.4*1.5*1.6*1.6*2.2,42600000*(1.576904^(MIN($E544,123)-117)))*1,0))</f>
        <v>415370714</v>
      </c>
      <c r="U544" s="4">
        <f>$E544+11</f>
        <v>133</v>
      </c>
      <c r="V544" s="8">
        <f>IF($J544=0,0,ROUND(MAX($J544*1.4*1.5*1.6*1.6*2.2*2.715,354000000*(1.642074^(MIN($E544,123)-117)))*1,0))</f>
        <v>4226363874</v>
      </c>
      <c r="W544" s="6">
        <f>$E544+15</f>
        <v>137</v>
      </c>
      <c r="X544" s="7">
        <f>IF($J544=0,0,ROUND(MAX($J544*1.4*1.5*1.6*1.6*2.2*2.715*2.6,3540000000*(1.579646^(MIN($E544,123)-117)))*1,0))</f>
        <v>34817863835</v>
      </c>
      <c r="Y544" s="4">
        <f>$E544+17</f>
        <v>139</v>
      </c>
      <c r="Z544" s="8">
        <f>IF($J544=0,0,ROUND(MAX($J544*1.4*1.5*1.6*1.6*2.2*2.715*2.6*1.4,6020000000*(1.651178^(MIN($E544,123)-117)))*1,0))</f>
        <v>73886647050</v>
      </c>
      <c r="AA544" s="6">
        <f>$E544+19</f>
        <v>141</v>
      </c>
      <c r="AB544" s="7">
        <f>IF($J544=0,0,ROUND(MAX($J544*1.4*1.5*1.6*1.6*2.2*2.715*2.6*1.4*1.4,8430000000*(1.651435^(MIN($E544,123)-117)))*1,0))</f>
        <v>103546398464</v>
      </c>
      <c r="AC544" s="4">
        <f>$E544+21</f>
        <v>143</v>
      </c>
      <c r="AD544" s="8">
        <f>IF($J544=0,0,ROUND(MAX($J544*1.4*1.5*1.6*1.6*2.2*2.715*2.6*1.4*1.4*1.5,12600000000*(1.652953^(MIN($E544,123)-117)))*1,0))</f>
        <v>155479476715</v>
      </c>
      <c r="AE544" s="6">
        <f>$E544+24</f>
        <v>146</v>
      </c>
      <c r="AF544" s="7">
        <f>IF($J544=0,0,ROUND(MAX($J544*1.4*1.5*1.6*1.6*2.2*2.715*2.6*1.4*1.4*1.5*1.5,18900000000*(1.65331^(MIN($E544,123)-117)))*1,0))</f>
        <v>233471173936</v>
      </c>
      <c r="AG544" s="4">
        <f>$E544+27</f>
        <v>149</v>
      </c>
      <c r="AH544" s="8">
        <f>IF($J544=0,0,ROUND(MAX($J544*1.4*1.5*1.6*1.6*2.2*2.715*2.6*1.4*1.4*1.5*1.5*3.2,60500000000*(1.654288^(MIN($E544,123)-117)))*1,0))</f>
        <v>749567886338</v>
      </c>
    </row>
    <row r="545" ht="27.75" customHeight="1" spans="1:34" x14ac:dyDescent="0.25">
      <c r="A545" s="3">
        <v>555</v>
      </c>
      <c r="B545" s="3" t="s">
        <v>111</v>
      </c>
      <c r="C545" s="3" t="s">
        <v>590</v>
      </c>
      <c r="D545" s="3" t="s">
        <v>47</v>
      </c>
      <c r="E545" s="3">
        <v>123</v>
      </c>
      <c r="F545" s="3" t="s">
        <v>34</v>
      </c>
      <c r="G545" s="3" t="s">
        <v>35</v>
      </c>
      <c r="H545" s="3">
        <v>29</v>
      </c>
      <c r="I545" s="4">
        <v>123</v>
      </c>
      <c r="J545" s="5">
        <v>12500000</v>
      </c>
      <c r="K545" s="6">
        <f>$E545+1</f>
        <v>124</v>
      </c>
      <c r="L545" s="7">
        <f>IF($J545=0,0,ROUND(MAX($J545*1.4,1620000*(1.497923^(MIN($E545,123)-117)))*1,0))</f>
        <v>18300036</v>
      </c>
      <c r="M545" s="4">
        <f>$E545+2</f>
        <v>125</v>
      </c>
      <c r="N545" s="8">
        <f>IF($J545=0,0,ROUND(MAX($J545*1.4*1.5,2190000*(1.580994^(MIN($E545,123)-117)))*1,0))</f>
        <v>34199948</v>
      </c>
      <c r="O545" s="6">
        <f>$E545+4</f>
        <v>127</v>
      </c>
      <c r="P545" s="7">
        <f>IF($J545=0,0,ROUND(MAX($J545*1.4*1.5*1.6,3500000*(1.57975^(MIN($E545,123)-117)))*1,0))</f>
        <v>54399916</v>
      </c>
      <c r="Q545" s="4">
        <f>$E545+6</f>
        <v>129</v>
      </c>
      <c r="R545" s="8">
        <f>IF($J545=0,0,ROUND(MAX($J545*1.4*1.5*1.6*1.6,13100000*(1.429962^(MIN($E545,123)-117)))*1,0))</f>
        <v>112000065</v>
      </c>
      <c r="S545" s="6">
        <f>$E545+8</f>
        <v>131</v>
      </c>
      <c r="T545" s="7">
        <f>IF($J545=0,0,ROUND(MAX($J545*1.4*1.5*1.6*1.6*2.2,42600000*(1.576904^(MIN($E545,123)-117)))*1,0))</f>
        <v>654999741</v>
      </c>
      <c r="U545" s="4">
        <f>$E545+11</f>
        <v>134</v>
      </c>
      <c r="V545" s="8">
        <f>IF($J545=0,0,ROUND(MAX($J545*1.4*1.5*1.6*1.6*2.2*2.715,354000000*(1.642074^(MIN($E545,123)-117)))*1,0))</f>
        <v>6940002232</v>
      </c>
      <c r="W545" s="6">
        <f>$E545+15</f>
        <v>138</v>
      </c>
      <c r="X545" s="7">
        <f>IF($J545=0,0,ROUND(MAX($J545*1.4*1.5*1.6*1.6*2.2*2.715*2.6,3540000000*(1.579646^(MIN($E545,123)-117)))*1,0))</f>
        <v>54999899335</v>
      </c>
      <c r="Y545" s="4">
        <f>$E545+17</f>
        <v>140</v>
      </c>
      <c r="Z545" s="8">
        <f>IF($J545=0,0,ROUND(MAX($J545*1.4*1.5*1.6*1.6*2.2*2.715*2.6*1.4,6020000000*(1.651178^(MIN($E545,123)-117)))*1,0))</f>
        <v>122000006103</v>
      </c>
      <c r="AA545" s="6">
        <f>$E545+19</f>
        <v>142</v>
      </c>
      <c r="AB545" s="7">
        <f>IF($J545=0,0,ROUND(MAX($J545*1.4*1.5*1.6*1.6*2.2*2.715*2.6*1.4*1.4,8430000000*(1.651435^(MIN($E545,123)-117)))*1,0))</f>
        <v>171000146547</v>
      </c>
      <c r="AC545" s="4">
        <f>$E545+21</f>
        <v>144</v>
      </c>
      <c r="AD545" s="8">
        <f>IF($J545=0,0,ROUND(MAX($J545*1.4*1.5*1.6*1.6*2.2*2.715*2.6*1.4*1.4*1.5,12600000000*(1.652953^(MIN($E545,123)-117)))*1,0))</f>
        <v>257000267475</v>
      </c>
      <c r="AE545" s="6">
        <f>$E545+24</f>
        <v>147</v>
      </c>
      <c r="AF545" s="7">
        <f>IF($J545=0,0,ROUND(MAX($J545*1.4*1.5*1.6*1.6*2.2*2.715*2.6*1.4*1.4*1.5*1.5,18900000000*(1.65331^(MIN($E545,123)-117)))*1,0))</f>
        <v>386000226581</v>
      </c>
      <c r="AG545" s="4">
        <f>$E545+27</f>
        <v>150</v>
      </c>
      <c r="AH545" s="8">
        <f>IF($J545=0,0,ROUND(MAX($J545*1.4*1.5*1.6*1.6*2.2*2.715*2.6*1.4*1.4*1.5*1.5*3.2,60500000000*(1.654288^(MIN($E545,123)-117)))*1,0))</f>
        <v>1240001159555</v>
      </c>
    </row>
    <row r="546" ht="27.75" customHeight="1" spans="1:34" x14ac:dyDescent="0.25">
      <c r="A546" s="3">
        <v>556</v>
      </c>
      <c r="B546" s="3" t="s">
        <v>66</v>
      </c>
      <c r="C546" s="3" t="s">
        <v>590</v>
      </c>
      <c r="D546" s="3" t="s">
        <v>47</v>
      </c>
      <c r="E546" s="3">
        <v>123</v>
      </c>
      <c r="F546" s="3" t="s">
        <v>62</v>
      </c>
      <c r="G546" s="3" t="s">
        <v>67</v>
      </c>
      <c r="H546" s="3">
        <v>29</v>
      </c>
      <c r="I546" s="4">
        <v>123</v>
      </c>
      <c r="J546" s="5">
        <v>13300000</v>
      </c>
      <c r="K546" s="6">
        <f>$E546+1</f>
        <v>124</v>
      </c>
      <c r="L546" s="7">
        <f>IF($J546=0,0,ROUND(MAX($J546*1.4,1620000*(1.497923^(MIN($E546,123)-117)))*1,0))</f>
        <v>18620000</v>
      </c>
      <c r="M546" s="4">
        <f>$E546+2</f>
        <v>125</v>
      </c>
      <c r="N546" s="8">
        <f>IF($J546=0,0,ROUND(MAX($J546*1.4*1.5,2190000*(1.580994^(MIN($E546,123)-117)))*1,0))</f>
        <v>34199948</v>
      </c>
      <c r="O546" s="6">
        <f>$E546+4</f>
        <v>127</v>
      </c>
      <c r="P546" s="7">
        <f>IF($J546=0,0,ROUND(MAX($J546*1.4*1.5*1.6,3500000*(1.57975^(MIN($E546,123)-117)))*1,0))</f>
        <v>54399916</v>
      </c>
      <c r="Q546" s="4">
        <f>$E546+6</f>
        <v>129</v>
      </c>
      <c r="R546" s="8">
        <f>IF($J546=0,0,ROUND(MAX($J546*1.4*1.5*1.6*1.6,13100000*(1.429962^(MIN($E546,123)-117)))*1,0))</f>
        <v>112000065</v>
      </c>
      <c r="S546" s="6">
        <f>$E546+8</f>
        <v>131</v>
      </c>
      <c r="T546" s="7">
        <f>IF($J546=0,0,ROUND(MAX($J546*1.4*1.5*1.6*1.6*2.2,42600000*(1.576904^(MIN($E546,123)-117)))*1,0))</f>
        <v>654999741</v>
      </c>
      <c r="U546" s="4">
        <f>$E546+11</f>
        <v>134</v>
      </c>
      <c r="V546" s="8">
        <f>IF($J546=0,0,ROUND(MAX($J546*1.4*1.5*1.6*1.6*2.2*2.715,354000000*(1.642074^(MIN($E546,123)-117)))*1,0))</f>
        <v>6940002232</v>
      </c>
      <c r="W546" s="6">
        <f>$E546+15</f>
        <v>138</v>
      </c>
      <c r="X546" s="7">
        <f>IF($J546=0,0,ROUND(MAX($J546*1.4*1.5*1.6*1.6*2.2*2.715*2.6,3540000000*(1.579646^(MIN($E546,123)-117)))*1,0))</f>
        <v>54999899335</v>
      </c>
      <c r="Y546" s="4">
        <f>$E546+17</f>
        <v>140</v>
      </c>
      <c r="Z546" s="8">
        <f>IF($J546=0,0,ROUND(MAX($J546*1.4*1.5*1.6*1.6*2.2*2.715*2.6*1.4,6020000000*(1.651178^(MIN($E546,123)-117)))*1,0))</f>
        <v>122000006103</v>
      </c>
      <c r="AA546" s="6">
        <f>$E546+19</f>
        <v>142</v>
      </c>
      <c r="AB546" s="7">
        <f>IF($J546=0,0,ROUND(MAX($J546*1.4*1.5*1.6*1.6*2.2*2.715*2.6*1.4*1.4,8430000000*(1.651435^(MIN($E546,123)-117)))*1,0))</f>
        <v>171000146547</v>
      </c>
      <c r="AC546" s="4">
        <f>$E546+21</f>
        <v>144</v>
      </c>
      <c r="AD546" s="8">
        <f>IF($J546=0,0,ROUND(MAX($J546*1.4*1.5*1.6*1.6*2.2*2.715*2.6*1.4*1.4*1.5,12600000000*(1.652953^(MIN($E546,123)-117)))*1,0))</f>
        <v>257000267475</v>
      </c>
      <c r="AE546" s="6">
        <f>$E546+24</f>
        <v>147</v>
      </c>
      <c r="AF546" s="7">
        <f>IF($J546=0,0,ROUND(MAX($J546*1.4*1.5*1.6*1.6*2.2*2.715*2.6*1.4*1.4*1.5*1.5,18900000000*(1.65331^(MIN($E546,123)-117)))*1,0))</f>
        <v>386000226581</v>
      </c>
      <c r="AG546" s="4">
        <f>$E546+27</f>
        <v>150</v>
      </c>
      <c r="AH546" s="8">
        <f>IF($J546=0,0,ROUND(MAX($J546*1.4*1.5*1.6*1.6*2.2*2.715*2.6*1.4*1.4*1.5*1.5*3.2,60500000000*(1.654288^(MIN($E546,123)-117)))*1,0))</f>
        <v>1240001159555</v>
      </c>
    </row>
    <row r="547" ht="27.75" customHeight="1" spans="1:34" x14ac:dyDescent="0.25">
      <c r="A547" s="3">
        <v>557</v>
      </c>
      <c r="B547" s="3" t="s">
        <v>145</v>
      </c>
      <c r="C547" s="3" t="s">
        <v>590</v>
      </c>
      <c r="D547" s="3" t="s">
        <v>47</v>
      </c>
      <c r="E547" s="3">
        <v>123</v>
      </c>
      <c r="F547" s="3" t="s">
        <v>146</v>
      </c>
      <c r="G547" s="3" t="s">
        <v>57</v>
      </c>
      <c r="H547" s="3">
        <v>29</v>
      </c>
      <c r="I547" s="4">
        <v>123</v>
      </c>
      <c r="J547" s="5">
        <v>12500000</v>
      </c>
      <c r="K547" s="6">
        <f>$E547+1</f>
        <v>124</v>
      </c>
      <c r="L547" s="7">
        <f>IF($J547=0,0,ROUND(MAX($J547*1.4,1620000*(1.497923^(MIN($E547,123)-117)))*1,0))</f>
        <v>18300036</v>
      </c>
      <c r="M547" s="4">
        <f>$E547+2</f>
        <v>125</v>
      </c>
      <c r="N547" s="8">
        <f>IF($J547=0,0,ROUND(MAX($J547*1.4*1.5,2190000*(1.580994^(MIN($E547,123)-117)))*1,0))</f>
        <v>34199948</v>
      </c>
      <c r="O547" s="6">
        <f>$E547+4</f>
        <v>127</v>
      </c>
      <c r="P547" s="7">
        <f>IF($J547=0,0,ROUND(MAX($J547*1.4*1.5*1.6,3500000*(1.57975^(MIN($E547,123)-117)))*1,0))</f>
        <v>54399916</v>
      </c>
      <c r="Q547" s="4">
        <f>$E547+6</f>
        <v>129</v>
      </c>
      <c r="R547" s="8">
        <f>IF($J547=0,0,ROUND(MAX($J547*1.4*1.5*1.6*1.6,13100000*(1.429962^(MIN($E547,123)-117)))*1,0))</f>
        <v>112000065</v>
      </c>
      <c r="S547" s="6">
        <f>$E547+8</f>
        <v>131</v>
      </c>
      <c r="T547" s="7">
        <f>IF($J547=0,0,ROUND(MAX($J547*1.4*1.5*1.6*1.6*2.2,42600000*(1.576904^(MIN($E547,123)-117)))*1,0))</f>
        <v>654999741</v>
      </c>
      <c r="U547" s="4">
        <f>$E547+11</f>
        <v>134</v>
      </c>
      <c r="V547" s="8">
        <f>IF($J547=0,0,ROUND(MAX($J547*1.4*1.5*1.6*1.6*2.2*2.715,354000000*(1.642074^(MIN($E547,123)-117)))*1,0))</f>
        <v>6940002232</v>
      </c>
      <c r="W547" s="6">
        <f>$E547+15</f>
        <v>138</v>
      </c>
      <c r="X547" s="7">
        <f>IF($J547=0,0,ROUND(MAX($J547*1.4*1.5*1.6*1.6*2.2*2.715*2.6,3540000000*(1.579646^(MIN($E547,123)-117)))*1,0))</f>
        <v>54999899335</v>
      </c>
      <c r="Y547" s="4">
        <f>$E547+17</f>
        <v>140</v>
      </c>
      <c r="Z547" s="8">
        <f>IF($J547=0,0,ROUND(MAX($J547*1.4*1.5*1.6*1.6*2.2*2.715*2.6*1.4,6020000000*(1.651178^(MIN($E547,123)-117)))*1,0))</f>
        <v>122000006103</v>
      </c>
      <c r="AA547" s="6">
        <f>$E547+19</f>
        <v>142</v>
      </c>
      <c r="AB547" s="7">
        <f>IF($J547=0,0,ROUND(MAX($J547*1.4*1.5*1.6*1.6*2.2*2.715*2.6*1.4*1.4,8430000000*(1.651435^(MIN($E547,123)-117)))*1,0))</f>
        <v>171000146547</v>
      </c>
      <c r="AC547" s="4">
        <f>$E547+21</f>
        <v>144</v>
      </c>
      <c r="AD547" s="8">
        <f>IF($J547=0,0,ROUND(MAX($J547*1.4*1.5*1.6*1.6*2.2*2.715*2.6*1.4*1.4*1.5,12600000000*(1.652953^(MIN($E547,123)-117)))*1,0))</f>
        <v>257000267475</v>
      </c>
      <c r="AE547" s="6">
        <f>$E547+24</f>
        <v>147</v>
      </c>
      <c r="AF547" s="7">
        <f>IF($J547=0,0,ROUND(MAX($J547*1.4*1.5*1.6*1.6*2.2*2.715*2.6*1.4*1.4*1.5*1.5,18900000000*(1.65331^(MIN($E547,123)-117)))*1,0))</f>
        <v>386000226581</v>
      </c>
      <c r="AG547" s="4">
        <f>$E547+27</f>
        <v>150</v>
      </c>
      <c r="AH547" s="8">
        <f>IF($J547=0,0,ROUND(MAX($J547*1.4*1.5*1.6*1.6*2.2*2.715*2.6*1.4*1.4*1.5*1.5*3.2,60500000000*(1.654288^(MIN($E547,123)-117)))*1,0))</f>
        <v>1240001159555</v>
      </c>
    </row>
    <row r="548" ht="27.75" customHeight="1" spans="1:34" x14ac:dyDescent="0.25">
      <c r="A548" s="3">
        <v>558</v>
      </c>
      <c r="B548" s="3" t="s">
        <v>488</v>
      </c>
      <c r="C548" s="3" t="s">
        <v>590</v>
      </c>
      <c r="D548" s="3" t="s">
        <v>165</v>
      </c>
      <c r="E548" s="3">
        <v>123</v>
      </c>
      <c r="F548" s="3" t="s">
        <v>30</v>
      </c>
      <c r="G548" s="3" t="s">
        <v>35</v>
      </c>
      <c r="H548" s="3">
        <v>31</v>
      </c>
      <c r="I548" s="4">
        <v>123</v>
      </c>
      <c r="J548" s="5">
        <v>12300000</v>
      </c>
      <c r="K548" s="6">
        <f>$E548+1</f>
        <v>124</v>
      </c>
      <c r="L548" s="7">
        <f>IF($J548=0,0,ROUND(MAX($J548*1.4,1620000*(1.497923^(MIN($E548,123)-117)))*1,0))</f>
        <v>18300036</v>
      </c>
      <c r="M548" s="4">
        <f>$E548+2</f>
        <v>125</v>
      </c>
      <c r="N548" s="8">
        <f>IF($J548=0,0,ROUND(MAX($J548*1.4*1.5,2190000*(1.580994^(MIN($E548,123)-117)))*1,0))</f>
        <v>34199948</v>
      </c>
      <c r="O548" s="6">
        <f>$E548+4</f>
        <v>127</v>
      </c>
      <c r="P548" s="7">
        <f>IF($J548=0,0,ROUND(MAX($J548*1.4*1.5*1.6,3500000*(1.57975^(MIN($E548,123)-117)))*1,0))</f>
        <v>54399916</v>
      </c>
      <c r="Q548" s="4">
        <f>$E548+6</f>
        <v>129</v>
      </c>
      <c r="R548" s="8">
        <f>IF($J548=0,0,ROUND(MAX($J548*1.4*1.5*1.6*1.6,13100000*(1.429962^(MIN($E548,123)-117)))*1,0))</f>
        <v>112000065</v>
      </c>
      <c r="S548" s="6">
        <f>$E548+8</f>
        <v>131</v>
      </c>
      <c r="T548" s="7">
        <f>IF($J548=0,0,ROUND(MAX($J548*1.4*1.5*1.6*1.6*2.2,42600000*(1.576904^(MIN($E548,123)-117)))*1,0))</f>
        <v>654999741</v>
      </c>
      <c r="U548" s="4">
        <f>$E548+11</f>
        <v>134</v>
      </c>
      <c r="V548" s="8">
        <f>IF($J548=0,0,ROUND(MAX($J548*1.4*1.5*1.6*1.6*2.2*2.715,354000000*(1.642074^(MIN($E548,123)-117)))*1,0))</f>
        <v>6940002232</v>
      </c>
      <c r="W548" s="6">
        <f>$E548+15</f>
        <v>138</v>
      </c>
      <c r="X548" s="7">
        <f>IF($J548=0,0,ROUND(MAX($J548*1.4*1.5*1.6*1.6*2.2*2.715*2.6,3540000000*(1.579646^(MIN($E548,123)-117)))*1,0))</f>
        <v>54999899335</v>
      </c>
      <c r="Y548" s="4">
        <f>$E548+17</f>
        <v>140</v>
      </c>
      <c r="Z548" s="8">
        <f>IF($J548=0,0,ROUND(MAX($J548*1.4*1.5*1.6*1.6*2.2*2.715*2.6*1.4,6020000000*(1.651178^(MIN($E548,123)-117)))*1,0))</f>
        <v>122000006103</v>
      </c>
      <c r="AA548" s="6">
        <f>$E548+19</f>
        <v>142</v>
      </c>
      <c r="AB548" s="7">
        <f>IF($J548=0,0,ROUND(MAX($J548*1.4*1.5*1.6*1.6*2.2*2.715*2.6*1.4*1.4,8430000000*(1.651435^(MIN($E548,123)-117)))*1,0))</f>
        <v>171000146547</v>
      </c>
      <c r="AC548" s="4">
        <f>$E548+21</f>
        <v>144</v>
      </c>
      <c r="AD548" s="8">
        <f>IF($J548=0,0,ROUND(MAX($J548*1.4*1.5*1.6*1.6*2.2*2.715*2.6*1.4*1.4*1.5,12600000000*(1.652953^(MIN($E548,123)-117)))*1,0))</f>
        <v>257000267475</v>
      </c>
      <c r="AE548" s="6">
        <f>$E548+24</f>
        <v>147</v>
      </c>
      <c r="AF548" s="7">
        <f>IF($J548=0,0,ROUND(MAX($J548*1.4*1.5*1.6*1.6*2.2*2.715*2.6*1.4*1.4*1.5*1.5,18900000000*(1.65331^(MIN($E548,123)-117)))*1,0))</f>
        <v>386000226581</v>
      </c>
      <c r="AG548" s="4">
        <f>$E548+27</f>
        <v>150</v>
      </c>
      <c r="AH548" s="8">
        <f>IF($J548=0,0,ROUND(MAX($J548*1.4*1.5*1.6*1.6*2.2*2.715*2.6*1.4*1.4*1.5*1.5*3.2,60500000000*(1.654288^(MIN($E548,123)-117)))*1,0))</f>
        <v>1240001159555</v>
      </c>
    </row>
    <row r="549" ht="27.75" customHeight="1" spans="1:34" x14ac:dyDescent="0.25">
      <c r="A549" s="3">
        <v>559</v>
      </c>
      <c r="B549" s="3" t="s">
        <v>186</v>
      </c>
      <c r="C549" s="3" t="s">
        <v>590</v>
      </c>
      <c r="D549" s="3" t="s">
        <v>75</v>
      </c>
      <c r="E549" s="3">
        <v>123</v>
      </c>
      <c r="F549" s="3" t="s">
        <v>56</v>
      </c>
      <c r="G549" s="3" t="s">
        <v>95</v>
      </c>
      <c r="H549" s="3">
        <v>31</v>
      </c>
      <c r="I549" s="4">
        <v>123</v>
      </c>
      <c r="J549" s="5">
        <v>12600000</v>
      </c>
      <c r="K549" s="6">
        <f>$E549+1</f>
        <v>124</v>
      </c>
      <c r="L549" s="7">
        <f>IF($J549=0,0,ROUND(MAX($J549*1.4,1620000*(1.497923^(MIN($E549,123)-117)))*1,0))</f>
        <v>18300036</v>
      </c>
      <c r="M549" s="4">
        <f>$E549+2</f>
        <v>125</v>
      </c>
      <c r="N549" s="8">
        <f>IF($J549=0,0,ROUND(MAX($J549*1.4*1.5,2190000*(1.580994^(MIN($E549,123)-117)))*1,0))</f>
        <v>34199948</v>
      </c>
      <c r="O549" s="6">
        <f>$E549+4</f>
        <v>127</v>
      </c>
      <c r="P549" s="7">
        <f>IF($J549=0,0,ROUND(MAX($J549*1.4*1.5*1.6,3500000*(1.57975^(MIN($E549,123)-117)))*1,0))</f>
        <v>54399916</v>
      </c>
      <c r="Q549" s="4">
        <f>$E549+6</f>
        <v>129</v>
      </c>
      <c r="R549" s="8">
        <f>IF($J549=0,0,ROUND(MAX($J549*1.4*1.5*1.6*1.6,13100000*(1.429962^(MIN($E549,123)-117)))*1,0))</f>
        <v>112000065</v>
      </c>
      <c r="S549" s="6">
        <f>$E549+8</f>
        <v>131</v>
      </c>
      <c r="T549" s="7">
        <f>IF($J549=0,0,ROUND(MAX($J549*1.4*1.5*1.6*1.6*2.2,42600000*(1.576904^(MIN($E549,123)-117)))*1,0))</f>
        <v>654999741</v>
      </c>
      <c r="U549" s="4">
        <f>$E549+11</f>
        <v>134</v>
      </c>
      <c r="V549" s="8">
        <f>IF($J549=0,0,ROUND(MAX($J549*1.4*1.5*1.6*1.6*2.2*2.715,354000000*(1.642074^(MIN($E549,123)-117)))*1,0))</f>
        <v>6940002232</v>
      </c>
      <c r="W549" s="6">
        <f>$E549+15</f>
        <v>138</v>
      </c>
      <c r="X549" s="7">
        <f>IF($J549=0,0,ROUND(MAX($J549*1.4*1.5*1.6*1.6*2.2*2.715*2.6,3540000000*(1.579646^(MIN($E549,123)-117)))*1,0))</f>
        <v>54999899335</v>
      </c>
      <c r="Y549" s="4">
        <f>$E549+17</f>
        <v>140</v>
      </c>
      <c r="Z549" s="8">
        <f>IF($J549=0,0,ROUND(MAX($J549*1.4*1.5*1.6*1.6*2.2*2.715*2.6*1.4,6020000000*(1.651178^(MIN($E549,123)-117)))*1,0))</f>
        <v>122000006103</v>
      </c>
      <c r="AA549" s="6">
        <f>$E549+19</f>
        <v>142</v>
      </c>
      <c r="AB549" s="7">
        <f>IF($J549=0,0,ROUND(MAX($J549*1.4*1.5*1.6*1.6*2.2*2.715*2.6*1.4*1.4,8430000000*(1.651435^(MIN($E549,123)-117)))*1,0))</f>
        <v>171000146547</v>
      </c>
      <c r="AC549" s="4">
        <f>$E549+21</f>
        <v>144</v>
      </c>
      <c r="AD549" s="8">
        <f>IF($J549=0,0,ROUND(MAX($J549*1.4*1.5*1.6*1.6*2.2*2.715*2.6*1.4*1.4*1.5,12600000000*(1.652953^(MIN($E549,123)-117)))*1,0))</f>
        <v>257000267475</v>
      </c>
      <c r="AE549" s="6">
        <f>$E549+24</f>
        <v>147</v>
      </c>
      <c r="AF549" s="7">
        <f>IF($J549=0,0,ROUND(MAX($J549*1.4*1.5*1.6*1.6*2.2*2.715*2.6*1.4*1.4*1.5*1.5,18900000000*(1.65331^(MIN($E549,123)-117)))*1,0))</f>
        <v>386000226581</v>
      </c>
      <c r="AG549" s="4">
        <f>$E549+27</f>
        <v>150</v>
      </c>
      <c r="AH549" s="8">
        <f>IF($J549=0,0,ROUND(MAX($J549*1.4*1.5*1.6*1.6*2.2*2.715*2.6*1.4*1.4*1.5*1.5*3.2,60500000000*(1.654288^(MIN($E549,123)-117)))*1,0))</f>
        <v>1240001159555</v>
      </c>
    </row>
    <row r="550" ht="27.75" customHeight="1" spans="1:34" x14ac:dyDescent="0.25">
      <c r="A550" s="3">
        <v>560</v>
      </c>
      <c r="B550" s="3" t="s">
        <v>632</v>
      </c>
      <c r="C550" s="3" t="s">
        <v>590</v>
      </c>
      <c r="D550" s="3" t="s">
        <v>102</v>
      </c>
      <c r="E550" s="3">
        <v>123</v>
      </c>
      <c r="F550" s="3" t="s">
        <v>26</v>
      </c>
      <c r="G550" s="3" t="s">
        <v>242</v>
      </c>
      <c r="H550" s="3">
        <v>31</v>
      </c>
      <c r="I550" s="4">
        <v>123</v>
      </c>
      <c r="J550" s="5">
        <v>12400000</v>
      </c>
      <c r="K550" s="6">
        <f>$E550+1</f>
        <v>124</v>
      </c>
      <c r="L550" s="7">
        <f>IF($J550=0,0,ROUND(MAX($J550*1.4,1620000*(1.497923^(MIN($E550,123)-117)))*1,0))</f>
        <v>18300036</v>
      </c>
      <c r="M550" s="4">
        <f>$E550+2</f>
        <v>125</v>
      </c>
      <c r="N550" s="8">
        <f>IF($J550=0,0,ROUND(MAX($J550*1.4*1.5,2190000*(1.580994^(MIN($E550,123)-117)))*1,0))</f>
        <v>34199948</v>
      </c>
      <c r="O550" s="6">
        <f>$E550+4</f>
        <v>127</v>
      </c>
      <c r="P550" s="7">
        <f>IF($J550=0,0,ROUND(MAX($J550*1.4*1.5*1.6,3500000*(1.57975^(MIN($E550,123)-117)))*1,0))</f>
        <v>54399916</v>
      </c>
      <c r="Q550" s="4">
        <f>$E550+6</f>
        <v>129</v>
      </c>
      <c r="R550" s="8">
        <f>IF($J550=0,0,ROUND(MAX($J550*1.4*1.5*1.6*1.6,13100000*(1.429962^(MIN($E550,123)-117)))*1,0))</f>
        <v>112000065</v>
      </c>
      <c r="S550" s="6">
        <f>$E550+8</f>
        <v>131</v>
      </c>
      <c r="T550" s="7">
        <f>IF($J550=0,0,ROUND(MAX($J550*1.4*1.5*1.6*1.6*2.2,42600000*(1.576904^(MIN($E550,123)-117)))*1,0))</f>
        <v>654999741</v>
      </c>
      <c r="U550" s="4">
        <f>$E550+11</f>
        <v>134</v>
      </c>
      <c r="V550" s="8">
        <f>IF($J550=0,0,ROUND(MAX($J550*1.4*1.5*1.6*1.6*2.2*2.715,354000000*(1.642074^(MIN($E550,123)-117)))*1,0))</f>
        <v>6940002232</v>
      </c>
      <c r="W550" s="6">
        <f>$E550+15</f>
        <v>138</v>
      </c>
      <c r="X550" s="7">
        <f>IF($J550=0,0,ROUND(MAX($J550*1.4*1.5*1.6*1.6*2.2*2.715*2.6,3540000000*(1.579646^(MIN($E550,123)-117)))*1,0))</f>
        <v>54999899335</v>
      </c>
      <c r="Y550" s="4">
        <f>$E550+17</f>
        <v>140</v>
      </c>
      <c r="Z550" s="8">
        <f>IF($J550=0,0,ROUND(MAX($J550*1.4*1.5*1.6*1.6*2.2*2.715*2.6*1.4,6020000000*(1.651178^(MIN($E550,123)-117)))*1,0))</f>
        <v>122000006103</v>
      </c>
      <c r="AA550" s="6">
        <f>$E550+19</f>
        <v>142</v>
      </c>
      <c r="AB550" s="7">
        <f>IF($J550=0,0,ROUND(MAX($J550*1.4*1.5*1.6*1.6*2.2*2.715*2.6*1.4*1.4,8430000000*(1.651435^(MIN($E550,123)-117)))*1,0))</f>
        <v>171000146547</v>
      </c>
      <c r="AC550" s="4">
        <f>$E550+21</f>
        <v>144</v>
      </c>
      <c r="AD550" s="8">
        <f>IF($J550=0,0,ROUND(MAX($J550*1.4*1.5*1.6*1.6*2.2*2.715*2.6*1.4*1.4*1.5,12600000000*(1.652953^(MIN($E550,123)-117)))*1,0))</f>
        <v>257000267475</v>
      </c>
      <c r="AE550" s="6">
        <f>$E550+24</f>
        <v>147</v>
      </c>
      <c r="AF550" s="7">
        <f>IF($J550=0,0,ROUND(MAX($J550*1.4*1.5*1.6*1.6*2.2*2.715*2.6*1.4*1.4*1.5*1.5,18900000000*(1.65331^(MIN($E550,123)-117)))*1,0))</f>
        <v>386000226581</v>
      </c>
      <c r="AG550" s="4">
        <f>$E550+27</f>
        <v>150</v>
      </c>
      <c r="AH550" s="8">
        <f>IF($J550=0,0,ROUND(MAX($J550*1.4*1.5*1.6*1.6*2.2*2.715*2.6*1.4*1.4*1.5*1.5*3.2,60500000000*(1.654288^(MIN($E550,123)-117)))*1,0))</f>
        <v>1240001159555</v>
      </c>
    </row>
    <row r="551" ht="27.75" customHeight="1" spans="1:34" x14ac:dyDescent="0.25">
      <c r="A551" s="3">
        <v>561</v>
      </c>
      <c r="B551" s="3" t="s">
        <v>147</v>
      </c>
      <c r="C551" s="3" t="s">
        <v>590</v>
      </c>
      <c r="D551" s="3" t="s">
        <v>45</v>
      </c>
      <c r="E551" s="3">
        <v>123</v>
      </c>
      <c r="F551" s="3" t="s">
        <v>56</v>
      </c>
      <c r="G551" s="3" t="s">
        <v>57</v>
      </c>
      <c r="H551" s="3">
        <v>32</v>
      </c>
      <c r="I551" s="4">
        <v>123</v>
      </c>
      <c r="J551" s="5">
        <v>12400000</v>
      </c>
      <c r="K551" s="6">
        <f>$E551+1</f>
        <v>124</v>
      </c>
      <c r="L551" s="7">
        <f>IF($J551=0,0,ROUND(MAX($J551*1.4,1620000*(1.497923^(MIN($E551,123)-117)))*1,0))</f>
        <v>18300036</v>
      </c>
      <c r="M551" s="4">
        <f>$E551+2</f>
        <v>125</v>
      </c>
      <c r="N551" s="8">
        <f>IF($J551=0,0,ROUND(MAX($J551*1.4*1.5,2190000*(1.580994^(MIN($E551,123)-117)))*1,0))</f>
        <v>34199948</v>
      </c>
      <c r="O551" s="6">
        <f>$E551+4</f>
        <v>127</v>
      </c>
      <c r="P551" s="7">
        <f>IF($J551=0,0,ROUND(MAX($J551*1.4*1.5*1.6,3500000*(1.57975^(MIN($E551,123)-117)))*1,0))</f>
        <v>54399916</v>
      </c>
      <c r="Q551" s="4">
        <f>$E551+6</f>
        <v>129</v>
      </c>
      <c r="R551" s="8">
        <f>IF($J551=0,0,ROUND(MAX($J551*1.4*1.5*1.6*1.6,13100000*(1.429962^(MIN($E551,123)-117)))*1,0))</f>
        <v>112000065</v>
      </c>
      <c r="S551" s="6">
        <f>$E551+8</f>
        <v>131</v>
      </c>
      <c r="T551" s="7">
        <f>IF($J551=0,0,ROUND(MAX($J551*1.4*1.5*1.6*1.6*2.2,42600000*(1.576904^(MIN($E551,123)-117)))*1,0))</f>
        <v>654999741</v>
      </c>
      <c r="U551" s="4">
        <f>$E551+11</f>
        <v>134</v>
      </c>
      <c r="V551" s="8">
        <f>IF($J551=0,0,ROUND(MAX($J551*1.4*1.5*1.6*1.6*2.2*2.715,354000000*(1.642074^(MIN($E551,123)-117)))*1,0))</f>
        <v>6940002232</v>
      </c>
      <c r="W551" s="6">
        <f>$E551+15</f>
        <v>138</v>
      </c>
      <c r="X551" s="7">
        <f>IF($J551=0,0,ROUND(MAX($J551*1.4*1.5*1.6*1.6*2.2*2.715*2.6,3540000000*(1.579646^(MIN($E551,123)-117)))*1,0))</f>
        <v>54999899335</v>
      </c>
      <c r="Y551" s="4">
        <f>$E551+17</f>
        <v>140</v>
      </c>
      <c r="Z551" s="8">
        <f>IF($J551=0,0,ROUND(MAX($J551*1.4*1.5*1.6*1.6*2.2*2.715*2.6*1.4,6020000000*(1.651178^(MIN($E551,123)-117)))*1,0))</f>
        <v>122000006103</v>
      </c>
      <c r="AA551" s="6">
        <f>$E551+19</f>
        <v>142</v>
      </c>
      <c r="AB551" s="7">
        <f>IF($J551=0,0,ROUND(MAX($J551*1.4*1.5*1.6*1.6*2.2*2.715*2.6*1.4*1.4,8430000000*(1.651435^(MIN($E551,123)-117)))*1,0))</f>
        <v>171000146547</v>
      </c>
      <c r="AC551" s="4">
        <f>$E551+21</f>
        <v>144</v>
      </c>
      <c r="AD551" s="8">
        <f>IF($J551=0,0,ROUND(MAX($J551*1.4*1.5*1.6*1.6*2.2*2.715*2.6*1.4*1.4*1.5,12600000000*(1.652953^(MIN($E551,123)-117)))*1,0))</f>
        <v>257000267475</v>
      </c>
      <c r="AE551" s="6">
        <f>$E551+24</f>
        <v>147</v>
      </c>
      <c r="AF551" s="7">
        <f>IF($J551=0,0,ROUND(MAX($J551*1.4*1.5*1.6*1.6*2.2*2.715*2.6*1.4*1.4*1.5*1.5,18900000000*(1.65331^(MIN($E551,123)-117)))*1,0))</f>
        <v>386000226581</v>
      </c>
      <c r="AG551" s="4">
        <f>$E551+27</f>
        <v>150</v>
      </c>
      <c r="AH551" s="8">
        <f>IF($J551=0,0,ROUND(MAX($J551*1.4*1.5*1.6*1.6*2.2*2.715*2.6*1.4*1.4*1.5*1.5*3.2,60500000000*(1.654288^(MIN($E551,123)-117)))*1,0))</f>
        <v>1240001159555</v>
      </c>
    </row>
    <row r="552" ht="27.75" customHeight="1" spans="1:34" x14ac:dyDescent="0.25">
      <c r="A552" s="3">
        <v>562</v>
      </c>
      <c r="B552" s="3" t="s">
        <v>134</v>
      </c>
      <c r="C552" s="3" t="s">
        <v>590</v>
      </c>
      <c r="D552" s="3" t="s">
        <v>102</v>
      </c>
      <c r="E552" s="3">
        <v>123</v>
      </c>
      <c r="F552" s="3" t="s">
        <v>26</v>
      </c>
      <c r="G552" s="3" t="s">
        <v>242</v>
      </c>
      <c r="H552" s="3">
        <v>32</v>
      </c>
      <c r="I552" s="4">
        <v>123</v>
      </c>
      <c r="J552" s="5">
        <v>13400000</v>
      </c>
      <c r="K552" s="6">
        <f>$E552+1</f>
        <v>124</v>
      </c>
      <c r="L552" s="7">
        <f>IF($J552=0,0,ROUND(MAX($J552*1.4,1620000*(1.497923^(MIN($E552,123)-117)))*1,0))</f>
        <v>18760000</v>
      </c>
      <c r="M552" s="4">
        <f>$E552+2</f>
        <v>125</v>
      </c>
      <c r="N552" s="8">
        <f>IF($J552=0,0,ROUND(MAX($J552*1.4*1.5,2190000*(1.580994^(MIN($E552,123)-117)))*1,0))</f>
        <v>34199948</v>
      </c>
      <c r="O552" s="6">
        <f>$E552+4</f>
        <v>127</v>
      </c>
      <c r="P552" s="7">
        <f>IF($J552=0,0,ROUND(MAX($J552*1.4*1.5*1.6,3500000*(1.57975^(MIN($E552,123)-117)))*1,0))</f>
        <v>54399916</v>
      </c>
      <c r="Q552" s="4">
        <f>$E552+6</f>
        <v>129</v>
      </c>
      <c r="R552" s="8">
        <f>IF($J552=0,0,ROUND(MAX($J552*1.4*1.5*1.6*1.6,13100000*(1.429962^(MIN($E552,123)-117)))*1,0))</f>
        <v>112000065</v>
      </c>
      <c r="S552" s="6">
        <f>$E552+8</f>
        <v>131</v>
      </c>
      <c r="T552" s="7">
        <f>IF($J552=0,0,ROUND(MAX($J552*1.4*1.5*1.6*1.6*2.2,42600000*(1.576904^(MIN($E552,123)-117)))*1,0))</f>
        <v>654999741</v>
      </c>
      <c r="U552" s="4">
        <f>$E552+11</f>
        <v>134</v>
      </c>
      <c r="V552" s="8">
        <f>IF($J552=0,0,ROUND(MAX($J552*1.4*1.5*1.6*1.6*2.2*2.715,354000000*(1.642074^(MIN($E552,123)-117)))*1,0))</f>
        <v>6940002232</v>
      </c>
      <c r="W552" s="6">
        <f>$E552+15</f>
        <v>138</v>
      </c>
      <c r="X552" s="7">
        <f>IF($J552=0,0,ROUND(MAX($J552*1.4*1.5*1.6*1.6*2.2*2.715*2.6,3540000000*(1.579646^(MIN($E552,123)-117)))*1,0))</f>
        <v>54999899335</v>
      </c>
      <c r="Y552" s="4">
        <f>$E552+17</f>
        <v>140</v>
      </c>
      <c r="Z552" s="8">
        <f>IF($J552=0,0,ROUND(MAX($J552*1.4*1.5*1.6*1.6*2.2*2.715*2.6*1.4,6020000000*(1.651178^(MIN($E552,123)-117)))*1,0))</f>
        <v>122000006103</v>
      </c>
      <c r="AA552" s="6">
        <f>$E552+19</f>
        <v>142</v>
      </c>
      <c r="AB552" s="7">
        <f>IF($J552=0,0,ROUND(MAX($J552*1.4*1.5*1.6*1.6*2.2*2.715*2.6*1.4*1.4,8430000000*(1.651435^(MIN($E552,123)-117)))*1,0))</f>
        <v>171000146547</v>
      </c>
      <c r="AC552" s="4">
        <f>$E552+21</f>
        <v>144</v>
      </c>
      <c r="AD552" s="8">
        <f>IF($J552=0,0,ROUND(MAX($J552*1.4*1.5*1.6*1.6*2.2*2.715*2.6*1.4*1.4*1.5,12600000000*(1.652953^(MIN($E552,123)-117)))*1,0))</f>
        <v>257000267475</v>
      </c>
      <c r="AE552" s="6">
        <f>$E552+24</f>
        <v>147</v>
      </c>
      <c r="AF552" s="7">
        <f>IF($J552=0,0,ROUND(MAX($J552*1.4*1.5*1.6*1.6*2.2*2.715*2.6*1.4*1.4*1.5*1.5,18900000000*(1.65331^(MIN($E552,123)-117)))*1,0))</f>
        <v>386000226581</v>
      </c>
      <c r="AG552" s="4">
        <f>$E552+27</f>
        <v>150</v>
      </c>
      <c r="AH552" s="8">
        <f>IF($J552=0,0,ROUND(MAX($J552*1.4*1.5*1.6*1.6*2.2*2.715*2.6*1.4*1.4*1.5*1.5*3.2,60500000000*(1.654288^(MIN($E552,123)-117)))*1,0))</f>
        <v>1240001159555</v>
      </c>
    </row>
    <row r="553" ht="27.75" customHeight="1" spans="1:34" x14ac:dyDescent="0.25">
      <c r="A553" s="3">
        <v>563</v>
      </c>
      <c r="B553" s="3" t="s">
        <v>83</v>
      </c>
      <c r="C553" s="3" t="s">
        <v>590</v>
      </c>
      <c r="D553" s="3" t="s">
        <v>33</v>
      </c>
      <c r="E553" s="3">
        <v>123</v>
      </c>
      <c r="F553" s="3" t="s">
        <v>62</v>
      </c>
      <c r="G553" s="3" t="s">
        <v>51</v>
      </c>
      <c r="H553" s="3">
        <v>32</v>
      </c>
      <c r="I553" s="4">
        <v>123</v>
      </c>
      <c r="J553" s="5">
        <v>10900000</v>
      </c>
      <c r="K553" s="6">
        <f>$E553+1</f>
        <v>124</v>
      </c>
      <c r="L553" s="7">
        <f>IF($J553=0,0,ROUND(MAX($J553*1.4,1620000*(1.497923^(MIN($E553,123)-117)))*1,0))</f>
        <v>18300036</v>
      </c>
      <c r="M553" s="4">
        <f>$E553+2</f>
        <v>125</v>
      </c>
      <c r="N553" s="8">
        <f>IF($J553=0,0,ROUND(MAX($J553*1.4*1.5,2190000*(1.580994^(MIN($E553,123)-117)))*1,0))</f>
        <v>34199948</v>
      </c>
      <c r="O553" s="6">
        <f>$E553+4</f>
        <v>127</v>
      </c>
      <c r="P553" s="7">
        <f>IF($J553=0,0,ROUND(MAX($J553*1.4*1.5*1.6,3500000*(1.57975^(MIN($E553,123)-117)))*1,0))</f>
        <v>54399916</v>
      </c>
      <c r="Q553" s="4">
        <f>$E553+6</f>
        <v>129</v>
      </c>
      <c r="R553" s="8">
        <f>IF($J553=0,0,ROUND(MAX($J553*1.4*1.5*1.6*1.6,13100000*(1.429962^(MIN($E553,123)-117)))*1,0))</f>
        <v>112000065</v>
      </c>
      <c r="S553" s="6">
        <f>$E553+8</f>
        <v>131</v>
      </c>
      <c r="T553" s="7">
        <f>IF($J553=0,0,ROUND(MAX($J553*1.4*1.5*1.6*1.6*2.2,42600000*(1.576904^(MIN($E553,123)-117)))*1,0))</f>
        <v>654999741</v>
      </c>
      <c r="U553" s="4">
        <f>$E553+11</f>
        <v>134</v>
      </c>
      <c r="V553" s="8">
        <f>IF($J553=0,0,ROUND(MAX($J553*1.4*1.5*1.6*1.6*2.2*2.715,354000000*(1.642074^(MIN($E553,123)-117)))*1,0))</f>
        <v>6940002232</v>
      </c>
      <c r="W553" s="6">
        <f>$E553+15</f>
        <v>138</v>
      </c>
      <c r="X553" s="7">
        <f>IF($J553=0,0,ROUND(MAX($J553*1.4*1.5*1.6*1.6*2.2*2.715*2.6,3540000000*(1.579646^(MIN($E553,123)-117)))*1,0))</f>
        <v>54999899335</v>
      </c>
      <c r="Y553" s="4">
        <f>$E553+17</f>
        <v>140</v>
      </c>
      <c r="Z553" s="8">
        <f>IF($J553=0,0,ROUND(MAX($J553*1.4*1.5*1.6*1.6*2.2*2.715*2.6*1.4,6020000000*(1.651178^(MIN($E553,123)-117)))*1,0))</f>
        <v>122000006103</v>
      </c>
      <c r="AA553" s="6">
        <f>$E553+19</f>
        <v>142</v>
      </c>
      <c r="AB553" s="7">
        <f>IF($J553=0,0,ROUND(MAX($J553*1.4*1.5*1.6*1.6*2.2*2.715*2.6*1.4*1.4,8430000000*(1.651435^(MIN($E553,123)-117)))*1,0))</f>
        <v>171000146547</v>
      </c>
      <c r="AC553" s="4">
        <f>$E553+21</f>
        <v>144</v>
      </c>
      <c r="AD553" s="8">
        <f>IF($J553=0,0,ROUND(MAX($J553*1.4*1.5*1.6*1.6*2.2*2.715*2.6*1.4*1.4*1.5,12600000000*(1.652953^(MIN($E553,123)-117)))*1,0))</f>
        <v>257000267475</v>
      </c>
      <c r="AE553" s="6">
        <f>$E553+24</f>
        <v>147</v>
      </c>
      <c r="AF553" s="7">
        <f>IF($J553=0,0,ROUND(MAX($J553*1.4*1.5*1.6*1.6*2.2*2.715*2.6*1.4*1.4*1.5*1.5,18900000000*(1.65331^(MIN($E553,123)-117)))*1,0))</f>
        <v>386000226581</v>
      </c>
      <c r="AG553" s="4">
        <f>$E553+27</f>
        <v>150</v>
      </c>
      <c r="AH553" s="8">
        <f>IF($J553=0,0,ROUND(MAX($J553*1.4*1.5*1.6*1.6*2.2*2.715*2.6*1.4*1.4*1.5*1.5*3.2,60500000000*(1.654288^(MIN($E553,123)-117)))*1,0))</f>
        <v>1240001159555</v>
      </c>
    </row>
    <row r="554" ht="27.75" customHeight="1" spans="1:34" x14ac:dyDescent="0.25">
      <c r="A554" s="3">
        <v>564</v>
      </c>
      <c r="B554" s="3" t="s">
        <v>158</v>
      </c>
      <c r="C554" s="3" t="s">
        <v>590</v>
      </c>
      <c r="D554" s="3" t="s">
        <v>102</v>
      </c>
      <c r="E554" s="3">
        <v>123</v>
      </c>
      <c r="F554" s="3" t="s">
        <v>54</v>
      </c>
      <c r="G554" s="3" t="s">
        <v>98</v>
      </c>
      <c r="H554" s="3">
        <v>32</v>
      </c>
      <c r="I554" s="4">
        <v>123</v>
      </c>
      <c r="J554" s="5">
        <v>12500000</v>
      </c>
      <c r="K554" s="6">
        <f>$E554+1</f>
        <v>124</v>
      </c>
      <c r="L554" s="7">
        <f>IF($J554=0,0,ROUND(MAX($J554*1.4,1620000*(1.497923^(MIN($E554,123)-117)))*1,0))</f>
        <v>18300036</v>
      </c>
      <c r="M554" s="4">
        <f>$E554+2</f>
        <v>125</v>
      </c>
      <c r="N554" s="8">
        <f>IF($J554=0,0,ROUND(MAX($J554*1.4*1.5,2190000*(1.580994^(MIN($E554,123)-117)))*1,0))</f>
        <v>34199948</v>
      </c>
      <c r="O554" s="6">
        <f>$E554+4</f>
        <v>127</v>
      </c>
      <c r="P554" s="7">
        <f>IF($J554=0,0,ROUND(MAX($J554*1.4*1.5*1.6,3500000*(1.57975^(MIN($E554,123)-117)))*1,0))</f>
        <v>54399916</v>
      </c>
      <c r="Q554" s="4">
        <f>$E554+6</f>
        <v>129</v>
      </c>
      <c r="R554" s="8">
        <f>IF($J554=0,0,ROUND(MAX($J554*1.4*1.5*1.6*1.6,13100000*(1.429962^(MIN($E554,123)-117)))*1,0))</f>
        <v>112000065</v>
      </c>
      <c r="S554" s="6">
        <f>$E554+8</f>
        <v>131</v>
      </c>
      <c r="T554" s="7">
        <f>IF($J554=0,0,ROUND(MAX($J554*1.4*1.5*1.6*1.6*2.2,42600000*(1.576904^(MIN($E554,123)-117)))*1,0))</f>
        <v>654999741</v>
      </c>
      <c r="U554" s="4">
        <f>$E554+11</f>
        <v>134</v>
      </c>
      <c r="V554" s="8">
        <f>IF($J554=0,0,ROUND(MAX($J554*1.4*1.5*1.6*1.6*2.2*2.715,354000000*(1.642074^(MIN($E554,123)-117)))*1,0))</f>
        <v>6940002232</v>
      </c>
      <c r="W554" s="6">
        <f>$E554+15</f>
        <v>138</v>
      </c>
      <c r="X554" s="7">
        <f>IF($J554=0,0,ROUND(MAX($J554*1.4*1.5*1.6*1.6*2.2*2.715*2.6,3540000000*(1.579646^(MIN($E554,123)-117)))*1,0))</f>
        <v>54999899335</v>
      </c>
      <c r="Y554" s="4">
        <f>$E554+17</f>
        <v>140</v>
      </c>
      <c r="Z554" s="8">
        <f>IF($J554=0,0,ROUND(MAX($J554*1.4*1.5*1.6*1.6*2.2*2.715*2.6*1.4,6020000000*(1.651178^(MIN($E554,123)-117)))*1,0))</f>
        <v>122000006103</v>
      </c>
      <c r="AA554" s="6">
        <f>$E554+19</f>
        <v>142</v>
      </c>
      <c r="AB554" s="7">
        <f>IF($J554=0,0,ROUND(MAX($J554*1.4*1.5*1.6*1.6*2.2*2.715*2.6*1.4*1.4,8430000000*(1.651435^(MIN($E554,123)-117)))*1,0))</f>
        <v>171000146547</v>
      </c>
      <c r="AC554" s="4">
        <f>$E554+21</f>
        <v>144</v>
      </c>
      <c r="AD554" s="8">
        <f>IF($J554=0,0,ROUND(MAX($J554*1.4*1.5*1.6*1.6*2.2*2.715*2.6*1.4*1.4*1.5,12600000000*(1.652953^(MIN($E554,123)-117)))*1,0))</f>
        <v>257000267475</v>
      </c>
      <c r="AE554" s="6">
        <f>$E554+24</f>
        <v>147</v>
      </c>
      <c r="AF554" s="7">
        <f>IF($J554=0,0,ROUND(MAX($J554*1.4*1.5*1.6*1.6*2.2*2.715*2.6*1.4*1.4*1.5*1.5,18900000000*(1.65331^(MIN($E554,123)-117)))*1,0))</f>
        <v>386000226581</v>
      </c>
      <c r="AG554" s="4">
        <f>$E554+27</f>
        <v>150</v>
      </c>
      <c r="AH554" s="8">
        <f>IF($J554=0,0,ROUND(MAX($J554*1.4*1.5*1.6*1.6*2.2*2.715*2.6*1.4*1.4*1.5*1.5*3.2,60500000000*(1.654288^(MIN($E554,123)-117)))*1,0))</f>
        <v>1240001159555</v>
      </c>
    </row>
    <row r="555" ht="27.75" customHeight="1" spans="1:34" x14ac:dyDescent="0.25">
      <c r="A555" s="3">
        <v>565</v>
      </c>
      <c r="B555" s="3" t="s">
        <v>142</v>
      </c>
      <c r="C555" s="3" t="s">
        <v>590</v>
      </c>
      <c r="D555" s="3" t="s">
        <v>90</v>
      </c>
      <c r="E555" s="3">
        <v>123</v>
      </c>
      <c r="F555" s="3" t="s">
        <v>34</v>
      </c>
      <c r="G555" s="3" t="s">
        <v>35</v>
      </c>
      <c r="H555" s="3">
        <v>32</v>
      </c>
      <c r="I555" s="4">
        <v>123</v>
      </c>
      <c r="J555" s="5">
        <v>11400000</v>
      </c>
      <c r="K555" s="6">
        <f>$E555+1</f>
        <v>124</v>
      </c>
      <c r="L555" s="7">
        <f>IF($J555=0,0,ROUND(MAX($J555*1.4,1620000*(1.497923^(MIN($E555,123)-117)))*1,0))</f>
        <v>18300036</v>
      </c>
      <c r="M555" s="4">
        <f>$E555+2</f>
        <v>125</v>
      </c>
      <c r="N555" s="8">
        <f>IF($J555=0,0,ROUND(MAX($J555*1.4*1.5,2190000*(1.580994^(MIN($E555,123)-117)))*1,0))</f>
        <v>34199948</v>
      </c>
      <c r="O555" s="6">
        <f>$E555+4</f>
        <v>127</v>
      </c>
      <c r="P555" s="7">
        <f>IF($J555=0,0,ROUND(MAX($J555*1.4*1.5*1.6,3500000*(1.57975^(MIN($E555,123)-117)))*1,0))</f>
        <v>54399916</v>
      </c>
      <c r="Q555" s="4">
        <f>$E555+6</f>
        <v>129</v>
      </c>
      <c r="R555" s="8">
        <f>IF($J555=0,0,ROUND(MAX($J555*1.4*1.5*1.6*1.6,13100000*(1.429962^(MIN($E555,123)-117)))*1,0))</f>
        <v>112000065</v>
      </c>
      <c r="S555" s="6">
        <f>$E555+8</f>
        <v>131</v>
      </c>
      <c r="T555" s="7">
        <f>IF($J555=0,0,ROUND(MAX($J555*1.4*1.5*1.6*1.6*2.2,42600000*(1.576904^(MIN($E555,123)-117)))*1,0))</f>
        <v>654999741</v>
      </c>
      <c r="U555" s="4">
        <f>$E555+11</f>
        <v>134</v>
      </c>
      <c r="V555" s="8">
        <f>IF($J555=0,0,ROUND(MAX($J555*1.4*1.5*1.6*1.6*2.2*2.715,354000000*(1.642074^(MIN($E555,123)-117)))*1,0))</f>
        <v>6940002232</v>
      </c>
      <c r="W555" s="6">
        <f>$E555+15</f>
        <v>138</v>
      </c>
      <c r="X555" s="7">
        <f>IF($J555=0,0,ROUND(MAX($J555*1.4*1.5*1.6*1.6*2.2*2.715*2.6,3540000000*(1.579646^(MIN($E555,123)-117)))*1,0))</f>
        <v>54999899335</v>
      </c>
      <c r="Y555" s="4">
        <f>$E555+17</f>
        <v>140</v>
      </c>
      <c r="Z555" s="8">
        <f>IF($J555=0,0,ROUND(MAX($J555*1.4*1.5*1.6*1.6*2.2*2.715*2.6*1.4,6020000000*(1.651178^(MIN($E555,123)-117)))*1,0))</f>
        <v>122000006103</v>
      </c>
      <c r="AA555" s="6">
        <f>$E555+19</f>
        <v>142</v>
      </c>
      <c r="AB555" s="7">
        <f>IF($J555=0,0,ROUND(MAX($J555*1.4*1.5*1.6*1.6*2.2*2.715*2.6*1.4*1.4,8430000000*(1.651435^(MIN($E555,123)-117)))*1,0))</f>
        <v>171000146547</v>
      </c>
      <c r="AC555" s="4">
        <f>$E555+21</f>
        <v>144</v>
      </c>
      <c r="AD555" s="8">
        <f>IF($J555=0,0,ROUND(MAX($J555*1.4*1.5*1.6*1.6*2.2*2.715*2.6*1.4*1.4*1.5,12600000000*(1.652953^(MIN($E555,123)-117)))*1,0))</f>
        <v>257000267475</v>
      </c>
      <c r="AE555" s="6">
        <f>$E555+24</f>
        <v>147</v>
      </c>
      <c r="AF555" s="7">
        <f>IF($J555=0,0,ROUND(MAX($J555*1.4*1.5*1.6*1.6*2.2*2.715*2.6*1.4*1.4*1.5*1.5,18900000000*(1.65331^(MIN($E555,123)-117)))*1,0))</f>
        <v>386000226581</v>
      </c>
      <c r="AG555" s="4">
        <f>$E555+27</f>
        <v>150</v>
      </c>
      <c r="AH555" s="8">
        <f>IF($J555=0,0,ROUND(MAX($J555*1.4*1.5*1.6*1.6*2.2*2.715*2.6*1.4*1.4*1.5*1.5*3.2,60500000000*(1.654288^(MIN($E555,123)-117)))*1,0))</f>
        <v>1240001159555</v>
      </c>
    </row>
    <row r="556" ht="27.75" customHeight="1" spans="1:34" x14ac:dyDescent="0.25">
      <c r="A556" s="3">
        <v>566</v>
      </c>
      <c r="B556" s="3" t="s">
        <v>154</v>
      </c>
      <c r="C556" s="3" t="s">
        <v>590</v>
      </c>
      <c r="D556" s="3" t="s">
        <v>25</v>
      </c>
      <c r="E556" s="3">
        <v>123</v>
      </c>
      <c r="F556" s="3" t="s">
        <v>34</v>
      </c>
      <c r="G556" s="3" t="s">
        <v>38</v>
      </c>
      <c r="H556" s="3">
        <v>32</v>
      </c>
      <c r="I556" s="4">
        <v>123</v>
      </c>
      <c r="J556" s="5">
        <v>45000000</v>
      </c>
      <c r="K556" s="6">
        <f>$E556+1</f>
        <v>124</v>
      </c>
      <c r="L556" s="7">
        <f>IF($J556=0,0,ROUND(MAX($J556*1.4,1620000*(1.497923^(MIN($E556,123)-117)))*1,0))</f>
        <v>63000000</v>
      </c>
      <c r="M556" s="4">
        <f>$E556+2</f>
        <v>125</v>
      </c>
      <c r="N556" s="8">
        <f>IF($J556=0,0,ROUND(MAX($J556*1.4*1.5,2190000*(1.580994^(MIN($E556,123)-117)))*1,0))</f>
        <v>94500000</v>
      </c>
      <c r="O556" s="6">
        <f>$E556+4</f>
        <v>127</v>
      </c>
      <c r="P556" s="7">
        <f>IF($J556=0,0,ROUND(MAX($J556*1.4*1.5*1.6,3500000*(1.57975^(MIN($E556,123)-117)))*1,0))</f>
        <v>151200000</v>
      </c>
      <c r="Q556" s="4">
        <f>$E556+6</f>
        <v>129</v>
      </c>
      <c r="R556" s="8">
        <f>IF($J556=0,0,ROUND(MAX($J556*1.4*1.5*1.6*1.6,13100000*(1.429962^(MIN($E556,123)-117)))*1,0))</f>
        <v>241920000</v>
      </c>
      <c r="S556" s="6">
        <f>$E556+8</f>
        <v>131</v>
      </c>
      <c r="T556" s="7">
        <f>IF($J556=0,0,ROUND(MAX($J556*1.4*1.5*1.6*1.6*2.2,42600000*(1.576904^(MIN($E556,123)-117)))*1,0))</f>
        <v>654999741</v>
      </c>
      <c r="U556" s="4">
        <f>$E556+11</f>
        <v>134</v>
      </c>
      <c r="V556" s="8">
        <f>IF($J556=0,0,ROUND(MAX($J556*1.4*1.5*1.6*1.6*2.2*2.715,354000000*(1.642074^(MIN($E556,123)-117)))*1,0))</f>
        <v>6940002232</v>
      </c>
      <c r="W556" s="6">
        <f>$E556+15</f>
        <v>138</v>
      </c>
      <c r="X556" s="7">
        <f>IF($J556=0,0,ROUND(MAX($J556*1.4*1.5*1.6*1.6*2.2*2.715*2.6,3540000000*(1.579646^(MIN($E556,123)-117)))*1,0))</f>
        <v>54999899335</v>
      </c>
      <c r="Y556" s="4">
        <f>$E556+17</f>
        <v>140</v>
      </c>
      <c r="Z556" s="8">
        <f>IF($J556=0,0,ROUND(MAX($J556*1.4*1.5*1.6*1.6*2.2*2.715*2.6*1.4,6020000000*(1.651178^(MIN($E556,123)-117)))*1,0))</f>
        <v>122000006103</v>
      </c>
      <c r="AA556" s="6">
        <f>$E556+19</f>
        <v>142</v>
      </c>
      <c r="AB556" s="7">
        <f>IF($J556=0,0,ROUND(MAX($J556*1.4*1.5*1.6*1.6*2.2*2.715*2.6*1.4*1.4,8430000000*(1.651435^(MIN($E556,123)-117)))*1,0))</f>
        <v>171000146547</v>
      </c>
      <c r="AC556" s="4">
        <f>$E556+21</f>
        <v>144</v>
      </c>
      <c r="AD556" s="8">
        <f>IF($J556=0,0,ROUND(MAX($J556*1.4*1.5*1.6*1.6*2.2*2.715*2.6*1.4*1.4*1.5,12600000000*(1.652953^(MIN($E556,123)-117)))*1,0))</f>
        <v>257000267475</v>
      </c>
      <c r="AE556" s="6">
        <f>$E556+24</f>
        <v>147</v>
      </c>
      <c r="AF556" s="7">
        <f>IF($J556=0,0,ROUND(MAX($J556*1.4*1.5*1.6*1.6*2.2*2.715*2.6*1.4*1.4*1.5*1.5,18900000000*(1.65331^(MIN($E556,123)-117)))*1,0))</f>
        <v>386000226581</v>
      </c>
      <c r="AG556" s="4">
        <f>$E556+27</f>
        <v>150</v>
      </c>
      <c r="AH556" s="8">
        <f>IF($J556=0,0,ROUND(MAX($J556*1.4*1.5*1.6*1.6*2.2*2.715*2.6*1.4*1.4*1.5*1.5*3.2,60500000000*(1.654288^(MIN($E556,123)-117)))*1,0))</f>
        <v>1240001159555</v>
      </c>
    </row>
    <row r="557" ht="27.75" customHeight="1" spans="1:34" x14ac:dyDescent="0.25">
      <c r="A557" s="3">
        <v>567</v>
      </c>
      <c r="B557" s="3" t="s">
        <v>633</v>
      </c>
      <c r="C557" s="3" t="s">
        <v>590</v>
      </c>
      <c r="D557" s="3" t="s">
        <v>45</v>
      </c>
      <c r="E557" s="3">
        <v>123</v>
      </c>
      <c r="F557" s="3" t="s">
        <v>267</v>
      </c>
      <c r="G557" s="3" t="s">
        <v>242</v>
      </c>
      <c r="H557" s="3">
        <v>32</v>
      </c>
      <c r="I557" s="4">
        <v>123</v>
      </c>
      <c r="J557" s="5">
        <v>12500000</v>
      </c>
      <c r="K557" s="6">
        <f>$E557+1</f>
        <v>124</v>
      </c>
      <c r="L557" s="7">
        <f>IF($J557=0,0,ROUND(MAX($J557*1.4,1620000*(1.497923^(MIN($E557,123)-117)))*1,0))</f>
        <v>18300036</v>
      </c>
      <c r="M557" s="4">
        <f>$E557+2</f>
        <v>125</v>
      </c>
      <c r="N557" s="8">
        <f>IF($J557=0,0,ROUND(MAX($J557*1.4*1.5,2190000*(1.580994^(MIN($E557,123)-117)))*1,0))</f>
        <v>34199948</v>
      </c>
      <c r="O557" s="6">
        <f>$E557+4</f>
        <v>127</v>
      </c>
      <c r="P557" s="7">
        <f>IF($J557=0,0,ROUND(MAX($J557*1.4*1.5*1.6,3500000*(1.57975^(MIN($E557,123)-117)))*1,0))</f>
        <v>54399916</v>
      </c>
      <c r="Q557" s="4">
        <f>$E557+6</f>
        <v>129</v>
      </c>
      <c r="R557" s="8">
        <f>IF($J557=0,0,ROUND(MAX($J557*1.4*1.5*1.6*1.6,13100000*(1.429962^(MIN($E557,123)-117)))*1,0))</f>
        <v>112000065</v>
      </c>
      <c r="S557" s="6">
        <f>$E557+8</f>
        <v>131</v>
      </c>
      <c r="T557" s="7">
        <f>IF($J557=0,0,ROUND(MAX($J557*1.4*1.5*1.6*1.6*2.2,42600000*(1.576904^(MIN($E557,123)-117)))*1,0))</f>
        <v>654999741</v>
      </c>
      <c r="U557" s="4">
        <f>$E557+11</f>
        <v>134</v>
      </c>
      <c r="V557" s="8">
        <f>IF($J557=0,0,ROUND(MAX($J557*1.4*1.5*1.6*1.6*2.2*2.715,354000000*(1.642074^(MIN($E557,123)-117)))*1,0))</f>
        <v>6940002232</v>
      </c>
      <c r="W557" s="6">
        <f>$E557+15</f>
        <v>138</v>
      </c>
      <c r="X557" s="7">
        <f>IF($J557=0,0,ROUND(MAX($J557*1.4*1.5*1.6*1.6*2.2*2.715*2.6,3540000000*(1.579646^(MIN($E557,123)-117)))*1,0))</f>
        <v>54999899335</v>
      </c>
      <c r="Y557" s="4">
        <f>$E557+17</f>
        <v>140</v>
      </c>
      <c r="Z557" s="8">
        <f>IF($J557=0,0,ROUND(MAX($J557*1.4*1.5*1.6*1.6*2.2*2.715*2.6*1.4,6020000000*(1.651178^(MIN($E557,123)-117)))*1,0))</f>
        <v>122000006103</v>
      </c>
      <c r="AA557" s="6">
        <f>$E557+19</f>
        <v>142</v>
      </c>
      <c r="AB557" s="7">
        <f>IF($J557=0,0,ROUND(MAX($J557*1.4*1.5*1.6*1.6*2.2*2.715*2.6*1.4*1.4,8430000000*(1.651435^(MIN($E557,123)-117)))*1,0))</f>
        <v>171000146547</v>
      </c>
      <c r="AC557" s="4">
        <f>$E557+21</f>
        <v>144</v>
      </c>
      <c r="AD557" s="8">
        <f>IF($J557=0,0,ROUND(MAX($J557*1.4*1.5*1.6*1.6*2.2*2.715*2.6*1.4*1.4*1.5,12600000000*(1.652953^(MIN($E557,123)-117)))*1,0))</f>
        <v>257000267475</v>
      </c>
      <c r="AE557" s="6">
        <f>$E557+24</f>
        <v>147</v>
      </c>
      <c r="AF557" s="7">
        <f>IF($J557=0,0,ROUND(MAX($J557*1.4*1.5*1.6*1.6*2.2*2.715*2.6*1.4*1.4*1.5*1.5,18900000000*(1.65331^(MIN($E557,123)-117)))*1,0))</f>
        <v>386000226581</v>
      </c>
      <c r="AG557" s="4">
        <f>$E557+27</f>
        <v>150</v>
      </c>
      <c r="AH557" s="8">
        <f>IF($J557=0,0,ROUND(MAX($J557*1.4*1.5*1.6*1.6*2.2*2.715*2.6*1.4*1.4*1.5*1.5*3.2,60500000000*(1.654288^(MIN($E557,123)-117)))*1,0))</f>
        <v>1240001159555</v>
      </c>
    </row>
    <row r="558" ht="27.75" customHeight="1" spans="1:34" x14ac:dyDescent="0.25">
      <c r="A558" s="3">
        <v>568</v>
      </c>
      <c r="B558" s="3" t="s">
        <v>268</v>
      </c>
      <c r="C558" s="3" t="s">
        <v>590</v>
      </c>
      <c r="D558" s="3" t="s">
        <v>40</v>
      </c>
      <c r="E558" s="3">
        <v>123</v>
      </c>
      <c r="F558" s="3" t="s">
        <v>26</v>
      </c>
      <c r="G558" s="3" t="s">
        <v>242</v>
      </c>
      <c r="H558" s="3">
        <v>32</v>
      </c>
      <c r="I558" s="4">
        <v>123</v>
      </c>
      <c r="J558" s="5">
        <v>11900000</v>
      </c>
      <c r="K558" s="6">
        <f>$E558+1</f>
        <v>124</v>
      </c>
      <c r="L558" s="7">
        <f>IF($J558=0,0,ROUND(MAX($J558*1.4,1620000*(1.497923^(MIN($E558,123)-117)))*1,0))</f>
        <v>18300036</v>
      </c>
      <c r="M558" s="4">
        <f>$E558+2</f>
        <v>125</v>
      </c>
      <c r="N558" s="8">
        <f>IF($J558=0,0,ROUND(MAX($J558*1.4*1.5,2190000*(1.580994^(MIN($E558,123)-117)))*1,0))</f>
        <v>34199948</v>
      </c>
      <c r="O558" s="6">
        <f>$E558+4</f>
        <v>127</v>
      </c>
      <c r="P558" s="7">
        <f>IF($J558=0,0,ROUND(MAX($J558*1.4*1.5*1.6,3500000*(1.57975^(MIN($E558,123)-117)))*1,0))</f>
        <v>54399916</v>
      </c>
      <c r="Q558" s="4">
        <f>$E558+6</f>
        <v>129</v>
      </c>
      <c r="R558" s="8">
        <f>IF($J558=0,0,ROUND(MAX($J558*1.4*1.5*1.6*1.6,13100000*(1.429962^(MIN($E558,123)-117)))*1,0))</f>
        <v>112000065</v>
      </c>
      <c r="S558" s="6">
        <f>$E558+8</f>
        <v>131</v>
      </c>
      <c r="T558" s="7">
        <f>IF($J558=0,0,ROUND(MAX($J558*1.4*1.5*1.6*1.6*2.2,42600000*(1.576904^(MIN($E558,123)-117)))*1,0))</f>
        <v>654999741</v>
      </c>
      <c r="U558" s="4">
        <f>$E558+11</f>
        <v>134</v>
      </c>
      <c r="V558" s="8">
        <f>IF($J558=0,0,ROUND(MAX($J558*1.4*1.5*1.6*1.6*2.2*2.715,354000000*(1.642074^(MIN($E558,123)-117)))*1,0))</f>
        <v>6940002232</v>
      </c>
      <c r="W558" s="6">
        <f>$E558+15</f>
        <v>138</v>
      </c>
      <c r="X558" s="7">
        <f>IF($J558=0,0,ROUND(MAX($J558*1.4*1.5*1.6*1.6*2.2*2.715*2.6,3540000000*(1.579646^(MIN($E558,123)-117)))*1,0))</f>
        <v>54999899335</v>
      </c>
      <c r="Y558" s="4">
        <f>$E558+17</f>
        <v>140</v>
      </c>
      <c r="Z558" s="8">
        <f>IF($J558=0,0,ROUND(MAX($J558*1.4*1.5*1.6*1.6*2.2*2.715*2.6*1.4,6020000000*(1.651178^(MIN($E558,123)-117)))*1,0))</f>
        <v>122000006103</v>
      </c>
      <c r="AA558" s="6">
        <f>$E558+19</f>
        <v>142</v>
      </c>
      <c r="AB558" s="7">
        <f>IF($J558=0,0,ROUND(MAX($J558*1.4*1.5*1.6*1.6*2.2*2.715*2.6*1.4*1.4,8430000000*(1.651435^(MIN($E558,123)-117)))*1,0))</f>
        <v>171000146547</v>
      </c>
      <c r="AC558" s="4">
        <f>$E558+21</f>
        <v>144</v>
      </c>
      <c r="AD558" s="8">
        <f>IF($J558=0,0,ROUND(MAX($J558*1.4*1.5*1.6*1.6*2.2*2.715*2.6*1.4*1.4*1.5,12600000000*(1.652953^(MIN($E558,123)-117)))*1,0))</f>
        <v>257000267475</v>
      </c>
      <c r="AE558" s="6">
        <f>$E558+24</f>
        <v>147</v>
      </c>
      <c r="AF558" s="7">
        <f>IF($J558=0,0,ROUND(MAX($J558*1.4*1.5*1.6*1.6*2.2*2.715*2.6*1.4*1.4*1.5*1.5,18900000000*(1.65331^(MIN($E558,123)-117)))*1,0))</f>
        <v>386000226581</v>
      </c>
      <c r="AG558" s="4">
        <f>$E558+27</f>
        <v>150</v>
      </c>
      <c r="AH558" s="8">
        <f>IF($J558=0,0,ROUND(MAX($J558*1.4*1.5*1.6*1.6*2.2*2.715*2.6*1.4*1.4*1.5*1.5*3.2,60500000000*(1.654288^(MIN($E558,123)-117)))*1,0))</f>
        <v>1240001159555</v>
      </c>
    </row>
    <row r="559" ht="27.75" customHeight="1" spans="1:34" x14ac:dyDescent="0.25">
      <c r="A559" s="3">
        <v>569</v>
      </c>
      <c r="B559" s="3" t="s">
        <v>634</v>
      </c>
      <c r="C559" s="3" t="s">
        <v>590</v>
      </c>
      <c r="D559" s="3" t="s">
        <v>33</v>
      </c>
      <c r="E559" s="3">
        <v>123</v>
      </c>
      <c r="F559" s="3" t="s">
        <v>59</v>
      </c>
      <c r="G559" s="3" t="s">
        <v>185</v>
      </c>
      <c r="H559" s="3">
        <v>32</v>
      </c>
      <c r="I559" s="4">
        <v>123</v>
      </c>
      <c r="J559" s="5">
        <v>12600000</v>
      </c>
      <c r="K559" s="6">
        <f>$E559+1</f>
        <v>124</v>
      </c>
      <c r="L559" s="7">
        <f>IF($J559=0,0,ROUND(MAX($J559*1.4,1620000*(1.497923^(MIN($E559,123)-117)))*1,0))</f>
        <v>18300036</v>
      </c>
      <c r="M559" s="4">
        <f>$E559+2</f>
        <v>125</v>
      </c>
      <c r="N559" s="8">
        <f>IF($J559=0,0,ROUND(MAX($J559*1.4*1.5,2190000*(1.580994^(MIN($E559,123)-117)))*1,0))</f>
        <v>34199948</v>
      </c>
      <c r="O559" s="6">
        <f>$E559+4</f>
        <v>127</v>
      </c>
      <c r="P559" s="7">
        <f>IF($J559=0,0,ROUND(MAX($J559*1.4*1.5*1.6,3500000*(1.57975^(MIN($E559,123)-117)))*1,0))</f>
        <v>54399916</v>
      </c>
      <c r="Q559" s="4">
        <f>$E559+6</f>
        <v>129</v>
      </c>
      <c r="R559" s="8">
        <f>IF($J559=0,0,ROUND(MAX($J559*1.4*1.5*1.6*1.6,13100000*(1.429962^(MIN($E559,123)-117)))*1,0))</f>
        <v>112000065</v>
      </c>
      <c r="S559" s="6">
        <f>$E559+8</f>
        <v>131</v>
      </c>
      <c r="T559" s="7">
        <f>IF($J559=0,0,ROUND(MAX($J559*1.4*1.5*1.6*1.6*2.2,42600000*(1.576904^(MIN($E559,123)-117)))*1,0))</f>
        <v>654999741</v>
      </c>
      <c r="U559" s="4">
        <f>$E559+11</f>
        <v>134</v>
      </c>
      <c r="V559" s="8">
        <f>IF($J559=0,0,ROUND(MAX($J559*1.4*1.5*1.6*1.6*2.2*2.715,354000000*(1.642074^(MIN($E559,123)-117)))*1,0))</f>
        <v>6940002232</v>
      </c>
      <c r="W559" s="6">
        <f>$E559+15</f>
        <v>138</v>
      </c>
      <c r="X559" s="7">
        <f>IF($J559=0,0,ROUND(MAX($J559*1.4*1.5*1.6*1.6*2.2*2.715*2.6,3540000000*(1.579646^(MIN($E559,123)-117)))*1,0))</f>
        <v>54999899335</v>
      </c>
      <c r="Y559" s="4">
        <f>$E559+17</f>
        <v>140</v>
      </c>
      <c r="Z559" s="8">
        <f>IF($J559=0,0,ROUND(MAX($J559*1.4*1.5*1.6*1.6*2.2*2.715*2.6*1.4,6020000000*(1.651178^(MIN($E559,123)-117)))*1,0))</f>
        <v>122000006103</v>
      </c>
      <c r="AA559" s="6">
        <f>$E559+19</f>
        <v>142</v>
      </c>
      <c r="AB559" s="7">
        <f>IF($J559=0,0,ROUND(MAX($J559*1.4*1.5*1.6*1.6*2.2*2.715*2.6*1.4*1.4,8430000000*(1.651435^(MIN($E559,123)-117)))*1,0))</f>
        <v>171000146547</v>
      </c>
      <c r="AC559" s="4">
        <f>$E559+21</f>
        <v>144</v>
      </c>
      <c r="AD559" s="8">
        <f>IF($J559=0,0,ROUND(MAX($J559*1.4*1.5*1.6*1.6*2.2*2.715*2.6*1.4*1.4*1.5,12600000000*(1.652953^(MIN($E559,123)-117)))*1,0))</f>
        <v>257000267475</v>
      </c>
      <c r="AE559" s="6">
        <f>$E559+24</f>
        <v>147</v>
      </c>
      <c r="AF559" s="7">
        <f>IF($J559=0,0,ROUND(MAX($J559*1.4*1.5*1.6*1.6*2.2*2.715*2.6*1.4*1.4*1.5*1.5,18900000000*(1.65331^(MIN($E559,123)-117)))*1,0))</f>
        <v>386000226581</v>
      </c>
      <c r="AG559" s="4">
        <f>$E559+27</f>
        <v>150</v>
      </c>
      <c r="AH559" s="8">
        <f>IF($J559=0,0,ROUND(MAX($J559*1.4*1.5*1.6*1.6*2.2*2.715*2.6*1.4*1.4*1.5*1.5*3.2,60500000000*(1.654288^(MIN($E559,123)-117)))*1,0))</f>
        <v>1240001159555</v>
      </c>
    </row>
    <row r="560" ht="27.75" customHeight="1" spans="1:34" x14ac:dyDescent="0.25">
      <c r="A560" s="3">
        <v>570</v>
      </c>
      <c r="B560" s="3" t="s">
        <v>210</v>
      </c>
      <c r="C560" s="3" t="s">
        <v>590</v>
      </c>
      <c r="D560" s="3" t="s">
        <v>33</v>
      </c>
      <c r="E560" s="3">
        <v>123</v>
      </c>
      <c r="F560" s="3" t="s">
        <v>56</v>
      </c>
      <c r="G560" s="3" t="s">
        <v>95</v>
      </c>
      <c r="H560" s="3">
        <v>33</v>
      </c>
      <c r="I560" s="4">
        <v>123</v>
      </c>
      <c r="J560" s="5">
        <v>12400000</v>
      </c>
      <c r="K560" s="6">
        <f>$E560+1</f>
        <v>124</v>
      </c>
      <c r="L560" s="7">
        <f>IF($J560=0,0,ROUND(MAX($J560*1.4,1620000*(1.497923^(MIN($E560,123)-117)))*1,0))</f>
        <v>18300036</v>
      </c>
      <c r="M560" s="4">
        <f>$E560+2</f>
        <v>125</v>
      </c>
      <c r="N560" s="8">
        <f>IF($J560=0,0,ROUND(MAX($J560*1.4*1.5,2190000*(1.580994^(MIN($E560,123)-117)))*1,0))</f>
        <v>34199948</v>
      </c>
      <c r="O560" s="6">
        <f>$E560+4</f>
        <v>127</v>
      </c>
      <c r="P560" s="7">
        <f>IF($J560=0,0,ROUND(MAX($J560*1.4*1.5*1.6,3500000*(1.57975^(MIN($E560,123)-117)))*1,0))</f>
        <v>54399916</v>
      </c>
      <c r="Q560" s="4">
        <f>$E560+6</f>
        <v>129</v>
      </c>
      <c r="R560" s="8">
        <f>IF($J560=0,0,ROUND(MAX($J560*1.4*1.5*1.6*1.6,13100000*(1.429962^(MIN($E560,123)-117)))*1,0))</f>
        <v>112000065</v>
      </c>
      <c r="S560" s="6">
        <f>$E560+8</f>
        <v>131</v>
      </c>
      <c r="T560" s="7">
        <f>IF($J560=0,0,ROUND(MAX($J560*1.4*1.5*1.6*1.6*2.2,42600000*(1.576904^(MIN($E560,123)-117)))*1,0))</f>
        <v>654999741</v>
      </c>
      <c r="U560" s="4">
        <f>$E560+11</f>
        <v>134</v>
      </c>
      <c r="V560" s="8">
        <f>IF($J560=0,0,ROUND(MAX($J560*1.4*1.5*1.6*1.6*2.2*2.715,354000000*(1.642074^(MIN($E560,123)-117)))*1,0))</f>
        <v>6940002232</v>
      </c>
      <c r="W560" s="6">
        <f>$E560+15</f>
        <v>138</v>
      </c>
      <c r="X560" s="7">
        <f>IF($J560=0,0,ROUND(MAX($J560*1.4*1.5*1.6*1.6*2.2*2.715*2.6,3540000000*(1.579646^(MIN($E560,123)-117)))*1,0))</f>
        <v>54999899335</v>
      </c>
      <c r="Y560" s="4">
        <f>$E560+17</f>
        <v>140</v>
      </c>
      <c r="Z560" s="8">
        <f>IF($J560=0,0,ROUND(MAX($J560*1.4*1.5*1.6*1.6*2.2*2.715*2.6*1.4,6020000000*(1.651178^(MIN($E560,123)-117)))*1,0))</f>
        <v>122000006103</v>
      </c>
      <c r="AA560" s="6">
        <f>$E560+19</f>
        <v>142</v>
      </c>
      <c r="AB560" s="7">
        <f>IF($J560=0,0,ROUND(MAX($J560*1.4*1.5*1.6*1.6*2.2*2.715*2.6*1.4*1.4,8430000000*(1.651435^(MIN($E560,123)-117)))*1,0))</f>
        <v>171000146547</v>
      </c>
      <c r="AC560" s="4">
        <f>$E560+21</f>
        <v>144</v>
      </c>
      <c r="AD560" s="8">
        <f>IF($J560=0,0,ROUND(MAX($J560*1.4*1.5*1.6*1.6*2.2*2.715*2.6*1.4*1.4*1.5,12600000000*(1.652953^(MIN($E560,123)-117)))*1,0))</f>
        <v>257000267475</v>
      </c>
      <c r="AE560" s="6">
        <f>$E560+24</f>
        <v>147</v>
      </c>
      <c r="AF560" s="7">
        <f>IF($J560=0,0,ROUND(MAX($J560*1.4*1.5*1.6*1.6*2.2*2.715*2.6*1.4*1.4*1.5*1.5,18900000000*(1.65331^(MIN($E560,123)-117)))*1,0))</f>
        <v>386000226581</v>
      </c>
      <c r="AG560" s="4">
        <f>$E560+27</f>
        <v>150</v>
      </c>
      <c r="AH560" s="8">
        <f>IF($J560=0,0,ROUND(MAX($J560*1.4*1.5*1.6*1.6*2.2*2.715*2.6*1.4*1.4*1.5*1.5*3.2,60500000000*(1.654288^(MIN($E560,123)-117)))*1,0))</f>
        <v>1240001159555</v>
      </c>
    </row>
    <row r="561" ht="27.75" customHeight="1" spans="1:34" x14ac:dyDescent="0.25">
      <c r="A561" s="3">
        <v>571</v>
      </c>
      <c r="B561" s="3" t="s">
        <v>74</v>
      </c>
      <c r="C561" s="3" t="s">
        <v>590</v>
      </c>
      <c r="D561" s="3" t="s">
        <v>33</v>
      </c>
      <c r="E561" s="3">
        <v>123</v>
      </c>
      <c r="F561" s="3" t="s">
        <v>62</v>
      </c>
      <c r="G561" s="3" t="s">
        <v>51</v>
      </c>
      <c r="H561" s="3">
        <v>33</v>
      </c>
      <c r="I561" s="4">
        <v>123</v>
      </c>
      <c r="J561" s="5">
        <v>15600000</v>
      </c>
      <c r="K561" s="6">
        <f>$E561+1</f>
        <v>124</v>
      </c>
      <c r="L561" s="7">
        <f>IF($J561=0,0,ROUND(MAX($J561*1.4,1620000*(1.497923^(MIN($E561,123)-117)))*1,0))</f>
        <v>21840000</v>
      </c>
      <c r="M561" s="4">
        <f>$E561+2</f>
        <v>125</v>
      </c>
      <c r="N561" s="8">
        <f>IF($J561=0,0,ROUND(MAX($J561*1.4*1.5,2190000*(1.580994^(MIN($E561,123)-117)))*1,0))</f>
        <v>34199948</v>
      </c>
      <c r="O561" s="6">
        <f>$E561+4</f>
        <v>127</v>
      </c>
      <c r="P561" s="7">
        <f>IF($J561=0,0,ROUND(MAX($J561*1.4*1.5*1.6,3500000*(1.57975^(MIN($E561,123)-117)))*1,0))</f>
        <v>54399916</v>
      </c>
      <c r="Q561" s="4">
        <f>$E561+6</f>
        <v>129</v>
      </c>
      <c r="R561" s="8">
        <f>IF($J561=0,0,ROUND(MAX($J561*1.4*1.5*1.6*1.6,13100000*(1.429962^(MIN($E561,123)-117)))*1,0))</f>
        <v>112000065</v>
      </c>
      <c r="S561" s="6">
        <f>$E561+8</f>
        <v>131</v>
      </c>
      <c r="T561" s="7">
        <f>IF($J561=0,0,ROUND(MAX($J561*1.4*1.5*1.6*1.6*2.2,42600000*(1.576904^(MIN($E561,123)-117)))*1,0))</f>
        <v>654999741</v>
      </c>
      <c r="U561" s="4">
        <f>$E561+11</f>
        <v>134</v>
      </c>
      <c r="V561" s="8">
        <f>IF($J561=0,0,ROUND(MAX($J561*1.4*1.5*1.6*1.6*2.2*2.715,354000000*(1.642074^(MIN($E561,123)-117)))*1,0))</f>
        <v>6940002232</v>
      </c>
      <c r="W561" s="6">
        <f>$E561+15</f>
        <v>138</v>
      </c>
      <c r="X561" s="7">
        <f>IF($J561=0,0,ROUND(MAX($J561*1.4*1.5*1.6*1.6*2.2*2.715*2.6,3540000000*(1.579646^(MIN($E561,123)-117)))*1,0))</f>
        <v>54999899335</v>
      </c>
      <c r="Y561" s="4">
        <f>$E561+17</f>
        <v>140</v>
      </c>
      <c r="Z561" s="8">
        <f>IF($J561=0,0,ROUND(MAX($J561*1.4*1.5*1.6*1.6*2.2*2.715*2.6*1.4,6020000000*(1.651178^(MIN($E561,123)-117)))*1,0))</f>
        <v>122000006103</v>
      </c>
      <c r="AA561" s="6">
        <f>$E561+19</f>
        <v>142</v>
      </c>
      <c r="AB561" s="7">
        <f>IF($J561=0,0,ROUND(MAX($J561*1.4*1.5*1.6*1.6*2.2*2.715*2.6*1.4*1.4,8430000000*(1.651435^(MIN($E561,123)-117)))*1,0))</f>
        <v>171000146547</v>
      </c>
      <c r="AC561" s="4">
        <f>$E561+21</f>
        <v>144</v>
      </c>
      <c r="AD561" s="8">
        <f>IF($J561=0,0,ROUND(MAX($J561*1.4*1.5*1.6*1.6*2.2*2.715*2.6*1.4*1.4*1.5,12600000000*(1.652953^(MIN($E561,123)-117)))*1,0))</f>
        <v>257000267475</v>
      </c>
      <c r="AE561" s="6">
        <f>$E561+24</f>
        <v>147</v>
      </c>
      <c r="AF561" s="7">
        <f>IF($J561=0,0,ROUND(MAX($J561*1.4*1.5*1.6*1.6*2.2*2.715*2.6*1.4*1.4*1.5*1.5,18900000000*(1.65331^(MIN($E561,123)-117)))*1,0))</f>
        <v>386000226581</v>
      </c>
      <c r="AG561" s="4">
        <f>$E561+27</f>
        <v>150</v>
      </c>
      <c r="AH561" s="8">
        <f>IF($J561=0,0,ROUND(MAX($J561*1.4*1.5*1.6*1.6*2.2*2.715*2.6*1.4*1.4*1.5*1.5*3.2,60500000000*(1.654288^(MIN($E561,123)-117)))*1,0))</f>
        <v>1240001159555</v>
      </c>
    </row>
    <row r="562" ht="27.75" customHeight="1" spans="1:34" x14ac:dyDescent="0.25">
      <c r="A562" s="3">
        <v>572</v>
      </c>
      <c r="B562" s="3" t="s">
        <v>539</v>
      </c>
      <c r="C562" s="3" t="s">
        <v>590</v>
      </c>
      <c r="D562" s="3" t="s">
        <v>29</v>
      </c>
      <c r="E562" s="3">
        <v>123</v>
      </c>
      <c r="F562" s="3" t="s">
        <v>34</v>
      </c>
      <c r="G562" s="3" t="s">
        <v>450</v>
      </c>
      <c r="H562" s="3">
        <v>33</v>
      </c>
      <c r="I562" s="4">
        <v>123</v>
      </c>
      <c r="J562" s="5">
        <v>12800000</v>
      </c>
      <c r="K562" s="6">
        <f>$E562+1</f>
        <v>124</v>
      </c>
      <c r="L562" s="7">
        <f>IF($J562=0,0,ROUND(MAX($J562*1.4,1620000*(1.497923^(MIN($E562,123)-117)))*1,0))</f>
        <v>18300036</v>
      </c>
      <c r="M562" s="4">
        <f>$E562+2</f>
        <v>125</v>
      </c>
      <c r="N562" s="8">
        <f>IF($J562=0,0,ROUND(MAX($J562*1.4*1.5,2190000*(1.580994^(MIN($E562,123)-117)))*1,0))</f>
        <v>34199948</v>
      </c>
      <c r="O562" s="6">
        <f>$E562+4</f>
        <v>127</v>
      </c>
      <c r="P562" s="7">
        <f>IF($J562=0,0,ROUND(MAX($J562*1.4*1.5*1.6,3500000*(1.57975^(MIN($E562,123)-117)))*1,0))</f>
        <v>54399916</v>
      </c>
      <c r="Q562" s="4">
        <f>$E562+6</f>
        <v>129</v>
      </c>
      <c r="R562" s="8">
        <f>IF($J562=0,0,ROUND(MAX($J562*1.4*1.5*1.6*1.6,13100000*(1.429962^(MIN($E562,123)-117)))*1,0))</f>
        <v>112000065</v>
      </c>
      <c r="S562" s="6">
        <f>$E562+8</f>
        <v>131</v>
      </c>
      <c r="T562" s="7">
        <f>IF($J562=0,0,ROUND(MAX($J562*1.4*1.5*1.6*1.6*2.2,42600000*(1.576904^(MIN($E562,123)-117)))*1,0))</f>
        <v>654999741</v>
      </c>
      <c r="U562" s="4">
        <f>$E562+11</f>
        <v>134</v>
      </c>
      <c r="V562" s="8">
        <f>IF($J562=0,0,ROUND(MAX($J562*1.4*1.5*1.6*1.6*2.2*2.715,354000000*(1.642074^(MIN($E562,123)-117)))*1,0))</f>
        <v>6940002232</v>
      </c>
      <c r="W562" s="6">
        <f>$E562+15</f>
        <v>138</v>
      </c>
      <c r="X562" s="7">
        <f>IF($J562=0,0,ROUND(MAX($J562*1.4*1.5*1.6*1.6*2.2*2.715*2.6,3540000000*(1.579646^(MIN($E562,123)-117)))*1,0))</f>
        <v>54999899335</v>
      </c>
      <c r="Y562" s="4">
        <f>$E562+17</f>
        <v>140</v>
      </c>
      <c r="Z562" s="8">
        <f>IF($J562=0,0,ROUND(MAX($J562*1.4*1.5*1.6*1.6*2.2*2.715*2.6*1.4,6020000000*(1.651178^(MIN($E562,123)-117)))*1,0))</f>
        <v>122000006103</v>
      </c>
      <c r="AA562" s="6">
        <f>$E562+19</f>
        <v>142</v>
      </c>
      <c r="AB562" s="7">
        <f>IF($J562=0,0,ROUND(MAX($J562*1.4*1.5*1.6*1.6*2.2*2.715*2.6*1.4*1.4,8430000000*(1.651435^(MIN($E562,123)-117)))*1,0))</f>
        <v>171000146547</v>
      </c>
      <c r="AC562" s="4">
        <f>$E562+21</f>
        <v>144</v>
      </c>
      <c r="AD562" s="8">
        <f>IF($J562=0,0,ROUND(MAX($J562*1.4*1.5*1.6*1.6*2.2*2.715*2.6*1.4*1.4*1.5,12600000000*(1.652953^(MIN($E562,123)-117)))*1,0))</f>
        <v>257000267475</v>
      </c>
      <c r="AE562" s="6">
        <f>$E562+24</f>
        <v>147</v>
      </c>
      <c r="AF562" s="7">
        <f>IF($J562=0,0,ROUND(MAX($J562*1.4*1.5*1.6*1.6*2.2*2.715*2.6*1.4*1.4*1.5*1.5,18900000000*(1.65331^(MIN($E562,123)-117)))*1,0))</f>
        <v>386000226581</v>
      </c>
      <c r="AG562" s="4">
        <f>$E562+27</f>
        <v>150</v>
      </c>
      <c r="AH562" s="8">
        <f>IF($J562=0,0,ROUND(MAX($J562*1.4*1.5*1.6*1.6*2.2*2.715*2.6*1.4*1.4*1.5*1.5*3.2,60500000000*(1.654288^(MIN($E562,123)-117)))*1,0))</f>
        <v>1240001159555</v>
      </c>
    </row>
    <row r="563" ht="27.75" customHeight="1" spans="1:34" x14ac:dyDescent="0.25">
      <c r="A563" s="3">
        <v>573</v>
      </c>
      <c r="B563" s="3" t="s">
        <v>635</v>
      </c>
      <c r="C563" s="3" t="s">
        <v>590</v>
      </c>
      <c r="D563" s="3" t="s">
        <v>40</v>
      </c>
      <c r="E563" s="3">
        <v>123</v>
      </c>
      <c r="F563" s="3" t="s">
        <v>310</v>
      </c>
      <c r="G563" s="3" t="s">
        <v>27</v>
      </c>
      <c r="H563" s="3">
        <v>33</v>
      </c>
      <c r="I563" s="4">
        <v>123</v>
      </c>
      <c r="J563" s="5">
        <v>12500000</v>
      </c>
      <c r="K563" s="6">
        <f>$E563+1</f>
        <v>124</v>
      </c>
      <c r="L563" s="7">
        <f>IF($J563=0,0,ROUND(MAX($J563*1.4,1620000*(1.497923^(MIN($E563,123)-117)))*1,0))</f>
        <v>18300036</v>
      </c>
      <c r="M563" s="4">
        <f>$E563+2</f>
        <v>125</v>
      </c>
      <c r="N563" s="8">
        <f>IF($J563=0,0,ROUND(MAX($J563*1.4*1.5,2190000*(1.580994^(MIN($E563,123)-117)))*1,0))</f>
        <v>34199948</v>
      </c>
      <c r="O563" s="6">
        <f>$E563+4</f>
        <v>127</v>
      </c>
      <c r="P563" s="7">
        <f>IF($J563=0,0,ROUND(MAX($J563*1.4*1.5*1.6,3500000*(1.57975^(MIN($E563,123)-117)))*1,0))</f>
        <v>54399916</v>
      </c>
      <c r="Q563" s="4">
        <f>$E563+6</f>
        <v>129</v>
      </c>
      <c r="R563" s="8">
        <f>IF($J563=0,0,ROUND(MAX($J563*1.4*1.5*1.6*1.6,13100000*(1.429962^(MIN($E563,123)-117)))*1,0))</f>
        <v>112000065</v>
      </c>
      <c r="S563" s="6">
        <f>$E563+8</f>
        <v>131</v>
      </c>
      <c r="T563" s="7">
        <f>IF($J563=0,0,ROUND(MAX($J563*1.4*1.5*1.6*1.6*2.2,42600000*(1.576904^(MIN($E563,123)-117)))*1,0))</f>
        <v>654999741</v>
      </c>
      <c r="U563" s="4">
        <f>$E563+11</f>
        <v>134</v>
      </c>
      <c r="V563" s="8">
        <f>IF($J563=0,0,ROUND(MAX($J563*1.4*1.5*1.6*1.6*2.2*2.715,354000000*(1.642074^(MIN($E563,123)-117)))*1,0))</f>
        <v>6940002232</v>
      </c>
      <c r="W563" s="6">
        <f>$E563+15</f>
        <v>138</v>
      </c>
      <c r="X563" s="7">
        <f>IF($J563=0,0,ROUND(MAX($J563*1.4*1.5*1.6*1.6*2.2*2.715*2.6,3540000000*(1.579646^(MIN($E563,123)-117)))*1,0))</f>
        <v>54999899335</v>
      </c>
      <c r="Y563" s="4">
        <f>$E563+17</f>
        <v>140</v>
      </c>
      <c r="Z563" s="8">
        <f>IF($J563=0,0,ROUND(MAX($J563*1.4*1.5*1.6*1.6*2.2*2.715*2.6*1.4,6020000000*(1.651178^(MIN($E563,123)-117)))*1,0))</f>
        <v>122000006103</v>
      </c>
      <c r="AA563" s="6">
        <f>$E563+19</f>
        <v>142</v>
      </c>
      <c r="AB563" s="7">
        <f>IF($J563=0,0,ROUND(MAX($J563*1.4*1.5*1.6*1.6*2.2*2.715*2.6*1.4*1.4,8430000000*(1.651435^(MIN($E563,123)-117)))*1,0))</f>
        <v>171000146547</v>
      </c>
      <c r="AC563" s="4">
        <f>$E563+21</f>
        <v>144</v>
      </c>
      <c r="AD563" s="8">
        <f>IF($J563=0,0,ROUND(MAX($J563*1.4*1.5*1.6*1.6*2.2*2.715*2.6*1.4*1.4*1.5,12600000000*(1.652953^(MIN($E563,123)-117)))*1,0))</f>
        <v>257000267475</v>
      </c>
      <c r="AE563" s="6">
        <f>$E563+24</f>
        <v>147</v>
      </c>
      <c r="AF563" s="7">
        <f>IF($J563=0,0,ROUND(MAX($J563*1.4*1.5*1.6*1.6*2.2*2.715*2.6*1.4*1.4*1.5*1.5,18900000000*(1.65331^(MIN($E563,123)-117)))*1,0))</f>
        <v>386000226581</v>
      </c>
      <c r="AG563" s="4">
        <f>$E563+27</f>
        <v>150</v>
      </c>
      <c r="AH563" s="8">
        <f>IF($J563=0,0,ROUND(MAX($J563*1.4*1.5*1.6*1.6*2.2*2.715*2.6*1.4*1.4*1.5*1.5*3.2,60500000000*(1.654288^(MIN($E563,123)-117)))*1,0))</f>
        <v>1240001159555</v>
      </c>
    </row>
    <row r="564" ht="27.75" customHeight="1" spans="1:34" x14ac:dyDescent="0.25">
      <c r="A564" s="3">
        <v>574</v>
      </c>
      <c r="B564" s="3" t="s">
        <v>180</v>
      </c>
      <c r="C564" s="3" t="s">
        <v>590</v>
      </c>
      <c r="D564" s="3" t="s">
        <v>47</v>
      </c>
      <c r="E564" s="3">
        <v>124</v>
      </c>
      <c r="F564" s="3" t="s">
        <v>144</v>
      </c>
      <c r="G564" s="3" t="s">
        <v>98</v>
      </c>
      <c r="H564" s="3">
        <v>30</v>
      </c>
      <c r="I564" s="4">
        <v>124</v>
      </c>
      <c r="J564" s="5">
        <v>19600000</v>
      </c>
      <c r="K564" s="6">
        <f>$E564+1</f>
        <v>125</v>
      </c>
      <c r="L564" s="7">
        <f>IF($J564=0,0,ROUND(MAX($J564*1.4,1620000*(1.497923^(MIN($E564,123)-117)))*1,0))</f>
        <v>27440000</v>
      </c>
      <c r="M564" s="4">
        <f>$E564+2</f>
        <v>126</v>
      </c>
      <c r="N564" s="8">
        <f>IF($J564=0,0,ROUND(MAX($J564*1.4*1.5,2190000*(1.580994^(MIN($E564,123)-117)))*1,0))</f>
        <v>41160000</v>
      </c>
      <c r="O564" s="6">
        <f>$E564+4</f>
        <v>128</v>
      </c>
      <c r="P564" s="7">
        <f>IF($J564=0,0,ROUND(MAX($J564*1.4*1.5*1.6,3500000*(1.57975^(MIN($E564,123)-117)))*1,0))</f>
        <v>65856000</v>
      </c>
      <c r="Q564" s="4">
        <f>$E564+6</f>
        <v>130</v>
      </c>
      <c r="R564" s="8">
        <f>IF($J564=0,0,ROUND(MAX($J564*1.4*1.5*1.6*1.6,13100000*(1.429962^(MIN($E564,123)-117)))*1,0))</f>
        <v>112000065</v>
      </c>
      <c r="S564" s="6">
        <f>$E564+8</f>
        <v>132</v>
      </c>
      <c r="T564" s="7">
        <f>IF($J564=0,0,ROUND(MAX($J564*1.4*1.5*1.6*1.6*2.2,42600000*(1.576904^(MIN($E564,123)-117)))*1,0))</f>
        <v>654999741</v>
      </c>
      <c r="U564" s="4">
        <f>$E564+11</f>
        <v>135</v>
      </c>
      <c r="V564" s="8">
        <f>IF($J564=0,0,ROUND(MAX($J564*1.4*1.5*1.6*1.6*2.2*2.715,354000000*(1.642074^(MIN($E564,123)-117)))*1,0))</f>
        <v>6940002232</v>
      </c>
      <c r="W564" s="6">
        <f>$E564+15</f>
        <v>139</v>
      </c>
      <c r="X564" s="7">
        <f>IF($J564=0,0,ROUND(MAX($J564*1.4*1.5*1.6*1.6*2.2*2.715*2.6,3540000000*(1.579646^(MIN($E564,123)-117)))*1,0))</f>
        <v>54999899335</v>
      </c>
      <c r="Y564" s="4">
        <f>$E564+17</f>
        <v>141</v>
      </c>
      <c r="Z564" s="8">
        <f>IF($J564=0,0,ROUND(MAX($J564*1.4*1.5*1.6*1.6*2.2*2.715*2.6*1.4,6020000000*(1.651178^(MIN($E564,123)-117)))*1,0))</f>
        <v>122000006103</v>
      </c>
      <c r="AA564" s="6">
        <f>$E564+19</f>
        <v>143</v>
      </c>
      <c r="AB564" s="7">
        <f>IF($J564=0,0,ROUND(MAX($J564*1.4*1.5*1.6*1.6*2.2*2.715*2.6*1.4*1.4,8430000000*(1.651435^(MIN($E564,123)-117)))*1,0))</f>
        <v>171000146547</v>
      </c>
      <c r="AC564" s="4">
        <f>$E564+21</f>
        <v>145</v>
      </c>
      <c r="AD564" s="8">
        <f>IF($J564=0,0,ROUND(MAX($J564*1.4*1.5*1.6*1.6*2.2*2.715*2.6*1.4*1.4*1.5,12600000000*(1.652953^(MIN($E564,123)-117)))*1,0))</f>
        <v>257000267475</v>
      </c>
      <c r="AE564" s="6">
        <f>$E564+24</f>
        <v>148</v>
      </c>
      <c r="AF564" s="7">
        <f>IF($J564=0,0,ROUND(MAX($J564*1.4*1.5*1.6*1.6*2.2*2.715*2.6*1.4*1.4*1.5*1.5,18900000000*(1.65331^(MIN($E564,123)-117)))*1,0))</f>
        <v>386000226581</v>
      </c>
      <c r="AG564" s="4">
        <f>$E564+27</f>
        <v>151</v>
      </c>
      <c r="AH564" s="8">
        <f>IF($J564=0,0,ROUND(MAX($J564*1.4*1.5*1.6*1.6*2.2*2.715*2.6*1.4*1.4*1.5*1.5*3.2,60500000000*(1.654288^(MIN($E564,123)-117)))*1,0))</f>
        <v>1240001159555</v>
      </c>
    </row>
    <row r="565" ht="27.75" customHeight="1" spans="1:34" x14ac:dyDescent="0.25">
      <c r="A565" s="3">
        <v>575</v>
      </c>
      <c r="B565" s="3" t="s">
        <v>70</v>
      </c>
      <c r="C565" s="3" t="s">
        <v>590</v>
      </c>
      <c r="D565" s="3" t="s">
        <v>45</v>
      </c>
      <c r="E565" s="3">
        <v>124</v>
      </c>
      <c r="F565" s="3" t="s">
        <v>71</v>
      </c>
      <c r="G565" s="3" t="s">
        <v>72</v>
      </c>
      <c r="H565" s="3">
        <v>32</v>
      </c>
      <c r="I565" s="4">
        <v>124</v>
      </c>
      <c r="J565" s="5">
        <v>20400000</v>
      </c>
      <c r="K565" s="6">
        <f>$E565+1</f>
        <v>125</v>
      </c>
      <c r="L565" s="7">
        <f>IF($J565=0,0,ROUND(MAX($J565*1.4,1620000*(1.497923^(MIN($E565,123)-117)))*1,0))</f>
        <v>28560000</v>
      </c>
      <c r="M565" s="4">
        <f>$E565+2</f>
        <v>126</v>
      </c>
      <c r="N565" s="8">
        <f>IF($J565=0,0,ROUND(MAX($J565*1.4*1.5,2190000*(1.580994^(MIN($E565,123)-117)))*1,0))</f>
        <v>42840000</v>
      </c>
      <c r="O565" s="6">
        <f>$E565+4</f>
        <v>128</v>
      </c>
      <c r="P565" s="7">
        <f>IF($J565=0,0,ROUND(MAX($J565*1.4*1.5*1.6,3500000*(1.57975^(MIN($E565,123)-117)))*1,0))</f>
        <v>68544000</v>
      </c>
      <c r="Q565" s="4">
        <f>$E565+6</f>
        <v>130</v>
      </c>
      <c r="R565" s="8">
        <f>IF($J565=0,0,ROUND(MAX($J565*1.4*1.5*1.6*1.6,13100000*(1.429962^(MIN($E565,123)-117)))*1,0))</f>
        <v>112000065</v>
      </c>
      <c r="S565" s="6">
        <f>$E565+8</f>
        <v>132</v>
      </c>
      <c r="T565" s="7">
        <f>IF($J565=0,0,ROUND(MAX($J565*1.4*1.5*1.6*1.6*2.2,42600000*(1.576904^(MIN($E565,123)-117)))*1,0))</f>
        <v>654999741</v>
      </c>
      <c r="U565" s="4">
        <f>$E565+11</f>
        <v>135</v>
      </c>
      <c r="V565" s="8">
        <f>IF($J565=0,0,ROUND(MAX($J565*1.4*1.5*1.6*1.6*2.2*2.715,354000000*(1.642074^(MIN($E565,123)-117)))*1,0))</f>
        <v>6940002232</v>
      </c>
      <c r="W565" s="6">
        <f>$E565+15</f>
        <v>139</v>
      </c>
      <c r="X565" s="7">
        <f>IF($J565=0,0,ROUND(MAX($J565*1.4*1.5*1.6*1.6*2.2*2.715*2.6,3540000000*(1.579646^(MIN($E565,123)-117)))*1,0))</f>
        <v>54999899335</v>
      </c>
      <c r="Y565" s="4">
        <f>$E565+17</f>
        <v>141</v>
      </c>
      <c r="Z565" s="8">
        <f>IF($J565=0,0,ROUND(MAX($J565*1.4*1.5*1.6*1.6*2.2*2.715*2.6*1.4,6020000000*(1.651178^(MIN($E565,123)-117)))*1,0))</f>
        <v>122000006103</v>
      </c>
      <c r="AA565" s="6">
        <f>$E565+19</f>
        <v>143</v>
      </c>
      <c r="AB565" s="7">
        <f>IF($J565=0,0,ROUND(MAX($J565*1.4*1.5*1.6*1.6*2.2*2.715*2.6*1.4*1.4,8430000000*(1.651435^(MIN($E565,123)-117)))*1,0))</f>
        <v>171000146547</v>
      </c>
      <c r="AC565" s="4">
        <f>$E565+21</f>
        <v>145</v>
      </c>
      <c r="AD565" s="8">
        <f>IF($J565=0,0,ROUND(MAX($J565*1.4*1.5*1.6*1.6*2.2*2.715*2.6*1.4*1.4*1.5,12600000000*(1.652953^(MIN($E565,123)-117)))*1,0))</f>
        <v>257000267475</v>
      </c>
      <c r="AE565" s="6">
        <f>$E565+24</f>
        <v>148</v>
      </c>
      <c r="AF565" s="7">
        <f>IF($J565=0,0,ROUND(MAX($J565*1.4*1.5*1.6*1.6*2.2*2.715*2.6*1.4*1.4*1.5*1.5,18900000000*(1.65331^(MIN($E565,123)-117)))*1,0))</f>
        <v>386000226581</v>
      </c>
      <c r="AG565" s="4">
        <f>$E565+27</f>
        <v>151</v>
      </c>
      <c r="AH565" s="8">
        <f>IF($J565=0,0,ROUND(MAX($J565*1.4*1.5*1.6*1.6*2.2*2.715*2.6*1.4*1.4*1.5*1.5*3.2,60500000000*(1.654288^(MIN($E565,123)-117)))*1,0))</f>
        <v>1240001159555</v>
      </c>
    </row>
    <row r="566" ht="27.75" customHeight="1" spans="1:34" x14ac:dyDescent="0.25">
      <c r="A566" s="3">
        <v>576</v>
      </c>
      <c r="B566" s="3" t="s">
        <v>92</v>
      </c>
      <c r="C566" s="3" t="s">
        <v>590</v>
      </c>
      <c r="D566" s="3" t="s">
        <v>93</v>
      </c>
      <c r="E566" s="3">
        <v>124</v>
      </c>
      <c r="F566" s="3" t="s">
        <v>56</v>
      </c>
      <c r="G566" s="3" t="s">
        <v>57</v>
      </c>
      <c r="H566" s="3">
        <v>32</v>
      </c>
      <c r="I566" s="4">
        <v>124</v>
      </c>
      <c r="J566" s="5">
        <v>143000000</v>
      </c>
      <c r="K566" s="6">
        <f>$E566+1</f>
        <v>125</v>
      </c>
      <c r="L566" s="7">
        <f>IF($J566=0,0,ROUND(MAX($J566*1.4,1620000*(1.497923^(MIN($E566,123)-117)))*1,0))</f>
        <v>200200000</v>
      </c>
      <c r="M566" s="4">
        <f>$E566+2</f>
        <v>126</v>
      </c>
      <c r="N566" s="8">
        <f>IF($J566=0,0,ROUND(MAX($J566*1.4*1.5,2190000*(1.580994^(MIN($E566,123)-117)))*1,0))</f>
        <v>300300000</v>
      </c>
      <c r="O566" s="6">
        <f>$E566+4</f>
        <v>128</v>
      </c>
      <c r="P566" s="7">
        <f>IF($J566=0,0,ROUND(MAX($J566*1.4*1.5*1.6,3500000*(1.57975^(MIN($E566,123)-117)))*1,0))</f>
        <v>480480000</v>
      </c>
      <c r="Q566" s="4">
        <f>$E566+6</f>
        <v>130</v>
      </c>
      <c r="R566" s="8">
        <f>IF($J566=0,0,ROUND(MAX($J566*1.4*1.5*1.6*1.6,13100000*(1.429962^(MIN($E566,123)-117)))*1,0))</f>
        <v>768768000</v>
      </c>
      <c r="S566" s="6">
        <f>$E566+8</f>
        <v>132</v>
      </c>
      <c r="T566" s="7">
        <f>IF($J566=0,0,ROUND(MAX($J566*1.4*1.5*1.6*1.6*2.2,42600000*(1.576904^(MIN($E566,123)-117)))*1,0))</f>
        <v>1691289600</v>
      </c>
      <c r="U566" s="4">
        <f>$E566+11</f>
        <v>135</v>
      </c>
      <c r="V566" s="8">
        <f>IF($J566=0,0,ROUND(MAX($J566*1.4*1.5*1.6*1.6*2.2*2.715,354000000*(1.642074^(MIN($E566,123)-117)))*1,0))</f>
        <v>6940002232</v>
      </c>
      <c r="W566" s="6">
        <f>$E566+15</f>
        <v>139</v>
      </c>
      <c r="X566" s="7">
        <f>IF($J566=0,0,ROUND(MAX($J566*1.4*1.5*1.6*1.6*2.2*2.715*2.6,3540000000*(1.579646^(MIN($E566,123)-117)))*1,0))</f>
        <v>54999899335</v>
      </c>
      <c r="Y566" s="4">
        <f>$E566+17</f>
        <v>141</v>
      </c>
      <c r="Z566" s="8">
        <f>IF($J566=0,0,ROUND(MAX($J566*1.4*1.5*1.6*1.6*2.2*2.715*2.6*1.4,6020000000*(1.651178^(MIN($E566,123)-117)))*1,0))</f>
        <v>122000006103</v>
      </c>
      <c r="AA566" s="6">
        <f>$E566+19</f>
        <v>143</v>
      </c>
      <c r="AB566" s="7">
        <f>IF($J566=0,0,ROUND(MAX($J566*1.4*1.5*1.6*1.6*2.2*2.715*2.6*1.4*1.4,8430000000*(1.651435^(MIN($E566,123)-117)))*1,0))</f>
        <v>171000146547</v>
      </c>
      <c r="AC566" s="4">
        <f>$E566+21</f>
        <v>145</v>
      </c>
      <c r="AD566" s="8">
        <f>IF($J566=0,0,ROUND(MAX($J566*1.4*1.5*1.6*1.6*2.2*2.715*2.6*1.4*1.4*1.5,12600000000*(1.652953^(MIN($E566,123)-117)))*1,0))</f>
        <v>257000267475</v>
      </c>
      <c r="AE566" s="6">
        <f>$E566+24</f>
        <v>148</v>
      </c>
      <c r="AF566" s="7">
        <f>IF($J566=0,0,ROUND(MAX($J566*1.4*1.5*1.6*1.6*2.2*2.715*2.6*1.4*1.4*1.5*1.5,18900000000*(1.65331^(MIN($E566,123)-117)))*1,0))</f>
        <v>386000226581</v>
      </c>
      <c r="AG566" s="4">
        <f>$E566+27</f>
        <v>151</v>
      </c>
      <c r="AH566" s="8">
        <f>IF($J566=0,0,ROUND(MAX($J566*1.4*1.5*1.6*1.6*2.2*2.715*2.6*1.4*1.4*1.5*1.5*3.2,60500000000*(1.654288^(MIN($E566,123)-117)))*1,0))</f>
        <v>1240001159555</v>
      </c>
    </row>
    <row r="567" ht="27.75" customHeight="1" spans="1:34" x14ac:dyDescent="0.25">
      <c r="A567" s="3">
        <v>577</v>
      </c>
      <c r="B567" s="3" t="s">
        <v>115</v>
      </c>
      <c r="C567" s="3" t="s">
        <v>590</v>
      </c>
      <c r="D567" s="3" t="s">
        <v>40</v>
      </c>
      <c r="E567" s="3">
        <v>124</v>
      </c>
      <c r="F567" s="3" t="s">
        <v>116</v>
      </c>
      <c r="G567" s="3" t="s">
        <v>72</v>
      </c>
      <c r="H567" s="3">
        <v>32</v>
      </c>
      <c r="I567" s="4">
        <v>124</v>
      </c>
      <c r="J567" s="5">
        <v>48100000</v>
      </c>
      <c r="K567" s="6">
        <f>$E567+1</f>
        <v>125</v>
      </c>
      <c r="L567" s="7">
        <f>IF($J567=0,0,ROUND(MAX($J567*1.4,1620000*(1.497923^(MIN($E567,123)-117)))*1,0))</f>
        <v>67340000</v>
      </c>
      <c r="M567" s="4">
        <f>$E567+2</f>
        <v>126</v>
      </c>
      <c r="N567" s="8">
        <f>IF($J567=0,0,ROUND(MAX($J567*1.4*1.5,2190000*(1.580994^(MIN($E567,123)-117)))*1,0))</f>
        <v>101010000</v>
      </c>
      <c r="O567" s="6">
        <f>$E567+4</f>
        <v>128</v>
      </c>
      <c r="P567" s="7">
        <f>IF($J567=0,0,ROUND(MAX($J567*1.4*1.5*1.6,3500000*(1.57975^(MIN($E567,123)-117)))*1,0))</f>
        <v>161616000</v>
      </c>
      <c r="Q567" s="4">
        <f>$E567+6</f>
        <v>130</v>
      </c>
      <c r="R567" s="8">
        <f>IF($J567=0,0,ROUND(MAX($J567*1.4*1.5*1.6*1.6,13100000*(1.429962^(MIN($E567,123)-117)))*1,0))</f>
        <v>258585600</v>
      </c>
      <c r="S567" s="6">
        <f>$E567+8</f>
        <v>132</v>
      </c>
      <c r="T567" s="7">
        <f>IF($J567=0,0,ROUND(MAX($J567*1.4*1.5*1.6*1.6*2.2,42600000*(1.576904^(MIN($E567,123)-117)))*1,0))</f>
        <v>654999741</v>
      </c>
      <c r="U567" s="4">
        <f>$E567+11</f>
        <v>135</v>
      </c>
      <c r="V567" s="8">
        <f>IF($J567=0,0,ROUND(MAX($J567*1.4*1.5*1.6*1.6*2.2*2.715,354000000*(1.642074^(MIN($E567,123)-117)))*1,0))</f>
        <v>6940002232</v>
      </c>
      <c r="W567" s="6">
        <f>$E567+15</f>
        <v>139</v>
      </c>
      <c r="X567" s="7">
        <f>IF($J567=0,0,ROUND(MAX($J567*1.4*1.5*1.6*1.6*2.2*2.715*2.6,3540000000*(1.579646^(MIN($E567,123)-117)))*1,0))</f>
        <v>54999899335</v>
      </c>
      <c r="Y567" s="4">
        <f>$E567+17</f>
        <v>141</v>
      </c>
      <c r="Z567" s="8">
        <f>IF($J567=0,0,ROUND(MAX($J567*1.4*1.5*1.6*1.6*2.2*2.715*2.6*1.4,6020000000*(1.651178^(MIN($E567,123)-117)))*1,0))</f>
        <v>122000006103</v>
      </c>
      <c r="AA567" s="6">
        <f>$E567+19</f>
        <v>143</v>
      </c>
      <c r="AB567" s="7">
        <f>IF($J567=0,0,ROUND(MAX($J567*1.4*1.5*1.6*1.6*2.2*2.715*2.6*1.4*1.4,8430000000*(1.651435^(MIN($E567,123)-117)))*1,0))</f>
        <v>171000146547</v>
      </c>
      <c r="AC567" s="4">
        <f>$E567+21</f>
        <v>145</v>
      </c>
      <c r="AD567" s="8">
        <f>IF($J567=0,0,ROUND(MAX($J567*1.4*1.5*1.6*1.6*2.2*2.715*2.6*1.4*1.4*1.5,12600000000*(1.652953^(MIN($E567,123)-117)))*1,0))</f>
        <v>257000267475</v>
      </c>
      <c r="AE567" s="6">
        <f>$E567+24</f>
        <v>148</v>
      </c>
      <c r="AF567" s="7">
        <f>IF($J567=0,0,ROUND(MAX($J567*1.4*1.5*1.6*1.6*2.2*2.715*2.6*1.4*1.4*1.5*1.5,18900000000*(1.65331^(MIN($E567,123)-117)))*1,0))</f>
        <v>386000226581</v>
      </c>
      <c r="AG567" s="4">
        <f>$E567+27</f>
        <v>151</v>
      </c>
      <c r="AH567" s="8">
        <f>IF($J567=0,0,ROUND(MAX($J567*1.4*1.5*1.6*1.6*2.2*2.715*2.6*1.4*1.4*1.5*1.5*3.2,60500000000*(1.654288^(MIN($E567,123)-117)))*1,0))</f>
        <v>1240001159555</v>
      </c>
    </row>
    <row r="568" ht="27.75" customHeight="1" spans="1:34" x14ac:dyDescent="0.25">
      <c r="A568" s="3">
        <v>578</v>
      </c>
      <c r="B568" s="3" t="s">
        <v>156</v>
      </c>
      <c r="C568" s="3" t="s">
        <v>590</v>
      </c>
      <c r="D568" s="3" t="s">
        <v>45</v>
      </c>
      <c r="E568" s="3">
        <v>124</v>
      </c>
      <c r="F568" s="3" t="s">
        <v>34</v>
      </c>
      <c r="G568" s="3" t="s">
        <v>35</v>
      </c>
      <c r="H568" s="3">
        <v>32</v>
      </c>
      <c r="I568" s="4">
        <v>124</v>
      </c>
      <c r="J568" s="5">
        <v>19700000</v>
      </c>
      <c r="K568" s="6">
        <f>$E568+1</f>
        <v>125</v>
      </c>
      <c r="L568" s="7">
        <f>IF($J568=0,0,ROUND(MAX($J568*1.4,1620000*(1.497923^(MIN($E568,123)-117)))*1,0))</f>
        <v>27580000</v>
      </c>
      <c r="M568" s="4">
        <f>$E568+2</f>
        <v>126</v>
      </c>
      <c r="N568" s="8">
        <f>IF($J568=0,0,ROUND(MAX($J568*1.4*1.5,2190000*(1.580994^(MIN($E568,123)-117)))*1,0))</f>
        <v>41370000</v>
      </c>
      <c r="O568" s="6">
        <f>$E568+4</f>
        <v>128</v>
      </c>
      <c r="P568" s="7">
        <f>IF($J568=0,0,ROUND(MAX($J568*1.4*1.5*1.6,3500000*(1.57975^(MIN($E568,123)-117)))*1,0))</f>
        <v>66192000</v>
      </c>
      <c r="Q568" s="4">
        <f>$E568+6</f>
        <v>130</v>
      </c>
      <c r="R568" s="8">
        <f>IF($J568=0,0,ROUND(MAX($J568*1.4*1.5*1.6*1.6,13100000*(1.429962^(MIN($E568,123)-117)))*1,0))</f>
        <v>112000065</v>
      </c>
      <c r="S568" s="6">
        <f>$E568+8</f>
        <v>132</v>
      </c>
      <c r="T568" s="7">
        <f>IF($J568=0,0,ROUND(MAX($J568*1.4*1.5*1.6*1.6*2.2,42600000*(1.576904^(MIN($E568,123)-117)))*1,0))</f>
        <v>654999741</v>
      </c>
      <c r="U568" s="4">
        <f>$E568+11</f>
        <v>135</v>
      </c>
      <c r="V568" s="8">
        <f>IF($J568=0,0,ROUND(MAX($J568*1.4*1.5*1.6*1.6*2.2*2.715,354000000*(1.642074^(MIN($E568,123)-117)))*1,0))</f>
        <v>6940002232</v>
      </c>
      <c r="W568" s="6">
        <f>$E568+15</f>
        <v>139</v>
      </c>
      <c r="X568" s="7">
        <f>IF($J568=0,0,ROUND(MAX($J568*1.4*1.5*1.6*1.6*2.2*2.715*2.6,3540000000*(1.579646^(MIN($E568,123)-117)))*1,0))</f>
        <v>54999899335</v>
      </c>
      <c r="Y568" s="4">
        <f>$E568+17</f>
        <v>141</v>
      </c>
      <c r="Z568" s="8">
        <f>IF($J568=0,0,ROUND(MAX($J568*1.4*1.5*1.6*1.6*2.2*2.715*2.6*1.4,6020000000*(1.651178^(MIN($E568,123)-117)))*1,0))</f>
        <v>122000006103</v>
      </c>
      <c r="AA568" s="6">
        <f>$E568+19</f>
        <v>143</v>
      </c>
      <c r="AB568" s="7">
        <f>IF($J568=0,0,ROUND(MAX($J568*1.4*1.5*1.6*1.6*2.2*2.715*2.6*1.4*1.4,8430000000*(1.651435^(MIN($E568,123)-117)))*1,0))</f>
        <v>171000146547</v>
      </c>
      <c r="AC568" s="4">
        <f>$E568+21</f>
        <v>145</v>
      </c>
      <c r="AD568" s="8">
        <f>IF($J568=0,0,ROUND(MAX($J568*1.4*1.5*1.6*1.6*2.2*2.715*2.6*1.4*1.4*1.5,12600000000*(1.652953^(MIN($E568,123)-117)))*1,0))</f>
        <v>257000267475</v>
      </c>
      <c r="AE568" s="6">
        <f>$E568+24</f>
        <v>148</v>
      </c>
      <c r="AF568" s="7">
        <f>IF($J568=0,0,ROUND(MAX($J568*1.4*1.5*1.6*1.6*2.2*2.715*2.6*1.4*1.4*1.5*1.5,18900000000*(1.65331^(MIN($E568,123)-117)))*1,0))</f>
        <v>386000226581</v>
      </c>
      <c r="AG568" s="4">
        <f>$E568+27</f>
        <v>151</v>
      </c>
      <c r="AH568" s="8">
        <f>IF($J568=0,0,ROUND(MAX($J568*1.4*1.5*1.6*1.6*2.2*2.715*2.6*1.4*1.4*1.5*1.5*3.2,60500000000*(1.654288^(MIN($E568,123)-117)))*1,0))</f>
        <v>1240001159555</v>
      </c>
    </row>
    <row r="569" ht="27.75" customHeight="1" spans="1:34" x14ac:dyDescent="0.25">
      <c r="A569" s="3">
        <v>579</v>
      </c>
      <c r="B569" s="3" t="s">
        <v>148</v>
      </c>
      <c r="C569" s="3" t="s">
        <v>590</v>
      </c>
      <c r="D569" s="3" t="s">
        <v>102</v>
      </c>
      <c r="E569" s="3">
        <v>124</v>
      </c>
      <c r="F569" s="3" t="s">
        <v>54</v>
      </c>
      <c r="G569" s="3" t="s">
        <v>95</v>
      </c>
      <c r="H569" s="3">
        <v>33</v>
      </c>
      <c r="I569" s="4">
        <v>124</v>
      </c>
      <c r="J569" s="5">
        <v>29400000</v>
      </c>
      <c r="K569" s="6">
        <f>$E569+1</f>
        <v>125</v>
      </c>
      <c r="L569" s="7">
        <f>IF($J569=0,0,ROUND(MAX($J569*1.4,1620000*(1.497923^(MIN($E569,123)-117)))*1,0))</f>
        <v>41160000</v>
      </c>
      <c r="M569" s="4">
        <f>$E569+2</f>
        <v>126</v>
      </c>
      <c r="N569" s="8">
        <f>IF($J569=0,0,ROUND(MAX($J569*1.4*1.5,2190000*(1.580994^(MIN($E569,123)-117)))*1,0))</f>
        <v>61740000</v>
      </c>
      <c r="O569" s="6">
        <f>$E569+4</f>
        <v>128</v>
      </c>
      <c r="P569" s="7">
        <f>IF($J569=0,0,ROUND(MAX($J569*1.4*1.5*1.6,3500000*(1.57975^(MIN($E569,123)-117)))*1,0))</f>
        <v>98784000</v>
      </c>
      <c r="Q569" s="4">
        <f>$E569+6</f>
        <v>130</v>
      </c>
      <c r="R569" s="8">
        <f>IF($J569=0,0,ROUND(MAX($J569*1.4*1.5*1.6*1.6,13100000*(1.429962^(MIN($E569,123)-117)))*1,0))</f>
        <v>158054400</v>
      </c>
      <c r="S569" s="6">
        <f>$E569+8</f>
        <v>132</v>
      </c>
      <c r="T569" s="7">
        <f>IF($J569=0,0,ROUND(MAX($J569*1.4*1.5*1.6*1.6*2.2,42600000*(1.576904^(MIN($E569,123)-117)))*1,0))</f>
        <v>654999741</v>
      </c>
      <c r="U569" s="4">
        <f>$E569+11</f>
        <v>135</v>
      </c>
      <c r="V569" s="8">
        <f>IF($J569=0,0,ROUND(MAX($J569*1.4*1.5*1.6*1.6*2.2*2.715,354000000*(1.642074^(MIN($E569,123)-117)))*1,0))</f>
        <v>6940002232</v>
      </c>
      <c r="W569" s="6">
        <f>$E569+15</f>
        <v>139</v>
      </c>
      <c r="X569" s="7">
        <f>IF($J569=0,0,ROUND(MAX($J569*1.4*1.5*1.6*1.6*2.2*2.715*2.6,3540000000*(1.579646^(MIN($E569,123)-117)))*1,0))</f>
        <v>54999899335</v>
      </c>
      <c r="Y569" s="4">
        <f>$E569+17</f>
        <v>141</v>
      </c>
      <c r="Z569" s="8">
        <f>IF($J569=0,0,ROUND(MAX($J569*1.4*1.5*1.6*1.6*2.2*2.715*2.6*1.4,6020000000*(1.651178^(MIN($E569,123)-117)))*1,0))</f>
        <v>122000006103</v>
      </c>
      <c r="AA569" s="6">
        <f>$E569+19</f>
        <v>143</v>
      </c>
      <c r="AB569" s="7">
        <f>IF($J569=0,0,ROUND(MAX($J569*1.4*1.5*1.6*1.6*2.2*2.715*2.6*1.4*1.4,8430000000*(1.651435^(MIN($E569,123)-117)))*1,0))</f>
        <v>171000146547</v>
      </c>
      <c r="AC569" s="4">
        <f>$E569+21</f>
        <v>145</v>
      </c>
      <c r="AD569" s="8">
        <f>IF($J569=0,0,ROUND(MAX($J569*1.4*1.5*1.6*1.6*2.2*2.715*2.6*1.4*1.4*1.5,12600000000*(1.652953^(MIN($E569,123)-117)))*1,0))</f>
        <v>257000267475</v>
      </c>
      <c r="AE569" s="6">
        <f>$E569+24</f>
        <v>148</v>
      </c>
      <c r="AF569" s="7">
        <f>IF($J569=0,0,ROUND(MAX($J569*1.4*1.5*1.6*1.6*2.2*2.715*2.6*1.4*1.4*1.5*1.5,18900000000*(1.65331^(MIN($E569,123)-117)))*1,0))</f>
        <v>386000226581</v>
      </c>
      <c r="AG569" s="4">
        <f>$E569+27</f>
        <v>151</v>
      </c>
      <c r="AH569" s="8">
        <f>IF($J569=0,0,ROUND(MAX($J569*1.4*1.5*1.6*1.6*2.2*2.715*2.6*1.4*1.4*1.5*1.5*3.2,60500000000*(1.654288^(MIN($E569,123)-117)))*1,0))</f>
        <v>1240001159555</v>
      </c>
    </row>
    <row r="570" ht="27.75" customHeight="1" spans="1:34" x14ac:dyDescent="0.25">
      <c r="A570" s="3">
        <v>580</v>
      </c>
      <c r="B570" s="3" t="s">
        <v>207</v>
      </c>
      <c r="C570" s="3" t="s">
        <v>590</v>
      </c>
      <c r="D570" s="3" t="s">
        <v>165</v>
      </c>
      <c r="E570" s="3">
        <v>124</v>
      </c>
      <c r="F570" s="3" t="s">
        <v>54</v>
      </c>
      <c r="G570" s="3" t="s">
        <v>95</v>
      </c>
      <c r="H570" s="3">
        <v>33</v>
      </c>
      <c r="I570" s="4">
        <v>124</v>
      </c>
      <c r="J570" s="5">
        <v>19000000</v>
      </c>
      <c r="K570" s="6">
        <f>$E570+1</f>
        <v>125</v>
      </c>
      <c r="L570" s="7">
        <f>IF($J570=0,0,ROUND(MAX($J570*1.4,1620000*(1.497923^(MIN($E570,123)-117)))*1,0))</f>
        <v>26600000</v>
      </c>
      <c r="M570" s="4">
        <f>$E570+2</f>
        <v>126</v>
      </c>
      <c r="N570" s="8">
        <f>IF($J570=0,0,ROUND(MAX($J570*1.4*1.5,2190000*(1.580994^(MIN($E570,123)-117)))*1,0))</f>
        <v>39900000</v>
      </c>
      <c r="O570" s="6">
        <f>$E570+4</f>
        <v>128</v>
      </c>
      <c r="P570" s="7">
        <f>IF($J570=0,0,ROUND(MAX($J570*1.4*1.5*1.6,3500000*(1.57975^(MIN($E570,123)-117)))*1,0))</f>
        <v>63840000</v>
      </c>
      <c r="Q570" s="4">
        <f>$E570+6</f>
        <v>130</v>
      </c>
      <c r="R570" s="8">
        <f>IF($J570=0,0,ROUND(MAX($J570*1.4*1.5*1.6*1.6,13100000*(1.429962^(MIN($E570,123)-117)))*1,0))</f>
        <v>112000065</v>
      </c>
      <c r="S570" s="6">
        <f>$E570+8</f>
        <v>132</v>
      </c>
      <c r="T570" s="7">
        <f>IF($J570=0,0,ROUND(MAX($J570*1.4*1.5*1.6*1.6*2.2,42600000*(1.576904^(MIN($E570,123)-117)))*1,0))</f>
        <v>654999741</v>
      </c>
      <c r="U570" s="4">
        <f>$E570+11</f>
        <v>135</v>
      </c>
      <c r="V570" s="8">
        <f>IF($J570=0,0,ROUND(MAX($J570*1.4*1.5*1.6*1.6*2.2*2.715,354000000*(1.642074^(MIN($E570,123)-117)))*1,0))</f>
        <v>6940002232</v>
      </c>
      <c r="W570" s="6">
        <f>$E570+15</f>
        <v>139</v>
      </c>
      <c r="X570" s="7">
        <f>IF($J570=0,0,ROUND(MAX($J570*1.4*1.5*1.6*1.6*2.2*2.715*2.6,3540000000*(1.579646^(MIN($E570,123)-117)))*1,0))</f>
        <v>54999899335</v>
      </c>
      <c r="Y570" s="4">
        <f>$E570+17</f>
        <v>141</v>
      </c>
      <c r="Z570" s="8">
        <f>IF($J570=0,0,ROUND(MAX($J570*1.4*1.5*1.6*1.6*2.2*2.715*2.6*1.4,6020000000*(1.651178^(MIN($E570,123)-117)))*1,0))</f>
        <v>122000006103</v>
      </c>
      <c r="AA570" s="6">
        <f>$E570+19</f>
        <v>143</v>
      </c>
      <c r="AB570" s="7">
        <f>IF($J570=0,0,ROUND(MAX($J570*1.4*1.5*1.6*1.6*2.2*2.715*2.6*1.4*1.4,8430000000*(1.651435^(MIN($E570,123)-117)))*1,0))</f>
        <v>171000146547</v>
      </c>
      <c r="AC570" s="4">
        <f>$E570+21</f>
        <v>145</v>
      </c>
      <c r="AD570" s="8">
        <f>IF($J570=0,0,ROUND(MAX($J570*1.4*1.5*1.6*1.6*2.2*2.715*2.6*1.4*1.4*1.5,12600000000*(1.652953^(MIN($E570,123)-117)))*1,0))</f>
        <v>257000267475</v>
      </c>
      <c r="AE570" s="6">
        <f>$E570+24</f>
        <v>148</v>
      </c>
      <c r="AF570" s="7">
        <f>IF($J570=0,0,ROUND(MAX($J570*1.4*1.5*1.6*1.6*2.2*2.715*2.6*1.4*1.4*1.5*1.5,18900000000*(1.65331^(MIN($E570,123)-117)))*1,0))</f>
        <v>386000226581</v>
      </c>
      <c r="AG570" s="4">
        <f>$E570+27</f>
        <v>151</v>
      </c>
      <c r="AH570" s="8">
        <f>IF($J570=0,0,ROUND(MAX($J570*1.4*1.5*1.6*1.6*2.2*2.715*2.6*1.4*1.4*1.5*1.5*3.2,60500000000*(1.654288^(MIN($E570,123)-117)))*1,0))</f>
        <v>1240001159555</v>
      </c>
    </row>
    <row r="571" ht="27.75" customHeight="1" spans="1:34" x14ac:dyDescent="0.25">
      <c r="A571" s="3">
        <v>581</v>
      </c>
      <c r="B571" s="3" t="s">
        <v>195</v>
      </c>
      <c r="C571" s="3" t="s">
        <v>590</v>
      </c>
      <c r="D571" s="3" t="s">
        <v>40</v>
      </c>
      <c r="E571" s="3">
        <v>124</v>
      </c>
      <c r="F571" s="3" t="s">
        <v>42</v>
      </c>
      <c r="G571" s="3" t="s">
        <v>72</v>
      </c>
      <c r="H571" s="3">
        <v>33</v>
      </c>
      <c r="I571" s="4">
        <v>124</v>
      </c>
      <c r="J571" s="5">
        <v>15900000</v>
      </c>
      <c r="K571" s="6">
        <f>$E571+1</f>
        <v>125</v>
      </c>
      <c r="L571" s="7">
        <f>IF($J571=0,0,ROUND(MAX($J571*1.4,1620000*(1.497923^(MIN($E571,123)-117)))*1,0))</f>
        <v>22260000</v>
      </c>
      <c r="M571" s="4">
        <f>$E571+2</f>
        <v>126</v>
      </c>
      <c r="N571" s="8">
        <f>IF($J571=0,0,ROUND(MAX($J571*1.4*1.5,2190000*(1.580994^(MIN($E571,123)-117)))*1,0))</f>
        <v>34199948</v>
      </c>
      <c r="O571" s="6">
        <f>$E571+4</f>
        <v>128</v>
      </c>
      <c r="P571" s="7">
        <f>IF($J571=0,0,ROUND(MAX($J571*1.4*1.5*1.6,3500000*(1.57975^(MIN($E571,123)-117)))*1,0))</f>
        <v>54399916</v>
      </c>
      <c r="Q571" s="4">
        <f>$E571+6</f>
        <v>130</v>
      </c>
      <c r="R571" s="8">
        <f>IF($J571=0,0,ROUND(MAX($J571*1.4*1.5*1.6*1.6,13100000*(1.429962^(MIN($E571,123)-117)))*1,0))</f>
        <v>112000065</v>
      </c>
      <c r="S571" s="6">
        <f>$E571+8</f>
        <v>132</v>
      </c>
      <c r="T571" s="7">
        <f>IF($J571=0,0,ROUND(MAX($J571*1.4*1.5*1.6*1.6*2.2,42600000*(1.576904^(MIN($E571,123)-117)))*1,0))</f>
        <v>654999741</v>
      </c>
      <c r="U571" s="4">
        <f>$E571+11</f>
        <v>135</v>
      </c>
      <c r="V571" s="8">
        <f>IF($J571=0,0,ROUND(MAX($J571*1.4*1.5*1.6*1.6*2.2*2.715,354000000*(1.642074^(MIN($E571,123)-117)))*1,0))</f>
        <v>6940002232</v>
      </c>
      <c r="W571" s="6">
        <f>$E571+15</f>
        <v>139</v>
      </c>
      <c r="X571" s="7">
        <f>IF($J571=0,0,ROUND(MAX($J571*1.4*1.5*1.6*1.6*2.2*2.715*2.6,3540000000*(1.579646^(MIN($E571,123)-117)))*1,0))</f>
        <v>54999899335</v>
      </c>
      <c r="Y571" s="4">
        <f>$E571+17</f>
        <v>141</v>
      </c>
      <c r="Z571" s="8">
        <f>IF($J571=0,0,ROUND(MAX($J571*1.4*1.5*1.6*1.6*2.2*2.715*2.6*1.4,6020000000*(1.651178^(MIN($E571,123)-117)))*1,0))</f>
        <v>122000006103</v>
      </c>
      <c r="AA571" s="6">
        <f>$E571+19</f>
        <v>143</v>
      </c>
      <c r="AB571" s="7">
        <f>IF($J571=0,0,ROUND(MAX($J571*1.4*1.5*1.6*1.6*2.2*2.715*2.6*1.4*1.4,8430000000*(1.651435^(MIN($E571,123)-117)))*1,0))</f>
        <v>171000146547</v>
      </c>
      <c r="AC571" s="4">
        <f>$E571+21</f>
        <v>145</v>
      </c>
      <c r="AD571" s="8">
        <f>IF($J571=0,0,ROUND(MAX($J571*1.4*1.5*1.6*1.6*2.2*2.715*2.6*1.4*1.4*1.5,12600000000*(1.652953^(MIN($E571,123)-117)))*1,0))</f>
        <v>257000267475</v>
      </c>
      <c r="AE571" s="6">
        <f>$E571+24</f>
        <v>148</v>
      </c>
      <c r="AF571" s="7">
        <f>IF($J571=0,0,ROUND(MAX($J571*1.4*1.5*1.6*1.6*2.2*2.715*2.6*1.4*1.4*1.5*1.5,18900000000*(1.65331^(MIN($E571,123)-117)))*1,0))</f>
        <v>386000226581</v>
      </c>
      <c r="AG571" s="4">
        <f>$E571+27</f>
        <v>151</v>
      </c>
      <c r="AH571" s="8">
        <f>IF($J571=0,0,ROUND(MAX($J571*1.4*1.5*1.6*1.6*2.2*2.715*2.6*1.4*1.4*1.5*1.5*3.2,60500000000*(1.654288^(MIN($E571,123)-117)))*1,0))</f>
        <v>1240001159555</v>
      </c>
    </row>
    <row r="572" ht="27.75" customHeight="1" spans="1:34" x14ac:dyDescent="0.25">
      <c r="A572" s="3">
        <v>582</v>
      </c>
      <c r="B572" s="3" t="s">
        <v>84</v>
      </c>
      <c r="C572" s="3" t="s">
        <v>590</v>
      </c>
      <c r="D572" s="3" t="s">
        <v>45</v>
      </c>
      <c r="E572" s="3">
        <v>124</v>
      </c>
      <c r="F572" s="3" t="s">
        <v>62</v>
      </c>
      <c r="G572" s="3" t="s">
        <v>67</v>
      </c>
      <c r="H572" s="3">
        <v>33</v>
      </c>
      <c r="I572" s="4">
        <v>124</v>
      </c>
      <c r="J572" s="5">
        <v>20100000</v>
      </c>
      <c r="K572" s="6">
        <f>$E572+1</f>
        <v>125</v>
      </c>
      <c r="L572" s="7">
        <f>IF($J572=0,0,ROUND(MAX($J572*1.4,1620000*(1.497923^(MIN($E572,123)-117)))*1,0))</f>
        <v>28140000</v>
      </c>
      <c r="M572" s="4">
        <f>$E572+2</f>
        <v>126</v>
      </c>
      <c r="N572" s="8">
        <f>IF($J572=0,0,ROUND(MAX($J572*1.4*1.5,2190000*(1.580994^(MIN($E572,123)-117)))*1,0))</f>
        <v>42210000</v>
      </c>
      <c r="O572" s="6">
        <f>$E572+4</f>
        <v>128</v>
      </c>
      <c r="P572" s="7">
        <f>IF($J572=0,0,ROUND(MAX($J572*1.4*1.5*1.6,3500000*(1.57975^(MIN($E572,123)-117)))*1,0))</f>
        <v>67536000</v>
      </c>
      <c r="Q572" s="4">
        <f>$E572+6</f>
        <v>130</v>
      </c>
      <c r="R572" s="8">
        <f>IF($J572=0,0,ROUND(MAX($J572*1.4*1.5*1.6*1.6,13100000*(1.429962^(MIN($E572,123)-117)))*1,0))</f>
        <v>112000065</v>
      </c>
      <c r="S572" s="6">
        <f>$E572+8</f>
        <v>132</v>
      </c>
      <c r="T572" s="7">
        <f>IF($J572=0,0,ROUND(MAX($J572*1.4*1.5*1.6*1.6*2.2,42600000*(1.576904^(MIN($E572,123)-117)))*1,0))</f>
        <v>654999741</v>
      </c>
      <c r="U572" s="4">
        <f>$E572+11</f>
        <v>135</v>
      </c>
      <c r="V572" s="8">
        <f>IF($J572=0,0,ROUND(MAX($J572*1.4*1.5*1.6*1.6*2.2*2.715,354000000*(1.642074^(MIN($E572,123)-117)))*1,0))</f>
        <v>6940002232</v>
      </c>
      <c r="W572" s="6">
        <f>$E572+15</f>
        <v>139</v>
      </c>
      <c r="X572" s="7">
        <f>IF($J572=0,0,ROUND(MAX($J572*1.4*1.5*1.6*1.6*2.2*2.715*2.6,3540000000*(1.579646^(MIN($E572,123)-117)))*1,0))</f>
        <v>54999899335</v>
      </c>
      <c r="Y572" s="4">
        <f>$E572+17</f>
        <v>141</v>
      </c>
      <c r="Z572" s="8">
        <f>IF($J572=0,0,ROUND(MAX($J572*1.4*1.5*1.6*1.6*2.2*2.715*2.6*1.4,6020000000*(1.651178^(MIN($E572,123)-117)))*1,0))</f>
        <v>122000006103</v>
      </c>
      <c r="AA572" s="6">
        <f>$E572+19</f>
        <v>143</v>
      </c>
      <c r="AB572" s="7">
        <f>IF($J572=0,0,ROUND(MAX($J572*1.4*1.5*1.6*1.6*2.2*2.715*2.6*1.4*1.4,8430000000*(1.651435^(MIN($E572,123)-117)))*1,0))</f>
        <v>171000146547</v>
      </c>
      <c r="AC572" s="4">
        <f>$E572+21</f>
        <v>145</v>
      </c>
      <c r="AD572" s="8">
        <f>IF($J572=0,0,ROUND(MAX($J572*1.4*1.5*1.6*1.6*2.2*2.715*2.6*1.4*1.4*1.5,12600000000*(1.652953^(MIN($E572,123)-117)))*1,0))</f>
        <v>257000267475</v>
      </c>
      <c r="AE572" s="6">
        <f>$E572+24</f>
        <v>148</v>
      </c>
      <c r="AF572" s="7">
        <f>IF($J572=0,0,ROUND(MAX($J572*1.4*1.5*1.6*1.6*2.2*2.715*2.6*1.4*1.4*1.5*1.5,18900000000*(1.65331^(MIN($E572,123)-117)))*1,0))</f>
        <v>386000226581</v>
      </c>
      <c r="AG572" s="4">
        <f>$E572+27</f>
        <v>151</v>
      </c>
      <c r="AH572" s="8">
        <f>IF($J572=0,0,ROUND(MAX($J572*1.4*1.5*1.6*1.6*2.2*2.715*2.6*1.4*1.4*1.5*1.5*3.2,60500000000*(1.654288^(MIN($E572,123)-117)))*1,0))</f>
        <v>1240001159555</v>
      </c>
    </row>
    <row r="573" ht="27.75" customHeight="1" spans="1:34" x14ac:dyDescent="0.25">
      <c r="A573" s="3">
        <v>583</v>
      </c>
      <c r="B573" s="3" t="s">
        <v>80</v>
      </c>
      <c r="C573" s="3" t="s">
        <v>590</v>
      </c>
      <c r="D573" s="3" t="s">
        <v>45</v>
      </c>
      <c r="E573" s="3">
        <v>124</v>
      </c>
      <c r="F573" s="3" t="s">
        <v>71</v>
      </c>
      <c r="G573" s="3" t="s">
        <v>72</v>
      </c>
      <c r="H573" s="3">
        <v>33</v>
      </c>
      <c r="I573" s="4">
        <v>124</v>
      </c>
      <c r="J573" s="5">
        <v>19500000</v>
      </c>
      <c r="K573" s="6">
        <f>$E573+1</f>
        <v>125</v>
      </c>
      <c r="L573" s="7">
        <f>IF($J573=0,0,ROUND(MAX($J573*1.4,1620000*(1.497923^(MIN($E573,123)-117)))*1,0))</f>
        <v>27300000</v>
      </c>
      <c r="M573" s="4">
        <f>$E573+2</f>
        <v>126</v>
      </c>
      <c r="N573" s="8">
        <f>IF($J573=0,0,ROUND(MAX($J573*1.4*1.5,2190000*(1.580994^(MIN($E573,123)-117)))*1,0))</f>
        <v>40950000</v>
      </c>
      <c r="O573" s="6">
        <f>$E573+4</f>
        <v>128</v>
      </c>
      <c r="P573" s="7">
        <f>IF($J573=0,0,ROUND(MAX($J573*1.4*1.5*1.6,3500000*(1.57975^(MIN($E573,123)-117)))*1,0))</f>
        <v>65520000</v>
      </c>
      <c r="Q573" s="4">
        <f>$E573+6</f>
        <v>130</v>
      </c>
      <c r="R573" s="8">
        <f>IF($J573=0,0,ROUND(MAX($J573*1.4*1.5*1.6*1.6,13100000*(1.429962^(MIN($E573,123)-117)))*1,0))</f>
        <v>112000065</v>
      </c>
      <c r="S573" s="6">
        <f>$E573+8</f>
        <v>132</v>
      </c>
      <c r="T573" s="7">
        <f>IF($J573=0,0,ROUND(MAX($J573*1.4*1.5*1.6*1.6*2.2,42600000*(1.576904^(MIN($E573,123)-117)))*1,0))</f>
        <v>654999741</v>
      </c>
      <c r="U573" s="4">
        <f>$E573+11</f>
        <v>135</v>
      </c>
      <c r="V573" s="8">
        <f>IF($J573=0,0,ROUND(MAX($J573*1.4*1.5*1.6*1.6*2.2*2.715,354000000*(1.642074^(MIN($E573,123)-117)))*1,0))</f>
        <v>6940002232</v>
      </c>
      <c r="W573" s="6">
        <f>$E573+15</f>
        <v>139</v>
      </c>
      <c r="X573" s="7">
        <f>IF($J573=0,0,ROUND(MAX($J573*1.4*1.5*1.6*1.6*2.2*2.715*2.6,3540000000*(1.579646^(MIN($E573,123)-117)))*1,0))</f>
        <v>54999899335</v>
      </c>
      <c r="Y573" s="4">
        <f>$E573+17</f>
        <v>141</v>
      </c>
      <c r="Z573" s="8">
        <f>IF($J573=0,0,ROUND(MAX($J573*1.4*1.5*1.6*1.6*2.2*2.715*2.6*1.4,6020000000*(1.651178^(MIN($E573,123)-117)))*1,0))</f>
        <v>122000006103</v>
      </c>
      <c r="AA573" s="6">
        <f>$E573+19</f>
        <v>143</v>
      </c>
      <c r="AB573" s="7">
        <f>IF($J573=0,0,ROUND(MAX($J573*1.4*1.5*1.6*1.6*2.2*2.715*2.6*1.4*1.4,8430000000*(1.651435^(MIN($E573,123)-117)))*1,0))</f>
        <v>171000146547</v>
      </c>
      <c r="AC573" s="4">
        <f>$E573+21</f>
        <v>145</v>
      </c>
      <c r="AD573" s="8">
        <f>IF($J573=0,0,ROUND(MAX($J573*1.4*1.5*1.6*1.6*2.2*2.715*2.6*1.4*1.4*1.5,12600000000*(1.652953^(MIN($E573,123)-117)))*1,0))</f>
        <v>257000267475</v>
      </c>
      <c r="AE573" s="6">
        <f>$E573+24</f>
        <v>148</v>
      </c>
      <c r="AF573" s="7">
        <f>IF($J573=0,0,ROUND(MAX($J573*1.4*1.5*1.6*1.6*2.2*2.715*2.6*1.4*1.4*1.5*1.5,18900000000*(1.65331^(MIN($E573,123)-117)))*1,0))</f>
        <v>386000226581</v>
      </c>
      <c r="AG573" s="4">
        <f>$E573+27</f>
        <v>151</v>
      </c>
      <c r="AH573" s="8">
        <f>IF($J573=0,0,ROUND(MAX($J573*1.4*1.5*1.6*1.6*2.2*2.715*2.6*1.4*1.4*1.5*1.5*3.2,60500000000*(1.654288^(MIN($E573,123)-117)))*1,0))</f>
        <v>1240001159555</v>
      </c>
    </row>
    <row r="574" ht="27.75" customHeight="1" spans="1:34" x14ac:dyDescent="0.25">
      <c r="A574" s="3">
        <v>584</v>
      </c>
      <c r="B574" s="3" t="s">
        <v>490</v>
      </c>
      <c r="C574" s="3" t="s">
        <v>590</v>
      </c>
      <c r="D574" s="3" t="s">
        <v>40</v>
      </c>
      <c r="E574" s="3">
        <v>124</v>
      </c>
      <c r="F574" s="3" t="s">
        <v>42</v>
      </c>
      <c r="G574" s="3" t="s">
        <v>35</v>
      </c>
      <c r="H574" s="3">
        <v>33</v>
      </c>
      <c r="I574" s="4">
        <v>124</v>
      </c>
      <c r="J574" s="5">
        <v>18600000</v>
      </c>
      <c r="K574" s="6">
        <f>$E574+1</f>
        <v>125</v>
      </c>
      <c r="L574" s="7">
        <f>IF($J574=0,0,ROUND(MAX($J574*1.4,1620000*(1.497923^(MIN($E574,123)-117)))*1,0))</f>
        <v>26040000</v>
      </c>
      <c r="M574" s="4">
        <f>$E574+2</f>
        <v>126</v>
      </c>
      <c r="N574" s="8">
        <f>IF($J574=0,0,ROUND(MAX($J574*1.4*1.5,2190000*(1.580994^(MIN($E574,123)-117)))*1,0))</f>
        <v>39060000</v>
      </c>
      <c r="O574" s="6">
        <f>$E574+4</f>
        <v>128</v>
      </c>
      <c r="P574" s="7">
        <f>IF($J574=0,0,ROUND(MAX($J574*1.4*1.5*1.6,3500000*(1.57975^(MIN($E574,123)-117)))*1,0))</f>
        <v>62496000</v>
      </c>
      <c r="Q574" s="4">
        <f>$E574+6</f>
        <v>130</v>
      </c>
      <c r="R574" s="8">
        <f>IF($J574=0,0,ROUND(MAX($J574*1.4*1.5*1.6*1.6,13100000*(1.429962^(MIN($E574,123)-117)))*1,0))</f>
        <v>112000065</v>
      </c>
      <c r="S574" s="6">
        <f>$E574+8</f>
        <v>132</v>
      </c>
      <c r="T574" s="7">
        <f>IF($J574=0,0,ROUND(MAX($J574*1.4*1.5*1.6*1.6*2.2,42600000*(1.576904^(MIN($E574,123)-117)))*1,0))</f>
        <v>654999741</v>
      </c>
      <c r="U574" s="4">
        <f>$E574+11</f>
        <v>135</v>
      </c>
      <c r="V574" s="8">
        <f>IF($J574=0,0,ROUND(MAX($J574*1.4*1.5*1.6*1.6*2.2*2.715,354000000*(1.642074^(MIN($E574,123)-117)))*1,0))</f>
        <v>6940002232</v>
      </c>
      <c r="W574" s="6">
        <f>$E574+15</f>
        <v>139</v>
      </c>
      <c r="X574" s="7">
        <f>IF($J574=0,0,ROUND(MAX($J574*1.4*1.5*1.6*1.6*2.2*2.715*2.6,3540000000*(1.579646^(MIN($E574,123)-117)))*1,0))</f>
        <v>54999899335</v>
      </c>
      <c r="Y574" s="4">
        <f>$E574+17</f>
        <v>141</v>
      </c>
      <c r="Z574" s="8">
        <f>IF($J574=0,0,ROUND(MAX($J574*1.4*1.5*1.6*1.6*2.2*2.715*2.6*1.4,6020000000*(1.651178^(MIN($E574,123)-117)))*1,0))</f>
        <v>122000006103</v>
      </c>
      <c r="AA574" s="6">
        <f>$E574+19</f>
        <v>143</v>
      </c>
      <c r="AB574" s="7">
        <f>IF($J574=0,0,ROUND(MAX($J574*1.4*1.5*1.6*1.6*2.2*2.715*2.6*1.4*1.4,8430000000*(1.651435^(MIN($E574,123)-117)))*1,0))</f>
        <v>171000146547</v>
      </c>
      <c r="AC574" s="4">
        <f>$E574+21</f>
        <v>145</v>
      </c>
      <c r="AD574" s="8">
        <f>IF($J574=0,0,ROUND(MAX($J574*1.4*1.5*1.6*1.6*2.2*2.715*2.6*1.4*1.4*1.5,12600000000*(1.652953^(MIN($E574,123)-117)))*1,0))</f>
        <v>257000267475</v>
      </c>
      <c r="AE574" s="6">
        <f>$E574+24</f>
        <v>148</v>
      </c>
      <c r="AF574" s="7">
        <f>IF($J574=0,0,ROUND(MAX($J574*1.4*1.5*1.6*1.6*2.2*2.715*2.6*1.4*1.4*1.5*1.5,18900000000*(1.65331^(MIN($E574,123)-117)))*1,0))</f>
        <v>386000226581</v>
      </c>
      <c r="AG574" s="4">
        <f>$E574+27</f>
        <v>151</v>
      </c>
      <c r="AH574" s="8">
        <f>IF($J574=0,0,ROUND(MAX($J574*1.4*1.5*1.6*1.6*2.2*2.715*2.6*1.4*1.4*1.5*1.5*3.2,60500000000*(1.654288^(MIN($E574,123)-117)))*1,0))</f>
        <v>1240001159555</v>
      </c>
    </row>
    <row r="575" ht="27.75" customHeight="1" spans="1:34" x14ac:dyDescent="0.25">
      <c r="A575" s="3">
        <v>585</v>
      </c>
      <c r="B575" s="3" t="s">
        <v>109</v>
      </c>
      <c r="C575" s="3" t="s">
        <v>590</v>
      </c>
      <c r="D575" s="3" t="s">
        <v>25</v>
      </c>
      <c r="E575" s="3">
        <v>124</v>
      </c>
      <c r="F575" s="3" t="s">
        <v>30</v>
      </c>
      <c r="G575" s="3" t="s">
        <v>51</v>
      </c>
      <c r="H575" s="3">
        <v>33</v>
      </c>
      <c r="I575" s="4">
        <v>124</v>
      </c>
      <c r="J575" s="5">
        <v>149000000</v>
      </c>
      <c r="K575" s="6">
        <f>$E575+1</f>
        <v>125</v>
      </c>
      <c r="L575" s="7">
        <f>IF($J575=0,0,ROUND(MAX($J575*1.4,1620000*(1.497923^(MIN($E575,123)-117)))*1,0))</f>
        <v>208600000</v>
      </c>
      <c r="M575" s="4">
        <f>$E575+2</f>
        <v>126</v>
      </c>
      <c r="N575" s="8">
        <f>IF($J575=0,0,ROUND(MAX($J575*1.4*1.5,2190000*(1.580994^(MIN($E575,123)-117)))*1,0))</f>
        <v>312900000</v>
      </c>
      <c r="O575" s="6">
        <f>$E575+4</f>
        <v>128</v>
      </c>
      <c r="P575" s="7">
        <f>IF($J575=0,0,ROUND(MAX($J575*1.4*1.5*1.6,3500000*(1.57975^(MIN($E575,123)-117)))*1,0))</f>
        <v>500640000</v>
      </c>
      <c r="Q575" s="4">
        <f>$E575+6</f>
        <v>130</v>
      </c>
      <c r="R575" s="8">
        <f>IF($J575=0,0,ROUND(MAX($J575*1.4*1.5*1.6*1.6,13100000*(1.429962^(MIN($E575,123)-117)))*1,0))</f>
        <v>801024000</v>
      </c>
      <c r="S575" s="6">
        <f>$E575+8</f>
        <v>132</v>
      </c>
      <c r="T575" s="7">
        <f>IF($J575=0,0,ROUND(MAX($J575*1.4*1.5*1.6*1.6*2.2,42600000*(1.576904^(MIN($E575,123)-117)))*1,0))</f>
        <v>1762252800</v>
      </c>
      <c r="U575" s="4">
        <f>$E575+11</f>
        <v>135</v>
      </c>
      <c r="V575" s="8">
        <f>IF($J575=0,0,ROUND(MAX($J575*1.4*1.5*1.6*1.6*2.2*2.715,354000000*(1.642074^(MIN($E575,123)-117)))*1,0))</f>
        <v>6940002232</v>
      </c>
      <c r="W575" s="6">
        <f>$E575+15</f>
        <v>139</v>
      </c>
      <c r="X575" s="7">
        <f>IF($J575=0,0,ROUND(MAX($J575*1.4*1.5*1.6*1.6*2.2*2.715*2.6,3540000000*(1.579646^(MIN($E575,123)-117)))*1,0))</f>
        <v>54999899335</v>
      </c>
      <c r="Y575" s="4">
        <f>$E575+17</f>
        <v>141</v>
      </c>
      <c r="Z575" s="8">
        <f>IF($J575=0,0,ROUND(MAX($J575*1.4*1.5*1.6*1.6*2.2*2.715*2.6*1.4,6020000000*(1.651178^(MIN($E575,123)-117)))*1,0))</f>
        <v>122000006103</v>
      </c>
      <c r="AA575" s="6">
        <f>$E575+19</f>
        <v>143</v>
      </c>
      <c r="AB575" s="7">
        <f>IF($J575=0,0,ROUND(MAX($J575*1.4*1.5*1.6*1.6*2.2*2.715*2.6*1.4*1.4,8430000000*(1.651435^(MIN($E575,123)-117)))*1,0))</f>
        <v>171000146547</v>
      </c>
      <c r="AC575" s="4">
        <f>$E575+21</f>
        <v>145</v>
      </c>
      <c r="AD575" s="8">
        <f>IF($J575=0,0,ROUND(MAX($J575*1.4*1.5*1.6*1.6*2.2*2.715*2.6*1.4*1.4*1.5,12600000000*(1.652953^(MIN($E575,123)-117)))*1,0))</f>
        <v>257000267475</v>
      </c>
      <c r="AE575" s="6">
        <f>$E575+24</f>
        <v>148</v>
      </c>
      <c r="AF575" s="7">
        <f>IF($J575=0,0,ROUND(MAX($J575*1.4*1.5*1.6*1.6*2.2*2.715*2.6*1.4*1.4*1.5*1.5,18900000000*(1.65331^(MIN($E575,123)-117)))*1,0))</f>
        <v>386000226581</v>
      </c>
      <c r="AG575" s="4">
        <f>$E575+27</f>
        <v>151</v>
      </c>
      <c r="AH575" s="8">
        <f>IF($J575=0,0,ROUND(MAX($J575*1.4*1.5*1.6*1.6*2.2*2.715*2.6*1.4*1.4*1.5*1.5*3.2,60500000000*(1.654288^(MIN($E575,123)-117)))*1,0))</f>
        <v>1240001159555</v>
      </c>
    </row>
    <row r="576" ht="27.75" customHeight="1" spans="1:34" x14ac:dyDescent="0.25">
      <c r="A576" s="3">
        <v>586</v>
      </c>
      <c r="B576" s="3" t="s">
        <v>536</v>
      </c>
      <c r="C576" s="3" t="s">
        <v>590</v>
      </c>
      <c r="D576" s="3" t="s">
        <v>29</v>
      </c>
      <c r="E576" s="3">
        <v>124</v>
      </c>
      <c r="F576" s="3" t="s">
        <v>26</v>
      </c>
      <c r="G576" s="3" t="s">
        <v>67</v>
      </c>
      <c r="H576" s="3">
        <v>33</v>
      </c>
      <c r="I576" s="4">
        <v>124</v>
      </c>
      <c r="J576" s="5">
        <v>18800000</v>
      </c>
      <c r="K576" s="6">
        <f>$E576+1</f>
        <v>125</v>
      </c>
      <c r="L576" s="7">
        <f>IF($J576=0,0,ROUND(MAX($J576*1.4,1620000*(1.497923^(MIN($E576,123)-117)))*1,0))</f>
        <v>26320000</v>
      </c>
      <c r="M576" s="4">
        <f>$E576+2</f>
        <v>126</v>
      </c>
      <c r="N576" s="8">
        <f>IF($J576=0,0,ROUND(MAX($J576*1.4*1.5,2190000*(1.580994^(MIN($E576,123)-117)))*1,0))</f>
        <v>39480000</v>
      </c>
      <c r="O576" s="6">
        <f>$E576+4</f>
        <v>128</v>
      </c>
      <c r="P576" s="7">
        <f>IF($J576=0,0,ROUND(MAX($J576*1.4*1.5*1.6,3500000*(1.57975^(MIN($E576,123)-117)))*1,0))</f>
        <v>63168000</v>
      </c>
      <c r="Q576" s="4">
        <f>$E576+6</f>
        <v>130</v>
      </c>
      <c r="R576" s="8">
        <f>IF($J576=0,0,ROUND(MAX($J576*1.4*1.5*1.6*1.6,13100000*(1.429962^(MIN($E576,123)-117)))*1,0))</f>
        <v>112000065</v>
      </c>
      <c r="S576" s="6">
        <f>$E576+8</f>
        <v>132</v>
      </c>
      <c r="T576" s="7">
        <f>IF($J576=0,0,ROUND(MAX($J576*1.4*1.5*1.6*1.6*2.2,42600000*(1.576904^(MIN($E576,123)-117)))*1,0))</f>
        <v>654999741</v>
      </c>
      <c r="U576" s="4">
        <f>$E576+11</f>
        <v>135</v>
      </c>
      <c r="V576" s="8">
        <f>IF($J576=0,0,ROUND(MAX($J576*1.4*1.5*1.6*1.6*2.2*2.715,354000000*(1.642074^(MIN($E576,123)-117)))*1,0))</f>
        <v>6940002232</v>
      </c>
      <c r="W576" s="6">
        <f>$E576+15</f>
        <v>139</v>
      </c>
      <c r="X576" s="7">
        <f>IF($J576=0,0,ROUND(MAX($J576*1.4*1.5*1.6*1.6*2.2*2.715*2.6,3540000000*(1.579646^(MIN($E576,123)-117)))*1,0))</f>
        <v>54999899335</v>
      </c>
      <c r="Y576" s="4">
        <f>$E576+17</f>
        <v>141</v>
      </c>
      <c r="Z576" s="8">
        <f>IF($J576=0,0,ROUND(MAX($J576*1.4*1.5*1.6*1.6*2.2*2.715*2.6*1.4,6020000000*(1.651178^(MIN($E576,123)-117)))*1,0))</f>
        <v>122000006103</v>
      </c>
      <c r="AA576" s="6">
        <f>$E576+19</f>
        <v>143</v>
      </c>
      <c r="AB576" s="7">
        <f>IF($J576=0,0,ROUND(MAX($J576*1.4*1.5*1.6*1.6*2.2*2.715*2.6*1.4*1.4,8430000000*(1.651435^(MIN($E576,123)-117)))*1,0))</f>
        <v>171000146547</v>
      </c>
      <c r="AC576" s="4">
        <f>$E576+21</f>
        <v>145</v>
      </c>
      <c r="AD576" s="8">
        <f>IF($J576=0,0,ROUND(MAX($J576*1.4*1.5*1.6*1.6*2.2*2.715*2.6*1.4*1.4*1.5,12600000000*(1.652953^(MIN($E576,123)-117)))*1,0))</f>
        <v>257000267475</v>
      </c>
      <c r="AE576" s="6">
        <f>$E576+24</f>
        <v>148</v>
      </c>
      <c r="AF576" s="7">
        <f>IF($J576=0,0,ROUND(MAX($J576*1.4*1.5*1.6*1.6*2.2*2.715*2.6*1.4*1.4*1.5*1.5,18900000000*(1.65331^(MIN($E576,123)-117)))*1,0))</f>
        <v>386000226581</v>
      </c>
      <c r="AG576" s="4">
        <f>$E576+27</f>
        <v>151</v>
      </c>
      <c r="AH576" s="8">
        <f>IF($J576=0,0,ROUND(MAX($J576*1.4*1.5*1.6*1.6*2.2*2.715*2.6*1.4*1.4*1.5*1.5*3.2,60500000000*(1.654288^(MIN($E576,123)-117)))*1,0))</f>
        <v>1240001159555</v>
      </c>
    </row>
    <row r="577" ht="27.75" customHeight="1" spans="1:34" x14ac:dyDescent="0.25">
      <c r="A577" s="3">
        <v>587</v>
      </c>
      <c r="B577" s="3" t="s">
        <v>283</v>
      </c>
      <c r="C577" s="3" t="s">
        <v>590</v>
      </c>
      <c r="D577" s="3" t="s">
        <v>33</v>
      </c>
      <c r="E577" s="3">
        <v>124</v>
      </c>
      <c r="F577" s="3" t="s">
        <v>42</v>
      </c>
      <c r="G577" s="3" t="s">
        <v>133</v>
      </c>
      <c r="H577" s="3">
        <v>33</v>
      </c>
      <c r="I577" s="4">
        <v>124</v>
      </c>
      <c r="J577" s="5">
        <v>19000000</v>
      </c>
      <c r="K577" s="6">
        <f>$E577+1</f>
        <v>125</v>
      </c>
      <c r="L577" s="7">
        <f>IF($J577=0,0,ROUND(MAX($J577*1.4,1620000*(1.497923^(MIN($E577,123)-117)))*1,0))</f>
        <v>26600000</v>
      </c>
      <c r="M577" s="4">
        <f>$E577+2</f>
        <v>126</v>
      </c>
      <c r="N577" s="8">
        <f>IF($J577=0,0,ROUND(MAX($J577*1.4*1.5,2190000*(1.580994^(MIN($E577,123)-117)))*1,0))</f>
        <v>39900000</v>
      </c>
      <c r="O577" s="6">
        <f>$E577+4</f>
        <v>128</v>
      </c>
      <c r="P577" s="7">
        <f>IF($J577=0,0,ROUND(MAX($J577*1.4*1.5*1.6,3500000*(1.57975^(MIN($E577,123)-117)))*1,0))</f>
        <v>63840000</v>
      </c>
      <c r="Q577" s="4">
        <f>$E577+6</f>
        <v>130</v>
      </c>
      <c r="R577" s="8">
        <f>IF($J577=0,0,ROUND(MAX($J577*1.4*1.5*1.6*1.6,13100000*(1.429962^(MIN($E577,123)-117)))*1,0))</f>
        <v>112000065</v>
      </c>
      <c r="S577" s="6">
        <f>$E577+8</f>
        <v>132</v>
      </c>
      <c r="T577" s="7">
        <f>IF($J577=0,0,ROUND(MAX($J577*1.4*1.5*1.6*1.6*2.2,42600000*(1.576904^(MIN($E577,123)-117)))*1,0))</f>
        <v>654999741</v>
      </c>
      <c r="U577" s="4">
        <f>$E577+11</f>
        <v>135</v>
      </c>
      <c r="V577" s="8">
        <f>IF($J577=0,0,ROUND(MAX($J577*1.4*1.5*1.6*1.6*2.2*2.715,354000000*(1.642074^(MIN($E577,123)-117)))*1,0))</f>
        <v>6940002232</v>
      </c>
      <c r="W577" s="6">
        <f>$E577+15</f>
        <v>139</v>
      </c>
      <c r="X577" s="7">
        <f>IF($J577=0,0,ROUND(MAX($J577*1.4*1.5*1.6*1.6*2.2*2.715*2.6,3540000000*(1.579646^(MIN($E577,123)-117)))*1,0))</f>
        <v>54999899335</v>
      </c>
      <c r="Y577" s="4">
        <f>$E577+17</f>
        <v>141</v>
      </c>
      <c r="Z577" s="8">
        <f>IF($J577=0,0,ROUND(MAX($J577*1.4*1.5*1.6*1.6*2.2*2.715*2.6*1.4,6020000000*(1.651178^(MIN($E577,123)-117)))*1,0))</f>
        <v>122000006103</v>
      </c>
      <c r="AA577" s="6">
        <f>$E577+19</f>
        <v>143</v>
      </c>
      <c r="AB577" s="7">
        <f>IF($J577=0,0,ROUND(MAX($J577*1.4*1.5*1.6*1.6*2.2*2.715*2.6*1.4*1.4,8430000000*(1.651435^(MIN($E577,123)-117)))*1,0))</f>
        <v>171000146547</v>
      </c>
      <c r="AC577" s="4">
        <f>$E577+21</f>
        <v>145</v>
      </c>
      <c r="AD577" s="8">
        <f>IF($J577=0,0,ROUND(MAX($J577*1.4*1.5*1.6*1.6*2.2*2.715*2.6*1.4*1.4*1.5,12600000000*(1.652953^(MIN($E577,123)-117)))*1,0))</f>
        <v>257000267475</v>
      </c>
      <c r="AE577" s="6">
        <f>$E577+24</f>
        <v>148</v>
      </c>
      <c r="AF577" s="7">
        <f>IF($J577=0,0,ROUND(MAX($J577*1.4*1.5*1.6*1.6*2.2*2.715*2.6*1.4*1.4*1.5*1.5,18900000000*(1.65331^(MIN($E577,123)-117)))*1,0))</f>
        <v>386000226581</v>
      </c>
      <c r="AG577" s="4">
        <f>$E577+27</f>
        <v>151</v>
      </c>
      <c r="AH577" s="8">
        <f>IF($J577=0,0,ROUND(MAX($J577*1.4*1.5*1.6*1.6*2.2*2.715*2.6*1.4*1.4*1.5*1.5*3.2,60500000000*(1.654288^(MIN($E577,123)-117)))*1,0))</f>
        <v>1240001159555</v>
      </c>
    </row>
    <row r="578" ht="27.75" customHeight="1" spans="1:34" x14ac:dyDescent="0.25">
      <c r="A578" s="3">
        <v>588</v>
      </c>
      <c r="B578" s="3" t="s">
        <v>636</v>
      </c>
      <c r="C578" s="3" t="s">
        <v>590</v>
      </c>
      <c r="D578" s="3" t="s">
        <v>25</v>
      </c>
      <c r="E578" s="3">
        <v>124</v>
      </c>
      <c r="F578" s="3" t="s">
        <v>34</v>
      </c>
      <c r="G578" s="3" t="s">
        <v>133</v>
      </c>
      <c r="H578" s="3">
        <v>33</v>
      </c>
      <c r="I578" s="4">
        <v>124</v>
      </c>
      <c r="J578" s="5">
        <v>19800000</v>
      </c>
      <c r="K578" s="6">
        <f>$E578+1</f>
        <v>125</v>
      </c>
      <c r="L578" s="7">
        <f>IF($J578=0,0,ROUND(MAX($J578*1.4,1620000*(1.497923^(MIN($E578,123)-117)))*1,0))</f>
        <v>27720000</v>
      </c>
      <c r="M578" s="4">
        <f>$E578+2</f>
        <v>126</v>
      </c>
      <c r="N578" s="8">
        <f>IF($J578=0,0,ROUND(MAX($J578*1.4*1.5,2190000*(1.580994^(MIN($E578,123)-117)))*1,0))</f>
        <v>41580000</v>
      </c>
      <c r="O578" s="6">
        <f>$E578+4</f>
        <v>128</v>
      </c>
      <c r="P578" s="7">
        <f>IF($J578=0,0,ROUND(MAX($J578*1.4*1.5*1.6,3500000*(1.57975^(MIN($E578,123)-117)))*1,0))</f>
        <v>66528000</v>
      </c>
      <c r="Q578" s="4">
        <f>$E578+6</f>
        <v>130</v>
      </c>
      <c r="R578" s="8">
        <f>IF($J578=0,0,ROUND(MAX($J578*1.4*1.5*1.6*1.6,13100000*(1.429962^(MIN($E578,123)-117)))*1,0))</f>
        <v>112000065</v>
      </c>
      <c r="S578" s="6">
        <f>$E578+8</f>
        <v>132</v>
      </c>
      <c r="T578" s="7">
        <f>IF($J578=0,0,ROUND(MAX($J578*1.4*1.5*1.6*1.6*2.2,42600000*(1.576904^(MIN($E578,123)-117)))*1,0))</f>
        <v>654999741</v>
      </c>
      <c r="U578" s="4">
        <f>$E578+11</f>
        <v>135</v>
      </c>
      <c r="V578" s="8">
        <f>IF($J578=0,0,ROUND(MAX($J578*1.4*1.5*1.6*1.6*2.2*2.715,354000000*(1.642074^(MIN($E578,123)-117)))*1,0))</f>
        <v>6940002232</v>
      </c>
      <c r="W578" s="6">
        <f>$E578+15</f>
        <v>139</v>
      </c>
      <c r="X578" s="7">
        <f>IF($J578=0,0,ROUND(MAX($J578*1.4*1.5*1.6*1.6*2.2*2.715*2.6,3540000000*(1.579646^(MIN($E578,123)-117)))*1,0))</f>
        <v>54999899335</v>
      </c>
      <c r="Y578" s="4">
        <f>$E578+17</f>
        <v>141</v>
      </c>
      <c r="Z578" s="8">
        <f>IF($J578=0,0,ROUND(MAX($J578*1.4*1.5*1.6*1.6*2.2*2.715*2.6*1.4,6020000000*(1.651178^(MIN($E578,123)-117)))*1,0))</f>
        <v>122000006103</v>
      </c>
      <c r="AA578" s="6">
        <f>$E578+19</f>
        <v>143</v>
      </c>
      <c r="AB578" s="7">
        <f>IF($J578=0,0,ROUND(MAX($J578*1.4*1.5*1.6*1.6*2.2*2.715*2.6*1.4*1.4,8430000000*(1.651435^(MIN($E578,123)-117)))*1,0))</f>
        <v>171000146547</v>
      </c>
      <c r="AC578" s="4">
        <f>$E578+21</f>
        <v>145</v>
      </c>
      <c r="AD578" s="8">
        <f>IF($J578=0,0,ROUND(MAX($J578*1.4*1.5*1.6*1.6*2.2*2.715*2.6*1.4*1.4*1.5,12600000000*(1.652953^(MIN($E578,123)-117)))*1,0))</f>
        <v>257000267475</v>
      </c>
      <c r="AE578" s="6">
        <f>$E578+24</f>
        <v>148</v>
      </c>
      <c r="AF578" s="7">
        <f>IF($J578=0,0,ROUND(MAX($J578*1.4*1.5*1.6*1.6*2.2*2.715*2.6*1.4*1.4*1.5*1.5,18900000000*(1.65331^(MIN($E578,123)-117)))*1,0))</f>
        <v>386000226581</v>
      </c>
      <c r="AG578" s="4">
        <f>$E578+27</f>
        <v>151</v>
      </c>
      <c r="AH578" s="8">
        <f>IF($J578=0,0,ROUND(MAX($J578*1.4*1.5*1.6*1.6*2.2*2.715*2.6*1.4*1.4*1.5*1.5*3.2,60500000000*(1.654288^(MIN($E578,123)-117)))*1,0))</f>
        <v>1240001159555</v>
      </c>
    </row>
    <row r="579" ht="27.75" customHeight="1" spans="1:34" x14ac:dyDescent="0.25">
      <c r="A579" s="3">
        <v>589</v>
      </c>
      <c r="B579" s="3" t="s">
        <v>251</v>
      </c>
      <c r="C579" s="3" t="s">
        <v>590</v>
      </c>
      <c r="D579" s="3" t="s">
        <v>40</v>
      </c>
      <c r="E579" s="3">
        <v>124</v>
      </c>
      <c r="F579" s="3" t="s">
        <v>59</v>
      </c>
      <c r="G579" s="3" t="s">
        <v>252</v>
      </c>
      <c r="H579" s="3">
        <v>34</v>
      </c>
      <c r="I579" s="4">
        <v>124</v>
      </c>
      <c r="J579" s="5">
        <v>920000000</v>
      </c>
      <c r="K579" s="6">
        <f>$E579+1</f>
        <v>125</v>
      </c>
      <c r="L579" s="7">
        <f>IF($J579=0,0,ROUND(MAX($J579*1.4,1620000*(1.497923^(MIN($E579,123)-117)))*1,0))</f>
        <v>1288000000</v>
      </c>
      <c r="M579" s="4">
        <f>$E579+2</f>
        <v>126</v>
      </c>
      <c r="N579" s="8">
        <f>IF($J579=0,0,ROUND(MAX($J579*1.4*1.5,2190000*(1.580994^(MIN($E579,123)-117)))*1,0))</f>
        <v>1932000000</v>
      </c>
      <c r="O579" s="6">
        <f>$E579+4</f>
        <v>128</v>
      </c>
      <c r="P579" s="7">
        <f>IF($J579=0,0,ROUND(MAX($J579*1.4*1.5*1.6,3500000*(1.57975^(MIN($E579,123)-117)))*1,0))</f>
        <v>3091200000</v>
      </c>
      <c r="Q579" s="4">
        <f>$E579+6</f>
        <v>130</v>
      </c>
      <c r="R579" s="8">
        <f>IF($J579=0,0,ROUND(MAX($J579*1.4*1.5*1.6*1.6,13100000*(1.429962^(MIN($E579,123)-117)))*1,0))</f>
        <v>4945920000</v>
      </c>
      <c r="S579" s="6">
        <f>$E579+8</f>
        <v>132</v>
      </c>
      <c r="T579" s="7">
        <f>IF($J579=0,0,ROUND(MAX($J579*1.4*1.5*1.6*1.6*2.2,42600000*(1.576904^(MIN($E579,123)-117)))*1,0))</f>
        <v>10881024000</v>
      </c>
      <c r="U579" s="4">
        <f>$E579+11</f>
        <v>135</v>
      </c>
      <c r="V579" s="8">
        <f>IF($J579=0,0,ROUND(MAX($J579*1.4*1.5*1.6*1.6*2.2*2.715,354000000*(1.642074^(MIN($E579,123)-117)))*1,0))</f>
        <v>29541980160</v>
      </c>
      <c r="W579" s="6">
        <f>$E579+15</f>
        <v>139</v>
      </c>
      <c r="X579" s="7">
        <f>IF($J579=0,0,ROUND(MAX($J579*1.4*1.5*1.6*1.6*2.2*2.715*2.6,3540000000*(1.579646^(MIN($E579,123)-117)))*1,0))</f>
        <v>76809148416</v>
      </c>
      <c r="Y579" s="4">
        <f>$E579+17</f>
        <v>141</v>
      </c>
      <c r="Z579" s="8">
        <f>IF($J579=0,0,ROUND(MAX($J579*1.4*1.5*1.6*1.6*2.2*2.715*2.6*1.4,6020000000*(1.651178^(MIN($E579,123)-117)))*1,0))</f>
        <v>122000006103</v>
      </c>
      <c r="AA579" s="6">
        <f>$E579+19</f>
        <v>143</v>
      </c>
      <c r="AB579" s="7">
        <f>IF($J579=0,0,ROUND(MAX($J579*1.4*1.5*1.6*1.6*2.2*2.715*2.6*1.4*1.4,8430000000*(1.651435^(MIN($E579,123)-117)))*1,0))</f>
        <v>171000146547</v>
      </c>
      <c r="AC579" s="4">
        <f>$E579+21</f>
        <v>145</v>
      </c>
      <c r="AD579" s="8">
        <f>IF($J579=0,0,ROUND(MAX($J579*1.4*1.5*1.6*1.6*2.2*2.715*2.6*1.4*1.4*1.5,12600000000*(1.652953^(MIN($E579,123)-117)))*1,0))</f>
        <v>257000267475</v>
      </c>
      <c r="AE579" s="6">
        <f>$E579+24</f>
        <v>148</v>
      </c>
      <c r="AF579" s="7">
        <f>IF($J579=0,0,ROUND(MAX($J579*1.4*1.5*1.6*1.6*2.2*2.715*2.6*1.4*1.4*1.5*1.5,18900000000*(1.65331^(MIN($E579,123)-117)))*1,0))</f>
        <v>386000226581</v>
      </c>
      <c r="AG579" s="4">
        <f>$E579+27</f>
        <v>151</v>
      </c>
      <c r="AH579" s="8">
        <f>IF($J579=0,0,ROUND(MAX($J579*1.4*1.5*1.6*1.6*2.2*2.715*2.6*1.4*1.4*1.5*1.5*3.2,60500000000*(1.654288^(MIN($E579,123)-117)))*1,0))</f>
        <v>1240001159555</v>
      </c>
    </row>
    <row r="580" ht="27.75" customHeight="1" spans="1:34" x14ac:dyDescent="0.25">
      <c r="A580" s="3">
        <v>590</v>
      </c>
      <c r="B580" s="3" t="s">
        <v>119</v>
      </c>
      <c r="C580" s="3" t="s">
        <v>590</v>
      </c>
      <c r="D580" s="3" t="s">
        <v>40</v>
      </c>
      <c r="E580" s="3">
        <v>124</v>
      </c>
      <c r="F580" s="3" t="s">
        <v>120</v>
      </c>
      <c r="G580" s="3" t="s">
        <v>51</v>
      </c>
      <c r="H580" s="3">
        <v>34</v>
      </c>
      <c r="I580" s="4">
        <v>124</v>
      </c>
      <c r="J580" s="5">
        <v>33800000</v>
      </c>
      <c r="K580" s="6">
        <f>$E580+1</f>
        <v>125</v>
      </c>
      <c r="L580" s="7">
        <f>IF($J580=0,0,ROUND(MAX($J580*1.4,1620000*(1.497923^(MIN($E580,123)-117)))*1,0))</f>
        <v>47320000</v>
      </c>
      <c r="M580" s="4">
        <f>$E580+2</f>
        <v>126</v>
      </c>
      <c r="N580" s="8">
        <f>IF($J580=0,0,ROUND(MAX($J580*1.4*1.5,2190000*(1.580994^(MIN($E580,123)-117)))*1,0))</f>
        <v>70980000</v>
      </c>
      <c r="O580" s="6">
        <f>$E580+4</f>
        <v>128</v>
      </c>
      <c r="P580" s="7">
        <f>IF($J580=0,0,ROUND(MAX($J580*1.4*1.5*1.6,3500000*(1.57975^(MIN($E580,123)-117)))*1,0))</f>
        <v>113568000</v>
      </c>
      <c r="Q580" s="4">
        <f>$E580+6</f>
        <v>130</v>
      </c>
      <c r="R580" s="8">
        <f>IF($J580=0,0,ROUND(MAX($J580*1.4*1.5*1.6*1.6,13100000*(1.429962^(MIN($E580,123)-117)))*1,0))</f>
        <v>181708800</v>
      </c>
      <c r="S580" s="6">
        <f>$E580+8</f>
        <v>132</v>
      </c>
      <c r="T580" s="7">
        <f>IF($J580=0,0,ROUND(MAX($J580*1.4*1.5*1.6*1.6*2.2,42600000*(1.576904^(MIN($E580,123)-117)))*1,0))</f>
        <v>654999741</v>
      </c>
      <c r="U580" s="4">
        <f>$E580+11</f>
        <v>135</v>
      </c>
      <c r="V580" s="8">
        <f>IF($J580=0,0,ROUND(MAX($J580*1.4*1.5*1.6*1.6*2.2*2.715,354000000*(1.642074^(MIN($E580,123)-117)))*1,0))</f>
        <v>6940002232</v>
      </c>
      <c r="W580" s="6">
        <f>$E580+15</f>
        <v>139</v>
      </c>
      <c r="X580" s="7">
        <f>IF($J580=0,0,ROUND(MAX($J580*1.4*1.5*1.6*1.6*2.2*2.715*2.6,3540000000*(1.579646^(MIN($E580,123)-117)))*1,0))</f>
        <v>54999899335</v>
      </c>
      <c r="Y580" s="4">
        <f>$E580+17</f>
        <v>141</v>
      </c>
      <c r="Z580" s="8">
        <f>IF($J580=0,0,ROUND(MAX($J580*1.4*1.5*1.6*1.6*2.2*2.715*2.6*1.4,6020000000*(1.651178^(MIN($E580,123)-117)))*1,0))</f>
        <v>122000006103</v>
      </c>
      <c r="AA580" s="6">
        <f>$E580+19</f>
        <v>143</v>
      </c>
      <c r="AB580" s="7">
        <f>IF($J580=0,0,ROUND(MAX($J580*1.4*1.5*1.6*1.6*2.2*2.715*2.6*1.4*1.4,8430000000*(1.651435^(MIN($E580,123)-117)))*1,0))</f>
        <v>171000146547</v>
      </c>
      <c r="AC580" s="4">
        <f>$E580+21</f>
        <v>145</v>
      </c>
      <c r="AD580" s="8">
        <f>IF($J580=0,0,ROUND(MAX($J580*1.4*1.5*1.6*1.6*2.2*2.715*2.6*1.4*1.4*1.5,12600000000*(1.652953^(MIN($E580,123)-117)))*1,0))</f>
        <v>257000267475</v>
      </c>
      <c r="AE580" s="6">
        <f>$E580+24</f>
        <v>148</v>
      </c>
      <c r="AF580" s="7">
        <f>IF($J580=0,0,ROUND(MAX($J580*1.4*1.5*1.6*1.6*2.2*2.715*2.6*1.4*1.4*1.5*1.5,18900000000*(1.65331^(MIN($E580,123)-117)))*1,0))</f>
        <v>386000226581</v>
      </c>
      <c r="AG580" s="4">
        <f>$E580+27</f>
        <v>151</v>
      </c>
      <c r="AH580" s="8">
        <f>IF($J580=0,0,ROUND(MAX($J580*1.4*1.5*1.6*1.6*2.2*2.715*2.6*1.4*1.4*1.5*1.5*3.2,60500000000*(1.654288^(MIN($E580,123)-117)))*1,0))</f>
        <v>1240001159555</v>
      </c>
    </row>
    <row r="581" ht="27.75" customHeight="1" spans="1:34" x14ac:dyDescent="0.25">
      <c r="A581" s="3">
        <v>591</v>
      </c>
      <c r="B581" s="3" t="s">
        <v>637</v>
      </c>
      <c r="C581" s="3" t="s">
        <v>590</v>
      </c>
      <c r="D581" s="3" t="s">
        <v>40</v>
      </c>
      <c r="E581" s="3">
        <v>125</v>
      </c>
      <c r="F581" s="3" t="s">
        <v>26</v>
      </c>
      <c r="G581" s="3" t="s">
        <v>185</v>
      </c>
      <c r="H581" s="3">
        <v>33</v>
      </c>
      <c r="I581" s="4">
        <v>125</v>
      </c>
      <c r="J581" s="5">
        <v>241000000</v>
      </c>
      <c r="K581" s="6">
        <f>$E581+1</f>
        <v>126</v>
      </c>
      <c r="L581" s="7">
        <f>IF($J581=0,0,ROUND(MAX($J581*1.4,1620000*(1.497923^(MIN($E581,123)-117)))*1,0))</f>
        <v>337400000</v>
      </c>
      <c r="M581" s="4">
        <f>$E581+2</f>
        <v>127</v>
      </c>
      <c r="N581" s="8">
        <f>IF($J581=0,0,ROUND(MAX($J581*1.4*1.5,2190000*(1.580994^(MIN($E581,123)-117)))*1,0))</f>
        <v>506100000</v>
      </c>
      <c r="O581" s="6">
        <f>$E581+4</f>
        <v>129</v>
      </c>
      <c r="P581" s="7">
        <f>IF($J581=0,0,ROUND(MAX($J581*1.4*1.5*1.6,3500000*(1.57975^(MIN($E581,123)-117)))*1,0))</f>
        <v>809760000</v>
      </c>
      <c r="Q581" s="4">
        <f>$E581+6</f>
        <v>131</v>
      </c>
      <c r="R581" s="8">
        <f>IF($J581=0,0,ROUND(MAX($J581*1.4*1.5*1.6*1.6,13100000*(1.429962^(MIN($E581,123)-117)))*1,0))</f>
        <v>1295616000</v>
      </c>
      <c r="S581" s="6">
        <f>$E581+8</f>
        <v>133</v>
      </c>
      <c r="T581" s="7">
        <f>IF($J581=0,0,ROUND(MAX($J581*1.4*1.5*1.6*1.6*2.2,42600000*(1.576904^(MIN($E581,123)-117)))*1,0))</f>
        <v>2850355200</v>
      </c>
      <c r="U581" s="4">
        <f>$E581+11</f>
        <v>136</v>
      </c>
      <c r="V581" s="8">
        <f>IF($J581=0,0,ROUND(MAX($J581*1.4*1.5*1.6*1.6*2.2*2.715,354000000*(1.642074^(MIN($E581,123)-117)))*1,0))</f>
        <v>7738714368</v>
      </c>
      <c r="W581" s="6">
        <f>$E581+15</f>
        <v>140</v>
      </c>
      <c r="X581" s="7">
        <f>IF($J581=0,0,ROUND(MAX($J581*1.4*1.5*1.6*1.6*2.2*2.715*2.6,3540000000*(1.579646^(MIN($E581,123)-117)))*1,0))</f>
        <v>54999899335</v>
      </c>
      <c r="Y581" s="4">
        <f>$E581+17</f>
        <v>142</v>
      </c>
      <c r="Z581" s="8">
        <f>IF($J581=0,0,ROUND(MAX($J581*1.4*1.5*1.6*1.6*2.2*2.715*2.6*1.4,6020000000*(1.651178^(MIN($E581,123)-117)))*1,0))</f>
        <v>122000006103</v>
      </c>
      <c r="AA581" s="6">
        <f>$E581+19</f>
        <v>144</v>
      </c>
      <c r="AB581" s="7">
        <f>IF($J581=0,0,ROUND(MAX($J581*1.4*1.5*1.6*1.6*2.2*2.715*2.6*1.4*1.4,8430000000*(1.651435^(MIN($E581,123)-117)))*1,0))</f>
        <v>171000146547</v>
      </c>
      <c r="AC581" s="4">
        <f>$E581+21</f>
        <v>146</v>
      </c>
      <c r="AD581" s="8">
        <f>IF($J581=0,0,ROUND(MAX($J581*1.4*1.5*1.6*1.6*2.2*2.715*2.6*1.4*1.4*1.5,12600000000*(1.652953^(MIN($E581,123)-117)))*1,0))</f>
        <v>257000267475</v>
      </c>
      <c r="AE581" s="6">
        <f>$E581+24</f>
        <v>149</v>
      </c>
      <c r="AF581" s="7">
        <f>IF($J581=0,0,ROUND(MAX($J581*1.4*1.5*1.6*1.6*2.2*2.715*2.6*1.4*1.4*1.5*1.5,18900000000*(1.65331^(MIN($E581,123)-117)))*1,0))</f>
        <v>386000226581</v>
      </c>
      <c r="AG581" s="4">
        <f>$E581+27</f>
        <v>152</v>
      </c>
      <c r="AH581" s="8">
        <f>IF($J581=0,0,ROUND(MAX($J581*1.4*1.5*1.6*1.6*2.2*2.715*2.6*1.4*1.4*1.5*1.5*3.2,60500000000*(1.654288^(MIN($E581,123)-117)))*1,0))</f>
        <v>1240001159555</v>
      </c>
    </row>
    <row r="582" ht="27.75" customHeight="1" spans="1:34" x14ac:dyDescent="0.25">
      <c r="A582" s="3">
        <v>592</v>
      </c>
      <c r="B582" s="3" t="s">
        <v>117</v>
      </c>
      <c r="C582" s="3" t="s">
        <v>590</v>
      </c>
      <c r="D582" s="3" t="s">
        <v>40</v>
      </c>
      <c r="E582" s="3">
        <v>125</v>
      </c>
      <c r="F582" s="3" t="s">
        <v>54</v>
      </c>
      <c r="G582" s="3" t="s">
        <v>95</v>
      </c>
      <c r="H582" s="3">
        <v>34</v>
      </c>
      <c r="I582" s="4">
        <v>125</v>
      </c>
      <c r="J582" s="5">
        <v>670000000</v>
      </c>
      <c r="K582" s="6">
        <f>$E582+1</f>
        <v>126</v>
      </c>
      <c r="L582" s="7">
        <f>IF($J582=0,0,ROUND(MAX($J582*1.4,1620000*(1.497923^(MIN($E582,123)-117)))*1,0))</f>
        <v>938000000</v>
      </c>
      <c r="M582" s="4">
        <f>$E582+2</f>
        <v>127</v>
      </c>
      <c r="N582" s="8">
        <f>IF($J582=0,0,ROUND(MAX($J582*1.4*1.5,2190000*(1.580994^(MIN($E582,123)-117)))*1,0))</f>
        <v>1407000000</v>
      </c>
      <c r="O582" s="6">
        <f>$E582+4</f>
        <v>129</v>
      </c>
      <c r="P582" s="7">
        <f>IF($J582=0,0,ROUND(MAX($J582*1.4*1.5*1.6,3500000*(1.57975^(MIN($E582,123)-117)))*1,0))</f>
        <v>2251200000</v>
      </c>
      <c r="Q582" s="4">
        <f>$E582+6</f>
        <v>131</v>
      </c>
      <c r="R582" s="8">
        <f>IF($J582=0,0,ROUND(MAX($J582*1.4*1.5*1.6*1.6,13100000*(1.429962^(MIN($E582,123)-117)))*1,0))</f>
        <v>3601920000</v>
      </c>
      <c r="S582" s="6">
        <f>$E582+8</f>
        <v>133</v>
      </c>
      <c r="T582" s="7">
        <f>IF($J582=0,0,ROUND(MAX($J582*1.4*1.5*1.6*1.6*2.2,42600000*(1.576904^(MIN($E582,123)-117)))*1,0))</f>
        <v>7924224000</v>
      </c>
      <c r="U582" s="4">
        <f>$E582+11</f>
        <v>136</v>
      </c>
      <c r="V582" s="8">
        <f>IF($J582=0,0,ROUND(MAX($J582*1.4*1.5*1.6*1.6*2.2*2.715,354000000*(1.642074^(MIN($E582,123)-117)))*1,0))</f>
        <v>21514268160</v>
      </c>
      <c r="W582" s="6">
        <f>$E582+15</f>
        <v>140</v>
      </c>
      <c r="X582" s="7">
        <f>IF($J582=0,0,ROUND(MAX($J582*1.4*1.5*1.6*1.6*2.2*2.715*2.6,3540000000*(1.579646^(MIN($E582,123)-117)))*1,0))</f>
        <v>55937097216</v>
      </c>
      <c r="Y582" s="4">
        <f>$E582+17</f>
        <v>142</v>
      </c>
      <c r="Z582" s="8">
        <f>IF($J582=0,0,ROUND(MAX($J582*1.4*1.5*1.6*1.6*2.2*2.715*2.6*1.4,6020000000*(1.651178^(MIN($E582,123)-117)))*1,0))</f>
        <v>122000006103</v>
      </c>
      <c r="AA582" s="6">
        <f>$E582+19</f>
        <v>144</v>
      </c>
      <c r="AB582" s="7">
        <f>IF($J582=0,0,ROUND(MAX($J582*1.4*1.5*1.6*1.6*2.2*2.715*2.6*1.4*1.4,8430000000*(1.651435^(MIN($E582,123)-117)))*1,0))</f>
        <v>171000146547</v>
      </c>
      <c r="AC582" s="4">
        <f>$E582+21</f>
        <v>146</v>
      </c>
      <c r="AD582" s="8">
        <f>IF($J582=0,0,ROUND(MAX($J582*1.4*1.5*1.6*1.6*2.2*2.715*2.6*1.4*1.4*1.5,12600000000*(1.652953^(MIN($E582,123)-117)))*1,0))</f>
        <v>257000267475</v>
      </c>
      <c r="AE582" s="6">
        <f>$E582+24</f>
        <v>149</v>
      </c>
      <c r="AF582" s="7">
        <f>IF($J582=0,0,ROUND(MAX($J582*1.4*1.5*1.6*1.6*2.2*2.715*2.6*1.4*1.4*1.5*1.5,18900000000*(1.65331^(MIN($E582,123)-117)))*1,0))</f>
        <v>386000226581</v>
      </c>
      <c r="AG582" s="4">
        <f>$E582+27</f>
        <v>152</v>
      </c>
      <c r="AH582" s="8">
        <f>IF($J582=0,0,ROUND(MAX($J582*1.4*1.5*1.6*1.6*2.2*2.715*2.6*1.4*1.4*1.5*1.5*3.2,60500000000*(1.654288^(MIN($E582,123)-117)))*1,0))</f>
        <v>1240001159555</v>
      </c>
    </row>
    <row r="583" ht="27.75" customHeight="1" spans="1:34" x14ac:dyDescent="0.25">
      <c r="A583" s="3">
        <v>593</v>
      </c>
      <c r="B583" s="3" t="s">
        <v>110</v>
      </c>
      <c r="C583" s="3" t="s">
        <v>590</v>
      </c>
      <c r="D583" s="3" t="s">
        <v>64</v>
      </c>
      <c r="E583" s="3">
        <v>125</v>
      </c>
      <c r="F583" s="3" t="s">
        <v>59</v>
      </c>
      <c r="G583" s="3" t="s">
        <v>72</v>
      </c>
      <c r="H583" s="3">
        <v>34</v>
      </c>
      <c r="I583" s="4">
        <v>125</v>
      </c>
      <c r="J583" s="5">
        <v>967000000</v>
      </c>
      <c r="K583" s="6">
        <f>$E583+1</f>
        <v>126</v>
      </c>
      <c r="L583" s="7">
        <f>IF($J583=0,0,ROUND(MAX($J583*1.4,1620000*(1.497923^(MIN($E583,123)-117)))*1,0))</f>
        <v>1353800000</v>
      </c>
      <c r="M583" s="4">
        <f>$E583+2</f>
        <v>127</v>
      </c>
      <c r="N583" s="8">
        <f>IF($J583=0,0,ROUND(MAX($J583*1.4*1.5,2190000*(1.580994^(MIN($E583,123)-117)))*1,0))</f>
        <v>2030700000</v>
      </c>
      <c r="O583" s="6">
        <f>$E583+4</f>
        <v>129</v>
      </c>
      <c r="P583" s="7">
        <f>IF($J583=0,0,ROUND(MAX($J583*1.4*1.5*1.6,3500000*(1.57975^(MIN($E583,123)-117)))*1,0))</f>
        <v>3249120000</v>
      </c>
      <c r="Q583" s="4">
        <f>$E583+6</f>
        <v>131</v>
      </c>
      <c r="R583" s="8">
        <f>IF($J583=0,0,ROUND(MAX($J583*1.4*1.5*1.6*1.6,13100000*(1.429962^(MIN($E583,123)-117)))*1,0))</f>
        <v>5198592000</v>
      </c>
      <c r="S583" s="6">
        <f>$E583+8</f>
        <v>133</v>
      </c>
      <c r="T583" s="7">
        <f>IF($J583=0,0,ROUND(MAX($J583*1.4*1.5*1.6*1.6*2.2,42600000*(1.576904^(MIN($E583,123)-117)))*1,0))</f>
        <v>11436902400</v>
      </c>
      <c r="U583" s="4">
        <f>$E583+11</f>
        <v>136</v>
      </c>
      <c r="V583" s="8">
        <f>IF($J583=0,0,ROUND(MAX($J583*1.4*1.5*1.6*1.6*2.2*2.715,354000000*(1.642074^(MIN($E583,123)-117)))*1,0))</f>
        <v>31051190016</v>
      </c>
      <c r="W583" s="6">
        <f>$E583+15</f>
        <v>140</v>
      </c>
      <c r="X583" s="7">
        <f>IF($J583=0,0,ROUND(MAX($J583*1.4*1.5*1.6*1.6*2.2*2.715*2.6,3540000000*(1.579646^(MIN($E583,123)-117)))*1,0))</f>
        <v>80733094042</v>
      </c>
      <c r="Y583" s="4">
        <f>$E583+17</f>
        <v>142</v>
      </c>
      <c r="Z583" s="8">
        <f>IF($J583=0,0,ROUND(MAX($J583*1.4*1.5*1.6*1.6*2.2*2.715*2.6*1.4,6020000000*(1.651178^(MIN($E583,123)-117)))*1,0))</f>
        <v>122000006103</v>
      </c>
      <c r="AA583" s="6">
        <f>$E583+19</f>
        <v>144</v>
      </c>
      <c r="AB583" s="7">
        <f>IF($J583=0,0,ROUND(MAX($J583*1.4*1.5*1.6*1.6*2.2*2.715*2.6*1.4*1.4,8430000000*(1.651435^(MIN($E583,123)-117)))*1,0))</f>
        <v>171000146547</v>
      </c>
      <c r="AC583" s="4">
        <f>$E583+21</f>
        <v>146</v>
      </c>
      <c r="AD583" s="8">
        <f>IF($J583=0,0,ROUND(MAX($J583*1.4*1.5*1.6*1.6*2.2*2.715*2.6*1.4*1.4*1.5,12600000000*(1.652953^(MIN($E583,123)-117)))*1,0))</f>
        <v>257000267475</v>
      </c>
      <c r="AE583" s="6">
        <f>$E583+24</f>
        <v>149</v>
      </c>
      <c r="AF583" s="7">
        <f>IF($J583=0,0,ROUND(MAX($J583*1.4*1.5*1.6*1.6*2.2*2.715*2.6*1.4*1.4*1.5*1.5,18900000000*(1.65331^(MIN($E583,123)-117)))*1,0))</f>
        <v>386000226581</v>
      </c>
      <c r="AG583" s="4">
        <f>$E583+27</f>
        <v>152</v>
      </c>
      <c r="AH583" s="8">
        <f>IF($J583=0,0,ROUND(MAX($J583*1.4*1.5*1.6*1.6*2.2*2.715*2.6*1.4*1.4*1.5*1.5*3.2,60500000000*(1.654288^(MIN($E583,123)-117)))*1,0))</f>
        <v>1240001159555</v>
      </c>
    </row>
    <row r="584" ht="27.75" customHeight="1" spans="1:34" x14ac:dyDescent="0.25">
      <c r="A584" s="3">
        <v>594</v>
      </c>
      <c r="B584" s="3" t="s">
        <v>151</v>
      </c>
      <c r="C584" s="3" t="s">
        <v>590</v>
      </c>
      <c r="D584" s="3" t="s">
        <v>40</v>
      </c>
      <c r="E584" s="3">
        <v>125</v>
      </c>
      <c r="F584" s="3" t="s">
        <v>42</v>
      </c>
      <c r="G584" s="3" t="s">
        <v>95</v>
      </c>
      <c r="H584" s="3">
        <v>34</v>
      </c>
      <c r="I584" s="4">
        <v>125</v>
      </c>
      <c r="J584" s="5">
        <v>79000000</v>
      </c>
      <c r="K584" s="6">
        <f>$E584+1</f>
        <v>126</v>
      </c>
      <c r="L584" s="7">
        <f>IF($J584=0,0,ROUND(MAX($J584*1.4,1620000*(1.497923^(MIN($E584,123)-117)))*1,0))</f>
        <v>110600000</v>
      </c>
      <c r="M584" s="4">
        <f>$E584+2</f>
        <v>127</v>
      </c>
      <c r="N584" s="8">
        <f>IF($J584=0,0,ROUND(MAX($J584*1.4*1.5,2190000*(1.580994^(MIN($E584,123)-117)))*1,0))</f>
        <v>165900000</v>
      </c>
      <c r="O584" s="6">
        <f>$E584+4</f>
        <v>129</v>
      </c>
      <c r="P584" s="7">
        <f>IF($J584=0,0,ROUND(MAX($J584*1.4*1.5*1.6,3500000*(1.57975^(MIN($E584,123)-117)))*1,0))</f>
        <v>265440000</v>
      </c>
      <c r="Q584" s="4">
        <f>$E584+6</f>
        <v>131</v>
      </c>
      <c r="R584" s="8">
        <f>IF($J584=0,0,ROUND(MAX($J584*1.4*1.5*1.6*1.6,13100000*(1.429962^(MIN($E584,123)-117)))*1,0))</f>
        <v>424704000</v>
      </c>
      <c r="S584" s="6">
        <f>$E584+8</f>
        <v>133</v>
      </c>
      <c r="T584" s="7">
        <f>IF($J584=0,0,ROUND(MAX($J584*1.4*1.5*1.6*1.6*2.2,42600000*(1.576904^(MIN($E584,123)-117)))*1,0))</f>
        <v>934348800</v>
      </c>
      <c r="U584" s="4">
        <f>$E584+11</f>
        <v>136</v>
      </c>
      <c r="V584" s="8">
        <f>IF($J584=0,0,ROUND(MAX($J584*1.4*1.5*1.6*1.6*2.2*2.715,354000000*(1.642074^(MIN($E584,123)-117)))*1,0))</f>
        <v>6940002232</v>
      </c>
      <c r="W584" s="6">
        <f>$E584+15</f>
        <v>140</v>
      </c>
      <c r="X584" s="7">
        <f>IF($J584=0,0,ROUND(MAX($J584*1.4*1.5*1.6*1.6*2.2*2.715*2.6,3540000000*(1.579646^(MIN($E584,123)-117)))*1,0))</f>
        <v>54999899335</v>
      </c>
      <c r="Y584" s="4">
        <f>$E584+17</f>
        <v>142</v>
      </c>
      <c r="Z584" s="8">
        <f>IF($J584=0,0,ROUND(MAX($J584*1.4*1.5*1.6*1.6*2.2*2.715*2.6*1.4,6020000000*(1.651178^(MIN($E584,123)-117)))*1,0))</f>
        <v>122000006103</v>
      </c>
      <c r="AA584" s="6">
        <f>$E584+19</f>
        <v>144</v>
      </c>
      <c r="AB584" s="7">
        <f>IF($J584=0,0,ROUND(MAX($J584*1.4*1.5*1.6*1.6*2.2*2.715*2.6*1.4*1.4,8430000000*(1.651435^(MIN($E584,123)-117)))*1,0))</f>
        <v>171000146547</v>
      </c>
      <c r="AC584" s="4">
        <f>$E584+21</f>
        <v>146</v>
      </c>
      <c r="AD584" s="8">
        <f>IF($J584=0,0,ROUND(MAX($J584*1.4*1.5*1.6*1.6*2.2*2.715*2.6*1.4*1.4*1.5,12600000000*(1.652953^(MIN($E584,123)-117)))*1,0))</f>
        <v>257000267475</v>
      </c>
      <c r="AE584" s="6">
        <f>$E584+24</f>
        <v>149</v>
      </c>
      <c r="AF584" s="7">
        <f>IF($J584=0,0,ROUND(MAX($J584*1.4*1.5*1.6*1.6*2.2*2.715*2.6*1.4*1.4*1.5*1.5,18900000000*(1.65331^(MIN($E584,123)-117)))*1,0))</f>
        <v>386000226581</v>
      </c>
      <c r="AG584" s="4">
        <f>$E584+27</f>
        <v>152</v>
      </c>
      <c r="AH584" s="8">
        <f>IF($J584=0,0,ROUND(MAX($J584*1.4*1.5*1.6*1.6*2.2*2.715*2.6*1.4*1.4*1.5*1.5*3.2,60500000000*(1.654288^(MIN($E584,123)-117)))*1,0))</f>
        <v>1240001159555</v>
      </c>
    </row>
    <row r="585" ht="27.75" customHeight="1" spans="1:34" x14ac:dyDescent="0.25">
      <c r="A585" s="3">
        <v>595</v>
      </c>
      <c r="B585" s="3" t="s">
        <v>87</v>
      </c>
      <c r="C585" s="3" t="s">
        <v>590</v>
      </c>
      <c r="D585" s="3" t="s">
        <v>40</v>
      </c>
      <c r="E585" s="3">
        <v>125</v>
      </c>
      <c r="F585" s="3" t="s">
        <v>88</v>
      </c>
      <c r="G585" s="3" t="s">
        <v>51</v>
      </c>
      <c r="H585" s="3">
        <v>34</v>
      </c>
      <c r="I585" s="4">
        <v>125</v>
      </c>
      <c r="J585" s="5">
        <v>75300000</v>
      </c>
      <c r="K585" s="6">
        <f>$E585+1</f>
        <v>126</v>
      </c>
      <c r="L585" s="7">
        <f>IF($J585=0,0,ROUND(MAX($J585*1.4,1620000*(1.497923^(MIN($E585,123)-117)))*1,0))</f>
        <v>105420000</v>
      </c>
      <c r="M585" s="4">
        <f>$E585+2</f>
        <v>127</v>
      </c>
      <c r="N585" s="8">
        <f>IF($J585=0,0,ROUND(MAX($J585*1.4*1.5,2190000*(1.580994^(MIN($E585,123)-117)))*1,0))</f>
        <v>158130000</v>
      </c>
      <c r="O585" s="6">
        <f>$E585+4</f>
        <v>129</v>
      </c>
      <c r="P585" s="7">
        <f>IF($J585=0,0,ROUND(MAX($J585*1.4*1.5*1.6,3500000*(1.57975^(MIN($E585,123)-117)))*1,0))</f>
        <v>253008000</v>
      </c>
      <c r="Q585" s="4">
        <f>$E585+6</f>
        <v>131</v>
      </c>
      <c r="R585" s="8">
        <f>IF($J585=0,0,ROUND(MAX($J585*1.4*1.5*1.6*1.6,13100000*(1.429962^(MIN($E585,123)-117)))*1,0))</f>
        <v>404812800</v>
      </c>
      <c r="S585" s="6">
        <f>$E585+8</f>
        <v>133</v>
      </c>
      <c r="T585" s="7">
        <f>IF($J585=0,0,ROUND(MAX($J585*1.4*1.5*1.6*1.6*2.2,42600000*(1.576904^(MIN($E585,123)-117)))*1,0))</f>
        <v>890588160</v>
      </c>
      <c r="U585" s="4">
        <f>$E585+11</f>
        <v>136</v>
      </c>
      <c r="V585" s="8">
        <f>IF($J585=0,0,ROUND(MAX($J585*1.4*1.5*1.6*1.6*2.2*2.715,354000000*(1.642074^(MIN($E585,123)-117)))*1,0))</f>
        <v>6940002232</v>
      </c>
      <c r="W585" s="6">
        <f>$E585+15</f>
        <v>140</v>
      </c>
      <c r="X585" s="7">
        <f>IF($J585=0,0,ROUND(MAX($J585*1.4*1.5*1.6*1.6*2.2*2.715*2.6,3540000000*(1.579646^(MIN($E585,123)-117)))*1,0))</f>
        <v>54999899335</v>
      </c>
      <c r="Y585" s="4">
        <f>$E585+17</f>
        <v>142</v>
      </c>
      <c r="Z585" s="8">
        <f>IF($J585=0,0,ROUND(MAX($J585*1.4*1.5*1.6*1.6*2.2*2.715*2.6*1.4,6020000000*(1.651178^(MIN($E585,123)-117)))*1,0))</f>
        <v>122000006103</v>
      </c>
      <c r="AA585" s="6">
        <f>$E585+19</f>
        <v>144</v>
      </c>
      <c r="AB585" s="7">
        <f>IF($J585=0,0,ROUND(MAX($J585*1.4*1.5*1.6*1.6*2.2*2.715*2.6*1.4*1.4,8430000000*(1.651435^(MIN($E585,123)-117)))*1,0))</f>
        <v>171000146547</v>
      </c>
      <c r="AC585" s="4">
        <f>$E585+21</f>
        <v>146</v>
      </c>
      <c r="AD585" s="8">
        <f>IF($J585=0,0,ROUND(MAX($J585*1.4*1.5*1.6*1.6*2.2*2.715*2.6*1.4*1.4*1.5,12600000000*(1.652953^(MIN($E585,123)-117)))*1,0))</f>
        <v>257000267475</v>
      </c>
      <c r="AE585" s="6">
        <f>$E585+24</f>
        <v>149</v>
      </c>
      <c r="AF585" s="7">
        <f>IF($J585=0,0,ROUND(MAX($J585*1.4*1.5*1.6*1.6*2.2*2.715*2.6*1.4*1.4*1.5*1.5,18900000000*(1.65331^(MIN($E585,123)-117)))*1,0))</f>
        <v>386000226581</v>
      </c>
      <c r="AG585" s="4">
        <f>$E585+27</f>
        <v>152</v>
      </c>
      <c r="AH585" s="8">
        <f>IF($J585=0,0,ROUND(MAX($J585*1.4*1.5*1.6*1.6*2.2*2.715*2.6*1.4*1.4*1.5*1.5*3.2,60500000000*(1.654288^(MIN($E585,123)-117)))*1,0))</f>
        <v>1240001159555</v>
      </c>
    </row>
    <row r="586" ht="27.75" customHeight="1" spans="1:34" x14ac:dyDescent="0.25">
      <c r="A586" s="3">
        <v>596</v>
      </c>
      <c r="B586" s="3" t="s">
        <v>541</v>
      </c>
      <c r="C586" s="3" t="s">
        <v>590</v>
      </c>
      <c r="D586" s="3" t="s">
        <v>29</v>
      </c>
      <c r="E586" s="3">
        <v>125</v>
      </c>
      <c r="F586" s="3" t="s">
        <v>54</v>
      </c>
      <c r="G586" s="3" t="s">
        <v>472</v>
      </c>
      <c r="H586" s="3">
        <v>34</v>
      </c>
      <c r="I586" s="4">
        <v>125</v>
      </c>
      <c r="J586" s="5">
        <v>223000000</v>
      </c>
      <c r="K586" s="6">
        <f>$E586+1</f>
        <v>126</v>
      </c>
      <c r="L586" s="7">
        <f>IF($J586=0,0,ROUND(MAX($J586*1.4,1620000*(1.497923^(MIN($E586,123)-117)))*1,0))</f>
        <v>312200000</v>
      </c>
      <c r="M586" s="4">
        <f>$E586+2</f>
        <v>127</v>
      </c>
      <c r="N586" s="8">
        <f>IF($J586=0,0,ROUND(MAX($J586*1.4*1.5,2190000*(1.580994^(MIN($E586,123)-117)))*1,0))</f>
        <v>468300000</v>
      </c>
      <c r="O586" s="6">
        <f>$E586+4</f>
        <v>129</v>
      </c>
      <c r="P586" s="7">
        <f>IF($J586=0,0,ROUND(MAX($J586*1.4*1.5*1.6,3500000*(1.57975^(MIN($E586,123)-117)))*1,0))</f>
        <v>749280000</v>
      </c>
      <c r="Q586" s="4">
        <f>$E586+6</f>
        <v>131</v>
      </c>
      <c r="R586" s="8">
        <f>IF($J586=0,0,ROUND(MAX($J586*1.4*1.5*1.6*1.6,13100000*(1.429962^(MIN($E586,123)-117)))*1,0))</f>
        <v>1198848000</v>
      </c>
      <c r="S586" s="6">
        <f>$E586+8</f>
        <v>133</v>
      </c>
      <c r="T586" s="7">
        <f>IF($J586=0,0,ROUND(MAX($J586*1.4*1.5*1.6*1.6*2.2,42600000*(1.576904^(MIN($E586,123)-117)))*1,0))</f>
        <v>2637465600</v>
      </c>
      <c r="U586" s="4">
        <f>$E586+11</f>
        <v>136</v>
      </c>
      <c r="V586" s="8">
        <f>IF($J586=0,0,ROUND(MAX($J586*1.4*1.5*1.6*1.6*2.2*2.715,354000000*(1.642074^(MIN($E586,123)-117)))*1,0))</f>
        <v>7160719104</v>
      </c>
      <c r="W586" s="6">
        <f>$E586+15</f>
        <v>140</v>
      </c>
      <c r="X586" s="7">
        <f>IF($J586=0,0,ROUND(MAX($J586*1.4*1.5*1.6*1.6*2.2*2.715*2.6,3540000000*(1.579646^(MIN($E586,123)-117)))*1,0))</f>
        <v>54999899335</v>
      </c>
      <c r="Y586" s="4">
        <f>$E586+17</f>
        <v>142</v>
      </c>
      <c r="Z586" s="8">
        <f>IF($J586=0,0,ROUND(MAX($J586*1.4*1.5*1.6*1.6*2.2*2.715*2.6*1.4,6020000000*(1.651178^(MIN($E586,123)-117)))*1,0))</f>
        <v>122000006103</v>
      </c>
      <c r="AA586" s="6">
        <f>$E586+19</f>
        <v>144</v>
      </c>
      <c r="AB586" s="7">
        <f>IF($J586=0,0,ROUND(MAX($J586*1.4*1.5*1.6*1.6*2.2*2.715*2.6*1.4*1.4,8430000000*(1.651435^(MIN($E586,123)-117)))*1,0))</f>
        <v>171000146547</v>
      </c>
      <c r="AC586" s="4">
        <f>$E586+21</f>
        <v>146</v>
      </c>
      <c r="AD586" s="8">
        <f>IF($J586=0,0,ROUND(MAX($J586*1.4*1.5*1.6*1.6*2.2*2.715*2.6*1.4*1.4*1.5,12600000000*(1.652953^(MIN($E586,123)-117)))*1,0))</f>
        <v>257000267475</v>
      </c>
      <c r="AE586" s="6">
        <f>$E586+24</f>
        <v>149</v>
      </c>
      <c r="AF586" s="7">
        <f>IF($J586=0,0,ROUND(MAX($J586*1.4*1.5*1.6*1.6*2.2*2.715*2.6*1.4*1.4*1.5*1.5,18900000000*(1.65331^(MIN($E586,123)-117)))*1,0))</f>
        <v>386000226581</v>
      </c>
      <c r="AG586" s="4">
        <f>$E586+27</f>
        <v>152</v>
      </c>
      <c r="AH586" s="8">
        <f>IF($J586=0,0,ROUND(MAX($J586*1.4*1.5*1.6*1.6*2.2*2.715*2.6*1.4*1.4*1.5*1.5*3.2,60500000000*(1.654288^(MIN($E586,123)-117)))*1,0))</f>
        <v>1240001159555</v>
      </c>
    </row>
    <row r="587" ht="27.75" customHeight="1" spans="1:34" x14ac:dyDescent="0.25">
      <c r="A587" s="3">
        <v>597</v>
      </c>
      <c r="B587" s="3" t="s">
        <v>271</v>
      </c>
      <c r="C587" s="3" t="s">
        <v>590</v>
      </c>
      <c r="D587" s="3" t="s">
        <v>40</v>
      </c>
      <c r="E587" s="3">
        <v>125</v>
      </c>
      <c r="F587" s="3" t="s">
        <v>258</v>
      </c>
      <c r="G587" s="3" t="s">
        <v>270</v>
      </c>
      <c r="H587" s="3">
        <v>34</v>
      </c>
      <c r="I587" s="4">
        <v>125</v>
      </c>
      <c r="J587" s="5">
        <v>138000000</v>
      </c>
      <c r="K587" s="6">
        <f>$E587+1</f>
        <v>126</v>
      </c>
      <c r="L587" s="7">
        <f>IF($J587=0,0,ROUND(MAX($J587*1.4,1620000*(1.497923^(MIN($E587,123)-117)))*1,0))</f>
        <v>193200000</v>
      </c>
      <c r="M587" s="4">
        <f>$E587+2</f>
        <v>127</v>
      </c>
      <c r="N587" s="8">
        <f>IF($J587=0,0,ROUND(MAX($J587*1.4*1.5,2190000*(1.580994^(MIN($E587,123)-117)))*1,0))</f>
        <v>289800000</v>
      </c>
      <c r="O587" s="6">
        <f>$E587+4</f>
        <v>129</v>
      </c>
      <c r="P587" s="7">
        <f>IF($J587=0,0,ROUND(MAX($J587*1.4*1.5*1.6,3500000*(1.57975^(MIN($E587,123)-117)))*1,0))</f>
        <v>463680000</v>
      </c>
      <c r="Q587" s="4">
        <f>$E587+6</f>
        <v>131</v>
      </c>
      <c r="R587" s="8">
        <f>IF($J587=0,0,ROUND(MAX($J587*1.4*1.5*1.6*1.6,13100000*(1.429962^(MIN($E587,123)-117)))*1,0))</f>
        <v>741888000</v>
      </c>
      <c r="S587" s="6">
        <f>$E587+8</f>
        <v>133</v>
      </c>
      <c r="T587" s="7">
        <f>IF($J587=0,0,ROUND(MAX($J587*1.4*1.5*1.6*1.6*2.2,42600000*(1.576904^(MIN($E587,123)-117)))*1,0))</f>
        <v>1632153600</v>
      </c>
      <c r="U587" s="4">
        <f>$E587+11</f>
        <v>136</v>
      </c>
      <c r="V587" s="8">
        <f>IF($J587=0,0,ROUND(MAX($J587*1.4*1.5*1.6*1.6*2.2*2.715,354000000*(1.642074^(MIN($E587,123)-117)))*1,0))</f>
        <v>6940002232</v>
      </c>
      <c r="W587" s="6">
        <f>$E587+15</f>
        <v>140</v>
      </c>
      <c r="X587" s="7">
        <f>IF($J587=0,0,ROUND(MAX($J587*1.4*1.5*1.6*1.6*2.2*2.715*2.6,3540000000*(1.579646^(MIN($E587,123)-117)))*1,0))</f>
        <v>54999899335</v>
      </c>
      <c r="Y587" s="4">
        <f>$E587+17</f>
        <v>142</v>
      </c>
      <c r="Z587" s="8">
        <f>IF($J587=0,0,ROUND(MAX($J587*1.4*1.5*1.6*1.6*2.2*2.715*2.6*1.4,6020000000*(1.651178^(MIN($E587,123)-117)))*1,0))</f>
        <v>122000006103</v>
      </c>
      <c r="AA587" s="6">
        <f>$E587+19</f>
        <v>144</v>
      </c>
      <c r="AB587" s="7">
        <f>IF($J587=0,0,ROUND(MAX($J587*1.4*1.5*1.6*1.6*2.2*2.715*2.6*1.4*1.4,8430000000*(1.651435^(MIN($E587,123)-117)))*1,0))</f>
        <v>171000146547</v>
      </c>
      <c r="AC587" s="4">
        <f>$E587+21</f>
        <v>146</v>
      </c>
      <c r="AD587" s="8">
        <f>IF($J587=0,0,ROUND(MAX($J587*1.4*1.5*1.6*1.6*2.2*2.715*2.6*1.4*1.4*1.5,12600000000*(1.652953^(MIN($E587,123)-117)))*1,0))</f>
        <v>257000267475</v>
      </c>
      <c r="AE587" s="6">
        <f>$E587+24</f>
        <v>149</v>
      </c>
      <c r="AF587" s="7">
        <f>IF($J587=0,0,ROUND(MAX($J587*1.4*1.5*1.6*1.6*2.2*2.715*2.6*1.4*1.4*1.5*1.5,18900000000*(1.65331^(MIN($E587,123)-117)))*1,0))</f>
        <v>386000226581</v>
      </c>
      <c r="AG587" s="4">
        <f>$E587+27</f>
        <v>152</v>
      </c>
      <c r="AH587" s="8">
        <f>IF($J587=0,0,ROUND(MAX($J587*1.4*1.5*1.6*1.6*2.2*2.715*2.6*1.4*1.4*1.5*1.5*3.2,60500000000*(1.654288^(MIN($E587,123)-117)))*1,0))</f>
        <v>1240001159555</v>
      </c>
    </row>
    <row r="588" ht="27.75" customHeight="1" spans="1:34" x14ac:dyDescent="0.25">
      <c r="A588" s="3">
        <v>598</v>
      </c>
      <c r="B588" s="3" t="s">
        <v>638</v>
      </c>
      <c r="C588" s="3" t="s">
        <v>590</v>
      </c>
      <c r="D588" s="3" t="s">
        <v>25</v>
      </c>
      <c r="E588" s="3">
        <v>125</v>
      </c>
      <c r="F588" s="3" t="s">
        <v>310</v>
      </c>
      <c r="G588" s="3" t="s">
        <v>27</v>
      </c>
      <c r="H588" s="3">
        <v>34</v>
      </c>
      <c r="I588" s="4">
        <v>125</v>
      </c>
      <c r="J588" s="5">
        <v>771000000</v>
      </c>
      <c r="K588" s="6">
        <f>$E588+1</f>
        <v>126</v>
      </c>
      <c r="L588" s="7">
        <f>IF($J588=0,0,ROUND(MAX($J588*1.4,1620000*(1.497923^(MIN($E588,123)-117)))*1,0))</f>
        <v>1079400000</v>
      </c>
      <c r="M588" s="4">
        <f>$E588+2</f>
        <v>127</v>
      </c>
      <c r="N588" s="8">
        <f>IF($J588=0,0,ROUND(MAX($J588*1.4*1.5,2190000*(1.580994^(MIN($E588,123)-117)))*1,0))</f>
        <v>1619100000</v>
      </c>
      <c r="O588" s="6">
        <f>$E588+4</f>
        <v>129</v>
      </c>
      <c r="P588" s="7">
        <f>IF($J588=0,0,ROUND(MAX($J588*1.4*1.5*1.6,3500000*(1.57975^(MIN($E588,123)-117)))*1,0))</f>
        <v>2590560000</v>
      </c>
      <c r="Q588" s="4">
        <f>$E588+6</f>
        <v>131</v>
      </c>
      <c r="R588" s="8">
        <f>IF($J588=0,0,ROUND(MAX($J588*1.4*1.5*1.6*1.6,13100000*(1.429962^(MIN($E588,123)-117)))*1,0))</f>
        <v>4144896000</v>
      </c>
      <c r="S588" s="6">
        <f>$E588+8</f>
        <v>133</v>
      </c>
      <c r="T588" s="7">
        <f>IF($J588=0,0,ROUND(MAX($J588*1.4*1.5*1.6*1.6*2.2,42600000*(1.576904^(MIN($E588,123)-117)))*1,0))</f>
        <v>9118771200</v>
      </c>
      <c r="U588" s="4">
        <f>$E588+11</f>
        <v>136</v>
      </c>
      <c r="V588" s="8">
        <f>IF($J588=0,0,ROUND(MAX($J588*1.4*1.5*1.6*1.6*2.2*2.715,354000000*(1.642074^(MIN($E588,123)-117)))*1,0))</f>
        <v>24757463808</v>
      </c>
      <c r="W588" s="6">
        <f>$E588+15</f>
        <v>140</v>
      </c>
      <c r="X588" s="7">
        <f>IF($J588=0,0,ROUND(MAX($J588*1.4*1.5*1.6*1.6*2.2*2.715*2.6,3540000000*(1.579646^(MIN($E588,123)-117)))*1,0))</f>
        <v>64369405901</v>
      </c>
      <c r="Y588" s="4">
        <f>$E588+17</f>
        <v>142</v>
      </c>
      <c r="Z588" s="8">
        <f>IF($J588=0,0,ROUND(MAX($J588*1.4*1.5*1.6*1.6*2.2*2.715*2.6*1.4,6020000000*(1.651178^(MIN($E588,123)-117)))*1,0))</f>
        <v>122000006103</v>
      </c>
      <c r="AA588" s="6">
        <f>$E588+19</f>
        <v>144</v>
      </c>
      <c r="AB588" s="7">
        <f>IF($J588=0,0,ROUND(MAX($J588*1.4*1.5*1.6*1.6*2.2*2.715*2.6*1.4*1.4,8430000000*(1.651435^(MIN($E588,123)-117)))*1,0))</f>
        <v>171000146547</v>
      </c>
      <c r="AC588" s="4">
        <f>$E588+21</f>
        <v>146</v>
      </c>
      <c r="AD588" s="8">
        <f>IF($J588=0,0,ROUND(MAX($J588*1.4*1.5*1.6*1.6*2.2*2.715*2.6*1.4*1.4*1.5,12600000000*(1.652953^(MIN($E588,123)-117)))*1,0))</f>
        <v>257000267475</v>
      </c>
      <c r="AE588" s="6">
        <f>$E588+24</f>
        <v>149</v>
      </c>
      <c r="AF588" s="7">
        <f>IF($J588=0,0,ROUND(MAX($J588*1.4*1.5*1.6*1.6*2.2*2.715*2.6*1.4*1.4*1.5*1.5,18900000000*(1.65331^(MIN($E588,123)-117)))*1,0))</f>
        <v>386000226581</v>
      </c>
      <c r="AG588" s="4">
        <f>$E588+27</f>
        <v>152</v>
      </c>
      <c r="AH588" s="8">
        <f>IF($J588=0,0,ROUND(MAX($J588*1.4*1.5*1.6*1.6*2.2*2.715*2.6*1.4*1.4*1.5*1.5*3.2,60500000000*(1.654288^(MIN($E588,123)-117)))*1,0))</f>
        <v>1240001159555</v>
      </c>
    </row>
    <row r="589" ht="27.75" customHeight="1" spans="1:34" x14ac:dyDescent="0.25">
      <c r="A589" s="3">
        <v>599</v>
      </c>
      <c r="B589" s="3" t="s">
        <v>130</v>
      </c>
      <c r="C589" s="3" t="s">
        <v>590</v>
      </c>
      <c r="D589" s="3" t="s">
        <v>25</v>
      </c>
      <c r="E589" s="3">
        <v>125</v>
      </c>
      <c r="F589" s="3" t="s">
        <v>56</v>
      </c>
      <c r="G589" s="3" t="s">
        <v>98</v>
      </c>
      <c r="H589" s="3">
        <v>35</v>
      </c>
      <c r="I589" s="4">
        <v>125</v>
      </c>
      <c r="J589" s="5">
        <v>137000000</v>
      </c>
      <c r="K589" s="6">
        <f>$E589+1</f>
        <v>126</v>
      </c>
      <c r="L589" s="7">
        <f>IF($J589=0,0,ROUND(MAX($J589*1.4,1620000*(1.497923^(MIN($E589,123)-117)))*1,0))</f>
        <v>191800000</v>
      </c>
      <c r="M589" s="4">
        <f>$E589+2</f>
        <v>127</v>
      </c>
      <c r="N589" s="8">
        <f>IF($J589=0,0,ROUND(MAX($J589*1.4*1.5,2190000*(1.580994^(MIN($E589,123)-117)))*1,0))</f>
        <v>287700000</v>
      </c>
      <c r="O589" s="6">
        <f>$E589+4</f>
        <v>129</v>
      </c>
      <c r="P589" s="7">
        <f>IF($J589=0,0,ROUND(MAX($J589*1.4*1.5*1.6,3500000*(1.57975^(MIN($E589,123)-117)))*1,0))</f>
        <v>460320000</v>
      </c>
      <c r="Q589" s="4">
        <f>$E589+6</f>
        <v>131</v>
      </c>
      <c r="R589" s="8">
        <f>IF($J589=0,0,ROUND(MAX($J589*1.4*1.5*1.6*1.6,13100000*(1.429962^(MIN($E589,123)-117)))*1,0))</f>
        <v>736512000</v>
      </c>
      <c r="S589" s="6">
        <f>$E589+8</f>
        <v>133</v>
      </c>
      <c r="T589" s="7">
        <f>IF($J589=0,0,ROUND(MAX($J589*1.4*1.5*1.6*1.6*2.2,42600000*(1.576904^(MIN($E589,123)-117)))*1,0))</f>
        <v>1620326400</v>
      </c>
      <c r="U589" s="4">
        <f>$E589+11</f>
        <v>136</v>
      </c>
      <c r="V589" s="8">
        <f>IF($J589=0,0,ROUND(MAX($J589*1.4*1.5*1.6*1.6*2.2*2.715,354000000*(1.642074^(MIN($E589,123)-117)))*1,0))</f>
        <v>6940002232</v>
      </c>
      <c r="W589" s="6">
        <f>$E589+15</f>
        <v>140</v>
      </c>
      <c r="X589" s="7">
        <f>IF($J589=0,0,ROUND(MAX($J589*1.4*1.5*1.6*1.6*2.2*2.715*2.6,3540000000*(1.579646^(MIN($E589,123)-117)))*1,0))</f>
        <v>54999899335</v>
      </c>
      <c r="Y589" s="4">
        <f>$E589+17</f>
        <v>142</v>
      </c>
      <c r="Z589" s="8">
        <f>IF($J589=0,0,ROUND(MAX($J589*1.4*1.5*1.6*1.6*2.2*2.715*2.6*1.4,6020000000*(1.651178^(MIN($E589,123)-117)))*1,0))</f>
        <v>122000006103</v>
      </c>
      <c r="AA589" s="6">
        <f>$E589+19</f>
        <v>144</v>
      </c>
      <c r="AB589" s="7">
        <f>IF($J589=0,0,ROUND(MAX($J589*1.4*1.5*1.6*1.6*2.2*2.715*2.6*1.4*1.4,8430000000*(1.651435^(MIN($E589,123)-117)))*1,0))</f>
        <v>171000146547</v>
      </c>
      <c r="AC589" s="4">
        <f>$E589+21</f>
        <v>146</v>
      </c>
      <c r="AD589" s="8">
        <f>IF($J589=0,0,ROUND(MAX($J589*1.4*1.5*1.6*1.6*2.2*2.715*2.6*1.4*1.4*1.5,12600000000*(1.652953^(MIN($E589,123)-117)))*1,0))</f>
        <v>257000267475</v>
      </c>
      <c r="AE589" s="6">
        <f>$E589+24</f>
        <v>149</v>
      </c>
      <c r="AF589" s="7">
        <f>IF($J589=0,0,ROUND(MAX($J589*1.4*1.5*1.6*1.6*2.2*2.715*2.6*1.4*1.4*1.5*1.5,18900000000*(1.65331^(MIN($E589,123)-117)))*1,0))</f>
        <v>386000226581</v>
      </c>
      <c r="AG589" s="4">
        <f>$E589+27</f>
        <v>152</v>
      </c>
      <c r="AH589" s="8">
        <f>IF($J589=0,0,ROUND(MAX($J589*1.4*1.5*1.6*1.6*2.2*2.715*2.6*1.4*1.4*1.5*1.5*3.2,60500000000*(1.654288^(MIN($E589,123)-117)))*1,0))</f>
        <v>1240001159555</v>
      </c>
    </row>
    <row r="590" ht="27.75" customHeight="1" spans="1:34" x14ac:dyDescent="0.25">
      <c r="A590" s="3">
        <v>600</v>
      </c>
      <c r="B590" s="3" t="s">
        <v>78</v>
      </c>
      <c r="C590" s="3" t="s">
        <v>590</v>
      </c>
      <c r="D590" s="3" t="s">
        <v>79</v>
      </c>
      <c r="E590" s="3">
        <v>126</v>
      </c>
      <c r="F590" s="3" t="s">
        <v>30</v>
      </c>
      <c r="G590" s="3" t="s">
        <v>72</v>
      </c>
      <c r="H590" s="3">
        <v>34</v>
      </c>
      <c r="I590" s="4">
        <v>126</v>
      </c>
      <c r="J590" s="5">
        <v>1340000000</v>
      </c>
      <c r="K590" s="6">
        <f>$E590+1</f>
        <v>127</v>
      </c>
      <c r="L590" s="7">
        <f>IF($J590=0,0,ROUND(MAX($J590*1.4,1620000*(1.497923^(MIN($E590,123)-117)))*1,0))</f>
        <v>1876000000</v>
      </c>
      <c r="M590" s="4">
        <f>$E590+2</f>
        <v>128</v>
      </c>
      <c r="N590" s="8">
        <f>IF($J590=0,0,ROUND(MAX($J590*1.4*1.5,2190000*(1.580994^(MIN($E590,123)-117)))*1,0))</f>
        <v>2814000000</v>
      </c>
      <c r="O590" s="6">
        <f>$E590+4</f>
        <v>130</v>
      </c>
      <c r="P590" s="7">
        <f>IF($J590=0,0,ROUND(MAX($J590*1.4*1.5*1.6,3500000*(1.57975^(MIN($E590,123)-117)))*1,0))</f>
        <v>4502400000</v>
      </c>
      <c r="Q590" s="4">
        <f>$E590+6</f>
        <v>132</v>
      </c>
      <c r="R590" s="8">
        <f>IF($J590=0,0,ROUND(MAX($J590*1.4*1.5*1.6*1.6,13100000*(1.429962^(MIN($E590,123)-117)))*1,0))</f>
        <v>7203840000</v>
      </c>
      <c r="S590" s="6">
        <f>$E590+8</f>
        <v>134</v>
      </c>
      <c r="T590" s="7">
        <f>IF($J590=0,0,ROUND(MAX($J590*1.4*1.5*1.6*1.6*2.2,42600000*(1.576904^(MIN($E590,123)-117)))*1,0))</f>
        <v>15848448000</v>
      </c>
      <c r="U590" s="4">
        <f>$E590+11</f>
        <v>137</v>
      </c>
      <c r="V590" s="8">
        <f>IF($J590=0,0,ROUND(MAX($J590*1.4*1.5*1.6*1.6*2.2*2.715,354000000*(1.642074^(MIN($E590,123)-117)))*1,0))</f>
        <v>43028536320</v>
      </c>
      <c r="W590" s="6">
        <f>$E590+15</f>
        <v>141</v>
      </c>
      <c r="X590" s="7">
        <f>IF($J590=0,0,ROUND(MAX($J590*1.4*1.5*1.6*1.6*2.2*2.715*2.6,3540000000*(1.579646^(MIN($E590,123)-117)))*1,0))</f>
        <v>111874194432</v>
      </c>
      <c r="Y590" s="4">
        <f>$E590+17</f>
        <v>143</v>
      </c>
      <c r="Z590" s="8">
        <f>IF($J590=0,0,ROUND(MAX($J590*1.4*1.5*1.6*1.6*2.2*2.715*2.6*1.4,6020000000*(1.651178^(MIN($E590,123)-117)))*1,0))</f>
        <v>156623872205</v>
      </c>
      <c r="AA590" s="6">
        <f>$E590+19</f>
        <v>145</v>
      </c>
      <c r="AB590" s="7">
        <f>IF($J590=0,0,ROUND(MAX($J590*1.4*1.5*1.6*1.6*2.2*2.715*2.6*1.4*1.4,8430000000*(1.651435^(MIN($E590,123)-117)))*1,0))</f>
        <v>219273421087</v>
      </c>
      <c r="AC590" s="4">
        <f>$E590+21</f>
        <v>147</v>
      </c>
      <c r="AD590" s="8">
        <f>IF($J590=0,0,ROUND(MAX($J590*1.4*1.5*1.6*1.6*2.2*2.715*2.6*1.4*1.4*1.5,12600000000*(1.652953^(MIN($E590,123)-117)))*1,0))</f>
        <v>328910131630</v>
      </c>
      <c r="AE590" s="6">
        <f>$E590+24</f>
        <v>150</v>
      </c>
      <c r="AF590" s="7">
        <f>IF($J590=0,0,ROUND(MAX($J590*1.4*1.5*1.6*1.6*2.2*2.715*2.6*1.4*1.4*1.5*1.5,18900000000*(1.65331^(MIN($E590,123)-117)))*1,0))</f>
        <v>493365197445</v>
      </c>
      <c r="AG590" s="4">
        <f>$E590+27</f>
        <v>153</v>
      </c>
      <c r="AH590" s="8">
        <f>IF($J590=0,0,ROUND(MAX($J590*1.4*1.5*1.6*1.6*2.2*2.715*2.6*1.4*1.4*1.5*1.5*3.2,60500000000*(1.654288^(MIN($E590,123)-117)))*1,0))</f>
        <v>1578768631824</v>
      </c>
    </row>
    <row r="591" ht="27.75" customHeight="1" spans="1:34" x14ac:dyDescent="0.25">
      <c r="A591" s="3">
        <v>601</v>
      </c>
      <c r="B591" s="3" t="s">
        <v>639</v>
      </c>
      <c r="C591" s="3" t="s">
        <v>590</v>
      </c>
      <c r="D591" s="3" t="s">
        <v>40</v>
      </c>
      <c r="E591" s="3">
        <v>126</v>
      </c>
      <c r="F591" s="3" t="s">
        <v>353</v>
      </c>
      <c r="G591" s="3" t="s">
        <v>640</v>
      </c>
      <c r="H591" s="3">
        <v>34</v>
      </c>
      <c r="I591" s="4">
        <v>126</v>
      </c>
      <c r="J591" s="5">
        <v>625000000</v>
      </c>
      <c r="K591" s="6">
        <f>$E591+1</f>
        <v>127</v>
      </c>
      <c r="L591" s="7">
        <f>IF($J591=0,0,ROUND(MAX($J591*1.4,1620000*(1.497923^(MIN($E591,123)-117)))*1,0))</f>
        <v>875000000</v>
      </c>
      <c r="M591" s="4">
        <f>$E591+2</f>
        <v>128</v>
      </c>
      <c r="N591" s="8">
        <f>IF($J591=0,0,ROUND(MAX($J591*1.4*1.5,2190000*(1.580994^(MIN($E591,123)-117)))*1,0))</f>
        <v>1312500000</v>
      </c>
      <c r="O591" s="6">
        <f>$E591+4</f>
        <v>130</v>
      </c>
      <c r="P591" s="7">
        <f>IF($J591=0,0,ROUND(MAX($J591*1.4*1.5*1.6,3500000*(1.57975^(MIN($E591,123)-117)))*1,0))</f>
        <v>2100000000</v>
      </c>
      <c r="Q591" s="4">
        <f>$E591+6</f>
        <v>132</v>
      </c>
      <c r="R591" s="8">
        <f>IF($J591=0,0,ROUND(MAX($J591*1.4*1.5*1.6*1.6,13100000*(1.429962^(MIN($E591,123)-117)))*1,0))</f>
        <v>3360000000</v>
      </c>
      <c r="S591" s="6">
        <f>$E591+8</f>
        <v>134</v>
      </c>
      <c r="T591" s="7">
        <f>IF($J591=0,0,ROUND(MAX($J591*1.4*1.5*1.6*1.6*2.2,42600000*(1.576904^(MIN($E591,123)-117)))*1,0))</f>
        <v>7392000000</v>
      </c>
      <c r="U591" s="4">
        <f>$E591+11</f>
        <v>137</v>
      </c>
      <c r="V591" s="8">
        <f>IF($J591=0,0,ROUND(MAX($J591*1.4*1.5*1.6*1.6*2.2*2.715,354000000*(1.642074^(MIN($E591,123)-117)))*1,0))</f>
        <v>20069280000</v>
      </c>
      <c r="W591" s="6">
        <f>$E591+15</f>
        <v>141</v>
      </c>
      <c r="X591" s="7">
        <f>IF($J591=0,0,ROUND(MAX($J591*1.4*1.5*1.6*1.6*2.2*2.715*2.6,3540000000*(1.579646^(MIN($E591,123)-117)))*1,0))</f>
        <v>54999899335</v>
      </c>
      <c r="Y591" s="4">
        <f>$E591+17</f>
        <v>143</v>
      </c>
      <c r="Z591" s="8">
        <f>IF($J591=0,0,ROUND(MAX($J591*1.4*1.5*1.6*1.6*2.2*2.715*2.6*1.4,6020000000*(1.651178^(MIN($E591,123)-117)))*1,0))</f>
        <v>122000006103</v>
      </c>
      <c r="AA591" s="6">
        <f>$E591+19</f>
        <v>145</v>
      </c>
      <c r="AB591" s="7">
        <f>IF($J591=0,0,ROUND(MAX($J591*1.4*1.5*1.6*1.6*2.2*2.715*2.6*1.4*1.4,8430000000*(1.651435^(MIN($E591,123)-117)))*1,0))</f>
        <v>171000146547</v>
      </c>
      <c r="AC591" s="4">
        <f>$E591+21</f>
        <v>147</v>
      </c>
      <c r="AD591" s="8">
        <f>IF($J591=0,0,ROUND(MAX($J591*1.4*1.5*1.6*1.6*2.2*2.715*2.6*1.4*1.4*1.5,12600000000*(1.652953^(MIN($E591,123)-117)))*1,0))</f>
        <v>257000267475</v>
      </c>
      <c r="AE591" s="6">
        <f>$E591+24</f>
        <v>150</v>
      </c>
      <c r="AF591" s="7">
        <f>IF($J591=0,0,ROUND(MAX($J591*1.4*1.5*1.6*1.6*2.2*2.715*2.6*1.4*1.4*1.5*1.5,18900000000*(1.65331^(MIN($E591,123)-117)))*1,0))</f>
        <v>386000226581</v>
      </c>
      <c r="AG591" s="4">
        <f>$E591+27</f>
        <v>153</v>
      </c>
      <c r="AH591" s="8">
        <f>IF($J591=0,0,ROUND(MAX($J591*1.4*1.5*1.6*1.6*2.2*2.715*2.6*1.4*1.4*1.5*1.5*3.2,60500000000*(1.654288^(MIN($E591,123)-117)))*1,0))</f>
        <v>1240001159555</v>
      </c>
    </row>
    <row r="592" ht="27.75" customHeight="1" spans="1:34" x14ac:dyDescent="0.25">
      <c r="A592" s="3">
        <v>602</v>
      </c>
      <c r="B592" s="3" t="s">
        <v>161</v>
      </c>
      <c r="C592" s="3" t="s">
        <v>590</v>
      </c>
      <c r="D592" s="3" t="s">
        <v>79</v>
      </c>
      <c r="E592" s="3">
        <v>126</v>
      </c>
      <c r="F592" s="3" t="s">
        <v>54</v>
      </c>
      <c r="G592" s="3" t="s">
        <v>35</v>
      </c>
      <c r="H592" s="3">
        <v>35</v>
      </c>
      <c r="I592" s="4">
        <v>126</v>
      </c>
      <c r="J592" s="5">
        <v>372000000</v>
      </c>
      <c r="K592" s="6">
        <f>$E592+1</f>
        <v>127</v>
      </c>
      <c r="L592" s="7">
        <f>IF($J592=0,0,ROUND(MAX($J592*1.4,1620000*(1.497923^(MIN($E592,123)-117)))*1,0))</f>
        <v>520800000</v>
      </c>
      <c r="M592" s="4">
        <f>$E592+2</f>
        <v>128</v>
      </c>
      <c r="N592" s="8">
        <f>IF($J592=0,0,ROUND(MAX($J592*1.4*1.5,2190000*(1.580994^(MIN($E592,123)-117)))*1,0))</f>
        <v>781200000</v>
      </c>
      <c r="O592" s="6">
        <f>$E592+4</f>
        <v>130</v>
      </c>
      <c r="P592" s="7">
        <f>IF($J592=0,0,ROUND(MAX($J592*1.4*1.5*1.6,3500000*(1.57975^(MIN($E592,123)-117)))*1,0))</f>
        <v>1249920000</v>
      </c>
      <c r="Q592" s="4">
        <f>$E592+6</f>
        <v>132</v>
      </c>
      <c r="R592" s="8">
        <f>IF($J592=0,0,ROUND(MAX($J592*1.4*1.5*1.6*1.6,13100000*(1.429962^(MIN($E592,123)-117)))*1,0))</f>
        <v>1999872000</v>
      </c>
      <c r="S592" s="6">
        <f>$E592+8</f>
        <v>134</v>
      </c>
      <c r="T592" s="7">
        <f>IF($J592=0,0,ROUND(MAX($J592*1.4*1.5*1.6*1.6*2.2,42600000*(1.576904^(MIN($E592,123)-117)))*1,0))</f>
        <v>4399718400</v>
      </c>
      <c r="U592" s="4">
        <f>$E592+11</f>
        <v>137</v>
      </c>
      <c r="V592" s="8">
        <f>IF($J592=0,0,ROUND(MAX($J592*1.4*1.5*1.6*1.6*2.2*2.715,354000000*(1.642074^(MIN($E592,123)-117)))*1,0))</f>
        <v>11945235456</v>
      </c>
      <c r="W592" s="6">
        <f>$E592+15</f>
        <v>141</v>
      </c>
      <c r="X592" s="7">
        <f>IF($J592=0,0,ROUND(MAX($J592*1.4*1.5*1.6*1.6*2.2*2.715*2.6,3540000000*(1.579646^(MIN($E592,123)-117)))*1,0))</f>
        <v>54999899335</v>
      </c>
      <c r="Y592" s="4">
        <f>$E592+17</f>
        <v>143</v>
      </c>
      <c r="Z592" s="8">
        <f>IF($J592=0,0,ROUND(MAX($J592*1.4*1.5*1.6*1.6*2.2*2.715*2.6*1.4,6020000000*(1.651178^(MIN($E592,123)-117)))*1,0))</f>
        <v>122000006103</v>
      </c>
      <c r="AA592" s="6">
        <f>$E592+19</f>
        <v>145</v>
      </c>
      <c r="AB592" s="7">
        <f>IF($J592=0,0,ROUND(MAX($J592*1.4*1.5*1.6*1.6*2.2*2.715*2.6*1.4*1.4,8430000000*(1.651435^(MIN($E592,123)-117)))*1,0))</f>
        <v>171000146547</v>
      </c>
      <c r="AC592" s="4">
        <f>$E592+21</f>
        <v>147</v>
      </c>
      <c r="AD592" s="8">
        <f>IF($J592=0,0,ROUND(MAX($J592*1.4*1.5*1.6*1.6*2.2*2.715*2.6*1.4*1.4*1.5,12600000000*(1.652953^(MIN($E592,123)-117)))*1,0))</f>
        <v>257000267475</v>
      </c>
      <c r="AE592" s="6">
        <f>$E592+24</f>
        <v>150</v>
      </c>
      <c r="AF592" s="7">
        <f>IF($J592=0,0,ROUND(MAX($J592*1.4*1.5*1.6*1.6*2.2*2.715*2.6*1.4*1.4*1.5*1.5,18900000000*(1.65331^(MIN($E592,123)-117)))*1,0))</f>
        <v>386000226581</v>
      </c>
      <c r="AG592" s="4">
        <f>$E592+27</f>
        <v>153</v>
      </c>
      <c r="AH592" s="8">
        <f>IF($J592=0,0,ROUND(MAX($J592*1.4*1.5*1.6*1.6*2.2*2.715*2.6*1.4*1.4*1.5*1.5*3.2,60500000000*(1.654288^(MIN($E592,123)-117)))*1,0))</f>
        <v>1240001159555</v>
      </c>
    </row>
    <row r="593" ht="27.75" customHeight="1" spans="1:34" x14ac:dyDescent="0.25">
      <c r="A593" s="3">
        <v>603</v>
      </c>
      <c r="B593" s="3" t="s">
        <v>269</v>
      </c>
      <c r="C593" s="3" t="s">
        <v>590</v>
      </c>
      <c r="D593" s="3" t="s">
        <v>29</v>
      </c>
      <c r="E593" s="3">
        <v>126</v>
      </c>
      <c r="F593" s="3" t="s">
        <v>26</v>
      </c>
      <c r="G593" s="3" t="s">
        <v>270</v>
      </c>
      <c r="H593" s="3">
        <v>35</v>
      </c>
      <c r="I593" s="4">
        <v>126</v>
      </c>
      <c r="J593" s="5">
        <v>670000000</v>
      </c>
      <c r="K593" s="6">
        <f>$E593+1</f>
        <v>127</v>
      </c>
      <c r="L593" s="7">
        <f>IF($J593=0,0,ROUND(MAX($J593*1.4,1620000*(1.497923^(MIN($E593,123)-117)))*1,0))</f>
        <v>938000000</v>
      </c>
      <c r="M593" s="4">
        <f>$E593+2</f>
        <v>128</v>
      </c>
      <c r="N593" s="8">
        <f>IF($J593=0,0,ROUND(MAX($J593*1.4*1.5,2190000*(1.580994^(MIN($E593,123)-117)))*1,0))</f>
        <v>1407000000</v>
      </c>
      <c r="O593" s="6">
        <f>$E593+4</f>
        <v>130</v>
      </c>
      <c r="P593" s="7">
        <f>IF($J593=0,0,ROUND(MAX($J593*1.4*1.5*1.6,3500000*(1.57975^(MIN($E593,123)-117)))*1,0))</f>
        <v>2251200000</v>
      </c>
      <c r="Q593" s="4">
        <f>$E593+6</f>
        <v>132</v>
      </c>
      <c r="R593" s="8">
        <f>IF($J593=0,0,ROUND(MAX($J593*1.4*1.5*1.6*1.6,13100000*(1.429962^(MIN($E593,123)-117)))*1,0))</f>
        <v>3601920000</v>
      </c>
      <c r="S593" s="6">
        <f>$E593+8</f>
        <v>134</v>
      </c>
      <c r="T593" s="7">
        <f>IF($J593=0,0,ROUND(MAX($J593*1.4*1.5*1.6*1.6*2.2,42600000*(1.576904^(MIN($E593,123)-117)))*1,0))</f>
        <v>7924224000</v>
      </c>
      <c r="U593" s="4">
        <f>$E593+11</f>
        <v>137</v>
      </c>
      <c r="V593" s="8">
        <f>IF($J593=0,0,ROUND(MAX($J593*1.4*1.5*1.6*1.6*2.2*2.715,354000000*(1.642074^(MIN($E593,123)-117)))*1,0))</f>
        <v>21514268160</v>
      </c>
      <c r="W593" s="6">
        <f>$E593+15</f>
        <v>141</v>
      </c>
      <c r="X593" s="7">
        <f>IF($J593=0,0,ROUND(MAX($J593*1.4*1.5*1.6*1.6*2.2*2.715*2.6,3540000000*(1.579646^(MIN($E593,123)-117)))*1,0))</f>
        <v>55937097216</v>
      </c>
      <c r="Y593" s="4">
        <f>$E593+17</f>
        <v>143</v>
      </c>
      <c r="Z593" s="8">
        <f>IF($J593=0,0,ROUND(MAX($J593*1.4*1.5*1.6*1.6*2.2*2.715*2.6*1.4,6020000000*(1.651178^(MIN($E593,123)-117)))*1,0))</f>
        <v>122000006103</v>
      </c>
      <c r="AA593" s="6">
        <f>$E593+19</f>
        <v>145</v>
      </c>
      <c r="AB593" s="7">
        <f>IF($J593=0,0,ROUND(MAX($J593*1.4*1.5*1.6*1.6*2.2*2.715*2.6*1.4*1.4,8430000000*(1.651435^(MIN($E593,123)-117)))*1,0))</f>
        <v>171000146547</v>
      </c>
      <c r="AC593" s="4">
        <f>$E593+21</f>
        <v>147</v>
      </c>
      <c r="AD593" s="8">
        <f>IF($J593=0,0,ROUND(MAX($J593*1.4*1.5*1.6*1.6*2.2*2.715*2.6*1.4*1.4*1.5,12600000000*(1.652953^(MIN($E593,123)-117)))*1,0))</f>
        <v>257000267475</v>
      </c>
      <c r="AE593" s="6">
        <f>$E593+24</f>
        <v>150</v>
      </c>
      <c r="AF593" s="7">
        <f>IF($J593=0,0,ROUND(MAX($J593*1.4*1.5*1.6*1.6*2.2*2.715*2.6*1.4*1.4*1.5*1.5,18900000000*(1.65331^(MIN($E593,123)-117)))*1,0))</f>
        <v>386000226581</v>
      </c>
      <c r="AG593" s="4">
        <f>$E593+27</f>
        <v>153</v>
      </c>
      <c r="AH593" s="8">
        <f>IF($J593=0,0,ROUND(MAX($J593*1.4*1.5*1.6*1.6*2.2*2.715*2.6*1.4*1.4*1.5*1.5*3.2,60500000000*(1.654288^(MIN($E593,123)-117)))*1,0))</f>
        <v>1240001159555</v>
      </c>
    </row>
    <row r="594" ht="27.75" customHeight="1" spans="1:34" x14ac:dyDescent="0.25">
      <c r="A594" s="3">
        <v>604</v>
      </c>
      <c r="B594" s="3" t="s">
        <v>468</v>
      </c>
      <c r="C594" s="3" t="s">
        <v>641</v>
      </c>
      <c r="D594" s="3" t="s">
        <v>29</v>
      </c>
      <c r="E594" s="3">
        <v>122</v>
      </c>
      <c r="F594" s="3" t="s">
        <v>258</v>
      </c>
      <c r="G594" s="3" t="s">
        <v>258</v>
      </c>
      <c r="H594" s="3">
        <v>32</v>
      </c>
      <c r="I594" s="4">
        <v>122</v>
      </c>
      <c r="J594" s="5">
        <v>4200000</v>
      </c>
      <c r="K594" s="6">
        <f>$E594+1</f>
        <v>123</v>
      </c>
      <c r="L594" s="7">
        <f>IF($J594=0,0,ROUND(MAX($J594*1.4,1620000*(1.497923^(MIN($E594,123)-117)))*1,0))</f>
        <v>12216941</v>
      </c>
      <c r="M594" s="4">
        <f>$E594+2</f>
        <v>124</v>
      </c>
      <c r="N594" s="8">
        <f>IF($J594=0,0,ROUND(MAX($J594*1.4*1.5,2190000*(1.580994^(MIN($E594,123)-117)))*1,0))</f>
        <v>21631928</v>
      </c>
      <c r="O594" s="6">
        <f>$E594+4</f>
        <v>126</v>
      </c>
      <c r="P594" s="7">
        <f>IF($J594=0,0,ROUND(MAX($J594*1.4*1.5*1.6,3500000*(1.57975^(MIN($E594,123)-117)))*1,0))</f>
        <v>34435775</v>
      </c>
      <c r="Q594" s="4">
        <f>$E594+6</f>
        <v>128</v>
      </c>
      <c r="R594" s="8">
        <f>IF($J594=0,0,ROUND(MAX($J594*1.4*1.5*1.6*1.6,13100000*(1.429962^(MIN($E594,123)-117)))*1,0))</f>
        <v>78323805</v>
      </c>
      <c r="S594" s="6">
        <f>$E594+8</f>
        <v>130</v>
      </c>
      <c r="T594" s="7">
        <f>IF($J594=0,0,ROUND(MAX($J594*1.4*1.5*1.6*1.6*2.2,42600000*(1.576904^(MIN($E594,123)-117)))*1,0))</f>
        <v>415370714</v>
      </c>
      <c r="U594" s="4">
        <f>$E594+11</f>
        <v>133</v>
      </c>
      <c r="V594" s="8">
        <f>IF($J594=0,0,ROUND(MAX($J594*1.4*1.5*1.6*1.6*2.2*2.715,354000000*(1.642074^(MIN($E594,123)-117)))*1,0))</f>
        <v>4226363874</v>
      </c>
      <c r="W594" s="6">
        <f>$E594+15</f>
        <v>137</v>
      </c>
      <c r="X594" s="7">
        <f>IF($J594=0,0,ROUND(MAX($J594*1.4*1.5*1.6*1.6*2.2*2.715*2.6,3540000000*(1.579646^(MIN($E594,123)-117)))*1,0))</f>
        <v>34817863835</v>
      </c>
      <c r="Y594" s="4">
        <f>$E594+17</f>
        <v>139</v>
      </c>
      <c r="Z594" s="8">
        <f>IF($J594=0,0,ROUND(MAX($J594*1.4*1.5*1.6*1.6*2.2*2.715*2.6*1.4,6020000000*(1.651178^(MIN($E594,123)-117)))*1,0))</f>
        <v>73886647050</v>
      </c>
      <c r="AA594" s="6">
        <f>$E594+19</f>
        <v>141</v>
      </c>
      <c r="AB594" s="7">
        <f>IF($J594=0,0,ROUND(MAX($J594*1.4*1.5*1.6*1.6*2.2*2.715*2.6*1.4*1.4,8430000000*(1.651435^(MIN($E594,123)-117)))*1,0))</f>
        <v>103546398464</v>
      </c>
      <c r="AC594" s="4">
        <f>$E594+21</f>
        <v>143</v>
      </c>
      <c r="AD594" s="8">
        <f>IF($J594=0,0,ROUND(MAX($J594*1.4*1.5*1.6*1.6*2.2*2.715*2.6*1.4*1.4*1.5,12600000000*(1.652953^(MIN($E594,123)-117)))*1,0))</f>
        <v>155479476715</v>
      </c>
      <c r="AE594" s="6">
        <f>$E594+24</f>
        <v>146</v>
      </c>
      <c r="AF594" s="7">
        <f>IF($J594=0,0,ROUND(MAX($J594*1.4*1.5*1.6*1.6*2.2*2.715*2.6*1.4*1.4*1.5*1.5,18900000000*(1.65331^(MIN($E594,123)-117)))*1,0))</f>
        <v>233471173936</v>
      </c>
      <c r="AG594" s="4">
        <f>$E594+27</f>
        <v>149</v>
      </c>
      <c r="AH594" s="8">
        <f>IF($J594=0,0,ROUND(MAX($J594*1.4*1.5*1.6*1.6*2.2*2.715*2.6*1.4*1.4*1.5*1.5*3.2,60500000000*(1.654288^(MIN($E594,123)-117)))*1,0))</f>
        <v>749567886338</v>
      </c>
    </row>
    <row r="595" ht="27.75" customHeight="1" spans="1:34" x14ac:dyDescent="0.25">
      <c r="A595" s="3">
        <v>605</v>
      </c>
      <c r="B595" s="3" t="s">
        <v>473</v>
      </c>
      <c r="C595" s="3" t="s">
        <v>641</v>
      </c>
      <c r="D595" s="3" t="s">
        <v>64</v>
      </c>
      <c r="E595" s="3">
        <v>118</v>
      </c>
      <c r="F595" s="3" t="s">
        <v>123</v>
      </c>
      <c r="G595" s="3" t="s">
        <v>123</v>
      </c>
      <c r="H595" s="3">
        <v>29</v>
      </c>
      <c r="I595" s="4">
        <v>118</v>
      </c>
      <c r="J595" s="5">
        <v>837000</v>
      </c>
      <c r="K595" s="6">
        <f>$E595+1</f>
        <v>119</v>
      </c>
      <c r="L595" s="7">
        <f>IF($J595=0,0,ROUND(MAX($J595*1.4,1620000*(1.497923^(MIN($E595,123)-117)))*1,0))</f>
        <v>2426635</v>
      </c>
      <c r="M595" s="4">
        <f>$E595+2</f>
        <v>120</v>
      </c>
      <c r="N595" s="8">
        <f>IF($J595=0,0,ROUND(MAX($J595*1.4*1.5,2190000*(1.580994^(MIN($E595,123)-117)))*1,0))</f>
        <v>3462377</v>
      </c>
      <c r="O595" s="6">
        <f>$E595+4</f>
        <v>122</v>
      </c>
      <c r="P595" s="7">
        <f>IF($J595=0,0,ROUND(MAX($J595*1.4*1.5*1.6,3500000*(1.57975^(MIN($E595,123)-117)))*1,0))</f>
        <v>5529125</v>
      </c>
      <c r="Q595" s="4">
        <f>$E595+6</f>
        <v>124</v>
      </c>
      <c r="R595" s="8">
        <f>IF($J595=0,0,ROUND(MAX($J595*1.4*1.5*1.6*1.6,13100000*(1.429962^(MIN($E595,123)-117)))*1,0))</f>
        <v>18732502</v>
      </c>
      <c r="S595" s="6">
        <f>$E595+8</f>
        <v>126</v>
      </c>
      <c r="T595" s="7">
        <f>IF($J595=0,0,ROUND(MAX($J595*1.4*1.5*1.6*1.6*2.2,42600000*(1.576904^(MIN($E595,123)-117)))*1,0))</f>
        <v>67176110</v>
      </c>
      <c r="U595" s="4">
        <f>$E595+11</f>
        <v>129</v>
      </c>
      <c r="V595" s="8">
        <f>IF($J595=0,0,ROUND(MAX($J595*1.4*1.5*1.6*1.6*2.2*2.715,354000000*(1.642074^(MIN($E595,123)-117)))*1,0))</f>
        <v>581294196</v>
      </c>
      <c r="W595" s="6">
        <f>$E595+15</f>
        <v>133</v>
      </c>
      <c r="X595" s="7">
        <f>IF($J595=0,0,ROUND(MAX($J595*1.4*1.5*1.6*1.6*2.2*2.715*2.6,3540000000*(1.579646^(MIN($E595,123)-117)))*1,0))</f>
        <v>5591946840</v>
      </c>
      <c r="Y595" s="4">
        <f>$E595+17</f>
        <v>135</v>
      </c>
      <c r="Z595" s="8">
        <f>IF($J595=0,0,ROUND(MAX($J595*1.4*1.5*1.6*1.6*2.2*2.715*2.6*1.4,6020000000*(1.651178^(MIN($E595,123)-117)))*1,0))</f>
        <v>9940091560</v>
      </c>
      <c r="AA595" s="6">
        <f>$E595+19</f>
        <v>137</v>
      </c>
      <c r="AB595" s="7">
        <f>IF($J595=0,0,ROUND(MAX($J595*1.4*1.5*1.6*1.6*2.2*2.715*2.6*1.4*1.4,8430000000*(1.651435^(MIN($E595,123)-117)))*1,0))</f>
        <v>13921597050</v>
      </c>
      <c r="AC595" s="4">
        <f>$E595+21</f>
        <v>139</v>
      </c>
      <c r="AD595" s="8">
        <f>IF($J595=0,0,ROUND(MAX($J595*1.4*1.5*1.6*1.6*2.2*2.715*2.6*1.4*1.4*1.5,12600000000*(1.652953^(MIN($E595,123)-117)))*1,0))</f>
        <v>20827207800</v>
      </c>
      <c r="AE595" s="6">
        <f>$E595+24</f>
        <v>142</v>
      </c>
      <c r="AF595" s="7">
        <f>IF($J595=0,0,ROUND(MAX($J595*1.4*1.5*1.6*1.6*2.2*2.715*2.6*1.4*1.4*1.5*1.5,18900000000*(1.65331^(MIN($E595,123)-117)))*1,0))</f>
        <v>31247559000</v>
      </c>
      <c r="AG595" s="4">
        <f>$E595+27</f>
        <v>145</v>
      </c>
      <c r="AH595" s="8">
        <f>IF($J595=0,0,ROUND(MAX($J595*1.4*1.5*1.6*1.6*2.2*2.715*2.6*1.4*1.4*1.5*1.5*3.2,60500000000*(1.654288^(MIN($E595,123)-117)))*1,0))</f>
        <v>100084424000</v>
      </c>
    </row>
    <row r="596" ht="27.75" customHeight="1" spans="1:34" x14ac:dyDescent="0.25">
      <c r="A596" s="3">
        <v>606</v>
      </c>
      <c r="B596" s="3" t="s">
        <v>642</v>
      </c>
      <c r="C596" s="3" t="s">
        <v>641</v>
      </c>
      <c r="D596" s="3" t="s">
        <v>29</v>
      </c>
      <c r="E596" s="3">
        <v>118</v>
      </c>
      <c r="F596" s="3" t="s">
        <v>643</v>
      </c>
      <c r="G596" s="3" t="s">
        <v>643</v>
      </c>
      <c r="H596" s="3">
        <v>29</v>
      </c>
      <c r="I596" s="4">
        <v>118</v>
      </c>
      <c r="J596" s="5">
        <v>960000</v>
      </c>
      <c r="K596" s="6">
        <f>$E596+1</f>
        <v>119</v>
      </c>
      <c r="L596" s="7">
        <f>IF($J596=0,0,ROUND(MAX($J596*1.4,1620000*(1.497923^(MIN($E596,123)-117)))*1,0))</f>
        <v>2426635</v>
      </c>
      <c r="M596" s="4">
        <f>$E596+2</f>
        <v>120</v>
      </c>
      <c r="N596" s="8">
        <f>IF($J596=0,0,ROUND(MAX($J596*1.4*1.5,2190000*(1.580994^(MIN($E596,123)-117)))*1,0))</f>
        <v>3462377</v>
      </c>
      <c r="O596" s="6">
        <f>$E596+4</f>
        <v>122</v>
      </c>
      <c r="P596" s="7">
        <f>IF($J596=0,0,ROUND(MAX($J596*1.4*1.5*1.6,3500000*(1.57975^(MIN($E596,123)-117)))*1,0))</f>
        <v>5529125</v>
      </c>
      <c r="Q596" s="4">
        <f>$E596+6</f>
        <v>124</v>
      </c>
      <c r="R596" s="8">
        <f>IF($J596=0,0,ROUND(MAX($J596*1.4*1.5*1.6*1.6,13100000*(1.429962^(MIN($E596,123)-117)))*1,0))</f>
        <v>18732502</v>
      </c>
      <c r="S596" s="6">
        <f>$E596+8</f>
        <v>126</v>
      </c>
      <c r="T596" s="7">
        <f>IF($J596=0,0,ROUND(MAX($J596*1.4*1.5*1.6*1.6*2.2,42600000*(1.576904^(MIN($E596,123)-117)))*1,0))</f>
        <v>67176110</v>
      </c>
      <c r="U596" s="4">
        <f>$E596+11</f>
        <v>129</v>
      </c>
      <c r="V596" s="8">
        <f>IF($J596=0,0,ROUND(MAX($J596*1.4*1.5*1.6*1.6*2.2*2.715,354000000*(1.642074^(MIN($E596,123)-117)))*1,0))</f>
        <v>581294196</v>
      </c>
      <c r="W596" s="6">
        <f>$E596+15</f>
        <v>133</v>
      </c>
      <c r="X596" s="7">
        <f>IF($J596=0,0,ROUND(MAX($J596*1.4*1.5*1.6*1.6*2.2*2.715*2.6,3540000000*(1.579646^(MIN($E596,123)-117)))*1,0))</f>
        <v>5591946840</v>
      </c>
      <c r="Y596" s="4">
        <f>$E596+17</f>
        <v>135</v>
      </c>
      <c r="Z596" s="8">
        <f>IF($J596=0,0,ROUND(MAX($J596*1.4*1.5*1.6*1.6*2.2*2.715*2.6*1.4,6020000000*(1.651178^(MIN($E596,123)-117)))*1,0))</f>
        <v>9940091560</v>
      </c>
      <c r="AA596" s="6">
        <f>$E596+19</f>
        <v>137</v>
      </c>
      <c r="AB596" s="7">
        <f>IF($J596=0,0,ROUND(MAX($J596*1.4*1.5*1.6*1.6*2.2*2.715*2.6*1.4*1.4,8430000000*(1.651435^(MIN($E596,123)-117)))*1,0))</f>
        <v>13921597050</v>
      </c>
      <c r="AC596" s="4">
        <f>$E596+21</f>
        <v>139</v>
      </c>
      <c r="AD596" s="8">
        <f>IF($J596=0,0,ROUND(MAX($J596*1.4*1.5*1.6*1.6*2.2*2.715*2.6*1.4*1.4*1.5,12600000000*(1.652953^(MIN($E596,123)-117)))*1,0))</f>
        <v>20827207800</v>
      </c>
      <c r="AE596" s="6">
        <f>$E596+24</f>
        <v>142</v>
      </c>
      <c r="AF596" s="7">
        <f>IF($J596=0,0,ROUND(MAX($J596*1.4*1.5*1.6*1.6*2.2*2.715*2.6*1.4*1.4*1.5*1.5,18900000000*(1.65331^(MIN($E596,123)-117)))*1,0))</f>
        <v>31247559000</v>
      </c>
      <c r="AG596" s="4">
        <f>$E596+27</f>
        <v>145</v>
      </c>
      <c r="AH596" s="8">
        <f>IF($J596=0,0,ROUND(MAX($J596*1.4*1.5*1.6*1.6*2.2*2.715*2.6*1.4*1.4*1.5*1.5*3.2,60500000000*(1.654288^(MIN($E596,123)-117)))*1,0))</f>
        <v>100084424000</v>
      </c>
    </row>
    <row r="597" ht="27.75" customHeight="1" spans="1:34" x14ac:dyDescent="0.25">
      <c r="A597" s="3">
        <v>607</v>
      </c>
      <c r="B597" s="3" t="s">
        <v>632</v>
      </c>
      <c r="C597" s="3" t="s">
        <v>641</v>
      </c>
      <c r="D597" s="3" t="s">
        <v>45</v>
      </c>
      <c r="E597" s="3">
        <v>118</v>
      </c>
      <c r="F597" s="3" t="s">
        <v>26</v>
      </c>
      <c r="G597" s="3" t="s">
        <v>26</v>
      </c>
      <c r="H597" s="3">
        <v>29</v>
      </c>
      <c r="I597" s="4">
        <v>118</v>
      </c>
      <c r="J597" s="5">
        <v>961000</v>
      </c>
      <c r="K597" s="6">
        <f>$E597+1</f>
        <v>119</v>
      </c>
      <c r="L597" s="7">
        <f>IF($J597=0,0,ROUND(MAX($J597*1.4,1620000*(1.497923^(MIN($E597,123)-117)))*1,0))</f>
        <v>2426635</v>
      </c>
      <c r="M597" s="4">
        <f>$E597+2</f>
        <v>120</v>
      </c>
      <c r="N597" s="8">
        <f>IF($J597=0,0,ROUND(MAX($J597*1.4*1.5,2190000*(1.580994^(MIN($E597,123)-117)))*1,0))</f>
        <v>3462377</v>
      </c>
      <c r="O597" s="6">
        <f>$E597+4</f>
        <v>122</v>
      </c>
      <c r="P597" s="7">
        <f>IF($J597=0,0,ROUND(MAX($J597*1.4*1.5*1.6,3500000*(1.57975^(MIN($E597,123)-117)))*1,0))</f>
        <v>5529125</v>
      </c>
      <c r="Q597" s="4">
        <f>$E597+6</f>
        <v>124</v>
      </c>
      <c r="R597" s="8">
        <f>IF($J597=0,0,ROUND(MAX($J597*1.4*1.5*1.6*1.6,13100000*(1.429962^(MIN($E597,123)-117)))*1,0))</f>
        <v>18732502</v>
      </c>
      <c r="S597" s="6">
        <f>$E597+8</f>
        <v>126</v>
      </c>
      <c r="T597" s="7">
        <f>IF($J597=0,0,ROUND(MAX($J597*1.4*1.5*1.6*1.6*2.2,42600000*(1.576904^(MIN($E597,123)-117)))*1,0))</f>
        <v>67176110</v>
      </c>
      <c r="U597" s="4">
        <f>$E597+11</f>
        <v>129</v>
      </c>
      <c r="V597" s="8">
        <f>IF($J597=0,0,ROUND(MAX($J597*1.4*1.5*1.6*1.6*2.2*2.715,354000000*(1.642074^(MIN($E597,123)-117)))*1,0))</f>
        <v>581294196</v>
      </c>
      <c r="W597" s="6">
        <f>$E597+15</f>
        <v>133</v>
      </c>
      <c r="X597" s="7">
        <f>IF($J597=0,0,ROUND(MAX($J597*1.4*1.5*1.6*1.6*2.2*2.715*2.6,3540000000*(1.579646^(MIN($E597,123)-117)))*1,0))</f>
        <v>5591946840</v>
      </c>
      <c r="Y597" s="4">
        <f>$E597+17</f>
        <v>135</v>
      </c>
      <c r="Z597" s="8">
        <f>IF($J597=0,0,ROUND(MAX($J597*1.4*1.5*1.6*1.6*2.2*2.715*2.6*1.4,6020000000*(1.651178^(MIN($E597,123)-117)))*1,0))</f>
        <v>9940091560</v>
      </c>
      <c r="AA597" s="6">
        <f>$E597+19</f>
        <v>137</v>
      </c>
      <c r="AB597" s="7">
        <f>IF($J597=0,0,ROUND(MAX($J597*1.4*1.5*1.6*1.6*2.2*2.715*2.6*1.4*1.4,8430000000*(1.651435^(MIN($E597,123)-117)))*1,0))</f>
        <v>13921597050</v>
      </c>
      <c r="AC597" s="4">
        <f>$E597+21</f>
        <v>139</v>
      </c>
      <c r="AD597" s="8">
        <f>IF($J597=0,0,ROUND(MAX($J597*1.4*1.5*1.6*1.6*2.2*2.715*2.6*1.4*1.4*1.5,12600000000*(1.652953^(MIN($E597,123)-117)))*1,0))</f>
        <v>20827207800</v>
      </c>
      <c r="AE597" s="6">
        <f>$E597+24</f>
        <v>142</v>
      </c>
      <c r="AF597" s="7">
        <f>IF($J597=0,0,ROUND(MAX($J597*1.4*1.5*1.6*1.6*2.2*2.715*2.6*1.4*1.4*1.5*1.5,18900000000*(1.65331^(MIN($E597,123)-117)))*1,0))</f>
        <v>31247559000</v>
      </c>
      <c r="AG597" s="4">
        <f>$E597+27</f>
        <v>145</v>
      </c>
      <c r="AH597" s="8">
        <f>IF($J597=0,0,ROUND(MAX($J597*1.4*1.5*1.6*1.6*2.2*2.715*2.6*1.4*1.4*1.5*1.5*3.2,60500000000*(1.654288^(MIN($E597,123)-117)))*1,0))</f>
        <v>100084424000</v>
      </c>
    </row>
    <row r="598" ht="27.75" customHeight="1" spans="1:34" x14ac:dyDescent="0.25">
      <c r="A598" s="3">
        <v>608</v>
      </c>
      <c r="B598" s="3" t="s">
        <v>644</v>
      </c>
      <c r="C598" s="3" t="s">
        <v>641</v>
      </c>
      <c r="D598" s="3" t="s">
        <v>33</v>
      </c>
      <c r="E598" s="3">
        <v>118</v>
      </c>
      <c r="F598" s="3" t="s">
        <v>310</v>
      </c>
      <c r="G598" s="3" t="s">
        <v>310</v>
      </c>
      <c r="H598" s="3">
        <v>29</v>
      </c>
      <c r="I598" s="4">
        <v>118</v>
      </c>
      <c r="J598" s="5">
        <v>970000</v>
      </c>
      <c r="K598" s="6">
        <f>$E598+1</f>
        <v>119</v>
      </c>
      <c r="L598" s="7">
        <f>IF($J598=0,0,ROUND(MAX($J598*1.4,1620000*(1.497923^(MIN($E598,123)-117)))*1,0))</f>
        <v>2426635</v>
      </c>
      <c r="M598" s="4">
        <f>$E598+2</f>
        <v>120</v>
      </c>
      <c r="N598" s="8">
        <f>IF($J598=0,0,ROUND(MAX($J598*1.4*1.5,2190000*(1.580994^(MIN($E598,123)-117)))*1,0))</f>
        <v>3462377</v>
      </c>
      <c r="O598" s="6">
        <f>$E598+4</f>
        <v>122</v>
      </c>
      <c r="P598" s="7">
        <f>IF($J598=0,0,ROUND(MAX($J598*1.4*1.5*1.6,3500000*(1.57975^(MIN($E598,123)-117)))*1,0))</f>
        <v>5529125</v>
      </c>
      <c r="Q598" s="4">
        <f>$E598+6</f>
        <v>124</v>
      </c>
      <c r="R598" s="8">
        <f>IF($J598=0,0,ROUND(MAX($J598*1.4*1.5*1.6*1.6,13100000*(1.429962^(MIN($E598,123)-117)))*1,0))</f>
        <v>18732502</v>
      </c>
      <c r="S598" s="6">
        <f>$E598+8</f>
        <v>126</v>
      </c>
      <c r="T598" s="7">
        <f>IF($J598=0,0,ROUND(MAX($J598*1.4*1.5*1.6*1.6*2.2,42600000*(1.576904^(MIN($E598,123)-117)))*1,0))</f>
        <v>67176110</v>
      </c>
      <c r="U598" s="4">
        <f>$E598+11</f>
        <v>129</v>
      </c>
      <c r="V598" s="8">
        <f>IF($J598=0,0,ROUND(MAX($J598*1.4*1.5*1.6*1.6*2.2*2.715,354000000*(1.642074^(MIN($E598,123)-117)))*1,0))</f>
        <v>581294196</v>
      </c>
      <c r="W598" s="6">
        <f>$E598+15</f>
        <v>133</v>
      </c>
      <c r="X598" s="7">
        <f>IF($J598=0,0,ROUND(MAX($J598*1.4*1.5*1.6*1.6*2.2*2.715*2.6,3540000000*(1.579646^(MIN($E598,123)-117)))*1,0))</f>
        <v>5591946840</v>
      </c>
      <c r="Y598" s="4">
        <f>$E598+17</f>
        <v>135</v>
      </c>
      <c r="Z598" s="8">
        <f>IF($J598=0,0,ROUND(MAX($J598*1.4*1.5*1.6*1.6*2.2*2.715*2.6*1.4,6020000000*(1.651178^(MIN($E598,123)-117)))*1,0))</f>
        <v>9940091560</v>
      </c>
      <c r="AA598" s="6">
        <f>$E598+19</f>
        <v>137</v>
      </c>
      <c r="AB598" s="7">
        <f>IF($J598=0,0,ROUND(MAX($J598*1.4*1.5*1.6*1.6*2.2*2.715*2.6*1.4*1.4,8430000000*(1.651435^(MIN($E598,123)-117)))*1,0))</f>
        <v>13921597050</v>
      </c>
      <c r="AC598" s="4">
        <f>$E598+21</f>
        <v>139</v>
      </c>
      <c r="AD598" s="8">
        <f>IF($J598=0,0,ROUND(MAX($J598*1.4*1.5*1.6*1.6*2.2*2.715*2.6*1.4*1.4*1.5,12600000000*(1.652953^(MIN($E598,123)-117)))*1,0))</f>
        <v>20827207800</v>
      </c>
      <c r="AE598" s="6">
        <f>$E598+24</f>
        <v>142</v>
      </c>
      <c r="AF598" s="7">
        <f>IF($J598=0,0,ROUND(MAX($J598*1.4*1.5*1.6*1.6*2.2*2.715*2.6*1.4*1.4*1.5*1.5,18900000000*(1.65331^(MIN($E598,123)-117)))*1,0))</f>
        <v>31247559000</v>
      </c>
      <c r="AG598" s="4">
        <f>$E598+27</f>
        <v>145</v>
      </c>
      <c r="AH598" s="8">
        <f>IF($J598=0,0,ROUND(MAX($J598*1.4*1.5*1.6*1.6*2.2*2.715*2.6*1.4*1.4*1.5*1.5*3.2,60500000000*(1.654288^(MIN($E598,123)-117)))*1,0))</f>
        <v>100084424000</v>
      </c>
    </row>
    <row r="599" ht="27.75" customHeight="1" spans="1:34" x14ac:dyDescent="0.25">
      <c r="A599" s="3">
        <v>609</v>
      </c>
      <c r="B599" s="3" t="s">
        <v>645</v>
      </c>
      <c r="C599" s="3" t="s">
        <v>641</v>
      </c>
      <c r="D599" s="3" t="s">
        <v>29</v>
      </c>
      <c r="E599" s="3">
        <v>118</v>
      </c>
      <c r="F599" s="3" t="s">
        <v>383</v>
      </c>
      <c r="G599" s="3" t="s">
        <v>383</v>
      </c>
      <c r="H599" s="3">
        <v>29</v>
      </c>
      <c r="I599" s="4">
        <v>118</v>
      </c>
      <c r="J599" s="5">
        <v>960000</v>
      </c>
      <c r="K599" s="6">
        <f>$E599+1</f>
        <v>119</v>
      </c>
      <c r="L599" s="7">
        <f>IF($J599=0,0,ROUND(MAX($J599*1.4,1620000*(1.497923^(MIN($E599,123)-117)))*1,0))</f>
        <v>2426635</v>
      </c>
      <c r="M599" s="4">
        <f>$E599+2</f>
        <v>120</v>
      </c>
      <c r="N599" s="8">
        <f>IF($J599=0,0,ROUND(MAX($J599*1.4*1.5,2190000*(1.580994^(MIN($E599,123)-117)))*1,0))</f>
        <v>3462377</v>
      </c>
      <c r="O599" s="6">
        <f>$E599+4</f>
        <v>122</v>
      </c>
      <c r="P599" s="7">
        <f>IF($J599=0,0,ROUND(MAX($J599*1.4*1.5*1.6,3500000*(1.57975^(MIN($E599,123)-117)))*1,0))</f>
        <v>5529125</v>
      </c>
      <c r="Q599" s="4">
        <f>$E599+6</f>
        <v>124</v>
      </c>
      <c r="R599" s="8">
        <f>IF($J599=0,0,ROUND(MAX($J599*1.4*1.5*1.6*1.6,13100000*(1.429962^(MIN($E599,123)-117)))*1,0))</f>
        <v>18732502</v>
      </c>
      <c r="S599" s="6">
        <f>$E599+8</f>
        <v>126</v>
      </c>
      <c r="T599" s="7">
        <f>IF($J599=0,0,ROUND(MAX($J599*1.4*1.5*1.6*1.6*2.2,42600000*(1.576904^(MIN($E599,123)-117)))*1,0))</f>
        <v>67176110</v>
      </c>
      <c r="U599" s="4">
        <f>$E599+11</f>
        <v>129</v>
      </c>
      <c r="V599" s="8">
        <f>IF($J599=0,0,ROUND(MAX($J599*1.4*1.5*1.6*1.6*2.2*2.715,354000000*(1.642074^(MIN($E599,123)-117)))*1,0))</f>
        <v>581294196</v>
      </c>
      <c r="W599" s="6">
        <f>$E599+15</f>
        <v>133</v>
      </c>
      <c r="X599" s="7">
        <f>IF($J599=0,0,ROUND(MAX($J599*1.4*1.5*1.6*1.6*2.2*2.715*2.6,3540000000*(1.579646^(MIN($E599,123)-117)))*1,0))</f>
        <v>5591946840</v>
      </c>
      <c r="Y599" s="4">
        <f>$E599+17</f>
        <v>135</v>
      </c>
      <c r="Z599" s="8">
        <f>IF($J599=0,0,ROUND(MAX($J599*1.4*1.5*1.6*1.6*2.2*2.715*2.6*1.4,6020000000*(1.651178^(MIN($E599,123)-117)))*1,0))</f>
        <v>9940091560</v>
      </c>
      <c r="AA599" s="6">
        <f>$E599+19</f>
        <v>137</v>
      </c>
      <c r="AB599" s="7">
        <f>IF($J599=0,0,ROUND(MAX($J599*1.4*1.5*1.6*1.6*2.2*2.715*2.6*1.4*1.4,8430000000*(1.651435^(MIN($E599,123)-117)))*1,0))</f>
        <v>13921597050</v>
      </c>
      <c r="AC599" s="4">
        <f>$E599+21</f>
        <v>139</v>
      </c>
      <c r="AD599" s="8">
        <f>IF($J599=0,0,ROUND(MAX($J599*1.4*1.5*1.6*1.6*2.2*2.715*2.6*1.4*1.4*1.5,12600000000*(1.652953^(MIN($E599,123)-117)))*1,0))</f>
        <v>20827207800</v>
      </c>
      <c r="AE599" s="6">
        <f>$E599+24</f>
        <v>142</v>
      </c>
      <c r="AF599" s="7">
        <f>IF($J599=0,0,ROUND(MAX($J599*1.4*1.5*1.6*1.6*2.2*2.715*2.6*1.4*1.4*1.5*1.5,18900000000*(1.65331^(MIN($E599,123)-117)))*1,0))</f>
        <v>31247559000</v>
      </c>
      <c r="AG599" s="4">
        <f>$E599+27</f>
        <v>145</v>
      </c>
      <c r="AH599" s="8">
        <f>IF($J599=0,0,ROUND(MAX($J599*1.4*1.5*1.6*1.6*2.2*2.715*2.6*1.4*1.4*1.5*1.5*3.2,60500000000*(1.654288^(MIN($E599,123)-117)))*1,0))</f>
        <v>100084424000</v>
      </c>
    </row>
    <row r="600" ht="27.75" customHeight="1" spans="1:34" x14ac:dyDescent="0.25">
      <c r="A600" s="3">
        <v>610</v>
      </c>
      <c r="B600" s="3" t="s">
        <v>162</v>
      </c>
      <c r="C600" s="3" t="s">
        <v>641</v>
      </c>
      <c r="D600" s="3" t="s">
        <v>102</v>
      </c>
      <c r="E600" s="3">
        <v>118</v>
      </c>
      <c r="F600" s="3" t="s">
        <v>71</v>
      </c>
      <c r="G600" s="3" t="s">
        <v>71</v>
      </c>
      <c r="H600" s="3">
        <v>29</v>
      </c>
      <c r="I600" s="4">
        <v>118</v>
      </c>
      <c r="J600" s="5">
        <v>964000</v>
      </c>
      <c r="K600" s="6">
        <f>$E600+1</f>
        <v>119</v>
      </c>
      <c r="L600" s="7">
        <f>IF($J600=0,0,ROUND(MAX($J600*1.4,1620000*(1.497923^(MIN($E600,123)-117)))*1,0))</f>
        <v>2426635</v>
      </c>
      <c r="M600" s="4">
        <f>$E600+2</f>
        <v>120</v>
      </c>
      <c r="N600" s="8">
        <f>IF($J600=0,0,ROUND(MAX($J600*1.4*1.5,2190000*(1.580994^(MIN($E600,123)-117)))*1,0))</f>
        <v>3462377</v>
      </c>
      <c r="O600" s="6">
        <f>$E600+4</f>
        <v>122</v>
      </c>
      <c r="P600" s="7">
        <f>IF($J600=0,0,ROUND(MAX($J600*1.4*1.5*1.6,3500000*(1.57975^(MIN($E600,123)-117)))*1,0))</f>
        <v>5529125</v>
      </c>
      <c r="Q600" s="4">
        <f>$E600+6</f>
        <v>124</v>
      </c>
      <c r="R600" s="8">
        <f>IF($J600=0,0,ROUND(MAX($J600*1.4*1.5*1.6*1.6,13100000*(1.429962^(MIN($E600,123)-117)))*1,0))</f>
        <v>18732502</v>
      </c>
      <c r="S600" s="6">
        <f>$E600+8</f>
        <v>126</v>
      </c>
      <c r="T600" s="7">
        <f>IF($J600=0,0,ROUND(MAX($J600*1.4*1.5*1.6*1.6*2.2,42600000*(1.576904^(MIN($E600,123)-117)))*1,0))</f>
        <v>67176110</v>
      </c>
      <c r="U600" s="4">
        <f>$E600+11</f>
        <v>129</v>
      </c>
      <c r="V600" s="8">
        <f>IF($J600=0,0,ROUND(MAX($J600*1.4*1.5*1.6*1.6*2.2*2.715,354000000*(1.642074^(MIN($E600,123)-117)))*1,0))</f>
        <v>581294196</v>
      </c>
      <c r="W600" s="6">
        <f>$E600+15</f>
        <v>133</v>
      </c>
      <c r="X600" s="7">
        <f>IF($J600=0,0,ROUND(MAX($J600*1.4*1.5*1.6*1.6*2.2*2.715*2.6,3540000000*(1.579646^(MIN($E600,123)-117)))*1,0))</f>
        <v>5591946840</v>
      </c>
      <c r="Y600" s="4">
        <f>$E600+17</f>
        <v>135</v>
      </c>
      <c r="Z600" s="8">
        <f>IF($J600=0,0,ROUND(MAX($J600*1.4*1.5*1.6*1.6*2.2*2.715*2.6*1.4,6020000000*(1.651178^(MIN($E600,123)-117)))*1,0))</f>
        <v>9940091560</v>
      </c>
      <c r="AA600" s="6">
        <f>$E600+19</f>
        <v>137</v>
      </c>
      <c r="AB600" s="7">
        <f>IF($J600=0,0,ROUND(MAX($J600*1.4*1.5*1.6*1.6*2.2*2.715*2.6*1.4*1.4,8430000000*(1.651435^(MIN($E600,123)-117)))*1,0))</f>
        <v>13921597050</v>
      </c>
      <c r="AC600" s="4">
        <f>$E600+21</f>
        <v>139</v>
      </c>
      <c r="AD600" s="8">
        <f>IF($J600=0,0,ROUND(MAX($J600*1.4*1.5*1.6*1.6*2.2*2.715*2.6*1.4*1.4*1.5,12600000000*(1.652953^(MIN($E600,123)-117)))*1,0))</f>
        <v>20827207800</v>
      </c>
      <c r="AE600" s="6">
        <f>$E600+24</f>
        <v>142</v>
      </c>
      <c r="AF600" s="7">
        <f>IF($J600=0,0,ROUND(MAX($J600*1.4*1.5*1.6*1.6*2.2*2.715*2.6*1.4*1.4*1.5*1.5,18900000000*(1.65331^(MIN($E600,123)-117)))*1,0))</f>
        <v>31247559000</v>
      </c>
      <c r="AG600" s="4">
        <f>$E600+27</f>
        <v>145</v>
      </c>
      <c r="AH600" s="8">
        <f>IF($J600=0,0,ROUND(MAX($J600*1.4*1.5*1.6*1.6*2.2*2.715*2.6*1.4*1.4*1.5*1.5*3.2,60500000000*(1.654288^(MIN($E600,123)-117)))*1,0))</f>
        <v>100084424000</v>
      </c>
    </row>
    <row r="601" ht="27.75" customHeight="1" spans="1:34" x14ac:dyDescent="0.25">
      <c r="A601" s="3">
        <v>611</v>
      </c>
      <c r="B601" s="3" t="s">
        <v>150</v>
      </c>
      <c r="C601" s="3" t="s">
        <v>641</v>
      </c>
      <c r="D601" s="3" t="s">
        <v>33</v>
      </c>
      <c r="E601" s="3">
        <v>118</v>
      </c>
      <c r="F601" s="3" t="s">
        <v>42</v>
      </c>
      <c r="G601" s="3" t="s">
        <v>42</v>
      </c>
      <c r="H601" s="3">
        <v>29</v>
      </c>
      <c r="I601" s="4">
        <v>118</v>
      </c>
      <c r="J601" s="5">
        <v>961000</v>
      </c>
      <c r="K601" s="6">
        <f>$E601+1</f>
        <v>119</v>
      </c>
      <c r="L601" s="7">
        <f>IF($J601=0,0,ROUND(MAX($J601*1.4,1620000*(1.497923^(MIN($E601,123)-117)))*1,0))</f>
        <v>2426635</v>
      </c>
      <c r="M601" s="4">
        <f>$E601+2</f>
        <v>120</v>
      </c>
      <c r="N601" s="8">
        <f>IF($J601=0,0,ROUND(MAX($J601*1.4*1.5,2190000*(1.580994^(MIN($E601,123)-117)))*1,0))</f>
        <v>3462377</v>
      </c>
      <c r="O601" s="6">
        <f>$E601+4</f>
        <v>122</v>
      </c>
      <c r="P601" s="7">
        <f>IF($J601=0,0,ROUND(MAX($J601*1.4*1.5*1.6,3500000*(1.57975^(MIN($E601,123)-117)))*1,0))</f>
        <v>5529125</v>
      </c>
      <c r="Q601" s="4">
        <f>$E601+6</f>
        <v>124</v>
      </c>
      <c r="R601" s="8">
        <f>IF($J601=0,0,ROUND(MAX($J601*1.4*1.5*1.6*1.6,13100000*(1.429962^(MIN($E601,123)-117)))*1,0))</f>
        <v>18732502</v>
      </c>
      <c r="S601" s="6">
        <f>$E601+8</f>
        <v>126</v>
      </c>
      <c r="T601" s="7">
        <f>IF($J601=0,0,ROUND(MAX($J601*1.4*1.5*1.6*1.6*2.2,42600000*(1.576904^(MIN($E601,123)-117)))*1,0))</f>
        <v>67176110</v>
      </c>
      <c r="U601" s="4">
        <f>$E601+11</f>
        <v>129</v>
      </c>
      <c r="V601" s="8">
        <f>IF($J601=0,0,ROUND(MAX($J601*1.4*1.5*1.6*1.6*2.2*2.715,354000000*(1.642074^(MIN($E601,123)-117)))*1,0))</f>
        <v>581294196</v>
      </c>
      <c r="W601" s="6">
        <f>$E601+15</f>
        <v>133</v>
      </c>
      <c r="X601" s="7">
        <f>IF($J601=0,0,ROUND(MAX($J601*1.4*1.5*1.6*1.6*2.2*2.715*2.6,3540000000*(1.579646^(MIN($E601,123)-117)))*1,0))</f>
        <v>5591946840</v>
      </c>
      <c r="Y601" s="4">
        <f>$E601+17</f>
        <v>135</v>
      </c>
      <c r="Z601" s="8">
        <f>IF($J601=0,0,ROUND(MAX($J601*1.4*1.5*1.6*1.6*2.2*2.715*2.6*1.4,6020000000*(1.651178^(MIN($E601,123)-117)))*1,0))</f>
        <v>9940091560</v>
      </c>
      <c r="AA601" s="6">
        <f>$E601+19</f>
        <v>137</v>
      </c>
      <c r="AB601" s="7">
        <f>IF($J601=0,0,ROUND(MAX($J601*1.4*1.5*1.6*1.6*2.2*2.715*2.6*1.4*1.4,8430000000*(1.651435^(MIN($E601,123)-117)))*1,0))</f>
        <v>13921597050</v>
      </c>
      <c r="AC601" s="4">
        <f>$E601+21</f>
        <v>139</v>
      </c>
      <c r="AD601" s="8">
        <f>IF($J601=0,0,ROUND(MAX($J601*1.4*1.5*1.6*1.6*2.2*2.715*2.6*1.4*1.4*1.5,12600000000*(1.652953^(MIN($E601,123)-117)))*1,0))</f>
        <v>20827207800</v>
      </c>
      <c r="AE601" s="6">
        <f>$E601+24</f>
        <v>142</v>
      </c>
      <c r="AF601" s="7">
        <f>IF($J601=0,0,ROUND(MAX($J601*1.4*1.5*1.6*1.6*2.2*2.715*2.6*1.4*1.4*1.5*1.5,18900000000*(1.65331^(MIN($E601,123)-117)))*1,0))</f>
        <v>31247559000</v>
      </c>
      <c r="AG601" s="4">
        <f>$E601+27</f>
        <v>145</v>
      </c>
      <c r="AH601" s="8">
        <f>IF($J601=0,0,ROUND(MAX($J601*1.4*1.5*1.6*1.6*2.2*2.715*2.6*1.4*1.4*1.5*1.5*3.2,60500000000*(1.654288^(MIN($E601,123)-117)))*1,0))</f>
        <v>100084424000</v>
      </c>
    </row>
    <row r="602" ht="27.75" customHeight="1" spans="1:34" x14ac:dyDescent="0.25">
      <c r="A602" s="3">
        <v>612</v>
      </c>
      <c r="B602" s="3" t="s">
        <v>646</v>
      </c>
      <c r="C602" s="3" t="s">
        <v>641</v>
      </c>
      <c r="D602" s="3" t="s">
        <v>79</v>
      </c>
      <c r="E602" s="3">
        <v>118</v>
      </c>
      <c r="F602" s="3" t="s">
        <v>97</v>
      </c>
      <c r="G602" s="3" t="s">
        <v>97</v>
      </c>
      <c r="H602" s="3">
        <v>29</v>
      </c>
      <c r="I602" s="4">
        <v>118</v>
      </c>
      <c r="J602" s="5">
        <v>961000</v>
      </c>
      <c r="K602" s="6">
        <f>$E602+1</f>
        <v>119</v>
      </c>
      <c r="L602" s="7">
        <f>IF($J602=0,0,ROUND(MAX($J602*1.4,1620000*(1.497923^(MIN($E602,123)-117)))*1,0))</f>
        <v>2426635</v>
      </c>
      <c r="M602" s="4">
        <f>$E602+2</f>
        <v>120</v>
      </c>
      <c r="N602" s="8">
        <f>IF($J602=0,0,ROUND(MAX($J602*1.4*1.5,2190000*(1.580994^(MIN($E602,123)-117)))*1,0))</f>
        <v>3462377</v>
      </c>
      <c r="O602" s="6">
        <f>$E602+4</f>
        <v>122</v>
      </c>
      <c r="P602" s="7">
        <f>IF($J602=0,0,ROUND(MAX($J602*1.4*1.5*1.6,3500000*(1.57975^(MIN($E602,123)-117)))*1,0))</f>
        <v>5529125</v>
      </c>
      <c r="Q602" s="4">
        <f>$E602+6</f>
        <v>124</v>
      </c>
      <c r="R602" s="8">
        <f>IF($J602=0,0,ROUND(MAX($J602*1.4*1.5*1.6*1.6,13100000*(1.429962^(MIN($E602,123)-117)))*1,0))</f>
        <v>18732502</v>
      </c>
      <c r="S602" s="6">
        <f>$E602+8</f>
        <v>126</v>
      </c>
      <c r="T602" s="7">
        <f>IF($J602=0,0,ROUND(MAX($J602*1.4*1.5*1.6*1.6*2.2,42600000*(1.576904^(MIN($E602,123)-117)))*1,0))</f>
        <v>67176110</v>
      </c>
      <c r="U602" s="4">
        <f>$E602+11</f>
        <v>129</v>
      </c>
      <c r="V602" s="8">
        <f>IF($J602=0,0,ROUND(MAX($J602*1.4*1.5*1.6*1.6*2.2*2.715,354000000*(1.642074^(MIN($E602,123)-117)))*1,0))</f>
        <v>581294196</v>
      </c>
      <c r="W602" s="6">
        <f>$E602+15</f>
        <v>133</v>
      </c>
      <c r="X602" s="7">
        <f>IF($J602=0,0,ROUND(MAX($J602*1.4*1.5*1.6*1.6*2.2*2.715*2.6,3540000000*(1.579646^(MIN($E602,123)-117)))*1,0))</f>
        <v>5591946840</v>
      </c>
      <c r="Y602" s="4">
        <f>$E602+17</f>
        <v>135</v>
      </c>
      <c r="Z602" s="8">
        <f>IF($J602=0,0,ROUND(MAX($J602*1.4*1.5*1.6*1.6*2.2*2.715*2.6*1.4,6020000000*(1.651178^(MIN($E602,123)-117)))*1,0))</f>
        <v>9940091560</v>
      </c>
      <c r="AA602" s="6">
        <f>$E602+19</f>
        <v>137</v>
      </c>
      <c r="AB602" s="7">
        <f>IF($J602=0,0,ROUND(MAX($J602*1.4*1.5*1.6*1.6*2.2*2.715*2.6*1.4*1.4,8430000000*(1.651435^(MIN($E602,123)-117)))*1,0))</f>
        <v>13921597050</v>
      </c>
      <c r="AC602" s="4">
        <f>$E602+21</f>
        <v>139</v>
      </c>
      <c r="AD602" s="8">
        <f>IF($J602=0,0,ROUND(MAX($J602*1.4*1.5*1.6*1.6*2.2*2.715*2.6*1.4*1.4*1.5,12600000000*(1.652953^(MIN($E602,123)-117)))*1,0))</f>
        <v>20827207800</v>
      </c>
      <c r="AE602" s="6">
        <f>$E602+24</f>
        <v>142</v>
      </c>
      <c r="AF602" s="7">
        <f>IF($J602=0,0,ROUND(MAX($J602*1.4*1.5*1.6*1.6*2.2*2.715*2.6*1.4*1.4*1.5*1.5,18900000000*(1.65331^(MIN($E602,123)-117)))*1,0))</f>
        <v>31247559000</v>
      </c>
      <c r="AG602" s="4">
        <f>$E602+27</f>
        <v>145</v>
      </c>
      <c r="AH602" s="8">
        <f>IF($J602=0,0,ROUND(MAX($J602*1.4*1.5*1.6*1.6*2.2*2.715*2.6*1.4*1.4*1.5*1.5*3.2,60500000000*(1.654288^(MIN($E602,123)-117)))*1,0))</f>
        <v>100084424000</v>
      </c>
    </row>
    <row r="603" ht="27.75" customHeight="1" spans="1:34" x14ac:dyDescent="0.25">
      <c r="A603" s="3">
        <v>613</v>
      </c>
      <c r="B603" s="3" t="s">
        <v>647</v>
      </c>
      <c r="C603" s="3" t="s">
        <v>641</v>
      </c>
      <c r="D603" s="3" t="s">
        <v>45</v>
      </c>
      <c r="E603" s="3">
        <v>118</v>
      </c>
      <c r="F603" s="3" t="s">
        <v>54</v>
      </c>
      <c r="G603" s="3" t="s">
        <v>54</v>
      </c>
      <c r="H603" s="3">
        <v>29</v>
      </c>
      <c r="I603" s="4">
        <v>118</v>
      </c>
      <c r="J603" s="5">
        <v>965000</v>
      </c>
      <c r="K603" s="6">
        <f>$E603+1</f>
        <v>119</v>
      </c>
      <c r="L603" s="7">
        <f>IF($J603=0,0,ROUND(MAX($J603*1.4,1620000*(1.497923^(MIN($E603,123)-117)))*1,0))</f>
        <v>2426635</v>
      </c>
      <c r="M603" s="4">
        <f>$E603+2</f>
        <v>120</v>
      </c>
      <c r="N603" s="8">
        <f>IF($J603=0,0,ROUND(MAX($J603*1.4*1.5,2190000*(1.580994^(MIN($E603,123)-117)))*1,0))</f>
        <v>3462377</v>
      </c>
      <c r="O603" s="6">
        <f>$E603+4</f>
        <v>122</v>
      </c>
      <c r="P603" s="7">
        <f>IF($J603=0,0,ROUND(MAX($J603*1.4*1.5*1.6,3500000*(1.57975^(MIN($E603,123)-117)))*1,0))</f>
        <v>5529125</v>
      </c>
      <c r="Q603" s="4">
        <f>$E603+6</f>
        <v>124</v>
      </c>
      <c r="R603" s="8">
        <f>IF($J603=0,0,ROUND(MAX($J603*1.4*1.5*1.6*1.6,13100000*(1.429962^(MIN($E603,123)-117)))*1,0))</f>
        <v>18732502</v>
      </c>
      <c r="S603" s="6">
        <f>$E603+8</f>
        <v>126</v>
      </c>
      <c r="T603" s="7">
        <f>IF($J603=0,0,ROUND(MAX($J603*1.4*1.5*1.6*1.6*2.2,42600000*(1.576904^(MIN($E603,123)-117)))*1,0))</f>
        <v>67176110</v>
      </c>
      <c r="U603" s="4">
        <f>$E603+11</f>
        <v>129</v>
      </c>
      <c r="V603" s="8">
        <f>IF($J603=0,0,ROUND(MAX($J603*1.4*1.5*1.6*1.6*2.2*2.715,354000000*(1.642074^(MIN($E603,123)-117)))*1,0))</f>
        <v>581294196</v>
      </c>
      <c r="W603" s="6">
        <f>$E603+15</f>
        <v>133</v>
      </c>
      <c r="X603" s="7">
        <f>IF($J603=0,0,ROUND(MAX($J603*1.4*1.5*1.6*1.6*2.2*2.715*2.6,3540000000*(1.579646^(MIN($E603,123)-117)))*1,0))</f>
        <v>5591946840</v>
      </c>
      <c r="Y603" s="4">
        <f>$E603+17</f>
        <v>135</v>
      </c>
      <c r="Z603" s="8">
        <f>IF($J603=0,0,ROUND(MAX($J603*1.4*1.5*1.6*1.6*2.2*2.715*2.6*1.4,6020000000*(1.651178^(MIN($E603,123)-117)))*1,0))</f>
        <v>9940091560</v>
      </c>
      <c r="AA603" s="6">
        <f>$E603+19</f>
        <v>137</v>
      </c>
      <c r="AB603" s="7">
        <f>IF($J603=0,0,ROUND(MAX($J603*1.4*1.5*1.6*1.6*2.2*2.715*2.6*1.4*1.4,8430000000*(1.651435^(MIN($E603,123)-117)))*1,0))</f>
        <v>13921597050</v>
      </c>
      <c r="AC603" s="4">
        <f>$E603+21</f>
        <v>139</v>
      </c>
      <c r="AD603" s="8">
        <f>IF($J603=0,0,ROUND(MAX($J603*1.4*1.5*1.6*1.6*2.2*2.715*2.6*1.4*1.4*1.5,12600000000*(1.652953^(MIN($E603,123)-117)))*1,0))</f>
        <v>20827207800</v>
      </c>
      <c r="AE603" s="6">
        <f>$E603+24</f>
        <v>142</v>
      </c>
      <c r="AF603" s="7">
        <f>IF($J603=0,0,ROUND(MAX($J603*1.4*1.5*1.6*1.6*2.2*2.715*2.6*1.4*1.4*1.5*1.5,18900000000*(1.65331^(MIN($E603,123)-117)))*1,0))</f>
        <v>31247559000</v>
      </c>
      <c r="AG603" s="4">
        <f>$E603+27</f>
        <v>145</v>
      </c>
      <c r="AH603" s="8">
        <f>IF($J603=0,0,ROUND(MAX($J603*1.4*1.5*1.6*1.6*2.2*2.715*2.6*1.4*1.4*1.5*1.5*3.2,60500000000*(1.654288^(MIN($E603,123)-117)))*1,0))</f>
        <v>100084424000</v>
      </c>
    </row>
    <row r="604" ht="27.75" customHeight="1" spans="1:34" x14ac:dyDescent="0.25">
      <c r="A604" s="3">
        <v>614</v>
      </c>
      <c r="B604" s="3" t="s">
        <v>648</v>
      </c>
      <c r="C604" s="3" t="s">
        <v>641</v>
      </c>
      <c r="D604" s="3" t="s">
        <v>40</v>
      </c>
      <c r="E604" s="3">
        <v>118</v>
      </c>
      <c r="F604" s="3" t="s">
        <v>353</v>
      </c>
      <c r="G604" s="3" t="s">
        <v>353</v>
      </c>
      <c r="H604" s="3">
        <v>29</v>
      </c>
      <c r="I604" s="4">
        <v>118</v>
      </c>
      <c r="J604" s="5">
        <v>1090000</v>
      </c>
      <c r="K604" s="6">
        <f>$E604+1</f>
        <v>119</v>
      </c>
      <c r="L604" s="7">
        <f>IF($J604=0,0,ROUND(MAX($J604*1.4,1620000*(1.497923^(MIN($E604,123)-117)))*1,0))</f>
        <v>2426635</v>
      </c>
      <c r="M604" s="4">
        <f>$E604+2</f>
        <v>120</v>
      </c>
      <c r="N604" s="8">
        <f>IF($J604=0,0,ROUND(MAX($J604*1.4*1.5,2190000*(1.580994^(MIN($E604,123)-117)))*1,0))</f>
        <v>3462377</v>
      </c>
      <c r="O604" s="6">
        <f>$E604+4</f>
        <v>122</v>
      </c>
      <c r="P604" s="7">
        <f>IF($J604=0,0,ROUND(MAX($J604*1.4*1.5*1.6,3500000*(1.57975^(MIN($E604,123)-117)))*1,0))</f>
        <v>5529125</v>
      </c>
      <c r="Q604" s="4">
        <f>$E604+6</f>
        <v>124</v>
      </c>
      <c r="R604" s="8">
        <f>IF($J604=0,0,ROUND(MAX($J604*1.4*1.5*1.6*1.6,13100000*(1.429962^(MIN($E604,123)-117)))*1,0))</f>
        <v>18732502</v>
      </c>
      <c r="S604" s="6">
        <f>$E604+8</f>
        <v>126</v>
      </c>
      <c r="T604" s="7">
        <f>IF($J604=0,0,ROUND(MAX($J604*1.4*1.5*1.6*1.6*2.2,42600000*(1.576904^(MIN($E604,123)-117)))*1,0))</f>
        <v>67176110</v>
      </c>
      <c r="U604" s="4">
        <f>$E604+11</f>
        <v>129</v>
      </c>
      <c r="V604" s="8">
        <f>IF($J604=0,0,ROUND(MAX($J604*1.4*1.5*1.6*1.6*2.2*2.715,354000000*(1.642074^(MIN($E604,123)-117)))*1,0))</f>
        <v>581294196</v>
      </c>
      <c r="W604" s="6">
        <f>$E604+15</f>
        <v>133</v>
      </c>
      <c r="X604" s="7">
        <f>IF($J604=0,0,ROUND(MAX($J604*1.4*1.5*1.6*1.6*2.2*2.715*2.6,3540000000*(1.579646^(MIN($E604,123)-117)))*1,0))</f>
        <v>5591946840</v>
      </c>
      <c r="Y604" s="4">
        <f>$E604+17</f>
        <v>135</v>
      </c>
      <c r="Z604" s="8">
        <f>IF($J604=0,0,ROUND(MAX($J604*1.4*1.5*1.6*1.6*2.2*2.715*2.6*1.4,6020000000*(1.651178^(MIN($E604,123)-117)))*1,0))</f>
        <v>9940091560</v>
      </c>
      <c r="AA604" s="6">
        <f>$E604+19</f>
        <v>137</v>
      </c>
      <c r="AB604" s="7">
        <f>IF($J604=0,0,ROUND(MAX($J604*1.4*1.5*1.6*1.6*2.2*2.715*2.6*1.4*1.4,8430000000*(1.651435^(MIN($E604,123)-117)))*1,0))</f>
        <v>13921597050</v>
      </c>
      <c r="AC604" s="4">
        <f>$E604+21</f>
        <v>139</v>
      </c>
      <c r="AD604" s="8">
        <f>IF($J604=0,0,ROUND(MAX($J604*1.4*1.5*1.6*1.6*2.2*2.715*2.6*1.4*1.4*1.5,12600000000*(1.652953^(MIN($E604,123)-117)))*1,0))</f>
        <v>20827207800</v>
      </c>
      <c r="AE604" s="6">
        <f>$E604+24</f>
        <v>142</v>
      </c>
      <c r="AF604" s="7">
        <f>IF($J604=0,0,ROUND(MAX($J604*1.4*1.5*1.6*1.6*2.2*2.715*2.6*1.4*1.4*1.5*1.5,18900000000*(1.65331^(MIN($E604,123)-117)))*1,0))</f>
        <v>31247559000</v>
      </c>
      <c r="AG604" s="4">
        <f>$E604+27</f>
        <v>145</v>
      </c>
      <c r="AH604" s="8">
        <f>IF($J604=0,0,ROUND(MAX($J604*1.4*1.5*1.6*1.6*2.2*2.715*2.6*1.4*1.4*1.5*1.5*3.2,60500000000*(1.654288^(MIN($E604,123)-117)))*1,0))</f>
        <v>100084424000</v>
      </c>
    </row>
    <row r="605" ht="27.75" customHeight="1" spans="1:34" x14ac:dyDescent="0.25">
      <c r="A605" s="3">
        <v>615</v>
      </c>
      <c r="B605" s="3" t="s">
        <v>85</v>
      </c>
      <c r="C605" s="3" t="s">
        <v>641</v>
      </c>
      <c r="D605" s="3" t="s">
        <v>40</v>
      </c>
      <c r="E605" s="3">
        <v>118</v>
      </c>
      <c r="F605" s="3" t="s">
        <v>56</v>
      </c>
      <c r="G605" s="3" t="s">
        <v>56</v>
      </c>
      <c r="H605" s="3">
        <v>30</v>
      </c>
      <c r="I605" s="4">
        <v>118</v>
      </c>
      <c r="J605" s="5">
        <v>867000</v>
      </c>
      <c r="K605" s="6">
        <f>$E605+1</f>
        <v>119</v>
      </c>
      <c r="L605" s="7">
        <f>IF($J605=0,0,ROUND(MAX($J605*1.4,1620000*(1.497923^(MIN($E605,123)-117)))*1,0))</f>
        <v>2426635</v>
      </c>
      <c r="M605" s="4">
        <f>$E605+2</f>
        <v>120</v>
      </c>
      <c r="N605" s="8">
        <f>IF($J605=0,0,ROUND(MAX($J605*1.4*1.5,2190000*(1.580994^(MIN($E605,123)-117)))*1,0))</f>
        <v>3462377</v>
      </c>
      <c r="O605" s="6">
        <f>$E605+4</f>
        <v>122</v>
      </c>
      <c r="P605" s="7">
        <f>IF($J605=0,0,ROUND(MAX($J605*1.4*1.5*1.6,3500000*(1.57975^(MIN($E605,123)-117)))*1,0))</f>
        <v>5529125</v>
      </c>
      <c r="Q605" s="4">
        <f>$E605+6</f>
        <v>124</v>
      </c>
      <c r="R605" s="8">
        <f>IF($J605=0,0,ROUND(MAX($J605*1.4*1.5*1.6*1.6,13100000*(1.429962^(MIN($E605,123)-117)))*1,0))</f>
        <v>18732502</v>
      </c>
      <c r="S605" s="6">
        <f>$E605+8</f>
        <v>126</v>
      </c>
      <c r="T605" s="7">
        <f>IF($J605=0,0,ROUND(MAX($J605*1.4*1.5*1.6*1.6*2.2,42600000*(1.576904^(MIN($E605,123)-117)))*1,0))</f>
        <v>67176110</v>
      </c>
      <c r="U605" s="4">
        <f>$E605+11</f>
        <v>129</v>
      </c>
      <c r="V605" s="8">
        <f>IF($J605=0,0,ROUND(MAX($J605*1.4*1.5*1.6*1.6*2.2*2.715,354000000*(1.642074^(MIN($E605,123)-117)))*1,0))</f>
        <v>581294196</v>
      </c>
      <c r="W605" s="6">
        <f>$E605+15</f>
        <v>133</v>
      </c>
      <c r="X605" s="7">
        <f>IF($J605=0,0,ROUND(MAX($J605*1.4*1.5*1.6*1.6*2.2*2.715*2.6,3540000000*(1.579646^(MIN($E605,123)-117)))*1,0))</f>
        <v>5591946840</v>
      </c>
      <c r="Y605" s="4">
        <f>$E605+17</f>
        <v>135</v>
      </c>
      <c r="Z605" s="8">
        <f>IF($J605=0,0,ROUND(MAX($J605*1.4*1.5*1.6*1.6*2.2*2.715*2.6*1.4,6020000000*(1.651178^(MIN($E605,123)-117)))*1,0))</f>
        <v>9940091560</v>
      </c>
      <c r="AA605" s="6">
        <f>$E605+19</f>
        <v>137</v>
      </c>
      <c r="AB605" s="7">
        <f>IF($J605=0,0,ROUND(MAX($J605*1.4*1.5*1.6*1.6*2.2*2.715*2.6*1.4*1.4,8430000000*(1.651435^(MIN($E605,123)-117)))*1,0))</f>
        <v>13921597050</v>
      </c>
      <c r="AC605" s="4">
        <f>$E605+21</f>
        <v>139</v>
      </c>
      <c r="AD605" s="8">
        <f>IF($J605=0,0,ROUND(MAX($J605*1.4*1.5*1.6*1.6*2.2*2.715*2.6*1.4*1.4*1.5,12600000000*(1.652953^(MIN($E605,123)-117)))*1,0))</f>
        <v>20827207800</v>
      </c>
      <c r="AE605" s="6">
        <f>$E605+24</f>
        <v>142</v>
      </c>
      <c r="AF605" s="7">
        <f>IF($J605=0,0,ROUND(MAX($J605*1.4*1.5*1.6*1.6*2.2*2.715*2.6*1.4*1.4*1.5*1.5,18900000000*(1.65331^(MIN($E605,123)-117)))*1,0))</f>
        <v>31247559000</v>
      </c>
      <c r="AG605" s="4">
        <f>$E605+27</f>
        <v>145</v>
      </c>
      <c r="AH605" s="8">
        <f>IF($J605=0,0,ROUND(MAX($J605*1.4*1.5*1.6*1.6*2.2*2.715*2.6*1.4*1.4*1.5*1.5*3.2,60500000000*(1.654288^(MIN($E605,123)-117)))*1,0))</f>
        <v>100084424000</v>
      </c>
    </row>
    <row r="606" ht="27.75" customHeight="1" spans="1:34" x14ac:dyDescent="0.25">
      <c r="A606" s="3">
        <v>616</v>
      </c>
      <c r="B606" s="3" t="s">
        <v>147</v>
      </c>
      <c r="C606" s="3" t="s">
        <v>641</v>
      </c>
      <c r="D606" s="3" t="s">
        <v>25</v>
      </c>
      <c r="E606" s="3">
        <v>118</v>
      </c>
      <c r="F606" s="3" t="s">
        <v>56</v>
      </c>
      <c r="G606" s="3" t="s">
        <v>56</v>
      </c>
      <c r="H606" s="3">
        <v>30</v>
      </c>
      <c r="I606" s="4">
        <v>118</v>
      </c>
      <c r="J606" s="5">
        <v>872000</v>
      </c>
      <c r="K606" s="6">
        <f>$E606+1</f>
        <v>119</v>
      </c>
      <c r="L606" s="7">
        <f>IF($J606=0,0,ROUND(MAX($J606*1.4,1620000*(1.497923^(MIN($E606,123)-117)))*1,0))</f>
        <v>2426635</v>
      </c>
      <c r="M606" s="4">
        <f>$E606+2</f>
        <v>120</v>
      </c>
      <c r="N606" s="8">
        <f>IF($J606=0,0,ROUND(MAX($J606*1.4*1.5,2190000*(1.580994^(MIN($E606,123)-117)))*1,0))</f>
        <v>3462377</v>
      </c>
      <c r="O606" s="6">
        <f>$E606+4</f>
        <v>122</v>
      </c>
      <c r="P606" s="7">
        <f>IF($J606=0,0,ROUND(MAX($J606*1.4*1.5*1.6,3500000*(1.57975^(MIN($E606,123)-117)))*1,0))</f>
        <v>5529125</v>
      </c>
      <c r="Q606" s="4">
        <f>$E606+6</f>
        <v>124</v>
      </c>
      <c r="R606" s="8">
        <f>IF($J606=0,0,ROUND(MAX($J606*1.4*1.5*1.6*1.6,13100000*(1.429962^(MIN($E606,123)-117)))*1,0))</f>
        <v>18732502</v>
      </c>
      <c r="S606" s="6">
        <f>$E606+8</f>
        <v>126</v>
      </c>
      <c r="T606" s="7">
        <f>IF($J606=0,0,ROUND(MAX($J606*1.4*1.5*1.6*1.6*2.2,42600000*(1.576904^(MIN($E606,123)-117)))*1,0))</f>
        <v>67176110</v>
      </c>
      <c r="U606" s="4">
        <f>$E606+11</f>
        <v>129</v>
      </c>
      <c r="V606" s="8">
        <f>IF($J606=0,0,ROUND(MAX($J606*1.4*1.5*1.6*1.6*2.2*2.715,354000000*(1.642074^(MIN($E606,123)-117)))*1,0))</f>
        <v>581294196</v>
      </c>
      <c r="W606" s="6">
        <f>$E606+15</f>
        <v>133</v>
      </c>
      <c r="X606" s="7">
        <f>IF($J606=0,0,ROUND(MAX($J606*1.4*1.5*1.6*1.6*2.2*2.715*2.6,3540000000*(1.579646^(MIN($E606,123)-117)))*1,0))</f>
        <v>5591946840</v>
      </c>
      <c r="Y606" s="4">
        <f>$E606+17</f>
        <v>135</v>
      </c>
      <c r="Z606" s="8">
        <f>IF($J606=0,0,ROUND(MAX($J606*1.4*1.5*1.6*1.6*2.2*2.715*2.6*1.4,6020000000*(1.651178^(MIN($E606,123)-117)))*1,0))</f>
        <v>9940091560</v>
      </c>
      <c r="AA606" s="6">
        <f>$E606+19</f>
        <v>137</v>
      </c>
      <c r="AB606" s="7">
        <f>IF($J606=0,0,ROUND(MAX($J606*1.4*1.5*1.6*1.6*2.2*2.715*2.6*1.4*1.4,8430000000*(1.651435^(MIN($E606,123)-117)))*1,0))</f>
        <v>13921597050</v>
      </c>
      <c r="AC606" s="4">
        <f>$E606+21</f>
        <v>139</v>
      </c>
      <c r="AD606" s="8">
        <f>IF($J606=0,0,ROUND(MAX($J606*1.4*1.5*1.6*1.6*2.2*2.715*2.6*1.4*1.4*1.5,12600000000*(1.652953^(MIN($E606,123)-117)))*1,0))</f>
        <v>20827207800</v>
      </c>
      <c r="AE606" s="6">
        <f>$E606+24</f>
        <v>142</v>
      </c>
      <c r="AF606" s="7">
        <f>IF($J606=0,0,ROUND(MAX($J606*1.4*1.5*1.6*1.6*2.2*2.715*2.6*1.4*1.4*1.5*1.5,18900000000*(1.65331^(MIN($E606,123)-117)))*1,0))</f>
        <v>31247559000</v>
      </c>
      <c r="AG606" s="4">
        <f>$E606+27</f>
        <v>145</v>
      </c>
      <c r="AH606" s="8">
        <f>IF($J606=0,0,ROUND(MAX($J606*1.4*1.5*1.6*1.6*2.2*2.715*2.6*1.4*1.4*1.5*1.5*3.2,60500000000*(1.654288^(MIN($E606,123)-117)))*1,0))</f>
        <v>100084424000</v>
      </c>
    </row>
    <row r="607" ht="27.75" customHeight="1" spans="1:34" x14ac:dyDescent="0.25">
      <c r="A607" s="3">
        <v>617</v>
      </c>
      <c r="B607" s="3" t="s">
        <v>210</v>
      </c>
      <c r="C607" s="3" t="s">
        <v>641</v>
      </c>
      <c r="D607" s="3" t="s">
        <v>33</v>
      </c>
      <c r="E607" s="3">
        <v>118</v>
      </c>
      <c r="F607" s="3" t="s">
        <v>56</v>
      </c>
      <c r="G607" s="3" t="s">
        <v>56</v>
      </c>
      <c r="H607" s="3">
        <v>30</v>
      </c>
      <c r="I607" s="4">
        <v>118</v>
      </c>
      <c r="J607" s="5">
        <v>963000</v>
      </c>
      <c r="K607" s="6">
        <f>$E607+1</f>
        <v>119</v>
      </c>
      <c r="L607" s="7">
        <f>IF($J607=0,0,ROUND(MAX($J607*1.4,1620000*(1.497923^(MIN($E607,123)-117)))*1,0))</f>
        <v>2426635</v>
      </c>
      <c r="M607" s="4">
        <f>$E607+2</f>
        <v>120</v>
      </c>
      <c r="N607" s="8">
        <f>IF($J607=0,0,ROUND(MAX($J607*1.4*1.5,2190000*(1.580994^(MIN($E607,123)-117)))*1,0))</f>
        <v>3462377</v>
      </c>
      <c r="O607" s="6">
        <f>$E607+4</f>
        <v>122</v>
      </c>
      <c r="P607" s="7">
        <f>IF($J607=0,0,ROUND(MAX($J607*1.4*1.5*1.6,3500000*(1.57975^(MIN($E607,123)-117)))*1,0))</f>
        <v>5529125</v>
      </c>
      <c r="Q607" s="4">
        <f>$E607+6</f>
        <v>124</v>
      </c>
      <c r="R607" s="8">
        <f>IF($J607=0,0,ROUND(MAX($J607*1.4*1.5*1.6*1.6,13100000*(1.429962^(MIN($E607,123)-117)))*1,0))</f>
        <v>18732502</v>
      </c>
      <c r="S607" s="6">
        <f>$E607+8</f>
        <v>126</v>
      </c>
      <c r="T607" s="7">
        <f>IF($J607=0,0,ROUND(MAX($J607*1.4*1.5*1.6*1.6*2.2,42600000*(1.576904^(MIN($E607,123)-117)))*1,0))</f>
        <v>67176110</v>
      </c>
      <c r="U607" s="4">
        <f>$E607+11</f>
        <v>129</v>
      </c>
      <c r="V607" s="8">
        <f>IF($J607=0,0,ROUND(MAX($J607*1.4*1.5*1.6*1.6*2.2*2.715,354000000*(1.642074^(MIN($E607,123)-117)))*1,0))</f>
        <v>581294196</v>
      </c>
      <c r="W607" s="6">
        <f>$E607+15</f>
        <v>133</v>
      </c>
      <c r="X607" s="7">
        <f>IF($J607=0,0,ROUND(MAX($J607*1.4*1.5*1.6*1.6*2.2*2.715*2.6,3540000000*(1.579646^(MIN($E607,123)-117)))*1,0))</f>
        <v>5591946840</v>
      </c>
      <c r="Y607" s="4">
        <f>$E607+17</f>
        <v>135</v>
      </c>
      <c r="Z607" s="8">
        <f>IF($J607=0,0,ROUND(MAX($J607*1.4*1.5*1.6*1.6*2.2*2.715*2.6*1.4,6020000000*(1.651178^(MIN($E607,123)-117)))*1,0))</f>
        <v>9940091560</v>
      </c>
      <c r="AA607" s="6">
        <f>$E607+19</f>
        <v>137</v>
      </c>
      <c r="AB607" s="7">
        <f>IF($J607=0,0,ROUND(MAX($J607*1.4*1.5*1.6*1.6*2.2*2.715*2.6*1.4*1.4,8430000000*(1.651435^(MIN($E607,123)-117)))*1,0))</f>
        <v>13921597050</v>
      </c>
      <c r="AC607" s="4">
        <f>$E607+21</f>
        <v>139</v>
      </c>
      <c r="AD607" s="8">
        <f>IF($J607=0,0,ROUND(MAX($J607*1.4*1.5*1.6*1.6*2.2*2.715*2.6*1.4*1.4*1.5,12600000000*(1.652953^(MIN($E607,123)-117)))*1,0))</f>
        <v>20827207800</v>
      </c>
      <c r="AE607" s="6">
        <f>$E607+24</f>
        <v>142</v>
      </c>
      <c r="AF607" s="7">
        <f>IF($J607=0,0,ROUND(MAX($J607*1.4*1.5*1.6*1.6*2.2*2.715*2.6*1.4*1.4*1.5*1.5,18900000000*(1.65331^(MIN($E607,123)-117)))*1,0))</f>
        <v>31247559000</v>
      </c>
      <c r="AG607" s="4">
        <f>$E607+27</f>
        <v>145</v>
      </c>
      <c r="AH607" s="8">
        <f>IF($J607=0,0,ROUND(MAX($J607*1.4*1.5*1.6*1.6*2.2*2.715*2.6*1.4*1.4*1.5*1.5*3.2,60500000000*(1.654288^(MIN($E607,123)-117)))*1,0))</f>
        <v>100084424000</v>
      </c>
    </row>
    <row r="608" ht="27.75" customHeight="1" spans="1:34" x14ac:dyDescent="0.25">
      <c r="A608" s="3">
        <v>618</v>
      </c>
      <c r="B608" s="3" t="s">
        <v>140</v>
      </c>
      <c r="C608" s="3" t="s">
        <v>641</v>
      </c>
      <c r="D608" s="3" t="s">
        <v>40</v>
      </c>
      <c r="E608" s="3">
        <v>118</v>
      </c>
      <c r="F608" s="3" t="s">
        <v>56</v>
      </c>
      <c r="G608" s="3" t="s">
        <v>56</v>
      </c>
      <c r="H608" s="3">
        <v>30</v>
      </c>
      <c r="I608" s="4">
        <v>118</v>
      </c>
      <c r="J608" s="5">
        <v>870000</v>
      </c>
      <c r="K608" s="6">
        <f>$E608+1</f>
        <v>119</v>
      </c>
      <c r="L608" s="7">
        <f>IF($J608=0,0,ROUND(MAX($J608*1.4,1620000*(1.497923^(MIN($E608,123)-117)))*1,0))</f>
        <v>2426635</v>
      </c>
      <c r="M608" s="4">
        <f>$E608+2</f>
        <v>120</v>
      </c>
      <c r="N608" s="8">
        <f>IF($J608=0,0,ROUND(MAX($J608*1.4*1.5,2190000*(1.580994^(MIN($E608,123)-117)))*1,0))</f>
        <v>3462377</v>
      </c>
      <c r="O608" s="6">
        <f>$E608+4</f>
        <v>122</v>
      </c>
      <c r="P608" s="7">
        <f>IF($J608=0,0,ROUND(MAX($J608*1.4*1.5*1.6,3500000*(1.57975^(MIN($E608,123)-117)))*1,0))</f>
        <v>5529125</v>
      </c>
      <c r="Q608" s="4">
        <f>$E608+6</f>
        <v>124</v>
      </c>
      <c r="R608" s="8">
        <f>IF($J608=0,0,ROUND(MAX($J608*1.4*1.5*1.6*1.6,13100000*(1.429962^(MIN($E608,123)-117)))*1,0))</f>
        <v>18732502</v>
      </c>
      <c r="S608" s="6">
        <f>$E608+8</f>
        <v>126</v>
      </c>
      <c r="T608" s="7">
        <f>IF($J608=0,0,ROUND(MAX($J608*1.4*1.5*1.6*1.6*2.2,42600000*(1.576904^(MIN($E608,123)-117)))*1,0))</f>
        <v>67176110</v>
      </c>
      <c r="U608" s="4">
        <f>$E608+11</f>
        <v>129</v>
      </c>
      <c r="V608" s="8">
        <f>IF($J608=0,0,ROUND(MAX($J608*1.4*1.5*1.6*1.6*2.2*2.715,354000000*(1.642074^(MIN($E608,123)-117)))*1,0))</f>
        <v>581294196</v>
      </c>
      <c r="W608" s="6">
        <f>$E608+15</f>
        <v>133</v>
      </c>
      <c r="X608" s="7">
        <f>IF($J608=0,0,ROUND(MAX($J608*1.4*1.5*1.6*1.6*2.2*2.715*2.6,3540000000*(1.579646^(MIN($E608,123)-117)))*1,0))</f>
        <v>5591946840</v>
      </c>
      <c r="Y608" s="4">
        <f>$E608+17</f>
        <v>135</v>
      </c>
      <c r="Z608" s="8">
        <f>IF($J608=0,0,ROUND(MAX($J608*1.4*1.5*1.6*1.6*2.2*2.715*2.6*1.4,6020000000*(1.651178^(MIN($E608,123)-117)))*1,0))</f>
        <v>9940091560</v>
      </c>
      <c r="AA608" s="6">
        <f>$E608+19</f>
        <v>137</v>
      </c>
      <c r="AB608" s="7">
        <f>IF($J608=0,0,ROUND(MAX($J608*1.4*1.5*1.6*1.6*2.2*2.715*2.6*1.4*1.4,8430000000*(1.651435^(MIN($E608,123)-117)))*1,0))</f>
        <v>13921597050</v>
      </c>
      <c r="AC608" s="4">
        <f>$E608+21</f>
        <v>139</v>
      </c>
      <c r="AD608" s="8">
        <f>IF($J608=0,0,ROUND(MAX($J608*1.4*1.5*1.6*1.6*2.2*2.715*2.6*1.4*1.4*1.5,12600000000*(1.652953^(MIN($E608,123)-117)))*1,0))</f>
        <v>20827207800</v>
      </c>
      <c r="AE608" s="6">
        <f>$E608+24</f>
        <v>142</v>
      </c>
      <c r="AF608" s="7">
        <f>IF($J608=0,0,ROUND(MAX($J608*1.4*1.5*1.6*1.6*2.2*2.715*2.6*1.4*1.4*1.5*1.5,18900000000*(1.65331^(MIN($E608,123)-117)))*1,0))</f>
        <v>31247559000</v>
      </c>
      <c r="AG608" s="4">
        <f>$E608+27</f>
        <v>145</v>
      </c>
      <c r="AH608" s="8">
        <f>IF($J608=0,0,ROUND(MAX($J608*1.4*1.5*1.6*1.6*2.2*2.715*2.6*1.4*1.4*1.5*1.5*3.2,60500000000*(1.654288^(MIN($E608,123)-117)))*1,0))</f>
        <v>100084424000</v>
      </c>
    </row>
    <row r="609" ht="27.75" customHeight="1" spans="1:34" x14ac:dyDescent="0.25">
      <c r="A609" s="3">
        <v>619</v>
      </c>
      <c r="B609" s="3" t="s">
        <v>195</v>
      </c>
      <c r="C609" s="3" t="s">
        <v>641</v>
      </c>
      <c r="D609" s="3" t="s">
        <v>40</v>
      </c>
      <c r="E609" s="3">
        <v>118</v>
      </c>
      <c r="F609" s="3" t="s">
        <v>42</v>
      </c>
      <c r="G609" s="3" t="s">
        <v>42</v>
      </c>
      <c r="H609" s="3">
        <v>30</v>
      </c>
      <c r="I609" s="4">
        <v>118</v>
      </c>
      <c r="J609" s="5">
        <v>961000</v>
      </c>
      <c r="K609" s="6">
        <f>$E609+1</f>
        <v>119</v>
      </c>
      <c r="L609" s="7">
        <f>IF($J609=0,0,ROUND(MAX($J609*1.4,1620000*(1.497923^(MIN($E609,123)-117)))*1,0))</f>
        <v>2426635</v>
      </c>
      <c r="M609" s="4">
        <f>$E609+2</f>
        <v>120</v>
      </c>
      <c r="N609" s="8">
        <f>IF($J609=0,0,ROUND(MAX($J609*1.4*1.5,2190000*(1.580994^(MIN($E609,123)-117)))*1,0))</f>
        <v>3462377</v>
      </c>
      <c r="O609" s="6">
        <f>$E609+4</f>
        <v>122</v>
      </c>
      <c r="P609" s="7">
        <f>IF($J609=0,0,ROUND(MAX($J609*1.4*1.5*1.6,3500000*(1.57975^(MIN($E609,123)-117)))*1,0))</f>
        <v>5529125</v>
      </c>
      <c r="Q609" s="4">
        <f>$E609+6</f>
        <v>124</v>
      </c>
      <c r="R609" s="8">
        <f>IF($J609=0,0,ROUND(MAX($J609*1.4*1.5*1.6*1.6,13100000*(1.429962^(MIN($E609,123)-117)))*1,0))</f>
        <v>18732502</v>
      </c>
      <c r="S609" s="6">
        <f>$E609+8</f>
        <v>126</v>
      </c>
      <c r="T609" s="7">
        <f>IF($J609=0,0,ROUND(MAX($J609*1.4*1.5*1.6*1.6*2.2,42600000*(1.576904^(MIN($E609,123)-117)))*1,0))</f>
        <v>67176110</v>
      </c>
      <c r="U609" s="4">
        <f>$E609+11</f>
        <v>129</v>
      </c>
      <c r="V609" s="8">
        <f>IF($J609=0,0,ROUND(MAX($J609*1.4*1.5*1.6*1.6*2.2*2.715,354000000*(1.642074^(MIN($E609,123)-117)))*1,0))</f>
        <v>581294196</v>
      </c>
      <c r="W609" s="6">
        <f>$E609+15</f>
        <v>133</v>
      </c>
      <c r="X609" s="7">
        <f>IF($J609=0,0,ROUND(MAX($J609*1.4*1.5*1.6*1.6*2.2*2.715*2.6,3540000000*(1.579646^(MIN($E609,123)-117)))*1,0))</f>
        <v>5591946840</v>
      </c>
      <c r="Y609" s="4">
        <f>$E609+17</f>
        <v>135</v>
      </c>
      <c r="Z609" s="8">
        <f>IF($J609=0,0,ROUND(MAX($J609*1.4*1.5*1.6*1.6*2.2*2.715*2.6*1.4,6020000000*(1.651178^(MIN($E609,123)-117)))*1,0))</f>
        <v>9940091560</v>
      </c>
      <c r="AA609" s="6">
        <f>$E609+19</f>
        <v>137</v>
      </c>
      <c r="AB609" s="7">
        <f>IF($J609=0,0,ROUND(MAX($J609*1.4*1.5*1.6*1.6*2.2*2.715*2.6*1.4*1.4,8430000000*(1.651435^(MIN($E609,123)-117)))*1,0))</f>
        <v>13921597050</v>
      </c>
      <c r="AC609" s="4">
        <f>$E609+21</f>
        <v>139</v>
      </c>
      <c r="AD609" s="8">
        <f>IF($J609=0,0,ROUND(MAX($J609*1.4*1.5*1.6*1.6*2.2*2.715*2.6*1.4*1.4*1.5,12600000000*(1.652953^(MIN($E609,123)-117)))*1,0))</f>
        <v>20827207800</v>
      </c>
      <c r="AE609" s="6">
        <f>$E609+24</f>
        <v>142</v>
      </c>
      <c r="AF609" s="7">
        <f>IF($J609=0,0,ROUND(MAX($J609*1.4*1.5*1.6*1.6*2.2*2.715*2.6*1.4*1.4*1.5*1.5,18900000000*(1.65331^(MIN($E609,123)-117)))*1,0))</f>
        <v>31247559000</v>
      </c>
      <c r="AG609" s="4">
        <f>$E609+27</f>
        <v>145</v>
      </c>
      <c r="AH609" s="8">
        <f>IF($J609=0,0,ROUND(MAX($J609*1.4*1.5*1.6*1.6*2.2*2.715*2.6*1.4*1.4*1.5*1.5*3.2,60500000000*(1.654288^(MIN($E609,123)-117)))*1,0))</f>
        <v>100084424000</v>
      </c>
    </row>
    <row r="610" ht="27.75" customHeight="1" spans="1:34" x14ac:dyDescent="0.25">
      <c r="A610" s="3">
        <v>620</v>
      </c>
      <c r="B610" s="3" t="s">
        <v>143</v>
      </c>
      <c r="C610" s="3" t="s">
        <v>641</v>
      </c>
      <c r="D610" s="3" t="s">
        <v>25</v>
      </c>
      <c r="E610" s="3">
        <v>118</v>
      </c>
      <c r="F610" s="3" t="s">
        <v>144</v>
      </c>
      <c r="G610" s="3" t="s">
        <v>144</v>
      </c>
      <c r="H610" s="3">
        <v>30</v>
      </c>
      <c r="I610" s="4">
        <v>118</v>
      </c>
      <c r="J610" s="5">
        <v>850000</v>
      </c>
      <c r="K610" s="6">
        <f>$E610+1</f>
        <v>119</v>
      </c>
      <c r="L610" s="7">
        <f>IF($J610=0,0,ROUND(MAX($J610*1.4,1620000*(1.497923^(MIN($E610,123)-117)))*1,0))</f>
        <v>2426635</v>
      </c>
      <c r="M610" s="4">
        <f>$E610+2</f>
        <v>120</v>
      </c>
      <c r="N610" s="8">
        <f>IF($J610=0,0,ROUND(MAX($J610*1.4*1.5,2190000*(1.580994^(MIN($E610,123)-117)))*1,0))</f>
        <v>3462377</v>
      </c>
      <c r="O610" s="6">
        <f>$E610+4</f>
        <v>122</v>
      </c>
      <c r="P610" s="7">
        <f>IF($J610=0,0,ROUND(MAX($J610*1.4*1.5*1.6,3500000*(1.57975^(MIN($E610,123)-117)))*1,0))</f>
        <v>5529125</v>
      </c>
      <c r="Q610" s="4">
        <f>$E610+6</f>
        <v>124</v>
      </c>
      <c r="R610" s="8">
        <f>IF($J610=0,0,ROUND(MAX($J610*1.4*1.5*1.6*1.6,13100000*(1.429962^(MIN($E610,123)-117)))*1,0))</f>
        <v>18732502</v>
      </c>
      <c r="S610" s="6">
        <f>$E610+8</f>
        <v>126</v>
      </c>
      <c r="T610" s="7">
        <f>IF($J610=0,0,ROUND(MAX($J610*1.4*1.5*1.6*1.6*2.2,42600000*(1.576904^(MIN($E610,123)-117)))*1,0))</f>
        <v>67176110</v>
      </c>
      <c r="U610" s="4">
        <f>$E610+11</f>
        <v>129</v>
      </c>
      <c r="V610" s="8">
        <f>IF($J610=0,0,ROUND(MAX($J610*1.4*1.5*1.6*1.6*2.2*2.715,354000000*(1.642074^(MIN($E610,123)-117)))*1,0))</f>
        <v>581294196</v>
      </c>
      <c r="W610" s="6">
        <f>$E610+15</f>
        <v>133</v>
      </c>
      <c r="X610" s="7">
        <f>IF($J610=0,0,ROUND(MAX($J610*1.4*1.5*1.6*1.6*2.2*2.715*2.6,3540000000*(1.579646^(MIN($E610,123)-117)))*1,0))</f>
        <v>5591946840</v>
      </c>
      <c r="Y610" s="4">
        <f>$E610+17</f>
        <v>135</v>
      </c>
      <c r="Z610" s="8">
        <f>IF($J610=0,0,ROUND(MAX($J610*1.4*1.5*1.6*1.6*2.2*2.715*2.6*1.4,6020000000*(1.651178^(MIN($E610,123)-117)))*1,0))</f>
        <v>9940091560</v>
      </c>
      <c r="AA610" s="6">
        <f>$E610+19</f>
        <v>137</v>
      </c>
      <c r="AB610" s="7">
        <f>IF($J610=0,0,ROUND(MAX($J610*1.4*1.5*1.6*1.6*2.2*2.715*2.6*1.4*1.4,8430000000*(1.651435^(MIN($E610,123)-117)))*1,0))</f>
        <v>13921597050</v>
      </c>
      <c r="AC610" s="4">
        <f>$E610+21</f>
        <v>139</v>
      </c>
      <c r="AD610" s="8">
        <f>IF($J610=0,0,ROUND(MAX($J610*1.4*1.5*1.6*1.6*2.2*2.715*2.6*1.4*1.4*1.5,12600000000*(1.652953^(MIN($E610,123)-117)))*1,0))</f>
        <v>20827207800</v>
      </c>
      <c r="AE610" s="6">
        <f>$E610+24</f>
        <v>142</v>
      </c>
      <c r="AF610" s="7">
        <f>IF($J610=0,0,ROUND(MAX($J610*1.4*1.5*1.6*1.6*2.2*2.715*2.6*1.4*1.4*1.5*1.5,18900000000*(1.65331^(MIN($E610,123)-117)))*1,0))</f>
        <v>31247559000</v>
      </c>
      <c r="AG610" s="4">
        <f>$E610+27</f>
        <v>145</v>
      </c>
      <c r="AH610" s="8">
        <f>IF($J610=0,0,ROUND(MAX($J610*1.4*1.5*1.6*1.6*2.2*2.715*2.6*1.4*1.4*1.5*1.5*3.2,60500000000*(1.654288^(MIN($E610,123)-117)))*1,0))</f>
        <v>100084424000</v>
      </c>
    </row>
    <row r="611" ht="27.75" customHeight="1" spans="1:34" x14ac:dyDescent="0.25">
      <c r="A611" s="3">
        <v>621</v>
      </c>
      <c r="B611" s="3" t="s">
        <v>149</v>
      </c>
      <c r="C611" s="3" t="s">
        <v>641</v>
      </c>
      <c r="D611" s="3" t="s">
        <v>33</v>
      </c>
      <c r="E611" s="3">
        <v>118</v>
      </c>
      <c r="F611" s="3" t="s">
        <v>56</v>
      </c>
      <c r="G611" s="3" t="s">
        <v>56</v>
      </c>
      <c r="H611" s="3">
        <v>30</v>
      </c>
      <c r="I611" s="4">
        <v>118</v>
      </c>
      <c r="J611" s="5">
        <v>864000</v>
      </c>
      <c r="K611" s="6">
        <f>$E611+1</f>
        <v>119</v>
      </c>
      <c r="L611" s="7">
        <f>IF($J611=0,0,ROUND(MAX($J611*1.4,1620000*(1.497923^(MIN($E611,123)-117)))*1,0))</f>
        <v>2426635</v>
      </c>
      <c r="M611" s="4">
        <f>$E611+2</f>
        <v>120</v>
      </c>
      <c r="N611" s="8">
        <f>IF($J611=0,0,ROUND(MAX($J611*1.4*1.5,2190000*(1.580994^(MIN($E611,123)-117)))*1,0))</f>
        <v>3462377</v>
      </c>
      <c r="O611" s="6">
        <f>$E611+4</f>
        <v>122</v>
      </c>
      <c r="P611" s="7">
        <f>IF($J611=0,0,ROUND(MAX($J611*1.4*1.5*1.6,3500000*(1.57975^(MIN($E611,123)-117)))*1,0))</f>
        <v>5529125</v>
      </c>
      <c r="Q611" s="4">
        <f>$E611+6</f>
        <v>124</v>
      </c>
      <c r="R611" s="8">
        <f>IF($J611=0,0,ROUND(MAX($J611*1.4*1.5*1.6*1.6,13100000*(1.429962^(MIN($E611,123)-117)))*1,0))</f>
        <v>18732502</v>
      </c>
      <c r="S611" s="6">
        <f>$E611+8</f>
        <v>126</v>
      </c>
      <c r="T611" s="7">
        <f>IF($J611=0,0,ROUND(MAX($J611*1.4*1.5*1.6*1.6*2.2,42600000*(1.576904^(MIN($E611,123)-117)))*1,0))</f>
        <v>67176110</v>
      </c>
      <c r="U611" s="4">
        <f>$E611+11</f>
        <v>129</v>
      </c>
      <c r="V611" s="8">
        <f>IF($J611=0,0,ROUND(MAX($J611*1.4*1.5*1.6*1.6*2.2*2.715,354000000*(1.642074^(MIN($E611,123)-117)))*1,0))</f>
        <v>581294196</v>
      </c>
      <c r="W611" s="6">
        <f>$E611+15</f>
        <v>133</v>
      </c>
      <c r="X611" s="7">
        <f>IF($J611=0,0,ROUND(MAX($J611*1.4*1.5*1.6*1.6*2.2*2.715*2.6,3540000000*(1.579646^(MIN($E611,123)-117)))*1,0))</f>
        <v>5591946840</v>
      </c>
      <c r="Y611" s="4">
        <f>$E611+17</f>
        <v>135</v>
      </c>
      <c r="Z611" s="8">
        <f>IF($J611=0,0,ROUND(MAX($J611*1.4*1.5*1.6*1.6*2.2*2.715*2.6*1.4,6020000000*(1.651178^(MIN($E611,123)-117)))*1,0))</f>
        <v>9940091560</v>
      </c>
      <c r="AA611" s="6">
        <f>$E611+19</f>
        <v>137</v>
      </c>
      <c r="AB611" s="7">
        <f>IF($J611=0,0,ROUND(MAX($J611*1.4*1.5*1.6*1.6*2.2*2.715*2.6*1.4*1.4,8430000000*(1.651435^(MIN($E611,123)-117)))*1,0))</f>
        <v>13921597050</v>
      </c>
      <c r="AC611" s="4">
        <f>$E611+21</f>
        <v>139</v>
      </c>
      <c r="AD611" s="8">
        <f>IF($J611=0,0,ROUND(MAX($J611*1.4*1.5*1.6*1.6*2.2*2.715*2.6*1.4*1.4*1.5,12600000000*(1.652953^(MIN($E611,123)-117)))*1,0))</f>
        <v>20827207800</v>
      </c>
      <c r="AE611" s="6">
        <f>$E611+24</f>
        <v>142</v>
      </c>
      <c r="AF611" s="7">
        <f>IF($J611=0,0,ROUND(MAX($J611*1.4*1.5*1.6*1.6*2.2*2.715*2.6*1.4*1.4*1.5*1.5,18900000000*(1.65331^(MIN($E611,123)-117)))*1,0))</f>
        <v>31247559000</v>
      </c>
      <c r="AG611" s="4">
        <f>$E611+27</f>
        <v>145</v>
      </c>
      <c r="AH611" s="8">
        <f>IF($J611=0,0,ROUND(MAX($J611*1.4*1.5*1.6*1.6*2.2*2.715*2.6*1.4*1.4*1.5*1.5*3.2,60500000000*(1.654288^(MIN($E611,123)-117)))*1,0))</f>
        <v>100084424000</v>
      </c>
    </row>
    <row r="612" ht="27.75" customHeight="1" spans="1:34" x14ac:dyDescent="0.25">
      <c r="A612" s="3">
        <v>622</v>
      </c>
      <c r="B612" s="3" t="s">
        <v>476</v>
      </c>
      <c r="C612" s="3" t="s">
        <v>641</v>
      </c>
      <c r="D612" s="3" t="s">
        <v>25</v>
      </c>
      <c r="E612" s="3">
        <v>118</v>
      </c>
      <c r="F612" s="3" t="s">
        <v>144</v>
      </c>
      <c r="G612" s="3" t="s">
        <v>144</v>
      </c>
      <c r="H612" s="3">
        <v>30</v>
      </c>
      <c r="I612" s="4">
        <v>118</v>
      </c>
      <c r="J612" s="5">
        <v>957000</v>
      </c>
      <c r="K612" s="6">
        <f>$E612+1</f>
        <v>119</v>
      </c>
      <c r="L612" s="7">
        <f>IF($J612=0,0,ROUND(MAX($J612*1.4,1620000*(1.497923^(MIN($E612,123)-117)))*1,0))</f>
        <v>2426635</v>
      </c>
      <c r="M612" s="4">
        <f>$E612+2</f>
        <v>120</v>
      </c>
      <c r="N612" s="8">
        <f>IF($J612=0,0,ROUND(MAX($J612*1.4*1.5,2190000*(1.580994^(MIN($E612,123)-117)))*1,0))</f>
        <v>3462377</v>
      </c>
      <c r="O612" s="6">
        <f>$E612+4</f>
        <v>122</v>
      </c>
      <c r="P612" s="7">
        <f>IF($J612=0,0,ROUND(MAX($J612*1.4*1.5*1.6,3500000*(1.57975^(MIN($E612,123)-117)))*1,0))</f>
        <v>5529125</v>
      </c>
      <c r="Q612" s="4">
        <f>$E612+6</f>
        <v>124</v>
      </c>
      <c r="R612" s="8">
        <f>IF($J612=0,0,ROUND(MAX($J612*1.4*1.5*1.6*1.6,13100000*(1.429962^(MIN($E612,123)-117)))*1,0))</f>
        <v>18732502</v>
      </c>
      <c r="S612" s="6">
        <f>$E612+8</f>
        <v>126</v>
      </c>
      <c r="T612" s="7">
        <f>IF($J612=0,0,ROUND(MAX($J612*1.4*1.5*1.6*1.6*2.2,42600000*(1.576904^(MIN($E612,123)-117)))*1,0))</f>
        <v>67176110</v>
      </c>
      <c r="U612" s="4">
        <f>$E612+11</f>
        <v>129</v>
      </c>
      <c r="V612" s="8">
        <f>IF($J612=0,0,ROUND(MAX($J612*1.4*1.5*1.6*1.6*2.2*2.715,354000000*(1.642074^(MIN($E612,123)-117)))*1,0))</f>
        <v>581294196</v>
      </c>
      <c r="W612" s="6">
        <f>$E612+15</f>
        <v>133</v>
      </c>
      <c r="X612" s="7">
        <f>IF($J612=0,0,ROUND(MAX($J612*1.4*1.5*1.6*1.6*2.2*2.715*2.6,3540000000*(1.579646^(MIN($E612,123)-117)))*1,0))</f>
        <v>5591946840</v>
      </c>
      <c r="Y612" s="4">
        <f>$E612+17</f>
        <v>135</v>
      </c>
      <c r="Z612" s="8">
        <f>IF($J612=0,0,ROUND(MAX($J612*1.4*1.5*1.6*1.6*2.2*2.715*2.6*1.4,6020000000*(1.651178^(MIN($E612,123)-117)))*1,0))</f>
        <v>9940091560</v>
      </c>
      <c r="AA612" s="6">
        <f>$E612+19</f>
        <v>137</v>
      </c>
      <c r="AB612" s="7">
        <f>IF($J612=0,0,ROUND(MAX($J612*1.4*1.5*1.6*1.6*2.2*2.715*2.6*1.4*1.4,8430000000*(1.651435^(MIN($E612,123)-117)))*1,0))</f>
        <v>13921597050</v>
      </c>
      <c r="AC612" s="4">
        <f>$E612+21</f>
        <v>139</v>
      </c>
      <c r="AD612" s="8">
        <f>IF($J612=0,0,ROUND(MAX($J612*1.4*1.5*1.6*1.6*2.2*2.715*2.6*1.4*1.4*1.5,12600000000*(1.652953^(MIN($E612,123)-117)))*1,0))</f>
        <v>20827207800</v>
      </c>
      <c r="AE612" s="6">
        <f>$E612+24</f>
        <v>142</v>
      </c>
      <c r="AF612" s="7">
        <f>IF($J612=0,0,ROUND(MAX($J612*1.4*1.5*1.6*1.6*2.2*2.715*2.6*1.4*1.4*1.5*1.5,18900000000*(1.65331^(MIN($E612,123)-117)))*1,0))</f>
        <v>31247559000</v>
      </c>
      <c r="AG612" s="4">
        <f>$E612+27</f>
        <v>145</v>
      </c>
      <c r="AH612" s="8">
        <f>IF($J612=0,0,ROUND(MAX($J612*1.4*1.5*1.6*1.6*2.2*2.715*2.6*1.4*1.4*1.5*1.5*3.2,60500000000*(1.654288^(MIN($E612,123)-117)))*1,0))</f>
        <v>100084424000</v>
      </c>
    </row>
    <row r="613" ht="27.75" customHeight="1" spans="1:34" x14ac:dyDescent="0.25">
      <c r="A613" s="3">
        <v>623</v>
      </c>
      <c r="B613" s="3" t="s">
        <v>115</v>
      </c>
      <c r="C613" s="3" t="s">
        <v>641</v>
      </c>
      <c r="D613" s="3" t="s">
        <v>40</v>
      </c>
      <c r="E613" s="3">
        <v>118</v>
      </c>
      <c r="F613" s="3" t="s">
        <v>116</v>
      </c>
      <c r="G613" s="3" t="s">
        <v>116</v>
      </c>
      <c r="H613" s="3">
        <v>30</v>
      </c>
      <c r="I613" s="4">
        <v>118</v>
      </c>
      <c r="J613" s="5">
        <v>844000</v>
      </c>
      <c r="K613" s="6">
        <f>$E613+1</f>
        <v>119</v>
      </c>
      <c r="L613" s="7">
        <f>IF($J613=0,0,ROUND(MAX($J613*1.4,1620000*(1.497923^(MIN($E613,123)-117)))*1,0))</f>
        <v>2426635</v>
      </c>
      <c r="M613" s="4">
        <f>$E613+2</f>
        <v>120</v>
      </c>
      <c r="N613" s="8">
        <f>IF($J613=0,0,ROUND(MAX($J613*1.4*1.5,2190000*(1.580994^(MIN($E613,123)-117)))*1,0))</f>
        <v>3462377</v>
      </c>
      <c r="O613" s="6">
        <f>$E613+4</f>
        <v>122</v>
      </c>
      <c r="P613" s="7">
        <f>IF($J613=0,0,ROUND(MAX($J613*1.4*1.5*1.6,3500000*(1.57975^(MIN($E613,123)-117)))*1,0))</f>
        <v>5529125</v>
      </c>
      <c r="Q613" s="4">
        <f>$E613+6</f>
        <v>124</v>
      </c>
      <c r="R613" s="8">
        <f>IF($J613=0,0,ROUND(MAX($J613*1.4*1.5*1.6*1.6,13100000*(1.429962^(MIN($E613,123)-117)))*1,0))</f>
        <v>18732502</v>
      </c>
      <c r="S613" s="6">
        <f>$E613+8</f>
        <v>126</v>
      </c>
      <c r="T613" s="7">
        <f>IF($J613=0,0,ROUND(MAX($J613*1.4*1.5*1.6*1.6*2.2,42600000*(1.576904^(MIN($E613,123)-117)))*1,0))</f>
        <v>67176110</v>
      </c>
      <c r="U613" s="4">
        <f>$E613+11</f>
        <v>129</v>
      </c>
      <c r="V613" s="8">
        <f>IF($J613=0,0,ROUND(MAX($J613*1.4*1.5*1.6*1.6*2.2*2.715,354000000*(1.642074^(MIN($E613,123)-117)))*1,0))</f>
        <v>581294196</v>
      </c>
      <c r="W613" s="6">
        <f>$E613+15</f>
        <v>133</v>
      </c>
      <c r="X613" s="7">
        <f>IF($J613=0,0,ROUND(MAX($J613*1.4*1.5*1.6*1.6*2.2*2.715*2.6,3540000000*(1.579646^(MIN($E613,123)-117)))*1,0))</f>
        <v>5591946840</v>
      </c>
      <c r="Y613" s="4">
        <f>$E613+17</f>
        <v>135</v>
      </c>
      <c r="Z613" s="8">
        <f>IF($J613=0,0,ROUND(MAX($J613*1.4*1.5*1.6*1.6*2.2*2.715*2.6*1.4,6020000000*(1.651178^(MIN($E613,123)-117)))*1,0))</f>
        <v>9940091560</v>
      </c>
      <c r="AA613" s="6">
        <f>$E613+19</f>
        <v>137</v>
      </c>
      <c r="AB613" s="7">
        <f>IF($J613=0,0,ROUND(MAX($J613*1.4*1.5*1.6*1.6*2.2*2.715*2.6*1.4*1.4,8430000000*(1.651435^(MIN($E613,123)-117)))*1,0))</f>
        <v>13921597050</v>
      </c>
      <c r="AC613" s="4">
        <f>$E613+21</f>
        <v>139</v>
      </c>
      <c r="AD613" s="8">
        <f>IF($J613=0,0,ROUND(MAX($J613*1.4*1.5*1.6*1.6*2.2*2.715*2.6*1.4*1.4*1.5,12600000000*(1.652953^(MIN($E613,123)-117)))*1,0))</f>
        <v>20827207800</v>
      </c>
      <c r="AE613" s="6">
        <f>$E613+24</f>
        <v>142</v>
      </c>
      <c r="AF613" s="7">
        <f>IF($J613=0,0,ROUND(MAX($J613*1.4*1.5*1.6*1.6*2.2*2.715*2.6*1.4*1.4*1.5*1.5,18900000000*(1.65331^(MIN($E613,123)-117)))*1,0))</f>
        <v>31247559000</v>
      </c>
      <c r="AG613" s="4">
        <f>$E613+27</f>
        <v>145</v>
      </c>
      <c r="AH613" s="8">
        <f>IF($J613=0,0,ROUND(MAX($J613*1.4*1.5*1.6*1.6*2.2*2.715*2.6*1.4*1.4*1.5*1.5*3.2,60500000000*(1.654288^(MIN($E613,123)-117)))*1,0))</f>
        <v>100084424000</v>
      </c>
    </row>
    <row r="614" ht="27.75" customHeight="1" spans="1:34" x14ac:dyDescent="0.25">
      <c r="A614" s="3">
        <v>624</v>
      </c>
      <c r="B614" s="3" t="s">
        <v>224</v>
      </c>
      <c r="C614" s="3" t="s">
        <v>641</v>
      </c>
      <c r="D614" s="3" t="s">
        <v>25</v>
      </c>
      <c r="E614" s="3">
        <v>118</v>
      </c>
      <c r="F614" s="3" t="s">
        <v>225</v>
      </c>
      <c r="G614" s="3" t="s">
        <v>225</v>
      </c>
      <c r="H614" s="3">
        <v>30</v>
      </c>
      <c r="I614" s="4">
        <v>118</v>
      </c>
      <c r="J614" s="5">
        <v>958000</v>
      </c>
      <c r="K614" s="6">
        <f>$E614+1</f>
        <v>119</v>
      </c>
      <c r="L614" s="7">
        <f>IF($J614=0,0,ROUND(MAX($J614*1.4,1620000*(1.497923^(MIN($E614,123)-117)))*1,0))</f>
        <v>2426635</v>
      </c>
      <c r="M614" s="4">
        <f>$E614+2</f>
        <v>120</v>
      </c>
      <c r="N614" s="8">
        <f>IF($J614=0,0,ROUND(MAX($J614*1.4*1.5,2190000*(1.580994^(MIN($E614,123)-117)))*1,0))</f>
        <v>3462377</v>
      </c>
      <c r="O614" s="6">
        <f>$E614+4</f>
        <v>122</v>
      </c>
      <c r="P614" s="7">
        <f>IF($J614=0,0,ROUND(MAX($J614*1.4*1.5*1.6,3500000*(1.57975^(MIN($E614,123)-117)))*1,0))</f>
        <v>5529125</v>
      </c>
      <c r="Q614" s="4">
        <f>$E614+6</f>
        <v>124</v>
      </c>
      <c r="R614" s="8">
        <f>IF($J614=0,0,ROUND(MAX($J614*1.4*1.5*1.6*1.6,13100000*(1.429962^(MIN($E614,123)-117)))*1,0))</f>
        <v>18732502</v>
      </c>
      <c r="S614" s="6">
        <f>$E614+8</f>
        <v>126</v>
      </c>
      <c r="T614" s="7">
        <f>IF($J614=0,0,ROUND(MAX($J614*1.4*1.5*1.6*1.6*2.2,42600000*(1.576904^(MIN($E614,123)-117)))*1,0))</f>
        <v>67176110</v>
      </c>
      <c r="U614" s="4">
        <f>$E614+11</f>
        <v>129</v>
      </c>
      <c r="V614" s="8">
        <f>IF($J614=0,0,ROUND(MAX($J614*1.4*1.5*1.6*1.6*2.2*2.715,354000000*(1.642074^(MIN($E614,123)-117)))*1,0))</f>
        <v>581294196</v>
      </c>
      <c r="W614" s="6">
        <f>$E614+15</f>
        <v>133</v>
      </c>
      <c r="X614" s="7">
        <f>IF($J614=0,0,ROUND(MAX($J614*1.4*1.5*1.6*1.6*2.2*2.715*2.6,3540000000*(1.579646^(MIN($E614,123)-117)))*1,0))</f>
        <v>5591946840</v>
      </c>
      <c r="Y614" s="4">
        <f>$E614+17</f>
        <v>135</v>
      </c>
      <c r="Z614" s="8">
        <f>IF($J614=0,0,ROUND(MAX($J614*1.4*1.5*1.6*1.6*2.2*2.715*2.6*1.4,6020000000*(1.651178^(MIN($E614,123)-117)))*1,0))</f>
        <v>9940091560</v>
      </c>
      <c r="AA614" s="6">
        <f>$E614+19</f>
        <v>137</v>
      </c>
      <c r="AB614" s="7">
        <f>IF($J614=0,0,ROUND(MAX($J614*1.4*1.5*1.6*1.6*2.2*2.715*2.6*1.4*1.4,8430000000*(1.651435^(MIN($E614,123)-117)))*1,0))</f>
        <v>13921597050</v>
      </c>
      <c r="AC614" s="4">
        <f>$E614+21</f>
        <v>139</v>
      </c>
      <c r="AD614" s="8">
        <f>IF($J614=0,0,ROUND(MAX($J614*1.4*1.5*1.6*1.6*2.2*2.715*2.6*1.4*1.4*1.5,12600000000*(1.652953^(MIN($E614,123)-117)))*1,0))</f>
        <v>20827207800</v>
      </c>
      <c r="AE614" s="6">
        <f>$E614+24</f>
        <v>142</v>
      </c>
      <c r="AF614" s="7">
        <f>IF($J614=0,0,ROUND(MAX($J614*1.4*1.5*1.6*1.6*2.2*2.715*2.6*1.4*1.4*1.5*1.5,18900000000*(1.65331^(MIN($E614,123)-117)))*1,0))</f>
        <v>31247559000</v>
      </c>
      <c r="AG614" s="4">
        <f>$E614+27</f>
        <v>145</v>
      </c>
      <c r="AH614" s="8">
        <f>IF($J614=0,0,ROUND(MAX($J614*1.4*1.5*1.6*1.6*2.2*2.715*2.6*1.4*1.4*1.5*1.5*3.2,60500000000*(1.654288^(MIN($E614,123)-117)))*1,0))</f>
        <v>100084424000</v>
      </c>
    </row>
    <row r="615" ht="27.75" customHeight="1" spans="1:34" x14ac:dyDescent="0.25">
      <c r="A615" s="3">
        <v>625</v>
      </c>
      <c r="B615" s="3" t="s">
        <v>188</v>
      </c>
      <c r="C615" s="3" t="s">
        <v>641</v>
      </c>
      <c r="D615" s="3" t="s">
        <v>47</v>
      </c>
      <c r="E615" s="3">
        <v>119</v>
      </c>
      <c r="F615" s="3" t="s">
        <v>42</v>
      </c>
      <c r="G615" s="3" t="s">
        <v>42</v>
      </c>
      <c r="H615" s="3">
        <v>28</v>
      </c>
      <c r="I615" s="4">
        <v>119</v>
      </c>
      <c r="J615" s="5">
        <v>1170000</v>
      </c>
      <c r="K615" s="6">
        <f>$E615+1</f>
        <v>120</v>
      </c>
      <c r="L615" s="7">
        <f>IF($J615=0,0,ROUND(MAX($J615*1.4,1620000*(1.497923^(MIN($E615,123)-117)))*1,0))</f>
        <v>3634913</v>
      </c>
      <c r="M615" s="4">
        <f>$E615+2</f>
        <v>121</v>
      </c>
      <c r="N615" s="8">
        <f>IF($J615=0,0,ROUND(MAX($J615*1.4*1.5,2190000*(1.580994^(MIN($E615,123)-117)))*1,0))</f>
        <v>5473997</v>
      </c>
      <c r="O615" s="6">
        <f>$E615+4</f>
        <v>123</v>
      </c>
      <c r="P615" s="7">
        <f>IF($J615=0,0,ROUND(MAX($J615*1.4*1.5*1.6,3500000*(1.57975^(MIN($E615,123)-117)))*1,0))</f>
        <v>8734635</v>
      </c>
      <c r="Q615" s="4">
        <f>$E615+6</f>
        <v>125</v>
      </c>
      <c r="R615" s="8">
        <f>IF($J615=0,0,ROUND(MAX($J615*1.4*1.5*1.6*1.6,13100000*(1.429962^(MIN($E615,123)-117)))*1,0))</f>
        <v>26786766</v>
      </c>
      <c r="S615" s="6">
        <f>$E615+8</f>
        <v>127</v>
      </c>
      <c r="T615" s="7">
        <f>IF($J615=0,0,ROUND(MAX($J615*1.4*1.5*1.6*1.6*2.2,42600000*(1.576904^(MIN($E615,123)-117)))*1,0))</f>
        <v>105930277</v>
      </c>
      <c r="U615" s="4">
        <f>$E615+11</f>
        <v>130</v>
      </c>
      <c r="V615" s="8">
        <f>IF($J615=0,0,ROUND(MAX($J615*1.4*1.5*1.6*1.6*2.2*2.715,354000000*(1.642074^(MIN($E615,123)-117)))*1,0))</f>
        <v>954528086</v>
      </c>
      <c r="W615" s="6">
        <f>$E615+15</f>
        <v>134</v>
      </c>
      <c r="X615" s="7">
        <f>IF($J615=0,0,ROUND(MAX($J615*1.4*1.5*1.6*1.6*2.2*2.715*2.6,3540000000*(1.579646^(MIN($E615,123)-117)))*1,0))</f>
        <v>8833296458</v>
      </c>
      <c r="Y615" s="4">
        <f>$E615+17</f>
        <v>136</v>
      </c>
      <c r="Z615" s="8">
        <f>IF($J615=0,0,ROUND(MAX($J615*1.4*1.5*1.6*1.6*2.2*2.715*2.6*1.4,6020000000*(1.651178^(MIN($E615,123)-117)))*1,0))</f>
        <v>16412860502</v>
      </c>
      <c r="AA615" s="6">
        <f>$E615+19</f>
        <v>138</v>
      </c>
      <c r="AB615" s="7">
        <f>IF($J615=0,0,ROUND(MAX($J615*1.4*1.5*1.6*1.6*2.2*2.715*2.6*1.4*1.4,8430000000*(1.651435^(MIN($E615,123)-117)))*1,0))</f>
        <v>22990612624</v>
      </c>
      <c r="AC615" s="4">
        <f>$E615+21</f>
        <v>140</v>
      </c>
      <c r="AD615" s="8">
        <f>IF($J615=0,0,ROUND(MAX($J615*1.4*1.5*1.6*1.6*2.2*2.715*2.6*1.4*1.4*1.5,12600000000*(1.652953^(MIN($E615,123)-117)))*1,0))</f>
        <v>34426395615</v>
      </c>
      <c r="AE615" s="6">
        <f>$E615+24</f>
        <v>143</v>
      </c>
      <c r="AF615" s="7">
        <f>IF($J615=0,0,ROUND(MAX($J615*1.4*1.5*1.6*1.6*2.2*2.715*2.6*1.4*1.4*1.5*1.5,18900000000*(1.65331^(MIN($E615,123)-117)))*1,0))</f>
        <v>51661901770</v>
      </c>
      <c r="AG615" s="4">
        <f>$E615+27</f>
        <v>146</v>
      </c>
      <c r="AH615" s="8">
        <f>IF($J615=0,0,ROUND(MAX($J615*1.4*1.5*1.6*1.6*2.2*2.715*2.6*1.4*1.4*1.5*1.5*3.2,60500000000*(1.654288^(MIN($E615,123)-117)))*1,0))</f>
        <v>165568461610</v>
      </c>
    </row>
    <row r="616" ht="27.75" customHeight="1" spans="1:34" x14ac:dyDescent="0.25">
      <c r="A616" s="3">
        <v>626</v>
      </c>
      <c r="B616" s="3" t="s">
        <v>46</v>
      </c>
      <c r="C616" s="3" t="s">
        <v>641</v>
      </c>
      <c r="D616" s="3" t="s">
        <v>47</v>
      </c>
      <c r="E616" s="3">
        <v>119</v>
      </c>
      <c r="F616" s="3" t="s">
        <v>48</v>
      </c>
      <c r="G616" s="3" t="s">
        <v>48</v>
      </c>
      <c r="H616" s="3">
        <v>28</v>
      </c>
      <c r="I616" s="4">
        <v>119</v>
      </c>
      <c r="J616" s="5">
        <v>1660000</v>
      </c>
      <c r="K616" s="6">
        <f>$E616+1</f>
        <v>120</v>
      </c>
      <c r="L616" s="7">
        <f>IF($J616=0,0,ROUND(MAX($J616*1.4,1620000*(1.497923^(MIN($E616,123)-117)))*1,0))</f>
        <v>3634913</v>
      </c>
      <c r="M616" s="4">
        <f>$E616+2</f>
        <v>121</v>
      </c>
      <c r="N616" s="8">
        <f>IF($J616=0,0,ROUND(MAX($J616*1.4*1.5,2190000*(1.580994^(MIN($E616,123)-117)))*1,0))</f>
        <v>5473997</v>
      </c>
      <c r="O616" s="6">
        <f>$E616+4</f>
        <v>123</v>
      </c>
      <c r="P616" s="7">
        <f>IF($J616=0,0,ROUND(MAX($J616*1.4*1.5*1.6,3500000*(1.57975^(MIN($E616,123)-117)))*1,0))</f>
        <v>8734635</v>
      </c>
      <c r="Q616" s="4">
        <f>$E616+6</f>
        <v>125</v>
      </c>
      <c r="R616" s="8">
        <f>IF($J616=0,0,ROUND(MAX($J616*1.4*1.5*1.6*1.6,13100000*(1.429962^(MIN($E616,123)-117)))*1,0))</f>
        <v>26786766</v>
      </c>
      <c r="S616" s="6">
        <f>$E616+8</f>
        <v>127</v>
      </c>
      <c r="T616" s="7">
        <f>IF($J616=0,0,ROUND(MAX($J616*1.4*1.5*1.6*1.6*2.2,42600000*(1.576904^(MIN($E616,123)-117)))*1,0))</f>
        <v>105930277</v>
      </c>
      <c r="U616" s="4">
        <f>$E616+11</f>
        <v>130</v>
      </c>
      <c r="V616" s="8">
        <f>IF($J616=0,0,ROUND(MAX($J616*1.4*1.5*1.6*1.6*2.2*2.715,354000000*(1.642074^(MIN($E616,123)-117)))*1,0))</f>
        <v>954528086</v>
      </c>
      <c r="W616" s="6">
        <f>$E616+15</f>
        <v>134</v>
      </c>
      <c r="X616" s="7">
        <f>IF($J616=0,0,ROUND(MAX($J616*1.4*1.5*1.6*1.6*2.2*2.715*2.6,3540000000*(1.579646^(MIN($E616,123)-117)))*1,0))</f>
        <v>8833296458</v>
      </c>
      <c r="Y616" s="4">
        <f>$E616+17</f>
        <v>136</v>
      </c>
      <c r="Z616" s="8">
        <f>IF($J616=0,0,ROUND(MAX($J616*1.4*1.5*1.6*1.6*2.2*2.715*2.6*1.4,6020000000*(1.651178^(MIN($E616,123)-117)))*1,0))</f>
        <v>16412860502</v>
      </c>
      <c r="AA616" s="6">
        <f>$E616+19</f>
        <v>138</v>
      </c>
      <c r="AB616" s="7">
        <f>IF($J616=0,0,ROUND(MAX($J616*1.4*1.5*1.6*1.6*2.2*2.715*2.6*1.4*1.4,8430000000*(1.651435^(MIN($E616,123)-117)))*1,0))</f>
        <v>22990612624</v>
      </c>
      <c r="AC616" s="4">
        <f>$E616+21</f>
        <v>140</v>
      </c>
      <c r="AD616" s="8">
        <f>IF($J616=0,0,ROUND(MAX($J616*1.4*1.5*1.6*1.6*2.2*2.715*2.6*1.4*1.4*1.5,12600000000*(1.652953^(MIN($E616,123)-117)))*1,0))</f>
        <v>34426395615</v>
      </c>
      <c r="AE616" s="6">
        <f>$E616+24</f>
        <v>143</v>
      </c>
      <c r="AF616" s="7">
        <f>IF($J616=0,0,ROUND(MAX($J616*1.4*1.5*1.6*1.6*2.2*2.715*2.6*1.4*1.4*1.5*1.5,18900000000*(1.65331^(MIN($E616,123)-117)))*1,0))</f>
        <v>51661901770</v>
      </c>
      <c r="AG616" s="4">
        <f>$E616+27</f>
        <v>146</v>
      </c>
      <c r="AH616" s="8">
        <f>IF($J616=0,0,ROUND(MAX($J616*1.4*1.5*1.6*1.6*2.2*2.715*2.6*1.4*1.4*1.5*1.5*3.2,60500000000*(1.654288^(MIN($E616,123)-117)))*1,0))</f>
        <v>165568461610</v>
      </c>
    </row>
    <row r="617" ht="27.75" customHeight="1" spans="1:34" x14ac:dyDescent="0.25">
      <c r="A617" s="3">
        <v>627</v>
      </c>
      <c r="B617" s="3" t="s">
        <v>189</v>
      </c>
      <c r="C617" s="3" t="s">
        <v>641</v>
      </c>
      <c r="D617" s="3" t="s">
        <v>102</v>
      </c>
      <c r="E617" s="3">
        <v>119</v>
      </c>
      <c r="F617" s="3" t="s">
        <v>62</v>
      </c>
      <c r="G617" s="3" t="s">
        <v>62</v>
      </c>
      <c r="H617" s="3">
        <v>29</v>
      </c>
      <c r="I617" s="4">
        <v>119</v>
      </c>
      <c r="J617" s="5">
        <v>1190000</v>
      </c>
      <c r="K617" s="6">
        <f>$E617+1</f>
        <v>120</v>
      </c>
      <c r="L617" s="7">
        <f>IF($J617=0,0,ROUND(MAX($J617*1.4,1620000*(1.497923^(MIN($E617,123)-117)))*1,0))</f>
        <v>3634913</v>
      </c>
      <c r="M617" s="4">
        <f>$E617+2</f>
        <v>121</v>
      </c>
      <c r="N617" s="8">
        <f>IF($J617=0,0,ROUND(MAX($J617*1.4*1.5,2190000*(1.580994^(MIN($E617,123)-117)))*1,0))</f>
        <v>5473997</v>
      </c>
      <c r="O617" s="6">
        <f>$E617+4</f>
        <v>123</v>
      </c>
      <c r="P617" s="7">
        <f>IF($J617=0,0,ROUND(MAX($J617*1.4*1.5*1.6,3500000*(1.57975^(MIN($E617,123)-117)))*1,0))</f>
        <v>8734635</v>
      </c>
      <c r="Q617" s="4">
        <f>$E617+6</f>
        <v>125</v>
      </c>
      <c r="R617" s="8">
        <f>IF($J617=0,0,ROUND(MAX($J617*1.4*1.5*1.6*1.6,13100000*(1.429962^(MIN($E617,123)-117)))*1,0))</f>
        <v>26786766</v>
      </c>
      <c r="S617" s="6">
        <f>$E617+8</f>
        <v>127</v>
      </c>
      <c r="T617" s="7">
        <f>IF($J617=0,0,ROUND(MAX($J617*1.4*1.5*1.6*1.6*2.2,42600000*(1.576904^(MIN($E617,123)-117)))*1,0))</f>
        <v>105930277</v>
      </c>
      <c r="U617" s="4">
        <f>$E617+11</f>
        <v>130</v>
      </c>
      <c r="V617" s="8">
        <f>IF($J617=0,0,ROUND(MAX($J617*1.4*1.5*1.6*1.6*2.2*2.715,354000000*(1.642074^(MIN($E617,123)-117)))*1,0))</f>
        <v>954528086</v>
      </c>
      <c r="W617" s="6">
        <f>$E617+15</f>
        <v>134</v>
      </c>
      <c r="X617" s="7">
        <f>IF($J617=0,0,ROUND(MAX($J617*1.4*1.5*1.6*1.6*2.2*2.715*2.6,3540000000*(1.579646^(MIN($E617,123)-117)))*1,0))</f>
        <v>8833296458</v>
      </c>
      <c r="Y617" s="4">
        <f>$E617+17</f>
        <v>136</v>
      </c>
      <c r="Z617" s="8">
        <f>IF($J617=0,0,ROUND(MAX($J617*1.4*1.5*1.6*1.6*2.2*2.715*2.6*1.4,6020000000*(1.651178^(MIN($E617,123)-117)))*1,0))</f>
        <v>16412860502</v>
      </c>
      <c r="AA617" s="6">
        <f>$E617+19</f>
        <v>138</v>
      </c>
      <c r="AB617" s="7">
        <f>IF($J617=0,0,ROUND(MAX($J617*1.4*1.5*1.6*1.6*2.2*2.715*2.6*1.4*1.4,8430000000*(1.651435^(MIN($E617,123)-117)))*1,0))</f>
        <v>22990612624</v>
      </c>
      <c r="AC617" s="4">
        <f>$E617+21</f>
        <v>140</v>
      </c>
      <c r="AD617" s="8">
        <f>IF($J617=0,0,ROUND(MAX($J617*1.4*1.5*1.6*1.6*2.2*2.715*2.6*1.4*1.4*1.5,12600000000*(1.652953^(MIN($E617,123)-117)))*1,0))</f>
        <v>34426395615</v>
      </c>
      <c r="AE617" s="6">
        <f>$E617+24</f>
        <v>143</v>
      </c>
      <c r="AF617" s="7">
        <f>IF($J617=0,0,ROUND(MAX($J617*1.4*1.5*1.6*1.6*2.2*2.715*2.6*1.4*1.4*1.5*1.5,18900000000*(1.65331^(MIN($E617,123)-117)))*1,0))</f>
        <v>51661901770</v>
      </c>
      <c r="AG617" s="4">
        <f>$E617+27</f>
        <v>146</v>
      </c>
      <c r="AH617" s="8">
        <f>IF($J617=0,0,ROUND(MAX($J617*1.4*1.5*1.6*1.6*2.2*2.715*2.6*1.4*1.4*1.5*1.5*3.2,60500000000*(1.654288^(MIN($E617,123)-117)))*1,0))</f>
        <v>165568461610</v>
      </c>
    </row>
    <row r="618" ht="27.75" customHeight="1" spans="1:34" x14ac:dyDescent="0.25">
      <c r="A618" s="3">
        <v>628</v>
      </c>
      <c r="B618" s="3" t="s">
        <v>609</v>
      </c>
      <c r="C618" s="3" t="s">
        <v>641</v>
      </c>
      <c r="D618" s="3" t="s">
        <v>75</v>
      </c>
      <c r="E618" s="3">
        <v>119</v>
      </c>
      <c r="F618" s="3" t="s">
        <v>54</v>
      </c>
      <c r="G618" s="3" t="s">
        <v>54</v>
      </c>
      <c r="H618" s="3">
        <v>29</v>
      </c>
      <c r="I618" s="4">
        <v>119</v>
      </c>
      <c r="J618" s="5">
        <v>1190000</v>
      </c>
      <c r="K618" s="6">
        <f>$E618+1</f>
        <v>120</v>
      </c>
      <c r="L618" s="7">
        <f>IF($J618=0,0,ROUND(MAX($J618*1.4,1620000*(1.497923^(MIN($E618,123)-117)))*1,0))</f>
        <v>3634913</v>
      </c>
      <c r="M618" s="4">
        <f>$E618+2</f>
        <v>121</v>
      </c>
      <c r="N618" s="8">
        <f>IF($J618=0,0,ROUND(MAX($J618*1.4*1.5,2190000*(1.580994^(MIN($E618,123)-117)))*1,0))</f>
        <v>5473997</v>
      </c>
      <c r="O618" s="6">
        <f>$E618+4</f>
        <v>123</v>
      </c>
      <c r="P618" s="7">
        <f>IF($J618=0,0,ROUND(MAX($J618*1.4*1.5*1.6,3500000*(1.57975^(MIN($E618,123)-117)))*1,0))</f>
        <v>8734635</v>
      </c>
      <c r="Q618" s="4">
        <f>$E618+6</f>
        <v>125</v>
      </c>
      <c r="R618" s="8">
        <f>IF($J618=0,0,ROUND(MAX($J618*1.4*1.5*1.6*1.6,13100000*(1.429962^(MIN($E618,123)-117)))*1,0))</f>
        <v>26786766</v>
      </c>
      <c r="S618" s="6">
        <f>$E618+8</f>
        <v>127</v>
      </c>
      <c r="T618" s="7">
        <f>IF($J618=0,0,ROUND(MAX($J618*1.4*1.5*1.6*1.6*2.2,42600000*(1.576904^(MIN($E618,123)-117)))*1,0))</f>
        <v>105930277</v>
      </c>
      <c r="U618" s="4">
        <f>$E618+11</f>
        <v>130</v>
      </c>
      <c r="V618" s="8">
        <f>IF($J618=0,0,ROUND(MAX($J618*1.4*1.5*1.6*1.6*2.2*2.715,354000000*(1.642074^(MIN($E618,123)-117)))*1,0))</f>
        <v>954528086</v>
      </c>
      <c r="W618" s="6">
        <f>$E618+15</f>
        <v>134</v>
      </c>
      <c r="X618" s="7">
        <f>IF($J618=0,0,ROUND(MAX($J618*1.4*1.5*1.6*1.6*2.2*2.715*2.6,3540000000*(1.579646^(MIN($E618,123)-117)))*1,0))</f>
        <v>8833296458</v>
      </c>
      <c r="Y618" s="4">
        <f>$E618+17</f>
        <v>136</v>
      </c>
      <c r="Z618" s="8">
        <f>IF($J618=0,0,ROUND(MAX($J618*1.4*1.5*1.6*1.6*2.2*2.715*2.6*1.4,6020000000*(1.651178^(MIN($E618,123)-117)))*1,0))</f>
        <v>16412860502</v>
      </c>
      <c r="AA618" s="6">
        <f>$E618+19</f>
        <v>138</v>
      </c>
      <c r="AB618" s="7">
        <f>IF($J618=0,0,ROUND(MAX($J618*1.4*1.5*1.6*1.6*2.2*2.715*2.6*1.4*1.4,8430000000*(1.651435^(MIN($E618,123)-117)))*1,0))</f>
        <v>22990612624</v>
      </c>
      <c r="AC618" s="4">
        <f>$E618+21</f>
        <v>140</v>
      </c>
      <c r="AD618" s="8">
        <f>IF($J618=0,0,ROUND(MAX($J618*1.4*1.5*1.6*1.6*2.2*2.715*2.6*1.4*1.4*1.5,12600000000*(1.652953^(MIN($E618,123)-117)))*1,0))</f>
        <v>34426395615</v>
      </c>
      <c r="AE618" s="6">
        <f>$E618+24</f>
        <v>143</v>
      </c>
      <c r="AF618" s="7">
        <f>IF($J618=0,0,ROUND(MAX($J618*1.4*1.5*1.6*1.6*2.2*2.715*2.6*1.4*1.4*1.5*1.5,18900000000*(1.65331^(MIN($E618,123)-117)))*1,0))</f>
        <v>51661901770</v>
      </c>
      <c r="AG618" s="4">
        <f>$E618+27</f>
        <v>146</v>
      </c>
      <c r="AH618" s="8">
        <f>IF($J618=0,0,ROUND(MAX($J618*1.4*1.5*1.6*1.6*2.2*2.715*2.6*1.4*1.4*1.5*1.5*3.2,60500000000*(1.654288^(MIN($E618,123)-117)))*1,0))</f>
        <v>165568461610</v>
      </c>
    </row>
    <row r="619" ht="27.75" customHeight="1" spans="1:34" x14ac:dyDescent="0.25">
      <c r="A619" s="3">
        <v>629</v>
      </c>
      <c r="B619" s="3" t="s">
        <v>484</v>
      </c>
      <c r="C619" s="3" t="s">
        <v>641</v>
      </c>
      <c r="D619" s="3" t="s">
        <v>33</v>
      </c>
      <c r="E619" s="3">
        <v>119</v>
      </c>
      <c r="F619" s="3" t="s">
        <v>42</v>
      </c>
      <c r="G619" s="3" t="s">
        <v>42</v>
      </c>
      <c r="H619" s="3">
        <v>29</v>
      </c>
      <c r="I619" s="4">
        <v>119</v>
      </c>
      <c r="J619" s="5">
        <v>1190000</v>
      </c>
      <c r="K619" s="6">
        <f>$E619+1</f>
        <v>120</v>
      </c>
      <c r="L619" s="7">
        <f>IF($J619=0,0,ROUND(MAX($J619*1.4,1620000*(1.497923^(MIN($E619,123)-117)))*1,0))</f>
        <v>3634913</v>
      </c>
      <c r="M619" s="4">
        <f>$E619+2</f>
        <v>121</v>
      </c>
      <c r="N619" s="8">
        <f>IF($J619=0,0,ROUND(MAX($J619*1.4*1.5,2190000*(1.580994^(MIN($E619,123)-117)))*1,0))</f>
        <v>5473997</v>
      </c>
      <c r="O619" s="6">
        <f>$E619+4</f>
        <v>123</v>
      </c>
      <c r="P619" s="7">
        <f>IF($J619=0,0,ROUND(MAX($J619*1.4*1.5*1.6,3500000*(1.57975^(MIN($E619,123)-117)))*1,0))</f>
        <v>8734635</v>
      </c>
      <c r="Q619" s="4">
        <f>$E619+6</f>
        <v>125</v>
      </c>
      <c r="R619" s="8">
        <f>IF($J619=0,0,ROUND(MAX($J619*1.4*1.5*1.6*1.6,13100000*(1.429962^(MIN($E619,123)-117)))*1,0))</f>
        <v>26786766</v>
      </c>
      <c r="S619" s="6">
        <f>$E619+8</f>
        <v>127</v>
      </c>
      <c r="T619" s="7">
        <f>IF($J619=0,0,ROUND(MAX($J619*1.4*1.5*1.6*1.6*2.2,42600000*(1.576904^(MIN($E619,123)-117)))*1,0))</f>
        <v>105930277</v>
      </c>
      <c r="U619" s="4">
        <f>$E619+11</f>
        <v>130</v>
      </c>
      <c r="V619" s="8">
        <f>IF($J619=0,0,ROUND(MAX($J619*1.4*1.5*1.6*1.6*2.2*2.715,354000000*(1.642074^(MIN($E619,123)-117)))*1,0))</f>
        <v>954528086</v>
      </c>
      <c r="W619" s="6">
        <f>$E619+15</f>
        <v>134</v>
      </c>
      <c r="X619" s="7">
        <f>IF($J619=0,0,ROUND(MAX($J619*1.4*1.5*1.6*1.6*2.2*2.715*2.6,3540000000*(1.579646^(MIN($E619,123)-117)))*1,0))</f>
        <v>8833296458</v>
      </c>
      <c r="Y619" s="4">
        <f>$E619+17</f>
        <v>136</v>
      </c>
      <c r="Z619" s="8">
        <f>IF($J619=0,0,ROUND(MAX($J619*1.4*1.5*1.6*1.6*2.2*2.715*2.6*1.4,6020000000*(1.651178^(MIN($E619,123)-117)))*1,0))</f>
        <v>16412860502</v>
      </c>
      <c r="AA619" s="6">
        <f>$E619+19</f>
        <v>138</v>
      </c>
      <c r="AB619" s="7">
        <f>IF($J619=0,0,ROUND(MAX($J619*1.4*1.5*1.6*1.6*2.2*2.715*2.6*1.4*1.4,8430000000*(1.651435^(MIN($E619,123)-117)))*1,0))</f>
        <v>22990612624</v>
      </c>
      <c r="AC619" s="4">
        <f>$E619+21</f>
        <v>140</v>
      </c>
      <c r="AD619" s="8">
        <f>IF($J619=0,0,ROUND(MAX($J619*1.4*1.5*1.6*1.6*2.2*2.715*2.6*1.4*1.4*1.5,12600000000*(1.652953^(MIN($E619,123)-117)))*1,0))</f>
        <v>34426395615</v>
      </c>
      <c r="AE619" s="6">
        <f>$E619+24</f>
        <v>143</v>
      </c>
      <c r="AF619" s="7">
        <f>IF($J619=0,0,ROUND(MAX($J619*1.4*1.5*1.6*1.6*2.2*2.715*2.6*1.4*1.4*1.5*1.5,18900000000*(1.65331^(MIN($E619,123)-117)))*1,0))</f>
        <v>51661901770</v>
      </c>
      <c r="AG619" s="4">
        <f>$E619+27</f>
        <v>146</v>
      </c>
      <c r="AH619" s="8">
        <f>IF($J619=0,0,ROUND(MAX($J619*1.4*1.5*1.6*1.6*2.2*2.715*2.6*1.4*1.4*1.5*1.5*3.2,60500000000*(1.654288^(MIN($E619,123)-117)))*1,0))</f>
        <v>165568461610</v>
      </c>
    </row>
    <row r="620" ht="27.75" customHeight="1" spans="1:34" x14ac:dyDescent="0.25">
      <c r="A620" s="3">
        <v>630</v>
      </c>
      <c r="B620" s="3" t="s">
        <v>602</v>
      </c>
      <c r="C620" s="3" t="s">
        <v>641</v>
      </c>
      <c r="D620" s="3" t="s">
        <v>102</v>
      </c>
      <c r="E620" s="3">
        <v>119</v>
      </c>
      <c r="F620" s="3" t="s">
        <v>108</v>
      </c>
      <c r="G620" s="3" t="s">
        <v>108</v>
      </c>
      <c r="H620" s="3">
        <v>29</v>
      </c>
      <c r="I620" s="4">
        <v>119</v>
      </c>
      <c r="J620" s="5">
        <v>1190000</v>
      </c>
      <c r="K620" s="6">
        <f>$E620+1</f>
        <v>120</v>
      </c>
      <c r="L620" s="7">
        <f>IF($J620=0,0,ROUND(MAX($J620*1.4,1620000*(1.497923^(MIN($E620,123)-117)))*1,0))</f>
        <v>3634913</v>
      </c>
      <c r="M620" s="4">
        <f>$E620+2</f>
        <v>121</v>
      </c>
      <c r="N620" s="8">
        <f>IF($J620=0,0,ROUND(MAX($J620*1.4*1.5,2190000*(1.580994^(MIN($E620,123)-117)))*1,0))</f>
        <v>5473997</v>
      </c>
      <c r="O620" s="6">
        <f>$E620+4</f>
        <v>123</v>
      </c>
      <c r="P620" s="7">
        <f>IF($J620=0,0,ROUND(MAX($J620*1.4*1.5*1.6,3500000*(1.57975^(MIN($E620,123)-117)))*1,0))</f>
        <v>8734635</v>
      </c>
      <c r="Q620" s="4">
        <f>$E620+6</f>
        <v>125</v>
      </c>
      <c r="R620" s="8">
        <f>IF($J620=0,0,ROUND(MAX($J620*1.4*1.5*1.6*1.6,13100000*(1.429962^(MIN($E620,123)-117)))*1,0))</f>
        <v>26786766</v>
      </c>
      <c r="S620" s="6">
        <f>$E620+8</f>
        <v>127</v>
      </c>
      <c r="T620" s="7">
        <f>IF($J620=0,0,ROUND(MAX($J620*1.4*1.5*1.6*1.6*2.2,42600000*(1.576904^(MIN($E620,123)-117)))*1,0))</f>
        <v>105930277</v>
      </c>
      <c r="U620" s="4">
        <f>$E620+11</f>
        <v>130</v>
      </c>
      <c r="V620" s="8">
        <f>IF($J620=0,0,ROUND(MAX($J620*1.4*1.5*1.6*1.6*2.2*2.715,354000000*(1.642074^(MIN($E620,123)-117)))*1,0))</f>
        <v>954528086</v>
      </c>
      <c r="W620" s="6">
        <f>$E620+15</f>
        <v>134</v>
      </c>
      <c r="X620" s="7">
        <f>IF($J620=0,0,ROUND(MAX($J620*1.4*1.5*1.6*1.6*2.2*2.715*2.6,3540000000*(1.579646^(MIN($E620,123)-117)))*1,0))</f>
        <v>8833296458</v>
      </c>
      <c r="Y620" s="4">
        <f>$E620+17</f>
        <v>136</v>
      </c>
      <c r="Z620" s="8">
        <f>IF($J620=0,0,ROUND(MAX($J620*1.4*1.5*1.6*1.6*2.2*2.715*2.6*1.4,6020000000*(1.651178^(MIN($E620,123)-117)))*1,0))</f>
        <v>16412860502</v>
      </c>
      <c r="AA620" s="6">
        <f>$E620+19</f>
        <v>138</v>
      </c>
      <c r="AB620" s="7">
        <f>IF($J620=0,0,ROUND(MAX($J620*1.4*1.5*1.6*1.6*2.2*2.715*2.6*1.4*1.4,8430000000*(1.651435^(MIN($E620,123)-117)))*1,0))</f>
        <v>22990612624</v>
      </c>
      <c r="AC620" s="4">
        <f>$E620+21</f>
        <v>140</v>
      </c>
      <c r="AD620" s="8">
        <f>IF($J620=0,0,ROUND(MAX($J620*1.4*1.5*1.6*1.6*2.2*2.715*2.6*1.4*1.4*1.5,12600000000*(1.652953^(MIN($E620,123)-117)))*1,0))</f>
        <v>34426395615</v>
      </c>
      <c r="AE620" s="6">
        <f>$E620+24</f>
        <v>143</v>
      </c>
      <c r="AF620" s="7">
        <f>IF($J620=0,0,ROUND(MAX($J620*1.4*1.5*1.6*1.6*2.2*2.715*2.6*1.4*1.4*1.5*1.5,18900000000*(1.65331^(MIN($E620,123)-117)))*1,0))</f>
        <v>51661901770</v>
      </c>
      <c r="AG620" s="4">
        <f>$E620+27</f>
        <v>146</v>
      </c>
      <c r="AH620" s="8">
        <f>IF($J620=0,0,ROUND(MAX($J620*1.4*1.5*1.6*1.6*2.2*2.715*2.6*1.4*1.4*1.5*1.5*3.2,60500000000*(1.654288^(MIN($E620,123)-117)))*1,0))</f>
        <v>165568461610</v>
      </c>
    </row>
    <row r="621" ht="27.75" customHeight="1" spans="1:34" x14ac:dyDescent="0.25">
      <c r="A621" s="3">
        <v>631</v>
      </c>
      <c r="B621" s="3" t="s">
        <v>626</v>
      </c>
      <c r="C621" s="3" t="s">
        <v>641</v>
      </c>
      <c r="D621" s="3" t="s">
        <v>102</v>
      </c>
      <c r="E621" s="3">
        <v>119</v>
      </c>
      <c r="F621" s="3" t="s">
        <v>30</v>
      </c>
      <c r="G621" s="3" t="s">
        <v>30</v>
      </c>
      <c r="H621" s="3">
        <v>29</v>
      </c>
      <c r="I621" s="4">
        <v>119</v>
      </c>
      <c r="J621" s="5">
        <v>1200000</v>
      </c>
      <c r="K621" s="6">
        <f>$E621+1</f>
        <v>120</v>
      </c>
      <c r="L621" s="7">
        <f>IF($J621=0,0,ROUND(MAX($J621*1.4,1620000*(1.497923^(MIN($E621,123)-117)))*1,0))</f>
        <v>3634913</v>
      </c>
      <c r="M621" s="4">
        <f>$E621+2</f>
        <v>121</v>
      </c>
      <c r="N621" s="8">
        <f>IF($J621=0,0,ROUND(MAX($J621*1.4*1.5,2190000*(1.580994^(MIN($E621,123)-117)))*1,0))</f>
        <v>5473997</v>
      </c>
      <c r="O621" s="6">
        <f>$E621+4</f>
        <v>123</v>
      </c>
      <c r="P621" s="7">
        <f>IF($J621=0,0,ROUND(MAX($J621*1.4*1.5*1.6,3500000*(1.57975^(MIN($E621,123)-117)))*1,0))</f>
        <v>8734635</v>
      </c>
      <c r="Q621" s="4">
        <f>$E621+6</f>
        <v>125</v>
      </c>
      <c r="R621" s="8">
        <f>IF($J621=0,0,ROUND(MAX($J621*1.4*1.5*1.6*1.6,13100000*(1.429962^(MIN($E621,123)-117)))*1,0))</f>
        <v>26786766</v>
      </c>
      <c r="S621" s="6">
        <f>$E621+8</f>
        <v>127</v>
      </c>
      <c r="T621" s="7">
        <f>IF($J621=0,0,ROUND(MAX($J621*1.4*1.5*1.6*1.6*2.2,42600000*(1.576904^(MIN($E621,123)-117)))*1,0))</f>
        <v>105930277</v>
      </c>
      <c r="U621" s="4">
        <f>$E621+11</f>
        <v>130</v>
      </c>
      <c r="V621" s="8">
        <f>IF($J621=0,0,ROUND(MAX($J621*1.4*1.5*1.6*1.6*2.2*2.715,354000000*(1.642074^(MIN($E621,123)-117)))*1,0))</f>
        <v>954528086</v>
      </c>
      <c r="W621" s="6">
        <f>$E621+15</f>
        <v>134</v>
      </c>
      <c r="X621" s="7">
        <f>IF($J621=0,0,ROUND(MAX($J621*1.4*1.5*1.6*1.6*2.2*2.715*2.6,3540000000*(1.579646^(MIN($E621,123)-117)))*1,0))</f>
        <v>8833296458</v>
      </c>
      <c r="Y621" s="4">
        <f>$E621+17</f>
        <v>136</v>
      </c>
      <c r="Z621" s="8">
        <f>IF($J621=0,0,ROUND(MAX($J621*1.4*1.5*1.6*1.6*2.2*2.715*2.6*1.4,6020000000*(1.651178^(MIN($E621,123)-117)))*1,0))</f>
        <v>16412860502</v>
      </c>
      <c r="AA621" s="6">
        <f>$E621+19</f>
        <v>138</v>
      </c>
      <c r="AB621" s="7">
        <f>IF($J621=0,0,ROUND(MAX($J621*1.4*1.5*1.6*1.6*2.2*2.715*2.6*1.4*1.4,8430000000*(1.651435^(MIN($E621,123)-117)))*1,0))</f>
        <v>22990612624</v>
      </c>
      <c r="AC621" s="4">
        <f>$E621+21</f>
        <v>140</v>
      </c>
      <c r="AD621" s="8">
        <f>IF($J621=0,0,ROUND(MAX($J621*1.4*1.5*1.6*1.6*2.2*2.715*2.6*1.4*1.4*1.5,12600000000*(1.652953^(MIN($E621,123)-117)))*1,0))</f>
        <v>34426395615</v>
      </c>
      <c r="AE621" s="6">
        <f>$E621+24</f>
        <v>143</v>
      </c>
      <c r="AF621" s="7">
        <f>IF($J621=0,0,ROUND(MAX($J621*1.4*1.5*1.6*1.6*2.2*2.715*2.6*1.4*1.4*1.5*1.5,18900000000*(1.65331^(MIN($E621,123)-117)))*1,0))</f>
        <v>51661901770</v>
      </c>
      <c r="AG621" s="4">
        <f>$E621+27</f>
        <v>146</v>
      </c>
      <c r="AH621" s="8">
        <f>IF($J621=0,0,ROUND(MAX($J621*1.4*1.5*1.6*1.6*2.2*2.715*2.6*1.4*1.4*1.5*1.5*3.2,60500000000*(1.654288^(MIN($E621,123)-117)))*1,0))</f>
        <v>165568461610</v>
      </c>
    </row>
    <row r="622" ht="27.75" customHeight="1" spans="1:34" x14ac:dyDescent="0.25">
      <c r="A622" s="3">
        <v>632</v>
      </c>
      <c r="B622" s="3" t="s">
        <v>92</v>
      </c>
      <c r="C622" s="3" t="s">
        <v>641</v>
      </c>
      <c r="D622" s="3" t="s">
        <v>93</v>
      </c>
      <c r="E622" s="3">
        <v>119</v>
      </c>
      <c r="F622" s="3" t="s">
        <v>56</v>
      </c>
      <c r="G622" s="3" t="s">
        <v>56</v>
      </c>
      <c r="H622" s="3">
        <v>30</v>
      </c>
      <c r="I622" s="4">
        <v>119</v>
      </c>
      <c r="J622" s="5">
        <v>1180000</v>
      </c>
      <c r="K622" s="6">
        <f>$E622+1</f>
        <v>120</v>
      </c>
      <c r="L622" s="7">
        <f>IF($J622=0,0,ROUND(MAX($J622*1.4,1620000*(1.497923^(MIN($E622,123)-117)))*1,0))</f>
        <v>3634913</v>
      </c>
      <c r="M622" s="4">
        <f>$E622+2</f>
        <v>121</v>
      </c>
      <c r="N622" s="8">
        <f>IF($J622=0,0,ROUND(MAX($J622*1.4*1.5,2190000*(1.580994^(MIN($E622,123)-117)))*1,0))</f>
        <v>5473997</v>
      </c>
      <c r="O622" s="6">
        <f>$E622+4</f>
        <v>123</v>
      </c>
      <c r="P622" s="7">
        <f>IF($J622=0,0,ROUND(MAX($J622*1.4*1.5*1.6,3500000*(1.57975^(MIN($E622,123)-117)))*1,0))</f>
        <v>8734635</v>
      </c>
      <c r="Q622" s="4">
        <f>$E622+6</f>
        <v>125</v>
      </c>
      <c r="R622" s="8">
        <f>IF($J622=0,0,ROUND(MAX($J622*1.4*1.5*1.6*1.6,13100000*(1.429962^(MIN($E622,123)-117)))*1,0))</f>
        <v>26786766</v>
      </c>
      <c r="S622" s="6">
        <f>$E622+8</f>
        <v>127</v>
      </c>
      <c r="T622" s="7">
        <f>IF($J622=0,0,ROUND(MAX($J622*1.4*1.5*1.6*1.6*2.2,42600000*(1.576904^(MIN($E622,123)-117)))*1,0))</f>
        <v>105930277</v>
      </c>
      <c r="U622" s="4">
        <f>$E622+11</f>
        <v>130</v>
      </c>
      <c r="V622" s="8">
        <f>IF($J622=0,0,ROUND(MAX($J622*1.4*1.5*1.6*1.6*2.2*2.715,354000000*(1.642074^(MIN($E622,123)-117)))*1,0))</f>
        <v>954528086</v>
      </c>
      <c r="W622" s="6">
        <f>$E622+15</f>
        <v>134</v>
      </c>
      <c r="X622" s="7">
        <f>IF($J622=0,0,ROUND(MAX($J622*1.4*1.5*1.6*1.6*2.2*2.715*2.6,3540000000*(1.579646^(MIN($E622,123)-117)))*1,0))</f>
        <v>8833296458</v>
      </c>
      <c r="Y622" s="4">
        <f>$E622+17</f>
        <v>136</v>
      </c>
      <c r="Z622" s="8">
        <f>IF($J622=0,0,ROUND(MAX($J622*1.4*1.5*1.6*1.6*2.2*2.715*2.6*1.4,6020000000*(1.651178^(MIN($E622,123)-117)))*1,0))</f>
        <v>16412860502</v>
      </c>
      <c r="AA622" s="6">
        <f>$E622+19</f>
        <v>138</v>
      </c>
      <c r="AB622" s="7">
        <f>IF($J622=0,0,ROUND(MAX($J622*1.4*1.5*1.6*1.6*2.2*2.715*2.6*1.4*1.4,8430000000*(1.651435^(MIN($E622,123)-117)))*1,0))</f>
        <v>22990612624</v>
      </c>
      <c r="AC622" s="4">
        <f>$E622+21</f>
        <v>140</v>
      </c>
      <c r="AD622" s="8">
        <f>IF($J622=0,0,ROUND(MAX($J622*1.4*1.5*1.6*1.6*2.2*2.715*2.6*1.4*1.4*1.5,12600000000*(1.652953^(MIN($E622,123)-117)))*1,0))</f>
        <v>34426395615</v>
      </c>
      <c r="AE622" s="6">
        <f>$E622+24</f>
        <v>143</v>
      </c>
      <c r="AF622" s="7">
        <f>IF($J622=0,0,ROUND(MAX($J622*1.4*1.5*1.6*1.6*2.2*2.715*2.6*1.4*1.4*1.5*1.5,18900000000*(1.65331^(MIN($E622,123)-117)))*1,0))</f>
        <v>51661901770</v>
      </c>
      <c r="AG622" s="4">
        <f>$E622+27</f>
        <v>146</v>
      </c>
      <c r="AH622" s="8">
        <f>IF($J622=0,0,ROUND(MAX($J622*1.4*1.5*1.6*1.6*2.2*2.715*2.6*1.4*1.4*1.5*1.5*3.2,60500000000*(1.654288^(MIN($E622,123)-117)))*1,0))</f>
        <v>165568461610</v>
      </c>
    </row>
    <row r="623" ht="27.75" customHeight="1" spans="1:34" x14ac:dyDescent="0.25">
      <c r="A623" s="3">
        <v>633</v>
      </c>
      <c r="B623" s="3" t="s">
        <v>187</v>
      </c>
      <c r="C623" s="3" t="s">
        <v>641</v>
      </c>
      <c r="D623" s="3" t="s">
        <v>102</v>
      </c>
      <c r="E623" s="3">
        <v>119</v>
      </c>
      <c r="F623" s="3" t="s">
        <v>54</v>
      </c>
      <c r="G623" s="3" t="s">
        <v>54</v>
      </c>
      <c r="H623" s="3">
        <v>30</v>
      </c>
      <c r="I623" s="4">
        <v>119</v>
      </c>
      <c r="J623" s="5">
        <v>1190000</v>
      </c>
      <c r="K623" s="6">
        <f>$E623+1</f>
        <v>120</v>
      </c>
      <c r="L623" s="7">
        <f>IF($J623=0,0,ROUND(MAX($J623*1.4,1620000*(1.497923^(MIN($E623,123)-117)))*1,0))</f>
        <v>3634913</v>
      </c>
      <c r="M623" s="4">
        <f>$E623+2</f>
        <v>121</v>
      </c>
      <c r="N623" s="8">
        <f>IF($J623=0,0,ROUND(MAX($J623*1.4*1.5,2190000*(1.580994^(MIN($E623,123)-117)))*1,0))</f>
        <v>5473997</v>
      </c>
      <c r="O623" s="6">
        <f>$E623+4</f>
        <v>123</v>
      </c>
      <c r="P623" s="7">
        <f>IF($J623=0,0,ROUND(MAX($J623*1.4*1.5*1.6,3500000*(1.57975^(MIN($E623,123)-117)))*1,0))</f>
        <v>8734635</v>
      </c>
      <c r="Q623" s="4">
        <f>$E623+6</f>
        <v>125</v>
      </c>
      <c r="R623" s="8">
        <f>IF($J623=0,0,ROUND(MAX($J623*1.4*1.5*1.6*1.6,13100000*(1.429962^(MIN($E623,123)-117)))*1,0))</f>
        <v>26786766</v>
      </c>
      <c r="S623" s="6">
        <f>$E623+8</f>
        <v>127</v>
      </c>
      <c r="T623" s="7">
        <f>IF($J623=0,0,ROUND(MAX($J623*1.4*1.5*1.6*1.6*2.2,42600000*(1.576904^(MIN($E623,123)-117)))*1,0))</f>
        <v>105930277</v>
      </c>
      <c r="U623" s="4">
        <f>$E623+11</f>
        <v>130</v>
      </c>
      <c r="V623" s="8">
        <f>IF($J623=0,0,ROUND(MAX($J623*1.4*1.5*1.6*1.6*2.2*2.715,354000000*(1.642074^(MIN($E623,123)-117)))*1,0))</f>
        <v>954528086</v>
      </c>
      <c r="W623" s="6">
        <f>$E623+15</f>
        <v>134</v>
      </c>
      <c r="X623" s="7">
        <f>IF($J623=0,0,ROUND(MAX($J623*1.4*1.5*1.6*1.6*2.2*2.715*2.6,3540000000*(1.579646^(MIN($E623,123)-117)))*1,0))</f>
        <v>8833296458</v>
      </c>
      <c r="Y623" s="4">
        <f>$E623+17</f>
        <v>136</v>
      </c>
      <c r="Z623" s="8">
        <f>IF($J623=0,0,ROUND(MAX($J623*1.4*1.5*1.6*1.6*2.2*2.715*2.6*1.4,6020000000*(1.651178^(MIN($E623,123)-117)))*1,0))</f>
        <v>16412860502</v>
      </c>
      <c r="AA623" s="6">
        <f>$E623+19</f>
        <v>138</v>
      </c>
      <c r="AB623" s="7">
        <f>IF($J623=0,0,ROUND(MAX($J623*1.4*1.5*1.6*1.6*2.2*2.715*2.6*1.4*1.4,8430000000*(1.651435^(MIN($E623,123)-117)))*1,0))</f>
        <v>22990612624</v>
      </c>
      <c r="AC623" s="4">
        <f>$E623+21</f>
        <v>140</v>
      </c>
      <c r="AD623" s="8">
        <f>IF($J623=0,0,ROUND(MAX($J623*1.4*1.5*1.6*1.6*2.2*2.715*2.6*1.4*1.4*1.5,12600000000*(1.652953^(MIN($E623,123)-117)))*1,0))</f>
        <v>34426395615</v>
      </c>
      <c r="AE623" s="6">
        <f>$E623+24</f>
        <v>143</v>
      </c>
      <c r="AF623" s="7">
        <f>IF($J623=0,0,ROUND(MAX($J623*1.4*1.5*1.6*1.6*2.2*2.715*2.6*1.4*1.4*1.5*1.5,18900000000*(1.65331^(MIN($E623,123)-117)))*1,0))</f>
        <v>51661901770</v>
      </c>
      <c r="AG623" s="4">
        <f>$E623+27</f>
        <v>146</v>
      </c>
      <c r="AH623" s="8">
        <f>IF($J623=0,0,ROUND(MAX($J623*1.4*1.5*1.6*1.6*2.2*2.715*2.6*1.4*1.4*1.5*1.5*3.2,60500000000*(1.654288^(MIN($E623,123)-117)))*1,0))</f>
        <v>165568461610</v>
      </c>
    </row>
    <row r="624" ht="27.75" customHeight="1" spans="1:34" x14ac:dyDescent="0.25">
      <c r="A624" s="3">
        <v>634</v>
      </c>
      <c r="B624" s="3" t="s">
        <v>158</v>
      </c>
      <c r="C624" s="3" t="s">
        <v>641</v>
      </c>
      <c r="D624" s="3" t="s">
        <v>102</v>
      </c>
      <c r="E624" s="3">
        <v>119</v>
      </c>
      <c r="F624" s="3" t="s">
        <v>54</v>
      </c>
      <c r="G624" s="3" t="s">
        <v>54</v>
      </c>
      <c r="H624" s="3">
        <v>30</v>
      </c>
      <c r="I624" s="4">
        <v>119</v>
      </c>
      <c r="J624" s="5">
        <v>1200000</v>
      </c>
      <c r="K624" s="6">
        <f>$E624+1</f>
        <v>120</v>
      </c>
      <c r="L624" s="7">
        <f>IF($J624=0,0,ROUND(MAX($J624*1.4,1620000*(1.497923^(MIN($E624,123)-117)))*1,0))</f>
        <v>3634913</v>
      </c>
      <c r="M624" s="4">
        <f>$E624+2</f>
        <v>121</v>
      </c>
      <c r="N624" s="8">
        <f>IF($J624=0,0,ROUND(MAX($J624*1.4*1.5,2190000*(1.580994^(MIN($E624,123)-117)))*1,0))</f>
        <v>5473997</v>
      </c>
      <c r="O624" s="6">
        <f>$E624+4</f>
        <v>123</v>
      </c>
      <c r="P624" s="7">
        <f>IF($J624=0,0,ROUND(MAX($J624*1.4*1.5*1.6,3500000*(1.57975^(MIN($E624,123)-117)))*1,0))</f>
        <v>8734635</v>
      </c>
      <c r="Q624" s="4">
        <f>$E624+6</f>
        <v>125</v>
      </c>
      <c r="R624" s="8">
        <f>IF($J624=0,0,ROUND(MAX($J624*1.4*1.5*1.6*1.6,13100000*(1.429962^(MIN($E624,123)-117)))*1,0))</f>
        <v>26786766</v>
      </c>
      <c r="S624" s="6">
        <f>$E624+8</f>
        <v>127</v>
      </c>
      <c r="T624" s="7">
        <f>IF($J624=0,0,ROUND(MAX($J624*1.4*1.5*1.6*1.6*2.2,42600000*(1.576904^(MIN($E624,123)-117)))*1,0))</f>
        <v>105930277</v>
      </c>
      <c r="U624" s="4">
        <f>$E624+11</f>
        <v>130</v>
      </c>
      <c r="V624" s="8">
        <f>IF($J624=0,0,ROUND(MAX($J624*1.4*1.5*1.6*1.6*2.2*2.715,354000000*(1.642074^(MIN($E624,123)-117)))*1,0))</f>
        <v>954528086</v>
      </c>
      <c r="W624" s="6">
        <f>$E624+15</f>
        <v>134</v>
      </c>
      <c r="X624" s="7">
        <f>IF($J624=0,0,ROUND(MAX($J624*1.4*1.5*1.6*1.6*2.2*2.715*2.6,3540000000*(1.579646^(MIN($E624,123)-117)))*1,0))</f>
        <v>8833296458</v>
      </c>
      <c r="Y624" s="4">
        <f>$E624+17</f>
        <v>136</v>
      </c>
      <c r="Z624" s="8">
        <f>IF($J624=0,0,ROUND(MAX($J624*1.4*1.5*1.6*1.6*2.2*2.715*2.6*1.4,6020000000*(1.651178^(MIN($E624,123)-117)))*1,0))</f>
        <v>16412860502</v>
      </c>
      <c r="AA624" s="6">
        <f>$E624+19</f>
        <v>138</v>
      </c>
      <c r="AB624" s="7">
        <f>IF($J624=0,0,ROUND(MAX($J624*1.4*1.5*1.6*1.6*2.2*2.715*2.6*1.4*1.4,8430000000*(1.651435^(MIN($E624,123)-117)))*1,0))</f>
        <v>22990612624</v>
      </c>
      <c r="AC624" s="4">
        <f>$E624+21</f>
        <v>140</v>
      </c>
      <c r="AD624" s="8">
        <f>IF($J624=0,0,ROUND(MAX($J624*1.4*1.5*1.6*1.6*2.2*2.715*2.6*1.4*1.4*1.5,12600000000*(1.652953^(MIN($E624,123)-117)))*1,0))</f>
        <v>34426395615</v>
      </c>
      <c r="AE624" s="6">
        <f>$E624+24</f>
        <v>143</v>
      </c>
      <c r="AF624" s="7">
        <f>IF($J624=0,0,ROUND(MAX($J624*1.4*1.5*1.6*1.6*2.2*2.715*2.6*1.4*1.4*1.5*1.5,18900000000*(1.65331^(MIN($E624,123)-117)))*1,0))</f>
        <v>51661901770</v>
      </c>
      <c r="AG624" s="4">
        <f>$E624+27</f>
        <v>146</v>
      </c>
      <c r="AH624" s="8">
        <f>IF($J624=0,0,ROUND(MAX($J624*1.4*1.5*1.6*1.6*2.2*2.715*2.6*1.4*1.4*1.5*1.5*3.2,60500000000*(1.654288^(MIN($E624,123)-117)))*1,0))</f>
        <v>165568461610</v>
      </c>
    </row>
    <row r="625" ht="27.75" customHeight="1" spans="1:34" x14ac:dyDescent="0.25">
      <c r="A625" s="3">
        <v>635</v>
      </c>
      <c r="B625" s="3" t="s">
        <v>190</v>
      </c>
      <c r="C625" s="3" t="s">
        <v>641</v>
      </c>
      <c r="D625" s="3" t="s">
        <v>90</v>
      </c>
      <c r="E625" s="3">
        <v>119</v>
      </c>
      <c r="F625" s="3" t="s">
        <v>62</v>
      </c>
      <c r="G625" s="3" t="s">
        <v>62</v>
      </c>
      <c r="H625" s="3">
        <v>30</v>
      </c>
      <c r="I625" s="4">
        <v>119</v>
      </c>
      <c r="J625" s="5">
        <v>1190000</v>
      </c>
      <c r="K625" s="6">
        <f>$E625+1</f>
        <v>120</v>
      </c>
      <c r="L625" s="7">
        <f>IF($J625=0,0,ROUND(MAX($J625*1.4,1620000*(1.497923^(MIN($E625,123)-117)))*1,0))</f>
        <v>3634913</v>
      </c>
      <c r="M625" s="4">
        <f>$E625+2</f>
        <v>121</v>
      </c>
      <c r="N625" s="8">
        <f>IF($J625=0,0,ROUND(MAX($J625*1.4*1.5,2190000*(1.580994^(MIN($E625,123)-117)))*1,0))</f>
        <v>5473997</v>
      </c>
      <c r="O625" s="6">
        <f>$E625+4</f>
        <v>123</v>
      </c>
      <c r="P625" s="7">
        <f>IF($J625=0,0,ROUND(MAX($J625*1.4*1.5*1.6,3500000*(1.57975^(MIN($E625,123)-117)))*1,0))</f>
        <v>8734635</v>
      </c>
      <c r="Q625" s="4">
        <f>$E625+6</f>
        <v>125</v>
      </c>
      <c r="R625" s="8">
        <f>IF($J625=0,0,ROUND(MAX($J625*1.4*1.5*1.6*1.6,13100000*(1.429962^(MIN($E625,123)-117)))*1,0))</f>
        <v>26786766</v>
      </c>
      <c r="S625" s="6">
        <f>$E625+8</f>
        <v>127</v>
      </c>
      <c r="T625" s="7">
        <f>IF($J625=0,0,ROUND(MAX($J625*1.4*1.5*1.6*1.6*2.2,42600000*(1.576904^(MIN($E625,123)-117)))*1,0))</f>
        <v>105930277</v>
      </c>
      <c r="U625" s="4">
        <f>$E625+11</f>
        <v>130</v>
      </c>
      <c r="V625" s="8">
        <f>IF($J625=0,0,ROUND(MAX($J625*1.4*1.5*1.6*1.6*2.2*2.715,354000000*(1.642074^(MIN($E625,123)-117)))*1,0))</f>
        <v>954528086</v>
      </c>
      <c r="W625" s="6">
        <f>$E625+15</f>
        <v>134</v>
      </c>
      <c r="X625" s="7">
        <f>IF($J625=0,0,ROUND(MAX($J625*1.4*1.5*1.6*1.6*2.2*2.715*2.6,3540000000*(1.579646^(MIN($E625,123)-117)))*1,0))</f>
        <v>8833296458</v>
      </c>
      <c r="Y625" s="4">
        <f>$E625+17</f>
        <v>136</v>
      </c>
      <c r="Z625" s="8">
        <f>IF($J625=0,0,ROUND(MAX($J625*1.4*1.5*1.6*1.6*2.2*2.715*2.6*1.4,6020000000*(1.651178^(MIN($E625,123)-117)))*1,0))</f>
        <v>16412860502</v>
      </c>
      <c r="AA625" s="6">
        <f>$E625+19</f>
        <v>138</v>
      </c>
      <c r="AB625" s="7">
        <f>IF($J625=0,0,ROUND(MAX($J625*1.4*1.5*1.6*1.6*2.2*2.715*2.6*1.4*1.4,8430000000*(1.651435^(MIN($E625,123)-117)))*1,0))</f>
        <v>22990612624</v>
      </c>
      <c r="AC625" s="4">
        <f>$E625+21</f>
        <v>140</v>
      </c>
      <c r="AD625" s="8">
        <f>IF($J625=0,0,ROUND(MAX($J625*1.4*1.5*1.6*1.6*2.2*2.715*2.6*1.4*1.4*1.5,12600000000*(1.652953^(MIN($E625,123)-117)))*1,0))</f>
        <v>34426395615</v>
      </c>
      <c r="AE625" s="6">
        <f>$E625+24</f>
        <v>143</v>
      </c>
      <c r="AF625" s="7">
        <f>IF($J625=0,0,ROUND(MAX($J625*1.4*1.5*1.6*1.6*2.2*2.715*2.6*1.4*1.4*1.5*1.5,18900000000*(1.65331^(MIN($E625,123)-117)))*1,0))</f>
        <v>51661901770</v>
      </c>
      <c r="AG625" s="4">
        <f>$E625+27</f>
        <v>146</v>
      </c>
      <c r="AH625" s="8">
        <f>IF($J625=0,0,ROUND(MAX($J625*1.4*1.5*1.6*1.6*2.2*2.715*2.6*1.4*1.4*1.5*1.5*3.2,60500000000*(1.654288^(MIN($E625,123)-117)))*1,0))</f>
        <v>165568461610</v>
      </c>
    </row>
    <row r="626" ht="27.75" customHeight="1" spans="1:34" x14ac:dyDescent="0.25">
      <c r="A626" s="3">
        <v>636</v>
      </c>
      <c r="B626" s="3" t="s">
        <v>208</v>
      </c>
      <c r="C626" s="3" t="s">
        <v>641</v>
      </c>
      <c r="D626" s="3" t="s">
        <v>25</v>
      </c>
      <c r="E626" s="3">
        <v>119</v>
      </c>
      <c r="F626" s="3" t="s">
        <v>26</v>
      </c>
      <c r="G626" s="3" t="s">
        <v>26</v>
      </c>
      <c r="H626" s="3">
        <v>30</v>
      </c>
      <c r="I626" s="4">
        <v>119</v>
      </c>
      <c r="J626" s="5">
        <v>1180000</v>
      </c>
      <c r="K626" s="6">
        <f>$E626+1</f>
        <v>120</v>
      </c>
      <c r="L626" s="7">
        <f>IF($J626=0,0,ROUND(MAX($J626*1.4,1620000*(1.497923^(MIN($E626,123)-117)))*1,0))</f>
        <v>3634913</v>
      </c>
      <c r="M626" s="4">
        <f>$E626+2</f>
        <v>121</v>
      </c>
      <c r="N626" s="8">
        <f>IF($J626=0,0,ROUND(MAX($J626*1.4*1.5,2190000*(1.580994^(MIN($E626,123)-117)))*1,0))</f>
        <v>5473997</v>
      </c>
      <c r="O626" s="6">
        <f>$E626+4</f>
        <v>123</v>
      </c>
      <c r="P626" s="7">
        <f>IF($J626=0,0,ROUND(MAX($J626*1.4*1.5*1.6,3500000*(1.57975^(MIN($E626,123)-117)))*1,0))</f>
        <v>8734635</v>
      </c>
      <c r="Q626" s="4">
        <f>$E626+6</f>
        <v>125</v>
      </c>
      <c r="R626" s="8">
        <f>IF($J626=0,0,ROUND(MAX($J626*1.4*1.5*1.6*1.6,13100000*(1.429962^(MIN($E626,123)-117)))*1,0))</f>
        <v>26786766</v>
      </c>
      <c r="S626" s="6">
        <f>$E626+8</f>
        <v>127</v>
      </c>
      <c r="T626" s="7">
        <f>IF($J626=0,0,ROUND(MAX($J626*1.4*1.5*1.6*1.6*2.2,42600000*(1.576904^(MIN($E626,123)-117)))*1,0))</f>
        <v>105930277</v>
      </c>
      <c r="U626" s="4">
        <f>$E626+11</f>
        <v>130</v>
      </c>
      <c r="V626" s="8">
        <f>IF($J626=0,0,ROUND(MAX($J626*1.4*1.5*1.6*1.6*2.2*2.715,354000000*(1.642074^(MIN($E626,123)-117)))*1,0))</f>
        <v>954528086</v>
      </c>
      <c r="W626" s="6">
        <f>$E626+15</f>
        <v>134</v>
      </c>
      <c r="X626" s="7">
        <f>IF($J626=0,0,ROUND(MAX($J626*1.4*1.5*1.6*1.6*2.2*2.715*2.6,3540000000*(1.579646^(MIN($E626,123)-117)))*1,0))</f>
        <v>8833296458</v>
      </c>
      <c r="Y626" s="4">
        <f>$E626+17</f>
        <v>136</v>
      </c>
      <c r="Z626" s="8">
        <f>IF($J626=0,0,ROUND(MAX($J626*1.4*1.5*1.6*1.6*2.2*2.715*2.6*1.4,6020000000*(1.651178^(MIN($E626,123)-117)))*1,0))</f>
        <v>16412860502</v>
      </c>
      <c r="AA626" s="6">
        <f>$E626+19</f>
        <v>138</v>
      </c>
      <c r="AB626" s="7">
        <f>IF($J626=0,0,ROUND(MAX($J626*1.4*1.5*1.6*1.6*2.2*2.715*2.6*1.4*1.4,8430000000*(1.651435^(MIN($E626,123)-117)))*1,0))</f>
        <v>22990612624</v>
      </c>
      <c r="AC626" s="4">
        <f>$E626+21</f>
        <v>140</v>
      </c>
      <c r="AD626" s="8">
        <f>IF($J626=0,0,ROUND(MAX($J626*1.4*1.5*1.6*1.6*2.2*2.715*2.6*1.4*1.4*1.5,12600000000*(1.652953^(MIN($E626,123)-117)))*1,0))</f>
        <v>34426395615</v>
      </c>
      <c r="AE626" s="6">
        <f>$E626+24</f>
        <v>143</v>
      </c>
      <c r="AF626" s="7">
        <f>IF($J626=0,0,ROUND(MAX($J626*1.4*1.5*1.6*1.6*2.2*2.715*2.6*1.4*1.4*1.5*1.5,18900000000*(1.65331^(MIN($E626,123)-117)))*1,0))</f>
        <v>51661901770</v>
      </c>
      <c r="AG626" s="4">
        <f>$E626+27</f>
        <v>146</v>
      </c>
      <c r="AH626" s="8">
        <f>IF($J626=0,0,ROUND(MAX($J626*1.4*1.5*1.6*1.6*2.2*2.715*2.6*1.4*1.4*1.5*1.5*3.2,60500000000*(1.654288^(MIN($E626,123)-117)))*1,0))</f>
        <v>165568461610</v>
      </c>
    </row>
    <row r="627" ht="27.75" customHeight="1" spans="1:34" x14ac:dyDescent="0.25">
      <c r="A627" s="3">
        <v>637</v>
      </c>
      <c r="B627" s="3" t="s">
        <v>155</v>
      </c>
      <c r="C627" s="3" t="s">
        <v>641</v>
      </c>
      <c r="D627" s="3" t="s">
        <v>45</v>
      </c>
      <c r="E627" s="3">
        <v>119</v>
      </c>
      <c r="F627" s="3" t="s">
        <v>71</v>
      </c>
      <c r="G627" s="3" t="s">
        <v>71</v>
      </c>
      <c r="H627" s="3">
        <v>30</v>
      </c>
      <c r="I627" s="4">
        <v>119</v>
      </c>
      <c r="J627" s="5">
        <v>1250000</v>
      </c>
      <c r="K627" s="6">
        <f>$E627+1</f>
        <v>120</v>
      </c>
      <c r="L627" s="7">
        <f>IF($J627=0,0,ROUND(MAX($J627*1.4,1620000*(1.497923^(MIN($E627,123)-117)))*1,0))</f>
        <v>3634913</v>
      </c>
      <c r="M627" s="4">
        <f>$E627+2</f>
        <v>121</v>
      </c>
      <c r="N627" s="8">
        <f>IF($J627=0,0,ROUND(MAX($J627*1.4*1.5,2190000*(1.580994^(MIN($E627,123)-117)))*1,0))</f>
        <v>5473997</v>
      </c>
      <c r="O627" s="6">
        <f>$E627+4</f>
        <v>123</v>
      </c>
      <c r="P627" s="7">
        <f>IF($J627=0,0,ROUND(MAX($J627*1.4*1.5*1.6,3500000*(1.57975^(MIN($E627,123)-117)))*1,0))</f>
        <v>8734635</v>
      </c>
      <c r="Q627" s="4">
        <f>$E627+6</f>
        <v>125</v>
      </c>
      <c r="R627" s="8">
        <f>IF($J627=0,0,ROUND(MAX($J627*1.4*1.5*1.6*1.6,13100000*(1.429962^(MIN($E627,123)-117)))*1,0))</f>
        <v>26786766</v>
      </c>
      <c r="S627" s="6">
        <f>$E627+8</f>
        <v>127</v>
      </c>
      <c r="T627" s="7">
        <f>IF($J627=0,0,ROUND(MAX($J627*1.4*1.5*1.6*1.6*2.2,42600000*(1.576904^(MIN($E627,123)-117)))*1,0))</f>
        <v>105930277</v>
      </c>
      <c r="U627" s="4">
        <f>$E627+11</f>
        <v>130</v>
      </c>
      <c r="V627" s="8">
        <f>IF($J627=0,0,ROUND(MAX($J627*1.4*1.5*1.6*1.6*2.2*2.715,354000000*(1.642074^(MIN($E627,123)-117)))*1,0))</f>
        <v>954528086</v>
      </c>
      <c r="W627" s="6">
        <f>$E627+15</f>
        <v>134</v>
      </c>
      <c r="X627" s="7">
        <f>IF($J627=0,0,ROUND(MAX($J627*1.4*1.5*1.6*1.6*2.2*2.715*2.6,3540000000*(1.579646^(MIN($E627,123)-117)))*1,0))</f>
        <v>8833296458</v>
      </c>
      <c r="Y627" s="4">
        <f>$E627+17</f>
        <v>136</v>
      </c>
      <c r="Z627" s="8">
        <f>IF($J627=0,0,ROUND(MAX($J627*1.4*1.5*1.6*1.6*2.2*2.715*2.6*1.4,6020000000*(1.651178^(MIN($E627,123)-117)))*1,0))</f>
        <v>16412860502</v>
      </c>
      <c r="AA627" s="6">
        <f>$E627+19</f>
        <v>138</v>
      </c>
      <c r="AB627" s="7">
        <f>IF($J627=0,0,ROUND(MAX($J627*1.4*1.5*1.6*1.6*2.2*2.715*2.6*1.4*1.4,8430000000*(1.651435^(MIN($E627,123)-117)))*1,0))</f>
        <v>22990612624</v>
      </c>
      <c r="AC627" s="4">
        <f>$E627+21</f>
        <v>140</v>
      </c>
      <c r="AD627" s="8">
        <f>IF($J627=0,0,ROUND(MAX($J627*1.4*1.5*1.6*1.6*2.2*2.715*2.6*1.4*1.4*1.5,12600000000*(1.652953^(MIN($E627,123)-117)))*1,0))</f>
        <v>34426395615</v>
      </c>
      <c r="AE627" s="6">
        <f>$E627+24</f>
        <v>143</v>
      </c>
      <c r="AF627" s="7">
        <f>IF($J627=0,0,ROUND(MAX($J627*1.4*1.5*1.6*1.6*2.2*2.715*2.6*1.4*1.4*1.5*1.5,18900000000*(1.65331^(MIN($E627,123)-117)))*1,0))</f>
        <v>51661901770</v>
      </c>
      <c r="AG627" s="4">
        <f>$E627+27</f>
        <v>146</v>
      </c>
      <c r="AH627" s="8">
        <f>IF($J627=0,0,ROUND(MAX($J627*1.4*1.5*1.6*1.6*2.2*2.715*2.6*1.4*1.4*1.5*1.5*3.2,60500000000*(1.654288^(MIN($E627,123)-117)))*1,0))</f>
        <v>165568461610</v>
      </c>
    </row>
    <row r="628" ht="27.75" customHeight="1" spans="1:34" x14ac:dyDescent="0.25">
      <c r="A628" s="3">
        <v>638</v>
      </c>
      <c r="B628" s="3" t="s">
        <v>649</v>
      </c>
      <c r="C628" s="3" t="s">
        <v>641</v>
      </c>
      <c r="D628" s="3" t="s">
        <v>93</v>
      </c>
      <c r="E628" s="3">
        <v>119</v>
      </c>
      <c r="F628" s="3" t="s">
        <v>34</v>
      </c>
      <c r="G628" s="3" t="s">
        <v>34</v>
      </c>
      <c r="H628" s="3">
        <v>30</v>
      </c>
      <c r="I628" s="4">
        <v>119</v>
      </c>
      <c r="J628" s="5">
        <v>1190000</v>
      </c>
      <c r="K628" s="6">
        <f>$E628+1</f>
        <v>120</v>
      </c>
      <c r="L628" s="7">
        <f>IF($J628=0,0,ROUND(MAX($J628*1.4,1620000*(1.497923^(MIN($E628,123)-117)))*1,0))</f>
        <v>3634913</v>
      </c>
      <c r="M628" s="4">
        <f>$E628+2</f>
        <v>121</v>
      </c>
      <c r="N628" s="8">
        <f>IF($J628=0,0,ROUND(MAX($J628*1.4*1.5,2190000*(1.580994^(MIN($E628,123)-117)))*1,0))</f>
        <v>5473997</v>
      </c>
      <c r="O628" s="6">
        <f>$E628+4</f>
        <v>123</v>
      </c>
      <c r="P628" s="7">
        <f>IF($J628=0,0,ROUND(MAX($J628*1.4*1.5*1.6,3500000*(1.57975^(MIN($E628,123)-117)))*1,0))</f>
        <v>8734635</v>
      </c>
      <c r="Q628" s="4">
        <f>$E628+6</f>
        <v>125</v>
      </c>
      <c r="R628" s="8">
        <f>IF($J628=0,0,ROUND(MAX($J628*1.4*1.5*1.6*1.6,13100000*(1.429962^(MIN($E628,123)-117)))*1,0))</f>
        <v>26786766</v>
      </c>
      <c r="S628" s="6">
        <f>$E628+8</f>
        <v>127</v>
      </c>
      <c r="T628" s="7">
        <f>IF($J628=0,0,ROUND(MAX($J628*1.4*1.5*1.6*1.6*2.2,42600000*(1.576904^(MIN($E628,123)-117)))*1,0))</f>
        <v>105930277</v>
      </c>
      <c r="U628" s="4">
        <f>$E628+11</f>
        <v>130</v>
      </c>
      <c r="V628" s="8">
        <f>IF($J628=0,0,ROUND(MAX($J628*1.4*1.5*1.6*1.6*2.2*2.715,354000000*(1.642074^(MIN($E628,123)-117)))*1,0))</f>
        <v>954528086</v>
      </c>
      <c r="W628" s="6">
        <f>$E628+15</f>
        <v>134</v>
      </c>
      <c r="X628" s="7">
        <f>IF($J628=0,0,ROUND(MAX($J628*1.4*1.5*1.6*1.6*2.2*2.715*2.6,3540000000*(1.579646^(MIN($E628,123)-117)))*1,0))</f>
        <v>8833296458</v>
      </c>
      <c r="Y628" s="4">
        <f>$E628+17</f>
        <v>136</v>
      </c>
      <c r="Z628" s="8">
        <f>IF($J628=0,0,ROUND(MAX($J628*1.4*1.5*1.6*1.6*2.2*2.715*2.6*1.4,6020000000*(1.651178^(MIN($E628,123)-117)))*1,0))</f>
        <v>16412860502</v>
      </c>
      <c r="AA628" s="6">
        <f>$E628+19</f>
        <v>138</v>
      </c>
      <c r="AB628" s="7">
        <f>IF($J628=0,0,ROUND(MAX($J628*1.4*1.5*1.6*1.6*2.2*2.715*2.6*1.4*1.4,8430000000*(1.651435^(MIN($E628,123)-117)))*1,0))</f>
        <v>22990612624</v>
      </c>
      <c r="AC628" s="4">
        <f>$E628+21</f>
        <v>140</v>
      </c>
      <c r="AD628" s="8">
        <f>IF($J628=0,0,ROUND(MAX($J628*1.4*1.5*1.6*1.6*2.2*2.715*2.6*1.4*1.4*1.5,12600000000*(1.652953^(MIN($E628,123)-117)))*1,0))</f>
        <v>34426395615</v>
      </c>
      <c r="AE628" s="6">
        <f>$E628+24</f>
        <v>143</v>
      </c>
      <c r="AF628" s="7">
        <f>IF($J628=0,0,ROUND(MAX($J628*1.4*1.5*1.6*1.6*2.2*2.715*2.6*1.4*1.4*1.5*1.5,18900000000*(1.65331^(MIN($E628,123)-117)))*1,0))</f>
        <v>51661901770</v>
      </c>
      <c r="AG628" s="4">
        <f>$E628+27</f>
        <v>146</v>
      </c>
      <c r="AH628" s="8">
        <f>IF($J628=0,0,ROUND(MAX($J628*1.4*1.5*1.6*1.6*2.2*2.715*2.6*1.4*1.4*1.5*1.5*3.2,60500000000*(1.654288^(MIN($E628,123)-117)))*1,0))</f>
        <v>165568461610</v>
      </c>
    </row>
    <row r="629" ht="27.75" customHeight="1" spans="1:34" x14ac:dyDescent="0.25">
      <c r="A629" s="3">
        <v>639</v>
      </c>
      <c r="B629" s="3" t="s">
        <v>483</v>
      </c>
      <c r="C629" s="3" t="s">
        <v>641</v>
      </c>
      <c r="D629" s="3" t="s">
        <v>33</v>
      </c>
      <c r="E629" s="3">
        <v>119</v>
      </c>
      <c r="F629" s="3" t="s">
        <v>30</v>
      </c>
      <c r="G629" s="3" t="s">
        <v>30</v>
      </c>
      <c r="H629" s="3">
        <v>30</v>
      </c>
      <c r="I629" s="4">
        <v>119</v>
      </c>
      <c r="J629" s="5">
        <v>1190000</v>
      </c>
      <c r="K629" s="6">
        <f>$E629+1</f>
        <v>120</v>
      </c>
      <c r="L629" s="7">
        <f>IF($J629=0,0,ROUND(MAX($J629*1.4,1620000*(1.497923^(MIN($E629,123)-117)))*1,0))</f>
        <v>3634913</v>
      </c>
      <c r="M629" s="4">
        <f>$E629+2</f>
        <v>121</v>
      </c>
      <c r="N629" s="8">
        <f>IF($J629=0,0,ROUND(MAX($J629*1.4*1.5,2190000*(1.580994^(MIN($E629,123)-117)))*1,0))</f>
        <v>5473997</v>
      </c>
      <c r="O629" s="6">
        <f>$E629+4</f>
        <v>123</v>
      </c>
      <c r="P629" s="7">
        <f>IF($J629=0,0,ROUND(MAX($J629*1.4*1.5*1.6,3500000*(1.57975^(MIN($E629,123)-117)))*1,0))</f>
        <v>8734635</v>
      </c>
      <c r="Q629" s="4">
        <f>$E629+6</f>
        <v>125</v>
      </c>
      <c r="R629" s="8">
        <f>IF($J629=0,0,ROUND(MAX($J629*1.4*1.5*1.6*1.6,13100000*(1.429962^(MIN($E629,123)-117)))*1,0))</f>
        <v>26786766</v>
      </c>
      <c r="S629" s="6">
        <f>$E629+8</f>
        <v>127</v>
      </c>
      <c r="T629" s="7">
        <f>IF($J629=0,0,ROUND(MAX($J629*1.4*1.5*1.6*1.6*2.2,42600000*(1.576904^(MIN($E629,123)-117)))*1,0))</f>
        <v>105930277</v>
      </c>
      <c r="U629" s="4">
        <f>$E629+11</f>
        <v>130</v>
      </c>
      <c r="V629" s="8">
        <f>IF($J629=0,0,ROUND(MAX($J629*1.4*1.5*1.6*1.6*2.2*2.715,354000000*(1.642074^(MIN($E629,123)-117)))*1,0))</f>
        <v>954528086</v>
      </c>
      <c r="W629" s="6">
        <f>$E629+15</f>
        <v>134</v>
      </c>
      <c r="X629" s="7">
        <f>IF($J629=0,0,ROUND(MAX($J629*1.4*1.5*1.6*1.6*2.2*2.715*2.6,3540000000*(1.579646^(MIN($E629,123)-117)))*1,0))</f>
        <v>8833296458</v>
      </c>
      <c r="Y629" s="4">
        <f>$E629+17</f>
        <v>136</v>
      </c>
      <c r="Z629" s="8">
        <f>IF($J629=0,0,ROUND(MAX($J629*1.4*1.5*1.6*1.6*2.2*2.715*2.6*1.4,6020000000*(1.651178^(MIN($E629,123)-117)))*1,0))</f>
        <v>16412860502</v>
      </c>
      <c r="AA629" s="6">
        <f>$E629+19</f>
        <v>138</v>
      </c>
      <c r="AB629" s="7">
        <f>IF($J629=0,0,ROUND(MAX($J629*1.4*1.5*1.6*1.6*2.2*2.715*2.6*1.4*1.4,8430000000*(1.651435^(MIN($E629,123)-117)))*1,0))</f>
        <v>22990612624</v>
      </c>
      <c r="AC629" s="4">
        <f>$E629+21</f>
        <v>140</v>
      </c>
      <c r="AD629" s="8">
        <f>IF($J629=0,0,ROUND(MAX($J629*1.4*1.5*1.6*1.6*2.2*2.715*2.6*1.4*1.4*1.5,12600000000*(1.652953^(MIN($E629,123)-117)))*1,0))</f>
        <v>34426395615</v>
      </c>
      <c r="AE629" s="6">
        <f>$E629+24</f>
        <v>143</v>
      </c>
      <c r="AF629" s="7">
        <f>IF($J629=0,0,ROUND(MAX($J629*1.4*1.5*1.6*1.6*2.2*2.715*2.6*1.4*1.4*1.5*1.5,18900000000*(1.65331^(MIN($E629,123)-117)))*1,0))</f>
        <v>51661901770</v>
      </c>
      <c r="AG629" s="4">
        <f>$E629+27</f>
        <v>146</v>
      </c>
      <c r="AH629" s="8">
        <f>IF($J629=0,0,ROUND(MAX($J629*1.4*1.5*1.6*1.6*2.2*2.715*2.6*1.4*1.4*1.5*1.5*3.2,60500000000*(1.654288^(MIN($E629,123)-117)))*1,0))</f>
        <v>165568461610</v>
      </c>
    </row>
    <row r="630" ht="27.75" customHeight="1" spans="1:34" x14ac:dyDescent="0.25">
      <c r="A630" s="3">
        <v>640</v>
      </c>
      <c r="B630" s="3" t="s">
        <v>596</v>
      </c>
      <c r="C630" s="3" t="s">
        <v>641</v>
      </c>
      <c r="D630" s="3" t="s">
        <v>102</v>
      </c>
      <c r="E630" s="3">
        <v>119</v>
      </c>
      <c r="F630" s="3" t="s">
        <v>26</v>
      </c>
      <c r="G630" s="3" t="s">
        <v>26</v>
      </c>
      <c r="H630" s="3">
        <v>30</v>
      </c>
      <c r="I630" s="4">
        <v>119</v>
      </c>
      <c r="J630" s="5">
        <v>1170000</v>
      </c>
      <c r="K630" s="6">
        <f>$E630+1</f>
        <v>120</v>
      </c>
      <c r="L630" s="7">
        <f>IF($J630=0,0,ROUND(MAX($J630*1.4,1620000*(1.497923^(MIN($E630,123)-117)))*1,0))</f>
        <v>3634913</v>
      </c>
      <c r="M630" s="4">
        <f>$E630+2</f>
        <v>121</v>
      </c>
      <c r="N630" s="8">
        <f>IF($J630=0,0,ROUND(MAX($J630*1.4*1.5,2190000*(1.580994^(MIN($E630,123)-117)))*1,0))</f>
        <v>5473997</v>
      </c>
      <c r="O630" s="6">
        <f>$E630+4</f>
        <v>123</v>
      </c>
      <c r="P630" s="7">
        <f>IF($J630=0,0,ROUND(MAX($J630*1.4*1.5*1.6,3500000*(1.57975^(MIN($E630,123)-117)))*1,0))</f>
        <v>8734635</v>
      </c>
      <c r="Q630" s="4">
        <f>$E630+6</f>
        <v>125</v>
      </c>
      <c r="R630" s="8">
        <f>IF($J630=0,0,ROUND(MAX($J630*1.4*1.5*1.6*1.6,13100000*(1.429962^(MIN($E630,123)-117)))*1,0))</f>
        <v>26786766</v>
      </c>
      <c r="S630" s="6">
        <f>$E630+8</f>
        <v>127</v>
      </c>
      <c r="T630" s="7">
        <f>IF($J630=0,0,ROUND(MAX($J630*1.4*1.5*1.6*1.6*2.2,42600000*(1.576904^(MIN($E630,123)-117)))*1,0))</f>
        <v>105930277</v>
      </c>
      <c r="U630" s="4">
        <f>$E630+11</f>
        <v>130</v>
      </c>
      <c r="V630" s="8">
        <f>IF($J630=0,0,ROUND(MAX($J630*1.4*1.5*1.6*1.6*2.2*2.715,354000000*(1.642074^(MIN($E630,123)-117)))*1,0))</f>
        <v>954528086</v>
      </c>
      <c r="W630" s="6">
        <f>$E630+15</f>
        <v>134</v>
      </c>
      <c r="X630" s="7">
        <f>IF($J630=0,0,ROUND(MAX($J630*1.4*1.5*1.6*1.6*2.2*2.715*2.6,3540000000*(1.579646^(MIN($E630,123)-117)))*1,0))</f>
        <v>8833296458</v>
      </c>
      <c r="Y630" s="4">
        <f>$E630+17</f>
        <v>136</v>
      </c>
      <c r="Z630" s="8">
        <f>IF($J630=0,0,ROUND(MAX($J630*1.4*1.5*1.6*1.6*2.2*2.715*2.6*1.4,6020000000*(1.651178^(MIN($E630,123)-117)))*1,0))</f>
        <v>16412860502</v>
      </c>
      <c r="AA630" s="6">
        <f>$E630+19</f>
        <v>138</v>
      </c>
      <c r="AB630" s="7">
        <f>IF($J630=0,0,ROUND(MAX($J630*1.4*1.5*1.6*1.6*2.2*2.715*2.6*1.4*1.4,8430000000*(1.651435^(MIN($E630,123)-117)))*1,0))</f>
        <v>22990612624</v>
      </c>
      <c r="AC630" s="4">
        <f>$E630+21</f>
        <v>140</v>
      </c>
      <c r="AD630" s="8">
        <f>IF($J630=0,0,ROUND(MAX($J630*1.4*1.5*1.6*1.6*2.2*2.715*2.6*1.4*1.4*1.5,12600000000*(1.652953^(MIN($E630,123)-117)))*1,0))</f>
        <v>34426395615</v>
      </c>
      <c r="AE630" s="6">
        <f>$E630+24</f>
        <v>143</v>
      </c>
      <c r="AF630" s="7">
        <f>IF($J630=0,0,ROUND(MAX($J630*1.4*1.5*1.6*1.6*2.2*2.715*2.6*1.4*1.4*1.5*1.5,18900000000*(1.65331^(MIN($E630,123)-117)))*1,0))</f>
        <v>51661901770</v>
      </c>
      <c r="AG630" s="4">
        <f>$E630+27</f>
        <v>146</v>
      </c>
      <c r="AH630" s="8">
        <f>IF($J630=0,0,ROUND(MAX($J630*1.4*1.5*1.6*1.6*2.2*2.715*2.6*1.4*1.4*1.5*1.5*3.2,60500000000*(1.654288^(MIN($E630,123)-117)))*1,0))</f>
        <v>165568461610</v>
      </c>
    </row>
    <row r="631" ht="27.75" customHeight="1" spans="1:34" x14ac:dyDescent="0.25">
      <c r="A631" s="3">
        <v>641</v>
      </c>
      <c r="B631" s="3" t="s">
        <v>177</v>
      </c>
      <c r="C631" s="3" t="s">
        <v>641</v>
      </c>
      <c r="D631" s="3" t="s">
        <v>25</v>
      </c>
      <c r="E631" s="3">
        <v>119</v>
      </c>
      <c r="F631" s="3" t="s">
        <v>146</v>
      </c>
      <c r="G631" s="3" t="s">
        <v>146</v>
      </c>
      <c r="H631" s="3">
        <v>30</v>
      </c>
      <c r="I631" s="4">
        <v>119</v>
      </c>
      <c r="J631" s="5">
        <v>1200000</v>
      </c>
      <c r="K631" s="6">
        <f>$E631+1</f>
        <v>120</v>
      </c>
      <c r="L631" s="7">
        <f>IF($J631=0,0,ROUND(MAX($J631*1.4,1620000*(1.497923^(MIN($E631,123)-117)))*1,0))</f>
        <v>3634913</v>
      </c>
      <c r="M631" s="4">
        <f>$E631+2</f>
        <v>121</v>
      </c>
      <c r="N631" s="8">
        <f>IF($J631=0,0,ROUND(MAX($J631*1.4*1.5,2190000*(1.580994^(MIN($E631,123)-117)))*1,0))</f>
        <v>5473997</v>
      </c>
      <c r="O631" s="6">
        <f>$E631+4</f>
        <v>123</v>
      </c>
      <c r="P631" s="7">
        <f>IF($J631=0,0,ROUND(MAX($J631*1.4*1.5*1.6,3500000*(1.57975^(MIN($E631,123)-117)))*1,0))</f>
        <v>8734635</v>
      </c>
      <c r="Q631" s="4">
        <f>$E631+6</f>
        <v>125</v>
      </c>
      <c r="R631" s="8">
        <f>IF($J631=0,0,ROUND(MAX($J631*1.4*1.5*1.6*1.6,13100000*(1.429962^(MIN($E631,123)-117)))*1,0))</f>
        <v>26786766</v>
      </c>
      <c r="S631" s="6">
        <f>$E631+8</f>
        <v>127</v>
      </c>
      <c r="T631" s="7">
        <f>IF($J631=0,0,ROUND(MAX($J631*1.4*1.5*1.6*1.6*2.2,42600000*(1.576904^(MIN($E631,123)-117)))*1,0))</f>
        <v>105930277</v>
      </c>
      <c r="U631" s="4">
        <f>$E631+11</f>
        <v>130</v>
      </c>
      <c r="V631" s="8">
        <f>IF($J631=0,0,ROUND(MAX($J631*1.4*1.5*1.6*1.6*2.2*2.715,354000000*(1.642074^(MIN($E631,123)-117)))*1,0))</f>
        <v>954528086</v>
      </c>
      <c r="W631" s="6">
        <f>$E631+15</f>
        <v>134</v>
      </c>
      <c r="X631" s="7">
        <f>IF($J631=0,0,ROUND(MAX($J631*1.4*1.5*1.6*1.6*2.2*2.715*2.6,3540000000*(1.579646^(MIN($E631,123)-117)))*1,0))</f>
        <v>8833296458</v>
      </c>
      <c r="Y631" s="4">
        <f>$E631+17</f>
        <v>136</v>
      </c>
      <c r="Z631" s="8">
        <f>IF($J631=0,0,ROUND(MAX($J631*1.4*1.5*1.6*1.6*2.2*2.715*2.6*1.4,6020000000*(1.651178^(MIN($E631,123)-117)))*1,0))</f>
        <v>16412860502</v>
      </c>
      <c r="AA631" s="6">
        <f>$E631+19</f>
        <v>138</v>
      </c>
      <c r="AB631" s="7">
        <f>IF($J631=0,0,ROUND(MAX($J631*1.4*1.5*1.6*1.6*2.2*2.715*2.6*1.4*1.4,8430000000*(1.651435^(MIN($E631,123)-117)))*1,0))</f>
        <v>22990612624</v>
      </c>
      <c r="AC631" s="4">
        <f>$E631+21</f>
        <v>140</v>
      </c>
      <c r="AD631" s="8">
        <f>IF($J631=0,0,ROUND(MAX($J631*1.4*1.5*1.6*1.6*2.2*2.715*2.6*1.4*1.4*1.5,12600000000*(1.652953^(MIN($E631,123)-117)))*1,0))</f>
        <v>34426395615</v>
      </c>
      <c r="AE631" s="6">
        <f>$E631+24</f>
        <v>143</v>
      </c>
      <c r="AF631" s="7">
        <f>IF($J631=0,0,ROUND(MAX($J631*1.4*1.5*1.6*1.6*2.2*2.715*2.6*1.4*1.4*1.5*1.5,18900000000*(1.65331^(MIN($E631,123)-117)))*1,0))</f>
        <v>51661901770</v>
      </c>
      <c r="AG631" s="4">
        <f>$E631+27</f>
        <v>146</v>
      </c>
      <c r="AH631" s="8">
        <f>IF($J631=0,0,ROUND(MAX($J631*1.4*1.5*1.6*1.6*2.2*2.715*2.6*1.4*1.4*1.5*1.5*3.2,60500000000*(1.654288^(MIN($E631,123)-117)))*1,0))</f>
        <v>165568461610</v>
      </c>
    </row>
    <row r="632" ht="27.75" customHeight="1" spans="1:34" x14ac:dyDescent="0.25">
      <c r="A632" s="3">
        <v>642</v>
      </c>
      <c r="B632" s="3" t="s">
        <v>175</v>
      </c>
      <c r="C632" s="3" t="s">
        <v>641</v>
      </c>
      <c r="D632" s="3" t="s">
        <v>33</v>
      </c>
      <c r="E632" s="3">
        <v>119</v>
      </c>
      <c r="F632" s="3" t="s">
        <v>54</v>
      </c>
      <c r="G632" s="3" t="s">
        <v>54</v>
      </c>
      <c r="H632" s="3">
        <v>30</v>
      </c>
      <c r="I632" s="4">
        <v>119</v>
      </c>
      <c r="J632" s="5">
        <v>1220000</v>
      </c>
      <c r="K632" s="6">
        <f>$E632+1</f>
        <v>120</v>
      </c>
      <c r="L632" s="7">
        <f>IF($J632=0,0,ROUND(MAX($J632*1.4,1620000*(1.497923^(MIN($E632,123)-117)))*1,0))</f>
        <v>3634913</v>
      </c>
      <c r="M632" s="4">
        <f>$E632+2</f>
        <v>121</v>
      </c>
      <c r="N632" s="8">
        <f>IF($J632=0,0,ROUND(MAX($J632*1.4*1.5,2190000*(1.580994^(MIN($E632,123)-117)))*1,0))</f>
        <v>5473997</v>
      </c>
      <c r="O632" s="6">
        <f>$E632+4</f>
        <v>123</v>
      </c>
      <c r="P632" s="7">
        <f>IF($J632=0,0,ROUND(MAX($J632*1.4*1.5*1.6,3500000*(1.57975^(MIN($E632,123)-117)))*1,0))</f>
        <v>8734635</v>
      </c>
      <c r="Q632" s="4">
        <f>$E632+6</f>
        <v>125</v>
      </c>
      <c r="R632" s="8">
        <f>IF($J632=0,0,ROUND(MAX($J632*1.4*1.5*1.6*1.6,13100000*(1.429962^(MIN($E632,123)-117)))*1,0))</f>
        <v>26786766</v>
      </c>
      <c r="S632" s="6">
        <f>$E632+8</f>
        <v>127</v>
      </c>
      <c r="T632" s="7">
        <f>IF($J632=0,0,ROUND(MAX($J632*1.4*1.5*1.6*1.6*2.2,42600000*(1.576904^(MIN($E632,123)-117)))*1,0))</f>
        <v>105930277</v>
      </c>
      <c r="U632" s="4">
        <f>$E632+11</f>
        <v>130</v>
      </c>
      <c r="V632" s="8">
        <f>IF($J632=0,0,ROUND(MAX($J632*1.4*1.5*1.6*1.6*2.2*2.715,354000000*(1.642074^(MIN($E632,123)-117)))*1,0))</f>
        <v>954528086</v>
      </c>
      <c r="W632" s="6">
        <f>$E632+15</f>
        <v>134</v>
      </c>
      <c r="X632" s="7">
        <f>IF($J632=0,0,ROUND(MAX($J632*1.4*1.5*1.6*1.6*2.2*2.715*2.6,3540000000*(1.579646^(MIN($E632,123)-117)))*1,0))</f>
        <v>8833296458</v>
      </c>
      <c r="Y632" s="4">
        <f>$E632+17</f>
        <v>136</v>
      </c>
      <c r="Z632" s="8">
        <f>IF($J632=0,0,ROUND(MAX($J632*1.4*1.5*1.6*1.6*2.2*2.715*2.6*1.4,6020000000*(1.651178^(MIN($E632,123)-117)))*1,0))</f>
        <v>16412860502</v>
      </c>
      <c r="AA632" s="6">
        <f>$E632+19</f>
        <v>138</v>
      </c>
      <c r="AB632" s="7">
        <f>IF($J632=0,0,ROUND(MAX($J632*1.4*1.5*1.6*1.6*2.2*2.715*2.6*1.4*1.4,8430000000*(1.651435^(MIN($E632,123)-117)))*1,0))</f>
        <v>22990612624</v>
      </c>
      <c r="AC632" s="4">
        <f>$E632+21</f>
        <v>140</v>
      </c>
      <c r="AD632" s="8">
        <f>IF($J632=0,0,ROUND(MAX($J632*1.4*1.5*1.6*1.6*2.2*2.715*2.6*1.4*1.4*1.5,12600000000*(1.652953^(MIN($E632,123)-117)))*1,0))</f>
        <v>34426395615</v>
      </c>
      <c r="AE632" s="6">
        <f>$E632+24</f>
        <v>143</v>
      </c>
      <c r="AF632" s="7">
        <f>IF($J632=0,0,ROUND(MAX($J632*1.4*1.5*1.6*1.6*2.2*2.715*2.6*1.4*1.4*1.5*1.5,18900000000*(1.65331^(MIN($E632,123)-117)))*1,0))</f>
        <v>51661901770</v>
      </c>
      <c r="AG632" s="4">
        <f>$E632+27</f>
        <v>146</v>
      </c>
      <c r="AH632" s="8">
        <f>IF($J632=0,0,ROUND(MAX($J632*1.4*1.5*1.6*1.6*2.2*2.715*2.6*1.4*1.4*1.5*1.5*3.2,60500000000*(1.654288^(MIN($E632,123)-117)))*1,0))</f>
        <v>165568461610</v>
      </c>
    </row>
    <row r="633" ht="27.75" customHeight="1" spans="1:34" x14ac:dyDescent="0.25">
      <c r="A633" s="3">
        <v>643</v>
      </c>
      <c r="B633" s="3" t="s">
        <v>650</v>
      </c>
      <c r="C633" s="3" t="s">
        <v>641</v>
      </c>
      <c r="D633" s="3" t="s">
        <v>33</v>
      </c>
      <c r="E633" s="3">
        <v>119</v>
      </c>
      <c r="F633" s="3" t="s">
        <v>34</v>
      </c>
      <c r="G633" s="3" t="s">
        <v>34</v>
      </c>
      <c r="H633" s="3">
        <v>30</v>
      </c>
      <c r="I633" s="4">
        <v>119</v>
      </c>
      <c r="J633" s="5">
        <v>1210000</v>
      </c>
      <c r="K633" s="6">
        <f>$E633+1</f>
        <v>120</v>
      </c>
      <c r="L633" s="7">
        <f>IF($J633=0,0,ROUND(MAX($J633*1.4,1620000*(1.497923^(MIN($E633,123)-117)))*1,0))</f>
        <v>3634913</v>
      </c>
      <c r="M633" s="4">
        <f>$E633+2</f>
        <v>121</v>
      </c>
      <c r="N633" s="8">
        <f>IF($J633=0,0,ROUND(MAX($J633*1.4*1.5,2190000*(1.580994^(MIN($E633,123)-117)))*1,0))</f>
        <v>5473997</v>
      </c>
      <c r="O633" s="6">
        <f>$E633+4</f>
        <v>123</v>
      </c>
      <c r="P633" s="7">
        <f>IF($J633=0,0,ROUND(MAX($J633*1.4*1.5*1.6,3500000*(1.57975^(MIN($E633,123)-117)))*1,0))</f>
        <v>8734635</v>
      </c>
      <c r="Q633" s="4">
        <f>$E633+6</f>
        <v>125</v>
      </c>
      <c r="R633" s="8">
        <f>IF($J633=0,0,ROUND(MAX($J633*1.4*1.5*1.6*1.6,13100000*(1.429962^(MIN($E633,123)-117)))*1,0))</f>
        <v>26786766</v>
      </c>
      <c r="S633" s="6">
        <f>$E633+8</f>
        <v>127</v>
      </c>
      <c r="T633" s="7">
        <f>IF($J633=0,0,ROUND(MAX($J633*1.4*1.5*1.6*1.6*2.2,42600000*(1.576904^(MIN($E633,123)-117)))*1,0))</f>
        <v>105930277</v>
      </c>
      <c r="U633" s="4">
        <f>$E633+11</f>
        <v>130</v>
      </c>
      <c r="V633" s="8">
        <f>IF($J633=0,0,ROUND(MAX($J633*1.4*1.5*1.6*1.6*2.2*2.715,354000000*(1.642074^(MIN($E633,123)-117)))*1,0))</f>
        <v>954528086</v>
      </c>
      <c r="W633" s="6">
        <f>$E633+15</f>
        <v>134</v>
      </c>
      <c r="X633" s="7">
        <f>IF($J633=0,0,ROUND(MAX($J633*1.4*1.5*1.6*1.6*2.2*2.715*2.6,3540000000*(1.579646^(MIN($E633,123)-117)))*1,0))</f>
        <v>8833296458</v>
      </c>
      <c r="Y633" s="4">
        <f>$E633+17</f>
        <v>136</v>
      </c>
      <c r="Z633" s="8">
        <f>IF($J633=0,0,ROUND(MAX($J633*1.4*1.5*1.6*1.6*2.2*2.715*2.6*1.4,6020000000*(1.651178^(MIN($E633,123)-117)))*1,0))</f>
        <v>16412860502</v>
      </c>
      <c r="AA633" s="6">
        <f>$E633+19</f>
        <v>138</v>
      </c>
      <c r="AB633" s="7">
        <f>IF($J633=0,0,ROUND(MAX($J633*1.4*1.5*1.6*1.6*2.2*2.715*2.6*1.4*1.4,8430000000*(1.651435^(MIN($E633,123)-117)))*1,0))</f>
        <v>22990612624</v>
      </c>
      <c r="AC633" s="4">
        <f>$E633+21</f>
        <v>140</v>
      </c>
      <c r="AD633" s="8">
        <f>IF($J633=0,0,ROUND(MAX($J633*1.4*1.5*1.6*1.6*2.2*2.715*2.6*1.4*1.4*1.5,12600000000*(1.652953^(MIN($E633,123)-117)))*1,0))</f>
        <v>34426395615</v>
      </c>
      <c r="AE633" s="6">
        <f>$E633+24</f>
        <v>143</v>
      </c>
      <c r="AF633" s="7">
        <f>IF($J633=0,0,ROUND(MAX($J633*1.4*1.5*1.6*1.6*2.2*2.715*2.6*1.4*1.4*1.5*1.5,18900000000*(1.65331^(MIN($E633,123)-117)))*1,0))</f>
        <v>51661901770</v>
      </c>
      <c r="AG633" s="4">
        <f>$E633+27</f>
        <v>146</v>
      </c>
      <c r="AH633" s="8">
        <f>IF($J633=0,0,ROUND(MAX($J633*1.4*1.5*1.6*1.6*2.2*2.715*2.6*1.4*1.4*1.5*1.5*3.2,60500000000*(1.654288^(MIN($E633,123)-117)))*1,0))</f>
        <v>165568461610</v>
      </c>
    </row>
    <row r="634" ht="27.75" customHeight="1" spans="1:34" x14ac:dyDescent="0.25">
      <c r="A634" s="3">
        <v>644</v>
      </c>
      <c r="B634" s="3" t="s">
        <v>172</v>
      </c>
      <c r="C634" s="3" t="s">
        <v>641</v>
      </c>
      <c r="D634" s="3" t="s">
        <v>40</v>
      </c>
      <c r="E634" s="3">
        <v>119</v>
      </c>
      <c r="F634" s="3" t="s">
        <v>26</v>
      </c>
      <c r="G634" s="3" t="s">
        <v>26</v>
      </c>
      <c r="H634" s="3">
        <v>31</v>
      </c>
      <c r="I634" s="4">
        <v>119</v>
      </c>
      <c r="J634" s="5">
        <v>1190000</v>
      </c>
      <c r="K634" s="6">
        <f>$E634+1</f>
        <v>120</v>
      </c>
      <c r="L634" s="7">
        <f>IF($J634=0,0,ROUND(MAX($J634*1.4,1620000*(1.497923^(MIN($E634,123)-117)))*1,0))</f>
        <v>3634913</v>
      </c>
      <c r="M634" s="4">
        <f>$E634+2</f>
        <v>121</v>
      </c>
      <c r="N634" s="8">
        <f>IF($J634=0,0,ROUND(MAX($J634*1.4*1.5,2190000*(1.580994^(MIN($E634,123)-117)))*1,0))</f>
        <v>5473997</v>
      </c>
      <c r="O634" s="6">
        <f>$E634+4</f>
        <v>123</v>
      </c>
      <c r="P634" s="7">
        <f>IF($J634=0,0,ROUND(MAX($J634*1.4*1.5*1.6,3500000*(1.57975^(MIN($E634,123)-117)))*1,0))</f>
        <v>8734635</v>
      </c>
      <c r="Q634" s="4">
        <f>$E634+6</f>
        <v>125</v>
      </c>
      <c r="R634" s="8">
        <f>IF($J634=0,0,ROUND(MAX($J634*1.4*1.5*1.6*1.6,13100000*(1.429962^(MIN($E634,123)-117)))*1,0))</f>
        <v>26786766</v>
      </c>
      <c r="S634" s="6">
        <f>$E634+8</f>
        <v>127</v>
      </c>
      <c r="T634" s="7">
        <f>IF($J634=0,0,ROUND(MAX($J634*1.4*1.5*1.6*1.6*2.2,42600000*(1.576904^(MIN($E634,123)-117)))*1,0))</f>
        <v>105930277</v>
      </c>
      <c r="U634" s="4">
        <f>$E634+11</f>
        <v>130</v>
      </c>
      <c r="V634" s="8">
        <f>IF($J634=0,0,ROUND(MAX($J634*1.4*1.5*1.6*1.6*2.2*2.715,354000000*(1.642074^(MIN($E634,123)-117)))*1,0))</f>
        <v>954528086</v>
      </c>
      <c r="W634" s="6">
        <f>$E634+15</f>
        <v>134</v>
      </c>
      <c r="X634" s="7">
        <f>IF($J634=0,0,ROUND(MAX($J634*1.4*1.5*1.6*1.6*2.2*2.715*2.6,3540000000*(1.579646^(MIN($E634,123)-117)))*1,0))</f>
        <v>8833296458</v>
      </c>
      <c r="Y634" s="4">
        <f>$E634+17</f>
        <v>136</v>
      </c>
      <c r="Z634" s="8">
        <f>IF($J634=0,0,ROUND(MAX($J634*1.4*1.5*1.6*1.6*2.2*2.715*2.6*1.4,6020000000*(1.651178^(MIN($E634,123)-117)))*1,0))</f>
        <v>16412860502</v>
      </c>
      <c r="AA634" s="6">
        <f>$E634+19</f>
        <v>138</v>
      </c>
      <c r="AB634" s="7">
        <f>IF($J634=0,0,ROUND(MAX($J634*1.4*1.5*1.6*1.6*2.2*2.715*2.6*1.4*1.4,8430000000*(1.651435^(MIN($E634,123)-117)))*1,0))</f>
        <v>22990612624</v>
      </c>
      <c r="AC634" s="4">
        <f>$E634+21</f>
        <v>140</v>
      </c>
      <c r="AD634" s="8">
        <f>IF($J634=0,0,ROUND(MAX($J634*1.4*1.5*1.6*1.6*2.2*2.715*2.6*1.4*1.4*1.5,12600000000*(1.652953^(MIN($E634,123)-117)))*1,0))</f>
        <v>34426395615</v>
      </c>
      <c r="AE634" s="6">
        <f>$E634+24</f>
        <v>143</v>
      </c>
      <c r="AF634" s="7">
        <f>IF($J634=0,0,ROUND(MAX($J634*1.4*1.5*1.6*1.6*2.2*2.715*2.6*1.4*1.4*1.5*1.5,18900000000*(1.65331^(MIN($E634,123)-117)))*1,0))</f>
        <v>51661901770</v>
      </c>
      <c r="AG634" s="4">
        <f>$E634+27</f>
        <v>146</v>
      </c>
      <c r="AH634" s="8">
        <f>IF($J634=0,0,ROUND(MAX($J634*1.4*1.5*1.6*1.6*2.2*2.715*2.6*1.4*1.4*1.5*1.5*3.2,60500000000*(1.654288^(MIN($E634,123)-117)))*1,0))</f>
        <v>165568461610</v>
      </c>
    </row>
    <row r="635" ht="27.75" customHeight="1" spans="1:34" x14ac:dyDescent="0.25">
      <c r="A635" s="3">
        <v>645</v>
      </c>
      <c r="B635" s="3" t="s">
        <v>199</v>
      </c>
      <c r="C635" s="3" t="s">
        <v>641</v>
      </c>
      <c r="D635" s="3" t="s">
        <v>45</v>
      </c>
      <c r="E635" s="3">
        <v>119</v>
      </c>
      <c r="F635" s="3" t="s">
        <v>26</v>
      </c>
      <c r="G635" s="3" t="s">
        <v>26</v>
      </c>
      <c r="H635" s="3">
        <v>31</v>
      </c>
      <c r="I635" s="4">
        <v>119</v>
      </c>
      <c r="J635" s="5">
        <v>1190000</v>
      </c>
      <c r="K635" s="6">
        <f>$E635+1</f>
        <v>120</v>
      </c>
      <c r="L635" s="7">
        <f>IF($J635=0,0,ROUND(MAX($J635*1.4,1620000*(1.497923^(MIN($E635,123)-117)))*1,0))</f>
        <v>3634913</v>
      </c>
      <c r="M635" s="4">
        <f>$E635+2</f>
        <v>121</v>
      </c>
      <c r="N635" s="8">
        <f>IF($J635=0,0,ROUND(MAX($J635*1.4*1.5,2190000*(1.580994^(MIN($E635,123)-117)))*1,0))</f>
        <v>5473997</v>
      </c>
      <c r="O635" s="6">
        <f>$E635+4</f>
        <v>123</v>
      </c>
      <c r="P635" s="7">
        <f>IF($J635=0,0,ROUND(MAX($J635*1.4*1.5*1.6,3500000*(1.57975^(MIN($E635,123)-117)))*1,0))</f>
        <v>8734635</v>
      </c>
      <c r="Q635" s="4">
        <f>$E635+6</f>
        <v>125</v>
      </c>
      <c r="R635" s="8">
        <f>IF($J635=0,0,ROUND(MAX($J635*1.4*1.5*1.6*1.6,13100000*(1.429962^(MIN($E635,123)-117)))*1,0))</f>
        <v>26786766</v>
      </c>
      <c r="S635" s="6">
        <f>$E635+8</f>
        <v>127</v>
      </c>
      <c r="T635" s="7">
        <f>IF($J635=0,0,ROUND(MAX($J635*1.4*1.5*1.6*1.6*2.2,42600000*(1.576904^(MIN($E635,123)-117)))*1,0))</f>
        <v>105930277</v>
      </c>
      <c r="U635" s="4">
        <f>$E635+11</f>
        <v>130</v>
      </c>
      <c r="V635" s="8">
        <f>IF($J635=0,0,ROUND(MAX($J635*1.4*1.5*1.6*1.6*2.2*2.715,354000000*(1.642074^(MIN($E635,123)-117)))*1,0))</f>
        <v>954528086</v>
      </c>
      <c r="W635" s="6">
        <f>$E635+15</f>
        <v>134</v>
      </c>
      <c r="X635" s="7">
        <f>IF($J635=0,0,ROUND(MAX($J635*1.4*1.5*1.6*1.6*2.2*2.715*2.6,3540000000*(1.579646^(MIN($E635,123)-117)))*1,0))</f>
        <v>8833296458</v>
      </c>
      <c r="Y635" s="4">
        <f>$E635+17</f>
        <v>136</v>
      </c>
      <c r="Z635" s="8">
        <f>IF($J635=0,0,ROUND(MAX($J635*1.4*1.5*1.6*1.6*2.2*2.715*2.6*1.4,6020000000*(1.651178^(MIN($E635,123)-117)))*1,0))</f>
        <v>16412860502</v>
      </c>
      <c r="AA635" s="6">
        <f>$E635+19</f>
        <v>138</v>
      </c>
      <c r="AB635" s="7">
        <f>IF($J635=0,0,ROUND(MAX($J635*1.4*1.5*1.6*1.6*2.2*2.715*2.6*1.4*1.4,8430000000*(1.651435^(MIN($E635,123)-117)))*1,0))</f>
        <v>22990612624</v>
      </c>
      <c r="AC635" s="4">
        <f>$E635+21</f>
        <v>140</v>
      </c>
      <c r="AD635" s="8">
        <f>IF($J635=0,0,ROUND(MAX($J635*1.4*1.5*1.6*1.6*2.2*2.715*2.6*1.4*1.4*1.5,12600000000*(1.652953^(MIN($E635,123)-117)))*1,0))</f>
        <v>34426395615</v>
      </c>
      <c r="AE635" s="6">
        <f>$E635+24</f>
        <v>143</v>
      </c>
      <c r="AF635" s="7">
        <f>IF($J635=0,0,ROUND(MAX($J635*1.4*1.5*1.6*1.6*2.2*2.715*2.6*1.4*1.4*1.5*1.5,18900000000*(1.65331^(MIN($E635,123)-117)))*1,0))</f>
        <v>51661901770</v>
      </c>
      <c r="AG635" s="4">
        <f>$E635+27</f>
        <v>146</v>
      </c>
      <c r="AH635" s="8">
        <f>IF($J635=0,0,ROUND(MAX($J635*1.4*1.5*1.6*1.6*2.2*2.715*2.6*1.4*1.4*1.5*1.5*3.2,60500000000*(1.654288^(MIN($E635,123)-117)))*1,0))</f>
        <v>165568461610</v>
      </c>
    </row>
    <row r="636" ht="27.75" customHeight="1" spans="1:34" x14ac:dyDescent="0.25">
      <c r="A636" s="3">
        <v>646</v>
      </c>
      <c r="B636" s="3" t="s">
        <v>87</v>
      </c>
      <c r="C636" s="3" t="s">
        <v>641</v>
      </c>
      <c r="D636" s="3" t="s">
        <v>40</v>
      </c>
      <c r="E636" s="3">
        <v>119</v>
      </c>
      <c r="F636" s="3" t="s">
        <v>88</v>
      </c>
      <c r="G636" s="3" t="s">
        <v>88</v>
      </c>
      <c r="H636" s="3">
        <v>31</v>
      </c>
      <c r="I636" s="4">
        <v>119</v>
      </c>
      <c r="J636" s="5">
        <v>1210000</v>
      </c>
      <c r="K636" s="6">
        <f>$E636+1</f>
        <v>120</v>
      </c>
      <c r="L636" s="7">
        <f>IF($J636=0,0,ROUND(MAX($J636*1.4,1620000*(1.497923^(MIN($E636,123)-117)))*1,0))</f>
        <v>3634913</v>
      </c>
      <c r="M636" s="4">
        <f>$E636+2</f>
        <v>121</v>
      </c>
      <c r="N636" s="8">
        <f>IF($J636=0,0,ROUND(MAX($J636*1.4*1.5,2190000*(1.580994^(MIN($E636,123)-117)))*1,0))</f>
        <v>5473997</v>
      </c>
      <c r="O636" s="6">
        <f>$E636+4</f>
        <v>123</v>
      </c>
      <c r="P636" s="7">
        <f>IF($J636=0,0,ROUND(MAX($J636*1.4*1.5*1.6,3500000*(1.57975^(MIN($E636,123)-117)))*1,0))</f>
        <v>8734635</v>
      </c>
      <c r="Q636" s="4">
        <f>$E636+6</f>
        <v>125</v>
      </c>
      <c r="R636" s="8">
        <f>IF($J636=0,0,ROUND(MAX($J636*1.4*1.5*1.6*1.6,13100000*(1.429962^(MIN($E636,123)-117)))*1,0))</f>
        <v>26786766</v>
      </c>
      <c r="S636" s="6">
        <f>$E636+8</f>
        <v>127</v>
      </c>
      <c r="T636" s="7">
        <f>IF($J636=0,0,ROUND(MAX($J636*1.4*1.5*1.6*1.6*2.2,42600000*(1.576904^(MIN($E636,123)-117)))*1,0))</f>
        <v>105930277</v>
      </c>
      <c r="U636" s="4">
        <f>$E636+11</f>
        <v>130</v>
      </c>
      <c r="V636" s="8">
        <f>IF($J636=0,0,ROUND(MAX($J636*1.4*1.5*1.6*1.6*2.2*2.715,354000000*(1.642074^(MIN($E636,123)-117)))*1,0))</f>
        <v>954528086</v>
      </c>
      <c r="W636" s="6">
        <f>$E636+15</f>
        <v>134</v>
      </c>
      <c r="X636" s="7">
        <f>IF($J636=0,0,ROUND(MAX($J636*1.4*1.5*1.6*1.6*2.2*2.715*2.6,3540000000*(1.579646^(MIN($E636,123)-117)))*1,0))</f>
        <v>8833296458</v>
      </c>
      <c r="Y636" s="4">
        <f>$E636+17</f>
        <v>136</v>
      </c>
      <c r="Z636" s="8">
        <f>IF($J636=0,0,ROUND(MAX($J636*1.4*1.5*1.6*1.6*2.2*2.715*2.6*1.4,6020000000*(1.651178^(MIN($E636,123)-117)))*1,0))</f>
        <v>16412860502</v>
      </c>
      <c r="AA636" s="6">
        <f>$E636+19</f>
        <v>138</v>
      </c>
      <c r="AB636" s="7">
        <f>IF($J636=0,0,ROUND(MAX($J636*1.4*1.5*1.6*1.6*2.2*2.715*2.6*1.4*1.4,8430000000*(1.651435^(MIN($E636,123)-117)))*1,0))</f>
        <v>22990612624</v>
      </c>
      <c r="AC636" s="4">
        <f>$E636+21</f>
        <v>140</v>
      </c>
      <c r="AD636" s="8">
        <f>IF($J636=0,0,ROUND(MAX($J636*1.4*1.5*1.6*1.6*2.2*2.715*2.6*1.4*1.4*1.5,12600000000*(1.652953^(MIN($E636,123)-117)))*1,0))</f>
        <v>34426395615</v>
      </c>
      <c r="AE636" s="6">
        <f>$E636+24</f>
        <v>143</v>
      </c>
      <c r="AF636" s="7">
        <f>IF($J636=0,0,ROUND(MAX($J636*1.4*1.5*1.6*1.6*2.2*2.715*2.6*1.4*1.4*1.5*1.5,18900000000*(1.65331^(MIN($E636,123)-117)))*1,0))</f>
        <v>51661901770</v>
      </c>
      <c r="AG636" s="4">
        <f>$E636+27</f>
        <v>146</v>
      </c>
      <c r="AH636" s="8">
        <f>IF($J636=0,0,ROUND(MAX($J636*1.4*1.5*1.6*1.6*2.2*2.715*2.6*1.4*1.4*1.5*1.5*3.2,60500000000*(1.654288^(MIN($E636,123)-117)))*1,0))</f>
        <v>165568461610</v>
      </c>
    </row>
    <row r="637" ht="27.75" customHeight="1" spans="1:34" x14ac:dyDescent="0.25">
      <c r="A637" s="3">
        <v>647</v>
      </c>
      <c r="B637" s="3" t="s">
        <v>109</v>
      </c>
      <c r="C637" s="3" t="s">
        <v>641</v>
      </c>
      <c r="D637" s="3" t="s">
        <v>25</v>
      </c>
      <c r="E637" s="3">
        <v>119</v>
      </c>
      <c r="F637" s="3" t="s">
        <v>30</v>
      </c>
      <c r="G637" s="3" t="s">
        <v>30</v>
      </c>
      <c r="H637" s="3">
        <v>31</v>
      </c>
      <c r="I637" s="4">
        <v>119</v>
      </c>
      <c r="J637" s="5">
        <v>1210000</v>
      </c>
      <c r="K637" s="6">
        <f>$E637+1</f>
        <v>120</v>
      </c>
      <c r="L637" s="7">
        <f>IF($J637=0,0,ROUND(MAX($J637*1.4,1620000*(1.497923^(MIN($E637,123)-117)))*1,0))</f>
        <v>3634913</v>
      </c>
      <c r="M637" s="4">
        <f>$E637+2</f>
        <v>121</v>
      </c>
      <c r="N637" s="8">
        <f>IF($J637=0,0,ROUND(MAX($J637*1.4*1.5,2190000*(1.580994^(MIN($E637,123)-117)))*1,0))</f>
        <v>5473997</v>
      </c>
      <c r="O637" s="6">
        <f>$E637+4</f>
        <v>123</v>
      </c>
      <c r="P637" s="7">
        <f>IF($J637=0,0,ROUND(MAX($J637*1.4*1.5*1.6,3500000*(1.57975^(MIN($E637,123)-117)))*1,0))</f>
        <v>8734635</v>
      </c>
      <c r="Q637" s="4">
        <f>$E637+6</f>
        <v>125</v>
      </c>
      <c r="R637" s="8">
        <f>IF($J637=0,0,ROUND(MAX($J637*1.4*1.5*1.6*1.6,13100000*(1.429962^(MIN($E637,123)-117)))*1,0))</f>
        <v>26786766</v>
      </c>
      <c r="S637" s="6">
        <f>$E637+8</f>
        <v>127</v>
      </c>
      <c r="T637" s="7">
        <f>IF($J637=0,0,ROUND(MAX($J637*1.4*1.5*1.6*1.6*2.2,42600000*(1.576904^(MIN($E637,123)-117)))*1,0))</f>
        <v>105930277</v>
      </c>
      <c r="U637" s="4">
        <f>$E637+11</f>
        <v>130</v>
      </c>
      <c r="V637" s="8">
        <f>IF($J637=0,0,ROUND(MAX($J637*1.4*1.5*1.6*1.6*2.2*2.715,354000000*(1.642074^(MIN($E637,123)-117)))*1,0))</f>
        <v>954528086</v>
      </c>
      <c r="W637" s="6">
        <f>$E637+15</f>
        <v>134</v>
      </c>
      <c r="X637" s="7">
        <f>IF($J637=0,0,ROUND(MAX($J637*1.4*1.5*1.6*1.6*2.2*2.715*2.6,3540000000*(1.579646^(MIN($E637,123)-117)))*1,0))</f>
        <v>8833296458</v>
      </c>
      <c r="Y637" s="4">
        <f>$E637+17</f>
        <v>136</v>
      </c>
      <c r="Z637" s="8">
        <f>IF($J637=0,0,ROUND(MAX($J637*1.4*1.5*1.6*1.6*2.2*2.715*2.6*1.4,6020000000*(1.651178^(MIN($E637,123)-117)))*1,0))</f>
        <v>16412860502</v>
      </c>
      <c r="AA637" s="6">
        <f>$E637+19</f>
        <v>138</v>
      </c>
      <c r="AB637" s="7">
        <f>IF($J637=0,0,ROUND(MAX($J637*1.4*1.5*1.6*1.6*2.2*2.715*2.6*1.4*1.4,8430000000*(1.651435^(MIN($E637,123)-117)))*1,0))</f>
        <v>22990612624</v>
      </c>
      <c r="AC637" s="4">
        <f>$E637+21</f>
        <v>140</v>
      </c>
      <c r="AD637" s="8">
        <f>IF($J637=0,0,ROUND(MAX($J637*1.4*1.5*1.6*1.6*2.2*2.715*2.6*1.4*1.4*1.5,12600000000*(1.652953^(MIN($E637,123)-117)))*1,0))</f>
        <v>34426395615</v>
      </c>
      <c r="AE637" s="6">
        <f>$E637+24</f>
        <v>143</v>
      </c>
      <c r="AF637" s="7">
        <f>IF($J637=0,0,ROUND(MAX($J637*1.4*1.5*1.6*1.6*2.2*2.715*2.6*1.4*1.4*1.5*1.5,18900000000*(1.65331^(MIN($E637,123)-117)))*1,0))</f>
        <v>51661901770</v>
      </c>
      <c r="AG637" s="4">
        <f>$E637+27</f>
        <v>146</v>
      </c>
      <c r="AH637" s="8">
        <f>IF($J637=0,0,ROUND(MAX($J637*1.4*1.5*1.6*1.6*2.2*2.715*2.6*1.4*1.4*1.5*1.5*3.2,60500000000*(1.654288^(MIN($E637,123)-117)))*1,0))</f>
        <v>165568461610</v>
      </c>
    </row>
    <row r="638" ht="27.75" customHeight="1" spans="1:34" x14ac:dyDescent="0.25">
      <c r="A638" s="3">
        <v>648</v>
      </c>
      <c r="B638" s="3" t="s">
        <v>161</v>
      </c>
      <c r="C638" s="3" t="s">
        <v>641</v>
      </c>
      <c r="D638" s="3" t="s">
        <v>64</v>
      </c>
      <c r="E638" s="3">
        <v>119</v>
      </c>
      <c r="F638" s="3" t="s">
        <v>54</v>
      </c>
      <c r="G638" s="3" t="s">
        <v>54</v>
      </c>
      <c r="H638" s="3">
        <v>31</v>
      </c>
      <c r="I638" s="4">
        <v>119</v>
      </c>
      <c r="J638" s="5">
        <v>1200000</v>
      </c>
      <c r="K638" s="6">
        <f>$E638+1</f>
        <v>120</v>
      </c>
      <c r="L638" s="7">
        <f>IF($J638=0,0,ROUND(MAX($J638*1.4,1620000*(1.497923^(MIN($E638,123)-117)))*1,0))</f>
        <v>3634913</v>
      </c>
      <c r="M638" s="4">
        <f>$E638+2</f>
        <v>121</v>
      </c>
      <c r="N638" s="8">
        <f>IF($J638=0,0,ROUND(MAX($J638*1.4*1.5,2190000*(1.580994^(MIN($E638,123)-117)))*1,0))</f>
        <v>5473997</v>
      </c>
      <c r="O638" s="6">
        <f>$E638+4</f>
        <v>123</v>
      </c>
      <c r="P638" s="7">
        <f>IF($J638=0,0,ROUND(MAX($J638*1.4*1.5*1.6,3500000*(1.57975^(MIN($E638,123)-117)))*1,0))</f>
        <v>8734635</v>
      </c>
      <c r="Q638" s="4">
        <f>$E638+6</f>
        <v>125</v>
      </c>
      <c r="R638" s="8">
        <f>IF($J638=0,0,ROUND(MAX($J638*1.4*1.5*1.6*1.6,13100000*(1.429962^(MIN($E638,123)-117)))*1,0))</f>
        <v>26786766</v>
      </c>
      <c r="S638" s="6">
        <f>$E638+8</f>
        <v>127</v>
      </c>
      <c r="T638" s="7">
        <f>IF($J638=0,0,ROUND(MAX($J638*1.4*1.5*1.6*1.6*2.2,42600000*(1.576904^(MIN($E638,123)-117)))*1,0))</f>
        <v>105930277</v>
      </c>
      <c r="U638" s="4">
        <f>$E638+11</f>
        <v>130</v>
      </c>
      <c r="V638" s="8">
        <f>IF($J638=0,0,ROUND(MAX($J638*1.4*1.5*1.6*1.6*2.2*2.715,354000000*(1.642074^(MIN($E638,123)-117)))*1,0))</f>
        <v>954528086</v>
      </c>
      <c r="W638" s="6">
        <f>$E638+15</f>
        <v>134</v>
      </c>
      <c r="X638" s="7">
        <f>IF($J638=0,0,ROUND(MAX($J638*1.4*1.5*1.6*1.6*2.2*2.715*2.6,3540000000*(1.579646^(MIN($E638,123)-117)))*1,0))</f>
        <v>8833296458</v>
      </c>
      <c r="Y638" s="4">
        <f>$E638+17</f>
        <v>136</v>
      </c>
      <c r="Z638" s="8">
        <f>IF($J638=0,0,ROUND(MAX($J638*1.4*1.5*1.6*1.6*2.2*2.715*2.6*1.4,6020000000*(1.651178^(MIN($E638,123)-117)))*1,0))</f>
        <v>16412860502</v>
      </c>
      <c r="AA638" s="6">
        <f>$E638+19</f>
        <v>138</v>
      </c>
      <c r="AB638" s="7">
        <f>IF($J638=0,0,ROUND(MAX($J638*1.4*1.5*1.6*1.6*2.2*2.715*2.6*1.4*1.4,8430000000*(1.651435^(MIN($E638,123)-117)))*1,0))</f>
        <v>22990612624</v>
      </c>
      <c r="AC638" s="4">
        <f>$E638+21</f>
        <v>140</v>
      </c>
      <c r="AD638" s="8">
        <f>IF($J638=0,0,ROUND(MAX($J638*1.4*1.5*1.6*1.6*2.2*2.715*2.6*1.4*1.4*1.5,12600000000*(1.652953^(MIN($E638,123)-117)))*1,0))</f>
        <v>34426395615</v>
      </c>
      <c r="AE638" s="6">
        <f>$E638+24</f>
        <v>143</v>
      </c>
      <c r="AF638" s="7">
        <f>IF($J638=0,0,ROUND(MAX($J638*1.4*1.5*1.6*1.6*2.2*2.715*2.6*1.4*1.4*1.5*1.5,18900000000*(1.65331^(MIN($E638,123)-117)))*1,0))</f>
        <v>51661901770</v>
      </c>
      <c r="AG638" s="4">
        <f>$E638+27</f>
        <v>146</v>
      </c>
      <c r="AH638" s="8">
        <f>IF($J638=0,0,ROUND(MAX($J638*1.4*1.5*1.6*1.6*2.2*2.715*2.6*1.4*1.4*1.5*1.5*3.2,60500000000*(1.654288^(MIN($E638,123)-117)))*1,0))</f>
        <v>165568461610</v>
      </c>
    </row>
    <row r="639" ht="27.75" customHeight="1" spans="1:34" x14ac:dyDescent="0.25">
      <c r="A639" s="3">
        <v>649</v>
      </c>
      <c r="B639" s="3" t="s">
        <v>156</v>
      </c>
      <c r="C639" s="3" t="s">
        <v>641</v>
      </c>
      <c r="D639" s="3" t="s">
        <v>165</v>
      </c>
      <c r="E639" s="3">
        <v>120</v>
      </c>
      <c r="F639" s="3" t="s">
        <v>34</v>
      </c>
      <c r="G639" s="3" t="s">
        <v>34</v>
      </c>
      <c r="H639" s="3">
        <v>30</v>
      </c>
      <c r="I639" s="4">
        <v>120</v>
      </c>
      <c r="J639" s="5">
        <v>1660000</v>
      </c>
      <c r="K639" s="6">
        <f>$E639+1</f>
        <v>121</v>
      </c>
      <c r="L639" s="7">
        <f>IF($J639=0,0,ROUND(MAX($J639*1.4,1620000*(1.497923^(MIN($E639,123)-117)))*1,0))</f>
        <v>5444819</v>
      </c>
      <c r="M639" s="4">
        <f>$E639+2</f>
        <v>122</v>
      </c>
      <c r="N639" s="8">
        <f>IF($J639=0,0,ROUND(MAX($J639*1.4*1.5,2190000*(1.580994^(MIN($E639,123)-117)))*1,0))</f>
        <v>8654356</v>
      </c>
      <c r="O639" s="6">
        <f>$E639+4</f>
        <v>124</v>
      </c>
      <c r="P639" s="7">
        <f>IF($J639=0,0,ROUND(MAX($J639*1.4*1.5*1.6,3500000*(1.57975^(MIN($E639,123)-117)))*1,0))</f>
        <v>13798540</v>
      </c>
      <c r="Q639" s="4">
        <f>$E639+6</f>
        <v>126</v>
      </c>
      <c r="R639" s="8">
        <f>IF($J639=0,0,ROUND(MAX($J639*1.4*1.5*1.6*1.6,13100000*(1.429962^(MIN($E639,123)-117)))*1,0))</f>
        <v>38304058</v>
      </c>
      <c r="S639" s="6">
        <f>$E639+8</f>
        <v>128</v>
      </c>
      <c r="T639" s="7">
        <f>IF($J639=0,0,ROUND(MAX($J639*1.4*1.5*1.6*1.6*2.2,42600000*(1.576904^(MIN($E639,123)-117)))*1,0))</f>
        <v>167041878</v>
      </c>
      <c r="U639" s="4">
        <f>$E639+11</f>
        <v>131</v>
      </c>
      <c r="V639" s="8">
        <f>IF($J639=0,0,ROUND(MAX($J639*1.4*1.5*1.6*1.6*2.2*2.715,354000000*(1.642074^(MIN($E639,123)-117)))*1,0))</f>
        <v>1567405752</v>
      </c>
      <c r="W639" s="6">
        <f>$E639+15</f>
        <v>135</v>
      </c>
      <c r="X639" s="7">
        <f>IF($J639=0,0,ROUND(MAX($J639*1.4*1.5*1.6*1.6*2.2*2.715*2.6,3540000000*(1.579646^(MIN($E639,123)-117)))*1,0))</f>
        <v>13953481417</v>
      </c>
      <c r="Y639" s="4">
        <f>$E639+17</f>
        <v>137</v>
      </c>
      <c r="Z639" s="8">
        <f>IF($J639=0,0,ROUND(MAX($J639*1.4*1.5*1.6*1.6*2.2*2.715*2.6*1.4,6020000000*(1.651178^(MIN($E639,123)-117)))*1,0))</f>
        <v>27100554178</v>
      </c>
      <c r="AA639" s="6">
        <f>$E639+19</f>
        <v>139</v>
      </c>
      <c r="AB639" s="7">
        <f>IF($J639=0,0,ROUND(MAX($J639*1.4*1.5*1.6*1.6*2.2*2.715*2.6*1.4*1.4,8430000000*(1.651435^(MIN($E639,123)-117)))*1,0))</f>
        <v>37967502359</v>
      </c>
      <c r="AC639" s="4">
        <f>$E639+21</f>
        <v>141</v>
      </c>
      <c r="AD639" s="8">
        <f>IF($J639=0,0,ROUND(MAX($J639*1.4*1.5*1.6*1.6*2.2*2.715*2.6*1.4*1.4*1.5,12600000000*(1.652953^(MIN($E639,123)-117)))*1,0))</f>
        <v>56905213910</v>
      </c>
      <c r="AE639" s="6">
        <f>$E639+24</f>
        <v>144</v>
      </c>
      <c r="AF639" s="7">
        <f>IF($J639=0,0,ROUND(MAX($J639*1.4*1.5*1.6*1.6*2.2*2.715*2.6*1.4*1.4*1.5*1.5,18900000000*(1.65331^(MIN($E639,123)-117)))*1,0))</f>
        <v>85413138816</v>
      </c>
      <c r="AG639" s="4">
        <f>$E639+27</f>
        <v>147</v>
      </c>
      <c r="AH639" s="8">
        <f>IF($J639=0,0,ROUND(MAX($J639*1.4*1.5*1.6*1.6*2.2*2.715*2.6*1.4*1.4*1.5*1.5*3.2,60500000000*(1.654288^(MIN($E639,123)-117)))*1,0))</f>
        <v>273897919220</v>
      </c>
    </row>
    <row r="640" ht="27.75" customHeight="1" spans="1:34" x14ac:dyDescent="0.25">
      <c r="A640" s="3">
        <v>650</v>
      </c>
      <c r="B640" s="3" t="s">
        <v>219</v>
      </c>
      <c r="C640" s="3" t="s">
        <v>641</v>
      </c>
      <c r="D640" s="3" t="s">
        <v>40</v>
      </c>
      <c r="E640" s="3">
        <v>120</v>
      </c>
      <c r="F640" s="3" t="s">
        <v>108</v>
      </c>
      <c r="G640" s="3" t="s">
        <v>108</v>
      </c>
      <c r="H640" s="3">
        <v>30</v>
      </c>
      <c r="I640" s="4">
        <v>120</v>
      </c>
      <c r="J640" s="5">
        <v>1660000</v>
      </c>
      <c r="K640" s="6">
        <f>$E640+1</f>
        <v>121</v>
      </c>
      <c r="L640" s="7">
        <f>IF($J640=0,0,ROUND(MAX($J640*1.4,1620000*(1.497923^(MIN($E640,123)-117)))*1,0))</f>
        <v>5444819</v>
      </c>
      <c r="M640" s="4">
        <f>$E640+2</f>
        <v>122</v>
      </c>
      <c r="N640" s="8">
        <f>IF($J640=0,0,ROUND(MAX($J640*1.4*1.5,2190000*(1.580994^(MIN($E640,123)-117)))*1,0))</f>
        <v>8654356</v>
      </c>
      <c r="O640" s="6">
        <f>$E640+4</f>
        <v>124</v>
      </c>
      <c r="P640" s="7">
        <f>IF($J640=0,0,ROUND(MAX($J640*1.4*1.5*1.6,3500000*(1.57975^(MIN($E640,123)-117)))*1,0))</f>
        <v>13798540</v>
      </c>
      <c r="Q640" s="4">
        <f>$E640+6</f>
        <v>126</v>
      </c>
      <c r="R640" s="8">
        <f>IF($J640=0,0,ROUND(MAX($J640*1.4*1.5*1.6*1.6,13100000*(1.429962^(MIN($E640,123)-117)))*1,0))</f>
        <v>38304058</v>
      </c>
      <c r="S640" s="6">
        <f>$E640+8</f>
        <v>128</v>
      </c>
      <c r="T640" s="7">
        <f>IF($J640=0,0,ROUND(MAX($J640*1.4*1.5*1.6*1.6*2.2,42600000*(1.576904^(MIN($E640,123)-117)))*1,0))</f>
        <v>167041878</v>
      </c>
      <c r="U640" s="4">
        <f>$E640+11</f>
        <v>131</v>
      </c>
      <c r="V640" s="8">
        <f>IF($J640=0,0,ROUND(MAX($J640*1.4*1.5*1.6*1.6*2.2*2.715,354000000*(1.642074^(MIN($E640,123)-117)))*1,0))</f>
        <v>1567405752</v>
      </c>
      <c r="W640" s="6">
        <f>$E640+15</f>
        <v>135</v>
      </c>
      <c r="X640" s="7">
        <f>IF($J640=0,0,ROUND(MAX($J640*1.4*1.5*1.6*1.6*2.2*2.715*2.6,3540000000*(1.579646^(MIN($E640,123)-117)))*1,0))</f>
        <v>13953481417</v>
      </c>
      <c r="Y640" s="4">
        <f>$E640+17</f>
        <v>137</v>
      </c>
      <c r="Z640" s="8">
        <f>IF($J640=0,0,ROUND(MAX($J640*1.4*1.5*1.6*1.6*2.2*2.715*2.6*1.4,6020000000*(1.651178^(MIN($E640,123)-117)))*1,0))</f>
        <v>27100554178</v>
      </c>
      <c r="AA640" s="6">
        <f>$E640+19</f>
        <v>139</v>
      </c>
      <c r="AB640" s="7">
        <f>IF($J640=0,0,ROUND(MAX($J640*1.4*1.5*1.6*1.6*2.2*2.715*2.6*1.4*1.4,8430000000*(1.651435^(MIN($E640,123)-117)))*1,0))</f>
        <v>37967502359</v>
      </c>
      <c r="AC640" s="4">
        <f>$E640+21</f>
        <v>141</v>
      </c>
      <c r="AD640" s="8">
        <f>IF($J640=0,0,ROUND(MAX($J640*1.4*1.5*1.6*1.6*2.2*2.715*2.6*1.4*1.4*1.5,12600000000*(1.652953^(MIN($E640,123)-117)))*1,0))</f>
        <v>56905213910</v>
      </c>
      <c r="AE640" s="6">
        <f>$E640+24</f>
        <v>144</v>
      </c>
      <c r="AF640" s="7">
        <f>IF($J640=0,0,ROUND(MAX($J640*1.4*1.5*1.6*1.6*2.2*2.715*2.6*1.4*1.4*1.5*1.5,18900000000*(1.65331^(MIN($E640,123)-117)))*1,0))</f>
        <v>85413138816</v>
      </c>
      <c r="AG640" s="4">
        <f>$E640+27</f>
        <v>147</v>
      </c>
      <c r="AH640" s="8">
        <f>IF($J640=0,0,ROUND(MAX($J640*1.4*1.5*1.6*1.6*2.2*2.715*2.6*1.4*1.4*1.5*1.5*3.2,60500000000*(1.654288^(MIN($E640,123)-117)))*1,0))</f>
        <v>273897919220</v>
      </c>
    </row>
    <row r="641" ht="27.75" customHeight="1" spans="1:34" x14ac:dyDescent="0.25">
      <c r="A641" s="3">
        <v>651</v>
      </c>
      <c r="B641" s="3" t="s">
        <v>128</v>
      </c>
      <c r="C641" s="3" t="s">
        <v>641</v>
      </c>
      <c r="D641" s="3" t="s">
        <v>90</v>
      </c>
      <c r="E641" s="3">
        <v>120</v>
      </c>
      <c r="F641" s="3" t="s">
        <v>30</v>
      </c>
      <c r="G641" s="3" t="s">
        <v>30</v>
      </c>
      <c r="H641" s="3">
        <v>30</v>
      </c>
      <c r="I641" s="4">
        <v>120</v>
      </c>
      <c r="J641" s="5">
        <v>1660000</v>
      </c>
      <c r="K641" s="6">
        <f>$E641+1</f>
        <v>121</v>
      </c>
      <c r="L641" s="7">
        <f>IF($J641=0,0,ROUND(MAX($J641*1.4,1620000*(1.497923^(MIN($E641,123)-117)))*1,0))</f>
        <v>5444819</v>
      </c>
      <c r="M641" s="4">
        <f>$E641+2</f>
        <v>122</v>
      </c>
      <c r="N641" s="8">
        <f>IF($J641=0,0,ROUND(MAX($J641*1.4*1.5,2190000*(1.580994^(MIN($E641,123)-117)))*1,0))</f>
        <v>8654356</v>
      </c>
      <c r="O641" s="6">
        <f>$E641+4</f>
        <v>124</v>
      </c>
      <c r="P641" s="7">
        <f>IF($J641=0,0,ROUND(MAX($J641*1.4*1.5*1.6,3500000*(1.57975^(MIN($E641,123)-117)))*1,0))</f>
        <v>13798540</v>
      </c>
      <c r="Q641" s="4">
        <f>$E641+6</f>
        <v>126</v>
      </c>
      <c r="R641" s="8">
        <f>IF($J641=0,0,ROUND(MAX($J641*1.4*1.5*1.6*1.6,13100000*(1.429962^(MIN($E641,123)-117)))*1,0))</f>
        <v>38304058</v>
      </c>
      <c r="S641" s="6">
        <f>$E641+8</f>
        <v>128</v>
      </c>
      <c r="T641" s="7">
        <f>IF($J641=0,0,ROUND(MAX($J641*1.4*1.5*1.6*1.6*2.2,42600000*(1.576904^(MIN($E641,123)-117)))*1,0))</f>
        <v>167041878</v>
      </c>
      <c r="U641" s="4">
        <f>$E641+11</f>
        <v>131</v>
      </c>
      <c r="V641" s="8">
        <f>IF($J641=0,0,ROUND(MAX($J641*1.4*1.5*1.6*1.6*2.2*2.715,354000000*(1.642074^(MIN($E641,123)-117)))*1,0))</f>
        <v>1567405752</v>
      </c>
      <c r="W641" s="6">
        <f>$E641+15</f>
        <v>135</v>
      </c>
      <c r="X641" s="7">
        <f>IF($J641=0,0,ROUND(MAX($J641*1.4*1.5*1.6*1.6*2.2*2.715*2.6,3540000000*(1.579646^(MIN($E641,123)-117)))*1,0))</f>
        <v>13953481417</v>
      </c>
      <c r="Y641" s="4">
        <f>$E641+17</f>
        <v>137</v>
      </c>
      <c r="Z641" s="8">
        <f>IF($J641=0,0,ROUND(MAX($J641*1.4*1.5*1.6*1.6*2.2*2.715*2.6*1.4,6020000000*(1.651178^(MIN($E641,123)-117)))*1,0))</f>
        <v>27100554178</v>
      </c>
      <c r="AA641" s="6">
        <f>$E641+19</f>
        <v>139</v>
      </c>
      <c r="AB641" s="7">
        <f>IF($J641=0,0,ROUND(MAX($J641*1.4*1.5*1.6*1.6*2.2*2.715*2.6*1.4*1.4,8430000000*(1.651435^(MIN($E641,123)-117)))*1,0))</f>
        <v>37967502359</v>
      </c>
      <c r="AC641" s="4">
        <f>$E641+21</f>
        <v>141</v>
      </c>
      <c r="AD641" s="8">
        <f>IF($J641=0,0,ROUND(MAX($J641*1.4*1.5*1.6*1.6*2.2*2.715*2.6*1.4*1.4*1.5,12600000000*(1.652953^(MIN($E641,123)-117)))*1,0))</f>
        <v>56905213910</v>
      </c>
      <c r="AE641" s="6">
        <f>$E641+24</f>
        <v>144</v>
      </c>
      <c r="AF641" s="7">
        <f>IF($J641=0,0,ROUND(MAX($J641*1.4*1.5*1.6*1.6*2.2*2.715*2.6*1.4*1.4*1.5*1.5,18900000000*(1.65331^(MIN($E641,123)-117)))*1,0))</f>
        <v>85413138816</v>
      </c>
      <c r="AG641" s="4">
        <f>$E641+27</f>
        <v>147</v>
      </c>
      <c r="AH641" s="8">
        <f>IF($J641=0,0,ROUND(MAX($J641*1.4*1.5*1.6*1.6*2.2*2.715*2.6*1.4*1.4*1.5*1.5*3.2,60500000000*(1.654288^(MIN($E641,123)-117)))*1,0))</f>
        <v>273897919220</v>
      </c>
    </row>
    <row r="642" ht="27.75" customHeight="1" spans="1:34" x14ac:dyDescent="0.25">
      <c r="A642" s="3">
        <v>652</v>
      </c>
      <c r="B642" s="3" t="s">
        <v>36</v>
      </c>
      <c r="C642" s="3" t="s">
        <v>641</v>
      </c>
      <c r="D642" s="3" t="s">
        <v>40</v>
      </c>
      <c r="E642" s="3">
        <v>120</v>
      </c>
      <c r="F642" s="3" t="s">
        <v>37</v>
      </c>
      <c r="G642" s="3" t="s">
        <v>37</v>
      </c>
      <c r="H642" s="3">
        <v>30</v>
      </c>
      <c r="I642" s="4">
        <v>120</v>
      </c>
      <c r="J642" s="5">
        <v>1660000</v>
      </c>
      <c r="K642" s="6">
        <f>$E642+1</f>
        <v>121</v>
      </c>
      <c r="L642" s="7">
        <f>IF($J642=0,0,ROUND(MAX($J642*1.4,1620000*(1.497923^(MIN($E642,123)-117)))*1,0))</f>
        <v>5444819</v>
      </c>
      <c r="M642" s="4">
        <f>$E642+2</f>
        <v>122</v>
      </c>
      <c r="N642" s="8">
        <f>IF($J642=0,0,ROUND(MAX($J642*1.4*1.5,2190000*(1.580994^(MIN($E642,123)-117)))*1,0))</f>
        <v>8654356</v>
      </c>
      <c r="O642" s="6">
        <f>$E642+4</f>
        <v>124</v>
      </c>
      <c r="P642" s="7">
        <f>IF($J642=0,0,ROUND(MAX($J642*1.4*1.5*1.6,3500000*(1.57975^(MIN($E642,123)-117)))*1,0))</f>
        <v>13798540</v>
      </c>
      <c r="Q642" s="4">
        <f>$E642+6</f>
        <v>126</v>
      </c>
      <c r="R642" s="8">
        <f>IF($J642=0,0,ROUND(MAX($J642*1.4*1.5*1.6*1.6,13100000*(1.429962^(MIN($E642,123)-117)))*1,0))</f>
        <v>38304058</v>
      </c>
      <c r="S642" s="6">
        <f>$E642+8</f>
        <v>128</v>
      </c>
      <c r="T642" s="7">
        <f>IF($J642=0,0,ROUND(MAX($J642*1.4*1.5*1.6*1.6*2.2,42600000*(1.576904^(MIN($E642,123)-117)))*1,0))</f>
        <v>167041878</v>
      </c>
      <c r="U642" s="4">
        <f>$E642+11</f>
        <v>131</v>
      </c>
      <c r="V642" s="8">
        <f>IF($J642=0,0,ROUND(MAX($J642*1.4*1.5*1.6*1.6*2.2*2.715,354000000*(1.642074^(MIN($E642,123)-117)))*1,0))</f>
        <v>1567405752</v>
      </c>
      <c r="W642" s="6">
        <f>$E642+15</f>
        <v>135</v>
      </c>
      <c r="X642" s="7">
        <f>IF($J642=0,0,ROUND(MAX($J642*1.4*1.5*1.6*1.6*2.2*2.715*2.6,3540000000*(1.579646^(MIN($E642,123)-117)))*1,0))</f>
        <v>13953481417</v>
      </c>
      <c r="Y642" s="4">
        <f>$E642+17</f>
        <v>137</v>
      </c>
      <c r="Z642" s="8">
        <f>IF($J642=0,0,ROUND(MAX($J642*1.4*1.5*1.6*1.6*2.2*2.715*2.6*1.4,6020000000*(1.651178^(MIN($E642,123)-117)))*1,0))</f>
        <v>27100554178</v>
      </c>
      <c r="AA642" s="6">
        <f>$E642+19</f>
        <v>139</v>
      </c>
      <c r="AB642" s="7">
        <f>IF($J642=0,0,ROUND(MAX($J642*1.4*1.5*1.6*1.6*2.2*2.715*2.6*1.4*1.4,8430000000*(1.651435^(MIN($E642,123)-117)))*1,0))</f>
        <v>37967502359</v>
      </c>
      <c r="AC642" s="4">
        <f>$E642+21</f>
        <v>141</v>
      </c>
      <c r="AD642" s="8">
        <f>IF($J642=0,0,ROUND(MAX($J642*1.4*1.5*1.6*1.6*2.2*2.715*2.6*1.4*1.4*1.5,12600000000*(1.652953^(MIN($E642,123)-117)))*1,0))</f>
        <v>56905213910</v>
      </c>
      <c r="AE642" s="6">
        <f>$E642+24</f>
        <v>144</v>
      </c>
      <c r="AF642" s="7">
        <f>IF($J642=0,0,ROUND(MAX($J642*1.4*1.5*1.6*1.6*2.2*2.715*2.6*1.4*1.4*1.5*1.5,18900000000*(1.65331^(MIN($E642,123)-117)))*1,0))</f>
        <v>85413138816</v>
      </c>
      <c r="AG642" s="4">
        <f>$E642+27</f>
        <v>147</v>
      </c>
      <c r="AH642" s="8">
        <f>IF($J642=0,0,ROUND(MAX($J642*1.4*1.5*1.6*1.6*2.2*2.715*2.6*1.4*1.4*1.5*1.5*3.2,60500000000*(1.654288^(MIN($E642,123)-117)))*1,0))</f>
        <v>273897919220</v>
      </c>
    </row>
    <row r="643" ht="27.75" customHeight="1" spans="1:34" x14ac:dyDescent="0.25">
      <c r="A643" s="3">
        <v>653</v>
      </c>
      <c r="B643" s="3" t="s">
        <v>114</v>
      </c>
      <c r="C643" s="3" t="s">
        <v>641</v>
      </c>
      <c r="D643" s="3" t="s">
        <v>75</v>
      </c>
      <c r="E643" s="3">
        <v>120</v>
      </c>
      <c r="F643" s="3" t="s">
        <v>30</v>
      </c>
      <c r="G643" s="3" t="s">
        <v>30</v>
      </c>
      <c r="H643" s="3">
        <v>31</v>
      </c>
      <c r="I643" s="4">
        <v>120</v>
      </c>
      <c r="J643" s="5">
        <v>1690000</v>
      </c>
      <c r="K643" s="6">
        <f>$E643+1</f>
        <v>121</v>
      </c>
      <c r="L643" s="7">
        <f>IF($J643=0,0,ROUND(MAX($J643*1.4,1620000*(1.497923^(MIN($E643,123)-117)))*1,0))</f>
        <v>5444819</v>
      </c>
      <c r="M643" s="4">
        <f>$E643+2</f>
        <v>122</v>
      </c>
      <c r="N643" s="8">
        <f>IF($J643=0,0,ROUND(MAX($J643*1.4*1.5,2190000*(1.580994^(MIN($E643,123)-117)))*1,0))</f>
        <v>8654356</v>
      </c>
      <c r="O643" s="6">
        <f>$E643+4</f>
        <v>124</v>
      </c>
      <c r="P643" s="7">
        <f>IF($J643=0,0,ROUND(MAX($J643*1.4*1.5*1.6,3500000*(1.57975^(MIN($E643,123)-117)))*1,0))</f>
        <v>13798540</v>
      </c>
      <c r="Q643" s="4">
        <f>$E643+6</f>
        <v>126</v>
      </c>
      <c r="R643" s="8">
        <f>IF($J643=0,0,ROUND(MAX($J643*1.4*1.5*1.6*1.6,13100000*(1.429962^(MIN($E643,123)-117)))*1,0))</f>
        <v>38304058</v>
      </c>
      <c r="S643" s="6">
        <f>$E643+8</f>
        <v>128</v>
      </c>
      <c r="T643" s="7">
        <f>IF($J643=0,0,ROUND(MAX($J643*1.4*1.5*1.6*1.6*2.2,42600000*(1.576904^(MIN($E643,123)-117)))*1,0))</f>
        <v>167041878</v>
      </c>
      <c r="U643" s="4">
        <f>$E643+11</f>
        <v>131</v>
      </c>
      <c r="V643" s="8">
        <f>IF($J643=0,0,ROUND(MAX($J643*1.4*1.5*1.6*1.6*2.2*2.715,354000000*(1.642074^(MIN($E643,123)-117)))*1,0))</f>
        <v>1567405752</v>
      </c>
      <c r="W643" s="6">
        <f>$E643+15</f>
        <v>135</v>
      </c>
      <c r="X643" s="7">
        <f>IF($J643=0,0,ROUND(MAX($J643*1.4*1.5*1.6*1.6*2.2*2.715*2.6,3540000000*(1.579646^(MIN($E643,123)-117)))*1,0))</f>
        <v>13953481417</v>
      </c>
      <c r="Y643" s="4">
        <f>$E643+17</f>
        <v>137</v>
      </c>
      <c r="Z643" s="8">
        <f>IF($J643=0,0,ROUND(MAX($J643*1.4*1.5*1.6*1.6*2.2*2.715*2.6*1.4,6020000000*(1.651178^(MIN($E643,123)-117)))*1,0))</f>
        <v>27100554178</v>
      </c>
      <c r="AA643" s="6">
        <f>$E643+19</f>
        <v>139</v>
      </c>
      <c r="AB643" s="7">
        <f>IF($J643=0,0,ROUND(MAX($J643*1.4*1.5*1.6*1.6*2.2*2.715*2.6*1.4*1.4,8430000000*(1.651435^(MIN($E643,123)-117)))*1,0))</f>
        <v>37967502359</v>
      </c>
      <c r="AC643" s="4">
        <f>$E643+21</f>
        <v>141</v>
      </c>
      <c r="AD643" s="8">
        <f>IF($J643=0,0,ROUND(MAX($J643*1.4*1.5*1.6*1.6*2.2*2.715*2.6*1.4*1.4*1.5,12600000000*(1.652953^(MIN($E643,123)-117)))*1,0))</f>
        <v>56905213910</v>
      </c>
      <c r="AE643" s="6">
        <f>$E643+24</f>
        <v>144</v>
      </c>
      <c r="AF643" s="7">
        <f>IF($J643=0,0,ROUND(MAX($J643*1.4*1.5*1.6*1.6*2.2*2.715*2.6*1.4*1.4*1.5*1.5,18900000000*(1.65331^(MIN($E643,123)-117)))*1,0))</f>
        <v>85413138816</v>
      </c>
      <c r="AG643" s="4">
        <f>$E643+27</f>
        <v>147</v>
      </c>
      <c r="AH643" s="8">
        <f>IF($J643=0,0,ROUND(MAX($J643*1.4*1.5*1.6*1.6*2.2*2.715*2.6*1.4*1.4*1.5*1.5*3.2,60500000000*(1.654288^(MIN($E643,123)-117)))*1,0))</f>
        <v>273897919220</v>
      </c>
    </row>
    <row r="644" ht="27.75" customHeight="1" spans="1:34" x14ac:dyDescent="0.25">
      <c r="A644" s="3">
        <v>654</v>
      </c>
      <c r="B644" s="3" t="s">
        <v>176</v>
      </c>
      <c r="C644" s="3" t="s">
        <v>641</v>
      </c>
      <c r="D644" s="3" t="s">
        <v>33</v>
      </c>
      <c r="E644" s="3">
        <v>120</v>
      </c>
      <c r="F644" s="3" t="s">
        <v>54</v>
      </c>
      <c r="G644" s="3" t="s">
        <v>54</v>
      </c>
      <c r="H644" s="3">
        <v>31</v>
      </c>
      <c r="I644" s="4">
        <v>120</v>
      </c>
      <c r="J644" s="5">
        <v>1650000</v>
      </c>
      <c r="K644" s="6">
        <f>$E644+1</f>
        <v>121</v>
      </c>
      <c r="L644" s="7">
        <f>IF($J644=0,0,ROUND(MAX($J644*1.4,1620000*(1.497923^(MIN($E644,123)-117)))*1,0))</f>
        <v>5444819</v>
      </c>
      <c r="M644" s="4">
        <f>$E644+2</f>
        <v>122</v>
      </c>
      <c r="N644" s="8">
        <f>IF($J644=0,0,ROUND(MAX($J644*1.4*1.5,2190000*(1.580994^(MIN($E644,123)-117)))*1,0))</f>
        <v>8654356</v>
      </c>
      <c r="O644" s="6">
        <f>$E644+4</f>
        <v>124</v>
      </c>
      <c r="P644" s="7">
        <f>IF($J644=0,0,ROUND(MAX($J644*1.4*1.5*1.6,3500000*(1.57975^(MIN($E644,123)-117)))*1,0))</f>
        <v>13798540</v>
      </c>
      <c r="Q644" s="4">
        <f>$E644+6</f>
        <v>126</v>
      </c>
      <c r="R644" s="8">
        <f>IF($J644=0,0,ROUND(MAX($J644*1.4*1.5*1.6*1.6,13100000*(1.429962^(MIN($E644,123)-117)))*1,0))</f>
        <v>38304058</v>
      </c>
      <c r="S644" s="6">
        <f>$E644+8</f>
        <v>128</v>
      </c>
      <c r="T644" s="7">
        <f>IF($J644=0,0,ROUND(MAX($J644*1.4*1.5*1.6*1.6*2.2,42600000*(1.576904^(MIN($E644,123)-117)))*1,0))</f>
        <v>167041878</v>
      </c>
      <c r="U644" s="4">
        <f>$E644+11</f>
        <v>131</v>
      </c>
      <c r="V644" s="8">
        <f>IF($J644=0,0,ROUND(MAX($J644*1.4*1.5*1.6*1.6*2.2*2.715,354000000*(1.642074^(MIN($E644,123)-117)))*1,0))</f>
        <v>1567405752</v>
      </c>
      <c r="W644" s="6">
        <f>$E644+15</f>
        <v>135</v>
      </c>
      <c r="X644" s="7">
        <f>IF($J644=0,0,ROUND(MAX($J644*1.4*1.5*1.6*1.6*2.2*2.715*2.6,3540000000*(1.579646^(MIN($E644,123)-117)))*1,0))</f>
        <v>13953481417</v>
      </c>
      <c r="Y644" s="4">
        <f>$E644+17</f>
        <v>137</v>
      </c>
      <c r="Z644" s="8">
        <f>IF($J644=0,0,ROUND(MAX($J644*1.4*1.5*1.6*1.6*2.2*2.715*2.6*1.4,6020000000*(1.651178^(MIN($E644,123)-117)))*1,0))</f>
        <v>27100554178</v>
      </c>
      <c r="AA644" s="6">
        <f>$E644+19</f>
        <v>139</v>
      </c>
      <c r="AB644" s="7">
        <f>IF($J644=0,0,ROUND(MAX($J644*1.4*1.5*1.6*1.6*2.2*2.715*2.6*1.4*1.4,8430000000*(1.651435^(MIN($E644,123)-117)))*1,0))</f>
        <v>37967502359</v>
      </c>
      <c r="AC644" s="4">
        <f>$E644+21</f>
        <v>141</v>
      </c>
      <c r="AD644" s="8">
        <f>IF($J644=0,0,ROUND(MAX($J644*1.4*1.5*1.6*1.6*2.2*2.715*2.6*1.4*1.4*1.5,12600000000*(1.652953^(MIN($E644,123)-117)))*1,0))</f>
        <v>56905213910</v>
      </c>
      <c r="AE644" s="6">
        <f>$E644+24</f>
        <v>144</v>
      </c>
      <c r="AF644" s="7">
        <f>IF($J644=0,0,ROUND(MAX($J644*1.4*1.5*1.6*1.6*2.2*2.715*2.6*1.4*1.4*1.5*1.5,18900000000*(1.65331^(MIN($E644,123)-117)))*1,0))</f>
        <v>85413138816</v>
      </c>
      <c r="AG644" s="4">
        <f>$E644+27</f>
        <v>147</v>
      </c>
      <c r="AH644" s="8">
        <f>IF($J644=0,0,ROUND(MAX($J644*1.4*1.5*1.6*1.6*2.2*2.715*2.6*1.4*1.4*1.5*1.5*3.2,60500000000*(1.654288^(MIN($E644,123)-117)))*1,0))</f>
        <v>273897919220</v>
      </c>
    </row>
    <row r="645" ht="27.75" customHeight="1" spans="1:34" x14ac:dyDescent="0.25">
      <c r="A645" s="3">
        <v>655</v>
      </c>
      <c r="B645" s="3" t="s">
        <v>651</v>
      </c>
      <c r="C645" s="3" t="s">
        <v>641</v>
      </c>
      <c r="D645" s="3" t="s">
        <v>40</v>
      </c>
      <c r="E645" s="3">
        <v>120</v>
      </c>
      <c r="F645" s="3" t="s">
        <v>71</v>
      </c>
      <c r="G645" s="3" t="s">
        <v>71</v>
      </c>
      <c r="H645" s="3">
        <v>31</v>
      </c>
      <c r="I645" s="4">
        <v>120</v>
      </c>
      <c r="J645" s="5">
        <v>1650000</v>
      </c>
      <c r="K645" s="6">
        <f>$E645+1</f>
        <v>121</v>
      </c>
      <c r="L645" s="7">
        <f>IF($J645=0,0,ROUND(MAX($J645*1.4,1620000*(1.497923^(MIN($E645,123)-117)))*1,0))</f>
        <v>5444819</v>
      </c>
      <c r="M645" s="4">
        <f>$E645+2</f>
        <v>122</v>
      </c>
      <c r="N645" s="8">
        <f>IF($J645=0,0,ROUND(MAX($J645*1.4*1.5,2190000*(1.580994^(MIN($E645,123)-117)))*1,0))</f>
        <v>8654356</v>
      </c>
      <c r="O645" s="6">
        <f>$E645+4</f>
        <v>124</v>
      </c>
      <c r="P645" s="7">
        <f>IF($J645=0,0,ROUND(MAX($J645*1.4*1.5*1.6,3500000*(1.57975^(MIN($E645,123)-117)))*1,0))</f>
        <v>13798540</v>
      </c>
      <c r="Q645" s="4">
        <f>$E645+6</f>
        <v>126</v>
      </c>
      <c r="R645" s="8">
        <f>IF($J645=0,0,ROUND(MAX($J645*1.4*1.5*1.6*1.6,13100000*(1.429962^(MIN($E645,123)-117)))*1,0))</f>
        <v>38304058</v>
      </c>
      <c r="S645" s="6">
        <f>$E645+8</f>
        <v>128</v>
      </c>
      <c r="T645" s="7">
        <f>IF($J645=0,0,ROUND(MAX($J645*1.4*1.5*1.6*1.6*2.2,42600000*(1.576904^(MIN($E645,123)-117)))*1,0))</f>
        <v>167041878</v>
      </c>
      <c r="U645" s="4">
        <f>$E645+11</f>
        <v>131</v>
      </c>
      <c r="V645" s="8">
        <f>IF($J645=0,0,ROUND(MAX($J645*1.4*1.5*1.6*1.6*2.2*2.715,354000000*(1.642074^(MIN($E645,123)-117)))*1,0))</f>
        <v>1567405752</v>
      </c>
      <c r="W645" s="6">
        <f>$E645+15</f>
        <v>135</v>
      </c>
      <c r="X645" s="7">
        <f>IF($J645=0,0,ROUND(MAX($J645*1.4*1.5*1.6*1.6*2.2*2.715*2.6,3540000000*(1.579646^(MIN($E645,123)-117)))*1,0))</f>
        <v>13953481417</v>
      </c>
      <c r="Y645" s="4">
        <f>$E645+17</f>
        <v>137</v>
      </c>
      <c r="Z645" s="8">
        <f>IF($J645=0,0,ROUND(MAX($J645*1.4*1.5*1.6*1.6*2.2*2.715*2.6*1.4,6020000000*(1.651178^(MIN($E645,123)-117)))*1,0))</f>
        <v>27100554178</v>
      </c>
      <c r="AA645" s="6">
        <f>$E645+19</f>
        <v>139</v>
      </c>
      <c r="AB645" s="7">
        <f>IF($J645=0,0,ROUND(MAX($J645*1.4*1.5*1.6*1.6*2.2*2.715*2.6*1.4*1.4,8430000000*(1.651435^(MIN($E645,123)-117)))*1,0))</f>
        <v>37967502359</v>
      </c>
      <c r="AC645" s="4">
        <f>$E645+21</f>
        <v>141</v>
      </c>
      <c r="AD645" s="8">
        <f>IF($J645=0,0,ROUND(MAX($J645*1.4*1.5*1.6*1.6*2.2*2.715*2.6*1.4*1.4*1.5,12600000000*(1.652953^(MIN($E645,123)-117)))*1,0))</f>
        <v>56905213910</v>
      </c>
      <c r="AE645" s="6">
        <f>$E645+24</f>
        <v>144</v>
      </c>
      <c r="AF645" s="7">
        <f>IF($J645=0,0,ROUND(MAX($J645*1.4*1.5*1.6*1.6*2.2*2.715*2.6*1.4*1.4*1.5*1.5,18900000000*(1.65331^(MIN($E645,123)-117)))*1,0))</f>
        <v>85413138816</v>
      </c>
      <c r="AG645" s="4">
        <f>$E645+27</f>
        <v>147</v>
      </c>
      <c r="AH645" s="8">
        <f>IF($J645=0,0,ROUND(MAX($J645*1.4*1.5*1.6*1.6*2.2*2.715*2.6*1.4*1.4*1.5*1.5*3.2,60500000000*(1.654288^(MIN($E645,123)-117)))*1,0))</f>
        <v>273897919220</v>
      </c>
    </row>
    <row r="646" ht="27.75" customHeight="1" spans="1:34" x14ac:dyDescent="0.25">
      <c r="A646" s="3">
        <v>656</v>
      </c>
      <c r="B646" s="3" t="s">
        <v>84</v>
      </c>
      <c r="C646" s="3" t="s">
        <v>641</v>
      </c>
      <c r="D646" s="3" t="s">
        <v>45</v>
      </c>
      <c r="E646" s="3">
        <v>120</v>
      </c>
      <c r="F646" s="3" t="s">
        <v>62</v>
      </c>
      <c r="G646" s="3" t="s">
        <v>62</v>
      </c>
      <c r="H646" s="3">
        <v>31</v>
      </c>
      <c r="I646" s="4">
        <v>120</v>
      </c>
      <c r="J646" s="5">
        <v>1660000</v>
      </c>
      <c r="K646" s="6">
        <f>$E646+1</f>
        <v>121</v>
      </c>
      <c r="L646" s="7">
        <f>IF($J646=0,0,ROUND(MAX($J646*1.4,1620000*(1.497923^(MIN($E646,123)-117)))*1,0))</f>
        <v>5444819</v>
      </c>
      <c r="M646" s="4">
        <f>$E646+2</f>
        <v>122</v>
      </c>
      <c r="N646" s="8">
        <f>IF($J646=0,0,ROUND(MAX($J646*1.4*1.5,2190000*(1.580994^(MIN($E646,123)-117)))*1,0))</f>
        <v>8654356</v>
      </c>
      <c r="O646" s="6">
        <f>$E646+4</f>
        <v>124</v>
      </c>
      <c r="P646" s="7">
        <f>IF($J646=0,0,ROUND(MAX($J646*1.4*1.5*1.6,3500000*(1.57975^(MIN($E646,123)-117)))*1,0))</f>
        <v>13798540</v>
      </c>
      <c r="Q646" s="4">
        <f>$E646+6</f>
        <v>126</v>
      </c>
      <c r="R646" s="8">
        <f>IF($J646=0,0,ROUND(MAX($J646*1.4*1.5*1.6*1.6,13100000*(1.429962^(MIN($E646,123)-117)))*1,0))</f>
        <v>38304058</v>
      </c>
      <c r="S646" s="6">
        <f>$E646+8</f>
        <v>128</v>
      </c>
      <c r="T646" s="7">
        <f>IF($J646=0,0,ROUND(MAX($J646*1.4*1.5*1.6*1.6*2.2,42600000*(1.576904^(MIN($E646,123)-117)))*1,0))</f>
        <v>167041878</v>
      </c>
      <c r="U646" s="4">
        <f>$E646+11</f>
        <v>131</v>
      </c>
      <c r="V646" s="8">
        <f>IF($J646=0,0,ROUND(MAX($J646*1.4*1.5*1.6*1.6*2.2*2.715,354000000*(1.642074^(MIN($E646,123)-117)))*1,0))</f>
        <v>1567405752</v>
      </c>
      <c r="W646" s="6">
        <f>$E646+15</f>
        <v>135</v>
      </c>
      <c r="X646" s="7">
        <f>IF($J646=0,0,ROUND(MAX($J646*1.4*1.5*1.6*1.6*2.2*2.715*2.6,3540000000*(1.579646^(MIN($E646,123)-117)))*1,0))</f>
        <v>13953481417</v>
      </c>
      <c r="Y646" s="4">
        <f>$E646+17</f>
        <v>137</v>
      </c>
      <c r="Z646" s="8">
        <f>IF($J646=0,0,ROUND(MAX($J646*1.4*1.5*1.6*1.6*2.2*2.715*2.6*1.4,6020000000*(1.651178^(MIN($E646,123)-117)))*1,0))</f>
        <v>27100554178</v>
      </c>
      <c r="AA646" s="6">
        <f>$E646+19</f>
        <v>139</v>
      </c>
      <c r="AB646" s="7">
        <f>IF($J646=0,0,ROUND(MAX($J646*1.4*1.5*1.6*1.6*2.2*2.715*2.6*1.4*1.4,8430000000*(1.651435^(MIN($E646,123)-117)))*1,0))</f>
        <v>37967502359</v>
      </c>
      <c r="AC646" s="4">
        <f>$E646+21</f>
        <v>141</v>
      </c>
      <c r="AD646" s="8">
        <f>IF($J646=0,0,ROUND(MAX($J646*1.4*1.5*1.6*1.6*2.2*2.715*2.6*1.4*1.4*1.5,12600000000*(1.652953^(MIN($E646,123)-117)))*1,0))</f>
        <v>56905213910</v>
      </c>
      <c r="AE646" s="6">
        <f>$E646+24</f>
        <v>144</v>
      </c>
      <c r="AF646" s="7">
        <f>IF($J646=0,0,ROUND(MAX($J646*1.4*1.5*1.6*1.6*2.2*2.715*2.6*1.4*1.4*1.5*1.5,18900000000*(1.65331^(MIN($E646,123)-117)))*1,0))</f>
        <v>85413138816</v>
      </c>
      <c r="AG646" s="4">
        <f>$E646+27</f>
        <v>147</v>
      </c>
      <c r="AH646" s="8">
        <f>IF($J646=0,0,ROUND(MAX($J646*1.4*1.5*1.6*1.6*2.2*2.715*2.6*1.4*1.4*1.5*1.5*3.2,60500000000*(1.654288^(MIN($E646,123)-117)))*1,0))</f>
        <v>273897919220</v>
      </c>
    </row>
    <row r="647" ht="27.75" customHeight="1" spans="1:34" x14ac:dyDescent="0.25">
      <c r="A647" s="3">
        <v>657</v>
      </c>
      <c r="B647" s="3" t="s">
        <v>151</v>
      </c>
      <c r="C647" s="3" t="s">
        <v>641</v>
      </c>
      <c r="D647" s="3" t="s">
        <v>40</v>
      </c>
      <c r="E647" s="3">
        <v>120</v>
      </c>
      <c r="F647" s="3" t="s">
        <v>42</v>
      </c>
      <c r="G647" s="3" t="s">
        <v>42</v>
      </c>
      <c r="H647" s="3">
        <v>31</v>
      </c>
      <c r="I647" s="4">
        <v>120</v>
      </c>
      <c r="J647" s="5">
        <v>1660000</v>
      </c>
      <c r="K647" s="6">
        <f>$E647+1</f>
        <v>121</v>
      </c>
      <c r="L647" s="7">
        <f>IF($J647=0,0,ROUND(MAX($J647*1.4,1620000*(1.497923^(MIN($E647,123)-117)))*1,0))</f>
        <v>5444819</v>
      </c>
      <c r="M647" s="4">
        <f>$E647+2</f>
        <v>122</v>
      </c>
      <c r="N647" s="8">
        <f>IF($J647=0,0,ROUND(MAX($J647*1.4*1.5,2190000*(1.580994^(MIN($E647,123)-117)))*1,0))</f>
        <v>8654356</v>
      </c>
      <c r="O647" s="6">
        <f>$E647+4</f>
        <v>124</v>
      </c>
      <c r="P647" s="7">
        <f>IF($J647=0,0,ROUND(MAX($J647*1.4*1.5*1.6,3500000*(1.57975^(MIN($E647,123)-117)))*1,0))</f>
        <v>13798540</v>
      </c>
      <c r="Q647" s="4">
        <f>$E647+6</f>
        <v>126</v>
      </c>
      <c r="R647" s="8">
        <f>IF($J647=0,0,ROUND(MAX($J647*1.4*1.5*1.6*1.6,13100000*(1.429962^(MIN($E647,123)-117)))*1,0))</f>
        <v>38304058</v>
      </c>
      <c r="S647" s="6">
        <f>$E647+8</f>
        <v>128</v>
      </c>
      <c r="T647" s="7">
        <f>IF($J647=0,0,ROUND(MAX($J647*1.4*1.5*1.6*1.6*2.2,42600000*(1.576904^(MIN($E647,123)-117)))*1,0))</f>
        <v>167041878</v>
      </c>
      <c r="U647" s="4">
        <f>$E647+11</f>
        <v>131</v>
      </c>
      <c r="V647" s="8">
        <f>IF($J647=0,0,ROUND(MAX($J647*1.4*1.5*1.6*1.6*2.2*2.715,354000000*(1.642074^(MIN($E647,123)-117)))*1,0))</f>
        <v>1567405752</v>
      </c>
      <c r="W647" s="6">
        <f>$E647+15</f>
        <v>135</v>
      </c>
      <c r="X647" s="7">
        <f>IF($J647=0,0,ROUND(MAX($J647*1.4*1.5*1.6*1.6*2.2*2.715*2.6,3540000000*(1.579646^(MIN($E647,123)-117)))*1,0))</f>
        <v>13953481417</v>
      </c>
      <c r="Y647" s="4">
        <f>$E647+17</f>
        <v>137</v>
      </c>
      <c r="Z647" s="8">
        <f>IF($J647=0,0,ROUND(MAX($J647*1.4*1.5*1.6*1.6*2.2*2.715*2.6*1.4,6020000000*(1.651178^(MIN($E647,123)-117)))*1,0))</f>
        <v>27100554178</v>
      </c>
      <c r="AA647" s="6">
        <f>$E647+19</f>
        <v>139</v>
      </c>
      <c r="AB647" s="7">
        <f>IF($J647=0,0,ROUND(MAX($J647*1.4*1.5*1.6*1.6*2.2*2.715*2.6*1.4*1.4,8430000000*(1.651435^(MIN($E647,123)-117)))*1,0))</f>
        <v>37967502359</v>
      </c>
      <c r="AC647" s="4">
        <f>$E647+21</f>
        <v>141</v>
      </c>
      <c r="AD647" s="8">
        <f>IF($J647=0,0,ROUND(MAX($J647*1.4*1.5*1.6*1.6*2.2*2.715*2.6*1.4*1.4*1.5,12600000000*(1.652953^(MIN($E647,123)-117)))*1,0))</f>
        <v>56905213910</v>
      </c>
      <c r="AE647" s="6">
        <f>$E647+24</f>
        <v>144</v>
      </c>
      <c r="AF647" s="7">
        <f>IF($J647=0,0,ROUND(MAX($J647*1.4*1.5*1.6*1.6*2.2*2.715*2.6*1.4*1.4*1.5*1.5,18900000000*(1.65331^(MIN($E647,123)-117)))*1,0))</f>
        <v>85413138816</v>
      </c>
      <c r="AG647" s="4">
        <f>$E647+27</f>
        <v>147</v>
      </c>
      <c r="AH647" s="8">
        <f>IF($J647=0,0,ROUND(MAX($J647*1.4*1.5*1.6*1.6*2.2*2.715*2.6*1.4*1.4*1.5*1.5*3.2,60500000000*(1.654288^(MIN($E647,123)-117)))*1,0))</f>
        <v>273897919220</v>
      </c>
    </row>
    <row r="648" ht="27.75" customHeight="1" spans="1:34" x14ac:dyDescent="0.25">
      <c r="A648" s="3">
        <v>658</v>
      </c>
      <c r="B648" s="3" t="s">
        <v>127</v>
      </c>
      <c r="C648" s="3" t="s">
        <v>641</v>
      </c>
      <c r="D648" s="3" t="s">
        <v>33</v>
      </c>
      <c r="E648" s="3">
        <v>120</v>
      </c>
      <c r="F648" s="3" t="s">
        <v>71</v>
      </c>
      <c r="G648" s="3" t="s">
        <v>71</v>
      </c>
      <c r="H648" s="3">
        <v>31</v>
      </c>
      <c r="I648" s="4">
        <v>120</v>
      </c>
      <c r="J648" s="5">
        <v>1660000</v>
      </c>
      <c r="K648" s="6">
        <f>$E648+1</f>
        <v>121</v>
      </c>
      <c r="L648" s="7">
        <f>IF($J648=0,0,ROUND(MAX($J648*1.4,1620000*(1.497923^(MIN($E648,123)-117)))*1,0))</f>
        <v>5444819</v>
      </c>
      <c r="M648" s="4">
        <f>$E648+2</f>
        <v>122</v>
      </c>
      <c r="N648" s="8">
        <f>IF($J648=0,0,ROUND(MAX($J648*1.4*1.5,2190000*(1.580994^(MIN($E648,123)-117)))*1,0))</f>
        <v>8654356</v>
      </c>
      <c r="O648" s="6">
        <f>$E648+4</f>
        <v>124</v>
      </c>
      <c r="P648" s="7">
        <f>IF($J648=0,0,ROUND(MAX($J648*1.4*1.5*1.6,3500000*(1.57975^(MIN($E648,123)-117)))*1,0))</f>
        <v>13798540</v>
      </c>
      <c r="Q648" s="4">
        <f>$E648+6</f>
        <v>126</v>
      </c>
      <c r="R648" s="8">
        <f>IF($J648=0,0,ROUND(MAX($J648*1.4*1.5*1.6*1.6,13100000*(1.429962^(MIN($E648,123)-117)))*1,0))</f>
        <v>38304058</v>
      </c>
      <c r="S648" s="6">
        <f>$E648+8</f>
        <v>128</v>
      </c>
      <c r="T648" s="7">
        <f>IF($J648=0,0,ROUND(MAX($J648*1.4*1.5*1.6*1.6*2.2,42600000*(1.576904^(MIN($E648,123)-117)))*1,0))</f>
        <v>167041878</v>
      </c>
      <c r="U648" s="4">
        <f>$E648+11</f>
        <v>131</v>
      </c>
      <c r="V648" s="8">
        <f>IF($J648=0,0,ROUND(MAX($J648*1.4*1.5*1.6*1.6*2.2*2.715,354000000*(1.642074^(MIN($E648,123)-117)))*1,0))</f>
        <v>1567405752</v>
      </c>
      <c r="W648" s="6">
        <f>$E648+15</f>
        <v>135</v>
      </c>
      <c r="X648" s="7">
        <f>IF($J648=0,0,ROUND(MAX($J648*1.4*1.5*1.6*1.6*2.2*2.715*2.6,3540000000*(1.579646^(MIN($E648,123)-117)))*1,0))</f>
        <v>13953481417</v>
      </c>
      <c r="Y648" s="4">
        <f>$E648+17</f>
        <v>137</v>
      </c>
      <c r="Z648" s="8">
        <f>IF($J648=0,0,ROUND(MAX($J648*1.4*1.5*1.6*1.6*2.2*2.715*2.6*1.4,6020000000*(1.651178^(MIN($E648,123)-117)))*1,0))</f>
        <v>27100554178</v>
      </c>
      <c r="AA648" s="6">
        <f>$E648+19</f>
        <v>139</v>
      </c>
      <c r="AB648" s="7">
        <f>IF($J648=0,0,ROUND(MAX($J648*1.4*1.5*1.6*1.6*2.2*2.715*2.6*1.4*1.4,8430000000*(1.651435^(MIN($E648,123)-117)))*1,0))</f>
        <v>37967502359</v>
      </c>
      <c r="AC648" s="4">
        <f>$E648+21</f>
        <v>141</v>
      </c>
      <c r="AD648" s="8">
        <f>IF($J648=0,0,ROUND(MAX($J648*1.4*1.5*1.6*1.6*2.2*2.715*2.6*1.4*1.4*1.5,12600000000*(1.652953^(MIN($E648,123)-117)))*1,0))</f>
        <v>56905213910</v>
      </c>
      <c r="AE648" s="6">
        <f>$E648+24</f>
        <v>144</v>
      </c>
      <c r="AF648" s="7">
        <f>IF($J648=0,0,ROUND(MAX($J648*1.4*1.5*1.6*1.6*2.2*2.715*2.6*1.4*1.4*1.5*1.5,18900000000*(1.65331^(MIN($E648,123)-117)))*1,0))</f>
        <v>85413138816</v>
      </c>
      <c r="AG648" s="4">
        <f>$E648+27</f>
        <v>147</v>
      </c>
      <c r="AH648" s="8">
        <f>IF($J648=0,0,ROUND(MAX($J648*1.4*1.5*1.6*1.6*2.2*2.715*2.6*1.4*1.4*1.5*1.5*3.2,60500000000*(1.654288^(MIN($E648,123)-117)))*1,0))</f>
        <v>273897919220</v>
      </c>
    </row>
    <row r="649" ht="27.75" customHeight="1" spans="1:34" x14ac:dyDescent="0.25">
      <c r="A649" s="3">
        <v>659</v>
      </c>
      <c r="B649" s="3" t="s">
        <v>652</v>
      </c>
      <c r="C649" s="3" t="s">
        <v>641</v>
      </c>
      <c r="D649" s="3" t="s">
        <v>79</v>
      </c>
      <c r="E649" s="3">
        <v>120</v>
      </c>
      <c r="F649" s="3" t="s">
        <v>42</v>
      </c>
      <c r="G649" s="3" t="s">
        <v>42</v>
      </c>
      <c r="H649" s="3">
        <v>31</v>
      </c>
      <c r="I649" s="4">
        <v>120</v>
      </c>
      <c r="J649" s="5">
        <v>1650000</v>
      </c>
      <c r="K649" s="6">
        <f>$E649+1</f>
        <v>121</v>
      </c>
      <c r="L649" s="7">
        <f>IF($J649=0,0,ROUND(MAX($J649*1.4,1620000*(1.497923^(MIN($E649,123)-117)))*1,0))</f>
        <v>5444819</v>
      </c>
      <c r="M649" s="4">
        <f>$E649+2</f>
        <v>122</v>
      </c>
      <c r="N649" s="8">
        <f>IF($J649=0,0,ROUND(MAX($J649*1.4*1.5,2190000*(1.580994^(MIN($E649,123)-117)))*1,0))</f>
        <v>8654356</v>
      </c>
      <c r="O649" s="6">
        <f>$E649+4</f>
        <v>124</v>
      </c>
      <c r="P649" s="7">
        <f>IF($J649=0,0,ROUND(MAX($J649*1.4*1.5*1.6,3500000*(1.57975^(MIN($E649,123)-117)))*1,0))</f>
        <v>13798540</v>
      </c>
      <c r="Q649" s="4">
        <f>$E649+6</f>
        <v>126</v>
      </c>
      <c r="R649" s="8">
        <f>IF($J649=0,0,ROUND(MAX($J649*1.4*1.5*1.6*1.6,13100000*(1.429962^(MIN($E649,123)-117)))*1,0))</f>
        <v>38304058</v>
      </c>
      <c r="S649" s="6">
        <f>$E649+8</f>
        <v>128</v>
      </c>
      <c r="T649" s="7">
        <f>IF($J649=0,0,ROUND(MAX($J649*1.4*1.5*1.6*1.6*2.2,42600000*(1.576904^(MIN($E649,123)-117)))*1,0))</f>
        <v>167041878</v>
      </c>
      <c r="U649" s="4">
        <f>$E649+11</f>
        <v>131</v>
      </c>
      <c r="V649" s="8">
        <f>IF($J649=0,0,ROUND(MAX($J649*1.4*1.5*1.6*1.6*2.2*2.715,354000000*(1.642074^(MIN($E649,123)-117)))*1,0))</f>
        <v>1567405752</v>
      </c>
      <c r="W649" s="6">
        <f>$E649+15</f>
        <v>135</v>
      </c>
      <c r="X649" s="7">
        <f>IF($J649=0,0,ROUND(MAX($J649*1.4*1.5*1.6*1.6*2.2*2.715*2.6,3540000000*(1.579646^(MIN($E649,123)-117)))*1,0))</f>
        <v>13953481417</v>
      </c>
      <c r="Y649" s="4">
        <f>$E649+17</f>
        <v>137</v>
      </c>
      <c r="Z649" s="8">
        <f>IF($J649=0,0,ROUND(MAX($J649*1.4*1.5*1.6*1.6*2.2*2.715*2.6*1.4,6020000000*(1.651178^(MIN($E649,123)-117)))*1,0))</f>
        <v>27100554178</v>
      </c>
      <c r="AA649" s="6">
        <f>$E649+19</f>
        <v>139</v>
      </c>
      <c r="AB649" s="7">
        <f>IF($J649=0,0,ROUND(MAX($J649*1.4*1.5*1.6*1.6*2.2*2.715*2.6*1.4*1.4,8430000000*(1.651435^(MIN($E649,123)-117)))*1,0))</f>
        <v>37967502359</v>
      </c>
      <c r="AC649" s="4">
        <f>$E649+21</f>
        <v>141</v>
      </c>
      <c r="AD649" s="8">
        <f>IF($J649=0,0,ROUND(MAX($J649*1.4*1.5*1.6*1.6*2.2*2.715*2.6*1.4*1.4*1.5,12600000000*(1.652953^(MIN($E649,123)-117)))*1,0))</f>
        <v>56905213910</v>
      </c>
      <c r="AE649" s="6">
        <f>$E649+24</f>
        <v>144</v>
      </c>
      <c r="AF649" s="7">
        <f>IF($J649=0,0,ROUND(MAX($J649*1.4*1.5*1.6*1.6*2.2*2.715*2.6*1.4*1.4*1.5*1.5,18900000000*(1.65331^(MIN($E649,123)-117)))*1,0))</f>
        <v>85413138816</v>
      </c>
      <c r="AG649" s="4">
        <f>$E649+27</f>
        <v>147</v>
      </c>
      <c r="AH649" s="8">
        <f>IF($J649=0,0,ROUND(MAX($J649*1.4*1.5*1.6*1.6*2.2*2.715*2.6*1.4*1.4*1.5*1.5*3.2,60500000000*(1.654288^(MIN($E649,123)-117)))*1,0))</f>
        <v>273897919220</v>
      </c>
    </row>
    <row r="650" ht="27.75" customHeight="1" spans="1:34" x14ac:dyDescent="0.25">
      <c r="A650" s="3">
        <v>660</v>
      </c>
      <c r="B650" s="3" t="s">
        <v>78</v>
      </c>
      <c r="C650" s="3" t="s">
        <v>641</v>
      </c>
      <c r="D650" s="3" t="s">
        <v>25</v>
      </c>
      <c r="E650" s="3">
        <v>120</v>
      </c>
      <c r="F650" s="3" t="s">
        <v>30</v>
      </c>
      <c r="G650" s="3" t="s">
        <v>30</v>
      </c>
      <c r="H650" s="3">
        <v>31</v>
      </c>
      <c r="I650" s="4">
        <v>120</v>
      </c>
      <c r="J650" s="5">
        <v>1660000</v>
      </c>
      <c r="K650" s="6">
        <f>$E650+1</f>
        <v>121</v>
      </c>
      <c r="L650" s="7">
        <f>IF($J650=0,0,ROUND(MAX($J650*1.4,1620000*(1.497923^(MIN($E650,123)-117)))*1,0))</f>
        <v>5444819</v>
      </c>
      <c r="M650" s="4">
        <f>$E650+2</f>
        <v>122</v>
      </c>
      <c r="N650" s="8">
        <f>IF($J650=0,0,ROUND(MAX($J650*1.4*1.5,2190000*(1.580994^(MIN($E650,123)-117)))*1,0))</f>
        <v>8654356</v>
      </c>
      <c r="O650" s="6">
        <f>$E650+4</f>
        <v>124</v>
      </c>
      <c r="P650" s="7">
        <f>IF($J650=0,0,ROUND(MAX($J650*1.4*1.5*1.6,3500000*(1.57975^(MIN($E650,123)-117)))*1,0))</f>
        <v>13798540</v>
      </c>
      <c r="Q650" s="4">
        <f>$E650+6</f>
        <v>126</v>
      </c>
      <c r="R650" s="8">
        <f>IF($J650=0,0,ROUND(MAX($J650*1.4*1.5*1.6*1.6,13100000*(1.429962^(MIN($E650,123)-117)))*1,0))</f>
        <v>38304058</v>
      </c>
      <c r="S650" s="6">
        <f>$E650+8</f>
        <v>128</v>
      </c>
      <c r="T650" s="7">
        <f>IF($J650=0,0,ROUND(MAX($J650*1.4*1.5*1.6*1.6*2.2,42600000*(1.576904^(MIN($E650,123)-117)))*1,0))</f>
        <v>167041878</v>
      </c>
      <c r="U650" s="4">
        <f>$E650+11</f>
        <v>131</v>
      </c>
      <c r="V650" s="8">
        <f>IF($J650=0,0,ROUND(MAX($J650*1.4*1.5*1.6*1.6*2.2*2.715,354000000*(1.642074^(MIN($E650,123)-117)))*1,0))</f>
        <v>1567405752</v>
      </c>
      <c r="W650" s="6">
        <f>$E650+15</f>
        <v>135</v>
      </c>
      <c r="X650" s="7">
        <f>IF($J650=0,0,ROUND(MAX($J650*1.4*1.5*1.6*1.6*2.2*2.715*2.6,3540000000*(1.579646^(MIN($E650,123)-117)))*1,0))</f>
        <v>13953481417</v>
      </c>
      <c r="Y650" s="4">
        <f>$E650+17</f>
        <v>137</v>
      </c>
      <c r="Z650" s="8">
        <f>IF($J650=0,0,ROUND(MAX($J650*1.4*1.5*1.6*1.6*2.2*2.715*2.6*1.4,6020000000*(1.651178^(MIN($E650,123)-117)))*1,0))</f>
        <v>27100554178</v>
      </c>
      <c r="AA650" s="6">
        <f>$E650+19</f>
        <v>139</v>
      </c>
      <c r="AB650" s="7">
        <f>IF($J650=0,0,ROUND(MAX($J650*1.4*1.5*1.6*1.6*2.2*2.715*2.6*1.4*1.4,8430000000*(1.651435^(MIN($E650,123)-117)))*1,0))</f>
        <v>37967502359</v>
      </c>
      <c r="AC650" s="4">
        <f>$E650+21</f>
        <v>141</v>
      </c>
      <c r="AD650" s="8">
        <f>IF($J650=0,0,ROUND(MAX($J650*1.4*1.5*1.6*1.6*2.2*2.715*2.6*1.4*1.4*1.5,12600000000*(1.652953^(MIN($E650,123)-117)))*1,0))</f>
        <v>56905213910</v>
      </c>
      <c r="AE650" s="6">
        <f>$E650+24</f>
        <v>144</v>
      </c>
      <c r="AF650" s="7">
        <f>IF($J650=0,0,ROUND(MAX($J650*1.4*1.5*1.6*1.6*2.2*2.715*2.6*1.4*1.4*1.5*1.5,18900000000*(1.65331^(MIN($E650,123)-117)))*1,0))</f>
        <v>85413138816</v>
      </c>
      <c r="AG650" s="4">
        <f>$E650+27</f>
        <v>147</v>
      </c>
      <c r="AH650" s="8">
        <f>IF($J650=0,0,ROUND(MAX($J650*1.4*1.5*1.6*1.6*2.2*2.715*2.6*1.4*1.4*1.5*1.5*3.2,60500000000*(1.654288^(MIN($E650,123)-117)))*1,0))</f>
        <v>273897919220</v>
      </c>
    </row>
    <row r="651" ht="27.75" customHeight="1" spans="1:34" x14ac:dyDescent="0.25">
      <c r="A651" s="3">
        <v>661</v>
      </c>
      <c r="B651" s="3" t="s">
        <v>152</v>
      </c>
      <c r="C651" s="3" t="s">
        <v>641</v>
      </c>
      <c r="D651" s="3" t="s">
        <v>29</v>
      </c>
      <c r="E651" s="3">
        <v>120</v>
      </c>
      <c r="F651" s="3" t="s">
        <v>71</v>
      </c>
      <c r="G651" s="3" t="s">
        <v>71</v>
      </c>
      <c r="H651" s="3">
        <v>31</v>
      </c>
      <c r="I651" s="4">
        <v>120</v>
      </c>
      <c r="J651" s="5">
        <v>1660000</v>
      </c>
      <c r="K651" s="6">
        <f>$E651+1</f>
        <v>121</v>
      </c>
      <c r="L651" s="7">
        <f>IF($J651=0,0,ROUND(MAX($J651*1.4,1620000*(1.497923^(MIN($E651,123)-117)))*1,0))</f>
        <v>5444819</v>
      </c>
      <c r="M651" s="4">
        <f>$E651+2</f>
        <v>122</v>
      </c>
      <c r="N651" s="8">
        <f>IF($J651=0,0,ROUND(MAX($J651*1.4*1.5,2190000*(1.580994^(MIN($E651,123)-117)))*1,0))</f>
        <v>8654356</v>
      </c>
      <c r="O651" s="6">
        <f>$E651+4</f>
        <v>124</v>
      </c>
      <c r="P651" s="7">
        <f>IF($J651=0,0,ROUND(MAX($J651*1.4*1.5*1.6,3500000*(1.57975^(MIN($E651,123)-117)))*1,0))</f>
        <v>13798540</v>
      </c>
      <c r="Q651" s="4">
        <f>$E651+6</f>
        <v>126</v>
      </c>
      <c r="R651" s="8">
        <f>IF($J651=0,0,ROUND(MAX($J651*1.4*1.5*1.6*1.6,13100000*(1.429962^(MIN($E651,123)-117)))*1,0))</f>
        <v>38304058</v>
      </c>
      <c r="S651" s="6">
        <f>$E651+8</f>
        <v>128</v>
      </c>
      <c r="T651" s="7">
        <f>IF($J651=0,0,ROUND(MAX($J651*1.4*1.5*1.6*1.6*2.2,42600000*(1.576904^(MIN($E651,123)-117)))*1,0))</f>
        <v>167041878</v>
      </c>
      <c r="U651" s="4">
        <f>$E651+11</f>
        <v>131</v>
      </c>
      <c r="V651" s="8">
        <f>IF($J651=0,0,ROUND(MAX($J651*1.4*1.5*1.6*1.6*2.2*2.715,354000000*(1.642074^(MIN($E651,123)-117)))*1,0))</f>
        <v>1567405752</v>
      </c>
      <c r="W651" s="6">
        <f>$E651+15</f>
        <v>135</v>
      </c>
      <c r="X651" s="7">
        <f>IF($J651=0,0,ROUND(MAX($J651*1.4*1.5*1.6*1.6*2.2*2.715*2.6,3540000000*(1.579646^(MIN($E651,123)-117)))*1,0))</f>
        <v>13953481417</v>
      </c>
      <c r="Y651" s="4">
        <f>$E651+17</f>
        <v>137</v>
      </c>
      <c r="Z651" s="8">
        <f>IF($J651=0,0,ROUND(MAX($J651*1.4*1.5*1.6*1.6*2.2*2.715*2.6*1.4,6020000000*(1.651178^(MIN($E651,123)-117)))*1,0))</f>
        <v>27100554178</v>
      </c>
      <c r="AA651" s="6">
        <f>$E651+19</f>
        <v>139</v>
      </c>
      <c r="AB651" s="7">
        <f>IF($J651=0,0,ROUND(MAX($J651*1.4*1.5*1.6*1.6*2.2*2.715*2.6*1.4*1.4,8430000000*(1.651435^(MIN($E651,123)-117)))*1,0))</f>
        <v>37967502359</v>
      </c>
      <c r="AC651" s="4">
        <f>$E651+21</f>
        <v>141</v>
      </c>
      <c r="AD651" s="8">
        <f>IF($J651=0,0,ROUND(MAX($J651*1.4*1.5*1.6*1.6*2.2*2.715*2.6*1.4*1.4*1.5,12600000000*(1.652953^(MIN($E651,123)-117)))*1,0))</f>
        <v>56905213910</v>
      </c>
      <c r="AE651" s="6">
        <f>$E651+24</f>
        <v>144</v>
      </c>
      <c r="AF651" s="7">
        <f>IF($J651=0,0,ROUND(MAX($J651*1.4*1.5*1.6*1.6*2.2*2.715*2.6*1.4*1.4*1.5*1.5,18900000000*(1.65331^(MIN($E651,123)-117)))*1,0))</f>
        <v>85413138816</v>
      </c>
      <c r="AG651" s="4">
        <f>$E651+27</f>
        <v>147</v>
      </c>
      <c r="AH651" s="8">
        <f>IF($J651=0,0,ROUND(MAX($J651*1.4*1.5*1.6*1.6*2.2*2.715*2.6*1.4*1.4*1.5*1.5*3.2,60500000000*(1.654288^(MIN($E651,123)-117)))*1,0))</f>
        <v>273897919220</v>
      </c>
    </row>
    <row r="652" ht="27.75" customHeight="1" spans="1:34" x14ac:dyDescent="0.25">
      <c r="A652" s="3">
        <v>662</v>
      </c>
      <c r="B652" s="3" t="s">
        <v>653</v>
      </c>
      <c r="C652" s="3" t="s">
        <v>641</v>
      </c>
      <c r="D652" s="3" t="s">
        <v>40</v>
      </c>
      <c r="E652" s="3">
        <v>120</v>
      </c>
      <c r="F652" s="3" t="s">
        <v>34</v>
      </c>
      <c r="G652" s="3" t="s">
        <v>34</v>
      </c>
      <c r="H652" s="3">
        <v>31</v>
      </c>
      <c r="I652" s="4">
        <v>120</v>
      </c>
      <c r="J652" s="5">
        <v>1710000</v>
      </c>
      <c r="K652" s="6">
        <f>$E652+1</f>
        <v>121</v>
      </c>
      <c r="L652" s="7">
        <f>IF($J652=0,0,ROUND(MAX($J652*1.4,1620000*(1.497923^(MIN($E652,123)-117)))*1,0))</f>
        <v>5444819</v>
      </c>
      <c r="M652" s="4">
        <f>$E652+2</f>
        <v>122</v>
      </c>
      <c r="N652" s="8">
        <f>IF($J652=0,0,ROUND(MAX($J652*1.4*1.5,2190000*(1.580994^(MIN($E652,123)-117)))*1,0))</f>
        <v>8654356</v>
      </c>
      <c r="O652" s="6">
        <f>$E652+4</f>
        <v>124</v>
      </c>
      <c r="P652" s="7">
        <f>IF($J652=0,0,ROUND(MAX($J652*1.4*1.5*1.6,3500000*(1.57975^(MIN($E652,123)-117)))*1,0))</f>
        <v>13798540</v>
      </c>
      <c r="Q652" s="4">
        <f>$E652+6</f>
        <v>126</v>
      </c>
      <c r="R652" s="8">
        <f>IF($J652=0,0,ROUND(MAX($J652*1.4*1.5*1.6*1.6,13100000*(1.429962^(MIN($E652,123)-117)))*1,0))</f>
        <v>38304058</v>
      </c>
      <c r="S652" s="6">
        <f>$E652+8</f>
        <v>128</v>
      </c>
      <c r="T652" s="7">
        <f>IF($J652=0,0,ROUND(MAX($J652*1.4*1.5*1.6*1.6*2.2,42600000*(1.576904^(MIN($E652,123)-117)))*1,0))</f>
        <v>167041878</v>
      </c>
      <c r="U652" s="4">
        <f>$E652+11</f>
        <v>131</v>
      </c>
      <c r="V652" s="8">
        <f>IF($J652=0,0,ROUND(MAX($J652*1.4*1.5*1.6*1.6*2.2*2.715,354000000*(1.642074^(MIN($E652,123)-117)))*1,0))</f>
        <v>1567405752</v>
      </c>
      <c r="W652" s="6">
        <f>$E652+15</f>
        <v>135</v>
      </c>
      <c r="X652" s="7">
        <f>IF($J652=0,0,ROUND(MAX($J652*1.4*1.5*1.6*1.6*2.2*2.715*2.6,3540000000*(1.579646^(MIN($E652,123)-117)))*1,0))</f>
        <v>13953481417</v>
      </c>
      <c r="Y652" s="4">
        <f>$E652+17</f>
        <v>137</v>
      </c>
      <c r="Z652" s="8">
        <f>IF($J652=0,0,ROUND(MAX($J652*1.4*1.5*1.6*1.6*2.2*2.715*2.6*1.4,6020000000*(1.651178^(MIN($E652,123)-117)))*1,0))</f>
        <v>27100554178</v>
      </c>
      <c r="AA652" s="6">
        <f>$E652+19</f>
        <v>139</v>
      </c>
      <c r="AB652" s="7">
        <f>IF($J652=0,0,ROUND(MAX($J652*1.4*1.5*1.6*1.6*2.2*2.715*2.6*1.4*1.4,8430000000*(1.651435^(MIN($E652,123)-117)))*1,0))</f>
        <v>37967502359</v>
      </c>
      <c r="AC652" s="4">
        <f>$E652+21</f>
        <v>141</v>
      </c>
      <c r="AD652" s="8">
        <f>IF($J652=0,0,ROUND(MAX($J652*1.4*1.5*1.6*1.6*2.2*2.715*2.6*1.4*1.4*1.5,12600000000*(1.652953^(MIN($E652,123)-117)))*1,0))</f>
        <v>56905213910</v>
      </c>
      <c r="AE652" s="6">
        <f>$E652+24</f>
        <v>144</v>
      </c>
      <c r="AF652" s="7">
        <f>IF($J652=0,0,ROUND(MAX($J652*1.4*1.5*1.6*1.6*2.2*2.715*2.6*1.4*1.4*1.5*1.5,18900000000*(1.65331^(MIN($E652,123)-117)))*1,0))</f>
        <v>85413138816</v>
      </c>
      <c r="AG652" s="4">
        <f>$E652+27</f>
        <v>147</v>
      </c>
      <c r="AH652" s="8">
        <f>IF($J652=0,0,ROUND(MAX($J652*1.4*1.5*1.6*1.6*2.2*2.715*2.6*1.4*1.4*1.5*1.5*3.2,60500000000*(1.654288^(MIN($E652,123)-117)))*1,0))</f>
        <v>273897919220</v>
      </c>
    </row>
    <row r="653" ht="27.75" customHeight="1" spans="1:34" x14ac:dyDescent="0.25">
      <c r="A653" s="3">
        <v>663</v>
      </c>
      <c r="B653" s="3" t="s">
        <v>61</v>
      </c>
      <c r="C653" s="3" t="s">
        <v>641</v>
      </c>
      <c r="D653" s="3" t="s">
        <v>33</v>
      </c>
      <c r="E653" s="3">
        <v>120</v>
      </c>
      <c r="F653" s="3" t="s">
        <v>62</v>
      </c>
      <c r="G653" s="3" t="s">
        <v>62</v>
      </c>
      <c r="H653" s="3">
        <v>31</v>
      </c>
      <c r="I653" s="4">
        <v>120</v>
      </c>
      <c r="J653" s="5">
        <v>1660000</v>
      </c>
      <c r="K653" s="6">
        <f>$E653+1</f>
        <v>121</v>
      </c>
      <c r="L653" s="7">
        <f>IF($J653=0,0,ROUND(MAX($J653*1.4,1620000*(1.497923^(MIN($E653,123)-117)))*1,0))</f>
        <v>5444819</v>
      </c>
      <c r="M653" s="4">
        <f>$E653+2</f>
        <v>122</v>
      </c>
      <c r="N653" s="8">
        <f>IF($J653=0,0,ROUND(MAX($J653*1.4*1.5,2190000*(1.580994^(MIN($E653,123)-117)))*1,0))</f>
        <v>8654356</v>
      </c>
      <c r="O653" s="6">
        <f>$E653+4</f>
        <v>124</v>
      </c>
      <c r="P653" s="7">
        <f>IF($J653=0,0,ROUND(MAX($J653*1.4*1.5*1.6,3500000*(1.57975^(MIN($E653,123)-117)))*1,0))</f>
        <v>13798540</v>
      </c>
      <c r="Q653" s="4">
        <f>$E653+6</f>
        <v>126</v>
      </c>
      <c r="R653" s="8">
        <f>IF($J653=0,0,ROUND(MAX($J653*1.4*1.5*1.6*1.6,13100000*(1.429962^(MIN($E653,123)-117)))*1,0))</f>
        <v>38304058</v>
      </c>
      <c r="S653" s="6">
        <f>$E653+8</f>
        <v>128</v>
      </c>
      <c r="T653" s="7">
        <f>IF($J653=0,0,ROUND(MAX($J653*1.4*1.5*1.6*1.6*2.2,42600000*(1.576904^(MIN($E653,123)-117)))*1,0))</f>
        <v>167041878</v>
      </c>
      <c r="U653" s="4">
        <f>$E653+11</f>
        <v>131</v>
      </c>
      <c r="V653" s="8">
        <f>IF($J653=0,0,ROUND(MAX($J653*1.4*1.5*1.6*1.6*2.2*2.715,354000000*(1.642074^(MIN($E653,123)-117)))*1,0))</f>
        <v>1567405752</v>
      </c>
      <c r="W653" s="6">
        <f>$E653+15</f>
        <v>135</v>
      </c>
      <c r="X653" s="7">
        <f>IF($J653=0,0,ROUND(MAX($J653*1.4*1.5*1.6*1.6*2.2*2.715*2.6,3540000000*(1.579646^(MIN($E653,123)-117)))*1,0))</f>
        <v>13953481417</v>
      </c>
      <c r="Y653" s="4">
        <f>$E653+17</f>
        <v>137</v>
      </c>
      <c r="Z653" s="8">
        <f>IF($J653=0,0,ROUND(MAX($J653*1.4*1.5*1.6*1.6*2.2*2.715*2.6*1.4,6020000000*(1.651178^(MIN($E653,123)-117)))*1,0))</f>
        <v>27100554178</v>
      </c>
      <c r="AA653" s="6">
        <f>$E653+19</f>
        <v>139</v>
      </c>
      <c r="AB653" s="7">
        <f>IF($J653=0,0,ROUND(MAX($J653*1.4*1.5*1.6*1.6*2.2*2.715*2.6*1.4*1.4,8430000000*(1.651435^(MIN($E653,123)-117)))*1,0))</f>
        <v>37967502359</v>
      </c>
      <c r="AC653" s="4">
        <f>$E653+21</f>
        <v>141</v>
      </c>
      <c r="AD653" s="8">
        <f>IF($J653=0,0,ROUND(MAX($J653*1.4*1.5*1.6*1.6*2.2*2.715*2.6*1.4*1.4*1.5,12600000000*(1.652953^(MIN($E653,123)-117)))*1,0))</f>
        <v>56905213910</v>
      </c>
      <c r="AE653" s="6">
        <f>$E653+24</f>
        <v>144</v>
      </c>
      <c r="AF653" s="7">
        <f>IF($J653=0,0,ROUND(MAX($J653*1.4*1.5*1.6*1.6*2.2*2.715*2.6*1.4*1.4*1.5*1.5,18900000000*(1.65331^(MIN($E653,123)-117)))*1,0))</f>
        <v>85413138816</v>
      </c>
      <c r="AG653" s="4">
        <f>$E653+27</f>
        <v>147</v>
      </c>
      <c r="AH653" s="8">
        <f>IF($J653=0,0,ROUND(MAX($J653*1.4*1.5*1.6*1.6*2.2*2.715*2.6*1.4*1.4*1.5*1.5*3.2,60500000000*(1.654288^(MIN($E653,123)-117)))*1,0))</f>
        <v>273897919220</v>
      </c>
    </row>
    <row r="654" ht="27.75" customHeight="1" spans="1:34" x14ac:dyDescent="0.25">
      <c r="A654" s="3">
        <v>664</v>
      </c>
      <c r="B654" s="3" t="s">
        <v>631</v>
      </c>
      <c r="C654" s="3" t="s">
        <v>641</v>
      </c>
      <c r="D654" s="3" t="s">
        <v>40</v>
      </c>
      <c r="E654" s="3">
        <v>120</v>
      </c>
      <c r="F654" s="3" t="s">
        <v>212</v>
      </c>
      <c r="G654" s="3" t="s">
        <v>212</v>
      </c>
      <c r="H654" s="3">
        <v>31</v>
      </c>
      <c r="I654" s="4">
        <v>120</v>
      </c>
      <c r="J654" s="5">
        <v>1660000</v>
      </c>
      <c r="K654" s="6">
        <f>$E654+1</f>
        <v>121</v>
      </c>
      <c r="L654" s="7">
        <f>IF($J654=0,0,ROUND(MAX($J654*1.4,1620000*(1.497923^(MIN($E654,123)-117)))*1,0))</f>
        <v>5444819</v>
      </c>
      <c r="M654" s="4">
        <f>$E654+2</f>
        <v>122</v>
      </c>
      <c r="N654" s="8">
        <f>IF($J654=0,0,ROUND(MAX($J654*1.4*1.5,2190000*(1.580994^(MIN($E654,123)-117)))*1,0))</f>
        <v>8654356</v>
      </c>
      <c r="O654" s="6">
        <f>$E654+4</f>
        <v>124</v>
      </c>
      <c r="P654" s="7">
        <f>IF($J654=0,0,ROUND(MAX($J654*1.4*1.5*1.6,3500000*(1.57975^(MIN($E654,123)-117)))*1,0))</f>
        <v>13798540</v>
      </c>
      <c r="Q654" s="4">
        <f>$E654+6</f>
        <v>126</v>
      </c>
      <c r="R654" s="8">
        <f>IF($J654=0,0,ROUND(MAX($J654*1.4*1.5*1.6*1.6,13100000*(1.429962^(MIN($E654,123)-117)))*1,0))</f>
        <v>38304058</v>
      </c>
      <c r="S654" s="6">
        <f>$E654+8</f>
        <v>128</v>
      </c>
      <c r="T654" s="7">
        <f>IF($J654=0,0,ROUND(MAX($J654*1.4*1.5*1.6*1.6*2.2,42600000*(1.576904^(MIN($E654,123)-117)))*1,0))</f>
        <v>167041878</v>
      </c>
      <c r="U654" s="4">
        <f>$E654+11</f>
        <v>131</v>
      </c>
      <c r="V654" s="8">
        <f>IF($J654=0,0,ROUND(MAX($J654*1.4*1.5*1.6*1.6*2.2*2.715,354000000*(1.642074^(MIN($E654,123)-117)))*1,0))</f>
        <v>1567405752</v>
      </c>
      <c r="W654" s="6">
        <f>$E654+15</f>
        <v>135</v>
      </c>
      <c r="X654" s="7">
        <f>IF($J654=0,0,ROUND(MAX($J654*1.4*1.5*1.6*1.6*2.2*2.715*2.6,3540000000*(1.579646^(MIN($E654,123)-117)))*1,0))</f>
        <v>13953481417</v>
      </c>
      <c r="Y654" s="4">
        <f>$E654+17</f>
        <v>137</v>
      </c>
      <c r="Z654" s="8">
        <f>IF($J654=0,0,ROUND(MAX($J654*1.4*1.5*1.6*1.6*2.2*2.715*2.6*1.4,6020000000*(1.651178^(MIN($E654,123)-117)))*1,0))</f>
        <v>27100554178</v>
      </c>
      <c r="AA654" s="6">
        <f>$E654+19</f>
        <v>139</v>
      </c>
      <c r="AB654" s="7">
        <f>IF($J654=0,0,ROUND(MAX($J654*1.4*1.5*1.6*1.6*2.2*2.715*2.6*1.4*1.4,8430000000*(1.651435^(MIN($E654,123)-117)))*1,0))</f>
        <v>37967502359</v>
      </c>
      <c r="AC654" s="4">
        <f>$E654+21</f>
        <v>141</v>
      </c>
      <c r="AD654" s="8">
        <f>IF($J654=0,0,ROUND(MAX($J654*1.4*1.5*1.6*1.6*2.2*2.715*2.6*1.4*1.4*1.5,12600000000*(1.652953^(MIN($E654,123)-117)))*1,0))</f>
        <v>56905213910</v>
      </c>
      <c r="AE654" s="6">
        <f>$E654+24</f>
        <v>144</v>
      </c>
      <c r="AF654" s="7">
        <f>IF($J654=0,0,ROUND(MAX($J654*1.4*1.5*1.6*1.6*2.2*2.715*2.6*1.4*1.4*1.5*1.5,18900000000*(1.65331^(MIN($E654,123)-117)))*1,0))</f>
        <v>85413138816</v>
      </c>
      <c r="AG654" s="4">
        <f>$E654+27</f>
        <v>147</v>
      </c>
      <c r="AH654" s="8">
        <f>IF($J654=0,0,ROUND(MAX($J654*1.4*1.5*1.6*1.6*2.2*2.715*2.6*1.4*1.4*1.5*1.5*3.2,60500000000*(1.654288^(MIN($E654,123)-117)))*1,0))</f>
        <v>273897919220</v>
      </c>
    </row>
    <row r="655" ht="27.75" customHeight="1" spans="1:34" x14ac:dyDescent="0.25">
      <c r="A655" s="3">
        <v>665</v>
      </c>
      <c r="B655" s="3" t="s">
        <v>157</v>
      </c>
      <c r="C655" s="3" t="s">
        <v>641</v>
      </c>
      <c r="D655" s="3" t="s">
        <v>40</v>
      </c>
      <c r="E655" s="3">
        <v>120</v>
      </c>
      <c r="F655" s="3" t="s">
        <v>71</v>
      </c>
      <c r="G655" s="3" t="s">
        <v>71</v>
      </c>
      <c r="H655" s="3">
        <v>31</v>
      </c>
      <c r="I655" s="4">
        <v>120</v>
      </c>
      <c r="J655" s="5">
        <v>1660000</v>
      </c>
      <c r="K655" s="6">
        <f>$E655+1</f>
        <v>121</v>
      </c>
      <c r="L655" s="7">
        <f>IF($J655=0,0,ROUND(MAX($J655*1.4,1620000*(1.497923^(MIN($E655,123)-117)))*1,0))</f>
        <v>5444819</v>
      </c>
      <c r="M655" s="4">
        <f>$E655+2</f>
        <v>122</v>
      </c>
      <c r="N655" s="8">
        <f>IF($J655=0,0,ROUND(MAX($J655*1.4*1.5,2190000*(1.580994^(MIN($E655,123)-117)))*1,0))</f>
        <v>8654356</v>
      </c>
      <c r="O655" s="6">
        <f>$E655+4</f>
        <v>124</v>
      </c>
      <c r="P655" s="7">
        <f>IF($J655=0,0,ROUND(MAX($J655*1.4*1.5*1.6,3500000*(1.57975^(MIN($E655,123)-117)))*1,0))</f>
        <v>13798540</v>
      </c>
      <c r="Q655" s="4">
        <f>$E655+6</f>
        <v>126</v>
      </c>
      <c r="R655" s="8">
        <f>IF($J655=0,0,ROUND(MAX($J655*1.4*1.5*1.6*1.6,13100000*(1.429962^(MIN($E655,123)-117)))*1,0))</f>
        <v>38304058</v>
      </c>
      <c r="S655" s="6">
        <f>$E655+8</f>
        <v>128</v>
      </c>
      <c r="T655" s="7">
        <f>IF($J655=0,0,ROUND(MAX($J655*1.4*1.5*1.6*1.6*2.2,42600000*(1.576904^(MIN($E655,123)-117)))*1,0))</f>
        <v>167041878</v>
      </c>
      <c r="U655" s="4">
        <f>$E655+11</f>
        <v>131</v>
      </c>
      <c r="V655" s="8">
        <f>IF($J655=0,0,ROUND(MAX($J655*1.4*1.5*1.6*1.6*2.2*2.715,354000000*(1.642074^(MIN($E655,123)-117)))*1,0))</f>
        <v>1567405752</v>
      </c>
      <c r="W655" s="6">
        <f>$E655+15</f>
        <v>135</v>
      </c>
      <c r="X655" s="7">
        <f>IF($J655=0,0,ROUND(MAX($J655*1.4*1.5*1.6*1.6*2.2*2.715*2.6,3540000000*(1.579646^(MIN($E655,123)-117)))*1,0))</f>
        <v>13953481417</v>
      </c>
      <c r="Y655" s="4">
        <f>$E655+17</f>
        <v>137</v>
      </c>
      <c r="Z655" s="8">
        <f>IF($J655=0,0,ROUND(MAX($J655*1.4*1.5*1.6*1.6*2.2*2.715*2.6*1.4,6020000000*(1.651178^(MIN($E655,123)-117)))*1,0))</f>
        <v>27100554178</v>
      </c>
      <c r="AA655" s="6">
        <f>$E655+19</f>
        <v>139</v>
      </c>
      <c r="AB655" s="7">
        <f>IF($J655=0,0,ROUND(MAX($J655*1.4*1.5*1.6*1.6*2.2*2.715*2.6*1.4*1.4,8430000000*(1.651435^(MIN($E655,123)-117)))*1,0))</f>
        <v>37967502359</v>
      </c>
      <c r="AC655" s="4">
        <f>$E655+21</f>
        <v>141</v>
      </c>
      <c r="AD655" s="8">
        <f>IF($J655=0,0,ROUND(MAX($J655*1.4*1.5*1.6*1.6*2.2*2.715*2.6*1.4*1.4*1.5,12600000000*(1.652953^(MIN($E655,123)-117)))*1,0))</f>
        <v>56905213910</v>
      </c>
      <c r="AE655" s="6">
        <f>$E655+24</f>
        <v>144</v>
      </c>
      <c r="AF655" s="7">
        <f>IF($J655=0,0,ROUND(MAX($J655*1.4*1.5*1.6*1.6*2.2*2.715*2.6*1.4*1.4*1.5*1.5,18900000000*(1.65331^(MIN($E655,123)-117)))*1,0))</f>
        <v>85413138816</v>
      </c>
      <c r="AG655" s="4">
        <f>$E655+27</f>
        <v>147</v>
      </c>
      <c r="AH655" s="8">
        <f>IF($J655=0,0,ROUND(MAX($J655*1.4*1.5*1.6*1.6*2.2*2.715*2.6*1.4*1.4*1.5*1.5*3.2,60500000000*(1.654288^(MIN($E655,123)-117)))*1,0))</f>
        <v>273897919220</v>
      </c>
    </row>
    <row r="656" ht="27.75" customHeight="1" spans="1:34" x14ac:dyDescent="0.25">
      <c r="A656" s="3">
        <v>666</v>
      </c>
      <c r="B656" s="3" t="s">
        <v>221</v>
      </c>
      <c r="C656" s="3" t="s">
        <v>641</v>
      </c>
      <c r="D656" s="3" t="s">
        <v>40</v>
      </c>
      <c r="E656" s="3">
        <v>120</v>
      </c>
      <c r="F656" s="3" t="s">
        <v>34</v>
      </c>
      <c r="G656" s="3" t="s">
        <v>34</v>
      </c>
      <c r="H656" s="3">
        <v>31</v>
      </c>
      <c r="I656" s="4">
        <v>120</v>
      </c>
      <c r="J656" s="5">
        <v>1660000</v>
      </c>
      <c r="K656" s="6">
        <f>$E656+1</f>
        <v>121</v>
      </c>
      <c r="L656" s="7">
        <f>IF($J656=0,0,ROUND(MAX($J656*1.4,1620000*(1.497923^(MIN($E656,123)-117)))*1,0))</f>
        <v>5444819</v>
      </c>
      <c r="M656" s="4">
        <f>$E656+2</f>
        <v>122</v>
      </c>
      <c r="N656" s="8">
        <f>IF($J656=0,0,ROUND(MAX($J656*1.4*1.5,2190000*(1.580994^(MIN($E656,123)-117)))*1,0))</f>
        <v>8654356</v>
      </c>
      <c r="O656" s="6">
        <f>$E656+4</f>
        <v>124</v>
      </c>
      <c r="P656" s="7">
        <f>IF($J656=0,0,ROUND(MAX($J656*1.4*1.5*1.6,3500000*(1.57975^(MIN($E656,123)-117)))*1,0))</f>
        <v>13798540</v>
      </c>
      <c r="Q656" s="4">
        <f>$E656+6</f>
        <v>126</v>
      </c>
      <c r="R656" s="8">
        <f>IF($J656=0,0,ROUND(MAX($J656*1.4*1.5*1.6*1.6,13100000*(1.429962^(MIN($E656,123)-117)))*1,0))</f>
        <v>38304058</v>
      </c>
      <c r="S656" s="6">
        <f>$E656+8</f>
        <v>128</v>
      </c>
      <c r="T656" s="7">
        <f>IF($J656=0,0,ROUND(MAX($J656*1.4*1.5*1.6*1.6*2.2,42600000*(1.576904^(MIN($E656,123)-117)))*1,0))</f>
        <v>167041878</v>
      </c>
      <c r="U656" s="4">
        <f>$E656+11</f>
        <v>131</v>
      </c>
      <c r="V656" s="8">
        <f>IF($J656=0,0,ROUND(MAX($J656*1.4*1.5*1.6*1.6*2.2*2.715,354000000*(1.642074^(MIN($E656,123)-117)))*1,0))</f>
        <v>1567405752</v>
      </c>
      <c r="W656" s="6">
        <f>$E656+15</f>
        <v>135</v>
      </c>
      <c r="X656" s="7">
        <f>IF($J656=0,0,ROUND(MAX($J656*1.4*1.5*1.6*1.6*2.2*2.715*2.6,3540000000*(1.579646^(MIN($E656,123)-117)))*1,0))</f>
        <v>13953481417</v>
      </c>
      <c r="Y656" s="4">
        <f>$E656+17</f>
        <v>137</v>
      </c>
      <c r="Z656" s="8">
        <f>IF($J656=0,0,ROUND(MAX($J656*1.4*1.5*1.6*1.6*2.2*2.715*2.6*1.4,6020000000*(1.651178^(MIN($E656,123)-117)))*1,0))</f>
        <v>27100554178</v>
      </c>
      <c r="AA656" s="6">
        <f>$E656+19</f>
        <v>139</v>
      </c>
      <c r="AB656" s="7">
        <f>IF($J656=0,0,ROUND(MAX($J656*1.4*1.5*1.6*1.6*2.2*2.715*2.6*1.4*1.4,8430000000*(1.651435^(MIN($E656,123)-117)))*1,0))</f>
        <v>37967502359</v>
      </c>
      <c r="AC656" s="4">
        <f>$E656+21</f>
        <v>141</v>
      </c>
      <c r="AD656" s="8">
        <f>IF($J656=0,0,ROUND(MAX($J656*1.4*1.5*1.6*1.6*2.2*2.715*2.6*1.4*1.4*1.5,12600000000*(1.652953^(MIN($E656,123)-117)))*1,0))</f>
        <v>56905213910</v>
      </c>
      <c r="AE656" s="6">
        <f>$E656+24</f>
        <v>144</v>
      </c>
      <c r="AF656" s="7">
        <f>IF($J656=0,0,ROUND(MAX($J656*1.4*1.5*1.6*1.6*2.2*2.715*2.6*1.4*1.4*1.5*1.5,18900000000*(1.65331^(MIN($E656,123)-117)))*1,0))</f>
        <v>85413138816</v>
      </c>
      <c r="AG656" s="4">
        <f>$E656+27</f>
        <v>147</v>
      </c>
      <c r="AH656" s="8">
        <f>IF($J656=0,0,ROUND(MAX($J656*1.4*1.5*1.6*1.6*2.2*2.715*2.6*1.4*1.4*1.5*1.5*3.2,60500000000*(1.654288^(MIN($E656,123)-117)))*1,0))</f>
        <v>273897919220</v>
      </c>
    </row>
    <row r="657" ht="27.75" customHeight="1" spans="1:34" x14ac:dyDescent="0.25">
      <c r="A657" s="3">
        <v>667</v>
      </c>
      <c r="B657" s="3" t="s">
        <v>103</v>
      </c>
      <c r="C657" s="3" t="s">
        <v>641</v>
      </c>
      <c r="D657" s="3" t="s">
        <v>29</v>
      </c>
      <c r="E657" s="3">
        <v>120</v>
      </c>
      <c r="F657" s="3" t="s">
        <v>62</v>
      </c>
      <c r="G657" s="3" t="s">
        <v>62</v>
      </c>
      <c r="H657" s="3">
        <v>32</v>
      </c>
      <c r="I657" s="4">
        <v>120</v>
      </c>
      <c r="J657" s="5">
        <v>1650000</v>
      </c>
      <c r="K657" s="6">
        <f>$E657+1</f>
        <v>121</v>
      </c>
      <c r="L657" s="7">
        <f>IF($J657=0,0,ROUND(MAX($J657*1.4,1620000*(1.497923^(MIN($E657,123)-117)))*1,0))</f>
        <v>5444819</v>
      </c>
      <c r="M657" s="4">
        <f>$E657+2</f>
        <v>122</v>
      </c>
      <c r="N657" s="8">
        <f>IF($J657=0,0,ROUND(MAX($J657*1.4*1.5,2190000*(1.580994^(MIN($E657,123)-117)))*1,0))</f>
        <v>8654356</v>
      </c>
      <c r="O657" s="6">
        <f>$E657+4</f>
        <v>124</v>
      </c>
      <c r="P657" s="7">
        <f>IF($J657=0,0,ROUND(MAX($J657*1.4*1.5*1.6,3500000*(1.57975^(MIN($E657,123)-117)))*1,0))</f>
        <v>13798540</v>
      </c>
      <c r="Q657" s="4">
        <f>$E657+6</f>
        <v>126</v>
      </c>
      <c r="R657" s="8">
        <f>IF($J657=0,0,ROUND(MAX($J657*1.4*1.5*1.6*1.6,13100000*(1.429962^(MIN($E657,123)-117)))*1,0))</f>
        <v>38304058</v>
      </c>
      <c r="S657" s="6">
        <f>$E657+8</f>
        <v>128</v>
      </c>
      <c r="T657" s="7">
        <f>IF($J657=0,0,ROUND(MAX($J657*1.4*1.5*1.6*1.6*2.2,42600000*(1.576904^(MIN($E657,123)-117)))*1,0))</f>
        <v>167041878</v>
      </c>
      <c r="U657" s="4">
        <f>$E657+11</f>
        <v>131</v>
      </c>
      <c r="V657" s="8">
        <f>IF($J657=0,0,ROUND(MAX($J657*1.4*1.5*1.6*1.6*2.2*2.715,354000000*(1.642074^(MIN($E657,123)-117)))*1,0))</f>
        <v>1567405752</v>
      </c>
      <c r="W657" s="6">
        <f>$E657+15</f>
        <v>135</v>
      </c>
      <c r="X657" s="7">
        <f>IF($J657=0,0,ROUND(MAX($J657*1.4*1.5*1.6*1.6*2.2*2.715*2.6,3540000000*(1.579646^(MIN($E657,123)-117)))*1,0))</f>
        <v>13953481417</v>
      </c>
      <c r="Y657" s="4">
        <f>$E657+17</f>
        <v>137</v>
      </c>
      <c r="Z657" s="8">
        <f>IF($J657=0,0,ROUND(MAX($J657*1.4*1.5*1.6*1.6*2.2*2.715*2.6*1.4,6020000000*(1.651178^(MIN($E657,123)-117)))*1,0))</f>
        <v>27100554178</v>
      </c>
      <c r="AA657" s="6">
        <f>$E657+19</f>
        <v>139</v>
      </c>
      <c r="AB657" s="7">
        <f>IF($J657=0,0,ROUND(MAX($J657*1.4*1.5*1.6*1.6*2.2*2.715*2.6*1.4*1.4,8430000000*(1.651435^(MIN($E657,123)-117)))*1,0))</f>
        <v>37967502359</v>
      </c>
      <c r="AC657" s="4">
        <f>$E657+21</f>
        <v>141</v>
      </c>
      <c r="AD657" s="8">
        <f>IF($J657=0,0,ROUND(MAX($J657*1.4*1.5*1.6*1.6*2.2*2.715*2.6*1.4*1.4*1.5,12600000000*(1.652953^(MIN($E657,123)-117)))*1,0))</f>
        <v>56905213910</v>
      </c>
      <c r="AE657" s="6">
        <f>$E657+24</f>
        <v>144</v>
      </c>
      <c r="AF657" s="7">
        <f>IF($J657=0,0,ROUND(MAX($J657*1.4*1.5*1.6*1.6*2.2*2.715*2.6*1.4*1.4*1.5*1.5,18900000000*(1.65331^(MIN($E657,123)-117)))*1,0))</f>
        <v>85413138816</v>
      </c>
      <c r="AG657" s="4">
        <f>$E657+27</f>
        <v>147</v>
      </c>
      <c r="AH657" s="8">
        <f>IF($J657=0,0,ROUND(MAX($J657*1.4*1.5*1.6*1.6*2.2*2.715*2.6*1.4*1.4*1.5*1.5*3.2,60500000000*(1.654288^(MIN($E657,123)-117)))*1,0))</f>
        <v>273897919220</v>
      </c>
    </row>
    <row r="658" ht="27.75" customHeight="1" spans="1:34" x14ac:dyDescent="0.25">
      <c r="A658" s="3">
        <v>668</v>
      </c>
      <c r="B658" s="3" t="s">
        <v>89</v>
      </c>
      <c r="C658" s="3" t="s">
        <v>641</v>
      </c>
      <c r="D658" s="3" t="s">
        <v>90</v>
      </c>
      <c r="E658" s="3">
        <v>121</v>
      </c>
      <c r="F658" s="3" t="s">
        <v>30</v>
      </c>
      <c r="G658" s="3" t="s">
        <v>30</v>
      </c>
      <c r="H658" s="3">
        <v>30</v>
      </c>
      <c r="I658" s="4">
        <v>121</v>
      </c>
      <c r="J658" s="5">
        <v>2390000</v>
      </c>
      <c r="K658" s="6">
        <f>$E658+1</f>
        <v>122</v>
      </c>
      <c r="L658" s="7">
        <f>IF($J658=0,0,ROUND(MAX($J658*1.4,1620000*(1.497923^(MIN($E658,123)-117)))*1,0))</f>
        <v>8155920</v>
      </c>
      <c r="M658" s="4">
        <f>$E658+2</f>
        <v>123</v>
      </c>
      <c r="N658" s="8">
        <f>IF($J658=0,0,ROUND(MAX($J658*1.4*1.5,2190000*(1.580994^(MIN($E658,123)-117)))*1,0))</f>
        <v>13682486</v>
      </c>
      <c r="O658" s="6">
        <f>$E658+4</f>
        <v>125</v>
      </c>
      <c r="P658" s="7">
        <f>IF($J658=0,0,ROUND(MAX($J658*1.4*1.5*1.6,3500000*(1.57975^(MIN($E658,123)-117)))*1,0))</f>
        <v>21798244</v>
      </c>
      <c r="Q658" s="4">
        <f>$E658+6</f>
        <v>127</v>
      </c>
      <c r="R658" s="8">
        <f>IF($J658=0,0,ROUND(MAX($J658*1.4*1.5*1.6*1.6,13100000*(1.429962^(MIN($E658,123)-117)))*1,0))</f>
        <v>54773347</v>
      </c>
      <c r="S658" s="6">
        <f>$E658+8</f>
        <v>129</v>
      </c>
      <c r="T658" s="7">
        <f>IF($J658=0,0,ROUND(MAX($J658*1.4*1.5*1.6*1.6*2.2,42600000*(1.576904^(MIN($E658,123)-117)))*1,0))</f>
        <v>263409005</v>
      </c>
      <c r="U658" s="4">
        <f>$E658+11</f>
        <v>132</v>
      </c>
      <c r="V658" s="8">
        <f>IF($J658=0,0,ROUND(MAX($J658*1.4*1.5*1.6*1.6*2.2*2.715,354000000*(1.642074^(MIN($E658,123)-117)))*1,0))</f>
        <v>2573796232</v>
      </c>
      <c r="W658" s="6">
        <f>$E658+15</f>
        <v>136</v>
      </c>
      <c r="X658" s="7">
        <f>IF($J658=0,0,ROUND(MAX($J658*1.4*1.5*1.6*1.6*2.2*2.715*2.6,3540000000*(1.579646^(MIN($E658,123)-117)))*1,0))</f>
        <v>22041561106</v>
      </c>
      <c r="Y658" s="4">
        <f>$E658+17</f>
        <v>138</v>
      </c>
      <c r="Z658" s="8">
        <f>IF($J658=0,0,ROUND(MAX($J658*1.4*1.5*1.6*1.6*2.2*2.715*2.6*1.4,6020000000*(1.651178^(MIN($E658,123)-117)))*1,0))</f>
        <v>44747838846</v>
      </c>
      <c r="AA658" s="6">
        <f>$E658+19</f>
        <v>140</v>
      </c>
      <c r="AB658" s="7">
        <f>IF($J658=0,0,ROUND(MAX($J658*1.4*1.5*1.6*1.6*2.2*2.715*2.6*1.4*1.4,8430000000*(1.651435^(MIN($E658,123)-117)))*1,0))</f>
        <v>62700862258</v>
      </c>
      <c r="AC658" s="4">
        <f>$E658+21</f>
        <v>142</v>
      </c>
      <c r="AD658" s="8">
        <f>IF($J658=0,0,ROUND(MAX($J658*1.4*1.5*1.6*1.6*2.2*2.715*2.6*1.4*1.4*1.5,12600000000*(1.652953^(MIN($E658,123)-117)))*1,0))</f>
        <v>94061644049</v>
      </c>
      <c r="AE658" s="6">
        <f>$E658+24</f>
        <v>145</v>
      </c>
      <c r="AF658" s="7">
        <f>IF($J658=0,0,ROUND(MAX($J658*1.4*1.5*1.6*1.6*2.2*2.715*2.6*1.4*1.4*1.5*1.5,18900000000*(1.65331^(MIN($E658,123)-117)))*1,0))</f>
        <v>141214396536</v>
      </c>
      <c r="AG658" s="4">
        <f>$E658+27</f>
        <v>148</v>
      </c>
      <c r="AH658" s="8">
        <f>IF($J658=0,0,ROUND(MAX($J658*1.4*1.5*1.6*1.6*2.2*2.715*2.6*1.4*1.4*1.5*1.5*3.2,60500000000*(1.654288^(MIN($E658,123)-117)))*1,0))</f>
        <v>453106040991</v>
      </c>
    </row>
    <row r="659" ht="27.75" customHeight="1" spans="1:34" x14ac:dyDescent="0.25">
      <c r="A659" s="3">
        <v>669</v>
      </c>
      <c r="B659" s="3" t="s">
        <v>125</v>
      </c>
      <c r="C659" s="3" t="s">
        <v>641</v>
      </c>
      <c r="D659" s="3" t="s">
        <v>33</v>
      </c>
      <c r="E659" s="3">
        <v>121</v>
      </c>
      <c r="F659" s="3" t="s">
        <v>56</v>
      </c>
      <c r="G659" s="3" t="s">
        <v>56</v>
      </c>
      <c r="H659" s="3">
        <v>30</v>
      </c>
      <c r="I659" s="4">
        <v>121</v>
      </c>
      <c r="J659" s="5">
        <v>2400000</v>
      </c>
      <c r="K659" s="6">
        <f>$E659+1</f>
        <v>122</v>
      </c>
      <c r="L659" s="7">
        <f>IF($J659=0,0,ROUND(MAX($J659*1.4,1620000*(1.497923^(MIN($E659,123)-117)))*1,0))</f>
        <v>8155920</v>
      </c>
      <c r="M659" s="4">
        <f>$E659+2</f>
        <v>123</v>
      </c>
      <c r="N659" s="8">
        <f>IF($J659=0,0,ROUND(MAX($J659*1.4*1.5,2190000*(1.580994^(MIN($E659,123)-117)))*1,0))</f>
        <v>13682486</v>
      </c>
      <c r="O659" s="6">
        <f>$E659+4</f>
        <v>125</v>
      </c>
      <c r="P659" s="7">
        <f>IF($J659=0,0,ROUND(MAX($J659*1.4*1.5*1.6,3500000*(1.57975^(MIN($E659,123)-117)))*1,0))</f>
        <v>21798244</v>
      </c>
      <c r="Q659" s="4">
        <f>$E659+6</f>
        <v>127</v>
      </c>
      <c r="R659" s="8">
        <f>IF($J659=0,0,ROUND(MAX($J659*1.4*1.5*1.6*1.6,13100000*(1.429962^(MIN($E659,123)-117)))*1,0))</f>
        <v>54773347</v>
      </c>
      <c r="S659" s="6">
        <f>$E659+8</f>
        <v>129</v>
      </c>
      <c r="T659" s="7">
        <f>IF($J659=0,0,ROUND(MAX($J659*1.4*1.5*1.6*1.6*2.2,42600000*(1.576904^(MIN($E659,123)-117)))*1,0))</f>
        <v>263409005</v>
      </c>
      <c r="U659" s="4">
        <f>$E659+11</f>
        <v>132</v>
      </c>
      <c r="V659" s="8">
        <f>IF($J659=0,0,ROUND(MAX($J659*1.4*1.5*1.6*1.6*2.2*2.715,354000000*(1.642074^(MIN($E659,123)-117)))*1,0))</f>
        <v>2573796232</v>
      </c>
      <c r="W659" s="6">
        <f>$E659+15</f>
        <v>136</v>
      </c>
      <c r="X659" s="7">
        <f>IF($J659=0,0,ROUND(MAX($J659*1.4*1.5*1.6*1.6*2.2*2.715*2.6,3540000000*(1.579646^(MIN($E659,123)-117)))*1,0))</f>
        <v>22041561106</v>
      </c>
      <c r="Y659" s="4">
        <f>$E659+17</f>
        <v>138</v>
      </c>
      <c r="Z659" s="8">
        <f>IF($J659=0,0,ROUND(MAX($J659*1.4*1.5*1.6*1.6*2.2*2.715*2.6*1.4,6020000000*(1.651178^(MIN($E659,123)-117)))*1,0))</f>
        <v>44747838846</v>
      </c>
      <c r="AA659" s="6">
        <f>$E659+19</f>
        <v>140</v>
      </c>
      <c r="AB659" s="7">
        <f>IF($J659=0,0,ROUND(MAX($J659*1.4*1.5*1.6*1.6*2.2*2.715*2.6*1.4*1.4,8430000000*(1.651435^(MIN($E659,123)-117)))*1,0))</f>
        <v>62700862258</v>
      </c>
      <c r="AC659" s="4">
        <f>$E659+21</f>
        <v>142</v>
      </c>
      <c r="AD659" s="8">
        <f>IF($J659=0,0,ROUND(MAX($J659*1.4*1.5*1.6*1.6*2.2*2.715*2.6*1.4*1.4*1.5,12600000000*(1.652953^(MIN($E659,123)-117)))*1,0))</f>
        <v>94061644049</v>
      </c>
      <c r="AE659" s="6">
        <f>$E659+24</f>
        <v>145</v>
      </c>
      <c r="AF659" s="7">
        <f>IF($J659=0,0,ROUND(MAX($J659*1.4*1.5*1.6*1.6*2.2*2.715*2.6*1.4*1.4*1.5*1.5,18900000000*(1.65331^(MIN($E659,123)-117)))*1,0))</f>
        <v>141214396536</v>
      </c>
      <c r="AG659" s="4">
        <f>$E659+27</f>
        <v>148</v>
      </c>
      <c r="AH659" s="8">
        <f>IF($J659=0,0,ROUND(MAX($J659*1.4*1.5*1.6*1.6*2.2*2.715*2.6*1.4*1.4*1.5*1.5*3.2,60500000000*(1.654288^(MIN($E659,123)-117)))*1,0))</f>
        <v>453106040991</v>
      </c>
    </row>
    <row r="660" ht="27.75" customHeight="1" spans="1:34" x14ac:dyDescent="0.25">
      <c r="A660" s="3">
        <v>670</v>
      </c>
      <c r="B660" s="3" t="s">
        <v>70</v>
      </c>
      <c r="C660" s="3" t="s">
        <v>641</v>
      </c>
      <c r="D660" s="3" t="s">
        <v>79</v>
      </c>
      <c r="E660" s="3">
        <v>121</v>
      </c>
      <c r="F660" s="3" t="s">
        <v>71</v>
      </c>
      <c r="G660" s="3" t="s">
        <v>71</v>
      </c>
      <c r="H660" s="3">
        <v>31</v>
      </c>
      <c r="I660" s="4">
        <v>121</v>
      </c>
      <c r="J660" s="5">
        <v>2430000</v>
      </c>
      <c r="K660" s="6">
        <f>$E660+1</f>
        <v>122</v>
      </c>
      <c r="L660" s="7">
        <f>IF($J660=0,0,ROUND(MAX($J660*1.4,1620000*(1.497923^(MIN($E660,123)-117)))*1,0))</f>
        <v>8155920</v>
      </c>
      <c r="M660" s="4">
        <f>$E660+2</f>
        <v>123</v>
      </c>
      <c r="N660" s="8">
        <f>IF($J660=0,0,ROUND(MAX($J660*1.4*1.5,2190000*(1.580994^(MIN($E660,123)-117)))*1,0))</f>
        <v>13682486</v>
      </c>
      <c r="O660" s="6">
        <f>$E660+4</f>
        <v>125</v>
      </c>
      <c r="P660" s="7">
        <f>IF($J660=0,0,ROUND(MAX($J660*1.4*1.5*1.6,3500000*(1.57975^(MIN($E660,123)-117)))*1,0))</f>
        <v>21798244</v>
      </c>
      <c r="Q660" s="4">
        <f>$E660+6</f>
        <v>127</v>
      </c>
      <c r="R660" s="8">
        <f>IF($J660=0,0,ROUND(MAX($J660*1.4*1.5*1.6*1.6,13100000*(1.429962^(MIN($E660,123)-117)))*1,0))</f>
        <v>54773347</v>
      </c>
      <c r="S660" s="6">
        <f>$E660+8</f>
        <v>129</v>
      </c>
      <c r="T660" s="7">
        <f>IF($J660=0,0,ROUND(MAX($J660*1.4*1.5*1.6*1.6*2.2,42600000*(1.576904^(MIN($E660,123)-117)))*1,0))</f>
        <v>263409005</v>
      </c>
      <c r="U660" s="4">
        <f>$E660+11</f>
        <v>132</v>
      </c>
      <c r="V660" s="8">
        <f>IF($J660=0,0,ROUND(MAX($J660*1.4*1.5*1.6*1.6*2.2*2.715,354000000*(1.642074^(MIN($E660,123)-117)))*1,0))</f>
        <v>2573796232</v>
      </c>
      <c r="W660" s="6">
        <f>$E660+15</f>
        <v>136</v>
      </c>
      <c r="X660" s="7">
        <f>IF($J660=0,0,ROUND(MAX($J660*1.4*1.5*1.6*1.6*2.2*2.715*2.6,3540000000*(1.579646^(MIN($E660,123)-117)))*1,0))</f>
        <v>22041561106</v>
      </c>
      <c r="Y660" s="4">
        <f>$E660+17</f>
        <v>138</v>
      </c>
      <c r="Z660" s="8">
        <f>IF($J660=0,0,ROUND(MAX($J660*1.4*1.5*1.6*1.6*2.2*2.715*2.6*1.4,6020000000*(1.651178^(MIN($E660,123)-117)))*1,0))</f>
        <v>44747838846</v>
      </c>
      <c r="AA660" s="6">
        <f>$E660+19</f>
        <v>140</v>
      </c>
      <c r="AB660" s="7">
        <f>IF($J660=0,0,ROUND(MAX($J660*1.4*1.5*1.6*1.6*2.2*2.715*2.6*1.4*1.4,8430000000*(1.651435^(MIN($E660,123)-117)))*1,0))</f>
        <v>62700862258</v>
      </c>
      <c r="AC660" s="4">
        <f>$E660+21</f>
        <v>142</v>
      </c>
      <c r="AD660" s="8">
        <f>IF($J660=0,0,ROUND(MAX($J660*1.4*1.5*1.6*1.6*2.2*2.715*2.6*1.4*1.4*1.5,12600000000*(1.652953^(MIN($E660,123)-117)))*1,0))</f>
        <v>94061644049</v>
      </c>
      <c r="AE660" s="6">
        <f>$E660+24</f>
        <v>145</v>
      </c>
      <c r="AF660" s="7">
        <f>IF($J660=0,0,ROUND(MAX($J660*1.4*1.5*1.6*1.6*2.2*2.715*2.6*1.4*1.4*1.5*1.5,18900000000*(1.65331^(MIN($E660,123)-117)))*1,0))</f>
        <v>141214396536</v>
      </c>
      <c r="AG660" s="4">
        <f>$E660+27</f>
        <v>148</v>
      </c>
      <c r="AH660" s="8">
        <f>IF($J660=0,0,ROUND(MAX($J660*1.4*1.5*1.6*1.6*2.2*2.715*2.6*1.4*1.4*1.5*1.5*3.2,60500000000*(1.654288^(MIN($E660,123)-117)))*1,0))</f>
        <v>453106040991</v>
      </c>
    </row>
    <row r="661" ht="27.75" customHeight="1" spans="1:34" x14ac:dyDescent="0.25">
      <c r="A661" s="3">
        <v>671</v>
      </c>
      <c r="B661" s="3" t="s">
        <v>148</v>
      </c>
      <c r="C661" s="3" t="s">
        <v>641</v>
      </c>
      <c r="D661" s="3" t="s">
        <v>45</v>
      </c>
      <c r="E661" s="3">
        <v>121</v>
      </c>
      <c r="F661" s="3" t="s">
        <v>54</v>
      </c>
      <c r="G661" s="3" t="s">
        <v>54</v>
      </c>
      <c r="H661" s="3">
        <v>31</v>
      </c>
      <c r="I661" s="4">
        <v>121</v>
      </c>
      <c r="J661" s="5">
        <v>2400000</v>
      </c>
      <c r="K661" s="6">
        <f>$E661+1</f>
        <v>122</v>
      </c>
      <c r="L661" s="7">
        <f>IF($J661=0,0,ROUND(MAX($J661*1.4,1620000*(1.497923^(MIN($E661,123)-117)))*1,0))</f>
        <v>8155920</v>
      </c>
      <c r="M661" s="4">
        <f>$E661+2</f>
        <v>123</v>
      </c>
      <c r="N661" s="8">
        <f>IF($J661=0,0,ROUND(MAX($J661*1.4*1.5,2190000*(1.580994^(MIN($E661,123)-117)))*1,0))</f>
        <v>13682486</v>
      </c>
      <c r="O661" s="6">
        <f>$E661+4</f>
        <v>125</v>
      </c>
      <c r="P661" s="7">
        <f>IF($J661=0,0,ROUND(MAX($J661*1.4*1.5*1.6,3500000*(1.57975^(MIN($E661,123)-117)))*1,0))</f>
        <v>21798244</v>
      </c>
      <c r="Q661" s="4">
        <f>$E661+6</f>
        <v>127</v>
      </c>
      <c r="R661" s="8">
        <f>IF($J661=0,0,ROUND(MAX($J661*1.4*1.5*1.6*1.6,13100000*(1.429962^(MIN($E661,123)-117)))*1,0))</f>
        <v>54773347</v>
      </c>
      <c r="S661" s="6">
        <f>$E661+8</f>
        <v>129</v>
      </c>
      <c r="T661" s="7">
        <f>IF($J661=0,0,ROUND(MAX($J661*1.4*1.5*1.6*1.6*2.2,42600000*(1.576904^(MIN($E661,123)-117)))*1,0))</f>
        <v>263409005</v>
      </c>
      <c r="U661" s="4">
        <f>$E661+11</f>
        <v>132</v>
      </c>
      <c r="V661" s="8">
        <f>IF($J661=0,0,ROUND(MAX($J661*1.4*1.5*1.6*1.6*2.2*2.715,354000000*(1.642074^(MIN($E661,123)-117)))*1,0))</f>
        <v>2573796232</v>
      </c>
      <c r="W661" s="6">
        <f>$E661+15</f>
        <v>136</v>
      </c>
      <c r="X661" s="7">
        <f>IF($J661=0,0,ROUND(MAX($J661*1.4*1.5*1.6*1.6*2.2*2.715*2.6,3540000000*(1.579646^(MIN($E661,123)-117)))*1,0))</f>
        <v>22041561106</v>
      </c>
      <c r="Y661" s="4">
        <f>$E661+17</f>
        <v>138</v>
      </c>
      <c r="Z661" s="8">
        <f>IF($J661=0,0,ROUND(MAX($J661*1.4*1.5*1.6*1.6*2.2*2.715*2.6*1.4,6020000000*(1.651178^(MIN($E661,123)-117)))*1,0))</f>
        <v>44747838846</v>
      </c>
      <c r="AA661" s="6">
        <f>$E661+19</f>
        <v>140</v>
      </c>
      <c r="AB661" s="7">
        <f>IF($J661=0,0,ROUND(MAX($J661*1.4*1.5*1.6*1.6*2.2*2.715*2.6*1.4*1.4,8430000000*(1.651435^(MIN($E661,123)-117)))*1,0))</f>
        <v>62700862258</v>
      </c>
      <c r="AC661" s="4">
        <f>$E661+21</f>
        <v>142</v>
      </c>
      <c r="AD661" s="8">
        <f>IF($J661=0,0,ROUND(MAX($J661*1.4*1.5*1.6*1.6*2.2*2.715*2.6*1.4*1.4*1.5,12600000000*(1.652953^(MIN($E661,123)-117)))*1,0))</f>
        <v>94061644049</v>
      </c>
      <c r="AE661" s="6">
        <f>$E661+24</f>
        <v>145</v>
      </c>
      <c r="AF661" s="7">
        <f>IF($J661=0,0,ROUND(MAX($J661*1.4*1.5*1.6*1.6*2.2*2.715*2.6*1.4*1.4*1.5*1.5,18900000000*(1.65331^(MIN($E661,123)-117)))*1,0))</f>
        <v>141214396536</v>
      </c>
      <c r="AG661" s="4">
        <f>$E661+27</f>
        <v>148</v>
      </c>
      <c r="AH661" s="8">
        <f>IF($J661=0,0,ROUND(MAX($J661*1.4*1.5*1.6*1.6*2.2*2.715*2.6*1.4*1.4*1.5*1.5*3.2,60500000000*(1.654288^(MIN($E661,123)-117)))*1,0))</f>
        <v>453106040991</v>
      </c>
    </row>
    <row r="662" ht="27.75" customHeight="1" spans="1:34" x14ac:dyDescent="0.25">
      <c r="A662" s="3">
        <v>672</v>
      </c>
      <c r="B662" s="3" t="s">
        <v>137</v>
      </c>
      <c r="C662" s="3" t="s">
        <v>641</v>
      </c>
      <c r="D662" s="3" t="s">
        <v>90</v>
      </c>
      <c r="E662" s="3">
        <v>121</v>
      </c>
      <c r="F662" s="3" t="s">
        <v>54</v>
      </c>
      <c r="G662" s="3" t="s">
        <v>54</v>
      </c>
      <c r="H662" s="3">
        <v>31</v>
      </c>
      <c r="I662" s="4">
        <v>121</v>
      </c>
      <c r="J662" s="5">
        <v>2390000</v>
      </c>
      <c r="K662" s="6">
        <f>$E662+1</f>
        <v>122</v>
      </c>
      <c r="L662" s="7">
        <f>IF($J662=0,0,ROUND(MAX($J662*1.4,1620000*(1.497923^(MIN($E662,123)-117)))*1,0))</f>
        <v>8155920</v>
      </c>
      <c r="M662" s="4">
        <f>$E662+2</f>
        <v>123</v>
      </c>
      <c r="N662" s="8">
        <f>IF($J662=0,0,ROUND(MAX($J662*1.4*1.5,2190000*(1.580994^(MIN($E662,123)-117)))*1,0))</f>
        <v>13682486</v>
      </c>
      <c r="O662" s="6">
        <f>$E662+4</f>
        <v>125</v>
      </c>
      <c r="P662" s="7">
        <f>IF($J662=0,0,ROUND(MAX($J662*1.4*1.5*1.6,3500000*(1.57975^(MIN($E662,123)-117)))*1,0))</f>
        <v>21798244</v>
      </c>
      <c r="Q662" s="4">
        <f>$E662+6</f>
        <v>127</v>
      </c>
      <c r="R662" s="8">
        <f>IF($J662=0,0,ROUND(MAX($J662*1.4*1.5*1.6*1.6,13100000*(1.429962^(MIN($E662,123)-117)))*1,0))</f>
        <v>54773347</v>
      </c>
      <c r="S662" s="6">
        <f>$E662+8</f>
        <v>129</v>
      </c>
      <c r="T662" s="7">
        <f>IF($J662=0,0,ROUND(MAX($J662*1.4*1.5*1.6*1.6*2.2,42600000*(1.576904^(MIN($E662,123)-117)))*1,0))</f>
        <v>263409005</v>
      </c>
      <c r="U662" s="4">
        <f>$E662+11</f>
        <v>132</v>
      </c>
      <c r="V662" s="8">
        <f>IF($J662=0,0,ROUND(MAX($J662*1.4*1.5*1.6*1.6*2.2*2.715,354000000*(1.642074^(MIN($E662,123)-117)))*1,0))</f>
        <v>2573796232</v>
      </c>
      <c r="W662" s="6">
        <f>$E662+15</f>
        <v>136</v>
      </c>
      <c r="X662" s="7">
        <f>IF($J662=0,0,ROUND(MAX($J662*1.4*1.5*1.6*1.6*2.2*2.715*2.6,3540000000*(1.579646^(MIN($E662,123)-117)))*1,0))</f>
        <v>22041561106</v>
      </c>
      <c r="Y662" s="4">
        <f>$E662+17</f>
        <v>138</v>
      </c>
      <c r="Z662" s="8">
        <f>IF($J662=0,0,ROUND(MAX($J662*1.4*1.5*1.6*1.6*2.2*2.715*2.6*1.4,6020000000*(1.651178^(MIN($E662,123)-117)))*1,0))</f>
        <v>44747838846</v>
      </c>
      <c r="AA662" s="6">
        <f>$E662+19</f>
        <v>140</v>
      </c>
      <c r="AB662" s="7">
        <f>IF($J662=0,0,ROUND(MAX($J662*1.4*1.5*1.6*1.6*2.2*2.715*2.6*1.4*1.4,8430000000*(1.651435^(MIN($E662,123)-117)))*1,0))</f>
        <v>62700862258</v>
      </c>
      <c r="AC662" s="4">
        <f>$E662+21</f>
        <v>142</v>
      </c>
      <c r="AD662" s="8">
        <f>IF($J662=0,0,ROUND(MAX($J662*1.4*1.5*1.6*1.6*2.2*2.715*2.6*1.4*1.4*1.5,12600000000*(1.652953^(MIN($E662,123)-117)))*1,0))</f>
        <v>94061644049</v>
      </c>
      <c r="AE662" s="6">
        <f>$E662+24</f>
        <v>145</v>
      </c>
      <c r="AF662" s="7">
        <f>IF($J662=0,0,ROUND(MAX($J662*1.4*1.5*1.6*1.6*2.2*2.715*2.6*1.4*1.4*1.5*1.5,18900000000*(1.65331^(MIN($E662,123)-117)))*1,0))</f>
        <v>141214396536</v>
      </c>
      <c r="AG662" s="4">
        <f>$E662+27</f>
        <v>148</v>
      </c>
      <c r="AH662" s="8">
        <f>IF($J662=0,0,ROUND(MAX($J662*1.4*1.5*1.6*1.6*2.2*2.715*2.6*1.4*1.4*1.5*1.5*3.2,60500000000*(1.654288^(MIN($E662,123)-117)))*1,0))</f>
        <v>453106040991</v>
      </c>
    </row>
    <row r="663" ht="27.75" customHeight="1" spans="1:34" x14ac:dyDescent="0.25">
      <c r="A663" s="3">
        <v>673</v>
      </c>
      <c r="B663" s="3" t="s">
        <v>94</v>
      </c>
      <c r="C663" s="3" t="s">
        <v>641</v>
      </c>
      <c r="D663" s="3" t="s">
        <v>29</v>
      </c>
      <c r="E663" s="3">
        <v>121</v>
      </c>
      <c r="F663" s="3" t="s">
        <v>42</v>
      </c>
      <c r="G663" s="3" t="s">
        <v>42</v>
      </c>
      <c r="H663" s="3">
        <v>31</v>
      </c>
      <c r="I663" s="4">
        <v>121</v>
      </c>
      <c r="J663" s="5">
        <v>2390000</v>
      </c>
      <c r="K663" s="6">
        <f>$E663+1</f>
        <v>122</v>
      </c>
      <c r="L663" s="7">
        <f>IF($J663=0,0,ROUND(MAX($J663*1.4,1620000*(1.497923^(MIN($E663,123)-117)))*1,0))</f>
        <v>8155920</v>
      </c>
      <c r="M663" s="4">
        <f>$E663+2</f>
        <v>123</v>
      </c>
      <c r="N663" s="8">
        <f>IF($J663=0,0,ROUND(MAX($J663*1.4*1.5,2190000*(1.580994^(MIN($E663,123)-117)))*1,0))</f>
        <v>13682486</v>
      </c>
      <c r="O663" s="6">
        <f>$E663+4</f>
        <v>125</v>
      </c>
      <c r="P663" s="7">
        <f>IF($J663=0,0,ROUND(MAX($J663*1.4*1.5*1.6,3500000*(1.57975^(MIN($E663,123)-117)))*1,0))</f>
        <v>21798244</v>
      </c>
      <c r="Q663" s="4">
        <f>$E663+6</f>
        <v>127</v>
      </c>
      <c r="R663" s="8">
        <f>IF($J663=0,0,ROUND(MAX($J663*1.4*1.5*1.6*1.6,13100000*(1.429962^(MIN($E663,123)-117)))*1,0))</f>
        <v>54773347</v>
      </c>
      <c r="S663" s="6">
        <f>$E663+8</f>
        <v>129</v>
      </c>
      <c r="T663" s="7">
        <f>IF($J663=0,0,ROUND(MAX($J663*1.4*1.5*1.6*1.6*2.2,42600000*(1.576904^(MIN($E663,123)-117)))*1,0))</f>
        <v>263409005</v>
      </c>
      <c r="U663" s="4">
        <f>$E663+11</f>
        <v>132</v>
      </c>
      <c r="V663" s="8">
        <f>IF($J663=0,0,ROUND(MAX($J663*1.4*1.5*1.6*1.6*2.2*2.715,354000000*(1.642074^(MIN($E663,123)-117)))*1,0))</f>
        <v>2573796232</v>
      </c>
      <c r="W663" s="6">
        <f>$E663+15</f>
        <v>136</v>
      </c>
      <c r="X663" s="7">
        <f>IF($J663=0,0,ROUND(MAX($J663*1.4*1.5*1.6*1.6*2.2*2.715*2.6,3540000000*(1.579646^(MIN($E663,123)-117)))*1,0))</f>
        <v>22041561106</v>
      </c>
      <c r="Y663" s="4">
        <f>$E663+17</f>
        <v>138</v>
      </c>
      <c r="Z663" s="8">
        <f>IF($J663=0,0,ROUND(MAX($J663*1.4*1.5*1.6*1.6*2.2*2.715*2.6*1.4,6020000000*(1.651178^(MIN($E663,123)-117)))*1,0))</f>
        <v>44747838846</v>
      </c>
      <c r="AA663" s="6">
        <f>$E663+19</f>
        <v>140</v>
      </c>
      <c r="AB663" s="7">
        <f>IF($J663=0,0,ROUND(MAX($J663*1.4*1.5*1.6*1.6*2.2*2.715*2.6*1.4*1.4,8430000000*(1.651435^(MIN($E663,123)-117)))*1,0))</f>
        <v>62700862258</v>
      </c>
      <c r="AC663" s="4">
        <f>$E663+21</f>
        <v>142</v>
      </c>
      <c r="AD663" s="8">
        <f>IF($J663=0,0,ROUND(MAX($J663*1.4*1.5*1.6*1.6*2.2*2.715*2.6*1.4*1.4*1.5,12600000000*(1.652953^(MIN($E663,123)-117)))*1,0))</f>
        <v>94061644049</v>
      </c>
      <c r="AE663" s="6">
        <f>$E663+24</f>
        <v>145</v>
      </c>
      <c r="AF663" s="7">
        <f>IF($J663=0,0,ROUND(MAX($J663*1.4*1.5*1.6*1.6*2.2*2.715*2.6*1.4*1.4*1.5*1.5,18900000000*(1.65331^(MIN($E663,123)-117)))*1,0))</f>
        <v>141214396536</v>
      </c>
      <c r="AG663" s="4">
        <f>$E663+27</f>
        <v>148</v>
      </c>
      <c r="AH663" s="8">
        <f>IF($J663=0,0,ROUND(MAX($J663*1.4*1.5*1.6*1.6*2.2*2.715*2.6*1.4*1.4*1.5*1.5*3.2,60500000000*(1.654288^(MIN($E663,123)-117)))*1,0))</f>
        <v>453106040991</v>
      </c>
    </row>
    <row r="664" ht="27.75" customHeight="1" spans="1:34" x14ac:dyDescent="0.25">
      <c r="A664" s="3">
        <v>674</v>
      </c>
      <c r="B664" s="3" t="s">
        <v>80</v>
      </c>
      <c r="C664" s="3" t="s">
        <v>641</v>
      </c>
      <c r="D664" s="3" t="s">
        <v>45</v>
      </c>
      <c r="E664" s="3">
        <v>121</v>
      </c>
      <c r="F664" s="3" t="s">
        <v>71</v>
      </c>
      <c r="G664" s="3" t="s">
        <v>71</v>
      </c>
      <c r="H664" s="3">
        <v>31</v>
      </c>
      <c r="I664" s="4">
        <v>121</v>
      </c>
      <c r="J664" s="5">
        <v>2390000</v>
      </c>
      <c r="K664" s="6">
        <f>$E664+1</f>
        <v>122</v>
      </c>
      <c r="L664" s="7">
        <f>IF($J664=0,0,ROUND(MAX($J664*1.4,1620000*(1.497923^(MIN($E664,123)-117)))*1,0))</f>
        <v>8155920</v>
      </c>
      <c r="M664" s="4">
        <f>$E664+2</f>
        <v>123</v>
      </c>
      <c r="N664" s="8">
        <f>IF($J664=0,0,ROUND(MAX($J664*1.4*1.5,2190000*(1.580994^(MIN($E664,123)-117)))*1,0))</f>
        <v>13682486</v>
      </c>
      <c r="O664" s="6">
        <f>$E664+4</f>
        <v>125</v>
      </c>
      <c r="P664" s="7">
        <f>IF($J664=0,0,ROUND(MAX($J664*1.4*1.5*1.6,3500000*(1.57975^(MIN($E664,123)-117)))*1,0))</f>
        <v>21798244</v>
      </c>
      <c r="Q664" s="4">
        <f>$E664+6</f>
        <v>127</v>
      </c>
      <c r="R664" s="8">
        <f>IF($J664=0,0,ROUND(MAX($J664*1.4*1.5*1.6*1.6,13100000*(1.429962^(MIN($E664,123)-117)))*1,0))</f>
        <v>54773347</v>
      </c>
      <c r="S664" s="6">
        <f>$E664+8</f>
        <v>129</v>
      </c>
      <c r="T664" s="7">
        <f>IF($J664=0,0,ROUND(MAX($J664*1.4*1.5*1.6*1.6*2.2,42600000*(1.576904^(MIN($E664,123)-117)))*1,0))</f>
        <v>263409005</v>
      </c>
      <c r="U664" s="4">
        <f>$E664+11</f>
        <v>132</v>
      </c>
      <c r="V664" s="8">
        <f>IF($J664=0,0,ROUND(MAX($J664*1.4*1.5*1.6*1.6*2.2*2.715,354000000*(1.642074^(MIN($E664,123)-117)))*1,0))</f>
        <v>2573796232</v>
      </c>
      <c r="W664" s="6">
        <f>$E664+15</f>
        <v>136</v>
      </c>
      <c r="X664" s="7">
        <f>IF($J664=0,0,ROUND(MAX($J664*1.4*1.5*1.6*1.6*2.2*2.715*2.6,3540000000*(1.579646^(MIN($E664,123)-117)))*1,0))</f>
        <v>22041561106</v>
      </c>
      <c r="Y664" s="4">
        <f>$E664+17</f>
        <v>138</v>
      </c>
      <c r="Z664" s="8">
        <f>IF($J664=0,0,ROUND(MAX($J664*1.4*1.5*1.6*1.6*2.2*2.715*2.6*1.4,6020000000*(1.651178^(MIN($E664,123)-117)))*1,0))</f>
        <v>44747838846</v>
      </c>
      <c r="AA664" s="6">
        <f>$E664+19</f>
        <v>140</v>
      </c>
      <c r="AB664" s="7">
        <f>IF($J664=0,0,ROUND(MAX($J664*1.4*1.5*1.6*1.6*2.2*2.715*2.6*1.4*1.4,8430000000*(1.651435^(MIN($E664,123)-117)))*1,0))</f>
        <v>62700862258</v>
      </c>
      <c r="AC664" s="4">
        <f>$E664+21</f>
        <v>142</v>
      </c>
      <c r="AD664" s="8">
        <f>IF($J664=0,0,ROUND(MAX($J664*1.4*1.5*1.6*1.6*2.2*2.715*2.6*1.4*1.4*1.5,12600000000*(1.652953^(MIN($E664,123)-117)))*1,0))</f>
        <v>94061644049</v>
      </c>
      <c r="AE664" s="6">
        <f>$E664+24</f>
        <v>145</v>
      </c>
      <c r="AF664" s="7">
        <f>IF($J664=0,0,ROUND(MAX($J664*1.4*1.5*1.6*1.6*2.2*2.715*2.6*1.4*1.4*1.5*1.5,18900000000*(1.65331^(MIN($E664,123)-117)))*1,0))</f>
        <v>141214396536</v>
      </c>
      <c r="AG664" s="4">
        <f>$E664+27</f>
        <v>148</v>
      </c>
      <c r="AH664" s="8">
        <f>IF($J664=0,0,ROUND(MAX($J664*1.4*1.5*1.6*1.6*2.2*2.715*2.6*1.4*1.4*1.5*1.5*3.2,60500000000*(1.654288^(MIN($E664,123)-117)))*1,0))</f>
        <v>453106040991</v>
      </c>
    </row>
    <row r="665" ht="27.75" customHeight="1" spans="1:34" x14ac:dyDescent="0.25">
      <c r="A665" s="3">
        <v>675</v>
      </c>
      <c r="B665" s="3" t="s">
        <v>142</v>
      </c>
      <c r="C665" s="3" t="s">
        <v>641</v>
      </c>
      <c r="D665" s="3" t="s">
        <v>102</v>
      </c>
      <c r="E665" s="3">
        <v>121</v>
      </c>
      <c r="F665" s="3" t="s">
        <v>34</v>
      </c>
      <c r="G665" s="3" t="s">
        <v>34</v>
      </c>
      <c r="H665" s="3">
        <v>31</v>
      </c>
      <c r="I665" s="4">
        <v>121</v>
      </c>
      <c r="J665" s="5">
        <v>2390000</v>
      </c>
      <c r="K665" s="6">
        <f>$E665+1</f>
        <v>122</v>
      </c>
      <c r="L665" s="7">
        <f>IF($J665=0,0,ROUND(MAX($J665*1.4,1620000*(1.497923^(MIN($E665,123)-117)))*1,0))</f>
        <v>8155920</v>
      </c>
      <c r="M665" s="4">
        <f>$E665+2</f>
        <v>123</v>
      </c>
      <c r="N665" s="8">
        <f>IF($J665=0,0,ROUND(MAX($J665*1.4*1.5,2190000*(1.580994^(MIN($E665,123)-117)))*1,0))</f>
        <v>13682486</v>
      </c>
      <c r="O665" s="6">
        <f>$E665+4</f>
        <v>125</v>
      </c>
      <c r="P665" s="7">
        <f>IF($J665=0,0,ROUND(MAX($J665*1.4*1.5*1.6,3500000*(1.57975^(MIN($E665,123)-117)))*1,0))</f>
        <v>21798244</v>
      </c>
      <c r="Q665" s="4">
        <f>$E665+6</f>
        <v>127</v>
      </c>
      <c r="R665" s="8">
        <f>IF($J665=0,0,ROUND(MAX($J665*1.4*1.5*1.6*1.6,13100000*(1.429962^(MIN($E665,123)-117)))*1,0))</f>
        <v>54773347</v>
      </c>
      <c r="S665" s="6">
        <f>$E665+8</f>
        <v>129</v>
      </c>
      <c r="T665" s="7">
        <f>IF($J665=0,0,ROUND(MAX($J665*1.4*1.5*1.6*1.6*2.2,42600000*(1.576904^(MIN($E665,123)-117)))*1,0))</f>
        <v>263409005</v>
      </c>
      <c r="U665" s="4">
        <f>$E665+11</f>
        <v>132</v>
      </c>
      <c r="V665" s="8">
        <f>IF($J665=0,0,ROUND(MAX($J665*1.4*1.5*1.6*1.6*2.2*2.715,354000000*(1.642074^(MIN($E665,123)-117)))*1,0))</f>
        <v>2573796232</v>
      </c>
      <c r="W665" s="6">
        <f>$E665+15</f>
        <v>136</v>
      </c>
      <c r="X665" s="7">
        <f>IF($J665=0,0,ROUND(MAX($J665*1.4*1.5*1.6*1.6*2.2*2.715*2.6,3540000000*(1.579646^(MIN($E665,123)-117)))*1,0))</f>
        <v>22041561106</v>
      </c>
      <c r="Y665" s="4">
        <f>$E665+17</f>
        <v>138</v>
      </c>
      <c r="Z665" s="8">
        <f>IF($J665=0,0,ROUND(MAX($J665*1.4*1.5*1.6*1.6*2.2*2.715*2.6*1.4,6020000000*(1.651178^(MIN($E665,123)-117)))*1,0))</f>
        <v>44747838846</v>
      </c>
      <c r="AA665" s="6">
        <f>$E665+19</f>
        <v>140</v>
      </c>
      <c r="AB665" s="7">
        <f>IF($J665=0,0,ROUND(MAX($J665*1.4*1.5*1.6*1.6*2.2*2.715*2.6*1.4*1.4,8430000000*(1.651435^(MIN($E665,123)-117)))*1,0))</f>
        <v>62700862258</v>
      </c>
      <c r="AC665" s="4">
        <f>$E665+21</f>
        <v>142</v>
      </c>
      <c r="AD665" s="8">
        <f>IF($J665=0,0,ROUND(MAX($J665*1.4*1.5*1.6*1.6*2.2*2.715*2.6*1.4*1.4*1.5,12600000000*(1.652953^(MIN($E665,123)-117)))*1,0))</f>
        <v>94061644049</v>
      </c>
      <c r="AE665" s="6">
        <f>$E665+24</f>
        <v>145</v>
      </c>
      <c r="AF665" s="7">
        <f>IF($J665=0,0,ROUND(MAX($J665*1.4*1.5*1.6*1.6*2.2*2.715*2.6*1.4*1.4*1.5*1.5,18900000000*(1.65331^(MIN($E665,123)-117)))*1,0))</f>
        <v>141214396536</v>
      </c>
      <c r="AG665" s="4">
        <f>$E665+27</f>
        <v>148</v>
      </c>
      <c r="AH665" s="8">
        <f>IF($J665=0,0,ROUND(MAX($J665*1.4*1.5*1.6*1.6*2.2*2.715*2.6*1.4*1.4*1.5*1.5*3.2,60500000000*(1.654288^(MIN($E665,123)-117)))*1,0))</f>
        <v>453106040991</v>
      </c>
    </row>
    <row r="666" ht="27.75" customHeight="1" spans="1:34" x14ac:dyDescent="0.25">
      <c r="A666" s="3">
        <v>676</v>
      </c>
      <c r="B666" s="3" t="s">
        <v>654</v>
      </c>
      <c r="C666" s="3" t="s">
        <v>641</v>
      </c>
      <c r="D666" s="3" t="s">
        <v>25</v>
      </c>
      <c r="E666" s="3">
        <v>121</v>
      </c>
      <c r="F666" s="3" t="s">
        <v>42</v>
      </c>
      <c r="G666" s="3" t="s">
        <v>42</v>
      </c>
      <c r="H666" s="3">
        <v>31</v>
      </c>
      <c r="I666" s="4">
        <v>121</v>
      </c>
      <c r="J666" s="5">
        <v>2390000</v>
      </c>
      <c r="K666" s="6">
        <f>$E666+1</f>
        <v>122</v>
      </c>
      <c r="L666" s="7">
        <f>IF($J666=0,0,ROUND(MAX($J666*1.4,1620000*(1.497923^(MIN($E666,123)-117)))*1,0))</f>
        <v>8155920</v>
      </c>
      <c r="M666" s="4">
        <f>$E666+2</f>
        <v>123</v>
      </c>
      <c r="N666" s="8">
        <f>IF($J666=0,0,ROUND(MAX($J666*1.4*1.5,2190000*(1.580994^(MIN($E666,123)-117)))*1,0))</f>
        <v>13682486</v>
      </c>
      <c r="O666" s="6">
        <f>$E666+4</f>
        <v>125</v>
      </c>
      <c r="P666" s="7">
        <f>IF($J666=0,0,ROUND(MAX($J666*1.4*1.5*1.6,3500000*(1.57975^(MIN($E666,123)-117)))*1,0))</f>
        <v>21798244</v>
      </c>
      <c r="Q666" s="4">
        <f>$E666+6</f>
        <v>127</v>
      </c>
      <c r="R666" s="8">
        <f>IF($J666=0,0,ROUND(MAX($J666*1.4*1.5*1.6*1.6,13100000*(1.429962^(MIN($E666,123)-117)))*1,0))</f>
        <v>54773347</v>
      </c>
      <c r="S666" s="6">
        <f>$E666+8</f>
        <v>129</v>
      </c>
      <c r="T666" s="7">
        <f>IF($J666=0,0,ROUND(MAX($J666*1.4*1.5*1.6*1.6*2.2,42600000*(1.576904^(MIN($E666,123)-117)))*1,0))</f>
        <v>263409005</v>
      </c>
      <c r="U666" s="4">
        <f>$E666+11</f>
        <v>132</v>
      </c>
      <c r="V666" s="8">
        <f>IF($J666=0,0,ROUND(MAX($J666*1.4*1.5*1.6*1.6*2.2*2.715,354000000*(1.642074^(MIN($E666,123)-117)))*1,0))</f>
        <v>2573796232</v>
      </c>
      <c r="W666" s="6">
        <f>$E666+15</f>
        <v>136</v>
      </c>
      <c r="X666" s="7">
        <f>IF($J666=0,0,ROUND(MAX($J666*1.4*1.5*1.6*1.6*2.2*2.715*2.6,3540000000*(1.579646^(MIN($E666,123)-117)))*1,0))</f>
        <v>22041561106</v>
      </c>
      <c r="Y666" s="4">
        <f>$E666+17</f>
        <v>138</v>
      </c>
      <c r="Z666" s="8">
        <f>IF($J666=0,0,ROUND(MAX($J666*1.4*1.5*1.6*1.6*2.2*2.715*2.6*1.4,6020000000*(1.651178^(MIN($E666,123)-117)))*1,0))</f>
        <v>44747838846</v>
      </c>
      <c r="AA666" s="6">
        <f>$E666+19</f>
        <v>140</v>
      </c>
      <c r="AB666" s="7">
        <f>IF($J666=0,0,ROUND(MAX($J666*1.4*1.5*1.6*1.6*2.2*2.715*2.6*1.4*1.4,8430000000*(1.651435^(MIN($E666,123)-117)))*1,0))</f>
        <v>62700862258</v>
      </c>
      <c r="AC666" s="4">
        <f>$E666+21</f>
        <v>142</v>
      </c>
      <c r="AD666" s="8">
        <f>IF($J666=0,0,ROUND(MAX($J666*1.4*1.5*1.6*1.6*2.2*2.715*2.6*1.4*1.4*1.5,12600000000*(1.652953^(MIN($E666,123)-117)))*1,0))</f>
        <v>94061644049</v>
      </c>
      <c r="AE666" s="6">
        <f>$E666+24</f>
        <v>145</v>
      </c>
      <c r="AF666" s="7">
        <f>IF($J666=0,0,ROUND(MAX($J666*1.4*1.5*1.6*1.6*2.2*2.715*2.6*1.4*1.4*1.5*1.5,18900000000*(1.65331^(MIN($E666,123)-117)))*1,0))</f>
        <v>141214396536</v>
      </c>
      <c r="AG666" s="4">
        <f>$E666+27</f>
        <v>148</v>
      </c>
      <c r="AH666" s="8">
        <f>IF($J666=0,0,ROUND(MAX($J666*1.4*1.5*1.6*1.6*2.2*2.715*2.6*1.4*1.4*1.5*1.5*3.2,60500000000*(1.654288^(MIN($E666,123)-117)))*1,0))</f>
        <v>453106040991</v>
      </c>
    </row>
    <row r="667" ht="27.75" customHeight="1" spans="1:34" x14ac:dyDescent="0.25">
      <c r="A667" s="3">
        <v>677</v>
      </c>
      <c r="B667" s="3" t="s">
        <v>167</v>
      </c>
      <c r="C667" s="3" t="s">
        <v>641</v>
      </c>
      <c r="D667" s="3" t="s">
        <v>25</v>
      </c>
      <c r="E667" s="3">
        <v>121</v>
      </c>
      <c r="F667" s="3" t="s">
        <v>168</v>
      </c>
      <c r="G667" s="3" t="s">
        <v>168</v>
      </c>
      <c r="H667" s="3">
        <v>31</v>
      </c>
      <c r="I667" s="4">
        <v>121</v>
      </c>
      <c r="J667" s="5">
        <v>2420000</v>
      </c>
      <c r="K667" s="6">
        <f>$E667+1</f>
        <v>122</v>
      </c>
      <c r="L667" s="7">
        <f>IF($J667=0,0,ROUND(MAX($J667*1.4,1620000*(1.497923^(MIN($E667,123)-117)))*1,0))</f>
        <v>8155920</v>
      </c>
      <c r="M667" s="4">
        <f>$E667+2</f>
        <v>123</v>
      </c>
      <c r="N667" s="8">
        <f>IF($J667=0,0,ROUND(MAX($J667*1.4*1.5,2190000*(1.580994^(MIN($E667,123)-117)))*1,0))</f>
        <v>13682486</v>
      </c>
      <c r="O667" s="6">
        <f>$E667+4</f>
        <v>125</v>
      </c>
      <c r="P667" s="7">
        <f>IF($J667=0,0,ROUND(MAX($J667*1.4*1.5*1.6,3500000*(1.57975^(MIN($E667,123)-117)))*1,0))</f>
        <v>21798244</v>
      </c>
      <c r="Q667" s="4">
        <f>$E667+6</f>
        <v>127</v>
      </c>
      <c r="R667" s="8">
        <f>IF($J667=0,0,ROUND(MAX($J667*1.4*1.5*1.6*1.6,13100000*(1.429962^(MIN($E667,123)-117)))*1,0))</f>
        <v>54773347</v>
      </c>
      <c r="S667" s="6">
        <f>$E667+8</f>
        <v>129</v>
      </c>
      <c r="T667" s="7">
        <f>IF($J667=0,0,ROUND(MAX($J667*1.4*1.5*1.6*1.6*2.2,42600000*(1.576904^(MIN($E667,123)-117)))*1,0))</f>
        <v>263409005</v>
      </c>
      <c r="U667" s="4">
        <f>$E667+11</f>
        <v>132</v>
      </c>
      <c r="V667" s="8">
        <f>IF($J667=0,0,ROUND(MAX($J667*1.4*1.5*1.6*1.6*2.2*2.715,354000000*(1.642074^(MIN($E667,123)-117)))*1,0))</f>
        <v>2573796232</v>
      </c>
      <c r="W667" s="6">
        <f>$E667+15</f>
        <v>136</v>
      </c>
      <c r="X667" s="7">
        <f>IF($J667=0,0,ROUND(MAX($J667*1.4*1.5*1.6*1.6*2.2*2.715*2.6,3540000000*(1.579646^(MIN($E667,123)-117)))*1,0))</f>
        <v>22041561106</v>
      </c>
      <c r="Y667" s="4">
        <f>$E667+17</f>
        <v>138</v>
      </c>
      <c r="Z667" s="8">
        <f>IF($J667=0,0,ROUND(MAX($J667*1.4*1.5*1.6*1.6*2.2*2.715*2.6*1.4,6020000000*(1.651178^(MIN($E667,123)-117)))*1,0))</f>
        <v>44747838846</v>
      </c>
      <c r="AA667" s="6">
        <f>$E667+19</f>
        <v>140</v>
      </c>
      <c r="AB667" s="7">
        <f>IF($J667=0,0,ROUND(MAX($J667*1.4*1.5*1.6*1.6*2.2*2.715*2.6*1.4*1.4,8430000000*(1.651435^(MIN($E667,123)-117)))*1,0))</f>
        <v>62700862258</v>
      </c>
      <c r="AC667" s="4">
        <f>$E667+21</f>
        <v>142</v>
      </c>
      <c r="AD667" s="8">
        <f>IF($J667=0,0,ROUND(MAX($J667*1.4*1.5*1.6*1.6*2.2*2.715*2.6*1.4*1.4*1.5,12600000000*(1.652953^(MIN($E667,123)-117)))*1,0))</f>
        <v>94061644049</v>
      </c>
      <c r="AE667" s="6">
        <f>$E667+24</f>
        <v>145</v>
      </c>
      <c r="AF667" s="7">
        <f>IF($J667=0,0,ROUND(MAX($J667*1.4*1.5*1.6*1.6*2.2*2.715*2.6*1.4*1.4*1.5*1.5,18900000000*(1.65331^(MIN($E667,123)-117)))*1,0))</f>
        <v>141214396536</v>
      </c>
      <c r="AG667" s="4">
        <f>$E667+27</f>
        <v>148</v>
      </c>
      <c r="AH667" s="8">
        <f>IF($J667=0,0,ROUND(MAX($J667*1.4*1.5*1.6*1.6*2.2*2.715*2.6*1.4*1.4*1.5*1.5*3.2,60500000000*(1.654288^(MIN($E667,123)-117)))*1,0))</f>
        <v>453106040991</v>
      </c>
    </row>
    <row r="668" ht="27.75" customHeight="1" spans="1:34" x14ac:dyDescent="0.25">
      <c r="A668" s="3">
        <v>678</v>
      </c>
      <c r="B668" s="3" t="s">
        <v>81</v>
      </c>
      <c r="C668" s="3" t="s">
        <v>641</v>
      </c>
      <c r="D668" s="3" t="s">
        <v>25</v>
      </c>
      <c r="E668" s="3">
        <v>121</v>
      </c>
      <c r="F668" s="3" t="s">
        <v>30</v>
      </c>
      <c r="G668" s="3" t="s">
        <v>30</v>
      </c>
      <c r="H668" s="3">
        <v>31</v>
      </c>
      <c r="I668" s="4">
        <v>121</v>
      </c>
      <c r="J668" s="5">
        <v>2390000</v>
      </c>
      <c r="K668" s="6">
        <f>$E668+1</f>
        <v>122</v>
      </c>
      <c r="L668" s="7">
        <f>IF($J668=0,0,ROUND(MAX($J668*1.4,1620000*(1.497923^(MIN($E668,123)-117)))*1,0))</f>
        <v>8155920</v>
      </c>
      <c r="M668" s="4">
        <f>$E668+2</f>
        <v>123</v>
      </c>
      <c r="N668" s="8">
        <f>IF($J668=0,0,ROUND(MAX($J668*1.4*1.5,2190000*(1.580994^(MIN($E668,123)-117)))*1,0))</f>
        <v>13682486</v>
      </c>
      <c r="O668" s="6">
        <f>$E668+4</f>
        <v>125</v>
      </c>
      <c r="P668" s="7">
        <f>IF($J668=0,0,ROUND(MAX($J668*1.4*1.5*1.6,3500000*(1.57975^(MIN($E668,123)-117)))*1,0))</f>
        <v>21798244</v>
      </c>
      <c r="Q668" s="4">
        <f>$E668+6</f>
        <v>127</v>
      </c>
      <c r="R668" s="8">
        <f>IF($J668=0,0,ROUND(MAX($J668*1.4*1.5*1.6*1.6,13100000*(1.429962^(MIN($E668,123)-117)))*1,0))</f>
        <v>54773347</v>
      </c>
      <c r="S668" s="6">
        <f>$E668+8</f>
        <v>129</v>
      </c>
      <c r="T668" s="7">
        <f>IF($J668=0,0,ROUND(MAX($J668*1.4*1.5*1.6*1.6*2.2,42600000*(1.576904^(MIN($E668,123)-117)))*1,0))</f>
        <v>263409005</v>
      </c>
      <c r="U668" s="4">
        <f>$E668+11</f>
        <v>132</v>
      </c>
      <c r="V668" s="8">
        <f>IF($J668=0,0,ROUND(MAX($J668*1.4*1.5*1.6*1.6*2.2*2.715,354000000*(1.642074^(MIN($E668,123)-117)))*1,0))</f>
        <v>2573796232</v>
      </c>
      <c r="W668" s="6">
        <f>$E668+15</f>
        <v>136</v>
      </c>
      <c r="X668" s="7">
        <f>IF($J668=0,0,ROUND(MAX($J668*1.4*1.5*1.6*1.6*2.2*2.715*2.6,3540000000*(1.579646^(MIN($E668,123)-117)))*1,0))</f>
        <v>22041561106</v>
      </c>
      <c r="Y668" s="4">
        <f>$E668+17</f>
        <v>138</v>
      </c>
      <c r="Z668" s="8">
        <f>IF($J668=0,0,ROUND(MAX($J668*1.4*1.5*1.6*1.6*2.2*2.715*2.6*1.4,6020000000*(1.651178^(MIN($E668,123)-117)))*1,0))</f>
        <v>44747838846</v>
      </c>
      <c r="AA668" s="6">
        <f>$E668+19</f>
        <v>140</v>
      </c>
      <c r="AB668" s="7">
        <f>IF($J668=0,0,ROUND(MAX($J668*1.4*1.5*1.6*1.6*2.2*2.715*2.6*1.4*1.4,8430000000*(1.651435^(MIN($E668,123)-117)))*1,0))</f>
        <v>62700862258</v>
      </c>
      <c r="AC668" s="4">
        <f>$E668+21</f>
        <v>142</v>
      </c>
      <c r="AD668" s="8">
        <f>IF($J668=0,0,ROUND(MAX($J668*1.4*1.5*1.6*1.6*2.2*2.715*2.6*1.4*1.4*1.5,12600000000*(1.652953^(MIN($E668,123)-117)))*1,0))</f>
        <v>94061644049</v>
      </c>
      <c r="AE668" s="6">
        <f>$E668+24</f>
        <v>145</v>
      </c>
      <c r="AF668" s="7">
        <f>IF($J668=0,0,ROUND(MAX($J668*1.4*1.5*1.6*1.6*2.2*2.715*2.6*1.4*1.4*1.5*1.5,18900000000*(1.65331^(MIN($E668,123)-117)))*1,0))</f>
        <v>141214396536</v>
      </c>
      <c r="AG668" s="4">
        <f>$E668+27</f>
        <v>148</v>
      </c>
      <c r="AH668" s="8">
        <f>IF($J668=0,0,ROUND(MAX($J668*1.4*1.5*1.6*1.6*2.2*2.715*2.6*1.4*1.4*1.5*1.5*3.2,60500000000*(1.654288^(MIN($E668,123)-117)))*1,0))</f>
        <v>453106040991</v>
      </c>
    </row>
    <row r="669" ht="27.75" customHeight="1" spans="1:34" x14ac:dyDescent="0.25">
      <c r="A669" s="3">
        <v>679</v>
      </c>
      <c r="B669" s="3" t="s">
        <v>154</v>
      </c>
      <c r="C669" s="3" t="s">
        <v>641</v>
      </c>
      <c r="D669" s="3" t="s">
        <v>45</v>
      </c>
      <c r="E669" s="3">
        <v>121</v>
      </c>
      <c r="F669" s="3" t="s">
        <v>34</v>
      </c>
      <c r="G669" s="3" t="s">
        <v>34</v>
      </c>
      <c r="H669" s="3">
        <v>31</v>
      </c>
      <c r="I669" s="4">
        <v>121</v>
      </c>
      <c r="J669" s="5">
        <v>2390000</v>
      </c>
      <c r="K669" s="6">
        <f>$E669+1</f>
        <v>122</v>
      </c>
      <c r="L669" s="7">
        <f>IF($J669=0,0,ROUND(MAX($J669*1.4,1620000*(1.497923^(MIN($E669,123)-117)))*1,0))</f>
        <v>8155920</v>
      </c>
      <c r="M669" s="4">
        <f>$E669+2</f>
        <v>123</v>
      </c>
      <c r="N669" s="8">
        <f>IF($J669=0,0,ROUND(MAX($J669*1.4*1.5,2190000*(1.580994^(MIN($E669,123)-117)))*1,0))</f>
        <v>13682486</v>
      </c>
      <c r="O669" s="6">
        <f>$E669+4</f>
        <v>125</v>
      </c>
      <c r="P669" s="7">
        <f>IF($J669=0,0,ROUND(MAX($J669*1.4*1.5*1.6,3500000*(1.57975^(MIN($E669,123)-117)))*1,0))</f>
        <v>21798244</v>
      </c>
      <c r="Q669" s="4">
        <f>$E669+6</f>
        <v>127</v>
      </c>
      <c r="R669" s="8">
        <f>IF($J669=0,0,ROUND(MAX($J669*1.4*1.5*1.6*1.6,13100000*(1.429962^(MIN($E669,123)-117)))*1,0))</f>
        <v>54773347</v>
      </c>
      <c r="S669" s="6">
        <f>$E669+8</f>
        <v>129</v>
      </c>
      <c r="T669" s="7">
        <f>IF($J669=0,0,ROUND(MAX($J669*1.4*1.5*1.6*1.6*2.2,42600000*(1.576904^(MIN($E669,123)-117)))*1,0))</f>
        <v>263409005</v>
      </c>
      <c r="U669" s="4">
        <f>$E669+11</f>
        <v>132</v>
      </c>
      <c r="V669" s="8">
        <f>IF($J669=0,0,ROUND(MAX($J669*1.4*1.5*1.6*1.6*2.2*2.715,354000000*(1.642074^(MIN($E669,123)-117)))*1,0))</f>
        <v>2573796232</v>
      </c>
      <c r="W669" s="6">
        <f>$E669+15</f>
        <v>136</v>
      </c>
      <c r="X669" s="7">
        <f>IF($J669=0,0,ROUND(MAX($J669*1.4*1.5*1.6*1.6*2.2*2.715*2.6,3540000000*(1.579646^(MIN($E669,123)-117)))*1,0))</f>
        <v>22041561106</v>
      </c>
      <c r="Y669" s="4">
        <f>$E669+17</f>
        <v>138</v>
      </c>
      <c r="Z669" s="8">
        <f>IF($J669=0,0,ROUND(MAX($J669*1.4*1.5*1.6*1.6*2.2*2.715*2.6*1.4,6020000000*(1.651178^(MIN($E669,123)-117)))*1,0))</f>
        <v>44747838846</v>
      </c>
      <c r="AA669" s="6">
        <f>$E669+19</f>
        <v>140</v>
      </c>
      <c r="AB669" s="7">
        <f>IF($J669=0,0,ROUND(MAX($J669*1.4*1.5*1.6*1.6*2.2*2.715*2.6*1.4*1.4,8430000000*(1.651435^(MIN($E669,123)-117)))*1,0))</f>
        <v>62700862258</v>
      </c>
      <c r="AC669" s="4">
        <f>$E669+21</f>
        <v>142</v>
      </c>
      <c r="AD669" s="8">
        <f>IF($J669=0,0,ROUND(MAX($J669*1.4*1.5*1.6*1.6*2.2*2.715*2.6*1.4*1.4*1.5,12600000000*(1.652953^(MIN($E669,123)-117)))*1,0))</f>
        <v>94061644049</v>
      </c>
      <c r="AE669" s="6">
        <f>$E669+24</f>
        <v>145</v>
      </c>
      <c r="AF669" s="7">
        <f>IF($J669=0,0,ROUND(MAX($J669*1.4*1.5*1.6*1.6*2.2*2.715*2.6*1.4*1.4*1.5*1.5,18900000000*(1.65331^(MIN($E669,123)-117)))*1,0))</f>
        <v>141214396536</v>
      </c>
      <c r="AG669" s="4">
        <f>$E669+27</f>
        <v>148</v>
      </c>
      <c r="AH669" s="8">
        <f>IF($J669=0,0,ROUND(MAX($J669*1.4*1.5*1.6*1.6*2.2*2.715*2.6*1.4*1.4*1.5*1.5*3.2,60500000000*(1.654288^(MIN($E669,123)-117)))*1,0))</f>
        <v>453106040991</v>
      </c>
    </row>
    <row r="670" ht="27.75" customHeight="1" spans="1:34" x14ac:dyDescent="0.25">
      <c r="A670" s="3">
        <v>680</v>
      </c>
      <c r="B670" s="3" t="s">
        <v>129</v>
      </c>
      <c r="C670" s="3" t="s">
        <v>641</v>
      </c>
      <c r="D670" s="3" t="s">
        <v>102</v>
      </c>
      <c r="E670" s="3">
        <v>121</v>
      </c>
      <c r="F670" s="3" t="s">
        <v>30</v>
      </c>
      <c r="G670" s="3" t="s">
        <v>30</v>
      </c>
      <c r="H670" s="3">
        <v>31</v>
      </c>
      <c r="I670" s="4">
        <v>121</v>
      </c>
      <c r="J670" s="5">
        <v>2390000</v>
      </c>
      <c r="K670" s="6">
        <f>$E670+1</f>
        <v>122</v>
      </c>
      <c r="L670" s="7">
        <f>IF($J670=0,0,ROUND(MAX($J670*1.4,1620000*(1.497923^(MIN($E670,123)-117)))*1,0))</f>
        <v>8155920</v>
      </c>
      <c r="M670" s="4">
        <f>$E670+2</f>
        <v>123</v>
      </c>
      <c r="N670" s="8">
        <f>IF($J670=0,0,ROUND(MAX($J670*1.4*1.5,2190000*(1.580994^(MIN($E670,123)-117)))*1,0))</f>
        <v>13682486</v>
      </c>
      <c r="O670" s="6">
        <f>$E670+4</f>
        <v>125</v>
      </c>
      <c r="P670" s="7">
        <f>IF($J670=0,0,ROUND(MAX($J670*1.4*1.5*1.6,3500000*(1.57975^(MIN($E670,123)-117)))*1,0))</f>
        <v>21798244</v>
      </c>
      <c r="Q670" s="4">
        <f>$E670+6</f>
        <v>127</v>
      </c>
      <c r="R670" s="8">
        <f>IF($J670=0,0,ROUND(MAX($J670*1.4*1.5*1.6*1.6,13100000*(1.429962^(MIN($E670,123)-117)))*1,0))</f>
        <v>54773347</v>
      </c>
      <c r="S670" s="6">
        <f>$E670+8</f>
        <v>129</v>
      </c>
      <c r="T670" s="7">
        <f>IF($J670=0,0,ROUND(MAX($J670*1.4*1.5*1.6*1.6*2.2,42600000*(1.576904^(MIN($E670,123)-117)))*1,0))</f>
        <v>263409005</v>
      </c>
      <c r="U670" s="4">
        <f>$E670+11</f>
        <v>132</v>
      </c>
      <c r="V670" s="8">
        <f>IF($J670=0,0,ROUND(MAX($J670*1.4*1.5*1.6*1.6*2.2*2.715,354000000*(1.642074^(MIN($E670,123)-117)))*1,0))</f>
        <v>2573796232</v>
      </c>
      <c r="W670" s="6">
        <f>$E670+15</f>
        <v>136</v>
      </c>
      <c r="X670" s="7">
        <f>IF($J670=0,0,ROUND(MAX($J670*1.4*1.5*1.6*1.6*2.2*2.715*2.6,3540000000*(1.579646^(MIN($E670,123)-117)))*1,0))</f>
        <v>22041561106</v>
      </c>
      <c r="Y670" s="4">
        <f>$E670+17</f>
        <v>138</v>
      </c>
      <c r="Z670" s="8">
        <f>IF($J670=0,0,ROUND(MAX($J670*1.4*1.5*1.6*1.6*2.2*2.715*2.6*1.4,6020000000*(1.651178^(MIN($E670,123)-117)))*1,0))</f>
        <v>44747838846</v>
      </c>
      <c r="AA670" s="6">
        <f>$E670+19</f>
        <v>140</v>
      </c>
      <c r="AB670" s="7">
        <f>IF($J670=0,0,ROUND(MAX($J670*1.4*1.5*1.6*1.6*2.2*2.715*2.6*1.4*1.4,8430000000*(1.651435^(MIN($E670,123)-117)))*1,0))</f>
        <v>62700862258</v>
      </c>
      <c r="AC670" s="4">
        <f>$E670+21</f>
        <v>142</v>
      </c>
      <c r="AD670" s="8">
        <f>IF($J670=0,0,ROUND(MAX($J670*1.4*1.5*1.6*1.6*2.2*2.715*2.6*1.4*1.4*1.5,12600000000*(1.652953^(MIN($E670,123)-117)))*1,0))</f>
        <v>94061644049</v>
      </c>
      <c r="AE670" s="6">
        <f>$E670+24</f>
        <v>145</v>
      </c>
      <c r="AF670" s="7">
        <f>IF($J670=0,0,ROUND(MAX($J670*1.4*1.5*1.6*1.6*2.2*2.715*2.6*1.4*1.4*1.5*1.5,18900000000*(1.65331^(MIN($E670,123)-117)))*1,0))</f>
        <v>141214396536</v>
      </c>
      <c r="AG670" s="4">
        <f>$E670+27</f>
        <v>148</v>
      </c>
      <c r="AH670" s="8">
        <f>IF($J670=0,0,ROUND(MAX($J670*1.4*1.5*1.6*1.6*2.2*2.715*2.6*1.4*1.4*1.5*1.5*3.2,60500000000*(1.654288^(MIN($E670,123)-117)))*1,0))</f>
        <v>453106040991</v>
      </c>
    </row>
    <row r="671" ht="27.75" customHeight="1" spans="1:34" x14ac:dyDescent="0.25">
      <c r="A671" s="3">
        <v>681</v>
      </c>
      <c r="B671" s="3" t="s">
        <v>170</v>
      </c>
      <c r="C671" s="3" t="s">
        <v>641</v>
      </c>
      <c r="D671" s="3" t="s">
        <v>40</v>
      </c>
      <c r="E671" s="3">
        <v>121</v>
      </c>
      <c r="F671" s="3" t="s">
        <v>56</v>
      </c>
      <c r="G671" s="3" t="s">
        <v>56</v>
      </c>
      <c r="H671" s="3">
        <v>31</v>
      </c>
      <c r="I671" s="4">
        <v>121</v>
      </c>
      <c r="J671" s="5">
        <v>2390000</v>
      </c>
      <c r="K671" s="6">
        <f>$E671+1</f>
        <v>122</v>
      </c>
      <c r="L671" s="7">
        <f>IF($J671=0,0,ROUND(MAX($J671*1.4,1620000*(1.497923^(MIN($E671,123)-117)))*1,0))</f>
        <v>8155920</v>
      </c>
      <c r="M671" s="4">
        <f>$E671+2</f>
        <v>123</v>
      </c>
      <c r="N671" s="8">
        <f>IF($J671=0,0,ROUND(MAX($J671*1.4*1.5,2190000*(1.580994^(MIN($E671,123)-117)))*1,0))</f>
        <v>13682486</v>
      </c>
      <c r="O671" s="6">
        <f>$E671+4</f>
        <v>125</v>
      </c>
      <c r="P671" s="7">
        <f>IF($J671=0,0,ROUND(MAX($J671*1.4*1.5*1.6,3500000*(1.57975^(MIN($E671,123)-117)))*1,0))</f>
        <v>21798244</v>
      </c>
      <c r="Q671" s="4">
        <f>$E671+6</f>
        <v>127</v>
      </c>
      <c r="R671" s="8">
        <f>IF($J671=0,0,ROUND(MAX($J671*1.4*1.5*1.6*1.6,13100000*(1.429962^(MIN($E671,123)-117)))*1,0))</f>
        <v>54773347</v>
      </c>
      <c r="S671" s="6">
        <f>$E671+8</f>
        <v>129</v>
      </c>
      <c r="T671" s="7">
        <f>IF($J671=0,0,ROUND(MAX($J671*1.4*1.5*1.6*1.6*2.2,42600000*(1.576904^(MIN($E671,123)-117)))*1,0))</f>
        <v>263409005</v>
      </c>
      <c r="U671" s="4">
        <f>$E671+11</f>
        <v>132</v>
      </c>
      <c r="V671" s="8">
        <f>IF($J671=0,0,ROUND(MAX($J671*1.4*1.5*1.6*1.6*2.2*2.715,354000000*(1.642074^(MIN($E671,123)-117)))*1,0))</f>
        <v>2573796232</v>
      </c>
      <c r="W671" s="6">
        <f>$E671+15</f>
        <v>136</v>
      </c>
      <c r="X671" s="7">
        <f>IF($J671=0,0,ROUND(MAX($J671*1.4*1.5*1.6*1.6*2.2*2.715*2.6,3540000000*(1.579646^(MIN($E671,123)-117)))*1,0))</f>
        <v>22041561106</v>
      </c>
      <c r="Y671" s="4">
        <f>$E671+17</f>
        <v>138</v>
      </c>
      <c r="Z671" s="8">
        <f>IF($J671=0,0,ROUND(MAX($J671*1.4*1.5*1.6*1.6*2.2*2.715*2.6*1.4,6020000000*(1.651178^(MIN($E671,123)-117)))*1,0))</f>
        <v>44747838846</v>
      </c>
      <c r="AA671" s="6">
        <f>$E671+19</f>
        <v>140</v>
      </c>
      <c r="AB671" s="7">
        <f>IF($J671=0,0,ROUND(MAX($J671*1.4*1.5*1.6*1.6*2.2*2.715*2.6*1.4*1.4,8430000000*(1.651435^(MIN($E671,123)-117)))*1,0))</f>
        <v>62700862258</v>
      </c>
      <c r="AC671" s="4">
        <f>$E671+21</f>
        <v>142</v>
      </c>
      <c r="AD671" s="8">
        <f>IF($J671=0,0,ROUND(MAX($J671*1.4*1.5*1.6*1.6*2.2*2.715*2.6*1.4*1.4*1.5,12600000000*(1.652953^(MIN($E671,123)-117)))*1,0))</f>
        <v>94061644049</v>
      </c>
      <c r="AE671" s="6">
        <f>$E671+24</f>
        <v>145</v>
      </c>
      <c r="AF671" s="7">
        <f>IF($J671=0,0,ROUND(MAX($J671*1.4*1.5*1.6*1.6*2.2*2.715*2.6*1.4*1.4*1.5*1.5,18900000000*(1.65331^(MIN($E671,123)-117)))*1,0))</f>
        <v>141214396536</v>
      </c>
      <c r="AG671" s="4">
        <f>$E671+27</f>
        <v>148</v>
      </c>
      <c r="AH671" s="8">
        <f>IF($J671=0,0,ROUND(MAX($J671*1.4*1.5*1.6*1.6*2.2*2.715*2.6*1.4*1.4*1.5*1.5*3.2,60500000000*(1.654288^(MIN($E671,123)-117)))*1,0))</f>
        <v>453106040991</v>
      </c>
    </row>
    <row r="672" ht="27.75" customHeight="1" spans="1:34" x14ac:dyDescent="0.25">
      <c r="A672" s="3">
        <v>682</v>
      </c>
      <c r="B672" s="3" t="s">
        <v>105</v>
      </c>
      <c r="C672" s="3" t="s">
        <v>641</v>
      </c>
      <c r="D672" s="3" t="s">
        <v>40</v>
      </c>
      <c r="E672" s="3">
        <v>121</v>
      </c>
      <c r="F672" s="3" t="s">
        <v>26</v>
      </c>
      <c r="G672" s="3" t="s">
        <v>26</v>
      </c>
      <c r="H672" s="3">
        <v>31</v>
      </c>
      <c r="I672" s="4">
        <v>121</v>
      </c>
      <c r="J672" s="5">
        <v>2390000</v>
      </c>
      <c r="K672" s="6">
        <f>$E672+1</f>
        <v>122</v>
      </c>
      <c r="L672" s="7">
        <f>IF($J672=0,0,ROUND(MAX($J672*1.4,1620000*(1.497923^(MIN($E672,123)-117)))*1,0))</f>
        <v>8155920</v>
      </c>
      <c r="M672" s="4">
        <f>$E672+2</f>
        <v>123</v>
      </c>
      <c r="N672" s="8">
        <f>IF($J672=0,0,ROUND(MAX($J672*1.4*1.5,2190000*(1.580994^(MIN($E672,123)-117)))*1,0))</f>
        <v>13682486</v>
      </c>
      <c r="O672" s="6">
        <f>$E672+4</f>
        <v>125</v>
      </c>
      <c r="P672" s="7">
        <f>IF($J672=0,0,ROUND(MAX($J672*1.4*1.5*1.6,3500000*(1.57975^(MIN($E672,123)-117)))*1,0))</f>
        <v>21798244</v>
      </c>
      <c r="Q672" s="4">
        <f>$E672+6</f>
        <v>127</v>
      </c>
      <c r="R672" s="8">
        <f>IF($J672=0,0,ROUND(MAX($J672*1.4*1.5*1.6*1.6,13100000*(1.429962^(MIN($E672,123)-117)))*1,0))</f>
        <v>54773347</v>
      </c>
      <c r="S672" s="6">
        <f>$E672+8</f>
        <v>129</v>
      </c>
      <c r="T672" s="7">
        <f>IF($J672=0,0,ROUND(MAX($J672*1.4*1.5*1.6*1.6*2.2,42600000*(1.576904^(MIN($E672,123)-117)))*1,0))</f>
        <v>263409005</v>
      </c>
      <c r="U672" s="4">
        <f>$E672+11</f>
        <v>132</v>
      </c>
      <c r="V672" s="8">
        <f>IF($J672=0,0,ROUND(MAX($J672*1.4*1.5*1.6*1.6*2.2*2.715,354000000*(1.642074^(MIN($E672,123)-117)))*1,0))</f>
        <v>2573796232</v>
      </c>
      <c r="W672" s="6">
        <f>$E672+15</f>
        <v>136</v>
      </c>
      <c r="X672" s="7">
        <f>IF($J672=0,0,ROUND(MAX($J672*1.4*1.5*1.6*1.6*2.2*2.715*2.6,3540000000*(1.579646^(MIN($E672,123)-117)))*1,0))</f>
        <v>22041561106</v>
      </c>
      <c r="Y672" s="4">
        <f>$E672+17</f>
        <v>138</v>
      </c>
      <c r="Z672" s="8">
        <f>IF($J672=0,0,ROUND(MAX($J672*1.4*1.5*1.6*1.6*2.2*2.715*2.6*1.4,6020000000*(1.651178^(MIN($E672,123)-117)))*1,0))</f>
        <v>44747838846</v>
      </c>
      <c r="AA672" s="6">
        <f>$E672+19</f>
        <v>140</v>
      </c>
      <c r="AB672" s="7">
        <f>IF($J672=0,0,ROUND(MAX($J672*1.4*1.5*1.6*1.6*2.2*2.715*2.6*1.4*1.4,8430000000*(1.651435^(MIN($E672,123)-117)))*1,0))</f>
        <v>62700862258</v>
      </c>
      <c r="AC672" s="4">
        <f>$E672+21</f>
        <v>142</v>
      </c>
      <c r="AD672" s="8">
        <f>IF($J672=0,0,ROUND(MAX($J672*1.4*1.5*1.6*1.6*2.2*2.715*2.6*1.4*1.4*1.5,12600000000*(1.652953^(MIN($E672,123)-117)))*1,0))</f>
        <v>94061644049</v>
      </c>
      <c r="AE672" s="6">
        <f>$E672+24</f>
        <v>145</v>
      </c>
      <c r="AF672" s="7">
        <f>IF($J672=0,0,ROUND(MAX($J672*1.4*1.5*1.6*1.6*2.2*2.715*2.6*1.4*1.4*1.5*1.5,18900000000*(1.65331^(MIN($E672,123)-117)))*1,0))</f>
        <v>141214396536</v>
      </c>
      <c r="AG672" s="4">
        <f>$E672+27</f>
        <v>148</v>
      </c>
      <c r="AH672" s="8">
        <f>IF($J672=0,0,ROUND(MAX($J672*1.4*1.5*1.6*1.6*2.2*2.715*2.6*1.4*1.4*1.5*1.5*3.2,60500000000*(1.654288^(MIN($E672,123)-117)))*1,0))</f>
        <v>453106040991</v>
      </c>
    </row>
    <row r="673" ht="27.75" customHeight="1" spans="1:34" x14ac:dyDescent="0.25">
      <c r="A673" s="3">
        <v>683</v>
      </c>
      <c r="B673" s="3" t="s">
        <v>55</v>
      </c>
      <c r="C673" s="3" t="s">
        <v>641</v>
      </c>
      <c r="D673" s="3" t="s">
        <v>25</v>
      </c>
      <c r="E673" s="3">
        <v>121</v>
      </c>
      <c r="F673" s="3" t="s">
        <v>56</v>
      </c>
      <c r="G673" s="3" t="s">
        <v>56</v>
      </c>
      <c r="H673" s="3">
        <v>31</v>
      </c>
      <c r="I673" s="4">
        <v>121</v>
      </c>
      <c r="J673" s="5">
        <v>2390000</v>
      </c>
      <c r="K673" s="6">
        <f>$E673+1</f>
        <v>122</v>
      </c>
      <c r="L673" s="7">
        <f>IF($J673=0,0,ROUND(MAX($J673*1.4,1620000*(1.497923^(MIN($E673,123)-117)))*1,0))</f>
        <v>8155920</v>
      </c>
      <c r="M673" s="4">
        <f>$E673+2</f>
        <v>123</v>
      </c>
      <c r="N673" s="8">
        <f>IF($J673=0,0,ROUND(MAX($J673*1.4*1.5,2190000*(1.580994^(MIN($E673,123)-117)))*1,0))</f>
        <v>13682486</v>
      </c>
      <c r="O673" s="6">
        <f>$E673+4</f>
        <v>125</v>
      </c>
      <c r="P673" s="7">
        <f>IF($J673=0,0,ROUND(MAX($J673*1.4*1.5*1.6,3500000*(1.57975^(MIN($E673,123)-117)))*1,0))</f>
        <v>21798244</v>
      </c>
      <c r="Q673" s="4">
        <f>$E673+6</f>
        <v>127</v>
      </c>
      <c r="R673" s="8">
        <f>IF($J673=0,0,ROUND(MAX($J673*1.4*1.5*1.6*1.6,13100000*(1.429962^(MIN($E673,123)-117)))*1,0))</f>
        <v>54773347</v>
      </c>
      <c r="S673" s="6">
        <f>$E673+8</f>
        <v>129</v>
      </c>
      <c r="T673" s="7">
        <f>IF($J673=0,0,ROUND(MAX($J673*1.4*1.5*1.6*1.6*2.2,42600000*(1.576904^(MIN($E673,123)-117)))*1,0))</f>
        <v>263409005</v>
      </c>
      <c r="U673" s="4">
        <f>$E673+11</f>
        <v>132</v>
      </c>
      <c r="V673" s="8">
        <f>IF($J673=0,0,ROUND(MAX($J673*1.4*1.5*1.6*1.6*2.2*2.715,354000000*(1.642074^(MIN($E673,123)-117)))*1,0))</f>
        <v>2573796232</v>
      </c>
      <c r="W673" s="6">
        <f>$E673+15</f>
        <v>136</v>
      </c>
      <c r="X673" s="7">
        <f>IF($J673=0,0,ROUND(MAX($J673*1.4*1.5*1.6*1.6*2.2*2.715*2.6,3540000000*(1.579646^(MIN($E673,123)-117)))*1,0))</f>
        <v>22041561106</v>
      </c>
      <c r="Y673" s="4">
        <f>$E673+17</f>
        <v>138</v>
      </c>
      <c r="Z673" s="8">
        <f>IF($J673=0,0,ROUND(MAX($J673*1.4*1.5*1.6*1.6*2.2*2.715*2.6*1.4,6020000000*(1.651178^(MIN($E673,123)-117)))*1,0))</f>
        <v>44747838846</v>
      </c>
      <c r="AA673" s="6">
        <f>$E673+19</f>
        <v>140</v>
      </c>
      <c r="AB673" s="7">
        <f>IF($J673=0,0,ROUND(MAX($J673*1.4*1.5*1.6*1.6*2.2*2.715*2.6*1.4*1.4,8430000000*(1.651435^(MIN($E673,123)-117)))*1,0))</f>
        <v>62700862258</v>
      </c>
      <c r="AC673" s="4">
        <f>$E673+21</f>
        <v>142</v>
      </c>
      <c r="AD673" s="8">
        <f>IF($J673=0,0,ROUND(MAX($J673*1.4*1.5*1.6*1.6*2.2*2.715*2.6*1.4*1.4*1.5,12600000000*(1.652953^(MIN($E673,123)-117)))*1,0))</f>
        <v>94061644049</v>
      </c>
      <c r="AE673" s="6">
        <f>$E673+24</f>
        <v>145</v>
      </c>
      <c r="AF673" s="7">
        <f>IF($J673=0,0,ROUND(MAX($J673*1.4*1.5*1.6*1.6*2.2*2.715*2.6*1.4*1.4*1.5*1.5,18900000000*(1.65331^(MIN($E673,123)-117)))*1,0))</f>
        <v>141214396536</v>
      </c>
      <c r="AG673" s="4">
        <f>$E673+27</f>
        <v>148</v>
      </c>
      <c r="AH673" s="8">
        <f>IF($J673=0,0,ROUND(MAX($J673*1.4*1.5*1.6*1.6*2.2*2.715*2.6*1.4*1.4*1.5*1.5*3.2,60500000000*(1.654288^(MIN($E673,123)-117)))*1,0))</f>
        <v>453106040991</v>
      </c>
    </row>
    <row r="674" ht="27.75" customHeight="1" spans="1:34" x14ac:dyDescent="0.25">
      <c r="A674" s="3">
        <v>684</v>
      </c>
      <c r="B674" s="3" t="s">
        <v>655</v>
      </c>
      <c r="C674" s="3" t="s">
        <v>641</v>
      </c>
      <c r="D674" s="3" t="s">
        <v>29</v>
      </c>
      <c r="E674" s="3">
        <v>121</v>
      </c>
      <c r="F674" s="3" t="s">
        <v>120</v>
      </c>
      <c r="G674" s="3" t="s">
        <v>120</v>
      </c>
      <c r="H674" s="3">
        <v>31</v>
      </c>
      <c r="I674" s="4">
        <v>121</v>
      </c>
      <c r="J674" s="5">
        <v>3380000</v>
      </c>
      <c r="K674" s="6">
        <f>$E674+1</f>
        <v>122</v>
      </c>
      <c r="L674" s="7">
        <f>IF($J674=0,0,ROUND(MAX($J674*1.4,1620000*(1.497923^(MIN($E674,123)-117)))*1,0))</f>
        <v>8155920</v>
      </c>
      <c r="M674" s="4">
        <f>$E674+2</f>
        <v>123</v>
      </c>
      <c r="N674" s="8">
        <f>IF($J674=0,0,ROUND(MAX($J674*1.4*1.5,2190000*(1.580994^(MIN($E674,123)-117)))*1,0))</f>
        <v>13682486</v>
      </c>
      <c r="O674" s="6">
        <f>$E674+4</f>
        <v>125</v>
      </c>
      <c r="P674" s="7">
        <f>IF($J674=0,0,ROUND(MAX($J674*1.4*1.5*1.6,3500000*(1.57975^(MIN($E674,123)-117)))*1,0))</f>
        <v>21798244</v>
      </c>
      <c r="Q674" s="4">
        <f>$E674+6</f>
        <v>127</v>
      </c>
      <c r="R674" s="8">
        <f>IF($J674=0,0,ROUND(MAX($J674*1.4*1.5*1.6*1.6,13100000*(1.429962^(MIN($E674,123)-117)))*1,0))</f>
        <v>54773347</v>
      </c>
      <c r="S674" s="6">
        <f>$E674+8</f>
        <v>129</v>
      </c>
      <c r="T674" s="7">
        <f>IF($J674=0,0,ROUND(MAX($J674*1.4*1.5*1.6*1.6*2.2,42600000*(1.576904^(MIN($E674,123)-117)))*1,0))</f>
        <v>263409005</v>
      </c>
      <c r="U674" s="4">
        <f>$E674+11</f>
        <v>132</v>
      </c>
      <c r="V674" s="8">
        <f>IF($J674=0,0,ROUND(MAX($J674*1.4*1.5*1.6*1.6*2.2*2.715,354000000*(1.642074^(MIN($E674,123)-117)))*1,0))</f>
        <v>2573796232</v>
      </c>
      <c r="W674" s="6">
        <f>$E674+15</f>
        <v>136</v>
      </c>
      <c r="X674" s="7">
        <f>IF($J674=0,0,ROUND(MAX($J674*1.4*1.5*1.6*1.6*2.2*2.715*2.6,3540000000*(1.579646^(MIN($E674,123)-117)))*1,0))</f>
        <v>22041561106</v>
      </c>
      <c r="Y674" s="4">
        <f>$E674+17</f>
        <v>138</v>
      </c>
      <c r="Z674" s="8">
        <f>IF($J674=0,0,ROUND(MAX($J674*1.4*1.5*1.6*1.6*2.2*2.715*2.6*1.4,6020000000*(1.651178^(MIN($E674,123)-117)))*1,0))</f>
        <v>44747838846</v>
      </c>
      <c r="AA674" s="6">
        <f>$E674+19</f>
        <v>140</v>
      </c>
      <c r="AB674" s="7">
        <f>IF($J674=0,0,ROUND(MAX($J674*1.4*1.5*1.6*1.6*2.2*2.715*2.6*1.4*1.4,8430000000*(1.651435^(MIN($E674,123)-117)))*1,0))</f>
        <v>62700862258</v>
      </c>
      <c r="AC674" s="4">
        <f>$E674+21</f>
        <v>142</v>
      </c>
      <c r="AD674" s="8">
        <f>IF($J674=0,0,ROUND(MAX($J674*1.4*1.5*1.6*1.6*2.2*2.715*2.6*1.4*1.4*1.5,12600000000*(1.652953^(MIN($E674,123)-117)))*1,0))</f>
        <v>94061644049</v>
      </c>
      <c r="AE674" s="6">
        <f>$E674+24</f>
        <v>145</v>
      </c>
      <c r="AF674" s="7">
        <f>IF($J674=0,0,ROUND(MAX($J674*1.4*1.5*1.6*1.6*2.2*2.715*2.6*1.4*1.4*1.5*1.5,18900000000*(1.65331^(MIN($E674,123)-117)))*1,0))</f>
        <v>141214396536</v>
      </c>
      <c r="AG674" s="4">
        <f>$E674+27</f>
        <v>148</v>
      </c>
      <c r="AH674" s="8">
        <f>IF($J674=0,0,ROUND(MAX($J674*1.4*1.5*1.6*1.6*2.2*2.715*2.6*1.4*1.4*1.5*1.5*3.2,60500000000*(1.654288^(MIN($E674,123)-117)))*1,0))</f>
        <v>453106040991</v>
      </c>
    </row>
    <row r="675" ht="27.75" customHeight="1" spans="1:34" x14ac:dyDescent="0.25">
      <c r="A675" s="3">
        <v>685</v>
      </c>
      <c r="B675" s="3" t="s">
        <v>117</v>
      </c>
      <c r="C675" s="3" t="s">
        <v>641</v>
      </c>
      <c r="D675" s="3" t="s">
        <v>40</v>
      </c>
      <c r="E675" s="3">
        <v>121</v>
      </c>
      <c r="F675" s="3" t="s">
        <v>54</v>
      </c>
      <c r="G675" s="3" t="s">
        <v>54</v>
      </c>
      <c r="H675" s="3">
        <v>32</v>
      </c>
      <c r="I675" s="4">
        <v>121</v>
      </c>
      <c r="J675" s="5">
        <v>2390000</v>
      </c>
      <c r="K675" s="6">
        <f>$E675+1</f>
        <v>122</v>
      </c>
      <c r="L675" s="7">
        <f>IF($J675=0,0,ROUND(MAX($J675*1.4,1620000*(1.497923^(MIN($E675,123)-117)))*1,0))</f>
        <v>8155920</v>
      </c>
      <c r="M675" s="4">
        <f>$E675+2</f>
        <v>123</v>
      </c>
      <c r="N675" s="8">
        <f>IF($J675=0,0,ROUND(MAX($J675*1.4*1.5,2190000*(1.580994^(MIN($E675,123)-117)))*1,0))</f>
        <v>13682486</v>
      </c>
      <c r="O675" s="6">
        <f>$E675+4</f>
        <v>125</v>
      </c>
      <c r="P675" s="7">
        <f>IF($J675=0,0,ROUND(MAX($J675*1.4*1.5*1.6,3500000*(1.57975^(MIN($E675,123)-117)))*1,0))</f>
        <v>21798244</v>
      </c>
      <c r="Q675" s="4">
        <f>$E675+6</f>
        <v>127</v>
      </c>
      <c r="R675" s="8">
        <f>IF($J675=0,0,ROUND(MAX($J675*1.4*1.5*1.6*1.6,13100000*(1.429962^(MIN($E675,123)-117)))*1,0))</f>
        <v>54773347</v>
      </c>
      <c r="S675" s="6">
        <f>$E675+8</f>
        <v>129</v>
      </c>
      <c r="T675" s="7">
        <f>IF($J675=0,0,ROUND(MAX($J675*1.4*1.5*1.6*1.6*2.2,42600000*(1.576904^(MIN($E675,123)-117)))*1,0))</f>
        <v>263409005</v>
      </c>
      <c r="U675" s="4">
        <f>$E675+11</f>
        <v>132</v>
      </c>
      <c r="V675" s="8">
        <f>IF($J675=0,0,ROUND(MAX($J675*1.4*1.5*1.6*1.6*2.2*2.715,354000000*(1.642074^(MIN($E675,123)-117)))*1,0))</f>
        <v>2573796232</v>
      </c>
      <c r="W675" s="6">
        <f>$E675+15</f>
        <v>136</v>
      </c>
      <c r="X675" s="7">
        <f>IF($J675=0,0,ROUND(MAX($J675*1.4*1.5*1.6*1.6*2.2*2.715*2.6,3540000000*(1.579646^(MIN($E675,123)-117)))*1,0))</f>
        <v>22041561106</v>
      </c>
      <c r="Y675" s="4">
        <f>$E675+17</f>
        <v>138</v>
      </c>
      <c r="Z675" s="8">
        <f>IF($J675=0,0,ROUND(MAX($J675*1.4*1.5*1.6*1.6*2.2*2.715*2.6*1.4,6020000000*(1.651178^(MIN($E675,123)-117)))*1,0))</f>
        <v>44747838846</v>
      </c>
      <c r="AA675" s="6">
        <f>$E675+19</f>
        <v>140</v>
      </c>
      <c r="AB675" s="7">
        <f>IF($J675=0,0,ROUND(MAX($J675*1.4*1.5*1.6*1.6*2.2*2.715*2.6*1.4*1.4,8430000000*(1.651435^(MIN($E675,123)-117)))*1,0))</f>
        <v>62700862258</v>
      </c>
      <c r="AC675" s="4">
        <f>$E675+21</f>
        <v>142</v>
      </c>
      <c r="AD675" s="8">
        <f>IF($J675=0,0,ROUND(MAX($J675*1.4*1.5*1.6*1.6*2.2*2.715*2.6*1.4*1.4*1.5,12600000000*(1.652953^(MIN($E675,123)-117)))*1,0))</f>
        <v>94061644049</v>
      </c>
      <c r="AE675" s="6">
        <f>$E675+24</f>
        <v>145</v>
      </c>
      <c r="AF675" s="7">
        <f>IF($J675=0,0,ROUND(MAX($J675*1.4*1.5*1.6*1.6*2.2*2.715*2.6*1.4*1.4*1.5*1.5,18900000000*(1.65331^(MIN($E675,123)-117)))*1,0))</f>
        <v>141214396536</v>
      </c>
      <c r="AG675" s="4">
        <f>$E675+27</f>
        <v>148</v>
      </c>
      <c r="AH675" s="8">
        <f>IF($J675=0,0,ROUND(MAX($J675*1.4*1.5*1.6*1.6*2.2*2.715*2.6*1.4*1.4*1.5*1.5*3.2,60500000000*(1.654288^(MIN($E675,123)-117)))*1,0))</f>
        <v>453106040991</v>
      </c>
    </row>
    <row r="676" ht="27.75" customHeight="1" spans="1:34" x14ac:dyDescent="0.25">
      <c r="A676" s="3">
        <v>686</v>
      </c>
      <c r="B676" s="3" t="s">
        <v>110</v>
      </c>
      <c r="C676" s="3" t="s">
        <v>641</v>
      </c>
      <c r="D676" s="3" t="s">
        <v>64</v>
      </c>
      <c r="E676" s="3">
        <v>121</v>
      </c>
      <c r="F676" s="3" t="s">
        <v>59</v>
      </c>
      <c r="G676" s="3" t="s">
        <v>59</v>
      </c>
      <c r="H676" s="3">
        <v>32</v>
      </c>
      <c r="I676" s="4">
        <v>121</v>
      </c>
      <c r="J676" s="5">
        <v>2390000</v>
      </c>
      <c r="K676" s="6">
        <f>$E676+1</f>
        <v>122</v>
      </c>
      <c r="L676" s="7">
        <f>IF($J676=0,0,ROUND(MAX($J676*1.4,1620000*(1.497923^(MIN($E676,123)-117)))*1,0))</f>
        <v>8155920</v>
      </c>
      <c r="M676" s="4">
        <f>$E676+2</f>
        <v>123</v>
      </c>
      <c r="N676" s="8">
        <f>IF($J676=0,0,ROUND(MAX($J676*1.4*1.5,2190000*(1.580994^(MIN($E676,123)-117)))*1,0))</f>
        <v>13682486</v>
      </c>
      <c r="O676" s="6">
        <f>$E676+4</f>
        <v>125</v>
      </c>
      <c r="P676" s="7">
        <f>IF($J676=0,0,ROUND(MAX($J676*1.4*1.5*1.6,3500000*(1.57975^(MIN($E676,123)-117)))*1,0))</f>
        <v>21798244</v>
      </c>
      <c r="Q676" s="4">
        <f>$E676+6</f>
        <v>127</v>
      </c>
      <c r="R676" s="8">
        <f>IF($J676=0,0,ROUND(MAX($J676*1.4*1.5*1.6*1.6,13100000*(1.429962^(MIN($E676,123)-117)))*1,0))</f>
        <v>54773347</v>
      </c>
      <c r="S676" s="6">
        <f>$E676+8</f>
        <v>129</v>
      </c>
      <c r="T676" s="7">
        <f>IF($J676=0,0,ROUND(MAX($J676*1.4*1.5*1.6*1.6*2.2,42600000*(1.576904^(MIN($E676,123)-117)))*1,0))</f>
        <v>263409005</v>
      </c>
      <c r="U676" s="4">
        <f>$E676+11</f>
        <v>132</v>
      </c>
      <c r="V676" s="8">
        <f>IF($J676=0,0,ROUND(MAX($J676*1.4*1.5*1.6*1.6*2.2*2.715,354000000*(1.642074^(MIN($E676,123)-117)))*1,0))</f>
        <v>2573796232</v>
      </c>
      <c r="W676" s="6">
        <f>$E676+15</f>
        <v>136</v>
      </c>
      <c r="X676" s="7">
        <f>IF($J676=0,0,ROUND(MAX($J676*1.4*1.5*1.6*1.6*2.2*2.715*2.6,3540000000*(1.579646^(MIN($E676,123)-117)))*1,0))</f>
        <v>22041561106</v>
      </c>
      <c r="Y676" s="4">
        <f>$E676+17</f>
        <v>138</v>
      </c>
      <c r="Z676" s="8">
        <f>IF($J676=0,0,ROUND(MAX($J676*1.4*1.5*1.6*1.6*2.2*2.715*2.6*1.4,6020000000*(1.651178^(MIN($E676,123)-117)))*1,0))</f>
        <v>44747838846</v>
      </c>
      <c r="AA676" s="6">
        <f>$E676+19</f>
        <v>140</v>
      </c>
      <c r="AB676" s="7">
        <f>IF($J676=0,0,ROUND(MAX($J676*1.4*1.5*1.6*1.6*2.2*2.715*2.6*1.4*1.4,8430000000*(1.651435^(MIN($E676,123)-117)))*1,0))</f>
        <v>62700862258</v>
      </c>
      <c r="AC676" s="4">
        <f>$E676+21</f>
        <v>142</v>
      </c>
      <c r="AD676" s="8">
        <f>IF($J676=0,0,ROUND(MAX($J676*1.4*1.5*1.6*1.6*2.2*2.715*2.6*1.4*1.4*1.5,12600000000*(1.652953^(MIN($E676,123)-117)))*1,0))</f>
        <v>94061644049</v>
      </c>
      <c r="AE676" s="6">
        <f>$E676+24</f>
        <v>145</v>
      </c>
      <c r="AF676" s="7">
        <f>IF($J676=0,0,ROUND(MAX($J676*1.4*1.5*1.6*1.6*2.2*2.715*2.6*1.4*1.4*1.5*1.5,18900000000*(1.65331^(MIN($E676,123)-117)))*1,0))</f>
        <v>141214396536</v>
      </c>
      <c r="AG676" s="4">
        <f>$E676+27</f>
        <v>148</v>
      </c>
      <c r="AH676" s="8">
        <f>IF($J676=0,0,ROUND(MAX($J676*1.4*1.5*1.6*1.6*2.2*2.715*2.6*1.4*1.4*1.5*1.5*3.2,60500000000*(1.654288^(MIN($E676,123)-117)))*1,0))</f>
        <v>453106040991</v>
      </c>
    </row>
    <row r="677" ht="27.75" customHeight="1" spans="1:34" x14ac:dyDescent="0.25">
      <c r="A677" s="3">
        <v>687</v>
      </c>
      <c r="B677" s="3" t="s">
        <v>534</v>
      </c>
      <c r="C677" s="3" t="s">
        <v>641</v>
      </c>
      <c r="D677" s="3" t="s">
        <v>25</v>
      </c>
      <c r="E677" s="3">
        <v>121</v>
      </c>
      <c r="F677" s="3" t="s">
        <v>310</v>
      </c>
      <c r="G677" s="3" t="s">
        <v>310</v>
      </c>
      <c r="H677" s="3">
        <v>32</v>
      </c>
      <c r="I677" s="4">
        <v>121</v>
      </c>
      <c r="J677" s="5">
        <v>2390000</v>
      </c>
      <c r="K677" s="6">
        <f>$E677+1</f>
        <v>122</v>
      </c>
      <c r="L677" s="7">
        <f>IF($J677=0,0,ROUND(MAX($J677*1.4,1620000*(1.497923^(MIN($E677,123)-117)))*1,0))</f>
        <v>8155920</v>
      </c>
      <c r="M677" s="4">
        <f>$E677+2</f>
        <v>123</v>
      </c>
      <c r="N677" s="8">
        <f>IF($J677=0,0,ROUND(MAX($J677*1.4*1.5,2190000*(1.580994^(MIN($E677,123)-117)))*1,0))</f>
        <v>13682486</v>
      </c>
      <c r="O677" s="6">
        <f>$E677+4</f>
        <v>125</v>
      </c>
      <c r="P677" s="7">
        <f>IF($J677=0,0,ROUND(MAX($J677*1.4*1.5*1.6,3500000*(1.57975^(MIN($E677,123)-117)))*1,0))</f>
        <v>21798244</v>
      </c>
      <c r="Q677" s="4">
        <f>$E677+6</f>
        <v>127</v>
      </c>
      <c r="R677" s="8">
        <f>IF($J677=0,0,ROUND(MAX($J677*1.4*1.5*1.6*1.6,13100000*(1.429962^(MIN($E677,123)-117)))*1,0))</f>
        <v>54773347</v>
      </c>
      <c r="S677" s="6">
        <f>$E677+8</f>
        <v>129</v>
      </c>
      <c r="T677" s="7">
        <f>IF($J677=0,0,ROUND(MAX($J677*1.4*1.5*1.6*1.6*2.2,42600000*(1.576904^(MIN($E677,123)-117)))*1,0))</f>
        <v>263409005</v>
      </c>
      <c r="U677" s="4">
        <f>$E677+11</f>
        <v>132</v>
      </c>
      <c r="V677" s="8">
        <f>IF($J677=0,0,ROUND(MAX($J677*1.4*1.5*1.6*1.6*2.2*2.715,354000000*(1.642074^(MIN($E677,123)-117)))*1,0))</f>
        <v>2573796232</v>
      </c>
      <c r="W677" s="6">
        <f>$E677+15</f>
        <v>136</v>
      </c>
      <c r="X677" s="7">
        <f>IF($J677=0,0,ROUND(MAX($J677*1.4*1.5*1.6*1.6*2.2*2.715*2.6,3540000000*(1.579646^(MIN($E677,123)-117)))*1,0))</f>
        <v>22041561106</v>
      </c>
      <c r="Y677" s="4">
        <f>$E677+17</f>
        <v>138</v>
      </c>
      <c r="Z677" s="8">
        <f>IF($J677=0,0,ROUND(MAX($J677*1.4*1.5*1.6*1.6*2.2*2.715*2.6*1.4,6020000000*(1.651178^(MIN($E677,123)-117)))*1,0))</f>
        <v>44747838846</v>
      </c>
      <c r="AA677" s="6">
        <f>$E677+19</f>
        <v>140</v>
      </c>
      <c r="AB677" s="7">
        <f>IF($J677=0,0,ROUND(MAX($J677*1.4*1.5*1.6*1.6*2.2*2.715*2.6*1.4*1.4,8430000000*(1.651435^(MIN($E677,123)-117)))*1,0))</f>
        <v>62700862258</v>
      </c>
      <c r="AC677" s="4">
        <f>$E677+21</f>
        <v>142</v>
      </c>
      <c r="AD677" s="8">
        <f>IF($J677=0,0,ROUND(MAX($J677*1.4*1.5*1.6*1.6*2.2*2.715*2.6*1.4*1.4*1.5,12600000000*(1.652953^(MIN($E677,123)-117)))*1,0))</f>
        <v>94061644049</v>
      </c>
      <c r="AE677" s="6">
        <f>$E677+24</f>
        <v>145</v>
      </c>
      <c r="AF677" s="7">
        <f>IF($J677=0,0,ROUND(MAX($J677*1.4*1.5*1.6*1.6*2.2*2.715*2.6*1.4*1.4*1.5*1.5,18900000000*(1.65331^(MIN($E677,123)-117)))*1,0))</f>
        <v>141214396536</v>
      </c>
      <c r="AG677" s="4">
        <f>$E677+27</f>
        <v>148</v>
      </c>
      <c r="AH677" s="8">
        <f>IF($J677=0,0,ROUND(MAX($J677*1.4*1.5*1.6*1.6*2.2*2.715*2.6*1.4*1.4*1.5*1.5*3.2,60500000000*(1.654288^(MIN($E677,123)-117)))*1,0))</f>
        <v>453106040991</v>
      </c>
    </row>
    <row r="678" ht="27.75" customHeight="1" spans="1:34" x14ac:dyDescent="0.25">
      <c r="A678" s="3">
        <v>688</v>
      </c>
      <c r="B678" s="3" t="s">
        <v>91</v>
      </c>
      <c r="C678" s="3" t="s">
        <v>641</v>
      </c>
      <c r="D678" s="3" t="s">
        <v>47</v>
      </c>
      <c r="E678" s="3">
        <v>122</v>
      </c>
      <c r="F678" s="3" t="s">
        <v>71</v>
      </c>
      <c r="G678" s="3" t="s">
        <v>71</v>
      </c>
      <c r="H678" s="3">
        <v>28</v>
      </c>
      <c r="I678" s="4">
        <v>122</v>
      </c>
      <c r="J678" s="5">
        <v>3550000</v>
      </c>
      <c r="K678" s="6">
        <f>$E678+1</f>
        <v>123</v>
      </c>
      <c r="L678" s="7">
        <f>IF($J678=0,0,ROUND(MAX($J678*1.4,1620000*(1.497923^(MIN($E678,123)-117)))*1,0))</f>
        <v>12216941</v>
      </c>
      <c r="M678" s="4">
        <f>$E678+2</f>
        <v>124</v>
      </c>
      <c r="N678" s="8">
        <f>IF($J678=0,0,ROUND(MAX($J678*1.4*1.5,2190000*(1.580994^(MIN($E678,123)-117)))*1,0))</f>
        <v>21631928</v>
      </c>
      <c r="O678" s="6">
        <f>$E678+4</f>
        <v>126</v>
      </c>
      <c r="P678" s="7">
        <f>IF($J678=0,0,ROUND(MAX($J678*1.4*1.5*1.6,3500000*(1.57975^(MIN($E678,123)-117)))*1,0))</f>
        <v>34435775</v>
      </c>
      <c r="Q678" s="4">
        <f>$E678+6</f>
        <v>128</v>
      </c>
      <c r="R678" s="8">
        <f>IF($J678=0,0,ROUND(MAX($J678*1.4*1.5*1.6*1.6,13100000*(1.429962^(MIN($E678,123)-117)))*1,0))</f>
        <v>78323805</v>
      </c>
      <c r="S678" s="6">
        <f>$E678+8</f>
        <v>130</v>
      </c>
      <c r="T678" s="7">
        <f>IF($J678=0,0,ROUND(MAX($J678*1.4*1.5*1.6*1.6*2.2,42600000*(1.576904^(MIN($E678,123)-117)))*1,0))</f>
        <v>415370714</v>
      </c>
      <c r="U678" s="4">
        <f>$E678+11</f>
        <v>133</v>
      </c>
      <c r="V678" s="8">
        <f>IF($J678=0,0,ROUND(MAX($J678*1.4*1.5*1.6*1.6*2.2*2.715,354000000*(1.642074^(MIN($E678,123)-117)))*1,0))</f>
        <v>4226363874</v>
      </c>
      <c r="W678" s="6">
        <f>$E678+15</f>
        <v>137</v>
      </c>
      <c r="X678" s="7">
        <f>IF($J678=0,0,ROUND(MAX($J678*1.4*1.5*1.6*1.6*2.2*2.715*2.6,3540000000*(1.579646^(MIN($E678,123)-117)))*1,0))</f>
        <v>34817863835</v>
      </c>
      <c r="Y678" s="4">
        <f>$E678+17</f>
        <v>139</v>
      </c>
      <c r="Z678" s="8">
        <f>IF($J678=0,0,ROUND(MAX($J678*1.4*1.5*1.6*1.6*2.2*2.715*2.6*1.4,6020000000*(1.651178^(MIN($E678,123)-117)))*1,0))</f>
        <v>73886647050</v>
      </c>
      <c r="AA678" s="6">
        <f>$E678+19</f>
        <v>141</v>
      </c>
      <c r="AB678" s="7">
        <f>IF($J678=0,0,ROUND(MAX($J678*1.4*1.5*1.6*1.6*2.2*2.715*2.6*1.4*1.4,8430000000*(1.651435^(MIN($E678,123)-117)))*1,0))</f>
        <v>103546398464</v>
      </c>
      <c r="AC678" s="4">
        <f>$E678+21</f>
        <v>143</v>
      </c>
      <c r="AD678" s="8">
        <f>IF($J678=0,0,ROUND(MAX($J678*1.4*1.5*1.6*1.6*2.2*2.715*2.6*1.4*1.4*1.5,12600000000*(1.652953^(MIN($E678,123)-117)))*1,0))</f>
        <v>155479476715</v>
      </c>
      <c r="AE678" s="6">
        <f>$E678+24</f>
        <v>146</v>
      </c>
      <c r="AF678" s="7">
        <f>IF($J678=0,0,ROUND(MAX($J678*1.4*1.5*1.6*1.6*2.2*2.715*2.6*1.4*1.4*1.5*1.5,18900000000*(1.65331^(MIN($E678,123)-117)))*1,0))</f>
        <v>233471173936</v>
      </c>
      <c r="AG678" s="4">
        <f>$E678+27</f>
        <v>149</v>
      </c>
      <c r="AH678" s="8">
        <f>IF($J678=0,0,ROUND(MAX($J678*1.4*1.5*1.6*1.6*2.2*2.715*2.6*1.4*1.4*1.5*1.5*3.2,60500000000*(1.654288^(MIN($E678,123)-117)))*1,0))</f>
        <v>749567886338</v>
      </c>
    </row>
    <row r="679" ht="27.75" customHeight="1" spans="1:34" x14ac:dyDescent="0.25">
      <c r="A679" s="3">
        <v>689</v>
      </c>
      <c r="B679" s="3" t="s">
        <v>111</v>
      </c>
      <c r="C679" s="3" t="s">
        <v>641</v>
      </c>
      <c r="D679" s="3" t="s">
        <v>47</v>
      </c>
      <c r="E679" s="3">
        <v>122</v>
      </c>
      <c r="F679" s="3" t="s">
        <v>34</v>
      </c>
      <c r="G679" s="3" t="s">
        <v>34</v>
      </c>
      <c r="H679" s="3">
        <v>29</v>
      </c>
      <c r="I679" s="4">
        <v>122</v>
      </c>
      <c r="J679" s="5">
        <v>4070000</v>
      </c>
      <c r="K679" s="6">
        <f>$E679+1</f>
        <v>123</v>
      </c>
      <c r="L679" s="7">
        <f>IF($J679=0,0,ROUND(MAX($J679*1.4,1620000*(1.497923^(MIN($E679,123)-117)))*1,0))</f>
        <v>12216941</v>
      </c>
      <c r="M679" s="4">
        <f>$E679+2</f>
        <v>124</v>
      </c>
      <c r="N679" s="8">
        <f>IF($J679=0,0,ROUND(MAX($J679*1.4*1.5,2190000*(1.580994^(MIN($E679,123)-117)))*1,0))</f>
        <v>21631928</v>
      </c>
      <c r="O679" s="6">
        <f>$E679+4</f>
        <v>126</v>
      </c>
      <c r="P679" s="7">
        <f>IF($J679=0,0,ROUND(MAX($J679*1.4*1.5*1.6,3500000*(1.57975^(MIN($E679,123)-117)))*1,0))</f>
        <v>34435775</v>
      </c>
      <c r="Q679" s="4">
        <f>$E679+6</f>
        <v>128</v>
      </c>
      <c r="R679" s="8">
        <f>IF($J679=0,0,ROUND(MAX($J679*1.4*1.5*1.6*1.6,13100000*(1.429962^(MIN($E679,123)-117)))*1,0))</f>
        <v>78323805</v>
      </c>
      <c r="S679" s="6">
        <f>$E679+8</f>
        <v>130</v>
      </c>
      <c r="T679" s="7">
        <f>IF($J679=0,0,ROUND(MAX($J679*1.4*1.5*1.6*1.6*2.2,42600000*(1.576904^(MIN($E679,123)-117)))*1,0))</f>
        <v>415370714</v>
      </c>
      <c r="U679" s="4">
        <f>$E679+11</f>
        <v>133</v>
      </c>
      <c r="V679" s="8">
        <f>IF($J679=0,0,ROUND(MAX($J679*1.4*1.5*1.6*1.6*2.2*2.715,354000000*(1.642074^(MIN($E679,123)-117)))*1,0))</f>
        <v>4226363874</v>
      </c>
      <c r="W679" s="6">
        <f>$E679+15</f>
        <v>137</v>
      </c>
      <c r="X679" s="7">
        <f>IF($J679=0,0,ROUND(MAX($J679*1.4*1.5*1.6*1.6*2.2*2.715*2.6,3540000000*(1.579646^(MIN($E679,123)-117)))*1,0))</f>
        <v>34817863835</v>
      </c>
      <c r="Y679" s="4">
        <f>$E679+17</f>
        <v>139</v>
      </c>
      <c r="Z679" s="8">
        <f>IF($J679=0,0,ROUND(MAX($J679*1.4*1.5*1.6*1.6*2.2*2.715*2.6*1.4,6020000000*(1.651178^(MIN($E679,123)-117)))*1,0))</f>
        <v>73886647050</v>
      </c>
      <c r="AA679" s="6">
        <f>$E679+19</f>
        <v>141</v>
      </c>
      <c r="AB679" s="7">
        <f>IF($J679=0,0,ROUND(MAX($J679*1.4*1.5*1.6*1.6*2.2*2.715*2.6*1.4*1.4,8430000000*(1.651435^(MIN($E679,123)-117)))*1,0))</f>
        <v>103546398464</v>
      </c>
      <c r="AC679" s="4">
        <f>$E679+21</f>
        <v>143</v>
      </c>
      <c r="AD679" s="8">
        <f>IF($J679=0,0,ROUND(MAX($J679*1.4*1.5*1.6*1.6*2.2*2.715*2.6*1.4*1.4*1.5,12600000000*(1.652953^(MIN($E679,123)-117)))*1,0))</f>
        <v>155479476715</v>
      </c>
      <c r="AE679" s="6">
        <f>$E679+24</f>
        <v>146</v>
      </c>
      <c r="AF679" s="7">
        <f>IF($J679=0,0,ROUND(MAX($J679*1.4*1.5*1.6*1.6*2.2*2.715*2.6*1.4*1.4*1.5*1.5,18900000000*(1.65331^(MIN($E679,123)-117)))*1,0))</f>
        <v>233471173936</v>
      </c>
      <c r="AG679" s="4">
        <f>$E679+27</f>
        <v>149</v>
      </c>
      <c r="AH679" s="8">
        <f>IF($J679=0,0,ROUND(MAX($J679*1.4*1.5*1.6*1.6*2.2*2.715*2.6*1.4*1.4*1.5*1.5*3.2,60500000000*(1.654288^(MIN($E679,123)-117)))*1,0))</f>
        <v>749567886338</v>
      </c>
    </row>
    <row r="680" ht="27.75" customHeight="1" spans="1:34" x14ac:dyDescent="0.25">
      <c r="A680" s="3">
        <v>690</v>
      </c>
      <c r="B680" s="3" t="s">
        <v>66</v>
      </c>
      <c r="C680" s="3" t="s">
        <v>641</v>
      </c>
      <c r="D680" s="3" t="s">
        <v>47</v>
      </c>
      <c r="E680" s="3">
        <v>122</v>
      </c>
      <c r="F680" s="3" t="s">
        <v>62</v>
      </c>
      <c r="G680" s="3" t="s">
        <v>62</v>
      </c>
      <c r="H680" s="3">
        <v>29</v>
      </c>
      <c r="I680" s="4">
        <v>122</v>
      </c>
      <c r="J680" s="5">
        <v>3630000</v>
      </c>
      <c r="K680" s="6">
        <f>$E680+1</f>
        <v>123</v>
      </c>
      <c r="L680" s="7">
        <f>IF($J680=0,0,ROUND(MAX($J680*1.4,1620000*(1.497923^(MIN($E680,123)-117)))*1,0))</f>
        <v>12216941</v>
      </c>
      <c r="M680" s="4">
        <f>$E680+2</f>
        <v>124</v>
      </c>
      <c r="N680" s="8">
        <f>IF($J680=0,0,ROUND(MAX($J680*1.4*1.5,2190000*(1.580994^(MIN($E680,123)-117)))*1,0))</f>
        <v>21631928</v>
      </c>
      <c r="O680" s="6">
        <f>$E680+4</f>
        <v>126</v>
      </c>
      <c r="P680" s="7">
        <f>IF($J680=0,0,ROUND(MAX($J680*1.4*1.5*1.6,3500000*(1.57975^(MIN($E680,123)-117)))*1,0))</f>
        <v>34435775</v>
      </c>
      <c r="Q680" s="4">
        <f>$E680+6</f>
        <v>128</v>
      </c>
      <c r="R680" s="8">
        <f>IF($J680=0,0,ROUND(MAX($J680*1.4*1.5*1.6*1.6,13100000*(1.429962^(MIN($E680,123)-117)))*1,0))</f>
        <v>78323805</v>
      </c>
      <c r="S680" s="6">
        <f>$E680+8</f>
        <v>130</v>
      </c>
      <c r="T680" s="7">
        <f>IF($J680=0,0,ROUND(MAX($J680*1.4*1.5*1.6*1.6*2.2,42600000*(1.576904^(MIN($E680,123)-117)))*1,0))</f>
        <v>415370714</v>
      </c>
      <c r="U680" s="4">
        <f>$E680+11</f>
        <v>133</v>
      </c>
      <c r="V680" s="8">
        <f>IF($J680=0,0,ROUND(MAX($J680*1.4*1.5*1.6*1.6*2.2*2.715,354000000*(1.642074^(MIN($E680,123)-117)))*1,0))</f>
        <v>4226363874</v>
      </c>
      <c r="W680" s="6">
        <f>$E680+15</f>
        <v>137</v>
      </c>
      <c r="X680" s="7">
        <f>IF($J680=0,0,ROUND(MAX($J680*1.4*1.5*1.6*1.6*2.2*2.715*2.6,3540000000*(1.579646^(MIN($E680,123)-117)))*1,0))</f>
        <v>34817863835</v>
      </c>
      <c r="Y680" s="4">
        <f>$E680+17</f>
        <v>139</v>
      </c>
      <c r="Z680" s="8">
        <f>IF($J680=0,0,ROUND(MAX($J680*1.4*1.5*1.6*1.6*2.2*2.715*2.6*1.4,6020000000*(1.651178^(MIN($E680,123)-117)))*1,0))</f>
        <v>73886647050</v>
      </c>
      <c r="AA680" s="6">
        <f>$E680+19</f>
        <v>141</v>
      </c>
      <c r="AB680" s="7">
        <f>IF($J680=0,0,ROUND(MAX($J680*1.4*1.5*1.6*1.6*2.2*2.715*2.6*1.4*1.4,8430000000*(1.651435^(MIN($E680,123)-117)))*1,0))</f>
        <v>103546398464</v>
      </c>
      <c r="AC680" s="4">
        <f>$E680+21</f>
        <v>143</v>
      </c>
      <c r="AD680" s="8">
        <f>IF($J680=0,0,ROUND(MAX($J680*1.4*1.5*1.6*1.6*2.2*2.715*2.6*1.4*1.4*1.5,12600000000*(1.652953^(MIN($E680,123)-117)))*1,0))</f>
        <v>155479476715</v>
      </c>
      <c r="AE680" s="6">
        <f>$E680+24</f>
        <v>146</v>
      </c>
      <c r="AF680" s="7">
        <f>IF($J680=0,0,ROUND(MAX($J680*1.4*1.5*1.6*1.6*2.2*2.715*2.6*1.4*1.4*1.5*1.5,18900000000*(1.65331^(MIN($E680,123)-117)))*1,0))</f>
        <v>233471173936</v>
      </c>
      <c r="AG680" s="4">
        <f>$E680+27</f>
        <v>149</v>
      </c>
      <c r="AH680" s="8">
        <f>IF($J680=0,0,ROUND(MAX($J680*1.4*1.5*1.6*1.6*2.2*2.715*2.6*1.4*1.4*1.5*1.5*3.2,60500000000*(1.654288^(MIN($E680,123)-117)))*1,0))</f>
        <v>749567886338</v>
      </c>
    </row>
    <row r="681" ht="27.75" customHeight="1" spans="1:34" x14ac:dyDescent="0.25">
      <c r="A681" s="3">
        <v>691</v>
      </c>
      <c r="B681" s="3" t="s">
        <v>74</v>
      </c>
      <c r="C681" s="3" t="s">
        <v>641</v>
      </c>
      <c r="D681" s="3" t="s">
        <v>33</v>
      </c>
      <c r="E681" s="3">
        <v>122</v>
      </c>
      <c r="F681" s="3" t="s">
        <v>62</v>
      </c>
      <c r="G681" s="3" t="s">
        <v>62</v>
      </c>
      <c r="H681" s="3">
        <v>32</v>
      </c>
      <c r="I681" s="4">
        <v>122</v>
      </c>
      <c r="J681" s="5">
        <v>4490000</v>
      </c>
      <c r="K681" s="6">
        <f>$E681+1</f>
        <v>123</v>
      </c>
      <c r="L681" s="7">
        <f>IF($J681=0,0,ROUND(MAX($J681*1.4,1620000*(1.497923^(MIN($E681,123)-117)))*1,0))</f>
        <v>12216941</v>
      </c>
      <c r="M681" s="4">
        <f>$E681+2</f>
        <v>124</v>
      </c>
      <c r="N681" s="8">
        <f>IF($J681=0,0,ROUND(MAX($J681*1.4*1.5,2190000*(1.580994^(MIN($E681,123)-117)))*1,0))</f>
        <v>21631928</v>
      </c>
      <c r="O681" s="6">
        <f>$E681+4</f>
        <v>126</v>
      </c>
      <c r="P681" s="7">
        <f>IF($J681=0,0,ROUND(MAX($J681*1.4*1.5*1.6,3500000*(1.57975^(MIN($E681,123)-117)))*1,0))</f>
        <v>34435775</v>
      </c>
      <c r="Q681" s="4">
        <f>$E681+6</f>
        <v>128</v>
      </c>
      <c r="R681" s="8">
        <f>IF($J681=0,0,ROUND(MAX($J681*1.4*1.5*1.6*1.6,13100000*(1.429962^(MIN($E681,123)-117)))*1,0))</f>
        <v>78323805</v>
      </c>
      <c r="S681" s="6">
        <f>$E681+8</f>
        <v>130</v>
      </c>
      <c r="T681" s="7">
        <f>IF($J681=0,0,ROUND(MAX($J681*1.4*1.5*1.6*1.6*2.2,42600000*(1.576904^(MIN($E681,123)-117)))*1,0))</f>
        <v>415370714</v>
      </c>
      <c r="U681" s="4">
        <f>$E681+11</f>
        <v>133</v>
      </c>
      <c r="V681" s="8">
        <f>IF($J681=0,0,ROUND(MAX($J681*1.4*1.5*1.6*1.6*2.2*2.715,354000000*(1.642074^(MIN($E681,123)-117)))*1,0))</f>
        <v>4226363874</v>
      </c>
      <c r="W681" s="6">
        <f>$E681+15</f>
        <v>137</v>
      </c>
      <c r="X681" s="7">
        <f>IF($J681=0,0,ROUND(MAX($J681*1.4*1.5*1.6*1.6*2.2*2.715*2.6,3540000000*(1.579646^(MIN($E681,123)-117)))*1,0))</f>
        <v>34817863835</v>
      </c>
      <c r="Y681" s="4">
        <f>$E681+17</f>
        <v>139</v>
      </c>
      <c r="Z681" s="8">
        <f>IF($J681=0,0,ROUND(MAX($J681*1.4*1.5*1.6*1.6*2.2*2.715*2.6*1.4,6020000000*(1.651178^(MIN($E681,123)-117)))*1,0))</f>
        <v>73886647050</v>
      </c>
      <c r="AA681" s="6">
        <f>$E681+19</f>
        <v>141</v>
      </c>
      <c r="AB681" s="7">
        <f>IF($J681=0,0,ROUND(MAX($J681*1.4*1.5*1.6*1.6*2.2*2.715*2.6*1.4*1.4,8430000000*(1.651435^(MIN($E681,123)-117)))*1,0))</f>
        <v>103546398464</v>
      </c>
      <c r="AC681" s="4">
        <f>$E681+21</f>
        <v>143</v>
      </c>
      <c r="AD681" s="8">
        <f>IF($J681=0,0,ROUND(MAX($J681*1.4*1.5*1.6*1.6*2.2*2.715*2.6*1.4*1.4*1.5,12600000000*(1.652953^(MIN($E681,123)-117)))*1,0))</f>
        <v>155479476715</v>
      </c>
      <c r="AE681" s="6">
        <f>$E681+24</f>
        <v>146</v>
      </c>
      <c r="AF681" s="7">
        <f>IF($J681=0,0,ROUND(MAX($J681*1.4*1.5*1.6*1.6*2.2*2.715*2.6*1.4*1.4*1.5*1.5,18900000000*(1.65331^(MIN($E681,123)-117)))*1,0))</f>
        <v>233471173936</v>
      </c>
      <c r="AG681" s="4">
        <f>$E681+27</f>
        <v>149</v>
      </c>
      <c r="AH681" s="8">
        <f>IF($J681=0,0,ROUND(MAX($J681*1.4*1.5*1.6*1.6*2.2*2.715*2.6*1.4*1.4*1.5*1.5*3.2,60500000000*(1.654288^(MIN($E681,123)-117)))*1,0))</f>
        <v>749567886338</v>
      </c>
    </row>
    <row r="682" ht="27.75" customHeight="1" spans="1:34" x14ac:dyDescent="0.25">
      <c r="A682" s="3">
        <v>692</v>
      </c>
      <c r="B682" s="3" t="s">
        <v>76</v>
      </c>
      <c r="C682" s="3" t="s">
        <v>641</v>
      </c>
      <c r="D682" s="3" t="s">
        <v>29</v>
      </c>
      <c r="E682" s="3">
        <v>122</v>
      </c>
      <c r="F682" s="3" t="s">
        <v>62</v>
      </c>
      <c r="G682" s="3" t="s">
        <v>62</v>
      </c>
      <c r="H682" s="3">
        <v>32</v>
      </c>
      <c r="I682" s="4">
        <v>122</v>
      </c>
      <c r="J682" s="5">
        <v>4190000</v>
      </c>
      <c r="K682" s="6">
        <f>$E682+1</f>
        <v>123</v>
      </c>
      <c r="L682" s="7">
        <f>IF($J682=0,0,ROUND(MAX($J682*1.4,1620000*(1.497923^(MIN($E682,123)-117)))*1,0))</f>
        <v>12216941</v>
      </c>
      <c r="M682" s="4">
        <f>$E682+2</f>
        <v>124</v>
      </c>
      <c r="N682" s="8">
        <f>IF($J682=0,0,ROUND(MAX($J682*1.4*1.5,2190000*(1.580994^(MIN($E682,123)-117)))*1,0))</f>
        <v>21631928</v>
      </c>
      <c r="O682" s="6">
        <f>$E682+4</f>
        <v>126</v>
      </c>
      <c r="P682" s="7">
        <f>IF($J682=0,0,ROUND(MAX($J682*1.4*1.5*1.6,3500000*(1.57975^(MIN($E682,123)-117)))*1,0))</f>
        <v>34435775</v>
      </c>
      <c r="Q682" s="4">
        <f>$E682+6</f>
        <v>128</v>
      </c>
      <c r="R682" s="8">
        <f>IF($J682=0,0,ROUND(MAX($J682*1.4*1.5*1.6*1.6,13100000*(1.429962^(MIN($E682,123)-117)))*1,0))</f>
        <v>78323805</v>
      </c>
      <c r="S682" s="6">
        <f>$E682+8</f>
        <v>130</v>
      </c>
      <c r="T682" s="7">
        <f>IF($J682=0,0,ROUND(MAX($J682*1.4*1.5*1.6*1.6*2.2,42600000*(1.576904^(MIN($E682,123)-117)))*1,0))</f>
        <v>415370714</v>
      </c>
      <c r="U682" s="4">
        <f>$E682+11</f>
        <v>133</v>
      </c>
      <c r="V682" s="8">
        <f>IF($J682=0,0,ROUND(MAX($J682*1.4*1.5*1.6*1.6*2.2*2.715,354000000*(1.642074^(MIN($E682,123)-117)))*1,0))</f>
        <v>4226363874</v>
      </c>
      <c r="W682" s="6">
        <f>$E682+15</f>
        <v>137</v>
      </c>
      <c r="X682" s="7">
        <f>IF($J682=0,0,ROUND(MAX($J682*1.4*1.5*1.6*1.6*2.2*2.715*2.6,3540000000*(1.579646^(MIN($E682,123)-117)))*1,0))</f>
        <v>34817863835</v>
      </c>
      <c r="Y682" s="4">
        <f>$E682+17</f>
        <v>139</v>
      </c>
      <c r="Z682" s="8">
        <f>IF($J682=0,0,ROUND(MAX($J682*1.4*1.5*1.6*1.6*2.2*2.715*2.6*1.4,6020000000*(1.651178^(MIN($E682,123)-117)))*1,0))</f>
        <v>73886647050</v>
      </c>
      <c r="AA682" s="6">
        <f>$E682+19</f>
        <v>141</v>
      </c>
      <c r="AB682" s="7">
        <f>IF($J682=0,0,ROUND(MAX($J682*1.4*1.5*1.6*1.6*2.2*2.715*2.6*1.4*1.4,8430000000*(1.651435^(MIN($E682,123)-117)))*1,0))</f>
        <v>103546398464</v>
      </c>
      <c r="AC682" s="4">
        <f>$E682+21</f>
        <v>143</v>
      </c>
      <c r="AD682" s="8">
        <f>IF($J682=0,0,ROUND(MAX($J682*1.4*1.5*1.6*1.6*2.2*2.715*2.6*1.4*1.4*1.5,12600000000*(1.652953^(MIN($E682,123)-117)))*1,0))</f>
        <v>155479476715</v>
      </c>
      <c r="AE682" s="6">
        <f>$E682+24</f>
        <v>146</v>
      </c>
      <c r="AF682" s="7">
        <f>IF($J682=0,0,ROUND(MAX($J682*1.4*1.5*1.6*1.6*2.2*2.715*2.6*1.4*1.4*1.5*1.5,18900000000*(1.65331^(MIN($E682,123)-117)))*1,0))</f>
        <v>233471173936</v>
      </c>
      <c r="AG682" s="4">
        <f>$E682+27</f>
        <v>149</v>
      </c>
      <c r="AH682" s="8">
        <f>IF($J682=0,0,ROUND(MAX($J682*1.4*1.5*1.6*1.6*2.2*2.715*2.6*1.4*1.4*1.5*1.5*3.2,60500000000*(1.654288^(MIN($E682,123)-117)))*1,0))</f>
        <v>749567886338</v>
      </c>
    </row>
    <row r="683" ht="27.75" customHeight="1" spans="1:34" x14ac:dyDescent="0.25">
      <c r="A683" s="3">
        <v>693</v>
      </c>
      <c r="B683" s="3" t="s">
        <v>100</v>
      </c>
      <c r="C683" s="3" t="s">
        <v>641</v>
      </c>
      <c r="D683" s="3" t="s">
        <v>33</v>
      </c>
      <c r="E683" s="3">
        <v>122</v>
      </c>
      <c r="F683" s="3" t="s">
        <v>62</v>
      </c>
      <c r="G683" s="3" t="s">
        <v>62</v>
      </c>
      <c r="H683" s="3">
        <v>32</v>
      </c>
      <c r="I683" s="4">
        <v>122</v>
      </c>
      <c r="J683" s="5">
        <v>4110000</v>
      </c>
      <c r="K683" s="6">
        <f>$E683+1</f>
        <v>123</v>
      </c>
      <c r="L683" s="7">
        <f>IF($J683=0,0,ROUND(MAX($J683*1.4,1620000*(1.497923^(MIN($E683,123)-117)))*1,0))</f>
        <v>12216941</v>
      </c>
      <c r="M683" s="4">
        <f>$E683+2</f>
        <v>124</v>
      </c>
      <c r="N683" s="8">
        <f>IF($J683=0,0,ROUND(MAX($J683*1.4*1.5,2190000*(1.580994^(MIN($E683,123)-117)))*1,0))</f>
        <v>21631928</v>
      </c>
      <c r="O683" s="6">
        <f>$E683+4</f>
        <v>126</v>
      </c>
      <c r="P683" s="7">
        <f>IF($J683=0,0,ROUND(MAX($J683*1.4*1.5*1.6,3500000*(1.57975^(MIN($E683,123)-117)))*1,0))</f>
        <v>34435775</v>
      </c>
      <c r="Q683" s="4">
        <f>$E683+6</f>
        <v>128</v>
      </c>
      <c r="R683" s="8">
        <f>IF($J683=0,0,ROUND(MAX($J683*1.4*1.5*1.6*1.6,13100000*(1.429962^(MIN($E683,123)-117)))*1,0))</f>
        <v>78323805</v>
      </c>
      <c r="S683" s="6">
        <f>$E683+8</f>
        <v>130</v>
      </c>
      <c r="T683" s="7">
        <f>IF($J683=0,0,ROUND(MAX($J683*1.4*1.5*1.6*1.6*2.2,42600000*(1.576904^(MIN($E683,123)-117)))*1,0))</f>
        <v>415370714</v>
      </c>
      <c r="U683" s="4">
        <f>$E683+11</f>
        <v>133</v>
      </c>
      <c r="V683" s="8">
        <f>IF($J683=0,0,ROUND(MAX($J683*1.4*1.5*1.6*1.6*2.2*2.715,354000000*(1.642074^(MIN($E683,123)-117)))*1,0))</f>
        <v>4226363874</v>
      </c>
      <c r="W683" s="6">
        <f>$E683+15</f>
        <v>137</v>
      </c>
      <c r="X683" s="7">
        <f>IF($J683=0,0,ROUND(MAX($J683*1.4*1.5*1.6*1.6*2.2*2.715*2.6,3540000000*(1.579646^(MIN($E683,123)-117)))*1,0))</f>
        <v>34817863835</v>
      </c>
      <c r="Y683" s="4">
        <f>$E683+17</f>
        <v>139</v>
      </c>
      <c r="Z683" s="8">
        <f>IF($J683=0,0,ROUND(MAX($J683*1.4*1.5*1.6*1.6*2.2*2.715*2.6*1.4,6020000000*(1.651178^(MIN($E683,123)-117)))*1,0))</f>
        <v>73886647050</v>
      </c>
      <c r="AA683" s="6">
        <f>$E683+19</f>
        <v>141</v>
      </c>
      <c r="AB683" s="7">
        <f>IF($J683=0,0,ROUND(MAX($J683*1.4*1.5*1.6*1.6*2.2*2.715*2.6*1.4*1.4,8430000000*(1.651435^(MIN($E683,123)-117)))*1,0))</f>
        <v>103546398464</v>
      </c>
      <c r="AC683" s="4">
        <f>$E683+21</f>
        <v>143</v>
      </c>
      <c r="AD683" s="8">
        <f>IF($J683=0,0,ROUND(MAX($J683*1.4*1.5*1.6*1.6*2.2*2.715*2.6*1.4*1.4*1.5,12600000000*(1.652953^(MIN($E683,123)-117)))*1,0))</f>
        <v>155479476715</v>
      </c>
      <c r="AE683" s="6">
        <f>$E683+24</f>
        <v>146</v>
      </c>
      <c r="AF683" s="7">
        <f>IF($J683=0,0,ROUND(MAX($J683*1.4*1.5*1.6*1.6*2.2*2.715*2.6*1.4*1.4*1.5*1.5,18900000000*(1.65331^(MIN($E683,123)-117)))*1,0))</f>
        <v>233471173936</v>
      </c>
      <c r="AG683" s="4">
        <f>$E683+27</f>
        <v>149</v>
      </c>
      <c r="AH683" s="8">
        <f>IF($J683=0,0,ROUND(MAX($J683*1.4*1.5*1.6*1.6*2.2*2.715*2.6*1.4*1.4*1.5*1.5*3.2,60500000000*(1.654288^(MIN($E683,123)-117)))*1,0))</f>
        <v>749567886338</v>
      </c>
    </row>
    <row r="684" ht="27.75" customHeight="1" spans="1:34" x14ac:dyDescent="0.25">
      <c r="A684" s="3">
        <v>694</v>
      </c>
      <c r="B684" s="3" t="s">
        <v>113</v>
      </c>
      <c r="C684" s="3" t="s">
        <v>641</v>
      </c>
      <c r="D684" s="3" t="s">
        <v>29</v>
      </c>
      <c r="E684" s="3">
        <v>122</v>
      </c>
      <c r="F684" s="3" t="s">
        <v>30</v>
      </c>
      <c r="G684" s="3" t="s">
        <v>30</v>
      </c>
      <c r="H684" s="3">
        <v>32</v>
      </c>
      <c r="I684" s="4">
        <v>122</v>
      </c>
      <c r="J684" s="5">
        <v>3630000</v>
      </c>
      <c r="K684" s="6">
        <f>$E684+1</f>
        <v>123</v>
      </c>
      <c r="L684" s="7">
        <f>IF($J684=0,0,ROUND(MAX($J684*1.4,1620000*(1.497923^(MIN($E684,123)-117)))*1,0))</f>
        <v>12216941</v>
      </c>
      <c r="M684" s="4">
        <f>$E684+2</f>
        <v>124</v>
      </c>
      <c r="N684" s="8">
        <f>IF($J684=0,0,ROUND(MAX($J684*1.4*1.5,2190000*(1.580994^(MIN($E684,123)-117)))*1,0))</f>
        <v>21631928</v>
      </c>
      <c r="O684" s="6">
        <f>$E684+4</f>
        <v>126</v>
      </c>
      <c r="P684" s="7">
        <f>IF($J684=0,0,ROUND(MAX($J684*1.4*1.5*1.6,3500000*(1.57975^(MIN($E684,123)-117)))*1,0))</f>
        <v>34435775</v>
      </c>
      <c r="Q684" s="4">
        <f>$E684+6</f>
        <v>128</v>
      </c>
      <c r="R684" s="8">
        <f>IF($J684=0,0,ROUND(MAX($J684*1.4*1.5*1.6*1.6,13100000*(1.429962^(MIN($E684,123)-117)))*1,0))</f>
        <v>78323805</v>
      </c>
      <c r="S684" s="6">
        <f>$E684+8</f>
        <v>130</v>
      </c>
      <c r="T684" s="7">
        <f>IF($J684=0,0,ROUND(MAX($J684*1.4*1.5*1.6*1.6*2.2,42600000*(1.576904^(MIN($E684,123)-117)))*1,0))</f>
        <v>415370714</v>
      </c>
      <c r="U684" s="4">
        <f>$E684+11</f>
        <v>133</v>
      </c>
      <c r="V684" s="8">
        <f>IF($J684=0,0,ROUND(MAX($J684*1.4*1.5*1.6*1.6*2.2*2.715,354000000*(1.642074^(MIN($E684,123)-117)))*1,0))</f>
        <v>4226363874</v>
      </c>
      <c r="W684" s="6">
        <f>$E684+15</f>
        <v>137</v>
      </c>
      <c r="X684" s="7">
        <f>IF($J684=0,0,ROUND(MAX($J684*1.4*1.5*1.6*1.6*2.2*2.715*2.6,3540000000*(1.579646^(MIN($E684,123)-117)))*1,0))</f>
        <v>34817863835</v>
      </c>
      <c r="Y684" s="4">
        <f>$E684+17</f>
        <v>139</v>
      </c>
      <c r="Z684" s="8">
        <f>IF($J684=0,0,ROUND(MAX($J684*1.4*1.5*1.6*1.6*2.2*2.715*2.6*1.4,6020000000*(1.651178^(MIN($E684,123)-117)))*1,0))</f>
        <v>73886647050</v>
      </c>
      <c r="AA684" s="6">
        <f>$E684+19</f>
        <v>141</v>
      </c>
      <c r="AB684" s="7">
        <f>IF($J684=0,0,ROUND(MAX($J684*1.4*1.5*1.6*1.6*2.2*2.715*2.6*1.4*1.4,8430000000*(1.651435^(MIN($E684,123)-117)))*1,0))</f>
        <v>103546398464</v>
      </c>
      <c r="AC684" s="4">
        <f>$E684+21</f>
        <v>143</v>
      </c>
      <c r="AD684" s="8">
        <f>IF($J684=0,0,ROUND(MAX($J684*1.4*1.5*1.6*1.6*2.2*2.715*2.6*1.4*1.4*1.5,12600000000*(1.652953^(MIN($E684,123)-117)))*1,0))</f>
        <v>155479476715</v>
      </c>
      <c r="AE684" s="6">
        <f>$E684+24</f>
        <v>146</v>
      </c>
      <c r="AF684" s="7">
        <f>IF($J684=0,0,ROUND(MAX($J684*1.4*1.5*1.6*1.6*2.2*2.715*2.6*1.4*1.4*1.5*1.5,18900000000*(1.65331^(MIN($E684,123)-117)))*1,0))</f>
        <v>233471173936</v>
      </c>
      <c r="AG684" s="4">
        <f>$E684+27</f>
        <v>149</v>
      </c>
      <c r="AH684" s="8">
        <f>IF($J684=0,0,ROUND(MAX($J684*1.4*1.5*1.6*1.6*2.2*2.715*2.6*1.4*1.4*1.5*1.5*3.2,60500000000*(1.654288^(MIN($E684,123)-117)))*1,0))</f>
        <v>749567886338</v>
      </c>
    </row>
    <row r="685" ht="27.75" customHeight="1" spans="1:34" x14ac:dyDescent="0.25">
      <c r="A685" s="3">
        <v>695</v>
      </c>
      <c r="B685" s="3" t="s">
        <v>173</v>
      </c>
      <c r="C685" s="3" t="s">
        <v>641</v>
      </c>
      <c r="D685" s="3" t="s">
        <v>79</v>
      </c>
      <c r="E685" s="3">
        <v>122</v>
      </c>
      <c r="F685" s="3" t="s">
        <v>174</v>
      </c>
      <c r="G685" s="3" t="s">
        <v>174</v>
      </c>
      <c r="H685" s="3">
        <v>32</v>
      </c>
      <c r="I685" s="4">
        <v>122</v>
      </c>
      <c r="J685" s="5">
        <v>3540000</v>
      </c>
      <c r="K685" s="6">
        <f>$E685+1</f>
        <v>123</v>
      </c>
      <c r="L685" s="7">
        <f>IF($J685=0,0,ROUND(MAX($J685*1.4,1620000*(1.497923^(MIN($E685,123)-117)))*1,0))</f>
        <v>12216941</v>
      </c>
      <c r="M685" s="4">
        <f>$E685+2</f>
        <v>124</v>
      </c>
      <c r="N685" s="8">
        <f>IF($J685=0,0,ROUND(MAX($J685*1.4*1.5,2190000*(1.580994^(MIN($E685,123)-117)))*1,0))</f>
        <v>21631928</v>
      </c>
      <c r="O685" s="6">
        <f>$E685+4</f>
        <v>126</v>
      </c>
      <c r="P685" s="7">
        <f>IF($J685=0,0,ROUND(MAX($J685*1.4*1.5*1.6,3500000*(1.57975^(MIN($E685,123)-117)))*1,0))</f>
        <v>34435775</v>
      </c>
      <c r="Q685" s="4">
        <f>$E685+6</f>
        <v>128</v>
      </c>
      <c r="R685" s="8">
        <f>IF($J685=0,0,ROUND(MAX($J685*1.4*1.5*1.6*1.6,13100000*(1.429962^(MIN($E685,123)-117)))*1,0))</f>
        <v>78323805</v>
      </c>
      <c r="S685" s="6">
        <f>$E685+8</f>
        <v>130</v>
      </c>
      <c r="T685" s="7">
        <f>IF($J685=0,0,ROUND(MAX($J685*1.4*1.5*1.6*1.6*2.2,42600000*(1.576904^(MIN($E685,123)-117)))*1,0))</f>
        <v>415370714</v>
      </c>
      <c r="U685" s="4">
        <f>$E685+11</f>
        <v>133</v>
      </c>
      <c r="V685" s="8">
        <f>IF($J685=0,0,ROUND(MAX($J685*1.4*1.5*1.6*1.6*2.2*2.715,354000000*(1.642074^(MIN($E685,123)-117)))*1,0))</f>
        <v>4226363874</v>
      </c>
      <c r="W685" s="6">
        <f>$E685+15</f>
        <v>137</v>
      </c>
      <c r="X685" s="7">
        <f>IF($J685=0,0,ROUND(MAX($J685*1.4*1.5*1.6*1.6*2.2*2.715*2.6,3540000000*(1.579646^(MIN($E685,123)-117)))*1,0))</f>
        <v>34817863835</v>
      </c>
      <c r="Y685" s="4">
        <f>$E685+17</f>
        <v>139</v>
      </c>
      <c r="Z685" s="8">
        <f>IF($J685=0,0,ROUND(MAX($J685*1.4*1.5*1.6*1.6*2.2*2.715*2.6*1.4,6020000000*(1.651178^(MIN($E685,123)-117)))*1,0))</f>
        <v>73886647050</v>
      </c>
      <c r="AA685" s="6">
        <f>$E685+19</f>
        <v>141</v>
      </c>
      <c r="AB685" s="7">
        <f>IF($J685=0,0,ROUND(MAX($J685*1.4*1.5*1.6*1.6*2.2*2.715*2.6*1.4*1.4,8430000000*(1.651435^(MIN($E685,123)-117)))*1,0))</f>
        <v>103546398464</v>
      </c>
      <c r="AC685" s="4">
        <f>$E685+21</f>
        <v>143</v>
      </c>
      <c r="AD685" s="8">
        <f>IF($J685=0,0,ROUND(MAX($J685*1.4*1.5*1.6*1.6*2.2*2.715*2.6*1.4*1.4*1.5,12600000000*(1.652953^(MIN($E685,123)-117)))*1,0))</f>
        <v>155479476715</v>
      </c>
      <c r="AE685" s="6">
        <f>$E685+24</f>
        <v>146</v>
      </c>
      <c r="AF685" s="7">
        <f>IF($J685=0,0,ROUND(MAX($J685*1.4*1.5*1.6*1.6*2.2*2.715*2.6*1.4*1.4*1.5*1.5,18900000000*(1.65331^(MIN($E685,123)-117)))*1,0))</f>
        <v>233471173936</v>
      </c>
      <c r="AG685" s="4">
        <f>$E685+27</f>
        <v>149</v>
      </c>
      <c r="AH685" s="8">
        <f>IF($J685=0,0,ROUND(MAX($J685*1.4*1.5*1.6*1.6*2.2*2.715*2.6*1.4*1.4*1.5*1.5*3.2,60500000000*(1.654288^(MIN($E685,123)-117)))*1,0))</f>
        <v>749567886338</v>
      </c>
    </row>
    <row r="686" ht="27.75" customHeight="1" spans="1:34" x14ac:dyDescent="0.25">
      <c r="A686" s="3">
        <v>696</v>
      </c>
      <c r="B686" s="3" t="s">
        <v>139</v>
      </c>
      <c r="C686" s="3" t="s">
        <v>641</v>
      </c>
      <c r="D686" s="3" t="s">
        <v>40</v>
      </c>
      <c r="E686" s="3">
        <v>122</v>
      </c>
      <c r="F686" s="3" t="s">
        <v>34</v>
      </c>
      <c r="G686" s="3" t="s">
        <v>34</v>
      </c>
      <c r="H686" s="3">
        <v>32</v>
      </c>
      <c r="I686" s="4">
        <v>122</v>
      </c>
      <c r="J686" s="5">
        <v>3700000</v>
      </c>
      <c r="K686" s="6">
        <f>$E686+1</f>
        <v>123</v>
      </c>
      <c r="L686" s="7">
        <f>IF($J686=0,0,ROUND(MAX($J686*1.4,1620000*(1.497923^(MIN($E686,123)-117)))*1,0))</f>
        <v>12216941</v>
      </c>
      <c r="M686" s="4">
        <f>$E686+2</f>
        <v>124</v>
      </c>
      <c r="N686" s="8">
        <f>IF($J686=0,0,ROUND(MAX($J686*1.4*1.5,2190000*(1.580994^(MIN($E686,123)-117)))*1,0))</f>
        <v>21631928</v>
      </c>
      <c r="O686" s="6">
        <f>$E686+4</f>
        <v>126</v>
      </c>
      <c r="P686" s="7">
        <f>IF($J686=0,0,ROUND(MAX($J686*1.4*1.5*1.6,3500000*(1.57975^(MIN($E686,123)-117)))*1,0))</f>
        <v>34435775</v>
      </c>
      <c r="Q686" s="4">
        <f>$E686+6</f>
        <v>128</v>
      </c>
      <c r="R686" s="8">
        <f>IF($J686=0,0,ROUND(MAX($J686*1.4*1.5*1.6*1.6,13100000*(1.429962^(MIN($E686,123)-117)))*1,0))</f>
        <v>78323805</v>
      </c>
      <c r="S686" s="6">
        <f>$E686+8</f>
        <v>130</v>
      </c>
      <c r="T686" s="7">
        <f>IF($J686=0,0,ROUND(MAX($J686*1.4*1.5*1.6*1.6*2.2,42600000*(1.576904^(MIN($E686,123)-117)))*1,0))</f>
        <v>415370714</v>
      </c>
      <c r="U686" s="4">
        <f>$E686+11</f>
        <v>133</v>
      </c>
      <c r="V686" s="8">
        <f>IF($J686=0,0,ROUND(MAX($J686*1.4*1.5*1.6*1.6*2.2*2.715,354000000*(1.642074^(MIN($E686,123)-117)))*1,0))</f>
        <v>4226363874</v>
      </c>
      <c r="W686" s="6">
        <f>$E686+15</f>
        <v>137</v>
      </c>
      <c r="X686" s="7">
        <f>IF($J686=0,0,ROUND(MAX($J686*1.4*1.5*1.6*1.6*2.2*2.715*2.6,3540000000*(1.579646^(MIN($E686,123)-117)))*1,0))</f>
        <v>34817863835</v>
      </c>
      <c r="Y686" s="4">
        <f>$E686+17</f>
        <v>139</v>
      </c>
      <c r="Z686" s="8">
        <f>IF($J686=0,0,ROUND(MAX($J686*1.4*1.5*1.6*1.6*2.2*2.715*2.6*1.4,6020000000*(1.651178^(MIN($E686,123)-117)))*1,0))</f>
        <v>73886647050</v>
      </c>
      <c r="AA686" s="6">
        <f>$E686+19</f>
        <v>141</v>
      </c>
      <c r="AB686" s="7">
        <f>IF($J686=0,0,ROUND(MAX($J686*1.4*1.5*1.6*1.6*2.2*2.715*2.6*1.4*1.4,8430000000*(1.651435^(MIN($E686,123)-117)))*1,0))</f>
        <v>103546398464</v>
      </c>
      <c r="AC686" s="4">
        <f>$E686+21</f>
        <v>143</v>
      </c>
      <c r="AD686" s="8">
        <f>IF($J686=0,0,ROUND(MAX($J686*1.4*1.5*1.6*1.6*2.2*2.715*2.6*1.4*1.4*1.5,12600000000*(1.652953^(MIN($E686,123)-117)))*1,0))</f>
        <v>155479476715</v>
      </c>
      <c r="AE686" s="6">
        <f>$E686+24</f>
        <v>146</v>
      </c>
      <c r="AF686" s="7">
        <f>IF($J686=0,0,ROUND(MAX($J686*1.4*1.5*1.6*1.6*2.2*2.715*2.6*1.4*1.4*1.5*1.5,18900000000*(1.65331^(MIN($E686,123)-117)))*1,0))</f>
        <v>233471173936</v>
      </c>
      <c r="AG686" s="4">
        <f>$E686+27</f>
        <v>149</v>
      </c>
      <c r="AH686" s="8">
        <f>IF($J686=0,0,ROUND(MAX($J686*1.4*1.5*1.6*1.6*2.2*2.715*2.6*1.4*1.4*1.5*1.5*3.2,60500000000*(1.654288^(MIN($E686,123)-117)))*1,0))</f>
        <v>749567886338</v>
      </c>
    </row>
    <row r="687" ht="27.75" customHeight="1" spans="1:34" x14ac:dyDescent="0.25">
      <c r="A687" s="3">
        <v>697</v>
      </c>
      <c r="B687" s="3" t="s">
        <v>211</v>
      </c>
      <c r="C687" s="3" t="s">
        <v>641</v>
      </c>
      <c r="D687" s="3" t="s">
        <v>40</v>
      </c>
      <c r="E687" s="3">
        <v>122</v>
      </c>
      <c r="F687" s="3" t="s">
        <v>212</v>
      </c>
      <c r="G687" s="3" t="s">
        <v>212</v>
      </c>
      <c r="H687" s="3">
        <v>32</v>
      </c>
      <c r="I687" s="4">
        <v>122</v>
      </c>
      <c r="J687" s="5">
        <v>4690000</v>
      </c>
      <c r="K687" s="6">
        <f>$E687+1</f>
        <v>123</v>
      </c>
      <c r="L687" s="7">
        <f>IF($J687=0,0,ROUND(MAX($J687*1.4,1620000*(1.497923^(MIN($E687,123)-117)))*1,0))</f>
        <v>12216941</v>
      </c>
      <c r="M687" s="4">
        <f>$E687+2</f>
        <v>124</v>
      </c>
      <c r="N687" s="8">
        <f>IF($J687=0,0,ROUND(MAX($J687*1.4*1.5,2190000*(1.580994^(MIN($E687,123)-117)))*1,0))</f>
        <v>21631928</v>
      </c>
      <c r="O687" s="6">
        <f>$E687+4</f>
        <v>126</v>
      </c>
      <c r="P687" s="7">
        <f>IF($J687=0,0,ROUND(MAX($J687*1.4*1.5*1.6,3500000*(1.57975^(MIN($E687,123)-117)))*1,0))</f>
        <v>34435775</v>
      </c>
      <c r="Q687" s="4">
        <f>$E687+6</f>
        <v>128</v>
      </c>
      <c r="R687" s="8">
        <f>IF($J687=0,0,ROUND(MAX($J687*1.4*1.5*1.6*1.6,13100000*(1.429962^(MIN($E687,123)-117)))*1,0))</f>
        <v>78323805</v>
      </c>
      <c r="S687" s="6">
        <f>$E687+8</f>
        <v>130</v>
      </c>
      <c r="T687" s="7">
        <f>IF($J687=0,0,ROUND(MAX($J687*1.4*1.5*1.6*1.6*2.2,42600000*(1.576904^(MIN($E687,123)-117)))*1,0))</f>
        <v>415370714</v>
      </c>
      <c r="U687" s="4">
        <f>$E687+11</f>
        <v>133</v>
      </c>
      <c r="V687" s="8">
        <f>IF($J687=0,0,ROUND(MAX($J687*1.4*1.5*1.6*1.6*2.2*2.715,354000000*(1.642074^(MIN($E687,123)-117)))*1,0))</f>
        <v>4226363874</v>
      </c>
      <c r="W687" s="6">
        <f>$E687+15</f>
        <v>137</v>
      </c>
      <c r="X687" s="7">
        <f>IF($J687=0,0,ROUND(MAX($J687*1.4*1.5*1.6*1.6*2.2*2.715*2.6,3540000000*(1.579646^(MIN($E687,123)-117)))*1,0))</f>
        <v>34817863835</v>
      </c>
      <c r="Y687" s="4">
        <f>$E687+17</f>
        <v>139</v>
      </c>
      <c r="Z687" s="8">
        <f>IF($J687=0,0,ROUND(MAX($J687*1.4*1.5*1.6*1.6*2.2*2.715*2.6*1.4,6020000000*(1.651178^(MIN($E687,123)-117)))*1,0))</f>
        <v>73886647050</v>
      </c>
      <c r="AA687" s="6">
        <f>$E687+19</f>
        <v>141</v>
      </c>
      <c r="AB687" s="7">
        <f>IF($J687=0,0,ROUND(MAX($J687*1.4*1.5*1.6*1.6*2.2*2.715*2.6*1.4*1.4,8430000000*(1.651435^(MIN($E687,123)-117)))*1,0))</f>
        <v>103546398464</v>
      </c>
      <c r="AC687" s="4">
        <f>$E687+21</f>
        <v>143</v>
      </c>
      <c r="AD687" s="8">
        <f>IF($J687=0,0,ROUND(MAX($J687*1.4*1.5*1.6*1.6*2.2*2.715*2.6*1.4*1.4*1.5,12600000000*(1.652953^(MIN($E687,123)-117)))*1,0))</f>
        <v>155479476715</v>
      </c>
      <c r="AE687" s="6">
        <f>$E687+24</f>
        <v>146</v>
      </c>
      <c r="AF687" s="7">
        <f>IF($J687=0,0,ROUND(MAX($J687*1.4*1.5*1.6*1.6*2.2*2.715*2.6*1.4*1.4*1.5*1.5,18900000000*(1.65331^(MIN($E687,123)-117)))*1,0))</f>
        <v>233471173936</v>
      </c>
      <c r="AG687" s="4">
        <f>$E687+27</f>
        <v>149</v>
      </c>
      <c r="AH687" s="8">
        <f>IF($J687=0,0,ROUND(MAX($J687*1.4*1.5*1.6*1.6*2.2*2.715*2.6*1.4*1.4*1.5*1.5*3.2,60500000000*(1.654288^(MIN($E687,123)-117)))*1,0))</f>
        <v>749567886338</v>
      </c>
    </row>
    <row r="688" ht="27.75" customHeight="1" spans="1:34" x14ac:dyDescent="0.25">
      <c r="A688" s="3">
        <v>698</v>
      </c>
      <c r="B688" s="3" t="s">
        <v>68</v>
      </c>
      <c r="C688" s="3" t="s">
        <v>641</v>
      </c>
      <c r="D688" s="3" t="s">
        <v>64</v>
      </c>
      <c r="E688" s="3">
        <v>122</v>
      </c>
      <c r="F688" s="3" t="s">
        <v>30</v>
      </c>
      <c r="G688" s="3" t="s">
        <v>30</v>
      </c>
      <c r="H688" s="3">
        <v>32</v>
      </c>
      <c r="I688" s="4">
        <v>122</v>
      </c>
      <c r="J688" s="5">
        <v>3710000</v>
      </c>
      <c r="K688" s="6">
        <f>$E688+1</f>
        <v>123</v>
      </c>
      <c r="L688" s="7">
        <f>IF($J688=0,0,ROUND(MAX($J688*1.4,1620000*(1.497923^(MIN($E688,123)-117)))*1,0))</f>
        <v>12216941</v>
      </c>
      <c r="M688" s="4">
        <f>$E688+2</f>
        <v>124</v>
      </c>
      <c r="N688" s="8">
        <f>IF($J688=0,0,ROUND(MAX($J688*1.4*1.5,2190000*(1.580994^(MIN($E688,123)-117)))*1,0))</f>
        <v>21631928</v>
      </c>
      <c r="O688" s="6">
        <f>$E688+4</f>
        <v>126</v>
      </c>
      <c r="P688" s="7">
        <f>IF($J688=0,0,ROUND(MAX($J688*1.4*1.5*1.6,3500000*(1.57975^(MIN($E688,123)-117)))*1,0))</f>
        <v>34435775</v>
      </c>
      <c r="Q688" s="4">
        <f>$E688+6</f>
        <v>128</v>
      </c>
      <c r="R688" s="8">
        <f>IF($J688=0,0,ROUND(MAX($J688*1.4*1.5*1.6*1.6,13100000*(1.429962^(MIN($E688,123)-117)))*1,0))</f>
        <v>78323805</v>
      </c>
      <c r="S688" s="6">
        <f>$E688+8</f>
        <v>130</v>
      </c>
      <c r="T688" s="7">
        <f>IF($J688=0,0,ROUND(MAX($J688*1.4*1.5*1.6*1.6*2.2,42600000*(1.576904^(MIN($E688,123)-117)))*1,0))</f>
        <v>415370714</v>
      </c>
      <c r="U688" s="4">
        <f>$E688+11</f>
        <v>133</v>
      </c>
      <c r="V688" s="8">
        <f>IF($J688=0,0,ROUND(MAX($J688*1.4*1.5*1.6*1.6*2.2*2.715,354000000*(1.642074^(MIN($E688,123)-117)))*1,0))</f>
        <v>4226363874</v>
      </c>
      <c r="W688" s="6">
        <f>$E688+15</f>
        <v>137</v>
      </c>
      <c r="X688" s="7">
        <f>IF($J688=0,0,ROUND(MAX($J688*1.4*1.5*1.6*1.6*2.2*2.715*2.6,3540000000*(1.579646^(MIN($E688,123)-117)))*1,0))</f>
        <v>34817863835</v>
      </c>
      <c r="Y688" s="4">
        <f>$E688+17</f>
        <v>139</v>
      </c>
      <c r="Z688" s="8">
        <f>IF($J688=0,0,ROUND(MAX($J688*1.4*1.5*1.6*1.6*2.2*2.715*2.6*1.4,6020000000*(1.651178^(MIN($E688,123)-117)))*1,0))</f>
        <v>73886647050</v>
      </c>
      <c r="AA688" s="6">
        <f>$E688+19</f>
        <v>141</v>
      </c>
      <c r="AB688" s="7">
        <f>IF($J688=0,0,ROUND(MAX($J688*1.4*1.5*1.6*1.6*2.2*2.715*2.6*1.4*1.4,8430000000*(1.651435^(MIN($E688,123)-117)))*1,0))</f>
        <v>103546398464</v>
      </c>
      <c r="AC688" s="4">
        <f>$E688+21</f>
        <v>143</v>
      </c>
      <c r="AD688" s="8">
        <f>IF($J688=0,0,ROUND(MAX($J688*1.4*1.5*1.6*1.6*2.2*2.715*2.6*1.4*1.4*1.5,12600000000*(1.652953^(MIN($E688,123)-117)))*1,0))</f>
        <v>155479476715</v>
      </c>
      <c r="AE688" s="6">
        <f>$E688+24</f>
        <v>146</v>
      </c>
      <c r="AF688" s="7">
        <f>IF($J688=0,0,ROUND(MAX($J688*1.4*1.5*1.6*1.6*2.2*2.715*2.6*1.4*1.4*1.5*1.5,18900000000*(1.65331^(MIN($E688,123)-117)))*1,0))</f>
        <v>233471173936</v>
      </c>
      <c r="AG688" s="4">
        <f>$E688+27</f>
        <v>149</v>
      </c>
      <c r="AH688" s="8">
        <f>IF($J688=0,0,ROUND(MAX($J688*1.4*1.5*1.6*1.6*2.2*2.715*2.6*1.4*1.4*1.5*1.5*3.2,60500000000*(1.654288^(MIN($E688,123)-117)))*1,0))</f>
        <v>749567886338</v>
      </c>
    </row>
    <row r="689" ht="27.75" customHeight="1" spans="1:34" x14ac:dyDescent="0.25">
      <c r="A689" s="3">
        <v>699</v>
      </c>
      <c r="B689" s="3" t="s">
        <v>73</v>
      </c>
      <c r="C689" s="3" t="s">
        <v>641</v>
      </c>
      <c r="D689" s="3" t="s">
        <v>64</v>
      </c>
      <c r="E689" s="3">
        <v>122</v>
      </c>
      <c r="F689" s="3" t="s">
        <v>30</v>
      </c>
      <c r="G689" s="3" t="s">
        <v>30</v>
      </c>
      <c r="H689" s="3">
        <v>32</v>
      </c>
      <c r="I689" s="4">
        <v>122</v>
      </c>
      <c r="J689" s="5">
        <v>4100000</v>
      </c>
      <c r="K689" s="6">
        <f>$E689+1</f>
        <v>123</v>
      </c>
      <c r="L689" s="7">
        <f>IF($J689=0,0,ROUND(MAX($J689*1.4,1620000*(1.497923^(MIN($E689,123)-117)))*1,0))</f>
        <v>12216941</v>
      </c>
      <c r="M689" s="4">
        <f>$E689+2</f>
        <v>124</v>
      </c>
      <c r="N689" s="8">
        <f>IF($J689=0,0,ROUND(MAX($J689*1.4*1.5,2190000*(1.580994^(MIN($E689,123)-117)))*1,0))</f>
        <v>21631928</v>
      </c>
      <c r="O689" s="6">
        <f>$E689+4</f>
        <v>126</v>
      </c>
      <c r="P689" s="7">
        <f>IF($J689=0,0,ROUND(MAX($J689*1.4*1.5*1.6,3500000*(1.57975^(MIN($E689,123)-117)))*1,0))</f>
        <v>34435775</v>
      </c>
      <c r="Q689" s="4">
        <f>$E689+6</f>
        <v>128</v>
      </c>
      <c r="R689" s="8">
        <f>IF($J689=0,0,ROUND(MAX($J689*1.4*1.5*1.6*1.6,13100000*(1.429962^(MIN($E689,123)-117)))*1,0))</f>
        <v>78323805</v>
      </c>
      <c r="S689" s="6">
        <f>$E689+8</f>
        <v>130</v>
      </c>
      <c r="T689" s="7">
        <f>IF($J689=0,0,ROUND(MAX($J689*1.4*1.5*1.6*1.6*2.2,42600000*(1.576904^(MIN($E689,123)-117)))*1,0))</f>
        <v>415370714</v>
      </c>
      <c r="U689" s="4">
        <f>$E689+11</f>
        <v>133</v>
      </c>
      <c r="V689" s="8">
        <f>IF($J689=0,0,ROUND(MAX($J689*1.4*1.5*1.6*1.6*2.2*2.715,354000000*(1.642074^(MIN($E689,123)-117)))*1,0))</f>
        <v>4226363874</v>
      </c>
      <c r="W689" s="6">
        <f>$E689+15</f>
        <v>137</v>
      </c>
      <c r="X689" s="7">
        <f>IF($J689=0,0,ROUND(MAX($J689*1.4*1.5*1.6*1.6*2.2*2.715*2.6,3540000000*(1.579646^(MIN($E689,123)-117)))*1,0))</f>
        <v>34817863835</v>
      </c>
      <c r="Y689" s="4">
        <f>$E689+17</f>
        <v>139</v>
      </c>
      <c r="Z689" s="8">
        <f>IF($J689=0,0,ROUND(MAX($J689*1.4*1.5*1.6*1.6*2.2*2.715*2.6*1.4,6020000000*(1.651178^(MIN($E689,123)-117)))*1,0))</f>
        <v>73886647050</v>
      </c>
      <c r="AA689" s="6">
        <f>$E689+19</f>
        <v>141</v>
      </c>
      <c r="AB689" s="7">
        <f>IF($J689=0,0,ROUND(MAX($J689*1.4*1.5*1.6*1.6*2.2*2.715*2.6*1.4*1.4,8430000000*(1.651435^(MIN($E689,123)-117)))*1,0))</f>
        <v>103546398464</v>
      </c>
      <c r="AC689" s="4">
        <f>$E689+21</f>
        <v>143</v>
      </c>
      <c r="AD689" s="8">
        <f>IF($J689=0,0,ROUND(MAX($J689*1.4*1.5*1.6*1.6*2.2*2.715*2.6*1.4*1.4*1.5,12600000000*(1.652953^(MIN($E689,123)-117)))*1,0))</f>
        <v>155479476715</v>
      </c>
      <c r="AE689" s="6">
        <f>$E689+24</f>
        <v>146</v>
      </c>
      <c r="AF689" s="7">
        <f>IF($J689=0,0,ROUND(MAX($J689*1.4*1.5*1.6*1.6*2.2*2.715*2.6*1.4*1.4*1.5*1.5,18900000000*(1.65331^(MIN($E689,123)-117)))*1,0))</f>
        <v>233471173936</v>
      </c>
      <c r="AG689" s="4">
        <f>$E689+27</f>
        <v>149</v>
      </c>
      <c r="AH689" s="8">
        <f>IF($J689=0,0,ROUND(MAX($J689*1.4*1.5*1.6*1.6*2.2*2.715*2.6*1.4*1.4*1.5*1.5*3.2,60500000000*(1.654288^(MIN($E689,123)-117)))*1,0))</f>
        <v>749567886338</v>
      </c>
    </row>
    <row r="690" ht="27.75" customHeight="1" spans="1:34" x14ac:dyDescent="0.25">
      <c r="A690" s="3">
        <v>700</v>
      </c>
      <c r="B690" s="3" t="s">
        <v>32</v>
      </c>
      <c r="C690" s="3" t="s">
        <v>641</v>
      </c>
      <c r="D690" s="3" t="s">
        <v>33</v>
      </c>
      <c r="E690" s="3">
        <v>123</v>
      </c>
      <c r="F690" s="3" t="s">
        <v>34</v>
      </c>
      <c r="G690" s="3" t="s">
        <v>34</v>
      </c>
      <c r="H690" s="3">
        <v>32</v>
      </c>
      <c r="I690" s="4">
        <v>123</v>
      </c>
      <c r="J690" s="5">
        <v>13000000</v>
      </c>
      <c r="K690" s="6">
        <f>$E690+1</f>
        <v>124</v>
      </c>
      <c r="L690" s="7">
        <f>IF($J690=0,0,ROUND(MAX($J690*1.4,1620000*(1.497923^(MIN($E690,123)-117)))*1,0))</f>
        <v>18300036</v>
      </c>
      <c r="M690" s="4">
        <f>$E690+2</f>
        <v>125</v>
      </c>
      <c r="N690" s="8">
        <f>IF($J690=0,0,ROUND(MAX($J690*1.4*1.5,2190000*(1.580994^(MIN($E690,123)-117)))*1,0))</f>
        <v>34199948</v>
      </c>
      <c r="O690" s="6">
        <f>$E690+4</f>
        <v>127</v>
      </c>
      <c r="P690" s="7">
        <f>IF($J690=0,0,ROUND(MAX($J690*1.4*1.5*1.6,3500000*(1.57975^(MIN($E690,123)-117)))*1,0))</f>
        <v>54399916</v>
      </c>
      <c r="Q690" s="4">
        <f>$E690+6</f>
        <v>129</v>
      </c>
      <c r="R690" s="8">
        <f>IF($J690=0,0,ROUND(MAX($J690*1.4*1.5*1.6*1.6,13100000*(1.429962^(MIN($E690,123)-117)))*1,0))</f>
        <v>112000065</v>
      </c>
      <c r="S690" s="6">
        <f>$E690+8</f>
        <v>131</v>
      </c>
      <c r="T690" s="7">
        <f>IF($J690=0,0,ROUND(MAX($J690*1.4*1.5*1.6*1.6*2.2,42600000*(1.576904^(MIN($E690,123)-117)))*1,0))</f>
        <v>654999741</v>
      </c>
      <c r="U690" s="4">
        <f>$E690+11</f>
        <v>134</v>
      </c>
      <c r="V690" s="8">
        <f>IF($J690=0,0,ROUND(MAX($J690*1.4*1.5*1.6*1.6*2.2*2.715,354000000*(1.642074^(MIN($E690,123)-117)))*1,0))</f>
        <v>6940002232</v>
      </c>
      <c r="W690" s="6">
        <f>$E690+15</f>
        <v>138</v>
      </c>
      <c r="X690" s="7">
        <f>IF($J690=0,0,ROUND(MAX($J690*1.4*1.5*1.6*1.6*2.2*2.715*2.6,3540000000*(1.579646^(MIN($E690,123)-117)))*1,0))</f>
        <v>54999899335</v>
      </c>
      <c r="Y690" s="4">
        <f>$E690+17</f>
        <v>140</v>
      </c>
      <c r="Z690" s="8">
        <f>IF($J690=0,0,ROUND(MAX($J690*1.4*1.5*1.6*1.6*2.2*2.715*2.6*1.4,6020000000*(1.651178^(MIN($E690,123)-117)))*1,0))</f>
        <v>122000006103</v>
      </c>
      <c r="AA690" s="6">
        <f>$E690+19</f>
        <v>142</v>
      </c>
      <c r="AB690" s="7">
        <f>IF($J690=0,0,ROUND(MAX($J690*1.4*1.5*1.6*1.6*2.2*2.715*2.6*1.4*1.4,8430000000*(1.651435^(MIN($E690,123)-117)))*1,0))</f>
        <v>171000146547</v>
      </c>
      <c r="AC690" s="4">
        <f>$E690+21</f>
        <v>144</v>
      </c>
      <c r="AD690" s="8">
        <f>IF($J690=0,0,ROUND(MAX($J690*1.4*1.5*1.6*1.6*2.2*2.715*2.6*1.4*1.4*1.5,12600000000*(1.652953^(MIN($E690,123)-117)))*1,0))</f>
        <v>257000267475</v>
      </c>
      <c r="AE690" s="6">
        <f>$E690+24</f>
        <v>147</v>
      </c>
      <c r="AF690" s="7">
        <f>IF($J690=0,0,ROUND(MAX($J690*1.4*1.5*1.6*1.6*2.2*2.715*2.6*1.4*1.4*1.5*1.5,18900000000*(1.65331^(MIN($E690,123)-117)))*1,0))</f>
        <v>386000226581</v>
      </c>
      <c r="AG690" s="4">
        <f>$E690+27</f>
        <v>150</v>
      </c>
      <c r="AH690" s="8">
        <f>IF($J690=0,0,ROUND(MAX($J690*1.4*1.5*1.6*1.6*2.2*2.715*2.6*1.4*1.4*1.5*1.5*3.2,60500000000*(1.654288^(MIN($E690,123)-117)))*1,0))</f>
        <v>1240001159555</v>
      </c>
    </row>
    <row r="691" ht="27.75" customHeight="1" spans="1:34" x14ac:dyDescent="0.25">
      <c r="A691" s="3">
        <v>701</v>
      </c>
      <c r="B691" s="3" t="s">
        <v>23</v>
      </c>
      <c r="C691" s="3" t="s">
        <v>641</v>
      </c>
      <c r="D691" s="3" t="s">
        <v>25</v>
      </c>
      <c r="E691" s="3">
        <v>123</v>
      </c>
      <c r="F691" s="3" t="s">
        <v>26</v>
      </c>
      <c r="G691" s="3" t="s">
        <v>26</v>
      </c>
      <c r="H691" s="3">
        <v>32</v>
      </c>
      <c r="I691" s="4">
        <v>123</v>
      </c>
      <c r="J691" s="5">
        <v>12700000</v>
      </c>
      <c r="K691" s="6">
        <f>$E691+1</f>
        <v>124</v>
      </c>
      <c r="L691" s="7">
        <f>IF($J691=0,0,ROUND(MAX($J691*1.4,1620000*(1.497923^(MIN($E691,123)-117)))*1,0))</f>
        <v>18300036</v>
      </c>
      <c r="M691" s="4">
        <f>$E691+2</f>
        <v>125</v>
      </c>
      <c r="N691" s="8">
        <f>IF($J691=0,0,ROUND(MAX($J691*1.4*1.5,2190000*(1.580994^(MIN($E691,123)-117)))*1,0))</f>
        <v>34199948</v>
      </c>
      <c r="O691" s="6">
        <f>$E691+4</f>
        <v>127</v>
      </c>
      <c r="P691" s="7">
        <f>IF($J691=0,0,ROUND(MAX($J691*1.4*1.5*1.6,3500000*(1.57975^(MIN($E691,123)-117)))*1,0))</f>
        <v>54399916</v>
      </c>
      <c r="Q691" s="4">
        <f>$E691+6</f>
        <v>129</v>
      </c>
      <c r="R691" s="8">
        <f>IF($J691=0,0,ROUND(MAX($J691*1.4*1.5*1.6*1.6,13100000*(1.429962^(MIN($E691,123)-117)))*1,0))</f>
        <v>112000065</v>
      </c>
      <c r="S691" s="6">
        <f>$E691+8</f>
        <v>131</v>
      </c>
      <c r="T691" s="7">
        <f>IF($J691=0,0,ROUND(MAX($J691*1.4*1.5*1.6*1.6*2.2,42600000*(1.576904^(MIN($E691,123)-117)))*1,0))</f>
        <v>654999741</v>
      </c>
      <c r="U691" s="4">
        <f>$E691+11</f>
        <v>134</v>
      </c>
      <c r="V691" s="8">
        <f>IF($J691=0,0,ROUND(MAX($J691*1.4*1.5*1.6*1.6*2.2*2.715,354000000*(1.642074^(MIN($E691,123)-117)))*1,0))</f>
        <v>6940002232</v>
      </c>
      <c r="W691" s="6">
        <f>$E691+15</f>
        <v>138</v>
      </c>
      <c r="X691" s="7">
        <f>IF($J691=0,0,ROUND(MAX($J691*1.4*1.5*1.6*1.6*2.2*2.715*2.6,3540000000*(1.579646^(MIN($E691,123)-117)))*1,0))</f>
        <v>54999899335</v>
      </c>
      <c r="Y691" s="4">
        <f>$E691+17</f>
        <v>140</v>
      </c>
      <c r="Z691" s="8">
        <f>IF($J691=0,0,ROUND(MAX($J691*1.4*1.5*1.6*1.6*2.2*2.715*2.6*1.4,6020000000*(1.651178^(MIN($E691,123)-117)))*1,0))</f>
        <v>122000006103</v>
      </c>
      <c r="AA691" s="6">
        <f>$E691+19</f>
        <v>142</v>
      </c>
      <c r="AB691" s="7">
        <f>IF($J691=0,0,ROUND(MAX($J691*1.4*1.5*1.6*1.6*2.2*2.715*2.6*1.4*1.4,8430000000*(1.651435^(MIN($E691,123)-117)))*1,0))</f>
        <v>171000146547</v>
      </c>
      <c r="AC691" s="4">
        <f>$E691+21</f>
        <v>144</v>
      </c>
      <c r="AD691" s="8">
        <f>IF($J691=0,0,ROUND(MAX($J691*1.4*1.5*1.6*1.6*2.2*2.715*2.6*1.4*1.4*1.5,12600000000*(1.652953^(MIN($E691,123)-117)))*1,0))</f>
        <v>257000267475</v>
      </c>
      <c r="AE691" s="6">
        <f>$E691+24</f>
        <v>147</v>
      </c>
      <c r="AF691" s="7">
        <f>IF($J691=0,0,ROUND(MAX($J691*1.4*1.5*1.6*1.6*2.2*2.715*2.6*1.4*1.4*1.5*1.5,18900000000*(1.65331^(MIN($E691,123)-117)))*1,0))</f>
        <v>386000226581</v>
      </c>
      <c r="AG691" s="4">
        <f>$E691+27</f>
        <v>150</v>
      </c>
      <c r="AH691" s="8">
        <f>IF($J691=0,0,ROUND(MAX($J691*1.4*1.5*1.6*1.6*2.2*2.715*2.6*1.4*1.4*1.5*1.5*3.2,60500000000*(1.654288^(MIN($E691,123)-117)))*1,0))</f>
        <v>1240001159555</v>
      </c>
    </row>
    <row r="692" ht="27.75" customHeight="1" spans="1:34" x14ac:dyDescent="0.25">
      <c r="A692" s="3">
        <v>702</v>
      </c>
      <c r="B692" s="3" t="s">
        <v>28</v>
      </c>
      <c r="C692" s="3" t="s">
        <v>641</v>
      </c>
      <c r="D692" s="3" t="s">
        <v>40</v>
      </c>
      <c r="E692" s="3">
        <v>123</v>
      </c>
      <c r="F692" s="3" t="s">
        <v>30</v>
      </c>
      <c r="G692" s="3" t="s">
        <v>30</v>
      </c>
      <c r="H692" s="3">
        <v>33</v>
      </c>
      <c r="I692" s="4">
        <v>123</v>
      </c>
      <c r="J692" s="5">
        <v>12700000</v>
      </c>
      <c r="K692" s="6">
        <f>$E692+1</f>
        <v>124</v>
      </c>
      <c r="L692" s="7">
        <f>IF($J692=0,0,ROUND(MAX($J692*1.4,1620000*(1.497923^(MIN($E692,123)-117)))*1,0))</f>
        <v>18300036</v>
      </c>
      <c r="M692" s="4">
        <f>$E692+2</f>
        <v>125</v>
      </c>
      <c r="N692" s="8">
        <f>IF($J692=0,0,ROUND(MAX($J692*1.4*1.5,2190000*(1.580994^(MIN($E692,123)-117)))*1,0))</f>
        <v>34199948</v>
      </c>
      <c r="O692" s="6">
        <f>$E692+4</f>
        <v>127</v>
      </c>
      <c r="P692" s="7">
        <f>IF($J692=0,0,ROUND(MAX($J692*1.4*1.5*1.6,3500000*(1.57975^(MIN($E692,123)-117)))*1,0))</f>
        <v>54399916</v>
      </c>
      <c r="Q692" s="4">
        <f>$E692+6</f>
        <v>129</v>
      </c>
      <c r="R692" s="8">
        <f>IF($J692=0,0,ROUND(MAX($J692*1.4*1.5*1.6*1.6,13100000*(1.429962^(MIN($E692,123)-117)))*1,0))</f>
        <v>112000065</v>
      </c>
      <c r="S692" s="6">
        <f>$E692+8</f>
        <v>131</v>
      </c>
      <c r="T692" s="7">
        <f>IF($J692=0,0,ROUND(MAX($J692*1.4*1.5*1.6*1.6*2.2,42600000*(1.576904^(MIN($E692,123)-117)))*1,0))</f>
        <v>654999741</v>
      </c>
      <c r="U692" s="4">
        <f>$E692+11</f>
        <v>134</v>
      </c>
      <c r="V692" s="8">
        <f>IF($J692=0,0,ROUND(MAX($J692*1.4*1.5*1.6*1.6*2.2*2.715,354000000*(1.642074^(MIN($E692,123)-117)))*1,0))</f>
        <v>6940002232</v>
      </c>
      <c r="W692" s="6">
        <f>$E692+15</f>
        <v>138</v>
      </c>
      <c r="X692" s="7">
        <f>IF($J692=0,0,ROUND(MAX($J692*1.4*1.5*1.6*1.6*2.2*2.715*2.6,3540000000*(1.579646^(MIN($E692,123)-117)))*1,0))</f>
        <v>54999899335</v>
      </c>
      <c r="Y692" s="4">
        <f>$E692+17</f>
        <v>140</v>
      </c>
      <c r="Z692" s="8">
        <f>IF($J692=0,0,ROUND(MAX($J692*1.4*1.5*1.6*1.6*2.2*2.715*2.6*1.4,6020000000*(1.651178^(MIN($E692,123)-117)))*1,0))</f>
        <v>122000006103</v>
      </c>
      <c r="AA692" s="6">
        <f>$E692+19</f>
        <v>142</v>
      </c>
      <c r="AB692" s="7">
        <f>IF($J692=0,0,ROUND(MAX($J692*1.4*1.5*1.6*1.6*2.2*2.715*2.6*1.4*1.4,8430000000*(1.651435^(MIN($E692,123)-117)))*1,0))</f>
        <v>171000146547</v>
      </c>
      <c r="AC692" s="4">
        <f>$E692+21</f>
        <v>144</v>
      </c>
      <c r="AD692" s="8">
        <f>IF($J692=0,0,ROUND(MAX($J692*1.4*1.5*1.6*1.6*2.2*2.715*2.6*1.4*1.4*1.5,12600000000*(1.652953^(MIN($E692,123)-117)))*1,0))</f>
        <v>257000267475</v>
      </c>
      <c r="AE692" s="6">
        <f>$E692+24</f>
        <v>147</v>
      </c>
      <c r="AF692" s="7">
        <f>IF($J692=0,0,ROUND(MAX($J692*1.4*1.5*1.6*1.6*2.2*2.715*2.6*1.4*1.4*1.5*1.5,18900000000*(1.65331^(MIN($E692,123)-117)))*1,0))</f>
        <v>386000226581</v>
      </c>
      <c r="AG692" s="4">
        <f>$E692+27</f>
        <v>150</v>
      </c>
      <c r="AH692" s="8">
        <f>IF($J692=0,0,ROUND(MAX($J692*1.4*1.5*1.6*1.6*2.2*2.715*2.6*1.4*1.4*1.5*1.5*3.2,60500000000*(1.654288^(MIN($E692,123)-117)))*1,0))</f>
        <v>1240001159555</v>
      </c>
    </row>
    <row r="693" ht="27.75" customHeight="1" spans="1:34" x14ac:dyDescent="0.25">
      <c r="A693" s="3">
        <v>703</v>
      </c>
      <c r="B693" s="3" t="s">
        <v>39</v>
      </c>
      <c r="C693" s="3" t="s">
        <v>641</v>
      </c>
      <c r="D693" s="3" t="s">
        <v>40</v>
      </c>
      <c r="E693" s="3">
        <v>123</v>
      </c>
      <c r="F693" s="3" t="s">
        <v>34</v>
      </c>
      <c r="G693" s="3" t="s">
        <v>34</v>
      </c>
      <c r="H693" s="3">
        <v>33</v>
      </c>
      <c r="I693" s="4">
        <v>123</v>
      </c>
      <c r="J693" s="5">
        <v>12700000</v>
      </c>
      <c r="K693" s="6">
        <f>$E693+1</f>
        <v>124</v>
      </c>
      <c r="L693" s="7">
        <f>IF($J693=0,0,ROUND(MAX($J693*1.4,1620000*(1.497923^(MIN($E693,123)-117)))*1,0))</f>
        <v>18300036</v>
      </c>
      <c r="M693" s="4">
        <f>$E693+2</f>
        <v>125</v>
      </c>
      <c r="N693" s="8">
        <f>IF($J693=0,0,ROUND(MAX($J693*1.4*1.5,2190000*(1.580994^(MIN($E693,123)-117)))*1,0))</f>
        <v>34199948</v>
      </c>
      <c r="O693" s="6">
        <f>$E693+4</f>
        <v>127</v>
      </c>
      <c r="P693" s="7">
        <f>IF($J693=0,0,ROUND(MAX($J693*1.4*1.5*1.6,3500000*(1.57975^(MIN($E693,123)-117)))*1,0))</f>
        <v>54399916</v>
      </c>
      <c r="Q693" s="4">
        <f>$E693+6</f>
        <v>129</v>
      </c>
      <c r="R693" s="8">
        <f>IF($J693=0,0,ROUND(MAX($J693*1.4*1.5*1.6*1.6,13100000*(1.429962^(MIN($E693,123)-117)))*1,0))</f>
        <v>112000065</v>
      </c>
      <c r="S693" s="6">
        <f>$E693+8</f>
        <v>131</v>
      </c>
      <c r="T693" s="7">
        <f>IF($J693=0,0,ROUND(MAX($J693*1.4*1.5*1.6*1.6*2.2,42600000*(1.576904^(MIN($E693,123)-117)))*1,0))</f>
        <v>654999741</v>
      </c>
      <c r="U693" s="4">
        <f>$E693+11</f>
        <v>134</v>
      </c>
      <c r="V693" s="8">
        <f>IF($J693=0,0,ROUND(MAX($J693*1.4*1.5*1.6*1.6*2.2*2.715,354000000*(1.642074^(MIN($E693,123)-117)))*1,0))</f>
        <v>6940002232</v>
      </c>
      <c r="W693" s="6">
        <f>$E693+15</f>
        <v>138</v>
      </c>
      <c r="X693" s="7">
        <f>IF($J693=0,0,ROUND(MAX($J693*1.4*1.5*1.6*1.6*2.2*2.715*2.6,3540000000*(1.579646^(MIN($E693,123)-117)))*1,0))</f>
        <v>54999899335</v>
      </c>
      <c r="Y693" s="4">
        <f>$E693+17</f>
        <v>140</v>
      </c>
      <c r="Z693" s="8">
        <f>IF($J693=0,0,ROUND(MAX($J693*1.4*1.5*1.6*1.6*2.2*2.715*2.6*1.4,6020000000*(1.651178^(MIN($E693,123)-117)))*1,0))</f>
        <v>122000006103</v>
      </c>
      <c r="AA693" s="6">
        <f>$E693+19</f>
        <v>142</v>
      </c>
      <c r="AB693" s="7">
        <f>IF($J693=0,0,ROUND(MAX($J693*1.4*1.5*1.6*1.6*2.2*2.715*2.6*1.4*1.4,8430000000*(1.651435^(MIN($E693,123)-117)))*1,0))</f>
        <v>171000146547</v>
      </c>
      <c r="AC693" s="4">
        <f>$E693+21</f>
        <v>144</v>
      </c>
      <c r="AD693" s="8">
        <f>IF($J693=0,0,ROUND(MAX($J693*1.4*1.5*1.6*1.6*2.2*2.715*2.6*1.4*1.4*1.5,12600000000*(1.652953^(MIN($E693,123)-117)))*1,0))</f>
        <v>257000267475</v>
      </c>
      <c r="AE693" s="6">
        <f>$E693+24</f>
        <v>147</v>
      </c>
      <c r="AF693" s="7">
        <f>IF($J693=0,0,ROUND(MAX($J693*1.4*1.5*1.6*1.6*2.2*2.715*2.6*1.4*1.4*1.5*1.5,18900000000*(1.65331^(MIN($E693,123)-117)))*1,0))</f>
        <v>386000226581</v>
      </c>
      <c r="AG693" s="4">
        <f>$E693+27</f>
        <v>150</v>
      </c>
      <c r="AH693" s="8">
        <f>IF($J693=0,0,ROUND(MAX($J693*1.4*1.5*1.6*1.6*2.2*2.715*2.6*1.4*1.4*1.5*1.5*3.2,60500000000*(1.654288^(MIN($E693,123)-117)))*1,0))</f>
        <v>1240001159555</v>
      </c>
    </row>
    <row r="694" ht="27.75" customHeight="1" spans="1:34" x14ac:dyDescent="0.25">
      <c r="A694" s="3">
        <v>704</v>
      </c>
      <c r="B694" s="3" t="s">
        <v>44</v>
      </c>
      <c r="C694" s="3" t="s">
        <v>641</v>
      </c>
      <c r="D694" s="3" t="s">
        <v>45</v>
      </c>
      <c r="E694" s="3">
        <v>123</v>
      </c>
      <c r="F694" s="3" t="s">
        <v>34</v>
      </c>
      <c r="G694" s="3" t="s">
        <v>34</v>
      </c>
      <c r="H694" s="3">
        <v>33</v>
      </c>
      <c r="I694" s="4">
        <v>123</v>
      </c>
      <c r="J694" s="5">
        <v>12800000</v>
      </c>
      <c r="K694" s="6">
        <f>$E694+1</f>
        <v>124</v>
      </c>
      <c r="L694" s="7">
        <f>IF($J694=0,0,ROUND(MAX($J694*1.4,1620000*(1.497923^(MIN($E694,123)-117)))*1,0))</f>
        <v>18300036</v>
      </c>
      <c r="M694" s="4">
        <f>$E694+2</f>
        <v>125</v>
      </c>
      <c r="N694" s="8">
        <f>IF($J694=0,0,ROUND(MAX($J694*1.4*1.5,2190000*(1.580994^(MIN($E694,123)-117)))*1,0))</f>
        <v>34199948</v>
      </c>
      <c r="O694" s="6">
        <f>$E694+4</f>
        <v>127</v>
      </c>
      <c r="P694" s="7">
        <f>IF($J694=0,0,ROUND(MAX($J694*1.4*1.5*1.6,3500000*(1.57975^(MIN($E694,123)-117)))*1,0))</f>
        <v>54399916</v>
      </c>
      <c r="Q694" s="4">
        <f>$E694+6</f>
        <v>129</v>
      </c>
      <c r="R694" s="8">
        <f>IF($J694=0,0,ROUND(MAX($J694*1.4*1.5*1.6*1.6,13100000*(1.429962^(MIN($E694,123)-117)))*1,0))</f>
        <v>112000065</v>
      </c>
      <c r="S694" s="6">
        <f>$E694+8</f>
        <v>131</v>
      </c>
      <c r="T694" s="7">
        <f>IF($J694=0,0,ROUND(MAX($J694*1.4*1.5*1.6*1.6*2.2,42600000*(1.576904^(MIN($E694,123)-117)))*1,0))</f>
        <v>654999741</v>
      </c>
      <c r="U694" s="4">
        <f>$E694+11</f>
        <v>134</v>
      </c>
      <c r="V694" s="8">
        <f>IF($J694=0,0,ROUND(MAX($J694*1.4*1.5*1.6*1.6*2.2*2.715,354000000*(1.642074^(MIN($E694,123)-117)))*1,0))</f>
        <v>6940002232</v>
      </c>
      <c r="W694" s="6">
        <f>$E694+15</f>
        <v>138</v>
      </c>
      <c r="X694" s="7">
        <f>IF($J694=0,0,ROUND(MAX($J694*1.4*1.5*1.6*1.6*2.2*2.715*2.6,3540000000*(1.579646^(MIN($E694,123)-117)))*1,0))</f>
        <v>54999899335</v>
      </c>
      <c r="Y694" s="4">
        <f>$E694+17</f>
        <v>140</v>
      </c>
      <c r="Z694" s="8">
        <f>IF($J694=0,0,ROUND(MAX($J694*1.4*1.5*1.6*1.6*2.2*2.715*2.6*1.4,6020000000*(1.651178^(MIN($E694,123)-117)))*1,0))</f>
        <v>122000006103</v>
      </c>
      <c r="AA694" s="6">
        <f>$E694+19</f>
        <v>142</v>
      </c>
      <c r="AB694" s="7">
        <f>IF($J694=0,0,ROUND(MAX($J694*1.4*1.5*1.6*1.6*2.2*2.715*2.6*1.4*1.4,8430000000*(1.651435^(MIN($E694,123)-117)))*1,0))</f>
        <v>171000146547</v>
      </c>
      <c r="AC694" s="4">
        <f>$E694+21</f>
        <v>144</v>
      </c>
      <c r="AD694" s="8">
        <f>IF($J694=0,0,ROUND(MAX($J694*1.4*1.5*1.6*1.6*2.2*2.715*2.6*1.4*1.4*1.5,12600000000*(1.652953^(MIN($E694,123)-117)))*1,0))</f>
        <v>257000267475</v>
      </c>
      <c r="AE694" s="6">
        <f>$E694+24</f>
        <v>147</v>
      </c>
      <c r="AF694" s="7">
        <f>IF($J694=0,0,ROUND(MAX($J694*1.4*1.5*1.6*1.6*2.2*2.715*2.6*1.4*1.4*1.5*1.5,18900000000*(1.65331^(MIN($E694,123)-117)))*1,0))</f>
        <v>386000226581</v>
      </c>
      <c r="AG694" s="4">
        <f>$E694+27</f>
        <v>150</v>
      </c>
      <c r="AH694" s="8">
        <f>IF($J694=0,0,ROUND(MAX($J694*1.4*1.5*1.6*1.6*2.2*2.715*2.6*1.4*1.4*1.5*1.5*3.2,60500000000*(1.654288^(MIN($E694,123)-117)))*1,0))</f>
        <v>1240001159555</v>
      </c>
    </row>
    <row r="695" ht="27.75" customHeight="1" spans="1:34" x14ac:dyDescent="0.25">
      <c r="A695" s="3">
        <v>705</v>
      </c>
      <c r="B695" s="3" t="s">
        <v>58</v>
      </c>
      <c r="C695" s="3" t="s">
        <v>641</v>
      </c>
      <c r="D695" s="3" t="s">
        <v>40</v>
      </c>
      <c r="E695" s="3">
        <v>123</v>
      </c>
      <c r="F695" s="3" t="s">
        <v>59</v>
      </c>
      <c r="G695" s="3" t="s">
        <v>59</v>
      </c>
      <c r="H695" s="3">
        <v>33</v>
      </c>
      <c r="I695" s="4">
        <v>123</v>
      </c>
      <c r="J695" s="5">
        <v>12200000</v>
      </c>
      <c r="K695" s="6">
        <f>$E695+1</f>
        <v>124</v>
      </c>
      <c r="L695" s="7">
        <f>IF($J695=0,0,ROUND(MAX($J695*1.4,1620000*(1.497923^(MIN($E695,123)-117)))*1,0))</f>
        <v>18300036</v>
      </c>
      <c r="M695" s="4">
        <f>$E695+2</f>
        <v>125</v>
      </c>
      <c r="N695" s="8">
        <f>IF($J695=0,0,ROUND(MAX($J695*1.4*1.5,2190000*(1.580994^(MIN($E695,123)-117)))*1,0))</f>
        <v>34199948</v>
      </c>
      <c r="O695" s="6">
        <f>$E695+4</f>
        <v>127</v>
      </c>
      <c r="P695" s="7">
        <f>IF($J695=0,0,ROUND(MAX($J695*1.4*1.5*1.6,3500000*(1.57975^(MIN($E695,123)-117)))*1,0))</f>
        <v>54399916</v>
      </c>
      <c r="Q695" s="4">
        <f>$E695+6</f>
        <v>129</v>
      </c>
      <c r="R695" s="8">
        <f>IF($J695=0,0,ROUND(MAX($J695*1.4*1.5*1.6*1.6,13100000*(1.429962^(MIN($E695,123)-117)))*1,0))</f>
        <v>112000065</v>
      </c>
      <c r="S695" s="6">
        <f>$E695+8</f>
        <v>131</v>
      </c>
      <c r="T695" s="7">
        <f>IF($J695=0,0,ROUND(MAX($J695*1.4*1.5*1.6*1.6*2.2,42600000*(1.576904^(MIN($E695,123)-117)))*1,0))</f>
        <v>654999741</v>
      </c>
      <c r="U695" s="4">
        <f>$E695+11</f>
        <v>134</v>
      </c>
      <c r="V695" s="8">
        <f>IF($J695=0,0,ROUND(MAX($J695*1.4*1.5*1.6*1.6*2.2*2.715,354000000*(1.642074^(MIN($E695,123)-117)))*1,0))</f>
        <v>6940002232</v>
      </c>
      <c r="W695" s="6">
        <f>$E695+15</f>
        <v>138</v>
      </c>
      <c r="X695" s="7">
        <f>IF($J695=0,0,ROUND(MAX($J695*1.4*1.5*1.6*1.6*2.2*2.715*2.6,3540000000*(1.579646^(MIN($E695,123)-117)))*1,0))</f>
        <v>54999899335</v>
      </c>
      <c r="Y695" s="4">
        <f>$E695+17</f>
        <v>140</v>
      </c>
      <c r="Z695" s="8">
        <f>IF($J695=0,0,ROUND(MAX($J695*1.4*1.5*1.6*1.6*2.2*2.715*2.6*1.4,6020000000*(1.651178^(MIN($E695,123)-117)))*1,0))</f>
        <v>122000006103</v>
      </c>
      <c r="AA695" s="6">
        <f>$E695+19</f>
        <v>142</v>
      </c>
      <c r="AB695" s="7">
        <f>IF($J695=0,0,ROUND(MAX($J695*1.4*1.5*1.6*1.6*2.2*2.715*2.6*1.4*1.4,8430000000*(1.651435^(MIN($E695,123)-117)))*1,0))</f>
        <v>171000146547</v>
      </c>
      <c r="AC695" s="4">
        <f>$E695+21</f>
        <v>144</v>
      </c>
      <c r="AD695" s="8">
        <f>IF($J695=0,0,ROUND(MAX($J695*1.4*1.5*1.6*1.6*2.2*2.715*2.6*1.4*1.4*1.5,12600000000*(1.652953^(MIN($E695,123)-117)))*1,0))</f>
        <v>257000267475</v>
      </c>
      <c r="AE695" s="6">
        <f>$E695+24</f>
        <v>147</v>
      </c>
      <c r="AF695" s="7">
        <f>IF($J695=0,0,ROUND(MAX($J695*1.4*1.5*1.6*1.6*2.2*2.715*2.6*1.4*1.4*1.5*1.5,18900000000*(1.65331^(MIN($E695,123)-117)))*1,0))</f>
        <v>386000226581</v>
      </c>
      <c r="AG695" s="4">
        <f>$E695+27</f>
        <v>150</v>
      </c>
      <c r="AH695" s="8">
        <f>IF($J695=0,0,ROUND(MAX($J695*1.4*1.5*1.6*1.6*2.2*2.715*2.6*1.4*1.4*1.5*1.5*3.2,60500000000*(1.654288^(MIN($E695,123)-117)))*1,0))</f>
        <v>1240001159555</v>
      </c>
    </row>
    <row r="696" ht="27.75" customHeight="1" spans="1:34" x14ac:dyDescent="0.25">
      <c r="A696" s="3">
        <v>706</v>
      </c>
      <c r="B696" s="3" t="s">
        <v>53</v>
      </c>
      <c r="C696" s="3" t="s">
        <v>641</v>
      </c>
      <c r="D696" s="3" t="s">
        <v>25</v>
      </c>
      <c r="E696" s="3">
        <v>123</v>
      </c>
      <c r="F696" s="3" t="s">
        <v>54</v>
      </c>
      <c r="G696" s="3" t="s">
        <v>54</v>
      </c>
      <c r="H696" s="3">
        <v>34</v>
      </c>
      <c r="I696" s="4">
        <v>123</v>
      </c>
      <c r="J696" s="5">
        <v>12300000</v>
      </c>
      <c r="K696" s="6">
        <f>$E696+1</f>
        <v>124</v>
      </c>
      <c r="L696" s="7">
        <f>IF($J696=0,0,ROUND(MAX($J696*1.4,1620000*(1.497923^(MIN($E696,123)-117)))*1,0))</f>
        <v>18300036</v>
      </c>
      <c r="M696" s="4">
        <f>$E696+2</f>
        <v>125</v>
      </c>
      <c r="N696" s="8">
        <f>IF($J696=0,0,ROUND(MAX($J696*1.4*1.5,2190000*(1.580994^(MIN($E696,123)-117)))*1,0))</f>
        <v>34199948</v>
      </c>
      <c r="O696" s="6">
        <f>$E696+4</f>
        <v>127</v>
      </c>
      <c r="P696" s="7">
        <f>IF($J696=0,0,ROUND(MAX($J696*1.4*1.5*1.6,3500000*(1.57975^(MIN($E696,123)-117)))*1,0))</f>
        <v>54399916</v>
      </c>
      <c r="Q696" s="4">
        <f>$E696+6</f>
        <v>129</v>
      </c>
      <c r="R696" s="8">
        <f>IF($J696=0,0,ROUND(MAX($J696*1.4*1.5*1.6*1.6,13100000*(1.429962^(MIN($E696,123)-117)))*1,0))</f>
        <v>112000065</v>
      </c>
      <c r="S696" s="6">
        <f>$E696+8</f>
        <v>131</v>
      </c>
      <c r="T696" s="7">
        <f>IF($J696=0,0,ROUND(MAX($J696*1.4*1.5*1.6*1.6*2.2,42600000*(1.576904^(MIN($E696,123)-117)))*1,0))</f>
        <v>654999741</v>
      </c>
      <c r="U696" s="4">
        <f>$E696+11</f>
        <v>134</v>
      </c>
      <c r="V696" s="8">
        <f>IF($J696=0,0,ROUND(MAX($J696*1.4*1.5*1.6*1.6*2.2*2.715,354000000*(1.642074^(MIN($E696,123)-117)))*1,0))</f>
        <v>6940002232</v>
      </c>
      <c r="W696" s="6">
        <f>$E696+15</f>
        <v>138</v>
      </c>
      <c r="X696" s="7">
        <f>IF($J696=0,0,ROUND(MAX($J696*1.4*1.5*1.6*1.6*2.2*2.715*2.6,3540000000*(1.579646^(MIN($E696,123)-117)))*1,0))</f>
        <v>54999899335</v>
      </c>
      <c r="Y696" s="4">
        <f>$E696+17</f>
        <v>140</v>
      </c>
      <c r="Z696" s="8">
        <f>IF($J696=0,0,ROUND(MAX($J696*1.4*1.5*1.6*1.6*2.2*2.715*2.6*1.4,6020000000*(1.651178^(MIN($E696,123)-117)))*1,0))</f>
        <v>122000006103</v>
      </c>
      <c r="AA696" s="6">
        <f>$E696+19</f>
        <v>142</v>
      </c>
      <c r="AB696" s="7">
        <f>IF($J696=0,0,ROUND(MAX($J696*1.4*1.5*1.6*1.6*2.2*2.715*2.6*1.4*1.4,8430000000*(1.651435^(MIN($E696,123)-117)))*1,0))</f>
        <v>171000146547</v>
      </c>
      <c r="AC696" s="4">
        <f>$E696+21</f>
        <v>144</v>
      </c>
      <c r="AD696" s="8">
        <f>IF($J696=0,0,ROUND(MAX($J696*1.4*1.5*1.6*1.6*2.2*2.715*2.6*1.4*1.4*1.5,12600000000*(1.652953^(MIN($E696,123)-117)))*1,0))</f>
        <v>257000267475</v>
      </c>
      <c r="AE696" s="6">
        <f>$E696+24</f>
        <v>147</v>
      </c>
      <c r="AF696" s="7">
        <f>IF($J696=0,0,ROUND(MAX($J696*1.4*1.5*1.6*1.6*2.2*2.715*2.6*1.4*1.4*1.5*1.5,18900000000*(1.65331^(MIN($E696,123)-117)))*1,0))</f>
        <v>386000226581</v>
      </c>
      <c r="AG696" s="4">
        <f>$E696+27</f>
        <v>150</v>
      </c>
      <c r="AH696" s="8">
        <f>IF($J696=0,0,ROUND(MAX($J696*1.4*1.5*1.6*1.6*2.2*2.715*2.6*1.4*1.4*1.5*1.5*3.2,60500000000*(1.654288^(MIN($E696,123)-117)))*1,0))</f>
        <v>1240001159555</v>
      </c>
    </row>
    <row r="697" ht="27.75" customHeight="1" spans="1:34" x14ac:dyDescent="0.25">
      <c r="A697" s="3">
        <v>707</v>
      </c>
      <c r="B697" s="3" t="s">
        <v>52</v>
      </c>
      <c r="C697" s="3" t="s">
        <v>641</v>
      </c>
      <c r="D697" s="3" t="s">
        <v>40</v>
      </c>
      <c r="E697" s="3">
        <v>123</v>
      </c>
      <c r="F697" s="3" t="s">
        <v>30</v>
      </c>
      <c r="G697" s="3" t="s">
        <v>30</v>
      </c>
      <c r="H697" s="3">
        <v>34</v>
      </c>
      <c r="I697" s="4">
        <v>123</v>
      </c>
      <c r="J697" s="5">
        <v>138000000</v>
      </c>
      <c r="K697" s="6">
        <f>$E697+1</f>
        <v>124</v>
      </c>
      <c r="L697" s="7">
        <f>IF($J697=0,0,ROUND(MAX($J697*1.4,1620000*(1.497923^(MIN($E697,123)-117)))*1,0))</f>
        <v>193200000</v>
      </c>
      <c r="M697" s="4">
        <f>$E697+2</f>
        <v>125</v>
      </c>
      <c r="N697" s="8">
        <f>IF($J697=0,0,ROUND(MAX($J697*1.4*1.5,2190000*(1.580994^(MIN($E697,123)-117)))*1,0))</f>
        <v>289800000</v>
      </c>
      <c r="O697" s="6">
        <f>$E697+4</f>
        <v>127</v>
      </c>
      <c r="P697" s="7">
        <f>IF($J697=0,0,ROUND(MAX($J697*1.4*1.5*1.6,3500000*(1.57975^(MIN($E697,123)-117)))*1,0))</f>
        <v>463680000</v>
      </c>
      <c r="Q697" s="4">
        <f>$E697+6</f>
        <v>129</v>
      </c>
      <c r="R697" s="8">
        <f>IF($J697=0,0,ROUND(MAX($J697*1.4*1.5*1.6*1.6,13100000*(1.429962^(MIN($E697,123)-117)))*1,0))</f>
        <v>741888000</v>
      </c>
      <c r="S697" s="6">
        <f>$E697+8</f>
        <v>131</v>
      </c>
      <c r="T697" s="7">
        <f>IF($J697=0,0,ROUND(MAX($J697*1.4*1.5*1.6*1.6*2.2,42600000*(1.576904^(MIN($E697,123)-117)))*1,0))</f>
        <v>1632153600</v>
      </c>
      <c r="U697" s="4">
        <f>$E697+11</f>
        <v>134</v>
      </c>
      <c r="V697" s="8">
        <f>IF($J697=0,0,ROUND(MAX($J697*1.4*1.5*1.6*1.6*2.2*2.715,354000000*(1.642074^(MIN($E697,123)-117)))*1,0))</f>
        <v>6940002232</v>
      </c>
      <c r="W697" s="6">
        <f>$E697+15</f>
        <v>138</v>
      </c>
      <c r="X697" s="7">
        <f>IF($J697=0,0,ROUND(MAX($J697*1.4*1.5*1.6*1.6*2.2*2.715*2.6,3540000000*(1.579646^(MIN($E697,123)-117)))*1,0))</f>
        <v>54999899335</v>
      </c>
      <c r="Y697" s="4">
        <f>$E697+17</f>
        <v>140</v>
      </c>
      <c r="Z697" s="8">
        <f>IF($J697=0,0,ROUND(MAX($J697*1.4*1.5*1.6*1.6*2.2*2.715*2.6*1.4,6020000000*(1.651178^(MIN($E697,123)-117)))*1,0))</f>
        <v>122000006103</v>
      </c>
      <c r="AA697" s="6">
        <f>$E697+19</f>
        <v>142</v>
      </c>
      <c r="AB697" s="7">
        <f>IF($J697=0,0,ROUND(MAX($J697*1.4*1.5*1.6*1.6*2.2*2.715*2.6*1.4*1.4,8430000000*(1.651435^(MIN($E697,123)-117)))*1,0))</f>
        <v>171000146547</v>
      </c>
      <c r="AC697" s="4">
        <f>$E697+21</f>
        <v>144</v>
      </c>
      <c r="AD697" s="8">
        <f>IF($J697=0,0,ROUND(MAX($J697*1.4*1.5*1.6*1.6*2.2*2.715*2.6*1.4*1.4*1.5,12600000000*(1.652953^(MIN($E697,123)-117)))*1,0))</f>
        <v>257000267475</v>
      </c>
      <c r="AE697" s="6">
        <f>$E697+24</f>
        <v>147</v>
      </c>
      <c r="AF697" s="7">
        <f>IF($J697=0,0,ROUND(MAX($J697*1.4*1.5*1.6*1.6*2.2*2.715*2.6*1.4*1.4*1.5*1.5,18900000000*(1.65331^(MIN($E697,123)-117)))*1,0))</f>
        <v>386000226581</v>
      </c>
      <c r="AG697" s="4">
        <f>$E697+27</f>
        <v>150</v>
      </c>
      <c r="AH697" s="8">
        <f>IF($J697=0,0,ROUND(MAX($J697*1.4*1.5*1.6*1.6*2.2*2.715*2.6*1.4*1.4*1.5*1.5*3.2,60500000000*(1.654288^(MIN($E697,123)-117)))*1,0))</f>
        <v>1240001159555</v>
      </c>
    </row>
    <row r="698" ht="27.75" customHeight="1" spans="1:34" x14ac:dyDescent="0.25">
      <c r="A698" s="3">
        <v>708</v>
      </c>
      <c r="B698" s="3" t="s">
        <v>41</v>
      </c>
      <c r="C698" s="3" t="s">
        <v>641</v>
      </c>
      <c r="D698" s="3" t="s">
        <v>29</v>
      </c>
      <c r="E698" s="3">
        <v>123</v>
      </c>
      <c r="F698" s="3" t="s">
        <v>42</v>
      </c>
      <c r="G698" s="3" t="s">
        <v>42</v>
      </c>
      <c r="H698" s="3">
        <v>34</v>
      </c>
      <c r="I698" s="4">
        <v>123</v>
      </c>
      <c r="J698" s="5">
        <v>12500000</v>
      </c>
      <c r="K698" s="6">
        <f>$E698+1</f>
        <v>124</v>
      </c>
      <c r="L698" s="7">
        <f>IF($J698=0,0,ROUND(MAX($J698*1.4,1620000*(1.497923^(MIN($E698,123)-117)))*1,0))</f>
        <v>18300036</v>
      </c>
      <c r="M698" s="4">
        <f>$E698+2</f>
        <v>125</v>
      </c>
      <c r="N698" s="8">
        <f>IF($J698=0,0,ROUND(MAX($J698*1.4*1.5,2190000*(1.580994^(MIN($E698,123)-117)))*1,0))</f>
        <v>34199948</v>
      </c>
      <c r="O698" s="6">
        <f>$E698+4</f>
        <v>127</v>
      </c>
      <c r="P698" s="7">
        <f>IF($J698=0,0,ROUND(MAX($J698*1.4*1.5*1.6,3500000*(1.57975^(MIN($E698,123)-117)))*1,0))</f>
        <v>54399916</v>
      </c>
      <c r="Q698" s="4">
        <f>$E698+6</f>
        <v>129</v>
      </c>
      <c r="R698" s="8">
        <f>IF($J698=0,0,ROUND(MAX($J698*1.4*1.5*1.6*1.6,13100000*(1.429962^(MIN($E698,123)-117)))*1,0))</f>
        <v>112000065</v>
      </c>
      <c r="S698" s="6">
        <f>$E698+8</f>
        <v>131</v>
      </c>
      <c r="T698" s="7">
        <f>IF($J698=0,0,ROUND(MAX($J698*1.4*1.5*1.6*1.6*2.2,42600000*(1.576904^(MIN($E698,123)-117)))*1,0))</f>
        <v>654999741</v>
      </c>
      <c r="U698" s="4">
        <f>$E698+11</f>
        <v>134</v>
      </c>
      <c r="V698" s="8">
        <f>IF($J698=0,0,ROUND(MAX($J698*1.4*1.5*1.6*1.6*2.2*2.715,354000000*(1.642074^(MIN($E698,123)-117)))*1,0))</f>
        <v>6940002232</v>
      </c>
      <c r="W698" s="6">
        <f>$E698+15</f>
        <v>138</v>
      </c>
      <c r="X698" s="7">
        <f>IF($J698=0,0,ROUND(MAX($J698*1.4*1.5*1.6*1.6*2.2*2.715*2.6,3540000000*(1.579646^(MIN($E698,123)-117)))*1,0))</f>
        <v>54999899335</v>
      </c>
      <c r="Y698" s="4">
        <f>$E698+17</f>
        <v>140</v>
      </c>
      <c r="Z698" s="8">
        <f>IF($J698=0,0,ROUND(MAX($J698*1.4*1.5*1.6*1.6*2.2*2.715*2.6*1.4,6020000000*(1.651178^(MIN($E698,123)-117)))*1,0))</f>
        <v>122000006103</v>
      </c>
      <c r="AA698" s="6">
        <f>$E698+19</f>
        <v>142</v>
      </c>
      <c r="AB698" s="7">
        <f>IF($J698=0,0,ROUND(MAX($J698*1.4*1.5*1.6*1.6*2.2*2.715*2.6*1.4*1.4,8430000000*(1.651435^(MIN($E698,123)-117)))*1,0))</f>
        <v>171000146547</v>
      </c>
      <c r="AC698" s="4">
        <f>$E698+21</f>
        <v>144</v>
      </c>
      <c r="AD698" s="8">
        <f>IF($J698=0,0,ROUND(MAX($J698*1.4*1.5*1.6*1.6*2.2*2.715*2.6*1.4*1.4*1.5,12600000000*(1.652953^(MIN($E698,123)-117)))*1,0))</f>
        <v>257000267475</v>
      </c>
      <c r="AE698" s="6">
        <f>$E698+24</f>
        <v>147</v>
      </c>
      <c r="AF698" s="7">
        <f>IF($J698=0,0,ROUND(MAX($J698*1.4*1.5*1.6*1.6*2.2*2.715*2.6*1.4*1.4*1.5*1.5,18900000000*(1.65331^(MIN($E698,123)-117)))*1,0))</f>
        <v>386000226581</v>
      </c>
      <c r="AG698" s="4">
        <f>$E698+27</f>
        <v>150</v>
      </c>
      <c r="AH698" s="8">
        <f>IF($J698=0,0,ROUND(MAX($J698*1.4*1.5*1.6*1.6*2.2*2.715*2.6*1.4*1.4*1.5*1.5*3.2,60500000000*(1.654288^(MIN($E698,123)-117)))*1,0))</f>
        <v>1240001159555</v>
      </c>
    </row>
    <row r="699" ht="27.75" customHeight="1" spans="1:34" x14ac:dyDescent="0.25">
      <c r="A699" s="3">
        <v>709</v>
      </c>
      <c r="B699" s="3" t="s">
        <v>186</v>
      </c>
      <c r="C699" s="3" t="s">
        <v>641</v>
      </c>
      <c r="D699" s="3" t="s">
        <v>75</v>
      </c>
      <c r="E699" s="3">
        <v>118</v>
      </c>
      <c r="F699" s="3" t="s">
        <v>56</v>
      </c>
      <c r="G699" s="3" t="s">
        <v>56</v>
      </c>
      <c r="H699" s="3">
        <v>29</v>
      </c>
      <c r="I699" s="4">
        <v>118</v>
      </c>
      <c r="J699" s="5">
        <v>961000</v>
      </c>
      <c r="K699" s="6">
        <f>$E699+1</f>
        <v>119</v>
      </c>
      <c r="L699" s="7">
        <f>IF($J699=0,0,ROUND(MAX($J699*1.4,1620000*(1.497923^(MIN($E699,123)-117)))*1,0))</f>
        <v>2426635</v>
      </c>
      <c r="M699" s="4">
        <f>$E699+2</f>
        <v>120</v>
      </c>
      <c r="N699" s="8">
        <f>IF($J699=0,0,ROUND(MAX($J699*1.4*1.5,2190000*(1.580994^(MIN($E699,123)-117)))*1,0))</f>
        <v>3462377</v>
      </c>
      <c r="O699" s="6">
        <f>$E699+4</f>
        <v>122</v>
      </c>
      <c r="P699" s="7">
        <f>IF($J699=0,0,ROUND(MAX($J699*1.4*1.5*1.6,3500000*(1.57975^(MIN($E699,123)-117)))*1,0))</f>
        <v>5529125</v>
      </c>
      <c r="Q699" s="4">
        <f>$E699+6</f>
        <v>124</v>
      </c>
      <c r="R699" s="8">
        <f>IF($J699=0,0,ROUND(MAX($J699*1.4*1.5*1.6*1.6,13100000*(1.429962^(MIN($E699,123)-117)))*1,0))</f>
        <v>18732502</v>
      </c>
      <c r="S699" s="6">
        <f>$E699+8</f>
        <v>126</v>
      </c>
      <c r="T699" s="7">
        <f>IF($J699=0,0,ROUND(MAX($J699*1.4*1.5*1.6*1.6*2.2,42600000*(1.576904^(MIN($E699,123)-117)))*1,0))</f>
        <v>67176110</v>
      </c>
      <c r="U699" s="4">
        <f>$E699+11</f>
        <v>129</v>
      </c>
      <c r="V699" s="8">
        <f>IF($J699=0,0,ROUND(MAX($J699*1.4*1.5*1.6*1.6*2.2*2.715,354000000*(1.642074^(MIN($E699,123)-117)))*1,0))</f>
        <v>581294196</v>
      </c>
      <c r="W699" s="6">
        <f>$E699+15</f>
        <v>133</v>
      </c>
      <c r="X699" s="7">
        <f>IF($J699=0,0,ROUND(MAX($J699*1.4*1.5*1.6*1.6*2.2*2.715*2.6,3540000000*(1.579646^(MIN($E699,123)-117)))*1,0))</f>
        <v>5591946840</v>
      </c>
      <c r="Y699" s="4">
        <f>$E699+17</f>
        <v>135</v>
      </c>
      <c r="Z699" s="8">
        <f>IF($J699=0,0,ROUND(MAX($J699*1.4*1.5*1.6*1.6*2.2*2.715*2.6*1.4,6020000000*(1.651178^(MIN($E699,123)-117)))*1,0))</f>
        <v>9940091560</v>
      </c>
      <c r="AA699" s="6">
        <f>$E699+19</f>
        <v>137</v>
      </c>
      <c r="AB699" s="7">
        <f>IF($J699=0,0,ROUND(MAX($J699*1.4*1.5*1.6*1.6*2.2*2.715*2.6*1.4*1.4,8430000000*(1.651435^(MIN($E699,123)-117)))*1,0))</f>
        <v>13921597050</v>
      </c>
      <c r="AC699" s="4">
        <f>$E699+21</f>
        <v>139</v>
      </c>
      <c r="AD699" s="8">
        <f>IF($J699=0,0,ROUND(MAX($J699*1.4*1.5*1.6*1.6*2.2*2.715*2.6*1.4*1.4*1.5,12600000000*(1.652953^(MIN($E699,123)-117)))*1,0))</f>
        <v>20827207800</v>
      </c>
      <c r="AE699" s="6">
        <f>$E699+24</f>
        <v>142</v>
      </c>
      <c r="AF699" s="7">
        <f>IF($J699=0,0,ROUND(MAX($J699*1.4*1.5*1.6*1.6*2.2*2.715*2.6*1.4*1.4*1.5*1.5,18900000000*(1.65331^(MIN($E699,123)-117)))*1,0))</f>
        <v>31247559000</v>
      </c>
      <c r="AG699" s="4">
        <f>$E699+27</f>
        <v>145</v>
      </c>
      <c r="AH699" s="8">
        <f>IF($J699=0,0,ROUND(MAX($J699*1.4*1.5*1.6*1.6*2.2*2.715*2.6*1.4*1.4*1.5*1.5*3.2,60500000000*(1.654288^(MIN($E699,123)-117)))*1,0))</f>
        <v>100084424000</v>
      </c>
    </row>
    <row r="700" ht="27.75" customHeight="1" spans="1:34" x14ac:dyDescent="0.25">
      <c r="A700" s="3">
        <v>710</v>
      </c>
      <c r="B700" s="3" t="s">
        <v>488</v>
      </c>
      <c r="C700" s="3" t="s">
        <v>641</v>
      </c>
      <c r="D700" s="3" t="s">
        <v>45</v>
      </c>
      <c r="E700" s="3">
        <v>118</v>
      </c>
      <c r="F700" s="3" t="s">
        <v>30</v>
      </c>
      <c r="G700" s="3" t="s">
        <v>30</v>
      </c>
      <c r="H700" s="3">
        <v>29</v>
      </c>
      <c r="I700" s="4">
        <v>118</v>
      </c>
      <c r="J700" s="5">
        <v>843000</v>
      </c>
      <c r="K700" s="6">
        <f>$E700+1</f>
        <v>119</v>
      </c>
      <c r="L700" s="7">
        <f>IF($J700=0,0,ROUND(MAX($J700*1.4,1620000*(1.497923^(MIN($E700,123)-117)))*1,0))</f>
        <v>2426635</v>
      </c>
      <c r="M700" s="4">
        <f>$E700+2</f>
        <v>120</v>
      </c>
      <c r="N700" s="8">
        <f>IF($J700=0,0,ROUND(MAX($J700*1.4*1.5,2190000*(1.580994^(MIN($E700,123)-117)))*1,0))</f>
        <v>3462377</v>
      </c>
      <c r="O700" s="6">
        <f>$E700+4</f>
        <v>122</v>
      </c>
      <c r="P700" s="7">
        <f>IF($J700=0,0,ROUND(MAX($J700*1.4*1.5*1.6,3500000*(1.57975^(MIN($E700,123)-117)))*1,0))</f>
        <v>5529125</v>
      </c>
      <c r="Q700" s="4">
        <f>$E700+6</f>
        <v>124</v>
      </c>
      <c r="R700" s="8">
        <f>IF($J700=0,0,ROUND(MAX($J700*1.4*1.5*1.6*1.6,13100000*(1.429962^(MIN($E700,123)-117)))*1,0))</f>
        <v>18732502</v>
      </c>
      <c r="S700" s="6">
        <f>$E700+8</f>
        <v>126</v>
      </c>
      <c r="T700" s="7">
        <f>IF($J700=0,0,ROUND(MAX($J700*1.4*1.5*1.6*1.6*2.2,42600000*(1.576904^(MIN($E700,123)-117)))*1,0))</f>
        <v>67176110</v>
      </c>
      <c r="U700" s="4">
        <f>$E700+11</f>
        <v>129</v>
      </c>
      <c r="V700" s="8">
        <f>IF($J700=0,0,ROUND(MAX($J700*1.4*1.5*1.6*1.6*2.2*2.715,354000000*(1.642074^(MIN($E700,123)-117)))*1,0))</f>
        <v>581294196</v>
      </c>
      <c r="W700" s="6">
        <f>$E700+15</f>
        <v>133</v>
      </c>
      <c r="X700" s="7">
        <f>IF($J700=0,0,ROUND(MAX($J700*1.4*1.5*1.6*1.6*2.2*2.715*2.6,3540000000*(1.579646^(MIN($E700,123)-117)))*1,0))</f>
        <v>5591946840</v>
      </c>
      <c r="Y700" s="4">
        <f>$E700+17</f>
        <v>135</v>
      </c>
      <c r="Z700" s="8">
        <f>IF($J700=0,0,ROUND(MAX($J700*1.4*1.5*1.6*1.6*2.2*2.715*2.6*1.4,6020000000*(1.651178^(MIN($E700,123)-117)))*1,0))</f>
        <v>9940091560</v>
      </c>
      <c r="AA700" s="6">
        <f>$E700+19</f>
        <v>137</v>
      </c>
      <c r="AB700" s="7">
        <f>IF($J700=0,0,ROUND(MAX($J700*1.4*1.5*1.6*1.6*2.2*2.715*2.6*1.4*1.4,8430000000*(1.651435^(MIN($E700,123)-117)))*1,0))</f>
        <v>13921597050</v>
      </c>
      <c r="AC700" s="4">
        <f>$E700+21</f>
        <v>139</v>
      </c>
      <c r="AD700" s="8">
        <f>IF($J700=0,0,ROUND(MAX($J700*1.4*1.5*1.6*1.6*2.2*2.715*2.6*1.4*1.4*1.5,12600000000*(1.652953^(MIN($E700,123)-117)))*1,0))</f>
        <v>20827207800</v>
      </c>
      <c r="AE700" s="6">
        <f>$E700+24</f>
        <v>142</v>
      </c>
      <c r="AF700" s="7">
        <f>IF($J700=0,0,ROUND(MAX($J700*1.4*1.5*1.6*1.6*2.2*2.715*2.6*1.4*1.4*1.5*1.5,18900000000*(1.65331^(MIN($E700,123)-117)))*1,0))</f>
        <v>31247559000</v>
      </c>
      <c r="AG700" s="4">
        <f>$E700+27</f>
        <v>145</v>
      </c>
      <c r="AH700" s="8">
        <f>IF($J700=0,0,ROUND(MAX($J700*1.4*1.5*1.6*1.6*2.2*2.715*2.6*1.4*1.4*1.5*1.5*3.2,60500000000*(1.654288^(MIN($E700,123)-117)))*1,0))</f>
        <v>100084424000</v>
      </c>
    </row>
    <row r="701" ht="27.75" customHeight="1" spans="1:34" x14ac:dyDescent="0.25">
      <c r="A701" s="3">
        <v>711</v>
      </c>
      <c r="B701" s="3" t="s">
        <v>558</v>
      </c>
      <c r="C701" s="3" t="s">
        <v>641</v>
      </c>
      <c r="D701" s="3" t="s">
        <v>75</v>
      </c>
      <c r="E701" s="3">
        <v>118</v>
      </c>
      <c r="F701" s="3" t="s">
        <v>71</v>
      </c>
      <c r="G701" s="3" t="s">
        <v>71</v>
      </c>
      <c r="H701" s="3">
        <v>29</v>
      </c>
      <c r="I701" s="4">
        <v>118</v>
      </c>
      <c r="J701" s="5">
        <v>863000</v>
      </c>
      <c r="K701" s="6">
        <f>$E701+1</f>
        <v>119</v>
      </c>
      <c r="L701" s="7">
        <f>IF($J701=0,0,ROUND(MAX($J701*1.4,1620000*(1.497923^(MIN($E701,123)-117)))*1,0))</f>
        <v>2426635</v>
      </c>
      <c r="M701" s="4">
        <f>$E701+2</f>
        <v>120</v>
      </c>
      <c r="N701" s="8">
        <f>IF($J701=0,0,ROUND(MAX($J701*1.4*1.5,2190000*(1.580994^(MIN($E701,123)-117)))*1,0))</f>
        <v>3462377</v>
      </c>
      <c r="O701" s="6">
        <f>$E701+4</f>
        <v>122</v>
      </c>
      <c r="P701" s="7">
        <f>IF($J701=0,0,ROUND(MAX($J701*1.4*1.5*1.6,3500000*(1.57975^(MIN($E701,123)-117)))*1,0))</f>
        <v>5529125</v>
      </c>
      <c r="Q701" s="4">
        <f>$E701+6</f>
        <v>124</v>
      </c>
      <c r="R701" s="8">
        <f>IF($J701=0,0,ROUND(MAX($J701*1.4*1.5*1.6*1.6,13100000*(1.429962^(MIN($E701,123)-117)))*1,0))</f>
        <v>18732502</v>
      </c>
      <c r="S701" s="6">
        <f>$E701+8</f>
        <v>126</v>
      </c>
      <c r="T701" s="7">
        <f>IF($J701=0,0,ROUND(MAX($J701*1.4*1.5*1.6*1.6*2.2,42600000*(1.576904^(MIN($E701,123)-117)))*1,0))</f>
        <v>67176110</v>
      </c>
      <c r="U701" s="4">
        <f>$E701+11</f>
        <v>129</v>
      </c>
      <c r="V701" s="8">
        <f>IF($J701=0,0,ROUND(MAX($J701*1.4*1.5*1.6*1.6*2.2*2.715,354000000*(1.642074^(MIN($E701,123)-117)))*1,0))</f>
        <v>581294196</v>
      </c>
      <c r="W701" s="6">
        <f>$E701+15</f>
        <v>133</v>
      </c>
      <c r="X701" s="7">
        <f>IF($J701=0,0,ROUND(MAX($J701*1.4*1.5*1.6*1.6*2.2*2.715*2.6,3540000000*(1.579646^(MIN($E701,123)-117)))*1,0))</f>
        <v>5591946840</v>
      </c>
      <c r="Y701" s="4">
        <f>$E701+17</f>
        <v>135</v>
      </c>
      <c r="Z701" s="8">
        <f>IF($J701=0,0,ROUND(MAX($J701*1.4*1.5*1.6*1.6*2.2*2.715*2.6*1.4,6020000000*(1.651178^(MIN($E701,123)-117)))*1,0))</f>
        <v>9940091560</v>
      </c>
      <c r="AA701" s="6">
        <f>$E701+19</f>
        <v>137</v>
      </c>
      <c r="AB701" s="7">
        <f>IF($J701=0,0,ROUND(MAX($J701*1.4*1.5*1.6*1.6*2.2*2.715*2.6*1.4*1.4,8430000000*(1.651435^(MIN($E701,123)-117)))*1,0))</f>
        <v>13921597050</v>
      </c>
      <c r="AC701" s="4">
        <f>$E701+21</f>
        <v>139</v>
      </c>
      <c r="AD701" s="8">
        <f>IF($J701=0,0,ROUND(MAX($J701*1.4*1.5*1.6*1.6*2.2*2.715*2.6*1.4*1.4*1.5,12600000000*(1.652953^(MIN($E701,123)-117)))*1,0))</f>
        <v>20827207800</v>
      </c>
      <c r="AE701" s="6">
        <f>$E701+24</f>
        <v>142</v>
      </c>
      <c r="AF701" s="7">
        <f>IF($J701=0,0,ROUND(MAX($J701*1.4*1.5*1.6*1.6*2.2*2.715*2.6*1.4*1.4*1.5*1.5,18900000000*(1.65331^(MIN($E701,123)-117)))*1,0))</f>
        <v>31247559000</v>
      </c>
      <c r="AG701" s="4">
        <f>$E701+27</f>
        <v>145</v>
      </c>
      <c r="AH701" s="8">
        <f>IF($J701=0,0,ROUND(MAX($J701*1.4*1.5*1.6*1.6*2.2*2.715*2.6*1.4*1.4*1.5*1.5*3.2,60500000000*(1.654288^(MIN($E701,123)-117)))*1,0))</f>
        <v>100084424000</v>
      </c>
    </row>
    <row r="702" ht="27.75" customHeight="1" spans="1:34" x14ac:dyDescent="0.25">
      <c r="A702" s="3">
        <v>712</v>
      </c>
      <c r="B702" s="3" t="s">
        <v>656</v>
      </c>
      <c r="C702" s="3" t="s">
        <v>641</v>
      </c>
      <c r="D702" s="3" t="s">
        <v>29</v>
      </c>
      <c r="E702" s="3">
        <v>118</v>
      </c>
      <c r="F702" s="3" t="s">
        <v>383</v>
      </c>
      <c r="G702" s="3" t="s">
        <v>383</v>
      </c>
      <c r="H702" s="3">
        <v>29</v>
      </c>
      <c r="I702" s="4">
        <v>118</v>
      </c>
      <c r="J702" s="5">
        <v>872000</v>
      </c>
      <c r="K702" s="6">
        <f>$E702+1</f>
        <v>119</v>
      </c>
      <c r="L702" s="7">
        <f>IF($J702=0,0,ROUND(MAX($J702*1.4,1620000*(1.497923^(MIN($E702,123)-117)))*1,0))</f>
        <v>2426635</v>
      </c>
      <c r="M702" s="4">
        <f>$E702+2</f>
        <v>120</v>
      </c>
      <c r="N702" s="8">
        <f>IF($J702=0,0,ROUND(MAX($J702*1.4*1.5,2190000*(1.580994^(MIN($E702,123)-117)))*1,0))</f>
        <v>3462377</v>
      </c>
      <c r="O702" s="6">
        <f>$E702+4</f>
        <v>122</v>
      </c>
      <c r="P702" s="7">
        <f>IF($J702=0,0,ROUND(MAX($J702*1.4*1.5*1.6,3500000*(1.57975^(MIN($E702,123)-117)))*1,0))</f>
        <v>5529125</v>
      </c>
      <c r="Q702" s="4">
        <f>$E702+6</f>
        <v>124</v>
      </c>
      <c r="R702" s="8">
        <f>IF($J702=0,0,ROUND(MAX($J702*1.4*1.5*1.6*1.6,13100000*(1.429962^(MIN($E702,123)-117)))*1,0))</f>
        <v>18732502</v>
      </c>
      <c r="S702" s="6">
        <f>$E702+8</f>
        <v>126</v>
      </c>
      <c r="T702" s="7">
        <f>IF($J702=0,0,ROUND(MAX($J702*1.4*1.5*1.6*1.6*2.2,42600000*(1.576904^(MIN($E702,123)-117)))*1,0))</f>
        <v>67176110</v>
      </c>
      <c r="U702" s="4">
        <f>$E702+11</f>
        <v>129</v>
      </c>
      <c r="V702" s="8">
        <f>IF($J702=0,0,ROUND(MAX($J702*1.4*1.5*1.6*1.6*2.2*2.715,354000000*(1.642074^(MIN($E702,123)-117)))*1,0))</f>
        <v>581294196</v>
      </c>
      <c r="W702" s="6">
        <f>$E702+15</f>
        <v>133</v>
      </c>
      <c r="X702" s="7">
        <f>IF($J702=0,0,ROUND(MAX($J702*1.4*1.5*1.6*1.6*2.2*2.715*2.6,3540000000*(1.579646^(MIN($E702,123)-117)))*1,0))</f>
        <v>5591946840</v>
      </c>
      <c r="Y702" s="4">
        <f>$E702+17</f>
        <v>135</v>
      </c>
      <c r="Z702" s="8">
        <f>IF($J702=0,0,ROUND(MAX($J702*1.4*1.5*1.6*1.6*2.2*2.715*2.6*1.4,6020000000*(1.651178^(MIN($E702,123)-117)))*1,0))</f>
        <v>9940091560</v>
      </c>
      <c r="AA702" s="6">
        <f>$E702+19</f>
        <v>137</v>
      </c>
      <c r="AB702" s="7">
        <f>IF($J702=0,0,ROUND(MAX($J702*1.4*1.5*1.6*1.6*2.2*2.715*2.6*1.4*1.4,8430000000*(1.651435^(MIN($E702,123)-117)))*1,0))</f>
        <v>13921597050</v>
      </c>
      <c r="AC702" s="4">
        <f>$E702+21</f>
        <v>139</v>
      </c>
      <c r="AD702" s="8">
        <f>IF($J702=0,0,ROUND(MAX($J702*1.4*1.5*1.6*1.6*2.2*2.715*2.6*1.4*1.4*1.5,12600000000*(1.652953^(MIN($E702,123)-117)))*1,0))</f>
        <v>20827207800</v>
      </c>
      <c r="AE702" s="6">
        <f>$E702+24</f>
        <v>142</v>
      </c>
      <c r="AF702" s="7">
        <f>IF($J702=0,0,ROUND(MAX($J702*1.4*1.5*1.6*1.6*2.2*2.715*2.6*1.4*1.4*1.5*1.5,18900000000*(1.65331^(MIN($E702,123)-117)))*1,0))</f>
        <v>31247559000</v>
      </c>
      <c r="AG702" s="4">
        <f>$E702+27</f>
        <v>145</v>
      </c>
      <c r="AH702" s="8">
        <f>IF($J702=0,0,ROUND(MAX($J702*1.4*1.5*1.6*1.6*2.2*2.715*2.6*1.4*1.4*1.5*1.5*3.2,60500000000*(1.654288^(MIN($E702,123)-117)))*1,0))</f>
        <v>100084424000</v>
      </c>
    </row>
    <row r="703" ht="27.75" customHeight="1" spans="1:34" x14ac:dyDescent="0.25">
      <c r="A703" s="3">
        <v>713</v>
      </c>
      <c r="B703" s="3" t="s">
        <v>606</v>
      </c>
      <c r="C703" s="3" t="s">
        <v>641</v>
      </c>
      <c r="D703" s="3" t="s">
        <v>33</v>
      </c>
      <c r="E703" s="3">
        <v>118</v>
      </c>
      <c r="F703" s="3" t="s">
        <v>59</v>
      </c>
      <c r="G703" s="3" t="s">
        <v>59</v>
      </c>
      <c r="H703" s="3">
        <v>29</v>
      </c>
      <c r="I703" s="4">
        <v>118</v>
      </c>
      <c r="J703" s="5">
        <v>961000</v>
      </c>
      <c r="K703" s="6">
        <f>$E703+1</f>
        <v>119</v>
      </c>
      <c r="L703" s="7">
        <f>IF($J703=0,0,ROUND(MAX($J703*1.4,1620000*(1.497923^(MIN($E703,123)-117)))*1,0))</f>
        <v>2426635</v>
      </c>
      <c r="M703" s="4">
        <f>$E703+2</f>
        <v>120</v>
      </c>
      <c r="N703" s="8">
        <f>IF($J703=0,0,ROUND(MAX($J703*1.4*1.5,2190000*(1.580994^(MIN($E703,123)-117)))*1,0))</f>
        <v>3462377</v>
      </c>
      <c r="O703" s="6">
        <f>$E703+4</f>
        <v>122</v>
      </c>
      <c r="P703" s="7">
        <f>IF($J703=0,0,ROUND(MAX($J703*1.4*1.5*1.6,3500000*(1.57975^(MIN($E703,123)-117)))*1,0))</f>
        <v>5529125</v>
      </c>
      <c r="Q703" s="4">
        <f>$E703+6</f>
        <v>124</v>
      </c>
      <c r="R703" s="8">
        <f>IF($J703=0,0,ROUND(MAX($J703*1.4*1.5*1.6*1.6,13100000*(1.429962^(MIN($E703,123)-117)))*1,0))</f>
        <v>18732502</v>
      </c>
      <c r="S703" s="6">
        <f>$E703+8</f>
        <v>126</v>
      </c>
      <c r="T703" s="7">
        <f>IF($J703=0,0,ROUND(MAX($J703*1.4*1.5*1.6*1.6*2.2,42600000*(1.576904^(MIN($E703,123)-117)))*1,0))</f>
        <v>67176110</v>
      </c>
      <c r="U703" s="4">
        <f>$E703+11</f>
        <v>129</v>
      </c>
      <c r="V703" s="8">
        <f>IF($J703=0,0,ROUND(MAX($J703*1.4*1.5*1.6*1.6*2.2*2.715,354000000*(1.642074^(MIN($E703,123)-117)))*1,0))</f>
        <v>581294196</v>
      </c>
      <c r="W703" s="6">
        <f>$E703+15</f>
        <v>133</v>
      </c>
      <c r="X703" s="7">
        <f>IF($J703=0,0,ROUND(MAX($J703*1.4*1.5*1.6*1.6*2.2*2.715*2.6,3540000000*(1.579646^(MIN($E703,123)-117)))*1,0))</f>
        <v>5591946840</v>
      </c>
      <c r="Y703" s="4">
        <f>$E703+17</f>
        <v>135</v>
      </c>
      <c r="Z703" s="8">
        <f>IF($J703=0,0,ROUND(MAX($J703*1.4*1.5*1.6*1.6*2.2*2.715*2.6*1.4,6020000000*(1.651178^(MIN($E703,123)-117)))*1,0))</f>
        <v>9940091560</v>
      </c>
      <c r="AA703" s="6">
        <f>$E703+19</f>
        <v>137</v>
      </c>
      <c r="AB703" s="7">
        <f>IF($J703=0,0,ROUND(MAX($J703*1.4*1.5*1.6*1.6*2.2*2.715*2.6*1.4*1.4,8430000000*(1.651435^(MIN($E703,123)-117)))*1,0))</f>
        <v>13921597050</v>
      </c>
      <c r="AC703" s="4">
        <f>$E703+21</f>
        <v>139</v>
      </c>
      <c r="AD703" s="8">
        <f>IF($J703=0,0,ROUND(MAX($J703*1.4*1.5*1.6*1.6*2.2*2.715*2.6*1.4*1.4*1.5,12600000000*(1.652953^(MIN($E703,123)-117)))*1,0))</f>
        <v>20827207800</v>
      </c>
      <c r="AE703" s="6">
        <f>$E703+24</f>
        <v>142</v>
      </c>
      <c r="AF703" s="7">
        <f>IF($J703=0,0,ROUND(MAX($J703*1.4*1.5*1.6*1.6*2.2*2.715*2.6*1.4*1.4*1.5*1.5,18900000000*(1.65331^(MIN($E703,123)-117)))*1,0))</f>
        <v>31247559000</v>
      </c>
      <c r="AG703" s="4">
        <f>$E703+27</f>
        <v>145</v>
      </c>
      <c r="AH703" s="8">
        <f>IF($J703=0,0,ROUND(MAX($J703*1.4*1.5*1.6*1.6*2.2*2.715*2.6*1.4*1.4*1.5*1.5*3.2,60500000000*(1.654288^(MIN($E703,123)-117)))*1,0))</f>
        <v>100084424000</v>
      </c>
    </row>
    <row r="704" ht="27.75" customHeight="1" spans="1:34" x14ac:dyDescent="0.25">
      <c r="A704" s="3">
        <v>714</v>
      </c>
      <c r="B704" s="3" t="s">
        <v>134</v>
      </c>
      <c r="C704" s="3" t="s">
        <v>641</v>
      </c>
      <c r="D704" s="3" t="s">
        <v>331</v>
      </c>
      <c r="E704" s="3">
        <v>118</v>
      </c>
      <c r="F704" s="3" t="s">
        <v>26</v>
      </c>
      <c r="G704" s="3" t="s">
        <v>26</v>
      </c>
      <c r="H704" s="3">
        <v>29</v>
      </c>
      <c r="I704" s="4">
        <v>118</v>
      </c>
      <c r="J704" s="5">
        <v>865000</v>
      </c>
      <c r="K704" s="6">
        <f>$E704+1</f>
        <v>119</v>
      </c>
      <c r="L704" s="7">
        <f>IF($J704=0,0,ROUND(MAX($J704*1.4,1620000*(1.497923^(MIN($E704,123)-117)))*1,0))</f>
        <v>2426635</v>
      </c>
      <c r="M704" s="4">
        <f>$E704+2</f>
        <v>120</v>
      </c>
      <c r="N704" s="8">
        <f>IF($J704=0,0,ROUND(MAX($J704*1.4*1.5,2190000*(1.580994^(MIN($E704,123)-117)))*1,0))</f>
        <v>3462377</v>
      </c>
      <c r="O704" s="6">
        <f>$E704+4</f>
        <v>122</v>
      </c>
      <c r="P704" s="7">
        <f>IF($J704=0,0,ROUND(MAX($J704*1.4*1.5*1.6,3500000*(1.57975^(MIN($E704,123)-117)))*1,0))</f>
        <v>5529125</v>
      </c>
      <c r="Q704" s="4">
        <f>$E704+6</f>
        <v>124</v>
      </c>
      <c r="R704" s="8">
        <f>IF($J704=0,0,ROUND(MAX($J704*1.4*1.5*1.6*1.6,13100000*(1.429962^(MIN($E704,123)-117)))*1,0))</f>
        <v>18732502</v>
      </c>
      <c r="S704" s="6">
        <f>$E704+8</f>
        <v>126</v>
      </c>
      <c r="T704" s="7">
        <f>IF($J704=0,0,ROUND(MAX($J704*1.4*1.5*1.6*1.6*2.2,42600000*(1.576904^(MIN($E704,123)-117)))*1,0))</f>
        <v>67176110</v>
      </c>
      <c r="U704" s="4">
        <f>$E704+11</f>
        <v>129</v>
      </c>
      <c r="V704" s="8">
        <f>IF($J704=0,0,ROUND(MAX($J704*1.4*1.5*1.6*1.6*2.2*2.715,354000000*(1.642074^(MIN($E704,123)-117)))*1,0))</f>
        <v>581294196</v>
      </c>
      <c r="W704" s="6">
        <f>$E704+15</f>
        <v>133</v>
      </c>
      <c r="X704" s="7">
        <f>IF($J704=0,0,ROUND(MAX($J704*1.4*1.5*1.6*1.6*2.2*2.715*2.6,3540000000*(1.579646^(MIN($E704,123)-117)))*1,0))</f>
        <v>5591946840</v>
      </c>
      <c r="Y704" s="4">
        <f>$E704+17</f>
        <v>135</v>
      </c>
      <c r="Z704" s="8">
        <f>IF($J704=0,0,ROUND(MAX($J704*1.4*1.5*1.6*1.6*2.2*2.715*2.6*1.4,6020000000*(1.651178^(MIN($E704,123)-117)))*1,0))</f>
        <v>9940091560</v>
      </c>
      <c r="AA704" s="6">
        <f>$E704+19</f>
        <v>137</v>
      </c>
      <c r="AB704" s="7">
        <f>IF($J704=0,0,ROUND(MAX($J704*1.4*1.5*1.6*1.6*2.2*2.715*2.6*1.4*1.4,8430000000*(1.651435^(MIN($E704,123)-117)))*1,0))</f>
        <v>13921597050</v>
      </c>
      <c r="AC704" s="4">
        <f>$E704+21</f>
        <v>139</v>
      </c>
      <c r="AD704" s="8">
        <f>IF($J704=0,0,ROUND(MAX($J704*1.4*1.5*1.6*1.6*2.2*2.715*2.6*1.4*1.4*1.5,12600000000*(1.652953^(MIN($E704,123)-117)))*1,0))</f>
        <v>20827207800</v>
      </c>
      <c r="AE704" s="6">
        <f>$E704+24</f>
        <v>142</v>
      </c>
      <c r="AF704" s="7">
        <f>IF($J704=0,0,ROUND(MAX($J704*1.4*1.5*1.6*1.6*2.2*2.715*2.6*1.4*1.4*1.5*1.5,18900000000*(1.65331^(MIN($E704,123)-117)))*1,0))</f>
        <v>31247559000</v>
      </c>
      <c r="AG704" s="4">
        <f>$E704+27</f>
        <v>145</v>
      </c>
      <c r="AH704" s="8">
        <f>IF($J704=0,0,ROUND(MAX($J704*1.4*1.5*1.6*1.6*2.2*2.715*2.6*1.4*1.4*1.5*1.5*3.2,60500000000*(1.654288^(MIN($E704,123)-117)))*1,0))</f>
        <v>100084424000</v>
      </c>
    </row>
    <row r="705" ht="27.75" customHeight="1" spans="1:34" x14ac:dyDescent="0.25">
      <c r="A705" s="3">
        <v>715</v>
      </c>
      <c r="B705" s="3" t="s">
        <v>182</v>
      </c>
      <c r="C705" s="3" t="s">
        <v>641</v>
      </c>
      <c r="D705" s="3" t="s">
        <v>40</v>
      </c>
      <c r="E705" s="3">
        <v>118</v>
      </c>
      <c r="F705" s="3" t="s">
        <v>183</v>
      </c>
      <c r="G705" s="3" t="s">
        <v>183</v>
      </c>
      <c r="H705" s="3">
        <v>29</v>
      </c>
      <c r="I705" s="4">
        <v>118</v>
      </c>
      <c r="J705" s="5">
        <v>961000</v>
      </c>
      <c r="K705" s="6">
        <f>$E705+1</f>
        <v>119</v>
      </c>
      <c r="L705" s="7">
        <f>IF($J705=0,0,ROUND(MAX($J705*1.4,1620000*(1.497923^(MIN($E705,123)-117)))*1,0))</f>
        <v>2426635</v>
      </c>
      <c r="M705" s="4">
        <f>$E705+2</f>
        <v>120</v>
      </c>
      <c r="N705" s="8">
        <f>IF($J705=0,0,ROUND(MAX($J705*1.4*1.5,2190000*(1.580994^(MIN($E705,123)-117)))*1,0))</f>
        <v>3462377</v>
      </c>
      <c r="O705" s="6">
        <f>$E705+4</f>
        <v>122</v>
      </c>
      <c r="P705" s="7">
        <f>IF($J705=0,0,ROUND(MAX($J705*1.4*1.5*1.6,3500000*(1.57975^(MIN($E705,123)-117)))*1,0))</f>
        <v>5529125</v>
      </c>
      <c r="Q705" s="4">
        <f>$E705+6</f>
        <v>124</v>
      </c>
      <c r="R705" s="8">
        <f>IF($J705=0,0,ROUND(MAX($J705*1.4*1.5*1.6*1.6,13100000*(1.429962^(MIN($E705,123)-117)))*1,0))</f>
        <v>18732502</v>
      </c>
      <c r="S705" s="6">
        <f>$E705+8</f>
        <v>126</v>
      </c>
      <c r="T705" s="7">
        <f>IF($J705=0,0,ROUND(MAX($J705*1.4*1.5*1.6*1.6*2.2,42600000*(1.576904^(MIN($E705,123)-117)))*1,0))</f>
        <v>67176110</v>
      </c>
      <c r="U705" s="4">
        <f>$E705+11</f>
        <v>129</v>
      </c>
      <c r="V705" s="8">
        <f>IF($J705=0,0,ROUND(MAX($J705*1.4*1.5*1.6*1.6*2.2*2.715,354000000*(1.642074^(MIN($E705,123)-117)))*1,0))</f>
        <v>581294196</v>
      </c>
      <c r="W705" s="6">
        <f>$E705+15</f>
        <v>133</v>
      </c>
      <c r="X705" s="7">
        <f>IF($J705=0,0,ROUND(MAX($J705*1.4*1.5*1.6*1.6*2.2*2.715*2.6,3540000000*(1.579646^(MIN($E705,123)-117)))*1,0))</f>
        <v>5591946840</v>
      </c>
      <c r="Y705" s="4">
        <f>$E705+17</f>
        <v>135</v>
      </c>
      <c r="Z705" s="8">
        <f>IF($J705=0,0,ROUND(MAX($J705*1.4*1.5*1.6*1.6*2.2*2.715*2.6*1.4,6020000000*(1.651178^(MIN($E705,123)-117)))*1,0))</f>
        <v>9940091560</v>
      </c>
      <c r="AA705" s="6">
        <f>$E705+19</f>
        <v>137</v>
      </c>
      <c r="AB705" s="7">
        <f>IF($J705=0,0,ROUND(MAX($J705*1.4*1.5*1.6*1.6*2.2*2.715*2.6*1.4*1.4,8430000000*(1.651435^(MIN($E705,123)-117)))*1,0))</f>
        <v>13921597050</v>
      </c>
      <c r="AC705" s="4">
        <f>$E705+21</f>
        <v>139</v>
      </c>
      <c r="AD705" s="8">
        <f>IF($J705=0,0,ROUND(MAX($J705*1.4*1.5*1.6*1.6*2.2*2.715*2.6*1.4*1.4*1.5,12600000000*(1.652953^(MIN($E705,123)-117)))*1,0))</f>
        <v>20827207800</v>
      </c>
      <c r="AE705" s="6">
        <f>$E705+24</f>
        <v>142</v>
      </c>
      <c r="AF705" s="7">
        <f>IF($J705=0,0,ROUND(MAX($J705*1.4*1.5*1.6*1.6*2.2*2.715*2.6*1.4*1.4*1.5*1.5,18900000000*(1.65331^(MIN($E705,123)-117)))*1,0))</f>
        <v>31247559000</v>
      </c>
      <c r="AG705" s="4">
        <f>$E705+27</f>
        <v>145</v>
      </c>
      <c r="AH705" s="8">
        <f>IF($J705=0,0,ROUND(MAX($J705*1.4*1.5*1.6*1.6*2.2*2.715*2.6*1.4*1.4*1.5*1.5*3.2,60500000000*(1.654288^(MIN($E705,123)-117)))*1,0))</f>
        <v>100084424000</v>
      </c>
    </row>
    <row r="706" ht="27.75" customHeight="1" spans="1:34" x14ac:dyDescent="0.25">
      <c r="A706" s="3">
        <v>716</v>
      </c>
      <c r="B706" s="3" t="s">
        <v>597</v>
      </c>
      <c r="C706" s="3" t="s">
        <v>641</v>
      </c>
      <c r="D706" s="3" t="s">
        <v>165</v>
      </c>
      <c r="E706" s="3">
        <v>118</v>
      </c>
      <c r="F706" s="3" t="s">
        <v>56</v>
      </c>
      <c r="G706" s="3" t="s">
        <v>56</v>
      </c>
      <c r="H706" s="3">
        <v>29</v>
      </c>
      <c r="I706" s="4">
        <v>118</v>
      </c>
      <c r="J706" s="5">
        <v>961000</v>
      </c>
      <c r="K706" s="6">
        <f>$E706+1</f>
        <v>119</v>
      </c>
      <c r="L706" s="7">
        <f>IF($J706=0,0,ROUND(MAX($J706*1.4,1620000*(1.497923^(MIN($E706,123)-117)))*1,0))</f>
        <v>2426635</v>
      </c>
      <c r="M706" s="4">
        <f>$E706+2</f>
        <v>120</v>
      </c>
      <c r="N706" s="8">
        <f>IF($J706=0,0,ROUND(MAX($J706*1.4*1.5,2190000*(1.580994^(MIN($E706,123)-117)))*1,0))</f>
        <v>3462377</v>
      </c>
      <c r="O706" s="6">
        <f>$E706+4</f>
        <v>122</v>
      </c>
      <c r="P706" s="7">
        <f>IF($J706=0,0,ROUND(MAX($J706*1.4*1.5*1.6,3500000*(1.57975^(MIN($E706,123)-117)))*1,0))</f>
        <v>5529125</v>
      </c>
      <c r="Q706" s="4">
        <f>$E706+6</f>
        <v>124</v>
      </c>
      <c r="R706" s="8">
        <f>IF($J706=0,0,ROUND(MAX($J706*1.4*1.5*1.6*1.6,13100000*(1.429962^(MIN($E706,123)-117)))*1,0))</f>
        <v>18732502</v>
      </c>
      <c r="S706" s="6">
        <f>$E706+8</f>
        <v>126</v>
      </c>
      <c r="T706" s="7">
        <f>IF($J706=0,0,ROUND(MAX($J706*1.4*1.5*1.6*1.6*2.2,42600000*(1.576904^(MIN($E706,123)-117)))*1,0))</f>
        <v>67176110</v>
      </c>
      <c r="U706" s="4">
        <f>$E706+11</f>
        <v>129</v>
      </c>
      <c r="V706" s="8">
        <f>IF($J706=0,0,ROUND(MAX($J706*1.4*1.5*1.6*1.6*2.2*2.715,354000000*(1.642074^(MIN($E706,123)-117)))*1,0))</f>
        <v>581294196</v>
      </c>
      <c r="W706" s="6">
        <f>$E706+15</f>
        <v>133</v>
      </c>
      <c r="X706" s="7">
        <f>IF($J706=0,0,ROUND(MAX($J706*1.4*1.5*1.6*1.6*2.2*2.715*2.6,3540000000*(1.579646^(MIN($E706,123)-117)))*1,0))</f>
        <v>5591946840</v>
      </c>
      <c r="Y706" s="4">
        <f>$E706+17</f>
        <v>135</v>
      </c>
      <c r="Z706" s="8">
        <f>IF($J706=0,0,ROUND(MAX($J706*1.4*1.5*1.6*1.6*2.2*2.715*2.6*1.4,6020000000*(1.651178^(MIN($E706,123)-117)))*1,0))</f>
        <v>9940091560</v>
      </c>
      <c r="AA706" s="6">
        <f>$E706+19</f>
        <v>137</v>
      </c>
      <c r="AB706" s="7">
        <f>IF($J706=0,0,ROUND(MAX($J706*1.4*1.5*1.6*1.6*2.2*2.715*2.6*1.4*1.4,8430000000*(1.651435^(MIN($E706,123)-117)))*1,0))</f>
        <v>13921597050</v>
      </c>
      <c r="AC706" s="4">
        <f>$E706+21</f>
        <v>139</v>
      </c>
      <c r="AD706" s="8">
        <f>IF($J706=0,0,ROUND(MAX($J706*1.4*1.5*1.6*1.6*2.2*2.715*2.6*1.4*1.4*1.5,12600000000*(1.652953^(MIN($E706,123)-117)))*1,0))</f>
        <v>20827207800</v>
      </c>
      <c r="AE706" s="6">
        <f>$E706+24</f>
        <v>142</v>
      </c>
      <c r="AF706" s="7">
        <f>IF($J706=0,0,ROUND(MAX($J706*1.4*1.5*1.6*1.6*2.2*2.715*2.6*1.4*1.4*1.5*1.5,18900000000*(1.65331^(MIN($E706,123)-117)))*1,0))</f>
        <v>31247559000</v>
      </c>
      <c r="AG706" s="4">
        <f>$E706+27</f>
        <v>145</v>
      </c>
      <c r="AH706" s="8">
        <f>IF($J706=0,0,ROUND(MAX($J706*1.4*1.5*1.6*1.6*2.2*2.715*2.6*1.4*1.4*1.5*1.5*3.2,60500000000*(1.654288^(MIN($E706,123)-117)))*1,0))</f>
        <v>100084424000</v>
      </c>
    </row>
    <row r="707" ht="27.75" customHeight="1" spans="1:34" x14ac:dyDescent="0.25">
      <c r="A707" s="3">
        <v>717</v>
      </c>
      <c r="B707" s="3" t="s">
        <v>533</v>
      </c>
      <c r="C707" s="3" t="s">
        <v>641</v>
      </c>
      <c r="D707" s="3" t="s">
        <v>90</v>
      </c>
      <c r="E707" s="3">
        <v>118</v>
      </c>
      <c r="F707" s="3" t="s">
        <v>30</v>
      </c>
      <c r="G707" s="3" t="s">
        <v>30</v>
      </c>
      <c r="H707" s="3">
        <v>28</v>
      </c>
      <c r="I707" s="4">
        <v>118</v>
      </c>
      <c r="J707" s="5">
        <v>961000</v>
      </c>
      <c r="K707" s="6">
        <f>$E707+1</f>
        <v>119</v>
      </c>
      <c r="L707" s="7">
        <f>IF($J707=0,0,ROUND(MAX($J707*1.4,1620000*(1.497923^(MIN($E707,123)-117)))*1,0))</f>
        <v>2426635</v>
      </c>
      <c r="M707" s="4">
        <f>$E707+2</f>
        <v>120</v>
      </c>
      <c r="N707" s="8">
        <f>IF($J707=0,0,ROUND(MAX($J707*1.4*1.5,2190000*(1.580994^(MIN($E707,123)-117)))*1,0))</f>
        <v>3462377</v>
      </c>
      <c r="O707" s="6">
        <f>$E707+4</f>
        <v>122</v>
      </c>
      <c r="P707" s="7">
        <f>IF($J707=0,0,ROUND(MAX($J707*1.4*1.5*1.6,3500000*(1.57975^(MIN($E707,123)-117)))*1,0))</f>
        <v>5529125</v>
      </c>
      <c r="Q707" s="4">
        <f>$E707+6</f>
        <v>124</v>
      </c>
      <c r="R707" s="8">
        <f>IF($J707=0,0,ROUND(MAX($J707*1.4*1.5*1.6*1.6,13100000*(1.429962^(MIN($E707,123)-117)))*1,0))</f>
        <v>18732502</v>
      </c>
      <c r="S707" s="6">
        <f>$E707+8</f>
        <v>126</v>
      </c>
      <c r="T707" s="7">
        <f>IF($J707=0,0,ROUND(MAX($J707*1.4*1.5*1.6*1.6*2.2,42600000*(1.576904^(MIN($E707,123)-117)))*1,0))</f>
        <v>67176110</v>
      </c>
      <c r="U707" s="4">
        <f>$E707+11</f>
        <v>129</v>
      </c>
      <c r="V707" s="8">
        <f>IF($J707=0,0,ROUND(MAX($J707*1.4*1.5*1.6*1.6*2.2*2.715,354000000*(1.642074^(MIN($E707,123)-117)))*1,0))</f>
        <v>581294196</v>
      </c>
      <c r="W707" s="6">
        <f>$E707+15</f>
        <v>133</v>
      </c>
      <c r="X707" s="7">
        <f>IF($J707=0,0,ROUND(MAX($J707*1.4*1.5*1.6*1.6*2.2*2.715*2.6,3540000000*(1.579646^(MIN($E707,123)-117)))*1,0))</f>
        <v>5591946840</v>
      </c>
      <c r="Y707" s="4">
        <f>$E707+17</f>
        <v>135</v>
      </c>
      <c r="Z707" s="8">
        <f>IF($J707=0,0,ROUND(MAX($J707*1.4*1.5*1.6*1.6*2.2*2.715*2.6*1.4,6020000000*(1.651178^(MIN($E707,123)-117)))*1,0))</f>
        <v>9940091560</v>
      </c>
      <c r="AA707" s="6">
        <f>$E707+19</f>
        <v>137</v>
      </c>
      <c r="AB707" s="7">
        <f>IF($J707=0,0,ROUND(MAX($J707*1.4*1.5*1.6*1.6*2.2*2.715*2.6*1.4*1.4,8430000000*(1.651435^(MIN($E707,123)-117)))*1,0))</f>
        <v>13921597050</v>
      </c>
      <c r="AC707" s="4">
        <f>$E707+21</f>
        <v>139</v>
      </c>
      <c r="AD707" s="8">
        <f>IF($J707=0,0,ROUND(MAX($J707*1.4*1.5*1.6*1.6*2.2*2.715*2.6*1.4*1.4*1.5,12600000000*(1.652953^(MIN($E707,123)-117)))*1,0))</f>
        <v>20827207800</v>
      </c>
      <c r="AE707" s="6">
        <f>$E707+24</f>
        <v>142</v>
      </c>
      <c r="AF707" s="7">
        <f>IF($J707=0,0,ROUND(MAX($J707*1.4*1.5*1.6*1.6*2.2*2.715*2.6*1.4*1.4*1.5*1.5,18900000000*(1.65331^(MIN($E707,123)-117)))*1,0))</f>
        <v>31247559000</v>
      </c>
      <c r="AG707" s="4">
        <f>$E707+27</f>
        <v>145</v>
      </c>
      <c r="AH707" s="8">
        <f>IF($J707=0,0,ROUND(MAX($J707*1.4*1.5*1.6*1.6*2.2*2.715*2.6*1.4*1.4*1.5*1.5*3.2,60500000000*(1.654288^(MIN($E707,123)-117)))*1,0))</f>
        <v>100084424000</v>
      </c>
    </row>
    <row r="708" ht="27.75" customHeight="1" spans="1:34" x14ac:dyDescent="0.25">
      <c r="A708" s="3">
        <v>718</v>
      </c>
      <c r="B708" s="3" t="s">
        <v>145</v>
      </c>
      <c r="C708" s="3" t="s">
        <v>641</v>
      </c>
      <c r="D708" s="3" t="s">
        <v>47</v>
      </c>
      <c r="E708" s="3">
        <v>118</v>
      </c>
      <c r="F708" s="3" t="s">
        <v>146</v>
      </c>
      <c r="G708" s="3" t="s">
        <v>146</v>
      </c>
      <c r="H708" s="3">
        <v>27</v>
      </c>
      <c r="I708" s="4">
        <v>118</v>
      </c>
      <c r="J708" s="5">
        <v>962000</v>
      </c>
      <c r="K708" s="6">
        <f>$E708+1</f>
        <v>119</v>
      </c>
      <c r="L708" s="7">
        <f>IF($J708=0,0,ROUND(MAX($J708*1.4,1620000*(1.497923^(MIN($E708,123)-117)))*1,0))</f>
        <v>2426635</v>
      </c>
      <c r="M708" s="4">
        <f>$E708+2</f>
        <v>120</v>
      </c>
      <c r="N708" s="8">
        <f>IF($J708=0,0,ROUND(MAX($J708*1.4*1.5,2190000*(1.580994^(MIN($E708,123)-117)))*1,0))</f>
        <v>3462377</v>
      </c>
      <c r="O708" s="6">
        <f>$E708+4</f>
        <v>122</v>
      </c>
      <c r="P708" s="7">
        <f>IF($J708=0,0,ROUND(MAX($J708*1.4*1.5*1.6,3500000*(1.57975^(MIN($E708,123)-117)))*1,0))</f>
        <v>5529125</v>
      </c>
      <c r="Q708" s="4">
        <f>$E708+6</f>
        <v>124</v>
      </c>
      <c r="R708" s="8">
        <f>IF($J708=0,0,ROUND(MAX($J708*1.4*1.5*1.6*1.6,13100000*(1.429962^(MIN($E708,123)-117)))*1,0))</f>
        <v>18732502</v>
      </c>
      <c r="S708" s="6">
        <f>$E708+8</f>
        <v>126</v>
      </c>
      <c r="T708" s="7">
        <f>IF($J708=0,0,ROUND(MAX($J708*1.4*1.5*1.6*1.6*2.2,42600000*(1.576904^(MIN($E708,123)-117)))*1,0))</f>
        <v>67176110</v>
      </c>
      <c r="U708" s="4">
        <f>$E708+11</f>
        <v>129</v>
      </c>
      <c r="V708" s="8">
        <f>IF($J708=0,0,ROUND(MAX($J708*1.4*1.5*1.6*1.6*2.2*2.715,354000000*(1.642074^(MIN($E708,123)-117)))*1,0))</f>
        <v>581294196</v>
      </c>
      <c r="W708" s="6">
        <f>$E708+15</f>
        <v>133</v>
      </c>
      <c r="X708" s="7">
        <f>IF($J708=0,0,ROUND(MAX($J708*1.4*1.5*1.6*1.6*2.2*2.715*2.6,3540000000*(1.579646^(MIN($E708,123)-117)))*1,0))</f>
        <v>5591946840</v>
      </c>
      <c r="Y708" s="4">
        <f>$E708+17</f>
        <v>135</v>
      </c>
      <c r="Z708" s="8">
        <f>IF($J708=0,0,ROUND(MAX($J708*1.4*1.5*1.6*1.6*2.2*2.715*2.6*1.4,6020000000*(1.651178^(MIN($E708,123)-117)))*1,0))</f>
        <v>9940091560</v>
      </c>
      <c r="AA708" s="6">
        <f>$E708+19</f>
        <v>137</v>
      </c>
      <c r="AB708" s="7">
        <f>IF($J708=0,0,ROUND(MAX($J708*1.4*1.5*1.6*1.6*2.2*2.715*2.6*1.4*1.4,8430000000*(1.651435^(MIN($E708,123)-117)))*1,0))</f>
        <v>13921597050</v>
      </c>
      <c r="AC708" s="4">
        <f>$E708+21</f>
        <v>139</v>
      </c>
      <c r="AD708" s="8">
        <f>IF($J708=0,0,ROUND(MAX($J708*1.4*1.5*1.6*1.6*2.2*2.715*2.6*1.4*1.4*1.5,12600000000*(1.652953^(MIN($E708,123)-117)))*1,0))</f>
        <v>20827207800</v>
      </c>
      <c r="AE708" s="6">
        <f>$E708+24</f>
        <v>142</v>
      </c>
      <c r="AF708" s="7">
        <f>IF($J708=0,0,ROUND(MAX($J708*1.4*1.5*1.6*1.6*2.2*2.715*2.6*1.4*1.4*1.5*1.5,18900000000*(1.65331^(MIN($E708,123)-117)))*1,0))</f>
        <v>31247559000</v>
      </c>
      <c r="AG708" s="4">
        <f>$E708+27</f>
        <v>145</v>
      </c>
      <c r="AH708" s="8">
        <f>IF($J708=0,0,ROUND(MAX($J708*1.4*1.5*1.6*1.6*2.2*2.715*2.6*1.4*1.4*1.5*1.5*3.2,60500000000*(1.654288^(MIN($E708,123)-117)))*1,0))</f>
        <v>100084424000</v>
      </c>
    </row>
    <row r="709" ht="27.75" customHeight="1" spans="1:34" x14ac:dyDescent="0.25">
      <c r="A709" s="3">
        <v>719</v>
      </c>
      <c r="B709" s="3" t="s">
        <v>107</v>
      </c>
      <c r="C709" s="3" t="s">
        <v>641</v>
      </c>
      <c r="D709" s="3" t="s">
        <v>40</v>
      </c>
      <c r="E709" s="3">
        <v>117</v>
      </c>
      <c r="F709" s="3" t="s">
        <v>108</v>
      </c>
      <c r="G709" s="3" t="s">
        <v>108</v>
      </c>
      <c r="H709" s="3">
        <v>30</v>
      </c>
      <c r="I709" s="4">
        <v>117</v>
      </c>
      <c r="J709" s="5">
        <v>746000</v>
      </c>
      <c r="K709" s="6">
        <f>$E709+1</f>
        <v>118</v>
      </c>
      <c r="L709" s="7">
        <f>IF($J709=0,0,ROUND(MAX($J709*1.4,1620000*(1.497923^(MIN($E709,123)-117)))*1,0))</f>
        <v>1620000</v>
      </c>
      <c r="M709" s="4">
        <f>$E709+2</f>
        <v>119</v>
      </c>
      <c r="N709" s="8">
        <f>IF($J709=0,0,ROUND(MAX($J709*1.4*1.5,2190000*(1.580994^(MIN($E709,123)-117)))*1,0))</f>
        <v>2190000</v>
      </c>
      <c r="O709" s="6">
        <f>$E709+4</f>
        <v>121</v>
      </c>
      <c r="P709" s="7">
        <f>IF($J709=0,0,ROUND(MAX($J709*1.4*1.5*1.6,3500000*(1.57975^(MIN($E709,123)-117)))*1,0))</f>
        <v>3500000</v>
      </c>
      <c r="Q709" s="4">
        <f>$E709+6</f>
        <v>123</v>
      </c>
      <c r="R709" s="8">
        <f>IF($J709=0,0,ROUND(MAX($J709*1.4*1.5*1.6*1.6,13100000*(1.429962^(MIN($E709,123)-117)))*1,0))</f>
        <v>13100000</v>
      </c>
      <c r="S709" s="6">
        <f>$E709+8</f>
        <v>125</v>
      </c>
      <c r="T709" s="7">
        <f>IF($J709=0,0,ROUND(MAX($J709*1.4*1.5*1.6*1.6*2.2,42600000*(1.576904^(MIN($E709,123)-117)))*1,0))</f>
        <v>42600000</v>
      </c>
      <c r="U709" s="4">
        <f>$E709+11</f>
        <v>128</v>
      </c>
      <c r="V709" s="8">
        <f>IF($J709=0,0,ROUND(MAX($J709*1.4*1.5*1.6*1.6*2.2*2.715,354000000*(1.642074^(MIN($E709,123)-117)))*1,0))</f>
        <v>354000000</v>
      </c>
      <c r="W709" s="6">
        <f>$E709+15</f>
        <v>132</v>
      </c>
      <c r="X709" s="7">
        <f>IF($J709=0,0,ROUND(MAX($J709*1.4*1.5*1.6*1.6*2.2*2.715*2.6,3540000000*(1.579646^(MIN($E709,123)-117)))*1,0))</f>
        <v>3540000000</v>
      </c>
      <c r="Y709" s="4">
        <f>$E709+17</f>
        <v>134</v>
      </c>
      <c r="Z709" s="8">
        <f>IF($J709=0,0,ROUND(MAX($J709*1.4*1.5*1.6*1.6*2.2*2.715*2.6*1.4,6020000000*(1.651178^(MIN($E709,123)-117)))*1,0))</f>
        <v>6020000000</v>
      </c>
      <c r="AA709" s="6">
        <f>$E709+19</f>
        <v>136</v>
      </c>
      <c r="AB709" s="7">
        <f>IF($J709=0,0,ROUND(MAX($J709*1.4*1.5*1.6*1.6*2.2*2.715*2.6*1.4*1.4,8430000000*(1.651435^(MIN($E709,123)-117)))*1,0))</f>
        <v>8430000000</v>
      </c>
      <c r="AC709" s="4">
        <f>$E709+21</f>
        <v>138</v>
      </c>
      <c r="AD709" s="8">
        <f>IF($J709=0,0,ROUND(MAX($J709*1.4*1.5*1.6*1.6*2.2*2.715*2.6*1.4*1.4*1.5,12600000000*(1.652953^(MIN($E709,123)-117)))*1,0))</f>
        <v>12600000000</v>
      </c>
      <c r="AE709" s="6">
        <f>$E709+24</f>
        <v>141</v>
      </c>
      <c r="AF709" s="7">
        <f>IF($J709=0,0,ROUND(MAX($J709*1.4*1.5*1.6*1.6*2.2*2.715*2.6*1.4*1.4*1.5*1.5,18900000000*(1.65331^(MIN($E709,123)-117)))*1,0))</f>
        <v>18900000000</v>
      </c>
      <c r="AG709" s="4">
        <f>$E709+27</f>
        <v>144</v>
      </c>
      <c r="AH709" s="8">
        <f>IF($J709=0,0,ROUND(MAX($J709*1.4*1.5*1.6*1.6*2.2*2.715*2.6*1.4*1.4*1.5*1.5*3.2,60500000000*(1.654288^(MIN($E709,123)-117)))*1,0))</f>
        <v>60500000000</v>
      </c>
    </row>
    <row r="710" ht="27.75" customHeight="1" spans="1:34" x14ac:dyDescent="0.25">
      <c r="A710" s="3">
        <v>720</v>
      </c>
      <c r="B710" s="3" t="s">
        <v>96</v>
      </c>
      <c r="C710" s="3" t="s">
        <v>641</v>
      </c>
      <c r="D710" s="3" t="s">
        <v>40</v>
      </c>
      <c r="E710" s="3">
        <v>117</v>
      </c>
      <c r="F710" s="3" t="s">
        <v>97</v>
      </c>
      <c r="G710" s="3" t="s">
        <v>97</v>
      </c>
      <c r="H710" s="3">
        <v>30</v>
      </c>
      <c r="I710" s="4">
        <v>117</v>
      </c>
      <c r="J710" s="5">
        <v>751000</v>
      </c>
      <c r="K710" s="6">
        <f>$E710+1</f>
        <v>118</v>
      </c>
      <c r="L710" s="7">
        <f>IF($J710=0,0,ROUND(MAX($J710*1.4,1620000*(1.497923^(MIN($E710,123)-117)))*1,0))</f>
        <v>1620000</v>
      </c>
      <c r="M710" s="4">
        <f>$E710+2</f>
        <v>119</v>
      </c>
      <c r="N710" s="8">
        <f>IF($J710=0,0,ROUND(MAX($J710*1.4*1.5,2190000*(1.580994^(MIN($E710,123)-117)))*1,0))</f>
        <v>2190000</v>
      </c>
      <c r="O710" s="6">
        <f>$E710+4</f>
        <v>121</v>
      </c>
      <c r="P710" s="7">
        <f>IF($J710=0,0,ROUND(MAX($J710*1.4*1.5*1.6,3500000*(1.57975^(MIN($E710,123)-117)))*1,0))</f>
        <v>3500000</v>
      </c>
      <c r="Q710" s="4">
        <f>$E710+6</f>
        <v>123</v>
      </c>
      <c r="R710" s="8">
        <f>IF($J710=0,0,ROUND(MAX($J710*1.4*1.5*1.6*1.6,13100000*(1.429962^(MIN($E710,123)-117)))*1,0))</f>
        <v>13100000</v>
      </c>
      <c r="S710" s="6">
        <f>$E710+8</f>
        <v>125</v>
      </c>
      <c r="T710" s="7">
        <f>IF($J710=0,0,ROUND(MAX($J710*1.4*1.5*1.6*1.6*2.2,42600000*(1.576904^(MIN($E710,123)-117)))*1,0))</f>
        <v>42600000</v>
      </c>
      <c r="U710" s="4">
        <f>$E710+11</f>
        <v>128</v>
      </c>
      <c r="V710" s="8">
        <f>IF($J710=0,0,ROUND(MAX($J710*1.4*1.5*1.6*1.6*2.2*2.715,354000000*(1.642074^(MIN($E710,123)-117)))*1,0))</f>
        <v>354000000</v>
      </c>
      <c r="W710" s="6">
        <f>$E710+15</f>
        <v>132</v>
      </c>
      <c r="X710" s="7">
        <f>IF($J710=0,0,ROUND(MAX($J710*1.4*1.5*1.6*1.6*2.2*2.715*2.6,3540000000*(1.579646^(MIN($E710,123)-117)))*1,0))</f>
        <v>3540000000</v>
      </c>
      <c r="Y710" s="4">
        <f>$E710+17</f>
        <v>134</v>
      </c>
      <c r="Z710" s="8">
        <f>IF($J710=0,0,ROUND(MAX($J710*1.4*1.5*1.6*1.6*2.2*2.715*2.6*1.4,6020000000*(1.651178^(MIN($E710,123)-117)))*1,0))</f>
        <v>6020000000</v>
      </c>
      <c r="AA710" s="6">
        <f>$E710+19</f>
        <v>136</v>
      </c>
      <c r="AB710" s="7">
        <f>IF($J710=0,0,ROUND(MAX($J710*1.4*1.5*1.6*1.6*2.2*2.715*2.6*1.4*1.4,8430000000*(1.651435^(MIN($E710,123)-117)))*1,0))</f>
        <v>8430000000</v>
      </c>
      <c r="AC710" s="4">
        <f>$E710+21</f>
        <v>138</v>
      </c>
      <c r="AD710" s="8">
        <f>IF($J710=0,0,ROUND(MAX($J710*1.4*1.5*1.6*1.6*2.2*2.715*2.6*1.4*1.4*1.5,12600000000*(1.652953^(MIN($E710,123)-117)))*1,0))</f>
        <v>12600000000</v>
      </c>
      <c r="AE710" s="6">
        <f>$E710+24</f>
        <v>141</v>
      </c>
      <c r="AF710" s="7">
        <f>IF($J710=0,0,ROUND(MAX($J710*1.4*1.5*1.6*1.6*2.2*2.715*2.6*1.4*1.4*1.5*1.5,18900000000*(1.65331^(MIN($E710,123)-117)))*1,0))</f>
        <v>18900000000</v>
      </c>
      <c r="AG710" s="4">
        <f>$E710+27</f>
        <v>144</v>
      </c>
      <c r="AH710" s="8">
        <f>IF($J710=0,0,ROUND(MAX($J710*1.4*1.5*1.6*1.6*2.2*2.715*2.6*1.4*1.4*1.5*1.5*3.2,60500000000*(1.654288^(MIN($E710,123)-117)))*1,0))</f>
        <v>60500000000</v>
      </c>
    </row>
    <row r="711" ht="27.75" customHeight="1" spans="1:34" x14ac:dyDescent="0.25">
      <c r="A711" s="3">
        <v>721</v>
      </c>
      <c r="B711" s="3" t="s">
        <v>184</v>
      </c>
      <c r="C711" s="3" t="s">
        <v>641</v>
      </c>
      <c r="D711" s="3" t="s">
        <v>45</v>
      </c>
      <c r="E711" s="3">
        <v>117</v>
      </c>
      <c r="F711" s="3" t="s">
        <v>97</v>
      </c>
      <c r="G711" s="3" t="s">
        <v>97</v>
      </c>
      <c r="H711" s="3">
        <v>30</v>
      </c>
      <c r="I711" s="4">
        <v>117</v>
      </c>
      <c r="J711" s="5">
        <v>835000</v>
      </c>
      <c r="K711" s="6">
        <f>$E711+1</f>
        <v>118</v>
      </c>
      <c r="L711" s="7">
        <f>IF($J711=0,0,ROUND(MAX($J711*1.4,1620000*(1.497923^(MIN($E711,123)-117)))*1,0))</f>
        <v>1620000</v>
      </c>
      <c r="M711" s="4">
        <f>$E711+2</f>
        <v>119</v>
      </c>
      <c r="N711" s="8">
        <f>IF($J711=0,0,ROUND(MAX($J711*1.4*1.5,2190000*(1.580994^(MIN($E711,123)-117)))*1,0))</f>
        <v>2190000</v>
      </c>
      <c r="O711" s="6">
        <f>$E711+4</f>
        <v>121</v>
      </c>
      <c r="P711" s="7">
        <f>IF($J711=0,0,ROUND(MAX($J711*1.4*1.5*1.6,3500000*(1.57975^(MIN($E711,123)-117)))*1,0))</f>
        <v>3500000</v>
      </c>
      <c r="Q711" s="4">
        <f>$E711+6</f>
        <v>123</v>
      </c>
      <c r="R711" s="8">
        <f>IF($J711=0,0,ROUND(MAX($J711*1.4*1.5*1.6*1.6,13100000*(1.429962^(MIN($E711,123)-117)))*1,0))</f>
        <v>13100000</v>
      </c>
      <c r="S711" s="6">
        <f>$E711+8</f>
        <v>125</v>
      </c>
      <c r="T711" s="7">
        <f>IF($J711=0,0,ROUND(MAX($J711*1.4*1.5*1.6*1.6*2.2,42600000*(1.576904^(MIN($E711,123)-117)))*1,0))</f>
        <v>42600000</v>
      </c>
      <c r="U711" s="4">
        <f>$E711+11</f>
        <v>128</v>
      </c>
      <c r="V711" s="8">
        <f>IF($J711=0,0,ROUND(MAX($J711*1.4*1.5*1.6*1.6*2.2*2.715,354000000*(1.642074^(MIN($E711,123)-117)))*1,0))</f>
        <v>354000000</v>
      </c>
      <c r="W711" s="6">
        <f>$E711+15</f>
        <v>132</v>
      </c>
      <c r="X711" s="7">
        <f>IF($J711=0,0,ROUND(MAX($J711*1.4*1.5*1.6*1.6*2.2*2.715*2.6,3540000000*(1.579646^(MIN($E711,123)-117)))*1,0))</f>
        <v>3540000000</v>
      </c>
      <c r="Y711" s="4">
        <f>$E711+17</f>
        <v>134</v>
      </c>
      <c r="Z711" s="8">
        <f>IF($J711=0,0,ROUND(MAX($J711*1.4*1.5*1.6*1.6*2.2*2.715*2.6*1.4,6020000000*(1.651178^(MIN($E711,123)-117)))*1,0))</f>
        <v>6020000000</v>
      </c>
      <c r="AA711" s="6">
        <f>$E711+19</f>
        <v>136</v>
      </c>
      <c r="AB711" s="7">
        <f>IF($J711=0,0,ROUND(MAX($J711*1.4*1.5*1.6*1.6*2.2*2.715*2.6*1.4*1.4,8430000000*(1.651435^(MIN($E711,123)-117)))*1,0))</f>
        <v>8430000000</v>
      </c>
      <c r="AC711" s="4">
        <f>$E711+21</f>
        <v>138</v>
      </c>
      <c r="AD711" s="8">
        <f>IF($J711=0,0,ROUND(MAX($J711*1.4*1.5*1.6*1.6*2.2*2.715*2.6*1.4*1.4*1.5,12600000000*(1.652953^(MIN($E711,123)-117)))*1,0))</f>
        <v>12600000000</v>
      </c>
      <c r="AE711" s="6">
        <f>$E711+24</f>
        <v>141</v>
      </c>
      <c r="AF711" s="7">
        <f>IF($J711=0,0,ROUND(MAX($J711*1.4*1.5*1.6*1.6*2.2*2.715*2.6*1.4*1.4*1.5*1.5,18900000000*(1.65331^(MIN($E711,123)-117)))*1,0))</f>
        <v>18900000000</v>
      </c>
      <c r="AG711" s="4">
        <f>$E711+27</f>
        <v>144</v>
      </c>
      <c r="AH711" s="8">
        <f>IF($J711=0,0,ROUND(MAX($J711*1.4*1.5*1.6*1.6*2.2*2.715*2.6*1.4*1.4*1.5*1.5*3.2,60500000000*(1.654288^(MIN($E711,123)-117)))*1,0))</f>
        <v>60500000000</v>
      </c>
    </row>
    <row r="712" ht="27.75" customHeight="1" spans="1:34" x14ac:dyDescent="0.25">
      <c r="A712" s="3">
        <v>722</v>
      </c>
      <c r="B712" s="3" t="s">
        <v>130</v>
      </c>
      <c r="C712" s="3" t="s">
        <v>641</v>
      </c>
      <c r="D712" s="3" t="s">
        <v>45</v>
      </c>
      <c r="E712" s="3">
        <v>117</v>
      </c>
      <c r="F712" s="3" t="s">
        <v>56</v>
      </c>
      <c r="G712" s="3" t="s">
        <v>56</v>
      </c>
      <c r="H712" s="3">
        <v>30</v>
      </c>
      <c r="I712" s="4">
        <v>117</v>
      </c>
      <c r="J712" s="5">
        <v>716000</v>
      </c>
      <c r="K712" s="6">
        <f>$E712+1</f>
        <v>118</v>
      </c>
      <c r="L712" s="7">
        <f>IF($J712=0,0,ROUND(MAX($J712*1.4,1620000*(1.497923^(MIN($E712,123)-117)))*1,0))</f>
        <v>1620000</v>
      </c>
      <c r="M712" s="4">
        <f>$E712+2</f>
        <v>119</v>
      </c>
      <c r="N712" s="8">
        <f>IF($J712=0,0,ROUND(MAX($J712*1.4*1.5,2190000*(1.580994^(MIN($E712,123)-117)))*1,0))</f>
        <v>2190000</v>
      </c>
      <c r="O712" s="6">
        <f>$E712+4</f>
        <v>121</v>
      </c>
      <c r="P712" s="7">
        <f>IF($J712=0,0,ROUND(MAX($J712*1.4*1.5*1.6,3500000*(1.57975^(MIN($E712,123)-117)))*1,0))</f>
        <v>3500000</v>
      </c>
      <c r="Q712" s="4">
        <f>$E712+6</f>
        <v>123</v>
      </c>
      <c r="R712" s="8">
        <f>IF($J712=0,0,ROUND(MAX($J712*1.4*1.5*1.6*1.6,13100000*(1.429962^(MIN($E712,123)-117)))*1,0))</f>
        <v>13100000</v>
      </c>
      <c r="S712" s="6">
        <f>$E712+8</f>
        <v>125</v>
      </c>
      <c r="T712" s="7">
        <f>IF($J712=0,0,ROUND(MAX($J712*1.4*1.5*1.6*1.6*2.2,42600000*(1.576904^(MIN($E712,123)-117)))*1,0))</f>
        <v>42600000</v>
      </c>
      <c r="U712" s="4">
        <f>$E712+11</f>
        <v>128</v>
      </c>
      <c r="V712" s="8">
        <f>IF($J712=0,0,ROUND(MAX($J712*1.4*1.5*1.6*1.6*2.2*2.715,354000000*(1.642074^(MIN($E712,123)-117)))*1,0))</f>
        <v>354000000</v>
      </c>
      <c r="W712" s="6">
        <f>$E712+15</f>
        <v>132</v>
      </c>
      <c r="X712" s="7">
        <f>IF($J712=0,0,ROUND(MAX($J712*1.4*1.5*1.6*1.6*2.2*2.715*2.6,3540000000*(1.579646^(MIN($E712,123)-117)))*1,0))</f>
        <v>3540000000</v>
      </c>
      <c r="Y712" s="4">
        <f>$E712+17</f>
        <v>134</v>
      </c>
      <c r="Z712" s="8">
        <f>IF($J712=0,0,ROUND(MAX($J712*1.4*1.5*1.6*1.6*2.2*2.715*2.6*1.4,6020000000*(1.651178^(MIN($E712,123)-117)))*1,0))</f>
        <v>6020000000</v>
      </c>
      <c r="AA712" s="6">
        <f>$E712+19</f>
        <v>136</v>
      </c>
      <c r="AB712" s="7">
        <f>IF($J712=0,0,ROUND(MAX($J712*1.4*1.5*1.6*1.6*2.2*2.715*2.6*1.4*1.4,8430000000*(1.651435^(MIN($E712,123)-117)))*1,0))</f>
        <v>8430000000</v>
      </c>
      <c r="AC712" s="4">
        <f>$E712+21</f>
        <v>138</v>
      </c>
      <c r="AD712" s="8">
        <f>IF($J712=0,0,ROUND(MAX($J712*1.4*1.5*1.6*1.6*2.2*2.715*2.6*1.4*1.4*1.5,12600000000*(1.652953^(MIN($E712,123)-117)))*1,0))</f>
        <v>12600000000</v>
      </c>
      <c r="AE712" s="6">
        <f>$E712+24</f>
        <v>141</v>
      </c>
      <c r="AF712" s="7">
        <f>IF($J712=0,0,ROUND(MAX($J712*1.4*1.5*1.6*1.6*2.2*2.715*2.6*1.4*1.4*1.5*1.5,18900000000*(1.65331^(MIN($E712,123)-117)))*1,0))</f>
        <v>18900000000</v>
      </c>
      <c r="AG712" s="4">
        <f>$E712+27</f>
        <v>144</v>
      </c>
      <c r="AH712" s="8">
        <f>IF($J712=0,0,ROUND(MAX($J712*1.4*1.5*1.6*1.6*2.2*2.715*2.6*1.4*1.4*1.5*1.5*3.2,60500000000*(1.654288^(MIN($E712,123)-117)))*1,0))</f>
        <v>60500000000</v>
      </c>
    </row>
    <row r="713" ht="27.75" customHeight="1" spans="1:34" x14ac:dyDescent="0.25">
      <c r="A713" s="3">
        <v>723</v>
      </c>
      <c r="B713" s="3" t="s">
        <v>657</v>
      </c>
      <c r="C713" s="3" t="s">
        <v>641</v>
      </c>
      <c r="D713" s="3" t="s">
        <v>29</v>
      </c>
      <c r="E713" s="3">
        <v>117</v>
      </c>
      <c r="F713" s="3" t="s">
        <v>258</v>
      </c>
      <c r="G713" s="3" t="s">
        <v>258</v>
      </c>
      <c r="H713" s="3">
        <v>29</v>
      </c>
      <c r="I713" s="4">
        <v>117</v>
      </c>
      <c r="J713" s="5">
        <v>727000</v>
      </c>
      <c r="K713" s="6">
        <f>$E713+1</f>
        <v>118</v>
      </c>
      <c r="L713" s="7">
        <f>IF($J713=0,0,ROUND(MAX($J713*1.4,1620000*(1.497923^(MIN($E713,123)-117)))*1,0))</f>
        <v>1620000</v>
      </c>
      <c r="M713" s="4">
        <f>$E713+2</f>
        <v>119</v>
      </c>
      <c r="N713" s="8">
        <f>IF($J713=0,0,ROUND(MAX($J713*1.4*1.5,2190000*(1.580994^(MIN($E713,123)-117)))*1,0))</f>
        <v>2190000</v>
      </c>
      <c r="O713" s="6">
        <f>$E713+4</f>
        <v>121</v>
      </c>
      <c r="P713" s="7">
        <f>IF($J713=0,0,ROUND(MAX($J713*1.4*1.5*1.6,3500000*(1.57975^(MIN($E713,123)-117)))*1,0))</f>
        <v>3500000</v>
      </c>
      <c r="Q713" s="4">
        <f>$E713+6</f>
        <v>123</v>
      </c>
      <c r="R713" s="8">
        <f>IF($J713=0,0,ROUND(MAX($J713*1.4*1.5*1.6*1.6,13100000*(1.429962^(MIN($E713,123)-117)))*1,0))</f>
        <v>13100000</v>
      </c>
      <c r="S713" s="6">
        <f>$E713+8</f>
        <v>125</v>
      </c>
      <c r="T713" s="7">
        <f>IF($J713=0,0,ROUND(MAX($J713*1.4*1.5*1.6*1.6*2.2,42600000*(1.576904^(MIN($E713,123)-117)))*1,0))</f>
        <v>42600000</v>
      </c>
      <c r="U713" s="4">
        <f>$E713+11</f>
        <v>128</v>
      </c>
      <c r="V713" s="8">
        <f>IF($J713=0,0,ROUND(MAX($J713*1.4*1.5*1.6*1.6*2.2*2.715,354000000*(1.642074^(MIN($E713,123)-117)))*1,0))</f>
        <v>354000000</v>
      </c>
      <c r="W713" s="6">
        <f>$E713+15</f>
        <v>132</v>
      </c>
      <c r="X713" s="7">
        <f>IF($J713=0,0,ROUND(MAX($J713*1.4*1.5*1.6*1.6*2.2*2.715*2.6,3540000000*(1.579646^(MIN($E713,123)-117)))*1,0))</f>
        <v>3540000000</v>
      </c>
      <c r="Y713" s="4">
        <f>$E713+17</f>
        <v>134</v>
      </c>
      <c r="Z713" s="8">
        <f>IF($J713=0,0,ROUND(MAX($J713*1.4*1.5*1.6*1.6*2.2*2.715*2.6*1.4,6020000000*(1.651178^(MIN($E713,123)-117)))*1,0))</f>
        <v>6020000000</v>
      </c>
      <c r="AA713" s="6">
        <f>$E713+19</f>
        <v>136</v>
      </c>
      <c r="AB713" s="7">
        <f>IF($J713=0,0,ROUND(MAX($J713*1.4*1.5*1.6*1.6*2.2*2.715*2.6*1.4*1.4,8430000000*(1.651435^(MIN($E713,123)-117)))*1,0))</f>
        <v>8430000000</v>
      </c>
      <c r="AC713" s="4">
        <f>$E713+21</f>
        <v>138</v>
      </c>
      <c r="AD713" s="8">
        <f>IF($J713=0,0,ROUND(MAX($J713*1.4*1.5*1.6*1.6*2.2*2.715*2.6*1.4*1.4*1.5,12600000000*(1.652953^(MIN($E713,123)-117)))*1,0))</f>
        <v>12600000000</v>
      </c>
      <c r="AE713" s="6">
        <f>$E713+24</f>
        <v>141</v>
      </c>
      <c r="AF713" s="7">
        <f>IF($J713=0,0,ROUND(MAX($J713*1.4*1.5*1.6*1.6*2.2*2.715*2.6*1.4*1.4*1.5*1.5,18900000000*(1.65331^(MIN($E713,123)-117)))*1,0))</f>
        <v>18900000000</v>
      </c>
      <c r="AG713" s="4">
        <f>$E713+27</f>
        <v>144</v>
      </c>
      <c r="AH713" s="8">
        <f>IF($J713=0,0,ROUND(MAX($J713*1.4*1.5*1.6*1.6*2.2*2.715*2.6*1.4*1.4*1.5*1.5*3.2,60500000000*(1.654288^(MIN($E713,123)-117)))*1,0))</f>
        <v>60500000000</v>
      </c>
    </row>
    <row r="714" ht="27.75" customHeight="1" spans="1:34" x14ac:dyDescent="0.25">
      <c r="A714" s="3">
        <v>724</v>
      </c>
      <c r="B714" s="3" t="s">
        <v>214</v>
      </c>
      <c r="C714" s="3" t="s">
        <v>641</v>
      </c>
      <c r="D714" s="3" t="s">
        <v>79</v>
      </c>
      <c r="E714" s="3">
        <v>117</v>
      </c>
      <c r="F714" s="3" t="s">
        <v>56</v>
      </c>
      <c r="G714" s="3" t="s">
        <v>56</v>
      </c>
      <c r="H714" s="3">
        <v>29</v>
      </c>
      <c r="I714" s="4">
        <v>117</v>
      </c>
      <c r="J714" s="5">
        <v>834000</v>
      </c>
      <c r="K714" s="6">
        <f>$E714+1</f>
        <v>118</v>
      </c>
      <c r="L714" s="7">
        <f>IF($J714=0,0,ROUND(MAX($J714*1.4,1620000*(1.497923^(MIN($E714,123)-117)))*1,0))</f>
        <v>1620000</v>
      </c>
      <c r="M714" s="4">
        <f>$E714+2</f>
        <v>119</v>
      </c>
      <c r="N714" s="8">
        <f>IF($J714=0,0,ROUND(MAX($J714*1.4*1.5,2190000*(1.580994^(MIN($E714,123)-117)))*1,0))</f>
        <v>2190000</v>
      </c>
      <c r="O714" s="6">
        <f>$E714+4</f>
        <v>121</v>
      </c>
      <c r="P714" s="7">
        <f>IF($J714=0,0,ROUND(MAX($J714*1.4*1.5*1.6,3500000*(1.57975^(MIN($E714,123)-117)))*1,0))</f>
        <v>3500000</v>
      </c>
      <c r="Q714" s="4">
        <f>$E714+6</f>
        <v>123</v>
      </c>
      <c r="R714" s="8">
        <f>IF($J714=0,0,ROUND(MAX($J714*1.4*1.5*1.6*1.6,13100000*(1.429962^(MIN($E714,123)-117)))*1,0))</f>
        <v>13100000</v>
      </c>
      <c r="S714" s="6">
        <f>$E714+8</f>
        <v>125</v>
      </c>
      <c r="T714" s="7">
        <f>IF($J714=0,0,ROUND(MAX($J714*1.4*1.5*1.6*1.6*2.2,42600000*(1.576904^(MIN($E714,123)-117)))*1,0))</f>
        <v>42600000</v>
      </c>
      <c r="U714" s="4">
        <f>$E714+11</f>
        <v>128</v>
      </c>
      <c r="V714" s="8">
        <f>IF($J714=0,0,ROUND(MAX($J714*1.4*1.5*1.6*1.6*2.2*2.715,354000000*(1.642074^(MIN($E714,123)-117)))*1,0))</f>
        <v>354000000</v>
      </c>
      <c r="W714" s="6">
        <f>$E714+15</f>
        <v>132</v>
      </c>
      <c r="X714" s="7">
        <f>IF($J714=0,0,ROUND(MAX($J714*1.4*1.5*1.6*1.6*2.2*2.715*2.6,3540000000*(1.579646^(MIN($E714,123)-117)))*1,0))</f>
        <v>3540000000</v>
      </c>
      <c r="Y714" s="4">
        <f>$E714+17</f>
        <v>134</v>
      </c>
      <c r="Z714" s="8">
        <f>IF($J714=0,0,ROUND(MAX($J714*1.4*1.5*1.6*1.6*2.2*2.715*2.6*1.4,6020000000*(1.651178^(MIN($E714,123)-117)))*1,0))</f>
        <v>6020000000</v>
      </c>
      <c r="AA714" s="6">
        <f>$E714+19</f>
        <v>136</v>
      </c>
      <c r="AB714" s="7">
        <f>IF($J714=0,0,ROUND(MAX($J714*1.4*1.5*1.6*1.6*2.2*2.715*2.6*1.4*1.4,8430000000*(1.651435^(MIN($E714,123)-117)))*1,0))</f>
        <v>8430000000</v>
      </c>
      <c r="AC714" s="4">
        <f>$E714+21</f>
        <v>138</v>
      </c>
      <c r="AD714" s="8">
        <f>IF($J714=0,0,ROUND(MAX($J714*1.4*1.5*1.6*1.6*2.2*2.715*2.6*1.4*1.4*1.5,12600000000*(1.652953^(MIN($E714,123)-117)))*1,0))</f>
        <v>12600000000</v>
      </c>
      <c r="AE714" s="6">
        <f>$E714+24</f>
        <v>141</v>
      </c>
      <c r="AF714" s="7">
        <f>IF($J714=0,0,ROUND(MAX($J714*1.4*1.5*1.6*1.6*2.2*2.715*2.6*1.4*1.4*1.5*1.5,18900000000*(1.65331^(MIN($E714,123)-117)))*1,0))</f>
        <v>18900000000</v>
      </c>
      <c r="AG714" s="4">
        <f>$E714+27</f>
        <v>144</v>
      </c>
      <c r="AH714" s="8">
        <f>IF($J714=0,0,ROUND(MAX($J714*1.4*1.5*1.6*1.6*2.2*2.715*2.6*1.4*1.4*1.5*1.5*3.2,60500000000*(1.654288^(MIN($E714,123)-117)))*1,0))</f>
        <v>60500000000</v>
      </c>
    </row>
    <row r="715" ht="27.75" customHeight="1" spans="1:34" x14ac:dyDescent="0.25">
      <c r="A715" s="3">
        <v>725</v>
      </c>
      <c r="B715" s="3" t="s">
        <v>658</v>
      </c>
      <c r="C715" s="3" t="s">
        <v>641</v>
      </c>
      <c r="D715" s="3" t="s">
        <v>40</v>
      </c>
      <c r="E715" s="3">
        <v>117</v>
      </c>
      <c r="F715" s="3" t="s">
        <v>62</v>
      </c>
      <c r="G715" s="3" t="s">
        <v>62</v>
      </c>
      <c r="H715" s="3">
        <v>29</v>
      </c>
      <c r="I715" s="4">
        <v>117</v>
      </c>
      <c r="J715" s="5">
        <v>748000</v>
      </c>
      <c r="K715" s="6">
        <f>$E715+1</f>
        <v>118</v>
      </c>
      <c r="L715" s="7">
        <f>IF($J715=0,0,ROUND(MAX($J715*1.4,1620000*(1.497923^(MIN($E715,123)-117)))*1,0))</f>
        <v>1620000</v>
      </c>
      <c r="M715" s="4">
        <f>$E715+2</f>
        <v>119</v>
      </c>
      <c r="N715" s="8">
        <f>IF($J715=0,0,ROUND(MAX($J715*1.4*1.5,2190000*(1.580994^(MIN($E715,123)-117)))*1,0))</f>
        <v>2190000</v>
      </c>
      <c r="O715" s="6">
        <f>$E715+4</f>
        <v>121</v>
      </c>
      <c r="P715" s="7">
        <f>IF($J715=0,0,ROUND(MAX($J715*1.4*1.5*1.6,3500000*(1.57975^(MIN($E715,123)-117)))*1,0))</f>
        <v>3500000</v>
      </c>
      <c r="Q715" s="4">
        <f>$E715+6</f>
        <v>123</v>
      </c>
      <c r="R715" s="8">
        <f>IF($J715=0,0,ROUND(MAX($J715*1.4*1.5*1.6*1.6,13100000*(1.429962^(MIN($E715,123)-117)))*1,0))</f>
        <v>13100000</v>
      </c>
      <c r="S715" s="6">
        <f>$E715+8</f>
        <v>125</v>
      </c>
      <c r="T715" s="7">
        <f>IF($J715=0,0,ROUND(MAX($J715*1.4*1.5*1.6*1.6*2.2,42600000*(1.576904^(MIN($E715,123)-117)))*1,0))</f>
        <v>42600000</v>
      </c>
      <c r="U715" s="4">
        <f>$E715+11</f>
        <v>128</v>
      </c>
      <c r="V715" s="8">
        <f>IF($J715=0,0,ROUND(MAX($J715*1.4*1.5*1.6*1.6*2.2*2.715,354000000*(1.642074^(MIN($E715,123)-117)))*1,0))</f>
        <v>354000000</v>
      </c>
      <c r="W715" s="6">
        <f>$E715+15</f>
        <v>132</v>
      </c>
      <c r="X715" s="7">
        <f>IF($J715=0,0,ROUND(MAX($J715*1.4*1.5*1.6*1.6*2.2*2.715*2.6,3540000000*(1.579646^(MIN($E715,123)-117)))*1,0))</f>
        <v>3540000000</v>
      </c>
      <c r="Y715" s="4">
        <f>$E715+17</f>
        <v>134</v>
      </c>
      <c r="Z715" s="8">
        <f>IF($J715=0,0,ROUND(MAX($J715*1.4*1.5*1.6*1.6*2.2*2.715*2.6*1.4,6020000000*(1.651178^(MIN($E715,123)-117)))*1,0))</f>
        <v>6020000000</v>
      </c>
      <c r="AA715" s="6">
        <f>$E715+19</f>
        <v>136</v>
      </c>
      <c r="AB715" s="7">
        <f>IF($J715=0,0,ROUND(MAX($J715*1.4*1.5*1.6*1.6*2.2*2.715*2.6*1.4*1.4,8430000000*(1.651435^(MIN($E715,123)-117)))*1,0))</f>
        <v>8430000000</v>
      </c>
      <c r="AC715" s="4">
        <f>$E715+21</f>
        <v>138</v>
      </c>
      <c r="AD715" s="8">
        <f>IF($J715=0,0,ROUND(MAX($J715*1.4*1.5*1.6*1.6*2.2*2.715*2.6*1.4*1.4*1.5,12600000000*(1.652953^(MIN($E715,123)-117)))*1,0))</f>
        <v>12600000000</v>
      </c>
      <c r="AE715" s="6">
        <f>$E715+24</f>
        <v>141</v>
      </c>
      <c r="AF715" s="7">
        <f>IF($J715=0,0,ROUND(MAX($J715*1.4*1.5*1.6*1.6*2.2*2.715*2.6*1.4*1.4*1.5*1.5,18900000000*(1.65331^(MIN($E715,123)-117)))*1,0))</f>
        <v>18900000000</v>
      </c>
      <c r="AG715" s="4">
        <f>$E715+27</f>
        <v>144</v>
      </c>
      <c r="AH715" s="8">
        <f>IF($J715=0,0,ROUND(MAX($J715*1.4*1.5*1.6*1.6*2.2*2.715*2.6*1.4*1.4*1.5*1.5*3.2,60500000000*(1.654288^(MIN($E715,123)-117)))*1,0))</f>
        <v>60500000000</v>
      </c>
    </row>
    <row r="716" ht="27.75" customHeight="1" spans="1:34" x14ac:dyDescent="0.25">
      <c r="A716" s="3">
        <v>726</v>
      </c>
      <c r="B716" s="3" t="s">
        <v>659</v>
      </c>
      <c r="C716" s="3" t="s">
        <v>641</v>
      </c>
      <c r="D716" s="3" t="s">
        <v>45</v>
      </c>
      <c r="E716" s="3">
        <v>117</v>
      </c>
      <c r="F716" s="3" t="s">
        <v>310</v>
      </c>
      <c r="G716" s="3" t="s">
        <v>310</v>
      </c>
      <c r="H716" s="3">
        <v>29</v>
      </c>
      <c r="I716" s="4">
        <v>117</v>
      </c>
      <c r="J716" s="5">
        <v>833000</v>
      </c>
      <c r="K716" s="6">
        <f>$E716+1</f>
        <v>118</v>
      </c>
      <c r="L716" s="7">
        <f>IF($J716=0,0,ROUND(MAX($J716*1.4,1620000*(1.497923^(MIN($E716,123)-117)))*1,0))</f>
        <v>1620000</v>
      </c>
      <c r="M716" s="4">
        <f>$E716+2</f>
        <v>119</v>
      </c>
      <c r="N716" s="8">
        <f>IF($J716=0,0,ROUND(MAX($J716*1.4*1.5,2190000*(1.580994^(MIN($E716,123)-117)))*1,0))</f>
        <v>2190000</v>
      </c>
      <c r="O716" s="6">
        <f>$E716+4</f>
        <v>121</v>
      </c>
      <c r="P716" s="7">
        <f>IF($J716=0,0,ROUND(MAX($J716*1.4*1.5*1.6,3500000*(1.57975^(MIN($E716,123)-117)))*1,0))</f>
        <v>3500000</v>
      </c>
      <c r="Q716" s="4">
        <f>$E716+6</f>
        <v>123</v>
      </c>
      <c r="R716" s="8">
        <f>IF($J716=0,0,ROUND(MAX($J716*1.4*1.5*1.6*1.6,13100000*(1.429962^(MIN($E716,123)-117)))*1,0))</f>
        <v>13100000</v>
      </c>
      <c r="S716" s="6">
        <f>$E716+8</f>
        <v>125</v>
      </c>
      <c r="T716" s="7">
        <f>IF($J716=0,0,ROUND(MAX($J716*1.4*1.5*1.6*1.6*2.2,42600000*(1.576904^(MIN($E716,123)-117)))*1,0))</f>
        <v>42600000</v>
      </c>
      <c r="U716" s="4">
        <f>$E716+11</f>
        <v>128</v>
      </c>
      <c r="V716" s="8">
        <f>IF($J716=0,0,ROUND(MAX($J716*1.4*1.5*1.6*1.6*2.2*2.715,354000000*(1.642074^(MIN($E716,123)-117)))*1,0))</f>
        <v>354000000</v>
      </c>
      <c r="W716" s="6">
        <f>$E716+15</f>
        <v>132</v>
      </c>
      <c r="X716" s="7">
        <f>IF($J716=0,0,ROUND(MAX($J716*1.4*1.5*1.6*1.6*2.2*2.715*2.6,3540000000*(1.579646^(MIN($E716,123)-117)))*1,0))</f>
        <v>3540000000</v>
      </c>
      <c r="Y716" s="4">
        <f>$E716+17</f>
        <v>134</v>
      </c>
      <c r="Z716" s="8">
        <f>IF($J716=0,0,ROUND(MAX($J716*1.4*1.5*1.6*1.6*2.2*2.715*2.6*1.4,6020000000*(1.651178^(MIN($E716,123)-117)))*1,0))</f>
        <v>6020000000</v>
      </c>
      <c r="AA716" s="6">
        <f>$E716+19</f>
        <v>136</v>
      </c>
      <c r="AB716" s="7">
        <f>IF($J716=0,0,ROUND(MAX($J716*1.4*1.5*1.6*1.6*2.2*2.715*2.6*1.4*1.4,8430000000*(1.651435^(MIN($E716,123)-117)))*1,0))</f>
        <v>8430000000</v>
      </c>
      <c r="AC716" s="4">
        <f>$E716+21</f>
        <v>138</v>
      </c>
      <c r="AD716" s="8">
        <f>IF($J716=0,0,ROUND(MAX($J716*1.4*1.5*1.6*1.6*2.2*2.715*2.6*1.4*1.4*1.5,12600000000*(1.652953^(MIN($E716,123)-117)))*1,0))</f>
        <v>12600000000</v>
      </c>
      <c r="AE716" s="6">
        <f>$E716+24</f>
        <v>141</v>
      </c>
      <c r="AF716" s="7">
        <f>IF($J716=0,0,ROUND(MAX($J716*1.4*1.5*1.6*1.6*2.2*2.715*2.6*1.4*1.4*1.5*1.5,18900000000*(1.65331^(MIN($E716,123)-117)))*1,0))</f>
        <v>18900000000</v>
      </c>
      <c r="AG716" s="4">
        <f>$E716+27</f>
        <v>144</v>
      </c>
      <c r="AH716" s="8">
        <f>IF($J716=0,0,ROUND(MAX($J716*1.4*1.5*1.6*1.6*2.2*2.715*2.6*1.4*1.4*1.5*1.5*3.2,60500000000*(1.654288^(MIN($E716,123)-117)))*1,0))</f>
        <v>60500000000</v>
      </c>
    </row>
    <row r="717" ht="27.75" customHeight="1" spans="1:34" x14ac:dyDescent="0.25">
      <c r="A717" s="3">
        <v>727</v>
      </c>
      <c r="B717" s="3" t="s">
        <v>627</v>
      </c>
      <c r="C717" s="3" t="s">
        <v>641</v>
      </c>
      <c r="D717" s="3" t="s">
        <v>45</v>
      </c>
      <c r="E717" s="3">
        <v>117</v>
      </c>
      <c r="F717" s="3" t="s">
        <v>71</v>
      </c>
      <c r="G717" s="3" t="s">
        <v>71</v>
      </c>
      <c r="H717" s="3">
        <v>29</v>
      </c>
      <c r="I717" s="4">
        <v>117</v>
      </c>
      <c r="J717" s="5">
        <v>832000</v>
      </c>
      <c r="K717" s="6">
        <f>$E717+1</f>
        <v>118</v>
      </c>
      <c r="L717" s="7">
        <f>IF($J717=0,0,ROUND(MAX($J717*1.4,1620000*(1.497923^(MIN($E717,123)-117)))*1,0))</f>
        <v>1620000</v>
      </c>
      <c r="M717" s="4">
        <f>$E717+2</f>
        <v>119</v>
      </c>
      <c r="N717" s="8">
        <f>IF($J717=0,0,ROUND(MAX($J717*1.4*1.5,2190000*(1.580994^(MIN($E717,123)-117)))*1,0))</f>
        <v>2190000</v>
      </c>
      <c r="O717" s="6">
        <f>$E717+4</f>
        <v>121</v>
      </c>
      <c r="P717" s="7">
        <f>IF($J717=0,0,ROUND(MAX($J717*1.4*1.5*1.6,3500000*(1.57975^(MIN($E717,123)-117)))*1,0))</f>
        <v>3500000</v>
      </c>
      <c r="Q717" s="4">
        <f>$E717+6</f>
        <v>123</v>
      </c>
      <c r="R717" s="8">
        <f>IF($J717=0,0,ROUND(MAX($J717*1.4*1.5*1.6*1.6,13100000*(1.429962^(MIN($E717,123)-117)))*1,0))</f>
        <v>13100000</v>
      </c>
      <c r="S717" s="6">
        <f>$E717+8</f>
        <v>125</v>
      </c>
      <c r="T717" s="7">
        <f>IF($J717=0,0,ROUND(MAX($J717*1.4*1.5*1.6*1.6*2.2,42600000*(1.576904^(MIN($E717,123)-117)))*1,0))</f>
        <v>42600000</v>
      </c>
      <c r="U717" s="4">
        <f>$E717+11</f>
        <v>128</v>
      </c>
      <c r="V717" s="8">
        <f>IF($J717=0,0,ROUND(MAX($J717*1.4*1.5*1.6*1.6*2.2*2.715,354000000*(1.642074^(MIN($E717,123)-117)))*1,0))</f>
        <v>354000000</v>
      </c>
      <c r="W717" s="6">
        <f>$E717+15</f>
        <v>132</v>
      </c>
      <c r="X717" s="7">
        <f>IF($J717=0,0,ROUND(MAX($J717*1.4*1.5*1.6*1.6*2.2*2.715*2.6,3540000000*(1.579646^(MIN($E717,123)-117)))*1,0))</f>
        <v>3540000000</v>
      </c>
      <c r="Y717" s="4">
        <f>$E717+17</f>
        <v>134</v>
      </c>
      <c r="Z717" s="8">
        <f>IF($J717=0,0,ROUND(MAX($J717*1.4*1.5*1.6*1.6*2.2*2.715*2.6*1.4,6020000000*(1.651178^(MIN($E717,123)-117)))*1,0))</f>
        <v>6020000000</v>
      </c>
      <c r="AA717" s="6">
        <f>$E717+19</f>
        <v>136</v>
      </c>
      <c r="AB717" s="7">
        <f>IF($J717=0,0,ROUND(MAX($J717*1.4*1.5*1.6*1.6*2.2*2.715*2.6*1.4*1.4,8430000000*(1.651435^(MIN($E717,123)-117)))*1,0))</f>
        <v>8430000000</v>
      </c>
      <c r="AC717" s="4">
        <f>$E717+21</f>
        <v>138</v>
      </c>
      <c r="AD717" s="8">
        <f>IF($J717=0,0,ROUND(MAX($J717*1.4*1.5*1.6*1.6*2.2*2.715*2.6*1.4*1.4*1.5,12600000000*(1.652953^(MIN($E717,123)-117)))*1,0))</f>
        <v>12600000000</v>
      </c>
      <c r="AE717" s="6">
        <f>$E717+24</f>
        <v>141</v>
      </c>
      <c r="AF717" s="7">
        <f>IF($J717=0,0,ROUND(MAX($J717*1.4*1.5*1.6*1.6*2.2*2.715*2.6*1.4*1.4*1.5*1.5,18900000000*(1.65331^(MIN($E717,123)-117)))*1,0))</f>
        <v>18900000000</v>
      </c>
      <c r="AG717" s="4">
        <f>$E717+27</f>
        <v>144</v>
      </c>
      <c r="AH717" s="8">
        <f>IF($J717=0,0,ROUND(MAX($J717*1.4*1.5*1.6*1.6*2.2*2.715*2.6*1.4*1.4*1.5*1.5*3.2,60500000000*(1.654288^(MIN($E717,123)-117)))*1,0))</f>
        <v>60500000000</v>
      </c>
    </row>
    <row r="718" ht="27.75" customHeight="1" spans="1:34" x14ac:dyDescent="0.25">
      <c r="A718" s="3">
        <v>728</v>
      </c>
      <c r="B718" s="3" t="s">
        <v>178</v>
      </c>
      <c r="C718" s="3" t="s">
        <v>641</v>
      </c>
      <c r="D718" s="3" t="s">
        <v>33</v>
      </c>
      <c r="E718" s="3">
        <v>117</v>
      </c>
      <c r="F718" s="3" t="s">
        <v>179</v>
      </c>
      <c r="G718" s="3" t="s">
        <v>179</v>
      </c>
      <c r="H718" s="3">
        <v>29</v>
      </c>
      <c r="I718" s="4">
        <v>117</v>
      </c>
      <c r="J718" s="5">
        <v>757000</v>
      </c>
      <c r="K718" s="6">
        <f>$E718+1</f>
        <v>118</v>
      </c>
      <c r="L718" s="7">
        <f>IF($J718=0,0,ROUND(MAX($J718*1.4,1620000*(1.497923^(MIN($E718,123)-117)))*1,0))</f>
        <v>1620000</v>
      </c>
      <c r="M718" s="4">
        <f>$E718+2</f>
        <v>119</v>
      </c>
      <c r="N718" s="8">
        <f>IF($J718=0,0,ROUND(MAX($J718*1.4*1.5,2190000*(1.580994^(MIN($E718,123)-117)))*1,0))</f>
        <v>2190000</v>
      </c>
      <c r="O718" s="6">
        <f>$E718+4</f>
        <v>121</v>
      </c>
      <c r="P718" s="7">
        <f>IF($J718=0,0,ROUND(MAX($J718*1.4*1.5*1.6,3500000*(1.57975^(MIN($E718,123)-117)))*1,0))</f>
        <v>3500000</v>
      </c>
      <c r="Q718" s="4">
        <f>$E718+6</f>
        <v>123</v>
      </c>
      <c r="R718" s="8">
        <f>IF($J718=0,0,ROUND(MAX($J718*1.4*1.5*1.6*1.6,13100000*(1.429962^(MIN($E718,123)-117)))*1,0))</f>
        <v>13100000</v>
      </c>
      <c r="S718" s="6">
        <f>$E718+8</f>
        <v>125</v>
      </c>
      <c r="T718" s="7">
        <f>IF($J718=0,0,ROUND(MAX($J718*1.4*1.5*1.6*1.6*2.2,42600000*(1.576904^(MIN($E718,123)-117)))*1,0))</f>
        <v>42600000</v>
      </c>
      <c r="U718" s="4">
        <f>$E718+11</f>
        <v>128</v>
      </c>
      <c r="V718" s="8">
        <f>IF($J718=0,0,ROUND(MAX($J718*1.4*1.5*1.6*1.6*2.2*2.715,354000000*(1.642074^(MIN($E718,123)-117)))*1,0))</f>
        <v>354000000</v>
      </c>
      <c r="W718" s="6">
        <f>$E718+15</f>
        <v>132</v>
      </c>
      <c r="X718" s="7">
        <f>IF($J718=0,0,ROUND(MAX($J718*1.4*1.5*1.6*1.6*2.2*2.715*2.6,3540000000*(1.579646^(MIN($E718,123)-117)))*1,0))</f>
        <v>3540000000</v>
      </c>
      <c r="Y718" s="4">
        <f>$E718+17</f>
        <v>134</v>
      </c>
      <c r="Z718" s="8">
        <f>IF($J718=0,0,ROUND(MAX($J718*1.4*1.5*1.6*1.6*2.2*2.715*2.6*1.4,6020000000*(1.651178^(MIN($E718,123)-117)))*1,0))</f>
        <v>6020000000</v>
      </c>
      <c r="AA718" s="6">
        <f>$E718+19</f>
        <v>136</v>
      </c>
      <c r="AB718" s="7">
        <f>IF($J718=0,0,ROUND(MAX($J718*1.4*1.5*1.6*1.6*2.2*2.715*2.6*1.4*1.4,8430000000*(1.651435^(MIN($E718,123)-117)))*1,0))</f>
        <v>8430000000</v>
      </c>
      <c r="AC718" s="4">
        <f>$E718+21</f>
        <v>138</v>
      </c>
      <c r="AD718" s="8">
        <f>IF($J718=0,0,ROUND(MAX($J718*1.4*1.5*1.6*1.6*2.2*2.715*2.6*1.4*1.4*1.5,12600000000*(1.652953^(MIN($E718,123)-117)))*1,0))</f>
        <v>12600000000</v>
      </c>
      <c r="AE718" s="6">
        <f>$E718+24</f>
        <v>141</v>
      </c>
      <c r="AF718" s="7">
        <f>IF($J718=0,0,ROUND(MAX($J718*1.4*1.5*1.6*1.6*2.2*2.715*2.6*1.4*1.4*1.5*1.5,18900000000*(1.65331^(MIN($E718,123)-117)))*1,0))</f>
        <v>18900000000</v>
      </c>
      <c r="AG718" s="4">
        <f>$E718+27</f>
        <v>144</v>
      </c>
      <c r="AH718" s="8">
        <f>IF($J718=0,0,ROUND(MAX($J718*1.4*1.5*1.6*1.6*2.2*2.715*2.6*1.4*1.4*1.5*1.5*3.2,60500000000*(1.654288^(MIN($E718,123)-117)))*1,0))</f>
        <v>60500000000</v>
      </c>
    </row>
    <row r="719" ht="27.75" customHeight="1" spans="1:34" x14ac:dyDescent="0.25">
      <c r="A719" s="3">
        <v>729</v>
      </c>
      <c r="B719" s="3" t="s">
        <v>617</v>
      </c>
      <c r="C719" s="3" t="s">
        <v>641</v>
      </c>
      <c r="D719" s="3" t="s">
        <v>33</v>
      </c>
      <c r="E719" s="3">
        <v>117</v>
      </c>
      <c r="F719" s="3" t="s">
        <v>62</v>
      </c>
      <c r="G719" s="3" t="s">
        <v>62</v>
      </c>
      <c r="H719" s="3">
        <v>29</v>
      </c>
      <c r="I719" s="4">
        <v>117</v>
      </c>
      <c r="J719" s="5">
        <v>723000</v>
      </c>
      <c r="K719" s="6">
        <f>$E719+1</f>
        <v>118</v>
      </c>
      <c r="L719" s="7">
        <f>IF($J719=0,0,ROUND(MAX($J719*1.4,1620000*(1.497923^(MIN($E719,123)-117)))*1,0))</f>
        <v>1620000</v>
      </c>
      <c r="M719" s="4">
        <f>$E719+2</f>
        <v>119</v>
      </c>
      <c r="N719" s="8">
        <f>IF($J719=0,0,ROUND(MAX($J719*1.4*1.5,2190000*(1.580994^(MIN($E719,123)-117)))*1,0))</f>
        <v>2190000</v>
      </c>
      <c r="O719" s="6">
        <f>$E719+4</f>
        <v>121</v>
      </c>
      <c r="P719" s="7">
        <f>IF($J719=0,0,ROUND(MAX($J719*1.4*1.5*1.6,3500000*(1.57975^(MIN($E719,123)-117)))*1,0))</f>
        <v>3500000</v>
      </c>
      <c r="Q719" s="4">
        <f>$E719+6</f>
        <v>123</v>
      </c>
      <c r="R719" s="8">
        <f>IF($J719=0,0,ROUND(MAX($J719*1.4*1.5*1.6*1.6,13100000*(1.429962^(MIN($E719,123)-117)))*1,0))</f>
        <v>13100000</v>
      </c>
      <c r="S719" s="6">
        <f>$E719+8</f>
        <v>125</v>
      </c>
      <c r="T719" s="7">
        <f>IF($J719=0,0,ROUND(MAX($J719*1.4*1.5*1.6*1.6*2.2,42600000*(1.576904^(MIN($E719,123)-117)))*1,0))</f>
        <v>42600000</v>
      </c>
      <c r="U719" s="4">
        <f>$E719+11</f>
        <v>128</v>
      </c>
      <c r="V719" s="8">
        <f>IF($J719=0,0,ROUND(MAX($J719*1.4*1.5*1.6*1.6*2.2*2.715,354000000*(1.642074^(MIN($E719,123)-117)))*1,0))</f>
        <v>354000000</v>
      </c>
      <c r="W719" s="6">
        <f>$E719+15</f>
        <v>132</v>
      </c>
      <c r="X719" s="7">
        <f>IF($J719=0,0,ROUND(MAX($J719*1.4*1.5*1.6*1.6*2.2*2.715*2.6,3540000000*(1.579646^(MIN($E719,123)-117)))*1,0))</f>
        <v>3540000000</v>
      </c>
      <c r="Y719" s="4">
        <f>$E719+17</f>
        <v>134</v>
      </c>
      <c r="Z719" s="8">
        <f>IF($J719=0,0,ROUND(MAX($J719*1.4*1.5*1.6*1.6*2.2*2.715*2.6*1.4,6020000000*(1.651178^(MIN($E719,123)-117)))*1,0))</f>
        <v>6020000000</v>
      </c>
      <c r="AA719" s="6">
        <f>$E719+19</f>
        <v>136</v>
      </c>
      <c r="AB719" s="7">
        <f>IF($J719=0,0,ROUND(MAX($J719*1.4*1.5*1.6*1.6*2.2*2.715*2.6*1.4*1.4,8430000000*(1.651435^(MIN($E719,123)-117)))*1,0))</f>
        <v>8430000000</v>
      </c>
      <c r="AC719" s="4">
        <f>$E719+21</f>
        <v>138</v>
      </c>
      <c r="AD719" s="8">
        <f>IF($J719=0,0,ROUND(MAX($J719*1.4*1.5*1.6*1.6*2.2*2.715*2.6*1.4*1.4*1.5,12600000000*(1.652953^(MIN($E719,123)-117)))*1,0))</f>
        <v>12600000000</v>
      </c>
      <c r="AE719" s="6">
        <f>$E719+24</f>
        <v>141</v>
      </c>
      <c r="AF719" s="7">
        <f>IF($J719=0,0,ROUND(MAX($J719*1.4*1.5*1.6*1.6*2.2*2.715*2.6*1.4*1.4*1.5*1.5,18900000000*(1.65331^(MIN($E719,123)-117)))*1,0))</f>
        <v>18900000000</v>
      </c>
      <c r="AG719" s="4">
        <f>$E719+27</f>
        <v>144</v>
      </c>
      <c r="AH719" s="8">
        <f>IF($J719=0,0,ROUND(MAX($J719*1.4*1.5*1.6*1.6*2.2*2.715*2.6*1.4*1.4*1.5*1.5*3.2,60500000000*(1.654288^(MIN($E719,123)-117)))*1,0))</f>
        <v>60500000000</v>
      </c>
    </row>
    <row r="720" ht="27.75" customHeight="1" spans="1:34" x14ac:dyDescent="0.25">
      <c r="A720" s="3">
        <v>730</v>
      </c>
      <c r="B720" s="3" t="s">
        <v>660</v>
      </c>
      <c r="C720" s="3" t="s">
        <v>641</v>
      </c>
      <c r="D720" s="3" t="s">
        <v>102</v>
      </c>
      <c r="E720" s="3">
        <v>117</v>
      </c>
      <c r="F720" s="3" t="s">
        <v>62</v>
      </c>
      <c r="G720" s="3" t="s">
        <v>62</v>
      </c>
      <c r="H720" s="3">
        <v>29</v>
      </c>
      <c r="I720" s="4">
        <v>117</v>
      </c>
      <c r="J720" s="5">
        <v>734000</v>
      </c>
      <c r="K720" s="6">
        <f>$E720+1</f>
        <v>118</v>
      </c>
      <c r="L720" s="7">
        <f>IF($J720=0,0,ROUND(MAX($J720*1.4,1620000*(1.497923^(MIN($E720,123)-117)))*1,0))</f>
        <v>1620000</v>
      </c>
      <c r="M720" s="4">
        <f>$E720+2</f>
        <v>119</v>
      </c>
      <c r="N720" s="8">
        <f>IF($J720=0,0,ROUND(MAX($J720*1.4*1.5,2190000*(1.580994^(MIN($E720,123)-117)))*1,0))</f>
        <v>2190000</v>
      </c>
      <c r="O720" s="6">
        <f>$E720+4</f>
        <v>121</v>
      </c>
      <c r="P720" s="7">
        <f>IF($J720=0,0,ROUND(MAX($J720*1.4*1.5*1.6,3500000*(1.57975^(MIN($E720,123)-117)))*1,0))</f>
        <v>3500000</v>
      </c>
      <c r="Q720" s="4">
        <f>$E720+6</f>
        <v>123</v>
      </c>
      <c r="R720" s="8">
        <f>IF($J720=0,0,ROUND(MAX($J720*1.4*1.5*1.6*1.6,13100000*(1.429962^(MIN($E720,123)-117)))*1,0))</f>
        <v>13100000</v>
      </c>
      <c r="S720" s="6">
        <f>$E720+8</f>
        <v>125</v>
      </c>
      <c r="T720" s="7">
        <f>IF($J720=0,0,ROUND(MAX($J720*1.4*1.5*1.6*1.6*2.2,42600000*(1.576904^(MIN($E720,123)-117)))*1,0))</f>
        <v>42600000</v>
      </c>
      <c r="U720" s="4">
        <f>$E720+11</f>
        <v>128</v>
      </c>
      <c r="V720" s="8">
        <f>IF($J720=0,0,ROUND(MAX($J720*1.4*1.5*1.6*1.6*2.2*2.715,354000000*(1.642074^(MIN($E720,123)-117)))*1,0))</f>
        <v>354000000</v>
      </c>
      <c r="W720" s="6">
        <f>$E720+15</f>
        <v>132</v>
      </c>
      <c r="X720" s="7">
        <f>IF($J720=0,0,ROUND(MAX($J720*1.4*1.5*1.6*1.6*2.2*2.715*2.6,3540000000*(1.579646^(MIN($E720,123)-117)))*1,0))</f>
        <v>3540000000</v>
      </c>
      <c r="Y720" s="4">
        <f>$E720+17</f>
        <v>134</v>
      </c>
      <c r="Z720" s="8">
        <f>IF($J720=0,0,ROUND(MAX($J720*1.4*1.5*1.6*1.6*2.2*2.715*2.6*1.4,6020000000*(1.651178^(MIN($E720,123)-117)))*1,0))</f>
        <v>6020000000</v>
      </c>
      <c r="AA720" s="6">
        <f>$E720+19</f>
        <v>136</v>
      </c>
      <c r="AB720" s="7">
        <f>IF($J720=0,0,ROUND(MAX($J720*1.4*1.5*1.6*1.6*2.2*2.715*2.6*1.4*1.4,8430000000*(1.651435^(MIN($E720,123)-117)))*1,0))</f>
        <v>8430000000</v>
      </c>
      <c r="AC720" s="4">
        <f>$E720+21</f>
        <v>138</v>
      </c>
      <c r="AD720" s="8">
        <f>IF($J720=0,0,ROUND(MAX($J720*1.4*1.5*1.6*1.6*2.2*2.715*2.6*1.4*1.4*1.5,12600000000*(1.652953^(MIN($E720,123)-117)))*1,0))</f>
        <v>12600000000</v>
      </c>
      <c r="AE720" s="6">
        <f>$E720+24</f>
        <v>141</v>
      </c>
      <c r="AF720" s="7">
        <f>IF($J720=0,0,ROUND(MAX($J720*1.4*1.5*1.6*1.6*2.2*2.715*2.6*1.4*1.4*1.5*1.5,18900000000*(1.65331^(MIN($E720,123)-117)))*1,0))</f>
        <v>18900000000</v>
      </c>
      <c r="AG720" s="4">
        <f>$E720+27</f>
        <v>144</v>
      </c>
      <c r="AH720" s="8">
        <f>IF($J720=0,0,ROUND(MAX($J720*1.4*1.5*1.6*1.6*2.2*2.715*2.6*1.4*1.4*1.5*1.5*3.2,60500000000*(1.654288^(MIN($E720,123)-117)))*1,0))</f>
        <v>60500000000</v>
      </c>
    </row>
    <row r="721" ht="27.75" customHeight="1" spans="1:34" x14ac:dyDescent="0.25">
      <c r="A721" s="3">
        <v>731</v>
      </c>
      <c r="B721" s="3" t="s">
        <v>201</v>
      </c>
      <c r="C721" s="3" t="s">
        <v>641</v>
      </c>
      <c r="D721" s="3" t="s">
        <v>79</v>
      </c>
      <c r="E721" s="3">
        <v>117</v>
      </c>
      <c r="F721" s="3" t="s">
        <v>120</v>
      </c>
      <c r="G721" s="3" t="s">
        <v>120</v>
      </c>
      <c r="H721" s="3">
        <v>29</v>
      </c>
      <c r="I721" s="4">
        <v>117</v>
      </c>
      <c r="J721" s="5">
        <v>728000</v>
      </c>
      <c r="K721" s="6">
        <f>$E721+1</f>
        <v>118</v>
      </c>
      <c r="L721" s="7">
        <f>IF($J721=0,0,ROUND(MAX($J721*1.4,1620000*(1.497923^(MIN($E721,123)-117)))*1,0))</f>
        <v>1620000</v>
      </c>
      <c r="M721" s="4">
        <f>$E721+2</f>
        <v>119</v>
      </c>
      <c r="N721" s="8">
        <f>IF($J721=0,0,ROUND(MAX($J721*1.4*1.5,2190000*(1.580994^(MIN($E721,123)-117)))*1,0))</f>
        <v>2190000</v>
      </c>
      <c r="O721" s="6">
        <f>$E721+4</f>
        <v>121</v>
      </c>
      <c r="P721" s="7">
        <f>IF($J721=0,0,ROUND(MAX($J721*1.4*1.5*1.6,3500000*(1.57975^(MIN($E721,123)-117)))*1,0))</f>
        <v>3500000</v>
      </c>
      <c r="Q721" s="4">
        <f>$E721+6</f>
        <v>123</v>
      </c>
      <c r="R721" s="8">
        <f>IF($J721=0,0,ROUND(MAX($J721*1.4*1.5*1.6*1.6,13100000*(1.429962^(MIN($E721,123)-117)))*1,0))</f>
        <v>13100000</v>
      </c>
      <c r="S721" s="6">
        <f>$E721+8</f>
        <v>125</v>
      </c>
      <c r="T721" s="7">
        <f>IF($J721=0,0,ROUND(MAX($J721*1.4*1.5*1.6*1.6*2.2,42600000*(1.576904^(MIN($E721,123)-117)))*1,0))</f>
        <v>42600000</v>
      </c>
      <c r="U721" s="4">
        <f>$E721+11</f>
        <v>128</v>
      </c>
      <c r="V721" s="8">
        <f>IF($J721=0,0,ROUND(MAX($J721*1.4*1.5*1.6*1.6*2.2*2.715,354000000*(1.642074^(MIN($E721,123)-117)))*1,0))</f>
        <v>354000000</v>
      </c>
      <c r="W721" s="6">
        <f>$E721+15</f>
        <v>132</v>
      </c>
      <c r="X721" s="7">
        <f>IF($J721=0,0,ROUND(MAX($J721*1.4*1.5*1.6*1.6*2.2*2.715*2.6,3540000000*(1.579646^(MIN($E721,123)-117)))*1,0))</f>
        <v>3540000000</v>
      </c>
      <c r="Y721" s="4">
        <f>$E721+17</f>
        <v>134</v>
      </c>
      <c r="Z721" s="8">
        <f>IF($J721=0,0,ROUND(MAX($J721*1.4*1.5*1.6*1.6*2.2*2.715*2.6*1.4,6020000000*(1.651178^(MIN($E721,123)-117)))*1,0))</f>
        <v>6020000000</v>
      </c>
      <c r="AA721" s="6">
        <f>$E721+19</f>
        <v>136</v>
      </c>
      <c r="AB721" s="7">
        <f>IF($J721=0,0,ROUND(MAX($J721*1.4*1.5*1.6*1.6*2.2*2.715*2.6*1.4*1.4,8430000000*(1.651435^(MIN($E721,123)-117)))*1,0))</f>
        <v>8430000000</v>
      </c>
      <c r="AC721" s="4">
        <f>$E721+21</f>
        <v>138</v>
      </c>
      <c r="AD721" s="8">
        <f>IF($J721=0,0,ROUND(MAX($J721*1.4*1.5*1.6*1.6*2.2*2.715*2.6*1.4*1.4*1.5,12600000000*(1.652953^(MIN($E721,123)-117)))*1,0))</f>
        <v>12600000000</v>
      </c>
      <c r="AE721" s="6">
        <f>$E721+24</f>
        <v>141</v>
      </c>
      <c r="AF721" s="7">
        <f>IF($J721=0,0,ROUND(MAX($J721*1.4*1.5*1.6*1.6*2.2*2.715*2.6*1.4*1.4*1.5*1.5,18900000000*(1.65331^(MIN($E721,123)-117)))*1,0))</f>
        <v>18900000000</v>
      </c>
      <c r="AG721" s="4">
        <f>$E721+27</f>
        <v>144</v>
      </c>
      <c r="AH721" s="8">
        <f>IF($J721=0,0,ROUND(MAX($J721*1.4*1.5*1.6*1.6*2.2*2.715*2.6*1.4*1.4*1.5*1.5*3.2,60500000000*(1.654288^(MIN($E721,123)-117)))*1,0))</f>
        <v>60500000000</v>
      </c>
    </row>
    <row r="722" ht="27.75" customHeight="1" spans="1:34" x14ac:dyDescent="0.25">
      <c r="A722" s="3">
        <v>732</v>
      </c>
      <c r="B722" s="3" t="s">
        <v>182</v>
      </c>
      <c r="C722" s="3" t="s">
        <v>641</v>
      </c>
      <c r="D722" s="3" t="s">
        <v>45</v>
      </c>
      <c r="E722" s="3">
        <v>117</v>
      </c>
      <c r="F722" s="3" t="s">
        <v>183</v>
      </c>
      <c r="G722" s="3" t="s">
        <v>183</v>
      </c>
      <c r="H722" s="3">
        <v>29</v>
      </c>
      <c r="I722" s="4">
        <v>117</v>
      </c>
      <c r="J722" s="5">
        <v>718000</v>
      </c>
      <c r="K722" s="6">
        <f>$E722+1</f>
        <v>118</v>
      </c>
      <c r="L722" s="7">
        <f>IF($J722=0,0,ROUND(MAX($J722*1.4,1620000*(1.497923^(MIN($E722,123)-117)))*1,0))</f>
        <v>1620000</v>
      </c>
      <c r="M722" s="4">
        <f>$E722+2</f>
        <v>119</v>
      </c>
      <c r="N722" s="8">
        <f>IF($J722=0,0,ROUND(MAX($J722*1.4*1.5,2190000*(1.580994^(MIN($E722,123)-117)))*1,0))</f>
        <v>2190000</v>
      </c>
      <c r="O722" s="6">
        <f>$E722+4</f>
        <v>121</v>
      </c>
      <c r="P722" s="7">
        <f>IF($J722=0,0,ROUND(MAX($J722*1.4*1.5*1.6,3500000*(1.57975^(MIN($E722,123)-117)))*1,0))</f>
        <v>3500000</v>
      </c>
      <c r="Q722" s="4">
        <f>$E722+6</f>
        <v>123</v>
      </c>
      <c r="R722" s="8">
        <f>IF($J722=0,0,ROUND(MAX($J722*1.4*1.5*1.6*1.6,13100000*(1.429962^(MIN($E722,123)-117)))*1,0))</f>
        <v>13100000</v>
      </c>
      <c r="S722" s="6">
        <f>$E722+8</f>
        <v>125</v>
      </c>
      <c r="T722" s="7">
        <f>IF($J722=0,0,ROUND(MAX($J722*1.4*1.5*1.6*1.6*2.2,42600000*(1.576904^(MIN($E722,123)-117)))*1,0))</f>
        <v>42600000</v>
      </c>
      <c r="U722" s="4">
        <f>$E722+11</f>
        <v>128</v>
      </c>
      <c r="V722" s="8">
        <f>IF($J722=0,0,ROUND(MAX($J722*1.4*1.5*1.6*1.6*2.2*2.715,354000000*(1.642074^(MIN($E722,123)-117)))*1,0))</f>
        <v>354000000</v>
      </c>
      <c r="W722" s="6">
        <f>$E722+15</f>
        <v>132</v>
      </c>
      <c r="X722" s="7">
        <f>IF($J722=0,0,ROUND(MAX($J722*1.4*1.5*1.6*1.6*2.2*2.715*2.6,3540000000*(1.579646^(MIN($E722,123)-117)))*1,0))</f>
        <v>3540000000</v>
      </c>
      <c r="Y722" s="4">
        <f>$E722+17</f>
        <v>134</v>
      </c>
      <c r="Z722" s="8">
        <f>IF($J722=0,0,ROUND(MAX($J722*1.4*1.5*1.6*1.6*2.2*2.715*2.6*1.4,6020000000*(1.651178^(MIN($E722,123)-117)))*1,0))</f>
        <v>6020000000</v>
      </c>
      <c r="AA722" s="6">
        <f>$E722+19</f>
        <v>136</v>
      </c>
      <c r="AB722" s="7">
        <f>IF($J722=0,0,ROUND(MAX($J722*1.4*1.5*1.6*1.6*2.2*2.715*2.6*1.4*1.4,8430000000*(1.651435^(MIN($E722,123)-117)))*1,0))</f>
        <v>8430000000</v>
      </c>
      <c r="AC722" s="4">
        <f>$E722+21</f>
        <v>138</v>
      </c>
      <c r="AD722" s="8">
        <f>IF($J722=0,0,ROUND(MAX($J722*1.4*1.5*1.6*1.6*2.2*2.715*2.6*1.4*1.4*1.5,12600000000*(1.652953^(MIN($E722,123)-117)))*1,0))</f>
        <v>12600000000</v>
      </c>
      <c r="AE722" s="6">
        <f>$E722+24</f>
        <v>141</v>
      </c>
      <c r="AF722" s="7">
        <f>IF($J722=0,0,ROUND(MAX($J722*1.4*1.5*1.6*1.6*2.2*2.715*2.6*1.4*1.4*1.5*1.5,18900000000*(1.65331^(MIN($E722,123)-117)))*1,0))</f>
        <v>18900000000</v>
      </c>
      <c r="AG722" s="4">
        <f>$E722+27</f>
        <v>144</v>
      </c>
      <c r="AH722" s="8">
        <f>IF($J722=0,0,ROUND(MAX($J722*1.4*1.5*1.6*1.6*2.2*2.715*2.6*1.4*1.4*1.5*1.5*3.2,60500000000*(1.654288^(MIN($E722,123)-117)))*1,0))</f>
        <v>60500000000</v>
      </c>
    </row>
    <row r="723" ht="27.75" customHeight="1" spans="1:34" x14ac:dyDescent="0.25">
      <c r="A723" s="3">
        <v>733</v>
      </c>
      <c r="B723" s="3" t="s">
        <v>180</v>
      </c>
      <c r="C723" s="3" t="s">
        <v>641</v>
      </c>
      <c r="D723" s="3" t="s">
        <v>47</v>
      </c>
      <c r="E723" s="3">
        <v>117</v>
      </c>
      <c r="F723" s="3" t="s">
        <v>144</v>
      </c>
      <c r="G723" s="3" t="s">
        <v>144</v>
      </c>
      <c r="H723" s="3">
        <v>26</v>
      </c>
      <c r="I723" s="4">
        <v>117</v>
      </c>
      <c r="J723" s="5">
        <v>833000</v>
      </c>
      <c r="K723" s="6">
        <f>$E723+1</f>
        <v>118</v>
      </c>
      <c r="L723" s="7">
        <f>IF($J723=0,0,ROUND(MAX($J723*1.4,1620000*(1.497923^(MIN($E723,123)-117)))*1,0))</f>
        <v>1620000</v>
      </c>
      <c r="M723" s="4">
        <f>$E723+2</f>
        <v>119</v>
      </c>
      <c r="N723" s="8">
        <f>IF($J723=0,0,ROUND(MAX($J723*1.4*1.5,2190000*(1.580994^(MIN($E723,123)-117)))*1,0))</f>
        <v>2190000</v>
      </c>
      <c r="O723" s="6">
        <f>$E723+4</f>
        <v>121</v>
      </c>
      <c r="P723" s="7">
        <f>IF($J723=0,0,ROUND(MAX($J723*1.4*1.5*1.6,3500000*(1.57975^(MIN($E723,123)-117)))*1,0))</f>
        <v>3500000</v>
      </c>
      <c r="Q723" s="4">
        <f>$E723+6</f>
        <v>123</v>
      </c>
      <c r="R723" s="8">
        <f>IF($J723=0,0,ROUND(MAX($J723*1.4*1.5*1.6*1.6,13100000*(1.429962^(MIN($E723,123)-117)))*1,0))</f>
        <v>13100000</v>
      </c>
      <c r="S723" s="6">
        <f>$E723+8</f>
        <v>125</v>
      </c>
      <c r="T723" s="7">
        <f>IF($J723=0,0,ROUND(MAX($J723*1.4*1.5*1.6*1.6*2.2,42600000*(1.576904^(MIN($E723,123)-117)))*1,0))</f>
        <v>42600000</v>
      </c>
      <c r="U723" s="4">
        <f>$E723+11</f>
        <v>128</v>
      </c>
      <c r="V723" s="8">
        <f>IF($J723=0,0,ROUND(MAX($J723*1.4*1.5*1.6*1.6*2.2*2.715,354000000*(1.642074^(MIN($E723,123)-117)))*1,0))</f>
        <v>354000000</v>
      </c>
      <c r="W723" s="6">
        <f>$E723+15</f>
        <v>132</v>
      </c>
      <c r="X723" s="7">
        <f>IF($J723=0,0,ROUND(MAX($J723*1.4*1.5*1.6*1.6*2.2*2.715*2.6,3540000000*(1.579646^(MIN($E723,123)-117)))*1,0))</f>
        <v>3540000000</v>
      </c>
      <c r="Y723" s="4">
        <f>$E723+17</f>
        <v>134</v>
      </c>
      <c r="Z723" s="8">
        <f>IF($J723=0,0,ROUND(MAX($J723*1.4*1.5*1.6*1.6*2.2*2.715*2.6*1.4,6020000000*(1.651178^(MIN($E723,123)-117)))*1,0))</f>
        <v>6020000000</v>
      </c>
      <c r="AA723" s="6">
        <f>$E723+19</f>
        <v>136</v>
      </c>
      <c r="AB723" s="7">
        <f>IF($J723=0,0,ROUND(MAX($J723*1.4*1.5*1.6*1.6*2.2*2.715*2.6*1.4*1.4,8430000000*(1.651435^(MIN($E723,123)-117)))*1,0))</f>
        <v>8430000000</v>
      </c>
      <c r="AC723" s="4">
        <f>$E723+21</f>
        <v>138</v>
      </c>
      <c r="AD723" s="8">
        <f>IF($J723=0,0,ROUND(MAX($J723*1.4*1.5*1.6*1.6*2.2*2.715*2.6*1.4*1.4*1.5,12600000000*(1.652953^(MIN($E723,123)-117)))*1,0))</f>
        <v>12600000000</v>
      </c>
      <c r="AE723" s="6">
        <f>$E723+24</f>
        <v>141</v>
      </c>
      <c r="AF723" s="7">
        <f>IF($J723=0,0,ROUND(MAX($J723*1.4*1.5*1.6*1.6*2.2*2.715*2.6*1.4*1.4*1.5*1.5,18900000000*(1.65331^(MIN($E723,123)-117)))*1,0))</f>
        <v>18900000000</v>
      </c>
      <c r="AG723" s="4">
        <f>$E723+27</f>
        <v>144</v>
      </c>
      <c r="AH723" s="8">
        <f>IF($J723=0,0,ROUND(MAX($J723*1.4*1.5*1.6*1.6*2.2*2.715*2.6*1.4*1.4*1.5*1.5*3.2,60500000000*(1.654288^(MIN($E723,123)-117)))*1,0))</f>
        <v>60500000000</v>
      </c>
    </row>
    <row r="724" ht="27.75" customHeight="1" spans="1:34" x14ac:dyDescent="0.25">
      <c r="A724" s="3">
        <v>734</v>
      </c>
      <c r="B724" s="3" t="s">
        <v>661</v>
      </c>
      <c r="C724" s="3" t="s">
        <v>641</v>
      </c>
      <c r="D724" s="3" t="s">
        <v>29</v>
      </c>
      <c r="E724" s="3">
        <v>116</v>
      </c>
      <c r="F724" s="3" t="s">
        <v>643</v>
      </c>
      <c r="G724" s="3" t="s">
        <v>643</v>
      </c>
      <c r="H724" s="3">
        <v>29</v>
      </c>
      <c r="I724" s="4">
        <v>116</v>
      </c>
      <c r="J724" s="5">
        <v>619000</v>
      </c>
      <c r="K724" s="6">
        <f>$E724+1</f>
        <v>117</v>
      </c>
      <c r="L724" s="7">
        <f>IF($J724=0,0,ROUND(MAX($J724*1.4,1620000*(1.497923^(MIN($E724,123)-117)))*1,0))</f>
        <v>1081498</v>
      </c>
      <c r="M724" s="4">
        <f>$E724+2</f>
        <v>118</v>
      </c>
      <c r="N724" s="8">
        <f>IF($J724=0,0,ROUND(MAX($J724*1.4*1.5,2190000*(1.580994^(MIN($E724,123)-117)))*1,0))</f>
        <v>1385204</v>
      </c>
      <c r="O724" s="6">
        <f>$E724+4</f>
        <v>120</v>
      </c>
      <c r="P724" s="7">
        <f>IF($J724=0,0,ROUND(MAX($J724*1.4*1.5*1.6,3500000*(1.57975^(MIN($E724,123)-117)))*1,0))</f>
        <v>2215540</v>
      </c>
      <c r="Q724" s="4">
        <f>$E724+6</f>
        <v>122</v>
      </c>
      <c r="R724" s="8">
        <f>IF($J724=0,0,ROUND(MAX($J724*1.4*1.5*1.6*1.6,13100000*(1.429962^(MIN($E724,123)-117)))*1,0))</f>
        <v>9161083</v>
      </c>
      <c r="S724" s="6">
        <f>$E724+8</f>
        <v>124</v>
      </c>
      <c r="T724" s="7">
        <f>IF($J724=0,0,ROUND(MAX($J724*1.4*1.5*1.6*1.6*2.2,42600000*(1.576904^(MIN($E724,123)-117)))*1,0))</f>
        <v>27014961</v>
      </c>
      <c r="U724" s="4">
        <f>$E724+11</f>
        <v>127</v>
      </c>
      <c r="V724" s="8">
        <f>IF($J724=0,0,ROUND(MAX($J724*1.4*1.5*1.6*1.6*2.2*2.715,354000000*(1.642074^(MIN($E724,123)-117)))*1,0))</f>
        <v>215581027</v>
      </c>
      <c r="W724" s="6">
        <f>$E724+15</f>
        <v>131</v>
      </c>
      <c r="X724" s="7">
        <f>IF($J724=0,0,ROUND(MAX($J724*1.4*1.5*1.6*1.6*2.2*2.715*2.6,3540000000*(1.579646^(MIN($E724,123)-117)))*1,0))</f>
        <v>2241008428</v>
      </c>
      <c r="Y724" s="4">
        <f>$E724+17</f>
        <v>133</v>
      </c>
      <c r="Z724" s="8">
        <f>IF($J724=0,0,ROUND(MAX($J724*1.4*1.5*1.6*1.6*2.2*2.715*2.6*1.4,6020000000*(1.651178^(MIN($E724,123)-117)))*1,0))</f>
        <v>3645881910</v>
      </c>
      <c r="AA724" s="6">
        <f>$E724+19</f>
        <v>135</v>
      </c>
      <c r="AB724" s="7">
        <f>IF($J724=0,0,ROUND(MAX($J724*1.4*1.5*1.6*1.6*2.2*2.715*2.6*1.4*1.4,8430000000*(1.651435^(MIN($E724,123)-117)))*1,0))</f>
        <v>5104651409</v>
      </c>
      <c r="AC724" s="4">
        <f>$E724+21</f>
        <v>137</v>
      </c>
      <c r="AD724" s="8">
        <f>IF($J724=0,0,ROUND(MAX($J724*1.4*1.5*1.6*1.6*2.2*2.715*2.6*1.4*1.4*1.5,12600000000*(1.652953^(MIN($E724,123)-117)))*1,0))</f>
        <v>7622721275</v>
      </c>
      <c r="AE724" s="6">
        <f>$E724+24</f>
        <v>140</v>
      </c>
      <c r="AF724" s="7">
        <f>IF($J724=0,0,ROUND(MAX($J724*1.4*1.5*1.6*1.6*2.2*2.715*2.6*1.4*1.4*1.5*1.5,18900000000*(1.65331^(MIN($E724,123)-117)))*1,0))</f>
        <v>11431612946</v>
      </c>
      <c r="AG724" s="4">
        <f>$E724+27</f>
        <v>143</v>
      </c>
      <c r="AH724" s="8">
        <f>IF($J724=0,0,ROUND(MAX($J724*1.4*1.5*1.6*1.6*2.2*2.715*2.6*1.4*1.4*1.5*1.5*3.2,60500000000*(1.654288^(MIN($E724,123)-117)))*1,0))</f>
        <v>36571624772</v>
      </c>
    </row>
    <row r="725" ht="27.75" customHeight="1" spans="1:34" x14ac:dyDescent="0.25">
      <c r="A725" s="3">
        <v>735</v>
      </c>
      <c r="B725" s="3" t="s">
        <v>50</v>
      </c>
      <c r="C725" s="3" t="s">
        <v>641</v>
      </c>
      <c r="D725" s="3" t="s">
        <v>40</v>
      </c>
      <c r="E725" s="3">
        <v>116</v>
      </c>
      <c r="F725" s="3" t="s">
        <v>42</v>
      </c>
      <c r="G725" s="3" t="s">
        <v>42</v>
      </c>
      <c r="H725" s="3">
        <v>29</v>
      </c>
      <c r="I725" s="4">
        <v>116</v>
      </c>
      <c r="J725" s="5">
        <v>632000</v>
      </c>
      <c r="K725" s="6">
        <f>$E725+1</f>
        <v>117</v>
      </c>
      <c r="L725" s="7">
        <f>IF($J725=0,0,ROUND(MAX($J725*1.4,1620000*(1.497923^(MIN($E725,123)-117)))*1,0))</f>
        <v>1081498</v>
      </c>
      <c r="M725" s="4">
        <f>$E725+2</f>
        <v>118</v>
      </c>
      <c r="N725" s="8">
        <f>IF($J725=0,0,ROUND(MAX($J725*1.4*1.5,2190000*(1.580994^(MIN($E725,123)-117)))*1,0))</f>
        <v>1385204</v>
      </c>
      <c r="O725" s="6">
        <f>$E725+4</f>
        <v>120</v>
      </c>
      <c r="P725" s="7">
        <f>IF($J725=0,0,ROUND(MAX($J725*1.4*1.5*1.6,3500000*(1.57975^(MIN($E725,123)-117)))*1,0))</f>
        <v>2215540</v>
      </c>
      <c r="Q725" s="4">
        <f>$E725+6</f>
        <v>122</v>
      </c>
      <c r="R725" s="8">
        <f>IF($J725=0,0,ROUND(MAX($J725*1.4*1.5*1.6*1.6,13100000*(1.429962^(MIN($E725,123)-117)))*1,0))</f>
        <v>9161083</v>
      </c>
      <c r="S725" s="6">
        <f>$E725+8</f>
        <v>124</v>
      </c>
      <c r="T725" s="7">
        <f>IF($J725=0,0,ROUND(MAX($J725*1.4*1.5*1.6*1.6*2.2,42600000*(1.576904^(MIN($E725,123)-117)))*1,0))</f>
        <v>27014961</v>
      </c>
      <c r="U725" s="4">
        <f>$E725+11</f>
        <v>127</v>
      </c>
      <c r="V725" s="8">
        <f>IF($J725=0,0,ROUND(MAX($J725*1.4*1.5*1.6*1.6*2.2*2.715,354000000*(1.642074^(MIN($E725,123)-117)))*1,0))</f>
        <v>215581027</v>
      </c>
      <c r="W725" s="6">
        <f>$E725+15</f>
        <v>131</v>
      </c>
      <c r="X725" s="7">
        <f>IF($J725=0,0,ROUND(MAX($J725*1.4*1.5*1.6*1.6*2.2*2.715*2.6,3540000000*(1.579646^(MIN($E725,123)-117)))*1,0))</f>
        <v>2241008428</v>
      </c>
      <c r="Y725" s="4">
        <f>$E725+17</f>
        <v>133</v>
      </c>
      <c r="Z725" s="8">
        <f>IF($J725=0,0,ROUND(MAX($J725*1.4*1.5*1.6*1.6*2.2*2.715*2.6*1.4,6020000000*(1.651178^(MIN($E725,123)-117)))*1,0))</f>
        <v>3645881910</v>
      </c>
      <c r="AA725" s="6">
        <f>$E725+19</f>
        <v>135</v>
      </c>
      <c r="AB725" s="7">
        <f>IF($J725=0,0,ROUND(MAX($J725*1.4*1.5*1.6*1.6*2.2*2.715*2.6*1.4*1.4,8430000000*(1.651435^(MIN($E725,123)-117)))*1,0))</f>
        <v>5104651409</v>
      </c>
      <c r="AC725" s="4">
        <f>$E725+21</f>
        <v>137</v>
      </c>
      <c r="AD725" s="8">
        <f>IF($J725=0,0,ROUND(MAX($J725*1.4*1.5*1.6*1.6*2.2*2.715*2.6*1.4*1.4*1.5,12600000000*(1.652953^(MIN($E725,123)-117)))*1,0))</f>
        <v>7622721275</v>
      </c>
      <c r="AE725" s="6">
        <f>$E725+24</f>
        <v>140</v>
      </c>
      <c r="AF725" s="7">
        <f>IF($J725=0,0,ROUND(MAX($J725*1.4*1.5*1.6*1.6*2.2*2.715*2.6*1.4*1.4*1.5*1.5,18900000000*(1.65331^(MIN($E725,123)-117)))*1,0))</f>
        <v>11431612946</v>
      </c>
      <c r="AG725" s="4">
        <f>$E725+27</f>
        <v>143</v>
      </c>
      <c r="AH725" s="8">
        <f>IF($J725=0,0,ROUND(MAX($J725*1.4*1.5*1.6*1.6*2.2*2.715*2.6*1.4*1.4*1.5*1.5*3.2,60500000000*(1.654288^(MIN($E725,123)-117)))*1,0))</f>
        <v>36571624772</v>
      </c>
    </row>
    <row r="726" ht="27.75" customHeight="1" spans="1:34" x14ac:dyDescent="0.25">
      <c r="A726" s="3">
        <v>736</v>
      </c>
      <c r="B726" s="3" t="s">
        <v>122</v>
      </c>
      <c r="C726" s="3" t="s">
        <v>641</v>
      </c>
      <c r="D726" s="3" t="s">
        <v>40</v>
      </c>
      <c r="E726" s="3">
        <v>116</v>
      </c>
      <c r="F726" s="3" t="s">
        <v>123</v>
      </c>
      <c r="G726" s="3" t="s">
        <v>123</v>
      </c>
      <c r="H726" s="3">
        <v>29</v>
      </c>
      <c r="I726" s="4">
        <v>116</v>
      </c>
      <c r="J726" s="5">
        <v>565000</v>
      </c>
      <c r="K726" s="6">
        <f>$E726+1</f>
        <v>117</v>
      </c>
      <c r="L726" s="7">
        <f>IF($J726=0,0,ROUND(MAX($J726*1.4,1620000*(1.497923^(MIN($E726,123)-117)))*1,0))</f>
        <v>1081498</v>
      </c>
      <c r="M726" s="4">
        <f>$E726+2</f>
        <v>118</v>
      </c>
      <c r="N726" s="8">
        <f>IF($J726=0,0,ROUND(MAX($J726*1.4*1.5,2190000*(1.580994^(MIN($E726,123)-117)))*1,0))</f>
        <v>1385204</v>
      </c>
      <c r="O726" s="6">
        <f>$E726+4</f>
        <v>120</v>
      </c>
      <c r="P726" s="7">
        <f>IF($J726=0,0,ROUND(MAX($J726*1.4*1.5*1.6,3500000*(1.57975^(MIN($E726,123)-117)))*1,0))</f>
        <v>2215540</v>
      </c>
      <c r="Q726" s="4">
        <f>$E726+6</f>
        <v>122</v>
      </c>
      <c r="R726" s="8">
        <f>IF($J726=0,0,ROUND(MAX($J726*1.4*1.5*1.6*1.6,13100000*(1.429962^(MIN($E726,123)-117)))*1,0))</f>
        <v>9161083</v>
      </c>
      <c r="S726" s="6">
        <f>$E726+8</f>
        <v>124</v>
      </c>
      <c r="T726" s="7">
        <f>IF($J726=0,0,ROUND(MAX($J726*1.4*1.5*1.6*1.6*2.2,42600000*(1.576904^(MIN($E726,123)-117)))*1,0))</f>
        <v>27014961</v>
      </c>
      <c r="U726" s="4">
        <f>$E726+11</f>
        <v>127</v>
      </c>
      <c r="V726" s="8">
        <f>IF($J726=0,0,ROUND(MAX($J726*1.4*1.5*1.6*1.6*2.2*2.715,354000000*(1.642074^(MIN($E726,123)-117)))*1,0))</f>
        <v>215581027</v>
      </c>
      <c r="W726" s="6">
        <f>$E726+15</f>
        <v>131</v>
      </c>
      <c r="X726" s="7">
        <f>IF($J726=0,0,ROUND(MAX($J726*1.4*1.5*1.6*1.6*2.2*2.715*2.6,3540000000*(1.579646^(MIN($E726,123)-117)))*1,0))</f>
        <v>2241008428</v>
      </c>
      <c r="Y726" s="4">
        <f>$E726+17</f>
        <v>133</v>
      </c>
      <c r="Z726" s="8">
        <f>IF($J726=0,0,ROUND(MAX($J726*1.4*1.5*1.6*1.6*2.2*2.715*2.6*1.4,6020000000*(1.651178^(MIN($E726,123)-117)))*1,0))</f>
        <v>3645881910</v>
      </c>
      <c r="AA726" s="6">
        <f>$E726+19</f>
        <v>135</v>
      </c>
      <c r="AB726" s="7">
        <f>IF($J726=0,0,ROUND(MAX($J726*1.4*1.5*1.6*1.6*2.2*2.715*2.6*1.4*1.4,8430000000*(1.651435^(MIN($E726,123)-117)))*1,0))</f>
        <v>5104651409</v>
      </c>
      <c r="AC726" s="4">
        <f>$E726+21</f>
        <v>137</v>
      </c>
      <c r="AD726" s="8">
        <f>IF($J726=0,0,ROUND(MAX($J726*1.4*1.5*1.6*1.6*2.2*2.715*2.6*1.4*1.4*1.5,12600000000*(1.652953^(MIN($E726,123)-117)))*1,0))</f>
        <v>7622721275</v>
      </c>
      <c r="AE726" s="6">
        <f>$E726+24</f>
        <v>140</v>
      </c>
      <c r="AF726" s="7">
        <f>IF($J726=0,0,ROUND(MAX($J726*1.4*1.5*1.6*1.6*2.2*2.715*2.6*1.4*1.4*1.5*1.5,18900000000*(1.65331^(MIN($E726,123)-117)))*1,0))</f>
        <v>11431612946</v>
      </c>
      <c r="AG726" s="4">
        <f>$E726+27</f>
        <v>143</v>
      </c>
      <c r="AH726" s="8">
        <f>IF($J726=0,0,ROUND(MAX($J726*1.4*1.5*1.6*1.6*2.2*2.715*2.6*1.4*1.4*1.5*1.5*3.2,60500000000*(1.654288^(MIN($E726,123)-117)))*1,0))</f>
        <v>36571624772</v>
      </c>
    </row>
    <row r="727" ht="27.75" customHeight="1" spans="1:34" x14ac:dyDescent="0.25">
      <c r="A727" s="3">
        <v>737</v>
      </c>
      <c r="B727" s="3" t="s">
        <v>164</v>
      </c>
      <c r="C727" s="3" t="s">
        <v>641</v>
      </c>
      <c r="D727" s="3" t="s">
        <v>64</v>
      </c>
      <c r="E727" s="3">
        <v>116</v>
      </c>
      <c r="F727" s="3" t="s">
        <v>132</v>
      </c>
      <c r="G727" s="3" t="s">
        <v>132</v>
      </c>
      <c r="H727" s="3">
        <v>29</v>
      </c>
      <c r="I727" s="4">
        <v>116</v>
      </c>
      <c r="J727" s="5">
        <v>593000</v>
      </c>
      <c r="K727" s="6">
        <f>$E727+1</f>
        <v>117</v>
      </c>
      <c r="L727" s="7">
        <f>IF($J727=0,0,ROUND(MAX($J727*1.4,1620000*(1.497923^(MIN($E727,123)-117)))*1,0))</f>
        <v>1081498</v>
      </c>
      <c r="M727" s="4">
        <f>$E727+2</f>
        <v>118</v>
      </c>
      <c r="N727" s="8">
        <f>IF($J727=0,0,ROUND(MAX($J727*1.4*1.5,2190000*(1.580994^(MIN($E727,123)-117)))*1,0))</f>
        <v>1385204</v>
      </c>
      <c r="O727" s="6">
        <f>$E727+4</f>
        <v>120</v>
      </c>
      <c r="P727" s="7">
        <f>IF($J727=0,0,ROUND(MAX($J727*1.4*1.5*1.6,3500000*(1.57975^(MIN($E727,123)-117)))*1,0))</f>
        <v>2215540</v>
      </c>
      <c r="Q727" s="4">
        <f>$E727+6</f>
        <v>122</v>
      </c>
      <c r="R727" s="8">
        <f>IF($J727=0,0,ROUND(MAX($J727*1.4*1.5*1.6*1.6,13100000*(1.429962^(MIN($E727,123)-117)))*1,0))</f>
        <v>9161083</v>
      </c>
      <c r="S727" s="6">
        <f>$E727+8</f>
        <v>124</v>
      </c>
      <c r="T727" s="7">
        <f>IF($J727=0,0,ROUND(MAX($J727*1.4*1.5*1.6*1.6*2.2,42600000*(1.576904^(MIN($E727,123)-117)))*1,0))</f>
        <v>27014961</v>
      </c>
      <c r="U727" s="4">
        <f>$E727+11</f>
        <v>127</v>
      </c>
      <c r="V727" s="8">
        <f>IF($J727=0,0,ROUND(MAX($J727*1.4*1.5*1.6*1.6*2.2*2.715,354000000*(1.642074^(MIN($E727,123)-117)))*1,0))</f>
        <v>215581027</v>
      </c>
      <c r="W727" s="6">
        <f>$E727+15</f>
        <v>131</v>
      </c>
      <c r="X727" s="7">
        <f>IF($J727=0,0,ROUND(MAX($J727*1.4*1.5*1.6*1.6*2.2*2.715*2.6,3540000000*(1.579646^(MIN($E727,123)-117)))*1,0))</f>
        <v>2241008428</v>
      </c>
      <c r="Y727" s="4">
        <f>$E727+17</f>
        <v>133</v>
      </c>
      <c r="Z727" s="8">
        <f>IF($J727=0,0,ROUND(MAX($J727*1.4*1.5*1.6*1.6*2.2*2.715*2.6*1.4,6020000000*(1.651178^(MIN($E727,123)-117)))*1,0))</f>
        <v>3645881910</v>
      </c>
      <c r="AA727" s="6">
        <f>$E727+19</f>
        <v>135</v>
      </c>
      <c r="AB727" s="7">
        <f>IF($J727=0,0,ROUND(MAX($J727*1.4*1.5*1.6*1.6*2.2*2.715*2.6*1.4*1.4,8430000000*(1.651435^(MIN($E727,123)-117)))*1,0))</f>
        <v>5104651409</v>
      </c>
      <c r="AC727" s="4">
        <f>$E727+21</f>
        <v>137</v>
      </c>
      <c r="AD727" s="8">
        <f>IF($J727=0,0,ROUND(MAX($J727*1.4*1.5*1.6*1.6*2.2*2.715*2.6*1.4*1.4*1.5,12600000000*(1.652953^(MIN($E727,123)-117)))*1,0))</f>
        <v>7622721275</v>
      </c>
      <c r="AE727" s="6">
        <f>$E727+24</f>
        <v>140</v>
      </c>
      <c r="AF727" s="7">
        <f>IF($J727=0,0,ROUND(MAX($J727*1.4*1.5*1.6*1.6*2.2*2.715*2.6*1.4*1.4*1.5*1.5,18900000000*(1.65331^(MIN($E727,123)-117)))*1,0))</f>
        <v>11431612946</v>
      </c>
      <c r="AG727" s="4">
        <f>$E727+27</f>
        <v>143</v>
      </c>
      <c r="AH727" s="8">
        <f>IF($J727=0,0,ROUND(MAX($J727*1.4*1.5*1.6*1.6*2.2*2.715*2.6*1.4*1.4*1.5*1.5*3.2,60500000000*(1.654288^(MIN($E727,123)-117)))*1,0))</f>
        <v>36571624772</v>
      </c>
    </row>
    <row r="728" ht="27.75" customHeight="1" spans="1:34" x14ac:dyDescent="0.25">
      <c r="A728" s="3">
        <v>738</v>
      </c>
      <c r="B728" s="3" t="s">
        <v>491</v>
      </c>
      <c r="C728" s="3" t="s">
        <v>641</v>
      </c>
      <c r="D728" s="3" t="s">
        <v>40</v>
      </c>
      <c r="E728" s="3">
        <v>116</v>
      </c>
      <c r="F728" s="3" t="s">
        <v>492</v>
      </c>
      <c r="G728" s="3" t="s">
        <v>492</v>
      </c>
      <c r="H728" s="3">
        <v>29</v>
      </c>
      <c r="I728" s="4">
        <v>116</v>
      </c>
      <c r="J728" s="5">
        <v>628000</v>
      </c>
      <c r="K728" s="6">
        <f>$E728+1</f>
        <v>117</v>
      </c>
      <c r="L728" s="7">
        <f>IF($J728=0,0,ROUND(MAX($J728*1.4,1620000*(1.497923^(MIN($E728,123)-117)))*1,0))</f>
        <v>1081498</v>
      </c>
      <c r="M728" s="4">
        <f>$E728+2</f>
        <v>118</v>
      </c>
      <c r="N728" s="8">
        <f>IF($J728=0,0,ROUND(MAX($J728*1.4*1.5,2190000*(1.580994^(MIN($E728,123)-117)))*1,0))</f>
        <v>1385204</v>
      </c>
      <c r="O728" s="6">
        <f>$E728+4</f>
        <v>120</v>
      </c>
      <c r="P728" s="7">
        <f>IF($J728=0,0,ROUND(MAX($J728*1.4*1.5*1.6,3500000*(1.57975^(MIN($E728,123)-117)))*1,0))</f>
        <v>2215540</v>
      </c>
      <c r="Q728" s="4">
        <f>$E728+6</f>
        <v>122</v>
      </c>
      <c r="R728" s="8">
        <f>IF($J728=0,0,ROUND(MAX($J728*1.4*1.5*1.6*1.6,13100000*(1.429962^(MIN($E728,123)-117)))*1,0))</f>
        <v>9161083</v>
      </c>
      <c r="S728" s="6">
        <f>$E728+8</f>
        <v>124</v>
      </c>
      <c r="T728" s="7">
        <f>IF($J728=0,0,ROUND(MAX($J728*1.4*1.5*1.6*1.6*2.2,42600000*(1.576904^(MIN($E728,123)-117)))*1,0))</f>
        <v>27014961</v>
      </c>
      <c r="U728" s="4">
        <f>$E728+11</f>
        <v>127</v>
      </c>
      <c r="V728" s="8">
        <f>IF($J728=0,0,ROUND(MAX($J728*1.4*1.5*1.6*1.6*2.2*2.715,354000000*(1.642074^(MIN($E728,123)-117)))*1,0))</f>
        <v>215581027</v>
      </c>
      <c r="W728" s="6">
        <f>$E728+15</f>
        <v>131</v>
      </c>
      <c r="X728" s="7">
        <f>IF($J728=0,0,ROUND(MAX($J728*1.4*1.5*1.6*1.6*2.2*2.715*2.6,3540000000*(1.579646^(MIN($E728,123)-117)))*1,0))</f>
        <v>2241008428</v>
      </c>
      <c r="Y728" s="4">
        <f>$E728+17</f>
        <v>133</v>
      </c>
      <c r="Z728" s="8">
        <f>IF($J728=0,0,ROUND(MAX($J728*1.4*1.5*1.6*1.6*2.2*2.715*2.6*1.4,6020000000*(1.651178^(MIN($E728,123)-117)))*1,0))</f>
        <v>3645881910</v>
      </c>
      <c r="AA728" s="6">
        <f>$E728+19</f>
        <v>135</v>
      </c>
      <c r="AB728" s="7">
        <f>IF($J728=0,0,ROUND(MAX($J728*1.4*1.5*1.6*1.6*2.2*2.715*2.6*1.4*1.4,8430000000*(1.651435^(MIN($E728,123)-117)))*1,0))</f>
        <v>5104651409</v>
      </c>
      <c r="AC728" s="4">
        <f>$E728+21</f>
        <v>137</v>
      </c>
      <c r="AD728" s="8">
        <f>IF($J728=0,0,ROUND(MAX($J728*1.4*1.5*1.6*1.6*2.2*2.715*2.6*1.4*1.4*1.5,12600000000*(1.652953^(MIN($E728,123)-117)))*1,0))</f>
        <v>7622721275</v>
      </c>
      <c r="AE728" s="6">
        <f>$E728+24</f>
        <v>140</v>
      </c>
      <c r="AF728" s="7">
        <f>IF($J728=0,0,ROUND(MAX($J728*1.4*1.5*1.6*1.6*2.2*2.715*2.6*1.4*1.4*1.5*1.5,18900000000*(1.65331^(MIN($E728,123)-117)))*1,0))</f>
        <v>11431612946</v>
      </c>
      <c r="AG728" s="4">
        <f>$E728+27</f>
        <v>143</v>
      </c>
      <c r="AH728" s="8">
        <f>IF($J728=0,0,ROUND(MAX($J728*1.4*1.5*1.6*1.6*2.2*2.715*2.6*1.4*1.4*1.5*1.5*3.2,60500000000*(1.654288^(MIN($E728,123)-117)))*1,0))</f>
        <v>36571624772</v>
      </c>
    </row>
    <row r="729" ht="27.75" customHeight="1" spans="1:34" x14ac:dyDescent="0.25">
      <c r="A729" s="3">
        <v>739</v>
      </c>
      <c r="B729" s="3" t="s">
        <v>662</v>
      </c>
      <c r="C729" s="3" t="s">
        <v>641</v>
      </c>
      <c r="D729" s="3" t="s">
        <v>40</v>
      </c>
      <c r="E729" s="3">
        <v>116</v>
      </c>
      <c r="F729" s="3" t="s">
        <v>56</v>
      </c>
      <c r="G729" s="3" t="s">
        <v>56</v>
      </c>
      <c r="H729" s="3">
        <v>29</v>
      </c>
      <c r="I729" s="4">
        <v>116</v>
      </c>
      <c r="J729" s="5">
        <v>613000</v>
      </c>
      <c r="K729" s="6">
        <f>$E729+1</f>
        <v>117</v>
      </c>
      <c r="L729" s="7">
        <f>IF($J729=0,0,ROUND(MAX($J729*1.4,1620000*(1.497923^(MIN($E729,123)-117)))*1,0))</f>
        <v>1081498</v>
      </c>
      <c r="M729" s="4">
        <f>$E729+2</f>
        <v>118</v>
      </c>
      <c r="N729" s="8">
        <f>IF($J729=0,0,ROUND(MAX($J729*1.4*1.5,2190000*(1.580994^(MIN($E729,123)-117)))*1,0))</f>
        <v>1385204</v>
      </c>
      <c r="O729" s="6">
        <f>$E729+4</f>
        <v>120</v>
      </c>
      <c r="P729" s="7">
        <f>IF($J729=0,0,ROUND(MAX($J729*1.4*1.5*1.6,3500000*(1.57975^(MIN($E729,123)-117)))*1,0))</f>
        <v>2215540</v>
      </c>
      <c r="Q729" s="4">
        <f>$E729+6</f>
        <v>122</v>
      </c>
      <c r="R729" s="8">
        <f>IF($J729=0,0,ROUND(MAX($J729*1.4*1.5*1.6*1.6,13100000*(1.429962^(MIN($E729,123)-117)))*1,0))</f>
        <v>9161083</v>
      </c>
      <c r="S729" s="6">
        <f>$E729+8</f>
        <v>124</v>
      </c>
      <c r="T729" s="7">
        <f>IF($J729=0,0,ROUND(MAX($J729*1.4*1.5*1.6*1.6*2.2,42600000*(1.576904^(MIN($E729,123)-117)))*1,0))</f>
        <v>27014961</v>
      </c>
      <c r="U729" s="4">
        <f>$E729+11</f>
        <v>127</v>
      </c>
      <c r="V729" s="8">
        <f>IF($J729=0,0,ROUND(MAX($J729*1.4*1.5*1.6*1.6*2.2*2.715,354000000*(1.642074^(MIN($E729,123)-117)))*1,0))</f>
        <v>215581027</v>
      </c>
      <c r="W729" s="6">
        <f>$E729+15</f>
        <v>131</v>
      </c>
      <c r="X729" s="7">
        <f>IF($J729=0,0,ROUND(MAX($J729*1.4*1.5*1.6*1.6*2.2*2.715*2.6,3540000000*(1.579646^(MIN($E729,123)-117)))*1,0))</f>
        <v>2241008428</v>
      </c>
      <c r="Y729" s="4">
        <f>$E729+17</f>
        <v>133</v>
      </c>
      <c r="Z729" s="8">
        <f>IF($J729=0,0,ROUND(MAX($J729*1.4*1.5*1.6*1.6*2.2*2.715*2.6*1.4,6020000000*(1.651178^(MIN($E729,123)-117)))*1,0))</f>
        <v>3645881910</v>
      </c>
      <c r="AA729" s="6">
        <f>$E729+19</f>
        <v>135</v>
      </c>
      <c r="AB729" s="7">
        <f>IF($J729=0,0,ROUND(MAX($J729*1.4*1.5*1.6*1.6*2.2*2.715*2.6*1.4*1.4,8430000000*(1.651435^(MIN($E729,123)-117)))*1,0))</f>
        <v>5104651409</v>
      </c>
      <c r="AC729" s="4">
        <f>$E729+21</f>
        <v>137</v>
      </c>
      <c r="AD729" s="8">
        <f>IF($J729=0,0,ROUND(MAX($J729*1.4*1.5*1.6*1.6*2.2*2.715*2.6*1.4*1.4*1.5,12600000000*(1.652953^(MIN($E729,123)-117)))*1,0))</f>
        <v>7622721275</v>
      </c>
      <c r="AE729" s="6">
        <f>$E729+24</f>
        <v>140</v>
      </c>
      <c r="AF729" s="7">
        <f>IF($J729=0,0,ROUND(MAX($J729*1.4*1.5*1.6*1.6*2.2*2.715*2.6*1.4*1.4*1.5*1.5,18900000000*(1.65331^(MIN($E729,123)-117)))*1,0))</f>
        <v>11431612946</v>
      </c>
      <c r="AG729" s="4">
        <f>$E729+27</f>
        <v>143</v>
      </c>
      <c r="AH729" s="8">
        <f>IF($J729=0,0,ROUND(MAX($J729*1.4*1.5*1.6*1.6*2.2*2.715*2.6*1.4*1.4*1.5*1.5*3.2,60500000000*(1.654288^(MIN($E729,123)-117)))*1,0))</f>
        <v>36571624772</v>
      </c>
    </row>
    <row r="730" ht="27.75" customHeight="1" spans="1:34" x14ac:dyDescent="0.25">
      <c r="A730" s="3">
        <v>740</v>
      </c>
      <c r="B730" s="3" t="s">
        <v>663</v>
      </c>
      <c r="C730" s="3" t="s">
        <v>641</v>
      </c>
      <c r="D730" s="3" t="s">
        <v>29</v>
      </c>
      <c r="E730" s="3">
        <v>116</v>
      </c>
      <c r="F730" s="3" t="s">
        <v>431</v>
      </c>
      <c r="G730" s="3" t="s">
        <v>431</v>
      </c>
      <c r="H730" s="3">
        <v>28</v>
      </c>
      <c r="I730" s="4">
        <v>116</v>
      </c>
      <c r="J730" s="5">
        <v>604000</v>
      </c>
      <c r="K730" s="6">
        <f>$E730+1</f>
        <v>117</v>
      </c>
      <c r="L730" s="7">
        <f>IF($J730=0,0,ROUND(MAX($J730*1.4,1620000*(1.497923^(MIN($E730,123)-117)))*1,0))</f>
        <v>1081498</v>
      </c>
      <c r="M730" s="4">
        <f>$E730+2</f>
        <v>118</v>
      </c>
      <c r="N730" s="8">
        <f>IF($J730=0,0,ROUND(MAX($J730*1.4*1.5,2190000*(1.580994^(MIN($E730,123)-117)))*1,0))</f>
        <v>1385204</v>
      </c>
      <c r="O730" s="6">
        <f>$E730+4</f>
        <v>120</v>
      </c>
      <c r="P730" s="7">
        <f>IF($J730=0,0,ROUND(MAX($J730*1.4*1.5*1.6,3500000*(1.57975^(MIN($E730,123)-117)))*1,0))</f>
        <v>2215540</v>
      </c>
      <c r="Q730" s="4">
        <f>$E730+6</f>
        <v>122</v>
      </c>
      <c r="R730" s="8">
        <f>IF($J730=0,0,ROUND(MAX($J730*1.4*1.5*1.6*1.6,13100000*(1.429962^(MIN($E730,123)-117)))*1,0))</f>
        <v>9161083</v>
      </c>
      <c r="S730" s="6">
        <f>$E730+8</f>
        <v>124</v>
      </c>
      <c r="T730" s="7">
        <f>IF($J730=0,0,ROUND(MAX($J730*1.4*1.5*1.6*1.6*2.2,42600000*(1.576904^(MIN($E730,123)-117)))*1,0))</f>
        <v>27014961</v>
      </c>
      <c r="U730" s="4">
        <f>$E730+11</f>
        <v>127</v>
      </c>
      <c r="V730" s="8">
        <f>IF($J730=0,0,ROUND(MAX($J730*1.4*1.5*1.6*1.6*2.2*2.715,354000000*(1.642074^(MIN($E730,123)-117)))*1,0))</f>
        <v>215581027</v>
      </c>
      <c r="W730" s="6">
        <f>$E730+15</f>
        <v>131</v>
      </c>
      <c r="X730" s="7">
        <f>IF($J730=0,0,ROUND(MAX($J730*1.4*1.5*1.6*1.6*2.2*2.715*2.6,3540000000*(1.579646^(MIN($E730,123)-117)))*1,0))</f>
        <v>2241008428</v>
      </c>
      <c r="Y730" s="4">
        <f>$E730+17</f>
        <v>133</v>
      </c>
      <c r="Z730" s="8">
        <f>IF($J730=0,0,ROUND(MAX($J730*1.4*1.5*1.6*1.6*2.2*2.715*2.6*1.4,6020000000*(1.651178^(MIN($E730,123)-117)))*1,0))</f>
        <v>3645881910</v>
      </c>
      <c r="AA730" s="6">
        <f>$E730+19</f>
        <v>135</v>
      </c>
      <c r="AB730" s="7">
        <f>IF($J730=0,0,ROUND(MAX($J730*1.4*1.5*1.6*1.6*2.2*2.715*2.6*1.4*1.4,8430000000*(1.651435^(MIN($E730,123)-117)))*1,0))</f>
        <v>5104651409</v>
      </c>
      <c r="AC730" s="4">
        <f>$E730+21</f>
        <v>137</v>
      </c>
      <c r="AD730" s="8">
        <f>IF($J730=0,0,ROUND(MAX($J730*1.4*1.5*1.6*1.6*2.2*2.715*2.6*1.4*1.4*1.5,12600000000*(1.652953^(MIN($E730,123)-117)))*1,0))</f>
        <v>7622721275</v>
      </c>
      <c r="AE730" s="6">
        <f>$E730+24</f>
        <v>140</v>
      </c>
      <c r="AF730" s="7">
        <f>IF($J730=0,0,ROUND(MAX($J730*1.4*1.5*1.6*1.6*2.2*2.715*2.6*1.4*1.4*1.5*1.5,18900000000*(1.65331^(MIN($E730,123)-117)))*1,0))</f>
        <v>11431612946</v>
      </c>
      <c r="AG730" s="4">
        <f>$E730+27</f>
        <v>143</v>
      </c>
      <c r="AH730" s="8">
        <f>IF($J730=0,0,ROUND(MAX($J730*1.4*1.5*1.6*1.6*2.2*2.715*2.6*1.4*1.4*1.5*1.5*3.2,60500000000*(1.654288^(MIN($E730,123)-117)))*1,0))</f>
        <v>36571624772</v>
      </c>
    </row>
    <row r="731" ht="27.75" customHeight="1" spans="1:34" x14ac:dyDescent="0.25">
      <c r="A731" s="3">
        <v>741</v>
      </c>
      <c r="B731" s="3" t="s">
        <v>475</v>
      </c>
      <c r="C731" s="3" t="s">
        <v>641</v>
      </c>
      <c r="D731" s="3" t="s">
        <v>102</v>
      </c>
      <c r="E731" s="3">
        <v>116</v>
      </c>
      <c r="F731" s="3" t="s">
        <v>30</v>
      </c>
      <c r="G731" s="3" t="s">
        <v>30</v>
      </c>
      <c r="H731" s="3">
        <v>28</v>
      </c>
      <c r="I731" s="4">
        <v>116</v>
      </c>
      <c r="J731" s="5">
        <v>611000</v>
      </c>
      <c r="K731" s="6">
        <f>$E731+1</f>
        <v>117</v>
      </c>
      <c r="L731" s="7">
        <f>IF($J731=0,0,ROUND(MAX($J731*1.4,1620000*(1.497923^(MIN($E731,123)-117)))*1,0))</f>
        <v>1081498</v>
      </c>
      <c r="M731" s="4">
        <f>$E731+2</f>
        <v>118</v>
      </c>
      <c r="N731" s="8">
        <f>IF($J731=0,0,ROUND(MAX($J731*1.4*1.5,2190000*(1.580994^(MIN($E731,123)-117)))*1,0))</f>
        <v>1385204</v>
      </c>
      <c r="O731" s="6">
        <f>$E731+4</f>
        <v>120</v>
      </c>
      <c r="P731" s="7">
        <f>IF($J731=0,0,ROUND(MAX($J731*1.4*1.5*1.6,3500000*(1.57975^(MIN($E731,123)-117)))*1,0))</f>
        <v>2215540</v>
      </c>
      <c r="Q731" s="4">
        <f>$E731+6</f>
        <v>122</v>
      </c>
      <c r="R731" s="8">
        <f>IF($J731=0,0,ROUND(MAX($J731*1.4*1.5*1.6*1.6,13100000*(1.429962^(MIN($E731,123)-117)))*1,0))</f>
        <v>9161083</v>
      </c>
      <c r="S731" s="6">
        <f>$E731+8</f>
        <v>124</v>
      </c>
      <c r="T731" s="7">
        <f>IF($J731=0,0,ROUND(MAX($J731*1.4*1.5*1.6*1.6*2.2,42600000*(1.576904^(MIN($E731,123)-117)))*1,0))</f>
        <v>27014961</v>
      </c>
      <c r="U731" s="4">
        <f>$E731+11</f>
        <v>127</v>
      </c>
      <c r="V731" s="8">
        <f>IF($J731=0,0,ROUND(MAX($J731*1.4*1.5*1.6*1.6*2.2*2.715,354000000*(1.642074^(MIN($E731,123)-117)))*1,0))</f>
        <v>215581027</v>
      </c>
      <c r="W731" s="6">
        <f>$E731+15</f>
        <v>131</v>
      </c>
      <c r="X731" s="7">
        <f>IF($J731=0,0,ROUND(MAX($J731*1.4*1.5*1.6*1.6*2.2*2.715*2.6,3540000000*(1.579646^(MIN($E731,123)-117)))*1,0))</f>
        <v>2241008428</v>
      </c>
      <c r="Y731" s="4">
        <f>$E731+17</f>
        <v>133</v>
      </c>
      <c r="Z731" s="8">
        <f>IF($J731=0,0,ROUND(MAX($J731*1.4*1.5*1.6*1.6*2.2*2.715*2.6*1.4,6020000000*(1.651178^(MIN($E731,123)-117)))*1,0))</f>
        <v>3645881910</v>
      </c>
      <c r="AA731" s="6">
        <f>$E731+19</f>
        <v>135</v>
      </c>
      <c r="AB731" s="7">
        <f>IF($J731=0,0,ROUND(MAX($J731*1.4*1.5*1.6*1.6*2.2*2.715*2.6*1.4*1.4,8430000000*(1.651435^(MIN($E731,123)-117)))*1,0))</f>
        <v>5104651409</v>
      </c>
      <c r="AC731" s="4">
        <f>$E731+21</f>
        <v>137</v>
      </c>
      <c r="AD731" s="8">
        <f>IF($J731=0,0,ROUND(MAX($J731*1.4*1.5*1.6*1.6*2.2*2.715*2.6*1.4*1.4*1.5,12600000000*(1.652953^(MIN($E731,123)-117)))*1,0))</f>
        <v>7622721275</v>
      </c>
      <c r="AE731" s="6">
        <f>$E731+24</f>
        <v>140</v>
      </c>
      <c r="AF731" s="7">
        <f>IF($J731=0,0,ROUND(MAX($J731*1.4*1.5*1.6*1.6*2.2*2.715*2.6*1.4*1.4*1.5*1.5,18900000000*(1.65331^(MIN($E731,123)-117)))*1,0))</f>
        <v>11431612946</v>
      </c>
      <c r="AG731" s="4">
        <f>$E731+27</f>
        <v>143</v>
      </c>
      <c r="AH731" s="8">
        <f>IF($J731=0,0,ROUND(MAX($J731*1.4*1.5*1.6*1.6*2.2*2.715*2.6*1.4*1.4*1.5*1.5*3.2,60500000000*(1.654288^(MIN($E731,123)-117)))*1,0))</f>
        <v>36571624772</v>
      </c>
    </row>
    <row r="732" ht="27.75" customHeight="1" spans="1:34" x14ac:dyDescent="0.25">
      <c r="A732" s="3">
        <v>742</v>
      </c>
      <c r="B732" s="3" t="s">
        <v>487</v>
      </c>
      <c r="C732" s="3" t="s">
        <v>641</v>
      </c>
      <c r="D732" s="3" t="s">
        <v>165</v>
      </c>
      <c r="E732" s="3">
        <v>116</v>
      </c>
      <c r="F732" s="3" t="s">
        <v>62</v>
      </c>
      <c r="G732" s="3" t="s">
        <v>62</v>
      </c>
      <c r="H732" s="3">
        <v>28</v>
      </c>
      <c r="I732" s="4">
        <v>116</v>
      </c>
      <c r="J732" s="5">
        <v>595000</v>
      </c>
      <c r="K732" s="6">
        <f>$E732+1</f>
        <v>117</v>
      </c>
      <c r="L732" s="7">
        <f>IF($J732=0,0,ROUND(MAX($J732*1.4,1620000*(1.497923^(MIN($E732,123)-117)))*1,0))</f>
        <v>1081498</v>
      </c>
      <c r="M732" s="4">
        <f>$E732+2</f>
        <v>118</v>
      </c>
      <c r="N732" s="8">
        <f>IF($J732=0,0,ROUND(MAX($J732*1.4*1.5,2190000*(1.580994^(MIN($E732,123)-117)))*1,0))</f>
        <v>1385204</v>
      </c>
      <c r="O732" s="6">
        <f>$E732+4</f>
        <v>120</v>
      </c>
      <c r="P732" s="7">
        <f>IF($J732=0,0,ROUND(MAX($J732*1.4*1.5*1.6,3500000*(1.57975^(MIN($E732,123)-117)))*1,0))</f>
        <v>2215540</v>
      </c>
      <c r="Q732" s="4">
        <f>$E732+6</f>
        <v>122</v>
      </c>
      <c r="R732" s="8">
        <f>IF($J732=0,0,ROUND(MAX($J732*1.4*1.5*1.6*1.6,13100000*(1.429962^(MIN($E732,123)-117)))*1,0))</f>
        <v>9161083</v>
      </c>
      <c r="S732" s="6">
        <f>$E732+8</f>
        <v>124</v>
      </c>
      <c r="T732" s="7">
        <f>IF($J732=0,0,ROUND(MAX($J732*1.4*1.5*1.6*1.6*2.2,42600000*(1.576904^(MIN($E732,123)-117)))*1,0))</f>
        <v>27014961</v>
      </c>
      <c r="U732" s="4">
        <f>$E732+11</f>
        <v>127</v>
      </c>
      <c r="V732" s="8">
        <f>IF($J732=0,0,ROUND(MAX($J732*1.4*1.5*1.6*1.6*2.2*2.715,354000000*(1.642074^(MIN($E732,123)-117)))*1,0))</f>
        <v>215581027</v>
      </c>
      <c r="W732" s="6">
        <f>$E732+15</f>
        <v>131</v>
      </c>
      <c r="X732" s="7">
        <f>IF($J732=0,0,ROUND(MAX($J732*1.4*1.5*1.6*1.6*2.2*2.715*2.6,3540000000*(1.579646^(MIN($E732,123)-117)))*1,0))</f>
        <v>2241008428</v>
      </c>
      <c r="Y732" s="4">
        <f>$E732+17</f>
        <v>133</v>
      </c>
      <c r="Z732" s="8">
        <f>IF($J732=0,0,ROUND(MAX($J732*1.4*1.5*1.6*1.6*2.2*2.715*2.6*1.4,6020000000*(1.651178^(MIN($E732,123)-117)))*1,0))</f>
        <v>3645881910</v>
      </c>
      <c r="AA732" s="6">
        <f>$E732+19</f>
        <v>135</v>
      </c>
      <c r="AB732" s="7">
        <f>IF($J732=0,0,ROUND(MAX($J732*1.4*1.5*1.6*1.6*2.2*2.715*2.6*1.4*1.4,8430000000*(1.651435^(MIN($E732,123)-117)))*1,0))</f>
        <v>5104651409</v>
      </c>
      <c r="AC732" s="4">
        <f>$E732+21</f>
        <v>137</v>
      </c>
      <c r="AD732" s="8">
        <f>IF($J732=0,0,ROUND(MAX($J732*1.4*1.5*1.6*1.6*2.2*2.715*2.6*1.4*1.4*1.5,12600000000*(1.652953^(MIN($E732,123)-117)))*1,0))</f>
        <v>7622721275</v>
      </c>
      <c r="AE732" s="6">
        <f>$E732+24</f>
        <v>140</v>
      </c>
      <c r="AF732" s="7">
        <f>IF($J732=0,0,ROUND(MAX($J732*1.4*1.5*1.6*1.6*2.2*2.715*2.6*1.4*1.4*1.5*1.5,18900000000*(1.65331^(MIN($E732,123)-117)))*1,0))</f>
        <v>11431612946</v>
      </c>
      <c r="AG732" s="4">
        <f>$E732+27</f>
        <v>143</v>
      </c>
      <c r="AH732" s="8">
        <f>IF($J732=0,0,ROUND(MAX($J732*1.4*1.5*1.6*1.6*2.2*2.715*2.6*1.4*1.4*1.5*1.5*3.2,60500000000*(1.654288^(MIN($E732,123)-117)))*1,0))</f>
        <v>36571624772</v>
      </c>
    </row>
    <row r="733" ht="27.75" customHeight="1" spans="1:34" x14ac:dyDescent="0.25">
      <c r="A733" s="3">
        <v>743</v>
      </c>
      <c r="B733" s="3" t="s">
        <v>166</v>
      </c>
      <c r="C733" s="3" t="s">
        <v>641</v>
      </c>
      <c r="D733" s="3" t="s">
        <v>33</v>
      </c>
      <c r="E733" s="3">
        <v>116</v>
      </c>
      <c r="F733" s="3" t="s">
        <v>62</v>
      </c>
      <c r="G733" s="3" t="s">
        <v>62</v>
      </c>
      <c r="H733" s="3">
        <v>28</v>
      </c>
      <c r="I733" s="4">
        <v>116</v>
      </c>
      <c r="J733" s="5">
        <v>592000</v>
      </c>
      <c r="K733" s="6">
        <f>$E733+1</f>
        <v>117</v>
      </c>
      <c r="L733" s="7">
        <f>IF($J733=0,0,ROUND(MAX($J733*1.4,1620000*(1.497923^(MIN($E733,123)-117)))*1,0))</f>
        <v>1081498</v>
      </c>
      <c r="M733" s="4">
        <f>$E733+2</f>
        <v>118</v>
      </c>
      <c r="N733" s="8">
        <f>IF($J733=0,0,ROUND(MAX($J733*1.4*1.5,2190000*(1.580994^(MIN($E733,123)-117)))*1,0))</f>
        <v>1385204</v>
      </c>
      <c r="O733" s="6">
        <f>$E733+4</f>
        <v>120</v>
      </c>
      <c r="P733" s="7">
        <f>IF($J733=0,0,ROUND(MAX($J733*1.4*1.5*1.6,3500000*(1.57975^(MIN($E733,123)-117)))*1,0))</f>
        <v>2215540</v>
      </c>
      <c r="Q733" s="4">
        <f>$E733+6</f>
        <v>122</v>
      </c>
      <c r="R733" s="8">
        <f>IF($J733=0,0,ROUND(MAX($J733*1.4*1.5*1.6*1.6,13100000*(1.429962^(MIN($E733,123)-117)))*1,0))</f>
        <v>9161083</v>
      </c>
      <c r="S733" s="6">
        <f>$E733+8</f>
        <v>124</v>
      </c>
      <c r="T733" s="7">
        <f>IF($J733=0,0,ROUND(MAX($J733*1.4*1.5*1.6*1.6*2.2,42600000*(1.576904^(MIN($E733,123)-117)))*1,0))</f>
        <v>27014961</v>
      </c>
      <c r="U733" s="4">
        <f>$E733+11</f>
        <v>127</v>
      </c>
      <c r="V733" s="8">
        <f>IF($J733=0,0,ROUND(MAX($J733*1.4*1.5*1.6*1.6*2.2*2.715,354000000*(1.642074^(MIN($E733,123)-117)))*1,0))</f>
        <v>215581027</v>
      </c>
      <c r="W733" s="6">
        <f>$E733+15</f>
        <v>131</v>
      </c>
      <c r="X733" s="7">
        <f>IF($J733=0,0,ROUND(MAX($J733*1.4*1.5*1.6*1.6*2.2*2.715*2.6,3540000000*(1.579646^(MIN($E733,123)-117)))*1,0))</f>
        <v>2241008428</v>
      </c>
      <c r="Y733" s="4">
        <f>$E733+17</f>
        <v>133</v>
      </c>
      <c r="Z733" s="8">
        <f>IF($J733=0,0,ROUND(MAX($J733*1.4*1.5*1.6*1.6*2.2*2.715*2.6*1.4,6020000000*(1.651178^(MIN($E733,123)-117)))*1,0))</f>
        <v>3645881910</v>
      </c>
      <c r="AA733" s="6">
        <f>$E733+19</f>
        <v>135</v>
      </c>
      <c r="AB733" s="7">
        <f>IF($J733=0,0,ROUND(MAX($J733*1.4*1.5*1.6*1.6*2.2*2.715*2.6*1.4*1.4,8430000000*(1.651435^(MIN($E733,123)-117)))*1,0))</f>
        <v>5104651409</v>
      </c>
      <c r="AC733" s="4">
        <f>$E733+21</f>
        <v>137</v>
      </c>
      <c r="AD733" s="8">
        <f>IF($J733=0,0,ROUND(MAX($J733*1.4*1.5*1.6*1.6*2.2*2.715*2.6*1.4*1.4*1.5,12600000000*(1.652953^(MIN($E733,123)-117)))*1,0))</f>
        <v>7622721275</v>
      </c>
      <c r="AE733" s="6">
        <f>$E733+24</f>
        <v>140</v>
      </c>
      <c r="AF733" s="7">
        <f>IF($J733=0,0,ROUND(MAX($J733*1.4*1.5*1.6*1.6*2.2*2.715*2.6*1.4*1.4*1.5*1.5,18900000000*(1.65331^(MIN($E733,123)-117)))*1,0))</f>
        <v>11431612946</v>
      </c>
      <c r="AG733" s="4">
        <f>$E733+27</f>
        <v>143</v>
      </c>
      <c r="AH733" s="8">
        <f>IF($J733=0,0,ROUND(MAX($J733*1.4*1.5*1.6*1.6*2.2*2.715*2.6*1.4*1.4*1.5*1.5*3.2,60500000000*(1.654288^(MIN($E733,123)-117)))*1,0))</f>
        <v>36571624772</v>
      </c>
    </row>
    <row r="734" ht="27.75" customHeight="1" spans="1:34" x14ac:dyDescent="0.25">
      <c r="A734" s="3">
        <v>744</v>
      </c>
      <c r="B734" s="3" t="s">
        <v>664</v>
      </c>
      <c r="C734" s="3" t="s">
        <v>641</v>
      </c>
      <c r="D734" s="3" t="s">
        <v>47</v>
      </c>
      <c r="E734" s="3">
        <v>116</v>
      </c>
      <c r="F734" s="3" t="s">
        <v>383</v>
      </c>
      <c r="G734" s="3" t="s">
        <v>383</v>
      </c>
      <c r="H734" s="3">
        <v>25</v>
      </c>
      <c r="I734" s="4">
        <v>116</v>
      </c>
      <c r="J734" s="5">
        <v>547000</v>
      </c>
      <c r="K734" s="6">
        <f>$E734+1</f>
        <v>117</v>
      </c>
      <c r="L734" s="7">
        <f>IF($J734=0,0,ROUND(MAX($J734*1.4,1620000*(1.497923^(MIN($E734,123)-117)))*1,0))</f>
        <v>1081498</v>
      </c>
      <c r="M734" s="4">
        <f>$E734+2</f>
        <v>118</v>
      </c>
      <c r="N734" s="8">
        <f>IF($J734=0,0,ROUND(MAX($J734*1.4*1.5,2190000*(1.580994^(MIN($E734,123)-117)))*1,0))</f>
        <v>1385204</v>
      </c>
      <c r="O734" s="6">
        <f>$E734+4</f>
        <v>120</v>
      </c>
      <c r="P734" s="7">
        <f>IF($J734=0,0,ROUND(MAX($J734*1.4*1.5*1.6,3500000*(1.57975^(MIN($E734,123)-117)))*1,0))</f>
        <v>2215540</v>
      </c>
      <c r="Q734" s="4">
        <f>$E734+6</f>
        <v>122</v>
      </c>
      <c r="R734" s="8">
        <f>IF($J734=0,0,ROUND(MAX($J734*1.4*1.5*1.6*1.6,13100000*(1.429962^(MIN($E734,123)-117)))*1,0))</f>
        <v>9161083</v>
      </c>
      <c r="S734" s="6">
        <f>$E734+8</f>
        <v>124</v>
      </c>
      <c r="T734" s="7">
        <f>IF($J734=0,0,ROUND(MAX($J734*1.4*1.5*1.6*1.6*2.2,42600000*(1.576904^(MIN($E734,123)-117)))*1,0))</f>
        <v>27014961</v>
      </c>
      <c r="U734" s="4">
        <f>$E734+11</f>
        <v>127</v>
      </c>
      <c r="V734" s="8">
        <f>IF($J734=0,0,ROUND(MAX($J734*1.4*1.5*1.6*1.6*2.2*2.715,354000000*(1.642074^(MIN($E734,123)-117)))*1,0))</f>
        <v>215581027</v>
      </c>
      <c r="W734" s="6">
        <f>$E734+15</f>
        <v>131</v>
      </c>
      <c r="X734" s="7">
        <f>IF($J734=0,0,ROUND(MAX($J734*1.4*1.5*1.6*1.6*2.2*2.715*2.6,3540000000*(1.579646^(MIN($E734,123)-117)))*1,0))</f>
        <v>2241008428</v>
      </c>
      <c r="Y734" s="4">
        <f>$E734+17</f>
        <v>133</v>
      </c>
      <c r="Z734" s="8">
        <f>IF($J734=0,0,ROUND(MAX($J734*1.4*1.5*1.6*1.6*2.2*2.715*2.6*1.4,6020000000*(1.651178^(MIN($E734,123)-117)))*1,0))</f>
        <v>3645881910</v>
      </c>
      <c r="AA734" s="6">
        <f>$E734+19</f>
        <v>135</v>
      </c>
      <c r="AB734" s="7">
        <f>IF($J734=0,0,ROUND(MAX($J734*1.4*1.5*1.6*1.6*2.2*2.715*2.6*1.4*1.4,8430000000*(1.651435^(MIN($E734,123)-117)))*1,0))</f>
        <v>5104651409</v>
      </c>
      <c r="AC734" s="4">
        <f>$E734+21</f>
        <v>137</v>
      </c>
      <c r="AD734" s="8">
        <f>IF($J734=0,0,ROUND(MAX($J734*1.4*1.5*1.6*1.6*2.2*2.715*2.6*1.4*1.4*1.5,12600000000*(1.652953^(MIN($E734,123)-117)))*1,0))</f>
        <v>7622721275</v>
      </c>
      <c r="AE734" s="6">
        <f>$E734+24</f>
        <v>140</v>
      </c>
      <c r="AF734" s="7">
        <f>IF($J734=0,0,ROUND(MAX($J734*1.4*1.5*1.6*1.6*2.2*2.715*2.6*1.4*1.4*1.5*1.5,18900000000*(1.65331^(MIN($E734,123)-117)))*1,0))</f>
        <v>11431612946</v>
      </c>
      <c r="AG734" s="4">
        <f>$E734+27</f>
        <v>143</v>
      </c>
      <c r="AH734" s="8">
        <f>IF($J734=0,0,ROUND(MAX($J734*1.4*1.5*1.6*1.6*2.2*2.715*2.6*1.4*1.4*1.5*1.5*3.2,60500000000*(1.654288^(MIN($E734,123)-117)))*1,0))</f>
        <v>36571624772</v>
      </c>
    </row>
    <row r="735" ht="27.75" customHeight="1" spans="1:34" x14ac:dyDescent="0.25">
      <c r="A735" s="3">
        <v>745</v>
      </c>
      <c r="B735" s="3" t="s">
        <v>665</v>
      </c>
      <c r="C735" s="3" t="s">
        <v>641</v>
      </c>
      <c r="D735" s="3" t="s">
        <v>40</v>
      </c>
      <c r="E735" s="3">
        <v>115</v>
      </c>
      <c r="F735" s="3" t="s">
        <v>431</v>
      </c>
      <c r="G735" s="3" t="s">
        <v>431</v>
      </c>
      <c r="H735" s="3">
        <v>28</v>
      </c>
      <c r="I735" s="4">
        <v>115</v>
      </c>
      <c r="J735" s="5">
        <v>604000</v>
      </c>
      <c r="K735" s="6">
        <f>$E735+1</f>
        <v>116</v>
      </c>
      <c r="L735" s="7">
        <f>IF($J735=0,0,ROUND(MAX($J735*1.4,1620000*(1.497923^(MIN($E735,123)-117)))*1,0))</f>
        <v>845600</v>
      </c>
      <c r="M735" s="4">
        <f>$E735+2</f>
        <v>117</v>
      </c>
      <c r="N735" s="8">
        <f>IF($J735=0,0,ROUND(MAX($J735*1.4*1.5,2190000*(1.580994^(MIN($E735,123)-117)))*1,0))</f>
        <v>1268400</v>
      </c>
      <c r="O735" s="6">
        <f>$E735+4</f>
        <v>119</v>
      </c>
      <c r="P735" s="7">
        <f>IF($J735=0,0,ROUND(MAX($J735*1.4*1.5*1.6,3500000*(1.57975^(MIN($E735,123)-117)))*1,0))</f>
        <v>2029440</v>
      </c>
      <c r="Q735" s="4">
        <f>$E735+6</f>
        <v>121</v>
      </c>
      <c r="R735" s="8">
        <f>IF($J735=0,0,ROUND(MAX($J735*1.4*1.5*1.6*1.6,13100000*(1.429962^(MIN($E735,123)-117)))*1,0))</f>
        <v>6406522</v>
      </c>
      <c r="S735" s="6">
        <f>$E735+8</f>
        <v>123</v>
      </c>
      <c r="T735" s="7">
        <f>IF($J735=0,0,ROUND(MAX($J735*1.4*1.5*1.6*1.6*2.2,42600000*(1.576904^(MIN($E735,123)-117)))*1,0))</f>
        <v>17131646</v>
      </c>
      <c r="U735" s="4">
        <f>$E735+11</f>
        <v>126</v>
      </c>
      <c r="V735" s="8">
        <f>IF($J735=0,0,ROUND(MAX($J735*1.4*1.5*1.6*1.6*2.2*2.715,354000000*(1.642074^(MIN($E735,123)-117)))*1,0))</f>
        <v>131285817</v>
      </c>
      <c r="W735" s="6">
        <f>$E735+15</f>
        <v>130</v>
      </c>
      <c r="X735" s="7">
        <f>IF($J735=0,0,ROUND(MAX($J735*1.4*1.5*1.6*1.6*2.2*2.715*2.6,3540000000*(1.579646^(MIN($E735,123)-117)))*1,0))</f>
        <v>1418677620</v>
      </c>
      <c r="Y735" s="4">
        <f>$E735+17</f>
        <v>132</v>
      </c>
      <c r="Z735" s="8">
        <f>IF($J735=0,0,ROUND(MAX($J735*1.4*1.5*1.6*1.6*2.2*2.715*2.6*1.4,6020000000*(1.651178^(MIN($E735,123)-117)))*1,0))</f>
        <v>2208048987</v>
      </c>
      <c r="AA735" s="6">
        <f>$E735+19</f>
        <v>134</v>
      </c>
      <c r="AB735" s="7">
        <f>IF($J735=0,0,ROUND(MAX($J735*1.4*1.5*1.6*1.6*2.2*2.715*2.6*1.4*1.4,8430000000*(1.651435^(MIN($E735,123)-117)))*1,0))</f>
        <v>3091039859</v>
      </c>
      <c r="AC735" s="4">
        <f>$E735+21</f>
        <v>136</v>
      </c>
      <c r="AD735" s="8">
        <f>IF($J735=0,0,ROUND(MAX($J735*1.4*1.5*1.6*1.6*2.2*2.715*2.6*1.4*1.4*1.5,12600000000*(1.652953^(MIN($E735,123)-117)))*1,0))</f>
        <v>4611577749</v>
      </c>
      <c r="AE735" s="6">
        <f>$E735+24</f>
        <v>139</v>
      </c>
      <c r="AF735" s="7">
        <f>IF($J735=0,0,ROUND(MAX($J735*1.4*1.5*1.6*1.6*2.2*2.715*2.6*1.4*1.4*1.5*1.5,18900000000*(1.65331^(MIN($E735,123)-117)))*1,0))</f>
        <v>6914379606</v>
      </c>
      <c r="AG735" s="4">
        <f>$E735+27</f>
        <v>142</v>
      </c>
      <c r="AH735" s="8">
        <f>IF($J735=0,0,ROUND(MAX($J735*1.4*1.5*1.6*1.6*2.2*2.715*2.6*1.4*1.4*1.5*1.5*3.2,60500000000*(1.654288^(MIN($E735,123)-117)))*1,0))</f>
        <v>22107169230</v>
      </c>
    </row>
    <row r="736" ht="27.75" customHeight="1" spans="1:34" x14ac:dyDescent="0.25">
      <c r="A736" s="3">
        <v>746</v>
      </c>
      <c r="B736" s="3" t="s">
        <v>666</v>
      </c>
      <c r="C736" s="3" t="s">
        <v>641</v>
      </c>
      <c r="D736" s="3" t="s">
        <v>25</v>
      </c>
      <c r="E736" s="3">
        <v>115</v>
      </c>
      <c r="F736" s="3" t="s">
        <v>431</v>
      </c>
      <c r="G736" s="3" t="s">
        <v>431</v>
      </c>
      <c r="H736" s="3">
        <v>28</v>
      </c>
      <c r="I736" s="4">
        <v>115</v>
      </c>
      <c r="J736" s="5">
        <v>804000</v>
      </c>
      <c r="K736" s="6">
        <f>$E736+1</f>
        <v>116</v>
      </c>
      <c r="L736" s="7">
        <f>IF($J736=0,0,ROUND(MAX($J736*1.4,1620000*(1.497923^(MIN($E736,123)-117)))*1,0))</f>
        <v>1125600</v>
      </c>
      <c r="M736" s="4">
        <f>$E736+2</f>
        <v>117</v>
      </c>
      <c r="N736" s="8">
        <f>IF($J736=0,0,ROUND(MAX($J736*1.4*1.5,2190000*(1.580994^(MIN($E736,123)-117)))*1,0))</f>
        <v>1688400</v>
      </c>
      <c r="O736" s="6">
        <f>$E736+4</f>
        <v>119</v>
      </c>
      <c r="P736" s="7">
        <f>IF($J736=0,0,ROUND(MAX($J736*1.4*1.5*1.6,3500000*(1.57975^(MIN($E736,123)-117)))*1,0))</f>
        <v>2701440</v>
      </c>
      <c r="Q736" s="4">
        <f>$E736+6</f>
        <v>121</v>
      </c>
      <c r="R736" s="8">
        <f>IF($J736=0,0,ROUND(MAX($J736*1.4*1.5*1.6*1.6,13100000*(1.429962^(MIN($E736,123)-117)))*1,0))</f>
        <v>6406522</v>
      </c>
      <c r="S736" s="6">
        <f>$E736+8</f>
        <v>123</v>
      </c>
      <c r="T736" s="7">
        <f>IF($J736=0,0,ROUND(MAX($J736*1.4*1.5*1.6*1.6*2.2,42600000*(1.576904^(MIN($E736,123)-117)))*1,0))</f>
        <v>17131646</v>
      </c>
      <c r="U736" s="4">
        <f>$E736+11</f>
        <v>126</v>
      </c>
      <c r="V736" s="8">
        <f>IF($J736=0,0,ROUND(MAX($J736*1.4*1.5*1.6*1.6*2.2*2.715,354000000*(1.642074^(MIN($E736,123)-117)))*1,0))</f>
        <v>131285817</v>
      </c>
      <c r="W736" s="6">
        <f>$E736+15</f>
        <v>130</v>
      </c>
      <c r="X736" s="7">
        <f>IF($J736=0,0,ROUND(MAX($J736*1.4*1.5*1.6*1.6*2.2*2.715*2.6,3540000000*(1.579646^(MIN($E736,123)-117)))*1,0))</f>
        <v>1418677620</v>
      </c>
      <c r="Y736" s="4">
        <f>$E736+17</f>
        <v>132</v>
      </c>
      <c r="Z736" s="8">
        <f>IF($J736=0,0,ROUND(MAX($J736*1.4*1.5*1.6*1.6*2.2*2.715*2.6*1.4,6020000000*(1.651178^(MIN($E736,123)-117)))*1,0))</f>
        <v>2208048987</v>
      </c>
      <c r="AA736" s="6">
        <f>$E736+19</f>
        <v>134</v>
      </c>
      <c r="AB736" s="7">
        <f>IF($J736=0,0,ROUND(MAX($J736*1.4*1.5*1.6*1.6*2.2*2.715*2.6*1.4*1.4,8430000000*(1.651435^(MIN($E736,123)-117)))*1,0))</f>
        <v>3091039859</v>
      </c>
      <c r="AC736" s="4">
        <f>$E736+21</f>
        <v>136</v>
      </c>
      <c r="AD736" s="8">
        <f>IF($J736=0,0,ROUND(MAX($J736*1.4*1.5*1.6*1.6*2.2*2.715*2.6*1.4*1.4*1.5,12600000000*(1.652953^(MIN($E736,123)-117)))*1,0))</f>
        <v>4611577749</v>
      </c>
      <c r="AE736" s="6">
        <f>$E736+24</f>
        <v>139</v>
      </c>
      <c r="AF736" s="7">
        <f>IF($J736=0,0,ROUND(MAX($J736*1.4*1.5*1.6*1.6*2.2*2.715*2.6*1.4*1.4*1.5*1.5,18900000000*(1.65331^(MIN($E736,123)-117)))*1,0))</f>
        <v>6914379606</v>
      </c>
      <c r="AG736" s="4">
        <f>$E736+27</f>
        <v>142</v>
      </c>
      <c r="AH736" s="8">
        <f>IF($J736=0,0,ROUND(MAX($J736*1.4*1.5*1.6*1.6*2.2*2.715*2.6*1.4*1.4*1.5*1.5*3.2,60500000000*(1.654288^(MIN($E736,123)-117)))*1,0))</f>
        <v>22107169230</v>
      </c>
    </row>
    <row r="737" ht="27.75" customHeight="1" spans="1:34" x14ac:dyDescent="0.25">
      <c r="A737" s="3">
        <v>747</v>
      </c>
      <c r="B737" s="3" t="s">
        <v>193</v>
      </c>
      <c r="C737" s="3" t="s">
        <v>641</v>
      </c>
      <c r="D737" s="3" t="s">
        <v>45</v>
      </c>
      <c r="E737" s="3">
        <v>115</v>
      </c>
      <c r="F737" s="3" t="s">
        <v>194</v>
      </c>
      <c r="G737" s="3" t="s">
        <v>194</v>
      </c>
      <c r="H737" s="3">
        <v>28</v>
      </c>
      <c r="I737" s="4">
        <v>115</v>
      </c>
      <c r="J737" s="5">
        <v>661000</v>
      </c>
      <c r="K737" s="6">
        <f>$E737+1</f>
        <v>116</v>
      </c>
      <c r="L737" s="7">
        <f>IF($J737=0,0,ROUND(MAX($J737*1.4,1620000*(1.497923^(MIN($E737,123)-117)))*1,0))</f>
        <v>925400</v>
      </c>
      <c r="M737" s="4">
        <f>$E737+2</f>
        <v>117</v>
      </c>
      <c r="N737" s="8">
        <f>IF($J737=0,0,ROUND(MAX($J737*1.4*1.5,2190000*(1.580994^(MIN($E737,123)-117)))*1,0))</f>
        <v>1388100</v>
      </c>
      <c r="O737" s="6">
        <f>$E737+4</f>
        <v>119</v>
      </c>
      <c r="P737" s="7">
        <f>IF($J737=0,0,ROUND(MAX($J737*1.4*1.5*1.6,3500000*(1.57975^(MIN($E737,123)-117)))*1,0))</f>
        <v>2220960</v>
      </c>
      <c r="Q737" s="4">
        <f>$E737+6</f>
        <v>121</v>
      </c>
      <c r="R737" s="8">
        <f>IF($J737=0,0,ROUND(MAX($J737*1.4*1.5*1.6*1.6,13100000*(1.429962^(MIN($E737,123)-117)))*1,0))</f>
        <v>6406522</v>
      </c>
      <c r="S737" s="6">
        <f>$E737+8</f>
        <v>123</v>
      </c>
      <c r="T737" s="7">
        <f>IF($J737=0,0,ROUND(MAX($J737*1.4*1.5*1.6*1.6*2.2,42600000*(1.576904^(MIN($E737,123)-117)))*1,0))</f>
        <v>17131646</v>
      </c>
      <c r="U737" s="4">
        <f>$E737+11</f>
        <v>126</v>
      </c>
      <c r="V737" s="8">
        <f>IF($J737=0,0,ROUND(MAX($J737*1.4*1.5*1.6*1.6*2.2*2.715,354000000*(1.642074^(MIN($E737,123)-117)))*1,0))</f>
        <v>131285817</v>
      </c>
      <c r="W737" s="6">
        <f>$E737+15</f>
        <v>130</v>
      </c>
      <c r="X737" s="7">
        <f>IF($J737=0,0,ROUND(MAX($J737*1.4*1.5*1.6*1.6*2.2*2.715*2.6,3540000000*(1.579646^(MIN($E737,123)-117)))*1,0))</f>
        <v>1418677620</v>
      </c>
      <c r="Y737" s="4">
        <f>$E737+17</f>
        <v>132</v>
      </c>
      <c r="Z737" s="8">
        <f>IF($J737=0,0,ROUND(MAX($J737*1.4*1.5*1.6*1.6*2.2*2.715*2.6*1.4,6020000000*(1.651178^(MIN($E737,123)-117)))*1,0))</f>
        <v>2208048987</v>
      </c>
      <c r="AA737" s="6">
        <f>$E737+19</f>
        <v>134</v>
      </c>
      <c r="AB737" s="7">
        <f>IF($J737=0,0,ROUND(MAX($J737*1.4*1.5*1.6*1.6*2.2*2.715*2.6*1.4*1.4,8430000000*(1.651435^(MIN($E737,123)-117)))*1,0))</f>
        <v>3091039859</v>
      </c>
      <c r="AC737" s="4">
        <f>$E737+21</f>
        <v>136</v>
      </c>
      <c r="AD737" s="8">
        <f>IF($J737=0,0,ROUND(MAX($J737*1.4*1.5*1.6*1.6*2.2*2.715*2.6*1.4*1.4*1.5,12600000000*(1.652953^(MIN($E737,123)-117)))*1,0))</f>
        <v>4611577749</v>
      </c>
      <c r="AE737" s="6">
        <f>$E737+24</f>
        <v>139</v>
      </c>
      <c r="AF737" s="7">
        <f>IF($J737=0,0,ROUND(MAX($J737*1.4*1.5*1.6*1.6*2.2*2.715*2.6*1.4*1.4*1.5*1.5,18900000000*(1.65331^(MIN($E737,123)-117)))*1,0))</f>
        <v>6914379606</v>
      </c>
      <c r="AG737" s="4">
        <f>$E737+27</f>
        <v>142</v>
      </c>
      <c r="AH737" s="8">
        <f>IF($J737=0,0,ROUND(MAX($J737*1.4*1.5*1.6*1.6*2.2*2.715*2.6*1.4*1.4*1.5*1.5*3.2,60500000000*(1.654288^(MIN($E737,123)-117)))*1,0))</f>
        <v>22107169230</v>
      </c>
    </row>
    <row r="738" ht="27.75" customHeight="1" spans="1:34" x14ac:dyDescent="0.25">
      <c r="A738" s="3">
        <v>748</v>
      </c>
      <c r="B738" s="3" t="s">
        <v>667</v>
      </c>
      <c r="C738" s="3" t="s">
        <v>641</v>
      </c>
      <c r="D738" s="3" t="s">
        <v>165</v>
      </c>
      <c r="E738" s="3">
        <v>115</v>
      </c>
      <c r="F738" s="3" t="s">
        <v>383</v>
      </c>
      <c r="G738" s="3" t="s">
        <v>383</v>
      </c>
      <c r="H738" s="3">
        <v>28</v>
      </c>
      <c r="I738" s="4">
        <v>115</v>
      </c>
      <c r="J738" s="5">
        <v>613000</v>
      </c>
      <c r="K738" s="6">
        <f>$E738+1</f>
        <v>116</v>
      </c>
      <c r="L738" s="7">
        <f>IF($J738=0,0,ROUND(MAX($J738*1.4,1620000*(1.497923^(MIN($E738,123)-117)))*1,0))</f>
        <v>858200</v>
      </c>
      <c r="M738" s="4">
        <f>$E738+2</f>
        <v>117</v>
      </c>
      <c r="N738" s="8">
        <f>IF($J738=0,0,ROUND(MAX($J738*1.4*1.5,2190000*(1.580994^(MIN($E738,123)-117)))*1,0))</f>
        <v>1287300</v>
      </c>
      <c r="O738" s="6">
        <f>$E738+4</f>
        <v>119</v>
      </c>
      <c r="P738" s="7">
        <f>IF($J738=0,0,ROUND(MAX($J738*1.4*1.5*1.6,3500000*(1.57975^(MIN($E738,123)-117)))*1,0))</f>
        <v>2059680</v>
      </c>
      <c r="Q738" s="4">
        <f>$E738+6</f>
        <v>121</v>
      </c>
      <c r="R738" s="8">
        <f>IF($J738=0,0,ROUND(MAX($J738*1.4*1.5*1.6*1.6,13100000*(1.429962^(MIN($E738,123)-117)))*1,0))</f>
        <v>6406522</v>
      </c>
      <c r="S738" s="6">
        <f>$E738+8</f>
        <v>123</v>
      </c>
      <c r="T738" s="7">
        <f>IF($J738=0,0,ROUND(MAX($J738*1.4*1.5*1.6*1.6*2.2,42600000*(1.576904^(MIN($E738,123)-117)))*1,0))</f>
        <v>17131646</v>
      </c>
      <c r="U738" s="4">
        <f>$E738+11</f>
        <v>126</v>
      </c>
      <c r="V738" s="8">
        <f>IF($J738=0,0,ROUND(MAX($J738*1.4*1.5*1.6*1.6*2.2*2.715,354000000*(1.642074^(MIN($E738,123)-117)))*1,0))</f>
        <v>131285817</v>
      </c>
      <c r="W738" s="6">
        <f>$E738+15</f>
        <v>130</v>
      </c>
      <c r="X738" s="7">
        <f>IF($J738=0,0,ROUND(MAX($J738*1.4*1.5*1.6*1.6*2.2*2.715*2.6,3540000000*(1.579646^(MIN($E738,123)-117)))*1,0))</f>
        <v>1418677620</v>
      </c>
      <c r="Y738" s="4">
        <f>$E738+17</f>
        <v>132</v>
      </c>
      <c r="Z738" s="8">
        <f>IF($J738=0,0,ROUND(MAX($J738*1.4*1.5*1.6*1.6*2.2*2.715*2.6*1.4,6020000000*(1.651178^(MIN($E738,123)-117)))*1,0))</f>
        <v>2208048987</v>
      </c>
      <c r="AA738" s="6">
        <f>$E738+19</f>
        <v>134</v>
      </c>
      <c r="AB738" s="7">
        <f>IF($J738=0,0,ROUND(MAX($J738*1.4*1.5*1.6*1.6*2.2*2.715*2.6*1.4*1.4,8430000000*(1.651435^(MIN($E738,123)-117)))*1,0))</f>
        <v>3091039859</v>
      </c>
      <c r="AC738" s="4">
        <f>$E738+21</f>
        <v>136</v>
      </c>
      <c r="AD738" s="8">
        <f>IF($J738=0,0,ROUND(MAX($J738*1.4*1.5*1.6*1.6*2.2*2.715*2.6*1.4*1.4*1.5,12600000000*(1.652953^(MIN($E738,123)-117)))*1,0))</f>
        <v>4611577749</v>
      </c>
      <c r="AE738" s="6">
        <f>$E738+24</f>
        <v>139</v>
      </c>
      <c r="AF738" s="7">
        <f>IF($J738=0,0,ROUND(MAX($J738*1.4*1.5*1.6*1.6*2.2*2.715*2.6*1.4*1.4*1.5*1.5,18900000000*(1.65331^(MIN($E738,123)-117)))*1,0))</f>
        <v>6914379606</v>
      </c>
      <c r="AG738" s="4">
        <f>$E738+27</f>
        <v>142</v>
      </c>
      <c r="AH738" s="8">
        <f>IF($J738=0,0,ROUND(MAX($J738*1.4*1.5*1.6*1.6*2.2*2.715*2.6*1.4*1.4*1.5*1.5*3.2,60500000000*(1.654288^(MIN($E738,123)-117)))*1,0))</f>
        <v>22107169230</v>
      </c>
    </row>
    <row r="739" ht="27.75" customHeight="1" spans="1:34" x14ac:dyDescent="0.25">
      <c r="A739" s="3">
        <v>749</v>
      </c>
      <c r="B739" s="3" t="s">
        <v>112</v>
      </c>
      <c r="C739" s="3" t="s">
        <v>641</v>
      </c>
      <c r="D739" s="3" t="s">
        <v>40</v>
      </c>
      <c r="E739" s="3">
        <v>115</v>
      </c>
      <c r="F739" s="3" t="s">
        <v>42</v>
      </c>
      <c r="G739" s="3" t="s">
        <v>42</v>
      </c>
      <c r="H739" s="3">
        <v>28</v>
      </c>
      <c r="I739" s="4">
        <v>115</v>
      </c>
      <c r="J739" s="5">
        <v>670000</v>
      </c>
      <c r="K739" s="6">
        <f>$E739+1</f>
        <v>116</v>
      </c>
      <c r="L739" s="7">
        <f>IF($J739=0,0,ROUND(MAX($J739*1.4,1620000*(1.497923^(MIN($E739,123)-117)))*1,0))</f>
        <v>938000</v>
      </c>
      <c r="M739" s="4">
        <f>$E739+2</f>
        <v>117</v>
      </c>
      <c r="N739" s="8">
        <f>IF($J739=0,0,ROUND(MAX($J739*1.4*1.5,2190000*(1.580994^(MIN($E739,123)-117)))*1,0))</f>
        <v>1407000</v>
      </c>
      <c r="O739" s="6">
        <f>$E739+4</f>
        <v>119</v>
      </c>
      <c r="P739" s="7">
        <f>IF($J739=0,0,ROUND(MAX($J739*1.4*1.5*1.6,3500000*(1.57975^(MIN($E739,123)-117)))*1,0))</f>
        <v>2251200</v>
      </c>
      <c r="Q739" s="4">
        <f>$E739+6</f>
        <v>121</v>
      </c>
      <c r="R739" s="8">
        <f>IF($J739=0,0,ROUND(MAX($J739*1.4*1.5*1.6*1.6,13100000*(1.429962^(MIN($E739,123)-117)))*1,0))</f>
        <v>6406522</v>
      </c>
      <c r="S739" s="6">
        <f>$E739+8</f>
        <v>123</v>
      </c>
      <c r="T739" s="7">
        <f>IF($J739=0,0,ROUND(MAX($J739*1.4*1.5*1.6*1.6*2.2,42600000*(1.576904^(MIN($E739,123)-117)))*1,0))</f>
        <v>17131646</v>
      </c>
      <c r="U739" s="4">
        <f>$E739+11</f>
        <v>126</v>
      </c>
      <c r="V739" s="8">
        <f>IF($J739=0,0,ROUND(MAX($J739*1.4*1.5*1.6*1.6*2.2*2.715,354000000*(1.642074^(MIN($E739,123)-117)))*1,0))</f>
        <v>131285817</v>
      </c>
      <c r="W739" s="6">
        <f>$E739+15</f>
        <v>130</v>
      </c>
      <c r="X739" s="7">
        <f>IF($J739=0,0,ROUND(MAX($J739*1.4*1.5*1.6*1.6*2.2*2.715*2.6,3540000000*(1.579646^(MIN($E739,123)-117)))*1,0))</f>
        <v>1418677620</v>
      </c>
      <c r="Y739" s="4">
        <f>$E739+17</f>
        <v>132</v>
      </c>
      <c r="Z739" s="8">
        <f>IF($J739=0,0,ROUND(MAX($J739*1.4*1.5*1.6*1.6*2.2*2.715*2.6*1.4,6020000000*(1.651178^(MIN($E739,123)-117)))*1,0))</f>
        <v>2208048987</v>
      </c>
      <c r="AA739" s="6">
        <f>$E739+19</f>
        <v>134</v>
      </c>
      <c r="AB739" s="7">
        <f>IF($J739=0,0,ROUND(MAX($J739*1.4*1.5*1.6*1.6*2.2*2.715*2.6*1.4*1.4,8430000000*(1.651435^(MIN($E739,123)-117)))*1,0))</f>
        <v>3091039859</v>
      </c>
      <c r="AC739" s="4">
        <f>$E739+21</f>
        <v>136</v>
      </c>
      <c r="AD739" s="8">
        <f>IF($J739=0,0,ROUND(MAX($J739*1.4*1.5*1.6*1.6*2.2*2.715*2.6*1.4*1.4*1.5,12600000000*(1.652953^(MIN($E739,123)-117)))*1,0))</f>
        <v>4611577749</v>
      </c>
      <c r="AE739" s="6">
        <f>$E739+24</f>
        <v>139</v>
      </c>
      <c r="AF739" s="7">
        <f>IF($J739=0,0,ROUND(MAX($J739*1.4*1.5*1.6*1.6*2.2*2.715*2.6*1.4*1.4*1.5*1.5,18900000000*(1.65331^(MIN($E739,123)-117)))*1,0))</f>
        <v>6914379606</v>
      </c>
      <c r="AG739" s="4">
        <f>$E739+27</f>
        <v>142</v>
      </c>
      <c r="AH739" s="8">
        <f>IF($J739=0,0,ROUND(MAX($J739*1.4*1.5*1.6*1.6*2.2*2.715*2.6*1.4*1.4*1.5*1.5*3.2,60500000000*(1.654288^(MIN($E739,123)-117)))*1,0))</f>
        <v>22107169230</v>
      </c>
    </row>
    <row r="740" ht="27.75" customHeight="1" spans="1:34" x14ac:dyDescent="0.25">
      <c r="A740" s="3">
        <v>750</v>
      </c>
      <c r="B740" s="3" t="s">
        <v>216</v>
      </c>
      <c r="C740" s="3" t="s">
        <v>641</v>
      </c>
      <c r="D740" s="3" t="s">
        <v>25</v>
      </c>
      <c r="E740" s="3">
        <v>115</v>
      </c>
      <c r="F740" s="3" t="s">
        <v>217</v>
      </c>
      <c r="G740" s="3" t="s">
        <v>217</v>
      </c>
      <c r="H740" s="3">
        <v>28</v>
      </c>
      <c r="I740" s="4">
        <v>115</v>
      </c>
      <c r="J740" s="5">
        <v>617000</v>
      </c>
      <c r="K740" s="6">
        <f>$E740+1</f>
        <v>116</v>
      </c>
      <c r="L740" s="7">
        <f>IF($J740=0,0,ROUND(MAX($J740*1.4,1620000*(1.497923^(MIN($E740,123)-117)))*1,0))</f>
        <v>863800</v>
      </c>
      <c r="M740" s="4">
        <f>$E740+2</f>
        <v>117</v>
      </c>
      <c r="N740" s="8">
        <f>IF($J740=0,0,ROUND(MAX($J740*1.4*1.5,2190000*(1.580994^(MIN($E740,123)-117)))*1,0))</f>
        <v>1295700</v>
      </c>
      <c r="O740" s="6">
        <f>$E740+4</f>
        <v>119</v>
      </c>
      <c r="P740" s="7">
        <f>IF($J740=0,0,ROUND(MAX($J740*1.4*1.5*1.6,3500000*(1.57975^(MIN($E740,123)-117)))*1,0))</f>
        <v>2073120</v>
      </c>
      <c r="Q740" s="4">
        <f>$E740+6</f>
        <v>121</v>
      </c>
      <c r="R740" s="8">
        <f>IF($J740=0,0,ROUND(MAX($J740*1.4*1.5*1.6*1.6,13100000*(1.429962^(MIN($E740,123)-117)))*1,0))</f>
        <v>6406522</v>
      </c>
      <c r="S740" s="6">
        <f>$E740+8</f>
        <v>123</v>
      </c>
      <c r="T740" s="7">
        <f>IF($J740=0,0,ROUND(MAX($J740*1.4*1.5*1.6*1.6*2.2,42600000*(1.576904^(MIN($E740,123)-117)))*1,0))</f>
        <v>17131646</v>
      </c>
      <c r="U740" s="4">
        <f>$E740+11</f>
        <v>126</v>
      </c>
      <c r="V740" s="8">
        <f>IF($J740=0,0,ROUND(MAX($J740*1.4*1.5*1.6*1.6*2.2*2.715,354000000*(1.642074^(MIN($E740,123)-117)))*1,0))</f>
        <v>131285817</v>
      </c>
      <c r="W740" s="6">
        <f>$E740+15</f>
        <v>130</v>
      </c>
      <c r="X740" s="7">
        <f>IF($J740=0,0,ROUND(MAX($J740*1.4*1.5*1.6*1.6*2.2*2.715*2.6,3540000000*(1.579646^(MIN($E740,123)-117)))*1,0))</f>
        <v>1418677620</v>
      </c>
      <c r="Y740" s="4">
        <f>$E740+17</f>
        <v>132</v>
      </c>
      <c r="Z740" s="8">
        <f>IF($J740=0,0,ROUND(MAX($J740*1.4*1.5*1.6*1.6*2.2*2.715*2.6*1.4,6020000000*(1.651178^(MIN($E740,123)-117)))*1,0))</f>
        <v>2208048987</v>
      </c>
      <c r="AA740" s="6">
        <f>$E740+19</f>
        <v>134</v>
      </c>
      <c r="AB740" s="7">
        <f>IF($J740=0,0,ROUND(MAX($J740*1.4*1.5*1.6*1.6*2.2*2.715*2.6*1.4*1.4,8430000000*(1.651435^(MIN($E740,123)-117)))*1,0))</f>
        <v>3091039859</v>
      </c>
      <c r="AC740" s="4">
        <f>$E740+21</f>
        <v>136</v>
      </c>
      <c r="AD740" s="8">
        <f>IF($J740=0,0,ROUND(MAX($J740*1.4*1.5*1.6*1.6*2.2*2.715*2.6*1.4*1.4*1.5,12600000000*(1.652953^(MIN($E740,123)-117)))*1,0))</f>
        <v>4611577749</v>
      </c>
      <c r="AE740" s="6">
        <f>$E740+24</f>
        <v>139</v>
      </c>
      <c r="AF740" s="7">
        <f>IF($J740=0,0,ROUND(MAX($J740*1.4*1.5*1.6*1.6*2.2*2.715*2.6*1.4*1.4*1.5*1.5,18900000000*(1.65331^(MIN($E740,123)-117)))*1,0))</f>
        <v>6914379606</v>
      </c>
      <c r="AG740" s="4">
        <f>$E740+27</f>
        <v>142</v>
      </c>
      <c r="AH740" s="8">
        <f>IF($J740=0,0,ROUND(MAX($J740*1.4*1.5*1.6*1.6*2.2*2.715*2.6*1.4*1.4*1.5*1.5*3.2,60500000000*(1.654288^(MIN($E740,123)-117)))*1,0))</f>
        <v>22107169230</v>
      </c>
    </row>
    <row r="741" ht="27.75" customHeight="1" spans="1:34" x14ac:dyDescent="0.25">
      <c r="A741" s="3">
        <v>751</v>
      </c>
      <c r="B741" s="3" t="s">
        <v>668</v>
      </c>
      <c r="C741" s="3" t="s">
        <v>641</v>
      </c>
      <c r="D741" s="3" t="s">
        <v>47</v>
      </c>
      <c r="E741" s="3">
        <v>115</v>
      </c>
      <c r="F741" s="3" t="s">
        <v>108</v>
      </c>
      <c r="G741" s="3" t="s">
        <v>108</v>
      </c>
      <c r="H741" s="3">
        <v>24</v>
      </c>
      <c r="I741" s="4">
        <v>115</v>
      </c>
      <c r="J741" s="5">
        <v>574000</v>
      </c>
      <c r="K741" s="6">
        <f>$E741+1</f>
        <v>116</v>
      </c>
      <c r="L741" s="7">
        <f>IF($J741=0,0,ROUND(MAX($J741*1.4,1620000*(1.497923^(MIN($E741,123)-117)))*1,0))</f>
        <v>803600</v>
      </c>
      <c r="M741" s="4">
        <f>$E741+2</f>
        <v>117</v>
      </c>
      <c r="N741" s="8">
        <f>IF($J741=0,0,ROUND(MAX($J741*1.4*1.5,2190000*(1.580994^(MIN($E741,123)-117)))*1,0))</f>
        <v>1205400</v>
      </c>
      <c r="O741" s="6">
        <f>$E741+4</f>
        <v>119</v>
      </c>
      <c r="P741" s="7">
        <f>IF($J741=0,0,ROUND(MAX($J741*1.4*1.5*1.6,3500000*(1.57975^(MIN($E741,123)-117)))*1,0))</f>
        <v>1928640</v>
      </c>
      <c r="Q741" s="4">
        <f>$E741+6</f>
        <v>121</v>
      </c>
      <c r="R741" s="8">
        <f>IF($J741=0,0,ROUND(MAX($J741*1.4*1.5*1.6*1.6,13100000*(1.429962^(MIN($E741,123)-117)))*1,0))</f>
        <v>6406522</v>
      </c>
      <c r="S741" s="6">
        <f>$E741+8</f>
        <v>123</v>
      </c>
      <c r="T741" s="7">
        <f>IF($J741=0,0,ROUND(MAX($J741*1.4*1.5*1.6*1.6*2.2,42600000*(1.576904^(MIN($E741,123)-117)))*1,0))</f>
        <v>17131646</v>
      </c>
      <c r="U741" s="4">
        <f>$E741+11</f>
        <v>126</v>
      </c>
      <c r="V741" s="8">
        <f>IF($J741=0,0,ROUND(MAX($J741*1.4*1.5*1.6*1.6*2.2*2.715,354000000*(1.642074^(MIN($E741,123)-117)))*1,0))</f>
        <v>131285817</v>
      </c>
      <c r="W741" s="6">
        <f>$E741+15</f>
        <v>130</v>
      </c>
      <c r="X741" s="7">
        <f>IF($J741=0,0,ROUND(MAX($J741*1.4*1.5*1.6*1.6*2.2*2.715*2.6,3540000000*(1.579646^(MIN($E741,123)-117)))*1,0))</f>
        <v>1418677620</v>
      </c>
      <c r="Y741" s="4">
        <f>$E741+17</f>
        <v>132</v>
      </c>
      <c r="Z741" s="8">
        <f>IF($J741=0,0,ROUND(MAX($J741*1.4*1.5*1.6*1.6*2.2*2.715*2.6*1.4,6020000000*(1.651178^(MIN($E741,123)-117)))*1,0))</f>
        <v>2208048987</v>
      </c>
      <c r="AA741" s="6">
        <f>$E741+19</f>
        <v>134</v>
      </c>
      <c r="AB741" s="7">
        <f>IF($J741=0,0,ROUND(MAX($J741*1.4*1.5*1.6*1.6*2.2*2.715*2.6*1.4*1.4,8430000000*(1.651435^(MIN($E741,123)-117)))*1,0))</f>
        <v>3091039859</v>
      </c>
      <c r="AC741" s="4">
        <f>$E741+21</f>
        <v>136</v>
      </c>
      <c r="AD741" s="8">
        <f>IF($J741=0,0,ROUND(MAX($J741*1.4*1.5*1.6*1.6*2.2*2.715*2.6*1.4*1.4*1.5,12600000000*(1.652953^(MIN($E741,123)-117)))*1,0))</f>
        <v>4611577749</v>
      </c>
      <c r="AE741" s="6">
        <f>$E741+24</f>
        <v>139</v>
      </c>
      <c r="AF741" s="7">
        <f>IF($J741=0,0,ROUND(MAX($J741*1.4*1.5*1.6*1.6*2.2*2.715*2.6*1.4*1.4*1.5*1.5,18900000000*(1.65331^(MIN($E741,123)-117)))*1,0))</f>
        <v>6914379606</v>
      </c>
      <c r="AG741" s="4">
        <f>$E741+27</f>
        <v>142</v>
      </c>
      <c r="AH741" s="8">
        <f>IF($J741=0,0,ROUND(MAX($J741*1.4*1.5*1.6*1.6*2.2*2.715*2.6*1.4*1.4*1.5*1.5*3.2,60500000000*(1.654288^(MIN($E741,123)-117)))*1,0))</f>
        <v>22107169230</v>
      </c>
    </row>
    <row r="742" ht="27.75" customHeight="1" spans="1:34" x14ac:dyDescent="0.25">
      <c r="A742" s="3">
        <v>752</v>
      </c>
      <c r="B742" s="3" t="s">
        <v>119</v>
      </c>
      <c r="C742" s="3" t="s">
        <v>641</v>
      </c>
      <c r="D742" s="3" t="s">
        <v>40</v>
      </c>
      <c r="E742" s="3">
        <v>114</v>
      </c>
      <c r="F742" s="3" t="s">
        <v>120</v>
      </c>
      <c r="G742" s="3" t="s">
        <v>120</v>
      </c>
      <c r="H742" s="3">
        <v>29</v>
      </c>
      <c r="I742" s="4">
        <v>114</v>
      </c>
      <c r="J742" s="5">
        <v>548000</v>
      </c>
      <c r="K742" s="6">
        <f>$E742+1</f>
        <v>115</v>
      </c>
      <c r="L742" s="7">
        <f>IF($J742=0,0,ROUND(MAX($J742*1.4,1620000*(1.497923^(MIN($E742,123)-117)))*1,0))</f>
        <v>767200</v>
      </c>
      <c r="M742" s="4">
        <f>$E742+2</f>
        <v>116</v>
      </c>
      <c r="N742" s="8">
        <f>IF($J742=0,0,ROUND(MAX($J742*1.4*1.5,2190000*(1.580994^(MIN($E742,123)-117)))*1,0))</f>
        <v>1150800</v>
      </c>
      <c r="O742" s="6">
        <f>$E742+4</f>
        <v>118</v>
      </c>
      <c r="P742" s="7">
        <f>IF($J742=0,0,ROUND(MAX($J742*1.4*1.5*1.6,3500000*(1.57975^(MIN($E742,123)-117)))*1,0))</f>
        <v>1841280</v>
      </c>
      <c r="Q742" s="4">
        <f>$E742+6</f>
        <v>120</v>
      </c>
      <c r="R742" s="8">
        <f>IF($J742=0,0,ROUND(MAX($J742*1.4*1.5*1.6*1.6,13100000*(1.429962^(MIN($E742,123)-117)))*1,0))</f>
        <v>4480204</v>
      </c>
      <c r="S742" s="6">
        <f>$E742+8</f>
        <v>122</v>
      </c>
      <c r="T742" s="7">
        <f>IF($J742=0,0,ROUND(MAX($J742*1.4*1.5*1.6*1.6*2.2,42600000*(1.576904^(MIN($E742,123)-117)))*1,0))</f>
        <v>10864102</v>
      </c>
      <c r="U742" s="4">
        <f>$E742+11</f>
        <v>125</v>
      </c>
      <c r="V742" s="8">
        <f>IF($J742=0,0,ROUND(MAX($J742*1.4*1.5*1.6*1.6*2.2*2.715,354000000*(1.642074^(MIN($E742,123)-117)))*1,0))</f>
        <v>79951219</v>
      </c>
      <c r="W742" s="6">
        <f>$E742+15</f>
        <v>129</v>
      </c>
      <c r="X742" s="7">
        <f>IF($J742=0,0,ROUND(MAX($J742*1.4*1.5*1.6*1.6*2.2*2.715*2.6,3540000000*(1.579646^(MIN($E742,123)-117)))*1,0))</f>
        <v>898098448</v>
      </c>
      <c r="Y742" s="4">
        <f>$E742+17</f>
        <v>131</v>
      </c>
      <c r="Z742" s="8">
        <f>IF($J742=0,0,ROUND(MAX($J742*1.4*1.5*1.6*1.6*2.2*2.715*2.6*1.4,6020000000*(1.651178^(MIN($E742,123)-117)))*1,0))</f>
        <v>1337256787</v>
      </c>
      <c r="AA742" s="6">
        <f>$E742+19</f>
        <v>133</v>
      </c>
      <c r="AB742" s="7">
        <f>IF($J742=0,0,ROUND(MAX($J742*1.4*1.5*1.6*1.6*2.2*2.715*2.6*1.4*1.4,8430000000*(1.651435^(MIN($E742,123)-117)))*1,0))</f>
        <v>1871729653</v>
      </c>
      <c r="AC742" s="4">
        <f>$E742+21</f>
        <v>135</v>
      </c>
      <c r="AD742" s="8">
        <f>IF($J742=0,0,ROUND(MAX($J742*1.4*1.5*1.6*1.6*2.2*2.715*2.6*1.4*1.4*1.5,12600000000*(1.652953^(MIN($E742,123)-117)))*1,0))</f>
        <v>2789902525</v>
      </c>
      <c r="AE742" s="6">
        <f>$E742+24</f>
        <v>138</v>
      </c>
      <c r="AF742" s="7">
        <f>IF($J742=0,0,ROUND(MAX($J742*1.4*1.5*1.6*1.6*2.2*2.715*2.6*1.4*1.4*1.5*1.5,18900000000*(1.65331^(MIN($E742,123)-117)))*1,0))</f>
        <v>4182143461</v>
      </c>
      <c r="AG742" s="4">
        <f>$E742+27</f>
        <v>141</v>
      </c>
      <c r="AH742" s="8">
        <f>IF($J742=0,0,ROUND(MAX($J742*1.4*1.5*1.6*1.6*2.2*2.715*2.6*1.4*1.4*1.5*1.5*3.2,60500000000*(1.654288^(MIN($E742,123)-117)))*1,0))</f>
        <v>13363555336</v>
      </c>
    </row>
    <row r="743" ht="27.75" customHeight="1" spans="1:34" x14ac:dyDescent="0.25">
      <c r="A743" s="3">
        <v>753</v>
      </c>
      <c r="B743" s="3" t="s">
        <v>135</v>
      </c>
      <c r="C743" s="3" t="s">
        <v>641</v>
      </c>
      <c r="D743" s="3" t="s">
        <v>29</v>
      </c>
      <c r="E743" s="3">
        <v>114</v>
      </c>
      <c r="F743" s="3" t="s">
        <v>136</v>
      </c>
      <c r="G743" s="3" t="s">
        <v>136</v>
      </c>
      <c r="H743" s="3">
        <v>28</v>
      </c>
      <c r="I743" s="4">
        <v>114</v>
      </c>
      <c r="J743" s="5">
        <v>545000</v>
      </c>
      <c r="K743" s="6">
        <f>$E743+1</f>
        <v>115</v>
      </c>
      <c r="L743" s="7">
        <f>IF($J743=0,0,ROUND(MAX($J743*1.4,1620000*(1.497923^(MIN($E743,123)-117)))*1,0))</f>
        <v>763000</v>
      </c>
      <c r="M743" s="4">
        <f>$E743+2</f>
        <v>116</v>
      </c>
      <c r="N743" s="8">
        <f>IF($J743=0,0,ROUND(MAX($J743*1.4*1.5,2190000*(1.580994^(MIN($E743,123)-117)))*1,0))</f>
        <v>1144500</v>
      </c>
      <c r="O743" s="6">
        <f>$E743+4</f>
        <v>118</v>
      </c>
      <c r="P743" s="7">
        <f>IF($J743=0,0,ROUND(MAX($J743*1.4*1.5*1.6,3500000*(1.57975^(MIN($E743,123)-117)))*1,0))</f>
        <v>1831200</v>
      </c>
      <c r="Q743" s="4">
        <f>$E743+6</f>
        <v>120</v>
      </c>
      <c r="R743" s="8">
        <f>IF($J743=0,0,ROUND(MAX($J743*1.4*1.5*1.6*1.6,13100000*(1.429962^(MIN($E743,123)-117)))*1,0))</f>
        <v>4480204</v>
      </c>
      <c r="S743" s="6">
        <f>$E743+8</f>
        <v>122</v>
      </c>
      <c r="T743" s="7">
        <f>IF($J743=0,0,ROUND(MAX($J743*1.4*1.5*1.6*1.6*2.2,42600000*(1.576904^(MIN($E743,123)-117)))*1,0))</f>
        <v>10864102</v>
      </c>
      <c r="U743" s="4">
        <f>$E743+11</f>
        <v>125</v>
      </c>
      <c r="V743" s="8">
        <f>IF($J743=0,0,ROUND(MAX($J743*1.4*1.5*1.6*1.6*2.2*2.715,354000000*(1.642074^(MIN($E743,123)-117)))*1,0))</f>
        <v>79951219</v>
      </c>
      <c r="W743" s="6">
        <f>$E743+15</f>
        <v>129</v>
      </c>
      <c r="X743" s="7">
        <f>IF($J743=0,0,ROUND(MAX($J743*1.4*1.5*1.6*1.6*2.2*2.715*2.6,3540000000*(1.579646^(MIN($E743,123)-117)))*1,0))</f>
        <v>898098448</v>
      </c>
      <c r="Y743" s="4">
        <f>$E743+17</f>
        <v>131</v>
      </c>
      <c r="Z743" s="8">
        <f>IF($J743=0,0,ROUND(MAX($J743*1.4*1.5*1.6*1.6*2.2*2.715*2.6*1.4,6020000000*(1.651178^(MIN($E743,123)-117)))*1,0))</f>
        <v>1337256787</v>
      </c>
      <c r="AA743" s="6">
        <f>$E743+19</f>
        <v>133</v>
      </c>
      <c r="AB743" s="7">
        <f>IF($J743=0,0,ROUND(MAX($J743*1.4*1.5*1.6*1.6*2.2*2.715*2.6*1.4*1.4,8430000000*(1.651435^(MIN($E743,123)-117)))*1,0))</f>
        <v>1871729653</v>
      </c>
      <c r="AC743" s="4">
        <f>$E743+21</f>
        <v>135</v>
      </c>
      <c r="AD743" s="8">
        <f>IF($J743=0,0,ROUND(MAX($J743*1.4*1.5*1.6*1.6*2.2*2.715*2.6*1.4*1.4*1.5,12600000000*(1.652953^(MIN($E743,123)-117)))*1,0))</f>
        <v>2789902525</v>
      </c>
      <c r="AE743" s="6">
        <f>$E743+24</f>
        <v>138</v>
      </c>
      <c r="AF743" s="7">
        <f>IF($J743=0,0,ROUND(MAX($J743*1.4*1.5*1.6*1.6*2.2*2.715*2.6*1.4*1.4*1.5*1.5,18900000000*(1.65331^(MIN($E743,123)-117)))*1,0))</f>
        <v>4182143461</v>
      </c>
      <c r="AG743" s="4">
        <f>$E743+27</f>
        <v>141</v>
      </c>
      <c r="AH743" s="8">
        <f>IF($J743=0,0,ROUND(MAX($J743*1.4*1.5*1.6*1.6*2.2*2.715*2.6*1.4*1.4*1.5*1.5*3.2,60500000000*(1.654288^(MIN($E743,123)-117)))*1,0))</f>
        <v>13363555336</v>
      </c>
    </row>
    <row r="744" ht="27.75" customHeight="1" spans="1:34" x14ac:dyDescent="0.25">
      <c r="A744" s="3">
        <v>754</v>
      </c>
      <c r="B744" s="3" t="s">
        <v>118</v>
      </c>
      <c r="C744" s="3" t="s">
        <v>641</v>
      </c>
      <c r="D744" s="3" t="s">
        <v>40</v>
      </c>
      <c r="E744" s="3">
        <v>114</v>
      </c>
      <c r="F744" s="3" t="s">
        <v>56</v>
      </c>
      <c r="G744" s="3" t="s">
        <v>56</v>
      </c>
      <c r="H744" s="3">
        <v>28</v>
      </c>
      <c r="I744" s="4">
        <v>114</v>
      </c>
      <c r="J744" s="5">
        <v>488000</v>
      </c>
      <c r="K744" s="6">
        <f>$E744+1</f>
        <v>115</v>
      </c>
      <c r="L744" s="7">
        <f>IF($J744=0,0,ROUND(MAX($J744*1.4,1620000*(1.497923^(MIN($E744,123)-117)))*1,0))</f>
        <v>683200</v>
      </c>
      <c r="M744" s="4">
        <f>$E744+2</f>
        <v>116</v>
      </c>
      <c r="N744" s="8">
        <f>IF($J744=0,0,ROUND(MAX($J744*1.4*1.5,2190000*(1.580994^(MIN($E744,123)-117)))*1,0))</f>
        <v>1024800</v>
      </c>
      <c r="O744" s="6">
        <f>$E744+4</f>
        <v>118</v>
      </c>
      <c r="P744" s="7">
        <f>IF($J744=0,0,ROUND(MAX($J744*1.4*1.5*1.6,3500000*(1.57975^(MIN($E744,123)-117)))*1,0))</f>
        <v>1639680</v>
      </c>
      <c r="Q744" s="4">
        <f>$E744+6</f>
        <v>120</v>
      </c>
      <c r="R744" s="8">
        <f>IF($J744=0,0,ROUND(MAX($J744*1.4*1.5*1.6*1.6,13100000*(1.429962^(MIN($E744,123)-117)))*1,0))</f>
        <v>4480204</v>
      </c>
      <c r="S744" s="6">
        <f>$E744+8</f>
        <v>122</v>
      </c>
      <c r="T744" s="7">
        <f>IF($J744=0,0,ROUND(MAX($J744*1.4*1.5*1.6*1.6*2.2,42600000*(1.576904^(MIN($E744,123)-117)))*1,0))</f>
        <v>10864102</v>
      </c>
      <c r="U744" s="4">
        <f>$E744+11</f>
        <v>125</v>
      </c>
      <c r="V744" s="8">
        <f>IF($J744=0,0,ROUND(MAX($J744*1.4*1.5*1.6*1.6*2.2*2.715,354000000*(1.642074^(MIN($E744,123)-117)))*1,0))</f>
        <v>79951219</v>
      </c>
      <c r="W744" s="6">
        <f>$E744+15</f>
        <v>129</v>
      </c>
      <c r="X744" s="7">
        <f>IF($J744=0,0,ROUND(MAX($J744*1.4*1.5*1.6*1.6*2.2*2.715*2.6,3540000000*(1.579646^(MIN($E744,123)-117)))*1,0))</f>
        <v>898098448</v>
      </c>
      <c r="Y744" s="4">
        <f>$E744+17</f>
        <v>131</v>
      </c>
      <c r="Z744" s="8">
        <f>IF($J744=0,0,ROUND(MAX($J744*1.4*1.5*1.6*1.6*2.2*2.715*2.6*1.4,6020000000*(1.651178^(MIN($E744,123)-117)))*1,0))</f>
        <v>1337256787</v>
      </c>
      <c r="AA744" s="6">
        <f>$E744+19</f>
        <v>133</v>
      </c>
      <c r="AB744" s="7">
        <f>IF($J744=0,0,ROUND(MAX($J744*1.4*1.5*1.6*1.6*2.2*2.715*2.6*1.4*1.4,8430000000*(1.651435^(MIN($E744,123)-117)))*1,0))</f>
        <v>1871729653</v>
      </c>
      <c r="AC744" s="4">
        <f>$E744+21</f>
        <v>135</v>
      </c>
      <c r="AD744" s="8">
        <f>IF($J744=0,0,ROUND(MAX($J744*1.4*1.5*1.6*1.6*2.2*2.715*2.6*1.4*1.4*1.5,12600000000*(1.652953^(MIN($E744,123)-117)))*1,0))</f>
        <v>2789902525</v>
      </c>
      <c r="AE744" s="6">
        <f>$E744+24</f>
        <v>138</v>
      </c>
      <c r="AF744" s="7">
        <f>IF($J744=0,0,ROUND(MAX($J744*1.4*1.5*1.6*1.6*2.2*2.715*2.6*1.4*1.4*1.5*1.5,18900000000*(1.65331^(MIN($E744,123)-117)))*1,0))</f>
        <v>4182143461</v>
      </c>
      <c r="AG744" s="4">
        <f>$E744+27</f>
        <v>141</v>
      </c>
      <c r="AH744" s="8">
        <f>IF($J744=0,0,ROUND(MAX($J744*1.4*1.5*1.6*1.6*2.2*2.715*2.6*1.4*1.4*1.5*1.5*3.2,60500000000*(1.654288^(MIN($E744,123)-117)))*1,0))</f>
        <v>13363555336</v>
      </c>
    </row>
    <row r="745" ht="27.75" customHeight="1" spans="1:34" x14ac:dyDescent="0.25">
      <c r="A745" s="3">
        <v>755</v>
      </c>
      <c r="B745" s="3" t="s">
        <v>669</v>
      </c>
      <c r="C745" s="3" t="s">
        <v>641</v>
      </c>
      <c r="D745" s="3" t="s">
        <v>64</v>
      </c>
      <c r="E745" s="3">
        <v>114</v>
      </c>
      <c r="F745" s="3" t="s">
        <v>59</v>
      </c>
      <c r="G745" s="3" t="s">
        <v>59</v>
      </c>
      <c r="H745" s="3">
        <v>28</v>
      </c>
      <c r="I745" s="4">
        <v>114</v>
      </c>
      <c r="J745" s="5">
        <v>569000</v>
      </c>
      <c r="K745" s="6">
        <f>$E745+1</f>
        <v>115</v>
      </c>
      <c r="L745" s="7">
        <f>IF($J745=0,0,ROUND(MAX($J745*1.4,1620000*(1.497923^(MIN($E745,123)-117)))*1,0))</f>
        <v>796600</v>
      </c>
      <c r="M745" s="4">
        <f>$E745+2</f>
        <v>116</v>
      </c>
      <c r="N745" s="8">
        <f>IF($J745=0,0,ROUND(MAX($J745*1.4*1.5,2190000*(1.580994^(MIN($E745,123)-117)))*1,0))</f>
        <v>1194900</v>
      </c>
      <c r="O745" s="6">
        <f>$E745+4</f>
        <v>118</v>
      </c>
      <c r="P745" s="7">
        <f>IF($J745=0,0,ROUND(MAX($J745*1.4*1.5*1.6,3500000*(1.57975^(MIN($E745,123)-117)))*1,0))</f>
        <v>1911840</v>
      </c>
      <c r="Q745" s="4">
        <f>$E745+6</f>
        <v>120</v>
      </c>
      <c r="R745" s="8">
        <f>IF($J745=0,0,ROUND(MAX($J745*1.4*1.5*1.6*1.6,13100000*(1.429962^(MIN($E745,123)-117)))*1,0))</f>
        <v>4480204</v>
      </c>
      <c r="S745" s="6">
        <f>$E745+8</f>
        <v>122</v>
      </c>
      <c r="T745" s="7">
        <f>IF($J745=0,0,ROUND(MAX($J745*1.4*1.5*1.6*1.6*2.2,42600000*(1.576904^(MIN($E745,123)-117)))*1,0))</f>
        <v>10864102</v>
      </c>
      <c r="U745" s="4">
        <f>$E745+11</f>
        <v>125</v>
      </c>
      <c r="V745" s="8">
        <f>IF($J745=0,0,ROUND(MAX($J745*1.4*1.5*1.6*1.6*2.2*2.715,354000000*(1.642074^(MIN($E745,123)-117)))*1,0))</f>
        <v>79951219</v>
      </c>
      <c r="W745" s="6">
        <f>$E745+15</f>
        <v>129</v>
      </c>
      <c r="X745" s="7">
        <f>IF($J745=0,0,ROUND(MAX($J745*1.4*1.5*1.6*1.6*2.2*2.715*2.6,3540000000*(1.579646^(MIN($E745,123)-117)))*1,0))</f>
        <v>898098448</v>
      </c>
      <c r="Y745" s="4">
        <f>$E745+17</f>
        <v>131</v>
      </c>
      <c r="Z745" s="8">
        <f>IF($J745=0,0,ROUND(MAX($J745*1.4*1.5*1.6*1.6*2.2*2.715*2.6*1.4,6020000000*(1.651178^(MIN($E745,123)-117)))*1,0))</f>
        <v>1337256787</v>
      </c>
      <c r="AA745" s="6">
        <f>$E745+19</f>
        <v>133</v>
      </c>
      <c r="AB745" s="7">
        <f>IF($J745=0,0,ROUND(MAX($J745*1.4*1.5*1.6*1.6*2.2*2.715*2.6*1.4*1.4,8430000000*(1.651435^(MIN($E745,123)-117)))*1,0))</f>
        <v>1871729653</v>
      </c>
      <c r="AC745" s="4">
        <f>$E745+21</f>
        <v>135</v>
      </c>
      <c r="AD745" s="8">
        <f>IF($J745=0,0,ROUND(MAX($J745*1.4*1.5*1.6*1.6*2.2*2.715*2.6*1.4*1.4*1.5,12600000000*(1.652953^(MIN($E745,123)-117)))*1,0))</f>
        <v>2789902525</v>
      </c>
      <c r="AE745" s="6">
        <f>$E745+24</f>
        <v>138</v>
      </c>
      <c r="AF745" s="7">
        <f>IF($J745=0,0,ROUND(MAX($J745*1.4*1.5*1.6*1.6*2.2*2.715*2.6*1.4*1.4*1.5*1.5,18900000000*(1.65331^(MIN($E745,123)-117)))*1,0))</f>
        <v>4182143461</v>
      </c>
      <c r="AG745" s="4">
        <f>$E745+27</f>
        <v>141</v>
      </c>
      <c r="AH745" s="8">
        <f>IF($J745=0,0,ROUND(MAX($J745*1.4*1.5*1.6*1.6*2.2*2.715*2.6*1.4*1.4*1.5*1.5*3.2,60500000000*(1.654288^(MIN($E745,123)-117)))*1,0))</f>
        <v>13363555336</v>
      </c>
    </row>
    <row r="746" ht="27.75" customHeight="1" spans="1:34" x14ac:dyDescent="0.25">
      <c r="A746" s="3">
        <v>756</v>
      </c>
      <c r="B746" s="3" t="s">
        <v>215</v>
      </c>
      <c r="C746" s="3" t="s">
        <v>641</v>
      </c>
      <c r="D746" s="3" t="s">
        <v>33</v>
      </c>
      <c r="E746" s="3">
        <v>114</v>
      </c>
      <c r="F746" s="3" t="s">
        <v>56</v>
      </c>
      <c r="G746" s="3" t="s">
        <v>56</v>
      </c>
      <c r="H746" s="3">
        <v>28</v>
      </c>
      <c r="I746" s="4">
        <v>114</v>
      </c>
      <c r="J746" s="5">
        <v>559000</v>
      </c>
      <c r="K746" s="6">
        <f>$E746+1</f>
        <v>115</v>
      </c>
      <c r="L746" s="7">
        <f>IF($J746=0,0,ROUND(MAX($J746*1.4,1620000*(1.497923^(MIN($E746,123)-117)))*1,0))</f>
        <v>782600</v>
      </c>
      <c r="M746" s="4">
        <f>$E746+2</f>
        <v>116</v>
      </c>
      <c r="N746" s="8">
        <f>IF($J746=0,0,ROUND(MAX($J746*1.4*1.5,2190000*(1.580994^(MIN($E746,123)-117)))*1,0))</f>
        <v>1173900</v>
      </c>
      <c r="O746" s="6">
        <f>$E746+4</f>
        <v>118</v>
      </c>
      <c r="P746" s="7">
        <f>IF($J746=0,0,ROUND(MAX($J746*1.4*1.5*1.6,3500000*(1.57975^(MIN($E746,123)-117)))*1,0))</f>
        <v>1878240</v>
      </c>
      <c r="Q746" s="4">
        <f>$E746+6</f>
        <v>120</v>
      </c>
      <c r="R746" s="8">
        <f>IF($J746=0,0,ROUND(MAX($J746*1.4*1.5*1.6*1.6,13100000*(1.429962^(MIN($E746,123)-117)))*1,0))</f>
        <v>4480204</v>
      </c>
      <c r="S746" s="6">
        <f>$E746+8</f>
        <v>122</v>
      </c>
      <c r="T746" s="7">
        <f>IF($J746=0,0,ROUND(MAX($J746*1.4*1.5*1.6*1.6*2.2,42600000*(1.576904^(MIN($E746,123)-117)))*1,0))</f>
        <v>10864102</v>
      </c>
      <c r="U746" s="4">
        <f>$E746+11</f>
        <v>125</v>
      </c>
      <c r="V746" s="8">
        <f>IF($J746=0,0,ROUND(MAX($J746*1.4*1.5*1.6*1.6*2.2*2.715,354000000*(1.642074^(MIN($E746,123)-117)))*1,0))</f>
        <v>79951219</v>
      </c>
      <c r="W746" s="6">
        <f>$E746+15</f>
        <v>129</v>
      </c>
      <c r="X746" s="7">
        <f>IF($J746=0,0,ROUND(MAX($J746*1.4*1.5*1.6*1.6*2.2*2.715*2.6,3540000000*(1.579646^(MIN($E746,123)-117)))*1,0))</f>
        <v>898098448</v>
      </c>
      <c r="Y746" s="4">
        <f>$E746+17</f>
        <v>131</v>
      </c>
      <c r="Z746" s="8">
        <f>IF($J746=0,0,ROUND(MAX($J746*1.4*1.5*1.6*1.6*2.2*2.715*2.6*1.4,6020000000*(1.651178^(MIN($E746,123)-117)))*1,0))</f>
        <v>1337256787</v>
      </c>
      <c r="AA746" s="6">
        <f>$E746+19</f>
        <v>133</v>
      </c>
      <c r="AB746" s="7">
        <f>IF($J746=0,0,ROUND(MAX($J746*1.4*1.5*1.6*1.6*2.2*2.715*2.6*1.4*1.4,8430000000*(1.651435^(MIN($E746,123)-117)))*1,0))</f>
        <v>1871729653</v>
      </c>
      <c r="AC746" s="4">
        <f>$E746+21</f>
        <v>135</v>
      </c>
      <c r="AD746" s="8">
        <f>IF($J746=0,0,ROUND(MAX($J746*1.4*1.5*1.6*1.6*2.2*2.715*2.6*1.4*1.4*1.5,12600000000*(1.652953^(MIN($E746,123)-117)))*1,0))</f>
        <v>2789902525</v>
      </c>
      <c r="AE746" s="6">
        <f>$E746+24</f>
        <v>138</v>
      </c>
      <c r="AF746" s="7">
        <f>IF($J746=0,0,ROUND(MAX($J746*1.4*1.5*1.6*1.6*2.2*2.715*2.6*1.4*1.4*1.5*1.5,18900000000*(1.65331^(MIN($E746,123)-117)))*1,0))</f>
        <v>4182143461</v>
      </c>
      <c r="AG746" s="4">
        <f>$E746+27</f>
        <v>141</v>
      </c>
      <c r="AH746" s="8">
        <f>IF($J746=0,0,ROUND(MAX($J746*1.4*1.5*1.6*1.6*2.2*2.715*2.6*1.4*1.4*1.5*1.5*3.2,60500000000*(1.654288^(MIN($E746,123)-117)))*1,0))</f>
        <v>13363555336</v>
      </c>
    </row>
    <row r="747" ht="27.75" customHeight="1" spans="1:34" x14ac:dyDescent="0.25">
      <c r="A747" s="3">
        <v>757</v>
      </c>
      <c r="B747" s="3" t="s">
        <v>83</v>
      </c>
      <c r="C747" s="3" t="s">
        <v>641</v>
      </c>
      <c r="D747" s="3" t="s">
        <v>33</v>
      </c>
      <c r="E747" s="3">
        <v>114</v>
      </c>
      <c r="F747" s="3" t="s">
        <v>62</v>
      </c>
      <c r="G747" s="3" t="s">
        <v>62</v>
      </c>
      <c r="H747" s="3">
        <v>28</v>
      </c>
      <c r="I747" s="4">
        <v>114</v>
      </c>
      <c r="J747" s="5">
        <v>497000</v>
      </c>
      <c r="K747" s="6">
        <f>$E747+1</f>
        <v>115</v>
      </c>
      <c r="L747" s="7">
        <f>IF($J747=0,0,ROUND(MAX($J747*1.4,1620000*(1.497923^(MIN($E747,123)-117)))*1,0))</f>
        <v>695800</v>
      </c>
      <c r="M747" s="4">
        <f>$E747+2</f>
        <v>116</v>
      </c>
      <c r="N747" s="8">
        <f>IF($J747=0,0,ROUND(MAX($J747*1.4*1.5,2190000*(1.580994^(MIN($E747,123)-117)))*1,0))</f>
        <v>1043700</v>
      </c>
      <c r="O747" s="6">
        <f>$E747+4</f>
        <v>118</v>
      </c>
      <c r="P747" s="7">
        <f>IF($J747=0,0,ROUND(MAX($J747*1.4*1.5*1.6,3500000*(1.57975^(MIN($E747,123)-117)))*1,0))</f>
        <v>1669920</v>
      </c>
      <c r="Q747" s="4">
        <f>$E747+6</f>
        <v>120</v>
      </c>
      <c r="R747" s="8">
        <f>IF($J747=0,0,ROUND(MAX($J747*1.4*1.5*1.6*1.6,13100000*(1.429962^(MIN($E747,123)-117)))*1,0))</f>
        <v>4480204</v>
      </c>
      <c r="S747" s="6">
        <f>$E747+8</f>
        <v>122</v>
      </c>
      <c r="T747" s="7">
        <f>IF($J747=0,0,ROUND(MAX($J747*1.4*1.5*1.6*1.6*2.2,42600000*(1.576904^(MIN($E747,123)-117)))*1,0))</f>
        <v>10864102</v>
      </c>
      <c r="U747" s="4">
        <f>$E747+11</f>
        <v>125</v>
      </c>
      <c r="V747" s="8">
        <f>IF($J747=0,0,ROUND(MAX($J747*1.4*1.5*1.6*1.6*2.2*2.715,354000000*(1.642074^(MIN($E747,123)-117)))*1,0))</f>
        <v>79951219</v>
      </c>
      <c r="W747" s="6">
        <f>$E747+15</f>
        <v>129</v>
      </c>
      <c r="X747" s="7">
        <f>IF($J747=0,0,ROUND(MAX($J747*1.4*1.5*1.6*1.6*2.2*2.715*2.6,3540000000*(1.579646^(MIN($E747,123)-117)))*1,0))</f>
        <v>898098448</v>
      </c>
      <c r="Y747" s="4">
        <f>$E747+17</f>
        <v>131</v>
      </c>
      <c r="Z747" s="8">
        <f>IF($J747=0,0,ROUND(MAX($J747*1.4*1.5*1.6*1.6*2.2*2.715*2.6*1.4,6020000000*(1.651178^(MIN($E747,123)-117)))*1,0))</f>
        <v>1337256787</v>
      </c>
      <c r="AA747" s="6">
        <f>$E747+19</f>
        <v>133</v>
      </c>
      <c r="AB747" s="7">
        <f>IF($J747=0,0,ROUND(MAX($J747*1.4*1.5*1.6*1.6*2.2*2.715*2.6*1.4*1.4,8430000000*(1.651435^(MIN($E747,123)-117)))*1,0))</f>
        <v>1871729653</v>
      </c>
      <c r="AC747" s="4">
        <f>$E747+21</f>
        <v>135</v>
      </c>
      <c r="AD747" s="8">
        <f>IF($J747=0,0,ROUND(MAX($J747*1.4*1.5*1.6*1.6*2.2*2.715*2.6*1.4*1.4*1.5,12600000000*(1.652953^(MIN($E747,123)-117)))*1,0))</f>
        <v>2789902525</v>
      </c>
      <c r="AE747" s="6">
        <f>$E747+24</f>
        <v>138</v>
      </c>
      <c r="AF747" s="7">
        <f>IF($J747=0,0,ROUND(MAX($J747*1.4*1.5*1.6*1.6*2.2*2.715*2.6*1.4*1.4*1.5*1.5,18900000000*(1.65331^(MIN($E747,123)-117)))*1,0))</f>
        <v>4182143461</v>
      </c>
      <c r="AG747" s="4">
        <f>$E747+27</f>
        <v>141</v>
      </c>
      <c r="AH747" s="8">
        <f>IF($J747=0,0,ROUND(MAX($J747*1.4*1.5*1.6*1.6*2.2*2.715*2.6*1.4*1.4*1.5*1.5*3.2,60500000000*(1.654288^(MIN($E747,123)-117)))*1,0))</f>
        <v>13363555336</v>
      </c>
    </row>
    <row r="748" ht="27.75" customHeight="1" spans="1:34" x14ac:dyDescent="0.25">
      <c r="A748" s="3">
        <v>758</v>
      </c>
      <c r="B748" s="3" t="s">
        <v>121</v>
      </c>
      <c r="C748" s="3" t="s">
        <v>641</v>
      </c>
      <c r="D748" s="3" t="s">
        <v>29</v>
      </c>
      <c r="E748" s="3">
        <v>114</v>
      </c>
      <c r="F748" s="3" t="s">
        <v>62</v>
      </c>
      <c r="G748" s="3" t="s">
        <v>62</v>
      </c>
      <c r="H748" s="3">
        <v>28</v>
      </c>
      <c r="I748" s="4">
        <v>114</v>
      </c>
      <c r="J748" s="5">
        <v>576000</v>
      </c>
      <c r="K748" s="6">
        <f>$E748+1</f>
        <v>115</v>
      </c>
      <c r="L748" s="7">
        <f>IF($J748=0,0,ROUND(MAX($J748*1.4,1620000*(1.497923^(MIN($E748,123)-117)))*1,0))</f>
        <v>806400</v>
      </c>
      <c r="M748" s="4">
        <f>$E748+2</f>
        <v>116</v>
      </c>
      <c r="N748" s="8">
        <f>IF($J748=0,0,ROUND(MAX($J748*1.4*1.5,2190000*(1.580994^(MIN($E748,123)-117)))*1,0))</f>
        <v>1209600</v>
      </c>
      <c r="O748" s="6">
        <f>$E748+4</f>
        <v>118</v>
      </c>
      <c r="P748" s="7">
        <f>IF($J748=0,0,ROUND(MAX($J748*1.4*1.5*1.6,3500000*(1.57975^(MIN($E748,123)-117)))*1,0))</f>
        <v>1935360</v>
      </c>
      <c r="Q748" s="4">
        <f>$E748+6</f>
        <v>120</v>
      </c>
      <c r="R748" s="8">
        <f>IF($J748=0,0,ROUND(MAX($J748*1.4*1.5*1.6*1.6,13100000*(1.429962^(MIN($E748,123)-117)))*1,0))</f>
        <v>4480204</v>
      </c>
      <c r="S748" s="6">
        <f>$E748+8</f>
        <v>122</v>
      </c>
      <c r="T748" s="7">
        <f>IF($J748=0,0,ROUND(MAX($J748*1.4*1.5*1.6*1.6*2.2,42600000*(1.576904^(MIN($E748,123)-117)))*1,0))</f>
        <v>10864102</v>
      </c>
      <c r="U748" s="4">
        <f>$E748+11</f>
        <v>125</v>
      </c>
      <c r="V748" s="8">
        <f>IF($J748=0,0,ROUND(MAX($J748*1.4*1.5*1.6*1.6*2.2*2.715,354000000*(1.642074^(MIN($E748,123)-117)))*1,0))</f>
        <v>79951219</v>
      </c>
      <c r="W748" s="6">
        <f>$E748+15</f>
        <v>129</v>
      </c>
      <c r="X748" s="7">
        <f>IF($J748=0,0,ROUND(MAX($J748*1.4*1.5*1.6*1.6*2.2*2.715*2.6,3540000000*(1.579646^(MIN($E748,123)-117)))*1,0))</f>
        <v>898098448</v>
      </c>
      <c r="Y748" s="4">
        <f>$E748+17</f>
        <v>131</v>
      </c>
      <c r="Z748" s="8">
        <f>IF($J748=0,0,ROUND(MAX($J748*1.4*1.5*1.6*1.6*2.2*2.715*2.6*1.4,6020000000*(1.651178^(MIN($E748,123)-117)))*1,0))</f>
        <v>1337256787</v>
      </c>
      <c r="AA748" s="6">
        <f>$E748+19</f>
        <v>133</v>
      </c>
      <c r="AB748" s="7">
        <f>IF($J748=0,0,ROUND(MAX($J748*1.4*1.5*1.6*1.6*2.2*2.715*2.6*1.4*1.4,8430000000*(1.651435^(MIN($E748,123)-117)))*1,0))</f>
        <v>1871729653</v>
      </c>
      <c r="AC748" s="4">
        <f>$E748+21</f>
        <v>135</v>
      </c>
      <c r="AD748" s="8">
        <f>IF($J748=0,0,ROUND(MAX($J748*1.4*1.5*1.6*1.6*2.2*2.715*2.6*1.4*1.4*1.5,12600000000*(1.652953^(MIN($E748,123)-117)))*1,0))</f>
        <v>2789902525</v>
      </c>
      <c r="AE748" s="6">
        <f>$E748+24</f>
        <v>138</v>
      </c>
      <c r="AF748" s="7">
        <f>IF($J748=0,0,ROUND(MAX($J748*1.4*1.5*1.6*1.6*2.2*2.715*2.6*1.4*1.4*1.5*1.5,18900000000*(1.65331^(MIN($E748,123)-117)))*1,0))</f>
        <v>4182143461</v>
      </c>
      <c r="AG748" s="4">
        <f>$E748+27</f>
        <v>141</v>
      </c>
      <c r="AH748" s="8">
        <f>IF($J748=0,0,ROUND(MAX($J748*1.4*1.5*1.6*1.6*2.2*2.715*2.6*1.4*1.4*1.5*1.5*3.2,60500000000*(1.654288^(MIN($E748,123)-117)))*1,0))</f>
        <v>13363555336</v>
      </c>
    </row>
    <row r="749" ht="27.75" customHeight="1" spans="1:34" x14ac:dyDescent="0.25">
      <c r="A749" s="3">
        <v>759</v>
      </c>
      <c r="B749" s="3" t="s">
        <v>52</v>
      </c>
      <c r="C749" s="3" t="s">
        <v>670</v>
      </c>
      <c r="D749" s="3" t="s">
        <v>40</v>
      </c>
      <c r="E749" s="3">
        <v>115</v>
      </c>
      <c r="F749" s="3" t="s">
        <v>30</v>
      </c>
      <c r="G749" s="3" t="s">
        <v>671</v>
      </c>
      <c r="H749" s="3">
        <v>30</v>
      </c>
      <c r="I749" s="4">
        <v>115</v>
      </c>
      <c r="J749" s="5">
        <v>1740000</v>
      </c>
      <c r="K749" s="6">
        <f>$E749+1</f>
        <v>116</v>
      </c>
      <c r="L749" s="7">
        <f>IF($J749=0,0,ROUND(MAX($J749*1.4,1620000*(1.497923^(MIN($E749,123)-117)))*1,0))</f>
        <v>2436000</v>
      </c>
      <c r="M749" s="4">
        <f>$E749+2</f>
        <v>117</v>
      </c>
      <c r="N749" s="8">
        <f>IF($J749=0,0,ROUND(MAX($J749*1.4*1.5,2190000*(1.580994^(MIN($E749,123)-117)))*1,0))</f>
        <v>3654000</v>
      </c>
      <c r="O749" s="6">
        <f>$E749+4</f>
        <v>119</v>
      </c>
      <c r="P749" s="7">
        <f>IF($J749=0,0,ROUND(MAX($J749*1.4*1.5*1.6,3500000*(1.57975^(MIN($E749,123)-117)))*1,0))</f>
        <v>5846400</v>
      </c>
      <c r="Q749" s="4">
        <f>$E749+6</f>
        <v>121</v>
      </c>
      <c r="R749" s="8">
        <f>IF($J749=0,0,ROUND(MAX($J749*1.4*1.5*1.6*1.6,13100000*(1.429962^(MIN($E749,123)-117)))*1,0))</f>
        <v>9354240</v>
      </c>
      <c r="S749" s="6">
        <f>$E749+8</f>
        <v>123</v>
      </c>
      <c r="T749" s="7">
        <f>IF($J749=0,0,ROUND(MAX($J749*1.4*1.5*1.6*1.6*2.2,42600000*(1.576904^(MIN($E749,123)-117)))*1,0))</f>
        <v>20579328</v>
      </c>
      <c r="U749" s="4">
        <f>$E749+11</f>
        <v>126</v>
      </c>
      <c r="V749" s="8">
        <f>IF($J749=0,0,ROUND(MAX($J749*1.4*1.5*1.6*1.6*2.2*2.715,354000000*(1.642074^(MIN($E749,123)-117)))*1,0))</f>
        <v>131285817</v>
      </c>
      <c r="W749" s="6">
        <f>$E749+15</f>
        <v>130</v>
      </c>
      <c r="X749" s="7">
        <f>IF($J749=0,0,ROUND(MAX($J749*1.4*1.5*1.6*1.6*2.2*2.715*2.6,3540000000*(1.579646^(MIN($E749,123)-117)))*1,0))</f>
        <v>1418677620</v>
      </c>
      <c r="Y749" s="4">
        <f>$E749+17</f>
        <v>132</v>
      </c>
      <c r="Z749" s="8">
        <f>IF($J749=0,0,ROUND(MAX($J749*1.4*1.5*1.6*1.6*2.2*2.715*2.6*1.4,6020000000*(1.651178^(MIN($E749,123)-117)))*1,0))</f>
        <v>2208048987</v>
      </c>
      <c r="AA749" s="6">
        <f>$E749+19</f>
        <v>134</v>
      </c>
      <c r="AB749" s="7">
        <f>IF($J749=0,0,ROUND(MAX($J749*1.4*1.5*1.6*1.6*2.2*2.715*2.6*1.4*1.4,8430000000*(1.651435^(MIN($E749,123)-117)))*1,0))</f>
        <v>3091039859</v>
      </c>
      <c r="AC749" s="4">
        <f>$E749+21</f>
        <v>136</v>
      </c>
      <c r="AD749" s="8">
        <f>IF($J749=0,0,ROUND(MAX($J749*1.4*1.5*1.6*1.6*2.2*2.715*2.6*1.4*1.4*1.5,12600000000*(1.652953^(MIN($E749,123)-117)))*1,0))</f>
        <v>4611577749</v>
      </c>
      <c r="AE749" s="6">
        <f>$E749+24</f>
        <v>139</v>
      </c>
      <c r="AF749" s="7">
        <f>IF($J749=0,0,ROUND(MAX($J749*1.4*1.5*1.6*1.6*2.2*2.715*2.6*1.4*1.4*1.5*1.5,18900000000*(1.65331^(MIN($E749,123)-117)))*1,0))</f>
        <v>6914379606</v>
      </c>
      <c r="AG749" s="4">
        <f>$E749+27</f>
        <v>142</v>
      </c>
      <c r="AH749" s="8">
        <f>IF($J749=0,0,ROUND(MAX($J749*1.4*1.5*1.6*1.6*2.2*2.715*2.6*1.4*1.4*1.5*1.5*3.2,60500000000*(1.654288^(MIN($E749,123)-117)))*1,0))</f>
        <v>22107169230</v>
      </c>
    </row>
    <row r="750" ht="27.75" customHeight="1" spans="1:34" x14ac:dyDescent="0.25">
      <c r="A750" s="3">
        <v>760</v>
      </c>
      <c r="B750" s="3" t="s">
        <v>229</v>
      </c>
      <c r="C750" s="3" t="s">
        <v>670</v>
      </c>
      <c r="D750" s="3" t="s">
        <v>40</v>
      </c>
      <c r="E750" s="3">
        <v>115</v>
      </c>
      <c r="F750" s="3" t="s">
        <v>54</v>
      </c>
      <c r="G750" s="3" t="s">
        <v>38</v>
      </c>
      <c r="H750" s="3">
        <v>29</v>
      </c>
      <c r="I750" s="4">
        <v>115</v>
      </c>
      <c r="J750" s="5">
        <v>2070000</v>
      </c>
      <c r="K750" s="6">
        <f>$E750+1</f>
        <v>116</v>
      </c>
      <c r="L750" s="7">
        <f>IF($J750=0,0,ROUND(MAX($J750*1.4,1620000*(1.497923^(MIN($E750,123)-117)))*1,0))</f>
        <v>2898000</v>
      </c>
      <c r="M750" s="4">
        <f>$E750+2</f>
        <v>117</v>
      </c>
      <c r="N750" s="8">
        <f>IF($J750=0,0,ROUND(MAX($J750*1.4*1.5,2190000*(1.580994^(MIN($E750,123)-117)))*1,0))</f>
        <v>4347000</v>
      </c>
      <c r="O750" s="6">
        <f>$E750+4</f>
        <v>119</v>
      </c>
      <c r="P750" s="7">
        <f>IF($J750=0,0,ROUND(MAX($J750*1.4*1.5*1.6,3500000*(1.57975^(MIN($E750,123)-117)))*1,0))</f>
        <v>6955200</v>
      </c>
      <c r="Q750" s="4">
        <f>$E750+6</f>
        <v>121</v>
      </c>
      <c r="R750" s="8">
        <f>IF($J750=0,0,ROUND(MAX($J750*1.4*1.5*1.6*1.6,13100000*(1.429962^(MIN($E750,123)-117)))*1,0))</f>
        <v>11128320</v>
      </c>
      <c r="S750" s="6">
        <f>$E750+8</f>
        <v>123</v>
      </c>
      <c r="T750" s="7">
        <f>IF($J750=0,0,ROUND(MAX($J750*1.4*1.5*1.6*1.6*2.2,42600000*(1.576904^(MIN($E750,123)-117)))*1,0))</f>
        <v>24482304</v>
      </c>
      <c r="U750" s="4">
        <f>$E750+11</f>
        <v>126</v>
      </c>
      <c r="V750" s="8">
        <f>IF($J750=0,0,ROUND(MAX($J750*1.4*1.5*1.6*1.6*2.2*2.715,354000000*(1.642074^(MIN($E750,123)-117)))*1,0))</f>
        <v>131285817</v>
      </c>
      <c r="W750" s="6">
        <f>$E750+15</f>
        <v>130</v>
      </c>
      <c r="X750" s="7">
        <f>IF($J750=0,0,ROUND(MAX($J750*1.4*1.5*1.6*1.6*2.2*2.715*2.6,3540000000*(1.579646^(MIN($E750,123)-117)))*1,0))</f>
        <v>1418677620</v>
      </c>
      <c r="Y750" s="4">
        <f>$E750+17</f>
        <v>132</v>
      </c>
      <c r="Z750" s="8">
        <f>IF($J750=0,0,ROUND(MAX($J750*1.4*1.5*1.6*1.6*2.2*2.715*2.6*1.4,6020000000*(1.651178^(MIN($E750,123)-117)))*1,0))</f>
        <v>2208048987</v>
      </c>
      <c r="AA750" s="6">
        <f>$E750+19</f>
        <v>134</v>
      </c>
      <c r="AB750" s="7">
        <f>IF($J750=0,0,ROUND(MAX($J750*1.4*1.5*1.6*1.6*2.2*2.715*2.6*1.4*1.4,8430000000*(1.651435^(MIN($E750,123)-117)))*1,0))</f>
        <v>3091039859</v>
      </c>
      <c r="AC750" s="4">
        <f>$E750+21</f>
        <v>136</v>
      </c>
      <c r="AD750" s="8">
        <f>IF($J750=0,0,ROUND(MAX($J750*1.4*1.5*1.6*1.6*2.2*2.715*2.6*1.4*1.4*1.5,12600000000*(1.652953^(MIN($E750,123)-117)))*1,0))</f>
        <v>4611577749</v>
      </c>
      <c r="AE750" s="6">
        <f>$E750+24</f>
        <v>139</v>
      </c>
      <c r="AF750" s="7">
        <f>IF($J750=0,0,ROUND(MAX($J750*1.4*1.5*1.6*1.6*2.2*2.715*2.6*1.4*1.4*1.5*1.5,18900000000*(1.65331^(MIN($E750,123)-117)))*1,0))</f>
        <v>6914379606</v>
      </c>
      <c r="AG750" s="4">
        <f>$E750+27</f>
        <v>142</v>
      </c>
      <c r="AH750" s="8">
        <f>IF($J750=0,0,ROUND(MAX($J750*1.4*1.5*1.6*1.6*2.2*2.715*2.6*1.4*1.4*1.5*1.5*3.2,60500000000*(1.654288^(MIN($E750,123)-117)))*1,0))</f>
        <v>22107169230</v>
      </c>
    </row>
    <row r="751" ht="27.75" customHeight="1" spans="1:34" x14ac:dyDescent="0.25">
      <c r="A751" s="3">
        <v>761</v>
      </c>
      <c r="B751" s="3" t="s">
        <v>489</v>
      </c>
      <c r="C751" s="3" t="s">
        <v>670</v>
      </c>
      <c r="D751" s="3" t="s">
        <v>79</v>
      </c>
      <c r="E751" s="3">
        <v>115</v>
      </c>
      <c r="F751" s="3" t="s">
        <v>30</v>
      </c>
      <c r="G751" s="3" t="s">
        <v>31</v>
      </c>
      <c r="H751" s="3">
        <v>29</v>
      </c>
      <c r="I751" s="4">
        <v>115</v>
      </c>
      <c r="J751" s="5">
        <v>804000</v>
      </c>
      <c r="K751" s="6">
        <f>$E751+1</f>
        <v>116</v>
      </c>
      <c r="L751" s="7">
        <f>IF($J751=0,0,ROUND(MAX($J751*1.4,1620000*(1.497923^(MIN($E751,123)-117)))*1,0))</f>
        <v>1125600</v>
      </c>
      <c r="M751" s="4">
        <f>$E751+2</f>
        <v>117</v>
      </c>
      <c r="N751" s="8">
        <f>IF($J751=0,0,ROUND(MAX($J751*1.4*1.5,2190000*(1.580994^(MIN($E751,123)-117)))*1,0))</f>
        <v>1688400</v>
      </c>
      <c r="O751" s="6">
        <f>$E751+4</f>
        <v>119</v>
      </c>
      <c r="P751" s="7">
        <f>IF($J751=0,0,ROUND(MAX($J751*1.4*1.5*1.6,3500000*(1.57975^(MIN($E751,123)-117)))*1,0))</f>
        <v>2701440</v>
      </c>
      <c r="Q751" s="4">
        <f>$E751+6</f>
        <v>121</v>
      </c>
      <c r="R751" s="8">
        <f>IF($J751=0,0,ROUND(MAX($J751*1.4*1.5*1.6*1.6,13100000*(1.429962^(MIN($E751,123)-117)))*1,0))</f>
        <v>6406522</v>
      </c>
      <c r="S751" s="6">
        <f>$E751+8</f>
        <v>123</v>
      </c>
      <c r="T751" s="7">
        <f>IF($J751=0,0,ROUND(MAX($J751*1.4*1.5*1.6*1.6*2.2,42600000*(1.576904^(MIN($E751,123)-117)))*1,0))</f>
        <v>17131646</v>
      </c>
      <c r="U751" s="4">
        <f>$E751+11</f>
        <v>126</v>
      </c>
      <c r="V751" s="8">
        <f>IF($J751=0,0,ROUND(MAX($J751*1.4*1.5*1.6*1.6*2.2*2.715,354000000*(1.642074^(MIN($E751,123)-117)))*1,0))</f>
        <v>131285817</v>
      </c>
      <c r="W751" s="6">
        <f>$E751+15</f>
        <v>130</v>
      </c>
      <c r="X751" s="7">
        <f>IF($J751=0,0,ROUND(MAX($J751*1.4*1.5*1.6*1.6*2.2*2.715*2.6,3540000000*(1.579646^(MIN($E751,123)-117)))*1,0))</f>
        <v>1418677620</v>
      </c>
      <c r="Y751" s="4">
        <f>$E751+17</f>
        <v>132</v>
      </c>
      <c r="Z751" s="8">
        <f>IF($J751=0,0,ROUND(MAX($J751*1.4*1.5*1.6*1.6*2.2*2.715*2.6*1.4,6020000000*(1.651178^(MIN($E751,123)-117)))*1,0))</f>
        <v>2208048987</v>
      </c>
      <c r="AA751" s="6">
        <f>$E751+19</f>
        <v>134</v>
      </c>
      <c r="AB751" s="7">
        <f>IF($J751=0,0,ROUND(MAX($J751*1.4*1.5*1.6*1.6*2.2*2.715*2.6*1.4*1.4,8430000000*(1.651435^(MIN($E751,123)-117)))*1,0))</f>
        <v>3091039859</v>
      </c>
      <c r="AC751" s="4">
        <f>$E751+21</f>
        <v>136</v>
      </c>
      <c r="AD751" s="8">
        <f>IF($J751=0,0,ROUND(MAX($J751*1.4*1.5*1.6*1.6*2.2*2.715*2.6*1.4*1.4*1.5,12600000000*(1.652953^(MIN($E751,123)-117)))*1,0))</f>
        <v>4611577749</v>
      </c>
      <c r="AE751" s="6">
        <f>$E751+24</f>
        <v>139</v>
      </c>
      <c r="AF751" s="7">
        <f>IF($J751=0,0,ROUND(MAX($J751*1.4*1.5*1.6*1.6*2.2*2.715*2.6*1.4*1.4*1.5*1.5,18900000000*(1.65331^(MIN($E751,123)-117)))*1,0))</f>
        <v>6914379606</v>
      </c>
      <c r="AG751" s="4">
        <f>$E751+27</f>
        <v>142</v>
      </c>
      <c r="AH751" s="8">
        <f>IF($J751=0,0,ROUND(MAX($J751*1.4*1.5*1.6*1.6*2.2*2.715*2.6*1.4*1.4*1.5*1.5*3.2,60500000000*(1.654288^(MIN($E751,123)-117)))*1,0))</f>
        <v>22107169230</v>
      </c>
    </row>
    <row r="752" ht="27.75" customHeight="1" spans="1:34" x14ac:dyDescent="0.25">
      <c r="A752" s="3">
        <v>762</v>
      </c>
      <c r="B752" s="3" t="s">
        <v>639</v>
      </c>
      <c r="C752" s="3" t="s">
        <v>670</v>
      </c>
      <c r="D752" s="3" t="s">
        <v>40</v>
      </c>
      <c r="E752" s="3">
        <v>115</v>
      </c>
      <c r="F752" s="3" t="s">
        <v>353</v>
      </c>
      <c r="G752" s="3" t="s">
        <v>72</v>
      </c>
      <c r="H752" s="3">
        <v>29</v>
      </c>
      <c r="I752" s="4">
        <v>115</v>
      </c>
      <c r="J752" s="5">
        <v>453000</v>
      </c>
      <c r="K752" s="6">
        <f>$E752+1</f>
        <v>116</v>
      </c>
      <c r="L752" s="7">
        <f>IF($J752=0,0,ROUND(MAX($J752*1.4,1620000*(1.497923^(MIN($E752,123)-117)))*1,0))</f>
        <v>721998</v>
      </c>
      <c r="M752" s="4">
        <f>$E752+2</f>
        <v>117</v>
      </c>
      <c r="N752" s="8">
        <f>IF($J752=0,0,ROUND(MAX($J752*1.4*1.5,2190000*(1.580994^(MIN($E752,123)-117)))*1,0))</f>
        <v>951300</v>
      </c>
      <c r="O752" s="6">
        <f>$E752+4</f>
        <v>119</v>
      </c>
      <c r="P752" s="7">
        <f>IF($J752=0,0,ROUND(MAX($J752*1.4*1.5*1.6,3500000*(1.57975^(MIN($E752,123)-117)))*1,0))</f>
        <v>1522080</v>
      </c>
      <c r="Q752" s="4">
        <f>$E752+6</f>
        <v>121</v>
      </c>
      <c r="R752" s="8">
        <f>IF($J752=0,0,ROUND(MAX($J752*1.4*1.5*1.6*1.6,13100000*(1.429962^(MIN($E752,123)-117)))*1,0))</f>
        <v>6406522</v>
      </c>
      <c r="S752" s="6">
        <f>$E752+8</f>
        <v>123</v>
      </c>
      <c r="T752" s="7">
        <f>IF($J752=0,0,ROUND(MAX($J752*1.4*1.5*1.6*1.6*2.2,42600000*(1.576904^(MIN($E752,123)-117)))*1,0))</f>
        <v>17131646</v>
      </c>
      <c r="U752" s="4">
        <f>$E752+11</f>
        <v>126</v>
      </c>
      <c r="V752" s="8">
        <f>IF($J752=0,0,ROUND(MAX($J752*1.4*1.5*1.6*1.6*2.2*2.715,354000000*(1.642074^(MIN($E752,123)-117)))*1,0))</f>
        <v>131285817</v>
      </c>
      <c r="W752" s="6">
        <f>$E752+15</f>
        <v>130</v>
      </c>
      <c r="X752" s="7">
        <f>IF($J752=0,0,ROUND(MAX($J752*1.4*1.5*1.6*1.6*2.2*2.715*2.6,3540000000*(1.579646^(MIN($E752,123)-117)))*1,0))</f>
        <v>1418677620</v>
      </c>
      <c r="Y752" s="4">
        <f>$E752+17</f>
        <v>132</v>
      </c>
      <c r="Z752" s="8">
        <f>IF($J752=0,0,ROUND(MAX($J752*1.4*1.5*1.6*1.6*2.2*2.715*2.6*1.4,6020000000*(1.651178^(MIN($E752,123)-117)))*1,0))</f>
        <v>2208048987</v>
      </c>
      <c r="AA752" s="6">
        <f>$E752+19</f>
        <v>134</v>
      </c>
      <c r="AB752" s="7">
        <f>IF($J752=0,0,ROUND(MAX($J752*1.4*1.5*1.6*1.6*2.2*2.715*2.6*1.4*1.4,8430000000*(1.651435^(MIN($E752,123)-117)))*1,0))</f>
        <v>3091039859</v>
      </c>
      <c r="AC752" s="4">
        <f>$E752+21</f>
        <v>136</v>
      </c>
      <c r="AD752" s="8">
        <f>IF($J752=0,0,ROUND(MAX($J752*1.4*1.5*1.6*1.6*2.2*2.715*2.6*1.4*1.4*1.5,12600000000*(1.652953^(MIN($E752,123)-117)))*1,0))</f>
        <v>4611577749</v>
      </c>
      <c r="AE752" s="6">
        <f>$E752+24</f>
        <v>139</v>
      </c>
      <c r="AF752" s="7">
        <f>IF($J752=0,0,ROUND(MAX($J752*1.4*1.5*1.6*1.6*2.2*2.715*2.6*1.4*1.4*1.5*1.5,18900000000*(1.65331^(MIN($E752,123)-117)))*1,0))</f>
        <v>6914379606</v>
      </c>
      <c r="AG752" s="4">
        <f>$E752+27</f>
        <v>142</v>
      </c>
      <c r="AH752" s="8">
        <f>IF($J752=0,0,ROUND(MAX($J752*1.4*1.5*1.6*1.6*2.2*2.715*2.6*1.4*1.4*1.5*1.5*3.2,60500000000*(1.654288^(MIN($E752,123)-117)))*1,0))</f>
        <v>22107169230</v>
      </c>
    </row>
    <row r="753" ht="27.75" customHeight="1" spans="1:34" x14ac:dyDescent="0.25">
      <c r="A753" s="3">
        <v>763</v>
      </c>
      <c r="B753" s="3" t="s">
        <v>107</v>
      </c>
      <c r="C753" s="3" t="s">
        <v>670</v>
      </c>
      <c r="D753" s="3" t="s">
        <v>40</v>
      </c>
      <c r="E753" s="3">
        <v>115</v>
      </c>
      <c r="F753" s="3" t="s">
        <v>108</v>
      </c>
      <c r="G753" s="3" t="s">
        <v>671</v>
      </c>
      <c r="H753" s="3">
        <v>29</v>
      </c>
      <c r="I753" s="4">
        <v>115</v>
      </c>
      <c r="J753" s="5">
        <v>448000</v>
      </c>
      <c r="K753" s="6">
        <f>$E753+1</f>
        <v>116</v>
      </c>
      <c r="L753" s="7">
        <f>IF($J753=0,0,ROUND(MAX($J753*1.4,1620000*(1.497923^(MIN($E753,123)-117)))*1,0))</f>
        <v>721998</v>
      </c>
      <c r="M753" s="4">
        <f>$E753+2</f>
        <v>117</v>
      </c>
      <c r="N753" s="8">
        <f>IF($J753=0,0,ROUND(MAX($J753*1.4*1.5,2190000*(1.580994^(MIN($E753,123)-117)))*1,0))</f>
        <v>940800</v>
      </c>
      <c r="O753" s="6">
        <f>$E753+4</f>
        <v>119</v>
      </c>
      <c r="P753" s="7">
        <f>IF($J753=0,0,ROUND(MAX($J753*1.4*1.5*1.6,3500000*(1.57975^(MIN($E753,123)-117)))*1,0))</f>
        <v>1505280</v>
      </c>
      <c r="Q753" s="4">
        <f>$E753+6</f>
        <v>121</v>
      </c>
      <c r="R753" s="8">
        <f>IF($J753=0,0,ROUND(MAX($J753*1.4*1.5*1.6*1.6,13100000*(1.429962^(MIN($E753,123)-117)))*1,0))</f>
        <v>6406522</v>
      </c>
      <c r="S753" s="6">
        <f>$E753+8</f>
        <v>123</v>
      </c>
      <c r="T753" s="7">
        <f>IF($J753=0,0,ROUND(MAX($J753*1.4*1.5*1.6*1.6*2.2,42600000*(1.576904^(MIN($E753,123)-117)))*1,0))</f>
        <v>17131646</v>
      </c>
      <c r="U753" s="4">
        <f>$E753+11</f>
        <v>126</v>
      </c>
      <c r="V753" s="8">
        <f>IF($J753=0,0,ROUND(MAX($J753*1.4*1.5*1.6*1.6*2.2*2.715,354000000*(1.642074^(MIN($E753,123)-117)))*1,0))</f>
        <v>131285817</v>
      </c>
      <c r="W753" s="6">
        <f>$E753+15</f>
        <v>130</v>
      </c>
      <c r="X753" s="7">
        <f>IF($J753=0,0,ROUND(MAX($J753*1.4*1.5*1.6*1.6*2.2*2.715*2.6,3540000000*(1.579646^(MIN($E753,123)-117)))*1,0))</f>
        <v>1418677620</v>
      </c>
      <c r="Y753" s="4">
        <f>$E753+17</f>
        <v>132</v>
      </c>
      <c r="Z753" s="8">
        <f>IF($J753=0,0,ROUND(MAX($J753*1.4*1.5*1.6*1.6*2.2*2.715*2.6*1.4,6020000000*(1.651178^(MIN($E753,123)-117)))*1,0))</f>
        <v>2208048987</v>
      </c>
      <c r="AA753" s="6">
        <f>$E753+19</f>
        <v>134</v>
      </c>
      <c r="AB753" s="7">
        <f>IF($J753=0,0,ROUND(MAX($J753*1.4*1.5*1.6*1.6*2.2*2.715*2.6*1.4*1.4,8430000000*(1.651435^(MIN($E753,123)-117)))*1,0))</f>
        <v>3091039859</v>
      </c>
      <c r="AC753" s="4">
        <f>$E753+21</f>
        <v>136</v>
      </c>
      <c r="AD753" s="8">
        <f>IF($J753=0,0,ROUND(MAX($J753*1.4*1.5*1.6*1.6*2.2*2.715*2.6*1.4*1.4*1.5,12600000000*(1.652953^(MIN($E753,123)-117)))*1,0))</f>
        <v>4611577749</v>
      </c>
      <c r="AE753" s="6">
        <f>$E753+24</f>
        <v>139</v>
      </c>
      <c r="AF753" s="7">
        <f>IF($J753=0,0,ROUND(MAX($J753*1.4*1.5*1.6*1.6*2.2*2.715*2.6*1.4*1.4*1.5*1.5,18900000000*(1.65331^(MIN($E753,123)-117)))*1,0))</f>
        <v>6914379606</v>
      </c>
      <c r="AG753" s="4">
        <f>$E753+27</f>
        <v>142</v>
      </c>
      <c r="AH753" s="8">
        <f>IF($J753=0,0,ROUND(MAX($J753*1.4*1.5*1.6*1.6*2.2*2.715*2.6*1.4*1.4*1.5*1.5*3.2,60500000000*(1.654288^(MIN($E753,123)-117)))*1,0))</f>
        <v>22107169230</v>
      </c>
    </row>
    <row r="754" ht="27.75" customHeight="1" spans="1:34" x14ac:dyDescent="0.25">
      <c r="A754" s="3">
        <v>764</v>
      </c>
      <c r="B754" s="3" t="s">
        <v>269</v>
      </c>
      <c r="C754" s="3" t="s">
        <v>670</v>
      </c>
      <c r="D754" s="3" t="s">
        <v>29</v>
      </c>
      <c r="E754" s="3">
        <v>115</v>
      </c>
      <c r="F754" s="3" t="s">
        <v>26</v>
      </c>
      <c r="G754" s="3" t="s">
        <v>270</v>
      </c>
      <c r="H754" s="3">
        <v>29</v>
      </c>
      <c r="I754" s="4">
        <v>115</v>
      </c>
      <c r="J754" s="5">
        <v>550000</v>
      </c>
      <c r="K754" s="6">
        <f>$E754+1</f>
        <v>116</v>
      </c>
      <c r="L754" s="7">
        <f>IF($J754=0,0,ROUND(MAX($J754*1.4,1620000*(1.497923^(MIN($E754,123)-117)))*1,0))</f>
        <v>770000</v>
      </c>
      <c r="M754" s="4">
        <f>$E754+2</f>
        <v>117</v>
      </c>
      <c r="N754" s="8">
        <f>IF($J754=0,0,ROUND(MAX($J754*1.4*1.5,2190000*(1.580994^(MIN($E754,123)-117)))*1,0))</f>
        <v>1155000</v>
      </c>
      <c r="O754" s="6">
        <f>$E754+4</f>
        <v>119</v>
      </c>
      <c r="P754" s="7">
        <f>IF($J754=0,0,ROUND(MAX($J754*1.4*1.5*1.6,3500000*(1.57975^(MIN($E754,123)-117)))*1,0))</f>
        <v>1848000</v>
      </c>
      <c r="Q754" s="4">
        <f>$E754+6</f>
        <v>121</v>
      </c>
      <c r="R754" s="8">
        <f>IF($J754=0,0,ROUND(MAX($J754*1.4*1.5*1.6*1.6,13100000*(1.429962^(MIN($E754,123)-117)))*1,0))</f>
        <v>6406522</v>
      </c>
      <c r="S754" s="6">
        <f>$E754+8</f>
        <v>123</v>
      </c>
      <c r="T754" s="7">
        <f>IF($J754=0,0,ROUND(MAX($J754*1.4*1.5*1.6*1.6*2.2,42600000*(1.576904^(MIN($E754,123)-117)))*1,0))</f>
        <v>17131646</v>
      </c>
      <c r="U754" s="4">
        <f>$E754+11</f>
        <v>126</v>
      </c>
      <c r="V754" s="8">
        <f>IF($J754=0,0,ROUND(MAX($J754*1.4*1.5*1.6*1.6*2.2*2.715,354000000*(1.642074^(MIN($E754,123)-117)))*1,0))</f>
        <v>131285817</v>
      </c>
      <c r="W754" s="6">
        <f>$E754+15</f>
        <v>130</v>
      </c>
      <c r="X754" s="7">
        <f>IF($J754=0,0,ROUND(MAX($J754*1.4*1.5*1.6*1.6*2.2*2.715*2.6,3540000000*(1.579646^(MIN($E754,123)-117)))*1,0))</f>
        <v>1418677620</v>
      </c>
      <c r="Y754" s="4">
        <f>$E754+17</f>
        <v>132</v>
      </c>
      <c r="Z754" s="8">
        <f>IF($J754=0,0,ROUND(MAX($J754*1.4*1.5*1.6*1.6*2.2*2.715*2.6*1.4,6020000000*(1.651178^(MIN($E754,123)-117)))*1,0))</f>
        <v>2208048987</v>
      </c>
      <c r="AA754" s="6">
        <f>$E754+19</f>
        <v>134</v>
      </c>
      <c r="AB754" s="7">
        <f>IF($J754=0,0,ROUND(MAX($J754*1.4*1.5*1.6*1.6*2.2*2.715*2.6*1.4*1.4,8430000000*(1.651435^(MIN($E754,123)-117)))*1,0))</f>
        <v>3091039859</v>
      </c>
      <c r="AC754" s="4">
        <f>$E754+21</f>
        <v>136</v>
      </c>
      <c r="AD754" s="8">
        <f>IF($J754=0,0,ROUND(MAX($J754*1.4*1.5*1.6*1.6*2.2*2.715*2.6*1.4*1.4*1.5,12600000000*(1.652953^(MIN($E754,123)-117)))*1,0))</f>
        <v>4611577749</v>
      </c>
      <c r="AE754" s="6">
        <f>$E754+24</f>
        <v>139</v>
      </c>
      <c r="AF754" s="7">
        <f>IF($J754=0,0,ROUND(MAX($J754*1.4*1.5*1.6*1.6*2.2*2.715*2.6*1.4*1.4*1.5*1.5,18900000000*(1.65331^(MIN($E754,123)-117)))*1,0))</f>
        <v>6914379606</v>
      </c>
      <c r="AG754" s="4">
        <f>$E754+27</f>
        <v>142</v>
      </c>
      <c r="AH754" s="8">
        <f>IF($J754=0,0,ROUND(MAX($J754*1.4*1.5*1.6*1.6*2.2*2.715*2.6*1.4*1.4*1.5*1.5*3.2,60500000000*(1.654288^(MIN($E754,123)-117)))*1,0))</f>
        <v>22107169230</v>
      </c>
    </row>
    <row r="755" ht="27.75" customHeight="1" spans="1:34" x14ac:dyDescent="0.25">
      <c r="A755" s="3">
        <v>765</v>
      </c>
      <c r="B755" s="3" t="s">
        <v>110</v>
      </c>
      <c r="C755" s="3" t="s">
        <v>670</v>
      </c>
      <c r="D755" s="3" t="s">
        <v>64</v>
      </c>
      <c r="E755" s="3">
        <v>115</v>
      </c>
      <c r="F755" s="3" t="s">
        <v>59</v>
      </c>
      <c r="G755" s="3" t="s">
        <v>671</v>
      </c>
      <c r="H755" s="3">
        <v>29</v>
      </c>
      <c r="I755" s="4">
        <v>115</v>
      </c>
      <c r="J755" s="5">
        <v>506000</v>
      </c>
      <c r="K755" s="6">
        <f>$E755+1</f>
        <v>116</v>
      </c>
      <c r="L755" s="7">
        <f>IF($J755=0,0,ROUND(MAX($J755*1.4,1620000*(1.497923^(MIN($E755,123)-117)))*1,0))</f>
        <v>721998</v>
      </c>
      <c r="M755" s="4">
        <f>$E755+2</f>
        <v>117</v>
      </c>
      <c r="N755" s="8">
        <f>IF($J755=0,0,ROUND(MAX($J755*1.4*1.5,2190000*(1.580994^(MIN($E755,123)-117)))*1,0))</f>
        <v>1062600</v>
      </c>
      <c r="O755" s="6">
        <f>$E755+4</f>
        <v>119</v>
      </c>
      <c r="P755" s="7">
        <f>IF($J755=0,0,ROUND(MAX($J755*1.4*1.5*1.6,3500000*(1.57975^(MIN($E755,123)-117)))*1,0))</f>
        <v>1700160</v>
      </c>
      <c r="Q755" s="4">
        <f>$E755+6</f>
        <v>121</v>
      </c>
      <c r="R755" s="8">
        <f>IF($J755=0,0,ROUND(MAX($J755*1.4*1.5*1.6*1.6,13100000*(1.429962^(MIN($E755,123)-117)))*1,0))</f>
        <v>6406522</v>
      </c>
      <c r="S755" s="6">
        <f>$E755+8</f>
        <v>123</v>
      </c>
      <c r="T755" s="7">
        <f>IF($J755=0,0,ROUND(MAX($J755*1.4*1.5*1.6*1.6*2.2,42600000*(1.576904^(MIN($E755,123)-117)))*1,0))</f>
        <v>17131646</v>
      </c>
      <c r="U755" s="4">
        <f>$E755+11</f>
        <v>126</v>
      </c>
      <c r="V755" s="8">
        <f>IF($J755=0,0,ROUND(MAX($J755*1.4*1.5*1.6*1.6*2.2*2.715,354000000*(1.642074^(MIN($E755,123)-117)))*1,0))</f>
        <v>131285817</v>
      </c>
      <c r="W755" s="6">
        <f>$E755+15</f>
        <v>130</v>
      </c>
      <c r="X755" s="7">
        <f>IF($J755=0,0,ROUND(MAX($J755*1.4*1.5*1.6*1.6*2.2*2.715*2.6,3540000000*(1.579646^(MIN($E755,123)-117)))*1,0))</f>
        <v>1418677620</v>
      </c>
      <c r="Y755" s="4">
        <f>$E755+17</f>
        <v>132</v>
      </c>
      <c r="Z755" s="8">
        <f>IF($J755=0,0,ROUND(MAX($J755*1.4*1.5*1.6*1.6*2.2*2.715*2.6*1.4,6020000000*(1.651178^(MIN($E755,123)-117)))*1,0))</f>
        <v>2208048987</v>
      </c>
      <c r="AA755" s="6">
        <f>$E755+19</f>
        <v>134</v>
      </c>
      <c r="AB755" s="7">
        <f>IF($J755=0,0,ROUND(MAX($J755*1.4*1.5*1.6*1.6*2.2*2.715*2.6*1.4*1.4,8430000000*(1.651435^(MIN($E755,123)-117)))*1,0))</f>
        <v>3091039859</v>
      </c>
      <c r="AC755" s="4">
        <f>$E755+21</f>
        <v>136</v>
      </c>
      <c r="AD755" s="8">
        <f>IF($J755=0,0,ROUND(MAX($J755*1.4*1.5*1.6*1.6*2.2*2.715*2.6*1.4*1.4*1.5,12600000000*(1.652953^(MIN($E755,123)-117)))*1,0))</f>
        <v>4611577749</v>
      </c>
      <c r="AE755" s="6">
        <f>$E755+24</f>
        <v>139</v>
      </c>
      <c r="AF755" s="7">
        <f>IF($J755=0,0,ROUND(MAX($J755*1.4*1.5*1.6*1.6*2.2*2.715*2.6*1.4*1.4*1.5*1.5,18900000000*(1.65331^(MIN($E755,123)-117)))*1,0))</f>
        <v>6914379606</v>
      </c>
      <c r="AG755" s="4">
        <f>$E755+27</f>
        <v>142</v>
      </c>
      <c r="AH755" s="8">
        <f>IF($J755=0,0,ROUND(MAX($J755*1.4*1.5*1.6*1.6*2.2*2.715*2.6*1.4*1.4*1.5*1.5*3.2,60500000000*(1.654288^(MIN($E755,123)-117)))*1,0))</f>
        <v>22107169230</v>
      </c>
    </row>
    <row r="756" ht="27.75" customHeight="1" spans="1:34" x14ac:dyDescent="0.25">
      <c r="A756" s="3">
        <v>766</v>
      </c>
      <c r="B756" s="3" t="s">
        <v>130</v>
      </c>
      <c r="C756" s="3" t="s">
        <v>670</v>
      </c>
      <c r="D756" s="3" t="s">
        <v>45</v>
      </c>
      <c r="E756" s="3">
        <v>115</v>
      </c>
      <c r="F756" s="3" t="s">
        <v>56</v>
      </c>
      <c r="G756" s="3" t="s">
        <v>671</v>
      </c>
      <c r="H756" s="3">
        <v>29</v>
      </c>
      <c r="I756" s="4">
        <v>115</v>
      </c>
      <c r="J756" s="5">
        <v>650000</v>
      </c>
      <c r="K756" s="6">
        <f>$E756+1</f>
        <v>116</v>
      </c>
      <c r="L756" s="7">
        <f>IF($J756=0,0,ROUND(MAX($J756*1.4,1620000*(1.497923^(MIN($E756,123)-117)))*1,0))</f>
        <v>910000</v>
      </c>
      <c r="M756" s="4">
        <f>$E756+2</f>
        <v>117</v>
      </c>
      <c r="N756" s="8">
        <f>IF($J756=0,0,ROUND(MAX($J756*1.4*1.5,2190000*(1.580994^(MIN($E756,123)-117)))*1,0))</f>
        <v>1365000</v>
      </c>
      <c r="O756" s="6">
        <f>$E756+4</f>
        <v>119</v>
      </c>
      <c r="P756" s="7">
        <f>IF($J756=0,0,ROUND(MAX($J756*1.4*1.5*1.6,3500000*(1.57975^(MIN($E756,123)-117)))*1,0))</f>
        <v>2184000</v>
      </c>
      <c r="Q756" s="4">
        <f>$E756+6</f>
        <v>121</v>
      </c>
      <c r="R756" s="8">
        <f>IF($J756=0,0,ROUND(MAX($J756*1.4*1.5*1.6*1.6,13100000*(1.429962^(MIN($E756,123)-117)))*1,0))</f>
        <v>6406522</v>
      </c>
      <c r="S756" s="6">
        <f>$E756+8</f>
        <v>123</v>
      </c>
      <c r="T756" s="7">
        <f>IF($J756=0,0,ROUND(MAX($J756*1.4*1.5*1.6*1.6*2.2,42600000*(1.576904^(MIN($E756,123)-117)))*1,0))</f>
        <v>17131646</v>
      </c>
      <c r="U756" s="4">
        <f>$E756+11</f>
        <v>126</v>
      </c>
      <c r="V756" s="8">
        <f>IF($J756=0,0,ROUND(MAX($J756*1.4*1.5*1.6*1.6*2.2*2.715,354000000*(1.642074^(MIN($E756,123)-117)))*1,0))</f>
        <v>131285817</v>
      </c>
      <c r="W756" s="6">
        <f>$E756+15</f>
        <v>130</v>
      </c>
      <c r="X756" s="7">
        <f>IF($J756=0,0,ROUND(MAX($J756*1.4*1.5*1.6*1.6*2.2*2.715*2.6,3540000000*(1.579646^(MIN($E756,123)-117)))*1,0))</f>
        <v>1418677620</v>
      </c>
      <c r="Y756" s="4">
        <f>$E756+17</f>
        <v>132</v>
      </c>
      <c r="Z756" s="8">
        <f>IF($J756=0,0,ROUND(MAX($J756*1.4*1.5*1.6*1.6*2.2*2.715*2.6*1.4,6020000000*(1.651178^(MIN($E756,123)-117)))*1,0))</f>
        <v>2208048987</v>
      </c>
      <c r="AA756" s="6">
        <f>$E756+19</f>
        <v>134</v>
      </c>
      <c r="AB756" s="7">
        <f>IF($J756=0,0,ROUND(MAX($J756*1.4*1.5*1.6*1.6*2.2*2.715*2.6*1.4*1.4,8430000000*(1.651435^(MIN($E756,123)-117)))*1,0))</f>
        <v>3091039859</v>
      </c>
      <c r="AC756" s="4">
        <f>$E756+21</f>
        <v>136</v>
      </c>
      <c r="AD756" s="8">
        <f>IF($J756=0,0,ROUND(MAX($J756*1.4*1.5*1.6*1.6*2.2*2.715*2.6*1.4*1.4*1.5,12600000000*(1.652953^(MIN($E756,123)-117)))*1,0))</f>
        <v>4611577749</v>
      </c>
      <c r="AE756" s="6">
        <f>$E756+24</f>
        <v>139</v>
      </c>
      <c r="AF756" s="7">
        <f>IF($J756=0,0,ROUND(MAX($J756*1.4*1.5*1.6*1.6*2.2*2.715*2.6*1.4*1.4*1.5*1.5,18900000000*(1.65331^(MIN($E756,123)-117)))*1,0))</f>
        <v>6914379606</v>
      </c>
      <c r="AG756" s="4">
        <f>$E756+27</f>
        <v>142</v>
      </c>
      <c r="AH756" s="8">
        <f>IF($J756=0,0,ROUND(MAX($J756*1.4*1.5*1.6*1.6*2.2*2.715*2.6*1.4*1.4*1.5*1.5*3.2,60500000000*(1.654288^(MIN($E756,123)-117)))*1,0))</f>
        <v>22107169230</v>
      </c>
    </row>
    <row r="757" ht="27.75" customHeight="1" spans="1:34" x14ac:dyDescent="0.25">
      <c r="A757" s="3">
        <v>767</v>
      </c>
      <c r="B757" s="3" t="s">
        <v>234</v>
      </c>
      <c r="C757" s="3" t="s">
        <v>670</v>
      </c>
      <c r="D757" s="3" t="s">
        <v>40</v>
      </c>
      <c r="E757" s="3">
        <v>115</v>
      </c>
      <c r="F757" s="3" t="s">
        <v>223</v>
      </c>
      <c r="G757" s="3" t="s">
        <v>185</v>
      </c>
      <c r="H757" s="3">
        <v>28</v>
      </c>
      <c r="I757" s="4">
        <v>115</v>
      </c>
      <c r="J757" s="5">
        <v>421000</v>
      </c>
      <c r="K757" s="6">
        <f>$E757+1</f>
        <v>116</v>
      </c>
      <c r="L757" s="7">
        <f>IF($J757=0,0,ROUND(MAX($J757*1.4,1620000*(1.497923^(MIN($E757,123)-117)))*1,0))</f>
        <v>721998</v>
      </c>
      <c r="M757" s="4">
        <f>$E757+2</f>
        <v>117</v>
      </c>
      <c r="N757" s="8">
        <f>IF($J757=0,0,ROUND(MAX($J757*1.4*1.5,2190000*(1.580994^(MIN($E757,123)-117)))*1,0))</f>
        <v>884100</v>
      </c>
      <c r="O757" s="6">
        <f>$E757+4</f>
        <v>119</v>
      </c>
      <c r="P757" s="7">
        <f>IF($J757=0,0,ROUND(MAX($J757*1.4*1.5*1.6,3500000*(1.57975^(MIN($E757,123)-117)))*1,0))</f>
        <v>1414560</v>
      </c>
      <c r="Q757" s="4">
        <f>$E757+6</f>
        <v>121</v>
      </c>
      <c r="R757" s="8">
        <f>IF($J757=0,0,ROUND(MAX($J757*1.4*1.5*1.6*1.6,13100000*(1.429962^(MIN($E757,123)-117)))*1,0))</f>
        <v>6406522</v>
      </c>
      <c r="S757" s="6">
        <f>$E757+8</f>
        <v>123</v>
      </c>
      <c r="T757" s="7">
        <f>IF($J757=0,0,ROUND(MAX($J757*1.4*1.5*1.6*1.6*2.2,42600000*(1.576904^(MIN($E757,123)-117)))*1,0))</f>
        <v>17131646</v>
      </c>
      <c r="U757" s="4">
        <f>$E757+11</f>
        <v>126</v>
      </c>
      <c r="V757" s="8">
        <f>IF($J757=0,0,ROUND(MAX($J757*1.4*1.5*1.6*1.6*2.2*2.715,354000000*(1.642074^(MIN($E757,123)-117)))*1,0))</f>
        <v>131285817</v>
      </c>
      <c r="W757" s="6">
        <f>$E757+15</f>
        <v>130</v>
      </c>
      <c r="X757" s="7">
        <f>IF($J757=0,0,ROUND(MAX($J757*1.4*1.5*1.6*1.6*2.2*2.715*2.6,3540000000*(1.579646^(MIN($E757,123)-117)))*1,0))</f>
        <v>1418677620</v>
      </c>
      <c r="Y757" s="4">
        <f>$E757+17</f>
        <v>132</v>
      </c>
      <c r="Z757" s="8">
        <f>IF($J757=0,0,ROUND(MAX($J757*1.4*1.5*1.6*1.6*2.2*2.715*2.6*1.4,6020000000*(1.651178^(MIN($E757,123)-117)))*1,0))</f>
        <v>2208048987</v>
      </c>
      <c r="AA757" s="6">
        <f>$E757+19</f>
        <v>134</v>
      </c>
      <c r="AB757" s="7">
        <f>IF($J757=0,0,ROUND(MAX($J757*1.4*1.5*1.6*1.6*2.2*2.715*2.6*1.4*1.4,8430000000*(1.651435^(MIN($E757,123)-117)))*1,0))</f>
        <v>3091039859</v>
      </c>
      <c r="AC757" s="4">
        <f>$E757+21</f>
        <v>136</v>
      </c>
      <c r="AD757" s="8">
        <f>IF($J757=0,0,ROUND(MAX($J757*1.4*1.5*1.6*1.6*2.2*2.715*2.6*1.4*1.4*1.5,12600000000*(1.652953^(MIN($E757,123)-117)))*1,0))</f>
        <v>4611577749</v>
      </c>
      <c r="AE757" s="6">
        <f>$E757+24</f>
        <v>139</v>
      </c>
      <c r="AF757" s="7">
        <f>IF($J757=0,0,ROUND(MAX($J757*1.4*1.5*1.6*1.6*2.2*2.715*2.6*1.4*1.4*1.5*1.5,18900000000*(1.65331^(MIN($E757,123)-117)))*1,0))</f>
        <v>6914379606</v>
      </c>
      <c r="AG757" s="4">
        <f>$E757+27</f>
        <v>142</v>
      </c>
      <c r="AH757" s="8">
        <f>IF($J757=0,0,ROUND(MAX($J757*1.4*1.5*1.6*1.6*2.2*2.715*2.6*1.4*1.4*1.5*1.5*3.2,60500000000*(1.654288^(MIN($E757,123)-117)))*1,0))</f>
        <v>22107169230</v>
      </c>
    </row>
    <row r="758" ht="27.75" customHeight="1" spans="1:34" x14ac:dyDescent="0.25">
      <c r="A758" s="3">
        <v>768</v>
      </c>
      <c r="B758" s="3" t="s">
        <v>99</v>
      </c>
      <c r="C758" s="3" t="s">
        <v>670</v>
      </c>
      <c r="D758" s="3" t="s">
        <v>29</v>
      </c>
      <c r="E758" s="3">
        <v>114</v>
      </c>
      <c r="F758" s="3" t="s">
        <v>54</v>
      </c>
      <c r="G758" s="3" t="s">
        <v>671</v>
      </c>
      <c r="H758" s="3">
        <v>29</v>
      </c>
      <c r="I758" s="4">
        <v>114</v>
      </c>
      <c r="J758" s="5">
        <v>181000</v>
      </c>
      <c r="K758" s="6">
        <f>$E758+1</f>
        <v>115</v>
      </c>
      <c r="L758" s="7">
        <f>IF($J758=0,0,ROUND(MAX($J758*1.4,1620000*(1.497923^(MIN($E758,123)-117)))*1,0))</f>
        <v>481999</v>
      </c>
      <c r="M758" s="4">
        <f>$E758+2</f>
        <v>116</v>
      </c>
      <c r="N758" s="8">
        <f>IF($J758=0,0,ROUND(MAX($J758*1.4*1.5,2190000*(1.580994^(MIN($E758,123)-117)))*1,0))</f>
        <v>554183</v>
      </c>
      <c r="O758" s="6">
        <f>$E758+4</f>
        <v>118</v>
      </c>
      <c r="P758" s="7">
        <f>IF($J758=0,0,ROUND(MAX($J758*1.4*1.5*1.6,3500000*(1.57975^(MIN($E758,123)-117)))*1,0))</f>
        <v>887775</v>
      </c>
      <c r="Q758" s="4">
        <f>$E758+6</f>
        <v>120</v>
      </c>
      <c r="R758" s="8">
        <f>IF($J758=0,0,ROUND(MAX($J758*1.4*1.5*1.6*1.6,13100000*(1.429962^(MIN($E758,123)-117)))*1,0))</f>
        <v>4480204</v>
      </c>
      <c r="S758" s="6">
        <f>$E758+8</f>
        <v>122</v>
      </c>
      <c r="T758" s="7">
        <f>IF($J758=0,0,ROUND(MAX($J758*1.4*1.5*1.6*1.6*2.2,42600000*(1.576904^(MIN($E758,123)-117)))*1,0))</f>
        <v>10864102</v>
      </c>
      <c r="U758" s="4">
        <f>$E758+11</f>
        <v>125</v>
      </c>
      <c r="V758" s="8">
        <f>IF($J758=0,0,ROUND(MAX($J758*1.4*1.5*1.6*1.6*2.2*2.715,354000000*(1.642074^(MIN($E758,123)-117)))*1,0))</f>
        <v>79951219</v>
      </c>
      <c r="W758" s="6">
        <f>$E758+15</f>
        <v>129</v>
      </c>
      <c r="X758" s="7">
        <f>IF($J758=0,0,ROUND(MAX($J758*1.4*1.5*1.6*1.6*2.2*2.715*2.6,3540000000*(1.579646^(MIN($E758,123)-117)))*1,0))</f>
        <v>898098448</v>
      </c>
      <c r="Y758" s="4">
        <f>$E758+17</f>
        <v>131</v>
      </c>
      <c r="Z758" s="8">
        <f>IF($J758=0,0,ROUND(MAX($J758*1.4*1.5*1.6*1.6*2.2*2.715*2.6*1.4,6020000000*(1.651178^(MIN($E758,123)-117)))*1,0))</f>
        <v>1337256787</v>
      </c>
      <c r="AA758" s="6">
        <f>$E758+19</f>
        <v>133</v>
      </c>
      <c r="AB758" s="7">
        <f>IF($J758=0,0,ROUND(MAX($J758*1.4*1.5*1.6*1.6*2.2*2.715*2.6*1.4*1.4,8430000000*(1.651435^(MIN($E758,123)-117)))*1,0))</f>
        <v>1871729653</v>
      </c>
      <c r="AC758" s="4">
        <f>$E758+21</f>
        <v>135</v>
      </c>
      <c r="AD758" s="8">
        <f>IF($J758=0,0,ROUND(MAX($J758*1.4*1.5*1.6*1.6*2.2*2.715*2.6*1.4*1.4*1.5,12600000000*(1.652953^(MIN($E758,123)-117)))*1,0))</f>
        <v>2789902525</v>
      </c>
      <c r="AE758" s="6">
        <f>$E758+24</f>
        <v>138</v>
      </c>
      <c r="AF758" s="7">
        <f>IF($J758=0,0,ROUND(MAX($J758*1.4*1.5*1.6*1.6*2.2*2.715*2.6*1.4*1.4*1.5*1.5,18900000000*(1.65331^(MIN($E758,123)-117)))*1,0))</f>
        <v>4182143461</v>
      </c>
      <c r="AG758" s="4">
        <f>$E758+27</f>
        <v>141</v>
      </c>
      <c r="AH758" s="8">
        <f>IF($J758=0,0,ROUND(MAX($J758*1.4*1.5*1.6*1.6*2.2*2.715*2.6*1.4*1.4*1.5*1.5*3.2,60500000000*(1.654288^(MIN($E758,123)-117)))*1,0))</f>
        <v>13363555336</v>
      </c>
    </row>
    <row r="759" ht="27.75" customHeight="1" spans="1:34" x14ac:dyDescent="0.25">
      <c r="A759" s="3">
        <v>769</v>
      </c>
      <c r="B759" s="3" t="s">
        <v>149</v>
      </c>
      <c r="C759" s="3" t="s">
        <v>670</v>
      </c>
      <c r="D759" s="3" t="s">
        <v>33</v>
      </c>
      <c r="E759" s="3">
        <v>114</v>
      </c>
      <c r="F759" s="3" t="s">
        <v>56</v>
      </c>
      <c r="G759" s="3" t="s">
        <v>671</v>
      </c>
      <c r="H759" s="3">
        <v>29</v>
      </c>
      <c r="I759" s="4">
        <v>114</v>
      </c>
      <c r="J759" s="5">
        <v>236000</v>
      </c>
      <c r="K759" s="6">
        <f>$E759+1</f>
        <v>115</v>
      </c>
      <c r="L759" s="7">
        <f>IF($J759=0,0,ROUND(MAX($J759*1.4,1620000*(1.497923^(MIN($E759,123)-117)))*1,0))</f>
        <v>481999</v>
      </c>
      <c r="M759" s="4">
        <f>$E759+2</f>
        <v>116</v>
      </c>
      <c r="N759" s="8">
        <f>IF($J759=0,0,ROUND(MAX($J759*1.4*1.5,2190000*(1.580994^(MIN($E759,123)-117)))*1,0))</f>
        <v>554183</v>
      </c>
      <c r="O759" s="6">
        <f>$E759+4</f>
        <v>118</v>
      </c>
      <c r="P759" s="7">
        <f>IF($J759=0,0,ROUND(MAX($J759*1.4*1.5*1.6,3500000*(1.57975^(MIN($E759,123)-117)))*1,0))</f>
        <v>887775</v>
      </c>
      <c r="Q759" s="4">
        <f>$E759+6</f>
        <v>120</v>
      </c>
      <c r="R759" s="8">
        <f>IF($J759=0,0,ROUND(MAX($J759*1.4*1.5*1.6*1.6,13100000*(1.429962^(MIN($E759,123)-117)))*1,0))</f>
        <v>4480204</v>
      </c>
      <c r="S759" s="6">
        <f>$E759+8</f>
        <v>122</v>
      </c>
      <c r="T759" s="7">
        <f>IF($J759=0,0,ROUND(MAX($J759*1.4*1.5*1.6*1.6*2.2,42600000*(1.576904^(MIN($E759,123)-117)))*1,0))</f>
        <v>10864102</v>
      </c>
      <c r="U759" s="4">
        <f>$E759+11</f>
        <v>125</v>
      </c>
      <c r="V759" s="8">
        <f>IF($J759=0,0,ROUND(MAX($J759*1.4*1.5*1.6*1.6*2.2*2.715,354000000*(1.642074^(MIN($E759,123)-117)))*1,0))</f>
        <v>79951219</v>
      </c>
      <c r="W759" s="6">
        <f>$E759+15</f>
        <v>129</v>
      </c>
      <c r="X759" s="7">
        <f>IF($J759=0,0,ROUND(MAX($J759*1.4*1.5*1.6*1.6*2.2*2.715*2.6,3540000000*(1.579646^(MIN($E759,123)-117)))*1,0))</f>
        <v>898098448</v>
      </c>
      <c r="Y759" s="4">
        <f>$E759+17</f>
        <v>131</v>
      </c>
      <c r="Z759" s="8">
        <f>IF($J759=0,0,ROUND(MAX($J759*1.4*1.5*1.6*1.6*2.2*2.715*2.6*1.4,6020000000*(1.651178^(MIN($E759,123)-117)))*1,0))</f>
        <v>1337256787</v>
      </c>
      <c r="AA759" s="6">
        <f>$E759+19</f>
        <v>133</v>
      </c>
      <c r="AB759" s="7">
        <f>IF($J759=0,0,ROUND(MAX($J759*1.4*1.5*1.6*1.6*2.2*2.715*2.6*1.4*1.4,8430000000*(1.651435^(MIN($E759,123)-117)))*1,0))</f>
        <v>1871729653</v>
      </c>
      <c r="AC759" s="4">
        <f>$E759+21</f>
        <v>135</v>
      </c>
      <c r="AD759" s="8">
        <f>IF($J759=0,0,ROUND(MAX($J759*1.4*1.5*1.6*1.6*2.2*2.715*2.6*1.4*1.4*1.5,12600000000*(1.652953^(MIN($E759,123)-117)))*1,0))</f>
        <v>2789902525</v>
      </c>
      <c r="AE759" s="6">
        <f>$E759+24</f>
        <v>138</v>
      </c>
      <c r="AF759" s="7">
        <f>IF($J759=0,0,ROUND(MAX($J759*1.4*1.5*1.6*1.6*2.2*2.715*2.6*1.4*1.4*1.5*1.5,18900000000*(1.65331^(MIN($E759,123)-117)))*1,0))</f>
        <v>4182143461</v>
      </c>
      <c r="AG759" s="4">
        <f>$E759+27</f>
        <v>141</v>
      </c>
      <c r="AH759" s="8">
        <f>IF($J759=0,0,ROUND(MAX($J759*1.4*1.5*1.6*1.6*2.2*2.715*2.6*1.4*1.4*1.5*1.5*3.2,60500000000*(1.654288^(MIN($E759,123)-117)))*1,0))</f>
        <v>13363555336</v>
      </c>
    </row>
    <row r="760" ht="27.75" customHeight="1" spans="1:34" x14ac:dyDescent="0.25">
      <c r="A760" s="3">
        <v>770</v>
      </c>
      <c r="B760" s="3" t="s">
        <v>151</v>
      </c>
      <c r="C760" s="3" t="s">
        <v>670</v>
      </c>
      <c r="D760" s="3" t="s">
        <v>40</v>
      </c>
      <c r="E760" s="3">
        <v>114</v>
      </c>
      <c r="F760" s="3" t="s">
        <v>42</v>
      </c>
      <c r="G760" s="3" t="s">
        <v>671</v>
      </c>
      <c r="H760" s="3">
        <v>28</v>
      </c>
      <c r="I760" s="4">
        <v>114</v>
      </c>
      <c r="J760" s="5">
        <v>255000</v>
      </c>
      <c r="K760" s="6">
        <f>$E760+1</f>
        <v>115</v>
      </c>
      <c r="L760" s="7">
        <f>IF($J760=0,0,ROUND(MAX($J760*1.4,1620000*(1.497923^(MIN($E760,123)-117)))*1,0))</f>
        <v>481999</v>
      </c>
      <c r="M760" s="4">
        <f>$E760+2</f>
        <v>116</v>
      </c>
      <c r="N760" s="8">
        <f>IF($J760=0,0,ROUND(MAX($J760*1.4*1.5,2190000*(1.580994^(MIN($E760,123)-117)))*1,0))</f>
        <v>554183</v>
      </c>
      <c r="O760" s="6">
        <f>$E760+4</f>
        <v>118</v>
      </c>
      <c r="P760" s="7">
        <f>IF($J760=0,0,ROUND(MAX($J760*1.4*1.5*1.6,3500000*(1.57975^(MIN($E760,123)-117)))*1,0))</f>
        <v>887775</v>
      </c>
      <c r="Q760" s="4">
        <f>$E760+6</f>
        <v>120</v>
      </c>
      <c r="R760" s="8">
        <f>IF($J760=0,0,ROUND(MAX($J760*1.4*1.5*1.6*1.6,13100000*(1.429962^(MIN($E760,123)-117)))*1,0))</f>
        <v>4480204</v>
      </c>
      <c r="S760" s="6">
        <f>$E760+8</f>
        <v>122</v>
      </c>
      <c r="T760" s="7">
        <f>IF($J760=0,0,ROUND(MAX($J760*1.4*1.5*1.6*1.6*2.2,42600000*(1.576904^(MIN($E760,123)-117)))*1,0))</f>
        <v>10864102</v>
      </c>
      <c r="U760" s="4">
        <f>$E760+11</f>
        <v>125</v>
      </c>
      <c r="V760" s="8">
        <f>IF($J760=0,0,ROUND(MAX($J760*1.4*1.5*1.6*1.6*2.2*2.715,354000000*(1.642074^(MIN($E760,123)-117)))*1,0))</f>
        <v>79951219</v>
      </c>
      <c r="W760" s="6">
        <f>$E760+15</f>
        <v>129</v>
      </c>
      <c r="X760" s="7">
        <f>IF($J760=0,0,ROUND(MAX($J760*1.4*1.5*1.6*1.6*2.2*2.715*2.6,3540000000*(1.579646^(MIN($E760,123)-117)))*1,0))</f>
        <v>898098448</v>
      </c>
      <c r="Y760" s="4">
        <f>$E760+17</f>
        <v>131</v>
      </c>
      <c r="Z760" s="8">
        <f>IF($J760=0,0,ROUND(MAX($J760*1.4*1.5*1.6*1.6*2.2*2.715*2.6*1.4,6020000000*(1.651178^(MIN($E760,123)-117)))*1,0))</f>
        <v>1337256787</v>
      </c>
      <c r="AA760" s="6">
        <f>$E760+19</f>
        <v>133</v>
      </c>
      <c r="AB760" s="7">
        <f>IF($J760=0,0,ROUND(MAX($J760*1.4*1.5*1.6*1.6*2.2*2.715*2.6*1.4*1.4,8430000000*(1.651435^(MIN($E760,123)-117)))*1,0))</f>
        <v>1871729653</v>
      </c>
      <c r="AC760" s="4">
        <f>$E760+21</f>
        <v>135</v>
      </c>
      <c r="AD760" s="8">
        <f>IF($J760=0,0,ROUND(MAX($J760*1.4*1.5*1.6*1.6*2.2*2.715*2.6*1.4*1.4*1.5,12600000000*(1.652953^(MIN($E760,123)-117)))*1,0))</f>
        <v>2789902525</v>
      </c>
      <c r="AE760" s="6">
        <f>$E760+24</f>
        <v>138</v>
      </c>
      <c r="AF760" s="7">
        <f>IF($J760=0,0,ROUND(MAX($J760*1.4*1.5*1.6*1.6*2.2*2.715*2.6*1.4*1.4*1.5*1.5,18900000000*(1.65331^(MIN($E760,123)-117)))*1,0))</f>
        <v>4182143461</v>
      </c>
      <c r="AG760" s="4">
        <f>$E760+27</f>
        <v>141</v>
      </c>
      <c r="AH760" s="8">
        <f>IF($J760=0,0,ROUND(MAX($J760*1.4*1.5*1.6*1.6*2.2*2.715*2.6*1.4*1.4*1.5*1.5*3.2,60500000000*(1.654288^(MIN($E760,123)-117)))*1,0))</f>
        <v>13363555336</v>
      </c>
    </row>
    <row r="761" ht="27.75" customHeight="1" spans="1:34" x14ac:dyDescent="0.25">
      <c r="A761" s="3">
        <v>771</v>
      </c>
      <c r="B761" s="3" t="s">
        <v>84</v>
      </c>
      <c r="C761" s="3" t="s">
        <v>670</v>
      </c>
      <c r="D761" s="3" t="s">
        <v>45</v>
      </c>
      <c r="E761" s="3">
        <v>114</v>
      </c>
      <c r="F761" s="3" t="s">
        <v>62</v>
      </c>
      <c r="G761" s="3" t="s">
        <v>671</v>
      </c>
      <c r="H761" s="3">
        <v>28</v>
      </c>
      <c r="I761" s="4">
        <v>114</v>
      </c>
      <c r="J761" s="5">
        <v>139000</v>
      </c>
      <c r="K761" s="6">
        <f>$E761+1</f>
        <v>115</v>
      </c>
      <c r="L761" s="7">
        <f>IF($J761=0,0,ROUND(MAX($J761*1.4,1620000*(1.497923^(MIN($E761,123)-117)))*1,0))</f>
        <v>481999</v>
      </c>
      <c r="M761" s="4">
        <f>$E761+2</f>
        <v>116</v>
      </c>
      <c r="N761" s="8">
        <f>IF($J761=0,0,ROUND(MAX($J761*1.4*1.5,2190000*(1.580994^(MIN($E761,123)-117)))*1,0))</f>
        <v>554183</v>
      </c>
      <c r="O761" s="6">
        <f>$E761+4</f>
        <v>118</v>
      </c>
      <c r="P761" s="7">
        <f>IF($J761=0,0,ROUND(MAX($J761*1.4*1.5*1.6,3500000*(1.57975^(MIN($E761,123)-117)))*1,0))</f>
        <v>887775</v>
      </c>
      <c r="Q761" s="4">
        <f>$E761+6</f>
        <v>120</v>
      </c>
      <c r="R761" s="8">
        <f>IF($J761=0,0,ROUND(MAX($J761*1.4*1.5*1.6*1.6,13100000*(1.429962^(MIN($E761,123)-117)))*1,0))</f>
        <v>4480204</v>
      </c>
      <c r="S761" s="6">
        <f>$E761+8</f>
        <v>122</v>
      </c>
      <c r="T761" s="7">
        <f>IF($J761=0,0,ROUND(MAX($J761*1.4*1.5*1.6*1.6*2.2,42600000*(1.576904^(MIN($E761,123)-117)))*1,0))</f>
        <v>10864102</v>
      </c>
      <c r="U761" s="4">
        <f>$E761+11</f>
        <v>125</v>
      </c>
      <c r="V761" s="8">
        <f>IF($J761=0,0,ROUND(MAX($J761*1.4*1.5*1.6*1.6*2.2*2.715,354000000*(1.642074^(MIN($E761,123)-117)))*1,0))</f>
        <v>79951219</v>
      </c>
      <c r="W761" s="6">
        <f>$E761+15</f>
        <v>129</v>
      </c>
      <c r="X761" s="7">
        <f>IF($J761=0,0,ROUND(MAX($J761*1.4*1.5*1.6*1.6*2.2*2.715*2.6,3540000000*(1.579646^(MIN($E761,123)-117)))*1,0))</f>
        <v>898098448</v>
      </c>
      <c r="Y761" s="4">
        <f>$E761+17</f>
        <v>131</v>
      </c>
      <c r="Z761" s="8">
        <f>IF($J761=0,0,ROUND(MAX($J761*1.4*1.5*1.6*1.6*2.2*2.715*2.6*1.4,6020000000*(1.651178^(MIN($E761,123)-117)))*1,0))</f>
        <v>1337256787</v>
      </c>
      <c r="AA761" s="6">
        <f>$E761+19</f>
        <v>133</v>
      </c>
      <c r="AB761" s="7">
        <f>IF($J761=0,0,ROUND(MAX($J761*1.4*1.5*1.6*1.6*2.2*2.715*2.6*1.4*1.4,8430000000*(1.651435^(MIN($E761,123)-117)))*1,0))</f>
        <v>1871729653</v>
      </c>
      <c r="AC761" s="4">
        <f>$E761+21</f>
        <v>135</v>
      </c>
      <c r="AD761" s="8">
        <f>IF($J761=0,0,ROUND(MAX($J761*1.4*1.5*1.6*1.6*2.2*2.715*2.6*1.4*1.4*1.5,12600000000*(1.652953^(MIN($E761,123)-117)))*1,0))</f>
        <v>2789902525</v>
      </c>
      <c r="AE761" s="6">
        <f>$E761+24</f>
        <v>138</v>
      </c>
      <c r="AF761" s="7">
        <f>IF($J761=0,0,ROUND(MAX($J761*1.4*1.5*1.6*1.6*2.2*2.715*2.6*1.4*1.4*1.5*1.5,18900000000*(1.65331^(MIN($E761,123)-117)))*1,0))</f>
        <v>4182143461</v>
      </c>
      <c r="AG761" s="4">
        <f>$E761+27</f>
        <v>141</v>
      </c>
      <c r="AH761" s="8">
        <f>IF($J761=0,0,ROUND(MAX($J761*1.4*1.5*1.6*1.6*2.2*2.715*2.6*1.4*1.4*1.5*1.5*3.2,60500000000*(1.654288^(MIN($E761,123)-117)))*1,0))</f>
        <v>13363555336</v>
      </c>
    </row>
    <row r="762" ht="27.75" customHeight="1" spans="1:34" x14ac:dyDescent="0.25">
      <c r="A762" s="3">
        <v>772</v>
      </c>
      <c r="B762" s="3" t="s">
        <v>100</v>
      </c>
      <c r="C762" s="3" t="s">
        <v>670</v>
      </c>
      <c r="D762" s="3" t="s">
        <v>33</v>
      </c>
      <c r="E762" s="3">
        <v>114</v>
      </c>
      <c r="F762" s="3" t="s">
        <v>62</v>
      </c>
      <c r="G762" s="3" t="s">
        <v>671</v>
      </c>
      <c r="H762" s="3">
        <v>28</v>
      </c>
      <c r="I762" s="4">
        <v>114</v>
      </c>
      <c r="J762" s="5">
        <v>359000</v>
      </c>
      <c r="K762" s="6">
        <f>$E762+1</f>
        <v>115</v>
      </c>
      <c r="L762" s="7">
        <f>IF($J762=0,0,ROUND(MAX($J762*1.4,1620000*(1.497923^(MIN($E762,123)-117)))*1,0))</f>
        <v>502600</v>
      </c>
      <c r="M762" s="4">
        <f>$E762+2</f>
        <v>116</v>
      </c>
      <c r="N762" s="8">
        <f>IF($J762=0,0,ROUND(MAX($J762*1.4*1.5,2190000*(1.580994^(MIN($E762,123)-117)))*1,0))</f>
        <v>753900</v>
      </c>
      <c r="O762" s="6">
        <f>$E762+4</f>
        <v>118</v>
      </c>
      <c r="P762" s="7">
        <f>IF($J762=0,0,ROUND(MAX($J762*1.4*1.5*1.6,3500000*(1.57975^(MIN($E762,123)-117)))*1,0))</f>
        <v>1206240</v>
      </c>
      <c r="Q762" s="4">
        <f>$E762+6</f>
        <v>120</v>
      </c>
      <c r="R762" s="8">
        <f>IF($J762=0,0,ROUND(MAX($J762*1.4*1.5*1.6*1.6,13100000*(1.429962^(MIN($E762,123)-117)))*1,0))</f>
        <v>4480204</v>
      </c>
      <c r="S762" s="6">
        <f>$E762+8</f>
        <v>122</v>
      </c>
      <c r="T762" s="7">
        <f>IF($J762=0,0,ROUND(MAX($J762*1.4*1.5*1.6*1.6*2.2,42600000*(1.576904^(MIN($E762,123)-117)))*1,0))</f>
        <v>10864102</v>
      </c>
      <c r="U762" s="4">
        <f>$E762+11</f>
        <v>125</v>
      </c>
      <c r="V762" s="8">
        <f>IF($J762=0,0,ROUND(MAX($J762*1.4*1.5*1.6*1.6*2.2*2.715,354000000*(1.642074^(MIN($E762,123)-117)))*1,0))</f>
        <v>79951219</v>
      </c>
      <c r="W762" s="6">
        <f>$E762+15</f>
        <v>129</v>
      </c>
      <c r="X762" s="7">
        <f>IF($J762=0,0,ROUND(MAX($J762*1.4*1.5*1.6*1.6*2.2*2.715*2.6,3540000000*(1.579646^(MIN($E762,123)-117)))*1,0))</f>
        <v>898098448</v>
      </c>
      <c r="Y762" s="4">
        <f>$E762+17</f>
        <v>131</v>
      </c>
      <c r="Z762" s="8">
        <f>IF($J762=0,0,ROUND(MAX($J762*1.4*1.5*1.6*1.6*2.2*2.715*2.6*1.4,6020000000*(1.651178^(MIN($E762,123)-117)))*1,0))</f>
        <v>1337256787</v>
      </c>
      <c r="AA762" s="6">
        <f>$E762+19</f>
        <v>133</v>
      </c>
      <c r="AB762" s="7">
        <f>IF($J762=0,0,ROUND(MAX($J762*1.4*1.5*1.6*1.6*2.2*2.715*2.6*1.4*1.4,8430000000*(1.651435^(MIN($E762,123)-117)))*1,0))</f>
        <v>1871729653</v>
      </c>
      <c r="AC762" s="4">
        <f>$E762+21</f>
        <v>135</v>
      </c>
      <c r="AD762" s="8">
        <f>IF($J762=0,0,ROUND(MAX($J762*1.4*1.5*1.6*1.6*2.2*2.715*2.6*1.4*1.4*1.5,12600000000*(1.652953^(MIN($E762,123)-117)))*1,0))</f>
        <v>2789902525</v>
      </c>
      <c r="AE762" s="6">
        <f>$E762+24</f>
        <v>138</v>
      </c>
      <c r="AF762" s="7">
        <f>IF($J762=0,0,ROUND(MAX($J762*1.4*1.5*1.6*1.6*2.2*2.715*2.6*1.4*1.4*1.5*1.5,18900000000*(1.65331^(MIN($E762,123)-117)))*1,0))</f>
        <v>4182143461</v>
      </c>
      <c r="AG762" s="4">
        <f>$E762+27</f>
        <v>141</v>
      </c>
      <c r="AH762" s="8">
        <f>IF($J762=0,0,ROUND(MAX($J762*1.4*1.5*1.6*1.6*2.2*2.715*2.6*1.4*1.4*1.5*1.5*3.2,60500000000*(1.654288^(MIN($E762,123)-117)))*1,0))</f>
        <v>13363555336</v>
      </c>
    </row>
    <row r="763" ht="27.75" customHeight="1" spans="1:34" x14ac:dyDescent="0.25">
      <c r="A763" s="3">
        <v>773</v>
      </c>
      <c r="B763" s="3" t="s">
        <v>76</v>
      </c>
      <c r="C763" s="3" t="s">
        <v>670</v>
      </c>
      <c r="D763" s="3" t="s">
        <v>25</v>
      </c>
      <c r="E763" s="3">
        <v>114</v>
      </c>
      <c r="F763" s="3" t="s">
        <v>62</v>
      </c>
      <c r="G763" s="3" t="s">
        <v>671</v>
      </c>
      <c r="H763" s="3">
        <v>28</v>
      </c>
      <c r="I763" s="4">
        <v>114</v>
      </c>
      <c r="J763" s="5">
        <v>281000</v>
      </c>
      <c r="K763" s="6">
        <f>$E763+1</f>
        <v>115</v>
      </c>
      <c r="L763" s="7">
        <f>IF($J763=0,0,ROUND(MAX($J763*1.4,1620000*(1.497923^(MIN($E763,123)-117)))*1,0))</f>
        <v>481999</v>
      </c>
      <c r="M763" s="4">
        <f>$E763+2</f>
        <v>116</v>
      </c>
      <c r="N763" s="8">
        <f>IF($J763=0,0,ROUND(MAX($J763*1.4*1.5,2190000*(1.580994^(MIN($E763,123)-117)))*1,0))</f>
        <v>590100</v>
      </c>
      <c r="O763" s="6">
        <f>$E763+4</f>
        <v>118</v>
      </c>
      <c r="P763" s="7">
        <f>IF($J763=0,0,ROUND(MAX($J763*1.4*1.5*1.6,3500000*(1.57975^(MIN($E763,123)-117)))*1,0))</f>
        <v>944160</v>
      </c>
      <c r="Q763" s="4">
        <f>$E763+6</f>
        <v>120</v>
      </c>
      <c r="R763" s="8">
        <f>IF($J763=0,0,ROUND(MAX($J763*1.4*1.5*1.6*1.6,13100000*(1.429962^(MIN($E763,123)-117)))*1,0))</f>
        <v>4480204</v>
      </c>
      <c r="S763" s="6">
        <f>$E763+8</f>
        <v>122</v>
      </c>
      <c r="T763" s="7">
        <f>IF($J763=0,0,ROUND(MAX($J763*1.4*1.5*1.6*1.6*2.2,42600000*(1.576904^(MIN($E763,123)-117)))*1,0))</f>
        <v>10864102</v>
      </c>
      <c r="U763" s="4">
        <f>$E763+11</f>
        <v>125</v>
      </c>
      <c r="V763" s="8">
        <f>IF($J763=0,0,ROUND(MAX($J763*1.4*1.5*1.6*1.6*2.2*2.715,354000000*(1.642074^(MIN($E763,123)-117)))*1,0))</f>
        <v>79951219</v>
      </c>
      <c r="W763" s="6">
        <f>$E763+15</f>
        <v>129</v>
      </c>
      <c r="X763" s="7">
        <f>IF($J763=0,0,ROUND(MAX($J763*1.4*1.5*1.6*1.6*2.2*2.715*2.6,3540000000*(1.579646^(MIN($E763,123)-117)))*1,0))</f>
        <v>898098448</v>
      </c>
      <c r="Y763" s="4">
        <f>$E763+17</f>
        <v>131</v>
      </c>
      <c r="Z763" s="8">
        <f>IF($J763=0,0,ROUND(MAX($J763*1.4*1.5*1.6*1.6*2.2*2.715*2.6*1.4,6020000000*(1.651178^(MIN($E763,123)-117)))*1,0))</f>
        <v>1337256787</v>
      </c>
      <c r="AA763" s="6">
        <f>$E763+19</f>
        <v>133</v>
      </c>
      <c r="AB763" s="7">
        <f>IF($J763=0,0,ROUND(MAX($J763*1.4*1.5*1.6*1.6*2.2*2.715*2.6*1.4*1.4,8430000000*(1.651435^(MIN($E763,123)-117)))*1,0))</f>
        <v>1871729653</v>
      </c>
      <c r="AC763" s="4">
        <f>$E763+21</f>
        <v>135</v>
      </c>
      <c r="AD763" s="8">
        <f>IF($J763=0,0,ROUND(MAX($J763*1.4*1.5*1.6*1.6*2.2*2.715*2.6*1.4*1.4*1.5,12600000000*(1.652953^(MIN($E763,123)-117)))*1,0))</f>
        <v>2789902525</v>
      </c>
      <c r="AE763" s="6">
        <f>$E763+24</f>
        <v>138</v>
      </c>
      <c r="AF763" s="7">
        <f>IF($J763=0,0,ROUND(MAX($J763*1.4*1.5*1.6*1.6*2.2*2.715*2.6*1.4*1.4*1.5*1.5,18900000000*(1.65331^(MIN($E763,123)-117)))*1,0))</f>
        <v>4182143461</v>
      </c>
      <c r="AG763" s="4">
        <f>$E763+27</f>
        <v>141</v>
      </c>
      <c r="AH763" s="8">
        <f>IF($J763=0,0,ROUND(MAX($J763*1.4*1.5*1.6*1.6*2.2*2.715*2.6*1.4*1.4*1.5*1.5*3.2,60500000000*(1.654288^(MIN($E763,123)-117)))*1,0))</f>
        <v>13363555336</v>
      </c>
    </row>
    <row r="764" ht="27.75" customHeight="1" spans="1:34" x14ac:dyDescent="0.25">
      <c r="A764" s="3">
        <v>774</v>
      </c>
      <c r="B764" s="3" t="s">
        <v>210</v>
      </c>
      <c r="C764" s="3" t="s">
        <v>670</v>
      </c>
      <c r="D764" s="3" t="s">
        <v>33</v>
      </c>
      <c r="E764" s="3">
        <v>114</v>
      </c>
      <c r="F764" s="3" t="s">
        <v>56</v>
      </c>
      <c r="G764" s="3" t="s">
        <v>671</v>
      </c>
      <c r="H764" s="3">
        <v>28</v>
      </c>
      <c r="I764" s="4">
        <v>114</v>
      </c>
      <c r="J764" s="5">
        <v>193000</v>
      </c>
      <c r="K764" s="6">
        <f>$E764+1</f>
        <v>115</v>
      </c>
      <c r="L764" s="7">
        <f>IF($J764=0,0,ROUND(MAX($J764*1.4,1620000*(1.497923^(MIN($E764,123)-117)))*1,0))</f>
        <v>481999</v>
      </c>
      <c r="M764" s="4">
        <f>$E764+2</f>
        <v>116</v>
      </c>
      <c r="N764" s="8">
        <f>IF($J764=0,0,ROUND(MAX($J764*1.4*1.5,2190000*(1.580994^(MIN($E764,123)-117)))*1,0))</f>
        <v>554183</v>
      </c>
      <c r="O764" s="6">
        <f>$E764+4</f>
        <v>118</v>
      </c>
      <c r="P764" s="7">
        <f>IF($J764=0,0,ROUND(MAX($J764*1.4*1.5*1.6,3500000*(1.57975^(MIN($E764,123)-117)))*1,0))</f>
        <v>887775</v>
      </c>
      <c r="Q764" s="4">
        <f>$E764+6</f>
        <v>120</v>
      </c>
      <c r="R764" s="8">
        <f>IF($J764=0,0,ROUND(MAX($J764*1.4*1.5*1.6*1.6,13100000*(1.429962^(MIN($E764,123)-117)))*1,0))</f>
        <v>4480204</v>
      </c>
      <c r="S764" s="6">
        <f>$E764+8</f>
        <v>122</v>
      </c>
      <c r="T764" s="7">
        <f>IF($J764=0,0,ROUND(MAX($J764*1.4*1.5*1.6*1.6*2.2,42600000*(1.576904^(MIN($E764,123)-117)))*1,0))</f>
        <v>10864102</v>
      </c>
      <c r="U764" s="4">
        <f>$E764+11</f>
        <v>125</v>
      </c>
      <c r="V764" s="8">
        <f>IF($J764=0,0,ROUND(MAX($J764*1.4*1.5*1.6*1.6*2.2*2.715,354000000*(1.642074^(MIN($E764,123)-117)))*1,0))</f>
        <v>79951219</v>
      </c>
      <c r="W764" s="6">
        <f>$E764+15</f>
        <v>129</v>
      </c>
      <c r="X764" s="7">
        <f>IF($J764=0,0,ROUND(MAX($J764*1.4*1.5*1.6*1.6*2.2*2.715*2.6,3540000000*(1.579646^(MIN($E764,123)-117)))*1,0))</f>
        <v>898098448</v>
      </c>
      <c r="Y764" s="4">
        <f>$E764+17</f>
        <v>131</v>
      </c>
      <c r="Z764" s="8">
        <f>IF($J764=0,0,ROUND(MAX($J764*1.4*1.5*1.6*1.6*2.2*2.715*2.6*1.4,6020000000*(1.651178^(MIN($E764,123)-117)))*1,0))</f>
        <v>1337256787</v>
      </c>
      <c r="AA764" s="6">
        <f>$E764+19</f>
        <v>133</v>
      </c>
      <c r="AB764" s="7">
        <f>IF($J764=0,0,ROUND(MAX($J764*1.4*1.5*1.6*1.6*2.2*2.715*2.6*1.4*1.4,8430000000*(1.651435^(MIN($E764,123)-117)))*1,0))</f>
        <v>1871729653</v>
      </c>
      <c r="AC764" s="4">
        <f>$E764+21</f>
        <v>135</v>
      </c>
      <c r="AD764" s="8">
        <f>IF($J764=0,0,ROUND(MAX($J764*1.4*1.5*1.6*1.6*2.2*2.715*2.6*1.4*1.4*1.5,12600000000*(1.652953^(MIN($E764,123)-117)))*1,0))</f>
        <v>2789902525</v>
      </c>
      <c r="AE764" s="6">
        <f>$E764+24</f>
        <v>138</v>
      </c>
      <c r="AF764" s="7">
        <f>IF($J764=0,0,ROUND(MAX($J764*1.4*1.5*1.6*1.6*2.2*2.715*2.6*1.4*1.4*1.5*1.5,18900000000*(1.65331^(MIN($E764,123)-117)))*1,0))</f>
        <v>4182143461</v>
      </c>
      <c r="AG764" s="4">
        <f>$E764+27</f>
        <v>141</v>
      </c>
      <c r="AH764" s="8">
        <f>IF($J764=0,0,ROUND(MAX($J764*1.4*1.5*1.6*1.6*2.2*2.715*2.6*1.4*1.4*1.5*1.5*3.2,60500000000*(1.654288^(MIN($E764,123)-117)))*1,0))</f>
        <v>13363555336</v>
      </c>
    </row>
    <row r="765" ht="27.75" customHeight="1" spans="1:34" x14ac:dyDescent="0.25">
      <c r="A765" s="3">
        <v>775</v>
      </c>
      <c r="B765" s="3" t="s">
        <v>186</v>
      </c>
      <c r="C765" s="3" t="s">
        <v>670</v>
      </c>
      <c r="D765" s="3" t="s">
        <v>75</v>
      </c>
      <c r="E765" s="3">
        <v>114</v>
      </c>
      <c r="F765" s="3" t="s">
        <v>56</v>
      </c>
      <c r="G765" s="3" t="s">
        <v>671</v>
      </c>
      <c r="H765" s="3">
        <v>27</v>
      </c>
      <c r="I765" s="4">
        <v>114</v>
      </c>
      <c r="J765" s="5">
        <v>315000</v>
      </c>
      <c r="K765" s="6">
        <f>$E765+1</f>
        <v>115</v>
      </c>
      <c r="L765" s="7">
        <f>IF($J765=0,0,ROUND(MAX($J765*1.4,1620000*(1.497923^(MIN($E765,123)-117)))*1,0))</f>
        <v>481999</v>
      </c>
      <c r="M765" s="4">
        <f>$E765+2</f>
        <v>116</v>
      </c>
      <c r="N765" s="8">
        <f>IF($J765=0,0,ROUND(MAX($J765*1.4*1.5,2190000*(1.580994^(MIN($E765,123)-117)))*1,0))</f>
        <v>661500</v>
      </c>
      <c r="O765" s="6">
        <f>$E765+4</f>
        <v>118</v>
      </c>
      <c r="P765" s="7">
        <f>IF($J765=0,0,ROUND(MAX($J765*1.4*1.5*1.6,3500000*(1.57975^(MIN($E765,123)-117)))*1,0))</f>
        <v>1058400</v>
      </c>
      <c r="Q765" s="4">
        <f>$E765+6</f>
        <v>120</v>
      </c>
      <c r="R765" s="8">
        <f>IF($J765=0,0,ROUND(MAX($J765*1.4*1.5*1.6*1.6,13100000*(1.429962^(MIN($E765,123)-117)))*1,0))</f>
        <v>4480204</v>
      </c>
      <c r="S765" s="6">
        <f>$E765+8</f>
        <v>122</v>
      </c>
      <c r="T765" s="7">
        <f>IF($J765=0,0,ROUND(MAX($J765*1.4*1.5*1.6*1.6*2.2,42600000*(1.576904^(MIN($E765,123)-117)))*1,0))</f>
        <v>10864102</v>
      </c>
      <c r="U765" s="4">
        <f>$E765+11</f>
        <v>125</v>
      </c>
      <c r="V765" s="8">
        <f>IF($J765=0,0,ROUND(MAX($J765*1.4*1.5*1.6*1.6*2.2*2.715,354000000*(1.642074^(MIN($E765,123)-117)))*1,0))</f>
        <v>79951219</v>
      </c>
      <c r="W765" s="6">
        <f>$E765+15</f>
        <v>129</v>
      </c>
      <c r="X765" s="7">
        <f>IF($J765=0,0,ROUND(MAX($J765*1.4*1.5*1.6*1.6*2.2*2.715*2.6,3540000000*(1.579646^(MIN($E765,123)-117)))*1,0))</f>
        <v>898098448</v>
      </c>
      <c r="Y765" s="4">
        <f>$E765+17</f>
        <v>131</v>
      </c>
      <c r="Z765" s="8">
        <f>IF($J765=0,0,ROUND(MAX($J765*1.4*1.5*1.6*1.6*2.2*2.715*2.6*1.4,6020000000*(1.651178^(MIN($E765,123)-117)))*1,0))</f>
        <v>1337256787</v>
      </c>
      <c r="AA765" s="6">
        <f>$E765+19</f>
        <v>133</v>
      </c>
      <c r="AB765" s="7">
        <f>IF($J765=0,0,ROUND(MAX($J765*1.4*1.5*1.6*1.6*2.2*2.715*2.6*1.4*1.4,8430000000*(1.651435^(MIN($E765,123)-117)))*1,0))</f>
        <v>1871729653</v>
      </c>
      <c r="AC765" s="4">
        <f>$E765+21</f>
        <v>135</v>
      </c>
      <c r="AD765" s="8">
        <f>IF($J765=0,0,ROUND(MAX($J765*1.4*1.5*1.6*1.6*2.2*2.715*2.6*1.4*1.4*1.5,12600000000*(1.652953^(MIN($E765,123)-117)))*1,0))</f>
        <v>2789902525</v>
      </c>
      <c r="AE765" s="6">
        <f>$E765+24</f>
        <v>138</v>
      </c>
      <c r="AF765" s="7">
        <f>IF($J765=0,0,ROUND(MAX($J765*1.4*1.5*1.6*1.6*2.2*2.715*2.6*1.4*1.4*1.5*1.5,18900000000*(1.65331^(MIN($E765,123)-117)))*1,0))</f>
        <v>4182143461</v>
      </c>
      <c r="AG765" s="4">
        <f>$E765+27</f>
        <v>141</v>
      </c>
      <c r="AH765" s="8">
        <f>IF($J765=0,0,ROUND(MAX($J765*1.4*1.5*1.6*1.6*2.2*2.715*2.6*1.4*1.4*1.5*1.5*3.2,60500000000*(1.654288^(MIN($E765,123)-117)))*1,0))</f>
        <v>13363555336</v>
      </c>
    </row>
    <row r="766" ht="27.75" customHeight="1" spans="1:34" x14ac:dyDescent="0.25">
      <c r="A766" s="3">
        <v>776</v>
      </c>
      <c r="B766" s="3" t="s">
        <v>41</v>
      </c>
      <c r="C766" s="3" t="s">
        <v>670</v>
      </c>
      <c r="D766" s="3" t="s">
        <v>29</v>
      </c>
      <c r="E766" s="3">
        <v>113</v>
      </c>
      <c r="F766" s="3" t="s">
        <v>42</v>
      </c>
      <c r="G766" s="3" t="s">
        <v>671</v>
      </c>
      <c r="H766" s="3">
        <v>29</v>
      </c>
      <c r="I766" s="4">
        <v>113</v>
      </c>
      <c r="J766" s="5">
        <v>154000</v>
      </c>
      <c r="K766" s="6">
        <f>$E766+1</f>
        <v>114</v>
      </c>
      <c r="L766" s="7">
        <f>IF($J766=0,0,ROUND(MAX($J766*1.4,1620000*(1.497923^(MIN($E766,123)-117)))*1,0))</f>
        <v>321779</v>
      </c>
      <c r="M766" s="4">
        <f>$E766+2</f>
        <v>115</v>
      </c>
      <c r="N766" s="8">
        <f>IF($J766=0,0,ROUND(MAX($J766*1.4*1.5,2190000*(1.580994^(MIN($E766,123)-117)))*1,0))</f>
        <v>350528</v>
      </c>
      <c r="O766" s="6">
        <f>$E766+4</f>
        <v>117</v>
      </c>
      <c r="P766" s="7">
        <f>IF($J766=0,0,ROUND(MAX($J766*1.4*1.5*1.6,3500000*(1.57975^(MIN($E766,123)-117)))*1,0))</f>
        <v>561972</v>
      </c>
      <c r="Q766" s="4">
        <f>$E766+6</f>
        <v>119</v>
      </c>
      <c r="R766" s="8">
        <f>IF($J766=0,0,ROUND(MAX($J766*1.4*1.5*1.6*1.6,13100000*(1.429962^(MIN($E766,123)-117)))*1,0))</f>
        <v>3133093</v>
      </c>
      <c r="S766" s="6">
        <f>$E766+8</f>
        <v>121</v>
      </c>
      <c r="T766" s="7">
        <f>IF($J766=0,0,ROUND(MAX($J766*1.4*1.5*1.6*1.6*2.2,42600000*(1.576904^(MIN($E766,123)-117)))*1,0))</f>
        <v>6889514</v>
      </c>
      <c r="U766" s="4">
        <f>$E766+11</f>
        <v>124</v>
      </c>
      <c r="V766" s="8">
        <f>IF($J766=0,0,ROUND(MAX($J766*1.4*1.5*1.6*1.6*2.2*2.715,354000000*(1.642074^(MIN($E766,123)-117)))*1,0))</f>
        <v>48689169</v>
      </c>
      <c r="W766" s="6">
        <f>$E766+15</f>
        <v>128</v>
      </c>
      <c r="X766" s="7">
        <f>IF($J766=0,0,ROUND(MAX($J766*1.4*1.5*1.6*1.6*2.2*2.715*2.6,3540000000*(1.579646^(MIN($E766,123)-117)))*1,0))</f>
        <v>568544122</v>
      </c>
      <c r="Y766" s="4">
        <f>$E766+17</f>
        <v>130</v>
      </c>
      <c r="Z766" s="8">
        <f>IF($J766=0,0,ROUND(MAX($J766*1.4*1.5*1.6*1.6*2.2*2.715*2.6*1.4,6020000000*(1.651178^(MIN($E766,123)-117)))*1,0))</f>
        <v>809880453</v>
      </c>
      <c r="AA766" s="6">
        <f>$E766+19</f>
        <v>132</v>
      </c>
      <c r="AB766" s="7">
        <f>IF($J766=0,0,ROUND(MAX($J766*1.4*1.5*1.6*1.6*2.2*2.715*2.6*1.4*1.4,8430000000*(1.651435^(MIN($E766,123)-117)))*1,0))</f>
        <v>1133395897</v>
      </c>
      <c r="AC766" s="4">
        <f>$E766+21</f>
        <v>134</v>
      </c>
      <c r="AD766" s="8">
        <f>IF($J766=0,0,ROUND(MAX($J766*1.4*1.5*1.6*1.6*2.2*2.715*2.6*1.4*1.4*1.5,12600000000*(1.652953^(MIN($E766,123)-117)))*1,0))</f>
        <v>1687829312</v>
      </c>
      <c r="AE766" s="6">
        <f>$E766+24</f>
        <v>137</v>
      </c>
      <c r="AF766" s="7">
        <f>IF($J766=0,0,ROUND(MAX($J766*1.4*1.5*1.6*1.6*2.2*2.715*2.6*1.4*1.4*1.5*1.5,18900000000*(1.65331^(MIN($E766,123)-117)))*1,0))</f>
        <v>2529557954</v>
      </c>
      <c r="AG766" s="4">
        <f>$E766+27</f>
        <v>140</v>
      </c>
      <c r="AH766" s="8">
        <f>IF($J766=0,0,ROUND(MAX($J766*1.4*1.5*1.6*1.6*2.2*2.715*2.6*1.4*1.4*1.5*1.5*3.2,60500000000*(1.654288^(MIN($E766,123)-117)))*1,0))</f>
        <v>8078131097</v>
      </c>
    </row>
    <row r="767" ht="27.75" customHeight="1" spans="1:34" x14ac:dyDescent="0.25">
      <c r="A767" s="3">
        <v>777</v>
      </c>
      <c r="B767" s="3" t="s">
        <v>251</v>
      </c>
      <c r="C767" s="3" t="s">
        <v>670</v>
      </c>
      <c r="D767" s="3" t="s">
        <v>40</v>
      </c>
      <c r="E767" s="3">
        <v>113</v>
      </c>
      <c r="F767" s="3" t="s">
        <v>59</v>
      </c>
      <c r="G767" s="3" t="s">
        <v>252</v>
      </c>
      <c r="H767" s="3">
        <v>29</v>
      </c>
      <c r="I767" s="4">
        <v>113</v>
      </c>
      <c r="J767" s="5">
        <v>264000</v>
      </c>
      <c r="K767" s="6">
        <f>$E767+1</f>
        <v>114</v>
      </c>
      <c r="L767" s="7">
        <f>IF($J767=0,0,ROUND(MAX($J767*1.4,1620000*(1.497923^(MIN($E767,123)-117)))*1,0))</f>
        <v>369600</v>
      </c>
      <c r="M767" s="4">
        <f>$E767+2</f>
        <v>115</v>
      </c>
      <c r="N767" s="8">
        <f>IF($J767=0,0,ROUND(MAX($J767*1.4*1.5,2190000*(1.580994^(MIN($E767,123)-117)))*1,0))</f>
        <v>554400</v>
      </c>
      <c r="O767" s="6">
        <f>$E767+4</f>
        <v>117</v>
      </c>
      <c r="P767" s="7">
        <f>IF($J767=0,0,ROUND(MAX($J767*1.4*1.5*1.6,3500000*(1.57975^(MIN($E767,123)-117)))*1,0))</f>
        <v>887040</v>
      </c>
      <c r="Q767" s="4">
        <f>$E767+6</f>
        <v>119</v>
      </c>
      <c r="R767" s="8">
        <f>IF($J767=0,0,ROUND(MAX($J767*1.4*1.5*1.6*1.6,13100000*(1.429962^(MIN($E767,123)-117)))*1,0))</f>
        <v>3133093</v>
      </c>
      <c r="S767" s="6">
        <f>$E767+8</f>
        <v>121</v>
      </c>
      <c r="T767" s="7">
        <f>IF($J767=0,0,ROUND(MAX($J767*1.4*1.5*1.6*1.6*2.2,42600000*(1.576904^(MIN($E767,123)-117)))*1,0))</f>
        <v>6889514</v>
      </c>
      <c r="U767" s="4">
        <f>$E767+11</f>
        <v>124</v>
      </c>
      <c r="V767" s="8">
        <f>IF($J767=0,0,ROUND(MAX($J767*1.4*1.5*1.6*1.6*2.2*2.715,354000000*(1.642074^(MIN($E767,123)-117)))*1,0))</f>
        <v>48689169</v>
      </c>
      <c r="W767" s="6">
        <f>$E767+15</f>
        <v>128</v>
      </c>
      <c r="X767" s="7">
        <f>IF($J767=0,0,ROUND(MAX($J767*1.4*1.5*1.6*1.6*2.2*2.715*2.6,3540000000*(1.579646^(MIN($E767,123)-117)))*1,0))</f>
        <v>568544122</v>
      </c>
      <c r="Y767" s="4">
        <f>$E767+17</f>
        <v>130</v>
      </c>
      <c r="Z767" s="8">
        <f>IF($J767=0,0,ROUND(MAX($J767*1.4*1.5*1.6*1.6*2.2*2.715*2.6*1.4,6020000000*(1.651178^(MIN($E767,123)-117)))*1,0))</f>
        <v>809880453</v>
      </c>
      <c r="AA767" s="6">
        <f>$E767+19</f>
        <v>132</v>
      </c>
      <c r="AB767" s="7">
        <f>IF($J767=0,0,ROUND(MAX($J767*1.4*1.5*1.6*1.6*2.2*2.715*2.6*1.4*1.4,8430000000*(1.651435^(MIN($E767,123)-117)))*1,0))</f>
        <v>1133395897</v>
      </c>
      <c r="AC767" s="4">
        <f>$E767+21</f>
        <v>134</v>
      </c>
      <c r="AD767" s="8">
        <f>IF($J767=0,0,ROUND(MAX($J767*1.4*1.5*1.6*1.6*2.2*2.715*2.6*1.4*1.4*1.5,12600000000*(1.652953^(MIN($E767,123)-117)))*1,0))</f>
        <v>1687829312</v>
      </c>
      <c r="AE767" s="6">
        <f>$E767+24</f>
        <v>137</v>
      </c>
      <c r="AF767" s="7">
        <f>IF($J767=0,0,ROUND(MAX($J767*1.4*1.5*1.6*1.6*2.2*2.715*2.6*1.4*1.4*1.5*1.5,18900000000*(1.65331^(MIN($E767,123)-117)))*1,0))</f>
        <v>2529557954</v>
      </c>
      <c r="AG767" s="4">
        <f>$E767+27</f>
        <v>140</v>
      </c>
      <c r="AH767" s="8">
        <f>IF($J767=0,0,ROUND(MAX($J767*1.4*1.5*1.6*1.6*2.2*2.715*2.6*1.4*1.4*1.5*1.5*3.2,60500000000*(1.654288^(MIN($E767,123)-117)))*1,0))</f>
        <v>8078131097</v>
      </c>
    </row>
    <row r="768" ht="27.75" customHeight="1" spans="1:34" x14ac:dyDescent="0.25">
      <c r="A768" s="3">
        <v>778</v>
      </c>
      <c r="B768" s="3" t="s">
        <v>584</v>
      </c>
      <c r="C768" s="3" t="s">
        <v>670</v>
      </c>
      <c r="D768" s="3" t="s">
        <v>79</v>
      </c>
      <c r="E768" s="3">
        <v>113</v>
      </c>
      <c r="F768" s="3" t="s">
        <v>62</v>
      </c>
      <c r="G768" s="3" t="s">
        <v>133</v>
      </c>
      <c r="H768" s="3">
        <v>28</v>
      </c>
      <c r="I768" s="4">
        <v>113</v>
      </c>
      <c r="J768" s="5">
        <v>179000</v>
      </c>
      <c r="K768" s="6">
        <f>$E768+1</f>
        <v>114</v>
      </c>
      <c r="L768" s="7">
        <f>IF($J768=0,0,ROUND(MAX($J768*1.4,1620000*(1.497923^(MIN($E768,123)-117)))*1,0))</f>
        <v>321779</v>
      </c>
      <c r="M768" s="4">
        <f>$E768+2</f>
        <v>115</v>
      </c>
      <c r="N768" s="8">
        <f>IF($J768=0,0,ROUND(MAX($J768*1.4*1.5,2190000*(1.580994^(MIN($E768,123)-117)))*1,0))</f>
        <v>375900</v>
      </c>
      <c r="O768" s="6">
        <f>$E768+4</f>
        <v>117</v>
      </c>
      <c r="P768" s="7">
        <f>IF($J768=0,0,ROUND(MAX($J768*1.4*1.5*1.6,3500000*(1.57975^(MIN($E768,123)-117)))*1,0))</f>
        <v>601440</v>
      </c>
      <c r="Q768" s="4">
        <f>$E768+6</f>
        <v>119</v>
      </c>
      <c r="R768" s="8">
        <f>IF($J768=0,0,ROUND(MAX($J768*1.4*1.5*1.6*1.6,13100000*(1.429962^(MIN($E768,123)-117)))*1,0))</f>
        <v>3133093</v>
      </c>
      <c r="S768" s="6">
        <f>$E768+8</f>
        <v>121</v>
      </c>
      <c r="T768" s="7">
        <f>IF($J768=0,0,ROUND(MAX($J768*1.4*1.5*1.6*1.6*2.2,42600000*(1.576904^(MIN($E768,123)-117)))*1,0))</f>
        <v>6889514</v>
      </c>
      <c r="U768" s="4">
        <f>$E768+11</f>
        <v>124</v>
      </c>
      <c r="V768" s="8">
        <f>IF($J768=0,0,ROUND(MAX($J768*1.4*1.5*1.6*1.6*2.2*2.715,354000000*(1.642074^(MIN($E768,123)-117)))*1,0))</f>
        <v>48689169</v>
      </c>
      <c r="W768" s="6">
        <f>$E768+15</f>
        <v>128</v>
      </c>
      <c r="X768" s="7">
        <f>IF($J768=0,0,ROUND(MAX($J768*1.4*1.5*1.6*1.6*2.2*2.715*2.6,3540000000*(1.579646^(MIN($E768,123)-117)))*1,0))</f>
        <v>568544122</v>
      </c>
      <c r="Y768" s="4">
        <f>$E768+17</f>
        <v>130</v>
      </c>
      <c r="Z768" s="8">
        <f>IF($J768=0,0,ROUND(MAX($J768*1.4*1.5*1.6*1.6*2.2*2.715*2.6*1.4,6020000000*(1.651178^(MIN($E768,123)-117)))*1,0))</f>
        <v>809880453</v>
      </c>
      <c r="AA768" s="6">
        <f>$E768+19</f>
        <v>132</v>
      </c>
      <c r="AB768" s="7">
        <f>IF($J768=0,0,ROUND(MAX($J768*1.4*1.5*1.6*1.6*2.2*2.715*2.6*1.4*1.4,8430000000*(1.651435^(MIN($E768,123)-117)))*1,0))</f>
        <v>1133395897</v>
      </c>
      <c r="AC768" s="4">
        <f>$E768+21</f>
        <v>134</v>
      </c>
      <c r="AD768" s="8">
        <f>IF($J768=0,0,ROUND(MAX($J768*1.4*1.5*1.6*1.6*2.2*2.715*2.6*1.4*1.4*1.5,12600000000*(1.652953^(MIN($E768,123)-117)))*1,0))</f>
        <v>1687829312</v>
      </c>
      <c r="AE768" s="6">
        <f>$E768+24</f>
        <v>137</v>
      </c>
      <c r="AF768" s="7">
        <f>IF($J768=0,0,ROUND(MAX($J768*1.4*1.5*1.6*1.6*2.2*2.715*2.6*1.4*1.4*1.5*1.5,18900000000*(1.65331^(MIN($E768,123)-117)))*1,0))</f>
        <v>2529557954</v>
      </c>
      <c r="AG768" s="4">
        <f>$E768+27</f>
        <v>140</v>
      </c>
      <c r="AH768" s="8">
        <f>IF($J768=0,0,ROUND(MAX($J768*1.4*1.5*1.6*1.6*2.2*2.715*2.6*1.4*1.4*1.5*1.5*3.2,60500000000*(1.654288^(MIN($E768,123)-117)))*1,0))</f>
        <v>8078131097</v>
      </c>
    </row>
    <row r="769" ht="27.75" customHeight="1" spans="1:34" x14ac:dyDescent="0.25">
      <c r="A769" s="3">
        <v>779</v>
      </c>
      <c r="B769" s="3" t="s">
        <v>275</v>
      </c>
      <c r="C769" s="3" t="s">
        <v>670</v>
      </c>
      <c r="D769" s="3" t="s">
        <v>45</v>
      </c>
      <c r="E769" s="3">
        <v>113</v>
      </c>
      <c r="F769" s="3" t="s">
        <v>71</v>
      </c>
      <c r="G769" s="3" t="s">
        <v>206</v>
      </c>
      <c r="H769" s="3">
        <v>28</v>
      </c>
      <c r="I769" s="4">
        <v>113</v>
      </c>
      <c r="J769" s="5">
        <v>206000</v>
      </c>
      <c r="K769" s="6">
        <f>$E769+1</f>
        <v>114</v>
      </c>
      <c r="L769" s="7">
        <f>IF($J769=0,0,ROUND(MAX($J769*1.4,1620000*(1.497923^(MIN($E769,123)-117)))*1,0))</f>
        <v>321779</v>
      </c>
      <c r="M769" s="4">
        <f>$E769+2</f>
        <v>115</v>
      </c>
      <c r="N769" s="8">
        <f>IF($J769=0,0,ROUND(MAX($J769*1.4*1.5,2190000*(1.580994^(MIN($E769,123)-117)))*1,0))</f>
        <v>432600</v>
      </c>
      <c r="O769" s="6">
        <f>$E769+4</f>
        <v>117</v>
      </c>
      <c r="P769" s="7">
        <f>IF($J769=0,0,ROUND(MAX($J769*1.4*1.5*1.6,3500000*(1.57975^(MIN($E769,123)-117)))*1,0))</f>
        <v>692160</v>
      </c>
      <c r="Q769" s="4">
        <f>$E769+6</f>
        <v>119</v>
      </c>
      <c r="R769" s="8">
        <f>IF($J769=0,0,ROUND(MAX($J769*1.4*1.5*1.6*1.6,13100000*(1.429962^(MIN($E769,123)-117)))*1,0))</f>
        <v>3133093</v>
      </c>
      <c r="S769" s="6">
        <f>$E769+8</f>
        <v>121</v>
      </c>
      <c r="T769" s="7">
        <f>IF($J769=0,0,ROUND(MAX($J769*1.4*1.5*1.6*1.6*2.2,42600000*(1.576904^(MIN($E769,123)-117)))*1,0))</f>
        <v>6889514</v>
      </c>
      <c r="U769" s="4">
        <f>$E769+11</f>
        <v>124</v>
      </c>
      <c r="V769" s="8">
        <f>IF($J769=0,0,ROUND(MAX($J769*1.4*1.5*1.6*1.6*2.2*2.715,354000000*(1.642074^(MIN($E769,123)-117)))*1,0))</f>
        <v>48689169</v>
      </c>
      <c r="W769" s="6">
        <f>$E769+15</f>
        <v>128</v>
      </c>
      <c r="X769" s="7">
        <f>IF($J769=0,0,ROUND(MAX($J769*1.4*1.5*1.6*1.6*2.2*2.715*2.6,3540000000*(1.579646^(MIN($E769,123)-117)))*1,0))</f>
        <v>568544122</v>
      </c>
      <c r="Y769" s="4">
        <f>$E769+17</f>
        <v>130</v>
      </c>
      <c r="Z769" s="8">
        <f>IF($J769=0,0,ROUND(MAX($J769*1.4*1.5*1.6*1.6*2.2*2.715*2.6*1.4,6020000000*(1.651178^(MIN($E769,123)-117)))*1,0))</f>
        <v>809880453</v>
      </c>
      <c r="AA769" s="6">
        <f>$E769+19</f>
        <v>132</v>
      </c>
      <c r="AB769" s="7">
        <f>IF($J769=0,0,ROUND(MAX($J769*1.4*1.5*1.6*1.6*2.2*2.715*2.6*1.4*1.4,8430000000*(1.651435^(MIN($E769,123)-117)))*1,0))</f>
        <v>1133395897</v>
      </c>
      <c r="AC769" s="4">
        <f>$E769+21</f>
        <v>134</v>
      </c>
      <c r="AD769" s="8">
        <f>IF($J769=0,0,ROUND(MAX($J769*1.4*1.5*1.6*1.6*2.2*2.715*2.6*1.4*1.4*1.5,12600000000*(1.652953^(MIN($E769,123)-117)))*1,0))</f>
        <v>1687829312</v>
      </c>
      <c r="AE769" s="6">
        <f>$E769+24</f>
        <v>137</v>
      </c>
      <c r="AF769" s="7">
        <f>IF($J769=0,0,ROUND(MAX($J769*1.4*1.5*1.6*1.6*2.2*2.715*2.6*1.4*1.4*1.5*1.5,18900000000*(1.65331^(MIN($E769,123)-117)))*1,0))</f>
        <v>2529557954</v>
      </c>
      <c r="AG769" s="4">
        <f>$E769+27</f>
        <v>140</v>
      </c>
      <c r="AH769" s="8">
        <f>IF($J769=0,0,ROUND(MAX($J769*1.4*1.5*1.6*1.6*2.2*2.715*2.6*1.4*1.4*1.5*1.5*3.2,60500000000*(1.654288^(MIN($E769,123)-117)))*1,0))</f>
        <v>8078131097</v>
      </c>
    </row>
    <row r="770" ht="27.75" customHeight="1" spans="1:34" x14ac:dyDescent="0.25">
      <c r="A770" s="3">
        <v>780</v>
      </c>
      <c r="B770" s="3" t="s">
        <v>672</v>
      </c>
      <c r="C770" s="3" t="s">
        <v>670</v>
      </c>
      <c r="D770" s="3" t="s">
        <v>33</v>
      </c>
      <c r="E770" s="3">
        <v>113</v>
      </c>
      <c r="F770" s="3" t="s">
        <v>34</v>
      </c>
      <c r="G770" s="3" t="s">
        <v>671</v>
      </c>
      <c r="H770" s="3">
        <v>28</v>
      </c>
      <c r="I770" s="4">
        <v>113</v>
      </c>
      <c r="J770" s="5">
        <v>108000</v>
      </c>
      <c r="K770" s="6">
        <f>$E770+1</f>
        <v>114</v>
      </c>
      <c r="L770" s="7">
        <f>IF($J770=0,0,ROUND(MAX($J770*1.4,1620000*(1.497923^(MIN($E770,123)-117)))*1,0))</f>
        <v>321779</v>
      </c>
      <c r="M770" s="4">
        <f>$E770+2</f>
        <v>115</v>
      </c>
      <c r="N770" s="8">
        <f>IF($J770=0,0,ROUND(MAX($J770*1.4*1.5,2190000*(1.580994^(MIN($E770,123)-117)))*1,0))</f>
        <v>350528</v>
      </c>
      <c r="O770" s="6">
        <f>$E770+4</f>
        <v>117</v>
      </c>
      <c r="P770" s="7">
        <f>IF($J770=0,0,ROUND(MAX($J770*1.4*1.5*1.6,3500000*(1.57975^(MIN($E770,123)-117)))*1,0))</f>
        <v>561972</v>
      </c>
      <c r="Q770" s="4">
        <f>$E770+6</f>
        <v>119</v>
      </c>
      <c r="R770" s="8">
        <f>IF($J770=0,0,ROUND(MAX($J770*1.4*1.5*1.6*1.6,13100000*(1.429962^(MIN($E770,123)-117)))*1,0))</f>
        <v>3133093</v>
      </c>
      <c r="S770" s="6">
        <f>$E770+8</f>
        <v>121</v>
      </c>
      <c r="T770" s="7">
        <f>IF($J770=0,0,ROUND(MAX($J770*1.4*1.5*1.6*1.6*2.2,42600000*(1.576904^(MIN($E770,123)-117)))*1,0))</f>
        <v>6889514</v>
      </c>
      <c r="U770" s="4">
        <f>$E770+11</f>
        <v>124</v>
      </c>
      <c r="V770" s="8">
        <f>IF($J770=0,0,ROUND(MAX($J770*1.4*1.5*1.6*1.6*2.2*2.715,354000000*(1.642074^(MIN($E770,123)-117)))*1,0))</f>
        <v>48689169</v>
      </c>
      <c r="W770" s="6">
        <f>$E770+15</f>
        <v>128</v>
      </c>
      <c r="X770" s="7">
        <f>IF($J770=0,0,ROUND(MAX($J770*1.4*1.5*1.6*1.6*2.2*2.715*2.6,3540000000*(1.579646^(MIN($E770,123)-117)))*1,0))</f>
        <v>568544122</v>
      </c>
      <c r="Y770" s="4">
        <f>$E770+17</f>
        <v>130</v>
      </c>
      <c r="Z770" s="8">
        <f>IF($J770=0,0,ROUND(MAX($J770*1.4*1.5*1.6*1.6*2.2*2.715*2.6*1.4,6020000000*(1.651178^(MIN($E770,123)-117)))*1,0))</f>
        <v>809880453</v>
      </c>
      <c r="AA770" s="6">
        <f>$E770+19</f>
        <v>132</v>
      </c>
      <c r="AB770" s="7">
        <f>IF($J770=0,0,ROUND(MAX($J770*1.4*1.5*1.6*1.6*2.2*2.715*2.6*1.4*1.4,8430000000*(1.651435^(MIN($E770,123)-117)))*1,0))</f>
        <v>1133395897</v>
      </c>
      <c r="AC770" s="4">
        <f>$E770+21</f>
        <v>134</v>
      </c>
      <c r="AD770" s="8">
        <f>IF($J770=0,0,ROUND(MAX($J770*1.4*1.5*1.6*1.6*2.2*2.715*2.6*1.4*1.4*1.5,12600000000*(1.652953^(MIN($E770,123)-117)))*1,0))</f>
        <v>1687829312</v>
      </c>
      <c r="AE770" s="6">
        <f>$E770+24</f>
        <v>137</v>
      </c>
      <c r="AF770" s="7">
        <f>IF($J770=0,0,ROUND(MAX($J770*1.4*1.5*1.6*1.6*2.2*2.715*2.6*1.4*1.4*1.5*1.5,18900000000*(1.65331^(MIN($E770,123)-117)))*1,0))</f>
        <v>2529557954</v>
      </c>
      <c r="AG770" s="4">
        <f>$E770+27</f>
        <v>140</v>
      </c>
      <c r="AH770" s="8">
        <f>IF($J770=0,0,ROUND(MAX($J770*1.4*1.5*1.6*1.6*2.2*2.715*2.6*1.4*1.4*1.5*1.5*3.2,60500000000*(1.654288^(MIN($E770,123)-117)))*1,0))</f>
        <v>8078131097</v>
      </c>
    </row>
    <row r="771" ht="27.75" customHeight="1" spans="1:34" x14ac:dyDescent="0.25">
      <c r="A771" s="3">
        <v>781</v>
      </c>
      <c r="B771" s="3" t="s">
        <v>673</v>
      </c>
      <c r="C771" s="3" t="s">
        <v>670</v>
      </c>
      <c r="D771" s="3" t="s">
        <v>40</v>
      </c>
      <c r="E771" s="3">
        <v>113</v>
      </c>
      <c r="F771" s="3" t="s">
        <v>34</v>
      </c>
      <c r="G771" s="3" t="s">
        <v>671</v>
      </c>
      <c r="H771" s="3">
        <v>28</v>
      </c>
      <c r="I771" s="4">
        <v>113</v>
      </c>
      <c r="J771" s="5">
        <v>387000</v>
      </c>
      <c r="K771" s="6">
        <f>$E771+1</f>
        <v>114</v>
      </c>
      <c r="L771" s="7">
        <f>IF($J771=0,0,ROUND(MAX($J771*1.4,1620000*(1.497923^(MIN($E771,123)-117)))*1,0))</f>
        <v>541800</v>
      </c>
      <c r="M771" s="4">
        <f>$E771+2</f>
        <v>115</v>
      </c>
      <c r="N771" s="8">
        <f>IF($J771=0,0,ROUND(MAX($J771*1.4*1.5,2190000*(1.580994^(MIN($E771,123)-117)))*1,0))</f>
        <v>812700</v>
      </c>
      <c r="O771" s="6">
        <f>$E771+4</f>
        <v>117</v>
      </c>
      <c r="P771" s="7">
        <f>IF($J771=0,0,ROUND(MAX($J771*1.4*1.5*1.6,3500000*(1.57975^(MIN($E771,123)-117)))*1,0))</f>
        <v>1300320</v>
      </c>
      <c r="Q771" s="4">
        <f>$E771+6</f>
        <v>119</v>
      </c>
      <c r="R771" s="8">
        <f>IF($J771=0,0,ROUND(MAX($J771*1.4*1.5*1.6*1.6,13100000*(1.429962^(MIN($E771,123)-117)))*1,0))</f>
        <v>3133093</v>
      </c>
      <c r="S771" s="6">
        <f>$E771+8</f>
        <v>121</v>
      </c>
      <c r="T771" s="7">
        <f>IF($J771=0,0,ROUND(MAX($J771*1.4*1.5*1.6*1.6*2.2,42600000*(1.576904^(MIN($E771,123)-117)))*1,0))</f>
        <v>6889514</v>
      </c>
      <c r="U771" s="4">
        <f>$E771+11</f>
        <v>124</v>
      </c>
      <c r="V771" s="8">
        <f>IF($J771=0,0,ROUND(MAX($J771*1.4*1.5*1.6*1.6*2.2*2.715,354000000*(1.642074^(MIN($E771,123)-117)))*1,0))</f>
        <v>48689169</v>
      </c>
      <c r="W771" s="6">
        <f>$E771+15</f>
        <v>128</v>
      </c>
      <c r="X771" s="7">
        <f>IF($J771=0,0,ROUND(MAX($J771*1.4*1.5*1.6*1.6*2.2*2.715*2.6,3540000000*(1.579646^(MIN($E771,123)-117)))*1,0))</f>
        <v>568544122</v>
      </c>
      <c r="Y771" s="4">
        <f>$E771+17</f>
        <v>130</v>
      </c>
      <c r="Z771" s="8">
        <f>IF($J771=0,0,ROUND(MAX($J771*1.4*1.5*1.6*1.6*2.2*2.715*2.6*1.4,6020000000*(1.651178^(MIN($E771,123)-117)))*1,0))</f>
        <v>809880453</v>
      </c>
      <c r="AA771" s="6">
        <f>$E771+19</f>
        <v>132</v>
      </c>
      <c r="AB771" s="7">
        <f>IF($J771=0,0,ROUND(MAX($J771*1.4*1.5*1.6*1.6*2.2*2.715*2.6*1.4*1.4,8430000000*(1.651435^(MIN($E771,123)-117)))*1,0))</f>
        <v>1133395897</v>
      </c>
      <c r="AC771" s="4">
        <f>$E771+21</f>
        <v>134</v>
      </c>
      <c r="AD771" s="8">
        <f>IF($J771=0,0,ROUND(MAX($J771*1.4*1.5*1.6*1.6*2.2*2.715*2.6*1.4*1.4*1.5,12600000000*(1.652953^(MIN($E771,123)-117)))*1,0))</f>
        <v>1687829312</v>
      </c>
      <c r="AE771" s="6">
        <f>$E771+24</f>
        <v>137</v>
      </c>
      <c r="AF771" s="7">
        <f>IF($J771=0,0,ROUND(MAX($J771*1.4*1.5*1.6*1.6*2.2*2.715*2.6*1.4*1.4*1.5*1.5,18900000000*(1.65331^(MIN($E771,123)-117)))*1,0))</f>
        <v>2529557954</v>
      </c>
      <c r="AG771" s="4">
        <f>$E771+27</f>
        <v>140</v>
      </c>
      <c r="AH771" s="8">
        <f>IF($J771=0,0,ROUND(MAX($J771*1.4*1.5*1.6*1.6*2.2*2.715*2.6*1.4*1.4*1.5*1.5*3.2,60500000000*(1.654288^(MIN($E771,123)-117)))*1,0))</f>
        <v>8078131097</v>
      </c>
    </row>
    <row r="772" ht="27.75" customHeight="1" spans="1:34" x14ac:dyDescent="0.25">
      <c r="A772" s="3">
        <v>782</v>
      </c>
      <c r="B772" s="3" t="s">
        <v>536</v>
      </c>
      <c r="C772" s="3" t="s">
        <v>670</v>
      </c>
      <c r="D772" s="3" t="s">
        <v>29</v>
      </c>
      <c r="E772" s="3">
        <v>113</v>
      </c>
      <c r="F772" s="3" t="s">
        <v>26</v>
      </c>
      <c r="G772" s="3" t="s">
        <v>671</v>
      </c>
      <c r="H772" s="3">
        <v>28</v>
      </c>
      <c r="I772" s="4">
        <v>113</v>
      </c>
      <c r="J772" s="5">
        <v>191000</v>
      </c>
      <c r="K772" s="6">
        <f>$E772+1</f>
        <v>114</v>
      </c>
      <c r="L772" s="7">
        <f>IF($J772=0,0,ROUND(MAX($J772*1.4,1620000*(1.497923^(MIN($E772,123)-117)))*1,0))</f>
        <v>321779</v>
      </c>
      <c r="M772" s="4">
        <f>$E772+2</f>
        <v>115</v>
      </c>
      <c r="N772" s="8">
        <f>IF($J772=0,0,ROUND(MAX($J772*1.4*1.5,2190000*(1.580994^(MIN($E772,123)-117)))*1,0))</f>
        <v>401100</v>
      </c>
      <c r="O772" s="6">
        <f>$E772+4</f>
        <v>117</v>
      </c>
      <c r="P772" s="7">
        <f>IF($J772=0,0,ROUND(MAX($J772*1.4*1.5*1.6,3500000*(1.57975^(MIN($E772,123)-117)))*1,0))</f>
        <v>641760</v>
      </c>
      <c r="Q772" s="4">
        <f>$E772+6</f>
        <v>119</v>
      </c>
      <c r="R772" s="8">
        <f>IF($J772=0,0,ROUND(MAX($J772*1.4*1.5*1.6*1.6,13100000*(1.429962^(MIN($E772,123)-117)))*1,0))</f>
        <v>3133093</v>
      </c>
      <c r="S772" s="6">
        <f>$E772+8</f>
        <v>121</v>
      </c>
      <c r="T772" s="7">
        <f>IF($J772=0,0,ROUND(MAX($J772*1.4*1.5*1.6*1.6*2.2,42600000*(1.576904^(MIN($E772,123)-117)))*1,0))</f>
        <v>6889514</v>
      </c>
      <c r="U772" s="4">
        <f>$E772+11</f>
        <v>124</v>
      </c>
      <c r="V772" s="8">
        <f>IF($J772=0,0,ROUND(MAX($J772*1.4*1.5*1.6*1.6*2.2*2.715,354000000*(1.642074^(MIN($E772,123)-117)))*1,0))</f>
        <v>48689169</v>
      </c>
      <c r="W772" s="6">
        <f>$E772+15</f>
        <v>128</v>
      </c>
      <c r="X772" s="7">
        <f>IF($J772=0,0,ROUND(MAX($J772*1.4*1.5*1.6*1.6*2.2*2.715*2.6,3540000000*(1.579646^(MIN($E772,123)-117)))*1,0))</f>
        <v>568544122</v>
      </c>
      <c r="Y772" s="4">
        <f>$E772+17</f>
        <v>130</v>
      </c>
      <c r="Z772" s="8">
        <f>IF($J772=0,0,ROUND(MAX($J772*1.4*1.5*1.6*1.6*2.2*2.715*2.6*1.4,6020000000*(1.651178^(MIN($E772,123)-117)))*1,0))</f>
        <v>809880453</v>
      </c>
      <c r="AA772" s="6">
        <f>$E772+19</f>
        <v>132</v>
      </c>
      <c r="AB772" s="7">
        <f>IF($J772=0,0,ROUND(MAX($J772*1.4*1.5*1.6*1.6*2.2*2.715*2.6*1.4*1.4,8430000000*(1.651435^(MIN($E772,123)-117)))*1,0))</f>
        <v>1133395897</v>
      </c>
      <c r="AC772" s="4">
        <f>$E772+21</f>
        <v>134</v>
      </c>
      <c r="AD772" s="8">
        <f>IF($J772=0,0,ROUND(MAX($J772*1.4*1.5*1.6*1.6*2.2*2.715*2.6*1.4*1.4*1.5,12600000000*(1.652953^(MIN($E772,123)-117)))*1,0))</f>
        <v>1687829312</v>
      </c>
      <c r="AE772" s="6">
        <f>$E772+24</f>
        <v>137</v>
      </c>
      <c r="AF772" s="7">
        <f>IF($J772=0,0,ROUND(MAX($J772*1.4*1.5*1.6*1.6*2.2*2.715*2.6*1.4*1.4*1.5*1.5,18900000000*(1.65331^(MIN($E772,123)-117)))*1,0))</f>
        <v>2529557954</v>
      </c>
      <c r="AG772" s="4">
        <f>$E772+27</f>
        <v>140</v>
      </c>
      <c r="AH772" s="8">
        <f>IF($J772=0,0,ROUND(MAX($J772*1.4*1.5*1.6*1.6*2.2*2.715*2.6*1.4*1.4*1.5*1.5*3.2,60500000000*(1.654288^(MIN($E772,123)-117)))*1,0))</f>
        <v>8078131097</v>
      </c>
    </row>
    <row r="773" ht="27.75" customHeight="1" spans="1:34" x14ac:dyDescent="0.25">
      <c r="A773" s="3">
        <v>783</v>
      </c>
      <c r="B773" s="3" t="s">
        <v>109</v>
      </c>
      <c r="C773" s="3" t="s">
        <v>670</v>
      </c>
      <c r="D773" s="3" t="s">
        <v>25</v>
      </c>
      <c r="E773" s="3">
        <v>113</v>
      </c>
      <c r="F773" s="3" t="s">
        <v>30</v>
      </c>
      <c r="G773" s="3" t="s">
        <v>671</v>
      </c>
      <c r="H773" s="3">
        <v>28</v>
      </c>
      <c r="I773" s="4">
        <v>113</v>
      </c>
      <c r="J773" s="5">
        <v>205000</v>
      </c>
      <c r="K773" s="6">
        <f>$E773+1</f>
        <v>114</v>
      </c>
      <c r="L773" s="7">
        <f>IF($J773=0,0,ROUND(MAX($J773*1.4,1620000*(1.497923^(MIN($E773,123)-117)))*1,0))</f>
        <v>321779</v>
      </c>
      <c r="M773" s="4">
        <f>$E773+2</f>
        <v>115</v>
      </c>
      <c r="N773" s="8">
        <f>IF($J773=0,0,ROUND(MAX($J773*1.4*1.5,2190000*(1.580994^(MIN($E773,123)-117)))*1,0))</f>
        <v>430500</v>
      </c>
      <c r="O773" s="6">
        <f>$E773+4</f>
        <v>117</v>
      </c>
      <c r="P773" s="7">
        <f>IF($J773=0,0,ROUND(MAX($J773*1.4*1.5*1.6,3500000*(1.57975^(MIN($E773,123)-117)))*1,0))</f>
        <v>688800</v>
      </c>
      <c r="Q773" s="4">
        <f>$E773+6</f>
        <v>119</v>
      </c>
      <c r="R773" s="8">
        <f>IF($J773=0,0,ROUND(MAX($J773*1.4*1.5*1.6*1.6,13100000*(1.429962^(MIN($E773,123)-117)))*1,0))</f>
        <v>3133093</v>
      </c>
      <c r="S773" s="6">
        <f>$E773+8</f>
        <v>121</v>
      </c>
      <c r="T773" s="7">
        <f>IF($J773=0,0,ROUND(MAX($J773*1.4*1.5*1.6*1.6*2.2,42600000*(1.576904^(MIN($E773,123)-117)))*1,0))</f>
        <v>6889514</v>
      </c>
      <c r="U773" s="4">
        <f>$E773+11</f>
        <v>124</v>
      </c>
      <c r="V773" s="8">
        <f>IF($J773=0,0,ROUND(MAX($J773*1.4*1.5*1.6*1.6*2.2*2.715,354000000*(1.642074^(MIN($E773,123)-117)))*1,0))</f>
        <v>48689169</v>
      </c>
      <c r="W773" s="6">
        <f>$E773+15</f>
        <v>128</v>
      </c>
      <c r="X773" s="7">
        <f>IF($J773=0,0,ROUND(MAX($J773*1.4*1.5*1.6*1.6*2.2*2.715*2.6,3540000000*(1.579646^(MIN($E773,123)-117)))*1,0))</f>
        <v>568544122</v>
      </c>
      <c r="Y773" s="4">
        <f>$E773+17</f>
        <v>130</v>
      </c>
      <c r="Z773" s="8">
        <f>IF($J773=0,0,ROUND(MAX($J773*1.4*1.5*1.6*1.6*2.2*2.715*2.6*1.4,6020000000*(1.651178^(MIN($E773,123)-117)))*1,0))</f>
        <v>809880453</v>
      </c>
      <c r="AA773" s="6">
        <f>$E773+19</f>
        <v>132</v>
      </c>
      <c r="AB773" s="7">
        <f>IF($J773=0,0,ROUND(MAX($J773*1.4*1.5*1.6*1.6*2.2*2.715*2.6*1.4*1.4,8430000000*(1.651435^(MIN($E773,123)-117)))*1,0))</f>
        <v>1133395897</v>
      </c>
      <c r="AC773" s="4">
        <f>$E773+21</f>
        <v>134</v>
      </c>
      <c r="AD773" s="8">
        <f>IF($J773=0,0,ROUND(MAX($J773*1.4*1.5*1.6*1.6*2.2*2.715*2.6*1.4*1.4*1.5,12600000000*(1.652953^(MIN($E773,123)-117)))*1,0))</f>
        <v>1687829312</v>
      </c>
      <c r="AE773" s="6">
        <f>$E773+24</f>
        <v>137</v>
      </c>
      <c r="AF773" s="7">
        <f>IF($J773=0,0,ROUND(MAX($J773*1.4*1.5*1.6*1.6*2.2*2.715*2.6*1.4*1.4*1.5*1.5,18900000000*(1.65331^(MIN($E773,123)-117)))*1,0))</f>
        <v>2529557954</v>
      </c>
      <c r="AG773" s="4">
        <f>$E773+27</f>
        <v>140</v>
      </c>
      <c r="AH773" s="8">
        <f>IF($J773=0,0,ROUND(MAX($J773*1.4*1.5*1.6*1.6*2.2*2.715*2.6*1.4*1.4*1.5*1.5*3.2,60500000000*(1.654288^(MIN($E773,123)-117)))*1,0))</f>
        <v>8078131097</v>
      </c>
    </row>
    <row r="774" ht="27.75" customHeight="1" spans="1:34" x14ac:dyDescent="0.25">
      <c r="A774" s="3">
        <v>784</v>
      </c>
      <c r="B774" s="3" t="s">
        <v>148</v>
      </c>
      <c r="C774" s="3" t="s">
        <v>670</v>
      </c>
      <c r="D774" s="3" t="s">
        <v>45</v>
      </c>
      <c r="E774" s="3">
        <v>113</v>
      </c>
      <c r="F774" s="3" t="s">
        <v>54</v>
      </c>
      <c r="G774" s="3" t="s">
        <v>671</v>
      </c>
      <c r="H774" s="3">
        <v>28</v>
      </c>
      <c r="I774" s="4">
        <v>113</v>
      </c>
      <c r="J774" s="5">
        <v>282000</v>
      </c>
      <c r="K774" s="6">
        <f>$E774+1</f>
        <v>114</v>
      </c>
      <c r="L774" s="7">
        <f>IF($J774=0,0,ROUND(MAX($J774*1.4,1620000*(1.497923^(MIN($E774,123)-117)))*1,0))</f>
        <v>394800</v>
      </c>
      <c r="M774" s="4">
        <f>$E774+2</f>
        <v>115</v>
      </c>
      <c r="N774" s="8">
        <f>IF($J774=0,0,ROUND(MAX($J774*1.4*1.5,2190000*(1.580994^(MIN($E774,123)-117)))*1,0))</f>
        <v>592200</v>
      </c>
      <c r="O774" s="6">
        <f>$E774+4</f>
        <v>117</v>
      </c>
      <c r="P774" s="7">
        <f>IF($J774=0,0,ROUND(MAX($J774*1.4*1.5*1.6,3500000*(1.57975^(MIN($E774,123)-117)))*1,0))</f>
        <v>947520</v>
      </c>
      <c r="Q774" s="4">
        <f>$E774+6</f>
        <v>119</v>
      </c>
      <c r="R774" s="8">
        <f>IF($J774=0,0,ROUND(MAX($J774*1.4*1.5*1.6*1.6,13100000*(1.429962^(MIN($E774,123)-117)))*1,0))</f>
        <v>3133093</v>
      </c>
      <c r="S774" s="6">
        <f>$E774+8</f>
        <v>121</v>
      </c>
      <c r="T774" s="7">
        <f>IF($J774=0,0,ROUND(MAX($J774*1.4*1.5*1.6*1.6*2.2,42600000*(1.576904^(MIN($E774,123)-117)))*1,0))</f>
        <v>6889514</v>
      </c>
      <c r="U774" s="4">
        <f>$E774+11</f>
        <v>124</v>
      </c>
      <c r="V774" s="8">
        <f>IF($J774=0,0,ROUND(MAX($J774*1.4*1.5*1.6*1.6*2.2*2.715,354000000*(1.642074^(MIN($E774,123)-117)))*1,0))</f>
        <v>48689169</v>
      </c>
      <c r="W774" s="6">
        <f>$E774+15</f>
        <v>128</v>
      </c>
      <c r="X774" s="7">
        <f>IF($J774=0,0,ROUND(MAX($J774*1.4*1.5*1.6*1.6*2.2*2.715*2.6,3540000000*(1.579646^(MIN($E774,123)-117)))*1,0))</f>
        <v>568544122</v>
      </c>
      <c r="Y774" s="4">
        <f>$E774+17</f>
        <v>130</v>
      </c>
      <c r="Z774" s="8">
        <f>IF($J774=0,0,ROUND(MAX($J774*1.4*1.5*1.6*1.6*2.2*2.715*2.6*1.4,6020000000*(1.651178^(MIN($E774,123)-117)))*1,0))</f>
        <v>809880453</v>
      </c>
      <c r="AA774" s="6">
        <f>$E774+19</f>
        <v>132</v>
      </c>
      <c r="AB774" s="7">
        <f>IF($J774=0,0,ROUND(MAX($J774*1.4*1.5*1.6*1.6*2.2*2.715*2.6*1.4*1.4,8430000000*(1.651435^(MIN($E774,123)-117)))*1,0))</f>
        <v>1133395897</v>
      </c>
      <c r="AC774" s="4">
        <f>$E774+21</f>
        <v>134</v>
      </c>
      <c r="AD774" s="8">
        <f>IF($J774=0,0,ROUND(MAX($J774*1.4*1.5*1.6*1.6*2.2*2.715*2.6*1.4*1.4*1.5,12600000000*(1.652953^(MIN($E774,123)-117)))*1,0))</f>
        <v>1687829312</v>
      </c>
      <c r="AE774" s="6">
        <f>$E774+24</f>
        <v>137</v>
      </c>
      <c r="AF774" s="7">
        <f>IF($J774=0,0,ROUND(MAX($J774*1.4*1.5*1.6*1.6*2.2*2.715*2.6*1.4*1.4*1.5*1.5,18900000000*(1.65331^(MIN($E774,123)-117)))*1,0))</f>
        <v>2529557954</v>
      </c>
      <c r="AG774" s="4">
        <f>$E774+27</f>
        <v>140</v>
      </c>
      <c r="AH774" s="8">
        <f>IF($J774=0,0,ROUND(MAX($J774*1.4*1.5*1.6*1.6*2.2*2.715*2.6*1.4*1.4*1.5*1.5*3.2,60500000000*(1.654288^(MIN($E774,123)-117)))*1,0))</f>
        <v>8078131097</v>
      </c>
    </row>
    <row r="775" ht="27.75" customHeight="1" spans="1:34" x14ac:dyDescent="0.25">
      <c r="A775" s="3">
        <v>785</v>
      </c>
      <c r="B775" s="3" t="s">
        <v>259</v>
      </c>
      <c r="C775" s="3" t="s">
        <v>670</v>
      </c>
      <c r="D775" s="3" t="s">
        <v>102</v>
      </c>
      <c r="E775" s="3">
        <v>113</v>
      </c>
      <c r="F775" s="3" t="s">
        <v>34</v>
      </c>
      <c r="G775" s="3" t="s">
        <v>35</v>
      </c>
      <c r="H775" s="3">
        <v>27</v>
      </c>
      <c r="I775" s="4">
        <v>113</v>
      </c>
      <c r="J775" s="5">
        <v>190000</v>
      </c>
      <c r="K775" s="6">
        <f>$E775+1</f>
        <v>114</v>
      </c>
      <c r="L775" s="7">
        <f>IF($J775=0,0,ROUND(MAX($J775*1.4,1620000*(1.497923^(MIN($E775,123)-117)))*1,0))</f>
        <v>321779</v>
      </c>
      <c r="M775" s="4">
        <f>$E775+2</f>
        <v>115</v>
      </c>
      <c r="N775" s="8">
        <f>IF($J775=0,0,ROUND(MAX($J775*1.4*1.5,2190000*(1.580994^(MIN($E775,123)-117)))*1,0))</f>
        <v>399000</v>
      </c>
      <c r="O775" s="6">
        <f>$E775+4</f>
        <v>117</v>
      </c>
      <c r="P775" s="7">
        <f>IF($J775=0,0,ROUND(MAX($J775*1.4*1.5*1.6,3500000*(1.57975^(MIN($E775,123)-117)))*1,0))</f>
        <v>638400</v>
      </c>
      <c r="Q775" s="4">
        <f>$E775+6</f>
        <v>119</v>
      </c>
      <c r="R775" s="8">
        <f>IF($J775=0,0,ROUND(MAX($J775*1.4*1.5*1.6*1.6,13100000*(1.429962^(MIN($E775,123)-117)))*1,0))</f>
        <v>3133093</v>
      </c>
      <c r="S775" s="6">
        <f>$E775+8</f>
        <v>121</v>
      </c>
      <c r="T775" s="7">
        <f>IF($J775=0,0,ROUND(MAX($J775*1.4*1.5*1.6*1.6*2.2,42600000*(1.576904^(MIN($E775,123)-117)))*1,0))</f>
        <v>6889514</v>
      </c>
      <c r="U775" s="4">
        <f>$E775+11</f>
        <v>124</v>
      </c>
      <c r="V775" s="8">
        <f>IF($J775=0,0,ROUND(MAX($J775*1.4*1.5*1.6*1.6*2.2*2.715,354000000*(1.642074^(MIN($E775,123)-117)))*1,0))</f>
        <v>48689169</v>
      </c>
      <c r="W775" s="6">
        <f>$E775+15</f>
        <v>128</v>
      </c>
      <c r="X775" s="7">
        <f>IF($J775=0,0,ROUND(MAX($J775*1.4*1.5*1.6*1.6*2.2*2.715*2.6,3540000000*(1.579646^(MIN($E775,123)-117)))*1,0))</f>
        <v>568544122</v>
      </c>
      <c r="Y775" s="4">
        <f>$E775+17</f>
        <v>130</v>
      </c>
      <c r="Z775" s="8">
        <f>IF($J775=0,0,ROUND(MAX($J775*1.4*1.5*1.6*1.6*2.2*2.715*2.6*1.4,6020000000*(1.651178^(MIN($E775,123)-117)))*1,0))</f>
        <v>809880453</v>
      </c>
      <c r="AA775" s="6">
        <f>$E775+19</f>
        <v>132</v>
      </c>
      <c r="AB775" s="7">
        <f>IF($J775=0,0,ROUND(MAX($J775*1.4*1.5*1.6*1.6*2.2*2.715*2.6*1.4*1.4,8430000000*(1.651435^(MIN($E775,123)-117)))*1,0))</f>
        <v>1133395897</v>
      </c>
      <c r="AC775" s="4">
        <f>$E775+21</f>
        <v>134</v>
      </c>
      <c r="AD775" s="8">
        <f>IF($J775=0,0,ROUND(MAX($J775*1.4*1.5*1.6*1.6*2.2*2.715*2.6*1.4*1.4*1.5,12600000000*(1.652953^(MIN($E775,123)-117)))*1,0))</f>
        <v>1687829312</v>
      </c>
      <c r="AE775" s="6">
        <f>$E775+24</f>
        <v>137</v>
      </c>
      <c r="AF775" s="7">
        <f>IF($J775=0,0,ROUND(MAX($J775*1.4*1.5*1.6*1.6*2.2*2.715*2.6*1.4*1.4*1.5*1.5,18900000000*(1.65331^(MIN($E775,123)-117)))*1,0))</f>
        <v>2529557954</v>
      </c>
      <c r="AG775" s="4">
        <f>$E775+27</f>
        <v>140</v>
      </c>
      <c r="AH775" s="8">
        <f>IF($J775=0,0,ROUND(MAX($J775*1.4*1.5*1.6*1.6*2.2*2.715*2.6*1.4*1.4*1.5*1.5*3.2,60500000000*(1.654288^(MIN($E775,123)-117)))*1,0))</f>
        <v>8078131097</v>
      </c>
    </row>
    <row r="776" ht="27.75" customHeight="1" spans="1:34" x14ac:dyDescent="0.25">
      <c r="A776" s="3">
        <v>786</v>
      </c>
      <c r="B776" s="3" t="s">
        <v>633</v>
      </c>
      <c r="C776" s="3" t="s">
        <v>670</v>
      </c>
      <c r="D776" s="3" t="s">
        <v>45</v>
      </c>
      <c r="E776" s="3">
        <v>113</v>
      </c>
      <c r="F776" s="3" t="s">
        <v>267</v>
      </c>
      <c r="G776" s="3" t="s">
        <v>242</v>
      </c>
      <c r="H776" s="3">
        <v>27</v>
      </c>
      <c r="I776" s="4">
        <v>113</v>
      </c>
      <c r="J776" s="5">
        <v>180000</v>
      </c>
      <c r="K776" s="6">
        <f>$E776+1</f>
        <v>114</v>
      </c>
      <c r="L776" s="7">
        <f>IF($J776=0,0,ROUND(MAX($J776*1.4,1620000*(1.497923^(MIN($E776,123)-117)))*1,0))</f>
        <v>321779</v>
      </c>
      <c r="M776" s="4">
        <f>$E776+2</f>
        <v>115</v>
      </c>
      <c r="N776" s="8">
        <f>IF($J776=0,0,ROUND(MAX($J776*1.4*1.5,2190000*(1.580994^(MIN($E776,123)-117)))*1,0))</f>
        <v>378000</v>
      </c>
      <c r="O776" s="6">
        <f>$E776+4</f>
        <v>117</v>
      </c>
      <c r="P776" s="7">
        <f>IF($J776=0,0,ROUND(MAX($J776*1.4*1.5*1.6,3500000*(1.57975^(MIN($E776,123)-117)))*1,0))</f>
        <v>604800</v>
      </c>
      <c r="Q776" s="4">
        <f>$E776+6</f>
        <v>119</v>
      </c>
      <c r="R776" s="8">
        <f>IF($J776=0,0,ROUND(MAX($J776*1.4*1.5*1.6*1.6,13100000*(1.429962^(MIN($E776,123)-117)))*1,0))</f>
        <v>3133093</v>
      </c>
      <c r="S776" s="6">
        <f>$E776+8</f>
        <v>121</v>
      </c>
      <c r="T776" s="7">
        <f>IF($J776=0,0,ROUND(MAX($J776*1.4*1.5*1.6*1.6*2.2,42600000*(1.576904^(MIN($E776,123)-117)))*1,0))</f>
        <v>6889514</v>
      </c>
      <c r="U776" s="4">
        <f>$E776+11</f>
        <v>124</v>
      </c>
      <c r="V776" s="8">
        <f>IF($J776=0,0,ROUND(MAX($J776*1.4*1.5*1.6*1.6*2.2*2.715,354000000*(1.642074^(MIN($E776,123)-117)))*1,0))</f>
        <v>48689169</v>
      </c>
      <c r="W776" s="6">
        <f>$E776+15</f>
        <v>128</v>
      </c>
      <c r="X776" s="7">
        <f>IF($J776=0,0,ROUND(MAX($J776*1.4*1.5*1.6*1.6*2.2*2.715*2.6,3540000000*(1.579646^(MIN($E776,123)-117)))*1,0))</f>
        <v>568544122</v>
      </c>
      <c r="Y776" s="4">
        <f>$E776+17</f>
        <v>130</v>
      </c>
      <c r="Z776" s="8">
        <f>IF($J776=0,0,ROUND(MAX($J776*1.4*1.5*1.6*1.6*2.2*2.715*2.6*1.4,6020000000*(1.651178^(MIN($E776,123)-117)))*1,0))</f>
        <v>809880453</v>
      </c>
      <c r="AA776" s="6">
        <f>$E776+19</f>
        <v>132</v>
      </c>
      <c r="AB776" s="7">
        <f>IF($J776=0,0,ROUND(MAX($J776*1.4*1.5*1.6*1.6*2.2*2.715*2.6*1.4*1.4,8430000000*(1.651435^(MIN($E776,123)-117)))*1,0))</f>
        <v>1133395897</v>
      </c>
      <c r="AC776" s="4">
        <f>$E776+21</f>
        <v>134</v>
      </c>
      <c r="AD776" s="8">
        <f>IF($J776=0,0,ROUND(MAX($J776*1.4*1.5*1.6*1.6*2.2*2.715*2.6*1.4*1.4*1.5,12600000000*(1.652953^(MIN($E776,123)-117)))*1,0))</f>
        <v>1687829312</v>
      </c>
      <c r="AE776" s="6">
        <f>$E776+24</f>
        <v>137</v>
      </c>
      <c r="AF776" s="7">
        <f>IF($J776=0,0,ROUND(MAX($J776*1.4*1.5*1.6*1.6*2.2*2.715*2.6*1.4*1.4*1.5*1.5,18900000000*(1.65331^(MIN($E776,123)-117)))*1,0))</f>
        <v>2529557954</v>
      </c>
      <c r="AG776" s="4">
        <f>$E776+27</f>
        <v>140</v>
      </c>
      <c r="AH776" s="8">
        <f>IF($J776=0,0,ROUND(MAX($J776*1.4*1.5*1.6*1.6*2.2*2.715*2.6*1.4*1.4*1.5*1.5*3.2,60500000000*(1.654288^(MIN($E776,123)-117)))*1,0))</f>
        <v>8078131097</v>
      </c>
    </row>
    <row r="777" ht="27.75" customHeight="1" spans="1:34" x14ac:dyDescent="0.25">
      <c r="A777" s="3">
        <v>787</v>
      </c>
      <c r="B777" s="3" t="s">
        <v>674</v>
      </c>
      <c r="C777" s="3" t="s">
        <v>670</v>
      </c>
      <c r="D777" s="3" t="s">
        <v>25</v>
      </c>
      <c r="E777" s="3">
        <v>113</v>
      </c>
      <c r="F777" s="3" t="s">
        <v>34</v>
      </c>
      <c r="G777" s="3" t="s">
        <v>675</v>
      </c>
      <c r="H777" s="3">
        <v>27</v>
      </c>
      <c r="I777" s="4">
        <v>113</v>
      </c>
      <c r="J777" s="5">
        <v>135000</v>
      </c>
      <c r="K777" s="6">
        <f>$E777+1</f>
        <v>114</v>
      </c>
      <c r="L777" s="7">
        <f>IF($J777=0,0,ROUND(MAX($J777*1.4,1620000*(1.497923^(MIN($E777,123)-117)))*1,0))</f>
        <v>321779</v>
      </c>
      <c r="M777" s="4">
        <f>$E777+2</f>
        <v>115</v>
      </c>
      <c r="N777" s="8">
        <f>IF($J777=0,0,ROUND(MAX($J777*1.4*1.5,2190000*(1.580994^(MIN($E777,123)-117)))*1,0))</f>
        <v>350528</v>
      </c>
      <c r="O777" s="6">
        <f>$E777+4</f>
        <v>117</v>
      </c>
      <c r="P777" s="7">
        <f>IF($J777=0,0,ROUND(MAX($J777*1.4*1.5*1.6,3500000*(1.57975^(MIN($E777,123)-117)))*1,0))</f>
        <v>561972</v>
      </c>
      <c r="Q777" s="4">
        <f>$E777+6</f>
        <v>119</v>
      </c>
      <c r="R777" s="8">
        <f>IF($J777=0,0,ROUND(MAX($J777*1.4*1.5*1.6*1.6,13100000*(1.429962^(MIN($E777,123)-117)))*1,0))</f>
        <v>3133093</v>
      </c>
      <c r="S777" s="6">
        <f>$E777+8</f>
        <v>121</v>
      </c>
      <c r="T777" s="7">
        <f>IF($J777=0,0,ROUND(MAX($J777*1.4*1.5*1.6*1.6*2.2,42600000*(1.576904^(MIN($E777,123)-117)))*1,0))</f>
        <v>6889514</v>
      </c>
      <c r="U777" s="4">
        <f>$E777+11</f>
        <v>124</v>
      </c>
      <c r="V777" s="8">
        <f>IF($J777=0,0,ROUND(MAX($J777*1.4*1.5*1.6*1.6*2.2*2.715,354000000*(1.642074^(MIN($E777,123)-117)))*1,0))</f>
        <v>48689169</v>
      </c>
      <c r="W777" s="6">
        <f>$E777+15</f>
        <v>128</v>
      </c>
      <c r="X777" s="7">
        <f>IF($J777=0,0,ROUND(MAX($J777*1.4*1.5*1.6*1.6*2.2*2.715*2.6,3540000000*(1.579646^(MIN($E777,123)-117)))*1,0))</f>
        <v>568544122</v>
      </c>
      <c r="Y777" s="4">
        <f>$E777+17</f>
        <v>130</v>
      </c>
      <c r="Z777" s="8">
        <f>IF($J777=0,0,ROUND(MAX($J777*1.4*1.5*1.6*1.6*2.2*2.715*2.6*1.4,6020000000*(1.651178^(MIN($E777,123)-117)))*1,0))</f>
        <v>809880453</v>
      </c>
      <c r="AA777" s="6">
        <f>$E777+19</f>
        <v>132</v>
      </c>
      <c r="AB777" s="7">
        <f>IF($J777=0,0,ROUND(MAX($J777*1.4*1.5*1.6*1.6*2.2*2.715*2.6*1.4*1.4,8430000000*(1.651435^(MIN($E777,123)-117)))*1,0))</f>
        <v>1133395897</v>
      </c>
      <c r="AC777" s="4">
        <f>$E777+21</f>
        <v>134</v>
      </c>
      <c r="AD777" s="8">
        <f>IF($J777=0,0,ROUND(MAX($J777*1.4*1.5*1.6*1.6*2.2*2.715*2.6*1.4*1.4*1.5,12600000000*(1.652953^(MIN($E777,123)-117)))*1,0))</f>
        <v>1687829312</v>
      </c>
      <c r="AE777" s="6">
        <f>$E777+24</f>
        <v>137</v>
      </c>
      <c r="AF777" s="7">
        <f>IF($J777=0,0,ROUND(MAX($J777*1.4*1.5*1.6*1.6*2.2*2.715*2.6*1.4*1.4*1.5*1.5,18900000000*(1.65331^(MIN($E777,123)-117)))*1,0))</f>
        <v>2529557954</v>
      </c>
      <c r="AG777" s="4">
        <f>$E777+27</f>
        <v>140</v>
      </c>
      <c r="AH777" s="8">
        <f>IF($J777=0,0,ROUND(MAX($J777*1.4*1.5*1.6*1.6*2.2*2.715*2.6*1.4*1.4*1.5*1.5*3.2,60500000000*(1.654288^(MIN($E777,123)-117)))*1,0))</f>
        <v>8078131097</v>
      </c>
    </row>
    <row r="778" ht="27.75" customHeight="1" spans="1:34" x14ac:dyDescent="0.25">
      <c r="A778" s="3">
        <v>788</v>
      </c>
      <c r="B778" s="3" t="s">
        <v>424</v>
      </c>
      <c r="C778" s="3" t="s">
        <v>670</v>
      </c>
      <c r="D778" s="3" t="s">
        <v>40</v>
      </c>
      <c r="E778" s="3">
        <v>113</v>
      </c>
      <c r="F778" s="3" t="s">
        <v>341</v>
      </c>
      <c r="G778" s="3" t="s">
        <v>425</v>
      </c>
      <c r="H778" s="3">
        <v>27</v>
      </c>
      <c r="I778" s="4">
        <v>113</v>
      </c>
      <c r="J778" s="5">
        <v>114000</v>
      </c>
      <c r="K778" s="6">
        <f>$E778+1</f>
        <v>114</v>
      </c>
      <c r="L778" s="7">
        <f>IF($J778=0,0,ROUND(MAX($J778*1.4,1620000*(1.497923^(MIN($E778,123)-117)))*1,0))</f>
        <v>321779</v>
      </c>
      <c r="M778" s="4">
        <f>$E778+2</f>
        <v>115</v>
      </c>
      <c r="N778" s="8">
        <f>IF($J778=0,0,ROUND(MAX($J778*1.4*1.5,2190000*(1.580994^(MIN($E778,123)-117)))*1,0))</f>
        <v>350528</v>
      </c>
      <c r="O778" s="6">
        <f>$E778+4</f>
        <v>117</v>
      </c>
      <c r="P778" s="7">
        <f>IF($J778=0,0,ROUND(MAX($J778*1.4*1.5*1.6,3500000*(1.57975^(MIN($E778,123)-117)))*1,0))</f>
        <v>561972</v>
      </c>
      <c r="Q778" s="4">
        <f>$E778+6</f>
        <v>119</v>
      </c>
      <c r="R778" s="8">
        <f>IF($J778=0,0,ROUND(MAX($J778*1.4*1.5*1.6*1.6,13100000*(1.429962^(MIN($E778,123)-117)))*1,0))</f>
        <v>3133093</v>
      </c>
      <c r="S778" s="6">
        <f>$E778+8</f>
        <v>121</v>
      </c>
      <c r="T778" s="7">
        <f>IF($J778=0,0,ROUND(MAX($J778*1.4*1.5*1.6*1.6*2.2,42600000*(1.576904^(MIN($E778,123)-117)))*1,0))</f>
        <v>6889514</v>
      </c>
      <c r="U778" s="4">
        <f>$E778+11</f>
        <v>124</v>
      </c>
      <c r="V778" s="8">
        <f>IF($J778=0,0,ROUND(MAX($J778*1.4*1.5*1.6*1.6*2.2*2.715,354000000*(1.642074^(MIN($E778,123)-117)))*1,0))</f>
        <v>48689169</v>
      </c>
      <c r="W778" s="6">
        <f>$E778+15</f>
        <v>128</v>
      </c>
      <c r="X778" s="7">
        <f>IF($J778=0,0,ROUND(MAX($J778*1.4*1.5*1.6*1.6*2.2*2.715*2.6,3540000000*(1.579646^(MIN($E778,123)-117)))*1,0))</f>
        <v>568544122</v>
      </c>
      <c r="Y778" s="4">
        <f>$E778+17</f>
        <v>130</v>
      </c>
      <c r="Z778" s="8">
        <f>IF($J778=0,0,ROUND(MAX($J778*1.4*1.5*1.6*1.6*2.2*2.715*2.6*1.4,6020000000*(1.651178^(MIN($E778,123)-117)))*1,0))</f>
        <v>809880453</v>
      </c>
      <c r="AA778" s="6">
        <f>$E778+19</f>
        <v>132</v>
      </c>
      <c r="AB778" s="7">
        <f>IF($J778=0,0,ROUND(MAX($J778*1.4*1.5*1.6*1.6*2.2*2.715*2.6*1.4*1.4,8430000000*(1.651435^(MIN($E778,123)-117)))*1,0))</f>
        <v>1133395897</v>
      </c>
      <c r="AC778" s="4">
        <f>$E778+21</f>
        <v>134</v>
      </c>
      <c r="AD778" s="8">
        <f>IF($J778=0,0,ROUND(MAX($J778*1.4*1.5*1.6*1.6*2.2*2.715*2.6*1.4*1.4*1.5,12600000000*(1.652953^(MIN($E778,123)-117)))*1,0))</f>
        <v>1687829312</v>
      </c>
      <c r="AE778" s="6">
        <f>$E778+24</f>
        <v>137</v>
      </c>
      <c r="AF778" s="7">
        <f>IF($J778=0,0,ROUND(MAX($J778*1.4*1.5*1.6*1.6*2.2*2.715*2.6*1.4*1.4*1.5*1.5,18900000000*(1.65331^(MIN($E778,123)-117)))*1,0))</f>
        <v>2529557954</v>
      </c>
      <c r="AG778" s="4">
        <f>$E778+27</f>
        <v>140</v>
      </c>
      <c r="AH778" s="8">
        <f>IF($J778=0,0,ROUND(MAX($J778*1.4*1.5*1.6*1.6*2.2*2.715*2.6*1.4*1.4*1.5*1.5*3.2,60500000000*(1.654288^(MIN($E778,123)-117)))*1,0))</f>
        <v>8078131097</v>
      </c>
    </row>
    <row r="779" ht="27.75" customHeight="1" spans="1:34" x14ac:dyDescent="0.25">
      <c r="A779" s="3">
        <v>789</v>
      </c>
      <c r="B779" s="3" t="s">
        <v>216</v>
      </c>
      <c r="C779" s="3" t="s">
        <v>670</v>
      </c>
      <c r="D779" s="3" t="s">
        <v>25</v>
      </c>
      <c r="E779" s="3">
        <v>113</v>
      </c>
      <c r="F779" s="3" t="s">
        <v>217</v>
      </c>
      <c r="G779" s="3" t="s">
        <v>671</v>
      </c>
      <c r="H779" s="3">
        <v>27</v>
      </c>
      <c r="I779" s="4">
        <v>113</v>
      </c>
      <c r="J779" s="5">
        <v>128000</v>
      </c>
      <c r="K779" s="6">
        <f>$E779+1</f>
        <v>114</v>
      </c>
      <c r="L779" s="7">
        <f>IF($J779=0,0,ROUND(MAX($J779*1.4,1620000*(1.497923^(MIN($E779,123)-117)))*1,0))</f>
        <v>321779</v>
      </c>
      <c r="M779" s="4">
        <f>$E779+2</f>
        <v>115</v>
      </c>
      <c r="N779" s="8">
        <f>IF($J779=0,0,ROUND(MAX($J779*1.4*1.5,2190000*(1.580994^(MIN($E779,123)-117)))*1,0))</f>
        <v>350528</v>
      </c>
      <c r="O779" s="6">
        <f>$E779+4</f>
        <v>117</v>
      </c>
      <c r="P779" s="7">
        <f>IF($J779=0,0,ROUND(MAX($J779*1.4*1.5*1.6,3500000*(1.57975^(MIN($E779,123)-117)))*1,0))</f>
        <v>561972</v>
      </c>
      <c r="Q779" s="4">
        <f>$E779+6</f>
        <v>119</v>
      </c>
      <c r="R779" s="8">
        <f>IF($J779=0,0,ROUND(MAX($J779*1.4*1.5*1.6*1.6,13100000*(1.429962^(MIN($E779,123)-117)))*1,0))</f>
        <v>3133093</v>
      </c>
      <c r="S779" s="6">
        <f>$E779+8</f>
        <v>121</v>
      </c>
      <c r="T779" s="7">
        <f>IF($J779=0,0,ROUND(MAX($J779*1.4*1.5*1.6*1.6*2.2,42600000*(1.576904^(MIN($E779,123)-117)))*1,0))</f>
        <v>6889514</v>
      </c>
      <c r="U779" s="4">
        <f>$E779+11</f>
        <v>124</v>
      </c>
      <c r="V779" s="8">
        <f>IF($J779=0,0,ROUND(MAX($J779*1.4*1.5*1.6*1.6*2.2*2.715,354000000*(1.642074^(MIN($E779,123)-117)))*1,0))</f>
        <v>48689169</v>
      </c>
      <c r="W779" s="6">
        <f>$E779+15</f>
        <v>128</v>
      </c>
      <c r="X779" s="7">
        <f>IF($J779=0,0,ROUND(MAX($J779*1.4*1.5*1.6*1.6*2.2*2.715*2.6,3540000000*(1.579646^(MIN($E779,123)-117)))*1,0))</f>
        <v>568544122</v>
      </c>
      <c r="Y779" s="4">
        <f>$E779+17</f>
        <v>130</v>
      </c>
      <c r="Z779" s="8">
        <f>IF($J779=0,0,ROUND(MAX($J779*1.4*1.5*1.6*1.6*2.2*2.715*2.6*1.4,6020000000*(1.651178^(MIN($E779,123)-117)))*1,0))</f>
        <v>809880453</v>
      </c>
      <c r="AA779" s="6">
        <f>$E779+19</f>
        <v>132</v>
      </c>
      <c r="AB779" s="7">
        <f>IF($J779=0,0,ROUND(MAX($J779*1.4*1.5*1.6*1.6*2.2*2.715*2.6*1.4*1.4,8430000000*(1.651435^(MIN($E779,123)-117)))*1,0))</f>
        <v>1133395897</v>
      </c>
      <c r="AC779" s="4">
        <f>$E779+21</f>
        <v>134</v>
      </c>
      <c r="AD779" s="8">
        <f>IF($J779=0,0,ROUND(MAX($J779*1.4*1.5*1.6*1.6*2.2*2.715*2.6*1.4*1.4*1.5,12600000000*(1.652953^(MIN($E779,123)-117)))*1,0))</f>
        <v>1687829312</v>
      </c>
      <c r="AE779" s="6">
        <f>$E779+24</f>
        <v>137</v>
      </c>
      <c r="AF779" s="7">
        <f>IF($J779=0,0,ROUND(MAX($J779*1.4*1.5*1.6*1.6*2.2*2.715*2.6*1.4*1.4*1.5*1.5,18900000000*(1.65331^(MIN($E779,123)-117)))*1,0))</f>
        <v>2529557954</v>
      </c>
      <c r="AG779" s="4">
        <f>$E779+27</f>
        <v>140</v>
      </c>
      <c r="AH779" s="8">
        <f>IF($J779=0,0,ROUND(MAX($J779*1.4*1.5*1.6*1.6*2.2*2.715*2.6*1.4*1.4*1.5*1.5*3.2,60500000000*(1.654288^(MIN($E779,123)-117)))*1,0))</f>
        <v>8078131097</v>
      </c>
    </row>
    <row r="780" ht="27.75" customHeight="1" spans="1:34" x14ac:dyDescent="0.25">
      <c r="A780" s="3">
        <v>790</v>
      </c>
      <c r="B780" s="3" t="s">
        <v>541</v>
      </c>
      <c r="C780" s="3" t="s">
        <v>670</v>
      </c>
      <c r="D780" s="3" t="s">
        <v>40</v>
      </c>
      <c r="E780" s="3">
        <v>112</v>
      </c>
      <c r="F780" s="3" t="s">
        <v>54</v>
      </c>
      <c r="G780" s="3" t="s">
        <v>472</v>
      </c>
      <c r="H780" s="3">
        <v>28</v>
      </c>
      <c r="I780" s="4">
        <v>112</v>
      </c>
      <c r="J780" s="5">
        <v>162000</v>
      </c>
      <c r="K780" s="6">
        <f>$E780+1</f>
        <v>113</v>
      </c>
      <c r="L780" s="7">
        <f>IF($J780=0,0,ROUND(MAX($J780*1.4,1620000*(1.497923^(MIN($E780,123)-117)))*1,0))</f>
        <v>226800</v>
      </c>
      <c r="M780" s="4">
        <f>$E780+2</f>
        <v>114</v>
      </c>
      <c r="N780" s="8">
        <f>IF($J780=0,0,ROUND(MAX($J780*1.4*1.5,2190000*(1.580994^(MIN($E780,123)-117)))*1,0))</f>
        <v>340200</v>
      </c>
      <c r="O780" s="6">
        <f>$E780+4</f>
        <v>116</v>
      </c>
      <c r="P780" s="7">
        <f>IF($J780=0,0,ROUND(MAX($J780*1.4*1.5*1.6,3500000*(1.57975^(MIN($E780,123)-117)))*1,0))</f>
        <v>544320</v>
      </c>
      <c r="Q780" s="4">
        <f>$E780+6</f>
        <v>118</v>
      </c>
      <c r="R780" s="8">
        <f>IF($J780=0,0,ROUND(MAX($J780*1.4*1.5*1.6*1.6,13100000*(1.429962^(MIN($E780,123)-117)))*1,0))</f>
        <v>2191032</v>
      </c>
      <c r="S780" s="6">
        <f>$E780+8</f>
        <v>120</v>
      </c>
      <c r="T780" s="7">
        <f>IF($J780=0,0,ROUND(MAX($J780*1.4*1.5*1.6*1.6*2.2,42600000*(1.576904^(MIN($E780,123)-117)))*1,0))</f>
        <v>4369013</v>
      </c>
      <c r="U780" s="4">
        <f>$E780+11</f>
        <v>123</v>
      </c>
      <c r="V780" s="8">
        <f>IF($J780=0,0,ROUND(MAX($J780*1.4*1.5*1.6*1.6*2.2*2.715,354000000*(1.642074^(MIN($E780,123)-117)))*1,0))</f>
        <v>29651020</v>
      </c>
      <c r="W780" s="6">
        <f>$E780+15</f>
        <v>127</v>
      </c>
      <c r="X780" s="7">
        <f>IF($J780=0,0,ROUND(MAX($J780*1.4*1.5*1.6*1.6*2.2*2.715*2.6,3540000000*(1.579646^(MIN($E780,123)-117)))*1,0))</f>
        <v>359918692</v>
      </c>
      <c r="Y780" s="4">
        <f>$E780+17</f>
        <v>129</v>
      </c>
      <c r="Z780" s="8">
        <f>IF($J780=0,0,ROUND(MAX($J780*1.4*1.5*1.6*1.6*2.2*2.715*2.6*1.4,6020000000*(1.651178^(MIN($E780,123)-117)))*1,0))</f>
        <v>490486461</v>
      </c>
      <c r="AA780" s="6">
        <f>$E780+19</f>
        <v>131</v>
      </c>
      <c r="AB780" s="7">
        <f>IF($J780=0,0,ROUND(MAX($J780*1.4*1.5*1.6*1.6*2.2*2.715*2.6*1.4*1.4,8430000000*(1.651435^(MIN($E780,123)-117)))*1,0))</f>
        <v>686309723</v>
      </c>
      <c r="AC780" s="4">
        <f>$E780+21</f>
        <v>133</v>
      </c>
      <c r="AD780" s="8">
        <f>IF($J780=0,0,ROUND(MAX($J780*1.4*1.5*1.6*1.6*2.2*2.715*2.6*1.4*1.4*1.5,12600000000*(1.652953^(MIN($E780,123)-117)))*1,0))</f>
        <v>1021099398</v>
      </c>
      <c r="AE780" s="6">
        <f>$E780+24</f>
        <v>136</v>
      </c>
      <c r="AF780" s="7">
        <f>IF($J780=0,0,ROUND(MAX($J780*1.4*1.5*1.6*1.6*2.2*2.715*2.6*1.4*1.4*1.5*1.5,18900000000*(1.65331^(MIN($E780,123)-117)))*1,0))</f>
        <v>1529996162</v>
      </c>
      <c r="AG780" s="4">
        <f>$E780+27</f>
        <v>139</v>
      </c>
      <c r="AH780" s="8">
        <f>IF($J780=0,0,ROUND(MAX($J780*1.4*1.5*1.6*1.6*2.2*2.715*2.6*1.4*1.4*1.5*1.5*3.2,60500000000*(1.654288^(MIN($E780,123)-117)))*1,0))</f>
        <v>4883146766</v>
      </c>
    </row>
    <row r="781" ht="27.75" customHeight="1" spans="1:34" x14ac:dyDescent="0.25">
      <c r="A781" s="3">
        <v>791</v>
      </c>
      <c r="B781" s="3" t="s">
        <v>172</v>
      </c>
      <c r="C781" s="3" t="s">
        <v>670</v>
      </c>
      <c r="D781" s="3" t="s">
        <v>40</v>
      </c>
      <c r="E781" s="3">
        <v>112</v>
      </c>
      <c r="F781" s="3" t="s">
        <v>26</v>
      </c>
      <c r="G781" s="3" t="s">
        <v>671</v>
      </c>
      <c r="H781" s="3">
        <v>28</v>
      </c>
      <c r="I781" s="4">
        <v>112</v>
      </c>
      <c r="J781" s="5">
        <v>134000</v>
      </c>
      <c r="K781" s="6">
        <f>$E781+1</f>
        <v>113</v>
      </c>
      <c r="L781" s="7">
        <f>IF($J781=0,0,ROUND(MAX($J781*1.4,1620000*(1.497923^(MIN($E781,123)-117)))*1,0))</f>
        <v>214816</v>
      </c>
      <c r="M781" s="4">
        <f>$E781+2</f>
        <v>114</v>
      </c>
      <c r="N781" s="8">
        <f>IF($J781=0,0,ROUND(MAX($J781*1.4*1.5,2190000*(1.580994^(MIN($E781,123)-117)))*1,0))</f>
        <v>281400</v>
      </c>
      <c r="O781" s="6">
        <f>$E781+4</f>
        <v>116</v>
      </c>
      <c r="P781" s="7">
        <f>IF($J781=0,0,ROUND(MAX($J781*1.4*1.5*1.6,3500000*(1.57975^(MIN($E781,123)-117)))*1,0))</f>
        <v>450240</v>
      </c>
      <c r="Q781" s="4">
        <f>$E781+6</f>
        <v>118</v>
      </c>
      <c r="R781" s="8">
        <f>IF($J781=0,0,ROUND(MAX($J781*1.4*1.5*1.6*1.6,13100000*(1.429962^(MIN($E781,123)-117)))*1,0))</f>
        <v>2191032</v>
      </c>
      <c r="S781" s="6">
        <f>$E781+8</f>
        <v>120</v>
      </c>
      <c r="T781" s="7">
        <f>IF($J781=0,0,ROUND(MAX($J781*1.4*1.5*1.6*1.6*2.2,42600000*(1.576904^(MIN($E781,123)-117)))*1,0))</f>
        <v>4369013</v>
      </c>
      <c r="U781" s="4">
        <f>$E781+11</f>
        <v>123</v>
      </c>
      <c r="V781" s="8">
        <f>IF($J781=0,0,ROUND(MAX($J781*1.4*1.5*1.6*1.6*2.2*2.715,354000000*(1.642074^(MIN($E781,123)-117)))*1,0))</f>
        <v>29651020</v>
      </c>
      <c r="W781" s="6">
        <f>$E781+15</f>
        <v>127</v>
      </c>
      <c r="X781" s="7">
        <f>IF($J781=0,0,ROUND(MAX($J781*1.4*1.5*1.6*1.6*2.2*2.715*2.6,3540000000*(1.579646^(MIN($E781,123)-117)))*1,0))</f>
        <v>359918692</v>
      </c>
      <c r="Y781" s="4">
        <f>$E781+17</f>
        <v>129</v>
      </c>
      <c r="Z781" s="8">
        <f>IF($J781=0,0,ROUND(MAX($J781*1.4*1.5*1.6*1.6*2.2*2.715*2.6*1.4,6020000000*(1.651178^(MIN($E781,123)-117)))*1,0))</f>
        <v>490486461</v>
      </c>
      <c r="AA781" s="6">
        <f>$E781+19</f>
        <v>131</v>
      </c>
      <c r="AB781" s="7">
        <f>IF($J781=0,0,ROUND(MAX($J781*1.4*1.5*1.6*1.6*2.2*2.715*2.6*1.4*1.4,8430000000*(1.651435^(MIN($E781,123)-117)))*1,0))</f>
        <v>686309723</v>
      </c>
      <c r="AC781" s="4">
        <f>$E781+21</f>
        <v>133</v>
      </c>
      <c r="AD781" s="8">
        <f>IF($J781=0,0,ROUND(MAX($J781*1.4*1.5*1.6*1.6*2.2*2.715*2.6*1.4*1.4*1.5,12600000000*(1.652953^(MIN($E781,123)-117)))*1,0))</f>
        <v>1021099398</v>
      </c>
      <c r="AE781" s="6">
        <f>$E781+24</f>
        <v>136</v>
      </c>
      <c r="AF781" s="7">
        <f>IF($J781=0,0,ROUND(MAX($J781*1.4*1.5*1.6*1.6*2.2*2.715*2.6*1.4*1.4*1.5*1.5,18900000000*(1.65331^(MIN($E781,123)-117)))*1,0))</f>
        <v>1529996162</v>
      </c>
      <c r="AG781" s="4">
        <f>$E781+27</f>
        <v>139</v>
      </c>
      <c r="AH781" s="8">
        <f>IF($J781=0,0,ROUND(MAX($J781*1.4*1.5*1.6*1.6*2.2*2.715*2.6*1.4*1.4*1.5*1.5*3.2,60500000000*(1.654288^(MIN($E781,123)-117)))*1,0))</f>
        <v>4883146766</v>
      </c>
    </row>
    <row r="782" ht="27.75" customHeight="1" spans="1:34" x14ac:dyDescent="0.25">
      <c r="A782" s="3">
        <v>792</v>
      </c>
      <c r="B782" s="3" t="s">
        <v>159</v>
      </c>
      <c r="C782" s="3" t="s">
        <v>670</v>
      </c>
      <c r="D782" s="3" t="s">
        <v>45</v>
      </c>
      <c r="E782" s="3">
        <v>112</v>
      </c>
      <c r="F782" s="3" t="s">
        <v>42</v>
      </c>
      <c r="G782" s="3" t="s">
        <v>671</v>
      </c>
      <c r="H782" s="3">
        <v>28</v>
      </c>
      <c r="I782" s="4">
        <v>112</v>
      </c>
      <c r="J782" s="5">
        <v>7900000</v>
      </c>
      <c r="K782" s="6">
        <f>$E782+1</f>
        <v>113</v>
      </c>
      <c r="L782" s="7">
        <f>IF($J782=0,0,ROUND(MAX($J782*1.4,1620000*(1.497923^(MIN($E782,123)-117)))*1,0))</f>
        <v>11060000</v>
      </c>
      <c r="M782" s="4">
        <f>$E782+2</f>
        <v>114</v>
      </c>
      <c r="N782" s="8">
        <f>IF($J782=0,0,ROUND(MAX($J782*1.4*1.5,2190000*(1.580994^(MIN($E782,123)-117)))*1,0))</f>
        <v>16590000</v>
      </c>
      <c r="O782" s="6">
        <f>$E782+4</f>
        <v>116</v>
      </c>
      <c r="P782" s="7">
        <f>IF($J782=0,0,ROUND(MAX($J782*1.4*1.5*1.6,3500000*(1.57975^(MIN($E782,123)-117)))*1,0))</f>
        <v>26544000</v>
      </c>
      <c r="Q782" s="4">
        <f>$E782+6</f>
        <v>118</v>
      </c>
      <c r="R782" s="8">
        <f>IF($J782=0,0,ROUND(MAX($J782*1.4*1.5*1.6*1.6,13100000*(1.429962^(MIN($E782,123)-117)))*1,0))</f>
        <v>42470400</v>
      </c>
      <c r="S782" s="6">
        <f>$E782+8</f>
        <v>120</v>
      </c>
      <c r="T782" s="7">
        <f>IF($J782=0,0,ROUND(MAX($J782*1.4*1.5*1.6*1.6*2.2,42600000*(1.576904^(MIN($E782,123)-117)))*1,0))</f>
        <v>93434880</v>
      </c>
      <c r="U782" s="4">
        <f>$E782+11</f>
        <v>123</v>
      </c>
      <c r="V782" s="8">
        <f>IF($J782=0,0,ROUND(MAX($J782*1.4*1.5*1.6*1.6*2.2*2.715,354000000*(1.642074^(MIN($E782,123)-117)))*1,0))</f>
        <v>253675699</v>
      </c>
      <c r="W782" s="6">
        <f>$E782+15</f>
        <v>127</v>
      </c>
      <c r="X782" s="7">
        <f>IF($J782=0,0,ROUND(MAX($J782*1.4*1.5*1.6*1.6*2.2*2.715*2.6,3540000000*(1.579646^(MIN($E782,123)-117)))*1,0))</f>
        <v>659556818</v>
      </c>
      <c r="Y782" s="4">
        <f>$E782+17</f>
        <v>129</v>
      </c>
      <c r="Z782" s="8">
        <f>IF($J782=0,0,ROUND(MAX($J782*1.4*1.5*1.6*1.6*2.2*2.715*2.6*1.4,6020000000*(1.651178^(MIN($E782,123)-117)))*1,0))</f>
        <v>923379545</v>
      </c>
      <c r="AA782" s="6">
        <f>$E782+19</f>
        <v>131</v>
      </c>
      <c r="AB782" s="7">
        <f>IF($J782=0,0,ROUND(MAX($J782*1.4*1.5*1.6*1.6*2.2*2.715*2.6*1.4*1.4,8430000000*(1.651435^(MIN($E782,123)-117)))*1,0))</f>
        <v>1292731363</v>
      </c>
      <c r="AC782" s="4">
        <f>$E782+21</f>
        <v>133</v>
      </c>
      <c r="AD782" s="8">
        <f>IF($J782=0,0,ROUND(MAX($J782*1.4*1.5*1.6*1.6*2.2*2.715*2.6*1.4*1.4*1.5,12600000000*(1.652953^(MIN($E782,123)-117)))*1,0))</f>
        <v>1939097045</v>
      </c>
      <c r="AE782" s="6">
        <f>$E782+24</f>
        <v>136</v>
      </c>
      <c r="AF782" s="7">
        <f>IF($J782=0,0,ROUND(MAX($J782*1.4*1.5*1.6*1.6*2.2*2.715*2.6*1.4*1.4*1.5*1.5,18900000000*(1.65331^(MIN($E782,123)-117)))*1,0))</f>
        <v>2908645567</v>
      </c>
      <c r="AG782" s="4">
        <f>$E782+27</f>
        <v>139</v>
      </c>
      <c r="AH782" s="8">
        <f>IF($J782=0,0,ROUND(MAX($J782*1.4*1.5*1.6*1.6*2.2*2.715*2.6*1.4*1.4*1.5*1.5*3.2,60500000000*(1.654288^(MIN($E782,123)-117)))*1,0))</f>
        <v>9307665814</v>
      </c>
    </row>
    <row r="783" ht="27.75" customHeight="1" spans="1:34" x14ac:dyDescent="0.25">
      <c r="A783" s="3">
        <v>793</v>
      </c>
      <c r="B783" s="3" t="s">
        <v>177</v>
      </c>
      <c r="C783" s="3" t="s">
        <v>670</v>
      </c>
      <c r="D783" s="3" t="s">
        <v>25</v>
      </c>
      <c r="E783" s="3">
        <v>112</v>
      </c>
      <c r="F783" s="3" t="s">
        <v>146</v>
      </c>
      <c r="G783" s="3" t="s">
        <v>671</v>
      </c>
      <c r="H783" s="3">
        <v>27</v>
      </c>
      <c r="I783" s="4">
        <v>112</v>
      </c>
      <c r="J783" s="5">
        <v>211000</v>
      </c>
      <c r="K783" s="6">
        <f>$E783+1</f>
        <v>113</v>
      </c>
      <c r="L783" s="7">
        <f>IF($J783=0,0,ROUND(MAX($J783*1.4,1620000*(1.497923^(MIN($E783,123)-117)))*1,0))</f>
        <v>295400</v>
      </c>
      <c r="M783" s="4">
        <f>$E783+2</f>
        <v>114</v>
      </c>
      <c r="N783" s="8">
        <f>IF($J783=0,0,ROUND(MAX($J783*1.4*1.5,2190000*(1.580994^(MIN($E783,123)-117)))*1,0))</f>
        <v>443100</v>
      </c>
      <c r="O783" s="6">
        <f>$E783+4</f>
        <v>116</v>
      </c>
      <c r="P783" s="7">
        <f>IF($J783=0,0,ROUND(MAX($J783*1.4*1.5*1.6,3500000*(1.57975^(MIN($E783,123)-117)))*1,0))</f>
        <v>708960</v>
      </c>
      <c r="Q783" s="4">
        <f>$E783+6</f>
        <v>118</v>
      </c>
      <c r="R783" s="8">
        <f>IF($J783=0,0,ROUND(MAX($J783*1.4*1.5*1.6*1.6,13100000*(1.429962^(MIN($E783,123)-117)))*1,0))</f>
        <v>2191032</v>
      </c>
      <c r="S783" s="6">
        <f>$E783+8</f>
        <v>120</v>
      </c>
      <c r="T783" s="7">
        <f>IF($J783=0,0,ROUND(MAX($J783*1.4*1.5*1.6*1.6*2.2,42600000*(1.576904^(MIN($E783,123)-117)))*1,0))</f>
        <v>4369013</v>
      </c>
      <c r="U783" s="4">
        <f>$E783+11</f>
        <v>123</v>
      </c>
      <c r="V783" s="8">
        <f>IF($J783=0,0,ROUND(MAX($J783*1.4*1.5*1.6*1.6*2.2*2.715,354000000*(1.642074^(MIN($E783,123)-117)))*1,0))</f>
        <v>29651020</v>
      </c>
      <c r="W783" s="6">
        <f>$E783+15</f>
        <v>127</v>
      </c>
      <c r="X783" s="7">
        <f>IF($J783=0,0,ROUND(MAX($J783*1.4*1.5*1.6*1.6*2.2*2.715*2.6,3540000000*(1.579646^(MIN($E783,123)-117)))*1,0))</f>
        <v>359918692</v>
      </c>
      <c r="Y783" s="4">
        <f>$E783+17</f>
        <v>129</v>
      </c>
      <c r="Z783" s="8">
        <f>IF($J783=0,0,ROUND(MAX($J783*1.4*1.5*1.6*1.6*2.2*2.715*2.6*1.4,6020000000*(1.651178^(MIN($E783,123)-117)))*1,0))</f>
        <v>490486461</v>
      </c>
      <c r="AA783" s="6">
        <f>$E783+19</f>
        <v>131</v>
      </c>
      <c r="AB783" s="7">
        <f>IF($J783=0,0,ROUND(MAX($J783*1.4*1.5*1.6*1.6*2.2*2.715*2.6*1.4*1.4,8430000000*(1.651435^(MIN($E783,123)-117)))*1,0))</f>
        <v>686309723</v>
      </c>
      <c r="AC783" s="4">
        <f>$E783+21</f>
        <v>133</v>
      </c>
      <c r="AD783" s="8">
        <f>IF($J783=0,0,ROUND(MAX($J783*1.4*1.5*1.6*1.6*2.2*2.715*2.6*1.4*1.4*1.5,12600000000*(1.652953^(MIN($E783,123)-117)))*1,0))</f>
        <v>1021099398</v>
      </c>
      <c r="AE783" s="6">
        <f>$E783+24</f>
        <v>136</v>
      </c>
      <c r="AF783" s="7">
        <f>IF($J783=0,0,ROUND(MAX($J783*1.4*1.5*1.6*1.6*2.2*2.715*2.6*1.4*1.4*1.5*1.5,18900000000*(1.65331^(MIN($E783,123)-117)))*1,0))</f>
        <v>1529996162</v>
      </c>
      <c r="AG783" s="4">
        <f>$E783+27</f>
        <v>139</v>
      </c>
      <c r="AH783" s="8">
        <f>IF($J783=0,0,ROUND(MAX($J783*1.4*1.5*1.6*1.6*2.2*2.715*2.6*1.4*1.4*1.5*1.5*3.2,60500000000*(1.654288^(MIN($E783,123)-117)))*1,0))</f>
        <v>4883146766</v>
      </c>
    </row>
    <row r="784" ht="27.75" customHeight="1" spans="1:34" x14ac:dyDescent="0.25">
      <c r="A784" s="3">
        <v>794</v>
      </c>
      <c r="B784" s="3" t="s">
        <v>676</v>
      </c>
      <c r="C784" s="3" t="s">
        <v>670</v>
      </c>
      <c r="D784" s="3" t="s">
        <v>25</v>
      </c>
      <c r="E784" s="3">
        <v>112</v>
      </c>
      <c r="F784" s="3" t="s">
        <v>34</v>
      </c>
      <c r="G784" s="3" t="s">
        <v>124</v>
      </c>
      <c r="H784" s="3">
        <v>27</v>
      </c>
      <c r="I784" s="4">
        <v>112</v>
      </c>
      <c r="J784" s="5">
        <v>149000</v>
      </c>
      <c r="K784" s="6">
        <f>$E784+1</f>
        <v>113</v>
      </c>
      <c r="L784" s="7">
        <f>IF($J784=0,0,ROUND(MAX($J784*1.4,1620000*(1.497923^(MIN($E784,123)-117)))*1,0))</f>
        <v>214816</v>
      </c>
      <c r="M784" s="4">
        <f>$E784+2</f>
        <v>114</v>
      </c>
      <c r="N784" s="8">
        <f>IF($J784=0,0,ROUND(MAX($J784*1.4*1.5,2190000*(1.580994^(MIN($E784,123)-117)))*1,0))</f>
        <v>312900</v>
      </c>
      <c r="O784" s="6">
        <f>$E784+4</f>
        <v>116</v>
      </c>
      <c r="P784" s="7">
        <f>IF($J784=0,0,ROUND(MAX($J784*1.4*1.5*1.6,3500000*(1.57975^(MIN($E784,123)-117)))*1,0))</f>
        <v>500640</v>
      </c>
      <c r="Q784" s="4">
        <f>$E784+6</f>
        <v>118</v>
      </c>
      <c r="R784" s="8">
        <f>IF($J784=0,0,ROUND(MAX($J784*1.4*1.5*1.6*1.6,13100000*(1.429962^(MIN($E784,123)-117)))*1,0))</f>
        <v>2191032</v>
      </c>
      <c r="S784" s="6">
        <f>$E784+8</f>
        <v>120</v>
      </c>
      <c r="T784" s="7">
        <f>IF($J784=0,0,ROUND(MAX($J784*1.4*1.5*1.6*1.6*2.2,42600000*(1.576904^(MIN($E784,123)-117)))*1,0))</f>
        <v>4369013</v>
      </c>
      <c r="U784" s="4">
        <f>$E784+11</f>
        <v>123</v>
      </c>
      <c r="V784" s="8">
        <f>IF($J784=0,0,ROUND(MAX($J784*1.4*1.5*1.6*1.6*2.2*2.715,354000000*(1.642074^(MIN($E784,123)-117)))*1,0))</f>
        <v>29651020</v>
      </c>
      <c r="W784" s="6">
        <f>$E784+15</f>
        <v>127</v>
      </c>
      <c r="X784" s="7">
        <f>IF($J784=0,0,ROUND(MAX($J784*1.4*1.5*1.6*1.6*2.2*2.715*2.6,3540000000*(1.579646^(MIN($E784,123)-117)))*1,0))</f>
        <v>359918692</v>
      </c>
      <c r="Y784" s="4">
        <f>$E784+17</f>
        <v>129</v>
      </c>
      <c r="Z784" s="8">
        <f>IF($J784=0,0,ROUND(MAX($J784*1.4*1.5*1.6*1.6*2.2*2.715*2.6*1.4,6020000000*(1.651178^(MIN($E784,123)-117)))*1,0))</f>
        <v>490486461</v>
      </c>
      <c r="AA784" s="6">
        <f>$E784+19</f>
        <v>131</v>
      </c>
      <c r="AB784" s="7">
        <f>IF($J784=0,0,ROUND(MAX($J784*1.4*1.5*1.6*1.6*2.2*2.715*2.6*1.4*1.4,8430000000*(1.651435^(MIN($E784,123)-117)))*1,0))</f>
        <v>686309723</v>
      </c>
      <c r="AC784" s="4">
        <f>$E784+21</f>
        <v>133</v>
      </c>
      <c r="AD784" s="8">
        <f>IF($J784=0,0,ROUND(MAX($J784*1.4*1.5*1.6*1.6*2.2*2.715*2.6*1.4*1.4*1.5,12600000000*(1.652953^(MIN($E784,123)-117)))*1,0))</f>
        <v>1021099398</v>
      </c>
      <c r="AE784" s="6">
        <f>$E784+24</f>
        <v>136</v>
      </c>
      <c r="AF784" s="7">
        <f>IF($J784=0,0,ROUND(MAX($J784*1.4*1.5*1.6*1.6*2.2*2.715*2.6*1.4*1.4*1.5*1.5,18900000000*(1.65331^(MIN($E784,123)-117)))*1,0))</f>
        <v>1529996162</v>
      </c>
      <c r="AG784" s="4">
        <f>$E784+27</f>
        <v>139</v>
      </c>
      <c r="AH784" s="8">
        <f>IF($J784=0,0,ROUND(MAX($J784*1.4*1.5*1.6*1.6*2.2*2.715*2.6*1.4*1.4*1.5*1.5*3.2,60500000000*(1.654288^(MIN($E784,123)-117)))*1,0))</f>
        <v>4883146766</v>
      </c>
    </row>
    <row r="785" ht="27.75" customHeight="1" spans="1:34" x14ac:dyDescent="0.25">
      <c r="A785" s="3">
        <v>795</v>
      </c>
      <c r="B785" s="3" t="s">
        <v>677</v>
      </c>
      <c r="C785" s="3" t="s">
        <v>670</v>
      </c>
      <c r="D785" s="3" t="s">
        <v>45</v>
      </c>
      <c r="E785" s="3">
        <v>112</v>
      </c>
      <c r="F785" s="3" t="s">
        <v>71</v>
      </c>
      <c r="G785" s="3" t="s">
        <v>326</v>
      </c>
      <c r="H785" s="3">
        <v>27</v>
      </c>
      <c r="I785" s="4">
        <v>112</v>
      </c>
      <c r="J785" s="5">
        <v>163000</v>
      </c>
      <c r="K785" s="6">
        <f>$E785+1</f>
        <v>113</v>
      </c>
      <c r="L785" s="7">
        <f>IF($J785=0,0,ROUND(MAX($J785*1.4,1620000*(1.497923^(MIN($E785,123)-117)))*1,0))</f>
        <v>228200</v>
      </c>
      <c r="M785" s="4">
        <f>$E785+2</f>
        <v>114</v>
      </c>
      <c r="N785" s="8">
        <f>IF($J785=0,0,ROUND(MAX($J785*1.4*1.5,2190000*(1.580994^(MIN($E785,123)-117)))*1,0))</f>
        <v>342300</v>
      </c>
      <c r="O785" s="6">
        <f>$E785+4</f>
        <v>116</v>
      </c>
      <c r="P785" s="7">
        <f>IF($J785=0,0,ROUND(MAX($J785*1.4*1.5*1.6,3500000*(1.57975^(MIN($E785,123)-117)))*1,0))</f>
        <v>547680</v>
      </c>
      <c r="Q785" s="4">
        <f>$E785+6</f>
        <v>118</v>
      </c>
      <c r="R785" s="8">
        <f>IF($J785=0,0,ROUND(MAX($J785*1.4*1.5*1.6*1.6,13100000*(1.429962^(MIN($E785,123)-117)))*1,0))</f>
        <v>2191032</v>
      </c>
      <c r="S785" s="6">
        <f>$E785+8</f>
        <v>120</v>
      </c>
      <c r="T785" s="7">
        <f>IF($J785=0,0,ROUND(MAX($J785*1.4*1.5*1.6*1.6*2.2,42600000*(1.576904^(MIN($E785,123)-117)))*1,0))</f>
        <v>4369013</v>
      </c>
      <c r="U785" s="4">
        <f>$E785+11</f>
        <v>123</v>
      </c>
      <c r="V785" s="8">
        <f>IF($J785=0,0,ROUND(MAX($J785*1.4*1.5*1.6*1.6*2.2*2.715,354000000*(1.642074^(MIN($E785,123)-117)))*1,0))</f>
        <v>29651020</v>
      </c>
      <c r="W785" s="6">
        <f>$E785+15</f>
        <v>127</v>
      </c>
      <c r="X785" s="7">
        <f>IF($J785=0,0,ROUND(MAX($J785*1.4*1.5*1.6*1.6*2.2*2.715*2.6,3540000000*(1.579646^(MIN($E785,123)-117)))*1,0))</f>
        <v>359918692</v>
      </c>
      <c r="Y785" s="4">
        <f>$E785+17</f>
        <v>129</v>
      </c>
      <c r="Z785" s="8">
        <f>IF($J785=0,0,ROUND(MAX($J785*1.4*1.5*1.6*1.6*2.2*2.715*2.6*1.4,6020000000*(1.651178^(MIN($E785,123)-117)))*1,0))</f>
        <v>490486461</v>
      </c>
      <c r="AA785" s="6">
        <f>$E785+19</f>
        <v>131</v>
      </c>
      <c r="AB785" s="7">
        <f>IF($J785=0,0,ROUND(MAX($J785*1.4*1.5*1.6*1.6*2.2*2.715*2.6*1.4*1.4,8430000000*(1.651435^(MIN($E785,123)-117)))*1,0))</f>
        <v>686309723</v>
      </c>
      <c r="AC785" s="4">
        <f>$E785+21</f>
        <v>133</v>
      </c>
      <c r="AD785" s="8">
        <f>IF($J785=0,0,ROUND(MAX($J785*1.4*1.5*1.6*1.6*2.2*2.715*2.6*1.4*1.4*1.5,12600000000*(1.652953^(MIN($E785,123)-117)))*1,0))</f>
        <v>1021099398</v>
      </c>
      <c r="AE785" s="6">
        <f>$E785+24</f>
        <v>136</v>
      </c>
      <c r="AF785" s="7">
        <f>IF($J785=0,0,ROUND(MAX($J785*1.4*1.5*1.6*1.6*2.2*2.715*2.6*1.4*1.4*1.5*1.5,18900000000*(1.65331^(MIN($E785,123)-117)))*1,0))</f>
        <v>1529996162</v>
      </c>
      <c r="AG785" s="4">
        <f>$E785+27</f>
        <v>139</v>
      </c>
      <c r="AH785" s="8">
        <f>IF($J785=0,0,ROUND(MAX($J785*1.4*1.5*1.6*1.6*2.2*2.715*2.6*1.4*1.4*1.5*1.5*3.2,60500000000*(1.654288^(MIN($E785,123)-117)))*1,0))</f>
        <v>4883146766</v>
      </c>
    </row>
    <row r="786" ht="27.75" customHeight="1" spans="1:34" x14ac:dyDescent="0.25">
      <c r="A786" s="3">
        <v>796</v>
      </c>
      <c r="B786" s="3" t="s">
        <v>473</v>
      </c>
      <c r="C786" s="3" t="s">
        <v>670</v>
      </c>
      <c r="D786" s="3" t="s">
        <v>93</v>
      </c>
      <c r="E786" s="3">
        <v>112</v>
      </c>
      <c r="F786" s="3" t="s">
        <v>123</v>
      </c>
      <c r="G786" s="3" t="s">
        <v>671</v>
      </c>
      <c r="H786" s="3">
        <v>27</v>
      </c>
      <c r="I786" s="4">
        <v>112</v>
      </c>
      <c r="J786" s="5">
        <v>154000</v>
      </c>
      <c r="K786" s="6">
        <f>$E786+1</f>
        <v>113</v>
      </c>
      <c r="L786" s="7">
        <f>IF($J786=0,0,ROUND(MAX($J786*1.4,1620000*(1.497923^(MIN($E786,123)-117)))*1,0))</f>
        <v>215600</v>
      </c>
      <c r="M786" s="4">
        <f>$E786+2</f>
        <v>114</v>
      </c>
      <c r="N786" s="8">
        <f>IF($J786=0,0,ROUND(MAX($J786*1.4*1.5,2190000*(1.580994^(MIN($E786,123)-117)))*1,0))</f>
        <v>323400</v>
      </c>
      <c r="O786" s="6">
        <f>$E786+4</f>
        <v>116</v>
      </c>
      <c r="P786" s="7">
        <f>IF($J786=0,0,ROUND(MAX($J786*1.4*1.5*1.6,3500000*(1.57975^(MIN($E786,123)-117)))*1,0))</f>
        <v>517440</v>
      </c>
      <c r="Q786" s="4">
        <f>$E786+6</f>
        <v>118</v>
      </c>
      <c r="R786" s="8">
        <f>IF($J786=0,0,ROUND(MAX($J786*1.4*1.5*1.6*1.6,13100000*(1.429962^(MIN($E786,123)-117)))*1,0))</f>
        <v>2191032</v>
      </c>
      <c r="S786" s="6">
        <f>$E786+8</f>
        <v>120</v>
      </c>
      <c r="T786" s="7">
        <f>IF($J786=0,0,ROUND(MAX($J786*1.4*1.5*1.6*1.6*2.2,42600000*(1.576904^(MIN($E786,123)-117)))*1,0))</f>
        <v>4369013</v>
      </c>
      <c r="U786" s="4">
        <f>$E786+11</f>
        <v>123</v>
      </c>
      <c r="V786" s="8">
        <f>IF($J786=0,0,ROUND(MAX($J786*1.4*1.5*1.6*1.6*2.2*2.715,354000000*(1.642074^(MIN($E786,123)-117)))*1,0))</f>
        <v>29651020</v>
      </c>
      <c r="W786" s="6">
        <f>$E786+15</f>
        <v>127</v>
      </c>
      <c r="X786" s="7">
        <f>IF($J786=0,0,ROUND(MAX($J786*1.4*1.5*1.6*1.6*2.2*2.715*2.6,3540000000*(1.579646^(MIN($E786,123)-117)))*1,0))</f>
        <v>359918692</v>
      </c>
      <c r="Y786" s="4">
        <f>$E786+17</f>
        <v>129</v>
      </c>
      <c r="Z786" s="8">
        <f>IF($J786=0,0,ROUND(MAX($J786*1.4*1.5*1.6*1.6*2.2*2.715*2.6*1.4,6020000000*(1.651178^(MIN($E786,123)-117)))*1,0))</f>
        <v>490486461</v>
      </c>
      <c r="AA786" s="6">
        <f>$E786+19</f>
        <v>131</v>
      </c>
      <c r="AB786" s="7">
        <f>IF($J786=0,0,ROUND(MAX($J786*1.4*1.5*1.6*1.6*2.2*2.715*2.6*1.4*1.4,8430000000*(1.651435^(MIN($E786,123)-117)))*1,0))</f>
        <v>686309723</v>
      </c>
      <c r="AC786" s="4">
        <f>$E786+21</f>
        <v>133</v>
      </c>
      <c r="AD786" s="8">
        <f>IF($J786=0,0,ROUND(MAX($J786*1.4*1.5*1.6*1.6*2.2*2.715*2.6*1.4*1.4*1.5,12600000000*(1.652953^(MIN($E786,123)-117)))*1,0))</f>
        <v>1021099398</v>
      </c>
      <c r="AE786" s="6">
        <f>$E786+24</f>
        <v>136</v>
      </c>
      <c r="AF786" s="7">
        <f>IF($J786=0,0,ROUND(MAX($J786*1.4*1.5*1.6*1.6*2.2*2.715*2.6*1.4*1.4*1.5*1.5,18900000000*(1.65331^(MIN($E786,123)-117)))*1,0))</f>
        <v>1529996162</v>
      </c>
      <c r="AG786" s="4">
        <f>$E786+27</f>
        <v>139</v>
      </c>
      <c r="AH786" s="8">
        <f>IF($J786=0,0,ROUND(MAX($J786*1.4*1.5*1.6*1.6*2.2*2.715*2.6*1.4*1.4*1.5*1.5*3.2,60500000000*(1.654288^(MIN($E786,123)-117)))*1,0))</f>
        <v>4883146766</v>
      </c>
    </row>
    <row r="787" ht="27.75" customHeight="1" spans="1:34" x14ac:dyDescent="0.25">
      <c r="A787" s="3">
        <v>797</v>
      </c>
      <c r="B787" s="3" t="s">
        <v>678</v>
      </c>
      <c r="C787" s="3" t="s">
        <v>670</v>
      </c>
      <c r="D787" s="3" t="s">
        <v>40</v>
      </c>
      <c r="E787" s="3">
        <v>112</v>
      </c>
      <c r="F787" s="3" t="s">
        <v>179</v>
      </c>
      <c r="G787" s="3" t="s">
        <v>67</v>
      </c>
      <c r="H787" s="3">
        <v>26</v>
      </c>
      <c r="I787" s="4">
        <v>112</v>
      </c>
      <c r="J787" s="5">
        <v>140000</v>
      </c>
      <c r="K787" s="6">
        <f>$E787+1</f>
        <v>113</v>
      </c>
      <c r="L787" s="7">
        <f>IF($J787=0,0,ROUND(MAX($J787*1.4,1620000*(1.497923^(MIN($E787,123)-117)))*1,0))</f>
        <v>214816</v>
      </c>
      <c r="M787" s="4">
        <f>$E787+2</f>
        <v>114</v>
      </c>
      <c r="N787" s="8">
        <f>IF($J787=0,0,ROUND(MAX($J787*1.4*1.5,2190000*(1.580994^(MIN($E787,123)-117)))*1,0))</f>
        <v>294000</v>
      </c>
      <c r="O787" s="6">
        <f>$E787+4</f>
        <v>116</v>
      </c>
      <c r="P787" s="7">
        <f>IF($J787=0,0,ROUND(MAX($J787*1.4*1.5*1.6,3500000*(1.57975^(MIN($E787,123)-117)))*1,0))</f>
        <v>470400</v>
      </c>
      <c r="Q787" s="4">
        <f>$E787+6</f>
        <v>118</v>
      </c>
      <c r="R787" s="8">
        <f>IF($J787=0,0,ROUND(MAX($J787*1.4*1.5*1.6*1.6,13100000*(1.429962^(MIN($E787,123)-117)))*1,0))</f>
        <v>2191032</v>
      </c>
      <c r="S787" s="6">
        <f>$E787+8</f>
        <v>120</v>
      </c>
      <c r="T787" s="7">
        <f>IF($J787=0,0,ROUND(MAX($J787*1.4*1.5*1.6*1.6*2.2,42600000*(1.576904^(MIN($E787,123)-117)))*1,0))</f>
        <v>4369013</v>
      </c>
      <c r="U787" s="4">
        <f>$E787+11</f>
        <v>123</v>
      </c>
      <c r="V787" s="8">
        <f>IF($J787=0,0,ROUND(MAX($J787*1.4*1.5*1.6*1.6*2.2*2.715,354000000*(1.642074^(MIN($E787,123)-117)))*1,0))</f>
        <v>29651020</v>
      </c>
      <c r="W787" s="6">
        <f>$E787+15</f>
        <v>127</v>
      </c>
      <c r="X787" s="7">
        <f>IF($J787=0,0,ROUND(MAX($J787*1.4*1.5*1.6*1.6*2.2*2.715*2.6,3540000000*(1.579646^(MIN($E787,123)-117)))*1,0))</f>
        <v>359918692</v>
      </c>
      <c r="Y787" s="4">
        <f>$E787+17</f>
        <v>129</v>
      </c>
      <c r="Z787" s="8">
        <f>IF($J787=0,0,ROUND(MAX($J787*1.4*1.5*1.6*1.6*2.2*2.715*2.6*1.4,6020000000*(1.651178^(MIN($E787,123)-117)))*1,0))</f>
        <v>490486461</v>
      </c>
      <c r="AA787" s="6">
        <f>$E787+19</f>
        <v>131</v>
      </c>
      <c r="AB787" s="7">
        <f>IF($J787=0,0,ROUND(MAX($J787*1.4*1.5*1.6*1.6*2.2*2.715*2.6*1.4*1.4,8430000000*(1.651435^(MIN($E787,123)-117)))*1,0))</f>
        <v>686309723</v>
      </c>
      <c r="AC787" s="4">
        <f>$E787+21</f>
        <v>133</v>
      </c>
      <c r="AD787" s="8">
        <f>IF($J787=0,0,ROUND(MAX($J787*1.4*1.5*1.6*1.6*2.2*2.715*2.6*1.4*1.4*1.5,12600000000*(1.652953^(MIN($E787,123)-117)))*1,0))</f>
        <v>1021099398</v>
      </c>
      <c r="AE787" s="6">
        <f>$E787+24</f>
        <v>136</v>
      </c>
      <c r="AF787" s="7">
        <f>IF($J787=0,0,ROUND(MAX($J787*1.4*1.5*1.6*1.6*2.2*2.715*2.6*1.4*1.4*1.5*1.5,18900000000*(1.65331^(MIN($E787,123)-117)))*1,0))</f>
        <v>1529996162</v>
      </c>
      <c r="AG787" s="4">
        <f>$E787+27</f>
        <v>139</v>
      </c>
      <c r="AH787" s="8">
        <f>IF($J787=0,0,ROUND(MAX($J787*1.4*1.5*1.6*1.6*2.2*2.715*2.6*1.4*1.4*1.5*1.5*3.2,60500000000*(1.654288^(MIN($E787,123)-117)))*1,0))</f>
        <v>4883146766</v>
      </c>
    </row>
    <row r="788" ht="27.75" customHeight="1" spans="1:34" x14ac:dyDescent="0.25">
      <c r="A788" s="3">
        <v>798</v>
      </c>
      <c r="B788" s="3" t="s">
        <v>287</v>
      </c>
      <c r="C788" s="3" t="s">
        <v>670</v>
      </c>
      <c r="D788" s="3" t="s">
        <v>33</v>
      </c>
      <c r="E788" s="3">
        <v>112</v>
      </c>
      <c r="F788" s="3" t="s">
        <v>30</v>
      </c>
      <c r="G788" s="3" t="s">
        <v>67</v>
      </c>
      <c r="H788" s="3">
        <v>26</v>
      </c>
      <c r="I788" s="4">
        <v>112</v>
      </c>
      <c r="J788" s="5">
        <v>126000</v>
      </c>
      <c r="K788" s="6">
        <f>$E788+1</f>
        <v>113</v>
      </c>
      <c r="L788" s="7">
        <f>IF($J788=0,0,ROUND(MAX($J788*1.4,1620000*(1.497923^(MIN($E788,123)-117)))*1,0))</f>
        <v>214816</v>
      </c>
      <c r="M788" s="4">
        <f>$E788+2</f>
        <v>114</v>
      </c>
      <c r="N788" s="8">
        <f>IF($J788=0,0,ROUND(MAX($J788*1.4*1.5,2190000*(1.580994^(MIN($E788,123)-117)))*1,0))</f>
        <v>264600</v>
      </c>
      <c r="O788" s="6">
        <f>$E788+4</f>
        <v>116</v>
      </c>
      <c r="P788" s="7">
        <f>IF($J788=0,0,ROUND(MAX($J788*1.4*1.5*1.6,3500000*(1.57975^(MIN($E788,123)-117)))*1,0))</f>
        <v>423360</v>
      </c>
      <c r="Q788" s="4">
        <f>$E788+6</f>
        <v>118</v>
      </c>
      <c r="R788" s="8">
        <f>IF($J788=0,0,ROUND(MAX($J788*1.4*1.5*1.6*1.6,13100000*(1.429962^(MIN($E788,123)-117)))*1,0))</f>
        <v>2191032</v>
      </c>
      <c r="S788" s="6">
        <f>$E788+8</f>
        <v>120</v>
      </c>
      <c r="T788" s="7">
        <f>IF($J788=0,0,ROUND(MAX($J788*1.4*1.5*1.6*1.6*2.2,42600000*(1.576904^(MIN($E788,123)-117)))*1,0))</f>
        <v>4369013</v>
      </c>
      <c r="U788" s="4">
        <f>$E788+11</f>
        <v>123</v>
      </c>
      <c r="V788" s="8">
        <f>IF($J788=0,0,ROUND(MAX($J788*1.4*1.5*1.6*1.6*2.2*2.715,354000000*(1.642074^(MIN($E788,123)-117)))*1,0))</f>
        <v>29651020</v>
      </c>
      <c r="W788" s="6">
        <f>$E788+15</f>
        <v>127</v>
      </c>
      <c r="X788" s="7">
        <f>IF($J788=0,0,ROUND(MAX($J788*1.4*1.5*1.6*1.6*2.2*2.715*2.6,3540000000*(1.579646^(MIN($E788,123)-117)))*1,0))</f>
        <v>359918692</v>
      </c>
      <c r="Y788" s="4">
        <f>$E788+17</f>
        <v>129</v>
      </c>
      <c r="Z788" s="8">
        <f>IF($J788=0,0,ROUND(MAX($J788*1.4*1.5*1.6*1.6*2.2*2.715*2.6*1.4,6020000000*(1.651178^(MIN($E788,123)-117)))*1,0))</f>
        <v>490486461</v>
      </c>
      <c r="AA788" s="6">
        <f>$E788+19</f>
        <v>131</v>
      </c>
      <c r="AB788" s="7">
        <f>IF($J788=0,0,ROUND(MAX($J788*1.4*1.5*1.6*1.6*2.2*2.715*2.6*1.4*1.4,8430000000*(1.651435^(MIN($E788,123)-117)))*1,0))</f>
        <v>686309723</v>
      </c>
      <c r="AC788" s="4">
        <f>$E788+21</f>
        <v>133</v>
      </c>
      <c r="AD788" s="8">
        <f>IF($J788=0,0,ROUND(MAX($J788*1.4*1.5*1.6*1.6*2.2*2.715*2.6*1.4*1.4*1.5,12600000000*(1.652953^(MIN($E788,123)-117)))*1,0))</f>
        <v>1021099398</v>
      </c>
      <c r="AE788" s="6">
        <f>$E788+24</f>
        <v>136</v>
      </c>
      <c r="AF788" s="7">
        <f>IF($J788=0,0,ROUND(MAX($J788*1.4*1.5*1.6*1.6*2.2*2.715*2.6*1.4*1.4*1.5*1.5,18900000000*(1.65331^(MIN($E788,123)-117)))*1,0))</f>
        <v>1529996162</v>
      </c>
      <c r="AG788" s="4">
        <f>$E788+27</f>
        <v>139</v>
      </c>
      <c r="AH788" s="8">
        <f>IF($J788=0,0,ROUND(MAX($J788*1.4*1.5*1.6*1.6*2.2*2.715*2.6*1.4*1.4*1.5*1.5*3.2,60500000000*(1.654288^(MIN($E788,123)-117)))*1,0))</f>
        <v>4883146766</v>
      </c>
    </row>
    <row r="789" ht="27.75" customHeight="1" spans="1:34" x14ac:dyDescent="0.25">
      <c r="A789" s="3">
        <v>799</v>
      </c>
      <c r="B789" s="3" t="s">
        <v>679</v>
      </c>
      <c r="C789" s="3" t="s">
        <v>670</v>
      </c>
      <c r="D789" s="3" t="s">
        <v>33</v>
      </c>
      <c r="E789" s="3">
        <v>112</v>
      </c>
      <c r="F789" s="3" t="s">
        <v>123</v>
      </c>
      <c r="G789" s="3" t="s">
        <v>35</v>
      </c>
      <c r="H789" s="3">
        <v>26</v>
      </c>
      <c r="I789" s="4">
        <v>112</v>
      </c>
      <c r="J789" s="5">
        <v>323000</v>
      </c>
      <c r="K789" s="6">
        <f>$E789+1</f>
        <v>113</v>
      </c>
      <c r="L789" s="7">
        <f>IF($J789=0,0,ROUND(MAX($J789*1.4,1620000*(1.497923^(MIN($E789,123)-117)))*1,0))</f>
        <v>452200</v>
      </c>
      <c r="M789" s="4">
        <f>$E789+2</f>
        <v>114</v>
      </c>
      <c r="N789" s="8">
        <f>IF($J789=0,0,ROUND(MAX($J789*1.4*1.5,2190000*(1.580994^(MIN($E789,123)-117)))*1,0))</f>
        <v>678300</v>
      </c>
      <c r="O789" s="6">
        <f>$E789+4</f>
        <v>116</v>
      </c>
      <c r="P789" s="7">
        <f>IF($J789=0,0,ROUND(MAX($J789*1.4*1.5*1.6,3500000*(1.57975^(MIN($E789,123)-117)))*1,0))</f>
        <v>1085280</v>
      </c>
      <c r="Q789" s="4">
        <f>$E789+6</f>
        <v>118</v>
      </c>
      <c r="R789" s="8">
        <f>IF($J789=0,0,ROUND(MAX($J789*1.4*1.5*1.6*1.6,13100000*(1.429962^(MIN($E789,123)-117)))*1,0))</f>
        <v>2191032</v>
      </c>
      <c r="S789" s="6">
        <f>$E789+8</f>
        <v>120</v>
      </c>
      <c r="T789" s="7">
        <f>IF($J789=0,0,ROUND(MAX($J789*1.4*1.5*1.6*1.6*2.2,42600000*(1.576904^(MIN($E789,123)-117)))*1,0))</f>
        <v>4369013</v>
      </c>
      <c r="U789" s="4">
        <f>$E789+11</f>
        <v>123</v>
      </c>
      <c r="V789" s="8">
        <f>IF($J789=0,0,ROUND(MAX($J789*1.4*1.5*1.6*1.6*2.2*2.715,354000000*(1.642074^(MIN($E789,123)-117)))*1,0))</f>
        <v>29651020</v>
      </c>
      <c r="W789" s="6">
        <f>$E789+15</f>
        <v>127</v>
      </c>
      <c r="X789" s="7">
        <f>IF($J789=0,0,ROUND(MAX($J789*1.4*1.5*1.6*1.6*2.2*2.715*2.6,3540000000*(1.579646^(MIN($E789,123)-117)))*1,0))</f>
        <v>359918692</v>
      </c>
      <c r="Y789" s="4">
        <f>$E789+17</f>
        <v>129</v>
      </c>
      <c r="Z789" s="8">
        <f>IF($J789=0,0,ROUND(MAX($J789*1.4*1.5*1.6*1.6*2.2*2.715*2.6*1.4,6020000000*(1.651178^(MIN($E789,123)-117)))*1,0))</f>
        <v>490486461</v>
      </c>
      <c r="AA789" s="6">
        <f>$E789+19</f>
        <v>131</v>
      </c>
      <c r="AB789" s="7">
        <f>IF($J789=0,0,ROUND(MAX($J789*1.4*1.5*1.6*1.6*2.2*2.715*2.6*1.4*1.4,8430000000*(1.651435^(MIN($E789,123)-117)))*1,0))</f>
        <v>686309723</v>
      </c>
      <c r="AC789" s="4">
        <f>$E789+21</f>
        <v>133</v>
      </c>
      <c r="AD789" s="8">
        <f>IF($J789=0,0,ROUND(MAX($J789*1.4*1.5*1.6*1.6*2.2*2.715*2.6*1.4*1.4*1.5,12600000000*(1.652953^(MIN($E789,123)-117)))*1,0))</f>
        <v>1021099398</v>
      </c>
      <c r="AE789" s="6">
        <f>$E789+24</f>
        <v>136</v>
      </c>
      <c r="AF789" s="7">
        <f>IF($J789=0,0,ROUND(MAX($J789*1.4*1.5*1.6*1.6*2.2*2.715*2.6*1.4*1.4*1.5*1.5,18900000000*(1.65331^(MIN($E789,123)-117)))*1,0))</f>
        <v>1529996162</v>
      </c>
      <c r="AG789" s="4">
        <f>$E789+27</f>
        <v>139</v>
      </c>
      <c r="AH789" s="8">
        <f>IF($J789=0,0,ROUND(MAX($J789*1.4*1.5*1.6*1.6*2.2*2.715*2.6*1.4*1.4*1.5*1.5*3.2,60500000000*(1.654288^(MIN($E789,123)-117)))*1,0))</f>
        <v>4883146766</v>
      </c>
    </row>
    <row r="790" ht="27.75" customHeight="1" spans="1:34" x14ac:dyDescent="0.25">
      <c r="A790" s="3">
        <v>800</v>
      </c>
      <c r="B790" s="3" t="s">
        <v>288</v>
      </c>
      <c r="C790" s="3" t="s">
        <v>670</v>
      </c>
      <c r="D790" s="3" t="s">
        <v>102</v>
      </c>
      <c r="E790" s="3">
        <v>112</v>
      </c>
      <c r="F790" s="3" t="s">
        <v>30</v>
      </c>
      <c r="G790" s="3" t="s">
        <v>57</v>
      </c>
      <c r="H790" s="3">
        <v>26</v>
      </c>
      <c r="I790" s="4">
        <v>112</v>
      </c>
      <c r="J790" s="5">
        <v>102000</v>
      </c>
      <c r="K790" s="6">
        <f>$E790+1</f>
        <v>113</v>
      </c>
      <c r="L790" s="7">
        <f>IF($J790=0,0,ROUND(MAX($J790*1.4,1620000*(1.497923^(MIN($E790,123)-117)))*1,0))</f>
        <v>214816</v>
      </c>
      <c r="M790" s="4">
        <f>$E790+2</f>
        <v>114</v>
      </c>
      <c r="N790" s="8">
        <f>IF($J790=0,0,ROUND(MAX($J790*1.4*1.5,2190000*(1.580994^(MIN($E790,123)-117)))*1,0))</f>
        <v>221714</v>
      </c>
      <c r="O790" s="6">
        <f>$E790+4</f>
        <v>116</v>
      </c>
      <c r="P790" s="7">
        <f>IF($J790=0,0,ROUND(MAX($J790*1.4*1.5*1.6,3500000*(1.57975^(MIN($E790,123)-117)))*1,0))</f>
        <v>355735</v>
      </c>
      <c r="Q790" s="4">
        <f>$E790+6</f>
        <v>118</v>
      </c>
      <c r="R790" s="8">
        <f>IF($J790=0,0,ROUND(MAX($J790*1.4*1.5*1.6*1.6,13100000*(1.429962^(MIN($E790,123)-117)))*1,0))</f>
        <v>2191032</v>
      </c>
      <c r="S790" s="6">
        <f>$E790+8</f>
        <v>120</v>
      </c>
      <c r="T790" s="7">
        <f>IF($J790=0,0,ROUND(MAX($J790*1.4*1.5*1.6*1.6*2.2,42600000*(1.576904^(MIN($E790,123)-117)))*1,0))</f>
        <v>4369013</v>
      </c>
      <c r="U790" s="4">
        <f>$E790+11</f>
        <v>123</v>
      </c>
      <c r="V790" s="8">
        <f>IF($J790=0,0,ROUND(MAX($J790*1.4*1.5*1.6*1.6*2.2*2.715,354000000*(1.642074^(MIN($E790,123)-117)))*1,0))</f>
        <v>29651020</v>
      </c>
      <c r="W790" s="6">
        <f>$E790+15</f>
        <v>127</v>
      </c>
      <c r="X790" s="7">
        <f>IF($J790=0,0,ROUND(MAX($J790*1.4*1.5*1.6*1.6*2.2*2.715*2.6,3540000000*(1.579646^(MIN($E790,123)-117)))*1,0))</f>
        <v>359918692</v>
      </c>
      <c r="Y790" s="4">
        <f>$E790+17</f>
        <v>129</v>
      </c>
      <c r="Z790" s="8">
        <f>IF($J790=0,0,ROUND(MAX($J790*1.4*1.5*1.6*1.6*2.2*2.715*2.6*1.4,6020000000*(1.651178^(MIN($E790,123)-117)))*1,0))</f>
        <v>490486461</v>
      </c>
      <c r="AA790" s="6">
        <f>$E790+19</f>
        <v>131</v>
      </c>
      <c r="AB790" s="7">
        <f>IF($J790=0,0,ROUND(MAX($J790*1.4*1.5*1.6*1.6*2.2*2.715*2.6*1.4*1.4,8430000000*(1.651435^(MIN($E790,123)-117)))*1,0))</f>
        <v>686309723</v>
      </c>
      <c r="AC790" s="4">
        <f>$E790+21</f>
        <v>133</v>
      </c>
      <c r="AD790" s="8">
        <f>IF($J790=0,0,ROUND(MAX($J790*1.4*1.5*1.6*1.6*2.2*2.715*2.6*1.4*1.4*1.5,12600000000*(1.652953^(MIN($E790,123)-117)))*1,0))</f>
        <v>1021099398</v>
      </c>
      <c r="AE790" s="6">
        <f>$E790+24</f>
        <v>136</v>
      </c>
      <c r="AF790" s="7">
        <f>IF($J790=0,0,ROUND(MAX($J790*1.4*1.5*1.6*1.6*2.2*2.715*2.6*1.4*1.4*1.5*1.5,18900000000*(1.65331^(MIN($E790,123)-117)))*1,0))</f>
        <v>1529996162</v>
      </c>
      <c r="AG790" s="4">
        <f>$E790+27</f>
        <v>139</v>
      </c>
      <c r="AH790" s="8">
        <f>IF($J790=0,0,ROUND(MAX($J790*1.4*1.5*1.6*1.6*2.2*2.715*2.6*1.4*1.4*1.5*1.5*3.2,60500000000*(1.654288^(MIN($E790,123)-117)))*1,0))</f>
        <v>4883146766</v>
      </c>
    </row>
    <row r="791" ht="27.75" customHeight="1" spans="1:34" x14ac:dyDescent="0.25">
      <c r="A791" s="3">
        <v>801</v>
      </c>
      <c r="B791" s="3" t="s">
        <v>142</v>
      </c>
      <c r="C791" s="3" t="s">
        <v>670</v>
      </c>
      <c r="D791" s="3" t="s">
        <v>75</v>
      </c>
      <c r="E791" s="3">
        <v>112</v>
      </c>
      <c r="F791" s="3" t="s">
        <v>34</v>
      </c>
      <c r="G791" s="3" t="s">
        <v>671</v>
      </c>
      <c r="H791" s="3">
        <v>26</v>
      </c>
      <c r="I791" s="4">
        <v>112</v>
      </c>
      <c r="J791" s="5">
        <v>94000</v>
      </c>
      <c r="K791" s="6">
        <f>$E791+1</f>
        <v>113</v>
      </c>
      <c r="L791" s="7">
        <f>IF($J791=0,0,ROUND(MAX($J791*1.4,1620000*(1.497923^(MIN($E791,123)-117)))*1,0))</f>
        <v>214816</v>
      </c>
      <c r="M791" s="4">
        <f>$E791+2</f>
        <v>114</v>
      </c>
      <c r="N791" s="8">
        <f>IF($J791=0,0,ROUND(MAX($J791*1.4*1.5,2190000*(1.580994^(MIN($E791,123)-117)))*1,0))</f>
        <v>221714</v>
      </c>
      <c r="O791" s="6">
        <f>$E791+4</f>
        <v>116</v>
      </c>
      <c r="P791" s="7">
        <f>IF($J791=0,0,ROUND(MAX($J791*1.4*1.5*1.6,3500000*(1.57975^(MIN($E791,123)-117)))*1,0))</f>
        <v>355735</v>
      </c>
      <c r="Q791" s="4">
        <f>$E791+6</f>
        <v>118</v>
      </c>
      <c r="R791" s="8">
        <f>IF($J791=0,0,ROUND(MAX($J791*1.4*1.5*1.6*1.6,13100000*(1.429962^(MIN($E791,123)-117)))*1,0))</f>
        <v>2191032</v>
      </c>
      <c r="S791" s="6">
        <f>$E791+8</f>
        <v>120</v>
      </c>
      <c r="T791" s="7">
        <f>IF($J791=0,0,ROUND(MAX($J791*1.4*1.5*1.6*1.6*2.2,42600000*(1.576904^(MIN($E791,123)-117)))*1,0))</f>
        <v>4369013</v>
      </c>
      <c r="U791" s="4">
        <f>$E791+11</f>
        <v>123</v>
      </c>
      <c r="V791" s="8">
        <f>IF($J791=0,0,ROUND(MAX($J791*1.4*1.5*1.6*1.6*2.2*2.715,354000000*(1.642074^(MIN($E791,123)-117)))*1,0))</f>
        <v>29651020</v>
      </c>
      <c r="W791" s="6">
        <f>$E791+15</f>
        <v>127</v>
      </c>
      <c r="X791" s="7">
        <f>IF($J791=0,0,ROUND(MAX($J791*1.4*1.5*1.6*1.6*2.2*2.715*2.6,3540000000*(1.579646^(MIN($E791,123)-117)))*1,0))</f>
        <v>359918692</v>
      </c>
      <c r="Y791" s="4">
        <f>$E791+17</f>
        <v>129</v>
      </c>
      <c r="Z791" s="8">
        <f>IF($J791=0,0,ROUND(MAX($J791*1.4*1.5*1.6*1.6*2.2*2.715*2.6*1.4,6020000000*(1.651178^(MIN($E791,123)-117)))*1,0))</f>
        <v>490486461</v>
      </c>
      <c r="AA791" s="6">
        <f>$E791+19</f>
        <v>131</v>
      </c>
      <c r="AB791" s="7">
        <f>IF($J791=0,0,ROUND(MAX($J791*1.4*1.5*1.6*1.6*2.2*2.715*2.6*1.4*1.4,8430000000*(1.651435^(MIN($E791,123)-117)))*1,0))</f>
        <v>686309723</v>
      </c>
      <c r="AC791" s="4">
        <f>$E791+21</f>
        <v>133</v>
      </c>
      <c r="AD791" s="8">
        <f>IF($J791=0,0,ROUND(MAX($J791*1.4*1.5*1.6*1.6*2.2*2.715*2.6*1.4*1.4*1.5,12600000000*(1.652953^(MIN($E791,123)-117)))*1,0))</f>
        <v>1021099398</v>
      </c>
      <c r="AE791" s="6">
        <f>$E791+24</f>
        <v>136</v>
      </c>
      <c r="AF791" s="7">
        <f>IF($J791=0,0,ROUND(MAX($J791*1.4*1.5*1.6*1.6*2.2*2.715*2.6*1.4*1.4*1.5*1.5,18900000000*(1.65331^(MIN($E791,123)-117)))*1,0))</f>
        <v>1529996162</v>
      </c>
      <c r="AG791" s="4">
        <f>$E791+27</f>
        <v>139</v>
      </c>
      <c r="AH791" s="8">
        <f>IF($J791=0,0,ROUND(MAX($J791*1.4*1.5*1.6*1.6*2.2*2.715*2.6*1.4*1.4*1.5*1.5*3.2,60500000000*(1.654288^(MIN($E791,123)-117)))*1,0))</f>
        <v>4883146766</v>
      </c>
    </row>
    <row r="792" ht="27.75" customHeight="1" spans="1:34" x14ac:dyDescent="0.25">
      <c r="A792" s="3">
        <v>802</v>
      </c>
      <c r="B792" s="3" t="s">
        <v>597</v>
      </c>
      <c r="C792" s="3" t="s">
        <v>670</v>
      </c>
      <c r="D792" s="3" t="s">
        <v>64</v>
      </c>
      <c r="E792" s="3">
        <v>112</v>
      </c>
      <c r="F792" s="3" t="s">
        <v>56</v>
      </c>
      <c r="G792" s="3" t="s">
        <v>671</v>
      </c>
      <c r="H792" s="3">
        <v>26</v>
      </c>
      <c r="I792" s="4">
        <v>112</v>
      </c>
      <c r="J792" s="5">
        <v>135000</v>
      </c>
      <c r="K792" s="6">
        <f>$E792+1</f>
        <v>113</v>
      </c>
      <c r="L792" s="7">
        <f>IF($J792=0,0,ROUND(MAX($J792*1.4,1620000*(1.497923^(MIN($E792,123)-117)))*1,0))</f>
        <v>214816</v>
      </c>
      <c r="M792" s="4">
        <f>$E792+2</f>
        <v>114</v>
      </c>
      <c r="N792" s="8">
        <f>IF($J792=0,0,ROUND(MAX($J792*1.4*1.5,2190000*(1.580994^(MIN($E792,123)-117)))*1,0))</f>
        <v>283500</v>
      </c>
      <c r="O792" s="6">
        <f>$E792+4</f>
        <v>116</v>
      </c>
      <c r="P792" s="7">
        <f>IF($J792=0,0,ROUND(MAX($J792*1.4*1.5*1.6,3500000*(1.57975^(MIN($E792,123)-117)))*1,0))</f>
        <v>453600</v>
      </c>
      <c r="Q792" s="4">
        <f>$E792+6</f>
        <v>118</v>
      </c>
      <c r="R792" s="8">
        <f>IF($J792=0,0,ROUND(MAX($J792*1.4*1.5*1.6*1.6,13100000*(1.429962^(MIN($E792,123)-117)))*1,0))</f>
        <v>2191032</v>
      </c>
      <c r="S792" s="6">
        <f>$E792+8</f>
        <v>120</v>
      </c>
      <c r="T792" s="7">
        <f>IF($J792=0,0,ROUND(MAX($J792*1.4*1.5*1.6*1.6*2.2,42600000*(1.576904^(MIN($E792,123)-117)))*1,0))</f>
        <v>4369013</v>
      </c>
      <c r="U792" s="4">
        <f>$E792+11</f>
        <v>123</v>
      </c>
      <c r="V792" s="8">
        <f>IF($J792=0,0,ROUND(MAX($J792*1.4*1.5*1.6*1.6*2.2*2.715,354000000*(1.642074^(MIN($E792,123)-117)))*1,0))</f>
        <v>29651020</v>
      </c>
      <c r="W792" s="6">
        <f>$E792+15</f>
        <v>127</v>
      </c>
      <c r="X792" s="7">
        <f>IF($J792=0,0,ROUND(MAX($J792*1.4*1.5*1.6*1.6*2.2*2.715*2.6,3540000000*(1.579646^(MIN($E792,123)-117)))*1,0))</f>
        <v>359918692</v>
      </c>
      <c r="Y792" s="4">
        <f>$E792+17</f>
        <v>129</v>
      </c>
      <c r="Z792" s="8">
        <f>IF($J792=0,0,ROUND(MAX($J792*1.4*1.5*1.6*1.6*2.2*2.715*2.6*1.4,6020000000*(1.651178^(MIN($E792,123)-117)))*1,0))</f>
        <v>490486461</v>
      </c>
      <c r="AA792" s="6">
        <f>$E792+19</f>
        <v>131</v>
      </c>
      <c r="AB792" s="7">
        <f>IF($J792=0,0,ROUND(MAX($J792*1.4*1.5*1.6*1.6*2.2*2.715*2.6*1.4*1.4,8430000000*(1.651435^(MIN($E792,123)-117)))*1,0))</f>
        <v>686309723</v>
      </c>
      <c r="AC792" s="4">
        <f>$E792+21</f>
        <v>133</v>
      </c>
      <c r="AD792" s="8">
        <f>IF($J792=0,0,ROUND(MAX($J792*1.4*1.5*1.6*1.6*2.2*2.715*2.6*1.4*1.4*1.5,12600000000*(1.652953^(MIN($E792,123)-117)))*1,0))</f>
        <v>1021099398</v>
      </c>
      <c r="AE792" s="6">
        <f>$E792+24</f>
        <v>136</v>
      </c>
      <c r="AF792" s="7">
        <f>IF($J792=0,0,ROUND(MAX($J792*1.4*1.5*1.6*1.6*2.2*2.715*2.6*1.4*1.4*1.5*1.5,18900000000*(1.65331^(MIN($E792,123)-117)))*1,0))</f>
        <v>1529996162</v>
      </c>
      <c r="AG792" s="4">
        <f>$E792+27</f>
        <v>139</v>
      </c>
      <c r="AH792" s="8">
        <f>IF($J792=0,0,ROUND(MAX($J792*1.4*1.5*1.6*1.6*2.2*2.715*2.6*1.4*1.4*1.5*1.5*3.2,60500000000*(1.654288^(MIN($E792,123)-117)))*1,0))</f>
        <v>4883146766</v>
      </c>
    </row>
    <row r="793" ht="27.75" customHeight="1" spans="1:34" x14ac:dyDescent="0.25">
      <c r="A793" s="3">
        <v>803</v>
      </c>
      <c r="B793" s="3" t="s">
        <v>180</v>
      </c>
      <c r="C793" s="3" t="s">
        <v>670</v>
      </c>
      <c r="D793" s="3" t="s">
        <v>47</v>
      </c>
      <c r="E793" s="3">
        <v>112</v>
      </c>
      <c r="F793" s="3" t="s">
        <v>144</v>
      </c>
      <c r="G793" s="3" t="s">
        <v>671</v>
      </c>
      <c r="H793" s="3">
        <v>24</v>
      </c>
      <c r="I793" s="4">
        <v>112</v>
      </c>
      <c r="J793" s="5">
        <v>155000</v>
      </c>
      <c r="K793" s="6">
        <f>$E793+1</f>
        <v>113</v>
      </c>
      <c r="L793" s="7">
        <f>IF($J793=0,0,ROUND(MAX($J793*1.4,1620000*(1.497923^(MIN($E793,123)-117)))*1,0))</f>
        <v>217000</v>
      </c>
      <c r="M793" s="4">
        <f>$E793+2</f>
        <v>114</v>
      </c>
      <c r="N793" s="8">
        <f>IF($J793=0,0,ROUND(MAX($J793*1.4*1.5,2190000*(1.580994^(MIN($E793,123)-117)))*1,0))</f>
        <v>325500</v>
      </c>
      <c r="O793" s="6">
        <f>$E793+4</f>
        <v>116</v>
      </c>
      <c r="P793" s="7">
        <f>IF($J793=0,0,ROUND(MAX($J793*1.4*1.5*1.6,3500000*(1.57975^(MIN($E793,123)-117)))*1,0))</f>
        <v>520800</v>
      </c>
      <c r="Q793" s="4">
        <f>$E793+6</f>
        <v>118</v>
      </c>
      <c r="R793" s="8">
        <f>IF($J793=0,0,ROUND(MAX($J793*1.4*1.5*1.6*1.6,13100000*(1.429962^(MIN($E793,123)-117)))*1,0))</f>
        <v>2191032</v>
      </c>
      <c r="S793" s="6">
        <f>$E793+8</f>
        <v>120</v>
      </c>
      <c r="T793" s="7">
        <f>IF($J793=0,0,ROUND(MAX($J793*1.4*1.5*1.6*1.6*2.2,42600000*(1.576904^(MIN($E793,123)-117)))*1,0))</f>
        <v>4369013</v>
      </c>
      <c r="U793" s="4">
        <f>$E793+11</f>
        <v>123</v>
      </c>
      <c r="V793" s="8">
        <f>IF($J793=0,0,ROUND(MAX($J793*1.4*1.5*1.6*1.6*2.2*2.715,354000000*(1.642074^(MIN($E793,123)-117)))*1,0))</f>
        <v>29651020</v>
      </c>
      <c r="W793" s="6">
        <f>$E793+15</f>
        <v>127</v>
      </c>
      <c r="X793" s="7">
        <f>IF($J793=0,0,ROUND(MAX($J793*1.4*1.5*1.6*1.6*2.2*2.715*2.6,3540000000*(1.579646^(MIN($E793,123)-117)))*1,0))</f>
        <v>359918692</v>
      </c>
      <c r="Y793" s="4">
        <f>$E793+17</f>
        <v>129</v>
      </c>
      <c r="Z793" s="8">
        <f>IF($J793=0,0,ROUND(MAX($J793*1.4*1.5*1.6*1.6*2.2*2.715*2.6*1.4,6020000000*(1.651178^(MIN($E793,123)-117)))*1,0))</f>
        <v>490486461</v>
      </c>
      <c r="AA793" s="6">
        <f>$E793+19</f>
        <v>131</v>
      </c>
      <c r="AB793" s="7">
        <f>IF($J793=0,0,ROUND(MAX($J793*1.4*1.5*1.6*1.6*2.2*2.715*2.6*1.4*1.4,8430000000*(1.651435^(MIN($E793,123)-117)))*1,0))</f>
        <v>686309723</v>
      </c>
      <c r="AC793" s="4">
        <f>$E793+21</f>
        <v>133</v>
      </c>
      <c r="AD793" s="8">
        <f>IF($J793=0,0,ROUND(MAX($J793*1.4*1.5*1.6*1.6*2.2*2.715*2.6*1.4*1.4*1.5,12600000000*(1.652953^(MIN($E793,123)-117)))*1,0))</f>
        <v>1021099398</v>
      </c>
      <c r="AE793" s="6">
        <f>$E793+24</f>
        <v>136</v>
      </c>
      <c r="AF793" s="7">
        <f>IF($J793=0,0,ROUND(MAX($J793*1.4*1.5*1.6*1.6*2.2*2.715*2.6*1.4*1.4*1.5*1.5,18900000000*(1.65331^(MIN($E793,123)-117)))*1,0))</f>
        <v>1529996162</v>
      </c>
      <c r="AG793" s="4">
        <f>$E793+27</f>
        <v>139</v>
      </c>
      <c r="AH793" s="8">
        <f>IF($J793=0,0,ROUND(MAX($J793*1.4*1.5*1.6*1.6*2.2*2.715*2.6*1.4*1.4*1.5*1.5*3.2,60500000000*(1.654288^(MIN($E793,123)-117)))*1,0))</f>
        <v>4883146766</v>
      </c>
    </row>
    <row r="794" ht="27.75" customHeight="1" spans="1:34" x14ac:dyDescent="0.25">
      <c r="A794" s="3">
        <v>804</v>
      </c>
      <c r="B794" s="3" t="s">
        <v>680</v>
      </c>
      <c r="C794" s="3" t="s">
        <v>670</v>
      </c>
      <c r="D794" s="3" t="s">
        <v>45</v>
      </c>
      <c r="E794" s="3">
        <v>111</v>
      </c>
      <c r="F794" s="3" t="s">
        <v>179</v>
      </c>
      <c r="G794" s="3" t="s">
        <v>374</v>
      </c>
      <c r="H794" s="3">
        <v>27</v>
      </c>
      <c r="I794" s="4">
        <v>111</v>
      </c>
      <c r="J794" s="5">
        <v>110000</v>
      </c>
      <c r="K794" s="6">
        <f>$E794+1</f>
        <v>112</v>
      </c>
      <c r="L794" s="7">
        <f>IF($J794=0,0,ROUND(MAX($J794*1.4,1620000*(1.497923^(MIN($E794,123)-117)))*1,0))</f>
        <v>154000</v>
      </c>
      <c r="M794" s="4">
        <f>$E794+2</f>
        <v>113</v>
      </c>
      <c r="N794" s="8">
        <f>IF($J794=0,0,ROUND(MAX($J794*1.4*1.5,2190000*(1.580994^(MIN($E794,123)-117)))*1,0))</f>
        <v>231000</v>
      </c>
      <c r="O794" s="6">
        <f>$E794+4</f>
        <v>115</v>
      </c>
      <c r="P794" s="7">
        <f>IF($J794=0,0,ROUND(MAX($J794*1.4*1.5*1.6,3500000*(1.57975^(MIN($E794,123)-117)))*1,0))</f>
        <v>369600</v>
      </c>
      <c r="Q794" s="4">
        <f>$E794+6</f>
        <v>117</v>
      </c>
      <c r="R794" s="8">
        <f>IF($J794=0,0,ROUND(MAX($J794*1.4*1.5*1.6*1.6,13100000*(1.429962^(MIN($E794,123)-117)))*1,0))</f>
        <v>1532231</v>
      </c>
      <c r="S794" s="6">
        <f>$E794+8</f>
        <v>119</v>
      </c>
      <c r="T794" s="7">
        <f>IF($J794=0,0,ROUND(MAX($J794*1.4*1.5*1.6*1.6*2.2,42600000*(1.576904^(MIN($E794,123)-117)))*1,0))</f>
        <v>2770627</v>
      </c>
      <c r="U794" s="4">
        <f>$E794+11</f>
        <v>122</v>
      </c>
      <c r="V794" s="8">
        <f>IF($J794=0,0,ROUND(MAX($J794*1.4*1.5*1.6*1.6*2.2*2.715,354000000*(1.642074^(MIN($E794,123)-117)))*1,0))</f>
        <v>18057055</v>
      </c>
      <c r="W794" s="6">
        <f>$E794+15</f>
        <v>126</v>
      </c>
      <c r="X794" s="7">
        <f>IF($J794=0,0,ROUND(MAX($J794*1.4*1.5*1.6*1.6*2.2*2.715*2.6,3540000000*(1.579646^(MIN($E794,123)-117)))*1,0))</f>
        <v>227847690</v>
      </c>
      <c r="Y794" s="4">
        <f>$E794+17</f>
        <v>128</v>
      </c>
      <c r="Z794" s="8">
        <f>IF($J794=0,0,ROUND(MAX($J794*1.4*1.5*1.6*1.6*2.2*2.715*2.6*1.4,6020000000*(1.651178^(MIN($E794,123)-117)))*1,0))</f>
        <v>297052444</v>
      </c>
      <c r="AA794" s="6">
        <f>$E794+19</f>
        <v>130</v>
      </c>
      <c r="AB794" s="7">
        <f>IF($J794=0,0,ROUND(MAX($J794*1.4*1.5*1.6*1.6*2.2*2.715*2.6*1.4*1.4,8430000000*(1.651435^(MIN($E794,123)-117)))*1,0))</f>
        <v>415583854</v>
      </c>
      <c r="AC794" s="4">
        <f>$E794+21</f>
        <v>132</v>
      </c>
      <c r="AD794" s="8">
        <f>IF($J794=0,0,ROUND(MAX($J794*1.4*1.5*1.6*1.6*2.2*2.715*2.6*1.4*1.4*1.5,12600000000*(1.652953^(MIN($E794,123)-117)))*1,0))</f>
        <v>617742548</v>
      </c>
      <c r="AE794" s="6">
        <f>$E794+24</f>
        <v>135</v>
      </c>
      <c r="AF794" s="7">
        <f>IF($J794=0,0,ROUND(MAX($J794*1.4*1.5*1.6*1.6*2.2*2.715*2.6*1.4*1.4*1.5*1.5,18900000000*(1.65331^(MIN($E794,123)-117)))*1,0))</f>
        <v>925413965</v>
      </c>
      <c r="AG794" s="4">
        <f>$E794+27</f>
        <v>138</v>
      </c>
      <c r="AH794" s="8">
        <f>IF($J794=0,0,ROUND(MAX($J794*1.4*1.5*1.6*1.6*2.2*2.715*2.6*1.4*1.4*1.5*1.5*3.2,60500000000*(1.654288^(MIN($E794,123)-117)))*1,0))</f>
        <v>2951811756</v>
      </c>
    </row>
    <row r="795" ht="27.75" customHeight="1" spans="1:34" x14ac:dyDescent="0.25">
      <c r="A795" s="3">
        <v>805</v>
      </c>
      <c r="B795" s="3" t="s">
        <v>540</v>
      </c>
      <c r="C795" s="3" t="s">
        <v>670</v>
      </c>
      <c r="D795" s="3" t="s">
        <v>79</v>
      </c>
      <c r="E795" s="3">
        <v>111</v>
      </c>
      <c r="F795" s="3" t="s">
        <v>412</v>
      </c>
      <c r="G795" s="3" t="s">
        <v>252</v>
      </c>
      <c r="H795" s="3">
        <v>27</v>
      </c>
      <c r="I795" s="4">
        <v>111</v>
      </c>
      <c r="J795" s="5">
        <v>484000</v>
      </c>
      <c r="K795" s="6">
        <f>$E795+1</f>
        <v>112</v>
      </c>
      <c r="L795" s="7">
        <f>IF($J795=0,0,ROUND(MAX($J795*1.4,1620000*(1.497923^(MIN($E795,123)-117)))*1,0))</f>
        <v>677600</v>
      </c>
      <c r="M795" s="4">
        <f>$E795+2</f>
        <v>113</v>
      </c>
      <c r="N795" s="8">
        <f>IF($J795=0,0,ROUND(MAX($J795*1.4*1.5,2190000*(1.580994^(MIN($E795,123)-117)))*1,0))</f>
        <v>1016400</v>
      </c>
      <c r="O795" s="6">
        <f>$E795+4</f>
        <v>115</v>
      </c>
      <c r="P795" s="7">
        <f>IF($J795=0,0,ROUND(MAX($J795*1.4*1.5*1.6,3500000*(1.57975^(MIN($E795,123)-117)))*1,0))</f>
        <v>1626240</v>
      </c>
      <c r="Q795" s="4">
        <f>$E795+6</f>
        <v>117</v>
      </c>
      <c r="R795" s="8">
        <f>IF($J795=0,0,ROUND(MAX($J795*1.4*1.5*1.6*1.6,13100000*(1.429962^(MIN($E795,123)-117)))*1,0))</f>
        <v>2601984</v>
      </c>
      <c r="S795" s="6">
        <f>$E795+8</f>
        <v>119</v>
      </c>
      <c r="T795" s="7">
        <f>IF($J795=0,0,ROUND(MAX($J795*1.4*1.5*1.6*1.6*2.2,42600000*(1.576904^(MIN($E795,123)-117)))*1,0))</f>
        <v>5724365</v>
      </c>
      <c r="U795" s="4">
        <f>$E795+11</f>
        <v>122</v>
      </c>
      <c r="V795" s="8">
        <f>IF($J795=0,0,ROUND(MAX($J795*1.4*1.5*1.6*1.6*2.2*2.715,354000000*(1.642074^(MIN($E795,123)-117)))*1,0))</f>
        <v>18057055</v>
      </c>
      <c r="W795" s="6">
        <f>$E795+15</f>
        <v>126</v>
      </c>
      <c r="X795" s="7">
        <f>IF($J795=0,0,ROUND(MAX($J795*1.4*1.5*1.6*1.6*2.2*2.715*2.6,3540000000*(1.579646^(MIN($E795,123)-117)))*1,0))</f>
        <v>227847690</v>
      </c>
      <c r="Y795" s="4">
        <f>$E795+17</f>
        <v>128</v>
      </c>
      <c r="Z795" s="8">
        <f>IF($J795=0,0,ROUND(MAX($J795*1.4*1.5*1.6*1.6*2.2*2.715*2.6*1.4,6020000000*(1.651178^(MIN($E795,123)-117)))*1,0))</f>
        <v>297052444</v>
      </c>
      <c r="AA795" s="6">
        <f>$E795+19</f>
        <v>130</v>
      </c>
      <c r="AB795" s="7">
        <f>IF($J795=0,0,ROUND(MAX($J795*1.4*1.5*1.6*1.6*2.2*2.715*2.6*1.4*1.4,8430000000*(1.651435^(MIN($E795,123)-117)))*1,0))</f>
        <v>415583854</v>
      </c>
      <c r="AC795" s="4">
        <f>$E795+21</f>
        <v>132</v>
      </c>
      <c r="AD795" s="8">
        <f>IF($J795=0,0,ROUND(MAX($J795*1.4*1.5*1.6*1.6*2.2*2.715*2.6*1.4*1.4*1.5,12600000000*(1.652953^(MIN($E795,123)-117)))*1,0))</f>
        <v>617742548</v>
      </c>
      <c r="AE795" s="6">
        <f>$E795+24</f>
        <v>135</v>
      </c>
      <c r="AF795" s="7">
        <f>IF($J795=0,0,ROUND(MAX($J795*1.4*1.5*1.6*1.6*2.2*2.715*2.6*1.4*1.4*1.5*1.5,18900000000*(1.65331^(MIN($E795,123)-117)))*1,0))</f>
        <v>925413965</v>
      </c>
      <c r="AG795" s="4">
        <f>$E795+27</f>
        <v>138</v>
      </c>
      <c r="AH795" s="8">
        <f>IF($J795=0,0,ROUND(MAX($J795*1.4*1.5*1.6*1.6*2.2*2.715*2.6*1.4*1.4*1.5*1.5*3.2,60500000000*(1.654288^(MIN($E795,123)-117)))*1,0))</f>
        <v>2951811756</v>
      </c>
    </row>
    <row r="796" ht="27.75" customHeight="1" spans="1:34" x14ac:dyDescent="0.25">
      <c r="A796" s="3">
        <v>806</v>
      </c>
      <c r="B796" s="3" t="s">
        <v>681</v>
      </c>
      <c r="C796" s="3" t="s">
        <v>670</v>
      </c>
      <c r="D796" s="3" t="s">
        <v>33</v>
      </c>
      <c r="E796" s="3">
        <v>111</v>
      </c>
      <c r="F796" s="3" t="s">
        <v>71</v>
      </c>
      <c r="G796" s="3" t="s">
        <v>671</v>
      </c>
      <c r="H796" s="3">
        <v>27</v>
      </c>
      <c r="I796" s="4">
        <v>111</v>
      </c>
      <c r="J796" s="5">
        <v>27400000</v>
      </c>
      <c r="K796" s="6">
        <f>$E796+1</f>
        <v>112</v>
      </c>
      <c r="L796" s="7">
        <f>IF($J796=0,0,ROUND(MAX($J796*1.4,1620000*(1.497923^(MIN($E796,123)-117)))*1,0))</f>
        <v>38360000</v>
      </c>
      <c r="M796" s="4">
        <f>$E796+2</f>
        <v>113</v>
      </c>
      <c r="N796" s="8">
        <f>IF($J796=0,0,ROUND(MAX($J796*1.4*1.5,2190000*(1.580994^(MIN($E796,123)-117)))*1,0))</f>
        <v>57540000</v>
      </c>
      <c r="O796" s="6">
        <f>$E796+4</f>
        <v>115</v>
      </c>
      <c r="P796" s="7">
        <f>IF($J796=0,0,ROUND(MAX($J796*1.4*1.5*1.6,3500000*(1.57975^(MIN($E796,123)-117)))*1,0))</f>
        <v>92064000</v>
      </c>
      <c r="Q796" s="4">
        <f>$E796+6</f>
        <v>117</v>
      </c>
      <c r="R796" s="8">
        <f>IF($J796=0,0,ROUND(MAX($J796*1.4*1.5*1.6*1.6,13100000*(1.429962^(MIN($E796,123)-117)))*1,0))</f>
        <v>147302400</v>
      </c>
      <c r="S796" s="6">
        <f>$E796+8</f>
        <v>119</v>
      </c>
      <c r="T796" s="7">
        <f>IF($J796=0,0,ROUND(MAX($J796*1.4*1.5*1.6*1.6*2.2,42600000*(1.576904^(MIN($E796,123)-117)))*1,0))</f>
        <v>324065280</v>
      </c>
      <c r="U796" s="4">
        <f>$E796+11</f>
        <v>122</v>
      </c>
      <c r="V796" s="8">
        <f>IF($J796=0,0,ROUND(MAX($J796*1.4*1.5*1.6*1.6*2.2*2.715,354000000*(1.642074^(MIN($E796,123)-117)))*1,0))</f>
        <v>879837235</v>
      </c>
      <c r="W796" s="6">
        <f>$E796+15</f>
        <v>126</v>
      </c>
      <c r="X796" s="7">
        <f>IF($J796=0,0,ROUND(MAX($J796*1.4*1.5*1.6*1.6*2.2*2.715*2.6,3540000000*(1.579646^(MIN($E796,123)-117)))*1,0))</f>
        <v>2287576812</v>
      </c>
      <c r="Y796" s="4">
        <f>$E796+17</f>
        <v>128</v>
      </c>
      <c r="Z796" s="8">
        <f>IF($J796=0,0,ROUND(MAX($J796*1.4*1.5*1.6*1.6*2.2*2.715*2.6*1.4,6020000000*(1.651178^(MIN($E796,123)-117)))*1,0))</f>
        <v>3202607536</v>
      </c>
      <c r="AA796" s="6">
        <f>$E796+19</f>
        <v>130</v>
      </c>
      <c r="AB796" s="7">
        <f>IF($J796=0,0,ROUND(MAX($J796*1.4*1.5*1.6*1.6*2.2*2.715*2.6*1.4*1.4,8430000000*(1.651435^(MIN($E796,123)-117)))*1,0))</f>
        <v>4483650551</v>
      </c>
      <c r="AC796" s="4">
        <f>$E796+21</f>
        <v>132</v>
      </c>
      <c r="AD796" s="8">
        <f>IF($J796=0,0,ROUND(MAX($J796*1.4*1.5*1.6*1.6*2.2*2.715*2.6*1.4*1.4*1.5,12600000000*(1.652953^(MIN($E796,123)-117)))*1,0))</f>
        <v>6725475826</v>
      </c>
      <c r="AE796" s="6">
        <f>$E796+24</f>
        <v>135</v>
      </c>
      <c r="AF796" s="7">
        <f>IF($J796=0,0,ROUND(MAX($J796*1.4*1.5*1.6*1.6*2.2*2.715*2.6*1.4*1.4*1.5*1.5,18900000000*(1.65331^(MIN($E796,123)-117)))*1,0))</f>
        <v>10088213739</v>
      </c>
      <c r="AG796" s="4">
        <f>$E796+27</f>
        <v>138</v>
      </c>
      <c r="AH796" s="8">
        <f>IF($J796=0,0,ROUND(MAX($J796*1.4*1.5*1.6*1.6*2.2*2.715*2.6*1.4*1.4*1.5*1.5*3.2,60500000000*(1.654288^(MIN($E796,123)-117)))*1,0))</f>
        <v>32282283964</v>
      </c>
    </row>
    <row r="797" ht="27.75" customHeight="1" spans="1:34" x14ac:dyDescent="0.25">
      <c r="A797" s="3">
        <v>807</v>
      </c>
      <c r="B797" s="3" t="s">
        <v>163</v>
      </c>
      <c r="C797" s="3" t="s">
        <v>670</v>
      </c>
      <c r="D797" s="3" t="s">
        <v>40</v>
      </c>
      <c r="E797" s="3">
        <v>111</v>
      </c>
      <c r="F797" s="3" t="s">
        <v>71</v>
      </c>
      <c r="G797" s="3" t="s">
        <v>671</v>
      </c>
      <c r="H797" s="3">
        <v>27</v>
      </c>
      <c r="I797" s="4">
        <v>111</v>
      </c>
      <c r="J797" s="5">
        <v>123000</v>
      </c>
      <c r="K797" s="6">
        <f>$E797+1</f>
        <v>112</v>
      </c>
      <c r="L797" s="7">
        <f>IF($J797=0,0,ROUND(MAX($J797*1.4,1620000*(1.497923^(MIN($E797,123)-117)))*1,0))</f>
        <v>172200</v>
      </c>
      <c r="M797" s="4">
        <f>$E797+2</f>
        <v>113</v>
      </c>
      <c r="N797" s="8">
        <f>IF($J797=0,0,ROUND(MAX($J797*1.4*1.5,2190000*(1.580994^(MIN($E797,123)-117)))*1,0))</f>
        <v>258300</v>
      </c>
      <c r="O797" s="6">
        <f>$E797+4</f>
        <v>115</v>
      </c>
      <c r="P797" s="7">
        <f>IF($J797=0,0,ROUND(MAX($J797*1.4*1.5*1.6,3500000*(1.57975^(MIN($E797,123)-117)))*1,0))</f>
        <v>413280</v>
      </c>
      <c r="Q797" s="4">
        <f>$E797+6</f>
        <v>117</v>
      </c>
      <c r="R797" s="8">
        <f>IF($J797=0,0,ROUND(MAX($J797*1.4*1.5*1.6*1.6,13100000*(1.429962^(MIN($E797,123)-117)))*1,0))</f>
        <v>1532231</v>
      </c>
      <c r="S797" s="6">
        <f>$E797+8</f>
        <v>119</v>
      </c>
      <c r="T797" s="7">
        <f>IF($J797=0,0,ROUND(MAX($J797*1.4*1.5*1.6*1.6*2.2,42600000*(1.576904^(MIN($E797,123)-117)))*1,0))</f>
        <v>2770627</v>
      </c>
      <c r="U797" s="4">
        <f>$E797+11</f>
        <v>122</v>
      </c>
      <c r="V797" s="8">
        <f>IF($J797=0,0,ROUND(MAX($J797*1.4*1.5*1.6*1.6*2.2*2.715,354000000*(1.642074^(MIN($E797,123)-117)))*1,0))</f>
        <v>18057055</v>
      </c>
      <c r="W797" s="6">
        <f>$E797+15</f>
        <v>126</v>
      </c>
      <c r="X797" s="7">
        <f>IF($J797=0,0,ROUND(MAX($J797*1.4*1.5*1.6*1.6*2.2*2.715*2.6,3540000000*(1.579646^(MIN($E797,123)-117)))*1,0))</f>
        <v>227847690</v>
      </c>
      <c r="Y797" s="4">
        <f>$E797+17</f>
        <v>128</v>
      </c>
      <c r="Z797" s="8">
        <f>IF($J797=0,0,ROUND(MAX($J797*1.4*1.5*1.6*1.6*2.2*2.715*2.6*1.4,6020000000*(1.651178^(MIN($E797,123)-117)))*1,0))</f>
        <v>297052444</v>
      </c>
      <c r="AA797" s="6">
        <f>$E797+19</f>
        <v>130</v>
      </c>
      <c r="AB797" s="7">
        <f>IF($J797=0,0,ROUND(MAX($J797*1.4*1.5*1.6*1.6*2.2*2.715*2.6*1.4*1.4,8430000000*(1.651435^(MIN($E797,123)-117)))*1,0))</f>
        <v>415583854</v>
      </c>
      <c r="AC797" s="4">
        <f>$E797+21</f>
        <v>132</v>
      </c>
      <c r="AD797" s="8">
        <f>IF($J797=0,0,ROUND(MAX($J797*1.4*1.5*1.6*1.6*2.2*2.715*2.6*1.4*1.4*1.5,12600000000*(1.652953^(MIN($E797,123)-117)))*1,0))</f>
        <v>617742548</v>
      </c>
      <c r="AE797" s="6">
        <f>$E797+24</f>
        <v>135</v>
      </c>
      <c r="AF797" s="7">
        <f>IF($J797=0,0,ROUND(MAX($J797*1.4*1.5*1.6*1.6*2.2*2.715*2.6*1.4*1.4*1.5*1.5,18900000000*(1.65331^(MIN($E797,123)-117)))*1,0))</f>
        <v>925413965</v>
      </c>
      <c r="AG797" s="4">
        <f>$E797+27</f>
        <v>138</v>
      </c>
      <c r="AH797" s="8">
        <f>IF($J797=0,0,ROUND(MAX($J797*1.4*1.5*1.6*1.6*2.2*2.715*2.6*1.4*1.4*1.5*1.5*3.2,60500000000*(1.654288^(MIN($E797,123)-117)))*1,0))</f>
        <v>2951811756</v>
      </c>
    </row>
    <row r="798" ht="27.75" customHeight="1" spans="1:34" x14ac:dyDescent="0.25">
      <c r="A798" s="3">
        <v>808</v>
      </c>
      <c r="B798" s="3" t="s">
        <v>87</v>
      </c>
      <c r="C798" s="3" t="s">
        <v>670</v>
      </c>
      <c r="D798" s="3" t="s">
        <v>40</v>
      </c>
      <c r="E798" s="3">
        <v>111</v>
      </c>
      <c r="F798" s="3" t="s">
        <v>88</v>
      </c>
      <c r="G798" s="3" t="s">
        <v>671</v>
      </c>
      <c r="H798" s="3">
        <v>27</v>
      </c>
      <c r="I798" s="4">
        <v>111</v>
      </c>
      <c r="J798" s="5">
        <v>139000</v>
      </c>
      <c r="K798" s="6">
        <f>$E798+1</f>
        <v>112</v>
      </c>
      <c r="L798" s="7">
        <f>IF($J798=0,0,ROUND(MAX($J798*1.4,1620000*(1.497923^(MIN($E798,123)-117)))*1,0))</f>
        <v>194600</v>
      </c>
      <c r="M798" s="4">
        <f>$E798+2</f>
        <v>113</v>
      </c>
      <c r="N798" s="8">
        <f>IF($J798=0,0,ROUND(MAX($J798*1.4*1.5,2190000*(1.580994^(MIN($E798,123)-117)))*1,0))</f>
        <v>291900</v>
      </c>
      <c r="O798" s="6">
        <f>$E798+4</f>
        <v>115</v>
      </c>
      <c r="P798" s="7">
        <f>IF($J798=0,0,ROUND(MAX($J798*1.4*1.5*1.6,3500000*(1.57975^(MIN($E798,123)-117)))*1,0))</f>
        <v>467040</v>
      </c>
      <c r="Q798" s="4">
        <f>$E798+6</f>
        <v>117</v>
      </c>
      <c r="R798" s="8">
        <f>IF($J798=0,0,ROUND(MAX($J798*1.4*1.5*1.6*1.6,13100000*(1.429962^(MIN($E798,123)-117)))*1,0))</f>
        <v>1532231</v>
      </c>
      <c r="S798" s="6">
        <f>$E798+8</f>
        <v>119</v>
      </c>
      <c r="T798" s="7">
        <f>IF($J798=0,0,ROUND(MAX($J798*1.4*1.5*1.6*1.6*2.2,42600000*(1.576904^(MIN($E798,123)-117)))*1,0))</f>
        <v>2770627</v>
      </c>
      <c r="U798" s="4">
        <f>$E798+11</f>
        <v>122</v>
      </c>
      <c r="V798" s="8">
        <f>IF($J798=0,0,ROUND(MAX($J798*1.4*1.5*1.6*1.6*2.2*2.715,354000000*(1.642074^(MIN($E798,123)-117)))*1,0))</f>
        <v>18057055</v>
      </c>
      <c r="W798" s="6">
        <f>$E798+15</f>
        <v>126</v>
      </c>
      <c r="X798" s="7">
        <f>IF($J798=0,0,ROUND(MAX($J798*1.4*1.5*1.6*1.6*2.2*2.715*2.6,3540000000*(1.579646^(MIN($E798,123)-117)))*1,0))</f>
        <v>227847690</v>
      </c>
      <c r="Y798" s="4">
        <f>$E798+17</f>
        <v>128</v>
      </c>
      <c r="Z798" s="8">
        <f>IF($J798=0,0,ROUND(MAX($J798*1.4*1.5*1.6*1.6*2.2*2.715*2.6*1.4,6020000000*(1.651178^(MIN($E798,123)-117)))*1,0))</f>
        <v>297052444</v>
      </c>
      <c r="AA798" s="6">
        <f>$E798+19</f>
        <v>130</v>
      </c>
      <c r="AB798" s="7">
        <f>IF($J798=0,0,ROUND(MAX($J798*1.4*1.5*1.6*1.6*2.2*2.715*2.6*1.4*1.4,8430000000*(1.651435^(MIN($E798,123)-117)))*1,0))</f>
        <v>415583854</v>
      </c>
      <c r="AC798" s="4">
        <f>$E798+21</f>
        <v>132</v>
      </c>
      <c r="AD798" s="8">
        <f>IF($J798=0,0,ROUND(MAX($J798*1.4*1.5*1.6*1.6*2.2*2.715*2.6*1.4*1.4*1.5,12600000000*(1.652953^(MIN($E798,123)-117)))*1,0))</f>
        <v>617742548</v>
      </c>
      <c r="AE798" s="6">
        <f>$E798+24</f>
        <v>135</v>
      </c>
      <c r="AF798" s="7">
        <f>IF($J798=0,0,ROUND(MAX($J798*1.4*1.5*1.6*1.6*2.2*2.715*2.6*1.4*1.4*1.5*1.5,18900000000*(1.65331^(MIN($E798,123)-117)))*1,0))</f>
        <v>925413965</v>
      </c>
      <c r="AG798" s="4">
        <f>$E798+27</f>
        <v>138</v>
      </c>
      <c r="AH798" s="8">
        <f>IF($J798=0,0,ROUND(MAX($J798*1.4*1.5*1.6*1.6*2.2*2.715*2.6*1.4*1.4*1.5*1.5*3.2,60500000000*(1.654288^(MIN($E798,123)-117)))*1,0))</f>
        <v>2951811756</v>
      </c>
    </row>
    <row r="799" ht="27.75" customHeight="1" spans="1:34" x14ac:dyDescent="0.25">
      <c r="A799" s="3">
        <v>809</v>
      </c>
      <c r="B799" s="3" t="s">
        <v>117</v>
      </c>
      <c r="C799" s="3" t="s">
        <v>670</v>
      </c>
      <c r="D799" s="3" t="s">
        <v>40</v>
      </c>
      <c r="E799" s="3">
        <v>111</v>
      </c>
      <c r="F799" s="3" t="s">
        <v>54</v>
      </c>
      <c r="G799" s="3" t="s">
        <v>671</v>
      </c>
      <c r="H799" s="3">
        <v>27</v>
      </c>
      <c r="I799" s="4">
        <v>111</v>
      </c>
      <c r="J799" s="5">
        <v>144000</v>
      </c>
      <c r="K799" s="6">
        <f>$E799+1</f>
        <v>112</v>
      </c>
      <c r="L799" s="7">
        <f>IF($J799=0,0,ROUND(MAX($J799*1.4,1620000*(1.497923^(MIN($E799,123)-117)))*1,0))</f>
        <v>201600</v>
      </c>
      <c r="M799" s="4">
        <f>$E799+2</f>
        <v>113</v>
      </c>
      <c r="N799" s="8">
        <f>IF($J799=0,0,ROUND(MAX($J799*1.4*1.5,2190000*(1.580994^(MIN($E799,123)-117)))*1,0))</f>
        <v>302400</v>
      </c>
      <c r="O799" s="6">
        <f>$E799+4</f>
        <v>115</v>
      </c>
      <c r="P799" s="7">
        <f>IF($J799=0,0,ROUND(MAX($J799*1.4*1.5*1.6,3500000*(1.57975^(MIN($E799,123)-117)))*1,0))</f>
        <v>483840</v>
      </c>
      <c r="Q799" s="4">
        <f>$E799+6</f>
        <v>117</v>
      </c>
      <c r="R799" s="8">
        <f>IF($J799=0,0,ROUND(MAX($J799*1.4*1.5*1.6*1.6,13100000*(1.429962^(MIN($E799,123)-117)))*1,0))</f>
        <v>1532231</v>
      </c>
      <c r="S799" s="6">
        <f>$E799+8</f>
        <v>119</v>
      </c>
      <c r="T799" s="7">
        <f>IF($J799=0,0,ROUND(MAX($J799*1.4*1.5*1.6*1.6*2.2,42600000*(1.576904^(MIN($E799,123)-117)))*1,0))</f>
        <v>2770627</v>
      </c>
      <c r="U799" s="4">
        <f>$E799+11</f>
        <v>122</v>
      </c>
      <c r="V799" s="8">
        <f>IF($J799=0,0,ROUND(MAX($J799*1.4*1.5*1.6*1.6*2.2*2.715,354000000*(1.642074^(MIN($E799,123)-117)))*1,0))</f>
        <v>18057055</v>
      </c>
      <c r="W799" s="6">
        <f>$E799+15</f>
        <v>126</v>
      </c>
      <c r="X799" s="7">
        <f>IF($J799=0,0,ROUND(MAX($J799*1.4*1.5*1.6*1.6*2.2*2.715*2.6,3540000000*(1.579646^(MIN($E799,123)-117)))*1,0))</f>
        <v>227847690</v>
      </c>
      <c r="Y799" s="4">
        <f>$E799+17</f>
        <v>128</v>
      </c>
      <c r="Z799" s="8">
        <f>IF($J799=0,0,ROUND(MAX($J799*1.4*1.5*1.6*1.6*2.2*2.715*2.6*1.4,6020000000*(1.651178^(MIN($E799,123)-117)))*1,0))</f>
        <v>297052444</v>
      </c>
      <c r="AA799" s="6">
        <f>$E799+19</f>
        <v>130</v>
      </c>
      <c r="AB799" s="7">
        <f>IF($J799=0,0,ROUND(MAX($J799*1.4*1.5*1.6*1.6*2.2*2.715*2.6*1.4*1.4,8430000000*(1.651435^(MIN($E799,123)-117)))*1,0))</f>
        <v>415583854</v>
      </c>
      <c r="AC799" s="4">
        <f>$E799+21</f>
        <v>132</v>
      </c>
      <c r="AD799" s="8">
        <f>IF($J799=0,0,ROUND(MAX($J799*1.4*1.5*1.6*1.6*2.2*2.715*2.6*1.4*1.4*1.5,12600000000*(1.652953^(MIN($E799,123)-117)))*1,0))</f>
        <v>617742548</v>
      </c>
      <c r="AE799" s="6">
        <f>$E799+24</f>
        <v>135</v>
      </c>
      <c r="AF799" s="7">
        <f>IF($J799=0,0,ROUND(MAX($J799*1.4*1.5*1.6*1.6*2.2*2.715*2.6*1.4*1.4*1.5*1.5,18900000000*(1.65331^(MIN($E799,123)-117)))*1,0))</f>
        <v>925413965</v>
      </c>
      <c r="AG799" s="4">
        <f>$E799+27</f>
        <v>138</v>
      </c>
      <c r="AH799" s="8">
        <f>IF($J799=0,0,ROUND(MAX($J799*1.4*1.5*1.6*1.6*2.2*2.715*2.6*1.4*1.4*1.5*1.5*3.2,60500000000*(1.654288^(MIN($E799,123)-117)))*1,0))</f>
        <v>2951811756</v>
      </c>
    </row>
    <row r="800" ht="27.75" customHeight="1" spans="1:34" x14ac:dyDescent="0.25">
      <c r="A800" s="3">
        <v>810</v>
      </c>
      <c r="B800" s="3" t="s">
        <v>682</v>
      </c>
      <c r="C800" s="3" t="s">
        <v>670</v>
      </c>
      <c r="D800" s="3" t="s">
        <v>25</v>
      </c>
      <c r="E800" s="3">
        <v>111</v>
      </c>
      <c r="F800" s="3" t="s">
        <v>71</v>
      </c>
      <c r="G800" s="3" t="s">
        <v>354</v>
      </c>
      <c r="H800" s="3">
        <v>26</v>
      </c>
      <c r="I800" s="4">
        <v>111</v>
      </c>
      <c r="J800" s="5">
        <v>329000</v>
      </c>
      <c r="K800" s="6">
        <f>$E800+1</f>
        <v>112</v>
      </c>
      <c r="L800" s="7">
        <f>IF($J800=0,0,ROUND(MAX($J800*1.4,1620000*(1.497923^(MIN($E800,123)-117)))*1,0))</f>
        <v>460600</v>
      </c>
      <c r="M800" s="4">
        <f>$E800+2</f>
        <v>113</v>
      </c>
      <c r="N800" s="8">
        <f>IF($J800=0,0,ROUND(MAX($J800*1.4*1.5,2190000*(1.580994^(MIN($E800,123)-117)))*1,0))</f>
        <v>690900</v>
      </c>
      <c r="O800" s="6">
        <f>$E800+4</f>
        <v>115</v>
      </c>
      <c r="P800" s="7">
        <f>IF($J800=0,0,ROUND(MAX($J800*1.4*1.5*1.6,3500000*(1.57975^(MIN($E800,123)-117)))*1,0))</f>
        <v>1105440</v>
      </c>
      <c r="Q800" s="4">
        <f>$E800+6</f>
        <v>117</v>
      </c>
      <c r="R800" s="8">
        <f>IF($J800=0,0,ROUND(MAX($J800*1.4*1.5*1.6*1.6,13100000*(1.429962^(MIN($E800,123)-117)))*1,0))</f>
        <v>1768704</v>
      </c>
      <c r="S800" s="6">
        <f>$E800+8</f>
        <v>119</v>
      </c>
      <c r="T800" s="7">
        <f>IF($J800=0,0,ROUND(MAX($J800*1.4*1.5*1.6*1.6*2.2,42600000*(1.576904^(MIN($E800,123)-117)))*1,0))</f>
        <v>3891149</v>
      </c>
      <c r="U800" s="4">
        <f>$E800+11</f>
        <v>122</v>
      </c>
      <c r="V800" s="8">
        <f>IF($J800=0,0,ROUND(MAX($J800*1.4*1.5*1.6*1.6*2.2*2.715,354000000*(1.642074^(MIN($E800,123)-117)))*1,0))</f>
        <v>18057055</v>
      </c>
      <c r="W800" s="6">
        <f>$E800+15</f>
        <v>126</v>
      </c>
      <c r="X800" s="7">
        <f>IF($J800=0,0,ROUND(MAX($J800*1.4*1.5*1.6*1.6*2.2*2.715*2.6,3540000000*(1.579646^(MIN($E800,123)-117)))*1,0))</f>
        <v>227847690</v>
      </c>
      <c r="Y800" s="4">
        <f>$E800+17</f>
        <v>128</v>
      </c>
      <c r="Z800" s="8">
        <f>IF($J800=0,0,ROUND(MAX($J800*1.4*1.5*1.6*1.6*2.2*2.715*2.6*1.4,6020000000*(1.651178^(MIN($E800,123)-117)))*1,0))</f>
        <v>297052444</v>
      </c>
      <c r="AA800" s="6">
        <f>$E800+19</f>
        <v>130</v>
      </c>
      <c r="AB800" s="7">
        <f>IF($J800=0,0,ROUND(MAX($J800*1.4*1.5*1.6*1.6*2.2*2.715*2.6*1.4*1.4,8430000000*(1.651435^(MIN($E800,123)-117)))*1,0))</f>
        <v>415583854</v>
      </c>
      <c r="AC800" s="4">
        <f>$E800+21</f>
        <v>132</v>
      </c>
      <c r="AD800" s="8">
        <f>IF($J800=0,0,ROUND(MAX($J800*1.4*1.5*1.6*1.6*2.2*2.715*2.6*1.4*1.4*1.5,12600000000*(1.652953^(MIN($E800,123)-117)))*1,0))</f>
        <v>617742548</v>
      </c>
      <c r="AE800" s="6">
        <f>$E800+24</f>
        <v>135</v>
      </c>
      <c r="AF800" s="7">
        <f>IF($J800=0,0,ROUND(MAX($J800*1.4*1.5*1.6*1.6*2.2*2.715*2.6*1.4*1.4*1.5*1.5,18900000000*(1.65331^(MIN($E800,123)-117)))*1,0))</f>
        <v>925413965</v>
      </c>
      <c r="AG800" s="4">
        <f>$E800+27</f>
        <v>138</v>
      </c>
      <c r="AH800" s="8">
        <f>IF($J800=0,0,ROUND(MAX($J800*1.4*1.5*1.6*1.6*2.2*2.715*2.6*1.4*1.4*1.5*1.5*3.2,60500000000*(1.654288^(MIN($E800,123)-117)))*1,0))</f>
        <v>2951811756</v>
      </c>
    </row>
    <row r="801" ht="27.75" customHeight="1" spans="1:34" x14ac:dyDescent="0.25">
      <c r="A801" s="3">
        <v>811</v>
      </c>
      <c r="B801" s="3" t="s">
        <v>683</v>
      </c>
      <c r="C801" s="3" t="s">
        <v>670</v>
      </c>
      <c r="D801" s="3" t="s">
        <v>33</v>
      </c>
      <c r="E801" s="3">
        <v>111</v>
      </c>
      <c r="F801" s="3" t="s">
        <v>71</v>
      </c>
      <c r="G801" s="3" t="s">
        <v>684</v>
      </c>
      <c r="H801" s="3">
        <v>26</v>
      </c>
      <c r="I801" s="4">
        <v>111</v>
      </c>
      <c r="J801" s="5">
        <v>115000</v>
      </c>
      <c r="K801" s="6">
        <f>$E801+1</f>
        <v>112</v>
      </c>
      <c r="L801" s="7">
        <f>IF($J801=0,0,ROUND(MAX($J801*1.4,1620000*(1.497923^(MIN($E801,123)-117)))*1,0))</f>
        <v>161000</v>
      </c>
      <c r="M801" s="4">
        <f>$E801+2</f>
        <v>113</v>
      </c>
      <c r="N801" s="8">
        <f>IF($J801=0,0,ROUND(MAX($J801*1.4*1.5,2190000*(1.580994^(MIN($E801,123)-117)))*1,0))</f>
        <v>241500</v>
      </c>
      <c r="O801" s="6">
        <f>$E801+4</f>
        <v>115</v>
      </c>
      <c r="P801" s="7">
        <f>IF($J801=0,0,ROUND(MAX($J801*1.4*1.5*1.6,3500000*(1.57975^(MIN($E801,123)-117)))*1,0))</f>
        <v>386400</v>
      </c>
      <c r="Q801" s="4">
        <f>$E801+6</f>
        <v>117</v>
      </c>
      <c r="R801" s="8">
        <f>IF($J801=0,0,ROUND(MAX($J801*1.4*1.5*1.6*1.6,13100000*(1.429962^(MIN($E801,123)-117)))*1,0))</f>
        <v>1532231</v>
      </c>
      <c r="S801" s="6">
        <f>$E801+8</f>
        <v>119</v>
      </c>
      <c r="T801" s="7">
        <f>IF($J801=0,0,ROUND(MAX($J801*1.4*1.5*1.6*1.6*2.2,42600000*(1.576904^(MIN($E801,123)-117)))*1,0))</f>
        <v>2770627</v>
      </c>
      <c r="U801" s="4">
        <f>$E801+11</f>
        <v>122</v>
      </c>
      <c r="V801" s="8">
        <f>IF($J801=0,0,ROUND(MAX($J801*1.4*1.5*1.6*1.6*2.2*2.715,354000000*(1.642074^(MIN($E801,123)-117)))*1,0))</f>
        <v>18057055</v>
      </c>
      <c r="W801" s="6">
        <f>$E801+15</f>
        <v>126</v>
      </c>
      <c r="X801" s="7">
        <f>IF($J801=0,0,ROUND(MAX($J801*1.4*1.5*1.6*1.6*2.2*2.715*2.6,3540000000*(1.579646^(MIN($E801,123)-117)))*1,0))</f>
        <v>227847690</v>
      </c>
      <c r="Y801" s="4">
        <f>$E801+17</f>
        <v>128</v>
      </c>
      <c r="Z801" s="8">
        <f>IF($J801=0,0,ROUND(MAX($J801*1.4*1.5*1.6*1.6*2.2*2.715*2.6*1.4,6020000000*(1.651178^(MIN($E801,123)-117)))*1,0))</f>
        <v>297052444</v>
      </c>
      <c r="AA801" s="6">
        <f>$E801+19</f>
        <v>130</v>
      </c>
      <c r="AB801" s="7">
        <f>IF($J801=0,0,ROUND(MAX($J801*1.4*1.5*1.6*1.6*2.2*2.715*2.6*1.4*1.4,8430000000*(1.651435^(MIN($E801,123)-117)))*1,0))</f>
        <v>415583854</v>
      </c>
      <c r="AC801" s="4">
        <f>$E801+21</f>
        <v>132</v>
      </c>
      <c r="AD801" s="8">
        <f>IF($J801=0,0,ROUND(MAX($J801*1.4*1.5*1.6*1.6*2.2*2.715*2.6*1.4*1.4*1.5,12600000000*(1.652953^(MIN($E801,123)-117)))*1,0))</f>
        <v>617742548</v>
      </c>
      <c r="AE801" s="6">
        <f>$E801+24</f>
        <v>135</v>
      </c>
      <c r="AF801" s="7">
        <f>IF($J801=0,0,ROUND(MAX($J801*1.4*1.5*1.6*1.6*2.2*2.715*2.6*1.4*1.4*1.5*1.5,18900000000*(1.65331^(MIN($E801,123)-117)))*1,0))</f>
        <v>925413965</v>
      </c>
      <c r="AG801" s="4">
        <f>$E801+27</f>
        <v>138</v>
      </c>
      <c r="AH801" s="8">
        <f>IF($J801=0,0,ROUND(MAX($J801*1.4*1.5*1.6*1.6*2.2*2.715*2.6*1.4*1.4*1.5*1.5*3.2,60500000000*(1.654288^(MIN($E801,123)-117)))*1,0))</f>
        <v>2951811756</v>
      </c>
    </row>
    <row r="802" ht="27.75" customHeight="1" spans="1:34" x14ac:dyDescent="0.25">
      <c r="A802" s="3">
        <v>812</v>
      </c>
      <c r="B802" s="3" t="s">
        <v>478</v>
      </c>
      <c r="C802" s="3" t="s">
        <v>670</v>
      </c>
      <c r="D802" s="3" t="s">
        <v>64</v>
      </c>
      <c r="E802" s="3">
        <v>111</v>
      </c>
      <c r="F802" s="3" t="s">
        <v>479</v>
      </c>
      <c r="G802" s="3" t="s">
        <v>351</v>
      </c>
      <c r="H802" s="3">
        <v>26</v>
      </c>
      <c r="I802" s="4">
        <v>111</v>
      </c>
      <c r="J802" s="5">
        <v>141000</v>
      </c>
      <c r="K802" s="6">
        <f>$E802+1</f>
        <v>112</v>
      </c>
      <c r="L802" s="7">
        <f>IF($J802=0,0,ROUND(MAX($J802*1.4,1620000*(1.497923^(MIN($E802,123)-117)))*1,0))</f>
        <v>197400</v>
      </c>
      <c r="M802" s="4">
        <f>$E802+2</f>
        <v>113</v>
      </c>
      <c r="N802" s="8">
        <f>IF($J802=0,0,ROUND(MAX($J802*1.4*1.5,2190000*(1.580994^(MIN($E802,123)-117)))*1,0))</f>
        <v>296100</v>
      </c>
      <c r="O802" s="6">
        <f>$E802+4</f>
        <v>115</v>
      </c>
      <c r="P802" s="7">
        <f>IF($J802=0,0,ROUND(MAX($J802*1.4*1.5*1.6,3500000*(1.57975^(MIN($E802,123)-117)))*1,0))</f>
        <v>473760</v>
      </c>
      <c r="Q802" s="4">
        <f>$E802+6</f>
        <v>117</v>
      </c>
      <c r="R802" s="8">
        <f>IF($J802=0,0,ROUND(MAX($J802*1.4*1.5*1.6*1.6,13100000*(1.429962^(MIN($E802,123)-117)))*1,0))</f>
        <v>1532231</v>
      </c>
      <c r="S802" s="6">
        <f>$E802+8</f>
        <v>119</v>
      </c>
      <c r="T802" s="7">
        <f>IF($J802=0,0,ROUND(MAX($J802*1.4*1.5*1.6*1.6*2.2,42600000*(1.576904^(MIN($E802,123)-117)))*1,0))</f>
        <v>2770627</v>
      </c>
      <c r="U802" s="4">
        <f>$E802+11</f>
        <v>122</v>
      </c>
      <c r="V802" s="8">
        <f>IF($J802=0,0,ROUND(MAX($J802*1.4*1.5*1.6*1.6*2.2*2.715,354000000*(1.642074^(MIN($E802,123)-117)))*1,0))</f>
        <v>18057055</v>
      </c>
      <c r="W802" s="6">
        <f>$E802+15</f>
        <v>126</v>
      </c>
      <c r="X802" s="7">
        <f>IF($J802=0,0,ROUND(MAX($J802*1.4*1.5*1.6*1.6*2.2*2.715*2.6,3540000000*(1.579646^(MIN($E802,123)-117)))*1,0))</f>
        <v>227847690</v>
      </c>
      <c r="Y802" s="4">
        <f>$E802+17</f>
        <v>128</v>
      </c>
      <c r="Z802" s="8">
        <f>IF($J802=0,0,ROUND(MAX($J802*1.4*1.5*1.6*1.6*2.2*2.715*2.6*1.4,6020000000*(1.651178^(MIN($E802,123)-117)))*1,0))</f>
        <v>297052444</v>
      </c>
      <c r="AA802" s="6">
        <f>$E802+19</f>
        <v>130</v>
      </c>
      <c r="AB802" s="7">
        <f>IF($J802=0,0,ROUND(MAX($J802*1.4*1.5*1.6*1.6*2.2*2.715*2.6*1.4*1.4,8430000000*(1.651435^(MIN($E802,123)-117)))*1,0))</f>
        <v>415583854</v>
      </c>
      <c r="AC802" s="4">
        <f>$E802+21</f>
        <v>132</v>
      </c>
      <c r="AD802" s="8">
        <f>IF($J802=0,0,ROUND(MAX($J802*1.4*1.5*1.6*1.6*2.2*2.715*2.6*1.4*1.4*1.5,12600000000*(1.652953^(MIN($E802,123)-117)))*1,0))</f>
        <v>617742548</v>
      </c>
      <c r="AE802" s="6">
        <f>$E802+24</f>
        <v>135</v>
      </c>
      <c r="AF802" s="7">
        <f>IF($J802=0,0,ROUND(MAX($J802*1.4*1.5*1.6*1.6*2.2*2.715*2.6*1.4*1.4*1.5*1.5,18900000000*(1.65331^(MIN($E802,123)-117)))*1,0))</f>
        <v>925413965</v>
      </c>
      <c r="AG802" s="4">
        <f>$E802+27</f>
        <v>138</v>
      </c>
      <c r="AH802" s="8">
        <f>IF($J802=0,0,ROUND(MAX($J802*1.4*1.5*1.6*1.6*2.2*2.715*2.6*1.4*1.4*1.5*1.5*3.2,60500000000*(1.654288^(MIN($E802,123)-117)))*1,0))</f>
        <v>2951811756</v>
      </c>
    </row>
    <row r="803" ht="27.75" customHeight="1" spans="1:34" x14ac:dyDescent="0.25">
      <c r="A803" s="3">
        <v>813</v>
      </c>
      <c r="B803" s="3" t="s">
        <v>299</v>
      </c>
      <c r="C803" s="3" t="s">
        <v>670</v>
      </c>
      <c r="D803" s="3" t="s">
        <v>45</v>
      </c>
      <c r="E803" s="3">
        <v>111</v>
      </c>
      <c r="F803" s="3" t="s">
        <v>298</v>
      </c>
      <c r="G803" s="3" t="s">
        <v>300</v>
      </c>
      <c r="H803" s="3">
        <v>26</v>
      </c>
      <c r="I803" s="4">
        <v>111</v>
      </c>
      <c r="J803" s="5">
        <v>504000</v>
      </c>
      <c r="K803" s="6">
        <f>$E803+1</f>
        <v>112</v>
      </c>
      <c r="L803" s="7">
        <f>IF($J803=0,0,ROUND(MAX($J803*1.4,1620000*(1.497923^(MIN($E803,123)-117)))*1,0))</f>
        <v>705600</v>
      </c>
      <c r="M803" s="4">
        <f>$E803+2</f>
        <v>113</v>
      </c>
      <c r="N803" s="8">
        <f>IF($J803=0,0,ROUND(MAX($J803*1.4*1.5,2190000*(1.580994^(MIN($E803,123)-117)))*1,0))</f>
        <v>1058400</v>
      </c>
      <c r="O803" s="6">
        <f>$E803+4</f>
        <v>115</v>
      </c>
      <c r="P803" s="7">
        <f>IF($J803=0,0,ROUND(MAX($J803*1.4*1.5*1.6,3500000*(1.57975^(MIN($E803,123)-117)))*1,0))</f>
        <v>1693440</v>
      </c>
      <c r="Q803" s="4">
        <f>$E803+6</f>
        <v>117</v>
      </c>
      <c r="R803" s="8">
        <f>IF($J803=0,0,ROUND(MAX($J803*1.4*1.5*1.6*1.6,13100000*(1.429962^(MIN($E803,123)-117)))*1,0))</f>
        <v>2709504</v>
      </c>
      <c r="S803" s="6">
        <f>$E803+8</f>
        <v>119</v>
      </c>
      <c r="T803" s="7">
        <f>IF($J803=0,0,ROUND(MAX($J803*1.4*1.5*1.6*1.6*2.2,42600000*(1.576904^(MIN($E803,123)-117)))*1,0))</f>
        <v>5960909</v>
      </c>
      <c r="U803" s="4">
        <f>$E803+11</f>
        <v>122</v>
      </c>
      <c r="V803" s="8">
        <f>IF($J803=0,0,ROUND(MAX($J803*1.4*1.5*1.6*1.6*2.2*2.715,354000000*(1.642074^(MIN($E803,123)-117)))*1,0))</f>
        <v>18057055</v>
      </c>
      <c r="W803" s="6">
        <f>$E803+15</f>
        <v>126</v>
      </c>
      <c r="X803" s="7">
        <f>IF($J803=0,0,ROUND(MAX($J803*1.4*1.5*1.6*1.6*2.2*2.715*2.6,3540000000*(1.579646^(MIN($E803,123)-117)))*1,0))</f>
        <v>227847690</v>
      </c>
      <c r="Y803" s="4">
        <f>$E803+17</f>
        <v>128</v>
      </c>
      <c r="Z803" s="8">
        <f>IF($J803=0,0,ROUND(MAX($J803*1.4*1.5*1.6*1.6*2.2*2.715*2.6*1.4,6020000000*(1.651178^(MIN($E803,123)-117)))*1,0))</f>
        <v>297052444</v>
      </c>
      <c r="AA803" s="6">
        <f>$E803+19</f>
        <v>130</v>
      </c>
      <c r="AB803" s="7">
        <f>IF($J803=0,0,ROUND(MAX($J803*1.4*1.5*1.6*1.6*2.2*2.715*2.6*1.4*1.4,8430000000*(1.651435^(MIN($E803,123)-117)))*1,0))</f>
        <v>415583854</v>
      </c>
      <c r="AC803" s="4">
        <f>$E803+21</f>
        <v>132</v>
      </c>
      <c r="AD803" s="8">
        <f>IF($J803=0,0,ROUND(MAX($J803*1.4*1.5*1.6*1.6*2.2*2.715*2.6*1.4*1.4*1.5,12600000000*(1.652953^(MIN($E803,123)-117)))*1,0))</f>
        <v>617742548</v>
      </c>
      <c r="AE803" s="6">
        <f>$E803+24</f>
        <v>135</v>
      </c>
      <c r="AF803" s="7">
        <f>IF($J803=0,0,ROUND(MAX($J803*1.4*1.5*1.6*1.6*2.2*2.715*2.6*1.4*1.4*1.5*1.5,18900000000*(1.65331^(MIN($E803,123)-117)))*1,0))</f>
        <v>925413965</v>
      </c>
      <c r="AG803" s="4">
        <f>$E803+27</f>
        <v>138</v>
      </c>
      <c r="AH803" s="8">
        <f>IF($J803=0,0,ROUND(MAX($J803*1.4*1.5*1.6*1.6*2.2*2.715*2.6*1.4*1.4*1.5*1.5*3.2,60500000000*(1.654288^(MIN($E803,123)-117)))*1,0))</f>
        <v>2951811756</v>
      </c>
    </row>
    <row r="804" ht="27.75" customHeight="1" spans="1:34" x14ac:dyDescent="0.25">
      <c r="A804" s="3">
        <v>814</v>
      </c>
      <c r="B804" s="3" t="s">
        <v>685</v>
      </c>
      <c r="C804" s="3" t="s">
        <v>670</v>
      </c>
      <c r="D804" s="3" t="s">
        <v>79</v>
      </c>
      <c r="E804" s="3">
        <v>111</v>
      </c>
      <c r="F804" s="3" t="s">
        <v>492</v>
      </c>
      <c r="G804" s="3" t="s">
        <v>213</v>
      </c>
      <c r="H804" s="3">
        <v>26</v>
      </c>
      <c r="I804" s="4">
        <v>111</v>
      </c>
      <c r="J804" s="5">
        <v>336000</v>
      </c>
      <c r="K804" s="6">
        <f>$E804+1</f>
        <v>112</v>
      </c>
      <c r="L804" s="7">
        <f>IF($J804=0,0,ROUND(MAX($J804*1.4,1620000*(1.497923^(MIN($E804,123)-117)))*1,0))</f>
        <v>470400</v>
      </c>
      <c r="M804" s="4">
        <f>$E804+2</f>
        <v>113</v>
      </c>
      <c r="N804" s="8">
        <f>IF($J804=0,0,ROUND(MAX($J804*1.4*1.5,2190000*(1.580994^(MIN($E804,123)-117)))*1,0))</f>
        <v>705600</v>
      </c>
      <c r="O804" s="6">
        <f>$E804+4</f>
        <v>115</v>
      </c>
      <c r="P804" s="7">
        <f>IF($J804=0,0,ROUND(MAX($J804*1.4*1.5*1.6,3500000*(1.57975^(MIN($E804,123)-117)))*1,0))</f>
        <v>1128960</v>
      </c>
      <c r="Q804" s="4">
        <f>$E804+6</f>
        <v>117</v>
      </c>
      <c r="R804" s="8">
        <f>IF($J804=0,0,ROUND(MAX($J804*1.4*1.5*1.6*1.6,13100000*(1.429962^(MIN($E804,123)-117)))*1,0))</f>
        <v>1806336</v>
      </c>
      <c r="S804" s="6">
        <f>$E804+8</f>
        <v>119</v>
      </c>
      <c r="T804" s="7">
        <f>IF($J804=0,0,ROUND(MAX($J804*1.4*1.5*1.6*1.6*2.2,42600000*(1.576904^(MIN($E804,123)-117)))*1,0))</f>
        <v>3973939</v>
      </c>
      <c r="U804" s="4">
        <f>$E804+11</f>
        <v>122</v>
      </c>
      <c r="V804" s="8">
        <f>IF($J804=0,0,ROUND(MAX($J804*1.4*1.5*1.6*1.6*2.2*2.715,354000000*(1.642074^(MIN($E804,123)-117)))*1,0))</f>
        <v>18057055</v>
      </c>
      <c r="W804" s="6">
        <f>$E804+15</f>
        <v>126</v>
      </c>
      <c r="X804" s="7">
        <f>IF($J804=0,0,ROUND(MAX($J804*1.4*1.5*1.6*1.6*2.2*2.715*2.6,3540000000*(1.579646^(MIN($E804,123)-117)))*1,0))</f>
        <v>227847690</v>
      </c>
      <c r="Y804" s="4">
        <f>$E804+17</f>
        <v>128</v>
      </c>
      <c r="Z804" s="8">
        <f>IF($J804=0,0,ROUND(MAX($J804*1.4*1.5*1.6*1.6*2.2*2.715*2.6*1.4,6020000000*(1.651178^(MIN($E804,123)-117)))*1,0))</f>
        <v>297052444</v>
      </c>
      <c r="AA804" s="6">
        <f>$E804+19</f>
        <v>130</v>
      </c>
      <c r="AB804" s="7">
        <f>IF($J804=0,0,ROUND(MAX($J804*1.4*1.5*1.6*1.6*2.2*2.715*2.6*1.4*1.4,8430000000*(1.651435^(MIN($E804,123)-117)))*1,0))</f>
        <v>415583854</v>
      </c>
      <c r="AC804" s="4">
        <f>$E804+21</f>
        <v>132</v>
      </c>
      <c r="AD804" s="8">
        <f>IF($J804=0,0,ROUND(MAX($J804*1.4*1.5*1.6*1.6*2.2*2.715*2.6*1.4*1.4*1.5,12600000000*(1.652953^(MIN($E804,123)-117)))*1,0))</f>
        <v>617742548</v>
      </c>
      <c r="AE804" s="6">
        <f>$E804+24</f>
        <v>135</v>
      </c>
      <c r="AF804" s="7">
        <f>IF($J804=0,0,ROUND(MAX($J804*1.4*1.5*1.6*1.6*2.2*2.715*2.6*1.4*1.4*1.5*1.5,18900000000*(1.65331^(MIN($E804,123)-117)))*1,0))</f>
        <v>925413965</v>
      </c>
      <c r="AG804" s="4">
        <f>$E804+27</f>
        <v>138</v>
      </c>
      <c r="AH804" s="8">
        <f>IF($J804=0,0,ROUND(MAX($J804*1.4*1.5*1.6*1.6*2.2*2.715*2.6*1.4*1.4*1.5*1.5*3.2,60500000000*(1.654288^(MIN($E804,123)-117)))*1,0))</f>
        <v>2951811756</v>
      </c>
    </row>
    <row r="805" ht="27.75" customHeight="1" spans="1:34" x14ac:dyDescent="0.25">
      <c r="A805" s="3">
        <v>815</v>
      </c>
      <c r="B805" s="3" t="s">
        <v>686</v>
      </c>
      <c r="C805" s="3" t="s">
        <v>670</v>
      </c>
      <c r="D805" s="3" t="s">
        <v>40</v>
      </c>
      <c r="E805" s="3">
        <v>111</v>
      </c>
      <c r="F805" s="3" t="s">
        <v>54</v>
      </c>
      <c r="G805" s="3" t="s">
        <v>396</v>
      </c>
      <c r="H805" s="3">
        <v>26</v>
      </c>
      <c r="I805" s="4">
        <v>111</v>
      </c>
      <c r="J805" s="5">
        <v>103000</v>
      </c>
      <c r="K805" s="6">
        <f>$E805+1</f>
        <v>112</v>
      </c>
      <c r="L805" s="7">
        <f>IF($J805=0,0,ROUND(MAX($J805*1.4,1620000*(1.497923^(MIN($E805,123)-117)))*1,0))</f>
        <v>144200</v>
      </c>
      <c r="M805" s="4">
        <f>$E805+2</f>
        <v>113</v>
      </c>
      <c r="N805" s="8">
        <f>IF($J805=0,0,ROUND(MAX($J805*1.4*1.5,2190000*(1.580994^(MIN($E805,123)-117)))*1,0))</f>
        <v>216300</v>
      </c>
      <c r="O805" s="6">
        <f>$E805+4</f>
        <v>115</v>
      </c>
      <c r="P805" s="7">
        <f>IF($J805=0,0,ROUND(MAX($J805*1.4*1.5*1.6,3500000*(1.57975^(MIN($E805,123)-117)))*1,0))</f>
        <v>346080</v>
      </c>
      <c r="Q805" s="4">
        <f>$E805+6</f>
        <v>117</v>
      </c>
      <c r="R805" s="8">
        <f>IF($J805=0,0,ROUND(MAX($J805*1.4*1.5*1.6*1.6,13100000*(1.429962^(MIN($E805,123)-117)))*1,0))</f>
        <v>1532231</v>
      </c>
      <c r="S805" s="6">
        <f>$E805+8</f>
        <v>119</v>
      </c>
      <c r="T805" s="7">
        <f>IF($J805=0,0,ROUND(MAX($J805*1.4*1.5*1.6*1.6*2.2,42600000*(1.576904^(MIN($E805,123)-117)))*1,0))</f>
        <v>2770627</v>
      </c>
      <c r="U805" s="4">
        <f>$E805+11</f>
        <v>122</v>
      </c>
      <c r="V805" s="8">
        <f>IF($J805=0,0,ROUND(MAX($J805*1.4*1.5*1.6*1.6*2.2*2.715,354000000*(1.642074^(MIN($E805,123)-117)))*1,0))</f>
        <v>18057055</v>
      </c>
      <c r="W805" s="6">
        <f>$E805+15</f>
        <v>126</v>
      </c>
      <c r="X805" s="7">
        <f>IF($J805=0,0,ROUND(MAX($J805*1.4*1.5*1.6*1.6*2.2*2.715*2.6,3540000000*(1.579646^(MIN($E805,123)-117)))*1,0))</f>
        <v>227847690</v>
      </c>
      <c r="Y805" s="4">
        <f>$E805+17</f>
        <v>128</v>
      </c>
      <c r="Z805" s="8">
        <f>IF($J805=0,0,ROUND(MAX($J805*1.4*1.5*1.6*1.6*2.2*2.715*2.6*1.4,6020000000*(1.651178^(MIN($E805,123)-117)))*1,0))</f>
        <v>297052444</v>
      </c>
      <c r="AA805" s="6">
        <f>$E805+19</f>
        <v>130</v>
      </c>
      <c r="AB805" s="7">
        <f>IF($J805=0,0,ROUND(MAX($J805*1.4*1.5*1.6*1.6*2.2*2.715*2.6*1.4*1.4,8430000000*(1.651435^(MIN($E805,123)-117)))*1,0))</f>
        <v>415583854</v>
      </c>
      <c r="AC805" s="4">
        <f>$E805+21</f>
        <v>132</v>
      </c>
      <c r="AD805" s="8">
        <f>IF($J805=0,0,ROUND(MAX($J805*1.4*1.5*1.6*1.6*2.2*2.715*2.6*1.4*1.4*1.5,12600000000*(1.652953^(MIN($E805,123)-117)))*1,0))</f>
        <v>617742548</v>
      </c>
      <c r="AE805" s="6">
        <f>$E805+24</f>
        <v>135</v>
      </c>
      <c r="AF805" s="7">
        <f>IF($J805=0,0,ROUND(MAX($J805*1.4*1.5*1.6*1.6*2.2*2.715*2.6*1.4*1.4*1.5*1.5,18900000000*(1.65331^(MIN($E805,123)-117)))*1,0))</f>
        <v>925413965</v>
      </c>
      <c r="AG805" s="4">
        <f>$E805+27</f>
        <v>138</v>
      </c>
      <c r="AH805" s="8">
        <f>IF($J805=0,0,ROUND(MAX($J805*1.4*1.5*1.6*1.6*2.2*2.715*2.6*1.4*1.4*1.5*1.5*3.2,60500000000*(1.654288^(MIN($E805,123)-117)))*1,0))</f>
        <v>2951811756</v>
      </c>
    </row>
    <row r="806" ht="27.75" customHeight="1" spans="1:34" x14ac:dyDescent="0.25">
      <c r="A806" s="3">
        <v>816</v>
      </c>
      <c r="B806" s="3" t="s">
        <v>687</v>
      </c>
      <c r="C806" s="3" t="s">
        <v>670</v>
      </c>
      <c r="D806" s="3" t="s">
        <v>25</v>
      </c>
      <c r="E806" s="3">
        <v>111</v>
      </c>
      <c r="F806" s="3" t="s">
        <v>194</v>
      </c>
      <c r="G806" s="3" t="s">
        <v>671</v>
      </c>
      <c r="H806" s="3">
        <v>26</v>
      </c>
      <c r="I806" s="4">
        <v>111</v>
      </c>
      <c r="J806" s="5">
        <v>516000</v>
      </c>
      <c r="K806" s="6">
        <f>$E806+1</f>
        <v>112</v>
      </c>
      <c r="L806" s="7">
        <f>IF($J806=0,0,ROUND(MAX($J806*1.4,1620000*(1.497923^(MIN($E806,123)-117)))*1,0))</f>
        <v>722400</v>
      </c>
      <c r="M806" s="4">
        <f>$E806+2</f>
        <v>113</v>
      </c>
      <c r="N806" s="8">
        <f>IF($J806=0,0,ROUND(MAX($J806*1.4*1.5,2190000*(1.580994^(MIN($E806,123)-117)))*1,0))</f>
        <v>1083600</v>
      </c>
      <c r="O806" s="6">
        <f>$E806+4</f>
        <v>115</v>
      </c>
      <c r="P806" s="7">
        <f>IF($J806=0,0,ROUND(MAX($J806*1.4*1.5*1.6,3500000*(1.57975^(MIN($E806,123)-117)))*1,0))</f>
        <v>1733760</v>
      </c>
      <c r="Q806" s="4">
        <f>$E806+6</f>
        <v>117</v>
      </c>
      <c r="R806" s="8">
        <f>IF($J806=0,0,ROUND(MAX($J806*1.4*1.5*1.6*1.6,13100000*(1.429962^(MIN($E806,123)-117)))*1,0))</f>
        <v>2774016</v>
      </c>
      <c r="S806" s="6">
        <f>$E806+8</f>
        <v>119</v>
      </c>
      <c r="T806" s="7">
        <f>IF($J806=0,0,ROUND(MAX($J806*1.4*1.5*1.6*1.6*2.2,42600000*(1.576904^(MIN($E806,123)-117)))*1,0))</f>
        <v>6102835</v>
      </c>
      <c r="U806" s="4">
        <f>$E806+11</f>
        <v>122</v>
      </c>
      <c r="V806" s="8">
        <f>IF($J806=0,0,ROUND(MAX($J806*1.4*1.5*1.6*1.6*2.2*2.715,354000000*(1.642074^(MIN($E806,123)-117)))*1,0))</f>
        <v>18057055</v>
      </c>
      <c r="W806" s="6">
        <f>$E806+15</f>
        <v>126</v>
      </c>
      <c r="X806" s="7">
        <f>IF($J806=0,0,ROUND(MAX($J806*1.4*1.5*1.6*1.6*2.2*2.715*2.6,3540000000*(1.579646^(MIN($E806,123)-117)))*1,0))</f>
        <v>227847690</v>
      </c>
      <c r="Y806" s="4">
        <f>$E806+17</f>
        <v>128</v>
      </c>
      <c r="Z806" s="8">
        <f>IF($J806=0,0,ROUND(MAX($J806*1.4*1.5*1.6*1.6*2.2*2.715*2.6*1.4,6020000000*(1.651178^(MIN($E806,123)-117)))*1,0))</f>
        <v>297052444</v>
      </c>
      <c r="AA806" s="6">
        <f>$E806+19</f>
        <v>130</v>
      </c>
      <c r="AB806" s="7">
        <f>IF($J806=0,0,ROUND(MAX($J806*1.4*1.5*1.6*1.6*2.2*2.715*2.6*1.4*1.4,8430000000*(1.651435^(MIN($E806,123)-117)))*1,0))</f>
        <v>415583854</v>
      </c>
      <c r="AC806" s="4">
        <f>$E806+21</f>
        <v>132</v>
      </c>
      <c r="AD806" s="8">
        <f>IF($J806=0,0,ROUND(MAX($J806*1.4*1.5*1.6*1.6*2.2*2.715*2.6*1.4*1.4*1.5,12600000000*(1.652953^(MIN($E806,123)-117)))*1,0))</f>
        <v>617742548</v>
      </c>
      <c r="AE806" s="6">
        <f>$E806+24</f>
        <v>135</v>
      </c>
      <c r="AF806" s="7">
        <f>IF($J806=0,0,ROUND(MAX($J806*1.4*1.5*1.6*1.6*2.2*2.715*2.6*1.4*1.4*1.5*1.5,18900000000*(1.65331^(MIN($E806,123)-117)))*1,0))</f>
        <v>925413965</v>
      </c>
      <c r="AG806" s="4">
        <f>$E806+27</f>
        <v>138</v>
      </c>
      <c r="AH806" s="8">
        <f>IF($J806=0,0,ROUND(MAX($J806*1.4*1.5*1.6*1.6*2.2*2.715*2.6*1.4*1.4*1.5*1.5*3.2,60500000000*(1.654288^(MIN($E806,123)-117)))*1,0))</f>
        <v>2951811756</v>
      </c>
    </row>
    <row r="807" ht="27.75" customHeight="1" spans="1:34" x14ac:dyDescent="0.25">
      <c r="A807" s="3">
        <v>817</v>
      </c>
      <c r="B807" s="3" t="s">
        <v>115</v>
      </c>
      <c r="C807" s="3" t="s">
        <v>670</v>
      </c>
      <c r="D807" s="3" t="s">
        <v>40</v>
      </c>
      <c r="E807" s="3">
        <v>111</v>
      </c>
      <c r="F807" s="3" t="s">
        <v>116</v>
      </c>
      <c r="G807" s="3" t="s">
        <v>671</v>
      </c>
      <c r="H807" s="3">
        <v>26</v>
      </c>
      <c r="I807" s="4">
        <v>111</v>
      </c>
      <c r="J807" s="5">
        <v>116000</v>
      </c>
      <c r="K807" s="6">
        <f>$E807+1</f>
        <v>112</v>
      </c>
      <c r="L807" s="7">
        <f>IF($J807=0,0,ROUND(MAX($J807*1.4,1620000*(1.497923^(MIN($E807,123)-117)))*1,0))</f>
        <v>162400</v>
      </c>
      <c r="M807" s="4">
        <f>$E807+2</f>
        <v>113</v>
      </c>
      <c r="N807" s="8">
        <f>IF($J807=0,0,ROUND(MAX($J807*1.4*1.5,2190000*(1.580994^(MIN($E807,123)-117)))*1,0))</f>
        <v>243600</v>
      </c>
      <c r="O807" s="6">
        <f>$E807+4</f>
        <v>115</v>
      </c>
      <c r="P807" s="7">
        <f>IF($J807=0,0,ROUND(MAX($J807*1.4*1.5*1.6,3500000*(1.57975^(MIN($E807,123)-117)))*1,0))</f>
        <v>389760</v>
      </c>
      <c r="Q807" s="4">
        <f>$E807+6</f>
        <v>117</v>
      </c>
      <c r="R807" s="8">
        <f>IF($J807=0,0,ROUND(MAX($J807*1.4*1.5*1.6*1.6,13100000*(1.429962^(MIN($E807,123)-117)))*1,0))</f>
        <v>1532231</v>
      </c>
      <c r="S807" s="6">
        <f>$E807+8</f>
        <v>119</v>
      </c>
      <c r="T807" s="7">
        <f>IF($J807=0,0,ROUND(MAX($J807*1.4*1.5*1.6*1.6*2.2,42600000*(1.576904^(MIN($E807,123)-117)))*1,0))</f>
        <v>2770627</v>
      </c>
      <c r="U807" s="4">
        <f>$E807+11</f>
        <v>122</v>
      </c>
      <c r="V807" s="8">
        <f>IF($J807=0,0,ROUND(MAX($J807*1.4*1.5*1.6*1.6*2.2*2.715,354000000*(1.642074^(MIN($E807,123)-117)))*1,0))</f>
        <v>18057055</v>
      </c>
      <c r="W807" s="6">
        <f>$E807+15</f>
        <v>126</v>
      </c>
      <c r="X807" s="7">
        <f>IF($J807=0,0,ROUND(MAX($J807*1.4*1.5*1.6*1.6*2.2*2.715*2.6,3540000000*(1.579646^(MIN($E807,123)-117)))*1,0))</f>
        <v>227847690</v>
      </c>
      <c r="Y807" s="4">
        <f>$E807+17</f>
        <v>128</v>
      </c>
      <c r="Z807" s="8">
        <f>IF($J807=0,0,ROUND(MAX($J807*1.4*1.5*1.6*1.6*2.2*2.715*2.6*1.4,6020000000*(1.651178^(MIN($E807,123)-117)))*1,0))</f>
        <v>297052444</v>
      </c>
      <c r="AA807" s="6">
        <f>$E807+19</f>
        <v>130</v>
      </c>
      <c r="AB807" s="7">
        <f>IF($J807=0,0,ROUND(MAX($J807*1.4*1.5*1.6*1.6*2.2*2.715*2.6*1.4*1.4,8430000000*(1.651435^(MIN($E807,123)-117)))*1,0))</f>
        <v>415583854</v>
      </c>
      <c r="AC807" s="4">
        <f>$E807+21</f>
        <v>132</v>
      </c>
      <c r="AD807" s="8">
        <f>IF($J807=0,0,ROUND(MAX($J807*1.4*1.5*1.6*1.6*2.2*2.715*2.6*1.4*1.4*1.5,12600000000*(1.652953^(MIN($E807,123)-117)))*1,0))</f>
        <v>617742548</v>
      </c>
      <c r="AE807" s="6">
        <f>$E807+24</f>
        <v>135</v>
      </c>
      <c r="AF807" s="7">
        <f>IF($J807=0,0,ROUND(MAX($J807*1.4*1.5*1.6*1.6*2.2*2.715*2.6*1.4*1.4*1.5*1.5,18900000000*(1.65331^(MIN($E807,123)-117)))*1,0))</f>
        <v>925413965</v>
      </c>
      <c r="AG807" s="4">
        <f>$E807+27</f>
        <v>138</v>
      </c>
      <c r="AH807" s="8">
        <f>IF($J807=0,0,ROUND(MAX($J807*1.4*1.5*1.6*1.6*2.2*2.715*2.6*1.4*1.4*1.5*1.5*3.2,60500000000*(1.654288^(MIN($E807,123)-117)))*1,0))</f>
        <v>2951811756</v>
      </c>
    </row>
    <row r="808" ht="27.75" customHeight="1" spans="1:34" x14ac:dyDescent="0.25">
      <c r="A808" s="3">
        <v>818</v>
      </c>
      <c r="B808" s="3" t="s">
        <v>92</v>
      </c>
      <c r="C808" s="3" t="s">
        <v>670</v>
      </c>
      <c r="D808" s="3" t="s">
        <v>93</v>
      </c>
      <c r="E808" s="3">
        <v>111</v>
      </c>
      <c r="F808" s="3" t="s">
        <v>56</v>
      </c>
      <c r="G808" s="3" t="s">
        <v>671</v>
      </c>
      <c r="H808" s="3">
        <v>26</v>
      </c>
      <c r="I808" s="4">
        <v>111</v>
      </c>
      <c r="J808" s="5">
        <v>392000</v>
      </c>
      <c r="K808" s="6">
        <f>$E808+1</f>
        <v>112</v>
      </c>
      <c r="L808" s="7">
        <f>IF($J808=0,0,ROUND(MAX($J808*1.4,1620000*(1.497923^(MIN($E808,123)-117)))*1,0))</f>
        <v>548800</v>
      </c>
      <c r="M808" s="4">
        <f>$E808+2</f>
        <v>113</v>
      </c>
      <c r="N808" s="8">
        <f>IF($J808=0,0,ROUND(MAX($J808*1.4*1.5,2190000*(1.580994^(MIN($E808,123)-117)))*1,0))</f>
        <v>823200</v>
      </c>
      <c r="O808" s="6">
        <f>$E808+4</f>
        <v>115</v>
      </c>
      <c r="P808" s="7">
        <f>IF($J808=0,0,ROUND(MAX($J808*1.4*1.5*1.6,3500000*(1.57975^(MIN($E808,123)-117)))*1,0))</f>
        <v>1317120</v>
      </c>
      <c r="Q808" s="4">
        <f>$E808+6</f>
        <v>117</v>
      </c>
      <c r="R808" s="8">
        <f>IF($J808=0,0,ROUND(MAX($J808*1.4*1.5*1.6*1.6,13100000*(1.429962^(MIN($E808,123)-117)))*1,0))</f>
        <v>2107392</v>
      </c>
      <c r="S808" s="6">
        <f>$E808+8</f>
        <v>119</v>
      </c>
      <c r="T808" s="7">
        <f>IF($J808=0,0,ROUND(MAX($J808*1.4*1.5*1.6*1.6*2.2,42600000*(1.576904^(MIN($E808,123)-117)))*1,0))</f>
        <v>4636262</v>
      </c>
      <c r="U808" s="4">
        <f>$E808+11</f>
        <v>122</v>
      </c>
      <c r="V808" s="8">
        <f>IF($J808=0,0,ROUND(MAX($J808*1.4*1.5*1.6*1.6*2.2*2.715,354000000*(1.642074^(MIN($E808,123)-117)))*1,0))</f>
        <v>18057055</v>
      </c>
      <c r="W808" s="6">
        <f>$E808+15</f>
        <v>126</v>
      </c>
      <c r="X808" s="7">
        <f>IF($J808=0,0,ROUND(MAX($J808*1.4*1.5*1.6*1.6*2.2*2.715*2.6,3540000000*(1.579646^(MIN($E808,123)-117)))*1,0))</f>
        <v>227847690</v>
      </c>
      <c r="Y808" s="4">
        <f>$E808+17</f>
        <v>128</v>
      </c>
      <c r="Z808" s="8">
        <f>IF($J808=0,0,ROUND(MAX($J808*1.4*1.5*1.6*1.6*2.2*2.715*2.6*1.4,6020000000*(1.651178^(MIN($E808,123)-117)))*1,0))</f>
        <v>297052444</v>
      </c>
      <c r="AA808" s="6">
        <f>$E808+19</f>
        <v>130</v>
      </c>
      <c r="AB808" s="7">
        <f>IF($J808=0,0,ROUND(MAX($J808*1.4*1.5*1.6*1.6*2.2*2.715*2.6*1.4*1.4,8430000000*(1.651435^(MIN($E808,123)-117)))*1,0))</f>
        <v>415583854</v>
      </c>
      <c r="AC808" s="4">
        <f>$E808+21</f>
        <v>132</v>
      </c>
      <c r="AD808" s="8">
        <f>IF($J808=0,0,ROUND(MAX($J808*1.4*1.5*1.6*1.6*2.2*2.715*2.6*1.4*1.4*1.5,12600000000*(1.652953^(MIN($E808,123)-117)))*1,0))</f>
        <v>617742548</v>
      </c>
      <c r="AE808" s="6">
        <f>$E808+24</f>
        <v>135</v>
      </c>
      <c r="AF808" s="7">
        <f>IF($J808=0,0,ROUND(MAX($J808*1.4*1.5*1.6*1.6*2.2*2.715*2.6*1.4*1.4*1.5*1.5,18900000000*(1.65331^(MIN($E808,123)-117)))*1,0))</f>
        <v>925413965</v>
      </c>
      <c r="AG808" s="4">
        <f>$E808+27</f>
        <v>138</v>
      </c>
      <c r="AH808" s="8">
        <f>IF($J808=0,0,ROUND(MAX($J808*1.4*1.5*1.6*1.6*2.2*2.715*2.6*1.4*1.4*1.5*1.5*3.2,60500000000*(1.654288^(MIN($E808,123)-117)))*1,0))</f>
        <v>2951811756</v>
      </c>
    </row>
    <row r="809" ht="27.75" customHeight="1" spans="1:34" x14ac:dyDescent="0.25">
      <c r="A809" s="3">
        <v>819</v>
      </c>
      <c r="B809" s="3" t="s">
        <v>688</v>
      </c>
      <c r="C809" s="3" t="s">
        <v>670</v>
      </c>
      <c r="D809" s="3" t="s">
        <v>90</v>
      </c>
      <c r="E809" s="3">
        <v>111</v>
      </c>
      <c r="F809" s="3" t="s">
        <v>54</v>
      </c>
      <c r="G809" s="3" t="s">
        <v>425</v>
      </c>
      <c r="H809" s="3">
        <v>25</v>
      </c>
      <c r="I809" s="4">
        <v>111</v>
      </c>
      <c r="J809" s="5">
        <v>432000</v>
      </c>
      <c r="K809" s="6">
        <f>$E809+1</f>
        <v>112</v>
      </c>
      <c r="L809" s="7">
        <f>IF($J809=0,0,ROUND(MAX($J809*1.4,1620000*(1.497923^(MIN($E809,123)-117)))*1,0))</f>
        <v>604800</v>
      </c>
      <c r="M809" s="4">
        <f>$E809+2</f>
        <v>113</v>
      </c>
      <c r="N809" s="8">
        <f>IF($J809=0,0,ROUND(MAX($J809*1.4*1.5,2190000*(1.580994^(MIN($E809,123)-117)))*1,0))</f>
        <v>907200</v>
      </c>
      <c r="O809" s="6">
        <f>$E809+4</f>
        <v>115</v>
      </c>
      <c r="P809" s="7">
        <f>IF($J809=0,0,ROUND(MAX($J809*1.4*1.5*1.6,3500000*(1.57975^(MIN($E809,123)-117)))*1,0))</f>
        <v>1451520</v>
      </c>
      <c r="Q809" s="4">
        <f>$E809+6</f>
        <v>117</v>
      </c>
      <c r="R809" s="8">
        <f>IF($J809=0,0,ROUND(MAX($J809*1.4*1.5*1.6*1.6,13100000*(1.429962^(MIN($E809,123)-117)))*1,0))</f>
        <v>2322432</v>
      </c>
      <c r="S809" s="6">
        <f>$E809+8</f>
        <v>119</v>
      </c>
      <c r="T809" s="7">
        <f>IF($J809=0,0,ROUND(MAX($J809*1.4*1.5*1.6*1.6*2.2,42600000*(1.576904^(MIN($E809,123)-117)))*1,0))</f>
        <v>5109350</v>
      </c>
      <c r="U809" s="4">
        <f>$E809+11</f>
        <v>122</v>
      </c>
      <c r="V809" s="8">
        <f>IF($J809=0,0,ROUND(MAX($J809*1.4*1.5*1.6*1.6*2.2*2.715,354000000*(1.642074^(MIN($E809,123)-117)))*1,0))</f>
        <v>18057055</v>
      </c>
      <c r="W809" s="6">
        <f>$E809+15</f>
        <v>126</v>
      </c>
      <c r="X809" s="7">
        <f>IF($J809=0,0,ROUND(MAX($J809*1.4*1.5*1.6*1.6*2.2*2.715*2.6,3540000000*(1.579646^(MIN($E809,123)-117)))*1,0))</f>
        <v>227847690</v>
      </c>
      <c r="Y809" s="4">
        <f>$E809+17</f>
        <v>128</v>
      </c>
      <c r="Z809" s="8">
        <f>IF($J809=0,0,ROUND(MAX($J809*1.4*1.5*1.6*1.6*2.2*2.715*2.6*1.4,6020000000*(1.651178^(MIN($E809,123)-117)))*1,0))</f>
        <v>297052444</v>
      </c>
      <c r="AA809" s="6">
        <f>$E809+19</f>
        <v>130</v>
      </c>
      <c r="AB809" s="7">
        <f>IF($J809=0,0,ROUND(MAX($J809*1.4*1.5*1.6*1.6*2.2*2.715*2.6*1.4*1.4,8430000000*(1.651435^(MIN($E809,123)-117)))*1,0))</f>
        <v>415583854</v>
      </c>
      <c r="AC809" s="4">
        <f>$E809+21</f>
        <v>132</v>
      </c>
      <c r="AD809" s="8">
        <f>IF($J809=0,0,ROUND(MAX($J809*1.4*1.5*1.6*1.6*2.2*2.715*2.6*1.4*1.4*1.5,12600000000*(1.652953^(MIN($E809,123)-117)))*1,0))</f>
        <v>617742548</v>
      </c>
      <c r="AE809" s="6">
        <f>$E809+24</f>
        <v>135</v>
      </c>
      <c r="AF809" s="7">
        <f>IF($J809=0,0,ROUND(MAX($J809*1.4*1.5*1.6*1.6*2.2*2.715*2.6*1.4*1.4*1.5*1.5,18900000000*(1.65331^(MIN($E809,123)-117)))*1,0))</f>
        <v>925413965</v>
      </c>
      <c r="AG809" s="4">
        <f>$E809+27</f>
        <v>138</v>
      </c>
      <c r="AH809" s="8">
        <f>IF($J809=0,0,ROUND(MAX($J809*1.4*1.5*1.6*1.6*2.2*2.715*2.6*1.4*1.4*1.5*1.5*3.2,60500000000*(1.654288^(MIN($E809,123)-117)))*1,0))</f>
        <v>2951811756</v>
      </c>
    </row>
    <row r="810" ht="27.75" customHeight="1" spans="1:34" x14ac:dyDescent="0.25">
      <c r="A810" s="3">
        <v>820</v>
      </c>
      <c r="B810" s="3" t="s">
        <v>689</v>
      </c>
      <c r="C810" s="3" t="s">
        <v>670</v>
      </c>
      <c r="D810" s="3" t="s">
        <v>90</v>
      </c>
      <c r="E810" s="3">
        <v>111</v>
      </c>
      <c r="F810" s="3" t="s">
        <v>62</v>
      </c>
      <c r="G810" s="3" t="s">
        <v>671</v>
      </c>
      <c r="H810" s="3">
        <v>25</v>
      </c>
      <c r="I810" s="4">
        <v>111</v>
      </c>
      <c r="J810" s="5">
        <v>51600</v>
      </c>
      <c r="K810" s="6">
        <f>$E810+1</f>
        <v>112</v>
      </c>
      <c r="L810" s="7">
        <f>IF($J810=0,0,ROUND(MAX($J810*1.4,1620000*(1.497923^(MIN($E810,123)-117)))*1,0))</f>
        <v>143410</v>
      </c>
      <c r="M810" s="4">
        <f>$E810+2</f>
        <v>113</v>
      </c>
      <c r="N810" s="8">
        <f>IF($J810=0,0,ROUND(MAX($J810*1.4*1.5,2190000*(1.580994^(MIN($E810,123)-117)))*1,0))</f>
        <v>140237</v>
      </c>
      <c r="O810" s="6">
        <f>$E810+4</f>
        <v>115</v>
      </c>
      <c r="P810" s="7">
        <f>IF($J810=0,0,ROUND(MAX($J810*1.4*1.5*1.6,3500000*(1.57975^(MIN($E810,123)-117)))*1,0))</f>
        <v>225184</v>
      </c>
      <c r="Q810" s="4">
        <f>$E810+6</f>
        <v>117</v>
      </c>
      <c r="R810" s="8">
        <f>IF($J810=0,0,ROUND(MAX($J810*1.4*1.5*1.6*1.6,13100000*(1.429962^(MIN($E810,123)-117)))*1,0))</f>
        <v>1532231</v>
      </c>
      <c r="S810" s="6">
        <f>$E810+8</f>
        <v>119</v>
      </c>
      <c r="T810" s="7">
        <f>IF($J810=0,0,ROUND(MAX($J810*1.4*1.5*1.6*1.6*2.2,42600000*(1.576904^(MIN($E810,123)-117)))*1,0))</f>
        <v>2770627</v>
      </c>
      <c r="U810" s="4">
        <f>$E810+11</f>
        <v>122</v>
      </c>
      <c r="V810" s="8">
        <f>IF($J810=0,0,ROUND(MAX($J810*1.4*1.5*1.6*1.6*2.2*2.715,354000000*(1.642074^(MIN($E810,123)-117)))*1,0))</f>
        <v>18057055</v>
      </c>
      <c r="W810" s="6">
        <f>$E810+15</f>
        <v>126</v>
      </c>
      <c r="X810" s="7">
        <f>IF($J810=0,0,ROUND(MAX($J810*1.4*1.5*1.6*1.6*2.2*2.715*2.6,3540000000*(1.579646^(MIN($E810,123)-117)))*1,0))</f>
        <v>227847690</v>
      </c>
      <c r="Y810" s="4">
        <f>$E810+17</f>
        <v>128</v>
      </c>
      <c r="Z810" s="8">
        <f>IF($J810=0,0,ROUND(MAX($J810*1.4*1.5*1.6*1.6*2.2*2.715*2.6*1.4,6020000000*(1.651178^(MIN($E810,123)-117)))*1,0))</f>
        <v>297052444</v>
      </c>
      <c r="AA810" s="6">
        <f>$E810+19</f>
        <v>130</v>
      </c>
      <c r="AB810" s="7">
        <f>IF($J810=0,0,ROUND(MAX($J810*1.4*1.5*1.6*1.6*2.2*2.715*2.6*1.4*1.4,8430000000*(1.651435^(MIN($E810,123)-117)))*1,0))</f>
        <v>415583854</v>
      </c>
      <c r="AC810" s="4">
        <f>$E810+21</f>
        <v>132</v>
      </c>
      <c r="AD810" s="8">
        <f>IF($J810=0,0,ROUND(MAX($J810*1.4*1.5*1.6*1.6*2.2*2.715*2.6*1.4*1.4*1.5,12600000000*(1.652953^(MIN($E810,123)-117)))*1,0))</f>
        <v>617742548</v>
      </c>
      <c r="AE810" s="6">
        <f>$E810+24</f>
        <v>135</v>
      </c>
      <c r="AF810" s="7">
        <f>IF($J810=0,0,ROUND(MAX($J810*1.4*1.5*1.6*1.6*2.2*2.715*2.6*1.4*1.4*1.5*1.5,18900000000*(1.65331^(MIN($E810,123)-117)))*1,0))</f>
        <v>925413965</v>
      </c>
      <c r="AG810" s="4">
        <f>$E810+27</f>
        <v>138</v>
      </c>
      <c r="AH810" s="8">
        <f>IF($J810=0,0,ROUND(MAX($J810*1.4*1.5*1.6*1.6*2.2*2.715*2.6*1.4*1.4*1.5*1.5*3.2,60500000000*(1.654288^(MIN($E810,123)-117)))*1,0))</f>
        <v>2951811756</v>
      </c>
    </row>
    <row r="811" ht="27.75" customHeight="1" spans="1:34" x14ac:dyDescent="0.25">
      <c r="A811" s="3">
        <v>821</v>
      </c>
      <c r="B811" s="3" t="s">
        <v>96</v>
      </c>
      <c r="C811" s="3" t="s">
        <v>670</v>
      </c>
      <c r="D811" s="3" t="s">
        <v>40</v>
      </c>
      <c r="E811" s="3">
        <v>110</v>
      </c>
      <c r="F811" s="3" t="s">
        <v>97</v>
      </c>
      <c r="G811" s="3" t="s">
        <v>671</v>
      </c>
      <c r="H811" s="3">
        <v>27</v>
      </c>
      <c r="I811" s="4">
        <v>110</v>
      </c>
      <c r="J811" s="5">
        <v>69400</v>
      </c>
      <c r="K811" s="6">
        <f>$E811+1</f>
        <v>111</v>
      </c>
      <c r="L811" s="7">
        <f>IF($J811=0,0,ROUND(MAX($J811*1.4,1620000*(1.497923^(MIN($E811,123)-117)))*1,0))</f>
        <v>97160</v>
      </c>
      <c r="M811" s="4">
        <f>$E811+2</f>
        <v>112</v>
      </c>
      <c r="N811" s="8">
        <f>IF($J811=0,0,ROUND(MAX($J811*1.4*1.5,2190000*(1.580994^(MIN($E811,123)-117)))*1,0))</f>
        <v>145740</v>
      </c>
      <c r="O811" s="6">
        <f>$E811+4</f>
        <v>114</v>
      </c>
      <c r="P811" s="7">
        <f>IF($J811=0,0,ROUND(MAX($J811*1.4*1.5*1.6,3500000*(1.57975^(MIN($E811,123)-117)))*1,0))</f>
        <v>233184</v>
      </c>
      <c r="Q811" s="4">
        <f>$E811+6</f>
        <v>116</v>
      </c>
      <c r="R811" s="8">
        <f>IF($J811=0,0,ROUND(MAX($J811*1.4*1.5*1.6*1.6,13100000*(1.429962^(MIN($E811,123)-117)))*1,0))</f>
        <v>1071519</v>
      </c>
      <c r="S811" s="6">
        <f>$E811+8</f>
        <v>118</v>
      </c>
      <c r="T811" s="7">
        <f>IF($J811=0,0,ROUND(MAX($J811*1.4*1.5*1.6*1.6*2.2,42600000*(1.576904^(MIN($E811,123)-117)))*1,0))</f>
        <v>1757004</v>
      </c>
      <c r="U811" s="4">
        <f>$E811+11</f>
        <v>121</v>
      </c>
      <c r="V811" s="8">
        <f>IF($J811=0,0,ROUND(MAX($J811*1.4*1.5*1.6*1.6*2.2*2.715,354000000*(1.642074^(MIN($E811,123)-117)))*1,0))</f>
        <v>10996493</v>
      </c>
      <c r="W811" s="6">
        <f>$E811+15</f>
        <v>125</v>
      </c>
      <c r="X811" s="7">
        <f>IF($J811=0,0,ROUND(MAX($J811*1.4*1.5*1.6*1.6*2.2*2.715*2.6,3540000000*(1.579646^(MIN($E811,123)-117)))*1,0))</f>
        <v>144239716</v>
      </c>
      <c r="Y811" s="4">
        <f>$E811+17</f>
        <v>127</v>
      </c>
      <c r="Z811" s="8">
        <f>IF($J811=0,0,ROUND(MAX($J811*1.4*1.5*1.6*1.6*2.2*2.715*2.6*1.4,6020000000*(1.651178^(MIN($E811,123)-117)))*1,0))</f>
        <v>179903344</v>
      </c>
      <c r="AA811" s="6">
        <f>$E811+19</f>
        <v>129</v>
      </c>
      <c r="AB811" s="7">
        <f>IF($J811=0,0,ROUND(MAX($J811*1.4*1.5*1.6*1.6*2.2*2.715*2.6*1.4*1.4,8430000000*(1.651435^(MIN($E811,123)-117)))*1,0))</f>
        <v>251650143</v>
      </c>
      <c r="AC811" s="4">
        <f>$E811+21</f>
        <v>131</v>
      </c>
      <c r="AD811" s="8">
        <f>IF($J811=0,0,ROUND(MAX($J811*1.4*1.5*1.6*1.6*2.2*2.715*2.6*1.4*1.4*1.5,12600000000*(1.652953^(MIN($E811,123)-117)))*1,0))</f>
        <v>373720576</v>
      </c>
      <c r="AE811" s="6">
        <f>$E811+24</f>
        <v>134</v>
      </c>
      <c r="AF811" s="7">
        <f>IF($J811=0,0,ROUND(MAX($J811*1.4*1.5*1.6*1.6*2.2*2.715*2.6*1.4*1.4*1.5*1.5,18900000000*(1.65331^(MIN($E811,123)-117)))*1,0))</f>
        <v>559734088</v>
      </c>
      <c r="AG811" s="4">
        <f>$E811+27</f>
        <v>137</v>
      </c>
      <c r="AH811" s="8">
        <f>IF($J811=0,0,ROUND(MAX($J811*1.4*1.5*1.6*1.6*2.2*2.715*2.6*1.4*1.4*1.5*1.5*3.2,60500000000*(1.654288^(MIN($E811,123)-117)))*1,0))</f>
        <v>1784339701</v>
      </c>
    </row>
    <row r="812" ht="27.75" customHeight="1" spans="1:34" x14ac:dyDescent="0.25">
      <c r="A812" s="3">
        <v>822</v>
      </c>
      <c r="B812" s="3" t="s">
        <v>153</v>
      </c>
      <c r="C812" s="3" t="s">
        <v>670</v>
      </c>
      <c r="D812" s="3" t="s">
        <v>45</v>
      </c>
      <c r="E812" s="3">
        <v>110</v>
      </c>
      <c r="F812" s="3" t="s">
        <v>56</v>
      </c>
      <c r="G812" s="3" t="s">
        <v>671</v>
      </c>
      <c r="H812" s="3">
        <v>27</v>
      </c>
      <c r="I812" s="4">
        <v>110</v>
      </c>
      <c r="J812" s="5">
        <v>83200</v>
      </c>
      <c r="K812" s="6">
        <f>$E812+1</f>
        <v>111</v>
      </c>
      <c r="L812" s="7">
        <f>IF($J812=0,0,ROUND(MAX($J812*1.4,1620000*(1.497923^(MIN($E812,123)-117)))*1,0))</f>
        <v>116480</v>
      </c>
      <c r="M812" s="4">
        <f>$E812+2</f>
        <v>112</v>
      </c>
      <c r="N812" s="8">
        <f>IF($J812=0,0,ROUND(MAX($J812*1.4*1.5,2190000*(1.580994^(MIN($E812,123)-117)))*1,0))</f>
        <v>174720</v>
      </c>
      <c r="O812" s="6">
        <f>$E812+4</f>
        <v>114</v>
      </c>
      <c r="P812" s="7">
        <f>IF($J812=0,0,ROUND(MAX($J812*1.4*1.5*1.6,3500000*(1.57975^(MIN($E812,123)-117)))*1,0))</f>
        <v>279552</v>
      </c>
      <c r="Q812" s="4">
        <f>$E812+6</f>
        <v>116</v>
      </c>
      <c r="R812" s="8">
        <f>IF($J812=0,0,ROUND(MAX($J812*1.4*1.5*1.6*1.6,13100000*(1.429962^(MIN($E812,123)-117)))*1,0))</f>
        <v>1071519</v>
      </c>
      <c r="S812" s="6">
        <f>$E812+8</f>
        <v>118</v>
      </c>
      <c r="T812" s="7">
        <f>IF($J812=0,0,ROUND(MAX($J812*1.4*1.5*1.6*1.6*2.2,42600000*(1.576904^(MIN($E812,123)-117)))*1,0))</f>
        <v>1757004</v>
      </c>
      <c r="U812" s="4">
        <f>$E812+11</f>
        <v>121</v>
      </c>
      <c r="V812" s="8">
        <f>IF($J812=0,0,ROUND(MAX($J812*1.4*1.5*1.6*1.6*2.2*2.715,354000000*(1.642074^(MIN($E812,123)-117)))*1,0))</f>
        <v>10996493</v>
      </c>
      <c r="W812" s="6">
        <f>$E812+15</f>
        <v>125</v>
      </c>
      <c r="X812" s="7">
        <f>IF($J812=0,0,ROUND(MAX($J812*1.4*1.5*1.6*1.6*2.2*2.715*2.6,3540000000*(1.579646^(MIN($E812,123)-117)))*1,0))</f>
        <v>144239716</v>
      </c>
      <c r="Y812" s="4">
        <f>$E812+17</f>
        <v>127</v>
      </c>
      <c r="Z812" s="8">
        <f>IF($J812=0,0,ROUND(MAX($J812*1.4*1.5*1.6*1.6*2.2*2.715*2.6*1.4,6020000000*(1.651178^(MIN($E812,123)-117)))*1,0))</f>
        <v>179903344</v>
      </c>
      <c r="AA812" s="6">
        <f>$E812+19</f>
        <v>129</v>
      </c>
      <c r="AB812" s="7">
        <f>IF($J812=0,0,ROUND(MAX($J812*1.4*1.5*1.6*1.6*2.2*2.715*2.6*1.4*1.4,8430000000*(1.651435^(MIN($E812,123)-117)))*1,0))</f>
        <v>251650143</v>
      </c>
      <c r="AC812" s="4">
        <f>$E812+21</f>
        <v>131</v>
      </c>
      <c r="AD812" s="8">
        <f>IF($J812=0,0,ROUND(MAX($J812*1.4*1.5*1.6*1.6*2.2*2.715*2.6*1.4*1.4*1.5,12600000000*(1.652953^(MIN($E812,123)-117)))*1,0))</f>
        <v>373720576</v>
      </c>
      <c r="AE812" s="6">
        <f>$E812+24</f>
        <v>134</v>
      </c>
      <c r="AF812" s="7">
        <f>IF($J812=0,0,ROUND(MAX($J812*1.4*1.5*1.6*1.6*2.2*2.715*2.6*1.4*1.4*1.5*1.5,18900000000*(1.65331^(MIN($E812,123)-117)))*1,0))</f>
        <v>559734088</v>
      </c>
      <c r="AG812" s="4">
        <f>$E812+27</f>
        <v>137</v>
      </c>
      <c r="AH812" s="8">
        <f>IF($J812=0,0,ROUND(MAX($J812*1.4*1.5*1.6*1.6*2.2*2.715*2.6*1.4*1.4*1.5*1.5*3.2,60500000000*(1.654288^(MIN($E812,123)-117)))*1,0))</f>
        <v>1784339701</v>
      </c>
    </row>
    <row r="813" ht="27.75" customHeight="1" spans="1:34" x14ac:dyDescent="0.25">
      <c r="A813" s="3">
        <v>823</v>
      </c>
      <c r="B813" s="3" t="s">
        <v>690</v>
      </c>
      <c r="C813" s="3" t="s">
        <v>670</v>
      </c>
      <c r="D813" s="3" t="s">
        <v>45</v>
      </c>
      <c r="E813" s="3">
        <v>110</v>
      </c>
      <c r="F813" s="3" t="s">
        <v>54</v>
      </c>
      <c r="G813" s="3" t="s">
        <v>67</v>
      </c>
      <c r="H813" s="3">
        <v>26</v>
      </c>
      <c r="I813" s="4">
        <v>110</v>
      </c>
      <c r="J813" s="5">
        <v>319000</v>
      </c>
      <c r="K813" s="6">
        <f>$E813+1</f>
        <v>111</v>
      </c>
      <c r="L813" s="7">
        <f>IF($J813=0,0,ROUND(MAX($J813*1.4,1620000*(1.497923^(MIN($E813,123)-117)))*1,0))</f>
        <v>446600</v>
      </c>
      <c r="M813" s="4">
        <f>$E813+2</f>
        <v>112</v>
      </c>
      <c r="N813" s="8">
        <f>IF($J813=0,0,ROUND(MAX($J813*1.4*1.5,2190000*(1.580994^(MIN($E813,123)-117)))*1,0))</f>
        <v>669900</v>
      </c>
      <c r="O813" s="6">
        <f>$E813+4</f>
        <v>114</v>
      </c>
      <c r="P813" s="7">
        <f>IF($J813=0,0,ROUND(MAX($J813*1.4*1.5*1.6,3500000*(1.57975^(MIN($E813,123)-117)))*1,0))</f>
        <v>1071840</v>
      </c>
      <c r="Q813" s="4">
        <f>$E813+6</f>
        <v>116</v>
      </c>
      <c r="R813" s="8">
        <f>IF($J813=0,0,ROUND(MAX($J813*1.4*1.5*1.6*1.6,13100000*(1.429962^(MIN($E813,123)-117)))*1,0))</f>
        <v>1714944</v>
      </c>
      <c r="S813" s="6">
        <f>$E813+8</f>
        <v>118</v>
      </c>
      <c r="T813" s="7">
        <f>IF($J813=0,0,ROUND(MAX($J813*1.4*1.5*1.6*1.6*2.2,42600000*(1.576904^(MIN($E813,123)-117)))*1,0))</f>
        <v>3772877</v>
      </c>
      <c r="U813" s="4">
        <f>$E813+11</f>
        <v>121</v>
      </c>
      <c r="V813" s="8">
        <f>IF($J813=0,0,ROUND(MAX($J813*1.4*1.5*1.6*1.6*2.2*2.715,354000000*(1.642074^(MIN($E813,123)-117)))*1,0))</f>
        <v>10996493</v>
      </c>
      <c r="W813" s="6">
        <f>$E813+15</f>
        <v>125</v>
      </c>
      <c r="X813" s="7">
        <f>IF($J813=0,0,ROUND(MAX($J813*1.4*1.5*1.6*1.6*2.2*2.715*2.6,3540000000*(1.579646^(MIN($E813,123)-117)))*1,0))</f>
        <v>144239716</v>
      </c>
      <c r="Y813" s="4">
        <f>$E813+17</f>
        <v>127</v>
      </c>
      <c r="Z813" s="8">
        <f>IF($J813=0,0,ROUND(MAX($J813*1.4*1.5*1.6*1.6*2.2*2.715*2.6*1.4,6020000000*(1.651178^(MIN($E813,123)-117)))*1,0))</f>
        <v>179903344</v>
      </c>
      <c r="AA813" s="6">
        <f>$E813+19</f>
        <v>129</v>
      </c>
      <c r="AB813" s="7">
        <f>IF($J813=0,0,ROUND(MAX($J813*1.4*1.5*1.6*1.6*2.2*2.715*2.6*1.4*1.4,8430000000*(1.651435^(MIN($E813,123)-117)))*1,0))</f>
        <v>251650143</v>
      </c>
      <c r="AC813" s="4">
        <f>$E813+21</f>
        <v>131</v>
      </c>
      <c r="AD813" s="8">
        <f>IF($J813=0,0,ROUND(MAX($J813*1.4*1.5*1.6*1.6*2.2*2.715*2.6*1.4*1.4*1.5,12600000000*(1.652953^(MIN($E813,123)-117)))*1,0))</f>
        <v>373720576</v>
      </c>
      <c r="AE813" s="6">
        <f>$E813+24</f>
        <v>134</v>
      </c>
      <c r="AF813" s="7">
        <f>IF($J813=0,0,ROUND(MAX($J813*1.4*1.5*1.6*1.6*2.2*2.715*2.6*1.4*1.4*1.5*1.5,18900000000*(1.65331^(MIN($E813,123)-117)))*1,0))</f>
        <v>559734088</v>
      </c>
      <c r="AG813" s="4">
        <f>$E813+27</f>
        <v>137</v>
      </c>
      <c r="AH813" s="8">
        <f>IF($J813=0,0,ROUND(MAX($J813*1.4*1.5*1.6*1.6*2.2*2.715*2.6*1.4*1.4*1.5*1.5*3.2,60500000000*(1.654288^(MIN($E813,123)-117)))*1,0))</f>
        <v>1784339701</v>
      </c>
    </row>
    <row r="814" ht="27.75" customHeight="1" spans="1:34" x14ac:dyDescent="0.25">
      <c r="A814" s="3">
        <v>824</v>
      </c>
      <c r="B814" s="3" t="s">
        <v>691</v>
      </c>
      <c r="C814" s="3" t="s">
        <v>670</v>
      </c>
      <c r="D814" s="3" t="s">
        <v>25</v>
      </c>
      <c r="E814" s="3">
        <v>110</v>
      </c>
      <c r="F814" s="3" t="s">
        <v>34</v>
      </c>
      <c r="G814" s="3" t="s">
        <v>95</v>
      </c>
      <c r="H814" s="3">
        <v>26</v>
      </c>
      <c r="I814" s="4">
        <v>110</v>
      </c>
      <c r="J814" s="5">
        <v>462000</v>
      </c>
      <c r="K814" s="6">
        <f>$E814+1</f>
        <v>111</v>
      </c>
      <c r="L814" s="7">
        <f>IF($J814=0,0,ROUND(MAX($J814*1.4,1620000*(1.497923^(MIN($E814,123)-117)))*1,0))</f>
        <v>646800</v>
      </c>
      <c r="M814" s="4">
        <f>$E814+2</f>
        <v>112</v>
      </c>
      <c r="N814" s="8">
        <f>IF($J814=0,0,ROUND(MAX($J814*1.4*1.5,2190000*(1.580994^(MIN($E814,123)-117)))*1,0))</f>
        <v>970200</v>
      </c>
      <c r="O814" s="6">
        <f>$E814+4</f>
        <v>114</v>
      </c>
      <c r="P814" s="7">
        <f>IF($J814=0,0,ROUND(MAX($J814*1.4*1.5*1.6,3500000*(1.57975^(MIN($E814,123)-117)))*1,0))</f>
        <v>1552320</v>
      </c>
      <c r="Q814" s="4">
        <f>$E814+6</f>
        <v>116</v>
      </c>
      <c r="R814" s="8">
        <f>IF($J814=0,0,ROUND(MAX($J814*1.4*1.5*1.6*1.6,13100000*(1.429962^(MIN($E814,123)-117)))*1,0))</f>
        <v>2483712</v>
      </c>
      <c r="S814" s="6">
        <f>$E814+8</f>
        <v>118</v>
      </c>
      <c r="T814" s="7">
        <f>IF($J814=0,0,ROUND(MAX($J814*1.4*1.5*1.6*1.6*2.2,42600000*(1.576904^(MIN($E814,123)-117)))*1,0))</f>
        <v>5464166</v>
      </c>
      <c r="U814" s="4">
        <f>$E814+11</f>
        <v>121</v>
      </c>
      <c r="V814" s="8">
        <f>IF($J814=0,0,ROUND(MAX($J814*1.4*1.5*1.6*1.6*2.2*2.715,354000000*(1.642074^(MIN($E814,123)-117)))*1,0))</f>
        <v>14835212</v>
      </c>
      <c r="W814" s="6">
        <f>$E814+15</f>
        <v>125</v>
      </c>
      <c r="X814" s="7">
        <f>IF($J814=0,0,ROUND(MAX($J814*1.4*1.5*1.6*1.6*2.2*2.715*2.6,3540000000*(1.579646^(MIN($E814,123)-117)))*1,0))</f>
        <v>144239716</v>
      </c>
      <c r="Y814" s="4">
        <f>$E814+17</f>
        <v>127</v>
      </c>
      <c r="Z814" s="8">
        <f>IF($J814=0,0,ROUND(MAX($J814*1.4*1.5*1.6*1.6*2.2*2.715*2.6*1.4,6020000000*(1.651178^(MIN($E814,123)-117)))*1,0))</f>
        <v>179903344</v>
      </c>
      <c r="AA814" s="6">
        <f>$E814+19</f>
        <v>129</v>
      </c>
      <c r="AB814" s="7">
        <f>IF($J814=0,0,ROUND(MAX($J814*1.4*1.5*1.6*1.6*2.2*2.715*2.6*1.4*1.4,8430000000*(1.651435^(MIN($E814,123)-117)))*1,0))</f>
        <v>251650143</v>
      </c>
      <c r="AC814" s="4">
        <f>$E814+21</f>
        <v>131</v>
      </c>
      <c r="AD814" s="8">
        <f>IF($J814=0,0,ROUND(MAX($J814*1.4*1.5*1.6*1.6*2.2*2.715*2.6*1.4*1.4*1.5,12600000000*(1.652953^(MIN($E814,123)-117)))*1,0))</f>
        <v>373720576</v>
      </c>
      <c r="AE814" s="6">
        <f>$E814+24</f>
        <v>134</v>
      </c>
      <c r="AF814" s="7">
        <f>IF($J814=0,0,ROUND(MAX($J814*1.4*1.5*1.6*1.6*2.2*2.715*2.6*1.4*1.4*1.5*1.5,18900000000*(1.65331^(MIN($E814,123)-117)))*1,0))</f>
        <v>559734088</v>
      </c>
      <c r="AG814" s="4">
        <f>$E814+27</f>
        <v>137</v>
      </c>
      <c r="AH814" s="8">
        <f>IF($J814=0,0,ROUND(MAX($J814*1.4*1.5*1.6*1.6*2.2*2.715*2.6*1.4*1.4*1.5*1.5*3.2,60500000000*(1.654288^(MIN($E814,123)-117)))*1,0))</f>
        <v>1784339701</v>
      </c>
    </row>
    <row r="815" ht="27.75" customHeight="1" spans="1:34" x14ac:dyDescent="0.25">
      <c r="A815" s="3">
        <v>825</v>
      </c>
      <c r="B815" s="3" t="s">
        <v>692</v>
      </c>
      <c r="C815" s="3" t="s">
        <v>670</v>
      </c>
      <c r="D815" s="3" t="s">
        <v>29</v>
      </c>
      <c r="E815" s="3">
        <v>110</v>
      </c>
      <c r="F815" s="3" t="s">
        <v>30</v>
      </c>
      <c r="G815" s="3" t="s">
        <v>671</v>
      </c>
      <c r="H815" s="3">
        <v>26</v>
      </c>
      <c r="I815" s="4">
        <v>110</v>
      </c>
      <c r="J815" s="5">
        <v>58900</v>
      </c>
      <c r="K815" s="6">
        <f>$E815+1</f>
        <v>111</v>
      </c>
      <c r="L815" s="7">
        <f>IF($J815=0,0,ROUND(MAX($J815*1.4,1620000*(1.497923^(MIN($E815,123)-117)))*1,0))</f>
        <v>95739</v>
      </c>
      <c r="M815" s="4">
        <f>$E815+2</f>
        <v>112</v>
      </c>
      <c r="N815" s="8">
        <f>IF($J815=0,0,ROUND(MAX($J815*1.4*1.5,2190000*(1.580994^(MIN($E815,123)-117)))*1,0))</f>
        <v>123690</v>
      </c>
      <c r="O815" s="6">
        <f>$E815+4</f>
        <v>114</v>
      </c>
      <c r="P815" s="7">
        <f>IF($J815=0,0,ROUND(MAX($J815*1.4*1.5*1.6,3500000*(1.57975^(MIN($E815,123)-117)))*1,0))</f>
        <v>197904</v>
      </c>
      <c r="Q815" s="4">
        <f>$E815+6</f>
        <v>116</v>
      </c>
      <c r="R815" s="8">
        <f>IF($J815=0,0,ROUND(MAX($J815*1.4*1.5*1.6*1.6,13100000*(1.429962^(MIN($E815,123)-117)))*1,0))</f>
        <v>1071519</v>
      </c>
      <c r="S815" s="6">
        <f>$E815+8</f>
        <v>118</v>
      </c>
      <c r="T815" s="7">
        <f>IF($J815=0,0,ROUND(MAX($J815*1.4*1.5*1.6*1.6*2.2,42600000*(1.576904^(MIN($E815,123)-117)))*1,0))</f>
        <v>1757004</v>
      </c>
      <c r="U815" s="4">
        <f>$E815+11</f>
        <v>121</v>
      </c>
      <c r="V815" s="8">
        <f>IF($J815=0,0,ROUND(MAX($J815*1.4*1.5*1.6*1.6*2.2*2.715,354000000*(1.642074^(MIN($E815,123)-117)))*1,0))</f>
        <v>10996493</v>
      </c>
      <c r="W815" s="6">
        <f>$E815+15</f>
        <v>125</v>
      </c>
      <c r="X815" s="7">
        <f>IF($J815=0,0,ROUND(MAX($J815*1.4*1.5*1.6*1.6*2.2*2.715*2.6,3540000000*(1.579646^(MIN($E815,123)-117)))*1,0))</f>
        <v>144239716</v>
      </c>
      <c r="Y815" s="4">
        <f>$E815+17</f>
        <v>127</v>
      </c>
      <c r="Z815" s="8">
        <f>IF($J815=0,0,ROUND(MAX($J815*1.4*1.5*1.6*1.6*2.2*2.715*2.6*1.4,6020000000*(1.651178^(MIN($E815,123)-117)))*1,0))</f>
        <v>179903344</v>
      </c>
      <c r="AA815" s="6">
        <f>$E815+19</f>
        <v>129</v>
      </c>
      <c r="AB815" s="7">
        <f>IF($J815=0,0,ROUND(MAX($J815*1.4*1.5*1.6*1.6*2.2*2.715*2.6*1.4*1.4,8430000000*(1.651435^(MIN($E815,123)-117)))*1,0))</f>
        <v>251650143</v>
      </c>
      <c r="AC815" s="4">
        <f>$E815+21</f>
        <v>131</v>
      </c>
      <c r="AD815" s="8">
        <f>IF($J815=0,0,ROUND(MAX($J815*1.4*1.5*1.6*1.6*2.2*2.715*2.6*1.4*1.4*1.5,12600000000*(1.652953^(MIN($E815,123)-117)))*1,0))</f>
        <v>373720576</v>
      </c>
      <c r="AE815" s="6">
        <f>$E815+24</f>
        <v>134</v>
      </c>
      <c r="AF815" s="7">
        <f>IF($J815=0,0,ROUND(MAX($J815*1.4*1.5*1.6*1.6*2.2*2.715*2.6*1.4*1.4*1.5*1.5,18900000000*(1.65331^(MIN($E815,123)-117)))*1,0))</f>
        <v>559734088</v>
      </c>
      <c r="AG815" s="4">
        <f>$E815+27</f>
        <v>137</v>
      </c>
      <c r="AH815" s="8">
        <f>IF($J815=0,0,ROUND(MAX($J815*1.4*1.5*1.6*1.6*2.2*2.715*2.6*1.4*1.4*1.5*1.5*3.2,60500000000*(1.654288^(MIN($E815,123)-117)))*1,0))</f>
        <v>1784339701</v>
      </c>
    </row>
    <row r="816" ht="27.75" customHeight="1" spans="1:34" x14ac:dyDescent="0.25">
      <c r="A816" s="3">
        <v>826</v>
      </c>
      <c r="B816" s="3" t="s">
        <v>693</v>
      </c>
      <c r="C816" s="3" t="s">
        <v>670</v>
      </c>
      <c r="D816" s="3" t="s">
        <v>33</v>
      </c>
      <c r="E816" s="3">
        <v>110</v>
      </c>
      <c r="F816" s="3" t="s">
        <v>54</v>
      </c>
      <c r="G816" s="3" t="s">
        <v>671</v>
      </c>
      <c r="H816" s="3">
        <v>26</v>
      </c>
      <c r="I816" s="4">
        <v>110</v>
      </c>
      <c r="J816" s="5">
        <v>93800</v>
      </c>
      <c r="K816" s="6">
        <f>$E816+1</f>
        <v>111</v>
      </c>
      <c r="L816" s="7">
        <f>IF($J816=0,0,ROUND(MAX($J816*1.4,1620000*(1.497923^(MIN($E816,123)-117)))*1,0))</f>
        <v>131320</v>
      </c>
      <c r="M816" s="4">
        <f>$E816+2</f>
        <v>112</v>
      </c>
      <c r="N816" s="8">
        <f>IF($J816=0,0,ROUND(MAX($J816*1.4*1.5,2190000*(1.580994^(MIN($E816,123)-117)))*1,0))</f>
        <v>196980</v>
      </c>
      <c r="O816" s="6">
        <f>$E816+4</f>
        <v>114</v>
      </c>
      <c r="P816" s="7">
        <f>IF($J816=0,0,ROUND(MAX($J816*1.4*1.5*1.6,3500000*(1.57975^(MIN($E816,123)-117)))*1,0))</f>
        <v>315168</v>
      </c>
      <c r="Q816" s="4">
        <f>$E816+6</f>
        <v>116</v>
      </c>
      <c r="R816" s="8">
        <f>IF($J816=0,0,ROUND(MAX($J816*1.4*1.5*1.6*1.6,13100000*(1.429962^(MIN($E816,123)-117)))*1,0))</f>
        <v>1071519</v>
      </c>
      <c r="S816" s="6">
        <f>$E816+8</f>
        <v>118</v>
      </c>
      <c r="T816" s="7">
        <f>IF($J816=0,0,ROUND(MAX($J816*1.4*1.5*1.6*1.6*2.2,42600000*(1.576904^(MIN($E816,123)-117)))*1,0))</f>
        <v>1757004</v>
      </c>
      <c r="U816" s="4">
        <f>$E816+11</f>
        <v>121</v>
      </c>
      <c r="V816" s="8">
        <f>IF($J816=0,0,ROUND(MAX($J816*1.4*1.5*1.6*1.6*2.2*2.715,354000000*(1.642074^(MIN($E816,123)-117)))*1,0))</f>
        <v>10996493</v>
      </c>
      <c r="W816" s="6">
        <f>$E816+15</f>
        <v>125</v>
      </c>
      <c r="X816" s="7">
        <f>IF($J816=0,0,ROUND(MAX($J816*1.4*1.5*1.6*1.6*2.2*2.715*2.6,3540000000*(1.579646^(MIN($E816,123)-117)))*1,0))</f>
        <v>144239716</v>
      </c>
      <c r="Y816" s="4">
        <f>$E816+17</f>
        <v>127</v>
      </c>
      <c r="Z816" s="8">
        <f>IF($J816=0,0,ROUND(MAX($J816*1.4*1.5*1.6*1.6*2.2*2.715*2.6*1.4,6020000000*(1.651178^(MIN($E816,123)-117)))*1,0))</f>
        <v>179903344</v>
      </c>
      <c r="AA816" s="6">
        <f>$E816+19</f>
        <v>129</v>
      </c>
      <c r="AB816" s="7">
        <f>IF($J816=0,0,ROUND(MAX($J816*1.4*1.5*1.6*1.6*2.2*2.715*2.6*1.4*1.4,8430000000*(1.651435^(MIN($E816,123)-117)))*1,0))</f>
        <v>251650143</v>
      </c>
      <c r="AC816" s="4">
        <f>$E816+21</f>
        <v>131</v>
      </c>
      <c r="AD816" s="8">
        <f>IF($J816=0,0,ROUND(MAX($J816*1.4*1.5*1.6*1.6*2.2*2.715*2.6*1.4*1.4*1.5,12600000000*(1.652953^(MIN($E816,123)-117)))*1,0))</f>
        <v>373720576</v>
      </c>
      <c r="AE816" s="6">
        <f>$E816+24</f>
        <v>134</v>
      </c>
      <c r="AF816" s="7">
        <f>IF($J816=0,0,ROUND(MAX($J816*1.4*1.5*1.6*1.6*2.2*2.715*2.6*1.4*1.4*1.5*1.5,18900000000*(1.65331^(MIN($E816,123)-117)))*1,0))</f>
        <v>559734088</v>
      </c>
      <c r="AG816" s="4">
        <f>$E816+27</f>
        <v>137</v>
      </c>
      <c r="AH816" s="8">
        <f>IF($J816=0,0,ROUND(MAX($J816*1.4*1.5*1.6*1.6*2.2*2.715*2.6*1.4*1.4*1.5*1.5*3.2,60500000000*(1.654288^(MIN($E816,123)-117)))*1,0))</f>
        <v>1784339701</v>
      </c>
    </row>
    <row r="817" ht="27.75" customHeight="1" spans="1:34" x14ac:dyDescent="0.25">
      <c r="A817" s="3">
        <v>827</v>
      </c>
      <c r="B817" s="3" t="s">
        <v>411</v>
      </c>
      <c r="C817" s="3" t="s">
        <v>670</v>
      </c>
      <c r="D817" s="3" t="s">
        <v>33</v>
      </c>
      <c r="E817" s="3">
        <v>110</v>
      </c>
      <c r="F817" s="3" t="s">
        <v>412</v>
      </c>
      <c r="G817" s="3" t="s">
        <v>374</v>
      </c>
      <c r="H817" s="3">
        <v>26</v>
      </c>
      <c r="I817" s="4">
        <v>110</v>
      </c>
      <c r="J817" s="5">
        <v>375000</v>
      </c>
      <c r="K817" s="6">
        <f>$E817+1</f>
        <v>111</v>
      </c>
      <c r="L817" s="7">
        <f>IF($J817=0,0,ROUND(MAX($J817*1.4,1620000*(1.497923^(MIN($E817,123)-117)))*1,0))</f>
        <v>525000</v>
      </c>
      <c r="M817" s="4">
        <f>$E817+2</f>
        <v>112</v>
      </c>
      <c r="N817" s="8">
        <f>IF($J817=0,0,ROUND(MAX($J817*1.4*1.5,2190000*(1.580994^(MIN($E817,123)-117)))*1,0))</f>
        <v>787500</v>
      </c>
      <c r="O817" s="6">
        <f>$E817+4</f>
        <v>114</v>
      </c>
      <c r="P817" s="7">
        <f>IF($J817=0,0,ROUND(MAX($J817*1.4*1.5*1.6,3500000*(1.57975^(MIN($E817,123)-117)))*1,0))</f>
        <v>1260000</v>
      </c>
      <c r="Q817" s="4">
        <f>$E817+6</f>
        <v>116</v>
      </c>
      <c r="R817" s="8">
        <f>IF($J817=0,0,ROUND(MAX($J817*1.4*1.5*1.6*1.6,13100000*(1.429962^(MIN($E817,123)-117)))*1,0))</f>
        <v>2016000</v>
      </c>
      <c r="S817" s="6">
        <f>$E817+8</f>
        <v>118</v>
      </c>
      <c r="T817" s="7">
        <f>IF($J817=0,0,ROUND(MAX($J817*1.4*1.5*1.6*1.6*2.2,42600000*(1.576904^(MIN($E817,123)-117)))*1,0))</f>
        <v>4435200</v>
      </c>
      <c r="U817" s="4">
        <f>$E817+11</f>
        <v>121</v>
      </c>
      <c r="V817" s="8">
        <f>IF($J817=0,0,ROUND(MAX($J817*1.4*1.5*1.6*1.6*2.2*2.715,354000000*(1.642074^(MIN($E817,123)-117)))*1,0))</f>
        <v>12041568</v>
      </c>
      <c r="W817" s="6">
        <f>$E817+15</f>
        <v>125</v>
      </c>
      <c r="X817" s="7">
        <f>IF($J817=0,0,ROUND(MAX($J817*1.4*1.5*1.6*1.6*2.2*2.715*2.6,3540000000*(1.579646^(MIN($E817,123)-117)))*1,0))</f>
        <v>144239716</v>
      </c>
      <c r="Y817" s="4">
        <f>$E817+17</f>
        <v>127</v>
      </c>
      <c r="Z817" s="8">
        <f>IF($J817=0,0,ROUND(MAX($J817*1.4*1.5*1.6*1.6*2.2*2.715*2.6*1.4,6020000000*(1.651178^(MIN($E817,123)-117)))*1,0))</f>
        <v>179903344</v>
      </c>
      <c r="AA817" s="6">
        <f>$E817+19</f>
        <v>129</v>
      </c>
      <c r="AB817" s="7">
        <f>IF($J817=0,0,ROUND(MAX($J817*1.4*1.5*1.6*1.6*2.2*2.715*2.6*1.4*1.4,8430000000*(1.651435^(MIN($E817,123)-117)))*1,0))</f>
        <v>251650143</v>
      </c>
      <c r="AC817" s="4">
        <f>$E817+21</f>
        <v>131</v>
      </c>
      <c r="AD817" s="8">
        <f>IF($J817=0,0,ROUND(MAX($J817*1.4*1.5*1.6*1.6*2.2*2.715*2.6*1.4*1.4*1.5,12600000000*(1.652953^(MIN($E817,123)-117)))*1,0))</f>
        <v>373720576</v>
      </c>
      <c r="AE817" s="6">
        <f>$E817+24</f>
        <v>134</v>
      </c>
      <c r="AF817" s="7">
        <f>IF($J817=0,0,ROUND(MAX($J817*1.4*1.5*1.6*1.6*2.2*2.715*2.6*1.4*1.4*1.5*1.5,18900000000*(1.65331^(MIN($E817,123)-117)))*1,0))</f>
        <v>559734088</v>
      </c>
      <c r="AG817" s="4">
        <f>$E817+27</f>
        <v>137</v>
      </c>
      <c r="AH817" s="8">
        <f>IF($J817=0,0,ROUND(MAX($J817*1.4*1.5*1.6*1.6*2.2*2.715*2.6*1.4*1.4*1.5*1.5*3.2,60500000000*(1.654288^(MIN($E817,123)-117)))*1,0))</f>
        <v>1784339701</v>
      </c>
    </row>
    <row r="818" ht="27.75" customHeight="1" spans="1:34" x14ac:dyDescent="0.25">
      <c r="A818" s="3">
        <v>828</v>
      </c>
      <c r="B818" s="3" t="s">
        <v>694</v>
      </c>
      <c r="C818" s="3" t="s">
        <v>670</v>
      </c>
      <c r="D818" s="3" t="s">
        <v>102</v>
      </c>
      <c r="E818" s="3">
        <v>110</v>
      </c>
      <c r="F818" s="3" t="s">
        <v>71</v>
      </c>
      <c r="G818" s="3" t="s">
        <v>270</v>
      </c>
      <c r="H818" s="3">
        <v>26</v>
      </c>
      <c r="I818" s="4">
        <v>110</v>
      </c>
      <c r="J818" s="5">
        <v>127000</v>
      </c>
      <c r="K818" s="6">
        <f>$E818+1</f>
        <v>111</v>
      </c>
      <c r="L818" s="7">
        <f>IF($J818=0,0,ROUND(MAX($J818*1.4,1620000*(1.497923^(MIN($E818,123)-117)))*1,0))</f>
        <v>177800</v>
      </c>
      <c r="M818" s="4">
        <f>$E818+2</f>
        <v>112</v>
      </c>
      <c r="N818" s="8">
        <f>IF($J818=0,0,ROUND(MAX($J818*1.4*1.5,2190000*(1.580994^(MIN($E818,123)-117)))*1,0))</f>
        <v>266700</v>
      </c>
      <c r="O818" s="6">
        <f>$E818+4</f>
        <v>114</v>
      </c>
      <c r="P818" s="7">
        <f>IF($J818=0,0,ROUND(MAX($J818*1.4*1.5*1.6,3500000*(1.57975^(MIN($E818,123)-117)))*1,0))</f>
        <v>426720</v>
      </c>
      <c r="Q818" s="4">
        <f>$E818+6</f>
        <v>116</v>
      </c>
      <c r="R818" s="8">
        <f>IF($J818=0,0,ROUND(MAX($J818*1.4*1.5*1.6*1.6,13100000*(1.429962^(MIN($E818,123)-117)))*1,0))</f>
        <v>1071519</v>
      </c>
      <c r="S818" s="6">
        <f>$E818+8</f>
        <v>118</v>
      </c>
      <c r="T818" s="7">
        <f>IF($J818=0,0,ROUND(MAX($J818*1.4*1.5*1.6*1.6*2.2,42600000*(1.576904^(MIN($E818,123)-117)))*1,0))</f>
        <v>1757004</v>
      </c>
      <c r="U818" s="4">
        <f>$E818+11</f>
        <v>121</v>
      </c>
      <c r="V818" s="8">
        <f>IF($J818=0,0,ROUND(MAX($J818*1.4*1.5*1.6*1.6*2.2*2.715,354000000*(1.642074^(MIN($E818,123)-117)))*1,0))</f>
        <v>10996493</v>
      </c>
      <c r="W818" s="6">
        <f>$E818+15</f>
        <v>125</v>
      </c>
      <c r="X818" s="7">
        <f>IF($J818=0,0,ROUND(MAX($J818*1.4*1.5*1.6*1.6*2.2*2.715*2.6,3540000000*(1.579646^(MIN($E818,123)-117)))*1,0))</f>
        <v>144239716</v>
      </c>
      <c r="Y818" s="4">
        <f>$E818+17</f>
        <v>127</v>
      </c>
      <c r="Z818" s="8">
        <f>IF($J818=0,0,ROUND(MAX($J818*1.4*1.5*1.6*1.6*2.2*2.715*2.6*1.4,6020000000*(1.651178^(MIN($E818,123)-117)))*1,0))</f>
        <v>179903344</v>
      </c>
      <c r="AA818" s="6">
        <f>$E818+19</f>
        <v>129</v>
      </c>
      <c r="AB818" s="7">
        <f>IF($J818=0,0,ROUND(MAX($J818*1.4*1.5*1.6*1.6*2.2*2.715*2.6*1.4*1.4,8430000000*(1.651435^(MIN($E818,123)-117)))*1,0))</f>
        <v>251650143</v>
      </c>
      <c r="AC818" s="4">
        <f>$E818+21</f>
        <v>131</v>
      </c>
      <c r="AD818" s="8">
        <f>IF($J818=0,0,ROUND(MAX($J818*1.4*1.5*1.6*1.6*2.2*2.715*2.6*1.4*1.4*1.5,12600000000*(1.652953^(MIN($E818,123)-117)))*1,0))</f>
        <v>373720576</v>
      </c>
      <c r="AE818" s="6">
        <f>$E818+24</f>
        <v>134</v>
      </c>
      <c r="AF818" s="7">
        <f>IF($J818=0,0,ROUND(MAX($J818*1.4*1.5*1.6*1.6*2.2*2.715*2.6*1.4*1.4*1.5*1.5,18900000000*(1.65331^(MIN($E818,123)-117)))*1,0))</f>
        <v>559734088</v>
      </c>
      <c r="AG818" s="4">
        <f>$E818+27</f>
        <v>137</v>
      </c>
      <c r="AH818" s="8">
        <f>IF($J818=0,0,ROUND(MAX($J818*1.4*1.5*1.6*1.6*2.2*2.715*2.6*1.4*1.4*1.5*1.5*3.2,60500000000*(1.654288^(MIN($E818,123)-117)))*1,0))</f>
        <v>1784339701</v>
      </c>
    </row>
    <row r="819" ht="27.75" customHeight="1" spans="1:34" x14ac:dyDescent="0.25">
      <c r="A819" s="3">
        <v>829</v>
      </c>
      <c r="B819" s="3" t="s">
        <v>695</v>
      </c>
      <c r="C819" s="3" t="s">
        <v>670</v>
      </c>
      <c r="D819" s="3" t="s">
        <v>93</v>
      </c>
      <c r="E819" s="3">
        <v>110</v>
      </c>
      <c r="F819" s="3" t="s">
        <v>123</v>
      </c>
      <c r="G819" s="3" t="s">
        <v>696</v>
      </c>
      <c r="H819" s="3">
        <v>26</v>
      </c>
      <c r="I819" s="4">
        <v>110</v>
      </c>
      <c r="J819" s="5">
        <v>72400</v>
      </c>
      <c r="K819" s="6">
        <f>$E819+1</f>
        <v>111</v>
      </c>
      <c r="L819" s="7">
        <f>IF($J819=0,0,ROUND(MAX($J819*1.4,1620000*(1.497923^(MIN($E819,123)-117)))*1,0))</f>
        <v>101360</v>
      </c>
      <c r="M819" s="4">
        <f>$E819+2</f>
        <v>112</v>
      </c>
      <c r="N819" s="8">
        <f>IF($J819=0,0,ROUND(MAX($J819*1.4*1.5,2190000*(1.580994^(MIN($E819,123)-117)))*1,0))</f>
        <v>152040</v>
      </c>
      <c r="O819" s="6">
        <f>$E819+4</f>
        <v>114</v>
      </c>
      <c r="P819" s="7">
        <f>IF($J819=0,0,ROUND(MAX($J819*1.4*1.5*1.6,3500000*(1.57975^(MIN($E819,123)-117)))*1,0))</f>
        <v>243264</v>
      </c>
      <c r="Q819" s="4">
        <f>$E819+6</f>
        <v>116</v>
      </c>
      <c r="R819" s="8">
        <f>IF($J819=0,0,ROUND(MAX($J819*1.4*1.5*1.6*1.6,13100000*(1.429962^(MIN($E819,123)-117)))*1,0))</f>
        <v>1071519</v>
      </c>
      <c r="S819" s="6">
        <f>$E819+8</f>
        <v>118</v>
      </c>
      <c r="T819" s="7">
        <f>IF($J819=0,0,ROUND(MAX($J819*1.4*1.5*1.6*1.6*2.2,42600000*(1.576904^(MIN($E819,123)-117)))*1,0))</f>
        <v>1757004</v>
      </c>
      <c r="U819" s="4">
        <f>$E819+11</f>
        <v>121</v>
      </c>
      <c r="V819" s="8">
        <f>IF($J819=0,0,ROUND(MAX($J819*1.4*1.5*1.6*1.6*2.2*2.715,354000000*(1.642074^(MIN($E819,123)-117)))*1,0))</f>
        <v>10996493</v>
      </c>
      <c r="W819" s="6">
        <f>$E819+15</f>
        <v>125</v>
      </c>
      <c r="X819" s="7">
        <f>IF($J819=0,0,ROUND(MAX($J819*1.4*1.5*1.6*1.6*2.2*2.715*2.6,3540000000*(1.579646^(MIN($E819,123)-117)))*1,0))</f>
        <v>144239716</v>
      </c>
      <c r="Y819" s="4">
        <f>$E819+17</f>
        <v>127</v>
      </c>
      <c r="Z819" s="8">
        <f>IF($J819=0,0,ROUND(MAX($J819*1.4*1.5*1.6*1.6*2.2*2.715*2.6*1.4,6020000000*(1.651178^(MIN($E819,123)-117)))*1,0))</f>
        <v>179903344</v>
      </c>
      <c r="AA819" s="6">
        <f>$E819+19</f>
        <v>129</v>
      </c>
      <c r="AB819" s="7">
        <f>IF($J819=0,0,ROUND(MAX($J819*1.4*1.5*1.6*1.6*2.2*2.715*2.6*1.4*1.4,8430000000*(1.651435^(MIN($E819,123)-117)))*1,0))</f>
        <v>251650143</v>
      </c>
      <c r="AC819" s="4">
        <f>$E819+21</f>
        <v>131</v>
      </c>
      <c r="AD819" s="8">
        <f>IF($J819=0,0,ROUND(MAX($J819*1.4*1.5*1.6*1.6*2.2*2.715*2.6*1.4*1.4*1.5,12600000000*(1.652953^(MIN($E819,123)-117)))*1,0))</f>
        <v>373720576</v>
      </c>
      <c r="AE819" s="6">
        <f>$E819+24</f>
        <v>134</v>
      </c>
      <c r="AF819" s="7">
        <f>IF($J819=0,0,ROUND(MAX($J819*1.4*1.5*1.6*1.6*2.2*2.715*2.6*1.4*1.4*1.5*1.5,18900000000*(1.65331^(MIN($E819,123)-117)))*1,0))</f>
        <v>559734088</v>
      </c>
      <c r="AG819" s="4">
        <f>$E819+27</f>
        <v>137</v>
      </c>
      <c r="AH819" s="8">
        <f>IF($J819=0,0,ROUND(MAX($J819*1.4*1.5*1.6*1.6*2.2*2.715*2.6*1.4*1.4*1.5*1.5*3.2,60500000000*(1.654288^(MIN($E819,123)-117)))*1,0))</f>
        <v>1784339701</v>
      </c>
    </row>
    <row r="820" ht="27.75" customHeight="1" spans="1:34" x14ac:dyDescent="0.25">
      <c r="A820" s="3">
        <v>830</v>
      </c>
      <c r="B820" s="3" t="s">
        <v>118</v>
      </c>
      <c r="C820" s="3" t="s">
        <v>670</v>
      </c>
      <c r="D820" s="3" t="s">
        <v>40</v>
      </c>
      <c r="E820" s="3">
        <v>110</v>
      </c>
      <c r="F820" s="3" t="s">
        <v>56</v>
      </c>
      <c r="G820" s="3" t="s">
        <v>671</v>
      </c>
      <c r="H820" s="3">
        <v>26</v>
      </c>
      <c r="I820" s="4">
        <v>110</v>
      </c>
      <c r="J820" s="5">
        <v>230000</v>
      </c>
      <c r="K820" s="6">
        <f>$E820+1</f>
        <v>111</v>
      </c>
      <c r="L820" s="7">
        <f>IF($J820=0,0,ROUND(MAX($J820*1.4,1620000*(1.497923^(MIN($E820,123)-117)))*1,0))</f>
        <v>322000</v>
      </c>
      <c r="M820" s="4">
        <f>$E820+2</f>
        <v>112</v>
      </c>
      <c r="N820" s="8">
        <f>IF($J820=0,0,ROUND(MAX($J820*1.4*1.5,2190000*(1.580994^(MIN($E820,123)-117)))*1,0))</f>
        <v>483000</v>
      </c>
      <c r="O820" s="6">
        <f>$E820+4</f>
        <v>114</v>
      </c>
      <c r="P820" s="7">
        <f>IF($J820=0,0,ROUND(MAX($J820*1.4*1.5*1.6,3500000*(1.57975^(MIN($E820,123)-117)))*1,0))</f>
        <v>772800</v>
      </c>
      <c r="Q820" s="4">
        <f>$E820+6</f>
        <v>116</v>
      </c>
      <c r="R820" s="8">
        <f>IF($J820=0,0,ROUND(MAX($J820*1.4*1.5*1.6*1.6,13100000*(1.429962^(MIN($E820,123)-117)))*1,0))</f>
        <v>1236480</v>
      </c>
      <c r="S820" s="6">
        <f>$E820+8</f>
        <v>118</v>
      </c>
      <c r="T820" s="7">
        <f>IF($J820=0,0,ROUND(MAX($J820*1.4*1.5*1.6*1.6*2.2,42600000*(1.576904^(MIN($E820,123)-117)))*1,0))</f>
        <v>2720256</v>
      </c>
      <c r="U820" s="4">
        <f>$E820+11</f>
        <v>121</v>
      </c>
      <c r="V820" s="8">
        <f>IF($J820=0,0,ROUND(MAX($J820*1.4*1.5*1.6*1.6*2.2*2.715,354000000*(1.642074^(MIN($E820,123)-117)))*1,0))</f>
        <v>10996493</v>
      </c>
      <c r="W820" s="6">
        <f>$E820+15</f>
        <v>125</v>
      </c>
      <c r="X820" s="7">
        <f>IF($J820=0,0,ROUND(MAX($J820*1.4*1.5*1.6*1.6*2.2*2.715*2.6,3540000000*(1.579646^(MIN($E820,123)-117)))*1,0))</f>
        <v>144239716</v>
      </c>
      <c r="Y820" s="4">
        <f>$E820+17</f>
        <v>127</v>
      </c>
      <c r="Z820" s="8">
        <f>IF($J820=0,0,ROUND(MAX($J820*1.4*1.5*1.6*1.6*2.2*2.715*2.6*1.4,6020000000*(1.651178^(MIN($E820,123)-117)))*1,0))</f>
        <v>179903344</v>
      </c>
      <c r="AA820" s="6">
        <f>$E820+19</f>
        <v>129</v>
      </c>
      <c r="AB820" s="7">
        <f>IF($J820=0,0,ROUND(MAX($J820*1.4*1.5*1.6*1.6*2.2*2.715*2.6*1.4*1.4,8430000000*(1.651435^(MIN($E820,123)-117)))*1,0))</f>
        <v>251650143</v>
      </c>
      <c r="AC820" s="4">
        <f>$E820+21</f>
        <v>131</v>
      </c>
      <c r="AD820" s="8">
        <f>IF($J820=0,0,ROUND(MAX($J820*1.4*1.5*1.6*1.6*2.2*2.715*2.6*1.4*1.4*1.5,12600000000*(1.652953^(MIN($E820,123)-117)))*1,0))</f>
        <v>373720576</v>
      </c>
      <c r="AE820" s="6">
        <f>$E820+24</f>
        <v>134</v>
      </c>
      <c r="AF820" s="7">
        <f>IF($J820=0,0,ROUND(MAX($J820*1.4*1.5*1.6*1.6*2.2*2.715*2.6*1.4*1.4*1.5*1.5,18900000000*(1.65331^(MIN($E820,123)-117)))*1,0))</f>
        <v>559734088</v>
      </c>
      <c r="AG820" s="4">
        <f>$E820+27</f>
        <v>137</v>
      </c>
      <c r="AH820" s="8">
        <f>IF($J820=0,0,ROUND(MAX($J820*1.4*1.5*1.6*1.6*2.2*2.715*2.6*1.4*1.4*1.5*1.5*3.2,60500000000*(1.654288^(MIN($E820,123)-117)))*1,0))</f>
        <v>1784339701</v>
      </c>
    </row>
    <row r="821" ht="27.75" customHeight="1" spans="1:34" x14ac:dyDescent="0.25">
      <c r="A821" s="3">
        <v>831</v>
      </c>
      <c r="B821" s="3" t="s">
        <v>83</v>
      </c>
      <c r="C821" s="3" t="s">
        <v>670</v>
      </c>
      <c r="D821" s="3" t="s">
        <v>33</v>
      </c>
      <c r="E821" s="3">
        <v>110</v>
      </c>
      <c r="F821" s="3" t="s">
        <v>62</v>
      </c>
      <c r="G821" s="3" t="s">
        <v>671</v>
      </c>
      <c r="H821" s="3">
        <v>26</v>
      </c>
      <c r="I821" s="4">
        <v>110</v>
      </c>
      <c r="J821" s="5">
        <v>83900</v>
      </c>
      <c r="K821" s="6">
        <f>$E821+1</f>
        <v>111</v>
      </c>
      <c r="L821" s="7">
        <f>IF($J821=0,0,ROUND(MAX($J821*1.4,1620000*(1.497923^(MIN($E821,123)-117)))*1,0))</f>
        <v>117460</v>
      </c>
      <c r="M821" s="4">
        <f>$E821+2</f>
        <v>112</v>
      </c>
      <c r="N821" s="8">
        <f>IF($J821=0,0,ROUND(MAX($J821*1.4*1.5,2190000*(1.580994^(MIN($E821,123)-117)))*1,0))</f>
        <v>176190</v>
      </c>
      <c r="O821" s="6">
        <f>$E821+4</f>
        <v>114</v>
      </c>
      <c r="P821" s="7">
        <f>IF($J821=0,0,ROUND(MAX($J821*1.4*1.5*1.6,3500000*(1.57975^(MIN($E821,123)-117)))*1,0))</f>
        <v>281904</v>
      </c>
      <c r="Q821" s="4">
        <f>$E821+6</f>
        <v>116</v>
      </c>
      <c r="R821" s="8">
        <f>IF($J821=0,0,ROUND(MAX($J821*1.4*1.5*1.6*1.6,13100000*(1.429962^(MIN($E821,123)-117)))*1,0))</f>
        <v>1071519</v>
      </c>
      <c r="S821" s="6">
        <f>$E821+8</f>
        <v>118</v>
      </c>
      <c r="T821" s="7">
        <f>IF($J821=0,0,ROUND(MAX($J821*1.4*1.5*1.6*1.6*2.2,42600000*(1.576904^(MIN($E821,123)-117)))*1,0))</f>
        <v>1757004</v>
      </c>
      <c r="U821" s="4">
        <f>$E821+11</f>
        <v>121</v>
      </c>
      <c r="V821" s="8">
        <f>IF($J821=0,0,ROUND(MAX($J821*1.4*1.5*1.6*1.6*2.2*2.715,354000000*(1.642074^(MIN($E821,123)-117)))*1,0))</f>
        <v>10996493</v>
      </c>
      <c r="W821" s="6">
        <f>$E821+15</f>
        <v>125</v>
      </c>
      <c r="X821" s="7">
        <f>IF($J821=0,0,ROUND(MAX($J821*1.4*1.5*1.6*1.6*2.2*2.715*2.6,3540000000*(1.579646^(MIN($E821,123)-117)))*1,0))</f>
        <v>144239716</v>
      </c>
      <c r="Y821" s="4">
        <f>$E821+17</f>
        <v>127</v>
      </c>
      <c r="Z821" s="8">
        <f>IF($J821=0,0,ROUND(MAX($J821*1.4*1.5*1.6*1.6*2.2*2.715*2.6*1.4,6020000000*(1.651178^(MIN($E821,123)-117)))*1,0))</f>
        <v>179903344</v>
      </c>
      <c r="AA821" s="6">
        <f>$E821+19</f>
        <v>129</v>
      </c>
      <c r="AB821" s="7">
        <f>IF($J821=0,0,ROUND(MAX($J821*1.4*1.5*1.6*1.6*2.2*2.715*2.6*1.4*1.4,8430000000*(1.651435^(MIN($E821,123)-117)))*1,0))</f>
        <v>251650143</v>
      </c>
      <c r="AC821" s="4">
        <f>$E821+21</f>
        <v>131</v>
      </c>
      <c r="AD821" s="8">
        <f>IF($J821=0,0,ROUND(MAX($J821*1.4*1.5*1.6*1.6*2.2*2.715*2.6*1.4*1.4*1.5,12600000000*(1.652953^(MIN($E821,123)-117)))*1,0))</f>
        <v>373720576</v>
      </c>
      <c r="AE821" s="6">
        <f>$E821+24</f>
        <v>134</v>
      </c>
      <c r="AF821" s="7">
        <f>IF($J821=0,0,ROUND(MAX($J821*1.4*1.5*1.6*1.6*2.2*2.715*2.6*1.4*1.4*1.5*1.5,18900000000*(1.65331^(MIN($E821,123)-117)))*1,0))</f>
        <v>559734088</v>
      </c>
      <c r="AG821" s="4">
        <f>$E821+27</f>
        <v>137</v>
      </c>
      <c r="AH821" s="8">
        <f>IF($J821=0,0,ROUND(MAX($J821*1.4*1.5*1.6*1.6*2.2*2.715*2.6*1.4*1.4*1.5*1.5*3.2,60500000000*(1.654288^(MIN($E821,123)-117)))*1,0))</f>
        <v>1784339701</v>
      </c>
    </row>
    <row r="822" ht="27.75" customHeight="1" spans="1:34" x14ac:dyDescent="0.25">
      <c r="A822" s="3">
        <v>832</v>
      </c>
      <c r="B822" s="3" t="s">
        <v>697</v>
      </c>
      <c r="C822" s="3" t="s">
        <v>670</v>
      </c>
      <c r="D822" s="3" t="s">
        <v>64</v>
      </c>
      <c r="E822" s="3">
        <v>110</v>
      </c>
      <c r="F822" s="3" t="s">
        <v>123</v>
      </c>
      <c r="G822" s="3" t="s">
        <v>218</v>
      </c>
      <c r="H822" s="3">
        <v>25</v>
      </c>
      <c r="I822" s="4">
        <v>110</v>
      </c>
      <c r="J822" s="5">
        <v>61000</v>
      </c>
      <c r="K822" s="6">
        <f>$E822+1</f>
        <v>111</v>
      </c>
      <c r="L822" s="7">
        <f>IF($J822=0,0,ROUND(MAX($J822*1.4,1620000*(1.497923^(MIN($E822,123)-117)))*1,0))</f>
        <v>95739</v>
      </c>
      <c r="M822" s="4">
        <f>$E822+2</f>
        <v>112</v>
      </c>
      <c r="N822" s="8">
        <f>IF($J822=0,0,ROUND(MAX($J822*1.4*1.5,2190000*(1.580994^(MIN($E822,123)-117)))*1,0))</f>
        <v>128100</v>
      </c>
      <c r="O822" s="6">
        <f>$E822+4</f>
        <v>114</v>
      </c>
      <c r="P822" s="7">
        <f>IF($J822=0,0,ROUND(MAX($J822*1.4*1.5*1.6,3500000*(1.57975^(MIN($E822,123)-117)))*1,0))</f>
        <v>204960</v>
      </c>
      <c r="Q822" s="4">
        <f>$E822+6</f>
        <v>116</v>
      </c>
      <c r="R822" s="8">
        <f>IF($J822=0,0,ROUND(MAX($J822*1.4*1.5*1.6*1.6,13100000*(1.429962^(MIN($E822,123)-117)))*1,0))</f>
        <v>1071519</v>
      </c>
      <c r="S822" s="6">
        <f>$E822+8</f>
        <v>118</v>
      </c>
      <c r="T822" s="7">
        <f>IF($J822=0,0,ROUND(MAX($J822*1.4*1.5*1.6*1.6*2.2,42600000*(1.576904^(MIN($E822,123)-117)))*1,0))</f>
        <v>1757004</v>
      </c>
      <c r="U822" s="4">
        <f>$E822+11</f>
        <v>121</v>
      </c>
      <c r="V822" s="8">
        <f>IF($J822=0,0,ROUND(MAX($J822*1.4*1.5*1.6*1.6*2.2*2.715,354000000*(1.642074^(MIN($E822,123)-117)))*1,0))</f>
        <v>10996493</v>
      </c>
      <c r="W822" s="6">
        <f>$E822+15</f>
        <v>125</v>
      </c>
      <c r="X822" s="7">
        <f>IF($J822=0,0,ROUND(MAX($J822*1.4*1.5*1.6*1.6*2.2*2.715*2.6,3540000000*(1.579646^(MIN($E822,123)-117)))*1,0))</f>
        <v>144239716</v>
      </c>
      <c r="Y822" s="4">
        <f>$E822+17</f>
        <v>127</v>
      </c>
      <c r="Z822" s="8">
        <f>IF($J822=0,0,ROUND(MAX($J822*1.4*1.5*1.6*1.6*2.2*2.715*2.6*1.4,6020000000*(1.651178^(MIN($E822,123)-117)))*1,0))</f>
        <v>179903344</v>
      </c>
      <c r="AA822" s="6">
        <f>$E822+19</f>
        <v>129</v>
      </c>
      <c r="AB822" s="7">
        <f>IF($J822=0,0,ROUND(MAX($J822*1.4*1.5*1.6*1.6*2.2*2.715*2.6*1.4*1.4,8430000000*(1.651435^(MIN($E822,123)-117)))*1,0))</f>
        <v>251650143</v>
      </c>
      <c r="AC822" s="4">
        <f>$E822+21</f>
        <v>131</v>
      </c>
      <c r="AD822" s="8">
        <f>IF($J822=0,0,ROUND(MAX($J822*1.4*1.5*1.6*1.6*2.2*2.715*2.6*1.4*1.4*1.5,12600000000*(1.652953^(MIN($E822,123)-117)))*1,0))</f>
        <v>373720576</v>
      </c>
      <c r="AE822" s="6">
        <f>$E822+24</f>
        <v>134</v>
      </c>
      <c r="AF822" s="7">
        <f>IF($J822=0,0,ROUND(MAX($J822*1.4*1.5*1.6*1.6*2.2*2.715*2.6*1.4*1.4*1.5*1.5,18900000000*(1.65331^(MIN($E822,123)-117)))*1,0))</f>
        <v>559734088</v>
      </c>
      <c r="AG822" s="4">
        <f>$E822+27</f>
        <v>137</v>
      </c>
      <c r="AH822" s="8">
        <f>IF($J822=0,0,ROUND(MAX($J822*1.4*1.5*1.6*1.6*2.2*2.715*2.6*1.4*1.4*1.5*1.5*3.2,60500000000*(1.654288^(MIN($E822,123)-117)))*1,0))</f>
        <v>1784339701</v>
      </c>
    </row>
    <row r="823" ht="27.75" customHeight="1" spans="1:34" x14ac:dyDescent="0.25">
      <c r="A823" s="3">
        <v>833</v>
      </c>
      <c r="B823" s="3" t="s">
        <v>698</v>
      </c>
      <c r="C823" s="3" t="s">
        <v>670</v>
      </c>
      <c r="D823" s="3" t="s">
        <v>79</v>
      </c>
      <c r="E823" s="3">
        <v>110</v>
      </c>
      <c r="F823" s="3" t="s">
        <v>54</v>
      </c>
      <c r="G823" s="3" t="s">
        <v>699</v>
      </c>
      <c r="H823" s="3">
        <v>25</v>
      </c>
      <c r="I823" s="4">
        <v>110</v>
      </c>
      <c r="J823" s="5">
        <v>65200</v>
      </c>
      <c r="K823" s="6">
        <f>$E823+1</f>
        <v>111</v>
      </c>
      <c r="L823" s="7">
        <f>IF($J823=0,0,ROUND(MAX($J823*1.4,1620000*(1.497923^(MIN($E823,123)-117)))*1,0))</f>
        <v>95739</v>
      </c>
      <c r="M823" s="4">
        <f>$E823+2</f>
        <v>112</v>
      </c>
      <c r="N823" s="8">
        <f>IF($J823=0,0,ROUND(MAX($J823*1.4*1.5,2190000*(1.580994^(MIN($E823,123)-117)))*1,0))</f>
        <v>136920</v>
      </c>
      <c r="O823" s="6">
        <f>$E823+4</f>
        <v>114</v>
      </c>
      <c r="P823" s="7">
        <f>IF($J823=0,0,ROUND(MAX($J823*1.4*1.5*1.6,3500000*(1.57975^(MIN($E823,123)-117)))*1,0))</f>
        <v>219072</v>
      </c>
      <c r="Q823" s="4">
        <f>$E823+6</f>
        <v>116</v>
      </c>
      <c r="R823" s="8">
        <f>IF($J823=0,0,ROUND(MAX($J823*1.4*1.5*1.6*1.6,13100000*(1.429962^(MIN($E823,123)-117)))*1,0))</f>
        <v>1071519</v>
      </c>
      <c r="S823" s="6">
        <f>$E823+8</f>
        <v>118</v>
      </c>
      <c r="T823" s="7">
        <f>IF($J823=0,0,ROUND(MAX($J823*1.4*1.5*1.6*1.6*2.2,42600000*(1.576904^(MIN($E823,123)-117)))*1,0))</f>
        <v>1757004</v>
      </c>
      <c r="U823" s="4">
        <f>$E823+11</f>
        <v>121</v>
      </c>
      <c r="V823" s="8">
        <f>IF($J823=0,0,ROUND(MAX($J823*1.4*1.5*1.6*1.6*2.2*2.715,354000000*(1.642074^(MIN($E823,123)-117)))*1,0))</f>
        <v>10996493</v>
      </c>
      <c r="W823" s="6">
        <f>$E823+15</f>
        <v>125</v>
      </c>
      <c r="X823" s="7">
        <f>IF($J823=0,0,ROUND(MAX($J823*1.4*1.5*1.6*1.6*2.2*2.715*2.6,3540000000*(1.579646^(MIN($E823,123)-117)))*1,0))</f>
        <v>144239716</v>
      </c>
      <c r="Y823" s="4">
        <f>$E823+17</f>
        <v>127</v>
      </c>
      <c r="Z823" s="8">
        <f>IF($J823=0,0,ROUND(MAX($J823*1.4*1.5*1.6*1.6*2.2*2.715*2.6*1.4,6020000000*(1.651178^(MIN($E823,123)-117)))*1,0))</f>
        <v>179903344</v>
      </c>
      <c r="AA823" s="6">
        <f>$E823+19</f>
        <v>129</v>
      </c>
      <c r="AB823" s="7">
        <f>IF($J823=0,0,ROUND(MAX($J823*1.4*1.5*1.6*1.6*2.2*2.715*2.6*1.4*1.4,8430000000*(1.651435^(MIN($E823,123)-117)))*1,0))</f>
        <v>251650143</v>
      </c>
      <c r="AC823" s="4">
        <f>$E823+21</f>
        <v>131</v>
      </c>
      <c r="AD823" s="8">
        <f>IF($J823=0,0,ROUND(MAX($J823*1.4*1.5*1.6*1.6*2.2*2.715*2.6*1.4*1.4*1.5,12600000000*(1.652953^(MIN($E823,123)-117)))*1,0))</f>
        <v>373720576</v>
      </c>
      <c r="AE823" s="6">
        <f>$E823+24</f>
        <v>134</v>
      </c>
      <c r="AF823" s="7">
        <f>IF($J823=0,0,ROUND(MAX($J823*1.4*1.5*1.6*1.6*2.2*2.715*2.6*1.4*1.4*1.5*1.5,18900000000*(1.65331^(MIN($E823,123)-117)))*1,0))</f>
        <v>559734088</v>
      </c>
      <c r="AG823" s="4">
        <f>$E823+27</f>
        <v>137</v>
      </c>
      <c r="AH823" s="8">
        <f>IF($J823=0,0,ROUND(MAX($J823*1.4*1.5*1.6*1.6*2.2*2.715*2.6*1.4*1.4*1.5*1.5*3.2,60500000000*(1.654288^(MIN($E823,123)-117)))*1,0))</f>
        <v>1784339701</v>
      </c>
    </row>
    <row r="824" ht="27.75" customHeight="1" spans="1:34" x14ac:dyDescent="0.25">
      <c r="A824" s="3">
        <v>834</v>
      </c>
      <c r="B824" s="3" t="s">
        <v>700</v>
      </c>
      <c r="C824" s="3" t="s">
        <v>670</v>
      </c>
      <c r="D824" s="3" t="s">
        <v>64</v>
      </c>
      <c r="E824" s="3">
        <v>110</v>
      </c>
      <c r="F824" s="3" t="s">
        <v>54</v>
      </c>
      <c r="G824" s="3" t="s">
        <v>701</v>
      </c>
      <c r="H824" s="3">
        <v>25</v>
      </c>
      <c r="I824" s="4">
        <v>110</v>
      </c>
      <c r="J824" s="5">
        <v>54900</v>
      </c>
      <c r="K824" s="6">
        <f>$E824+1</f>
        <v>111</v>
      </c>
      <c r="L824" s="7">
        <f>IF($J824=0,0,ROUND(MAX($J824*1.4,1620000*(1.497923^(MIN($E824,123)-117)))*1,0))</f>
        <v>95739</v>
      </c>
      <c r="M824" s="4">
        <f>$E824+2</f>
        <v>112</v>
      </c>
      <c r="N824" s="8">
        <f>IF($J824=0,0,ROUND(MAX($J824*1.4*1.5,2190000*(1.580994^(MIN($E824,123)-117)))*1,0))</f>
        <v>115290</v>
      </c>
      <c r="O824" s="6">
        <f>$E824+4</f>
        <v>114</v>
      </c>
      <c r="P824" s="7">
        <f>IF($J824=0,0,ROUND(MAX($J824*1.4*1.5*1.6,3500000*(1.57975^(MIN($E824,123)-117)))*1,0))</f>
        <v>184464</v>
      </c>
      <c r="Q824" s="4">
        <f>$E824+6</f>
        <v>116</v>
      </c>
      <c r="R824" s="8">
        <f>IF($J824=0,0,ROUND(MAX($J824*1.4*1.5*1.6*1.6,13100000*(1.429962^(MIN($E824,123)-117)))*1,0))</f>
        <v>1071519</v>
      </c>
      <c r="S824" s="6">
        <f>$E824+8</f>
        <v>118</v>
      </c>
      <c r="T824" s="7">
        <f>IF($J824=0,0,ROUND(MAX($J824*1.4*1.5*1.6*1.6*2.2,42600000*(1.576904^(MIN($E824,123)-117)))*1,0))</f>
        <v>1757004</v>
      </c>
      <c r="U824" s="4">
        <f>$E824+11</f>
        <v>121</v>
      </c>
      <c r="V824" s="8">
        <f>IF($J824=0,0,ROUND(MAX($J824*1.4*1.5*1.6*1.6*2.2*2.715,354000000*(1.642074^(MIN($E824,123)-117)))*1,0))</f>
        <v>10996493</v>
      </c>
      <c r="W824" s="6">
        <f>$E824+15</f>
        <v>125</v>
      </c>
      <c r="X824" s="7">
        <f>IF($J824=0,0,ROUND(MAX($J824*1.4*1.5*1.6*1.6*2.2*2.715*2.6,3540000000*(1.579646^(MIN($E824,123)-117)))*1,0))</f>
        <v>144239716</v>
      </c>
      <c r="Y824" s="4">
        <f>$E824+17</f>
        <v>127</v>
      </c>
      <c r="Z824" s="8">
        <f>IF($J824=0,0,ROUND(MAX($J824*1.4*1.5*1.6*1.6*2.2*2.715*2.6*1.4,6020000000*(1.651178^(MIN($E824,123)-117)))*1,0))</f>
        <v>179903344</v>
      </c>
      <c r="AA824" s="6">
        <f>$E824+19</f>
        <v>129</v>
      </c>
      <c r="AB824" s="7">
        <f>IF($J824=0,0,ROUND(MAX($J824*1.4*1.5*1.6*1.6*2.2*2.715*2.6*1.4*1.4,8430000000*(1.651435^(MIN($E824,123)-117)))*1,0))</f>
        <v>251650143</v>
      </c>
      <c r="AC824" s="4">
        <f>$E824+21</f>
        <v>131</v>
      </c>
      <c r="AD824" s="8">
        <f>IF($J824=0,0,ROUND(MAX($J824*1.4*1.5*1.6*1.6*2.2*2.715*2.6*1.4*1.4*1.5,12600000000*(1.652953^(MIN($E824,123)-117)))*1,0))</f>
        <v>373720576</v>
      </c>
      <c r="AE824" s="6">
        <f>$E824+24</f>
        <v>134</v>
      </c>
      <c r="AF824" s="7">
        <f>IF($J824=0,0,ROUND(MAX($J824*1.4*1.5*1.6*1.6*2.2*2.715*2.6*1.4*1.4*1.5*1.5,18900000000*(1.65331^(MIN($E824,123)-117)))*1,0))</f>
        <v>559734088</v>
      </c>
      <c r="AG824" s="4">
        <f>$E824+27</f>
        <v>137</v>
      </c>
      <c r="AH824" s="8">
        <f>IF($J824=0,0,ROUND(MAX($J824*1.4*1.5*1.6*1.6*2.2*2.715*2.6*1.4*1.4*1.5*1.5*3.2,60500000000*(1.654288^(MIN($E824,123)-117)))*1,0))</f>
        <v>1784339701</v>
      </c>
    </row>
    <row r="825" ht="27.75" customHeight="1" spans="1:34" x14ac:dyDescent="0.25">
      <c r="A825" s="3">
        <v>835</v>
      </c>
      <c r="B825" s="3" t="s">
        <v>702</v>
      </c>
      <c r="C825" s="3" t="s">
        <v>670</v>
      </c>
      <c r="D825" s="3" t="s">
        <v>45</v>
      </c>
      <c r="E825" s="3">
        <v>110</v>
      </c>
      <c r="F825" s="3" t="s">
        <v>97</v>
      </c>
      <c r="G825" s="3" t="s">
        <v>351</v>
      </c>
      <c r="H825" s="3">
        <v>25</v>
      </c>
      <c r="I825" s="4">
        <v>110</v>
      </c>
      <c r="J825" s="5">
        <v>43900</v>
      </c>
      <c r="K825" s="6">
        <f>$E825+1</f>
        <v>111</v>
      </c>
      <c r="L825" s="7">
        <f>IF($J825=0,0,ROUND(MAX($J825*1.4,1620000*(1.497923^(MIN($E825,123)-117)))*1,0))</f>
        <v>95739</v>
      </c>
      <c r="M825" s="4">
        <f>$E825+2</f>
        <v>112</v>
      </c>
      <c r="N825" s="8">
        <f>IF($J825=0,0,ROUND(MAX($J825*1.4*1.5,2190000*(1.580994^(MIN($E825,123)-117)))*1,0))</f>
        <v>92190</v>
      </c>
      <c r="O825" s="6">
        <f>$E825+4</f>
        <v>114</v>
      </c>
      <c r="P825" s="7">
        <f>IF($J825=0,0,ROUND(MAX($J825*1.4*1.5*1.6,3500000*(1.57975^(MIN($E825,123)-117)))*1,0))</f>
        <v>147504</v>
      </c>
      <c r="Q825" s="4">
        <f>$E825+6</f>
        <v>116</v>
      </c>
      <c r="R825" s="8">
        <f>IF($J825=0,0,ROUND(MAX($J825*1.4*1.5*1.6*1.6,13100000*(1.429962^(MIN($E825,123)-117)))*1,0))</f>
        <v>1071519</v>
      </c>
      <c r="S825" s="6">
        <f>$E825+8</f>
        <v>118</v>
      </c>
      <c r="T825" s="7">
        <f>IF($J825=0,0,ROUND(MAX($J825*1.4*1.5*1.6*1.6*2.2,42600000*(1.576904^(MIN($E825,123)-117)))*1,0))</f>
        <v>1757004</v>
      </c>
      <c r="U825" s="4">
        <f>$E825+11</f>
        <v>121</v>
      </c>
      <c r="V825" s="8">
        <f>IF($J825=0,0,ROUND(MAX($J825*1.4*1.5*1.6*1.6*2.2*2.715,354000000*(1.642074^(MIN($E825,123)-117)))*1,0))</f>
        <v>10996493</v>
      </c>
      <c r="W825" s="6">
        <f>$E825+15</f>
        <v>125</v>
      </c>
      <c r="X825" s="7">
        <f>IF($J825=0,0,ROUND(MAX($J825*1.4*1.5*1.6*1.6*2.2*2.715*2.6,3540000000*(1.579646^(MIN($E825,123)-117)))*1,0))</f>
        <v>144239716</v>
      </c>
      <c r="Y825" s="4">
        <f>$E825+17</f>
        <v>127</v>
      </c>
      <c r="Z825" s="8">
        <f>IF($J825=0,0,ROUND(MAX($J825*1.4*1.5*1.6*1.6*2.2*2.715*2.6*1.4,6020000000*(1.651178^(MIN($E825,123)-117)))*1,0))</f>
        <v>179903344</v>
      </c>
      <c r="AA825" s="6">
        <f>$E825+19</f>
        <v>129</v>
      </c>
      <c r="AB825" s="7">
        <f>IF($J825=0,0,ROUND(MAX($J825*1.4*1.5*1.6*1.6*2.2*2.715*2.6*1.4*1.4,8430000000*(1.651435^(MIN($E825,123)-117)))*1,0))</f>
        <v>251650143</v>
      </c>
      <c r="AC825" s="4">
        <f>$E825+21</f>
        <v>131</v>
      </c>
      <c r="AD825" s="8">
        <f>IF($J825=0,0,ROUND(MAX($J825*1.4*1.5*1.6*1.6*2.2*2.715*2.6*1.4*1.4*1.5,12600000000*(1.652953^(MIN($E825,123)-117)))*1,0))</f>
        <v>373720576</v>
      </c>
      <c r="AE825" s="6">
        <f>$E825+24</f>
        <v>134</v>
      </c>
      <c r="AF825" s="7">
        <f>IF($J825=0,0,ROUND(MAX($J825*1.4*1.5*1.6*1.6*2.2*2.715*2.6*1.4*1.4*1.5*1.5,18900000000*(1.65331^(MIN($E825,123)-117)))*1,0))</f>
        <v>559734088</v>
      </c>
      <c r="AG825" s="4">
        <f>$E825+27</f>
        <v>137</v>
      </c>
      <c r="AH825" s="8">
        <f>IF($J825=0,0,ROUND(MAX($J825*1.4*1.5*1.6*1.6*2.2*2.715*2.6*1.4*1.4*1.5*1.5*3.2,60500000000*(1.654288^(MIN($E825,123)-117)))*1,0))</f>
        <v>1784339701</v>
      </c>
    </row>
    <row r="826" ht="27.75" customHeight="1" spans="1:34" x14ac:dyDescent="0.25">
      <c r="A826" s="3">
        <v>836</v>
      </c>
      <c r="B826" s="3" t="s">
        <v>373</v>
      </c>
      <c r="C826" s="3" t="s">
        <v>670</v>
      </c>
      <c r="D826" s="3" t="s">
        <v>102</v>
      </c>
      <c r="E826" s="3">
        <v>110</v>
      </c>
      <c r="F826" s="3" t="s">
        <v>59</v>
      </c>
      <c r="G826" s="3" t="s">
        <v>374</v>
      </c>
      <c r="H826" s="3">
        <v>25</v>
      </c>
      <c r="I826" s="4">
        <v>110</v>
      </c>
      <c r="J826" s="5">
        <v>316000</v>
      </c>
      <c r="K826" s="6">
        <f>$E826+1</f>
        <v>111</v>
      </c>
      <c r="L826" s="7">
        <f>IF($J826=0,0,ROUND(MAX($J826*1.4,1620000*(1.497923^(MIN($E826,123)-117)))*1,0))</f>
        <v>442400</v>
      </c>
      <c r="M826" s="4">
        <f>$E826+2</f>
        <v>112</v>
      </c>
      <c r="N826" s="8">
        <f>IF($J826=0,0,ROUND(MAX($J826*1.4*1.5,2190000*(1.580994^(MIN($E826,123)-117)))*1,0))</f>
        <v>663600</v>
      </c>
      <c r="O826" s="6">
        <f>$E826+4</f>
        <v>114</v>
      </c>
      <c r="P826" s="7">
        <f>IF($J826=0,0,ROUND(MAX($J826*1.4*1.5*1.6,3500000*(1.57975^(MIN($E826,123)-117)))*1,0))</f>
        <v>1061760</v>
      </c>
      <c r="Q826" s="4">
        <f>$E826+6</f>
        <v>116</v>
      </c>
      <c r="R826" s="8">
        <f>IF($J826=0,0,ROUND(MAX($J826*1.4*1.5*1.6*1.6,13100000*(1.429962^(MIN($E826,123)-117)))*1,0))</f>
        <v>1698816</v>
      </c>
      <c r="S826" s="6">
        <f>$E826+8</f>
        <v>118</v>
      </c>
      <c r="T826" s="7">
        <f>IF($J826=0,0,ROUND(MAX($J826*1.4*1.5*1.6*1.6*2.2,42600000*(1.576904^(MIN($E826,123)-117)))*1,0))</f>
        <v>3737395</v>
      </c>
      <c r="U826" s="4">
        <f>$E826+11</f>
        <v>121</v>
      </c>
      <c r="V826" s="8">
        <f>IF($J826=0,0,ROUND(MAX($J826*1.4*1.5*1.6*1.6*2.2*2.715,354000000*(1.642074^(MIN($E826,123)-117)))*1,0))</f>
        <v>10996493</v>
      </c>
      <c r="W826" s="6">
        <f>$E826+15</f>
        <v>125</v>
      </c>
      <c r="X826" s="7">
        <f>IF($J826=0,0,ROUND(MAX($J826*1.4*1.5*1.6*1.6*2.2*2.715*2.6,3540000000*(1.579646^(MIN($E826,123)-117)))*1,0))</f>
        <v>144239716</v>
      </c>
      <c r="Y826" s="4">
        <f>$E826+17</f>
        <v>127</v>
      </c>
      <c r="Z826" s="8">
        <f>IF($J826=0,0,ROUND(MAX($J826*1.4*1.5*1.6*1.6*2.2*2.715*2.6*1.4,6020000000*(1.651178^(MIN($E826,123)-117)))*1,0))</f>
        <v>179903344</v>
      </c>
      <c r="AA826" s="6">
        <f>$E826+19</f>
        <v>129</v>
      </c>
      <c r="AB826" s="7">
        <f>IF($J826=0,0,ROUND(MAX($J826*1.4*1.5*1.6*1.6*2.2*2.715*2.6*1.4*1.4,8430000000*(1.651435^(MIN($E826,123)-117)))*1,0))</f>
        <v>251650143</v>
      </c>
      <c r="AC826" s="4">
        <f>$E826+21</f>
        <v>131</v>
      </c>
      <c r="AD826" s="8">
        <f>IF($J826=0,0,ROUND(MAX($J826*1.4*1.5*1.6*1.6*2.2*2.715*2.6*1.4*1.4*1.5,12600000000*(1.652953^(MIN($E826,123)-117)))*1,0))</f>
        <v>373720576</v>
      </c>
      <c r="AE826" s="6">
        <f>$E826+24</f>
        <v>134</v>
      </c>
      <c r="AF826" s="7">
        <f>IF($J826=0,0,ROUND(MAX($J826*1.4*1.5*1.6*1.6*2.2*2.715*2.6*1.4*1.4*1.5*1.5,18900000000*(1.65331^(MIN($E826,123)-117)))*1,0))</f>
        <v>559734088</v>
      </c>
      <c r="AG826" s="4">
        <f>$E826+27</f>
        <v>137</v>
      </c>
      <c r="AH826" s="8">
        <f>IF($J826=0,0,ROUND(MAX($J826*1.4*1.5*1.6*1.6*2.2*2.715*2.6*1.4*1.4*1.5*1.5*3.2,60500000000*(1.654288^(MIN($E826,123)-117)))*1,0))</f>
        <v>1784339701</v>
      </c>
    </row>
    <row r="827" ht="27.75" customHeight="1" spans="1:34" x14ac:dyDescent="0.25">
      <c r="A827" s="3">
        <v>837</v>
      </c>
      <c r="B827" s="3" t="s">
        <v>703</v>
      </c>
      <c r="C827" s="3" t="s">
        <v>670</v>
      </c>
      <c r="D827" s="3" t="s">
        <v>64</v>
      </c>
      <c r="E827" s="3">
        <v>110</v>
      </c>
      <c r="F827" s="3" t="s">
        <v>54</v>
      </c>
      <c r="G827" s="3" t="s">
        <v>704</v>
      </c>
      <c r="H827" s="3">
        <v>25</v>
      </c>
      <c r="I827" s="4">
        <v>110</v>
      </c>
      <c r="J827" s="5">
        <v>226000</v>
      </c>
      <c r="K827" s="6">
        <f>$E827+1</f>
        <v>111</v>
      </c>
      <c r="L827" s="7">
        <f>IF($J827=0,0,ROUND(MAX($J827*1.4,1620000*(1.497923^(MIN($E827,123)-117)))*1,0))</f>
        <v>316400</v>
      </c>
      <c r="M827" s="4">
        <f>$E827+2</f>
        <v>112</v>
      </c>
      <c r="N827" s="8">
        <f>IF($J827=0,0,ROUND(MAX($J827*1.4*1.5,2190000*(1.580994^(MIN($E827,123)-117)))*1,0))</f>
        <v>474600</v>
      </c>
      <c r="O827" s="6">
        <f>$E827+4</f>
        <v>114</v>
      </c>
      <c r="P827" s="7">
        <f>IF($J827=0,0,ROUND(MAX($J827*1.4*1.5*1.6,3500000*(1.57975^(MIN($E827,123)-117)))*1,0))</f>
        <v>759360</v>
      </c>
      <c r="Q827" s="4">
        <f>$E827+6</f>
        <v>116</v>
      </c>
      <c r="R827" s="8">
        <f>IF($J827=0,0,ROUND(MAX($J827*1.4*1.5*1.6*1.6,13100000*(1.429962^(MIN($E827,123)-117)))*1,0))</f>
        <v>1214976</v>
      </c>
      <c r="S827" s="6">
        <f>$E827+8</f>
        <v>118</v>
      </c>
      <c r="T827" s="7">
        <f>IF($J827=0,0,ROUND(MAX($J827*1.4*1.5*1.6*1.6*2.2,42600000*(1.576904^(MIN($E827,123)-117)))*1,0))</f>
        <v>2672947</v>
      </c>
      <c r="U827" s="4">
        <f>$E827+11</f>
        <v>121</v>
      </c>
      <c r="V827" s="8">
        <f>IF($J827=0,0,ROUND(MAX($J827*1.4*1.5*1.6*1.6*2.2*2.715,354000000*(1.642074^(MIN($E827,123)-117)))*1,0))</f>
        <v>10996493</v>
      </c>
      <c r="W827" s="6">
        <f>$E827+15</f>
        <v>125</v>
      </c>
      <c r="X827" s="7">
        <f>IF($J827=0,0,ROUND(MAX($J827*1.4*1.5*1.6*1.6*2.2*2.715*2.6,3540000000*(1.579646^(MIN($E827,123)-117)))*1,0))</f>
        <v>144239716</v>
      </c>
      <c r="Y827" s="4">
        <f>$E827+17</f>
        <v>127</v>
      </c>
      <c r="Z827" s="8">
        <f>IF($J827=0,0,ROUND(MAX($J827*1.4*1.5*1.6*1.6*2.2*2.715*2.6*1.4,6020000000*(1.651178^(MIN($E827,123)-117)))*1,0))</f>
        <v>179903344</v>
      </c>
      <c r="AA827" s="6">
        <f>$E827+19</f>
        <v>129</v>
      </c>
      <c r="AB827" s="7">
        <f>IF($J827=0,0,ROUND(MAX($J827*1.4*1.5*1.6*1.6*2.2*2.715*2.6*1.4*1.4,8430000000*(1.651435^(MIN($E827,123)-117)))*1,0))</f>
        <v>251650143</v>
      </c>
      <c r="AC827" s="4">
        <f>$E827+21</f>
        <v>131</v>
      </c>
      <c r="AD827" s="8">
        <f>IF($J827=0,0,ROUND(MAX($J827*1.4*1.5*1.6*1.6*2.2*2.715*2.6*1.4*1.4*1.5,12600000000*(1.652953^(MIN($E827,123)-117)))*1,0))</f>
        <v>373720576</v>
      </c>
      <c r="AE827" s="6">
        <f>$E827+24</f>
        <v>134</v>
      </c>
      <c r="AF827" s="7">
        <f>IF($J827=0,0,ROUND(MAX($J827*1.4*1.5*1.6*1.6*2.2*2.715*2.6*1.4*1.4*1.5*1.5,18900000000*(1.65331^(MIN($E827,123)-117)))*1,0))</f>
        <v>559734088</v>
      </c>
      <c r="AG827" s="4">
        <f>$E827+27</f>
        <v>137</v>
      </c>
      <c r="AH827" s="8">
        <f>IF($J827=0,0,ROUND(MAX($J827*1.4*1.5*1.6*1.6*2.2*2.715*2.6*1.4*1.4*1.5*1.5*3.2,60500000000*(1.654288^(MIN($E827,123)-117)))*1,0))</f>
        <v>1784339701</v>
      </c>
    </row>
    <row r="828" ht="27.75" customHeight="1" spans="1:34" x14ac:dyDescent="0.25">
      <c r="A828" s="3">
        <v>838</v>
      </c>
      <c r="B828" s="3" t="s">
        <v>705</v>
      </c>
      <c r="C828" s="3" t="s">
        <v>670</v>
      </c>
      <c r="D828" s="3" t="s">
        <v>102</v>
      </c>
      <c r="E828" s="3">
        <v>110</v>
      </c>
      <c r="F828" s="3" t="s">
        <v>212</v>
      </c>
      <c r="G828" s="3" t="s">
        <v>252</v>
      </c>
      <c r="H828" s="3">
        <v>25</v>
      </c>
      <c r="I828" s="4">
        <v>110</v>
      </c>
      <c r="J828" s="5">
        <v>425000</v>
      </c>
      <c r="K828" s="6">
        <f>$E828+1</f>
        <v>111</v>
      </c>
      <c r="L828" s="7">
        <f>IF($J828=0,0,ROUND(MAX($J828*1.4,1620000*(1.497923^(MIN($E828,123)-117)))*1,0))</f>
        <v>595000</v>
      </c>
      <c r="M828" s="4">
        <f>$E828+2</f>
        <v>112</v>
      </c>
      <c r="N828" s="8">
        <f>IF($J828=0,0,ROUND(MAX($J828*1.4*1.5,2190000*(1.580994^(MIN($E828,123)-117)))*1,0))</f>
        <v>892500</v>
      </c>
      <c r="O828" s="6">
        <f>$E828+4</f>
        <v>114</v>
      </c>
      <c r="P828" s="7">
        <f>IF($J828=0,0,ROUND(MAX($J828*1.4*1.5*1.6,3500000*(1.57975^(MIN($E828,123)-117)))*1,0))</f>
        <v>1428000</v>
      </c>
      <c r="Q828" s="4">
        <f>$E828+6</f>
        <v>116</v>
      </c>
      <c r="R828" s="8">
        <f>IF($J828=0,0,ROUND(MAX($J828*1.4*1.5*1.6*1.6,13100000*(1.429962^(MIN($E828,123)-117)))*1,0))</f>
        <v>2284800</v>
      </c>
      <c r="S828" s="6">
        <f>$E828+8</f>
        <v>118</v>
      </c>
      <c r="T828" s="7">
        <f>IF($J828=0,0,ROUND(MAX($J828*1.4*1.5*1.6*1.6*2.2,42600000*(1.576904^(MIN($E828,123)-117)))*1,0))</f>
        <v>5026560</v>
      </c>
      <c r="U828" s="4">
        <f>$E828+11</f>
        <v>121</v>
      </c>
      <c r="V828" s="8">
        <f>IF($J828=0,0,ROUND(MAX($J828*1.4*1.5*1.6*1.6*2.2*2.715,354000000*(1.642074^(MIN($E828,123)-117)))*1,0))</f>
        <v>13647110</v>
      </c>
      <c r="W828" s="6">
        <f>$E828+15</f>
        <v>125</v>
      </c>
      <c r="X828" s="7">
        <f>IF($J828=0,0,ROUND(MAX($J828*1.4*1.5*1.6*1.6*2.2*2.715*2.6,3540000000*(1.579646^(MIN($E828,123)-117)))*1,0))</f>
        <v>144239716</v>
      </c>
      <c r="Y828" s="4">
        <f>$E828+17</f>
        <v>127</v>
      </c>
      <c r="Z828" s="8">
        <f>IF($J828=0,0,ROUND(MAX($J828*1.4*1.5*1.6*1.6*2.2*2.715*2.6*1.4,6020000000*(1.651178^(MIN($E828,123)-117)))*1,0))</f>
        <v>179903344</v>
      </c>
      <c r="AA828" s="6">
        <f>$E828+19</f>
        <v>129</v>
      </c>
      <c r="AB828" s="7">
        <f>IF($J828=0,0,ROUND(MAX($J828*1.4*1.5*1.6*1.6*2.2*2.715*2.6*1.4*1.4,8430000000*(1.651435^(MIN($E828,123)-117)))*1,0))</f>
        <v>251650143</v>
      </c>
      <c r="AC828" s="4">
        <f>$E828+21</f>
        <v>131</v>
      </c>
      <c r="AD828" s="8">
        <f>IF($J828=0,0,ROUND(MAX($J828*1.4*1.5*1.6*1.6*2.2*2.715*2.6*1.4*1.4*1.5,12600000000*(1.652953^(MIN($E828,123)-117)))*1,0))</f>
        <v>373720576</v>
      </c>
      <c r="AE828" s="6">
        <f>$E828+24</f>
        <v>134</v>
      </c>
      <c r="AF828" s="7">
        <f>IF($J828=0,0,ROUND(MAX($J828*1.4*1.5*1.6*1.6*2.2*2.715*2.6*1.4*1.4*1.5*1.5,18900000000*(1.65331^(MIN($E828,123)-117)))*1,0))</f>
        <v>559734088</v>
      </c>
      <c r="AG828" s="4">
        <f>$E828+27</f>
        <v>137</v>
      </c>
      <c r="AH828" s="8">
        <f>IF($J828=0,0,ROUND(MAX($J828*1.4*1.5*1.6*1.6*2.2*2.715*2.6*1.4*1.4*1.5*1.5*3.2,60500000000*(1.654288^(MIN($E828,123)-117)))*1,0))</f>
        <v>1784339701</v>
      </c>
    </row>
    <row r="829" ht="27.75" customHeight="1" spans="1:34" x14ac:dyDescent="0.25">
      <c r="A829" s="3">
        <v>839</v>
      </c>
      <c r="B829" s="3" t="s">
        <v>471</v>
      </c>
      <c r="C829" s="3" t="s">
        <v>670</v>
      </c>
      <c r="D829" s="3" t="s">
        <v>102</v>
      </c>
      <c r="E829" s="3">
        <v>110</v>
      </c>
      <c r="F829" s="3" t="s">
        <v>54</v>
      </c>
      <c r="G829" s="3" t="s">
        <v>472</v>
      </c>
      <c r="H829" s="3">
        <v>25</v>
      </c>
      <c r="I829" s="4">
        <v>110</v>
      </c>
      <c r="J829" s="5">
        <v>234000</v>
      </c>
      <c r="K829" s="6">
        <f>$E829+1</f>
        <v>111</v>
      </c>
      <c r="L829" s="7">
        <f>IF($J829=0,0,ROUND(MAX($J829*1.4,1620000*(1.497923^(MIN($E829,123)-117)))*1,0))</f>
        <v>327600</v>
      </c>
      <c r="M829" s="4">
        <f>$E829+2</f>
        <v>112</v>
      </c>
      <c r="N829" s="8">
        <f>IF($J829=0,0,ROUND(MAX($J829*1.4*1.5,2190000*(1.580994^(MIN($E829,123)-117)))*1,0))</f>
        <v>491400</v>
      </c>
      <c r="O829" s="6">
        <f>$E829+4</f>
        <v>114</v>
      </c>
      <c r="P829" s="7">
        <f>IF($J829=0,0,ROUND(MAX($J829*1.4*1.5*1.6,3500000*(1.57975^(MIN($E829,123)-117)))*1,0))</f>
        <v>786240</v>
      </c>
      <c r="Q829" s="4">
        <f>$E829+6</f>
        <v>116</v>
      </c>
      <c r="R829" s="8">
        <f>IF($J829=0,0,ROUND(MAX($J829*1.4*1.5*1.6*1.6,13100000*(1.429962^(MIN($E829,123)-117)))*1,0))</f>
        <v>1257984</v>
      </c>
      <c r="S829" s="6">
        <f>$E829+8</f>
        <v>118</v>
      </c>
      <c r="T829" s="7">
        <f>IF($J829=0,0,ROUND(MAX($J829*1.4*1.5*1.6*1.6*2.2,42600000*(1.576904^(MIN($E829,123)-117)))*1,0))</f>
        <v>2767565</v>
      </c>
      <c r="U829" s="4">
        <f>$E829+11</f>
        <v>121</v>
      </c>
      <c r="V829" s="8">
        <f>IF($J829=0,0,ROUND(MAX($J829*1.4*1.5*1.6*1.6*2.2*2.715,354000000*(1.642074^(MIN($E829,123)-117)))*1,0))</f>
        <v>10996493</v>
      </c>
      <c r="W829" s="6">
        <f>$E829+15</f>
        <v>125</v>
      </c>
      <c r="X829" s="7">
        <f>IF($J829=0,0,ROUND(MAX($J829*1.4*1.5*1.6*1.6*2.2*2.715*2.6,3540000000*(1.579646^(MIN($E829,123)-117)))*1,0))</f>
        <v>144239716</v>
      </c>
      <c r="Y829" s="4">
        <f>$E829+17</f>
        <v>127</v>
      </c>
      <c r="Z829" s="8">
        <f>IF($J829=0,0,ROUND(MAX($J829*1.4*1.5*1.6*1.6*2.2*2.715*2.6*1.4,6020000000*(1.651178^(MIN($E829,123)-117)))*1,0))</f>
        <v>179903344</v>
      </c>
      <c r="AA829" s="6">
        <f>$E829+19</f>
        <v>129</v>
      </c>
      <c r="AB829" s="7">
        <f>IF($J829=0,0,ROUND(MAX($J829*1.4*1.5*1.6*1.6*2.2*2.715*2.6*1.4*1.4,8430000000*(1.651435^(MIN($E829,123)-117)))*1,0))</f>
        <v>251650143</v>
      </c>
      <c r="AC829" s="4">
        <f>$E829+21</f>
        <v>131</v>
      </c>
      <c r="AD829" s="8">
        <f>IF($J829=0,0,ROUND(MAX($J829*1.4*1.5*1.6*1.6*2.2*2.715*2.6*1.4*1.4*1.5,12600000000*(1.652953^(MIN($E829,123)-117)))*1,0))</f>
        <v>373720576</v>
      </c>
      <c r="AE829" s="6">
        <f>$E829+24</f>
        <v>134</v>
      </c>
      <c r="AF829" s="7">
        <f>IF($J829=0,0,ROUND(MAX($J829*1.4*1.5*1.6*1.6*2.2*2.715*2.6*1.4*1.4*1.5*1.5,18900000000*(1.65331^(MIN($E829,123)-117)))*1,0))</f>
        <v>559734088</v>
      </c>
      <c r="AG829" s="4">
        <f>$E829+27</f>
        <v>137</v>
      </c>
      <c r="AH829" s="8">
        <f>IF($J829=0,0,ROUND(MAX($J829*1.4*1.5*1.6*1.6*2.2*2.715*2.6*1.4*1.4*1.5*1.5*3.2,60500000000*(1.654288^(MIN($E829,123)-117)))*1,0))</f>
        <v>1784339701</v>
      </c>
    </row>
    <row r="830" ht="27.75" customHeight="1" spans="1:34" x14ac:dyDescent="0.25">
      <c r="A830" s="3">
        <v>840</v>
      </c>
      <c r="B830" s="3" t="s">
        <v>706</v>
      </c>
      <c r="C830" s="3" t="s">
        <v>670</v>
      </c>
      <c r="D830" s="3" t="s">
        <v>33</v>
      </c>
      <c r="E830" s="3">
        <v>110</v>
      </c>
      <c r="F830" s="3" t="s">
        <v>34</v>
      </c>
      <c r="G830" s="3" t="s">
        <v>277</v>
      </c>
      <c r="H830" s="3">
        <v>25</v>
      </c>
      <c r="I830" s="4">
        <v>110</v>
      </c>
      <c r="J830" s="5">
        <v>185000</v>
      </c>
      <c r="K830" s="6">
        <f>$E830+1</f>
        <v>111</v>
      </c>
      <c r="L830" s="7">
        <f>IF($J830=0,0,ROUND(MAX($J830*1.4,1620000*(1.497923^(MIN($E830,123)-117)))*1,0))</f>
        <v>259000</v>
      </c>
      <c r="M830" s="4">
        <f>$E830+2</f>
        <v>112</v>
      </c>
      <c r="N830" s="8">
        <f>IF($J830=0,0,ROUND(MAX($J830*1.4*1.5,2190000*(1.580994^(MIN($E830,123)-117)))*1,0))</f>
        <v>388500</v>
      </c>
      <c r="O830" s="6">
        <f>$E830+4</f>
        <v>114</v>
      </c>
      <c r="P830" s="7">
        <f>IF($J830=0,0,ROUND(MAX($J830*1.4*1.5*1.6,3500000*(1.57975^(MIN($E830,123)-117)))*1,0))</f>
        <v>621600</v>
      </c>
      <c r="Q830" s="4">
        <f>$E830+6</f>
        <v>116</v>
      </c>
      <c r="R830" s="8">
        <f>IF($J830=0,0,ROUND(MAX($J830*1.4*1.5*1.6*1.6,13100000*(1.429962^(MIN($E830,123)-117)))*1,0))</f>
        <v>1071519</v>
      </c>
      <c r="S830" s="6">
        <f>$E830+8</f>
        <v>118</v>
      </c>
      <c r="T830" s="7">
        <f>IF($J830=0,0,ROUND(MAX($J830*1.4*1.5*1.6*1.6*2.2,42600000*(1.576904^(MIN($E830,123)-117)))*1,0))</f>
        <v>2188032</v>
      </c>
      <c r="U830" s="4">
        <f>$E830+11</f>
        <v>121</v>
      </c>
      <c r="V830" s="8">
        <f>IF($J830=0,0,ROUND(MAX($J830*1.4*1.5*1.6*1.6*2.2*2.715,354000000*(1.642074^(MIN($E830,123)-117)))*1,0))</f>
        <v>10996493</v>
      </c>
      <c r="W830" s="6">
        <f>$E830+15</f>
        <v>125</v>
      </c>
      <c r="X830" s="7">
        <f>IF($J830=0,0,ROUND(MAX($J830*1.4*1.5*1.6*1.6*2.2*2.715*2.6,3540000000*(1.579646^(MIN($E830,123)-117)))*1,0))</f>
        <v>144239716</v>
      </c>
      <c r="Y830" s="4">
        <f>$E830+17</f>
        <v>127</v>
      </c>
      <c r="Z830" s="8">
        <f>IF($J830=0,0,ROUND(MAX($J830*1.4*1.5*1.6*1.6*2.2*2.715*2.6*1.4,6020000000*(1.651178^(MIN($E830,123)-117)))*1,0))</f>
        <v>179903344</v>
      </c>
      <c r="AA830" s="6">
        <f>$E830+19</f>
        <v>129</v>
      </c>
      <c r="AB830" s="7">
        <f>IF($J830=0,0,ROUND(MAX($J830*1.4*1.5*1.6*1.6*2.2*2.715*2.6*1.4*1.4,8430000000*(1.651435^(MIN($E830,123)-117)))*1,0))</f>
        <v>251650143</v>
      </c>
      <c r="AC830" s="4">
        <f>$E830+21</f>
        <v>131</v>
      </c>
      <c r="AD830" s="8">
        <f>IF($J830=0,0,ROUND(MAX($J830*1.4*1.5*1.6*1.6*2.2*2.715*2.6*1.4*1.4*1.5,12600000000*(1.652953^(MIN($E830,123)-117)))*1,0))</f>
        <v>373720576</v>
      </c>
      <c r="AE830" s="6">
        <f>$E830+24</f>
        <v>134</v>
      </c>
      <c r="AF830" s="7">
        <f>IF($J830=0,0,ROUND(MAX($J830*1.4*1.5*1.6*1.6*2.2*2.715*2.6*1.4*1.4*1.5*1.5,18900000000*(1.65331^(MIN($E830,123)-117)))*1,0))</f>
        <v>559734088</v>
      </c>
      <c r="AG830" s="4">
        <f>$E830+27</f>
        <v>137</v>
      </c>
      <c r="AH830" s="8">
        <f>IF($J830=0,0,ROUND(MAX($J830*1.4*1.5*1.6*1.6*2.2*2.715*2.6*1.4*1.4*1.5*1.5*3.2,60500000000*(1.654288^(MIN($E830,123)-117)))*1,0))</f>
        <v>1784339701</v>
      </c>
    </row>
    <row r="831" ht="27.75" customHeight="1" spans="1:34" x14ac:dyDescent="0.25">
      <c r="A831" s="3">
        <v>841</v>
      </c>
      <c r="B831" s="3" t="s">
        <v>707</v>
      </c>
      <c r="C831" s="3" t="s">
        <v>670</v>
      </c>
      <c r="D831" s="3" t="s">
        <v>102</v>
      </c>
      <c r="E831" s="3">
        <v>110</v>
      </c>
      <c r="F831" s="3" t="s">
        <v>30</v>
      </c>
      <c r="G831" s="3" t="s">
        <v>472</v>
      </c>
      <c r="H831" s="3">
        <v>25</v>
      </c>
      <c r="I831" s="4">
        <v>110</v>
      </c>
      <c r="J831" s="5">
        <v>83200</v>
      </c>
      <c r="K831" s="6">
        <f>$E831+1</f>
        <v>111</v>
      </c>
      <c r="L831" s="7">
        <f>IF($J831=0,0,ROUND(MAX($J831*1.4,1620000*(1.497923^(MIN($E831,123)-117)))*1,0))</f>
        <v>116480</v>
      </c>
      <c r="M831" s="4">
        <f>$E831+2</f>
        <v>112</v>
      </c>
      <c r="N831" s="8">
        <f>IF($J831=0,0,ROUND(MAX($J831*1.4*1.5,2190000*(1.580994^(MIN($E831,123)-117)))*1,0))</f>
        <v>174720</v>
      </c>
      <c r="O831" s="6">
        <f>$E831+4</f>
        <v>114</v>
      </c>
      <c r="P831" s="7">
        <f>IF($J831=0,0,ROUND(MAX($J831*1.4*1.5*1.6,3500000*(1.57975^(MIN($E831,123)-117)))*1,0))</f>
        <v>279552</v>
      </c>
      <c r="Q831" s="4">
        <f>$E831+6</f>
        <v>116</v>
      </c>
      <c r="R831" s="8">
        <f>IF($J831=0,0,ROUND(MAX($J831*1.4*1.5*1.6*1.6,13100000*(1.429962^(MIN($E831,123)-117)))*1,0))</f>
        <v>1071519</v>
      </c>
      <c r="S831" s="6">
        <f>$E831+8</f>
        <v>118</v>
      </c>
      <c r="T831" s="7">
        <f>IF($J831=0,0,ROUND(MAX($J831*1.4*1.5*1.6*1.6*2.2,42600000*(1.576904^(MIN($E831,123)-117)))*1,0))</f>
        <v>1757004</v>
      </c>
      <c r="U831" s="4">
        <f>$E831+11</f>
        <v>121</v>
      </c>
      <c r="V831" s="8">
        <f>IF($J831=0,0,ROUND(MAX($J831*1.4*1.5*1.6*1.6*2.2*2.715,354000000*(1.642074^(MIN($E831,123)-117)))*1,0))</f>
        <v>10996493</v>
      </c>
      <c r="W831" s="6">
        <f>$E831+15</f>
        <v>125</v>
      </c>
      <c r="X831" s="7">
        <f>IF($J831=0,0,ROUND(MAX($J831*1.4*1.5*1.6*1.6*2.2*2.715*2.6,3540000000*(1.579646^(MIN($E831,123)-117)))*1,0))</f>
        <v>144239716</v>
      </c>
      <c r="Y831" s="4">
        <f>$E831+17</f>
        <v>127</v>
      </c>
      <c r="Z831" s="8">
        <f>IF($J831=0,0,ROUND(MAX($J831*1.4*1.5*1.6*1.6*2.2*2.715*2.6*1.4,6020000000*(1.651178^(MIN($E831,123)-117)))*1,0))</f>
        <v>179903344</v>
      </c>
      <c r="AA831" s="6">
        <f>$E831+19</f>
        <v>129</v>
      </c>
      <c r="AB831" s="7">
        <f>IF($J831=0,0,ROUND(MAX($J831*1.4*1.5*1.6*1.6*2.2*2.715*2.6*1.4*1.4,8430000000*(1.651435^(MIN($E831,123)-117)))*1,0))</f>
        <v>251650143</v>
      </c>
      <c r="AC831" s="4">
        <f>$E831+21</f>
        <v>131</v>
      </c>
      <c r="AD831" s="8">
        <f>IF($J831=0,0,ROUND(MAX($J831*1.4*1.5*1.6*1.6*2.2*2.715*2.6*1.4*1.4*1.5,12600000000*(1.652953^(MIN($E831,123)-117)))*1,0))</f>
        <v>373720576</v>
      </c>
      <c r="AE831" s="6">
        <f>$E831+24</f>
        <v>134</v>
      </c>
      <c r="AF831" s="7">
        <f>IF($J831=0,0,ROUND(MAX($J831*1.4*1.5*1.6*1.6*2.2*2.715*2.6*1.4*1.4*1.5*1.5,18900000000*(1.65331^(MIN($E831,123)-117)))*1,0))</f>
        <v>559734088</v>
      </c>
      <c r="AG831" s="4">
        <f>$E831+27</f>
        <v>137</v>
      </c>
      <c r="AH831" s="8">
        <f>IF($J831=0,0,ROUND(MAX($J831*1.4*1.5*1.6*1.6*2.2*2.715*2.6*1.4*1.4*1.5*1.5*3.2,60500000000*(1.654288^(MIN($E831,123)-117)))*1,0))</f>
        <v>1784339701</v>
      </c>
    </row>
    <row r="832" ht="27.75" customHeight="1" spans="1:34" x14ac:dyDescent="0.25">
      <c r="A832" s="3">
        <v>842</v>
      </c>
      <c r="B832" s="3" t="s">
        <v>708</v>
      </c>
      <c r="C832" s="3" t="s">
        <v>670</v>
      </c>
      <c r="D832" s="3" t="s">
        <v>45</v>
      </c>
      <c r="E832" s="3">
        <v>110</v>
      </c>
      <c r="F832" s="3" t="s">
        <v>400</v>
      </c>
      <c r="G832" s="3" t="s">
        <v>277</v>
      </c>
      <c r="H832" s="3">
        <v>25</v>
      </c>
      <c r="I832" s="4">
        <v>110</v>
      </c>
      <c r="J832" s="5">
        <v>83900</v>
      </c>
      <c r="K832" s="6">
        <f>$E832+1</f>
        <v>111</v>
      </c>
      <c r="L832" s="7">
        <f>IF($J832=0,0,ROUND(MAX($J832*1.4,1620000*(1.497923^(MIN($E832,123)-117)))*1,0))</f>
        <v>117460</v>
      </c>
      <c r="M832" s="4">
        <f>$E832+2</f>
        <v>112</v>
      </c>
      <c r="N832" s="8">
        <f>IF($J832=0,0,ROUND(MAX($J832*1.4*1.5,2190000*(1.580994^(MIN($E832,123)-117)))*1,0))</f>
        <v>176190</v>
      </c>
      <c r="O832" s="6">
        <f>$E832+4</f>
        <v>114</v>
      </c>
      <c r="P832" s="7">
        <f>IF($J832=0,0,ROUND(MAX($J832*1.4*1.5*1.6,3500000*(1.57975^(MIN($E832,123)-117)))*1,0))</f>
        <v>281904</v>
      </c>
      <c r="Q832" s="4">
        <f>$E832+6</f>
        <v>116</v>
      </c>
      <c r="R832" s="8">
        <f>IF($J832=0,0,ROUND(MAX($J832*1.4*1.5*1.6*1.6,13100000*(1.429962^(MIN($E832,123)-117)))*1,0))</f>
        <v>1071519</v>
      </c>
      <c r="S832" s="6">
        <f>$E832+8</f>
        <v>118</v>
      </c>
      <c r="T832" s="7">
        <f>IF($J832=0,0,ROUND(MAX($J832*1.4*1.5*1.6*1.6*2.2,42600000*(1.576904^(MIN($E832,123)-117)))*1,0))</f>
        <v>1757004</v>
      </c>
      <c r="U832" s="4">
        <f>$E832+11</f>
        <v>121</v>
      </c>
      <c r="V832" s="8">
        <f>IF($J832=0,0,ROUND(MAX($J832*1.4*1.5*1.6*1.6*2.2*2.715,354000000*(1.642074^(MIN($E832,123)-117)))*1,0))</f>
        <v>10996493</v>
      </c>
      <c r="W832" s="6">
        <f>$E832+15</f>
        <v>125</v>
      </c>
      <c r="X832" s="7">
        <f>IF($J832=0,0,ROUND(MAX($J832*1.4*1.5*1.6*1.6*2.2*2.715*2.6,3540000000*(1.579646^(MIN($E832,123)-117)))*1,0))</f>
        <v>144239716</v>
      </c>
      <c r="Y832" s="4">
        <f>$E832+17</f>
        <v>127</v>
      </c>
      <c r="Z832" s="8">
        <f>IF($J832=0,0,ROUND(MAX($J832*1.4*1.5*1.6*1.6*2.2*2.715*2.6*1.4,6020000000*(1.651178^(MIN($E832,123)-117)))*1,0))</f>
        <v>179903344</v>
      </c>
      <c r="AA832" s="6">
        <f>$E832+19</f>
        <v>129</v>
      </c>
      <c r="AB832" s="7">
        <f>IF($J832=0,0,ROUND(MAX($J832*1.4*1.5*1.6*1.6*2.2*2.715*2.6*1.4*1.4,8430000000*(1.651435^(MIN($E832,123)-117)))*1,0))</f>
        <v>251650143</v>
      </c>
      <c r="AC832" s="4">
        <f>$E832+21</f>
        <v>131</v>
      </c>
      <c r="AD832" s="8">
        <f>IF($J832=0,0,ROUND(MAX($J832*1.4*1.5*1.6*1.6*2.2*2.715*2.6*1.4*1.4*1.5,12600000000*(1.652953^(MIN($E832,123)-117)))*1,0))</f>
        <v>373720576</v>
      </c>
      <c r="AE832" s="6">
        <f>$E832+24</f>
        <v>134</v>
      </c>
      <c r="AF832" s="7">
        <f>IF($J832=0,0,ROUND(MAX($J832*1.4*1.5*1.6*1.6*2.2*2.715*2.6*1.4*1.4*1.5*1.5,18900000000*(1.65331^(MIN($E832,123)-117)))*1,0))</f>
        <v>559734088</v>
      </c>
      <c r="AG832" s="4">
        <f>$E832+27</f>
        <v>137</v>
      </c>
      <c r="AH832" s="8">
        <f>IF($J832=0,0,ROUND(MAX($J832*1.4*1.5*1.6*1.6*2.2*2.715*2.6*1.4*1.4*1.5*1.5*3.2,60500000000*(1.654288^(MIN($E832,123)-117)))*1,0))</f>
        <v>1784339701</v>
      </c>
    </row>
    <row r="833" ht="27.75" customHeight="1" spans="1:34" x14ac:dyDescent="0.25">
      <c r="A833" s="3">
        <v>843</v>
      </c>
      <c r="B833" s="3" t="s">
        <v>709</v>
      </c>
      <c r="C833" s="3" t="s">
        <v>670</v>
      </c>
      <c r="D833" s="3" t="s">
        <v>33</v>
      </c>
      <c r="E833" s="3">
        <v>110</v>
      </c>
      <c r="F833" s="3" t="s">
        <v>71</v>
      </c>
      <c r="G833" s="3" t="s">
        <v>252</v>
      </c>
      <c r="H833" s="3">
        <v>25</v>
      </c>
      <c r="I833" s="4">
        <v>110</v>
      </c>
      <c r="J833" s="5">
        <v>84300</v>
      </c>
      <c r="K833" s="6">
        <f>$E833+1</f>
        <v>111</v>
      </c>
      <c r="L833" s="7">
        <f>IF($J833=0,0,ROUND(MAX($J833*1.4,1620000*(1.497923^(MIN($E833,123)-117)))*1,0))</f>
        <v>118020</v>
      </c>
      <c r="M833" s="4">
        <f>$E833+2</f>
        <v>112</v>
      </c>
      <c r="N833" s="8">
        <f>IF($J833=0,0,ROUND(MAX($J833*1.4*1.5,2190000*(1.580994^(MIN($E833,123)-117)))*1,0))</f>
        <v>177030</v>
      </c>
      <c r="O833" s="6">
        <f>$E833+4</f>
        <v>114</v>
      </c>
      <c r="P833" s="7">
        <f>IF($J833=0,0,ROUND(MAX($J833*1.4*1.5*1.6,3500000*(1.57975^(MIN($E833,123)-117)))*1,0))</f>
        <v>283248</v>
      </c>
      <c r="Q833" s="4">
        <f>$E833+6</f>
        <v>116</v>
      </c>
      <c r="R833" s="8">
        <f>IF($J833=0,0,ROUND(MAX($J833*1.4*1.5*1.6*1.6,13100000*(1.429962^(MIN($E833,123)-117)))*1,0))</f>
        <v>1071519</v>
      </c>
      <c r="S833" s="6">
        <f>$E833+8</f>
        <v>118</v>
      </c>
      <c r="T833" s="7">
        <f>IF($J833=0,0,ROUND(MAX($J833*1.4*1.5*1.6*1.6*2.2,42600000*(1.576904^(MIN($E833,123)-117)))*1,0))</f>
        <v>1757004</v>
      </c>
      <c r="U833" s="4">
        <f>$E833+11</f>
        <v>121</v>
      </c>
      <c r="V833" s="8">
        <f>IF($J833=0,0,ROUND(MAX($J833*1.4*1.5*1.6*1.6*2.2*2.715,354000000*(1.642074^(MIN($E833,123)-117)))*1,0))</f>
        <v>10996493</v>
      </c>
      <c r="W833" s="6">
        <f>$E833+15</f>
        <v>125</v>
      </c>
      <c r="X833" s="7">
        <f>IF($J833=0,0,ROUND(MAX($J833*1.4*1.5*1.6*1.6*2.2*2.715*2.6,3540000000*(1.579646^(MIN($E833,123)-117)))*1,0))</f>
        <v>144239716</v>
      </c>
      <c r="Y833" s="4">
        <f>$E833+17</f>
        <v>127</v>
      </c>
      <c r="Z833" s="8">
        <f>IF($J833=0,0,ROUND(MAX($J833*1.4*1.5*1.6*1.6*2.2*2.715*2.6*1.4,6020000000*(1.651178^(MIN($E833,123)-117)))*1,0))</f>
        <v>179903344</v>
      </c>
      <c r="AA833" s="6">
        <f>$E833+19</f>
        <v>129</v>
      </c>
      <c r="AB833" s="7">
        <f>IF($J833=0,0,ROUND(MAX($J833*1.4*1.5*1.6*1.6*2.2*2.715*2.6*1.4*1.4,8430000000*(1.651435^(MIN($E833,123)-117)))*1,0))</f>
        <v>251650143</v>
      </c>
      <c r="AC833" s="4">
        <f>$E833+21</f>
        <v>131</v>
      </c>
      <c r="AD833" s="8">
        <f>IF($J833=0,0,ROUND(MAX($J833*1.4*1.5*1.6*1.6*2.2*2.715*2.6*1.4*1.4*1.5,12600000000*(1.652953^(MIN($E833,123)-117)))*1,0))</f>
        <v>373720576</v>
      </c>
      <c r="AE833" s="6">
        <f>$E833+24</f>
        <v>134</v>
      </c>
      <c r="AF833" s="7">
        <f>IF($J833=0,0,ROUND(MAX($J833*1.4*1.5*1.6*1.6*2.2*2.715*2.6*1.4*1.4*1.5*1.5,18900000000*(1.65331^(MIN($E833,123)-117)))*1,0))</f>
        <v>559734088</v>
      </c>
      <c r="AG833" s="4">
        <f>$E833+27</f>
        <v>137</v>
      </c>
      <c r="AH833" s="8">
        <f>IF($J833=0,0,ROUND(MAX($J833*1.4*1.5*1.6*1.6*2.2*2.715*2.6*1.4*1.4*1.5*1.5*3.2,60500000000*(1.654288^(MIN($E833,123)-117)))*1,0))</f>
        <v>1784339701</v>
      </c>
    </row>
    <row r="834" ht="27.75" customHeight="1" spans="1:34" x14ac:dyDescent="0.25">
      <c r="A834" s="3">
        <v>844</v>
      </c>
      <c r="B834" s="3" t="s">
        <v>710</v>
      </c>
      <c r="C834" s="3" t="s">
        <v>670</v>
      </c>
      <c r="D834" s="3" t="s">
        <v>102</v>
      </c>
      <c r="E834" s="3">
        <v>110</v>
      </c>
      <c r="F834" s="3" t="s">
        <v>34</v>
      </c>
      <c r="G834" s="3" t="s">
        <v>671</v>
      </c>
      <c r="H834" s="3">
        <v>25</v>
      </c>
      <c r="I834" s="4">
        <v>110</v>
      </c>
      <c r="J834" s="5">
        <v>69400</v>
      </c>
      <c r="K834" s="6">
        <f>$E834+1</f>
        <v>111</v>
      </c>
      <c r="L834" s="7">
        <f>IF($J834=0,0,ROUND(MAX($J834*1.4,1620000*(1.497923^(MIN($E834,123)-117)))*1,0))</f>
        <v>97160</v>
      </c>
      <c r="M834" s="4">
        <f>$E834+2</f>
        <v>112</v>
      </c>
      <c r="N834" s="8">
        <f>IF($J834=0,0,ROUND(MAX($J834*1.4*1.5,2190000*(1.580994^(MIN($E834,123)-117)))*1,0))</f>
        <v>145740</v>
      </c>
      <c r="O834" s="6">
        <f>$E834+4</f>
        <v>114</v>
      </c>
      <c r="P834" s="7">
        <f>IF($J834=0,0,ROUND(MAX($J834*1.4*1.5*1.6,3500000*(1.57975^(MIN($E834,123)-117)))*1,0))</f>
        <v>233184</v>
      </c>
      <c r="Q834" s="4">
        <f>$E834+6</f>
        <v>116</v>
      </c>
      <c r="R834" s="8">
        <f>IF($J834=0,0,ROUND(MAX($J834*1.4*1.5*1.6*1.6,13100000*(1.429962^(MIN($E834,123)-117)))*1,0))</f>
        <v>1071519</v>
      </c>
      <c r="S834" s="6">
        <f>$E834+8</f>
        <v>118</v>
      </c>
      <c r="T834" s="7">
        <f>IF($J834=0,0,ROUND(MAX($J834*1.4*1.5*1.6*1.6*2.2,42600000*(1.576904^(MIN($E834,123)-117)))*1,0))</f>
        <v>1757004</v>
      </c>
      <c r="U834" s="4">
        <f>$E834+11</f>
        <v>121</v>
      </c>
      <c r="V834" s="8">
        <f>IF($J834=0,0,ROUND(MAX($J834*1.4*1.5*1.6*1.6*2.2*2.715,354000000*(1.642074^(MIN($E834,123)-117)))*1,0))</f>
        <v>10996493</v>
      </c>
      <c r="W834" s="6">
        <f>$E834+15</f>
        <v>125</v>
      </c>
      <c r="X834" s="7">
        <f>IF($J834=0,0,ROUND(MAX($J834*1.4*1.5*1.6*1.6*2.2*2.715*2.6,3540000000*(1.579646^(MIN($E834,123)-117)))*1,0))</f>
        <v>144239716</v>
      </c>
      <c r="Y834" s="4">
        <f>$E834+17</f>
        <v>127</v>
      </c>
      <c r="Z834" s="8">
        <f>IF($J834=0,0,ROUND(MAX($J834*1.4*1.5*1.6*1.6*2.2*2.715*2.6*1.4,6020000000*(1.651178^(MIN($E834,123)-117)))*1,0))</f>
        <v>179903344</v>
      </c>
      <c r="AA834" s="6">
        <f>$E834+19</f>
        <v>129</v>
      </c>
      <c r="AB834" s="7">
        <f>IF($J834=0,0,ROUND(MAX($J834*1.4*1.5*1.6*1.6*2.2*2.715*2.6*1.4*1.4,8430000000*(1.651435^(MIN($E834,123)-117)))*1,0))</f>
        <v>251650143</v>
      </c>
      <c r="AC834" s="4">
        <f>$E834+21</f>
        <v>131</v>
      </c>
      <c r="AD834" s="8">
        <f>IF($J834=0,0,ROUND(MAX($J834*1.4*1.5*1.6*1.6*2.2*2.715*2.6*1.4*1.4*1.5,12600000000*(1.652953^(MIN($E834,123)-117)))*1,0))</f>
        <v>373720576</v>
      </c>
      <c r="AE834" s="6">
        <f>$E834+24</f>
        <v>134</v>
      </c>
      <c r="AF834" s="7">
        <f>IF($J834=0,0,ROUND(MAX($J834*1.4*1.5*1.6*1.6*2.2*2.715*2.6*1.4*1.4*1.5*1.5,18900000000*(1.65331^(MIN($E834,123)-117)))*1,0))</f>
        <v>559734088</v>
      </c>
      <c r="AG834" s="4">
        <f>$E834+27</f>
        <v>137</v>
      </c>
      <c r="AH834" s="8">
        <f>IF($J834=0,0,ROUND(MAX($J834*1.4*1.5*1.6*1.6*2.2*2.715*2.6*1.4*1.4*1.5*1.5*3.2,60500000000*(1.654288^(MIN($E834,123)-117)))*1,0))</f>
        <v>1784339701</v>
      </c>
    </row>
    <row r="835" ht="27.75" customHeight="1" spans="1:34" x14ac:dyDescent="0.25">
      <c r="A835" s="3">
        <v>845</v>
      </c>
      <c r="B835" s="3" t="s">
        <v>711</v>
      </c>
      <c r="C835" s="3" t="s">
        <v>670</v>
      </c>
      <c r="D835" s="3" t="s">
        <v>102</v>
      </c>
      <c r="E835" s="3">
        <v>110</v>
      </c>
      <c r="F835" s="3" t="s">
        <v>412</v>
      </c>
      <c r="G835" s="3" t="s">
        <v>712</v>
      </c>
      <c r="H835" s="3">
        <v>25</v>
      </c>
      <c r="I835" s="4">
        <v>110</v>
      </c>
      <c r="J835" s="5">
        <v>76700</v>
      </c>
      <c r="K835" s="6">
        <f>$E835+1</f>
        <v>111</v>
      </c>
      <c r="L835" s="7">
        <f>IF($J835=0,0,ROUND(MAX($J835*1.4,1620000*(1.497923^(MIN($E835,123)-117)))*1,0))</f>
        <v>107380</v>
      </c>
      <c r="M835" s="4">
        <f>$E835+2</f>
        <v>112</v>
      </c>
      <c r="N835" s="8">
        <f>IF($J835=0,0,ROUND(MAX($J835*1.4*1.5,2190000*(1.580994^(MIN($E835,123)-117)))*1,0))</f>
        <v>161070</v>
      </c>
      <c r="O835" s="6">
        <f>$E835+4</f>
        <v>114</v>
      </c>
      <c r="P835" s="7">
        <f>IF($J835=0,0,ROUND(MAX($J835*1.4*1.5*1.6,3500000*(1.57975^(MIN($E835,123)-117)))*1,0))</f>
        <v>257712</v>
      </c>
      <c r="Q835" s="4">
        <f>$E835+6</f>
        <v>116</v>
      </c>
      <c r="R835" s="8">
        <f>IF($J835=0,0,ROUND(MAX($J835*1.4*1.5*1.6*1.6,13100000*(1.429962^(MIN($E835,123)-117)))*1,0))</f>
        <v>1071519</v>
      </c>
      <c r="S835" s="6">
        <f>$E835+8</f>
        <v>118</v>
      </c>
      <c r="T835" s="7">
        <f>IF($J835=0,0,ROUND(MAX($J835*1.4*1.5*1.6*1.6*2.2,42600000*(1.576904^(MIN($E835,123)-117)))*1,0))</f>
        <v>1757004</v>
      </c>
      <c r="U835" s="4">
        <f>$E835+11</f>
        <v>121</v>
      </c>
      <c r="V835" s="8">
        <f>IF($J835=0,0,ROUND(MAX($J835*1.4*1.5*1.6*1.6*2.2*2.715,354000000*(1.642074^(MIN($E835,123)-117)))*1,0))</f>
        <v>10996493</v>
      </c>
      <c r="W835" s="6">
        <f>$E835+15</f>
        <v>125</v>
      </c>
      <c r="X835" s="7">
        <f>IF($J835=0,0,ROUND(MAX($J835*1.4*1.5*1.6*1.6*2.2*2.715*2.6,3540000000*(1.579646^(MIN($E835,123)-117)))*1,0))</f>
        <v>144239716</v>
      </c>
      <c r="Y835" s="4">
        <f>$E835+17</f>
        <v>127</v>
      </c>
      <c r="Z835" s="8">
        <f>IF($J835=0,0,ROUND(MAX($J835*1.4*1.5*1.6*1.6*2.2*2.715*2.6*1.4,6020000000*(1.651178^(MIN($E835,123)-117)))*1,0))</f>
        <v>179903344</v>
      </c>
      <c r="AA835" s="6">
        <f>$E835+19</f>
        <v>129</v>
      </c>
      <c r="AB835" s="7">
        <f>IF($J835=0,0,ROUND(MAX($J835*1.4*1.5*1.6*1.6*2.2*2.715*2.6*1.4*1.4,8430000000*(1.651435^(MIN($E835,123)-117)))*1,0))</f>
        <v>251650143</v>
      </c>
      <c r="AC835" s="4">
        <f>$E835+21</f>
        <v>131</v>
      </c>
      <c r="AD835" s="8">
        <f>IF($J835=0,0,ROUND(MAX($J835*1.4*1.5*1.6*1.6*2.2*2.715*2.6*1.4*1.4*1.5,12600000000*(1.652953^(MIN($E835,123)-117)))*1,0))</f>
        <v>373720576</v>
      </c>
      <c r="AE835" s="6">
        <f>$E835+24</f>
        <v>134</v>
      </c>
      <c r="AF835" s="7">
        <f>IF($J835=0,0,ROUND(MAX($J835*1.4*1.5*1.6*1.6*2.2*2.715*2.6*1.4*1.4*1.5*1.5,18900000000*(1.65331^(MIN($E835,123)-117)))*1,0))</f>
        <v>559734088</v>
      </c>
      <c r="AG835" s="4">
        <f>$E835+27</f>
        <v>137</v>
      </c>
      <c r="AH835" s="8">
        <f>IF($J835=0,0,ROUND(MAX($J835*1.4*1.5*1.6*1.6*2.2*2.715*2.6*1.4*1.4*1.5*1.5*3.2,60500000000*(1.654288^(MIN($E835,123)-117)))*1,0))</f>
        <v>1784339701</v>
      </c>
    </row>
    <row r="836" ht="27.75" customHeight="1" spans="1:34" x14ac:dyDescent="0.25">
      <c r="A836" s="3">
        <v>846</v>
      </c>
      <c r="B836" s="3" t="s">
        <v>713</v>
      </c>
      <c r="C836" s="3" t="s">
        <v>670</v>
      </c>
      <c r="D836" s="3" t="s">
        <v>79</v>
      </c>
      <c r="E836" s="3">
        <v>110</v>
      </c>
      <c r="F836" s="3" t="s">
        <v>62</v>
      </c>
      <c r="G836" s="3" t="s">
        <v>714</v>
      </c>
      <c r="H836" s="3">
        <v>25</v>
      </c>
      <c r="I836" s="4">
        <v>110</v>
      </c>
      <c r="J836" s="5">
        <v>69700</v>
      </c>
      <c r="K836" s="6">
        <f>$E836+1</f>
        <v>111</v>
      </c>
      <c r="L836" s="7">
        <f>IF($J836=0,0,ROUND(MAX($J836*1.4,1620000*(1.497923^(MIN($E836,123)-117)))*1,0))</f>
        <v>97580</v>
      </c>
      <c r="M836" s="4">
        <f>$E836+2</f>
        <v>112</v>
      </c>
      <c r="N836" s="8">
        <f>IF($J836=0,0,ROUND(MAX($J836*1.4*1.5,2190000*(1.580994^(MIN($E836,123)-117)))*1,0))</f>
        <v>146370</v>
      </c>
      <c r="O836" s="6">
        <f>$E836+4</f>
        <v>114</v>
      </c>
      <c r="P836" s="7">
        <f>IF($J836=0,0,ROUND(MAX($J836*1.4*1.5*1.6,3500000*(1.57975^(MIN($E836,123)-117)))*1,0))</f>
        <v>234192</v>
      </c>
      <c r="Q836" s="4">
        <f>$E836+6</f>
        <v>116</v>
      </c>
      <c r="R836" s="8">
        <f>IF($J836=0,0,ROUND(MAX($J836*1.4*1.5*1.6*1.6,13100000*(1.429962^(MIN($E836,123)-117)))*1,0))</f>
        <v>1071519</v>
      </c>
      <c r="S836" s="6">
        <f>$E836+8</f>
        <v>118</v>
      </c>
      <c r="T836" s="7">
        <f>IF($J836=0,0,ROUND(MAX($J836*1.4*1.5*1.6*1.6*2.2,42600000*(1.576904^(MIN($E836,123)-117)))*1,0))</f>
        <v>1757004</v>
      </c>
      <c r="U836" s="4">
        <f>$E836+11</f>
        <v>121</v>
      </c>
      <c r="V836" s="8">
        <f>IF($J836=0,0,ROUND(MAX($J836*1.4*1.5*1.6*1.6*2.2*2.715,354000000*(1.642074^(MIN($E836,123)-117)))*1,0))</f>
        <v>10996493</v>
      </c>
      <c r="W836" s="6">
        <f>$E836+15</f>
        <v>125</v>
      </c>
      <c r="X836" s="7">
        <f>IF($J836=0,0,ROUND(MAX($J836*1.4*1.5*1.6*1.6*2.2*2.715*2.6,3540000000*(1.579646^(MIN($E836,123)-117)))*1,0))</f>
        <v>144239716</v>
      </c>
      <c r="Y836" s="4">
        <f>$E836+17</f>
        <v>127</v>
      </c>
      <c r="Z836" s="8">
        <f>IF($J836=0,0,ROUND(MAX($J836*1.4*1.5*1.6*1.6*2.2*2.715*2.6*1.4,6020000000*(1.651178^(MIN($E836,123)-117)))*1,0))</f>
        <v>179903344</v>
      </c>
      <c r="AA836" s="6">
        <f>$E836+19</f>
        <v>129</v>
      </c>
      <c r="AB836" s="7">
        <f>IF($J836=0,0,ROUND(MAX($J836*1.4*1.5*1.6*1.6*2.2*2.715*2.6*1.4*1.4,8430000000*(1.651435^(MIN($E836,123)-117)))*1,0))</f>
        <v>251650143</v>
      </c>
      <c r="AC836" s="4">
        <f>$E836+21</f>
        <v>131</v>
      </c>
      <c r="AD836" s="8">
        <f>IF($J836=0,0,ROUND(MAX($J836*1.4*1.5*1.6*1.6*2.2*2.715*2.6*1.4*1.4*1.5,12600000000*(1.652953^(MIN($E836,123)-117)))*1,0))</f>
        <v>373720576</v>
      </c>
      <c r="AE836" s="6">
        <f>$E836+24</f>
        <v>134</v>
      </c>
      <c r="AF836" s="7">
        <f>IF($J836=0,0,ROUND(MAX($J836*1.4*1.5*1.6*1.6*2.2*2.715*2.6*1.4*1.4*1.5*1.5,18900000000*(1.65331^(MIN($E836,123)-117)))*1,0))</f>
        <v>559734088</v>
      </c>
      <c r="AG836" s="4">
        <f>$E836+27</f>
        <v>137</v>
      </c>
      <c r="AH836" s="8">
        <f>IF($J836=0,0,ROUND(MAX($J836*1.4*1.5*1.6*1.6*2.2*2.715*2.6*1.4*1.4*1.5*1.5*3.2,60500000000*(1.654288^(MIN($E836,123)-117)))*1,0))</f>
        <v>1784339701</v>
      </c>
    </row>
    <row r="837" ht="27.75" customHeight="1" spans="1:34" x14ac:dyDescent="0.25">
      <c r="A837" s="3">
        <v>847</v>
      </c>
      <c r="B837" s="3" t="s">
        <v>715</v>
      </c>
      <c r="C837" s="3" t="s">
        <v>670</v>
      </c>
      <c r="D837" s="3" t="s">
        <v>75</v>
      </c>
      <c r="E837" s="3">
        <v>110</v>
      </c>
      <c r="F837" s="3" t="s">
        <v>71</v>
      </c>
      <c r="G837" s="3" t="s">
        <v>671</v>
      </c>
      <c r="H837" s="3">
        <v>25</v>
      </c>
      <c r="I837" s="4">
        <v>110</v>
      </c>
      <c r="J837" s="5">
        <v>48200</v>
      </c>
      <c r="K837" s="6">
        <f>$E837+1</f>
        <v>111</v>
      </c>
      <c r="L837" s="7">
        <f>IF($J837=0,0,ROUND(MAX($J837*1.4,1620000*(1.497923^(MIN($E837,123)-117)))*1,0))</f>
        <v>95739</v>
      </c>
      <c r="M837" s="4">
        <f>$E837+2</f>
        <v>112</v>
      </c>
      <c r="N837" s="8">
        <f>IF($J837=0,0,ROUND(MAX($J837*1.4*1.5,2190000*(1.580994^(MIN($E837,123)-117)))*1,0))</f>
        <v>101220</v>
      </c>
      <c r="O837" s="6">
        <f>$E837+4</f>
        <v>114</v>
      </c>
      <c r="P837" s="7">
        <f>IF($J837=0,0,ROUND(MAX($J837*1.4*1.5*1.6,3500000*(1.57975^(MIN($E837,123)-117)))*1,0))</f>
        <v>161952</v>
      </c>
      <c r="Q837" s="4">
        <f>$E837+6</f>
        <v>116</v>
      </c>
      <c r="R837" s="8">
        <f>IF($J837=0,0,ROUND(MAX($J837*1.4*1.5*1.6*1.6,13100000*(1.429962^(MIN($E837,123)-117)))*1,0))</f>
        <v>1071519</v>
      </c>
      <c r="S837" s="6">
        <f>$E837+8</f>
        <v>118</v>
      </c>
      <c r="T837" s="7">
        <f>IF($J837=0,0,ROUND(MAX($J837*1.4*1.5*1.6*1.6*2.2,42600000*(1.576904^(MIN($E837,123)-117)))*1,0))</f>
        <v>1757004</v>
      </c>
      <c r="U837" s="4">
        <f>$E837+11</f>
        <v>121</v>
      </c>
      <c r="V837" s="8">
        <f>IF($J837=0,0,ROUND(MAX($J837*1.4*1.5*1.6*1.6*2.2*2.715,354000000*(1.642074^(MIN($E837,123)-117)))*1,0))</f>
        <v>10996493</v>
      </c>
      <c r="W837" s="6">
        <f>$E837+15</f>
        <v>125</v>
      </c>
      <c r="X837" s="7">
        <f>IF($J837=0,0,ROUND(MAX($J837*1.4*1.5*1.6*1.6*2.2*2.715*2.6,3540000000*(1.579646^(MIN($E837,123)-117)))*1,0))</f>
        <v>144239716</v>
      </c>
      <c r="Y837" s="4">
        <f>$E837+17</f>
        <v>127</v>
      </c>
      <c r="Z837" s="8">
        <f>IF($J837=0,0,ROUND(MAX($J837*1.4*1.5*1.6*1.6*2.2*2.715*2.6*1.4,6020000000*(1.651178^(MIN($E837,123)-117)))*1,0))</f>
        <v>179903344</v>
      </c>
      <c r="AA837" s="6">
        <f>$E837+19</f>
        <v>129</v>
      </c>
      <c r="AB837" s="7">
        <f>IF($J837=0,0,ROUND(MAX($J837*1.4*1.5*1.6*1.6*2.2*2.715*2.6*1.4*1.4,8430000000*(1.651435^(MIN($E837,123)-117)))*1,0))</f>
        <v>251650143</v>
      </c>
      <c r="AC837" s="4">
        <f>$E837+21</f>
        <v>131</v>
      </c>
      <c r="AD837" s="8">
        <f>IF($J837=0,0,ROUND(MAX($J837*1.4*1.5*1.6*1.6*2.2*2.715*2.6*1.4*1.4*1.5,12600000000*(1.652953^(MIN($E837,123)-117)))*1,0))</f>
        <v>373720576</v>
      </c>
      <c r="AE837" s="6">
        <f>$E837+24</f>
        <v>134</v>
      </c>
      <c r="AF837" s="7">
        <f>IF($J837=0,0,ROUND(MAX($J837*1.4*1.5*1.6*1.6*2.2*2.715*2.6*1.4*1.4*1.5*1.5,18900000000*(1.65331^(MIN($E837,123)-117)))*1,0))</f>
        <v>559734088</v>
      </c>
      <c r="AG837" s="4">
        <f>$E837+27</f>
        <v>137</v>
      </c>
      <c r="AH837" s="8">
        <f>IF($J837=0,0,ROUND(MAX($J837*1.4*1.5*1.6*1.6*2.2*2.715*2.6*1.4*1.4*1.5*1.5*3.2,60500000000*(1.654288^(MIN($E837,123)-117)))*1,0))</f>
        <v>1784339701</v>
      </c>
    </row>
    <row r="838" ht="27.75" customHeight="1" spans="1:34" x14ac:dyDescent="0.25">
      <c r="A838" s="3">
        <v>848</v>
      </c>
      <c r="B838" s="3" t="s">
        <v>156</v>
      </c>
      <c r="C838" s="3" t="s">
        <v>670</v>
      </c>
      <c r="D838" s="3" t="s">
        <v>45</v>
      </c>
      <c r="E838" s="3">
        <v>110</v>
      </c>
      <c r="F838" s="3" t="s">
        <v>34</v>
      </c>
      <c r="G838" s="3" t="s">
        <v>671</v>
      </c>
      <c r="H838" s="3">
        <v>25</v>
      </c>
      <c r="I838" s="4">
        <v>110</v>
      </c>
      <c r="J838" s="5">
        <v>382000</v>
      </c>
      <c r="K838" s="6">
        <f>$E838+1</f>
        <v>111</v>
      </c>
      <c r="L838" s="7">
        <f>IF($J838=0,0,ROUND(MAX($J838*1.4,1620000*(1.497923^(MIN($E838,123)-117)))*1,0))</f>
        <v>534800</v>
      </c>
      <c r="M838" s="4">
        <f>$E838+2</f>
        <v>112</v>
      </c>
      <c r="N838" s="8">
        <f>IF($J838=0,0,ROUND(MAX($J838*1.4*1.5,2190000*(1.580994^(MIN($E838,123)-117)))*1,0))</f>
        <v>802200</v>
      </c>
      <c r="O838" s="6">
        <f>$E838+4</f>
        <v>114</v>
      </c>
      <c r="P838" s="7">
        <f>IF($J838=0,0,ROUND(MAX($J838*1.4*1.5*1.6,3500000*(1.57975^(MIN($E838,123)-117)))*1,0))</f>
        <v>1283520</v>
      </c>
      <c r="Q838" s="4">
        <f>$E838+6</f>
        <v>116</v>
      </c>
      <c r="R838" s="8">
        <f>IF($J838=0,0,ROUND(MAX($J838*1.4*1.5*1.6*1.6,13100000*(1.429962^(MIN($E838,123)-117)))*1,0))</f>
        <v>2053632</v>
      </c>
      <c r="S838" s="6">
        <f>$E838+8</f>
        <v>118</v>
      </c>
      <c r="T838" s="7">
        <f>IF($J838=0,0,ROUND(MAX($J838*1.4*1.5*1.6*1.6*2.2,42600000*(1.576904^(MIN($E838,123)-117)))*1,0))</f>
        <v>4517990</v>
      </c>
      <c r="U838" s="4">
        <f>$E838+11</f>
        <v>121</v>
      </c>
      <c r="V838" s="8">
        <f>IF($J838=0,0,ROUND(MAX($J838*1.4*1.5*1.6*1.6*2.2*2.715,354000000*(1.642074^(MIN($E838,123)-117)))*1,0))</f>
        <v>12266344</v>
      </c>
      <c r="W838" s="6">
        <f>$E838+15</f>
        <v>125</v>
      </c>
      <c r="X838" s="7">
        <f>IF($J838=0,0,ROUND(MAX($J838*1.4*1.5*1.6*1.6*2.2*2.715*2.6,3540000000*(1.579646^(MIN($E838,123)-117)))*1,0))</f>
        <v>144239716</v>
      </c>
      <c r="Y838" s="4">
        <f>$E838+17</f>
        <v>127</v>
      </c>
      <c r="Z838" s="8">
        <f>IF($J838=0,0,ROUND(MAX($J838*1.4*1.5*1.6*1.6*2.2*2.715*2.6*1.4,6020000000*(1.651178^(MIN($E838,123)-117)))*1,0))</f>
        <v>179903344</v>
      </c>
      <c r="AA838" s="6">
        <f>$E838+19</f>
        <v>129</v>
      </c>
      <c r="AB838" s="7">
        <f>IF($J838=0,0,ROUND(MAX($J838*1.4*1.5*1.6*1.6*2.2*2.715*2.6*1.4*1.4,8430000000*(1.651435^(MIN($E838,123)-117)))*1,0))</f>
        <v>251650143</v>
      </c>
      <c r="AC838" s="4">
        <f>$E838+21</f>
        <v>131</v>
      </c>
      <c r="AD838" s="8">
        <f>IF($J838=0,0,ROUND(MAX($J838*1.4*1.5*1.6*1.6*2.2*2.715*2.6*1.4*1.4*1.5,12600000000*(1.652953^(MIN($E838,123)-117)))*1,0))</f>
        <v>373720576</v>
      </c>
      <c r="AE838" s="6">
        <f>$E838+24</f>
        <v>134</v>
      </c>
      <c r="AF838" s="7">
        <f>IF($J838=0,0,ROUND(MAX($J838*1.4*1.5*1.6*1.6*2.2*2.715*2.6*1.4*1.4*1.5*1.5,18900000000*(1.65331^(MIN($E838,123)-117)))*1,0))</f>
        <v>559734088</v>
      </c>
      <c r="AG838" s="4">
        <f>$E838+27</f>
        <v>137</v>
      </c>
      <c r="AH838" s="8">
        <f>IF($J838=0,0,ROUND(MAX($J838*1.4*1.5*1.6*1.6*2.2*2.715*2.6*1.4*1.4*1.5*1.5*3.2,60500000000*(1.654288^(MIN($E838,123)-117)))*1,0))</f>
        <v>1784339701</v>
      </c>
    </row>
    <row r="839" ht="27.75" customHeight="1" spans="1:34" x14ac:dyDescent="0.25">
      <c r="A839" s="3">
        <v>849</v>
      </c>
      <c r="B839" s="3" t="s">
        <v>716</v>
      </c>
      <c r="C839" s="3" t="s">
        <v>670</v>
      </c>
      <c r="D839" s="3" t="s">
        <v>75</v>
      </c>
      <c r="E839" s="3">
        <v>110</v>
      </c>
      <c r="F839" s="3" t="s">
        <v>30</v>
      </c>
      <c r="G839" s="3" t="s">
        <v>671</v>
      </c>
      <c r="H839" s="3">
        <v>24</v>
      </c>
      <c r="I839" s="4">
        <v>110</v>
      </c>
      <c r="J839" s="5">
        <v>285000</v>
      </c>
      <c r="K839" s="6">
        <f>$E839+1</f>
        <v>111</v>
      </c>
      <c r="L839" s="7">
        <f>IF($J839=0,0,ROUND(MAX($J839*1.4,1620000*(1.497923^(MIN($E839,123)-117)))*1,0))</f>
        <v>399000</v>
      </c>
      <c r="M839" s="4">
        <f>$E839+2</f>
        <v>112</v>
      </c>
      <c r="N839" s="8">
        <f>IF($J839=0,0,ROUND(MAX($J839*1.4*1.5,2190000*(1.580994^(MIN($E839,123)-117)))*1,0))</f>
        <v>598500</v>
      </c>
      <c r="O839" s="6">
        <f>$E839+4</f>
        <v>114</v>
      </c>
      <c r="P839" s="7">
        <f>IF($J839=0,0,ROUND(MAX($J839*1.4*1.5*1.6,3500000*(1.57975^(MIN($E839,123)-117)))*1,0))</f>
        <v>957600</v>
      </c>
      <c r="Q839" s="4">
        <f>$E839+6</f>
        <v>116</v>
      </c>
      <c r="R839" s="8">
        <f>IF($J839=0,0,ROUND(MAX($J839*1.4*1.5*1.6*1.6,13100000*(1.429962^(MIN($E839,123)-117)))*1,0))</f>
        <v>1532160</v>
      </c>
      <c r="S839" s="6">
        <f>$E839+8</f>
        <v>118</v>
      </c>
      <c r="T839" s="7">
        <f>IF($J839=0,0,ROUND(MAX($J839*1.4*1.5*1.6*1.6*2.2,42600000*(1.576904^(MIN($E839,123)-117)))*1,0))</f>
        <v>3370752</v>
      </c>
      <c r="U839" s="4">
        <f>$E839+11</f>
        <v>121</v>
      </c>
      <c r="V839" s="8">
        <f>IF($J839=0,0,ROUND(MAX($J839*1.4*1.5*1.6*1.6*2.2*2.715,354000000*(1.642074^(MIN($E839,123)-117)))*1,0))</f>
        <v>10996493</v>
      </c>
      <c r="W839" s="6">
        <f>$E839+15</f>
        <v>125</v>
      </c>
      <c r="X839" s="7">
        <f>IF($J839=0,0,ROUND(MAX($J839*1.4*1.5*1.6*1.6*2.2*2.715*2.6,3540000000*(1.579646^(MIN($E839,123)-117)))*1,0))</f>
        <v>144239716</v>
      </c>
      <c r="Y839" s="4">
        <f>$E839+17</f>
        <v>127</v>
      </c>
      <c r="Z839" s="8">
        <f>IF($J839=0,0,ROUND(MAX($J839*1.4*1.5*1.6*1.6*2.2*2.715*2.6*1.4,6020000000*(1.651178^(MIN($E839,123)-117)))*1,0))</f>
        <v>179903344</v>
      </c>
      <c r="AA839" s="6">
        <f>$E839+19</f>
        <v>129</v>
      </c>
      <c r="AB839" s="7">
        <f>IF($J839=0,0,ROUND(MAX($J839*1.4*1.5*1.6*1.6*2.2*2.715*2.6*1.4*1.4,8430000000*(1.651435^(MIN($E839,123)-117)))*1,0))</f>
        <v>251650143</v>
      </c>
      <c r="AC839" s="4">
        <f>$E839+21</f>
        <v>131</v>
      </c>
      <c r="AD839" s="8">
        <f>IF($J839=0,0,ROUND(MAX($J839*1.4*1.5*1.6*1.6*2.2*2.715*2.6*1.4*1.4*1.5,12600000000*(1.652953^(MIN($E839,123)-117)))*1,0))</f>
        <v>373720576</v>
      </c>
      <c r="AE839" s="6">
        <f>$E839+24</f>
        <v>134</v>
      </c>
      <c r="AF839" s="7">
        <f>IF($J839=0,0,ROUND(MAX($J839*1.4*1.5*1.6*1.6*2.2*2.715*2.6*1.4*1.4*1.5*1.5,18900000000*(1.65331^(MIN($E839,123)-117)))*1,0))</f>
        <v>559734088</v>
      </c>
      <c r="AG839" s="4">
        <f>$E839+27</f>
        <v>137</v>
      </c>
      <c r="AH839" s="8">
        <f>IF($J839=0,0,ROUND(MAX($J839*1.4*1.5*1.6*1.6*2.2*2.715*2.6*1.4*1.4*1.5*1.5*3.2,60500000000*(1.654288^(MIN($E839,123)-117)))*1,0))</f>
        <v>1784339701</v>
      </c>
    </row>
    <row r="840" ht="27.75" customHeight="1" spans="1:34" x14ac:dyDescent="0.25">
      <c r="A840" s="3">
        <v>850</v>
      </c>
      <c r="B840" s="3" t="s">
        <v>717</v>
      </c>
      <c r="C840" s="3" t="s">
        <v>670</v>
      </c>
      <c r="D840" s="3" t="s">
        <v>47</v>
      </c>
      <c r="E840" s="3">
        <v>110</v>
      </c>
      <c r="F840" s="3" t="s">
        <v>71</v>
      </c>
      <c r="G840" s="3" t="s">
        <v>319</v>
      </c>
      <c r="H840" s="3">
        <v>23</v>
      </c>
      <c r="I840" s="4">
        <v>110</v>
      </c>
      <c r="J840" s="5">
        <v>71200</v>
      </c>
      <c r="K840" s="6">
        <f>$E840+1</f>
        <v>111</v>
      </c>
      <c r="L840" s="7">
        <f>IF($J840=0,0,ROUND(MAX($J840*1.4,1620000*(1.497923^(MIN($E840,123)-117)))*1,0))</f>
        <v>99680</v>
      </c>
      <c r="M840" s="4">
        <f>$E840+2</f>
        <v>112</v>
      </c>
      <c r="N840" s="8">
        <f>IF($J840=0,0,ROUND(MAX($J840*1.4*1.5,2190000*(1.580994^(MIN($E840,123)-117)))*1,0))</f>
        <v>149520</v>
      </c>
      <c r="O840" s="6">
        <f>$E840+4</f>
        <v>114</v>
      </c>
      <c r="P840" s="7">
        <f>IF($J840=0,0,ROUND(MAX($J840*1.4*1.5*1.6,3500000*(1.57975^(MIN($E840,123)-117)))*1,0))</f>
        <v>239232</v>
      </c>
      <c r="Q840" s="4">
        <f>$E840+6</f>
        <v>116</v>
      </c>
      <c r="R840" s="8">
        <f>IF($J840=0,0,ROUND(MAX($J840*1.4*1.5*1.6*1.6,13100000*(1.429962^(MIN($E840,123)-117)))*1,0))</f>
        <v>1071519</v>
      </c>
      <c r="S840" s="6">
        <f>$E840+8</f>
        <v>118</v>
      </c>
      <c r="T840" s="7">
        <f>IF($J840=0,0,ROUND(MAX($J840*1.4*1.5*1.6*1.6*2.2,42600000*(1.576904^(MIN($E840,123)-117)))*1,0))</f>
        <v>1757004</v>
      </c>
      <c r="U840" s="4">
        <f>$E840+11</f>
        <v>121</v>
      </c>
      <c r="V840" s="8">
        <f>IF($J840=0,0,ROUND(MAX($J840*1.4*1.5*1.6*1.6*2.2*2.715,354000000*(1.642074^(MIN($E840,123)-117)))*1,0))</f>
        <v>10996493</v>
      </c>
      <c r="W840" s="6">
        <f>$E840+15</f>
        <v>125</v>
      </c>
      <c r="X840" s="7">
        <f>IF($J840=0,0,ROUND(MAX($J840*1.4*1.5*1.6*1.6*2.2*2.715*2.6,3540000000*(1.579646^(MIN($E840,123)-117)))*1,0))</f>
        <v>144239716</v>
      </c>
      <c r="Y840" s="4">
        <f>$E840+17</f>
        <v>127</v>
      </c>
      <c r="Z840" s="8">
        <f>IF($J840=0,0,ROUND(MAX($J840*1.4*1.5*1.6*1.6*2.2*2.715*2.6*1.4,6020000000*(1.651178^(MIN($E840,123)-117)))*1,0))</f>
        <v>179903344</v>
      </c>
      <c r="AA840" s="6">
        <f>$E840+19</f>
        <v>129</v>
      </c>
      <c r="AB840" s="7">
        <f>IF($J840=0,0,ROUND(MAX($J840*1.4*1.5*1.6*1.6*2.2*2.715*2.6*1.4*1.4,8430000000*(1.651435^(MIN($E840,123)-117)))*1,0))</f>
        <v>251650143</v>
      </c>
      <c r="AC840" s="4">
        <f>$E840+21</f>
        <v>131</v>
      </c>
      <c r="AD840" s="8">
        <f>IF($J840=0,0,ROUND(MAX($J840*1.4*1.5*1.6*1.6*2.2*2.715*2.6*1.4*1.4*1.5,12600000000*(1.652953^(MIN($E840,123)-117)))*1,0))</f>
        <v>373720576</v>
      </c>
      <c r="AE840" s="6">
        <f>$E840+24</f>
        <v>134</v>
      </c>
      <c r="AF840" s="7">
        <f>IF($J840=0,0,ROUND(MAX($J840*1.4*1.5*1.6*1.6*2.2*2.715*2.6*1.4*1.4*1.5*1.5,18900000000*(1.65331^(MIN($E840,123)-117)))*1,0))</f>
        <v>559734088</v>
      </c>
      <c r="AG840" s="4">
        <f>$E840+27</f>
        <v>137</v>
      </c>
      <c r="AH840" s="8">
        <f>IF($J840=0,0,ROUND(MAX($J840*1.4*1.5*1.6*1.6*2.2*2.715*2.6*1.4*1.4*1.5*1.5*3.2,60500000000*(1.654288^(MIN($E840,123)-117)))*1,0))</f>
        <v>1784339701</v>
      </c>
    </row>
    <row r="841" ht="27.75" customHeight="1" spans="1:34" x14ac:dyDescent="0.25">
      <c r="A841" s="3">
        <v>851</v>
      </c>
      <c r="B841" s="3" t="s">
        <v>718</v>
      </c>
      <c r="C841" s="3" t="s">
        <v>670</v>
      </c>
      <c r="D841" s="3" t="s">
        <v>25</v>
      </c>
      <c r="E841" s="3">
        <v>109</v>
      </c>
      <c r="F841" s="3" t="s">
        <v>298</v>
      </c>
      <c r="G841" s="3" t="s">
        <v>719</v>
      </c>
      <c r="H841" s="3">
        <v>26</v>
      </c>
      <c r="I841" s="4">
        <v>109</v>
      </c>
      <c r="J841" s="5">
        <v>72200</v>
      </c>
      <c r="K841" s="6">
        <f>$E841+1</f>
        <v>110</v>
      </c>
      <c r="L841" s="7">
        <f>IF($J841=0,0,ROUND(MAX($J841*1.4,1620000*(1.497923^(MIN($E841,123)-117)))*1,0))</f>
        <v>101080</v>
      </c>
      <c r="M841" s="4">
        <f>$E841+2</f>
        <v>111</v>
      </c>
      <c r="N841" s="8">
        <f>IF($J841=0,0,ROUND(MAX($J841*1.4*1.5,2190000*(1.580994^(MIN($E841,123)-117)))*1,0))</f>
        <v>151620</v>
      </c>
      <c r="O841" s="6">
        <f>$E841+4</f>
        <v>113</v>
      </c>
      <c r="P841" s="7">
        <f>IF($J841=0,0,ROUND(MAX($J841*1.4*1.5*1.6,3500000*(1.57975^(MIN($E841,123)-117)))*1,0))</f>
        <v>242592</v>
      </c>
      <c r="Q841" s="4">
        <f>$E841+6</f>
        <v>115</v>
      </c>
      <c r="R841" s="8">
        <f>IF($J841=0,0,ROUND(MAX($J841*1.4*1.5*1.6*1.6,13100000*(1.429962^(MIN($E841,123)-117)))*1,0))</f>
        <v>749334</v>
      </c>
      <c r="S841" s="6">
        <f>$E841+8</f>
        <v>117</v>
      </c>
      <c r="T841" s="7">
        <f>IF($J841=0,0,ROUND(MAX($J841*1.4*1.5*1.6*1.6*2.2,42600000*(1.576904^(MIN($E841,123)-117)))*1,0))</f>
        <v>1114211</v>
      </c>
      <c r="U841" s="4">
        <f>$E841+11</f>
        <v>120</v>
      </c>
      <c r="V841" s="8">
        <f>IF($J841=0,0,ROUND(MAX($J841*1.4*1.5*1.6*1.6*2.2*2.715,354000000*(1.642074^(MIN($E841,123)-117)))*1,0))</f>
        <v>6696710</v>
      </c>
      <c r="W841" s="6">
        <f>$E841+15</f>
        <v>124</v>
      </c>
      <c r="X841" s="7">
        <f>IF($J841=0,0,ROUND(MAX($J841*1.4*1.5*1.6*1.6*2.2*2.715*2.6,3540000000*(1.579646^(MIN($E841,123)-117)))*1,0))</f>
        <v>91311418</v>
      </c>
      <c r="Y841" s="4">
        <f>$E841+17</f>
        <v>126</v>
      </c>
      <c r="Z841" s="8">
        <f>IF($J841=0,0,ROUND(MAX($J841*1.4*1.5*1.6*1.6*2.2*2.715*2.6*1.4,6020000000*(1.651178^(MIN($E841,123)-117)))*1,0))</f>
        <v>108954543</v>
      </c>
      <c r="AA841" s="6">
        <f>$E841+19</f>
        <v>128</v>
      </c>
      <c r="AB841" s="7">
        <f>IF($J841=0,0,ROUND(MAX($J841*1.4*1.5*1.6*1.6*2.2*2.715*2.6*1.4*1.4,8430000000*(1.651435^(MIN($E841,123)-117)))*1,0))</f>
        <v>152382712</v>
      </c>
      <c r="AC841" s="4">
        <f>$E841+21</f>
        <v>130</v>
      </c>
      <c r="AD841" s="8">
        <f>IF($J841=0,0,ROUND(MAX($J841*1.4*1.5*1.6*1.6*2.2*2.715*2.6*1.4*1.4*1.5,12600000000*(1.652953^(MIN($E841,123)-117)))*1,0))</f>
        <v>226092682</v>
      </c>
      <c r="AE841" s="6">
        <f>$E841+24</f>
        <v>133</v>
      </c>
      <c r="AF841" s="7">
        <f>IF($J841=0,0,ROUND(MAX($J841*1.4*1.5*1.6*1.6*2.2*2.715*2.6*1.4*1.4*1.5*1.5,18900000000*(1.65331^(MIN($E841,123)-117)))*1,0))</f>
        <v>338553621</v>
      </c>
      <c r="AG841" s="4">
        <f>$E841+27</f>
        <v>136</v>
      </c>
      <c r="AH841" s="8">
        <f>IF($J841=0,0,ROUND(MAX($J841*1.4*1.5*1.6*1.6*2.2*2.715*2.6*1.4*1.4*1.5*1.5*3.2,60500000000*(1.654288^(MIN($E841,123)-117)))*1,0))</f>
        <v>1078614909</v>
      </c>
    </row>
    <row r="842" ht="27.75" customHeight="1" spans="1:34" x14ac:dyDescent="0.25">
      <c r="A842" s="3">
        <v>852</v>
      </c>
      <c r="B842" s="3" t="s">
        <v>720</v>
      </c>
      <c r="C842" s="3" t="s">
        <v>670</v>
      </c>
      <c r="D842" s="3" t="s">
        <v>40</v>
      </c>
      <c r="E842" s="3">
        <v>109</v>
      </c>
      <c r="F842" s="3" t="s">
        <v>400</v>
      </c>
      <c r="G842" s="3" t="s">
        <v>721</v>
      </c>
      <c r="H842" s="3">
        <v>26</v>
      </c>
      <c r="I842" s="4">
        <v>109</v>
      </c>
      <c r="J842" s="5">
        <v>62300</v>
      </c>
      <c r="K842" s="6">
        <f>$E842+1</f>
        <v>110</v>
      </c>
      <c r="L842" s="7">
        <f>IF($J842=0,0,ROUND(MAX($J842*1.4,1620000*(1.497923^(MIN($E842,123)-117)))*1,0))</f>
        <v>87220</v>
      </c>
      <c r="M842" s="4">
        <f>$E842+2</f>
        <v>111</v>
      </c>
      <c r="N842" s="8">
        <f>IF($J842=0,0,ROUND(MAX($J842*1.4*1.5,2190000*(1.580994^(MIN($E842,123)-117)))*1,0))</f>
        <v>130830</v>
      </c>
      <c r="O842" s="6">
        <f>$E842+4</f>
        <v>113</v>
      </c>
      <c r="P842" s="7">
        <f>IF($J842=0,0,ROUND(MAX($J842*1.4*1.5*1.6,3500000*(1.57975^(MIN($E842,123)-117)))*1,0))</f>
        <v>209328</v>
      </c>
      <c r="Q842" s="4">
        <f>$E842+6</f>
        <v>115</v>
      </c>
      <c r="R842" s="8">
        <f>IF($J842=0,0,ROUND(MAX($J842*1.4*1.5*1.6*1.6,13100000*(1.429962^(MIN($E842,123)-117)))*1,0))</f>
        <v>749334</v>
      </c>
      <c r="S842" s="6">
        <f>$E842+8</f>
        <v>117</v>
      </c>
      <c r="T842" s="7">
        <f>IF($J842=0,0,ROUND(MAX($J842*1.4*1.5*1.6*1.6*2.2,42600000*(1.576904^(MIN($E842,123)-117)))*1,0))</f>
        <v>1114211</v>
      </c>
      <c r="U842" s="4">
        <f>$E842+11</f>
        <v>120</v>
      </c>
      <c r="V842" s="8">
        <f>IF($J842=0,0,ROUND(MAX($J842*1.4*1.5*1.6*1.6*2.2*2.715,354000000*(1.642074^(MIN($E842,123)-117)))*1,0))</f>
        <v>6696710</v>
      </c>
      <c r="W842" s="6">
        <f>$E842+15</f>
        <v>124</v>
      </c>
      <c r="X842" s="7">
        <f>IF($J842=0,0,ROUND(MAX($J842*1.4*1.5*1.6*1.6*2.2*2.715*2.6,3540000000*(1.579646^(MIN($E842,123)-117)))*1,0))</f>
        <v>91311418</v>
      </c>
      <c r="Y842" s="4">
        <f>$E842+17</f>
        <v>126</v>
      </c>
      <c r="Z842" s="8">
        <f>IF($J842=0,0,ROUND(MAX($J842*1.4*1.5*1.6*1.6*2.2*2.715*2.6*1.4,6020000000*(1.651178^(MIN($E842,123)-117)))*1,0))</f>
        <v>108954543</v>
      </c>
      <c r="AA842" s="6">
        <f>$E842+19</f>
        <v>128</v>
      </c>
      <c r="AB842" s="7">
        <f>IF($J842=0,0,ROUND(MAX($J842*1.4*1.5*1.6*1.6*2.2*2.715*2.6*1.4*1.4,8430000000*(1.651435^(MIN($E842,123)-117)))*1,0))</f>
        <v>152382712</v>
      </c>
      <c r="AC842" s="4">
        <f>$E842+21</f>
        <v>130</v>
      </c>
      <c r="AD842" s="8">
        <f>IF($J842=0,0,ROUND(MAX($J842*1.4*1.5*1.6*1.6*2.2*2.715*2.6*1.4*1.4*1.5,12600000000*(1.652953^(MIN($E842,123)-117)))*1,0))</f>
        <v>226092682</v>
      </c>
      <c r="AE842" s="6">
        <f>$E842+24</f>
        <v>133</v>
      </c>
      <c r="AF842" s="7">
        <f>IF($J842=0,0,ROUND(MAX($J842*1.4*1.5*1.6*1.6*2.2*2.715*2.6*1.4*1.4*1.5*1.5,18900000000*(1.65331^(MIN($E842,123)-117)))*1,0))</f>
        <v>338553621</v>
      </c>
      <c r="AG842" s="4">
        <f>$E842+27</f>
        <v>136</v>
      </c>
      <c r="AH842" s="8">
        <f>IF($J842=0,0,ROUND(MAX($J842*1.4*1.5*1.6*1.6*2.2*2.715*2.6*1.4*1.4*1.5*1.5*3.2,60500000000*(1.654288^(MIN($E842,123)-117)))*1,0))</f>
        <v>1078614909</v>
      </c>
    </row>
    <row r="843" ht="27.75" customHeight="1" spans="1:34" x14ac:dyDescent="0.25">
      <c r="A843" s="3">
        <v>853</v>
      </c>
      <c r="B843" s="3" t="s">
        <v>722</v>
      </c>
      <c r="C843" s="3" t="s">
        <v>670</v>
      </c>
      <c r="D843" s="3" t="s">
        <v>79</v>
      </c>
      <c r="E843" s="3">
        <v>109</v>
      </c>
      <c r="F843" s="3" t="s">
        <v>88</v>
      </c>
      <c r="G843" s="3" t="s">
        <v>671</v>
      </c>
      <c r="H843" s="3">
        <v>25</v>
      </c>
      <c r="I843" s="4">
        <v>109</v>
      </c>
      <c r="J843" s="5">
        <v>95200</v>
      </c>
      <c r="K843" s="6">
        <f>$E843+1</f>
        <v>110</v>
      </c>
      <c r="L843" s="7">
        <f>IF($J843=0,0,ROUND(MAX($J843*1.4,1620000*(1.497923^(MIN($E843,123)-117)))*1,0))</f>
        <v>133280</v>
      </c>
      <c r="M843" s="4">
        <f>$E843+2</f>
        <v>111</v>
      </c>
      <c r="N843" s="8">
        <f>IF($J843=0,0,ROUND(MAX($J843*1.4*1.5,2190000*(1.580994^(MIN($E843,123)-117)))*1,0))</f>
        <v>199920</v>
      </c>
      <c r="O843" s="6">
        <f>$E843+4</f>
        <v>113</v>
      </c>
      <c r="P843" s="7">
        <f>IF($J843=0,0,ROUND(MAX($J843*1.4*1.5*1.6,3500000*(1.57975^(MIN($E843,123)-117)))*1,0))</f>
        <v>319872</v>
      </c>
      <c r="Q843" s="4">
        <f>$E843+6</f>
        <v>115</v>
      </c>
      <c r="R843" s="8">
        <f>IF($J843=0,0,ROUND(MAX($J843*1.4*1.5*1.6*1.6,13100000*(1.429962^(MIN($E843,123)-117)))*1,0))</f>
        <v>749334</v>
      </c>
      <c r="S843" s="6">
        <f>$E843+8</f>
        <v>117</v>
      </c>
      <c r="T843" s="7">
        <f>IF($J843=0,0,ROUND(MAX($J843*1.4*1.5*1.6*1.6*2.2,42600000*(1.576904^(MIN($E843,123)-117)))*1,0))</f>
        <v>1125949</v>
      </c>
      <c r="U843" s="4">
        <f>$E843+11</f>
        <v>120</v>
      </c>
      <c r="V843" s="8">
        <f>IF($J843=0,0,ROUND(MAX($J843*1.4*1.5*1.6*1.6*2.2*2.715,354000000*(1.642074^(MIN($E843,123)-117)))*1,0))</f>
        <v>6696710</v>
      </c>
      <c r="W843" s="6">
        <f>$E843+15</f>
        <v>124</v>
      </c>
      <c r="X843" s="7">
        <f>IF($J843=0,0,ROUND(MAX($J843*1.4*1.5*1.6*1.6*2.2*2.715*2.6,3540000000*(1.579646^(MIN($E843,123)-117)))*1,0))</f>
        <v>91311418</v>
      </c>
      <c r="Y843" s="4">
        <f>$E843+17</f>
        <v>126</v>
      </c>
      <c r="Z843" s="8">
        <f>IF($J843=0,0,ROUND(MAX($J843*1.4*1.5*1.6*1.6*2.2*2.715*2.6*1.4,6020000000*(1.651178^(MIN($E843,123)-117)))*1,0))</f>
        <v>108954543</v>
      </c>
      <c r="AA843" s="6">
        <f>$E843+19</f>
        <v>128</v>
      </c>
      <c r="AB843" s="7">
        <f>IF($J843=0,0,ROUND(MAX($J843*1.4*1.5*1.6*1.6*2.2*2.715*2.6*1.4*1.4,8430000000*(1.651435^(MIN($E843,123)-117)))*1,0))</f>
        <v>152382712</v>
      </c>
      <c r="AC843" s="4">
        <f>$E843+21</f>
        <v>130</v>
      </c>
      <c r="AD843" s="8">
        <f>IF($J843=0,0,ROUND(MAX($J843*1.4*1.5*1.6*1.6*2.2*2.715*2.6*1.4*1.4*1.5,12600000000*(1.652953^(MIN($E843,123)-117)))*1,0))</f>
        <v>226092682</v>
      </c>
      <c r="AE843" s="6">
        <f>$E843+24</f>
        <v>133</v>
      </c>
      <c r="AF843" s="7">
        <f>IF($J843=0,0,ROUND(MAX($J843*1.4*1.5*1.6*1.6*2.2*2.715*2.6*1.4*1.4*1.5*1.5,18900000000*(1.65331^(MIN($E843,123)-117)))*1,0))</f>
        <v>338553621</v>
      </c>
      <c r="AG843" s="4">
        <f>$E843+27</f>
        <v>136</v>
      </c>
      <c r="AH843" s="8">
        <f>IF($J843=0,0,ROUND(MAX($J843*1.4*1.5*1.6*1.6*2.2*2.715*2.6*1.4*1.4*1.5*1.5*3.2,60500000000*(1.654288^(MIN($E843,123)-117)))*1,0))</f>
        <v>1078614909</v>
      </c>
    </row>
    <row r="844" ht="27.75" customHeight="1" spans="1:34" x14ac:dyDescent="0.25">
      <c r="A844" s="3">
        <v>854</v>
      </c>
      <c r="B844" s="3" t="s">
        <v>723</v>
      </c>
      <c r="C844" s="3" t="s">
        <v>670</v>
      </c>
      <c r="D844" s="3" t="s">
        <v>79</v>
      </c>
      <c r="E844" s="3">
        <v>109</v>
      </c>
      <c r="F844" s="3" t="s">
        <v>303</v>
      </c>
      <c r="G844" s="3" t="s">
        <v>724</v>
      </c>
      <c r="H844" s="3">
        <v>25</v>
      </c>
      <c r="I844" s="4">
        <v>109</v>
      </c>
      <c r="J844" s="5">
        <v>311000</v>
      </c>
      <c r="K844" s="6">
        <f>$E844+1</f>
        <v>110</v>
      </c>
      <c r="L844" s="7">
        <f>IF($J844=0,0,ROUND(MAX($J844*1.4,1620000*(1.497923^(MIN($E844,123)-117)))*1,0))</f>
        <v>435400</v>
      </c>
      <c r="M844" s="4">
        <f>$E844+2</f>
        <v>111</v>
      </c>
      <c r="N844" s="8">
        <f>IF($J844=0,0,ROUND(MAX($J844*1.4*1.5,2190000*(1.580994^(MIN($E844,123)-117)))*1,0))</f>
        <v>653100</v>
      </c>
      <c r="O844" s="6">
        <f>$E844+4</f>
        <v>113</v>
      </c>
      <c r="P844" s="7">
        <f>IF($J844=0,0,ROUND(MAX($J844*1.4*1.5*1.6,3500000*(1.57975^(MIN($E844,123)-117)))*1,0))</f>
        <v>1044960</v>
      </c>
      <c r="Q844" s="4">
        <f>$E844+6</f>
        <v>115</v>
      </c>
      <c r="R844" s="8">
        <f>IF($J844=0,0,ROUND(MAX($J844*1.4*1.5*1.6*1.6,13100000*(1.429962^(MIN($E844,123)-117)))*1,0))</f>
        <v>1671936</v>
      </c>
      <c r="S844" s="6">
        <f>$E844+8</f>
        <v>117</v>
      </c>
      <c r="T844" s="7">
        <f>IF($J844=0,0,ROUND(MAX($J844*1.4*1.5*1.6*1.6*2.2,42600000*(1.576904^(MIN($E844,123)-117)))*1,0))</f>
        <v>3678259</v>
      </c>
      <c r="U844" s="4">
        <f>$E844+11</f>
        <v>120</v>
      </c>
      <c r="V844" s="8">
        <f>IF($J844=0,0,ROUND(MAX($J844*1.4*1.5*1.6*1.6*2.2*2.715,354000000*(1.642074^(MIN($E844,123)-117)))*1,0))</f>
        <v>9986474</v>
      </c>
      <c r="W844" s="6">
        <f>$E844+15</f>
        <v>124</v>
      </c>
      <c r="X844" s="7">
        <f>IF($J844=0,0,ROUND(MAX($J844*1.4*1.5*1.6*1.6*2.2*2.715*2.6,3540000000*(1.579646^(MIN($E844,123)-117)))*1,0))</f>
        <v>91311418</v>
      </c>
      <c r="Y844" s="4">
        <f>$E844+17</f>
        <v>126</v>
      </c>
      <c r="Z844" s="8">
        <f>IF($J844=0,0,ROUND(MAX($J844*1.4*1.5*1.6*1.6*2.2*2.715*2.6*1.4,6020000000*(1.651178^(MIN($E844,123)-117)))*1,0))</f>
        <v>108954543</v>
      </c>
      <c r="AA844" s="6">
        <f>$E844+19</f>
        <v>128</v>
      </c>
      <c r="AB844" s="7">
        <f>IF($J844=0,0,ROUND(MAX($J844*1.4*1.5*1.6*1.6*2.2*2.715*2.6*1.4*1.4,8430000000*(1.651435^(MIN($E844,123)-117)))*1,0))</f>
        <v>152382712</v>
      </c>
      <c r="AC844" s="4">
        <f>$E844+21</f>
        <v>130</v>
      </c>
      <c r="AD844" s="8">
        <f>IF($J844=0,0,ROUND(MAX($J844*1.4*1.5*1.6*1.6*2.2*2.715*2.6*1.4*1.4*1.5,12600000000*(1.652953^(MIN($E844,123)-117)))*1,0))</f>
        <v>226092682</v>
      </c>
      <c r="AE844" s="6">
        <f>$E844+24</f>
        <v>133</v>
      </c>
      <c r="AF844" s="7">
        <f>IF($J844=0,0,ROUND(MAX($J844*1.4*1.5*1.6*1.6*2.2*2.715*2.6*1.4*1.4*1.5*1.5,18900000000*(1.65331^(MIN($E844,123)-117)))*1,0))</f>
        <v>338553621</v>
      </c>
      <c r="AG844" s="4">
        <f>$E844+27</f>
        <v>136</v>
      </c>
      <c r="AH844" s="8">
        <f>IF($J844=0,0,ROUND(MAX($J844*1.4*1.5*1.6*1.6*2.2*2.715*2.6*1.4*1.4*1.5*1.5*3.2,60500000000*(1.654288^(MIN($E844,123)-117)))*1,0))</f>
        <v>1078614909</v>
      </c>
    </row>
    <row r="845" ht="27.75" customHeight="1" spans="1:34" x14ac:dyDescent="0.25">
      <c r="A845" s="3">
        <v>855</v>
      </c>
      <c r="B845" s="3" t="s">
        <v>725</v>
      </c>
      <c r="C845" s="3" t="s">
        <v>670</v>
      </c>
      <c r="D845" s="3" t="s">
        <v>75</v>
      </c>
      <c r="E845" s="3">
        <v>109</v>
      </c>
      <c r="F845" s="3" t="s">
        <v>54</v>
      </c>
      <c r="G845" s="3" t="s">
        <v>374</v>
      </c>
      <c r="H845" s="3">
        <v>25</v>
      </c>
      <c r="I845" s="4">
        <v>109</v>
      </c>
      <c r="J845" s="5">
        <v>80200</v>
      </c>
      <c r="K845" s="6">
        <f>$E845+1</f>
        <v>110</v>
      </c>
      <c r="L845" s="7">
        <f>IF($J845=0,0,ROUND(MAX($J845*1.4,1620000*(1.497923^(MIN($E845,123)-117)))*1,0))</f>
        <v>112280</v>
      </c>
      <c r="M845" s="4">
        <f>$E845+2</f>
        <v>111</v>
      </c>
      <c r="N845" s="8">
        <f>IF($J845=0,0,ROUND(MAX($J845*1.4*1.5,2190000*(1.580994^(MIN($E845,123)-117)))*1,0))</f>
        <v>168420</v>
      </c>
      <c r="O845" s="6">
        <f>$E845+4</f>
        <v>113</v>
      </c>
      <c r="P845" s="7">
        <f>IF($J845=0,0,ROUND(MAX($J845*1.4*1.5*1.6,3500000*(1.57975^(MIN($E845,123)-117)))*1,0))</f>
        <v>269472</v>
      </c>
      <c r="Q845" s="4">
        <f>$E845+6</f>
        <v>115</v>
      </c>
      <c r="R845" s="8">
        <f>IF($J845=0,0,ROUND(MAX($J845*1.4*1.5*1.6*1.6,13100000*(1.429962^(MIN($E845,123)-117)))*1,0))</f>
        <v>749334</v>
      </c>
      <c r="S845" s="6">
        <f>$E845+8</f>
        <v>117</v>
      </c>
      <c r="T845" s="7">
        <f>IF($J845=0,0,ROUND(MAX($J845*1.4*1.5*1.6*1.6*2.2,42600000*(1.576904^(MIN($E845,123)-117)))*1,0))</f>
        <v>1114211</v>
      </c>
      <c r="U845" s="4">
        <f>$E845+11</f>
        <v>120</v>
      </c>
      <c r="V845" s="8">
        <f>IF($J845=0,0,ROUND(MAX($J845*1.4*1.5*1.6*1.6*2.2*2.715,354000000*(1.642074^(MIN($E845,123)-117)))*1,0))</f>
        <v>6696710</v>
      </c>
      <c r="W845" s="6">
        <f>$E845+15</f>
        <v>124</v>
      </c>
      <c r="X845" s="7">
        <f>IF($J845=0,0,ROUND(MAX($J845*1.4*1.5*1.6*1.6*2.2*2.715*2.6,3540000000*(1.579646^(MIN($E845,123)-117)))*1,0))</f>
        <v>91311418</v>
      </c>
      <c r="Y845" s="4">
        <f>$E845+17</f>
        <v>126</v>
      </c>
      <c r="Z845" s="8">
        <f>IF($J845=0,0,ROUND(MAX($J845*1.4*1.5*1.6*1.6*2.2*2.715*2.6*1.4,6020000000*(1.651178^(MIN($E845,123)-117)))*1,0))</f>
        <v>108954543</v>
      </c>
      <c r="AA845" s="6">
        <f>$E845+19</f>
        <v>128</v>
      </c>
      <c r="AB845" s="7">
        <f>IF($J845=0,0,ROUND(MAX($J845*1.4*1.5*1.6*1.6*2.2*2.715*2.6*1.4*1.4,8430000000*(1.651435^(MIN($E845,123)-117)))*1,0))</f>
        <v>152382712</v>
      </c>
      <c r="AC845" s="4">
        <f>$E845+21</f>
        <v>130</v>
      </c>
      <c r="AD845" s="8">
        <f>IF($J845=0,0,ROUND(MAX($J845*1.4*1.5*1.6*1.6*2.2*2.715*2.6*1.4*1.4*1.5,12600000000*(1.652953^(MIN($E845,123)-117)))*1,0))</f>
        <v>226092682</v>
      </c>
      <c r="AE845" s="6">
        <f>$E845+24</f>
        <v>133</v>
      </c>
      <c r="AF845" s="7">
        <f>IF($J845=0,0,ROUND(MAX($J845*1.4*1.5*1.6*1.6*2.2*2.715*2.6*1.4*1.4*1.5*1.5,18900000000*(1.65331^(MIN($E845,123)-117)))*1,0))</f>
        <v>338553621</v>
      </c>
      <c r="AG845" s="4">
        <f>$E845+27</f>
        <v>136</v>
      </c>
      <c r="AH845" s="8">
        <f>IF($J845=0,0,ROUND(MAX($J845*1.4*1.5*1.6*1.6*2.2*2.715*2.6*1.4*1.4*1.5*1.5*3.2,60500000000*(1.654288^(MIN($E845,123)-117)))*1,0))</f>
        <v>1078614909</v>
      </c>
    </row>
    <row r="846" ht="27.75" customHeight="1" spans="1:34" x14ac:dyDescent="0.25">
      <c r="A846" s="3">
        <v>856</v>
      </c>
      <c r="B846" s="3" t="s">
        <v>726</v>
      </c>
      <c r="C846" s="3" t="s">
        <v>670</v>
      </c>
      <c r="D846" s="3" t="s">
        <v>29</v>
      </c>
      <c r="E846" s="3">
        <v>109</v>
      </c>
      <c r="F846" s="3" t="s">
        <v>132</v>
      </c>
      <c r="G846" s="3" t="s">
        <v>727</v>
      </c>
      <c r="H846" s="3">
        <v>25</v>
      </c>
      <c r="I846" s="4">
        <v>109</v>
      </c>
      <c r="J846" s="5">
        <v>72100</v>
      </c>
      <c r="K846" s="6">
        <f>$E846+1</f>
        <v>110</v>
      </c>
      <c r="L846" s="7">
        <f>IF($J846=0,0,ROUND(MAX($J846*1.4,1620000*(1.497923^(MIN($E846,123)-117)))*1,0))</f>
        <v>100940</v>
      </c>
      <c r="M846" s="4">
        <f>$E846+2</f>
        <v>111</v>
      </c>
      <c r="N846" s="8">
        <f>IF($J846=0,0,ROUND(MAX($J846*1.4*1.5,2190000*(1.580994^(MIN($E846,123)-117)))*1,0))</f>
        <v>151410</v>
      </c>
      <c r="O846" s="6">
        <f>$E846+4</f>
        <v>113</v>
      </c>
      <c r="P846" s="7">
        <f>IF($J846=0,0,ROUND(MAX($J846*1.4*1.5*1.6,3500000*(1.57975^(MIN($E846,123)-117)))*1,0))</f>
        <v>242256</v>
      </c>
      <c r="Q846" s="4">
        <f>$E846+6</f>
        <v>115</v>
      </c>
      <c r="R846" s="8">
        <f>IF($J846=0,0,ROUND(MAX($J846*1.4*1.5*1.6*1.6,13100000*(1.429962^(MIN($E846,123)-117)))*1,0))</f>
        <v>749334</v>
      </c>
      <c r="S846" s="6">
        <f>$E846+8</f>
        <v>117</v>
      </c>
      <c r="T846" s="7">
        <f>IF($J846=0,0,ROUND(MAX($J846*1.4*1.5*1.6*1.6*2.2,42600000*(1.576904^(MIN($E846,123)-117)))*1,0))</f>
        <v>1114211</v>
      </c>
      <c r="U846" s="4">
        <f>$E846+11</f>
        <v>120</v>
      </c>
      <c r="V846" s="8">
        <f>IF($J846=0,0,ROUND(MAX($J846*1.4*1.5*1.6*1.6*2.2*2.715,354000000*(1.642074^(MIN($E846,123)-117)))*1,0))</f>
        <v>6696710</v>
      </c>
      <c r="W846" s="6">
        <f>$E846+15</f>
        <v>124</v>
      </c>
      <c r="X846" s="7">
        <f>IF($J846=0,0,ROUND(MAX($J846*1.4*1.5*1.6*1.6*2.2*2.715*2.6,3540000000*(1.579646^(MIN($E846,123)-117)))*1,0))</f>
        <v>91311418</v>
      </c>
      <c r="Y846" s="4">
        <f>$E846+17</f>
        <v>126</v>
      </c>
      <c r="Z846" s="8">
        <f>IF($J846=0,0,ROUND(MAX($J846*1.4*1.5*1.6*1.6*2.2*2.715*2.6*1.4,6020000000*(1.651178^(MIN($E846,123)-117)))*1,0))</f>
        <v>108954543</v>
      </c>
      <c r="AA846" s="6">
        <f>$E846+19</f>
        <v>128</v>
      </c>
      <c r="AB846" s="7">
        <f>IF($J846=0,0,ROUND(MAX($J846*1.4*1.5*1.6*1.6*2.2*2.715*2.6*1.4*1.4,8430000000*(1.651435^(MIN($E846,123)-117)))*1,0))</f>
        <v>152382712</v>
      </c>
      <c r="AC846" s="4">
        <f>$E846+21</f>
        <v>130</v>
      </c>
      <c r="AD846" s="8">
        <f>IF($J846=0,0,ROUND(MAX($J846*1.4*1.5*1.6*1.6*2.2*2.715*2.6*1.4*1.4*1.5,12600000000*(1.652953^(MIN($E846,123)-117)))*1,0))</f>
        <v>226092682</v>
      </c>
      <c r="AE846" s="6">
        <f>$E846+24</f>
        <v>133</v>
      </c>
      <c r="AF846" s="7">
        <f>IF($J846=0,0,ROUND(MAX($J846*1.4*1.5*1.6*1.6*2.2*2.715*2.6*1.4*1.4*1.5*1.5,18900000000*(1.65331^(MIN($E846,123)-117)))*1,0))</f>
        <v>338553621</v>
      </c>
      <c r="AG846" s="4">
        <f>$E846+27</f>
        <v>136</v>
      </c>
      <c r="AH846" s="8">
        <f>IF($J846=0,0,ROUND(MAX($J846*1.4*1.5*1.6*1.6*2.2*2.715*2.6*1.4*1.4*1.5*1.5*3.2,60500000000*(1.654288^(MIN($E846,123)-117)))*1,0))</f>
        <v>1078614909</v>
      </c>
    </row>
    <row r="847" ht="27.75" customHeight="1" spans="1:34" x14ac:dyDescent="0.25">
      <c r="A847" s="3">
        <v>857</v>
      </c>
      <c r="B847" s="3" t="s">
        <v>728</v>
      </c>
      <c r="C847" s="3" t="s">
        <v>670</v>
      </c>
      <c r="D847" s="3" t="s">
        <v>40</v>
      </c>
      <c r="E847" s="3">
        <v>109</v>
      </c>
      <c r="F847" s="3" t="s">
        <v>267</v>
      </c>
      <c r="G847" s="3" t="s">
        <v>729</v>
      </c>
      <c r="H847" s="3">
        <v>25</v>
      </c>
      <c r="I847" s="4">
        <v>109</v>
      </c>
      <c r="J847" s="5">
        <v>222000</v>
      </c>
      <c r="K847" s="6">
        <f>$E847+1</f>
        <v>110</v>
      </c>
      <c r="L847" s="7">
        <f>IF($J847=0,0,ROUND(MAX($J847*1.4,1620000*(1.497923^(MIN($E847,123)-117)))*1,0))</f>
        <v>310800</v>
      </c>
      <c r="M847" s="4">
        <f>$E847+2</f>
        <v>111</v>
      </c>
      <c r="N847" s="8">
        <f>IF($J847=0,0,ROUND(MAX($J847*1.4*1.5,2190000*(1.580994^(MIN($E847,123)-117)))*1,0))</f>
        <v>466200</v>
      </c>
      <c r="O847" s="6">
        <f>$E847+4</f>
        <v>113</v>
      </c>
      <c r="P847" s="7">
        <f>IF($J847=0,0,ROUND(MAX($J847*1.4*1.5*1.6,3500000*(1.57975^(MIN($E847,123)-117)))*1,0))</f>
        <v>745920</v>
      </c>
      <c r="Q847" s="4">
        <f>$E847+6</f>
        <v>115</v>
      </c>
      <c r="R847" s="8">
        <f>IF($J847=0,0,ROUND(MAX($J847*1.4*1.5*1.6*1.6,13100000*(1.429962^(MIN($E847,123)-117)))*1,0))</f>
        <v>1193472</v>
      </c>
      <c r="S847" s="6">
        <f>$E847+8</f>
        <v>117</v>
      </c>
      <c r="T847" s="7">
        <f>IF($J847=0,0,ROUND(MAX($J847*1.4*1.5*1.6*1.6*2.2,42600000*(1.576904^(MIN($E847,123)-117)))*1,0))</f>
        <v>2625638</v>
      </c>
      <c r="U847" s="4">
        <f>$E847+11</f>
        <v>120</v>
      </c>
      <c r="V847" s="8">
        <f>IF($J847=0,0,ROUND(MAX($J847*1.4*1.5*1.6*1.6*2.2*2.715,354000000*(1.642074^(MIN($E847,123)-117)))*1,0))</f>
        <v>7128608</v>
      </c>
      <c r="W847" s="6">
        <f>$E847+15</f>
        <v>124</v>
      </c>
      <c r="X847" s="7">
        <f>IF($J847=0,0,ROUND(MAX($J847*1.4*1.5*1.6*1.6*2.2*2.715*2.6,3540000000*(1.579646^(MIN($E847,123)-117)))*1,0))</f>
        <v>91311418</v>
      </c>
      <c r="Y847" s="4">
        <f>$E847+17</f>
        <v>126</v>
      </c>
      <c r="Z847" s="8">
        <f>IF($J847=0,0,ROUND(MAX($J847*1.4*1.5*1.6*1.6*2.2*2.715*2.6*1.4,6020000000*(1.651178^(MIN($E847,123)-117)))*1,0))</f>
        <v>108954543</v>
      </c>
      <c r="AA847" s="6">
        <f>$E847+19</f>
        <v>128</v>
      </c>
      <c r="AB847" s="7">
        <f>IF($J847=0,0,ROUND(MAX($J847*1.4*1.5*1.6*1.6*2.2*2.715*2.6*1.4*1.4,8430000000*(1.651435^(MIN($E847,123)-117)))*1,0))</f>
        <v>152382712</v>
      </c>
      <c r="AC847" s="4">
        <f>$E847+21</f>
        <v>130</v>
      </c>
      <c r="AD847" s="8">
        <f>IF($J847=0,0,ROUND(MAX($J847*1.4*1.5*1.6*1.6*2.2*2.715*2.6*1.4*1.4*1.5,12600000000*(1.652953^(MIN($E847,123)-117)))*1,0))</f>
        <v>226092682</v>
      </c>
      <c r="AE847" s="6">
        <f>$E847+24</f>
        <v>133</v>
      </c>
      <c r="AF847" s="7">
        <f>IF($J847=0,0,ROUND(MAX($J847*1.4*1.5*1.6*1.6*2.2*2.715*2.6*1.4*1.4*1.5*1.5,18900000000*(1.65331^(MIN($E847,123)-117)))*1,0))</f>
        <v>338553621</v>
      </c>
      <c r="AG847" s="4">
        <f>$E847+27</f>
        <v>136</v>
      </c>
      <c r="AH847" s="8">
        <f>IF($J847=0,0,ROUND(MAX($J847*1.4*1.5*1.6*1.6*2.2*2.715*2.6*1.4*1.4*1.5*1.5*3.2,60500000000*(1.654288^(MIN($E847,123)-117)))*1,0))</f>
        <v>1078614909</v>
      </c>
    </row>
    <row r="848" ht="27.75" customHeight="1" spans="1:34" x14ac:dyDescent="0.25">
      <c r="A848" s="3">
        <v>858</v>
      </c>
      <c r="B848" s="3" t="s">
        <v>730</v>
      </c>
      <c r="C848" s="3" t="s">
        <v>670</v>
      </c>
      <c r="D848" s="3" t="s">
        <v>64</v>
      </c>
      <c r="E848" s="3">
        <v>109</v>
      </c>
      <c r="F848" s="3" t="s">
        <v>62</v>
      </c>
      <c r="G848" s="3" t="s">
        <v>565</v>
      </c>
      <c r="H848" s="3">
        <v>25</v>
      </c>
      <c r="I848" s="4">
        <v>109</v>
      </c>
      <c r="J848" s="5">
        <v>275000</v>
      </c>
      <c r="K848" s="6">
        <f>$E848+1</f>
        <v>110</v>
      </c>
      <c r="L848" s="7">
        <f>IF($J848=0,0,ROUND(MAX($J848*1.4,1620000*(1.497923^(MIN($E848,123)-117)))*1,0))</f>
        <v>385000</v>
      </c>
      <c r="M848" s="4">
        <f>$E848+2</f>
        <v>111</v>
      </c>
      <c r="N848" s="8">
        <f>IF($J848=0,0,ROUND(MAX($J848*1.4*1.5,2190000*(1.580994^(MIN($E848,123)-117)))*1,0))</f>
        <v>577500</v>
      </c>
      <c r="O848" s="6">
        <f>$E848+4</f>
        <v>113</v>
      </c>
      <c r="P848" s="7">
        <f>IF($J848=0,0,ROUND(MAX($J848*1.4*1.5*1.6,3500000*(1.57975^(MIN($E848,123)-117)))*1,0))</f>
        <v>924000</v>
      </c>
      <c r="Q848" s="4">
        <f>$E848+6</f>
        <v>115</v>
      </c>
      <c r="R848" s="8">
        <f>IF($J848=0,0,ROUND(MAX($J848*1.4*1.5*1.6*1.6,13100000*(1.429962^(MIN($E848,123)-117)))*1,0))</f>
        <v>1478400</v>
      </c>
      <c r="S848" s="6">
        <f>$E848+8</f>
        <v>117</v>
      </c>
      <c r="T848" s="7">
        <f>IF($J848=0,0,ROUND(MAX($J848*1.4*1.5*1.6*1.6*2.2,42600000*(1.576904^(MIN($E848,123)-117)))*1,0))</f>
        <v>3252480</v>
      </c>
      <c r="U848" s="4">
        <f>$E848+11</f>
        <v>120</v>
      </c>
      <c r="V848" s="8">
        <f>IF($J848=0,0,ROUND(MAX($J848*1.4*1.5*1.6*1.6*2.2*2.715,354000000*(1.642074^(MIN($E848,123)-117)))*1,0))</f>
        <v>8830483</v>
      </c>
      <c r="W848" s="6">
        <f>$E848+15</f>
        <v>124</v>
      </c>
      <c r="X848" s="7">
        <f>IF($J848=0,0,ROUND(MAX($J848*1.4*1.5*1.6*1.6*2.2*2.715*2.6,3540000000*(1.579646^(MIN($E848,123)-117)))*1,0))</f>
        <v>91311418</v>
      </c>
      <c r="Y848" s="4">
        <f>$E848+17</f>
        <v>126</v>
      </c>
      <c r="Z848" s="8">
        <f>IF($J848=0,0,ROUND(MAX($J848*1.4*1.5*1.6*1.6*2.2*2.715*2.6*1.4,6020000000*(1.651178^(MIN($E848,123)-117)))*1,0))</f>
        <v>108954543</v>
      </c>
      <c r="AA848" s="6">
        <f>$E848+19</f>
        <v>128</v>
      </c>
      <c r="AB848" s="7">
        <f>IF($J848=0,0,ROUND(MAX($J848*1.4*1.5*1.6*1.6*2.2*2.715*2.6*1.4*1.4,8430000000*(1.651435^(MIN($E848,123)-117)))*1,0))</f>
        <v>152382712</v>
      </c>
      <c r="AC848" s="4">
        <f>$E848+21</f>
        <v>130</v>
      </c>
      <c r="AD848" s="8">
        <f>IF($J848=0,0,ROUND(MAX($J848*1.4*1.5*1.6*1.6*2.2*2.715*2.6*1.4*1.4*1.5,12600000000*(1.652953^(MIN($E848,123)-117)))*1,0))</f>
        <v>226092682</v>
      </c>
      <c r="AE848" s="6">
        <f>$E848+24</f>
        <v>133</v>
      </c>
      <c r="AF848" s="7">
        <f>IF($J848=0,0,ROUND(MAX($J848*1.4*1.5*1.6*1.6*2.2*2.715*2.6*1.4*1.4*1.5*1.5,18900000000*(1.65331^(MIN($E848,123)-117)))*1,0))</f>
        <v>338553621</v>
      </c>
      <c r="AG848" s="4">
        <f>$E848+27</f>
        <v>136</v>
      </c>
      <c r="AH848" s="8">
        <f>IF($J848=0,0,ROUND(MAX($J848*1.4*1.5*1.6*1.6*2.2*2.715*2.6*1.4*1.4*1.5*1.5*3.2,60500000000*(1.654288^(MIN($E848,123)-117)))*1,0))</f>
        <v>1078614909</v>
      </c>
    </row>
    <row r="849" ht="27.75" customHeight="1" spans="1:34" x14ac:dyDescent="0.25">
      <c r="A849" s="3">
        <v>859</v>
      </c>
      <c r="B849" s="3" t="s">
        <v>731</v>
      </c>
      <c r="C849" s="3" t="s">
        <v>670</v>
      </c>
      <c r="D849" s="3" t="s">
        <v>33</v>
      </c>
      <c r="E849" s="3">
        <v>109</v>
      </c>
      <c r="F849" s="3" t="s">
        <v>56</v>
      </c>
      <c r="G849" s="3" t="s">
        <v>671</v>
      </c>
      <c r="H849" s="3">
        <v>25</v>
      </c>
      <c r="I849" s="4">
        <v>109</v>
      </c>
      <c r="J849" s="5">
        <v>105000</v>
      </c>
      <c r="K849" s="6">
        <f>$E849+1</f>
        <v>110</v>
      </c>
      <c r="L849" s="7">
        <f>IF($J849=0,0,ROUND(MAX($J849*1.4,1620000*(1.497923^(MIN($E849,123)-117)))*1,0))</f>
        <v>147000</v>
      </c>
      <c r="M849" s="4">
        <f>$E849+2</f>
        <v>111</v>
      </c>
      <c r="N849" s="8">
        <f>IF($J849=0,0,ROUND(MAX($J849*1.4*1.5,2190000*(1.580994^(MIN($E849,123)-117)))*1,0))</f>
        <v>220500</v>
      </c>
      <c r="O849" s="6">
        <f>$E849+4</f>
        <v>113</v>
      </c>
      <c r="P849" s="7">
        <f>IF($J849=0,0,ROUND(MAX($J849*1.4*1.5*1.6,3500000*(1.57975^(MIN($E849,123)-117)))*1,0))</f>
        <v>352800</v>
      </c>
      <c r="Q849" s="4">
        <f>$E849+6</f>
        <v>115</v>
      </c>
      <c r="R849" s="8">
        <f>IF($J849=0,0,ROUND(MAX($J849*1.4*1.5*1.6*1.6,13100000*(1.429962^(MIN($E849,123)-117)))*1,0))</f>
        <v>749334</v>
      </c>
      <c r="S849" s="6">
        <f>$E849+8</f>
        <v>117</v>
      </c>
      <c r="T849" s="7">
        <f>IF($J849=0,0,ROUND(MAX($J849*1.4*1.5*1.6*1.6*2.2,42600000*(1.576904^(MIN($E849,123)-117)))*1,0))</f>
        <v>1241856</v>
      </c>
      <c r="U849" s="4">
        <f>$E849+11</f>
        <v>120</v>
      </c>
      <c r="V849" s="8">
        <f>IF($J849=0,0,ROUND(MAX($J849*1.4*1.5*1.6*1.6*2.2*2.715,354000000*(1.642074^(MIN($E849,123)-117)))*1,0))</f>
        <v>6696710</v>
      </c>
      <c r="W849" s="6">
        <f>$E849+15</f>
        <v>124</v>
      </c>
      <c r="X849" s="7">
        <f>IF($J849=0,0,ROUND(MAX($J849*1.4*1.5*1.6*1.6*2.2*2.715*2.6,3540000000*(1.579646^(MIN($E849,123)-117)))*1,0))</f>
        <v>91311418</v>
      </c>
      <c r="Y849" s="4">
        <f>$E849+17</f>
        <v>126</v>
      </c>
      <c r="Z849" s="8">
        <f>IF($J849=0,0,ROUND(MAX($J849*1.4*1.5*1.6*1.6*2.2*2.715*2.6*1.4,6020000000*(1.651178^(MIN($E849,123)-117)))*1,0))</f>
        <v>108954543</v>
      </c>
      <c r="AA849" s="6">
        <f>$E849+19</f>
        <v>128</v>
      </c>
      <c r="AB849" s="7">
        <f>IF($J849=0,0,ROUND(MAX($J849*1.4*1.5*1.6*1.6*2.2*2.715*2.6*1.4*1.4,8430000000*(1.651435^(MIN($E849,123)-117)))*1,0))</f>
        <v>152382712</v>
      </c>
      <c r="AC849" s="4">
        <f>$E849+21</f>
        <v>130</v>
      </c>
      <c r="AD849" s="8">
        <f>IF($J849=0,0,ROUND(MAX($J849*1.4*1.5*1.6*1.6*2.2*2.715*2.6*1.4*1.4*1.5,12600000000*(1.652953^(MIN($E849,123)-117)))*1,0))</f>
        <v>226092682</v>
      </c>
      <c r="AE849" s="6">
        <f>$E849+24</f>
        <v>133</v>
      </c>
      <c r="AF849" s="7">
        <f>IF($J849=0,0,ROUND(MAX($J849*1.4*1.5*1.6*1.6*2.2*2.715*2.6*1.4*1.4*1.5*1.5,18900000000*(1.65331^(MIN($E849,123)-117)))*1,0))</f>
        <v>338553621</v>
      </c>
      <c r="AG849" s="4">
        <f>$E849+27</f>
        <v>136</v>
      </c>
      <c r="AH849" s="8">
        <f>IF($J849=0,0,ROUND(MAX($J849*1.4*1.5*1.6*1.6*2.2*2.715*2.6*1.4*1.4*1.5*1.5*3.2,60500000000*(1.654288^(MIN($E849,123)-117)))*1,0))</f>
        <v>1078614909</v>
      </c>
    </row>
    <row r="850" ht="27.75" customHeight="1" spans="1:34" x14ac:dyDescent="0.25">
      <c r="A850" s="3">
        <v>860</v>
      </c>
      <c r="B850" s="3" t="s">
        <v>436</v>
      </c>
      <c r="C850" s="3" t="s">
        <v>670</v>
      </c>
      <c r="D850" s="3" t="s">
        <v>79</v>
      </c>
      <c r="E850" s="3">
        <v>109</v>
      </c>
      <c r="F850" s="3" t="s">
        <v>310</v>
      </c>
      <c r="G850" s="3" t="s">
        <v>437</v>
      </c>
      <c r="H850" s="3">
        <v>25</v>
      </c>
      <c r="I850" s="4">
        <v>109</v>
      </c>
      <c r="J850" s="5">
        <v>70500</v>
      </c>
      <c r="K850" s="6">
        <f>$E850+1</f>
        <v>110</v>
      </c>
      <c r="L850" s="7">
        <f>IF($J850=0,0,ROUND(MAX($J850*1.4,1620000*(1.497923^(MIN($E850,123)-117)))*1,0))</f>
        <v>98700</v>
      </c>
      <c r="M850" s="4">
        <f>$E850+2</f>
        <v>111</v>
      </c>
      <c r="N850" s="8">
        <f>IF($J850=0,0,ROUND(MAX($J850*1.4*1.5,2190000*(1.580994^(MIN($E850,123)-117)))*1,0))</f>
        <v>148050</v>
      </c>
      <c r="O850" s="6">
        <f>$E850+4</f>
        <v>113</v>
      </c>
      <c r="P850" s="7">
        <f>IF($J850=0,0,ROUND(MAX($J850*1.4*1.5*1.6,3500000*(1.57975^(MIN($E850,123)-117)))*1,0))</f>
        <v>236880</v>
      </c>
      <c r="Q850" s="4">
        <f>$E850+6</f>
        <v>115</v>
      </c>
      <c r="R850" s="8">
        <f>IF($J850=0,0,ROUND(MAX($J850*1.4*1.5*1.6*1.6,13100000*(1.429962^(MIN($E850,123)-117)))*1,0))</f>
        <v>749334</v>
      </c>
      <c r="S850" s="6">
        <f>$E850+8</f>
        <v>117</v>
      </c>
      <c r="T850" s="7">
        <f>IF($J850=0,0,ROUND(MAX($J850*1.4*1.5*1.6*1.6*2.2,42600000*(1.576904^(MIN($E850,123)-117)))*1,0))</f>
        <v>1114211</v>
      </c>
      <c r="U850" s="4">
        <f>$E850+11</f>
        <v>120</v>
      </c>
      <c r="V850" s="8">
        <f>IF($J850=0,0,ROUND(MAX($J850*1.4*1.5*1.6*1.6*2.2*2.715,354000000*(1.642074^(MIN($E850,123)-117)))*1,0))</f>
        <v>6696710</v>
      </c>
      <c r="W850" s="6">
        <f>$E850+15</f>
        <v>124</v>
      </c>
      <c r="X850" s="7">
        <f>IF($J850=0,0,ROUND(MAX($J850*1.4*1.5*1.6*1.6*2.2*2.715*2.6,3540000000*(1.579646^(MIN($E850,123)-117)))*1,0))</f>
        <v>91311418</v>
      </c>
      <c r="Y850" s="4">
        <f>$E850+17</f>
        <v>126</v>
      </c>
      <c r="Z850" s="8">
        <f>IF($J850=0,0,ROUND(MAX($J850*1.4*1.5*1.6*1.6*2.2*2.715*2.6*1.4,6020000000*(1.651178^(MIN($E850,123)-117)))*1,0))</f>
        <v>108954543</v>
      </c>
      <c r="AA850" s="6">
        <f>$E850+19</f>
        <v>128</v>
      </c>
      <c r="AB850" s="7">
        <f>IF($J850=0,0,ROUND(MAX($J850*1.4*1.5*1.6*1.6*2.2*2.715*2.6*1.4*1.4,8430000000*(1.651435^(MIN($E850,123)-117)))*1,0))</f>
        <v>152382712</v>
      </c>
      <c r="AC850" s="4">
        <f>$E850+21</f>
        <v>130</v>
      </c>
      <c r="AD850" s="8">
        <f>IF($J850=0,0,ROUND(MAX($J850*1.4*1.5*1.6*1.6*2.2*2.715*2.6*1.4*1.4*1.5,12600000000*(1.652953^(MIN($E850,123)-117)))*1,0))</f>
        <v>226092682</v>
      </c>
      <c r="AE850" s="6">
        <f>$E850+24</f>
        <v>133</v>
      </c>
      <c r="AF850" s="7">
        <f>IF($J850=0,0,ROUND(MAX($J850*1.4*1.5*1.6*1.6*2.2*2.715*2.6*1.4*1.4*1.5*1.5,18900000000*(1.65331^(MIN($E850,123)-117)))*1,0))</f>
        <v>338553621</v>
      </c>
      <c r="AG850" s="4">
        <f>$E850+27</f>
        <v>136</v>
      </c>
      <c r="AH850" s="8">
        <f>IF($J850=0,0,ROUND(MAX($J850*1.4*1.5*1.6*1.6*2.2*2.715*2.6*1.4*1.4*1.5*1.5*3.2,60500000000*(1.654288^(MIN($E850,123)-117)))*1,0))</f>
        <v>1078614909</v>
      </c>
    </row>
    <row r="851" ht="27.75" customHeight="1" spans="1:34" x14ac:dyDescent="0.25">
      <c r="A851" s="3">
        <v>861</v>
      </c>
      <c r="B851" s="3" t="s">
        <v>732</v>
      </c>
      <c r="C851" s="3" t="s">
        <v>670</v>
      </c>
      <c r="D851" s="3" t="s">
        <v>102</v>
      </c>
      <c r="E851" s="3">
        <v>109</v>
      </c>
      <c r="F851" s="3" t="s">
        <v>733</v>
      </c>
      <c r="G851" s="3" t="s">
        <v>671</v>
      </c>
      <c r="H851" s="3">
        <v>25</v>
      </c>
      <c r="I851" s="4">
        <v>109</v>
      </c>
      <c r="J851" s="5">
        <v>49900</v>
      </c>
      <c r="K851" s="6">
        <f>$E851+1</f>
        <v>110</v>
      </c>
      <c r="L851" s="7">
        <f>IF($J851=0,0,ROUND(MAX($J851*1.4,1620000*(1.497923^(MIN($E851,123)-117)))*1,0))</f>
        <v>69860</v>
      </c>
      <c r="M851" s="4">
        <f>$E851+2</f>
        <v>111</v>
      </c>
      <c r="N851" s="8">
        <f>IF($J851=0,0,ROUND(MAX($J851*1.4*1.5,2190000*(1.580994^(MIN($E851,123)-117)))*1,0))</f>
        <v>104790</v>
      </c>
      <c r="O851" s="6">
        <f>$E851+4</f>
        <v>113</v>
      </c>
      <c r="P851" s="7">
        <f>IF($J851=0,0,ROUND(MAX($J851*1.4*1.5*1.6,3500000*(1.57975^(MIN($E851,123)-117)))*1,0))</f>
        <v>167664</v>
      </c>
      <c r="Q851" s="4">
        <f>$E851+6</f>
        <v>115</v>
      </c>
      <c r="R851" s="8">
        <f>IF($J851=0,0,ROUND(MAX($J851*1.4*1.5*1.6*1.6,13100000*(1.429962^(MIN($E851,123)-117)))*1,0))</f>
        <v>749334</v>
      </c>
      <c r="S851" s="6">
        <f>$E851+8</f>
        <v>117</v>
      </c>
      <c r="T851" s="7">
        <f>IF($J851=0,0,ROUND(MAX($J851*1.4*1.5*1.6*1.6*2.2,42600000*(1.576904^(MIN($E851,123)-117)))*1,0))</f>
        <v>1114211</v>
      </c>
      <c r="U851" s="4">
        <f>$E851+11</f>
        <v>120</v>
      </c>
      <c r="V851" s="8">
        <f>IF($J851=0,0,ROUND(MAX($J851*1.4*1.5*1.6*1.6*2.2*2.715,354000000*(1.642074^(MIN($E851,123)-117)))*1,0))</f>
        <v>6696710</v>
      </c>
      <c r="W851" s="6">
        <f>$E851+15</f>
        <v>124</v>
      </c>
      <c r="X851" s="7">
        <f>IF($J851=0,0,ROUND(MAX($J851*1.4*1.5*1.6*1.6*2.2*2.715*2.6,3540000000*(1.579646^(MIN($E851,123)-117)))*1,0))</f>
        <v>91311418</v>
      </c>
      <c r="Y851" s="4">
        <f>$E851+17</f>
        <v>126</v>
      </c>
      <c r="Z851" s="8">
        <f>IF($J851=0,0,ROUND(MAX($J851*1.4*1.5*1.6*1.6*2.2*2.715*2.6*1.4,6020000000*(1.651178^(MIN($E851,123)-117)))*1,0))</f>
        <v>108954543</v>
      </c>
      <c r="AA851" s="6">
        <f>$E851+19</f>
        <v>128</v>
      </c>
      <c r="AB851" s="7">
        <f>IF($J851=0,0,ROUND(MAX($J851*1.4*1.5*1.6*1.6*2.2*2.715*2.6*1.4*1.4,8430000000*(1.651435^(MIN($E851,123)-117)))*1,0))</f>
        <v>152382712</v>
      </c>
      <c r="AC851" s="4">
        <f>$E851+21</f>
        <v>130</v>
      </c>
      <c r="AD851" s="8">
        <f>IF($J851=0,0,ROUND(MAX($J851*1.4*1.5*1.6*1.6*2.2*2.715*2.6*1.4*1.4*1.5,12600000000*(1.652953^(MIN($E851,123)-117)))*1,0))</f>
        <v>226092682</v>
      </c>
      <c r="AE851" s="6">
        <f>$E851+24</f>
        <v>133</v>
      </c>
      <c r="AF851" s="7">
        <f>IF($J851=0,0,ROUND(MAX($J851*1.4*1.5*1.6*1.6*2.2*2.715*2.6*1.4*1.4*1.5*1.5,18900000000*(1.65331^(MIN($E851,123)-117)))*1,0))</f>
        <v>338553621</v>
      </c>
      <c r="AG851" s="4">
        <f>$E851+27</f>
        <v>136</v>
      </c>
      <c r="AH851" s="8">
        <f>IF($J851=0,0,ROUND(MAX($J851*1.4*1.5*1.6*1.6*2.2*2.715*2.6*1.4*1.4*1.5*1.5*3.2,60500000000*(1.654288^(MIN($E851,123)-117)))*1,0))</f>
        <v>1078614909</v>
      </c>
    </row>
    <row r="852" ht="27.75" customHeight="1" spans="1:34" x14ac:dyDescent="0.25">
      <c r="A852" s="3">
        <v>862</v>
      </c>
      <c r="B852" s="3" t="s">
        <v>734</v>
      </c>
      <c r="C852" s="3" t="s">
        <v>670</v>
      </c>
      <c r="D852" s="3" t="s">
        <v>79</v>
      </c>
      <c r="E852" s="3">
        <v>109</v>
      </c>
      <c r="F852" s="3" t="s">
        <v>30</v>
      </c>
      <c r="G852" s="3" t="s">
        <v>671</v>
      </c>
      <c r="H852" s="3">
        <v>25</v>
      </c>
      <c r="I852" s="4">
        <v>109</v>
      </c>
      <c r="J852" s="5">
        <v>79400</v>
      </c>
      <c r="K852" s="6">
        <f>$E852+1</f>
        <v>110</v>
      </c>
      <c r="L852" s="7">
        <f>IF($J852=0,0,ROUND(MAX($J852*1.4,1620000*(1.497923^(MIN($E852,123)-117)))*1,0))</f>
        <v>111160</v>
      </c>
      <c r="M852" s="4">
        <f>$E852+2</f>
        <v>111</v>
      </c>
      <c r="N852" s="8">
        <f>IF($J852=0,0,ROUND(MAX($J852*1.4*1.5,2190000*(1.580994^(MIN($E852,123)-117)))*1,0))</f>
        <v>166740</v>
      </c>
      <c r="O852" s="6">
        <f>$E852+4</f>
        <v>113</v>
      </c>
      <c r="P852" s="7">
        <f>IF($J852=0,0,ROUND(MAX($J852*1.4*1.5*1.6,3500000*(1.57975^(MIN($E852,123)-117)))*1,0))</f>
        <v>266784</v>
      </c>
      <c r="Q852" s="4">
        <f>$E852+6</f>
        <v>115</v>
      </c>
      <c r="R852" s="8">
        <f>IF($J852=0,0,ROUND(MAX($J852*1.4*1.5*1.6*1.6,13100000*(1.429962^(MIN($E852,123)-117)))*1,0))</f>
        <v>749334</v>
      </c>
      <c r="S852" s="6">
        <f>$E852+8</f>
        <v>117</v>
      </c>
      <c r="T852" s="7">
        <f>IF($J852=0,0,ROUND(MAX($J852*1.4*1.5*1.6*1.6*2.2,42600000*(1.576904^(MIN($E852,123)-117)))*1,0))</f>
        <v>1114211</v>
      </c>
      <c r="U852" s="4">
        <f>$E852+11</f>
        <v>120</v>
      </c>
      <c r="V852" s="8">
        <f>IF($J852=0,0,ROUND(MAX($J852*1.4*1.5*1.6*1.6*2.2*2.715,354000000*(1.642074^(MIN($E852,123)-117)))*1,0))</f>
        <v>6696710</v>
      </c>
      <c r="W852" s="6">
        <f>$E852+15</f>
        <v>124</v>
      </c>
      <c r="X852" s="7">
        <f>IF($J852=0,0,ROUND(MAX($J852*1.4*1.5*1.6*1.6*2.2*2.715*2.6,3540000000*(1.579646^(MIN($E852,123)-117)))*1,0))</f>
        <v>91311418</v>
      </c>
      <c r="Y852" s="4">
        <f>$E852+17</f>
        <v>126</v>
      </c>
      <c r="Z852" s="8">
        <f>IF($J852=0,0,ROUND(MAX($J852*1.4*1.5*1.6*1.6*2.2*2.715*2.6*1.4,6020000000*(1.651178^(MIN($E852,123)-117)))*1,0))</f>
        <v>108954543</v>
      </c>
      <c r="AA852" s="6">
        <f>$E852+19</f>
        <v>128</v>
      </c>
      <c r="AB852" s="7">
        <f>IF($J852=0,0,ROUND(MAX($J852*1.4*1.5*1.6*1.6*2.2*2.715*2.6*1.4*1.4,8430000000*(1.651435^(MIN($E852,123)-117)))*1,0))</f>
        <v>152382712</v>
      </c>
      <c r="AC852" s="4">
        <f>$E852+21</f>
        <v>130</v>
      </c>
      <c r="AD852" s="8">
        <f>IF($J852=0,0,ROUND(MAX($J852*1.4*1.5*1.6*1.6*2.2*2.715*2.6*1.4*1.4*1.5,12600000000*(1.652953^(MIN($E852,123)-117)))*1,0))</f>
        <v>226092682</v>
      </c>
      <c r="AE852" s="6">
        <f>$E852+24</f>
        <v>133</v>
      </c>
      <c r="AF852" s="7">
        <f>IF($J852=0,0,ROUND(MAX($J852*1.4*1.5*1.6*1.6*2.2*2.715*2.6*1.4*1.4*1.5*1.5,18900000000*(1.65331^(MIN($E852,123)-117)))*1,0))</f>
        <v>338553621</v>
      </c>
      <c r="AG852" s="4">
        <f>$E852+27</f>
        <v>136</v>
      </c>
      <c r="AH852" s="8">
        <f>IF($J852=0,0,ROUND(MAX($J852*1.4*1.5*1.6*1.6*2.2*2.715*2.6*1.4*1.4*1.5*1.5*3.2,60500000000*(1.654288^(MIN($E852,123)-117)))*1,0))</f>
        <v>1078614909</v>
      </c>
    </row>
    <row r="853" ht="27.75" customHeight="1" spans="1:34" x14ac:dyDescent="0.25">
      <c r="A853" s="3">
        <v>863</v>
      </c>
      <c r="B853" s="3" t="s">
        <v>735</v>
      </c>
      <c r="C853" s="3" t="s">
        <v>670</v>
      </c>
      <c r="D853" s="3" t="s">
        <v>45</v>
      </c>
      <c r="E853" s="3">
        <v>109</v>
      </c>
      <c r="F853" s="3" t="s">
        <v>123</v>
      </c>
      <c r="G853" s="3" t="s">
        <v>736</v>
      </c>
      <c r="H853" s="3">
        <v>25</v>
      </c>
      <c r="I853" s="4">
        <v>109</v>
      </c>
      <c r="J853" s="5">
        <v>62300</v>
      </c>
      <c r="K853" s="6">
        <f>$E853+1</f>
        <v>110</v>
      </c>
      <c r="L853" s="7">
        <f>IF($J853=0,0,ROUND(MAX($J853*1.4,1620000*(1.497923^(MIN($E853,123)-117)))*1,0))</f>
        <v>87220</v>
      </c>
      <c r="M853" s="4">
        <f>$E853+2</f>
        <v>111</v>
      </c>
      <c r="N853" s="8">
        <f>IF($J853=0,0,ROUND(MAX($J853*1.4*1.5,2190000*(1.580994^(MIN($E853,123)-117)))*1,0))</f>
        <v>130830</v>
      </c>
      <c r="O853" s="6">
        <f>$E853+4</f>
        <v>113</v>
      </c>
      <c r="P853" s="7">
        <f>IF($J853=0,0,ROUND(MAX($J853*1.4*1.5*1.6,3500000*(1.57975^(MIN($E853,123)-117)))*1,0))</f>
        <v>209328</v>
      </c>
      <c r="Q853" s="4">
        <f>$E853+6</f>
        <v>115</v>
      </c>
      <c r="R853" s="8">
        <f>IF($J853=0,0,ROUND(MAX($J853*1.4*1.5*1.6*1.6,13100000*(1.429962^(MIN($E853,123)-117)))*1,0))</f>
        <v>749334</v>
      </c>
      <c r="S853" s="6">
        <f>$E853+8</f>
        <v>117</v>
      </c>
      <c r="T853" s="7">
        <f>IF($J853=0,0,ROUND(MAX($J853*1.4*1.5*1.6*1.6*2.2,42600000*(1.576904^(MIN($E853,123)-117)))*1,0))</f>
        <v>1114211</v>
      </c>
      <c r="U853" s="4">
        <f>$E853+11</f>
        <v>120</v>
      </c>
      <c r="V853" s="8">
        <f>IF($J853=0,0,ROUND(MAX($J853*1.4*1.5*1.6*1.6*2.2*2.715,354000000*(1.642074^(MIN($E853,123)-117)))*1,0))</f>
        <v>6696710</v>
      </c>
      <c r="W853" s="6">
        <f>$E853+15</f>
        <v>124</v>
      </c>
      <c r="X853" s="7">
        <f>IF($J853=0,0,ROUND(MAX($J853*1.4*1.5*1.6*1.6*2.2*2.715*2.6,3540000000*(1.579646^(MIN($E853,123)-117)))*1,0))</f>
        <v>91311418</v>
      </c>
      <c r="Y853" s="4">
        <f>$E853+17</f>
        <v>126</v>
      </c>
      <c r="Z853" s="8">
        <f>IF($J853=0,0,ROUND(MAX($J853*1.4*1.5*1.6*1.6*2.2*2.715*2.6*1.4,6020000000*(1.651178^(MIN($E853,123)-117)))*1,0))</f>
        <v>108954543</v>
      </c>
      <c r="AA853" s="6">
        <f>$E853+19</f>
        <v>128</v>
      </c>
      <c r="AB853" s="7">
        <f>IF($J853=0,0,ROUND(MAX($J853*1.4*1.5*1.6*1.6*2.2*2.715*2.6*1.4*1.4,8430000000*(1.651435^(MIN($E853,123)-117)))*1,0))</f>
        <v>152382712</v>
      </c>
      <c r="AC853" s="4">
        <f>$E853+21</f>
        <v>130</v>
      </c>
      <c r="AD853" s="8">
        <f>IF($J853=0,0,ROUND(MAX($J853*1.4*1.5*1.6*1.6*2.2*2.715*2.6*1.4*1.4*1.5,12600000000*(1.652953^(MIN($E853,123)-117)))*1,0))</f>
        <v>226092682</v>
      </c>
      <c r="AE853" s="6">
        <f>$E853+24</f>
        <v>133</v>
      </c>
      <c r="AF853" s="7">
        <f>IF($J853=0,0,ROUND(MAX($J853*1.4*1.5*1.6*1.6*2.2*2.715*2.6*1.4*1.4*1.5*1.5,18900000000*(1.65331^(MIN($E853,123)-117)))*1,0))</f>
        <v>338553621</v>
      </c>
      <c r="AG853" s="4">
        <f>$E853+27</f>
        <v>136</v>
      </c>
      <c r="AH853" s="8">
        <f>IF($J853=0,0,ROUND(MAX($J853*1.4*1.5*1.6*1.6*2.2*2.715*2.6*1.4*1.4*1.5*1.5*3.2,60500000000*(1.654288^(MIN($E853,123)-117)))*1,0))</f>
        <v>1078614909</v>
      </c>
    </row>
    <row r="854" ht="27.75" customHeight="1" spans="1:34" x14ac:dyDescent="0.25">
      <c r="A854" s="3">
        <v>864</v>
      </c>
      <c r="B854" s="3" t="s">
        <v>737</v>
      </c>
      <c r="C854" s="3" t="s">
        <v>670</v>
      </c>
      <c r="D854" s="3" t="s">
        <v>33</v>
      </c>
      <c r="E854" s="3">
        <v>109</v>
      </c>
      <c r="F854" s="3" t="s">
        <v>54</v>
      </c>
      <c r="G854" s="3" t="s">
        <v>381</v>
      </c>
      <c r="H854" s="3">
        <v>24</v>
      </c>
      <c r="I854" s="4">
        <v>109</v>
      </c>
      <c r="J854" s="5">
        <v>164000</v>
      </c>
      <c r="K854" s="6">
        <f>$E854+1</f>
        <v>110</v>
      </c>
      <c r="L854" s="7">
        <f>IF($J854=0,0,ROUND(MAX($J854*1.4,1620000*(1.497923^(MIN($E854,123)-117)))*1,0))</f>
        <v>229600</v>
      </c>
      <c r="M854" s="4">
        <f>$E854+2</f>
        <v>111</v>
      </c>
      <c r="N854" s="8">
        <f>IF($J854=0,0,ROUND(MAX($J854*1.4*1.5,2190000*(1.580994^(MIN($E854,123)-117)))*1,0))</f>
        <v>344400</v>
      </c>
      <c r="O854" s="6">
        <f>$E854+4</f>
        <v>113</v>
      </c>
      <c r="P854" s="7">
        <f>IF($J854=0,0,ROUND(MAX($J854*1.4*1.5*1.6,3500000*(1.57975^(MIN($E854,123)-117)))*1,0))</f>
        <v>551040</v>
      </c>
      <c r="Q854" s="4">
        <f>$E854+6</f>
        <v>115</v>
      </c>
      <c r="R854" s="8">
        <f>IF($J854=0,0,ROUND(MAX($J854*1.4*1.5*1.6*1.6,13100000*(1.429962^(MIN($E854,123)-117)))*1,0))</f>
        <v>881664</v>
      </c>
      <c r="S854" s="6">
        <f>$E854+8</f>
        <v>117</v>
      </c>
      <c r="T854" s="7">
        <f>IF($J854=0,0,ROUND(MAX($J854*1.4*1.5*1.6*1.6*2.2,42600000*(1.576904^(MIN($E854,123)-117)))*1,0))</f>
        <v>1939661</v>
      </c>
      <c r="U854" s="4">
        <f>$E854+11</f>
        <v>120</v>
      </c>
      <c r="V854" s="8">
        <f>IF($J854=0,0,ROUND(MAX($J854*1.4*1.5*1.6*1.6*2.2*2.715,354000000*(1.642074^(MIN($E854,123)-117)))*1,0))</f>
        <v>6696710</v>
      </c>
      <c r="W854" s="6">
        <f>$E854+15</f>
        <v>124</v>
      </c>
      <c r="X854" s="7">
        <f>IF($J854=0,0,ROUND(MAX($J854*1.4*1.5*1.6*1.6*2.2*2.715*2.6,3540000000*(1.579646^(MIN($E854,123)-117)))*1,0))</f>
        <v>91311418</v>
      </c>
      <c r="Y854" s="4">
        <f>$E854+17</f>
        <v>126</v>
      </c>
      <c r="Z854" s="8">
        <f>IF($J854=0,0,ROUND(MAX($J854*1.4*1.5*1.6*1.6*2.2*2.715*2.6*1.4,6020000000*(1.651178^(MIN($E854,123)-117)))*1,0))</f>
        <v>108954543</v>
      </c>
      <c r="AA854" s="6">
        <f>$E854+19</f>
        <v>128</v>
      </c>
      <c r="AB854" s="7">
        <f>IF($J854=0,0,ROUND(MAX($J854*1.4*1.5*1.6*1.6*2.2*2.715*2.6*1.4*1.4,8430000000*(1.651435^(MIN($E854,123)-117)))*1,0))</f>
        <v>152382712</v>
      </c>
      <c r="AC854" s="4">
        <f>$E854+21</f>
        <v>130</v>
      </c>
      <c r="AD854" s="8">
        <f>IF($J854=0,0,ROUND(MAX($J854*1.4*1.5*1.6*1.6*2.2*2.715*2.6*1.4*1.4*1.5,12600000000*(1.652953^(MIN($E854,123)-117)))*1,0))</f>
        <v>226092682</v>
      </c>
      <c r="AE854" s="6">
        <f>$E854+24</f>
        <v>133</v>
      </c>
      <c r="AF854" s="7">
        <f>IF($J854=0,0,ROUND(MAX($J854*1.4*1.5*1.6*1.6*2.2*2.715*2.6*1.4*1.4*1.5*1.5,18900000000*(1.65331^(MIN($E854,123)-117)))*1,0))</f>
        <v>338553621</v>
      </c>
      <c r="AG854" s="4">
        <f>$E854+27</f>
        <v>136</v>
      </c>
      <c r="AH854" s="8">
        <f>IF($J854=0,0,ROUND(MAX($J854*1.4*1.5*1.6*1.6*2.2*2.715*2.6*1.4*1.4*1.5*1.5*3.2,60500000000*(1.654288^(MIN($E854,123)-117)))*1,0))</f>
        <v>1078614909</v>
      </c>
    </row>
    <row r="855" ht="27.75" customHeight="1" spans="1:34" x14ac:dyDescent="0.25">
      <c r="A855" s="3">
        <v>865</v>
      </c>
      <c r="B855" s="3" t="s">
        <v>738</v>
      </c>
      <c r="C855" s="3" t="s">
        <v>670</v>
      </c>
      <c r="D855" s="3" t="s">
        <v>45</v>
      </c>
      <c r="E855" s="3">
        <v>109</v>
      </c>
      <c r="F855" s="3" t="s">
        <v>54</v>
      </c>
      <c r="G855" s="3" t="s">
        <v>300</v>
      </c>
      <c r="H855" s="3">
        <v>24</v>
      </c>
      <c r="I855" s="4">
        <v>109</v>
      </c>
      <c r="J855" s="5">
        <v>127000</v>
      </c>
      <c r="K855" s="6">
        <f>$E855+1</f>
        <v>110</v>
      </c>
      <c r="L855" s="7">
        <f>IF($J855=0,0,ROUND(MAX($J855*1.4,1620000*(1.497923^(MIN($E855,123)-117)))*1,0))</f>
        <v>177800</v>
      </c>
      <c r="M855" s="4">
        <f>$E855+2</f>
        <v>111</v>
      </c>
      <c r="N855" s="8">
        <f>IF($J855=0,0,ROUND(MAX($J855*1.4*1.5,2190000*(1.580994^(MIN($E855,123)-117)))*1,0))</f>
        <v>266700</v>
      </c>
      <c r="O855" s="6">
        <f>$E855+4</f>
        <v>113</v>
      </c>
      <c r="P855" s="7">
        <f>IF($J855=0,0,ROUND(MAX($J855*1.4*1.5*1.6,3500000*(1.57975^(MIN($E855,123)-117)))*1,0))</f>
        <v>426720</v>
      </c>
      <c r="Q855" s="4">
        <f>$E855+6</f>
        <v>115</v>
      </c>
      <c r="R855" s="8">
        <f>IF($J855=0,0,ROUND(MAX($J855*1.4*1.5*1.6*1.6,13100000*(1.429962^(MIN($E855,123)-117)))*1,0))</f>
        <v>749334</v>
      </c>
      <c r="S855" s="6">
        <f>$E855+8</f>
        <v>117</v>
      </c>
      <c r="T855" s="7">
        <f>IF($J855=0,0,ROUND(MAX($J855*1.4*1.5*1.6*1.6*2.2,42600000*(1.576904^(MIN($E855,123)-117)))*1,0))</f>
        <v>1502054</v>
      </c>
      <c r="U855" s="4">
        <f>$E855+11</f>
        <v>120</v>
      </c>
      <c r="V855" s="8">
        <f>IF($J855=0,0,ROUND(MAX($J855*1.4*1.5*1.6*1.6*2.2*2.715,354000000*(1.642074^(MIN($E855,123)-117)))*1,0))</f>
        <v>6696710</v>
      </c>
      <c r="W855" s="6">
        <f>$E855+15</f>
        <v>124</v>
      </c>
      <c r="X855" s="7">
        <f>IF($J855=0,0,ROUND(MAX($J855*1.4*1.5*1.6*1.6*2.2*2.715*2.6,3540000000*(1.579646^(MIN($E855,123)-117)))*1,0))</f>
        <v>91311418</v>
      </c>
      <c r="Y855" s="4">
        <f>$E855+17</f>
        <v>126</v>
      </c>
      <c r="Z855" s="8">
        <f>IF($J855=0,0,ROUND(MAX($J855*1.4*1.5*1.6*1.6*2.2*2.715*2.6*1.4,6020000000*(1.651178^(MIN($E855,123)-117)))*1,0))</f>
        <v>108954543</v>
      </c>
      <c r="AA855" s="6">
        <f>$E855+19</f>
        <v>128</v>
      </c>
      <c r="AB855" s="7">
        <f>IF($J855=0,0,ROUND(MAX($J855*1.4*1.5*1.6*1.6*2.2*2.715*2.6*1.4*1.4,8430000000*(1.651435^(MIN($E855,123)-117)))*1,0))</f>
        <v>152382712</v>
      </c>
      <c r="AC855" s="4">
        <f>$E855+21</f>
        <v>130</v>
      </c>
      <c r="AD855" s="8">
        <f>IF($J855=0,0,ROUND(MAX($J855*1.4*1.5*1.6*1.6*2.2*2.715*2.6*1.4*1.4*1.5,12600000000*(1.652953^(MIN($E855,123)-117)))*1,0))</f>
        <v>226092682</v>
      </c>
      <c r="AE855" s="6">
        <f>$E855+24</f>
        <v>133</v>
      </c>
      <c r="AF855" s="7">
        <f>IF($J855=0,0,ROUND(MAX($J855*1.4*1.5*1.6*1.6*2.2*2.715*2.6*1.4*1.4*1.5*1.5,18900000000*(1.65331^(MIN($E855,123)-117)))*1,0))</f>
        <v>338553621</v>
      </c>
      <c r="AG855" s="4">
        <f>$E855+27</f>
        <v>136</v>
      </c>
      <c r="AH855" s="8">
        <f>IF($J855=0,0,ROUND(MAX($J855*1.4*1.5*1.6*1.6*2.2*2.715*2.6*1.4*1.4*1.5*1.5*3.2,60500000000*(1.654288^(MIN($E855,123)-117)))*1,0))</f>
        <v>1078614909</v>
      </c>
    </row>
    <row r="856" ht="27.75" customHeight="1" spans="1:34" x14ac:dyDescent="0.25">
      <c r="A856" s="3">
        <v>866</v>
      </c>
      <c r="B856" s="3" t="s">
        <v>739</v>
      </c>
      <c r="C856" s="3" t="s">
        <v>670</v>
      </c>
      <c r="D856" s="3" t="s">
        <v>75</v>
      </c>
      <c r="E856" s="3">
        <v>109</v>
      </c>
      <c r="F856" s="3" t="s">
        <v>59</v>
      </c>
      <c r="G856" s="3" t="s">
        <v>35</v>
      </c>
      <c r="H856" s="3">
        <v>24</v>
      </c>
      <c r="I856" s="4">
        <v>109</v>
      </c>
      <c r="J856" s="5">
        <v>55400</v>
      </c>
      <c r="K856" s="6">
        <f>$E856+1</f>
        <v>110</v>
      </c>
      <c r="L856" s="7">
        <f>IF($J856=0,0,ROUND(MAX($J856*1.4,1620000*(1.497923^(MIN($E856,123)-117)))*1,0))</f>
        <v>77560</v>
      </c>
      <c r="M856" s="4">
        <f>$E856+2</f>
        <v>111</v>
      </c>
      <c r="N856" s="8">
        <f>IF($J856=0,0,ROUND(MAX($J856*1.4*1.5,2190000*(1.580994^(MIN($E856,123)-117)))*1,0))</f>
        <v>116340</v>
      </c>
      <c r="O856" s="6">
        <f>$E856+4</f>
        <v>113</v>
      </c>
      <c r="P856" s="7">
        <f>IF($J856=0,0,ROUND(MAX($J856*1.4*1.5*1.6,3500000*(1.57975^(MIN($E856,123)-117)))*1,0))</f>
        <v>186144</v>
      </c>
      <c r="Q856" s="4">
        <f>$E856+6</f>
        <v>115</v>
      </c>
      <c r="R856" s="8">
        <f>IF($J856=0,0,ROUND(MAX($J856*1.4*1.5*1.6*1.6,13100000*(1.429962^(MIN($E856,123)-117)))*1,0))</f>
        <v>749334</v>
      </c>
      <c r="S856" s="6">
        <f>$E856+8</f>
        <v>117</v>
      </c>
      <c r="T856" s="7">
        <f>IF($J856=0,0,ROUND(MAX($J856*1.4*1.5*1.6*1.6*2.2,42600000*(1.576904^(MIN($E856,123)-117)))*1,0))</f>
        <v>1114211</v>
      </c>
      <c r="U856" s="4">
        <f>$E856+11</f>
        <v>120</v>
      </c>
      <c r="V856" s="8">
        <f>IF($J856=0,0,ROUND(MAX($J856*1.4*1.5*1.6*1.6*2.2*2.715,354000000*(1.642074^(MIN($E856,123)-117)))*1,0))</f>
        <v>6696710</v>
      </c>
      <c r="W856" s="6">
        <f>$E856+15</f>
        <v>124</v>
      </c>
      <c r="X856" s="7">
        <f>IF($J856=0,0,ROUND(MAX($J856*1.4*1.5*1.6*1.6*2.2*2.715*2.6,3540000000*(1.579646^(MIN($E856,123)-117)))*1,0))</f>
        <v>91311418</v>
      </c>
      <c r="Y856" s="4">
        <f>$E856+17</f>
        <v>126</v>
      </c>
      <c r="Z856" s="8">
        <f>IF($J856=0,0,ROUND(MAX($J856*1.4*1.5*1.6*1.6*2.2*2.715*2.6*1.4,6020000000*(1.651178^(MIN($E856,123)-117)))*1,0))</f>
        <v>108954543</v>
      </c>
      <c r="AA856" s="6">
        <f>$E856+19</f>
        <v>128</v>
      </c>
      <c r="AB856" s="7">
        <f>IF($J856=0,0,ROUND(MAX($J856*1.4*1.5*1.6*1.6*2.2*2.715*2.6*1.4*1.4,8430000000*(1.651435^(MIN($E856,123)-117)))*1,0))</f>
        <v>152382712</v>
      </c>
      <c r="AC856" s="4">
        <f>$E856+21</f>
        <v>130</v>
      </c>
      <c r="AD856" s="8">
        <f>IF($J856=0,0,ROUND(MAX($J856*1.4*1.5*1.6*1.6*2.2*2.715*2.6*1.4*1.4*1.5,12600000000*(1.652953^(MIN($E856,123)-117)))*1,0))</f>
        <v>226092682</v>
      </c>
      <c r="AE856" s="6">
        <f>$E856+24</f>
        <v>133</v>
      </c>
      <c r="AF856" s="7">
        <f>IF($J856=0,0,ROUND(MAX($J856*1.4*1.5*1.6*1.6*2.2*2.715*2.6*1.4*1.4*1.5*1.5,18900000000*(1.65331^(MIN($E856,123)-117)))*1,0))</f>
        <v>338553621</v>
      </c>
      <c r="AG856" s="4">
        <f>$E856+27</f>
        <v>136</v>
      </c>
      <c r="AH856" s="8">
        <f>IF($J856=0,0,ROUND(MAX($J856*1.4*1.5*1.6*1.6*2.2*2.715*2.6*1.4*1.4*1.5*1.5*3.2,60500000000*(1.654288^(MIN($E856,123)-117)))*1,0))</f>
        <v>1078614909</v>
      </c>
    </row>
    <row r="857" ht="27.75" customHeight="1" spans="1:34" x14ac:dyDescent="0.25">
      <c r="A857" s="3">
        <v>867</v>
      </c>
      <c r="B857" s="3" t="s">
        <v>740</v>
      </c>
      <c r="C857" s="3" t="s">
        <v>670</v>
      </c>
      <c r="D857" s="3" t="s">
        <v>102</v>
      </c>
      <c r="E857" s="3">
        <v>109</v>
      </c>
      <c r="F857" s="3" t="s">
        <v>62</v>
      </c>
      <c r="G857" s="3" t="s">
        <v>671</v>
      </c>
      <c r="H857" s="3">
        <v>24</v>
      </c>
      <c r="I857" s="4">
        <v>109</v>
      </c>
      <c r="J857" s="5">
        <v>981000</v>
      </c>
      <c r="K857" s="6">
        <f>$E857+1</f>
        <v>110</v>
      </c>
      <c r="L857" s="7">
        <f>IF($J857=0,0,ROUND(MAX($J857*1.4,1620000*(1.497923^(MIN($E857,123)-117)))*1,0))</f>
        <v>1373400</v>
      </c>
      <c r="M857" s="4">
        <f>$E857+2</f>
        <v>111</v>
      </c>
      <c r="N857" s="8">
        <f>IF($J857=0,0,ROUND(MAX($J857*1.4*1.5,2190000*(1.580994^(MIN($E857,123)-117)))*1,0))</f>
        <v>2060100</v>
      </c>
      <c r="O857" s="6">
        <f>$E857+4</f>
        <v>113</v>
      </c>
      <c r="P857" s="7">
        <f>IF($J857=0,0,ROUND(MAX($J857*1.4*1.5*1.6,3500000*(1.57975^(MIN($E857,123)-117)))*1,0))</f>
        <v>3296160</v>
      </c>
      <c r="Q857" s="4">
        <f>$E857+6</f>
        <v>115</v>
      </c>
      <c r="R857" s="8">
        <f>IF($J857=0,0,ROUND(MAX($J857*1.4*1.5*1.6*1.6,13100000*(1.429962^(MIN($E857,123)-117)))*1,0))</f>
        <v>5273856</v>
      </c>
      <c r="S857" s="6">
        <f>$E857+8</f>
        <v>117</v>
      </c>
      <c r="T857" s="7">
        <f>IF($J857=0,0,ROUND(MAX($J857*1.4*1.5*1.6*1.6*2.2,42600000*(1.576904^(MIN($E857,123)-117)))*1,0))</f>
        <v>11602483</v>
      </c>
      <c r="U857" s="4">
        <f>$E857+11</f>
        <v>120</v>
      </c>
      <c r="V857" s="8">
        <f>IF($J857=0,0,ROUND(MAX($J857*1.4*1.5*1.6*1.6*2.2*2.715,354000000*(1.642074^(MIN($E857,123)-117)))*1,0))</f>
        <v>31500742</v>
      </c>
      <c r="W857" s="6">
        <f>$E857+15</f>
        <v>124</v>
      </c>
      <c r="X857" s="7">
        <f>IF($J857=0,0,ROUND(MAX($J857*1.4*1.5*1.6*1.6*2.2*2.715*2.6,3540000000*(1.579646^(MIN($E857,123)-117)))*1,0))</f>
        <v>91311418</v>
      </c>
      <c r="Y857" s="4">
        <f>$E857+17</f>
        <v>126</v>
      </c>
      <c r="Z857" s="8">
        <f>IF($J857=0,0,ROUND(MAX($J857*1.4*1.5*1.6*1.6*2.2*2.715*2.6*1.4,6020000000*(1.651178^(MIN($E857,123)-117)))*1,0))</f>
        <v>114662700</v>
      </c>
      <c r="AA857" s="6">
        <f>$E857+19</f>
        <v>128</v>
      </c>
      <c r="AB857" s="7">
        <f>IF($J857=0,0,ROUND(MAX($J857*1.4*1.5*1.6*1.6*2.2*2.715*2.6*1.4*1.4,8430000000*(1.651435^(MIN($E857,123)-117)))*1,0))</f>
        <v>160527781</v>
      </c>
      <c r="AC857" s="4">
        <f>$E857+21</f>
        <v>130</v>
      </c>
      <c r="AD857" s="8">
        <f>IF($J857=0,0,ROUND(MAX($J857*1.4*1.5*1.6*1.6*2.2*2.715*2.6*1.4*1.4*1.5,12600000000*(1.652953^(MIN($E857,123)-117)))*1,0))</f>
        <v>240791671</v>
      </c>
      <c r="AE857" s="6">
        <f>$E857+24</f>
        <v>133</v>
      </c>
      <c r="AF857" s="7">
        <f>IF($J857=0,0,ROUND(MAX($J857*1.4*1.5*1.6*1.6*2.2*2.715*2.6*1.4*1.4*1.5*1.5,18900000000*(1.65331^(MIN($E857,123)-117)))*1,0))</f>
        <v>361187506</v>
      </c>
      <c r="AG857" s="4">
        <f>$E857+27</f>
        <v>136</v>
      </c>
      <c r="AH857" s="8">
        <f>IF($J857=0,0,ROUND(MAX($J857*1.4*1.5*1.6*1.6*2.2*2.715*2.6*1.4*1.4*1.5*1.5*3.2,60500000000*(1.654288^(MIN($E857,123)-117)))*1,0))</f>
        <v>1155800021</v>
      </c>
    </row>
    <row r="858" ht="27.75" customHeight="1" spans="1:34" x14ac:dyDescent="0.25">
      <c r="A858" s="3">
        <v>868</v>
      </c>
      <c r="B858" s="3" t="s">
        <v>741</v>
      </c>
      <c r="C858" s="3" t="s">
        <v>670</v>
      </c>
      <c r="D858" s="3" t="s">
        <v>102</v>
      </c>
      <c r="E858" s="3">
        <v>109</v>
      </c>
      <c r="F858" s="3" t="s">
        <v>56</v>
      </c>
      <c r="G858" s="3" t="s">
        <v>671</v>
      </c>
      <c r="H858" s="3">
        <v>24</v>
      </c>
      <c r="I858" s="4">
        <v>109</v>
      </c>
      <c r="J858" s="5">
        <v>44300</v>
      </c>
      <c r="K858" s="6">
        <f>$E858+1</f>
        <v>110</v>
      </c>
      <c r="L858" s="7">
        <f>IF($J858=0,0,ROUND(MAX($J858*1.4,1620000*(1.497923^(MIN($E858,123)-117)))*1,0))</f>
        <v>63914</v>
      </c>
      <c r="M858" s="4">
        <f>$E858+2</f>
        <v>111</v>
      </c>
      <c r="N858" s="8">
        <f>IF($J858=0,0,ROUND(MAX($J858*1.4*1.5,2190000*(1.580994^(MIN($E858,123)-117)))*1,0))</f>
        <v>93030</v>
      </c>
      <c r="O858" s="6">
        <f>$E858+4</f>
        <v>113</v>
      </c>
      <c r="P858" s="7">
        <f>IF($J858=0,0,ROUND(MAX($J858*1.4*1.5*1.6,3500000*(1.57975^(MIN($E858,123)-117)))*1,0))</f>
        <v>148848</v>
      </c>
      <c r="Q858" s="4">
        <f>$E858+6</f>
        <v>115</v>
      </c>
      <c r="R858" s="8">
        <f>IF($J858=0,0,ROUND(MAX($J858*1.4*1.5*1.6*1.6,13100000*(1.429962^(MIN($E858,123)-117)))*1,0))</f>
        <v>749334</v>
      </c>
      <c r="S858" s="6">
        <f>$E858+8</f>
        <v>117</v>
      </c>
      <c r="T858" s="7">
        <f>IF($J858=0,0,ROUND(MAX($J858*1.4*1.5*1.6*1.6*2.2,42600000*(1.576904^(MIN($E858,123)-117)))*1,0))</f>
        <v>1114211</v>
      </c>
      <c r="U858" s="4">
        <f>$E858+11</f>
        <v>120</v>
      </c>
      <c r="V858" s="8">
        <f>IF($J858=0,0,ROUND(MAX($J858*1.4*1.5*1.6*1.6*2.2*2.715,354000000*(1.642074^(MIN($E858,123)-117)))*1,0))</f>
        <v>6696710</v>
      </c>
      <c r="W858" s="6">
        <f>$E858+15</f>
        <v>124</v>
      </c>
      <c r="X858" s="7">
        <f>IF($J858=0,0,ROUND(MAX($J858*1.4*1.5*1.6*1.6*2.2*2.715*2.6,3540000000*(1.579646^(MIN($E858,123)-117)))*1,0))</f>
        <v>91311418</v>
      </c>
      <c r="Y858" s="4">
        <f>$E858+17</f>
        <v>126</v>
      </c>
      <c r="Z858" s="8">
        <f>IF($J858=0,0,ROUND(MAX($J858*1.4*1.5*1.6*1.6*2.2*2.715*2.6*1.4,6020000000*(1.651178^(MIN($E858,123)-117)))*1,0))</f>
        <v>108954543</v>
      </c>
      <c r="AA858" s="6">
        <f>$E858+19</f>
        <v>128</v>
      </c>
      <c r="AB858" s="7">
        <f>IF($J858=0,0,ROUND(MAX($J858*1.4*1.5*1.6*1.6*2.2*2.715*2.6*1.4*1.4,8430000000*(1.651435^(MIN($E858,123)-117)))*1,0))</f>
        <v>152382712</v>
      </c>
      <c r="AC858" s="4">
        <f>$E858+21</f>
        <v>130</v>
      </c>
      <c r="AD858" s="8">
        <f>IF($J858=0,0,ROUND(MAX($J858*1.4*1.5*1.6*1.6*2.2*2.715*2.6*1.4*1.4*1.5,12600000000*(1.652953^(MIN($E858,123)-117)))*1,0))</f>
        <v>226092682</v>
      </c>
      <c r="AE858" s="6">
        <f>$E858+24</f>
        <v>133</v>
      </c>
      <c r="AF858" s="7">
        <f>IF($J858=0,0,ROUND(MAX($J858*1.4*1.5*1.6*1.6*2.2*2.715*2.6*1.4*1.4*1.5*1.5,18900000000*(1.65331^(MIN($E858,123)-117)))*1,0))</f>
        <v>338553621</v>
      </c>
      <c r="AG858" s="4">
        <f>$E858+27</f>
        <v>136</v>
      </c>
      <c r="AH858" s="8">
        <f>IF($J858=0,0,ROUND(MAX($J858*1.4*1.5*1.6*1.6*2.2*2.715*2.6*1.4*1.4*1.5*1.5*3.2,60500000000*(1.654288^(MIN($E858,123)-117)))*1,0))</f>
        <v>1078614909</v>
      </c>
    </row>
    <row r="859" ht="27.75" customHeight="1" spans="1:34" x14ac:dyDescent="0.25">
      <c r="A859" s="3">
        <v>869</v>
      </c>
      <c r="B859" s="3" t="s">
        <v>742</v>
      </c>
      <c r="C859" s="3" t="s">
        <v>670</v>
      </c>
      <c r="D859" s="3" t="s">
        <v>102</v>
      </c>
      <c r="E859" s="3">
        <v>109</v>
      </c>
      <c r="F859" s="3" t="s">
        <v>54</v>
      </c>
      <c r="G859" s="3" t="s">
        <v>743</v>
      </c>
      <c r="H859" s="3">
        <v>24</v>
      </c>
      <c r="I859" s="4">
        <v>109</v>
      </c>
      <c r="J859" s="5">
        <v>73800</v>
      </c>
      <c r="K859" s="6">
        <f>$E859+1</f>
        <v>110</v>
      </c>
      <c r="L859" s="7">
        <f>IF($J859=0,0,ROUND(MAX($J859*1.4,1620000*(1.497923^(MIN($E859,123)-117)))*1,0))</f>
        <v>103320</v>
      </c>
      <c r="M859" s="4">
        <f>$E859+2</f>
        <v>111</v>
      </c>
      <c r="N859" s="8">
        <f>IF($J859=0,0,ROUND(MAX($J859*1.4*1.5,2190000*(1.580994^(MIN($E859,123)-117)))*1,0))</f>
        <v>154980</v>
      </c>
      <c r="O859" s="6">
        <f>$E859+4</f>
        <v>113</v>
      </c>
      <c r="P859" s="7">
        <f>IF($J859=0,0,ROUND(MAX($J859*1.4*1.5*1.6,3500000*(1.57975^(MIN($E859,123)-117)))*1,0))</f>
        <v>247968</v>
      </c>
      <c r="Q859" s="4">
        <f>$E859+6</f>
        <v>115</v>
      </c>
      <c r="R859" s="8">
        <f>IF($J859=0,0,ROUND(MAX($J859*1.4*1.5*1.6*1.6,13100000*(1.429962^(MIN($E859,123)-117)))*1,0))</f>
        <v>749334</v>
      </c>
      <c r="S859" s="6">
        <f>$E859+8</f>
        <v>117</v>
      </c>
      <c r="T859" s="7">
        <f>IF($J859=0,0,ROUND(MAX($J859*1.4*1.5*1.6*1.6*2.2,42600000*(1.576904^(MIN($E859,123)-117)))*1,0))</f>
        <v>1114211</v>
      </c>
      <c r="U859" s="4">
        <f>$E859+11</f>
        <v>120</v>
      </c>
      <c r="V859" s="8">
        <f>IF($J859=0,0,ROUND(MAX($J859*1.4*1.5*1.6*1.6*2.2*2.715,354000000*(1.642074^(MIN($E859,123)-117)))*1,0))</f>
        <v>6696710</v>
      </c>
      <c r="W859" s="6">
        <f>$E859+15</f>
        <v>124</v>
      </c>
      <c r="X859" s="7">
        <f>IF($J859=0,0,ROUND(MAX($J859*1.4*1.5*1.6*1.6*2.2*2.715*2.6,3540000000*(1.579646^(MIN($E859,123)-117)))*1,0))</f>
        <v>91311418</v>
      </c>
      <c r="Y859" s="4">
        <f>$E859+17</f>
        <v>126</v>
      </c>
      <c r="Z859" s="8">
        <f>IF($J859=0,0,ROUND(MAX($J859*1.4*1.5*1.6*1.6*2.2*2.715*2.6*1.4,6020000000*(1.651178^(MIN($E859,123)-117)))*1,0))</f>
        <v>108954543</v>
      </c>
      <c r="AA859" s="6">
        <f>$E859+19</f>
        <v>128</v>
      </c>
      <c r="AB859" s="7">
        <f>IF($J859=0,0,ROUND(MAX($J859*1.4*1.5*1.6*1.6*2.2*2.715*2.6*1.4*1.4,8430000000*(1.651435^(MIN($E859,123)-117)))*1,0))</f>
        <v>152382712</v>
      </c>
      <c r="AC859" s="4">
        <f>$E859+21</f>
        <v>130</v>
      </c>
      <c r="AD859" s="8">
        <f>IF($J859=0,0,ROUND(MAX($J859*1.4*1.5*1.6*1.6*2.2*2.715*2.6*1.4*1.4*1.5,12600000000*(1.652953^(MIN($E859,123)-117)))*1,0))</f>
        <v>226092682</v>
      </c>
      <c r="AE859" s="6">
        <f>$E859+24</f>
        <v>133</v>
      </c>
      <c r="AF859" s="7">
        <f>IF($J859=0,0,ROUND(MAX($J859*1.4*1.5*1.6*1.6*2.2*2.715*2.6*1.4*1.4*1.5*1.5,18900000000*(1.65331^(MIN($E859,123)-117)))*1,0))</f>
        <v>338553621</v>
      </c>
      <c r="AG859" s="4">
        <f>$E859+27</f>
        <v>136</v>
      </c>
      <c r="AH859" s="8">
        <f>IF($J859=0,0,ROUND(MAX($J859*1.4*1.5*1.6*1.6*2.2*2.715*2.6*1.4*1.4*1.5*1.5*3.2,60500000000*(1.654288^(MIN($E859,123)-117)))*1,0))</f>
        <v>1078614909</v>
      </c>
    </row>
    <row r="860" ht="27.75" customHeight="1" spans="1:34" x14ac:dyDescent="0.25">
      <c r="A860" s="3">
        <v>870</v>
      </c>
      <c r="B860" s="3" t="s">
        <v>744</v>
      </c>
      <c r="C860" s="3" t="s">
        <v>670</v>
      </c>
      <c r="D860" s="3" t="s">
        <v>47</v>
      </c>
      <c r="E860" s="3">
        <v>109</v>
      </c>
      <c r="F860" s="3" t="s">
        <v>412</v>
      </c>
      <c r="G860" s="3" t="s">
        <v>351</v>
      </c>
      <c r="H860" s="3">
        <v>22</v>
      </c>
      <c r="I860" s="4">
        <v>109</v>
      </c>
      <c r="J860" s="5">
        <v>79200</v>
      </c>
      <c r="K860" s="6">
        <f>$E860+1</f>
        <v>110</v>
      </c>
      <c r="L860" s="7">
        <f>IF($J860=0,0,ROUND(MAX($J860*1.4,1620000*(1.497923^(MIN($E860,123)-117)))*1,0))</f>
        <v>110880</v>
      </c>
      <c r="M860" s="4">
        <f>$E860+2</f>
        <v>111</v>
      </c>
      <c r="N860" s="8">
        <f>IF($J860=0,0,ROUND(MAX($J860*1.4*1.5,2190000*(1.580994^(MIN($E860,123)-117)))*1,0))</f>
        <v>166320</v>
      </c>
      <c r="O860" s="6">
        <f>$E860+4</f>
        <v>113</v>
      </c>
      <c r="P860" s="7">
        <f>IF($J860=0,0,ROUND(MAX($J860*1.4*1.5*1.6,3500000*(1.57975^(MIN($E860,123)-117)))*1,0))</f>
        <v>266112</v>
      </c>
      <c r="Q860" s="4">
        <f>$E860+6</f>
        <v>115</v>
      </c>
      <c r="R860" s="8">
        <f>IF($J860=0,0,ROUND(MAX($J860*1.4*1.5*1.6*1.6,13100000*(1.429962^(MIN($E860,123)-117)))*1,0))</f>
        <v>749334</v>
      </c>
      <c r="S860" s="6">
        <f>$E860+8</f>
        <v>117</v>
      </c>
      <c r="T860" s="7">
        <f>IF($J860=0,0,ROUND(MAX($J860*1.4*1.5*1.6*1.6*2.2,42600000*(1.576904^(MIN($E860,123)-117)))*1,0))</f>
        <v>1114211</v>
      </c>
      <c r="U860" s="4">
        <f>$E860+11</f>
        <v>120</v>
      </c>
      <c r="V860" s="8">
        <f>IF($J860=0,0,ROUND(MAX($J860*1.4*1.5*1.6*1.6*2.2*2.715,354000000*(1.642074^(MIN($E860,123)-117)))*1,0))</f>
        <v>6696710</v>
      </c>
      <c r="W860" s="6">
        <f>$E860+15</f>
        <v>124</v>
      </c>
      <c r="X860" s="7">
        <f>IF($J860=0,0,ROUND(MAX($J860*1.4*1.5*1.6*1.6*2.2*2.715*2.6,3540000000*(1.579646^(MIN($E860,123)-117)))*1,0))</f>
        <v>91311418</v>
      </c>
      <c r="Y860" s="4">
        <f>$E860+17</f>
        <v>126</v>
      </c>
      <c r="Z860" s="8">
        <f>IF($J860=0,0,ROUND(MAX($J860*1.4*1.5*1.6*1.6*2.2*2.715*2.6*1.4,6020000000*(1.651178^(MIN($E860,123)-117)))*1,0))</f>
        <v>108954543</v>
      </c>
      <c r="AA860" s="6">
        <f>$E860+19</f>
        <v>128</v>
      </c>
      <c r="AB860" s="7">
        <f>IF($J860=0,0,ROUND(MAX($J860*1.4*1.5*1.6*1.6*2.2*2.715*2.6*1.4*1.4,8430000000*(1.651435^(MIN($E860,123)-117)))*1,0))</f>
        <v>152382712</v>
      </c>
      <c r="AC860" s="4">
        <f>$E860+21</f>
        <v>130</v>
      </c>
      <c r="AD860" s="8">
        <f>IF($J860=0,0,ROUND(MAX($J860*1.4*1.5*1.6*1.6*2.2*2.715*2.6*1.4*1.4*1.5,12600000000*(1.652953^(MIN($E860,123)-117)))*1,0))</f>
        <v>226092682</v>
      </c>
      <c r="AE860" s="6">
        <f>$E860+24</f>
        <v>133</v>
      </c>
      <c r="AF860" s="7">
        <f>IF($J860=0,0,ROUND(MAX($J860*1.4*1.5*1.6*1.6*2.2*2.715*2.6*1.4*1.4*1.5*1.5,18900000000*(1.65331^(MIN($E860,123)-117)))*1,0))</f>
        <v>338553621</v>
      </c>
      <c r="AG860" s="4">
        <f>$E860+27</f>
        <v>136</v>
      </c>
      <c r="AH860" s="8">
        <f>IF($J860=0,0,ROUND(MAX($J860*1.4*1.5*1.6*1.6*2.2*2.715*2.6*1.4*1.4*1.5*1.5*3.2,60500000000*(1.654288^(MIN($E860,123)-117)))*1,0))</f>
        <v>1078614909</v>
      </c>
    </row>
    <row r="861" ht="27.75" customHeight="1" spans="1:34" x14ac:dyDescent="0.25">
      <c r="A861" s="3">
        <v>871</v>
      </c>
      <c r="B861" s="3" t="s">
        <v>745</v>
      </c>
      <c r="C861" s="3" t="s">
        <v>670</v>
      </c>
      <c r="D861" s="3" t="s">
        <v>47</v>
      </c>
      <c r="E861" s="3">
        <v>109</v>
      </c>
      <c r="F861" s="3" t="s">
        <v>34</v>
      </c>
      <c r="G861" s="3" t="s">
        <v>290</v>
      </c>
      <c r="H861" s="3">
        <v>22</v>
      </c>
      <c r="I861" s="4">
        <v>109</v>
      </c>
      <c r="J861" s="5">
        <v>278000</v>
      </c>
      <c r="K861" s="6">
        <f>$E861+1</f>
        <v>110</v>
      </c>
      <c r="L861" s="7">
        <f>IF($J861=0,0,ROUND(MAX($J861*1.4,1620000*(1.497923^(MIN($E861,123)-117)))*1,0))</f>
        <v>389200</v>
      </c>
      <c r="M861" s="4">
        <f>$E861+2</f>
        <v>111</v>
      </c>
      <c r="N861" s="8">
        <f>IF($J861=0,0,ROUND(MAX($J861*1.4*1.5,2190000*(1.580994^(MIN($E861,123)-117)))*1,0))</f>
        <v>583800</v>
      </c>
      <c r="O861" s="6">
        <f>$E861+4</f>
        <v>113</v>
      </c>
      <c r="P861" s="7">
        <f>IF($J861=0,0,ROUND(MAX($J861*1.4*1.5*1.6,3500000*(1.57975^(MIN($E861,123)-117)))*1,0))</f>
        <v>934080</v>
      </c>
      <c r="Q861" s="4">
        <f>$E861+6</f>
        <v>115</v>
      </c>
      <c r="R861" s="8">
        <f>IF($J861=0,0,ROUND(MAX($J861*1.4*1.5*1.6*1.6,13100000*(1.429962^(MIN($E861,123)-117)))*1,0))</f>
        <v>1494528</v>
      </c>
      <c r="S861" s="6">
        <f>$E861+8</f>
        <v>117</v>
      </c>
      <c r="T861" s="7">
        <f>IF($J861=0,0,ROUND(MAX($J861*1.4*1.5*1.6*1.6*2.2,42600000*(1.576904^(MIN($E861,123)-117)))*1,0))</f>
        <v>3287962</v>
      </c>
      <c r="U861" s="4">
        <f>$E861+11</f>
        <v>120</v>
      </c>
      <c r="V861" s="8">
        <f>IF($J861=0,0,ROUND(MAX($J861*1.4*1.5*1.6*1.6*2.2*2.715,354000000*(1.642074^(MIN($E861,123)-117)))*1,0))</f>
        <v>8926816</v>
      </c>
      <c r="W861" s="6">
        <f>$E861+15</f>
        <v>124</v>
      </c>
      <c r="X861" s="7">
        <f>IF($J861=0,0,ROUND(MAX($J861*1.4*1.5*1.6*1.6*2.2*2.715*2.6,3540000000*(1.579646^(MIN($E861,123)-117)))*1,0))</f>
        <v>91311418</v>
      </c>
      <c r="Y861" s="4">
        <f>$E861+17</f>
        <v>126</v>
      </c>
      <c r="Z861" s="8">
        <f>IF($J861=0,0,ROUND(MAX($J861*1.4*1.5*1.6*1.6*2.2*2.715*2.6*1.4,6020000000*(1.651178^(MIN($E861,123)-117)))*1,0))</f>
        <v>108954543</v>
      </c>
      <c r="AA861" s="6">
        <f>$E861+19</f>
        <v>128</v>
      </c>
      <c r="AB861" s="7">
        <f>IF($J861=0,0,ROUND(MAX($J861*1.4*1.5*1.6*1.6*2.2*2.715*2.6*1.4*1.4,8430000000*(1.651435^(MIN($E861,123)-117)))*1,0))</f>
        <v>152382712</v>
      </c>
      <c r="AC861" s="4">
        <f>$E861+21</f>
        <v>130</v>
      </c>
      <c r="AD861" s="8">
        <f>IF($J861=0,0,ROUND(MAX($J861*1.4*1.5*1.6*1.6*2.2*2.715*2.6*1.4*1.4*1.5,12600000000*(1.652953^(MIN($E861,123)-117)))*1,0))</f>
        <v>226092682</v>
      </c>
      <c r="AE861" s="6">
        <f>$E861+24</f>
        <v>133</v>
      </c>
      <c r="AF861" s="7">
        <f>IF($J861=0,0,ROUND(MAX($J861*1.4*1.5*1.6*1.6*2.2*2.715*2.6*1.4*1.4*1.5*1.5,18900000000*(1.65331^(MIN($E861,123)-117)))*1,0))</f>
        <v>338553621</v>
      </c>
      <c r="AG861" s="4">
        <f>$E861+27</f>
        <v>136</v>
      </c>
      <c r="AH861" s="8">
        <f>IF($J861=0,0,ROUND(MAX($J861*1.4*1.5*1.6*1.6*2.2*2.715*2.6*1.4*1.4*1.5*1.5*3.2,60500000000*(1.654288^(MIN($E861,123)-117)))*1,0))</f>
        <v>1078614909</v>
      </c>
    </row>
    <row r="862" ht="27.75" customHeight="1" spans="1:34" x14ac:dyDescent="0.25">
      <c r="A862" s="3">
        <v>872</v>
      </c>
      <c r="B862" s="3" t="s">
        <v>746</v>
      </c>
      <c r="C862" s="3" t="s">
        <v>670</v>
      </c>
      <c r="D862" s="3" t="s">
        <v>47</v>
      </c>
      <c r="E862" s="3">
        <v>109</v>
      </c>
      <c r="F862" s="3" t="s">
        <v>34</v>
      </c>
      <c r="G862" s="3" t="s">
        <v>35</v>
      </c>
      <c r="H862" s="3">
        <v>22</v>
      </c>
      <c r="I862" s="4">
        <v>109</v>
      </c>
      <c r="J862" s="5">
        <v>58200</v>
      </c>
      <c r="K862" s="6">
        <f>$E862+1</f>
        <v>110</v>
      </c>
      <c r="L862" s="7">
        <f>IF($J862=0,0,ROUND(MAX($J862*1.4,1620000*(1.497923^(MIN($E862,123)-117)))*1,0))</f>
        <v>81480</v>
      </c>
      <c r="M862" s="4">
        <f>$E862+2</f>
        <v>111</v>
      </c>
      <c r="N862" s="8">
        <f>IF($J862=0,0,ROUND(MAX($J862*1.4*1.5,2190000*(1.580994^(MIN($E862,123)-117)))*1,0))</f>
        <v>122220</v>
      </c>
      <c r="O862" s="6">
        <f>$E862+4</f>
        <v>113</v>
      </c>
      <c r="P862" s="7">
        <f>IF($J862=0,0,ROUND(MAX($J862*1.4*1.5*1.6,3500000*(1.57975^(MIN($E862,123)-117)))*1,0))</f>
        <v>195552</v>
      </c>
      <c r="Q862" s="4">
        <f>$E862+6</f>
        <v>115</v>
      </c>
      <c r="R862" s="8">
        <f>IF($J862=0,0,ROUND(MAX($J862*1.4*1.5*1.6*1.6,13100000*(1.429962^(MIN($E862,123)-117)))*1,0))</f>
        <v>749334</v>
      </c>
      <c r="S862" s="6">
        <f>$E862+8</f>
        <v>117</v>
      </c>
      <c r="T862" s="7">
        <f>IF($J862=0,0,ROUND(MAX($J862*1.4*1.5*1.6*1.6*2.2,42600000*(1.576904^(MIN($E862,123)-117)))*1,0))</f>
        <v>1114211</v>
      </c>
      <c r="U862" s="4">
        <f>$E862+11</f>
        <v>120</v>
      </c>
      <c r="V862" s="8">
        <f>IF($J862=0,0,ROUND(MAX($J862*1.4*1.5*1.6*1.6*2.2*2.715,354000000*(1.642074^(MIN($E862,123)-117)))*1,0))</f>
        <v>6696710</v>
      </c>
      <c r="W862" s="6">
        <f>$E862+15</f>
        <v>124</v>
      </c>
      <c r="X862" s="7">
        <f>IF($J862=0,0,ROUND(MAX($J862*1.4*1.5*1.6*1.6*2.2*2.715*2.6,3540000000*(1.579646^(MIN($E862,123)-117)))*1,0))</f>
        <v>91311418</v>
      </c>
      <c r="Y862" s="4">
        <f>$E862+17</f>
        <v>126</v>
      </c>
      <c r="Z862" s="8">
        <f>IF($J862=0,0,ROUND(MAX($J862*1.4*1.5*1.6*1.6*2.2*2.715*2.6*1.4,6020000000*(1.651178^(MIN($E862,123)-117)))*1,0))</f>
        <v>108954543</v>
      </c>
      <c r="AA862" s="6">
        <f>$E862+19</f>
        <v>128</v>
      </c>
      <c r="AB862" s="7">
        <f>IF($J862=0,0,ROUND(MAX($J862*1.4*1.5*1.6*1.6*2.2*2.715*2.6*1.4*1.4,8430000000*(1.651435^(MIN($E862,123)-117)))*1,0))</f>
        <v>152382712</v>
      </c>
      <c r="AC862" s="4">
        <f>$E862+21</f>
        <v>130</v>
      </c>
      <c r="AD862" s="8">
        <f>IF($J862=0,0,ROUND(MAX($J862*1.4*1.5*1.6*1.6*2.2*2.715*2.6*1.4*1.4*1.5,12600000000*(1.652953^(MIN($E862,123)-117)))*1,0))</f>
        <v>226092682</v>
      </c>
      <c r="AE862" s="6">
        <f>$E862+24</f>
        <v>133</v>
      </c>
      <c r="AF862" s="7">
        <f>IF($J862=0,0,ROUND(MAX($J862*1.4*1.5*1.6*1.6*2.2*2.715*2.6*1.4*1.4*1.5*1.5,18900000000*(1.65331^(MIN($E862,123)-117)))*1,0))</f>
        <v>338553621</v>
      </c>
      <c r="AG862" s="4">
        <f>$E862+27</f>
        <v>136</v>
      </c>
      <c r="AH862" s="8">
        <f>IF($J862=0,0,ROUND(MAX($J862*1.4*1.5*1.6*1.6*2.2*2.715*2.6*1.4*1.4*1.5*1.5*3.2,60500000000*(1.654288^(MIN($E862,123)-117)))*1,0))</f>
        <v>1078614909</v>
      </c>
    </row>
    <row r="863" ht="27.75" customHeight="1" spans="1:34" x14ac:dyDescent="0.25">
      <c r="A863" s="3">
        <v>873</v>
      </c>
      <c r="B863" s="3" t="s">
        <v>747</v>
      </c>
      <c r="C863" s="3" t="s">
        <v>670</v>
      </c>
      <c r="D863" s="3" t="s">
        <v>45</v>
      </c>
      <c r="E863" s="3">
        <v>108</v>
      </c>
      <c r="F863" s="3" t="s">
        <v>310</v>
      </c>
      <c r="G863" s="3" t="s">
        <v>748</v>
      </c>
      <c r="H863" s="3">
        <v>25</v>
      </c>
      <c r="I863" s="4">
        <v>108</v>
      </c>
      <c r="J863" s="5">
        <v>46000</v>
      </c>
      <c r="K863" s="6">
        <f>$E863+1</f>
        <v>109</v>
      </c>
      <c r="L863" s="7">
        <f>IF($J863=0,0,ROUND(MAX($J863*1.4,1620000*(1.497923^(MIN($E863,123)-117)))*1,0))</f>
        <v>64400</v>
      </c>
      <c r="M863" s="4">
        <f>$E863+2</f>
        <v>110</v>
      </c>
      <c r="N863" s="8">
        <f>IF($J863=0,0,ROUND(MAX($J863*1.4*1.5,2190000*(1.580994^(MIN($E863,123)-117)))*1,0))</f>
        <v>96600</v>
      </c>
      <c r="O863" s="6">
        <f>$E863+4</f>
        <v>112</v>
      </c>
      <c r="P863" s="7">
        <f>IF($J863=0,0,ROUND(MAX($J863*1.4*1.5*1.6,3500000*(1.57975^(MIN($E863,123)-117)))*1,0))</f>
        <v>154560</v>
      </c>
      <c r="Q863" s="4">
        <f>$E863+6</f>
        <v>114</v>
      </c>
      <c r="R863" s="8">
        <f>IF($J863=0,0,ROUND(MAX($J863*1.4*1.5*1.6*1.6,13100000*(1.429962^(MIN($E863,123)-117)))*1,0))</f>
        <v>524024</v>
      </c>
      <c r="S863" s="6">
        <f>$E863+8</f>
        <v>116</v>
      </c>
      <c r="T863" s="7">
        <f>IF($J863=0,0,ROUND(MAX($J863*1.4*1.5*1.6*1.6*2.2,42600000*(1.576904^(MIN($E863,123)-117)))*1,0))</f>
        <v>706582</v>
      </c>
      <c r="U863" s="4">
        <f>$E863+11</f>
        <v>119</v>
      </c>
      <c r="V863" s="8">
        <f>IF($J863=0,0,ROUND(MAX($J863*1.4*1.5*1.6*1.6*2.2*2.715,354000000*(1.642074^(MIN($E863,123)-117)))*1,0))</f>
        <v>4078202</v>
      </c>
      <c r="W863" s="6">
        <f>$E863+15</f>
        <v>123</v>
      </c>
      <c r="X863" s="7">
        <f>IF($J863=0,0,ROUND(MAX($J863*1.4*1.5*1.6*1.6*2.2*2.715*2.6,3540000000*(1.579646^(MIN($E863,123)-117)))*1,0))</f>
        <v>57804988</v>
      </c>
      <c r="Y863" s="4">
        <f>$E863+17</f>
        <v>125</v>
      </c>
      <c r="Z863" s="8">
        <f>IF($J863=0,0,ROUND(MAX($J863*1.4*1.5*1.6*1.6*2.2*2.715*2.6*1.4,6020000000*(1.651178^(MIN($E863,123)-117)))*1,0))</f>
        <v>65985946</v>
      </c>
      <c r="AA863" s="6">
        <f>$E863+19</f>
        <v>127</v>
      </c>
      <c r="AB863" s="7">
        <f>IF($J863=0,0,ROUND(MAX($J863*1.4*1.5*1.6*1.6*2.2*2.715*2.6*1.4*1.4,8430000000*(1.651435^(MIN($E863,123)-117)))*1,0))</f>
        <v>92272909</v>
      </c>
      <c r="AC863" s="4">
        <f>$E863+21</f>
        <v>129</v>
      </c>
      <c r="AD863" s="8">
        <f>IF($J863=0,0,ROUND(MAX($J863*1.4*1.5*1.6*1.6*2.2*2.715*2.6*1.4*1.4*1.5,12600000000*(1.652953^(MIN($E863,123)-117)))*1,0))</f>
        <v>136781071</v>
      </c>
      <c r="AE863" s="6">
        <f>$E863+24</f>
        <v>132</v>
      </c>
      <c r="AF863" s="7">
        <f>IF($J863=0,0,ROUND(MAX($J863*1.4*1.5*1.6*1.6*2.2*2.715*2.6*1.4*1.4*1.5*1.5,18900000000*(1.65331^(MIN($E863,123)-117)))*1,0))</f>
        <v>204773225</v>
      </c>
      <c r="AG863" s="4">
        <f>$E863+27</f>
        <v>135</v>
      </c>
      <c r="AH863" s="8">
        <f>IF($J863=0,0,ROUND(MAX($J863*1.4*1.5*1.6*1.6*2.2*2.715*2.6*1.4*1.4*1.5*1.5*3.2,60500000000*(1.654288^(MIN($E863,123)-117)))*1,0))</f>
        <v>652011566</v>
      </c>
    </row>
    <row r="864" ht="27.75" customHeight="1" spans="1:34" x14ac:dyDescent="0.25">
      <c r="A864" s="3">
        <v>874</v>
      </c>
      <c r="B864" s="3" t="s">
        <v>140</v>
      </c>
      <c r="C864" s="3" t="s">
        <v>670</v>
      </c>
      <c r="D864" s="3" t="s">
        <v>40</v>
      </c>
      <c r="E864" s="3">
        <v>108</v>
      </c>
      <c r="F864" s="3" t="s">
        <v>56</v>
      </c>
      <c r="G864" s="3" t="s">
        <v>671</v>
      </c>
      <c r="H864" s="3">
        <v>25</v>
      </c>
      <c r="I864" s="4">
        <v>108</v>
      </c>
      <c r="J864" s="5">
        <v>71300</v>
      </c>
      <c r="K864" s="6">
        <f>$E864+1</f>
        <v>109</v>
      </c>
      <c r="L864" s="7">
        <f>IF($J864=0,0,ROUND(MAX($J864*1.4,1620000*(1.497923^(MIN($E864,123)-117)))*1,0))</f>
        <v>99820</v>
      </c>
      <c r="M864" s="4">
        <f>$E864+2</f>
        <v>110</v>
      </c>
      <c r="N864" s="8">
        <f>IF($J864=0,0,ROUND(MAX($J864*1.4*1.5,2190000*(1.580994^(MIN($E864,123)-117)))*1,0))</f>
        <v>149730</v>
      </c>
      <c r="O864" s="6">
        <f>$E864+4</f>
        <v>112</v>
      </c>
      <c r="P864" s="7">
        <f>IF($J864=0,0,ROUND(MAX($J864*1.4*1.5*1.6,3500000*(1.57975^(MIN($E864,123)-117)))*1,0))</f>
        <v>239568</v>
      </c>
      <c r="Q864" s="4">
        <f>$E864+6</f>
        <v>114</v>
      </c>
      <c r="R864" s="8">
        <f>IF($J864=0,0,ROUND(MAX($J864*1.4*1.5*1.6*1.6,13100000*(1.429962^(MIN($E864,123)-117)))*1,0))</f>
        <v>524024</v>
      </c>
      <c r="S864" s="6">
        <f>$E864+8</f>
        <v>116</v>
      </c>
      <c r="T864" s="7">
        <f>IF($J864=0,0,ROUND(MAX($J864*1.4*1.5*1.6*1.6*2.2,42600000*(1.576904^(MIN($E864,123)-117)))*1,0))</f>
        <v>843279</v>
      </c>
      <c r="U864" s="4">
        <f>$E864+11</f>
        <v>119</v>
      </c>
      <c r="V864" s="8">
        <f>IF($J864=0,0,ROUND(MAX($J864*1.4*1.5*1.6*1.6*2.2*2.715,354000000*(1.642074^(MIN($E864,123)-117)))*1,0))</f>
        <v>4078202</v>
      </c>
      <c r="W864" s="6">
        <f>$E864+15</f>
        <v>123</v>
      </c>
      <c r="X864" s="7">
        <f>IF($J864=0,0,ROUND(MAX($J864*1.4*1.5*1.6*1.6*2.2*2.715*2.6,3540000000*(1.579646^(MIN($E864,123)-117)))*1,0))</f>
        <v>57804988</v>
      </c>
      <c r="Y864" s="4">
        <f>$E864+17</f>
        <v>125</v>
      </c>
      <c r="Z864" s="8">
        <f>IF($J864=0,0,ROUND(MAX($J864*1.4*1.5*1.6*1.6*2.2*2.715*2.6*1.4,6020000000*(1.651178^(MIN($E864,123)-117)))*1,0))</f>
        <v>65985946</v>
      </c>
      <c r="AA864" s="6">
        <f>$E864+19</f>
        <v>127</v>
      </c>
      <c r="AB864" s="7">
        <f>IF($J864=0,0,ROUND(MAX($J864*1.4*1.5*1.6*1.6*2.2*2.715*2.6*1.4*1.4,8430000000*(1.651435^(MIN($E864,123)-117)))*1,0))</f>
        <v>92272909</v>
      </c>
      <c r="AC864" s="4">
        <f>$E864+21</f>
        <v>129</v>
      </c>
      <c r="AD864" s="8">
        <f>IF($J864=0,0,ROUND(MAX($J864*1.4*1.5*1.6*1.6*2.2*2.715*2.6*1.4*1.4*1.5,12600000000*(1.652953^(MIN($E864,123)-117)))*1,0))</f>
        <v>136781071</v>
      </c>
      <c r="AE864" s="6">
        <f>$E864+24</f>
        <v>132</v>
      </c>
      <c r="AF864" s="7">
        <f>IF($J864=0,0,ROUND(MAX($J864*1.4*1.5*1.6*1.6*2.2*2.715*2.6*1.4*1.4*1.5*1.5,18900000000*(1.65331^(MIN($E864,123)-117)))*1,0))</f>
        <v>204773225</v>
      </c>
      <c r="AG864" s="4">
        <f>$E864+27</f>
        <v>135</v>
      </c>
      <c r="AH864" s="8">
        <f>IF($J864=0,0,ROUND(MAX($J864*1.4*1.5*1.6*1.6*2.2*2.715*2.6*1.4*1.4*1.5*1.5*3.2,60500000000*(1.654288^(MIN($E864,123)-117)))*1,0))</f>
        <v>652011566</v>
      </c>
    </row>
    <row r="865" ht="27.75" customHeight="1" spans="1:34" x14ac:dyDescent="0.25">
      <c r="A865" s="3">
        <v>875</v>
      </c>
      <c r="B865" s="3" t="s">
        <v>749</v>
      </c>
      <c r="C865" s="3" t="s">
        <v>670</v>
      </c>
      <c r="D865" s="3" t="s">
        <v>40</v>
      </c>
      <c r="E865" s="3">
        <v>108</v>
      </c>
      <c r="F865" s="3" t="s">
        <v>54</v>
      </c>
      <c r="G865" s="3" t="s">
        <v>743</v>
      </c>
      <c r="H865" s="3">
        <v>24</v>
      </c>
      <c r="I865" s="4">
        <v>108</v>
      </c>
      <c r="J865" s="5">
        <v>63500</v>
      </c>
      <c r="K865" s="6">
        <f>$E865+1</f>
        <v>109</v>
      </c>
      <c r="L865" s="7">
        <f>IF($J865=0,0,ROUND(MAX($J865*1.4,1620000*(1.497923^(MIN($E865,123)-117)))*1,0))</f>
        <v>88900</v>
      </c>
      <c r="M865" s="4">
        <f>$E865+2</f>
        <v>110</v>
      </c>
      <c r="N865" s="8">
        <f>IF($J865=0,0,ROUND(MAX($J865*1.4*1.5,2190000*(1.580994^(MIN($E865,123)-117)))*1,0))</f>
        <v>133350</v>
      </c>
      <c r="O865" s="6">
        <f>$E865+4</f>
        <v>112</v>
      </c>
      <c r="P865" s="7">
        <f>IF($J865=0,0,ROUND(MAX($J865*1.4*1.5*1.6,3500000*(1.57975^(MIN($E865,123)-117)))*1,0))</f>
        <v>213360</v>
      </c>
      <c r="Q865" s="4">
        <f>$E865+6</f>
        <v>114</v>
      </c>
      <c r="R865" s="8">
        <f>IF($J865=0,0,ROUND(MAX($J865*1.4*1.5*1.6*1.6,13100000*(1.429962^(MIN($E865,123)-117)))*1,0))</f>
        <v>524024</v>
      </c>
      <c r="S865" s="6">
        <f>$E865+8</f>
        <v>116</v>
      </c>
      <c r="T865" s="7">
        <f>IF($J865=0,0,ROUND(MAX($J865*1.4*1.5*1.6*1.6*2.2,42600000*(1.576904^(MIN($E865,123)-117)))*1,0))</f>
        <v>751027</v>
      </c>
      <c r="U865" s="4">
        <f>$E865+11</f>
        <v>119</v>
      </c>
      <c r="V865" s="8">
        <f>IF($J865=0,0,ROUND(MAX($J865*1.4*1.5*1.6*1.6*2.2*2.715,354000000*(1.642074^(MIN($E865,123)-117)))*1,0))</f>
        <v>4078202</v>
      </c>
      <c r="W865" s="6">
        <f>$E865+15</f>
        <v>123</v>
      </c>
      <c r="X865" s="7">
        <f>IF($J865=0,0,ROUND(MAX($J865*1.4*1.5*1.6*1.6*2.2*2.715*2.6,3540000000*(1.579646^(MIN($E865,123)-117)))*1,0))</f>
        <v>57804988</v>
      </c>
      <c r="Y865" s="4">
        <f>$E865+17</f>
        <v>125</v>
      </c>
      <c r="Z865" s="8">
        <f>IF($J865=0,0,ROUND(MAX($J865*1.4*1.5*1.6*1.6*2.2*2.715*2.6*1.4,6020000000*(1.651178^(MIN($E865,123)-117)))*1,0))</f>
        <v>65985946</v>
      </c>
      <c r="AA865" s="6">
        <f>$E865+19</f>
        <v>127</v>
      </c>
      <c r="AB865" s="7">
        <f>IF($J865=0,0,ROUND(MAX($J865*1.4*1.5*1.6*1.6*2.2*2.715*2.6*1.4*1.4,8430000000*(1.651435^(MIN($E865,123)-117)))*1,0))</f>
        <v>92272909</v>
      </c>
      <c r="AC865" s="4">
        <f>$E865+21</f>
        <v>129</v>
      </c>
      <c r="AD865" s="8">
        <f>IF($J865=0,0,ROUND(MAX($J865*1.4*1.5*1.6*1.6*2.2*2.715*2.6*1.4*1.4*1.5,12600000000*(1.652953^(MIN($E865,123)-117)))*1,0))</f>
        <v>136781071</v>
      </c>
      <c r="AE865" s="6">
        <f>$E865+24</f>
        <v>132</v>
      </c>
      <c r="AF865" s="7">
        <f>IF($J865=0,0,ROUND(MAX($J865*1.4*1.5*1.6*1.6*2.2*2.715*2.6*1.4*1.4*1.5*1.5,18900000000*(1.65331^(MIN($E865,123)-117)))*1,0))</f>
        <v>204773225</v>
      </c>
      <c r="AG865" s="4">
        <f>$E865+27</f>
        <v>135</v>
      </c>
      <c r="AH865" s="8">
        <f>IF($J865=0,0,ROUND(MAX($J865*1.4*1.5*1.6*1.6*2.2*2.715*2.6*1.4*1.4*1.5*1.5*3.2,60500000000*(1.654288^(MIN($E865,123)-117)))*1,0))</f>
        <v>652011566</v>
      </c>
    </row>
    <row r="866" ht="27.75" customHeight="1" spans="1:34" x14ac:dyDescent="0.25">
      <c r="A866" s="3">
        <v>876</v>
      </c>
      <c r="B866" s="3" t="s">
        <v>750</v>
      </c>
      <c r="C866" s="3" t="s">
        <v>670</v>
      </c>
      <c r="D866" s="3" t="s">
        <v>64</v>
      </c>
      <c r="E866" s="3">
        <v>108</v>
      </c>
      <c r="F866" s="3" t="s">
        <v>54</v>
      </c>
      <c r="G866" s="3" t="s">
        <v>381</v>
      </c>
      <c r="H866" s="3">
        <v>24</v>
      </c>
      <c r="I866" s="4">
        <v>108</v>
      </c>
      <c r="J866" s="5">
        <v>56800</v>
      </c>
      <c r="K866" s="6">
        <f>$E866+1</f>
        <v>109</v>
      </c>
      <c r="L866" s="7">
        <f>IF($J866=0,0,ROUND(MAX($J866*1.4,1620000*(1.497923^(MIN($E866,123)-117)))*1,0))</f>
        <v>79520</v>
      </c>
      <c r="M866" s="4">
        <f>$E866+2</f>
        <v>110</v>
      </c>
      <c r="N866" s="8">
        <f>IF($J866=0,0,ROUND(MAX($J866*1.4*1.5,2190000*(1.580994^(MIN($E866,123)-117)))*1,0))</f>
        <v>119280</v>
      </c>
      <c r="O866" s="6">
        <f>$E866+4</f>
        <v>112</v>
      </c>
      <c r="P866" s="7">
        <f>IF($J866=0,0,ROUND(MAX($J866*1.4*1.5*1.6,3500000*(1.57975^(MIN($E866,123)-117)))*1,0))</f>
        <v>190848</v>
      </c>
      <c r="Q866" s="4">
        <f>$E866+6</f>
        <v>114</v>
      </c>
      <c r="R866" s="8">
        <f>IF($J866=0,0,ROUND(MAX($J866*1.4*1.5*1.6*1.6,13100000*(1.429962^(MIN($E866,123)-117)))*1,0))</f>
        <v>524024</v>
      </c>
      <c r="S866" s="6">
        <f>$E866+8</f>
        <v>116</v>
      </c>
      <c r="T866" s="7">
        <f>IF($J866=0,0,ROUND(MAX($J866*1.4*1.5*1.6*1.6*2.2,42600000*(1.576904^(MIN($E866,123)-117)))*1,0))</f>
        <v>706582</v>
      </c>
      <c r="U866" s="4">
        <f>$E866+11</f>
        <v>119</v>
      </c>
      <c r="V866" s="8">
        <f>IF($J866=0,0,ROUND(MAX($J866*1.4*1.5*1.6*1.6*2.2*2.715,354000000*(1.642074^(MIN($E866,123)-117)))*1,0))</f>
        <v>4078202</v>
      </c>
      <c r="W866" s="6">
        <f>$E866+15</f>
        <v>123</v>
      </c>
      <c r="X866" s="7">
        <f>IF($J866=0,0,ROUND(MAX($J866*1.4*1.5*1.6*1.6*2.2*2.715*2.6,3540000000*(1.579646^(MIN($E866,123)-117)))*1,0))</f>
        <v>57804988</v>
      </c>
      <c r="Y866" s="4">
        <f>$E866+17</f>
        <v>125</v>
      </c>
      <c r="Z866" s="8">
        <f>IF($J866=0,0,ROUND(MAX($J866*1.4*1.5*1.6*1.6*2.2*2.715*2.6*1.4,6020000000*(1.651178^(MIN($E866,123)-117)))*1,0))</f>
        <v>65985946</v>
      </c>
      <c r="AA866" s="6">
        <f>$E866+19</f>
        <v>127</v>
      </c>
      <c r="AB866" s="7">
        <f>IF($J866=0,0,ROUND(MAX($J866*1.4*1.5*1.6*1.6*2.2*2.715*2.6*1.4*1.4,8430000000*(1.651435^(MIN($E866,123)-117)))*1,0))</f>
        <v>92272909</v>
      </c>
      <c r="AC866" s="4">
        <f>$E866+21</f>
        <v>129</v>
      </c>
      <c r="AD866" s="8">
        <f>IF($J866=0,0,ROUND(MAX($J866*1.4*1.5*1.6*1.6*2.2*2.715*2.6*1.4*1.4*1.5,12600000000*(1.652953^(MIN($E866,123)-117)))*1,0))</f>
        <v>136781071</v>
      </c>
      <c r="AE866" s="6">
        <f>$E866+24</f>
        <v>132</v>
      </c>
      <c r="AF866" s="7">
        <f>IF($J866=0,0,ROUND(MAX($J866*1.4*1.5*1.6*1.6*2.2*2.715*2.6*1.4*1.4*1.5*1.5,18900000000*(1.65331^(MIN($E866,123)-117)))*1,0))</f>
        <v>204773225</v>
      </c>
      <c r="AG866" s="4">
        <f>$E866+27</f>
        <v>135</v>
      </c>
      <c r="AH866" s="8">
        <f>IF($J866=0,0,ROUND(MAX($J866*1.4*1.5*1.6*1.6*2.2*2.715*2.6*1.4*1.4*1.5*1.5*3.2,60500000000*(1.654288^(MIN($E866,123)-117)))*1,0))</f>
        <v>652011566</v>
      </c>
    </row>
    <row r="867" ht="27.75" customHeight="1" spans="1:34" x14ac:dyDescent="0.25">
      <c r="A867" s="3">
        <v>877</v>
      </c>
      <c r="B867" s="3" t="s">
        <v>751</v>
      </c>
      <c r="C867" s="3" t="s">
        <v>670</v>
      </c>
      <c r="D867" s="3" t="s">
        <v>33</v>
      </c>
      <c r="E867" s="3">
        <v>108</v>
      </c>
      <c r="F867" s="3" t="s">
        <v>71</v>
      </c>
      <c r="G867" s="3" t="s">
        <v>398</v>
      </c>
      <c r="H867" s="3">
        <v>24</v>
      </c>
      <c r="I867" s="4">
        <v>108</v>
      </c>
      <c r="J867" s="5">
        <v>57400</v>
      </c>
      <c r="K867" s="6">
        <f>$E867+1</f>
        <v>109</v>
      </c>
      <c r="L867" s="7">
        <f>IF($J867=0,0,ROUND(MAX($J867*1.4,1620000*(1.497923^(MIN($E867,123)-117)))*1,0))</f>
        <v>80360</v>
      </c>
      <c r="M867" s="4">
        <f>$E867+2</f>
        <v>110</v>
      </c>
      <c r="N867" s="8">
        <f>IF($J867=0,0,ROUND(MAX($J867*1.4*1.5,2190000*(1.580994^(MIN($E867,123)-117)))*1,0))</f>
        <v>120540</v>
      </c>
      <c r="O867" s="6">
        <f>$E867+4</f>
        <v>112</v>
      </c>
      <c r="P867" s="7">
        <f>IF($J867=0,0,ROUND(MAX($J867*1.4*1.5*1.6,3500000*(1.57975^(MIN($E867,123)-117)))*1,0))</f>
        <v>192864</v>
      </c>
      <c r="Q867" s="4">
        <f>$E867+6</f>
        <v>114</v>
      </c>
      <c r="R867" s="8">
        <f>IF($J867=0,0,ROUND(MAX($J867*1.4*1.5*1.6*1.6,13100000*(1.429962^(MIN($E867,123)-117)))*1,0))</f>
        <v>524024</v>
      </c>
      <c r="S867" s="6">
        <f>$E867+8</f>
        <v>116</v>
      </c>
      <c r="T867" s="7">
        <f>IF($J867=0,0,ROUND(MAX($J867*1.4*1.5*1.6*1.6*2.2,42600000*(1.576904^(MIN($E867,123)-117)))*1,0))</f>
        <v>706582</v>
      </c>
      <c r="U867" s="4">
        <f>$E867+11</f>
        <v>119</v>
      </c>
      <c r="V867" s="8">
        <f>IF($J867=0,0,ROUND(MAX($J867*1.4*1.5*1.6*1.6*2.2*2.715,354000000*(1.642074^(MIN($E867,123)-117)))*1,0))</f>
        <v>4078202</v>
      </c>
      <c r="W867" s="6">
        <f>$E867+15</f>
        <v>123</v>
      </c>
      <c r="X867" s="7">
        <f>IF($J867=0,0,ROUND(MAX($J867*1.4*1.5*1.6*1.6*2.2*2.715*2.6,3540000000*(1.579646^(MIN($E867,123)-117)))*1,0))</f>
        <v>57804988</v>
      </c>
      <c r="Y867" s="4">
        <f>$E867+17</f>
        <v>125</v>
      </c>
      <c r="Z867" s="8">
        <f>IF($J867=0,0,ROUND(MAX($J867*1.4*1.5*1.6*1.6*2.2*2.715*2.6*1.4,6020000000*(1.651178^(MIN($E867,123)-117)))*1,0))</f>
        <v>65985946</v>
      </c>
      <c r="AA867" s="6">
        <f>$E867+19</f>
        <v>127</v>
      </c>
      <c r="AB867" s="7">
        <f>IF($J867=0,0,ROUND(MAX($J867*1.4*1.5*1.6*1.6*2.2*2.715*2.6*1.4*1.4,8430000000*(1.651435^(MIN($E867,123)-117)))*1,0))</f>
        <v>92272909</v>
      </c>
      <c r="AC867" s="4">
        <f>$E867+21</f>
        <v>129</v>
      </c>
      <c r="AD867" s="8">
        <f>IF($J867=0,0,ROUND(MAX($J867*1.4*1.5*1.6*1.6*2.2*2.715*2.6*1.4*1.4*1.5,12600000000*(1.652953^(MIN($E867,123)-117)))*1,0))</f>
        <v>136781071</v>
      </c>
      <c r="AE867" s="6">
        <f>$E867+24</f>
        <v>132</v>
      </c>
      <c r="AF867" s="7">
        <f>IF($J867=0,0,ROUND(MAX($J867*1.4*1.5*1.6*1.6*2.2*2.715*2.6*1.4*1.4*1.5*1.5,18900000000*(1.65331^(MIN($E867,123)-117)))*1,0))</f>
        <v>204773225</v>
      </c>
      <c r="AG867" s="4">
        <f>$E867+27</f>
        <v>135</v>
      </c>
      <c r="AH867" s="8">
        <f>IF($J867=0,0,ROUND(MAX($J867*1.4*1.5*1.6*1.6*2.2*2.715*2.6*1.4*1.4*1.5*1.5*3.2,60500000000*(1.654288^(MIN($E867,123)-117)))*1,0))</f>
        <v>652011566</v>
      </c>
    </row>
    <row r="868" ht="27.75" customHeight="1" spans="1:34" x14ac:dyDescent="0.25">
      <c r="A868" s="3">
        <v>878</v>
      </c>
      <c r="B868" s="3" t="s">
        <v>752</v>
      </c>
      <c r="C868" s="3" t="s">
        <v>670</v>
      </c>
      <c r="D868" s="3" t="s">
        <v>75</v>
      </c>
      <c r="E868" s="3">
        <v>108</v>
      </c>
      <c r="F868" s="3" t="s">
        <v>71</v>
      </c>
      <c r="G868" s="3" t="s">
        <v>270</v>
      </c>
      <c r="H868" s="3">
        <v>24</v>
      </c>
      <c r="I868" s="4">
        <v>108</v>
      </c>
      <c r="J868" s="5">
        <v>106000</v>
      </c>
      <c r="K868" s="6">
        <f>$E868+1</f>
        <v>109</v>
      </c>
      <c r="L868" s="7">
        <f>IF($J868=0,0,ROUND(MAX($J868*1.4,1620000*(1.497923^(MIN($E868,123)-117)))*1,0))</f>
        <v>148400</v>
      </c>
      <c r="M868" s="4">
        <f>$E868+2</f>
        <v>110</v>
      </c>
      <c r="N868" s="8">
        <f>IF($J868=0,0,ROUND(MAX($J868*1.4*1.5,2190000*(1.580994^(MIN($E868,123)-117)))*1,0))</f>
        <v>222600</v>
      </c>
      <c r="O868" s="6">
        <f>$E868+4</f>
        <v>112</v>
      </c>
      <c r="P868" s="7">
        <f>IF($J868=0,0,ROUND(MAX($J868*1.4*1.5*1.6,3500000*(1.57975^(MIN($E868,123)-117)))*1,0))</f>
        <v>356160</v>
      </c>
      <c r="Q868" s="4">
        <f>$E868+6</f>
        <v>114</v>
      </c>
      <c r="R868" s="8">
        <f>IF($J868=0,0,ROUND(MAX($J868*1.4*1.5*1.6*1.6,13100000*(1.429962^(MIN($E868,123)-117)))*1,0))</f>
        <v>569856</v>
      </c>
      <c r="S868" s="6">
        <f>$E868+8</f>
        <v>116</v>
      </c>
      <c r="T868" s="7">
        <f>IF($J868=0,0,ROUND(MAX($J868*1.4*1.5*1.6*1.6*2.2,42600000*(1.576904^(MIN($E868,123)-117)))*1,0))</f>
        <v>1253683</v>
      </c>
      <c r="U868" s="4">
        <f>$E868+11</f>
        <v>119</v>
      </c>
      <c r="V868" s="8">
        <f>IF($J868=0,0,ROUND(MAX($J868*1.4*1.5*1.6*1.6*2.2*2.715,354000000*(1.642074^(MIN($E868,123)-117)))*1,0))</f>
        <v>4078202</v>
      </c>
      <c r="W868" s="6">
        <f>$E868+15</f>
        <v>123</v>
      </c>
      <c r="X868" s="7">
        <f>IF($J868=0,0,ROUND(MAX($J868*1.4*1.5*1.6*1.6*2.2*2.715*2.6,3540000000*(1.579646^(MIN($E868,123)-117)))*1,0))</f>
        <v>57804988</v>
      </c>
      <c r="Y868" s="4">
        <f>$E868+17</f>
        <v>125</v>
      </c>
      <c r="Z868" s="8">
        <f>IF($J868=0,0,ROUND(MAX($J868*1.4*1.5*1.6*1.6*2.2*2.715*2.6*1.4,6020000000*(1.651178^(MIN($E868,123)-117)))*1,0))</f>
        <v>65985946</v>
      </c>
      <c r="AA868" s="6">
        <f>$E868+19</f>
        <v>127</v>
      </c>
      <c r="AB868" s="7">
        <f>IF($J868=0,0,ROUND(MAX($J868*1.4*1.5*1.6*1.6*2.2*2.715*2.6*1.4*1.4,8430000000*(1.651435^(MIN($E868,123)-117)))*1,0))</f>
        <v>92272909</v>
      </c>
      <c r="AC868" s="4">
        <f>$E868+21</f>
        <v>129</v>
      </c>
      <c r="AD868" s="8">
        <f>IF($J868=0,0,ROUND(MAX($J868*1.4*1.5*1.6*1.6*2.2*2.715*2.6*1.4*1.4*1.5,12600000000*(1.652953^(MIN($E868,123)-117)))*1,0))</f>
        <v>136781071</v>
      </c>
      <c r="AE868" s="6">
        <f>$E868+24</f>
        <v>132</v>
      </c>
      <c r="AF868" s="7">
        <f>IF($J868=0,0,ROUND(MAX($J868*1.4*1.5*1.6*1.6*2.2*2.715*2.6*1.4*1.4*1.5*1.5,18900000000*(1.65331^(MIN($E868,123)-117)))*1,0))</f>
        <v>204773225</v>
      </c>
      <c r="AG868" s="4">
        <f>$E868+27</f>
        <v>135</v>
      </c>
      <c r="AH868" s="8">
        <f>IF($J868=0,0,ROUND(MAX($J868*1.4*1.5*1.6*1.6*2.2*2.715*2.6*1.4*1.4*1.5*1.5*3.2,60500000000*(1.654288^(MIN($E868,123)-117)))*1,0))</f>
        <v>652011566</v>
      </c>
    </row>
    <row r="869" ht="27.75" customHeight="1" spans="1:34" x14ac:dyDescent="0.25">
      <c r="A869" s="3">
        <v>879</v>
      </c>
      <c r="B869" s="3" t="s">
        <v>753</v>
      </c>
      <c r="C869" s="3" t="s">
        <v>670</v>
      </c>
      <c r="D869" s="3" t="s">
        <v>33</v>
      </c>
      <c r="E869" s="3">
        <v>108</v>
      </c>
      <c r="F869" s="3" t="s">
        <v>62</v>
      </c>
      <c r="G869" s="3" t="s">
        <v>671</v>
      </c>
      <c r="H869" s="3">
        <v>24</v>
      </c>
      <c r="I869" s="4">
        <v>108</v>
      </c>
      <c r="J869" s="5">
        <v>35700</v>
      </c>
      <c r="K869" s="6">
        <f>$E869+1</f>
        <v>109</v>
      </c>
      <c r="L869" s="7">
        <f>IF($J869=0,0,ROUND(MAX($J869*1.4,1620000*(1.497923^(MIN($E869,123)-117)))*1,0))</f>
        <v>49980</v>
      </c>
      <c r="M869" s="4">
        <f>$E869+2</f>
        <v>110</v>
      </c>
      <c r="N869" s="8">
        <f>IF($J869=0,0,ROUND(MAX($J869*1.4*1.5,2190000*(1.580994^(MIN($E869,123)-117)))*1,0))</f>
        <v>74970</v>
      </c>
      <c r="O869" s="6">
        <f>$E869+4</f>
        <v>112</v>
      </c>
      <c r="P869" s="7">
        <f>IF($J869=0,0,ROUND(MAX($J869*1.4*1.5*1.6,3500000*(1.57975^(MIN($E869,123)-117)))*1,0))</f>
        <v>119952</v>
      </c>
      <c r="Q869" s="4">
        <f>$E869+6</f>
        <v>114</v>
      </c>
      <c r="R869" s="8">
        <f>IF($J869=0,0,ROUND(MAX($J869*1.4*1.5*1.6*1.6,13100000*(1.429962^(MIN($E869,123)-117)))*1,0))</f>
        <v>524024</v>
      </c>
      <c r="S869" s="6">
        <f>$E869+8</f>
        <v>116</v>
      </c>
      <c r="T869" s="7">
        <f>IF($J869=0,0,ROUND(MAX($J869*1.4*1.5*1.6*1.6*2.2,42600000*(1.576904^(MIN($E869,123)-117)))*1,0))</f>
        <v>706582</v>
      </c>
      <c r="U869" s="4">
        <f>$E869+11</f>
        <v>119</v>
      </c>
      <c r="V869" s="8">
        <f>IF($J869=0,0,ROUND(MAX($J869*1.4*1.5*1.6*1.6*2.2*2.715,354000000*(1.642074^(MIN($E869,123)-117)))*1,0))</f>
        <v>4078202</v>
      </c>
      <c r="W869" s="6">
        <f>$E869+15</f>
        <v>123</v>
      </c>
      <c r="X869" s="7">
        <f>IF($J869=0,0,ROUND(MAX($J869*1.4*1.5*1.6*1.6*2.2*2.715*2.6,3540000000*(1.579646^(MIN($E869,123)-117)))*1,0))</f>
        <v>57804988</v>
      </c>
      <c r="Y869" s="4">
        <f>$E869+17</f>
        <v>125</v>
      </c>
      <c r="Z869" s="8">
        <f>IF($J869=0,0,ROUND(MAX($J869*1.4*1.5*1.6*1.6*2.2*2.715*2.6*1.4,6020000000*(1.651178^(MIN($E869,123)-117)))*1,0))</f>
        <v>65985946</v>
      </c>
      <c r="AA869" s="6">
        <f>$E869+19</f>
        <v>127</v>
      </c>
      <c r="AB869" s="7">
        <f>IF($J869=0,0,ROUND(MAX($J869*1.4*1.5*1.6*1.6*2.2*2.715*2.6*1.4*1.4,8430000000*(1.651435^(MIN($E869,123)-117)))*1,0))</f>
        <v>92272909</v>
      </c>
      <c r="AC869" s="4">
        <f>$E869+21</f>
        <v>129</v>
      </c>
      <c r="AD869" s="8">
        <f>IF($J869=0,0,ROUND(MAX($J869*1.4*1.5*1.6*1.6*2.2*2.715*2.6*1.4*1.4*1.5,12600000000*(1.652953^(MIN($E869,123)-117)))*1,0))</f>
        <v>136781071</v>
      </c>
      <c r="AE869" s="6">
        <f>$E869+24</f>
        <v>132</v>
      </c>
      <c r="AF869" s="7">
        <f>IF($J869=0,0,ROUND(MAX($J869*1.4*1.5*1.6*1.6*2.2*2.715*2.6*1.4*1.4*1.5*1.5,18900000000*(1.65331^(MIN($E869,123)-117)))*1,0))</f>
        <v>204773225</v>
      </c>
      <c r="AG869" s="4">
        <f>$E869+27</f>
        <v>135</v>
      </c>
      <c r="AH869" s="8">
        <f>IF($J869=0,0,ROUND(MAX($J869*1.4*1.5*1.6*1.6*2.2*2.715*2.6*1.4*1.4*1.5*1.5*3.2,60500000000*(1.654288^(MIN($E869,123)-117)))*1,0))</f>
        <v>652011566</v>
      </c>
    </row>
    <row r="870" ht="27.75" customHeight="1" spans="1:34" x14ac:dyDescent="0.25">
      <c r="A870" s="3">
        <v>880</v>
      </c>
      <c r="B870" s="3" t="s">
        <v>754</v>
      </c>
      <c r="C870" s="3" t="s">
        <v>670</v>
      </c>
      <c r="D870" s="3" t="s">
        <v>33</v>
      </c>
      <c r="E870" s="3">
        <v>108</v>
      </c>
      <c r="F870" s="3" t="s">
        <v>54</v>
      </c>
      <c r="G870" s="3" t="s">
        <v>743</v>
      </c>
      <c r="H870" s="3">
        <v>23</v>
      </c>
      <c r="I870" s="4">
        <v>108</v>
      </c>
      <c r="J870" s="5">
        <v>121000</v>
      </c>
      <c r="K870" s="6">
        <f>$E870+1</f>
        <v>109</v>
      </c>
      <c r="L870" s="7">
        <f>IF($J870=0,0,ROUND(MAX($J870*1.4,1620000*(1.497923^(MIN($E870,123)-117)))*1,0))</f>
        <v>169400</v>
      </c>
      <c r="M870" s="4">
        <f>$E870+2</f>
        <v>110</v>
      </c>
      <c r="N870" s="8">
        <f>IF($J870=0,0,ROUND(MAX($J870*1.4*1.5,2190000*(1.580994^(MIN($E870,123)-117)))*1,0))</f>
        <v>254100</v>
      </c>
      <c r="O870" s="6">
        <f>$E870+4</f>
        <v>112</v>
      </c>
      <c r="P870" s="7">
        <f>IF($J870=0,0,ROUND(MAX($J870*1.4*1.5*1.6,3500000*(1.57975^(MIN($E870,123)-117)))*1,0))</f>
        <v>406560</v>
      </c>
      <c r="Q870" s="4">
        <f>$E870+6</f>
        <v>114</v>
      </c>
      <c r="R870" s="8">
        <f>IF($J870=0,0,ROUND(MAX($J870*1.4*1.5*1.6*1.6,13100000*(1.429962^(MIN($E870,123)-117)))*1,0))</f>
        <v>650496</v>
      </c>
      <c r="S870" s="6">
        <f>$E870+8</f>
        <v>116</v>
      </c>
      <c r="T870" s="7">
        <f>IF($J870=0,0,ROUND(MAX($J870*1.4*1.5*1.6*1.6*2.2,42600000*(1.576904^(MIN($E870,123)-117)))*1,0))</f>
        <v>1431091</v>
      </c>
      <c r="U870" s="4">
        <f>$E870+11</f>
        <v>119</v>
      </c>
      <c r="V870" s="8">
        <f>IF($J870=0,0,ROUND(MAX($J870*1.4*1.5*1.6*1.6*2.2*2.715,354000000*(1.642074^(MIN($E870,123)-117)))*1,0))</f>
        <v>4078202</v>
      </c>
      <c r="W870" s="6">
        <f>$E870+15</f>
        <v>123</v>
      </c>
      <c r="X870" s="7">
        <f>IF($J870=0,0,ROUND(MAX($J870*1.4*1.5*1.6*1.6*2.2*2.715*2.6,3540000000*(1.579646^(MIN($E870,123)-117)))*1,0))</f>
        <v>57804988</v>
      </c>
      <c r="Y870" s="4">
        <f>$E870+17</f>
        <v>125</v>
      </c>
      <c r="Z870" s="8">
        <f>IF($J870=0,0,ROUND(MAX($J870*1.4*1.5*1.6*1.6*2.2*2.715*2.6*1.4,6020000000*(1.651178^(MIN($E870,123)-117)))*1,0))</f>
        <v>65985946</v>
      </c>
      <c r="AA870" s="6">
        <f>$E870+19</f>
        <v>127</v>
      </c>
      <c r="AB870" s="7">
        <f>IF($J870=0,0,ROUND(MAX($J870*1.4*1.5*1.6*1.6*2.2*2.715*2.6*1.4*1.4,8430000000*(1.651435^(MIN($E870,123)-117)))*1,0))</f>
        <v>92272909</v>
      </c>
      <c r="AC870" s="4">
        <f>$E870+21</f>
        <v>129</v>
      </c>
      <c r="AD870" s="8">
        <f>IF($J870=0,0,ROUND(MAX($J870*1.4*1.5*1.6*1.6*2.2*2.715*2.6*1.4*1.4*1.5,12600000000*(1.652953^(MIN($E870,123)-117)))*1,0))</f>
        <v>136781071</v>
      </c>
      <c r="AE870" s="6">
        <f>$E870+24</f>
        <v>132</v>
      </c>
      <c r="AF870" s="7">
        <f>IF($J870=0,0,ROUND(MAX($J870*1.4*1.5*1.6*1.6*2.2*2.715*2.6*1.4*1.4*1.5*1.5,18900000000*(1.65331^(MIN($E870,123)-117)))*1,0))</f>
        <v>204773225</v>
      </c>
      <c r="AG870" s="4">
        <f>$E870+27</f>
        <v>135</v>
      </c>
      <c r="AH870" s="8">
        <f>IF($J870=0,0,ROUND(MAX($J870*1.4*1.5*1.6*1.6*2.2*2.715*2.6*1.4*1.4*1.5*1.5*3.2,60500000000*(1.654288^(MIN($E870,123)-117)))*1,0))</f>
        <v>652011566</v>
      </c>
    </row>
    <row r="871" ht="27.75" customHeight="1" spans="1:34" x14ac:dyDescent="0.25">
      <c r="A871" s="3">
        <v>881</v>
      </c>
      <c r="B871" s="3" t="s">
        <v>755</v>
      </c>
      <c r="C871" s="3" t="s">
        <v>670</v>
      </c>
      <c r="D871" s="3" t="s">
        <v>102</v>
      </c>
      <c r="E871" s="3">
        <v>108</v>
      </c>
      <c r="F871" s="3" t="s">
        <v>62</v>
      </c>
      <c r="G871" s="3" t="s">
        <v>106</v>
      </c>
      <c r="H871" s="3">
        <v>23</v>
      </c>
      <c r="I871" s="4">
        <v>108</v>
      </c>
      <c r="J871" s="5">
        <v>389000</v>
      </c>
      <c r="K871" s="6">
        <f>$E871+1</f>
        <v>109</v>
      </c>
      <c r="L871" s="7">
        <f>IF($J871=0,0,ROUND(MAX($J871*1.4,1620000*(1.497923^(MIN($E871,123)-117)))*1,0))</f>
        <v>544600</v>
      </c>
      <c r="M871" s="4">
        <f>$E871+2</f>
        <v>110</v>
      </c>
      <c r="N871" s="8">
        <f>IF($J871=0,0,ROUND(MAX($J871*1.4*1.5,2190000*(1.580994^(MIN($E871,123)-117)))*1,0))</f>
        <v>816900</v>
      </c>
      <c r="O871" s="6">
        <f>$E871+4</f>
        <v>112</v>
      </c>
      <c r="P871" s="7">
        <f>IF($J871=0,0,ROUND(MAX($J871*1.4*1.5*1.6,3500000*(1.57975^(MIN($E871,123)-117)))*1,0))</f>
        <v>1307040</v>
      </c>
      <c r="Q871" s="4">
        <f>$E871+6</f>
        <v>114</v>
      </c>
      <c r="R871" s="8">
        <f>IF($J871=0,0,ROUND(MAX($J871*1.4*1.5*1.6*1.6,13100000*(1.429962^(MIN($E871,123)-117)))*1,0))</f>
        <v>2091264</v>
      </c>
      <c r="S871" s="6">
        <f>$E871+8</f>
        <v>116</v>
      </c>
      <c r="T871" s="7">
        <f>IF($J871=0,0,ROUND(MAX($J871*1.4*1.5*1.6*1.6*2.2,42600000*(1.576904^(MIN($E871,123)-117)))*1,0))</f>
        <v>4600781</v>
      </c>
      <c r="U871" s="4">
        <f>$E871+11</f>
        <v>119</v>
      </c>
      <c r="V871" s="8">
        <f>IF($J871=0,0,ROUND(MAX($J871*1.4*1.5*1.6*1.6*2.2*2.715,354000000*(1.642074^(MIN($E871,123)-117)))*1,0))</f>
        <v>12491120</v>
      </c>
      <c r="W871" s="6">
        <f>$E871+15</f>
        <v>123</v>
      </c>
      <c r="X871" s="7">
        <f>IF($J871=0,0,ROUND(MAX($J871*1.4*1.5*1.6*1.6*2.2*2.715*2.6,3540000000*(1.579646^(MIN($E871,123)-117)))*1,0))</f>
        <v>57804988</v>
      </c>
      <c r="Y871" s="4">
        <f>$E871+17</f>
        <v>125</v>
      </c>
      <c r="Z871" s="8">
        <f>IF($J871=0,0,ROUND(MAX($J871*1.4*1.5*1.6*1.6*2.2*2.715*2.6*1.4,6020000000*(1.651178^(MIN($E871,123)-117)))*1,0))</f>
        <v>65985946</v>
      </c>
      <c r="AA871" s="6">
        <f>$E871+19</f>
        <v>127</v>
      </c>
      <c r="AB871" s="7">
        <f>IF($J871=0,0,ROUND(MAX($J871*1.4*1.5*1.6*1.6*2.2*2.715*2.6*1.4*1.4,8430000000*(1.651435^(MIN($E871,123)-117)))*1,0))</f>
        <v>92272909</v>
      </c>
      <c r="AC871" s="4">
        <f>$E871+21</f>
        <v>129</v>
      </c>
      <c r="AD871" s="8">
        <f>IF($J871=0,0,ROUND(MAX($J871*1.4*1.5*1.6*1.6*2.2*2.715*2.6*1.4*1.4*1.5,12600000000*(1.652953^(MIN($E871,123)-117)))*1,0))</f>
        <v>136781071</v>
      </c>
      <c r="AE871" s="6">
        <f>$E871+24</f>
        <v>132</v>
      </c>
      <c r="AF871" s="7">
        <f>IF($J871=0,0,ROUND(MAX($J871*1.4*1.5*1.6*1.6*2.2*2.715*2.6*1.4*1.4*1.5*1.5,18900000000*(1.65331^(MIN($E871,123)-117)))*1,0))</f>
        <v>204773225</v>
      </c>
      <c r="AG871" s="4">
        <f>$E871+27</f>
        <v>135</v>
      </c>
      <c r="AH871" s="8">
        <f>IF($J871=0,0,ROUND(MAX($J871*1.4*1.5*1.6*1.6*2.2*2.715*2.6*1.4*1.4*1.5*1.5*3.2,60500000000*(1.654288^(MIN($E871,123)-117)))*1,0))</f>
        <v>652011566</v>
      </c>
    </row>
    <row r="872" ht="27.75" customHeight="1" spans="1:34" x14ac:dyDescent="0.25">
      <c r="A872" s="3">
        <v>882</v>
      </c>
      <c r="B872" s="3" t="s">
        <v>756</v>
      </c>
      <c r="C872" s="3" t="s">
        <v>670</v>
      </c>
      <c r="D872" s="3" t="s">
        <v>33</v>
      </c>
      <c r="E872" s="3">
        <v>108</v>
      </c>
      <c r="F872" s="3" t="s">
        <v>116</v>
      </c>
      <c r="G872" s="3" t="s">
        <v>671</v>
      </c>
      <c r="H872" s="3">
        <v>23</v>
      </c>
      <c r="I872" s="4">
        <v>108</v>
      </c>
      <c r="J872" s="5">
        <v>77900</v>
      </c>
      <c r="K872" s="6">
        <f>$E872+1</f>
        <v>109</v>
      </c>
      <c r="L872" s="7">
        <f>IF($J872=0,0,ROUND(MAX($J872*1.4,1620000*(1.497923^(MIN($E872,123)-117)))*1,0))</f>
        <v>109060</v>
      </c>
      <c r="M872" s="4">
        <f>$E872+2</f>
        <v>110</v>
      </c>
      <c r="N872" s="8">
        <f>IF($J872=0,0,ROUND(MAX($J872*1.4*1.5,2190000*(1.580994^(MIN($E872,123)-117)))*1,0))</f>
        <v>163590</v>
      </c>
      <c r="O872" s="6">
        <f>$E872+4</f>
        <v>112</v>
      </c>
      <c r="P872" s="7">
        <f>IF($J872=0,0,ROUND(MAX($J872*1.4*1.5*1.6,3500000*(1.57975^(MIN($E872,123)-117)))*1,0))</f>
        <v>261744</v>
      </c>
      <c r="Q872" s="4">
        <f>$E872+6</f>
        <v>114</v>
      </c>
      <c r="R872" s="8">
        <f>IF($J872=0,0,ROUND(MAX($J872*1.4*1.5*1.6*1.6,13100000*(1.429962^(MIN($E872,123)-117)))*1,0))</f>
        <v>524024</v>
      </c>
      <c r="S872" s="6">
        <f>$E872+8</f>
        <v>116</v>
      </c>
      <c r="T872" s="7">
        <f>IF($J872=0,0,ROUND(MAX($J872*1.4*1.5*1.6*1.6*2.2,42600000*(1.576904^(MIN($E872,123)-117)))*1,0))</f>
        <v>921339</v>
      </c>
      <c r="U872" s="4">
        <f>$E872+11</f>
        <v>119</v>
      </c>
      <c r="V872" s="8">
        <f>IF($J872=0,0,ROUND(MAX($J872*1.4*1.5*1.6*1.6*2.2*2.715,354000000*(1.642074^(MIN($E872,123)-117)))*1,0))</f>
        <v>4078202</v>
      </c>
      <c r="W872" s="6">
        <f>$E872+15</f>
        <v>123</v>
      </c>
      <c r="X872" s="7">
        <f>IF($J872=0,0,ROUND(MAX($J872*1.4*1.5*1.6*1.6*2.2*2.715*2.6,3540000000*(1.579646^(MIN($E872,123)-117)))*1,0))</f>
        <v>57804988</v>
      </c>
      <c r="Y872" s="4">
        <f>$E872+17</f>
        <v>125</v>
      </c>
      <c r="Z872" s="8">
        <f>IF($J872=0,0,ROUND(MAX($J872*1.4*1.5*1.6*1.6*2.2*2.715*2.6*1.4,6020000000*(1.651178^(MIN($E872,123)-117)))*1,0))</f>
        <v>65985946</v>
      </c>
      <c r="AA872" s="6">
        <f>$E872+19</f>
        <v>127</v>
      </c>
      <c r="AB872" s="7">
        <f>IF($J872=0,0,ROUND(MAX($J872*1.4*1.5*1.6*1.6*2.2*2.715*2.6*1.4*1.4,8430000000*(1.651435^(MIN($E872,123)-117)))*1,0))</f>
        <v>92272909</v>
      </c>
      <c r="AC872" s="4">
        <f>$E872+21</f>
        <v>129</v>
      </c>
      <c r="AD872" s="8">
        <f>IF($J872=0,0,ROUND(MAX($J872*1.4*1.5*1.6*1.6*2.2*2.715*2.6*1.4*1.4*1.5,12600000000*(1.652953^(MIN($E872,123)-117)))*1,0))</f>
        <v>136781071</v>
      </c>
      <c r="AE872" s="6">
        <f>$E872+24</f>
        <v>132</v>
      </c>
      <c r="AF872" s="7">
        <f>IF($J872=0,0,ROUND(MAX($J872*1.4*1.5*1.6*1.6*2.2*2.715*2.6*1.4*1.4*1.5*1.5,18900000000*(1.65331^(MIN($E872,123)-117)))*1,0))</f>
        <v>204773225</v>
      </c>
      <c r="AG872" s="4">
        <f>$E872+27</f>
        <v>135</v>
      </c>
      <c r="AH872" s="8">
        <f>IF($J872=0,0,ROUND(MAX($J872*1.4*1.5*1.6*1.6*2.2*2.715*2.6*1.4*1.4*1.5*1.5*3.2,60500000000*(1.654288^(MIN($E872,123)-117)))*1,0))</f>
        <v>652011566</v>
      </c>
    </row>
    <row r="873" ht="27.75" customHeight="1" spans="1:34" x14ac:dyDescent="0.25">
      <c r="A873" s="3">
        <v>883</v>
      </c>
      <c r="B873" s="3" t="s">
        <v>757</v>
      </c>
      <c r="C873" s="3" t="s">
        <v>670</v>
      </c>
      <c r="D873" s="3" t="s">
        <v>25</v>
      </c>
      <c r="E873" s="3">
        <v>108</v>
      </c>
      <c r="F873" s="3" t="s">
        <v>56</v>
      </c>
      <c r="G873" s="3" t="s">
        <v>51</v>
      </c>
      <c r="H873" s="3">
        <v>23</v>
      </c>
      <c r="I873" s="4">
        <v>108</v>
      </c>
      <c r="J873" s="5">
        <v>57200</v>
      </c>
      <c r="K873" s="6">
        <f>$E873+1</f>
        <v>109</v>
      </c>
      <c r="L873" s="7">
        <f>IF($J873=0,0,ROUND(MAX($J873*1.4,1620000*(1.497923^(MIN($E873,123)-117)))*1,0))</f>
        <v>80080</v>
      </c>
      <c r="M873" s="4">
        <f>$E873+2</f>
        <v>110</v>
      </c>
      <c r="N873" s="8">
        <f>IF($J873=0,0,ROUND(MAX($J873*1.4*1.5,2190000*(1.580994^(MIN($E873,123)-117)))*1,0))</f>
        <v>120120</v>
      </c>
      <c r="O873" s="6">
        <f>$E873+4</f>
        <v>112</v>
      </c>
      <c r="P873" s="7">
        <f>IF($J873=0,0,ROUND(MAX($J873*1.4*1.5*1.6,3500000*(1.57975^(MIN($E873,123)-117)))*1,0))</f>
        <v>192192</v>
      </c>
      <c r="Q873" s="4">
        <f>$E873+6</f>
        <v>114</v>
      </c>
      <c r="R873" s="8">
        <f>IF($J873=0,0,ROUND(MAX($J873*1.4*1.5*1.6*1.6,13100000*(1.429962^(MIN($E873,123)-117)))*1,0))</f>
        <v>524024</v>
      </c>
      <c r="S873" s="6">
        <f>$E873+8</f>
        <v>116</v>
      </c>
      <c r="T873" s="7">
        <f>IF($J873=0,0,ROUND(MAX($J873*1.4*1.5*1.6*1.6*2.2,42600000*(1.576904^(MIN($E873,123)-117)))*1,0))</f>
        <v>706582</v>
      </c>
      <c r="U873" s="4">
        <f>$E873+11</f>
        <v>119</v>
      </c>
      <c r="V873" s="8">
        <f>IF($J873=0,0,ROUND(MAX($J873*1.4*1.5*1.6*1.6*2.2*2.715,354000000*(1.642074^(MIN($E873,123)-117)))*1,0))</f>
        <v>4078202</v>
      </c>
      <c r="W873" s="6">
        <f>$E873+15</f>
        <v>123</v>
      </c>
      <c r="X873" s="7">
        <f>IF($J873=0,0,ROUND(MAX($J873*1.4*1.5*1.6*1.6*2.2*2.715*2.6,3540000000*(1.579646^(MIN($E873,123)-117)))*1,0))</f>
        <v>57804988</v>
      </c>
      <c r="Y873" s="4">
        <f>$E873+17</f>
        <v>125</v>
      </c>
      <c r="Z873" s="8">
        <f>IF($J873=0,0,ROUND(MAX($J873*1.4*1.5*1.6*1.6*2.2*2.715*2.6*1.4,6020000000*(1.651178^(MIN($E873,123)-117)))*1,0))</f>
        <v>65985946</v>
      </c>
      <c r="AA873" s="6">
        <f>$E873+19</f>
        <v>127</v>
      </c>
      <c r="AB873" s="7">
        <f>IF($J873=0,0,ROUND(MAX($J873*1.4*1.5*1.6*1.6*2.2*2.715*2.6*1.4*1.4,8430000000*(1.651435^(MIN($E873,123)-117)))*1,0))</f>
        <v>92272909</v>
      </c>
      <c r="AC873" s="4">
        <f>$E873+21</f>
        <v>129</v>
      </c>
      <c r="AD873" s="8">
        <f>IF($J873=0,0,ROUND(MAX($J873*1.4*1.5*1.6*1.6*2.2*2.715*2.6*1.4*1.4*1.5,12600000000*(1.652953^(MIN($E873,123)-117)))*1,0))</f>
        <v>136781071</v>
      </c>
      <c r="AE873" s="6">
        <f>$E873+24</f>
        <v>132</v>
      </c>
      <c r="AF873" s="7">
        <f>IF($J873=0,0,ROUND(MAX($J873*1.4*1.5*1.6*1.6*2.2*2.715*2.6*1.4*1.4*1.5*1.5,18900000000*(1.65331^(MIN($E873,123)-117)))*1,0))</f>
        <v>204773225</v>
      </c>
      <c r="AG873" s="4">
        <f>$E873+27</f>
        <v>135</v>
      </c>
      <c r="AH873" s="8">
        <f>IF($J873=0,0,ROUND(MAX($J873*1.4*1.5*1.6*1.6*2.2*2.715*2.6*1.4*1.4*1.5*1.5*3.2,60500000000*(1.654288^(MIN($E873,123)-117)))*1,0))</f>
        <v>652011566</v>
      </c>
    </row>
    <row r="874" ht="27.75" customHeight="1" spans="1:34" x14ac:dyDescent="0.25">
      <c r="A874" s="3">
        <v>884</v>
      </c>
      <c r="B874" s="3" t="s">
        <v>758</v>
      </c>
      <c r="C874" s="3" t="s">
        <v>670</v>
      </c>
      <c r="D874" s="3" t="s">
        <v>47</v>
      </c>
      <c r="E874" s="3">
        <v>108</v>
      </c>
      <c r="F874" s="3" t="s">
        <v>30</v>
      </c>
      <c r="G874" s="3" t="s">
        <v>729</v>
      </c>
      <c r="H874" s="3">
        <v>21</v>
      </c>
      <c r="I874" s="4">
        <v>108</v>
      </c>
      <c r="J874" s="5">
        <v>51000</v>
      </c>
      <c r="K874" s="6">
        <f>$E874+1</f>
        <v>109</v>
      </c>
      <c r="L874" s="7">
        <f>IF($J874=0,0,ROUND(MAX($J874*1.4,1620000*(1.497923^(MIN($E874,123)-117)))*1,0))</f>
        <v>71400</v>
      </c>
      <c r="M874" s="4">
        <f>$E874+2</f>
        <v>110</v>
      </c>
      <c r="N874" s="8">
        <f>IF($J874=0,0,ROUND(MAX($J874*1.4*1.5,2190000*(1.580994^(MIN($E874,123)-117)))*1,0))</f>
        <v>107100</v>
      </c>
      <c r="O874" s="6">
        <f>$E874+4</f>
        <v>112</v>
      </c>
      <c r="P874" s="7">
        <f>IF($J874=0,0,ROUND(MAX($J874*1.4*1.5*1.6,3500000*(1.57975^(MIN($E874,123)-117)))*1,0))</f>
        <v>171360</v>
      </c>
      <c r="Q874" s="4">
        <f>$E874+6</f>
        <v>114</v>
      </c>
      <c r="R874" s="8">
        <f>IF($J874=0,0,ROUND(MAX($J874*1.4*1.5*1.6*1.6,13100000*(1.429962^(MIN($E874,123)-117)))*1,0))</f>
        <v>524024</v>
      </c>
      <c r="S874" s="6">
        <f>$E874+8</f>
        <v>116</v>
      </c>
      <c r="T874" s="7">
        <f>IF($J874=0,0,ROUND(MAX($J874*1.4*1.5*1.6*1.6*2.2,42600000*(1.576904^(MIN($E874,123)-117)))*1,0))</f>
        <v>706582</v>
      </c>
      <c r="U874" s="4">
        <f>$E874+11</f>
        <v>119</v>
      </c>
      <c r="V874" s="8">
        <f>IF($J874=0,0,ROUND(MAX($J874*1.4*1.5*1.6*1.6*2.2*2.715,354000000*(1.642074^(MIN($E874,123)-117)))*1,0))</f>
        <v>4078202</v>
      </c>
      <c r="W874" s="6">
        <f>$E874+15</f>
        <v>123</v>
      </c>
      <c r="X874" s="7">
        <f>IF($J874=0,0,ROUND(MAX($J874*1.4*1.5*1.6*1.6*2.2*2.715*2.6,3540000000*(1.579646^(MIN($E874,123)-117)))*1,0))</f>
        <v>57804988</v>
      </c>
      <c r="Y874" s="4">
        <f>$E874+17</f>
        <v>125</v>
      </c>
      <c r="Z874" s="8">
        <f>IF($J874=0,0,ROUND(MAX($J874*1.4*1.5*1.6*1.6*2.2*2.715*2.6*1.4,6020000000*(1.651178^(MIN($E874,123)-117)))*1,0))</f>
        <v>65985946</v>
      </c>
      <c r="AA874" s="6">
        <f>$E874+19</f>
        <v>127</v>
      </c>
      <c r="AB874" s="7">
        <f>IF($J874=0,0,ROUND(MAX($J874*1.4*1.5*1.6*1.6*2.2*2.715*2.6*1.4*1.4,8430000000*(1.651435^(MIN($E874,123)-117)))*1,0))</f>
        <v>92272909</v>
      </c>
      <c r="AC874" s="4">
        <f>$E874+21</f>
        <v>129</v>
      </c>
      <c r="AD874" s="8">
        <f>IF($J874=0,0,ROUND(MAX($J874*1.4*1.5*1.6*1.6*2.2*2.715*2.6*1.4*1.4*1.5,12600000000*(1.652953^(MIN($E874,123)-117)))*1,0))</f>
        <v>136781071</v>
      </c>
      <c r="AE874" s="6">
        <f>$E874+24</f>
        <v>132</v>
      </c>
      <c r="AF874" s="7">
        <f>IF($J874=0,0,ROUND(MAX($J874*1.4*1.5*1.6*1.6*2.2*2.715*2.6*1.4*1.4*1.5*1.5,18900000000*(1.65331^(MIN($E874,123)-117)))*1,0))</f>
        <v>204773225</v>
      </c>
      <c r="AG874" s="4">
        <f>$E874+27</f>
        <v>135</v>
      </c>
      <c r="AH874" s="8">
        <f>IF($J874=0,0,ROUND(MAX($J874*1.4*1.5*1.6*1.6*2.2*2.715*2.6*1.4*1.4*1.5*1.5*3.2,60500000000*(1.654288^(MIN($E874,123)-117)))*1,0))</f>
        <v>652011566</v>
      </c>
    </row>
    <row r="875" ht="27.75" customHeight="1" spans="1:34" x14ac:dyDescent="0.25">
      <c r="A875" s="3">
        <v>885</v>
      </c>
      <c r="B875" s="3" t="s">
        <v>759</v>
      </c>
      <c r="C875" s="3" t="s">
        <v>670</v>
      </c>
      <c r="D875" s="3" t="s">
        <v>331</v>
      </c>
      <c r="E875" s="3">
        <v>107</v>
      </c>
      <c r="F875" s="3" t="s">
        <v>237</v>
      </c>
      <c r="G875" s="3" t="s">
        <v>760</v>
      </c>
      <c r="H875" s="3">
        <v>24</v>
      </c>
      <c r="I875" s="4">
        <v>107</v>
      </c>
      <c r="J875" s="5">
        <v>30700</v>
      </c>
      <c r="K875" s="6">
        <f>$E875+1</f>
        <v>108</v>
      </c>
      <c r="L875" s="7">
        <f>IF($J875=0,0,ROUND(MAX($J875*1.4,1620000*(1.497923^(MIN($E875,123)-117)))*1,0))</f>
        <v>42980</v>
      </c>
      <c r="M875" s="4">
        <f>$E875+2</f>
        <v>109</v>
      </c>
      <c r="N875" s="8">
        <f>IF($J875=0,0,ROUND(MAX($J875*1.4*1.5,2190000*(1.580994^(MIN($E875,123)-117)))*1,0))</f>
        <v>64470</v>
      </c>
      <c r="O875" s="6">
        <f>$E875+4</f>
        <v>111</v>
      </c>
      <c r="P875" s="7">
        <f>IF($J875=0,0,ROUND(MAX($J875*1.4*1.5*1.6,3500000*(1.57975^(MIN($E875,123)-117)))*1,0))</f>
        <v>103152</v>
      </c>
      <c r="Q875" s="4">
        <f>$E875+6</f>
        <v>113</v>
      </c>
      <c r="R875" s="8">
        <f>IF($J875=0,0,ROUND(MAX($J875*1.4*1.5*1.6*1.6,13100000*(1.429962^(MIN($E875,123)-117)))*1,0))</f>
        <v>366460</v>
      </c>
      <c r="S875" s="6">
        <f>$E875+8</f>
        <v>115</v>
      </c>
      <c r="T875" s="7">
        <f>IF($J875=0,0,ROUND(MAX($J875*1.4*1.5*1.6*1.6*2.2,42600000*(1.576904^(MIN($E875,123)-117)))*1,0))</f>
        <v>448082</v>
      </c>
      <c r="U875" s="4">
        <f>$E875+11</f>
        <v>118</v>
      </c>
      <c r="V875" s="8">
        <f>IF($J875=0,0,ROUND(MAX($J875*1.4*1.5*1.6*1.6*2.2*2.715,354000000*(1.642074^(MIN($E875,123)-117)))*1,0))</f>
        <v>2483568</v>
      </c>
      <c r="W875" s="6">
        <f>$E875+15</f>
        <v>122</v>
      </c>
      <c r="X875" s="7">
        <f>IF($J875=0,0,ROUND(MAX($J875*1.4*1.5*1.6*1.6*2.2*2.715*2.6,3540000000*(1.579646^(MIN($E875,123)-117)))*1,0))</f>
        <v>36593634</v>
      </c>
      <c r="Y875" s="4">
        <f>$E875+17</f>
        <v>124</v>
      </c>
      <c r="Z875" s="8">
        <f>IF($J875=0,0,ROUND(MAX($J875*1.4*1.5*1.6*1.6*2.2*2.715*2.6*1.4,6020000000*(1.651178^(MIN($E875,123)-117)))*1,0))</f>
        <v>39962952</v>
      </c>
      <c r="AA875" s="6">
        <f>$E875+19</f>
        <v>126</v>
      </c>
      <c r="AB875" s="7">
        <f>IF($J875=0,0,ROUND(MAX($J875*1.4*1.5*1.6*1.6*2.2*2.715*2.6*1.4*1.4,8430000000*(1.651435^(MIN($E875,123)-117)))*1,0))</f>
        <v>55874381</v>
      </c>
      <c r="AC875" s="4">
        <f>$E875+21</f>
        <v>128</v>
      </c>
      <c r="AD875" s="8">
        <f>IF($J875=0,0,ROUND(MAX($J875*1.4*1.5*1.6*1.6*2.2*2.715*2.6*1.4*1.4*1.5,12600000000*(1.652953^(MIN($E875,123)-117)))*1,0))</f>
        <v>82749522</v>
      </c>
      <c r="AE875" s="6">
        <f>$E875+24</f>
        <v>131</v>
      </c>
      <c r="AF875" s="7">
        <f>IF($J875=0,0,ROUND(MAX($J875*1.4*1.5*1.6*1.6*2.2*2.715*2.6*1.4*1.4*1.5*1.5,18900000000*(1.65331^(MIN($E875,123)-117)))*1,0))</f>
        <v>123856521</v>
      </c>
      <c r="AG875" s="4">
        <f>$E875+27</f>
        <v>134</v>
      </c>
      <c r="AH875" s="8">
        <f>IF($J875=0,0,ROUND(MAX($J875*1.4*1.5*1.6*1.6*2.2*2.715*2.6*1.4*1.4*1.5*1.5*3.2,60500000000*(1.654288^(MIN($E875,123)-117)))*1,0))</f>
        <v>394134254</v>
      </c>
    </row>
    <row r="876" ht="27.75" customHeight="1" spans="1:34" x14ac:dyDescent="0.25">
      <c r="A876" s="3">
        <v>886</v>
      </c>
      <c r="B876" s="3" t="s">
        <v>761</v>
      </c>
      <c r="C876" s="3" t="s">
        <v>670</v>
      </c>
      <c r="D876" s="3" t="s">
        <v>45</v>
      </c>
      <c r="E876" s="3">
        <v>107</v>
      </c>
      <c r="F876" s="3" t="s">
        <v>34</v>
      </c>
      <c r="G876" s="3" t="s">
        <v>762</v>
      </c>
      <c r="H876" s="3">
        <v>23</v>
      </c>
      <c r="I876" s="4">
        <v>107</v>
      </c>
      <c r="J876" s="5">
        <v>106000</v>
      </c>
      <c r="K876" s="6">
        <f>$E876+1</f>
        <v>108</v>
      </c>
      <c r="L876" s="7">
        <f>IF($J876=0,0,ROUND(MAX($J876*1.4,1620000*(1.497923^(MIN($E876,123)-117)))*1,0))</f>
        <v>148400</v>
      </c>
      <c r="M876" s="4">
        <f>$E876+2</f>
        <v>109</v>
      </c>
      <c r="N876" s="8">
        <f>IF($J876=0,0,ROUND(MAX($J876*1.4*1.5,2190000*(1.580994^(MIN($E876,123)-117)))*1,0))</f>
        <v>222600</v>
      </c>
      <c r="O876" s="6">
        <f>$E876+4</f>
        <v>111</v>
      </c>
      <c r="P876" s="7">
        <f>IF($J876=0,0,ROUND(MAX($J876*1.4*1.5*1.6,3500000*(1.57975^(MIN($E876,123)-117)))*1,0))</f>
        <v>356160</v>
      </c>
      <c r="Q876" s="4">
        <f>$E876+6</f>
        <v>113</v>
      </c>
      <c r="R876" s="8">
        <f>IF($J876=0,0,ROUND(MAX($J876*1.4*1.5*1.6*1.6,13100000*(1.429962^(MIN($E876,123)-117)))*1,0))</f>
        <v>569856</v>
      </c>
      <c r="S876" s="6">
        <f>$E876+8</f>
        <v>115</v>
      </c>
      <c r="T876" s="7">
        <f>IF($J876=0,0,ROUND(MAX($J876*1.4*1.5*1.6*1.6*2.2,42600000*(1.576904^(MIN($E876,123)-117)))*1,0))</f>
        <v>1253683</v>
      </c>
      <c r="U876" s="4">
        <f>$E876+11</f>
        <v>118</v>
      </c>
      <c r="V876" s="8">
        <f>IF($J876=0,0,ROUND(MAX($J876*1.4*1.5*1.6*1.6*2.2*2.715,354000000*(1.642074^(MIN($E876,123)-117)))*1,0))</f>
        <v>3403750</v>
      </c>
      <c r="W876" s="6">
        <f>$E876+15</f>
        <v>122</v>
      </c>
      <c r="X876" s="7">
        <f>IF($J876=0,0,ROUND(MAX($J876*1.4*1.5*1.6*1.6*2.2*2.715*2.6,3540000000*(1.579646^(MIN($E876,123)-117)))*1,0))</f>
        <v>36593634</v>
      </c>
      <c r="Y876" s="4">
        <f>$E876+17</f>
        <v>124</v>
      </c>
      <c r="Z876" s="8">
        <f>IF($J876=0,0,ROUND(MAX($J876*1.4*1.5*1.6*1.6*2.2*2.715*2.6*1.4,6020000000*(1.651178^(MIN($E876,123)-117)))*1,0))</f>
        <v>39962952</v>
      </c>
      <c r="AA876" s="6">
        <f>$E876+19</f>
        <v>126</v>
      </c>
      <c r="AB876" s="7">
        <f>IF($J876=0,0,ROUND(MAX($J876*1.4*1.5*1.6*1.6*2.2*2.715*2.6*1.4*1.4,8430000000*(1.651435^(MIN($E876,123)-117)))*1,0))</f>
        <v>55874381</v>
      </c>
      <c r="AC876" s="4">
        <f>$E876+21</f>
        <v>128</v>
      </c>
      <c r="AD876" s="8">
        <f>IF($J876=0,0,ROUND(MAX($J876*1.4*1.5*1.6*1.6*2.2*2.715*2.6*1.4*1.4*1.5,12600000000*(1.652953^(MIN($E876,123)-117)))*1,0))</f>
        <v>82749522</v>
      </c>
      <c r="AE876" s="6">
        <f>$E876+24</f>
        <v>131</v>
      </c>
      <c r="AF876" s="7">
        <f>IF($J876=0,0,ROUND(MAX($J876*1.4*1.5*1.6*1.6*2.2*2.715*2.6*1.4*1.4*1.5*1.5,18900000000*(1.65331^(MIN($E876,123)-117)))*1,0))</f>
        <v>123856521</v>
      </c>
      <c r="AG876" s="4">
        <f>$E876+27</f>
        <v>134</v>
      </c>
      <c r="AH876" s="8">
        <f>IF($J876=0,0,ROUND(MAX($J876*1.4*1.5*1.6*1.6*2.2*2.715*2.6*1.4*1.4*1.5*1.5*3.2,60500000000*(1.654288^(MIN($E876,123)-117)))*1,0))</f>
        <v>394134254</v>
      </c>
    </row>
    <row r="877" ht="27.75" customHeight="1" spans="1:34" x14ac:dyDescent="0.25">
      <c r="A877" s="3">
        <v>887</v>
      </c>
      <c r="B877" s="3" t="s">
        <v>763</v>
      </c>
      <c r="C877" s="3" t="s">
        <v>670</v>
      </c>
      <c r="D877" s="3" t="s">
        <v>40</v>
      </c>
      <c r="E877" s="3">
        <v>107</v>
      </c>
      <c r="F877" s="3" t="s">
        <v>183</v>
      </c>
      <c r="G877" s="3" t="s">
        <v>764</v>
      </c>
      <c r="H877" s="3">
        <v>23</v>
      </c>
      <c r="I877" s="4">
        <v>107</v>
      </c>
      <c r="J877" s="5">
        <v>119000</v>
      </c>
      <c r="K877" s="6">
        <f>$E877+1</f>
        <v>108</v>
      </c>
      <c r="L877" s="7">
        <f>IF($J877=0,0,ROUND(MAX($J877*1.4,1620000*(1.497923^(MIN($E877,123)-117)))*1,0))</f>
        <v>166600</v>
      </c>
      <c r="M877" s="4">
        <f>$E877+2</f>
        <v>109</v>
      </c>
      <c r="N877" s="8">
        <f>IF($J877=0,0,ROUND(MAX($J877*1.4*1.5,2190000*(1.580994^(MIN($E877,123)-117)))*1,0))</f>
        <v>249900</v>
      </c>
      <c r="O877" s="6">
        <f>$E877+4</f>
        <v>111</v>
      </c>
      <c r="P877" s="7">
        <f>IF($J877=0,0,ROUND(MAX($J877*1.4*1.5*1.6,3500000*(1.57975^(MIN($E877,123)-117)))*1,0))</f>
        <v>399840</v>
      </c>
      <c r="Q877" s="4">
        <f>$E877+6</f>
        <v>113</v>
      </c>
      <c r="R877" s="8">
        <f>IF($J877=0,0,ROUND(MAX($J877*1.4*1.5*1.6*1.6,13100000*(1.429962^(MIN($E877,123)-117)))*1,0))</f>
        <v>639744</v>
      </c>
      <c r="S877" s="6">
        <f>$E877+8</f>
        <v>115</v>
      </c>
      <c r="T877" s="7">
        <f>IF($J877=0,0,ROUND(MAX($J877*1.4*1.5*1.6*1.6*2.2,42600000*(1.576904^(MIN($E877,123)-117)))*1,0))</f>
        <v>1407437</v>
      </c>
      <c r="U877" s="4">
        <f>$E877+11</f>
        <v>118</v>
      </c>
      <c r="V877" s="8">
        <f>IF($J877=0,0,ROUND(MAX($J877*1.4*1.5*1.6*1.6*2.2*2.715,354000000*(1.642074^(MIN($E877,123)-117)))*1,0))</f>
        <v>3821191</v>
      </c>
      <c r="W877" s="6">
        <f>$E877+15</f>
        <v>122</v>
      </c>
      <c r="X877" s="7">
        <f>IF($J877=0,0,ROUND(MAX($J877*1.4*1.5*1.6*1.6*2.2*2.715*2.6,3540000000*(1.579646^(MIN($E877,123)-117)))*1,0))</f>
        <v>36593634</v>
      </c>
      <c r="Y877" s="4">
        <f>$E877+17</f>
        <v>124</v>
      </c>
      <c r="Z877" s="8">
        <f>IF($J877=0,0,ROUND(MAX($J877*1.4*1.5*1.6*1.6*2.2*2.715*2.6*1.4,6020000000*(1.651178^(MIN($E877,123)-117)))*1,0))</f>
        <v>39962952</v>
      </c>
      <c r="AA877" s="6">
        <f>$E877+19</f>
        <v>126</v>
      </c>
      <c r="AB877" s="7">
        <f>IF($J877=0,0,ROUND(MAX($J877*1.4*1.5*1.6*1.6*2.2*2.715*2.6*1.4*1.4,8430000000*(1.651435^(MIN($E877,123)-117)))*1,0))</f>
        <v>55874381</v>
      </c>
      <c r="AC877" s="4">
        <f>$E877+21</f>
        <v>128</v>
      </c>
      <c r="AD877" s="8">
        <f>IF($J877=0,0,ROUND(MAX($J877*1.4*1.5*1.6*1.6*2.2*2.715*2.6*1.4*1.4*1.5,12600000000*(1.652953^(MIN($E877,123)-117)))*1,0))</f>
        <v>82749522</v>
      </c>
      <c r="AE877" s="6">
        <f>$E877+24</f>
        <v>131</v>
      </c>
      <c r="AF877" s="7">
        <f>IF($J877=0,0,ROUND(MAX($J877*1.4*1.5*1.6*1.6*2.2*2.715*2.6*1.4*1.4*1.5*1.5,18900000000*(1.65331^(MIN($E877,123)-117)))*1,0))</f>
        <v>123856521</v>
      </c>
      <c r="AG877" s="4">
        <f>$E877+27</f>
        <v>134</v>
      </c>
      <c r="AH877" s="8">
        <f>IF($J877=0,0,ROUND(MAX($J877*1.4*1.5*1.6*1.6*2.2*2.715*2.6*1.4*1.4*1.5*1.5*3.2,60500000000*(1.654288^(MIN($E877,123)-117)))*1,0))</f>
        <v>394134254</v>
      </c>
    </row>
    <row r="878" ht="27.75" customHeight="1" spans="1:34" x14ac:dyDescent="0.25">
      <c r="A878" s="3">
        <v>888</v>
      </c>
      <c r="B878" s="3" t="s">
        <v>765</v>
      </c>
      <c r="C878" s="3" t="s">
        <v>670</v>
      </c>
      <c r="D878" s="3" t="s">
        <v>102</v>
      </c>
      <c r="E878" s="3">
        <v>107</v>
      </c>
      <c r="F878" s="3" t="s">
        <v>34</v>
      </c>
      <c r="G878" s="3" t="s">
        <v>671</v>
      </c>
      <c r="H878" s="3">
        <v>23</v>
      </c>
      <c r="I878" s="4">
        <v>107</v>
      </c>
      <c r="J878" s="5">
        <v>21100</v>
      </c>
      <c r="K878" s="6">
        <f>$E878+1</f>
        <v>108</v>
      </c>
      <c r="L878" s="7">
        <f>IF($J878=0,0,ROUND(MAX($J878*1.4,1620000*(1.497923^(MIN($E878,123)-117)))*1,0))</f>
        <v>29540</v>
      </c>
      <c r="M878" s="4">
        <f>$E878+2</f>
        <v>109</v>
      </c>
      <c r="N878" s="8">
        <f>IF($J878=0,0,ROUND(MAX($J878*1.4*1.5,2190000*(1.580994^(MIN($E878,123)-117)))*1,0))</f>
        <v>44310</v>
      </c>
      <c r="O878" s="6">
        <f>$E878+4</f>
        <v>111</v>
      </c>
      <c r="P878" s="7">
        <f>IF($J878=0,0,ROUND(MAX($J878*1.4*1.5*1.6,3500000*(1.57975^(MIN($E878,123)-117)))*1,0))</f>
        <v>70896</v>
      </c>
      <c r="Q878" s="4">
        <f>$E878+6</f>
        <v>113</v>
      </c>
      <c r="R878" s="8">
        <f>IF($J878=0,0,ROUND(MAX($J878*1.4*1.5*1.6*1.6,13100000*(1.429962^(MIN($E878,123)-117)))*1,0))</f>
        <v>366460</v>
      </c>
      <c r="S878" s="6">
        <f>$E878+8</f>
        <v>115</v>
      </c>
      <c r="T878" s="7">
        <f>IF($J878=0,0,ROUND(MAX($J878*1.4*1.5*1.6*1.6*2.2,42600000*(1.576904^(MIN($E878,123)-117)))*1,0))</f>
        <v>448082</v>
      </c>
      <c r="U878" s="4">
        <f>$E878+11</f>
        <v>118</v>
      </c>
      <c r="V878" s="8">
        <f>IF($J878=0,0,ROUND(MAX($J878*1.4*1.5*1.6*1.6*2.2*2.715,354000000*(1.642074^(MIN($E878,123)-117)))*1,0))</f>
        <v>2483568</v>
      </c>
      <c r="W878" s="6">
        <f>$E878+15</f>
        <v>122</v>
      </c>
      <c r="X878" s="7">
        <f>IF($J878=0,0,ROUND(MAX($J878*1.4*1.5*1.6*1.6*2.2*2.715*2.6,3540000000*(1.579646^(MIN($E878,123)-117)))*1,0))</f>
        <v>36593634</v>
      </c>
      <c r="Y878" s="4">
        <f>$E878+17</f>
        <v>124</v>
      </c>
      <c r="Z878" s="8">
        <f>IF($J878=0,0,ROUND(MAX($J878*1.4*1.5*1.6*1.6*2.2*2.715*2.6*1.4,6020000000*(1.651178^(MIN($E878,123)-117)))*1,0))</f>
        <v>39962952</v>
      </c>
      <c r="AA878" s="6">
        <f>$E878+19</f>
        <v>126</v>
      </c>
      <c r="AB878" s="7">
        <f>IF($J878=0,0,ROUND(MAX($J878*1.4*1.5*1.6*1.6*2.2*2.715*2.6*1.4*1.4,8430000000*(1.651435^(MIN($E878,123)-117)))*1,0))</f>
        <v>55874381</v>
      </c>
      <c r="AC878" s="4">
        <f>$E878+21</f>
        <v>128</v>
      </c>
      <c r="AD878" s="8">
        <f>IF($J878=0,0,ROUND(MAX($J878*1.4*1.5*1.6*1.6*2.2*2.715*2.6*1.4*1.4*1.5,12600000000*(1.652953^(MIN($E878,123)-117)))*1,0))</f>
        <v>82749522</v>
      </c>
      <c r="AE878" s="6">
        <f>$E878+24</f>
        <v>131</v>
      </c>
      <c r="AF878" s="7">
        <f>IF($J878=0,0,ROUND(MAX($J878*1.4*1.5*1.6*1.6*2.2*2.715*2.6*1.4*1.4*1.5*1.5,18900000000*(1.65331^(MIN($E878,123)-117)))*1,0))</f>
        <v>123856521</v>
      </c>
      <c r="AG878" s="4">
        <f>$E878+27</f>
        <v>134</v>
      </c>
      <c r="AH878" s="8">
        <f>IF($J878=0,0,ROUND(MAX($J878*1.4*1.5*1.6*1.6*2.2*2.715*2.6*1.4*1.4*1.5*1.5*3.2,60500000000*(1.654288^(MIN($E878,123)-117)))*1,0))</f>
        <v>394134254</v>
      </c>
    </row>
    <row r="879" ht="27.75" customHeight="1" spans="1:34" x14ac:dyDescent="0.25">
      <c r="A879" s="3">
        <v>889</v>
      </c>
      <c r="B879" s="3" t="s">
        <v>182</v>
      </c>
      <c r="C879" s="3" t="s">
        <v>670</v>
      </c>
      <c r="D879" s="3" t="s">
        <v>29</v>
      </c>
      <c r="E879" s="3">
        <v>107</v>
      </c>
      <c r="F879" s="3" t="s">
        <v>183</v>
      </c>
      <c r="G879" s="3" t="s">
        <v>671</v>
      </c>
      <c r="H879" s="3">
        <v>23</v>
      </c>
      <c r="I879" s="4">
        <v>107</v>
      </c>
      <c r="J879" s="5">
        <v>128000</v>
      </c>
      <c r="K879" s="6">
        <f>$E879+1</f>
        <v>108</v>
      </c>
      <c r="L879" s="7">
        <f>IF($J879=0,0,ROUND(MAX($J879*1.4,1620000*(1.497923^(MIN($E879,123)-117)))*1,0))</f>
        <v>179200</v>
      </c>
      <c r="M879" s="4">
        <f>$E879+2</f>
        <v>109</v>
      </c>
      <c r="N879" s="8">
        <f>IF($J879=0,0,ROUND(MAX($J879*1.4*1.5,2190000*(1.580994^(MIN($E879,123)-117)))*1,0))</f>
        <v>268800</v>
      </c>
      <c r="O879" s="6">
        <f>$E879+4</f>
        <v>111</v>
      </c>
      <c r="P879" s="7">
        <f>IF($J879=0,0,ROUND(MAX($J879*1.4*1.5*1.6,3500000*(1.57975^(MIN($E879,123)-117)))*1,0))</f>
        <v>430080</v>
      </c>
      <c r="Q879" s="4">
        <f>$E879+6</f>
        <v>113</v>
      </c>
      <c r="R879" s="8">
        <f>IF($J879=0,0,ROUND(MAX($J879*1.4*1.5*1.6*1.6,13100000*(1.429962^(MIN($E879,123)-117)))*1,0))</f>
        <v>688128</v>
      </c>
      <c r="S879" s="6">
        <f>$E879+8</f>
        <v>115</v>
      </c>
      <c r="T879" s="7">
        <f>IF($J879=0,0,ROUND(MAX($J879*1.4*1.5*1.6*1.6*2.2,42600000*(1.576904^(MIN($E879,123)-117)))*1,0))</f>
        <v>1513882</v>
      </c>
      <c r="U879" s="4">
        <f>$E879+11</f>
        <v>118</v>
      </c>
      <c r="V879" s="8">
        <f>IF($J879=0,0,ROUND(MAX($J879*1.4*1.5*1.6*1.6*2.2*2.715,354000000*(1.642074^(MIN($E879,123)-117)))*1,0))</f>
        <v>4110189</v>
      </c>
      <c r="W879" s="6">
        <f>$E879+15</f>
        <v>122</v>
      </c>
      <c r="X879" s="7">
        <f>IF($J879=0,0,ROUND(MAX($J879*1.4*1.5*1.6*1.6*2.2*2.715*2.6,3540000000*(1.579646^(MIN($E879,123)-117)))*1,0))</f>
        <v>36593634</v>
      </c>
      <c r="Y879" s="4">
        <f>$E879+17</f>
        <v>124</v>
      </c>
      <c r="Z879" s="8">
        <f>IF($J879=0,0,ROUND(MAX($J879*1.4*1.5*1.6*1.6*2.2*2.715*2.6*1.4,6020000000*(1.651178^(MIN($E879,123)-117)))*1,0))</f>
        <v>39962952</v>
      </c>
      <c r="AA879" s="6">
        <f>$E879+19</f>
        <v>126</v>
      </c>
      <c r="AB879" s="7">
        <f>IF($J879=0,0,ROUND(MAX($J879*1.4*1.5*1.6*1.6*2.2*2.715*2.6*1.4*1.4,8430000000*(1.651435^(MIN($E879,123)-117)))*1,0))</f>
        <v>55874381</v>
      </c>
      <c r="AC879" s="4">
        <f>$E879+21</f>
        <v>128</v>
      </c>
      <c r="AD879" s="8">
        <f>IF($J879=0,0,ROUND(MAX($J879*1.4*1.5*1.6*1.6*2.2*2.715*2.6*1.4*1.4*1.5,12600000000*(1.652953^(MIN($E879,123)-117)))*1,0))</f>
        <v>82749522</v>
      </c>
      <c r="AE879" s="6">
        <f>$E879+24</f>
        <v>131</v>
      </c>
      <c r="AF879" s="7">
        <f>IF($J879=0,0,ROUND(MAX($J879*1.4*1.5*1.6*1.6*2.2*2.715*2.6*1.4*1.4*1.5*1.5,18900000000*(1.65331^(MIN($E879,123)-117)))*1,0))</f>
        <v>123856521</v>
      </c>
      <c r="AG879" s="4">
        <f>$E879+27</f>
        <v>134</v>
      </c>
      <c r="AH879" s="8">
        <f>IF($J879=0,0,ROUND(MAX($J879*1.4*1.5*1.6*1.6*2.2*2.715*2.6*1.4*1.4*1.5*1.5*3.2,60500000000*(1.654288^(MIN($E879,123)-117)))*1,0))</f>
        <v>394134254</v>
      </c>
    </row>
    <row r="880" ht="27.75" customHeight="1" spans="1:34" x14ac:dyDescent="0.25">
      <c r="A880" s="3">
        <v>890</v>
      </c>
      <c r="B880" s="3" t="s">
        <v>546</v>
      </c>
      <c r="C880" s="3" t="s">
        <v>670</v>
      </c>
      <c r="D880" s="3" t="s">
        <v>29</v>
      </c>
      <c r="E880" s="3">
        <v>106</v>
      </c>
      <c r="F880" s="3" t="s">
        <v>123</v>
      </c>
      <c r="G880" s="3" t="s">
        <v>671</v>
      </c>
      <c r="H880" s="3">
        <v>25</v>
      </c>
      <c r="I880" s="4">
        <v>106</v>
      </c>
      <c r="J880" s="5">
        <v>29200</v>
      </c>
      <c r="K880" s="6">
        <f>$E880+1</f>
        <v>107</v>
      </c>
      <c r="L880" s="7">
        <f>IF($J880=0,0,ROUND(MAX($J880*1.4,1620000*(1.497923^(MIN($E880,123)-117)))*1,0))</f>
        <v>40880</v>
      </c>
      <c r="M880" s="4">
        <f>$E880+2</f>
        <v>108</v>
      </c>
      <c r="N880" s="8">
        <f>IF($J880=0,0,ROUND(MAX($J880*1.4*1.5,2190000*(1.580994^(MIN($E880,123)-117)))*1,0))</f>
        <v>61320</v>
      </c>
      <c r="O880" s="6">
        <f>$E880+4</f>
        <v>110</v>
      </c>
      <c r="P880" s="7">
        <f>IF($J880=0,0,ROUND(MAX($J880*1.4*1.5*1.6,3500000*(1.57975^(MIN($E880,123)-117)))*1,0))</f>
        <v>98112</v>
      </c>
      <c r="Q880" s="4">
        <f>$E880+6</f>
        <v>112</v>
      </c>
      <c r="R880" s="8">
        <f>IF($J880=0,0,ROUND(MAX($J880*1.4*1.5*1.6*1.6,13100000*(1.429962^(MIN($E880,123)-117)))*1,0))</f>
        <v>256272</v>
      </c>
      <c r="S880" s="6">
        <f>$E880+8</f>
        <v>114</v>
      </c>
      <c r="T880" s="7">
        <f>IF($J880=0,0,ROUND(MAX($J880*1.4*1.5*1.6*1.6*2.2,42600000*(1.576904^(MIN($E880,123)-117)))*1,0))</f>
        <v>345354</v>
      </c>
      <c r="U880" s="4">
        <f>$E880+11</f>
        <v>117</v>
      </c>
      <c r="V880" s="8">
        <f>IF($J880=0,0,ROUND(MAX($J880*1.4*1.5*1.6*1.6*2.2*2.715,354000000*(1.642074^(MIN($E880,123)-117)))*1,0))</f>
        <v>1512458</v>
      </c>
      <c r="W880" s="6">
        <f>$E880+15</f>
        <v>121</v>
      </c>
      <c r="X880" s="7">
        <f>IF($J880=0,0,ROUND(MAX($J880*1.4*1.5*1.6*1.6*2.2*2.715*2.6,3540000000*(1.579646^(MIN($E880,123)-117)))*1,0))</f>
        <v>23165718</v>
      </c>
      <c r="Y880" s="4">
        <f>$E880+17</f>
        <v>123</v>
      </c>
      <c r="Z880" s="8">
        <f>IF($J880=0,0,ROUND(MAX($J880*1.4*1.5*1.6*1.6*2.2*2.715*2.6*1.4,6020000000*(1.651178^(MIN($E880,123)-117)))*1,0))</f>
        <v>24202691</v>
      </c>
      <c r="AA880" s="6">
        <f>$E880+19</f>
        <v>125</v>
      </c>
      <c r="AB880" s="7">
        <f>IF($J880=0,0,ROUND(MAX($J880*1.4*1.5*1.6*1.6*2.2*2.715*2.6*1.4*1.4,8430000000*(1.651435^(MIN($E880,123)-117)))*1,0))</f>
        <v>33833836</v>
      </c>
      <c r="AC880" s="4">
        <f>$E880+21</f>
        <v>127</v>
      </c>
      <c r="AD880" s="8">
        <f>IF($J880=0,0,ROUND(MAX($J880*1.4*1.5*1.6*1.6*2.2*2.715*2.6*1.4*1.4*1.5,12600000000*(1.652953^(MIN($E880,123)-117)))*1,0))</f>
        <v>50061630</v>
      </c>
      <c r="AE880" s="6">
        <f>$E880+24</f>
        <v>130</v>
      </c>
      <c r="AF880" s="7">
        <f>IF($J880=0,0,ROUND(MAX($J880*1.4*1.5*1.6*1.6*2.2*2.715*2.6*1.4*1.4*1.5*1.5,18900000000*(1.65331^(MIN($E880,123)-117)))*1,0))</f>
        <v>74914276</v>
      </c>
      <c r="AG880" s="4">
        <f>$E880+27</f>
        <v>133</v>
      </c>
      <c r="AH880" s="8">
        <f>IF($J880=0,0,ROUND(MAX($J880*1.4*1.5*1.6*1.6*2.2*2.715*2.6*1.4*1.4*1.5*1.5*3.2,60500000000*(1.654288^(MIN($E880,123)-117)))*1,0))</f>
        <v>238250083</v>
      </c>
    </row>
    <row r="881" ht="27.75" customHeight="1" spans="1:34" x14ac:dyDescent="0.25">
      <c r="A881" s="3">
        <v>891</v>
      </c>
      <c r="B881" s="3" t="s">
        <v>483</v>
      </c>
      <c r="C881" s="3" t="s">
        <v>670</v>
      </c>
      <c r="D881" s="3" t="s">
        <v>33</v>
      </c>
      <c r="E881" s="3">
        <v>106</v>
      </c>
      <c r="F881" s="3" t="s">
        <v>30</v>
      </c>
      <c r="G881" s="3" t="s">
        <v>671</v>
      </c>
      <c r="H881" s="3">
        <v>24</v>
      </c>
      <c r="I881" s="4">
        <v>106</v>
      </c>
      <c r="J881" s="5">
        <v>28700</v>
      </c>
      <c r="K881" s="6">
        <f>$E881+1</f>
        <v>107</v>
      </c>
      <c r="L881" s="7">
        <f>IF($J881=0,0,ROUND(MAX($J881*1.4,1620000*(1.497923^(MIN($E881,123)-117)))*1,0))</f>
        <v>40180</v>
      </c>
      <c r="M881" s="4">
        <f>$E881+2</f>
        <v>108</v>
      </c>
      <c r="N881" s="8">
        <f>IF($J881=0,0,ROUND(MAX($J881*1.4*1.5,2190000*(1.580994^(MIN($E881,123)-117)))*1,0))</f>
        <v>60270</v>
      </c>
      <c r="O881" s="6">
        <f>$E881+4</f>
        <v>110</v>
      </c>
      <c r="P881" s="7">
        <f>IF($J881=0,0,ROUND(MAX($J881*1.4*1.5*1.6,3500000*(1.57975^(MIN($E881,123)-117)))*1,0))</f>
        <v>96432</v>
      </c>
      <c r="Q881" s="4">
        <f>$E881+6</f>
        <v>112</v>
      </c>
      <c r="R881" s="8">
        <f>IF($J881=0,0,ROUND(MAX($J881*1.4*1.5*1.6*1.6,13100000*(1.429962^(MIN($E881,123)-117)))*1,0))</f>
        <v>256272</v>
      </c>
      <c r="S881" s="6">
        <f>$E881+8</f>
        <v>114</v>
      </c>
      <c r="T881" s="7">
        <f>IF($J881=0,0,ROUND(MAX($J881*1.4*1.5*1.6*1.6*2.2,42600000*(1.576904^(MIN($E881,123)-117)))*1,0))</f>
        <v>339441</v>
      </c>
      <c r="U881" s="4">
        <f>$E881+11</f>
        <v>117</v>
      </c>
      <c r="V881" s="8">
        <f>IF($J881=0,0,ROUND(MAX($J881*1.4*1.5*1.6*1.6*2.2*2.715,354000000*(1.642074^(MIN($E881,123)-117)))*1,0))</f>
        <v>1512458</v>
      </c>
      <c r="W881" s="6">
        <f>$E881+15</f>
        <v>121</v>
      </c>
      <c r="X881" s="7">
        <f>IF($J881=0,0,ROUND(MAX($J881*1.4*1.5*1.6*1.6*2.2*2.715*2.6,3540000000*(1.579646^(MIN($E881,123)-117)))*1,0))</f>
        <v>23165718</v>
      </c>
      <c r="Y881" s="4">
        <f>$E881+17</f>
        <v>123</v>
      </c>
      <c r="Z881" s="8">
        <f>IF($J881=0,0,ROUND(MAX($J881*1.4*1.5*1.6*1.6*2.2*2.715*2.6*1.4,6020000000*(1.651178^(MIN($E881,123)-117)))*1,0))</f>
        <v>24202691</v>
      </c>
      <c r="AA881" s="6">
        <f>$E881+19</f>
        <v>125</v>
      </c>
      <c r="AB881" s="7">
        <f>IF($J881=0,0,ROUND(MAX($J881*1.4*1.5*1.6*1.6*2.2*2.715*2.6*1.4*1.4,8430000000*(1.651435^(MIN($E881,123)-117)))*1,0))</f>
        <v>33833836</v>
      </c>
      <c r="AC881" s="4">
        <f>$E881+21</f>
        <v>127</v>
      </c>
      <c r="AD881" s="8">
        <f>IF($J881=0,0,ROUND(MAX($J881*1.4*1.5*1.6*1.6*2.2*2.715*2.6*1.4*1.4*1.5,12600000000*(1.652953^(MIN($E881,123)-117)))*1,0))</f>
        <v>50061630</v>
      </c>
      <c r="AE881" s="6">
        <f>$E881+24</f>
        <v>130</v>
      </c>
      <c r="AF881" s="7">
        <f>IF($J881=0,0,ROUND(MAX($J881*1.4*1.5*1.6*1.6*2.2*2.715*2.6*1.4*1.4*1.5*1.5,18900000000*(1.65331^(MIN($E881,123)-117)))*1,0))</f>
        <v>74914276</v>
      </c>
      <c r="AG881" s="4">
        <f>$E881+27</f>
        <v>133</v>
      </c>
      <c r="AH881" s="8">
        <f>IF($J881=0,0,ROUND(MAX($J881*1.4*1.5*1.6*1.6*2.2*2.715*2.6*1.4*1.4*1.5*1.5*3.2,60500000000*(1.654288^(MIN($E881,123)-117)))*1,0))</f>
        <v>238250083</v>
      </c>
    </row>
    <row r="882" ht="27.75" customHeight="1" spans="1:34" x14ac:dyDescent="0.25">
      <c r="A882" s="3">
        <v>892</v>
      </c>
      <c r="B882" s="3" t="s">
        <v>766</v>
      </c>
      <c r="C882" s="3" t="s">
        <v>670</v>
      </c>
      <c r="D882" s="3" t="s">
        <v>64</v>
      </c>
      <c r="E882" s="3">
        <v>106</v>
      </c>
      <c r="F882" s="3" t="s">
        <v>767</v>
      </c>
      <c r="G882" s="3" t="s">
        <v>671</v>
      </c>
      <c r="H882" s="3">
        <v>23</v>
      </c>
      <c r="I882" s="4">
        <v>106</v>
      </c>
      <c r="J882" s="5">
        <v>30500</v>
      </c>
      <c r="K882" s="6">
        <f>$E882+1</f>
        <v>107</v>
      </c>
      <c r="L882" s="7">
        <f>IF($J882=0,0,ROUND(MAX($J882*1.4,1620000*(1.497923^(MIN($E882,123)-117)))*1,0))</f>
        <v>42700</v>
      </c>
      <c r="M882" s="4">
        <f>$E882+2</f>
        <v>108</v>
      </c>
      <c r="N882" s="8">
        <f>IF($J882=0,0,ROUND(MAX($J882*1.4*1.5,2190000*(1.580994^(MIN($E882,123)-117)))*1,0))</f>
        <v>64050</v>
      </c>
      <c r="O882" s="6">
        <f>$E882+4</f>
        <v>110</v>
      </c>
      <c r="P882" s="7">
        <f>IF($J882=0,0,ROUND(MAX($J882*1.4*1.5*1.6,3500000*(1.57975^(MIN($E882,123)-117)))*1,0))</f>
        <v>102480</v>
      </c>
      <c r="Q882" s="4">
        <f>$E882+6</f>
        <v>112</v>
      </c>
      <c r="R882" s="8">
        <f>IF($J882=0,0,ROUND(MAX($J882*1.4*1.5*1.6*1.6,13100000*(1.429962^(MIN($E882,123)-117)))*1,0))</f>
        <v>256272</v>
      </c>
      <c r="S882" s="6">
        <f>$E882+8</f>
        <v>114</v>
      </c>
      <c r="T882" s="7">
        <f>IF($J882=0,0,ROUND(MAX($J882*1.4*1.5*1.6*1.6*2.2,42600000*(1.576904^(MIN($E882,123)-117)))*1,0))</f>
        <v>360730</v>
      </c>
      <c r="U882" s="4">
        <f>$E882+11</f>
        <v>117</v>
      </c>
      <c r="V882" s="8">
        <f>IF($J882=0,0,ROUND(MAX($J882*1.4*1.5*1.6*1.6*2.2*2.715,354000000*(1.642074^(MIN($E882,123)-117)))*1,0))</f>
        <v>1512458</v>
      </c>
      <c r="W882" s="6">
        <f>$E882+15</f>
        <v>121</v>
      </c>
      <c r="X882" s="7">
        <f>IF($J882=0,0,ROUND(MAX($J882*1.4*1.5*1.6*1.6*2.2*2.715*2.6,3540000000*(1.579646^(MIN($E882,123)-117)))*1,0))</f>
        <v>23165718</v>
      </c>
      <c r="Y882" s="4">
        <f>$E882+17</f>
        <v>123</v>
      </c>
      <c r="Z882" s="8">
        <f>IF($J882=0,0,ROUND(MAX($J882*1.4*1.5*1.6*1.6*2.2*2.715*2.6*1.4,6020000000*(1.651178^(MIN($E882,123)-117)))*1,0))</f>
        <v>24202691</v>
      </c>
      <c r="AA882" s="6">
        <f>$E882+19</f>
        <v>125</v>
      </c>
      <c r="AB882" s="7">
        <f>IF($J882=0,0,ROUND(MAX($J882*1.4*1.5*1.6*1.6*2.2*2.715*2.6*1.4*1.4,8430000000*(1.651435^(MIN($E882,123)-117)))*1,0))</f>
        <v>33833836</v>
      </c>
      <c r="AC882" s="4">
        <f>$E882+21</f>
        <v>127</v>
      </c>
      <c r="AD882" s="8">
        <f>IF($J882=0,0,ROUND(MAX($J882*1.4*1.5*1.6*1.6*2.2*2.715*2.6*1.4*1.4*1.5,12600000000*(1.652953^(MIN($E882,123)-117)))*1,0))</f>
        <v>50061630</v>
      </c>
      <c r="AE882" s="6">
        <f>$E882+24</f>
        <v>130</v>
      </c>
      <c r="AF882" s="7">
        <f>IF($J882=0,0,ROUND(MAX($J882*1.4*1.5*1.6*1.6*2.2*2.715*2.6*1.4*1.4*1.5*1.5,18900000000*(1.65331^(MIN($E882,123)-117)))*1,0))</f>
        <v>74914276</v>
      </c>
      <c r="AG882" s="4">
        <f>$E882+27</f>
        <v>133</v>
      </c>
      <c r="AH882" s="8">
        <f>IF($J882=0,0,ROUND(MAX($J882*1.4*1.5*1.6*1.6*2.2*2.715*2.6*1.4*1.4*1.5*1.5*3.2,60500000000*(1.654288^(MIN($E882,123)-117)))*1,0))</f>
        <v>238250083</v>
      </c>
    </row>
    <row r="883" ht="27.75" customHeight="1" spans="1:34" x14ac:dyDescent="0.25">
      <c r="A883" s="3">
        <v>893</v>
      </c>
      <c r="B883" s="3" t="s">
        <v>251</v>
      </c>
      <c r="C883" s="3" t="s">
        <v>768</v>
      </c>
      <c r="D883" s="3" t="s">
        <v>79</v>
      </c>
      <c r="E883" s="3">
        <v>117</v>
      </c>
      <c r="F883" s="3" t="s">
        <v>59</v>
      </c>
      <c r="G883" s="3" t="s">
        <v>252</v>
      </c>
      <c r="H883" s="3">
        <v>31</v>
      </c>
      <c r="I883" s="4">
        <v>117</v>
      </c>
      <c r="J883" s="5">
        <v>2130000</v>
      </c>
      <c r="K883" s="6">
        <f>$E883+1</f>
        <v>118</v>
      </c>
      <c r="L883" s="7">
        <f>IF($J883=0,0,ROUND(MAX($J883*1.4,1620000*(1.497923^(MIN($E883,123)-117)))*1,0))</f>
        <v>2982000</v>
      </c>
      <c r="M883" s="4">
        <f>$E883+2</f>
        <v>119</v>
      </c>
      <c r="N883" s="8">
        <f>IF($J883=0,0,ROUND(MAX($J883*1.4*1.5,2190000*(1.580994^(MIN($E883,123)-117)))*1,0))</f>
        <v>4473000</v>
      </c>
      <c r="O883" s="6">
        <f>$E883+4</f>
        <v>121</v>
      </c>
      <c r="P883" s="7">
        <f>IF($J883=0,0,ROUND(MAX($J883*1.4*1.5*1.6,3500000*(1.57975^(MIN($E883,123)-117)))*1,0))</f>
        <v>7156800</v>
      </c>
      <c r="Q883" s="4">
        <f>$E883+6</f>
        <v>123</v>
      </c>
      <c r="R883" s="8">
        <f>IF($J883=0,0,ROUND(MAX($J883*1.4*1.5*1.6*1.6,13100000*(1.429962^(MIN($E883,123)-117)))*1,0))</f>
        <v>13100000</v>
      </c>
      <c r="S883" s="6">
        <f>$E883+8</f>
        <v>125</v>
      </c>
      <c r="T883" s="7">
        <f>IF($J883=0,0,ROUND(MAX($J883*1.4*1.5*1.6*1.6*2.2,42600000*(1.576904^(MIN($E883,123)-117)))*1,0))</f>
        <v>42600000</v>
      </c>
      <c r="U883" s="4">
        <f>$E883+11</f>
        <v>128</v>
      </c>
      <c r="V883" s="8">
        <f>IF($J883=0,0,ROUND(MAX($J883*1.4*1.5*1.6*1.6*2.2*2.715,354000000*(1.642074^(MIN($E883,123)-117)))*1,0))</f>
        <v>354000000</v>
      </c>
      <c r="W883" s="6">
        <f>$E883+15</f>
        <v>132</v>
      </c>
      <c r="X883" s="7">
        <f>IF($J883=0,0,ROUND(MAX($J883*1.4*1.5*1.6*1.6*2.2*2.715*2.6,3540000000*(1.579646^(MIN($E883,123)-117)))*1,0))</f>
        <v>3540000000</v>
      </c>
      <c r="Y883" s="4">
        <f>$E883+17</f>
        <v>134</v>
      </c>
      <c r="Z883" s="8">
        <f>IF($J883=0,0,ROUND(MAX($J883*1.4*1.5*1.6*1.6*2.2*2.715*2.6*1.4,6020000000*(1.651178^(MIN($E883,123)-117)))*1,0))</f>
        <v>6020000000</v>
      </c>
      <c r="AA883" s="6">
        <f>$E883+19</f>
        <v>136</v>
      </c>
      <c r="AB883" s="7">
        <f>IF($J883=0,0,ROUND(MAX($J883*1.4*1.5*1.6*1.6*2.2*2.715*2.6*1.4*1.4,8430000000*(1.651435^(MIN($E883,123)-117)))*1,0))</f>
        <v>8430000000</v>
      </c>
      <c r="AC883" s="4">
        <f>$E883+21</f>
        <v>138</v>
      </c>
      <c r="AD883" s="8">
        <f>IF($J883=0,0,ROUND(MAX($J883*1.4*1.5*1.6*1.6*2.2*2.715*2.6*1.4*1.4*1.5,12600000000*(1.652953^(MIN($E883,123)-117)))*1,0))</f>
        <v>12600000000</v>
      </c>
      <c r="AE883" s="6">
        <f>$E883+24</f>
        <v>141</v>
      </c>
      <c r="AF883" s="7">
        <f>IF($J883=0,0,ROUND(MAX($J883*1.4*1.5*1.6*1.6*2.2*2.715*2.6*1.4*1.4*1.5*1.5,18900000000*(1.65331^(MIN($E883,123)-117)))*1,0))</f>
        <v>18900000000</v>
      </c>
      <c r="AG883" s="4">
        <f>$E883+27</f>
        <v>144</v>
      </c>
      <c r="AH883" s="8">
        <f>IF($J883=0,0,ROUND(MAX($J883*1.4*1.5*1.6*1.6*2.2*2.715*2.6*1.4*1.4*1.5*1.5*3.2,60500000000*(1.654288^(MIN($E883,123)-117)))*1,0))</f>
        <v>60500000000</v>
      </c>
    </row>
    <row r="884" ht="27.75" customHeight="1" spans="1:34" x14ac:dyDescent="0.25">
      <c r="A884" s="3">
        <v>894</v>
      </c>
      <c r="B884" s="3" t="s">
        <v>269</v>
      </c>
      <c r="C884" s="3" t="s">
        <v>768</v>
      </c>
      <c r="D884" s="3" t="s">
        <v>64</v>
      </c>
      <c r="E884" s="3">
        <v>117</v>
      </c>
      <c r="F884" s="3" t="s">
        <v>26</v>
      </c>
      <c r="G884" s="3" t="s">
        <v>270</v>
      </c>
      <c r="H884" s="3">
        <v>30</v>
      </c>
      <c r="I884" s="4">
        <v>117</v>
      </c>
      <c r="J884" s="5">
        <v>1100000</v>
      </c>
      <c r="K884" s="6">
        <f>$E884+1</f>
        <v>118</v>
      </c>
      <c r="L884" s="7">
        <f>IF($J884=0,0,ROUND(MAX($J884*1.4,1620000*(1.497923^(MIN($E884,123)-117)))*1,0))</f>
        <v>1620000</v>
      </c>
      <c r="M884" s="4">
        <f>$E884+2</f>
        <v>119</v>
      </c>
      <c r="N884" s="8">
        <f>IF($J884=0,0,ROUND(MAX($J884*1.4*1.5,2190000*(1.580994^(MIN($E884,123)-117)))*1,0))</f>
        <v>2310000</v>
      </c>
      <c r="O884" s="6">
        <f>$E884+4</f>
        <v>121</v>
      </c>
      <c r="P884" s="7">
        <f>IF($J884=0,0,ROUND(MAX($J884*1.4*1.5*1.6,3500000*(1.57975^(MIN($E884,123)-117)))*1,0))</f>
        <v>3696000</v>
      </c>
      <c r="Q884" s="4">
        <f>$E884+6</f>
        <v>123</v>
      </c>
      <c r="R884" s="8">
        <f>IF($J884=0,0,ROUND(MAX($J884*1.4*1.5*1.6*1.6,13100000*(1.429962^(MIN($E884,123)-117)))*1,0))</f>
        <v>13100000</v>
      </c>
      <c r="S884" s="6">
        <f>$E884+8</f>
        <v>125</v>
      </c>
      <c r="T884" s="7">
        <f>IF($J884=0,0,ROUND(MAX($J884*1.4*1.5*1.6*1.6*2.2,42600000*(1.576904^(MIN($E884,123)-117)))*1,0))</f>
        <v>42600000</v>
      </c>
      <c r="U884" s="4">
        <f>$E884+11</f>
        <v>128</v>
      </c>
      <c r="V884" s="8">
        <f>IF($J884=0,0,ROUND(MAX($J884*1.4*1.5*1.6*1.6*2.2*2.715,354000000*(1.642074^(MIN($E884,123)-117)))*1,0))</f>
        <v>354000000</v>
      </c>
      <c r="W884" s="6">
        <f>$E884+15</f>
        <v>132</v>
      </c>
      <c r="X884" s="7">
        <f>IF($J884=0,0,ROUND(MAX($J884*1.4*1.5*1.6*1.6*2.2*2.715*2.6,3540000000*(1.579646^(MIN($E884,123)-117)))*1,0))</f>
        <v>3540000000</v>
      </c>
      <c r="Y884" s="4">
        <f>$E884+17</f>
        <v>134</v>
      </c>
      <c r="Z884" s="8">
        <f>IF($J884=0,0,ROUND(MAX($J884*1.4*1.5*1.6*1.6*2.2*2.715*2.6*1.4,6020000000*(1.651178^(MIN($E884,123)-117)))*1,0))</f>
        <v>6020000000</v>
      </c>
      <c r="AA884" s="6">
        <f>$E884+19</f>
        <v>136</v>
      </c>
      <c r="AB884" s="7">
        <f>IF($J884=0,0,ROUND(MAX($J884*1.4*1.5*1.6*1.6*2.2*2.715*2.6*1.4*1.4,8430000000*(1.651435^(MIN($E884,123)-117)))*1,0))</f>
        <v>8430000000</v>
      </c>
      <c r="AC884" s="4">
        <f>$E884+21</f>
        <v>138</v>
      </c>
      <c r="AD884" s="8">
        <f>IF($J884=0,0,ROUND(MAX($J884*1.4*1.5*1.6*1.6*2.2*2.715*2.6*1.4*1.4*1.5,12600000000*(1.652953^(MIN($E884,123)-117)))*1,0))</f>
        <v>12600000000</v>
      </c>
      <c r="AE884" s="6">
        <f>$E884+24</f>
        <v>141</v>
      </c>
      <c r="AF884" s="7">
        <f>IF($J884=0,0,ROUND(MAX($J884*1.4*1.5*1.6*1.6*2.2*2.715*2.6*1.4*1.4*1.5*1.5,18900000000*(1.65331^(MIN($E884,123)-117)))*1,0))</f>
        <v>18900000000</v>
      </c>
      <c r="AG884" s="4">
        <f>$E884+27</f>
        <v>144</v>
      </c>
      <c r="AH884" s="8">
        <f>IF($J884=0,0,ROUND(MAX($J884*1.4*1.5*1.6*1.6*2.2*2.715*2.6*1.4*1.4*1.5*1.5*3.2,60500000000*(1.654288^(MIN($E884,123)-117)))*1,0))</f>
        <v>60500000000</v>
      </c>
    </row>
    <row r="885" ht="27.75" customHeight="1" spans="1:34" x14ac:dyDescent="0.25">
      <c r="A885" s="3">
        <v>895</v>
      </c>
      <c r="B885" s="3" t="s">
        <v>39</v>
      </c>
      <c r="C885" s="3" t="s">
        <v>768</v>
      </c>
      <c r="D885" s="3" t="s">
        <v>40</v>
      </c>
      <c r="E885" s="3">
        <v>116</v>
      </c>
      <c r="F885" s="3" t="s">
        <v>34</v>
      </c>
      <c r="G885" s="3" t="s">
        <v>769</v>
      </c>
      <c r="H885" s="3">
        <v>30</v>
      </c>
      <c r="I885" s="4">
        <v>116</v>
      </c>
      <c r="J885" s="5">
        <v>651000</v>
      </c>
      <c r="K885" s="6">
        <f>$E885+1</f>
        <v>117</v>
      </c>
      <c r="L885" s="7">
        <f>IF($J885=0,0,ROUND(MAX($J885*1.4,1620000*(1.497923^(MIN($E885,123)-117)))*1,0))</f>
        <v>1081498</v>
      </c>
      <c r="M885" s="4">
        <f>$E885+2</f>
        <v>118</v>
      </c>
      <c r="N885" s="8">
        <f>IF($J885=0,0,ROUND(MAX($J885*1.4*1.5,2190000*(1.580994^(MIN($E885,123)-117)))*1,0))</f>
        <v>1385204</v>
      </c>
      <c r="O885" s="6">
        <f>$E885+4</f>
        <v>120</v>
      </c>
      <c r="P885" s="7">
        <f>IF($J885=0,0,ROUND(MAX($J885*1.4*1.5*1.6,3500000*(1.57975^(MIN($E885,123)-117)))*1,0))</f>
        <v>2215540</v>
      </c>
      <c r="Q885" s="4">
        <f>$E885+6</f>
        <v>122</v>
      </c>
      <c r="R885" s="8">
        <f>IF($J885=0,0,ROUND(MAX($J885*1.4*1.5*1.6*1.6,13100000*(1.429962^(MIN($E885,123)-117)))*1,0))</f>
        <v>9161083</v>
      </c>
      <c r="S885" s="6">
        <f>$E885+8</f>
        <v>124</v>
      </c>
      <c r="T885" s="7">
        <f>IF($J885=0,0,ROUND(MAX($J885*1.4*1.5*1.6*1.6*2.2,42600000*(1.576904^(MIN($E885,123)-117)))*1,0))</f>
        <v>27014961</v>
      </c>
      <c r="U885" s="4">
        <f>$E885+11</f>
        <v>127</v>
      </c>
      <c r="V885" s="8">
        <f>IF($J885=0,0,ROUND(MAX($J885*1.4*1.5*1.6*1.6*2.2*2.715,354000000*(1.642074^(MIN($E885,123)-117)))*1,0))</f>
        <v>215581027</v>
      </c>
      <c r="W885" s="6">
        <f>$E885+15</f>
        <v>131</v>
      </c>
      <c r="X885" s="7">
        <f>IF($J885=0,0,ROUND(MAX($J885*1.4*1.5*1.6*1.6*2.2*2.715*2.6,3540000000*(1.579646^(MIN($E885,123)-117)))*1,0))</f>
        <v>2241008428</v>
      </c>
      <c r="Y885" s="4">
        <f>$E885+17</f>
        <v>133</v>
      </c>
      <c r="Z885" s="8">
        <f>IF($J885=0,0,ROUND(MAX($J885*1.4*1.5*1.6*1.6*2.2*2.715*2.6*1.4,6020000000*(1.651178^(MIN($E885,123)-117)))*1,0))</f>
        <v>3645881910</v>
      </c>
      <c r="AA885" s="6">
        <f>$E885+19</f>
        <v>135</v>
      </c>
      <c r="AB885" s="7">
        <f>IF($J885=0,0,ROUND(MAX($J885*1.4*1.5*1.6*1.6*2.2*2.715*2.6*1.4*1.4,8430000000*(1.651435^(MIN($E885,123)-117)))*1,0))</f>
        <v>5104651409</v>
      </c>
      <c r="AC885" s="4">
        <f>$E885+21</f>
        <v>137</v>
      </c>
      <c r="AD885" s="8">
        <f>IF($J885=0,0,ROUND(MAX($J885*1.4*1.5*1.6*1.6*2.2*2.715*2.6*1.4*1.4*1.5,12600000000*(1.652953^(MIN($E885,123)-117)))*1,0))</f>
        <v>7622721275</v>
      </c>
      <c r="AE885" s="6">
        <f>$E885+24</f>
        <v>140</v>
      </c>
      <c r="AF885" s="7">
        <f>IF($J885=0,0,ROUND(MAX($J885*1.4*1.5*1.6*1.6*2.2*2.715*2.6*1.4*1.4*1.5*1.5,18900000000*(1.65331^(MIN($E885,123)-117)))*1,0))</f>
        <v>11431612946</v>
      </c>
      <c r="AG885" s="4">
        <f>$E885+27</f>
        <v>143</v>
      </c>
      <c r="AH885" s="8">
        <f>IF($J885=0,0,ROUND(MAX($J885*1.4*1.5*1.6*1.6*2.2*2.715*2.6*1.4*1.4*1.5*1.5*3.2,60500000000*(1.654288^(MIN($E885,123)-117)))*1,0))</f>
        <v>36571624772</v>
      </c>
    </row>
    <row r="886" ht="27.75" customHeight="1" spans="1:34" x14ac:dyDescent="0.25">
      <c r="A886" s="3">
        <v>896</v>
      </c>
      <c r="B886" s="3" t="s">
        <v>41</v>
      </c>
      <c r="C886" s="3" t="s">
        <v>768</v>
      </c>
      <c r="D886" s="3" t="s">
        <v>29</v>
      </c>
      <c r="E886" s="3">
        <v>116</v>
      </c>
      <c r="F886" s="3" t="s">
        <v>42</v>
      </c>
      <c r="G886" s="3" t="s">
        <v>769</v>
      </c>
      <c r="H886" s="3">
        <v>30</v>
      </c>
      <c r="I886" s="4">
        <v>116</v>
      </c>
      <c r="J886" s="5">
        <v>613000</v>
      </c>
      <c r="K886" s="6">
        <f>$E886+1</f>
        <v>117</v>
      </c>
      <c r="L886" s="7">
        <f>IF($J886=0,0,ROUND(MAX($J886*1.4,1620000*(1.497923^(MIN($E886,123)-117)))*1,0))</f>
        <v>1081498</v>
      </c>
      <c r="M886" s="4">
        <f>$E886+2</f>
        <v>118</v>
      </c>
      <c r="N886" s="8">
        <f>IF($J886=0,0,ROUND(MAX($J886*1.4*1.5,2190000*(1.580994^(MIN($E886,123)-117)))*1,0))</f>
        <v>1385204</v>
      </c>
      <c r="O886" s="6">
        <f>$E886+4</f>
        <v>120</v>
      </c>
      <c r="P886" s="7">
        <f>IF($J886=0,0,ROUND(MAX($J886*1.4*1.5*1.6,3500000*(1.57975^(MIN($E886,123)-117)))*1,0))</f>
        <v>2215540</v>
      </c>
      <c r="Q886" s="4">
        <f>$E886+6</f>
        <v>122</v>
      </c>
      <c r="R886" s="8">
        <f>IF($J886=0,0,ROUND(MAX($J886*1.4*1.5*1.6*1.6,13100000*(1.429962^(MIN($E886,123)-117)))*1,0))</f>
        <v>9161083</v>
      </c>
      <c r="S886" s="6">
        <f>$E886+8</f>
        <v>124</v>
      </c>
      <c r="T886" s="7">
        <f>IF($J886=0,0,ROUND(MAX($J886*1.4*1.5*1.6*1.6*2.2,42600000*(1.576904^(MIN($E886,123)-117)))*1,0))</f>
        <v>27014961</v>
      </c>
      <c r="U886" s="4">
        <f>$E886+11</f>
        <v>127</v>
      </c>
      <c r="V886" s="8">
        <f>IF($J886=0,0,ROUND(MAX($J886*1.4*1.5*1.6*1.6*2.2*2.715,354000000*(1.642074^(MIN($E886,123)-117)))*1,0))</f>
        <v>215581027</v>
      </c>
      <c r="W886" s="6">
        <f>$E886+15</f>
        <v>131</v>
      </c>
      <c r="X886" s="7">
        <f>IF($J886=0,0,ROUND(MAX($J886*1.4*1.5*1.6*1.6*2.2*2.715*2.6,3540000000*(1.579646^(MIN($E886,123)-117)))*1,0))</f>
        <v>2241008428</v>
      </c>
      <c r="Y886" s="4">
        <f>$E886+17</f>
        <v>133</v>
      </c>
      <c r="Z886" s="8">
        <f>IF($J886=0,0,ROUND(MAX($J886*1.4*1.5*1.6*1.6*2.2*2.715*2.6*1.4,6020000000*(1.651178^(MIN($E886,123)-117)))*1,0))</f>
        <v>3645881910</v>
      </c>
      <c r="AA886" s="6">
        <f>$E886+19</f>
        <v>135</v>
      </c>
      <c r="AB886" s="7">
        <f>IF($J886=0,0,ROUND(MAX($J886*1.4*1.5*1.6*1.6*2.2*2.715*2.6*1.4*1.4,8430000000*(1.651435^(MIN($E886,123)-117)))*1,0))</f>
        <v>5104651409</v>
      </c>
      <c r="AC886" s="4">
        <f>$E886+21</f>
        <v>137</v>
      </c>
      <c r="AD886" s="8">
        <f>IF($J886=0,0,ROUND(MAX($J886*1.4*1.5*1.6*1.6*2.2*2.715*2.6*1.4*1.4*1.5,12600000000*(1.652953^(MIN($E886,123)-117)))*1,0))</f>
        <v>7622721275</v>
      </c>
      <c r="AE886" s="6">
        <f>$E886+24</f>
        <v>140</v>
      </c>
      <c r="AF886" s="7">
        <f>IF($J886=0,0,ROUND(MAX($J886*1.4*1.5*1.6*1.6*2.2*2.715*2.6*1.4*1.4*1.5*1.5,18900000000*(1.65331^(MIN($E886,123)-117)))*1,0))</f>
        <v>11431612946</v>
      </c>
      <c r="AG886" s="4">
        <f>$E886+27</f>
        <v>143</v>
      </c>
      <c r="AH886" s="8">
        <f>IF($J886=0,0,ROUND(MAX($J886*1.4*1.5*1.6*1.6*2.2*2.715*2.6*1.4*1.4*1.5*1.5*3.2,60500000000*(1.654288^(MIN($E886,123)-117)))*1,0))</f>
        <v>36571624772</v>
      </c>
    </row>
    <row r="887" ht="27.75" customHeight="1" spans="1:34" x14ac:dyDescent="0.25">
      <c r="A887" s="3">
        <v>897</v>
      </c>
      <c r="B887" s="3" t="s">
        <v>541</v>
      </c>
      <c r="C887" s="3" t="s">
        <v>768</v>
      </c>
      <c r="D887" s="3" t="s">
        <v>40</v>
      </c>
      <c r="E887" s="3">
        <v>116</v>
      </c>
      <c r="F887" s="3" t="s">
        <v>54</v>
      </c>
      <c r="G887" s="3" t="s">
        <v>472</v>
      </c>
      <c r="H887" s="3">
        <v>30</v>
      </c>
      <c r="I887" s="4">
        <v>116</v>
      </c>
      <c r="J887" s="5">
        <v>751000</v>
      </c>
      <c r="K887" s="6">
        <f>$E887+1</f>
        <v>117</v>
      </c>
      <c r="L887" s="7">
        <f>IF($J887=0,0,ROUND(MAX($J887*1.4,1620000*(1.497923^(MIN($E887,123)-117)))*1,0))</f>
        <v>1081498</v>
      </c>
      <c r="M887" s="4">
        <f>$E887+2</f>
        <v>118</v>
      </c>
      <c r="N887" s="8">
        <f>IF($J887=0,0,ROUND(MAX($J887*1.4*1.5,2190000*(1.580994^(MIN($E887,123)-117)))*1,0))</f>
        <v>1577100</v>
      </c>
      <c r="O887" s="6">
        <f>$E887+4</f>
        <v>120</v>
      </c>
      <c r="P887" s="7">
        <f>IF($J887=0,0,ROUND(MAX($J887*1.4*1.5*1.6,3500000*(1.57975^(MIN($E887,123)-117)))*1,0))</f>
        <v>2523360</v>
      </c>
      <c r="Q887" s="4">
        <f>$E887+6</f>
        <v>122</v>
      </c>
      <c r="R887" s="8">
        <f>IF($J887=0,0,ROUND(MAX($J887*1.4*1.5*1.6*1.6,13100000*(1.429962^(MIN($E887,123)-117)))*1,0))</f>
        <v>9161083</v>
      </c>
      <c r="S887" s="6">
        <f>$E887+8</f>
        <v>124</v>
      </c>
      <c r="T887" s="7">
        <f>IF($J887=0,0,ROUND(MAX($J887*1.4*1.5*1.6*1.6*2.2,42600000*(1.576904^(MIN($E887,123)-117)))*1,0))</f>
        <v>27014961</v>
      </c>
      <c r="U887" s="4">
        <f>$E887+11</f>
        <v>127</v>
      </c>
      <c r="V887" s="8">
        <f>IF($J887=0,0,ROUND(MAX($J887*1.4*1.5*1.6*1.6*2.2*2.715,354000000*(1.642074^(MIN($E887,123)-117)))*1,0))</f>
        <v>215581027</v>
      </c>
      <c r="W887" s="6">
        <f>$E887+15</f>
        <v>131</v>
      </c>
      <c r="X887" s="7">
        <f>IF($J887=0,0,ROUND(MAX($J887*1.4*1.5*1.6*1.6*2.2*2.715*2.6,3540000000*(1.579646^(MIN($E887,123)-117)))*1,0))</f>
        <v>2241008428</v>
      </c>
      <c r="Y887" s="4">
        <f>$E887+17</f>
        <v>133</v>
      </c>
      <c r="Z887" s="8">
        <f>IF($J887=0,0,ROUND(MAX($J887*1.4*1.5*1.6*1.6*2.2*2.715*2.6*1.4,6020000000*(1.651178^(MIN($E887,123)-117)))*1,0))</f>
        <v>3645881910</v>
      </c>
      <c r="AA887" s="6">
        <f>$E887+19</f>
        <v>135</v>
      </c>
      <c r="AB887" s="7">
        <f>IF($J887=0,0,ROUND(MAX($J887*1.4*1.5*1.6*1.6*2.2*2.715*2.6*1.4*1.4,8430000000*(1.651435^(MIN($E887,123)-117)))*1,0))</f>
        <v>5104651409</v>
      </c>
      <c r="AC887" s="4">
        <f>$E887+21</f>
        <v>137</v>
      </c>
      <c r="AD887" s="8">
        <f>IF($J887=0,0,ROUND(MAX($J887*1.4*1.5*1.6*1.6*2.2*2.715*2.6*1.4*1.4*1.5,12600000000*(1.652953^(MIN($E887,123)-117)))*1,0))</f>
        <v>7622721275</v>
      </c>
      <c r="AE887" s="6">
        <f>$E887+24</f>
        <v>140</v>
      </c>
      <c r="AF887" s="7">
        <f>IF($J887=0,0,ROUND(MAX($J887*1.4*1.5*1.6*1.6*2.2*2.715*2.6*1.4*1.4*1.5*1.5,18900000000*(1.65331^(MIN($E887,123)-117)))*1,0))</f>
        <v>11431612946</v>
      </c>
      <c r="AG887" s="4">
        <f>$E887+27</f>
        <v>143</v>
      </c>
      <c r="AH887" s="8">
        <f>IF($J887=0,0,ROUND(MAX($J887*1.4*1.5*1.6*1.6*2.2*2.715*2.6*1.4*1.4*1.5*1.5*3.2,60500000000*(1.654288^(MIN($E887,123)-117)))*1,0))</f>
        <v>36571624772</v>
      </c>
    </row>
    <row r="888" ht="27.75" customHeight="1" spans="1:34" x14ac:dyDescent="0.25">
      <c r="A888" s="3">
        <v>898</v>
      </c>
      <c r="B888" s="3" t="s">
        <v>53</v>
      </c>
      <c r="C888" s="3" t="s">
        <v>768</v>
      </c>
      <c r="D888" s="3" t="s">
        <v>25</v>
      </c>
      <c r="E888" s="3">
        <v>116</v>
      </c>
      <c r="F888" s="3" t="s">
        <v>54</v>
      </c>
      <c r="G888" s="3" t="s">
        <v>769</v>
      </c>
      <c r="H888" s="3">
        <v>30</v>
      </c>
      <c r="I888" s="4">
        <v>116</v>
      </c>
      <c r="J888" s="5">
        <v>1340000</v>
      </c>
      <c r="K888" s="6">
        <f>$E888+1</f>
        <v>117</v>
      </c>
      <c r="L888" s="7">
        <f>IF($J888=0,0,ROUND(MAX($J888*1.4,1620000*(1.497923^(MIN($E888,123)-117)))*1,0))</f>
        <v>1876000</v>
      </c>
      <c r="M888" s="4">
        <f>$E888+2</f>
        <v>118</v>
      </c>
      <c r="N888" s="8">
        <f>IF($J888=0,0,ROUND(MAX($J888*1.4*1.5,2190000*(1.580994^(MIN($E888,123)-117)))*1,0))</f>
        <v>2814000</v>
      </c>
      <c r="O888" s="6">
        <f>$E888+4</f>
        <v>120</v>
      </c>
      <c r="P888" s="7">
        <f>IF($J888=0,0,ROUND(MAX($J888*1.4*1.5*1.6,3500000*(1.57975^(MIN($E888,123)-117)))*1,0))</f>
        <v>4502400</v>
      </c>
      <c r="Q888" s="4">
        <f>$E888+6</f>
        <v>122</v>
      </c>
      <c r="R888" s="8">
        <f>IF($J888=0,0,ROUND(MAX($J888*1.4*1.5*1.6*1.6,13100000*(1.429962^(MIN($E888,123)-117)))*1,0))</f>
        <v>9161083</v>
      </c>
      <c r="S888" s="6">
        <f>$E888+8</f>
        <v>124</v>
      </c>
      <c r="T888" s="7">
        <f>IF($J888=0,0,ROUND(MAX($J888*1.4*1.5*1.6*1.6*2.2,42600000*(1.576904^(MIN($E888,123)-117)))*1,0))</f>
        <v>27014961</v>
      </c>
      <c r="U888" s="4">
        <f>$E888+11</f>
        <v>127</v>
      </c>
      <c r="V888" s="8">
        <f>IF($J888=0,0,ROUND(MAX($J888*1.4*1.5*1.6*1.6*2.2*2.715,354000000*(1.642074^(MIN($E888,123)-117)))*1,0))</f>
        <v>215581027</v>
      </c>
      <c r="W888" s="6">
        <f>$E888+15</f>
        <v>131</v>
      </c>
      <c r="X888" s="7">
        <f>IF($J888=0,0,ROUND(MAX($J888*1.4*1.5*1.6*1.6*2.2*2.715*2.6,3540000000*(1.579646^(MIN($E888,123)-117)))*1,0))</f>
        <v>2241008428</v>
      </c>
      <c r="Y888" s="4">
        <f>$E888+17</f>
        <v>133</v>
      </c>
      <c r="Z888" s="8">
        <f>IF($J888=0,0,ROUND(MAX($J888*1.4*1.5*1.6*1.6*2.2*2.715*2.6*1.4,6020000000*(1.651178^(MIN($E888,123)-117)))*1,0))</f>
        <v>3645881910</v>
      </c>
      <c r="AA888" s="6">
        <f>$E888+19</f>
        <v>135</v>
      </c>
      <c r="AB888" s="7">
        <f>IF($J888=0,0,ROUND(MAX($J888*1.4*1.5*1.6*1.6*2.2*2.715*2.6*1.4*1.4,8430000000*(1.651435^(MIN($E888,123)-117)))*1,0))</f>
        <v>5104651409</v>
      </c>
      <c r="AC888" s="4">
        <f>$E888+21</f>
        <v>137</v>
      </c>
      <c r="AD888" s="8">
        <f>IF($J888=0,0,ROUND(MAX($J888*1.4*1.5*1.6*1.6*2.2*2.715*2.6*1.4*1.4*1.5,12600000000*(1.652953^(MIN($E888,123)-117)))*1,0))</f>
        <v>7622721275</v>
      </c>
      <c r="AE888" s="6">
        <f>$E888+24</f>
        <v>140</v>
      </c>
      <c r="AF888" s="7">
        <f>IF($J888=0,0,ROUND(MAX($J888*1.4*1.5*1.6*1.6*2.2*2.715*2.6*1.4*1.4*1.5*1.5,18900000000*(1.65331^(MIN($E888,123)-117)))*1,0))</f>
        <v>11431612946</v>
      </c>
      <c r="AG888" s="4">
        <f>$E888+27</f>
        <v>143</v>
      </c>
      <c r="AH888" s="8">
        <f>IF($J888=0,0,ROUND(MAX($J888*1.4*1.5*1.6*1.6*2.2*2.715*2.6*1.4*1.4*1.5*1.5*3.2,60500000000*(1.654288^(MIN($E888,123)-117)))*1,0))</f>
        <v>36571624772</v>
      </c>
    </row>
    <row r="889" ht="27.75" customHeight="1" spans="1:34" x14ac:dyDescent="0.25">
      <c r="A889" s="3">
        <v>899</v>
      </c>
      <c r="B889" s="3" t="s">
        <v>50</v>
      </c>
      <c r="C889" s="3" t="s">
        <v>768</v>
      </c>
      <c r="D889" s="3" t="s">
        <v>40</v>
      </c>
      <c r="E889" s="3">
        <v>116</v>
      </c>
      <c r="F889" s="3" t="s">
        <v>42</v>
      </c>
      <c r="G889" s="3" t="s">
        <v>769</v>
      </c>
      <c r="H889" s="3">
        <v>29</v>
      </c>
      <c r="I889" s="4">
        <v>116</v>
      </c>
      <c r="J889" s="5">
        <v>699000</v>
      </c>
      <c r="K889" s="6">
        <f>$E889+1</f>
        <v>117</v>
      </c>
      <c r="L889" s="7">
        <f>IF($J889=0,0,ROUND(MAX($J889*1.4,1620000*(1.497923^(MIN($E889,123)-117)))*1,0))</f>
        <v>1081498</v>
      </c>
      <c r="M889" s="4">
        <f>$E889+2</f>
        <v>118</v>
      </c>
      <c r="N889" s="8">
        <f>IF($J889=0,0,ROUND(MAX($J889*1.4*1.5,2190000*(1.580994^(MIN($E889,123)-117)))*1,0))</f>
        <v>1467900</v>
      </c>
      <c r="O889" s="6">
        <f>$E889+4</f>
        <v>120</v>
      </c>
      <c r="P889" s="7">
        <f>IF($J889=0,0,ROUND(MAX($J889*1.4*1.5*1.6,3500000*(1.57975^(MIN($E889,123)-117)))*1,0))</f>
        <v>2348640</v>
      </c>
      <c r="Q889" s="4">
        <f>$E889+6</f>
        <v>122</v>
      </c>
      <c r="R889" s="8">
        <f>IF($J889=0,0,ROUND(MAX($J889*1.4*1.5*1.6*1.6,13100000*(1.429962^(MIN($E889,123)-117)))*1,0))</f>
        <v>9161083</v>
      </c>
      <c r="S889" s="6">
        <f>$E889+8</f>
        <v>124</v>
      </c>
      <c r="T889" s="7">
        <f>IF($J889=0,0,ROUND(MAX($J889*1.4*1.5*1.6*1.6*2.2,42600000*(1.576904^(MIN($E889,123)-117)))*1,0))</f>
        <v>27014961</v>
      </c>
      <c r="U889" s="4">
        <f>$E889+11</f>
        <v>127</v>
      </c>
      <c r="V889" s="8">
        <f>IF($J889=0,0,ROUND(MAX($J889*1.4*1.5*1.6*1.6*2.2*2.715,354000000*(1.642074^(MIN($E889,123)-117)))*1,0))</f>
        <v>215581027</v>
      </c>
      <c r="W889" s="6">
        <f>$E889+15</f>
        <v>131</v>
      </c>
      <c r="X889" s="7">
        <f>IF($J889=0,0,ROUND(MAX($J889*1.4*1.5*1.6*1.6*2.2*2.715*2.6,3540000000*(1.579646^(MIN($E889,123)-117)))*1,0))</f>
        <v>2241008428</v>
      </c>
      <c r="Y889" s="4">
        <f>$E889+17</f>
        <v>133</v>
      </c>
      <c r="Z889" s="8">
        <f>IF($J889=0,0,ROUND(MAX($J889*1.4*1.5*1.6*1.6*2.2*2.715*2.6*1.4,6020000000*(1.651178^(MIN($E889,123)-117)))*1,0))</f>
        <v>3645881910</v>
      </c>
      <c r="AA889" s="6">
        <f>$E889+19</f>
        <v>135</v>
      </c>
      <c r="AB889" s="7">
        <f>IF($J889=0,0,ROUND(MAX($J889*1.4*1.5*1.6*1.6*2.2*2.715*2.6*1.4*1.4,8430000000*(1.651435^(MIN($E889,123)-117)))*1,0))</f>
        <v>5104651409</v>
      </c>
      <c r="AC889" s="4">
        <f>$E889+21</f>
        <v>137</v>
      </c>
      <c r="AD889" s="8">
        <f>IF($J889=0,0,ROUND(MAX($J889*1.4*1.5*1.6*1.6*2.2*2.715*2.6*1.4*1.4*1.5,12600000000*(1.652953^(MIN($E889,123)-117)))*1,0))</f>
        <v>7622721275</v>
      </c>
      <c r="AE889" s="6">
        <f>$E889+24</f>
        <v>140</v>
      </c>
      <c r="AF889" s="7">
        <f>IF($J889=0,0,ROUND(MAX($J889*1.4*1.5*1.6*1.6*2.2*2.715*2.6*1.4*1.4*1.5*1.5,18900000000*(1.65331^(MIN($E889,123)-117)))*1,0))</f>
        <v>11431612946</v>
      </c>
      <c r="AG889" s="4">
        <f>$E889+27</f>
        <v>143</v>
      </c>
      <c r="AH889" s="8">
        <f>IF($J889=0,0,ROUND(MAX($J889*1.4*1.5*1.6*1.6*2.2*2.715*2.6*1.4*1.4*1.5*1.5*3.2,60500000000*(1.654288^(MIN($E889,123)-117)))*1,0))</f>
        <v>36571624772</v>
      </c>
    </row>
    <row r="890" ht="27.75" customHeight="1" spans="1:34" x14ac:dyDescent="0.25">
      <c r="A890" s="3">
        <v>900</v>
      </c>
      <c r="B890" s="3" t="s">
        <v>489</v>
      </c>
      <c r="C890" s="3" t="s">
        <v>768</v>
      </c>
      <c r="D890" s="3" t="s">
        <v>79</v>
      </c>
      <c r="E890" s="3">
        <v>116</v>
      </c>
      <c r="F890" s="3" t="s">
        <v>30</v>
      </c>
      <c r="G890" s="3" t="s">
        <v>31</v>
      </c>
      <c r="H890" s="3">
        <v>29</v>
      </c>
      <c r="I890" s="4">
        <v>116</v>
      </c>
      <c r="J890" s="5">
        <v>1570000</v>
      </c>
      <c r="K890" s="6">
        <f>$E890+1</f>
        <v>117</v>
      </c>
      <c r="L890" s="7">
        <f>IF($J890=0,0,ROUND(MAX($J890*1.4,1620000*(1.497923^(MIN($E890,123)-117)))*1,0))</f>
        <v>2198000</v>
      </c>
      <c r="M890" s="4">
        <f>$E890+2</f>
        <v>118</v>
      </c>
      <c r="N890" s="8">
        <f>IF($J890=0,0,ROUND(MAX($J890*1.4*1.5,2190000*(1.580994^(MIN($E890,123)-117)))*1,0))</f>
        <v>3297000</v>
      </c>
      <c r="O890" s="6">
        <f>$E890+4</f>
        <v>120</v>
      </c>
      <c r="P890" s="7">
        <f>IF($J890=0,0,ROUND(MAX($J890*1.4*1.5*1.6,3500000*(1.57975^(MIN($E890,123)-117)))*1,0))</f>
        <v>5275200</v>
      </c>
      <c r="Q890" s="4">
        <f>$E890+6</f>
        <v>122</v>
      </c>
      <c r="R890" s="8">
        <f>IF($J890=0,0,ROUND(MAX($J890*1.4*1.5*1.6*1.6,13100000*(1.429962^(MIN($E890,123)-117)))*1,0))</f>
        <v>9161083</v>
      </c>
      <c r="S890" s="6">
        <f>$E890+8</f>
        <v>124</v>
      </c>
      <c r="T890" s="7">
        <f>IF($J890=0,0,ROUND(MAX($J890*1.4*1.5*1.6*1.6*2.2,42600000*(1.576904^(MIN($E890,123)-117)))*1,0))</f>
        <v>27014961</v>
      </c>
      <c r="U890" s="4">
        <f>$E890+11</f>
        <v>127</v>
      </c>
      <c r="V890" s="8">
        <f>IF($J890=0,0,ROUND(MAX($J890*1.4*1.5*1.6*1.6*2.2*2.715,354000000*(1.642074^(MIN($E890,123)-117)))*1,0))</f>
        <v>215581027</v>
      </c>
      <c r="W890" s="6">
        <f>$E890+15</f>
        <v>131</v>
      </c>
      <c r="X890" s="7">
        <f>IF($J890=0,0,ROUND(MAX($J890*1.4*1.5*1.6*1.6*2.2*2.715*2.6,3540000000*(1.579646^(MIN($E890,123)-117)))*1,0))</f>
        <v>2241008428</v>
      </c>
      <c r="Y890" s="4">
        <f>$E890+17</f>
        <v>133</v>
      </c>
      <c r="Z890" s="8">
        <f>IF($J890=0,0,ROUND(MAX($J890*1.4*1.5*1.6*1.6*2.2*2.715*2.6*1.4,6020000000*(1.651178^(MIN($E890,123)-117)))*1,0))</f>
        <v>3645881910</v>
      </c>
      <c r="AA890" s="6">
        <f>$E890+19</f>
        <v>135</v>
      </c>
      <c r="AB890" s="7">
        <f>IF($J890=0,0,ROUND(MAX($J890*1.4*1.5*1.6*1.6*2.2*2.715*2.6*1.4*1.4,8430000000*(1.651435^(MIN($E890,123)-117)))*1,0))</f>
        <v>5104651409</v>
      </c>
      <c r="AC890" s="4">
        <f>$E890+21</f>
        <v>137</v>
      </c>
      <c r="AD890" s="8">
        <f>IF($J890=0,0,ROUND(MAX($J890*1.4*1.5*1.6*1.6*2.2*2.715*2.6*1.4*1.4*1.5,12600000000*(1.652953^(MIN($E890,123)-117)))*1,0))</f>
        <v>7622721275</v>
      </c>
      <c r="AE890" s="6">
        <f>$E890+24</f>
        <v>140</v>
      </c>
      <c r="AF890" s="7">
        <f>IF($J890=0,0,ROUND(MAX($J890*1.4*1.5*1.6*1.6*2.2*2.715*2.6*1.4*1.4*1.5*1.5,18900000000*(1.65331^(MIN($E890,123)-117)))*1,0))</f>
        <v>11431612946</v>
      </c>
      <c r="AG890" s="4">
        <f>$E890+27</f>
        <v>143</v>
      </c>
      <c r="AH890" s="8">
        <f>IF($J890=0,0,ROUND(MAX($J890*1.4*1.5*1.6*1.6*2.2*2.715*2.6*1.4*1.4*1.5*1.5*3.2,60500000000*(1.654288^(MIN($E890,123)-117)))*1,0))</f>
        <v>36571624772</v>
      </c>
    </row>
    <row r="891" ht="27.75" customHeight="1" spans="1:34" x14ac:dyDescent="0.25">
      <c r="A891" s="3">
        <v>901</v>
      </c>
      <c r="B891" s="3" t="s">
        <v>694</v>
      </c>
      <c r="C891" s="3" t="s">
        <v>768</v>
      </c>
      <c r="D891" s="3" t="s">
        <v>102</v>
      </c>
      <c r="E891" s="3">
        <v>116</v>
      </c>
      <c r="F891" s="3" t="s">
        <v>71</v>
      </c>
      <c r="G891" s="3" t="s">
        <v>270</v>
      </c>
      <c r="H891" s="3">
        <v>29</v>
      </c>
      <c r="I891" s="4">
        <v>116</v>
      </c>
      <c r="J891" s="5">
        <v>525000</v>
      </c>
      <c r="K891" s="6">
        <f>$E891+1</f>
        <v>117</v>
      </c>
      <c r="L891" s="7">
        <f>IF($J891=0,0,ROUND(MAX($J891*1.4,1620000*(1.497923^(MIN($E891,123)-117)))*1,0))</f>
        <v>1081498</v>
      </c>
      <c r="M891" s="4">
        <f>$E891+2</f>
        <v>118</v>
      </c>
      <c r="N891" s="8">
        <f>IF($J891=0,0,ROUND(MAX($J891*1.4*1.5,2190000*(1.580994^(MIN($E891,123)-117)))*1,0))</f>
        <v>1385204</v>
      </c>
      <c r="O891" s="6">
        <f>$E891+4</f>
        <v>120</v>
      </c>
      <c r="P891" s="7">
        <f>IF($J891=0,0,ROUND(MAX($J891*1.4*1.5*1.6,3500000*(1.57975^(MIN($E891,123)-117)))*1,0))</f>
        <v>2215540</v>
      </c>
      <c r="Q891" s="4">
        <f>$E891+6</f>
        <v>122</v>
      </c>
      <c r="R891" s="8">
        <f>IF($J891=0,0,ROUND(MAX($J891*1.4*1.5*1.6*1.6,13100000*(1.429962^(MIN($E891,123)-117)))*1,0))</f>
        <v>9161083</v>
      </c>
      <c r="S891" s="6">
        <f>$E891+8</f>
        <v>124</v>
      </c>
      <c r="T891" s="7">
        <f>IF($J891=0,0,ROUND(MAX($J891*1.4*1.5*1.6*1.6*2.2,42600000*(1.576904^(MIN($E891,123)-117)))*1,0))</f>
        <v>27014961</v>
      </c>
      <c r="U891" s="4">
        <f>$E891+11</f>
        <v>127</v>
      </c>
      <c r="V891" s="8">
        <f>IF($J891=0,0,ROUND(MAX($J891*1.4*1.5*1.6*1.6*2.2*2.715,354000000*(1.642074^(MIN($E891,123)-117)))*1,0))</f>
        <v>215581027</v>
      </c>
      <c r="W891" s="6">
        <f>$E891+15</f>
        <v>131</v>
      </c>
      <c r="X891" s="7">
        <f>IF($J891=0,0,ROUND(MAX($J891*1.4*1.5*1.6*1.6*2.2*2.715*2.6,3540000000*(1.579646^(MIN($E891,123)-117)))*1,0))</f>
        <v>2241008428</v>
      </c>
      <c r="Y891" s="4">
        <f>$E891+17</f>
        <v>133</v>
      </c>
      <c r="Z891" s="8">
        <f>IF($J891=0,0,ROUND(MAX($J891*1.4*1.5*1.6*1.6*2.2*2.715*2.6*1.4,6020000000*(1.651178^(MIN($E891,123)-117)))*1,0))</f>
        <v>3645881910</v>
      </c>
      <c r="AA891" s="6">
        <f>$E891+19</f>
        <v>135</v>
      </c>
      <c r="AB891" s="7">
        <f>IF($J891=0,0,ROUND(MAX($J891*1.4*1.5*1.6*1.6*2.2*2.715*2.6*1.4*1.4,8430000000*(1.651435^(MIN($E891,123)-117)))*1,0))</f>
        <v>5104651409</v>
      </c>
      <c r="AC891" s="4">
        <f>$E891+21</f>
        <v>137</v>
      </c>
      <c r="AD891" s="8">
        <f>IF($J891=0,0,ROUND(MAX($J891*1.4*1.5*1.6*1.6*2.2*2.715*2.6*1.4*1.4*1.5,12600000000*(1.652953^(MIN($E891,123)-117)))*1,0))</f>
        <v>7622721275</v>
      </c>
      <c r="AE891" s="6">
        <f>$E891+24</f>
        <v>140</v>
      </c>
      <c r="AF891" s="7">
        <f>IF($J891=0,0,ROUND(MAX($J891*1.4*1.5*1.6*1.6*2.2*2.715*2.6*1.4*1.4*1.5*1.5,18900000000*(1.65331^(MIN($E891,123)-117)))*1,0))</f>
        <v>11431612946</v>
      </c>
      <c r="AG891" s="4">
        <f>$E891+27</f>
        <v>143</v>
      </c>
      <c r="AH891" s="8">
        <f>IF($J891=0,0,ROUND(MAX($J891*1.4*1.5*1.6*1.6*2.2*2.715*2.6*1.4*1.4*1.5*1.5*3.2,60500000000*(1.654288^(MIN($E891,123)-117)))*1,0))</f>
        <v>36571624772</v>
      </c>
    </row>
    <row r="892" ht="27.75" customHeight="1" spans="1:34" x14ac:dyDescent="0.25">
      <c r="A892" s="3">
        <v>902</v>
      </c>
      <c r="B892" s="3" t="s">
        <v>639</v>
      </c>
      <c r="C892" s="3" t="s">
        <v>768</v>
      </c>
      <c r="D892" s="3" t="s">
        <v>40</v>
      </c>
      <c r="E892" s="3">
        <v>116</v>
      </c>
      <c r="F892" s="3" t="s">
        <v>353</v>
      </c>
      <c r="G892" s="3" t="s">
        <v>72</v>
      </c>
      <c r="H892" s="3">
        <v>29</v>
      </c>
      <c r="I892" s="4">
        <v>116</v>
      </c>
      <c r="J892" s="5">
        <v>715000</v>
      </c>
      <c r="K892" s="6">
        <f>$E892+1</f>
        <v>117</v>
      </c>
      <c r="L892" s="7">
        <f>IF($J892=0,0,ROUND(MAX($J892*1.4,1620000*(1.497923^(MIN($E892,123)-117)))*1,0))</f>
        <v>1081498</v>
      </c>
      <c r="M892" s="4">
        <f>$E892+2</f>
        <v>118</v>
      </c>
      <c r="N892" s="8">
        <f>IF($J892=0,0,ROUND(MAX($J892*1.4*1.5,2190000*(1.580994^(MIN($E892,123)-117)))*1,0))</f>
        <v>1501500</v>
      </c>
      <c r="O892" s="6">
        <f>$E892+4</f>
        <v>120</v>
      </c>
      <c r="P892" s="7">
        <f>IF($J892=0,0,ROUND(MAX($J892*1.4*1.5*1.6,3500000*(1.57975^(MIN($E892,123)-117)))*1,0))</f>
        <v>2402400</v>
      </c>
      <c r="Q892" s="4">
        <f>$E892+6</f>
        <v>122</v>
      </c>
      <c r="R892" s="8">
        <f>IF($J892=0,0,ROUND(MAX($J892*1.4*1.5*1.6*1.6,13100000*(1.429962^(MIN($E892,123)-117)))*1,0))</f>
        <v>9161083</v>
      </c>
      <c r="S892" s="6">
        <f>$E892+8</f>
        <v>124</v>
      </c>
      <c r="T892" s="7">
        <f>IF($J892=0,0,ROUND(MAX($J892*1.4*1.5*1.6*1.6*2.2,42600000*(1.576904^(MIN($E892,123)-117)))*1,0))</f>
        <v>27014961</v>
      </c>
      <c r="U892" s="4">
        <f>$E892+11</f>
        <v>127</v>
      </c>
      <c r="V892" s="8">
        <f>IF($J892=0,0,ROUND(MAX($J892*1.4*1.5*1.6*1.6*2.2*2.715,354000000*(1.642074^(MIN($E892,123)-117)))*1,0))</f>
        <v>215581027</v>
      </c>
      <c r="W892" s="6">
        <f>$E892+15</f>
        <v>131</v>
      </c>
      <c r="X892" s="7">
        <f>IF($J892=0,0,ROUND(MAX($J892*1.4*1.5*1.6*1.6*2.2*2.715*2.6,3540000000*(1.579646^(MIN($E892,123)-117)))*1,0))</f>
        <v>2241008428</v>
      </c>
      <c r="Y892" s="4">
        <f>$E892+17</f>
        <v>133</v>
      </c>
      <c r="Z892" s="8">
        <f>IF($J892=0,0,ROUND(MAX($J892*1.4*1.5*1.6*1.6*2.2*2.715*2.6*1.4,6020000000*(1.651178^(MIN($E892,123)-117)))*1,0))</f>
        <v>3645881910</v>
      </c>
      <c r="AA892" s="6">
        <f>$E892+19</f>
        <v>135</v>
      </c>
      <c r="AB892" s="7">
        <f>IF($J892=0,0,ROUND(MAX($J892*1.4*1.5*1.6*1.6*2.2*2.715*2.6*1.4*1.4,8430000000*(1.651435^(MIN($E892,123)-117)))*1,0))</f>
        <v>5104651409</v>
      </c>
      <c r="AC892" s="4">
        <f>$E892+21</f>
        <v>137</v>
      </c>
      <c r="AD892" s="8">
        <f>IF($J892=0,0,ROUND(MAX($J892*1.4*1.5*1.6*1.6*2.2*2.715*2.6*1.4*1.4*1.5,12600000000*(1.652953^(MIN($E892,123)-117)))*1,0))</f>
        <v>7622721275</v>
      </c>
      <c r="AE892" s="6">
        <f>$E892+24</f>
        <v>140</v>
      </c>
      <c r="AF892" s="7">
        <f>IF($J892=0,0,ROUND(MAX($J892*1.4*1.5*1.6*1.6*2.2*2.715*2.6*1.4*1.4*1.5*1.5,18900000000*(1.65331^(MIN($E892,123)-117)))*1,0))</f>
        <v>11431612946</v>
      </c>
      <c r="AG892" s="4">
        <f>$E892+27</f>
        <v>143</v>
      </c>
      <c r="AH892" s="8">
        <f>IF($J892=0,0,ROUND(MAX($J892*1.4*1.5*1.6*1.6*2.2*2.715*2.6*1.4*1.4*1.5*1.5*3.2,60500000000*(1.654288^(MIN($E892,123)-117)))*1,0))</f>
        <v>36571624772</v>
      </c>
    </row>
    <row r="893" ht="27.75" customHeight="1" spans="1:34" x14ac:dyDescent="0.25">
      <c r="A893" s="3">
        <v>903</v>
      </c>
      <c r="B893" s="3" t="s">
        <v>245</v>
      </c>
      <c r="C893" s="3" t="s">
        <v>768</v>
      </c>
      <c r="D893" s="3" t="s">
        <v>45</v>
      </c>
      <c r="E893" s="3">
        <v>116</v>
      </c>
      <c r="F893" s="3" t="s">
        <v>212</v>
      </c>
      <c r="G893" s="3" t="s">
        <v>51</v>
      </c>
      <c r="H893" s="3">
        <v>29</v>
      </c>
      <c r="I893" s="4">
        <v>116</v>
      </c>
      <c r="J893" s="5">
        <v>636000</v>
      </c>
      <c r="K893" s="6">
        <f>$E893+1</f>
        <v>117</v>
      </c>
      <c r="L893" s="7">
        <f>IF($J893=0,0,ROUND(MAX($J893*1.4,1620000*(1.497923^(MIN($E893,123)-117)))*1,0))</f>
        <v>1081498</v>
      </c>
      <c r="M893" s="4">
        <f>$E893+2</f>
        <v>118</v>
      </c>
      <c r="N893" s="8">
        <f>IF($J893=0,0,ROUND(MAX($J893*1.4*1.5,2190000*(1.580994^(MIN($E893,123)-117)))*1,0))</f>
        <v>1385204</v>
      </c>
      <c r="O893" s="6">
        <f>$E893+4</f>
        <v>120</v>
      </c>
      <c r="P893" s="7">
        <f>IF($J893=0,0,ROUND(MAX($J893*1.4*1.5*1.6,3500000*(1.57975^(MIN($E893,123)-117)))*1,0))</f>
        <v>2215540</v>
      </c>
      <c r="Q893" s="4">
        <f>$E893+6</f>
        <v>122</v>
      </c>
      <c r="R893" s="8">
        <f>IF($J893=0,0,ROUND(MAX($J893*1.4*1.5*1.6*1.6,13100000*(1.429962^(MIN($E893,123)-117)))*1,0))</f>
        <v>9161083</v>
      </c>
      <c r="S893" s="6">
        <f>$E893+8</f>
        <v>124</v>
      </c>
      <c r="T893" s="7">
        <f>IF($J893=0,0,ROUND(MAX($J893*1.4*1.5*1.6*1.6*2.2,42600000*(1.576904^(MIN($E893,123)-117)))*1,0))</f>
        <v>27014961</v>
      </c>
      <c r="U893" s="4">
        <f>$E893+11</f>
        <v>127</v>
      </c>
      <c r="V893" s="8">
        <f>IF($J893=0,0,ROUND(MAX($J893*1.4*1.5*1.6*1.6*2.2*2.715,354000000*(1.642074^(MIN($E893,123)-117)))*1,0))</f>
        <v>215581027</v>
      </c>
      <c r="W893" s="6">
        <f>$E893+15</f>
        <v>131</v>
      </c>
      <c r="X893" s="7">
        <f>IF($J893=0,0,ROUND(MAX($J893*1.4*1.5*1.6*1.6*2.2*2.715*2.6,3540000000*(1.579646^(MIN($E893,123)-117)))*1,0))</f>
        <v>2241008428</v>
      </c>
      <c r="Y893" s="4">
        <f>$E893+17</f>
        <v>133</v>
      </c>
      <c r="Z893" s="8">
        <f>IF($J893=0,0,ROUND(MAX($J893*1.4*1.5*1.6*1.6*2.2*2.715*2.6*1.4,6020000000*(1.651178^(MIN($E893,123)-117)))*1,0))</f>
        <v>3645881910</v>
      </c>
      <c r="AA893" s="6">
        <f>$E893+19</f>
        <v>135</v>
      </c>
      <c r="AB893" s="7">
        <f>IF($J893=0,0,ROUND(MAX($J893*1.4*1.5*1.6*1.6*2.2*2.715*2.6*1.4*1.4,8430000000*(1.651435^(MIN($E893,123)-117)))*1,0))</f>
        <v>5104651409</v>
      </c>
      <c r="AC893" s="4">
        <f>$E893+21</f>
        <v>137</v>
      </c>
      <c r="AD893" s="8">
        <f>IF($J893=0,0,ROUND(MAX($J893*1.4*1.5*1.6*1.6*2.2*2.715*2.6*1.4*1.4*1.5,12600000000*(1.652953^(MIN($E893,123)-117)))*1,0))</f>
        <v>7622721275</v>
      </c>
      <c r="AE893" s="6">
        <f>$E893+24</f>
        <v>140</v>
      </c>
      <c r="AF893" s="7">
        <f>IF($J893=0,0,ROUND(MAX($J893*1.4*1.5*1.6*1.6*2.2*2.715*2.6*1.4*1.4*1.5*1.5,18900000000*(1.65331^(MIN($E893,123)-117)))*1,0))</f>
        <v>11431612946</v>
      </c>
      <c r="AG893" s="4">
        <f>$E893+27</f>
        <v>143</v>
      </c>
      <c r="AH893" s="8">
        <f>IF($J893=0,0,ROUND(MAX($J893*1.4*1.5*1.6*1.6*2.2*2.715*2.6*1.4*1.4*1.5*1.5*3.2,60500000000*(1.654288^(MIN($E893,123)-117)))*1,0))</f>
        <v>36571624772</v>
      </c>
    </row>
    <row r="894" ht="27.75" customHeight="1" spans="1:34" x14ac:dyDescent="0.25">
      <c r="A894" s="3">
        <v>904</v>
      </c>
      <c r="B894" s="3" t="s">
        <v>109</v>
      </c>
      <c r="C894" s="3" t="s">
        <v>768</v>
      </c>
      <c r="D894" s="3" t="s">
        <v>25</v>
      </c>
      <c r="E894" s="3">
        <v>116</v>
      </c>
      <c r="F894" s="3" t="s">
        <v>30</v>
      </c>
      <c r="G894" s="3" t="s">
        <v>769</v>
      </c>
      <c r="H894" s="3">
        <v>29</v>
      </c>
      <c r="I894" s="4">
        <v>116</v>
      </c>
      <c r="J894" s="5">
        <v>4600000</v>
      </c>
      <c r="K894" s="6">
        <f>$E894+1</f>
        <v>117</v>
      </c>
      <c r="L894" s="7">
        <f>IF($J894=0,0,ROUND(MAX($J894*1.4,1620000*(1.497923^(MIN($E894,123)-117)))*1,0))</f>
        <v>6440000</v>
      </c>
      <c r="M894" s="4">
        <f>$E894+2</f>
        <v>118</v>
      </c>
      <c r="N894" s="8">
        <f>IF($J894=0,0,ROUND(MAX($J894*1.4*1.5,2190000*(1.580994^(MIN($E894,123)-117)))*1,0))</f>
        <v>9660000</v>
      </c>
      <c r="O894" s="6">
        <f>$E894+4</f>
        <v>120</v>
      </c>
      <c r="P894" s="7">
        <f>IF($J894=0,0,ROUND(MAX($J894*1.4*1.5*1.6,3500000*(1.57975^(MIN($E894,123)-117)))*1,0))</f>
        <v>15456000</v>
      </c>
      <c r="Q894" s="4">
        <f>$E894+6</f>
        <v>122</v>
      </c>
      <c r="R894" s="8">
        <f>IF($J894=0,0,ROUND(MAX($J894*1.4*1.5*1.6*1.6,13100000*(1.429962^(MIN($E894,123)-117)))*1,0))</f>
        <v>24729600</v>
      </c>
      <c r="S894" s="6">
        <f>$E894+8</f>
        <v>124</v>
      </c>
      <c r="T894" s="7">
        <f>IF($J894=0,0,ROUND(MAX($J894*1.4*1.5*1.6*1.6*2.2,42600000*(1.576904^(MIN($E894,123)-117)))*1,0))</f>
        <v>54405120</v>
      </c>
      <c r="U894" s="4">
        <f>$E894+11</f>
        <v>127</v>
      </c>
      <c r="V894" s="8">
        <f>IF($J894=0,0,ROUND(MAX($J894*1.4*1.5*1.6*1.6*2.2*2.715,354000000*(1.642074^(MIN($E894,123)-117)))*1,0))</f>
        <v>215581027</v>
      </c>
      <c r="W894" s="6">
        <f>$E894+15</f>
        <v>131</v>
      </c>
      <c r="X894" s="7">
        <f>IF($J894=0,0,ROUND(MAX($J894*1.4*1.5*1.6*1.6*2.2*2.715*2.6,3540000000*(1.579646^(MIN($E894,123)-117)))*1,0))</f>
        <v>2241008428</v>
      </c>
      <c r="Y894" s="4">
        <f>$E894+17</f>
        <v>133</v>
      </c>
      <c r="Z894" s="8">
        <f>IF($J894=0,0,ROUND(MAX($J894*1.4*1.5*1.6*1.6*2.2*2.715*2.6*1.4,6020000000*(1.651178^(MIN($E894,123)-117)))*1,0))</f>
        <v>3645881910</v>
      </c>
      <c r="AA894" s="6">
        <f>$E894+19</f>
        <v>135</v>
      </c>
      <c r="AB894" s="7">
        <f>IF($J894=0,0,ROUND(MAX($J894*1.4*1.5*1.6*1.6*2.2*2.715*2.6*1.4*1.4,8430000000*(1.651435^(MIN($E894,123)-117)))*1,0))</f>
        <v>5104651409</v>
      </c>
      <c r="AC894" s="4">
        <f>$E894+21</f>
        <v>137</v>
      </c>
      <c r="AD894" s="8">
        <f>IF($J894=0,0,ROUND(MAX($J894*1.4*1.5*1.6*1.6*2.2*2.715*2.6*1.4*1.4*1.5,12600000000*(1.652953^(MIN($E894,123)-117)))*1,0))</f>
        <v>7622721275</v>
      </c>
      <c r="AE894" s="6">
        <f>$E894+24</f>
        <v>140</v>
      </c>
      <c r="AF894" s="7">
        <f>IF($J894=0,0,ROUND(MAX($J894*1.4*1.5*1.6*1.6*2.2*2.715*2.6*1.4*1.4*1.5*1.5,18900000000*(1.65331^(MIN($E894,123)-117)))*1,0))</f>
        <v>11431612946</v>
      </c>
      <c r="AG894" s="4">
        <f>$E894+27</f>
        <v>143</v>
      </c>
      <c r="AH894" s="8">
        <f>IF($J894=0,0,ROUND(MAX($J894*1.4*1.5*1.6*1.6*2.2*2.715*2.6*1.4*1.4*1.5*1.5*3.2,60500000000*(1.654288^(MIN($E894,123)-117)))*1,0))</f>
        <v>36571624772</v>
      </c>
    </row>
    <row r="895" ht="27.75" customHeight="1" spans="1:34" x14ac:dyDescent="0.25">
      <c r="A895" s="3">
        <v>905</v>
      </c>
      <c r="B895" s="3" t="s">
        <v>152</v>
      </c>
      <c r="C895" s="3" t="s">
        <v>768</v>
      </c>
      <c r="D895" s="3" t="s">
        <v>29</v>
      </c>
      <c r="E895" s="3">
        <v>116</v>
      </c>
      <c r="F895" s="3" t="s">
        <v>71</v>
      </c>
      <c r="G895" s="3" t="s">
        <v>769</v>
      </c>
      <c r="H895" s="3">
        <v>29</v>
      </c>
      <c r="I895" s="4">
        <v>116</v>
      </c>
      <c r="J895" s="5">
        <v>729000</v>
      </c>
      <c r="K895" s="6">
        <f>$E895+1</f>
        <v>117</v>
      </c>
      <c r="L895" s="7">
        <f>IF($J895=0,0,ROUND(MAX($J895*1.4,1620000*(1.497923^(MIN($E895,123)-117)))*1,0))</f>
        <v>1081498</v>
      </c>
      <c r="M895" s="4">
        <f>$E895+2</f>
        <v>118</v>
      </c>
      <c r="N895" s="8">
        <f>IF($J895=0,0,ROUND(MAX($J895*1.4*1.5,2190000*(1.580994^(MIN($E895,123)-117)))*1,0))</f>
        <v>1530900</v>
      </c>
      <c r="O895" s="6">
        <f>$E895+4</f>
        <v>120</v>
      </c>
      <c r="P895" s="7">
        <f>IF($J895=0,0,ROUND(MAX($J895*1.4*1.5*1.6,3500000*(1.57975^(MIN($E895,123)-117)))*1,0))</f>
        <v>2449440</v>
      </c>
      <c r="Q895" s="4">
        <f>$E895+6</f>
        <v>122</v>
      </c>
      <c r="R895" s="8">
        <f>IF($J895=0,0,ROUND(MAX($J895*1.4*1.5*1.6*1.6,13100000*(1.429962^(MIN($E895,123)-117)))*1,0))</f>
        <v>9161083</v>
      </c>
      <c r="S895" s="6">
        <f>$E895+8</f>
        <v>124</v>
      </c>
      <c r="T895" s="7">
        <f>IF($J895=0,0,ROUND(MAX($J895*1.4*1.5*1.6*1.6*2.2,42600000*(1.576904^(MIN($E895,123)-117)))*1,0))</f>
        <v>27014961</v>
      </c>
      <c r="U895" s="4">
        <f>$E895+11</f>
        <v>127</v>
      </c>
      <c r="V895" s="8">
        <f>IF($J895=0,0,ROUND(MAX($J895*1.4*1.5*1.6*1.6*2.2*2.715,354000000*(1.642074^(MIN($E895,123)-117)))*1,0))</f>
        <v>215581027</v>
      </c>
      <c r="W895" s="6">
        <f>$E895+15</f>
        <v>131</v>
      </c>
      <c r="X895" s="7">
        <f>IF($J895=0,0,ROUND(MAX($J895*1.4*1.5*1.6*1.6*2.2*2.715*2.6,3540000000*(1.579646^(MIN($E895,123)-117)))*1,0))</f>
        <v>2241008428</v>
      </c>
      <c r="Y895" s="4">
        <f>$E895+17</f>
        <v>133</v>
      </c>
      <c r="Z895" s="8">
        <f>IF($J895=0,0,ROUND(MAX($J895*1.4*1.5*1.6*1.6*2.2*2.715*2.6*1.4,6020000000*(1.651178^(MIN($E895,123)-117)))*1,0))</f>
        <v>3645881910</v>
      </c>
      <c r="AA895" s="6">
        <f>$E895+19</f>
        <v>135</v>
      </c>
      <c r="AB895" s="7">
        <f>IF($J895=0,0,ROUND(MAX($J895*1.4*1.5*1.6*1.6*2.2*2.715*2.6*1.4*1.4,8430000000*(1.651435^(MIN($E895,123)-117)))*1,0))</f>
        <v>5104651409</v>
      </c>
      <c r="AC895" s="4">
        <f>$E895+21</f>
        <v>137</v>
      </c>
      <c r="AD895" s="8">
        <f>IF($J895=0,0,ROUND(MAX($J895*1.4*1.5*1.6*1.6*2.2*2.715*2.6*1.4*1.4*1.5,12600000000*(1.652953^(MIN($E895,123)-117)))*1,0))</f>
        <v>7622721275</v>
      </c>
      <c r="AE895" s="6">
        <f>$E895+24</f>
        <v>140</v>
      </c>
      <c r="AF895" s="7">
        <f>IF($J895=0,0,ROUND(MAX($J895*1.4*1.5*1.6*1.6*2.2*2.715*2.6*1.4*1.4*1.5*1.5,18900000000*(1.65331^(MIN($E895,123)-117)))*1,0))</f>
        <v>11431612946</v>
      </c>
      <c r="AG895" s="4">
        <f>$E895+27</f>
        <v>143</v>
      </c>
      <c r="AH895" s="8">
        <f>IF($J895=0,0,ROUND(MAX($J895*1.4*1.5*1.6*1.6*2.2*2.715*2.6*1.4*1.4*1.5*1.5*3.2,60500000000*(1.654288^(MIN($E895,123)-117)))*1,0))</f>
        <v>36571624772</v>
      </c>
    </row>
    <row r="896" ht="27.75" customHeight="1" spans="1:34" x14ac:dyDescent="0.25">
      <c r="A896" s="3">
        <v>906</v>
      </c>
      <c r="B896" s="3" t="s">
        <v>78</v>
      </c>
      <c r="C896" s="3" t="s">
        <v>768</v>
      </c>
      <c r="D896" s="3" t="s">
        <v>79</v>
      </c>
      <c r="E896" s="3">
        <v>116</v>
      </c>
      <c r="F896" s="3" t="s">
        <v>30</v>
      </c>
      <c r="G896" s="3" t="s">
        <v>769</v>
      </c>
      <c r="H896" s="3">
        <v>29</v>
      </c>
      <c r="I896" s="4">
        <v>116</v>
      </c>
      <c r="J896" s="5">
        <v>1920000</v>
      </c>
      <c r="K896" s="6">
        <f>$E896+1</f>
        <v>117</v>
      </c>
      <c r="L896" s="7">
        <f>IF($J896=0,0,ROUND(MAX($J896*1.4,1620000*(1.497923^(MIN($E896,123)-117)))*1,0))</f>
        <v>2688000</v>
      </c>
      <c r="M896" s="4">
        <f>$E896+2</f>
        <v>118</v>
      </c>
      <c r="N896" s="8">
        <f>IF($J896=0,0,ROUND(MAX($J896*1.4*1.5,2190000*(1.580994^(MIN($E896,123)-117)))*1,0))</f>
        <v>4032000</v>
      </c>
      <c r="O896" s="6">
        <f>$E896+4</f>
        <v>120</v>
      </c>
      <c r="P896" s="7">
        <f>IF($J896=0,0,ROUND(MAX($J896*1.4*1.5*1.6,3500000*(1.57975^(MIN($E896,123)-117)))*1,0))</f>
        <v>6451200</v>
      </c>
      <c r="Q896" s="4">
        <f>$E896+6</f>
        <v>122</v>
      </c>
      <c r="R896" s="8">
        <f>IF($J896=0,0,ROUND(MAX($J896*1.4*1.5*1.6*1.6,13100000*(1.429962^(MIN($E896,123)-117)))*1,0))</f>
        <v>10321920</v>
      </c>
      <c r="S896" s="6">
        <f>$E896+8</f>
        <v>124</v>
      </c>
      <c r="T896" s="7">
        <f>IF($J896=0,0,ROUND(MAX($J896*1.4*1.5*1.6*1.6*2.2,42600000*(1.576904^(MIN($E896,123)-117)))*1,0))</f>
        <v>27014961</v>
      </c>
      <c r="U896" s="4">
        <f>$E896+11</f>
        <v>127</v>
      </c>
      <c r="V896" s="8">
        <f>IF($J896=0,0,ROUND(MAX($J896*1.4*1.5*1.6*1.6*2.2*2.715,354000000*(1.642074^(MIN($E896,123)-117)))*1,0))</f>
        <v>215581027</v>
      </c>
      <c r="W896" s="6">
        <f>$E896+15</f>
        <v>131</v>
      </c>
      <c r="X896" s="7">
        <f>IF($J896=0,0,ROUND(MAX($J896*1.4*1.5*1.6*1.6*2.2*2.715*2.6,3540000000*(1.579646^(MIN($E896,123)-117)))*1,0))</f>
        <v>2241008428</v>
      </c>
      <c r="Y896" s="4">
        <f>$E896+17</f>
        <v>133</v>
      </c>
      <c r="Z896" s="8">
        <f>IF($J896=0,0,ROUND(MAX($J896*1.4*1.5*1.6*1.6*2.2*2.715*2.6*1.4,6020000000*(1.651178^(MIN($E896,123)-117)))*1,0))</f>
        <v>3645881910</v>
      </c>
      <c r="AA896" s="6">
        <f>$E896+19</f>
        <v>135</v>
      </c>
      <c r="AB896" s="7">
        <f>IF($J896=0,0,ROUND(MAX($J896*1.4*1.5*1.6*1.6*2.2*2.715*2.6*1.4*1.4,8430000000*(1.651435^(MIN($E896,123)-117)))*1,0))</f>
        <v>5104651409</v>
      </c>
      <c r="AC896" s="4">
        <f>$E896+21</f>
        <v>137</v>
      </c>
      <c r="AD896" s="8">
        <f>IF($J896=0,0,ROUND(MAX($J896*1.4*1.5*1.6*1.6*2.2*2.715*2.6*1.4*1.4*1.5,12600000000*(1.652953^(MIN($E896,123)-117)))*1,0))</f>
        <v>7622721275</v>
      </c>
      <c r="AE896" s="6">
        <f>$E896+24</f>
        <v>140</v>
      </c>
      <c r="AF896" s="7">
        <f>IF($J896=0,0,ROUND(MAX($J896*1.4*1.5*1.6*1.6*2.2*2.715*2.6*1.4*1.4*1.5*1.5,18900000000*(1.65331^(MIN($E896,123)-117)))*1,0))</f>
        <v>11431612946</v>
      </c>
      <c r="AG896" s="4">
        <f>$E896+27</f>
        <v>143</v>
      </c>
      <c r="AH896" s="8">
        <f>IF($J896=0,0,ROUND(MAX($J896*1.4*1.5*1.6*1.6*2.2*2.715*2.6*1.4*1.4*1.5*1.5*3.2,60500000000*(1.654288^(MIN($E896,123)-117)))*1,0))</f>
        <v>36571624772</v>
      </c>
    </row>
    <row r="897" ht="27.75" customHeight="1" spans="1:34" x14ac:dyDescent="0.25">
      <c r="A897" s="3">
        <v>907</v>
      </c>
      <c r="B897" s="3" t="s">
        <v>127</v>
      </c>
      <c r="C897" s="3" t="s">
        <v>768</v>
      </c>
      <c r="D897" s="3" t="s">
        <v>33</v>
      </c>
      <c r="E897" s="3">
        <v>116</v>
      </c>
      <c r="F897" s="3" t="s">
        <v>71</v>
      </c>
      <c r="G897" s="3" t="s">
        <v>769</v>
      </c>
      <c r="H897" s="3">
        <v>29</v>
      </c>
      <c r="I897" s="4">
        <v>116</v>
      </c>
      <c r="J897" s="5">
        <v>810000</v>
      </c>
      <c r="K897" s="6">
        <f>$E897+1</f>
        <v>117</v>
      </c>
      <c r="L897" s="7">
        <f>IF($J897=0,0,ROUND(MAX($J897*1.4,1620000*(1.497923^(MIN($E897,123)-117)))*1,0))</f>
        <v>1134000</v>
      </c>
      <c r="M897" s="4">
        <f>$E897+2</f>
        <v>118</v>
      </c>
      <c r="N897" s="8">
        <f>IF($J897=0,0,ROUND(MAX($J897*1.4*1.5,2190000*(1.580994^(MIN($E897,123)-117)))*1,0))</f>
        <v>1701000</v>
      </c>
      <c r="O897" s="6">
        <f>$E897+4</f>
        <v>120</v>
      </c>
      <c r="P897" s="7">
        <f>IF($J897=0,0,ROUND(MAX($J897*1.4*1.5*1.6,3500000*(1.57975^(MIN($E897,123)-117)))*1,0))</f>
        <v>2721600</v>
      </c>
      <c r="Q897" s="4">
        <f>$E897+6</f>
        <v>122</v>
      </c>
      <c r="R897" s="8">
        <f>IF($J897=0,0,ROUND(MAX($J897*1.4*1.5*1.6*1.6,13100000*(1.429962^(MIN($E897,123)-117)))*1,0))</f>
        <v>9161083</v>
      </c>
      <c r="S897" s="6">
        <f>$E897+8</f>
        <v>124</v>
      </c>
      <c r="T897" s="7">
        <f>IF($J897=0,0,ROUND(MAX($J897*1.4*1.5*1.6*1.6*2.2,42600000*(1.576904^(MIN($E897,123)-117)))*1,0))</f>
        <v>27014961</v>
      </c>
      <c r="U897" s="4">
        <f>$E897+11</f>
        <v>127</v>
      </c>
      <c r="V897" s="8">
        <f>IF($J897=0,0,ROUND(MAX($J897*1.4*1.5*1.6*1.6*2.2*2.715,354000000*(1.642074^(MIN($E897,123)-117)))*1,0))</f>
        <v>215581027</v>
      </c>
      <c r="W897" s="6">
        <f>$E897+15</f>
        <v>131</v>
      </c>
      <c r="X897" s="7">
        <f>IF($J897=0,0,ROUND(MAX($J897*1.4*1.5*1.6*1.6*2.2*2.715*2.6,3540000000*(1.579646^(MIN($E897,123)-117)))*1,0))</f>
        <v>2241008428</v>
      </c>
      <c r="Y897" s="4">
        <f>$E897+17</f>
        <v>133</v>
      </c>
      <c r="Z897" s="8">
        <f>IF($J897=0,0,ROUND(MAX($J897*1.4*1.5*1.6*1.6*2.2*2.715*2.6*1.4,6020000000*(1.651178^(MIN($E897,123)-117)))*1,0))</f>
        <v>3645881910</v>
      </c>
      <c r="AA897" s="6">
        <f>$E897+19</f>
        <v>135</v>
      </c>
      <c r="AB897" s="7">
        <f>IF($J897=0,0,ROUND(MAX($J897*1.4*1.5*1.6*1.6*2.2*2.715*2.6*1.4*1.4,8430000000*(1.651435^(MIN($E897,123)-117)))*1,0))</f>
        <v>5104651409</v>
      </c>
      <c r="AC897" s="4">
        <f>$E897+21</f>
        <v>137</v>
      </c>
      <c r="AD897" s="8">
        <f>IF($J897=0,0,ROUND(MAX($J897*1.4*1.5*1.6*1.6*2.2*2.715*2.6*1.4*1.4*1.5,12600000000*(1.652953^(MIN($E897,123)-117)))*1,0))</f>
        <v>7622721275</v>
      </c>
      <c r="AE897" s="6">
        <f>$E897+24</f>
        <v>140</v>
      </c>
      <c r="AF897" s="7">
        <f>IF($J897=0,0,ROUND(MAX($J897*1.4*1.5*1.6*1.6*2.2*2.715*2.6*1.4*1.4*1.5*1.5,18900000000*(1.65331^(MIN($E897,123)-117)))*1,0))</f>
        <v>11431612946</v>
      </c>
      <c r="AG897" s="4">
        <f>$E897+27</f>
        <v>143</v>
      </c>
      <c r="AH897" s="8">
        <f>IF($J897=0,0,ROUND(MAX($J897*1.4*1.5*1.6*1.6*2.2*2.715*2.6*1.4*1.4*1.5*1.5*3.2,60500000000*(1.654288^(MIN($E897,123)-117)))*1,0))</f>
        <v>36571624772</v>
      </c>
    </row>
    <row r="898" ht="27.75" customHeight="1" spans="1:34" x14ac:dyDescent="0.25">
      <c r="A898" s="3">
        <v>908</v>
      </c>
      <c r="B898" s="3" t="s">
        <v>80</v>
      </c>
      <c r="C898" s="3" t="s">
        <v>768</v>
      </c>
      <c r="D898" s="3" t="s">
        <v>45</v>
      </c>
      <c r="E898" s="3">
        <v>116</v>
      </c>
      <c r="F898" s="3" t="s">
        <v>71</v>
      </c>
      <c r="G898" s="3" t="s">
        <v>769</v>
      </c>
      <c r="H898" s="3">
        <v>29</v>
      </c>
      <c r="I898" s="4">
        <v>116</v>
      </c>
      <c r="J898" s="5">
        <v>798000</v>
      </c>
      <c r="K898" s="6">
        <f>$E898+1</f>
        <v>117</v>
      </c>
      <c r="L898" s="7">
        <f>IF($J898=0,0,ROUND(MAX($J898*1.4,1620000*(1.497923^(MIN($E898,123)-117)))*1,0))</f>
        <v>1117200</v>
      </c>
      <c r="M898" s="4">
        <f>$E898+2</f>
        <v>118</v>
      </c>
      <c r="N898" s="8">
        <f>IF($J898=0,0,ROUND(MAX($J898*1.4*1.5,2190000*(1.580994^(MIN($E898,123)-117)))*1,0))</f>
        <v>1675800</v>
      </c>
      <c r="O898" s="6">
        <f>$E898+4</f>
        <v>120</v>
      </c>
      <c r="P898" s="7">
        <f>IF($J898=0,0,ROUND(MAX($J898*1.4*1.5*1.6,3500000*(1.57975^(MIN($E898,123)-117)))*1,0))</f>
        <v>2681280</v>
      </c>
      <c r="Q898" s="4">
        <f>$E898+6</f>
        <v>122</v>
      </c>
      <c r="R898" s="8">
        <f>IF($J898=0,0,ROUND(MAX($J898*1.4*1.5*1.6*1.6,13100000*(1.429962^(MIN($E898,123)-117)))*1,0))</f>
        <v>9161083</v>
      </c>
      <c r="S898" s="6">
        <f>$E898+8</f>
        <v>124</v>
      </c>
      <c r="T898" s="7">
        <f>IF($J898=0,0,ROUND(MAX($J898*1.4*1.5*1.6*1.6*2.2,42600000*(1.576904^(MIN($E898,123)-117)))*1,0))</f>
        <v>27014961</v>
      </c>
      <c r="U898" s="4">
        <f>$E898+11</f>
        <v>127</v>
      </c>
      <c r="V898" s="8">
        <f>IF($J898=0,0,ROUND(MAX($J898*1.4*1.5*1.6*1.6*2.2*2.715,354000000*(1.642074^(MIN($E898,123)-117)))*1,0))</f>
        <v>215581027</v>
      </c>
      <c r="W898" s="6">
        <f>$E898+15</f>
        <v>131</v>
      </c>
      <c r="X898" s="7">
        <f>IF($J898=0,0,ROUND(MAX($J898*1.4*1.5*1.6*1.6*2.2*2.715*2.6,3540000000*(1.579646^(MIN($E898,123)-117)))*1,0))</f>
        <v>2241008428</v>
      </c>
      <c r="Y898" s="4">
        <f>$E898+17</f>
        <v>133</v>
      </c>
      <c r="Z898" s="8">
        <f>IF($J898=0,0,ROUND(MAX($J898*1.4*1.5*1.6*1.6*2.2*2.715*2.6*1.4,6020000000*(1.651178^(MIN($E898,123)-117)))*1,0))</f>
        <v>3645881910</v>
      </c>
      <c r="AA898" s="6">
        <f>$E898+19</f>
        <v>135</v>
      </c>
      <c r="AB898" s="7">
        <f>IF($J898=0,0,ROUND(MAX($J898*1.4*1.5*1.6*1.6*2.2*2.715*2.6*1.4*1.4,8430000000*(1.651435^(MIN($E898,123)-117)))*1,0))</f>
        <v>5104651409</v>
      </c>
      <c r="AC898" s="4">
        <f>$E898+21</f>
        <v>137</v>
      </c>
      <c r="AD898" s="8">
        <f>IF($J898=0,0,ROUND(MAX($J898*1.4*1.5*1.6*1.6*2.2*2.715*2.6*1.4*1.4*1.5,12600000000*(1.652953^(MIN($E898,123)-117)))*1,0))</f>
        <v>7622721275</v>
      </c>
      <c r="AE898" s="6">
        <f>$E898+24</f>
        <v>140</v>
      </c>
      <c r="AF898" s="7">
        <f>IF($J898=0,0,ROUND(MAX($J898*1.4*1.5*1.6*1.6*2.2*2.715*2.6*1.4*1.4*1.5*1.5,18900000000*(1.65331^(MIN($E898,123)-117)))*1,0))</f>
        <v>11431612946</v>
      </c>
      <c r="AG898" s="4">
        <f>$E898+27</f>
        <v>143</v>
      </c>
      <c r="AH898" s="8">
        <f>IF($J898=0,0,ROUND(MAX($J898*1.4*1.5*1.6*1.6*2.2*2.715*2.6*1.4*1.4*1.5*1.5*3.2,60500000000*(1.654288^(MIN($E898,123)-117)))*1,0))</f>
        <v>36571624772</v>
      </c>
    </row>
    <row r="899" ht="27.75" customHeight="1" spans="1:34" x14ac:dyDescent="0.25">
      <c r="A899" s="3">
        <v>909</v>
      </c>
      <c r="B899" s="3" t="s">
        <v>74</v>
      </c>
      <c r="C899" s="3" t="s">
        <v>768</v>
      </c>
      <c r="D899" s="3" t="s">
        <v>33</v>
      </c>
      <c r="E899" s="3">
        <v>116</v>
      </c>
      <c r="F899" s="3" t="s">
        <v>62</v>
      </c>
      <c r="G899" s="3" t="s">
        <v>769</v>
      </c>
      <c r="H899" s="3">
        <v>29</v>
      </c>
      <c r="I899" s="4">
        <v>116</v>
      </c>
      <c r="J899" s="5">
        <v>2310000</v>
      </c>
      <c r="K899" s="6">
        <f>$E899+1</f>
        <v>117</v>
      </c>
      <c r="L899" s="7">
        <f>IF($J899=0,0,ROUND(MAX($J899*1.4,1620000*(1.497923^(MIN($E899,123)-117)))*1,0))</f>
        <v>3234000</v>
      </c>
      <c r="M899" s="4">
        <f>$E899+2</f>
        <v>118</v>
      </c>
      <c r="N899" s="8">
        <f>IF($J899=0,0,ROUND(MAX($J899*1.4*1.5,2190000*(1.580994^(MIN($E899,123)-117)))*1,0))</f>
        <v>4851000</v>
      </c>
      <c r="O899" s="6">
        <f>$E899+4</f>
        <v>120</v>
      </c>
      <c r="P899" s="7">
        <f>IF($J899=0,0,ROUND(MAX($J899*1.4*1.5*1.6,3500000*(1.57975^(MIN($E899,123)-117)))*1,0))</f>
        <v>7761600</v>
      </c>
      <c r="Q899" s="4">
        <f>$E899+6</f>
        <v>122</v>
      </c>
      <c r="R899" s="8">
        <f>IF($J899=0,0,ROUND(MAX($J899*1.4*1.5*1.6*1.6,13100000*(1.429962^(MIN($E899,123)-117)))*1,0))</f>
        <v>12418560</v>
      </c>
      <c r="S899" s="6">
        <f>$E899+8</f>
        <v>124</v>
      </c>
      <c r="T899" s="7">
        <f>IF($J899=0,0,ROUND(MAX($J899*1.4*1.5*1.6*1.6*2.2,42600000*(1.576904^(MIN($E899,123)-117)))*1,0))</f>
        <v>27320832</v>
      </c>
      <c r="U899" s="4">
        <f>$E899+11</f>
        <v>127</v>
      </c>
      <c r="V899" s="8">
        <f>IF($J899=0,0,ROUND(MAX($J899*1.4*1.5*1.6*1.6*2.2*2.715,354000000*(1.642074^(MIN($E899,123)-117)))*1,0))</f>
        <v>215581027</v>
      </c>
      <c r="W899" s="6">
        <f>$E899+15</f>
        <v>131</v>
      </c>
      <c r="X899" s="7">
        <f>IF($J899=0,0,ROUND(MAX($J899*1.4*1.5*1.6*1.6*2.2*2.715*2.6,3540000000*(1.579646^(MIN($E899,123)-117)))*1,0))</f>
        <v>2241008428</v>
      </c>
      <c r="Y899" s="4">
        <f>$E899+17</f>
        <v>133</v>
      </c>
      <c r="Z899" s="8">
        <f>IF($J899=0,0,ROUND(MAX($J899*1.4*1.5*1.6*1.6*2.2*2.715*2.6*1.4,6020000000*(1.651178^(MIN($E899,123)-117)))*1,0))</f>
        <v>3645881910</v>
      </c>
      <c r="AA899" s="6">
        <f>$E899+19</f>
        <v>135</v>
      </c>
      <c r="AB899" s="7">
        <f>IF($J899=0,0,ROUND(MAX($J899*1.4*1.5*1.6*1.6*2.2*2.715*2.6*1.4*1.4,8430000000*(1.651435^(MIN($E899,123)-117)))*1,0))</f>
        <v>5104651409</v>
      </c>
      <c r="AC899" s="4">
        <f>$E899+21</f>
        <v>137</v>
      </c>
      <c r="AD899" s="8">
        <f>IF($J899=0,0,ROUND(MAX($J899*1.4*1.5*1.6*1.6*2.2*2.715*2.6*1.4*1.4*1.5,12600000000*(1.652953^(MIN($E899,123)-117)))*1,0))</f>
        <v>7622721275</v>
      </c>
      <c r="AE899" s="6">
        <f>$E899+24</f>
        <v>140</v>
      </c>
      <c r="AF899" s="7">
        <f>IF($J899=0,0,ROUND(MAX($J899*1.4*1.5*1.6*1.6*2.2*2.715*2.6*1.4*1.4*1.5*1.5,18900000000*(1.65331^(MIN($E899,123)-117)))*1,0))</f>
        <v>11431612946</v>
      </c>
      <c r="AG899" s="4">
        <f>$E899+27</f>
        <v>143</v>
      </c>
      <c r="AH899" s="8">
        <f>IF($J899=0,0,ROUND(MAX($J899*1.4*1.5*1.6*1.6*2.2*2.715*2.6*1.4*1.4*1.5*1.5*3.2,60500000000*(1.654288^(MIN($E899,123)-117)))*1,0))</f>
        <v>36571624772</v>
      </c>
    </row>
    <row r="900" ht="27.75" customHeight="1" spans="1:34" x14ac:dyDescent="0.25">
      <c r="A900" s="3">
        <v>910</v>
      </c>
      <c r="B900" s="3" t="s">
        <v>36</v>
      </c>
      <c r="C900" s="3" t="s">
        <v>768</v>
      </c>
      <c r="D900" s="3" t="s">
        <v>29</v>
      </c>
      <c r="E900" s="3">
        <v>116</v>
      </c>
      <c r="F900" s="3" t="s">
        <v>37</v>
      </c>
      <c r="G900" s="3" t="s">
        <v>769</v>
      </c>
      <c r="H900" s="3">
        <v>28</v>
      </c>
      <c r="I900" s="4">
        <v>116</v>
      </c>
      <c r="J900" s="5">
        <v>584000</v>
      </c>
      <c r="K900" s="6">
        <f>$E900+1</f>
        <v>117</v>
      </c>
      <c r="L900" s="7">
        <f>IF($J900=0,0,ROUND(MAX($J900*1.4,1620000*(1.497923^(MIN($E900,123)-117)))*1,0))</f>
        <v>1081498</v>
      </c>
      <c r="M900" s="4">
        <f>$E900+2</f>
        <v>118</v>
      </c>
      <c r="N900" s="8">
        <f>IF($J900=0,0,ROUND(MAX($J900*1.4*1.5,2190000*(1.580994^(MIN($E900,123)-117)))*1,0))</f>
        <v>1385204</v>
      </c>
      <c r="O900" s="6">
        <f>$E900+4</f>
        <v>120</v>
      </c>
      <c r="P900" s="7">
        <f>IF($J900=0,0,ROUND(MAX($J900*1.4*1.5*1.6,3500000*(1.57975^(MIN($E900,123)-117)))*1,0))</f>
        <v>2215540</v>
      </c>
      <c r="Q900" s="4">
        <f>$E900+6</f>
        <v>122</v>
      </c>
      <c r="R900" s="8">
        <f>IF($J900=0,0,ROUND(MAX($J900*1.4*1.5*1.6*1.6,13100000*(1.429962^(MIN($E900,123)-117)))*1,0))</f>
        <v>9161083</v>
      </c>
      <c r="S900" s="6">
        <f>$E900+8</f>
        <v>124</v>
      </c>
      <c r="T900" s="7">
        <f>IF($J900=0,0,ROUND(MAX($J900*1.4*1.5*1.6*1.6*2.2,42600000*(1.576904^(MIN($E900,123)-117)))*1,0))</f>
        <v>27014961</v>
      </c>
      <c r="U900" s="4">
        <f>$E900+11</f>
        <v>127</v>
      </c>
      <c r="V900" s="8">
        <f>IF($J900=0,0,ROUND(MAX($J900*1.4*1.5*1.6*1.6*2.2*2.715,354000000*(1.642074^(MIN($E900,123)-117)))*1,0))</f>
        <v>215581027</v>
      </c>
      <c r="W900" s="6">
        <f>$E900+15</f>
        <v>131</v>
      </c>
      <c r="X900" s="7">
        <f>IF($J900=0,0,ROUND(MAX($J900*1.4*1.5*1.6*1.6*2.2*2.715*2.6,3540000000*(1.579646^(MIN($E900,123)-117)))*1,0))</f>
        <v>2241008428</v>
      </c>
      <c r="Y900" s="4">
        <f>$E900+17</f>
        <v>133</v>
      </c>
      <c r="Z900" s="8">
        <f>IF($J900=0,0,ROUND(MAX($J900*1.4*1.5*1.6*1.6*2.2*2.715*2.6*1.4,6020000000*(1.651178^(MIN($E900,123)-117)))*1,0))</f>
        <v>3645881910</v>
      </c>
      <c r="AA900" s="6">
        <f>$E900+19</f>
        <v>135</v>
      </c>
      <c r="AB900" s="7">
        <f>IF($J900=0,0,ROUND(MAX($J900*1.4*1.5*1.6*1.6*2.2*2.715*2.6*1.4*1.4,8430000000*(1.651435^(MIN($E900,123)-117)))*1,0))</f>
        <v>5104651409</v>
      </c>
      <c r="AC900" s="4">
        <f>$E900+21</f>
        <v>137</v>
      </c>
      <c r="AD900" s="8">
        <f>IF($J900=0,0,ROUND(MAX($J900*1.4*1.5*1.6*1.6*2.2*2.715*2.6*1.4*1.4*1.5,12600000000*(1.652953^(MIN($E900,123)-117)))*1,0))</f>
        <v>7622721275</v>
      </c>
      <c r="AE900" s="6">
        <f>$E900+24</f>
        <v>140</v>
      </c>
      <c r="AF900" s="7">
        <f>IF($J900=0,0,ROUND(MAX($J900*1.4*1.5*1.6*1.6*2.2*2.715*2.6*1.4*1.4*1.5*1.5,18900000000*(1.65331^(MIN($E900,123)-117)))*1,0))</f>
        <v>11431612946</v>
      </c>
      <c r="AG900" s="4">
        <f>$E900+27</f>
        <v>143</v>
      </c>
      <c r="AH900" s="8">
        <f>IF($J900=0,0,ROUND(MAX($J900*1.4*1.5*1.6*1.6*2.2*2.715*2.6*1.4*1.4*1.5*1.5*3.2,60500000000*(1.654288^(MIN($E900,123)-117)))*1,0))</f>
        <v>36571624772</v>
      </c>
    </row>
    <row r="901" ht="27.75" customHeight="1" spans="1:34" x14ac:dyDescent="0.25">
      <c r="A901" s="3">
        <v>911</v>
      </c>
      <c r="B901" s="3" t="s">
        <v>63</v>
      </c>
      <c r="C901" s="3" t="s">
        <v>768</v>
      </c>
      <c r="D901" s="3" t="s">
        <v>64</v>
      </c>
      <c r="E901" s="3">
        <v>115</v>
      </c>
      <c r="F901" s="3" t="s">
        <v>65</v>
      </c>
      <c r="G901" s="3" t="s">
        <v>769</v>
      </c>
      <c r="H901" s="3">
        <v>29</v>
      </c>
      <c r="I901" s="4">
        <v>115</v>
      </c>
      <c r="J901" s="5">
        <v>390000</v>
      </c>
      <c r="K901" s="6">
        <f>$E901+1</f>
        <v>116</v>
      </c>
      <c r="L901" s="7">
        <f>IF($J901=0,0,ROUND(MAX($J901*1.4,1620000*(1.497923^(MIN($E901,123)-117)))*1,0))</f>
        <v>721998</v>
      </c>
      <c r="M901" s="4">
        <f>$E901+2</f>
        <v>117</v>
      </c>
      <c r="N901" s="8">
        <f>IF($J901=0,0,ROUND(MAX($J901*1.4*1.5,2190000*(1.580994^(MIN($E901,123)-117)))*1,0))</f>
        <v>876161</v>
      </c>
      <c r="O901" s="6">
        <f>$E901+4</f>
        <v>119</v>
      </c>
      <c r="P901" s="7">
        <f>IF($J901=0,0,ROUND(MAX($J901*1.4*1.5*1.6,3500000*(1.57975^(MIN($E901,123)-117)))*1,0))</f>
        <v>1402463</v>
      </c>
      <c r="Q901" s="4">
        <f>$E901+6</f>
        <v>121</v>
      </c>
      <c r="R901" s="8">
        <f>IF($J901=0,0,ROUND(MAX($J901*1.4*1.5*1.6*1.6,13100000*(1.429962^(MIN($E901,123)-117)))*1,0))</f>
        <v>6406522</v>
      </c>
      <c r="S901" s="6">
        <f>$E901+8</f>
        <v>123</v>
      </c>
      <c r="T901" s="7">
        <f>IF($J901=0,0,ROUND(MAX($J901*1.4*1.5*1.6*1.6*2.2,42600000*(1.576904^(MIN($E901,123)-117)))*1,0))</f>
        <v>17131646</v>
      </c>
      <c r="U901" s="4">
        <f>$E901+11</f>
        <v>126</v>
      </c>
      <c r="V901" s="8">
        <f>IF($J901=0,0,ROUND(MAX($J901*1.4*1.5*1.6*1.6*2.2*2.715,354000000*(1.642074^(MIN($E901,123)-117)))*1,0))</f>
        <v>131285817</v>
      </c>
      <c r="W901" s="6">
        <f>$E901+15</f>
        <v>130</v>
      </c>
      <c r="X901" s="7">
        <f>IF($J901=0,0,ROUND(MAX($J901*1.4*1.5*1.6*1.6*2.2*2.715*2.6,3540000000*(1.579646^(MIN($E901,123)-117)))*1,0))</f>
        <v>1418677620</v>
      </c>
      <c r="Y901" s="4">
        <f>$E901+17</f>
        <v>132</v>
      </c>
      <c r="Z901" s="8">
        <f>IF($J901=0,0,ROUND(MAX($J901*1.4*1.5*1.6*1.6*2.2*2.715*2.6*1.4,6020000000*(1.651178^(MIN($E901,123)-117)))*1,0))</f>
        <v>2208048987</v>
      </c>
      <c r="AA901" s="6">
        <f>$E901+19</f>
        <v>134</v>
      </c>
      <c r="AB901" s="7">
        <f>IF($J901=0,0,ROUND(MAX($J901*1.4*1.5*1.6*1.6*2.2*2.715*2.6*1.4*1.4,8430000000*(1.651435^(MIN($E901,123)-117)))*1,0))</f>
        <v>3091039859</v>
      </c>
      <c r="AC901" s="4">
        <f>$E901+21</f>
        <v>136</v>
      </c>
      <c r="AD901" s="8">
        <f>IF($J901=0,0,ROUND(MAX($J901*1.4*1.5*1.6*1.6*2.2*2.715*2.6*1.4*1.4*1.5,12600000000*(1.652953^(MIN($E901,123)-117)))*1,0))</f>
        <v>4611577749</v>
      </c>
      <c r="AE901" s="6">
        <f>$E901+24</f>
        <v>139</v>
      </c>
      <c r="AF901" s="7">
        <f>IF($J901=0,0,ROUND(MAX($J901*1.4*1.5*1.6*1.6*2.2*2.715*2.6*1.4*1.4*1.5*1.5,18900000000*(1.65331^(MIN($E901,123)-117)))*1,0))</f>
        <v>6914379606</v>
      </c>
      <c r="AG901" s="4">
        <f>$E901+27</f>
        <v>142</v>
      </c>
      <c r="AH901" s="8">
        <f>IF($J901=0,0,ROUND(MAX($J901*1.4*1.5*1.6*1.6*2.2*2.715*2.6*1.4*1.4*1.5*1.5*3.2,60500000000*(1.654288^(MIN($E901,123)-117)))*1,0))</f>
        <v>22107169230</v>
      </c>
    </row>
    <row r="902" ht="27.75" customHeight="1" spans="1:34" x14ac:dyDescent="0.25">
      <c r="A902" s="3">
        <v>912</v>
      </c>
      <c r="B902" s="3" t="s">
        <v>101</v>
      </c>
      <c r="C902" s="3" t="s">
        <v>768</v>
      </c>
      <c r="D902" s="3" t="s">
        <v>102</v>
      </c>
      <c r="E902" s="3">
        <v>115</v>
      </c>
      <c r="F902" s="3" t="s">
        <v>42</v>
      </c>
      <c r="G902" s="3" t="s">
        <v>769</v>
      </c>
      <c r="H902" s="3">
        <v>29</v>
      </c>
      <c r="I902" s="4">
        <v>115</v>
      </c>
      <c r="J902" s="5">
        <v>660000</v>
      </c>
      <c r="K902" s="6">
        <f>$E902+1</f>
        <v>116</v>
      </c>
      <c r="L902" s="7">
        <f>IF($J902=0,0,ROUND(MAX($J902*1.4,1620000*(1.497923^(MIN($E902,123)-117)))*1,0))</f>
        <v>924000</v>
      </c>
      <c r="M902" s="4">
        <f>$E902+2</f>
        <v>117</v>
      </c>
      <c r="N902" s="8">
        <f>IF($J902=0,0,ROUND(MAX($J902*1.4*1.5,2190000*(1.580994^(MIN($E902,123)-117)))*1,0))</f>
        <v>1386000</v>
      </c>
      <c r="O902" s="6">
        <f>$E902+4</f>
        <v>119</v>
      </c>
      <c r="P902" s="7">
        <f>IF($J902=0,0,ROUND(MAX($J902*1.4*1.5*1.6,3500000*(1.57975^(MIN($E902,123)-117)))*1,0))</f>
        <v>2217600</v>
      </c>
      <c r="Q902" s="4">
        <f>$E902+6</f>
        <v>121</v>
      </c>
      <c r="R902" s="8">
        <f>IF($J902=0,0,ROUND(MAX($J902*1.4*1.5*1.6*1.6,13100000*(1.429962^(MIN($E902,123)-117)))*1,0))</f>
        <v>6406522</v>
      </c>
      <c r="S902" s="6">
        <f>$E902+8</f>
        <v>123</v>
      </c>
      <c r="T902" s="7">
        <f>IF($J902=0,0,ROUND(MAX($J902*1.4*1.5*1.6*1.6*2.2,42600000*(1.576904^(MIN($E902,123)-117)))*1,0))</f>
        <v>17131646</v>
      </c>
      <c r="U902" s="4">
        <f>$E902+11</f>
        <v>126</v>
      </c>
      <c r="V902" s="8">
        <f>IF($J902=0,0,ROUND(MAX($J902*1.4*1.5*1.6*1.6*2.2*2.715,354000000*(1.642074^(MIN($E902,123)-117)))*1,0))</f>
        <v>131285817</v>
      </c>
      <c r="W902" s="6">
        <f>$E902+15</f>
        <v>130</v>
      </c>
      <c r="X902" s="7">
        <f>IF($J902=0,0,ROUND(MAX($J902*1.4*1.5*1.6*1.6*2.2*2.715*2.6,3540000000*(1.579646^(MIN($E902,123)-117)))*1,0))</f>
        <v>1418677620</v>
      </c>
      <c r="Y902" s="4">
        <f>$E902+17</f>
        <v>132</v>
      </c>
      <c r="Z902" s="8">
        <f>IF($J902=0,0,ROUND(MAX($J902*1.4*1.5*1.6*1.6*2.2*2.715*2.6*1.4,6020000000*(1.651178^(MIN($E902,123)-117)))*1,0))</f>
        <v>2208048987</v>
      </c>
      <c r="AA902" s="6">
        <f>$E902+19</f>
        <v>134</v>
      </c>
      <c r="AB902" s="7">
        <f>IF($J902=0,0,ROUND(MAX($J902*1.4*1.5*1.6*1.6*2.2*2.715*2.6*1.4*1.4,8430000000*(1.651435^(MIN($E902,123)-117)))*1,0))</f>
        <v>3091039859</v>
      </c>
      <c r="AC902" s="4">
        <f>$E902+21</f>
        <v>136</v>
      </c>
      <c r="AD902" s="8">
        <f>IF($J902=0,0,ROUND(MAX($J902*1.4*1.5*1.6*1.6*2.2*2.715*2.6*1.4*1.4*1.5,12600000000*(1.652953^(MIN($E902,123)-117)))*1,0))</f>
        <v>4611577749</v>
      </c>
      <c r="AE902" s="6">
        <f>$E902+24</f>
        <v>139</v>
      </c>
      <c r="AF902" s="7">
        <f>IF($J902=0,0,ROUND(MAX($J902*1.4*1.5*1.6*1.6*2.2*2.715*2.6*1.4*1.4*1.5*1.5,18900000000*(1.65331^(MIN($E902,123)-117)))*1,0))</f>
        <v>6914379606</v>
      </c>
      <c r="AG902" s="4">
        <f>$E902+27</f>
        <v>142</v>
      </c>
      <c r="AH902" s="8">
        <f>IF($J902=0,0,ROUND(MAX($J902*1.4*1.5*1.6*1.6*2.2*2.715*2.6*1.4*1.4*1.5*1.5*3.2,60500000000*(1.654288^(MIN($E902,123)-117)))*1,0))</f>
        <v>22107169230</v>
      </c>
    </row>
    <row r="903" ht="27.75" customHeight="1" spans="1:34" x14ac:dyDescent="0.25">
      <c r="A903" s="3">
        <v>913</v>
      </c>
      <c r="B903" s="3" t="s">
        <v>271</v>
      </c>
      <c r="C903" s="3" t="s">
        <v>768</v>
      </c>
      <c r="D903" s="3" t="s">
        <v>40</v>
      </c>
      <c r="E903" s="3">
        <v>115</v>
      </c>
      <c r="F903" s="3" t="s">
        <v>258</v>
      </c>
      <c r="G903" s="3" t="s">
        <v>270</v>
      </c>
      <c r="H903" s="3">
        <v>29</v>
      </c>
      <c r="I903" s="4">
        <v>115</v>
      </c>
      <c r="J903" s="5">
        <v>448000</v>
      </c>
      <c r="K903" s="6">
        <f>$E903+1</f>
        <v>116</v>
      </c>
      <c r="L903" s="7">
        <f>IF($J903=0,0,ROUND(MAX($J903*1.4,1620000*(1.497923^(MIN($E903,123)-117)))*1,0))</f>
        <v>721998</v>
      </c>
      <c r="M903" s="4">
        <f>$E903+2</f>
        <v>117</v>
      </c>
      <c r="N903" s="8">
        <f>IF($J903=0,0,ROUND(MAX($J903*1.4*1.5,2190000*(1.580994^(MIN($E903,123)-117)))*1,0))</f>
        <v>940800</v>
      </c>
      <c r="O903" s="6">
        <f>$E903+4</f>
        <v>119</v>
      </c>
      <c r="P903" s="7">
        <f>IF($J903=0,0,ROUND(MAX($J903*1.4*1.5*1.6,3500000*(1.57975^(MIN($E903,123)-117)))*1,0))</f>
        <v>1505280</v>
      </c>
      <c r="Q903" s="4">
        <f>$E903+6</f>
        <v>121</v>
      </c>
      <c r="R903" s="8">
        <f>IF($J903=0,0,ROUND(MAX($J903*1.4*1.5*1.6*1.6,13100000*(1.429962^(MIN($E903,123)-117)))*1,0))</f>
        <v>6406522</v>
      </c>
      <c r="S903" s="6">
        <f>$E903+8</f>
        <v>123</v>
      </c>
      <c r="T903" s="7">
        <f>IF($J903=0,0,ROUND(MAX($J903*1.4*1.5*1.6*1.6*2.2,42600000*(1.576904^(MIN($E903,123)-117)))*1,0))</f>
        <v>17131646</v>
      </c>
      <c r="U903" s="4">
        <f>$E903+11</f>
        <v>126</v>
      </c>
      <c r="V903" s="8">
        <f>IF($J903=0,0,ROUND(MAX($J903*1.4*1.5*1.6*1.6*2.2*2.715,354000000*(1.642074^(MIN($E903,123)-117)))*1,0))</f>
        <v>131285817</v>
      </c>
      <c r="W903" s="6">
        <f>$E903+15</f>
        <v>130</v>
      </c>
      <c r="X903" s="7">
        <f>IF($J903=0,0,ROUND(MAX($J903*1.4*1.5*1.6*1.6*2.2*2.715*2.6,3540000000*(1.579646^(MIN($E903,123)-117)))*1,0))</f>
        <v>1418677620</v>
      </c>
      <c r="Y903" s="4">
        <f>$E903+17</f>
        <v>132</v>
      </c>
      <c r="Z903" s="8">
        <f>IF($J903=0,0,ROUND(MAX($J903*1.4*1.5*1.6*1.6*2.2*2.715*2.6*1.4,6020000000*(1.651178^(MIN($E903,123)-117)))*1,0))</f>
        <v>2208048987</v>
      </c>
      <c r="AA903" s="6">
        <f>$E903+19</f>
        <v>134</v>
      </c>
      <c r="AB903" s="7">
        <f>IF($J903=0,0,ROUND(MAX($J903*1.4*1.5*1.6*1.6*2.2*2.715*2.6*1.4*1.4,8430000000*(1.651435^(MIN($E903,123)-117)))*1,0))</f>
        <v>3091039859</v>
      </c>
      <c r="AC903" s="4">
        <f>$E903+21</f>
        <v>136</v>
      </c>
      <c r="AD903" s="8">
        <f>IF($J903=0,0,ROUND(MAX($J903*1.4*1.5*1.6*1.6*2.2*2.715*2.6*1.4*1.4*1.5,12600000000*(1.652953^(MIN($E903,123)-117)))*1,0))</f>
        <v>4611577749</v>
      </c>
      <c r="AE903" s="6">
        <f>$E903+24</f>
        <v>139</v>
      </c>
      <c r="AF903" s="7">
        <f>IF($J903=0,0,ROUND(MAX($J903*1.4*1.5*1.6*1.6*2.2*2.715*2.6*1.4*1.4*1.5*1.5,18900000000*(1.65331^(MIN($E903,123)-117)))*1,0))</f>
        <v>6914379606</v>
      </c>
      <c r="AG903" s="4">
        <f>$E903+27</f>
        <v>142</v>
      </c>
      <c r="AH903" s="8">
        <f>IF($J903=0,0,ROUND(MAX($J903*1.4*1.5*1.6*1.6*2.2*2.715*2.6*1.4*1.4*1.5*1.5*3.2,60500000000*(1.654288^(MIN($E903,123)-117)))*1,0))</f>
        <v>22107169230</v>
      </c>
    </row>
    <row r="904" ht="27.75" customHeight="1" spans="1:34" x14ac:dyDescent="0.25">
      <c r="A904" s="3">
        <v>914</v>
      </c>
      <c r="B904" s="3" t="s">
        <v>164</v>
      </c>
      <c r="C904" s="3" t="s">
        <v>768</v>
      </c>
      <c r="D904" s="3" t="s">
        <v>64</v>
      </c>
      <c r="E904" s="3">
        <v>115</v>
      </c>
      <c r="F904" s="3" t="s">
        <v>132</v>
      </c>
      <c r="G904" s="3" t="s">
        <v>769</v>
      </c>
      <c r="H904" s="3">
        <v>29</v>
      </c>
      <c r="I904" s="4">
        <v>115</v>
      </c>
      <c r="J904" s="5">
        <v>1067000</v>
      </c>
      <c r="K904" s="6">
        <f>$E904+1</f>
        <v>116</v>
      </c>
      <c r="L904" s="7">
        <f>IF($J904=0,0,ROUND(MAX($J904*1.4,1620000*(1.497923^(MIN($E904,123)-117)))*1,0))</f>
        <v>1493800</v>
      </c>
      <c r="M904" s="4">
        <f>$E904+2</f>
        <v>117</v>
      </c>
      <c r="N904" s="8">
        <f>IF($J904=0,0,ROUND(MAX($J904*1.4*1.5,2190000*(1.580994^(MIN($E904,123)-117)))*1,0))</f>
        <v>2240700</v>
      </c>
      <c r="O904" s="6">
        <f>$E904+4</f>
        <v>119</v>
      </c>
      <c r="P904" s="7">
        <f>IF($J904=0,0,ROUND(MAX($J904*1.4*1.5*1.6,3500000*(1.57975^(MIN($E904,123)-117)))*1,0))</f>
        <v>3585120</v>
      </c>
      <c r="Q904" s="4">
        <f>$E904+6</f>
        <v>121</v>
      </c>
      <c r="R904" s="8">
        <f>IF($J904=0,0,ROUND(MAX($J904*1.4*1.5*1.6*1.6,13100000*(1.429962^(MIN($E904,123)-117)))*1,0))</f>
        <v>6406522</v>
      </c>
      <c r="S904" s="6">
        <f>$E904+8</f>
        <v>123</v>
      </c>
      <c r="T904" s="7">
        <f>IF($J904=0,0,ROUND(MAX($J904*1.4*1.5*1.6*1.6*2.2,42600000*(1.576904^(MIN($E904,123)-117)))*1,0))</f>
        <v>17131646</v>
      </c>
      <c r="U904" s="4">
        <f>$E904+11</f>
        <v>126</v>
      </c>
      <c r="V904" s="8">
        <f>IF($J904=0,0,ROUND(MAX($J904*1.4*1.5*1.6*1.6*2.2*2.715,354000000*(1.642074^(MIN($E904,123)-117)))*1,0))</f>
        <v>131285817</v>
      </c>
      <c r="W904" s="6">
        <f>$E904+15</f>
        <v>130</v>
      </c>
      <c r="X904" s="7">
        <f>IF($J904=0,0,ROUND(MAX($J904*1.4*1.5*1.6*1.6*2.2*2.715*2.6,3540000000*(1.579646^(MIN($E904,123)-117)))*1,0))</f>
        <v>1418677620</v>
      </c>
      <c r="Y904" s="4">
        <f>$E904+17</f>
        <v>132</v>
      </c>
      <c r="Z904" s="8">
        <f>IF($J904=0,0,ROUND(MAX($J904*1.4*1.5*1.6*1.6*2.2*2.715*2.6*1.4,6020000000*(1.651178^(MIN($E904,123)-117)))*1,0))</f>
        <v>2208048987</v>
      </c>
      <c r="AA904" s="6">
        <f>$E904+19</f>
        <v>134</v>
      </c>
      <c r="AB904" s="7">
        <f>IF($J904=0,0,ROUND(MAX($J904*1.4*1.5*1.6*1.6*2.2*2.715*2.6*1.4*1.4,8430000000*(1.651435^(MIN($E904,123)-117)))*1,0))</f>
        <v>3091039859</v>
      </c>
      <c r="AC904" s="4">
        <f>$E904+21</f>
        <v>136</v>
      </c>
      <c r="AD904" s="8">
        <f>IF($J904=0,0,ROUND(MAX($J904*1.4*1.5*1.6*1.6*2.2*2.715*2.6*1.4*1.4*1.5,12600000000*(1.652953^(MIN($E904,123)-117)))*1,0))</f>
        <v>4611577749</v>
      </c>
      <c r="AE904" s="6">
        <f>$E904+24</f>
        <v>139</v>
      </c>
      <c r="AF904" s="7">
        <f>IF($J904=0,0,ROUND(MAX($J904*1.4*1.5*1.6*1.6*2.2*2.715*2.6*1.4*1.4*1.5*1.5,18900000000*(1.65331^(MIN($E904,123)-117)))*1,0))</f>
        <v>6914379606</v>
      </c>
      <c r="AG904" s="4">
        <f>$E904+27</f>
        <v>142</v>
      </c>
      <c r="AH904" s="8">
        <f>IF($J904=0,0,ROUND(MAX($J904*1.4*1.5*1.6*1.6*2.2*2.715*2.6*1.4*1.4*1.5*1.5*3.2,60500000000*(1.654288^(MIN($E904,123)-117)))*1,0))</f>
        <v>22107169230</v>
      </c>
    </row>
    <row r="905" ht="27.75" customHeight="1" spans="1:34" x14ac:dyDescent="0.25">
      <c r="A905" s="3">
        <v>915</v>
      </c>
      <c r="B905" s="3" t="s">
        <v>153</v>
      </c>
      <c r="C905" s="3" t="s">
        <v>768</v>
      </c>
      <c r="D905" s="3" t="s">
        <v>45</v>
      </c>
      <c r="E905" s="3">
        <v>115</v>
      </c>
      <c r="F905" s="3" t="s">
        <v>56</v>
      </c>
      <c r="G905" s="3" t="s">
        <v>769</v>
      </c>
      <c r="H905" s="3">
        <v>29</v>
      </c>
      <c r="I905" s="4">
        <v>115</v>
      </c>
      <c r="J905" s="5">
        <v>439000</v>
      </c>
      <c r="K905" s="6">
        <f>$E905+1</f>
        <v>116</v>
      </c>
      <c r="L905" s="7">
        <f>IF($J905=0,0,ROUND(MAX($J905*1.4,1620000*(1.497923^(MIN($E905,123)-117)))*1,0))</f>
        <v>721998</v>
      </c>
      <c r="M905" s="4">
        <f>$E905+2</f>
        <v>117</v>
      </c>
      <c r="N905" s="8">
        <f>IF($J905=0,0,ROUND(MAX($J905*1.4*1.5,2190000*(1.580994^(MIN($E905,123)-117)))*1,0))</f>
        <v>921900</v>
      </c>
      <c r="O905" s="6">
        <f>$E905+4</f>
        <v>119</v>
      </c>
      <c r="P905" s="7">
        <f>IF($J905=0,0,ROUND(MAX($J905*1.4*1.5*1.6,3500000*(1.57975^(MIN($E905,123)-117)))*1,0))</f>
        <v>1475040</v>
      </c>
      <c r="Q905" s="4">
        <f>$E905+6</f>
        <v>121</v>
      </c>
      <c r="R905" s="8">
        <f>IF($J905=0,0,ROUND(MAX($J905*1.4*1.5*1.6*1.6,13100000*(1.429962^(MIN($E905,123)-117)))*1,0))</f>
        <v>6406522</v>
      </c>
      <c r="S905" s="6">
        <f>$E905+8</f>
        <v>123</v>
      </c>
      <c r="T905" s="7">
        <f>IF($J905=0,0,ROUND(MAX($J905*1.4*1.5*1.6*1.6*2.2,42600000*(1.576904^(MIN($E905,123)-117)))*1,0))</f>
        <v>17131646</v>
      </c>
      <c r="U905" s="4">
        <f>$E905+11</f>
        <v>126</v>
      </c>
      <c r="V905" s="8">
        <f>IF($J905=0,0,ROUND(MAX($J905*1.4*1.5*1.6*1.6*2.2*2.715,354000000*(1.642074^(MIN($E905,123)-117)))*1,0))</f>
        <v>131285817</v>
      </c>
      <c r="W905" s="6">
        <f>$E905+15</f>
        <v>130</v>
      </c>
      <c r="X905" s="7">
        <f>IF($J905=0,0,ROUND(MAX($J905*1.4*1.5*1.6*1.6*2.2*2.715*2.6,3540000000*(1.579646^(MIN($E905,123)-117)))*1,0))</f>
        <v>1418677620</v>
      </c>
      <c r="Y905" s="4">
        <f>$E905+17</f>
        <v>132</v>
      </c>
      <c r="Z905" s="8">
        <f>IF($J905=0,0,ROUND(MAX($J905*1.4*1.5*1.6*1.6*2.2*2.715*2.6*1.4,6020000000*(1.651178^(MIN($E905,123)-117)))*1,0))</f>
        <v>2208048987</v>
      </c>
      <c r="AA905" s="6">
        <f>$E905+19</f>
        <v>134</v>
      </c>
      <c r="AB905" s="7">
        <f>IF($J905=0,0,ROUND(MAX($J905*1.4*1.5*1.6*1.6*2.2*2.715*2.6*1.4*1.4,8430000000*(1.651435^(MIN($E905,123)-117)))*1,0))</f>
        <v>3091039859</v>
      </c>
      <c r="AC905" s="4">
        <f>$E905+21</f>
        <v>136</v>
      </c>
      <c r="AD905" s="8">
        <f>IF($J905=0,0,ROUND(MAX($J905*1.4*1.5*1.6*1.6*2.2*2.715*2.6*1.4*1.4*1.5,12600000000*(1.652953^(MIN($E905,123)-117)))*1,0))</f>
        <v>4611577749</v>
      </c>
      <c r="AE905" s="6">
        <f>$E905+24</f>
        <v>139</v>
      </c>
      <c r="AF905" s="7">
        <f>IF($J905=0,0,ROUND(MAX($J905*1.4*1.5*1.6*1.6*2.2*2.715*2.6*1.4*1.4*1.5*1.5,18900000000*(1.65331^(MIN($E905,123)-117)))*1,0))</f>
        <v>6914379606</v>
      </c>
      <c r="AG905" s="4">
        <f>$E905+27</f>
        <v>142</v>
      </c>
      <c r="AH905" s="8">
        <f>IF($J905=0,0,ROUND(MAX($J905*1.4*1.5*1.6*1.6*2.2*2.715*2.6*1.4*1.4*1.5*1.5*3.2,60500000000*(1.654288^(MIN($E905,123)-117)))*1,0))</f>
        <v>22107169230</v>
      </c>
    </row>
    <row r="906" ht="27.75" customHeight="1" spans="1:34" x14ac:dyDescent="0.25">
      <c r="A906" s="3">
        <v>916</v>
      </c>
      <c r="B906" s="3" t="s">
        <v>87</v>
      </c>
      <c r="C906" s="3" t="s">
        <v>768</v>
      </c>
      <c r="D906" s="3" t="s">
        <v>40</v>
      </c>
      <c r="E906" s="3">
        <v>115</v>
      </c>
      <c r="F906" s="3" t="s">
        <v>88</v>
      </c>
      <c r="G906" s="3" t="s">
        <v>769</v>
      </c>
      <c r="H906" s="3">
        <v>29</v>
      </c>
      <c r="I906" s="4">
        <v>115</v>
      </c>
      <c r="J906" s="5">
        <v>497000</v>
      </c>
      <c r="K906" s="6">
        <f>$E906+1</f>
        <v>116</v>
      </c>
      <c r="L906" s="7">
        <f>IF($J906=0,0,ROUND(MAX($J906*1.4,1620000*(1.497923^(MIN($E906,123)-117)))*1,0))</f>
        <v>721998</v>
      </c>
      <c r="M906" s="4">
        <f>$E906+2</f>
        <v>117</v>
      </c>
      <c r="N906" s="8">
        <f>IF($J906=0,0,ROUND(MAX($J906*1.4*1.5,2190000*(1.580994^(MIN($E906,123)-117)))*1,0))</f>
        <v>1043700</v>
      </c>
      <c r="O906" s="6">
        <f>$E906+4</f>
        <v>119</v>
      </c>
      <c r="P906" s="7">
        <f>IF($J906=0,0,ROUND(MAX($J906*1.4*1.5*1.6,3500000*(1.57975^(MIN($E906,123)-117)))*1,0))</f>
        <v>1669920</v>
      </c>
      <c r="Q906" s="4">
        <f>$E906+6</f>
        <v>121</v>
      </c>
      <c r="R906" s="8">
        <f>IF($J906=0,0,ROUND(MAX($J906*1.4*1.5*1.6*1.6,13100000*(1.429962^(MIN($E906,123)-117)))*1,0))</f>
        <v>6406522</v>
      </c>
      <c r="S906" s="6">
        <f>$E906+8</f>
        <v>123</v>
      </c>
      <c r="T906" s="7">
        <f>IF($J906=0,0,ROUND(MAX($J906*1.4*1.5*1.6*1.6*2.2,42600000*(1.576904^(MIN($E906,123)-117)))*1,0))</f>
        <v>17131646</v>
      </c>
      <c r="U906" s="4">
        <f>$E906+11</f>
        <v>126</v>
      </c>
      <c r="V906" s="8">
        <f>IF($J906=0,0,ROUND(MAX($J906*1.4*1.5*1.6*1.6*2.2*2.715,354000000*(1.642074^(MIN($E906,123)-117)))*1,0))</f>
        <v>131285817</v>
      </c>
      <c r="W906" s="6">
        <f>$E906+15</f>
        <v>130</v>
      </c>
      <c r="X906" s="7">
        <f>IF($J906=0,0,ROUND(MAX($J906*1.4*1.5*1.6*1.6*2.2*2.715*2.6,3540000000*(1.579646^(MIN($E906,123)-117)))*1,0))</f>
        <v>1418677620</v>
      </c>
      <c r="Y906" s="4">
        <f>$E906+17</f>
        <v>132</v>
      </c>
      <c r="Z906" s="8">
        <f>IF($J906=0,0,ROUND(MAX($J906*1.4*1.5*1.6*1.6*2.2*2.715*2.6*1.4,6020000000*(1.651178^(MIN($E906,123)-117)))*1,0))</f>
        <v>2208048987</v>
      </c>
      <c r="AA906" s="6">
        <f>$E906+19</f>
        <v>134</v>
      </c>
      <c r="AB906" s="7">
        <f>IF($J906=0,0,ROUND(MAX($J906*1.4*1.5*1.6*1.6*2.2*2.715*2.6*1.4*1.4,8430000000*(1.651435^(MIN($E906,123)-117)))*1,0))</f>
        <v>3091039859</v>
      </c>
      <c r="AC906" s="4">
        <f>$E906+21</f>
        <v>136</v>
      </c>
      <c r="AD906" s="8">
        <f>IF($J906=0,0,ROUND(MAX($J906*1.4*1.5*1.6*1.6*2.2*2.715*2.6*1.4*1.4*1.5,12600000000*(1.652953^(MIN($E906,123)-117)))*1,0))</f>
        <v>4611577749</v>
      </c>
      <c r="AE906" s="6">
        <f>$E906+24</f>
        <v>139</v>
      </c>
      <c r="AF906" s="7">
        <f>IF($J906=0,0,ROUND(MAX($J906*1.4*1.5*1.6*1.6*2.2*2.715*2.6*1.4*1.4*1.5*1.5,18900000000*(1.65331^(MIN($E906,123)-117)))*1,0))</f>
        <v>6914379606</v>
      </c>
      <c r="AG906" s="4">
        <f>$E906+27</f>
        <v>142</v>
      </c>
      <c r="AH906" s="8">
        <f>IF($J906=0,0,ROUND(MAX($J906*1.4*1.5*1.6*1.6*2.2*2.715*2.6*1.4*1.4*1.5*1.5*3.2,60500000000*(1.654288^(MIN($E906,123)-117)))*1,0))</f>
        <v>22107169230</v>
      </c>
    </row>
    <row r="907" ht="27.75" customHeight="1" spans="1:34" x14ac:dyDescent="0.25">
      <c r="A907" s="3">
        <v>917</v>
      </c>
      <c r="B907" s="3" t="s">
        <v>84</v>
      </c>
      <c r="C907" s="3" t="s">
        <v>768</v>
      </c>
      <c r="D907" s="3" t="s">
        <v>45</v>
      </c>
      <c r="E907" s="3">
        <v>115</v>
      </c>
      <c r="F907" s="3" t="s">
        <v>62</v>
      </c>
      <c r="G907" s="3" t="s">
        <v>769</v>
      </c>
      <c r="H907" s="3">
        <v>29</v>
      </c>
      <c r="I907" s="4">
        <v>115</v>
      </c>
      <c r="J907" s="5">
        <v>1500000</v>
      </c>
      <c r="K907" s="6">
        <f>$E907+1</f>
        <v>116</v>
      </c>
      <c r="L907" s="7">
        <f>IF($J907=0,0,ROUND(MAX($J907*1.4,1620000*(1.497923^(MIN($E907,123)-117)))*1,0))</f>
        <v>2100000</v>
      </c>
      <c r="M907" s="4">
        <f>$E907+2</f>
        <v>117</v>
      </c>
      <c r="N907" s="8">
        <f>IF($J907=0,0,ROUND(MAX($J907*1.4*1.5,2190000*(1.580994^(MIN($E907,123)-117)))*1,0))</f>
        <v>3150000</v>
      </c>
      <c r="O907" s="6">
        <f>$E907+4</f>
        <v>119</v>
      </c>
      <c r="P907" s="7">
        <f>IF($J907=0,0,ROUND(MAX($J907*1.4*1.5*1.6,3500000*(1.57975^(MIN($E907,123)-117)))*1,0))</f>
        <v>5040000</v>
      </c>
      <c r="Q907" s="4">
        <f>$E907+6</f>
        <v>121</v>
      </c>
      <c r="R907" s="8">
        <f>IF($J907=0,0,ROUND(MAX($J907*1.4*1.5*1.6*1.6,13100000*(1.429962^(MIN($E907,123)-117)))*1,0))</f>
        <v>8064000</v>
      </c>
      <c r="S907" s="6">
        <f>$E907+8</f>
        <v>123</v>
      </c>
      <c r="T907" s="7">
        <f>IF($J907=0,0,ROUND(MAX($J907*1.4*1.5*1.6*1.6*2.2,42600000*(1.576904^(MIN($E907,123)-117)))*1,0))</f>
        <v>17740800</v>
      </c>
      <c r="U907" s="4">
        <f>$E907+11</f>
        <v>126</v>
      </c>
      <c r="V907" s="8">
        <f>IF($J907=0,0,ROUND(MAX($J907*1.4*1.5*1.6*1.6*2.2*2.715,354000000*(1.642074^(MIN($E907,123)-117)))*1,0))</f>
        <v>131285817</v>
      </c>
      <c r="W907" s="6">
        <f>$E907+15</f>
        <v>130</v>
      </c>
      <c r="X907" s="7">
        <f>IF($J907=0,0,ROUND(MAX($J907*1.4*1.5*1.6*1.6*2.2*2.715*2.6,3540000000*(1.579646^(MIN($E907,123)-117)))*1,0))</f>
        <v>1418677620</v>
      </c>
      <c r="Y907" s="4">
        <f>$E907+17</f>
        <v>132</v>
      </c>
      <c r="Z907" s="8">
        <f>IF($J907=0,0,ROUND(MAX($J907*1.4*1.5*1.6*1.6*2.2*2.715*2.6*1.4,6020000000*(1.651178^(MIN($E907,123)-117)))*1,0))</f>
        <v>2208048987</v>
      </c>
      <c r="AA907" s="6">
        <f>$E907+19</f>
        <v>134</v>
      </c>
      <c r="AB907" s="7">
        <f>IF($J907=0,0,ROUND(MAX($J907*1.4*1.5*1.6*1.6*2.2*2.715*2.6*1.4*1.4,8430000000*(1.651435^(MIN($E907,123)-117)))*1,0))</f>
        <v>3091039859</v>
      </c>
      <c r="AC907" s="4">
        <f>$E907+21</f>
        <v>136</v>
      </c>
      <c r="AD907" s="8">
        <f>IF($J907=0,0,ROUND(MAX($J907*1.4*1.5*1.6*1.6*2.2*2.715*2.6*1.4*1.4*1.5,12600000000*(1.652953^(MIN($E907,123)-117)))*1,0))</f>
        <v>4611577749</v>
      </c>
      <c r="AE907" s="6">
        <f>$E907+24</f>
        <v>139</v>
      </c>
      <c r="AF907" s="7">
        <f>IF($J907=0,0,ROUND(MAX($J907*1.4*1.5*1.6*1.6*2.2*2.715*2.6*1.4*1.4*1.5*1.5,18900000000*(1.65331^(MIN($E907,123)-117)))*1,0))</f>
        <v>6914379606</v>
      </c>
      <c r="AG907" s="4">
        <f>$E907+27</f>
        <v>142</v>
      </c>
      <c r="AH907" s="8">
        <f>IF($J907=0,0,ROUND(MAX($J907*1.4*1.5*1.6*1.6*2.2*2.715*2.6*1.4*1.4*1.5*1.5*3.2,60500000000*(1.654288^(MIN($E907,123)-117)))*1,0))</f>
        <v>22107169230</v>
      </c>
    </row>
    <row r="908" ht="27.75" customHeight="1" spans="1:34" x14ac:dyDescent="0.25">
      <c r="A908" s="3">
        <v>918</v>
      </c>
      <c r="B908" s="3" t="s">
        <v>149</v>
      </c>
      <c r="C908" s="3" t="s">
        <v>768</v>
      </c>
      <c r="D908" s="3" t="s">
        <v>33</v>
      </c>
      <c r="E908" s="3">
        <v>115</v>
      </c>
      <c r="F908" s="3" t="s">
        <v>56</v>
      </c>
      <c r="G908" s="3" t="s">
        <v>769</v>
      </c>
      <c r="H908" s="3">
        <v>29</v>
      </c>
      <c r="I908" s="4">
        <v>115</v>
      </c>
      <c r="J908" s="5">
        <v>531000</v>
      </c>
      <c r="K908" s="6">
        <f>$E908+1</f>
        <v>116</v>
      </c>
      <c r="L908" s="7">
        <f>IF($J908=0,0,ROUND(MAX($J908*1.4,1620000*(1.497923^(MIN($E908,123)-117)))*1,0))</f>
        <v>743400</v>
      </c>
      <c r="M908" s="4">
        <f>$E908+2</f>
        <v>117</v>
      </c>
      <c r="N908" s="8">
        <f>IF($J908=0,0,ROUND(MAX($J908*1.4*1.5,2190000*(1.580994^(MIN($E908,123)-117)))*1,0))</f>
        <v>1115100</v>
      </c>
      <c r="O908" s="6">
        <f>$E908+4</f>
        <v>119</v>
      </c>
      <c r="P908" s="7">
        <f>IF($J908=0,0,ROUND(MAX($J908*1.4*1.5*1.6,3500000*(1.57975^(MIN($E908,123)-117)))*1,0))</f>
        <v>1784160</v>
      </c>
      <c r="Q908" s="4">
        <f>$E908+6</f>
        <v>121</v>
      </c>
      <c r="R908" s="8">
        <f>IF($J908=0,0,ROUND(MAX($J908*1.4*1.5*1.6*1.6,13100000*(1.429962^(MIN($E908,123)-117)))*1,0))</f>
        <v>6406522</v>
      </c>
      <c r="S908" s="6">
        <f>$E908+8</f>
        <v>123</v>
      </c>
      <c r="T908" s="7">
        <f>IF($J908=0,0,ROUND(MAX($J908*1.4*1.5*1.6*1.6*2.2,42600000*(1.576904^(MIN($E908,123)-117)))*1,0))</f>
        <v>17131646</v>
      </c>
      <c r="U908" s="4">
        <f>$E908+11</f>
        <v>126</v>
      </c>
      <c r="V908" s="8">
        <f>IF($J908=0,0,ROUND(MAX($J908*1.4*1.5*1.6*1.6*2.2*2.715,354000000*(1.642074^(MIN($E908,123)-117)))*1,0))</f>
        <v>131285817</v>
      </c>
      <c r="W908" s="6">
        <f>$E908+15</f>
        <v>130</v>
      </c>
      <c r="X908" s="7">
        <f>IF($J908=0,0,ROUND(MAX($J908*1.4*1.5*1.6*1.6*2.2*2.715*2.6,3540000000*(1.579646^(MIN($E908,123)-117)))*1,0))</f>
        <v>1418677620</v>
      </c>
      <c r="Y908" s="4">
        <f>$E908+17</f>
        <v>132</v>
      </c>
      <c r="Z908" s="8">
        <f>IF($J908=0,0,ROUND(MAX($J908*1.4*1.5*1.6*1.6*2.2*2.715*2.6*1.4,6020000000*(1.651178^(MIN($E908,123)-117)))*1,0))</f>
        <v>2208048987</v>
      </c>
      <c r="AA908" s="6">
        <f>$E908+19</f>
        <v>134</v>
      </c>
      <c r="AB908" s="7">
        <f>IF($J908=0,0,ROUND(MAX($J908*1.4*1.5*1.6*1.6*2.2*2.715*2.6*1.4*1.4,8430000000*(1.651435^(MIN($E908,123)-117)))*1,0))</f>
        <v>3091039859</v>
      </c>
      <c r="AC908" s="4">
        <f>$E908+21</f>
        <v>136</v>
      </c>
      <c r="AD908" s="8">
        <f>IF($J908=0,0,ROUND(MAX($J908*1.4*1.5*1.6*1.6*2.2*2.715*2.6*1.4*1.4*1.5,12600000000*(1.652953^(MIN($E908,123)-117)))*1,0))</f>
        <v>4611577749</v>
      </c>
      <c r="AE908" s="6">
        <f>$E908+24</f>
        <v>139</v>
      </c>
      <c r="AF908" s="7">
        <f>IF($J908=0,0,ROUND(MAX($J908*1.4*1.5*1.6*1.6*2.2*2.715*2.6*1.4*1.4*1.5*1.5,18900000000*(1.65331^(MIN($E908,123)-117)))*1,0))</f>
        <v>6914379606</v>
      </c>
      <c r="AG908" s="4">
        <f>$E908+27</f>
        <v>142</v>
      </c>
      <c r="AH908" s="8">
        <f>IF($J908=0,0,ROUND(MAX($J908*1.4*1.5*1.6*1.6*2.2*2.715*2.6*1.4*1.4*1.5*1.5*3.2,60500000000*(1.654288^(MIN($E908,123)-117)))*1,0))</f>
        <v>22107169230</v>
      </c>
    </row>
    <row r="909" ht="27.75" customHeight="1" spans="1:34" x14ac:dyDescent="0.25">
      <c r="A909" s="3">
        <v>919</v>
      </c>
      <c r="B909" s="3" t="s">
        <v>110</v>
      </c>
      <c r="C909" s="3" t="s">
        <v>768</v>
      </c>
      <c r="D909" s="3" t="s">
        <v>64</v>
      </c>
      <c r="E909" s="3">
        <v>115</v>
      </c>
      <c r="F909" s="3" t="s">
        <v>59</v>
      </c>
      <c r="G909" s="3" t="s">
        <v>769</v>
      </c>
      <c r="H909" s="3">
        <v>29</v>
      </c>
      <c r="I909" s="4">
        <v>115</v>
      </c>
      <c r="J909" s="5">
        <v>445000</v>
      </c>
      <c r="K909" s="6">
        <f>$E909+1</f>
        <v>116</v>
      </c>
      <c r="L909" s="7">
        <f>IF($J909=0,0,ROUND(MAX($J909*1.4,1620000*(1.497923^(MIN($E909,123)-117)))*1,0))</f>
        <v>721998</v>
      </c>
      <c r="M909" s="4">
        <f>$E909+2</f>
        <v>117</v>
      </c>
      <c r="N909" s="8">
        <f>IF($J909=0,0,ROUND(MAX($J909*1.4*1.5,2190000*(1.580994^(MIN($E909,123)-117)))*1,0))</f>
        <v>934500</v>
      </c>
      <c r="O909" s="6">
        <f>$E909+4</f>
        <v>119</v>
      </c>
      <c r="P909" s="7">
        <f>IF($J909=0,0,ROUND(MAX($J909*1.4*1.5*1.6,3500000*(1.57975^(MIN($E909,123)-117)))*1,0))</f>
        <v>1495200</v>
      </c>
      <c r="Q909" s="4">
        <f>$E909+6</f>
        <v>121</v>
      </c>
      <c r="R909" s="8">
        <f>IF($J909=0,0,ROUND(MAX($J909*1.4*1.5*1.6*1.6,13100000*(1.429962^(MIN($E909,123)-117)))*1,0))</f>
        <v>6406522</v>
      </c>
      <c r="S909" s="6">
        <f>$E909+8</f>
        <v>123</v>
      </c>
      <c r="T909" s="7">
        <f>IF($J909=0,0,ROUND(MAX($J909*1.4*1.5*1.6*1.6*2.2,42600000*(1.576904^(MIN($E909,123)-117)))*1,0))</f>
        <v>17131646</v>
      </c>
      <c r="U909" s="4">
        <f>$E909+11</f>
        <v>126</v>
      </c>
      <c r="V909" s="8">
        <f>IF($J909=0,0,ROUND(MAX($J909*1.4*1.5*1.6*1.6*2.2*2.715,354000000*(1.642074^(MIN($E909,123)-117)))*1,0))</f>
        <v>131285817</v>
      </c>
      <c r="W909" s="6">
        <f>$E909+15</f>
        <v>130</v>
      </c>
      <c r="X909" s="7">
        <f>IF($J909=0,0,ROUND(MAX($J909*1.4*1.5*1.6*1.6*2.2*2.715*2.6,3540000000*(1.579646^(MIN($E909,123)-117)))*1,0))</f>
        <v>1418677620</v>
      </c>
      <c r="Y909" s="4">
        <f>$E909+17</f>
        <v>132</v>
      </c>
      <c r="Z909" s="8">
        <f>IF($J909=0,0,ROUND(MAX($J909*1.4*1.5*1.6*1.6*2.2*2.715*2.6*1.4,6020000000*(1.651178^(MIN($E909,123)-117)))*1,0))</f>
        <v>2208048987</v>
      </c>
      <c r="AA909" s="6">
        <f>$E909+19</f>
        <v>134</v>
      </c>
      <c r="AB909" s="7">
        <f>IF($J909=0,0,ROUND(MAX($J909*1.4*1.5*1.6*1.6*2.2*2.715*2.6*1.4*1.4,8430000000*(1.651435^(MIN($E909,123)-117)))*1,0))</f>
        <v>3091039859</v>
      </c>
      <c r="AC909" s="4">
        <f>$E909+21</f>
        <v>136</v>
      </c>
      <c r="AD909" s="8">
        <f>IF($J909=0,0,ROUND(MAX($J909*1.4*1.5*1.6*1.6*2.2*2.715*2.6*1.4*1.4*1.5,12600000000*(1.652953^(MIN($E909,123)-117)))*1,0))</f>
        <v>4611577749</v>
      </c>
      <c r="AE909" s="6">
        <f>$E909+24</f>
        <v>139</v>
      </c>
      <c r="AF909" s="7">
        <f>IF($J909=0,0,ROUND(MAX($J909*1.4*1.5*1.6*1.6*2.2*2.715*2.6*1.4*1.4*1.5*1.5,18900000000*(1.65331^(MIN($E909,123)-117)))*1,0))</f>
        <v>6914379606</v>
      </c>
      <c r="AG909" s="4">
        <f>$E909+27</f>
        <v>142</v>
      </c>
      <c r="AH909" s="8">
        <f>IF($J909=0,0,ROUND(MAX($J909*1.4*1.5*1.6*1.6*2.2*2.715*2.6*1.4*1.4*1.5*1.5*3.2,60500000000*(1.654288^(MIN($E909,123)-117)))*1,0))</f>
        <v>22107169230</v>
      </c>
    </row>
    <row r="910" ht="27.75" customHeight="1" spans="1:34" x14ac:dyDescent="0.25">
      <c r="A910" s="3">
        <v>920</v>
      </c>
      <c r="B910" s="3" t="s">
        <v>121</v>
      </c>
      <c r="C910" s="3" t="s">
        <v>768</v>
      </c>
      <c r="D910" s="3" t="s">
        <v>79</v>
      </c>
      <c r="E910" s="3">
        <v>115</v>
      </c>
      <c r="F910" s="3" t="s">
        <v>62</v>
      </c>
      <c r="G910" s="3" t="s">
        <v>769</v>
      </c>
      <c r="H910" s="3">
        <v>29</v>
      </c>
      <c r="I910" s="4">
        <v>115</v>
      </c>
      <c r="J910" s="5">
        <v>622000</v>
      </c>
      <c r="K910" s="6">
        <f>$E910+1</f>
        <v>116</v>
      </c>
      <c r="L910" s="7">
        <f>IF($J910=0,0,ROUND(MAX($J910*1.4,1620000*(1.497923^(MIN($E910,123)-117)))*1,0))</f>
        <v>870800</v>
      </c>
      <c r="M910" s="4">
        <f>$E910+2</f>
        <v>117</v>
      </c>
      <c r="N910" s="8">
        <f>IF($J910=0,0,ROUND(MAX($J910*1.4*1.5,2190000*(1.580994^(MIN($E910,123)-117)))*1,0))</f>
        <v>1306200</v>
      </c>
      <c r="O910" s="6">
        <f>$E910+4</f>
        <v>119</v>
      </c>
      <c r="P910" s="7">
        <f>IF($J910=0,0,ROUND(MAX($J910*1.4*1.5*1.6,3500000*(1.57975^(MIN($E910,123)-117)))*1,0))</f>
        <v>2089920</v>
      </c>
      <c r="Q910" s="4">
        <f>$E910+6</f>
        <v>121</v>
      </c>
      <c r="R910" s="8">
        <f>IF($J910=0,0,ROUND(MAX($J910*1.4*1.5*1.6*1.6,13100000*(1.429962^(MIN($E910,123)-117)))*1,0))</f>
        <v>6406522</v>
      </c>
      <c r="S910" s="6">
        <f>$E910+8</f>
        <v>123</v>
      </c>
      <c r="T910" s="7">
        <f>IF($J910=0,0,ROUND(MAX($J910*1.4*1.5*1.6*1.6*2.2,42600000*(1.576904^(MIN($E910,123)-117)))*1,0))</f>
        <v>17131646</v>
      </c>
      <c r="U910" s="4">
        <f>$E910+11</f>
        <v>126</v>
      </c>
      <c r="V910" s="8">
        <f>IF($J910=0,0,ROUND(MAX($J910*1.4*1.5*1.6*1.6*2.2*2.715,354000000*(1.642074^(MIN($E910,123)-117)))*1,0))</f>
        <v>131285817</v>
      </c>
      <c r="W910" s="6">
        <f>$E910+15</f>
        <v>130</v>
      </c>
      <c r="X910" s="7">
        <f>IF($J910=0,0,ROUND(MAX($J910*1.4*1.5*1.6*1.6*2.2*2.715*2.6,3540000000*(1.579646^(MIN($E910,123)-117)))*1,0))</f>
        <v>1418677620</v>
      </c>
      <c r="Y910" s="4">
        <f>$E910+17</f>
        <v>132</v>
      </c>
      <c r="Z910" s="8">
        <f>IF($J910=0,0,ROUND(MAX($J910*1.4*1.5*1.6*1.6*2.2*2.715*2.6*1.4,6020000000*(1.651178^(MIN($E910,123)-117)))*1,0))</f>
        <v>2208048987</v>
      </c>
      <c r="AA910" s="6">
        <f>$E910+19</f>
        <v>134</v>
      </c>
      <c r="AB910" s="7">
        <f>IF($J910=0,0,ROUND(MAX($J910*1.4*1.5*1.6*1.6*2.2*2.715*2.6*1.4*1.4,8430000000*(1.651435^(MIN($E910,123)-117)))*1,0))</f>
        <v>3091039859</v>
      </c>
      <c r="AC910" s="4">
        <f>$E910+21</f>
        <v>136</v>
      </c>
      <c r="AD910" s="8">
        <f>IF($J910=0,0,ROUND(MAX($J910*1.4*1.5*1.6*1.6*2.2*2.715*2.6*1.4*1.4*1.5,12600000000*(1.652953^(MIN($E910,123)-117)))*1,0))</f>
        <v>4611577749</v>
      </c>
      <c r="AE910" s="6">
        <f>$E910+24</f>
        <v>139</v>
      </c>
      <c r="AF910" s="7">
        <f>IF($J910=0,0,ROUND(MAX($J910*1.4*1.5*1.6*1.6*2.2*2.715*2.6*1.4*1.4*1.5*1.5,18900000000*(1.65331^(MIN($E910,123)-117)))*1,0))</f>
        <v>6914379606</v>
      </c>
      <c r="AG910" s="4">
        <f>$E910+27</f>
        <v>142</v>
      </c>
      <c r="AH910" s="8">
        <f>IF($J910=0,0,ROUND(MAX($J910*1.4*1.5*1.6*1.6*2.2*2.715*2.6*1.4*1.4*1.5*1.5*3.2,60500000000*(1.654288^(MIN($E910,123)-117)))*1,0))</f>
        <v>22107169230</v>
      </c>
    </row>
    <row r="911" ht="27.75" customHeight="1" spans="1:34" x14ac:dyDescent="0.25">
      <c r="A911" s="3">
        <v>921</v>
      </c>
      <c r="B911" s="3" t="s">
        <v>135</v>
      </c>
      <c r="C911" s="3" t="s">
        <v>768</v>
      </c>
      <c r="D911" s="3" t="s">
        <v>29</v>
      </c>
      <c r="E911" s="3">
        <v>115</v>
      </c>
      <c r="F911" s="3" t="s">
        <v>136</v>
      </c>
      <c r="G911" s="3" t="s">
        <v>769</v>
      </c>
      <c r="H911" s="3">
        <v>28</v>
      </c>
      <c r="I911" s="4">
        <v>115</v>
      </c>
      <c r="J911" s="5">
        <v>343000</v>
      </c>
      <c r="K911" s="6">
        <f>$E911+1</f>
        <v>116</v>
      </c>
      <c r="L911" s="7">
        <f>IF($J911=0,0,ROUND(MAX($J911*1.4,1620000*(1.497923^(MIN($E911,123)-117)))*1,0))</f>
        <v>721998</v>
      </c>
      <c r="M911" s="4">
        <f>$E911+2</f>
        <v>117</v>
      </c>
      <c r="N911" s="8">
        <f>IF($J911=0,0,ROUND(MAX($J911*1.4*1.5,2190000*(1.580994^(MIN($E911,123)-117)))*1,0))</f>
        <v>876161</v>
      </c>
      <c r="O911" s="6">
        <f>$E911+4</f>
        <v>119</v>
      </c>
      <c r="P911" s="7">
        <f>IF($J911=0,0,ROUND(MAX($J911*1.4*1.5*1.6,3500000*(1.57975^(MIN($E911,123)-117)))*1,0))</f>
        <v>1402463</v>
      </c>
      <c r="Q911" s="4">
        <f>$E911+6</f>
        <v>121</v>
      </c>
      <c r="R911" s="8">
        <f>IF($J911=0,0,ROUND(MAX($J911*1.4*1.5*1.6*1.6,13100000*(1.429962^(MIN($E911,123)-117)))*1,0))</f>
        <v>6406522</v>
      </c>
      <c r="S911" s="6">
        <f>$E911+8</f>
        <v>123</v>
      </c>
      <c r="T911" s="7">
        <f>IF($J911=0,0,ROUND(MAX($J911*1.4*1.5*1.6*1.6*2.2,42600000*(1.576904^(MIN($E911,123)-117)))*1,0))</f>
        <v>17131646</v>
      </c>
      <c r="U911" s="4">
        <f>$E911+11</f>
        <v>126</v>
      </c>
      <c r="V911" s="8">
        <f>IF($J911=0,0,ROUND(MAX($J911*1.4*1.5*1.6*1.6*2.2*2.715,354000000*(1.642074^(MIN($E911,123)-117)))*1,0))</f>
        <v>131285817</v>
      </c>
      <c r="W911" s="6">
        <f>$E911+15</f>
        <v>130</v>
      </c>
      <c r="X911" s="7">
        <f>IF($J911=0,0,ROUND(MAX($J911*1.4*1.5*1.6*1.6*2.2*2.715*2.6,3540000000*(1.579646^(MIN($E911,123)-117)))*1,0))</f>
        <v>1418677620</v>
      </c>
      <c r="Y911" s="4">
        <f>$E911+17</f>
        <v>132</v>
      </c>
      <c r="Z911" s="8">
        <f>IF($J911=0,0,ROUND(MAX($J911*1.4*1.5*1.6*1.6*2.2*2.715*2.6*1.4,6020000000*(1.651178^(MIN($E911,123)-117)))*1,0))</f>
        <v>2208048987</v>
      </c>
      <c r="AA911" s="6">
        <f>$E911+19</f>
        <v>134</v>
      </c>
      <c r="AB911" s="7">
        <f>IF($J911=0,0,ROUND(MAX($J911*1.4*1.5*1.6*1.6*2.2*2.715*2.6*1.4*1.4,8430000000*(1.651435^(MIN($E911,123)-117)))*1,0))</f>
        <v>3091039859</v>
      </c>
      <c r="AC911" s="4">
        <f>$E911+21</f>
        <v>136</v>
      </c>
      <c r="AD911" s="8">
        <f>IF($J911=0,0,ROUND(MAX($J911*1.4*1.5*1.6*1.6*2.2*2.715*2.6*1.4*1.4*1.5,12600000000*(1.652953^(MIN($E911,123)-117)))*1,0))</f>
        <v>4611577749</v>
      </c>
      <c r="AE911" s="6">
        <f>$E911+24</f>
        <v>139</v>
      </c>
      <c r="AF911" s="7">
        <f>IF($J911=0,0,ROUND(MAX($J911*1.4*1.5*1.6*1.6*2.2*2.715*2.6*1.4*1.4*1.5*1.5,18900000000*(1.65331^(MIN($E911,123)-117)))*1,0))</f>
        <v>6914379606</v>
      </c>
      <c r="AG911" s="4">
        <f>$E911+27</f>
        <v>142</v>
      </c>
      <c r="AH911" s="8">
        <f>IF($J911=0,0,ROUND(MAX($J911*1.4*1.5*1.6*1.6*2.2*2.715*2.6*1.4*1.4*1.5*1.5*3.2,60500000000*(1.654288^(MIN($E911,123)-117)))*1,0))</f>
        <v>22107169230</v>
      </c>
    </row>
    <row r="912" ht="27.75" customHeight="1" spans="1:34" x14ac:dyDescent="0.25">
      <c r="A912" s="3">
        <v>922</v>
      </c>
      <c r="B912" s="3" t="s">
        <v>234</v>
      </c>
      <c r="C912" s="3" t="s">
        <v>768</v>
      </c>
      <c r="D912" s="3" t="s">
        <v>40</v>
      </c>
      <c r="E912" s="3">
        <v>115</v>
      </c>
      <c r="F912" s="3" t="s">
        <v>223</v>
      </c>
      <c r="G912" s="3" t="s">
        <v>185</v>
      </c>
      <c r="H912" s="3">
        <v>28</v>
      </c>
      <c r="I912" s="4">
        <v>115</v>
      </c>
      <c r="J912" s="5">
        <v>706000</v>
      </c>
      <c r="K912" s="6">
        <f>$E912+1</f>
        <v>116</v>
      </c>
      <c r="L912" s="7">
        <f>IF($J912=0,0,ROUND(MAX($J912*1.4,1620000*(1.497923^(MIN($E912,123)-117)))*1,0))</f>
        <v>988400</v>
      </c>
      <c r="M912" s="4">
        <f>$E912+2</f>
        <v>117</v>
      </c>
      <c r="N912" s="8">
        <f>IF($J912=0,0,ROUND(MAX($J912*1.4*1.5,2190000*(1.580994^(MIN($E912,123)-117)))*1,0))</f>
        <v>1482600</v>
      </c>
      <c r="O912" s="6">
        <f>$E912+4</f>
        <v>119</v>
      </c>
      <c r="P912" s="7">
        <f>IF($J912=0,0,ROUND(MAX($J912*1.4*1.5*1.6,3500000*(1.57975^(MIN($E912,123)-117)))*1,0))</f>
        <v>2372160</v>
      </c>
      <c r="Q912" s="4">
        <f>$E912+6</f>
        <v>121</v>
      </c>
      <c r="R912" s="8">
        <f>IF($J912=0,0,ROUND(MAX($J912*1.4*1.5*1.6*1.6,13100000*(1.429962^(MIN($E912,123)-117)))*1,0))</f>
        <v>6406522</v>
      </c>
      <c r="S912" s="6">
        <f>$E912+8</f>
        <v>123</v>
      </c>
      <c r="T912" s="7">
        <f>IF($J912=0,0,ROUND(MAX($J912*1.4*1.5*1.6*1.6*2.2,42600000*(1.576904^(MIN($E912,123)-117)))*1,0))</f>
        <v>17131646</v>
      </c>
      <c r="U912" s="4">
        <f>$E912+11</f>
        <v>126</v>
      </c>
      <c r="V912" s="8">
        <f>IF($J912=0,0,ROUND(MAX($J912*1.4*1.5*1.6*1.6*2.2*2.715,354000000*(1.642074^(MIN($E912,123)-117)))*1,0))</f>
        <v>131285817</v>
      </c>
      <c r="W912" s="6">
        <f>$E912+15</f>
        <v>130</v>
      </c>
      <c r="X912" s="7">
        <f>IF($J912=0,0,ROUND(MAX($J912*1.4*1.5*1.6*1.6*2.2*2.715*2.6,3540000000*(1.579646^(MIN($E912,123)-117)))*1,0))</f>
        <v>1418677620</v>
      </c>
      <c r="Y912" s="4">
        <f>$E912+17</f>
        <v>132</v>
      </c>
      <c r="Z912" s="8">
        <f>IF($J912=0,0,ROUND(MAX($J912*1.4*1.5*1.6*1.6*2.2*2.715*2.6*1.4,6020000000*(1.651178^(MIN($E912,123)-117)))*1,0))</f>
        <v>2208048987</v>
      </c>
      <c r="AA912" s="6">
        <f>$E912+19</f>
        <v>134</v>
      </c>
      <c r="AB912" s="7">
        <f>IF($J912=0,0,ROUND(MAX($J912*1.4*1.5*1.6*1.6*2.2*2.715*2.6*1.4*1.4,8430000000*(1.651435^(MIN($E912,123)-117)))*1,0))</f>
        <v>3091039859</v>
      </c>
      <c r="AC912" s="4">
        <f>$E912+21</f>
        <v>136</v>
      </c>
      <c r="AD912" s="8">
        <f>IF($J912=0,0,ROUND(MAX($J912*1.4*1.5*1.6*1.6*2.2*2.715*2.6*1.4*1.4*1.5,12600000000*(1.652953^(MIN($E912,123)-117)))*1,0))</f>
        <v>4611577749</v>
      </c>
      <c r="AE912" s="6">
        <f>$E912+24</f>
        <v>139</v>
      </c>
      <c r="AF912" s="7">
        <f>IF($J912=0,0,ROUND(MAX($J912*1.4*1.5*1.6*1.6*2.2*2.715*2.6*1.4*1.4*1.5*1.5,18900000000*(1.65331^(MIN($E912,123)-117)))*1,0))</f>
        <v>6914379606</v>
      </c>
      <c r="AG912" s="4">
        <f>$E912+27</f>
        <v>142</v>
      </c>
      <c r="AH912" s="8">
        <f>IF($J912=0,0,ROUND(MAX($J912*1.4*1.5*1.6*1.6*2.2*2.715*2.6*1.4*1.4*1.5*1.5*3.2,60500000000*(1.654288^(MIN($E912,123)-117)))*1,0))</f>
        <v>22107169230</v>
      </c>
    </row>
    <row r="913" ht="27.75" customHeight="1" spans="1:34" x14ac:dyDescent="0.25">
      <c r="A913" s="3">
        <v>923</v>
      </c>
      <c r="B913" s="3" t="s">
        <v>587</v>
      </c>
      <c r="C913" s="3" t="s">
        <v>768</v>
      </c>
      <c r="D913" s="3" t="s">
        <v>29</v>
      </c>
      <c r="E913" s="3">
        <v>115</v>
      </c>
      <c r="F913" s="3" t="s">
        <v>30</v>
      </c>
      <c r="G913" s="3" t="s">
        <v>38</v>
      </c>
      <c r="H913" s="3">
        <v>28</v>
      </c>
      <c r="I913" s="4">
        <v>115</v>
      </c>
      <c r="J913" s="5">
        <v>761000</v>
      </c>
      <c r="K913" s="6">
        <f>$E913+1</f>
        <v>116</v>
      </c>
      <c r="L913" s="7">
        <f>IF($J913=0,0,ROUND(MAX($J913*1.4,1620000*(1.497923^(MIN($E913,123)-117)))*1,0))</f>
        <v>1065400</v>
      </c>
      <c r="M913" s="4">
        <f>$E913+2</f>
        <v>117</v>
      </c>
      <c r="N913" s="8">
        <f>IF($J913=0,0,ROUND(MAX($J913*1.4*1.5,2190000*(1.580994^(MIN($E913,123)-117)))*1,0))</f>
        <v>1598100</v>
      </c>
      <c r="O913" s="6">
        <f>$E913+4</f>
        <v>119</v>
      </c>
      <c r="P913" s="7">
        <f>IF($J913=0,0,ROUND(MAX($J913*1.4*1.5*1.6,3500000*(1.57975^(MIN($E913,123)-117)))*1,0))</f>
        <v>2556960</v>
      </c>
      <c r="Q913" s="4">
        <f>$E913+6</f>
        <v>121</v>
      </c>
      <c r="R913" s="8">
        <f>IF($J913=0,0,ROUND(MAX($J913*1.4*1.5*1.6*1.6,13100000*(1.429962^(MIN($E913,123)-117)))*1,0))</f>
        <v>6406522</v>
      </c>
      <c r="S913" s="6">
        <f>$E913+8</f>
        <v>123</v>
      </c>
      <c r="T913" s="7">
        <f>IF($J913=0,0,ROUND(MAX($J913*1.4*1.5*1.6*1.6*2.2,42600000*(1.576904^(MIN($E913,123)-117)))*1,0))</f>
        <v>17131646</v>
      </c>
      <c r="U913" s="4">
        <f>$E913+11</f>
        <v>126</v>
      </c>
      <c r="V913" s="8">
        <f>IF($J913=0,0,ROUND(MAX($J913*1.4*1.5*1.6*1.6*2.2*2.715,354000000*(1.642074^(MIN($E913,123)-117)))*1,0))</f>
        <v>131285817</v>
      </c>
      <c r="W913" s="6">
        <f>$E913+15</f>
        <v>130</v>
      </c>
      <c r="X913" s="7">
        <f>IF($J913=0,0,ROUND(MAX($J913*1.4*1.5*1.6*1.6*2.2*2.715*2.6,3540000000*(1.579646^(MIN($E913,123)-117)))*1,0))</f>
        <v>1418677620</v>
      </c>
      <c r="Y913" s="4">
        <f>$E913+17</f>
        <v>132</v>
      </c>
      <c r="Z913" s="8">
        <f>IF($J913=0,0,ROUND(MAX($J913*1.4*1.5*1.6*1.6*2.2*2.715*2.6*1.4,6020000000*(1.651178^(MIN($E913,123)-117)))*1,0))</f>
        <v>2208048987</v>
      </c>
      <c r="AA913" s="6">
        <f>$E913+19</f>
        <v>134</v>
      </c>
      <c r="AB913" s="7">
        <f>IF($J913=0,0,ROUND(MAX($J913*1.4*1.5*1.6*1.6*2.2*2.715*2.6*1.4*1.4,8430000000*(1.651435^(MIN($E913,123)-117)))*1,0))</f>
        <v>3091039859</v>
      </c>
      <c r="AC913" s="4">
        <f>$E913+21</f>
        <v>136</v>
      </c>
      <c r="AD913" s="8">
        <f>IF($J913=0,0,ROUND(MAX($J913*1.4*1.5*1.6*1.6*2.2*2.715*2.6*1.4*1.4*1.5,12600000000*(1.652953^(MIN($E913,123)-117)))*1,0))</f>
        <v>4611577749</v>
      </c>
      <c r="AE913" s="6">
        <f>$E913+24</f>
        <v>139</v>
      </c>
      <c r="AF913" s="7">
        <f>IF($J913=0,0,ROUND(MAX($J913*1.4*1.5*1.6*1.6*2.2*2.715*2.6*1.4*1.4*1.5*1.5,18900000000*(1.65331^(MIN($E913,123)-117)))*1,0))</f>
        <v>6914379606</v>
      </c>
      <c r="AG913" s="4">
        <f>$E913+27</f>
        <v>142</v>
      </c>
      <c r="AH913" s="8">
        <f>IF($J913=0,0,ROUND(MAX($J913*1.4*1.5*1.6*1.6*2.2*2.715*2.6*1.4*1.4*1.5*1.5*3.2,60500000000*(1.654288^(MIN($E913,123)-117)))*1,0))</f>
        <v>22107169230</v>
      </c>
    </row>
    <row r="914" ht="27.75" customHeight="1" spans="1:34" x14ac:dyDescent="0.25">
      <c r="A914" s="3">
        <v>924</v>
      </c>
      <c r="B914" s="3" t="s">
        <v>770</v>
      </c>
      <c r="C914" s="3" t="s">
        <v>768</v>
      </c>
      <c r="D914" s="3" t="s">
        <v>90</v>
      </c>
      <c r="E914" s="3">
        <v>115</v>
      </c>
      <c r="F914" s="3" t="s">
        <v>71</v>
      </c>
      <c r="G914" s="3" t="s">
        <v>38</v>
      </c>
      <c r="H914" s="3">
        <v>28</v>
      </c>
      <c r="I914" s="4">
        <v>115</v>
      </c>
      <c r="J914" s="5">
        <v>459000</v>
      </c>
      <c r="K914" s="6">
        <f>$E914+1</f>
        <v>116</v>
      </c>
      <c r="L914" s="7">
        <f>IF($J914=0,0,ROUND(MAX($J914*1.4,1620000*(1.497923^(MIN($E914,123)-117)))*1,0))</f>
        <v>721998</v>
      </c>
      <c r="M914" s="4">
        <f>$E914+2</f>
        <v>117</v>
      </c>
      <c r="N914" s="8">
        <f>IF($J914=0,0,ROUND(MAX($J914*1.4*1.5,2190000*(1.580994^(MIN($E914,123)-117)))*1,0))</f>
        <v>963900</v>
      </c>
      <c r="O914" s="6">
        <f>$E914+4</f>
        <v>119</v>
      </c>
      <c r="P914" s="7">
        <f>IF($J914=0,0,ROUND(MAX($J914*1.4*1.5*1.6,3500000*(1.57975^(MIN($E914,123)-117)))*1,0))</f>
        <v>1542240</v>
      </c>
      <c r="Q914" s="4">
        <f>$E914+6</f>
        <v>121</v>
      </c>
      <c r="R914" s="8">
        <f>IF($J914=0,0,ROUND(MAX($J914*1.4*1.5*1.6*1.6,13100000*(1.429962^(MIN($E914,123)-117)))*1,0))</f>
        <v>6406522</v>
      </c>
      <c r="S914" s="6">
        <f>$E914+8</f>
        <v>123</v>
      </c>
      <c r="T914" s="7">
        <f>IF($J914=0,0,ROUND(MAX($J914*1.4*1.5*1.6*1.6*2.2,42600000*(1.576904^(MIN($E914,123)-117)))*1,0))</f>
        <v>17131646</v>
      </c>
      <c r="U914" s="4">
        <f>$E914+11</f>
        <v>126</v>
      </c>
      <c r="V914" s="8">
        <f>IF($J914=0,0,ROUND(MAX($J914*1.4*1.5*1.6*1.6*2.2*2.715,354000000*(1.642074^(MIN($E914,123)-117)))*1,0))</f>
        <v>131285817</v>
      </c>
      <c r="W914" s="6">
        <f>$E914+15</f>
        <v>130</v>
      </c>
      <c r="X914" s="7">
        <f>IF($J914=0,0,ROUND(MAX($J914*1.4*1.5*1.6*1.6*2.2*2.715*2.6,3540000000*(1.579646^(MIN($E914,123)-117)))*1,0))</f>
        <v>1418677620</v>
      </c>
      <c r="Y914" s="4">
        <f>$E914+17</f>
        <v>132</v>
      </c>
      <c r="Z914" s="8">
        <f>IF($J914=0,0,ROUND(MAX($J914*1.4*1.5*1.6*1.6*2.2*2.715*2.6*1.4,6020000000*(1.651178^(MIN($E914,123)-117)))*1,0))</f>
        <v>2208048987</v>
      </c>
      <c r="AA914" s="6">
        <f>$E914+19</f>
        <v>134</v>
      </c>
      <c r="AB914" s="7">
        <f>IF($J914=0,0,ROUND(MAX($J914*1.4*1.5*1.6*1.6*2.2*2.715*2.6*1.4*1.4,8430000000*(1.651435^(MIN($E914,123)-117)))*1,0))</f>
        <v>3091039859</v>
      </c>
      <c r="AC914" s="4">
        <f>$E914+21</f>
        <v>136</v>
      </c>
      <c r="AD914" s="8">
        <f>IF($J914=0,0,ROUND(MAX($J914*1.4*1.5*1.6*1.6*2.2*2.715*2.6*1.4*1.4*1.5,12600000000*(1.652953^(MIN($E914,123)-117)))*1,0))</f>
        <v>4611577749</v>
      </c>
      <c r="AE914" s="6">
        <f>$E914+24</f>
        <v>139</v>
      </c>
      <c r="AF914" s="7">
        <f>IF($J914=0,0,ROUND(MAX($J914*1.4*1.5*1.6*1.6*2.2*2.715*2.6*1.4*1.4*1.5*1.5,18900000000*(1.65331^(MIN($E914,123)-117)))*1,0))</f>
        <v>6914379606</v>
      </c>
      <c r="AG914" s="4">
        <f>$E914+27</f>
        <v>142</v>
      </c>
      <c r="AH914" s="8">
        <f>IF($J914=0,0,ROUND(MAX($J914*1.4*1.5*1.6*1.6*2.2*2.715*2.6*1.4*1.4*1.5*1.5*3.2,60500000000*(1.654288^(MIN($E914,123)-117)))*1,0))</f>
        <v>22107169230</v>
      </c>
    </row>
    <row r="915" ht="27.75" customHeight="1" spans="1:34" x14ac:dyDescent="0.25">
      <c r="A915" s="3">
        <v>925</v>
      </c>
      <c r="B915" s="3" t="s">
        <v>162</v>
      </c>
      <c r="C915" s="3" t="s">
        <v>768</v>
      </c>
      <c r="D915" s="3" t="s">
        <v>33</v>
      </c>
      <c r="E915" s="3">
        <v>115</v>
      </c>
      <c r="F915" s="3" t="s">
        <v>71</v>
      </c>
      <c r="G915" s="3" t="s">
        <v>769</v>
      </c>
      <c r="H915" s="3">
        <v>28</v>
      </c>
      <c r="I915" s="4">
        <v>115</v>
      </c>
      <c r="J915" s="5">
        <v>452000</v>
      </c>
      <c r="K915" s="6">
        <f>$E915+1</f>
        <v>116</v>
      </c>
      <c r="L915" s="7">
        <f>IF($J915=0,0,ROUND(MAX($J915*1.4,1620000*(1.497923^(MIN($E915,123)-117)))*1,0))</f>
        <v>721998</v>
      </c>
      <c r="M915" s="4">
        <f>$E915+2</f>
        <v>117</v>
      </c>
      <c r="N915" s="8">
        <f>IF($J915=0,0,ROUND(MAX($J915*1.4*1.5,2190000*(1.580994^(MIN($E915,123)-117)))*1,0))</f>
        <v>949200</v>
      </c>
      <c r="O915" s="6">
        <f>$E915+4</f>
        <v>119</v>
      </c>
      <c r="P915" s="7">
        <f>IF($J915=0,0,ROUND(MAX($J915*1.4*1.5*1.6,3500000*(1.57975^(MIN($E915,123)-117)))*1,0))</f>
        <v>1518720</v>
      </c>
      <c r="Q915" s="4">
        <f>$E915+6</f>
        <v>121</v>
      </c>
      <c r="R915" s="8">
        <f>IF($J915=0,0,ROUND(MAX($J915*1.4*1.5*1.6*1.6,13100000*(1.429962^(MIN($E915,123)-117)))*1,0))</f>
        <v>6406522</v>
      </c>
      <c r="S915" s="6">
        <f>$E915+8</f>
        <v>123</v>
      </c>
      <c r="T915" s="7">
        <f>IF($J915=0,0,ROUND(MAX($J915*1.4*1.5*1.6*1.6*2.2,42600000*(1.576904^(MIN($E915,123)-117)))*1,0))</f>
        <v>17131646</v>
      </c>
      <c r="U915" s="4">
        <f>$E915+11</f>
        <v>126</v>
      </c>
      <c r="V915" s="8">
        <f>IF($J915=0,0,ROUND(MAX($J915*1.4*1.5*1.6*1.6*2.2*2.715,354000000*(1.642074^(MIN($E915,123)-117)))*1,0))</f>
        <v>131285817</v>
      </c>
      <c r="W915" s="6">
        <f>$E915+15</f>
        <v>130</v>
      </c>
      <c r="X915" s="7">
        <f>IF($J915=0,0,ROUND(MAX($J915*1.4*1.5*1.6*1.6*2.2*2.715*2.6,3540000000*(1.579646^(MIN($E915,123)-117)))*1,0))</f>
        <v>1418677620</v>
      </c>
      <c r="Y915" s="4">
        <f>$E915+17</f>
        <v>132</v>
      </c>
      <c r="Z915" s="8">
        <f>IF($J915=0,0,ROUND(MAX($J915*1.4*1.5*1.6*1.6*2.2*2.715*2.6*1.4,6020000000*(1.651178^(MIN($E915,123)-117)))*1,0))</f>
        <v>2208048987</v>
      </c>
      <c r="AA915" s="6">
        <f>$E915+19</f>
        <v>134</v>
      </c>
      <c r="AB915" s="7">
        <f>IF($J915=0,0,ROUND(MAX($J915*1.4*1.5*1.6*1.6*2.2*2.715*2.6*1.4*1.4,8430000000*(1.651435^(MIN($E915,123)-117)))*1,0))</f>
        <v>3091039859</v>
      </c>
      <c r="AC915" s="4">
        <f>$E915+21</f>
        <v>136</v>
      </c>
      <c r="AD915" s="8">
        <f>IF($J915=0,0,ROUND(MAX($J915*1.4*1.5*1.6*1.6*2.2*2.715*2.6*1.4*1.4*1.5,12600000000*(1.652953^(MIN($E915,123)-117)))*1,0))</f>
        <v>4611577749</v>
      </c>
      <c r="AE915" s="6">
        <f>$E915+24</f>
        <v>139</v>
      </c>
      <c r="AF915" s="7">
        <f>IF($J915=0,0,ROUND(MAX($J915*1.4*1.5*1.6*1.6*2.2*2.715*2.6*1.4*1.4*1.5*1.5,18900000000*(1.65331^(MIN($E915,123)-117)))*1,0))</f>
        <v>6914379606</v>
      </c>
      <c r="AG915" s="4">
        <f>$E915+27</f>
        <v>142</v>
      </c>
      <c r="AH915" s="8">
        <f>IF($J915=0,0,ROUND(MAX($J915*1.4*1.5*1.6*1.6*2.2*2.715*2.6*1.4*1.4*1.5*1.5*3.2,60500000000*(1.654288^(MIN($E915,123)-117)))*1,0))</f>
        <v>22107169230</v>
      </c>
    </row>
    <row r="916" ht="27.75" customHeight="1" spans="1:34" x14ac:dyDescent="0.25">
      <c r="A916" s="3">
        <v>926</v>
      </c>
      <c r="B916" s="3" t="s">
        <v>178</v>
      </c>
      <c r="C916" s="3" t="s">
        <v>768</v>
      </c>
      <c r="D916" s="3" t="s">
        <v>33</v>
      </c>
      <c r="E916" s="3">
        <v>115</v>
      </c>
      <c r="F916" s="3" t="s">
        <v>179</v>
      </c>
      <c r="G916" s="3" t="s">
        <v>769</v>
      </c>
      <c r="H916" s="3">
        <v>28</v>
      </c>
      <c r="I916" s="4">
        <v>115</v>
      </c>
      <c r="J916" s="5">
        <v>433000</v>
      </c>
      <c r="K916" s="6">
        <f>$E916+1</f>
        <v>116</v>
      </c>
      <c r="L916" s="7">
        <f>IF($J916=0,0,ROUND(MAX($J916*1.4,1620000*(1.497923^(MIN($E916,123)-117)))*1,0))</f>
        <v>721998</v>
      </c>
      <c r="M916" s="4">
        <f>$E916+2</f>
        <v>117</v>
      </c>
      <c r="N916" s="8">
        <f>IF($J916=0,0,ROUND(MAX($J916*1.4*1.5,2190000*(1.580994^(MIN($E916,123)-117)))*1,0))</f>
        <v>909300</v>
      </c>
      <c r="O916" s="6">
        <f>$E916+4</f>
        <v>119</v>
      </c>
      <c r="P916" s="7">
        <f>IF($J916=0,0,ROUND(MAX($J916*1.4*1.5*1.6,3500000*(1.57975^(MIN($E916,123)-117)))*1,0))</f>
        <v>1454880</v>
      </c>
      <c r="Q916" s="4">
        <f>$E916+6</f>
        <v>121</v>
      </c>
      <c r="R916" s="8">
        <f>IF($J916=0,0,ROUND(MAX($J916*1.4*1.5*1.6*1.6,13100000*(1.429962^(MIN($E916,123)-117)))*1,0))</f>
        <v>6406522</v>
      </c>
      <c r="S916" s="6">
        <f>$E916+8</f>
        <v>123</v>
      </c>
      <c r="T916" s="7">
        <f>IF($J916=0,0,ROUND(MAX($J916*1.4*1.5*1.6*1.6*2.2,42600000*(1.576904^(MIN($E916,123)-117)))*1,0))</f>
        <v>17131646</v>
      </c>
      <c r="U916" s="4">
        <f>$E916+11</f>
        <v>126</v>
      </c>
      <c r="V916" s="8">
        <f>IF($J916=0,0,ROUND(MAX($J916*1.4*1.5*1.6*1.6*2.2*2.715,354000000*(1.642074^(MIN($E916,123)-117)))*1,0))</f>
        <v>131285817</v>
      </c>
      <c r="W916" s="6">
        <f>$E916+15</f>
        <v>130</v>
      </c>
      <c r="X916" s="7">
        <f>IF($J916=0,0,ROUND(MAX($J916*1.4*1.5*1.6*1.6*2.2*2.715*2.6,3540000000*(1.579646^(MIN($E916,123)-117)))*1,0))</f>
        <v>1418677620</v>
      </c>
      <c r="Y916" s="4">
        <f>$E916+17</f>
        <v>132</v>
      </c>
      <c r="Z916" s="8">
        <f>IF($J916=0,0,ROUND(MAX($J916*1.4*1.5*1.6*1.6*2.2*2.715*2.6*1.4,6020000000*(1.651178^(MIN($E916,123)-117)))*1,0))</f>
        <v>2208048987</v>
      </c>
      <c r="AA916" s="6">
        <f>$E916+19</f>
        <v>134</v>
      </c>
      <c r="AB916" s="7">
        <f>IF($J916=0,0,ROUND(MAX($J916*1.4*1.5*1.6*1.6*2.2*2.715*2.6*1.4*1.4,8430000000*(1.651435^(MIN($E916,123)-117)))*1,0))</f>
        <v>3091039859</v>
      </c>
      <c r="AC916" s="4">
        <f>$E916+21</f>
        <v>136</v>
      </c>
      <c r="AD916" s="8">
        <f>IF($J916=0,0,ROUND(MAX($J916*1.4*1.5*1.6*1.6*2.2*2.715*2.6*1.4*1.4*1.5,12600000000*(1.652953^(MIN($E916,123)-117)))*1,0))</f>
        <v>4611577749</v>
      </c>
      <c r="AE916" s="6">
        <f>$E916+24</f>
        <v>139</v>
      </c>
      <c r="AF916" s="7">
        <f>IF($J916=0,0,ROUND(MAX($J916*1.4*1.5*1.6*1.6*2.2*2.715*2.6*1.4*1.4*1.5*1.5,18900000000*(1.65331^(MIN($E916,123)-117)))*1,0))</f>
        <v>6914379606</v>
      </c>
      <c r="AG916" s="4">
        <f>$E916+27</f>
        <v>142</v>
      </c>
      <c r="AH916" s="8">
        <f>IF($J916=0,0,ROUND(MAX($J916*1.4*1.5*1.6*1.6*2.2*2.715*2.6*1.4*1.4*1.5*1.5*3.2,60500000000*(1.654288^(MIN($E916,123)-117)))*1,0))</f>
        <v>22107169230</v>
      </c>
    </row>
    <row r="917" ht="27.75" customHeight="1" spans="1:34" x14ac:dyDescent="0.25">
      <c r="A917" s="3">
        <v>927</v>
      </c>
      <c r="B917" s="3" t="s">
        <v>654</v>
      </c>
      <c r="C917" s="3" t="s">
        <v>768</v>
      </c>
      <c r="D917" s="3" t="s">
        <v>25</v>
      </c>
      <c r="E917" s="3">
        <v>115</v>
      </c>
      <c r="F917" s="3" t="s">
        <v>42</v>
      </c>
      <c r="G917" s="3" t="s">
        <v>769</v>
      </c>
      <c r="H917" s="3">
        <v>28</v>
      </c>
      <c r="I917" s="4">
        <v>115</v>
      </c>
      <c r="J917" s="5">
        <v>436000</v>
      </c>
      <c r="K917" s="6">
        <f>$E917+1</f>
        <v>116</v>
      </c>
      <c r="L917" s="7">
        <f>IF($J917=0,0,ROUND(MAX($J917*1.4,1620000*(1.497923^(MIN($E917,123)-117)))*1,0))</f>
        <v>721998</v>
      </c>
      <c r="M917" s="4">
        <f>$E917+2</f>
        <v>117</v>
      </c>
      <c r="N917" s="8">
        <f>IF($J917=0,0,ROUND(MAX($J917*1.4*1.5,2190000*(1.580994^(MIN($E917,123)-117)))*1,0))</f>
        <v>915600</v>
      </c>
      <c r="O917" s="6">
        <f>$E917+4</f>
        <v>119</v>
      </c>
      <c r="P917" s="7">
        <f>IF($J917=0,0,ROUND(MAX($J917*1.4*1.5*1.6,3500000*(1.57975^(MIN($E917,123)-117)))*1,0))</f>
        <v>1464960</v>
      </c>
      <c r="Q917" s="4">
        <f>$E917+6</f>
        <v>121</v>
      </c>
      <c r="R917" s="8">
        <f>IF($J917=0,0,ROUND(MAX($J917*1.4*1.5*1.6*1.6,13100000*(1.429962^(MIN($E917,123)-117)))*1,0))</f>
        <v>6406522</v>
      </c>
      <c r="S917" s="6">
        <f>$E917+8</f>
        <v>123</v>
      </c>
      <c r="T917" s="7">
        <f>IF($J917=0,0,ROUND(MAX($J917*1.4*1.5*1.6*1.6*2.2,42600000*(1.576904^(MIN($E917,123)-117)))*1,0))</f>
        <v>17131646</v>
      </c>
      <c r="U917" s="4">
        <f>$E917+11</f>
        <v>126</v>
      </c>
      <c r="V917" s="8">
        <f>IF($J917=0,0,ROUND(MAX($J917*1.4*1.5*1.6*1.6*2.2*2.715,354000000*(1.642074^(MIN($E917,123)-117)))*1,0))</f>
        <v>131285817</v>
      </c>
      <c r="W917" s="6">
        <f>$E917+15</f>
        <v>130</v>
      </c>
      <c r="X917" s="7">
        <f>IF($J917=0,0,ROUND(MAX($J917*1.4*1.5*1.6*1.6*2.2*2.715*2.6,3540000000*(1.579646^(MIN($E917,123)-117)))*1,0))</f>
        <v>1418677620</v>
      </c>
      <c r="Y917" s="4">
        <f>$E917+17</f>
        <v>132</v>
      </c>
      <c r="Z917" s="8">
        <f>IF($J917=0,0,ROUND(MAX($J917*1.4*1.5*1.6*1.6*2.2*2.715*2.6*1.4,6020000000*(1.651178^(MIN($E917,123)-117)))*1,0))</f>
        <v>2208048987</v>
      </c>
      <c r="AA917" s="6">
        <f>$E917+19</f>
        <v>134</v>
      </c>
      <c r="AB917" s="7">
        <f>IF($J917=0,0,ROUND(MAX($J917*1.4*1.5*1.6*1.6*2.2*2.715*2.6*1.4*1.4,8430000000*(1.651435^(MIN($E917,123)-117)))*1,0))</f>
        <v>3091039859</v>
      </c>
      <c r="AC917" s="4">
        <f>$E917+21</f>
        <v>136</v>
      </c>
      <c r="AD917" s="8">
        <f>IF($J917=0,0,ROUND(MAX($J917*1.4*1.5*1.6*1.6*2.2*2.715*2.6*1.4*1.4*1.5,12600000000*(1.652953^(MIN($E917,123)-117)))*1,0))</f>
        <v>4611577749</v>
      </c>
      <c r="AE917" s="6">
        <f>$E917+24</f>
        <v>139</v>
      </c>
      <c r="AF917" s="7">
        <f>IF($J917=0,0,ROUND(MAX($J917*1.4*1.5*1.6*1.6*2.2*2.715*2.6*1.4*1.4*1.5*1.5,18900000000*(1.65331^(MIN($E917,123)-117)))*1,0))</f>
        <v>6914379606</v>
      </c>
      <c r="AG917" s="4">
        <f>$E917+27</f>
        <v>142</v>
      </c>
      <c r="AH917" s="8">
        <f>IF($J917=0,0,ROUND(MAX($J917*1.4*1.5*1.6*1.6*2.2*2.715*2.6*1.4*1.4*1.5*1.5*3.2,60500000000*(1.654288^(MIN($E917,123)-117)))*1,0))</f>
        <v>22107169230</v>
      </c>
    </row>
    <row r="918" ht="27.75" customHeight="1" spans="1:34" x14ac:dyDescent="0.25">
      <c r="A918" s="3">
        <v>928</v>
      </c>
      <c r="B918" s="3" t="s">
        <v>142</v>
      </c>
      <c r="C918" s="3" t="s">
        <v>768</v>
      </c>
      <c r="D918" s="3" t="s">
        <v>90</v>
      </c>
      <c r="E918" s="3">
        <v>115</v>
      </c>
      <c r="F918" s="3" t="s">
        <v>34</v>
      </c>
      <c r="G918" s="3" t="s">
        <v>769</v>
      </c>
      <c r="H918" s="3">
        <v>28</v>
      </c>
      <c r="I918" s="4">
        <v>115</v>
      </c>
      <c r="J918" s="5">
        <v>397000</v>
      </c>
      <c r="K918" s="6">
        <f>$E918+1</f>
        <v>116</v>
      </c>
      <c r="L918" s="7">
        <f>IF($J918=0,0,ROUND(MAX($J918*1.4,1620000*(1.497923^(MIN($E918,123)-117)))*1,0))</f>
        <v>721998</v>
      </c>
      <c r="M918" s="4">
        <f>$E918+2</f>
        <v>117</v>
      </c>
      <c r="N918" s="8">
        <f>IF($J918=0,0,ROUND(MAX($J918*1.4*1.5,2190000*(1.580994^(MIN($E918,123)-117)))*1,0))</f>
        <v>876161</v>
      </c>
      <c r="O918" s="6">
        <f>$E918+4</f>
        <v>119</v>
      </c>
      <c r="P918" s="7">
        <f>IF($J918=0,0,ROUND(MAX($J918*1.4*1.5*1.6,3500000*(1.57975^(MIN($E918,123)-117)))*1,0))</f>
        <v>1402463</v>
      </c>
      <c r="Q918" s="4">
        <f>$E918+6</f>
        <v>121</v>
      </c>
      <c r="R918" s="8">
        <f>IF($J918=0,0,ROUND(MAX($J918*1.4*1.5*1.6*1.6,13100000*(1.429962^(MIN($E918,123)-117)))*1,0))</f>
        <v>6406522</v>
      </c>
      <c r="S918" s="6">
        <f>$E918+8</f>
        <v>123</v>
      </c>
      <c r="T918" s="7">
        <f>IF($J918=0,0,ROUND(MAX($J918*1.4*1.5*1.6*1.6*2.2,42600000*(1.576904^(MIN($E918,123)-117)))*1,0))</f>
        <v>17131646</v>
      </c>
      <c r="U918" s="4">
        <f>$E918+11</f>
        <v>126</v>
      </c>
      <c r="V918" s="8">
        <f>IF($J918=0,0,ROUND(MAX($J918*1.4*1.5*1.6*1.6*2.2*2.715,354000000*(1.642074^(MIN($E918,123)-117)))*1,0))</f>
        <v>131285817</v>
      </c>
      <c r="W918" s="6">
        <f>$E918+15</f>
        <v>130</v>
      </c>
      <c r="X918" s="7">
        <f>IF($J918=0,0,ROUND(MAX($J918*1.4*1.5*1.6*1.6*2.2*2.715*2.6,3540000000*(1.579646^(MIN($E918,123)-117)))*1,0))</f>
        <v>1418677620</v>
      </c>
      <c r="Y918" s="4">
        <f>$E918+17</f>
        <v>132</v>
      </c>
      <c r="Z918" s="8">
        <f>IF($J918=0,0,ROUND(MAX($J918*1.4*1.5*1.6*1.6*2.2*2.715*2.6*1.4,6020000000*(1.651178^(MIN($E918,123)-117)))*1,0))</f>
        <v>2208048987</v>
      </c>
      <c r="AA918" s="6">
        <f>$E918+19</f>
        <v>134</v>
      </c>
      <c r="AB918" s="7">
        <f>IF($J918=0,0,ROUND(MAX($J918*1.4*1.5*1.6*1.6*2.2*2.715*2.6*1.4*1.4,8430000000*(1.651435^(MIN($E918,123)-117)))*1,0))</f>
        <v>3091039859</v>
      </c>
      <c r="AC918" s="4">
        <f>$E918+21</f>
        <v>136</v>
      </c>
      <c r="AD918" s="8">
        <f>IF($J918=0,0,ROUND(MAX($J918*1.4*1.5*1.6*1.6*2.2*2.715*2.6*1.4*1.4*1.5,12600000000*(1.652953^(MIN($E918,123)-117)))*1,0))</f>
        <v>4611577749</v>
      </c>
      <c r="AE918" s="6">
        <f>$E918+24</f>
        <v>139</v>
      </c>
      <c r="AF918" s="7">
        <f>IF($J918=0,0,ROUND(MAX($J918*1.4*1.5*1.6*1.6*2.2*2.715*2.6*1.4*1.4*1.5*1.5,18900000000*(1.65331^(MIN($E918,123)-117)))*1,0))</f>
        <v>6914379606</v>
      </c>
      <c r="AG918" s="4">
        <f>$E918+27</f>
        <v>142</v>
      </c>
      <c r="AH918" s="8">
        <f>IF($J918=0,0,ROUND(MAX($J918*1.4*1.5*1.6*1.6*2.2*2.715*2.6*1.4*1.4*1.5*1.5*3.2,60500000000*(1.654288^(MIN($E918,123)-117)))*1,0))</f>
        <v>22107169230</v>
      </c>
    </row>
    <row r="919" ht="27.75" customHeight="1" spans="1:34" x14ac:dyDescent="0.25">
      <c r="A919" s="3">
        <v>929</v>
      </c>
      <c r="B919" s="3" t="s">
        <v>483</v>
      </c>
      <c r="C919" s="3" t="s">
        <v>768</v>
      </c>
      <c r="D919" s="3" t="s">
        <v>33</v>
      </c>
      <c r="E919" s="3">
        <v>115</v>
      </c>
      <c r="F919" s="3" t="s">
        <v>30</v>
      </c>
      <c r="G919" s="3" t="s">
        <v>769</v>
      </c>
      <c r="H919" s="3">
        <v>28</v>
      </c>
      <c r="I919" s="4">
        <v>115</v>
      </c>
      <c r="J919" s="5">
        <v>665000</v>
      </c>
      <c r="K919" s="6">
        <f>$E919+1</f>
        <v>116</v>
      </c>
      <c r="L919" s="7">
        <f>IF($J919=0,0,ROUND(MAX($J919*1.4,1620000*(1.497923^(MIN($E919,123)-117)))*1,0))</f>
        <v>931000</v>
      </c>
      <c r="M919" s="4">
        <f>$E919+2</f>
        <v>117</v>
      </c>
      <c r="N919" s="8">
        <f>IF($J919=0,0,ROUND(MAX($J919*1.4*1.5,2190000*(1.580994^(MIN($E919,123)-117)))*1,0))</f>
        <v>1396500</v>
      </c>
      <c r="O919" s="6">
        <f>$E919+4</f>
        <v>119</v>
      </c>
      <c r="P919" s="7">
        <f>IF($J919=0,0,ROUND(MAX($J919*1.4*1.5*1.6,3500000*(1.57975^(MIN($E919,123)-117)))*1,0))</f>
        <v>2234400</v>
      </c>
      <c r="Q919" s="4">
        <f>$E919+6</f>
        <v>121</v>
      </c>
      <c r="R919" s="8">
        <f>IF($J919=0,0,ROUND(MAX($J919*1.4*1.5*1.6*1.6,13100000*(1.429962^(MIN($E919,123)-117)))*1,0))</f>
        <v>6406522</v>
      </c>
      <c r="S919" s="6">
        <f>$E919+8</f>
        <v>123</v>
      </c>
      <c r="T919" s="7">
        <f>IF($J919=0,0,ROUND(MAX($J919*1.4*1.5*1.6*1.6*2.2,42600000*(1.576904^(MIN($E919,123)-117)))*1,0))</f>
        <v>17131646</v>
      </c>
      <c r="U919" s="4">
        <f>$E919+11</f>
        <v>126</v>
      </c>
      <c r="V919" s="8">
        <f>IF($J919=0,0,ROUND(MAX($J919*1.4*1.5*1.6*1.6*2.2*2.715,354000000*(1.642074^(MIN($E919,123)-117)))*1,0))</f>
        <v>131285817</v>
      </c>
      <c r="W919" s="6">
        <f>$E919+15</f>
        <v>130</v>
      </c>
      <c r="X919" s="7">
        <f>IF($J919=0,0,ROUND(MAX($J919*1.4*1.5*1.6*1.6*2.2*2.715*2.6,3540000000*(1.579646^(MIN($E919,123)-117)))*1,0))</f>
        <v>1418677620</v>
      </c>
      <c r="Y919" s="4">
        <f>$E919+17</f>
        <v>132</v>
      </c>
      <c r="Z919" s="8">
        <f>IF($J919=0,0,ROUND(MAX($J919*1.4*1.5*1.6*1.6*2.2*2.715*2.6*1.4,6020000000*(1.651178^(MIN($E919,123)-117)))*1,0))</f>
        <v>2208048987</v>
      </c>
      <c r="AA919" s="6">
        <f>$E919+19</f>
        <v>134</v>
      </c>
      <c r="AB919" s="7">
        <f>IF($J919=0,0,ROUND(MAX($J919*1.4*1.5*1.6*1.6*2.2*2.715*2.6*1.4*1.4,8430000000*(1.651435^(MIN($E919,123)-117)))*1,0))</f>
        <v>3091039859</v>
      </c>
      <c r="AC919" s="4">
        <f>$E919+21</f>
        <v>136</v>
      </c>
      <c r="AD919" s="8">
        <f>IF($J919=0,0,ROUND(MAX($J919*1.4*1.5*1.6*1.6*2.2*2.715*2.6*1.4*1.4*1.5,12600000000*(1.652953^(MIN($E919,123)-117)))*1,0))</f>
        <v>4611577749</v>
      </c>
      <c r="AE919" s="6">
        <f>$E919+24</f>
        <v>139</v>
      </c>
      <c r="AF919" s="7">
        <f>IF($J919=0,0,ROUND(MAX($J919*1.4*1.5*1.6*1.6*2.2*2.715*2.6*1.4*1.4*1.5*1.5,18900000000*(1.65331^(MIN($E919,123)-117)))*1,0))</f>
        <v>6914379606</v>
      </c>
      <c r="AG919" s="4">
        <f>$E919+27</f>
        <v>142</v>
      </c>
      <c r="AH919" s="8">
        <f>IF($J919=0,0,ROUND(MAX($J919*1.4*1.5*1.6*1.6*2.2*2.715*2.6*1.4*1.4*1.5*1.5*3.2,60500000000*(1.654288^(MIN($E919,123)-117)))*1,0))</f>
        <v>22107169230</v>
      </c>
    </row>
    <row r="920" ht="27.75" customHeight="1" spans="1:34" x14ac:dyDescent="0.25">
      <c r="A920" s="3">
        <v>930</v>
      </c>
      <c r="B920" s="3" t="s">
        <v>651</v>
      </c>
      <c r="C920" s="3" t="s">
        <v>768</v>
      </c>
      <c r="D920" s="3" t="s">
        <v>40</v>
      </c>
      <c r="E920" s="3">
        <v>115</v>
      </c>
      <c r="F920" s="3" t="s">
        <v>71</v>
      </c>
      <c r="G920" s="3" t="s">
        <v>769</v>
      </c>
      <c r="H920" s="3">
        <v>28</v>
      </c>
      <c r="I920" s="4">
        <v>115</v>
      </c>
      <c r="J920" s="5">
        <v>448000</v>
      </c>
      <c r="K920" s="6">
        <f>$E920+1</f>
        <v>116</v>
      </c>
      <c r="L920" s="7">
        <f>IF($J920=0,0,ROUND(MAX($J920*1.4,1620000*(1.497923^(MIN($E920,123)-117)))*1,0))</f>
        <v>721998</v>
      </c>
      <c r="M920" s="4">
        <f>$E920+2</f>
        <v>117</v>
      </c>
      <c r="N920" s="8">
        <f>IF($J920=0,0,ROUND(MAX($J920*1.4*1.5,2190000*(1.580994^(MIN($E920,123)-117)))*1,0))</f>
        <v>940800</v>
      </c>
      <c r="O920" s="6">
        <f>$E920+4</f>
        <v>119</v>
      </c>
      <c r="P920" s="7">
        <f>IF($J920=0,0,ROUND(MAX($J920*1.4*1.5*1.6,3500000*(1.57975^(MIN($E920,123)-117)))*1,0))</f>
        <v>1505280</v>
      </c>
      <c r="Q920" s="4">
        <f>$E920+6</f>
        <v>121</v>
      </c>
      <c r="R920" s="8">
        <f>IF($J920=0,0,ROUND(MAX($J920*1.4*1.5*1.6*1.6,13100000*(1.429962^(MIN($E920,123)-117)))*1,0))</f>
        <v>6406522</v>
      </c>
      <c r="S920" s="6">
        <f>$E920+8</f>
        <v>123</v>
      </c>
      <c r="T920" s="7">
        <f>IF($J920=0,0,ROUND(MAX($J920*1.4*1.5*1.6*1.6*2.2,42600000*(1.576904^(MIN($E920,123)-117)))*1,0))</f>
        <v>17131646</v>
      </c>
      <c r="U920" s="4">
        <f>$E920+11</f>
        <v>126</v>
      </c>
      <c r="V920" s="8">
        <f>IF($J920=0,0,ROUND(MAX($J920*1.4*1.5*1.6*1.6*2.2*2.715,354000000*(1.642074^(MIN($E920,123)-117)))*1,0))</f>
        <v>131285817</v>
      </c>
      <c r="W920" s="6">
        <f>$E920+15</f>
        <v>130</v>
      </c>
      <c r="X920" s="7">
        <f>IF($J920=0,0,ROUND(MAX($J920*1.4*1.5*1.6*1.6*2.2*2.715*2.6,3540000000*(1.579646^(MIN($E920,123)-117)))*1,0))</f>
        <v>1418677620</v>
      </c>
      <c r="Y920" s="4">
        <f>$E920+17</f>
        <v>132</v>
      </c>
      <c r="Z920" s="8">
        <f>IF($J920=0,0,ROUND(MAX($J920*1.4*1.5*1.6*1.6*2.2*2.715*2.6*1.4,6020000000*(1.651178^(MIN($E920,123)-117)))*1,0))</f>
        <v>2208048987</v>
      </c>
      <c r="AA920" s="6">
        <f>$E920+19</f>
        <v>134</v>
      </c>
      <c r="AB920" s="7">
        <f>IF($J920=0,0,ROUND(MAX($J920*1.4*1.5*1.6*1.6*2.2*2.715*2.6*1.4*1.4,8430000000*(1.651435^(MIN($E920,123)-117)))*1,0))</f>
        <v>3091039859</v>
      </c>
      <c r="AC920" s="4">
        <f>$E920+21</f>
        <v>136</v>
      </c>
      <c r="AD920" s="8">
        <f>IF($J920=0,0,ROUND(MAX($J920*1.4*1.5*1.6*1.6*2.2*2.715*2.6*1.4*1.4*1.5,12600000000*(1.652953^(MIN($E920,123)-117)))*1,0))</f>
        <v>4611577749</v>
      </c>
      <c r="AE920" s="6">
        <f>$E920+24</f>
        <v>139</v>
      </c>
      <c r="AF920" s="7">
        <f>IF($J920=0,0,ROUND(MAX($J920*1.4*1.5*1.6*1.6*2.2*2.715*2.6*1.4*1.4*1.5*1.5,18900000000*(1.65331^(MIN($E920,123)-117)))*1,0))</f>
        <v>6914379606</v>
      </c>
      <c r="AG920" s="4">
        <f>$E920+27</f>
        <v>142</v>
      </c>
      <c r="AH920" s="8">
        <f>IF($J920=0,0,ROUND(MAX($J920*1.4*1.5*1.6*1.6*2.2*2.715*2.6*1.4*1.4*1.5*1.5*3.2,60500000000*(1.654288^(MIN($E920,123)-117)))*1,0))</f>
        <v>22107169230</v>
      </c>
    </row>
    <row r="921" ht="27.75" customHeight="1" spans="1:34" x14ac:dyDescent="0.25">
      <c r="A921" s="3">
        <v>931</v>
      </c>
      <c r="B921" s="3" t="s">
        <v>83</v>
      </c>
      <c r="C921" s="3" t="s">
        <v>768</v>
      </c>
      <c r="D921" s="3" t="s">
        <v>33</v>
      </c>
      <c r="E921" s="3">
        <v>115</v>
      </c>
      <c r="F921" s="3" t="s">
        <v>62</v>
      </c>
      <c r="G921" s="3" t="s">
        <v>769</v>
      </c>
      <c r="H921" s="3">
        <v>28</v>
      </c>
      <c r="I921" s="4">
        <v>115</v>
      </c>
      <c r="J921" s="5">
        <v>2050000</v>
      </c>
      <c r="K921" s="6">
        <f>$E921+1</f>
        <v>116</v>
      </c>
      <c r="L921" s="7">
        <f>IF($J921=0,0,ROUND(MAX($J921*1.4,1620000*(1.497923^(MIN($E921,123)-117)))*1,0))</f>
        <v>2870000</v>
      </c>
      <c r="M921" s="4">
        <f>$E921+2</f>
        <v>117</v>
      </c>
      <c r="N921" s="8">
        <f>IF($J921=0,0,ROUND(MAX($J921*1.4*1.5,2190000*(1.580994^(MIN($E921,123)-117)))*1,0))</f>
        <v>4305000</v>
      </c>
      <c r="O921" s="6">
        <f>$E921+4</f>
        <v>119</v>
      </c>
      <c r="P921" s="7">
        <f>IF($J921=0,0,ROUND(MAX($J921*1.4*1.5*1.6,3500000*(1.57975^(MIN($E921,123)-117)))*1,0))</f>
        <v>6888000</v>
      </c>
      <c r="Q921" s="4">
        <f>$E921+6</f>
        <v>121</v>
      </c>
      <c r="R921" s="8">
        <f>IF($J921=0,0,ROUND(MAX($J921*1.4*1.5*1.6*1.6,13100000*(1.429962^(MIN($E921,123)-117)))*1,0))</f>
        <v>11020800</v>
      </c>
      <c r="S921" s="6">
        <f>$E921+8</f>
        <v>123</v>
      </c>
      <c r="T921" s="7">
        <f>IF($J921=0,0,ROUND(MAX($J921*1.4*1.5*1.6*1.6*2.2,42600000*(1.576904^(MIN($E921,123)-117)))*1,0))</f>
        <v>24245760</v>
      </c>
      <c r="U921" s="4">
        <f>$E921+11</f>
        <v>126</v>
      </c>
      <c r="V921" s="8">
        <f>IF($J921=0,0,ROUND(MAX($J921*1.4*1.5*1.6*1.6*2.2*2.715,354000000*(1.642074^(MIN($E921,123)-117)))*1,0))</f>
        <v>131285817</v>
      </c>
      <c r="W921" s="6">
        <f>$E921+15</f>
        <v>130</v>
      </c>
      <c r="X921" s="7">
        <f>IF($J921=0,0,ROUND(MAX($J921*1.4*1.5*1.6*1.6*2.2*2.715*2.6,3540000000*(1.579646^(MIN($E921,123)-117)))*1,0))</f>
        <v>1418677620</v>
      </c>
      <c r="Y921" s="4">
        <f>$E921+17</f>
        <v>132</v>
      </c>
      <c r="Z921" s="8">
        <f>IF($J921=0,0,ROUND(MAX($J921*1.4*1.5*1.6*1.6*2.2*2.715*2.6*1.4,6020000000*(1.651178^(MIN($E921,123)-117)))*1,0))</f>
        <v>2208048987</v>
      </c>
      <c r="AA921" s="6">
        <f>$E921+19</f>
        <v>134</v>
      </c>
      <c r="AB921" s="7">
        <f>IF($J921=0,0,ROUND(MAX($J921*1.4*1.5*1.6*1.6*2.2*2.715*2.6*1.4*1.4,8430000000*(1.651435^(MIN($E921,123)-117)))*1,0))</f>
        <v>3091039859</v>
      </c>
      <c r="AC921" s="4">
        <f>$E921+21</f>
        <v>136</v>
      </c>
      <c r="AD921" s="8">
        <f>IF($J921=0,0,ROUND(MAX($J921*1.4*1.5*1.6*1.6*2.2*2.715*2.6*1.4*1.4*1.5,12600000000*(1.652953^(MIN($E921,123)-117)))*1,0))</f>
        <v>4611577749</v>
      </c>
      <c r="AE921" s="6">
        <f>$E921+24</f>
        <v>139</v>
      </c>
      <c r="AF921" s="7">
        <f>IF($J921=0,0,ROUND(MAX($J921*1.4*1.5*1.6*1.6*2.2*2.715*2.6*1.4*1.4*1.5*1.5,18900000000*(1.65331^(MIN($E921,123)-117)))*1,0))</f>
        <v>6914379606</v>
      </c>
      <c r="AG921" s="4">
        <f>$E921+27</f>
        <v>142</v>
      </c>
      <c r="AH921" s="8">
        <f>IF($J921=0,0,ROUND(MAX($J921*1.4*1.5*1.6*1.6*2.2*2.715*2.6*1.4*1.4*1.5*1.5*3.2,60500000000*(1.654288^(MIN($E921,123)-117)))*1,0))</f>
        <v>22107169230</v>
      </c>
    </row>
    <row r="922" ht="27.75" customHeight="1" spans="1:34" x14ac:dyDescent="0.25">
      <c r="A922" s="3">
        <v>932</v>
      </c>
      <c r="B922" s="3" t="s">
        <v>114</v>
      </c>
      <c r="C922" s="3" t="s">
        <v>768</v>
      </c>
      <c r="D922" s="3" t="s">
        <v>75</v>
      </c>
      <c r="E922" s="3">
        <v>115</v>
      </c>
      <c r="F922" s="3" t="s">
        <v>30</v>
      </c>
      <c r="G922" s="3" t="s">
        <v>769</v>
      </c>
      <c r="H922" s="3">
        <v>28</v>
      </c>
      <c r="I922" s="4">
        <v>115</v>
      </c>
      <c r="J922" s="5">
        <v>948000</v>
      </c>
      <c r="K922" s="6">
        <f>$E922+1</f>
        <v>116</v>
      </c>
      <c r="L922" s="7">
        <f>IF($J922=0,0,ROUND(MAX($J922*1.4,1620000*(1.497923^(MIN($E922,123)-117)))*1,0))</f>
        <v>1327200</v>
      </c>
      <c r="M922" s="4">
        <f>$E922+2</f>
        <v>117</v>
      </c>
      <c r="N922" s="8">
        <f>IF($J922=0,0,ROUND(MAX($J922*1.4*1.5,2190000*(1.580994^(MIN($E922,123)-117)))*1,0))</f>
        <v>1990800</v>
      </c>
      <c r="O922" s="6">
        <f>$E922+4</f>
        <v>119</v>
      </c>
      <c r="P922" s="7">
        <f>IF($J922=0,0,ROUND(MAX($J922*1.4*1.5*1.6,3500000*(1.57975^(MIN($E922,123)-117)))*1,0))</f>
        <v>3185280</v>
      </c>
      <c r="Q922" s="4">
        <f>$E922+6</f>
        <v>121</v>
      </c>
      <c r="R922" s="8">
        <f>IF($J922=0,0,ROUND(MAX($J922*1.4*1.5*1.6*1.6,13100000*(1.429962^(MIN($E922,123)-117)))*1,0))</f>
        <v>6406522</v>
      </c>
      <c r="S922" s="6">
        <f>$E922+8</f>
        <v>123</v>
      </c>
      <c r="T922" s="7">
        <f>IF($J922=0,0,ROUND(MAX($J922*1.4*1.5*1.6*1.6*2.2,42600000*(1.576904^(MIN($E922,123)-117)))*1,0))</f>
        <v>17131646</v>
      </c>
      <c r="U922" s="4">
        <f>$E922+11</f>
        <v>126</v>
      </c>
      <c r="V922" s="8">
        <f>IF($J922=0,0,ROUND(MAX($J922*1.4*1.5*1.6*1.6*2.2*2.715,354000000*(1.642074^(MIN($E922,123)-117)))*1,0))</f>
        <v>131285817</v>
      </c>
      <c r="W922" s="6">
        <f>$E922+15</f>
        <v>130</v>
      </c>
      <c r="X922" s="7">
        <f>IF($J922=0,0,ROUND(MAX($J922*1.4*1.5*1.6*1.6*2.2*2.715*2.6,3540000000*(1.579646^(MIN($E922,123)-117)))*1,0))</f>
        <v>1418677620</v>
      </c>
      <c r="Y922" s="4">
        <f>$E922+17</f>
        <v>132</v>
      </c>
      <c r="Z922" s="8">
        <f>IF($J922=0,0,ROUND(MAX($J922*1.4*1.5*1.6*1.6*2.2*2.715*2.6*1.4,6020000000*(1.651178^(MIN($E922,123)-117)))*1,0))</f>
        <v>2208048987</v>
      </c>
      <c r="AA922" s="6">
        <f>$E922+19</f>
        <v>134</v>
      </c>
      <c r="AB922" s="7">
        <f>IF($J922=0,0,ROUND(MAX($J922*1.4*1.5*1.6*1.6*2.2*2.715*2.6*1.4*1.4,8430000000*(1.651435^(MIN($E922,123)-117)))*1,0))</f>
        <v>3091039859</v>
      </c>
      <c r="AC922" s="4">
        <f>$E922+21</f>
        <v>136</v>
      </c>
      <c r="AD922" s="8">
        <f>IF($J922=0,0,ROUND(MAX($J922*1.4*1.5*1.6*1.6*2.2*2.715*2.6*1.4*1.4*1.5,12600000000*(1.652953^(MIN($E922,123)-117)))*1,0))</f>
        <v>4611577749</v>
      </c>
      <c r="AE922" s="6">
        <f>$E922+24</f>
        <v>139</v>
      </c>
      <c r="AF922" s="7">
        <f>IF($J922=0,0,ROUND(MAX($J922*1.4*1.5*1.6*1.6*2.2*2.715*2.6*1.4*1.4*1.5*1.5,18900000000*(1.65331^(MIN($E922,123)-117)))*1,0))</f>
        <v>6914379606</v>
      </c>
      <c r="AG922" s="4">
        <f>$E922+27</f>
        <v>142</v>
      </c>
      <c r="AH922" s="8">
        <f>IF($J922=0,0,ROUND(MAX($J922*1.4*1.5*1.6*1.6*2.2*2.715*2.6*1.4*1.4*1.5*1.5*3.2,60500000000*(1.654288^(MIN($E922,123)-117)))*1,0))</f>
        <v>22107169230</v>
      </c>
    </row>
    <row r="923" ht="27.75" customHeight="1" spans="1:34" x14ac:dyDescent="0.25">
      <c r="A923" s="3">
        <v>933</v>
      </c>
      <c r="B923" s="3" t="s">
        <v>92</v>
      </c>
      <c r="C923" s="3" t="s">
        <v>768</v>
      </c>
      <c r="D923" s="3" t="s">
        <v>93</v>
      </c>
      <c r="E923" s="3">
        <v>115</v>
      </c>
      <c r="F923" s="3" t="s">
        <v>56</v>
      </c>
      <c r="G923" s="3" t="s">
        <v>769</v>
      </c>
      <c r="H923" s="3">
        <v>28</v>
      </c>
      <c r="I923" s="4">
        <v>115</v>
      </c>
      <c r="J923" s="5">
        <v>631000</v>
      </c>
      <c r="K923" s="6">
        <f>$E923+1</f>
        <v>116</v>
      </c>
      <c r="L923" s="7">
        <f>IF($J923=0,0,ROUND(MAX($J923*1.4,1620000*(1.497923^(MIN($E923,123)-117)))*1,0))</f>
        <v>883400</v>
      </c>
      <c r="M923" s="4">
        <f>$E923+2</f>
        <v>117</v>
      </c>
      <c r="N923" s="8">
        <f>IF($J923=0,0,ROUND(MAX($J923*1.4*1.5,2190000*(1.580994^(MIN($E923,123)-117)))*1,0))</f>
        <v>1325100</v>
      </c>
      <c r="O923" s="6">
        <f>$E923+4</f>
        <v>119</v>
      </c>
      <c r="P923" s="7">
        <f>IF($J923=0,0,ROUND(MAX($J923*1.4*1.5*1.6,3500000*(1.57975^(MIN($E923,123)-117)))*1,0))</f>
        <v>2120160</v>
      </c>
      <c r="Q923" s="4">
        <f>$E923+6</f>
        <v>121</v>
      </c>
      <c r="R923" s="8">
        <f>IF($J923=0,0,ROUND(MAX($J923*1.4*1.5*1.6*1.6,13100000*(1.429962^(MIN($E923,123)-117)))*1,0))</f>
        <v>6406522</v>
      </c>
      <c r="S923" s="6">
        <f>$E923+8</f>
        <v>123</v>
      </c>
      <c r="T923" s="7">
        <f>IF($J923=0,0,ROUND(MAX($J923*1.4*1.5*1.6*1.6*2.2,42600000*(1.576904^(MIN($E923,123)-117)))*1,0))</f>
        <v>17131646</v>
      </c>
      <c r="U923" s="4">
        <f>$E923+11</f>
        <v>126</v>
      </c>
      <c r="V923" s="8">
        <f>IF($J923=0,0,ROUND(MAX($J923*1.4*1.5*1.6*1.6*2.2*2.715,354000000*(1.642074^(MIN($E923,123)-117)))*1,0))</f>
        <v>131285817</v>
      </c>
      <c r="W923" s="6">
        <f>$E923+15</f>
        <v>130</v>
      </c>
      <c r="X923" s="7">
        <f>IF($J923=0,0,ROUND(MAX($J923*1.4*1.5*1.6*1.6*2.2*2.715*2.6,3540000000*(1.579646^(MIN($E923,123)-117)))*1,0))</f>
        <v>1418677620</v>
      </c>
      <c r="Y923" s="4">
        <f>$E923+17</f>
        <v>132</v>
      </c>
      <c r="Z923" s="8">
        <f>IF($J923=0,0,ROUND(MAX($J923*1.4*1.5*1.6*1.6*2.2*2.715*2.6*1.4,6020000000*(1.651178^(MIN($E923,123)-117)))*1,0))</f>
        <v>2208048987</v>
      </c>
      <c r="AA923" s="6">
        <f>$E923+19</f>
        <v>134</v>
      </c>
      <c r="AB923" s="7">
        <f>IF($J923=0,0,ROUND(MAX($J923*1.4*1.5*1.6*1.6*2.2*2.715*2.6*1.4*1.4,8430000000*(1.651435^(MIN($E923,123)-117)))*1,0))</f>
        <v>3091039859</v>
      </c>
      <c r="AC923" s="4">
        <f>$E923+21</f>
        <v>136</v>
      </c>
      <c r="AD923" s="8">
        <f>IF($J923=0,0,ROUND(MAX($J923*1.4*1.5*1.6*1.6*2.2*2.715*2.6*1.4*1.4*1.5,12600000000*(1.652953^(MIN($E923,123)-117)))*1,0))</f>
        <v>4611577749</v>
      </c>
      <c r="AE923" s="6">
        <f>$E923+24</f>
        <v>139</v>
      </c>
      <c r="AF923" s="7">
        <f>IF($J923=0,0,ROUND(MAX($J923*1.4*1.5*1.6*1.6*2.2*2.715*2.6*1.4*1.4*1.5*1.5,18900000000*(1.65331^(MIN($E923,123)-117)))*1,0))</f>
        <v>6914379606</v>
      </c>
      <c r="AG923" s="4">
        <f>$E923+27</f>
        <v>142</v>
      </c>
      <c r="AH923" s="8">
        <f>IF($J923=0,0,ROUND(MAX($J923*1.4*1.5*1.6*1.6*2.2*2.715*2.6*1.4*1.4*1.5*1.5*3.2,60500000000*(1.654288^(MIN($E923,123)-117)))*1,0))</f>
        <v>22107169230</v>
      </c>
    </row>
    <row r="924" ht="27.75" customHeight="1" spans="1:34" x14ac:dyDescent="0.25">
      <c r="A924" s="3">
        <v>934</v>
      </c>
      <c r="B924" s="3" t="s">
        <v>147</v>
      </c>
      <c r="C924" s="3" t="s">
        <v>768</v>
      </c>
      <c r="D924" s="3" t="s">
        <v>45</v>
      </c>
      <c r="E924" s="3">
        <v>115</v>
      </c>
      <c r="F924" s="3" t="s">
        <v>56</v>
      </c>
      <c r="G924" s="3" t="s">
        <v>769</v>
      </c>
      <c r="H924" s="3">
        <v>28</v>
      </c>
      <c r="I924" s="4">
        <v>115</v>
      </c>
      <c r="J924" s="5">
        <v>451000</v>
      </c>
      <c r="K924" s="6">
        <f>$E924+1</f>
        <v>116</v>
      </c>
      <c r="L924" s="7">
        <f>IF($J924=0,0,ROUND(MAX($J924*1.4,1620000*(1.497923^(MIN($E924,123)-117)))*1,0))</f>
        <v>721998</v>
      </c>
      <c r="M924" s="4">
        <f>$E924+2</f>
        <v>117</v>
      </c>
      <c r="N924" s="8">
        <f>IF($J924=0,0,ROUND(MAX($J924*1.4*1.5,2190000*(1.580994^(MIN($E924,123)-117)))*1,0))</f>
        <v>947100</v>
      </c>
      <c r="O924" s="6">
        <f>$E924+4</f>
        <v>119</v>
      </c>
      <c r="P924" s="7">
        <f>IF($J924=0,0,ROUND(MAX($J924*1.4*1.5*1.6,3500000*(1.57975^(MIN($E924,123)-117)))*1,0))</f>
        <v>1515360</v>
      </c>
      <c r="Q924" s="4">
        <f>$E924+6</f>
        <v>121</v>
      </c>
      <c r="R924" s="8">
        <f>IF($J924=0,0,ROUND(MAX($J924*1.4*1.5*1.6*1.6,13100000*(1.429962^(MIN($E924,123)-117)))*1,0))</f>
        <v>6406522</v>
      </c>
      <c r="S924" s="6">
        <f>$E924+8</f>
        <v>123</v>
      </c>
      <c r="T924" s="7">
        <f>IF($J924=0,0,ROUND(MAX($J924*1.4*1.5*1.6*1.6*2.2,42600000*(1.576904^(MIN($E924,123)-117)))*1,0))</f>
        <v>17131646</v>
      </c>
      <c r="U924" s="4">
        <f>$E924+11</f>
        <v>126</v>
      </c>
      <c r="V924" s="8">
        <f>IF($J924=0,0,ROUND(MAX($J924*1.4*1.5*1.6*1.6*2.2*2.715,354000000*(1.642074^(MIN($E924,123)-117)))*1,0))</f>
        <v>131285817</v>
      </c>
      <c r="W924" s="6">
        <f>$E924+15</f>
        <v>130</v>
      </c>
      <c r="X924" s="7">
        <f>IF($J924=0,0,ROUND(MAX($J924*1.4*1.5*1.6*1.6*2.2*2.715*2.6,3540000000*(1.579646^(MIN($E924,123)-117)))*1,0))</f>
        <v>1418677620</v>
      </c>
      <c r="Y924" s="4">
        <f>$E924+17</f>
        <v>132</v>
      </c>
      <c r="Z924" s="8">
        <f>IF($J924=0,0,ROUND(MAX($J924*1.4*1.5*1.6*1.6*2.2*2.715*2.6*1.4,6020000000*(1.651178^(MIN($E924,123)-117)))*1,0))</f>
        <v>2208048987</v>
      </c>
      <c r="AA924" s="6">
        <f>$E924+19</f>
        <v>134</v>
      </c>
      <c r="AB924" s="7">
        <f>IF($J924=0,0,ROUND(MAX($J924*1.4*1.5*1.6*1.6*2.2*2.715*2.6*1.4*1.4,8430000000*(1.651435^(MIN($E924,123)-117)))*1,0))</f>
        <v>3091039859</v>
      </c>
      <c r="AC924" s="4">
        <f>$E924+21</f>
        <v>136</v>
      </c>
      <c r="AD924" s="8">
        <f>IF($J924=0,0,ROUND(MAX($J924*1.4*1.5*1.6*1.6*2.2*2.715*2.6*1.4*1.4*1.5,12600000000*(1.652953^(MIN($E924,123)-117)))*1,0))</f>
        <v>4611577749</v>
      </c>
      <c r="AE924" s="6">
        <f>$E924+24</f>
        <v>139</v>
      </c>
      <c r="AF924" s="7">
        <f>IF($J924=0,0,ROUND(MAX($J924*1.4*1.5*1.6*1.6*2.2*2.715*2.6*1.4*1.4*1.5*1.5,18900000000*(1.65331^(MIN($E924,123)-117)))*1,0))</f>
        <v>6914379606</v>
      </c>
      <c r="AG924" s="4">
        <f>$E924+27</f>
        <v>142</v>
      </c>
      <c r="AH924" s="8">
        <f>IF($J924=0,0,ROUND(MAX($J924*1.4*1.5*1.6*1.6*2.2*2.715*2.6*1.4*1.4*1.5*1.5*3.2,60500000000*(1.654288^(MIN($E924,123)-117)))*1,0))</f>
        <v>22107169230</v>
      </c>
    </row>
    <row r="925" ht="27.75" customHeight="1" spans="1:34" x14ac:dyDescent="0.25">
      <c r="A925" s="3">
        <v>935</v>
      </c>
      <c r="B925" s="3" t="s">
        <v>182</v>
      </c>
      <c r="C925" s="3" t="s">
        <v>768</v>
      </c>
      <c r="D925" s="3" t="s">
        <v>45</v>
      </c>
      <c r="E925" s="3">
        <v>115</v>
      </c>
      <c r="F925" s="3" t="s">
        <v>183</v>
      </c>
      <c r="G925" s="3" t="s">
        <v>769</v>
      </c>
      <c r="H925" s="3">
        <v>28</v>
      </c>
      <c r="I925" s="4">
        <v>115</v>
      </c>
      <c r="J925" s="5">
        <v>389000</v>
      </c>
      <c r="K925" s="6">
        <f>$E925+1</f>
        <v>116</v>
      </c>
      <c r="L925" s="7">
        <f>IF($J925=0,0,ROUND(MAX($J925*1.4,1620000*(1.497923^(MIN($E925,123)-117)))*1,0))</f>
        <v>721998</v>
      </c>
      <c r="M925" s="4">
        <f>$E925+2</f>
        <v>117</v>
      </c>
      <c r="N925" s="8">
        <f>IF($J925=0,0,ROUND(MAX($J925*1.4*1.5,2190000*(1.580994^(MIN($E925,123)-117)))*1,0))</f>
        <v>876161</v>
      </c>
      <c r="O925" s="6">
        <f>$E925+4</f>
        <v>119</v>
      </c>
      <c r="P925" s="7">
        <f>IF($J925=0,0,ROUND(MAX($J925*1.4*1.5*1.6,3500000*(1.57975^(MIN($E925,123)-117)))*1,0))</f>
        <v>1402463</v>
      </c>
      <c r="Q925" s="4">
        <f>$E925+6</f>
        <v>121</v>
      </c>
      <c r="R925" s="8">
        <f>IF($J925=0,0,ROUND(MAX($J925*1.4*1.5*1.6*1.6,13100000*(1.429962^(MIN($E925,123)-117)))*1,0))</f>
        <v>6406522</v>
      </c>
      <c r="S925" s="6">
        <f>$E925+8</f>
        <v>123</v>
      </c>
      <c r="T925" s="7">
        <f>IF($J925=0,0,ROUND(MAX($J925*1.4*1.5*1.6*1.6*2.2,42600000*(1.576904^(MIN($E925,123)-117)))*1,0))</f>
        <v>17131646</v>
      </c>
      <c r="U925" s="4">
        <f>$E925+11</f>
        <v>126</v>
      </c>
      <c r="V925" s="8">
        <f>IF($J925=0,0,ROUND(MAX($J925*1.4*1.5*1.6*1.6*2.2*2.715,354000000*(1.642074^(MIN($E925,123)-117)))*1,0))</f>
        <v>131285817</v>
      </c>
      <c r="W925" s="6">
        <f>$E925+15</f>
        <v>130</v>
      </c>
      <c r="X925" s="7">
        <f>IF($J925=0,0,ROUND(MAX($J925*1.4*1.5*1.6*1.6*2.2*2.715*2.6,3540000000*(1.579646^(MIN($E925,123)-117)))*1,0))</f>
        <v>1418677620</v>
      </c>
      <c r="Y925" s="4">
        <f>$E925+17</f>
        <v>132</v>
      </c>
      <c r="Z925" s="8">
        <f>IF($J925=0,0,ROUND(MAX($J925*1.4*1.5*1.6*1.6*2.2*2.715*2.6*1.4,6020000000*(1.651178^(MIN($E925,123)-117)))*1,0))</f>
        <v>2208048987</v>
      </c>
      <c r="AA925" s="6">
        <f>$E925+19</f>
        <v>134</v>
      </c>
      <c r="AB925" s="7">
        <f>IF($J925=0,0,ROUND(MAX($J925*1.4*1.5*1.6*1.6*2.2*2.715*2.6*1.4*1.4,8430000000*(1.651435^(MIN($E925,123)-117)))*1,0))</f>
        <v>3091039859</v>
      </c>
      <c r="AC925" s="4">
        <f>$E925+21</f>
        <v>136</v>
      </c>
      <c r="AD925" s="8">
        <f>IF($J925=0,0,ROUND(MAX($J925*1.4*1.5*1.6*1.6*2.2*2.715*2.6*1.4*1.4*1.5,12600000000*(1.652953^(MIN($E925,123)-117)))*1,0))</f>
        <v>4611577749</v>
      </c>
      <c r="AE925" s="6">
        <f>$E925+24</f>
        <v>139</v>
      </c>
      <c r="AF925" s="7">
        <f>IF($J925=0,0,ROUND(MAX($J925*1.4*1.5*1.6*1.6*2.2*2.715*2.6*1.4*1.4*1.5*1.5,18900000000*(1.65331^(MIN($E925,123)-117)))*1,0))</f>
        <v>6914379606</v>
      </c>
      <c r="AG925" s="4">
        <f>$E925+27</f>
        <v>142</v>
      </c>
      <c r="AH925" s="8">
        <f>IF($J925=0,0,ROUND(MAX($J925*1.4*1.5*1.6*1.6*2.2*2.715*2.6*1.4*1.4*1.5*1.5*3.2,60500000000*(1.654288^(MIN($E925,123)-117)))*1,0))</f>
        <v>22107169230</v>
      </c>
    </row>
    <row r="926" ht="27.75" customHeight="1" spans="1:34" x14ac:dyDescent="0.25">
      <c r="A926" s="3">
        <v>936</v>
      </c>
      <c r="B926" s="3" t="s">
        <v>288</v>
      </c>
      <c r="C926" s="3" t="s">
        <v>768</v>
      </c>
      <c r="D926" s="3" t="s">
        <v>102</v>
      </c>
      <c r="E926" s="3">
        <v>115</v>
      </c>
      <c r="F926" s="3" t="s">
        <v>30</v>
      </c>
      <c r="G926" s="3" t="s">
        <v>57</v>
      </c>
      <c r="H926" s="3">
        <v>27</v>
      </c>
      <c r="I926" s="4">
        <v>115</v>
      </c>
      <c r="J926" s="5">
        <v>397000</v>
      </c>
      <c r="K926" s="6">
        <f>$E926+1</f>
        <v>116</v>
      </c>
      <c r="L926" s="7">
        <f>IF($J926=0,0,ROUND(MAX($J926*1.4,1620000*(1.497923^(MIN($E926,123)-117)))*1,0))</f>
        <v>721998</v>
      </c>
      <c r="M926" s="4">
        <f>$E926+2</f>
        <v>117</v>
      </c>
      <c r="N926" s="8">
        <f>IF($J926=0,0,ROUND(MAX($J926*1.4*1.5,2190000*(1.580994^(MIN($E926,123)-117)))*1,0))</f>
        <v>876161</v>
      </c>
      <c r="O926" s="6">
        <f>$E926+4</f>
        <v>119</v>
      </c>
      <c r="P926" s="7">
        <f>IF($J926=0,0,ROUND(MAX($J926*1.4*1.5*1.6,3500000*(1.57975^(MIN($E926,123)-117)))*1,0))</f>
        <v>1402463</v>
      </c>
      <c r="Q926" s="4">
        <f>$E926+6</f>
        <v>121</v>
      </c>
      <c r="R926" s="8">
        <f>IF($J926=0,0,ROUND(MAX($J926*1.4*1.5*1.6*1.6,13100000*(1.429962^(MIN($E926,123)-117)))*1,0))</f>
        <v>6406522</v>
      </c>
      <c r="S926" s="6">
        <f>$E926+8</f>
        <v>123</v>
      </c>
      <c r="T926" s="7">
        <f>IF($J926=0,0,ROUND(MAX($J926*1.4*1.5*1.6*1.6*2.2,42600000*(1.576904^(MIN($E926,123)-117)))*1,0))</f>
        <v>17131646</v>
      </c>
      <c r="U926" s="4">
        <f>$E926+11</f>
        <v>126</v>
      </c>
      <c r="V926" s="8">
        <f>IF($J926=0,0,ROUND(MAX($J926*1.4*1.5*1.6*1.6*2.2*2.715,354000000*(1.642074^(MIN($E926,123)-117)))*1,0))</f>
        <v>131285817</v>
      </c>
      <c r="W926" s="6">
        <f>$E926+15</f>
        <v>130</v>
      </c>
      <c r="X926" s="7">
        <f>IF($J926=0,0,ROUND(MAX($J926*1.4*1.5*1.6*1.6*2.2*2.715*2.6,3540000000*(1.579646^(MIN($E926,123)-117)))*1,0))</f>
        <v>1418677620</v>
      </c>
      <c r="Y926" s="4">
        <f>$E926+17</f>
        <v>132</v>
      </c>
      <c r="Z926" s="8">
        <f>IF($J926=0,0,ROUND(MAX($J926*1.4*1.5*1.6*1.6*2.2*2.715*2.6*1.4,6020000000*(1.651178^(MIN($E926,123)-117)))*1,0))</f>
        <v>2208048987</v>
      </c>
      <c r="AA926" s="6">
        <f>$E926+19</f>
        <v>134</v>
      </c>
      <c r="AB926" s="7">
        <f>IF($J926=0,0,ROUND(MAX($J926*1.4*1.5*1.6*1.6*2.2*2.715*2.6*1.4*1.4,8430000000*(1.651435^(MIN($E926,123)-117)))*1,0))</f>
        <v>3091039859</v>
      </c>
      <c r="AC926" s="4">
        <f>$E926+21</f>
        <v>136</v>
      </c>
      <c r="AD926" s="8">
        <f>IF($J926=0,0,ROUND(MAX($J926*1.4*1.5*1.6*1.6*2.2*2.715*2.6*1.4*1.4*1.5,12600000000*(1.652953^(MIN($E926,123)-117)))*1,0))</f>
        <v>4611577749</v>
      </c>
      <c r="AE926" s="6">
        <f>$E926+24</f>
        <v>139</v>
      </c>
      <c r="AF926" s="7">
        <f>IF($J926=0,0,ROUND(MAX($J926*1.4*1.5*1.6*1.6*2.2*2.715*2.6*1.4*1.4*1.5*1.5,18900000000*(1.65331^(MIN($E926,123)-117)))*1,0))</f>
        <v>6914379606</v>
      </c>
      <c r="AG926" s="4">
        <f>$E926+27</f>
        <v>142</v>
      </c>
      <c r="AH926" s="8">
        <f>IF($J926=0,0,ROUND(MAX($J926*1.4*1.5*1.6*1.6*2.2*2.715*2.6*1.4*1.4*1.5*1.5*3.2,60500000000*(1.654288^(MIN($E926,123)-117)))*1,0))</f>
        <v>22107169230</v>
      </c>
    </row>
    <row r="927" ht="27.75" customHeight="1" spans="1:34" x14ac:dyDescent="0.25">
      <c r="A927" s="3">
        <v>937</v>
      </c>
      <c r="B927" s="3" t="s">
        <v>58</v>
      </c>
      <c r="C927" s="3" t="s">
        <v>768</v>
      </c>
      <c r="D927" s="3" t="s">
        <v>29</v>
      </c>
      <c r="E927" s="3">
        <v>114</v>
      </c>
      <c r="F927" s="3" t="s">
        <v>59</v>
      </c>
      <c r="G927" s="3" t="s">
        <v>769</v>
      </c>
      <c r="H927" s="3">
        <v>29</v>
      </c>
      <c r="I927" s="4">
        <v>114</v>
      </c>
      <c r="J927" s="5">
        <v>263000</v>
      </c>
      <c r="K927" s="6">
        <f>$E927+1</f>
        <v>115</v>
      </c>
      <c r="L927" s="7">
        <f>IF($J927=0,0,ROUND(MAX($J927*1.4,1620000*(1.497923^(MIN($E927,123)-117)))*1,0))</f>
        <v>481999</v>
      </c>
      <c r="M927" s="4">
        <f>$E927+2</f>
        <v>116</v>
      </c>
      <c r="N927" s="8">
        <f>IF($J927=0,0,ROUND(MAX($J927*1.4*1.5,2190000*(1.580994^(MIN($E927,123)-117)))*1,0))</f>
        <v>554183</v>
      </c>
      <c r="O927" s="6">
        <f>$E927+4</f>
        <v>118</v>
      </c>
      <c r="P927" s="7">
        <f>IF($J927=0,0,ROUND(MAX($J927*1.4*1.5*1.6,3500000*(1.57975^(MIN($E927,123)-117)))*1,0))</f>
        <v>887775</v>
      </c>
      <c r="Q927" s="4">
        <f>$E927+6</f>
        <v>120</v>
      </c>
      <c r="R927" s="8">
        <f>IF($J927=0,0,ROUND(MAX($J927*1.4*1.5*1.6*1.6,13100000*(1.429962^(MIN($E927,123)-117)))*1,0))</f>
        <v>4480204</v>
      </c>
      <c r="S927" s="6">
        <f>$E927+8</f>
        <v>122</v>
      </c>
      <c r="T927" s="7">
        <f>IF($J927=0,0,ROUND(MAX($J927*1.4*1.5*1.6*1.6*2.2,42600000*(1.576904^(MIN($E927,123)-117)))*1,0))</f>
        <v>10864102</v>
      </c>
      <c r="U927" s="4">
        <f>$E927+11</f>
        <v>125</v>
      </c>
      <c r="V927" s="8">
        <f>IF($J927=0,0,ROUND(MAX($J927*1.4*1.5*1.6*1.6*2.2*2.715,354000000*(1.642074^(MIN($E927,123)-117)))*1,0))</f>
        <v>79951219</v>
      </c>
      <c r="W927" s="6">
        <f>$E927+15</f>
        <v>129</v>
      </c>
      <c r="X927" s="7">
        <f>IF($J927=0,0,ROUND(MAX($J927*1.4*1.5*1.6*1.6*2.2*2.715*2.6,3540000000*(1.579646^(MIN($E927,123)-117)))*1,0))</f>
        <v>898098448</v>
      </c>
      <c r="Y927" s="4">
        <f>$E927+17</f>
        <v>131</v>
      </c>
      <c r="Z927" s="8">
        <f>IF($J927=0,0,ROUND(MAX($J927*1.4*1.5*1.6*1.6*2.2*2.715*2.6*1.4,6020000000*(1.651178^(MIN($E927,123)-117)))*1,0))</f>
        <v>1337256787</v>
      </c>
      <c r="AA927" s="6">
        <f>$E927+19</f>
        <v>133</v>
      </c>
      <c r="AB927" s="7">
        <f>IF($J927=0,0,ROUND(MAX($J927*1.4*1.5*1.6*1.6*2.2*2.715*2.6*1.4*1.4,8430000000*(1.651435^(MIN($E927,123)-117)))*1,0))</f>
        <v>1871729653</v>
      </c>
      <c r="AC927" s="4">
        <f>$E927+21</f>
        <v>135</v>
      </c>
      <c r="AD927" s="8">
        <f>IF($J927=0,0,ROUND(MAX($J927*1.4*1.5*1.6*1.6*2.2*2.715*2.6*1.4*1.4*1.5,12600000000*(1.652953^(MIN($E927,123)-117)))*1,0))</f>
        <v>2789902525</v>
      </c>
      <c r="AE927" s="6">
        <f>$E927+24</f>
        <v>138</v>
      </c>
      <c r="AF927" s="7">
        <f>IF($J927=0,0,ROUND(MAX($J927*1.4*1.5*1.6*1.6*2.2*2.715*2.6*1.4*1.4*1.5*1.5,18900000000*(1.65331^(MIN($E927,123)-117)))*1,0))</f>
        <v>4182143461</v>
      </c>
      <c r="AG927" s="4">
        <f>$E927+27</f>
        <v>141</v>
      </c>
      <c r="AH927" s="8">
        <f>IF($J927=0,0,ROUND(MAX($J927*1.4*1.5*1.6*1.6*2.2*2.715*2.6*1.4*1.4*1.5*1.5*3.2,60500000000*(1.654288^(MIN($E927,123)-117)))*1,0))</f>
        <v>13363555336</v>
      </c>
    </row>
    <row r="928" ht="27.75" customHeight="1" spans="1:34" x14ac:dyDescent="0.25">
      <c r="A928" s="3">
        <v>938</v>
      </c>
      <c r="B928" s="3" t="s">
        <v>283</v>
      </c>
      <c r="C928" s="3" t="s">
        <v>768</v>
      </c>
      <c r="D928" s="3" t="s">
        <v>33</v>
      </c>
      <c r="E928" s="3">
        <v>114</v>
      </c>
      <c r="F928" s="3" t="s">
        <v>42</v>
      </c>
      <c r="G928" s="3" t="s">
        <v>133</v>
      </c>
      <c r="H928" s="3">
        <v>29</v>
      </c>
      <c r="I928" s="4">
        <v>114</v>
      </c>
      <c r="J928" s="5">
        <v>253000</v>
      </c>
      <c r="K928" s="6">
        <f>$E928+1</f>
        <v>115</v>
      </c>
      <c r="L928" s="7">
        <f>IF($J928=0,0,ROUND(MAX($J928*1.4,1620000*(1.497923^(MIN($E928,123)-117)))*1,0))</f>
        <v>481999</v>
      </c>
      <c r="M928" s="4">
        <f>$E928+2</f>
        <v>116</v>
      </c>
      <c r="N928" s="8">
        <f>IF($J928=0,0,ROUND(MAX($J928*1.4*1.5,2190000*(1.580994^(MIN($E928,123)-117)))*1,0))</f>
        <v>554183</v>
      </c>
      <c r="O928" s="6">
        <f>$E928+4</f>
        <v>118</v>
      </c>
      <c r="P928" s="7">
        <f>IF($J928=0,0,ROUND(MAX($J928*1.4*1.5*1.6,3500000*(1.57975^(MIN($E928,123)-117)))*1,0))</f>
        <v>887775</v>
      </c>
      <c r="Q928" s="4">
        <f>$E928+6</f>
        <v>120</v>
      </c>
      <c r="R928" s="8">
        <f>IF($J928=0,0,ROUND(MAX($J928*1.4*1.5*1.6*1.6,13100000*(1.429962^(MIN($E928,123)-117)))*1,0))</f>
        <v>4480204</v>
      </c>
      <c r="S928" s="6">
        <f>$E928+8</f>
        <v>122</v>
      </c>
      <c r="T928" s="7">
        <f>IF($J928=0,0,ROUND(MAX($J928*1.4*1.5*1.6*1.6*2.2,42600000*(1.576904^(MIN($E928,123)-117)))*1,0))</f>
        <v>10864102</v>
      </c>
      <c r="U928" s="4">
        <f>$E928+11</f>
        <v>125</v>
      </c>
      <c r="V928" s="8">
        <f>IF($J928=0,0,ROUND(MAX($J928*1.4*1.5*1.6*1.6*2.2*2.715,354000000*(1.642074^(MIN($E928,123)-117)))*1,0))</f>
        <v>79951219</v>
      </c>
      <c r="W928" s="6">
        <f>$E928+15</f>
        <v>129</v>
      </c>
      <c r="X928" s="7">
        <f>IF($J928=0,0,ROUND(MAX($J928*1.4*1.5*1.6*1.6*2.2*2.715*2.6,3540000000*(1.579646^(MIN($E928,123)-117)))*1,0))</f>
        <v>898098448</v>
      </c>
      <c r="Y928" s="4">
        <f>$E928+17</f>
        <v>131</v>
      </c>
      <c r="Z928" s="8">
        <f>IF($J928=0,0,ROUND(MAX($J928*1.4*1.5*1.6*1.6*2.2*2.715*2.6*1.4,6020000000*(1.651178^(MIN($E928,123)-117)))*1,0))</f>
        <v>1337256787</v>
      </c>
      <c r="AA928" s="6">
        <f>$E928+19</f>
        <v>133</v>
      </c>
      <c r="AB928" s="7">
        <f>IF($J928=0,0,ROUND(MAX($J928*1.4*1.5*1.6*1.6*2.2*2.715*2.6*1.4*1.4,8430000000*(1.651435^(MIN($E928,123)-117)))*1,0))</f>
        <v>1871729653</v>
      </c>
      <c r="AC928" s="4">
        <f>$E928+21</f>
        <v>135</v>
      </c>
      <c r="AD928" s="8">
        <f>IF($J928=0,0,ROUND(MAX($J928*1.4*1.5*1.6*1.6*2.2*2.715*2.6*1.4*1.4*1.5,12600000000*(1.652953^(MIN($E928,123)-117)))*1,0))</f>
        <v>2789902525</v>
      </c>
      <c r="AE928" s="6">
        <f>$E928+24</f>
        <v>138</v>
      </c>
      <c r="AF928" s="7">
        <f>IF($J928=0,0,ROUND(MAX($J928*1.4*1.5*1.6*1.6*2.2*2.715*2.6*1.4*1.4*1.5*1.5,18900000000*(1.65331^(MIN($E928,123)-117)))*1,0))</f>
        <v>4182143461</v>
      </c>
      <c r="AG928" s="4">
        <f>$E928+27</f>
        <v>141</v>
      </c>
      <c r="AH928" s="8">
        <f>IF($J928=0,0,ROUND(MAX($J928*1.4*1.5*1.6*1.6*2.2*2.715*2.6*1.4*1.4*1.5*1.5*3.2,60500000000*(1.654288^(MIN($E928,123)-117)))*1,0))</f>
        <v>13363555336</v>
      </c>
    </row>
    <row r="929" ht="27.75" customHeight="1" spans="1:34" x14ac:dyDescent="0.25">
      <c r="A929" s="3">
        <v>939</v>
      </c>
      <c r="B929" s="3" t="s">
        <v>638</v>
      </c>
      <c r="C929" s="3" t="s">
        <v>768</v>
      </c>
      <c r="D929" s="3" t="s">
        <v>25</v>
      </c>
      <c r="E929" s="3">
        <v>114</v>
      </c>
      <c r="F929" s="3" t="s">
        <v>310</v>
      </c>
      <c r="G929" s="3" t="s">
        <v>27</v>
      </c>
      <c r="H929" s="3">
        <v>29</v>
      </c>
      <c r="I929" s="4">
        <v>114</v>
      </c>
      <c r="J929" s="5">
        <v>288000</v>
      </c>
      <c r="K929" s="6">
        <f>$E929+1</f>
        <v>115</v>
      </c>
      <c r="L929" s="7">
        <f>IF($J929=0,0,ROUND(MAX($J929*1.4,1620000*(1.497923^(MIN($E929,123)-117)))*1,0))</f>
        <v>481999</v>
      </c>
      <c r="M929" s="4">
        <f>$E929+2</f>
        <v>116</v>
      </c>
      <c r="N929" s="8">
        <f>IF($J929=0,0,ROUND(MAX($J929*1.4*1.5,2190000*(1.580994^(MIN($E929,123)-117)))*1,0))</f>
        <v>604800</v>
      </c>
      <c r="O929" s="6">
        <f>$E929+4</f>
        <v>118</v>
      </c>
      <c r="P929" s="7">
        <f>IF($J929=0,0,ROUND(MAX($J929*1.4*1.5*1.6,3500000*(1.57975^(MIN($E929,123)-117)))*1,0))</f>
        <v>967680</v>
      </c>
      <c r="Q929" s="4">
        <f>$E929+6</f>
        <v>120</v>
      </c>
      <c r="R929" s="8">
        <f>IF($J929=0,0,ROUND(MAX($J929*1.4*1.5*1.6*1.6,13100000*(1.429962^(MIN($E929,123)-117)))*1,0))</f>
        <v>4480204</v>
      </c>
      <c r="S929" s="6">
        <f>$E929+8</f>
        <v>122</v>
      </c>
      <c r="T929" s="7">
        <f>IF($J929=0,0,ROUND(MAX($J929*1.4*1.5*1.6*1.6*2.2,42600000*(1.576904^(MIN($E929,123)-117)))*1,0))</f>
        <v>10864102</v>
      </c>
      <c r="U929" s="4">
        <f>$E929+11</f>
        <v>125</v>
      </c>
      <c r="V929" s="8">
        <f>IF($J929=0,0,ROUND(MAX($J929*1.4*1.5*1.6*1.6*2.2*2.715,354000000*(1.642074^(MIN($E929,123)-117)))*1,0))</f>
        <v>79951219</v>
      </c>
      <c r="W929" s="6">
        <f>$E929+15</f>
        <v>129</v>
      </c>
      <c r="X929" s="7">
        <f>IF($J929=0,0,ROUND(MAX($J929*1.4*1.5*1.6*1.6*2.2*2.715*2.6,3540000000*(1.579646^(MIN($E929,123)-117)))*1,0))</f>
        <v>898098448</v>
      </c>
      <c r="Y929" s="4">
        <f>$E929+17</f>
        <v>131</v>
      </c>
      <c r="Z929" s="8">
        <f>IF($J929=0,0,ROUND(MAX($J929*1.4*1.5*1.6*1.6*2.2*2.715*2.6*1.4,6020000000*(1.651178^(MIN($E929,123)-117)))*1,0))</f>
        <v>1337256787</v>
      </c>
      <c r="AA929" s="6">
        <f>$E929+19</f>
        <v>133</v>
      </c>
      <c r="AB929" s="7">
        <f>IF($J929=0,0,ROUND(MAX($J929*1.4*1.5*1.6*1.6*2.2*2.715*2.6*1.4*1.4,8430000000*(1.651435^(MIN($E929,123)-117)))*1,0))</f>
        <v>1871729653</v>
      </c>
      <c r="AC929" s="4">
        <f>$E929+21</f>
        <v>135</v>
      </c>
      <c r="AD929" s="8">
        <f>IF($J929=0,0,ROUND(MAX($J929*1.4*1.5*1.6*1.6*2.2*2.715*2.6*1.4*1.4*1.5,12600000000*(1.652953^(MIN($E929,123)-117)))*1,0))</f>
        <v>2789902525</v>
      </c>
      <c r="AE929" s="6">
        <f>$E929+24</f>
        <v>138</v>
      </c>
      <c r="AF929" s="7">
        <f>IF($J929=0,0,ROUND(MAX($J929*1.4*1.5*1.6*1.6*2.2*2.715*2.6*1.4*1.4*1.5*1.5,18900000000*(1.65331^(MIN($E929,123)-117)))*1,0))</f>
        <v>4182143461</v>
      </c>
      <c r="AG929" s="4">
        <f>$E929+27</f>
        <v>141</v>
      </c>
      <c r="AH929" s="8">
        <f>IF($J929=0,0,ROUND(MAX($J929*1.4*1.5*1.6*1.6*2.2*2.715*2.6*1.4*1.4*1.5*1.5*3.2,60500000000*(1.654288^(MIN($E929,123)-117)))*1,0))</f>
        <v>13363555336</v>
      </c>
    </row>
    <row r="930" ht="27.75" customHeight="1" spans="1:34" x14ac:dyDescent="0.25">
      <c r="A930" s="3">
        <v>940</v>
      </c>
      <c r="B930" s="3" t="s">
        <v>161</v>
      </c>
      <c r="C930" s="3" t="s">
        <v>768</v>
      </c>
      <c r="D930" s="3" t="s">
        <v>79</v>
      </c>
      <c r="E930" s="3">
        <v>114</v>
      </c>
      <c r="F930" s="3" t="s">
        <v>54</v>
      </c>
      <c r="G930" s="3" t="s">
        <v>769</v>
      </c>
      <c r="H930" s="3">
        <v>29</v>
      </c>
      <c r="I930" s="4">
        <v>114</v>
      </c>
      <c r="J930" s="5">
        <v>229000</v>
      </c>
      <c r="K930" s="6">
        <f>$E930+1</f>
        <v>115</v>
      </c>
      <c r="L930" s="7">
        <f>IF($J930=0,0,ROUND(MAX($J930*1.4,1620000*(1.497923^(MIN($E930,123)-117)))*1,0))</f>
        <v>481999</v>
      </c>
      <c r="M930" s="4">
        <f>$E930+2</f>
        <v>116</v>
      </c>
      <c r="N930" s="8">
        <f>IF($J930=0,0,ROUND(MAX($J930*1.4*1.5,2190000*(1.580994^(MIN($E930,123)-117)))*1,0))</f>
        <v>554183</v>
      </c>
      <c r="O930" s="6">
        <f>$E930+4</f>
        <v>118</v>
      </c>
      <c r="P930" s="7">
        <f>IF($J930=0,0,ROUND(MAX($J930*1.4*1.5*1.6,3500000*(1.57975^(MIN($E930,123)-117)))*1,0))</f>
        <v>887775</v>
      </c>
      <c r="Q930" s="4">
        <f>$E930+6</f>
        <v>120</v>
      </c>
      <c r="R930" s="8">
        <f>IF($J930=0,0,ROUND(MAX($J930*1.4*1.5*1.6*1.6,13100000*(1.429962^(MIN($E930,123)-117)))*1,0))</f>
        <v>4480204</v>
      </c>
      <c r="S930" s="6">
        <f>$E930+8</f>
        <v>122</v>
      </c>
      <c r="T930" s="7">
        <f>IF($J930=0,0,ROUND(MAX($J930*1.4*1.5*1.6*1.6*2.2,42600000*(1.576904^(MIN($E930,123)-117)))*1,0))</f>
        <v>10864102</v>
      </c>
      <c r="U930" s="4">
        <f>$E930+11</f>
        <v>125</v>
      </c>
      <c r="V930" s="8">
        <f>IF($J930=0,0,ROUND(MAX($J930*1.4*1.5*1.6*1.6*2.2*2.715,354000000*(1.642074^(MIN($E930,123)-117)))*1,0))</f>
        <v>79951219</v>
      </c>
      <c r="W930" s="6">
        <f>$E930+15</f>
        <v>129</v>
      </c>
      <c r="X930" s="7">
        <f>IF($J930=0,0,ROUND(MAX($J930*1.4*1.5*1.6*1.6*2.2*2.715*2.6,3540000000*(1.579646^(MIN($E930,123)-117)))*1,0))</f>
        <v>898098448</v>
      </c>
      <c r="Y930" s="4">
        <f>$E930+17</f>
        <v>131</v>
      </c>
      <c r="Z930" s="8">
        <f>IF($J930=0,0,ROUND(MAX($J930*1.4*1.5*1.6*1.6*2.2*2.715*2.6*1.4,6020000000*(1.651178^(MIN($E930,123)-117)))*1,0))</f>
        <v>1337256787</v>
      </c>
      <c r="AA930" s="6">
        <f>$E930+19</f>
        <v>133</v>
      </c>
      <c r="AB930" s="7">
        <f>IF($J930=0,0,ROUND(MAX($J930*1.4*1.5*1.6*1.6*2.2*2.715*2.6*1.4*1.4,8430000000*(1.651435^(MIN($E930,123)-117)))*1,0))</f>
        <v>1871729653</v>
      </c>
      <c r="AC930" s="4">
        <f>$E930+21</f>
        <v>135</v>
      </c>
      <c r="AD930" s="8">
        <f>IF($J930=0,0,ROUND(MAX($J930*1.4*1.5*1.6*1.6*2.2*2.715*2.6*1.4*1.4*1.5,12600000000*(1.652953^(MIN($E930,123)-117)))*1,0))</f>
        <v>2789902525</v>
      </c>
      <c r="AE930" s="6">
        <f>$E930+24</f>
        <v>138</v>
      </c>
      <c r="AF930" s="7">
        <f>IF($J930=0,0,ROUND(MAX($J930*1.4*1.5*1.6*1.6*2.2*2.715*2.6*1.4*1.4*1.5*1.5,18900000000*(1.65331^(MIN($E930,123)-117)))*1,0))</f>
        <v>4182143461</v>
      </c>
      <c r="AG930" s="4">
        <f>$E930+27</f>
        <v>141</v>
      </c>
      <c r="AH930" s="8">
        <f>IF($J930=0,0,ROUND(MAX($J930*1.4*1.5*1.6*1.6*2.2*2.715*2.6*1.4*1.4*1.5*1.5*3.2,60500000000*(1.654288^(MIN($E930,123)-117)))*1,0))</f>
        <v>13363555336</v>
      </c>
    </row>
    <row r="931" ht="27.75" customHeight="1" spans="1:34" x14ac:dyDescent="0.25">
      <c r="A931" s="3">
        <v>941</v>
      </c>
      <c r="B931" s="3" t="s">
        <v>96</v>
      </c>
      <c r="C931" s="3" t="s">
        <v>768</v>
      </c>
      <c r="D931" s="3" t="s">
        <v>40</v>
      </c>
      <c r="E931" s="3">
        <v>114</v>
      </c>
      <c r="F931" s="3" t="s">
        <v>97</v>
      </c>
      <c r="G931" s="3" t="s">
        <v>769</v>
      </c>
      <c r="H931" s="3">
        <v>29</v>
      </c>
      <c r="I931" s="4">
        <v>114</v>
      </c>
      <c r="J931" s="5">
        <v>534000</v>
      </c>
      <c r="K931" s="6">
        <f>$E931+1</f>
        <v>115</v>
      </c>
      <c r="L931" s="7">
        <f>IF($J931=0,0,ROUND(MAX($J931*1.4,1620000*(1.497923^(MIN($E931,123)-117)))*1,0))</f>
        <v>747600</v>
      </c>
      <c r="M931" s="4">
        <f>$E931+2</f>
        <v>116</v>
      </c>
      <c r="N931" s="8">
        <f>IF($J931=0,0,ROUND(MAX($J931*1.4*1.5,2190000*(1.580994^(MIN($E931,123)-117)))*1,0))</f>
        <v>1121400</v>
      </c>
      <c r="O931" s="6">
        <f>$E931+4</f>
        <v>118</v>
      </c>
      <c r="P931" s="7">
        <f>IF($J931=0,0,ROUND(MAX($J931*1.4*1.5*1.6,3500000*(1.57975^(MIN($E931,123)-117)))*1,0))</f>
        <v>1794240</v>
      </c>
      <c r="Q931" s="4">
        <f>$E931+6</f>
        <v>120</v>
      </c>
      <c r="R931" s="8">
        <f>IF($J931=0,0,ROUND(MAX($J931*1.4*1.5*1.6*1.6,13100000*(1.429962^(MIN($E931,123)-117)))*1,0))</f>
        <v>4480204</v>
      </c>
      <c r="S931" s="6">
        <f>$E931+8</f>
        <v>122</v>
      </c>
      <c r="T931" s="7">
        <f>IF($J931=0,0,ROUND(MAX($J931*1.4*1.5*1.6*1.6*2.2,42600000*(1.576904^(MIN($E931,123)-117)))*1,0))</f>
        <v>10864102</v>
      </c>
      <c r="U931" s="4">
        <f>$E931+11</f>
        <v>125</v>
      </c>
      <c r="V931" s="8">
        <f>IF($J931=0,0,ROUND(MAX($J931*1.4*1.5*1.6*1.6*2.2*2.715,354000000*(1.642074^(MIN($E931,123)-117)))*1,0))</f>
        <v>79951219</v>
      </c>
      <c r="W931" s="6">
        <f>$E931+15</f>
        <v>129</v>
      </c>
      <c r="X931" s="7">
        <f>IF($J931=0,0,ROUND(MAX($J931*1.4*1.5*1.6*1.6*2.2*2.715*2.6,3540000000*(1.579646^(MIN($E931,123)-117)))*1,0))</f>
        <v>898098448</v>
      </c>
      <c r="Y931" s="4">
        <f>$E931+17</f>
        <v>131</v>
      </c>
      <c r="Z931" s="8">
        <f>IF($J931=0,0,ROUND(MAX($J931*1.4*1.5*1.6*1.6*2.2*2.715*2.6*1.4,6020000000*(1.651178^(MIN($E931,123)-117)))*1,0))</f>
        <v>1337256787</v>
      </c>
      <c r="AA931" s="6">
        <f>$E931+19</f>
        <v>133</v>
      </c>
      <c r="AB931" s="7">
        <f>IF($J931=0,0,ROUND(MAX($J931*1.4*1.5*1.6*1.6*2.2*2.715*2.6*1.4*1.4,8430000000*(1.651435^(MIN($E931,123)-117)))*1,0))</f>
        <v>1871729653</v>
      </c>
      <c r="AC931" s="4">
        <f>$E931+21</f>
        <v>135</v>
      </c>
      <c r="AD931" s="8">
        <f>IF($J931=0,0,ROUND(MAX($J931*1.4*1.5*1.6*1.6*2.2*2.715*2.6*1.4*1.4*1.5,12600000000*(1.652953^(MIN($E931,123)-117)))*1,0))</f>
        <v>2789902525</v>
      </c>
      <c r="AE931" s="6">
        <f>$E931+24</f>
        <v>138</v>
      </c>
      <c r="AF931" s="7">
        <f>IF($J931=0,0,ROUND(MAX($J931*1.4*1.5*1.6*1.6*2.2*2.715*2.6*1.4*1.4*1.5*1.5,18900000000*(1.65331^(MIN($E931,123)-117)))*1,0))</f>
        <v>4182143461</v>
      </c>
      <c r="AG931" s="4">
        <f>$E931+27</f>
        <v>141</v>
      </c>
      <c r="AH931" s="8">
        <f>IF($J931=0,0,ROUND(MAX($J931*1.4*1.5*1.6*1.6*2.2*2.715*2.6*1.4*1.4*1.5*1.5*3.2,60500000000*(1.654288^(MIN($E931,123)-117)))*1,0))</f>
        <v>13363555336</v>
      </c>
    </row>
    <row r="932" ht="27.75" customHeight="1" spans="1:34" x14ac:dyDescent="0.25">
      <c r="A932" s="3">
        <v>942</v>
      </c>
      <c r="B932" s="3" t="s">
        <v>184</v>
      </c>
      <c r="C932" s="3" t="s">
        <v>768</v>
      </c>
      <c r="D932" s="3" t="s">
        <v>102</v>
      </c>
      <c r="E932" s="3">
        <v>114</v>
      </c>
      <c r="F932" s="3" t="s">
        <v>97</v>
      </c>
      <c r="G932" s="3" t="s">
        <v>769</v>
      </c>
      <c r="H932" s="3">
        <v>29</v>
      </c>
      <c r="I932" s="4">
        <v>114</v>
      </c>
      <c r="J932" s="5">
        <v>294000</v>
      </c>
      <c r="K932" s="6">
        <f>$E932+1</f>
        <v>115</v>
      </c>
      <c r="L932" s="7">
        <f>IF($J932=0,0,ROUND(MAX($J932*1.4,1620000*(1.497923^(MIN($E932,123)-117)))*1,0))</f>
        <v>481999</v>
      </c>
      <c r="M932" s="4">
        <f>$E932+2</f>
        <v>116</v>
      </c>
      <c r="N932" s="8">
        <f>IF($J932=0,0,ROUND(MAX($J932*1.4*1.5,2190000*(1.580994^(MIN($E932,123)-117)))*1,0))</f>
        <v>617400</v>
      </c>
      <c r="O932" s="6">
        <f>$E932+4</f>
        <v>118</v>
      </c>
      <c r="P932" s="7">
        <f>IF($J932=0,0,ROUND(MAX($J932*1.4*1.5*1.6,3500000*(1.57975^(MIN($E932,123)-117)))*1,0))</f>
        <v>987840</v>
      </c>
      <c r="Q932" s="4">
        <f>$E932+6</f>
        <v>120</v>
      </c>
      <c r="R932" s="8">
        <f>IF($J932=0,0,ROUND(MAX($J932*1.4*1.5*1.6*1.6,13100000*(1.429962^(MIN($E932,123)-117)))*1,0))</f>
        <v>4480204</v>
      </c>
      <c r="S932" s="6">
        <f>$E932+8</f>
        <v>122</v>
      </c>
      <c r="T932" s="7">
        <f>IF($J932=0,0,ROUND(MAX($J932*1.4*1.5*1.6*1.6*2.2,42600000*(1.576904^(MIN($E932,123)-117)))*1,0))</f>
        <v>10864102</v>
      </c>
      <c r="U932" s="4">
        <f>$E932+11</f>
        <v>125</v>
      </c>
      <c r="V932" s="8">
        <f>IF($J932=0,0,ROUND(MAX($J932*1.4*1.5*1.6*1.6*2.2*2.715,354000000*(1.642074^(MIN($E932,123)-117)))*1,0))</f>
        <v>79951219</v>
      </c>
      <c r="W932" s="6">
        <f>$E932+15</f>
        <v>129</v>
      </c>
      <c r="X932" s="7">
        <f>IF($J932=0,0,ROUND(MAX($J932*1.4*1.5*1.6*1.6*2.2*2.715*2.6,3540000000*(1.579646^(MIN($E932,123)-117)))*1,0))</f>
        <v>898098448</v>
      </c>
      <c r="Y932" s="4">
        <f>$E932+17</f>
        <v>131</v>
      </c>
      <c r="Z932" s="8">
        <f>IF($J932=0,0,ROUND(MAX($J932*1.4*1.5*1.6*1.6*2.2*2.715*2.6*1.4,6020000000*(1.651178^(MIN($E932,123)-117)))*1,0))</f>
        <v>1337256787</v>
      </c>
      <c r="AA932" s="6">
        <f>$E932+19</f>
        <v>133</v>
      </c>
      <c r="AB932" s="7">
        <f>IF($J932=0,0,ROUND(MAX($J932*1.4*1.5*1.6*1.6*2.2*2.715*2.6*1.4*1.4,8430000000*(1.651435^(MIN($E932,123)-117)))*1,0))</f>
        <v>1871729653</v>
      </c>
      <c r="AC932" s="4">
        <f>$E932+21</f>
        <v>135</v>
      </c>
      <c r="AD932" s="8">
        <f>IF($J932=0,0,ROUND(MAX($J932*1.4*1.5*1.6*1.6*2.2*2.715*2.6*1.4*1.4*1.5,12600000000*(1.652953^(MIN($E932,123)-117)))*1,0))</f>
        <v>2789902525</v>
      </c>
      <c r="AE932" s="6">
        <f>$E932+24</f>
        <v>138</v>
      </c>
      <c r="AF932" s="7">
        <f>IF($J932=0,0,ROUND(MAX($J932*1.4*1.5*1.6*1.6*2.2*2.715*2.6*1.4*1.4*1.5*1.5,18900000000*(1.65331^(MIN($E932,123)-117)))*1,0))</f>
        <v>4182143461</v>
      </c>
      <c r="AG932" s="4">
        <f>$E932+27</f>
        <v>141</v>
      </c>
      <c r="AH932" s="8">
        <f>IF($J932=0,0,ROUND(MAX($J932*1.4*1.5*1.6*1.6*2.2*2.715*2.6*1.4*1.4*1.5*1.5*3.2,60500000000*(1.654288^(MIN($E932,123)-117)))*1,0))</f>
        <v>13363555336</v>
      </c>
    </row>
    <row r="933" ht="27.75" customHeight="1" spans="1:34" x14ac:dyDescent="0.25">
      <c r="A933" s="3">
        <v>943</v>
      </c>
      <c r="B933" s="3" t="s">
        <v>130</v>
      </c>
      <c r="C933" s="3" t="s">
        <v>768</v>
      </c>
      <c r="D933" s="3" t="s">
        <v>45</v>
      </c>
      <c r="E933" s="3">
        <v>114</v>
      </c>
      <c r="F933" s="3" t="s">
        <v>56</v>
      </c>
      <c r="G933" s="3" t="s">
        <v>769</v>
      </c>
      <c r="H933" s="3">
        <v>29</v>
      </c>
      <c r="I933" s="4">
        <v>114</v>
      </c>
      <c r="J933" s="5">
        <v>298000</v>
      </c>
      <c r="K933" s="6">
        <f>$E933+1</f>
        <v>115</v>
      </c>
      <c r="L933" s="7">
        <f>IF($J933=0,0,ROUND(MAX($J933*1.4,1620000*(1.497923^(MIN($E933,123)-117)))*1,0))</f>
        <v>481999</v>
      </c>
      <c r="M933" s="4">
        <f>$E933+2</f>
        <v>116</v>
      </c>
      <c r="N933" s="8">
        <f>IF($J933=0,0,ROUND(MAX($J933*1.4*1.5,2190000*(1.580994^(MIN($E933,123)-117)))*1,0))</f>
        <v>625800</v>
      </c>
      <c r="O933" s="6">
        <f>$E933+4</f>
        <v>118</v>
      </c>
      <c r="P933" s="7">
        <f>IF($J933=0,0,ROUND(MAX($J933*1.4*1.5*1.6,3500000*(1.57975^(MIN($E933,123)-117)))*1,0))</f>
        <v>1001280</v>
      </c>
      <c r="Q933" s="4">
        <f>$E933+6</f>
        <v>120</v>
      </c>
      <c r="R933" s="8">
        <f>IF($J933=0,0,ROUND(MAX($J933*1.4*1.5*1.6*1.6,13100000*(1.429962^(MIN($E933,123)-117)))*1,0))</f>
        <v>4480204</v>
      </c>
      <c r="S933" s="6">
        <f>$E933+8</f>
        <v>122</v>
      </c>
      <c r="T933" s="7">
        <f>IF($J933=0,0,ROUND(MAX($J933*1.4*1.5*1.6*1.6*2.2,42600000*(1.576904^(MIN($E933,123)-117)))*1,0))</f>
        <v>10864102</v>
      </c>
      <c r="U933" s="4">
        <f>$E933+11</f>
        <v>125</v>
      </c>
      <c r="V933" s="8">
        <f>IF($J933=0,0,ROUND(MAX($J933*1.4*1.5*1.6*1.6*2.2*2.715,354000000*(1.642074^(MIN($E933,123)-117)))*1,0))</f>
        <v>79951219</v>
      </c>
      <c r="W933" s="6">
        <f>$E933+15</f>
        <v>129</v>
      </c>
      <c r="X933" s="7">
        <f>IF($J933=0,0,ROUND(MAX($J933*1.4*1.5*1.6*1.6*2.2*2.715*2.6,3540000000*(1.579646^(MIN($E933,123)-117)))*1,0))</f>
        <v>898098448</v>
      </c>
      <c r="Y933" s="4">
        <f>$E933+17</f>
        <v>131</v>
      </c>
      <c r="Z933" s="8">
        <f>IF($J933=0,0,ROUND(MAX($J933*1.4*1.5*1.6*1.6*2.2*2.715*2.6*1.4,6020000000*(1.651178^(MIN($E933,123)-117)))*1,0))</f>
        <v>1337256787</v>
      </c>
      <c r="AA933" s="6">
        <f>$E933+19</f>
        <v>133</v>
      </c>
      <c r="AB933" s="7">
        <f>IF($J933=0,0,ROUND(MAX($J933*1.4*1.5*1.6*1.6*2.2*2.715*2.6*1.4*1.4,8430000000*(1.651435^(MIN($E933,123)-117)))*1,0))</f>
        <v>1871729653</v>
      </c>
      <c r="AC933" s="4">
        <f>$E933+21</f>
        <v>135</v>
      </c>
      <c r="AD933" s="8">
        <f>IF($J933=0,0,ROUND(MAX($J933*1.4*1.5*1.6*1.6*2.2*2.715*2.6*1.4*1.4*1.5,12600000000*(1.652953^(MIN($E933,123)-117)))*1,0))</f>
        <v>2789902525</v>
      </c>
      <c r="AE933" s="6">
        <f>$E933+24</f>
        <v>138</v>
      </c>
      <c r="AF933" s="7">
        <f>IF($J933=0,0,ROUND(MAX($J933*1.4*1.5*1.6*1.6*2.2*2.715*2.6*1.4*1.4*1.5*1.5,18900000000*(1.65331^(MIN($E933,123)-117)))*1,0))</f>
        <v>4182143461</v>
      </c>
      <c r="AG933" s="4">
        <f>$E933+27</f>
        <v>141</v>
      </c>
      <c r="AH933" s="8">
        <f>IF($J933=0,0,ROUND(MAX($J933*1.4*1.5*1.6*1.6*2.2*2.715*2.6*1.4*1.4*1.5*1.5*3.2,60500000000*(1.654288^(MIN($E933,123)-117)))*1,0))</f>
        <v>13363555336</v>
      </c>
    </row>
    <row r="934" ht="27.75" customHeight="1" spans="1:34" x14ac:dyDescent="0.25">
      <c r="A934" s="3">
        <v>944</v>
      </c>
      <c r="B934" s="3" t="s">
        <v>117</v>
      </c>
      <c r="C934" s="3" t="s">
        <v>768</v>
      </c>
      <c r="D934" s="3" t="s">
        <v>79</v>
      </c>
      <c r="E934" s="3">
        <v>114</v>
      </c>
      <c r="F934" s="3" t="s">
        <v>54</v>
      </c>
      <c r="G934" s="3" t="s">
        <v>769</v>
      </c>
      <c r="H934" s="3">
        <v>29</v>
      </c>
      <c r="I934" s="4">
        <v>114</v>
      </c>
      <c r="J934" s="5">
        <v>345000</v>
      </c>
      <c r="K934" s="6">
        <f>$E934+1</f>
        <v>115</v>
      </c>
      <c r="L934" s="7">
        <f>IF($J934=0,0,ROUND(MAX($J934*1.4,1620000*(1.497923^(MIN($E934,123)-117)))*1,0))</f>
        <v>483000</v>
      </c>
      <c r="M934" s="4">
        <f>$E934+2</f>
        <v>116</v>
      </c>
      <c r="N934" s="8">
        <f>IF($J934=0,0,ROUND(MAX($J934*1.4*1.5,2190000*(1.580994^(MIN($E934,123)-117)))*1,0))</f>
        <v>724500</v>
      </c>
      <c r="O934" s="6">
        <f>$E934+4</f>
        <v>118</v>
      </c>
      <c r="P934" s="7">
        <f>IF($J934=0,0,ROUND(MAX($J934*1.4*1.5*1.6,3500000*(1.57975^(MIN($E934,123)-117)))*1,0))</f>
        <v>1159200</v>
      </c>
      <c r="Q934" s="4">
        <f>$E934+6</f>
        <v>120</v>
      </c>
      <c r="R934" s="8">
        <f>IF($J934=0,0,ROUND(MAX($J934*1.4*1.5*1.6*1.6,13100000*(1.429962^(MIN($E934,123)-117)))*1,0))</f>
        <v>4480204</v>
      </c>
      <c r="S934" s="6">
        <f>$E934+8</f>
        <v>122</v>
      </c>
      <c r="T934" s="7">
        <f>IF($J934=0,0,ROUND(MAX($J934*1.4*1.5*1.6*1.6*2.2,42600000*(1.576904^(MIN($E934,123)-117)))*1,0))</f>
        <v>10864102</v>
      </c>
      <c r="U934" s="4">
        <f>$E934+11</f>
        <v>125</v>
      </c>
      <c r="V934" s="8">
        <f>IF($J934=0,0,ROUND(MAX($J934*1.4*1.5*1.6*1.6*2.2*2.715,354000000*(1.642074^(MIN($E934,123)-117)))*1,0))</f>
        <v>79951219</v>
      </c>
      <c r="W934" s="6">
        <f>$E934+15</f>
        <v>129</v>
      </c>
      <c r="X934" s="7">
        <f>IF($J934=0,0,ROUND(MAX($J934*1.4*1.5*1.6*1.6*2.2*2.715*2.6,3540000000*(1.579646^(MIN($E934,123)-117)))*1,0))</f>
        <v>898098448</v>
      </c>
      <c r="Y934" s="4">
        <f>$E934+17</f>
        <v>131</v>
      </c>
      <c r="Z934" s="8">
        <f>IF($J934=0,0,ROUND(MAX($J934*1.4*1.5*1.6*1.6*2.2*2.715*2.6*1.4,6020000000*(1.651178^(MIN($E934,123)-117)))*1,0))</f>
        <v>1337256787</v>
      </c>
      <c r="AA934" s="6">
        <f>$E934+19</f>
        <v>133</v>
      </c>
      <c r="AB934" s="7">
        <f>IF($J934=0,0,ROUND(MAX($J934*1.4*1.5*1.6*1.6*2.2*2.715*2.6*1.4*1.4,8430000000*(1.651435^(MIN($E934,123)-117)))*1,0))</f>
        <v>1871729653</v>
      </c>
      <c r="AC934" s="4">
        <f>$E934+21</f>
        <v>135</v>
      </c>
      <c r="AD934" s="8">
        <f>IF($J934=0,0,ROUND(MAX($J934*1.4*1.5*1.6*1.6*2.2*2.715*2.6*1.4*1.4*1.5,12600000000*(1.652953^(MIN($E934,123)-117)))*1,0))</f>
        <v>2789902525</v>
      </c>
      <c r="AE934" s="6">
        <f>$E934+24</f>
        <v>138</v>
      </c>
      <c r="AF934" s="7">
        <f>IF($J934=0,0,ROUND(MAX($J934*1.4*1.5*1.6*1.6*2.2*2.715*2.6*1.4*1.4*1.5*1.5,18900000000*(1.65331^(MIN($E934,123)-117)))*1,0))</f>
        <v>4182143461</v>
      </c>
      <c r="AG934" s="4">
        <f>$E934+27</f>
        <v>141</v>
      </c>
      <c r="AH934" s="8">
        <f>IF($J934=0,0,ROUND(MAX($J934*1.4*1.5*1.6*1.6*2.2*2.715*2.6*1.4*1.4*1.5*1.5*3.2,60500000000*(1.654288^(MIN($E934,123)-117)))*1,0))</f>
        <v>13363555336</v>
      </c>
    </row>
    <row r="935" ht="27.75" customHeight="1" spans="1:34" x14ac:dyDescent="0.25">
      <c r="A935" s="3">
        <v>945</v>
      </c>
      <c r="B935" s="3" t="s">
        <v>771</v>
      </c>
      <c r="C935" s="3" t="s">
        <v>768</v>
      </c>
      <c r="D935" s="3" t="s">
        <v>40</v>
      </c>
      <c r="E935" s="3">
        <v>114</v>
      </c>
      <c r="F935" s="3" t="s">
        <v>26</v>
      </c>
      <c r="G935" s="3" t="s">
        <v>769</v>
      </c>
      <c r="H935" s="3">
        <v>28</v>
      </c>
      <c r="I935" s="4">
        <v>114</v>
      </c>
      <c r="J935" s="5">
        <v>162000</v>
      </c>
      <c r="K935" s="6">
        <f>$E935+1</f>
        <v>115</v>
      </c>
      <c r="L935" s="7">
        <f>IF($J935=0,0,ROUND(MAX($J935*1.4,1620000*(1.497923^(MIN($E935,123)-117)))*1,0))</f>
        <v>481999</v>
      </c>
      <c r="M935" s="4">
        <f>$E935+2</f>
        <v>116</v>
      </c>
      <c r="N935" s="8">
        <f>IF($J935=0,0,ROUND(MAX($J935*1.4*1.5,2190000*(1.580994^(MIN($E935,123)-117)))*1,0))</f>
        <v>554183</v>
      </c>
      <c r="O935" s="6">
        <f>$E935+4</f>
        <v>118</v>
      </c>
      <c r="P935" s="7">
        <f>IF($J935=0,0,ROUND(MAX($J935*1.4*1.5*1.6,3500000*(1.57975^(MIN($E935,123)-117)))*1,0))</f>
        <v>887775</v>
      </c>
      <c r="Q935" s="4">
        <f>$E935+6</f>
        <v>120</v>
      </c>
      <c r="R935" s="8">
        <f>IF($J935=0,0,ROUND(MAX($J935*1.4*1.5*1.6*1.6,13100000*(1.429962^(MIN($E935,123)-117)))*1,0))</f>
        <v>4480204</v>
      </c>
      <c r="S935" s="6">
        <f>$E935+8</f>
        <v>122</v>
      </c>
      <c r="T935" s="7">
        <f>IF($J935=0,0,ROUND(MAX($J935*1.4*1.5*1.6*1.6*2.2,42600000*(1.576904^(MIN($E935,123)-117)))*1,0))</f>
        <v>10864102</v>
      </c>
      <c r="U935" s="4">
        <f>$E935+11</f>
        <v>125</v>
      </c>
      <c r="V935" s="8">
        <f>IF($J935=0,0,ROUND(MAX($J935*1.4*1.5*1.6*1.6*2.2*2.715,354000000*(1.642074^(MIN($E935,123)-117)))*1,0))</f>
        <v>79951219</v>
      </c>
      <c r="W935" s="6">
        <f>$E935+15</f>
        <v>129</v>
      </c>
      <c r="X935" s="7">
        <f>IF($J935=0,0,ROUND(MAX($J935*1.4*1.5*1.6*1.6*2.2*2.715*2.6,3540000000*(1.579646^(MIN($E935,123)-117)))*1,0))</f>
        <v>898098448</v>
      </c>
      <c r="Y935" s="4">
        <f>$E935+17</f>
        <v>131</v>
      </c>
      <c r="Z935" s="8">
        <f>IF($J935=0,0,ROUND(MAX($J935*1.4*1.5*1.6*1.6*2.2*2.715*2.6*1.4,6020000000*(1.651178^(MIN($E935,123)-117)))*1,0))</f>
        <v>1337256787</v>
      </c>
      <c r="AA935" s="6">
        <f>$E935+19</f>
        <v>133</v>
      </c>
      <c r="AB935" s="7">
        <f>IF($J935=0,0,ROUND(MAX($J935*1.4*1.5*1.6*1.6*2.2*2.715*2.6*1.4*1.4,8430000000*(1.651435^(MIN($E935,123)-117)))*1,0))</f>
        <v>1871729653</v>
      </c>
      <c r="AC935" s="4">
        <f>$E935+21</f>
        <v>135</v>
      </c>
      <c r="AD935" s="8">
        <f>IF($J935=0,0,ROUND(MAX($J935*1.4*1.5*1.6*1.6*2.2*2.715*2.6*1.4*1.4*1.5,12600000000*(1.652953^(MIN($E935,123)-117)))*1,0))</f>
        <v>2789902525</v>
      </c>
      <c r="AE935" s="6">
        <f>$E935+24</f>
        <v>138</v>
      </c>
      <c r="AF935" s="7">
        <f>IF($J935=0,0,ROUND(MAX($J935*1.4*1.5*1.6*1.6*2.2*2.715*2.6*1.4*1.4*1.5*1.5,18900000000*(1.65331^(MIN($E935,123)-117)))*1,0))</f>
        <v>4182143461</v>
      </c>
      <c r="AG935" s="4">
        <f>$E935+27</f>
        <v>141</v>
      </c>
      <c r="AH935" s="8">
        <f>IF($J935=0,0,ROUND(MAX($J935*1.4*1.5*1.6*1.6*2.2*2.715*2.6*1.4*1.4*1.5*1.5*3.2,60500000000*(1.654288^(MIN($E935,123)-117)))*1,0))</f>
        <v>13363555336</v>
      </c>
    </row>
    <row r="936" ht="27.75" customHeight="1" spans="1:34" x14ac:dyDescent="0.25">
      <c r="A936" s="3">
        <v>946</v>
      </c>
      <c r="B936" s="3" t="s">
        <v>588</v>
      </c>
      <c r="C936" s="3" t="s">
        <v>768</v>
      </c>
      <c r="D936" s="3" t="s">
        <v>25</v>
      </c>
      <c r="E936" s="3">
        <v>114</v>
      </c>
      <c r="F936" s="3" t="s">
        <v>56</v>
      </c>
      <c r="G936" s="3" t="s">
        <v>38</v>
      </c>
      <c r="H936" s="3">
        <v>28</v>
      </c>
      <c r="I936" s="4">
        <v>114</v>
      </c>
      <c r="J936" s="5">
        <v>898000</v>
      </c>
      <c r="K936" s="6">
        <f>$E936+1</f>
        <v>115</v>
      </c>
      <c r="L936" s="7">
        <f>IF($J936=0,0,ROUND(MAX($J936*1.4,1620000*(1.497923^(MIN($E936,123)-117)))*1,0))</f>
        <v>1257200</v>
      </c>
      <c r="M936" s="4">
        <f>$E936+2</f>
        <v>116</v>
      </c>
      <c r="N936" s="8">
        <f>IF($J936=0,0,ROUND(MAX($J936*1.4*1.5,2190000*(1.580994^(MIN($E936,123)-117)))*1,0))</f>
        <v>1885800</v>
      </c>
      <c r="O936" s="6">
        <f>$E936+4</f>
        <v>118</v>
      </c>
      <c r="P936" s="7">
        <f>IF($J936=0,0,ROUND(MAX($J936*1.4*1.5*1.6,3500000*(1.57975^(MIN($E936,123)-117)))*1,0))</f>
        <v>3017280</v>
      </c>
      <c r="Q936" s="4">
        <f>$E936+6</f>
        <v>120</v>
      </c>
      <c r="R936" s="8">
        <f>IF($J936=0,0,ROUND(MAX($J936*1.4*1.5*1.6*1.6,13100000*(1.429962^(MIN($E936,123)-117)))*1,0))</f>
        <v>4827648</v>
      </c>
      <c r="S936" s="6">
        <f>$E936+8</f>
        <v>122</v>
      </c>
      <c r="T936" s="7">
        <f>IF($J936=0,0,ROUND(MAX($J936*1.4*1.5*1.6*1.6*2.2,42600000*(1.576904^(MIN($E936,123)-117)))*1,0))</f>
        <v>10864102</v>
      </c>
      <c r="U936" s="4">
        <f>$E936+11</f>
        <v>125</v>
      </c>
      <c r="V936" s="8">
        <f>IF($J936=0,0,ROUND(MAX($J936*1.4*1.5*1.6*1.6*2.2*2.715,354000000*(1.642074^(MIN($E936,123)-117)))*1,0))</f>
        <v>79951219</v>
      </c>
      <c r="W936" s="6">
        <f>$E936+15</f>
        <v>129</v>
      </c>
      <c r="X936" s="7">
        <f>IF($J936=0,0,ROUND(MAX($J936*1.4*1.5*1.6*1.6*2.2*2.715*2.6,3540000000*(1.579646^(MIN($E936,123)-117)))*1,0))</f>
        <v>898098448</v>
      </c>
      <c r="Y936" s="4">
        <f>$E936+17</f>
        <v>131</v>
      </c>
      <c r="Z936" s="8">
        <f>IF($J936=0,0,ROUND(MAX($J936*1.4*1.5*1.6*1.6*2.2*2.715*2.6*1.4,6020000000*(1.651178^(MIN($E936,123)-117)))*1,0))</f>
        <v>1337256787</v>
      </c>
      <c r="AA936" s="6">
        <f>$E936+19</f>
        <v>133</v>
      </c>
      <c r="AB936" s="7">
        <f>IF($J936=0,0,ROUND(MAX($J936*1.4*1.5*1.6*1.6*2.2*2.715*2.6*1.4*1.4,8430000000*(1.651435^(MIN($E936,123)-117)))*1,0))</f>
        <v>1871729653</v>
      </c>
      <c r="AC936" s="4">
        <f>$E936+21</f>
        <v>135</v>
      </c>
      <c r="AD936" s="8">
        <f>IF($J936=0,0,ROUND(MAX($J936*1.4*1.5*1.6*1.6*2.2*2.715*2.6*1.4*1.4*1.5,12600000000*(1.652953^(MIN($E936,123)-117)))*1,0))</f>
        <v>2789902525</v>
      </c>
      <c r="AE936" s="6">
        <f>$E936+24</f>
        <v>138</v>
      </c>
      <c r="AF936" s="7">
        <f>IF($J936=0,0,ROUND(MAX($J936*1.4*1.5*1.6*1.6*2.2*2.715*2.6*1.4*1.4*1.5*1.5,18900000000*(1.65331^(MIN($E936,123)-117)))*1,0))</f>
        <v>4182143461</v>
      </c>
      <c r="AG936" s="4">
        <f>$E936+27</f>
        <v>141</v>
      </c>
      <c r="AH936" s="8">
        <f>IF($J936=0,0,ROUND(MAX($J936*1.4*1.5*1.6*1.6*2.2*2.715*2.6*1.4*1.4*1.5*1.5*3.2,60500000000*(1.654288^(MIN($E936,123)-117)))*1,0))</f>
        <v>13363555336</v>
      </c>
    </row>
    <row r="937" ht="27.75" customHeight="1" spans="1:34" x14ac:dyDescent="0.25">
      <c r="A937" s="3">
        <v>947</v>
      </c>
      <c r="B937" s="3" t="s">
        <v>131</v>
      </c>
      <c r="C937" s="3" t="s">
        <v>768</v>
      </c>
      <c r="D937" s="3" t="s">
        <v>40</v>
      </c>
      <c r="E937" s="3">
        <v>114</v>
      </c>
      <c r="F937" s="3" t="s">
        <v>132</v>
      </c>
      <c r="G937" s="3" t="s">
        <v>769</v>
      </c>
      <c r="H937" s="3">
        <v>28</v>
      </c>
      <c r="I937" s="4">
        <v>114</v>
      </c>
      <c r="J937" s="5">
        <v>292000</v>
      </c>
      <c r="K937" s="6">
        <f>$E937+1</f>
        <v>115</v>
      </c>
      <c r="L937" s="7">
        <f>IF($J937=0,0,ROUND(MAX($J937*1.4,1620000*(1.497923^(MIN($E937,123)-117)))*1,0))</f>
        <v>481999</v>
      </c>
      <c r="M937" s="4">
        <f>$E937+2</f>
        <v>116</v>
      </c>
      <c r="N937" s="8">
        <f>IF($J937=0,0,ROUND(MAX($J937*1.4*1.5,2190000*(1.580994^(MIN($E937,123)-117)))*1,0))</f>
        <v>613200</v>
      </c>
      <c r="O937" s="6">
        <f>$E937+4</f>
        <v>118</v>
      </c>
      <c r="P937" s="7">
        <f>IF($J937=0,0,ROUND(MAX($J937*1.4*1.5*1.6,3500000*(1.57975^(MIN($E937,123)-117)))*1,0))</f>
        <v>981120</v>
      </c>
      <c r="Q937" s="4">
        <f>$E937+6</f>
        <v>120</v>
      </c>
      <c r="R937" s="8">
        <f>IF($J937=0,0,ROUND(MAX($J937*1.4*1.5*1.6*1.6,13100000*(1.429962^(MIN($E937,123)-117)))*1,0))</f>
        <v>4480204</v>
      </c>
      <c r="S937" s="6">
        <f>$E937+8</f>
        <v>122</v>
      </c>
      <c r="T937" s="7">
        <f>IF($J937=0,0,ROUND(MAX($J937*1.4*1.5*1.6*1.6*2.2,42600000*(1.576904^(MIN($E937,123)-117)))*1,0))</f>
        <v>10864102</v>
      </c>
      <c r="U937" s="4">
        <f>$E937+11</f>
        <v>125</v>
      </c>
      <c r="V937" s="8">
        <f>IF($J937=0,0,ROUND(MAX($J937*1.4*1.5*1.6*1.6*2.2*2.715,354000000*(1.642074^(MIN($E937,123)-117)))*1,0))</f>
        <v>79951219</v>
      </c>
      <c r="W937" s="6">
        <f>$E937+15</f>
        <v>129</v>
      </c>
      <c r="X937" s="7">
        <f>IF($J937=0,0,ROUND(MAX($J937*1.4*1.5*1.6*1.6*2.2*2.715*2.6,3540000000*(1.579646^(MIN($E937,123)-117)))*1,0))</f>
        <v>898098448</v>
      </c>
      <c r="Y937" s="4">
        <f>$E937+17</f>
        <v>131</v>
      </c>
      <c r="Z937" s="8">
        <f>IF($J937=0,0,ROUND(MAX($J937*1.4*1.5*1.6*1.6*2.2*2.715*2.6*1.4,6020000000*(1.651178^(MIN($E937,123)-117)))*1,0))</f>
        <v>1337256787</v>
      </c>
      <c r="AA937" s="6">
        <f>$E937+19</f>
        <v>133</v>
      </c>
      <c r="AB937" s="7">
        <f>IF($J937=0,0,ROUND(MAX($J937*1.4*1.5*1.6*1.6*2.2*2.715*2.6*1.4*1.4,8430000000*(1.651435^(MIN($E937,123)-117)))*1,0))</f>
        <v>1871729653</v>
      </c>
      <c r="AC937" s="4">
        <f>$E937+21</f>
        <v>135</v>
      </c>
      <c r="AD937" s="8">
        <f>IF($J937=0,0,ROUND(MAX($J937*1.4*1.5*1.6*1.6*2.2*2.715*2.6*1.4*1.4*1.5,12600000000*(1.652953^(MIN($E937,123)-117)))*1,0))</f>
        <v>2789902525</v>
      </c>
      <c r="AE937" s="6">
        <f>$E937+24</f>
        <v>138</v>
      </c>
      <c r="AF937" s="7">
        <f>IF($J937=0,0,ROUND(MAX($J937*1.4*1.5*1.6*1.6*2.2*2.715*2.6*1.4*1.4*1.5*1.5,18900000000*(1.65331^(MIN($E937,123)-117)))*1,0))</f>
        <v>4182143461</v>
      </c>
      <c r="AG937" s="4">
        <f>$E937+27</f>
        <v>141</v>
      </c>
      <c r="AH937" s="8">
        <f>IF($J937=0,0,ROUND(MAX($J937*1.4*1.5*1.6*1.6*2.2*2.715*2.6*1.4*1.4*1.5*1.5*3.2,60500000000*(1.654288^(MIN($E937,123)-117)))*1,0))</f>
        <v>13363555336</v>
      </c>
    </row>
    <row r="938" ht="27.75" customHeight="1" spans="1:34" x14ac:dyDescent="0.25">
      <c r="A938" s="3">
        <v>948</v>
      </c>
      <c r="B938" s="3" t="s">
        <v>634</v>
      </c>
      <c r="C938" s="3" t="s">
        <v>768</v>
      </c>
      <c r="D938" s="3" t="s">
        <v>33</v>
      </c>
      <c r="E938" s="3">
        <v>114</v>
      </c>
      <c r="F938" s="3" t="s">
        <v>59</v>
      </c>
      <c r="G938" s="3" t="s">
        <v>185</v>
      </c>
      <c r="H938" s="3">
        <v>28</v>
      </c>
      <c r="I938" s="4">
        <v>114</v>
      </c>
      <c r="J938" s="5">
        <v>175000</v>
      </c>
      <c r="K938" s="6">
        <f>$E938+1</f>
        <v>115</v>
      </c>
      <c r="L938" s="7">
        <f>IF($J938=0,0,ROUND(MAX($J938*1.4,1620000*(1.497923^(MIN($E938,123)-117)))*1,0))</f>
        <v>481999</v>
      </c>
      <c r="M938" s="4">
        <f>$E938+2</f>
        <v>116</v>
      </c>
      <c r="N938" s="8">
        <f>IF($J938=0,0,ROUND(MAX($J938*1.4*1.5,2190000*(1.580994^(MIN($E938,123)-117)))*1,0))</f>
        <v>554183</v>
      </c>
      <c r="O938" s="6">
        <f>$E938+4</f>
        <v>118</v>
      </c>
      <c r="P938" s="7">
        <f>IF($J938=0,0,ROUND(MAX($J938*1.4*1.5*1.6,3500000*(1.57975^(MIN($E938,123)-117)))*1,0))</f>
        <v>887775</v>
      </c>
      <c r="Q938" s="4">
        <f>$E938+6</f>
        <v>120</v>
      </c>
      <c r="R938" s="8">
        <f>IF($J938=0,0,ROUND(MAX($J938*1.4*1.5*1.6*1.6,13100000*(1.429962^(MIN($E938,123)-117)))*1,0))</f>
        <v>4480204</v>
      </c>
      <c r="S938" s="6">
        <f>$E938+8</f>
        <v>122</v>
      </c>
      <c r="T938" s="7">
        <f>IF($J938=0,0,ROUND(MAX($J938*1.4*1.5*1.6*1.6*2.2,42600000*(1.576904^(MIN($E938,123)-117)))*1,0))</f>
        <v>10864102</v>
      </c>
      <c r="U938" s="4">
        <f>$E938+11</f>
        <v>125</v>
      </c>
      <c r="V938" s="8">
        <f>IF($J938=0,0,ROUND(MAX($J938*1.4*1.5*1.6*1.6*2.2*2.715,354000000*(1.642074^(MIN($E938,123)-117)))*1,0))</f>
        <v>79951219</v>
      </c>
      <c r="W938" s="6">
        <f>$E938+15</f>
        <v>129</v>
      </c>
      <c r="X938" s="7">
        <f>IF($J938=0,0,ROUND(MAX($J938*1.4*1.5*1.6*1.6*2.2*2.715*2.6,3540000000*(1.579646^(MIN($E938,123)-117)))*1,0))</f>
        <v>898098448</v>
      </c>
      <c r="Y938" s="4">
        <f>$E938+17</f>
        <v>131</v>
      </c>
      <c r="Z938" s="8">
        <f>IF($J938=0,0,ROUND(MAX($J938*1.4*1.5*1.6*1.6*2.2*2.715*2.6*1.4,6020000000*(1.651178^(MIN($E938,123)-117)))*1,0))</f>
        <v>1337256787</v>
      </c>
      <c r="AA938" s="6">
        <f>$E938+19</f>
        <v>133</v>
      </c>
      <c r="AB938" s="7">
        <f>IF($J938=0,0,ROUND(MAX($J938*1.4*1.5*1.6*1.6*2.2*2.715*2.6*1.4*1.4,8430000000*(1.651435^(MIN($E938,123)-117)))*1,0))</f>
        <v>1871729653</v>
      </c>
      <c r="AC938" s="4">
        <f>$E938+21</f>
        <v>135</v>
      </c>
      <c r="AD938" s="8">
        <f>IF($J938=0,0,ROUND(MAX($J938*1.4*1.5*1.6*1.6*2.2*2.715*2.6*1.4*1.4*1.5,12600000000*(1.652953^(MIN($E938,123)-117)))*1,0))</f>
        <v>2789902525</v>
      </c>
      <c r="AE938" s="6">
        <f>$E938+24</f>
        <v>138</v>
      </c>
      <c r="AF938" s="7">
        <f>IF($J938=0,0,ROUND(MAX($J938*1.4*1.5*1.6*1.6*2.2*2.715*2.6*1.4*1.4*1.5*1.5,18900000000*(1.65331^(MIN($E938,123)-117)))*1,0))</f>
        <v>4182143461</v>
      </c>
      <c r="AG938" s="4">
        <f>$E938+27</f>
        <v>141</v>
      </c>
      <c r="AH938" s="8">
        <f>IF($J938=0,0,ROUND(MAX($J938*1.4*1.5*1.6*1.6*2.2*2.715*2.6*1.4*1.4*1.5*1.5*3.2,60500000000*(1.654288^(MIN($E938,123)-117)))*1,0))</f>
        <v>13363555336</v>
      </c>
    </row>
    <row r="939" ht="27.75" customHeight="1" spans="1:34" x14ac:dyDescent="0.25">
      <c r="A939" s="3">
        <v>949</v>
      </c>
      <c r="B939" s="3" t="s">
        <v>630</v>
      </c>
      <c r="C939" s="3" t="s">
        <v>768</v>
      </c>
      <c r="D939" s="3" t="s">
        <v>102</v>
      </c>
      <c r="E939" s="3">
        <v>114</v>
      </c>
      <c r="F939" s="3" t="s">
        <v>71</v>
      </c>
      <c r="G939" s="3" t="s">
        <v>185</v>
      </c>
      <c r="H939" s="3">
        <v>28</v>
      </c>
      <c r="I939" s="4">
        <v>114</v>
      </c>
      <c r="J939" s="5">
        <v>248000</v>
      </c>
      <c r="K939" s="6">
        <f>$E939+1</f>
        <v>115</v>
      </c>
      <c r="L939" s="7">
        <f>IF($J939=0,0,ROUND(MAX($J939*1.4,1620000*(1.497923^(MIN($E939,123)-117)))*1,0))</f>
        <v>481999</v>
      </c>
      <c r="M939" s="4">
        <f>$E939+2</f>
        <v>116</v>
      </c>
      <c r="N939" s="8">
        <f>IF($J939=0,0,ROUND(MAX($J939*1.4*1.5,2190000*(1.580994^(MIN($E939,123)-117)))*1,0))</f>
        <v>554183</v>
      </c>
      <c r="O939" s="6">
        <f>$E939+4</f>
        <v>118</v>
      </c>
      <c r="P939" s="7">
        <f>IF($J939=0,0,ROUND(MAX($J939*1.4*1.5*1.6,3500000*(1.57975^(MIN($E939,123)-117)))*1,0))</f>
        <v>887775</v>
      </c>
      <c r="Q939" s="4">
        <f>$E939+6</f>
        <v>120</v>
      </c>
      <c r="R939" s="8">
        <f>IF($J939=0,0,ROUND(MAX($J939*1.4*1.5*1.6*1.6,13100000*(1.429962^(MIN($E939,123)-117)))*1,0))</f>
        <v>4480204</v>
      </c>
      <c r="S939" s="6">
        <f>$E939+8</f>
        <v>122</v>
      </c>
      <c r="T939" s="7">
        <f>IF($J939=0,0,ROUND(MAX($J939*1.4*1.5*1.6*1.6*2.2,42600000*(1.576904^(MIN($E939,123)-117)))*1,0))</f>
        <v>10864102</v>
      </c>
      <c r="U939" s="4">
        <f>$E939+11</f>
        <v>125</v>
      </c>
      <c r="V939" s="8">
        <f>IF($J939=0,0,ROUND(MAX($J939*1.4*1.5*1.6*1.6*2.2*2.715,354000000*(1.642074^(MIN($E939,123)-117)))*1,0))</f>
        <v>79951219</v>
      </c>
      <c r="W939" s="6">
        <f>$E939+15</f>
        <v>129</v>
      </c>
      <c r="X939" s="7">
        <f>IF($J939=0,0,ROUND(MAX($J939*1.4*1.5*1.6*1.6*2.2*2.715*2.6,3540000000*(1.579646^(MIN($E939,123)-117)))*1,0))</f>
        <v>898098448</v>
      </c>
      <c r="Y939" s="4">
        <f>$E939+17</f>
        <v>131</v>
      </c>
      <c r="Z939" s="8">
        <f>IF($J939=0,0,ROUND(MAX($J939*1.4*1.5*1.6*1.6*2.2*2.715*2.6*1.4,6020000000*(1.651178^(MIN($E939,123)-117)))*1,0))</f>
        <v>1337256787</v>
      </c>
      <c r="AA939" s="6">
        <f>$E939+19</f>
        <v>133</v>
      </c>
      <c r="AB939" s="7">
        <f>IF($J939=0,0,ROUND(MAX($J939*1.4*1.5*1.6*1.6*2.2*2.715*2.6*1.4*1.4,8430000000*(1.651435^(MIN($E939,123)-117)))*1,0))</f>
        <v>1871729653</v>
      </c>
      <c r="AC939" s="4">
        <f>$E939+21</f>
        <v>135</v>
      </c>
      <c r="AD939" s="8">
        <f>IF($J939=0,0,ROUND(MAX($J939*1.4*1.5*1.6*1.6*2.2*2.715*2.6*1.4*1.4*1.5,12600000000*(1.652953^(MIN($E939,123)-117)))*1,0))</f>
        <v>2789902525</v>
      </c>
      <c r="AE939" s="6">
        <f>$E939+24</f>
        <v>138</v>
      </c>
      <c r="AF939" s="7">
        <f>IF($J939=0,0,ROUND(MAX($J939*1.4*1.5*1.6*1.6*2.2*2.715*2.6*1.4*1.4*1.5*1.5,18900000000*(1.65331^(MIN($E939,123)-117)))*1,0))</f>
        <v>4182143461</v>
      </c>
      <c r="AG939" s="4">
        <f>$E939+27</f>
        <v>141</v>
      </c>
      <c r="AH939" s="8">
        <f>IF($J939=0,0,ROUND(MAX($J939*1.4*1.5*1.6*1.6*2.2*2.715*2.6*1.4*1.4*1.5*1.5*3.2,60500000000*(1.654288^(MIN($E939,123)-117)))*1,0))</f>
        <v>13363555336</v>
      </c>
    </row>
    <row r="940" ht="27.75" customHeight="1" spans="1:34" x14ac:dyDescent="0.25">
      <c r="A940" s="3">
        <v>950</v>
      </c>
      <c r="B940" s="3" t="s">
        <v>772</v>
      </c>
      <c r="C940" s="3" t="s">
        <v>768</v>
      </c>
      <c r="D940" s="3" t="s">
        <v>64</v>
      </c>
      <c r="E940" s="3">
        <v>114</v>
      </c>
      <c r="F940" s="3" t="s">
        <v>773</v>
      </c>
      <c r="G940" s="3" t="s">
        <v>133</v>
      </c>
      <c r="H940" s="3">
        <v>28</v>
      </c>
      <c r="I940" s="4">
        <v>114</v>
      </c>
      <c r="J940" s="5">
        <v>249000</v>
      </c>
      <c r="K940" s="6">
        <f>$E940+1</f>
        <v>115</v>
      </c>
      <c r="L940" s="7">
        <f>IF($J940=0,0,ROUND(MAX($J940*1.4,1620000*(1.497923^(MIN($E940,123)-117)))*1,0))</f>
        <v>481999</v>
      </c>
      <c r="M940" s="4">
        <f>$E940+2</f>
        <v>116</v>
      </c>
      <c r="N940" s="8">
        <f>IF($J940=0,0,ROUND(MAX($J940*1.4*1.5,2190000*(1.580994^(MIN($E940,123)-117)))*1,0))</f>
        <v>554183</v>
      </c>
      <c r="O940" s="6">
        <f>$E940+4</f>
        <v>118</v>
      </c>
      <c r="P940" s="7">
        <f>IF($J940=0,0,ROUND(MAX($J940*1.4*1.5*1.6,3500000*(1.57975^(MIN($E940,123)-117)))*1,0))</f>
        <v>887775</v>
      </c>
      <c r="Q940" s="4">
        <f>$E940+6</f>
        <v>120</v>
      </c>
      <c r="R940" s="8">
        <f>IF($J940=0,0,ROUND(MAX($J940*1.4*1.5*1.6*1.6,13100000*(1.429962^(MIN($E940,123)-117)))*1,0))</f>
        <v>4480204</v>
      </c>
      <c r="S940" s="6">
        <f>$E940+8</f>
        <v>122</v>
      </c>
      <c r="T940" s="7">
        <f>IF($J940=0,0,ROUND(MAX($J940*1.4*1.5*1.6*1.6*2.2,42600000*(1.576904^(MIN($E940,123)-117)))*1,0))</f>
        <v>10864102</v>
      </c>
      <c r="U940" s="4">
        <f>$E940+11</f>
        <v>125</v>
      </c>
      <c r="V940" s="8">
        <f>IF($J940=0,0,ROUND(MAX($J940*1.4*1.5*1.6*1.6*2.2*2.715,354000000*(1.642074^(MIN($E940,123)-117)))*1,0))</f>
        <v>79951219</v>
      </c>
      <c r="W940" s="6">
        <f>$E940+15</f>
        <v>129</v>
      </c>
      <c r="X940" s="7">
        <f>IF($J940=0,0,ROUND(MAX($J940*1.4*1.5*1.6*1.6*2.2*2.715*2.6,3540000000*(1.579646^(MIN($E940,123)-117)))*1,0))</f>
        <v>898098448</v>
      </c>
      <c r="Y940" s="4">
        <f>$E940+17</f>
        <v>131</v>
      </c>
      <c r="Z940" s="8">
        <f>IF($J940=0,0,ROUND(MAX($J940*1.4*1.5*1.6*1.6*2.2*2.715*2.6*1.4,6020000000*(1.651178^(MIN($E940,123)-117)))*1,0))</f>
        <v>1337256787</v>
      </c>
      <c r="AA940" s="6">
        <f>$E940+19</f>
        <v>133</v>
      </c>
      <c r="AB940" s="7">
        <f>IF($J940=0,0,ROUND(MAX($J940*1.4*1.5*1.6*1.6*2.2*2.715*2.6*1.4*1.4,8430000000*(1.651435^(MIN($E940,123)-117)))*1,0))</f>
        <v>1871729653</v>
      </c>
      <c r="AC940" s="4">
        <f>$E940+21</f>
        <v>135</v>
      </c>
      <c r="AD940" s="8">
        <f>IF($J940=0,0,ROUND(MAX($J940*1.4*1.5*1.6*1.6*2.2*2.715*2.6*1.4*1.4*1.5,12600000000*(1.652953^(MIN($E940,123)-117)))*1,0))</f>
        <v>2789902525</v>
      </c>
      <c r="AE940" s="6">
        <f>$E940+24</f>
        <v>138</v>
      </c>
      <c r="AF940" s="7">
        <f>IF($J940=0,0,ROUND(MAX($J940*1.4*1.5*1.6*1.6*2.2*2.715*2.6*1.4*1.4*1.5*1.5,18900000000*(1.65331^(MIN($E940,123)-117)))*1,0))</f>
        <v>4182143461</v>
      </c>
      <c r="AG940" s="4">
        <f>$E940+27</f>
        <v>141</v>
      </c>
      <c r="AH940" s="8">
        <f>IF($J940=0,0,ROUND(MAX($J940*1.4*1.5*1.6*1.6*2.2*2.715*2.6*1.4*1.4*1.5*1.5*3.2,60500000000*(1.654288^(MIN($E940,123)-117)))*1,0))</f>
        <v>13363555336</v>
      </c>
    </row>
    <row r="941" ht="27.75" customHeight="1" spans="1:34" x14ac:dyDescent="0.25">
      <c r="A941" s="3">
        <v>951</v>
      </c>
      <c r="B941" s="3" t="s">
        <v>61</v>
      </c>
      <c r="C941" s="3" t="s">
        <v>768</v>
      </c>
      <c r="D941" s="3" t="s">
        <v>33</v>
      </c>
      <c r="E941" s="3">
        <v>114</v>
      </c>
      <c r="F941" s="3" t="s">
        <v>62</v>
      </c>
      <c r="G941" s="3" t="s">
        <v>769</v>
      </c>
      <c r="H941" s="3">
        <v>28</v>
      </c>
      <c r="I941" s="4">
        <v>114</v>
      </c>
      <c r="J941" s="5">
        <v>278000</v>
      </c>
      <c r="K941" s="6">
        <f>$E941+1</f>
        <v>115</v>
      </c>
      <c r="L941" s="7">
        <f>IF($J941=0,0,ROUND(MAX($J941*1.4,1620000*(1.497923^(MIN($E941,123)-117)))*1,0))</f>
        <v>481999</v>
      </c>
      <c r="M941" s="4">
        <f>$E941+2</f>
        <v>116</v>
      </c>
      <c r="N941" s="8">
        <f>IF($J941=0,0,ROUND(MAX($J941*1.4*1.5,2190000*(1.580994^(MIN($E941,123)-117)))*1,0))</f>
        <v>583800</v>
      </c>
      <c r="O941" s="6">
        <f>$E941+4</f>
        <v>118</v>
      </c>
      <c r="P941" s="7">
        <f>IF($J941=0,0,ROUND(MAX($J941*1.4*1.5*1.6,3500000*(1.57975^(MIN($E941,123)-117)))*1,0))</f>
        <v>934080</v>
      </c>
      <c r="Q941" s="4">
        <f>$E941+6</f>
        <v>120</v>
      </c>
      <c r="R941" s="8">
        <f>IF($J941=0,0,ROUND(MAX($J941*1.4*1.5*1.6*1.6,13100000*(1.429962^(MIN($E941,123)-117)))*1,0))</f>
        <v>4480204</v>
      </c>
      <c r="S941" s="6">
        <f>$E941+8</f>
        <v>122</v>
      </c>
      <c r="T941" s="7">
        <f>IF($J941=0,0,ROUND(MAX($J941*1.4*1.5*1.6*1.6*2.2,42600000*(1.576904^(MIN($E941,123)-117)))*1,0))</f>
        <v>10864102</v>
      </c>
      <c r="U941" s="4">
        <f>$E941+11</f>
        <v>125</v>
      </c>
      <c r="V941" s="8">
        <f>IF($J941=0,0,ROUND(MAX($J941*1.4*1.5*1.6*1.6*2.2*2.715,354000000*(1.642074^(MIN($E941,123)-117)))*1,0))</f>
        <v>79951219</v>
      </c>
      <c r="W941" s="6">
        <f>$E941+15</f>
        <v>129</v>
      </c>
      <c r="X941" s="7">
        <f>IF($J941=0,0,ROUND(MAX($J941*1.4*1.5*1.6*1.6*2.2*2.715*2.6,3540000000*(1.579646^(MIN($E941,123)-117)))*1,0))</f>
        <v>898098448</v>
      </c>
      <c r="Y941" s="4">
        <f>$E941+17</f>
        <v>131</v>
      </c>
      <c r="Z941" s="8">
        <f>IF($J941=0,0,ROUND(MAX($J941*1.4*1.5*1.6*1.6*2.2*2.715*2.6*1.4,6020000000*(1.651178^(MIN($E941,123)-117)))*1,0))</f>
        <v>1337256787</v>
      </c>
      <c r="AA941" s="6">
        <f>$E941+19</f>
        <v>133</v>
      </c>
      <c r="AB941" s="7">
        <f>IF($J941=0,0,ROUND(MAX($J941*1.4*1.5*1.6*1.6*2.2*2.715*2.6*1.4*1.4,8430000000*(1.651435^(MIN($E941,123)-117)))*1,0))</f>
        <v>1871729653</v>
      </c>
      <c r="AC941" s="4">
        <f>$E941+21</f>
        <v>135</v>
      </c>
      <c r="AD941" s="8">
        <f>IF($J941=0,0,ROUND(MAX($J941*1.4*1.5*1.6*1.6*2.2*2.715*2.6*1.4*1.4*1.5,12600000000*(1.652953^(MIN($E941,123)-117)))*1,0))</f>
        <v>2789902525</v>
      </c>
      <c r="AE941" s="6">
        <f>$E941+24</f>
        <v>138</v>
      </c>
      <c r="AF941" s="7">
        <f>IF($J941=0,0,ROUND(MAX($J941*1.4*1.5*1.6*1.6*2.2*2.715*2.6*1.4*1.4*1.5*1.5,18900000000*(1.65331^(MIN($E941,123)-117)))*1,0))</f>
        <v>4182143461</v>
      </c>
      <c r="AG941" s="4">
        <f>$E941+27</f>
        <v>141</v>
      </c>
      <c r="AH941" s="8">
        <f>IF($J941=0,0,ROUND(MAX($J941*1.4*1.5*1.6*1.6*2.2*2.715*2.6*1.4*1.4*1.5*1.5*3.2,60500000000*(1.654288^(MIN($E941,123)-117)))*1,0))</f>
        <v>13363555336</v>
      </c>
    </row>
    <row r="942" ht="27.75" customHeight="1" spans="1:34" x14ac:dyDescent="0.25">
      <c r="A942" s="3">
        <v>952</v>
      </c>
      <c r="B942" s="3" t="s">
        <v>596</v>
      </c>
      <c r="C942" s="3" t="s">
        <v>768</v>
      </c>
      <c r="D942" s="3" t="s">
        <v>33</v>
      </c>
      <c r="E942" s="3">
        <v>114</v>
      </c>
      <c r="F942" s="3" t="s">
        <v>26</v>
      </c>
      <c r="G942" s="3" t="s">
        <v>769</v>
      </c>
      <c r="H942" s="3">
        <v>28</v>
      </c>
      <c r="I942" s="4">
        <v>114</v>
      </c>
      <c r="J942" s="5">
        <v>305000</v>
      </c>
      <c r="K942" s="6">
        <f>$E942+1</f>
        <v>115</v>
      </c>
      <c r="L942" s="7">
        <f>IF($J942=0,0,ROUND(MAX($J942*1.4,1620000*(1.497923^(MIN($E942,123)-117)))*1,0))</f>
        <v>481999</v>
      </c>
      <c r="M942" s="4">
        <f>$E942+2</f>
        <v>116</v>
      </c>
      <c r="N942" s="8">
        <f>IF($J942=0,0,ROUND(MAX($J942*1.4*1.5,2190000*(1.580994^(MIN($E942,123)-117)))*1,0))</f>
        <v>640500</v>
      </c>
      <c r="O942" s="6">
        <f>$E942+4</f>
        <v>118</v>
      </c>
      <c r="P942" s="7">
        <f>IF($J942=0,0,ROUND(MAX($J942*1.4*1.5*1.6,3500000*(1.57975^(MIN($E942,123)-117)))*1,0))</f>
        <v>1024800</v>
      </c>
      <c r="Q942" s="4">
        <f>$E942+6</f>
        <v>120</v>
      </c>
      <c r="R942" s="8">
        <f>IF($J942=0,0,ROUND(MAX($J942*1.4*1.5*1.6*1.6,13100000*(1.429962^(MIN($E942,123)-117)))*1,0))</f>
        <v>4480204</v>
      </c>
      <c r="S942" s="6">
        <f>$E942+8</f>
        <v>122</v>
      </c>
      <c r="T942" s="7">
        <f>IF($J942=0,0,ROUND(MAX($J942*1.4*1.5*1.6*1.6*2.2,42600000*(1.576904^(MIN($E942,123)-117)))*1,0))</f>
        <v>10864102</v>
      </c>
      <c r="U942" s="4">
        <f>$E942+11</f>
        <v>125</v>
      </c>
      <c r="V942" s="8">
        <f>IF($J942=0,0,ROUND(MAX($J942*1.4*1.5*1.6*1.6*2.2*2.715,354000000*(1.642074^(MIN($E942,123)-117)))*1,0))</f>
        <v>79951219</v>
      </c>
      <c r="W942" s="6">
        <f>$E942+15</f>
        <v>129</v>
      </c>
      <c r="X942" s="7">
        <f>IF($J942=0,0,ROUND(MAX($J942*1.4*1.5*1.6*1.6*2.2*2.715*2.6,3540000000*(1.579646^(MIN($E942,123)-117)))*1,0))</f>
        <v>898098448</v>
      </c>
      <c r="Y942" s="4">
        <f>$E942+17</f>
        <v>131</v>
      </c>
      <c r="Z942" s="8">
        <f>IF($J942=0,0,ROUND(MAX($J942*1.4*1.5*1.6*1.6*2.2*2.715*2.6*1.4,6020000000*(1.651178^(MIN($E942,123)-117)))*1,0))</f>
        <v>1337256787</v>
      </c>
      <c r="AA942" s="6">
        <f>$E942+19</f>
        <v>133</v>
      </c>
      <c r="AB942" s="7">
        <f>IF($J942=0,0,ROUND(MAX($J942*1.4*1.5*1.6*1.6*2.2*2.715*2.6*1.4*1.4,8430000000*(1.651435^(MIN($E942,123)-117)))*1,0))</f>
        <v>1871729653</v>
      </c>
      <c r="AC942" s="4">
        <f>$E942+21</f>
        <v>135</v>
      </c>
      <c r="AD942" s="8">
        <f>IF($J942=0,0,ROUND(MAX($J942*1.4*1.5*1.6*1.6*2.2*2.715*2.6*1.4*1.4*1.5,12600000000*(1.652953^(MIN($E942,123)-117)))*1,0))</f>
        <v>2789902525</v>
      </c>
      <c r="AE942" s="6">
        <f>$E942+24</f>
        <v>138</v>
      </c>
      <c r="AF942" s="7">
        <f>IF($J942=0,0,ROUND(MAX($J942*1.4*1.5*1.6*1.6*2.2*2.715*2.6*1.4*1.4*1.5*1.5,18900000000*(1.65331^(MIN($E942,123)-117)))*1,0))</f>
        <v>4182143461</v>
      </c>
      <c r="AG942" s="4">
        <f>$E942+27</f>
        <v>141</v>
      </c>
      <c r="AH942" s="8">
        <f>IF($J942=0,0,ROUND(MAX($J942*1.4*1.5*1.6*1.6*2.2*2.715*2.6*1.4*1.4*1.5*1.5*3.2,60500000000*(1.654288^(MIN($E942,123)-117)))*1,0))</f>
        <v>13363555336</v>
      </c>
    </row>
    <row r="943" ht="27.75" customHeight="1" spans="1:34" x14ac:dyDescent="0.25">
      <c r="A943" s="3">
        <v>953</v>
      </c>
      <c r="B943" s="3" t="s">
        <v>118</v>
      </c>
      <c r="C943" s="3" t="s">
        <v>768</v>
      </c>
      <c r="D943" s="3" t="s">
        <v>40</v>
      </c>
      <c r="E943" s="3">
        <v>114</v>
      </c>
      <c r="F943" s="3" t="s">
        <v>56</v>
      </c>
      <c r="G943" s="3" t="s">
        <v>769</v>
      </c>
      <c r="H943" s="3">
        <v>28</v>
      </c>
      <c r="I943" s="4">
        <v>114</v>
      </c>
      <c r="J943" s="5">
        <v>393000</v>
      </c>
      <c r="K943" s="6">
        <f>$E943+1</f>
        <v>115</v>
      </c>
      <c r="L943" s="7">
        <f>IF($J943=0,0,ROUND(MAX($J943*1.4,1620000*(1.497923^(MIN($E943,123)-117)))*1,0))</f>
        <v>550200</v>
      </c>
      <c r="M943" s="4">
        <f>$E943+2</f>
        <v>116</v>
      </c>
      <c r="N943" s="8">
        <f>IF($J943=0,0,ROUND(MAX($J943*1.4*1.5,2190000*(1.580994^(MIN($E943,123)-117)))*1,0))</f>
        <v>825300</v>
      </c>
      <c r="O943" s="6">
        <f>$E943+4</f>
        <v>118</v>
      </c>
      <c r="P943" s="7">
        <f>IF($J943=0,0,ROUND(MAX($J943*1.4*1.5*1.6,3500000*(1.57975^(MIN($E943,123)-117)))*1,0))</f>
        <v>1320480</v>
      </c>
      <c r="Q943" s="4">
        <f>$E943+6</f>
        <v>120</v>
      </c>
      <c r="R943" s="8">
        <f>IF($J943=0,0,ROUND(MAX($J943*1.4*1.5*1.6*1.6,13100000*(1.429962^(MIN($E943,123)-117)))*1,0))</f>
        <v>4480204</v>
      </c>
      <c r="S943" s="6">
        <f>$E943+8</f>
        <v>122</v>
      </c>
      <c r="T943" s="7">
        <f>IF($J943=0,0,ROUND(MAX($J943*1.4*1.5*1.6*1.6*2.2,42600000*(1.576904^(MIN($E943,123)-117)))*1,0))</f>
        <v>10864102</v>
      </c>
      <c r="U943" s="4">
        <f>$E943+11</f>
        <v>125</v>
      </c>
      <c r="V943" s="8">
        <f>IF($J943=0,0,ROUND(MAX($J943*1.4*1.5*1.6*1.6*2.2*2.715,354000000*(1.642074^(MIN($E943,123)-117)))*1,0))</f>
        <v>79951219</v>
      </c>
      <c r="W943" s="6">
        <f>$E943+15</f>
        <v>129</v>
      </c>
      <c r="X943" s="7">
        <f>IF($J943=0,0,ROUND(MAX($J943*1.4*1.5*1.6*1.6*2.2*2.715*2.6,3540000000*(1.579646^(MIN($E943,123)-117)))*1,0))</f>
        <v>898098448</v>
      </c>
      <c r="Y943" s="4">
        <f>$E943+17</f>
        <v>131</v>
      </c>
      <c r="Z943" s="8">
        <f>IF($J943=0,0,ROUND(MAX($J943*1.4*1.5*1.6*1.6*2.2*2.715*2.6*1.4,6020000000*(1.651178^(MIN($E943,123)-117)))*1,0))</f>
        <v>1337256787</v>
      </c>
      <c r="AA943" s="6">
        <f>$E943+19</f>
        <v>133</v>
      </c>
      <c r="AB943" s="7">
        <f>IF($J943=0,0,ROUND(MAX($J943*1.4*1.5*1.6*1.6*2.2*2.715*2.6*1.4*1.4,8430000000*(1.651435^(MIN($E943,123)-117)))*1,0))</f>
        <v>1871729653</v>
      </c>
      <c r="AC943" s="4">
        <f>$E943+21</f>
        <v>135</v>
      </c>
      <c r="AD943" s="8">
        <f>IF($J943=0,0,ROUND(MAX($J943*1.4*1.5*1.6*1.6*2.2*2.715*2.6*1.4*1.4*1.5,12600000000*(1.652953^(MIN($E943,123)-117)))*1,0))</f>
        <v>2789902525</v>
      </c>
      <c r="AE943" s="6">
        <f>$E943+24</f>
        <v>138</v>
      </c>
      <c r="AF943" s="7">
        <f>IF($J943=0,0,ROUND(MAX($J943*1.4*1.5*1.6*1.6*2.2*2.715*2.6*1.4*1.4*1.5*1.5,18900000000*(1.65331^(MIN($E943,123)-117)))*1,0))</f>
        <v>4182143461</v>
      </c>
      <c r="AG943" s="4">
        <f>$E943+27</f>
        <v>141</v>
      </c>
      <c r="AH943" s="8">
        <f>IF($J943=0,0,ROUND(MAX($J943*1.4*1.5*1.6*1.6*2.2*2.715*2.6*1.4*1.4*1.5*1.5*3.2,60500000000*(1.654288^(MIN($E943,123)-117)))*1,0))</f>
        <v>13363555336</v>
      </c>
    </row>
    <row r="944" ht="27.75" customHeight="1" spans="1:34" x14ac:dyDescent="0.25">
      <c r="A944" s="3">
        <v>954</v>
      </c>
      <c r="B944" s="3" t="s">
        <v>173</v>
      </c>
      <c r="C944" s="3" t="s">
        <v>768</v>
      </c>
      <c r="D944" s="3" t="s">
        <v>40</v>
      </c>
      <c r="E944" s="3">
        <v>114</v>
      </c>
      <c r="F944" s="3" t="s">
        <v>174</v>
      </c>
      <c r="G944" s="3" t="s">
        <v>769</v>
      </c>
      <c r="H944" s="3">
        <v>28</v>
      </c>
      <c r="I944" s="4">
        <v>114</v>
      </c>
      <c r="J944" s="5">
        <v>178000</v>
      </c>
      <c r="K944" s="6">
        <f>$E944+1</f>
        <v>115</v>
      </c>
      <c r="L944" s="7">
        <f>IF($J944=0,0,ROUND(MAX($J944*1.4,1620000*(1.497923^(MIN($E944,123)-117)))*1,0))</f>
        <v>481999</v>
      </c>
      <c r="M944" s="4">
        <f>$E944+2</f>
        <v>116</v>
      </c>
      <c r="N944" s="8">
        <f>IF($J944=0,0,ROUND(MAX($J944*1.4*1.5,2190000*(1.580994^(MIN($E944,123)-117)))*1,0))</f>
        <v>554183</v>
      </c>
      <c r="O944" s="6">
        <f>$E944+4</f>
        <v>118</v>
      </c>
      <c r="P944" s="7">
        <f>IF($J944=0,0,ROUND(MAX($J944*1.4*1.5*1.6,3500000*(1.57975^(MIN($E944,123)-117)))*1,0))</f>
        <v>887775</v>
      </c>
      <c r="Q944" s="4">
        <f>$E944+6</f>
        <v>120</v>
      </c>
      <c r="R944" s="8">
        <f>IF($J944=0,0,ROUND(MAX($J944*1.4*1.5*1.6*1.6,13100000*(1.429962^(MIN($E944,123)-117)))*1,0))</f>
        <v>4480204</v>
      </c>
      <c r="S944" s="6">
        <f>$E944+8</f>
        <v>122</v>
      </c>
      <c r="T944" s="7">
        <f>IF($J944=0,0,ROUND(MAX($J944*1.4*1.5*1.6*1.6*2.2,42600000*(1.576904^(MIN($E944,123)-117)))*1,0))</f>
        <v>10864102</v>
      </c>
      <c r="U944" s="4">
        <f>$E944+11</f>
        <v>125</v>
      </c>
      <c r="V944" s="8">
        <f>IF($J944=0,0,ROUND(MAX($J944*1.4*1.5*1.6*1.6*2.2*2.715,354000000*(1.642074^(MIN($E944,123)-117)))*1,0))</f>
        <v>79951219</v>
      </c>
      <c r="W944" s="6">
        <f>$E944+15</f>
        <v>129</v>
      </c>
      <c r="X944" s="7">
        <f>IF($J944=0,0,ROUND(MAX($J944*1.4*1.5*1.6*1.6*2.2*2.715*2.6,3540000000*(1.579646^(MIN($E944,123)-117)))*1,0))</f>
        <v>898098448</v>
      </c>
      <c r="Y944" s="4">
        <f>$E944+17</f>
        <v>131</v>
      </c>
      <c r="Z944" s="8">
        <f>IF($J944=0,0,ROUND(MAX($J944*1.4*1.5*1.6*1.6*2.2*2.715*2.6*1.4,6020000000*(1.651178^(MIN($E944,123)-117)))*1,0))</f>
        <v>1337256787</v>
      </c>
      <c r="AA944" s="6">
        <f>$E944+19</f>
        <v>133</v>
      </c>
      <c r="AB944" s="7">
        <f>IF($J944=0,0,ROUND(MAX($J944*1.4*1.5*1.6*1.6*2.2*2.715*2.6*1.4*1.4,8430000000*(1.651435^(MIN($E944,123)-117)))*1,0))</f>
        <v>1871729653</v>
      </c>
      <c r="AC944" s="4">
        <f>$E944+21</f>
        <v>135</v>
      </c>
      <c r="AD944" s="8">
        <f>IF($J944=0,0,ROUND(MAX($J944*1.4*1.5*1.6*1.6*2.2*2.715*2.6*1.4*1.4*1.5,12600000000*(1.652953^(MIN($E944,123)-117)))*1,0))</f>
        <v>2789902525</v>
      </c>
      <c r="AE944" s="6">
        <f>$E944+24</f>
        <v>138</v>
      </c>
      <c r="AF944" s="7">
        <f>IF($J944=0,0,ROUND(MAX($J944*1.4*1.5*1.6*1.6*2.2*2.715*2.6*1.4*1.4*1.5*1.5,18900000000*(1.65331^(MIN($E944,123)-117)))*1,0))</f>
        <v>4182143461</v>
      </c>
      <c r="AG944" s="4">
        <f>$E944+27</f>
        <v>141</v>
      </c>
      <c r="AH944" s="8">
        <f>IF($J944=0,0,ROUND(MAX($J944*1.4*1.5*1.6*1.6*2.2*2.715*2.6*1.4*1.4*1.5*1.5*3.2,60500000000*(1.654288^(MIN($E944,123)-117)))*1,0))</f>
        <v>13363555336</v>
      </c>
    </row>
    <row r="945" ht="27.75" customHeight="1" spans="1:34" x14ac:dyDescent="0.25">
      <c r="A945" s="3">
        <v>955</v>
      </c>
      <c r="B945" s="3" t="s">
        <v>774</v>
      </c>
      <c r="C945" s="3" t="s">
        <v>768</v>
      </c>
      <c r="D945" s="3" t="s">
        <v>93</v>
      </c>
      <c r="E945" s="3">
        <v>114</v>
      </c>
      <c r="F945" s="3" t="s">
        <v>56</v>
      </c>
      <c r="G945" s="3" t="s">
        <v>769</v>
      </c>
      <c r="H945" s="3">
        <v>28</v>
      </c>
      <c r="I945" s="4">
        <v>114</v>
      </c>
      <c r="J945" s="5">
        <v>303000</v>
      </c>
      <c r="K945" s="6">
        <f>$E945+1</f>
        <v>115</v>
      </c>
      <c r="L945" s="7">
        <f>IF($J945=0,0,ROUND(MAX($J945*1.4,1620000*(1.497923^(MIN($E945,123)-117)))*1,0))</f>
        <v>481999</v>
      </c>
      <c r="M945" s="4">
        <f>$E945+2</f>
        <v>116</v>
      </c>
      <c r="N945" s="8">
        <f>IF($J945=0,0,ROUND(MAX($J945*1.4*1.5,2190000*(1.580994^(MIN($E945,123)-117)))*1,0))</f>
        <v>636300</v>
      </c>
      <c r="O945" s="6">
        <f>$E945+4</f>
        <v>118</v>
      </c>
      <c r="P945" s="7">
        <f>IF($J945=0,0,ROUND(MAX($J945*1.4*1.5*1.6,3500000*(1.57975^(MIN($E945,123)-117)))*1,0))</f>
        <v>1018080</v>
      </c>
      <c r="Q945" s="4">
        <f>$E945+6</f>
        <v>120</v>
      </c>
      <c r="R945" s="8">
        <f>IF($J945=0,0,ROUND(MAX($J945*1.4*1.5*1.6*1.6,13100000*(1.429962^(MIN($E945,123)-117)))*1,0))</f>
        <v>4480204</v>
      </c>
      <c r="S945" s="6">
        <f>$E945+8</f>
        <v>122</v>
      </c>
      <c r="T945" s="7">
        <f>IF($J945=0,0,ROUND(MAX($J945*1.4*1.5*1.6*1.6*2.2,42600000*(1.576904^(MIN($E945,123)-117)))*1,0))</f>
        <v>10864102</v>
      </c>
      <c r="U945" s="4">
        <f>$E945+11</f>
        <v>125</v>
      </c>
      <c r="V945" s="8">
        <f>IF($J945=0,0,ROUND(MAX($J945*1.4*1.5*1.6*1.6*2.2*2.715,354000000*(1.642074^(MIN($E945,123)-117)))*1,0))</f>
        <v>79951219</v>
      </c>
      <c r="W945" s="6">
        <f>$E945+15</f>
        <v>129</v>
      </c>
      <c r="X945" s="7">
        <f>IF($J945=0,0,ROUND(MAX($J945*1.4*1.5*1.6*1.6*2.2*2.715*2.6,3540000000*(1.579646^(MIN($E945,123)-117)))*1,0))</f>
        <v>898098448</v>
      </c>
      <c r="Y945" s="4">
        <f>$E945+17</f>
        <v>131</v>
      </c>
      <c r="Z945" s="8">
        <f>IF($J945=0,0,ROUND(MAX($J945*1.4*1.5*1.6*1.6*2.2*2.715*2.6*1.4,6020000000*(1.651178^(MIN($E945,123)-117)))*1,0))</f>
        <v>1337256787</v>
      </c>
      <c r="AA945" s="6">
        <f>$E945+19</f>
        <v>133</v>
      </c>
      <c r="AB945" s="7">
        <f>IF($J945=0,0,ROUND(MAX($J945*1.4*1.5*1.6*1.6*2.2*2.715*2.6*1.4*1.4,8430000000*(1.651435^(MIN($E945,123)-117)))*1,0))</f>
        <v>1871729653</v>
      </c>
      <c r="AC945" s="4">
        <f>$E945+21</f>
        <v>135</v>
      </c>
      <c r="AD945" s="8">
        <f>IF($J945=0,0,ROUND(MAX($J945*1.4*1.5*1.6*1.6*2.2*2.715*2.6*1.4*1.4*1.5,12600000000*(1.652953^(MIN($E945,123)-117)))*1,0))</f>
        <v>2789902525</v>
      </c>
      <c r="AE945" s="6">
        <f>$E945+24</f>
        <v>138</v>
      </c>
      <c r="AF945" s="7">
        <f>IF($J945=0,0,ROUND(MAX($J945*1.4*1.5*1.6*1.6*2.2*2.715*2.6*1.4*1.4*1.5*1.5,18900000000*(1.65331^(MIN($E945,123)-117)))*1,0))</f>
        <v>4182143461</v>
      </c>
      <c r="AG945" s="4">
        <f>$E945+27</f>
        <v>141</v>
      </c>
      <c r="AH945" s="8">
        <f>IF($J945=0,0,ROUND(MAX($J945*1.4*1.5*1.6*1.6*2.2*2.715*2.6*1.4*1.4*1.5*1.5*3.2,60500000000*(1.654288^(MIN($E945,123)-117)))*1,0))</f>
        <v>13363555336</v>
      </c>
    </row>
    <row r="946" ht="27.75" customHeight="1" spans="1:34" x14ac:dyDescent="0.25">
      <c r="A946" s="3">
        <v>956</v>
      </c>
      <c r="B946" s="3" t="s">
        <v>775</v>
      </c>
      <c r="C946" s="3" t="s">
        <v>768</v>
      </c>
      <c r="D946" s="3" t="s">
        <v>75</v>
      </c>
      <c r="E946" s="3">
        <v>114</v>
      </c>
      <c r="F946" s="3" t="s">
        <v>400</v>
      </c>
      <c r="G946" s="3" t="s">
        <v>38</v>
      </c>
      <c r="H946" s="3">
        <v>27</v>
      </c>
      <c r="I946" s="4">
        <v>114</v>
      </c>
      <c r="J946" s="5">
        <v>390000</v>
      </c>
      <c r="K946" s="6">
        <f>$E946+1</f>
        <v>115</v>
      </c>
      <c r="L946" s="7">
        <f>IF($J946=0,0,ROUND(MAX($J946*1.4,1620000*(1.497923^(MIN($E946,123)-117)))*1,0))</f>
        <v>546000</v>
      </c>
      <c r="M946" s="4">
        <f>$E946+2</f>
        <v>116</v>
      </c>
      <c r="N946" s="8">
        <f>IF($J946=0,0,ROUND(MAX($J946*1.4*1.5,2190000*(1.580994^(MIN($E946,123)-117)))*1,0))</f>
        <v>819000</v>
      </c>
      <c r="O946" s="6">
        <f>$E946+4</f>
        <v>118</v>
      </c>
      <c r="P946" s="7">
        <f>IF($J946=0,0,ROUND(MAX($J946*1.4*1.5*1.6,3500000*(1.57975^(MIN($E946,123)-117)))*1,0))</f>
        <v>1310400</v>
      </c>
      <c r="Q946" s="4">
        <f>$E946+6</f>
        <v>120</v>
      </c>
      <c r="R946" s="8">
        <f>IF($J946=0,0,ROUND(MAX($J946*1.4*1.5*1.6*1.6,13100000*(1.429962^(MIN($E946,123)-117)))*1,0))</f>
        <v>4480204</v>
      </c>
      <c r="S946" s="6">
        <f>$E946+8</f>
        <v>122</v>
      </c>
      <c r="T946" s="7">
        <f>IF($J946=0,0,ROUND(MAX($J946*1.4*1.5*1.6*1.6*2.2,42600000*(1.576904^(MIN($E946,123)-117)))*1,0))</f>
        <v>10864102</v>
      </c>
      <c r="U946" s="4">
        <f>$E946+11</f>
        <v>125</v>
      </c>
      <c r="V946" s="8">
        <f>IF($J946=0,0,ROUND(MAX($J946*1.4*1.5*1.6*1.6*2.2*2.715,354000000*(1.642074^(MIN($E946,123)-117)))*1,0))</f>
        <v>79951219</v>
      </c>
      <c r="W946" s="6">
        <f>$E946+15</f>
        <v>129</v>
      </c>
      <c r="X946" s="7">
        <f>IF($J946=0,0,ROUND(MAX($J946*1.4*1.5*1.6*1.6*2.2*2.715*2.6,3540000000*(1.579646^(MIN($E946,123)-117)))*1,0))</f>
        <v>898098448</v>
      </c>
      <c r="Y946" s="4">
        <f>$E946+17</f>
        <v>131</v>
      </c>
      <c r="Z946" s="8">
        <f>IF($J946=0,0,ROUND(MAX($J946*1.4*1.5*1.6*1.6*2.2*2.715*2.6*1.4,6020000000*(1.651178^(MIN($E946,123)-117)))*1,0))</f>
        <v>1337256787</v>
      </c>
      <c r="AA946" s="6">
        <f>$E946+19</f>
        <v>133</v>
      </c>
      <c r="AB946" s="7">
        <f>IF($J946=0,0,ROUND(MAX($J946*1.4*1.5*1.6*1.6*2.2*2.715*2.6*1.4*1.4,8430000000*(1.651435^(MIN($E946,123)-117)))*1,0))</f>
        <v>1871729653</v>
      </c>
      <c r="AC946" s="4">
        <f>$E946+21</f>
        <v>135</v>
      </c>
      <c r="AD946" s="8">
        <f>IF($J946=0,0,ROUND(MAX($J946*1.4*1.5*1.6*1.6*2.2*2.715*2.6*1.4*1.4*1.5,12600000000*(1.652953^(MIN($E946,123)-117)))*1,0))</f>
        <v>2789902525</v>
      </c>
      <c r="AE946" s="6">
        <f>$E946+24</f>
        <v>138</v>
      </c>
      <c r="AF946" s="7">
        <f>IF($J946=0,0,ROUND(MAX($J946*1.4*1.5*1.6*1.6*2.2*2.715*2.6*1.4*1.4*1.5*1.5,18900000000*(1.65331^(MIN($E946,123)-117)))*1,0))</f>
        <v>4182143461</v>
      </c>
      <c r="AG946" s="4">
        <f>$E946+27</f>
        <v>141</v>
      </c>
      <c r="AH946" s="8">
        <f>IF($J946=0,0,ROUND(MAX($J946*1.4*1.5*1.6*1.6*2.2*2.715*2.6*1.4*1.4*1.5*1.5*3.2,60500000000*(1.654288^(MIN($E946,123)-117)))*1,0))</f>
        <v>13363555336</v>
      </c>
    </row>
    <row r="947" ht="27.75" customHeight="1" spans="1:34" x14ac:dyDescent="0.25">
      <c r="A947" s="3">
        <v>957</v>
      </c>
      <c r="B947" s="3" t="s">
        <v>150</v>
      </c>
      <c r="C947" s="3" t="s">
        <v>768</v>
      </c>
      <c r="D947" s="3" t="s">
        <v>33</v>
      </c>
      <c r="E947" s="3">
        <v>114</v>
      </c>
      <c r="F947" s="3" t="s">
        <v>42</v>
      </c>
      <c r="G947" s="3" t="s">
        <v>769</v>
      </c>
      <c r="H947" s="3">
        <v>27</v>
      </c>
      <c r="I947" s="4">
        <v>114</v>
      </c>
      <c r="J947" s="5">
        <v>277000</v>
      </c>
      <c r="K947" s="6">
        <f>$E947+1</f>
        <v>115</v>
      </c>
      <c r="L947" s="7">
        <f>IF($J947=0,0,ROUND(MAX($J947*1.4,1620000*(1.497923^(MIN($E947,123)-117)))*1,0))</f>
        <v>481999</v>
      </c>
      <c r="M947" s="4">
        <f>$E947+2</f>
        <v>116</v>
      </c>
      <c r="N947" s="8">
        <f>IF($J947=0,0,ROUND(MAX($J947*1.4*1.5,2190000*(1.580994^(MIN($E947,123)-117)))*1,0))</f>
        <v>581700</v>
      </c>
      <c r="O947" s="6">
        <f>$E947+4</f>
        <v>118</v>
      </c>
      <c r="P947" s="7">
        <f>IF($J947=0,0,ROUND(MAX($J947*1.4*1.5*1.6,3500000*(1.57975^(MIN($E947,123)-117)))*1,0))</f>
        <v>930720</v>
      </c>
      <c r="Q947" s="4">
        <f>$E947+6</f>
        <v>120</v>
      </c>
      <c r="R947" s="8">
        <f>IF($J947=0,0,ROUND(MAX($J947*1.4*1.5*1.6*1.6,13100000*(1.429962^(MIN($E947,123)-117)))*1,0))</f>
        <v>4480204</v>
      </c>
      <c r="S947" s="6">
        <f>$E947+8</f>
        <v>122</v>
      </c>
      <c r="T947" s="7">
        <f>IF($J947=0,0,ROUND(MAX($J947*1.4*1.5*1.6*1.6*2.2,42600000*(1.576904^(MIN($E947,123)-117)))*1,0))</f>
        <v>10864102</v>
      </c>
      <c r="U947" s="4">
        <f>$E947+11</f>
        <v>125</v>
      </c>
      <c r="V947" s="8">
        <f>IF($J947=0,0,ROUND(MAX($J947*1.4*1.5*1.6*1.6*2.2*2.715,354000000*(1.642074^(MIN($E947,123)-117)))*1,0))</f>
        <v>79951219</v>
      </c>
      <c r="W947" s="6">
        <f>$E947+15</f>
        <v>129</v>
      </c>
      <c r="X947" s="7">
        <f>IF($J947=0,0,ROUND(MAX($J947*1.4*1.5*1.6*1.6*2.2*2.715*2.6,3540000000*(1.579646^(MIN($E947,123)-117)))*1,0))</f>
        <v>898098448</v>
      </c>
      <c r="Y947" s="4">
        <f>$E947+17</f>
        <v>131</v>
      </c>
      <c r="Z947" s="8">
        <f>IF($J947=0,0,ROUND(MAX($J947*1.4*1.5*1.6*1.6*2.2*2.715*2.6*1.4,6020000000*(1.651178^(MIN($E947,123)-117)))*1,0))</f>
        <v>1337256787</v>
      </c>
      <c r="AA947" s="6">
        <f>$E947+19</f>
        <v>133</v>
      </c>
      <c r="AB947" s="7">
        <f>IF($J947=0,0,ROUND(MAX($J947*1.4*1.5*1.6*1.6*2.2*2.715*2.6*1.4*1.4,8430000000*(1.651435^(MIN($E947,123)-117)))*1,0))</f>
        <v>1871729653</v>
      </c>
      <c r="AC947" s="4">
        <f>$E947+21</f>
        <v>135</v>
      </c>
      <c r="AD947" s="8">
        <f>IF($J947=0,0,ROUND(MAX($J947*1.4*1.5*1.6*1.6*2.2*2.715*2.6*1.4*1.4*1.5,12600000000*(1.652953^(MIN($E947,123)-117)))*1,0))</f>
        <v>2789902525</v>
      </c>
      <c r="AE947" s="6">
        <f>$E947+24</f>
        <v>138</v>
      </c>
      <c r="AF947" s="7">
        <f>IF($J947=0,0,ROUND(MAX($J947*1.4*1.5*1.6*1.6*2.2*2.715*2.6*1.4*1.4*1.5*1.5,18900000000*(1.65331^(MIN($E947,123)-117)))*1,0))</f>
        <v>4182143461</v>
      </c>
      <c r="AG947" s="4">
        <f>$E947+27</f>
        <v>141</v>
      </c>
      <c r="AH947" s="8">
        <f>IF($J947=0,0,ROUND(MAX($J947*1.4*1.5*1.6*1.6*2.2*2.715*2.6*1.4*1.4*1.5*1.5*3.2,60500000000*(1.654288^(MIN($E947,123)-117)))*1,0))</f>
        <v>13363555336</v>
      </c>
    </row>
    <row r="948" ht="27.75" customHeight="1" spans="1:34" x14ac:dyDescent="0.25">
      <c r="A948" s="3">
        <v>958</v>
      </c>
      <c r="B948" s="3" t="s">
        <v>687</v>
      </c>
      <c r="C948" s="3" t="s">
        <v>768</v>
      </c>
      <c r="D948" s="3" t="s">
        <v>25</v>
      </c>
      <c r="E948" s="3">
        <v>114</v>
      </c>
      <c r="F948" s="3" t="s">
        <v>194</v>
      </c>
      <c r="G948" s="3" t="s">
        <v>769</v>
      </c>
      <c r="H948" s="3">
        <v>27</v>
      </c>
      <c r="I948" s="4">
        <v>114</v>
      </c>
      <c r="J948" s="5">
        <v>433000</v>
      </c>
      <c r="K948" s="6">
        <f>$E948+1</f>
        <v>115</v>
      </c>
      <c r="L948" s="7">
        <f>IF($J948=0,0,ROUND(MAX($J948*1.4,1620000*(1.497923^(MIN($E948,123)-117)))*1,0))</f>
        <v>606200</v>
      </c>
      <c r="M948" s="4">
        <f>$E948+2</f>
        <v>116</v>
      </c>
      <c r="N948" s="8">
        <f>IF($J948=0,0,ROUND(MAX($J948*1.4*1.5,2190000*(1.580994^(MIN($E948,123)-117)))*1,0))</f>
        <v>909300</v>
      </c>
      <c r="O948" s="6">
        <f>$E948+4</f>
        <v>118</v>
      </c>
      <c r="P948" s="7">
        <f>IF($J948=0,0,ROUND(MAX($J948*1.4*1.5*1.6,3500000*(1.57975^(MIN($E948,123)-117)))*1,0))</f>
        <v>1454880</v>
      </c>
      <c r="Q948" s="4">
        <f>$E948+6</f>
        <v>120</v>
      </c>
      <c r="R948" s="8">
        <f>IF($J948=0,0,ROUND(MAX($J948*1.4*1.5*1.6*1.6,13100000*(1.429962^(MIN($E948,123)-117)))*1,0))</f>
        <v>4480204</v>
      </c>
      <c r="S948" s="6">
        <f>$E948+8</f>
        <v>122</v>
      </c>
      <c r="T948" s="7">
        <f>IF($J948=0,0,ROUND(MAX($J948*1.4*1.5*1.6*1.6*2.2,42600000*(1.576904^(MIN($E948,123)-117)))*1,0))</f>
        <v>10864102</v>
      </c>
      <c r="U948" s="4">
        <f>$E948+11</f>
        <v>125</v>
      </c>
      <c r="V948" s="8">
        <f>IF($J948=0,0,ROUND(MAX($J948*1.4*1.5*1.6*1.6*2.2*2.715,354000000*(1.642074^(MIN($E948,123)-117)))*1,0))</f>
        <v>79951219</v>
      </c>
      <c r="W948" s="6">
        <f>$E948+15</f>
        <v>129</v>
      </c>
      <c r="X948" s="7">
        <f>IF($J948=0,0,ROUND(MAX($J948*1.4*1.5*1.6*1.6*2.2*2.715*2.6,3540000000*(1.579646^(MIN($E948,123)-117)))*1,0))</f>
        <v>898098448</v>
      </c>
      <c r="Y948" s="4">
        <f>$E948+17</f>
        <v>131</v>
      </c>
      <c r="Z948" s="8">
        <f>IF($J948=0,0,ROUND(MAX($J948*1.4*1.5*1.6*1.6*2.2*2.715*2.6*1.4,6020000000*(1.651178^(MIN($E948,123)-117)))*1,0))</f>
        <v>1337256787</v>
      </c>
      <c r="AA948" s="6">
        <f>$E948+19</f>
        <v>133</v>
      </c>
      <c r="AB948" s="7">
        <f>IF($J948=0,0,ROUND(MAX($J948*1.4*1.5*1.6*1.6*2.2*2.715*2.6*1.4*1.4,8430000000*(1.651435^(MIN($E948,123)-117)))*1,0))</f>
        <v>1871729653</v>
      </c>
      <c r="AC948" s="4">
        <f>$E948+21</f>
        <v>135</v>
      </c>
      <c r="AD948" s="8">
        <f>IF($J948=0,0,ROUND(MAX($J948*1.4*1.5*1.6*1.6*2.2*2.715*2.6*1.4*1.4*1.5,12600000000*(1.652953^(MIN($E948,123)-117)))*1,0))</f>
        <v>2789902525</v>
      </c>
      <c r="AE948" s="6">
        <f>$E948+24</f>
        <v>138</v>
      </c>
      <c r="AF948" s="7">
        <f>IF($J948=0,0,ROUND(MAX($J948*1.4*1.5*1.6*1.6*2.2*2.715*2.6*1.4*1.4*1.5*1.5,18900000000*(1.65331^(MIN($E948,123)-117)))*1,0))</f>
        <v>4182143461</v>
      </c>
      <c r="AG948" s="4">
        <f>$E948+27</f>
        <v>141</v>
      </c>
      <c r="AH948" s="8">
        <f>IF($J948=0,0,ROUND(MAX($J948*1.4*1.5*1.6*1.6*2.2*2.715*2.6*1.4*1.4*1.5*1.5*3.2,60500000000*(1.654288^(MIN($E948,123)-117)))*1,0))</f>
        <v>13363555336</v>
      </c>
    </row>
    <row r="949" ht="27.75" customHeight="1" spans="1:34" x14ac:dyDescent="0.25">
      <c r="A949" s="3">
        <v>959</v>
      </c>
      <c r="B949" s="3" t="s">
        <v>156</v>
      </c>
      <c r="C949" s="3" t="s">
        <v>768</v>
      </c>
      <c r="D949" s="3" t="s">
        <v>45</v>
      </c>
      <c r="E949" s="3">
        <v>114</v>
      </c>
      <c r="F949" s="3" t="s">
        <v>34</v>
      </c>
      <c r="G949" s="3" t="s">
        <v>769</v>
      </c>
      <c r="H949" s="3">
        <v>27</v>
      </c>
      <c r="I949" s="4">
        <v>114</v>
      </c>
      <c r="J949" s="5">
        <v>184000</v>
      </c>
      <c r="K949" s="6">
        <f>$E949+1</f>
        <v>115</v>
      </c>
      <c r="L949" s="7">
        <f>IF($J949=0,0,ROUND(MAX($J949*1.4,1620000*(1.497923^(MIN($E949,123)-117)))*1,0))</f>
        <v>481999</v>
      </c>
      <c r="M949" s="4">
        <f>$E949+2</f>
        <v>116</v>
      </c>
      <c r="N949" s="8">
        <f>IF($J949=0,0,ROUND(MAX($J949*1.4*1.5,2190000*(1.580994^(MIN($E949,123)-117)))*1,0))</f>
        <v>554183</v>
      </c>
      <c r="O949" s="6">
        <f>$E949+4</f>
        <v>118</v>
      </c>
      <c r="P949" s="7">
        <f>IF($J949=0,0,ROUND(MAX($J949*1.4*1.5*1.6,3500000*(1.57975^(MIN($E949,123)-117)))*1,0))</f>
        <v>887775</v>
      </c>
      <c r="Q949" s="4">
        <f>$E949+6</f>
        <v>120</v>
      </c>
      <c r="R949" s="8">
        <f>IF($J949=0,0,ROUND(MAX($J949*1.4*1.5*1.6*1.6,13100000*(1.429962^(MIN($E949,123)-117)))*1,0))</f>
        <v>4480204</v>
      </c>
      <c r="S949" s="6">
        <f>$E949+8</f>
        <v>122</v>
      </c>
      <c r="T949" s="7">
        <f>IF($J949=0,0,ROUND(MAX($J949*1.4*1.5*1.6*1.6*2.2,42600000*(1.576904^(MIN($E949,123)-117)))*1,0))</f>
        <v>10864102</v>
      </c>
      <c r="U949" s="4">
        <f>$E949+11</f>
        <v>125</v>
      </c>
      <c r="V949" s="8">
        <f>IF($J949=0,0,ROUND(MAX($J949*1.4*1.5*1.6*1.6*2.2*2.715,354000000*(1.642074^(MIN($E949,123)-117)))*1,0))</f>
        <v>79951219</v>
      </c>
      <c r="W949" s="6">
        <f>$E949+15</f>
        <v>129</v>
      </c>
      <c r="X949" s="7">
        <f>IF($J949=0,0,ROUND(MAX($J949*1.4*1.5*1.6*1.6*2.2*2.715*2.6,3540000000*(1.579646^(MIN($E949,123)-117)))*1,0))</f>
        <v>898098448</v>
      </c>
      <c r="Y949" s="4">
        <f>$E949+17</f>
        <v>131</v>
      </c>
      <c r="Z949" s="8">
        <f>IF($J949=0,0,ROUND(MAX($J949*1.4*1.5*1.6*1.6*2.2*2.715*2.6*1.4,6020000000*(1.651178^(MIN($E949,123)-117)))*1,0))</f>
        <v>1337256787</v>
      </c>
      <c r="AA949" s="6">
        <f>$E949+19</f>
        <v>133</v>
      </c>
      <c r="AB949" s="7">
        <f>IF($J949=0,0,ROUND(MAX($J949*1.4*1.5*1.6*1.6*2.2*2.715*2.6*1.4*1.4,8430000000*(1.651435^(MIN($E949,123)-117)))*1,0))</f>
        <v>1871729653</v>
      </c>
      <c r="AC949" s="4">
        <f>$E949+21</f>
        <v>135</v>
      </c>
      <c r="AD949" s="8">
        <f>IF($J949=0,0,ROUND(MAX($J949*1.4*1.5*1.6*1.6*2.2*2.715*2.6*1.4*1.4*1.5,12600000000*(1.652953^(MIN($E949,123)-117)))*1,0))</f>
        <v>2789902525</v>
      </c>
      <c r="AE949" s="6">
        <f>$E949+24</f>
        <v>138</v>
      </c>
      <c r="AF949" s="7">
        <f>IF($J949=0,0,ROUND(MAX($J949*1.4*1.5*1.6*1.6*2.2*2.715*2.6*1.4*1.4*1.5*1.5,18900000000*(1.65331^(MIN($E949,123)-117)))*1,0))</f>
        <v>4182143461</v>
      </c>
      <c r="AG949" s="4">
        <f>$E949+27</f>
        <v>141</v>
      </c>
      <c r="AH949" s="8">
        <f>IF($J949=0,0,ROUND(MAX($J949*1.4*1.5*1.6*1.6*2.2*2.715*2.6*1.4*1.4*1.5*1.5*3.2,60500000000*(1.654288^(MIN($E949,123)-117)))*1,0))</f>
        <v>13363555336</v>
      </c>
    </row>
    <row r="950" ht="27.75" customHeight="1" spans="1:34" x14ac:dyDescent="0.25">
      <c r="A950" s="3">
        <v>960</v>
      </c>
      <c r="B950" s="3" t="s">
        <v>186</v>
      </c>
      <c r="C950" s="3" t="s">
        <v>768</v>
      </c>
      <c r="D950" s="3" t="s">
        <v>75</v>
      </c>
      <c r="E950" s="3">
        <v>114</v>
      </c>
      <c r="F950" s="3" t="s">
        <v>56</v>
      </c>
      <c r="G950" s="3" t="s">
        <v>769</v>
      </c>
      <c r="H950" s="3">
        <v>27</v>
      </c>
      <c r="I950" s="4">
        <v>114</v>
      </c>
      <c r="J950" s="5">
        <v>252000</v>
      </c>
      <c r="K950" s="6">
        <f>$E950+1</f>
        <v>115</v>
      </c>
      <c r="L950" s="7">
        <f>IF($J950=0,0,ROUND(MAX($J950*1.4,1620000*(1.497923^(MIN($E950,123)-117)))*1,0))</f>
        <v>481999</v>
      </c>
      <c r="M950" s="4">
        <f>$E950+2</f>
        <v>116</v>
      </c>
      <c r="N950" s="8">
        <f>IF($J950=0,0,ROUND(MAX($J950*1.4*1.5,2190000*(1.580994^(MIN($E950,123)-117)))*1,0))</f>
        <v>554183</v>
      </c>
      <c r="O950" s="6">
        <f>$E950+4</f>
        <v>118</v>
      </c>
      <c r="P950" s="7">
        <f>IF($J950=0,0,ROUND(MAX($J950*1.4*1.5*1.6,3500000*(1.57975^(MIN($E950,123)-117)))*1,0))</f>
        <v>887775</v>
      </c>
      <c r="Q950" s="4">
        <f>$E950+6</f>
        <v>120</v>
      </c>
      <c r="R950" s="8">
        <f>IF($J950=0,0,ROUND(MAX($J950*1.4*1.5*1.6*1.6,13100000*(1.429962^(MIN($E950,123)-117)))*1,0))</f>
        <v>4480204</v>
      </c>
      <c r="S950" s="6">
        <f>$E950+8</f>
        <v>122</v>
      </c>
      <c r="T950" s="7">
        <f>IF($J950=0,0,ROUND(MAX($J950*1.4*1.5*1.6*1.6*2.2,42600000*(1.576904^(MIN($E950,123)-117)))*1,0))</f>
        <v>10864102</v>
      </c>
      <c r="U950" s="4">
        <f>$E950+11</f>
        <v>125</v>
      </c>
      <c r="V950" s="8">
        <f>IF($J950=0,0,ROUND(MAX($J950*1.4*1.5*1.6*1.6*2.2*2.715,354000000*(1.642074^(MIN($E950,123)-117)))*1,0))</f>
        <v>79951219</v>
      </c>
      <c r="W950" s="6">
        <f>$E950+15</f>
        <v>129</v>
      </c>
      <c r="X950" s="7">
        <f>IF($J950=0,0,ROUND(MAX($J950*1.4*1.5*1.6*1.6*2.2*2.715*2.6,3540000000*(1.579646^(MIN($E950,123)-117)))*1,0))</f>
        <v>898098448</v>
      </c>
      <c r="Y950" s="4">
        <f>$E950+17</f>
        <v>131</v>
      </c>
      <c r="Z950" s="8">
        <f>IF($J950=0,0,ROUND(MAX($J950*1.4*1.5*1.6*1.6*2.2*2.715*2.6*1.4,6020000000*(1.651178^(MIN($E950,123)-117)))*1,0))</f>
        <v>1337256787</v>
      </c>
      <c r="AA950" s="6">
        <f>$E950+19</f>
        <v>133</v>
      </c>
      <c r="AB950" s="7">
        <f>IF($J950=0,0,ROUND(MAX($J950*1.4*1.5*1.6*1.6*2.2*2.715*2.6*1.4*1.4,8430000000*(1.651435^(MIN($E950,123)-117)))*1,0))</f>
        <v>1871729653</v>
      </c>
      <c r="AC950" s="4">
        <f>$E950+21</f>
        <v>135</v>
      </c>
      <c r="AD950" s="8">
        <f>IF($J950=0,0,ROUND(MAX($J950*1.4*1.5*1.6*1.6*2.2*2.715*2.6*1.4*1.4*1.5,12600000000*(1.652953^(MIN($E950,123)-117)))*1,0))</f>
        <v>2789902525</v>
      </c>
      <c r="AE950" s="6">
        <f>$E950+24</f>
        <v>138</v>
      </c>
      <c r="AF950" s="7">
        <f>IF($J950=0,0,ROUND(MAX($J950*1.4*1.5*1.6*1.6*2.2*2.715*2.6*1.4*1.4*1.5*1.5,18900000000*(1.65331^(MIN($E950,123)-117)))*1,0))</f>
        <v>4182143461</v>
      </c>
      <c r="AG950" s="4">
        <f>$E950+27</f>
        <v>141</v>
      </c>
      <c r="AH950" s="8">
        <f>IF($J950=0,0,ROUND(MAX($J950*1.4*1.5*1.6*1.6*2.2*2.715*2.6*1.4*1.4*1.5*1.5*3.2,60500000000*(1.654288^(MIN($E950,123)-117)))*1,0))</f>
        <v>13363555336</v>
      </c>
    </row>
    <row r="951" ht="27.75" customHeight="1" spans="1:34" x14ac:dyDescent="0.25">
      <c r="A951" s="3">
        <v>961</v>
      </c>
      <c r="B951" s="3" t="s">
        <v>602</v>
      </c>
      <c r="C951" s="3" t="s">
        <v>768</v>
      </c>
      <c r="D951" s="3" t="s">
        <v>33</v>
      </c>
      <c r="E951" s="3">
        <v>114</v>
      </c>
      <c r="F951" s="3" t="s">
        <v>108</v>
      </c>
      <c r="G951" s="3" t="s">
        <v>769</v>
      </c>
      <c r="H951" s="3">
        <v>27</v>
      </c>
      <c r="I951" s="4">
        <v>114</v>
      </c>
      <c r="J951" s="5">
        <v>330000</v>
      </c>
      <c r="K951" s="6">
        <f>$E951+1</f>
        <v>115</v>
      </c>
      <c r="L951" s="7">
        <f>IF($J951=0,0,ROUND(MAX($J951*1.4,1620000*(1.497923^(MIN($E951,123)-117)))*1,0))</f>
        <v>481999</v>
      </c>
      <c r="M951" s="4">
        <f>$E951+2</f>
        <v>116</v>
      </c>
      <c r="N951" s="8">
        <f>IF($J951=0,0,ROUND(MAX($J951*1.4*1.5,2190000*(1.580994^(MIN($E951,123)-117)))*1,0))</f>
        <v>693000</v>
      </c>
      <c r="O951" s="6">
        <f>$E951+4</f>
        <v>118</v>
      </c>
      <c r="P951" s="7">
        <f>IF($J951=0,0,ROUND(MAX($J951*1.4*1.5*1.6,3500000*(1.57975^(MIN($E951,123)-117)))*1,0))</f>
        <v>1108800</v>
      </c>
      <c r="Q951" s="4">
        <f>$E951+6</f>
        <v>120</v>
      </c>
      <c r="R951" s="8">
        <f>IF($J951=0,0,ROUND(MAX($J951*1.4*1.5*1.6*1.6,13100000*(1.429962^(MIN($E951,123)-117)))*1,0))</f>
        <v>4480204</v>
      </c>
      <c r="S951" s="6">
        <f>$E951+8</f>
        <v>122</v>
      </c>
      <c r="T951" s="7">
        <f>IF($J951=0,0,ROUND(MAX($J951*1.4*1.5*1.6*1.6*2.2,42600000*(1.576904^(MIN($E951,123)-117)))*1,0))</f>
        <v>10864102</v>
      </c>
      <c r="U951" s="4">
        <f>$E951+11</f>
        <v>125</v>
      </c>
      <c r="V951" s="8">
        <f>IF($J951=0,0,ROUND(MAX($J951*1.4*1.5*1.6*1.6*2.2*2.715,354000000*(1.642074^(MIN($E951,123)-117)))*1,0))</f>
        <v>79951219</v>
      </c>
      <c r="W951" s="6">
        <f>$E951+15</f>
        <v>129</v>
      </c>
      <c r="X951" s="7">
        <f>IF($J951=0,0,ROUND(MAX($J951*1.4*1.5*1.6*1.6*2.2*2.715*2.6,3540000000*(1.579646^(MIN($E951,123)-117)))*1,0))</f>
        <v>898098448</v>
      </c>
      <c r="Y951" s="4">
        <f>$E951+17</f>
        <v>131</v>
      </c>
      <c r="Z951" s="8">
        <f>IF($J951=0,0,ROUND(MAX($J951*1.4*1.5*1.6*1.6*2.2*2.715*2.6*1.4,6020000000*(1.651178^(MIN($E951,123)-117)))*1,0))</f>
        <v>1337256787</v>
      </c>
      <c r="AA951" s="6">
        <f>$E951+19</f>
        <v>133</v>
      </c>
      <c r="AB951" s="7">
        <f>IF($J951=0,0,ROUND(MAX($J951*1.4*1.5*1.6*1.6*2.2*2.715*2.6*1.4*1.4,8430000000*(1.651435^(MIN($E951,123)-117)))*1,0))</f>
        <v>1871729653</v>
      </c>
      <c r="AC951" s="4">
        <f>$E951+21</f>
        <v>135</v>
      </c>
      <c r="AD951" s="8">
        <f>IF($J951=0,0,ROUND(MAX($J951*1.4*1.5*1.6*1.6*2.2*2.715*2.6*1.4*1.4*1.5,12600000000*(1.652953^(MIN($E951,123)-117)))*1,0))</f>
        <v>2789902525</v>
      </c>
      <c r="AE951" s="6">
        <f>$E951+24</f>
        <v>138</v>
      </c>
      <c r="AF951" s="7">
        <f>IF($J951=0,0,ROUND(MAX($J951*1.4*1.5*1.6*1.6*2.2*2.715*2.6*1.4*1.4*1.5*1.5,18900000000*(1.65331^(MIN($E951,123)-117)))*1,0))</f>
        <v>4182143461</v>
      </c>
      <c r="AG951" s="4">
        <f>$E951+27</f>
        <v>141</v>
      </c>
      <c r="AH951" s="8">
        <f>IF($J951=0,0,ROUND(MAX($J951*1.4*1.5*1.6*1.6*2.2*2.715*2.6*1.4*1.4*1.5*1.5*3.2,60500000000*(1.654288^(MIN($E951,123)-117)))*1,0))</f>
        <v>13363555336</v>
      </c>
    </row>
    <row r="952" ht="27.75" customHeight="1" spans="1:34" x14ac:dyDescent="0.25">
      <c r="A952" s="3">
        <v>962</v>
      </c>
      <c r="B952" s="3" t="s">
        <v>203</v>
      </c>
      <c r="C952" s="3" t="s">
        <v>768</v>
      </c>
      <c r="D952" s="3" t="s">
        <v>25</v>
      </c>
      <c r="E952" s="3">
        <v>114</v>
      </c>
      <c r="F952" s="3" t="s">
        <v>204</v>
      </c>
      <c r="G952" s="3" t="s">
        <v>769</v>
      </c>
      <c r="H952" s="3">
        <v>27</v>
      </c>
      <c r="I952" s="4">
        <v>114</v>
      </c>
      <c r="J952" s="5">
        <v>322000</v>
      </c>
      <c r="K952" s="6">
        <f>$E952+1</f>
        <v>115</v>
      </c>
      <c r="L952" s="7">
        <f>IF($J952=0,0,ROUND(MAX($J952*1.4,1620000*(1.497923^(MIN($E952,123)-117)))*1,0))</f>
        <v>481999</v>
      </c>
      <c r="M952" s="4">
        <f>$E952+2</f>
        <v>116</v>
      </c>
      <c r="N952" s="8">
        <f>IF($J952=0,0,ROUND(MAX($J952*1.4*1.5,2190000*(1.580994^(MIN($E952,123)-117)))*1,0))</f>
        <v>676200</v>
      </c>
      <c r="O952" s="6">
        <f>$E952+4</f>
        <v>118</v>
      </c>
      <c r="P952" s="7">
        <f>IF($J952=0,0,ROUND(MAX($J952*1.4*1.5*1.6,3500000*(1.57975^(MIN($E952,123)-117)))*1,0))</f>
        <v>1081920</v>
      </c>
      <c r="Q952" s="4">
        <f>$E952+6</f>
        <v>120</v>
      </c>
      <c r="R952" s="8">
        <f>IF($J952=0,0,ROUND(MAX($J952*1.4*1.5*1.6*1.6,13100000*(1.429962^(MIN($E952,123)-117)))*1,0))</f>
        <v>4480204</v>
      </c>
      <c r="S952" s="6">
        <f>$E952+8</f>
        <v>122</v>
      </c>
      <c r="T952" s="7">
        <f>IF($J952=0,0,ROUND(MAX($J952*1.4*1.5*1.6*1.6*2.2,42600000*(1.576904^(MIN($E952,123)-117)))*1,0))</f>
        <v>10864102</v>
      </c>
      <c r="U952" s="4">
        <f>$E952+11</f>
        <v>125</v>
      </c>
      <c r="V952" s="8">
        <f>IF($J952=0,0,ROUND(MAX($J952*1.4*1.5*1.6*1.6*2.2*2.715,354000000*(1.642074^(MIN($E952,123)-117)))*1,0))</f>
        <v>79951219</v>
      </c>
      <c r="W952" s="6">
        <f>$E952+15</f>
        <v>129</v>
      </c>
      <c r="X952" s="7">
        <f>IF($J952=0,0,ROUND(MAX($J952*1.4*1.5*1.6*1.6*2.2*2.715*2.6,3540000000*(1.579646^(MIN($E952,123)-117)))*1,0))</f>
        <v>898098448</v>
      </c>
      <c r="Y952" s="4">
        <f>$E952+17</f>
        <v>131</v>
      </c>
      <c r="Z952" s="8">
        <f>IF($J952=0,0,ROUND(MAX($J952*1.4*1.5*1.6*1.6*2.2*2.715*2.6*1.4,6020000000*(1.651178^(MIN($E952,123)-117)))*1,0))</f>
        <v>1337256787</v>
      </c>
      <c r="AA952" s="6">
        <f>$E952+19</f>
        <v>133</v>
      </c>
      <c r="AB952" s="7">
        <f>IF($J952=0,0,ROUND(MAX($J952*1.4*1.5*1.6*1.6*2.2*2.715*2.6*1.4*1.4,8430000000*(1.651435^(MIN($E952,123)-117)))*1,0))</f>
        <v>1871729653</v>
      </c>
      <c r="AC952" s="4">
        <f>$E952+21</f>
        <v>135</v>
      </c>
      <c r="AD952" s="8">
        <f>IF($J952=0,0,ROUND(MAX($J952*1.4*1.5*1.6*1.6*2.2*2.715*2.6*1.4*1.4*1.5,12600000000*(1.652953^(MIN($E952,123)-117)))*1,0))</f>
        <v>2789902525</v>
      </c>
      <c r="AE952" s="6">
        <f>$E952+24</f>
        <v>138</v>
      </c>
      <c r="AF952" s="7">
        <f>IF($J952=0,0,ROUND(MAX($J952*1.4*1.5*1.6*1.6*2.2*2.715*2.6*1.4*1.4*1.5*1.5,18900000000*(1.65331^(MIN($E952,123)-117)))*1,0))</f>
        <v>4182143461</v>
      </c>
      <c r="AG952" s="4">
        <f>$E952+27</f>
        <v>141</v>
      </c>
      <c r="AH952" s="8">
        <f>IF($J952=0,0,ROUND(MAX($J952*1.4*1.5*1.6*1.6*2.2*2.715*2.6*1.4*1.4*1.5*1.5*3.2,60500000000*(1.654288^(MIN($E952,123)-117)))*1,0))</f>
        <v>13363555336</v>
      </c>
    </row>
    <row r="953" ht="27.75" customHeight="1" spans="1:34" x14ac:dyDescent="0.25">
      <c r="A953" s="3">
        <v>963</v>
      </c>
      <c r="B953" s="3" t="s">
        <v>609</v>
      </c>
      <c r="C953" s="3" t="s">
        <v>768</v>
      </c>
      <c r="D953" s="3" t="s">
        <v>75</v>
      </c>
      <c r="E953" s="3">
        <v>114</v>
      </c>
      <c r="F953" s="3" t="s">
        <v>54</v>
      </c>
      <c r="G953" s="3" t="s">
        <v>769</v>
      </c>
      <c r="H953" s="3">
        <v>27</v>
      </c>
      <c r="I953" s="4">
        <v>114</v>
      </c>
      <c r="J953" s="5">
        <v>223000</v>
      </c>
      <c r="K953" s="6">
        <f>$E953+1</f>
        <v>115</v>
      </c>
      <c r="L953" s="7">
        <f>IF($J953=0,0,ROUND(MAX($J953*1.4,1620000*(1.497923^(MIN($E953,123)-117)))*1,0))</f>
        <v>481999</v>
      </c>
      <c r="M953" s="4">
        <f>$E953+2</f>
        <v>116</v>
      </c>
      <c r="N953" s="8">
        <f>IF($J953=0,0,ROUND(MAX($J953*1.4*1.5,2190000*(1.580994^(MIN($E953,123)-117)))*1,0))</f>
        <v>554183</v>
      </c>
      <c r="O953" s="6">
        <f>$E953+4</f>
        <v>118</v>
      </c>
      <c r="P953" s="7">
        <f>IF($J953=0,0,ROUND(MAX($J953*1.4*1.5*1.6,3500000*(1.57975^(MIN($E953,123)-117)))*1,0))</f>
        <v>887775</v>
      </c>
      <c r="Q953" s="4">
        <f>$E953+6</f>
        <v>120</v>
      </c>
      <c r="R953" s="8">
        <f>IF($J953=0,0,ROUND(MAX($J953*1.4*1.5*1.6*1.6,13100000*(1.429962^(MIN($E953,123)-117)))*1,0))</f>
        <v>4480204</v>
      </c>
      <c r="S953" s="6">
        <f>$E953+8</f>
        <v>122</v>
      </c>
      <c r="T953" s="7">
        <f>IF($J953=0,0,ROUND(MAX($J953*1.4*1.5*1.6*1.6*2.2,42600000*(1.576904^(MIN($E953,123)-117)))*1,0))</f>
        <v>10864102</v>
      </c>
      <c r="U953" s="4">
        <f>$E953+11</f>
        <v>125</v>
      </c>
      <c r="V953" s="8">
        <f>IF($J953=0,0,ROUND(MAX($J953*1.4*1.5*1.6*1.6*2.2*2.715,354000000*(1.642074^(MIN($E953,123)-117)))*1,0))</f>
        <v>79951219</v>
      </c>
      <c r="W953" s="6">
        <f>$E953+15</f>
        <v>129</v>
      </c>
      <c r="X953" s="7">
        <f>IF($J953=0,0,ROUND(MAX($J953*1.4*1.5*1.6*1.6*2.2*2.715*2.6,3540000000*(1.579646^(MIN($E953,123)-117)))*1,0))</f>
        <v>898098448</v>
      </c>
      <c r="Y953" s="4">
        <f>$E953+17</f>
        <v>131</v>
      </c>
      <c r="Z953" s="8">
        <f>IF($J953=0,0,ROUND(MAX($J953*1.4*1.5*1.6*1.6*2.2*2.715*2.6*1.4,6020000000*(1.651178^(MIN($E953,123)-117)))*1,0))</f>
        <v>1337256787</v>
      </c>
      <c r="AA953" s="6">
        <f>$E953+19</f>
        <v>133</v>
      </c>
      <c r="AB953" s="7">
        <f>IF($J953=0,0,ROUND(MAX($J953*1.4*1.5*1.6*1.6*2.2*2.715*2.6*1.4*1.4,8430000000*(1.651435^(MIN($E953,123)-117)))*1,0))</f>
        <v>1871729653</v>
      </c>
      <c r="AC953" s="4">
        <f>$E953+21</f>
        <v>135</v>
      </c>
      <c r="AD953" s="8">
        <f>IF($J953=0,0,ROUND(MAX($J953*1.4*1.5*1.6*1.6*2.2*2.715*2.6*1.4*1.4*1.5,12600000000*(1.652953^(MIN($E953,123)-117)))*1,0))</f>
        <v>2789902525</v>
      </c>
      <c r="AE953" s="6">
        <f>$E953+24</f>
        <v>138</v>
      </c>
      <c r="AF953" s="7">
        <f>IF($J953=0,0,ROUND(MAX($J953*1.4*1.5*1.6*1.6*2.2*2.715*2.6*1.4*1.4*1.5*1.5,18900000000*(1.65331^(MIN($E953,123)-117)))*1,0))</f>
        <v>4182143461</v>
      </c>
      <c r="AG953" s="4">
        <f>$E953+27</f>
        <v>141</v>
      </c>
      <c r="AH953" s="8">
        <f>IF($J953=0,0,ROUND(MAX($J953*1.4*1.5*1.6*1.6*2.2*2.715*2.6*1.4*1.4*1.5*1.5*3.2,60500000000*(1.654288^(MIN($E953,123)-117)))*1,0))</f>
        <v>13363555336</v>
      </c>
    </row>
    <row r="954" ht="27.75" customHeight="1" spans="1:34" x14ac:dyDescent="0.25">
      <c r="A954" s="3">
        <v>964</v>
      </c>
      <c r="B954" s="3" t="s">
        <v>189</v>
      </c>
      <c r="C954" s="3" t="s">
        <v>768</v>
      </c>
      <c r="D954" s="3" t="s">
        <v>102</v>
      </c>
      <c r="E954" s="3">
        <v>114</v>
      </c>
      <c r="F954" s="3" t="s">
        <v>62</v>
      </c>
      <c r="G954" s="3" t="s">
        <v>769</v>
      </c>
      <c r="H954" s="3">
        <v>27</v>
      </c>
      <c r="I954" s="4">
        <v>114</v>
      </c>
      <c r="J954" s="5">
        <v>292000</v>
      </c>
      <c r="K954" s="6">
        <f>$E954+1</f>
        <v>115</v>
      </c>
      <c r="L954" s="7">
        <f>IF($J954=0,0,ROUND(MAX($J954*1.4,1620000*(1.497923^(MIN($E954,123)-117)))*1,0))</f>
        <v>481999</v>
      </c>
      <c r="M954" s="4">
        <f>$E954+2</f>
        <v>116</v>
      </c>
      <c r="N954" s="8">
        <f>IF($J954=0,0,ROUND(MAX($J954*1.4*1.5,2190000*(1.580994^(MIN($E954,123)-117)))*1,0))</f>
        <v>613200</v>
      </c>
      <c r="O954" s="6">
        <f>$E954+4</f>
        <v>118</v>
      </c>
      <c r="P954" s="7">
        <f>IF($J954=0,0,ROUND(MAX($J954*1.4*1.5*1.6,3500000*(1.57975^(MIN($E954,123)-117)))*1,0))</f>
        <v>981120</v>
      </c>
      <c r="Q954" s="4">
        <f>$E954+6</f>
        <v>120</v>
      </c>
      <c r="R954" s="8">
        <f>IF($J954=0,0,ROUND(MAX($J954*1.4*1.5*1.6*1.6,13100000*(1.429962^(MIN($E954,123)-117)))*1,0))</f>
        <v>4480204</v>
      </c>
      <c r="S954" s="6">
        <f>$E954+8</f>
        <v>122</v>
      </c>
      <c r="T954" s="7">
        <f>IF($J954=0,0,ROUND(MAX($J954*1.4*1.5*1.6*1.6*2.2,42600000*(1.576904^(MIN($E954,123)-117)))*1,0))</f>
        <v>10864102</v>
      </c>
      <c r="U954" s="4">
        <f>$E954+11</f>
        <v>125</v>
      </c>
      <c r="V954" s="8">
        <f>IF($J954=0,0,ROUND(MAX($J954*1.4*1.5*1.6*1.6*2.2*2.715,354000000*(1.642074^(MIN($E954,123)-117)))*1,0))</f>
        <v>79951219</v>
      </c>
      <c r="W954" s="6">
        <f>$E954+15</f>
        <v>129</v>
      </c>
      <c r="X954" s="7">
        <f>IF($J954=0,0,ROUND(MAX($J954*1.4*1.5*1.6*1.6*2.2*2.715*2.6,3540000000*(1.579646^(MIN($E954,123)-117)))*1,0))</f>
        <v>898098448</v>
      </c>
      <c r="Y954" s="4">
        <f>$E954+17</f>
        <v>131</v>
      </c>
      <c r="Z954" s="8">
        <f>IF($J954=0,0,ROUND(MAX($J954*1.4*1.5*1.6*1.6*2.2*2.715*2.6*1.4,6020000000*(1.651178^(MIN($E954,123)-117)))*1,0))</f>
        <v>1337256787</v>
      </c>
      <c r="AA954" s="6">
        <f>$E954+19</f>
        <v>133</v>
      </c>
      <c r="AB954" s="7">
        <f>IF($J954=0,0,ROUND(MAX($J954*1.4*1.5*1.6*1.6*2.2*2.715*2.6*1.4*1.4,8430000000*(1.651435^(MIN($E954,123)-117)))*1,0))</f>
        <v>1871729653</v>
      </c>
      <c r="AC954" s="4">
        <f>$E954+21</f>
        <v>135</v>
      </c>
      <c r="AD954" s="8">
        <f>IF($J954=0,0,ROUND(MAX($J954*1.4*1.5*1.6*1.6*2.2*2.715*2.6*1.4*1.4*1.5,12600000000*(1.652953^(MIN($E954,123)-117)))*1,0))</f>
        <v>2789902525</v>
      </c>
      <c r="AE954" s="6">
        <f>$E954+24</f>
        <v>138</v>
      </c>
      <c r="AF954" s="7">
        <f>IF($J954=0,0,ROUND(MAX($J954*1.4*1.5*1.6*1.6*2.2*2.715*2.6*1.4*1.4*1.5*1.5,18900000000*(1.65331^(MIN($E954,123)-117)))*1,0))</f>
        <v>4182143461</v>
      </c>
      <c r="AG954" s="4">
        <f>$E954+27</f>
        <v>141</v>
      </c>
      <c r="AH954" s="8">
        <f>IF($J954=0,0,ROUND(MAX($J954*1.4*1.5*1.6*1.6*2.2*2.715*2.6*1.4*1.4*1.5*1.5*3.2,60500000000*(1.654288^(MIN($E954,123)-117)))*1,0))</f>
        <v>13363555336</v>
      </c>
    </row>
    <row r="955" ht="27.75" customHeight="1" spans="1:34" x14ac:dyDescent="0.25">
      <c r="A955" s="3">
        <v>965</v>
      </c>
      <c r="B955" s="3" t="s">
        <v>606</v>
      </c>
      <c r="C955" s="3" t="s">
        <v>768</v>
      </c>
      <c r="D955" s="3" t="s">
        <v>33</v>
      </c>
      <c r="E955" s="3">
        <v>114</v>
      </c>
      <c r="F955" s="3" t="s">
        <v>59</v>
      </c>
      <c r="G955" s="3" t="s">
        <v>769</v>
      </c>
      <c r="H955" s="3">
        <v>27</v>
      </c>
      <c r="I955" s="4">
        <v>114</v>
      </c>
      <c r="J955" s="5">
        <v>219000</v>
      </c>
      <c r="K955" s="6">
        <f>$E955+1</f>
        <v>115</v>
      </c>
      <c r="L955" s="7">
        <f>IF($J955=0,0,ROUND(MAX($J955*1.4,1620000*(1.497923^(MIN($E955,123)-117)))*1,0))</f>
        <v>481999</v>
      </c>
      <c r="M955" s="4">
        <f>$E955+2</f>
        <v>116</v>
      </c>
      <c r="N955" s="8">
        <f>IF($J955=0,0,ROUND(MAX($J955*1.4*1.5,2190000*(1.580994^(MIN($E955,123)-117)))*1,0))</f>
        <v>554183</v>
      </c>
      <c r="O955" s="6">
        <f>$E955+4</f>
        <v>118</v>
      </c>
      <c r="P955" s="7">
        <f>IF($J955=0,0,ROUND(MAX($J955*1.4*1.5*1.6,3500000*(1.57975^(MIN($E955,123)-117)))*1,0))</f>
        <v>887775</v>
      </c>
      <c r="Q955" s="4">
        <f>$E955+6</f>
        <v>120</v>
      </c>
      <c r="R955" s="8">
        <f>IF($J955=0,0,ROUND(MAX($J955*1.4*1.5*1.6*1.6,13100000*(1.429962^(MIN($E955,123)-117)))*1,0))</f>
        <v>4480204</v>
      </c>
      <c r="S955" s="6">
        <f>$E955+8</f>
        <v>122</v>
      </c>
      <c r="T955" s="7">
        <f>IF($J955=0,0,ROUND(MAX($J955*1.4*1.5*1.6*1.6*2.2,42600000*(1.576904^(MIN($E955,123)-117)))*1,0))</f>
        <v>10864102</v>
      </c>
      <c r="U955" s="4">
        <f>$E955+11</f>
        <v>125</v>
      </c>
      <c r="V955" s="8">
        <f>IF($J955=0,0,ROUND(MAX($J955*1.4*1.5*1.6*1.6*2.2*2.715,354000000*(1.642074^(MIN($E955,123)-117)))*1,0))</f>
        <v>79951219</v>
      </c>
      <c r="W955" s="6">
        <f>$E955+15</f>
        <v>129</v>
      </c>
      <c r="X955" s="7">
        <f>IF($J955=0,0,ROUND(MAX($J955*1.4*1.5*1.6*1.6*2.2*2.715*2.6,3540000000*(1.579646^(MIN($E955,123)-117)))*1,0))</f>
        <v>898098448</v>
      </c>
      <c r="Y955" s="4">
        <f>$E955+17</f>
        <v>131</v>
      </c>
      <c r="Z955" s="8">
        <f>IF($J955=0,0,ROUND(MAX($J955*1.4*1.5*1.6*1.6*2.2*2.715*2.6*1.4,6020000000*(1.651178^(MIN($E955,123)-117)))*1,0))</f>
        <v>1337256787</v>
      </c>
      <c r="AA955" s="6">
        <f>$E955+19</f>
        <v>133</v>
      </c>
      <c r="AB955" s="7">
        <f>IF($J955=0,0,ROUND(MAX($J955*1.4*1.5*1.6*1.6*2.2*2.715*2.6*1.4*1.4,8430000000*(1.651435^(MIN($E955,123)-117)))*1,0))</f>
        <v>1871729653</v>
      </c>
      <c r="AC955" s="4">
        <f>$E955+21</f>
        <v>135</v>
      </c>
      <c r="AD955" s="8">
        <f>IF($J955=0,0,ROUND(MAX($J955*1.4*1.5*1.6*1.6*2.2*2.715*2.6*1.4*1.4*1.5,12600000000*(1.652953^(MIN($E955,123)-117)))*1,0))</f>
        <v>2789902525</v>
      </c>
      <c r="AE955" s="6">
        <f>$E955+24</f>
        <v>138</v>
      </c>
      <c r="AF955" s="7">
        <f>IF($J955=0,0,ROUND(MAX($J955*1.4*1.5*1.6*1.6*2.2*2.715*2.6*1.4*1.4*1.5*1.5,18900000000*(1.65331^(MIN($E955,123)-117)))*1,0))</f>
        <v>4182143461</v>
      </c>
      <c r="AG955" s="4">
        <f>$E955+27</f>
        <v>141</v>
      </c>
      <c r="AH955" s="8">
        <f>IF($J955=0,0,ROUND(MAX($J955*1.4*1.5*1.6*1.6*2.2*2.715*2.6*1.4*1.4*1.5*1.5*3.2,60500000000*(1.654288^(MIN($E955,123)-117)))*1,0))</f>
        <v>13363555336</v>
      </c>
    </row>
    <row r="956" ht="27.75" customHeight="1" spans="1:34" x14ac:dyDescent="0.25">
      <c r="A956" s="3">
        <v>966</v>
      </c>
      <c r="B956" s="3" t="s">
        <v>134</v>
      </c>
      <c r="C956" s="3" t="s">
        <v>768</v>
      </c>
      <c r="D956" s="3" t="s">
        <v>75</v>
      </c>
      <c r="E956" s="3">
        <v>114</v>
      </c>
      <c r="F956" s="3" t="s">
        <v>26</v>
      </c>
      <c r="G956" s="3" t="s">
        <v>769</v>
      </c>
      <c r="H956" s="3">
        <v>27</v>
      </c>
      <c r="I956" s="4">
        <v>114</v>
      </c>
      <c r="J956" s="5">
        <v>194000</v>
      </c>
      <c r="K956" s="6">
        <f>$E956+1</f>
        <v>115</v>
      </c>
      <c r="L956" s="7">
        <f>IF($J956=0,0,ROUND(MAX($J956*1.4,1620000*(1.497923^(MIN($E956,123)-117)))*1,0))</f>
        <v>481999</v>
      </c>
      <c r="M956" s="4">
        <f>$E956+2</f>
        <v>116</v>
      </c>
      <c r="N956" s="8">
        <f>IF($J956=0,0,ROUND(MAX($J956*1.4*1.5,2190000*(1.580994^(MIN($E956,123)-117)))*1,0))</f>
        <v>554183</v>
      </c>
      <c r="O956" s="6">
        <f>$E956+4</f>
        <v>118</v>
      </c>
      <c r="P956" s="7">
        <f>IF($J956=0,0,ROUND(MAX($J956*1.4*1.5*1.6,3500000*(1.57975^(MIN($E956,123)-117)))*1,0))</f>
        <v>887775</v>
      </c>
      <c r="Q956" s="4">
        <f>$E956+6</f>
        <v>120</v>
      </c>
      <c r="R956" s="8">
        <f>IF($J956=0,0,ROUND(MAX($J956*1.4*1.5*1.6*1.6,13100000*(1.429962^(MIN($E956,123)-117)))*1,0))</f>
        <v>4480204</v>
      </c>
      <c r="S956" s="6">
        <f>$E956+8</f>
        <v>122</v>
      </c>
      <c r="T956" s="7">
        <f>IF($J956=0,0,ROUND(MAX($J956*1.4*1.5*1.6*1.6*2.2,42600000*(1.576904^(MIN($E956,123)-117)))*1,0))</f>
        <v>10864102</v>
      </c>
      <c r="U956" s="4">
        <f>$E956+11</f>
        <v>125</v>
      </c>
      <c r="V956" s="8">
        <f>IF($J956=0,0,ROUND(MAX($J956*1.4*1.5*1.6*1.6*2.2*2.715,354000000*(1.642074^(MIN($E956,123)-117)))*1,0))</f>
        <v>79951219</v>
      </c>
      <c r="W956" s="6">
        <f>$E956+15</f>
        <v>129</v>
      </c>
      <c r="X956" s="7">
        <f>IF($J956=0,0,ROUND(MAX($J956*1.4*1.5*1.6*1.6*2.2*2.715*2.6,3540000000*(1.579646^(MIN($E956,123)-117)))*1,0))</f>
        <v>898098448</v>
      </c>
      <c r="Y956" s="4">
        <f>$E956+17</f>
        <v>131</v>
      </c>
      <c r="Z956" s="8">
        <f>IF($J956=0,0,ROUND(MAX($J956*1.4*1.5*1.6*1.6*2.2*2.715*2.6*1.4,6020000000*(1.651178^(MIN($E956,123)-117)))*1,0))</f>
        <v>1337256787</v>
      </c>
      <c r="AA956" s="6">
        <f>$E956+19</f>
        <v>133</v>
      </c>
      <c r="AB956" s="7">
        <f>IF($J956=0,0,ROUND(MAX($J956*1.4*1.5*1.6*1.6*2.2*2.715*2.6*1.4*1.4,8430000000*(1.651435^(MIN($E956,123)-117)))*1,0))</f>
        <v>1871729653</v>
      </c>
      <c r="AC956" s="4">
        <f>$E956+21</f>
        <v>135</v>
      </c>
      <c r="AD956" s="8">
        <f>IF($J956=0,0,ROUND(MAX($J956*1.4*1.5*1.6*1.6*2.2*2.715*2.6*1.4*1.4*1.5,12600000000*(1.652953^(MIN($E956,123)-117)))*1,0))</f>
        <v>2789902525</v>
      </c>
      <c r="AE956" s="6">
        <f>$E956+24</f>
        <v>138</v>
      </c>
      <c r="AF956" s="7">
        <f>IF($J956=0,0,ROUND(MAX($J956*1.4*1.5*1.6*1.6*2.2*2.715*2.6*1.4*1.4*1.5*1.5,18900000000*(1.65331^(MIN($E956,123)-117)))*1,0))</f>
        <v>4182143461</v>
      </c>
      <c r="AG956" s="4">
        <f>$E956+27</f>
        <v>141</v>
      </c>
      <c r="AH956" s="8">
        <f>IF($J956=0,0,ROUND(MAX($J956*1.4*1.5*1.6*1.6*2.2*2.715*2.6*1.4*1.4*1.5*1.5*3.2,60500000000*(1.654288^(MIN($E956,123)-117)))*1,0))</f>
        <v>13363555336</v>
      </c>
    </row>
    <row r="957" ht="27.75" customHeight="1" spans="1:34" x14ac:dyDescent="0.25">
      <c r="A957" s="3">
        <v>967</v>
      </c>
      <c r="B957" s="3" t="s">
        <v>188</v>
      </c>
      <c r="C957" s="3" t="s">
        <v>768</v>
      </c>
      <c r="D957" s="3" t="s">
        <v>47</v>
      </c>
      <c r="E957" s="3">
        <v>114</v>
      </c>
      <c r="F957" s="3" t="s">
        <v>42</v>
      </c>
      <c r="G957" s="3" t="s">
        <v>769</v>
      </c>
      <c r="H957" s="3">
        <v>25</v>
      </c>
      <c r="I957" s="4">
        <v>114</v>
      </c>
      <c r="J957" s="5">
        <v>542000</v>
      </c>
      <c r="K957" s="6">
        <f>$E957+1</f>
        <v>115</v>
      </c>
      <c r="L957" s="7">
        <f>IF($J957=0,0,ROUND(MAX($J957*1.4,1620000*(1.497923^(MIN($E957,123)-117)))*1,0))</f>
        <v>758800</v>
      </c>
      <c r="M957" s="4">
        <f>$E957+2</f>
        <v>116</v>
      </c>
      <c r="N957" s="8">
        <f>IF($J957=0,0,ROUND(MAX($J957*1.4*1.5,2190000*(1.580994^(MIN($E957,123)-117)))*1,0))</f>
        <v>1138200</v>
      </c>
      <c r="O957" s="6">
        <f>$E957+4</f>
        <v>118</v>
      </c>
      <c r="P957" s="7">
        <f>IF($J957=0,0,ROUND(MAX($J957*1.4*1.5*1.6,3500000*(1.57975^(MIN($E957,123)-117)))*1,0))</f>
        <v>1821120</v>
      </c>
      <c r="Q957" s="4">
        <f>$E957+6</f>
        <v>120</v>
      </c>
      <c r="R957" s="8">
        <f>IF($J957=0,0,ROUND(MAX($J957*1.4*1.5*1.6*1.6,13100000*(1.429962^(MIN($E957,123)-117)))*1,0))</f>
        <v>4480204</v>
      </c>
      <c r="S957" s="6">
        <f>$E957+8</f>
        <v>122</v>
      </c>
      <c r="T957" s="7">
        <f>IF($J957=0,0,ROUND(MAX($J957*1.4*1.5*1.6*1.6*2.2,42600000*(1.576904^(MIN($E957,123)-117)))*1,0))</f>
        <v>10864102</v>
      </c>
      <c r="U957" s="4">
        <f>$E957+11</f>
        <v>125</v>
      </c>
      <c r="V957" s="8">
        <f>IF($J957=0,0,ROUND(MAX($J957*1.4*1.5*1.6*1.6*2.2*2.715,354000000*(1.642074^(MIN($E957,123)-117)))*1,0))</f>
        <v>79951219</v>
      </c>
      <c r="W957" s="6">
        <f>$E957+15</f>
        <v>129</v>
      </c>
      <c r="X957" s="7">
        <f>IF($J957=0,0,ROUND(MAX($J957*1.4*1.5*1.6*1.6*2.2*2.715*2.6,3540000000*(1.579646^(MIN($E957,123)-117)))*1,0))</f>
        <v>898098448</v>
      </c>
      <c r="Y957" s="4">
        <f>$E957+17</f>
        <v>131</v>
      </c>
      <c r="Z957" s="8">
        <f>IF($J957=0,0,ROUND(MAX($J957*1.4*1.5*1.6*1.6*2.2*2.715*2.6*1.4,6020000000*(1.651178^(MIN($E957,123)-117)))*1,0))</f>
        <v>1337256787</v>
      </c>
      <c r="AA957" s="6">
        <f>$E957+19</f>
        <v>133</v>
      </c>
      <c r="AB957" s="7">
        <f>IF($J957=0,0,ROUND(MAX($J957*1.4*1.5*1.6*1.6*2.2*2.715*2.6*1.4*1.4,8430000000*(1.651435^(MIN($E957,123)-117)))*1,0))</f>
        <v>1871729653</v>
      </c>
      <c r="AC957" s="4">
        <f>$E957+21</f>
        <v>135</v>
      </c>
      <c r="AD957" s="8">
        <f>IF($J957=0,0,ROUND(MAX($J957*1.4*1.5*1.6*1.6*2.2*2.715*2.6*1.4*1.4*1.5,12600000000*(1.652953^(MIN($E957,123)-117)))*1,0))</f>
        <v>2789902525</v>
      </c>
      <c r="AE957" s="6">
        <f>$E957+24</f>
        <v>138</v>
      </c>
      <c r="AF957" s="7">
        <f>IF($J957=0,0,ROUND(MAX($J957*1.4*1.5*1.6*1.6*2.2*2.715*2.6*1.4*1.4*1.5*1.5,18900000000*(1.65331^(MIN($E957,123)-117)))*1,0))</f>
        <v>4182143461</v>
      </c>
      <c r="AG957" s="4">
        <f>$E957+27</f>
        <v>141</v>
      </c>
      <c r="AH957" s="8">
        <f>IF($J957=0,0,ROUND(MAX($J957*1.4*1.5*1.6*1.6*2.2*2.715*2.6*1.4*1.4*1.5*1.5*3.2,60500000000*(1.654288^(MIN($E957,123)-117)))*1,0))</f>
        <v>13363555336</v>
      </c>
    </row>
    <row r="958" ht="27.75" customHeight="1" spans="1:34" x14ac:dyDescent="0.25">
      <c r="A958" s="3">
        <v>968</v>
      </c>
      <c r="B958" s="3" t="s">
        <v>180</v>
      </c>
      <c r="C958" s="3" t="s">
        <v>768</v>
      </c>
      <c r="D958" s="3" t="s">
        <v>47</v>
      </c>
      <c r="E958" s="3">
        <v>114</v>
      </c>
      <c r="F958" s="3" t="s">
        <v>144</v>
      </c>
      <c r="G958" s="3" t="s">
        <v>769</v>
      </c>
      <c r="H958" s="3">
        <v>25</v>
      </c>
      <c r="I958" s="4">
        <v>114</v>
      </c>
      <c r="J958" s="5">
        <v>486000</v>
      </c>
      <c r="K958" s="6">
        <f>$E958+1</f>
        <v>115</v>
      </c>
      <c r="L958" s="7">
        <f>IF($J958=0,0,ROUND(MAX($J958*1.4,1620000*(1.497923^(MIN($E958,123)-117)))*1,0))</f>
        <v>680400</v>
      </c>
      <c r="M958" s="4">
        <f>$E958+2</f>
        <v>116</v>
      </c>
      <c r="N958" s="8">
        <f>IF($J958=0,0,ROUND(MAX($J958*1.4*1.5,2190000*(1.580994^(MIN($E958,123)-117)))*1,0))</f>
        <v>1020600</v>
      </c>
      <c r="O958" s="6">
        <f>$E958+4</f>
        <v>118</v>
      </c>
      <c r="P958" s="7">
        <f>IF($J958=0,0,ROUND(MAX($J958*1.4*1.5*1.6,3500000*(1.57975^(MIN($E958,123)-117)))*1,0))</f>
        <v>1632960</v>
      </c>
      <c r="Q958" s="4">
        <f>$E958+6</f>
        <v>120</v>
      </c>
      <c r="R958" s="8">
        <f>IF($J958=0,0,ROUND(MAX($J958*1.4*1.5*1.6*1.6,13100000*(1.429962^(MIN($E958,123)-117)))*1,0))</f>
        <v>4480204</v>
      </c>
      <c r="S958" s="6">
        <f>$E958+8</f>
        <v>122</v>
      </c>
      <c r="T958" s="7">
        <f>IF($J958=0,0,ROUND(MAX($J958*1.4*1.5*1.6*1.6*2.2,42600000*(1.576904^(MIN($E958,123)-117)))*1,0))</f>
        <v>10864102</v>
      </c>
      <c r="U958" s="4">
        <f>$E958+11</f>
        <v>125</v>
      </c>
      <c r="V958" s="8">
        <f>IF($J958=0,0,ROUND(MAX($J958*1.4*1.5*1.6*1.6*2.2*2.715,354000000*(1.642074^(MIN($E958,123)-117)))*1,0))</f>
        <v>79951219</v>
      </c>
      <c r="W958" s="6">
        <f>$E958+15</f>
        <v>129</v>
      </c>
      <c r="X958" s="7">
        <f>IF($J958=0,0,ROUND(MAX($J958*1.4*1.5*1.6*1.6*2.2*2.715*2.6,3540000000*(1.579646^(MIN($E958,123)-117)))*1,0))</f>
        <v>898098448</v>
      </c>
      <c r="Y958" s="4">
        <f>$E958+17</f>
        <v>131</v>
      </c>
      <c r="Z958" s="8">
        <f>IF($J958=0,0,ROUND(MAX($J958*1.4*1.5*1.6*1.6*2.2*2.715*2.6*1.4,6020000000*(1.651178^(MIN($E958,123)-117)))*1,0))</f>
        <v>1337256787</v>
      </c>
      <c r="AA958" s="6">
        <f>$E958+19</f>
        <v>133</v>
      </c>
      <c r="AB958" s="7">
        <f>IF($J958=0,0,ROUND(MAX($J958*1.4*1.5*1.6*1.6*2.2*2.715*2.6*1.4*1.4,8430000000*(1.651435^(MIN($E958,123)-117)))*1,0))</f>
        <v>1871729653</v>
      </c>
      <c r="AC958" s="4">
        <f>$E958+21</f>
        <v>135</v>
      </c>
      <c r="AD958" s="8">
        <f>IF($J958=0,0,ROUND(MAX($J958*1.4*1.5*1.6*1.6*2.2*2.715*2.6*1.4*1.4*1.5,12600000000*(1.652953^(MIN($E958,123)-117)))*1,0))</f>
        <v>2789902525</v>
      </c>
      <c r="AE958" s="6">
        <f>$E958+24</f>
        <v>138</v>
      </c>
      <c r="AF958" s="7">
        <f>IF($J958=0,0,ROUND(MAX($J958*1.4*1.5*1.6*1.6*2.2*2.715*2.6*1.4*1.4*1.5*1.5,18900000000*(1.65331^(MIN($E958,123)-117)))*1,0))</f>
        <v>4182143461</v>
      </c>
      <c r="AG958" s="4">
        <f>$E958+27</f>
        <v>141</v>
      </c>
      <c r="AH958" s="8">
        <f>IF($J958=0,0,ROUND(MAX($J958*1.4*1.5*1.6*1.6*2.2*2.715*2.6*1.4*1.4*1.5*1.5*3.2,60500000000*(1.654288^(MIN($E958,123)-117)))*1,0))</f>
        <v>13363555336</v>
      </c>
    </row>
    <row r="959" ht="27.75" customHeight="1" spans="1:34" x14ac:dyDescent="0.25">
      <c r="A959" s="3">
        <v>969</v>
      </c>
      <c r="B959" s="3" t="s">
        <v>91</v>
      </c>
      <c r="C959" s="3" t="s">
        <v>768</v>
      </c>
      <c r="D959" s="3" t="s">
        <v>47</v>
      </c>
      <c r="E959" s="3">
        <v>114</v>
      </c>
      <c r="F959" s="3" t="s">
        <v>71</v>
      </c>
      <c r="G959" s="3" t="s">
        <v>769</v>
      </c>
      <c r="H959" s="3">
        <v>24</v>
      </c>
      <c r="I959" s="4">
        <v>114</v>
      </c>
      <c r="J959" s="5">
        <v>499000</v>
      </c>
      <c r="K959" s="6">
        <f>$E959+1</f>
        <v>115</v>
      </c>
      <c r="L959" s="7">
        <f>IF($J959=0,0,ROUND(MAX($J959*1.4,1620000*(1.497923^(MIN($E959,123)-117)))*1,0))</f>
        <v>698600</v>
      </c>
      <c r="M959" s="4">
        <f>$E959+2</f>
        <v>116</v>
      </c>
      <c r="N959" s="8">
        <f>IF($J959=0,0,ROUND(MAX($J959*1.4*1.5,2190000*(1.580994^(MIN($E959,123)-117)))*1,0))</f>
        <v>1047900</v>
      </c>
      <c r="O959" s="6">
        <f>$E959+4</f>
        <v>118</v>
      </c>
      <c r="P959" s="7">
        <f>IF($J959=0,0,ROUND(MAX($J959*1.4*1.5*1.6,3500000*(1.57975^(MIN($E959,123)-117)))*1,0))</f>
        <v>1676640</v>
      </c>
      <c r="Q959" s="4">
        <f>$E959+6</f>
        <v>120</v>
      </c>
      <c r="R959" s="8">
        <f>IF($J959=0,0,ROUND(MAX($J959*1.4*1.5*1.6*1.6,13100000*(1.429962^(MIN($E959,123)-117)))*1,0))</f>
        <v>4480204</v>
      </c>
      <c r="S959" s="6">
        <f>$E959+8</f>
        <v>122</v>
      </c>
      <c r="T959" s="7">
        <f>IF($J959=0,0,ROUND(MAX($J959*1.4*1.5*1.6*1.6*2.2,42600000*(1.576904^(MIN($E959,123)-117)))*1,0))</f>
        <v>10864102</v>
      </c>
      <c r="U959" s="4">
        <f>$E959+11</f>
        <v>125</v>
      </c>
      <c r="V959" s="8">
        <f>IF($J959=0,0,ROUND(MAX($J959*1.4*1.5*1.6*1.6*2.2*2.715,354000000*(1.642074^(MIN($E959,123)-117)))*1,0))</f>
        <v>79951219</v>
      </c>
      <c r="W959" s="6">
        <f>$E959+15</f>
        <v>129</v>
      </c>
      <c r="X959" s="7">
        <f>IF($J959=0,0,ROUND(MAX($J959*1.4*1.5*1.6*1.6*2.2*2.715*2.6,3540000000*(1.579646^(MIN($E959,123)-117)))*1,0))</f>
        <v>898098448</v>
      </c>
      <c r="Y959" s="4">
        <f>$E959+17</f>
        <v>131</v>
      </c>
      <c r="Z959" s="8">
        <f>IF($J959=0,0,ROUND(MAX($J959*1.4*1.5*1.6*1.6*2.2*2.715*2.6*1.4,6020000000*(1.651178^(MIN($E959,123)-117)))*1,0))</f>
        <v>1337256787</v>
      </c>
      <c r="AA959" s="6">
        <f>$E959+19</f>
        <v>133</v>
      </c>
      <c r="AB959" s="7">
        <f>IF($J959=0,0,ROUND(MAX($J959*1.4*1.5*1.6*1.6*2.2*2.715*2.6*1.4*1.4,8430000000*(1.651435^(MIN($E959,123)-117)))*1,0))</f>
        <v>1871729653</v>
      </c>
      <c r="AC959" s="4">
        <f>$E959+21</f>
        <v>135</v>
      </c>
      <c r="AD959" s="8">
        <f>IF($J959=0,0,ROUND(MAX($J959*1.4*1.5*1.6*1.6*2.2*2.715*2.6*1.4*1.4*1.5,12600000000*(1.652953^(MIN($E959,123)-117)))*1,0))</f>
        <v>2789902525</v>
      </c>
      <c r="AE959" s="6">
        <f>$E959+24</f>
        <v>138</v>
      </c>
      <c r="AF959" s="7">
        <f>IF($J959=0,0,ROUND(MAX($J959*1.4*1.5*1.6*1.6*2.2*2.715*2.6*1.4*1.4*1.5*1.5,18900000000*(1.65331^(MIN($E959,123)-117)))*1,0))</f>
        <v>4182143461</v>
      </c>
      <c r="AG959" s="4">
        <f>$E959+27</f>
        <v>141</v>
      </c>
      <c r="AH959" s="8">
        <f>IF($J959=0,0,ROUND(MAX($J959*1.4*1.5*1.6*1.6*2.2*2.715*2.6*1.4*1.4*1.5*1.5*3.2,60500000000*(1.654288^(MIN($E959,123)-117)))*1,0))</f>
        <v>13363555336</v>
      </c>
    </row>
    <row r="960" ht="27.75" customHeight="1" spans="1:34" x14ac:dyDescent="0.25">
      <c r="A960" s="3">
        <v>970</v>
      </c>
      <c r="B960" s="3" t="s">
        <v>540</v>
      </c>
      <c r="C960" s="3" t="s">
        <v>768</v>
      </c>
      <c r="D960" s="3" t="s">
        <v>79</v>
      </c>
      <c r="E960" s="3">
        <v>113</v>
      </c>
      <c r="F960" s="3" t="s">
        <v>412</v>
      </c>
      <c r="G960" s="3" t="s">
        <v>252</v>
      </c>
      <c r="H960" s="3">
        <v>28</v>
      </c>
      <c r="I960" s="4">
        <v>113</v>
      </c>
      <c r="J960" s="5">
        <v>152000</v>
      </c>
      <c r="K960" s="6">
        <f>$E960+1</f>
        <v>114</v>
      </c>
      <c r="L960" s="7">
        <f>IF($J960=0,0,ROUND(MAX($J960*1.4,1620000*(1.497923^(MIN($E960,123)-117)))*1,0))</f>
        <v>321779</v>
      </c>
      <c r="M960" s="4">
        <f>$E960+2</f>
        <v>115</v>
      </c>
      <c r="N960" s="8">
        <f>IF($J960=0,0,ROUND(MAX($J960*1.4*1.5,2190000*(1.580994^(MIN($E960,123)-117)))*1,0))</f>
        <v>350528</v>
      </c>
      <c r="O960" s="6">
        <f>$E960+4</f>
        <v>117</v>
      </c>
      <c r="P960" s="7">
        <f>IF($J960=0,0,ROUND(MAX($J960*1.4*1.5*1.6,3500000*(1.57975^(MIN($E960,123)-117)))*1,0))</f>
        <v>561972</v>
      </c>
      <c r="Q960" s="4">
        <f>$E960+6</f>
        <v>119</v>
      </c>
      <c r="R960" s="8">
        <f>IF($J960=0,0,ROUND(MAX($J960*1.4*1.5*1.6*1.6,13100000*(1.429962^(MIN($E960,123)-117)))*1,0))</f>
        <v>3133093</v>
      </c>
      <c r="S960" s="6">
        <f>$E960+8</f>
        <v>121</v>
      </c>
      <c r="T960" s="7">
        <f>IF($J960=0,0,ROUND(MAX($J960*1.4*1.5*1.6*1.6*2.2,42600000*(1.576904^(MIN($E960,123)-117)))*1,0))</f>
        <v>6889514</v>
      </c>
      <c r="U960" s="4">
        <f>$E960+11</f>
        <v>124</v>
      </c>
      <c r="V960" s="8">
        <f>IF($J960=0,0,ROUND(MAX($J960*1.4*1.5*1.6*1.6*2.2*2.715,354000000*(1.642074^(MIN($E960,123)-117)))*1,0))</f>
        <v>48689169</v>
      </c>
      <c r="W960" s="6">
        <f>$E960+15</f>
        <v>128</v>
      </c>
      <c r="X960" s="7">
        <f>IF($J960=0,0,ROUND(MAX($J960*1.4*1.5*1.6*1.6*2.2*2.715*2.6,3540000000*(1.579646^(MIN($E960,123)-117)))*1,0))</f>
        <v>568544122</v>
      </c>
      <c r="Y960" s="4">
        <f>$E960+17</f>
        <v>130</v>
      </c>
      <c r="Z960" s="8">
        <f>IF($J960=0,0,ROUND(MAX($J960*1.4*1.5*1.6*1.6*2.2*2.715*2.6*1.4,6020000000*(1.651178^(MIN($E960,123)-117)))*1,0))</f>
        <v>809880453</v>
      </c>
      <c r="AA960" s="6">
        <f>$E960+19</f>
        <v>132</v>
      </c>
      <c r="AB960" s="7">
        <f>IF($J960=0,0,ROUND(MAX($J960*1.4*1.5*1.6*1.6*2.2*2.715*2.6*1.4*1.4,8430000000*(1.651435^(MIN($E960,123)-117)))*1,0))</f>
        <v>1133395897</v>
      </c>
      <c r="AC960" s="4">
        <f>$E960+21</f>
        <v>134</v>
      </c>
      <c r="AD960" s="8">
        <f>IF($J960=0,0,ROUND(MAX($J960*1.4*1.5*1.6*1.6*2.2*2.715*2.6*1.4*1.4*1.5,12600000000*(1.652953^(MIN($E960,123)-117)))*1,0))</f>
        <v>1687829312</v>
      </c>
      <c r="AE960" s="6">
        <f>$E960+24</f>
        <v>137</v>
      </c>
      <c r="AF960" s="7">
        <f>IF($J960=0,0,ROUND(MAX($J960*1.4*1.5*1.6*1.6*2.2*2.715*2.6*1.4*1.4*1.5*1.5,18900000000*(1.65331^(MIN($E960,123)-117)))*1,0))</f>
        <v>2529557954</v>
      </c>
      <c r="AG960" s="4">
        <f>$E960+27</f>
        <v>140</v>
      </c>
      <c r="AH960" s="8">
        <f>IF($J960=0,0,ROUND(MAX($J960*1.4*1.5*1.6*1.6*2.2*2.715*2.6*1.4*1.4*1.5*1.5*3.2,60500000000*(1.654288^(MIN($E960,123)-117)))*1,0))</f>
        <v>8078131097</v>
      </c>
    </row>
    <row r="961" ht="27.75" customHeight="1" spans="1:34" x14ac:dyDescent="0.25">
      <c r="A961" s="3">
        <v>971</v>
      </c>
      <c r="B961" s="3" t="s">
        <v>693</v>
      </c>
      <c r="C961" s="3" t="s">
        <v>768</v>
      </c>
      <c r="D961" s="3" t="s">
        <v>33</v>
      </c>
      <c r="E961" s="3">
        <v>113</v>
      </c>
      <c r="F961" s="3" t="s">
        <v>54</v>
      </c>
      <c r="G961" s="3" t="s">
        <v>769</v>
      </c>
      <c r="H961" s="3">
        <v>28</v>
      </c>
      <c r="I961" s="4">
        <v>113</v>
      </c>
      <c r="J961" s="5">
        <v>584000</v>
      </c>
      <c r="K961" s="6">
        <f>$E961+1</f>
        <v>114</v>
      </c>
      <c r="L961" s="7">
        <f>IF($J961=0,0,ROUND(MAX($J961*1.4,1620000*(1.497923^(MIN($E961,123)-117)))*1,0))</f>
        <v>817600</v>
      </c>
      <c r="M961" s="4">
        <f>$E961+2</f>
        <v>115</v>
      </c>
      <c r="N961" s="8">
        <f>IF($J961=0,0,ROUND(MAX($J961*1.4*1.5,2190000*(1.580994^(MIN($E961,123)-117)))*1,0))</f>
        <v>1226400</v>
      </c>
      <c r="O961" s="6">
        <f>$E961+4</f>
        <v>117</v>
      </c>
      <c r="P961" s="7">
        <f>IF($J961=0,0,ROUND(MAX($J961*1.4*1.5*1.6,3500000*(1.57975^(MIN($E961,123)-117)))*1,0))</f>
        <v>1962240</v>
      </c>
      <c r="Q961" s="4">
        <f>$E961+6</f>
        <v>119</v>
      </c>
      <c r="R961" s="8">
        <f>IF($J961=0,0,ROUND(MAX($J961*1.4*1.5*1.6*1.6,13100000*(1.429962^(MIN($E961,123)-117)))*1,0))</f>
        <v>3139584</v>
      </c>
      <c r="S961" s="6">
        <f>$E961+8</f>
        <v>121</v>
      </c>
      <c r="T961" s="7">
        <f>IF($J961=0,0,ROUND(MAX($J961*1.4*1.5*1.6*1.6*2.2,42600000*(1.576904^(MIN($E961,123)-117)))*1,0))</f>
        <v>6907085</v>
      </c>
      <c r="U961" s="4">
        <f>$E961+11</f>
        <v>124</v>
      </c>
      <c r="V961" s="8">
        <f>IF($J961=0,0,ROUND(MAX($J961*1.4*1.5*1.6*1.6*2.2*2.715,354000000*(1.642074^(MIN($E961,123)-117)))*1,0))</f>
        <v>48689169</v>
      </c>
      <c r="W961" s="6">
        <f>$E961+15</f>
        <v>128</v>
      </c>
      <c r="X961" s="7">
        <f>IF($J961=0,0,ROUND(MAX($J961*1.4*1.5*1.6*1.6*2.2*2.715*2.6,3540000000*(1.579646^(MIN($E961,123)-117)))*1,0))</f>
        <v>568544122</v>
      </c>
      <c r="Y961" s="4">
        <f>$E961+17</f>
        <v>130</v>
      </c>
      <c r="Z961" s="8">
        <f>IF($J961=0,0,ROUND(MAX($J961*1.4*1.5*1.6*1.6*2.2*2.715*2.6*1.4,6020000000*(1.651178^(MIN($E961,123)-117)))*1,0))</f>
        <v>809880453</v>
      </c>
      <c r="AA961" s="6">
        <f>$E961+19</f>
        <v>132</v>
      </c>
      <c r="AB961" s="7">
        <f>IF($J961=0,0,ROUND(MAX($J961*1.4*1.5*1.6*1.6*2.2*2.715*2.6*1.4*1.4,8430000000*(1.651435^(MIN($E961,123)-117)))*1,0))</f>
        <v>1133395897</v>
      </c>
      <c r="AC961" s="4">
        <f>$E961+21</f>
        <v>134</v>
      </c>
      <c r="AD961" s="8">
        <f>IF($J961=0,0,ROUND(MAX($J961*1.4*1.5*1.6*1.6*2.2*2.715*2.6*1.4*1.4*1.5,12600000000*(1.652953^(MIN($E961,123)-117)))*1,0))</f>
        <v>1687829312</v>
      </c>
      <c r="AE961" s="6">
        <f>$E961+24</f>
        <v>137</v>
      </c>
      <c r="AF961" s="7">
        <f>IF($J961=0,0,ROUND(MAX($J961*1.4*1.5*1.6*1.6*2.2*2.715*2.6*1.4*1.4*1.5*1.5,18900000000*(1.65331^(MIN($E961,123)-117)))*1,0))</f>
        <v>2529557954</v>
      </c>
      <c r="AG961" s="4">
        <f>$E961+27</f>
        <v>140</v>
      </c>
      <c r="AH961" s="8">
        <f>IF($J961=0,0,ROUND(MAX($J961*1.4*1.5*1.6*1.6*2.2*2.715*2.6*1.4*1.4*1.5*1.5*3.2,60500000000*(1.654288^(MIN($E961,123)-117)))*1,0))</f>
        <v>8078131097</v>
      </c>
    </row>
    <row r="962" ht="27.75" customHeight="1" spans="1:34" x14ac:dyDescent="0.25">
      <c r="A962" s="3">
        <v>972</v>
      </c>
      <c r="B962" s="3" t="s">
        <v>776</v>
      </c>
      <c r="C962" s="3" t="s">
        <v>768</v>
      </c>
      <c r="D962" s="3" t="s">
        <v>40</v>
      </c>
      <c r="E962" s="3">
        <v>113</v>
      </c>
      <c r="F962" s="3" t="s">
        <v>54</v>
      </c>
      <c r="G962" s="3" t="s">
        <v>769</v>
      </c>
      <c r="H962" s="3">
        <v>28</v>
      </c>
      <c r="I962" s="4">
        <v>113</v>
      </c>
      <c r="J962" s="5">
        <v>144000</v>
      </c>
      <c r="K962" s="6">
        <f>$E962+1</f>
        <v>114</v>
      </c>
      <c r="L962" s="7">
        <f>IF($J962=0,0,ROUND(MAX($J962*1.4,1620000*(1.497923^(MIN($E962,123)-117)))*1,0))</f>
        <v>321779</v>
      </c>
      <c r="M962" s="4">
        <f>$E962+2</f>
        <v>115</v>
      </c>
      <c r="N962" s="8">
        <f>IF($J962=0,0,ROUND(MAX($J962*1.4*1.5,2190000*(1.580994^(MIN($E962,123)-117)))*1,0))</f>
        <v>350528</v>
      </c>
      <c r="O962" s="6">
        <f>$E962+4</f>
        <v>117</v>
      </c>
      <c r="P962" s="7">
        <f>IF($J962=0,0,ROUND(MAX($J962*1.4*1.5*1.6,3500000*(1.57975^(MIN($E962,123)-117)))*1,0))</f>
        <v>561972</v>
      </c>
      <c r="Q962" s="4">
        <f>$E962+6</f>
        <v>119</v>
      </c>
      <c r="R962" s="8">
        <f>IF($J962=0,0,ROUND(MAX($J962*1.4*1.5*1.6*1.6,13100000*(1.429962^(MIN($E962,123)-117)))*1,0))</f>
        <v>3133093</v>
      </c>
      <c r="S962" s="6">
        <f>$E962+8</f>
        <v>121</v>
      </c>
      <c r="T962" s="7">
        <f>IF($J962=0,0,ROUND(MAX($J962*1.4*1.5*1.6*1.6*2.2,42600000*(1.576904^(MIN($E962,123)-117)))*1,0))</f>
        <v>6889514</v>
      </c>
      <c r="U962" s="4">
        <f>$E962+11</f>
        <v>124</v>
      </c>
      <c r="V962" s="8">
        <f>IF($J962=0,0,ROUND(MAX($J962*1.4*1.5*1.6*1.6*2.2*2.715,354000000*(1.642074^(MIN($E962,123)-117)))*1,0))</f>
        <v>48689169</v>
      </c>
      <c r="W962" s="6">
        <f>$E962+15</f>
        <v>128</v>
      </c>
      <c r="X962" s="7">
        <f>IF($J962=0,0,ROUND(MAX($J962*1.4*1.5*1.6*1.6*2.2*2.715*2.6,3540000000*(1.579646^(MIN($E962,123)-117)))*1,0))</f>
        <v>568544122</v>
      </c>
      <c r="Y962" s="4">
        <f>$E962+17</f>
        <v>130</v>
      </c>
      <c r="Z962" s="8">
        <f>IF($J962=0,0,ROUND(MAX($J962*1.4*1.5*1.6*1.6*2.2*2.715*2.6*1.4,6020000000*(1.651178^(MIN($E962,123)-117)))*1,0))</f>
        <v>809880453</v>
      </c>
      <c r="AA962" s="6">
        <f>$E962+19</f>
        <v>132</v>
      </c>
      <c r="AB962" s="7">
        <f>IF($J962=0,0,ROUND(MAX($J962*1.4*1.5*1.6*1.6*2.2*2.715*2.6*1.4*1.4,8430000000*(1.651435^(MIN($E962,123)-117)))*1,0))</f>
        <v>1133395897</v>
      </c>
      <c r="AC962" s="4">
        <f>$E962+21</f>
        <v>134</v>
      </c>
      <c r="AD962" s="8">
        <f>IF($J962=0,0,ROUND(MAX($J962*1.4*1.5*1.6*1.6*2.2*2.715*2.6*1.4*1.4*1.5,12600000000*(1.652953^(MIN($E962,123)-117)))*1,0))</f>
        <v>1687829312</v>
      </c>
      <c r="AE962" s="6">
        <f>$E962+24</f>
        <v>137</v>
      </c>
      <c r="AF962" s="7">
        <f>IF($J962=0,0,ROUND(MAX($J962*1.4*1.5*1.6*1.6*2.2*2.715*2.6*1.4*1.4*1.5*1.5,18900000000*(1.65331^(MIN($E962,123)-117)))*1,0))</f>
        <v>2529557954</v>
      </c>
      <c r="AG962" s="4">
        <f>$E962+27</f>
        <v>140</v>
      </c>
      <c r="AH962" s="8">
        <f>IF($J962=0,0,ROUND(MAX($J962*1.4*1.5*1.6*1.6*2.2*2.715*2.6*1.4*1.4*1.5*1.5*3.2,60500000000*(1.654288^(MIN($E962,123)-117)))*1,0))</f>
        <v>8078131097</v>
      </c>
    </row>
    <row r="963" ht="27.75" customHeight="1" spans="1:34" x14ac:dyDescent="0.25">
      <c r="A963" s="3">
        <v>973</v>
      </c>
      <c r="B963" s="3" t="s">
        <v>163</v>
      </c>
      <c r="C963" s="3" t="s">
        <v>768</v>
      </c>
      <c r="D963" s="3" t="s">
        <v>40</v>
      </c>
      <c r="E963" s="3">
        <v>113</v>
      </c>
      <c r="F963" s="3" t="s">
        <v>71</v>
      </c>
      <c r="G963" s="3" t="s">
        <v>769</v>
      </c>
      <c r="H963" s="3">
        <v>28</v>
      </c>
      <c r="I963" s="4">
        <v>113</v>
      </c>
      <c r="J963" s="5">
        <v>190000</v>
      </c>
      <c r="K963" s="6">
        <f>$E963+1</f>
        <v>114</v>
      </c>
      <c r="L963" s="7">
        <f>IF($J963=0,0,ROUND(MAX($J963*1.4,1620000*(1.497923^(MIN($E963,123)-117)))*1,0))</f>
        <v>321779</v>
      </c>
      <c r="M963" s="4">
        <f>$E963+2</f>
        <v>115</v>
      </c>
      <c r="N963" s="8">
        <f>IF($J963=0,0,ROUND(MAX($J963*1.4*1.5,2190000*(1.580994^(MIN($E963,123)-117)))*1,0))</f>
        <v>399000</v>
      </c>
      <c r="O963" s="6">
        <f>$E963+4</f>
        <v>117</v>
      </c>
      <c r="P963" s="7">
        <f>IF($J963=0,0,ROUND(MAX($J963*1.4*1.5*1.6,3500000*(1.57975^(MIN($E963,123)-117)))*1,0))</f>
        <v>638400</v>
      </c>
      <c r="Q963" s="4">
        <f>$E963+6</f>
        <v>119</v>
      </c>
      <c r="R963" s="8">
        <f>IF($J963=0,0,ROUND(MAX($J963*1.4*1.5*1.6*1.6,13100000*(1.429962^(MIN($E963,123)-117)))*1,0))</f>
        <v>3133093</v>
      </c>
      <c r="S963" s="6">
        <f>$E963+8</f>
        <v>121</v>
      </c>
      <c r="T963" s="7">
        <f>IF($J963=0,0,ROUND(MAX($J963*1.4*1.5*1.6*1.6*2.2,42600000*(1.576904^(MIN($E963,123)-117)))*1,0))</f>
        <v>6889514</v>
      </c>
      <c r="U963" s="4">
        <f>$E963+11</f>
        <v>124</v>
      </c>
      <c r="V963" s="8">
        <f>IF($J963=0,0,ROUND(MAX($J963*1.4*1.5*1.6*1.6*2.2*2.715,354000000*(1.642074^(MIN($E963,123)-117)))*1,0))</f>
        <v>48689169</v>
      </c>
      <c r="W963" s="6">
        <f>$E963+15</f>
        <v>128</v>
      </c>
      <c r="X963" s="7">
        <f>IF($J963=0,0,ROUND(MAX($J963*1.4*1.5*1.6*1.6*2.2*2.715*2.6,3540000000*(1.579646^(MIN($E963,123)-117)))*1,0))</f>
        <v>568544122</v>
      </c>
      <c r="Y963" s="4">
        <f>$E963+17</f>
        <v>130</v>
      </c>
      <c r="Z963" s="8">
        <f>IF($J963=0,0,ROUND(MAX($J963*1.4*1.5*1.6*1.6*2.2*2.715*2.6*1.4,6020000000*(1.651178^(MIN($E963,123)-117)))*1,0))</f>
        <v>809880453</v>
      </c>
      <c r="AA963" s="6">
        <f>$E963+19</f>
        <v>132</v>
      </c>
      <c r="AB963" s="7">
        <f>IF($J963=0,0,ROUND(MAX($J963*1.4*1.5*1.6*1.6*2.2*2.715*2.6*1.4*1.4,8430000000*(1.651435^(MIN($E963,123)-117)))*1,0))</f>
        <v>1133395897</v>
      </c>
      <c r="AC963" s="4">
        <f>$E963+21</f>
        <v>134</v>
      </c>
      <c r="AD963" s="8">
        <f>IF($J963=0,0,ROUND(MAX($J963*1.4*1.5*1.6*1.6*2.2*2.715*2.6*1.4*1.4*1.5,12600000000*(1.652953^(MIN($E963,123)-117)))*1,0))</f>
        <v>1687829312</v>
      </c>
      <c r="AE963" s="6">
        <f>$E963+24</f>
        <v>137</v>
      </c>
      <c r="AF963" s="7">
        <f>IF($J963=0,0,ROUND(MAX($J963*1.4*1.5*1.6*1.6*2.2*2.715*2.6*1.4*1.4*1.5*1.5,18900000000*(1.65331^(MIN($E963,123)-117)))*1,0))</f>
        <v>2529557954</v>
      </c>
      <c r="AG963" s="4">
        <f>$E963+27</f>
        <v>140</v>
      </c>
      <c r="AH963" s="8">
        <f>IF($J963=0,0,ROUND(MAX($J963*1.4*1.5*1.6*1.6*2.2*2.715*2.6*1.4*1.4*1.5*1.5*3.2,60500000000*(1.654288^(MIN($E963,123)-117)))*1,0))</f>
        <v>8078131097</v>
      </c>
    </row>
    <row r="964" ht="27.75" customHeight="1" spans="1:34" x14ac:dyDescent="0.25">
      <c r="A964" s="3">
        <v>974</v>
      </c>
      <c r="B964" s="3" t="s">
        <v>777</v>
      </c>
      <c r="C964" s="3" t="s">
        <v>768</v>
      </c>
      <c r="D964" s="3" t="s">
        <v>64</v>
      </c>
      <c r="E964" s="3">
        <v>113</v>
      </c>
      <c r="F964" s="3" t="s">
        <v>71</v>
      </c>
      <c r="G964" s="3" t="s">
        <v>124</v>
      </c>
      <c r="H964" s="3">
        <v>27</v>
      </c>
      <c r="I964" s="4">
        <v>113</v>
      </c>
      <c r="J964" s="5">
        <v>149000</v>
      </c>
      <c r="K964" s="6">
        <f>$E964+1</f>
        <v>114</v>
      </c>
      <c r="L964" s="7">
        <f>IF($J964=0,0,ROUND(MAX($J964*1.4,1620000*(1.497923^(MIN($E964,123)-117)))*1,0))</f>
        <v>321779</v>
      </c>
      <c r="M964" s="4">
        <f>$E964+2</f>
        <v>115</v>
      </c>
      <c r="N964" s="8">
        <f>IF($J964=0,0,ROUND(MAX($J964*1.4*1.5,2190000*(1.580994^(MIN($E964,123)-117)))*1,0))</f>
        <v>350528</v>
      </c>
      <c r="O964" s="6">
        <f>$E964+4</f>
        <v>117</v>
      </c>
      <c r="P964" s="7">
        <f>IF($J964=0,0,ROUND(MAX($J964*1.4*1.5*1.6,3500000*(1.57975^(MIN($E964,123)-117)))*1,0))</f>
        <v>561972</v>
      </c>
      <c r="Q964" s="4">
        <f>$E964+6</f>
        <v>119</v>
      </c>
      <c r="R964" s="8">
        <f>IF($J964=0,0,ROUND(MAX($J964*1.4*1.5*1.6*1.6,13100000*(1.429962^(MIN($E964,123)-117)))*1,0))</f>
        <v>3133093</v>
      </c>
      <c r="S964" s="6">
        <f>$E964+8</f>
        <v>121</v>
      </c>
      <c r="T964" s="7">
        <f>IF($J964=0,0,ROUND(MAX($J964*1.4*1.5*1.6*1.6*2.2,42600000*(1.576904^(MIN($E964,123)-117)))*1,0))</f>
        <v>6889514</v>
      </c>
      <c r="U964" s="4">
        <f>$E964+11</f>
        <v>124</v>
      </c>
      <c r="V964" s="8">
        <f>IF($J964=0,0,ROUND(MAX($J964*1.4*1.5*1.6*1.6*2.2*2.715,354000000*(1.642074^(MIN($E964,123)-117)))*1,0))</f>
        <v>48689169</v>
      </c>
      <c r="W964" s="6">
        <f>$E964+15</f>
        <v>128</v>
      </c>
      <c r="X964" s="7">
        <f>IF($J964=0,0,ROUND(MAX($J964*1.4*1.5*1.6*1.6*2.2*2.715*2.6,3540000000*(1.579646^(MIN($E964,123)-117)))*1,0))</f>
        <v>568544122</v>
      </c>
      <c r="Y964" s="4">
        <f>$E964+17</f>
        <v>130</v>
      </c>
      <c r="Z964" s="8">
        <f>IF($J964=0,0,ROUND(MAX($J964*1.4*1.5*1.6*1.6*2.2*2.715*2.6*1.4,6020000000*(1.651178^(MIN($E964,123)-117)))*1,0))</f>
        <v>809880453</v>
      </c>
      <c r="AA964" s="6">
        <f>$E964+19</f>
        <v>132</v>
      </c>
      <c r="AB964" s="7">
        <f>IF($J964=0,0,ROUND(MAX($J964*1.4*1.5*1.6*1.6*2.2*2.715*2.6*1.4*1.4,8430000000*(1.651435^(MIN($E964,123)-117)))*1,0))</f>
        <v>1133395897</v>
      </c>
      <c r="AC964" s="4">
        <f>$E964+21</f>
        <v>134</v>
      </c>
      <c r="AD964" s="8">
        <f>IF($J964=0,0,ROUND(MAX($J964*1.4*1.5*1.6*1.6*2.2*2.715*2.6*1.4*1.4*1.5,12600000000*(1.652953^(MIN($E964,123)-117)))*1,0))</f>
        <v>1687829312</v>
      </c>
      <c r="AE964" s="6">
        <f>$E964+24</f>
        <v>137</v>
      </c>
      <c r="AF964" s="7">
        <f>IF($J964=0,0,ROUND(MAX($J964*1.4*1.5*1.6*1.6*2.2*2.715*2.6*1.4*1.4*1.5*1.5,18900000000*(1.65331^(MIN($E964,123)-117)))*1,0))</f>
        <v>2529557954</v>
      </c>
      <c r="AG964" s="4">
        <f>$E964+27</f>
        <v>140</v>
      </c>
      <c r="AH964" s="8">
        <f>IF($J964=0,0,ROUND(MAX($J964*1.4*1.5*1.6*1.6*2.2*2.715*2.6*1.4*1.4*1.5*1.5*3.2,60500000000*(1.654288^(MIN($E964,123)-117)))*1,0))</f>
        <v>8078131097</v>
      </c>
    </row>
    <row r="965" ht="27.75" customHeight="1" spans="1:34" x14ac:dyDescent="0.25">
      <c r="A965" s="3">
        <v>975</v>
      </c>
      <c r="B965" s="3" t="s">
        <v>585</v>
      </c>
      <c r="C965" s="3" t="s">
        <v>768</v>
      </c>
      <c r="D965" s="3" t="s">
        <v>79</v>
      </c>
      <c r="E965" s="3">
        <v>113</v>
      </c>
      <c r="F965" s="3" t="s">
        <v>56</v>
      </c>
      <c r="G965" s="3" t="s">
        <v>586</v>
      </c>
      <c r="H965" s="3">
        <v>27</v>
      </c>
      <c r="I965" s="4">
        <v>113</v>
      </c>
      <c r="J965" s="5">
        <v>97200</v>
      </c>
      <c r="K965" s="6">
        <f>$E965+1</f>
        <v>114</v>
      </c>
      <c r="L965" s="7">
        <f>IF($J965=0,0,ROUND(MAX($J965*1.4,1620000*(1.497923^(MIN($E965,123)-117)))*1,0))</f>
        <v>321779</v>
      </c>
      <c r="M965" s="4">
        <f>$E965+2</f>
        <v>115</v>
      </c>
      <c r="N965" s="8">
        <f>IF($J965=0,0,ROUND(MAX($J965*1.4*1.5,2190000*(1.580994^(MIN($E965,123)-117)))*1,0))</f>
        <v>350528</v>
      </c>
      <c r="O965" s="6">
        <f>$E965+4</f>
        <v>117</v>
      </c>
      <c r="P965" s="7">
        <f>IF($J965=0,0,ROUND(MAX($J965*1.4*1.5*1.6,3500000*(1.57975^(MIN($E965,123)-117)))*1,0))</f>
        <v>561972</v>
      </c>
      <c r="Q965" s="4">
        <f>$E965+6</f>
        <v>119</v>
      </c>
      <c r="R965" s="8">
        <f>IF($J965=0,0,ROUND(MAX($J965*1.4*1.5*1.6*1.6,13100000*(1.429962^(MIN($E965,123)-117)))*1,0))</f>
        <v>3133093</v>
      </c>
      <c r="S965" s="6">
        <f>$E965+8</f>
        <v>121</v>
      </c>
      <c r="T965" s="7">
        <f>IF($J965=0,0,ROUND(MAX($J965*1.4*1.5*1.6*1.6*2.2,42600000*(1.576904^(MIN($E965,123)-117)))*1,0))</f>
        <v>6889514</v>
      </c>
      <c r="U965" s="4">
        <f>$E965+11</f>
        <v>124</v>
      </c>
      <c r="V965" s="8">
        <f>IF($J965=0,0,ROUND(MAX($J965*1.4*1.5*1.6*1.6*2.2*2.715,354000000*(1.642074^(MIN($E965,123)-117)))*1,0))</f>
        <v>48689169</v>
      </c>
      <c r="W965" s="6">
        <f>$E965+15</f>
        <v>128</v>
      </c>
      <c r="X965" s="7">
        <f>IF($J965=0,0,ROUND(MAX($J965*1.4*1.5*1.6*1.6*2.2*2.715*2.6,3540000000*(1.579646^(MIN($E965,123)-117)))*1,0))</f>
        <v>568544122</v>
      </c>
      <c r="Y965" s="4">
        <f>$E965+17</f>
        <v>130</v>
      </c>
      <c r="Z965" s="8">
        <f>IF($J965=0,0,ROUND(MAX($J965*1.4*1.5*1.6*1.6*2.2*2.715*2.6*1.4,6020000000*(1.651178^(MIN($E965,123)-117)))*1,0))</f>
        <v>809880453</v>
      </c>
      <c r="AA965" s="6">
        <f>$E965+19</f>
        <v>132</v>
      </c>
      <c r="AB965" s="7">
        <f>IF($J965=0,0,ROUND(MAX($J965*1.4*1.5*1.6*1.6*2.2*2.715*2.6*1.4*1.4,8430000000*(1.651435^(MIN($E965,123)-117)))*1,0))</f>
        <v>1133395897</v>
      </c>
      <c r="AC965" s="4">
        <f>$E965+21</f>
        <v>134</v>
      </c>
      <c r="AD965" s="8">
        <f>IF($J965=0,0,ROUND(MAX($J965*1.4*1.5*1.6*1.6*2.2*2.715*2.6*1.4*1.4*1.5,12600000000*(1.652953^(MIN($E965,123)-117)))*1,0))</f>
        <v>1687829312</v>
      </c>
      <c r="AE965" s="6">
        <f>$E965+24</f>
        <v>137</v>
      </c>
      <c r="AF965" s="7">
        <f>IF($J965=0,0,ROUND(MAX($J965*1.4*1.5*1.6*1.6*2.2*2.715*2.6*1.4*1.4*1.5*1.5,18900000000*(1.65331^(MIN($E965,123)-117)))*1,0))</f>
        <v>2529557954</v>
      </c>
      <c r="AG965" s="4">
        <f>$E965+27</f>
        <v>140</v>
      </c>
      <c r="AH965" s="8">
        <f>IF($J965=0,0,ROUND(MAX($J965*1.4*1.5*1.6*1.6*2.2*2.715*2.6*1.4*1.4*1.5*1.5*3.2,60500000000*(1.654288^(MIN($E965,123)-117)))*1,0))</f>
        <v>8078131097</v>
      </c>
    </row>
    <row r="966" ht="27.75" customHeight="1" spans="1:34" x14ac:dyDescent="0.25">
      <c r="A966" s="3">
        <v>976</v>
      </c>
      <c r="B966" s="3" t="s">
        <v>600</v>
      </c>
      <c r="C966" s="3" t="s">
        <v>768</v>
      </c>
      <c r="D966" s="3" t="s">
        <v>102</v>
      </c>
      <c r="E966" s="3">
        <v>113</v>
      </c>
      <c r="F966" s="3" t="s">
        <v>56</v>
      </c>
      <c r="G966" s="3" t="s">
        <v>185</v>
      </c>
      <c r="H966" s="3">
        <v>27</v>
      </c>
      <c r="I966" s="4">
        <v>113</v>
      </c>
      <c r="J966" s="5">
        <v>172000</v>
      </c>
      <c r="K966" s="6">
        <f>$E966+1</f>
        <v>114</v>
      </c>
      <c r="L966" s="7">
        <f>IF($J966=0,0,ROUND(MAX($J966*1.4,1620000*(1.497923^(MIN($E966,123)-117)))*1,0))</f>
        <v>321779</v>
      </c>
      <c r="M966" s="4">
        <f>$E966+2</f>
        <v>115</v>
      </c>
      <c r="N966" s="8">
        <f>IF($J966=0,0,ROUND(MAX($J966*1.4*1.5,2190000*(1.580994^(MIN($E966,123)-117)))*1,0))</f>
        <v>361200</v>
      </c>
      <c r="O966" s="6">
        <f>$E966+4</f>
        <v>117</v>
      </c>
      <c r="P966" s="7">
        <f>IF($J966=0,0,ROUND(MAX($J966*1.4*1.5*1.6,3500000*(1.57975^(MIN($E966,123)-117)))*1,0))</f>
        <v>577920</v>
      </c>
      <c r="Q966" s="4">
        <f>$E966+6</f>
        <v>119</v>
      </c>
      <c r="R966" s="8">
        <f>IF($J966=0,0,ROUND(MAX($J966*1.4*1.5*1.6*1.6,13100000*(1.429962^(MIN($E966,123)-117)))*1,0))</f>
        <v>3133093</v>
      </c>
      <c r="S966" s="6">
        <f>$E966+8</f>
        <v>121</v>
      </c>
      <c r="T966" s="7">
        <f>IF($J966=0,0,ROUND(MAX($J966*1.4*1.5*1.6*1.6*2.2,42600000*(1.576904^(MIN($E966,123)-117)))*1,0))</f>
        <v>6889514</v>
      </c>
      <c r="U966" s="4">
        <f>$E966+11</f>
        <v>124</v>
      </c>
      <c r="V966" s="8">
        <f>IF($J966=0,0,ROUND(MAX($J966*1.4*1.5*1.6*1.6*2.2*2.715,354000000*(1.642074^(MIN($E966,123)-117)))*1,0))</f>
        <v>48689169</v>
      </c>
      <c r="W966" s="6">
        <f>$E966+15</f>
        <v>128</v>
      </c>
      <c r="X966" s="7">
        <f>IF($J966=0,0,ROUND(MAX($J966*1.4*1.5*1.6*1.6*2.2*2.715*2.6,3540000000*(1.579646^(MIN($E966,123)-117)))*1,0))</f>
        <v>568544122</v>
      </c>
      <c r="Y966" s="4">
        <f>$E966+17</f>
        <v>130</v>
      </c>
      <c r="Z966" s="8">
        <f>IF($J966=0,0,ROUND(MAX($J966*1.4*1.5*1.6*1.6*2.2*2.715*2.6*1.4,6020000000*(1.651178^(MIN($E966,123)-117)))*1,0))</f>
        <v>809880453</v>
      </c>
      <c r="AA966" s="6">
        <f>$E966+19</f>
        <v>132</v>
      </c>
      <c r="AB966" s="7">
        <f>IF($J966=0,0,ROUND(MAX($J966*1.4*1.5*1.6*1.6*2.2*2.715*2.6*1.4*1.4,8430000000*(1.651435^(MIN($E966,123)-117)))*1,0))</f>
        <v>1133395897</v>
      </c>
      <c r="AC966" s="4">
        <f>$E966+21</f>
        <v>134</v>
      </c>
      <c r="AD966" s="8">
        <f>IF($J966=0,0,ROUND(MAX($J966*1.4*1.5*1.6*1.6*2.2*2.715*2.6*1.4*1.4*1.5,12600000000*(1.652953^(MIN($E966,123)-117)))*1,0))</f>
        <v>1687829312</v>
      </c>
      <c r="AE966" s="6">
        <f>$E966+24</f>
        <v>137</v>
      </c>
      <c r="AF966" s="7">
        <f>IF($J966=0,0,ROUND(MAX($J966*1.4*1.5*1.6*1.6*2.2*2.715*2.6*1.4*1.4*1.5*1.5,18900000000*(1.65331^(MIN($E966,123)-117)))*1,0))</f>
        <v>2529557954</v>
      </c>
      <c r="AG966" s="4">
        <f>$E966+27</f>
        <v>140</v>
      </c>
      <c r="AH966" s="8">
        <f>IF($J966=0,0,ROUND(MAX($J966*1.4*1.5*1.6*1.6*2.2*2.715*2.6*1.4*1.4*1.5*1.5*3.2,60500000000*(1.654288^(MIN($E966,123)-117)))*1,0))</f>
        <v>8078131097</v>
      </c>
    </row>
    <row r="967" ht="27.75" customHeight="1" spans="1:34" x14ac:dyDescent="0.25">
      <c r="A967" s="3">
        <v>977</v>
      </c>
      <c r="B967" s="3" t="s">
        <v>607</v>
      </c>
      <c r="C967" s="3" t="s">
        <v>768</v>
      </c>
      <c r="D967" s="3" t="s">
        <v>33</v>
      </c>
      <c r="E967" s="3">
        <v>113</v>
      </c>
      <c r="F967" s="3" t="s">
        <v>71</v>
      </c>
      <c r="G967" s="3" t="s">
        <v>358</v>
      </c>
      <c r="H967" s="3">
        <v>27</v>
      </c>
      <c r="I967" s="4">
        <v>113</v>
      </c>
      <c r="J967" s="5">
        <v>138000</v>
      </c>
      <c r="K967" s="6">
        <f>$E967+1</f>
        <v>114</v>
      </c>
      <c r="L967" s="7">
        <f>IF($J967=0,0,ROUND(MAX($J967*1.4,1620000*(1.497923^(MIN($E967,123)-117)))*1,0))</f>
        <v>321779</v>
      </c>
      <c r="M967" s="4">
        <f>$E967+2</f>
        <v>115</v>
      </c>
      <c r="N967" s="8">
        <f>IF($J967=0,0,ROUND(MAX($J967*1.4*1.5,2190000*(1.580994^(MIN($E967,123)-117)))*1,0))</f>
        <v>350528</v>
      </c>
      <c r="O967" s="6">
        <f>$E967+4</f>
        <v>117</v>
      </c>
      <c r="P967" s="7">
        <f>IF($J967=0,0,ROUND(MAX($J967*1.4*1.5*1.6,3500000*(1.57975^(MIN($E967,123)-117)))*1,0))</f>
        <v>561972</v>
      </c>
      <c r="Q967" s="4">
        <f>$E967+6</f>
        <v>119</v>
      </c>
      <c r="R967" s="8">
        <f>IF($J967=0,0,ROUND(MAX($J967*1.4*1.5*1.6*1.6,13100000*(1.429962^(MIN($E967,123)-117)))*1,0))</f>
        <v>3133093</v>
      </c>
      <c r="S967" s="6">
        <f>$E967+8</f>
        <v>121</v>
      </c>
      <c r="T967" s="7">
        <f>IF($J967=0,0,ROUND(MAX($J967*1.4*1.5*1.6*1.6*2.2,42600000*(1.576904^(MIN($E967,123)-117)))*1,0))</f>
        <v>6889514</v>
      </c>
      <c r="U967" s="4">
        <f>$E967+11</f>
        <v>124</v>
      </c>
      <c r="V967" s="8">
        <f>IF($J967=0,0,ROUND(MAX($J967*1.4*1.5*1.6*1.6*2.2*2.715,354000000*(1.642074^(MIN($E967,123)-117)))*1,0))</f>
        <v>48689169</v>
      </c>
      <c r="W967" s="6">
        <f>$E967+15</f>
        <v>128</v>
      </c>
      <c r="X967" s="7">
        <f>IF($J967=0,0,ROUND(MAX($J967*1.4*1.5*1.6*1.6*2.2*2.715*2.6,3540000000*(1.579646^(MIN($E967,123)-117)))*1,0))</f>
        <v>568544122</v>
      </c>
      <c r="Y967" s="4">
        <f>$E967+17</f>
        <v>130</v>
      </c>
      <c r="Z967" s="8">
        <f>IF($J967=0,0,ROUND(MAX($J967*1.4*1.5*1.6*1.6*2.2*2.715*2.6*1.4,6020000000*(1.651178^(MIN($E967,123)-117)))*1,0))</f>
        <v>809880453</v>
      </c>
      <c r="AA967" s="6">
        <f>$E967+19</f>
        <v>132</v>
      </c>
      <c r="AB967" s="7">
        <f>IF($J967=0,0,ROUND(MAX($J967*1.4*1.5*1.6*1.6*2.2*2.715*2.6*1.4*1.4,8430000000*(1.651435^(MIN($E967,123)-117)))*1,0))</f>
        <v>1133395897</v>
      </c>
      <c r="AC967" s="4">
        <f>$E967+21</f>
        <v>134</v>
      </c>
      <c r="AD967" s="8">
        <f>IF($J967=0,0,ROUND(MAX($J967*1.4*1.5*1.6*1.6*2.2*2.715*2.6*1.4*1.4*1.5,12600000000*(1.652953^(MIN($E967,123)-117)))*1,0))</f>
        <v>1687829312</v>
      </c>
      <c r="AE967" s="6">
        <f>$E967+24</f>
        <v>137</v>
      </c>
      <c r="AF967" s="7">
        <f>IF($J967=0,0,ROUND(MAX($J967*1.4*1.5*1.6*1.6*2.2*2.715*2.6*1.4*1.4*1.5*1.5,18900000000*(1.65331^(MIN($E967,123)-117)))*1,0))</f>
        <v>2529557954</v>
      </c>
      <c r="AG967" s="4">
        <f>$E967+27</f>
        <v>140</v>
      </c>
      <c r="AH967" s="8">
        <f>IF($J967=0,0,ROUND(MAX($J967*1.4*1.5*1.6*1.6*2.2*2.715*2.6*1.4*1.4*1.5*1.5*3.2,60500000000*(1.654288^(MIN($E967,123)-117)))*1,0))</f>
        <v>8078131097</v>
      </c>
    </row>
    <row r="968" ht="27.75" customHeight="1" spans="1:34" x14ac:dyDescent="0.25">
      <c r="A968" s="3">
        <v>978</v>
      </c>
      <c r="B968" s="3" t="s">
        <v>778</v>
      </c>
      <c r="C968" s="3" t="s">
        <v>768</v>
      </c>
      <c r="D968" s="3" t="s">
        <v>25</v>
      </c>
      <c r="E968" s="3">
        <v>113</v>
      </c>
      <c r="F968" s="3" t="s">
        <v>71</v>
      </c>
      <c r="G968" s="3" t="s">
        <v>329</v>
      </c>
      <c r="H968" s="3">
        <v>27</v>
      </c>
      <c r="I968" s="4">
        <v>113</v>
      </c>
      <c r="J968" s="5">
        <v>123000</v>
      </c>
      <c r="K968" s="6">
        <f>$E968+1</f>
        <v>114</v>
      </c>
      <c r="L968" s="7">
        <f>IF($J968=0,0,ROUND(MAX($J968*1.4,1620000*(1.497923^(MIN($E968,123)-117)))*1,0))</f>
        <v>321779</v>
      </c>
      <c r="M968" s="4">
        <f>$E968+2</f>
        <v>115</v>
      </c>
      <c r="N968" s="8">
        <f>IF($J968=0,0,ROUND(MAX($J968*1.4*1.5,2190000*(1.580994^(MIN($E968,123)-117)))*1,0))</f>
        <v>350528</v>
      </c>
      <c r="O968" s="6">
        <f>$E968+4</f>
        <v>117</v>
      </c>
      <c r="P968" s="7">
        <f>IF($J968=0,0,ROUND(MAX($J968*1.4*1.5*1.6,3500000*(1.57975^(MIN($E968,123)-117)))*1,0))</f>
        <v>561972</v>
      </c>
      <c r="Q968" s="4">
        <f>$E968+6</f>
        <v>119</v>
      </c>
      <c r="R968" s="8">
        <f>IF($J968=0,0,ROUND(MAX($J968*1.4*1.5*1.6*1.6,13100000*(1.429962^(MIN($E968,123)-117)))*1,0))</f>
        <v>3133093</v>
      </c>
      <c r="S968" s="6">
        <f>$E968+8</f>
        <v>121</v>
      </c>
      <c r="T968" s="7">
        <f>IF($J968=0,0,ROUND(MAX($J968*1.4*1.5*1.6*1.6*2.2,42600000*(1.576904^(MIN($E968,123)-117)))*1,0))</f>
        <v>6889514</v>
      </c>
      <c r="U968" s="4">
        <f>$E968+11</f>
        <v>124</v>
      </c>
      <c r="V968" s="8">
        <f>IF($J968=0,0,ROUND(MAX($J968*1.4*1.5*1.6*1.6*2.2*2.715,354000000*(1.642074^(MIN($E968,123)-117)))*1,0))</f>
        <v>48689169</v>
      </c>
      <c r="W968" s="6">
        <f>$E968+15</f>
        <v>128</v>
      </c>
      <c r="X968" s="7">
        <f>IF($J968=0,0,ROUND(MAX($J968*1.4*1.5*1.6*1.6*2.2*2.715*2.6,3540000000*(1.579646^(MIN($E968,123)-117)))*1,0))</f>
        <v>568544122</v>
      </c>
      <c r="Y968" s="4">
        <f>$E968+17</f>
        <v>130</v>
      </c>
      <c r="Z968" s="8">
        <f>IF($J968=0,0,ROUND(MAX($J968*1.4*1.5*1.6*1.6*2.2*2.715*2.6*1.4,6020000000*(1.651178^(MIN($E968,123)-117)))*1,0))</f>
        <v>809880453</v>
      </c>
      <c r="AA968" s="6">
        <f>$E968+19</f>
        <v>132</v>
      </c>
      <c r="AB968" s="7">
        <f>IF($J968=0,0,ROUND(MAX($J968*1.4*1.5*1.6*1.6*2.2*2.715*2.6*1.4*1.4,8430000000*(1.651435^(MIN($E968,123)-117)))*1,0))</f>
        <v>1133395897</v>
      </c>
      <c r="AC968" s="4">
        <f>$E968+21</f>
        <v>134</v>
      </c>
      <c r="AD968" s="8">
        <f>IF($J968=0,0,ROUND(MAX($J968*1.4*1.5*1.6*1.6*2.2*2.715*2.6*1.4*1.4*1.5,12600000000*(1.652953^(MIN($E968,123)-117)))*1,0))</f>
        <v>1687829312</v>
      </c>
      <c r="AE968" s="6">
        <f>$E968+24</f>
        <v>137</v>
      </c>
      <c r="AF968" s="7">
        <f>IF($J968=0,0,ROUND(MAX($J968*1.4*1.5*1.6*1.6*2.2*2.715*2.6*1.4*1.4*1.5*1.5,18900000000*(1.65331^(MIN($E968,123)-117)))*1,0))</f>
        <v>2529557954</v>
      </c>
      <c r="AG968" s="4">
        <f>$E968+27</f>
        <v>140</v>
      </c>
      <c r="AH968" s="8">
        <f>IF($J968=0,0,ROUND(MAX($J968*1.4*1.5*1.6*1.6*2.2*2.715*2.6*1.4*1.4*1.5*1.5*3.2,60500000000*(1.654288^(MIN($E968,123)-117)))*1,0))</f>
        <v>8078131097</v>
      </c>
    </row>
    <row r="969" ht="27.75" customHeight="1" spans="1:34" x14ac:dyDescent="0.25">
      <c r="A969" s="3">
        <v>979</v>
      </c>
      <c r="B969" s="3" t="s">
        <v>752</v>
      </c>
      <c r="C969" s="3" t="s">
        <v>768</v>
      </c>
      <c r="D969" s="3" t="s">
        <v>75</v>
      </c>
      <c r="E969" s="3">
        <v>113</v>
      </c>
      <c r="F969" s="3" t="s">
        <v>71</v>
      </c>
      <c r="G969" s="3" t="s">
        <v>270</v>
      </c>
      <c r="H969" s="3">
        <v>27</v>
      </c>
      <c r="I969" s="4">
        <v>113</v>
      </c>
      <c r="J969" s="5">
        <v>176000</v>
      </c>
      <c r="K969" s="6">
        <f>$E969+1</f>
        <v>114</v>
      </c>
      <c r="L969" s="7">
        <f>IF($J969=0,0,ROUND(MAX($J969*1.4,1620000*(1.497923^(MIN($E969,123)-117)))*1,0))</f>
        <v>321779</v>
      </c>
      <c r="M969" s="4">
        <f>$E969+2</f>
        <v>115</v>
      </c>
      <c r="N969" s="8">
        <f>IF($J969=0,0,ROUND(MAX($J969*1.4*1.5,2190000*(1.580994^(MIN($E969,123)-117)))*1,0))</f>
        <v>369600</v>
      </c>
      <c r="O969" s="6">
        <f>$E969+4</f>
        <v>117</v>
      </c>
      <c r="P969" s="7">
        <f>IF($J969=0,0,ROUND(MAX($J969*1.4*1.5*1.6,3500000*(1.57975^(MIN($E969,123)-117)))*1,0))</f>
        <v>591360</v>
      </c>
      <c r="Q969" s="4">
        <f>$E969+6</f>
        <v>119</v>
      </c>
      <c r="R969" s="8">
        <f>IF($J969=0,0,ROUND(MAX($J969*1.4*1.5*1.6*1.6,13100000*(1.429962^(MIN($E969,123)-117)))*1,0))</f>
        <v>3133093</v>
      </c>
      <c r="S969" s="6">
        <f>$E969+8</f>
        <v>121</v>
      </c>
      <c r="T969" s="7">
        <f>IF($J969=0,0,ROUND(MAX($J969*1.4*1.5*1.6*1.6*2.2,42600000*(1.576904^(MIN($E969,123)-117)))*1,0))</f>
        <v>6889514</v>
      </c>
      <c r="U969" s="4">
        <f>$E969+11</f>
        <v>124</v>
      </c>
      <c r="V969" s="8">
        <f>IF($J969=0,0,ROUND(MAX($J969*1.4*1.5*1.6*1.6*2.2*2.715,354000000*(1.642074^(MIN($E969,123)-117)))*1,0))</f>
        <v>48689169</v>
      </c>
      <c r="W969" s="6">
        <f>$E969+15</f>
        <v>128</v>
      </c>
      <c r="X969" s="7">
        <f>IF($J969=0,0,ROUND(MAX($J969*1.4*1.5*1.6*1.6*2.2*2.715*2.6,3540000000*(1.579646^(MIN($E969,123)-117)))*1,0))</f>
        <v>568544122</v>
      </c>
      <c r="Y969" s="4">
        <f>$E969+17</f>
        <v>130</v>
      </c>
      <c r="Z969" s="8">
        <f>IF($J969=0,0,ROUND(MAX($J969*1.4*1.5*1.6*1.6*2.2*2.715*2.6*1.4,6020000000*(1.651178^(MIN($E969,123)-117)))*1,0))</f>
        <v>809880453</v>
      </c>
      <c r="AA969" s="6">
        <f>$E969+19</f>
        <v>132</v>
      </c>
      <c r="AB969" s="7">
        <f>IF($J969=0,0,ROUND(MAX($J969*1.4*1.5*1.6*1.6*2.2*2.715*2.6*1.4*1.4,8430000000*(1.651435^(MIN($E969,123)-117)))*1,0))</f>
        <v>1133395897</v>
      </c>
      <c r="AC969" s="4">
        <f>$E969+21</f>
        <v>134</v>
      </c>
      <c r="AD969" s="8">
        <f>IF($J969=0,0,ROUND(MAX($J969*1.4*1.5*1.6*1.6*2.2*2.715*2.6*1.4*1.4*1.5,12600000000*(1.652953^(MIN($E969,123)-117)))*1,0))</f>
        <v>1687829312</v>
      </c>
      <c r="AE969" s="6">
        <f>$E969+24</f>
        <v>137</v>
      </c>
      <c r="AF969" s="7">
        <f>IF($J969=0,0,ROUND(MAX($J969*1.4*1.5*1.6*1.6*2.2*2.715*2.6*1.4*1.4*1.5*1.5,18900000000*(1.65331^(MIN($E969,123)-117)))*1,0))</f>
        <v>2529557954</v>
      </c>
      <c r="AG969" s="4">
        <f>$E969+27</f>
        <v>140</v>
      </c>
      <c r="AH969" s="8">
        <f>IF($J969=0,0,ROUND(MAX($J969*1.4*1.5*1.6*1.6*2.2*2.715*2.6*1.4*1.4*1.5*1.5*3.2,60500000000*(1.654288^(MIN($E969,123)-117)))*1,0))</f>
        <v>8078131097</v>
      </c>
    </row>
    <row r="970" ht="27.75" customHeight="1" spans="1:34" x14ac:dyDescent="0.25">
      <c r="A970" s="3">
        <v>980</v>
      </c>
      <c r="B970" s="3" t="s">
        <v>779</v>
      </c>
      <c r="C970" s="3" t="s">
        <v>768</v>
      </c>
      <c r="D970" s="3" t="s">
        <v>45</v>
      </c>
      <c r="E970" s="3">
        <v>113</v>
      </c>
      <c r="F970" s="3" t="s">
        <v>34</v>
      </c>
      <c r="G970" s="3" t="s">
        <v>185</v>
      </c>
      <c r="H970" s="3">
        <v>27</v>
      </c>
      <c r="I970" s="4">
        <v>113</v>
      </c>
      <c r="J970" s="5">
        <v>90300</v>
      </c>
      <c r="K970" s="6">
        <f>$E970+1</f>
        <v>114</v>
      </c>
      <c r="L970" s="7">
        <f>IF($J970=0,0,ROUND(MAX($J970*1.4,1620000*(1.497923^(MIN($E970,123)-117)))*1,0))</f>
        <v>321779</v>
      </c>
      <c r="M970" s="4">
        <f>$E970+2</f>
        <v>115</v>
      </c>
      <c r="N970" s="8">
        <f>IF($J970=0,0,ROUND(MAX($J970*1.4*1.5,2190000*(1.580994^(MIN($E970,123)-117)))*1,0))</f>
        <v>350528</v>
      </c>
      <c r="O970" s="6">
        <f>$E970+4</f>
        <v>117</v>
      </c>
      <c r="P970" s="7">
        <f>IF($J970=0,0,ROUND(MAX($J970*1.4*1.5*1.6,3500000*(1.57975^(MIN($E970,123)-117)))*1,0))</f>
        <v>561972</v>
      </c>
      <c r="Q970" s="4">
        <f>$E970+6</f>
        <v>119</v>
      </c>
      <c r="R970" s="8">
        <f>IF($J970=0,0,ROUND(MAX($J970*1.4*1.5*1.6*1.6,13100000*(1.429962^(MIN($E970,123)-117)))*1,0))</f>
        <v>3133093</v>
      </c>
      <c r="S970" s="6">
        <f>$E970+8</f>
        <v>121</v>
      </c>
      <c r="T970" s="7">
        <f>IF($J970=0,0,ROUND(MAX($J970*1.4*1.5*1.6*1.6*2.2,42600000*(1.576904^(MIN($E970,123)-117)))*1,0))</f>
        <v>6889514</v>
      </c>
      <c r="U970" s="4">
        <f>$E970+11</f>
        <v>124</v>
      </c>
      <c r="V970" s="8">
        <f>IF($J970=0,0,ROUND(MAX($J970*1.4*1.5*1.6*1.6*2.2*2.715,354000000*(1.642074^(MIN($E970,123)-117)))*1,0))</f>
        <v>48689169</v>
      </c>
      <c r="W970" s="6">
        <f>$E970+15</f>
        <v>128</v>
      </c>
      <c r="X970" s="7">
        <f>IF($J970=0,0,ROUND(MAX($J970*1.4*1.5*1.6*1.6*2.2*2.715*2.6,3540000000*(1.579646^(MIN($E970,123)-117)))*1,0))</f>
        <v>568544122</v>
      </c>
      <c r="Y970" s="4">
        <f>$E970+17</f>
        <v>130</v>
      </c>
      <c r="Z970" s="8">
        <f>IF($J970=0,0,ROUND(MAX($J970*1.4*1.5*1.6*1.6*2.2*2.715*2.6*1.4,6020000000*(1.651178^(MIN($E970,123)-117)))*1,0))</f>
        <v>809880453</v>
      </c>
      <c r="AA970" s="6">
        <f>$E970+19</f>
        <v>132</v>
      </c>
      <c r="AB970" s="7">
        <f>IF($J970=0,0,ROUND(MAX($J970*1.4*1.5*1.6*1.6*2.2*2.715*2.6*1.4*1.4,8430000000*(1.651435^(MIN($E970,123)-117)))*1,0))</f>
        <v>1133395897</v>
      </c>
      <c r="AC970" s="4">
        <f>$E970+21</f>
        <v>134</v>
      </c>
      <c r="AD970" s="8">
        <f>IF($J970=0,0,ROUND(MAX($J970*1.4*1.5*1.6*1.6*2.2*2.715*2.6*1.4*1.4*1.5,12600000000*(1.652953^(MIN($E970,123)-117)))*1,0))</f>
        <v>1687829312</v>
      </c>
      <c r="AE970" s="6">
        <f>$E970+24</f>
        <v>137</v>
      </c>
      <c r="AF970" s="7">
        <f>IF($J970=0,0,ROUND(MAX($J970*1.4*1.5*1.6*1.6*2.2*2.715*2.6*1.4*1.4*1.5*1.5,18900000000*(1.65331^(MIN($E970,123)-117)))*1,0))</f>
        <v>2529557954</v>
      </c>
      <c r="AG970" s="4">
        <f>$E970+27</f>
        <v>140</v>
      </c>
      <c r="AH970" s="8">
        <f>IF($J970=0,0,ROUND(MAX($J970*1.4*1.5*1.6*1.6*2.2*2.715*2.6*1.4*1.4*1.5*1.5*3.2,60500000000*(1.654288^(MIN($E970,123)-117)))*1,0))</f>
        <v>8078131097</v>
      </c>
    </row>
    <row r="971" ht="27.75" customHeight="1" spans="1:34" x14ac:dyDescent="0.25">
      <c r="A971" s="3">
        <v>981</v>
      </c>
      <c r="B971" s="3" t="s">
        <v>653</v>
      </c>
      <c r="C971" s="3" t="s">
        <v>768</v>
      </c>
      <c r="D971" s="3" t="s">
        <v>40</v>
      </c>
      <c r="E971" s="3">
        <v>113</v>
      </c>
      <c r="F971" s="3" t="s">
        <v>34</v>
      </c>
      <c r="G971" s="3" t="s">
        <v>769</v>
      </c>
      <c r="H971" s="3">
        <v>27</v>
      </c>
      <c r="I971" s="4">
        <v>113</v>
      </c>
      <c r="J971" s="5">
        <v>114000</v>
      </c>
      <c r="K971" s="6">
        <f>$E971+1</f>
        <v>114</v>
      </c>
      <c r="L971" s="7">
        <f>IF($J971=0,0,ROUND(MAX($J971*1.4,1620000*(1.497923^(MIN($E971,123)-117)))*1,0))</f>
        <v>321779</v>
      </c>
      <c r="M971" s="4">
        <f>$E971+2</f>
        <v>115</v>
      </c>
      <c r="N971" s="8">
        <f>IF($J971=0,0,ROUND(MAX($J971*1.4*1.5,2190000*(1.580994^(MIN($E971,123)-117)))*1,0))</f>
        <v>350528</v>
      </c>
      <c r="O971" s="6">
        <f>$E971+4</f>
        <v>117</v>
      </c>
      <c r="P971" s="7">
        <f>IF($J971=0,0,ROUND(MAX($J971*1.4*1.5*1.6,3500000*(1.57975^(MIN($E971,123)-117)))*1,0))</f>
        <v>561972</v>
      </c>
      <c r="Q971" s="4">
        <f>$E971+6</f>
        <v>119</v>
      </c>
      <c r="R971" s="8">
        <f>IF($J971=0,0,ROUND(MAX($J971*1.4*1.5*1.6*1.6,13100000*(1.429962^(MIN($E971,123)-117)))*1,0))</f>
        <v>3133093</v>
      </c>
      <c r="S971" s="6">
        <f>$E971+8</f>
        <v>121</v>
      </c>
      <c r="T971" s="7">
        <f>IF($J971=0,0,ROUND(MAX($J971*1.4*1.5*1.6*1.6*2.2,42600000*(1.576904^(MIN($E971,123)-117)))*1,0))</f>
        <v>6889514</v>
      </c>
      <c r="U971" s="4">
        <f>$E971+11</f>
        <v>124</v>
      </c>
      <c r="V971" s="8">
        <f>IF($J971=0,0,ROUND(MAX($J971*1.4*1.5*1.6*1.6*2.2*2.715,354000000*(1.642074^(MIN($E971,123)-117)))*1,0))</f>
        <v>48689169</v>
      </c>
      <c r="W971" s="6">
        <f>$E971+15</f>
        <v>128</v>
      </c>
      <c r="X971" s="7">
        <f>IF($J971=0,0,ROUND(MAX($J971*1.4*1.5*1.6*1.6*2.2*2.715*2.6,3540000000*(1.579646^(MIN($E971,123)-117)))*1,0))</f>
        <v>568544122</v>
      </c>
      <c r="Y971" s="4">
        <f>$E971+17</f>
        <v>130</v>
      </c>
      <c r="Z971" s="8">
        <f>IF($J971=0,0,ROUND(MAX($J971*1.4*1.5*1.6*1.6*2.2*2.715*2.6*1.4,6020000000*(1.651178^(MIN($E971,123)-117)))*1,0))</f>
        <v>809880453</v>
      </c>
      <c r="AA971" s="6">
        <f>$E971+19</f>
        <v>132</v>
      </c>
      <c r="AB971" s="7">
        <f>IF($J971=0,0,ROUND(MAX($J971*1.4*1.5*1.6*1.6*2.2*2.715*2.6*1.4*1.4,8430000000*(1.651435^(MIN($E971,123)-117)))*1,0))</f>
        <v>1133395897</v>
      </c>
      <c r="AC971" s="4">
        <f>$E971+21</f>
        <v>134</v>
      </c>
      <c r="AD971" s="8">
        <f>IF($J971=0,0,ROUND(MAX($J971*1.4*1.5*1.6*1.6*2.2*2.715*2.6*1.4*1.4*1.5,12600000000*(1.652953^(MIN($E971,123)-117)))*1,0))</f>
        <v>1687829312</v>
      </c>
      <c r="AE971" s="6">
        <f>$E971+24</f>
        <v>137</v>
      </c>
      <c r="AF971" s="7">
        <f>IF($J971=0,0,ROUND(MAX($J971*1.4*1.5*1.6*1.6*2.2*2.715*2.6*1.4*1.4*1.5*1.5,18900000000*(1.65331^(MIN($E971,123)-117)))*1,0))</f>
        <v>2529557954</v>
      </c>
      <c r="AG971" s="4">
        <f>$E971+27</f>
        <v>140</v>
      </c>
      <c r="AH971" s="8">
        <f>IF($J971=0,0,ROUND(MAX($J971*1.4*1.5*1.6*1.6*2.2*2.715*2.6*1.4*1.4*1.5*1.5*3.2,60500000000*(1.654288^(MIN($E971,123)-117)))*1,0))</f>
        <v>8078131097</v>
      </c>
    </row>
    <row r="972" ht="27.75" customHeight="1" spans="1:34" x14ac:dyDescent="0.25">
      <c r="A972" s="3">
        <v>982</v>
      </c>
      <c r="B972" s="3" t="s">
        <v>155</v>
      </c>
      <c r="C972" s="3" t="s">
        <v>768</v>
      </c>
      <c r="D972" s="3" t="s">
        <v>102</v>
      </c>
      <c r="E972" s="3">
        <v>113</v>
      </c>
      <c r="F972" s="3" t="s">
        <v>71</v>
      </c>
      <c r="G972" s="3" t="s">
        <v>769</v>
      </c>
      <c r="H972" s="3">
        <v>27</v>
      </c>
      <c r="I972" s="4">
        <v>113</v>
      </c>
      <c r="J972" s="5">
        <v>189000</v>
      </c>
      <c r="K972" s="6">
        <f>$E972+1</f>
        <v>114</v>
      </c>
      <c r="L972" s="7">
        <f>IF($J972=0,0,ROUND(MAX($J972*1.4,1620000*(1.497923^(MIN($E972,123)-117)))*1,0))</f>
        <v>321779</v>
      </c>
      <c r="M972" s="4">
        <f>$E972+2</f>
        <v>115</v>
      </c>
      <c r="N972" s="8">
        <f>IF($J972=0,0,ROUND(MAX($J972*1.4*1.5,2190000*(1.580994^(MIN($E972,123)-117)))*1,0))</f>
        <v>396900</v>
      </c>
      <c r="O972" s="6">
        <f>$E972+4</f>
        <v>117</v>
      </c>
      <c r="P972" s="7">
        <f>IF($J972=0,0,ROUND(MAX($J972*1.4*1.5*1.6,3500000*(1.57975^(MIN($E972,123)-117)))*1,0))</f>
        <v>635040</v>
      </c>
      <c r="Q972" s="4">
        <f>$E972+6</f>
        <v>119</v>
      </c>
      <c r="R972" s="8">
        <f>IF($J972=0,0,ROUND(MAX($J972*1.4*1.5*1.6*1.6,13100000*(1.429962^(MIN($E972,123)-117)))*1,0))</f>
        <v>3133093</v>
      </c>
      <c r="S972" s="6">
        <f>$E972+8</f>
        <v>121</v>
      </c>
      <c r="T972" s="7">
        <f>IF($J972=0,0,ROUND(MAX($J972*1.4*1.5*1.6*1.6*2.2,42600000*(1.576904^(MIN($E972,123)-117)))*1,0))</f>
        <v>6889514</v>
      </c>
      <c r="U972" s="4">
        <f>$E972+11</f>
        <v>124</v>
      </c>
      <c r="V972" s="8">
        <f>IF($J972=0,0,ROUND(MAX($J972*1.4*1.5*1.6*1.6*2.2*2.715,354000000*(1.642074^(MIN($E972,123)-117)))*1,0))</f>
        <v>48689169</v>
      </c>
      <c r="W972" s="6">
        <f>$E972+15</f>
        <v>128</v>
      </c>
      <c r="X972" s="7">
        <f>IF($J972=0,0,ROUND(MAX($J972*1.4*1.5*1.6*1.6*2.2*2.715*2.6,3540000000*(1.579646^(MIN($E972,123)-117)))*1,0))</f>
        <v>568544122</v>
      </c>
      <c r="Y972" s="4">
        <f>$E972+17</f>
        <v>130</v>
      </c>
      <c r="Z972" s="8">
        <f>IF($J972=0,0,ROUND(MAX($J972*1.4*1.5*1.6*1.6*2.2*2.715*2.6*1.4,6020000000*(1.651178^(MIN($E972,123)-117)))*1,0))</f>
        <v>809880453</v>
      </c>
      <c r="AA972" s="6">
        <f>$E972+19</f>
        <v>132</v>
      </c>
      <c r="AB972" s="7">
        <f>IF($J972=0,0,ROUND(MAX($J972*1.4*1.5*1.6*1.6*2.2*2.715*2.6*1.4*1.4,8430000000*(1.651435^(MIN($E972,123)-117)))*1,0))</f>
        <v>1133395897</v>
      </c>
      <c r="AC972" s="4">
        <f>$E972+21</f>
        <v>134</v>
      </c>
      <c r="AD972" s="8">
        <f>IF($J972=0,0,ROUND(MAX($J972*1.4*1.5*1.6*1.6*2.2*2.715*2.6*1.4*1.4*1.5,12600000000*(1.652953^(MIN($E972,123)-117)))*1,0))</f>
        <v>1687829312</v>
      </c>
      <c r="AE972" s="6">
        <f>$E972+24</f>
        <v>137</v>
      </c>
      <c r="AF972" s="7">
        <f>IF($J972=0,0,ROUND(MAX($J972*1.4*1.5*1.6*1.6*2.2*2.715*2.6*1.4*1.4*1.5*1.5,18900000000*(1.65331^(MIN($E972,123)-117)))*1,0))</f>
        <v>2529557954</v>
      </c>
      <c r="AG972" s="4">
        <f>$E972+27</f>
        <v>140</v>
      </c>
      <c r="AH972" s="8">
        <f>IF($J972=0,0,ROUND(MAX($J972*1.4*1.5*1.6*1.6*2.2*2.715*2.6*1.4*1.4*1.5*1.5*3.2,60500000000*(1.654288^(MIN($E972,123)-117)))*1,0))</f>
        <v>8078131097</v>
      </c>
    </row>
    <row r="973" ht="27.75" customHeight="1" spans="1:34" x14ac:dyDescent="0.25">
      <c r="A973" s="3">
        <v>983</v>
      </c>
      <c r="B973" s="3" t="s">
        <v>113</v>
      </c>
      <c r="C973" s="3" t="s">
        <v>768</v>
      </c>
      <c r="D973" s="3" t="s">
        <v>29</v>
      </c>
      <c r="E973" s="3">
        <v>113</v>
      </c>
      <c r="F973" s="3" t="s">
        <v>30</v>
      </c>
      <c r="G973" s="3" t="s">
        <v>769</v>
      </c>
      <c r="H973" s="3">
        <v>27</v>
      </c>
      <c r="I973" s="4">
        <v>113</v>
      </c>
      <c r="J973" s="5">
        <v>732000</v>
      </c>
      <c r="K973" s="6">
        <f>$E973+1</f>
        <v>114</v>
      </c>
      <c r="L973" s="7">
        <f>IF($J973=0,0,ROUND(MAX($J973*1.4,1620000*(1.497923^(MIN($E973,123)-117)))*1,0))</f>
        <v>1024800</v>
      </c>
      <c r="M973" s="4">
        <f>$E973+2</f>
        <v>115</v>
      </c>
      <c r="N973" s="8">
        <f>IF($J973=0,0,ROUND(MAX($J973*1.4*1.5,2190000*(1.580994^(MIN($E973,123)-117)))*1,0))</f>
        <v>1537200</v>
      </c>
      <c r="O973" s="6">
        <f>$E973+4</f>
        <v>117</v>
      </c>
      <c r="P973" s="7">
        <f>IF($J973=0,0,ROUND(MAX($J973*1.4*1.5*1.6,3500000*(1.57975^(MIN($E973,123)-117)))*1,0))</f>
        <v>2459520</v>
      </c>
      <c r="Q973" s="4">
        <f>$E973+6</f>
        <v>119</v>
      </c>
      <c r="R973" s="8">
        <f>IF($J973=0,0,ROUND(MAX($J973*1.4*1.5*1.6*1.6,13100000*(1.429962^(MIN($E973,123)-117)))*1,0))</f>
        <v>3935232</v>
      </c>
      <c r="S973" s="6">
        <f>$E973+8</f>
        <v>121</v>
      </c>
      <c r="T973" s="7">
        <f>IF($J973=0,0,ROUND(MAX($J973*1.4*1.5*1.6*1.6*2.2,42600000*(1.576904^(MIN($E973,123)-117)))*1,0))</f>
        <v>8657510</v>
      </c>
      <c r="U973" s="4">
        <f>$E973+11</f>
        <v>124</v>
      </c>
      <c r="V973" s="8">
        <f>IF($J973=0,0,ROUND(MAX($J973*1.4*1.5*1.6*1.6*2.2*2.715,354000000*(1.642074^(MIN($E973,123)-117)))*1,0))</f>
        <v>48689169</v>
      </c>
      <c r="W973" s="6">
        <f>$E973+15</f>
        <v>128</v>
      </c>
      <c r="X973" s="7">
        <f>IF($J973=0,0,ROUND(MAX($J973*1.4*1.5*1.6*1.6*2.2*2.715*2.6,3540000000*(1.579646^(MIN($E973,123)-117)))*1,0))</f>
        <v>568544122</v>
      </c>
      <c r="Y973" s="4">
        <f>$E973+17</f>
        <v>130</v>
      </c>
      <c r="Z973" s="8">
        <f>IF($J973=0,0,ROUND(MAX($J973*1.4*1.5*1.6*1.6*2.2*2.715*2.6*1.4,6020000000*(1.651178^(MIN($E973,123)-117)))*1,0))</f>
        <v>809880453</v>
      </c>
      <c r="AA973" s="6">
        <f>$E973+19</f>
        <v>132</v>
      </c>
      <c r="AB973" s="7">
        <f>IF($J973=0,0,ROUND(MAX($J973*1.4*1.5*1.6*1.6*2.2*2.715*2.6*1.4*1.4,8430000000*(1.651435^(MIN($E973,123)-117)))*1,0))</f>
        <v>1133395897</v>
      </c>
      <c r="AC973" s="4">
        <f>$E973+21</f>
        <v>134</v>
      </c>
      <c r="AD973" s="8">
        <f>IF($J973=0,0,ROUND(MAX($J973*1.4*1.5*1.6*1.6*2.2*2.715*2.6*1.4*1.4*1.5,12600000000*(1.652953^(MIN($E973,123)-117)))*1,0))</f>
        <v>1687829312</v>
      </c>
      <c r="AE973" s="6">
        <f>$E973+24</f>
        <v>137</v>
      </c>
      <c r="AF973" s="7">
        <f>IF($J973=0,0,ROUND(MAX($J973*1.4*1.5*1.6*1.6*2.2*2.715*2.6*1.4*1.4*1.5*1.5,18900000000*(1.65331^(MIN($E973,123)-117)))*1,0))</f>
        <v>2529557954</v>
      </c>
      <c r="AG973" s="4">
        <f>$E973+27</f>
        <v>140</v>
      </c>
      <c r="AH973" s="8">
        <f>IF($J973=0,0,ROUND(MAX($J973*1.4*1.5*1.6*1.6*2.2*2.715*2.6*1.4*1.4*1.5*1.5*3.2,60500000000*(1.654288^(MIN($E973,123)-117)))*1,0))</f>
        <v>8078131097</v>
      </c>
    </row>
    <row r="974" ht="27.75" customHeight="1" spans="1:34" x14ac:dyDescent="0.25">
      <c r="A974" s="3">
        <v>984</v>
      </c>
      <c r="B974" s="3" t="s">
        <v>780</v>
      </c>
      <c r="C974" s="3" t="s">
        <v>768</v>
      </c>
      <c r="D974" s="3" t="s">
        <v>90</v>
      </c>
      <c r="E974" s="3">
        <v>113</v>
      </c>
      <c r="F974" s="3" t="s">
        <v>56</v>
      </c>
      <c r="G974" s="3" t="s">
        <v>38</v>
      </c>
      <c r="H974" s="3">
        <v>26</v>
      </c>
      <c r="I974" s="4">
        <v>113</v>
      </c>
      <c r="J974" s="5">
        <v>157000</v>
      </c>
      <c r="K974" s="6">
        <f>$E974+1</f>
        <v>114</v>
      </c>
      <c r="L974" s="7">
        <f>IF($J974=0,0,ROUND(MAX($J974*1.4,1620000*(1.497923^(MIN($E974,123)-117)))*1,0))</f>
        <v>321779</v>
      </c>
      <c r="M974" s="4">
        <f>$E974+2</f>
        <v>115</v>
      </c>
      <c r="N974" s="8">
        <f>IF($J974=0,0,ROUND(MAX($J974*1.4*1.5,2190000*(1.580994^(MIN($E974,123)-117)))*1,0))</f>
        <v>350528</v>
      </c>
      <c r="O974" s="6">
        <f>$E974+4</f>
        <v>117</v>
      </c>
      <c r="P974" s="7">
        <f>IF($J974=0,0,ROUND(MAX($J974*1.4*1.5*1.6,3500000*(1.57975^(MIN($E974,123)-117)))*1,0))</f>
        <v>561972</v>
      </c>
      <c r="Q974" s="4">
        <f>$E974+6</f>
        <v>119</v>
      </c>
      <c r="R974" s="8">
        <f>IF($J974=0,0,ROUND(MAX($J974*1.4*1.5*1.6*1.6,13100000*(1.429962^(MIN($E974,123)-117)))*1,0))</f>
        <v>3133093</v>
      </c>
      <c r="S974" s="6">
        <f>$E974+8</f>
        <v>121</v>
      </c>
      <c r="T974" s="7">
        <f>IF($J974=0,0,ROUND(MAX($J974*1.4*1.5*1.6*1.6*2.2,42600000*(1.576904^(MIN($E974,123)-117)))*1,0))</f>
        <v>6889514</v>
      </c>
      <c r="U974" s="4">
        <f>$E974+11</f>
        <v>124</v>
      </c>
      <c r="V974" s="8">
        <f>IF($J974=0,0,ROUND(MAX($J974*1.4*1.5*1.6*1.6*2.2*2.715,354000000*(1.642074^(MIN($E974,123)-117)))*1,0))</f>
        <v>48689169</v>
      </c>
      <c r="W974" s="6">
        <f>$E974+15</f>
        <v>128</v>
      </c>
      <c r="X974" s="7">
        <f>IF($J974=0,0,ROUND(MAX($J974*1.4*1.5*1.6*1.6*2.2*2.715*2.6,3540000000*(1.579646^(MIN($E974,123)-117)))*1,0))</f>
        <v>568544122</v>
      </c>
      <c r="Y974" s="4">
        <f>$E974+17</f>
        <v>130</v>
      </c>
      <c r="Z974" s="8">
        <f>IF($J974=0,0,ROUND(MAX($J974*1.4*1.5*1.6*1.6*2.2*2.715*2.6*1.4,6020000000*(1.651178^(MIN($E974,123)-117)))*1,0))</f>
        <v>809880453</v>
      </c>
      <c r="AA974" s="6">
        <f>$E974+19</f>
        <v>132</v>
      </c>
      <c r="AB974" s="7">
        <f>IF($J974=0,0,ROUND(MAX($J974*1.4*1.5*1.6*1.6*2.2*2.715*2.6*1.4*1.4,8430000000*(1.651435^(MIN($E974,123)-117)))*1,0))</f>
        <v>1133395897</v>
      </c>
      <c r="AC974" s="4">
        <f>$E974+21</f>
        <v>134</v>
      </c>
      <c r="AD974" s="8">
        <f>IF($J974=0,0,ROUND(MAX($J974*1.4*1.5*1.6*1.6*2.2*2.715*2.6*1.4*1.4*1.5,12600000000*(1.652953^(MIN($E974,123)-117)))*1,0))</f>
        <v>1687829312</v>
      </c>
      <c r="AE974" s="6">
        <f>$E974+24</f>
        <v>137</v>
      </c>
      <c r="AF974" s="7">
        <f>IF($J974=0,0,ROUND(MAX($J974*1.4*1.5*1.6*1.6*2.2*2.715*2.6*1.4*1.4*1.5*1.5,18900000000*(1.65331^(MIN($E974,123)-117)))*1,0))</f>
        <v>2529557954</v>
      </c>
      <c r="AG974" s="4">
        <f>$E974+27</f>
        <v>140</v>
      </c>
      <c r="AH974" s="8">
        <f>IF($J974=0,0,ROUND(MAX($J974*1.4*1.5*1.6*1.6*2.2*2.715*2.6*1.4*1.4*1.5*1.5*3.2,60500000000*(1.654288^(MIN($E974,123)-117)))*1,0))</f>
        <v>8078131097</v>
      </c>
    </row>
    <row r="975" ht="27.75" customHeight="1" spans="1:34" x14ac:dyDescent="0.25">
      <c r="A975" s="3">
        <v>985</v>
      </c>
      <c r="B975" s="3" t="s">
        <v>628</v>
      </c>
      <c r="C975" s="3" t="s">
        <v>768</v>
      </c>
      <c r="D975" s="3" t="s">
        <v>75</v>
      </c>
      <c r="E975" s="3">
        <v>113</v>
      </c>
      <c r="F975" s="3" t="s">
        <v>136</v>
      </c>
      <c r="G975" s="3" t="s">
        <v>133</v>
      </c>
      <c r="H975" s="3">
        <v>26</v>
      </c>
      <c r="I975" s="4">
        <v>113</v>
      </c>
      <c r="J975" s="5">
        <v>144000</v>
      </c>
      <c r="K975" s="6">
        <f>$E975+1</f>
        <v>114</v>
      </c>
      <c r="L975" s="7">
        <f>IF($J975=0,0,ROUND(MAX($J975*1.4,1620000*(1.497923^(MIN($E975,123)-117)))*1,0))</f>
        <v>321779</v>
      </c>
      <c r="M975" s="4">
        <f>$E975+2</f>
        <v>115</v>
      </c>
      <c r="N975" s="8">
        <f>IF($J975=0,0,ROUND(MAX($J975*1.4*1.5,2190000*(1.580994^(MIN($E975,123)-117)))*1,0))</f>
        <v>350528</v>
      </c>
      <c r="O975" s="6">
        <f>$E975+4</f>
        <v>117</v>
      </c>
      <c r="P975" s="7">
        <f>IF($J975=0,0,ROUND(MAX($J975*1.4*1.5*1.6,3500000*(1.57975^(MIN($E975,123)-117)))*1,0))</f>
        <v>561972</v>
      </c>
      <c r="Q975" s="4">
        <f>$E975+6</f>
        <v>119</v>
      </c>
      <c r="R975" s="8">
        <f>IF($J975=0,0,ROUND(MAX($J975*1.4*1.5*1.6*1.6,13100000*(1.429962^(MIN($E975,123)-117)))*1,0))</f>
        <v>3133093</v>
      </c>
      <c r="S975" s="6">
        <f>$E975+8</f>
        <v>121</v>
      </c>
      <c r="T975" s="7">
        <f>IF($J975=0,0,ROUND(MAX($J975*1.4*1.5*1.6*1.6*2.2,42600000*(1.576904^(MIN($E975,123)-117)))*1,0))</f>
        <v>6889514</v>
      </c>
      <c r="U975" s="4">
        <f>$E975+11</f>
        <v>124</v>
      </c>
      <c r="V975" s="8">
        <f>IF($J975=0,0,ROUND(MAX($J975*1.4*1.5*1.6*1.6*2.2*2.715,354000000*(1.642074^(MIN($E975,123)-117)))*1,0))</f>
        <v>48689169</v>
      </c>
      <c r="W975" s="6">
        <f>$E975+15</f>
        <v>128</v>
      </c>
      <c r="X975" s="7">
        <f>IF($J975=0,0,ROUND(MAX($J975*1.4*1.5*1.6*1.6*2.2*2.715*2.6,3540000000*(1.579646^(MIN($E975,123)-117)))*1,0))</f>
        <v>568544122</v>
      </c>
      <c r="Y975" s="4">
        <f>$E975+17</f>
        <v>130</v>
      </c>
      <c r="Z975" s="8">
        <f>IF($J975=0,0,ROUND(MAX($J975*1.4*1.5*1.6*1.6*2.2*2.715*2.6*1.4,6020000000*(1.651178^(MIN($E975,123)-117)))*1,0))</f>
        <v>809880453</v>
      </c>
      <c r="AA975" s="6">
        <f>$E975+19</f>
        <v>132</v>
      </c>
      <c r="AB975" s="7">
        <f>IF($J975=0,0,ROUND(MAX($J975*1.4*1.5*1.6*1.6*2.2*2.715*2.6*1.4*1.4,8430000000*(1.651435^(MIN($E975,123)-117)))*1,0))</f>
        <v>1133395897</v>
      </c>
      <c r="AC975" s="4">
        <f>$E975+21</f>
        <v>134</v>
      </c>
      <c r="AD975" s="8">
        <f>IF($J975=0,0,ROUND(MAX($J975*1.4*1.5*1.6*1.6*2.2*2.715*2.6*1.4*1.4*1.5,12600000000*(1.652953^(MIN($E975,123)-117)))*1,0))</f>
        <v>1687829312</v>
      </c>
      <c r="AE975" s="6">
        <f>$E975+24</f>
        <v>137</v>
      </c>
      <c r="AF975" s="7">
        <f>IF($J975=0,0,ROUND(MAX($J975*1.4*1.5*1.6*1.6*2.2*2.715*2.6*1.4*1.4*1.5*1.5,18900000000*(1.65331^(MIN($E975,123)-117)))*1,0))</f>
        <v>2529557954</v>
      </c>
      <c r="AG975" s="4">
        <f>$E975+27</f>
        <v>140</v>
      </c>
      <c r="AH975" s="8">
        <f>IF($J975=0,0,ROUND(MAX($J975*1.4*1.5*1.6*1.6*2.2*2.715*2.6*1.4*1.4*1.5*1.5*3.2,60500000000*(1.654288^(MIN($E975,123)-117)))*1,0))</f>
        <v>8078131097</v>
      </c>
    </row>
    <row r="976" ht="27.75" customHeight="1" spans="1:34" x14ac:dyDescent="0.25">
      <c r="A976" s="3">
        <v>986</v>
      </c>
      <c r="B976" s="3" t="s">
        <v>471</v>
      </c>
      <c r="C976" s="3" t="s">
        <v>768</v>
      </c>
      <c r="D976" s="3" t="s">
        <v>102</v>
      </c>
      <c r="E976" s="3">
        <v>113</v>
      </c>
      <c r="F976" s="3" t="s">
        <v>54</v>
      </c>
      <c r="G976" s="3" t="s">
        <v>472</v>
      </c>
      <c r="H976" s="3">
        <v>26</v>
      </c>
      <c r="I976" s="4">
        <v>113</v>
      </c>
      <c r="J976" s="5">
        <v>141000</v>
      </c>
      <c r="K976" s="6">
        <f>$E976+1</f>
        <v>114</v>
      </c>
      <c r="L976" s="7">
        <f>IF($J976=0,0,ROUND(MAX($J976*1.4,1620000*(1.497923^(MIN($E976,123)-117)))*1,0))</f>
        <v>321779</v>
      </c>
      <c r="M976" s="4">
        <f>$E976+2</f>
        <v>115</v>
      </c>
      <c r="N976" s="8">
        <f>IF($J976=0,0,ROUND(MAX($J976*1.4*1.5,2190000*(1.580994^(MIN($E976,123)-117)))*1,0))</f>
        <v>350528</v>
      </c>
      <c r="O976" s="6">
        <f>$E976+4</f>
        <v>117</v>
      </c>
      <c r="P976" s="7">
        <f>IF($J976=0,0,ROUND(MAX($J976*1.4*1.5*1.6,3500000*(1.57975^(MIN($E976,123)-117)))*1,0))</f>
        <v>561972</v>
      </c>
      <c r="Q976" s="4">
        <f>$E976+6</f>
        <v>119</v>
      </c>
      <c r="R976" s="8">
        <f>IF($J976=0,0,ROUND(MAX($J976*1.4*1.5*1.6*1.6,13100000*(1.429962^(MIN($E976,123)-117)))*1,0))</f>
        <v>3133093</v>
      </c>
      <c r="S976" s="6">
        <f>$E976+8</f>
        <v>121</v>
      </c>
      <c r="T976" s="7">
        <f>IF($J976=0,0,ROUND(MAX($J976*1.4*1.5*1.6*1.6*2.2,42600000*(1.576904^(MIN($E976,123)-117)))*1,0))</f>
        <v>6889514</v>
      </c>
      <c r="U976" s="4">
        <f>$E976+11</f>
        <v>124</v>
      </c>
      <c r="V976" s="8">
        <f>IF($J976=0,0,ROUND(MAX($J976*1.4*1.5*1.6*1.6*2.2*2.715,354000000*(1.642074^(MIN($E976,123)-117)))*1,0))</f>
        <v>48689169</v>
      </c>
      <c r="W976" s="6">
        <f>$E976+15</f>
        <v>128</v>
      </c>
      <c r="X976" s="7">
        <f>IF($J976=0,0,ROUND(MAX($J976*1.4*1.5*1.6*1.6*2.2*2.715*2.6,3540000000*(1.579646^(MIN($E976,123)-117)))*1,0))</f>
        <v>568544122</v>
      </c>
      <c r="Y976" s="4">
        <f>$E976+17</f>
        <v>130</v>
      </c>
      <c r="Z976" s="8">
        <f>IF($J976=0,0,ROUND(MAX($J976*1.4*1.5*1.6*1.6*2.2*2.715*2.6*1.4,6020000000*(1.651178^(MIN($E976,123)-117)))*1,0))</f>
        <v>809880453</v>
      </c>
      <c r="AA976" s="6">
        <f>$E976+19</f>
        <v>132</v>
      </c>
      <c r="AB976" s="7">
        <f>IF($J976=0,0,ROUND(MAX($J976*1.4*1.5*1.6*1.6*2.2*2.715*2.6*1.4*1.4,8430000000*(1.651435^(MIN($E976,123)-117)))*1,0))</f>
        <v>1133395897</v>
      </c>
      <c r="AC976" s="4">
        <f>$E976+21</f>
        <v>134</v>
      </c>
      <c r="AD976" s="8">
        <f>IF($J976=0,0,ROUND(MAX($J976*1.4*1.5*1.6*1.6*2.2*2.715*2.6*1.4*1.4*1.5,12600000000*(1.652953^(MIN($E976,123)-117)))*1,0))</f>
        <v>1687829312</v>
      </c>
      <c r="AE976" s="6">
        <f>$E976+24</f>
        <v>137</v>
      </c>
      <c r="AF976" s="7">
        <f>IF($J976=0,0,ROUND(MAX($J976*1.4*1.5*1.6*1.6*2.2*2.715*2.6*1.4*1.4*1.5*1.5,18900000000*(1.65331^(MIN($E976,123)-117)))*1,0))</f>
        <v>2529557954</v>
      </c>
      <c r="AG976" s="4">
        <f>$E976+27</f>
        <v>140</v>
      </c>
      <c r="AH976" s="8">
        <f>IF($J976=0,0,ROUND(MAX($J976*1.4*1.5*1.6*1.6*2.2*2.715*2.6*1.4*1.4*1.5*1.5*3.2,60500000000*(1.654288^(MIN($E976,123)-117)))*1,0))</f>
        <v>8078131097</v>
      </c>
    </row>
    <row r="977" ht="27.75" customHeight="1" spans="1:34" x14ac:dyDescent="0.25">
      <c r="A977" s="3">
        <v>987</v>
      </c>
      <c r="B977" s="3" t="s">
        <v>740</v>
      </c>
      <c r="C977" s="3" t="s">
        <v>768</v>
      </c>
      <c r="D977" s="3" t="s">
        <v>102</v>
      </c>
      <c r="E977" s="3">
        <v>113</v>
      </c>
      <c r="F977" s="3" t="s">
        <v>62</v>
      </c>
      <c r="G977" s="3" t="s">
        <v>769</v>
      </c>
      <c r="H977" s="3">
        <v>26</v>
      </c>
      <c r="I977" s="4">
        <v>113</v>
      </c>
      <c r="J977" s="5">
        <v>449000</v>
      </c>
      <c r="K977" s="6">
        <f>$E977+1</f>
        <v>114</v>
      </c>
      <c r="L977" s="7">
        <f>IF($J977=0,0,ROUND(MAX($J977*1.4,1620000*(1.497923^(MIN($E977,123)-117)))*1,0))</f>
        <v>628600</v>
      </c>
      <c r="M977" s="4">
        <f>$E977+2</f>
        <v>115</v>
      </c>
      <c r="N977" s="8">
        <f>IF($J977=0,0,ROUND(MAX($J977*1.4*1.5,2190000*(1.580994^(MIN($E977,123)-117)))*1,0))</f>
        <v>942900</v>
      </c>
      <c r="O977" s="6">
        <f>$E977+4</f>
        <v>117</v>
      </c>
      <c r="P977" s="7">
        <f>IF($J977=0,0,ROUND(MAX($J977*1.4*1.5*1.6,3500000*(1.57975^(MIN($E977,123)-117)))*1,0))</f>
        <v>1508640</v>
      </c>
      <c r="Q977" s="4">
        <f>$E977+6</f>
        <v>119</v>
      </c>
      <c r="R977" s="8">
        <f>IF($J977=0,0,ROUND(MAX($J977*1.4*1.5*1.6*1.6,13100000*(1.429962^(MIN($E977,123)-117)))*1,0))</f>
        <v>3133093</v>
      </c>
      <c r="S977" s="6">
        <f>$E977+8</f>
        <v>121</v>
      </c>
      <c r="T977" s="7">
        <f>IF($J977=0,0,ROUND(MAX($J977*1.4*1.5*1.6*1.6*2.2,42600000*(1.576904^(MIN($E977,123)-117)))*1,0))</f>
        <v>6889514</v>
      </c>
      <c r="U977" s="4">
        <f>$E977+11</f>
        <v>124</v>
      </c>
      <c r="V977" s="8">
        <f>IF($J977=0,0,ROUND(MAX($J977*1.4*1.5*1.6*1.6*2.2*2.715,354000000*(1.642074^(MIN($E977,123)-117)))*1,0))</f>
        <v>48689169</v>
      </c>
      <c r="W977" s="6">
        <f>$E977+15</f>
        <v>128</v>
      </c>
      <c r="X977" s="7">
        <f>IF($J977=0,0,ROUND(MAX($J977*1.4*1.5*1.6*1.6*2.2*2.715*2.6,3540000000*(1.579646^(MIN($E977,123)-117)))*1,0))</f>
        <v>568544122</v>
      </c>
      <c r="Y977" s="4">
        <f>$E977+17</f>
        <v>130</v>
      </c>
      <c r="Z977" s="8">
        <f>IF($J977=0,0,ROUND(MAX($J977*1.4*1.5*1.6*1.6*2.2*2.715*2.6*1.4,6020000000*(1.651178^(MIN($E977,123)-117)))*1,0))</f>
        <v>809880453</v>
      </c>
      <c r="AA977" s="6">
        <f>$E977+19</f>
        <v>132</v>
      </c>
      <c r="AB977" s="7">
        <f>IF($J977=0,0,ROUND(MAX($J977*1.4*1.5*1.6*1.6*2.2*2.715*2.6*1.4*1.4,8430000000*(1.651435^(MIN($E977,123)-117)))*1,0))</f>
        <v>1133395897</v>
      </c>
      <c r="AC977" s="4">
        <f>$E977+21</f>
        <v>134</v>
      </c>
      <c r="AD977" s="8">
        <f>IF($J977=0,0,ROUND(MAX($J977*1.4*1.5*1.6*1.6*2.2*2.715*2.6*1.4*1.4*1.5,12600000000*(1.652953^(MIN($E977,123)-117)))*1,0))</f>
        <v>1687829312</v>
      </c>
      <c r="AE977" s="6">
        <f>$E977+24</f>
        <v>137</v>
      </c>
      <c r="AF977" s="7">
        <f>IF($J977=0,0,ROUND(MAX($J977*1.4*1.5*1.6*1.6*2.2*2.715*2.6*1.4*1.4*1.5*1.5,18900000000*(1.65331^(MIN($E977,123)-117)))*1,0))</f>
        <v>2529557954</v>
      </c>
      <c r="AG977" s="4">
        <f>$E977+27</f>
        <v>140</v>
      </c>
      <c r="AH977" s="8">
        <f>IF($J977=0,0,ROUND(MAX($J977*1.4*1.5*1.6*1.6*2.2*2.715*2.6*1.4*1.4*1.5*1.5*3.2,60500000000*(1.654288^(MIN($E977,123)-117)))*1,0))</f>
        <v>8078131097</v>
      </c>
    </row>
    <row r="978" ht="27.75" customHeight="1" spans="1:34" x14ac:dyDescent="0.25">
      <c r="A978" s="3">
        <v>988</v>
      </c>
      <c r="B978" s="3" t="s">
        <v>781</v>
      </c>
      <c r="C978" s="3" t="s">
        <v>768</v>
      </c>
      <c r="D978" s="3" t="s">
        <v>33</v>
      </c>
      <c r="E978" s="3">
        <v>113</v>
      </c>
      <c r="F978" s="3" t="s">
        <v>34</v>
      </c>
      <c r="G978" s="3" t="s">
        <v>38</v>
      </c>
      <c r="H978" s="3">
        <v>26</v>
      </c>
      <c r="I978" s="4">
        <v>113</v>
      </c>
      <c r="J978" s="5">
        <v>1650000</v>
      </c>
      <c r="K978" s="6">
        <f>$E978+1</f>
        <v>114</v>
      </c>
      <c r="L978" s="7">
        <f>IF($J978=0,0,ROUND(MAX($J978*1.4,1620000*(1.497923^(MIN($E978,123)-117)))*1,0))</f>
        <v>2310000</v>
      </c>
      <c r="M978" s="4">
        <f>$E978+2</f>
        <v>115</v>
      </c>
      <c r="N978" s="8">
        <f>IF($J978=0,0,ROUND(MAX($J978*1.4*1.5,2190000*(1.580994^(MIN($E978,123)-117)))*1,0))</f>
        <v>3465000</v>
      </c>
      <c r="O978" s="6">
        <f>$E978+4</f>
        <v>117</v>
      </c>
      <c r="P978" s="7">
        <f>IF($J978=0,0,ROUND(MAX($J978*1.4*1.5*1.6,3500000*(1.57975^(MIN($E978,123)-117)))*1,0))</f>
        <v>5544000</v>
      </c>
      <c r="Q978" s="4">
        <f>$E978+6</f>
        <v>119</v>
      </c>
      <c r="R978" s="8">
        <f>IF($J978=0,0,ROUND(MAX($J978*1.4*1.5*1.6*1.6,13100000*(1.429962^(MIN($E978,123)-117)))*1,0))</f>
        <v>8870400</v>
      </c>
      <c r="S978" s="6">
        <f>$E978+8</f>
        <v>121</v>
      </c>
      <c r="T978" s="7">
        <f>IF($J978=0,0,ROUND(MAX($J978*1.4*1.5*1.6*1.6*2.2,42600000*(1.576904^(MIN($E978,123)-117)))*1,0))</f>
        <v>19514880</v>
      </c>
      <c r="U978" s="4">
        <f>$E978+11</f>
        <v>124</v>
      </c>
      <c r="V978" s="8">
        <f>IF($J978=0,0,ROUND(MAX($J978*1.4*1.5*1.6*1.6*2.2*2.715,354000000*(1.642074^(MIN($E978,123)-117)))*1,0))</f>
        <v>52982899</v>
      </c>
      <c r="W978" s="6">
        <f>$E978+15</f>
        <v>128</v>
      </c>
      <c r="X978" s="7">
        <f>IF($J978=0,0,ROUND(MAX($J978*1.4*1.5*1.6*1.6*2.2*2.715*2.6,3540000000*(1.579646^(MIN($E978,123)-117)))*1,0))</f>
        <v>568544122</v>
      </c>
      <c r="Y978" s="4">
        <f>$E978+17</f>
        <v>130</v>
      </c>
      <c r="Z978" s="8">
        <f>IF($J978=0,0,ROUND(MAX($J978*1.4*1.5*1.6*1.6*2.2*2.715*2.6*1.4,6020000000*(1.651178^(MIN($E978,123)-117)))*1,0))</f>
        <v>809880453</v>
      </c>
      <c r="AA978" s="6">
        <f>$E978+19</f>
        <v>132</v>
      </c>
      <c r="AB978" s="7">
        <f>IF($J978=0,0,ROUND(MAX($J978*1.4*1.5*1.6*1.6*2.2*2.715*2.6*1.4*1.4,8430000000*(1.651435^(MIN($E978,123)-117)))*1,0))</f>
        <v>1133395897</v>
      </c>
      <c r="AC978" s="4">
        <f>$E978+21</f>
        <v>134</v>
      </c>
      <c r="AD978" s="8">
        <f>IF($J978=0,0,ROUND(MAX($J978*1.4*1.5*1.6*1.6*2.2*2.715*2.6*1.4*1.4*1.5,12600000000*(1.652953^(MIN($E978,123)-117)))*1,0))</f>
        <v>1687829312</v>
      </c>
      <c r="AE978" s="6">
        <f>$E978+24</f>
        <v>137</v>
      </c>
      <c r="AF978" s="7">
        <f>IF($J978=0,0,ROUND(MAX($J978*1.4*1.5*1.6*1.6*2.2*2.715*2.6*1.4*1.4*1.5*1.5,18900000000*(1.65331^(MIN($E978,123)-117)))*1,0))</f>
        <v>2529557954</v>
      </c>
      <c r="AG978" s="4">
        <f>$E978+27</f>
        <v>140</v>
      </c>
      <c r="AH978" s="8">
        <f>IF($J978=0,0,ROUND(MAX($J978*1.4*1.5*1.6*1.6*2.2*2.715*2.6*1.4*1.4*1.5*1.5*3.2,60500000000*(1.654288^(MIN($E978,123)-117)))*1,0))</f>
        <v>8078131097</v>
      </c>
    </row>
    <row r="979" ht="27.75" customHeight="1" spans="1:34" x14ac:dyDescent="0.25">
      <c r="A979" s="3">
        <v>989</v>
      </c>
      <c r="B979" s="3" t="s">
        <v>475</v>
      </c>
      <c r="C979" s="3" t="s">
        <v>768</v>
      </c>
      <c r="D979" s="3" t="s">
        <v>102</v>
      </c>
      <c r="E979" s="3">
        <v>113</v>
      </c>
      <c r="F979" s="3" t="s">
        <v>30</v>
      </c>
      <c r="G979" s="3" t="s">
        <v>769</v>
      </c>
      <c r="H979" s="3">
        <v>26</v>
      </c>
      <c r="I979" s="4">
        <v>113</v>
      </c>
      <c r="J979" s="5">
        <v>119000</v>
      </c>
      <c r="K979" s="6">
        <f>$E979+1</f>
        <v>114</v>
      </c>
      <c r="L979" s="7">
        <f>IF($J979=0,0,ROUND(MAX($J979*1.4,1620000*(1.497923^(MIN($E979,123)-117)))*1,0))</f>
        <v>321779</v>
      </c>
      <c r="M979" s="4">
        <f>$E979+2</f>
        <v>115</v>
      </c>
      <c r="N979" s="8">
        <f>IF($J979=0,0,ROUND(MAX($J979*1.4*1.5,2190000*(1.580994^(MIN($E979,123)-117)))*1,0))</f>
        <v>350528</v>
      </c>
      <c r="O979" s="6">
        <f>$E979+4</f>
        <v>117</v>
      </c>
      <c r="P979" s="7">
        <f>IF($J979=0,0,ROUND(MAX($J979*1.4*1.5*1.6,3500000*(1.57975^(MIN($E979,123)-117)))*1,0))</f>
        <v>561972</v>
      </c>
      <c r="Q979" s="4">
        <f>$E979+6</f>
        <v>119</v>
      </c>
      <c r="R979" s="8">
        <f>IF($J979=0,0,ROUND(MAX($J979*1.4*1.5*1.6*1.6,13100000*(1.429962^(MIN($E979,123)-117)))*1,0))</f>
        <v>3133093</v>
      </c>
      <c r="S979" s="6">
        <f>$E979+8</f>
        <v>121</v>
      </c>
      <c r="T979" s="7">
        <f>IF($J979=0,0,ROUND(MAX($J979*1.4*1.5*1.6*1.6*2.2,42600000*(1.576904^(MIN($E979,123)-117)))*1,0))</f>
        <v>6889514</v>
      </c>
      <c r="U979" s="4">
        <f>$E979+11</f>
        <v>124</v>
      </c>
      <c r="V979" s="8">
        <f>IF($J979=0,0,ROUND(MAX($J979*1.4*1.5*1.6*1.6*2.2*2.715,354000000*(1.642074^(MIN($E979,123)-117)))*1,0))</f>
        <v>48689169</v>
      </c>
      <c r="W979" s="6">
        <f>$E979+15</f>
        <v>128</v>
      </c>
      <c r="X979" s="7">
        <f>IF($J979=0,0,ROUND(MAX($J979*1.4*1.5*1.6*1.6*2.2*2.715*2.6,3540000000*(1.579646^(MIN($E979,123)-117)))*1,0))</f>
        <v>568544122</v>
      </c>
      <c r="Y979" s="4">
        <f>$E979+17</f>
        <v>130</v>
      </c>
      <c r="Z979" s="8">
        <f>IF($J979=0,0,ROUND(MAX($J979*1.4*1.5*1.6*1.6*2.2*2.715*2.6*1.4,6020000000*(1.651178^(MIN($E979,123)-117)))*1,0))</f>
        <v>809880453</v>
      </c>
      <c r="AA979" s="6">
        <f>$E979+19</f>
        <v>132</v>
      </c>
      <c r="AB979" s="7">
        <f>IF($J979=0,0,ROUND(MAX($J979*1.4*1.5*1.6*1.6*2.2*2.715*2.6*1.4*1.4,8430000000*(1.651435^(MIN($E979,123)-117)))*1,0))</f>
        <v>1133395897</v>
      </c>
      <c r="AC979" s="4">
        <f>$E979+21</f>
        <v>134</v>
      </c>
      <c r="AD979" s="8">
        <f>IF($J979=0,0,ROUND(MAX($J979*1.4*1.5*1.6*1.6*2.2*2.715*2.6*1.4*1.4*1.5,12600000000*(1.652953^(MIN($E979,123)-117)))*1,0))</f>
        <v>1687829312</v>
      </c>
      <c r="AE979" s="6">
        <f>$E979+24</f>
        <v>137</v>
      </c>
      <c r="AF979" s="7">
        <f>IF($J979=0,0,ROUND(MAX($J979*1.4*1.5*1.6*1.6*2.2*2.715*2.6*1.4*1.4*1.5*1.5,18900000000*(1.65331^(MIN($E979,123)-117)))*1,0))</f>
        <v>2529557954</v>
      </c>
      <c r="AG979" s="4">
        <f>$E979+27</f>
        <v>140</v>
      </c>
      <c r="AH979" s="8">
        <f>IF($J979=0,0,ROUND(MAX($J979*1.4*1.5*1.6*1.6*2.2*2.715*2.6*1.4*1.4*1.5*1.5*3.2,60500000000*(1.654288^(MIN($E979,123)-117)))*1,0))</f>
        <v>8078131097</v>
      </c>
    </row>
    <row r="980" ht="27.75" customHeight="1" spans="1:34" x14ac:dyDescent="0.25">
      <c r="A980" s="3">
        <v>990</v>
      </c>
      <c r="B980" s="3" t="s">
        <v>782</v>
      </c>
      <c r="C980" s="3" t="s">
        <v>768</v>
      </c>
      <c r="D980" s="3" t="s">
        <v>33</v>
      </c>
      <c r="E980" s="3">
        <v>113</v>
      </c>
      <c r="F980" s="3" t="s">
        <v>71</v>
      </c>
      <c r="G980" s="3" t="s">
        <v>213</v>
      </c>
      <c r="H980" s="3">
        <v>26</v>
      </c>
      <c r="I980" s="4">
        <v>113</v>
      </c>
      <c r="J980" s="5">
        <v>166000</v>
      </c>
      <c r="K980" s="6">
        <f>$E980+1</f>
        <v>114</v>
      </c>
      <c r="L980" s="7">
        <f>IF($J980=0,0,ROUND(MAX($J980*1.4,1620000*(1.497923^(MIN($E980,123)-117)))*1,0))</f>
        <v>321779</v>
      </c>
      <c r="M980" s="4">
        <f>$E980+2</f>
        <v>115</v>
      </c>
      <c r="N980" s="8">
        <f>IF($J980=0,0,ROUND(MAX($J980*1.4*1.5,2190000*(1.580994^(MIN($E980,123)-117)))*1,0))</f>
        <v>350528</v>
      </c>
      <c r="O980" s="6">
        <f>$E980+4</f>
        <v>117</v>
      </c>
      <c r="P980" s="7">
        <f>IF($J980=0,0,ROUND(MAX($J980*1.4*1.5*1.6,3500000*(1.57975^(MIN($E980,123)-117)))*1,0))</f>
        <v>561972</v>
      </c>
      <c r="Q980" s="4">
        <f>$E980+6</f>
        <v>119</v>
      </c>
      <c r="R980" s="8">
        <f>IF($J980=0,0,ROUND(MAX($J980*1.4*1.5*1.6*1.6,13100000*(1.429962^(MIN($E980,123)-117)))*1,0))</f>
        <v>3133093</v>
      </c>
      <c r="S980" s="6">
        <f>$E980+8</f>
        <v>121</v>
      </c>
      <c r="T980" s="7">
        <f>IF($J980=0,0,ROUND(MAX($J980*1.4*1.5*1.6*1.6*2.2,42600000*(1.576904^(MIN($E980,123)-117)))*1,0))</f>
        <v>6889514</v>
      </c>
      <c r="U980" s="4">
        <f>$E980+11</f>
        <v>124</v>
      </c>
      <c r="V980" s="8">
        <f>IF($J980=0,0,ROUND(MAX($J980*1.4*1.5*1.6*1.6*2.2*2.715,354000000*(1.642074^(MIN($E980,123)-117)))*1,0))</f>
        <v>48689169</v>
      </c>
      <c r="W980" s="6">
        <f>$E980+15</f>
        <v>128</v>
      </c>
      <c r="X980" s="7">
        <f>IF($J980=0,0,ROUND(MAX($J980*1.4*1.5*1.6*1.6*2.2*2.715*2.6,3540000000*(1.579646^(MIN($E980,123)-117)))*1,0))</f>
        <v>568544122</v>
      </c>
      <c r="Y980" s="4">
        <f>$E980+17</f>
        <v>130</v>
      </c>
      <c r="Z980" s="8">
        <f>IF($J980=0,0,ROUND(MAX($J980*1.4*1.5*1.6*1.6*2.2*2.715*2.6*1.4,6020000000*(1.651178^(MIN($E980,123)-117)))*1,0))</f>
        <v>809880453</v>
      </c>
      <c r="AA980" s="6">
        <f>$E980+19</f>
        <v>132</v>
      </c>
      <c r="AB980" s="7">
        <f>IF($J980=0,0,ROUND(MAX($J980*1.4*1.5*1.6*1.6*2.2*2.715*2.6*1.4*1.4,8430000000*(1.651435^(MIN($E980,123)-117)))*1,0))</f>
        <v>1133395897</v>
      </c>
      <c r="AC980" s="4">
        <f>$E980+21</f>
        <v>134</v>
      </c>
      <c r="AD980" s="8">
        <f>IF($J980=0,0,ROUND(MAX($J980*1.4*1.5*1.6*1.6*2.2*2.715*2.6*1.4*1.4*1.5,12600000000*(1.652953^(MIN($E980,123)-117)))*1,0))</f>
        <v>1687829312</v>
      </c>
      <c r="AE980" s="6">
        <f>$E980+24</f>
        <v>137</v>
      </c>
      <c r="AF980" s="7">
        <f>IF($J980=0,0,ROUND(MAX($J980*1.4*1.5*1.6*1.6*2.2*2.715*2.6*1.4*1.4*1.5*1.5,18900000000*(1.65331^(MIN($E980,123)-117)))*1,0))</f>
        <v>2529557954</v>
      </c>
      <c r="AG980" s="4">
        <f>$E980+27</f>
        <v>140</v>
      </c>
      <c r="AH980" s="8">
        <f>IF($J980=0,0,ROUND(MAX($J980*1.4*1.5*1.6*1.6*2.2*2.715*2.6*1.4*1.4*1.5*1.5*3.2,60500000000*(1.654288^(MIN($E980,123)-117)))*1,0))</f>
        <v>8078131097</v>
      </c>
    </row>
    <row r="981" ht="27.75" customHeight="1" spans="1:34" x14ac:dyDescent="0.25">
      <c r="A981" s="3">
        <v>991</v>
      </c>
      <c r="B981" s="3" t="s">
        <v>145</v>
      </c>
      <c r="C981" s="3" t="s">
        <v>768</v>
      </c>
      <c r="D981" s="3" t="s">
        <v>47</v>
      </c>
      <c r="E981" s="3">
        <v>113</v>
      </c>
      <c r="F981" s="3" t="s">
        <v>146</v>
      </c>
      <c r="G981" s="3" t="s">
        <v>769</v>
      </c>
      <c r="H981" s="3">
        <v>25</v>
      </c>
      <c r="I981" s="4">
        <v>113</v>
      </c>
      <c r="J981" s="5">
        <v>192000</v>
      </c>
      <c r="K981" s="6">
        <f>$E981+1</f>
        <v>114</v>
      </c>
      <c r="L981" s="7">
        <f>IF($J981=0,0,ROUND(MAX($J981*1.4,1620000*(1.497923^(MIN($E981,123)-117)))*1,0))</f>
        <v>321779</v>
      </c>
      <c r="M981" s="4">
        <f>$E981+2</f>
        <v>115</v>
      </c>
      <c r="N981" s="8">
        <f>IF($J981=0,0,ROUND(MAX($J981*1.4*1.5,2190000*(1.580994^(MIN($E981,123)-117)))*1,0))</f>
        <v>403200</v>
      </c>
      <c r="O981" s="6">
        <f>$E981+4</f>
        <v>117</v>
      </c>
      <c r="P981" s="7">
        <f>IF($J981=0,0,ROUND(MAX($J981*1.4*1.5*1.6,3500000*(1.57975^(MIN($E981,123)-117)))*1,0))</f>
        <v>645120</v>
      </c>
      <c r="Q981" s="4">
        <f>$E981+6</f>
        <v>119</v>
      </c>
      <c r="R981" s="8">
        <f>IF($J981=0,0,ROUND(MAX($J981*1.4*1.5*1.6*1.6,13100000*(1.429962^(MIN($E981,123)-117)))*1,0))</f>
        <v>3133093</v>
      </c>
      <c r="S981" s="6">
        <f>$E981+8</f>
        <v>121</v>
      </c>
      <c r="T981" s="7">
        <f>IF($J981=0,0,ROUND(MAX($J981*1.4*1.5*1.6*1.6*2.2,42600000*(1.576904^(MIN($E981,123)-117)))*1,0))</f>
        <v>6889514</v>
      </c>
      <c r="U981" s="4">
        <f>$E981+11</f>
        <v>124</v>
      </c>
      <c r="V981" s="8">
        <f>IF($J981=0,0,ROUND(MAX($J981*1.4*1.5*1.6*1.6*2.2*2.715,354000000*(1.642074^(MIN($E981,123)-117)))*1,0))</f>
        <v>48689169</v>
      </c>
      <c r="W981" s="6">
        <f>$E981+15</f>
        <v>128</v>
      </c>
      <c r="X981" s="7">
        <f>IF($J981=0,0,ROUND(MAX($J981*1.4*1.5*1.6*1.6*2.2*2.715*2.6,3540000000*(1.579646^(MIN($E981,123)-117)))*1,0))</f>
        <v>568544122</v>
      </c>
      <c r="Y981" s="4">
        <f>$E981+17</f>
        <v>130</v>
      </c>
      <c r="Z981" s="8">
        <f>IF($J981=0,0,ROUND(MAX($J981*1.4*1.5*1.6*1.6*2.2*2.715*2.6*1.4,6020000000*(1.651178^(MIN($E981,123)-117)))*1,0))</f>
        <v>809880453</v>
      </c>
      <c r="AA981" s="6">
        <f>$E981+19</f>
        <v>132</v>
      </c>
      <c r="AB981" s="7">
        <f>IF($J981=0,0,ROUND(MAX($J981*1.4*1.5*1.6*1.6*2.2*2.715*2.6*1.4*1.4,8430000000*(1.651435^(MIN($E981,123)-117)))*1,0))</f>
        <v>1133395897</v>
      </c>
      <c r="AC981" s="4">
        <f>$E981+21</f>
        <v>134</v>
      </c>
      <c r="AD981" s="8">
        <f>IF($J981=0,0,ROUND(MAX($J981*1.4*1.5*1.6*1.6*2.2*2.715*2.6*1.4*1.4*1.5,12600000000*(1.652953^(MIN($E981,123)-117)))*1,0))</f>
        <v>1687829312</v>
      </c>
      <c r="AE981" s="6">
        <f>$E981+24</f>
        <v>137</v>
      </c>
      <c r="AF981" s="7">
        <f>IF($J981=0,0,ROUND(MAX($J981*1.4*1.5*1.6*1.6*2.2*2.715*2.6*1.4*1.4*1.5*1.5,18900000000*(1.65331^(MIN($E981,123)-117)))*1,0))</f>
        <v>2529557954</v>
      </c>
      <c r="AG981" s="4">
        <f>$E981+27</f>
        <v>140</v>
      </c>
      <c r="AH981" s="8">
        <f>IF($J981=0,0,ROUND(MAX($J981*1.4*1.5*1.6*1.6*2.2*2.715*2.6*1.4*1.4*1.5*1.5*3.2,60500000000*(1.654288^(MIN($E981,123)-117)))*1,0))</f>
        <v>8078131097</v>
      </c>
    </row>
    <row r="982" ht="27.75" customHeight="1" spans="1:34" x14ac:dyDescent="0.25">
      <c r="A982" s="3">
        <v>992</v>
      </c>
      <c r="B982" s="3" t="s">
        <v>625</v>
      </c>
      <c r="C982" s="3" t="s">
        <v>768</v>
      </c>
      <c r="D982" s="3" t="s">
        <v>47</v>
      </c>
      <c r="E982" s="3">
        <v>113</v>
      </c>
      <c r="F982" s="3" t="s">
        <v>30</v>
      </c>
      <c r="G982" s="3" t="s">
        <v>133</v>
      </c>
      <c r="H982" s="3">
        <v>24</v>
      </c>
      <c r="I982" s="4">
        <v>113</v>
      </c>
      <c r="J982" s="5">
        <v>182000</v>
      </c>
      <c r="K982" s="6">
        <f>$E982+1</f>
        <v>114</v>
      </c>
      <c r="L982" s="7">
        <f>IF($J982=0,0,ROUND(MAX($J982*1.4,1620000*(1.497923^(MIN($E982,123)-117)))*1,0))</f>
        <v>321779</v>
      </c>
      <c r="M982" s="4">
        <f>$E982+2</f>
        <v>115</v>
      </c>
      <c r="N982" s="8">
        <f>IF($J982=0,0,ROUND(MAX($J982*1.4*1.5,2190000*(1.580994^(MIN($E982,123)-117)))*1,0))</f>
        <v>382200</v>
      </c>
      <c r="O982" s="6">
        <f>$E982+4</f>
        <v>117</v>
      </c>
      <c r="P982" s="7">
        <f>IF($J982=0,0,ROUND(MAX($J982*1.4*1.5*1.6,3500000*(1.57975^(MIN($E982,123)-117)))*1,0))</f>
        <v>611520</v>
      </c>
      <c r="Q982" s="4">
        <f>$E982+6</f>
        <v>119</v>
      </c>
      <c r="R982" s="8">
        <f>IF($J982=0,0,ROUND(MAX($J982*1.4*1.5*1.6*1.6,13100000*(1.429962^(MIN($E982,123)-117)))*1,0))</f>
        <v>3133093</v>
      </c>
      <c r="S982" s="6">
        <f>$E982+8</f>
        <v>121</v>
      </c>
      <c r="T982" s="7">
        <f>IF($J982=0,0,ROUND(MAX($J982*1.4*1.5*1.6*1.6*2.2,42600000*(1.576904^(MIN($E982,123)-117)))*1,0))</f>
        <v>6889514</v>
      </c>
      <c r="U982" s="4">
        <f>$E982+11</f>
        <v>124</v>
      </c>
      <c r="V982" s="8">
        <f>IF($J982=0,0,ROUND(MAX($J982*1.4*1.5*1.6*1.6*2.2*2.715,354000000*(1.642074^(MIN($E982,123)-117)))*1,0))</f>
        <v>48689169</v>
      </c>
      <c r="W982" s="6">
        <f>$E982+15</f>
        <v>128</v>
      </c>
      <c r="X982" s="7">
        <f>IF($J982=0,0,ROUND(MAX($J982*1.4*1.5*1.6*1.6*2.2*2.715*2.6,3540000000*(1.579646^(MIN($E982,123)-117)))*1,0))</f>
        <v>568544122</v>
      </c>
      <c r="Y982" s="4">
        <f>$E982+17</f>
        <v>130</v>
      </c>
      <c r="Z982" s="8">
        <f>IF($J982=0,0,ROUND(MAX($J982*1.4*1.5*1.6*1.6*2.2*2.715*2.6*1.4,6020000000*(1.651178^(MIN($E982,123)-117)))*1,0))</f>
        <v>809880453</v>
      </c>
      <c r="AA982" s="6">
        <f>$E982+19</f>
        <v>132</v>
      </c>
      <c r="AB982" s="7">
        <f>IF($J982=0,0,ROUND(MAX($J982*1.4*1.5*1.6*1.6*2.2*2.715*2.6*1.4*1.4,8430000000*(1.651435^(MIN($E982,123)-117)))*1,0))</f>
        <v>1133395897</v>
      </c>
      <c r="AC982" s="4">
        <f>$E982+21</f>
        <v>134</v>
      </c>
      <c r="AD982" s="8">
        <f>IF($J982=0,0,ROUND(MAX($J982*1.4*1.5*1.6*1.6*2.2*2.715*2.6*1.4*1.4*1.5,12600000000*(1.652953^(MIN($E982,123)-117)))*1,0))</f>
        <v>1687829312</v>
      </c>
      <c r="AE982" s="6">
        <f>$E982+24</f>
        <v>137</v>
      </c>
      <c r="AF982" s="7">
        <f>IF($J982=0,0,ROUND(MAX($J982*1.4*1.5*1.6*1.6*2.2*2.715*2.6*1.4*1.4*1.5*1.5,18900000000*(1.65331^(MIN($E982,123)-117)))*1,0))</f>
        <v>2529557954</v>
      </c>
      <c r="AG982" s="4">
        <f>$E982+27</f>
        <v>140</v>
      </c>
      <c r="AH982" s="8">
        <f>IF($J982=0,0,ROUND(MAX($J982*1.4*1.5*1.6*1.6*2.2*2.715*2.6*1.4*1.4*1.5*1.5*3.2,60500000000*(1.654288^(MIN($E982,123)-117)))*1,0))</f>
        <v>8078131097</v>
      </c>
    </row>
    <row r="983" ht="27.75" customHeight="1" spans="1:34" x14ac:dyDescent="0.25">
      <c r="A983" s="3">
        <v>993</v>
      </c>
      <c r="B983" s="3" t="s">
        <v>783</v>
      </c>
      <c r="C983" s="3" t="s">
        <v>768</v>
      </c>
      <c r="D983" s="3" t="s">
        <v>47</v>
      </c>
      <c r="E983" s="3">
        <v>113</v>
      </c>
      <c r="F983" s="3" t="s">
        <v>30</v>
      </c>
      <c r="G983" s="3" t="s">
        <v>784</v>
      </c>
      <c r="H983" s="3">
        <v>24</v>
      </c>
      <c r="I983" s="4">
        <v>113</v>
      </c>
      <c r="J983" s="5">
        <v>136000</v>
      </c>
      <c r="K983" s="6">
        <f>$E983+1</f>
        <v>114</v>
      </c>
      <c r="L983" s="7">
        <f>IF($J983=0,0,ROUND(MAX($J983*1.4,1620000*(1.497923^(MIN($E983,123)-117)))*1,0))</f>
        <v>321779</v>
      </c>
      <c r="M983" s="4">
        <f>$E983+2</f>
        <v>115</v>
      </c>
      <c r="N983" s="8">
        <f>IF($J983=0,0,ROUND(MAX($J983*1.4*1.5,2190000*(1.580994^(MIN($E983,123)-117)))*1,0))</f>
        <v>350528</v>
      </c>
      <c r="O983" s="6">
        <f>$E983+4</f>
        <v>117</v>
      </c>
      <c r="P983" s="7">
        <f>IF($J983=0,0,ROUND(MAX($J983*1.4*1.5*1.6,3500000*(1.57975^(MIN($E983,123)-117)))*1,0))</f>
        <v>561972</v>
      </c>
      <c r="Q983" s="4">
        <f>$E983+6</f>
        <v>119</v>
      </c>
      <c r="R983" s="8">
        <f>IF($J983=0,0,ROUND(MAX($J983*1.4*1.5*1.6*1.6,13100000*(1.429962^(MIN($E983,123)-117)))*1,0))</f>
        <v>3133093</v>
      </c>
      <c r="S983" s="6">
        <f>$E983+8</f>
        <v>121</v>
      </c>
      <c r="T983" s="7">
        <f>IF($J983=0,0,ROUND(MAX($J983*1.4*1.5*1.6*1.6*2.2,42600000*(1.576904^(MIN($E983,123)-117)))*1,0))</f>
        <v>6889514</v>
      </c>
      <c r="U983" s="4">
        <f>$E983+11</f>
        <v>124</v>
      </c>
      <c r="V983" s="8">
        <f>IF($J983=0,0,ROUND(MAX($J983*1.4*1.5*1.6*1.6*2.2*2.715,354000000*(1.642074^(MIN($E983,123)-117)))*1,0))</f>
        <v>48689169</v>
      </c>
      <c r="W983" s="6">
        <f>$E983+15</f>
        <v>128</v>
      </c>
      <c r="X983" s="7">
        <f>IF($J983=0,0,ROUND(MAX($J983*1.4*1.5*1.6*1.6*2.2*2.715*2.6,3540000000*(1.579646^(MIN($E983,123)-117)))*1,0))</f>
        <v>568544122</v>
      </c>
      <c r="Y983" s="4">
        <f>$E983+17</f>
        <v>130</v>
      </c>
      <c r="Z983" s="8">
        <f>IF($J983=0,0,ROUND(MAX($J983*1.4*1.5*1.6*1.6*2.2*2.715*2.6*1.4,6020000000*(1.651178^(MIN($E983,123)-117)))*1,0))</f>
        <v>809880453</v>
      </c>
      <c r="AA983" s="6">
        <f>$E983+19</f>
        <v>132</v>
      </c>
      <c r="AB983" s="7">
        <f>IF($J983=0,0,ROUND(MAX($J983*1.4*1.5*1.6*1.6*2.2*2.715*2.6*1.4*1.4,8430000000*(1.651435^(MIN($E983,123)-117)))*1,0))</f>
        <v>1133395897</v>
      </c>
      <c r="AC983" s="4">
        <f>$E983+21</f>
        <v>134</v>
      </c>
      <c r="AD983" s="8">
        <f>IF($J983=0,0,ROUND(MAX($J983*1.4*1.5*1.6*1.6*2.2*2.715*2.6*1.4*1.4*1.5,12600000000*(1.652953^(MIN($E983,123)-117)))*1,0))</f>
        <v>1687829312</v>
      </c>
      <c r="AE983" s="6">
        <f>$E983+24</f>
        <v>137</v>
      </c>
      <c r="AF983" s="7">
        <f>IF($J983=0,0,ROUND(MAX($J983*1.4*1.5*1.6*1.6*2.2*2.715*2.6*1.4*1.4*1.5*1.5,18900000000*(1.65331^(MIN($E983,123)-117)))*1,0))</f>
        <v>2529557954</v>
      </c>
      <c r="AG983" s="4">
        <f>$E983+27</f>
        <v>140</v>
      </c>
      <c r="AH983" s="8">
        <f>IF($J983=0,0,ROUND(MAX($J983*1.4*1.5*1.6*1.6*2.2*2.715*2.6*1.4*1.4*1.5*1.5*3.2,60500000000*(1.654288^(MIN($E983,123)-117)))*1,0))</f>
        <v>8078131097</v>
      </c>
    </row>
    <row r="984" ht="27.75" customHeight="1" spans="1:34" x14ac:dyDescent="0.25">
      <c r="A984" s="3">
        <v>994</v>
      </c>
      <c r="B984" s="3" t="s">
        <v>785</v>
      </c>
      <c r="C984" s="3" t="s">
        <v>768</v>
      </c>
      <c r="D984" s="3" t="s">
        <v>47</v>
      </c>
      <c r="E984" s="3">
        <v>113</v>
      </c>
      <c r="F984" s="3" t="s">
        <v>34</v>
      </c>
      <c r="G984" s="3" t="s">
        <v>72</v>
      </c>
      <c r="H984" s="3">
        <v>24</v>
      </c>
      <c r="I984" s="4">
        <v>113</v>
      </c>
      <c r="J984" s="5">
        <v>171000</v>
      </c>
      <c r="K984" s="6">
        <f>$E984+1</f>
        <v>114</v>
      </c>
      <c r="L984" s="7">
        <f>IF($J984=0,0,ROUND(MAX($J984*1.4,1620000*(1.497923^(MIN($E984,123)-117)))*1,0))</f>
        <v>321779</v>
      </c>
      <c r="M984" s="4">
        <f>$E984+2</f>
        <v>115</v>
      </c>
      <c r="N984" s="8">
        <f>IF($J984=0,0,ROUND(MAX($J984*1.4*1.5,2190000*(1.580994^(MIN($E984,123)-117)))*1,0))</f>
        <v>359100</v>
      </c>
      <c r="O984" s="6">
        <f>$E984+4</f>
        <v>117</v>
      </c>
      <c r="P984" s="7">
        <f>IF($J984=0,0,ROUND(MAX($J984*1.4*1.5*1.6,3500000*(1.57975^(MIN($E984,123)-117)))*1,0))</f>
        <v>574560</v>
      </c>
      <c r="Q984" s="4">
        <f>$E984+6</f>
        <v>119</v>
      </c>
      <c r="R984" s="8">
        <f>IF($J984=0,0,ROUND(MAX($J984*1.4*1.5*1.6*1.6,13100000*(1.429962^(MIN($E984,123)-117)))*1,0))</f>
        <v>3133093</v>
      </c>
      <c r="S984" s="6">
        <f>$E984+8</f>
        <v>121</v>
      </c>
      <c r="T984" s="7">
        <f>IF($J984=0,0,ROUND(MAX($J984*1.4*1.5*1.6*1.6*2.2,42600000*(1.576904^(MIN($E984,123)-117)))*1,0))</f>
        <v>6889514</v>
      </c>
      <c r="U984" s="4">
        <f>$E984+11</f>
        <v>124</v>
      </c>
      <c r="V984" s="8">
        <f>IF($J984=0,0,ROUND(MAX($J984*1.4*1.5*1.6*1.6*2.2*2.715,354000000*(1.642074^(MIN($E984,123)-117)))*1,0))</f>
        <v>48689169</v>
      </c>
      <c r="W984" s="6">
        <f>$E984+15</f>
        <v>128</v>
      </c>
      <c r="X984" s="7">
        <f>IF($J984=0,0,ROUND(MAX($J984*1.4*1.5*1.6*1.6*2.2*2.715*2.6,3540000000*(1.579646^(MIN($E984,123)-117)))*1,0))</f>
        <v>568544122</v>
      </c>
      <c r="Y984" s="4">
        <f>$E984+17</f>
        <v>130</v>
      </c>
      <c r="Z984" s="8">
        <f>IF($J984=0,0,ROUND(MAX($J984*1.4*1.5*1.6*1.6*2.2*2.715*2.6*1.4,6020000000*(1.651178^(MIN($E984,123)-117)))*1,0))</f>
        <v>809880453</v>
      </c>
      <c r="AA984" s="6">
        <f>$E984+19</f>
        <v>132</v>
      </c>
      <c r="AB984" s="7">
        <f>IF($J984=0,0,ROUND(MAX($J984*1.4*1.5*1.6*1.6*2.2*2.715*2.6*1.4*1.4,8430000000*(1.651435^(MIN($E984,123)-117)))*1,0))</f>
        <v>1133395897</v>
      </c>
      <c r="AC984" s="4">
        <f>$E984+21</f>
        <v>134</v>
      </c>
      <c r="AD984" s="8">
        <f>IF($J984=0,0,ROUND(MAX($J984*1.4*1.5*1.6*1.6*2.2*2.715*2.6*1.4*1.4*1.5,12600000000*(1.652953^(MIN($E984,123)-117)))*1,0))</f>
        <v>1687829312</v>
      </c>
      <c r="AE984" s="6">
        <f>$E984+24</f>
        <v>137</v>
      </c>
      <c r="AF984" s="7">
        <f>IF($J984=0,0,ROUND(MAX($J984*1.4*1.5*1.6*1.6*2.2*2.715*2.6*1.4*1.4*1.5*1.5,18900000000*(1.65331^(MIN($E984,123)-117)))*1,0))</f>
        <v>2529557954</v>
      </c>
      <c r="AG984" s="4">
        <f>$E984+27</f>
        <v>140</v>
      </c>
      <c r="AH984" s="8">
        <f>IF($J984=0,0,ROUND(MAX($J984*1.4*1.5*1.6*1.6*2.2*2.715*2.6*1.4*1.4*1.5*1.5*3.2,60500000000*(1.654288^(MIN($E984,123)-117)))*1,0))</f>
        <v>8078131097</v>
      </c>
    </row>
    <row r="985" ht="27.75" customHeight="1" spans="1:34" x14ac:dyDescent="0.25">
      <c r="A985" s="3">
        <v>995</v>
      </c>
      <c r="B985" s="3" t="s">
        <v>327</v>
      </c>
      <c r="C985" s="3" t="s">
        <v>768</v>
      </c>
      <c r="D985" s="3" t="s">
        <v>47</v>
      </c>
      <c r="E985" s="3">
        <v>113</v>
      </c>
      <c r="F985" s="3" t="s">
        <v>310</v>
      </c>
      <c r="G985" s="3" t="s">
        <v>38</v>
      </c>
      <c r="H985" s="3">
        <v>24</v>
      </c>
      <c r="I985" s="4">
        <v>113</v>
      </c>
      <c r="J985" s="5">
        <v>124000</v>
      </c>
      <c r="K985" s="6">
        <f>$E985+1</f>
        <v>114</v>
      </c>
      <c r="L985" s="7">
        <f>IF($J985=0,0,ROUND(MAX($J985*1.4,1620000*(1.497923^(MIN($E985,123)-117)))*1,0))</f>
        <v>321779</v>
      </c>
      <c r="M985" s="4">
        <f>$E985+2</f>
        <v>115</v>
      </c>
      <c r="N985" s="8">
        <f>IF($J985=0,0,ROUND(MAX($J985*1.4*1.5,2190000*(1.580994^(MIN($E985,123)-117)))*1,0))</f>
        <v>350528</v>
      </c>
      <c r="O985" s="6">
        <f>$E985+4</f>
        <v>117</v>
      </c>
      <c r="P985" s="7">
        <f>IF($J985=0,0,ROUND(MAX($J985*1.4*1.5*1.6,3500000*(1.57975^(MIN($E985,123)-117)))*1,0))</f>
        <v>561972</v>
      </c>
      <c r="Q985" s="4">
        <f>$E985+6</f>
        <v>119</v>
      </c>
      <c r="R985" s="8">
        <f>IF($J985=0,0,ROUND(MAX($J985*1.4*1.5*1.6*1.6,13100000*(1.429962^(MIN($E985,123)-117)))*1,0))</f>
        <v>3133093</v>
      </c>
      <c r="S985" s="6">
        <f>$E985+8</f>
        <v>121</v>
      </c>
      <c r="T985" s="7">
        <f>IF($J985=0,0,ROUND(MAX($J985*1.4*1.5*1.6*1.6*2.2,42600000*(1.576904^(MIN($E985,123)-117)))*1,0))</f>
        <v>6889514</v>
      </c>
      <c r="U985" s="4">
        <f>$E985+11</f>
        <v>124</v>
      </c>
      <c r="V985" s="8">
        <f>IF($J985=0,0,ROUND(MAX($J985*1.4*1.5*1.6*1.6*2.2*2.715,354000000*(1.642074^(MIN($E985,123)-117)))*1,0))</f>
        <v>48689169</v>
      </c>
      <c r="W985" s="6">
        <f>$E985+15</f>
        <v>128</v>
      </c>
      <c r="X985" s="7">
        <f>IF($J985=0,0,ROUND(MAX($J985*1.4*1.5*1.6*1.6*2.2*2.715*2.6,3540000000*(1.579646^(MIN($E985,123)-117)))*1,0))</f>
        <v>568544122</v>
      </c>
      <c r="Y985" s="4">
        <f>$E985+17</f>
        <v>130</v>
      </c>
      <c r="Z985" s="8">
        <f>IF($J985=0,0,ROUND(MAX($J985*1.4*1.5*1.6*1.6*2.2*2.715*2.6*1.4,6020000000*(1.651178^(MIN($E985,123)-117)))*1,0))</f>
        <v>809880453</v>
      </c>
      <c r="AA985" s="6">
        <f>$E985+19</f>
        <v>132</v>
      </c>
      <c r="AB985" s="7">
        <f>IF($J985=0,0,ROUND(MAX($J985*1.4*1.5*1.6*1.6*2.2*2.715*2.6*1.4*1.4,8430000000*(1.651435^(MIN($E985,123)-117)))*1,0))</f>
        <v>1133395897</v>
      </c>
      <c r="AC985" s="4">
        <f>$E985+21</f>
        <v>134</v>
      </c>
      <c r="AD985" s="8">
        <f>IF($J985=0,0,ROUND(MAX($J985*1.4*1.5*1.6*1.6*2.2*2.715*2.6*1.4*1.4*1.5,12600000000*(1.652953^(MIN($E985,123)-117)))*1,0))</f>
        <v>1687829312</v>
      </c>
      <c r="AE985" s="6">
        <f>$E985+24</f>
        <v>137</v>
      </c>
      <c r="AF985" s="7">
        <f>IF($J985=0,0,ROUND(MAX($J985*1.4*1.5*1.6*1.6*2.2*2.715*2.6*1.4*1.4*1.5*1.5,18900000000*(1.65331^(MIN($E985,123)-117)))*1,0))</f>
        <v>2529557954</v>
      </c>
      <c r="AG985" s="4">
        <f>$E985+27</f>
        <v>140</v>
      </c>
      <c r="AH985" s="8">
        <f>IF($J985=0,0,ROUND(MAX($J985*1.4*1.5*1.6*1.6*2.2*2.715*2.6*1.4*1.4*1.5*1.5*3.2,60500000000*(1.654288^(MIN($E985,123)-117)))*1,0))</f>
        <v>8078131097</v>
      </c>
    </row>
    <row r="986" ht="27.75" customHeight="1" spans="1:34" x14ac:dyDescent="0.25">
      <c r="A986" s="3">
        <v>996</v>
      </c>
      <c r="B986" s="3" t="s">
        <v>658</v>
      </c>
      <c r="C986" s="3" t="s">
        <v>768</v>
      </c>
      <c r="D986" s="3" t="s">
        <v>40</v>
      </c>
      <c r="E986" s="3">
        <v>112</v>
      </c>
      <c r="F986" s="3" t="s">
        <v>62</v>
      </c>
      <c r="G986" s="3" t="s">
        <v>769</v>
      </c>
      <c r="H986" s="3">
        <v>27</v>
      </c>
      <c r="I986" s="4">
        <v>112</v>
      </c>
      <c r="J986" s="5">
        <v>233000</v>
      </c>
      <c r="K986" s="6">
        <f>$E986+1</f>
        <v>113</v>
      </c>
      <c r="L986" s="7">
        <f>IF($J986=0,0,ROUND(MAX($J986*1.4,1620000*(1.497923^(MIN($E986,123)-117)))*1,0))</f>
        <v>326200</v>
      </c>
      <c r="M986" s="4">
        <f>$E986+2</f>
        <v>114</v>
      </c>
      <c r="N986" s="8">
        <f>IF($J986=0,0,ROUND(MAX($J986*1.4*1.5,2190000*(1.580994^(MIN($E986,123)-117)))*1,0))</f>
        <v>489300</v>
      </c>
      <c r="O986" s="6">
        <f>$E986+4</f>
        <v>116</v>
      </c>
      <c r="P986" s="7">
        <f>IF($J986=0,0,ROUND(MAX($J986*1.4*1.5*1.6,3500000*(1.57975^(MIN($E986,123)-117)))*1,0))</f>
        <v>782880</v>
      </c>
      <c r="Q986" s="4">
        <f>$E986+6</f>
        <v>118</v>
      </c>
      <c r="R986" s="8">
        <f>IF($J986=0,0,ROUND(MAX($J986*1.4*1.5*1.6*1.6,13100000*(1.429962^(MIN($E986,123)-117)))*1,0))</f>
        <v>2191032</v>
      </c>
      <c r="S986" s="6">
        <f>$E986+8</f>
        <v>120</v>
      </c>
      <c r="T986" s="7">
        <f>IF($J986=0,0,ROUND(MAX($J986*1.4*1.5*1.6*1.6*2.2,42600000*(1.576904^(MIN($E986,123)-117)))*1,0))</f>
        <v>4369013</v>
      </c>
      <c r="U986" s="4">
        <f>$E986+11</f>
        <v>123</v>
      </c>
      <c r="V986" s="8">
        <f>IF($J986=0,0,ROUND(MAX($J986*1.4*1.5*1.6*1.6*2.2*2.715,354000000*(1.642074^(MIN($E986,123)-117)))*1,0))</f>
        <v>29651020</v>
      </c>
      <c r="W986" s="6">
        <f>$E986+15</f>
        <v>127</v>
      </c>
      <c r="X986" s="7">
        <f>IF($J986=0,0,ROUND(MAX($J986*1.4*1.5*1.6*1.6*2.2*2.715*2.6,3540000000*(1.579646^(MIN($E986,123)-117)))*1,0))</f>
        <v>359918692</v>
      </c>
      <c r="Y986" s="4">
        <f>$E986+17</f>
        <v>129</v>
      </c>
      <c r="Z986" s="8">
        <f>IF($J986=0,0,ROUND(MAX($J986*1.4*1.5*1.6*1.6*2.2*2.715*2.6*1.4,6020000000*(1.651178^(MIN($E986,123)-117)))*1,0))</f>
        <v>490486461</v>
      </c>
      <c r="AA986" s="6">
        <f>$E986+19</f>
        <v>131</v>
      </c>
      <c r="AB986" s="7">
        <f>IF($J986=0,0,ROUND(MAX($J986*1.4*1.5*1.6*1.6*2.2*2.715*2.6*1.4*1.4,8430000000*(1.651435^(MIN($E986,123)-117)))*1,0))</f>
        <v>686309723</v>
      </c>
      <c r="AC986" s="4">
        <f>$E986+21</f>
        <v>133</v>
      </c>
      <c r="AD986" s="8">
        <f>IF($J986=0,0,ROUND(MAX($J986*1.4*1.5*1.6*1.6*2.2*2.715*2.6*1.4*1.4*1.5,12600000000*(1.652953^(MIN($E986,123)-117)))*1,0))</f>
        <v>1021099398</v>
      </c>
      <c r="AE986" s="6">
        <f>$E986+24</f>
        <v>136</v>
      </c>
      <c r="AF986" s="7">
        <f>IF($J986=0,0,ROUND(MAX($J986*1.4*1.5*1.6*1.6*2.2*2.715*2.6*1.4*1.4*1.5*1.5,18900000000*(1.65331^(MIN($E986,123)-117)))*1,0))</f>
        <v>1529996162</v>
      </c>
      <c r="AG986" s="4">
        <f>$E986+27</f>
        <v>139</v>
      </c>
      <c r="AH986" s="8">
        <f>IF($J986=0,0,ROUND(MAX($J986*1.4*1.5*1.6*1.6*2.2*2.715*2.6*1.4*1.4*1.5*1.5*3.2,60500000000*(1.654288^(MIN($E986,123)-117)))*1,0))</f>
        <v>4883146766</v>
      </c>
    </row>
    <row r="987" ht="27.75" customHeight="1" spans="1:34" x14ac:dyDescent="0.25">
      <c r="A987" s="3">
        <v>997</v>
      </c>
      <c r="B987" s="3" t="s">
        <v>786</v>
      </c>
      <c r="C987" s="3" t="s">
        <v>768</v>
      </c>
      <c r="D987" s="3" t="s">
        <v>45</v>
      </c>
      <c r="E987" s="3">
        <v>112</v>
      </c>
      <c r="F987" s="3" t="s">
        <v>212</v>
      </c>
      <c r="G987" s="3" t="s">
        <v>185</v>
      </c>
      <c r="H987" s="3">
        <v>27</v>
      </c>
      <c r="I987" s="4">
        <v>112</v>
      </c>
      <c r="J987" s="5">
        <v>81500</v>
      </c>
      <c r="K987" s="6">
        <f>$E987+1</f>
        <v>113</v>
      </c>
      <c r="L987" s="7">
        <f>IF($J987=0,0,ROUND(MAX($J987*1.4,1620000*(1.497923^(MIN($E987,123)-117)))*1,0))</f>
        <v>214816</v>
      </c>
      <c r="M987" s="4">
        <f>$E987+2</f>
        <v>114</v>
      </c>
      <c r="N987" s="8">
        <f>IF($J987=0,0,ROUND(MAX($J987*1.4*1.5,2190000*(1.580994^(MIN($E987,123)-117)))*1,0))</f>
        <v>221714</v>
      </c>
      <c r="O987" s="6">
        <f>$E987+4</f>
        <v>116</v>
      </c>
      <c r="P987" s="7">
        <f>IF($J987=0,0,ROUND(MAX($J987*1.4*1.5*1.6,3500000*(1.57975^(MIN($E987,123)-117)))*1,0))</f>
        <v>355735</v>
      </c>
      <c r="Q987" s="4">
        <f>$E987+6</f>
        <v>118</v>
      </c>
      <c r="R987" s="8">
        <f>IF($J987=0,0,ROUND(MAX($J987*1.4*1.5*1.6*1.6,13100000*(1.429962^(MIN($E987,123)-117)))*1,0))</f>
        <v>2191032</v>
      </c>
      <c r="S987" s="6">
        <f>$E987+8</f>
        <v>120</v>
      </c>
      <c r="T987" s="7">
        <f>IF($J987=0,0,ROUND(MAX($J987*1.4*1.5*1.6*1.6*2.2,42600000*(1.576904^(MIN($E987,123)-117)))*1,0))</f>
        <v>4369013</v>
      </c>
      <c r="U987" s="4">
        <f>$E987+11</f>
        <v>123</v>
      </c>
      <c r="V987" s="8">
        <f>IF($J987=0,0,ROUND(MAX($J987*1.4*1.5*1.6*1.6*2.2*2.715,354000000*(1.642074^(MIN($E987,123)-117)))*1,0))</f>
        <v>29651020</v>
      </c>
      <c r="W987" s="6">
        <f>$E987+15</f>
        <v>127</v>
      </c>
      <c r="X987" s="7">
        <f>IF($J987=0,0,ROUND(MAX($J987*1.4*1.5*1.6*1.6*2.2*2.715*2.6,3540000000*(1.579646^(MIN($E987,123)-117)))*1,0))</f>
        <v>359918692</v>
      </c>
      <c r="Y987" s="4">
        <f>$E987+17</f>
        <v>129</v>
      </c>
      <c r="Z987" s="8">
        <f>IF($J987=0,0,ROUND(MAX($J987*1.4*1.5*1.6*1.6*2.2*2.715*2.6*1.4,6020000000*(1.651178^(MIN($E987,123)-117)))*1,0))</f>
        <v>490486461</v>
      </c>
      <c r="AA987" s="6">
        <f>$E987+19</f>
        <v>131</v>
      </c>
      <c r="AB987" s="7">
        <f>IF($J987=0,0,ROUND(MAX($J987*1.4*1.5*1.6*1.6*2.2*2.715*2.6*1.4*1.4,8430000000*(1.651435^(MIN($E987,123)-117)))*1,0))</f>
        <v>686309723</v>
      </c>
      <c r="AC987" s="4">
        <f>$E987+21</f>
        <v>133</v>
      </c>
      <c r="AD987" s="8">
        <f>IF($J987=0,0,ROUND(MAX($J987*1.4*1.5*1.6*1.6*2.2*2.715*2.6*1.4*1.4*1.5,12600000000*(1.652953^(MIN($E987,123)-117)))*1,0))</f>
        <v>1021099398</v>
      </c>
      <c r="AE987" s="6">
        <f>$E987+24</f>
        <v>136</v>
      </c>
      <c r="AF987" s="7">
        <f>IF($J987=0,0,ROUND(MAX($J987*1.4*1.5*1.6*1.6*2.2*2.715*2.6*1.4*1.4*1.5*1.5,18900000000*(1.65331^(MIN($E987,123)-117)))*1,0))</f>
        <v>1529996162</v>
      </c>
      <c r="AG987" s="4">
        <f>$E987+27</f>
        <v>139</v>
      </c>
      <c r="AH987" s="8">
        <f>IF($J987=0,0,ROUND(MAX($J987*1.4*1.5*1.6*1.6*2.2*2.715*2.6*1.4*1.4*1.5*1.5*3.2,60500000000*(1.654288^(MIN($E987,123)-117)))*1,0))</f>
        <v>4883146766</v>
      </c>
    </row>
    <row r="988" ht="27.75" customHeight="1" spans="1:34" x14ac:dyDescent="0.25">
      <c r="A988" s="3">
        <v>998</v>
      </c>
      <c r="B988" s="3" t="s">
        <v>478</v>
      </c>
      <c r="C988" s="3" t="s">
        <v>768</v>
      </c>
      <c r="D988" s="3" t="s">
        <v>64</v>
      </c>
      <c r="E988" s="3">
        <v>112</v>
      </c>
      <c r="F988" s="3" t="s">
        <v>479</v>
      </c>
      <c r="G988" s="3" t="s">
        <v>351</v>
      </c>
      <c r="H988" s="3">
        <v>27</v>
      </c>
      <c r="I988" s="4">
        <v>112</v>
      </c>
      <c r="J988" s="5">
        <v>62300</v>
      </c>
      <c r="K988" s="6">
        <f>$E988+1</f>
        <v>113</v>
      </c>
      <c r="L988" s="7">
        <f>IF($J988=0,0,ROUND(MAX($J988*1.4,1620000*(1.497923^(MIN($E988,123)-117)))*1,0))</f>
        <v>214816</v>
      </c>
      <c r="M988" s="4">
        <f>$E988+2</f>
        <v>114</v>
      </c>
      <c r="N988" s="8">
        <f>IF($J988=0,0,ROUND(MAX($J988*1.4*1.5,2190000*(1.580994^(MIN($E988,123)-117)))*1,0))</f>
        <v>221714</v>
      </c>
      <c r="O988" s="6">
        <f>$E988+4</f>
        <v>116</v>
      </c>
      <c r="P988" s="7">
        <f>IF($J988=0,0,ROUND(MAX($J988*1.4*1.5*1.6,3500000*(1.57975^(MIN($E988,123)-117)))*1,0))</f>
        <v>355735</v>
      </c>
      <c r="Q988" s="4">
        <f>$E988+6</f>
        <v>118</v>
      </c>
      <c r="R988" s="8">
        <f>IF($J988=0,0,ROUND(MAX($J988*1.4*1.5*1.6*1.6,13100000*(1.429962^(MIN($E988,123)-117)))*1,0))</f>
        <v>2191032</v>
      </c>
      <c r="S988" s="6">
        <f>$E988+8</f>
        <v>120</v>
      </c>
      <c r="T988" s="7">
        <f>IF($J988=0,0,ROUND(MAX($J988*1.4*1.5*1.6*1.6*2.2,42600000*(1.576904^(MIN($E988,123)-117)))*1,0))</f>
        <v>4369013</v>
      </c>
      <c r="U988" s="4">
        <f>$E988+11</f>
        <v>123</v>
      </c>
      <c r="V988" s="8">
        <f>IF($J988=0,0,ROUND(MAX($J988*1.4*1.5*1.6*1.6*2.2*2.715,354000000*(1.642074^(MIN($E988,123)-117)))*1,0))</f>
        <v>29651020</v>
      </c>
      <c r="W988" s="6">
        <f>$E988+15</f>
        <v>127</v>
      </c>
      <c r="X988" s="7">
        <f>IF($J988=0,0,ROUND(MAX($J988*1.4*1.5*1.6*1.6*2.2*2.715*2.6,3540000000*(1.579646^(MIN($E988,123)-117)))*1,0))</f>
        <v>359918692</v>
      </c>
      <c r="Y988" s="4">
        <f>$E988+17</f>
        <v>129</v>
      </c>
      <c r="Z988" s="8">
        <f>IF($J988=0,0,ROUND(MAX($J988*1.4*1.5*1.6*1.6*2.2*2.715*2.6*1.4,6020000000*(1.651178^(MIN($E988,123)-117)))*1,0))</f>
        <v>490486461</v>
      </c>
      <c r="AA988" s="6">
        <f>$E988+19</f>
        <v>131</v>
      </c>
      <c r="AB988" s="7">
        <f>IF($J988=0,0,ROUND(MAX($J988*1.4*1.5*1.6*1.6*2.2*2.715*2.6*1.4*1.4,8430000000*(1.651435^(MIN($E988,123)-117)))*1,0))</f>
        <v>686309723</v>
      </c>
      <c r="AC988" s="4">
        <f>$E988+21</f>
        <v>133</v>
      </c>
      <c r="AD988" s="8">
        <f>IF($J988=0,0,ROUND(MAX($J988*1.4*1.5*1.6*1.6*2.2*2.715*2.6*1.4*1.4*1.5,12600000000*(1.652953^(MIN($E988,123)-117)))*1,0))</f>
        <v>1021099398</v>
      </c>
      <c r="AE988" s="6">
        <f>$E988+24</f>
        <v>136</v>
      </c>
      <c r="AF988" s="7">
        <f>IF($J988=0,0,ROUND(MAX($J988*1.4*1.5*1.6*1.6*2.2*2.715*2.6*1.4*1.4*1.5*1.5,18900000000*(1.65331^(MIN($E988,123)-117)))*1,0))</f>
        <v>1529996162</v>
      </c>
      <c r="AG988" s="4">
        <f>$E988+27</f>
        <v>139</v>
      </c>
      <c r="AH988" s="8">
        <f>IF($J988=0,0,ROUND(MAX($J988*1.4*1.5*1.6*1.6*2.2*2.715*2.6*1.4*1.4*1.5*1.5*3.2,60500000000*(1.654288^(MIN($E988,123)-117)))*1,0))</f>
        <v>4883146766</v>
      </c>
    </row>
    <row r="989" ht="27.75" customHeight="1" spans="1:34" x14ac:dyDescent="0.25">
      <c r="A989" s="3">
        <v>999</v>
      </c>
      <c r="B989" s="3" t="s">
        <v>692</v>
      </c>
      <c r="C989" s="3" t="s">
        <v>768</v>
      </c>
      <c r="D989" s="3" t="s">
        <v>29</v>
      </c>
      <c r="E989" s="3">
        <v>112</v>
      </c>
      <c r="F989" s="3" t="s">
        <v>30</v>
      </c>
      <c r="G989" s="3" t="s">
        <v>769</v>
      </c>
      <c r="H989" s="3">
        <v>27</v>
      </c>
      <c r="I989" s="4">
        <v>112</v>
      </c>
      <c r="J989" s="5">
        <v>101000</v>
      </c>
      <c r="K989" s="6">
        <f>$E989+1</f>
        <v>113</v>
      </c>
      <c r="L989" s="7">
        <f>IF($J989=0,0,ROUND(MAX($J989*1.4,1620000*(1.497923^(MIN($E989,123)-117)))*1,0))</f>
        <v>214816</v>
      </c>
      <c r="M989" s="4">
        <f>$E989+2</f>
        <v>114</v>
      </c>
      <c r="N989" s="8">
        <f>IF($J989=0,0,ROUND(MAX($J989*1.4*1.5,2190000*(1.580994^(MIN($E989,123)-117)))*1,0))</f>
        <v>221714</v>
      </c>
      <c r="O989" s="6">
        <f>$E989+4</f>
        <v>116</v>
      </c>
      <c r="P989" s="7">
        <f>IF($J989=0,0,ROUND(MAX($J989*1.4*1.5*1.6,3500000*(1.57975^(MIN($E989,123)-117)))*1,0))</f>
        <v>355735</v>
      </c>
      <c r="Q989" s="4">
        <f>$E989+6</f>
        <v>118</v>
      </c>
      <c r="R989" s="8">
        <f>IF($J989=0,0,ROUND(MAX($J989*1.4*1.5*1.6*1.6,13100000*(1.429962^(MIN($E989,123)-117)))*1,0))</f>
        <v>2191032</v>
      </c>
      <c r="S989" s="6">
        <f>$E989+8</f>
        <v>120</v>
      </c>
      <c r="T989" s="7">
        <f>IF($J989=0,0,ROUND(MAX($J989*1.4*1.5*1.6*1.6*2.2,42600000*(1.576904^(MIN($E989,123)-117)))*1,0))</f>
        <v>4369013</v>
      </c>
      <c r="U989" s="4">
        <f>$E989+11</f>
        <v>123</v>
      </c>
      <c r="V989" s="8">
        <f>IF($J989=0,0,ROUND(MAX($J989*1.4*1.5*1.6*1.6*2.2*2.715,354000000*(1.642074^(MIN($E989,123)-117)))*1,0))</f>
        <v>29651020</v>
      </c>
      <c r="W989" s="6">
        <f>$E989+15</f>
        <v>127</v>
      </c>
      <c r="X989" s="7">
        <f>IF($J989=0,0,ROUND(MAX($J989*1.4*1.5*1.6*1.6*2.2*2.715*2.6,3540000000*(1.579646^(MIN($E989,123)-117)))*1,0))</f>
        <v>359918692</v>
      </c>
      <c r="Y989" s="4">
        <f>$E989+17</f>
        <v>129</v>
      </c>
      <c r="Z989" s="8">
        <f>IF($J989=0,0,ROUND(MAX($J989*1.4*1.5*1.6*1.6*2.2*2.715*2.6*1.4,6020000000*(1.651178^(MIN($E989,123)-117)))*1,0))</f>
        <v>490486461</v>
      </c>
      <c r="AA989" s="6">
        <f>$E989+19</f>
        <v>131</v>
      </c>
      <c r="AB989" s="7">
        <f>IF($J989=0,0,ROUND(MAX($J989*1.4*1.5*1.6*1.6*2.2*2.715*2.6*1.4*1.4,8430000000*(1.651435^(MIN($E989,123)-117)))*1,0))</f>
        <v>686309723</v>
      </c>
      <c r="AC989" s="4">
        <f>$E989+21</f>
        <v>133</v>
      </c>
      <c r="AD989" s="8">
        <f>IF($J989=0,0,ROUND(MAX($J989*1.4*1.5*1.6*1.6*2.2*2.715*2.6*1.4*1.4*1.5,12600000000*(1.652953^(MIN($E989,123)-117)))*1,0))</f>
        <v>1021099398</v>
      </c>
      <c r="AE989" s="6">
        <f>$E989+24</f>
        <v>136</v>
      </c>
      <c r="AF989" s="7">
        <f>IF($J989=0,0,ROUND(MAX($J989*1.4*1.5*1.6*1.6*2.2*2.715*2.6*1.4*1.4*1.5*1.5,18900000000*(1.65331^(MIN($E989,123)-117)))*1,0))</f>
        <v>1529996162</v>
      </c>
      <c r="AG989" s="4">
        <f>$E989+27</f>
        <v>139</v>
      </c>
      <c r="AH989" s="8">
        <f>IF($J989=0,0,ROUND(MAX($J989*1.4*1.5*1.6*1.6*2.2*2.715*2.6*1.4*1.4*1.5*1.5*3.2,60500000000*(1.654288^(MIN($E989,123)-117)))*1,0))</f>
        <v>4883146766</v>
      </c>
    </row>
    <row r="990" ht="27.75" customHeight="1" spans="1:34" x14ac:dyDescent="0.25">
      <c r="A990" s="3">
        <v>1000</v>
      </c>
      <c r="B990" s="3" t="s">
        <v>536</v>
      </c>
      <c r="C990" s="3" t="s">
        <v>768</v>
      </c>
      <c r="D990" s="3" t="s">
        <v>40</v>
      </c>
      <c r="E990" s="3">
        <v>112</v>
      </c>
      <c r="F990" s="3" t="s">
        <v>26</v>
      </c>
      <c r="G990" s="3" t="s">
        <v>769</v>
      </c>
      <c r="H990" s="3">
        <v>27</v>
      </c>
      <c r="I990" s="4">
        <v>112</v>
      </c>
      <c r="J990" s="5">
        <v>97000</v>
      </c>
      <c r="K990" s="6">
        <f>$E990+1</f>
        <v>113</v>
      </c>
      <c r="L990" s="7">
        <f>IF($J990=0,0,ROUND(MAX($J990*1.4,1620000*(1.497923^(MIN($E990,123)-117)))*1,0))</f>
        <v>214816</v>
      </c>
      <c r="M990" s="4">
        <f>$E990+2</f>
        <v>114</v>
      </c>
      <c r="N990" s="8">
        <f>IF($J990=0,0,ROUND(MAX($J990*1.4*1.5,2190000*(1.580994^(MIN($E990,123)-117)))*1,0))</f>
        <v>221714</v>
      </c>
      <c r="O990" s="6">
        <f>$E990+4</f>
        <v>116</v>
      </c>
      <c r="P990" s="7">
        <f>IF($J990=0,0,ROUND(MAX($J990*1.4*1.5*1.6,3500000*(1.57975^(MIN($E990,123)-117)))*1,0))</f>
        <v>355735</v>
      </c>
      <c r="Q990" s="4">
        <f>$E990+6</f>
        <v>118</v>
      </c>
      <c r="R990" s="8">
        <f>IF($J990=0,0,ROUND(MAX($J990*1.4*1.5*1.6*1.6,13100000*(1.429962^(MIN($E990,123)-117)))*1,0))</f>
        <v>2191032</v>
      </c>
      <c r="S990" s="6">
        <f>$E990+8</f>
        <v>120</v>
      </c>
      <c r="T990" s="7">
        <f>IF($J990=0,0,ROUND(MAX($J990*1.4*1.5*1.6*1.6*2.2,42600000*(1.576904^(MIN($E990,123)-117)))*1,0))</f>
        <v>4369013</v>
      </c>
      <c r="U990" s="4">
        <f>$E990+11</f>
        <v>123</v>
      </c>
      <c r="V990" s="8">
        <f>IF($J990=0,0,ROUND(MAX($J990*1.4*1.5*1.6*1.6*2.2*2.715,354000000*(1.642074^(MIN($E990,123)-117)))*1,0))</f>
        <v>29651020</v>
      </c>
      <c r="W990" s="6">
        <f>$E990+15</f>
        <v>127</v>
      </c>
      <c r="X990" s="7">
        <f>IF($J990=0,0,ROUND(MAX($J990*1.4*1.5*1.6*1.6*2.2*2.715*2.6,3540000000*(1.579646^(MIN($E990,123)-117)))*1,0))</f>
        <v>359918692</v>
      </c>
      <c r="Y990" s="4">
        <f>$E990+17</f>
        <v>129</v>
      </c>
      <c r="Z990" s="8">
        <f>IF($J990=0,0,ROUND(MAX($J990*1.4*1.5*1.6*1.6*2.2*2.715*2.6*1.4,6020000000*(1.651178^(MIN($E990,123)-117)))*1,0))</f>
        <v>490486461</v>
      </c>
      <c r="AA990" s="6">
        <f>$E990+19</f>
        <v>131</v>
      </c>
      <c r="AB990" s="7">
        <f>IF($J990=0,0,ROUND(MAX($J990*1.4*1.5*1.6*1.6*2.2*2.715*2.6*1.4*1.4,8430000000*(1.651435^(MIN($E990,123)-117)))*1,0))</f>
        <v>686309723</v>
      </c>
      <c r="AC990" s="4">
        <f>$E990+21</f>
        <v>133</v>
      </c>
      <c r="AD990" s="8">
        <f>IF($J990=0,0,ROUND(MAX($J990*1.4*1.5*1.6*1.6*2.2*2.715*2.6*1.4*1.4*1.5,12600000000*(1.652953^(MIN($E990,123)-117)))*1,0))</f>
        <v>1021099398</v>
      </c>
      <c r="AE990" s="6">
        <f>$E990+24</f>
        <v>136</v>
      </c>
      <c r="AF990" s="7">
        <f>IF($J990=0,0,ROUND(MAX($J990*1.4*1.5*1.6*1.6*2.2*2.715*2.6*1.4*1.4*1.5*1.5,18900000000*(1.65331^(MIN($E990,123)-117)))*1,0))</f>
        <v>1529996162</v>
      </c>
      <c r="AG990" s="4">
        <f>$E990+27</f>
        <v>139</v>
      </c>
      <c r="AH990" s="8">
        <f>IF($J990=0,0,ROUND(MAX($J990*1.4*1.5*1.6*1.6*2.2*2.715*2.6*1.4*1.4*1.5*1.5*3.2,60500000000*(1.654288^(MIN($E990,123)-117)))*1,0))</f>
        <v>4883146766</v>
      </c>
    </row>
    <row r="991" ht="27.75" customHeight="1" spans="1:34" x14ac:dyDescent="0.25">
      <c r="A991" s="3">
        <v>1001</v>
      </c>
      <c r="B991" s="3" t="s">
        <v>787</v>
      </c>
      <c r="C991" s="3" t="s">
        <v>768</v>
      </c>
      <c r="D991" s="3" t="s">
        <v>45</v>
      </c>
      <c r="E991" s="3">
        <v>112</v>
      </c>
      <c r="F991" s="3" t="s">
        <v>56</v>
      </c>
      <c r="G991" s="3" t="s">
        <v>402</v>
      </c>
      <c r="H991" s="3">
        <v>27</v>
      </c>
      <c r="I991" s="4">
        <v>112</v>
      </c>
      <c r="J991" s="5">
        <v>110000</v>
      </c>
      <c r="K991" s="6">
        <f>$E991+1</f>
        <v>113</v>
      </c>
      <c r="L991" s="7">
        <f>IF($J991=0,0,ROUND(MAX($J991*1.4,1620000*(1.497923^(MIN($E991,123)-117)))*1,0))</f>
        <v>214816</v>
      </c>
      <c r="M991" s="4">
        <f>$E991+2</f>
        <v>114</v>
      </c>
      <c r="N991" s="8">
        <f>IF($J991=0,0,ROUND(MAX($J991*1.4*1.5,2190000*(1.580994^(MIN($E991,123)-117)))*1,0))</f>
        <v>231000</v>
      </c>
      <c r="O991" s="6">
        <f>$E991+4</f>
        <v>116</v>
      </c>
      <c r="P991" s="7">
        <f>IF($J991=0,0,ROUND(MAX($J991*1.4*1.5*1.6,3500000*(1.57975^(MIN($E991,123)-117)))*1,0))</f>
        <v>369600</v>
      </c>
      <c r="Q991" s="4">
        <f>$E991+6</f>
        <v>118</v>
      </c>
      <c r="R991" s="8">
        <f>IF($J991=0,0,ROUND(MAX($J991*1.4*1.5*1.6*1.6,13100000*(1.429962^(MIN($E991,123)-117)))*1,0))</f>
        <v>2191032</v>
      </c>
      <c r="S991" s="6">
        <f>$E991+8</f>
        <v>120</v>
      </c>
      <c r="T991" s="7">
        <f>IF($J991=0,0,ROUND(MAX($J991*1.4*1.5*1.6*1.6*2.2,42600000*(1.576904^(MIN($E991,123)-117)))*1,0))</f>
        <v>4369013</v>
      </c>
      <c r="U991" s="4">
        <f>$E991+11</f>
        <v>123</v>
      </c>
      <c r="V991" s="8">
        <f>IF($J991=0,0,ROUND(MAX($J991*1.4*1.5*1.6*1.6*2.2*2.715,354000000*(1.642074^(MIN($E991,123)-117)))*1,0))</f>
        <v>29651020</v>
      </c>
      <c r="W991" s="6">
        <f>$E991+15</f>
        <v>127</v>
      </c>
      <c r="X991" s="7">
        <f>IF($J991=0,0,ROUND(MAX($J991*1.4*1.5*1.6*1.6*2.2*2.715*2.6,3540000000*(1.579646^(MIN($E991,123)-117)))*1,0))</f>
        <v>359918692</v>
      </c>
      <c r="Y991" s="4">
        <f>$E991+17</f>
        <v>129</v>
      </c>
      <c r="Z991" s="8">
        <f>IF($J991=0,0,ROUND(MAX($J991*1.4*1.5*1.6*1.6*2.2*2.715*2.6*1.4,6020000000*(1.651178^(MIN($E991,123)-117)))*1,0))</f>
        <v>490486461</v>
      </c>
      <c r="AA991" s="6">
        <f>$E991+19</f>
        <v>131</v>
      </c>
      <c r="AB991" s="7">
        <f>IF($J991=0,0,ROUND(MAX($J991*1.4*1.5*1.6*1.6*2.2*2.715*2.6*1.4*1.4,8430000000*(1.651435^(MIN($E991,123)-117)))*1,0))</f>
        <v>686309723</v>
      </c>
      <c r="AC991" s="4">
        <f>$E991+21</f>
        <v>133</v>
      </c>
      <c r="AD991" s="8">
        <f>IF($J991=0,0,ROUND(MAX($J991*1.4*1.5*1.6*1.6*2.2*2.715*2.6*1.4*1.4*1.5,12600000000*(1.652953^(MIN($E991,123)-117)))*1,0))</f>
        <v>1021099398</v>
      </c>
      <c r="AE991" s="6">
        <f>$E991+24</f>
        <v>136</v>
      </c>
      <c r="AF991" s="7">
        <f>IF($J991=0,0,ROUND(MAX($J991*1.4*1.5*1.6*1.6*2.2*2.715*2.6*1.4*1.4*1.5*1.5,18900000000*(1.65331^(MIN($E991,123)-117)))*1,0))</f>
        <v>1529996162</v>
      </c>
      <c r="AG991" s="4">
        <f>$E991+27</f>
        <v>139</v>
      </c>
      <c r="AH991" s="8">
        <f>IF($J991=0,0,ROUND(MAX($J991*1.4*1.5*1.6*1.6*2.2*2.715*2.6*1.4*1.4*1.5*1.5*3.2,60500000000*(1.654288^(MIN($E991,123)-117)))*1,0))</f>
        <v>4883146766</v>
      </c>
    </row>
    <row r="992" ht="27.75" customHeight="1" spans="1:34" x14ac:dyDescent="0.25">
      <c r="A992" s="3">
        <v>1002</v>
      </c>
      <c r="B992" s="3" t="s">
        <v>191</v>
      </c>
      <c r="C992" s="3" t="s">
        <v>768</v>
      </c>
      <c r="D992" s="3" t="s">
        <v>40</v>
      </c>
      <c r="E992" s="3">
        <v>112</v>
      </c>
      <c r="F992" s="3" t="s">
        <v>120</v>
      </c>
      <c r="G992" s="3" t="s">
        <v>769</v>
      </c>
      <c r="H992" s="3">
        <v>27</v>
      </c>
      <c r="I992" s="4">
        <v>112</v>
      </c>
      <c r="J992" s="5">
        <v>67900</v>
      </c>
      <c r="K992" s="6">
        <f>$E992+1</f>
        <v>113</v>
      </c>
      <c r="L992" s="7">
        <f>IF($J992=0,0,ROUND(MAX($J992*1.4,1620000*(1.497923^(MIN($E992,123)-117)))*1,0))</f>
        <v>214816</v>
      </c>
      <c r="M992" s="4">
        <f>$E992+2</f>
        <v>114</v>
      </c>
      <c r="N992" s="8">
        <f>IF($J992=0,0,ROUND(MAX($J992*1.4*1.5,2190000*(1.580994^(MIN($E992,123)-117)))*1,0))</f>
        <v>221714</v>
      </c>
      <c r="O992" s="6">
        <f>$E992+4</f>
        <v>116</v>
      </c>
      <c r="P992" s="7">
        <f>IF($J992=0,0,ROUND(MAX($J992*1.4*1.5*1.6,3500000*(1.57975^(MIN($E992,123)-117)))*1,0))</f>
        <v>355735</v>
      </c>
      <c r="Q992" s="4">
        <f>$E992+6</f>
        <v>118</v>
      </c>
      <c r="R992" s="8">
        <f>IF($J992=0,0,ROUND(MAX($J992*1.4*1.5*1.6*1.6,13100000*(1.429962^(MIN($E992,123)-117)))*1,0))</f>
        <v>2191032</v>
      </c>
      <c r="S992" s="6">
        <f>$E992+8</f>
        <v>120</v>
      </c>
      <c r="T992" s="7">
        <f>IF($J992=0,0,ROUND(MAX($J992*1.4*1.5*1.6*1.6*2.2,42600000*(1.576904^(MIN($E992,123)-117)))*1,0))</f>
        <v>4369013</v>
      </c>
      <c r="U992" s="4">
        <f>$E992+11</f>
        <v>123</v>
      </c>
      <c r="V992" s="8">
        <f>IF($J992=0,0,ROUND(MAX($J992*1.4*1.5*1.6*1.6*2.2*2.715,354000000*(1.642074^(MIN($E992,123)-117)))*1,0))</f>
        <v>29651020</v>
      </c>
      <c r="W992" s="6">
        <f>$E992+15</f>
        <v>127</v>
      </c>
      <c r="X992" s="7">
        <f>IF($J992=0,0,ROUND(MAX($J992*1.4*1.5*1.6*1.6*2.2*2.715*2.6,3540000000*(1.579646^(MIN($E992,123)-117)))*1,0))</f>
        <v>359918692</v>
      </c>
      <c r="Y992" s="4">
        <f>$E992+17</f>
        <v>129</v>
      </c>
      <c r="Z992" s="8">
        <f>IF($J992=0,0,ROUND(MAX($J992*1.4*1.5*1.6*1.6*2.2*2.715*2.6*1.4,6020000000*(1.651178^(MIN($E992,123)-117)))*1,0))</f>
        <v>490486461</v>
      </c>
      <c r="AA992" s="6">
        <f>$E992+19</f>
        <v>131</v>
      </c>
      <c r="AB992" s="7">
        <f>IF($J992=0,0,ROUND(MAX($J992*1.4*1.5*1.6*1.6*2.2*2.715*2.6*1.4*1.4,8430000000*(1.651435^(MIN($E992,123)-117)))*1,0))</f>
        <v>686309723</v>
      </c>
      <c r="AC992" s="4">
        <f>$E992+21</f>
        <v>133</v>
      </c>
      <c r="AD992" s="8">
        <f>IF($J992=0,0,ROUND(MAX($J992*1.4*1.5*1.6*1.6*2.2*2.715*2.6*1.4*1.4*1.5,12600000000*(1.652953^(MIN($E992,123)-117)))*1,0))</f>
        <v>1021099398</v>
      </c>
      <c r="AE992" s="6">
        <f>$E992+24</f>
        <v>136</v>
      </c>
      <c r="AF992" s="7">
        <f>IF($J992=0,0,ROUND(MAX($J992*1.4*1.5*1.6*1.6*2.2*2.715*2.6*1.4*1.4*1.5*1.5,18900000000*(1.65331^(MIN($E992,123)-117)))*1,0))</f>
        <v>1529996162</v>
      </c>
      <c r="AG992" s="4">
        <f>$E992+27</f>
        <v>139</v>
      </c>
      <c r="AH992" s="8">
        <f>IF($J992=0,0,ROUND(MAX($J992*1.4*1.5*1.6*1.6*2.2*2.715*2.6*1.4*1.4*1.5*1.5*3.2,60500000000*(1.654288^(MIN($E992,123)-117)))*1,0))</f>
        <v>4883146766</v>
      </c>
    </row>
    <row r="993" ht="27.75" customHeight="1" spans="1:34" x14ac:dyDescent="0.25">
      <c r="A993" s="3">
        <v>1003</v>
      </c>
      <c r="B993" s="3" t="s">
        <v>195</v>
      </c>
      <c r="C993" s="3" t="s">
        <v>768</v>
      </c>
      <c r="D993" s="3" t="s">
        <v>40</v>
      </c>
      <c r="E993" s="3">
        <v>112</v>
      </c>
      <c r="F993" s="3" t="s">
        <v>42</v>
      </c>
      <c r="G993" s="3" t="s">
        <v>769</v>
      </c>
      <c r="H993" s="3">
        <v>27</v>
      </c>
      <c r="I993" s="4">
        <v>112</v>
      </c>
      <c r="J993" s="5">
        <v>45000</v>
      </c>
      <c r="K993" s="6">
        <f>$E993+1</f>
        <v>113</v>
      </c>
      <c r="L993" s="7">
        <f>IF($J993=0,0,ROUND(MAX($J993*1.4,1620000*(1.497923^(MIN($E993,123)-117)))*1,0))</f>
        <v>214816</v>
      </c>
      <c r="M993" s="4">
        <f>$E993+2</f>
        <v>114</v>
      </c>
      <c r="N993" s="8">
        <f>IF($J993=0,0,ROUND(MAX($J993*1.4*1.5,2190000*(1.580994^(MIN($E993,123)-117)))*1,0))</f>
        <v>221714</v>
      </c>
      <c r="O993" s="6">
        <f>$E993+4</f>
        <v>116</v>
      </c>
      <c r="P993" s="7">
        <f>IF($J993=0,0,ROUND(MAX($J993*1.4*1.5*1.6,3500000*(1.57975^(MIN($E993,123)-117)))*1,0))</f>
        <v>355735</v>
      </c>
      <c r="Q993" s="4">
        <f>$E993+6</f>
        <v>118</v>
      </c>
      <c r="R993" s="8">
        <f>IF($J993=0,0,ROUND(MAX($J993*1.4*1.5*1.6*1.6,13100000*(1.429962^(MIN($E993,123)-117)))*1,0))</f>
        <v>2191032</v>
      </c>
      <c r="S993" s="6">
        <f>$E993+8</f>
        <v>120</v>
      </c>
      <c r="T993" s="7">
        <f>IF($J993=0,0,ROUND(MAX($J993*1.4*1.5*1.6*1.6*2.2,42600000*(1.576904^(MIN($E993,123)-117)))*1,0))</f>
        <v>4369013</v>
      </c>
      <c r="U993" s="4">
        <f>$E993+11</f>
        <v>123</v>
      </c>
      <c r="V993" s="8">
        <f>IF($J993=0,0,ROUND(MAX($J993*1.4*1.5*1.6*1.6*2.2*2.715,354000000*(1.642074^(MIN($E993,123)-117)))*1,0))</f>
        <v>29651020</v>
      </c>
      <c r="W993" s="6">
        <f>$E993+15</f>
        <v>127</v>
      </c>
      <c r="X993" s="7">
        <f>IF($J993=0,0,ROUND(MAX($J993*1.4*1.5*1.6*1.6*2.2*2.715*2.6,3540000000*(1.579646^(MIN($E993,123)-117)))*1,0))</f>
        <v>359918692</v>
      </c>
      <c r="Y993" s="4">
        <f>$E993+17</f>
        <v>129</v>
      </c>
      <c r="Z993" s="8">
        <f>IF($J993=0,0,ROUND(MAX($J993*1.4*1.5*1.6*1.6*2.2*2.715*2.6*1.4,6020000000*(1.651178^(MIN($E993,123)-117)))*1,0))</f>
        <v>490486461</v>
      </c>
      <c r="AA993" s="6">
        <f>$E993+19</f>
        <v>131</v>
      </c>
      <c r="AB993" s="7">
        <f>IF($J993=0,0,ROUND(MAX($J993*1.4*1.5*1.6*1.6*2.2*2.715*2.6*1.4*1.4,8430000000*(1.651435^(MIN($E993,123)-117)))*1,0))</f>
        <v>686309723</v>
      </c>
      <c r="AC993" s="4">
        <f>$E993+21</f>
        <v>133</v>
      </c>
      <c r="AD993" s="8">
        <f>IF($J993=0,0,ROUND(MAX($J993*1.4*1.5*1.6*1.6*2.2*2.715*2.6*1.4*1.4*1.5,12600000000*(1.652953^(MIN($E993,123)-117)))*1,0))</f>
        <v>1021099398</v>
      </c>
      <c r="AE993" s="6">
        <f>$E993+24</f>
        <v>136</v>
      </c>
      <c r="AF993" s="7">
        <f>IF($J993=0,0,ROUND(MAX($J993*1.4*1.5*1.6*1.6*2.2*2.715*2.6*1.4*1.4*1.5*1.5,18900000000*(1.65331^(MIN($E993,123)-117)))*1,0))</f>
        <v>1529996162</v>
      </c>
      <c r="AG993" s="4">
        <f>$E993+27</f>
        <v>139</v>
      </c>
      <c r="AH993" s="8">
        <f>IF($J993=0,0,ROUND(MAX($J993*1.4*1.5*1.6*1.6*2.2*2.715*2.6*1.4*1.4*1.5*1.5*3.2,60500000000*(1.654288^(MIN($E993,123)-117)))*1,0))</f>
        <v>4883146766</v>
      </c>
    </row>
    <row r="994" ht="27.75" customHeight="1" spans="1:34" x14ac:dyDescent="0.25">
      <c r="A994" s="3">
        <v>1004</v>
      </c>
      <c r="B994" s="3" t="s">
        <v>619</v>
      </c>
      <c r="C994" s="3" t="s">
        <v>768</v>
      </c>
      <c r="D994" s="3" t="s">
        <v>93</v>
      </c>
      <c r="E994" s="3">
        <v>112</v>
      </c>
      <c r="F994" s="3" t="s">
        <v>54</v>
      </c>
      <c r="G994" s="3" t="s">
        <v>769</v>
      </c>
      <c r="H994" s="3">
        <v>27</v>
      </c>
      <c r="I994" s="4">
        <v>112</v>
      </c>
      <c r="J994" s="5">
        <v>80400</v>
      </c>
      <c r="K994" s="6">
        <f>$E994+1</f>
        <v>113</v>
      </c>
      <c r="L994" s="7">
        <f>IF($J994=0,0,ROUND(MAX($J994*1.4,1620000*(1.497923^(MIN($E994,123)-117)))*1,0))</f>
        <v>214816</v>
      </c>
      <c r="M994" s="4">
        <f>$E994+2</f>
        <v>114</v>
      </c>
      <c r="N994" s="8">
        <f>IF($J994=0,0,ROUND(MAX($J994*1.4*1.5,2190000*(1.580994^(MIN($E994,123)-117)))*1,0))</f>
        <v>221714</v>
      </c>
      <c r="O994" s="6">
        <f>$E994+4</f>
        <v>116</v>
      </c>
      <c r="P994" s="7">
        <f>IF($J994=0,0,ROUND(MAX($J994*1.4*1.5*1.6,3500000*(1.57975^(MIN($E994,123)-117)))*1,0))</f>
        <v>355735</v>
      </c>
      <c r="Q994" s="4">
        <f>$E994+6</f>
        <v>118</v>
      </c>
      <c r="R994" s="8">
        <f>IF($J994=0,0,ROUND(MAX($J994*1.4*1.5*1.6*1.6,13100000*(1.429962^(MIN($E994,123)-117)))*1,0))</f>
        <v>2191032</v>
      </c>
      <c r="S994" s="6">
        <f>$E994+8</f>
        <v>120</v>
      </c>
      <c r="T994" s="7">
        <f>IF($J994=0,0,ROUND(MAX($J994*1.4*1.5*1.6*1.6*2.2,42600000*(1.576904^(MIN($E994,123)-117)))*1,0))</f>
        <v>4369013</v>
      </c>
      <c r="U994" s="4">
        <f>$E994+11</f>
        <v>123</v>
      </c>
      <c r="V994" s="8">
        <f>IF($J994=0,0,ROUND(MAX($J994*1.4*1.5*1.6*1.6*2.2*2.715,354000000*(1.642074^(MIN($E994,123)-117)))*1,0))</f>
        <v>29651020</v>
      </c>
      <c r="W994" s="6">
        <f>$E994+15</f>
        <v>127</v>
      </c>
      <c r="X994" s="7">
        <f>IF($J994=0,0,ROUND(MAX($J994*1.4*1.5*1.6*1.6*2.2*2.715*2.6,3540000000*(1.579646^(MIN($E994,123)-117)))*1,0))</f>
        <v>359918692</v>
      </c>
      <c r="Y994" s="4">
        <f>$E994+17</f>
        <v>129</v>
      </c>
      <c r="Z994" s="8">
        <f>IF($J994=0,0,ROUND(MAX($J994*1.4*1.5*1.6*1.6*2.2*2.715*2.6*1.4,6020000000*(1.651178^(MIN($E994,123)-117)))*1,0))</f>
        <v>490486461</v>
      </c>
      <c r="AA994" s="6">
        <f>$E994+19</f>
        <v>131</v>
      </c>
      <c r="AB994" s="7">
        <f>IF($J994=0,0,ROUND(MAX($J994*1.4*1.5*1.6*1.6*2.2*2.715*2.6*1.4*1.4,8430000000*(1.651435^(MIN($E994,123)-117)))*1,0))</f>
        <v>686309723</v>
      </c>
      <c r="AC994" s="4">
        <f>$E994+21</f>
        <v>133</v>
      </c>
      <c r="AD994" s="8">
        <f>IF($J994=0,0,ROUND(MAX($J994*1.4*1.5*1.6*1.6*2.2*2.715*2.6*1.4*1.4*1.5,12600000000*(1.652953^(MIN($E994,123)-117)))*1,0))</f>
        <v>1021099398</v>
      </c>
      <c r="AE994" s="6">
        <f>$E994+24</f>
        <v>136</v>
      </c>
      <c r="AF994" s="7">
        <f>IF($J994=0,0,ROUND(MAX($J994*1.4*1.5*1.6*1.6*2.2*2.715*2.6*1.4*1.4*1.5*1.5,18900000000*(1.65331^(MIN($E994,123)-117)))*1,0))</f>
        <v>1529996162</v>
      </c>
      <c r="AG994" s="4">
        <f>$E994+27</f>
        <v>139</v>
      </c>
      <c r="AH994" s="8">
        <f>IF($J994=0,0,ROUND(MAX($J994*1.4*1.5*1.6*1.6*2.2*2.715*2.6*1.4*1.4*1.5*1.5*3.2,60500000000*(1.654288^(MIN($E994,123)-117)))*1,0))</f>
        <v>4883146766</v>
      </c>
    </row>
    <row r="995" ht="27.75" customHeight="1" spans="1:34" x14ac:dyDescent="0.25">
      <c r="A995" s="3">
        <v>1005</v>
      </c>
      <c r="B995" s="3" t="s">
        <v>788</v>
      </c>
      <c r="C995" s="3" t="s">
        <v>768</v>
      </c>
      <c r="D995" s="3" t="s">
        <v>102</v>
      </c>
      <c r="E995" s="3">
        <v>112</v>
      </c>
      <c r="F995" s="3" t="s">
        <v>54</v>
      </c>
      <c r="G995" s="3" t="s">
        <v>38</v>
      </c>
      <c r="H995" s="3">
        <v>26</v>
      </c>
      <c r="I995" s="4">
        <v>112</v>
      </c>
      <c r="J995" s="5">
        <v>162000</v>
      </c>
      <c r="K995" s="6">
        <f>$E995+1</f>
        <v>113</v>
      </c>
      <c r="L995" s="7">
        <f>IF($J995=0,0,ROUND(MAX($J995*1.4,1620000*(1.497923^(MIN($E995,123)-117)))*1,0))</f>
        <v>226800</v>
      </c>
      <c r="M995" s="4">
        <f>$E995+2</f>
        <v>114</v>
      </c>
      <c r="N995" s="8">
        <f>IF($J995=0,0,ROUND(MAX($J995*1.4*1.5,2190000*(1.580994^(MIN($E995,123)-117)))*1,0))</f>
        <v>340200</v>
      </c>
      <c r="O995" s="6">
        <f>$E995+4</f>
        <v>116</v>
      </c>
      <c r="P995" s="7">
        <f>IF($J995=0,0,ROUND(MAX($J995*1.4*1.5*1.6,3500000*(1.57975^(MIN($E995,123)-117)))*1,0))</f>
        <v>544320</v>
      </c>
      <c r="Q995" s="4">
        <f>$E995+6</f>
        <v>118</v>
      </c>
      <c r="R995" s="8">
        <f>IF($J995=0,0,ROUND(MAX($J995*1.4*1.5*1.6*1.6,13100000*(1.429962^(MIN($E995,123)-117)))*1,0))</f>
        <v>2191032</v>
      </c>
      <c r="S995" s="6">
        <f>$E995+8</f>
        <v>120</v>
      </c>
      <c r="T995" s="7">
        <f>IF($J995=0,0,ROUND(MAX($J995*1.4*1.5*1.6*1.6*2.2,42600000*(1.576904^(MIN($E995,123)-117)))*1,0))</f>
        <v>4369013</v>
      </c>
      <c r="U995" s="4">
        <f>$E995+11</f>
        <v>123</v>
      </c>
      <c r="V995" s="8">
        <f>IF($J995=0,0,ROUND(MAX($J995*1.4*1.5*1.6*1.6*2.2*2.715,354000000*(1.642074^(MIN($E995,123)-117)))*1,0))</f>
        <v>29651020</v>
      </c>
      <c r="W995" s="6">
        <f>$E995+15</f>
        <v>127</v>
      </c>
      <c r="X995" s="7">
        <f>IF($J995=0,0,ROUND(MAX($J995*1.4*1.5*1.6*1.6*2.2*2.715*2.6,3540000000*(1.579646^(MIN($E995,123)-117)))*1,0))</f>
        <v>359918692</v>
      </c>
      <c r="Y995" s="4">
        <f>$E995+17</f>
        <v>129</v>
      </c>
      <c r="Z995" s="8">
        <f>IF($J995=0,0,ROUND(MAX($J995*1.4*1.5*1.6*1.6*2.2*2.715*2.6*1.4,6020000000*(1.651178^(MIN($E995,123)-117)))*1,0))</f>
        <v>490486461</v>
      </c>
      <c r="AA995" s="6">
        <f>$E995+19</f>
        <v>131</v>
      </c>
      <c r="AB995" s="7">
        <f>IF($J995=0,0,ROUND(MAX($J995*1.4*1.5*1.6*1.6*2.2*2.715*2.6*1.4*1.4,8430000000*(1.651435^(MIN($E995,123)-117)))*1,0))</f>
        <v>686309723</v>
      </c>
      <c r="AC995" s="4">
        <f>$E995+21</f>
        <v>133</v>
      </c>
      <c r="AD995" s="8">
        <f>IF($J995=0,0,ROUND(MAX($J995*1.4*1.5*1.6*1.6*2.2*2.715*2.6*1.4*1.4*1.5,12600000000*(1.652953^(MIN($E995,123)-117)))*1,0))</f>
        <v>1021099398</v>
      </c>
      <c r="AE995" s="6">
        <f>$E995+24</f>
        <v>136</v>
      </c>
      <c r="AF995" s="7">
        <f>IF($J995=0,0,ROUND(MAX($J995*1.4*1.5*1.6*1.6*2.2*2.715*2.6*1.4*1.4*1.5*1.5,18900000000*(1.65331^(MIN($E995,123)-117)))*1,0))</f>
        <v>1529996162</v>
      </c>
      <c r="AG995" s="4">
        <f>$E995+27</f>
        <v>139</v>
      </c>
      <c r="AH995" s="8">
        <f>IF($J995=0,0,ROUND(MAX($J995*1.4*1.5*1.6*1.6*2.2*2.715*2.6*1.4*1.4*1.5*1.5*3.2,60500000000*(1.654288^(MIN($E995,123)-117)))*1,0))</f>
        <v>4883146766</v>
      </c>
    </row>
    <row r="996" ht="27.75" customHeight="1" spans="1:34" x14ac:dyDescent="0.25">
      <c r="A996" s="3">
        <v>1006</v>
      </c>
      <c r="B996" s="3" t="s">
        <v>789</v>
      </c>
      <c r="C996" s="3" t="s">
        <v>768</v>
      </c>
      <c r="D996" s="3" t="s">
        <v>25</v>
      </c>
      <c r="E996" s="3">
        <v>112</v>
      </c>
      <c r="F996" s="3" t="s">
        <v>56</v>
      </c>
      <c r="G996" s="3" t="s">
        <v>57</v>
      </c>
      <c r="H996" s="3">
        <v>26</v>
      </c>
      <c r="I996" s="4">
        <v>112</v>
      </c>
      <c r="J996" s="5">
        <v>278000</v>
      </c>
      <c r="K996" s="6">
        <f>$E996+1</f>
        <v>113</v>
      </c>
      <c r="L996" s="7">
        <f>IF($J996=0,0,ROUND(MAX($J996*1.4,1620000*(1.497923^(MIN($E996,123)-117)))*1,0))</f>
        <v>389200</v>
      </c>
      <c r="M996" s="4">
        <f>$E996+2</f>
        <v>114</v>
      </c>
      <c r="N996" s="8">
        <f>IF($J996=0,0,ROUND(MAX($J996*1.4*1.5,2190000*(1.580994^(MIN($E996,123)-117)))*1,0))</f>
        <v>583800</v>
      </c>
      <c r="O996" s="6">
        <f>$E996+4</f>
        <v>116</v>
      </c>
      <c r="P996" s="7">
        <f>IF($J996=0,0,ROUND(MAX($J996*1.4*1.5*1.6,3500000*(1.57975^(MIN($E996,123)-117)))*1,0))</f>
        <v>934080</v>
      </c>
      <c r="Q996" s="4">
        <f>$E996+6</f>
        <v>118</v>
      </c>
      <c r="R996" s="8">
        <f>IF($J996=0,0,ROUND(MAX($J996*1.4*1.5*1.6*1.6,13100000*(1.429962^(MIN($E996,123)-117)))*1,0))</f>
        <v>2191032</v>
      </c>
      <c r="S996" s="6">
        <f>$E996+8</f>
        <v>120</v>
      </c>
      <c r="T996" s="7">
        <f>IF($J996=0,0,ROUND(MAX($J996*1.4*1.5*1.6*1.6*2.2,42600000*(1.576904^(MIN($E996,123)-117)))*1,0))</f>
        <v>4369013</v>
      </c>
      <c r="U996" s="4">
        <f>$E996+11</f>
        <v>123</v>
      </c>
      <c r="V996" s="8">
        <f>IF($J996=0,0,ROUND(MAX($J996*1.4*1.5*1.6*1.6*2.2*2.715,354000000*(1.642074^(MIN($E996,123)-117)))*1,0))</f>
        <v>29651020</v>
      </c>
      <c r="W996" s="6">
        <f>$E996+15</f>
        <v>127</v>
      </c>
      <c r="X996" s="7">
        <f>IF($J996=0,0,ROUND(MAX($J996*1.4*1.5*1.6*1.6*2.2*2.715*2.6,3540000000*(1.579646^(MIN($E996,123)-117)))*1,0))</f>
        <v>359918692</v>
      </c>
      <c r="Y996" s="4">
        <f>$E996+17</f>
        <v>129</v>
      </c>
      <c r="Z996" s="8">
        <f>IF($J996=0,0,ROUND(MAX($J996*1.4*1.5*1.6*1.6*2.2*2.715*2.6*1.4,6020000000*(1.651178^(MIN($E996,123)-117)))*1,0))</f>
        <v>490486461</v>
      </c>
      <c r="AA996" s="6">
        <f>$E996+19</f>
        <v>131</v>
      </c>
      <c r="AB996" s="7">
        <f>IF($J996=0,0,ROUND(MAX($J996*1.4*1.5*1.6*1.6*2.2*2.715*2.6*1.4*1.4,8430000000*(1.651435^(MIN($E996,123)-117)))*1,0))</f>
        <v>686309723</v>
      </c>
      <c r="AC996" s="4">
        <f>$E996+21</f>
        <v>133</v>
      </c>
      <c r="AD996" s="8">
        <f>IF($J996=0,0,ROUND(MAX($J996*1.4*1.5*1.6*1.6*2.2*2.715*2.6*1.4*1.4*1.5,12600000000*(1.652953^(MIN($E996,123)-117)))*1,0))</f>
        <v>1021099398</v>
      </c>
      <c r="AE996" s="6">
        <f>$E996+24</f>
        <v>136</v>
      </c>
      <c r="AF996" s="7">
        <f>IF($J996=0,0,ROUND(MAX($J996*1.4*1.5*1.6*1.6*2.2*2.715*2.6*1.4*1.4*1.5*1.5,18900000000*(1.65331^(MIN($E996,123)-117)))*1,0))</f>
        <v>1529996162</v>
      </c>
      <c r="AG996" s="4">
        <f>$E996+27</f>
        <v>139</v>
      </c>
      <c r="AH996" s="8">
        <f>IF($J996=0,0,ROUND(MAX($J996*1.4*1.5*1.6*1.6*2.2*2.715*2.6*1.4*1.4*1.5*1.5*3.2,60500000000*(1.654288^(MIN($E996,123)-117)))*1,0))</f>
        <v>4883146766</v>
      </c>
    </row>
    <row r="997" ht="27.75" customHeight="1" spans="1:34" x14ac:dyDescent="0.25">
      <c r="A997" s="3">
        <v>1007</v>
      </c>
      <c r="B997" s="3" t="s">
        <v>363</v>
      </c>
      <c r="C997" s="3" t="s">
        <v>768</v>
      </c>
      <c r="D997" s="3" t="s">
        <v>33</v>
      </c>
      <c r="E997" s="3">
        <v>112</v>
      </c>
      <c r="F997" s="3" t="s">
        <v>298</v>
      </c>
      <c r="G997" s="3" t="s">
        <v>242</v>
      </c>
      <c r="H997" s="3">
        <v>26</v>
      </c>
      <c r="I997" s="4">
        <v>112</v>
      </c>
      <c r="J997" s="5">
        <v>140000</v>
      </c>
      <c r="K997" s="6">
        <f>$E997+1</f>
        <v>113</v>
      </c>
      <c r="L997" s="7">
        <f>IF($J997=0,0,ROUND(MAX($J997*1.4,1620000*(1.497923^(MIN($E997,123)-117)))*1,0))</f>
        <v>214816</v>
      </c>
      <c r="M997" s="4">
        <f>$E997+2</f>
        <v>114</v>
      </c>
      <c r="N997" s="8">
        <f>IF($J997=0,0,ROUND(MAX($J997*1.4*1.5,2190000*(1.580994^(MIN($E997,123)-117)))*1,0))</f>
        <v>294000</v>
      </c>
      <c r="O997" s="6">
        <f>$E997+4</f>
        <v>116</v>
      </c>
      <c r="P997" s="7">
        <f>IF($J997=0,0,ROUND(MAX($J997*1.4*1.5*1.6,3500000*(1.57975^(MIN($E997,123)-117)))*1,0))</f>
        <v>470400</v>
      </c>
      <c r="Q997" s="4">
        <f>$E997+6</f>
        <v>118</v>
      </c>
      <c r="R997" s="8">
        <f>IF($J997=0,0,ROUND(MAX($J997*1.4*1.5*1.6*1.6,13100000*(1.429962^(MIN($E997,123)-117)))*1,0))</f>
        <v>2191032</v>
      </c>
      <c r="S997" s="6">
        <f>$E997+8</f>
        <v>120</v>
      </c>
      <c r="T997" s="7">
        <f>IF($J997=0,0,ROUND(MAX($J997*1.4*1.5*1.6*1.6*2.2,42600000*(1.576904^(MIN($E997,123)-117)))*1,0))</f>
        <v>4369013</v>
      </c>
      <c r="U997" s="4">
        <f>$E997+11</f>
        <v>123</v>
      </c>
      <c r="V997" s="8">
        <f>IF($J997=0,0,ROUND(MAX($J997*1.4*1.5*1.6*1.6*2.2*2.715,354000000*(1.642074^(MIN($E997,123)-117)))*1,0))</f>
        <v>29651020</v>
      </c>
      <c r="W997" s="6">
        <f>$E997+15</f>
        <v>127</v>
      </c>
      <c r="X997" s="7">
        <f>IF($J997=0,0,ROUND(MAX($J997*1.4*1.5*1.6*1.6*2.2*2.715*2.6,3540000000*(1.579646^(MIN($E997,123)-117)))*1,0))</f>
        <v>359918692</v>
      </c>
      <c r="Y997" s="4">
        <f>$E997+17</f>
        <v>129</v>
      </c>
      <c r="Z997" s="8">
        <f>IF($J997=0,0,ROUND(MAX($J997*1.4*1.5*1.6*1.6*2.2*2.715*2.6*1.4,6020000000*(1.651178^(MIN($E997,123)-117)))*1,0))</f>
        <v>490486461</v>
      </c>
      <c r="AA997" s="6">
        <f>$E997+19</f>
        <v>131</v>
      </c>
      <c r="AB997" s="7">
        <f>IF($J997=0,0,ROUND(MAX($J997*1.4*1.5*1.6*1.6*2.2*2.715*2.6*1.4*1.4,8430000000*(1.651435^(MIN($E997,123)-117)))*1,0))</f>
        <v>686309723</v>
      </c>
      <c r="AC997" s="4">
        <f>$E997+21</f>
        <v>133</v>
      </c>
      <c r="AD997" s="8">
        <f>IF($J997=0,0,ROUND(MAX($J997*1.4*1.5*1.6*1.6*2.2*2.715*2.6*1.4*1.4*1.5,12600000000*(1.652953^(MIN($E997,123)-117)))*1,0))</f>
        <v>1021099398</v>
      </c>
      <c r="AE997" s="6">
        <f>$E997+24</f>
        <v>136</v>
      </c>
      <c r="AF997" s="7">
        <f>IF($J997=0,0,ROUND(MAX($J997*1.4*1.5*1.6*1.6*2.2*2.715*2.6*1.4*1.4*1.5*1.5,18900000000*(1.65331^(MIN($E997,123)-117)))*1,0))</f>
        <v>1529996162</v>
      </c>
      <c r="AG997" s="4">
        <f>$E997+27</f>
        <v>139</v>
      </c>
      <c r="AH997" s="8">
        <f>IF($J997=0,0,ROUND(MAX($J997*1.4*1.5*1.6*1.6*2.2*2.715*2.6*1.4*1.4*1.5*1.5*3.2,60500000000*(1.654288^(MIN($E997,123)-117)))*1,0))</f>
        <v>4883146766</v>
      </c>
    </row>
    <row r="998" ht="27.75" customHeight="1" spans="1:34" x14ac:dyDescent="0.25">
      <c r="A998" s="3">
        <v>1008</v>
      </c>
      <c r="B998" s="3" t="s">
        <v>790</v>
      </c>
      <c r="C998" s="3" t="s">
        <v>768</v>
      </c>
      <c r="D998" s="3" t="s">
        <v>75</v>
      </c>
      <c r="E998" s="3">
        <v>112</v>
      </c>
      <c r="F998" s="3" t="s">
        <v>54</v>
      </c>
      <c r="G998" s="3" t="s">
        <v>38</v>
      </c>
      <c r="H998" s="3">
        <v>26</v>
      </c>
      <c r="I998" s="4">
        <v>112</v>
      </c>
      <c r="J998" s="5">
        <v>125000</v>
      </c>
      <c r="K998" s="6">
        <f>$E998+1</f>
        <v>113</v>
      </c>
      <c r="L998" s="7">
        <f>IF($J998=0,0,ROUND(MAX($J998*1.4,1620000*(1.497923^(MIN($E998,123)-117)))*1,0))</f>
        <v>214816</v>
      </c>
      <c r="M998" s="4">
        <f>$E998+2</f>
        <v>114</v>
      </c>
      <c r="N998" s="8">
        <f>IF($J998=0,0,ROUND(MAX($J998*1.4*1.5,2190000*(1.580994^(MIN($E998,123)-117)))*1,0))</f>
        <v>262500</v>
      </c>
      <c r="O998" s="6">
        <f>$E998+4</f>
        <v>116</v>
      </c>
      <c r="P998" s="7">
        <f>IF($J998=0,0,ROUND(MAX($J998*1.4*1.5*1.6,3500000*(1.57975^(MIN($E998,123)-117)))*1,0))</f>
        <v>420000</v>
      </c>
      <c r="Q998" s="4">
        <f>$E998+6</f>
        <v>118</v>
      </c>
      <c r="R998" s="8">
        <f>IF($J998=0,0,ROUND(MAX($J998*1.4*1.5*1.6*1.6,13100000*(1.429962^(MIN($E998,123)-117)))*1,0))</f>
        <v>2191032</v>
      </c>
      <c r="S998" s="6">
        <f>$E998+8</f>
        <v>120</v>
      </c>
      <c r="T998" s="7">
        <f>IF($J998=0,0,ROUND(MAX($J998*1.4*1.5*1.6*1.6*2.2,42600000*(1.576904^(MIN($E998,123)-117)))*1,0))</f>
        <v>4369013</v>
      </c>
      <c r="U998" s="4">
        <f>$E998+11</f>
        <v>123</v>
      </c>
      <c r="V998" s="8">
        <f>IF($J998=0,0,ROUND(MAX($J998*1.4*1.5*1.6*1.6*2.2*2.715,354000000*(1.642074^(MIN($E998,123)-117)))*1,0))</f>
        <v>29651020</v>
      </c>
      <c r="W998" s="6">
        <f>$E998+15</f>
        <v>127</v>
      </c>
      <c r="X998" s="7">
        <f>IF($J998=0,0,ROUND(MAX($J998*1.4*1.5*1.6*1.6*2.2*2.715*2.6,3540000000*(1.579646^(MIN($E998,123)-117)))*1,0))</f>
        <v>359918692</v>
      </c>
      <c r="Y998" s="4">
        <f>$E998+17</f>
        <v>129</v>
      </c>
      <c r="Z998" s="8">
        <f>IF($J998=0,0,ROUND(MAX($J998*1.4*1.5*1.6*1.6*2.2*2.715*2.6*1.4,6020000000*(1.651178^(MIN($E998,123)-117)))*1,0))</f>
        <v>490486461</v>
      </c>
      <c r="AA998" s="6">
        <f>$E998+19</f>
        <v>131</v>
      </c>
      <c r="AB998" s="7">
        <f>IF($J998=0,0,ROUND(MAX($J998*1.4*1.5*1.6*1.6*2.2*2.715*2.6*1.4*1.4,8430000000*(1.651435^(MIN($E998,123)-117)))*1,0))</f>
        <v>686309723</v>
      </c>
      <c r="AC998" s="4">
        <f>$E998+21</f>
        <v>133</v>
      </c>
      <c r="AD998" s="8">
        <f>IF($J998=0,0,ROUND(MAX($J998*1.4*1.5*1.6*1.6*2.2*2.715*2.6*1.4*1.4*1.5,12600000000*(1.652953^(MIN($E998,123)-117)))*1,0))</f>
        <v>1021099398</v>
      </c>
      <c r="AE998" s="6">
        <f>$E998+24</f>
        <v>136</v>
      </c>
      <c r="AF998" s="7">
        <f>IF($J998=0,0,ROUND(MAX($J998*1.4*1.5*1.6*1.6*2.2*2.715*2.6*1.4*1.4*1.5*1.5,18900000000*(1.65331^(MIN($E998,123)-117)))*1,0))</f>
        <v>1529996162</v>
      </c>
      <c r="AG998" s="4">
        <f>$E998+27</f>
        <v>139</v>
      </c>
      <c r="AH998" s="8">
        <f>IF($J998=0,0,ROUND(MAX($J998*1.4*1.5*1.6*1.6*2.2*2.715*2.6*1.4*1.4*1.5*1.5*3.2,60500000000*(1.654288^(MIN($E998,123)-117)))*1,0))</f>
        <v>4883146766</v>
      </c>
    </row>
    <row r="999" ht="27.75" customHeight="1" spans="1:34" x14ac:dyDescent="0.25">
      <c r="A999" s="3">
        <v>1009</v>
      </c>
      <c r="B999" s="3" t="s">
        <v>688</v>
      </c>
      <c r="C999" s="3" t="s">
        <v>768</v>
      </c>
      <c r="D999" s="3" t="s">
        <v>90</v>
      </c>
      <c r="E999" s="3">
        <v>112</v>
      </c>
      <c r="F999" s="3" t="s">
        <v>54</v>
      </c>
      <c r="G999" s="3" t="s">
        <v>425</v>
      </c>
      <c r="H999" s="3">
        <v>26</v>
      </c>
      <c r="I999" s="4">
        <v>112</v>
      </c>
      <c r="J999" s="5">
        <v>143000</v>
      </c>
      <c r="K999" s="6">
        <f>$E999+1</f>
        <v>113</v>
      </c>
      <c r="L999" s="7">
        <f>IF($J999=0,0,ROUND(MAX($J999*1.4,1620000*(1.497923^(MIN($E999,123)-117)))*1,0))</f>
        <v>214816</v>
      </c>
      <c r="M999" s="4">
        <f>$E999+2</f>
        <v>114</v>
      </c>
      <c r="N999" s="8">
        <f>IF($J999=0,0,ROUND(MAX($J999*1.4*1.5,2190000*(1.580994^(MIN($E999,123)-117)))*1,0))</f>
        <v>300300</v>
      </c>
      <c r="O999" s="6">
        <f>$E999+4</f>
        <v>116</v>
      </c>
      <c r="P999" s="7">
        <f>IF($J999=0,0,ROUND(MAX($J999*1.4*1.5*1.6,3500000*(1.57975^(MIN($E999,123)-117)))*1,0))</f>
        <v>480480</v>
      </c>
      <c r="Q999" s="4">
        <f>$E999+6</f>
        <v>118</v>
      </c>
      <c r="R999" s="8">
        <f>IF($J999=0,0,ROUND(MAX($J999*1.4*1.5*1.6*1.6,13100000*(1.429962^(MIN($E999,123)-117)))*1,0))</f>
        <v>2191032</v>
      </c>
      <c r="S999" s="6">
        <f>$E999+8</f>
        <v>120</v>
      </c>
      <c r="T999" s="7">
        <f>IF($J999=0,0,ROUND(MAX($J999*1.4*1.5*1.6*1.6*2.2,42600000*(1.576904^(MIN($E999,123)-117)))*1,0))</f>
        <v>4369013</v>
      </c>
      <c r="U999" s="4">
        <f>$E999+11</f>
        <v>123</v>
      </c>
      <c r="V999" s="8">
        <f>IF($J999=0,0,ROUND(MAX($J999*1.4*1.5*1.6*1.6*2.2*2.715,354000000*(1.642074^(MIN($E999,123)-117)))*1,0))</f>
        <v>29651020</v>
      </c>
      <c r="W999" s="6">
        <f>$E999+15</f>
        <v>127</v>
      </c>
      <c r="X999" s="7">
        <f>IF($J999=0,0,ROUND(MAX($J999*1.4*1.5*1.6*1.6*2.2*2.715*2.6,3540000000*(1.579646^(MIN($E999,123)-117)))*1,0))</f>
        <v>359918692</v>
      </c>
      <c r="Y999" s="4">
        <f>$E999+17</f>
        <v>129</v>
      </c>
      <c r="Z999" s="8">
        <f>IF($J999=0,0,ROUND(MAX($J999*1.4*1.5*1.6*1.6*2.2*2.715*2.6*1.4,6020000000*(1.651178^(MIN($E999,123)-117)))*1,0))</f>
        <v>490486461</v>
      </c>
      <c r="AA999" s="6">
        <f>$E999+19</f>
        <v>131</v>
      </c>
      <c r="AB999" s="7">
        <f>IF($J999=0,0,ROUND(MAX($J999*1.4*1.5*1.6*1.6*2.2*2.715*2.6*1.4*1.4,8430000000*(1.651435^(MIN($E999,123)-117)))*1,0))</f>
        <v>686309723</v>
      </c>
      <c r="AC999" s="4">
        <f>$E999+21</f>
        <v>133</v>
      </c>
      <c r="AD999" s="8">
        <f>IF($J999=0,0,ROUND(MAX($J999*1.4*1.5*1.6*1.6*2.2*2.715*2.6*1.4*1.4*1.5,12600000000*(1.652953^(MIN($E999,123)-117)))*1,0))</f>
        <v>1021099398</v>
      </c>
      <c r="AE999" s="6">
        <f>$E999+24</f>
        <v>136</v>
      </c>
      <c r="AF999" s="7">
        <f>IF($J999=0,0,ROUND(MAX($J999*1.4*1.5*1.6*1.6*2.2*2.715*2.6*1.4*1.4*1.5*1.5,18900000000*(1.65331^(MIN($E999,123)-117)))*1,0))</f>
        <v>1529996162</v>
      </c>
      <c r="AG999" s="4">
        <f>$E999+27</f>
        <v>139</v>
      </c>
      <c r="AH999" s="8">
        <f>IF($J999=0,0,ROUND(MAX($J999*1.4*1.5*1.6*1.6*2.2*2.715*2.6*1.4*1.4*1.5*1.5*3.2,60500000000*(1.654288^(MIN($E999,123)-117)))*1,0))</f>
        <v>4883146766</v>
      </c>
    </row>
    <row r="1000" ht="27.75" customHeight="1" spans="1:34" x14ac:dyDescent="0.25">
      <c r="A1000" s="3">
        <v>1010</v>
      </c>
      <c r="B1000" s="3" t="s">
        <v>791</v>
      </c>
      <c r="C1000" s="3" t="s">
        <v>768</v>
      </c>
      <c r="D1000" s="3" t="s">
        <v>33</v>
      </c>
      <c r="E1000" s="3">
        <v>112</v>
      </c>
      <c r="F1000" s="3" t="s">
        <v>146</v>
      </c>
      <c r="G1000" s="3" t="s">
        <v>72</v>
      </c>
      <c r="H1000" s="3">
        <v>26</v>
      </c>
      <c r="I1000" s="4">
        <v>112</v>
      </c>
      <c r="J1000" s="5">
        <v>135000</v>
      </c>
      <c r="K1000" s="6">
        <f>$E1000+1</f>
        <v>113</v>
      </c>
      <c r="L1000" s="7">
        <f>IF($J1000=0,0,ROUND(MAX($J1000*1.4,1620000*(1.497923^(MIN($E1000,123)-117)))*1,0))</f>
        <v>214816</v>
      </c>
      <c r="M1000" s="4">
        <f>$E1000+2</f>
        <v>114</v>
      </c>
      <c r="N1000" s="8">
        <f>IF($J1000=0,0,ROUND(MAX($J1000*1.4*1.5,2190000*(1.580994^(MIN($E1000,123)-117)))*1,0))</f>
        <v>283500</v>
      </c>
      <c r="O1000" s="6">
        <f>$E1000+4</f>
        <v>116</v>
      </c>
      <c r="P1000" s="7">
        <f>IF($J1000=0,0,ROUND(MAX($J1000*1.4*1.5*1.6,3500000*(1.57975^(MIN($E1000,123)-117)))*1,0))</f>
        <v>453600</v>
      </c>
      <c r="Q1000" s="4">
        <f>$E1000+6</f>
        <v>118</v>
      </c>
      <c r="R1000" s="8">
        <f>IF($J1000=0,0,ROUND(MAX($J1000*1.4*1.5*1.6*1.6,13100000*(1.429962^(MIN($E1000,123)-117)))*1,0))</f>
        <v>2191032</v>
      </c>
      <c r="S1000" s="6">
        <f>$E1000+8</f>
        <v>120</v>
      </c>
      <c r="T1000" s="7">
        <f>IF($J1000=0,0,ROUND(MAX($J1000*1.4*1.5*1.6*1.6*2.2,42600000*(1.576904^(MIN($E1000,123)-117)))*1,0))</f>
        <v>4369013</v>
      </c>
      <c r="U1000" s="4">
        <f>$E1000+11</f>
        <v>123</v>
      </c>
      <c r="V1000" s="8">
        <f>IF($J1000=0,0,ROUND(MAX($J1000*1.4*1.5*1.6*1.6*2.2*2.715,354000000*(1.642074^(MIN($E1000,123)-117)))*1,0))</f>
        <v>29651020</v>
      </c>
      <c r="W1000" s="6">
        <f>$E1000+15</f>
        <v>127</v>
      </c>
      <c r="X1000" s="7">
        <f>IF($J1000=0,0,ROUND(MAX($J1000*1.4*1.5*1.6*1.6*2.2*2.715*2.6,3540000000*(1.579646^(MIN($E1000,123)-117)))*1,0))</f>
        <v>359918692</v>
      </c>
      <c r="Y1000" s="4">
        <f>$E1000+17</f>
        <v>129</v>
      </c>
      <c r="Z1000" s="8">
        <f>IF($J1000=0,0,ROUND(MAX($J1000*1.4*1.5*1.6*1.6*2.2*2.715*2.6*1.4,6020000000*(1.651178^(MIN($E1000,123)-117)))*1,0))</f>
        <v>490486461</v>
      </c>
      <c r="AA1000" s="6">
        <f>$E1000+19</f>
        <v>131</v>
      </c>
      <c r="AB1000" s="7">
        <f>IF($J1000=0,0,ROUND(MAX($J1000*1.4*1.5*1.6*1.6*2.2*2.715*2.6*1.4*1.4,8430000000*(1.651435^(MIN($E1000,123)-117)))*1,0))</f>
        <v>686309723</v>
      </c>
      <c r="AC1000" s="4">
        <f>$E1000+21</f>
        <v>133</v>
      </c>
      <c r="AD1000" s="8">
        <f>IF($J1000=0,0,ROUND(MAX($J1000*1.4*1.5*1.6*1.6*2.2*2.715*2.6*1.4*1.4*1.5,12600000000*(1.652953^(MIN($E1000,123)-117)))*1,0))</f>
        <v>1021099398</v>
      </c>
      <c r="AE1000" s="6">
        <f>$E1000+24</f>
        <v>136</v>
      </c>
      <c r="AF1000" s="7">
        <f>IF($J1000=0,0,ROUND(MAX($J1000*1.4*1.5*1.6*1.6*2.2*2.715*2.6*1.4*1.4*1.5*1.5,18900000000*(1.65331^(MIN($E1000,123)-117)))*1,0))</f>
        <v>1529996162</v>
      </c>
      <c r="AG1000" s="4">
        <f>$E1000+27</f>
        <v>139</v>
      </c>
      <c r="AH1000" s="8">
        <f>IF($J1000=0,0,ROUND(MAX($J1000*1.4*1.5*1.6*1.6*2.2*2.715*2.6*1.4*1.4*1.5*1.5*3.2,60500000000*(1.654288^(MIN($E1000,123)-117)))*1,0))</f>
        <v>4883146766</v>
      </c>
    </row>
    <row r="1001" ht="27.75" customHeight="1" spans="1:34" x14ac:dyDescent="0.25">
      <c r="A1001" s="3">
        <v>1011</v>
      </c>
      <c r="B1001" s="3" t="s">
        <v>792</v>
      </c>
      <c r="C1001" s="3" t="s">
        <v>768</v>
      </c>
      <c r="D1001" s="3" t="s">
        <v>40</v>
      </c>
      <c r="E1001" s="3">
        <v>112</v>
      </c>
      <c r="F1001" s="3" t="s">
        <v>34</v>
      </c>
      <c r="G1001" s="3" t="s">
        <v>254</v>
      </c>
      <c r="H1001" s="3">
        <v>26</v>
      </c>
      <c r="I1001" s="4">
        <v>112</v>
      </c>
      <c r="J1001" s="5">
        <v>54300</v>
      </c>
      <c r="K1001" s="6">
        <f>$E1001+1</f>
        <v>113</v>
      </c>
      <c r="L1001" s="7">
        <f>IF($J1001=0,0,ROUND(MAX($J1001*1.4,1620000*(1.497923^(MIN($E1001,123)-117)))*1,0))</f>
        <v>214816</v>
      </c>
      <c r="M1001" s="4">
        <f>$E1001+2</f>
        <v>114</v>
      </c>
      <c r="N1001" s="8">
        <f>IF($J1001=0,0,ROUND(MAX($J1001*1.4*1.5,2190000*(1.580994^(MIN($E1001,123)-117)))*1,0))</f>
        <v>221714</v>
      </c>
      <c r="O1001" s="6">
        <f>$E1001+4</f>
        <v>116</v>
      </c>
      <c r="P1001" s="7">
        <f>IF($J1001=0,0,ROUND(MAX($J1001*1.4*1.5*1.6,3500000*(1.57975^(MIN($E1001,123)-117)))*1,0))</f>
        <v>355735</v>
      </c>
      <c r="Q1001" s="4">
        <f>$E1001+6</f>
        <v>118</v>
      </c>
      <c r="R1001" s="8">
        <f>IF($J1001=0,0,ROUND(MAX($J1001*1.4*1.5*1.6*1.6,13100000*(1.429962^(MIN($E1001,123)-117)))*1,0))</f>
        <v>2191032</v>
      </c>
      <c r="S1001" s="6">
        <f>$E1001+8</f>
        <v>120</v>
      </c>
      <c r="T1001" s="7">
        <f>IF($J1001=0,0,ROUND(MAX($J1001*1.4*1.5*1.6*1.6*2.2,42600000*(1.576904^(MIN($E1001,123)-117)))*1,0))</f>
        <v>4369013</v>
      </c>
      <c r="U1001" s="4">
        <f>$E1001+11</f>
        <v>123</v>
      </c>
      <c r="V1001" s="8">
        <f>IF($J1001=0,0,ROUND(MAX($J1001*1.4*1.5*1.6*1.6*2.2*2.715,354000000*(1.642074^(MIN($E1001,123)-117)))*1,0))</f>
        <v>29651020</v>
      </c>
      <c r="W1001" s="6">
        <f>$E1001+15</f>
        <v>127</v>
      </c>
      <c r="X1001" s="7">
        <f>IF($J1001=0,0,ROUND(MAX($J1001*1.4*1.5*1.6*1.6*2.2*2.715*2.6,3540000000*(1.579646^(MIN($E1001,123)-117)))*1,0))</f>
        <v>359918692</v>
      </c>
      <c r="Y1001" s="4">
        <f>$E1001+17</f>
        <v>129</v>
      </c>
      <c r="Z1001" s="8">
        <f>IF($J1001=0,0,ROUND(MAX($J1001*1.4*1.5*1.6*1.6*2.2*2.715*2.6*1.4,6020000000*(1.651178^(MIN($E1001,123)-117)))*1,0))</f>
        <v>490486461</v>
      </c>
      <c r="AA1001" s="6">
        <f>$E1001+19</f>
        <v>131</v>
      </c>
      <c r="AB1001" s="7">
        <f>IF($J1001=0,0,ROUND(MAX($J1001*1.4*1.5*1.6*1.6*2.2*2.715*2.6*1.4*1.4,8430000000*(1.651435^(MIN($E1001,123)-117)))*1,0))</f>
        <v>686309723</v>
      </c>
      <c r="AC1001" s="4">
        <f>$E1001+21</f>
        <v>133</v>
      </c>
      <c r="AD1001" s="8">
        <f>IF($J1001=0,0,ROUND(MAX($J1001*1.4*1.5*1.6*1.6*2.2*2.715*2.6*1.4*1.4*1.5,12600000000*(1.652953^(MIN($E1001,123)-117)))*1,0))</f>
        <v>1021099398</v>
      </c>
      <c r="AE1001" s="6">
        <f>$E1001+24</f>
        <v>136</v>
      </c>
      <c r="AF1001" s="7">
        <f>IF($J1001=0,0,ROUND(MAX($J1001*1.4*1.5*1.6*1.6*2.2*2.715*2.6*1.4*1.4*1.5*1.5,18900000000*(1.65331^(MIN($E1001,123)-117)))*1,0))</f>
        <v>1529996162</v>
      </c>
      <c r="AG1001" s="4">
        <f>$E1001+27</f>
        <v>139</v>
      </c>
      <c r="AH1001" s="8">
        <f>IF($J1001=0,0,ROUND(MAX($J1001*1.4*1.5*1.6*1.6*2.2*2.715*2.6*1.4*1.4*1.5*1.5*3.2,60500000000*(1.654288^(MIN($E1001,123)-117)))*1,0))</f>
        <v>4883146766</v>
      </c>
    </row>
    <row r="1002" ht="27.75" customHeight="1" spans="1:34" x14ac:dyDescent="0.25">
      <c r="A1002" s="3">
        <v>1012</v>
      </c>
      <c r="B1002" s="3" t="s">
        <v>707</v>
      </c>
      <c r="C1002" s="3" t="s">
        <v>768</v>
      </c>
      <c r="D1002" s="3" t="s">
        <v>102</v>
      </c>
      <c r="E1002" s="3">
        <v>112</v>
      </c>
      <c r="F1002" s="3" t="s">
        <v>30</v>
      </c>
      <c r="G1002" s="3" t="s">
        <v>472</v>
      </c>
      <c r="H1002" s="3">
        <v>26</v>
      </c>
      <c r="I1002" s="4">
        <v>112</v>
      </c>
      <c r="J1002" s="5">
        <v>104000</v>
      </c>
      <c r="K1002" s="6">
        <f>$E1002+1</f>
        <v>113</v>
      </c>
      <c r="L1002" s="7">
        <f>IF($J1002=0,0,ROUND(MAX($J1002*1.4,1620000*(1.497923^(MIN($E1002,123)-117)))*1,0))</f>
        <v>214816</v>
      </c>
      <c r="M1002" s="4">
        <f>$E1002+2</f>
        <v>114</v>
      </c>
      <c r="N1002" s="8">
        <f>IF($J1002=0,0,ROUND(MAX($J1002*1.4*1.5,2190000*(1.580994^(MIN($E1002,123)-117)))*1,0))</f>
        <v>221714</v>
      </c>
      <c r="O1002" s="6">
        <f>$E1002+4</f>
        <v>116</v>
      </c>
      <c r="P1002" s="7">
        <f>IF($J1002=0,0,ROUND(MAX($J1002*1.4*1.5*1.6,3500000*(1.57975^(MIN($E1002,123)-117)))*1,0))</f>
        <v>355735</v>
      </c>
      <c r="Q1002" s="4">
        <f>$E1002+6</f>
        <v>118</v>
      </c>
      <c r="R1002" s="8">
        <f>IF($J1002=0,0,ROUND(MAX($J1002*1.4*1.5*1.6*1.6,13100000*(1.429962^(MIN($E1002,123)-117)))*1,0))</f>
        <v>2191032</v>
      </c>
      <c r="S1002" s="6">
        <f>$E1002+8</f>
        <v>120</v>
      </c>
      <c r="T1002" s="7">
        <f>IF($J1002=0,0,ROUND(MAX($J1002*1.4*1.5*1.6*1.6*2.2,42600000*(1.576904^(MIN($E1002,123)-117)))*1,0))</f>
        <v>4369013</v>
      </c>
      <c r="U1002" s="4">
        <f>$E1002+11</f>
        <v>123</v>
      </c>
      <c r="V1002" s="8">
        <f>IF($J1002=0,0,ROUND(MAX($J1002*1.4*1.5*1.6*1.6*2.2*2.715,354000000*(1.642074^(MIN($E1002,123)-117)))*1,0))</f>
        <v>29651020</v>
      </c>
      <c r="W1002" s="6">
        <f>$E1002+15</f>
        <v>127</v>
      </c>
      <c r="X1002" s="7">
        <f>IF($J1002=0,0,ROUND(MAX($J1002*1.4*1.5*1.6*1.6*2.2*2.715*2.6,3540000000*(1.579646^(MIN($E1002,123)-117)))*1,0))</f>
        <v>359918692</v>
      </c>
      <c r="Y1002" s="4">
        <f>$E1002+17</f>
        <v>129</v>
      </c>
      <c r="Z1002" s="8">
        <f>IF($J1002=0,0,ROUND(MAX($J1002*1.4*1.5*1.6*1.6*2.2*2.715*2.6*1.4,6020000000*(1.651178^(MIN($E1002,123)-117)))*1,0))</f>
        <v>490486461</v>
      </c>
      <c r="AA1002" s="6">
        <f>$E1002+19</f>
        <v>131</v>
      </c>
      <c r="AB1002" s="7">
        <f>IF($J1002=0,0,ROUND(MAX($J1002*1.4*1.5*1.6*1.6*2.2*2.715*2.6*1.4*1.4,8430000000*(1.651435^(MIN($E1002,123)-117)))*1,0))</f>
        <v>686309723</v>
      </c>
      <c r="AC1002" s="4">
        <f>$E1002+21</f>
        <v>133</v>
      </c>
      <c r="AD1002" s="8">
        <f>IF($J1002=0,0,ROUND(MAX($J1002*1.4*1.5*1.6*1.6*2.2*2.715*2.6*1.4*1.4*1.5,12600000000*(1.652953^(MIN($E1002,123)-117)))*1,0))</f>
        <v>1021099398</v>
      </c>
      <c r="AE1002" s="6">
        <f>$E1002+24</f>
        <v>136</v>
      </c>
      <c r="AF1002" s="7">
        <f>IF($J1002=0,0,ROUND(MAX($J1002*1.4*1.5*1.6*1.6*2.2*2.715*2.6*1.4*1.4*1.5*1.5,18900000000*(1.65331^(MIN($E1002,123)-117)))*1,0))</f>
        <v>1529996162</v>
      </c>
      <c r="AG1002" s="4">
        <f>$E1002+27</f>
        <v>139</v>
      </c>
      <c r="AH1002" s="8">
        <f>IF($J1002=0,0,ROUND(MAX($J1002*1.4*1.5*1.6*1.6*2.2*2.715*2.6*1.4*1.4*1.5*1.5*3.2,60500000000*(1.654288^(MIN($E1002,123)-117)))*1,0))</f>
        <v>4883146766</v>
      </c>
    </row>
    <row r="1003" ht="27.75" customHeight="1" spans="1:34" x14ac:dyDescent="0.25">
      <c r="A1003" s="3">
        <v>1013</v>
      </c>
      <c r="B1003" s="3" t="s">
        <v>793</v>
      </c>
      <c r="C1003" s="3" t="s">
        <v>768</v>
      </c>
      <c r="D1003" s="3" t="s">
        <v>33</v>
      </c>
      <c r="E1003" s="3">
        <v>112</v>
      </c>
      <c r="F1003" s="3" t="s">
        <v>42</v>
      </c>
      <c r="G1003" s="3" t="s">
        <v>185</v>
      </c>
      <c r="H1003" s="3">
        <v>26</v>
      </c>
      <c r="I1003" s="4">
        <v>112</v>
      </c>
      <c r="J1003" s="5">
        <v>92000</v>
      </c>
      <c r="K1003" s="6">
        <f>$E1003+1</f>
        <v>113</v>
      </c>
      <c r="L1003" s="7">
        <f>IF($J1003=0,0,ROUND(MAX($J1003*1.4,1620000*(1.497923^(MIN($E1003,123)-117)))*1,0))</f>
        <v>214816</v>
      </c>
      <c r="M1003" s="4">
        <f>$E1003+2</f>
        <v>114</v>
      </c>
      <c r="N1003" s="8">
        <f>IF($J1003=0,0,ROUND(MAX($J1003*1.4*1.5,2190000*(1.580994^(MIN($E1003,123)-117)))*1,0))</f>
        <v>221714</v>
      </c>
      <c r="O1003" s="6">
        <f>$E1003+4</f>
        <v>116</v>
      </c>
      <c r="P1003" s="7">
        <f>IF($J1003=0,0,ROUND(MAX($J1003*1.4*1.5*1.6,3500000*(1.57975^(MIN($E1003,123)-117)))*1,0))</f>
        <v>355735</v>
      </c>
      <c r="Q1003" s="4">
        <f>$E1003+6</f>
        <v>118</v>
      </c>
      <c r="R1003" s="8">
        <f>IF($J1003=0,0,ROUND(MAX($J1003*1.4*1.5*1.6*1.6,13100000*(1.429962^(MIN($E1003,123)-117)))*1,0))</f>
        <v>2191032</v>
      </c>
      <c r="S1003" s="6">
        <f>$E1003+8</f>
        <v>120</v>
      </c>
      <c r="T1003" s="7">
        <f>IF($J1003=0,0,ROUND(MAX($J1003*1.4*1.5*1.6*1.6*2.2,42600000*(1.576904^(MIN($E1003,123)-117)))*1,0))</f>
        <v>4369013</v>
      </c>
      <c r="U1003" s="4">
        <f>$E1003+11</f>
        <v>123</v>
      </c>
      <c r="V1003" s="8">
        <f>IF($J1003=0,0,ROUND(MAX($J1003*1.4*1.5*1.6*1.6*2.2*2.715,354000000*(1.642074^(MIN($E1003,123)-117)))*1,0))</f>
        <v>29651020</v>
      </c>
      <c r="W1003" s="6">
        <f>$E1003+15</f>
        <v>127</v>
      </c>
      <c r="X1003" s="7">
        <f>IF($J1003=0,0,ROUND(MAX($J1003*1.4*1.5*1.6*1.6*2.2*2.715*2.6,3540000000*(1.579646^(MIN($E1003,123)-117)))*1,0))</f>
        <v>359918692</v>
      </c>
      <c r="Y1003" s="4">
        <f>$E1003+17</f>
        <v>129</v>
      </c>
      <c r="Z1003" s="8">
        <f>IF($J1003=0,0,ROUND(MAX($J1003*1.4*1.5*1.6*1.6*2.2*2.715*2.6*1.4,6020000000*(1.651178^(MIN($E1003,123)-117)))*1,0))</f>
        <v>490486461</v>
      </c>
      <c r="AA1003" s="6">
        <f>$E1003+19</f>
        <v>131</v>
      </c>
      <c r="AB1003" s="7">
        <f>IF($J1003=0,0,ROUND(MAX($J1003*1.4*1.5*1.6*1.6*2.2*2.715*2.6*1.4*1.4,8430000000*(1.651435^(MIN($E1003,123)-117)))*1,0))</f>
        <v>686309723</v>
      </c>
      <c r="AC1003" s="4">
        <f>$E1003+21</f>
        <v>133</v>
      </c>
      <c r="AD1003" s="8">
        <f>IF($J1003=0,0,ROUND(MAX($J1003*1.4*1.5*1.6*1.6*2.2*2.715*2.6*1.4*1.4*1.5,12600000000*(1.652953^(MIN($E1003,123)-117)))*1,0))</f>
        <v>1021099398</v>
      </c>
      <c r="AE1003" s="6">
        <f>$E1003+24</f>
        <v>136</v>
      </c>
      <c r="AF1003" s="7">
        <f>IF($J1003=0,0,ROUND(MAX($J1003*1.4*1.5*1.6*1.6*2.2*2.715*2.6*1.4*1.4*1.5*1.5,18900000000*(1.65331^(MIN($E1003,123)-117)))*1,0))</f>
        <v>1529996162</v>
      </c>
      <c r="AG1003" s="4">
        <f>$E1003+27</f>
        <v>139</v>
      </c>
      <c r="AH1003" s="8">
        <f>IF($J1003=0,0,ROUND(MAX($J1003*1.4*1.5*1.6*1.6*2.2*2.715*2.6*1.4*1.4*1.5*1.5*3.2,60500000000*(1.654288^(MIN($E1003,123)-117)))*1,0))</f>
        <v>4883146766</v>
      </c>
    </row>
    <row r="1004" ht="27.75" customHeight="1" spans="1:34" x14ac:dyDescent="0.25">
      <c r="A1004" s="3">
        <v>1014</v>
      </c>
      <c r="B1004" s="3" t="s">
        <v>794</v>
      </c>
      <c r="C1004" s="3" t="s">
        <v>768</v>
      </c>
      <c r="D1004" s="3" t="s">
        <v>90</v>
      </c>
      <c r="E1004" s="3">
        <v>112</v>
      </c>
      <c r="F1004" s="3" t="s">
        <v>30</v>
      </c>
      <c r="G1004" s="3" t="s">
        <v>82</v>
      </c>
      <c r="H1004" s="3">
        <v>26</v>
      </c>
      <c r="I1004" s="4">
        <v>112</v>
      </c>
      <c r="J1004" s="5">
        <v>109000</v>
      </c>
      <c r="K1004" s="6">
        <f>$E1004+1</f>
        <v>113</v>
      </c>
      <c r="L1004" s="7">
        <f>IF($J1004=0,0,ROUND(MAX($J1004*1.4,1620000*(1.497923^(MIN($E1004,123)-117)))*1,0))</f>
        <v>214816</v>
      </c>
      <c r="M1004" s="4">
        <f>$E1004+2</f>
        <v>114</v>
      </c>
      <c r="N1004" s="8">
        <f>IF($J1004=0,0,ROUND(MAX($J1004*1.4*1.5,2190000*(1.580994^(MIN($E1004,123)-117)))*1,0))</f>
        <v>228900</v>
      </c>
      <c r="O1004" s="6">
        <f>$E1004+4</f>
        <v>116</v>
      </c>
      <c r="P1004" s="7">
        <f>IF($J1004=0,0,ROUND(MAX($J1004*1.4*1.5*1.6,3500000*(1.57975^(MIN($E1004,123)-117)))*1,0))</f>
        <v>366240</v>
      </c>
      <c r="Q1004" s="4">
        <f>$E1004+6</f>
        <v>118</v>
      </c>
      <c r="R1004" s="8">
        <f>IF($J1004=0,0,ROUND(MAX($J1004*1.4*1.5*1.6*1.6,13100000*(1.429962^(MIN($E1004,123)-117)))*1,0))</f>
        <v>2191032</v>
      </c>
      <c r="S1004" s="6">
        <f>$E1004+8</f>
        <v>120</v>
      </c>
      <c r="T1004" s="7">
        <f>IF($J1004=0,0,ROUND(MAX($J1004*1.4*1.5*1.6*1.6*2.2,42600000*(1.576904^(MIN($E1004,123)-117)))*1,0))</f>
        <v>4369013</v>
      </c>
      <c r="U1004" s="4">
        <f>$E1004+11</f>
        <v>123</v>
      </c>
      <c r="V1004" s="8">
        <f>IF($J1004=0,0,ROUND(MAX($J1004*1.4*1.5*1.6*1.6*2.2*2.715,354000000*(1.642074^(MIN($E1004,123)-117)))*1,0))</f>
        <v>29651020</v>
      </c>
      <c r="W1004" s="6">
        <f>$E1004+15</f>
        <v>127</v>
      </c>
      <c r="X1004" s="7">
        <f>IF($J1004=0,0,ROUND(MAX($J1004*1.4*1.5*1.6*1.6*2.2*2.715*2.6,3540000000*(1.579646^(MIN($E1004,123)-117)))*1,0))</f>
        <v>359918692</v>
      </c>
      <c r="Y1004" s="4">
        <f>$E1004+17</f>
        <v>129</v>
      </c>
      <c r="Z1004" s="8">
        <f>IF($J1004=0,0,ROUND(MAX($J1004*1.4*1.5*1.6*1.6*2.2*2.715*2.6*1.4,6020000000*(1.651178^(MIN($E1004,123)-117)))*1,0))</f>
        <v>490486461</v>
      </c>
      <c r="AA1004" s="6">
        <f>$E1004+19</f>
        <v>131</v>
      </c>
      <c r="AB1004" s="7">
        <f>IF($J1004=0,0,ROUND(MAX($J1004*1.4*1.5*1.6*1.6*2.2*2.715*2.6*1.4*1.4,8430000000*(1.651435^(MIN($E1004,123)-117)))*1,0))</f>
        <v>686309723</v>
      </c>
      <c r="AC1004" s="4">
        <f>$E1004+21</f>
        <v>133</v>
      </c>
      <c r="AD1004" s="8">
        <f>IF($J1004=0,0,ROUND(MAX($J1004*1.4*1.5*1.6*1.6*2.2*2.715*2.6*1.4*1.4*1.5,12600000000*(1.652953^(MIN($E1004,123)-117)))*1,0))</f>
        <v>1021099398</v>
      </c>
      <c r="AE1004" s="6">
        <f>$E1004+24</f>
        <v>136</v>
      </c>
      <c r="AF1004" s="7">
        <f>IF($J1004=0,0,ROUND(MAX($J1004*1.4*1.5*1.6*1.6*2.2*2.715*2.6*1.4*1.4*1.5*1.5,18900000000*(1.65331^(MIN($E1004,123)-117)))*1,0))</f>
        <v>1529996162</v>
      </c>
      <c r="AG1004" s="4">
        <f>$E1004+27</f>
        <v>139</v>
      </c>
      <c r="AH1004" s="8">
        <f>IF($J1004=0,0,ROUND(MAX($J1004*1.4*1.5*1.6*1.6*2.2*2.715*2.6*1.4*1.4*1.5*1.5*3.2,60500000000*(1.654288^(MIN($E1004,123)-117)))*1,0))</f>
        <v>4883146766</v>
      </c>
    </row>
    <row r="1005" ht="27.75" customHeight="1" spans="1:34" x14ac:dyDescent="0.25">
      <c r="A1005" s="3">
        <v>1015</v>
      </c>
      <c r="B1005" s="3" t="s">
        <v>795</v>
      </c>
      <c r="C1005" s="3" t="s">
        <v>768</v>
      </c>
      <c r="D1005" s="3" t="s">
        <v>64</v>
      </c>
      <c r="E1005" s="3">
        <v>112</v>
      </c>
      <c r="F1005" s="3" t="s">
        <v>71</v>
      </c>
      <c r="G1005" s="3" t="s">
        <v>200</v>
      </c>
      <c r="H1005" s="3">
        <v>26</v>
      </c>
      <c r="I1005" s="4">
        <v>112</v>
      </c>
      <c r="J1005" s="5">
        <v>83800</v>
      </c>
      <c r="K1005" s="6">
        <f>$E1005+1</f>
        <v>113</v>
      </c>
      <c r="L1005" s="7">
        <f>IF($J1005=0,0,ROUND(MAX($J1005*1.4,1620000*(1.497923^(MIN($E1005,123)-117)))*1,0))</f>
        <v>214816</v>
      </c>
      <c r="M1005" s="4">
        <f>$E1005+2</f>
        <v>114</v>
      </c>
      <c r="N1005" s="8">
        <f>IF($J1005=0,0,ROUND(MAX($J1005*1.4*1.5,2190000*(1.580994^(MIN($E1005,123)-117)))*1,0))</f>
        <v>221714</v>
      </c>
      <c r="O1005" s="6">
        <f>$E1005+4</f>
        <v>116</v>
      </c>
      <c r="P1005" s="7">
        <f>IF($J1005=0,0,ROUND(MAX($J1005*1.4*1.5*1.6,3500000*(1.57975^(MIN($E1005,123)-117)))*1,0))</f>
        <v>355735</v>
      </c>
      <c r="Q1005" s="4">
        <f>$E1005+6</f>
        <v>118</v>
      </c>
      <c r="R1005" s="8">
        <f>IF($J1005=0,0,ROUND(MAX($J1005*1.4*1.5*1.6*1.6,13100000*(1.429962^(MIN($E1005,123)-117)))*1,0))</f>
        <v>2191032</v>
      </c>
      <c r="S1005" s="6">
        <f>$E1005+8</f>
        <v>120</v>
      </c>
      <c r="T1005" s="7">
        <f>IF($J1005=0,0,ROUND(MAX($J1005*1.4*1.5*1.6*1.6*2.2,42600000*(1.576904^(MIN($E1005,123)-117)))*1,0))</f>
        <v>4369013</v>
      </c>
      <c r="U1005" s="4">
        <f>$E1005+11</f>
        <v>123</v>
      </c>
      <c r="V1005" s="8">
        <f>IF($J1005=0,0,ROUND(MAX($J1005*1.4*1.5*1.6*1.6*2.2*2.715,354000000*(1.642074^(MIN($E1005,123)-117)))*1,0))</f>
        <v>29651020</v>
      </c>
      <c r="W1005" s="6">
        <f>$E1005+15</f>
        <v>127</v>
      </c>
      <c r="X1005" s="7">
        <f>IF($J1005=0,0,ROUND(MAX($J1005*1.4*1.5*1.6*1.6*2.2*2.715*2.6,3540000000*(1.579646^(MIN($E1005,123)-117)))*1,0))</f>
        <v>359918692</v>
      </c>
      <c r="Y1005" s="4">
        <f>$E1005+17</f>
        <v>129</v>
      </c>
      <c r="Z1005" s="8">
        <f>IF($J1005=0,0,ROUND(MAX($J1005*1.4*1.5*1.6*1.6*2.2*2.715*2.6*1.4,6020000000*(1.651178^(MIN($E1005,123)-117)))*1,0))</f>
        <v>490486461</v>
      </c>
      <c r="AA1005" s="6">
        <f>$E1005+19</f>
        <v>131</v>
      </c>
      <c r="AB1005" s="7">
        <f>IF($J1005=0,0,ROUND(MAX($J1005*1.4*1.5*1.6*1.6*2.2*2.715*2.6*1.4*1.4,8430000000*(1.651435^(MIN($E1005,123)-117)))*1,0))</f>
        <v>686309723</v>
      </c>
      <c r="AC1005" s="4">
        <f>$E1005+21</f>
        <v>133</v>
      </c>
      <c r="AD1005" s="8">
        <f>IF($J1005=0,0,ROUND(MAX($J1005*1.4*1.5*1.6*1.6*2.2*2.715*2.6*1.4*1.4*1.5,12600000000*(1.652953^(MIN($E1005,123)-117)))*1,0))</f>
        <v>1021099398</v>
      </c>
      <c r="AE1005" s="6">
        <f>$E1005+24</f>
        <v>136</v>
      </c>
      <c r="AF1005" s="7">
        <f>IF($J1005=0,0,ROUND(MAX($J1005*1.4*1.5*1.6*1.6*2.2*2.715*2.6*1.4*1.4*1.5*1.5,18900000000*(1.65331^(MIN($E1005,123)-117)))*1,0))</f>
        <v>1529996162</v>
      </c>
      <c r="AG1005" s="4">
        <f>$E1005+27</f>
        <v>139</v>
      </c>
      <c r="AH1005" s="8">
        <f>IF($J1005=0,0,ROUND(MAX($J1005*1.4*1.5*1.6*1.6*2.2*2.715*2.6*1.4*1.4*1.5*1.5*3.2,60500000000*(1.654288^(MIN($E1005,123)-117)))*1,0))</f>
        <v>4883146766</v>
      </c>
    </row>
    <row r="1006" ht="27.75" customHeight="1" spans="1:34" x14ac:dyDescent="0.25">
      <c r="A1006" s="3">
        <v>1016</v>
      </c>
      <c r="B1006" s="3" t="s">
        <v>796</v>
      </c>
      <c r="C1006" s="3" t="s">
        <v>768</v>
      </c>
      <c r="D1006" s="3" t="s">
        <v>45</v>
      </c>
      <c r="E1006" s="3">
        <v>112</v>
      </c>
      <c r="F1006" s="3" t="s">
        <v>42</v>
      </c>
      <c r="G1006" s="3" t="s">
        <v>797</v>
      </c>
      <c r="H1006" s="3">
        <v>26</v>
      </c>
      <c r="I1006" s="4">
        <v>112</v>
      </c>
      <c r="J1006" s="5">
        <v>76600</v>
      </c>
      <c r="K1006" s="6">
        <f>$E1006+1</f>
        <v>113</v>
      </c>
      <c r="L1006" s="7">
        <f>IF($J1006=0,0,ROUND(MAX($J1006*1.4,1620000*(1.497923^(MIN($E1006,123)-117)))*1,0))</f>
        <v>214816</v>
      </c>
      <c r="M1006" s="4">
        <f>$E1006+2</f>
        <v>114</v>
      </c>
      <c r="N1006" s="8">
        <f>IF($J1006=0,0,ROUND(MAX($J1006*1.4*1.5,2190000*(1.580994^(MIN($E1006,123)-117)))*1,0))</f>
        <v>221714</v>
      </c>
      <c r="O1006" s="6">
        <f>$E1006+4</f>
        <v>116</v>
      </c>
      <c r="P1006" s="7">
        <f>IF($J1006=0,0,ROUND(MAX($J1006*1.4*1.5*1.6,3500000*(1.57975^(MIN($E1006,123)-117)))*1,0))</f>
        <v>355735</v>
      </c>
      <c r="Q1006" s="4">
        <f>$E1006+6</f>
        <v>118</v>
      </c>
      <c r="R1006" s="8">
        <f>IF($J1006=0,0,ROUND(MAX($J1006*1.4*1.5*1.6*1.6,13100000*(1.429962^(MIN($E1006,123)-117)))*1,0))</f>
        <v>2191032</v>
      </c>
      <c r="S1006" s="6">
        <f>$E1006+8</f>
        <v>120</v>
      </c>
      <c r="T1006" s="7">
        <f>IF($J1006=0,0,ROUND(MAX($J1006*1.4*1.5*1.6*1.6*2.2,42600000*(1.576904^(MIN($E1006,123)-117)))*1,0))</f>
        <v>4369013</v>
      </c>
      <c r="U1006" s="4">
        <f>$E1006+11</f>
        <v>123</v>
      </c>
      <c r="V1006" s="8">
        <f>IF($J1006=0,0,ROUND(MAX($J1006*1.4*1.5*1.6*1.6*2.2*2.715,354000000*(1.642074^(MIN($E1006,123)-117)))*1,0))</f>
        <v>29651020</v>
      </c>
      <c r="W1006" s="6">
        <f>$E1006+15</f>
        <v>127</v>
      </c>
      <c r="X1006" s="7">
        <f>IF($J1006=0,0,ROUND(MAX($J1006*1.4*1.5*1.6*1.6*2.2*2.715*2.6,3540000000*(1.579646^(MIN($E1006,123)-117)))*1,0))</f>
        <v>359918692</v>
      </c>
      <c r="Y1006" s="4">
        <f>$E1006+17</f>
        <v>129</v>
      </c>
      <c r="Z1006" s="8">
        <f>IF($J1006=0,0,ROUND(MAX($J1006*1.4*1.5*1.6*1.6*2.2*2.715*2.6*1.4,6020000000*(1.651178^(MIN($E1006,123)-117)))*1,0))</f>
        <v>490486461</v>
      </c>
      <c r="AA1006" s="6">
        <f>$E1006+19</f>
        <v>131</v>
      </c>
      <c r="AB1006" s="7">
        <f>IF($J1006=0,0,ROUND(MAX($J1006*1.4*1.5*1.6*1.6*2.2*2.715*2.6*1.4*1.4,8430000000*(1.651435^(MIN($E1006,123)-117)))*1,0))</f>
        <v>686309723</v>
      </c>
      <c r="AC1006" s="4">
        <f>$E1006+21</f>
        <v>133</v>
      </c>
      <c r="AD1006" s="8">
        <f>IF($J1006=0,0,ROUND(MAX($J1006*1.4*1.5*1.6*1.6*2.2*2.715*2.6*1.4*1.4*1.5,12600000000*(1.652953^(MIN($E1006,123)-117)))*1,0))</f>
        <v>1021099398</v>
      </c>
      <c r="AE1006" s="6">
        <f>$E1006+24</f>
        <v>136</v>
      </c>
      <c r="AF1006" s="7">
        <f>IF($J1006=0,0,ROUND(MAX($J1006*1.4*1.5*1.6*1.6*2.2*2.715*2.6*1.4*1.4*1.5*1.5,18900000000*(1.65331^(MIN($E1006,123)-117)))*1,0))</f>
        <v>1529996162</v>
      </c>
      <c r="AG1006" s="4">
        <f>$E1006+27</f>
        <v>139</v>
      </c>
      <c r="AH1006" s="8">
        <f>IF($J1006=0,0,ROUND(MAX($J1006*1.4*1.5*1.6*1.6*2.2*2.715*2.6*1.4*1.4*1.5*1.5*3.2,60500000000*(1.654288^(MIN($E1006,123)-117)))*1,0))</f>
        <v>4883146766</v>
      </c>
    </row>
    <row r="1007" ht="27.75" customHeight="1" spans="1:34" x14ac:dyDescent="0.25">
      <c r="A1007" s="3">
        <v>1017</v>
      </c>
      <c r="B1007" s="3" t="s">
        <v>321</v>
      </c>
      <c r="C1007" s="3" t="s">
        <v>768</v>
      </c>
      <c r="D1007" s="3" t="s">
        <v>331</v>
      </c>
      <c r="E1007" s="3">
        <v>112</v>
      </c>
      <c r="F1007" s="3" t="s">
        <v>56</v>
      </c>
      <c r="G1007" s="3" t="s">
        <v>98</v>
      </c>
      <c r="H1007" s="3">
        <v>25</v>
      </c>
      <c r="I1007" s="4">
        <v>112</v>
      </c>
      <c r="J1007" s="5">
        <v>183000</v>
      </c>
      <c r="K1007" s="6">
        <f>$E1007+1</f>
        <v>113</v>
      </c>
      <c r="L1007" s="7">
        <f>IF($J1007=0,0,ROUND(MAX($J1007*1.4,1620000*(1.497923^(MIN($E1007,123)-117)))*1,0))</f>
        <v>256200</v>
      </c>
      <c r="M1007" s="4">
        <f>$E1007+2</f>
        <v>114</v>
      </c>
      <c r="N1007" s="8">
        <f>IF($J1007=0,0,ROUND(MAX($J1007*1.4*1.5,2190000*(1.580994^(MIN($E1007,123)-117)))*1,0))</f>
        <v>384300</v>
      </c>
      <c r="O1007" s="6">
        <f>$E1007+4</f>
        <v>116</v>
      </c>
      <c r="P1007" s="7">
        <f>IF($J1007=0,0,ROUND(MAX($J1007*1.4*1.5*1.6,3500000*(1.57975^(MIN($E1007,123)-117)))*1,0))</f>
        <v>614880</v>
      </c>
      <c r="Q1007" s="4">
        <f>$E1007+6</f>
        <v>118</v>
      </c>
      <c r="R1007" s="8">
        <f>IF($J1007=0,0,ROUND(MAX($J1007*1.4*1.5*1.6*1.6,13100000*(1.429962^(MIN($E1007,123)-117)))*1,0))</f>
        <v>2191032</v>
      </c>
      <c r="S1007" s="6">
        <f>$E1007+8</f>
        <v>120</v>
      </c>
      <c r="T1007" s="7">
        <f>IF($J1007=0,0,ROUND(MAX($J1007*1.4*1.5*1.6*1.6*2.2,42600000*(1.576904^(MIN($E1007,123)-117)))*1,0))</f>
        <v>4369013</v>
      </c>
      <c r="U1007" s="4">
        <f>$E1007+11</f>
        <v>123</v>
      </c>
      <c r="V1007" s="8">
        <f>IF($J1007=0,0,ROUND(MAX($J1007*1.4*1.5*1.6*1.6*2.2*2.715,354000000*(1.642074^(MIN($E1007,123)-117)))*1,0))</f>
        <v>29651020</v>
      </c>
      <c r="W1007" s="6">
        <f>$E1007+15</f>
        <v>127</v>
      </c>
      <c r="X1007" s="7">
        <f>IF($J1007=0,0,ROUND(MAX($J1007*1.4*1.5*1.6*1.6*2.2*2.715*2.6,3540000000*(1.579646^(MIN($E1007,123)-117)))*1,0))</f>
        <v>359918692</v>
      </c>
      <c r="Y1007" s="4">
        <f>$E1007+17</f>
        <v>129</v>
      </c>
      <c r="Z1007" s="8">
        <f>IF($J1007=0,0,ROUND(MAX($J1007*1.4*1.5*1.6*1.6*2.2*2.715*2.6*1.4,6020000000*(1.651178^(MIN($E1007,123)-117)))*1,0))</f>
        <v>490486461</v>
      </c>
      <c r="AA1007" s="6">
        <f>$E1007+19</f>
        <v>131</v>
      </c>
      <c r="AB1007" s="7">
        <f>IF($J1007=0,0,ROUND(MAX($J1007*1.4*1.5*1.6*1.6*2.2*2.715*2.6*1.4*1.4,8430000000*(1.651435^(MIN($E1007,123)-117)))*1,0))</f>
        <v>686309723</v>
      </c>
      <c r="AC1007" s="4">
        <f>$E1007+21</f>
        <v>133</v>
      </c>
      <c r="AD1007" s="8">
        <f>IF($J1007=0,0,ROUND(MAX($J1007*1.4*1.5*1.6*1.6*2.2*2.715*2.6*1.4*1.4*1.5,12600000000*(1.652953^(MIN($E1007,123)-117)))*1,0))</f>
        <v>1021099398</v>
      </c>
      <c r="AE1007" s="6">
        <f>$E1007+24</f>
        <v>136</v>
      </c>
      <c r="AF1007" s="7">
        <f>IF($J1007=0,0,ROUND(MAX($J1007*1.4*1.5*1.6*1.6*2.2*2.715*2.6*1.4*1.4*1.5*1.5,18900000000*(1.65331^(MIN($E1007,123)-117)))*1,0))</f>
        <v>1529996162</v>
      </c>
      <c r="AG1007" s="4">
        <f>$E1007+27</f>
        <v>139</v>
      </c>
      <c r="AH1007" s="8">
        <f>IF($J1007=0,0,ROUND(MAX($J1007*1.4*1.5*1.6*1.6*2.2*2.715*2.6*1.4*1.4*1.5*1.5*3.2,60500000000*(1.654288^(MIN($E1007,123)-117)))*1,0))</f>
        <v>4883146766</v>
      </c>
    </row>
    <row r="1008" ht="27.75" customHeight="1" spans="1:34" x14ac:dyDescent="0.25">
      <c r="A1008" s="3">
        <v>1018</v>
      </c>
      <c r="B1008" s="3" t="s">
        <v>798</v>
      </c>
      <c r="C1008" s="3" t="s">
        <v>768</v>
      </c>
      <c r="D1008" s="3" t="s">
        <v>241</v>
      </c>
      <c r="E1008" s="3">
        <v>112</v>
      </c>
      <c r="F1008" s="3" t="s">
        <v>56</v>
      </c>
      <c r="G1008" s="3" t="s">
        <v>356</v>
      </c>
      <c r="H1008" s="3">
        <v>25</v>
      </c>
      <c r="I1008" s="4">
        <v>112</v>
      </c>
      <c r="J1008" s="5">
        <v>122000</v>
      </c>
      <c r="K1008" s="6">
        <f>$E1008+1</f>
        <v>113</v>
      </c>
      <c r="L1008" s="7">
        <f>IF($J1008=0,0,ROUND(MAX($J1008*1.4,1620000*(1.497923^(MIN($E1008,123)-117)))*1,0))</f>
        <v>214816</v>
      </c>
      <c r="M1008" s="4">
        <f>$E1008+2</f>
        <v>114</v>
      </c>
      <c r="N1008" s="8">
        <f>IF($J1008=0,0,ROUND(MAX($J1008*1.4*1.5,2190000*(1.580994^(MIN($E1008,123)-117)))*1,0))</f>
        <v>256200</v>
      </c>
      <c r="O1008" s="6">
        <f>$E1008+4</f>
        <v>116</v>
      </c>
      <c r="P1008" s="7">
        <f>IF($J1008=0,0,ROUND(MAX($J1008*1.4*1.5*1.6,3500000*(1.57975^(MIN($E1008,123)-117)))*1,0))</f>
        <v>409920</v>
      </c>
      <c r="Q1008" s="4">
        <f>$E1008+6</f>
        <v>118</v>
      </c>
      <c r="R1008" s="8">
        <f>IF($J1008=0,0,ROUND(MAX($J1008*1.4*1.5*1.6*1.6,13100000*(1.429962^(MIN($E1008,123)-117)))*1,0))</f>
        <v>2191032</v>
      </c>
      <c r="S1008" s="6">
        <f>$E1008+8</f>
        <v>120</v>
      </c>
      <c r="T1008" s="7">
        <f>IF($J1008=0,0,ROUND(MAX($J1008*1.4*1.5*1.6*1.6*2.2,42600000*(1.576904^(MIN($E1008,123)-117)))*1,0))</f>
        <v>4369013</v>
      </c>
      <c r="U1008" s="4">
        <f>$E1008+11</f>
        <v>123</v>
      </c>
      <c r="V1008" s="8">
        <f>IF($J1008=0,0,ROUND(MAX($J1008*1.4*1.5*1.6*1.6*2.2*2.715,354000000*(1.642074^(MIN($E1008,123)-117)))*1,0))</f>
        <v>29651020</v>
      </c>
      <c r="W1008" s="6">
        <f>$E1008+15</f>
        <v>127</v>
      </c>
      <c r="X1008" s="7">
        <f>IF($J1008=0,0,ROUND(MAX($J1008*1.4*1.5*1.6*1.6*2.2*2.715*2.6,3540000000*(1.579646^(MIN($E1008,123)-117)))*1,0))</f>
        <v>359918692</v>
      </c>
      <c r="Y1008" s="4">
        <f>$E1008+17</f>
        <v>129</v>
      </c>
      <c r="Z1008" s="8">
        <f>IF($J1008=0,0,ROUND(MAX($J1008*1.4*1.5*1.6*1.6*2.2*2.715*2.6*1.4,6020000000*(1.651178^(MIN($E1008,123)-117)))*1,0))</f>
        <v>490486461</v>
      </c>
      <c r="AA1008" s="6">
        <f>$E1008+19</f>
        <v>131</v>
      </c>
      <c r="AB1008" s="7">
        <f>IF($J1008=0,0,ROUND(MAX($J1008*1.4*1.5*1.6*1.6*2.2*2.715*2.6*1.4*1.4,8430000000*(1.651435^(MIN($E1008,123)-117)))*1,0))</f>
        <v>686309723</v>
      </c>
      <c r="AC1008" s="4">
        <f>$E1008+21</f>
        <v>133</v>
      </c>
      <c r="AD1008" s="8">
        <f>IF($J1008=0,0,ROUND(MAX($J1008*1.4*1.5*1.6*1.6*2.2*2.715*2.6*1.4*1.4*1.5,12600000000*(1.652953^(MIN($E1008,123)-117)))*1,0))</f>
        <v>1021099398</v>
      </c>
      <c r="AE1008" s="6">
        <f>$E1008+24</f>
        <v>136</v>
      </c>
      <c r="AF1008" s="7">
        <f>IF($J1008=0,0,ROUND(MAX($J1008*1.4*1.5*1.6*1.6*2.2*2.715*2.6*1.4*1.4*1.5*1.5,18900000000*(1.65331^(MIN($E1008,123)-117)))*1,0))</f>
        <v>1529996162</v>
      </c>
      <c r="AG1008" s="4">
        <f>$E1008+27</f>
        <v>139</v>
      </c>
      <c r="AH1008" s="8">
        <f>IF($J1008=0,0,ROUND(MAX($J1008*1.4*1.5*1.6*1.6*2.2*2.715*2.6*1.4*1.4*1.5*1.5*3.2,60500000000*(1.654288^(MIN($E1008,123)-117)))*1,0))</f>
        <v>4883146766</v>
      </c>
    </row>
    <row r="1009" ht="27.75" customHeight="1" spans="1:34" x14ac:dyDescent="0.25">
      <c r="A1009" s="3">
        <v>1019</v>
      </c>
      <c r="B1009" s="3" t="s">
        <v>744</v>
      </c>
      <c r="C1009" s="3" t="s">
        <v>768</v>
      </c>
      <c r="D1009" s="3" t="s">
        <v>47</v>
      </c>
      <c r="E1009" s="3">
        <v>112</v>
      </c>
      <c r="F1009" s="3" t="s">
        <v>412</v>
      </c>
      <c r="G1009" s="3" t="s">
        <v>351</v>
      </c>
      <c r="H1009" s="3">
        <v>24</v>
      </c>
      <c r="I1009" s="4">
        <v>112</v>
      </c>
      <c r="J1009" s="5">
        <v>84700</v>
      </c>
      <c r="K1009" s="6">
        <f>$E1009+1</f>
        <v>113</v>
      </c>
      <c r="L1009" s="7">
        <f>IF($J1009=0,0,ROUND(MAX($J1009*1.4,1620000*(1.497923^(MIN($E1009,123)-117)))*1,0))</f>
        <v>214816</v>
      </c>
      <c r="M1009" s="4">
        <f>$E1009+2</f>
        <v>114</v>
      </c>
      <c r="N1009" s="8">
        <f>IF($J1009=0,0,ROUND(MAX($J1009*1.4*1.5,2190000*(1.580994^(MIN($E1009,123)-117)))*1,0))</f>
        <v>221714</v>
      </c>
      <c r="O1009" s="6">
        <f>$E1009+4</f>
        <v>116</v>
      </c>
      <c r="P1009" s="7">
        <f>IF($J1009=0,0,ROUND(MAX($J1009*1.4*1.5*1.6,3500000*(1.57975^(MIN($E1009,123)-117)))*1,0))</f>
        <v>355735</v>
      </c>
      <c r="Q1009" s="4">
        <f>$E1009+6</f>
        <v>118</v>
      </c>
      <c r="R1009" s="8">
        <f>IF($J1009=0,0,ROUND(MAX($J1009*1.4*1.5*1.6*1.6,13100000*(1.429962^(MIN($E1009,123)-117)))*1,0))</f>
        <v>2191032</v>
      </c>
      <c r="S1009" s="6">
        <f>$E1009+8</f>
        <v>120</v>
      </c>
      <c r="T1009" s="7">
        <f>IF($J1009=0,0,ROUND(MAX($J1009*1.4*1.5*1.6*1.6*2.2,42600000*(1.576904^(MIN($E1009,123)-117)))*1,0))</f>
        <v>4369013</v>
      </c>
      <c r="U1009" s="4">
        <f>$E1009+11</f>
        <v>123</v>
      </c>
      <c r="V1009" s="8">
        <f>IF($J1009=0,0,ROUND(MAX($J1009*1.4*1.5*1.6*1.6*2.2*2.715,354000000*(1.642074^(MIN($E1009,123)-117)))*1,0))</f>
        <v>29651020</v>
      </c>
      <c r="W1009" s="6">
        <f>$E1009+15</f>
        <v>127</v>
      </c>
      <c r="X1009" s="7">
        <f>IF($J1009=0,0,ROUND(MAX($J1009*1.4*1.5*1.6*1.6*2.2*2.715*2.6,3540000000*(1.579646^(MIN($E1009,123)-117)))*1,0))</f>
        <v>359918692</v>
      </c>
      <c r="Y1009" s="4">
        <f>$E1009+17</f>
        <v>129</v>
      </c>
      <c r="Z1009" s="8">
        <f>IF($J1009=0,0,ROUND(MAX($J1009*1.4*1.5*1.6*1.6*2.2*2.715*2.6*1.4,6020000000*(1.651178^(MIN($E1009,123)-117)))*1,0))</f>
        <v>490486461</v>
      </c>
      <c r="AA1009" s="6">
        <f>$E1009+19</f>
        <v>131</v>
      </c>
      <c r="AB1009" s="7">
        <f>IF($J1009=0,0,ROUND(MAX($J1009*1.4*1.5*1.6*1.6*2.2*2.715*2.6*1.4*1.4,8430000000*(1.651435^(MIN($E1009,123)-117)))*1,0))</f>
        <v>686309723</v>
      </c>
      <c r="AC1009" s="4">
        <f>$E1009+21</f>
        <v>133</v>
      </c>
      <c r="AD1009" s="8">
        <f>IF($J1009=0,0,ROUND(MAX($J1009*1.4*1.5*1.6*1.6*2.2*2.715*2.6*1.4*1.4*1.5,12600000000*(1.652953^(MIN($E1009,123)-117)))*1,0))</f>
        <v>1021099398</v>
      </c>
      <c r="AE1009" s="6">
        <f>$E1009+24</f>
        <v>136</v>
      </c>
      <c r="AF1009" s="7">
        <f>IF($J1009=0,0,ROUND(MAX($J1009*1.4*1.5*1.6*1.6*2.2*2.715*2.6*1.4*1.4*1.5*1.5,18900000000*(1.65331^(MIN($E1009,123)-117)))*1,0))</f>
        <v>1529996162</v>
      </c>
      <c r="AG1009" s="4">
        <f>$E1009+27</f>
        <v>139</v>
      </c>
      <c r="AH1009" s="8">
        <f>IF($J1009=0,0,ROUND(MAX($J1009*1.4*1.5*1.6*1.6*2.2*2.715*2.6*1.4*1.4*1.5*1.5*3.2,60500000000*(1.654288^(MIN($E1009,123)-117)))*1,0))</f>
        <v>4883146766</v>
      </c>
    </row>
    <row r="1010" ht="27.75" customHeight="1" spans="1:34" x14ac:dyDescent="0.25">
      <c r="A1010" s="3">
        <v>1020</v>
      </c>
      <c r="B1010" s="3" t="s">
        <v>799</v>
      </c>
      <c r="C1010" s="3" t="s">
        <v>768</v>
      </c>
      <c r="D1010" s="3" t="s">
        <v>47</v>
      </c>
      <c r="E1010" s="3">
        <v>112</v>
      </c>
      <c r="F1010" s="3" t="s">
        <v>88</v>
      </c>
      <c r="G1010" s="3" t="s">
        <v>38</v>
      </c>
      <c r="H1010" s="3">
        <v>23</v>
      </c>
      <c r="I1010" s="4">
        <v>112</v>
      </c>
      <c r="J1010" s="5">
        <v>125000</v>
      </c>
      <c r="K1010" s="6">
        <f>$E1010+1</f>
        <v>113</v>
      </c>
      <c r="L1010" s="7">
        <f>IF($J1010=0,0,ROUND(MAX($J1010*1.4,1620000*(1.497923^(MIN($E1010,123)-117)))*1,0))</f>
        <v>214816</v>
      </c>
      <c r="M1010" s="4">
        <f>$E1010+2</f>
        <v>114</v>
      </c>
      <c r="N1010" s="8">
        <f>IF($J1010=0,0,ROUND(MAX($J1010*1.4*1.5,2190000*(1.580994^(MIN($E1010,123)-117)))*1,0))</f>
        <v>262500</v>
      </c>
      <c r="O1010" s="6">
        <f>$E1010+4</f>
        <v>116</v>
      </c>
      <c r="P1010" s="7">
        <f>IF($J1010=0,0,ROUND(MAX($J1010*1.4*1.5*1.6,3500000*(1.57975^(MIN($E1010,123)-117)))*1,0))</f>
        <v>420000</v>
      </c>
      <c r="Q1010" s="4">
        <f>$E1010+6</f>
        <v>118</v>
      </c>
      <c r="R1010" s="8">
        <f>IF($J1010=0,0,ROUND(MAX($J1010*1.4*1.5*1.6*1.6,13100000*(1.429962^(MIN($E1010,123)-117)))*1,0))</f>
        <v>2191032</v>
      </c>
      <c r="S1010" s="6">
        <f>$E1010+8</f>
        <v>120</v>
      </c>
      <c r="T1010" s="7">
        <f>IF($J1010=0,0,ROUND(MAX($J1010*1.4*1.5*1.6*1.6*2.2,42600000*(1.576904^(MIN($E1010,123)-117)))*1,0))</f>
        <v>4369013</v>
      </c>
      <c r="U1010" s="4">
        <f>$E1010+11</f>
        <v>123</v>
      </c>
      <c r="V1010" s="8">
        <f>IF($J1010=0,0,ROUND(MAX($J1010*1.4*1.5*1.6*1.6*2.2*2.715,354000000*(1.642074^(MIN($E1010,123)-117)))*1,0))</f>
        <v>29651020</v>
      </c>
      <c r="W1010" s="6">
        <f>$E1010+15</f>
        <v>127</v>
      </c>
      <c r="X1010" s="7">
        <f>IF($J1010=0,0,ROUND(MAX($J1010*1.4*1.5*1.6*1.6*2.2*2.715*2.6,3540000000*(1.579646^(MIN($E1010,123)-117)))*1,0))</f>
        <v>359918692</v>
      </c>
      <c r="Y1010" s="4">
        <f>$E1010+17</f>
        <v>129</v>
      </c>
      <c r="Z1010" s="8">
        <f>IF($J1010=0,0,ROUND(MAX($J1010*1.4*1.5*1.6*1.6*2.2*2.715*2.6*1.4,6020000000*(1.651178^(MIN($E1010,123)-117)))*1,0))</f>
        <v>490486461</v>
      </c>
      <c r="AA1010" s="6">
        <f>$E1010+19</f>
        <v>131</v>
      </c>
      <c r="AB1010" s="7">
        <f>IF($J1010=0,0,ROUND(MAX($J1010*1.4*1.5*1.6*1.6*2.2*2.715*2.6*1.4*1.4,8430000000*(1.651435^(MIN($E1010,123)-117)))*1,0))</f>
        <v>686309723</v>
      </c>
      <c r="AC1010" s="4">
        <f>$E1010+21</f>
        <v>133</v>
      </c>
      <c r="AD1010" s="8">
        <f>IF($J1010=0,0,ROUND(MAX($J1010*1.4*1.5*1.6*1.6*2.2*2.715*2.6*1.4*1.4*1.5,12600000000*(1.652953^(MIN($E1010,123)-117)))*1,0))</f>
        <v>1021099398</v>
      </c>
      <c r="AE1010" s="6">
        <f>$E1010+24</f>
        <v>136</v>
      </c>
      <c r="AF1010" s="7">
        <f>IF($J1010=0,0,ROUND(MAX($J1010*1.4*1.5*1.6*1.6*2.2*2.715*2.6*1.4*1.4*1.5*1.5,18900000000*(1.65331^(MIN($E1010,123)-117)))*1,0))</f>
        <v>1529996162</v>
      </c>
      <c r="AG1010" s="4">
        <f>$E1010+27</f>
        <v>139</v>
      </c>
      <c r="AH1010" s="8">
        <f>IF($J1010=0,0,ROUND(MAX($J1010*1.4*1.5*1.6*1.6*2.2*2.715*2.6*1.4*1.4*1.5*1.5*3.2,60500000000*(1.654288^(MIN($E1010,123)-117)))*1,0))</f>
        <v>4883146766</v>
      </c>
    </row>
    <row r="1011" ht="27.75" customHeight="1" spans="1:34" x14ac:dyDescent="0.25">
      <c r="A1011" s="3">
        <v>1021</v>
      </c>
      <c r="B1011" s="3" t="s">
        <v>718</v>
      </c>
      <c r="C1011" s="3" t="s">
        <v>768</v>
      </c>
      <c r="D1011" s="3" t="s">
        <v>79</v>
      </c>
      <c r="E1011" s="3">
        <v>111</v>
      </c>
      <c r="F1011" s="3" t="s">
        <v>298</v>
      </c>
      <c r="G1011" s="3" t="s">
        <v>719</v>
      </c>
      <c r="H1011" s="3">
        <v>27</v>
      </c>
      <c r="I1011" s="4">
        <v>111</v>
      </c>
      <c r="J1011" s="5">
        <v>132000</v>
      </c>
      <c r="K1011" s="6">
        <f>$E1011+1</f>
        <v>112</v>
      </c>
      <c r="L1011" s="7">
        <f>IF($J1011=0,0,ROUND(MAX($J1011*1.4,1620000*(1.497923^(MIN($E1011,123)-117)))*1,0))</f>
        <v>184800</v>
      </c>
      <c r="M1011" s="4">
        <f>$E1011+2</f>
        <v>113</v>
      </c>
      <c r="N1011" s="8">
        <f>IF($J1011=0,0,ROUND(MAX($J1011*1.4*1.5,2190000*(1.580994^(MIN($E1011,123)-117)))*1,0))</f>
        <v>277200</v>
      </c>
      <c r="O1011" s="6">
        <f>$E1011+4</f>
        <v>115</v>
      </c>
      <c r="P1011" s="7">
        <f>IF($J1011=0,0,ROUND(MAX($J1011*1.4*1.5*1.6,3500000*(1.57975^(MIN($E1011,123)-117)))*1,0))</f>
        <v>443520</v>
      </c>
      <c r="Q1011" s="4">
        <f>$E1011+6</f>
        <v>117</v>
      </c>
      <c r="R1011" s="8">
        <f>IF($J1011=0,0,ROUND(MAX($J1011*1.4*1.5*1.6*1.6,13100000*(1.429962^(MIN($E1011,123)-117)))*1,0))</f>
        <v>1532231</v>
      </c>
      <c r="S1011" s="6">
        <f>$E1011+8</f>
        <v>119</v>
      </c>
      <c r="T1011" s="7">
        <f>IF($J1011=0,0,ROUND(MAX($J1011*1.4*1.5*1.6*1.6*2.2,42600000*(1.576904^(MIN($E1011,123)-117)))*1,0))</f>
        <v>2770627</v>
      </c>
      <c r="U1011" s="4">
        <f>$E1011+11</f>
        <v>122</v>
      </c>
      <c r="V1011" s="8">
        <f>IF($J1011=0,0,ROUND(MAX($J1011*1.4*1.5*1.6*1.6*2.2*2.715,354000000*(1.642074^(MIN($E1011,123)-117)))*1,0))</f>
        <v>18057055</v>
      </c>
      <c r="W1011" s="6">
        <f>$E1011+15</f>
        <v>126</v>
      </c>
      <c r="X1011" s="7">
        <f>IF($J1011=0,0,ROUND(MAX($J1011*1.4*1.5*1.6*1.6*2.2*2.715*2.6,3540000000*(1.579646^(MIN($E1011,123)-117)))*1,0))</f>
        <v>227847690</v>
      </c>
      <c r="Y1011" s="4">
        <f>$E1011+17</f>
        <v>128</v>
      </c>
      <c r="Z1011" s="8">
        <f>IF($J1011=0,0,ROUND(MAX($J1011*1.4*1.5*1.6*1.6*2.2*2.715*2.6*1.4,6020000000*(1.651178^(MIN($E1011,123)-117)))*1,0))</f>
        <v>297052444</v>
      </c>
      <c r="AA1011" s="6">
        <f>$E1011+19</f>
        <v>130</v>
      </c>
      <c r="AB1011" s="7">
        <f>IF($J1011=0,0,ROUND(MAX($J1011*1.4*1.5*1.6*1.6*2.2*2.715*2.6*1.4*1.4,8430000000*(1.651435^(MIN($E1011,123)-117)))*1,0))</f>
        <v>415583854</v>
      </c>
      <c r="AC1011" s="4">
        <f>$E1011+21</f>
        <v>132</v>
      </c>
      <c r="AD1011" s="8">
        <f>IF($J1011=0,0,ROUND(MAX($J1011*1.4*1.5*1.6*1.6*2.2*2.715*2.6*1.4*1.4*1.5,12600000000*(1.652953^(MIN($E1011,123)-117)))*1,0))</f>
        <v>617742548</v>
      </c>
      <c r="AE1011" s="6">
        <f>$E1011+24</f>
        <v>135</v>
      </c>
      <c r="AF1011" s="7">
        <f>IF($J1011=0,0,ROUND(MAX($J1011*1.4*1.5*1.6*1.6*2.2*2.715*2.6*1.4*1.4*1.5*1.5,18900000000*(1.65331^(MIN($E1011,123)-117)))*1,0))</f>
        <v>925413965</v>
      </c>
      <c r="AG1011" s="4">
        <f>$E1011+27</f>
        <v>138</v>
      </c>
      <c r="AH1011" s="8">
        <f>IF($J1011=0,0,ROUND(MAX($J1011*1.4*1.5*1.6*1.6*2.2*2.715*2.6*1.4*1.4*1.5*1.5*3.2,60500000000*(1.654288^(MIN($E1011,123)-117)))*1,0))</f>
        <v>2951811756</v>
      </c>
    </row>
    <row r="1012" ht="27.75" customHeight="1" spans="1:34" x14ac:dyDescent="0.25">
      <c r="A1012" s="3">
        <v>1022</v>
      </c>
      <c r="B1012" s="3" t="s">
        <v>673</v>
      </c>
      <c r="C1012" s="3" t="s">
        <v>768</v>
      </c>
      <c r="D1012" s="3" t="s">
        <v>40</v>
      </c>
      <c r="E1012" s="3">
        <v>111</v>
      </c>
      <c r="F1012" s="3" t="s">
        <v>34</v>
      </c>
      <c r="G1012" s="3" t="s">
        <v>769</v>
      </c>
      <c r="H1012" s="3">
        <v>27</v>
      </c>
      <c r="I1012" s="4">
        <v>111</v>
      </c>
      <c r="J1012" s="5">
        <v>61400</v>
      </c>
      <c r="K1012" s="6">
        <f>$E1012+1</f>
        <v>112</v>
      </c>
      <c r="L1012" s="7">
        <f>IF($J1012=0,0,ROUND(MAX($J1012*1.4,1620000*(1.497923^(MIN($E1012,123)-117)))*1,0))</f>
        <v>143410</v>
      </c>
      <c r="M1012" s="4">
        <f>$E1012+2</f>
        <v>113</v>
      </c>
      <c r="N1012" s="8">
        <f>IF($J1012=0,0,ROUND(MAX($J1012*1.4*1.5,2190000*(1.580994^(MIN($E1012,123)-117)))*1,0))</f>
        <v>140237</v>
      </c>
      <c r="O1012" s="6">
        <f>$E1012+4</f>
        <v>115</v>
      </c>
      <c r="P1012" s="7">
        <f>IF($J1012=0,0,ROUND(MAX($J1012*1.4*1.5*1.6,3500000*(1.57975^(MIN($E1012,123)-117)))*1,0))</f>
        <v>225184</v>
      </c>
      <c r="Q1012" s="4">
        <f>$E1012+6</f>
        <v>117</v>
      </c>
      <c r="R1012" s="8">
        <f>IF($J1012=0,0,ROUND(MAX($J1012*1.4*1.5*1.6*1.6,13100000*(1.429962^(MIN($E1012,123)-117)))*1,0))</f>
        <v>1532231</v>
      </c>
      <c r="S1012" s="6">
        <f>$E1012+8</f>
        <v>119</v>
      </c>
      <c r="T1012" s="7">
        <f>IF($J1012=0,0,ROUND(MAX($J1012*1.4*1.5*1.6*1.6*2.2,42600000*(1.576904^(MIN($E1012,123)-117)))*1,0))</f>
        <v>2770627</v>
      </c>
      <c r="U1012" s="4">
        <f>$E1012+11</f>
        <v>122</v>
      </c>
      <c r="V1012" s="8">
        <f>IF($J1012=0,0,ROUND(MAX($J1012*1.4*1.5*1.6*1.6*2.2*2.715,354000000*(1.642074^(MIN($E1012,123)-117)))*1,0))</f>
        <v>18057055</v>
      </c>
      <c r="W1012" s="6">
        <f>$E1012+15</f>
        <v>126</v>
      </c>
      <c r="X1012" s="7">
        <f>IF($J1012=0,0,ROUND(MAX($J1012*1.4*1.5*1.6*1.6*2.2*2.715*2.6,3540000000*(1.579646^(MIN($E1012,123)-117)))*1,0))</f>
        <v>227847690</v>
      </c>
      <c r="Y1012" s="4">
        <f>$E1012+17</f>
        <v>128</v>
      </c>
      <c r="Z1012" s="8">
        <f>IF($J1012=0,0,ROUND(MAX($J1012*1.4*1.5*1.6*1.6*2.2*2.715*2.6*1.4,6020000000*(1.651178^(MIN($E1012,123)-117)))*1,0))</f>
        <v>297052444</v>
      </c>
      <c r="AA1012" s="6">
        <f>$E1012+19</f>
        <v>130</v>
      </c>
      <c r="AB1012" s="7">
        <f>IF($J1012=0,0,ROUND(MAX($J1012*1.4*1.5*1.6*1.6*2.2*2.715*2.6*1.4*1.4,8430000000*(1.651435^(MIN($E1012,123)-117)))*1,0))</f>
        <v>415583854</v>
      </c>
      <c r="AC1012" s="4">
        <f>$E1012+21</f>
        <v>132</v>
      </c>
      <c r="AD1012" s="8">
        <f>IF($J1012=0,0,ROUND(MAX($J1012*1.4*1.5*1.6*1.6*2.2*2.715*2.6*1.4*1.4*1.5,12600000000*(1.652953^(MIN($E1012,123)-117)))*1,0))</f>
        <v>617742548</v>
      </c>
      <c r="AE1012" s="6">
        <f>$E1012+24</f>
        <v>135</v>
      </c>
      <c r="AF1012" s="7">
        <f>IF($J1012=0,0,ROUND(MAX($J1012*1.4*1.5*1.6*1.6*2.2*2.715*2.6*1.4*1.4*1.5*1.5,18900000000*(1.65331^(MIN($E1012,123)-117)))*1,0))</f>
        <v>925413965</v>
      </c>
      <c r="AG1012" s="4">
        <f>$E1012+27</f>
        <v>138</v>
      </c>
      <c r="AH1012" s="8">
        <f>IF($J1012=0,0,ROUND(MAX($J1012*1.4*1.5*1.6*1.6*2.2*2.715*2.6*1.4*1.4*1.5*1.5*3.2,60500000000*(1.654288^(MIN($E1012,123)-117)))*1,0))</f>
        <v>2951811756</v>
      </c>
    </row>
    <row r="1013" ht="27.75" customHeight="1" spans="1:34" x14ac:dyDescent="0.25">
      <c r="A1013" s="3">
        <v>1023</v>
      </c>
      <c r="B1013" s="3" t="s">
        <v>222</v>
      </c>
      <c r="C1013" s="3" t="s">
        <v>768</v>
      </c>
      <c r="D1013" s="3" t="s">
        <v>40</v>
      </c>
      <c r="E1013" s="3">
        <v>111</v>
      </c>
      <c r="F1013" s="3" t="s">
        <v>223</v>
      </c>
      <c r="G1013" s="3" t="s">
        <v>769</v>
      </c>
      <c r="H1013" s="3">
        <v>27</v>
      </c>
      <c r="I1013" s="4">
        <v>111</v>
      </c>
      <c r="J1013" s="5">
        <v>87900</v>
      </c>
      <c r="K1013" s="6">
        <f>$E1013+1</f>
        <v>112</v>
      </c>
      <c r="L1013" s="7">
        <f>IF($J1013=0,0,ROUND(MAX($J1013*1.4,1620000*(1.497923^(MIN($E1013,123)-117)))*1,0))</f>
        <v>143410</v>
      </c>
      <c r="M1013" s="4">
        <f>$E1013+2</f>
        <v>113</v>
      </c>
      <c r="N1013" s="8">
        <f>IF($J1013=0,0,ROUND(MAX($J1013*1.4*1.5,2190000*(1.580994^(MIN($E1013,123)-117)))*1,0))</f>
        <v>184590</v>
      </c>
      <c r="O1013" s="6">
        <f>$E1013+4</f>
        <v>115</v>
      </c>
      <c r="P1013" s="7">
        <f>IF($J1013=0,0,ROUND(MAX($J1013*1.4*1.5*1.6,3500000*(1.57975^(MIN($E1013,123)-117)))*1,0))</f>
        <v>295344</v>
      </c>
      <c r="Q1013" s="4">
        <f>$E1013+6</f>
        <v>117</v>
      </c>
      <c r="R1013" s="8">
        <f>IF($J1013=0,0,ROUND(MAX($J1013*1.4*1.5*1.6*1.6,13100000*(1.429962^(MIN($E1013,123)-117)))*1,0))</f>
        <v>1532231</v>
      </c>
      <c r="S1013" s="6">
        <f>$E1013+8</f>
        <v>119</v>
      </c>
      <c r="T1013" s="7">
        <f>IF($J1013=0,0,ROUND(MAX($J1013*1.4*1.5*1.6*1.6*2.2,42600000*(1.576904^(MIN($E1013,123)-117)))*1,0))</f>
        <v>2770627</v>
      </c>
      <c r="U1013" s="4">
        <f>$E1013+11</f>
        <v>122</v>
      </c>
      <c r="V1013" s="8">
        <f>IF($J1013=0,0,ROUND(MAX($J1013*1.4*1.5*1.6*1.6*2.2*2.715,354000000*(1.642074^(MIN($E1013,123)-117)))*1,0))</f>
        <v>18057055</v>
      </c>
      <c r="W1013" s="6">
        <f>$E1013+15</f>
        <v>126</v>
      </c>
      <c r="X1013" s="7">
        <f>IF($J1013=0,0,ROUND(MAX($J1013*1.4*1.5*1.6*1.6*2.2*2.715*2.6,3540000000*(1.579646^(MIN($E1013,123)-117)))*1,0))</f>
        <v>227847690</v>
      </c>
      <c r="Y1013" s="4">
        <f>$E1013+17</f>
        <v>128</v>
      </c>
      <c r="Z1013" s="8">
        <f>IF($J1013=0,0,ROUND(MAX($J1013*1.4*1.5*1.6*1.6*2.2*2.715*2.6*1.4,6020000000*(1.651178^(MIN($E1013,123)-117)))*1,0))</f>
        <v>297052444</v>
      </c>
      <c r="AA1013" s="6">
        <f>$E1013+19</f>
        <v>130</v>
      </c>
      <c r="AB1013" s="7">
        <f>IF($J1013=0,0,ROUND(MAX($J1013*1.4*1.5*1.6*1.6*2.2*2.715*2.6*1.4*1.4,8430000000*(1.651435^(MIN($E1013,123)-117)))*1,0))</f>
        <v>415583854</v>
      </c>
      <c r="AC1013" s="4">
        <f>$E1013+21</f>
        <v>132</v>
      </c>
      <c r="AD1013" s="8">
        <f>IF($J1013=0,0,ROUND(MAX($J1013*1.4*1.5*1.6*1.6*2.2*2.715*2.6*1.4*1.4*1.5,12600000000*(1.652953^(MIN($E1013,123)-117)))*1,0))</f>
        <v>617742548</v>
      </c>
      <c r="AE1013" s="6">
        <f>$E1013+24</f>
        <v>135</v>
      </c>
      <c r="AF1013" s="7">
        <f>IF($J1013=0,0,ROUND(MAX($J1013*1.4*1.5*1.6*1.6*2.2*2.715*2.6*1.4*1.4*1.5*1.5,18900000000*(1.65331^(MIN($E1013,123)-117)))*1,0))</f>
        <v>925413965</v>
      </c>
      <c r="AG1013" s="4">
        <f>$E1013+27</f>
        <v>138</v>
      </c>
      <c r="AH1013" s="8">
        <f>IF($J1013=0,0,ROUND(MAX($J1013*1.4*1.5*1.6*1.6*2.2*2.715*2.6*1.4*1.4*1.5*1.5*3.2,60500000000*(1.654288^(MIN($E1013,123)-117)))*1,0))</f>
        <v>2951811756</v>
      </c>
    </row>
    <row r="1014" ht="27.75" customHeight="1" spans="1:34" x14ac:dyDescent="0.25">
      <c r="A1014" s="3">
        <v>1024</v>
      </c>
      <c r="B1014" s="3" t="s">
        <v>661</v>
      </c>
      <c r="C1014" s="3" t="s">
        <v>768</v>
      </c>
      <c r="D1014" s="3" t="s">
        <v>29</v>
      </c>
      <c r="E1014" s="3">
        <v>111</v>
      </c>
      <c r="F1014" s="3" t="s">
        <v>643</v>
      </c>
      <c r="G1014" s="3" t="s">
        <v>769</v>
      </c>
      <c r="H1014" s="3">
        <v>26</v>
      </c>
      <c r="I1014" s="4">
        <v>111</v>
      </c>
      <c r="J1014" s="5">
        <v>56100</v>
      </c>
      <c r="K1014" s="6">
        <f>$E1014+1</f>
        <v>112</v>
      </c>
      <c r="L1014" s="7">
        <f>IF($J1014=0,0,ROUND(MAX($J1014*1.4,1620000*(1.497923^(MIN($E1014,123)-117)))*1,0))</f>
        <v>143410</v>
      </c>
      <c r="M1014" s="4">
        <f>$E1014+2</f>
        <v>113</v>
      </c>
      <c r="N1014" s="8">
        <f>IF($J1014=0,0,ROUND(MAX($J1014*1.4*1.5,2190000*(1.580994^(MIN($E1014,123)-117)))*1,0))</f>
        <v>140237</v>
      </c>
      <c r="O1014" s="6">
        <f>$E1014+4</f>
        <v>115</v>
      </c>
      <c r="P1014" s="7">
        <f>IF($J1014=0,0,ROUND(MAX($J1014*1.4*1.5*1.6,3500000*(1.57975^(MIN($E1014,123)-117)))*1,0))</f>
        <v>225184</v>
      </c>
      <c r="Q1014" s="4">
        <f>$E1014+6</f>
        <v>117</v>
      </c>
      <c r="R1014" s="8">
        <f>IF($J1014=0,0,ROUND(MAX($J1014*1.4*1.5*1.6*1.6,13100000*(1.429962^(MIN($E1014,123)-117)))*1,0))</f>
        <v>1532231</v>
      </c>
      <c r="S1014" s="6">
        <f>$E1014+8</f>
        <v>119</v>
      </c>
      <c r="T1014" s="7">
        <f>IF($J1014=0,0,ROUND(MAX($J1014*1.4*1.5*1.6*1.6*2.2,42600000*(1.576904^(MIN($E1014,123)-117)))*1,0))</f>
        <v>2770627</v>
      </c>
      <c r="U1014" s="4">
        <f>$E1014+11</f>
        <v>122</v>
      </c>
      <c r="V1014" s="8">
        <f>IF($J1014=0,0,ROUND(MAX($J1014*1.4*1.5*1.6*1.6*2.2*2.715,354000000*(1.642074^(MIN($E1014,123)-117)))*1,0))</f>
        <v>18057055</v>
      </c>
      <c r="W1014" s="6">
        <f>$E1014+15</f>
        <v>126</v>
      </c>
      <c r="X1014" s="7">
        <f>IF($J1014=0,0,ROUND(MAX($J1014*1.4*1.5*1.6*1.6*2.2*2.715*2.6,3540000000*(1.579646^(MIN($E1014,123)-117)))*1,0))</f>
        <v>227847690</v>
      </c>
      <c r="Y1014" s="4">
        <f>$E1014+17</f>
        <v>128</v>
      </c>
      <c r="Z1014" s="8">
        <f>IF($J1014=0,0,ROUND(MAX($J1014*1.4*1.5*1.6*1.6*2.2*2.715*2.6*1.4,6020000000*(1.651178^(MIN($E1014,123)-117)))*1,0))</f>
        <v>297052444</v>
      </c>
      <c r="AA1014" s="6">
        <f>$E1014+19</f>
        <v>130</v>
      </c>
      <c r="AB1014" s="7">
        <f>IF($J1014=0,0,ROUND(MAX($J1014*1.4*1.5*1.6*1.6*2.2*2.715*2.6*1.4*1.4,8430000000*(1.651435^(MIN($E1014,123)-117)))*1,0))</f>
        <v>415583854</v>
      </c>
      <c r="AC1014" s="4">
        <f>$E1014+21</f>
        <v>132</v>
      </c>
      <c r="AD1014" s="8">
        <f>IF($J1014=0,0,ROUND(MAX($J1014*1.4*1.5*1.6*1.6*2.2*2.715*2.6*1.4*1.4*1.5,12600000000*(1.652953^(MIN($E1014,123)-117)))*1,0))</f>
        <v>617742548</v>
      </c>
      <c r="AE1014" s="6">
        <f>$E1014+24</f>
        <v>135</v>
      </c>
      <c r="AF1014" s="7">
        <f>IF($J1014=0,0,ROUND(MAX($J1014*1.4*1.5*1.6*1.6*2.2*2.715*2.6*1.4*1.4*1.5*1.5,18900000000*(1.65331^(MIN($E1014,123)-117)))*1,0))</f>
        <v>925413965</v>
      </c>
      <c r="AG1014" s="4">
        <f>$E1014+27</f>
        <v>138</v>
      </c>
      <c r="AH1014" s="8">
        <f>IF($J1014=0,0,ROUND(MAX($J1014*1.4*1.5*1.6*1.6*2.2*2.715*2.6*1.4*1.4*1.5*1.5*3.2,60500000000*(1.654288^(MIN($E1014,123)-117)))*1,0))</f>
        <v>2951811756</v>
      </c>
    </row>
    <row r="1015" ht="27.75" customHeight="1" spans="1:34" x14ac:dyDescent="0.25">
      <c r="A1015" s="3">
        <v>1025</v>
      </c>
      <c r="B1015" s="3" t="s">
        <v>304</v>
      </c>
      <c r="C1015" s="3" t="s">
        <v>768</v>
      </c>
      <c r="D1015" s="3" t="s">
        <v>40</v>
      </c>
      <c r="E1015" s="3">
        <v>111</v>
      </c>
      <c r="F1015" s="3" t="s">
        <v>26</v>
      </c>
      <c r="G1015" s="3" t="s">
        <v>206</v>
      </c>
      <c r="H1015" s="3">
        <v>26</v>
      </c>
      <c r="I1015" s="4">
        <v>111</v>
      </c>
      <c r="J1015" s="5">
        <v>49100</v>
      </c>
      <c r="K1015" s="6">
        <f>$E1015+1</f>
        <v>112</v>
      </c>
      <c r="L1015" s="7">
        <f>IF($J1015=0,0,ROUND(MAX($J1015*1.4,1620000*(1.497923^(MIN($E1015,123)-117)))*1,0))</f>
        <v>143410</v>
      </c>
      <c r="M1015" s="4">
        <f>$E1015+2</f>
        <v>113</v>
      </c>
      <c r="N1015" s="8">
        <f>IF($J1015=0,0,ROUND(MAX($J1015*1.4*1.5,2190000*(1.580994^(MIN($E1015,123)-117)))*1,0))</f>
        <v>140237</v>
      </c>
      <c r="O1015" s="6">
        <f>$E1015+4</f>
        <v>115</v>
      </c>
      <c r="P1015" s="7">
        <f>IF($J1015=0,0,ROUND(MAX($J1015*1.4*1.5*1.6,3500000*(1.57975^(MIN($E1015,123)-117)))*1,0))</f>
        <v>225184</v>
      </c>
      <c r="Q1015" s="4">
        <f>$E1015+6</f>
        <v>117</v>
      </c>
      <c r="R1015" s="8">
        <f>IF($J1015=0,0,ROUND(MAX($J1015*1.4*1.5*1.6*1.6,13100000*(1.429962^(MIN($E1015,123)-117)))*1,0))</f>
        <v>1532231</v>
      </c>
      <c r="S1015" s="6">
        <f>$E1015+8</f>
        <v>119</v>
      </c>
      <c r="T1015" s="7">
        <f>IF($J1015=0,0,ROUND(MAX($J1015*1.4*1.5*1.6*1.6*2.2,42600000*(1.576904^(MIN($E1015,123)-117)))*1,0))</f>
        <v>2770627</v>
      </c>
      <c r="U1015" s="4">
        <f>$E1015+11</f>
        <v>122</v>
      </c>
      <c r="V1015" s="8">
        <f>IF($J1015=0,0,ROUND(MAX($J1015*1.4*1.5*1.6*1.6*2.2*2.715,354000000*(1.642074^(MIN($E1015,123)-117)))*1,0))</f>
        <v>18057055</v>
      </c>
      <c r="W1015" s="6">
        <f>$E1015+15</f>
        <v>126</v>
      </c>
      <c r="X1015" s="7">
        <f>IF($J1015=0,0,ROUND(MAX($J1015*1.4*1.5*1.6*1.6*2.2*2.715*2.6,3540000000*(1.579646^(MIN($E1015,123)-117)))*1,0))</f>
        <v>227847690</v>
      </c>
      <c r="Y1015" s="4">
        <f>$E1015+17</f>
        <v>128</v>
      </c>
      <c r="Z1015" s="8">
        <f>IF($J1015=0,0,ROUND(MAX($J1015*1.4*1.5*1.6*1.6*2.2*2.715*2.6*1.4,6020000000*(1.651178^(MIN($E1015,123)-117)))*1,0))</f>
        <v>297052444</v>
      </c>
      <c r="AA1015" s="6">
        <f>$E1015+19</f>
        <v>130</v>
      </c>
      <c r="AB1015" s="7">
        <f>IF($J1015=0,0,ROUND(MAX($J1015*1.4*1.5*1.6*1.6*2.2*2.715*2.6*1.4*1.4,8430000000*(1.651435^(MIN($E1015,123)-117)))*1,0))</f>
        <v>415583854</v>
      </c>
      <c r="AC1015" s="4">
        <f>$E1015+21</f>
        <v>132</v>
      </c>
      <c r="AD1015" s="8">
        <f>IF($J1015=0,0,ROUND(MAX($J1015*1.4*1.5*1.6*1.6*2.2*2.715*2.6*1.4*1.4*1.5,12600000000*(1.652953^(MIN($E1015,123)-117)))*1,0))</f>
        <v>617742548</v>
      </c>
      <c r="AE1015" s="6">
        <f>$E1015+24</f>
        <v>135</v>
      </c>
      <c r="AF1015" s="7">
        <f>IF($J1015=0,0,ROUND(MAX($J1015*1.4*1.5*1.6*1.6*2.2*2.715*2.6*1.4*1.4*1.5*1.5,18900000000*(1.65331^(MIN($E1015,123)-117)))*1,0))</f>
        <v>925413965</v>
      </c>
      <c r="AG1015" s="4">
        <f>$E1015+27</f>
        <v>138</v>
      </c>
      <c r="AH1015" s="8">
        <f>IF($J1015=0,0,ROUND(MAX($J1015*1.4*1.5*1.6*1.6*2.2*2.715*2.6*1.4*1.4*1.5*1.5*3.2,60500000000*(1.654288^(MIN($E1015,123)-117)))*1,0))</f>
        <v>2951811756</v>
      </c>
    </row>
    <row r="1016" ht="27.75" customHeight="1" spans="1:34" x14ac:dyDescent="0.25">
      <c r="A1016" s="3">
        <v>1026</v>
      </c>
      <c r="B1016" s="3" t="s">
        <v>286</v>
      </c>
      <c r="C1016" s="3" t="s">
        <v>768</v>
      </c>
      <c r="D1016" s="3" t="s">
        <v>102</v>
      </c>
      <c r="E1016" s="3">
        <v>111</v>
      </c>
      <c r="F1016" s="3" t="s">
        <v>54</v>
      </c>
      <c r="G1016" s="3" t="s">
        <v>38</v>
      </c>
      <c r="H1016" s="3">
        <v>26</v>
      </c>
      <c r="I1016" s="4">
        <v>111</v>
      </c>
      <c r="J1016" s="5">
        <v>49300</v>
      </c>
      <c r="K1016" s="6">
        <f>$E1016+1</f>
        <v>112</v>
      </c>
      <c r="L1016" s="7">
        <f>IF($J1016=0,0,ROUND(MAX($J1016*1.4,1620000*(1.497923^(MIN($E1016,123)-117)))*1,0))</f>
        <v>143410</v>
      </c>
      <c r="M1016" s="4">
        <f>$E1016+2</f>
        <v>113</v>
      </c>
      <c r="N1016" s="8">
        <f>IF($J1016=0,0,ROUND(MAX($J1016*1.4*1.5,2190000*(1.580994^(MIN($E1016,123)-117)))*1,0))</f>
        <v>140237</v>
      </c>
      <c r="O1016" s="6">
        <f>$E1016+4</f>
        <v>115</v>
      </c>
      <c r="P1016" s="7">
        <f>IF($J1016=0,0,ROUND(MAX($J1016*1.4*1.5*1.6,3500000*(1.57975^(MIN($E1016,123)-117)))*1,0))</f>
        <v>225184</v>
      </c>
      <c r="Q1016" s="4">
        <f>$E1016+6</f>
        <v>117</v>
      </c>
      <c r="R1016" s="8">
        <f>IF($J1016=0,0,ROUND(MAX($J1016*1.4*1.5*1.6*1.6,13100000*(1.429962^(MIN($E1016,123)-117)))*1,0))</f>
        <v>1532231</v>
      </c>
      <c r="S1016" s="6">
        <f>$E1016+8</f>
        <v>119</v>
      </c>
      <c r="T1016" s="7">
        <f>IF($J1016=0,0,ROUND(MAX($J1016*1.4*1.5*1.6*1.6*2.2,42600000*(1.576904^(MIN($E1016,123)-117)))*1,0))</f>
        <v>2770627</v>
      </c>
      <c r="U1016" s="4">
        <f>$E1016+11</f>
        <v>122</v>
      </c>
      <c r="V1016" s="8">
        <f>IF($J1016=0,0,ROUND(MAX($J1016*1.4*1.5*1.6*1.6*2.2*2.715,354000000*(1.642074^(MIN($E1016,123)-117)))*1,0))</f>
        <v>18057055</v>
      </c>
      <c r="W1016" s="6">
        <f>$E1016+15</f>
        <v>126</v>
      </c>
      <c r="X1016" s="7">
        <f>IF($J1016=0,0,ROUND(MAX($J1016*1.4*1.5*1.6*1.6*2.2*2.715*2.6,3540000000*(1.579646^(MIN($E1016,123)-117)))*1,0))</f>
        <v>227847690</v>
      </c>
      <c r="Y1016" s="4">
        <f>$E1016+17</f>
        <v>128</v>
      </c>
      <c r="Z1016" s="8">
        <f>IF($J1016=0,0,ROUND(MAX($J1016*1.4*1.5*1.6*1.6*2.2*2.715*2.6*1.4,6020000000*(1.651178^(MIN($E1016,123)-117)))*1,0))</f>
        <v>297052444</v>
      </c>
      <c r="AA1016" s="6">
        <f>$E1016+19</f>
        <v>130</v>
      </c>
      <c r="AB1016" s="7">
        <f>IF($J1016=0,0,ROUND(MAX($J1016*1.4*1.5*1.6*1.6*2.2*2.715*2.6*1.4*1.4,8430000000*(1.651435^(MIN($E1016,123)-117)))*1,0))</f>
        <v>415583854</v>
      </c>
      <c r="AC1016" s="4">
        <f>$E1016+21</f>
        <v>132</v>
      </c>
      <c r="AD1016" s="8">
        <f>IF($J1016=0,0,ROUND(MAX($J1016*1.4*1.5*1.6*1.6*2.2*2.715*2.6*1.4*1.4*1.5,12600000000*(1.652953^(MIN($E1016,123)-117)))*1,0))</f>
        <v>617742548</v>
      </c>
      <c r="AE1016" s="6">
        <f>$E1016+24</f>
        <v>135</v>
      </c>
      <c r="AF1016" s="7">
        <f>IF($J1016=0,0,ROUND(MAX($J1016*1.4*1.5*1.6*1.6*2.2*2.715*2.6*1.4*1.4*1.5*1.5,18900000000*(1.65331^(MIN($E1016,123)-117)))*1,0))</f>
        <v>925413965</v>
      </c>
      <c r="AG1016" s="4">
        <f>$E1016+27</f>
        <v>138</v>
      </c>
      <c r="AH1016" s="8">
        <f>IF($J1016=0,0,ROUND(MAX($J1016*1.4*1.5*1.6*1.6*2.2*2.715*2.6*1.4*1.4*1.5*1.5*3.2,60500000000*(1.654288^(MIN($E1016,123)-117)))*1,0))</f>
        <v>2951811756</v>
      </c>
    </row>
    <row r="1017" ht="27.75" customHeight="1" spans="1:34" x14ac:dyDescent="0.25">
      <c r="A1017" s="3">
        <v>1027</v>
      </c>
      <c r="B1017" s="3" t="s">
        <v>800</v>
      </c>
      <c r="C1017" s="3" t="s">
        <v>768</v>
      </c>
      <c r="D1017" s="3" t="s">
        <v>64</v>
      </c>
      <c r="E1017" s="3">
        <v>111</v>
      </c>
      <c r="F1017" s="3" t="s">
        <v>56</v>
      </c>
      <c r="G1017" s="3" t="s">
        <v>801</v>
      </c>
      <c r="H1017" s="3">
        <v>26</v>
      </c>
      <c r="I1017" s="4">
        <v>111</v>
      </c>
      <c r="J1017" s="5">
        <v>44600</v>
      </c>
      <c r="K1017" s="6">
        <f>$E1017+1</f>
        <v>112</v>
      </c>
      <c r="L1017" s="7">
        <f>IF($J1017=0,0,ROUND(MAX($J1017*1.4,1620000*(1.497923^(MIN($E1017,123)-117)))*1,0))</f>
        <v>143410</v>
      </c>
      <c r="M1017" s="4">
        <f>$E1017+2</f>
        <v>113</v>
      </c>
      <c r="N1017" s="8">
        <f>IF($J1017=0,0,ROUND(MAX($J1017*1.4*1.5,2190000*(1.580994^(MIN($E1017,123)-117)))*1,0))</f>
        <v>140237</v>
      </c>
      <c r="O1017" s="6">
        <f>$E1017+4</f>
        <v>115</v>
      </c>
      <c r="P1017" s="7">
        <f>IF($J1017=0,0,ROUND(MAX($J1017*1.4*1.5*1.6,3500000*(1.57975^(MIN($E1017,123)-117)))*1,0))</f>
        <v>225184</v>
      </c>
      <c r="Q1017" s="4">
        <f>$E1017+6</f>
        <v>117</v>
      </c>
      <c r="R1017" s="8">
        <f>IF($J1017=0,0,ROUND(MAX($J1017*1.4*1.5*1.6*1.6,13100000*(1.429962^(MIN($E1017,123)-117)))*1,0))</f>
        <v>1532231</v>
      </c>
      <c r="S1017" s="6">
        <f>$E1017+8</f>
        <v>119</v>
      </c>
      <c r="T1017" s="7">
        <f>IF($J1017=0,0,ROUND(MAX($J1017*1.4*1.5*1.6*1.6*2.2,42600000*(1.576904^(MIN($E1017,123)-117)))*1,0))</f>
        <v>2770627</v>
      </c>
      <c r="U1017" s="4">
        <f>$E1017+11</f>
        <v>122</v>
      </c>
      <c r="V1017" s="8">
        <f>IF($J1017=0,0,ROUND(MAX($J1017*1.4*1.5*1.6*1.6*2.2*2.715,354000000*(1.642074^(MIN($E1017,123)-117)))*1,0))</f>
        <v>18057055</v>
      </c>
      <c r="W1017" s="6">
        <f>$E1017+15</f>
        <v>126</v>
      </c>
      <c r="X1017" s="7">
        <f>IF($J1017=0,0,ROUND(MAX($J1017*1.4*1.5*1.6*1.6*2.2*2.715*2.6,3540000000*(1.579646^(MIN($E1017,123)-117)))*1,0))</f>
        <v>227847690</v>
      </c>
      <c r="Y1017" s="4">
        <f>$E1017+17</f>
        <v>128</v>
      </c>
      <c r="Z1017" s="8">
        <f>IF($J1017=0,0,ROUND(MAX($J1017*1.4*1.5*1.6*1.6*2.2*2.715*2.6*1.4,6020000000*(1.651178^(MIN($E1017,123)-117)))*1,0))</f>
        <v>297052444</v>
      </c>
      <c r="AA1017" s="6">
        <f>$E1017+19</f>
        <v>130</v>
      </c>
      <c r="AB1017" s="7">
        <f>IF($J1017=0,0,ROUND(MAX($J1017*1.4*1.5*1.6*1.6*2.2*2.715*2.6*1.4*1.4,8430000000*(1.651435^(MIN($E1017,123)-117)))*1,0))</f>
        <v>415583854</v>
      </c>
      <c r="AC1017" s="4">
        <f>$E1017+21</f>
        <v>132</v>
      </c>
      <c r="AD1017" s="8">
        <f>IF($J1017=0,0,ROUND(MAX($J1017*1.4*1.5*1.6*1.6*2.2*2.715*2.6*1.4*1.4*1.5,12600000000*(1.652953^(MIN($E1017,123)-117)))*1,0))</f>
        <v>617742548</v>
      </c>
      <c r="AE1017" s="6">
        <f>$E1017+24</f>
        <v>135</v>
      </c>
      <c r="AF1017" s="7">
        <f>IF($J1017=0,0,ROUND(MAX($J1017*1.4*1.5*1.6*1.6*2.2*2.715*2.6*1.4*1.4*1.5*1.5,18900000000*(1.65331^(MIN($E1017,123)-117)))*1,0))</f>
        <v>925413965</v>
      </c>
      <c r="AG1017" s="4">
        <f>$E1017+27</f>
        <v>138</v>
      </c>
      <c r="AH1017" s="8">
        <f>IF($J1017=0,0,ROUND(MAX($J1017*1.4*1.5*1.6*1.6*2.2*2.715*2.6*1.4*1.4*1.5*1.5*3.2,60500000000*(1.654288^(MIN($E1017,123)-117)))*1,0))</f>
        <v>2951811756</v>
      </c>
    </row>
    <row r="1018" ht="27.75" customHeight="1" spans="1:34" x14ac:dyDescent="0.25">
      <c r="A1018" s="3">
        <v>1028</v>
      </c>
      <c r="B1018" s="3" t="s">
        <v>802</v>
      </c>
      <c r="C1018" s="3" t="s">
        <v>768</v>
      </c>
      <c r="D1018" s="3" t="s">
        <v>64</v>
      </c>
      <c r="E1018" s="3">
        <v>111</v>
      </c>
      <c r="F1018" s="3" t="s">
        <v>303</v>
      </c>
      <c r="G1018" s="3" t="s">
        <v>38</v>
      </c>
      <c r="H1018" s="3">
        <v>26</v>
      </c>
      <c r="I1018" s="4">
        <v>111</v>
      </c>
      <c r="J1018" s="5">
        <v>233000</v>
      </c>
      <c r="K1018" s="6">
        <f>$E1018+1</f>
        <v>112</v>
      </c>
      <c r="L1018" s="7">
        <f>IF($J1018=0,0,ROUND(MAX($J1018*1.4,1620000*(1.497923^(MIN($E1018,123)-117)))*1,0))</f>
        <v>326200</v>
      </c>
      <c r="M1018" s="4">
        <f>$E1018+2</f>
        <v>113</v>
      </c>
      <c r="N1018" s="8">
        <f>IF($J1018=0,0,ROUND(MAX($J1018*1.4*1.5,2190000*(1.580994^(MIN($E1018,123)-117)))*1,0))</f>
        <v>489300</v>
      </c>
      <c r="O1018" s="6">
        <f>$E1018+4</f>
        <v>115</v>
      </c>
      <c r="P1018" s="7">
        <f>IF($J1018=0,0,ROUND(MAX($J1018*1.4*1.5*1.6,3500000*(1.57975^(MIN($E1018,123)-117)))*1,0))</f>
        <v>782880</v>
      </c>
      <c r="Q1018" s="4">
        <f>$E1018+6</f>
        <v>117</v>
      </c>
      <c r="R1018" s="8">
        <f>IF($J1018=0,0,ROUND(MAX($J1018*1.4*1.5*1.6*1.6,13100000*(1.429962^(MIN($E1018,123)-117)))*1,0))</f>
        <v>1532231</v>
      </c>
      <c r="S1018" s="6">
        <f>$E1018+8</f>
        <v>119</v>
      </c>
      <c r="T1018" s="7">
        <f>IF($J1018=0,0,ROUND(MAX($J1018*1.4*1.5*1.6*1.6*2.2,42600000*(1.576904^(MIN($E1018,123)-117)))*1,0))</f>
        <v>2770627</v>
      </c>
      <c r="U1018" s="4">
        <f>$E1018+11</f>
        <v>122</v>
      </c>
      <c r="V1018" s="8">
        <f>IF($J1018=0,0,ROUND(MAX($J1018*1.4*1.5*1.6*1.6*2.2*2.715,354000000*(1.642074^(MIN($E1018,123)-117)))*1,0))</f>
        <v>18057055</v>
      </c>
      <c r="W1018" s="6">
        <f>$E1018+15</f>
        <v>126</v>
      </c>
      <c r="X1018" s="7">
        <f>IF($J1018=0,0,ROUND(MAX($J1018*1.4*1.5*1.6*1.6*2.2*2.715*2.6,3540000000*(1.579646^(MIN($E1018,123)-117)))*1,0))</f>
        <v>227847690</v>
      </c>
      <c r="Y1018" s="4">
        <f>$E1018+17</f>
        <v>128</v>
      </c>
      <c r="Z1018" s="8">
        <f>IF($J1018=0,0,ROUND(MAX($J1018*1.4*1.5*1.6*1.6*2.2*2.715*2.6*1.4,6020000000*(1.651178^(MIN($E1018,123)-117)))*1,0))</f>
        <v>297052444</v>
      </c>
      <c r="AA1018" s="6">
        <f>$E1018+19</f>
        <v>130</v>
      </c>
      <c r="AB1018" s="7">
        <f>IF($J1018=0,0,ROUND(MAX($J1018*1.4*1.5*1.6*1.6*2.2*2.715*2.6*1.4*1.4,8430000000*(1.651435^(MIN($E1018,123)-117)))*1,0))</f>
        <v>415583854</v>
      </c>
      <c r="AC1018" s="4">
        <f>$E1018+21</f>
        <v>132</v>
      </c>
      <c r="AD1018" s="8">
        <f>IF($J1018=0,0,ROUND(MAX($J1018*1.4*1.5*1.6*1.6*2.2*2.715*2.6*1.4*1.4*1.5,12600000000*(1.652953^(MIN($E1018,123)-117)))*1,0))</f>
        <v>617742548</v>
      </c>
      <c r="AE1018" s="6">
        <f>$E1018+24</f>
        <v>135</v>
      </c>
      <c r="AF1018" s="7">
        <f>IF($J1018=0,0,ROUND(MAX($J1018*1.4*1.5*1.6*1.6*2.2*2.715*2.6*1.4*1.4*1.5*1.5,18900000000*(1.65331^(MIN($E1018,123)-117)))*1,0))</f>
        <v>925413965</v>
      </c>
      <c r="AG1018" s="4">
        <f>$E1018+27</f>
        <v>138</v>
      </c>
      <c r="AH1018" s="8">
        <f>IF($J1018=0,0,ROUND(MAX($J1018*1.4*1.5*1.6*1.6*2.2*2.715*2.6*1.4*1.4*1.5*1.5*3.2,60500000000*(1.654288^(MIN($E1018,123)-117)))*1,0))</f>
        <v>2951811756</v>
      </c>
    </row>
    <row r="1019" ht="27.75" customHeight="1" spans="1:34" x14ac:dyDescent="0.25">
      <c r="A1019" s="3">
        <v>1029</v>
      </c>
      <c r="B1019" s="3" t="s">
        <v>803</v>
      </c>
      <c r="C1019" s="3" t="s">
        <v>768</v>
      </c>
      <c r="D1019" s="3" t="s">
        <v>79</v>
      </c>
      <c r="E1019" s="3">
        <v>111</v>
      </c>
      <c r="F1019" s="3" t="s">
        <v>383</v>
      </c>
      <c r="G1019" s="3" t="s">
        <v>51</v>
      </c>
      <c r="H1019" s="3">
        <v>26</v>
      </c>
      <c r="I1019" s="4">
        <v>111</v>
      </c>
      <c r="J1019" s="5">
        <v>101000</v>
      </c>
      <c r="K1019" s="6">
        <f>$E1019+1</f>
        <v>112</v>
      </c>
      <c r="L1019" s="7">
        <f>IF($J1019=0,0,ROUND(MAX($J1019*1.4,1620000*(1.497923^(MIN($E1019,123)-117)))*1,0))</f>
        <v>143410</v>
      </c>
      <c r="M1019" s="4">
        <f>$E1019+2</f>
        <v>113</v>
      </c>
      <c r="N1019" s="8">
        <f>IF($J1019=0,0,ROUND(MAX($J1019*1.4*1.5,2190000*(1.580994^(MIN($E1019,123)-117)))*1,0))</f>
        <v>212100</v>
      </c>
      <c r="O1019" s="6">
        <f>$E1019+4</f>
        <v>115</v>
      </c>
      <c r="P1019" s="7">
        <f>IF($J1019=0,0,ROUND(MAX($J1019*1.4*1.5*1.6,3500000*(1.57975^(MIN($E1019,123)-117)))*1,0))</f>
        <v>339360</v>
      </c>
      <c r="Q1019" s="4">
        <f>$E1019+6</f>
        <v>117</v>
      </c>
      <c r="R1019" s="8">
        <f>IF($J1019=0,0,ROUND(MAX($J1019*1.4*1.5*1.6*1.6,13100000*(1.429962^(MIN($E1019,123)-117)))*1,0))</f>
        <v>1532231</v>
      </c>
      <c r="S1019" s="6">
        <f>$E1019+8</f>
        <v>119</v>
      </c>
      <c r="T1019" s="7">
        <f>IF($J1019=0,0,ROUND(MAX($J1019*1.4*1.5*1.6*1.6*2.2,42600000*(1.576904^(MIN($E1019,123)-117)))*1,0))</f>
        <v>2770627</v>
      </c>
      <c r="U1019" s="4">
        <f>$E1019+11</f>
        <v>122</v>
      </c>
      <c r="V1019" s="8">
        <f>IF($J1019=0,0,ROUND(MAX($J1019*1.4*1.5*1.6*1.6*2.2*2.715,354000000*(1.642074^(MIN($E1019,123)-117)))*1,0))</f>
        <v>18057055</v>
      </c>
      <c r="W1019" s="6">
        <f>$E1019+15</f>
        <v>126</v>
      </c>
      <c r="X1019" s="7">
        <f>IF($J1019=0,0,ROUND(MAX($J1019*1.4*1.5*1.6*1.6*2.2*2.715*2.6,3540000000*(1.579646^(MIN($E1019,123)-117)))*1,0))</f>
        <v>227847690</v>
      </c>
      <c r="Y1019" s="4">
        <f>$E1019+17</f>
        <v>128</v>
      </c>
      <c r="Z1019" s="8">
        <f>IF($J1019=0,0,ROUND(MAX($J1019*1.4*1.5*1.6*1.6*2.2*2.715*2.6*1.4,6020000000*(1.651178^(MIN($E1019,123)-117)))*1,0))</f>
        <v>297052444</v>
      </c>
      <c r="AA1019" s="6">
        <f>$E1019+19</f>
        <v>130</v>
      </c>
      <c r="AB1019" s="7">
        <f>IF($J1019=0,0,ROUND(MAX($J1019*1.4*1.5*1.6*1.6*2.2*2.715*2.6*1.4*1.4,8430000000*(1.651435^(MIN($E1019,123)-117)))*1,0))</f>
        <v>415583854</v>
      </c>
      <c r="AC1019" s="4">
        <f>$E1019+21</f>
        <v>132</v>
      </c>
      <c r="AD1019" s="8">
        <f>IF($J1019=0,0,ROUND(MAX($J1019*1.4*1.5*1.6*1.6*2.2*2.715*2.6*1.4*1.4*1.5,12600000000*(1.652953^(MIN($E1019,123)-117)))*1,0))</f>
        <v>617742548</v>
      </c>
      <c r="AE1019" s="6">
        <f>$E1019+24</f>
        <v>135</v>
      </c>
      <c r="AF1019" s="7">
        <f>IF($J1019=0,0,ROUND(MAX($J1019*1.4*1.5*1.6*1.6*2.2*2.715*2.6*1.4*1.4*1.5*1.5,18900000000*(1.65331^(MIN($E1019,123)-117)))*1,0))</f>
        <v>925413965</v>
      </c>
      <c r="AG1019" s="4">
        <f>$E1019+27</f>
        <v>138</v>
      </c>
      <c r="AH1019" s="8">
        <f>IF($J1019=0,0,ROUND(MAX($J1019*1.4*1.5*1.6*1.6*2.2*2.715*2.6*1.4*1.4*1.5*1.5*3.2,60500000000*(1.654288^(MIN($E1019,123)-117)))*1,0))</f>
        <v>2951811756</v>
      </c>
    </row>
    <row r="1020" ht="27.75" customHeight="1" spans="1:34" x14ac:dyDescent="0.25">
      <c r="A1020" s="3">
        <v>1030</v>
      </c>
      <c r="B1020" s="3" t="s">
        <v>804</v>
      </c>
      <c r="C1020" s="3" t="s">
        <v>768</v>
      </c>
      <c r="D1020" s="3" t="s">
        <v>40</v>
      </c>
      <c r="E1020" s="3">
        <v>111</v>
      </c>
      <c r="F1020" s="3" t="s">
        <v>310</v>
      </c>
      <c r="G1020" s="3" t="s">
        <v>769</v>
      </c>
      <c r="H1020" s="3">
        <v>26</v>
      </c>
      <c r="I1020" s="4">
        <v>111</v>
      </c>
      <c r="J1020" s="5">
        <v>60500</v>
      </c>
      <c r="K1020" s="6">
        <f>$E1020+1</f>
        <v>112</v>
      </c>
      <c r="L1020" s="7">
        <f>IF($J1020=0,0,ROUND(MAX($J1020*1.4,1620000*(1.497923^(MIN($E1020,123)-117)))*1,0))</f>
        <v>143410</v>
      </c>
      <c r="M1020" s="4">
        <f>$E1020+2</f>
        <v>113</v>
      </c>
      <c r="N1020" s="8">
        <f>IF($J1020=0,0,ROUND(MAX($J1020*1.4*1.5,2190000*(1.580994^(MIN($E1020,123)-117)))*1,0))</f>
        <v>140237</v>
      </c>
      <c r="O1020" s="6">
        <f>$E1020+4</f>
        <v>115</v>
      </c>
      <c r="P1020" s="7">
        <f>IF($J1020=0,0,ROUND(MAX($J1020*1.4*1.5*1.6,3500000*(1.57975^(MIN($E1020,123)-117)))*1,0))</f>
        <v>225184</v>
      </c>
      <c r="Q1020" s="4">
        <f>$E1020+6</f>
        <v>117</v>
      </c>
      <c r="R1020" s="8">
        <f>IF($J1020=0,0,ROUND(MAX($J1020*1.4*1.5*1.6*1.6,13100000*(1.429962^(MIN($E1020,123)-117)))*1,0))</f>
        <v>1532231</v>
      </c>
      <c r="S1020" s="6">
        <f>$E1020+8</f>
        <v>119</v>
      </c>
      <c r="T1020" s="7">
        <f>IF($J1020=0,0,ROUND(MAX($J1020*1.4*1.5*1.6*1.6*2.2,42600000*(1.576904^(MIN($E1020,123)-117)))*1,0))</f>
        <v>2770627</v>
      </c>
      <c r="U1020" s="4">
        <f>$E1020+11</f>
        <v>122</v>
      </c>
      <c r="V1020" s="8">
        <f>IF($J1020=0,0,ROUND(MAX($J1020*1.4*1.5*1.6*1.6*2.2*2.715,354000000*(1.642074^(MIN($E1020,123)-117)))*1,0))</f>
        <v>18057055</v>
      </c>
      <c r="W1020" s="6">
        <f>$E1020+15</f>
        <v>126</v>
      </c>
      <c r="X1020" s="7">
        <f>IF($J1020=0,0,ROUND(MAX($J1020*1.4*1.5*1.6*1.6*2.2*2.715*2.6,3540000000*(1.579646^(MIN($E1020,123)-117)))*1,0))</f>
        <v>227847690</v>
      </c>
      <c r="Y1020" s="4">
        <f>$E1020+17</f>
        <v>128</v>
      </c>
      <c r="Z1020" s="8">
        <f>IF($J1020=0,0,ROUND(MAX($J1020*1.4*1.5*1.6*1.6*2.2*2.715*2.6*1.4,6020000000*(1.651178^(MIN($E1020,123)-117)))*1,0))</f>
        <v>297052444</v>
      </c>
      <c r="AA1020" s="6">
        <f>$E1020+19</f>
        <v>130</v>
      </c>
      <c r="AB1020" s="7">
        <f>IF($J1020=0,0,ROUND(MAX($J1020*1.4*1.5*1.6*1.6*2.2*2.715*2.6*1.4*1.4,8430000000*(1.651435^(MIN($E1020,123)-117)))*1,0))</f>
        <v>415583854</v>
      </c>
      <c r="AC1020" s="4">
        <f>$E1020+21</f>
        <v>132</v>
      </c>
      <c r="AD1020" s="8">
        <f>IF($J1020=0,0,ROUND(MAX($J1020*1.4*1.5*1.6*1.6*2.2*2.715*2.6*1.4*1.4*1.5,12600000000*(1.652953^(MIN($E1020,123)-117)))*1,0))</f>
        <v>617742548</v>
      </c>
      <c r="AE1020" s="6">
        <f>$E1020+24</f>
        <v>135</v>
      </c>
      <c r="AF1020" s="7">
        <f>IF($J1020=0,0,ROUND(MAX($J1020*1.4*1.5*1.6*1.6*2.2*2.715*2.6*1.4*1.4*1.5*1.5,18900000000*(1.65331^(MIN($E1020,123)-117)))*1,0))</f>
        <v>925413965</v>
      </c>
      <c r="AG1020" s="4">
        <f>$E1020+27</f>
        <v>138</v>
      </c>
      <c r="AH1020" s="8">
        <f>IF($J1020=0,0,ROUND(MAX($J1020*1.4*1.5*1.6*1.6*2.2*2.715*2.6*1.4*1.4*1.5*1.5*3.2,60500000000*(1.654288^(MIN($E1020,123)-117)))*1,0))</f>
        <v>2951811756</v>
      </c>
    </row>
    <row r="1021" ht="27.75" customHeight="1" spans="1:34" x14ac:dyDescent="0.25">
      <c r="A1021" s="3">
        <v>1031</v>
      </c>
      <c r="B1021" s="3" t="s">
        <v>686</v>
      </c>
      <c r="C1021" s="3" t="s">
        <v>768</v>
      </c>
      <c r="D1021" s="3" t="s">
        <v>40</v>
      </c>
      <c r="E1021" s="3">
        <v>111</v>
      </c>
      <c r="F1021" s="3" t="s">
        <v>54</v>
      </c>
      <c r="G1021" s="3" t="s">
        <v>396</v>
      </c>
      <c r="H1021" s="3">
        <v>26</v>
      </c>
      <c r="I1021" s="4">
        <v>111</v>
      </c>
      <c r="J1021" s="5">
        <v>43700</v>
      </c>
      <c r="K1021" s="6">
        <f>$E1021+1</f>
        <v>112</v>
      </c>
      <c r="L1021" s="7">
        <f>IF($J1021=0,0,ROUND(MAX($J1021*1.4,1620000*(1.497923^(MIN($E1021,123)-117)))*1,0))</f>
        <v>143410</v>
      </c>
      <c r="M1021" s="4">
        <f>$E1021+2</f>
        <v>113</v>
      </c>
      <c r="N1021" s="8">
        <f>IF($J1021=0,0,ROUND(MAX($J1021*1.4*1.5,2190000*(1.580994^(MIN($E1021,123)-117)))*1,0))</f>
        <v>140237</v>
      </c>
      <c r="O1021" s="6">
        <f>$E1021+4</f>
        <v>115</v>
      </c>
      <c r="P1021" s="7">
        <f>IF($J1021=0,0,ROUND(MAX($J1021*1.4*1.5*1.6,3500000*(1.57975^(MIN($E1021,123)-117)))*1,0))</f>
        <v>225184</v>
      </c>
      <c r="Q1021" s="4">
        <f>$E1021+6</f>
        <v>117</v>
      </c>
      <c r="R1021" s="8">
        <f>IF($J1021=0,0,ROUND(MAX($J1021*1.4*1.5*1.6*1.6,13100000*(1.429962^(MIN($E1021,123)-117)))*1,0))</f>
        <v>1532231</v>
      </c>
      <c r="S1021" s="6">
        <f>$E1021+8</f>
        <v>119</v>
      </c>
      <c r="T1021" s="7">
        <f>IF($J1021=0,0,ROUND(MAX($J1021*1.4*1.5*1.6*1.6*2.2,42600000*(1.576904^(MIN($E1021,123)-117)))*1,0))</f>
        <v>2770627</v>
      </c>
      <c r="U1021" s="4">
        <f>$E1021+11</f>
        <v>122</v>
      </c>
      <c r="V1021" s="8">
        <f>IF($J1021=0,0,ROUND(MAX($J1021*1.4*1.5*1.6*1.6*2.2*2.715,354000000*(1.642074^(MIN($E1021,123)-117)))*1,0))</f>
        <v>18057055</v>
      </c>
      <c r="W1021" s="6">
        <f>$E1021+15</f>
        <v>126</v>
      </c>
      <c r="X1021" s="7">
        <f>IF($J1021=0,0,ROUND(MAX($J1021*1.4*1.5*1.6*1.6*2.2*2.715*2.6,3540000000*(1.579646^(MIN($E1021,123)-117)))*1,0))</f>
        <v>227847690</v>
      </c>
      <c r="Y1021" s="4">
        <f>$E1021+17</f>
        <v>128</v>
      </c>
      <c r="Z1021" s="8">
        <f>IF($J1021=0,0,ROUND(MAX($J1021*1.4*1.5*1.6*1.6*2.2*2.715*2.6*1.4,6020000000*(1.651178^(MIN($E1021,123)-117)))*1,0))</f>
        <v>297052444</v>
      </c>
      <c r="AA1021" s="6">
        <f>$E1021+19</f>
        <v>130</v>
      </c>
      <c r="AB1021" s="7">
        <f>IF($J1021=0,0,ROUND(MAX($J1021*1.4*1.5*1.6*1.6*2.2*2.715*2.6*1.4*1.4,8430000000*(1.651435^(MIN($E1021,123)-117)))*1,0))</f>
        <v>415583854</v>
      </c>
      <c r="AC1021" s="4">
        <f>$E1021+21</f>
        <v>132</v>
      </c>
      <c r="AD1021" s="8">
        <f>IF($J1021=0,0,ROUND(MAX($J1021*1.4*1.5*1.6*1.6*2.2*2.715*2.6*1.4*1.4*1.5,12600000000*(1.652953^(MIN($E1021,123)-117)))*1,0))</f>
        <v>617742548</v>
      </c>
      <c r="AE1021" s="6">
        <f>$E1021+24</f>
        <v>135</v>
      </c>
      <c r="AF1021" s="7">
        <f>IF($J1021=0,0,ROUND(MAX($J1021*1.4*1.5*1.6*1.6*2.2*2.715*2.6*1.4*1.4*1.5*1.5,18900000000*(1.65331^(MIN($E1021,123)-117)))*1,0))</f>
        <v>925413965</v>
      </c>
      <c r="AG1021" s="4">
        <f>$E1021+27</f>
        <v>138</v>
      </c>
      <c r="AH1021" s="8">
        <f>IF($J1021=0,0,ROUND(MAX($J1021*1.4*1.5*1.6*1.6*2.2*2.715*2.6*1.4*1.4*1.5*1.5*3.2,60500000000*(1.654288^(MIN($E1021,123)-117)))*1,0))</f>
        <v>2951811756</v>
      </c>
    </row>
    <row r="1022" ht="27.75" customHeight="1" spans="1:34" x14ac:dyDescent="0.25">
      <c r="A1022" s="3">
        <v>1032</v>
      </c>
      <c r="B1022" s="3" t="s">
        <v>473</v>
      </c>
      <c r="C1022" s="3" t="s">
        <v>768</v>
      </c>
      <c r="D1022" s="3" t="s">
        <v>165</v>
      </c>
      <c r="E1022" s="3">
        <v>111</v>
      </c>
      <c r="F1022" s="3" t="s">
        <v>123</v>
      </c>
      <c r="G1022" s="3" t="s">
        <v>769</v>
      </c>
      <c r="H1022" s="3">
        <v>26</v>
      </c>
      <c r="I1022" s="4">
        <v>111</v>
      </c>
      <c r="J1022" s="5">
        <v>88300</v>
      </c>
      <c r="K1022" s="6">
        <f>$E1022+1</f>
        <v>112</v>
      </c>
      <c r="L1022" s="7">
        <f>IF($J1022=0,0,ROUND(MAX($J1022*1.4,1620000*(1.497923^(MIN($E1022,123)-117)))*1,0))</f>
        <v>143410</v>
      </c>
      <c r="M1022" s="4">
        <f>$E1022+2</f>
        <v>113</v>
      </c>
      <c r="N1022" s="8">
        <f>IF($J1022=0,0,ROUND(MAX($J1022*1.4*1.5,2190000*(1.580994^(MIN($E1022,123)-117)))*1,0))</f>
        <v>185430</v>
      </c>
      <c r="O1022" s="6">
        <f>$E1022+4</f>
        <v>115</v>
      </c>
      <c r="P1022" s="7">
        <f>IF($J1022=0,0,ROUND(MAX($J1022*1.4*1.5*1.6,3500000*(1.57975^(MIN($E1022,123)-117)))*1,0))</f>
        <v>296688</v>
      </c>
      <c r="Q1022" s="4">
        <f>$E1022+6</f>
        <v>117</v>
      </c>
      <c r="R1022" s="8">
        <f>IF($J1022=0,0,ROUND(MAX($J1022*1.4*1.5*1.6*1.6,13100000*(1.429962^(MIN($E1022,123)-117)))*1,0))</f>
        <v>1532231</v>
      </c>
      <c r="S1022" s="6">
        <f>$E1022+8</f>
        <v>119</v>
      </c>
      <c r="T1022" s="7">
        <f>IF($J1022=0,0,ROUND(MAX($J1022*1.4*1.5*1.6*1.6*2.2,42600000*(1.576904^(MIN($E1022,123)-117)))*1,0))</f>
        <v>2770627</v>
      </c>
      <c r="U1022" s="4">
        <f>$E1022+11</f>
        <v>122</v>
      </c>
      <c r="V1022" s="8">
        <f>IF($J1022=0,0,ROUND(MAX($J1022*1.4*1.5*1.6*1.6*2.2*2.715,354000000*(1.642074^(MIN($E1022,123)-117)))*1,0))</f>
        <v>18057055</v>
      </c>
      <c r="W1022" s="6">
        <f>$E1022+15</f>
        <v>126</v>
      </c>
      <c r="X1022" s="7">
        <f>IF($J1022=0,0,ROUND(MAX($J1022*1.4*1.5*1.6*1.6*2.2*2.715*2.6,3540000000*(1.579646^(MIN($E1022,123)-117)))*1,0))</f>
        <v>227847690</v>
      </c>
      <c r="Y1022" s="4">
        <f>$E1022+17</f>
        <v>128</v>
      </c>
      <c r="Z1022" s="8">
        <f>IF($J1022=0,0,ROUND(MAX($J1022*1.4*1.5*1.6*1.6*2.2*2.715*2.6*1.4,6020000000*(1.651178^(MIN($E1022,123)-117)))*1,0))</f>
        <v>297052444</v>
      </c>
      <c r="AA1022" s="6">
        <f>$E1022+19</f>
        <v>130</v>
      </c>
      <c r="AB1022" s="7">
        <f>IF($J1022=0,0,ROUND(MAX($J1022*1.4*1.5*1.6*1.6*2.2*2.715*2.6*1.4*1.4,8430000000*(1.651435^(MIN($E1022,123)-117)))*1,0))</f>
        <v>415583854</v>
      </c>
      <c r="AC1022" s="4">
        <f>$E1022+21</f>
        <v>132</v>
      </c>
      <c r="AD1022" s="8">
        <f>IF($J1022=0,0,ROUND(MAX($J1022*1.4*1.5*1.6*1.6*2.2*2.715*2.6*1.4*1.4*1.5,12600000000*(1.652953^(MIN($E1022,123)-117)))*1,0))</f>
        <v>617742548</v>
      </c>
      <c r="AE1022" s="6">
        <f>$E1022+24</f>
        <v>135</v>
      </c>
      <c r="AF1022" s="7">
        <f>IF($J1022=0,0,ROUND(MAX($J1022*1.4*1.5*1.6*1.6*2.2*2.715*2.6*1.4*1.4*1.5*1.5,18900000000*(1.65331^(MIN($E1022,123)-117)))*1,0))</f>
        <v>925413965</v>
      </c>
      <c r="AG1022" s="4">
        <f>$E1022+27</f>
        <v>138</v>
      </c>
      <c r="AH1022" s="8">
        <f>IF($J1022=0,0,ROUND(MAX($J1022*1.4*1.5*1.6*1.6*2.2*2.715*2.6*1.4*1.4*1.5*1.5*3.2,60500000000*(1.654288^(MIN($E1022,123)-117)))*1,0))</f>
        <v>2951811756</v>
      </c>
    </row>
    <row r="1023" ht="27.75" customHeight="1" spans="1:34" x14ac:dyDescent="0.25">
      <c r="A1023" s="3">
        <v>1033</v>
      </c>
      <c r="B1023" s="3" t="s">
        <v>557</v>
      </c>
      <c r="C1023" s="3" t="s">
        <v>768</v>
      </c>
      <c r="D1023" s="3" t="s">
        <v>40</v>
      </c>
      <c r="E1023" s="3">
        <v>111</v>
      </c>
      <c r="F1023" s="3" t="s">
        <v>217</v>
      </c>
      <c r="G1023" s="3" t="s">
        <v>769</v>
      </c>
      <c r="H1023" s="3">
        <v>26</v>
      </c>
      <c r="I1023" s="4">
        <v>111</v>
      </c>
      <c r="J1023" s="5">
        <v>52800</v>
      </c>
      <c r="K1023" s="6">
        <f>$E1023+1</f>
        <v>112</v>
      </c>
      <c r="L1023" s="7">
        <f>IF($J1023=0,0,ROUND(MAX($J1023*1.4,1620000*(1.497923^(MIN($E1023,123)-117)))*1,0))</f>
        <v>143410</v>
      </c>
      <c r="M1023" s="4">
        <f>$E1023+2</f>
        <v>113</v>
      </c>
      <c r="N1023" s="8">
        <f>IF($J1023=0,0,ROUND(MAX($J1023*1.4*1.5,2190000*(1.580994^(MIN($E1023,123)-117)))*1,0))</f>
        <v>140237</v>
      </c>
      <c r="O1023" s="6">
        <f>$E1023+4</f>
        <v>115</v>
      </c>
      <c r="P1023" s="7">
        <f>IF($J1023=0,0,ROUND(MAX($J1023*1.4*1.5*1.6,3500000*(1.57975^(MIN($E1023,123)-117)))*1,0))</f>
        <v>225184</v>
      </c>
      <c r="Q1023" s="4">
        <f>$E1023+6</f>
        <v>117</v>
      </c>
      <c r="R1023" s="8">
        <f>IF($J1023=0,0,ROUND(MAX($J1023*1.4*1.5*1.6*1.6,13100000*(1.429962^(MIN($E1023,123)-117)))*1,0))</f>
        <v>1532231</v>
      </c>
      <c r="S1023" s="6">
        <f>$E1023+8</f>
        <v>119</v>
      </c>
      <c r="T1023" s="7">
        <f>IF($J1023=0,0,ROUND(MAX($J1023*1.4*1.5*1.6*1.6*2.2,42600000*(1.576904^(MIN($E1023,123)-117)))*1,0))</f>
        <v>2770627</v>
      </c>
      <c r="U1023" s="4">
        <f>$E1023+11</f>
        <v>122</v>
      </c>
      <c r="V1023" s="8">
        <f>IF($J1023=0,0,ROUND(MAX($J1023*1.4*1.5*1.6*1.6*2.2*2.715,354000000*(1.642074^(MIN($E1023,123)-117)))*1,0))</f>
        <v>18057055</v>
      </c>
      <c r="W1023" s="6">
        <f>$E1023+15</f>
        <v>126</v>
      </c>
      <c r="X1023" s="7">
        <f>IF($J1023=0,0,ROUND(MAX($J1023*1.4*1.5*1.6*1.6*2.2*2.715*2.6,3540000000*(1.579646^(MIN($E1023,123)-117)))*1,0))</f>
        <v>227847690</v>
      </c>
      <c r="Y1023" s="4">
        <f>$E1023+17</f>
        <v>128</v>
      </c>
      <c r="Z1023" s="8">
        <f>IF($J1023=0,0,ROUND(MAX($J1023*1.4*1.5*1.6*1.6*2.2*2.715*2.6*1.4,6020000000*(1.651178^(MIN($E1023,123)-117)))*1,0))</f>
        <v>297052444</v>
      </c>
      <c r="AA1023" s="6">
        <f>$E1023+19</f>
        <v>130</v>
      </c>
      <c r="AB1023" s="7">
        <f>IF($J1023=0,0,ROUND(MAX($J1023*1.4*1.5*1.6*1.6*2.2*2.715*2.6*1.4*1.4,8430000000*(1.651435^(MIN($E1023,123)-117)))*1,0))</f>
        <v>415583854</v>
      </c>
      <c r="AC1023" s="4">
        <f>$E1023+21</f>
        <v>132</v>
      </c>
      <c r="AD1023" s="8">
        <f>IF($J1023=0,0,ROUND(MAX($J1023*1.4*1.5*1.6*1.6*2.2*2.715*2.6*1.4*1.4*1.5,12600000000*(1.652953^(MIN($E1023,123)-117)))*1,0))</f>
        <v>617742548</v>
      </c>
      <c r="AE1023" s="6">
        <f>$E1023+24</f>
        <v>135</v>
      </c>
      <c r="AF1023" s="7">
        <f>IF($J1023=0,0,ROUND(MAX($J1023*1.4*1.5*1.6*1.6*2.2*2.715*2.6*1.4*1.4*1.5*1.5,18900000000*(1.65331^(MIN($E1023,123)-117)))*1,0))</f>
        <v>925413965</v>
      </c>
      <c r="AG1023" s="4">
        <f>$E1023+27</f>
        <v>138</v>
      </c>
      <c r="AH1023" s="8">
        <f>IF($J1023=0,0,ROUND(MAX($J1023*1.4*1.5*1.6*1.6*2.2*2.715*2.6*1.4*1.4*1.5*1.5*3.2,60500000000*(1.654288^(MIN($E1023,123)-117)))*1,0))</f>
        <v>2951811756</v>
      </c>
    </row>
    <row r="1024" ht="27.75" customHeight="1" spans="1:34" x14ac:dyDescent="0.25">
      <c r="A1024" s="3">
        <v>1034</v>
      </c>
      <c r="B1024" s="3" t="s">
        <v>89</v>
      </c>
      <c r="C1024" s="3" t="s">
        <v>768</v>
      </c>
      <c r="D1024" s="3" t="s">
        <v>90</v>
      </c>
      <c r="E1024" s="3">
        <v>111</v>
      </c>
      <c r="F1024" s="3" t="s">
        <v>30</v>
      </c>
      <c r="G1024" s="3" t="s">
        <v>769</v>
      </c>
      <c r="H1024" s="3">
        <v>26</v>
      </c>
      <c r="I1024" s="4">
        <v>111</v>
      </c>
      <c r="J1024" s="5">
        <v>543000</v>
      </c>
      <c r="K1024" s="6">
        <f>$E1024+1</f>
        <v>112</v>
      </c>
      <c r="L1024" s="7">
        <f>IF($J1024=0,0,ROUND(MAX($J1024*1.4,1620000*(1.497923^(MIN($E1024,123)-117)))*1,0))</f>
        <v>760200</v>
      </c>
      <c r="M1024" s="4">
        <f>$E1024+2</f>
        <v>113</v>
      </c>
      <c r="N1024" s="8">
        <f>IF($J1024=0,0,ROUND(MAX($J1024*1.4*1.5,2190000*(1.580994^(MIN($E1024,123)-117)))*1,0))</f>
        <v>1140300</v>
      </c>
      <c r="O1024" s="6">
        <f>$E1024+4</f>
        <v>115</v>
      </c>
      <c r="P1024" s="7">
        <f>IF($J1024=0,0,ROUND(MAX($J1024*1.4*1.5*1.6,3500000*(1.57975^(MIN($E1024,123)-117)))*1,0))</f>
        <v>1824480</v>
      </c>
      <c r="Q1024" s="4">
        <f>$E1024+6</f>
        <v>117</v>
      </c>
      <c r="R1024" s="8">
        <f>IF($J1024=0,0,ROUND(MAX($J1024*1.4*1.5*1.6*1.6,13100000*(1.429962^(MIN($E1024,123)-117)))*1,0))</f>
        <v>2919168</v>
      </c>
      <c r="S1024" s="6">
        <f>$E1024+8</f>
        <v>119</v>
      </c>
      <c r="T1024" s="7">
        <f>IF($J1024=0,0,ROUND(MAX($J1024*1.4*1.5*1.6*1.6*2.2,42600000*(1.576904^(MIN($E1024,123)-117)))*1,0))</f>
        <v>6422170</v>
      </c>
      <c r="U1024" s="4">
        <f>$E1024+11</f>
        <v>122</v>
      </c>
      <c r="V1024" s="8">
        <f>IF($J1024=0,0,ROUND(MAX($J1024*1.4*1.5*1.6*1.6*2.2*2.715,354000000*(1.642074^(MIN($E1024,123)-117)))*1,0))</f>
        <v>18057055</v>
      </c>
      <c r="W1024" s="6">
        <f>$E1024+15</f>
        <v>126</v>
      </c>
      <c r="X1024" s="7">
        <f>IF($J1024=0,0,ROUND(MAX($J1024*1.4*1.5*1.6*1.6*2.2*2.715*2.6,3540000000*(1.579646^(MIN($E1024,123)-117)))*1,0))</f>
        <v>227847690</v>
      </c>
      <c r="Y1024" s="4">
        <f>$E1024+17</f>
        <v>128</v>
      </c>
      <c r="Z1024" s="8">
        <f>IF($J1024=0,0,ROUND(MAX($J1024*1.4*1.5*1.6*1.6*2.2*2.715*2.6*1.4,6020000000*(1.651178^(MIN($E1024,123)-117)))*1,0))</f>
        <v>297052444</v>
      </c>
      <c r="AA1024" s="6">
        <f>$E1024+19</f>
        <v>130</v>
      </c>
      <c r="AB1024" s="7">
        <f>IF($J1024=0,0,ROUND(MAX($J1024*1.4*1.5*1.6*1.6*2.2*2.715*2.6*1.4*1.4,8430000000*(1.651435^(MIN($E1024,123)-117)))*1,0))</f>
        <v>415583854</v>
      </c>
      <c r="AC1024" s="4">
        <f>$E1024+21</f>
        <v>132</v>
      </c>
      <c r="AD1024" s="8">
        <f>IF($J1024=0,0,ROUND(MAX($J1024*1.4*1.5*1.6*1.6*2.2*2.715*2.6*1.4*1.4*1.5,12600000000*(1.652953^(MIN($E1024,123)-117)))*1,0))</f>
        <v>617742548</v>
      </c>
      <c r="AE1024" s="6">
        <f>$E1024+24</f>
        <v>135</v>
      </c>
      <c r="AF1024" s="7">
        <f>IF($J1024=0,0,ROUND(MAX($J1024*1.4*1.5*1.6*1.6*2.2*2.715*2.6*1.4*1.4*1.5*1.5,18900000000*(1.65331^(MIN($E1024,123)-117)))*1,0))</f>
        <v>925413965</v>
      </c>
      <c r="AG1024" s="4">
        <f>$E1024+27</f>
        <v>138</v>
      </c>
      <c r="AH1024" s="8">
        <f>IF($J1024=0,0,ROUND(MAX($J1024*1.4*1.5*1.6*1.6*2.2*2.715*2.6*1.4*1.4*1.5*1.5*3.2,60500000000*(1.654288^(MIN($E1024,123)-117)))*1,0))</f>
        <v>2951811756</v>
      </c>
    </row>
    <row r="1025" ht="27.75" customHeight="1" spans="1:34" x14ac:dyDescent="0.25">
      <c r="A1025" s="3">
        <v>1035</v>
      </c>
      <c r="B1025" s="3" t="s">
        <v>805</v>
      </c>
      <c r="C1025" s="3" t="s">
        <v>768</v>
      </c>
      <c r="D1025" s="3" t="s">
        <v>79</v>
      </c>
      <c r="E1025" s="3">
        <v>111</v>
      </c>
      <c r="F1025" s="3" t="s">
        <v>56</v>
      </c>
      <c r="G1025" s="3" t="s">
        <v>185</v>
      </c>
      <c r="H1025" s="3">
        <v>25</v>
      </c>
      <c r="I1025" s="4">
        <v>111</v>
      </c>
      <c r="J1025" s="5">
        <v>73000</v>
      </c>
      <c r="K1025" s="6">
        <f>$E1025+1</f>
        <v>112</v>
      </c>
      <c r="L1025" s="7">
        <f>IF($J1025=0,0,ROUND(MAX($J1025*1.4,1620000*(1.497923^(MIN($E1025,123)-117)))*1,0))</f>
        <v>143410</v>
      </c>
      <c r="M1025" s="4">
        <f>$E1025+2</f>
        <v>113</v>
      </c>
      <c r="N1025" s="8">
        <f>IF($J1025=0,0,ROUND(MAX($J1025*1.4*1.5,2190000*(1.580994^(MIN($E1025,123)-117)))*1,0))</f>
        <v>153300</v>
      </c>
      <c r="O1025" s="6">
        <f>$E1025+4</f>
        <v>115</v>
      </c>
      <c r="P1025" s="7">
        <f>IF($J1025=0,0,ROUND(MAX($J1025*1.4*1.5*1.6,3500000*(1.57975^(MIN($E1025,123)-117)))*1,0))</f>
        <v>245280</v>
      </c>
      <c r="Q1025" s="4">
        <f>$E1025+6</f>
        <v>117</v>
      </c>
      <c r="R1025" s="8">
        <f>IF($J1025=0,0,ROUND(MAX($J1025*1.4*1.5*1.6*1.6,13100000*(1.429962^(MIN($E1025,123)-117)))*1,0))</f>
        <v>1532231</v>
      </c>
      <c r="S1025" s="6">
        <f>$E1025+8</f>
        <v>119</v>
      </c>
      <c r="T1025" s="7">
        <f>IF($J1025=0,0,ROUND(MAX($J1025*1.4*1.5*1.6*1.6*2.2,42600000*(1.576904^(MIN($E1025,123)-117)))*1,0))</f>
        <v>2770627</v>
      </c>
      <c r="U1025" s="4">
        <f>$E1025+11</f>
        <v>122</v>
      </c>
      <c r="V1025" s="8">
        <f>IF($J1025=0,0,ROUND(MAX($J1025*1.4*1.5*1.6*1.6*2.2*2.715,354000000*(1.642074^(MIN($E1025,123)-117)))*1,0))</f>
        <v>18057055</v>
      </c>
      <c r="W1025" s="6">
        <f>$E1025+15</f>
        <v>126</v>
      </c>
      <c r="X1025" s="7">
        <f>IF($J1025=0,0,ROUND(MAX($J1025*1.4*1.5*1.6*1.6*2.2*2.715*2.6,3540000000*(1.579646^(MIN($E1025,123)-117)))*1,0))</f>
        <v>227847690</v>
      </c>
      <c r="Y1025" s="4">
        <f>$E1025+17</f>
        <v>128</v>
      </c>
      <c r="Z1025" s="8">
        <f>IF($J1025=0,0,ROUND(MAX($J1025*1.4*1.5*1.6*1.6*2.2*2.715*2.6*1.4,6020000000*(1.651178^(MIN($E1025,123)-117)))*1,0))</f>
        <v>297052444</v>
      </c>
      <c r="AA1025" s="6">
        <f>$E1025+19</f>
        <v>130</v>
      </c>
      <c r="AB1025" s="7">
        <f>IF($J1025=0,0,ROUND(MAX($J1025*1.4*1.5*1.6*1.6*2.2*2.715*2.6*1.4*1.4,8430000000*(1.651435^(MIN($E1025,123)-117)))*1,0))</f>
        <v>415583854</v>
      </c>
      <c r="AC1025" s="4">
        <f>$E1025+21</f>
        <v>132</v>
      </c>
      <c r="AD1025" s="8">
        <f>IF($J1025=0,0,ROUND(MAX($J1025*1.4*1.5*1.6*1.6*2.2*2.715*2.6*1.4*1.4*1.5,12600000000*(1.652953^(MIN($E1025,123)-117)))*1,0))</f>
        <v>617742548</v>
      </c>
      <c r="AE1025" s="6">
        <f>$E1025+24</f>
        <v>135</v>
      </c>
      <c r="AF1025" s="7">
        <f>IF($J1025=0,0,ROUND(MAX($J1025*1.4*1.5*1.6*1.6*2.2*2.715*2.6*1.4*1.4*1.5*1.5,18900000000*(1.65331^(MIN($E1025,123)-117)))*1,0))</f>
        <v>925413965</v>
      </c>
      <c r="AG1025" s="4">
        <f>$E1025+27</f>
        <v>138</v>
      </c>
      <c r="AH1025" s="8">
        <f>IF($J1025=0,0,ROUND(MAX($J1025*1.4*1.5*1.6*1.6*2.2*2.715*2.6*1.4*1.4*1.5*1.5*3.2,60500000000*(1.654288^(MIN($E1025,123)-117)))*1,0))</f>
        <v>2951811756</v>
      </c>
    </row>
    <row r="1026" ht="27.75" customHeight="1" spans="1:34" x14ac:dyDescent="0.25">
      <c r="A1026" s="3">
        <v>1036</v>
      </c>
      <c r="B1026" s="3" t="s">
        <v>806</v>
      </c>
      <c r="C1026" s="3" t="s">
        <v>768</v>
      </c>
      <c r="D1026" s="3" t="s">
        <v>75</v>
      </c>
      <c r="E1026" s="3">
        <v>111</v>
      </c>
      <c r="F1026" s="3" t="s">
        <v>62</v>
      </c>
      <c r="G1026" s="3" t="s">
        <v>425</v>
      </c>
      <c r="H1026" s="3">
        <v>25</v>
      </c>
      <c r="I1026" s="4">
        <v>111</v>
      </c>
      <c r="J1026" s="5">
        <v>34500</v>
      </c>
      <c r="K1026" s="6">
        <f>$E1026+1</f>
        <v>112</v>
      </c>
      <c r="L1026" s="7">
        <f>IF($J1026=0,0,ROUND(MAX($J1026*1.4,1620000*(1.497923^(MIN($E1026,123)-117)))*1,0))</f>
        <v>143410</v>
      </c>
      <c r="M1026" s="4">
        <f>$E1026+2</f>
        <v>113</v>
      </c>
      <c r="N1026" s="8">
        <f>IF($J1026=0,0,ROUND(MAX($J1026*1.4*1.5,2190000*(1.580994^(MIN($E1026,123)-117)))*1,0))</f>
        <v>140237</v>
      </c>
      <c r="O1026" s="6">
        <f>$E1026+4</f>
        <v>115</v>
      </c>
      <c r="P1026" s="7">
        <f>IF($J1026=0,0,ROUND(MAX($J1026*1.4*1.5*1.6,3500000*(1.57975^(MIN($E1026,123)-117)))*1,0))</f>
        <v>225184</v>
      </c>
      <c r="Q1026" s="4">
        <f>$E1026+6</f>
        <v>117</v>
      </c>
      <c r="R1026" s="8">
        <f>IF($J1026=0,0,ROUND(MAX($J1026*1.4*1.5*1.6*1.6,13100000*(1.429962^(MIN($E1026,123)-117)))*1,0))</f>
        <v>1532231</v>
      </c>
      <c r="S1026" s="6">
        <f>$E1026+8</f>
        <v>119</v>
      </c>
      <c r="T1026" s="7">
        <f>IF($J1026=0,0,ROUND(MAX($J1026*1.4*1.5*1.6*1.6*2.2,42600000*(1.576904^(MIN($E1026,123)-117)))*1,0))</f>
        <v>2770627</v>
      </c>
      <c r="U1026" s="4">
        <f>$E1026+11</f>
        <v>122</v>
      </c>
      <c r="V1026" s="8">
        <f>IF($J1026=0,0,ROUND(MAX($J1026*1.4*1.5*1.6*1.6*2.2*2.715,354000000*(1.642074^(MIN($E1026,123)-117)))*1,0))</f>
        <v>18057055</v>
      </c>
      <c r="W1026" s="6">
        <f>$E1026+15</f>
        <v>126</v>
      </c>
      <c r="X1026" s="7">
        <f>IF($J1026=0,0,ROUND(MAX($J1026*1.4*1.5*1.6*1.6*2.2*2.715*2.6,3540000000*(1.579646^(MIN($E1026,123)-117)))*1,0))</f>
        <v>227847690</v>
      </c>
      <c r="Y1026" s="4">
        <f>$E1026+17</f>
        <v>128</v>
      </c>
      <c r="Z1026" s="8">
        <f>IF($J1026=0,0,ROUND(MAX($J1026*1.4*1.5*1.6*1.6*2.2*2.715*2.6*1.4,6020000000*(1.651178^(MIN($E1026,123)-117)))*1,0))</f>
        <v>297052444</v>
      </c>
      <c r="AA1026" s="6">
        <f>$E1026+19</f>
        <v>130</v>
      </c>
      <c r="AB1026" s="7">
        <f>IF($J1026=0,0,ROUND(MAX($J1026*1.4*1.5*1.6*1.6*2.2*2.715*2.6*1.4*1.4,8430000000*(1.651435^(MIN($E1026,123)-117)))*1,0))</f>
        <v>415583854</v>
      </c>
      <c r="AC1026" s="4">
        <f>$E1026+21</f>
        <v>132</v>
      </c>
      <c r="AD1026" s="8">
        <f>IF($J1026=0,0,ROUND(MAX($J1026*1.4*1.5*1.6*1.6*2.2*2.715*2.6*1.4*1.4*1.5,12600000000*(1.652953^(MIN($E1026,123)-117)))*1,0))</f>
        <v>617742548</v>
      </c>
      <c r="AE1026" s="6">
        <f>$E1026+24</f>
        <v>135</v>
      </c>
      <c r="AF1026" s="7">
        <f>IF($J1026=0,0,ROUND(MAX($J1026*1.4*1.5*1.6*1.6*2.2*2.715*2.6*1.4*1.4*1.5*1.5,18900000000*(1.65331^(MIN($E1026,123)-117)))*1,0))</f>
        <v>925413965</v>
      </c>
      <c r="AG1026" s="4">
        <f>$E1026+27</f>
        <v>138</v>
      </c>
      <c r="AH1026" s="8">
        <f>IF($J1026=0,0,ROUND(MAX($J1026*1.4*1.5*1.6*1.6*2.2*2.715*2.6*1.4*1.4*1.5*1.5*3.2,60500000000*(1.654288^(MIN($E1026,123)-117)))*1,0))</f>
        <v>2951811756</v>
      </c>
    </row>
    <row r="1027" ht="27.75" customHeight="1" spans="1:34" x14ac:dyDescent="0.25">
      <c r="A1027" s="3">
        <v>1037</v>
      </c>
      <c r="B1027" s="3" t="s">
        <v>537</v>
      </c>
      <c r="C1027" s="3" t="s">
        <v>768</v>
      </c>
      <c r="D1027" s="3" t="s">
        <v>90</v>
      </c>
      <c r="E1027" s="3">
        <v>111</v>
      </c>
      <c r="F1027" s="3" t="s">
        <v>59</v>
      </c>
      <c r="G1027" s="3" t="s">
        <v>374</v>
      </c>
      <c r="H1027" s="3">
        <v>25</v>
      </c>
      <c r="I1027" s="4">
        <v>111</v>
      </c>
      <c r="J1027" s="5">
        <v>93000</v>
      </c>
      <c r="K1027" s="6">
        <f>$E1027+1</f>
        <v>112</v>
      </c>
      <c r="L1027" s="7">
        <f>IF($J1027=0,0,ROUND(MAX($J1027*1.4,1620000*(1.497923^(MIN($E1027,123)-117)))*1,0))</f>
        <v>143410</v>
      </c>
      <c r="M1027" s="4">
        <f>$E1027+2</f>
        <v>113</v>
      </c>
      <c r="N1027" s="8">
        <f>IF($J1027=0,0,ROUND(MAX($J1027*1.4*1.5,2190000*(1.580994^(MIN($E1027,123)-117)))*1,0))</f>
        <v>195300</v>
      </c>
      <c r="O1027" s="6">
        <f>$E1027+4</f>
        <v>115</v>
      </c>
      <c r="P1027" s="7">
        <f>IF($J1027=0,0,ROUND(MAX($J1027*1.4*1.5*1.6,3500000*(1.57975^(MIN($E1027,123)-117)))*1,0))</f>
        <v>312480</v>
      </c>
      <c r="Q1027" s="4">
        <f>$E1027+6</f>
        <v>117</v>
      </c>
      <c r="R1027" s="8">
        <f>IF($J1027=0,0,ROUND(MAX($J1027*1.4*1.5*1.6*1.6,13100000*(1.429962^(MIN($E1027,123)-117)))*1,0))</f>
        <v>1532231</v>
      </c>
      <c r="S1027" s="6">
        <f>$E1027+8</f>
        <v>119</v>
      </c>
      <c r="T1027" s="7">
        <f>IF($J1027=0,0,ROUND(MAX($J1027*1.4*1.5*1.6*1.6*2.2,42600000*(1.576904^(MIN($E1027,123)-117)))*1,0))</f>
        <v>2770627</v>
      </c>
      <c r="U1027" s="4">
        <f>$E1027+11</f>
        <v>122</v>
      </c>
      <c r="V1027" s="8">
        <f>IF($J1027=0,0,ROUND(MAX($J1027*1.4*1.5*1.6*1.6*2.2*2.715,354000000*(1.642074^(MIN($E1027,123)-117)))*1,0))</f>
        <v>18057055</v>
      </c>
      <c r="W1027" s="6">
        <f>$E1027+15</f>
        <v>126</v>
      </c>
      <c r="X1027" s="7">
        <f>IF($J1027=0,0,ROUND(MAX($J1027*1.4*1.5*1.6*1.6*2.2*2.715*2.6,3540000000*(1.579646^(MIN($E1027,123)-117)))*1,0))</f>
        <v>227847690</v>
      </c>
      <c r="Y1027" s="4">
        <f>$E1027+17</f>
        <v>128</v>
      </c>
      <c r="Z1027" s="8">
        <f>IF($J1027=0,0,ROUND(MAX($J1027*1.4*1.5*1.6*1.6*2.2*2.715*2.6*1.4,6020000000*(1.651178^(MIN($E1027,123)-117)))*1,0))</f>
        <v>297052444</v>
      </c>
      <c r="AA1027" s="6">
        <f>$E1027+19</f>
        <v>130</v>
      </c>
      <c r="AB1027" s="7">
        <f>IF($J1027=0,0,ROUND(MAX($J1027*1.4*1.5*1.6*1.6*2.2*2.715*2.6*1.4*1.4,8430000000*(1.651435^(MIN($E1027,123)-117)))*1,0))</f>
        <v>415583854</v>
      </c>
      <c r="AC1027" s="4">
        <f>$E1027+21</f>
        <v>132</v>
      </c>
      <c r="AD1027" s="8">
        <f>IF($J1027=0,0,ROUND(MAX($J1027*1.4*1.5*1.6*1.6*2.2*2.715*2.6*1.4*1.4*1.5,12600000000*(1.652953^(MIN($E1027,123)-117)))*1,0))</f>
        <v>617742548</v>
      </c>
      <c r="AE1027" s="6">
        <f>$E1027+24</f>
        <v>135</v>
      </c>
      <c r="AF1027" s="7">
        <f>IF($J1027=0,0,ROUND(MAX($J1027*1.4*1.5*1.6*1.6*2.2*2.715*2.6*1.4*1.4*1.5*1.5,18900000000*(1.65331^(MIN($E1027,123)-117)))*1,0))</f>
        <v>925413965</v>
      </c>
      <c r="AG1027" s="4">
        <f>$E1027+27</f>
        <v>138</v>
      </c>
      <c r="AH1027" s="8">
        <f>IF($J1027=0,0,ROUND(MAX($J1027*1.4*1.5*1.6*1.6*2.2*2.715*2.6*1.4*1.4*1.5*1.5*3.2,60500000000*(1.654288^(MIN($E1027,123)-117)))*1,0))</f>
        <v>2951811756</v>
      </c>
    </row>
    <row r="1028" ht="27.75" customHeight="1" spans="1:34" x14ac:dyDescent="0.25">
      <c r="A1028" s="3">
        <v>1038</v>
      </c>
      <c r="B1028" s="3" t="s">
        <v>807</v>
      </c>
      <c r="C1028" s="3" t="s">
        <v>768</v>
      </c>
      <c r="D1028" s="3" t="s">
        <v>33</v>
      </c>
      <c r="E1028" s="3">
        <v>111</v>
      </c>
      <c r="F1028" s="3" t="s">
        <v>54</v>
      </c>
      <c r="G1028" s="3" t="s">
        <v>808</v>
      </c>
      <c r="H1028" s="3">
        <v>25</v>
      </c>
      <c r="I1028" s="4">
        <v>111</v>
      </c>
      <c r="J1028" s="5">
        <v>95000</v>
      </c>
      <c r="K1028" s="6">
        <f>$E1028+1</f>
        <v>112</v>
      </c>
      <c r="L1028" s="7">
        <f>IF($J1028=0,0,ROUND(MAX($J1028*1.4,1620000*(1.497923^(MIN($E1028,123)-117)))*1,0))</f>
        <v>143410</v>
      </c>
      <c r="M1028" s="4">
        <f>$E1028+2</f>
        <v>113</v>
      </c>
      <c r="N1028" s="8">
        <f>IF($J1028=0,0,ROUND(MAX($J1028*1.4*1.5,2190000*(1.580994^(MIN($E1028,123)-117)))*1,0))</f>
        <v>199500</v>
      </c>
      <c r="O1028" s="6">
        <f>$E1028+4</f>
        <v>115</v>
      </c>
      <c r="P1028" s="7">
        <f>IF($J1028=0,0,ROUND(MAX($J1028*1.4*1.5*1.6,3500000*(1.57975^(MIN($E1028,123)-117)))*1,0))</f>
        <v>319200</v>
      </c>
      <c r="Q1028" s="4">
        <f>$E1028+6</f>
        <v>117</v>
      </c>
      <c r="R1028" s="8">
        <f>IF($J1028=0,0,ROUND(MAX($J1028*1.4*1.5*1.6*1.6,13100000*(1.429962^(MIN($E1028,123)-117)))*1,0))</f>
        <v>1532231</v>
      </c>
      <c r="S1028" s="6">
        <f>$E1028+8</f>
        <v>119</v>
      </c>
      <c r="T1028" s="7">
        <f>IF($J1028=0,0,ROUND(MAX($J1028*1.4*1.5*1.6*1.6*2.2,42600000*(1.576904^(MIN($E1028,123)-117)))*1,0))</f>
        <v>2770627</v>
      </c>
      <c r="U1028" s="4">
        <f>$E1028+11</f>
        <v>122</v>
      </c>
      <c r="V1028" s="8">
        <f>IF($J1028=0,0,ROUND(MAX($J1028*1.4*1.5*1.6*1.6*2.2*2.715,354000000*(1.642074^(MIN($E1028,123)-117)))*1,0))</f>
        <v>18057055</v>
      </c>
      <c r="W1028" s="6">
        <f>$E1028+15</f>
        <v>126</v>
      </c>
      <c r="X1028" s="7">
        <f>IF($J1028=0,0,ROUND(MAX($J1028*1.4*1.5*1.6*1.6*2.2*2.715*2.6,3540000000*(1.579646^(MIN($E1028,123)-117)))*1,0))</f>
        <v>227847690</v>
      </c>
      <c r="Y1028" s="4">
        <f>$E1028+17</f>
        <v>128</v>
      </c>
      <c r="Z1028" s="8">
        <f>IF($J1028=0,0,ROUND(MAX($J1028*1.4*1.5*1.6*1.6*2.2*2.715*2.6*1.4,6020000000*(1.651178^(MIN($E1028,123)-117)))*1,0))</f>
        <v>297052444</v>
      </c>
      <c r="AA1028" s="6">
        <f>$E1028+19</f>
        <v>130</v>
      </c>
      <c r="AB1028" s="7">
        <f>IF($J1028=0,0,ROUND(MAX($J1028*1.4*1.5*1.6*1.6*2.2*2.715*2.6*1.4*1.4,8430000000*(1.651435^(MIN($E1028,123)-117)))*1,0))</f>
        <v>415583854</v>
      </c>
      <c r="AC1028" s="4">
        <f>$E1028+21</f>
        <v>132</v>
      </c>
      <c r="AD1028" s="8">
        <f>IF($J1028=0,0,ROUND(MAX($J1028*1.4*1.5*1.6*1.6*2.2*2.715*2.6*1.4*1.4*1.5,12600000000*(1.652953^(MIN($E1028,123)-117)))*1,0))</f>
        <v>617742548</v>
      </c>
      <c r="AE1028" s="6">
        <f>$E1028+24</f>
        <v>135</v>
      </c>
      <c r="AF1028" s="7">
        <f>IF($J1028=0,0,ROUND(MAX($J1028*1.4*1.5*1.6*1.6*2.2*2.715*2.6*1.4*1.4*1.5*1.5,18900000000*(1.65331^(MIN($E1028,123)-117)))*1,0))</f>
        <v>925413965</v>
      </c>
      <c r="AG1028" s="4">
        <f>$E1028+27</f>
        <v>138</v>
      </c>
      <c r="AH1028" s="8">
        <f>IF($J1028=0,0,ROUND(MAX($J1028*1.4*1.5*1.6*1.6*2.2*2.715*2.6*1.4*1.4*1.5*1.5*3.2,60500000000*(1.654288^(MIN($E1028,123)-117)))*1,0))</f>
        <v>2951811756</v>
      </c>
    </row>
    <row r="1029" ht="27.75" customHeight="1" spans="1:34" x14ac:dyDescent="0.25">
      <c r="A1029" s="3">
        <v>1039</v>
      </c>
      <c r="B1029" s="3" t="s">
        <v>809</v>
      </c>
      <c r="C1029" s="3" t="s">
        <v>768</v>
      </c>
      <c r="D1029" s="3" t="s">
        <v>33</v>
      </c>
      <c r="E1029" s="3">
        <v>111</v>
      </c>
      <c r="F1029" s="3" t="s">
        <v>71</v>
      </c>
      <c r="G1029" s="3" t="s">
        <v>329</v>
      </c>
      <c r="H1029" s="3">
        <v>25</v>
      </c>
      <c r="I1029" s="4">
        <v>111</v>
      </c>
      <c r="J1029" s="5">
        <v>48100</v>
      </c>
      <c r="K1029" s="6">
        <f>$E1029+1</f>
        <v>112</v>
      </c>
      <c r="L1029" s="7">
        <f>IF($J1029=0,0,ROUND(MAX($J1029*1.4,1620000*(1.497923^(MIN($E1029,123)-117)))*1,0))</f>
        <v>143410</v>
      </c>
      <c r="M1029" s="4">
        <f>$E1029+2</f>
        <v>113</v>
      </c>
      <c r="N1029" s="8">
        <f>IF($J1029=0,0,ROUND(MAX($J1029*1.4*1.5,2190000*(1.580994^(MIN($E1029,123)-117)))*1,0))</f>
        <v>140237</v>
      </c>
      <c r="O1029" s="6">
        <f>$E1029+4</f>
        <v>115</v>
      </c>
      <c r="P1029" s="7">
        <f>IF($J1029=0,0,ROUND(MAX($J1029*1.4*1.5*1.6,3500000*(1.57975^(MIN($E1029,123)-117)))*1,0))</f>
        <v>225184</v>
      </c>
      <c r="Q1029" s="4">
        <f>$E1029+6</f>
        <v>117</v>
      </c>
      <c r="R1029" s="8">
        <f>IF($J1029=0,0,ROUND(MAX($J1029*1.4*1.5*1.6*1.6,13100000*(1.429962^(MIN($E1029,123)-117)))*1,0))</f>
        <v>1532231</v>
      </c>
      <c r="S1029" s="6">
        <f>$E1029+8</f>
        <v>119</v>
      </c>
      <c r="T1029" s="7">
        <f>IF($J1029=0,0,ROUND(MAX($J1029*1.4*1.5*1.6*1.6*2.2,42600000*(1.576904^(MIN($E1029,123)-117)))*1,0))</f>
        <v>2770627</v>
      </c>
      <c r="U1029" s="4">
        <f>$E1029+11</f>
        <v>122</v>
      </c>
      <c r="V1029" s="8">
        <f>IF($J1029=0,0,ROUND(MAX($J1029*1.4*1.5*1.6*1.6*2.2*2.715,354000000*(1.642074^(MIN($E1029,123)-117)))*1,0))</f>
        <v>18057055</v>
      </c>
      <c r="W1029" s="6">
        <f>$E1029+15</f>
        <v>126</v>
      </c>
      <c r="X1029" s="7">
        <f>IF($J1029=0,0,ROUND(MAX($J1029*1.4*1.5*1.6*1.6*2.2*2.715*2.6,3540000000*(1.579646^(MIN($E1029,123)-117)))*1,0))</f>
        <v>227847690</v>
      </c>
      <c r="Y1029" s="4">
        <f>$E1029+17</f>
        <v>128</v>
      </c>
      <c r="Z1029" s="8">
        <f>IF($J1029=0,0,ROUND(MAX($J1029*1.4*1.5*1.6*1.6*2.2*2.715*2.6*1.4,6020000000*(1.651178^(MIN($E1029,123)-117)))*1,0))</f>
        <v>297052444</v>
      </c>
      <c r="AA1029" s="6">
        <f>$E1029+19</f>
        <v>130</v>
      </c>
      <c r="AB1029" s="7">
        <f>IF($J1029=0,0,ROUND(MAX($J1029*1.4*1.5*1.6*1.6*2.2*2.715*2.6*1.4*1.4,8430000000*(1.651435^(MIN($E1029,123)-117)))*1,0))</f>
        <v>415583854</v>
      </c>
      <c r="AC1029" s="4">
        <f>$E1029+21</f>
        <v>132</v>
      </c>
      <c r="AD1029" s="8">
        <f>IF($J1029=0,0,ROUND(MAX($J1029*1.4*1.5*1.6*1.6*2.2*2.715*2.6*1.4*1.4*1.5,12600000000*(1.652953^(MIN($E1029,123)-117)))*1,0))</f>
        <v>617742548</v>
      </c>
      <c r="AE1029" s="6">
        <f>$E1029+24</f>
        <v>135</v>
      </c>
      <c r="AF1029" s="7">
        <f>IF($J1029=0,0,ROUND(MAX($J1029*1.4*1.5*1.6*1.6*2.2*2.715*2.6*1.4*1.4*1.5*1.5,18900000000*(1.65331^(MIN($E1029,123)-117)))*1,0))</f>
        <v>925413965</v>
      </c>
      <c r="AG1029" s="4">
        <f>$E1029+27</f>
        <v>138</v>
      </c>
      <c r="AH1029" s="8">
        <f>IF($J1029=0,0,ROUND(MAX($J1029*1.4*1.5*1.6*1.6*2.2*2.715*2.6*1.4*1.4*1.5*1.5*3.2,60500000000*(1.654288^(MIN($E1029,123)-117)))*1,0))</f>
        <v>2951811756</v>
      </c>
    </row>
    <row r="1030" ht="27.75" customHeight="1" spans="1:34" x14ac:dyDescent="0.25">
      <c r="A1030" s="3">
        <v>1040</v>
      </c>
      <c r="B1030" s="3" t="s">
        <v>810</v>
      </c>
      <c r="C1030" s="3" t="s">
        <v>768</v>
      </c>
      <c r="D1030" s="3" t="s">
        <v>102</v>
      </c>
      <c r="E1030" s="3">
        <v>111</v>
      </c>
      <c r="F1030" s="3" t="s">
        <v>71</v>
      </c>
      <c r="G1030" s="3" t="s">
        <v>769</v>
      </c>
      <c r="H1030" s="3">
        <v>25</v>
      </c>
      <c r="I1030" s="4">
        <v>111</v>
      </c>
      <c r="J1030" s="5">
        <v>61700</v>
      </c>
      <c r="K1030" s="6">
        <f>$E1030+1</f>
        <v>112</v>
      </c>
      <c r="L1030" s="7">
        <f>IF($J1030=0,0,ROUND(MAX($J1030*1.4,1620000*(1.497923^(MIN($E1030,123)-117)))*1,0))</f>
        <v>143410</v>
      </c>
      <c r="M1030" s="4">
        <f>$E1030+2</f>
        <v>113</v>
      </c>
      <c r="N1030" s="8">
        <f>IF($J1030=0,0,ROUND(MAX($J1030*1.4*1.5,2190000*(1.580994^(MIN($E1030,123)-117)))*1,0))</f>
        <v>140237</v>
      </c>
      <c r="O1030" s="6">
        <f>$E1030+4</f>
        <v>115</v>
      </c>
      <c r="P1030" s="7">
        <f>IF($J1030=0,0,ROUND(MAX($J1030*1.4*1.5*1.6,3500000*(1.57975^(MIN($E1030,123)-117)))*1,0))</f>
        <v>225184</v>
      </c>
      <c r="Q1030" s="4">
        <f>$E1030+6</f>
        <v>117</v>
      </c>
      <c r="R1030" s="8">
        <f>IF($J1030=0,0,ROUND(MAX($J1030*1.4*1.5*1.6*1.6,13100000*(1.429962^(MIN($E1030,123)-117)))*1,0))</f>
        <v>1532231</v>
      </c>
      <c r="S1030" s="6">
        <f>$E1030+8</f>
        <v>119</v>
      </c>
      <c r="T1030" s="7">
        <f>IF($J1030=0,0,ROUND(MAX($J1030*1.4*1.5*1.6*1.6*2.2,42600000*(1.576904^(MIN($E1030,123)-117)))*1,0))</f>
        <v>2770627</v>
      </c>
      <c r="U1030" s="4">
        <f>$E1030+11</f>
        <v>122</v>
      </c>
      <c r="V1030" s="8">
        <f>IF($J1030=0,0,ROUND(MAX($J1030*1.4*1.5*1.6*1.6*2.2*2.715,354000000*(1.642074^(MIN($E1030,123)-117)))*1,0))</f>
        <v>18057055</v>
      </c>
      <c r="W1030" s="6">
        <f>$E1030+15</f>
        <v>126</v>
      </c>
      <c r="X1030" s="7">
        <f>IF($J1030=0,0,ROUND(MAX($J1030*1.4*1.5*1.6*1.6*2.2*2.715*2.6,3540000000*(1.579646^(MIN($E1030,123)-117)))*1,0))</f>
        <v>227847690</v>
      </c>
      <c r="Y1030" s="4">
        <f>$E1030+17</f>
        <v>128</v>
      </c>
      <c r="Z1030" s="8">
        <f>IF($J1030=0,0,ROUND(MAX($J1030*1.4*1.5*1.6*1.6*2.2*2.715*2.6*1.4,6020000000*(1.651178^(MIN($E1030,123)-117)))*1,0))</f>
        <v>297052444</v>
      </c>
      <c r="AA1030" s="6">
        <f>$E1030+19</f>
        <v>130</v>
      </c>
      <c r="AB1030" s="7">
        <f>IF($J1030=0,0,ROUND(MAX($J1030*1.4*1.5*1.6*1.6*2.2*2.715*2.6*1.4*1.4,8430000000*(1.651435^(MIN($E1030,123)-117)))*1,0))</f>
        <v>415583854</v>
      </c>
      <c r="AC1030" s="4">
        <f>$E1030+21</f>
        <v>132</v>
      </c>
      <c r="AD1030" s="8">
        <f>IF($J1030=0,0,ROUND(MAX($J1030*1.4*1.5*1.6*1.6*2.2*2.715*2.6*1.4*1.4*1.5,12600000000*(1.652953^(MIN($E1030,123)-117)))*1,0))</f>
        <v>617742548</v>
      </c>
      <c r="AE1030" s="6">
        <f>$E1030+24</f>
        <v>135</v>
      </c>
      <c r="AF1030" s="7">
        <f>IF($J1030=0,0,ROUND(MAX($J1030*1.4*1.5*1.6*1.6*2.2*2.715*2.6*1.4*1.4*1.5*1.5,18900000000*(1.65331^(MIN($E1030,123)-117)))*1,0))</f>
        <v>925413965</v>
      </c>
      <c r="AG1030" s="4">
        <f>$E1030+27</f>
        <v>138</v>
      </c>
      <c r="AH1030" s="8">
        <f>IF($J1030=0,0,ROUND(MAX($J1030*1.4*1.5*1.6*1.6*2.2*2.715*2.6*1.4*1.4*1.5*1.5*3.2,60500000000*(1.654288^(MIN($E1030,123)-117)))*1,0))</f>
        <v>2951811756</v>
      </c>
    </row>
    <row r="1031" ht="27.75" customHeight="1" spans="1:34" x14ac:dyDescent="0.25">
      <c r="A1031" s="3">
        <v>1041</v>
      </c>
      <c r="B1031" s="3" t="s">
        <v>811</v>
      </c>
      <c r="C1031" s="3" t="s">
        <v>768</v>
      </c>
      <c r="D1031" s="3" t="s">
        <v>47</v>
      </c>
      <c r="E1031" s="3">
        <v>111</v>
      </c>
      <c r="F1031" s="3" t="s">
        <v>71</v>
      </c>
      <c r="G1031" s="3" t="s">
        <v>95</v>
      </c>
      <c r="H1031" s="3">
        <v>23</v>
      </c>
      <c r="I1031" s="4">
        <v>111</v>
      </c>
      <c r="J1031" s="5">
        <v>67800</v>
      </c>
      <c r="K1031" s="6">
        <f>$E1031+1</f>
        <v>112</v>
      </c>
      <c r="L1031" s="7">
        <f>IF($J1031=0,0,ROUND(MAX($J1031*1.4,1620000*(1.497923^(MIN($E1031,123)-117)))*1,0))</f>
        <v>143410</v>
      </c>
      <c r="M1031" s="4">
        <f>$E1031+2</f>
        <v>113</v>
      </c>
      <c r="N1031" s="8">
        <f>IF($J1031=0,0,ROUND(MAX($J1031*1.4*1.5,2190000*(1.580994^(MIN($E1031,123)-117)))*1,0))</f>
        <v>142380</v>
      </c>
      <c r="O1031" s="6">
        <f>$E1031+4</f>
        <v>115</v>
      </c>
      <c r="P1031" s="7">
        <f>IF($J1031=0,0,ROUND(MAX($J1031*1.4*1.5*1.6,3500000*(1.57975^(MIN($E1031,123)-117)))*1,0))</f>
        <v>227808</v>
      </c>
      <c r="Q1031" s="4">
        <f>$E1031+6</f>
        <v>117</v>
      </c>
      <c r="R1031" s="8">
        <f>IF($J1031=0,0,ROUND(MAX($J1031*1.4*1.5*1.6*1.6,13100000*(1.429962^(MIN($E1031,123)-117)))*1,0))</f>
        <v>1532231</v>
      </c>
      <c r="S1031" s="6">
        <f>$E1031+8</f>
        <v>119</v>
      </c>
      <c r="T1031" s="7">
        <f>IF($J1031=0,0,ROUND(MAX($J1031*1.4*1.5*1.6*1.6*2.2,42600000*(1.576904^(MIN($E1031,123)-117)))*1,0))</f>
        <v>2770627</v>
      </c>
      <c r="U1031" s="4">
        <f>$E1031+11</f>
        <v>122</v>
      </c>
      <c r="V1031" s="8">
        <f>IF($J1031=0,0,ROUND(MAX($J1031*1.4*1.5*1.6*1.6*2.2*2.715,354000000*(1.642074^(MIN($E1031,123)-117)))*1,0))</f>
        <v>18057055</v>
      </c>
      <c r="W1031" s="6">
        <f>$E1031+15</f>
        <v>126</v>
      </c>
      <c r="X1031" s="7">
        <f>IF($J1031=0,0,ROUND(MAX($J1031*1.4*1.5*1.6*1.6*2.2*2.715*2.6,3540000000*(1.579646^(MIN($E1031,123)-117)))*1,0))</f>
        <v>227847690</v>
      </c>
      <c r="Y1031" s="4">
        <f>$E1031+17</f>
        <v>128</v>
      </c>
      <c r="Z1031" s="8">
        <f>IF($J1031=0,0,ROUND(MAX($J1031*1.4*1.5*1.6*1.6*2.2*2.715*2.6*1.4,6020000000*(1.651178^(MIN($E1031,123)-117)))*1,0))</f>
        <v>297052444</v>
      </c>
      <c r="AA1031" s="6">
        <f>$E1031+19</f>
        <v>130</v>
      </c>
      <c r="AB1031" s="7">
        <f>IF($J1031=0,0,ROUND(MAX($J1031*1.4*1.5*1.6*1.6*2.2*2.715*2.6*1.4*1.4,8430000000*(1.651435^(MIN($E1031,123)-117)))*1,0))</f>
        <v>415583854</v>
      </c>
      <c r="AC1031" s="4">
        <f>$E1031+21</f>
        <v>132</v>
      </c>
      <c r="AD1031" s="8">
        <f>IF($J1031=0,0,ROUND(MAX($J1031*1.4*1.5*1.6*1.6*2.2*2.715*2.6*1.4*1.4*1.5,12600000000*(1.652953^(MIN($E1031,123)-117)))*1,0))</f>
        <v>617742548</v>
      </c>
      <c r="AE1031" s="6">
        <f>$E1031+24</f>
        <v>135</v>
      </c>
      <c r="AF1031" s="7">
        <f>IF($J1031=0,0,ROUND(MAX($J1031*1.4*1.5*1.6*1.6*2.2*2.715*2.6*1.4*1.4*1.5*1.5,18900000000*(1.65331^(MIN($E1031,123)-117)))*1,0))</f>
        <v>925413965</v>
      </c>
      <c r="AG1031" s="4">
        <f>$E1031+27</f>
        <v>138</v>
      </c>
      <c r="AH1031" s="8">
        <f>IF($J1031=0,0,ROUND(MAX($J1031*1.4*1.5*1.6*1.6*2.2*2.715*2.6*1.4*1.4*1.5*1.5*3.2,60500000000*(1.654288^(MIN($E1031,123)-117)))*1,0))</f>
        <v>2951811756</v>
      </c>
    </row>
    <row r="1032" ht="27.75" customHeight="1" spans="1:34" x14ac:dyDescent="0.25">
      <c r="A1032" s="3">
        <v>1042</v>
      </c>
      <c r="B1032" s="3" t="s">
        <v>812</v>
      </c>
      <c r="C1032" s="3" t="s">
        <v>768</v>
      </c>
      <c r="D1032" s="3" t="s">
        <v>40</v>
      </c>
      <c r="E1032" s="3">
        <v>110</v>
      </c>
      <c r="F1032" s="3" t="s">
        <v>56</v>
      </c>
      <c r="G1032" s="3" t="s">
        <v>813</v>
      </c>
      <c r="H1032" s="3">
        <v>26</v>
      </c>
      <c r="I1032" s="4">
        <v>110</v>
      </c>
      <c r="J1032" s="5">
        <v>58400</v>
      </c>
      <c r="K1032" s="6">
        <f>$E1032+1</f>
        <v>111</v>
      </c>
      <c r="L1032" s="7">
        <f>IF($J1032=0,0,ROUND(MAX($J1032*1.4,1620000*(1.497923^(MIN($E1032,123)-117)))*1,0))</f>
        <v>95739</v>
      </c>
      <c r="M1032" s="4">
        <f>$E1032+2</f>
        <v>112</v>
      </c>
      <c r="N1032" s="8">
        <f>IF($J1032=0,0,ROUND(MAX($J1032*1.4*1.5,2190000*(1.580994^(MIN($E1032,123)-117)))*1,0))</f>
        <v>122640</v>
      </c>
      <c r="O1032" s="6">
        <f>$E1032+4</f>
        <v>114</v>
      </c>
      <c r="P1032" s="7">
        <f>IF($J1032=0,0,ROUND(MAX($J1032*1.4*1.5*1.6,3500000*(1.57975^(MIN($E1032,123)-117)))*1,0))</f>
        <v>196224</v>
      </c>
      <c r="Q1032" s="4">
        <f>$E1032+6</f>
        <v>116</v>
      </c>
      <c r="R1032" s="8">
        <f>IF($J1032=0,0,ROUND(MAX($J1032*1.4*1.5*1.6*1.6,13100000*(1.429962^(MIN($E1032,123)-117)))*1,0))</f>
        <v>1071519</v>
      </c>
      <c r="S1032" s="6">
        <f>$E1032+8</f>
        <v>118</v>
      </c>
      <c r="T1032" s="7">
        <f>IF($J1032=0,0,ROUND(MAX($J1032*1.4*1.5*1.6*1.6*2.2,42600000*(1.576904^(MIN($E1032,123)-117)))*1,0))</f>
        <v>1757004</v>
      </c>
      <c r="U1032" s="4">
        <f>$E1032+11</f>
        <v>121</v>
      </c>
      <c r="V1032" s="8">
        <f>IF($J1032=0,0,ROUND(MAX($J1032*1.4*1.5*1.6*1.6*2.2*2.715,354000000*(1.642074^(MIN($E1032,123)-117)))*1,0))</f>
        <v>10996493</v>
      </c>
      <c r="W1032" s="6">
        <f>$E1032+15</f>
        <v>125</v>
      </c>
      <c r="X1032" s="7">
        <f>IF($J1032=0,0,ROUND(MAX($J1032*1.4*1.5*1.6*1.6*2.2*2.715*2.6,3540000000*(1.579646^(MIN($E1032,123)-117)))*1,0))</f>
        <v>144239716</v>
      </c>
      <c r="Y1032" s="4">
        <f>$E1032+17</f>
        <v>127</v>
      </c>
      <c r="Z1032" s="8">
        <f>IF($J1032=0,0,ROUND(MAX($J1032*1.4*1.5*1.6*1.6*2.2*2.715*2.6*1.4,6020000000*(1.651178^(MIN($E1032,123)-117)))*1,0))</f>
        <v>179903344</v>
      </c>
      <c r="AA1032" s="6">
        <f>$E1032+19</f>
        <v>129</v>
      </c>
      <c r="AB1032" s="7">
        <f>IF($J1032=0,0,ROUND(MAX($J1032*1.4*1.5*1.6*1.6*2.2*2.715*2.6*1.4*1.4,8430000000*(1.651435^(MIN($E1032,123)-117)))*1,0))</f>
        <v>251650143</v>
      </c>
      <c r="AC1032" s="4">
        <f>$E1032+21</f>
        <v>131</v>
      </c>
      <c r="AD1032" s="8">
        <f>IF($J1032=0,0,ROUND(MAX($J1032*1.4*1.5*1.6*1.6*2.2*2.715*2.6*1.4*1.4*1.5,12600000000*(1.652953^(MIN($E1032,123)-117)))*1,0))</f>
        <v>373720576</v>
      </c>
      <c r="AE1032" s="6">
        <f>$E1032+24</f>
        <v>134</v>
      </c>
      <c r="AF1032" s="7">
        <f>IF($J1032=0,0,ROUND(MAX($J1032*1.4*1.5*1.6*1.6*2.2*2.715*2.6*1.4*1.4*1.5*1.5,18900000000*(1.65331^(MIN($E1032,123)-117)))*1,0))</f>
        <v>559734088</v>
      </c>
      <c r="AG1032" s="4">
        <f>$E1032+27</f>
        <v>137</v>
      </c>
      <c r="AH1032" s="8">
        <f>IF($J1032=0,0,ROUND(MAX($J1032*1.4*1.5*1.6*1.6*2.2*2.715*2.6*1.4*1.4*1.5*1.5*3.2,60500000000*(1.654288^(MIN($E1032,123)-117)))*1,0))</f>
        <v>1784339701</v>
      </c>
    </row>
    <row r="1033" ht="27.75" customHeight="1" spans="1:34" x14ac:dyDescent="0.25">
      <c r="A1033" s="3">
        <v>1043</v>
      </c>
      <c r="B1033" s="3" t="s">
        <v>814</v>
      </c>
      <c r="C1033" s="3" t="s">
        <v>768</v>
      </c>
      <c r="D1033" s="3" t="s">
        <v>40</v>
      </c>
      <c r="E1033" s="3">
        <v>110</v>
      </c>
      <c r="F1033" s="3" t="s">
        <v>71</v>
      </c>
      <c r="G1033" s="3" t="s">
        <v>247</v>
      </c>
      <c r="H1033" s="3">
        <v>26</v>
      </c>
      <c r="I1033" s="4">
        <v>110</v>
      </c>
      <c r="J1033" s="5">
        <v>62000</v>
      </c>
      <c r="K1033" s="6">
        <f>$E1033+1</f>
        <v>111</v>
      </c>
      <c r="L1033" s="7">
        <f>IF($J1033=0,0,ROUND(MAX($J1033*1.4,1620000*(1.497923^(MIN($E1033,123)-117)))*1,0))</f>
        <v>95739</v>
      </c>
      <c r="M1033" s="4">
        <f>$E1033+2</f>
        <v>112</v>
      </c>
      <c r="N1033" s="8">
        <f>IF($J1033=0,0,ROUND(MAX($J1033*1.4*1.5,2190000*(1.580994^(MIN($E1033,123)-117)))*1,0))</f>
        <v>130200</v>
      </c>
      <c r="O1033" s="6">
        <f>$E1033+4</f>
        <v>114</v>
      </c>
      <c r="P1033" s="7">
        <f>IF($J1033=0,0,ROUND(MAX($J1033*1.4*1.5*1.6,3500000*(1.57975^(MIN($E1033,123)-117)))*1,0))</f>
        <v>208320</v>
      </c>
      <c r="Q1033" s="4">
        <f>$E1033+6</f>
        <v>116</v>
      </c>
      <c r="R1033" s="8">
        <f>IF($J1033=0,0,ROUND(MAX($J1033*1.4*1.5*1.6*1.6,13100000*(1.429962^(MIN($E1033,123)-117)))*1,0))</f>
        <v>1071519</v>
      </c>
      <c r="S1033" s="6">
        <f>$E1033+8</f>
        <v>118</v>
      </c>
      <c r="T1033" s="7">
        <f>IF($J1033=0,0,ROUND(MAX($J1033*1.4*1.5*1.6*1.6*2.2,42600000*(1.576904^(MIN($E1033,123)-117)))*1,0))</f>
        <v>1757004</v>
      </c>
      <c r="U1033" s="4">
        <f>$E1033+11</f>
        <v>121</v>
      </c>
      <c r="V1033" s="8">
        <f>IF($J1033=0,0,ROUND(MAX($J1033*1.4*1.5*1.6*1.6*2.2*2.715,354000000*(1.642074^(MIN($E1033,123)-117)))*1,0))</f>
        <v>10996493</v>
      </c>
      <c r="W1033" s="6">
        <f>$E1033+15</f>
        <v>125</v>
      </c>
      <c r="X1033" s="7">
        <f>IF($J1033=0,0,ROUND(MAX($J1033*1.4*1.5*1.6*1.6*2.2*2.715*2.6,3540000000*(1.579646^(MIN($E1033,123)-117)))*1,0))</f>
        <v>144239716</v>
      </c>
      <c r="Y1033" s="4">
        <f>$E1033+17</f>
        <v>127</v>
      </c>
      <c r="Z1033" s="8">
        <f>IF($J1033=0,0,ROUND(MAX($J1033*1.4*1.5*1.6*1.6*2.2*2.715*2.6*1.4,6020000000*(1.651178^(MIN($E1033,123)-117)))*1,0))</f>
        <v>179903344</v>
      </c>
      <c r="AA1033" s="6">
        <f>$E1033+19</f>
        <v>129</v>
      </c>
      <c r="AB1033" s="7">
        <f>IF($J1033=0,0,ROUND(MAX($J1033*1.4*1.5*1.6*1.6*2.2*2.715*2.6*1.4*1.4,8430000000*(1.651435^(MIN($E1033,123)-117)))*1,0))</f>
        <v>251650143</v>
      </c>
      <c r="AC1033" s="4">
        <f>$E1033+21</f>
        <v>131</v>
      </c>
      <c r="AD1033" s="8">
        <f>IF($J1033=0,0,ROUND(MAX($J1033*1.4*1.5*1.6*1.6*2.2*2.715*2.6*1.4*1.4*1.5,12600000000*(1.652953^(MIN($E1033,123)-117)))*1,0))</f>
        <v>373720576</v>
      </c>
      <c r="AE1033" s="6">
        <f>$E1033+24</f>
        <v>134</v>
      </c>
      <c r="AF1033" s="7">
        <f>IF($J1033=0,0,ROUND(MAX($J1033*1.4*1.5*1.6*1.6*2.2*2.715*2.6*1.4*1.4*1.5*1.5,18900000000*(1.65331^(MIN($E1033,123)-117)))*1,0))</f>
        <v>559734088</v>
      </c>
      <c r="AG1033" s="4">
        <f>$E1033+27</f>
        <v>137</v>
      </c>
      <c r="AH1033" s="8">
        <f>IF($J1033=0,0,ROUND(MAX($J1033*1.4*1.5*1.6*1.6*2.2*2.715*2.6*1.4*1.4*1.5*1.5*3.2,60500000000*(1.654288^(MIN($E1033,123)-117)))*1,0))</f>
        <v>1784339701</v>
      </c>
    </row>
    <row r="1034" ht="27.75" customHeight="1" spans="1:34" x14ac:dyDescent="0.25">
      <c r="A1034" s="3">
        <v>1044</v>
      </c>
      <c r="B1034" s="3" t="s">
        <v>193</v>
      </c>
      <c r="C1034" s="3" t="s">
        <v>768</v>
      </c>
      <c r="D1034" s="3" t="s">
        <v>102</v>
      </c>
      <c r="E1034" s="3">
        <v>110</v>
      </c>
      <c r="F1034" s="3" t="s">
        <v>194</v>
      </c>
      <c r="G1034" s="3" t="s">
        <v>769</v>
      </c>
      <c r="H1034" s="3">
        <v>26</v>
      </c>
      <c r="I1034" s="4">
        <v>110</v>
      </c>
      <c r="J1034" s="5">
        <v>95300</v>
      </c>
      <c r="K1034" s="6">
        <f>$E1034+1</f>
        <v>111</v>
      </c>
      <c r="L1034" s="7">
        <f>IF($J1034=0,0,ROUND(MAX($J1034*1.4,1620000*(1.497923^(MIN($E1034,123)-117)))*1,0))</f>
        <v>133420</v>
      </c>
      <c r="M1034" s="4">
        <f>$E1034+2</f>
        <v>112</v>
      </c>
      <c r="N1034" s="8">
        <f>IF($J1034=0,0,ROUND(MAX($J1034*1.4*1.5,2190000*(1.580994^(MIN($E1034,123)-117)))*1,0))</f>
        <v>200130</v>
      </c>
      <c r="O1034" s="6">
        <f>$E1034+4</f>
        <v>114</v>
      </c>
      <c r="P1034" s="7">
        <f>IF($J1034=0,0,ROUND(MAX($J1034*1.4*1.5*1.6,3500000*(1.57975^(MIN($E1034,123)-117)))*1,0))</f>
        <v>320208</v>
      </c>
      <c r="Q1034" s="4">
        <f>$E1034+6</f>
        <v>116</v>
      </c>
      <c r="R1034" s="8">
        <f>IF($J1034=0,0,ROUND(MAX($J1034*1.4*1.5*1.6*1.6,13100000*(1.429962^(MIN($E1034,123)-117)))*1,0))</f>
        <v>1071519</v>
      </c>
      <c r="S1034" s="6">
        <f>$E1034+8</f>
        <v>118</v>
      </c>
      <c r="T1034" s="7">
        <f>IF($J1034=0,0,ROUND(MAX($J1034*1.4*1.5*1.6*1.6*2.2,42600000*(1.576904^(MIN($E1034,123)-117)))*1,0))</f>
        <v>1757004</v>
      </c>
      <c r="U1034" s="4">
        <f>$E1034+11</f>
        <v>121</v>
      </c>
      <c r="V1034" s="8">
        <f>IF($J1034=0,0,ROUND(MAX($J1034*1.4*1.5*1.6*1.6*2.2*2.715,354000000*(1.642074^(MIN($E1034,123)-117)))*1,0))</f>
        <v>10996493</v>
      </c>
      <c r="W1034" s="6">
        <f>$E1034+15</f>
        <v>125</v>
      </c>
      <c r="X1034" s="7">
        <f>IF($J1034=0,0,ROUND(MAX($J1034*1.4*1.5*1.6*1.6*2.2*2.715*2.6,3540000000*(1.579646^(MIN($E1034,123)-117)))*1,0))</f>
        <v>144239716</v>
      </c>
      <c r="Y1034" s="4">
        <f>$E1034+17</f>
        <v>127</v>
      </c>
      <c r="Z1034" s="8">
        <f>IF($J1034=0,0,ROUND(MAX($J1034*1.4*1.5*1.6*1.6*2.2*2.715*2.6*1.4,6020000000*(1.651178^(MIN($E1034,123)-117)))*1,0))</f>
        <v>179903344</v>
      </c>
      <c r="AA1034" s="6">
        <f>$E1034+19</f>
        <v>129</v>
      </c>
      <c r="AB1034" s="7">
        <f>IF($J1034=0,0,ROUND(MAX($J1034*1.4*1.5*1.6*1.6*2.2*2.715*2.6*1.4*1.4,8430000000*(1.651435^(MIN($E1034,123)-117)))*1,0))</f>
        <v>251650143</v>
      </c>
      <c r="AC1034" s="4">
        <f>$E1034+21</f>
        <v>131</v>
      </c>
      <c r="AD1034" s="8">
        <f>IF($J1034=0,0,ROUND(MAX($J1034*1.4*1.5*1.6*1.6*2.2*2.715*2.6*1.4*1.4*1.5,12600000000*(1.652953^(MIN($E1034,123)-117)))*1,0))</f>
        <v>373720576</v>
      </c>
      <c r="AE1034" s="6">
        <f>$E1034+24</f>
        <v>134</v>
      </c>
      <c r="AF1034" s="7">
        <f>IF($J1034=0,0,ROUND(MAX($J1034*1.4*1.5*1.6*1.6*2.2*2.715*2.6*1.4*1.4*1.5*1.5,18900000000*(1.65331^(MIN($E1034,123)-117)))*1,0))</f>
        <v>559734088</v>
      </c>
      <c r="AG1034" s="4">
        <f>$E1034+27</f>
        <v>137</v>
      </c>
      <c r="AH1034" s="8">
        <f>IF($J1034=0,0,ROUND(MAX($J1034*1.4*1.5*1.6*1.6*2.2*2.715*2.6*1.4*1.4*1.5*1.5*3.2,60500000000*(1.654288^(MIN($E1034,123)-117)))*1,0))</f>
        <v>1784339701</v>
      </c>
    </row>
    <row r="1035" ht="27.75" customHeight="1" spans="1:34" x14ac:dyDescent="0.25">
      <c r="A1035" s="3">
        <v>1045</v>
      </c>
      <c r="B1035" s="3" t="s">
        <v>610</v>
      </c>
      <c r="C1035" s="3" t="s">
        <v>768</v>
      </c>
      <c r="D1035" s="3" t="s">
        <v>90</v>
      </c>
      <c r="E1035" s="3">
        <v>110</v>
      </c>
      <c r="F1035" s="3" t="s">
        <v>56</v>
      </c>
      <c r="G1035" s="3" t="s">
        <v>133</v>
      </c>
      <c r="H1035" s="3">
        <v>25</v>
      </c>
      <c r="I1035" s="4">
        <v>110</v>
      </c>
      <c r="J1035" s="5">
        <v>173000</v>
      </c>
      <c r="K1035" s="6">
        <f>$E1035+1</f>
        <v>111</v>
      </c>
      <c r="L1035" s="7">
        <f>IF($J1035=0,0,ROUND(MAX($J1035*1.4,1620000*(1.497923^(MIN($E1035,123)-117)))*1,0))</f>
        <v>242200</v>
      </c>
      <c r="M1035" s="4">
        <f>$E1035+2</f>
        <v>112</v>
      </c>
      <c r="N1035" s="8">
        <f>IF($J1035=0,0,ROUND(MAX($J1035*1.4*1.5,2190000*(1.580994^(MIN($E1035,123)-117)))*1,0))</f>
        <v>363300</v>
      </c>
      <c r="O1035" s="6">
        <f>$E1035+4</f>
        <v>114</v>
      </c>
      <c r="P1035" s="7">
        <f>IF($J1035=0,0,ROUND(MAX($J1035*1.4*1.5*1.6,3500000*(1.57975^(MIN($E1035,123)-117)))*1,0))</f>
        <v>581280</v>
      </c>
      <c r="Q1035" s="4">
        <f>$E1035+6</f>
        <v>116</v>
      </c>
      <c r="R1035" s="8">
        <f>IF($J1035=0,0,ROUND(MAX($J1035*1.4*1.5*1.6*1.6,13100000*(1.429962^(MIN($E1035,123)-117)))*1,0))</f>
        <v>1071519</v>
      </c>
      <c r="S1035" s="6">
        <f>$E1035+8</f>
        <v>118</v>
      </c>
      <c r="T1035" s="7">
        <f>IF($J1035=0,0,ROUND(MAX($J1035*1.4*1.5*1.6*1.6*2.2,42600000*(1.576904^(MIN($E1035,123)-117)))*1,0))</f>
        <v>2046106</v>
      </c>
      <c r="U1035" s="4">
        <f>$E1035+11</f>
        <v>121</v>
      </c>
      <c r="V1035" s="8">
        <f>IF($J1035=0,0,ROUND(MAX($J1035*1.4*1.5*1.6*1.6*2.2*2.715,354000000*(1.642074^(MIN($E1035,123)-117)))*1,0))</f>
        <v>10996493</v>
      </c>
      <c r="W1035" s="6">
        <f>$E1035+15</f>
        <v>125</v>
      </c>
      <c r="X1035" s="7">
        <f>IF($J1035=0,0,ROUND(MAX($J1035*1.4*1.5*1.6*1.6*2.2*2.715*2.6,3540000000*(1.579646^(MIN($E1035,123)-117)))*1,0))</f>
        <v>144239716</v>
      </c>
      <c r="Y1035" s="4">
        <f>$E1035+17</f>
        <v>127</v>
      </c>
      <c r="Z1035" s="8">
        <f>IF($J1035=0,0,ROUND(MAX($J1035*1.4*1.5*1.6*1.6*2.2*2.715*2.6*1.4,6020000000*(1.651178^(MIN($E1035,123)-117)))*1,0))</f>
        <v>179903344</v>
      </c>
      <c r="AA1035" s="6">
        <f>$E1035+19</f>
        <v>129</v>
      </c>
      <c r="AB1035" s="7">
        <f>IF($J1035=0,0,ROUND(MAX($J1035*1.4*1.5*1.6*1.6*2.2*2.715*2.6*1.4*1.4,8430000000*(1.651435^(MIN($E1035,123)-117)))*1,0))</f>
        <v>251650143</v>
      </c>
      <c r="AC1035" s="4">
        <f>$E1035+21</f>
        <v>131</v>
      </c>
      <c r="AD1035" s="8">
        <f>IF($J1035=0,0,ROUND(MAX($J1035*1.4*1.5*1.6*1.6*2.2*2.715*2.6*1.4*1.4*1.5,12600000000*(1.652953^(MIN($E1035,123)-117)))*1,0))</f>
        <v>373720576</v>
      </c>
      <c r="AE1035" s="6">
        <f>$E1035+24</f>
        <v>134</v>
      </c>
      <c r="AF1035" s="7">
        <f>IF($J1035=0,0,ROUND(MAX($J1035*1.4*1.5*1.6*1.6*2.2*2.715*2.6*1.4*1.4*1.5*1.5,18900000000*(1.65331^(MIN($E1035,123)-117)))*1,0))</f>
        <v>559734088</v>
      </c>
      <c r="AG1035" s="4">
        <f>$E1035+27</f>
        <v>137</v>
      </c>
      <c r="AH1035" s="8">
        <f>IF($J1035=0,0,ROUND(MAX($J1035*1.4*1.5*1.6*1.6*2.2*2.715*2.6*1.4*1.4*1.5*1.5*3.2,60500000000*(1.654288^(MIN($E1035,123)-117)))*1,0))</f>
        <v>1784339701</v>
      </c>
    </row>
    <row r="1036" ht="27.75" customHeight="1" spans="1:34" x14ac:dyDescent="0.25">
      <c r="A1036" s="3">
        <v>1046</v>
      </c>
      <c r="B1036" s="3" t="s">
        <v>683</v>
      </c>
      <c r="C1036" s="3" t="s">
        <v>768</v>
      </c>
      <c r="D1036" s="3" t="s">
        <v>33</v>
      </c>
      <c r="E1036" s="3">
        <v>110</v>
      </c>
      <c r="F1036" s="3" t="s">
        <v>71</v>
      </c>
      <c r="G1036" s="3" t="s">
        <v>684</v>
      </c>
      <c r="H1036" s="3">
        <v>25</v>
      </c>
      <c r="I1036" s="4">
        <v>110</v>
      </c>
      <c r="J1036" s="5">
        <v>213000</v>
      </c>
      <c r="K1036" s="6">
        <f>$E1036+1</f>
        <v>111</v>
      </c>
      <c r="L1036" s="7">
        <f>IF($J1036=0,0,ROUND(MAX($J1036*1.4,1620000*(1.497923^(MIN($E1036,123)-117)))*1,0))</f>
        <v>298200</v>
      </c>
      <c r="M1036" s="4">
        <f>$E1036+2</f>
        <v>112</v>
      </c>
      <c r="N1036" s="8">
        <f>IF($J1036=0,0,ROUND(MAX($J1036*1.4*1.5,2190000*(1.580994^(MIN($E1036,123)-117)))*1,0))</f>
        <v>447300</v>
      </c>
      <c r="O1036" s="6">
        <f>$E1036+4</f>
        <v>114</v>
      </c>
      <c r="P1036" s="7">
        <f>IF($J1036=0,0,ROUND(MAX($J1036*1.4*1.5*1.6,3500000*(1.57975^(MIN($E1036,123)-117)))*1,0))</f>
        <v>715680</v>
      </c>
      <c r="Q1036" s="4">
        <f>$E1036+6</f>
        <v>116</v>
      </c>
      <c r="R1036" s="8">
        <f>IF($J1036=0,0,ROUND(MAX($J1036*1.4*1.5*1.6*1.6,13100000*(1.429962^(MIN($E1036,123)-117)))*1,0))</f>
        <v>1145088</v>
      </c>
      <c r="S1036" s="6">
        <f>$E1036+8</f>
        <v>118</v>
      </c>
      <c r="T1036" s="7">
        <f>IF($J1036=0,0,ROUND(MAX($J1036*1.4*1.5*1.6*1.6*2.2,42600000*(1.576904^(MIN($E1036,123)-117)))*1,0))</f>
        <v>2519194</v>
      </c>
      <c r="U1036" s="4">
        <f>$E1036+11</f>
        <v>121</v>
      </c>
      <c r="V1036" s="8">
        <f>IF($J1036=0,0,ROUND(MAX($J1036*1.4*1.5*1.6*1.6*2.2*2.715,354000000*(1.642074^(MIN($E1036,123)-117)))*1,0))</f>
        <v>10996493</v>
      </c>
      <c r="W1036" s="6">
        <f>$E1036+15</f>
        <v>125</v>
      </c>
      <c r="X1036" s="7">
        <f>IF($J1036=0,0,ROUND(MAX($J1036*1.4*1.5*1.6*1.6*2.2*2.715*2.6,3540000000*(1.579646^(MIN($E1036,123)-117)))*1,0))</f>
        <v>144239716</v>
      </c>
      <c r="Y1036" s="4">
        <f>$E1036+17</f>
        <v>127</v>
      </c>
      <c r="Z1036" s="8">
        <f>IF($J1036=0,0,ROUND(MAX($J1036*1.4*1.5*1.6*1.6*2.2*2.715*2.6*1.4,6020000000*(1.651178^(MIN($E1036,123)-117)))*1,0))</f>
        <v>179903344</v>
      </c>
      <c r="AA1036" s="6">
        <f>$E1036+19</f>
        <v>129</v>
      </c>
      <c r="AB1036" s="7">
        <f>IF($J1036=0,0,ROUND(MAX($J1036*1.4*1.5*1.6*1.6*2.2*2.715*2.6*1.4*1.4,8430000000*(1.651435^(MIN($E1036,123)-117)))*1,0))</f>
        <v>251650143</v>
      </c>
      <c r="AC1036" s="4">
        <f>$E1036+21</f>
        <v>131</v>
      </c>
      <c r="AD1036" s="8">
        <f>IF($J1036=0,0,ROUND(MAX($J1036*1.4*1.5*1.6*1.6*2.2*2.715*2.6*1.4*1.4*1.5,12600000000*(1.652953^(MIN($E1036,123)-117)))*1,0))</f>
        <v>373720576</v>
      </c>
      <c r="AE1036" s="6">
        <f>$E1036+24</f>
        <v>134</v>
      </c>
      <c r="AF1036" s="7">
        <f>IF($J1036=0,0,ROUND(MAX($J1036*1.4*1.5*1.6*1.6*2.2*2.715*2.6*1.4*1.4*1.5*1.5,18900000000*(1.65331^(MIN($E1036,123)-117)))*1,0))</f>
        <v>559734088</v>
      </c>
      <c r="AG1036" s="4">
        <f>$E1036+27</f>
        <v>137</v>
      </c>
      <c r="AH1036" s="8">
        <f>IF($J1036=0,0,ROUND(MAX($J1036*1.4*1.5*1.6*1.6*2.2*2.715*2.6*1.4*1.4*1.5*1.5*3.2,60500000000*(1.654288^(MIN($E1036,123)-117)))*1,0))</f>
        <v>1784339701</v>
      </c>
    </row>
    <row r="1037" ht="27.75" customHeight="1" spans="1:34" x14ac:dyDescent="0.25">
      <c r="A1037" s="3">
        <v>1047</v>
      </c>
      <c r="B1037" s="3" t="s">
        <v>603</v>
      </c>
      <c r="C1037" s="3" t="s">
        <v>768</v>
      </c>
      <c r="D1037" s="3" t="s">
        <v>45</v>
      </c>
      <c r="E1037" s="3">
        <v>110</v>
      </c>
      <c r="F1037" s="3" t="s">
        <v>71</v>
      </c>
      <c r="G1037" s="3" t="s">
        <v>247</v>
      </c>
      <c r="H1037" s="3">
        <v>25</v>
      </c>
      <c r="I1037" s="4">
        <v>110</v>
      </c>
      <c r="J1037" s="5">
        <v>98300</v>
      </c>
      <c r="K1037" s="6">
        <f>$E1037+1</f>
        <v>111</v>
      </c>
      <c r="L1037" s="7">
        <f>IF($J1037=0,0,ROUND(MAX($J1037*1.4,1620000*(1.497923^(MIN($E1037,123)-117)))*1,0))</f>
        <v>137620</v>
      </c>
      <c r="M1037" s="4">
        <f>$E1037+2</f>
        <v>112</v>
      </c>
      <c r="N1037" s="8">
        <f>IF($J1037=0,0,ROUND(MAX($J1037*1.4*1.5,2190000*(1.580994^(MIN($E1037,123)-117)))*1,0))</f>
        <v>206430</v>
      </c>
      <c r="O1037" s="6">
        <f>$E1037+4</f>
        <v>114</v>
      </c>
      <c r="P1037" s="7">
        <f>IF($J1037=0,0,ROUND(MAX($J1037*1.4*1.5*1.6,3500000*(1.57975^(MIN($E1037,123)-117)))*1,0))</f>
        <v>330288</v>
      </c>
      <c r="Q1037" s="4">
        <f>$E1037+6</f>
        <v>116</v>
      </c>
      <c r="R1037" s="8">
        <f>IF($J1037=0,0,ROUND(MAX($J1037*1.4*1.5*1.6*1.6,13100000*(1.429962^(MIN($E1037,123)-117)))*1,0))</f>
        <v>1071519</v>
      </c>
      <c r="S1037" s="6">
        <f>$E1037+8</f>
        <v>118</v>
      </c>
      <c r="T1037" s="7">
        <f>IF($J1037=0,0,ROUND(MAX($J1037*1.4*1.5*1.6*1.6*2.2,42600000*(1.576904^(MIN($E1037,123)-117)))*1,0))</f>
        <v>1757004</v>
      </c>
      <c r="U1037" s="4">
        <f>$E1037+11</f>
        <v>121</v>
      </c>
      <c r="V1037" s="8">
        <f>IF($J1037=0,0,ROUND(MAX($J1037*1.4*1.5*1.6*1.6*2.2*2.715,354000000*(1.642074^(MIN($E1037,123)-117)))*1,0))</f>
        <v>10996493</v>
      </c>
      <c r="W1037" s="6">
        <f>$E1037+15</f>
        <v>125</v>
      </c>
      <c r="X1037" s="7">
        <f>IF($J1037=0,0,ROUND(MAX($J1037*1.4*1.5*1.6*1.6*2.2*2.715*2.6,3540000000*(1.579646^(MIN($E1037,123)-117)))*1,0))</f>
        <v>144239716</v>
      </c>
      <c r="Y1037" s="4">
        <f>$E1037+17</f>
        <v>127</v>
      </c>
      <c r="Z1037" s="8">
        <f>IF($J1037=0,0,ROUND(MAX($J1037*1.4*1.5*1.6*1.6*2.2*2.715*2.6*1.4,6020000000*(1.651178^(MIN($E1037,123)-117)))*1,0))</f>
        <v>179903344</v>
      </c>
      <c r="AA1037" s="6">
        <f>$E1037+19</f>
        <v>129</v>
      </c>
      <c r="AB1037" s="7">
        <f>IF($J1037=0,0,ROUND(MAX($J1037*1.4*1.5*1.6*1.6*2.2*2.715*2.6*1.4*1.4,8430000000*(1.651435^(MIN($E1037,123)-117)))*1,0))</f>
        <v>251650143</v>
      </c>
      <c r="AC1037" s="4">
        <f>$E1037+21</f>
        <v>131</v>
      </c>
      <c r="AD1037" s="8">
        <f>IF($J1037=0,0,ROUND(MAX($J1037*1.4*1.5*1.6*1.6*2.2*2.715*2.6*1.4*1.4*1.5,12600000000*(1.652953^(MIN($E1037,123)-117)))*1,0))</f>
        <v>373720576</v>
      </c>
      <c r="AE1037" s="6">
        <f>$E1037+24</f>
        <v>134</v>
      </c>
      <c r="AF1037" s="7">
        <f>IF($J1037=0,0,ROUND(MAX($J1037*1.4*1.5*1.6*1.6*2.2*2.715*2.6*1.4*1.4*1.5*1.5,18900000000*(1.65331^(MIN($E1037,123)-117)))*1,0))</f>
        <v>559734088</v>
      </c>
      <c r="AG1037" s="4">
        <f>$E1037+27</f>
        <v>137</v>
      </c>
      <c r="AH1037" s="8">
        <f>IF($J1037=0,0,ROUND(MAX($J1037*1.4*1.5*1.6*1.6*2.2*2.715*2.6*1.4*1.4*1.5*1.5*3.2,60500000000*(1.654288^(MIN($E1037,123)-117)))*1,0))</f>
        <v>1784339701</v>
      </c>
    </row>
    <row r="1038" ht="27.75" customHeight="1" spans="1:34" x14ac:dyDescent="0.25">
      <c r="A1038" s="3">
        <v>1048</v>
      </c>
      <c r="B1038" s="3" t="s">
        <v>815</v>
      </c>
      <c r="C1038" s="3" t="s">
        <v>768</v>
      </c>
      <c r="D1038" s="3" t="s">
        <v>90</v>
      </c>
      <c r="E1038" s="3">
        <v>110</v>
      </c>
      <c r="F1038" s="3" t="s">
        <v>56</v>
      </c>
      <c r="G1038" s="3" t="s">
        <v>816</v>
      </c>
      <c r="H1038" s="3">
        <v>25</v>
      </c>
      <c r="I1038" s="4">
        <v>110</v>
      </c>
      <c r="J1038" s="5">
        <v>59700</v>
      </c>
      <c r="K1038" s="6">
        <f>$E1038+1</f>
        <v>111</v>
      </c>
      <c r="L1038" s="7">
        <f>IF($J1038=0,0,ROUND(MAX($J1038*1.4,1620000*(1.497923^(MIN($E1038,123)-117)))*1,0))</f>
        <v>95739</v>
      </c>
      <c r="M1038" s="4">
        <f>$E1038+2</f>
        <v>112</v>
      </c>
      <c r="N1038" s="8">
        <f>IF($J1038=0,0,ROUND(MAX($J1038*1.4*1.5,2190000*(1.580994^(MIN($E1038,123)-117)))*1,0))</f>
        <v>125370</v>
      </c>
      <c r="O1038" s="6">
        <f>$E1038+4</f>
        <v>114</v>
      </c>
      <c r="P1038" s="7">
        <f>IF($J1038=0,0,ROUND(MAX($J1038*1.4*1.5*1.6,3500000*(1.57975^(MIN($E1038,123)-117)))*1,0))</f>
        <v>200592</v>
      </c>
      <c r="Q1038" s="4">
        <f>$E1038+6</f>
        <v>116</v>
      </c>
      <c r="R1038" s="8">
        <f>IF($J1038=0,0,ROUND(MAX($J1038*1.4*1.5*1.6*1.6,13100000*(1.429962^(MIN($E1038,123)-117)))*1,0))</f>
        <v>1071519</v>
      </c>
      <c r="S1038" s="6">
        <f>$E1038+8</f>
        <v>118</v>
      </c>
      <c r="T1038" s="7">
        <f>IF($J1038=0,0,ROUND(MAX($J1038*1.4*1.5*1.6*1.6*2.2,42600000*(1.576904^(MIN($E1038,123)-117)))*1,0))</f>
        <v>1757004</v>
      </c>
      <c r="U1038" s="4">
        <f>$E1038+11</f>
        <v>121</v>
      </c>
      <c r="V1038" s="8">
        <f>IF($J1038=0,0,ROUND(MAX($J1038*1.4*1.5*1.6*1.6*2.2*2.715,354000000*(1.642074^(MIN($E1038,123)-117)))*1,0))</f>
        <v>10996493</v>
      </c>
      <c r="W1038" s="6">
        <f>$E1038+15</f>
        <v>125</v>
      </c>
      <c r="X1038" s="7">
        <f>IF($J1038=0,0,ROUND(MAX($J1038*1.4*1.5*1.6*1.6*2.2*2.715*2.6,3540000000*(1.579646^(MIN($E1038,123)-117)))*1,0))</f>
        <v>144239716</v>
      </c>
      <c r="Y1038" s="4">
        <f>$E1038+17</f>
        <v>127</v>
      </c>
      <c r="Z1038" s="8">
        <f>IF($J1038=0,0,ROUND(MAX($J1038*1.4*1.5*1.6*1.6*2.2*2.715*2.6*1.4,6020000000*(1.651178^(MIN($E1038,123)-117)))*1,0))</f>
        <v>179903344</v>
      </c>
      <c r="AA1038" s="6">
        <f>$E1038+19</f>
        <v>129</v>
      </c>
      <c r="AB1038" s="7">
        <f>IF($J1038=0,0,ROUND(MAX($J1038*1.4*1.5*1.6*1.6*2.2*2.715*2.6*1.4*1.4,8430000000*(1.651435^(MIN($E1038,123)-117)))*1,0))</f>
        <v>251650143</v>
      </c>
      <c r="AC1038" s="4">
        <f>$E1038+21</f>
        <v>131</v>
      </c>
      <c r="AD1038" s="8">
        <f>IF($J1038=0,0,ROUND(MAX($J1038*1.4*1.5*1.6*1.6*2.2*2.715*2.6*1.4*1.4*1.5,12600000000*(1.652953^(MIN($E1038,123)-117)))*1,0))</f>
        <v>373720576</v>
      </c>
      <c r="AE1038" s="6">
        <f>$E1038+24</f>
        <v>134</v>
      </c>
      <c r="AF1038" s="7">
        <f>IF($J1038=0,0,ROUND(MAX($J1038*1.4*1.5*1.6*1.6*2.2*2.715*2.6*1.4*1.4*1.5*1.5,18900000000*(1.65331^(MIN($E1038,123)-117)))*1,0))</f>
        <v>559734088</v>
      </c>
      <c r="AG1038" s="4">
        <f>$E1038+27</f>
        <v>137</v>
      </c>
      <c r="AH1038" s="8">
        <f>IF($J1038=0,0,ROUND(MAX($J1038*1.4*1.5*1.6*1.6*2.2*2.715*2.6*1.4*1.4*1.5*1.5*3.2,60500000000*(1.654288^(MIN($E1038,123)-117)))*1,0))</f>
        <v>1784339701</v>
      </c>
    </row>
    <row r="1039" ht="27.75" customHeight="1" spans="1:34" x14ac:dyDescent="0.25">
      <c r="A1039" s="3">
        <v>1049</v>
      </c>
      <c r="B1039" s="3" t="s">
        <v>817</v>
      </c>
      <c r="C1039" s="3" t="s">
        <v>768</v>
      </c>
      <c r="D1039" s="3" t="s">
        <v>33</v>
      </c>
      <c r="E1039" s="3">
        <v>110</v>
      </c>
      <c r="F1039" s="3" t="s">
        <v>258</v>
      </c>
      <c r="G1039" s="3" t="s">
        <v>769</v>
      </c>
      <c r="H1039" s="3">
        <v>25</v>
      </c>
      <c r="I1039" s="4">
        <v>110</v>
      </c>
      <c r="J1039" s="5">
        <v>114000</v>
      </c>
      <c r="K1039" s="6">
        <f>$E1039+1</f>
        <v>111</v>
      </c>
      <c r="L1039" s="7">
        <f>IF($J1039=0,0,ROUND(MAX($J1039*1.4,1620000*(1.497923^(MIN($E1039,123)-117)))*1,0))</f>
        <v>159600</v>
      </c>
      <c r="M1039" s="4">
        <f>$E1039+2</f>
        <v>112</v>
      </c>
      <c r="N1039" s="8">
        <f>IF($J1039=0,0,ROUND(MAX($J1039*1.4*1.5,2190000*(1.580994^(MIN($E1039,123)-117)))*1,0))</f>
        <v>239400</v>
      </c>
      <c r="O1039" s="6">
        <f>$E1039+4</f>
        <v>114</v>
      </c>
      <c r="P1039" s="7">
        <f>IF($J1039=0,0,ROUND(MAX($J1039*1.4*1.5*1.6,3500000*(1.57975^(MIN($E1039,123)-117)))*1,0))</f>
        <v>383040</v>
      </c>
      <c r="Q1039" s="4">
        <f>$E1039+6</f>
        <v>116</v>
      </c>
      <c r="R1039" s="8">
        <f>IF($J1039=0,0,ROUND(MAX($J1039*1.4*1.5*1.6*1.6,13100000*(1.429962^(MIN($E1039,123)-117)))*1,0))</f>
        <v>1071519</v>
      </c>
      <c r="S1039" s="6">
        <f>$E1039+8</f>
        <v>118</v>
      </c>
      <c r="T1039" s="7">
        <f>IF($J1039=0,0,ROUND(MAX($J1039*1.4*1.5*1.6*1.6*2.2,42600000*(1.576904^(MIN($E1039,123)-117)))*1,0))</f>
        <v>1757004</v>
      </c>
      <c r="U1039" s="4">
        <f>$E1039+11</f>
        <v>121</v>
      </c>
      <c r="V1039" s="8">
        <f>IF($J1039=0,0,ROUND(MAX($J1039*1.4*1.5*1.6*1.6*2.2*2.715,354000000*(1.642074^(MIN($E1039,123)-117)))*1,0))</f>
        <v>10996493</v>
      </c>
      <c r="W1039" s="6">
        <f>$E1039+15</f>
        <v>125</v>
      </c>
      <c r="X1039" s="7">
        <f>IF($J1039=0,0,ROUND(MAX($J1039*1.4*1.5*1.6*1.6*2.2*2.715*2.6,3540000000*(1.579646^(MIN($E1039,123)-117)))*1,0))</f>
        <v>144239716</v>
      </c>
      <c r="Y1039" s="4">
        <f>$E1039+17</f>
        <v>127</v>
      </c>
      <c r="Z1039" s="8">
        <f>IF($J1039=0,0,ROUND(MAX($J1039*1.4*1.5*1.6*1.6*2.2*2.715*2.6*1.4,6020000000*(1.651178^(MIN($E1039,123)-117)))*1,0))</f>
        <v>179903344</v>
      </c>
      <c r="AA1039" s="6">
        <f>$E1039+19</f>
        <v>129</v>
      </c>
      <c r="AB1039" s="7">
        <f>IF($J1039=0,0,ROUND(MAX($J1039*1.4*1.5*1.6*1.6*2.2*2.715*2.6*1.4*1.4,8430000000*(1.651435^(MIN($E1039,123)-117)))*1,0))</f>
        <v>251650143</v>
      </c>
      <c r="AC1039" s="4">
        <f>$E1039+21</f>
        <v>131</v>
      </c>
      <c r="AD1039" s="8">
        <f>IF($J1039=0,0,ROUND(MAX($J1039*1.4*1.5*1.6*1.6*2.2*2.715*2.6*1.4*1.4*1.5,12600000000*(1.652953^(MIN($E1039,123)-117)))*1,0))</f>
        <v>373720576</v>
      </c>
      <c r="AE1039" s="6">
        <f>$E1039+24</f>
        <v>134</v>
      </c>
      <c r="AF1039" s="7">
        <f>IF($J1039=0,0,ROUND(MAX($J1039*1.4*1.5*1.6*1.6*2.2*2.715*2.6*1.4*1.4*1.5*1.5,18900000000*(1.65331^(MIN($E1039,123)-117)))*1,0))</f>
        <v>559734088</v>
      </c>
      <c r="AG1039" s="4">
        <f>$E1039+27</f>
        <v>137</v>
      </c>
      <c r="AH1039" s="8">
        <f>IF($J1039=0,0,ROUND(MAX($J1039*1.4*1.5*1.6*1.6*2.2*2.715*2.6*1.4*1.4*1.5*1.5*3.2,60500000000*(1.654288^(MIN($E1039,123)-117)))*1,0))</f>
        <v>1784339701</v>
      </c>
    </row>
    <row r="1040" ht="27.75" customHeight="1" spans="1:34" x14ac:dyDescent="0.25">
      <c r="A1040" s="3">
        <v>1050</v>
      </c>
      <c r="B1040" s="3" t="s">
        <v>818</v>
      </c>
      <c r="C1040" s="3" t="s">
        <v>768</v>
      </c>
      <c r="D1040" s="3" t="s">
        <v>102</v>
      </c>
      <c r="E1040" s="3">
        <v>110</v>
      </c>
      <c r="F1040" s="3" t="s">
        <v>71</v>
      </c>
      <c r="G1040" s="3" t="s">
        <v>819</v>
      </c>
      <c r="H1040" s="3">
        <v>24</v>
      </c>
      <c r="I1040" s="4">
        <v>110</v>
      </c>
      <c r="J1040" s="5">
        <v>208000</v>
      </c>
      <c r="K1040" s="6">
        <f>$E1040+1</f>
        <v>111</v>
      </c>
      <c r="L1040" s="7">
        <f>IF($J1040=0,0,ROUND(MAX($J1040*1.4,1620000*(1.497923^(MIN($E1040,123)-117)))*1,0))</f>
        <v>291200</v>
      </c>
      <c r="M1040" s="4">
        <f>$E1040+2</f>
        <v>112</v>
      </c>
      <c r="N1040" s="8">
        <f>IF($J1040=0,0,ROUND(MAX($J1040*1.4*1.5,2190000*(1.580994^(MIN($E1040,123)-117)))*1,0))</f>
        <v>436800</v>
      </c>
      <c r="O1040" s="6">
        <f>$E1040+4</f>
        <v>114</v>
      </c>
      <c r="P1040" s="7">
        <f>IF($J1040=0,0,ROUND(MAX($J1040*1.4*1.5*1.6,3500000*(1.57975^(MIN($E1040,123)-117)))*1,0))</f>
        <v>698880</v>
      </c>
      <c r="Q1040" s="4">
        <f>$E1040+6</f>
        <v>116</v>
      </c>
      <c r="R1040" s="8">
        <f>IF($J1040=0,0,ROUND(MAX($J1040*1.4*1.5*1.6*1.6,13100000*(1.429962^(MIN($E1040,123)-117)))*1,0))</f>
        <v>1118208</v>
      </c>
      <c r="S1040" s="6">
        <f>$E1040+8</f>
        <v>118</v>
      </c>
      <c r="T1040" s="7">
        <f>IF($J1040=0,0,ROUND(MAX($J1040*1.4*1.5*1.6*1.6*2.2,42600000*(1.576904^(MIN($E1040,123)-117)))*1,0))</f>
        <v>2460058</v>
      </c>
      <c r="U1040" s="4">
        <f>$E1040+11</f>
        <v>121</v>
      </c>
      <c r="V1040" s="8">
        <f>IF($J1040=0,0,ROUND(MAX($J1040*1.4*1.5*1.6*1.6*2.2*2.715,354000000*(1.642074^(MIN($E1040,123)-117)))*1,0))</f>
        <v>10996493</v>
      </c>
      <c r="W1040" s="6">
        <f>$E1040+15</f>
        <v>125</v>
      </c>
      <c r="X1040" s="7">
        <f>IF($J1040=0,0,ROUND(MAX($J1040*1.4*1.5*1.6*1.6*2.2*2.715*2.6,3540000000*(1.579646^(MIN($E1040,123)-117)))*1,0))</f>
        <v>144239716</v>
      </c>
      <c r="Y1040" s="4">
        <f>$E1040+17</f>
        <v>127</v>
      </c>
      <c r="Z1040" s="8">
        <f>IF($J1040=0,0,ROUND(MAX($J1040*1.4*1.5*1.6*1.6*2.2*2.715*2.6*1.4,6020000000*(1.651178^(MIN($E1040,123)-117)))*1,0))</f>
        <v>179903344</v>
      </c>
      <c r="AA1040" s="6">
        <f>$E1040+19</f>
        <v>129</v>
      </c>
      <c r="AB1040" s="7">
        <f>IF($J1040=0,0,ROUND(MAX($J1040*1.4*1.5*1.6*1.6*2.2*2.715*2.6*1.4*1.4,8430000000*(1.651435^(MIN($E1040,123)-117)))*1,0))</f>
        <v>251650143</v>
      </c>
      <c r="AC1040" s="4">
        <f>$E1040+21</f>
        <v>131</v>
      </c>
      <c r="AD1040" s="8">
        <f>IF($J1040=0,0,ROUND(MAX($J1040*1.4*1.5*1.6*1.6*2.2*2.715*2.6*1.4*1.4*1.5,12600000000*(1.652953^(MIN($E1040,123)-117)))*1,0))</f>
        <v>373720576</v>
      </c>
      <c r="AE1040" s="6">
        <f>$E1040+24</f>
        <v>134</v>
      </c>
      <c r="AF1040" s="7">
        <f>IF($J1040=0,0,ROUND(MAX($J1040*1.4*1.5*1.6*1.6*2.2*2.715*2.6*1.4*1.4*1.5*1.5,18900000000*(1.65331^(MIN($E1040,123)-117)))*1,0))</f>
        <v>559734088</v>
      </c>
      <c r="AG1040" s="4">
        <f>$E1040+27</f>
        <v>137</v>
      </c>
      <c r="AH1040" s="8">
        <f>IF($J1040=0,0,ROUND(MAX($J1040*1.4*1.5*1.6*1.6*2.2*2.715*2.6*1.4*1.4*1.5*1.5*3.2,60500000000*(1.654288^(MIN($E1040,123)-117)))*1,0))</f>
        <v>1784339701</v>
      </c>
    </row>
    <row r="1041" ht="27.75" customHeight="1" spans="1:34" x14ac:dyDescent="0.25">
      <c r="A1041" s="3">
        <v>1051</v>
      </c>
      <c r="B1041" s="3" t="s">
        <v>725</v>
      </c>
      <c r="C1041" s="3" t="s">
        <v>768</v>
      </c>
      <c r="D1041" s="3" t="s">
        <v>75</v>
      </c>
      <c r="E1041" s="3">
        <v>109</v>
      </c>
      <c r="F1041" s="3" t="s">
        <v>54</v>
      </c>
      <c r="G1041" s="3" t="s">
        <v>374</v>
      </c>
      <c r="H1041" s="3">
        <v>25</v>
      </c>
      <c r="I1041" s="4">
        <v>109</v>
      </c>
      <c r="J1041" s="5">
        <v>71200</v>
      </c>
      <c r="K1041" s="6">
        <f>$E1041+1</f>
        <v>110</v>
      </c>
      <c r="L1041" s="7">
        <f>IF($J1041=0,0,ROUND(MAX($J1041*1.4,1620000*(1.497923^(MIN($E1041,123)-117)))*1,0))</f>
        <v>99680</v>
      </c>
      <c r="M1041" s="4">
        <f>$E1041+2</f>
        <v>111</v>
      </c>
      <c r="N1041" s="8">
        <f>IF($J1041=0,0,ROUND(MAX($J1041*1.4*1.5,2190000*(1.580994^(MIN($E1041,123)-117)))*1,0))</f>
        <v>149520</v>
      </c>
      <c r="O1041" s="6">
        <f>$E1041+4</f>
        <v>113</v>
      </c>
      <c r="P1041" s="7">
        <f>IF($J1041=0,0,ROUND(MAX($J1041*1.4*1.5*1.6,3500000*(1.57975^(MIN($E1041,123)-117)))*1,0))</f>
        <v>239232</v>
      </c>
      <c r="Q1041" s="4">
        <f>$E1041+6</f>
        <v>115</v>
      </c>
      <c r="R1041" s="8">
        <f>IF($J1041=0,0,ROUND(MAX($J1041*1.4*1.5*1.6*1.6,13100000*(1.429962^(MIN($E1041,123)-117)))*1,0))</f>
        <v>749334</v>
      </c>
      <c r="S1041" s="6">
        <f>$E1041+8</f>
        <v>117</v>
      </c>
      <c r="T1041" s="7">
        <f>IF($J1041=0,0,ROUND(MAX($J1041*1.4*1.5*1.6*1.6*2.2,42600000*(1.576904^(MIN($E1041,123)-117)))*1,0))</f>
        <v>1114211</v>
      </c>
      <c r="U1041" s="4">
        <f>$E1041+11</f>
        <v>120</v>
      </c>
      <c r="V1041" s="8">
        <f>IF($J1041=0,0,ROUND(MAX($J1041*1.4*1.5*1.6*1.6*2.2*2.715,354000000*(1.642074^(MIN($E1041,123)-117)))*1,0))</f>
        <v>6696710</v>
      </c>
      <c r="W1041" s="6">
        <f>$E1041+15</f>
        <v>124</v>
      </c>
      <c r="X1041" s="7">
        <f>IF($J1041=0,0,ROUND(MAX($J1041*1.4*1.5*1.6*1.6*2.2*2.715*2.6,3540000000*(1.579646^(MIN($E1041,123)-117)))*1,0))</f>
        <v>91311418</v>
      </c>
      <c r="Y1041" s="4">
        <f>$E1041+17</f>
        <v>126</v>
      </c>
      <c r="Z1041" s="8">
        <f>IF($J1041=0,0,ROUND(MAX($J1041*1.4*1.5*1.6*1.6*2.2*2.715*2.6*1.4,6020000000*(1.651178^(MIN($E1041,123)-117)))*1,0))</f>
        <v>108954543</v>
      </c>
      <c r="AA1041" s="6">
        <f>$E1041+19</f>
        <v>128</v>
      </c>
      <c r="AB1041" s="7">
        <f>IF($J1041=0,0,ROUND(MAX($J1041*1.4*1.5*1.6*1.6*2.2*2.715*2.6*1.4*1.4,8430000000*(1.651435^(MIN($E1041,123)-117)))*1,0))</f>
        <v>152382712</v>
      </c>
      <c r="AC1041" s="4">
        <f>$E1041+21</f>
        <v>130</v>
      </c>
      <c r="AD1041" s="8">
        <f>IF($J1041=0,0,ROUND(MAX($J1041*1.4*1.5*1.6*1.6*2.2*2.715*2.6*1.4*1.4*1.5,12600000000*(1.652953^(MIN($E1041,123)-117)))*1,0))</f>
        <v>226092682</v>
      </c>
      <c r="AE1041" s="6">
        <f>$E1041+24</f>
        <v>133</v>
      </c>
      <c r="AF1041" s="7">
        <f>IF($J1041=0,0,ROUND(MAX($J1041*1.4*1.5*1.6*1.6*2.2*2.715*2.6*1.4*1.4*1.5*1.5,18900000000*(1.65331^(MIN($E1041,123)-117)))*1,0))</f>
        <v>338553621</v>
      </c>
      <c r="AG1041" s="4">
        <f>$E1041+27</f>
        <v>136</v>
      </c>
      <c r="AH1041" s="8">
        <f>IF($J1041=0,0,ROUND(MAX($J1041*1.4*1.5*1.6*1.6*2.2*2.715*2.6*1.4*1.4*1.5*1.5*3.2,60500000000*(1.654288^(MIN($E1041,123)-117)))*1,0))</f>
        <v>1078614909</v>
      </c>
    </row>
    <row r="1042" ht="27.75" customHeight="1" spans="1:34" x14ac:dyDescent="0.25">
      <c r="A1042" s="3">
        <v>1052</v>
      </c>
      <c r="B1042" s="3" t="s">
        <v>820</v>
      </c>
      <c r="C1042" s="3" t="s">
        <v>768</v>
      </c>
      <c r="D1042" s="3" t="s">
        <v>45</v>
      </c>
      <c r="E1042" s="3">
        <v>109</v>
      </c>
      <c r="F1042" s="3" t="s">
        <v>71</v>
      </c>
      <c r="G1042" s="3" t="s">
        <v>38</v>
      </c>
      <c r="H1042" s="3">
        <v>25</v>
      </c>
      <c r="I1042" s="4">
        <v>109</v>
      </c>
      <c r="J1042" s="5">
        <v>105000</v>
      </c>
      <c r="K1042" s="6">
        <f>$E1042+1</f>
        <v>110</v>
      </c>
      <c r="L1042" s="7">
        <f>IF($J1042=0,0,ROUND(MAX($J1042*1.4,1620000*(1.497923^(MIN($E1042,123)-117)))*1,0))</f>
        <v>147000</v>
      </c>
      <c r="M1042" s="4">
        <f>$E1042+2</f>
        <v>111</v>
      </c>
      <c r="N1042" s="8">
        <f>IF($J1042=0,0,ROUND(MAX($J1042*1.4*1.5,2190000*(1.580994^(MIN($E1042,123)-117)))*1,0))</f>
        <v>220500</v>
      </c>
      <c r="O1042" s="6">
        <f>$E1042+4</f>
        <v>113</v>
      </c>
      <c r="P1042" s="7">
        <f>IF($J1042=0,0,ROUND(MAX($J1042*1.4*1.5*1.6,3500000*(1.57975^(MIN($E1042,123)-117)))*1,0))</f>
        <v>352800</v>
      </c>
      <c r="Q1042" s="4">
        <f>$E1042+6</f>
        <v>115</v>
      </c>
      <c r="R1042" s="8">
        <f>IF($J1042=0,0,ROUND(MAX($J1042*1.4*1.5*1.6*1.6,13100000*(1.429962^(MIN($E1042,123)-117)))*1,0))</f>
        <v>749334</v>
      </c>
      <c r="S1042" s="6">
        <f>$E1042+8</f>
        <v>117</v>
      </c>
      <c r="T1042" s="7">
        <f>IF($J1042=0,0,ROUND(MAX($J1042*1.4*1.5*1.6*1.6*2.2,42600000*(1.576904^(MIN($E1042,123)-117)))*1,0))</f>
        <v>1241856</v>
      </c>
      <c r="U1042" s="4">
        <f>$E1042+11</f>
        <v>120</v>
      </c>
      <c r="V1042" s="8">
        <f>IF($J1042=0,0,ROUND(MAX($J1042*1.4*1.5*1.6*1.6*2.2*2.715,354000000*(1.642074^(MIN($E1042,123)-117)))*1,0))</f>
        <v>6696710</v>
      </c>
      <c r="W1042" s="6">
        <f>$E1042+15</f>
        <v>124</v>
      </c>
      <c r="X1042" s="7">
        <f>IF($J1042=0,0,ROUND(MAX($J1042*1.4*1.5*1.6*1.6*2.2*2.715*2.6,3540000000*(1.579646^(MIN($E1042,123)-117)))*1,0))</f>
        <v>91311418</v>
      </c>
      <c r="Y1042" s="4">
        <f>$E1042+17</f>
        <v>126</v>
      </c>
      <c r="Z1042" s="8">
        <f>IF($J1042=0,0,ROUND(MAX($J1042*1.4*1.5*1.6*1.6*2.2*2.715*2.6*1.4,6020000000*(1.651178^(MIN($E1042,123)-117)))*1,0))</f>
        <v>108954543</v>
      </c>
      <c r="AA1042" s="6">
        <f>$E1042+19</f>
        <v>128</v>
      </c>
      <c r="AB1042" s="7">
        <f>IF($J1042=0,0,ROUND(MAX($J1042*1.4*1.5*1.6*1.6*2.2*2.715*2.6*1.4*1.4,8430000000*(1.651435^(MIN($E1042,123)-117)))*1,0))</f>
        <v>152382712</v>
      </c>
      <c r="AC1042" s="4">
        <f>$E1042+21</f>
        <v>130</v>
      </c>
      <c r="AD1042" s="8">
        <f>IF($J1042=0,0,ROUND(MAX($J1042*1.4*1.5*1.6*1.6*2.2*2.715*2.6*1.4*1.4*1.5,12600000000*(1.652953^(MIN($E1042,123)-117)))*1,0))</f>
        <v>226092682</v>
      </c>
      <c r="AE1042" s="6">
        <f>$E1042+24</f>
        <v>133</v>
      </c>
      <c r="AF1042" s="7">
        <f>IF($J1042=0,0,ROUND(MAX($J1042*1.4*1.5*1.6*1.6*2.2*2.715*2.6*1.4*1.4*1.5*1.5,18900000000*(1.65331^(MIN($E1042,123)-117)))*1,0))</f>
        <v>338553621</v>
      </c>
      <c r="AG1042" s="4">
        <f>$E1042+27</f>
        <v>136</v>
      </c>
      <c r="AH1042" s="8">
        <f>IF($J1042=0,0,ROUND(MAX($J1042*1.4*1.5*1.6*1.6*2.2*2.715*2.6*1.4*1.4*1.5*1.5*3.2,60500000000*(1.654288^(MIN($E1042,123)-117)))*1,0))</f>
        <v>1078614909</v>
      </c>
    </row>
    <row r="1043" ht="27.75" customHeight="1" spans="1:34" x14ac:dyDescent="0.25">
      <c r="A1043" s="3">
        <v>1053</v>
      </c>
      <c r="B1043" s="3" t="s">
        <v>821</v>
      </c>
      <c r="C1043" s="3" t="s">
        <v>768</v>
      </c>
      <c r="D1043" s="3" t="s">
        <v>45</v>
      </c>
      <c r="E1043" s="3">
        <v>109</v>
      </c>
      <c r="F1043" s="3" t="s">
        <v>56</v>
      </c>
      <c r="G1043" s="3" t="s">
        <v>769</v>
      </c>
      <c r="H1043" s="3">
        <v>25</v>
      </c>
      <c r="I1043" s="4">
        <v>109</v>
      </c>
      <c r="J1043" s="5">
        <v>106000</v>
      </c>
      <c r="K1043" s="6">
        <f>$E1043+1</f>
        <v>110</v>
      </c>
      <c r="L1043" s="7">
        <f>IF($J1043=0,0,ROUND(MAX($J1043*1.4,1620000*(1.497923^(MIN($E1043,123)-117)))*1,0))</f>
        <v>148400</v>
      </c>
      <c r="M1043" s="4">
        <f>$E1043+2</f>
        <v>111</v>
      </c>
      <c r="N1043" s="8">
        <f>IF($J1043=0,0,ROUND(MAX($J1043*1.4*1.5,2190000*(1.580994^(MIN($E1043,123)-117)))*1,0))</f>
        <v>222600</v>
      </c>
      <c r="O1043" s="6">
        <f>$E1043+4</f>
        <v>113</v>
      </c>
      <c r="P1043" s="7">
        <f>IF($J1043=0,0,ROUND(MAX($J1043*1.4*1.5*1.6,3500000*(1.57975^(MIN($E1043,123)-117)))*1,0))</f>
        <v>356160</v>
      </c>
      <c r="Q1043" s="4">
        <f>$E1043+6</f>
        <v>115</v>
      </c>
      <c r="R1043" s="8">
        <f>IF($J1043=0,0,ROUND(MAX($J1043*1.4*1.5*1.6*1.6,13100000*(1.429962^(MIN($E1043,123)-117)))*1,0))</f>
        <v>749334</v>
      </c>
      <c r="S1043" s="6">
        <f>$E1043+8</f>
        <v>117</v>
      </c>
      <c r="T1043" s="7">
        <f>IF($J1043=0,0,ROUND(MAX($J1043*1.4*1.5*1.6*1.6*2.2,42600000*(1.576904^(MIN($E1043,123)-117)))*1,0))</f>
        <v>1253683</v>
      </c>
      <c r="U1043" s="4">
        <f>$E1043+11</f>
        <v>120</v>
      </c>
      <c r="V1043" s="8">
        <f>IF($J1043=0,0,ROUND(MAX($J1043*1.4*1.5*1.6*1.6*2.2*2.715,354000000*(1.642074^(MIN($E1043,123)-117)))*1,0))</f>
        <v>6696710</v>
      </c>
      <c r="W1043" s="6">
        <f>$E1043+15</f>
        <v>124</v>
      </c>
      <c r="X1043" s="7">
        <f>IF($J1043=0,0,ROUND(MAX($J1043*1.4*1.5*1.6*1.6*2.2*2.715*2.6,3540000000*(1.579646^(MIN($E1043,123)-117)))*1,0))</f>
        <v>91311418</v>
      </c>
      <c r="Y1043" s="4">
        <f>$E1043+17</f>
        <v>126</v>
      </c>
      <c r="Z1043" s="8">
        <f>IF($J1043=0,0,ROUND(MAX($J1043*1.4*1.5*1.6*1.6*2.2*2.715*2.6*1.4,6020000000*(1.651178^(MIN($E1043,123)-117)))*1,0))</f>
        <v>108954543</v>
      </c>
      <c r="AA1043" s="6">
        <f>$E1043+19</f>
        <v>128</v>
      </c>
      <c r="AB1043" s="7">
        <f>IF($J1043=0,0,ROUND(MAX($J1043*1.4*1.5*1.6*1.6*2.2*2.715*2.6*1.4*1.4,8430000000*(1.651435^(MIN($E1043,123)-117)))*1,0))</f>
        <v>152382712</v>
      </c>
      <c r="AC1043" s="4">
        <f>$E1043+21</f>
        <v>130</v>
      </c>
      <c r="AD1043" s="8">
        <f>IF($J1043=0,0,ROUND(MAX($J1043*1.4*1.5*1.6*1.6*2.2*2.715*2.6*1.4*1.4*1.5,12600000000*(1.652953^(MIN($E1043,123)-117)))*1,0))</f>
        <v>226092682</v>
      </c>
      <c r="AE1043" s="6">
        <f>$E1043+24</f>
        <v>133</v>
      </c>
      <c r="AF1043" s="7">
        <f>IF($J1043=0,0,ROUND(MAX($J1043*1.4*1.5*1.6*1.6*2.2*2.715*2.6*1.4*1.4*1.5*1.5,18900000000*(1.65331^(MIN($E1043,123)-117)))*1,0))</f>
        <v>338553621</v>
      </c>
      <c r="AG1043" s="4">
        <f>$E1043+27</f>
        <v>136</v>
      </c>
      <c r="AH1043" s="8">
        <f>IF($J1043=0,0,ROUND(MAX($J1043*1.4*1.5*1.6*1.6*2.2*2.715*2.6*1.4*1.4*1.5*1.5*3.2,60500000000*(1.654288^(MIN($E1043,123)-117)))*1,0))</f>
        <v>1078614909</v>
      </c>
    </row>
    <row r="1044" ht="27.75" customHeight="1" spans="1:34" x14ac:dyDescent="0.25">
      <c r="A1044" s="3">
        <v>1054</v>
      </c>
      <c r="B1044" s="3" t="s">
        <v>822</v>
      </c>
      <c r="C1044" s="3" t="s">
        <v>768</v>
      </c>
      <c r="D1044" s="3" t="s">
        <v>33</v>
      </c>
      <c r="E1044" s="3">
        <v>109</v>
      </c>
      <c r="F1044" s="3" t="s">
        <v>65</v>
      </c>
      <c r="G1044" s="3" t="s">
        <v>769</v>
      </c>
      <c r="H1044" s="3">
        <v>25</v>
      </c>
      <c r="I1044" s="4">
        <v>109</v>
      </c>
      <c r="J1044" s="5">
        <v>98000</v>
      </c>
      <c r="K1044" s="6">
        <f>$E1044+1</f>
        <v>110</v>
      </c>
      <c r="L1044" s="7">
        <f>IF($J1044=0,0,ROUND(MAX($J1044*1.4,1620000*(1.497923^(MIN($E1044,123)-117)))*1,0))</f>
        <v>137200</v>
      </c>
      <c r="M1044" s="4">
        <f>$E1044+2</f>
        <v>111</v>
      </c>
      <c r="N1044" s="8">
        <f>IF($J1044=0,0,ROUND(MAX($J1044*1.4*1.5,2190000*(1.580994^(MIN($E1044,123)-117)))*1,0))</f>
        <v>205800</v>
      </c>
      <c r="O1044" s="6">
        <f>$E1044+4</f>
        <v>113</v>
      </c>
      <c r="P1044" s="7">
        <f>IF($J1044=0,0,ROUND(MAX($J1044*1.4*1.5*1.6,3500000*(1.57975^(MIN($E1044,123)-117)))*1,0))</f>
        <v>329280</v>
      </c>
      <c r="Q1044" s="4">
        <f>$E1044+6</f>
        <v>115</v>
      </c>
      <c r="R1044" s="8">
        <f>IF($J1044=0,0,ROUND(MAX($J1044*1.4*1.5*1.6*1.6,13100000*(1.429962^(MIN($E1044,123)-117)))*1,0))</f>
        <v>749334</v>
      </c>
      <c r="S1044" s="6">
        <f>$E1044+8</f>
        <v>117</v>
      </c>
      <c r="T1044" s="7">
        <f>IF($J1044=0,0,ROUND(MAX($J1044*1.4*1.5*1.6*1.6*2.2,42600000*(1.576904^(MIN($E1044,123)-117)))*1,0))</f>
        <v>1159066</v>
      </c>
      <c r="U1044" s="4">
        <f>$E1044+11</f>
        <v>120</v>
      </c>
      <c r="V1044" s="8">
        <f>IF($J1044=0,0,ROUND(MAX($J1044*1.4*1.5*1.6*1.6*2.2*2.715,354000000*(1.642074^(MIN($E1044,123)-117)))*1,0))</f>
        <v>6696710</v>
      </c>
      <c r="W1044" s="6">
        <f>$E1044+15</f>
        <v>124</v>
      </c>
      <c r="X1044" s="7">
        <f>IF($J1044=0,0,ROUND(MAX($J1044*1.4*1.5*1.6*1.6*2.2*2.715*2.6,3540000000*(1.579646^(MIN($E1044,123)-117)))*1,0))</f>
        <v>91311418</v>
      </c>
      <c r="Y1044" s="4">
        <f>$E1044+17</f>
        <v>126</v>
      </c>
      <c r="Z1044" s="8">
        <f>IF($J1044=0,0,ROUND(MAX($J1044*1.4*1.5*1.6*1.6*2.2*2.715*2.6*1.4,6020000000*(1.651178^(MIN($E1044,123)-117)))*1,0))</f>
        <v>108954543</v>
      </c>
      <c r="AA1044" s="6">
        <f>$E1044+19</f>
        <v>128</v>
      </c>
      <c r="AB1044" s="7">
        <f>IF($J1044=0,0,ROUND(MAX($J1044*1.4*1.5*1.6*1.6*2.2*2.715*2.6*1.4*1.4,8430000000*(1.651435^(MIN($E1044,123)-117)))*1,0))</f>
        <v>152382712</v>
      </c>
      <c r="AC1044" s="4">
        <f>$E1044+21</f>
        <v>130</v>
      </c>
      <c r="AD1044" s="8">
        <f>IF($J1044=0,0,ROUND(MAX($J1044*1.4*1.5*1.6*1.6*2.2*2.715*2.6*1.4*1.4*1.5,12600000000*(1.652953^(MIN($E1044,123)-117)))*1,0))</f>
        <v>226092682</v>
      </c>
      <c r="AE1044" s="6">
        <f>$E1044+24</f>
        <v>133</v>
      </c>
      <c r="AF1044" s="7">
        <f>IF($J1044=0,0,ROUND(MAX($J1044*1.4*1.5*1.6*1.6*2.2*2.715*2.6*1.4*1.4*1.5*1.5,18900000000*(1.65331^(MIN($E1044,123)-117)))*1,0))</f>
        <v>338553621</v>
      </c>
      <c r="AG1044" s="4">
        <f>$E1044+27</f>
        <v>136</v>
      </c>
      <c r="AH1044" s="8">
        <f>IF($J1044=0,0,ROUND(MAX($J1044*1.4*1.5*1.6*1.6*2.2*2.715*2.6*1.4*1.4*1.5*1.5*3.2,60500000000*(1.654288^(MIN($E1044,123)-117)))*1,0))</f>
        <v>1078614909</v>
      </c>
    </row>
    <row r="1045" ht="27.75" customHeight="1" spans="1:34" x14ac:dyDescent="0.25">
      <c r="A1045" s="3">
        <v>1055</v>
      </c>
      <c r="B1045" s="3" t="s">
        <v>823</v>
      </c>
      <c r="C1045" s="3" t="s">
        <v>768</v>
      </c>
      <c r="D1045" s="3" t="s">
        <v>90</v>
      </c>
      <c r="E1045" s="3">
        <v>109</v>
      </c>
      <c r="F1045" s="3" t="s">
        <v>56</v>
      </c>
      <c r="G1045" s="3" t="s">
        <v>185</v>
      </c>
      <c r="H1045" s="3">
        <v>24</v>
      </c>
      <c r="I1045" s="4">
        <v>109</v>
      </c>
      <c r="J1045" s="5">
        <v>67200</v>
      </c>
      <c r="K1045" s="6">
        <f>$E1045+1</f>
        <v>110</v>
      </c>
      <c r="L1045" s="7">
        <f>IF($J1045=0,0,ROUND(MAX($J1045*1.4,1620000*(1.497923^(MIN($E1045,123)-117)))*1,0))</f>
        <v>94080</v>
      </c>
      <c r="M1045" s="4">
        <f>$E1045+2</f>
        <v>111</v>
      </c>
      <c r="N1045" s="8">
        <f>IF($J1045=0,0,ROUND(MAX($J1045*1.4*1.5,2190000*(1.580994^(MIN($E1045,123)-117)))*1,0))</f>
        <v>141120</v>
      </c>
      <c r="O1045" s="6">
        <f>$E1045+4</f>
        <v>113</v>
      </c>
      <c r="P1045" s="7">
        <f>IF($J1045=0,0,ROUND(MAX($J1045*1.4*1.5*1.6,3500000*(1.57975^(MIN($E1045,123)-117)))*1,0))</f>
        <v>225792</v>
      </c>
      <c r="Q1045" s="4">
        <f>$E1045+6</f>
        <v>115</v>
      </c>
      <c r="R1045" s="8">
        <f>IF($J1045=0,0,ROUND(MAX($J1045*1.4*1.5*1.6*1.6,13100000*(1.429962^(MIN($E1045,123)-117)))*1,0))</f>
        <v>749334</v>
      </c>
      <c r="S1045" s="6">
        <f>$E1045+8</f>
        <v>117</v>
      </c>
      <c r="T1045" s="7">
        <f>IF($J1045=0,0,ROUND(MAX($J1045*1.4*1.5*1.6*1.6*2.2,42600000*(1.576904^(MIN($E1045,123)-117)))*1,0))</f>
        <v>1114211</v>
      </c>
      <c r="U1045" s="4">
        <f>$E1045+11</f>
        <v>120</v>
      </c>
      <c r="V1045" s="8">
        <f>IF($J1045=0,0,ROUND(MAX($J1045*1.4*1.5*1.6*1.6*2.2*2.715,354000000*(1.642074^(MIN($E1045,123)-117)))*1,0))</f>
        <v>6696710</v>
      </c>
      <c r="W1045" s="6">
        <f>$E1045+15</f>
        <v>124</v>
      </c>
      <c r="X1045" s="7">
        <f>IF($J1045=0,0,ROUND(MAX($J1045*1.4*1.5*1.6*1.6*2.2*2.715*2.6,3540000000*(1.579646^(MIN($E1045,123)-117)))*1,0))</f>
        <v>91311418</v>
      </c>
      <c r="Y1045" s="4">
        <f>$E1045+17</f>
        <v>126</v>
      </c>
      <c r="Z1045" s="8">
        <f>IF($J1045=0,0,ROUND(MAX($J1045*1.4*1.5*1.6*1.6*2.2*2.715*2.6*1.4,6020000000*(1.651178^(MIN($E1045,123)-117)))*1,0))</f>
        <v>108954543</v>
      </c>
      <c r="AA1045" s="6">
        <f>$E1045+19</f>
        <v>128</v>
      </c>
      <c r="AB1045" s="7">
        <f>IF($J1045=0,0,ROUND(MAX($J1045*1.4*1.5*1.6*1.6*2.2*2.715*2.6*1.4*1.4,8430000000*(1.651435^(MIN($E1045,123)-117)))*1,0))</f>
        <v>152382712</v>
      </c>
      <c r="AC1045" s="4">
        <f>$E1045+21</f>
        <v>130</v>
      </c>
      <c r="AD1045" s="8">
        <f>IF($J1045=0,0,ROUND(MAX($J1045*1.4*1.5*1.6*1.6*2.2*2.715*2.6*1.4*1.4*1.5,12600000000*(1.652953^(MIN($E1045,123)-117)))*1,0))</f>
        <v>226092682</v>
      </c>
      <c r="AE1045" s="6">
        <f>$E1045+24</f>
        <v>133</v>
      </c>
      <c r="AF1045" s="7">
        <f>IF($J1045=0,0,ROUND(MAX($J1045*1.4*1.5*1.6*1.6*2.2*2.715*2.6*1.4*1.4*1.5*1.5,18900000000*(1.65331^(MIN($E1045,123)-117)))*1,0))</f>
        <v>338553621</v>
      </c>
      <c r="AG1045" s="4">
        <f>$E1045+27</f>
        <v>136</v>
      </c>
      <c r="AH1045" s="8">
        <f>IF($J1045=0,0,ROUND(MAX($J1045*1.4*1.5*1.6*1.6*2.2*2.715*2.6*1.4*1.4*1.5*1.5*3.2,60500000000*(1.654288^(MIN($E1045,123)-117)))*1,0))</f>
        <v>1078614909</v>
      </c>
    </row>
    <row r="1046" ht="27.75" customHeight="1" spans="1:34" x14ac:dyDescent="0.25">
      <c r="A1046" s="3">
        <v>1056</v>
      </c>
      <c r="B1046" s="3" t="s">
        <v>824</v>
      </c>
      <c r="C1046" s="3" t="s">
        <v>768</v>
      </c>
      <c r="D1046" s="3" t="s">
        <v>75</v>
      </c>
      <c r="E1046" s="3">
        <v>109</v>
      </c>
      <c r="F1046" s="3" t="s">
        <v>71</v>
      </c>
      <c r="G1046" s="3" t="s">
        <v>319</v>
      </c>
      <c r="H1046" s="3">
        <v>24</v>
      </c>
      <c r="I1046" s="4">
        <v>109</v>
      </c>
      <c r="J1046" s="5">
        <v>50000</v>
      </c>
      <c r="K1046" s="6">
        <f>$E1046+1</f>
        <v>110</v>
      </c>
      <c r="L1046" s="7">
        <f>IF($J1046=0,0,ROUND(MAX($J1046*1.4,1620000*(1.497923^(MIN($E1046,123)-117)))*1,0))</f>
        <v>70000</v>
      </c>
      <c r="M1046" s="4">
        <f>$E1046+2</f>
        <v>111</v>
      </c>
      <c r="N1046" s="8">
        <f>IF($J1046=0,0,ROUND(MAX($J1046*1.4*1.5,2190000*(1.580994^(MIN($E1046,123)-117)))*1,0))</f>
        <v>105000</v>
      </c>
      <c r="O1046" s="6">
        <f>$E1046+4</f>
        <v>113</v>
      </c>
      <c r="P1046" s="7">
        <f>IF($J1046=0,0,ROUND(MAX($J1046*1.4*1.5*1.6,3500000*(1.57975^(MIN($E1046,123)-117)))*1,0))</f>
        <v>168000</v>
      </c>
      <c r="Q1046" s="4">
        <f>$E1046+6</f>
        <v>115</v>
      </c>
      <c r="R1046" s="8">
        <f>IF($J1046=0,0,ROUND(MAX($J1046*1.4*1.5*1.6*1.6,13100000*(1.429962^(MIN($E1046,123)-117)))*1,0))</f>
        <v>749334</v>
      </c>
      <c r="S1046" s="6">
        <f>$E1046+8</f>
        <v>117</v>
      </c>
      <c r="T1046" s="7">
        <f>IF($J1046=0,0,ROUND(MAX($J1046*1.4*1.5*1.6*1.6*2.2,42600000*(1.576904^(MIN($E1046,123)-117)))*1,0))</f>
        <v>1114211</v>
      </c>
      <c r="U1046" s="4">
        <f>$E1046+11</f>
        <v>120</v>
      </c>
      <c r="V1046" s="8">
        <f>IF($J1046=0,0,ROUND(MAX($J1046*1.4*1.5*1.6*1.6*2.2*2.715,354000000*(1.642074^(MIN($E1046,123)-117)))*1,0))</f>
        <v>6696710</v>
      </c>
      <c r="W1046" s="6">
        <f>$E1046+15</f>
        <v>124</v>
      </c>
      <c r="X1046" s="7">
        <f>IF($J1046=0,0,ROUND(MAX($J1046*1.4*1.5*1.6*1.6*2.2*2.715*2.6,3540000000*(1.579646^(MIN($E1046,123)-117)))*1,0))</f>
        <v>91311418</v>
      </c>
      <c r="Y1046" s="4">
        <f>$E1046+17</f>
        <v>126</v>
      </c>
      <c r="Z1046" s="8">
        <f>IF($J1046=0,0,ROUND(MAX($J1046*1.4*1.5*1.6*1.6*2.2*2.715*2.6*1.4,6020000000*(1.651178^(MIN($E1046,123)-117)))*1,0))</f>
        <v>108954543</v>
      </c>
      <c r="AA1046" s="6">
        <f>$E1046+19</f>
        <v>128</v>
      </c>
      <c r="AB1046" s="7">
        <f>IF($J1046=0,0,ROUND(MAX($J1046*1.4*1.5*1.6*1.6*2.2*2.715*2.6*1.4*1.4,8430000000*(1.651435^(MIN($E1046,123)-117)))*1,0))</f>
        <v>152382712</v>
      </c>
      <c r="AC1046" s="4">
        <f>$E1046+21</f>
        <v>130</v>
      </c>
      <c r="AD1046" s="8">
        <f>IF($J1046=0,0,ROUND(MAX($J1046*1.4*1.5*1.6*1.6*2.2*2.715*2.6*1.4*1.4*1.5,12600000000*(1.652953^(MIN($E1046,123)-117)))*1,0))</f>
        <v>226092682</v>
      </c>
      <c r="AE1046" s="6">
        <f>$E1046+24</f>
        <v>133</v>
      </c>
      <c r="AF1046" s="7">
        <f>IF($J1046=0,0,ROUND(MAX($J1046*1.4*1.5*1.6*1.6*2.2*2.715*2.6*1.4*1.4*1.5*1.5,18900000000*(1.65331^(MIN($E1046,123)-117)))*1,0))</f>
        <v>338553621</v>
      </c>
      <c r="AG1046" s="4">
        <f>$E1046+27</f>
        <v>136</v>
      </c>
      <c r="AH1046" s="8">
        <f>IF($J1046=0,0,ROUND(MAX($J1046*1.4*1.5*1.6*1.6*2.2*2.715*2.6*1.4*1.4*1.5*1.5*3.2,60500000000*(1.654288^(MIN($E1046,123)-117)))*1,0))</f>
        <v>1078614909</v>
      </c>
    </row>
    <row r="1047" ht="27.75" customHeight="1" spans="1:34" x14ac:dyDescent="0.25">
      <c r="A1047" s="3">
        <v>1057</v>
      </c>
      <c r="B1047" s="3" t="s">
        <v>825</v>
      </c>
      <c r="C1047" s="3" t="s">
        <v>768</v>
      </c>
      <c r="D1047" s="3" t="s">
        <v>40</v>
      </c>
      <c r="E1047" s="3">
        <v>109</v>
      </c>
      <c r="F1047" s="3" t="s">
        <v>71</v>
      </c>
      <c r="G1047" s="3" t="s">
        <v>362</v>
      </c>
      <c r="H1047" s="3">
        <v>24</v>
      </c>
      <c r="I1047" s="4">
        <v>109</v>
      </c>
      <c r="J1047" s="5">
        <v>101000</v>
      </c>
      <c r="K1047" s="6">
        <f>$E1047+1</f>
        <v>110</v>
      </c>
      <c r="L1047" s="7">
        <f>IF($J1047=0,0,ROUND(MAX($J1047*1.4,1620000*(1.497923^(MIN($E1047,123)-117)))*1,0))</f>
        <v>141400</v>
      </c>
      <c r="M1047" s="4">
        <f>$E1047+2</f>
        <v>111</v>
      </c>
      <c r="N1047" s="8">
        <f>IF($J1047=0,0,ROUND(MAX($J1047*1.4*1.5,2190000*(1.580994^(MIN($E1047,123)-117)))*1,0))</f>
        <v>212100</v>
      </c>
      <c r="O1047" s="6">
        <f>$E1047+4</f>
        <v>113</v>
      </c>
      <c r="P1047" s="7">
        <f>IF($J1047=0,0,ROUND(MAX($J1047*1.4*1.5*1.6,3500000*(1.57975^(MIN($E1047,123)-117)))*1,0))</f>
        <v>339360</v>
      </c>
      <c r="Q1047" s="4">
        <f>$E1047+6</f>
        <v>115</v>
      </c>
      <c r="R1047" s="8">
        <f>IF($J1047=0,0,ROUND(MAX($J1047*1.4*1.5*1.6*1.6,13100000*(1.429962^(MIN($E1047,123)-117)))*1,0))</f>
        <v>749334</v>
      </c>
      <c r="S1047" s="6">
        <f>$E1047+8</f>
        <v>117</v>
      </c>
      <c r="T1047" s="7">
        <f>IF($J1047=0,0,ROUND(MAX($J1047*1.4*1.5*1.6*1.6*2.2,42600000*(1.576904^(MIN($E1047,123)-117)))*1,0))</f>
        <v>1194547</v>
      </c>
      <c r="U1047" s="4">
        <f>$E1047+11</f>
        <v>120</v>
      </c>
      <c r="V1047" s="8">
        <f>IF($J1047=0,0,ROUND(MAX($J1047*1.4*1.5*1.6*1.6*2.2*2.715,354000000*(1.642074^(MIN($E1047,123)-117)))*1,0))</f>
        <v>6696710</v>
      </c>
      <c r="W1047" s="6">
        <f>$E1047+15</f>
        <v>124</v>
      </c>
      <c r="X1047" s="7">
        <f>IF($J1047=0,0,ROUND(MAX($J1047*1.4*1.5*1.6*1.6*2.2*2.715*2.6,3540000000*(1.579646^(MIN($E1047,123)-117)))*1,0))</f>
        <v>91311418</v>
      </c>
      <c r="Y1047" s="4">
        <f>$E1047+17</f>
        <v>126</v>
      </c>
      <c r="Z1047" s="8">
        <f>IF($J1047=0,0,ROUND(MAX($J1047*1.4*1.5*1.6*1.6*2.2*2.715*2.6*1.4,6020000000*(1.651178^(MIN($E1047,123)-117)))*1,0))</f>
        <v>108954543</v>
      </c>
      <c r="AA1047" s="6">
        <f>$E1047+19</f>
        <v>128</v>
      </c>
      <c r="AB1047" s="7">
        <f>IF($J1047=0,0,ROUND(MAX($J1047*1.4*1.5*1.6*1.6*2.2*2.715*2.6*1.4*1.4,8430000000*(1.651435^(MIN($E1047,123)-117)))*1,0))</f>
        <v>152382712</v>
      </c>
      <c r="AC1047" s="4">
        <f>$E1047+21</f>
        <v>130</v>
      </c>
      <c r="AD1047" s="8">
        <f>IF($J1047=0,0,ROUND(MAX($J1047*1.4*1.5*1.6*1.6*2.2*2.715*2.6*1.4*1.4*1.5,12600000000*(1.652953^(MIN($E1047,123)-117)))*1,0))</f>
        <v>226092682</v>
      </c>
      <c r="AE1047" s="6">
        <f>$E1047+24</f>
        <v>133</v>
      </c>
      <c r="AF1047" s="7">
        <f>IF($J1047=0,0,ROUND(MAX($J1047*1.4*1.5*1.6*1.6*2.2*2.715*2.6*1.4*1.4*1.5*1.5,18900000000*(1.65331^(MIN($E1047,123)-117)))*1,0))</f>
        <v>338553621</v>
      </c>
      <c r="AG1047" s="4">
        <f>$E1047+27</f>
        <v>136</v>
      </c>
      <c r="AH1047" s="8">
        <f>IF($J1047=0,0,ROUND(MAX($J1047*1.4*1.5*1.6*1.6*2.2*2.715*2.6*1.4*1.4*1.5*1.5*3.2,60500000000*(1.654288^(MIN($E1047,123)-117)))*1,0))</f>
        <v>1078614909</v>
      </c>
    </row>
    <row r="1048" ht="27.75" customHeight="1" spans="1:34" x14ac:dyDescent="0.25">
      <c r="A1048" s="3">
        <v>1058</v>
      </c>
      <c r="B1048" s="3" t="s">
        <v>826</v>
      </c>
      <c r="C1048" s="3" t="s">
        <v>768</v>
      </c>
      <c r="D1048" s="3" t="s">
        <v>47</v>
      </c>
      <c r="E1048" s="3">
        <v>109</v>
      </c>
      <c r="F1048" s="3" t="s">
        <v>34</v>
      </c>
      <c r="G1048" s="3" t="s">
        <v>801</v>
      </c>
      <c r="H1048" s="3">
        <v>22</v>
      </c>
      <c r="I1048" s="4">
        <v>109</v>
      </c>
      <c r="J1048" s="5">
        <v>54800</v>
      </c>
      <c r="K1048" s="6">
        <f>$E1048+1</f>
        <v>110</v>
      </c>
      <c r="L1048" s="7">
        <f>IF($J1048=0,0,ROUND(MAX($J1048*1.4,1620000*(1.497923^(MIN($E1048,123)-117)))*1,0))</f>
        <v>76720</v>
      </c>
      <c r="M1048" s="4">
        <f>$E1048+2</f>
        <v>111</v>
      </c>
      <c r="N1048" s="8">
        <f>IF($J1048=0,0,ROUND(MAX($J1048*1.4*1.5,2190000*(1.580994^(MIN($E1048,123)-117)))*1,0))</f>
        <v>115080</v>
      </c>
      <c r="O1048" s="6">
        <f>$E1048+4</f>
        <v>113</v>
      </c>
      <c r="P1048" s="7">
        <f>IF($J1048=0,0,ROUND(MAX($J1048*1.4*1.5*1.6,3500000*(1.57975^(MIN($E1048,123)-117)))*1,0))</f>
        <v>184128</v>
      </c>
      <c r="Q1048" s="4">
        <f>$E1048+6</f>
        <v>115</v>
      </c>
      <c r="R1048" s="8">
        <f>IF($J1048=0,0,ROUND(MAX($J1048*1.4*1.5*1.6*1.6,13100000*(1.429962^(MIN($E1048,123)-117)))*1,0))</f>
        <v>749334</v>
      </c>
      <c r="S1048" s="6">
        <f>$E1048+8</f>
        <v>117</v>
      </c>
      <c r="T1048" s="7">
        <f>IF($J1048=0,0,ROUND(MAX($J1048*1.4*1.5*1.6*1.6*2.2,42600000*(1.576904^(MIN($E1048,123)-117)))*1,0))</f>
        <v>1114211</v>
      </c>
      <c r="U1048" s="4">
        <f>$E1048+11</f>
        <v>120</v>
      </c>
      <c r="V1048" s="8">
        <f>IF($J1048=0,0,ROUND(MAX($J1048*1.4*1.5*1.6*1.6*2.2*2.715,354000000*(1.642074^(MIN($E1048,123)-117)))*1,0))</f>
        <v>6696710</v>
      </c>
      <c r="W1048" s="6">
        <f>$E1048+15</f>
        <v>124</v>
      </c>
      <c r="X1048" s="7">
        <f>IF($J1048=0,0,ROUND(MAX($J1048*1.4*1.5*1.6*1.6*2.2*2.715*2.6,3540000000*(1.579646^(MIN($E1048,123)-117)))*1,0))</f>
        <v>91311418</v>
      </c>
      <c r="Y1048" s="4">
        <f>$E1048+17</f>
        <v>126</v>
      </c>
      <c r="Z1048" s="8">
        <f>IF($J1048=0,0,ROUND(MAX($J1048*1.4*1.5*1.6*1.6*2.2*2.715*2.6*1.4,6020000000*(1.651178^(MIN($E1048,123)-117)))*1,0))</f>
        <v>108954543</v>
      </c>
      <c r="AA1048" s="6">
        <f>$E1048+19</f>
        <v>128</v>
      </c>
      <c r="AB1048" s="7">
        <f>IF($J1048=0,0,ROUND(MAX($J1048*1.4*1.5*1.6*1.6*2.2*2.715*2.6*1.4*1.4,8430000000*(1.651435^(MIN($E1048,123)-117)))*1,0))</f>
        <v>152382712</v>
      </c>
      <c r="AC1048" s="4">
        <f>$E1048+21</f>
        <v>130</v>
      </c>
      <c r="AD1048" s="8">
        <f>IF($J1048=0,0,ROUND(MAX($J1048*1.4*1.5*1.6*1.6*2.2*2.715*2.6*1.4*1.4*1.5,12600000000*(1.652953^(MIN($E1048,123)-117)))*1,0))</f>
        <v>226092682</v>
      </c>
      <c r="AE1048" s="6">
        <f>$E1048+24</f>
        <v>133</v>
      </c>
      <c r="AF1048" s="7">
        <f>IF($J1048=0,0,ROUND(MAX($J1048*1.4*1.5*1.6*1.6*2.2*2.715*2.6*1.4*1.4*1.5*1.5,18900000000*(1.65331^(MIN($E1048,123)-117)))*1,0))</f>
        <v>338553621</v>
      </c>
      <c r="AG1048" s="4">
        <f>$E1048+27</f>
        <v>136</v>
      </c>
      <c r="AH1048" s="8">
        <f>IF($J1048=0,0,ROUND(MAX($J1048*1.4*1.5*1.6*1.6*2.2*2.715*2.6*1.4*1.4*1.5*1.5*3.2,60500000000*(1.654288^(MIN($E1048,123)-117)))*1,0))</f>
        <v>1078614909</v>
      </c>
    </row>
    <row r="1049" ht="27.75" customHeight="1" spans="1:34" x14ac:dyDescent="0.25">
      <c r="A1049" s="3">
        <v>1059</v>
      </c>
      <c r="B1049" s="3" t="s">
        <v>827</v>
      </c>
      <c r="C1049" s="3" t="s">
        <v>768</v>
      </c>
      <c r="D1049" s="3" t="s">
        <v>40</v>
      </c>
      <c r="E1049" s="3">
        <v>108</v>
      </c>
      <c r="F1049" s="3" t="s">
        <v>179</v>
      </c>
      <c r="G1049" s="3" t="s">
        <v>828</v>
      </c>
      <c r="H1049" s="3">
        <v>25</v>
      </c>
      <c r="I1049" s="4">
        <v>108</v>
      </c>
      <c r="J1049" s="5">
        <v>65500</v>
      </c>
      <c r="K1049" s="6">
        <f>$E1049+1</f>
        <v>109</v>
      </c>
      <c r="L1049" s="7">
        <f>IF($J1049=0,0,ROUND(MAX($J1049*1.4,1620000*(1.497923^(MIN($E1049,123)-117)))*1,0))</f>
        <v>91700</v>
      </c>
      <c r="M1049" s="4">
        <f>$E1049+2</f>
        <v>110</v>
      </c>
      <c r="N1049" s="8">
        <f>IF($J1049=0,0,ROUND(MAX($J1049*1.4*1.5,2190000*(1.580994^(MIN($E1049,123)-117)))*1,0))</f>
        <v>137550</v>
      </c>
      <c r="O1049" s="6">
        <f>$E1049+4</f>
        <v>112</v>
      </c>
      <c r="P1049" s="7">
        <f>IF($J1049=0,0,ROUND(MAX($J1049*1.4*1.5*1.6,3500000*(1.57975^(MIN($E1049,123)-117)))*1,0))</f>
        <v>220080</v>
      </c>
      <c r="Q1049" s="4">
        <f>$E1049+6</f>
        <v>114</v>
      </c>
      <c r="R1049" s="8">
        <f>IF($J1049=0,0,ROUND(MAX($J1049*1.4*1.5*1.6*1.6,13100000*(1.429962^(MIN($E1049,123)-117)))*1,0))</f>
        <v>524024</v>
      </c>
      <c r="S1049" s="6">
        <f>$E1049+8</f>
        <v>116</v>
      </c>
      <c r="T1049" s="7">
        <f>IF($J1049=0,0,ROUND(MAX($J1049*1.4*1.5*1.6*1.6*2.2,42600000*(1.576904^(MIN($E1049,123)-117)))*1,0))</f>
        <v>774682</v>
      </c>
      <c r="U1049" s="4">
        <f>$E1049+11</f>
        <v>119</v>
      </c>
      <c r="V1049" s="8">
        <f>IF($J1049=0,0,ROUND(MAX($J1049*1.4*1.5*1.6*1.6*2.2*2.715,354000000*(1.642074^(MIN($E1049,123)-117)))*1,0))</f>
        <v>4078202</v>
      </c>
      <c r="W1049" s="6">
        <f>$E1049+15</f>
        <v>123</v>
      </c>
      <c r="X1049" s="7">
        <f>IF($J1049=0,0,ROUND(MAX($J1049*1.4*1.5*1.6*1.6*2.2*2.715*2.6,3540000000*(1.579646^(MIN($E1049,123)-117)))*1,0))</f>
        <v>57804988</v>
      </c>
      <c r="Y1049" s="4">
        <f>$E1049+17</f>
        <v>125</v>
      </c>
      <c r="Z1049" s="8">
        <f>IF($J1049=0,0,ROUND(MAX($J1049*1.4*1.5*1.6*1.6*2.2*2.715*2.6*1.4,6020000000*(1.651178^(MIN($E1049,123)-117)))*1,0))</f>
        <v>65985946</v>
      </c>
      <c r="AA1049" s="6">
        <f>$E1049+19</f>
        <v>127</v>
      </c>
      <c r="AB1049" s="7">
        <f>IF($J1049=0,0,ROUND(MAX($J1049*1.4*1.5*1.6*1.6*2.2*2.715*2.6*1.4*1.4,8430000000*(1.651435^(MIN($E1049,123)-117)))*1,0))</f>
        <v>92272909</v>
      </c>
      <c r="AC1049" s="4">
        <f>$E1049+21</f>
        <v>129</v>
      </c>
      <c r="AD1049" s="8">
        <f>IF($J1049=0,0,ROUND(MAX($J1049*1.4*1.5*1.6*1.6*2.2*2.715*2.6*1.4*1.4*1.5,12600000000*(1.652953^(MIN($E1049,123)-117)))*1,0))</f>
        <v>136781071</v>
      </c>
      <c r="AE1049" s="6">
        <f>$E1049+24</f>
        <v>132</v>
      </c>
      <c r="AF1049" s="7">
        <f>IF($J1049=0,0,ROUND(MAX($J1049*1.4*1.5*1.6*1.6*2.2*2.715*2.6*1.4*1.4*1.5*1.5,18900000000*(1.65331^(MIN($E1049,123)-117)))*1,0))</f>
        <v>204773225</v>
      </c>
      <c r="AG1049" s="4">
        <f>$E1049+27</f>
        <v>135</v>
      </c>
      <c r="AH1049" s="8">
        <f>IF($J1049=0,0,ROUND(MAX($J1049*1.4*1.5*1.6*1.6*2.2*2.715*2.6*1.4*1.4*1.5*1.5*3.2,60500000000*(1.654288^(MIN($E1049,123)-117)))*1,0))</f>
        <v>652011566</v>
      </c>
    </row>
    <row r="1050" ht="27.75" customHeight="1" spans="1:34" x14ac:dyDescent="0.25">
      <c r="A1050" s="3">
        <v>1060</v>
      </c>
      <c r="B1050" s="3" t="s">
        <v>251</v>
      </c>
      <c r="C1050" s="3" t="s">
        <v>829</v>
      </c>
      <c r="D1050" s="3" t="s">
        <v>40</v>
      </c>
      <c r="E1050" s="3">
        <v>117</v>
      </c>
      <c r="F1050" s="3" t="s">
        <v>59</v>
      </c>
      <c r="G1050" s="3" t="s">
        <v>252</v>
      </c>
      <c r="H1050" s="3">
        <v>31</v>
      </c>
      <c r="I1050" s="4">
        <v>117</v>
      </c>
      <c r="J1050" s="5">
        <v>3820000</v>
      </c>
      <c r="K1050" s="6">
        <f>$E1050+1</f>
        <v>118</v>
      </c>
      <c r="L1050" s="7">
        <f>IF($J1050=0,0,ROUND(MAX($J1050*1.4,1620000*(1.497923^(MIN($E1050,123)-117)))*1,0))</f>
        <v>5348000</v>
      </c>
      <c r="M1050" s="4">
        <f>$E1050+2</f>
        <v>119</v>
      </c>
      <c r="N1050" s="8">
        <f>IF($J1050=0,0,ROUND(MAX($J1050*1.4*1.5,2190000*(1.580994^(MIN($E1050,123)-117)))*1,0))</f>
        <v>8022000</v>
      </c>
      <c r="O1050" s="6">
        <f>$E1050+4</f>
        <v>121</v>
      </c>
      <c r="P1050" s="7">
        <f>IF($J1050=0,0,ROUND(MAX($J1050*1.4*1.5*1.6,3500000*(1.57975^(MIN($E1050,123)-117)))*1,0))</f>
        <v>12835200</v>
      </c>
      <c r="Q1050" s="4">
        <f>$E1050+6</f>
        <v>123</v>
      </c>
      <c r="R1050" s="8">
        <f>IF($J1050=0,0,ROUND(MAX($J1050*1.4*1.5*1.6*1.6,13100000*(1.429962^(MIN($E1050,123)-117)))*1,0))</f>
        <v>20536320</v>
      </c>
      <c r="S1050" s="6">
        <f>$E1050+8</f>
        <v>125</v>
      </c>
      <c r="T1050" s="7">
        <f>IF($J1050=0,0,ROUND(MAX($J1050*1.4*1.5*1.6*1.6*2.2,42600000*(1.576904^(MIN($E1050,123)-117)))*1,0))</f>
        <v>45179904</v>
      </c>
      <c r="U1050" s="4">
        <f>$E1050+11</f>
        <v>128</v>
      </c>
      <c r="V1050" s="8">
        <f>IF($J1050=0,0,ROUND(MAX($J1050*1.4*1.5*1.6*1.6*2.2*2.715,354000000*(1.642074^(MIN($E1050,123)-117)))*1,0))</f>
        <v>354000000</v>
      </c>
      <c r="W1050" s="6">
        <f>$E1050+15</f>
        <v>132</v>
      </c>
      <c r="X1050" s="7">
        <f>IF($J1050=0,0,ROUND(MAX($J1050*1.4*1.5*1.6*1.6*2.2*2.715*2.6,3540000000*(1.579646^(MIN($E1050,123)-117)))*1,0))</f>
        <v>3540000000</v>
      </c>
      <c r="Y1050" s="4">
        <f>$E1050+17</f>
        <v>134</v>
      </c>
      <c r="Z1050" s="8">
        <f>IF($J1050=0,0,ROUND(MAX($J1050*1.4*1.5*1.6*1.6*2.2*2.715*2.6*1.4,6020000000*(1.651178^(MIN($E1050,123)-117)))*1,0))</f>
        <v>6020000000</v>
      </c>
      <c r="AA1050" s="6">
        <f>$E1050+19</f>
        <v>136</v>
      </c>
      <c r="AB1050" s="7">
        <f>IF($J1050=0,0,ROUND(MAX($J1050*1.4*1.5*1.6*1.6*2.2*2.715*2.6*1.4*1.4,8430000000*(1.651435^(MIN($E1050,123)-117)))*1,0))</f>
        <v>8430000000</v>
      </c>
      <c r="AC1050" s="4">
        <f>$E1050+21</f>
        <v>138</v>
      </c>
      <c r="AD1050" s="8">
        <f>IF($J1050=0,0,ROUND(MAX($J1050*1.4*1.5*1.6*1.6*2.2*2.715*2.6*1.4*1.4*1.5,12600000000*(1.652953^(MIN($E1050,123)-117)))*1,0))</f>
        <v>12600000000</v>
      </c>
      <c r="AE1050" s="6">
        <f>$E1050+24</f>
        <v>141</v>
      </c>
      <c r="AF1050" s="7">
        <f>IF($J1050=0,0,ROUND(MAX($J1050*1.4*1.5*1.6*1.6*2.2*2.715*2.6*1.4*1.4*1.5*1.5,18900000000*(1.65331^(MIN($E1050,123)-117)))*1,0))</f>
        <v>18900000000</v>
      </c>
      <c r="AG1050" s="4">
        <f>$E1050+27</f>
        <v>144</v>
      </c>
      <c r="AH1050" s="8">
        <f>IF($J1050=0,0,ROUND(MAX($J1050*1.4*1.5*1.6*1.6*2.2*2.715*2.6*1.4*1.4*1.5*1.5*3.2,60500000000*(1.654288^(MIN($E1050,123)-117)))*1,0))</f>
        <v>60500000000</v>
      </c>
    </row>
    <row r="1051" ht="27.75" customHeight="1" spans="1:34" x14ac:dyDescent="0.25">
      <c r="A1051" s="3">
        <v>1061</v>
      </c>
      <c r="B1051" s="3" t="s">
        <v>271</v>
      </c>
      <c r="C1051" s="3" t="s">
        <v>829</v>
      </c>
      <c r="D1051" s="3" t="s">
        <v>40</v>
      </c>
      <c r="E1051" s="3">
        <v>117</v>
      </c>
      <c r="F1051" s="3" t="s">
        <v>258</v>
      </c>
      <c r="G1051" s="3" t="s">
        <v>270</v>
      </c>
      <c r="H1051" s="3">
        <v>30</v>
      </c>
      <c r="I1051" s="4">
        <v>117</v>
      </c>
      <c r="J1051" s="5">
        <v>949000</v>
      </c>
      <c r="K1051" s="6">
        <f>$E1051+1</f>
        <v>118</v>
      </c>
      <c r="L1051" s="7">
        <f>IF($J1051=0,0,ROUND(MAX($J1051*1.4,1620000*(1.497923^(MIN($E1051,123)-117)))*1,0))</f>
        <v>1620000</v>
      </c>
      <c r="M1051" s="4">
        <f>$E1051+2</f>
        <v>119</v>
      </c>
      <c r="N1051" s="8">
        <f>IF($J1051=0,0,ROUND(MAX($J1051*1.4*1.5,2190000*(1.580994^(MIN($E1051,123)-117)))*1,0))</f>
        <v>2190000</v>
      </c>
      <c r="O1051" s="6">
        <f>$E1051+4</f>
        <v>121</v>
      </c>
      <c r="P1051" s="7">
        <f>IF($J1051=0,0,ROUND(MAX($J1051*1.4*1.5*1.6,3500000*(1.57975^(MIN($E1051,123)-117)))*1,0))</f>
        <v>3500000</v>
      </c>
      <c r="Q1051" s="4">
        <f>$E1051+6</f>
        <v>123</v>
      </c>
      <c r="R1051" s="8">
        <f>IF($J1051=0,0,ROUND(MAX($J1051*1.4*1.5*1.6*1.6,13100000*(1.429962^(MIN($E1051,123)-117)))*1,0))</f>
        <v>13100000</v>
      </c>
      <c r="S1051" s="6">
        <f>$E1051+8</f>
        <v>125</v>
      </c>
      <c r="T1051" s="7">
        <f>IF($J1051=0,0,ROUND(MAX($J1051*1.4*1.5*1.6*1.6*2.2,42600000*(1.576904^(MIN($E1051,123)-117)))*1,0))</f>
        <v>42600000</v>
      </c>
      <c r="U1051" s="4">
        <f>$E1051+11</f>
        <v>128</v>
      </c>
      <c r="V1051" s="8">
        <f>IF($J1051=0,0,ROUND(MAX($J1051*1.4*1.5*1.6*1.6*2.2*2.715,354000000*(1.642074^(MIN($E1051,123)-117)))*1,0))</f>
        <v>354000000</v>
      </c>
      <c r="W1051" s="6">
        <f>$E1051+15</f>
        <v>132</v>
      </c>
      <c r="X1051" s="7">
        <f>IF($J1051=0,0,ROUND(MAX($J1051*1.4*1.5*1.6*1.6*2.2*2.715*2.6,3540000000*(1.579646^(MIN($E1051,123)-117)))*1,0))</f>
        <v>3540000000</v>
      </c>
      <c r="Y1051" s="4">
        <f>$E1051+17</f>
        <v>134</v>
      </c>
      <c r="Z1051" s="8">
        <f>IF($J1051=0,0,ROUND(MAX($J1051*1.4*1.5*1.6*1.6*2.2*2.715*2.6*1.4,6020000000*(1.651178^(MIN($E1051,123)-117)))*1,0))</f>
        <v>6020000000</v>
      </c>
      <c r="AA1051" s="6">
        <f>$E1051+19</f>
        <v>136</v>
      </c>
      <c r="AB1051" s="7">
        <f>IF($J1051=0,0,ROUND(MAX($J1051*1.4*1.5*1.6*1.6*2.2*2.715*2.6*1.4*1.4,8430000000*(1.651435^(MIN($E1051,123)-117)))*1,0))</f>
        <v>8430000000</v>
      </c>
      <c r="AC1051" s="4">
        <f>$E1051+21</f>
        <v>138</v>
      </c>
      <c r="AD1051" s="8">
        <f>IF($J1051=0,0,ROUND(MAX($J1051*1.4*1.5*1.6*1.6*2.2*2.715*2.6*1.4*1.4*1.5,12600000000*(1.652953^(MIN($E1051,123)-117)))*1,0))</f>
        <v>12600000000</v>
      </c>
      <c r="AE1051" s="6">
        <f>$E1051+24</f>
        <v>141</v>
      </c>
      <c r="AF1051" s="7">
        <f>IF($J1051=0,0,ROUND(MAX($J1051*1.4*1.5*1.6*1.6*2.2*2.715*2.6*1.4*1.4*1.5*1.5,18900000000*(1.65331^(MIN($E1051,123)-117)))*1,0))</f>
        <v>18900000000</v>
      </c>
      <c r="AG1051" s="4">
        <f>$E1051+27</f>
        <v>144</v>
      </c>
      <c r="AH1051" s="8">
        <f>IF($J1051=0,0,ROUND(MAX($J1051*1.4*1.5*1.6*1.6*2.2*2.715*2.6*1.4*1.4*1.5*1.5*3.2,60500000000*(1.654288^(MIN($E1051,123)-117)))*1,0))</f>
        <v>60500000000</v>
      </c>
    </row>
    <row r="1052" ht="27.75" customHeight="1" spans="1:34" x14ac:dyDescent="0.25">
      <c r="A1052" s="3">
        <v>1062</v>
      </c>
      <c r="B1052" s="3" t="s">
        <v>269</v>
      </c>
      <c r="C1052" s="3" t="s">
        <v>829</v>
      </c>
      <c r="D1052" s="3" t="s">
        <v>64</v>
      </c>
      <c r="E1052" s="3">
        <v>117</v>
      </c>
      <c r="F1052" s="3" t="s">
        <v>26</v>
      </c>
      <c r="G1052" s="3" t="s">
        <v>270</v>
      </c>
      <c r="H1052" s="3">
        <v>30</v>
      </c>
      <c r="I1052" s="4">
        <v>117</v>
      </c>
      <c r="J1052" s="5">
        <v>8290000</v>
      </c>
      <c r="K1052" s="6">
        <f>$E1052+1</f>
        <v>118</v>
      </c>
      <c r="L1052" s="7">
        <f>IF($J1052=0,0,ROUND(MAX($J1052*1.4,1620000*(1.497923^(MIN($E1052,123)-117)))*1,0))</f>
        <v>11606000</v>
      </c>
      <c r="M1052" s="4">
        <f>$E1052+2</f>
        <v>119</v>
      </c>
      <c r="N1052" s="8">
        <f>IF($J1052=0,0,ROUND(MAX($J1052*1.4*1.5,2190000*(1.580994^(MIN($E1052,123)-117)))*1,0))</f>
        <v>17409000</v>
      </c>
      <c r="O1052" s="6">
        <f>$E1052+4</f>
        <v>121</v>
      </c>
      <c r="P1052" s="7">
        <f>IF($J1052=0,0,ROUND(MAX($J1052*1.4*1.5*1.6,3500000*(1.57975^(MIN($E1052,123)-117)))*1,0))</f>
        <v>27854400</v>
      </c>
      <c r="Q1052" s="4">
        <f>$E1052+6</f>
        <v>123</v>
      </c>
      <c r="R1052" s="8">
        <f>IF($J1052=0,0,ROUND(MAX($J1052*1.4*1.5*1.6*1.6,13100000*(1.429962^(MIN($E1052,123)-117)))*1,0))</f>
        <v>44567040</v>
      </c>
      <c r="S1052" s="6">
        <f>$E1052+8</f>
        <v>125</v>
      </c>
      <c r="T1052" s="7">
        <f>IF($J1052=0,0,ROUND(MAX($J1052*1.4*1.5*1.6*1.6*2.2,42600000*(1.576904^(MIN($E1052,123)-117)))*1,0))</f>
        <v>98047488</v>
      </c>
      <c r="U1052" s="4">
        <f>$E1052+11</f>
        <v>128</v>
      </c>
      <c r="V1052" s="8">
        <f>IF($J1052=0,0,ROUND(MAX($J1052*1.4*1.5*1.6*1.6*2.2*2.715,354000000*(1.642074^(MIN($E1052,123)-117)))*1,0))</f>
        <v>354000000</v>
      </c>
      <c r="W1052" s="6">
        <f>$E1052+15</f>
        <v>132</v>
      </c>
      <c r="X1052" s="7">
        <f>IF($J1052=0,0,ROUND(MAX($J1052*1.4*1.5*1.6*1.6*2.2*2.715*2.6,3540000000*(1.579646^(MIN($E1052,123)-117)))*1,0))</f>
        <v>3540000000</v>
      </c>
      <c r="Y1052" s="4">
        <f>$E1052+17</f>
        <v>134</v>
      </c>
      <c r="Z1052" s="8">
        <f>IF($J1052=0,0,ROUND(MAX($J1052*1.4*1.5*1.6*1.6*2.2*2.715*2.6*1.4,6020000000*(1.651178^(MIN($E1052,123)-117)))*1,0))</f>
        <v>6020000000</v>
      </c>
      <c r="AA1052" s="6">
        <f>$E1052+19</f>
        <v>136</v>
      </c>
      <c r="AB1052" s="7">
        <f>IF($J1052=0,0,ROUND(MAX($J1052*1.4*1.5*1.6*1.6*2.2*2.715*2.6*1.4*1.4,8430000000*(1.651435^(MIN($E1052,123)-117)))*1,0))</f>
        <v>8430000000</v>
      </c>
      <c r="AC1052" s="4">
        <f>$E1052+21</f>
        <v>138</v>
      </c>
      <c r="AD1052" s="8">
        <f>IF($J1052=0,0,ROUND(MAX($J1052*1.4*1.5*1.6*1.6*2.2*2.715*2.6*1.4*1.4*1.5,12600000000*(1.652953^(MIN($E1052,123)-117)))*1,0))</f>
        <v>12600000000</v>
      </c>
      <c r="AE1052" s="6">
        <f>$E1052+24</f>
        <v>141</v>
      </c>
      <c r="AF1052" s="7">
        <f>IF($J1052=0,0,ROUND(MAX($J1052*1.4*1.5*1.6*1.6*2.2*2.715*2.6*1.4*1.4*1.5*1.5,18900000000*(1.65331^(MIN($E1052,123)-117)))*1,0))</f>
        <v>18900000000</v>
      </c>
      <c r="AG1052" s="4">
        <f>$E1052+27</f>
        <v>144</v>
      </c>
      <c r="AH1052" s="8">
        <f>IF($J1052=0,0,ROUND(MAX($J1052*1.4*1.5*1.6*1.6*2.2*2.715*2.6*1.4*1.4*1.5*1.5*3.2,60500000000*(1.654288^(MIN($E1052,123)-117)))*1,0))</f>
        <v>60500000000</v>
      </c>
    </row>
    <row r="1053" ht="27.75" customHeight="1" spans="1:34" x14ac:dyDescent="0.25">
      <c r="A1053" s="3">
        <v>1063</v>
      </c>
      <c r="B1053" s="3" t="s">
        <v>153</v>
      </c>
      <c r="C1053" s="3" t="s">
        <v>829</v>
      </c>
      <c r="D1053" s="3" t="s">
        <v>102</v>
      </c>
      <c r="E1053" s="3">
        <v>116</v>
      </c>
      <c r="F1053" s="3" t="s">
        <v>56</v>
      </c>
      <c r="G1053" s="3" t="s">
        <v>830</v>
      </c>
      <c r="H1053" s="3">
        <v>30</v>
      </c>
      <c r="I1053" s="4">
        <v>116</v>
      </c>
      <c r="J1053" s="5">
        <v>474000</v>
      </c>
      <c r="K1053" s="6">
        <f>$E1053+1</f>
        <v>117</v>
      </c>
      <c r="L1053" s="7">
        <f>IF($J1053=0,0,ROUND(MAX($J1053*1.4,1620000*(1.497923^(MIN($E1053,123)-117)))*1,0))</f>
        <v>1081498</v>
      </c>
      <c r="M1053" s="4">
        <f>$E1053+2</f>
        <v>118</v>
      </c>
      <c r="N1053" s="8">
        <f>IF($J1053=0,0,ROUND(MAX($J1053*1.4*1.5,2190000*(1.580994^(MIN($E1053,123)-117)))*1,0))</f>
        <v>1385204</v>
      </c>
      <c r="O1053" s="6">
        <f>$E1053+4</f>
        <v>120</v>
      </c>
      <c r="P1053" s="7">
        <f>IF($J1053=0,0,ROUND(MAX($J1053*1.4*1.5*1.6,3500000*(1.57975^(MIN($E1053,123)-117)))*1,0))</f>
        <v>2215540</v>
      </c>
      <c r="Q1053" s="4">
        <f>$E1053+6</f>
        <v>122</v>
      </c>
      <c r="R1053" s="8">
        <f>IF($J1053=0,0,ROUND(MAX($J1053*1.4*1.5*1.6*1.6,13100000*(1.429962^(MIN($E1053,123)-117)))*1,0))</f>
        <v>9161083</v>
      </c>
      <c r="S1053" s="6">
        <f>$E1053+8</f>
        <v>124</v>
      </c>
      <c r="T1053" s="7">
        <f>IF($J1053=0,0,ROUND(MAX($J1053*1.4*1.5*1.6*1.6*2.2,42600000*(1.576904^(MIN($E1053,123)-117)))*1,0))</f>
        <v>27014961</v>
      </c>
      <c r="U1053" s="4">
        <f>$E1053+11</f>
        <v>127</v>
      </c>
      <c r="V1053" s="8">
        <f>IF($J1053=0,0,ROUND(MAX($J1053*1.4*1.5*1.6*1.6*2.2*2.715,354000000*(1.642074^(MIN($E1053,123)-117)))*1,0))</f>
        <v>215581027</v>
      </c>
      <c r="W1053" s="6">
        <f>$E1053+15</f>
        <v>131</v>
      </c>
      <c r="X1053" s="7">
        <f>IF($J1053=0,0,ROUND(MAX($J1053*1.4*1.5*1.6*1.6*2.2*2.715*2.6,3540000000*(1.579646^(MIN($E1053,123)-117)))*1,0))</f>
        <v>2241008428</v>
      </c>
      <c r="Y1053" s="4">
        <f>$E1053+17</f>
        <v>133</v>
      </c>
      <c r="Z1053" s="8">
        <f>IF($J1053=0,0,ROUND(MAX($J1053*1.4*1.5*1.6*1.6*2.2*2.715*2.6*1.4,6020000000*(1.651178^(MIN($E1053,123)-117)))*1,0))</f>
        <v>3645881910</v>
      </c>
      <c r="AA1053" s="6">
        <f>$E1053+19</f>
        <v>135</v>
      </c>
      <c r="AB1053" s="7">
        <f>IF($J1053=0,0,ROUND(MAX($J1053*1.4*1.5*1.6*1.6*2.2*2.715*2.6*1.4*1.4,8430000000*(1.651435^(MIN($E1053,123)-117)))*1,0))</f>
        <v>5104651409</v>
      </c>
      <c r="AC1053" s="4">
        <f>$E1053+21</f>
        <v>137</v>
      </c>
      <c r="AD1053" s="8">
        <f>IF($J1053=0,0,ROUND(MAX($J1053*1.4*1.5*1.6*1.6*2.2*2.715*2.6*1.4*1.4*1.5,12600000000*(1.652953^(MIN($E1053,123)-117)))*1,0))</f>
        <v>7622721275</v>
      </c>
      <c r="AE1053" s="6">
        <f>$E1053+24</f>
        <v>140</v>
      </c>
      <c r="AF1053" s="7">
        <f>IF($J1053=0,0,ROUND(MAX($J1053*1.4*1.5*1.6*1.6*2.2*2.715*2.6*1.4*1.4*1.5*1.5,18900000000*(1.65331^(MIN($E1053,123)-117)))*1,0))</f>
        <v>11431612946</v>
      </c>
      <c r="AG1053" s="4">
        <f>$E1053+27</f>
        <v>143</v>
      </c>
      <c r="AH1053" s="8">
        <f>IF($J1053=0,0,ROUND(MAX($J1053*1.4*1.5*1.6*1.6*2.2*2.715*2.6*1.4*1.4*1.5*1.5*3.2,60500000000*(1.654288^(MIN($E1053,123)-117)))*1,0))</f>
        <v>36571624772</v>
      </c>
    </row>
    <row r="1054" ht="27.75" customHeight="1" spans="1:34" x14ac:dyDescent="0.25">
      <c r="A1054" s="3">
        <v>1064</v>
      </c>
      <c r="B1054" s="3" t="s">
        <v>53</v>
      </c>
      <c r="C1054" s="3" t="s">
        <v>829</v>
      </c>
      <c r="D1054" s="3" t="s">
        <v>25</v>
      </c>
      <c r="E1054" s="3">
        <v>116</v>
      </c>
      <c r="F1054" s="3" t="s">
        <v>54</v>
      </c>
      <c r="G1054" s="3" t="s">
        <v>830</v>
      </c>
      <c r="H1054" s="3">
        <v>30</v>
      </c>
      <c r="I1054" s="4">
        <v>116</v>
      </c>
      <c r="J1054" s="5">
        <v>6300000</v>
      </c>
      <c r="K1054" s="6">
        <f>$E1054+1</f>
        <v>117</v>
      </c>
      <c r="L1054" s="7">
        <f>IF($J1054=0,0,ROUND(MAX($J1054*1.4,1620000*(1.497923^(MIN($E1054,123)-117)))*1,0))</f>
        <v>8820000</v>
      </c>
      <c r="M1054" s="4">
        <f>$E1054+2</f>
        <v>118</v>
      </c>
      <c r="N1054" s="8">
        <f>IF($J1054=0,0,ROUND(MAX($J1054*1.4*1.5,2190000*(1.580994^(MIN($E1054,123)-117)))*1,0))</f>
        <v>13230000</v>
      </c>
      <c r="O1054" s="6">
        <f>$E1054+4</f>
        <v>120</v>
      </c>
      <c r="P1054" s="7">
        <f>IF($J1054=0,0,ROUND(MAX($J1054*1.4*1.5*1.6,3500000*(1.57975^(MIN($E1054,123)-117)))*1,0))</f>
        <v>21168000</v>
      </c>
      <c r="Q1054" s="4">
        <f>$E1054+6</f>
        <v>122</v>
      </c>
      <c r="R1054" s="8">
        <f>IF($J1054=0,0,ROUND(MAX($J1054*1.4*1.5*1.6*1.6,13100000*(1.429962^(MIN($E1054,123)-117)))*1,0))</f>
        <v>33868800</v>
      </c>
      <c r="S1054" s="6">
        <f>$E1054+8</f>
        <v>124</v>
      </c>
      <c r="T1054" s="7">
        <f>IF($J1054=0,0,ROUND(MAX($J1054*1.4*1.5*1.6*1.6*2.2,42600000*(1.576904^(MIN($E1054,123)-117)))*1,0))</f>
        <v>74511360</v>
      </c>
      <c r="U1054" s="4">
        <f>$E1054+11</f>
        <v>127</v>
      </c>
      <c r="V1054" s="8">
        <f>IF($J1054=0,0,ROUND(MAX($J1054*1.4*1.5*1.6*1.6*2.2*2.715,354000000*(1.642074^(MIN($E1054,123)-117)))*1,0))</f>
        <v>215581027</v>
      </c>
      <c r="W1054" s="6">
        <f>$E1054+15</f>
        <v>131</v>
      </c>
      <c r="X1054" s="7">
        <f>IF($J1054=0,0,ROUND(MAX($J1054*1.4*1.5*1.6*1.6*2.2*2.715*2.6,3540000000*(1.579646^(MIN($E1054,123)-117)))*1,0))</f>
        <v>2241008428</v>
      </c>
      <c r="Y1054" s="4">
        <f>$E1054+17</f>
        <v>133</v>
      </c>
      <c r="Z1054" s="8">
        <f>IF($J1054=0,0,ROUND(MAX($J1054*1.4*1.5*1.6*1.6*2.2*2.715*2.6*1.4,6020000000*(1.651178^(MIN($E1054,123)-117)))*1,0))</f>
        <v>3645881910</v>
      </c>
      <c r="AA1054" s="6">
        <f>$E1054+19</f>
        <v>135</v>
      </c>
      <c r="AB1054" s="7">
        <f>IF($J1054=0,0,ROUND(MAX($J1054*1.4*1.5*1.6*1.6*2.2*2.715*2.6*1.4*1.4,8430000000*(1.651435^(MIN($E1054,123)-117)))*1,0))</f>
        <v>5104651409</v>
      </c>
      <c r="AC1054" s="4">
        <f>$E1054+21</f>
        <v>137</v>
      </c>
      <c r="AD1054" s="8">
        <f>IF($J1054=0,0,ROUND(MAX($J1054*1.4*1.5*1.6*1.6*2.2*2.715*2.6*1.4*1.4*1.5,12600000000*(1.652953^(MIN($E1054,123)-117)))*1,0))</f>
        <v>7622721275</v>
      </c>
      <c r="AE1054" s="6">
        <f>$E1054+24</f>
        <v>140</v>
      </c>
      <c r="AF1054" s="7">
        <f>IF($J1054=0,0,ROUND(MAX($J1054*1.4*1.5*1.6*1.6*2.2*2.715*2.6*1.4*1.4*1.5*1.5,18900000000*(1.65331^(MIN($E1054,123)-117)))*1,0))</f>
        <v>11431612946</v>
      </c>
      <c r="AG1054" s="4">
        <f>$E1054+27</f>
        <v>143</v>
      </c>
      <c r="AH1054" s="8">
        <f>IF($J1054=0,0,ROUND(MAX($J1054*1.4*1.5*1.6*1.6*2.2*2.715*2.6*1.4*1.4*1.5*1.5*3.2,60500000000*(1.654288^(MIN($E1054,123)-117)))*1,0))</f>
        <v>36571624772</v>
      </c>
    </row>
    <row r="1055" ht="27.75" customHeight="1" spans="1:34" x14ac:dyDescent="0.25">
      <c r="A1055" s="3">
        <v>1065</v>
      </c>
      <c r="B1055" s="3" t="s">
        <v>283</v>
      </c>
      <c r="C1055" s="3" t="s">
        <v>829</v>
      </c>
      <c r="D1055" s="3" t="s">
        <v>33</v>
      </c>
      <c r="E1055" s="3">
        <v>116</v>
      </c>
      <c r="F1055" s="3" t="s">
        <v>42</v>
      </c>
      <c r="G1055" s="3" t="s">
        <v>133</v>
      </c>
      <c r="H1055" s="3">
        <v>29</v>
      </c>
      <c r="I1055" s="4">
        <v>116</v>
      </c>
      <c r="J1055" s="5">
        <v>529000</v>
      </c>
      <c r="K1055" s="6">
        <f>$E1055+1</f>
        <v>117</v>
      </c>
      <c r="L1055" s="7">
        <f>IF($J1055=0,0,ROUND(MAX($J1055*1.4,1620000*(1.497923^(MIN($E1055,123)-117)))*1,0))</f>
        <v>1081498</v>
      </c>
      <c r="M1055" s="4">
        <f>$E1055+2</f>
        <v>118</v>
      </c>
      <c r="N1055" s="8">
        <f>IF($J1055=0,0,ROUND(MAX($J1055*1.4*1.5,2190000*(1.580994^(MIN($E1055,123)-117)))*1,0))</f>
        <v>1385204</v>
      </c>
      <c r="O1055" s="6">
        <f>$E1055+4</f>
        <v>120</v>
      </c>
      <c r="P1055" s="7">
        <f>IF($J1055=0,0,ROUND(MAX($J1055*1.4*1.5*1.6,3500000*(1.57975^(MIN($E1055,123)-117)))*1,0))</f>
        <v>2215540</v>
      </c>
      <c r="Q1055" s="4">
        <f>$E1055+6</f>
        <v>122</v>
      </c>
      <c r="R1055" s="8">
        <f>IF($J1055=0,0,ROUND(MAX($J1055*1.4*1.5*1.6*1.6,13100000*(1.429962^(MIN($E1055,123)-117)))*1,0))</f>
        <v>9161083</v>
      </c>
      <c r="S1055" s="6">
        <f>$E1055+8</f>
        <v>124</v>
      </c>
      <c r="T1055" s="7">
        <f>IF($J1055=0,0,ROUND(MAX($J1055*1.4*1.5*1.6*1.6*2.2,42600000*(1.576904^(MIN($E1055,123)-117)))*1,0))</f>
        <v>27014961</v>
      </c>
      <c r="U1055" s="4">
        <f>$E1055+11</f>
        <v>127</v>
      </c>
      <c r="V1055" s="8">
        <f>IF($J1055=0,0,ROUND(MAX($J1055*1.4*1.5*1.6*1.6*2.2*2.715,354000000*(1.642074^(MIN($E1055,123)-117)))*1,0))</f>
        <v>215581027</v>
      </c>
      <c r="W1055" s="6">
        <f>$E1055+15</f>
        <v>131</v>
      </c>
      <c r="X1055" s="7">
        <f>IF($J1055=0,0,ROUND(MAX($J1055*1.4*1.5*1.6*1.6*2.2*2.715*2.6,3540000000*(1.579646^(MIN($E1055,123)-117)))*1,0))</f>
        <v>2241008428</v>
      </c>
      <c r="Y1055" s="4">
        <f>$E1055+17</f>
        <v>133</v>
      </c>
      <c r="Z1055" s="8">
        <f>IF($J1055=0,0,ROUND(MAX($J1055*1.4*1.5*1.6*1.6*2.2*2.715*2.6*1.4,6020000000*(1.651178^(MIN($E1055,123)-117)))*1,0))</f>
        <v>3645881910</v>
      </c>
      <c r="AA1055" s="6">
        <f>$E1055+19</f>
        <v>135</v>
      </c>
      <c r="AB1055" s="7">
        <f>IF($J1055=0,0,ROUND(MAX($J1055*1.4*1.5*1.6*1.6*2.2*2.715*2.6*1.4*1.4,8430000000*(1.651435^(MIN($E1055,123)-117)))*1,0))</f>
        <v>5104651409</v>
      </c>
      <c r="AC1055" s="4">
        <f>$E1055+21</f>
        <v>137</v>
      </c>
      <c r="AD1055" s="8">
        <f>IF($J1055=0,0,ROUND(MAX($J1055*1.4*1.5*1.6*1.6*2.2*2.715*2.6*1.4*1.4*1.5,12600000000*(1.652953^(MIN($E1055,123)-117)))*1,0))</f>
        <v>7622721275</v>
      </c>
      <c r="AE1055" s="6">
        <f>$E1055+24</f>
        <v>140</v>
      </c>
      <c r="AF1055" s="7">
        <f>IF($J1055=0,0,ROUND(MAX($J1055*1.4*1.5*1.6*1.6*2.2*2.715*2.6*1.4*1.4*1.5*1.5,18900000000*(1.65331^(MIN($E1055,123)-117)))*1,0))</f>
        <v>11431612946</v>
      </c>
      <c r="AG1055" s="4">
        <f>$E1055+27</f>
        <v>143</v>
      </c>
      <c r="AH1055" s="8">
        <f>IF($J1055=0,0,ROUND(MAX($J1055*1.4*1.5*1.6*1.6*2.2*2.715*2.6*1.4*1.4*1.5*1.5*3.2,60500000000*(1.654288^(MIN($E1055,123)-117)))*1,0))</f>
        <v>36571624772</v>
      </c>
    </row>
    <row r="1056" ht="27.75" customHeight="1" spans="1:34" x14ac:dyDescent="0.25">
      <c r="A1056" s="3">
        <v>1066</v>
      </c>
      <c r="B1056" s="3" t="s">
        <v>489</v>
      </c>
      <c r="C1056" s="3" t="s">
        <v>829</v>
      </c>
      <c r="D1056" s="3" t="s">
        <v>79</v>
      </c>
      <c r="E1056" s="3">
        <v>116</v>
      </c>
      <c r="F1056" s="3" t="s">
        <v>30</v>
      </c>
      <c r="G1056" s="3" t="s">
        <v>31</v>
      </c>
      <c r="H1056" s="3">
        <v>29</v>
      </c>
      <c r="I1056" s="4">
        <v>116</v>
      </c>
      <c r="J1056" s="5">
        <v>2470000</v>
      </c>
      <c r="K1056" s="6">
        <f>$E1056+1</f>
        <v>117</v>
      </c>
      <c r="L1056" s="7">
        <f>IF($J1056=0,0,ROUND(MAX($J1056*1.4,1620000*(1.497923^(MIN($E1056,123)-117)))*1,0))</f>
        <v>3458000</v>
      </c>
      <c r="M1056" s="4">
        <f>$E1056+2</f>
        <v>118</v>
      </c>
      <c r="N1056" s="8">
        <f>IF($J1056=0,0,ROUND(MAX($J1056*1.4*1.5,2190000*(1.580994^(MIN($E1056,123)-117)))*1,0))</f>
        <v>5187000</v>
      </c>
      <c r="O1056" s="6">
        <f>$E1056+4</f>
        <v>120</v>
      </c>
      <c r="P1056" s="7">
        <f>IF($J1056=0,0,ROUND(MAX($J1056*1.4*1.5*1.6,3500000*(1.57975^(MIN($E1056,123)-117)))*1,0))</f>
        <v>8299200</v>
      </c>
      <c r="Q1056" s="4">
        <f>$E1056+6</f>
        <v>122</v>
      </c>
      <c r="R1056" s="8">
        <f>IF($J1056=0,0,ROUND(MAX($J1056*1.4*1.5*1.6*1.6,13100000*(1.429962^(MIN($E1056,123)-117)))*1,0))</f>
        <v>13278720</v>
      </c>
      <c r="S1056" s="6">
        <f>$E1056+8</f>
        <v>124</v>
      </c>
      <c r="T1056" s="7">
        <f>IF($J1056=0,0,ROUND(MAX($J1056*1.4*1.5*1.6*1.6*2.2,42600000*(1.576904^(MIN($E1056,123)-117)))*1,0))</f>
        <v>29213184</v>
      </c>
      <c r="U1056" s="4">
        <f>$E1056+11</f>
        <v>127</v>
      </c>
      <c r="V1056" s="8">
        <f>IF($J1056=0,0,ROUND(MAX($J1056*1.4*1.5*1.6*1.6*2.2*2.715,354000000*(1.642074^(MIN($E1056,123)-117)))*1,0))</f>
        <v>215581027</v>
      </c>
      <c r="W1056" s="6">
        <f>$E1056+15</f>
        <v>131</v>
      </c>
      <c r="X1056" s="7">
        <f>IF($J1056=0,0,ROUND(MAX($J1056*1.4*1.5*1.6*1.6*2.2*2.715*2.6,3540000000*(1.579646^(MIN($E1056,123)-117)))*1,0))</f>
        <v>2241008428</v>
      </c>
      <c r="Y1056" s="4">
        <f>$E1056+17</f>
        <v>133</v>
      </c>
      <c r="Z1056" s="8">
        <f>IF($J1056=0,0,ROUND(MAX($J1056*1.4*1.5*1.6*1.6*2.2*2.715*2.6*1.4,6020000000*(1.651178^(MIN($E1056,123)-117)))*1,0))</f>
        <v>3645881910</v>
      </c>
      <c r="AA1056" s="6">
        <f>$E1056+19</f>
        <v>135</v>
      </c>
      <c r="AB1056" s="7">
        <f>IF($J1056=0,0,ROUND(MAX($J1056*1.4*1.5*1.6*1.6*2.2*2.715*2.6*1.4*1.4,8430000000*(1.651435^(MIN($E1056,123)-117)))*1,0))</f>
        <v>5104651409</v>
      </c>
      <c r="AC1056" s="4">
        <f>$E1056+21</f>
        <v>137</v>
      </c>
      <c r="AD1056" s="8">
        <f>IF($J1056=0,0,ROUND(MAX($J1056*1.4*1.5*1.6*1.6*2.2*2.715*2.6*1.4*1.4*1.5,12600000000*(1.652953^(MIN($E1056,123)-117)))*1,0))</f>
        <v>7622721275</v>
      </c>
      <c r="AE1056" s="6">
        <f>$E1056+24</f>
        <v>140</v>
      </c>
      <c r="AF1056" s="7">
        <f>IF($J1056=0,0,ROUND(MAX($J1056*1.4*1.5*1.6*1.6*2.2*2.715*2.6*1.4*1.4*1.5*1.5,18900000000*(1.65331^(MIN($E1056,123)-117)))*1,0))</f>
        <v>11431612946</v>
      </c>
      <c r="AG1056" s="4">
        <f>$E1056+27</f>
        <v>143</v>
      </c>
      <c r="AH1056" s="8">
        <f>IF($J1056=0,0,ROUND(MAX($J1056*1.4*1.5*1.6*1.6*2.2*2.715*2.6*1.4*1.4*1.5*1.5*3.2,60500000000*(1.654288^(MIN($E1056,123)-117)))*1,0))</f>
        <v>36571624772</v>
      </c>
    </row>
    <row r="1057" ht="27.75" customHeight="1" spans="1:34" x14ac:dyDescent="0.25">
      <c r="A1057" s="3">
        <v>1067</v>
      </c>
      <c r="B1057" s="3" t="s">
        <v>118</v>
      </c>
      <c r="C1057" s="3" t="s">
        <v>829</v>
      </c>
      <c r="D1057" s="3" t="s">
        <v>40</v>
      </c>
      <c r="E1057" s="3">
        <v>116</v>
      </c>
      <c r="F1057" s="3" t="s">
        <v>56</v>
      </c>
      <c r="G1057" s="3" t="s">
        <v>830</v>
      </c>
      <c r="H1057" s="3">
        <v>29</v>
      </c>
      <c r="I1057" s="4">
        <v>116</v>
      </c>
      <c r="J1057" s="5">
        <v>400000</v>
      </c>
      <c r="K1057" s="6">
        <f>$E1057+1</f>
        <v>117</v>
      </c>
      <c r="L1057" s="7">
        <f>IF($J1057=0,0,ROUND(MAX($J1057*1.4,1620000*(1.497923^(MIN($E1057,123)-117)))*1,0))</f>
        <v>1081498</v>
      </c>
      <c r="M1057" s="4">
        <f>$E1057+2</f>
        <v>118</v>
      </c>
      <c r="N1057" s="8">
        <f>IF($J1057=0,0,ROUND(MAX($J1057*1.4*1.5,2190000*(1.580994^(MIN($E1057,123)-117)))*1,0))</f>
        <v>1385204</v>
      </c>
      <c r="O1057" s="6">
        <f>$E1057+4</f>
        <v>120</v>
      </c>
      <c r="P1057" s="7">
        <f>IF($J1057=0,0,ROUND(MAX($J1057*1.4*1.5*1.6,3500000*(1.57975^(MIN($E1057,123)-117)))*1,0))</f>
        <v>2215540</v>
      </c>
      <c r="Q1057" s="4">
        <f>$E1057+6</f>
        <v>122</v>
      </c>
      <c r="R1057" s="8">
        <f>IF($J1057=0,0,ROUND(MAX($J1057*1.4*1.5*1.6*1.6,13100000*(1.429962^(MIN($E1057,123)-117)))*1,0))</f>
        <v>9161083</v>
      </c>
      <c r="S1057" s="6">
        <f>$E1057+8</f>
        <v>124</v>
      </c>
      <c r="T1057" s="7">
        <f>IF($J1057=0,0,ROUND(MAX($J1057*1.4*1.5*1.6*1.6*2.2,42600000*(1.576904^(MIN($E1057,123)-117)))*1,0))</f>
        <v>27014961</v>
      </c>
      <c r="U1057" s="4">
        <f>$E1057+11</f>
        <v>127</v>
      </c>
      <c r="V1057" s="8">
        <f>IF($J1057=0,0,ROUND(MAX($J1057*1.4*1.5*1.6*1.6*2.2*2.715,354000000*(1.642074^(MIN($E1057,123)-117)))*1,0))</f>
        <v>215581027</v>
      </c>
      <c r="W1057" s="6">
        <f>$E1057+15</f>
        <v>131</v>
      </c>
      <c r="X1057" s="7">
        <f>IF($J1057=0,0,ROUND(MAX($J1057*1.4*1.5*1.6*1.6*2.2*2.715*2.6,3540000000*(1.579646^(MIN($E1057,123)-117)))*1,0))</f>
        <v>2241008428</v>
      </c>
      <c r="Y1057" s="4">
        <f>$E1057+17</f>
        <v>133</v>
      </c>
      <c r="Z1057" s="8">
        <f>IF($J1057=0,0,ROUND(MAX($J1057*1.4*1.5*1.6*1.6*2.2*2.715*2.6*1.4,6020000000*(1.651178^(MIN($E1057,123)-117)))*1,0))</f>
        <v>3645881910</v>
      </c>
      <c r="AA1057" s="6">
        <f>$E1057+19</f>
        <v>135</v>
      </c>
      <c r="AB1057" s="7">
        <f>IF($J1057=0,0,ROUND(MAX($J1057*1.4*1.5*1.6*1.6*2.2*2.715*2.6*1.4*1.4,8430000000*(1.651435^(MIN($E1057,123)-117)))*1,0))</f>
        <v>5104651409</v>
      </c>
      <c r="AC1057" s="4">
        <f>$E1057+21</f>
        <v>137</v>
      </c>
      <c r="AD1057" s="8">
        <f>IF($J1057=0,0,ROUND(MAX($J1057*1.4*1.5*1.6*1.6*2.2*2.715*2.6*1.4*1.4*1.5,12600000000*(1.652953^(MIN($E1057,123)-117)))*1,0))</f>
        <v>7622721275</v>
      </c>
      <c r="AE1057" s="6">
        <f>$E1057+24</f>
        <v>140</v>
      </c>
      <c r="AF1057" s="7">
        <f>IF($J1057=0,0,ROUND(MAX($J1057*1.4*1.5*1.6*1.6*2.2*2.715*2.6*1.4*1.4*1.5*1.5,18900000000*(1.65331^(MIN($E1057,123)-117)))*1,0))</f>
        <v>11431612946</v>
      </c>
      <c r="AG1057" s="4">
        <f>$E1057+27</f>
        <v>143</v>
      </c>
      <c r="AH1057" s="8">
        <f>IF($J1057=0,0,ROUND(MAX($J1057*1.4*1.5*1.6*1.6*2.2*2.715*2.6*1.4*1.4*1.5*1.5*3.2,60500000000*(1.654288^(MIN($E1057,123)-117)))*1,0))</f>
        <v>36571624772</v>
      </c>
    </row>
    <row r="1058" ht="27.75" customHeight="1" spans="1:34" x14ac:dyDescent="0.25">
      <c r="A1058" s="3">
        <v>1068</v>
      </c>
      <c r="B1058" s="3" t="s">
        <v>772</v>
      </c>
      <c r="C1058" s="3" t="s">
        <v>829</v>
      </c>
      <c r="D1058" s="3" t="s">
        <v>64</v>
      </c>
      <c r="E1058" s="3">
        <v>115</v>
      </c>
      <c r="F1058" s="3" t="s">
        <v>773</v>
      </c>
      <c r="G1058" s="3" t="s">
        <v>133</v>
      </c>
      <c r="H1058" s="3">
        <v>29</v>
      </c>
      <c r="I1058" s="4">
        <v>115</v>
      </c>
      <c r="J1058" s="5">
        <v>365000</v>
      </c>
      <c r="K1058" s="6">
        <f>$E1058+1</f>
        <v>116</v>
      </c>
      <c r="L1058" s="7">
        <f>IF($J1058=0,0,ROUND(MAX($J1058*1.4,1620000*(1.497923^(MIN($E1058,123)-117)))*1,0))</f>
        <v>721998</v>
      </c>
      <c r="M1058" s="4">
        <f>$E1058+2</f>
        <v>117</v>
      </c>
      <c r="N1058" s="8">
        <f>IF($J1058=0,0,ROUND(MAX($J1058*1.4*1.5,2190000*(1.580994^(MIN($E1058,123)-117)))*1,0))</f>
        <v>876161</v>
      </c>
      <c r="O1058" s="6">
        <f>$E1058+4</f>
        <v>119</v>
      </c>
      <c r="P1058" s="7">
        <f>IF($J1058=0,0,ROUND(MAX($J1058*1.4*1.5*1.6,3500000*(1.57975^(MIN($E1058,123)-117)))*1,0))</f>
        <v>1402463</v>
      </c>
      <c r="Q1058" s="4">
        <f>$E1058+6</f>
        <v>121</v>
      </c>
      <c r="R1058" s="8">
        <f>IF($J1058=0,0,ROUND(MAX($J1058*1.4*1.5*1.6*1.6,13100000*(1.429962^(MIN($E1058,123)-117)))*1,0))</f>
        <v>6406522</v>
      </c>
      <c r="S1058" s="6">
        <f>$E1058+8</f>
        <v>123</v>
      </c>
      <c r="T1058" s="7">
        <f>IF($J1058=0,0,ROUND(MAX($J1058*1.4*1.5*1.6*1.6*2.2,42600000*(1.576904^(MIN($E1058,123)-117)))*1,0))</f>
        <v>17131646</v>
      </c>
      <c r="U1058" s="4">
        <f>$E1058+11</f>
        <v>126</v>
      </c>
      <c r="V1058" s="8">
        <f>IF($J1058=0,0,ROUND(MAX($J1058*1.4*1.5*1.6*1.6*2.2*2.715,354000000*(1.642074^(MIN($E1058,123)-117)))*1,0))</f>
        <v>131285817</v>
      </c>
      <c r="W1058" s="6">
        <f>$E1058+15</f>
        <v>130</v>
      </c>
      <c r="X1058" s="7">
        <f>IF($J1058=0,0,ROUND(MAX($J1058*1.4*1.5*1.6*1.6*2.2*2.715*2.6,3540000000*(1.579646^(MIN($E1058,123)-117)))*1,0))</f>
        <v>1418677620</v>
      </c>
      <c r="Y1058" s="4">
        <f>$E1058+17</f>
        <v>132</v>
      </c>
      <c r="Z1058" s="8">
        <f>IF($J1058=0,0,ROUND(MAX($J1058*1.4*1.5*1.6*1.6*2.2*2.715*2.6*1.4,6020000000*(1.651178^(MIN($E1058,123)-117)))*1,0))</f>
        <v>2208048987</v>
      </c>
      <c r="AA1058" s="6">
        <f>$E1058+19</f>
        <v>134</v>
      </c>
      <c r="AB1058" s="7">
        <f>IF($J1058=0,0,ROUND(MAX($J1058*1.4*1.5*1.6*1.6*2.2*2.715*2.6*1.4*1.4,8430000000*(1.651435^(MIN($E1058,123)-117)))*1,0))</f>
        <v>3091039859</v>
      </c>
      <c r="AC1058" s="4">
        <f>$E1058+21</f>
        <v>136</v>
      </c>
      <c r="AD1058" s="8">
        <f>IF($J1058=0,0,ROUND(MAX($J1058*1.4*1.5*1.6*1.6*2.2*2.715*2.6*1.4*1.4*1.5,12600000000*(1.652953^(MIN($E1058,123)-117)))*1,0))</f>
        <v>4611577749</v>
      </c>
      <c r="AE1058" s="6">
        <f>$E1058+24</f>
        <v>139</v>
      </c>
      <c r="AF1058" s="7">
        <f>IF($J1058=0,0,ROUND(MAX($J1058*1.4*1.5*1.6*1.6*2.2*2.715*2.6*1.4*1.4*1.5*1.5,18900000000*(1.65331^(MIN($E1058,123)-117)))*1,0))</f>
        <v>6914379606</v>
      </c>
      <c r="AG1058" s="4">
        <f>$E1058+27</f>
        <v>142</v>
      </c>
      <c r="AH1058" s="8">
        <f>IF($J1058=0,0,ROUND(MAX($J1058*1.4*1.5*1.6*1.6*2.2*2.715*2.6*1.4*1.4*1.5*1.5*3.2,60500000000*(1.654288^(MIN($E1058,123)-117)))*1,0))</f>
        <v>22107169230</v>
      </c>
    </row>
    <row r="1059" ht="27.75" customHeight="1" spans="1:34" x14ac:dyDescent="0.25">
      <c r="A1059" s="3">
        <v>1069</v>
      </c>
      <c r="B1059" s="3" t="s">
        <v>164</v>
      </c>
      <c r="C1059" s="3" t="s">
        <v>829</v>
      </c>
      <c r="D1059" s="3" t="s">
        <v>64</v>
      </c>
      <c r="E1059" s="3">
        <v>115</v>
      </c>
      <c r="F1059" s="3" t="s">
        <v>132</v>
      </c>
      <c r="G1059" s="3" t="s">
        <v>830</v>
      </c>
      <c r="H1059" s="3">
        <v>29</v>
      </c>
      <c r="I1059" s="4">
        <v>115</v>
      </c>
      <c r="J1059" s="5">
        <v>356000</v>
      </c>
      <c r="K1059" s="6">
        <f>$E1059+1</f>
        <v>116</v>
      </c>
      <c r="L1059" s="7">
        <f>IF($J1059=0,0,ROUND(MAX($J1059*1.4,1620000*(1.497923^(MIN($E1059,123)-117)))*1,0))</f>
        <v>721998</v>
      </c>
      <c r="M1059" s="4">
        <f>$E1059+2</f>
        <v>117</v>
      </c>
      <c r="N1059" s="8">
        <f>IF($J1059=0,0,ROUND(MAX($J1059*1.4*1.5,2190000*(1.580994^(MIN($E1059,123)-117)))*1,0))</f>
        <v>876161</v>
      </c>
      <c r="O1059" s="6">
        <f>$E1059+4</f>
        <v>119</v>
      </c>
      <c r="P1059" s="7">
        <f>IF($J1059=0,0,ROUND(MAX($J1059*1.4*1.5*1.6,3500000*(1.57975^(MIN($E1059,123)-117)))*1,0))</f>
        <v>1402463</v>
      </c>
      <c r="Q1059" s="4">
        <f>$E1059+6</f>
        <v>121</v>
      </c>
      <c r="R1059" s="8">
        <f>IF($J1059=0,0,ROUND(MAX($J1059*1.4*1.5*1.6*1.6,13100000*(1.429962^(MIN($E1059,123)-117)))*1,0))</f>
        <v>6406522</v>
      </c>
      <c r="S1059" s="6">
        <f>$E1059+8</f>
        <v>123</v>
      </c>
      <c r="T1059" s="7">
        <f>IF($J1059=0,0,ROUND(MAX($J1059*1.4*1.5*1.6*1.6*2.2,42600000*(1.576904^(MIN($E1059,123)-117)))*1,0))</f>
        <v>17131646</v>
      </c>
      <c r="U1059" s="4">
        <f>$E1059+11</f>
        <v>126</v>
      </c>
      <c r="V1059" s="8">
        <f>IF($J1059=0,0,ROUND(MAX($J1059*1.4*1.5*1.6*1.6*2.2*2.715,354000000*(1.642074^(MIN($E1059,123)-117)))*1,0))</f>
        <v>131285817</v>
      </c>
      <c r="W1059" s="6">
        <f>$E1059+15</f>
        <v>130</v>
      </c>
      <c r="X1059" s="7">
        <f>IF($J1059=0,0,ROUND(MAX($J1059*1.4*1.5*1.6*1.6*2.2*2.715*2.6,3540000000*(1.579646^(MIN($E1059,123)-117)))*1,0))</f>
        <v>1418677620</v>
      </c>
      <c r="Y1059" s="4">
        <f>$E1059+17</f>
        <v>132</v>
      </c>
      <c r="Z1059" s="8">
        <f>IF($J1059=0,0,ROUND(MAX($J1059*1.4*1.5*1.6*1.6*2.2*2.715*2.6*1.4,6020000000*(1.651178^(MIN($E1059,123)-117)))*1,0))</f>
        <v>2208048987</v>
      </c>
      <c r="AA1059" s="6">
        <f>$E1059+19</f>
        <v>134</v>
      </c>
      <c r="AB1059" s="7">
        <f>IF($J1059=0,0,ROUND(MAX($J1059*1.4*1.5*1.6*1.6*2.2*2.715*2.6*1.4*1.4,8430000000*(1.651435^(MIN($E1059,123)-117)))*1,0))</f>
        <v>3091039859</v>
      </c>
      <c r="AC1059" s="4">
        <f>$E1059+21</f>
        <v>136</v>
      </c>
      <c r="AD1059" s="8">
        <f>IF($J1059=0,0,ROUND(MAX($J1059*1.4*1.5*1.6*1.6*2.2*2.715*2.6*1.4*1.4*1.5,12600000000*(1.652953^(MIN($E1059,123)-117)))*1,0))</f>
        <v>4611577749</v>
      </c>
      <c r="AE1059" s="6">
        <f>$E1059+24</f>
        <v>139</v>
      </c>
      <c r="AF1059" s="7">
        <f>IF($J1059=0,0,ROUND(MAX($J1059*1.4*1.5*1.6*1.6*2.2*2.715*2.6*1.4*1.4*1.5*1.5,18900000000*(1.65331^(MIN($E1059,123)-117)))*1,0))</f>
        <v>6914379606</v>
      </c>
      <c r="AG1059" s="4">
        <f>$E1059+27</f>
        <v>142</v>
      </c>
      <c r="AH1059" s="8">
        <f>IF($J1059=0,0,ROUND(MAX($J1059*1.4*1.5*1.6*1.6*2.2*2.715*2.6*1.4*1.4*1.5*1.5*3.2,60500000000*(1.654288^(MIN($E1059,123)-117)))*1,0))</f>
        <v>22107169230</v>
      </c>
    </row>
    <row r="1060" ht="27.75" customHeight="1" spans="1:34" x14ac:dyDescent="0.25">
      <c r="A1060" s="3">
        <v>1070</v>
      </c>
      <c r="B1060" s="3" t="s">
        <v>541</v>
      </c>
      <c r="C1060" s="3" t="s">
        <v>829</v>
      </c>
      <c r="D1060" s="3" t="s">
        <v>40</v>
      </c>
      <c r="E1060" s="3">
        <v>115</v>
      </c>
      <c r="F1060" s="3" t="s">
        <v>54</v>
      </c>
      <c r="G1060" s="3" t="s">
        <v>472</v>
      </c>
      <c r="H1060" s="3">
        <v>29</v>
      </c>
      <c r="I1060" s="4">
        <v>115</v>
      </c>
      <c r="J1060" s="5">
        <v>1190000</v>
      </c>
      <c r="K1060" s="6">
        <f>$E1060+1</f>
        <v>116</v>
      </c>
      <c r="L1060" s="7">
        <f>IF($J1060=0,0,ROUND(MAX($J1060*1.4,1620000*(1.497923^(MIN($E1060,123)-117)))*1,0))</f>
        <v>1666000</v>
      </c>
      <c r="M1060" s="4">
        <f>$E1060+2</f>
        <v>117</v>
      </c>
      <c r="N1060" s="8">
        <f>IF($J1060=0,0,ROUND(MAX($J1060*1.4*1.5,2190000*(1.580994^(MIN($E1060,123)-117)))*1,0))</f>
        <v>2499000</v>
      </c>
      <c r="O1060" s="6">
        <f>$E1060+4</f>
        <v>119</v>
      </c>
      <c r="P1060" s="7">
        <f>IF($J1060=0,0,ROUND(MAX($J1060*1.4*1.5*1.6,3500000*(1.57975^(MIN($E1060,123)-117)))*1,0))</f>
        <v>3998400</v>
      </c>
      <c r="Q1060" s="4">
        <f>$E1060+6</f>
        <v>121</v>
      </c>
      <c r="R1060" s="8">
        <f>IF($J1060=0,0,ROUND(MAX($J1060*1.4*1.5*1.6*1.6,13100000*(1.429962^(MIN($E1060,123)-117)))*1,0))</f>
        <v>6406522</v>
      </c>
      <c r="S1060" s="6">
        <f>$E1060+8</f>
        <v>123</v>
      </c>
      <c r="T1060" s="7">
        <f>IF($J1060=0,0,ROUND(MAX($J1060*1.4*1.5*1.6*1.6*2.2,42600000*(1.576904^(MIN($E1060,123)-117)))*1,0))</f>
        <v>17131646</v>
      </c>
      <c r="U1060" s="4">
        <f>$E1060+11</f>
        <v>126</v>
      </c>
      <c r="V1060" s="8">
        <f>IF($J1060=0,0,ROUND(MAX($J1060*1.4*1.5*1.6*1.6*2.2*2.715,354000000*(1.642074^(MIN($E1060,123)-117)))*1,0))</f>
        <v>131285817</v>
      </c>
      <c r="W1060" s="6">
        <f>$E1060+15</f>
        <v>130</v>
      </c>
      <c r="X1060" s="7">
        <f>IF($J1060=0,0,ROUND(MAX($J1060*1.4*1.5*1.6*1.6*2.2*2.715*2.6,3540000000*(1.579646^(MIN($E1060,123)-117)))*1,0))</f>
        <v>1418677620</v>
      </c>
      <c r="Y1060" s="4">
        <f>$E1060+17</f>
        <v>132</v>
      </c>
      <c r="Z1060" s="8">
        <f>IF($J1060=0,0,ROUND(MAX($J1060*1.4*1.5*1.6*1.6*2.2*2.715*2.6*1.4,6020000000*(1.651178^(MIN($E1060,123)-117)))*1,0))</f>
        <v>2208048987</v>
      </c>
      <c r="AA1060" s="6">
        <f>$E1060+19</f>
        <v>134</v>
      </c>
      <c r="AB1060" s="7">
        <f>IF($J1060=0,0,ROUND(MAX($J1060*1.4*1.5*1.6*1.6*2.2*2.715*2.6*1.4*1.4,8430000000*(1.651435^(MIN($E1060,123)-117)))*1,0))</f>
        <v>3091039859</v>
      </c>
      <c r="AC1060" s="4">
        <f>$E1060+21</f>
        <v>136</v>
      </c>
      <c r="AD1060" s="8">
        <f>IF($J1060=0,0,ROUND(MAX($J1060*1.4*1.5*1.6*1.6*2.2*2.715*2.6*1.4*1.4*1.5,12600000000*(1.652953^(MIN($E1060,123)-117)))*1,0))</f>
        <v>4611577749</v>
      </c>
      <c r="AE1060" s="6">
        <f>$E1060+24</f>
        <v>139</v>
      </c>
      <c r="AF1060" s="7">
        <f>IF($J1060=0,0,ROUND(MAX($J1060*1.4*1.5*1.6*1.6*2.2*2.715*2.6*1.4*1.4*1.5*1.5,18900000000*(1.65331^(MIN($E1060,123)-117)))*1,0))</f>
        <v>6914379606</v>
      </c>
      <c r="AG1060" s="4">
        <f>$E1060+27</f>
        <v>142</v>
      </c>
      <c r="AH1060" s="8">
        <f>IF($J1060=0,0,ROUND(MAX($J1060*1.4*1.5*1.6*1.6*2.2*2.715*2.6*1.4*1.4*1.5*1.5*3.2,60500000000*(1.654288^(MIN($E1060,123)-117)))*1,0))</f>
        <v>22107169230</v>
      </c>
    </row>
    <row r="1061" ht="27.75" customHeight="1" spans="1:34" x14ac:dyDescent="0.25">
      <c r="A1061" s="3">
        <v>1071</v>
      </c>
      <c r="B1061" s="3" t="s">
        <v>110</v>
      </c>
      <c r="C1061" s="3" t="s">
        <v>829</v>
      </c>
      <c r="D1061" s="3" t="s">
        <v>64</v>
      </c>
      <c r="E1061" s="3">
        <v>115</v>
      </c>
      <c r="F1061" s="3" t="s">
        <v>59</v>
      </c>
      <c r="G1061" s="3" t="s">
        <v>830</v>
      </c>
      <c r="H1061" s="3">
        <v>29</v>
      </c>
      <c r="I1061" s="4">
        <v>115</v>
      </c>
      <c r="J1061" s="5">
        <v>335000</v>
      </c>
      <c r="K1061" s="6">
        <f>$E1061+1</f>
        <v>116</v>
      </c>
      <c r="L1061" s="7">
        <f>IF($J1061=0,0,ROUND(MAX($J1061*1.4,1620000*(1.497923^(MIN($E1061,123)-117)))*1,0))</f>
        <v>721998</v>
      </c>
      <c r="M1061" s="4">
        <f>$E1061+2</f>
        <v>117</v>
      </c>
      <c r="N1061" s="8">
        <f>IF($J1061=0,0,ROUND(MAX($J1061*1.4*1.5,2190000*(1.580994^(MIN($E1061,123)-117)))*1,0))</f>
        <v>876161</v>
      </c>
      <c r="O1061" s="6">
        <f>$E1061+4</f>
        <v>119</v>
      </c>
      <c r="P1061" s="7">
        <f>IF($J1061=0,0,ROUND(MAX($J1061*1.4*1.5*1.6,3500000*(1.57975^(MIN($E1061,123)-117)))*1,0))</f>
        <v>1402463</v>
      </c>
      <c r="Q1061" s="4">
        <f>$E1061+6</f>
        <v>121</v>
      </c>
      <c r="R1061" s="8">
        <f>IF($J1061=0,0,ROUND(MAX($J1061*1.4*1.5*1.6*1.6,13100000*(1.429962^(MIN($E1061,123)-117)))*1,0))</f>
        <v>6406522</v>
      </c>
      <c r="S1061" s="6">
        <f>$E1061+8</f>
        <v>123</v>
      </c>
      <c r="T1061" s="7">
        <f>IF($J1061=0,0,ROUND(MAX($J1061*1.4*1.5*1.6*1.6*2.2,42600000*(1.576904^(MIN($E1061,123)-117)))*1,0))</f>
        <v>17131646</v>
      </c>
      <c r="U1061" s="4">
        <f>$E1061+11</f>
        <v>126</v>
      </c>
      <c r="V1061" s="8">
        <f>IF($J1061=0,0,ROUND(MAX($J1061*1.4*1.5*1.6*1.6*2.2*2.715,354000000*(1.642074^(MIN($E1061,123)-117)))*1,0))</f>
        <v>131285817</v>
      </c>
      <c r="W1061" s="6">
        <f>$E1061+15</f>
        <v>130</v>
      </c>
      <c r="X1061" s="7">
        <f>IF($J1061=0,0,ROUND(MAX($J1061*1.4*1.5*1.6*1.6*2.2*2.715*2.6,3540000000*(1.579646^(MIN($E1061,123)-117)))*1,0))</f>
        <v>1418677620</v>
      </c>
      <c r="Y1061" s="4">
        <f>$E1061+17</f>
        <v>132</v>
      </c>
      <c r="Z1061" s="8">
        <f>IF($J1061=0,0,ROUND(MAX($J1061*1.4*1.5*1.6*1.6*2.2*2.715*2.6*1.4,6020000000*(1.651178^(MIN($E1061,123)-117)))*1,0))</f>
        <v>2208048987</v>
      </c>
      <c r="AA1061" s="6">
        <f>$E1061+19</f>
        <v>134</v>
      </c>
      <c r="AB1061" s="7">
        <f>IF($J1061=0,0,ROUND(MAX($J1061*1.4*1.5*1.6*1.6*2.2*2.715*2.6*1.4*1.4,8430000000*(1.651435^(MIN($E1061,123)-117)))*1,0))</f>
        <v>3091039859</v>
      </c>
      <c r="AC1061" s="4">
        <f>$E1061+21</f>
        <v>136</v>
      </c>
      <c r="AD1061" s="8">
        <f>IF($J1061=0,0,ROUND(MAX($J1061*1.4*1.5*1.6*1.6*2.2*2.715*2.6*1.4*1.4*1.5,12600000000*(1.652953^(MIN($E1061,123)-117)))*1,0))</f>
        <v>4611577749</v>
      </c>
      <c r="AE1061" s="6">
        <f>$E1061+24</f>
        <v>139</v>
      </c>
      <c r="AF1061" s="7">
        <f>IF($J1061=0,0,ROUND(MAX($J1061*1.4*1.5*1.6*1.6*2.2*2.715*2.6*1.4*1.4*1.5*1.5,18900000000*(1.65331^(MIN($E1061,123)-117)))*1,0))</f>
        <v>6914379606</v>
      </c>
      <c r="AG1061" s="4">
        <f>$E1061+27</f>
        <v>142</v>
      </c>
      <c r="AH1061" s="8">
        <f>IF($J1061=0,0,ROUND(MAX($J1061*1.4*1.5*1.6*1.6*2.2*2.715*2.6*1.4*1.4*1.5*1.5*3.2,60500000000*(1.654288^(MIN($E1061,123)-117)))*1,0))</f>
        <v>22107169230</v>
      </c>
    </row>
    <row r="1062" ht="27.75" customHeight="1" spans="1:34" x14ac:dyDescent="0.25">
      <c r="A1062" s="3">
        <v>1072</v>
      </c>
      <c r="B1062" s="3" t="s">
        <v>588</v>
      </c>
      <c r="C1062" s="3" t="s">
        <v>829</v>
      </c>
      <c r="D1062" s="3" t="s">
        <v>45</v>
      </c>
      <c r="E1062" s="3">
        <v>115</v>
      </c>
      <c r="F1062" s="3" t="s">
        <v>56</v>
      </c>
      <c r="G1062" s="3" t="s">
        <v>38</v>
      </c>
      <c r="H1062" s="3">
        <v>28</v>
      </c>
      <c r="I1062" s="4">
        <v>115</v>
      </c>
      <c r="J1062" s="5">
        <v>2120000</v>
      </c>
      <c r="K1062" s="6">
        <f>$E1062+1</f>
        <v>116</v>
      </c>
      <c r="L1062" s="7">
        <f>IF($J1062=0,0,ROUND(MAX($J1062*1.4,1620000*(1.497923^(MIN($E1062,123)-117)))*1,0))</f>
        <v>2968000</v>
      </c>
      <c r="M1062" s="4">
        <f>$E1062+2</f>
        <v>117</v>
      </c>
      <c r="N1062" s="8">
        <f>IF($J1062=0,0,ROUND(MAX($J1062*1.4*1.5,2190000*(1.580994^(MIN($E1062,123)-117)))*1,0))</f>
        <v>4452000</v>
      </c>
      <c r="O1062" s="6">
        <f>$E1062+4</f>
        <v>119</v>
      </c>
      <c r="P1062" s="7">
        <f>IF($J1062=0,0,ROUND(MAX($J1062*1.4*1.5*1.6,3500000*(1.57975^(MIN($E1062,123)-117)))*1,0))</f>
        <v>7123200</v>
      </c>
      <c r="Q1062" s="4">
        <f>$E1062+6</f>
        <v>121</v>
      </c>
      <c r="R1062" s="8">
        <f>IF($J1062=0,0,ROUND(MAX($J1062*1.4*1.5*1.6*1.6,13100000*(1.429962^(MIN($E1062,123)-117)))*1,0))</f>
        <v>11397120</v>
      </c>
      <c r="S1062" s="6">
        <f>$E1062+8</f>
        <v>123</v>
      </c>
      <c r="T1062" s="7">
        <f>IF($J1062=0,0,ROUND(MAX($J1062*1.4*1.5*1.6*1.6*2.2,42600000*(1.576904^(MIN($E1062,123)-117)))*1,0))</f>
        <v>25073664</v>
      </c>
      <c r="U1062" s="4">
        <f>$E1062+11</f>
        <v>126</v>
      </c>
      <c r="V1062" s="8">
        <f>IF($J1062=0,0,ROUND(MAX($J1062*1.4*1.5*1.6*1.6*2.2*2.715,354000000*(1.642074^(MIN($E1062,123)-117)))*1,0))</f>
        <v>131285817</v>
      </c>
      <c r="W1062" s="6">
        <f>$E1062+15</f>
        <v>130</v>
      </c>
      <c r="X1062" s="7">
        <f>IF($J1062=0,0,ROUND(MAX($J1062*1.4*1.5*1.6*1.6*2.2*2.715*2.6,3540000000*(1.579646^(MIN($E1062,123)-117)))*1,0))</f>
        <v>1418677620</v>
      </c>
      <c r="Y1062" s="4">
        <f>$E1062+17</f>
        <v>132</v>
      </c>
      <c r="Z1062" s="8">
        <f>IF($J1062=0,0,ROUND(MAX($J1062*1.4*1.5*1.6*1.6*2.2*2.715*2.6*1.4,6020000000*(1.651178^(MIN($E1062,123)-117)))*1,0))</f>
        <v>2208048987</v>
      </c>
      <c r="AA1062" s="6">
        <f>$E1062+19</f>
        <v>134</v>
      </c>
      <c r="AB1062" s="7">
        <f>IF($J1062=0,0,ROUND(MAX($J1062*1.4*1.5*1.6*1.6*2.2*2.715*2.6*1.4*1.4,8430000000*(1.651435^(MIN($E1062,123)-117)))*1,0))</f>
        <v>3091039859</v>
      </c>
      <c r="AC1062" s="4">
        <f>$E1062+21</f>
        <v>136</v>
      </c>
      <c r="AD1062" s="8">
        <f>IF($J1062=0,0,ROUND(MAX($J1062*1.4*1.5*1.6*1.6*2.2*2.715*2.6*1.4*1.4*1.5,12600000000*(1.652953^(MIN($E1062,123)-117)))*1,0))</f>
        <v>4611577749</v>
      </c>
      <c r="AE1062" s="6">
        <f>$E1062+24</f>
        <v>139</v>
      </c>
      <c r="AF1062" s="7">
        <f>IF($J1062=0,0,ROUND(MAX($J1062*1.4*1.5*1.6*1.6*2.2*2.715*2.6*1.4*1.4*1.5*1.5,18900000000*(1.65331^(MIN($E1062,123)-117)))*1,0))</f>
        <v>6914379606</v>
      </c>
      <c r="AG1062" s="4">
        <f>$E1062+27</f>
        <v>142</v>
      </c>
      <c r="AH1062" s="8">
        <f>IF($J1062=0,0,ROUND(MAX($J1062*1.4*1.5*1.6*1.6*2.2*2.715*2.6*1.4*1.4*1.5*1.5*3.2,60500000000*(1.654288^(MIN($E1062,123)-117)))*1,0))</f>
        <v>22107169230</v>
      </c>
    </row>
    <row r="1063" ht="27.75" customHeight="1" spans="1:34" x14ac:dyDescent="0.25">
      <c r="A1063" s="3">
        <v>1073</v>
      </c>
      <c r="B1063" s="3" t="s">
        <v>831</v>
      </c>
      <c r="C1063" s="3" t="s">
        <v>829</v>
      </c>
      <c r="D1063" s="3" t="s">
        <v>64</v>
      </c>
      <c r="E1063" s="3">
        <v>115</v>
      </c>
      <c r="F1063" s="3" t="s">
        <v>56</v>
      </c>
      <c r="G1063" s="3" t="s">
        <v>832</v>
      </c>
      <c r="H1063" s="3">
        <v>28</v>
      </c>
      <c r="I1063" s="4">
        <v>115</v>
      </c>
      <c r="J1063" s="5">
        <v>280000</v>
      </c>
      <c r="K1063" s="6">
        <f>$E1063+1</f>
        <v>116</v>
      </c>
      <c r="L1063" s="7">
        <f>IF($J1063=0,0,ROUND(MAX($J1063*1.4,1620000*(1.497923^(MIN($E1063,123)-117)))*1,0))</f>
        <v>721998</v>
      </c>
      <c r="M1063" s="4">
        <f>$E1063+2</f>
        <v>117</v>
      </c>
      <c r="N1063" s="8">
        <f>IF($J1063=0,0,ROUND(MAX($J1063*1.4*1.5,2190000*(1.580994^(MIN($E1063,123)-117)))*1,0))</f>
        <v>876161</v>
      </c>
      <c r="O1063" s="6">
        <f>$E1063+4</f>
        <v>119</v>
      </c>
      <c r="P1063" s="7">
        <f>IF($J1063=0,0,ROUND(MAX($J1063*1.4*1.5*1.6,3500000*(1.57975^(MIN($E1063,123)-117)))*1,0))</f>
        <v>1402463</v>
      </c>
      <c r="Q1063" s="4">
        <f>$E1063+6</f>
        <v>121</v>
      </c>
      <c r="R1063" s="8">
        <f>IF($J1063=0,0,ROUND(MAX($J1063*1.4*1.5*1.6*1.6,13100000*(1.429962^(MIN($E1063,123)-117)))*1,0))</f>
        <v>6406522</v>
      </c>
      <c r="S1063" s="6">
        <f>$E1063+8</f>
        <v>123</v>
      </c>
      <c r="T1063" s="7">
        <f>IF($J1063=0,0,ROUND(MAX($J1063*1.4*1.5*1.6*1.6*2.2,42600000*(1.576904^(MIN($E1063,123)-117)))*1,0))</f>
        <v>17131646</v>
      </c>
      <c r="U1063" s="4">
        <f>$E1063+11</f>
        <v>126</v>
      </c>
      <c r="V1063" s="8">
        <f>IF($J1063=0,0,ROUND(MAX($J1063*1.4*1.5*1.6*1.6*2.2*2.715,354000000*(1.642074^(MIN($E1063,123)-117)))*1,0))</f>
        <v>131285817</v>
      </c>
      <c r="W1063" s="6">
        <f>$E1063+15</f>
        <v>130</v>
      </c>
      <c r="X1063" s="7">
        <f>IF($J1063=0,0,ROUND(MAX($J1063*1.4*1.5*1.6*1.6*2.2*2.715*2.6,3540000000*(1.579646^(MIN($E1063,123)-117)))*1,0))</f>
        <v>1418677620</v>
      </c>
      <c r="Y1063" s="4">
        <f>$E1063+17</f>
        <v>132</v>
      </c>
      <c r="Z1063" s="8">
        <f>IF($J1063=0,0,ROUND(MAX($J1063*1.4*1.5*1.6*1.6*2.2*2.715*2.6*1.4,6020000000*(1.651178^(MIN($E1063,123)-117)))*1,0))</f>
        <v>2208048987</v>
      </c>
      <c r="AA1063" s="6">
        <f>$E1063+19</f>
        <v>134</v>
      </c>
      <c r="AB1063" s="7">
        <f>IF($J1063=0,0,ROUND(MAX($J1063*1.4*1.5*1.6*1.6*2.2*2.715*2.6*1.4*1.4,8430000000*(1.651435^(MIN($E1063,123)-117)))*1,0))</f>
        <v>3091039859</v>
      </c>
      <c r="AC1063" s="4">
        <f>$E1063+21</f>
        <v>136</v>
      </c>
      <c r="AD1063" s="8">
        <f>IF($J1063=0,0,ROUND(MAX($J1063*1.4*1.5*1.6*1.6*2.2*2.715*2.6*1.4*1.4*1.5,12600000000*(1.652953^(MIN($E1063,123)-117)))*1,0))</f>
        <v>4611577749</v>
      </c>
      <c r="AE1063" s="6">
        <f>$E1063+24</f>
        <v>139</v>
      </c>
      <c r="AF1063" s="7">
        <f>IF($J1063=0,0,ROUND(MAX($J1063*1.4*1.5*1.6*1.6*2.2*2.715*2.6*1.4*1.4*1.5*1.5,18900000000*(1.65331^(MIN($E1063,123)-117)))*1,0))</f>
        <v>6914379606</v>
      </c>
      <c r="AG1063" s="4">
        <f>$E1063+27</f>
        <v>142</v>
      </c>
      <c r="AH1063" s="8">
        <f>IF($J1063=0,0,ROUND(MAX($J1063*1.4*1.5*1.6*1.6*2.2*2.715*2.6*1.4*1.4*1.5*1.5*3.2,60500000000*(1.654288^(MIN($E1063,123)-117)))*1,0))</f>
        <v>22107169230</v>
      </c>
    </row>
    <row r="1064" ht="27.75" customHeight="1" spans="1:34" x14ac:dyDescent="0.25">
      <c r="A1064" s="3">
        <v>1074</v>
      </c>
      <c r="B1064" s="3" t="s">
        <v>685</v>
      </c>
      <c r="C1064" s="3" t="s">
        <v>829</v>
      </c>
      <c r="D1064" s="3" t="s">
        <v>64</v>
      </c>
      <c r="E1064" s="3">
        <v>115</v>
      </c>
      <c r="F1064" s="3" t="s">
        <v>492</v>
      </c>
      <c r="G1064" s="3" t="s">
        <v>213</v>
      </c>
      <c r="H1064" s="3">
        <v>28</v>
      </c>
      <c r="I1064" s="4">
        <v>115</v>
      </c>
      <c r="J1064" s="5">
        <v>795000</v>
      </c>
      <c r="K1064" s="6">
        <f>$E1064+1</f>
        <v>116</v>
      </c>
      <c r="L1064" s="7">
        <f>IF($J1064=0,0,ROUND(MAX($J1064*1.4,1620000*(1.497923^(MIN($E1064,123)-117)))*1,0))</f>
        <v>1113000</v>
      </c>
      <c r="M1064" s="4">
        <f>$E1064+2</f>
        <v>117</v>
      </c>
      <c r="N1064" s="8">
        <f>IF($J1064=0,0,ROUND(MAX($J1064*1.4*1.5,2190000*(1.580994^(MIN($E1064,123)-117)))*1,0))</f>
        <v>1669500</v>
      </c>
      <c r="O1064" s="6">
        <f>$E1064+4</f>
        <v>119</v>
      </c>
      <c r="P1064" s="7">
        <f>IF($J1064=0,0,ROUND(MAX($J1064*1.4*1.5*1.6,3500000*(1.57975^(MIN($E1064,123)-117)))*1,0))</f>
        <v>2671200</v>
      </c>
      <c r="Q1064" s="4">
        <f>$E1064+6</f>
        <v>121</v>
      </c>
      <c r="R1064" s="8">
        <f>IF($J1064=0,0,ROUND(MAX($J1064*1.4*1.5*1.6*1.6,13100000*(1.429962^(MIN($E1064,123)-117)))*1,0))</f>
        <v>6406522</v>
      </c>
      <c r="S1064" s="6">
        <f>$E1064+8</f>
        <v>123</v>
      </c>
      <c r="T1064" s="7">
        <f>IF($J1064=0,0,ROUND(MAX($J1064*1.4*1.5*1.6*1.6*2.2,42600000*(1.576904^(MIN($E1064,123)-117)))*1,0))</f>
        <v>17131646</v>
      </c>
      <c r="U1064" s="4">
        <f>$E1064+11</f>
        <v>126</v>
      </c>
      <c r="V1064" s="8">
        <f>IF($J1064=0,0,ROUND(MAX($J1064*1.4*1.5*1.6*1.6*2.2*2.715,354000000*(1.642074^(MIN($E1064,123)-117)))*1,0))</f>
        <v>131285817</v>
      </c>
      <c r="W1064" s="6">
        <f>$E1064+15</f>
        <v>130</v>
      </c>
      <c r="X1064" s="7">
        <f>IF($J1064=0,0,ROUND(MAX($J1064*1.4*1.5*1.6*1.6*2.2*2.715*2.6,3540000000*(1.579646^(MIN($E1064,123)-117)))*1,0))</f>
        <v>1418677620</v>
      </c>
      <c r="Y1064" s="4">
        <f>$E1064+17</f>
        <v>132</v>
      </c>
      <c r="Z1064" s="8">
        <f>IF($J1064=0,0,ROUND(MAX($J1064*1.4*1.5*1.6*1.6*2.2*2.715*2.6*1.4,6020000000*(1.651178^(MIN($E1064,123)-117)))*1,0))</f>
        <v>2208048987</v>
      </c>
      <c r="AA1064" s="6">
        <f>$E1064+19</f>
        <v>134</v>
      </c>
      <c r="AB1064" s="7">
        <f>IF($J1064=0,0,ROUND(MAX($J1064*1.4*1.5*1.6*1.6*2.2*2.715*2.6*1.4*1.4,8430000000*(1.651435^(MIN($E1064,123)-117)))*1,0))</f>
        <v>3091039859</v>
      </c>
      <c r="AC1064" s="4">
        <f>$E1064+21</f>
        <v>136</v>
      </c>
      <c r="AD1064" s="8">
        <f>IF($J1064=0,0,ROUND(MAX($J1064*1.4*1.5*1.6*1.6*2.2*2.715*2.6*1.4*1.4*1.5,12600000000*(1.652953^(MIN($E1064,123)-117)))*1,0))</f>
        <v>4611577749</v>
      </c>
      <c r="AE1064" s="6">
        <f>$E1064+24</f>
        <v>139</v>
      </c>
      <c r="AF1064" s="7">
        <f>IF($J1064=0,0,ROUND(MAX($J1064*1.4*1.5*1.6*1.6*2.2*2.715*2.6*1.4*1.4*1.5*1.5,18900000000*(1.65331^(MIN($E1064,123)-117)))*1,0))</f>
        <v>6914379606</v>
      </c>
      <c r="AG1064" s="4">
        <f>$E1064+27</f>
        <v>142</v>
      </c>
      <c r="AH1064" s="8">
        <f>IF($J1064=0,0,ROUND(MAX($J1064*1.4*1.5*1.6*1.6*2.2*2.715*2.6*1.4*1.4*1.5*1.5*3.2,60500000000*(1.654288^(MIN($E1064,123)-117)))*1,0))</f>
        <v>22107169230</v>
      </c>
    </row>
    <row r="1065" ht="27.75" customHeight="1" spans="1:34" x14ac:dyDescent="0.25">
      <c r="A1065" s="3">
        <v>1075</v>
      </c>
      <c r="B1065" s="3" t="s">
        <v>155</v>
      </c>
      <c r="C1065" s="3" t="s">
        <v>829</v>
      </c>
      <c r="D1065" s="3" t="s">
        <v>102</v>
      </c>
      <c r="E1065" s="3">
        <v>115</v>
      </c>
      <c r="F1065" s="3" t="s">
        <v>71</v>
      </c>
      <c r="G1065" s="3" t="s">
        <v>830</v>
      </c>
      <c r="H1065" s="3">
        <v>28</v>
      </c>
      <c r="I1065" s="4">
        <v>115</v>
      </c>
      <c r="J1065" s="5">
        <v>400000</v>
      </c>
      <c r="K1065" s="6">
        <f>$E1065+1</f>
        <v>116</v>
      </c>
      <c r="L1065" s="7">
        <f>IF($J1065=0,0,ROUND(MAX($J1065*1.4,1620000*(1.497923^(MIN($E1065,123)-117)))*1,0))</f>
        <v>721998</v>
      </c>
      <c r="M1065" s="4">
        <f>$E1065+2</f>
        <v>117</v>
      </c>
      <c r="N1065" s="8">
        <f>IF($J1065=0,0,ROUND(MAX($J1065*1.4*1.5,2190000*(1.580994^(MIN($E1065,123)-117)))*1,0))</f>
        <v>876161</v>
      </c>
      <c r="O1065" s="6">
        <f>$E1065+4</f>
        <v>119</v>
      </c>
      <c r="P1065" s="7">
        <f>IF($J1065=0,0,ROUND(MAX($J1065*1.4*1.5*1.6,3500000*(1.57975^(MIN($E1065,123)-117)))*1,0))</f>
        <v>1402463</v>
      </c>
      <c r="Q1065" s="4">
        <f>$E1065+6</f>
        <v>121</v>
      </c>
      <c r="R1065" s="8">
        <f>IF($J1065=0,0,ROUND(MAX($J1065*1.4*1.5*1.6*1.6,13100000*(1.429962^(MIN($E1065,123)-117)))*1,0))</f>
        <v>6406522</v>
      </c>
      <c r="S1065" s="6">
        <f>$E1065+8</f>
        <v>123</v>
      </c>
      <c r="T1065" s="7">
        <f>IF($J1065=0,0,ROUND(MAX($J1065*1.4*1.5*1.6*1.6*2.2,42600000*(1.576904^(MIN($E1065,123)-117)))*1,0))</f>
        <v>17131646</v>
      </c>
      <c r="U1065" s="4">
        <f>$E1065+11</f>
        <v>126</v>
      </c>
      <c r="V1065" s="8">
        <f>IF($J1065=0,0,ROUND(MAX($J1065*1.4*1.5*1.6*1.6*2.2*2.715,354000000*(1.642074^(MIN($E1065,123)-117)))*1,0))</f>
        <v>131285817</v>
      </c>
      <c r="W1065" s="6">
        <f>$E1065+15</f>
        <v>130</v>
      </c>
      <c r="X1065" s="7">
        <f>IF($J1065=0,0,ROUND(MAX($J1065*1.4*1.5*1.6*1.6*2.2*2.715*2.6,3540000000*(1.579646^(MIN($E1065,123)-117)))*1,0))</f>
        <v>1418677620</v>
      </c>
      <c r="Y1065" s="4">
        <f>$E1065+17</f>
        <v>132</v>
      </c>
      <c r="Z1065" s="8">
        <f>IF($J1065=0,0,ROUND(MAX($J1065*1.4*1.5*1.6*1.6*2.2*2.715*2.6*1.4,6020000000*(1.651178^(MIN($E1065,123)-117)))*1,0))</f>
        <v>2208048987</v>
      </c>
      <c r="AA1065" s="6">
        <f>$E1065+19</f>
        <v>134</v>
      </c>
      <c r="AB1065" s="7">
        <f>IF($J1065=0,0,ROUND(MAX($J1065*1.4*1.5*1.6*1.6*2.2*2.715*2.6*1.4*1.4,8430000000*(1.651435^(MIN($E1065,123)-117)))*1,0))</f>
        <v>3091039859</v>
      </c>
      <c r="AC1065" s="4">
        <f>$E1065+21</f>
        <v>136</v>
      </c>
      <c r="AD1065" s="8">
        <f>IF($J1065=0,0,ROUND(MAX($J1065*1.4*1.5*1.6*1.6*2.2*2.715*2.6*1.4*1.4*1.5,12600000000*(1.652953^(MIN($E1065,123)-117)))*1,0))</f>
        <v>4611577749</v>
      </c>
      <c r="AE1065" s="6">
        <f>$E1065+24</f>
        <v>139</v>
      </c>
      <c r="AF1065" s="7">
        <f>IF($J1065=0,0,ROUND(MAX($J1065*1.4*1.5*1.6*1.6*2.2*2.715*2.6*1.4*1.4*1.5*1.5,18900000000*(1.65331^(MIN($E1065,123)-117)))*1,0))</f>
        <v>6914379606</v>
      </c>
      <c r="AG1065" s="4">
        <f>$E1065+27</f>
        <v>142</v>
      </c>
      <c r="AH1065" s="8">
        <f>IF($J1065=0,0,ROUND(MAX($J1065*1.4*1.5*1.6*1.6*2.2*2.715*2.6*1.4*1.4*1.5*1.5*3.2,60500000000*(1.654288^(MIN($E1065,123)-117)))*1,0))</f>
        <v>22107169230</v>
      </c>
    </row>
    <row r="1066" ht="27.75" customHeight="1" spans="1:34" x14ac:dyDescent="0.25">
      <c r="A1066" s="3">
        <v>1076</v>
      </c>
      <c r="B1066" s="3" t="s">
        <v>94</v>
      </c>
      <c r="C1066" s="3" t="s">
        <v>829</v>
      </c>
      <c r="D1066" s="3" t="s">
        <v>29</v>
      </c>
      <c r="E1066" s="3">
        <v>115</v>
      </c>
      <c r="F1066" s="3" t="s">
        <v>42</v>
      </c>
      <c r="G1066" s="3" t="s">
        <v>830</v>
      </c>
      <c r="H1066" s="3">
        <v>28</v>
      </c>
      <c r="I1066" s="4">
        <v>115</v>
      </c>
      <c r="J1066" s="5">
        <v>445000</v>
      </c>
      <c r="K1066" s="6">
        <f>$E1066+1</f>
        <v>116</v>
      </c>
      <c r="L1066" s="7">
        <f>IF($J1066=0,0,ROUND(MAX($J1066*1.4,1620000*(1.497923^(MIN($E1066,123)-117)))*1,0))</f>
        <v>721998</v>
      </c>
      <c r="M1066" s="4">
        <f>$E1066+2</f>
        <v>117</v>
      </c>
      <c r="N1066" s="8">
        <f>IF($J1066=0,0,ROUND(MAX($J1066*1.4*1.5,2190000*(1.580994^(MIN($E1066,123)-117)))*1,0))</f>
        <v>934500</v>
      </c>
      <c r="O1066" s="6">
        <f>$E1066+4</f>
        <v>119</v>
      </c>
      <c r="P1066" s="7">
        <f>IF($J1066=0,0,ROUND(MAX($J1066*1.4*1.5*1.6,3500000*(1.57975^(MIN($E1066,123)-117)))*1,0))</f>
        <v>1495200</v>
      </c>
      <c r="Q1066" s="4">
        <f>$E1066+6</f>
        <v>121</v>
      </c>
      <c r="R1066" s="8">
        <f>IF($J1066=0,0,ROUND(MAX($J1066*1.4*1.5*1.6*1.6,13100000*(1.429962^(MIN($E1066,123)-117)))*1,0))</f>
        <v>6406522</v>
      </c>
      <c r="S1066" s="6">
        <f>$E1066+8</f>
        <v>123</v>
      </c>
      <c r="T1066" s="7">
        <f>IF($J1066=0,0,ROUND(MAX($J1066*1.4*1.5*1.6*1.6*2.2,42600000*(1.576904^(MIN($E1066,123)-117)))*1,0))</f>
        <v>17131646</v>
      </c>
      <c r="U1066" s="4">
        <f>$E1066+11</f>
        <v>126</v>
      </c>
      <c r="V1066" s="8">
        <f>IF($J1066=0,0,ROUND(MAX($J1066*1.4*1.5*1.6*1.6*2.2*2.715,354000000*(1.642074^(MIN($E1066,123)-117)))*1,0))</f>
        <v>131285817</v>
      </c>
      <c r="W1066" s="6">
        <f>$E1066+15</f>
        <v>130</v>
      </c>
      <c r="X1066" s="7">
        <f>IF($J1066=0,0,ROUND(MAX($J1066*1.4*1.5*1.6*1.6*2.2*2.715*2.6,3540000000*(1.579646^(MIN($E1066,123)-117)))*1,0))</f>
        <v>1418677620</v>
      </c>
      <c r="Y1066" s="4">
        <f>$E1066+17</f>
        <v>132</v>
      </c>
      <c r="Z1066" s="8">
        <f>IF($J1066=0,0,ROUND(MAX($J1066*1.4*1.5*1.6*1.6*2.2*2.715*2.6*1.4,6020000000*(1.651178^(MIN($E1066,123)-117)))*1,0))</f>
        <v>2208048987</v>
      </c>
      <c r="AA1066" s="6">
        <f>$E1066+19</f>
        <v>134</v>
      </c>
      <c r="AB1066" s="7">
        <f>IF($J1066=0,0,ROUND(MAX($J1066*1.4*1.5*1.6*1.6*2.2*2.715*2.6*1.4*1.4,8430000000*(1.651435^(MIN($E1066,123)-117)))*1,0))</f>
        <v>3091039859</v>
      </c>
      <c r="AC1066" s="4">
        <f>$E1066+21</f>
        <v>136</v>
      </c>
      <c r="AD1066" s="8">
        <f>IF($J1066=0,0,ROUND(MAX($J1066*1.4*1.5*1.6*1.6*2.2*2.715*2.6*1.4*1.4*1.5,12600000000*(1.652953^(MIN($E1066,123)-117)))*1,0))</f>
        <v>4611577749</v>
      </c>
      <c r="AE1066" s="6">
        <f>$E1066+24</f>
        <v>139</v>
      </c>
      <c r="AF1066" s="7">
        <f>IF($J1066=0,0,ROUND(MAX($J1066*1.4*1.5*1.6*1.6*2.2*2.715*2.6*1.4*1.4*1.5*1.5,18900000000*(1.65331^(MIN($E1066,123)-117)))*1,0))</f>
        <v>6914379606</v>
      </c>
      <c r="AG1066" s="4">
        <f>$E1066+27</f>
        <v>142</v>
      </c>
      <c r="AH1066" s="8">
        <f>IF($J1066=0,0,ROUND(MAX($J1066*1.4*1.5*1.6*1.6*2.2*2.715*2.6*1.4*1.4*1.5*1.5*3.2,60500000000*(1.654288^(MIN($E1066,123)-117)))*1,0))</f>
        <v>22107169230</v>
      </c>
    </row>
    <row r="1067" ht="27.75" customHeight="1" spans="1:34" x14ac:dyDescent="0.25">
      <c r="A1067" s="3">
        <v>1077</v>
      </c>
      <c r="B1067" s="3" t="s">
        <v>540</v>
      </c>
      <c r="C1067" s="3" t="s">
        <v>829</v>
      </c>
      <c r="D1067" s="3" t="s">
        <v>79</v>
      </c>
      <c r="E1067" s="3">
        <v>114</v>
      </c>
      <c r="F1067" s="3" t="s">
        <v>412</v>
      </c>
      <c r="G1067" s="3" t="s">
        <v>252</v>
      </c>
      <c r="H1067" s="3">
        <v>29</v>
      </c>
      <c r="I1067" s="4">
        <v>114</v>
      </c>
      <c r="J1067" s="5">
        <v>420000</v>
      </c>
      <c r="K1067" s="6">
        <f>$E1067+1</f>
        <v>115</v>
      </c>
      <c r="L1067" s="7">
        <f>IF($J1067=0,0,ROUND(MAX($J1067*1.4,1620000*(1.497923^(MIN($E1067,123)-117)))*1,0))</f>
        <v>588000</v>
      </c>
      <c r="M1067" s="4">
        <f>$E1067+2</f>
        <v>116</v>
      </c>
      <c r="N1067" s="8">
        <f>IF($J1067=0,0,ROUND(MAX($J1067*1.4*1.5,2190000*(1.580994^(MIN($E1067,123)-117)))*1,0))</f>
        <v>882000</v>
      </c>
      <c r="O1067" s="6">
        <f>$E1067+4</f>
        <v>118</v>
      </c>
      <c r="P1067" s="7">
        <f>IF($J1067=0,0,ROUND(MAX($J1067*1.4*1.5*1.6,3500000*(1.57975^(MIN($E1067,123)-117)))*1,0))</f>
        <v>1411200</v>
      </c>
      <c r="Q1067" s="4">
        <f>$E1067+6</f>
        <v>120</v>
      </c>
      <c r="R1067" s="8">
        <f>IF($J1067=0,0,ROUND(MAX($J1067*1.4*1.5*1.6*1.6,13100000*(1.429962^(MIN($E1067,123)-117)))*1,0))</f>
        <v>4480204</v>
      </c>
      <c r="S1067" s="6">
        <f>$E1067+8</f>
        <v>122</v>
      </c>
      <c r="T1067" s="7">
        <f>IF($J1067=0,0,ROUND(MAX($J1067*1.4*1.5*1.6*1.6*2.2,42600000*(1.576904^(MIN($E1067,123)-117)))*1,0))</f>
        <v>10864102</v>
      </c>
      <c r="U1067" s="4">
        <f>$E1067+11</f>
        <v>125</v>
      </c>
      <c r="V1067" s="8">
        <f>IF($J1067=0,0,ROUND(MAX($J1067*1.4*1.5*1.6*1.6*2.2*2.715,354000000*(1.642074^(MIN($E1067,123)-117)))*1,0))</f>
        <v>79951219</v>
      </c>
      <c r="W1067" s="6">
        <f>$E1067+15</f>
        <v>129</v>
      </c>
      <c r="X1067" s="7">
        <f>IF($J1067=0,0,ROUND(MAX($J1067*1.4*1.5*1.6*1.6*2.2*2.715*2.6,3540000000*(1.579646^(MIN($E1067,123)-117)))*1,0))</f>
        <v>898098448</v>
      </c>
      <c r="Y1067" s="4">
        <f>$E1067+17</f>
        <v>131</v>
      </c>
      <c r="Z1067" s="8">
        <f>IF($J1067=0,0,ROUND(MAX($J1067*1.4*1.5*1.6*1.6*2.2*2.715*2.6*1.4,6020000000*(1.651178^(MIN($E1067,123)-117)))*1,0))</f>
        <v>1337256787</v>
      </c>
      <c r="AA1067" s="6">
        <f>$E1067+19</f>
        <v>133</v>
      </c>
      <c r="AB1067" s="7">
        <f>IF($J1067=0,0,ROUND(MAX($J1067*1.4*1.5*1.6*1.6*2.2*2.715*2.6*1.4*1.4,8430000000*(1.651435^(MIN($E1067,123)-117)))*1,0))</f>
        <v>1871729653</v>
      </c>
      <c r="AC1067" s="4">
        <f>$E1067+21</f>
        <v>135</v>
      </c>
      <c r="AD1067" s="8">
        <f>IF($J1067=0,0,ROUND(MAX($J1067*1.4*1.5*1.6*1.6*2.2*2.715*2.6*1.4*1.4*1.5,12600000000*(1.652953^(MIN($E1067,123)-117)))*1,0))</f>
        <v>2789902525</v>
      </c>
      <c r="AE1067" s="6">
        <f>$E1067+24</f>
        <v>138</v>
      </c>
      <c r="AF1067" s="7">
        <f>IF($J1067=0,0,ROUND(MAX($J1067*1.4*1.5*1.6*1.6*2.2*2.715*2.6*1.4*1.4*1.5*1.5,18900000000*(1.65331^(MIN($E1067,123)-117)))*1,0))</f>
        <v>4182143461</v>
      </c>
      <c r="AG1067" s="4">
        <f>$E1067+27</f>
        <v>141</v>
      </c>
      <c r="AH1067" s="8">
        <f>IF($J1067=0,0,ROUND(MAX($J1067*1.4*1.5*1.6*1.6*2.2*2.715*2.6*1.4*1.4*1.5*1.5*3.2,60500000000*(1.654288^(MIN($E1067,123)-117)))*1,0))</f>
        <v>13363555336</v>
      </c>
    </row>
    <row r="1068" ht="27.75" customHeight="1" spans="1:34" x14ac:dyDescent="0.25">
      <c r="A1068" s="3">
        <v>1078</v>
      </c>
      <c r="B1068" s="3" t="s">
        <v>833</v>
      </c>
      <c r="C1068" s="3" t="s">
        <v>829</v>
      </c>
      <c r="D1068" s="3" t="s">
        <v>25</v>
      </c>
      <c r="E1068" s="3">
        <v>114</v>
      </c>
      <c r="F1068" s="3" t="s">
        <v>223</v>
      </c>
      <c r="G1068" s="3" t="s">
        <v>95</v>
      </c>
      <c r="H1068" s="3">
        <v>28</v>
      </c>
      <c r="I1068" s="4">
        <v>114</v>
      </c>
      <c r="J1068" s="5">
        <v>184000</v>
      </c>
      <c r="K1068" s="6">
        <f>$E1068+1</f>
        <v>115</v>
      </c>
      <c r="L1068" s="7">
        <f>IF($J1068=0,0,ROUND(MAX($J1068*1.4,1620000*(1.497923^(MIN($E1068,123)-117)))*1,0))</f>
        <v>481999</v>
      </c>
      <c r="M1068" s="4">
        <f>$E1068+2</f>
        <v>116</v>
      </c>
      <c r="N1068" s="8">
        <f>IF($J1068=0,0,ROUND(MAX($J1068*1.4*1.5,2190000*(1.580994^(MIN($E1068,123)-117)))*1,0))</f>
        <v>554183</v>
      </c>
      <c r="O1068" s="6">
        <f>$E1068+4</f>
        <v>118</v>
      </c>
      <c r="P1068" s="7">
        <f>IF($J1068=0,0,ROUND(MAX($J1068*1.4*1.5*1.6,3500000*(1.57975^(MIN($E1068,123)-117)))*1,0))</f>
        <v>887775</v>
      </c>
      <c r="Q1068" s="4">
        <f>$E1068+6</f>
        <v>120</v>
      </c>
      <c r="R1068" s="8">
        <f>IF($J1068=0,0,ROUND(MAX($J1068*1.4*1.5*1.6*1.6,13100000*(1.429962^(MIN($E1068,123)-117)))*1,0))</f>
        <v>4480204</v>
      </c>
      <c r="S1068" s="6">
        <f>$E1068+8</f>
        <v>122</v>
      </c>
      <c r="T1068" s="7">
        <f>IF($J1068=0,0,ROUND(MAX($J1068*1.4*1.5*1.6*1.6*2.2,42600000*(1.576904^(MIN($E1068,123)-117)))*1,0))</f>
        <v>10864102</v>
      </c>
      <c r="U1068" s="4">
        <f>$E1068+11</f>
        <v>125</v>
      </c>
      <c r="V1068" s="8">
        <f>IF($J1068=0,0,ROUND(MAX($J1068*1.4*1.5*1.6*1.6*2.2*2.715,354000000*(1.642074^(MIN($E1068,123)-117)))*1,0))</f>
        <v>79951219</v>
      </c>
      <c r="W1068" s="6">
        <f>$E1068+15</f>
        <v>129</v>
      </c>
      <c r="X1068" s="7">
        <f>IF($J1068=0,0,ROUND(MAX($J1068*1.4*1.5*1.6*1.6*2.2*2.715*2.6,3540000000*(1.579646^(MIN($E1068,123)-117)))*1,0))</f>
        <v>898098448</v>
      </c>
      <c r="Y1068" s="4">
        <f>$E1068+17</f>
        <v>131</v>
      </c>
      <c r="Z1068" s="8">
        <f>IF($J1068=0,0,ROUND(MAX($J1068*1.4*1.5*1.6*1.6*2.2*2.715*2.6*1.4,6020000000*(1.651178^(MIN($E1068,123)-117)))*1,0))</f>
        <v>1337256787</v>
      </c>
      <c r="AA1068" s="6">
        <f>$E1068+19</f>
        <v>133</v>
      </c>
      <c r="AB1068" s="7">
        <f>IF($J1068=0,0,ROUND(MAX($J1068*1.4*1.5*1.6*1.6*2.2*2.715*2.6*1.4*1.4,8430000000*(1.651435^(MIN($E1068,123)-117)))*1,0))</f>
        <v>1871729653</v>
      </c>
      <c r="AC1068" s="4">
        <f>$E1068+21</f>
        <v>135</v>
      </c>
      <c r="AD1068" s="8">
        <f>IF($J1068=0,0,ROUND(MAX($J1068*1.4*1.5*1.6*1.6*2.2*2.715*2.6*1.4*1.4*1.5,12600000000*(1.652953^(MIN($E1068,123)-117)))*1,0))</f>
        <v>2789902525</v>
      </c>
      <c r="AE1068" s="6">
        <f>$E1068+24</f>
        <v>138</v>
      </c>
      <c r="AF1068" s="7">
        <f>IF($J1068=0,0,ROUND(MAX($J1068*1.4*1.5*1.6*1.6*2.2*2.715*2.6*1.4*1.4*1.5*1.5,18900000000*(1.65331^(MIN($E1068,123)-117)))*1,0))</f>
        <v>4182143461</v>
      </c>
      <c r="AG1068" s="4">
        <f>$E1068+27</f>
        <v>141</v>
      </c>
      <c r="AH1068" s="8">
        <f>IF($J1068=0,0,ROUND(MAX($J1068*1.4*1.5*1.6*1.6*2.2*2.715*2.6*1.4*1.4*1.5*1.5*3.2,60500000000*(1.654288^(MIN($E1068,123)-117)))*1,0))</f>
        <v>13363555336</v>
      </c>
    </row>
    <row r="1069" ht="27.75" customHeight="1" spans="1:34" x14ac:dyDescent="0.25">
      <c r="A1069" s="3">
        <v>1079</v>
      </c>
      <c r="B1069" s="3" t="s">
        <v>535</v>
      </c>
      <c r="C1069" s="3" t="s">
        <v>829</v>
      </c>
      <c r="D1069" s="3" t="s">
        <v>25</v>
      </c>
      <c r="E1069" s="3">
        <v>114</v>
      </c>
      <c r="F1069" s="3" t="s">
        <v>34</v>
      </c>
      <c r="G1069" s="3" t="s">
        <v>462</v>
      </c>
      <c r="H1069" s="3">
        <v>28</v>
      </c>
      <c r="I1069" s="4">
        <v>114</v>
      </c>
      <c r="J1069" s="5">
        <v>308000</v>
      </c>
      <c r="K1069" s="6">
        <f>$E1069+1</f>
        <v>115</v>
      </c>
      <c r="L1069" s="7">
        <f>IF($J1069=0,0,ROUND(MAX($J1069*1.4,1620000*(1.497923^(MIN($E1069,123)-117)))*1,0))</f>
        <v>481999</v>
      </c>
      <c r="M1069" s="4">
        <f>$E1069+2</f>
        <v>116</v>
      </c>
      <c r="N1069" s="8">
        <f>IF($J1069=0,0,ROUND(MAX($J1069*1.4*1.5,2190000*(1.580994^(MIN($E1069,123)-117)))*1,0))</f>
        <v>646800</v>
      </c>
      <c r="O1069" s="6">
        <f>$E1069+4</f>
        <v>118</v>
      </c>
      <c r="P1069" s="7">
        <f>IF($J1069=0,0,ROUND(MAX($J1069*1.4*1.5*1.6,3500000*(1.57975^(MIN($E1069,123)-117)))*1,0))</f>
        <v>1034880</v>
      </c>
      <c r="Q1069" s="4">
        <f>$E1069+6</f>
        <v>120</v>
      </c>
      <c r="R1069" s="8">
        <f>IF($J1069=0,0,ROUND(MAX($J1069*1.4*1.5*1.6*1.6,13100000*(1.429962^(MIN($E1069,123)-117)))*1,0))</f>
        <v>4480204</v>
      </c>
      <c r="S1069" s="6">
        <f>$E1069+8</f>
        <v>122</v>
      </c>
      <c r="T1069" s="7">
        <f>IF($J1069=0,0,ROUND(MAX($J1069*1.4*1.5*1.6*1.6*2.2,42600000*(1.576904^(MIN($E1069,123)-117)))*1,0))</f>
        <v>10864102</v>
      </c>
      <c r="U1069" s="4">
        <f>$E1069+11</f>
        <v>125</v>
      </c>
      <c r="V1069" s="8">
        <f>IF($J1069=0,0,ROUND(MAX($J1069*1.4*1.5*1.6*1.6*2.2*2.715,354000000*(1.642074^(MIN($E1069,123)-117)))*1,0))</f>
        <v>79951219</v>
      </c>
      <c r="W1069" s="6">
        <f>$E1069+15</f>
        <v>129</v>
      </c>
      <c r="X1069" s="7">
        <f>IF($J1069=0,0,ROUND(MAX($J1069*1.4*1.5*1.6*1.6*2.2*2.715*2.6,3540000000*(1.579646^(MIN($E1069,123)-117)))*1,0))</f>
        <v>898098448</v>
      </c>
      <c r="Y1069" s="4">
        <f>$E1069+17</f>
        <v>131</v>
      </c>
      <c r="Z1069" s="8">
        <f>IF($J1069=0,0,ROUND(MAX($J1069*1.4*1.5*1.6*1.6*2.2*2.715*2.6*1.4,6020000000*(1.651178^(MIN($E1069,123)-117)))*1,0))</f>
        <v>1337256787</v>
      </c>
      <c r="AA1069" s="6">
        <f>$E1069+19</f>
        <v>133</v>
      </c>
      <c r="AB1069" s="7">
        <f>IF($J1069=0,0,ROUND(MAX($J1069*1.4*1.5*1.6*1.6*2.2*2.715*2.6*1.4*1.4,8430000000*(1.651435^(MIN($E1069,123)-117)))*1,0))</f>
        <v>1871729653</v>
      </c>
      <c r="AC1069" s="4">
        <f>$E1069+21</f>
        <v>135</v>
      </c>
      <c r="AD1069" s="8">
        <f>IF($J1069=0,0,ROUND(MAX($J1069*1.4*1.5*1.6*1.6*2.2*2.715*2.6*1.4*1.4*1.5,12600000000*(1.652953^(MIN($E1069,123)-117)))*1,0))</f>
        <v>2789902525</v>
      </c>
      <c r="AE1069" s="6">
        <f>$E1069+24</f>
        <v>138</v>
      </c>
      <c r="AF1069" s="7">
        <f>IF($J1069=0,0,ROUND(MAX($J1069*1.4*1.5*1.6*1.6*2.2*2.715*2.6*1.4*1.4*1.5*1.5,18900000000*(1.65331^(MIN($E1069,123)-117)))*1,0))</f>
        <v>4182143461</v>
      </c>
      <c r="AG1069" s="4">
        <f>$E1069+27</f>
        <v>141</v>
      </c>
      <c r="AH1069" s="8">
        <f>IF($J1069=0,0,ROUND(MAX($J1069*1.4*1.5*1.6*1.6*2.2*2.715*2.6*1.4*1.4*1.5*1.5*3.2,60500000000*(1.654288^(MIN($E1069,123)-117)))*1,0))</f>
        <v>13363555336</v>
      </c>
    </row>
    <row r="1070" ht="27.75" customHeight="1" spans="1:34" x14ac:dyDescent="0.25">
      <c r="A1070" s="3">
        <v>1080</v>
      </c>
      <c r="B1070" s="3" t="s">
        <v>245</v>
      </c>
      <c r="C1070" s="3" t="s">
        <v>829</v>
      </c>
      <c r="D1070" s="3" t="s">
        <v>45</v>
      </c>
      <c r="E1070" s="3">
        <v>114</v>
      </c>
      <c r="F1070" s="3" t="s">
        <v>212</v>
      </c>
      <c r="G1070" s="3" t="s">
        <v>51</v>
      </c>
      <c r="H1070" s="3">
        <v>28</v>
      </c>
      <c r="I1070" s="4">
        <v>114</v>
      </c>
      <c r="J1070" s="5">
        <v>588000</v>
      </c>
      <c r="K1070" s="6">
        <f>$E1070+1</f>
        <v>115</v>
      </c>
      <c r="L1070" s="7">
        <f>IF($J1070=0,0,ROUND(MAX($J1070*1.4,1620000*(1.497923^(MIN($E1070,123)-117)))*1,0))</f>
        <v>823200</v>
      </c>
      <c r="M1070" s="4">
        <f>$E1070+2</f>
        <v>116</v>
      </c>
      <c r="N1070" s="8">
        <f>IF($J1070=0,0,ROUND(MAX($J1070*1.4*1.5,2190000*(1.580994^(MIN($E1070,123)-117)))*1,0))</f>
        <v>1234800</v>
      </c>
      <c r="O1070" s="6">
        <f>$E1070+4</f>
        <v>118</v>
      </c>
      <c r="P1070" s="7">
        <f>IF($J1070=0,0,ROUND(MAX($J1070*1.4*1.5*1.6,3500000*(1.57975^(MIN($E1070,123)-117)))*1,0))</f>
        <v>1975680</v>
      </c>
      <c r="Q1070" s="4">
        <f>$E1070+6</f>
        <v>120</v>
      </c>
      <c r="R1070" s="8">
        <f>IF($J1070=0,0,ROUND(MAX($J1070*1.4*1.5*1.6*1.6,13100000*(1.429962^(MIN($E1070,123)-117)))*1,0))</f>
        <v>4480204</v>
      </c>
      <c r="S1070" s="6">
        <f>$E1070+8</f>
        <v>122</v>
      </c>
      <c r="T1070" s="7">
        <f>IF($J1070=0,0,ROUND(MAX($J1070*1.4*1.5*1.6*1.6*2.2,42600000*(1.576904^(MIN($E1070,123)-117)))*1,0))</f>
        <v>10864102</v>
      </c>
      <c r="U1070" s="4">
        <f>$E1070+11</f>
        <v>125</v>
      </c>
      <c r="V1070" s="8">
        <f>IF($J1070=0,0,ROUND(MAX($J1070*1.4*1.5*1.6*1.6*2.2*2.715,354000000*(1.642074^(MIN($E1070,123)-117)))*1,0))</f>
        <v>79951219</v>
      </c>
      <c r="W1070" s="6">
        <f>$E1070+15</f>
        <v>129</v>
      </c>
      <c r="X1070" s="7">
        <f>IF($J1070=0,0,ROUND(MAX($J1070*1.4*1.5*1.6*1.6*2.2*2.715*2.6,3540000000*(1.579646^(MIN($E1070,123)-117)))*1,0))</f>
        <v>898098448</v>
      </c>
      <c r="Y1070" s="4">
        <f>$E1070+17</f>
        <v>131</v>
      </c>
      <c r="Z1070" s="8">
        <f>IF($J1070=0,0,ROUND(MAX($J1070*1.4*1.5*1.6*1.6*2.2*2.715*2.6*1.4,6020000000*(1.651178^(MIN($E1070,123)-117)))*1,0))</f>
        <v>1337256787</v>
      </c>
      <c r="AA1070" s="6">
        <f>$E1070+19</f>
        <v>133</v>
      </c>
      <c r="AB1070" s="7">
        <f>IF($J1070=0,0,ROUND(MAX($J1070*1.4*1.5*1.6*1.6*2.2*2.715*2.6*1.4*1.4,8430000000*(1.651435^(MIN($E1070,123)-117)))*1,0))</f>
        <v>1871729653</v>
      </c>
      <c r="AC1070" s="4">
        <f>$E1070+21</f>
        <v>135</v>
      </c>
      <c r="AD1070" s="8">
        <f>IF($J1070=0,0,ROUND(MAX($J1070*1.4*1.5*1.6*1.6*2.2*2.715*2.6*1.4*1.4*1.5,12600000000*(1.652953^(MIN($E1070,123)-117)))*1,0))</f>
        <v>2789902525</v>
      </c>
      <c r="AE1070" s="6">
        <f>$E1070+24</f>
        <v>138</v>
      </c>
      <c r="AF1070" s="7">
        <f>IF($J1070=0,0,ROUND(MAX($J1070*1.4*1.5*1.6*1.6*2.2*2.715*2.6*1.4*1.4*1.5*1.5,18900000000*(1.65331^(MIN($E1070,123)-117)))*1,0))</f>
        <v>4182143461</v>
      </c>
      <c r="AG1070" s="4">
        <f>$E1070+27</f>
        <v>141</v>
      </c>
      <c r="AH1070" s="8">
        <f>IF($J1070=0,0,ROUND(MAX($J1070*1.4*1.5*1.6*1.6*2.2*2.715*2.6*1.4*1.4*1.5*1.5*3.2,60500000000*(1.654288^(MIN($E1070,123)-117)))*1,0))</f>
        <v>13363555336</v>
      </c>
    </row>
    <row r="1071" ht="27.75" customHeight="1" spans="1:34" x14ac:dyDescent="0.25">
      <c r="A1071" s="3">
        <v>1081</v>
      </c>
      <c r="B1071" s="3" t="s">
        <v>178</v>
      </c>
      <c r="C1071" s="3" t="s">
        <v>829</v>
      </c>
      <c r="D1071" s="3" t="s">
        <v>33</v>
      </c>
      <c r="E1071" s="3">
        <v>114</v>
      </c>
      <c r="F1071" s="3" t="s">
        <v>179</v>
      </c>
      <c r="G1071" s="3" t="s">
        <v>830</v>
      </c>
      <c r="H1071" s="3">
        <v>28</v>
      </c>
      <c r="I1071" s="4">
        <v>114</v>
      </c>
      <c r="J1071" s="5">
        <v>822000</v>
      </c>
      <c r="K1071" s="6">
        <f>$E1071+1</f>
        <v>115</v>
      </c>
      <c r="L1071" s="7">
        <f>IF($J1071=0,0,ROUND(MAX($J1071*1.4,1620000*(1.497923^(MIN($E1071,123)-117)))*1,0))</f>
        <v>1150800</v>
      </c>
      <c r="M1071" s="4">
        <f>$E1071+2</f>
        <v>116</v>
      </c>
      <c r="N1071" s="8">
        <f>IF($J1071=0,0,ROUND(MAX($J1071*1.4*1.5,2190000*(1.580994^(MIN($E1071,123)-117)))*1,0))</f>
        <v>1726200</v>
      </c>
      <c r="O1071" s="6">
        <f>$E1071+4</f>
        <v>118</v>
      </c>
      <c r="P1071" s="7">
        <f>IF($J1071=0,0,ROUND(MAX($J1071*1.4*1.5*1.6,3500000*(1.57975^(MIN($E1071,123)-117)))*1,0))</f>
        <v>2761920</v>
      </c>
      <c r="Q1071" s="4">
        <f>$E1071+6</f>
        <v>120</v>
      </c>
      <c r="R1071" s="8">
        <f>IF($J1071=0,0,ROUND(MAX($J1071*1.4*1.5*1.6*1.6,13100000*(1.429962^(MIN($E1071,123)-117)))*1,0))</f>
        <v>4480204</v>
      </c>
      <c r="S1071" s="6">
        <f>$E1071+8</f>
        <v>122</v>
      </c>
      <c r="T1071" s="7">
        <f>IF($J1071=0,0,ROUND(MAX($J1071*1.4*1.5*1.6*1.6*2.2,42600000*(1.576904^(MIN($E1071,123)-117)))*1,0))</f>
        <v>10864102</v>
      </c>
      <c r="U1071" s="4">
        <f>$E1071+11</f>
        <v>125</v>
      </c>
      <c r="V1071" s="8">
        <f>IF($J1071=0,0,ROUND(MAX($J1071*1.4*1.5*1.6*1.6*2.2*2.715,354000000*(1.642074^(MIN($E1071,123)-117)))*1,0))</f>
        <v>79951219</v>
      </c>
      <c r="W1071" s="6">
        <f>$E1071+15</f>
        <v>129</v>
      </c>
      <c r="X1071" s="7">
        <f>IF($J1071=0,0,ROUND(MAX($J1071*1.4*1.5*1.6*1.6*2.2*2.715*2.6,3540000000*(1.579646^(MIN($E1071,123)-117)))*1,0))</f>
        <v>898098448</v>
      </c>
      <c r="Y1071" s="4">
        <f>$E1071+17</f>
        <v>131</v>
      </c>
      <c r="Z1071" s="8">
        <f>IF($J1071=0,0,ROUND(MAX($J1071*1.4*1.5*1.6*1.6*2.2*2.715*2.6*1.4,6020000000*(1.651178^(MIN($E1071,123)-117)))*1,0))</f>
        <v>1337256787</v>
      </c>
      <c r="AA1071" s="6">
        <f>$E1071+19</f>
        <v>133</v>
      </c>
      <c r="AB1071" s="7">
        <f>IF($J1071=0,0,ROUND(MAX($J1071*1.4*1.5*1.6*1.6*2.2*2.715*2.6*1.4*1.4,8430000000*(1.651435^(MIN($E1071,123)-117)))*1,0))</f>
        <v>1871729653</v>
      </c>
      <c r="AC1071" s="4">
        <f>$E1071+21</f>
        <v>135</v>
      </c>
      <c r="AD1071" s="8">
        <f>IF($J1071=0,0,ROUND(MAX($J1071*1.4*1.5*1.6*1.6*2.2*2.715*2.6*1.4*1.4*1.5,12600000000*(1.652953^(MIN($E1071,123)-117)))*1,0))</f>
        <v>2789902525</v>
      </c>
      <c r="AE1071" s="6">
        <f>$E1071+24</f>
        <v>138</v>
      </c>
      <c r="AF1071" s="7">
        <f>IF($J1071=0,0,ROUND(MAX($J1071*1.4*1.5*1.6*1.6*2.2*2.715*2.6*1.4*1.4*1.5*1.5,18900000000*(1.65331^(MIN($E1071,123)-117)))*1,0))</f>
        <v>4182143461</v>
      </c>
      <c r="AG1071" s="4">
        <f>$E1071+27</f>
        <v>141</v>
      </c>
      <c r="AH1071" s="8">
        <f>IF($J1071=0,0,ROUND(MAX($J1071*1.4*1.5*1.6*1.6*2.2*2.715*2.6*1.4*1.4*1.5*1.5*3.2,60500000000*(1.654288^(MIN($E1071,123)-117)))*1,0))</f>
        <v>13363555336</v>
      </c>
    </row>
    <row r="1072" ht="27.75" customHeight="1" spans="1:34" x14ac:dyDescent="0.25">
      <c r="A1072" s="3">
        <v>1082</v>
      </c>
      <c r="B1072" s="3" t="s">
        <v>483</v>
      </c>
      <c r="C1072" s="3" t="s">
        <v>829</v>
      </c>
      <c r="D1072" s="3" t="s">
        <v>33</v>
      </c>
      <c r="E1072" s="3">
        <v>114</v>
      </c>
      <c r="F1072" s="3" t="s">
        <v>30</v>
      </c>
      <c r="G1072" s="3" t="s">
        <v>830</v>
      </c>
      <c r="H1072" s="3">
        <v>28</v>
      </c>
      <c r="I1072" s="4">
        <v>114</v>
      </c>
      <c r="J1072" s="5">
        <v>172000</v>
      </c>
      <c r="K1072" s="6">
        <f>$E1072+1</f>
        <v>115</v>
      </c>
      <c r="L1072" s="7">
        <f>IF($J1072=0,0,ROUND(MAX($J1072*1.4,1620000*(1.497923^(MIN($E1072,123)-117)))*1,0))</f>
        <v>481999</v>
      </c>
      <c r="M1072" s="4">
        <f>$E1072+2</f>
        <v>116</v>
      </c>
      <c r="N1072" s="8">
        <f>IF($J1072=0,0,ROUND(MAX($J1072*1.4*1.5,2190000*(1.580994^(MIN($E1072,123)-117)))*1,0))</f>
        <v>554183</v>
      </c>
      <c r="O1072" s="6">
        <f>$E1072+4</f>
        <v>118</v>
      </c>
      <c r="P1072" s="7">
        <f>IF($J1072=0,0,ROUND(MAX($J1072*1.4*1.5*1.6,3500000*(1.57975^(MIN($E1072,123)-117)))*1,0))</f>
        <v>887775</v>
      </c>
      <c r="Q1072" s="4">
        <f>$E1072+6</f>
        <v>120</v>
      </c>
      <c r="R1072" s="8">
        <f>IF($J1072=0,0,ROUND(MAX($J1072*1.4*1.5*1.6*1.6,13100000*(1.429962^(MIN($E1072,123)-117)))*1,0))</f>
        <v>4480204</v>
      </c>
      <c r="S1072" s="6">
        <f>$E1072+8</f>
        <v>122</v>
      </c>
      <c r="T1072" s="7">
        <f>IF($J1072=0,0,ROUND(MAX($J1072*1.4*1.5*1.6*1.6*2.2,42600000*(1.576904^(MIN($E1072,123)-117)))*1,0))</f>
        <v>10864102</v>
      </c>
      <c r="U1072" s="4">
        <f>$E1072+11</f>
        <v>125</v>
      </c>
      <c r="V1072" s="8">
        <f>IF($J1072=0,0,ROUND(MAX($J1072*1.4*1.5*1.6*1.6*2.2*2.715,354000000*(1.642074^(MIN($E1072,123)-117)))*1,0))</f>
        <v>79951219</v>
      </c>
      <c r="W1072" s="6">
        <f>$E1072+15</f>
        <v>129</v>
      </c>
      <c r="X1072" s="7">
        <f>IF($J1072=0,0,ROUND(MAX($J1072*1.4*1.5*1.6*1.6*2.2*2.715*2.6,3540000000*(1.579646^(MIN($E1072,123)-117)))*1,0))</f>
        <v>898098448</v>
      </c>
      <c r="Y1072" s="4">
        <f>$E1072+17</f>
        <v>131</v>
      </c>
      <c r="Z1072" s="8">
        <f>IF($J1072=0,0,ROUND(MAX($J1072*1.4*1.5*1.6*1.6*2.2*2.715*2.6*1.4,6020000000*(1.651178^(MIN($E1072,123)-117)))*1,0))</f>
        <v>1337256787</v>
      </c>
      <c r="AA1072" s="6">
        <f>$E1072+19</f>
        <v>133</v>
      </c>
      <c r="AB1072" s="7">
        <f>IF($J1072=0,0,ROUND(MAX($J1072*1.4*1.5*1.6*1.6*2.2*2.715*2.6*1.4*1.4,8430000000*(1.651435^(MIN($E1072,123)-117)))*1,0))</f>
        <v>1871729653</v>
      </c>
      <c r="AC1072" s="4">
        <f>$E1072+21</f>
        <v>135</v>
      </c>
      <c r="AD1072" s="8">
        <f>IF($J1072=0,0,ROUND(MAX($J1072*1.4*1.5*1.6*1.6*2.2*2.715*2.6*1.4*1.4*1.5,12600000000*(1.652953^(MIN($E1072,123)-117)))*1,0))</f>
        <v>2789902525</v>
      </c>
      <c r="AE1072" s="6">
        <f>$E1072+24</f>
        <v>138</v>
      </c>
      <c r="AF1072" s="7">
        <f>IF($J1072=0,0,ROUND(MAX($J1072*1.4*1.5*1.6*1.6*2.2*2.715*2.6*1.4*1.4*1.5*1.5,18900000000*(1.65331^(MIN($E1072,123)-117)))*1,0))</f>
        <v>4182143461</v>
      </c>
      <c r="AG1072" s="4">
        <f>$E1072+27</f>
        <v>141</v>
      </c>
      <c r="AH1072" s="8">
        <f>IF($J1072=0,0,ROUND(MAX($J1072*1.4*1.5*1.6*1.6*2.2*2.715*2.6*1.4*1.4*1.5*1.5*3.2,60500000000*(1.654288^(MIN($E1072,123)-117)))*1,0))</f>
        <v>13363555336</v>
      </c>
    </row>
    <row r="1073" ht="27.75" customHeight="1" spans="1:34" x14ac:dyDescent="0.25">
      <c r="A1073" s="3">
        <v>1083</v>
      </c>
      <c r="B1073" s="3" t="s">
        <v>127</v>
      </c>
      <c r="C1073" s="3" t="s">
        <v>829</v>
      </c>
      <c r="D1073" s="3" t="s">
        <v>33</v>
      </c>
      <c r="E1073" s="3">
        <v>114</v>
      </c>
      <c r="F1073" s="3" t="s">
        <v>71</v>
      </c>
      <c r="G1073" s="3" t="s">
        <v>830</v>
      </c>
      <c r="H1073" s="3">
        <v>28</v>
      </c>
      <c r="I1073" s="4">
        <v>114</v>
      </c>
      <c r="J1073" s="5">
        <v>1260000</v>
      </c>
      <c r="K1073" s="6">
        <f>$E1073+1</f>
        <v>115</v>
      </c>
      <c r="L1073" s="7">
        <f>IF($J1073=0,0,ROUND(MAX($J1073*1.4,1620000*(1.497923^(MIN($E1073,123)-117)))*1,0))</f>
        <v>1764000</v>
      </c>
      <c r="M1073" s="4">
        <f>$E1073+2</f>
        <v>116</v>
      </c>
      <c r="N1073" s="8">
        <f>IF($J1073=0,0,ROUND(MAX($J1073*1.4*1.5,2190000*(1.580994^(MIN($E1073,123)-117)))*1,0))</f>
        <v>2646000</v>
      </c>
      <c r="O1073" s="6">
        <f>$E1073+4</f>
        <v>118</v>
      </c>
      <c r="P1073" s="7">
        <f>IF($J1073=0,0,ROUND(MAX($J1073*1.4*1.5*1.6,3500000*(1.57975^(MIN($E1073,123)-117)))*1,0))</f>
        <v>4233600</v>
      </c>
      <c r="Q1073" s="4">
        <f>$E1073+6</f>
        <v>120</v>
      </c>
      <c r="R1073" s="8">
        <f>IF($J1073=0,0,ROUND(MAX($J1073*1.4*1.5*1.6*1.6,13100000*(1.429962^(MIN($E1073,123)-117)))*1,0))</f>
        <v>6773760</v>
      </c>
      <c r="S1073" s="6">
        <f>$E1073+8</f>
        <v>122</v>
      </c>
      <c r="T1073" s="7">
        <f>IF($J1073=0,0,ROUND(MAX($J1073*1.4*1.5*1.6*1.6*2.2,42600000*(1.576904^(MIN($E1073,123)-117)))*1,0))</f>
        <v>14902272</v>
      </c>
      <c r="U1073" s="4">
        <f>$E1073+11</f>
        <v>125</v>
      </c>
      <c r="V1073" s="8">
        <f>IF($J1073=0,0,ROUND(MAX($J1073*1.4*1.5*1.6*1.6*2.2*2.715,354000000*(1.642074^(MIN($E1073,123)-117)))*1,0))</f>
        <v>79951219</v>
      </c>
      <c r="W1073" s="6">
        <f>$E1073+15</f>
        <v>129</v>
      </c>
      <c r="X1073" s="7">
        <f>IF($J1073=0,0,ROUND(MAX($J1073*1.4*1.5*1.6*1.6*2.2*2.715*2.6,3540000000*(1.579646^(MIN($E1073,123)-117)))*1,0))</f>
        <v>898098448</v>
      </c>
      <c r="Y1073" s="4">
        <f>$E1073+17</f>
        <v>131</v>
      </c>
      <c r="Z1073" s="8">
        <f>IF($J1073=0,0,ROUND(MAX($J1073*1.4*1.5*1.6*1.6*2.2*2.715*2.6*1.4,6020000000*(1.651178^(MIN($E1073,123)-117)))*1,0))</f>
        <v>1337256787</v>
      </c>
      <c r="AA1073" s="6">
        <f>$E1073+19</f>
        <v>133</v>
      </c>
      <c r="AB1073" s="7">
        <f>IF($J1073=0,0,ROUND(MAX($J1073*1.4*1.5*1.6*1.6*2.2*2.715*2.6*1.4*1.4,8430000000*(1.651435^(MIN($E1073,123)-117)))*1,0))</f>
        <v>1871729653</v>
      </c>
      <c r="AC1073" s="4">
        <f>$E1073+21</f>
        <v>135</v>
      </c>
      <c r="AD1073" s="8">
        <f>IF($J1073=0,0,ROUND(MAX($J1073*1.4*1.5*1.6*1.6*2.2*2.715*2.6*1.4*1.4*1.5,12600000000*(1.652953^(MIN($E1073,123)-117)))*1,0))</f>
        <v>2789902525</v>
      </c>
      <c r="AE1073" s="6">
        <f>$E1073+24</f>
        <v>138</v>
      </c>
      <c r="AF1073" s="7">
        <f>IF($J1073=0,0,ROUND(MAX($J1073*1.4*1.5*1.6*1.6*2.2*2.715*2.6*1.4*1.4*1.5*1.5,18900000000*(1.65331^(MIN($E1073,123)-117)))*1,0))</f>
        <v>4182143461</v>
      </c>
      <c r="AG1073" s="4">
        <f>$E1073+27</f>
        <v>141</v>
      </c>
      <c r="AH1073" s="8">
        <f>IF($J1073=0,0,ROUND(MAX($J1073*1.4*1.5*1.6*1.6*2.2*2.715*2.6*1.4*1.4*1.5*1.5*3.2,60500000000*(1.654288^(MIN($E1073,123)-117)))*1,0))</f>
        <v>13363555336</v>
      </c>
    </row>
    <row r="1074" ht="27.75" customHeight="1" spans="1:34" x14ac:dyDescent="0.25">
      <c r="A1074" s="3">
        <v>1084</v>
      </c>
      <c r="B1074" s="3" t="s">
        <v>80</v>
      </c>
      <c r="C1074" s="3" t="s">
        <v>829</v>
      </c>
      <c r="D1074" s="3" t="s">
        <v>45</v>
      </c>
      <c r="E1074" s="3">
        <v>114</v>
      </c>
      <c r="F1074" s="3" t="s">
        <v>71</v>
      </c>
      <c r="G1074" s="3" t="s">
        <v>830</v>
      </c>
      <c r="H1074" s="3">
        <v>28</v>
      </c>
      <c r="I1074" s="4">
        <v>114</v>
      </c>
      <c r="J1074" s="5">
        <v>296000</v>
      </c>
      <c r="K1074" s="6">
        <f>$E1074+1</f>
        <v>115</v>
      </c>
      <c r="L1074" s="7">
        <f>IF($J1074=0,0,ROUND(MAX($J1074*1.4,1620000*(1.497923^(MIN($E1074,123)-117)))*1,0))</f>
        <v>481999</v>
      </c>
      <c r="M1074" s="4">
        <f>$E1074+2</f>
        <v>116</v>
      </c>
      <c r="N1074" s="8">
        <f>IF($J1074=0,0,ROUND(MAX($J1074*1.4*1.5,2190000*(1.580994^(MIN($E1074,123)-117)))*1,0))</f>
        <v>621600</v>
      </c>
      <c r="O1074" s="6">
        <f>$E1074+4</f>
        <v>118</v>
      </c>
      <c r="P1074" s="7">
        <f>IF($J1074=0,0,ROUND(MAX($J1074*1.4*1.5*1.6,3500000*(1.57975^(MIN($E1074,123)-117)))*1,0))</f>
        <v>994560</v>
      </c>
      <c r="Q1074" s="4">
        <f>$E1074+6</f>
        <v>120</v>
      </c>
      <c r="R1074" s="8">
        <f>IF($J1074=0,0,ROUND(MAX($J1074*1.4*1.5*1.6*1.6,13100000*(1.429962^(MIN($E1074,123)-117)))*1,0))</f>
        <v>4480204</v>
      </c>
      <c r="S1074" s="6">
        <f>$E1074+8</f>
        <v>122</v>
      </c>
      <c r="T1074" s="7">
        <f>IF($J1074=0,0,ROUND(MAX($J1074*1.4*1.5*1.6*1.6*2.2,42600000*(1.576904^(MIN($E1074,123)-117)))*1,0))</f>
        <v>10864102</v>
      </c>
      <c r="U1074" s="4">
        <f>$E1074+11</f>
        <v>125</v>
      </c>
      <c r="V1074" s="8">
        <f>IF($J1074=0,0,ROUND(MAX($J1074*1.4*1.5*1.6*1.6*2.2*2.715,354000000*(1.642074^(MIN($E1074,123)-117)))*1,0))</f>
        <v>79951219</v>
      </c>
      <c r="W1074" s="6">
        <f>$E1074+15</f>
        <v>129</v>
      </c>
      <c r="X1074" s="7">
        <f>IF($J1074=0,0,ROUND(MAX($J1074*1.4*1.5*1.6*1.6*2.2*2.715*2.6,3540000000*(1.579646^(MIN($E1074,123)-117)))*1,0))</f>
        <v>898098448</v>
      </c>
      <c r="Y1074" s="4">
        <f>$E1074+17</f>
        <v>131</v>
      </c>
      <c r="Z1074" s="8">
        <f>IF($J1074=0,0,ROUND(MAX($J1074*1.4*1.5*1.6*1.6*2.2*2.715*2.6*1.4,6020000000*(1.651178^(MIN($E1074,123)-117)))*1,0))</f>
        <v>1337256787</v>
      </c>
      <c r="AA1074" s="6">
        <f>$E1074+19</f>
        <v>133</v>
      </c>
      <c r="AB1074" s="7">
        <f>IF($J1074=0,0,ROUND(MAX($J1074*1.4*1.5*1.6*1.6*2.2*2.715*2.6*1.4*1.4,8430000000*(1.651435^(MIN($E1074,123)-117)))*1,0))</f>
        <v>1871729653</v>
      </c>
      <c r="AC1074" s="4">
        <f>$E1074+21</f>
        <v>135</v>
      </c>
      <c r="AD1074" s="8">
        <f>IF($J1074=0,0,ROUND(MAX($J1074*1.4*1.5*1.6*1.6*2.2*2.715*2.6*1.4*1.4*1.5,12600000000*(1.652953^(MIN($E1074,123)-117)))*1,0))</f>
        <v>2789902525</v>
      </c>
      <c r="AE1074" s="6">
        <f>$E1074+24</f>
        <v>138</v>
      </c>
      <c r="AF1074" s="7">
        <f>IF($J1074=0,0,ROUND(MAX($J1074*1.4*1.5*1.6*1.6*2.2*2.715*2.6*1.4*1.4*1.5*1.5,18900000000*(1.65331^(MIN($E1074,123)-117)))*1,0))</f>
        <v>4182143461</v>
      </c>
      <c r="AG1074" s="4">
        <f>$E1074+27</f>
        <v>141</v>
      </c>
      <c r="AH1074" s="8">
        <f>IF($J1074=0,0,ROUND(MAX($J1074*1.4*1.5*1.6*1.6*2.2*2.715*2.6*1.4*1.4*1.5*1.5*3.2,60500000000*(1.654288^(MIN($E1074,123)-117)))*1,0))</f>
        <v>13363555336</v>
      </c>
    </row>
    <row r="1075" ht="27.75" customHeight="1" spans="1:34" x14ac:dyDescent="0.25">
      <c r="A1075" s="3">
        <v>1085</v>
      </c>
      <c r="B1075" s="3" t="s">
        <v>187</v>
      </c>
      <c r="C1075" s="3" t="s">
        <v>829</v>
      </c>
      <c r="D1075" s="3" t="s">
        <v>102</v>
      </c>
      <c r="E1075" s="3">
        <v>114</v>
      </c>
      <c r="F1075" s="3" t="s">
        <v>54</v>
      </c>
      <c r="G1075" s="3" t="s">
        <v>830</v>
      </c>
      <c r="H1075" s="3">
        <v>28</v>
      </c>
      <c r="I1075" s="4">
        <v>114</v>
      </c>
      <c r="J1075" s="5">
        <v>297000</v>
      </c>
      <c r="K1075" s="6">
        <f>$E1075+1</f>
        <v>115</v>
      </c>
      <c r="L1075" s="7">
        <f>IF($J1075=0,0,ROUND(MAX($J1075*1.4,1620000*(1.497923^(MIN($E1075,123)-117)))*1,0))</f>
        <v>481999</v>
      </c>
      <c r="M1075" s="4">
        <f>$E1075+2</f>
        <v>116</v>
      </c>
      <c r="N1075" s="8">
        <f>IF($J1075=0,0,ROUND(MAX($J1075*1.4*1.5,2190000*(1.580994^(MIN($E1075,123)-117)))*1,0))</f>
        <v>623700</v>
      </c>
      <c r="O1075" s="6">
        <f>$E1075+4</f>
        <v>118</v>
      </c>
      <c r="P1075" s="7">
        <f>IF($J1075=0,0,ROUND(MAX($J1075*1.4*1.5*1.6,3500000*(1.57975^(MIN($E1075,123)-117)))*1,0))</f>
        <v>997920</v>
      </c>
      <c r="Q1075" s="4">
        <f>$E1075+6</f>
        <v>120</v>
      </c>
      <c r="R1075" s="8">
        <f>IF($J1075=0,0,ROUND(MAX($J1075*1.4*1.5*1.6*1.6,13100000*(1.429962^(MIN($E1075,123)-117)))*1,0))</f>
        <v>4480204</v>
      </c>
      <c r="S1075" s="6">
        <f>$E1075+8</f>
        <v>122</v>
      </c>
      <c r="T1075" s="7">
        <f>IF($J1075=0,0,ROUND(MAX($J1075*1.4*1.5*1.6*1.6*2.2,42600000*(1.576904^(MIN($E1075,123)-117)))*1,0))</f>
        <v>10864102</v>
      </c>
      <c r="U1075" s="4">
        <f>$E1075+11</f>
        <v>125</v>
      </c>
      <c r="V1075" s="8">
        <f>IF($J1075=0,0,ROUND(MAX($J1075*1.4*1.5*1.6*1.6*2.2*2.715,354000000*(1.642074^(MIN($E1075,123)-117)))*1,0))</f>
        <v>79951219</v>
      </c>
      <c r="W1075" s="6">
        <f>$E1075+15</f>
        <v>129</v>
      </c>
      <c r="X1075" s="7">
        <f>IF($J1075=0,0,ROUND(MAX($J1075*1.4*1.5*1.6*1.6*2.2*2.715*2.6,3540000000*(1.579646^(MIN($E1075,123)-117)))*1,0))</f>
        <v>898098448</v>
      </c>
      <c r="Y1075" s="4">
        <f>$E1075+17</f>
        <v>131</v>
      </c>
      <c r="Z1075" s="8">
        <f>IF($J1075=0,0,ROUND(MAX($J1075*1.4*1.5*1.6*1.6*2.2*2.715*2.6*1.4,6020000000*(1.651178^(MIN($E1075,123)-117)))*1,0))</f>
        <v>1337256787</v>
      </c>
      <c r="AA1075" s="6">
        <f>$E1075+19</f>
        <v>133</v>
      </c>
      <c r="AB1075" s="7">
        <f>IF($J1075=0,0,ROUND(MAX($J1075*1.4*1.5*1.6*1.6*2.2*2.715*2.6*1.4*1.4,8430000000*(1.651435^(MIN($E1075,123)-117)))*1,0))</f>
        <v>1871729653</v>
      </c>
      <c r="AC1075" s="4">
        <f>$E1075+21</f>
        <v>135</v>
      </c>
      <c r="AD1075" s="8">
        <f>IF($J1075=0,0,ROUND(MAX($J1075*1.4*1.5*1.6*1.6*2.2*2.715*2.6*1.4*1.4*1.5,12600000000*(1.652953^(MIN($E1075,123)-117)))*1,0))</f>
        <v>2789902525</v>
      </c>
      <c r="AE1075" s="6">
        <f>$E1075+24</f>
        <v>138</v>
      </c>
      <c r="AF1075" s="7">
        <f>IF($J1075=0,0,ROUND(MAX($J1075*1.4*1.5*1.6*1.6*2.2*2.715*2.6*1.4*1.4*1.5*1.5,18900000000*(1.65331^(MIN($E1075,123)-117)))*1,0))</f>
        <v>4182143461</v>
      </c>
      <c r="AG1075" s="4">
        <f>$E1075+27</f>
        <v>141</v>
      </c>
      <c r="AH1075" s="8">
        <f>IF($J1075=0,0,ROUND(MAX($J1075*1.4*1.5*1.6*1.6*2.2*2.715*2.6*1.4*1.4*1.5*1.5*3.2,60500000000*(1.654288^(MIN($E1075,123)-117)))*1,0))</f>
        <v>13363555336</v>
      </c>
    </row>
    <row r="1076" ht="27.75" customHeight="1" spans="1:34" x14ac:dyDescent="0.25">
      <c r="A1076" s="3">
        <v>1086</v>
      </c>
      <c r="B1076" s="3" t="s">
        <v>148</v>
      </c>
      <c r="C1076" s="3" t="s">
        <v>829</v>
      </c>
      <c r="D1076" s="3" t="s">
        <v>102</v>
      </c>
      <c r="E1076" s="3">
        <v>114</v>
      </c>
      <c r="F1076" s="3" t="s">
        <v>54</v>
      </c>
      <c r="G1076" s="3" t="s">
        <v>830</v>
      </c>
      <c r="H1076" s="3">
        <v>28</v>
      </c>
      <c r="I1076" s="4">
        <v>114</v>
      </c>
      <c r="J1076" s="5">
        <v>536000</v>
      </c>
      <c r="K1076" s="6">
        <f>$E1076+1</f>
        <v>115</v>
      </c>
      <c r="L1076" s="7">
        <f>IF($J1076=0,0,ROUND(MAX($J1076*1.4,1620000*(1.497923^(MIN($E1076,123)-117)))*1,0))</f>
        <v>750400</v>
      </c>
      <c r="M1076" s="4">
        <f>$E1076+2</f>
        <v>116</v>
      </c>
      <c r="N1076" s="8">
        <f>IF($J1076=0,0,ROUND(MAX($J1076*1.4*1.5,2190000*(1.580994^(MIN($E1076,123)-117)))*1,0))</f>
        <v>1125600</v>
      </c>
      <c r="O1076" s="6">
        <f>$E1076+4</f>
        <v>118</v>
      </c>
      <c r="P1076" s="7">
        <f>IF($J1076=0,0,ROUND(MAX($J1076*1.4*1.5*1.6,3500000*(1.57975^(MIN($E1076,123)-117)))*1,0))</f>
        <v>1800960</v>
      </c>
      <c r="Q1076" s="4">
        <f>$E1076+6</f>
        <v>120</v>
      </c>
      <c r="R1076" s="8">
        <f>IF($J1076=0,0,ROUND(MAX($J1076*1.4*1.5*1.6*1.6,13100000*(1.429962^(MIN($E1076,123)-117)))*1,0))</f>
        <v>4480204</v>
      </c>
      <c r="S1076" s="6">
        <f>$E1076+8</f>
        <v>122</v>
      </c>
      <c r="T1076" s="7">
        <f>IF($J1076=0,0,ROUND(MAX($J1076*1.4*1.5*1.6*1.6*2.2,42600000*(1.576904^(MIN($E1076,123)-117)))*1,0))</f>
        <v>10864102</v>
      </c>
      <c r="U1076" s="4">
        <f>$E1076+11</f>
        <v>125</v>
      </c>
      <c r="V1076" s="8">
        <f>IF($J1076=0,0,ROUND(MAX($J1076*1.4*1.5*1.6*1.6*2.2*2.715,354000000*(1.642074^(MIN($E1076,123)-117)))*1,0))</f>
        <v>79951219</v>
      </c>
      <c r="W1076" s="6">
        <f>$E1076+15</f>
        <v>129</v>
      </c>
      <c r="X1076" s="7">
        <f>IF($J1076=0,0,ROUND(MAX($J1076*1.4*1.5*1.6*1.6*2.2*2.715*2.6,3540000000*(1.579646^(MIN($E1076,123)-117)))*1,0))</f>
        <v>898098448</v>
      </c>
      <c r="Y1076" s="4">
        <f>$E1076+17</f>
        <v>131</v>
      </c>
      <c r="Z1076" s="8">
        <f>IF($J1076=0,0,ROUND(MAX($J1076*1.4*1.5*1.6*1.6*2.2*2.715*2.6*1.4,6020000000*(1.651178^(MIN($E1076,123)-117)))*1,0))</f>
        <v>1337256787</v>
      </c>
      <c r="AA1076" s="6">
        <f>$E1076+19</f>
        <v>133</v>
      </c>
      <c r="AB1076" s="7">
        <f>IF($J1076=0,0,ROUND(MAX($J1076*1.4*1.5*1.6*1.6*2.2*2.715*2.6*1.4*1.4,8430000000*(1.651435^(MIN($E1076,123)-117)))*1,0))</f>
        <v>1871729653</v>
      </c>
      <c r="AC1076" s="4">
        <f>$E1076+21</f>
        <v>135</v>
      </c>
      <c r="AD1076" s="8">
        <f>IF($J1076=0,0,ROUND(MAX($J1076*1.4*1.5*1.6*1.6*2.2*2.715*2.6*1.4*1.4*1.5,12600000000*(1.652953^(MIN($E1076,123)-117)))*1,0))</f>
        <v>2789902525</v>
      </c>
      <c r="AE1076" s="6">
        <f>$E1076+24</f>
        <v>138</v>
      </c>
      <c r="AF1076" s="7">
        <f>IF($J1076=0,0,ROUND(MAX($J1076*1.4*1.5*1.6*1.6*2.2*2.715*2.6*1.4*1.4*1.5*1.5,18900000000*(1.65331^(MIN($E1076,123)-117)))*1,0))</f>
        <v>4182143461</v>
      </c>
      <c r="AG1076" s="4">
        <f>$E1076+27</f>
        <v>141</v>
      </c>
      <c r="AH1076" s="8">
        <f>IF($J1076=0,0,ROUND(MAX($J1076*1.4*1.5*1.6*1.6*2.2*2.715*2.6*1.4*1.4*1.5*1.5*3.2,60500000000*(1.654288^(MIN($E1076,123)-117)))*1,0))</f>
        <v>13363555336</v>
      </c>
    </row>
    <row r="1077" ht="27.75" customHeight="1" spans="1:34" x14ac:dyDescent="0.25">
      <c r="A1077" s="3">
        <v>1087</v>
      </c>
      <c r="B1077" s="3" t="s">
        <v>121</v>
      </c>
      <c r="C1077" s="3" t="s">
        <v>829</v>
      </c>
      <c r="D1077" s="3" t="s">
        <v>29</v>
      </c>
      <c r="E1077" s="3">
        <v>114</v>
      </c>
      <c r="F1077" s="3" t="s">
        <v>62</v>
      </c>
      <c r="G1077" s="3" t="s">
        <v>830</v>
      </c>
      <c r="H1077" s="3">
        <v>28</v>
      </c>
      <c r="I1077" s="4">
        <v>114</v>
      </c>
      <c r="J1077" s="5">
        <v>674000</v>
      </c>
      <c r="K1077" s="6">
        <f>$E1077+1</f>
        <v>115</v>
      </c>
      <c r="L1077" s="7">
        <f>IF($J1077=0,0,ROUND(MAX($J1077*1.4,1620000*(1.497923^(MIN($E1077,123)-117)))*1,0))</f>
        <v>943600</v>
      </c>
      <c r="M1077" s="4">
        <f>$E1077+2</f>
        <v>116</v>
      </c>
      <c r="N1077" s="8">
        <f>IF($J1077=0,0,ROUND(MAX($J1077*1.4*1.5,2190000*(1.580994^(MIN($E1077,123)-117)))*1,0))</f>
        <v>1415400</v>
      </c>
      <c r="O1077" s="6">
        <f>$E1077+4</f>
        <v>118</v>
      </c>
      <c r="P1077" s="7">
        <f>IF($J1077=0,0,ROUND(MAX($J1077*1.4*1.5*1.6,3500000*(1.57975^(MIN($E1077,123)-117)))*1,0))</f>
        <v>2264640</v>
      </c>
      <c r="Q1077" s="4">
        <f>$E1077+6</f>
        <v>120</v>
      </c>
      <c r="R1077" s="8">
        <f>IF($J1077=0,0,ROUND(MAX($J1077*1.4*1.5*1.6*1.6,13100000*(1.429962^(MIN($E1077,123)-117)))*1,0))</f>
        <v>4480204</v>
      </c>
      <c r="S1077" s="6">
        <f>$E1077+8</f>
        <v>122</v>
      </c>
      <c r="T1077" s="7">
        <f>IF($J1077=0,0,ROUND(MAX($J1077*1.4*1.5*1.6*1.6*2.2,42600000*(1.576904^(MIN($E1077,123)-117)))*1,0))</f>
        <v>10864102</v>
      </c>
      <c r="U1077" s="4">
        <f>$E1077+11</f>
        <v>125</v>
      </c>
      <c r="V1077" s="8">
        <f>IF($J1077=0,0,ROUND(MAX($J1077*1.4*1.5*1.6*1.6*2.2*2.715,354000000*(1.642074^(MIN($E1077,123)-117)))*1,0))</f>
        <v>79951219</v>
      </c>
      <c r="W1077" s="6">
        <f>$E1077+15</f>
        <v>129</v>
      </c>
      <c r="X1077" s="7">
        <f>IF($J1077=0,0,ROUND(MAX($J1077*1.4*1.5*1.6*1.6*2.2*2.715*2.6,3540000000*(1.579646^(MIN($E1077,123)-117)))*1,0))</f>
        <v>898098448</v>
      </c>
      <c r="Y1077" s="4">
        <f>$E1077+17</f>
        <v>131</v>
      </c>
      <c r="Z1077" s="8">
        <f>IF($J1077=0,0,ROUND(MAX($J1077*1.4*1.5*1.6*1.6*2.2*2.715*2.6*1.4,6020000000*(1.651178^(MIN($E1077,123)-117)))*1,0))</f>
        <v>1337256787</v>
      </c>
      <c r="AA1077" s="6">
        <f>$E1077+19</f>
        <v>133</v>
      </c>
      <c r="AB1077" s="7">
        <f>IF($J1077=0,0,ROUND(MAX($J1077*1.4*1.5*1.6*1.6*2.2*2.715*2.6*1.4*1.4,8430000000*(1.651435^(MIN($E1077,123)-117)))*1,0))</f>
        <v>1871729653</v>
      </c>
      <c r="AC1077" s="4">
        <f>$E1077+21</f>
        <v>135</v>
      </c>
      <c r="AD1077" s="8">
        <f>IF($J1077=0,0,ROUND(MAX($J1077*1.4*1.5*1.6*1.6*2.2*2.715*2.6*1.4*1.4*1.5,12600000000*(1.652953^(MIN($E1077,123)-117)))*1,0))</f>
        <v>2789902525</v>
      </c>
      <c r="AE1077" s="6">
        <f>$E1077+24</f>
        <v>138</v>
      </c>
      <c r="AF1077" s="7">
        <f>IF($J1077=0,0,ROUND(MAX($J1077*1.4*1.5*1.6*1.6*2.2*2.715*2.6*1.4*1.4*1.5*1.5,18900000000*(1.65331^(MIN($E1077,123)-117)))*1,0))</f>
        <v>4182143461</v>
      </c>
      <c r="AG1077" s="4">
        <f>$E1077+27</f>
        <v>141</v>
      </c>
      <c r="AH1077" s="8">
        <f>IF($J1077=0,0,ROUND(MAX($J1077*1.4*1.5*1.6*1.6*2.2*2.715*2.6*1.4*1.4*1.5*1.5*3.2,60500000000*(1.654288^(MIN($E1077,123)-117)))*1,0))</f>
        <v>13363555336</v>
      </c>
    </row>
    <row r="1078" ht="27.75" customHeight="1" spans="1:34" x14ac:dyDescent="0.25">
      <c r="A1078" s="3">
        <v>1088</v>
      </c>
      <c r="B1078" s="3" t="s">
        <v>147</v>
      </c>
      <c r="C1078" s="3" t="s">
        <v>829</v>
      </c>
      <c r="D1078" s="3" t="s">
        <v>25</v>
      </c>
      <c r="E1078" s="3">
        <v>114</v>
      </c>
      <c r="F1078" s="3" t="s">
        <v>56</v>
      </c>
      <c r="G1078" s="3" t="s">
        <v>830</v>
      </c>
      <c r="H1078" s="3">
        <v>28</v>
      </c>
      <c r="I1078" s="4">
        <v>114</v>
      </c>
      <c r="J1078" s="5">
        <v>790000</v>
      </c>
      <c r="K1078" s="6">
        <f>$E1078+1</f>
        <v>115</v>
      </c>
      <c r="L1078" s="7">
        <f>IF($J1078=0,0,ROUND(MAX($J1078*1.4,1620000*(1.497923^(MIN($E1078,123)-117)))*1,0))</f>
        <v>1106000</v>
      </c>
      <c r="M1078" s="4">
        <f>$E1078+2</f>
        <v>116</v>
      </c>
      <c r="N1078" s="8">
        <f>IF($J1078=0,0,ROUND(MAX($J1078*1.4*1.5,2190000*(1.580994^(MIN($E1078,123)-117)))*1,0))</f>
        <v>1659000</v>
      </c>
      <c r="O1078" s="6">
        <f>$E1078+4</f>
        <v>118</v>
      </c>
      <c r="P1078" s="7">
        <f>IF($J1078=0,0,ROUND(MAX($J1078*1.4*1.5*1.6,3500000*(1.57975^(MIN($E1078,123)-117)))*1,0))</f>
        <v>2654400</v>
      </c>
      <c r="Q1078" s="4">
        <f>$E1078+6</f>
        <v>120</v>
      </c>
      <c r="R1078" s="8">
        <f>IF($J1078=0,0,ROUND(MAX($J1078*1.4*1.5*1.6*1.6,13100000*(1.429962^(MIN($E1078,123)-117)))*1,0))</f>
        <v>4480204</v>
      </c>
      <c r="S1078" s="6">
        <f>$E1078+8</f>
        <v>122</v>
      </c>
      <c r="T1078" s="7">
        <f>IF($J1078=0,0,ROUND(MAX($J1078*1.4*1.5*1.6*1.6*2.2,42600000*(1.576904^(MIN($E1078,123)-117)))*1,0))</f>
        <v>10864102</v>
      </c>
      <c r="U1078" s="4">
        <f>$E1078+11</f>
        <v>125</v>
      </c>
      <c r="V1078" s="8">
        <f>IF($J1078=0,0,ROUND(MAX($J1078*1.4*1.5*1.6*1.6*2.2*2.715,354000000*(1.642074^(MIN($E1078,123)-117)))*1,0))</f>
        <v>79951219</v>
      </c>
      <c r="W1078" s="6">
        <f>$E1078+15</f>
        <v>129</v>
      </c>
      <c r="X1078" s="7">
        <f>IF($J1078=0,0,ROUND(MAX($J1078*1.4*1.5*1.6*1.6*2.2*2.715*2.6,3540000000*(1.579646^(MIN($E1078,123)-117)))*1,0))</f>
        <v>898098448</v>
      </c>
      <c r="Y1078" s="4">
        <f>$E1078+17</f>
        <v>131</v>
      </c>
      <c r="Z1078" s="8">
        <f>IF($J1078=0,0,ROUND(MAX($J1078*1.4*1.5*1.6*1.6*2.2*2.715*2.6*1.4,6020000000*(1.651178^(MIN($E1078,123)-117)))*1,0))</f>
        <v>1337256787</v>
      </c>
      <c r="AA1078" s="6">
        <f>$E1078+19</f>
        <v>133</v>
      </c>
      <c r="AB1078" s="7">
        <f>IF($J1078=0,0,ROUND(MAX($J1078*1.4*1.5*1.6*1.6*2.2*2.715*2.6*1.4*1.4,8430000000*(1.651435^(MIN($E1078,123)-117)))*1,0))</f>
        <v>1871729653</v>
      </c>
      <c r="AC1078" s="4">
        <f>$E1078+21</f>
        <v>135</v>
      </c>
      <c r="AD1078" s="8">
        <f>IF($J1078=0,0,ROUND(MAX($J1078*1.4*1.5*1.6*1.6*2.2*2.715*2.6*1.4*1.4*1.5,12600000000*(1.652953^(MIN($E1078,123)-117)))*1,0))</f>
        <v>2789902525</v>
      </c>
      <c r="AE1078" s="6">
        <f>$E1078+24</f>
        <v>138</v>
      </c>
      <c r="AF1078" s="7">
        <f>IF($J1078=0,0,ROUND(MAX($J1078*1.4*1.5*1.6*1.6*2.2*2.715*2.6*1.4*1.4*1.5*1.5,18900000000*(1.65331^(MIN($E1078,123)-117)))*1,0))</f>
        <v>4182143461</v>
      </c>
      <c r="AG1078" s="4">
        <f>$E1078+27</f>
        <v>141</v>
      </c>
      <c r="AH1078" s="8">
        <f>IF($J1078=0,0,ROUND(MAX($J1078*1.4*1.5*1.6*1.6*2.2*2.715*2.6*1.4*1.4*1.5*1.5*3.2,60500000000*(1.654288^(MIN($E1078,123)-117)))*1,0))</f>
        <v>13363555336</v>
      </c>
    </row>
    <row r="1079" ht="27.75" customHeight="1" spans="1:34" x14ac:dyDescent="0.25">
      <c r="A1079" s="3">
        <v>1089</v>
      </c>
      <c r="B1079" s="3" t="s">
        <v>467</v>
      </c>
      <c r="C1079" s="3" t="s">
        <v>829</v>
      </c>
      <c r="D1079" s="3" t="s">
        <v>64</v>
      </c>
      <c r="E1079" s="3">
        <v>114</v>
      </c>
      <c r="F1079" s="3" t="s">
        <v>56</v>
      </c>
      <c r="G1079" s="3" t="s">
        <v>95</v>
      </c>
      <c r="H1079" s="3">
        <v>27</v>
      </c>
      <c r="I1079" s="4">
        <v>114</v>
      </c>
      <c r="J1079" s="5">
        <v>213000</v>
      </c>
      <c r="K1079" s="6">
        <f>$E1079+1</f>
        <v>115</v>
      </c>
      <c r="L1079" s="7">
        <f>IF($J1079=0,0,ROUND(MAX($J1079*1.4,1620000*(1.497923^(MIN($E1079,123)-117)))*1,0))</f>
        <v>481999</v>
      </c>
      <c r="M1079" s="4">
        <f>$E1079+2</f>
        <v>116</v>
      </c>
      <c r="N1079" s="8">
        <f>IF($J1079=0,0,ROUND(MAX($J1079*1.4*1.5,2190000*(1.580994^(MIN($E1079,123)-117)))*1,0))</f>
        <v>554183</v>
      </c>
      <c r="O1079" s="6">
        <f>$E1079+4</f>
        <v>118</v>
      </c>
      <c r="P1079" s="7">
        <f>IF($J1079=0,0,ROUND(MAX($J1079*1.4*1.5*1.6,3500000*(1.57975^(MIN($E1079,123)-117)))*1,0))</f>
        <v>887775</v>
      </c>
      <c r="Q1079" s="4">
        <f>$E1079+6</f>
        <v>120</v>
      </c>
      <c r="R1079" s="8">
        <f>IF($J1079=0,0,ROUND(MAX($J1079*1.4*1.5*1.6*1.6,13100000*(1.429962^(MIN($E1079,123)-117)))*1,0))</f>
        <v>4480204</v>
      </c>
      <c r="S1079" s="6">
        <f>$E1079+8</f>
        <v>122</v>
      </c>
      <c r="T1079" s="7">
        <f>IF($J1079=0,0,ROUND(MAX($J1079*1.4*1.5*1.6*1.6*2.2,42600000*(1.576904^(MIN($E1079,123)-117)))*1,0))</f>
        <v>10864102</v>
      </c>
      <c r="U1079" s="4">
        <f>$E1079+11</f>
        <v>125</v>
      </c>
      <c r="V1079" s="8">
        <f>IF($J1079=0,0,ROUND(MAX($J1079*1.4*1.5*1.6*1.6*2.2*2.715,354000000*(1.642074^(MIN($E1079,123)-117)))*1,0))</f>
        <v>79951219</v>
      </c>
      <c r="W1079" s="6">
        <f>$E1079+15</f>
        <v>129</v>
      </c>
      <c r="X1079" s="7">
        <f>IF($J1079=0,0,ROUND(MAX($J1079*1.4*1.5*1.6*1.6*2.2*2.715*2.6,3540000000*(1.579646^(MIN($E1079,123)-117)))*1,0))</f>
        <v>898098448</v>
      </c>
      <c r="Y1079" s="4">
        <f>$E1079+17</f>
        <v>131</v>
      </c>
      <c r="Z1079" s="8">
        <f>IF($J1079=0,0,ROUND(MAX($J1079*1.4*1.5*1.6*1.6*2.2*2.715*2.6*1.4,6020000000*(1.651178^(MIN($E1079,123)-117)))*1,0))</f>
        <v>1337256787</v>
      </c>
      <c r="AA1079" s="6">
        <f>$E1079+19</f>
        <v>133</v>
      </c>
      <c r="AB1079" s="7">
        <f>IF($J1079=0,0,ROUND(MAX($J1079*1.4*1.5*1.6*1.6*2.2*2.715*2.6*1.4*1.4,8430000000*(1.651435^(MIN($E1079,123)-117)))*1,0))</f>
        <v>1871729653</v>
      </c>
      <c r="AC1079" s="4">
        <f>$E1079+21</f>
        <v>135</v>
      </c>
      <c r="AD1079" s="8">
        <f>IF($J1079=0,0,ROUND(MAX($J1079*1.4*1.5*1.6*1.6*2.2*2.715*2.6*1.4*1.4*1.5,12600000000*(1.652953^(MIN($E1079,123)-117)))*1,0))</f>
        <v>2789902525</v>
      </c>
      <c r="AE1079" s="6">
        <f>$E1079+24</f>
        <v>138</v>
      </c>
      <c r="AF1079" s="7">
        <f>IF($J1079=0,0,ROUND(MAX($J1079*1.4*1.5*1.6*1.6*2.2*2.715*2.6*1.4*1.4*1.5*1.5,18900000000*(1.65331^(MIN($E1079,123)-117)))*1,0))</f>
        <v>4182143461</v>
      </c>
      <c r="AG1079" s="4">
        <f>$E1079+27</f>
        <v>141</v>
      </c>
      <c r="AH1079" s="8">
        <f>IF($J1079=0,0,ROUND(MAX($J1079*1.4*1.5*1.6*1.6*2.2*2.715*2.6*1.4*1.4*1.5*1.5*3.2,60500000000*(1.654288^(MIN($E1079,123)-117)))*1,0))</f>
        <v>13363555336</v>
      </c>
    </row>
    <row r="1080" ht="27.75" customHeight="1" spans="1:34" x14ac:dyDescent="0.25">
      <c r="A1080" s="3">
        <v>1090</v>
      </c>
      <c r="B1080" s="3" t="s">
        <v>233</v>
      </c>
      <c r="C1080" s="3" t="s">
        <v>829</v>
      </c>
      <c r="D1080" s="3" t="s">
        <v>45</v>
      </c>
      <c r="E1080" s="3">
        <v>114</v>
      </c>
      <c r="F1080" s="3" t="s">
        <v>56</v>
      </c>
      <c r="G1080" s="3" t="s">
        <v>95</v>
      </c>
      <c r="H1080" s="3">
        <v>27</v>
      </c>
      <c r="I1080" s="4">
        <v>114</v>
      </c>
      <c r="J1080" s="5">
        <v>239000</v>
      </c>
      <c r="K1080" s="6">
        <f>$E1080+1</f>
        <v>115</v>
      </c>
      <c r="L1080" s="7">
        <f>IF($J1080=0,0,ROUND(MAX($J1080*1.4,1620000*(1.497923^(MIN($E1080,123)-117)))*1,0))</f>
        <v>481999</v>
      </c>
      <c r="M1080" s="4">
        <f>$E1080+2</f>
        <v>116</v>
      </c>
      <c r="N1080" s="8">
        <f>IF($J1080=0,0,ROUND(MAX($J1080*1.4*1.5,2190000*(1.580994^(MIN($E1080,123)-117)))*1,0))</f>
        <v>554183</v>
      </c>
      <c r="O1080" s="6">
        <f>$E1080+4</f>
        <v>118</v>
      </c>
      <c r="P1080" s="7">
        <f>IF($J1080=0,0,ROUND(MAX($J1080*1.4*1.5*1.6,3500000*(1.57975^(MIN($E1080,123)-117)))*1,0))</f>
        <v>887775</v>
      </c>
      <c r="Q1080" s="4">
        <f>$E1080+6</f>
        <v>120</v>
      </c>
      <c r="R1080" s="8">
        <f>IF($J1080=0,0,ROUND(MAX($J1080*1.4*1.5*1.6*1.6,13100000*(1.429962^(MIN($E1080,123)-117)))*1,0))</f>
        <v>4480204</v>
      </c>
      <c r="S1080" s="6">
        <f>$E1080+8</f>
        <v>122</v>
      </c>
      <c r="T1080" s="7">
        <f>IF($J1080=0,0,ROUND(MAX($J1080*1.4*1.5*1.6*1.6*2.2,42600000*(1.576904^(MIN($E1080,123)-117)))*1,0))</f>
        <v>10864102</v>
      </c>
      <c r="U1080" s="4">
        <f>$E1080+11</f>
        <v>125</v>
      </c>
      <c r="V1080" s="8">
        <f>IF($J1080=0,0,ROUND(MAX($J1080*1.4*1.5*1.6*1.6*2.2*2.715,354000000*(1.642074^(MIN($E1080,123)-117)))*1,0))</f>
        <v>79951219</v>
      </c>
      <c r="W1080" s="6">
        <f>$E1080+15</f>
        <v>129</v>
      </c>
      <c r="X1080" s="7">
        <f>IF($J1080=0,0,ROUND(MAX($J1080*1.4*1.5*1.6*1.6*2.2*2.715*2.6,3540000000*(1.579646^(MIN($E1080,123)-117)))*1,0))</f>
        <v>898098448</v>
      </c>
      <c r="Y1080" s="4">
        <f>$E1080+17</f>
        <v>131</v>
      </c>
      <c r="Z1080" s="8">
        <f>IF($J1080=0,0,ROUND(MAX($J1080*1.4*1.5*1.6*1.6*2.2*2.715*2.6*1.4,6020000000*(1.651178^(MIN($E1080,123)-117)))*1,0))</f>
        <v>1337256787</v>
      </c>
      <c r="AA1080" s="6">
        <f>$E1080+19</f>
        <v>133</v>
      </c>
      <c r="AB1080" s="7">
        <f>IF($J1080=0,0,ROUND(MAX($J1080*1.4*1.5*1.6*1.6*2.2*2.715*2.6*1.4*1.4,8430000000*(1.651435^(MIN($E1080,123)-117)))*1,0))</f>
        <v>1871729653</v>
      </c>
      <c r="AC1080" s="4">
        <f>$E1080+21</f>
        <v>135</v>
      </c>
      <c r="AD1080" s="8">
        <f>IF($J1080=0,0,ROUND(MAX($J1080*1.4*1.5*1.6*1.6*2.2*2.715*2.6*1.4*1.4*1.5,12600000000*(1.652953^(MIN($E1080,123)-117)))*1,0))</f>
        <v>2789902525</v>
      </c>
      <c r="AE1080" s="6">
        <f>$E1080+24</f>
        <v>138</v>
      </c>
      <c r="AF1080" s="7">
        <f>IF($J1080=0,0,ROUND(MAX($J1080*1.4*1.5*1.6*1.6*2.2*2.715*2.6*1.4*1.4*1.5*1.5,18900000000*(1.65331^(MIN($E1080,123)-117)))*1,0))</f>
        <v>4182143461</v>
      </c>
      <c r="AG1080" s="4">
        <f>$E1080+27</f>
        <v>141</v>
      </c>
      <c r="AH1080" s="8">
        <f>IF($J1080=0,0,ROUND(MAX($J1080*1.4*1.5*1.6*1.6*2.2*2.715*2.6*1.4*1.4*1.5*1.5*3.2,60500000000*(1.654288^(MIN($E1080,123)-117)))*1,0))</f>
        <v>13363555336</v>
      </c>
    </row>
    <row r="1081" ht="27.75" customHeight="1" spans="1:34" x14ac:dyDescent="0.25">
      <c r="A1081" s="3">
        <v>1091</v>
      </c>
      <c r="B1081" s="3" t="s">
        <v>780</v>
      </c>
      <c r="C1081" s="3" t="s">
        <v>829</v>
      </c>
      <c r="D1081" s="3" t="s">
        <v>90</v>
      </c>
      <c r="E1081" s="3">
        <v>114</v>
      </c>
      <c r="F1081" s="3" t="s">
        <v>56</v>
      </c>
      <c r="G1081" s="3" t="s">
        <v>38</v>
      </c>
      <c r="H1081" s="3">
        <v>27</v>
      </c>
      <c r="I1081" s="4">
        <v>114</v>
      </c>
      <c r="J1081" s="5">
        <v>799000</v>
      </c>
      <c r="K1081" s="6">
        <f>$E1081+1</f>
        <v>115</v>
      </c>
      <c r="L1081" s="7">
        <f>IF($J1081=0,0,ROUND(MAX($J1081*1.4,1620000*(1.497923^(MIN($E1081,123)-117)))*1,0))</f>
        <v>1118600</v>
      </c>
      <c r="M1081" s="4">
        <f>$E1081+2</f>
        <v>116</v>
      </c>
      <c r="N1081" s="8">
        <f>IF($J1081=0,0,ROUND(MAX($J1081*1.4*1.5,2190000*(1.580994^(MIN($E1081,123)-117)))*1,0))</f>
        <v>1677900</v>
      </c>
      <c r="O1081" s="6">
        <f>$E1081+4</f>
        <v>118</v>
      </c>
      <c r="P1081" s="7">
        <f>IF($J1081=0,0,ROUND(MAX($J1081*1.4*1.5*1.6,3500000*(1.57975^(MIN($E1081,123)-117)))*1,0))</f>
        <v>2684640</v>
      </c>
      <c r="Q1081" s="4">
        <f>$E1081+6</f>
        <v>120</v>
      </c>
      <c r="R1081" s="8">
        <f>IF($J1081=0,0,ROUND(MAX($J1081*1.4*1.5*1.6*1.6,13100000*(1.429962^(MIN($E1081,123)-117)))*1,0))</f>
        <v>4480204</v>
      </c>
      <c r="S1081" s="6">
        <f>$E1081+8</f>
        <v>122</v>
      </c>
      <c r="T1081" s="7">
        <f>IF($J1081=0,0,ROUND(MAX($J1081*1.4*1.5*1.6*1.6*2.2,42600000*(1.576904^(MIN($E1081,123)-117)))*1,0))</f>
        <v>10864102</v>
      </c>
      <c r="U1081" s="4">
        <f>$E1081+11</f>
        <v>125</v>
      </c>
      <c r="V1081" s="8">
        <f>IF($J1081=0,0,ROUND(MAX($J1081*1.4*1.5*1.6*1.6*2.2*2.715,354000000*(1.642074^(MIN($E1081,123)-117)))*1,0))</f>
        <v>79951219</v>
      </c>
      <c r="W1081" s="6">
        <f>$E1081+15</f>
        <v>129</v>
      </c>
      <c r="X1081" s="7">
        <f>IF($J1081=0,0,ROUND(MAX($J1081*1.4*1.5*1.6*1.6*2.2*2.715*2.6,3540000000*(1.579646^(MIN($E1081,123)-117)))*1,0))</f>
        <v>898098448</v>
      </c>
      <c r="Y1081" s="4">
        <f>$E1081+17</f>
        <v>131</v>
      </c>
      <c r="Z1081" s="8">
        <f>IF($J1081=0,0,ROUND(MAX($J1081*1.4*1.5*1.6*1.6*2.2*2.715*2.6*1.4,6020000000*(1.651178^(MIN($E1081,123)-117)))*1,0))</f>
        <v>1337256787</v>
      </c>
      <c r="AA1081" s="6">
        <f>$E1081+19</f>
        <v>133</v>
      </c>
      <c r="AB1081" s="7">
        <f>IF($J1081=0,0,ROUND(MAX($J1081*1.4*1.5*1.6*1.6*2.2*2.715*2.6*1.4*1.4,8430000000*(1.651435^(MIN($E1081,123)-117)))*1,0))</f>
        <v>1871729653</v>
      </c>
      <c r="AC1081" s="4">
        <f>$E1081+21</f>
        <v>135</v>
      </c>
      <c r="AD1081" s="8">
        <f>IF($J1081=0,0,ROUND(MAX($J1081*1.4*1.5*1.6*1.6*2.2*2.715*2.6*1.4*1.4*1.5,12600000000*(1.652953^(MIN($E1081,123)-117)))*1,0))</f>
        <v>2789902525</v>
      </c>
      <c r="AE1081" s="6">
        <f>$E1081+24</f>
        <v>138</v>
      </c>
      <c r="AF1081" s="7">
        <f>IF($J1081=0,0,ROUND(MAX($J1081*1.4*1.5*1.6*1.6*2.2*2.715*2.6*1.4*1.4*1.5*1.5,18900000000*(1.65331^(MIN($E1081,123)-117)))*1,0))</f>
        <v>4182143461</v>
      </c>
      <c r="AG1081" s="4">
        <f>$E1081+27</f>
        <v>141</v>
      </c>
      <c r="AH1081" s="8">
        <f>IF($J1081=0,0,ROUND(MAX($J1081*1.4*1.5*1.6*1.6*2.2*2.715*2.6*1.4*1.4*1.5*1.5*3.2,60500000000*(1.654288^(MIN($E1081,123)-117)))*1,0))</f>
        <v>13363555336</v>
      </c>
    </row>
    <row r="1082" ht="27.75" customHeight="1" spans="1:34" x14ac:dyDescent="0.25">
      <c r="A1082" s="3">
        <v>1092</v>
      </c>
      <c r="B1082" s="3" t="s">
        <v>288</v>
      </c>
      <c r="C1082" s="3" t="s">
        <v>829</v>
      </c>
      <c r="D1082" s="3" t="s">
        <v>102</v>
      </c>
      <c r="E1082" s="3">
        <v>114</v>
      </c>
      <c r="F1082" s="3" t="s">
        <v>30</v>
      </c>
      <c r="G1082" s="3" t="s">
        <v>57</v>
      </c>
      <c r="H1082" s="3">
        <v>27</v>
      </c>
      <c r="I1082" s="4">
        <v>114</v>
      </c>
      <c r="J1082" s="5">
        <v>817000</v>
      </c>
      <c r="K1082" s="6">
        <f>$E1082+1</f>
        <v>115</v>
      </c>
      <c r="L1082" s="7">
        <f>IF($J1082=0,0,ROUND(MAX($J1082*1.4,1620000*(1.497923^(MIN($E1082,123)-117)))*1,0))</f>
        <v>1143800</v>
      </c>
      <c r="M1082" s="4">
        <f>$E1082+2</f>
        <v>116</v>
      </c>
      <c r="N1082" s="8">
        <f>IF($J1082=0,0,ROUND(MAX($J1082*1.4*1.5,2190000*(1.580994^(MIN($E1082,123)-117)))*1,0))</f>
        <v>1715700</v>
      </c>
      <c r="O1082" s="6">
        <f>$E1082+4</f>
        <v>118</v>
      </c>
      <c r="P1082" s="7">
        <f>IF($J1082=0,0,ROUND(MAX($J1082*1.4*1.5*1.6,3500000*(1.57975^(MIN($E1082,123)-117)))*1,0))</f>
        <v>2745120</v>
      </c>
      <c r="Q1082" s="4">
        <f>$E1082+6</f>
        <v>120</v>
      </c>
      <c r="R1082" s="8">
        <f>IF($J1082=0,0,ROUND(MAX($J1082*1.4*1.5*1.6*1.6,13100000*(1.429962^(MIN($E1082,123)-117)))*1,0))</f>
        <v>4480204</v>
      </c>
      <c r="S1082" s="6">
        <f>$E1082+8</f>
        <v>122</v>
      </c>
      <c r="T1082" s="7">
        <f>IF($J1082=0,0,ROUND(MAX($J1082*1.4*1.5*1.6*1.6*2.2,42600000*(1.576904^(MIN($E1082,123)-117)))*1,0))</f>
        <v>10864102</v>
      </c>
      <c r="U1082" s="4">
        <f>$E1082+11</f>
        <v>125</v>
      </c>
      <c r="V1082" s="8">
        <f>IF($J1082=0,0,ROUND(MAX($J1082*1.4*1.5*1.6*1.6*2.2*2.715,354000000*(1.642074^(MIN($E1082,123)-117)))*1,0))</f>
        <v>79951219</v>
      </c>
      <c r="W1082" s="6">
        <f>$E1082+15</f>
        <v>129</v>
      </c>
      <c r="X1082" s="7">
        <f>IF($J1082=0,0,ROUND(MAX($J1082*1.4*1.5*1.6*1.6*2.2*2.715*2.6,3540000000*(1.579646^(MIN($E1082,123)-117)))*1,0))</f>
        <v>898098448</v>
      </c>
      <c r="Y1082" s="4">
        <f>$E1082+17</f>
        <v>131</v>
      </c>
      <c r="Z1082" s="8">
        <f>IF($J1082=0,0,ROUND(MAX($J1082*1.4*1.5*1.6*1.6*2.2*2.715*2.6*1.4,6020000000*(1.651178^(MIN($E1082,123)-117)))*1,0))</f>
        <v>1337256787</v>
      </c>
      <c r="AA1082" s="6">
        <f>$E1082+19</f>
        <v>133</v>
      </c>
      <c r="AB1082" s="7">
        <f>IF($J1082=0,0,ROUND(MAX($J1082*1.4*1.5*1.6*1.6*2.2*2.715*2.6*1.4*1.4,8430000000*(1.651435^(MIN($E1082,123)-117)))*1,0))</f>
        <v>1871729653</v>
      </c>
      <c r="AC1082" s="4">
        <f>$E1082+21</f>
        <v>135</v>
      </c>
      <c r="AD1082" s="8">
        <f>IF($J1082=0,0,ROUND(MAX($J1082*1.4*1.5*1.6*1.6*2.2*2.715*2.6*1.4*1.4*1.5,12600000000*(1.652953^(MIN($E1082,123)-117)))*1,0))</f>
        <v>2789902525</v>
      </c>
      <c r="AE1082" s="6">
        <f>$E1082+24</f>
        <v>138</v>
      </c>
      <c r="AF1082" s="7">
        <f>IF($J1082=0,0,ROUND(MAX($J1082*1.4*1.5*1.6*1.6*2.2*2.715*2.6*1.4*1.4*1.5*1.5,18900000000*(1.65331^(MIN($E1082,123)-117)))*1,0))</f>
        <v>4182143461</v>
      </c>
      <c r="AG1082" s="4">
        <f>$E1082+27</f>
        <v>141</v>
      </c>
      <c r="AH1082" s="8">
        <f>IF($J1082=0,0,ROUND(MAX($J1082*1.4*1.5*1.6*1.6*2.2*2.715*2.6*1.4*1.4*1.5*1.5*3.2,60500000000*(1.654288^(MIN($E1082,123)-117)))*1,0))</f>
        <v>13363555336</v>
      </c>
    </row>
    <row r="1083" ht="27.75" customHeight="1" spans="1:34" x14ac:dyDescent="0.25">
      <c r="A1083" s="3">
        <v>1093</v>
      </c>
      <c r="B1083" s="3" t="s">
        <v>156</v>
      </c>
      <c r="C1083" s="3" t="s">
        <v>829</v>
      </c>
      <c r="D1083" s="3" t="s">
        <v>93</v>
      </c>
      <c r="E1083" s="3">
        <v>114</v>
      </c>
      <c r="F1083" s="3" t="s">
        <v>34</v>
      </c>
      <c r="G1083" s="3" t="s">
        <v>830</v>
      </c>
      <c r="H1083" s="3">
        <v>27</v>
      </c>
      <c r="I1083" s="4">
        <v>114</v>
      </c>
      <c r="J1083" s="5">
        <v>282000</v>
      </c>
      <c r="K1083" s="6">
        <f>$E1083+1</f>
        <v>115</v>
      </c>
      <c r="L1083" s="7">
        <f>IF($J1083=0,0,ROUND(MAX($J1083*1.4,1620000*(1.497923^(MIN($E1083,123)-117)))*1,0))</f>
        <v>481999</v>
      </c>
      <c r="M1083" s="4">
        <f>$E1083+2</f>
        <v>116</v>
      </c>
      <c r="N1083" s="8">
        <f>IF($J1083=0,0,ROUND(MAX($J1083*1.4*1.5,2190000*(1.580994^(MIN($E1083,123)-117)))*1,0))</f>
        <v>592200</v>
      </c>
      <c r="O1083" s="6">
        <f>$E1083+4</f>
        <v>118</v>
      </c>
      <c r="P1083" s="7">
        <f>IF($J1083=0,0,ROUND(MAX($J1083*1.4*1.5*1.6,3500000*(1.57975^(MIN($E1083,123)-117)))*1,0))</f>
        <v>947520</v>
      </c>
      <c r="Q1083" s="4">
        <f>$E1083+6</f>
        <v>120</v>
      </c>
      <c r="R1083" s="8">
        <f>IF($J1083=0,0,ROUND(MAX($J1083*1.4*1.5*1.6*1.6,13100000*(1.429962^(MIN($E1083,123)-117)))*1,0))</f>
        <v>4480204</v>
      </c>
      <c r="S1083" s="6">
        <f>$E1083+8</f>
        <v>122</v>
      </c>
      <c r="T1083" s="7">
        <f>IF($J1083=0,0,ROUND(MAX($J1083*1.4*1.5*1.6*1.6*2.2,42600000*(1.576904^(MIN($E1083,123)-117)))*1,0))</f>
        <v>10864102</v>
      </c>
      <c r="U1083" s="4">
        <f>$E1083+11</f>
        <v>125</v>
      </c>
      <c r="V1083" s="8">
        <f>IF($J1083=0,0,ROUND(MAX($J1083*1.4*1.5*1.6*1.6*2.2*2.715,354000000*(1.642074^(MIN($E1083,123)-117)))*1,0))</f>
        <v>79951219</v>
      </c>
      <c r="W1083" s="6">
        <f>$E1083+15</f>
        <v>129</v>
      </c>
      <c r="X1083" s="7">
        <f>IF($J1083=0,0,ROUND(MAX($J1083*1.4*1.5*1.6*1.6*2.2*2.715*2.6,3540000000*(1.579646^(MIN($E1083,123)-117)))*1,0))</f>
        <v>898098448</v>
      </c>
      <c r="Y1083" s="4">
        <f>$E1083+17</f>
        <v>131</v>
      </c>
      <c r="Z1083" s="8">
        <f>IF($J1083=0,0,ROUND(MAX($J1083*1.4*1.5*1.6*1.6*2.2*2.715*2.6*1.4,6020000000*(1.651178^(MIN($E1083,123)-117)))*1,0))</f>
        <v>1337256787</v>
      </c>
      <c r="AA1083" s="6">
        <f>$E1083+19</f>
        <v>133</v>
      </c>
      <c r="AB1083" s="7">
        <f>IF($J1083=0,0,ROUND(MAX($J1083*1.4*1.5*1.6*1.6*2.2*2.715*2.6*1.4*1.4,8430000000*(1.651435^(MIN($E1083,123)-117)))*1,0))</f>
        <v>1871729653</v>
      </c>
      <c r="AC1083" s="4">
        <f>$E1083+21</f>
        <v>135</v>
      </c>
      <c r="AD1083" s="8">
        <f>IF($J1083=0,0,ROUND(MAX($J1083*1.4*1.5*1.6*1.6*2.2*2.715*2.6*1.4*1.4*1.5,12600000000*(1.652953^(MIN($E1083,123)-117)))*1,0))</f>
        <v>2789902525</v>
      </c>
      <c r="AE1083" s="6">
        <f>$E1083+24</f>
        <v>138</v>
      </c>
      <c r="AF1083" s="7">
        <f>IF($J1083=0,0,ROUND(MAX($J1083*1.4*1.5*1.6*1.6*2.2*2.715*2.6*1.4*1.4*1.5*1.5,18900000000*(1.65331^(MIN($E1083,123)-117)))*1,0))</f>
        <v>4182143461</v>
      </c>
      <c r="AG1083" s="4">
        <f>$E1083+27</f>
        <v>141</v>
      </c>
      <c r="AH1083" s="8">
        <f>IF($J1083=0,0,ROUND(MAX($J1083*1.4*1.5*1.6*1.6*2.2*2.715*2.6*1.4*1.4*1.5*1.5*3.2,60500000000*(1.654288^(MIN($E1083,123)-117)))*1,0))</f>
        <v>13363555336</v>
      </c>
    </row>
    <row r="1084" ht="27.75" customHeight="1" spans="1:34" x14ac:dyDescent="0.25">
      <c r="A1084" s="3">
        <v>1094</v>
      </c>
      <c r="B1084" s="3" t="s">
        <v>89</v>
      </c>
      <c r="C1084" s="3" t="s">
        <v>829</v>
      </c>
      <c r="D1084" s="3" t="s">
        <v>90</v>
      </c>
      <c r="E1084" s="3">
        <v>114</v>
      </c>
      <c r="F1084" s="3" t="s">
        <v>30</v>
      </c>
      <c r="G1084" s="3" t="s">
        <v>830</v>
      </c>
      <c r="H1084" s="3">
        <v>27</v>
      </c>
      <c r="I1084" s="4">
        <v>114</v>
      </c>
      <c r="J1084" s="5">
        <v>950000</v>
      </c>
      <c r="K1084" s="6">
        <f>$E1084+1</f>
        <v>115</v>
      </c>
      <c r="L1084" s="7">
        <f>IF($J1084=0,0,ROUND(MAX($J1084*1.4,1620000*(1.497923^(MIN($E1084,123)-117)))*1,0))</f>
        <v>1330000</v>
      </c>
      <c r="M1084" s="4">
        <f>$E1084+2</f>
        <v>116</v>
      </c>
      <c r="N1084" s="8">
        <f>IF($J1084=0,0,ROUND(MAX($J1084*1.4*1.5,2190000*(1.580994^(MIN($E1084,123)-117)))*1,0))</f>
        <v>1995000</v>
      </c>
      <c r="O1084" s="6">
        <f>$E1084+4</f>
        <v>118</v>
      </c>
      <c r="P1084" s="7">
        <f>IF($J1084=0,0,ROUND(MAX($J1084*1.4*1.5*1.6,3500000*(1.57975^(MIN($E1084,123)-117)))*1,0))</f>
        <v>3192000</v>
      </c>
      <c r="Q1084" s="4">
        <f>$E1084+6</f>
        <v>120</v>
      </c>
      <c r="R1084" s="8">
        <f>IF($J1084=0,0,ROUND(MAX($J1084*1.4*1.5*1.6*1.6,13100000*(1.429962^(MIN($E1084,123)-117)))*1,0))</f>
        <v>5107200</v>
      </c>
      <c r="S1084" s="6">
        <f>$E1084+8</f>
        <v>122</v>
      </c>
      <c r="T1084" s="7">
        <f>IF($J1084=0,0,ROUND(MAX($J1084*1.4*1.5*1.6*1.6*2.2,42600000*(1.576904^(MIN($E1084,123)-117)))*1,0))</f>
        <v>11235840</v>
      </c>
      <c r="U1084" s="4">
        <f>$E1084+11</f>
        <v>125</v>
      </c>
      <c r="V1084" s="8">
        <f>IF($J1084=0,0,ROUND(MAX($J1084*1.4*1.5*1.6*1.6*2.2*2.715,354000000*(1.642074^(MIN($E1084,123)-117)))*1,0))</f>
        <v>79951219</v>
      </c>
      <c r="W1084" s="6">
        <f>$E1084+15</f>
        <v>129</v>
      </c>
      <c r="X1084" s="7">
        <f>IF($J1084=0,0,ROUND(MAX($J1084*1.4*1.5*1.6*1.6*2.2*2.715*2.6,3540000000*(1.579646^(MIN($E1084,123)-117)))*1,0))</f>
        <v>898098448</v>
      </c>
      <c r="Y1084" s="4">
        <f>$E1084+17</f>
        <v>131</v>
      </c>
      <c r="Z1084" s="8">
        <f>IF($J1084=0,0,ROUND(MAX($J1084*1.4*1.5*1.6*1.6*2.2*2.715*2.6*1.4,6020000000*(1.651178^(MIN($E1084,123)-117)))*1,0))</f>
        <v>1337256787</v>
      </c>
      <c r="AA1084" s="6">
        <f>$E1084+19</f>
        <v>133</v>
      </c>
      <c r="AB1084" s="7">
        <f>IF($J1084=0,0,ROUND(MAX($J1084*1.4*1.5*1.6*1.6*2.2*2.715*2.6*1.4*1.4,8430000000*(1.651435^(MIN($E1084,123)-117)))*1,0))</f>
        <v>1871729653</v>
      </c>
      <c r="AC1084" s="4">
        <f>$E1084+21</f>
        <v>135</v>
      </c>
      <c r="AD1084" s="8">
        <f>IF($J1084=0,0,ROUND(MAX($J1084*1.4*1.5*1.6*1.6*2.2*2.715*2.6*1.4*1.4*1.5,12600000000*(1.652953^(MIN($E1084,123)-117)))*1,0))</f>
        <v>2789902525</v>
      </c>
      <c r="AE1084" s="6">
        <f>$E1084+24</f>
        <v>138</v>
      </c>
      <c r="AF1084" s="7">
        <f>IF($J1084=0,0,ROUND(MAX($J1084*1.4*1.5*1.6*1.6*2.2*2.715*2.6*1.4*1.4*1.5*1.5,18900000000*(1.65331^(MIN($E1084,123)-117)))*1,0))</f>
        <v>4182143461</v>
      </c>
      <c r="AG1084" s="4">
        <f>$E1084+27</f>
        <v>141</v>
      </c>
      <c r="AH1084" s="8">
        <f>IF($J1084=0,0,ROUND(MAX($J1084*1.4*1.5*1.6*1.6*2.2*2.715*2.6*1.4*1.4*1.5*1.5*3.2,60500000000*(1.654288^(MIN($E1084,123)-117)))*1,0))</f>
        <v>13363555336</v>
      </c>
    </row>
    <row r="1085" ht="27.75" customHeight="1" spans="1:34" x14ac:dyDescent="0.25">
      <c r="A1085" s="3">
        <v>1095</v>
      </c>
      <c r="B1085" s="3" t="s">
        <v>327</v>
      </c>
      <c r="C1085" s="3" t="s">
        <v>829</v>
      </c>
      <c r="D1085" s="3" t="s">
        <v>47</v>
      </c>
      <c r="E1085" s="3">
        <v>114</v>
      </c>
      <c r="F1085" s="3" t="s">
        <v>310</v>
      </c>
      <c r="G1085" s="3" t="s">
        <v>38</v>
      </c>
      <c r="H1085" s="3">
        <v>25</v>
      </c>
      <c r="I1085" s="4">
        <v>114</v>
      </c>
      <c r="J1085" s="5">
        <v>499000</v>
      </c>
      <c r="K1085" s="6">
        <f>$E1085+1</f>
        <v>115</v>
      </c>
      <c r="L1085" s="7">
        <f>IF($J1085=0,0,ROUND(MAX($J1085*1.4,1620000*(1.497923^(MIN($E1085,123)-117)))*1,0))</f>
        <v>698600</v>
      </c>
      <c r="M1085" s="4">
        <f>$E1085+2</f>
        <v>116</v>
      </c>
      <c r="N1085" s="8">
        <f>IF($J1085=0,0,ROUND(MAX($J1085*1.4*1.5,2190000*(1.580994^(MIN($E1085,123)-117)))*1,0))</f>
        <v>1047900</v>
      </c>
      <c r="O1085" s="6">
        <f>$E1085+4</f>
        <v>118</v>
      </c>
      <c r="P1085" s="7">
        <f>IF($J1085=0,0,ROUND(MAX($J1085*1.4*1.5*1.6,3500000*(1.57975^(MIN($E1085,123)-117)))*1,0))</f>
        <v>1676640</v>
      </c>
      <c r="Q1085" s="4">
        <f>$E1085+6</f>
        <v>120</v>
      </c>
      <c r="R1085" s="8">
        <f>IF($J1085=0,0,ROUND(MAX($J1085*1.4*1.5*1.6*1.6,13100000*(1.429962^(MIN($E1085,123)-117)))*1,0))</f>
        <v>4480204</v>
      </c>
      <c r="S1085" s="6">
        <f>$E1085+8</f>
        <v>122</v>
      </c>
      <c r="T1085" s="7">
        <f>IF($J1085=0,0,ROUND(MAX($J1085*1.4*1.5*1.6*1.6*2.2,42600000*(1.576904^(MIN($E1085,123)-117)))*1,0))</f>
        <v>10864102</v>
      </c>
      <c r="U1085" s="4">
        <f>$E1085+11</f>
        <v>125</v>
      </c>
      <c r="V1085" s="8">
        <f>IF($J1085=0,0,ROUND(MAX($J1085*1.4*1.5*1.6*1.6*2.2*2.715,354000000*(1.642074^(MIN($E1085,123)-117)))*1,0))</f>
        <v>79951219</v>
      </c>
      <c r="W1085" s="6">
        <f>$E1085+15</f>
        <v>129</v>
      </c>
      <c r="X1085" s="7">
        <f>IF($J1085=0,0,ROUND(MAX($J1085*1.4*1.5*1.6*1.6*2.2*2.715*2.6,3540000000*(1.579646^(MIN($E1085,123)-117)))*1,0))</f>
        <v>898098448</v>
      </c>
      <c r="Y1085" s="4">
        <f>$E1085+17</f>
        <v>131</v>
      </c>
      <c r="Z1085" s="8">
        <f>IF($J1085=0,0,ROUND(MAX($J1085*1.4*1.5*1.6*1.6*2.2*2.715*2.6*1.4,6020000000*(1.651178^(MIN($E1085,123)-117)))*1,0))</f>
        <v>1337256787</v>
      </c>
      <c r="AA1085" s="6">
        <f>$E1085+19</f>
        <v>133</v>
      </c>
      <c r="AB1085" s="7">
        <f>IF($J1085=0,0,ROUND(MAX($J1085*1.4*1.5*1.6*1.6*2.2*2.715*2.6*1.4*1.4,8430000000*(1.651435^(MIN($E1085,123)-117)))*1,0))</f>
        <v>1871729653</v>
      </c>
      <c r="AC1085" s="4">
        <f>$E1085+21</f>
        <v>135</v>
      </c>
      <c r="AD1085" s="8">
        <f>IF($J1085=0,0,ROUND(MAX($J1085*1.4*1.5*1.6*1.6*2.2*2.715*2.6*1.4*1.4*1.5,12600000000*(1.652953^(MIN($E1085,123)-117)))*1,0))</f>
        <v>2789902525</v>
      </c>
      <c r="AE1085" s="6">
        <f>$E1085+24</f>
        <v>138</v>
      </c>
      <c r="AF1085" s="7">
        <f>IF($J1085=0,0,ROUND(MAX($J1085*1.4*1.5*1.6*1.6*2.2*2.715*2.6*1.4*1.4*1.5*1.5,18900000000*(1.65331^(MIN($E1085,123)-117)))*1,0))</f>
        <v>4182143461</v>
      </c>
      <c r="AG1085" s="4">
        <f>$E1085+27</f>
        <v>141</v>
      </c>
      <c r="AH1085" s="8">
        <f>IF($J1085=0,0,ROUND(MAX($J1085*1.4*1.5*1.6*1.6*2.2*2.715*2.6*1.4*1.4*1.5*1.5*3.2,60500000000*(1.654288^(MIN($E1085,123)-117)))*1,0))</f>
        <v>13363555336</v>
      </c>
    </row>
    <row r="1086" ht="27.75" customHeight="1" spans="1:34" x14ac:dyDescent="0.25">
      <c r="A1086" s="3">
        <v>1096</v>
      </c>
      <c r="B1086" s="3" t="s">
        <v>145</v>
      </c>
      <c r="C1086" s="3" t="s">
        <v>829</v>
      </c>
      <c r="D1086" s="3" t="s">
        <v>47</v>
      </c>
      <c r="E1086" s="3">
        <v>114</v>
      </c>
      <c r="F1086" s="3" t="s">
        <v>146</v>
      </c>
      <c r="G1086" s="3" t="s">
        <v>830</v>
      </c>
      <c r="H1086" s="3">
        <v>25</v>
      </c>
      <c r="I1086" s="4">
        <v>114</v>
      </c>
      <c r="J1086" s="5">
        <v>520000</v>
      </c>
      <c r="K1086" s="6">
        <f>$E1086+1</f>
        <v>115</v>
      </c>
      <c r="L1086" s="7">
        <f>IF($J1086=0,0,ROUND(MAX($J1086*1.4,1620000*(1.497923^(MIN($E1086,123)-117)))*1,0))</f>
        <v>728000</v>
      </c>
      <c r="M1086" s="4">
        <f>$E1086+2</f>
        <v>116</v>
      </c>
      <c r="N1086" s="8">
        <f>IF($J1086=0,0,ROUND(MAX($J1086*1.4*1.5,2190000*(1.580994^(MIN($E1086,123)-117)))*1,0))</f>
        <v>1092000</v>
      </c>
      <c r="O1086" s="6">
        <f>$E1086+4</f>
        <v>118</v>
      </c>
      <c r="P1086" s="7">
        <f>IF($J1086=0,0,ROUND(MAX($J1086*1.4*1.5*1.6,3500000*(1.57975^(MIN($E1086,123)-117)))*1,0))</f>
        <v>1747200</v>
      </c>
      <c r="Q1086" s="4">
        <f>$E1086+6</f>
        <v>120</v>
      </c>
      <c r="R1086" s="8">
        <f>IF($J1086=0,0,ROUND(MAX($J1086*1.4*1.5*1.6*1.6,13100000*(1.429962^(MIN($E1086,123)-117)))*1,0))</f>
        <v>4480204</v>
      </c>
      <c r="S1086" s="6">
        <f>$E1086+8</f>
        <v>122</v>
      </c>
      <c r="T1086" s="7">
        <f>IF($J1086=0,0,ROUND(MAX($J1086*1.4*1.5*1.6*1.6*2.2,42600000*(1.576904^(MIN($E1086,123)-117)))*1,0))</f>
        <v>10864102</v>
      </c>
      <c r="U1086" s="4">
        <f>$E1086+11</f>
        <v>125</v>
      </c>
      <c r="V1086" s="8">
        <f>IF($J1086=0,0,ROUND(MAX($J1086*1.4*1.5*1.6*1.6*2.2*2.715,354000000*(1.642074^(MIN($E1086,123)-117)))*1,0))</f>
        <v>79951219</v>
      </c>
      <c r="W1086" s="6">
        <f>$E1086+15</f>
        <v>129</v>
      </c>
      <c r="X1086" s="7">
        <f>IF($J1086=0,0,ROUND(MAX($J1086*1.4*1.5*1.6*1.6*2.2*2.715*2.6,3540000000*(1.579646^(MIN($E1086,123)-117)))*1,0))</f>
        <v>898098448</v>
      </c>
      <c r="Y1086" s="4">
        <f>$E1086+17</f>
        <v>131</v>
      </c>
      <c r="Z1086" s="8">
        <f>IF($J1086=0,0,ROUND(MAX($J1086*1.4*1.5*1.6*1.6*2.2*2.715*2.6*1.4,6020000000*(1.651178^(MIN($E1086,123)-117)))*1,0))</f>
        <v>1337256787</v>
      </c>
      <c r="AA1086" s="6">
        <f>$E1086+19</f>
        <v>133</v>
      </c>
      <c r="AB1086" s="7">
        <f>IF($J1086=0,0,ROUND(MAX($J1086*1.4*1.5*1.6*1.6*2.2*2.715*2.6*1.4*1.4,8430000000*(1.651435^(MIN($E1086,123)-117)))*1,0))</f>
        <v>1871729653</v>
      </c>
      <c r="AC1086" s="4">
        <f>$E1086+21</f>
        <v>135</v>
      </c>
      <c r="AD1086" s="8">
        <f>IF($J1086=0,0,ROUND(MAX($J1086*1.4*1.5*1.6*1.6*2.2*2.715*2.6*1.4*1.4*1.5,12600000000*(1.652953^(MIN($E1086,123)-117)))*1,0))</f>
        <v>2789902525</v>
      </c>
      <c r="AE1086" s="6">
        <f>$E1086+24</f>
        <v>138</v>
      </c>
      <c r="AF1086" s="7">
        <f>IF($J1086=0,0,ROUND(MAX($J1086*1.4*1.5*1.6*1.6*2.2*2.715*2.6*1.4*1.4*1.5*1.5,18900000000*(1.65331^(MIN($E1086,123)-117)))*1,0))</f>
        <v>4182143461</v>
      </c>
      <c r="AG1086" s="4">
        <f>$E1086+27</f>
        <v>141</v>
      </c>
      <c r="AH1086" s="8">
        <f>IF($J1086=0,0,ROUND(MAX($J1086*1.4*1.5*1.6*1.6*2.2*2.715*2.6*1.4*1.4*1.5*1.5*3.2,60500000000*(1.654288^(MIN($E1086,123)-117)))*1,0))</f>
        <v>13363555336</v>
      </c>
    </row>
    <row r="1087" ht="27.75" customHeight="1" spans="1:34" x14ac:dyDescent="0.25">
      <c r="A1087" s="3">
        <v>1097</v>
      </c>
      <c r="B1087" s="3" t="s">
        <v>635</v>
      </c>
      <c r="C1087" s="3" t="s">
        <v>829</v>
      </c>
      <c r="D1087" s="3" t="s">
        <v>40</v>
      </c>
      <c r="E1087" s="3">
        <v>113</v>
      </c>
      <c r="F1087" s="3" t="s">
        <v>310</v>
      </c>
      <c r="G1087" s="3" t="s">
        <v>27</v>
      </c>
      <c r="H1087" s="3">
        <v>28</v>
      </c>
      <c r="I1087" s="4">
        <v>113</v>
      </c>
      <c r="J1087" s="5">
        <v>209000</v>
      </c>
      <c r="K1087" s="6">
        <f>$E1087+1</f>
        <v>114</v>
      </c>
      <c r="L1087" s="7">
        <f>IF($J1087=0,0,ROUND(MAX($J1087*1.4,1620000*(1.497923^(MIN($E1087,123)-117)))*1,0))</f>
        <v>321779</v>
      </c>
      <c r="M1087" s="4">
        <f>$E1087+2</f>
        <v>115</v>
      </c>
      <c r="N1087" s="8">
        <f>IF($J1087=0,0,ROUND(MAX($J1087*1.4*1.5,2190000*(1.580994^(MIN($E1087,123)-117)))*1,0))</f>
        <v>438900</v>
      </c>
      <c r="O1087" s="6">
        <f>$E1087+4</f>
        <v>117</v>
      </c>
      <c r="P1087" s="7">
        <f>IF($J1087=0,0,ROUND(MAX($J1087*1.4*1.5*1.6,3500000*(1.57975^(MIN($E1087,123)-117)))*1,0))</f>
        <v>702240</v>
      </c>
      <c r="Q1087" s="4">
        <f>$E1087+6</f>
        <v>119</v>
      </c>
      <c r="R1087" s="8">
        <f>IF($J1087=0,0,ROUND(MAX($J1087*1.4*1.5*1.6*1.6,13100000*(1.429962^(MIN($E1087,123)-117)))*1,0))</f>
        <v>3133093</v>
      </c>
      <c r="S1087" s="6">
        <f>$E1087+8</f>
        <v>121</v>
      </c>
      <c r="T1087" s="7">
        <f>IF($J1087=0,0,ROUND(MAX($J1087*1.4*1.5*1.6*1.6*2.2,42600000*(1.576904^(MIN($E1087,123)-117)))*1,0))</f>
        <v>6889514</v>
      </c>
      <c r="U1087" s="4">
        <f>$E1087+11</f>
        <v>124</v>
      </c>
      <c r="V1087" s="8">
        <f>IF($J1087=0,0,ROUND(MAX($J1087*1.4*1.5*1.6*1.6*2.2*2.715,354000000*(1.642074^(MIN($E1087,123)-117)))*1,0))</f>
        <v>48689169</v>
      </c>
      <c r="W1087" s="6">
        <f>$E1087+15</f>
        <v>128</v>
      </c>
      <c r="X1087" s="7">
        <f>IF($J1087=0,0,ROUND(MAX($J1087*1.4*1.5*1.6*1.6*2.2*2.715*2.6,3540000000*(1.579646^(MIN($E1087,123)-117)))*1,0))</f>
        <v>568544122</v>
      </c>
      <c r="Y1087" s="4">
        <f>$E1087+17</f>
        <v>130</v>
      </c>
      <c r="Z1087" s="8">
        <f>IF($J1087=0,0,ROUND(MAX($J1087*1.4*1.5*1.6*1.6*2.2*2.715*2.6*1.4,6020000000*(1.651178^(MIN($E1087,123)-117)))*1,0))</f>
        <v>809880453</v>
      </c>
      <c r="AA1087" s="6">
        <f>$E1087+19</f>
        <v>132</v>
      </c>
      <c r="AB1087" s="7">
        <f>IF($J1087=0,0,ROUND(MAX($J1087*1.4*1.5*1.6*1.6*2.2*2.715*2.6*1.4*1.4,8430000000*(1.651435^(MIN($E1087,123)-117)))*1,0))</f>
        <v>1133395897</v>
      </c>
      <c r="AC1087" s="4">
        <f>$E1087+21</f>
        <v>134</v>
      </c>
      <c r="AD1087" s="8">
        <f>IF($J1087=0,0,ROUND(MAX($J1087*1.4*1.5*1.6*1.6*2.2*2.715*2.6*1.4*1.4*1.5,12600000000*(1.652953^(MIN($E1087,123)-117)))*1,0))</f>
        <v>1687829312</v>
      </c>
      <c r="AE1087" s="6">
        <f>$E1087+24</f>
        <v>137</v>
      </c>
      <c r="AF1087" s="7">
        <f>IF($J1087=0,0,ROUND(MAX($J1087*1.4*1.5*1.6*1.6*2.2*2.715*2.6*1.4*1.4*1.5*1.5,18900000000*(1.65331^(MIN($E1087,123)-117)))*1,0))</f>
        <v>2529557954</v>
      </c>
      <c r="AG1087" s="4">
        <f>$E1087+27</f>
        <v>140</v>
      </c>
      <c r="AH1087" s="8">
        <f>IF($J1087=0,0,ROUND(MAX($J1087*1.4*1.5*1.6*1.6*2.2*2.715*2.6*1.4*1.4*1.5*1.5*3.2,60500000000*(1.654288^(MIN($E1087,123)-117)))*1,0))</f>
        <v>8078131097</v>
      </c>
    </row>
    <row r="1088" ht="27.75" customHeight="1" spans="1:34" x14ac:dyDescent="0.25">
      <c r="A1088" s="3">
        <v>1098</v>
      </c>
      <c r="B1088" s="3" t="s">
        <v>834</v>
      </c>
      <c r="C1088" s="3" t="s">
        <v>829</v>
      </c>
      <c r="D1088" s="3" t="s">
        <v>40</v>
      </c>
      <c r="E1088" s="3">
        <v>113</v>
      </c>
      <c r="F1088" s="3" t="s">
        <v>42</v>
      </c>
      <c r="G1088" s="3" t="s">
        <v>354</v>
      </c>
      <c r="H1088" s="3">
        <v>28</v>
      </c>
      <c r="I1088" s="4">
        <v>113</v>
      </c>
      <c r="J1088" s="5">
        <v>482000</v>
      </c>
      <c r="K1088" s="6">
        <f>$E1088+1</f>
        <v>114</v>
      </c>
      <c r="L1088" s="7">
        <f>IF($J1088=0,0,ROUND(MAX($J1088*1.4,1620000*(1.497923^(MIN($E1088,123)-117)))*1,0))</f>
        <v>674800</v>
      </c>
      <c r="M1088" s="4">
        <f>$E1088+2</f>
        <v>115</v>
      </c>
      <c r="N1088" s="8">
        <f>IF($J1088=0,0,ROUND(MAX($J1088*1.4*1.5,2190000*(1.580994^(MIN($E1088,123)-117)))*1,0))</f>
        <v>1012200</v>
      </c>
      <c r="O1088" s="6">
        <f>$E1088+4</f>
        <v>117</v>
      </c>
      <c r="P1088" s="7">
        <f>IF($J1088=0,0,ROUND(MAX($J1088*1.4*1.5*1.6,3500000*(1.57975^(MIN($E1088,123)-117)))*1,0))</f>
        <v>1619520</v>
      </c>
      <c r="Q1088" s="4">
        <f>$E1088+6</f>
        <v>119</v>
      </c>
      <c r="R1088" s="8">
        <f>IF($J1088=0,0,ROUND(MAX($J1088*1.4*1.5*1.6*1.6,13100000*(1.429962^(MIN($E1088,123)-117)))*1,0))</f>
        <v>3133093</v>
      </c>
      <c r="S1088" s="6">
        <f>$E1088+8</f>
        <v>121</v>
      </c>
      <c r="T1088" s="7">
        <f>IF($J1088=0,0,ROUND(MAX($J1088*1.4*1.5*1.6*1.6*2.2,42600000*(1.576904^(MIN($E1088,123)-117)))*1,0))</f>
        <v>6889514</v>
      </c>
      <c r="U1088" s="4">
        <f>$E1088+11</f>
        <v>124</v>
      </c>
      <c r="V1088" s="8">
        <f>IF($J1088=0,0,ROUND(MAX($J1088*1.4*1.5*1.6*1.6*2.2*2.715,354000000*(1.642074^(MIN($E1088,123)-117)))*1,0))</f>
        <v>48689169</v>
      </c>
      <c r="W1088" s="6">
        <f>$E1088+15</f>
        <v>128</v>
      </c>
      <c r="X1088" s="7">
        <f>IF($J1088=0,0,ROUND(MAX($J1088*1.4*1.5*1.6*1.6*2.2*2.715*2.6,3540000000*(1.579646^(MIN($E1088,123)-117)))*1,0))</f>
        <v>568544122</v>
      </c>
      <c r="Y1088" s="4">
        <f>$E1088+17</f>
        <v>130</v>
      </c>
      <c r="Z1088" s="8">
        <f>IF($J1088=0,0,ROUND(MAX($J1088*1.4*1.5*1.6*1.6*2.2*2.715*2.6*1.4,6020000000*(1.651178^(MIN($E1088,123)-117)))*1,0))</f>
        <v>809880453</v>
      </c>
      <c r="AA1088" s="6">
        <f>$E1088+19</f>
        <v>132</v>
      </c>
      <c r="AB1088" s="7">
        <f>IF($J1088=0,0,ROUND(MAX($J1088*1.4*1.5*1.6*1.6*2.2*2.715*2.6*1.4*1.4,8430000000*(1.651435^(MIN($E1088,123)-117)))*1,0))</f>
        <v>1133395897</v>
      </c>
      <c r="AC1088" s="4">
        <f>$E1088+21</f>
        <v>134</v>
      </c>
      <c r="AD1088" s="8">
        <f>IF($J1088=0,0,ROUND(MAX($J1088*1.4*1.5*1.6*1.6*2.2*2.715*2.6*1.4*1.4*1.5,12600000000*(1.652953^(MIN($E1088,123)-117)))*1,0))</f>
        <v>1687829312</v>
      </c>
      <c r="AE1088" s="6">
        <f>$E1088+24</f>
        <v>137</v>
      </c>
      <c r="AF1088" s="7">
        <f>IF($J1088=0,0,ROUND(MAX($J1088*1.4*1.5*1.6*1.6*2.2*2.715*2.6*1.4*1.4*1.5*1.5,18900000000*(1.65331^(MIN($E1088,123)-117)))*1,0))</f>
        <v>2529557954</v>
      </c>
      <c r="AG1088" s="4">
        <f>$E1088+27</f>
        <v>140</v>
      </c>
      <c r="AH1088" s="8">
        <f>IF($J1088=0,0,ROUND(MAX($J1088*1.4*1.5*1.6*1.6*2.2*2.715*2.6*1.4*1.4*1.5*1.5*3.2,60500000000*(1.654288^(MIN($E1088,123)-117)))*1,0))</f>
        <v>8078131097</v>
      </c>
    </row>
    <row r="1089" ht="27.75" customHeight="1" spans="1:34" x14ac:dyDescent="0.25">
      <c r="A1089" s="3">
        <v>1099</v>
      </c>
      <c r="B1089" s="3" t="s">
        <v>161</v>
      </c>
      <c r="C1089" s="3" t="s">
        <v>829</v>
      </c>
      <c r="D1089" s="3" t="s">
        <v>79</v>
      </c>
      <c r="E1089" s="3">
        <v>113</v>
      </c>
      <c r="F1089" s="3" t="s">
        <v>54</v>
      </c>
      <c r="G1089" s="3" t="s">
        <v>830</v>
      </c>
      <c r="H1089" s="3">
        <v>28</v>
      </c>
      <c r="I1089" s="4">
        <v>113</v>
      </c>
      <c r="J1089" s="5">
        <v>120000</v>
      </c>
      <c r="K1089" s="6">
        <f>$E1089+1</f>
        <v>114</v>
      </c>
      <c r="L1089" s="7">
        <f>IF($J1089=0,0,ROUND(MAX($J1089*1.4,1620000*(1.497923^(MIN($E1089,123)-117)))*1,0))</f>
        <v>321779</v>
      </c>
      <c r="M1089" s="4">
        <f>$E1089+2</f>
        <v>115</v>
      </c>
      <c r="N1089" s="8">
        <f>IF($J1089=0,0,ROUND(MAX($J1089*1.4*1.5,2190000*(1.580994^(MIN($E1089,123)-117)))*1,0))</f>
        <v>350528</v>
      </c>
      <c r="O1089" s="6">
        <f>$E1089+4</f>
        <v>117</v>
      </c>
      <c r="P1089" s="7">
        <f>IF($J1089=0,0,ROUND(MAX($J1089*1.4*1.5*1.6,3500000*(1.57975^(MIN($E1089,123)-117)))*1,0))</f>
        <v>561972</v>
      </c>
      <c r="Q1089" s="4">
        <f>$E1089+6</f>
        <v>119</v>
      </c>
      <c r="R1089" s="8">
        <f>IF($J1089=0,0,ROUND(MAX($J1089*1.4*1.5*1.6*1.6,13100000*(1.429962^(MIN($E1089,123)-117)))*1,0))</f>
        <v>3133093</v>
      </c>
      <c r="S1089" s="6">
        <f>$E1089+8</f>
        <v>121</v>
      </c>
      <c r="T1089" s="7">
        <f>IF($J1089=0,0,ROUND(MAX($J1089*1.4*1.5*1.6*1.6*2.2,42600000*(1.576904^(MIN($E1089,123)-117)))*1,0))</f>
        <v>6889514</v>
      </c>
      <c r="U1089" s="4">
        <f>$E1089+11</f>
        <v>124</v>
      </c>
      <c r="V1089" s="8">
        <f>IF($J1089=0,0,ROUND(MAX($J1089*1.4*1.5*1.6*1.6*2.2*2.715,354000000*(1.642074^(MIN($E1089,123)-117)))*1,0))</f>
        <v>48689169</v>
      </c>
      <c r="W1089" s="6">
        <f>$E1089+15</f>
        <v>128</v>
      </c>
      <c r="X1089" s="7">
        <f>IF($J1089=0,0,ROUND(MAX($J1089*1.4*1.5*1.6*1.6*2.2*2.715*2.6,3540000000*(1.579646^(MIN($E1089,123)-117)))*1,0))</f>
        <v>568544122</v>
      </c>
      <c r="Y1089" s="4">
        <f>$E1089+17</f>
        <v>130</v>
      </c>
      <c r="Z1089" s="8">
        <f>IF($J1089=0,0,ROUND(MAX($J1089*1.4*1.5*1.6*1.6*2.2*2.715*2.6*1.4,6020000000*(1.651178^(MIN($E1089,123)-117)))*1,0))</f>
        <v>809880453</v>
      </c>
      <c r="AA1089" s="6">
        <f>$E1089+19</f>
        <v>132</v>
      </c>
      <c r="AB1089" s="7">
        <f>IF($J1089=0,0,ROUND(MAX($J1089*1.4*1.5*1.6*1.6*2.2*2.715*2.6*1.4*1.4,8430000000*(1.651435^(MIN($E1089,123)-117)))*1,0))</f>
        <v>1133395897</v>
      </c>
      <c r="AC1089" s="4">
        <f>$E1089+21</f>
        <v>134</v>
      </c>
      <c r="AD1089" s="8">
        <f>IF($J1089=0,0,ROUND(MAX($J1089*1.4*1.5*1.6*1.6*2.2*2.715*2.6*1.4*1.4*1.5,12600000000*(1.652953^(MIN($E1089,123)-117)))*1,0))</f>
        <v>1687829312</v>
      </c>
      <c r="AE1089" s="6">
        <f>$E1089+24</f>
        <v>137</v>
      </c>
      <c r="AF1089" s="7">
        <f>IF($J1089=0,0,ROUND(MAX($J1089*1.4*1.5*1.6*1.6*2.2*2.715*2.6*1.4*1.4*1.5*1.5,18900000000*(1.65331^(MIN($E1089,123)-117)))*1,0))</f>
        <v>2529557954</v>
      </c>
      <c r="AG1089" s="4">
        <f>$E1089+27</f>
        <v>140</v>
      </c>
      <c r="AH1089" s="8">
        <f>IF($J1089=0,0,ROUND(MAX($J1089*1.4*1.5*1.6*1.6*2.2*2.715*2.6*1.4*1.4*1.5*1.5*3.2,60500000000*(1.654288^(MIN($E1089,123)-117)))*1,0))</f>
        <v>8078131097</v>
      </c>
    </row>
    <row r="1090" ht="27.75" customHeight="1" spans="1:34" x14ac:dyDescent="0.25">
      <c r="A1090" s="3">
        <v>1100</v>
      </c>
      <c r="B1090" s="3" t="s">
        <v>109</v>
      </c>
      <c r="C1090" s="3" t="s">
        <v>829</v>
      </c>
      <c r="D1090" s="3" t="s">
        <v>25</v>
      </c>
      <c r="E1090" s="3">
        <v>113</v>
      </c>
      <c r="F1090" s="3" t="s">
        <v>30</v>
      </c>
      <c r="G1090" s="3" t="s">
        <v>830</v>
      </c>
      <c r="H1090" s="3">
        <v>28</v>
      </c>
      <c r="I1090" s="4">
        <v>113</v>
      </c>
      <c r="J1090" s="5">
        <v>427000</v>
      </c>
      <c r="K1090" s="6">
        <f>$E1090+1</f>
        <v>114</v>
      </c>
      <c r="L1090" s="7">
        <f>IF($J1090=0,0,ROUND(MAX($J1090*1.4,1620000*(1.497923^(MIN($E1090,123)-117)))*1,0))</f>
        <v>597800</v>
      </c>
      <c r="M1090" s="4">
        <f>$E1090+2</f>
        <v>115</v>
      </c>
      <c r="N1090" s="8">
        <f>IF($J1090=0,0,ROUND(MAX($J1090*1.4*1.5,2190000*(1.580994^(MIN($E1090,123)-117)))*1,0))</f>
        <v>896700</v>
      </c>
      <c r="O1090" s="6">
        <f>$E1090+4</f>
        <v>117</v>
      </c>
      <c r="P1090" s="7">
        <f>IF($J1090=0,0,ROUND(MAX($J1090*1.4*1.5*1.6,3500000*(1.57975^(MIN($E1090,123)-117)))*1,0))</f>
        <v>1434720</v>
      </c>
      <c r="Q1090" s="4">
        <f>$E1090+6</f>
        <v>119</v>
      </c>
      <c r="R1090" s="8">
        <f>IF($J1090=0,0,ROUND(MAX($J1090*1.4*1.5*1.6*1.6,13100000*(1.429962^(MIN($E1090,123)-117)))*1,0))</f>
        <v>3133093</v>
      </c>
      <c r="S1090" s="6">
        <f>$E1090+8</f>
        <v>121</v>
      </c>
      <c r="T1090" s="7">
        <f>IF($J1090=0,0,ROUND(MAX($J1090*1.4*1.5*1.6*1.6*2.2,42600000*(1.576904^(MIN($E1090,123)-117)))*1,0))</f>
        <v>6889514</v>
      </c>
      <c r="U1090" s="4">
        <f>$E1090+11</f>
        <v>124</v>
      </c>
      <c r="V1090" s="8">
        <f>IF($J1090=0,0,ROUND(MAX($J1090*1.4*1.5*1.6*1.6*2.2*2.715,354000000*(1.642074^(MIN($E1090,123)-117)))*1,0))</f>
        <v>48689169</v>
      </c>
      <c r="W1090" s="6">
        <f>$E1090+15</f>
        <v>128</v>
      </c>
      <c r="X1090" s="7">
        <f>IF($J1090=0,0,ROUND(MAX($J1090*1.4*1.5*1.6*1.6*2.2*2.715*2.6,3540000000*(1.579646^(MIN($E1090,123)-117)))*1,0))</f>
        <v>568544122</v>
      </c>
      <c r="Y1090" s="4">
        <f>$E1090+17</f>
        <v>130</v>
      </c>
      <c r="Z1090" s="8">
        <f>IF($J1090=0,0,ROUND(MAX($J1090*1.4*1.5*1.6*1.6*2.2*2.715*2.6*1.4,6020000000*(1.651178^(MIN($E1090,123)-117)))*1,0))</f>
        <v>809880453</v>
      </c>
      <c r="AA1090" s="6">
        <f>$E1090+19</f>
        <v>132</v>
      </c>
      <c r="AB1090" s="7">
        <f>IF($J1090=0,0,ROUND(MAX($J1090*1.4*1.5*1.6*1.6*2.2*2.715*2.6*1.4*1.4,8430000000*(1.651435^(MIN($E1090,123)-117)))*1,0))</f>
        <v>1133395897</v>
      </c>
      <c r="AC1090" s="4">
        <f>$E1090+21</f>
        <v>134</v>
      </c>
      <c r="AD1090" s="8">
        <f>IF($J1090=0,0,ROUND(MAX($J1090*1.4*1.5*1.6*1.6*2.2*2.715*2.6*1.4*1.4*1.5,12600000000*(1.652953^(MIN($E1090,123)-117)))*1,0))</f>
        <v>1687829312</v>
      </c>
      <c r="AE1090" s="6">
        <f>$E1090+24</f>
        <v>137</v>
      </c>
      <c r="AF1090" s="7">
        <f>IF($J1090=0,0,ROUND(MAX($J1090*1.4*1.5*1.6*1.6*2.2*2.715*2.6*1.4*1.4*1.5*1.5,18900000000*(1.65331^(MIN($E1090,123)-117)))*1,0))</f>
        <v>2529557954</v>
      </c>
      <c r="AG1090" s="4">
        <f>$E1090+27</f>
        <v>140</v>
      </c>
      <c r="AH1090" s="8">
        <f>IF($J1090=0,0,ROUND(MAX($J1090*1.4*1.5*1.6*1.6*2.2*2.715*2.6*1.4*1.4*1.5*1.5*3.2,60500000000*(1.654288^(MIN($E1090,123)-117)))*1,0))</f>
        <v>8078131097</v>
      </c>
    </row>
    <row r="1091" ht="27.75" customHeight="1" spans="1:34" x14ac:dyDescent="0.25">
      <c r="A1091" s="3">
        <v>1101</v>
      </c>
      <c r="B1091" s="3" t="s">
        <v>130</v>
      </c>
      <c r="C1091" s="3" t="s">
        <v>829</v>
      </c>
      <c r="D1091" s="3" t="s">
        <v>45</v>
      </c>
      <c r="E1091" s="3">
        <v>113</v>
      </c>
      <c r="F1091" s="3" t="s">
        <v>56</v>
      </c>
      <c r="G1091" s="3" t="s">
        <v>830</v>
      </c>
      <c r="H1091" s="3">
        <v>28</v>
      </c>
      <c r="I1091" s="4">
        <v>113</v>
      </c>
      <c r="J1091" s="5">
        <v>205000</v>
      </c>
      <c r="K1091" s="6">
        <f>$E1091+1</f>
        <v>114</v>
      </c>
      <c r="L1091" s="7">
        <f>IF($J1091=0,0,ROUND(MAX($J1091*1.4,1620000*(1.497923^(MIN($E1091,123)-117)))*1,0))</f>
        <v>321779</v>
      </c>
      <c r="M1091" s="4">
        <f>$E1091+2</f>
        <v>115</v>
      </c>
      <c r="N1091" s="8">
        <f>IF($J1091=0,0,ROUND(MAX($J1091*1.4*1.5,2190000*(1.580994^(MIN($E1091,123)-117)))*1,0))</f>
        <v>430500</v>
      </c>
      <c r="O1091" s="6">
        <f>$E1091+4</f>
        <v>117</v>
      </c>
      <c r="P1091" s="7">
        <f>IF($J1091=0,0,ROUND(MAX($J1091*1.4*1.5*1.6,3500000*(1.57975^(MIN($E1091,123)-117)))*1,0))</f>
        <v>688800</v>
      </c>
      <c r="Q1091" s="4">
        <f>$E1091+6</f>
        <v>119</v>
      </c>
      <c r="R1091" s="8">
        <f>IF($J1091=0,0,ROUND(MAX($J1091*1.4*1.5*1.6*1.6,13100000*(1.429962^(MIN($E1091,123)-117)))*1,0))</f>
        <v>3133093</v>
      </c>
      <c r="S1091" s="6">
        <f>$E1091+8</f>
        <v>121</v>
      </c>
      <c r="T1091" s="7">
        <f>IF($J1091=0,0,ROUND(MAX($J1091*1.4*1.5*1.6*1.6*2.2,42600000*(1.576904^(MIN($E1091,123)-117)))*1,0))</f>
        <v>6889514</v>
      </c>
      <c r="U1091" s="4">
        <f>$E1091+11</f>
        <v>124</v>
      </c>
      <c r="V1091" s="8">
        <f>IF($J1091=0,0,ROUND(MAX($J1091*1.4*1.5*1.6*1.6*2.2*2.715,354000000*(1.642074^(MIN($E1091,123)-117)))*1,0))</f>
        <v>48689169</v>
      </c>
      <c r="W1091" s="6">
        <f>$E1091+15</f>
        <v>128</v>
      </c>
      <c r="X1091" s="7">
        <f>IF($J1091=0,0,ROUND(MAX($J1091*1.4*1.5*1.6*1.6*2.2*2.715*2.6,3540000000*(1.579646^(MIN($E1091,123)-117)))*1,0))</f>
        <v>568544122</v>
      </c>
      <c r="Y1091" s="4">
        <f>$E1091+17</f>
        <v>130</v>
      </c>
      <c r="Z1091" s="8">
        <f>IF($J1091=0,0,ROUND(MAX($J1091*1.4*1.5*1.6*1.6*2.2*2.715*2.6*1.4,6020000000*(1.651178^(MIN($E1091,123)-117)))*1,0))</f>
        <v>809880453</v>
      </c>
      <c r="AA1091" s="6">
        <f>$E1091+19</f>
        <v>132</v>
      </c>
      <c r="AB1091" s="7">
        <f>IF($J1091=0,0,ROUND(MAX($J1091*1.4*1.5*1.6*1.6*2.2*2.715*2.6*1.4*1.4,8430000000*(1.651435^(MIN($E1091,123)-117)))*1,0))</f>
        <v>1133395897</v>
      </c>
      <c r="AC1091" s="4">
        <f>$E1091+21</f>
        <v>134</v>
      </c>
      <c r="AD1091" s="8">
        <f>IF($J1091=0,0,ROUND(MAX($J1091*1.4*1.5*1.6*1.6*2.2*2.715*2.6*1.4*1.4*1.5,12600000000*(1.652953^(MIN($E1091,123)-117)))*1,0))</f>
        <v>1687829312</v>
      </c>
      <c r="AE1091" s="6">
        <f>$E1091+24</f>
        <v>137</v>
      </c>
      <c r="AF1091" s="7">
        <f>IF($J1091=0,0,ROUND(MAX($J1091*1.4*1.5*1.6*1.6*2.2*2.715*2.6*1.4*1.4*1.5*1.5,18900000000*(1.65331^(MIN($E1091,123)-117)))*1,0))</f>
        <v>2529557954</v>
      </c>
      <c r="AG1091" s="4">
        <f>$E1091+27</f>
        <v>140</v>
      </c>
      <c r="AH1091" s="8">
        <f>IF($J1091=0,0,ROUND(MAX($J1091*1.4*1.5*1.6*1.6*2.2*2.715*2.6*1.4*1.4*1.5*1.5*3.2,60500000000*(1.654288^(MIN($E1091,123)-117)))*1,0))</f>
        <v>8078131097</v>
      </c>
    </row>
    <row r="1092" ht="27.75" customHeight="1" spans="1:34" x14ac:dyDescent="0.25">
      <c r="A1092" s="3">
        <v>1102</v>
      </c>
      <c r="B1092" s="3" t="s">
        <v>268</v>
      </c>
      <c r="C1092" s="3" t="s">
        <v>829</v>
      </c>
      <c r="D1092" s="3" t="s">
        <v>40</v>
      </c>
      <c r="E1092" s="3">
        <v>113</v>
      </c>
      <c r="F1092" s="3" t="s">
        <v>26</v>
      </c>
      <c r="G1092" s="3" t="s">
        <v>242</v>
      </c>
      <c r="H1092" s="3">
        <v>27</v>
      </c>
      <c r="I1092" s="4">
        <v>113</v>
      </c>
      <c r="J1092" s="5">
        <v>263000</v>
      </c>
      <c r="K1092" s="6">
        <f>$E1092+1</f>
        <v>114</v>
      </c>
      <c r="L1092" s="7">
        <f>IF($J1092=0,0,ROUND(MAX($J1092*1.4,1620000*(1.497923^(MIN($E1092,123)-117)))*1,0))</f>
        <v>368200</v>
      </c>
      <c r="M1092" s="4">
        <f>$E1092+2</f>
        <v>115</v>
      </c>
      <c r="N1092" s="8">
        <f>IF($J1092=0,0,ROUND(MAX($J1092*1.4*1.5,2190000*(1.580994^(MIN($E1092,123)-117)))*1,0))</f>
        <v>552300</v>
      </c>
      <c r="O1092" s="6">
        <f>$E1092+4</f>
        <v>117</v>
      </c>
      <c r="P1092" s="7">
        <f>IF($J1092=0,0,ROUND(MAX($J1092*1.4*1.5*1.6,3500000*(1.57975^(MIN($E1092,123)-117)))*1,0))</f>
        <v>883680</v>
      </c>
      <c r="Q1092" s="4">
        <f>$E1092+6</f>
        <v>119</v>
      </c>
      <c r="R1092" s="8">
        <f>IF($J1092=0,0,ROUND(MAX($J1092*1.4*1.5*1.6*1.6,13100000*(1.429962^(MIN($E1092,123)-117)))*1,0))</f>
        <v>3133093</v>
      </c>
      <c r="S1092" s="6">
        <f>$E1092+8</f>
        <v>121</v>
      </c>
      <c r="T1092" s="7">
        <f>IF($J1092=0,0,ROUND(MAX($J1092*1.4*1.5*1.6*1.6*2.2,42600000*(1.576904^(MIN($E1092,123)-117)))*1,0))</f>
        <v>6889514</v>
      </c>
      <c r="U1092" s="4">
        <f>$E1092+11</f>
        <v>124</v>
      </c>
      <c r="V1092" s="8">
        <f>IF($J1092=0,0,ROUND(MAX($J1092*1.4*1.5*1.6*1.6*2.2*2.715,354000000*(1.642074^(MIN($E1092,123)-117)))*1,0))</f>
        <v>48689169</v>
      </c>
      <c r="W1092" s="6">
        <f>$E1092+15</f>
        <v>128</v>
      </c>
      <c r="X1092" s="7">
        <f>IF($J1092=0,0,ROUND(MAX($J1092*1.4*1.5*1.6*1.6*2.2*2.715*2.6,3540000000*(1.579646^(MIN($E1092,123)-117)))*1,0))</f>
        <v>568544122</v>
      </c>
      <c r="Y1092" s="4">
        <f>$E1092+17</f>
        <v>130</v>
      </c>
      <c r="Z1092" s="8">
        <f>IF($J1092=0,0,ROUND(MAX($J1092*1.4*1.5*1.6*1.6*2.2*2.715*2.6*1.4,6020000000*(1.651178^(MIN($E1092,123)-117)))*1,0))</f>
        <v>809880453</v>
      </c>
      <c r="AA1092" s="6">
        <f>$E1092+19</f>
        <v>132</v>
      </c>
      <c r="AB1092" s="7">
        <f>IF($J1092=0,0,ROUND(MAX($J1092*1.4*1.5*1.6*1.6*2.2*2.715*2.6*1.4*1.4,8430000000*(1.651435^(MIN($E1092,123)-117)))*1,0))</f>
        <v>1133395897</v>
      </c>
      <c r="AC1092" s="4">
        <f>$E1092+21</f>
        <v>134</v>
      </c>
      <c r="AD1092" s="8">
        <f>IF($J1092=0,0,ROUND(MAX($J1092*1.4*1.5*1.6*1.6*2.2*2.715*2.6*1.4*1.4*1.5,12600000000*(1.652953^(MIN($E1092,123)-117)))*1,0))</f>
        <v>1687829312</v>
      </c>
      <c r="AE1092" s="6">
        <f>$E1092+24</f>
        <v>137</v>
      </c>
      <c r="AF1092" s="7">
        <f>IF($J1092=0,0,ROUND(MAX($J1092*1.4*1.5*1.6*1.6*2.2*2.715*2.6*1.4*1.4*1.5*1.5,18900000000*(1.65331^(MIN($E1092,123)-117)))*1,0))</f>
        <v>2529557954</v>
      </c>
      <c r="AG1092" s="4">
        <f>$E1092+27</f>
        <v>140</v>
      </c>
      <c r="AH1092" s="8">
        <f>IF($J1092=0,0,ROUND(MAX($J1092*1.4*1.5*1.6*1.6*2.2*2.715*2.6*1.4*1.4*1.5*1.5*3.2,60500000000*(1.654288^(MIN($E1092,123)-117)))*1,0))</f>
        <v>8078131097</v>
      </c>
    </row>
    <row r="1093" ht="27.75" customHeight="1" spans="1:34" x14ac:dyDescent="0.25">
      <c r="A1093" s="3">
        <v>1103</v>
      </c>
      <c r="B1093" s="3" t="s">
        <v>705</v>
      </c>
      <c r="C1093" s="3" t="s">
        <v>829</v>
      </c>
      <c r="D1093" s="3" t="s">
        <v>102</v>
      </c>
      <c r="E1093" s="3">
        <v>113</v>
      </c>
      <c r="F1093" s="3" t="s">
        <v>212</v>
      </c>
      <c r="G1093" s="3" t="s">
        <v>252</v>
      </c>
      <c r="H1093" s="3">
        <v>27</v>
      </c>
      <c r="I1093" s="4">
        <v>113</v>
      </c>
      <c r="J1093" s="5">
        <v>172000</v>
      </c>
      <c r="K1093" s="6">
        <f>$E1093+1</f>
        <v>114</v>
      </c>
      <c r="L1093" s="7">
        <f>IF($J1093=0,0,ROUND(MAX($J1093*1.4,1620000*(1.497923^(MIN($E1093,123)-117)))*1,0))</f>
        <v>321779</v>
      </c>
      <c r="M1093" s="4">
        <f>$E1093+2</f>
        <v>115</v>
      </c>
      <c r="N1093" s="8">
        <f>IF($J1093=0,0,ROUND(MAX($J1093*1.4*1.5,2190000*(1.580994^(MIN($E1093,123)-117)))*1,0))</f>
        <v>361200</v>
      </c>
      <c r="O1093" s="6">
        <f>$E1093+4</f>
        <v>117</v>
      </c>
      <c r="P1093" s="7">
        <f>IF($J1093=0,0,ROUND(MAX($J1093*1.4*1.5*1.6,3500000*(1.57975^(MIN($E1093,123)-117)))*1,0))</f>
        <v>577920</v>
      </c>
      <c r="Q1093" s="4">
        <f>$E1093+6</f>
        <v>119</v>
      </c>
      <c r="R1093" s="8">
        <f>IF($J1093=0,0,ROUND(MAX($J1093*1.4*1.5*1.6*1.6,13100000*(1.429962^(MIN($E1093,123)-117)))*1,0))</f>
        <v>3133093</v>
      </c>
      <c r="S1093" s="6">
        <f>$E1093+8</f>
        <v>121</v>
      </c>
      <c r="T1093" s="7">
        <f>IF($J1093=0,0,ROUND(MAX($J1093*1.4*1.5*1.6*1.6*2.2,42600000*(1.576904^(MIN($E1093,123)-117)))*1,0))</f>
        <v>6889514</v>
      </c>
      <c r="U1093" s="4">
        <f>$E1093+11</f>
        <v>124</v>
      </c>
      <c r="V1093" s="8">
        <f>IF($J1093=0,0,ROUND(MAX($J1093*1.4*1.5*1.6*1.6*2.2*2.715,354000000*(1.642074^(MIN($E1093,123)-117)))*1,0))</f>
        <v>48689169</v>
      </c>
      <c r="W1093" s="6">
        <f>$E1093+15</f>
        <v>128</v>
      </c>
      <c r="X1093" s="7">
        <f>IF($J1093=0,0,ROUND(MAX($J1093*1.4*1.5*1.6*1.6*2.2*2.715*2.6,3540000000*(1.579646^(MIN($E1093,123)-117)))*1,0))</f>
        <v>568544122</v>
      </c>
      <c r="Y1093" s="4">
        <f>$E1093+17</f>
        <v>130</v>
      </c>
      <c r="Z1093" s="8">
        <f>IF($J1093=0,0,ROUND(MAX($J1093*1.4*1.5*1.6*1.6*2.2*2.715*2.6*1.4,6020000000*(1.651178^(MIN($E1093,123)-117)))*1,0))</f>
        <v>809880453</v>
      </c>
      <c r="AA1093" s="6">
        <f>$E1093+19</f>
        <v>132</v>
      </c>
      <c r="AB1093" s="7">
        <f>IF($J1093=0,0,ROUND(MAX($J1093*1.4*1.5*1.6*1.6*2.2*2.715*2.6*1.4*1.4,8430000000*(1.651435^(MIN($E1093,123)-117)))*1,0))</f>
        <v>1133395897</v>
      </c>
      <c r="AC1093" s="4">
        <f>$E1093+21</f>
        <v>134</v>
      </c>
      <c r="AD1093" s="8">
        <f>IF($J1093=0,0,ROUND(MAX($J1093*1.4*1.5*1.6*1.6*2.2*2.715*2.6*1.4*1.4*1.5,12600000000*(1.652953^(MIN($E1093,123)-117)))*1,0))</f>
        <v>1687829312</v>
      </c>
      <c r="AE1093" s="6">
        <f>$E1093+24</f>
        <v>137</v>
      </c>
      <c r="AF1093" s="7">
        <f>IF($J1093=0,0,ROUND(MAX($J1093*1.4*1.5*1.6*1.6*2.2*2.715*2.6*1.4*1.4*1.5*1.5,18900000000*(1.65331^(MIN($E1093,123)-117)))*1,0))</f>
        <v>2529557954</v>
      </c>
      <c r="AG1093" s="4">
        <f>$E1093+27</f>
        <v>140</v>
      </c>
      <c r="AH1093" s="8">
        <f>IF($J1093=0,0,ROUND(MAX($J1093*1.4*1.5*1.6*1.6*2.2*2.715*2.6*1.4*1.4*1.5*1.5*3.2,60500000000*(1.654288^(MIN($E1093,123)-117)))*1,0))</f>
        <v>8078131097</v>
      </c>
    </row>
    <row r="1094" ht="27.75" customHeight="1" spans="1:34" x14ac:dyDescent="0.25">
      <c r="A1094" s="3">
        <v>1104</v>
      </c>
      <c r="B1094" s="3" t="s">
        <v>545</v>
      </c>
      <c r="C1094" s="3" t="s">
        <v>829</v>
      </c>
      <c r="D1094" s="3" t="s">
        <v>25</v>
      </c>
      <c r="E1094" s="3">
        <v>113</v>
      </c>
      <c r="F1094" s="3" t="s">
        <v>34</v>
      </c>
      <c r="G1094" s="3" t="s">
        <v>277</v>
      </c>
      <c r="H1094" s="3">
        <v>27</v>
      </c>
      <c r="I1094" s="4">
        <v>113</v>
      </c>
      <c r="J1094" s="5">
        <v>121000</v>
      </c>
      <c r="K1094" s="6">
        <f>$E1094+1</f>
        <v>114</v>
      </c>
      <c r="L1094" s="7">
        <f>IF($J1094=0,0,ROUND(MAX($J1094*1.4,1620000*(1.497923^(MIN($E1094,123)-117)))*1,0))</f>
        <v>321779</v>
      </c>
      <c r="M1094" s="4">
        <f>$E1094+2</f>
        <v>115</v>
      </c>
      <c r="N1094" s="8">
        <f>IF($J1094=0,0,ROUND(MAX($J1094*1.4*1.5,2190000*(1.580994^(MIN($E1094,123)-117)))*1,0))</f>
        <v>350528</v>
      </c>
      <c r="O1094" s="6">
        <f>$E1094+4</f>
        <v>117</v>
      </c>
      <c r="P1094" s="7">
        <f>IF($J1094=0,0,ROUND(MAX($J1094*1.4*1.5*1.6,3500000*(1.57975^(MIN($E1094,123)-117)))*1,0))</f>
        <v>561972</v>
      </c>
      <c r="Q1094" s="4">
        <f>$E1094+6</f>
        <v>119</v>
      </c>
      <c r="R1094" s="8">
        <f>IF($J1094=0,0,ROUND(MAX($J1094*1.4*1.5*1.6*1.6,13100000*(1.429962^(MIN($E1094,123)-117)))*1,0))</f>
        <v>3133093</v>
      </c>
      <c r="S1094" s="6">
        <f>$E1094+8</f>
        <v>121</v>
      </c>
      <c r="T1094" s="7">
        <f>IF($J1094=0,0,ROUND(MAX($J1094*1.4*1.5*1.6*1.6*2.2,42600000*(1.576904^(MIN($E1094,123)-117)))*1,0))</f>
        <v>6889514</v>
      </c>
      <c r="U1094" s="4">
        <f>$E1094+11</f>
        <v>124</v>
      </c>
      <c r="V1094" s="8">
        <f>IF($J1094=0,0,ROUND(MAX($J1094*1.4*1.5*1.6*1.6*2.2*2.715,354000000*(1.642074^(MIN($E1094,123)-117)))*1,0))</f>
        <v>48689169</v>
      </c>
      <c r="W1094" s="6">
        <f>$E1094+15</f>
        <v>128</v>
      </c>
      <c r="X1094" s="7">
        <f>IF($J1094=0,0,ROUND(MAX($J1094*1.4*1.5*1.6*1.6*2.2*2.715*2.6,3540000000*(1.579646^(MIN($E1094,123)-117)))*1,0))</f>
        <v>568544122</v>
      </c>
      <c r="Y1094" s="4">
        <f>$E1094+17</f>
        <v>130</v>
      </c>
      <c r="Z1094" s="8">
        <f>IF($J1094=0,0,ROUND(MAX($J1094*1.4*1.5*1.6*1.6*2.2*2.715*2.6*1.4,6020000000*(1.651178^(MIN($E1094,123)-117)))*1,0))</f>
        <v>809880453</v>
      </c>
      <c r="AA1094" s="6">
        <f>$E1094+19</f>
        <v>132</v>
      </c>
      <c r="AB1094" s="7">
        <f>IF($J1094=0,0,ROUND(MAX($J1094*1.4*1.5*1.6*1.6*2.2*2.715*2.6*1.4*1.4,8430000000*(1.651435^(MIN($E1094,123)-117)))*1,0))</f>
        <v>1133395897</v>
      </c>
      <c r="AC1094" s="4">
        <f>$E1094+21</f>
        <v>134</v>
      </c>
      <c r="AD1094" s="8">
        <f>IF($J1094=0,0,ROUND(MAX($J1094*1.4*1.5*1.6*1.6*2.2*2.715*2.6*1.4*1.4*1.5,12600000000*(1.652953^(MIN($E1094,123)-117)))*1,0))</f>
        <v>1687829312</v>
      </c>
      <c r="AE1094" s="6">
        <f>$E1094+24</f>
        <v>137</v>
      </c>
      <c r="AF1094" s="7">
        <f>IF($J1094=0,0,ROUND(MAX($J1094*1.4*1.5*1.6*1.6*2.2*2.715*2.6*1.4*1.4*1.5*1.5,18900000000*(1.65331^(MIN($E1094,123)-117)))*1,0))</f>
        <v>2529557954</v>
      </c>
      <c r="AG1094" s="4">
        <f>$E1094+27</f>
        <v>140</v>
      </c>
      <c r="AH1094" s="8">
        <f>IF($J1094=0,0,ROUND(MAX($J1094*1.4*1.5*1.6*1.6*2.2*2.715*2.6*1.4*1.4*1.5*1.5*3.2,60500000000*(1.654288^(MIN($E1094,123)-117)))*1,0))</f>
        <v>8078131097</v>
      </c>
    </row>
    <row r="1095" ht="27.75" customHeight="1" spans="1:34" x14ac:dyDescent="0.25">
      <c r="A1095" s="3">
        <v>1105</v>
      </c>
      <c r="B1095" s="3" t="s">
        <v>633</v>
      </c>
      <c r="C1095" s="3" t="s">
        <v>829</v>
      </c>
      <c r="D1095" s="3" t="s">
        <v>45</v>
      </c>
      <c r="E1095" s="3">
        <v>113</v>
      </c>
      <c r="F1095" s="3" t="s">
        <v>267</v>
      </c>
      <c r="G1095" s="3" t="s">
        <v>242</v>
      </c>
      <c r="H1095" s="3">
        <v>27</v>
      </c>
      <c r="I1095" s="4">
        <v>113</v>
      </c>
      <c r="J1095" s="5">
        <v>171000</v>
      </c>
      <c r="K1095" s="6">
        <f>$E1095+1</f>
        <v>114</v>
      </c>
      <c r="L1095" s="7">
        <f>IF($J1095=0,0,ROUND(MAX($J1095*1.4,1620000*(1.497923^(MIN($E1095,123)-117)))*1,0))</f>
        <v>321779</v>
      </c>
      <c r="M1095" s="4">
        <f>$E1095+2</f>
        <v>115</v>
      </c>
      <c r="N1095" s="8">
        <f>IF($J1095=0,0,ROUND(MAX($J1095*1.4*1.5,2190000*(1.580994^(MIN($E1095,123)-117)))*1,0))</f>
        <v>359100</v>
      </c>
      <c r="O1095" s="6">
        <f>$E1095+4</f>
        <v>117</v>
      </c>
      <c r="P1095" s="7">
        <f>IF($J1095=0,0,ROUND(MAX($J1095*1.4*1.5*1.6,3500000*(1.57975^(MIN($E1095,123)-117)))*1,0))</f>
        <v>574560</v>
      </c>
      <c r="Q1095" s="4">
        <f>$E1095+6</f>
        <v>119</v>
      </c>
      <c r="R1095" s="8">
        <f>IF($J1095=0,0,ROUND(MAX($J1095*1.4*1.5*1.6*1.6,13100000*(1.429962^(MIN($E1095,123)-117)))*1,0))</f>
        <v>3133093</v>
      </c>
      <c r="S1095" s="6">
        <f>$E1095+8</f>
        <v>121</v>
      </c>
      <c r="T1095" s="7">
        <f>IF($J1095=0,0,ROUND(MAX($J1095*1.4*1.5*1.6*1.6*2.2,42600000*(1.576904^(MIN($E1095,123)-117)))*1,0))</f>
        <v>6889514</v>
      </c>
      <c r="U1095" s="4">
        <f>$E1095+11</f>
        <v>124</v>
      </c>
      <c r="V1095" s="8">
        <f>IF($J1095=0,0,ROUND(MAX($J1095*1.4*1.5*1.6*1.6*2.2*2.715,354000000*(1.642074^(MIN($E1095,123)-117)))*1,0))</f>
        <v>48689169</v>
      </c>
      <c r="W1095" s="6">
        <f>$E1095+15</f>
        <v>128</v>
      </c>
      <c r="X1095" s="7">
        <f>IF($J1095=0,0,ROUND(MAX($J1095*1.4*1.5*1.6*1.6*2.2*2.715*2.6,3540000000*(1.579646^(MIN($E1095,123)-117)))*1,0))</f>
        <v>568544122</v>
      </c>
      <c r="Y1095" s="4">
        <f>$E1095+17</f>
        <v>130</v>
      </c>
      <c r="Z1095" s="8">
        <f>IF($J1095=0,0,ROUND(MAX($J1095*1.4*1.5*1.6*1.6*2.2*2.715*2.6*1.4,6020000000*(1.651178^(MIN($E1095,123)-117)))*1,0))</f>
        <v>809880453</v>
      </c>
      <c r="AA1095" s="6">
        <f>$E1095+19</f>
        <v>132</v>
      </c>
      <c r="AB1095" s="7">
        <f>IF($J1095=0,0,ROUND(MAX($J1095*1.4*1.5*1.6*1.6*2.2*2.715*2.6*1.4*1.4,8430000000*(1.651435^(MIN($E1095,123)-117)))*1,0))</f>
        <v>1133395897</v>
      </c>
      <c r="AC1095" s="4">
        <f>$E1095+21</f>
        <v>134</v>
      </c>
      <c r="AD1095" s="8">
        <f>IF($J1095=0,0,ROUND(MAX($J1095*1.4*1.5*1.6*1.6*2.2*2.715*2.6*1.4*1.4*1.5,12600000000*(1.652953^(MIN($E1095,123)-117)))*1,0))</f>
        <v>1687829312</v>
      </c>
      <c r="AE1095" s="6">
        <f>$E1095+24</f>
        <v>137</v>
      </c>
      <c r="AF1095" s="7">
        <f>IF($J1095=0,0,ROUND(MAX($J1095*1.4*1.5*1.6*1.6*2.2*2.715*2.6*1.4*1.4*1.5*1.5,18900000000*(1.65331^(MIN($E1095,123)-117)))*1,0))</f>
        <v>2529557954</v>
      </c>
      <c r="AG1095" s="4">
        <f>$E1095+27</f>
        <v>140</v>
      </c>
      <c r="AH1095" s="8">
        <f>IF($J1095=0,0,ROUND(MAX($J1095*1.4*1.5*1.6*1.6*2.2*2.715*2.6*1.4*1.4*1.5*1.5*3.2,60500000000*(1.654288^(MIN($E1095,123)-117)))*1,0))</f>
        <v>8078131097</v>
      </c>
    </row>
    <row r="1096" ht="27.75" customHeight="1" spans="1:34" x14ac:dyDescent="0.25">
      <c r="A1096" s="3">
        <v>1106</v>
      </c>
      <c r="B1096" s="3" t="s">
        <v>770</v>
      </c>
      <c r="C1096" s="3" t="s">
        <v>829</v>
      </c>
      <c r="D1096" s="3" t="s">
        <v>90</v>
      </c>
      <c r="E1096" s="3">
        <v>113</v>
      </c>
      <c r="F1096" s="3" t="s">
        <v>71</v>
      </c>
      <c r="G1096" s="3" t="s">
        <v>38</v>
      </c>
      <c r="H1096" s="3">
        <v>27</v>
      </c>
      <c r="I1096" s="4">
        <v>113</v>
      </c>
      <c r="J1096" s="5">
        <v>564000</v>
      </c>
      <c r="K1096" s="6">
        <f>$E1096+1</f>
        <v>114</v>
      </c>
      <c r="L1096" s="7">
        <f>IF($J1096=0,0,ROUND(MAX($J1096*1.4,1620000*(1.497923^(MIN($E1096,123)-117)))*1,0))</f>
        <v>789600</v>
      </c>
      <c r="M1096" s="4">
        <f>$E1096+2</f>
        <v>115</v>
      </c>
      <c r="N1096" s="8">
        <f>IF($J1096=0,0,ROUND(MAX($J1096*1.4*1.5,2190000*(1.580994^(MIN($E1096,123)-117)))*1,0))</f>
        <v>1184400</v>
      </c>
      <c r="O1096" s="6">
        <f>$E1096+4</f>
        <v>117</v>
      </c>
      <c r="P1096" s="7">
        <f>IF($J1096=0,0,ROUND(MAX($J1096*1.4*1.5*1.6,3500000*(1.57975^(MIN($E1096,123)-117)))*1,0))</f>
        <v>1895040</v>
      </c>
      <c r="Q1096" s="4">
        <f>$E1096+6</f>
        <v>119</v>
      </c>
      <c r="R1096" s="8">
        <f>IF($J1096=0,0,ROUND(MAX($J1096*1.4*1.5*1.6*1.6,13100000*(1.429962^(MIN($E1096,123)-117)))*1,0))</f>
        <v>3133093</v>
      </c>
      <c r="S1096" s="6">
        <f>$E1096+8</f>
        <v>121</v>
      </c>
      <c r="T1096" s="7">
        <f>IF($J1096=0,0,ROUND(MAX($J1096*1.4*1.5*1.6*1.6*2.2,42600000*(1.576904^(MIN($E1096,123)-117)))*1,0))</f>
        <v>6889514</v>
      </c>
      <c r="U1096" s="4">
        <f>$E1096+11</f>
        <v>124</v>
      </c>
      <c r="V1096" s="8">
        <f>IF($J1096=0,0,ROUND(MAX($J1096*1.4*1.5*1.6*1.6*2.2*2.715,354000000*(1.642074^(MIN($E1096,123)-117)))*1,0))</f>
        <v>48689169</v>
      </c>
      <c r="W1096" s="6">
        <f>$E1096+15</f>
        <v>128</v>
      </c>
      <c r="X1096" s="7">
        <f>IF($J1096=0,0,ROUND(MAX($J1096*1.4*1.5*1.6*1.6*2.2*2.715*2.6,3540000000*(1.579646^(MIN($E1096,123)-117)))*1,0))</f>
        <v>568544122</v>
      </c>
      <c r="Y1096" s="4">
        <f>$E1096+17</f>
        <v>130</v>
      </c>
      <c r="Z1096" s="8">
        <f>IF($J1096=0,0,ROUND(MAX($J1096*1.4*1.5*1.6*1.6*2.2*2.715*2.6*1.4,6020000000*(1.651178^(MIN($E1096,123)-117)))*1,0))</f>
        <v>809880453</v>
      </c>
      <c r="AA1096" s="6">
        <f>$E1096+19</f>
        <v>132</v>
      </c>
      <c r="AB1096" s="7">
        <f>IF($J1096=0,0,ROUND(MAX($J1096*1.4*1.5*1.6*1.6*2.2*2.715*2.6*1.4*1.4,8430000000*(1.651435^(MIN($E1096,123)-117)))*1,0))</f>
        <v>1133395897</v>
      </c>
      <c r="AC1096" s="4">
        <f>$E1096+21</f>
        <v>134</v>
      </c>
      <c r="AD1096" s="8">
        <f>IF($J1096=0,0,ROUND(MAX($J1096*1.4*1.5*1.6*1.6*2.2*2.715*2.6*1.4*1.4*1.5,12600000000*(1.652953^(MIN($E1096,123)-117)))*1,0))</f>
        <v>1687829312</v>
      </c>
      <c r="AE1096" s="6">
        <f>$E1096+24</f>
        <v>137</v>
      </c>
      <c r="AF1096" s="7">
        <f>IF($J1096=0,0,ROUND(MAX($J1096*1.4*1.5*1.6*1.6*2.2*2.715*2.6*1.4*1.4*1.5*1.5,18900000000*(1.65331^(MIN($E1096,123)-117)))*1,0))</f>
        <v>2529557954</v>
      </c>
      <c r="AG1096" s="4">
        <f>$E1096+27</f>
        <v>140</v>
      </c>
      <c r="AH1096" s="8">
        <f>IF($J1096=0,0,ROUND(MAX($J1096*1.4*1.5*1.6*1.6*2.2*2.715*2.6*1.4*1.4*1.5*1.5*3.2,60500000000*(1.654288^(MIN($E1096,123)-117)))*1,0))</f>
        <v>8078131097</v>
      </c>
    </row>
    <row r="1097" ht="27.75" customHeight="1" spans="1:34" x14ac:dyDescent="0.25">
      <c r="A1097" s="3">
        <v>1107</v>
      </c>
      <c r="B1097" s="3" t="s">
        <v>835</v>
      </c>
      <c r="C1097" s="3" t="s">
        <v>829</v>
      </c>
      <c r="D1097" s="3" t="s">
        <v>64</v>
      </c>
      <c r="E1097" s="3">
        <v>113</v>
      </c>
      <c r="F1097" s="3" t="s">
        <v>56</v>
      </c>
      <c r="G1097" s="3" t="s">
        <v>392</v>
      </c>
      <c r="H1097" s="3">
        <v>27</v>
      </c>
      <c r="I1097" s="4">
        <v>113</v>
      </c>
      <c r="J1097" s="5">
        <v>182000</v>
      </c>
      <c r="K1097" s="6">
        <f>$E1097+1</f>
        <v>114</v>
      </c>
      <c r="L1097" s="7">
        <f>IF($J1097=0,0,ROUND(MAX($J1097*1.4,1620000*(1.497923^(MIN($E1097,123)-117)))*1,0))</f>
        <v>321779</v>
      </c>
      <c r="M1097" s="4">
        <f>$E1097+2</f>
        <v>115</v>
      </c>
      <c r="N1097" s="8">
        <f>IF($J1097=0,0,ROUND(MAX($J1097*1.4*1.5,2190000*(1.580994^(MIN($E1097,123)-117)))*1,0))</f>
        <v>382200</v>
      </c>
      <c r="O1097" s="6">
        <f>$E1097+4</f>
        <v>117</v>
      </c>
      <c r="P1097" s="7">
        <f>IF($J1097=0,0,ROUND(MAX($J1097*1.4*1.5*1.6,3500000*(1.57975^(MIN($E1097,123)-117)))*1,0))</f>
        <v>611520</v>
      </c>
      <c r="Q1097" s="4">
        <f>$E1097+6</f>
        <v>119</v>
      </c>
      <c r="R1097" s="8">
        <f>IF($J1097=0,0,ROUND(MAX($J1097*1.4*1.5*1.6*1.6,13100000*(1.429962^(MIN($E1097,123)-117)))*1,0))</f>
        <v>3133093</v>
      </c>
      <c r="S1097" s="6">
        <f>$E1097+8</f>
        <v>121</v>
      </c>
      <c r="T1097" s="7">
        <f>IF($J1097=0,0,ROUND(MAX($J1097*1.4*1.5*1.6*1.6*2.2,42600000*(1.576904^(MIN($E1097,123)-117)))*1,0))</f>
        <v>6889514</v>
      </c>
      <c r="U1097" s="4">
        <f>$E1097+11</f>
        <v>124</v>
      </c>
      <c r="V1097" s="8">
        <f>IF($J1097=0,0,ROUND(MAX($J1097*1.4*1.5*1.6*1.6*2.2*2.715,354000000*(1.642074^(MIN($E1097,123)-117)))*1,0))</f>
        <v>48689169</v>
      </c>
      <c r="W1097" s="6">
        <f>$E1097+15</f>
        <v>128</v>
      </c>
      <c r="X1097" s="7">
        <f>IF($J1097=0,0,ROUND(MAX($J1097*1.4*1.5*1.6*1.6*2.2*2.715*2.6,3540000000*(1.579646^(MIN($E1097,123)-117)))*1,0))</f>
        <v>568544122</v>
      </c>
      <c r="Y1097" s="4">
        <f>$E1097+17</f>
        <v>130</v>
      </c>
      <c r="Z1097" s="8">
        <f>IF($J1097=0,0,ROUND(MAX($J1097*1.4*1.5*1.6*1.6*2.2*2.715*2.6*1.4,6020000000*(1.651178^(MIN($E1097,123)-117)))*1,0))</f>
        <v>809880453</v>
      </c>
      <c r="AA1097" s="6">
        <f>$E1097+19</f>
        <v>132</v>
      </c>
      <c r="AB1097" s="7">
        <f>IF($J1097=0,0,ROUND(MAX($J1097*1.4*1.5*1.6*1.6*2.2*2.715*2.6*1.4*1.4,8430000000*(1.651435^(MIN($E1097,123)-117)))*1,0))</f>
        <v>1133395897</v>
      </c>
      <c r="AC1097" s="4">
        <f>$E1097+21</f>
        <v>134</v>
      </c>
      <c r="AD1097" s="8">
        <f>IF($J1097=0,0,ROUND(MAX($J1097*1.4*1.5*1.6*1.6*2.2*2.715*2.6*1.4*1.4*1.5,12600000000*(1.652953^(MIN($E1097,123)-117)))*1,0))</f>
        <v>1687829312</v>
      </c>
      <c r="AE1097" s="6">
        <f>$E1097+24</f>
        <v>137</v>
      </c>
      <c r="AF1097" s="7">
        <f>IF($J1097=0,0,ROUND(MAX($J1097*1.4*1.5*1.6*1.6*2.2*2.715*2.6*1.4*1.4*1.5*1.5,18900000000*(1.65331^(MIN($E1097,123)-117)))*1,0))</f>
        <v>2529557954</v>
      </c>
      <c r="AG1097" s="4">
        <f>$E1097+27</f>
        <v>140</v>
      </c>
      <c r="AH1097" s="8">
        <f>IF($J1097=0,0,ROUND(MAX($J1097*1.4*1.5*1.6*1.6*2.2*2.715*2.6*1.4*1.4*1.5*1.5*3.2,60500000000*(1.654288^(MIN($E1097,123)-117)))*1,0))</f>
        <v>8078131097</v>
      </c>
    </row>
    <row r="1098" ht="27.75" customHeight="1" spans="1:34" x14ac:dyDescent="0.25">
      <c r="A1098" s="3">
        <v>1108</v>
      </c>
      <c r="B1098" s="3" t="s">
        <v>794</v>
      </c>
      <c r="C1098" s="3" t="s">
        <v>829</v>
      </c>
      <c r="D1098" s="3" t="s">
        <v>90</v>
      </c>
      <c r="E1098" s="3">
        <v>113</v>
      </c>
      <c r="F1098" s="3" t="s">
        <v>30</v>
      </c>
      <c r="G1098" s="3" t="s">
        <v>82</v>
      </c>
      <c r="H1098" s="3">
        <v>27</v>
      </c>
      <c r="I1098" s="4">
        <v>113</v>
      </c>
      <c r="J1098" s="5">
        <v>228000</v>
      </c>
      <c r="K1098" s="6">
        <f>$E1098+1</f>
        <v>114</v>
      </c>
      <c r="L1098" s="7">
        <f>IF($J1098=0,0,ROUND(MAX($J1098*1.4,1620000*(1.497923^(MIN($E1098,123)-117)))*1,0))</f>
        <v>321779</v>
      </c>
      <c r="M1098" s="4">
        <f>$E1098+2</f>
        <v>115</v>
      </c>
      <c r="N1098" s="8">
        <f>IF($J1098=0,0,ROUND(MAX($J1098*1.4*1.5,2190000*(1.580994^(MIN($E1098,123)-117)))*1,0))</f>
        <v>478800</v>
      </c>
      <c r="O1098" s="6">
        <f>$E1098+4</f>
        <v>117</v>
      </c>
      <c r="P1098" s="7">
        <f>IF($J1098=0,0,ROUND(MAX($J1098*1.4*1.5*1.6,3500000*(1.57975^(MIN($E1098,123)-117)))*1,0))</f>
        <v>766080</v>
      </c>
      <c r="Q1098" s="4">
        <f>$E1098+6</f>
        <v>119</v>
      </c>
      <c r="R1098" s="8">
        <f>IF($J1098=0,0,ROUND(MAX($J1098*1.4*1.5*1.6*1.6,13100000*(1.429962^(MIN($E1098,123)-117)))*1,0))</f>
        <v>3133093</v>
      </c>
      <c r="S1098" s="6">
        <f>$E1098+8</f>
        <v>121</v>
      </c>
      <c r="T1098" s="7">
        <f>IF($J1098=0,0,ROUND(MAX($J1098*1.4*1.5*1.6*1.6*2.2,42600000*(1.576904^(MIN($E1098,123)-117)))*1,0))</f>
        <v>6889514</v>
      </c>
      <c r="U1098" s="4">
        <f>$E1098+11</f>
        <v>124</v>
      </c>
      <c r="V1098" s="8">
        <f>IF($J1098=0,0,ROUND(MAX($J1098*1.4*1.5*1.6*1.6*2.2*2.715,354000000*(1.642074^(MIN($E1098,123)-117)))*1,0))</f>
        <v>48689169</v>
      </c>
      <c r="W1098" s="6">
        <f>$E1098+15</f>
        <v>128</v>
      </c>
      <c r="X1098" s="7">
        <f>IF($J1098=0,0,ROUND(MAX($J1098*1.4*1.5*1.6*1.6*2.2*2.715*2.6,3540000000*(1.579646^(MIN($E1098,123)-117)))*1,0))</f>
        <v>568544122</v>
      </c>
      <c r="Y1098" s="4">
        <f>$E1098+17</f>
        <v>130</v>
      </c>
      <c r="Z1098" s="8">
        <f>IF($J1098=0,0,ROUND(MAX($J1098*1.4*1.5*1.6*1.6*2.2*2.715*2.6*1.4,6020000000*(1.651178^(MIN($E1098,123)-117)))*1,0))</f>
        <v>809880453</v>
      </c>
      <c r="AA1098" s="6">
        <f>$E1098+19</f>
        <v>132</v>
      </c>
      <c r="AB1098" s="7">
        <f>IF($J1098=0,0,ROUND(MAX($J1098*1.4*1.5*1.6*1.6*2.2*2.715*2.6*1.4*1.4,8430000000*(1.651435^(MIN($E1098,123)-117)))*1,0))</f>
        <v>1133395897</v>
      </c>
      <c r="AC1098" s="4">
        <f>$E1098+21</f>
        <v>134</v>
      </c>
      <c r="AD1098" s="8">
        <f>IF($J1098=0,0,ROUND(MAX($J1098*1.4*1.5*1.6*1.6*2.2*2.715*2.6*1.4*1.4*1.5,12600000000*(1.652953^(MIN($E1098,123)-117)))*1,0))</f>
        <v>1687829312</v>
      </c>
      <c r="AE1098" s="6">
        <f>$E1098+24</f>
        <v>137</v>
      </c>
      <c r="AF1098" s="7">
        <f>IF($J1098=0,0,ROUND(MAX($J1098*1.4*1.5*1.6*1.6*2.2*2.715*2.6*1.4*1.4*1.5*1.5,18900000000*(1.65331^(MIN($E1098,123)-117)))*1,0))</f>
        <v>2529557954</v>
      </c>
      <c r="AG1098" s="4">
        <f>$E1098+27</f>
        <v>140</v>
      </c>
      <c r="AH1098" s="8">
        <f>IF($J1098=0,0,ROUND(MAX($J1098*1.4*1.5*1.6*1.6*2.2*2.715*2.6*1.4*1.4*1.5*1.5*3.2,60500000000*(1.654288^(MIN($E1098,123)-117)))*1,0))</f>
        <v>8078131097</v>
      </c>
    </row>
    <row r="1099" ht="27.75" customHeight="1" spans="1:34" x14ac:dyDescent="0.25">
      <c r="A1099" s="3">
        <v>1109</v>
      </c>
      <c r="B1099" s="3" t="s">
        <v>795</v>
      </c>
      <c r="C1099" s="3" t="s">
        <v>829</v>
      </c>
      <c r="D1099" s="3" t="s">
        <v>79</v>
      </c>
      <c r="E1099" s="3">
        <v>113</v>
      </c>
      <c r="F1099" s="3" t="s">
        <v>71</v>
      </c>
      <c r="G1099" s="3" t="s">
        <v>200</v>
      </c>
      <c r="H1099" s="3">
        <v>27</v>
      </c>
      <c r="I1099" s="4">
        <v>113</v>
      </c>
      <c r="J1099" s="5">
        <v>178000</v>
      </c>
      <c r="K1099" s="6">
        <f>$E1099+1</f>
        <v>114</v>
      </c>
      <c r="L1099" s="7">
        <f>IF($J1099=0,0,ROUND(MAX($J1099*1.4,1620000*(1.497923^(MIN($E1099,123)-117)))*1,0))</f>
        <v>321779</v>
      </c>
      <c r="M1099" s="4">
        <f>$E1099+2</f>
        <v>115</v>
      </c>
      <c r="N1099" s="8">
        <f>IF($J1099=0,0,ROUND(MAX($J1099*1.4*1.5,2190000*(1.580994^(MIN($E1099,123)-117)))*1,0))</f>
        <v>373800</v>
      </c>
      <c r="O1099" s="6">
        <f>$E1099+4</f>
        <v>117</v>
      </c>
      <c r="P1099" s="7">
        <f>IF($J1099=0,0,ROUND(MAX($J1099*1.4*1.5*1.6,3500000*(1.57975^(MIN($E1099,123)-117)))*1,0))</f>
        <v>598080</v>
      </c>
      <c r="Q1099" s="4">
        <f>$E1099+6</f>
        <v>119</v>
      </c>
      <c r="R1099" s="8">
        <f>IF($J1099=0,0,ROUND(MAX($J1099*1.4*1.5*1.6*1.6,13100000*(1.429962^(MIN($E1099,123)-117)))*1,0))</f>
        <v>3133093</v>
      </c>
      <c r="S1099" s="6">
        <f>$E1099+8</f>
        <v>121</v>
      </c>
      <c r="T1099" s="7">
        <f>IF($J1099=0,0,ROUND(MAX($J1099*1.4*1.5*1.6*1.6*2.2,42600000*(1.576904^(MIN($E1099,123)-117)))*1,0))</f>
        <v>6889514</v>
      </c>
      <c r="U1099" s="4">
        <f>$E1099+11</f>
        <v>124</v>
      </c>
      <c r="V1099" s="8">
        <f>IF($J1099=0,0,ROUND(MAX($J1099*1.4*1.5*1.6*1.6*2.2*2.715,354000000*(1.642074^(MIN($E1099,123)-117)))*1,0))</f>
        <v>48689169</v>
      </c>
      <c r="W1099" s="6">
        <f>$E1099+15</f>
        <v>128</v>
      </c>
      <c r="X1099" s="7">
        <f>IF($J1099=0,0,ROUND(MAX($J1099*1.4*1.5*1.6*1.6*2.2*2.715*2.6,3540000000*(1.579646^(MIN($E1099,123)-117)))*1,0))</f>
        <v>568544122</v>
      </c>
      <c r="Y1099" s="4">
        <f>$E1099+17</f>
        <v>130</v>
      </c>
      <c r="Z1099" s="8">
        <f>IF($J1099=0,0,ROUND(MAX($J1099*1.4*1.5*1.6*1.6*2.2*2.715*2.6*1.4,6020000000*(1.651178^(MIN($E1099,123)-117)))*1,0))</f>
        <v>809880453</v>
      </c>
      <c r="AA1099" s="6">
        <f>$E1099+19</f>
        <v>132</v>
      </c>
      <c r="AB1099" s="7">
        <f>IF($J1099=0,0,ROUND(MAX($J1099*1.4*1.5*1.6*1.6*2.2*2.715*2.6*1.4*1.4,8430000000*(1.651435^(MIN($E1099,123)-117)))*1,0))</f>
        <v>1133395897</v>
      </c>
      <c r="AC1099" s="4">
        <f>$E1099+21</f>
        <v>134</v>
      </c>
      <c r="AD1099" s="8">
        <f>IF($J1099=0,0,ROUND(MAX($J1099*1.4*1.5*1.6*1.6*2.2*2.715*2.6*1.4*1.4*1.5,12600000000*(1.652953^(MIN($E1099,123)-117)))*1,0))</f>
        <v>1687829312</v>
      </c>
      <c r="AE1099" s="6">
        <f>$E1099+24</f>
        <v>137</v>
      </c>
      <c r="AF1099" s="7">
        <f>IF($J1099=0,0,ROUND(MAX($J1099*1.4*1.5*1.6*1.6*2.2*2.715*2.6*1.4*1.4*1.5*1.5,18900000000*(1.65331^(MIN($E1099,123)-117)))*1,0))</f>
        <v>2529557954</v>
      </c>
      <c r="AG1099" s="4">
        <f>$E1099+27</f>
        <v>140</v>
      </c>
      <c r="AH1099" s="8">
        <f>IF($J1099=0,0,ROUND(MAX($J1099*1.4*1.5*1.6*1.6*2.2*2.715*2.6*1.4*1.4*1.5*1.5*3.2,60500000000*(1.654288^(MIN($E1099,123)-117)))*1,0))</f>
        <v>8078131097</v>
      </c>
    </row>
    <row r="1100" ht="27.75" customHeight="1" spans="1:34" x14ac:dyDescent="0.25">
      <c r="A1100" s="3">
        <v>1110</v>
      </c>
      <c r="B1100" s="3" t="s">
        <v>627</v>
      </c>
      <c r="C1100" s="3" t="s">
        <v>829</v>
      </c>
      <c r="D1100" s="3" t="s">
        <v>25</v>
      </c>
      <c r="E1100" s="3">
        <v>113</v>
      </c>
      <c r="F1100" s="3" t="s">
        <v>71</v>
      </c>
      <c r="G1100" s="3" t="s">
        <v>830</v>
      </c>
      <c r="H1100" s="3">
        <v>27</v>
      </c>
      <c r="I1100" s="4">
        <v>113</v>
      </c>
      <c r="J1100" s="5">
        <v>161000</v>
      </c>
      <c r="K1100" s="6">
        <f>$E1100+1</f>
        <v>114</v>
      </c>
      <c r="L1100" s="7">
        <f>IF($J1100=0,0,ROUND(MAX($J1100*1.4,1620000*(1.497923^(MIN($E1100,123)-117)))*1,0))</f>
        <v>321779</v>
      </c>
      <c r="M1100" s="4">
        <f>$E1100+2</f>
        <v>115</v>
      </c>
      <c r="N1100" s="8">
        <f>IF($J1100=0,0,ROUND(MAX($J1100*1.4*1.5,2190000*(1.580994^(MIN($E1100,123)-117)))*1,0))</f>
        <v>350528</v>
      </c>
      <c r="O1100" s="6">
        <f>$E1100+4</f>
        <v>117</v>
      </c>
      <c r="P1100" s="7">
        <f>IF($J1100=0,0,ROUND(MAX($J1100*1.4*1.5*1.6,3500000*(1.57975^(MIN($E1100,123)-117)))*1,0))</f>
        <v>561972</v>
      </c>
      <c r="Q1100" s="4">
        <f>$E1100+6</f>
        <v>119</v>
      </c>
      <c r="R1100" s="8">
        <f>IF($J1100=0,0,ROUND(MAX($J1100*1.4*1.5*1.6*1.6,13100000*(1.429962^(MIN($E1100,123)-117)))*1,0))</f>
        <v>3133093</v>
      </c>
      <c r="S1100" s="6">
        <f>$E1100+8</f>
        <v>121</v>
      </c>
      <c r="T1100" s="7">
        <f>IF($J1100=0,0,ROUND(MAX($J1100*1.4*1.5*1.6*1.6*2.2,42600000*(1.576904^(MIN($E1100,123)-117)))*1,0))</f>
        <v>6889514</v>
      </c>
      <c r="U1100" s="4">
        <f>$E1100+11</f>
        <v>124</v>
      </c>
      <c r="V1100" s="8">
        <f>IF($J1100=0,0,ROUND(MAX($J1100*1.4*1.5*1.6*1.6*2.2*2.715,354000000*(1.642074^(MIN($E1100,123)-117)))*1,0))</f>
        <v>48689169</v>
      </c>
      <c r="W1100" s="6">
        <f>$E1100+15</f>
        <v>128</v>
      </c>
      <c r="X1100" s="7">
        <f>IF($J1100=0,0,ROUND(MAX($J1100*1.4*1.5*1.6*1.6*2.2*2.715*2.6,3540000000*(1.579646^(MIN($E1100,123)-117)))*1,0))</f>
        <v>568544122</v>
      </c>
      <c r="Y1100" s="4">
        <f>$E1100+17</f>
        <v>130</v>
      </c>
      <c r="Z1100" s="8">
        <f>IF($J1100=0,0,ROUND(MAX($J1100*1.4*1.5*1.6*1.6*2.2*2.715*2.6*1.4,6020000000*(1.651178^(MIN($E1100,123)-117)))*1,0))</f>
        <v>809880453</v>
      </c>
      <c r="AA1100" s="6">
        <f>$E1100+19</f>
        <v>132</v>
      </c>
      <c r="AB1100" s="7">
        <f>IF($J1100=0,0,ROUND(MAX($J1100*1.4*1.5*1.6*1.6*2.2*2.715*2.6*1.4*1.4,8430000000*(1.651435^(MIN($E1100,123)-117)))*1,0))</f>
        <v>1133395897</v>
      </c>
      <c r="AC1100" s="4">
        <f>$E1100+21</f>
        <v>134</v>
      </c>
      <c r="AD1100" s="8">
        <f>IF($J1100=0,0,ROUND(MAX($J1100*1.4*1.5*1.6*1.6*2.2*2.715*2.6*1.4*1.4*1.5,12600000000*(1.652953^(MIN($E1100,123)-117)))*1,0))</f>
        <v>1687829312</v>
      </c>
      <c r="AE1100" s="6">
        <f>$E1100+24</f>
        <v>137</v>
      </c>
      <c r="AF1100" s="7">
        <f>IF($J1100=0,0,ROUND(MAX($J1100*1.4*1.5*1.6*1.6*2.2*2.715*2.6*1.4*1.4*1.5*1.5,18900000000*(1.65331^(MIN($E1100,123)-117)))*1,0))</f>
        <v>2529557954</v>
      </c>
      <c r="AG1100" s="4">
        <f>$E1100+27</f>
        <v>140</v>
      </c>
      <c r="AH1100" s="8">
        <f>IF($J1100=0,0,ROUND(MAX($J1100*1.4*1.5*1.6*1.6*2.2*2.715*2.6*1.4*1.4*1.5*1.5*3.2,60500000000*(1.654288^(MIN($E1100,123)-117)))*1,0))</f>
        <v>8078131097</v>
      </c>
    </row>
    <row r="1101" ht="27.75" customHeight="1" spans="1:34" x14ac:dyDescent="0.25">
      <c r="A1101" s="3">
        <v>1111</v>
      </c>
      <c r="B1101" s="3" t="s">
        <v>596</v>
      </c>
      <c r="C1101" s="3" t="s">
        <v>829</v>
      </c>
      <c r="D1101" s="3" t="s">
        <v>33</v>
      </c>
      <c r="E1101" s="3">
        <v>113</v>
      </c>
      <c r="F1101" s="3" t="s">
        <v>26</v>
      </c>
      <c r="G1101" s="3" t="s">
        <v>830</v>
      </c>
      <c r="H1101" s="3">
        <v>27</v>
      </c>
      <c r="I1101" s="4">
        <v>113</v>
      </c>
      <c r="J1101" s="5">
        <v>209000</v>
      </c>
      <c r="K1101" s="6">
        <f>$E1101+1</f>
        <v>114</v>
      </c>
      <c r="L1101" s="7">
        <f>IF($J1101=0,0,ROUND(MAX($J1101*1.4,1620000*(1.497923^(MIN($E1101,123)-117)))*1,0))</f>
        <v>321779</v>
      </c>
      <c r="M1101" s="4">
        <f>$E1101+2</f>
        <v>115</v>
      </c>
      <c r="N1101" s="8">
        <f>IF($J1101=0,0,ROUND(MAX($J1101*1.4*1.5,2190000*(1.580994^(MIN($E1101,123)-117)))*1,0))</f>
        <v>438900</v>
      </c>
      <c r="O1101" s="6">
        <f>$E1101+4</f>
        <v>117</v>
      </c>
      <c r="P1101" s="7">
        <f>IF($J1101=0,0,ROUND(MAX($J1101*1.4*1.5*1.6,3500000*(1.57975^(MIN($E1101,123)-117)))*1,0))</f>
        <v>702240</v>
      </c>
      <c r="Q1101" s="4">
        <f>$E1101+6</f>
        <v>119</v>
      </c>
      <c r="R1101" s="8">
        <f>IF($J1101=0,0,ROUND(MAX($J1101*1.4*1.5*1.6*1.6,13100000*(1.429962^(MIN($E1101,123)-117)))*1,0))</f>
        <v>3133093</v>
      </c>
      <c r="S1101" s="6">
        <f>$E1101+8</f>
        <v>121</v>
      </c>
      <c r="T1101" s="7">
        <f>IF($J1101=0,0,ROUND(MAX($J1101*1.4*1.5*1.6*1.6*2.2,42600000*(1.576904^(MIN($E1101,123)-117)))*1,0))</f>
        <v>6889514</v>
      </c>
      <c r="U1101" s="4">
        <f>$E1101+11</f>
        <v>124</v>
      </c>
      <c r="V1101" s="8">
        <f>IF($J1101=0,0,ROUND(MAX($J1101*1.4*1.5*1.6*1.6*2.2*2.715,354000000*(1.642074^(MIN($E1101,123)-117)))*1,0))</f>
        <v>48689169</v>
      </c>
      <c r="W1101" s="6">
        <f>$E1101+15</f>
        <v>128</v>
      </c>
      <c r="X1101" s="7">
        <f>IF($J1101=0,0,ROUND(MAX($J1101*1.4*1.5*1.6*1.6*2.2*2.715*2.6,3540000000*(1.579646^(MIN($E1101,123)-117)))*1,0))</f>
        <v>568544122</v>
      </c>
      <c r="Y1101" s="4">
        <f>$E1101+17</f>
        <v>130</v>
      </c>
      <c r="Z1101" s="8">
        <f>IF($J1101=0,0,ROUND(MAX($J1101*1.4*1.5*1.6*1.6*2.2*2.715*2.6*1.4,6020000000*(1.651178^(MIN($E1101,123)-117)))*1,0))</f>
        <v>809880453</v>
      </c>
      <c r="AA1101" s="6">
        <f>$E1101+19</f>
        <v>132</v>
      </c>
      <c r="AB1101" s="7">
        <f>IF($J1101=0,0,ROUND(MAX($J1101*1.4*1.5*1.6*1.6*2.2*2.715*2.6*1.4*1.4,8430000000*(1.651435^(MIN($E1101,123)-117)))*1,0))</f>
        <v>1133395897</v>
      </c>
      <c r="AC1101" s="4">
        <f>$E1101+21</f>
        <v>134</v>
      </c>
      <c r="AD1101" s="8">
        <f>IF($J1101=0,0,ROUND(MAX($J1101*1.4*1.5*1.6*1.6*2.2*2.715*2.6*1.4*1.4*1.5,12600000000*(1.652953^(MIN($E1101,123)-117)))*1,0))</f>
        <v>1687829312</v>
      </c>
      <c r="AE1101" s="6">
        <f>$E1101+24</f>
        <v>137</v>
      </c>
      <c r="AF1101" s="7">
        <f>IF($J1101=0,0,ROUND(MAX($J1101*1.4*1.5*1.6*1.6*2.2*2.715*2.6*1.4*1.4*1.5*1.5,18900000000*(1.65331^(MIN($E1101,123)-117)))*1,0))</f>
        <v>2529557954</v>
      </c>
      <c r="AG1101" s="4">
        <f>$E1101+27</f>
        <v>140</v>
      </c>
      <c r="AH1101" s="8">
        <f>IF($J1101=0,0,ROUND(MAX($J1101*1.4*1.5*1.6*1.6*2.2*2.715*2.6*1.4*1.4*1.5*1.5*3.2,60500000000*(1.654288^(MIN($E1101,123)-117)))*1,0))</f>
        <v>8078131097</v>
      </c>
    </row>
    <row r="1102" ht="27.75" customHeight="1" spans="1:34" x14ac:dyDescent="0.25">
      <c r="A1102" s="3">
        <v>1112</v>
      </c>
      <c r="B1102" s="3" t="s">
        <v>142</v>
      </c>
      <c r="C1102" s="3" t="s">
        <v>829</v>
      </c>
      <c r="D1102" s="3" t="s">
        <v>75</v>
      </c>
      <c r="E1102" s="3">
        <v>113</v>
      </c>
      <c r="F1102" s="3" t="s">
        <v>34</v>
      </c>
      <c r="G1102" s="3" t="s">
        <v>830</v>
      </c>
      <c r="H1102" s="3">
        <v>27</v>
      </c>
      <c r="I1102" s="4">
        <v>113</v>
      </c>
      <c r="J1102" s="5">
        <v>202000</v>
      </c>
      <c r="K1102" s="6">
        <f>$E1102+1</f>
        <v>114</v>
      </c>
      <c r="L1102" s="7">
        <f>IF($J1102=0,0,ROUND(MAX($J1102*1.4,1620000*(1.497923^(MIN($E1102,123)-117)))*1,0))</f>
        <v>321779</v>
      </c>
      <c r="M1102" s="4">
        <f>$E1102+2</f>
        <v>115</v>
      </c>
      <c r="N1102" s="8">
        <f>IF($J1102=0,0,ROUND(MAX($J1102*1.4*1.5,2190000*(1.580994^(MIN($E1102,123)-117)))*1,0))</f>
        <v>424200</v>
      </c>
      <c r="O1102" s="6">
        <f>$E1102+4</f>
        <v>117</v>
      </c>
      <c r="P1102" s="7">
        <f>IF($J1102=0,0,ROUND(MAX($J1102*1.4*1.5*1.6,3500000*(1.57975^(MIN($E1102,123)-117)))*1,0))</f>
        <v>678720</v>
      </c>
      <c r="Q1102" s="4">
        <f>$E1102+6</f>
        <v>119</v>
      </c>
      <c r="R1102" s="8">
        <f>IF($J1102=0,0,ROUND(MAX($J1102*1.4*1.5*1.6*1.6,13100000*(1.429962^(MIN($E1102,123)-117)))*1,0))</f>
        <v>3133093</v>
      </c>
      <c r="S1102" s="6">
        <f>$E1102+8</f>
        <v>121</v>
      </c>
      <c r="T1102" s="7">
        <f>IF($J1102=0,0,ROUND(MAX($J1102*1.4*1.5*1.6*1.6*2.2,42600000*(1.576904^(MIN($E1102,123)-117)))*1,0))</f>
        <v>6889514</v>
      </c>
      <c r="U1102" s="4">
        <f>$E1102+11</f>
        <v>124</v>
      </c>
      <c r="V1102" s="8">
        <f>IF($J1102=0,0,ROUND(MAX($J1102*1.4*1.5*1.6*1.6*2.2*2.715,354000000*(1.642074^(MIN($E1102,123)-117)))*1,0))</f>
        <v>48689169</v>
      </c>
      <c r="W1102" s="6">
        <f>$E1102+15</f>
        <v>128</v>
      </c>
      <c r="X1102" s="7">
        <f>IF($J1102=0,0,ROUND(MAX($J1102*1.4*1.5*1.6*1.6*2.2*2.715*2.6,3540000000*(1.579646^(MIN($E1102,123)-117)))*1,0))</f>
        <v>568544122</v>
      </c>
      <c r="Y1102" s="4">
        <f>$E1102+17</f>
        <v>130</v>
      </c>
      <c r="Z1102" s="8">
        <f>IF($J1102=0,0,ROUND(MAX($J1102*1.4*1.5*1.6*1.6*2.2*2.715*2.6*1.4,6020000000*(1.651178^(MIN($E1102,123)-117)))*1,0))</f>
        <v>809880453</v>
      </c>
      <c r="AA1102" s="6">
        <f>$E1102+19</f>
        <v>132</v>
      </c>
      <c r="AB1102" s="7">
        <f>IF($J1102=0,0,ROUND(MAX($J1102*1.4*1.5*1.6*1.6*2.2*2.715*2.6*1.4*1.4,8430000000*(1.651435^(MIN($E1102,123)-117)))*1,0))</f>
        <v>1133395897</v>
      </c>
      <c r="AC1102" s="4">
        <f>$E1102+21</f>
        <v>134</v>
      </c>
      <c r="AD1102" s="8">
        <f>IF($J1102=0,0,ROUND(MAX($J1102*1.4*1.5*1.6*1.6*2.2*2.715*2.6*1.4*1.4*1.5,12600000000*(1.652953^(MIN($E1102,123)-117)))*1,0))</f>
        <v>1687829312</v>
      </c>
      <c r="AE1102" s="6">
        <f>$E1102+24</f>
        <v>137</v>
      </c>
      <c r="AF1102" s="7">
        <f>IF($J1102=0,0,ROUND(MAX($J1102*1.4*1.5*1.6*1.6*2.2*2.715*2.6*1.4*1.4*1.5*1.5,18900000000*(1.65331^(MIN($E1102,123)-117)))*1,0))</f>
        <v>2529557954</v>
      </c>
      <c r="AG1102" s="4">
        <f>$E1102+27</f>
        <v>140</v>
      </c>
      <c r="AH1102" s="8">
        <f>IF($J1102=0,0,ROUND(MAX($J1102*1.4*1.5*1.6*1.6*2.2*2.715*2.6*1.4*1.4*1.5*1.5*3.2,60500000000*(1.654288^(MIN($E1102,123)-117)))*1,0))</f>
        <v>8078131097</v>
      </c>
    </row>
    <row r="1103" ht="27.75" customHeight="1" spans="1:34" x14ac:dyDescent="0.25">
      <c r="A1103" s="3">
        <v>1113</v>
      </c>
      <c r="B1103" s="3" t="s">
        <v>186</v>
      </c>
      <c r="C1103" s="3" t="s">
        <v>829</v>
      </c>
      <c r="D1103" s="3" t="s">
        <v>75</v>
      </c>
      <c r="E1103" s="3">
        <v>113</v>
      </c>
      <c r="F1103" s="3" t="s">
        <v>56</v>
      </c>
      <c r="G1103" s="3" t="s">
        <v>830</v>
      </c>
      <c r="H1103" s="3">
        <v>27</v>
      </c>
      <c r="I1103" s="4">
        <v>113</v>
      </c>
      <c r="J1103" s="5">
        <v>303000</v>
      </c>
      <c r="K1103" s="6">
        <f>$E1103+1</f>
        <v>114</v>
      </c>
      <c r="L1103" s="7">
        <f>IF($J1103=0,0,ROUND(MAX($J1103*1.4,1620000*(1.497923^(MIN($E1103,123)-117)))*1,0))</f>
        <v>424200</v>
      </c>
      <c r="M1103" s="4">
        <f>$E1103+2</f>
        <v>115</v>
      </c>
      <c r="N1103" s="8">
        <f>IF($J1103=0,0,ROUND(MAX($J1103*1.4*1.5,2190000*(1.580994^(MIN($E1103,123)-117)))*1,0))</f>
        <v>636300</v>
      </c>
      <c r="O1103" s="6">
        <f>$E1103+4</f>
        <v>117</v>
      </c>
      <c r="P1103" s="7">
        <f>IF($J1103=0,0,ROUND(MAX($J1103*1.4*1.5*1.6,3500000*(1.57975^(MIN($E1103,123)-117)))*1,0))</f>
        <v>1018080</v>
      </c>
      <c r="Q1103" s="4">
        <f>$E1103+6</f>
        <v>119</v>
      </c>
      <c r="R1103" s="8">
        <f>IF($J1103=0,0,ROUND(MAX($J1103*1.4*1.5*1.6*1.6,13100000*(1.429962^(MIN($E1103,123)-117)))*1,0))</f>
        <v>3133093</v>
      </c>
      <c r="S1103" s="6">
        <f>$E1103+8</f>
        <v>121</v>
      </c>
      <c r="T1103" s="7">
        <f>IF($J1103=0,0,ROUND(MAX($J1103*1.4*1.5*1.6*1.6*2.2,42600000*(1.576904^(MIN($E1103,123)-117)))*1,0))</f>
        <v>6889514</v>
      </c>
      <c r="U1103" s="4">
        <f>$E1103+11</f>
        <v>124</v>
      </c>
      <c r="V1103" s="8">
        <f>IF($J1103=0,0,ROUND(MAX($J1103*1.4*1.5*1.6*1.6*2.2*2.715,354000000*(1.642074^(MIN($E1103,123)-117)))*1,0))</f>
        <v>48689169</v>
      </c>
      <c r="W1103" s="6">
        <f>$E1103+15</f>
        <v>128</v>
      </c>
      <c r="X1103" s="7">
        <f>IF($J1103=0,0,ROUND(MAX($J1103*1.4*1.5*1.6*1.6*2.2*2.715*2.6,3540000000*(1.579646^(MIN($E1103,123)-117)))*1,0))</f>
        <v>568544122</v>
      </c>
      <c r="Y1103" s="4">
        <f>$E1103+17</f>
        <v>130</v>
      </c>
      <c r="Z1103" s="8">
        <f>IF($J1103=0,0,ROUND(MAX($J1103*1.4*1.5*1.6*1.6*2.2*2.715*2.6*1.4,6020000000*(1.651178^(MIN($E1103,123)-117)))*1,0))</f>
        <v>809880453</v>
      </c>
      <c r="AA1103" s="6">
        <f>$E1103+19</f>
        <v>132</v>
      </c>
      <c r="AB1103" s="7">
        <f>IF($J1103=0,0,ROUND(MAX($J1103*1.4*1.5*1.6*1.6*2.2*2.715*2.6*1.4*1.4,8430000000*(1.651435^(MIN($E1103,123)-117)))*1,0))</f>
        <v>1133395897</v>
      </c>
      <c r="AC1103" s="4">
        <f>$E1103+21</f>
        <v>134</v>
      </c>
      <c r="AD1103" s="8">
        <f>IF($J1103=0,0,ROUND(MAX($J1103*1.4*1.5*1.6*1.6*2.2*2.715*2.6*1.4*1.4*1.5,12600000000*(1.652953^(MIN($E1103,123)-117)))*1,0))</f>
        <v>1687829312</v>
      </c>
      <c r="AE1103" s="6">
        <f>$E1103+24</f>
        <v>137</v>
      </c>
      <c r="AF1103" s="7">
        <f>IF($J1103=0,0,ROUND(MAX($J1103*1.4*1.5*1.6*1.6*2.2*2.715*2.6*1.4*1.4*1.5*1.5,18900000000*(1.65331^(MIN($E1103,123)-117)))*1,0))</f>
        <v>2529557954</v>
      </c>
      <c r="AG1103" s="4">
        <f>$E1103+27</f>
        <v>140</v>
      </c>
      <c r="AH1103" s="8">
        <f>IF($J1103=0,0,ROUND(MAX($J1103*1.4*1.5*1.6*1.6*2.2*2.715*2.6*1.4*1.4*1.5*1.5*3.2,60500000000*(1.654288^(MIN($E1103,123)-117)))*1,0))</f>
        <v>8078131097</v>
      </c>
    </row>
    <row r="1104" ht="27.75" customHeight="1" spans="1:34" x14ac:dyDescent="0.25">
      <c r="A1104" s="3">
        <v>1114</v>
      </c>
      <c r="B1104" s="3" t="s">
        <v>623</v>
      </c>
      <c r="C1104" s="3" t="s">
        <v>829</v>
      </c>
      <c r="D1104" s="3" t="s">
        <v>102</v>
      </c>
      <c r="E1104" s="3">
        <v>113</v>
      </c>
      <c r="F1104" s="3" t="s">
        <v>56</v>
      </c>
      <c r="G1104" s="3" t="s">
        <v>830</v>
      </c>
      <c r="H1104" s="3">
        <v>27</v>
      </c>
      <c r="I1104" s="4">
        <v>113</v>
      </c>
      <c r="J1104" s="5">
        <v>604000</v>
      </c>
      <c r="K1104" s="6">
        <f>$E1104+1</f>
        <v>114</v>
      </c>
      <c r="L1104" s="7">
        <f>IF($J1104=0,0,ROUND(MAX($J1104*1.4,1620000*(1.497923^(MIN($E1104,123)-117)))*1,0))</f>
        <v>845600</v>
      </c>
      <c r="M1104" s="4">
        <f>$E1104+2</f>
        <v>115</v>
      </c>
      <c r="N1104" s="8">
        <f>IF($J1104=0,0,ROUND(MAX($J1104*1.4*1.5,2190000*(1.580994^(MIN($E1104,123)-117)))*1,0))</f>
        <v>1268400</v>
      </c>
      <c r="O1104" s="6">
        <f>$E1104+4</f>
        <v>117</v>
      </c>
      <c r="P1104" s="7">
        <f>IF($J1104=0,0,ROUND(MAX($J1104*1.4*1.5*1.6,3500000*(1.57975^(MIN($E1104,123)-117)))*1,0))</f>
        <v>2029440</v>
      </c>
      <c r="Q1104" s="4">
        <f>$E1104+6</f>
        <v>119</v>
      </c>
      <c r="R1104" s="8">
        <f>IF($J1104=0,0,ROUND(MAX($J1104*1.4*1.5*1.6*1.6,13100000*(1.429962^(MIN($E1104,123)-117)))*1,0))</f>
        <v>3247104</v>
      </c>
      <c r="S1104" s="6">
        <f>$E1104+8</f>
        <v>121</v>
      </c>
      <c r="T1104" s="7">
        <f>IF($J1104=0,0,ROUND(MAX($J1104*1.4*1.5*1.6*1.6*2.2,42600000*(1.576904^(MIN($E1104,123)-117)))*1,0))</f>
        <v>7143629</v>
      </c>
      <c r="U1104" s="4">
        <f>$E1104+11</f>
        <v>124</v>
      </c>
      <c r="V1104" s="8">
        <f>IF($J1104=0,0,ROUND(MAX($J1104*1.4*1.5*1.6*1.6*2.2*2.715,354000000*(1.642074^(MIN($E1104,123)-117)))*1,0))</f>
        <v>48689169</v>
      </c>
      <c r="W1104" s="6">
        <f>$E1104+15</f>
        <v>128</v>
      </c>
      <c r="X1104" s="7">
        <f>IF($J1104=0,0,ROUND(MAX($J1104*1.4*1.5*1.6*1.6*2.2*2.715*2.6,3540000000*(1.579646^(MIN($E1104,123)-117)))*1,0))</f>
        <v>568544122</v>
      </c>
      <c r="Y1104" s="4">
        <f>$E1104+17</f>
        <v>130</v>
      </c>
      <c r="Z1104" s="8">
        <f>IF($J1104=0,0,ROUND(MAX($J1104*1.4*1.5*1.6*1.6*2.2*2.715*2.6*1.4,6020000000*(1.651178^(MIN($E1104,123)-117)))*1,0))</f>
        <v>809880453</v>
      </c>
      <c r="AA1104" s="6">
        <f>$E1104+19</f>
        <v>132</v>
      </c>
      <c r="AB1104" s="7">
        <f>IF($J1104=0,0,ROUND(MAX($J1104*1.4*1.5*1.6*1.6*2.2*2.715*2.6*1.4*1.4,8430000000*(1.651435^(MIN($E1104,123)-117)))*1,0))</f>
        <v>1133395897</v>
      </c>
      <c r="AC1104" s="4">
        <f>$E1104+21</f>
        <v>134</v>
      </c>
      <c r="AD1104" s="8">
        <f>IF($J1104=0,0,ROUND(MAX($J1104*1.4*1.5*1.6*1.6*2.2*2.715*2.6*1.4*1.4*1.5,12600000000*(1.652953^(MIN($E1104,123)-117)))*1,0))</f>
        <v>1687829312</v>
      </c>
      <c r="AE1104" s="6">
        <f>$E1104+24</f>
        <v>137</v>
      </c>
      <c r="AF1104" s="7">
        <f>IF($J1104=0,0,ROUND(MAX($J1104*1.4*1.5*1.6*1.6*2.2*2.715*2.6*1.4*1.4*1.5*1.5,18900000000*(1.65331^(MIN($E1104,123)-117)))*1,0))</f>
        <v>2529557954</v>
      </c>
      <c r="AG1104" s="4">
        <f>$E1104+27</f>
        <v>140</v>
      </c>
      <c r="AH1104" s="8">
        <f>IF($J1104=0,0,ROUND(MAX($J1104*1.4*1.5*1.6*1.6*2.2*2.715*2.6*1.4*1.4*1.5*1.5*3.2,60500000000*(1.654288^(MIN($E1104,123)-117)))*1,0))</f>
        <v>8078131097</v>
      </c>
    </row>
    <row r="1105" ht="27.75" customHeight="1" spans="1:34" x14ac:dyDescent="0.25">
      <c r="A1105" s="3">
        <v>1115</v>
      </c>
      <c r="B1105" s="3" t="s">
        <v>836</v>
      </c>
      <c r="C1105" s="3" t="s">
        <v>829</v>
      </c>
      <c r="D1105" s="3" t="s">
        <v>79</v>
      </c>
      <c r="E1105" s="3">
        <v>113</v>
      </c>
      <c r="F1105" s="3" t="s">
        <v>42</v>
      </c>
      <c r="G1105" s="3" t="s">
        <v>133</v>
      </c>
      <c r="H1105" s="3">
        <v>26</v>
      </c>
      <c r="I1105" s="4">
        <v>113</v>
      </c>
      <c r="J1105" s="5">
        <v>203000</v>
      </c>
      <c r="K1105" s="6">
        <f>$E1105+1</f>
        <v>114</v>
      </c>
      <c r="L1105" s="7">
        <f>IF($J1105=0,0,ROUND(MAX($J1105*1.4,1620000*(1.497923^(MIN($E1105,123)-117)))*1,0))</f>
        <v>321779</v>
      </c>
      <c r="M1105" s="4">
        <f>$E1105+2</f>
        <v>115</v>
      </c>
      <c r="N1105" s="8">
        <f>IF($J1105=0,0,ROUND(MAX($J1105*1.4*1.5,2190000*(1.580994^(MIN($E1105,123)-117)))*1,0))</f>
        <v>426300</v>
      </c>
      <c r="O1105" s="6">
        <f>$E1105+4</f>
        <v>117</v>
      </c>
      <c r="P1105" s="7">
        <f>IF($J1105=0,0,ROUND(MAX($J1105*1.4*1.5*1.6,3500000*(1.57975^(MIN($E1105,123)-117)))*1,0))</f>
        <v>682080</v>
      </c>
      <c r="Q1105" s="4">
        <f>$E1105+6</f>
        <v>119</v>
      </c>
      <c r="R1105" s="8">
        <f>IF($J1105=0,0,ROUND(MAX($J1105*1.4*1.5*1.6*1.6,13100000*(1.429962^(MIN($E1105,123)-117)))*1,0))</f>
        <v>3133093</v>
      </c>
      <c r="S1105" s="6">
        <f>$E1105+8</f>
        <v>121</v>
      </c>
      <c r="T1105" s="7">
        <f>IF($J1105=0,0,ROUND(MAX($J1105*1.4*1.5*1.6*1.6*2.2,42600000*(1.576904^(MIN($E1105,123)-117)))*1,0))</f>
        <v>6889514</v>
      </c>
      <c r="U1105" s="4">
        <f>$E1105+11</f>
        <v>124</v>
      </c>
      <c r="V1105" s="8">
        <f>IF($J1105=0,0,ROUND(MAX($J1105*1.4*1.5*1.6*1.6*2.2*2.715,354000000*(1.642074^(MIN($E1105,123)-117)))*1,0))</f>
        <v>48689169</v>
      </c>
      <c r="W1105" s="6">
        <f>$E1105+15</f>
        <v>128</v>
      </c>
      <c r="X1105" s="7">
        <f>IF($J1105=0,0,ROUND(MAX($J1105*1.4*1.5*1.6*1.6*2.2*2.715*2.6,3540000000*(1.579646^(MIN($E1105,123)-117)))*1,0))</f>
        <v>568544122</v>
      </c>
      <c r="Y1105" s="4">
        <f>$E1105+17</f>
        <v>130</v>
      </c>
      <c r="Z1105" s="8">
        <f>IF($J1105=0,0,ROUND(MAX($J1105*1.4*1.5*1.6*1.6*2.2*2.715*2.6*1.4,6020000000*(1.651178^(MIN($E1105,123)-117)))*1,0))</f>
        <v>809880453</v>
      </c>
      <c r="AA1105" s="6">
        <f>$E1105+19</f>
        <v>132</v>
      </c>
      <c r="AB1105" s="7">
        <f>IF($J1105=0,0,ROUND(MAX($J1105*1.4*1.5*1.6*1.6*2.2*2.715*2.6*1.4*1.4,8430000000*(1.651435^(MIN($E1105,123)-117)))*1,0))</f>
        <v>1133395897</v>
      </c>
      <c r="AC1105" s="4">
        <f>$E1105+21</f>
        <v>134</v>
      </c>
      <c r="AD1105" s="8">
        <f>IF($J1105=0,0,ROUND(MAX($J1105*1.4*1.5*1.6*1.6*2.2*2.715*2.6*1.4*1.4*1.5,12600000000*(1.652953^(MIN($E1105,123)-117)))*1,0))</f>
        <v>1687829312</v>
      </c>
      <c r="AE1105" s="6">
        <f>$E1105+24</f>
        <v>137</v>
      </c>
      <c r="AF1105" s="7">
        <f>IF($J1105=0,0,ROUND(MAX($J1105*1.4*1.5*1.6*1.6*2.2*2.715*2.6*1.4*1.4*1.5*1.5,18900000000*(1.65331^(MIN($E1105,123)-117)))*1,0))</f>
        <v>2529557954</v>
      </c>
      <c r="AG1105" s="4">
        <f>$E1105+27</f>
        <v>140</v>
      </c>
      <c r="AH1105" s="8">
        <f>IF($J1105=0,0,ROUND(MAX($J1105*1.4*1.5*1.6*1.6*2.2*2.715*2.6*1.4*1.4*1.5*1.5*3.2,60500000000*(1.654288^(MIN($E1105,123)-117)))*1,0))</f>
        <v>8078131097</v>
      </c>
    </row>
    <row r="1106" ht="27.75" customHeight="1" spans="1:34" x14ac:dyDescent="0.25">
      <c r="A1106" s="3">
        <v>1116</v>
      </c>
      <c r="B1106" s="3" t="s">
        <v>621</v>
      </c>
      <c r="C1106" s="3" t="s">
        <v>829</v>
      </c>
      <c r="D1106" s="3" t="s">
        <v>45</v>
      </c>
      <c r="E1106" s="3">
        <v>113</v>
      </c>
      <c r="F1106" s="3" t="s">
        <v>62</v>
      </c>
      <c r="G1106" s="3" t="s">
        <v>242</v>
      </c>
      <c r="H1106" s="3">
        <v>26</v>
      </c>
      <c r="I1106" s="4">
        <v>113</v>
      </c>
      <c r="J1106" s="5">
        <v>237000</v>
      </c>
      <c r="K1106" s="6">
        <f>$E1106+1</f>
        <v>114</v>
      </c>
      <c r="L1106" s="7">
        <f>IF($J1106=0,0,ROUND(MAX($J1106*1.4,1620000*(1.497923^(MIN($E1106,123)-117)))*1,0))</f>
        <v>331800</v>
      </c>
      <c r="M1106" s="4">
        <f>$E1106+2</f>
        <v>115</v>
      </c>
      <c r="N1106" s="8">
        <f>IF($J1106=0,0,ROUND(MAX($J1106*1.4*1.5,2190000*(1.580994^(MIN($E1106,123)-117)))*1,0))</f>
        <v>497700</v>
      </c>
      <c r="O1106" s="6">
        <f>$E1106+4</f>
        <v>117</v>
      </c>
      <c r="P1106" s="7">
        <f>IF($J1106=0,0,ROUND(MAX($J1106*1.4*1.5*1.6,3500000*(1.57975^(MIN($E1106,123)-117)))*1,0))</f>
        <v>796320</v>
      </c>
      <c r="Q1106" s="4">
        <f>$E1106+6</f>
        <v>119</v>
      </c>
      <c r="R1106" s="8">
        <f>IF($J1106=0,0,ROUND(MAX($J1106*1.4*1.5*1.6*1.6,13100000*(1.429962^(MIN($E1106,123)-117)))*1,0))</f>
        <v>3133093</v>
      </c>
      <c r="S1106" s="6">
        <f>$E1106+8</f>
        <v>121</v>
      </c>
      <c r="T1106" s="7">
        <f>IF($J1106=0,0,ROUND(MAX($J1106*1.4*1.5*1.6*1.6*2.2,42600000*(1.576904^(MIN($E1106,123)-117)))*1,0))</f>
        <v>6889514</v>
      </c>
      <c r="U1106" s="4">
        <f>$E1106+11</f>
        <v>124</v>
      </c>
      <c r="V1106" s="8">
        <f>IF($J1106=0,0,ROUND(MAX($J1106*1.4*1.5*1.6*1.6*2.2*2.715,354000000*(1.642074^(MIN($E1106,123)-117)))*1,0))</f>
        <v>48689169</v>
      </c>
      <c r="W1106" s="6">
        <f>$E1106+15</f>
        <v>128</v>
      </c>
      <c r="X1106" s="7">
        <f>IF($J1106=0,0,ROUND(MAX($J1106*1.4*1.5*1.6*1.6*2.2*2.715*2.6,3540000000*(1.579646^(MIN($E1106,123)-117)))*1,0))</f>
        <v>568544122</v>
      </c>
      <c r="Y1106" s="4">
        <f>$E1106+17</f>
        <v>130</v>
      </c>
      <c r="Z1106" s="8">
        <f>IF($J1106=0,0,ROUND(MAX($J1106*1.4*1.5*1.6*1.6*2.2*2.715*2.6*1.4,6020000000*(1.651178^(MIN($E1106,123)-117)))*1,0))</f>
        <v>809880453</v>
      </c>
      <c r="AA1106" s="6">
        <f>$E1106+19</f>
        <v>132</v>
      </c>
      <c r="AB1106" s="7">
        <f>IF($J1106=0,0,ROUND(MAX($J1106*1.4*1.5*1.6*1.6*2.2*2.715*2.6*1.4*1.4,8430000000*(1.651435^(MIN($E1106,123)-117)))*1,0))</f>
        <v>1133395897</v>
      </c>
      <c r="AC1106" s="4">
        <f>$E1106+21</f>
        <v>134</v>
      </c>
      <c r="AD1106" s="8">
        <f>IF($J1106=0,0,ROUND(MAX($J1106*1.4*1.5*1.6*1.6*2.2*2.715*2.6*1.4*1.4*1.5,12600000000*(1.652953^(MIN($E1106,123)-117)))*1,0))</f>
        <v>1687829312</v>
      </c>
      <c r="AE1106" s="6">
        <f>$E1106+24</f>
        <v>137</v>
      </c>
      <c r="AF1106" s="7">
        <f>IF($J1106=0,0,ROUND(MAX($J1106*1.4*1.5*1.6*1.6*2.2*2.715*2.6*1.4*1.4*1.5*1.5,18900000000*(1.65331^(MIN($E1106,123)-117)))*1,0))</f>
        <v>2529557954</v>
      </c>
      <c r="AG1106" s="4">
        <f>$E1106+27</f>
        <v>140</v>
      </c>
      <c r="AH1106" s="8">
        <f>IF($J1106=0,0,ROUND(MAX($J1106*1.4*1.5*1.6*1.6*2.2*2.715*2.6*1.4*1.4*1.5*1.5*3.2,60500000000*(1.654288^(MIN($E1106,123)-117)))*1,0))</f>
        <v>8078131097</v>
      </c>
    </row>
    <row r="1107" ht="27.75" customHeight="1" spans="1:34" x14ac:dyDescent="0.25">
      <c r="A1107" s="3">
        <v>1117</v>
      </c>
      <c r="B1107" s="3" t="s">
        <v>628</v>
      </c>
      <c r="C1107" s="3" t="s">
        <v>829</v>
      </c>
      <c r="D1107" s="3" t="s">
        <v>75</v>
      </c>
      <c r="E1107" s="3">
        <v>113</v>
      </c>
      <c r="F1107" s="3" t="s">
        <v>136</v>
      </c>
      <c r="G1107" s="3" t="s">
        <v>133</v>
      </c>
      <c r="H1107" s="3">
        <v>26</v>
      </c>
      <c r="I1107" s="4">
        <v>113</v>
      </c>
      <c r="J1107" s="5">
        <v>200000</v>
      </c>
      <c r="K1107" s="6">
        <f>$E1107+1</f>
        <v>114</v>
      </c>
      <c r="L1107" s="7">
        <f>IF($J1107=0,0,ROUND(MAX($J1107*1.4,1620000*(1.497923^(MIN($E1107,123)-117)))*1,0))</f>
        <v>321779</v>
      </c>
      <c r="M1107" s="4">
        <f>$E1107+2</f>
        <v>115</v>
      </c>
      <c r="N1107" s="8">
        <f>IF($J1107=0,0,ROUND(MAX($J1107*1.4*1.5,2190000*(1.580994^(MIN($E1107,123)-117)))*1,0))</f>
        <v>420000</v>
      </c>
      <c r="O1107" s="6">
        <f>$E1107+4</f>
        <v>117</v>
      </c>
      <c r="P1107" s="7">
        <f>IF($J1107=0,0,ROUND(MAX($J1107*1.4*1.5*1.6,3500000*(1.57975^(MIN($E1107,123)-117)))*1,0))</f>
        <v>672000</v>
      </c>
      <c r="Q1107" s="4">
        <f>$E1107+6</f>
        <v>119</v>
      </c>
      <c r="R1107" s="8">
        <f>IF($J1107=0,0,ROUND(MAX($J1107*1.4*1.5*1.6*1.6,13100000*(1.429962^(MIN($E1107,123)-117)))*1,0))</f>
        <v>3133093</v>
      </c>
      <c r="S1107" s="6">
        <f>$E1107+8</f>
        <v>121</v>
      </c>
      <c r="T1107" s="7">
        <f>IF($J1107=0,0,ROUND(MAX($J1107*1.4*1.5*1.6*1.6*2.2,42600000*(1.576904^(MIN($E1107,123)-117)))*1,0))</f>
        <v>6889514</v>
      </c>
      <c r="U1107" s="4">
        <f>$E1107+11</f>
        <v>124</v>
      </c>
      <c r="V1107" s="8">
        <f>IF($J1107=0,0,ROUND(MAX($J1107*1.4*1.5*1.6*1.6*2.2*2.715,354000000*(1.642074^(MIN($E1107,123)-117)))*1,0))</f>
        <v>48689169</v>
      </c>
      <c r="W1107" s="6">
        <f>$E1107+15</f>
        <v>128</v>
      </c>
      <c r="X1107" s="7">
        <f>IF($J1107=0,0,ROUND(MAX($J1107*1.4*1.5*1.6*1.6*2.2*2.715*2.6,3540000000*(1.579646^(MIN($E1107,123)-117)))*1,0))</f>
        <v>568544122</v>
      </c>
      <c r="Y1107" s="4">
        <f>$E1107+17</f>
        <v>130</v>
      </c>
      <c r="Z1107" s="8">
        <f>IF($J1107=0,0,ROUND(MAX($J1107*1.4*1.5*1.6*1.6*2.2*2.715*2.6*1.4,6020000000*(1.651178^(MIN($E1107,123)-117)))*1,0))</f>
        <v>809880453</v>
      </c>
      <c r="AA1107" s="6">
        <f>$E1107+19</f>
        <v>132</v>
      </c>
      <c r="AB1107" s="7">
        <f>IF($J1107=0,0,ROUND(MAX($J1107*1.4*1.5*1.6*1.6*2.2*2.715*2.6*1.4*1.4,8430000000*(1.651435^(MIN($E1107,123)-117)))*1,0))</f>
        <v>1133395897</v>
      </c>
      <c r="AC1107" s="4">
        <f>$E1107+21</f>
        <v>134</v>
      </c>
      <c r="AD1107" s="8">
        <f>IF($J1107=0,0,ROUND(MAX($J1107*1.4*1.5*1.6*1.6*2.2*2.715*2.6*1.4*1.4*1.5,12600000000*(1.652953^(MIN($E1107,123)-117)))*1,0))</f>
        <v>1687829312</v>
      </c>
      <c r="AE1107" s="6">
        <f>$E1107+24</f>
        <v>137</v>
      </c>
      <c r="AF1107" s="7">
        <f>IF($J1107=0,0,ROUND(MAX($J1107*1.4*1.5*1.6*1.6*2.2*2.715*2.6*1.4*1.4*1.5*1.5,18900000000*(1.65331^(MIN($E1107,123)-117)))*1,0))</f>
        <v>2529557954</v>
      </c>
      <c r="AG1107" s="4">
        <f>$E1107+27</f>
        <v>140</v>
      </c>
      <c r="AH1107" s="8">
        <f>IF($J1107=0,0,ROUND(MAX($J1107*1.4*1.5*1.6*1.6*2.2*2.715*2.6*1.4*1.4*1.5*1.5*3.2,60500000000*(1.654288^(MIN($E1107,123)-117)))*1,0))</f>
        <v>8078131097</v>
      </c>
    </row>
    <row r="1108" ht="27.75" customHeight="1" spans="1:34" x14ac:dyDescent="0.25">
      <c r="A1108" s="3">
        <v>1118</v>
      </c>
      <c r="B1108" s="3" t="s">
        <v>625</v>
      </c>
      <c r="C1108" s="3" t="s">
        <v>829</v>
      </c>
      <c r="D1108" s="3" t="s">
        <v>47</v>
      </c>
      <c r="E1108" s="3">
        <v>113</v>
      </c>
      <c r="F1108" s="3" t="s">
        <v>30</v>
      </c>
      <c r="G1108" s="3" t="s">
        <v>133</v>
      </c>
      <c r="H1108" s="3">
        <v>24</v>
      </c>
      <c r="I1108" s="4">
        <v>113</v>
      </c>
      <c r="J1108" s="5">
        <v>178000</v>
      </c>
      <c r="K1108" s="6">
        <f>$E1108+1</f>
        <v>114</v>
      </c>
      <c r="L1108" s="7">
        <f>IF($J1108=0,0,ROUND(MAX($J1108*1.4,1620000*(1.497923^(MIN($E1108,123)-117)))*1,0))</f>
        <v>321779</v>
      </c>
      <c r="M1108" s="4">
        <f>$E1108+2</f>
        <v>115</v>
      </c>
      <c r="N1108" s="8">
        <f>IF($J1108=0,0,ROUND(MAX($J1108*1.4*1.5,2190000*(1.580994^(MIN($E1108,123)-117)))*1,0))</f>
        <v>373800</v>
      </c>
      <c r="O1108" s="6">
        <f>$E1108+4</f>
        <v>117</v>
      </c>
      <c r="P1108" s="7">
        <f>IF($J1108=0,0,ROUND(MAX($J1108*1.4*1.5*1.6,3500000*(1.57975^(MIN($E1108,123)-117)))*1,0))</f>
        <v>598080</v>
      </c>
      <c r="Q1108" s="4">
        <f>$E1108+6</f>
        <v>119</v>
      </c>
      <c r="R1108" s="8">
        <f>IF($J1108=0,0,ROUND(MAX($J1108*1.4*1.5*1.6*1.6,13100000*(1.429962^(MIN($E1108,123)-117)))*1,0))</f>
        <v>3133093</v>
      </c>
      <c r="S1108" s="6">
        <f>$E1108+8</f>
        <v>121</v>
      </c>
      <c r="T1108" s="7">
        <f>IF($J1108=0,0,ROUND(MAX($J1108*1.4*1.5*1.6*1.6*2.2,42600000*(1.576904^(MIN($E1108,123)-117)))*1,0))</f>
        <v>6889514</v>
      </c>
      <c r="U1108" s="4">
        <f>$E1108+11</f>
        <v>124</v>
      </c>
      <c r="V1108" s="8">
        <f>IF($J1108=0,0,ROUND(MAX($J1108*1.4*1.5*1.6*1.6*2.2*2.715,354000000*(1.642074^(MIN($E1108,123)-117)))*1,0))</f>
        <v>48689169</v>
      </c>
      <c r="W1108" s="6">
        <f>$E1108+15</f>
        <v>128</v>
      </c>
      <c r="X1108" s="7">
        <f>IF($J1108=0,0,ROUND(MAX($J1108*1.4*1.5*1.6*1.6*2.2*2.715*2.6,3540000000*(1.579646^(MIN($E1108,123)-117)))*1,0))</f>
        <v>568544122</v>
      </c>
      <c r="Y1108" s="4">
        <f>$E1108+17</f>
        <v>130</v>
      </c>
      <c r="Z1108" s="8">
        <f>IF($J1108=0,0,ROUND(MAX($J1108*1.4*1.5*1.6*1.6*2.2*2.715*2.6*1.4,6020000000*(1.651178^(MIN($E1108,123)-117)))*1,0))</f>
        <v>809880453</v>
      </c>
      <c r="AA1108" s="6">
        <f>$E1108+19</f>
        <v>132</v>
      </c>
      <c r="AB1108" s="7">
        <f>IF($J1108=0,0,ROUND(MAX($J1108*1.4*1.5*1.6*1.6*2.2*2.715*2.6*1.4*1.4,8430000000*(1.651435^(MIN($E1108,123)-117)))*1,0))</f>
        <v>1133395897</v>
      </c>
      <c r="AC1108" s="4">
        <f>$E1108+21</f>
        <v>134</v>
      </c>
      <c r="AD1108" s="8">
        <f>IF($J1108=0,0,ROUND(MAX($J1108*1.4*1.5*1.6*1.6*2.2*2.715*2.6*1.4*1.4*1.5,12600000000*(1.652953^(MIN($E1108,123)-117)))*1,0))</f>
        <v>1687829312</v>
      </c>
      <c r="AE1108" s="6">
        <f>$E1108+24</f>
        <v>137</v>
      </c>
      <c r="AF1108" s="7">
        <f>IF($J1108=0,0,ROUND(MAX($J1108*1.4*1.5*1.6*1.6*2.2*2.715*2.6*1.4*1.4*1.5*1.5,18900000000*(1.65331^(MIN($E1108,123)-117)))*1,0))</f>
        <v>2529557954</v>
      </c>
      <c r="AG1108" s="4">
        <f>$E1108+27</f>
        <v>140</v>
      </c>
      <c r="AH1108" s="8">
        <f>IF($J1108=0,0,ROUND(MAX($J1108*1.4*1.5*1.6*1.6*2.2*2.715*2.6*1.4*1.4*1.5*1.5*3.2,60500000000*(1.654288^(MIN($E1108,123)-117)))*1,0))</f>
        <v>8078131097</v>
      </c>
    </row>
    <row r="1109" ht="27.75" customHeight="1" spans="1:34" x14ac:dyDescent="0.25">
      <c r="A1109" s="3">
        <v>1119</v>
      </c>
      <c r="B1109" s="3" t="s">
        <v>66</v>
      </c>
      <c r="C1109" s="3" t="s">
        <v>829</v>
      </c>
      <c r="D1109" s="3" t="s">
        <v>47</v>
      </c>
      <c r="E1109" s="3">
        <v>113</v>
      </c>
      <c r="F1109" s="3" t="s">
        <v>62</v>
      </c>
      <c r="G1109" s="3" t="s">
        <v>830</v>
      </c>
      <c r="H1109" s="3">
        <v>24</v>
      </c>
      <c r="I1109" s="4">
        <v>113</v>
      </c>
      <c r="J1109" s="5">
        <v>135000</v>
      </c>
      <c r="K1109" s="6">
        <f>$E1109+1</f>
        <v>114</v>
      </c>
      <c r="L1109" s="7">
        <f>IF($J1109=0,0,ROUND(MAX($J1109*1.4,1620000*(1.497923^(MIN($E1109,123)-117)))*1,0))</f>
        <v>321779</v>
      </c>
      <c r="M1109" s="4">
        <f>$E1109+2</f>
        <v>115</v>
      </c>
      <c r="N1109" s="8">
        <f>IF($J1109=0,0,ROUND(MAX($J1109*1.4*1.5,2190000*(1.580994^(MIN($E1109,123)-117)))*1,0))</f>
        <v>350528</v>
      </c>
      <c r="O1109" s="6">
        <f>$E1109+4</f>
        <v>117</v>
      </c>
      <c r="P1109" s="7">
        <f>IF($J1109=0,0,ROUND(MAX($J1109*1.4*1.5*1.6,3500000*(1.57975^(MIN($E1109,123)-117)))*1,0))</f>
        <v>561972</v>
      </c>
      <c r="Q1109" s="4">
        <f>$E1109+6</f>
        <v>119</v>
      </c>
      <c r="R1109" s="8">
        <f>IF($J1109=0,0,ROUND(MAX($J1109*1.4*1.5*1.6*1.6,13100000*(1.429962^(MIN($E1109,123)-117)))*1,0))</f>
        <v>3133093</v>
      </c>
      <c r="S1109" s="6">
        <f>$E1109+8</f>
        <v>121</v>
      </c>
      <c r="T1109" s="7">
        <f>IF($J1109=0,0,ROUND(MAX($J1109*1.4*1.5*1.6*1.6*2.2,42600000*(1.576904^(MIN($E1109,123)-117)))*1,0))</f>
        <v>6889514</v>
      </c>
      <c r="U1109" s="4">
        <f>$E1109+11</f>
        <v>124</v>
      </c>
      <c r="V1109" s="8">
        <f>IF($J1109=0,0,ROUND(MAX($J1109*1.4*1.5*1.6*1.6*2.2*2.715,354000000*(1.642074^(MIN($E1109,123)-117)))*1,0))</f>
        <v>48689169</v>
      </c>
      <c r="W1109" s="6">
        <f>$E1109+15</f>
        <v>128</v>
      </c>
      <c r="X1109" s="7">
        <f>IF($J1109=0,0,ROUND(MAX($J1109*1.4*1.5*1.6*1.6*2.2*2.715*2.6,3540000000*(1.579646^(MIN($E1109,123)-117)))*1,0))</f>
        <v>568544122</v>
      </c>
      <c r="Y1109" s="4">
        <f>$E1109+17</f>
        <v>130</v>
      </c>
      <c r="Z1109" s="8">
        <f>IF($J1109=0,0,ROUND(MAX($J1109*1.4*1.5*1.6*1.6*2.2*2.715*2.6*1.4,6020000000*(1.651178^(MIN($E1109,123)-117)))*1,0))</f>
        <v>809880453</v>
      </c>
      <c r="AA1109" s="6">
        <f>$E1109+19</f>
        <v>132</v>
      </c>
      <c r="AB1109" s="7">
        <f>IF($J1109=0,0,ROUND(MAX($J1109*1.4*1.5*1.6*1.6*2.2*2.715*2.6*1.4*1.4,8430000000*(1.651435^(MIN($E1109,123)-117)))*1,0))</f>
        <v>1133395897</v>
      </c>
      <c r="AC1109" s="4">
        <f>$E1109+21</f>
        <v>134</v>
      </c>
      <c r="AD1109" s="8">
        <f>IF($J1109=0,0,ROUND(MAX($J1109*1.4*1.5*1.6*1.6*2.2*2.715*2.6*1.4*1.4*1.5,12600000000*(1.652953^(MIN($E1109,123)-117)))*1,0))</f>
        <v>1687829312</v>
      </c>
      <c r="AE1109" s="6">
        <f>$E1109+24</f>
        <v>137</v>
      </c>
      <c r="AF1109" s="7">
        <f>IF($J1109=0,0,ROUND(MAX($J1109*1.4*1.5*1.6*1.6*2.2*2.715*2.6*1.4*1.4*1.5*1.5,18900000000*(1.65331^(MIN($E1109,123)-117)))*1,0))</f>
        <v>2529557954</v>
      </c>
      <c r="AG1109" s="4">
        <f>$E1109+27</f>
        <v>140</v>
      </c>
      <c r="AH1109" s="8">
        <f>IF($J1109=0,0,ROUND(MAX($J1109*1.4*1.5*1.6*1.6*2.2*2.715*2.6*1.4*1.4*1.5*1.5*3.2,60500000000*(1.654288^(MIN($E1109,123)-117)))*1,0))</f>
        <v>8078131097</v>
      </c>
    </row>
    <row r="1110" ht="27.75" customHeight="1" spans="1:34" x14ac:dyDescent="0.25">
      <c r="A1110" s="3">
        <v>1120</v>
      </c>
      <c r="B1110" s="3" t="s">
        <v>91</v>
      </c>
      <c r="C1110" s="3" t="s">
        <v>829</v>
      </c>
      <c r="D1110" s="3" t="s">
        <v>47</v>
      </c>
      <c r="E1110" s="3">
        <v>113</v>
      </c>
      <c r="F1110" s="3" t="s">
        <v>71</v>
      </c>
      <c r="G1110" s="3" t="s">
        <v>830</v>
      </c>
      <c r="H1110" s="3">
        <v>23</v>
      </c>
      <c r="I1110" s="4">
        <v>113</v>
      </c>
      <c r="J1110" s="5">
        <v>164000</v>
      </c>
      <c r="K1110" s="6">
        <f>$E1110+1</f>
        <v>114</v>
      </c>
      <c r="L1110" s="7">
        <f>IF($J1110=0,0,ROUND(MAX($J1110*1.4,1620000*(1.497923^(MIN($E1110,123)-117)))*1,0))</f>
        <v>321779</v>
      </c>
      <c r="M1110" s="4">
        <f>$E1110+2</f>
        <v>115</v>
      </c>
      <c r="N1110" s="8">
        <f>IF($J1110=0,0,ROUND(MAX($J1110*1.4*1.5,2190000*(1.580994^(MIN($E1110,123)-117)))*1,0))</f>
        <v>350528</v>
      </c>
      <c r="O1110" s="6">
        <f>$E1110+4</f>
        <v>117</v>
      </c>
      <c r="P1110" s="7">
        <f>IF($J1110=0,0,ROUND(MAX($J1110*1.4*1.5*1.6,3500000*(1.57975^(MIN($E1110,123)-117)))*1,0))</f>
        <v>561972</v>
      </c>
      <c r="Q1110" s="4">
        <f>$E1110+6</f>
        <v>119</v>
      </c>
      <c r="R1110" s="8">
        <f>IF($J1110=0,0,ROUND(MAX($J1110*1.4*1.5*1.6*1.6,13100000*(1.429962^(MIN($E1110,123)-117)))*1,0))</f>
        <v>3133093</v>
      </c>
      <c r="S1110" s="6">
        <f>$E1110+8</f>
        <v>121</v>
      </c>
      <c r="T1110" s="7">
        <f>IF($J1110=0,0,ROUND(MAX($J1110*1.4*1.5*1.6*1.6*2.2,42600000*(1.576904^(MIN($E1110,123)-117)))*1,0))</f>
        <v>6889514</v>
      </c>
      <c r="U1110" s="4">
        <f>$E1110+11</f>
        <v>124</v>
      </c>
      <c r="V1110" s="8">
        <f>IF($J1110=0,0,ROUND(MAX($J1110*1.4*1.5*1.6*1.6*2.2*2.715,354000000*(1.642074^(MIN($E1110,123)-117)))*1,0))</f>
        <v>48689169</v>
      </c>
      <c r="W1110" s="6">
        <f>$E1110+15</f>
        <v>128</v>
      </c>
      <c r="X1110" s="7">
        <f>IF($J1110=0,0,ROUND(MAX($J1110*1.4*1.5*1.6*1.6*2.2*2.715*2.6,3540000000*(1.579646^(MIN($E1110,123)-117)))*1,0))</f>
        <v>568544122</v>
      </c>
      <c r="Y1110" s="4">
        <f>$E1110+17</f>
        <v>130</v>
      </c>
      <c r="Z1110" s="8">
        <f>IF($J1110=0,0,ROUND(MAX($J1110*1.4*1.5*1.6*1.6*2.2*2.715*2.6*1.4,6020000000*(1.651178^(MIN($E1110,123)-117)))*1,0))</f>
        <v>809880453</v>
      </c>
      <c r="AA1110" s="6">
        <f>$E1110+19</f>
        <v>132</v>
      </c>
      <c r="AB1110" s="7">
        <f>IF($J1110=0,0,ROUND(MAX($J1110*1.4*1.5*1.6*1.6*2.2*2.715*2.6*1.4*1.4,8430000000*(1.651435^(MIN($E1110,123)-117)))*1,0))</f>
        <v>1133395897</v>
      </c>
      <c r="AC1110" s="4">
        <f>$E1110+21</f>
        <v>134</v>
      </c>
      <c r="AD1110" s="8">
        <f>IF($J1110=0,0,ROUND(MAX($J1110*1.4*1.5*1.6*1.6*2.2*2.715*2.6*1.4*1.4*1.5,12600000000*(1.652953^(MIN($E1110,123)-117)))*1,0))</f>
        <v>1687829312</v>
      </c>
      <c r="AE1110" s="6">
        <f>$E1110+24</f>
        <v>137</v>
      </c>
      <c r="AF1110" s="7">
        <f>IF($J1110=0,0,ROUND(MAX($J1110*1.4*1.5*1.6*1.6*2.2*2.715*2.6*1.4*1.4*1.5*1.5,18900000000*(1.65331^(MIN($E1110,123)-117)))*1,0))</f>
        <v>2529557954</v>
      </c>
      <c r="AG1110" s="4">
        <f>$E1110+27</f>
        <v>140</v>
      </c>
      <c r="AH1110" s="8">
        <f>IF($J1110=0,0,ROUND(MAX($J1110*1.4*1.5*1.6*1.6*2.2*2.715*2.6*1.4*1.4*1.5*1.5*3.2,60500000000*(1.654288^(MIN($E1110,123)-117)))*1,0))</f>
        <v>8078131097</v>
      </c>
    </row>
    <row r="1111" ht="27.75" customHeight="1" spans="1:34" x14ac:dyDescent="0.25">
      <c r="A1111" s="3">
        <v>1121</v>
      </c>
      <c r="B1111" s="3" t="s">
        <v>99</v>
      </c>
      <c r="C1111" s="3" t="s">
        <v>829</v>
      </c>
      <c r="D1111" s="3" t="s">
        <v>29</v>
      </c>
      <c r="E1111" s="3">
        <v>112</v>
      </c>
      <c r="F1111" s="3" t="s">
        <v>54</v>
      </c>
      <c r="G1111" s="3" t="s">
        <v>830</v>
      </c>
      <c r="H1111" s="3">
        <v>28</v>
      </c>
      <c r="I1111" s="4">
        <v>112</v>
      </c>
      <c r="J1111" s="5">
        <v>165000</v>
      </c>
      <c r="K1111" s="6">
        <f>$E1111+1</f>
        <v>113</v>
      </c>
      <c r="L1111" s="7">
        <f>IF($J1111=0,0,ROUND(MAX($J1111*1.4,1620000*(1.497923^(MIN($E1111,123)-117)))*1,0))</f>
        <v>231000</v>
      </c>
      <c r="M1111" s="4">
        <f>$E1111+2</f>
        <v>114</v>
      </c>
      <c r="N1111" s="8">
        <f>IF($J1111=0,0,ROUND(MAX($J1111*1.4*1.5,2190000*(1.580994^(MIN($E1111,123)-117)))*1,0))</f>
        <v>346500</v>
      </c>
      <c r="O1111" s="6">
        <f>$E1111+4</f>
        <v>116</v>
      </c>
      <c r="P1111" s="7">
        <f>IF($J1111=0,0,ROUND(MAX($J1111*1.4*1.5*1.6,3500000*(1.57975^(MIN($E1111,123)-117)))*1,0))</f>
        <v>554400</v>
      </c>
      <c r="Q1111" s="4">
        <f>$E1111+6</f>
        <v>118</v>
      </c>
      <c r="R1111" s="8">
        <f>IF($J1111=0,0,ROUND(MAX($J1111*1.4*1.5*1.6*1.6,13100000*(1.429962^(MIN($E1111,123)-117)))*1,0))</f>
        <v>2191032</v>
      </c>
      <c r="S1111" s="6">
        <f>$E1111+8</f>
        <v>120</v>
      </c>
      <c r="T1111" s="7">
        <f>IF($J1111=0,0,ROUND(MAX($J1111*1.4*1.5*1.6*1.6*2.2,42600000*(1.576904^(MIN($E1111,123)-117)))*1,0))</f>
        <v>4369013</v>
      </c>
      <c r="U1111" s="4">
        <f>$E1111+11</f>
        <v>123</v>
      </c>
      <c r="V1111" s="8">
        <f>IF($J1111=0,0,ROUND(MAX($J1111*1.4*1.5*1.6*1.6*2.2*2.715,354000000*(1.642074^(MIN($E1111,123)-117)))*1,0))</f>
        <v>29651020</v>
      </c>
      <c r="W1111" s="6">
        <f>$E1111+15</f>
        <v>127</v>
      </c>
      <c r="X1111" s="7">
        <f>IF($J1111=0,0,ROUND(MAX($J1111*1.4*1.5*1.6*1.6*2.2*2.715*2.6,3540000000*(1.579646^(MIN($E1111,123)-117)))*1,0))</f>
        <v>359918692</v>
      </c>
      <c r="Y1111" s="4">
        <f>$E1111+17</f>
        <v>129</v>
      </c>
      <c r="Z1111" s="8">
        <f>IF($J1111=0,0,ROUND(MAX($J1111*1.4*1.5*1.6*1.6*2.2*2.715*2.6*1.4,6020000000*(1.651178^(MIN($E1111,123)-117)))*1,0))</f>
        <v>490486461</v>
      </c>
      <c r="AA1111" s="6">
        <f>$E1111+19</f>
        <v>131</v>
      </c>
      <c r="AB1111" s="7">
        <f>IF($J1111=0,0,ROUND(MAX($J1111*1.4*1.5*1.6*1.6*2.2*2.715*2.6*1.4*1.4,8430000000*(1.651435^(MIN($E1111,123)-117)))*1,0))</f>
        <v>686309723</v>
      </c>
      <c r="AC1111" s="4">
        <f>$E1111+21</f>
        <v>133</v>
      </c>
      <c r="AD1111" s="8">
        <f>IF($J1111=0,0,ROUND(MAX($J1111*1.4*1.5*1.6*1.6*2.2*2.715*2.6*1.4*1.4*1.5,12600000000*(1.652953^(MIN($E1111,123)-117)))*1,0))</f>
        <v>1021099398</v>
      </c>
      <c r="AE1111" s="6">
        <f>$E1111+24</f>
        <v>136</v>
      </c>
      <c r="AF1111" s="7">
        <f>IF($J1111=0,0,ROUND(MAX($J1111*1.4*1.5*1.6*1.6*2.2*2.715*2.6*1.4*1.4*1.5*1.5,18900000000*(1.65331^(MIN($E1111,123)-117)))*1,0))</f>
        <v>1529996162</v>
      </c>
      <c r="AG1111" s="4">
        <f>$E1111+27</f>
        <v>139</v>
      </c>
      <c r="AH1111" s="8">
        <f>IF($J1111=0,0,ROUND(MAX($J1111*1.4*1.5*1.6*1.6*2.2*2.715*2.6*1.4*1.4*1.5*1.5*3.2,60500000000*(1.654288^(MIN($E1111,123)-117)))*1,0))</f>
        <v>4883146766</v>
      </c>
    </row>
    <row r="1112" ht="27.75" customHeight="1" spans="1:34" x14ac:dyDescent="0.25">
      <c r="A1112" s="3">
        <v>1122</v>
      </c>
      <c r="B1112" s="3" t="s">
        <v>172</v>
      </c>
      <c r="C1112" s="3" t="s">
        <v>829</v>
      </c>
      <c r="D1112" s="3" t="s">
        <v>40</v>
      </c>
      <c r="E1112" s="3">
        <v>112</v>
      </c>
      <c r="F1112" s="3" t="s">
        <v>26</v>
      </c>
      <c r="G1112" s="3" t="s">
        <v>830</v>
      </c>
      <c r="H1112" s="3">
        <v>28</v>
      </c>
      <c r="I1112" s="4">
        <v>112</v>
      </c>
      <c r="J1112" s="5">
        <v>155000</v>
      </c>
      <c r="K1112" s="6">
        <f>$E1112+1</f>
        <v>113</v>
      </c>
      <c r="L1112" s="7">
        <f>IF($J1112=0,0,ROUND(MAX($J1112*1.4,1620000*(1.497923^(MIN($E1112,123)-117)))*1,0))</f>
        <v>217000</v>
      </c>
      <c r="M1112" s="4">
        <f>$E1112+2</f>
        <v>114</v>
      </c>
      <c r="N1112" s="8">
        <f>IF($J1112=0,0,ROUND(MAX($J1112*1.4*1.5,2190000*(1.580994^(MIN($E1112,123)-117)))*1,0))</f>
        <v>325500</v>
      </c>
      <c r="O1112" s="6">
        <f>$E1112+4</f>
        <v>116</v>
      </c>
      <c r="P1112" s="7">
        <f>IF($J1112=0,0,ROUND(MAX($J1112*1.4*1.5*1.6,3500000*(1.57975^(MIN($E1112,123)-117)))*1,0))</f>
        <v>520800</v>
      </c>
      <c r="Q1112" s="4">
        <f>$E1112+6</f>
        <v>118</v>
      </c>
      <c r="R1112" s="8">
        <f>IF($J1112=0,0,ROUND(MAX($J1112*1.4*1.5*1.6*1.6,13100000*(1.429962^(MIN($E1112,123)-117)))*1,0))</f>
        <v>2191032</v>
      </c>
      <c r="S1112" s="6">
        <f>$E1112+8</f>
        <v>120</v>
      </c>
      <c r="T1112" s="7">
        <f>IF($J1112=0,0,ROUND(MAX($J1112*1.4*1.5*1.6*1.6*2.2,42600000*(1.576904^(MIN($E1112,123)-117)))*1,0))</f>
        <v>4369013</v>
      </c>
      <c r="U1112" s="4">
        <f>$E1112+11</f>
        <v>123</v>
      </c>
      <c r="V1112" s="8">
        <f>IF($J1112=0,0,ROUND(MAX($J1112*1.4*1.5*1.6*1.6*2.2*2.715,354000000*(1.642074^(MIN($E1112,123)-117)))*1,0))</f>
        <v>29651020</v>
      </c>
      <c r="W1112" s="6">
        <f>$E1112+15</f>
        <v>127</v>
      </c>
      <c r="X1112" s="7">
        <f>IF($J1112=0,0,ROUND(MAX($J1112*1.4*1.5*1.6*1.6*2.2*2.715*2.6,3540000000*(1.579646^(MIN($E1112,123)-117)))*1,0))</f>
        <v>359918692</v>
      </c>
      <c r="Y1112" s="4">
        <f>$E1112+17</f>
        <v>129</v>
      </c>
      <c r="Z1112" s="8">
        <f>IF($J1112=0,0,ROUND(MAX($J1112*1.4*1.5*1.6*1.6*2.2*2.715*2.6*1.4,6020000000*(1.651178^(MIN($E1112,123)-117)))*1,0))</f>
        <v>490486461</v>
      </c>
      <c r="AA1112" s="6">
        <f>$E1112+19</f>
        <v>131</v>
      </c>
      <c r="AB1112" s="7">
        <f>IF($J1112=0,0,ROUND(MAX($J1112*1.4*1.5*1.6*1.6*2.2*2.715*2.6*1.4*1.4,8430000000*(1.651435^(MIN($E1112,123)-117)))*1,0))</f>
        <v>686309723</v>
      </c>
      <c r="AC1112" s="4">
        <f>$E1112+21</f>
        <v>133</v>
      </c>
      <c r="AD1112" s="8">
        <f>IF($J1112=0,0,ROUND(MAX($J1112*1.4*1.5*1.6*1.6*2.2*2.715*2.6*1.4*1.4*1.5,12600000000*(1.652953^(MIN($E1112,123)-117)))*1,0))</f>
        <v>1021099398</v>
      </c>
      <c r="AE1112" s="6">
        <f>$E1112+24</f>
        <v>136</v>
      </c>
      <c r="AF1112" s="7">
        <f>IF($J1112=0,0,ROUND(MAX($J1112*1.4*1.5*1.6*1.6*2.2*2.715*2.6*1.4*1.4*1.5*1.5,18900000000*(1.65331^(MIN($E1112,123)-117)))*1,0))</f>
        <v>1529996162</v>
      </c>
      <c r="AG1112" s="4">
        <f>$E1112+27</f>
        <v>139</v>
      </c>
      <c r="AH1112" s="8">
        <f>IF($J1112=0,0,ROUND(MAX($J1112*1.4*1.5*1.6*1.6*2.2*2.715*2.6*1.4*1.4*1.5*1.5*3.2,60500000000*(1.654288^(MIN($E1112,123)-117)))*1,0))</f>
        <v>4883146766</v>
      </c>
    </row>
    <row r="1113" ht="27.75" customHeight="1" spans="1:34" x14ac:dyDescent="0.25">
      <c r="A1113" s="3">
        <v>1123</v>
      </c>
      <c r="B1113" s="3" t="s">
        <v>837</v>
      </c>
      <c r="C1113" s="3" t="s">
        <v>829</v>
      </c>
      <c r="D1113" s="3" t="s">
        <v>40</v>
      </c>
      <c r="E1113" s="3">
        <v>112</v>
      </c>
      <c r="F1113" s="3" t="s">
        <v>310</v>
      </c>
      <c r="G1113" s="3" t="s">
        <v>67</v>
      </c>
      <c r="H1113" s="3">
        <v>27</v>
      </c>
      <c r="I1113" s="4">
        <v>112</v>
      </c>
      <c r="J1113" s="5">
        <v>444000</v>
      </c>
      <c r="K1113" s="6">
        <f>$E1113+1</f>
        <v>113</v>
      </c>
      <c r="L1113" s="7">
        <f>IF($J1113=0,0,ROUND(MAX($J1113*1.4,1620000*(1.497923^(MIN($E1113,123)-117)))*1,0))</f>
        <v>621600</v>
      </c>
      <c r="M1113" s="4">
        <f>$E1113+2</f>
        <v>114</v>
      </c>
      <c r="N1113" s="8">
        <f>IF($J1113=0,0,ROUND(MAX($J1113*1.4*1.5,2190000*(1.580994^(MIN($E1113,123)-117)))*1,0))</f>
        <v>932400</v>
      </c>
      <c r="O1113" s="6">
        <f>$E1113+4</f>
        <v>116</v>
      </c>
      <c r="P1113" s="7">
        <f>IF($J1113=0,0,ROUND(MAX($J1113*1.4*1.5*1.6,3500000*(1.57975^(MIN($E1113,123)-117)))*1,0))</f>
        <v>1491840</v>
      </c>
      <c r="Q1113" s="4">
        <f>$E1113+6</f>
        <v>118</v>
      </c>
      <c r="R1113" s="8">
        <f>IF($J1113=0,0,ROUND(MAX($J1113*1.4*1.5*1.6*1.6,13100000*(1.429962^(MIN($E1113,123)-117)))*1,0))</f>
        <v>2386944</v>
      </c>
      <c r="S1113" s="6">
        <f>$E1113+8</f>
        <v>120</v>
      </c>
      <c r="T1113" s="7">
        <f>IF($J1113=0,0,ROUND(MAX($J1113*1.4*1.5*1.6*1.6*2.2,42600000*(1.576904^(MIN($E1113,123)-117)))*1,0))</f>
        <v>5251277</v>
      </c>
      <c r="U1113" s="4">
        <f>$E1113+11</f>
        <v>123</v>
      </c>
      <c r="V1113" s="8">
        <f>IF($J1113=0,0,ROUND(MAX($J1113*1.4*1.5*1.6*1.6*2.2*2.715,354000000*(1.642074^(MIN($E1113,123)-117)))*1,0))</f>
        <v>29651020</v>
      </c>
      <c r="W1113" s="6">
        <f>$E1113+15</f>
        <v>127</v>
      </c>
      <c r="X1113" s="7">
        <f>IF($J1113=0,0,ROUND(MAX($J1113*1.4*1.5*1.6*1.6*2.2*2.715*2.6,3540000000*(1.579646^(MIN($E1113,123)-117)))*1,0))</f>
        <v>359918692</v>
      </c>
      <c r="Y1113" s="4">
        <f>$E1113+17</f>
        <v>129</v>
      </c>
      <c r="Z1113" s="8">
        <f>IF($J1113=0,0,ROUND(MAX($J1113*1.4*1.5*1.6*1.6*2.2*2.715*2.6*1.4,6020000000*(1.651178^(MIN($E1113,123)-117)))*1,0))</f>
        <v>490486461</v>
      </c>
      <c r="AA1113" s="6">
        <f>$E1113+19</f>
        <v>131</v>
      </c>
      <c r="AB1113" s="7">
        <f>IF($J1113=0,0,ROUND(MAX($J1113*1.4*1.5*1.6*1.6*2.2*2.715*2.6*1.4*1.4,8430000000*(1.651435^(MIN($E1113,123)-117)))*1,0))</f>
        <v>686309723</v>
      </c>
      <c r="AC1113" s="4">
        <f>$E1113+21</f>
        <v>133</v>
      </c>
      <c r="AD1113" s="8">
        <f>IF($J1113=0,0,ROUND(MAX($J1113*1.4*1.5*1.6*1.6*2.2*2.715*2.6*1.4*1.4*1.5,12600000000*(1.652953^(MIN($E1113,123)-117)))*1,0))</f>
        <v>1021099398</v>
      </c>
      <c r="AE1113" s="6">
        <f>$E1113+24</f>
        <v>136</v>
      </c>
      <c r="AF1113" s="7">
        <f>IF($J1113=0,0,ROUND(MAX($J1113*1.4*1.5*1.6*1.6*2.2*2.715*2.6*1.4*1.4*1.5*1.5,18900000000*(1.65331^(MIN($E1113,123)-117)))*1,0))</f>
        <v>1529996162</v>
      </c>
      <c r="AG1113" s="4">
        <f>$E1113+27</f>
        <v>139</v>
      </c>
      <c r="AH1113" s="8">
        <f>IF($J1113=0,0,ROUND(MAX($J1113*1.4*1.5*1.6*1.6*2.2*2.715*2.6*1.4*1.4*1.5*1.5*3.2,60500000000*(1.654288^(MIN($E1113,123)-117)))*1,0))</f>
        <v>4883146766</v>
      </c>
    </row>
    <row r="1114" ht="27.75" customHeight="1" spans="1:34" x14ac:dyDescent="0.25">
      <c r="A1114" s="3">
        <v>1124</v>
      </c>
      <c r="B1114" s="3" t="s">
        <v>691</v>
      </c>
      <c r="C1114" s="3" t="s">
        <v>829</v>
      </c>
      <c r="D1114" s="3" t="s">
        <v>29</v>
      </c>
      <c r="E1114" s="3">
        <v>112</v>
      </c>
      <c r="F1114" s="3" t="s">
        <v>34</v>
      </c>
      <c r="G1114" s="3" t="s">
        <v>95</v>
      </c>
      <c r="H1114" s="3">
        <v>27</v>
      </c>
      <c r="I1114" s="4">
        <v>112</v>
      </c>
      <c r="J1114" s="5">
        <v>193000</v>
      </c>
      <c r="K1114" s="6">
        <f>$E1114+1</f>
        <v>113</v>
      </c>
      <c r="L1114" s="7">
        <f>IF($J1114=0,0,ROUND(MAX($J1114*1.4,1620000*(1.497923^(MIN($E1114,123)-117)))*1,0))</f>
        <v>270200</v>
      </c>
      <c r="M1114" s="4">
        <f>$E1114+2</f>
        <v>114</v>
      </c>
      <c r="N1114" s="8">
        <f>IF($J1114=0,0,ROUND(MAX($J1114*1.4*1.5,2190000*(1.580994^(MIN($E1114,123)-117)))*1,0))</f>
        <v>405300</v>
      </c>
      <c r="O1114" s="6">
        <f>$E1114+4</f>
        <v>116</v>
      </c>
      <c r="P1114" s="7">
        <f>IF($J1114=0,0,ROUND(MAX($J1114*1.4*1.5*1.6,3500000*(1.57975^(MIN($E1114,123)-117)))*1,0))</f>
        <v>648480</v>
      </c>
      <c r="Q1114" s="4">
        <f>$E1114+6</f>
        <v>118</v>
      </c>
      <c r="R1114" s="8">
        <f>IF($J1114=0,0,ROUND(MAX($J1114*1.4*1.5*1.6*1.6,13100000*(1.429962^(MIN($E1114,123)-117)))*1,0))</f>
        <v>2191032</v>
      </c>
      <c r="S1114" s="6">
        <f>$E1114+8</f>
        <v>120</v>
      </c>
      <c r="T1114" s="7">
        <f>IF($J1114=0,0,ROUND(MAX($J1114*1.4*1.5*1.6*1.6*2.2,42600000*(1.576904^(MIN($E1114,123)-117)))*1,0))</f>
        <v>4369013</v>
      </c>
      <c r="U1114" s="4">
        <f>$E1114+11</f>
        <v>123</v>
      </c>
      <c r="V1114" s="8">
        <f>IF($J1114=0,0,ROUND(MAX($J1114*1.4*1.5*1.6*1.6*2.2*2.715,354000000*(1.642074^(MIN($E1114,123)-117)))*1,0))</f>
        <v>29651020</v>
      </c>
      <c r="W1114" s="6">
        <f>$E1114+15</f>
        <v>127</v>
      </c>
      <c r="X1114" s="7">
        <f>IF($J1114=0,0,ROUND(MAX($J1114*1.4*1.5*1.6*1.6*2.2*2.715*2.6,3540000000*(1.579646^(MIN($E1114,123)-117)))*1,0))</f>
        <v>359918692</v>
      </c>
      <c r="Y1114" s="4">
        <f>$E1114+17</f>
        <v>129</v>
      </c>
      <c r="Z1114" s="8">
        <f>IF($J1114=0,0,ROUND(MAX($J1114*1.4*1.5*1.6*1.6*2.2*2.715*2.6*1.4,6020000000*(1.651178^(MIN($E1114,123)-117)))*1,0))</f>
        <v>490486461</v>
      </c>
      <c r="AA1114" s="6">
        <f>$E1114+19</f>
        <v>131</v>
      </c>
      <c r="AB1114" s="7">
        <f>IF($J1114=0,0,ROUND(MAX($J1114*1.4*1.5*1.6*1.6*2.2*2.715*2.6*1.4*1.4,8430000000*(1.651435^(MIN($E1114,123)-117)))*1,0))</f>
        <v>686309723</v>
      </c>
      <c r="AC1114" s="4">
        <f>$E1114+21</f>
        <v>133</v>
      </c>
      <c r="AD1114" s="8">
        <f>IF($J1114=0,0,ROUND(MAX($J1114*1.4*1.5*1.6*1.6*2.2*2.715*2.6*1.4*1.4*1.5,12600000000*(1.652953^(MIN($E1114,123)-117)))*1,0))</f>
        <v>1021099398</v>
      </c>
      <c r="AE1114" s="6">
        <f>$E1114+24</f>
        <v>136</v>
      </c>
      <c r="AF1114" s="7">
        <f>IF($J1114=0,0,ROUND(MAX($J1114*1.4*1.5*1.6*1.6*2.2*2.715*2.6*1.4*1.4*1.5*1.5,18900000000*(1.65331^(MIN($E1114,123)-117)))*1,0))</f>
        <v>1529996162</v>
      </c>
      <c r="AG1114" s="4">
        <f>$E1114+27</f>
        <v>139</v>
      </c>
      <c r="AH1114" s="8">
        <f>IF($J1114=0,0,ROUND(MAX($J1114*1.4*1.5*1.6*1.6*2.2*2.715*2.6*1.4*1.4*1.5*1.5*3.2,60500000000*(1.654288^(MIN($E1114,123)-117)))*1,0))</f>
        <v>4883146766</v>
      </c>
    </row>
    <row r="1115" ht="27.75" customHeight="1" spans="1:34" x14ac:dyDescent="0.25">
      <c r="A1115" s="3">
        <v>1125</v>
      </c>
      <c r="B1115" s="3" t="s">
        <v>838</v>
      </c>
      <c r="C1115" s="3" t="s">
        <v>829</v>
      </c>
      <c r="D1115" s="3" t="s">
        <v>79</v>
      </c>
      <c r="E1115" s="3">
        <v>112</v>
      </c>
      <c r="F1115" s="3" t="s">
        <v>42</v>
      </c>
      <c r="G1115" s="3" t="s">
        <v>472</v>
      </c>
      <c r="H1115" s="3">
        <v>27</v>
      </c>
      <c r="I1115" s="4">
        <v>112</v>
      </c>
      <c r="J1115" s="5">
        <v>561000</v>
      </c>
      <c r="K1115" s="6">
        <f>$E1115+1</f>
        <v>113</v>
      </c>
      <c r="L1115" s="7">
        <f>IF($J1115=0,0,ROUND(MAX($J1115*1.4,1620000*(1.497923^(MIN($E1115,123)-117)))*1,0))</f>
        <v>785400</v>
      </c>
      <c r="M1115" s="4">
        <f>$E1115+2</f>
        <v>114</v>
      </c>
      <c r="N1115" s="8">
        <f>IF($J1115=0,0,ROUND(MAX($J1115*1.4*1.5,2190000*(1.580994^(MIN($E1115,123)-117)))*1,0))</f>
        <v>1178100</v>
      </c>
      <c r="O1115" s="6">
        <f>$E1115+4</f>
        <v>116</v>
      </c>
      <c r="P1115" s="7">
        <f>IF($J1115=0,0,ROUND(MAX($J1115*1.4*1.5*1.6,3500000*(1.57975^(MIN($E1115,123)-117)))*1,0))</f>
        <v>1884960</v>
      </c>
      <c r="Q1115" s="4">
        <f>$E1115+6</f>
        <v>118</v>
      </c>
      <c r="R1115" s="8">
        <f>IF($J1115=0,0,ROUND(MAX($J1115*1.4*1.5*1.6*1.6,13100000*(1.429962^(MIN($E1115,123)-117)))*1,0))</f>
        <v>3015936</v>
      </c>
      <c r="S1115" s="6">
        <f>$E1115+8</f>
        <v>120</v>
      </c>
      <c r="T1115" s="7">
        <f>IF($J1115=0,0,ROUND(MAX($J1115*1.4*1.5*1.6*1.6*2.2,42600000*(1.576904^(MIN($E1115,123)-117)))*1,0))</f>
        <v>6635059</v>
      </c>
      <c r="U1115" s="4">
        <f>$E1115+11</f>
        <v>123</v>
      </c>
      <c r="V1115" s="8">
        <f>IF($J1115=0,0,ROUND(MAX($J1115*1.4*1.5*1.6*1.6*2.2*2.715,354000000*(1.642074^(MIN($E1115,123)-117)))*1,0))</f>
        <v>29651020</v>
      </c>
      <c r="W1115" s="6">
        <f>$E1115+15</f>
        <v>127</v>
      </c>
      <c r="X1115" s="7">
        <f>IF($J1115=0,0,ROUND(MAX($J1115*1.4*1.5*1.6*1.6*2.2*2.715*2.6,3540000000*(1.579646^(MIN($E1115,123)-117)))*1,0))</f>
        <v>359918692</v>
      </c>
      <c r="Y1115" s="4">
        <f>$E1115+17</f>
        <v>129</v>
      </c>
      <c r="Z1115" s="8">
        <f>IF($J1115=0,0,ROUND(MAX($J1115*1.4*1.5*1.6*1.6*2.2*2.715*2.6*1.4,6020000000*(1.651178^(MIN($E1115,123)-117)))*1,0))</f>
        <v>490486461</v>
      </c>
      <c r="AA1115" s="6">
        <f>$E1115+19</f>
        <v>131</v>
      </c>
      <c r="AB1115" s="7">
        <f>IF($J1115=0,0,ROUND(MAX($J1115*1.4*1.5*1.6*1.6*2.2*2.715*2.6*1.4*1.4,8430000000*(1.651435^(MIN($E1115,123)-117)))*1,0))</f>
        <v>686309723</v>
      </c>
      <c r="AC1115" s="4">
        <f>$E1115+21</f>
        <v>133</v>
      </c>
      <c r="AD1115" s="8">
        <f>IF($J1115=0,0,ROUND(MAX($J1115*1.4*1.5*1.6*1.6*2.2*2.715*2.6*1.4*1.4*1.5,12600000000*(1.652953^(MIN($E1115,123)-117)))*1,0))</f>
        <v>1021099398</v>
      </c>
      <c r="AE1115" s="6">
        <f>$E1115+24</f>
        <v>136</v>
      </c>
      <c r="AF1115" s="7">
        <f>IF($J1115=0,0,ROUND(MAX($J1115*1.4*1.5*1.6*1.6*2.2*2.715*2.6*1.4*1.4*1.5*1.5,18900000000*(1.65331^(MIN($E1115,123)-117)))*1,0))</f>
        <v>1529996162</v>
      </c>
      <c r="AG1115" s="4">
        <f>$E1115+27</f>
        <v>139</v>
      </c>
      <c r="AH1115" s="8">
        <f>IF($J1115=0,0,ROUND(MAX($J1115*1.4*1.5*1.6*1.6*2.2*2.715*2.6*1.4*1.4*1.5*1.5*3.2,60500000000*(1.654288^(MIN($E1115,123)-117)))*1,0))</f>
        <v>4883146766</v>
      </c>
    </row>
    <row r="1116" ht="27.75" customHeight="1" spans="1:34" x14ac:dyDescent="0.25">
      <c r="A1116" s="3">
        <v>1126</v>
      </c>
      <c r="B1116" s="3" t="s">
        <v>485</v>
      </c>
      <c r="C1116" s="3" t="s">
        <v>829</v>
      </c>
      <c r="D1116" s="3" t="s">
        <v>33</v>
      </c>
      <c r="E1116" s="3">
        <v>112</v>
      </c>
      <c r="F1116" s="3" t="s">
        <v>30</v>
      </c>
      <c r="G1116" s="3" t="s">
        <v>218</v>
      </c>
      <c r="H1116" s="3">
        <v>27</v>
      </c>
      <c r="I1116" s="4">
        <v>112</v>
      </c>
      <c r="J1116" s="5">
        <v>131000</v>
      </c>
      <c r="K1116" s="6">
        <f>$E1116+1</f>
        <v>113</v>
      </c>
      <c r="L1116" s="7">
        <f>IF($J1116=0,0,ROUND(MAX($J1116*1.4,1620000*(1.497923^(MIN($E1116,123)-117)))*1,0))</f>
        <v>214816</v>
      </c>
      <c r="M1116" s="4">
        <f>$E1116+2</f>
        <v>114</v>
      </c>
      <c r="N1116" s="8">
        <f>IF($J1116=0,0,ROUND(MAX($J1116*1.4*1.5,2190000*(1.580994^(MIN($E1116,123)-117)))*1,0))</f>
        <v>275100</v>
      </c>
      <c r="O1116" s="6">
        <f>$E1116+4</f>
        <v>116</v>
      </c>
      <c r="P1116" s="7">
        <f>IF($J1116=0,0,ROUND(MAX($J1116*1.4*1.5*1.6,3500000*(1.57975^(MIN($E1116,123)-117)))*1,0))</f>
        <v>440160</v>
      </c>
      <c r="Q1116" s="4">
        <f>$E1116+6</f>
        <v>118</v>
      </c>
      <c r="R1116" s="8">
        <f>IF($J1116=0,0,ROUND(MAX($J1116*1.4*1.5*1.6*1.6,13100000*(1.429962^(MIN($E1116,123)-117)))*1,0))</f>
        <v>2191032</v>
      </c>
      <c r="S1116" s="6">
        <f>$E1116+8</f>
        <v>120</v>
      </c>
      <c r="T1116" s="7">
        <f>IF($J1116=0,0,ROUND(MAX($J1116*1.4*1.5*1.6*1.6*2.2,42600000*(1.576904^(MIN($E1116,123)-117)))*1,0))</f>
        <v>4369013</v>
      </c>
      <c r="U1116" s="4">
        <f>$E1116+11</f>
        <v>123</v>
      </c>
      <c r="V1116" s="8">
        <f>IF($J1116=0,0,ROUND(MAX($J1116*1.4*1.5*1.6*1.6*2.2*2.715,354000000*(1.642074^(MIN($E1116,123)-117)))*1,0))</f>
        <v>29651020</v>
      </c>
      <c r="W1116" s="6">
        <f>$E1116+15</f>
        <v>127</v>
      </c>
      <c r="X1116" s="7">
        <f>IF($J1116=0,0,ROUND(MAX($J1116*1.4*1.5*1.6*1.6*2.2*2.715*2.6,3540000000*(1.579646^(MIN($E1116,123)-117)))*1,0))</f>
        <v>359918692</v>
      </c>
      <c r="Y1116" s="4">
        <f>$E1116+17</f>
        <v>129</v>
      </c>
      <c r="Z1116" s="8">
        <f>IF($J1116=0,0,ROUND(MAX($J1116*1.4*1.5*1.6*1.6*2.2*2.715*2.6*1.4,6020000000*(1.651178^(MIN($E1116,123)-117)))*1,0))</f>
        <v>490486461</v>
      </c>
      <c r="AA1116" s="6">
        <f>$E1116+19</f>
        <v>131</v>
      </c>
      <c r="AB1116" s="7">
        <f>IF($J1116=0,0,ROUND(MAX($J1116*1.4*1.5*1.6*1.6*2.2*2.715*2.6*1.4*1.4,8430000000*(1.651435^(MIN($E1116,123)-117)))*1,0))</f>
        <v>686309723</v>
      </c>
      <c r="AC1116" s="4">
        <f>$E1116+21</f>
        <v>133</v>
      </c>
      <c r="AD1116" s="8">
        <f>IF($J1116=0,0,ROUND(MAX($J1116*1.4*1.5*1.6*1.6*2.2*2.715*2.6*1.4*1.4*1.5,12600000000*(1.652953^(MIN($E1116,123)-117)))*1,0))</f>
        <v>1021099398</v>
      </c>
      <c r="AE1116" s="6">
        <f>$E1116+24</f>
        <v>136</v>
      </c>
      <c r="AF1116" s="7">
        <f>IF($J1116=0,0,ROUND(MAX($J1116*1.4*1.5*1.6*1.6*2.2*2.715*2.6*1.4*1.4*1.5*1.5,18900000000*(1.65331^(MIN($E1116,123)-117)))*1,0))</f>
        <v>1529996162</v>
      </c>
      <c r="AG1116" s="4">
        <f>$E1116+27</f>
        <v>139</v>
      </c>
      <c r="AH1116" s="8">
        <f>IF($J1116=0,0,ROUND(MAX($J1116*1.4*1.5*1.6*1.6*2.2*2.715*2.6*1.4*1.4*1.5*1.5*3.2,60500000000*(1.654288^(MIN($E1116,123)-117)))*1,0))</f>
        <v>4883146766</v>
      </c>
    </row>
    <row r="1117" ht="27.75" customHeight="1" spans="1:34" x14ac:dyDescent="0.25">
      <c r="A1117" s="3">
        <v>1127</v>
      </c>
      <c r="B1117" s="3" t="s">
        <v>692</v>
      </c>
      <c r="C1117" s="3" t="s">
        <v>829</v>
      </c>
      <c r="D1117" s="3" t="s">
        <v>29</v>
      </c>
      <c r="E1117" s="3">
        <v>112</v>
      </c>
      <c r="F1117" s="3" t="s">
        <v>30</v>
      </c>
      <c r="G1117" s="3" t="s">
        <v>351</v>
      </c>
      <c r="H1117" s="3">
        <v>27</v>
      </c>
      <c r="I1117" s="4">
        <v>112</v>
      </c>
      <c r="J1117" s="5">
        <v>99000</v>
      </c>
      <c r="K1117" s="6">
        <f>$E1117+1</f>
        <v>113</v>
      </c>
      <c r="L1117" s="7">
        <f>IF($J1117=0,0,ROUND(MAX($J1117*1.4,1620000*(1.497923^(MIN($E1117,123)-117)))*1,0))</f>
        <v>214816</v>
      </c>
      <c r="M1117" s="4">
        <f>$E1117+2</f>
        <v>114</v>
      </c>
      <c r="N1117" s="8">
        <f>IF($J1117=0,0,ROUND(MAX($J1117*1.4*1.5,2190000*(1.580994^(MIN($E1117,123)-117)))*1,0))</f>
        <v>221714</v>
      </c>
      <c r="O1117" s="6">
        <f>$E1117+4</f>
        <v>116</v>
      </c>
      <c r="P1117" s="7">
        <f>IF($J1117=0,0,ROUND(MAX($J1117*1.4*1.5*1.6,3500000*(1.57975^(MIN($E1117,123)-117)))*1,0))</f>
        <v>355735</v>
      </c>
      <c r="Q1117" s="4">
        <f>$E1117+6</f>
        <v>118</v>
      </c>
      <c r="R1117" s="8">
        <f>IF($J1117=0,0,ROUND(MAX($J1117*1.4*1.5*1.6*1.6,13100000*(1.429962^(MIN($E1117,123)-117)))*1,0))</f>
        <v>2191032</v>
      </c>
      <c r="S1117" s="6">
        <f>$E1117+8</f>
        <v>120</v>
      </c>
      <c r="T1117" s="7">
        <f>IF($J1117=0,0,ROUND(MAX($J1117*1.4*1.5*1.6*1.6*2.2,42600000*(1.576904^(MIN($E1117,123)-117)))*1,0))</f>
        <v>4369013</v>
      </c>
      <c r="U1117" s="4">
        <f>$E1117+11</f>
        <v>123</v>
      </c>
      <c r="V1117" s="8">
        <f>IF($J1117=0,0,ROUND(MAX($J1117*1.4*1.5*1.6*1.6*2.2*2.715,354000000*(1.642074^(MIN($E1117,123)-117)))*1,0))</f>
        <v>29651020</v>
      </c>
      <c r="W1117" s="6">
        <f>$E1117+15</f>
        <v>127</v>
      </c>
      <c r="X1117" s="7">
        <f>IF($J1117=0,0,ROUND(MAX($J1117*1.4*1.5*1.6*1.6*2.2*2.715*2.6,3540000000*(1.579646^(MIN($E1117,123)-117)))*1,0))</f>
        <v>359918692</v>
      </c>
      <c r="Y1117" s="4">
        <f>$E1117+17</f>
        <v>129</v>
      </c>
      <c r="Z1117" s="8">
        <f>IF($J1117=0,0,ROUND(MAX($J1117*1.4*1.5*1.6*1.6*2.2*2.715*2.6*1.4,6020000000*(1.651178^(MIN($E1117,123)-117)))*1,0))</f>
        <v>490486461</v>
      </c>
      <c r="AA1117" s="6">
        <f>$E1117+19</f>
        <v>131</v>
      </c>
      <c r="AB1117" s="7">
        <f>IF($J1117=0,0,ROUND(MAX($J1117*1.4*1.5*1.6*1.6*2.2*2.715*2.6*1.4*1.4,8430000000*(1.651435^(MIN($E1117,123)-117)))*1,0))</f>
        <v>686309723</v>
      </c>
      <c r="AC1117" s="4">
        <f>$E1117+21</f>
        <v>133</v>
      </c>
      <c r="AD1117" s="8">
        <f>IF($J1117=0,0,ROUND(MAX($J1117*1.4*1.5*1.6*1.6*2.2*2.715*2.6*1.4*1.4*1.5,12600000000*(1.652953^(MIN($E1117,123)-117)))*1,0))</f>
        <v>1021099398</v>
      </c>
      <c r="AE1117" s="6">
        <f>$E1117+24</f>
        <v>136</v>
      </c>
      <c r="AF1117" s="7">
        <f>IF($J1117=0,0,ROUND(MAX($J1117*1.4*1.5*1.6*1.6*2.2*2.715*2.6*1.4*1.4*1.5*1.5,18900000000*(1.65331^(MIN($E1117,123)-117)))*1,0))</f>
        <v>1529996162</v>
      </c>
      <c r="AG1117" s="4">
        <f>$E1117+27</f>
        <v>139</v>
      </c>
      <c r="AH1117" s="8">
        <f>IF($J1117=0,0,ROUND(MAX($J1117*1.4*1.5*1.6*1.6*2.2*2.715*2.6*1.4*1.4*1.5*1.5*3.2,60500000000*(1.654288^(MIN($E1117,123)-117)))*1,0))</f>
        <v>4883146766</v>
      </c>
    </row>
    <row r="1118" ht="27.75" customHeight="1" spans="1:34" x14ac:dyDescent="0.25">
      <c r="A1118" s="3">
        <v>1128</v>
      </c>
      <c r="B1118" s="3" t="s">
        <v>778</v>
      </c>
      <c r="C1118" s="3" t="s">
        <v>829</v>
      </c>
      <c r="D1118" s="3" t="s">
        <v>25</v>
      </c>
      <c r="E1118" s="3">
        <v>112</v>
      </c>
      <c r="F1118" s="3" t="s">
        <v>71</v>
      </c>
      <c r="G1118" s="3" t="s">
        <v>329</v>
      </c>
      <c r="H1118" s="3">
        <v>27</v>
      </c>
      <c r="I1118" s="4">
        <v>112</v>
      </c>
      <c r="J1118" s="5">
        <v>134000</v>
      </c>
      <c r="K1118" s="6">
        <f>$E1118+1</f>
        <v>113</v>
      </c>
      <c r="L1118" s="7">
        <f>IF($J1118=0,0,ROUND(MAX($J1118*1.4,1620000*(1.497923^(MIN($E1118,123)-117)))*1,0))</f>
        <v>214816</v>
      </c>
      <c r="M1118" s="4">
        <f>$E1118+2</f>
        <v>114</v>
      </c>
      <c r="N1118" s="8">
        <f>IF($J1118=0,0,ROUND(MAX($J1118*1.4*1.5,2190000*(1.580994^(MIN($E1118,123)-117)))*1,0))</f>
        <v>281400</v>
      </c>
      <c r="O1118" s="6">
        <f>$E1118+4</f>
        <v>116</v>
      </c>
      <c r="P1118" s="7">
        <f>IF($J1118=0,0,ROUND(MAX($J1118*1.4*1.5*1.6,3500000*(1.57975^(MIN($E1118,123)-117)))*1,0))</f>
        <v>450240</v>
      </c>
      <c r="Q1118" s="4">
        <f>$E1118+6</f>
        <v>118</v>
      </c>
      <c r="R1118" s="8">
        <f>IF($J1118=0,0,ROUND(MAX($J1118*1.4*1.5*1.6*1.6,13100000*(1.429962^(MIN($E1118,123)-117)))*1,0))</f>
        <v>2191032</v>
      </c>
      <c r="S1118" s="6">
        <f>$E1118+8</f>
        <v>120</v>
      </c>
      <c r="T1118" s="7">
        <f>IF($J1118=0,0,ROUND(MAX($J1118*1.4*1.5*1.6*1.6*2.2,42600000*(1.576904^(MIN($E1118,123)-117)))*1,0))</f>
        <v>4369013</v>
      </c>
      <c r="U1118" s="4">
        <f>$E1118+11</f>
        <v>123</v>
      </c>
      <c r="V1118" s="8">
        <f>IF($J1118=0,0,ROUND(MAX($J1118*1.4*1.5*1.6*1.6*2.2*2.715,354000000*(1.642074^(MIN($E1118,123)-117)))*1,0))</f>
        <v>29651020</v>
      </c>
      <c r="W1118" s="6">
        <f>$E1118+15</f>
        <v>127</v>
      </c>
      <c r="X1118" s="7">
        <f>IF($J1118=0,0,ROUND(MAX($J1118*1.4*1.5*1.6*1.6*2.2*2.715*2.6,3540000000*(1.579646^(MIN($E1118,123)-117)))*1,0))</f>
        <v>359918692</v>
      </c>
      <c r="Y1118" s="4">
        <f>$E1118+17</f>
        <v>129</v>
      </c>
      <c r="Z1118" s="8">
        <f>IF($J1118=0,0,ROUND(MAX($J1118*1.4*1.5*1.6*1.6*2.2*2.715*2.6*1.4,6020000000*(1.651178^(MIN($E1118,123)-117)))*1,0))</f>
        <v>490486461</v>
      </c>
      <c r="AA1118" s="6">
        <f>$E1118+19</f>
        <v>131</v>
      </c>
      <c r="AB1118" s="7">
        <f>IF($J1118=0,0,ROUND(MAX($J1118*1.4*1.5*1.6*1.6*2.2*2.715*2.6*1.4*1.4,8430000000*(1.651435^(MIN($E1118,123)-117)))*1,0))</f>
        <v>686309723</v>
      </c>
      <c r="AC1118" s="4">
        <f>$E1118+21</f>
        <v>133</v>
      </c>
      <c r="AD1118" s="8">
        <f>IF($J1118=0,0,ROUND(MAX($J1118*1.4*1.5*1.6*1.6*2.2*2.715*2.6*1.4*1.4*1.5,12600000000*(1.652953^(MIN($E1118,123)-117)))*1,0))</f>
        <v>1021099398</v>
      </c>
      <c r="AE1118" s="6">
        <f>$E1118+24</f>
        <v>136</v>
      </c>
      <c r="AF1118" s="7">
        <f>IF($J1118=0,0,ROUND(MAX($J1118*1.4*1.5*1.6*1.6*2.2*2.715*2.6*1.4*1.4*1.5*1.5,18900000000*(1.65331^(MIN($E1118,123)-117)))*1,0))</f>
        <v>1529996162</v>
      </c>
      <c r="AG1118" s="4">
        <f>$E1118+27</f>
        <v>139</v>
      </c>
      <c r="AH1118" s="8">
        <f>IF($J1118=0,0,ROUND(MAX($J1118*1.4*1.5*1.6*1.6*2.2*2.715*2.6*1.4*1.4*1.5*1.5*3.2,60500000000*(1.654288^(MIN($E1118,123)-117)))*1,0))</f>
        <v>4883146766</v>
      </c>
    </row>
    <row r="1119" ht="27.75" customHeight="1" spans="1:34" x14ac:dyDescent="0.25">
      <c r="A1119" s="3">
        <v>1129</v>
      </c>
      <c r="B1119" s="3" t="s">
        <v>694</v>
      </c>
      <c r="C1119" s="3" t="s">
        <v>829</v>
      </c>
      <c r="D1119" s="3" t="s">
        <v>102</v>
      </c>
      <c r="E1119" s="3">
        <v>112</v>
      </c>
      <c r="F1119" s="3" t="s">
        <v>71</v>
      </c>
      <c r="G1119" s="3" t="s">
        <v>270</v>
      </c>
      <c r="H1119" s="3">
        <v>27</v>
      </c>
      <c r="I1119" s="4">
        <v>112</v>
      </c>
      <c r="J1119" s="5">
        <v>101000</v>
      </c>
      <c r="K1119" s="6">
        <f>$E1119+1</f>
        <v>113</v>
      </c>
      <c r="L1119" s="7">
        <f>IF($J1119=0,0,ROUND(MAX($J1119*1.4,1620000*(1.497923^(MIN($E1119,123)-117)))*1,0))</f>
        <v>214816</v>
      </c>
      <c r="M1119" s="4">
        <f>$E1119+2</f>
        <v>114</v>
      </c>
      <c r="N1119" s="8">
        <f>IF($J1119=0,0,ROUND(MAX($J1119*1.4*1.5,2190000*(1.580994^(MIN($E1119,123)-117)))*1,0))</f>
        <v>221714</v>
      </c>
      <c r="O1119" s="6">
        <f>$E1119+4</f>
        <v>116</v>
      </c>
      <c r="P1119" s="7">
        <f>IF($J1119=0,0,ROUND(MAX($J1119*1.4*1.5*1.6,3500000*(1.57975^(MIN($E1119,123)-117)))*1,0))</f>
        <v>355735</v>
      </c>
      <c r="Q1119" s="4">
        <f>$E1119+6</f>
        <v>118</v>
      </c>
      <c r="R1119" s="8">
        <f>IF($J1119=0,0,ROUND(MAX($J1119*1.4*1.5*1.6*1.6,13100000*(1.429962^(MIN($E1119,123)-117)))*1,0))</f>
        <v>2191032</v>
      </c>
      <c r="S1119" s="6">
        <f>$E1119+8</f>
        <v>120</v>
      </c>
      <c r="T1119" s="7">
        <f>IF($J1119=0,0,ROUND(MAX($J1119*1.4*1.5*1.6*1.6*2.2,42600000*(1.576904^(MIN($E1119,123)-117)))*1,0))</f>
        <v>4369013</v>
      </c>
      <c r="U1119" s="4">
        <f>$E1119+11</f>
        <v>123</v>
      </c>
      <c r="V1119" s="8">
        <f>IF($J1119=0,0,ROUND(MAX($J1119*1.4*1.5*1.6*1.6*2.2*2.715,354000000*(1.642074^(MIN($E1119,123)-117)))*1,0))</f>
        <v>29651020</v>
      </c>
      <c r="W1119" s="6">
        <f>$E1119+15</f>
        <v>127</v>
      </c>
      <c r="X1119" s="7">
        <f>IF($J1119=0,0,ROUND(MAX($J1119*1.4*1.5*1.6*1.6*2.2*2.715*2.6,3540000000*(1.579646^(MIN($E1119,123)-117)))*1,0))</f>
        <v>359918692</v>
      </c>
      <c r="Y1119" s="4">
        <f>$E1119+17</f>
        <v>129</v>
      </c>
      <c r="Z1119" s="8">
        <f>IF($J1119=0,0,ROUND(MAX($J1119*1.4*1.5*1.6*1.6*2.2*2.715*2.6*1.4,6020000000*(1.651178^(MIN($E1119,123)-117)))*1,0))</f>
        <v>490486461</v>
      </c>
      <c r="AA1119" s="6">
        <f>$E1119+19</f>
        <v>131</v>
      </c>
      <c r="AB1119" s="7">
        <f>IF($J1119=0,0,ROUND(MAX($J1119*1.4*1.5*1.6*1.6*2.2*2.715*2.6*1.4*1.4,8430000000*(1.651435^(MIN($E1119,123)-117)))*1,0))</f>
        <v>686309723</v>
      </c>
      <c r="AC1119" s="4">
        <f>$E1119+21</f>
        <v>133</v>
      </c>
      <c r="AD1119" s="8">
        <f>IF($J1119=0,0,ROUND(MAX($J1119*1.4*1.5*1.6*1.6*2.2*2.715*2.6*1.4*1.4*1.5,12600000000*(1.652953^(MIN($E1119,123)-117)))*1,0))</f>
        <v>1021099398</v>
      </c>
      <c r="AE1119" s="6">
        <f>$E1119+24</f>
        <v>136</v>
      </c>
      <c r="AF1119" s="7">
        <f>IF($J1119=0,0,ROUND(MAX($J1119*1.4*1.5*1.6*1.6*2.2*2.715*2.6*1.4*1.4*1.5*1.5,18900000000*(1.65331^(MIN($E1119,123)-117)))*1,0))</f>
        <v>1529996162</v>
      </c>
      <c r="AG1119" s="4">
        <f>$E1119+27</f>
        <v>139</v>
      </c>
      <c r="AH1119" s="8">
        <f>IF($J1119=0,0,ROUND(MAX($J1119*1.4*1.5*1.6*1.6*2.2*2.715*2.6*1.4*1.4*1.5*1.5*3.2,60500000000*(1.654288^(MIN($E1119,123)-117)))*1,0))</f>
        <v>4883146766</v>
      </c>
    </row>
    <row r="1120" ht="27.75" customHeight="1" spans="1:34" x14ac:dyDescent="0.25">
      <c r="A1120" s="3">
        <v>1130</v>
      </c>
      <c r="B1120" s="3" t="s">
        <v>612</v>
      </c>
      <c r="C1120" s="3" t="s">
        <v>829</v>
      </c>
      <c r="D1120" s="3" t="s">
        <v>45</v>
      </c>
      <c r="E1120" s="3">
        <v>112</v>
      </c>
      <c r="F1120" s="3" t="s">
        <v>56</v>
      </c>
      <c r="G1120" s="3" t="s">
        <v>244</v>
      </c>
      <c r="H1120" s="3">
        <v>27</v>
      </c>
      <c r="I1120" s="4">
        <v>112</v>
      </c>
      <c r="J1120" s="5">
        <v>164000</v>
      </c>
      <c r="K1120" s="6">
        <f>$E1120+1</f>
        <v>113</v>
      </c>
      <c r="L1120" s="7">
        <f>IF($J1120=0,0,ROUND(MAX($J1120*1.4,1620000*(1.497923^(MIN($E1120,123)-117)))*1,0))</f>
        <v>229600</v>
      </c>
      <c r="M1120" s="4">
        <f>$E1120+2</f>
        <v>114</v>
      </c>
      <c r="N1120" s="8">
        <f>IF($J1120=0,0,ROUND(MAX($J1120*1.4*1.5,2190000*(1.580994^(MIN($E1120,123)-117)))*1,0))</f>
        <v>344400</v>
      </c>
      <c r="O1120" s="6">
        <f>$E1120+4</f>
        <v>116</v>
      </c>
      <c r="P1120" s="7">
        <f>IF($J1120=0,0,ROUND(MAX($J1120*1.4*1.5*1.6,3500000*(1.57975^(MIN($E1120,123)-117)))*1,0))</f>
        <v>551040</v>
      </c>
      <c r="Q1120" s="4">
        <f>$E1120+6</f>
        <v>118</v>
      </c>
      <c r="R1120" s="8">
        <f>IF($J1120=0,0,ROUND(MAX($J1120*1.4*1.5*1.6*1.6,13100000*(1.429962^(MIN($E1120,123)-117)))*1,0))</f>
        <v>2191032</v>
      </c>
      <c r="S1120" s="6">
        <f>$E1120+8</f>
        <v>120</v>
      </c>
      <c r="T1120" s="7">
        <f>IF($J1120=0,0,ROUND(MAX($J1120*1.4*1.5*1.6*1.6*2.2,42600000*(1.576904^(MIN($E1120,123)-117)))*1,0))</f>
        <v>4369013</v>
      </c>
      <c r="U1120" s="4">
        <f>$E1120+11</f>
        <v>123</v>
      </c>
      <c r="V1120" s="8">
        <f>IF($J1120=0,0,ROUND(MAX($J1120*1.4*1.5*1.6*1.6*2.2*2.715,354000000*(1.642074^(MIN($E1120,123)-117)))*1,0))</f>
        <v>29651020</v>
      </c>
      <c r="W1120" s="6">
        <f>$E1120+15</f>
        <v>127</v>
      </c>
      <c r="X1120" s="7">
        <f>IF($J1120=0,0,ROUND(MAX($J1120*1.4*1.5*1.6*1.6*2.2*2.715*2.6,3540000000*(1.579646^(MIN($E1120,123)-117)))*1,0))</f>
        <v>359918692</v>
      </c>
      <c r="Y1120" s="4">
        <f>$E1120+17</f>
        <v>129</v>
      </c>
      <c r="Z1120" s="8">
        <f>IF($J1120=0,0,ROUND(MAX($J1120*1.4*1.5*1.6*1.6*2.2*2.715*2.6*1.4,6020000000*(1.651178^(MIN($E1120,123)-117)))*1,0))</f>
        <v>490486461</v>
      </c>
      <c r="AA1120" s="6">
        <f>$E1120+19</f>
        <v>131</v>
      </c>
      <c r="AB1120" s="7">
        <f>IF($J1120=0,0,ROUND(MAX($J1120*1.4*1.5*1.6*1.6*2.2*2.715*2.6*1.4*1.4,8430000000*(1.651435^(MIN($E1120,123)-117)))*1,0))</f>
        <v>686309723</v>
      </c>
      <c r="AC1120" s="4">
        <f>$E1120+21</f>
        <v>133</v>
      </c>
      <c r="AD1120" s="8">
        <f>IF($J1120=0,0,ROUND(MAX($J1120*1.4*1.5*1.6*1.6*2.2*2.715*2.6*1.4*1.4*1.5,12600000000*(1.652953^(MIN($E1120,123)-117)))*1,0))</f>
        <v>1021099398</v>
      </c>
      <c r="AE1120" s="6">
        <f>$E1120+24</f>
        <v>136</v>
      </c>
      <c r="AF1120" s="7">
        <f>IF($J1120=0,0,ROUND(MAX($J1120*1.4*1.5*1.6*1.6*2.2*2.715*2.6*1.4*1.4*1.5*1.5,18900000000*(1.65331^(MIN($E1120,123)-117)))*1,0))</f>
        <v>1529996162</v>
      </c>
      <c r="AG1120" s="4">
        <f>$E1120+27</f>
        <v>139</v>
      </c>
      <c r="AH1120" s="8">
        <f>IF($J1120=0,0,ROUND(MAX($J1120*1.4*1.5*1.6*1.6*2.2*2.715*2.6*1.4*1.4*1.5*1.5*3.2,60500000000*(1.654288^(MIN($E1120,123)-117)))*1,0))</f>
        <v>4883146766</v>
      </c>
    </row>
    <row r="1121" ht="27.75" customHeight="1" spans="1:34" x14ac:dyDescent="0.25">
      <c r="A1121" s="3">
        <v>1131</v>
      </c>
      <c r="B1121" s="3" t="s">
        <v>747</v>
      </c>
      <c r="C1121" s="3" t="s">
        <v>829</v>
      </c>
      <c r="D1121" s="3" t="s">
        <v>102</v>
      </c>
      <c r="E1121" s="3">
        <v>112</v>
      </c>
      <c r="F1121" s="3" t="s">
        <v>310</v>
      </c>
      <c r="G1121" s="3" t="s">
        <v>748</v>
      </c>
      <c r="H1121" s="3">
        <v>27</v>
      </c>
      <c r="I1121" s="4">
        <v>112</v>
      </c>
      <c r="J1121" s="5">
        <v>136000</v>
      </c>
      <c r="K1121" s="6">
        <f>$E1121+1</f>
        <v>113</v>
      </c>
      <c r="L1121" s="7">
        <f>IF($J1121=0,0,ROUND(MAX($J1121*1.4,1620000*(1.497923^(MIN($E1121,123)-117)))*1,0))</f>
        <v>214816</v>
      </c>
      <c r="M1121" s="4">
        <f>$E1121+2</f>
        <v>114</v>
      </c>
      <c r="N1121" s="8">
        <f>IF($J1121=0,0,ROUND(MAX($J1121*1.4*1.5,2190000*(1.580994^(MIN($E1121,123)-117)))*1,0))</f>
        <v>285600</v>
      </c>
      <c r="O1121" s="6">
        <f>$E1121+4</f>
        <v>116</v>
      </c>
      <c r="P1121" s="7">
        <f>IF($J1121=0,0,ROUND(MAX($J1121*1.4*1.5*1.6,3500000*(1.57975^(MIN($E1121,123)-117)))*1,0))</f>
        <v>456960</v>
      </c>
      <c r="Q1121" s="4">
        <f>$E1121+6</f>
        <v>118</v>
      </c>
      <c r="R1121" s="8">
        <f>IF($J1121=0,0,ROUND(MAX($J1121*1.4*1.5*1.6*1.6,13100000*(1.429962^(MIN($E1121,123)-117)))*1,0))</f>
        <v>2191032</v>
      </c>
      <c r="S1121" s="6">
        <f>$E1121+8</f>
        <v>120</v>
      </c>
      <c r="T1121" s="7">
        <f>IF($J1121=0,0,ROUND(MAX($J1121*1.4*1.5*1.6*1.6*2.2,42600000*(1.576904^(MIN($E1121,123)-117)))*1,0))</f>
        <v>4369013</v>
      </c>
      <c r="U1121" s="4">
        <f>$E1121+11</f>
        <v>123</v>
      </c>
      <c r="V1121" s="8">
        <f>IF($J1121=0,0,ROUND(MAX($J1121*1.4*1.5*1.6*1.6*2.2*2.715,354000000*(1.642074^(MIN($E1121,123)-117)))*1,0))</f>
        <v>29651020</v>
      </c>
      <c r="W1121" s="6">
        <f>$E1121+15</f>
        <v>127</v>
      </c>
      <c r="X1121" s="7">
        <f>IF($J1121=0,0,ROUND(MAX($J1121*1.4*1.5*1.6*1.6*2.2*2.715*2.6,3540000000*(1.579646^(MIN($E1121,123)-117)))*1,0))</f>
        <v>359918692</v>
      </c>
      <c r="Y1121" s="4">
        <f>$E1121+17</f>
        <v>129</v>
      </c>
      <c r="Z1121" s="8">
        <f>IF($J1121=0,0,ROUND(MAX($J1121*1.4*1.5*1.6*1.6*2.2*2.715*2.6*1.4,6020000000*(1.651178^(MIN($E1121,123)-117)))*1,0))</f>
        <v>490486461</v>
      </c>
      <c r="AA1121" s="6">
        <f>$E1121+19</f>
        <v>131</v>
      </c>
      <c r="AB1121" s="7">
        <f>IF($J1121=0,0,ROUND(MAX($J1121*1.4*1.5*1.6*1.6*2.2*2.715*2.6*1.4*1.4,8430000000*(1.651435^(MIN($E1121,123)-117)))*1,0))</f>
        <v>686309723</v>
      </c>
      <c r="AC1121" s="4">
        <f>$E1121+21</f>
        <v>133</v>
      </c>
      <c r="AD1121" s="8">
        <f>IF($J1121=0,0,ROUND(MAX($J1121*1.4*1.5*1.6*1.6*2.2*2.715*2.6*1.4*1.4*1.5,12600000000*(1.652953^(MIN($E1121,123)-117)))*1,0))</f>
        <v>1021099398</v>
      </c>
      <c r="AE1121" s="6">
        <f>$E1121+24</f>
        <v>136</v>
      </c>
      <c r="AF1121" s="7">
        <f>IF($J1121=0,0,ROUND(MAX($J1121*1.4*1.5*1.6*1.6*2.2*2.715*2.6*1.4*1.4*1.5*1.5,18900000000*(1.65331^(MIN($E1121,123)-117)))*1,0))</f>
        <v>1529996162</v>
      </c>
      <c r="AG1121" s="4">
        <f>$E1121+27</f>
        <v>139</v>
      </c>
      <c r="AH1121" s="8">
        <f>IF($J1121=0,0,ROUND(MAX($J1121*1.4*1.5*1.6*1.6*2.2*2.715*2.6*1.4*1.4*1.5*1.5*3.2,60500000000*(1.654288^(MIN($E1121,123)-117)))*1,0))</f>
        <v>4883146766</v>
      </c>
    </row>
    <row r="1122" ht="27.75" customHeight="1" spans="1:34" x14ac:dyDescent="0.25">
      <c r="A1122" s="3">
        <v>1132</v>
      </c>
      <c r="B1122" s="3" t="s">
        <v>839</v>
      </c>
      <c r="C1122" s="3" t="s">
        <v>829</v>
      </c>
      <c r="D1122" s="3" t="s">
        <v>40</v>
      </c>
      <c r="E1122" s="3">
        <v>112</v>
      </c>
      <c r="F1122" s="3" t="s">
        <v>174</v>
      </c>
      <c r="G1122" s="3" t="s">
        <v>830</v>
      </c>
      <c r="H1122" s="3">
        <v>27</v>
      </c>
      <c r="I1122" s="4">
        <v>112</v>
      </c>
      <c r="J1122" s="5">
        <v>131000</v>
      </c>
      <c r="K1122" s="6">
        <f>$E1122+1</f>
        <v>113</v>
      </c>
      <c r="L1122" s="7">
        <f>IF($J1122=0,0,ROUND(MAX($J1122*1.4,1620000*(1.497923^(MIN($E1122,123)-117)))*1,0))</f>
        <v>214816</v>
      </c>
      <c r="M1122" s="4">
        <f>$E1122+2</f>
        <v>114</v>
      </c>
      <c r="N1122" s="8">
        <f>IF($J1122=0,0,ROUND(MAX($J1122*1.4*1.5,2190000*(1.580994^(MIN($E1122,123)-117)))*1,0))</f>
        <v>275100</v>
      </c>
      <c r="O1122" s="6">
        <f>$E1122+4</f>
        <v>116</v>
      </c>
      <c r="P1122" s="7">
        <f>IF($J1122=0,0,ROUND(MAX($J1122*1.4*1.5*1.6,3500000*(1.57975^(MIN($E1122,123)-117)))*1,0))</f>
        <v>440160</v>
      </c>
      <c r="Q1122" s="4">
        <f>$E1122+6</f>
        <v>118</v>
      </c>
      <c r="R1122" s="8">
        <f>IF($J1122=0,0,ROUND(MAX($J1122*1.4*1.5*1.6*1.6,13100000*(1.429962^(MIN($E1122,123)-117)))*1,0))</f>
        <v>2191032</v>
      </c>
      <c r="S1122" s="6">
        <f>$E1122+8</f>
        <v>120</v>
      </c>
      <c r="T1122" s="7">
        <f>IF($J1122=0,0,ROUND(MAX($J1122*1.4*1.5*1.6*1.6*2.2,42600000*(1.576904^(MIN($E1122,123)-117)))*1,0))</f>
        <v>4369013</v>
      </c>
      <c r="U1122" s="4">
        <f>$E1122+11</f>
        <v>123</v>
      </c>
      <c r="V1122" s="8">
        <f>IF($J1122=0,0,ROUND(MAX($J1122*1.4*1.5*1.6*1.6*2.2*2.715,354000000*(1.642074^(MIN($E1122,123)-117)))*1,0))</f>
        <v>29651020</v>
      </c>
      <c r="W1122" s="6">
        <f>$E1122+15</f>
        <v>127</v>
      </c>
      <c r="X1122" s="7">
        <f>IF($J1122=0,0,ROUND(MAX($J1122*1.4*1.5*1.6*1.6*2.2*2.715*2.6,3540000000*(1.579646^(MIN($E1122,123)-117)))*1,0))</f>
        <v>359918692</v>
      </c>
      <c r="Y1122" s="4">
        <f>$E1122+17</f>
        <v>129</v>
      </c>
      <c r="Z1122" s="8">
        <f>IF($J1122=0,0,ROUND(MAX($J1122*1.4*1.5*1.6*1.6*2.2*2.715*2.6*1.4,6020000000*(1.651178^(MIN($E1122,123)-117)))*1,0))</f>
        <v>490486461</v>
      </c>
      <c r="AA1122" s="6">
        <f>$E1122+19</f>
        <v>131</v>
      </c>
      <c r="AB1122" s="7">
        <f>IF($J1122=0,0,ROUND(MAX($J1122*1.4*1.5*1.6*1.6*2.2*2.715*2.6*1.4*1.4,8430000000*(1.651435^(MIN($E1122,123)-117)))*1,0))</f>
        <v>686309723</v>
      </c>
      <c r="AC1122" s="4">
        <f>$E1122+21</f>
        <v>133</v>
      </c>
      <c r="AD1122" s="8">
        <f>IF($J1122=0,0,ROUND(MAX($J1122*1.4*1.5*1.6*1.6*2.2*2.715*2.6*1.4*1.4*1.5,12600000000*(1.652953^(MIN($E1122,123)-117)))*1,0))</f>
        <v>1021099398</v>
      </c>
      <c r="AE1122" s="6">
        <f>$E1122+24</f>
        <v>136</v>
      </c>
      <c r="AF1122" s="7">
        <f>IF($J1122=0,0,ROUND(MAX($J1122*1.4*1.5*1.6*1.6*2.2*2.715*2.6*1.4*1.4*1.5*1.5,18900000000*(1.65331^(MIN($E1122,123)-117)))*1,0))</f>
        <v>1529996162</v>
      </c>
      <c r="AG1122" s="4">
        <f>$E1122+27</f>
        <v>139</v>
      </c>
      <c r="AH1122" s="8">
        <f>IF($J1122=0,0,ROUND(MAX($J1122*1.4*1.5*1.6*1.6*2.2*2.715*2.6*1.4*1.4*1.5*1.5*3.2,60500000000*(1.654288^(MIN($E1122,123)-117)))*1,0))</f>
        <v>4883146766</v>
      </c>
    </row>
    <row r="1123" ht="27.75" customHeight="1" spans="1:34" x14ac:dyDescent="0.25">
      <c r="A1123" s="3">
        <v>1133</v>
      </c>
      <c r="B1123" s="3" t="s">
        <v>190</v>
      </c>
      <c r="C1123" s="3" t="s">
        <v>829</v>
      </c>
      <c r="D1123" s="3" t="s">
        <v>90</v>
      </c>
      <c r="E1123" s="3">
        <v>112</v>
      </c>
      <c r="F1123" s="3" t="s">
        <v>62</v>
      </c>
      <c r="G1123" s="3" t="s">
        <v>830</v>
      </c>
      <c r="H1123" s="3">
        <v>27</v>
      </c>
      <c r="I1123" s="4">
        <v>112</v>
      </c>
      <c r="J1123" s="5">
        <v>127000</v>
      </c>
      <c r="K1123" s="6">
        <f>$E1123+1</f>
        <v>113</v>
      </c>
      <c r="L1123" s="7">
        <f>IF($J1123=0,0,ROUND(MAX($J1123*1.4,1620000*(1.497923^(MIN($E1123,123)-117)))*1,0))</f>
        <v>214816</v>
      </c>
      <c r="M1123" s="4">
        <f>$E1123+2</f>
        <v>114</v>
      </c>
      <c r="N1123" s="8">
        <f>IF($J1123=0,0,ROUND(MAX($J1123*1.4*1.5,2190000*(1.580994^(MIN($E1123,123)-117)))*1,0))</f>
        <v>266700</v>
      </c>
      <c r="O1123" s="6">
        <f>$E1123+4</f>
        <v>116</v>
      </c>
      <c r="P1123" s="7">
        <f>IF($J1123=0,0,ROUND(MAX($J1123*1.4*1.5*1.6,3500000*(1.57975^(MIN($E1123,123)-117)))*1,0))</f>
        <v>426720</v>
      </c>
      <c r="Q1123" s="4">
        <f>$E1123+6</f>
        <v>118</v>
      </c>
      <c r="R1123" s="8">
        <f>IF($J1123=0,0,ROUND(MAX($J1123*1.4*1.5*1.6*1.6,13100000*(1.429962^(MIN($E1123,123)-117)))*1,0))</f>
        <v>2191032</v>
      </c>
      <c r="S1123" s="6">
        <f>$E1123+8</f>
        <v>120</v>
      </c>
      <c r="T1123" s="7">
        <f>IF($J1123=0,0,ROUND(MAX($J1123*1.4*1.5*1.6*1.6*2.2,42600000*(1.576904^(MIN($E1123,123)-117)))*1,0))</f>
        <v>4369013</v>
      </c>
      <c r="U1123" s="4">
        <f>$E1123+11</f>
        <v>123</v>
      </c>
      <c r="V1123" s="8">
        <f>IF($J1123=0,0,ROUND(MAX($J1123*1.4*1.5*1.6*1.6*2.2*2.715,354000000*(1.642074^(MIN($E1123,123)-117)))*1,0))</f>
        <v>29651020</v>
      </c>
      <c r="W1123" s="6">
        <f>$E1123+15</f>
        <v>127</v>
      </c>
      <c r="X1123" s="7">
        <f>IF($J1123=0,0,ROUND(MAX($J1123*1.4*1.5*1.6*1.6*2.2*2.715*2.6,3540000000*(1.579646^(MIN($E1123,123)-117)))*1,0))</f>
        <v>359918692</v>
      </c>
      <c r="Y1123" s="4">
        <f>$E1123+17</f>
        <v>129</v>
      </c>
      <c r="Z1123" s="8">
        <f>IF($J1123=0,0,ROUND(MAX($J1123*1.4*1.5*1.6*1.6*2.2*2.715*2.6*1.4,6020000000*(1.651178^(MIN($E1123,123)-117)))*1,0))</f>
        <v>490486461</v>
      </c>
      <c r="AA1123" s="6">
        <f>$E1123+19</f>
        <v>131</v>
      </c>
      <c r="AB1123" s="7">
        <f>IF($J1123=0,0,ROUND(MAX($J1123*1.4*1.5*1.6*1.6*2.2*2.715*2.6*1.4*1.4,8430000000*(1.651435^(MIN($E1123,123)-117)))*1,0))</f>
        <v>686309723</v>
      </c>
      <c r="AC1123" s="4">
        <f>$E1123+21</f>
        <v>133</v>
      </c>
      <c r="AD1123" s="8">
        <f>IF($J1123=0,0,ROUND(MAX($J1123*1.4*1.5*1.6*1.6*2.2*2.715*2.6*1.4*1.4*1.5,12600000000*(1.652953^(MIN($E1123,123)-117)))*1,0))</f>
        <v>1021099398</v>
      </c>
      <c r="AE1123" s="6">
        <f>$E1123+24</f>
        <v>136</v>
      </c>
      <c r="AF1123" s="7">
        <f>IF($J1123=0,0,ROUND(MAX($J1123*1.4*1.5*1.6*1.6*2.2*2.715*2.6*1.4*1.4*1.5*1.5,18900000000*(1.65331^(MIN($E1123,123)-117)))*1,0))</f>
        <v>1529996162</v>
      </c>
      <c r="AG1123" s="4">
        <f>$E1123+27</f>
        <v>139</v>
      </c>
      <c r="AH1123" s="8">
        <f>IF($J1123=0,0,ROUND(MAX($J1123*1.4*1.5*1.6*1.6*2.2*2.715*2.6*1.4*1.4*1.5*1.5*3.2,60500000000*(1.654288^(MIN($E1123,123)-117)))*1,0))</f>
        <v>4883146766</v>
      </c>
    </row>
    <row r="1124" ht="27.75" customHeight="1" spans="1:34" x14ac:dyDescent="0.25">
      <c r="A1124" s="3">
        <v>1134</v>
      </c>
      <c r="B1124" s="3" t="s">
        <v>100</v>
      </c>
      <c r="C1124" s="3" t="s">
        <v>829</v>
      </c>
      <c r="D1124" s="3" t="s">
        <v>33</v>
      </c>
      <c r="E1124" s="3">
        <v>112</v>
      </c>
      <c r="F1124" s="3" t="s">
        <v>62</v>
      </c>
      <c r="G1124" s="3" t="s">
        <v>830</v>
      </c>
      <c r="H1124" s="3">
        <v>27</v>
      </c>
      <c r="I1124" s="4">
        <v>112</v>
      </c>
      <c r="J1124" s="5">
        <v>154000</v>
      </c>
      <c r="K1124" s="6">
        <f>$E1124+1</f>
        <v>113</v>
      </c>
      <c r="L1124" s="7">
        <f>IF($J1124=0,0,ROUND(MAX($J1124*1.4,1620000*(1.497923^(MIN($E1124,123)-117)))*1,0))</f>
        <v>215600</v>
      </c>
      <c r="M1124" s="4">
        <f>$E1124+2</f>
        <v>114</v>
      </c>
      <c r="N1124" s="8">
        <f>IF($J1124=0,0,ROUND(MAX($J1124*1.4*1.5,2190000*(1.580994^(MIN($E1124,123)-117)))*1,0))</f>
        <v>323400</v>
      </c>
      <c r="O1124" s="6">
        <f>$E1124+4</f>
        <v>116</v>
      </c>
      <c r="P1124" s="7">
        <f>IF($J1124=0,0,ROUND(MAX($J1124*1.4*1.5*1.6,3500000*(1.57975^(MIN($E1124,123)-117)))*1,0))</f>
        <v>517440</v>
      </c>
      <c r="Q1124" s="4">
        <f>$E1124+6</f>
        <v>118</v>
      </c>
      <c r="R1124" s="8">
        <f>IF($J1124=0,0,ROUND(MAX($J1124*1.4*1.5*1.6*1.6,13100000*(1.429962^(MIN($E1124,123)-117)))*1,0))</f>
        <v>2191032</v>
      </c>
      <c r="S1124" s="6">
        <f>$E1124+8</f>
        <v>120</v>
      </c>
      <c r="T1124" s="7">
        <f>IF($J1124=0,0,ROUND(MAX($J1124*1.4*1.5*1.6*1.6*2.2,42600000*(1.576904^(MIN($E1124,123)-117)))*1,0))</f>
        <v>4369013</v>
      </c>
      <c r="U1124" s="4">
        <f>$E1124+11</f>
        <v>123</v>
      </c>
      <c r="V1124" s="8">
        <f>IF($J1124=0,0,ROUND(MAX($J1124*1.4*1.5*1.6*1.6*2.2*2.715,354000000*(1.642074^(MIN($E1124,123)-117)))*1,0))</f>
        <v>29651020</v>
      </c>
      <c r="W1124" s="6">
        <f>$E1124+15</f>
        <v>127</v>
      </c>
      <c r="X1124" s="7">
        <f>IF($J1124=0,0,ROUND(MAX($J1124*1.4*1.5*1.6*1.6*2.2*2.715*2.6,3540000000*(1.579646^(MIN($E1124,123)-117)))*1,0))</f>
        <v>359918692</v>
      </c>
      <c r="Y1124" s="4">
        <f>$E1124+17</f>
        <v>129</v>
      </c>
      <c r="Z1124" s="8">
        <f>IF($J1124=0,0,ROUND(MAX($J1124*1.4*1.5*1.6*1.6*2.2*2.715*2.6*1.4,6020000000*(1.651178^(MIN($E1124,123)-117)))*1,0))</f>
        <v>490486461</v>
      </c>
      <c r="AA1124" s="6">
        <f>$E1124+19</f>
        <v>131</v>
      </c>
      <c r="AB1124" s="7">
        <f>IF($J1124=0,0,ROUND(MAX($J1124*1.4*1.5*1.6*1.6*2.2*2.715*2.6*1.4*1.4,8430000000*(1.651435^(MIN($E1124,123)-117)))*1,0))</f>
        <v>686309723</v>
      </c>
      <c r="AC1124" s="4">
        <f>$E1124+21</f>
        <v>133</v>
      </c>
      <c r="AD1124" s="8">
        <f>IF($J1124=0,0,ROUND(MAX($J1124*1.4*1.5*1.6*1.6*2.2*2.715*2.6*1.4*1.4*1.5,12600000000*(1.652953^(MIN($E1124,123)-117)))*1,0))</f>
        <v>1021099398</v>
      </c>
      <c r="AE1124" s="6">
        <f>$E1124+24</f>
        <v>136</v>
      </c>
      <c r="AF1124" s="7">
        <f>IF($J1124=0,0,ROUND(MAX($J1124*1.4*1.5*1.6*1.6*2.2*2.715*2.6*1.4*1.4*1.5*1.5,18900000000*(1.65331^(MIN($E1124,123)-117)))*1,0))</f>
        <v>1529996162</v>
      </c>
      <c r="AG1124" s="4">
        <f>$E1124+27</f>
        <v>139</v>
      </c>
      <c r="AH1124" s="8">
        <f>IF($J1124=0,0,ROUND(MAX($J1124*1.4*1.5*1.6*1.6*2.2*2.715*2.6*1.4*1.4*1.5*1.5*3.2,60500000000*(1.654288^(MIN($E1124,123)-117)))*1,0))</f>
        <v>4883146766</v>
      </c>
    </row>
    <row r="1125" ht="27.75" customHeight="1" spans="1:34" x14ac:dyDescent="0.25">
      <c r="A1125" s="3">
        <v>1135</v>
      </c>
      <c r="B1125" s="3" t="s">
        <v>840</v>
      </c>
      <c r="C1125" s="3" t="s">
        <v>829</v>
      </c>
      <c r="D1125" s="3" t="s">
        <v>75</v>
      </c>
      <c r="E1125" s="3">
        <v>112</v>
      </c>
      <c r="F1125" s="3" t="s">
        <v>223</v>
      </c>
      <c r="G1125" s="3" t="s">
        <v>830</v>
      </c>
      <c r="H1125" s="3">
        <v>26</v>
      </c>
      <c r="I1125" s="4">
        <v>112</v>
      </c>
      <c r="J1125" s="5">
        <v>206000</v>
      </c>
      <c r="K1125" s="6">
        <f>$E1125+1</f>
        <v>113</v>
      </c>
      <c r="L1125" s="7">
        <f>IF($J1125=0,0,ROUND(MAX($J1125*1.4,1620000*(1.497923^(MIN($E1125,123)-117)))*1,0))</f>
        <v>288400</v>
      </c>
      <c r="M1125" s="4">
        <f>$E1125+2</f>
        <v>114</v>
      </c>
      <c r="N1125" s="8">
        <f>IF($J1125=0,0,ROUND(MAX($J1125*1.4*1.5,2190000*(1.580994^(MIN($E1125,123)-117)))*1,0))</f>
        <v>432600</v>
      </c>
      <c r="O1125" s="6">
        <f>$E1125+4</f>
        <v>116</v>
      </c>
      <c r="P1125" s="7">
        <f>IF($J1125=0,0,ROUND(MAX($J1125*1.4*1.5*1.6,3500000*(1.57975^(MIN($E1125,123)-117)))*1,0))</f>
        <v>692160</v>
      </c>
      <c r="Q1125" s="4">
        <f>$E1125+6</f>
        <v>118</v>
      </c>
      <c r="R1125" s="8">
        <f>IF($J1125=0,0,ROUND(MAX($J1125*1.4*1.5*1.6*1.6,13100000*(1.429962^(MIN($E1125,123)-117)))*1,0))</f>
        <v>2191032</v>
      </c>
      <c r="S1125" s="6">
        <f>$E1125+8</f>
        <v>120</v>
      </c>
      <c r="T1125" s="7">
        <f>IF($J1125=0,0,ROUND(MAX($J1125*1.4*1.5*1.6*1.6*2.2,42600000*(1.576904^(MIN($E1125,123)-117)))*1,0))</f>
        <v>4369013</v>
      </c>
      <c r="U1125" s="4">
        <f>$E1125+11</f>
        <v>123</v>
      </c>
      <c r="V1125" s="8">
        <f>IF($J1125=0,0,ROUND(MAX($J1125*1.4*1.5*1.6*1.6*2.2*2.715,354000000*(1.642074^(MIN($E1125,123)-117)))*1,0))</f>
        <v>29651020</v>
      </c>
      <c r="W1125" s="6">
        <f>$E1125+15</f>
        <v>127</v>
      </c>
      <c r="X1125" s="7">
        <f>IF($J1125=0,0,ROUND(MAX($J1125*1.4*1.5*1.6*1.6*2.2*2.715*2.6,3540000000*(1.579646^(MIN($E1125,123)-117)))*1,0))</f>
        <v>359918692</v>
      </c>
      <c r="Y1125" s="4">
        <f>$E1125+17</f>
        <v>129</v>
      </c>
      <c r="Z1125" s="8">
        <f>IF($J1125=0,0,ROUND(MAX($J1125*1.4*1.5*1.6*1.6*2.2*2.715*2.6*1.4,6020000000*(1.651178^(MIN($E1125,123)-117)))*1,0))</f>
        <v>490486461</v>
      </c>
      <c r="AA1125" s="6">
        <f>$E1125+19</f>
        <v>131</v>
      </c>
      <c r="AB1125" s="7">
        <f>IF($J1125=0,0,ROUND(MAX($J1125*1.4*1.5*1.6*1.6*2.2*2.715*2.6*1.4*1.4,8430000000*(1.651435^(MIN($E1125,123)-117)))*1,0))</f>
        <v>686309723</v>
      </c>
      <c r="AC1125" s="4">
        <f>$E1125+21</f>
        <v>133</v>
      </c>
      <c r="AD1125" s="8">
        <f>IF($J1125=0,0,ROUND(MAX($J1125*1.4*1.5*1.6*1.6*2.2*2.715*2.6*1.4*1.4*1.5,12600000000*(1.652953^(MIN($E1125,123)-117)))*1,0))</f>
        <v>1021099398</v>
      </c>
      <c r="AE1125" s="6">
        <f>$E1125+24</f>
        <v>136</v>
      </c>
      <c r="AF1125" s="7">
        <f>IF($J1125=0,0,ROUND(MAX($J1125*1.4*1.5*1.6*1.6*2.2*2.715*2.6*1.4*1.4*1.5*1.5,18900000000*(1.65331^(MIN($E1125,123)-117)))*1,0))</f>
        <v>1529996162</v>
      </c>
      <c r="AG1125" s="4">
        <f>$E1125+27</f>
        <v>139</v>
      </c>
      <c r="AH1125" s="8">
        <f>IF($J1125=0,0,ROUND(MAX($J1125*1.4*1.5*1.6*1.6*2.2*2.715*2.6*1.4*1.4*1.5*1.5*3.2,60500000000*(1.654288^(MIN($E1125,123)-117)))*1,0))</f>
        <v>4883146766</v>
      </c>
    </row>
    <row r="1126" ht="27.75" customHeight="1" spans="1:34" x14ac:dyDescent="0.25">
      <c r="A1126" s="3">
        <v>1136</v>
      </c>
      <c r="B1126" s="3" t="s">
        <v>276</v>
      </c>
      <c r="C1126" s="3" t="s">
        <v>829</v>
      </c>
      <c r="D1126" s="3" t="s">
        <v>33</v>
      </c>
      <c r="E1126" s="3">
        <v>112</v>
      </c>
      <c r="F1126" s="3" t="s">
        <v>34</v>
      </c>
      <c r="G1126" s="3" t="s">
        <v>277</v>
      </c>
      <c r="H1126" s="3">
        <v>26</v>
      </c>
      <c r="I1126" s="4">
        <v>112</v>
      </c>
      <c r="J1126" s="5">
        <v>210000</v>
      </c>
      <c r="K1126" s="6">
        <f>$E1126+1</f>
        <v>113</v>
      </c>
      <c r="L1126" s="7">
        <f>IF($J1126=0,0,ROUND(MAX($J1126*1.4,1620000*(1.497923^(MIN($E1126,123)-117)))*1,0))</f>
        <v>294000</v>
      </c>
      <c r="M1126" s="4">
        <f>$E1126+2</f>
        <v>114</v>
      </c>
      <c r="N1126" s="8">
        <f>IF($J1126=0,0,ROUND(MAX($J1126*1.4*1.5,2190000*(1.580994^(MIN($E1126,123)-117)))*1,0))</f>
        <v>441000</v>
      </c>
      <c r="O1126" s="6">
        <f>$E1126+4</f>
        <v>116</v>
      </c>
      <c r="P1126" s="7">
        <f>IF($J1126=0,0,ROUND(MAX($J1126*1.4*1.5*1.6,3500000*(1.57975^(MIN($E1126,123)-117)))*1,0))</f>
        <v>705600</v>
      </c>
      <c r="Q1126" s="4">
        <f>$E1126+6</f>
        <v>118</v>
      </c>
      <c r="R1126" s="8">
        <f>IF($J1126=0,0,ROUND(MAX($J1126*1.4*1.5*1.6*1.6,13100000*(1.429962^(MIN($E1126,123)-117)))*1,0))</f>
        <v>2191032</v>
      </c>
      <c r="S1126" s="6">
        <f>$E1126+8</f>
        <v>120</v>
      </c>
      <c r="T1126" s="7">
        <f>IF($J1126=0,0,ROUND(MAX($J1126*1.4*1.5*1.6*1.6*2.2,42600000*(1.576904^(MIN($E1126,123)-117)))*1,0))</f>
        <v>4369013</v>
      </c>
      <c r="U1126" s="4">
        <f>$E1126+11</f>
        <v>123</v>
      </c>
      <c r="V1126" s="8">
        <f>IF($J1126=0,0,ROUND(MAX($J1126*1.4*1.5*1.6*1.6*2.2*2.715,354000000*(1.642074^(MIN($E1126,123)-117)))*1,0))</f>
        <v>29651020</v>
      </c>
      <c r="W1126" s="6">
        <f>$E1126+15</f>
        <v>127</v>
      </c>
      <c r="X1126" s="7">
        <f>IF($J1126=0,0,ROUND(MAX($J1126*1.4*1.5*1.6*1.6*2.2*2.715*2.6,3540000000*(1.579646^(MIN($E1126,123)-117)))*1,0))</f>
        <v>359918692</v>
      </c>
      <c r="Y1126" s="4">
        <f>$E1126+17</f>
        <v>129</v>
      </c>
      <c r="Z1126" s="8">
        <f>IF($J1126=0,0,ROUND(MAX($J1126*1.4*1.5*1.6*1.6*2.2*2.715*2.6*1.4,6020000000*(1.651178^(MIN($E1126,123)-117)))*1,0))</f>
        <v>490486461</v>
      </c>
      <c r="AA1126" s="6">
        <f>$E1126+19</f>
        <v>131</v>
      </c>
      <c r="AB1126" s="7">
        <f>IF($J1126=0,0,ROUND(MAX($J1126*1.4*1.5*1.6*1.6*2.2*2.715*2.6*1.4*1.4,8430000000*(1.651435^(MIN($E1126,123)-117)))*1,0))</f>
        <v>686309723</v>
      </c>
      <c r="AC1126" s="4">
        <f>$E1126+21</f>
        <v>133</v>
      </c>
      <c r="AD1126" s="8">
        <f>IF($J1126=0,0,ROUND(MAX($J1126*1.4*1.5*1.6*1.6*2.2*2.715*2.6*1.4*1.4*1.5,12600000000*(1.652953^(MIN($E1126,123)-117)))*1,0))</f>
        <v>1021099398</v>
      </c>
      <c r="AE1126" s="6">
        <f>$E1126+24</f>
        <v>136</v>
      </c>
      <c r="AF1126" s="7">
        <f>IF($J1126=0,0,ROUND(MAX($J1126*1.4*1.5*1.6*1.6*2.2*2.715*2.6*1.4*1.4*1.5*1.5,18900000000*(1.65331^(MIN($E1126,123)-117)))*1,0))</f>
        <v>1529996162</v>
      </c>
      <c r="AG1126" s="4">
        <f>$E1126+27</f>
        <v>139</v>
      </c>
      <c r="AH1126" s="8">
        <f>IF($J1126=0,0,ROUND(MAX($J1126*1.4*1.5*1.6*1.6*2.2*2.715*2.6*1.4*1.4*1.5*1.5*3.2,60500000000*(1.654288^(MIN($E1126,123)-117)))*1,0))</f>
        <v>4883146766</v>
      </c>
    </row>
    <row r="1127" ht="27.75" customHeight="1" spans="1:34" x14ac:dyDescent="0.25">
      <c r="A1127" s="3">
        <v>1137</v>
      </c>
      <c r="B1127" s="3" t="s">
        <v>591</v>
      </c>
      <c r="C1127" s="3" t="s">
        <v>829</v>
      </c>
      <c r="D1127" s="3" t="s">
        <v>64</v>
      </c>
      <c r="E1127" s="3">
        <v>112</v>
      </c>
      <c r="F1127" s="3" t="s">
        <v>108</v>
      </c>
      <c r="G1127" s="3" t="s">
        <v>389</v>
      </c>
      <c r="H1127" s="3">
        <v>26</v>
      </c>
      <c r="I1127" s="4">
        <v>112</v>
      </c>
      <c r="J1127" s="5">
        <v>161000</v>
      </c>
      <c r="K1127" s="6">
        <f>$E1127+1</f>
        <v>113</v>
      </c>
      <c r="L1127" s="7">
        <f>IF($J1127=0,0,ROUND(MAX($J1127*1.4,1620000*(1.497923^(MIN($E1127,123)-117)))*1,0))</f>
        <v>225400</v>
      </c>
      <c r="M1127" s="4">
        <f>$E1127+2</f>
        <v>114</v>
      </c>
      <c r="N1127" s="8">
        <f>IF($J1127=0,0,ROUND(MAX($J1127*1.4*1.5,2190000*(1.580994^(MIN($E1127,123)-117)))*1,0))</f>
        <v>338100</v>
      </c>
      <c r="O1127" s="6">
        <f>$E1127+4</f>
        <v>116</v>
      </c>
      <c r="P1127" s="7">
        <f>IF($J1127=0,0,ROUND(MAX($J1127*1.4*1.5*1.6,3500000*(1.57975^(MIN($E1127,123)-117)))*1,0))</f>
        <v>540960</v>
      </c>
      <c r="Q1127" s="4">
        <f>$E1127+6</f>
        <v>118</v>
      </c>
      <c r="R1127" s="8">
        <f>IF($J1127=0,0,ROUND(MAX($J1127*1.4*1.5*1.6*1.6,13100000*(1.429962^(MIN($E1127,123)-117)))*1,0))</f>
        <v>2191032</v>
      </c>
      <c r="S1127" s="6">
        <f>$E1127+8</f>
        <v>120</v>
      </c>
      <c r="T1127" s="7">
        <f>IF($J1127=0,0,ROUND(MAX($J1127*1.4*1.5*1.6*1.6*2.2,42600000*(1.576904^(MIN($E1127,123)-117)))*1,0))</f>
        <v>4369013</v>
      </c>
      <c r="U1127" s="4">
        <f>$E1127+11</f>
        <v>123</v>
      </c>
      <c r="V1127" s="8">
        <f>IF($J1127=0,0,ROUND(MAX($J1127*1.4*1.5*1.6*1.6*2.2*2.715,354000000*(1.642074^(MIN($E1127,123)-117)))*1,0))</f>
        <v>29651020</v>
      </c>
      <c r="W1127" s="6">
        <f>$E1127+15</f>
        <v>127</v>
      </c>
      <c r="X1127" s="7">
        <f>IF($J1127=0,0,ROUND(MAX($J1127*1.4*1.5*1.6*1.6*2.2*2.715*2.6,3540000000*(1.579646^(MIN($E1127,123)-117)))*1,0))</f>
        <v>359918692</v>
      </c>
      <c r="Y1127" s="4">
        <f>$E1127+17</f>
        <v>129</v>
      </c>
      <c r="Z1127" s="8">
        <f>IF($J1127=0,0,ROUND(MAX($J1127*1.4*1.5*1.6*1.6*2.2*2.715*2.6*1.4,6020000000*(1.651178^(MIN($E1127,123)-117)))*1,0))</f>
        <v>490486461</v>
      </c>
      <c r="AA1127" s="6">
        <f>$E1127+19</f>
        <v>131</v>
      </c>
      <c r="AB1127" s="7">
        <f>IF($J1127=0,0,ROUND(MAX($J1127*1.4*1.5*1.6*1.6*2.2*2.715*2.6*1.4*1.4,8430000000*(1.651435^(MIN($E1127,123)-117)))*1,0))</f>
        <v>686309723</v>
      </c>
      <c r="AC1127" s="4">
        <f>$E1127+21</f>
        <v>133</v>
      </c>
      <c r="AD1127" s="8">
        <f>IF($J1127=0,0,ROUND(MAX($J1127*1.4*1.5*1.6*1.6*2.2*2.715*2.6*1.4*1.4*1.5,12600000000*(1.652953^(MIN($E1127,123)-117)))*1,0))</f>
        <v>1021099398</v>
      </c>
      <c r="AE1127" s="6">
        <f>$E1127+24</f>
        <v>136</v>
      </c>
      <c r="AF1127" s="7">
        <f>IF($J1127=0,0,ROUND(MAX($J1127*1.4*1.5*1.6*1.6*2.2*2.715*2.6*1.4*1.4*1.5*1.5,18900000000*(1.65331^(MIN($E1127,123)-117)))*1,0))</f>
        <v>1529996162</v>
      </c>
      <c r="AG1127" s="4">
        <f>$E1127+27</f>
        <v>139</v>
      </c>
      <c r="AH1127" s="8">
        <f>IF($J1127=0,0,ROUND(MAX($J1127*1.4*1.5*1.6*1.6*2.2*2.715*2.6*1.4*1.4*1.5*1.5*3.2,60500000000*(1.654288^(MIN($E1127,123)-117)))*1,0))</f>
        <v>4883146766</v>
      </c>
    </row>
    <row r="1128" ht="27.75" customHeight="1" spans="1:34" x14ac:dyDescent="0.25">
      <c r="A1128" s="3">
        <v>1138</v>
      </c>
      <c r="B1128" s="3" t="s">
        <v>739</v>
      </c>
      <c r="C1128" s="3" t="s">
        <v>829</v>
      </c>
      <c r="D1128" s="3" t="s">
        <v>75</v>
      </c>
      <c r="E1128" s="3">
        <v>112</v>
      </c>
      <c r="F1128" s="3" t="s">
        <v>59</v>
      </c>
      <c r="G1128" s="3" t="s">
        <v>35</v>
      </c>
      <c r="H1128" s="3">
        <v>26</v>
      </c>
      <c r="I1128" s="4">
        <v>112</v>
      </c>
      <c r="J1128" s="5">
        <v>341000</v>
      </c>
      <c r="K1128" s="6">
        <f>$E1128+1</f>
        <v>113</v>
      </c>
      <c r="L1128" s="7">
        <f>IF($J1128=0,0,ROUND(MAX($J1128*1.4,1620000*(1.497923^(MIN($E1128,123)-117)))*1,0))</f>
        <v>477400</v>
      </c>
      <c r="M1128" s="4">
        <f>$E1128+2</f>
        <v>114</v>
      </c>
      <c r="N1128" s="8">
        <f>IF($J1128=0,0,ROUND(MAX($J1128*1.4*1.5,2190000*(1.580994^(MIN($E1128,123)-117)))*1,0))</f>
        <v>716100</v>
      </c>
      <c r="O1128" s="6">
        <f>$E1128+4</f>
        <v>116</v>
      </c>
      <c r="P1128" s="7">
        <f>IF($J1128=0,0,ROUND(MAX($J1128*1.4*1.5*1.6,3500000*(1.57975^(MIN($E1128,123)-117)))*1,0))</f>
        <v>1145760</v>
      </c>
      <c r="Q1128" s="4">
        <f>$E1128+6</f>
        <v>118</v>
      </c>
      <c r="R1128" s="8">
        <f>IF($J1128=0,0,ROUND(MAX($J1128*1.4*1.5*1.6*1.6,13100000*(1.429962^(MIN($E1128,123)-117)))*1,0))</f>
        <v>2191032</v>
      </c>
      <c r="S1128" s="6">
        <f>$E1128+8</f>
        <v>120</v>
      </c>
      <c r="T1128" s="7">
        <f>IF($J1128=0,0,ROUND(MAX($J1128*1.4*1.5*1.6*1.6*2.2,42600000*(1.576904^(MIN($E1128,123)-117)))*1,0))</f>
        <v>4369013</v>
      </c>
      <c r="U1128" s="4">
        <f>$E1128+11</f>
        <v>123</v>
      </c>
      <c r="V1128" s="8">
        <f>IF($J1128=0,0,ROUND(MAX($J1128*1.4*1.5*1.6*1.6*2.2*2.715,354000000*(1.642074^(MIN($E1128,123)-117)))*1,0))</f>
        <v>29651020</v>
      </c>
      <c r="W1128" s="6">
        <f>$E1128+15</f>
        <v>127</v>
      </c>
      <c r="X1128" s="7">
        <f>IF($J1128=0,0,ROUND(MAX($J1128*1.4*1.5*1.6*1.6*2.2*2.715*2.6,3540000000*(1.579646^(MIN($E1128,123)-117)))*1,0))</f>
        <v>359918692</v>
      </c>
      <c r="Y1128" s="4">
        <f>$E1128+17</f>
        <v>129</v>
      </c>
      <c r="Z1128" s="8">
        <f>IF($J1128=0,0,ROUND(MAX($J1128*1.4*1.5*1.6*1.6*2.2*2.715*2.6*1.4,6020000000*(1.651178^(MIN($E1128,123)-117)))*1,0))</f>
        <v>490486461</v>
      </c>
      <c r="AA1128" s="6">
        <f>$E1128+19</f>
        <v>131</v>
      </c>
      <c r="AB1128" s="7">
        <f>IF($J1128=0,0,ROUND(MAX($J1128*1.4*1.5*1.6*1.6*2.2*2.715*2.6*1.4*1.4,8430000000*(1.651435^(MIN($E1128,123)-117)))*1,0))</f>
        <v>686309723</v>
      </c>
      <c r="AC1128" s="4">
        <f>$E1128+21</f>
        <v>133</v>
      </c>
      <c r="AD1128" s="8">
        <f>IF($J1128=0,0,ROUND(MAX($J1128*1.4*1.5*1.6*1.6*2.2*2.715*2.6*1.4*1.4*1.5,12600000000*(1.652953^(MIN($E1128,123)-117)))*1,0))</f>
        <v>1021099398</v>
      </c>
      <c r="AE1128" s="6">
        <f>$E1128+24</f>
        <v>136</v>
      </c>
      <c r="AF1128" s="7">
        <f>IF($J1128=0,0,ROUND(MAX($J1128*1.4*1.5*1.6*1.6*2.2*2.715*2.6*1.4*1.4*1.5*1.5,18900000000*(1.65331^(MIN($E1128,123)-117)))*1,0))</f>
        <v>1529996162</v>
      </c>
      <c r="AG1128" s="4">
        <f>$E1128+27</f>
        <v>139</v>
      </c>
      <c r="AH1128" s="8">
        <f>IF($J1128=0,0,ROUND(MAX($J1128*1.4*1.5*1.6*1.6*2.2*2.715*2.6*1.4*1.4*1.5*1.5*3.2,60500000000*(1.654288^(MIN($E1128,123)-117)))*1,0))</f>
        <v>4883146766</v>
      </c>
    </row>
    <row r="1129" ht="27.75" customHeight="1" spans="1:34" x14ac:dyDescent="0.25">
      <c r="A1129" s="3">
        <v>1139</v>
      </c>
      <c r="B1129" s="3" t="s">
        <v>841</v>
      </c>
      <c r="C1129" s="3" t="s">
        <v>829</v>
      </c>
      <c r="D1129" s="3" t="s">
        <v>33</v>
      </c>
      <c r="E1129" s="3">
        <v>112</v>
      </c>
      <c r="F1129" s="3" t="s">
        <v>42</v>
      </c>
      <c r="G1129" s="3" t="s">
        <v>402</v>
      </c>
      <c r="H1129" s="3">
        <v>26</v>
      </c>
      <c r="I1129" s="4">
        <v>112</v>
      </c>
      <c r="J1129" s="5">
        <v>97400</v>
      </c>
      <c r="K1129" s="6">
        <f>$E1129+1</f>
        <v>113</v>
      </c>
      <c r="L1129" s="7">
        <f>IF($J1129=0,0,ROUND(MAX($J1129*1.4,1620000*(1.497923^(MIN($E1129,123)-117)))*1,0))</f>
        <v>214816</v>
      </c>
      <c r="M1129" s="4">
        <f>$E1129+2</f>
        <v>114</v>
      </c>
      <c r="N1129" s="8">
        <f>IF($J1129=0,0,ROUND(MAX($J1129*1.4*1.5,2190000*(1.580994^(MIN($E1129,123)-117)))*1,0))</f>
        <v>221714</v>
      </c>
      <c r="O1129" s="6">
        <f>$E1129+4</f>
        <v>116</v>
      </c>
      <c r="P1129" s="7">
        <f>IF($J1129=0,0,ROUND(MAX($J1129*1.4*1.5*1.6,3500000*(1.57975^(MIN($E1129,123)-117)))*1,0))</f>
        <v>355735</v>
      </c>
      <c r="Q1129" s="4">
        <f>$E1129+6</f>
        <v>118</v>
      </c>
      <c r="R1129" s="8">
        <f>IF($J1129=0,0,ROUND(MAX($J1129*1.4*1.5*1.6*1.6,13100000*(1.429962^(MIN($E1129,123)-117)))*1,0))</f>
        <v>2191032</v>
      </c>
      <c r="S1129" s="6">
        <f>$E1129+8</f>
        <v>120</v>
      </c>
      <c r="T1129" s="7">
        <f>IF($J1129=0,0,ROUND(MAX($J1129*1.4*1.5*1.6*1.6*2.2,42600000*(1.576904^(MIN($E1129,123)-117)))*1,0))</f>
        <v>4369013</v>
      </c>
      <c r="U1129" s="4">
        <f>$E1129+11</f>
        <v>123</v>
      </c>
      <c r="V1129" s="8">
        <f>IF($J1129=0,0,ROUND(MAX($J1129*1.4*1.5*1.6*1.6*2.2*2.715,354000000*(1.642074^(MIN($E1129,123)-117)))*1,0))</f>
        <v>29651020</v>
      </c>
      <c r="W1129" s="6">
        <f>$E1129+15</f>
        <v>127</v>
      </c>
      <c r="X1129" s="7">
        <f>IF($J1129=0,0,ROUND(MAX($J1129*1.4*1.5*1.6*1.6*2.2*2.715*2.6,3540000000*(1.579646^(MIN($E1129,123)-117)))*1,0))</f>
        <v>359918692</v>
      </c>
      <c r="Y1129" s="4">
        <f>$E1129+17</f>
        <v>129</v>
      </c>
      <c r="Z1129" s="8">
        <f>IF($J1129=0,0,ROUND(MAX($J1129*1.4*1.5*1.6*1.6*2.2*2.715*2.6*1.4,6020000000*(1.651178^(MIN($E1129,123)-117)))*1,0))</f>
        <v>490486461</v>
      </c>
      <c r="AA1129" s="6">
        <f>$E1129+19</f>
        <v>131</v>
      </c>
      <c r="AB1129" s="7">
        <f>IF($J1129=0,0,ROUND(MAX($J1129*1.4*1.5*1.6*1.6*2.2*2.715*2.6*1.4*1.4,8430000000*(1.651435^(MIN($E1129,123)-117)))*1,0))</f>
        <v>686309723</v>
      </c>
      <c r="AC1129" s="4">
        <f>$E1129+21</f>
        <v>133</v>
      </c>
      <c r="AD1129" s="8">
        <f>IF($J1129=0,0,ROUND(MAX($J1129*1.4*1.5*1.6*1.6*2.2*2.715*2.6*1.4*1.4*1.5,12600000000*(1.652953^(MIN($E1129,123)-117)))*1,0))</f>
        <v>1021099398</v>
      </c>
      <c r="AE1129" s="6">
        <f>$E1129+24</f>
        <v>136</v>
      </c>
      <c r="AF1129" s="7">
        <f>IF($J1129=0,0,ROUND(MAX($J1129*1.4*1.5*1.6*1.6*2.2*2.715*2.6*1.4*1.4*1.5*1.5,18900000000*(1.65331^(MIN($E1129,123)-117)))*1,0))</f>
        <v>1529996162</v>
      </c>
      <c r="AG1129" s="4">
        <f>$E1129+27</f>
        <v>139</v>
      </c>
      <c r="AH1129" s="8">
        <f>IF($J1129=0,0,ROUND(MAX($J1129*1.4*1.5*1.6*1.6*2.2*2.715*2.6*1.4*1.4*1.5*1.5*3.2,60500000000*(1.654288^(MIN($E1129,123)-117)))*1,0))</f>
        <v>4883146766</v>
      </c>
    </row>
    <row r="1130" ht="27.75" customHeight="1" spans="1:34" x14ac:dyDescent="0.25">
      <c r="A1130" s="3">
        <v>1140</v>
      </c>
      <c r="B1130" s="3" t="s">
        <v>182</v>
      </c>
      <c r="C1130" s="3" t="s">
        <v>829</v>
      </c>
      <c r="D1130" s="3" t="s">
        <v>102</v>
      </c>
      <c r="E1130" s="3">
        <v>112</v>
      </c>
      <c r="F1130" s="3" t="s">
        <v>183</v>
      </c>
      <c r="G1130" s="3" t="s">
        <v>830</v>
      </c>
      <c r="H1130" s="3">
        <v>26</v>
      </c>
      <c r="I1130" s="4">
        <v>112</v>
      </c>
      <c r="J1130" s="5">
        <v>143000</v>
      </c>
      <c r="K1130" s="6">
        <f>$E1130+1</f>
        <v>113</v>
      </c>
      <c r="L1130" s="7">
        <f>IF($J1130=0,0,ROUND(MAX($J1130*1.4,1620000*(1.497923^(MIN($E1130,123)-117)))*1,0))</f>
        <v>214816</v>
      </c>
      <c r="M1130" s="4">
        <f>$E1130+2</f>
        <v>114</v>
      </c>
      <c r="N1130" s="8">
        <f>IF($J1130=0,0,ROUND(MAX($J1130*1.4*1.5,2190000*(1.580994^(MIN($E1130,123)-117)))*1,0))</f>
        <v>300300</v>
      </c>
      <c r="O1130" s="6">
        <f>$E1130+4</f>
        <v>116</v>
      </c>
      <c r="P1130" s="7">
        <f>IF($J1130=0,0,ROUND(MAX($J1130*1.4*1.5*1.6,3500000*(1.57975^(MIN($E1130,123)-117)))*1,0))</f>
        <v>480480</v>
      </c>
      <c r="Q1130" s="4">
        <f>$E1130+6</f>
        <v>118</v>
      </c>
      <c r="R1130" s="8">
        <f>IF($J1130=0,0,ROUND(MAX($J1130*1.4*1.5*1.6*1.6,13100000*(1.429962^(MIN($E1130,123)-117)))*1,0))</f>
        <v>2191032</v>
      </c>
      <c r="S1130" s="6">
        <f>$E1130+8</f>
        <v>120</v>
      </c>
      <c r="T1130" s="7">
        <f>IF($J1130=0,0,ROUND(MAX($J1130*1.4*1.5*1.6*1.6*2.2,42600000*(1.576904^(MIN($E1130,123)-117)))*1,0))</f>
        <v>4369013</v>
      </c>
      <c r="U1130" s="4">
        <f>$E1130+11</f>
        <v>123</v>
      </c>
      <c r="V1130" s="8">
        <f>IF($J1130=0,0,ROUND(MAX($J1130*1.4*1.5*1.6*1.6*2.2*2.715,354000000*(1.642074^(MIN($E1130,123)-117)))*1,0))</f>
        <v>29651020</v>
      </c>
      <c r="W1130" s="6">
        <f>$E1130+15</f>
        <v>127</v>
      </c>
      <c r="X1130" s="7">
        <f>IF($J1130=0,0,ROUND(MAX($J1130*1.4*1.5*1.6*1.6*2.2*2.715*2.6,3540000000*(1.579646^(MIN($E1130,123)-117)))*1,0))</f>
        <v>359918692</v>
      </c>
      <c r="Y1130" s="4">
        <f>$E1130+17</f>
        <v>129</v>
      </c>
      <c r="Z1130" s="8">
        <f>IF($J1130=0,0,ROUND(MAX($J1130*1.4*1.5*1.6*1.6*2.2*2.715*2.6*1.4,6020000000*(1.651178^(MIN($E1130,123)-117)))*1,0))</f>
        <v>490486461</v>
      </c>
      <c r="AA1130" s="6">
        <f>$E1130+19</f>
        <v>131</v>
      </c>
      <c r="AB1130" s="7">
        <f>IF($J1130=0,0,ROUND(MAX($J1130*1.4*1.5*1.6*1.6*2.2*2.715*2.6*1.4*1.4,8430000000*(1.651435^(MIN($E1130,123)-117)))*1,0))</f>
        <v>686309723</v>
      </c>
      <c r="AC1130" s="4">
        <f>$E1130+21</f>
        <v>133</v>
      </c>
      <c r="AD1130" s="8">
        <f>IF($J1130=0,0,ROUND(MAX($J1130*1.4*1.5*1.6*1.6*2.2*2.715*2.6*1.4*1.4*1.5,12600000000*(1.652953^(MIN($E1130,123)-117)))*1,0))</f>
        <v>1021099398</v>
      </c>
      <c r="AE1130" s="6">
        <f>$E1130+24</f>
        <v>136</v>
      </c>
      <c r="AF1130" s="7">
        <f>IF($J1130=0,0,ROUND(MAX($J1130*1.4*1.5*1.6*1.6*2.2*2.715*2.6*1.4*1.4*1.5*1.5,18900000000*(1.65331^(MIN($E1130,123)-117)))*1,0))</f>
        <v>1529996162</v>
      </c>
      <c r="AG1130" s="4">
        <f>$E1130+27</f>
        <v>139</v>
      </c>
      <c r="AH1130" s="8">
        <f>IF($J1130=0,0,ROUND(MAX($J1130*1.4*1.5*1.6*1.6*2.2*2.715*2.6*1.4*1.4*1.5*1.5*3.2,60500000000*(1.654288^(MIN($E1130,123)-117)))*1,0))</f>
        <v>4883146766</v>
      </c>
    </row>
    <row r="1131" ht="27.75" customHeight="1" spans="1:34" x14ac:dyDescent="0.25">
      <c r="A1131" s="3">
        <v>1141</v>
      </c>
      <c r="B1131" s="3" t="s">
        <v>188</v>
      </c>
      <c r="C1131" s="3" t="s">
        <v>829</v>
      </c>
      <c r="D1131" s="3" t="s">
        <v>47</v>
      </c>
      <c r="E1131" s="3">
        <v>112</v>
      </c>
      <c r="F1131" s="3" t="s">
        <v>42</v>
      </c>
      <c r="G1131" s="3" t="s">
        <v>830</v>
      </c>
      <c r="H1131" s="3">
        <v>24</v>
      </c>
      <c r="I1131" s="4">
        <v>112</v>
      </c>
      <c r="J1131" s="5">
        <v>130000</v>
      </c>
      <c r="K1131" s="6">
        <f>$E1131+1</f>
        <v>113</v>
      </c>
      <c r="L1131" s="7">
        <f>IF($J1131=0,0,ROUND(MAX($J1131*1.4,1620000*(1.497923^(MIN($E1131,123)-117)))*1,0))</f>
        <v>214816</v>
      </c>
      <c r="M1131" s="4">
        <f>$E1131+2</f>
        <v>114</v>
      </c>
      <c r="N1131" s="8">
        <f>IF($J1131=0,0,ROUND(MAX($J1131*1.4*1.5,2190000*(1.580994^(MIN($E1131,123)-117)))*1,0))</f>
        <v>273000</v>
      </c>
      <c r="O1131" s="6">
        <f>$E1131+4</f>
        <v>116</v>
      </c>
      <c r="P1131" s="7">
        <f>IF($J1131=0,0,ROUND(MAX($J1131*1.4*1.5*1.6,3500000*(1.57975^(MIN($E1131,123)-117)))*1,0))</f>
        <v>436800</v>
      </c>
      <c r="Q1131" s="4">
        <f>$E1131+6</f>
        <v>118</v>
      </c>
      <c r="R1131" s="8">
        <f>IF($J1131=0,0,ROUND(MAX($J1131*1.4*1.5*1.6*1.6,13100000*(1.429962^(MIN($E1131,123)-117)))*1,0))</f>
        <v>2191032</v>
      </c>
      <c r="S1131" s="6">
        <f>$E1131+8</f>
        <v>120</v>
      </c>
      <c r="T1131" s="7">
        <f>IF($J1131=0,0,ROUND(MAX($J1131*1.4*1.5*1.6*1.6*2.2,42600000*(1.576904^(MIN($E1131,123)-117)))*1,0))</f>
        <v>4369013</v>
      </c>
      <c r="U1131" s="4">
        <f>$E1131+11</f>
        <v>123</v>
      </c>
      <c r="V1131" s="8">
        <f>IF($J1131=0,0,ROUND(MAX($J1131*1.4*1.5*1.6*1.6*2.2*2.715,354000000*(1.642074^(MIN($E1131,123)-117)))*1,0))</f>
        <v>29651020</v>
      </c>
      <c r="W1131" s="6">
        <f>$E1131+15</f>
        <v>127</v>
      </c>
      <c r="X1131" s="7">
        <f>IF($J1131=0,0,ROUND(MAX($J1131*1.4*1.5*1.6*1.6*2.2*2.715*2.6,3540000000*(1.579646^(MIN($E1131,123)-117)))*1,0))</f>
        <v>359918692</v>
      </c>
      <c r="Y1131" s="4">
        <f>$E1131+17</f>
        <v>129</v>
      </c>
      <c r="Z1131" s="8">
        <f>IF($J1131=0,0,ROUND(MAX($J1131*1.4*1.5*1.6*1.6*2.2*2.715*2.6*1.4,6020000000*(1.651178^(MIN($E1131,123)-117)))*1,0))</f>
        <v>490486461</v>
      </c>
      <c r="AA1131" s="6">
        <f>$E1131+19</f>
        <v>131</v>
      </c>
      <c r="AB1131" s="7">
        <f>IF($J1131=0,0,ROUND(MAX($J1131*1.4*1.5*1.6*1.6*2.2*2.715*2.6*1.4*1.4,8430000000*(1.651435^(MIN($E1131,123)-117)))*1,0))</f>
        <v>686309723</v>
      </c>
      <c r="AC1131" s="4">
        <f>$E1131+21</f>
        <v>133</v>
      </c>
      <c r="AD1131" s="8">
        <f>IF($J1131=0,0,ROUND(MAX($J1131*1.4*1.5*1.6*1.6*2.2*2.715*2.6*1.4*1.4*1.5,12600000000*(1.652953^(MIN($E1131,123)-117)))*1,0))</f>
        <v>1021099398</v>
      </c>
      <c r="AE1131" s="6">
        <f>$E1131+24</f>
        <v>136</v>
      </c>
      <c r="AF1131" s="7">
        <f>IF($J1131=0,0,ROUND(MAX($J1131*1.4*1.5*1.6*1.6*2.2*2.715*2.6*1.4*1.4*1.5*1.5,18900000000*(1.65331^(MIN($E1131,123)-117)))*1,0))</f>
        <v>1529996162</v>
      </c>
      <c r="AG1131" s="4">
        <f>$E1131+27</f>
        <v>139</v>
      </c>
      <c r="AH1131" s="8">
        <f>IF($J1131=0,0,ROUND(MAX($J1131*1.4*1.5*1.6*1.6*2.2*2.715*2.6*1.4*1.4*1.5*1.5*3.2,60500000000*(1.654288^(MIN($E1131,123)-117)))*1,0))</f>
        <v>4883146766</v>
      </c>
    </row>
    <row r="1132" ht="27.75" customHeight="1" spans="1:34" x14ac:dyDescent="0.25">
      <c r="A1132" s="3">
        <v>1142</v>
      </c>
      <c r="B1132" s="3" t="s">
        <v>180</v>
      </c>
      <c r="C1132" s="3" t="s">
        <v>829</v>
      </c>
      <c r="D1132" s="3" t="s">
        <v>47</v>
      </c>
      <c r="E1132" s="3">
        <v>112</v>
      </c>
      <c r="F1132" s="3" t="s">
        <v>144</v>
      </c>
      <c r="G1132" s="3" t="s">
        <v>830</v>
      </c>
      <c r="H1132" s="3">
        <v>24</v>
      </c>
      <c r="I1132" s="4">
        <v>112</v>
      </c>
      <c r="J1132" s="5">
        <v>179000</v>
      </c>
      <c r="K1132" s="6">
        <f>$E1132+1</f>
        <v>113</v>
      </c>
      <c r="L1132" s="7">
        <f>IF($J1132=0,0,ROUND(MAX($J1132*1.4,1620000*(1.497923^(MIN($E1132,123)-117)))*1,0))</f>
        <v>250600</v>
      </c>
      <c r="M1132" s="4">
        <f>$E1132+2</f>
        <v>114</v>
      </c>
      <c r="N1132" s="8">
        <f>IF($J1132=0,0,ROUND(MAX($J1132*1.4*1.5,2190000*(1.580994^(MIN($E1132,123)-117)))*1,0))</f>
        <v>375900</v>
      </c>
      <c r="O1132" s="6">
        <f>$E1132+4</f>
        <v>116</v>
      </c>
      <c r="P1132" s="7">
        <f>IF($J1132=0,0,ROUND(MAX($J1132*1.4*1.5*1.6,3500000*(1.57975^(MIN($E1132,123)-117)))*1,0))</f>
        <v>601440</v>
      </c>
      <c r="Q1132" s="4">
        <f>$E1132+6</f>
        <v>118</v>
      </c>
      <c r="R1132" s="8">
        <f>IF($J1132=0,0,ROUND(MAX($J1132*1.4*1.5*1.6*1.6,13100000*(1.429962^(MIN($E1132,123)-117)))*1,0))</f>
        <v>2191032</v>
      </c>
      <c r="S1132" s="6">
        <f>$E1132+8</f>
        <v>120</v>
      </c>
      <c r="T1132" s="7">
        <f>IF($J1132=0,0,ROUND(MAX($J1132*1.4*1.5*1.6*1.6*2.2,42600000*(1.576904^(MIN($E1132,123)-117)))*1,0))</f>
        <v>4369013</v>
      </c>
      <c r="U1132" s="4">
        <f>$E1132+11</f>
        <v>123</v>
      </c>
      <c r="V1132" s="8">
        <f>IF($J1132=0,0,ROUND(MAX($J1132*1.4*1.5*1.6*1.6*2.2*2.715,354000000*(1.642074^(MIN($E1132,123)-117)))*1,0))</f>
        <v>29651020</v>
      </c>
      <c r="W1132" s="6">
        <f>$E1132+15</f>
        <v>127</v>
      </c>
      <c r="X1132" s="7">
        <f>IF($J1132=0,0,ROUND(MAX($J1132*1.4*1.5*1.6*1.6*2.2*2.715*2.6,3540000000*(1.579646^(MIN($E1132,123)-117)))*1,0))</f>
        <v>359918692</v>
      </c>
      <c r="Y1132" s="4">
        <f>$E1132+17</f>
        <v>129</v>
      </c>
      <c r="Z1132" s="8">
        <f>IF($J1132=0,0,ROUND(MAX($J1132*1.4*1.5*1.6*1.6*2.2*2.715*2.6*1.4,6020000000*(1.651178^(MIN($E1132,123)-117)))*1,0))</f>
        <v>490486461</v>
      </c>
      <c r="AA1132" s="6">
        <f>$E1132+19</f>
        <v>131</v>
      </c>
      <c r="AB1132" s="7">
        <f>IF($J1132=0,0,ROUND(MAX($J1132*1.4*1.5*1.6*1.6*2.2*2.715*2.6*1.4*1.4,8430000000*(1.651435^(MIN($E1132,123)-117)))*1,0))</f>
        <v>686309723</v>
      </c>
      <c r="AC1132" s="4">
        <f>$E1132+21</f>
        <v>133</v>
      </c>
      <c r="AD1132" s="8">
        <f>IF($J1132=0,0,ROUND(MAX($J1132*1.4*1.5*1.6*1.6*2.2*2.715*2.6*1.4*1.4*1.5,12600000000*(1.652953^(MIN($E1132,123)-117)))*1,0))</f>
        <v>1021099398</v>
      </c>
      <c r="AE1132" s="6">
        <f>$E1132+24</f>
        <v>136</v>
      </c>
      <c r="AF1132" s="7">
        <f>IF($J1132=0,0,ROUND(MAX($J1132*1.4*1.5*1.6*1.6*2.2*2.715*2.6*1.4*1.4*1.5*1.5,18900000000*(1.65331^(MIN($E1132,123)-117)))*1,0))</f>
        <v>1529996162</v>
      </c>
      <c r="AG1132" s="4">
        <f>$E1132+27</f>
        <v>139</v>
      </c>
      <c r="AH1132" s="8">
        <f>IF($J1132=0,0,ROUND(MAX($J1132*1.4*1.5*1.6*1.6*2.2*2.715*2.6*1.4*1.4*1.5*1.5*3.2,60500000000*(1.654288^(MIN($E1132,123)-117)))*1,0))</f>
        <v>4883146766</v>
      </c>
    </row>
    <row r="1133" ht="27.75" customHeight="1" spans="1:34" x14ac:dyDescent="0.25">
      <c r="A1133" s="3">
        <v>1143</v>
      </c>
      <c r="B1133" s="3" t="s">
        <v>44</v>
      </c>
      <c r="C1133" s="3" t="s">
        <v>829</v>
      </c>
      <c r="D1133" s="3" t="s">
        <v>33</v>
      </c>
      <c r="E1133" s="3">
        <v>111</v>
      </c>
      <c r="F1133" s="3" t="s">
        <v>34</v>
      </c>
      <c r="G1133" s="3" t="s">
        <v>830</v>
      </c>
      <c r="H1133" s="3">
        <v>27</v>
      </c>
      <c r="I1133" s="4">
        <v>111</v>
      </c>
      <c r="J1133" s="5">
        <v>129000</v>
      </c>
      <c r="K1133" s="6">
        <f>$E1133+1</f>
        <v>112</v>
      </c>
      <c r="L1133" s="7">
        <f>IF($J1133=0,0,ROUND(MAX($J1133*1.4,1620000*(1.497923^(MIN($E1133,123)-117)))*1,0))</f>
        <v>180600</v>
      </c>
      <c r="M1133" s="4">
        <f>$E1133+2</f>
        <v>113</v>
      </c>
      <c r="N1133" s="8">
        <f>IF($J1133=0,0,ROUND(MAX($J1133*1.4*1.5,2190000*(1.580994^(MIN($E1133,123)-117)))*1,0))</f>
        <v>270900</v>
      </c>
      <c r="O1133" s="6">
        <f>$E1133+4</f>
        <v>115</v>
      </c>
      <c r="P1133" s="7">
        <f>IF($J1133=0,0,ROUND(MAX($J1133*1.4*1.5*1.6,3500000*(1.57975^(MIN($E1133,123)-117)))*1,0))</f>
        <v>433440</v>
      </c>
      <c r="Q1133" s="4">
        <f>$E1133+6</f>
        <v>117</v>
      </c>
      <c r="R1133" s="8">
        <f>IF($J1133=0,0,ROUND(MAX($J1133*1.4*1.5*1.6*1.6,13100000*(1.429962^(MIN($E1133,123)-117)))*1,0))</f>
        <v>1532231</v>
      </c>
      <c r="S1133" s="6">
        <f>$E1133+8</f>
        <v>119</v>
      </c>
      <c r="T1133" s="7">
        <f>IF($J1133=0,0,ROUND(MAX($J1133*1.4*1.5*1.6*1.6*2.2,42600000*(1.576904^(MIN($E1133,123)-117)))*1,0))</f>
        <v>2770627</v>
      </c>
      <c r="U1133" s="4">
        <f>$E1133+11</f>
        <v>122</v>
      </c>
      <c r="V1133" s="8">
        <f>IF($J1133=0,0,ROUND(MAX($J1133*1.4*1.5*1.6*1.6*2.2*2.715,354000000*(1.642074^(MIN($E1133,123)-117)))*1,0))</f>
        <v>18057055</v>
      </c>
      <c r="W1133" s="6">
        <f>$E1133+15</f>
        <v>126</v>
      </c>
      <c r="X1133" s="7">
        <f>IF($J1133=0,0,ROUND(MAX($J1133*1.4*1.5*1.6*1.6*2.2*2.715*2.6,3540000000*(1.579646^(MIN($E1133,123)-117)))*1,0))</f>
        <v>227847690</v>
      </c>
      <c r="Y1133" s="4">
        <f>$E1133+17</f>
        <v>128</v>
      </c>
      <c r="Z1133" s="8">
        <f>IF($J1133=0,0,ROUND(MAX($J1133*1.4*1.5*1.6*1.6*2.2*2.715*2.6*1.4,6020000000*(1.651178^(MIN($E1133,123)-117)))*1,0))</f>
        <v>297052444</v>
      </c>
      <c r="AA1133" s="6">
        <f>$E1133+19</f>
        <v>130</v>
      </c>
      <c r="AB1133" s="7">
        <f>IF($J1133=0,0,ROUND(MAX($J1133*1.4*1.5*1.6*1.6*2.2*2.715*2.6*1.4*1.4,8430000000*(1.651435^(MIN($E1133,123)-117)))*1,0))</f>
        <v>415583854</v>
      </c>
      <c r="AC1133" s="4">
        <f>$E1133+21</f>
        <v>132</v>
      </c>
      <c r="AD1133" s="8">
        <f>IF($J1133=0,0,ROUND(MAX($J1133*1.4*1.5*1.6*1.6*2.2*2.715*2.6*1.4*1.4*1.5,12600000000*(1.652953^(MIN($E1133,123)-117)))*1,0))</f>
        <v>617742548</v>
      </c>
      <c r="AE1133" s="6">
        <f>$E1133+24</f>
        <v>135</v>
      </c>
      <c r="AF1133" s="7">
        <f>IF($J1133=0,0,ROUND(MAX($J1133*1.4*1.5*1.6*1.6*2.2*2.715*2.6*1.4*1.4*1.5*1.5,18900000000*(1.65331^(MIN($E1133,123)-117)))*1,0))</f>
        <v>925413965</v>
      </c>
      <c r="AG1133" s="4">
        <f>$E1133+27</f>
        <v>138</v>
      </c>
      <c r="AH1133" s="8">
        <f>IF($J1133=0,0,ROUND(MAX($J1133*1.4*1.5*1.6*1.6*2.2*2.715*2.6*1.4*1.4*1.5*1.5*3.2,60500000000*(1.654288^(MIN($E1133,123)-117)))*1,0))</f>
        <v>2951811756</v>
      </c>
    </row>
    <row r="1134" ht="27.75" customHeight="1" spans="1:34" x14ac:dyDescent="0.25">
      <c r="A1134" s="3">
        <v>1144</v>
      </c>
      <c r="B1134" s="3" t="s">
        <v>139</v>
      </c>
      <c r="C1134" s="3" t="s">
        <v>829</v>
      </c>
      <c r="D1134" s="3" t="s">
        <v>40</v>
      </c>
      <c r="E1134" s="3">
        <v>111</v>
      </c>
      <c r="F1134" s="3" t="s">
        <v>34</v>
      </c>
      <c r="G1134" s="3" t="s">
        <v>830</v>
      </c>
      <c r="H1134" s="3">
        <v>27</v>
      </c>
      <c r="I1134" s="4">
        <v>111</v>
      </c>
      <c r="J1134" s="5">
        <v>450000</v>
      </c>
      <c r="K1134" s="6">
        <f>$E1134+1</f>
        <v>112</v>
      </c>
      <c r="L1134" s="7">
        <f>IF($J1134=0,0,ROUND(MAX($J1134*1.4,1620000*(1.497923^(MIN($E1134,123)-117)))*1,0))</f>
        <v>630000</v>
      </c>
      <c r="M1134" s="4">
        <f>$E1134+2</f>
        <v>113</v>
      </c>
      <c r="N1134" s="8">
        <f>IF($J1134=0,0,ROUND(MAX($J1134*1.4*1.5,2190000*(1.580994^(MIN($E1134,123)-117)))*1,0))</f>
        <v>945000</v>
      </c>
      <c r="O1134" s="6">
        <f>$E1134+4</f>
        <v>115</v>
      </c>
      <c r="P1134" s="7">
        <f>IF($J1134=0,0,ROUND(MAX($J1134*1.4*1.5*1.6,3500000*(1.57975^(MIN($E1134,123)-117)))*1,0))</f>
        <v>1512000</v>
      </c>
      <c r="Q1134" s="4">
        <f>$E1134+6</f>
        <v>117</v>
      </c>
      <c r="R1134" s="8">
        <f>IF($J1134=0,0,ROUND(MAX($J1134*1.4*1.5*1.6*1.6,13100000*(1.429962^(MIN($E1134,123)-117)))*1,0))</f>
        <v>2419200</v>
      </c>
      <c r="S1134" s="6">
        <f>$E1134+8</f>
        <v>119</v>
      </c>
      <c r="T1134" s="7">
        <f>IF($J1134=0,0,ROUND(MAX($J1134*1.4*1.5*1.6*1.6*2.2,42600000*(1.576904^(MIN($E1134,123)-117)))*1,0))</f>
        <v>5322240</v>
      </c>
      <c r="U1134" s="4">
        <f>$E1134+11</f>
        <v>122</v>
      </c>
      <c r="V1134" s="8">
        <f>IF($J1134=0,0,ROUND(MAX($J1134*1.4*1.5*1.6*1.6*2.2*2.715,354000000*(1.642074^(MIN($E1134,123)-117)))*1,0))</f>
        <v>18057055</v>
      </c>
      <c r="W1134" s="6">
        <f>$E1134+15</f>
        <v>126</v>
      </c>
      <c r="X1134" s="7">
        <f>IF($J1134=0,0,ROUND(MAX($J1134*1.4*1.5*1.6*1.6*2.2*2.715*2.6,3540000000*(1.579646^(MIN($E1134,123)-117)))*1,0))</f>
        <v>227847690</v>
      </c>
      <c r="Y1134" s="4">
        <f>$E1134+17</f>
        <v>128</v>
      </c>
      <c r="Z1134" s="8">
        <f>IF($J1134=0,0,ROUND(MAX($J1134*1.4*1.5*1.6*1.6*2.2*2.715*2.6*1.4,6020000000*(1.651178^(MIN($E1134,123)-117)))*1,0))</f>
        <v>297052444</v>
      </c>
      <c r="AA1134" s="6">
        <f>$E1134+19</f>
        <v>130</v>
      </c>
      <c r="AB1134" s="7">
        <f>IF($J1134=0,0,ROUND(MAX($J1134*1.4*1.5*1.6*1.6*2.2*2.715*2.6*1.4*1.4,8430000000*(1.651435^(MIN($E1134,123)-117)))*1,0))</f>
        <v>415583854</v>
      </c>
      <c r="AC1134" s="4">
        <f>$E1134+21</f>
        <v>132</v>
      </c>
      <c r="AD1134" s="8">
        <f>IF($J1134=0,0,ROUND(MAX($J1134*1.4*1.5*1.6*1.6*2.2*2.715*2.6*1.4*1.4*1.5,12600000000*(1.652953^(MIN($E1134,123)-117)))*1,0))</f>
        <v>617742548</v>
      </c>
      <c r="AE1134" s="6">
        <f>$E1134+24</f>
        <v>135</v>
      </c>
      <c r="AF1134" s="7">
        <f>IF($J1134=0,0,ROUND(MAX($J1134*1.4*1.5*1.6*1.6*2.2*2.715*2.6*1.4*1.4*1.5*1.5,18900000000*(1.65331^(MIN($E1134,123)-117)))*1,0))</f>
        <v>925413965</v>
      </c>
      <c r="AG1134" s="4">
        <f>$E1134+27</f>
        <v>138</v>
      </c>
      <c r="AH1134" s="8">
        <f>IF($J1134=0,0,ROUND(MAX($J1134*1.4*1.5*1.6*1.6*2.2*2.715*2.6*1.4*1.4*1.5*1.5*3.2,60500000000*(1.654288^(MIN($E1134,123)-117)))*1,0))</f>
        <v>2951811756</v>
      </c>
    </row>
    <row r="1135" ht="27.75" customHeight="1" spans="1:34" x14ac:dyDescent="0.25">
      <c r="A1135" s="3">
        <v>1145</v>
      </c>
      <c r="B1135" s="3" t="s">
        <v>207</v>
      </c>
      <c r="C1135" s="3" t="s">
        <v>829</v>
      </c>
      <c r="D1135" s="3" t="s">
        <v>25</v>
      </c>
      <c r="E1135" s="3">
        <v>111</v>
      </c>
      <c r="F1135" s="3" t="s">
        <v>54</v>
      </c>
      <c r="G1135" s="3" t="s">
        <v>830</v>
      </c>
      <c r="H1135" s="3">
        <v>27</v>
      </c>
      <c r="I1135" s="4">
        <v>111</v>
      </c>
      <c r="J1135" s="5">
        <v>450000</v>
      </c>
      <c r="K1135" s="6">
        <f>$E1135+1</f>
        <v>112</v>
      </c>
      <c r="L1135" s="7">
        <f>IF($J1135=0,0,ROUND(MAX($J1135*1.4,1620000*(1.497923^(MIN($E1135,123)-117)))*1,0))</f>
        <v>630000</v>
      </c>
      <c r="M1135" s="4">
        <f>$E1135+2</f>
        <v>113</v>
      </c>
      <c r="N1135" s="8">
        <f>IF($J1135=0,0,ROUND(MAX($J1135*1.4*1.5,2190000*(1.580994^(MIN($E1135,123)-117)))*1,0))</f>
        <v>945000</v>
      </c>
      <c r="O1135" s="6">
        <f>$E1135+4</f>
        <v>115</v>
      </c>
      <c r="P1135" s="7">
        <f>IF($J1135=0,0,ROUND(MAX($J1135*1.4*1.5*1.6,3500000*(1.57975^(MIN($E1135,123)-117)))*1,0))</f>
        <v>1512000</v>
      </c>
      <c r="Q1135" s="4">
        <f>$E1135+6</f>
        <v>117</v>
      </c>
      <c r="R1135" s="8">
        <f>IF($J1135=0,0,ROUND(MAX($J1135*1.4*1.5*1.6*1.6,13100000*(1.429962^(MIN($E1135,123)-117)))*1,0))</f>
        <v>2419200</v>
      </c>
      <c r="S1135" s="6">
        <f>$E1135+8</f>
        <v>119</v>
      </c>
      <c r="T1135" s="7">
        <f>IF($J1135=0,0,ROUND(MAX($J1135*1.4*1.5*1.6*1.6*2.2,42600000*(1.576904^(MIN($E1135,123)-117)))*1,0))</f>
        <v>5322240</v>
      </c>
      <c r="U1135" s="4">
        <f>$E1135+11</f>
        <v>122</v>
      </c>
      <c r="V1135" s="8">
        <f>IF($J1135=0,0,ROUND(MAX($J1135*1.4*1.5*1.6*1.6*2.2*2.715,354000000*(1.642074^(MIN($E1135,123)-117)))*1,0))</f>
        <v>18057055</v>
      </c>
      <c r="W1135" s="6">
        <f>$E1135+15</f>
        <v>126</v>
      </c>
      <c r="X1135" s="7">
        <f>IF($J1135=0,0,ROUND(MAX($J1135*1.4*1.5*1.6*1.6*2.2*2.715*2.6,3540000000*(1.579646^(MIN($E1135,123)-117)))*1,0))</f>
        <v>227847690</v>
      </c>
      <c r="Y1135" s="4">
        <f>$E1135+17</f>
        <v>128</v>
      </c>
      <c r="Z1135" s="8">
        <f>IF($J1135=0,0,ROUND(MAX($J1135*1.4*1.5*1.6*1.6*2.2*2.715*2.6*1.4,6020000000*(1.651178^(MIN($E1135,123)-117)))*1,0))</f>
        <v>297052444</v>
      </c>
      <c r="AA1135" s="6">
        <f>$E1135+19</f>
        <v>130</v>
      </c>
      <c r="AB1135" s="7">
        <f>IF($J1135=0,0,ROUND(MAX($J1135*1.4*1.5*1.6*1.6*2.2*2.715*2.6*1.4*1.4,8430000000*(1.651435^(MIN($E1135,123)-117)))*1,0))</f>
        <v>415583854</v>
      </c>
      <c r="AC1135" s="4">
        <f>$E1135+21</f>
        <v>132</v>
      </c>
      <c r="AD1135" s="8">
        <f>IF($J1135=0,0,ROUND(MAX($J1135*1.4*1.5*1.6*1.6*2.2*2.715*2.6*1.4*1.4*1.5,12600000000*(1.652953^(MIN($E1135,123)-117)))*1,0))</f>
        <v>617742548</v>
      </c>
      <c r="AE1135" s="6">
        <f>$E1135+24</f>
        <v>135</v>
      </c>
      <c r="AF1135" s="7">
        <f>IF($J1135=0,0,ROUND(MAX($J1135*1.4*1.5*1.6*1.6*2.2*2.715*2.6*1.4*1.4*1.5*1.5,18900000000*(1.65331^(MIN($E1135,123)-117)))*1,0))</f>
        <v>925413965</v>
      </c>
      <c r="AG1135" s="4">
        <f>$E1135+27</f>
        <v>138</v>
      </c>
      <c r="AH1135" s="8">
        <f>IF($J1135=0,0,ROUND(MAX($J1135*1.4*1.5*1.6*1.6*2.2*2.715*2.6*1.4*1.4*1.5*1.5*3.2,60500000000*(1.654288^(MIN($E1135,123)-117)))*1,0))</f>
        <v>2951811756</v>
      </c>
    </row>
    <row r="1136" ht="27.75" customHeight="1" spans="1:34" x14ac:dyDescent="0.25">
      <c r="A1136" s="3">
        <v>1146</v>
      </c>
      <c r="B1136" s="3" t="s">
        <v>175</v>
      </c>
      <c r="C1136" s="3" t="s">
        <v>829</v>
      </c>
      <c r="D1136" s="3" t="s">
        <v>33</v>
      </c>
      <c r="E1136" s="3">
        <v>111</v>
      </c>
      <c r="F1136" s="3" t="s">
        <v>54</v>
      </c>
      <c r="G1136" s="3" t="s">
        <v>830</v>
      </c>
      <c r="H1136" s="3">
        <v>26</v>
      </c>
      <c r="I1136" s="4">
        <v>111</v>
      </c>
      <c r="J1136" s="5">
        <v>491000</v>
      </c>
      <c r="K1136" s="6">
        <f>$E1136+1</f>
        <v>112</v>
      </c>
      <c r="L1136" s="7">
        <f>IF($J1136=0,0,ROUND(MAX($J1136*1.4,1620000*(1.497923^(MIN($E1136,123)-117)))*1,0))</f>
        <v>687400</v>
      </c>
      <c r="M1136" s="4">
        <f>$E1136+2</f>
        <v>113</v>
      </c>
      <c r="N1136" s="8">
        <f>IF($J1136=0,0,ROUND(MAX($J1136*1.4*1.5,2190000*(1.580994^(MIN($E1136,123)-117)))*1,0))</f>
        <v>1031100</v>
      </c>
      <c r="O1136" s="6">
        <f>$E1136+4</f>
        <v>115</v>
      </c>
      <c r="P1136" s="7">
        <f>IF($J1136=0,0,ROUND(MAX($J1136*1.4*1.5*1.6,3500000*(1.57975^(MIN($E1136,123)-117)))*1,0))</f>
        <v>1649760</v>
      </c>
      <c r="Q1136" s="4">
        <f>$E1136+6</f>
        <v>117</v>
      </c>
      <c r="R1136" s="8">
        <f>IF($J1136=0,0,ROUND(MAX($J1136*1.4*1.5*1.6*1.6,13100000*(1.429962^(MIN($E1136,123)-117)))*1,0))</f>
        <v>2639616</v>
      </c>
      <c r="S1136" s="6">
        <f>$E1136+8</f>
        <v>119</v>
      </c>
      <c r="T1136" s="7">
        <f>IF($J1136=0,0,ROUND(MAX($J1136*1.4*1.5*1.6*1.6*2.2,42600000*(1.576904^(MIN($E1136,123)-117)))*1,0))</f>
        <v>5807155</v>
      </c>
      <c r="U1136" s="4">
        <f>$E1136+11</f>
        <v>122</v>
      </c>
      <c r="V1136" s="8">
        <f>IF($J1136=0,0,ROUND(MAX($J1136*1.4*1.5*1.6*1.6*2.2*2.715,354000000*(1.642074^(MIN($E1136,123)-117)))*1,0))</f>
        <v>18057055</v>
      </c>
      <c r="W1136" s="6">
        <f>$E1136+15</f>
        <v>126</v>
      </c>
      <c r="X1136" s="7">
        <f>IF($J1136=0,0,ROUND(MAX($J1136*1.4*1.5*1.6*1.6*2.2*2.715*2.6,3540000000*(1.579646^(MIN($E1136,123)-117)))*1,0))</f>
        <v>227847690</v>
      </c>
      <c r="Y1136" s="4">
        <f>$E1136+17</f>
        <v>128</v>
      </c>
      <c r="Z1136" s="8">
        <f>IF($J1136=0,0,ROUND(MAX($J1136*1.4*1.5*1.6*1.6*2.2*2.715*2.6*1.4,6020000000*(1.651178^(MIN($E1136,123)-117)))*1,0))</f>
        <v>297052444</v>
      </c>
      <c r="AA1136" s="6">
        <f>$E1136+19</f>
        <v>130</v>
      </c>
      <c r="AB1136" s="7">
        <f>IF($J1136=0,0,ROUND(MAX($J1136*1.4*1.5*1.6*1.6*2.2*2.715*2.6*1.4*1.4,8430000000*(1.651435^(MIN($E1136,123)-117)))*1,0))</f>
        <v>415583854</v>
      </c>
      <c r="AC1136" s="4">
        <f>$E1136+21</f>
        <v>132</v>
      </c>
      <c r="AD1136" s="8">
        <f>IF($J1136=0,0,ROUND(MAX($J1136*1.4*1.5*1.6*1.6*2.2*2.715*2.6*1.4*1.4*1.5,12600000000*(1.652953^(MIN($E1136,123)-117)))*1,0))</f>
        <v>617742548</v>
      </c>
      <c r="AE1136" s="6">
        <f>$E1136+24</f>
        <v>135</v>
      </c>
      <c r="AF1136" s="7">
        <f>IF($J1136=0,0,ROUND(MAX($J1136*1.4*1.5*1.6*1.6*2.2*2.715*2.6*1.4*1.4*1.5*1.5,18900000000*(1.65331^(MIN($E1136,123)-117)))*1,0))</f>
        <v>925413965</v>
      </c>
      <c r="AG1136" s="4">
        <f>$E1136+27</f>
        <v>138</v>
      </c>
      <c r="AH1136" s="8">
        <f>IF($J1136=0,0,ROUND(MAX($J1136*1.4*1.5*1.6*1.6*2.2*2.715*2.6*1.4*1.4*1.5*1.5*3.2,60500000000*(1.654288^(MIN($E1136,123)-117)))*1,0))</f>
        <v>2951811756</v>
      </c>
    </row>
    <row r="1137" ht="27.75" customHeight="1" spans="1:34" x14ac:dyDescent="0.25">
      <c r="A1137" s="3">
        <v>1147</v>
      </c>
      <c r="B1137" s="3" t="s">
        <v>842</v>
      </c>
      <c r="C1137" s="3" t="s">
        <v>829</v>
      </c>
      <c r="D1137" s="3" t="s">
        <v>241</v>
      </c>
      <c r="E1137" s="3">
        <v>111</v>
      </c>
      <c r="F1137" s="3" t="s">
        <v>71</v>
      </c>
      <c r="G1137" s="3" t="s">
        <v>104</v>
      </c>
      <c r="H1137" s="3">
        <v>26</v>
      </c>
      <c r="I1137" s="4">
        <v>111</v>
      </c>
      <c r="J1137" s="5">
        <v>462000</v>
      </c>
      <c r="K1137" s="6">
        <f>$E1137+1</f>
        <v>112</v>
      </c>
      <c r="L1137" s="7">
        <f>IF($J1137=0,0,ROUND(MAX($J1137*1.4,1620000*(1.497923^(MIN($E1137,123)-117)))*1,0))</f>
        <v>646800</v>
      </c>
      <c r="M1137" s="4">
        <f>$E1137+2</f>
        <v>113</v>
      </c>
      <c r="N1137" s="8">
        <f>IF($J1137=0,0,ROUND(MAX($J1137*1.4*1.5,2190000*(1.580994^(MIN($E1137,123)-117)))*1,0))</f>
        <v>970200</v>
      </c>
      <c r="O1137" s="6">
        <f>$E1137+4</f>
        <v>115</v>
      </c>
      <c r="P1137" s="7">
        <f>IF($J1137=0,0,ROUND(MAX($J1137*1.4*1.5*1.6,3500000*(1.57975^(MIN($E1137,123)-117)))*1,0))</f>
        <v>1552320</v>
      </c>
      <c r="Q1137" s="4">
        <f>$E1137+6</f>
        <v>117</v>
      </c>
      <c r="R1137" s="8">
        <f>IF($J1137=0,0,ROUND(MAX($J1137*1.4*1.5*1.6*1.6,13100000*(1.429962^(MIN($E1137,123)-117)))*1,0))</f>
        <v>2483712</v>
      </c>
      <c r="S1137" s="6">
        <f>$E1137+8</f>
        <v>119</v>
      </c>
      <c r="T1137" s="7">
        <f>IF($J1137=0,0,ROUND(MAX($J1137*1.4*1.5*1.6*1.6*2.2,42600000*(1.576904^(MIN($E1137,123)-117)))*1,0))</f>
        <v>5464166</v>
      </c>
      <c r="U1137" s="4">
        <f>$E1137+11</f>
        <v>122</v>
      </c>
      <c r="V1137" s="8">
        <f>IF($J1137=0,0,ROUND(MAX($J1137*1.4*1.5*1.6*1.6*2.2*2.715,354000000*(1.642074^(MIN($E1137,123)-117)))*1,0))</f>
        <v>18057055</v>
      </c>
      <c r="W1137" s="6">
        <f>$E1137+15</f>
        <v>126</v>
      </c>
      <c r="X1137" s="7">
        <f>IF($J1137=0,0,ROUND(MAX($J1137*1.4*1.5*1.6*1.6*2.2*2.715*2.6,3540000000*(1.579646^(MIN($E1137,123)-117)))*1,0))</f>
        <v>227847690</v>
      </c>
      <c r="Y1137" s="4">
        <f>$E1137+17</f>
        <v>128</v>
      </c>
      <c r="Z1137" s="8">
        <f>IF($J1137=0,0,ROUND(MAX($J1137*1.4*1.5*1.6*1.6*2.2*2.715*2.6*1.4,6020000000*(1.651178^(MIN($E1137,123)-117)))*1,0))</f>
        <v>297052444</v>
      </c>
      <c r="AA1137" s="6">
        <f>$E1137+19</f>
        <v>130</v>
      </c>
      <c r="AB1137" s="7">
        <f>IF($J1137=0,0,ROUND(MAX($J1137*1.4*1.5*1.6*1.6*2.2*2.715*2.6*1.4*1.4,8430000000*(1.651435^(MIN($E1137,123)-117)))*1,0))</f>
        <v>415583854</v>
      </c>
      <c r="AC1137" s="4">
        <f>$E1137+21</f>
        <v>132</v>
      </c>
      <c r="AD1137" s="8">
        <f>IF($J1137=0,0,ROUND(MAX($J1137*1.4*1.5*1.6*1.6*2.2*2.715*2.6*1.4*1.4*1.5,12600000000*(1.652953^(MIN($E1137,123)-117)))*1,0))</f>
        <v>617742548</v>
      </c>
      <c r="AE1137" s="6">
        <f>$E1137+24</f>
        <v>135</v>
      </c>
      <c r="AF1137" s="7">
        <f>IF($J1137=0,0,ROUND(MAX($J1137*1.4*1.5*1.6*1.6*2.2*2.715*2.6*1.4*1.4*1.5*1.5,18900000000*(1.65331^(MIN($E1137,123)-117)))*1,0))</f>
        <v>925413965</v>
      </c>
      <c r="AG1137" s="4">
        <f>$E1137+27</f>
        <v>138</v>
      </c>
      <c r="AH1137" s="8">
        <f>IF($J1137=0,0,ROUND(MAX($J1137*1.4*1.5*1.6*1.6*2.2*2.715*2.6*1.4*1.4*1.5*1.5*3.2,60500000000*(1.654288^(MIN($E1137,123)-117)))*1,0))</f>
        <v>2951811756</v>
      </c>
    </row>
    <row r="1138" ht="27.75" customHeight="1" spans="1:34" x14ac:dyDescent="0.25">
      <c r="A1138" s="3">
        <v>1148</v>
      </c>
      <c r="B1138" s="3" t="s">
        <v>707</v>
      </c>
      <c r="C1138" s="3" t="s">
        <v>829</v>
      </c>
      <c r="D1138" s="3" t="s">
        <v>102</v>
      </c>
      <c r="E1138" s="3">
        <v>111</v>
      </c>
      <c r="F1138" s="3" t="s">
        <v>30</v>
      </c>
      <c r="G1138" s="3" t="s">
        <v>472</v>
      </c>
      <c r="H1138" s="3">
        <v>26</v>
      </c>
      <c r="I1138" s="4">
        <v>111</v>
      </c>
      <c r="J1138" s="5">
        <v>348000</v>
      </c>
      <c r="K1138" s="6">
        <f>$E1138+1</f>
        <v>112</v>
      </c>
      <c r="L1138" s="7">
        <f>IF($J1138=0,0,ROUND(MAX($J1138*1.4,1620000*(1.497923^(MIN($E1138,123)-117)))*1,0))</f>
        <v>487200</v>
      </c>
      <c r="M1138" s="4">
        <f>$E1138+2</f>
        <v>113</v>
      </c>
      <c r="N1138" s="8">
        <f>IF($J1138=0,0,ROUND(MAX($J1138*1.4*1.5,2190000*(1.580994^(MIN($E1138,123)-117)))*1,0))</f>
        <v>730800</v>
      </c>
      <c r="O1138" s="6">
        <f>$E1138+4</f>
        <v>115</v>
      </c>
      <c r="P1138" s="7">
        <f>IF($J1138=0,0,ROUND(MAX($J1138*1.4*1.5*1.6,3500000*(1.57975^(MIN($E1138,123)-117)))*1,0))</f>
        <v>1169280</v>
      </c>
      <c r="Q1138" s="4">
        <f>$E1138+6</f>
        <v>117</v>
      </c>
      <c r="R1138" s="8">
        <f>IF($J1138=0,0,ROUND(MAX($J1138*1.4*1.5*1.6*1.6,13100000*(1.429962^(MIN($E1138,123)-117)))*1,0))</f>
        <v>1870848</v>
      </c>
      <c r="S1138" s="6">
        <f>$E1138+8</f>
        <v>119</v>
      </c>
      <c r="T1138" s="7">
        <f>IF($J1138=0,0,ROUND(MAX($J1138*1.4*1.5*1.6*1.6*2.2,42600000*(1.576904^(MIN($E1138,123)-117)))*1,0))</f>
        <v>4115866</v>
      </c>
      <c r="U1138" s="4">
        <f>$E1138+11</f>
        <v>122</v>
      </c>
      <c r="V1138" s="8">
        <f>IF($J1138=0,0,ROUND(MAX($J1138*1.4*1.5*1.6*1.6*2.2*2.715,354000000*(1.642074^(MIN($E1138,123)-117)))*1,0))</f>
        <v>18057055</v>
      </c>
      <c r="W1138" s="6">
        <f>$E1138+15</f>
        <v>126</v>
      </c>
      <c r="X1138" s="7">
        <f>IF($J1138=0,0,ROUND(MAX($J1138*1.4*1.5*1.6*1.6*2.2*2.715*2.6,3540000000*(1.579646^(MIN($E1138,123)-117)))*1,0))</f>
        <v>227847690</v>
      </c>
      <c r="Y1138" s="4">
        <f>$E1138+17</f>
        <v>128</v>
      </c>
      <c r="Z1138" s="8">
        <f>IF($J1138=0,0,ROUND(MAX($J1138*1.4*1.5*1.6*1.6*2.2*2.715*2.6*1.4,6020000000*(1.651178^(MIN($E1138,123)-117)))*1,0))</f>
        <v>297052444</v>
      </c>
      <c r="AA1138" s="6">
        <f>$E1138+19</f>
        <v>130</v>
      </c>
      <c r="AB1138" s="7">
        <f>IF($J1138=0,0,ROUND(MAX($J1138*1.4*1.5*1.6*1.6*2.2*2.715*2.6*1.4*1.4,8430000000*(1.651435^(MIN($E1138,123)-117)))*1,0))</f>
        <v>415583854</v>
      </c>
      <c r="AC1138" s="4">
        <f>$E1138+21</f>
        <v>132</v>
      </c>
      <c r="AD1138" s="8">
        <f>IF($J1138=0,0,ROUND(MAX($J1138*1.4*1.5*1.6*1.6*2.2*2.715*2.6*1.4*1.4*1.5,12600000000*(1.652953^(MIN($E1138,123)-117)))*1,0))</f>
        <v>617742548</v>
      </c>
      <c r="AE1138" s="6">
        <f>$E1138+24</f>
        <v>135</v>
      </c>
      <c r="AF1138" s="7">
        <f>IF($J1138=0,0,ROUND(MAX($J1138*1.4*1.5*1.6*1.6*2.2*2.715*2.6*1.4*1.4*1.5*1.5,18900000000*(1.65331^(MIN($E1138,123)-117)))*1,0))</f>
        <v>925413965</v>
      </c>
      <c r="AG1138" s="4">
        <f>$E1138+27</f>
        <v>138</v>
      </c>
      <c r="AH1138" s="8">
        <f>IF($J1138=0,0,ROUND(MAX($J1138*1.4*1.5*1.6*1.6*2.2*2.715*2.6*1.4*1.4*1.5*1.5*3.2,60500000000*(1.654288^(MIN($E1138,123)-117)))*1,0))</f>
        <v>2951811756</v>
      </c>
    </row>
    <row r="1139" ht="27.75" customHeight="1" spans="1:34" x14ac:dyDescent="0.25">
      <c r="A1139" s="3">
        <v>1149</v>
      </c>
      <c r="B1139" s="3" t="s">
        <v>843</v>
      </c>
      <c r="C1139" s="3" t="s">
        <v>829</v>
      </c>
      <c r="D1139" s="3" t="s">
        <v>40</v>
      </c>
      <c r="E1139" s="3">
        <v>111</v>
      </c>
      <c r="F1139" s="3" t="s">
        <v>353</v>
      </c>
      <c r="G1139" s="3" t="s">
        <v>67</v>
      </c>
      <c r="H1139" s="3">
        <v>26</v>
      </c>
      <c r="I1139" s="4">
        <v>111</v>
      </c>
      <c r="J1139" s="5">
        <v>168000</v>
      </c>
      <c r="K1139" s="6">
        <f>$E1139+1</f>
        <v>112</v>
      </c>
      <c r="L1139" s="7">
        <f>IF($J1139=0,0,ROUND(MAX($J1139*1.4,1620000*(1.497923^(MIN($E1139,123)-117)))*1,0))</f>
        <v>235200</v>
      </c>
      <c r="M1139" s="4">
        <f>$E1139+2</f>
        <v>113</v>
      </c>
      <c r="N1139" s="8">
        <f>IF($J1139=0,0,ROUND(MAX($J1139*1.4*1.5,2190000*(1.580994^(MIN($E1139,123)-117)))*1,0))</f>
        <v>352800</v>
      </c>
      <c r="O1139" s="6">
        <f>$E1139+4</f>
        <v>115</v>
      </c>
      <c r="P1139" s="7">
        <f>IF($J1139=0,0,ROUND(MAX($J1139*1.4*1.5*1.6,3500000*(1.57975^(MIN($E1139,123)-117)))*1,0))</f>
        <v>564480</v>
      </c>
      <c r="Q1139" s="4">
        <f>$E1139+6</f>
        <v>117</v>
      </c>
      <c r="R1139" s="8">
        <f>IF($J1139=0,0,ROUND(MAX($J1139*1.4*1.5*1.6*1.6,13100000*(1.429962^(MIN($E1139,123)-117)))*1,0))</f>
        <v>1532231</v>
      </c>
      <c r="S1139" s="6">
        <f>$E1139+8</f>
        <v>119</v>
      </c>
      <c r="T1139" s="7">
        <f>IF($J1139=0,0,ROUND(MAX($J1139*1.4*1.5*1.6*1.6*2.2,42600000*(1.576904^(MIN($E1139,123)-117)))*1,0))</f>
        <v>2770627</v>
      </c>
      <c r="U1139" s="4">
        <f>$E1139+11</f>
        <v>122</v>
      </c>
      <c r="V1139" s="8">
        <f>IF($J1139=0,0,ROUND(MAX($J1139*1.4*1.5*1.6*1.6*2.2*2.715,354000000*(1.642074^(MIN($E1139,123)-117)))*1,0))</f>
        <v>18057055</v>
      </c>
      <c r="W1139" s="6">
        <f>$E1139+15</f>
        <v>126</v>
      </c>
      <c r="X1139" s="7">
        <f>IF($J1139=0,0,ROUND(MAX($J1139*1.4*1.5*1.6*1.6*2.2*2.715*2.6,3540000000*(1.579646^(MIN($E1139,123)-117)))*1,0))</f>
        <v>227847690</v>
      </c>
      <c r="Y1139" s="4">
        <f>$E1139+17</f>
        <v>128</v>
      </c>
      <c r="Z1139" s="8">
        <f>IF($J1139=0,0,ROUND(MAX($J1139*1.4*1.5*1.6*1.6*2.2*2.715*2.6*1.4,6020000000*(1.651178^(MIN($E1139,123)-117)))*1,0))</f>
        <v>297052444</v>
      </c>
      <c r="AA1139" s="6">
        <f>$E1139+19</f>
        <v>130</v>
      </c>
      <c r="AB1139" s="7">
        <f>IF($J1139=0,0,ROUND(MAX($J1139*1.4*1.5*1.6*1.6*2.2*2.715*2.6*1.4*1.4,8430000000*(1.651435^(MIN($E1139,123)-117)))*1,0))</f>
        <v>415583854</v>
      </c>
      <c r="AC1139" s="4">
        <f>$E1139+21</f>
        <v>132</v>
      </c>
      <c r="AD1139" s="8">
        <f>IF($J1139=0,0,ROUND(MAX($J1139*1.4*1.5*1.6*1.6*2.2*2.715*2.6*1.4*1.4*1.5,12600000000*(1.652953^(MIN($E1139,123)-117)))*1,0))</f>
        <v>617742548</v>
      </c>
      <c r="AE1139" s="6">
        <f>$E1139+24</f>
        <v>135</v>
      </c>
      <c r="AF1139" s="7">
        <f>IF($J1139=0,0,ROUND(MAX($J1139*1.4*1.5*1.6*1.6*2.2*2.715*2.6*1.4*1.4*1.5*1.5,18900000000*(1.65331^(MIN($E1139,123)-117)))*1,0))</f>
        <v>925413965</v>
      </c>
      <c r="AG1139" s="4">
        <f>$E1139+27</f>
        <v>138</v>
      </c>
      <c r="AH1139" s="8">
        <f>IF($J1139=0,0,ROUND(MAX($J1139*1.4*1.5*1.6*1.6*2.2*2.715*2.6*1.4*1.4*1.5*1.5*3.2,60500000000*(1.654288^(MIN($E1139,123)-117)))*1,0))</f>
        <v>2951811756</v>
      </c>
    </row>
    <row r="1140" ht="27.75" customHeight="1" spans="1:34" x14ac:dyDescent="0.25">
      <c r="A1140" s="3">
        <v>1150</v>
      </c>
      <c r="B1140" s="3" t="s">
        <v>603</v>
      </c>
      <c r="C1140" s="3" t="s">
        <v>829</v>
      </c>
      <c r="D1140" s="3" t="s">
        <v>90</v>
      </c>
      <c r="E1140" s="3">
        <v>111</v>
      </c>
      <c r="F1140" s="3" t="s">
        <v>71</v>
      </c>
      <c r="G1140" s="3" t="s">
        <v>247</v>
      </c>
      <c r="H1140" s="3">
        <v>26</v>
      </c>
      <c r="I1140" s="4">
        <v>111</v>
      </c>
      <c r="J1140" s="5">
        <v>162000</v>
      </c>
      <c r="K1140" s="6">
        <f>$E1140+1</f>
        <v>112</v>
      </c>
      <c r="L1140" s="7">
        <f>IF($J1140=0,0,ROUND(MAX($J1140*1.4,1620000*(1.497923^(MIN($E1140,123)-117)))*1,0))</f>
        <v>226800</v>
      </c>
      <c r="M1140" s="4">
        <f>$E1140+2</f>
        <v>113</v>
      </c>
      <c r="N1140" s="8">
        <f>IF($J1140=0,0,ROUND(MAX($J1140*1.4*1.5,2190000*(1.580994^(MIN($E1140,123)-117)))*1,0))</f>
        <v>340200</v>
      </c>
      <c r="O1140" s="6">
        <f>$E1140+4</f>
        <v>115</v>
      </c>
      <c r="P1140" s="7">
        <f>IF($J1140=0,0,ROUND(MAX($J1140*1.4*1.5*1.6,3500000*(1.57975^(MIN($E1140,123)-117)))*1,0))</f>
        <v>544320</v>
      </c>
      <c r="Q1140" s="4">
        <f>$E1140+6</f>
        <v>117</v>
      </c>
      <c r="R1140" s="8">
        <f>IF($J1140=0,0,ROUND(MAX($J1140*1.4*1.5*1.6*1.6,13100000*(1.429962^(MIN($E1140,123)-117)))*1,0))</f>
        <v>1532231</v>
      </c>
      <c r="S1140" s="6">
        <f>$E1140+8</f>
        <v>119</v>
      </c>
      <c r="T1140" s="7">
        <f>IF($J1140=0,0,ROUND(MAX($J1140*1.4*1.5*1.6*1.6*2.2,42600000*(1.576904^(MIN($E1140,123)-117)))*1,0))</f>
        <v>2770627</v>
      </c>
      <c r="U1140" s="4">
        <f>$E1140+11</f>
        <v>122</v>
      </c>
      <c r="V1140" s="8">
        <f>IF($J1140=0,0,ROUND(MAX($J1140*1.4*1.5*1.6*1.6*2.2*2.715,354000000*(1.642074^(MIN($E1140,123)-117)))*1,0))</f>
        <v>18057055</v>
      </c>
      <c r="W1140" s="6">
        <f>$E1140+15</f>
        <v>126</v>
      </c>
      <c r="X1140" s="7">
        <f>IF($J1140=0,0,ROUND(MAX($J1140*1.4*1.5*1.6*1.6*2.2*2.715*2.6,3540000000*(1.579646^(MIN($E1140,123)-117)))*1,0))</f>
        <v>227847690</v>
      </c>
      <c r="Y1140" s="4">
        <f>$E1140+17</f>
        <v>128</v>
      </c>
      <c r="Z1140" s="8">
        <f>IF($J1140=0,0,ROUND(MAX($J1140*1.4*1.5*1.6*1.6*2.2*2.715*2.6*1.4,6020000000*(1.651178^(MIN($E1140,123)-117)))*1,0))</f>
        <v>297052444</v>
      </c>
      <c r="AA1140" s="6">
        <f>$E1140+19</f>
        <v>130</v>
      </c>
      <c r="AB1140" s="7">
        <f>IF($J1140=0,0,ROUND(MAX($J1140*1.4*1.5*1.6*1.6*2.2*2.715*2.6*1.4*1.4,8430000000*(1.651435^(MIN($E1140,123)-117)))*1,0))</f>
        <v>415583854</v>
      </c>
      <c r="AC1140" s="4">
        <f>$E1140+21</f>
        <v>132</v>
      </c>
      <c r="AD1140" s="8">
        <f>IF($J1140=0,0,ROUND(MAX($J1140*1.4*1.5*1.6*1.6*2.2*2.715*2.6*1.4*1.4*1.5,12600000000*(1.652953^(MIN($E1140,123)-117)))*1,0))</f>
        <v>617742548</v>
      </c>
      <c r="AE1140" s="6">
        <f>$E1140+24</f>
        <v>135</v>
      </c>
      <c r="AF1140" s="7">
        <f>IF($J1140=0,0,ROUND(MAX($J1140*1.4*1.5*1.6*1.6*2.2*2.715*2.6*1.4*1.4*1.5*1.5,18900000000*(1.65331^(MIN($E1140,123)-117)))*1,0))</f>
        <v>925413965</v>
      </c>
      <c r="AG1140" s="4">
        <f>$E1140+27</f>
        <v>138</v>
      </c>
      <c r="AH1140" s="8">
        <f>IF($J1140=0,0,ROUND(MAX($J1140*1.4*1.5*1.6*1.6*2.2*2.715*2.6*1.4*1.4*1.5*1.5*3.2,60500000000*(1.654288^(MIN($E1140,123)-117)))*1,0))</f>
        <v>2951811756</v>
      </c>
    </row>
    <row r="1141" ht="27.75" customHeight="1" spans="1:34" x14ac:dyDescent="0.25">
      <c r="A1141" s="3">
        <v>1151</v>
      </c>
      <c r="B1141" s="3" t="s">
        <v>844</v>
      </c>
      <c r="C1141" s="3" t="s">
        <v>829</v>
      </c>
      <c r="D1141" s="3" t="s">
        <v>102</v>
      </c>
      <c r="E1141" s="3">
        <v>111</v>
      </c>
      <c r="F1141" s="3" t="s">
        <v>179</v>
      </c>
      <c r="G1141" s="3" t="s">
        <v>213</v>
      </c>
      <c r="H1141" s="3">
        <v>26</v>
      </c>
      <c r="I1141" s="4">
        <v>111</v>
      </c>
      <c r="J1141" s="5">
        <v>149000</v>
      </c>
      <c r="K1141" s="6">
        <f>$E1141+1</f>
        <v>112</v>
      </c>
      <c r="L1141" s="7">
        <f>IF($J1141=0,0,ROUND(MAX($J1141*1.4,1620000*(1.497923^(MIN($E1141,123)-117)))*1,0))</f>
        <v>208600</v>
      </c>
      <c r="M1141" s="4">
        <f>$E1141+2</f>
        <v>113</v>
      </c>
      <c r="N1141" s="8">
        <f>IF($J1141=0,0,ROUND(MAX($J1141*1.4*1.5,2190000*(1.580994^(MIN($E1141,123)-117)))*1,0))</f>
        <v>312900</v>
      </c>
      <c r="O1141" s="6">
        <f>$E1141+4</f>
        <v>115</v>
      </c>
      <c r="P1141" s="7">
        <f>IF($J1141=0,0,ROUND(MAX($J1141*1.4*1.5*1.6,3500000*(1.57975^(MIN($E1141,123)-117)))*1,0))</f>
        <v>500640</v>
      </c>
      <c r="Q1141" s="4">
        <f>$E1141+6</f>
        <v>117</v>
      </c>
      <c r="R1141" s="8">
        <f>IF($J1141=0,0,ROUND(MAX($J1141*1.4*1.5*1.6*1.6,13100000*(1.429962^(MIN($E1141,123)-117)))*1,0))</f>
        <v>1532231</v>
      </c>
      <c r="S1141" s="6">
        <f>$E1141+8</f>
        <v>119</v>
      </c>
      <c r="T1141" s="7">
        <f>IF($J1141=0,0,ROUND(MAX($J1141*1.4*1.5*1.6*1.6*2.2,42600000*(1.576904^(MIN($E1141,123)-117)))*1,0))</f>
        <v>2770627</v>
      </c>
      <c r="U1141" s="4">
        <f>$E1141+11</f>
        <v>122</v>
      </c>
      <c r="V1141" s="8">
        <f>IF($J1141=0,0,ROUND(MAX($J1141*1.4*1.5*1.6*1.6*2.2*2.715,354000000*(1.642074^(MIN($E1141,123)-117)))*1,0))</f>
        <v>18057055</v>
      </c>
      <c r="W1141" s="6">
        <f>$E1141+15</f>
        <v>126</v>
      </c>
      <c r="X1141" s="7">
        <f>IF($J1141=0,0,ROUND(MAX($J1141*1.4*1.5*1.6*1.6*2.2*2.715*2.6,3540000000*(1.579646^(MIN($E1141,123)-117)))*1,0))</f>
        <v>227847690</v>
      </c>
      <c r="Y1141" s="4">
        <f>$E1141+17</f>
        <v>128</v>
      </c>
      <c r="Z1141" s="8">
        <f>IF($J1141=0,0,ROUND(MAX($J1141*1.4*1.5*1.6*1.6*2.2*2.715*2.6*1.4,6020000000*(1.651178^(MIN($E1141,123)-117)))*1,0))</f>
        <v>297052444</v>
      </c>
      <c r="AA1141" s="6">
        <f>$E1141+19</f>
        <v>130</v>
      </c>
      <c r="AB1141" s="7">
        <f>IF($J1141=0,0,ROUND(MAX($J1141*1.4*1.5*1.6*1.6*2.2*2.715*2.6*1.4*1.4,8430000000*(1.651435^(MIN($E1141,123)-117)))*1,0))</f>
        <v>415583854</v>
      </c>
      <c r="AC1141" s="4">
        <f>$E1141+21</f>
        <v>132</v>
      </c>
      <c r="AD1141" s="8">
        <f>IF($J1141=0,0,ROUND(MAX($J1141*1.4*1.5*1.6*1.6*2.2*2.715*2.6*1.4*1.4*1.5,12600000000*(1.652953^(MIN($E1141,123)-117)))*1,0))</f>
        <v>617742548</v>
      </c>
      <c r="AE1141" s="6">
        <f>$E1141+24</f>
        <v>135</v>
      </c>
      <c r="AF1141" s="7">
        <f>IF($J1141=0,0,ROUND(MAX($J1141*1.4*1.5*1.6*1.6*2.2*2.715*2.6*1.4*1.4*1.5*1.5,18900000000*(1.65331^(MIN($E1141,123)-117)))*1,0))</f>
        <v>925413965</v>
      </c>
      <c r="AG1141" s="4">
        <f>$E1141+27</f>
        <v>138</v>
      </c>
      <c r="AH1141" s="8">
        <f>IF($J1141=0,0,ROUND(MAX($J1141*1.4*1.5*1.6*1.6*2.2*2.715*2.6*1.4*1.4*1.5*1.5*3.2,60500000000*(1.654288^(MIN($E1141,123)-117)))*1,0))</f>
        <v>2951811756</v>
      </c>
    </row>
    <row r="1142" ht="27.75" customHeight="1" spans="1:34" x14ac:dyDescent="0.25">
      <c r="A1142" s="3">
        <v>1152</v>
      </c>
      <c r="B1142" s="3" t="s">
        <v>845</v>
      </c>
      <c r="C1142" s="3" t="s">
        <v>829</v>
      </c>
      <c r="D1142" s="3" t="s">
        <v>102</v>
      </c>
      <c r="E1142" s="3">
        <v>111</v>
      </c>
      <c r="F1142" s="3" t="s">
        <v>146</v>
      </c>
      <c r="G1142" s="3" t="s">
        <v>414</v>
      </c>
      <c r="H1142" s="3">
        <v>26</v>
      </c>
      <c r="I1142" s="4">
        <v>111</v>
      </c>
      <c r="J1142" s="5">
        <v>48200</v>
      </c>
      <c r="K1142" s="6">
        <f>$E1142+1</f>
        <v>112</v>
      </c>
      <c r="L1142" s="7">
        <f>IF($J1142=0,0,ROUND(MAX($J1142*1.4,1620000*(1.497923^(MIN($E1142,123)-117)))*1,0))</f>
        <v>143410</v>
      </c>
      <c r="M1142" s="4">
        <f>$E1142+2</f>
        <v>113</v>
      </c>
      <c r="N1142" s="8">
        <f>IF($J1142=0,0,ROUND(MAX($J1142*1.4*1.5,2190000*(1.580994^(MIN($E1142,123)-117)))*1,0))</f>
        <v>140237</v>
      </c>
      <c r="O1142" s="6">
        <f>$E1142+4</f>
        <v>115</v>
      </c>
      <c r="P1142" s="7">
        <f>IF($J1142=0,0,ROUND(MAX($J1142*1.4*1.5*1.6,3500000*(1.57975^(MIN($E1142,123)-117)))*1,0))</f>
        <v>225184</v>
      </c>
      <c r="Q1142" s="4">
        <f>$E1142+6</f>
        <v>117</v>
      </c>
      <c r="R1142" s="8">
        <f>IF($J1142=0,0,ROUND(MAX($J1142*1.4*1.5*1.6*1.6,13100000*(1.429962^(MIN($E1142,123)-117)))*1,0))</f>
        <v>1532231</v>
      </c>
      <c r="S1142" s="6">
        <f>$E1142+8</f>
        <v>119</v>
      </c>
      <c r="T1142" s="7">
        <f>IF($J1142=0,0,ROUND(MAX($J1142*1.4*1.5*1.6*1.6*2.2,42600000*(1.576904^(MIN($E1142,123)-117)))*1,0))</f>
        <v>2770627</v>
      </c>
      <c r="U1142" s="4">
        <f>$E1142+11</f>
        <v>122</v>
      </c>
      <c r="V1142" s="8">
        <f>IF($J1142=0,0,ROUND(MAX($J1142*1.4*1.5*1.6*1.6*2.2*2.715,354000000*(1.642074^(MIN($E1142,123)-117)))*1,0))</f>
        <v>18057055</v>
      </c>
      <c r="W1142" s="6">
        <f>$E1142+15</f>
        <v>126</v>
      </c>
      <c r="X1142" s="7">
        <f>IF($J1142=0,0,ROUND(MAX($J1142*1.4*1.5*1.6*1.6*2.2*2.715*2.6,3540000000*(1.579646^(MIN($E1142,123)-117)))*1,0))</f>
        <v>227847690</v>
      </c>
      <c r="Y1142" s="4">
        <f>$E1142+17</f>
        <v>128</v>
      </c>
      <c r="Z1142" s="8">
        <f>IF($J1142=0,0,ROUND(MAX($J1142*1.4*1.5*1.6*1.6*2.2*2.715*2.6*1.4,6020000000*(1.651178^(MIN($E1142,123)-117)))*1,0))</f>
        <v>297052444</v>
      </c>
      <c r="AA1142" s="6">
        <f>$E1142+19</f>
        <v>130</v>
      </c>
      <c r="AB1142" s="7">
        <f>IF($J1142=0,0,ROUND(MAX($J1142*1.4*1.5*1.6*1.6*2.2*2.715*2.6*1.4*1.4,8430000000*(1.651435^(MIN($E1142,123)-117)))*1,0))</f>
        <v>415583854</v>
      </c>
      <c r="AC1142" s="4">
        <f>$E1142+21</f>
        <v>132</v>
      </c>
      <c r="AD1142" s="8">
        <f>IF($J1142=0,0,ROUND(MAX($J1142*1.4*1.5*1.6*1.6*2.2*2.715*2.6*1.4*1.4*1.5,12600000000*(1.652953^(MIN($E1142,123)-117)))*1,0))</f>
        <v>617742548</v>
      </c>
      <c r="AE1142" s="6">
        <f>$E1142+24</f>
        <v>135</v>
      </c>
      <c r="AF1142" s="7">
        <f>IF($J1142=0,0,ROUND(MAX($J1142*1.4*1.5*1.6*1.6*2.2*2.715*2.6*1.4*1.4*1.5*1.5,18900000000*(1.65331^(MIN($E1142,123)-117)))*1,0))</f>
        <v>925413965</v>
      </c>
      <c r="AG1142" s="4">
        <f>$E1142+27</f>
        <v>138</v>
      </c>
      <c r="AH1142" s="8">
        <f>IF($J1142=0,0,ROUND(MAX($J1142*1.4*1.5*1.6*1.6*2.2*2.715*2.6*1.4*1.4*1.5*1.5*3.2,60500000000*(1.654288^(MIN($E1142,123)-117)))*1,0))</f>
        <v>2951811756</v>
      </c>
    </row>
    <row r="1143" ht="27.75" customHeight="1" spans="1:34" x14ac:dyDescent="0.25">
      <c r="A1143" s="3">
        <v>1153</v>
      </c>
      <c r="B1143" s="3" t="s">
        <v>822</v>
      </c>
      <c r="C1143" s="3" t="s">
        <v>829</v>
      </c>
      <c r="D1143" s="3" t="s">
        <v>33</v>
      </c>
      <c r="E1143" s="3">
        <v>111</v>
      </c>
      <c r="F1143" s="3" t="s">
        <v>65</v>
      </c>
      <c r="G1143" s="3" t="s">
        <v>57</v>
      </c>
      <c r="H1143" s="3">
        <v>26</v>
      </c>
      <c r="I1143" s="4">
        <v>111</v>
      </c>
      <c r="J1143" s="5">
        <v>65000</v>
      </c>
      <c r="K1143" s="6">
        <f>$E1143+1</f>
        <v>112</v>
      </c>
      <c r="L1143" s="7">
        <f>IF($J1143=0,0,ROUND(MAX($J1143*1.4,1620000*(1.497923^(MIN($E1143,123)-117)))*1,0))</f>
        <v>143410</v>
      </c>
      <c r="M1143" s="4">
        <f>$E1143+2</f>
        <v>113</v>
      </c>
      <c r="N1143" s="8">
        <f>IF($J1143=0,0,ROUND(MAX($J1143*1.4*1.5,2190000*(1.580994^(MIN($E1143,123)-117)))*1,0))</f>
        <v>140237</v>
      </c>
      <c r="O1143" s="6">
        <f>$E1143+4</f>
        <v>115</v>
      </c>
      <c r="P1143" s="7">
        <f>IF($J1143=0,0,ROUND(MAX($J1143*1.4*1.5*1.6,3500000*(1.57975^(MIN($E1143,123)-117)))*1,0))</f>
        <v>225184</v>
      </c>
      <c r="Q1143" s="4">
        <f>$E1143+6</f>
        <v>117</v>
      </c>
      <c r="R1143" s="8">
        <f>IF($J1143=0,0,ROUND(MAX($J1143*1.4*1.5*1.6*1.6,13100000*(1.429962^(MIN($E1143,123)-117)))*1,0))</f>
        <v>1532231</v>
      </c>
      <c r="S1143" s="6">
        <f>$E1143+8</f>
        <v>119</v>
      </c>
      <c r="T1143" s="7">
        <f>IF($J1143=0,0,ROUND(MAX($J1143*1.4*1.5*1.6*1.6*2.2,42600000*(1.576904^(MIN($E1143,123)-117)))*1,0))</f>
        <v>2770627</v>
      </c>
      <c r="U1143" s="4">
        <f>$E1143+11</f>
        <v>122</v>
      </c>
      <c r="V1143" s="8">
        <f>IF($J1143=0,0,ROUND(MAX($J1143*1.4*1.5*1.6*1.6*2.2*2.715,354000000*(1.642074^(MIN($E1143,123)-117)))*1,0))</f>
        <v>18057055</v>
      </c>
      <c r="W1143" s="6">
        <f>$E1143+15</f>
        <v>126</v>
      </c>
      <c r="X1143" s="7">
        <f>IF($J1143=0,0,ROUND(MAX($J1143*1.4*1.5*1.6*1.6*2.2*2.715*2.6,3540000000*(1.579646^(MIN($E1143,123)-117)))*1,0))</f>
        <v>227847690</v>
      </c>
      <c r="Y1143" s="4">
        <f>$E1143+17</f>
        <v>128</v>
      </c>
      <c r="Z1143" s="8">
        <f>IF($J1143=0,0,ROUND(MAX($J1143*1.4*1.5*1.6*1.6*2.2*2.715*2.6*1.4,6020000000*(1.651178^(MIN($E1143,123)-117)))*1,0))</f>
        <v>297052444</v>
      </c>
      <c r="AA1143" s="6">
        <f>$E1143+19</f>
        <v>130</v>
      </c>
      <c r="AB1143" s="7">
        <f>IF($J1143=0,0,ROUND(MAX($J1143*1.4*1.5*1.6*1.6*2.2*2.715*2.6*1.4*1.4,8430000000*(1.651435^(MIN($E1143,123)-117)))*1,0))</f>
        <v>415583854</v>
      </c>
      <c r="AC1143" s="4">
        <f>$E1143+21</f>
        <v>132</v>
      </c>
      <c r="AD1143" s="8">
        <f>IF($J1143=0,0,ROUND(MAX($J1143*1.4*1.5*1.6*1.6*2.2*2.715*2.6*1.4*1.4*1.5,12600000000*(1.652953^(MIN($E1143,123)-117)))*1,0))</f>
        <v>617742548</v>
      </c>
      <c r="AE1143" s="6">
        <f>$E1143+24</f>
        <v>135</v>
      </c>
      <c r="AF1143" s="7">
        <f>IF($J1143=0,0,ROUND(MAX($J1143*1.4*1.5*1.6*1.6*2.2*2.715*2.6*1.4*1.4*1.5*1.5,18900000000*(1.65331^(MIN($E1143,123)-117)))*1,0))</f>
        <v>925413965</v>
      </c>
      <c r="AG1143" s="4">
        <f>$E1143+27</f>
        <v>138</v>
      </c>
      <c r="AH1143" s="8">
        <f>IF($J1143=0,0,ROUND(MAX($J1143*1.4*1.5*1.6*1.6*2.2*2.715*2.6*1.4*1.4*1.5*1.5*3.2,60500000000*(1.654288^(MIN($E1143,123)-117)))*1,0))</f>
        <v>2951811756</v>
      </c>
    </row>
    <row r="1144" ht="27.75" customHeight="1" spans="1:34" x14ac:dyDescent="0.25">
      <c r="A1144" s="3">
        <v>1154</v>
      </c>
      <c r="B1144" s="3" t="s">
        <v>193</v>
      </c>
      <c r="C1144" s="3" t="s">
        <v>829</v>
      </c>
      <c r="D1144" s="3" t="s">
        <v>102</v>
      </c>
      <c r="E1144" s="3">
        <v>111</v>
      </c>
      <c r="F1144" s="3" t="s">
        <v>194</v>
      </c>
      <c r="G1144" s="3" t="s">
        <v>830</v>
      </c>
      <c r="H1144" s="3">
        <v>26</v>
      </c>
      <c r="I1144" s="4">
        <v>111</v>
      </c>
      <c r="J1144" s="5">
        <v>462000</v>
      </c>
      <c r="K1144" s="6">
        <f>$E1144+1</f>
        <v>112</v>
      </c>
      <c r="L1144" s="7">
        <f>IF($J1144=0,0,ROUND(MAX($J1144*1.4,1620000*(1.497923^(MIN($E1144,123)-117)))*1,0))</f>
        <v>646800</v>
      </c>
      <c r="M1144" s="4">
        <f>$E1144+2</f>
        <v>113</v>
      </c>
      <c r="N1144" s="8">
        <f>IF($J1144=0,0,ROUND(MAX($J1144*1.4*1.5,2190000*(1.580994^(MIN($E1144,123)-117)))*1,0))</f>
        <v>970200</v>
      </c>
      <c r="O1144" s="6">
        <f>$E1144+4</f>
        <v>115</v>
      </c>
      <c r="P1144" s="7">
        <f>IF($J1144=0,0,ROUND(MAX($J1144*1.4*1.5*1.6,3500000*(1.57975^(MIN($E1144,123)-117)))*1,0))</f>
        <v>1552320</v>
      </c>
      <c r="Q1144" s="4">
        <f>$E1144+6</f>
        <v>117</v>
      </c>
      <c r="R1144" s="8">
        <f>IF($J1144=0,0,ROUND(MAX($J1144*1.4*1.5*1.6*1.6,13100000*(1.429962^(MIN($E1144,123)-117)))*1,0))</f>
        <v>2483712</v>
      </c>
      <c r="S1144" s="6">
        <f>$E1144+8</f>
        <v>119</v>
      </c>
      <c r="T1144" s="7">
        <f>IF($J1144=0,0,ROUND(MAX($J1144*1.4*1.5*1.6*1.6*2.2,42600000*(1.576904^(MIN($E1144,123)-117)))*1,0))</f>
        <v>5464166</v>
      </c>
      <c r="U1144" s="4">
        <f>$E1144+11</f>
        <v>122</v>
      </c>
      <c r="V1144" s="8">
        <f>IF($J1144=0,0,ROUND(MAX($J1144*1.4*1.5*1.6*1.6*2.2*2.715,354000000*(1.642074^(MIN($E1144,123)-117)))*1,0))</f>
        <v>18057055</v>
      </c>
      <c r="W1144" s="6">
        <f>$E1144+15</f>
        <v>126</v>
      </c>
      <c r="X1144" s="7">
        <f>IF($J1144=0,0,ROUND(MAX($J1144*1.4*1.5*1.6*1.6*2.2*2.715*2.6,3540000000*(1.579646^(MIN($E1144,123)-117)))*1,0))</f>
        <v>227847690</v>
      </c>
      <c r="Y1144" s="4">
        <f>$E1144+17</f>
        <v>128</v>
      </c>
      <c r="Z1144" s="8">
        <f>IF($J1144=0,0,ROUND(MAX($J1144*1.4*1.5*1.6*1.6*2.2*2.715*2.6*1.4,6020000000*(1.651178^(MIN($E1144,123)-117)))*1,0))</f>
        <v>297052444</v>
      </c>
      <c r="AA1144" s="6">
        <f>$E1144+19</f>
        <v>130</v>
      </c>
      <c r="AB1144" s="7">
        <f>IF($J1144=0,0,ROUND(MAX($J1144*1.4*1.5*1.6*1.6*2.2*2.715*2.6*1.4*1.4,8430000000*(1.651435^(MIN($E1144,123)-117)))*1,0))</f>
        <v>415583854</v>
      </c>
      <c r="AC1144" s="4">
        <f>$E1144+21</f>
        <v>132</v>
      </c>
      <c r="AD1144" s="8">
        <f>IF($J1144=0,0,ROUND(MAX($J1144*1.4*1.5*1.6*1.6*2.2*2.715*2.6*1.4*1.4*1.5,12600000000*(1.652953^(MIN($E1144,123)-117)))*1,0))</f>
        <v>617742548</v>
      </c>
      <c r="AE1144" s="6">
        <f>$E1144+24</f>
        <v>135</v>
      </c>
      <c r="AF1144" s="7">
        <f>IF($J1144=0,0,ROUND(MAX($J1144*1.4*1.5*1.6*1.6*2.2*2.715*2.6*1.4*1.4*1.5*1.5,18900000000*(1.65331^(MIN($E1144,123)-117)))*1,0))</f>
        <v>925413965</v>
      </c>
      <c r="AG1144" s="4">
        <f>$E1144+27</f>
        <v>138</v>
      </c>
      <c r="AH1144" s="8">
        <f>IF($J1144=0,0,ROUND(MAX($J1144*1.4*1.5*1.6*1.6*2.2*2.715*2.6*1.4*1.4*1.5*1.5*3.2,60500000000*(1.654288^(MIN($E1144,123)-117)))*1,0))</f>
        <v>2951811756</v>
      </c>
    </row>
    <row r="1145" ht="27.75" customHeight="1" spans="1:34" x14ac:dyDescent="0.25">
      <c r="A1145" s="3">
        <v>1155</v>
      </c>
      <c r="B1145" s="3" t="s">
        <v>619</v>
      </c>
      <c r="C1145" s="3" t="s">
        <v>829</v>
      </c>
      <c r="D1145" s="3" t="s">
        <v>64</v>
      </c>
      <c r="E1145" s="3">
        <v>111</v>
      </c>
      <c r="F1145" s="3" t="s">
        <v>54</v>
      </c>
      <c r="G1145" s="3" t="s">
        <v>830</v>
      </c>
      <c r="H1145" s="3">
        <v>26</v>
      </c>
      <c r="I1145" s="4">
        <v>111</v>
      </c>
      <c r="J1145" s="5">
        <v>119000</v>
      </c>
      <c r="K1145" s="6">
        <f>$E1145+1</f>
        <v>112</v>
      </c>
      <c r="L1145" s="7">
        <f>IF($J1145=0,0,ROUND(MAX($J1145*1.4,1620000*(1.497923^(MIN($E1145,123)-117)))*1,0))</f>
        <v>166600</v>
      </c>
      <c r="M1145" s="4">
        <f>$E1145+2</f>
        <v>113</v>
      </c>
      <c r="N1145" s="8">
        <f>IF($J1145=0,0,ROUND(MAX($J1145*1.4*1.5,2190000*(1.580994^(MIN($E1145,123)-117)))*1,0))</f>
        <v>249900</v>
      </c>
      <c r="O1145" s="6">
        <f>$E1145+4</f>
        <v>115</v>
      </c>
      <c r="P1145" s="7">
        <f>IF($J1145=0,0,ROUND(MAX($J1145*1.4*1.5*1.6,3500000*(1.57975^(MIN($E1145,123)-117)))*1,0))</f>
        <v>399840</v>
      </c>
      <c r="Q1145" s="4">
        <f>$E1145+6</f>
        <v>117</v>
      </c>
      <c r="R1145" s="8">
        <f>IF($J1145=0,0,ROUND(MAX($J1145*1.4*1.5*1.6*1.6,13100000*(1.429962^(MIN($E1145,123)-117)))*1,0))</f>
        <v>1532231</v>
      </c>
      <c r="S1145" s="6">
        <f>$E1145+8</f>
        <v>119</v>
      </c>
      <c r="T1145" s="7">
        <f>IF($J1145=0,0,ROUND(MAX($J1145*1.4*1.5*1.6*1.6*2.2,42600000*(1.576904^(MIN($E1145,123)-117)))*1,0))</f>
        <v>2770627</v>
      </c>
      <c r="U1145" s="4">
        <f>$E1145+11</f>
        <v>122</v>
      </c>
      <c r="V1145" s="8">
        <f>IF($J1145=0,0,ROUND(MAX($J1145*1.4*1.5*1.6*1.6*2.2*2.715,354000000*(1.642074^(MIN($E1145,123)-117)))*1,0))</f>
        <v>18057055</v>
      </c>
      <c r="W1145" s="6">
        <f>$E1145+15</f>
        <v>126</v>
      </c>
      <c r="X1145" s="7">
        <f>IF($J1145=0,0,ROUND(MAX($J1145*1.4*1.5*1.6*1.6*2.2*2.715*2.6,3540000000*(1.579646^(MIN($E1145,123)-117)))*1,0))</f>
        <v>227847690</v>
      </c>
      <c r="Y1145" s="4">
        <f>$E1145+17</f>
        <v>128</v>
      </c>
      <c r="Z1145" s="8">
        <f>IF($J1145=0,0,ROUND(MAX($J1145*1.4*1.5*1.6*1.6*2.2*2.715*2.6*1.4,6020000000*(1.651178^(MIN($E1145,123)-117)))*1,0))</f>
        <v>297052444</v>
      </c>
      <c r="AA1145" s="6">
        <f>$E1145+19</f>
        <v>130</v>
      </c>
      <c r="AB1145" s="7">
        <f>IF($J1145=0,0,ROUND(MAX($J1145*1.4*1.5*1.6*1.6*2.2*2.715*2.6*1.4*1.4,8430000000*(1.651435^(MIN($E1145,123)-117)))*1,0))</f>
        <v>415583854</v>
      </c>
      <c r="AC1145" s="4">
        <f>$E1145+21</f>
        <v>132</v>
      </c>
      <c r="AD1145" s="8">
        <f>IF($J1145=0,0,ROUND(MAX($J1145*1.4*1.5*1.6*1.6*2.2*2.715*2.6*1.4*1.4*1.5,12600000000*(1.652953^(MIN($E1145,123)-117)))*1,0))</f>
        <v>617742548</v>
      </c>
      <c r="AE1145" s="6">
        <f>$E1145+24</f>
        <v>135</v>
      </c>
      <c r="AF1145" s="7">
        <f>IF($J1145=0,0,ROUND(MAX($J1145*1.4*1.5*1.6*1.6*2.2*2.715*2.6*1.4*1.4*1.5*1.5,18900000000*(1.65331^(MIN($E1145,123)-117)))*1,0))</f>
        <v>925413965</v>
      </c>
      <c r="AG1145" s="4">
        <f>$E1145+27</f>
        <v>138</v>
      </c>
      <c r="AH1145" s="8">
        <f>IF($J1145=0,0,ROUND(MAX($J1145*1.4*1.5*1.6*1.6*2.2*2.715*2.6*1.4*1.4*1.5*1.5*3.2,60500000000*(1.654288^(MIN($E1145,123)-117)))*1,0))</f>
        <v>2951811756</v>
      </c>
    </row>
    <row r="1146" ht="27.75" customHeight="1" spans="1:34" x14ac:dyDescent="0.25">
      <c r="A1146" s="3">
        <v>1156</v>
      </c>
      <c r="B1146" s="3" t="s">
        <v>248</v>
      </c>
      <c r="C1146" s="3" t="s">
        <v>829</v>
      </c>
      <c r="D1146" s="3" t="s">
        <v>33</v>
      </c>
      <c r="E1146" s="3">
        <v>111</v>
      </c>
      <c r="F1146" s="3" t="s">
        <v>54</v>
      </c>
      <c r="G1146" s="3" t="s">
        <v>95</v>
      </c>
      <c r="H1146" s="3">
        <v>25</v>
      </c>
      <c r="I1146" s="4">
        <v>111</v>
      </c>
      <c r="J1146" s="5">
        <v>370000</v>
      </c>
      <c r="K1146" s="6">
        <f>$E1146+1</f>
        <v>112</v>
      </c>
      <c r="L1146" s="7">
        <f>IF($J1146=0,0,ROUND(MAX($J1146*1.4,1620000*(1.497923^(MIN($E1146,123)-117)))*1,0))</f>
        <v>518000</v>
      </c>
      <c r="M1146" s="4">
        <f>$E1146+2</f>
        <v>113</v>
      </c>
      <c r="N1146" s="8">
        <f>IF($J1146=0,0,ROUND(MAX($J1146*1.4*1.5,2190000*(1.580994^(MIN($E1146,123)-117)))*1,0))</f>
        <v>777000</v>
      </c>
      <c r="O1146" s="6">
        <f>$E1146+4</f>
        <v>115</v>
      </c>
      <c r="P1146" s="7">
        <f>IF($J1146=0,0,ROUND(MAX($J1146*1.4*1.5*1.6,3500000*(1.57975^(MIN($E1146,123)-117)))*1,0))</f>
        <v>1243200</v>
      </c>
      <c r="Q1146" s="4">
        <f>$E1146+6</f>
        <v>117</v>
      </c>
      <c r="R1146" s="8">
        <f>IF($J1146=0,0,ROUND(MAX($J1146*1.4*1.5*1.6*1.6,13100000*(1.429962^(MIN($E1146,123)-117)))*1,0))</f>
        <v>1989120</v>
      </c>
      <c r="S1146" s="6">
        <f>$E1146+8</f>
        <v>119</v>
      </c>
      <c r="T1146" s="7">
        <f>IF($J1146=0,0,ROUND(MAX($J1146*1.4*1.5*1.6*1.6*2.2,42600000*(1.576904^(MIN($E1146,123)-117)))*1,0))</f>
        <v>4376064</v>
      </c>
      <c r="U1146" s="4">
        <f>$E1146+11</f>
        <v>122</v>
      </c>
      <c r="V1146" s="8">
        <f>IF($J1146=0,0,ROUND(MAX($J1146*1.4*1.5*1.6*1.6*2.2*2.715,354000000*(1.642074^(MIN($E1146,123)-117)))*1,0))</f>
        <v>18057055</v>
      </c>
      <c r="W1146" s="6">
        <f>$E1146+15</f>
        <v>126</v>
      </c>
      <c r="X1146" s="7">
        <f>IF($J1146=0,0,ROUND(MAX($J1146*1.4*1.5*1.6*1.6*2.2*2.715*2.6,3540000000*(1.579646^(MIN($E1146,123)-117)))*1,0))</f>
        <v>227847690</v>
      </c>
      <c r="Y1146" s="4">
        <f>$E1146+17</f>
        <v>128</v>
      </c>
      <c r="Z1146" s="8">
        <f>IF($J1146=0,0,ROUND(MAX($J1146*1.4*1.5*1.6*1.6*2.2*2.715*2.6*1.4,6020000000*(1.651178^(MIN($E1146,123)-117)))*1,0))</f>
        <v>297052444</v>
      </c>
      <c r="AA1146" s="6">
        <f>$E1146+19</f>
        <v>130</v>
      </c>
      <c r="AB1146" s="7">
        <f>IF($J1146=0,0,ROUND(MAX($J1146*1.4*1.5*1.6*1.6*2.2*2.715*2.6*1.4*1.4,8430000000*(1.651435^(MIN($E1146,123)-117)))*1,0))</f>
        <v>415583854</v>
      </c>
      <c r="AC1146" s="4">
        <f>$E1146+21</f>
        <v>132</v>
      </c>
      <c r="AD1146" s="8">
        <f>IF($J1146=0,0,ROUND(MAX($J1146*1.4*1.5*1.6*1.6*2.2*2.715*2.6*1.4*1.4*1.5,12600000000*(1.652953^(MIN($E1146,123)-117)))*1,0))</f>
        <v>617742548</v>
      </c>
      <c r="AE1146" s="6">
        <f>$E1146+24</f>
        <v>135</v>
      </c>
      <c r="AF1146" s="7">
        <f>IF($J1146=0,0,ROUND(MAX($J1146*1.4*1.5*1.6*1.6*2.2*2.715*2.6*1.4*1.4*1.5*1.5,18900000000*(1.65331^(MIN($E1146,123)-117)))*1,0))</f>
        <v>925413965</v>
      </c>
      <c r="AG1146" s="4">
        <f>$E1146+27</f>
        <v>138</v>
      </c>
      <c r="AH1146" s="8">
        <f>IF($J1146=0,0,ROUND(MAX($J1146*1.4*1.5*1.6*1.6*2.2*2.715*2.6*1.4*1.4*1.5*1.5*3.2,60500000000*(1.654288^(MIN($E1146,123)-117)))*1,0))</f>
        <v>2951811756</v>
      </c>
    </row>
    <row r="1147" ht="27.75" customHeight="1" spans="1:34" x14ac:dyDescent="0.25">
      <c r="A1147" s="3">
        <v>1157</v>
      </c>
      <c r="B1147" s="3" t="s">
        <v>846</v>
      </c>
      <c r="C1147" s="3" t="s">
        <v>829</v>
      </c>
      <c r="D1147" s="3" t="s">
        <v>33</v>
      </c>
      <c r="E1147" s="3">
        <v>111</v>
      </c>
      <c r="F1147" s="3" t="s">
        <v>62</v>
      </c>
      <c r="G1147" s="3" t="s">
        <v>242</v>
      </c>
      <c r="H1147" s="3">
        <v>25</v>
      </c>
      <c r="I1147" s="4">
        <v>111</v>
      </c>
      <c r="J1147" s="5">
        <v>157000</v>
      </c>
      <c r="K1147" s="6">
        <f>$E1147+1</f>
        <v>112</v>
      </c>
      <c r="L1147" s="7">
        <f>IF($J1147=0,0,ROUND(MAX($J1147*1.4,1620000*(1.497923^(MIN($E1147,123)-117)))*1,0))</f>
        <v>219800</v>
      </c>
      <c r="M1147" s="4">
        <f>$E1147+2</f>
        <v>113</v>
      </c>
      <c r="N1147" s="8">
        <f>IF($J1147=0,0,ROUND(MAX($J1147*1.4*1.5,2190000*(1.580994^(MIN($E1147,123)-117)))*1,0))</f>
        <v>329700</v>
      </c>
      <c r="O1147" s="6">
        <f>$E1147+4</f>
        <v>115</v>
      </c>
      <c r="P1147" s="7">
        <f>IF($J1147=0,0,ROUND(MAX($J1147*1.4*1.5*1.6,3500000*(1.57975^(MIN($E1147,123)-117)))*1,0))</f>
        <v>527520</v>
      </c>
      <c r="Q1147" s="4">
        <f>$E1147+6</f>
        <v>117</v>
      </c>
      <c r="R1147" s="8">
        <f>IF($J1147=0,0,ROUND(MAX($J1147*1.4*1.5*1.6*1.6,13100000*(1.429962^(MIN($E1147,123)-117)))*1,0))</f>
        <v>1532231</v>
      </c>
      <c r="S1147" s="6">
        <f>$E1147+8</f>
        <v>119</v>
      </c>
      <c r="T1147" s="7">
        <f>IF($J1147=0,0,ROUND(MAX($J1147*1.4*1.5*1.6*1.6*2.2,42600000*(1.576904^(MIN($E1147,123)-117)))*1,0))</f>
        <v>2770627</v>
      </c>
      <c r="U1147" s="4">
        <f>$E1147+11</f>
        <v>122</v>
      </c>
      <c r="V1147" s="8">
        <f>IF($J1147=0,0,ROUND(MAX($J1147*1.4*1.5*1.6*1.6*2.2*2.715,354000000*(1.642074^(MIN($E1147,123)-117)))*1,0))</f>
        <v>18057055</v>
      </c>
      <c r="W1147" s="6">
        <f>$E1147+15</f>
        <v>126</v>
      </c>
      <c r="X1147" s="7">
        <f>IF($J1147=0,0,ROUND(MAX($J1147*1.4*1.5*1.6*1.6*2.2*2.715*2.6,3540000000*(1.579646^(MIN($E1147,123)-117)))*1,0))</f>
        <v>227847690</v>
      </c>
      <c r="Y1147" s="4">
        <f>$E1147+17</f>
        <v>128</v>
      </c>
      <c r="Z1147" s="8">
        <f>IF($J1147=0,0,ROUND(MAX($J1147*1.4*1.5*1.6*1.6*2.2*2.715*2.6*1.4,6020000000*(1.651178^(MIN($E1147,123)-117)))*1,0))</f>
        <v>297052444</v>
      </c>
      <c r="AA1147" s="6">
        <f>$E1147+19</f>
        <v>130</v>
      </c>
      <c r="AB1147" s="7">
        <f>IF($J1147=0,0,ROUND(MAX($J1147*1.4*1.5*1.6*1.6*2.2*2.715*2.6*1.4*1.4,8430000000*(1.651435^(MIN($E1147,123)-117)))*1,0))</f>
        <v>415583854</v>
      </c>
      <c r="AC1147" s="4">
        <f>$E1147+21</f>
        <v>132</v>
      </c>
      <c r="AD1147" s="8">
        <f>IF($J1147=0,0,ROUND(MAX($J1147*1.4*1.5*1.6*1.6*2.2*2.715*2.6*1.4*1.4*1.5,12600000000*(1.652953^(MIN($E1147,123)-117)))*1,0))</f>
        <v>617742548</v>
      </c>
      <c r="AE1147" s="6">
        <f>$E1147+24</f>
        <v>135</v>
      </c>
      <c r="AF1147" s="7">
        <f>IF($J1147=0,0,ROUND(MAX($J1147*1.4*1.5*1.6*1.6*2.2*2.715*2.6*1.4*1.4*1.5*1.5,18900000000*(1.65331^(MIN($E1147,123)-117)))*1,0))</f>
        <v>925413965</v>
      </c>
      <c r="AG1147" s="4">
        <f>$E1147+27</f>
        <v>138</v>
      </c>
      <c r="AH1147" s="8">
        <f>IF($J1147=0,0,ROUND(MAX($J1147*1.4*1.5*1.6*1.6*2.2*2.715*2.6*1.4*1.4*1.5*1.5*3.2,60500000000*(1.654288^(MIN($E1147,123)-117)))*1,0))</f>
        <v>2951811756</v>
      </c>
    </row>
    <row r="1148" ht="27.75" customHeight="1" spans="1:34" x14ac:dyDescent="0.25">
      <c r="A1148" s="3">
        <v>1158</v>
      </c>
      <c r="B1148" s="3" t="s">
        <v>847</v>
      </c>
      <c r="C1148" s="3" t="s">
        <v>829</v>
      </c>
      <c r="D1148" s="3" t="s">
        <v>90</v>
      </c>
      <c r="E1148" s="3">
        <v>111</v>
      </c>
      <c r="F1148" s="3" t="s">
        <v>56</v>
      </c>
      <c r="G1148" s="3" t="s">
        <v>95</v>
      </c>
      <c r="H1148" s="3">
        <v>25</v>
      </c>
      <c r="I1148" s="4">
        <v>111</v>
      </c>
      <c r="J1148" s="5">
        <v>158000</v>
      </c>
      <c r="K1148" s="6">
        <f>$E1148+1</f>
        <v>112</v>
      </c>
      <c r="L1148" s="7">
        <f>IF($J1148=0,0,ROUND(MAX($J1148*1.4,1620000*(1.497923^(MIN($E1148,123)-117)))*1,0))</f>
        <v>221200</v>
      </c>
      <c r="M1148" s="4">
        <f>$E1148+2</f>
        <v>113</v>
      </c>
      <c r="N1148" s="8">
        <f>IF($J1148=0,0,ROUND(MAX($J1148*1.4*1.5,2190000*(1.580994^(MIN($E1148,123)-117)))*1,0))</f>
        <v>331800</v>
      </c>
      <c r="O1148" s="6">
        <f>$E1148+4</f>
        <v>115</v>
      </c>
      <c r="P1148" s="7">
        <f>IF($J1148=0,0,ROUND(MAX($J1148*1.4*1.5*1.6,3500000*(1.57975^(MIN($E1148,123)-117)))*1,0))</f>
        <v>530880</v>
      </c>
      <c r="Q1148" s="4">
        <f>$E1148+6</f>
        <v>117</v>
      </c>
      <c r="R1148" s="8">
        <f>IF($J1148=0,0,ROUND(MAX($J1148*1.4*1.5*1.6*1.6,13100000*(1.429962^(MIN($E1148,123)-117)))*1,0))</f>
        <v>1532231</v>
      </c>
      <c r="S1148" s="6">
        <f>$E1148+8</f>
        <v>119</v>
      </c>
      <c r="T1148" s="7">
        <f>IF($J1148=0,0,ROUND(MAX($J1148*1.4*1.5*1.6*1.6*2.2,42600000*(1.576904^(MIN($E1148,123)-117)))*1,0))</f>
        <v>2770627</v>
      </c>
      <c r="U1148" s="4">
        <f>$E1148+11</f>
        <v>122</v>
      </c>
      <c r="V1148" s="8">
        <f>IF($J1148=0,0,ROUND(MAX($J1148*1.4*1.5*1.6*1.6*2.2*2.715,354000000*(1.642074^(MIN($E1148,123)-117)))*1,0))</f>
        <v>18057055</v>
      </c>
      <c r="W1148" s="6">
        <f>$E1148+15</f>
        <v>126</v>
      </c>
      <c r="X1148" s="7">
        <f>IF($J1148=0,0,ROUND(MAX($J1148*1.4*1.5*1.6*1.6*2.2*2.715*2.6,3540000000*(1.579646^(MIN($E1148,123)-117)))*1,0))</f>
        <v>227847690</v>
      </c>
      <c r="Y1148" s="4">
        <f>$E1148+17</f>
        <v>128</v>
      </c>
      <c r="Z1148" s="8">
        <f>IF($J1148=0,0,ROUND(MAX($J1148*1.4*1.5*1.6*1.6*2.2*2.715*2.6*1.4,6020000000*(1.651178^(MIN($E1148,123)-117)))*1,0))</f>
        <v>297052444</v>
      </c>
      <c r="AA1148" s="6">
        <f>$E1148+19</f>
        <v>130</v>
      </c>
      <c r="AB1148" s="7">
        <f>IF($J1148=0,0,ROUND(MAX($J1148*1.4*1.5*1.6*1.6*2.2*2.715*2.6*1.4*1.4,8430000000*(1.651435^(MIN($E1148,123)-117)))*1,0))</f>
        <v>415583854</v>
      </c>
      <c r="AC1148" s="4">
        <f>$E1148+21</f>
        <v>132</v>
      </c>
      <c r="AD1148" s="8">
        <f>IF($J1148=0,0,ROUND(MAX($J1148*1.4*1.5*1.6*1.6*2.2*2.715*2.6*1.4*1.4*1.5,12600000000*(1.652953^(MIN($E1148,123)-117)))*1,0))</f>
        <v>617742548</v>
      </c>
      <c r="AE1148" s="6">
        <f>$E1148+24</f>
        <v>135</v>
      </c>
      <c r="AF1148" s="7">
        <f>IF($J1148=0,0,ROUND(MAX($J1148*1.4*1.5*1.6*1.6*2.2*2.715*2.6*1.4*1.4*1.5*1.5,18900000000*(1.65331^(MIN($E1148,123)-117)))*1,0))</f>
        <v>925413965</v>
      </c>
      <c r="AG1148" s="4">
        <f>$E1148+27</f>
        <v>138</v>
      </c>
      <c r="AH1148" s="8">
        <f>IF($J1148=0,0,ROUND(MAX($J1148*1.4*1.5*1.6*1.6*2.2*2.715*2.6*1.4*1.4*1.5*1.5*3.2,60500000000*(1.654288^(MIN($E1148,123)-117)))*1,0))</f>
        <v>2951811756</v>
      </c>
    </row>
    <row r="1149" ht="27.75" customHeight="1" spans="1:34" x14ac:dyDescent="0.25">
      <c r="A1149" s="3">
        <v>1159</v>
      </c>
      <c r="B1149" s="3" t="s">
        <v>848</v>
      </c>
      <c r="C1149" s="3" t="s">
        <v>829</v>
      </c>
      <c r="D1149" s="3" t="s">
        <v>47</v>
      </c>
      <c r="E1149" s="3">
        <v>111</v>
      </c>
      <c r="F1149" s="3" t="s">
        <v>34</v>
      </c>
      <c r="G1149" s="3" t="s">
        <v>35</v>
      </c>
      <c r="H1149" s="3">
        <v>24</v>
      </c>
      <c r="I1149" s="4">
        <v>111</v>
      </c>
      <c r="J1149" s="5">
        <v>462000</v>
      </c>
      <c r="K1149" s="6">
        <f>$E1149+1</f>
        <v>112</v>
      </c>
      <c r="L1149" s="7">
        <f>IF($J1149=0,0,ROUND(MAX($J1149*1.4,1620000*(1.497923^(MIN($E1149,123)-117)))*1,0))</f>
        <v>646800</v>
      </c>
      <c r="M1149" s="4">
        <f>$E1149+2</f>
        <v>113</v>
      </c>
      <c r="N1149" s="8">
        <f>IF($J1149=0,0,ROUND(MAX($J1149*1.4*1.5,2190000*(1.580994^(MIN($E1149,123)-117)))*1,0))</f>
        <v>970200</v>
      </c>
      <c r="O1149" s="6">
        <f>$E1149+4</f>
        <v>115</v>
      </c>
      <c r="P1149" s="7">
        <f>IF($J1149=0,0,ROUND(MAX($J1149*1.4*1.5*1.6,3500000*(1.57975^(MIN($E1149,123)-117)))*1,0))</f>
        <v>1552320</v>
      </c>
      <c r="Q1149" s="4">
        <f>$E1149+6</f>
        <v>117</v>
      </c>
      <c r="R1149" s="8">
        <f>IF($J1149=0,0,ROUND(MAX($J1149*1.4*1.5*1.6*1.6,13100000*(1.429962^(MIN($E1149,123)-117)))*1,0))</f>
        <v>2483712</v>
      </c>
      <c r="S1149" s="6">
        <f>$E1149+8</f>
        <v>119</v>
      </c>
      <c r="T1149" s="7">
        <f>IF($J1149=0,0,ROUND(MAX($J1149*1.4*1.5*1.6*1.6*2.2,42600000*(1.576904^(MIN($E1149,123)-117)))*1,0))</f>
        <v>5464166</v>
      </c>
      <c r="U1149" s="4">
        <f>$E1149+11</f>
        <v>122</v>
      </c>
      <c r="V1149" s="8">
        <f>IF($J1149=0,0,ROUND(MAX($J1149*1.4*1.5*1.6*1.6*2.2*2.715,354000000*(1.642074^(MIN($E1149,123)-117)))*1,0))</f>
        <v>18057055</v>
      </c>
      <c r="W1149" s="6">
        <f>$E1149+15</f>
        <v>126</v>
      </c>
      <c r="X1149" s="7">
        <f>IF($J1149=0,0,ROUND(MAX($J1149*1.4*1.5*1.6*1.6*2.2*2.715*2.6,3540000000*(1.579646^(MIN($E1149,123)-117)))*1,0))</f>
        <v>227847690</v>
      </c>
      <c r="Y1149" s="4">
        <f>$E1149+17</f>
        <v>128</v>
      </c>
      <c r="Z1149" s="8">
        <f>IF($J1149=0,0,ROUND(MAX($J1149*1.4*1.5*1.6*1.6*2.2*2.715*2.6*1.4,6020000000*(1.651178^(MIN($E1149,123)-117)))*1,0))</f>
        <v>297052444</v>
      </c>
      <c r="AA1149" s="6">
        <f>$E1149+19</f>
        <v>130</v>
      </c>
      <c r="AB1149" s="7">
        <f>IF($J1149=0,0,ROUND(MAX($J1149*1.4*1.5*1.6*1.6*2.2*2.715*2.6*1.4*1.4,8430000000*(1.651435^(MIN($E1149,123)-117)))*1,0))</f>
        <v>415583854</v>
      </c>
      <c r="AC1149" s="4">
        <f>$E1149+21</f>
        <v>132</v>
      </c>
      <c r="AD1149" s="8">
        <f>IF($J1149=0,0,ROUND(MAX($J1149*1.4*1.5*1.6*1.6*2.2*2.715*2.6*1.4*1.4*1.5,12600000000*(1.652953^(MIN($E1149,123)-117)))*1,0))</f>
        <v>617742548</v>
      </c>
      <c r="AE1149" s="6">
        <f>$E1149+24</f>
        <v>135</v>
      </c>
      <c r="AF1149" s="7">
        <f>IF($J1149=0,0,ROUND(MAX($J1149*1.4*1.5*1.6*1.6*2.2*2.715*2.6*1.4*1.4*1.5*1.5,18900000000*(1.65331^(MIN($E1149,123)-117)))*1,0))</f>
        <v>925413965</v>
      </c>
      <c r="AG1149" s="4">
        <f>$E1149+27</f>
        <v>138</v>
      </c>
      <c r="AH1149" s="8">
        <f>IF($J1149=0,0,ROUND(MAX($J1149*1.4*1.5*1.6*1.6*2.2*2.715*2.6*1.4*1.4*1.5*1.5*3.2,60500000000*(1.654288^(MIN($E1149,123)-117)))*1,0))</f>
        <v>2951811756</v>
      </c>
    </row>
    <row r="1150" ht="27.75" customHeight="1" spans="1:34" x14ac:dyDescent="0.25">
      <c r="A1150" s="3">
        <v>1160</v>
      </c>
      <c r="B1150" s="3" t="s">
        <v>785</v>
      </c>
      <c r="C1150" s="3" t="s">
        <v>829</v>
      </c>
      <c r="D1150" s="3" t="s">
        <v>47</v>
      </c>
      <c r="E1150" s="3">
        <v>111</v>
      </c>
      <c r="F1150" s="3" t="s">
        <v>34</v>
      </c>
      <c r="G1150" s="3" t="s">
        <v>72</v>
      </c>
      <c r="H1150" s="3">
        <v>23</v>
      </c>
      <c r="I1150" s="4">
        <v>111</v>
      </c>
      <c r="J1150" s="5">
        <v>161000</v>
      </c>
      <c r="K1150" s="6">
        <f>$E1150+1</f>
        <v>112</v>
      </c>
      <c r="L1150" s="7">
        <f>IF($J1150=0,0,ROUND(MAX($J1150*1.4,1620000*(1.497923^(MIN($E1150,123)-117)))*1,0))</f>
        <v>225400</v>
      </c>
      <c r="M1150" s="4">
        <f>$E1150+2</f>
        <v>113</v>
      </c>
      <c r="N1150" s="8">
        <f>IF($J1150=0,0,ROUND(MAX($J1150*1.4*1.5,2190000*(1.580994^(MIN($E1150,123)-117)))*1,0))</f>
        <v>338100</v>
      </c>
      <c r="O1150" s="6">
        <f>$E1150+4</f>
        <v>115</v>
      </c>
      <c r="P1150" s="7">
        <f>IF($J1150=0,0,ROUND(MAX($J1150*1.4*1.5*1.6,3500000*(1.57975^(MIN($E1150,123)-117)))*1,0))</f>
        <v>540960</v>
      </c>
      <c r="Q1150" s="4">
        <f>$E1150+6</f>
        <v>117</v>
      </c>
      <c r="R1150" s="8">
        <f>IF($J1150=0,0,ROUND(MAX($J1150*1.4*1.5*1.6*1.6,13100000*(1.429962^(MIN($E1150,123)-117)))*1,0))</f>
        <v>1532231</v>
      </c>
      <c r="S1150" s="6">
        <f>$E1150+8</f>
        <v>119</v>
      </c>
      <c r="T1150" s="7">
        <f>IF($J1150=0,0,ROUND(MAX($J1150*1.4*1.5*1.6*1.6*2.2,42600000*(1.576904^(MIN($E1150,123)-117)))*1,0))</f>
        <v>2770627</v>
      </c>
      <c r="U1150" s="4">
        <f>$E1150+11</f>
        <v>122</v>
      </c>
      <c r="V1150" s="8">
        <f>IF($J1150=0,0,ROUND(MAX($J1150*1.4*1.5*1.6*1.6*2.2*2.715,354000000*(1.642074^(MIN($E1150,123)-117)))*1,0))</f>
        <v>18057055</v>
      </c>
      <c r="W1150" s="6">
        <f>$E1150+15</f>
        <v>126</v>
      </c>
      <c r="X1150" s="7">
        <f>IF($J1150=0,0,ROUND(MAX($J1150*1.4*1.5*1.6*1.6*2.2*2.715*2.6,3540000000*(1.579646^(MIN($E1150,123)-117)))*1,0))</f>
        <v>227847690</v>
      </c>
      <c r="Y1150" s="4">
        <f>$E1150+17</f>
        <v>128</v>
      </c>
      <c r="Z1150" s="8">
        <f>IF($J1150=0,0,ROUND(MAX($J1150*1.4*1.5*1.6*1.6*2.2*2.715*2.6*1.4,6020000000*(1.651178^(MIN($E1150,123)-117)))*1,0))</f>
        <v>297052444</v>
      </c>
      <c r="AA1150" s="6">
        <f>$E1150+19</f>
        <v>130</v>
      </c>
      <c r="AB1150" s="7">
        <f>IF($J1150=0,0,ROUND(MAX($J1150*1.4*1.5*1.6*1.6*2.2*2.715*2.6*1.4*1.4,8430000000*(1.651435^(MIN($E1150,123)-117)))*1,0))</f>
        <v>415583854</v>
      </c>
      <c r="AC1150" s="4">
        <f>$E1150+21</f>
        <v>132</v>
      </c>
      <c r="AD1150" s="8">
        <f>IF($J1150=0,0,ROUND(MAX($J1150*1.4*1.5*1.6*1.6*2.2*2.715*2.6*1.4*1.4*1.5,12600000000*(1.652953^(MIN($E1150,123)-117)))*1,0))</f>
        <v>617742548</v>
      </c>
      <c r="AE1150" s="6">
        <f>$E1150+24</f>
        <v>135</v>
      </c>
      <c r="AF1150" s="7">
        <f>IF($J1150=0,0,ROUND(MAX($J1150*1.4*1.5*1.6*1.6*2.2*2.715*2.6*1.4*1.4*1.5*1.5,18900000000*(1.65331^(MIN($E1150,123)-117)))*1,0))</f>
        <v>925413965</v>
      </c>
      <c r="AG1150" s="4">
        <f>$E1150+27</f>
        <v>138</v>
      </c>
      <c r="AH1150" s="8">
        <f>IF($J1150=0,0,ROUND(MAX($J1150*1.4*1.5*1.6*1.6*2.2*2.715*2.6*1.4*1.4*1.5*1.5*3.2,60500000000*(1.654288^(MIN($E1150,123)-117)))*1,0))</f>
        <v>2951811756</v>
      </c>
    </row>
    <row r="1151" ht="27.75" customHeight="1" spans="1:34" x14ac:dyDescent="0.25">
      <c r="A1151" s="3">
        <v>1161</v>
      </c>
      <c r="B1151" s="3" t="s">
        <v>256</v>
      </c>
      <c r="C1151" s="3" t="s">
        <v>829</v>
      </c>
      <c r="D1151" s="3" t="s">
        <v>47</v>
      </c>
      <c r="E1151" s="3">
        <v>111</v>
      </c>
      <c r="F1151" s="3" t="s">
        <v>71</v>
      </c>
      <c r="G1151" s="3" t="s">
        <v>95</v>
      </c>
      <c r="H1151" s="3">
        <v>22</v>
      </c>
      <c r="I1151" s="4">
        <v>111</v>
      </c>
      <c r="J1151" s="5">
        <v>150000</v>
      </c>
      <c r="K1151" s="6">
        <f>$E1151+1</f>
        <v>112</v>
      </c>
      <c r="L1151" s="7">
        <f>IF($J1151=0,0,ROUND(MAX($J1151*1.4,1620000*(1.497923^(MIN($E1151,123)-117)))*1,0))</f>
        <v>210000</v>
      </c>
      <c r="M1151" s="4">
        <f>$E1151+2</f>
        <v>113</v>
      </c>
      <c r="N1151" s="8">
        <f>IF($J1151=0,0,ROUND(MAX($J1151*1.4*1.5,2190000*(1.580994^(MIN($E1151,123)-117)))*1,0))</f>
        <v>315000</v>
      </c>
      <c r="O1151" s="6">
        <f>$E1151+4</f>
        <v>115</v>
      </c>
      <c r="P1151" s="7">
        <f>IF($J1151=0,0,ROUND(MAX($J1151*1.4*1.5*1.6,3500000*(1.57975^(MIN($E1151,123)-117)))*1,0))</f>
        <v>504000</v>
      </c>
      <c r="Q1151" s="4">
        <f>$E1151+6</f>
        <v>117</v>
      </c>
      <c r="R1151" s="8">
        <f>IF($J1151=0,0,ROUND(MAX($J1151*1.4*1.5*1.6*1.6,13100000*(1.429962^(MIN($E1151,123)-117)))*1,0))</f>
        <v>1532231</v>
      </c>
      <c r="S1151" s="6">
        <f>$E1151+8</f>
        <v>119</v>
      </c>
      <c r="T1151" s="7">
        <f>IF($J1151=0,0,ROUND(MAX($J1151*1.4*1.5*1.6*1.6*2.2,42600000*(1.576904^(MIN($E1151,123)-117)))*1,0))</f>
        <v>2770627</v>
      </c>
      <c r="U1151" s="4">
        <f>$E1151+11</f>
        <v>122</v>
      </c>
      <c r="V1151" s="8">
        <f>IF($J1151=0,0,ROUND(MAX($J1151*1.4*1.5*1.6*1.6*2.2*2.715,354000000*(1.642074^(MIN($E1151,123)-117)))*1,0))</f>
        <v>18057055</v>
      </c>
      <c r="W1151" s="6">
        <f>$E1151+15</f>
        <v>126</v>
      </c>
      <c r="X1151" s="7">
        <f>IF($J1151=0,0,ROUND(MAX($J1151*1.4*1.5*1.6*1.6*2.2*2.715*2.6,3540000000*(1.579646^(MIN($E1151,123)-117)))*1,0))</f>
        <v>227847690</v>
      </c>
      <c r="Y1151" s="4">
        <f>$E1151+17</f>
        <v>128</v>
      </c>
      <c r="Z1151" s="8">
        <f>IF($J1151=0,0,ROUND(MAX($J1151*1.4*1.5*1.6*1.6*2.2*2.715*2.6*1.4,6020000000*(1.651178^(MIN($E1151,123)-117)))*1,0))</f>
        <v>297052444</v>
      </c>
      <c r="AA1151" s="6">
        <f>$E1151+19</f>
        <v>130</v>
      </c>
      <c r="AB1151" s="7">
        <f>IF($J1151=0,0,ROUND(MAX($J1151*1.4*1.5*1.6*1.6*2.2*2.715*2.6*1.4*1.4,8430000000*(1.651435^(MIN($E1151,123)-117)))*1,0))</f>
        <v>415583854</v>
      </c>
      <c r="AC1151" s="4">
        <f>$E1151+21</f>
        <v>132</v>
      </c>
      <c r="AD1151" s="8">
        <f>IF($J1151=0,0,ROUND(MAX($J1151*1.4*1.5*1.6*1.6*2.2*2.715*2.6*1.4*1.4*1.5,12600000000*(1.652953^(MIN($E1151,123)-117)))*1,0))</f>
        <v>617742548</v>
      </c>
      <c r="AE1151" s="6">
        <f>$E1151+24</f>
        <v>135</v>
      </c>
      <c r="AF1151" s="7">
        <f>IF($J1151=0,0,ROUND(MAX($J1151*1.4*1.5*1.6*1.6*2.2*2.715*2.6*1.4*1.4*1.5*1.5,18900000000*(1.65331^(MIN($E1151,123)-117)))*1,0))</f>
        <v>925413965</v>
      </c>
      <c r="AG1151" s="4">
        <f>$E1151+27</f>
        <v>138</v>
      </c>
      <c r="AH1151" s="8">
        <f>IF($J1151=0,0,ROUND(MAX($J1151*1.4*1.5*1.6*1.6*2.2*2.715*2.6*1.4*1.4*1.5*1.5*3.2,60500000000*(1.654288^(MIN($E1151,123)-117)))*1,0))</f>
        <v>2951811756</v>
      </c>
    </row>
    <row r="1152" ht="27.75" customHeight="1" spans="1:34" x14ac:dyDescent="0.25">
      <c r="A1152" s="3">
        <v>1162</v>
      </c>
      <c r="B1152" s="3" t="s">
        <v>96</v>
      </c>
      <c r="C1152" s="3" t="s">
        <v>829</v>
      </c>
      <c r="D1152" s="3" t="s">
        <v>40</v>
      </c>
      <c r="E1152" s="3">
        <v>110</v>
      </c>
      <c r="F1152" s="3" t="s">
        <v>97</v>
      </c>
      <c r="G1152" s="3" t="s">
        <v>830</v>
      </c>
      <c r="H1152" s="3">
        <v>27</v>
      </c>
      <c r="I1152" s="4">
        <v>110</v>
      </c>
      <c r="J1152" s="5">
        <v>473000</v>
      </c>
      <c r="K1152" s="6">
        <f>$E1152+1</f>
        <v>111</v>
      </c>
      <c r="L1152" s="7">
        <f>IF($J1152=0,0,ROUND(MAX($J1152*1.4,1620000*(1.497923^(MIN($E1152,123)-117)))*1,0))</f>
        <v>662200</v>
      </c>
      <c r="M1152" s="4">
        <f>$E1152+2</f>
        <v>112</v>
      </c>
      <c r="N1152" s="8">
        <f>IF($J1152=0,0,ROUND(MAX($J1152*1.4*1.5,2190000*(1.580994^(MIN($E1152,123)-117)))*1,0))</f>
        <v>993300</v>
      </c>
      <c r="O1152" s="6">
        <f>$E1152+4</f>
        <v>114</v>
      </c>
      <c r="P1152" s="7">
        <f>IF($J1152=0,0,ROUND(MAX($J1152*1.4*1.5*1.6,3500000*(1.57975^(MIN($E1152,123)-117)))*1,0))</f>
        <v>1589280</v>
      </c>
      <c r="Q1152" s="4">
        <f>$E1152+6</f>
        <v>116</v>
      </c>
      <c r="R1152" s="8">
        <f>IF($J1152=0,0,ROUND(MAX($J1152*1.4*1.5*1.6*1.6,13100000*(1.429962^(MIN($E1152,123)-117)))*1,0))</f>
        <v>2542848</v>
      </c>
      <c r="S1152" s="6">
        <f>$E1152+8</f>
        <v>118</v>
      </c>
      <c r="T1152" s="7">
        <f>IF($J1152=0,0,ROUND(MAX($J1152*1.4*1.5*1.6*1.6*2.2,42600000*(1.576904^(MIN($E1152,123)-117)))*1,0))</f>
        <v>5594266</v>
      </c>
      <c r="U1152" s="4">
        <f>$E1152+11</f>
        <v>121</v>
      </c>
      <c r="V1152" s="8">
        <f>IF($J1152=0,0,ROUND(MAX($J1152*1.4*1.5*1.6*1.6*2.2*2.715,354000000*(1.642074^(MIN($E1152,123)-117)))*1,0))</f>
        <v>15188431</v>
      </c>
      <c r="W1152" s="6">
        <f>$E1152+15</f>
        <v>125</v>
      </c>
      <c r="X1152" s="7">
        <f>IF($J1152=0,0,ROUND(MAX($J1152*1.4*1.5*1.6*1.6*2.2*2.715*2.6,3540000000*(1.579646^(MIN($E1152,123)-117)))*1,0))</f>
        <v>144239716</v>
      </c>
      <c r="Y1152" s="4">
        <f>$E1152+17</f>
        <v>127</v>
      </c>
      <c r="Z1152" s="8">
        <f>IF($J1152=0,0,ROUND(MAX($J1152*1.4*1.5*1.6*1.6*2.2*2.715*2.6*1.4,6020000000*(1.651178^(MIN($E1152,123)-117)))*1,0))</f>
        <v>179903344</v>
      </c>
      <c r="AA1152" s="6">
        <f>$E1152+19</f>
        <v>129</v>
      </c>
      <c r="AB1152" s="7">
        <f>IF($J1152=0,0,ROUND(MAX($J1152*1.4*1.5*1.6*1.6*2.2*2.715*2.6*1.4*1.4,8430000000*(1.651435^(MIN($E1152,123)-117)))*1,0))</f>
        <v>251650143</v>
      </c>
      <c r="AC1152" s="4">
        <f>$E1152+21</f>
        <v>131</v>
      </c>
      <c r="AD1152" s="8">
        <f>IF($J1152=0,0,ROUND(MAX($J1152*1.4*1.5*1.6*1.6*2.2*2.715*2.6*1.4*1.4*1.5,12600000000*(1.652953^(MIN($E1152,123)-117)))*1,0))</f>
        <v>373720576</v>
      </c>
      <c r="AE1152" s="6">
        <f>$E1152+24</f>
        <v>134</v>
      </c>
      <c r="AF1152" s="7">
        <f>IF($J1152=0,0,ROUND(MAX($J1152*1.4*1.5*1.6*1.6*2.2*2.715*2.6*1.4*1.4*1.5*1.5,18900000000*(1.65331^(MIN($E1152,123)-117)))*1,0))</f>
        <v>559734088</v>
      </c>
      <c r="AG1152" s="4">
        <f>$E1152+27</f>
        <v>137</v>
      </c>
      <c r="AH1152" s="8">
        <f>IF($J1152=0,0,ROUND(MAX($J1152*1.4*1.5*1.6*1.6*2.2*2.715*2.6*1.4*1.4*1.5*1.5*3.2,60500000000*(1.654288^(MIN($E1152,123)-117)))*1,0))</f>
        <v>1784339701</v>
      </c>
    </row>
    <row r="1153" ht="27.75" customHeight="1" spans="1:34" x14ac:dyDescent="0.25">
      <c r="A1153" s="3">
        <v>1163</v>
      </c>
      <c r="B1153" s="3" t="s">
        <v>849</v>
      </c>
      <c r="C1153" s="3" t="s">
        <v>829</v>
      </c>
      <c r="D1153" s="3" t="s">
        <v>40</v>
      </c>
      <c r="E1153" s="3">
        <v>110</v>
      </c>
      <c r="F1153" s="3" t="s">
        <v>850</v>
      </c>
      <c r="G1153" s="3" t="s">
        <v>851</v>
      </c>
      <c r="H1153" s="3">
        <v>26</v>
      </c>
      <c r="I1153" s="4">
        <v>110</v>
      </c>
      <c r="J1153" s="5">
        <v>91700</v>
      </c>
      <c r="K1153" s="6">
        <f>$E1153+1</f>
        <v>111</v>
      </c>
      <c r="L1153" s="7">
        <f>IF($J1153=0,0,ROUND(MAX($J1153*1.4,1620000*(1.497923^(MIN($E1153,123)-117)))*1,0))</f>
        <v>128380</v>
      </c>
      <c r="M1153" s="4">
        <f>$E1153+2</f>
        <v>112</v>
      </c>
      <c r="N1153" s="8">
        <f>IF($J1153=0,0,ROUND(MAX($J1153*1.4*1.5,2190000*(1.580994^(MIN($E1153,123)-117)))*1,0))</f>
        <v>192570</v>
      </c>
      <c r="O1153" s="6">
        <f>$E1153+4</f>
        <v>114</v>
      </c>
      <c r="P1153" s="7">
        <f>IF($J1153=0,0,ROUND(MAX($J1153*1.4*1.5*1.6,3500000*(1.57975^(MIN($E1153,123)-117)))*1,0))</f>
        <v>308112</v>
      </c>
      <c r="Q1153" s="4">
        <f>$E1153+6</f>
        <v>116</v>
      </c>
      <c r="R1153" s="8">
        <f>IF($J1153=0,0,ROUND(MAX($J1153*1.4*1.5*1.6*1.6,13100000*(1.429962^(MIN($E1153,123)-117)))*1,0))</f>
        <v>1071519</v>
      </c>
      <c r="S1153" s="6">
        <f>$E1153+8</f>
        <v>118</v>
      </c>
      <c r="T1153" s="7">
        <f>IF($J1153=0,0,ROUND(MAX($J1153*1.4*1.5*1.6*1.6*2.2,42600000*(1.576904^(MIN($E1153,123)-117)))*1,0))</f>
        <v>1757004</v>
      </c>
      <c r="U1153" s="4">
        <f>$E1153+11</f>
        <v>121</v>
      </c>
      <c r="V1153" s="8">
        <f>IF($J1153=0,0,ROUND(MAX($J1153*1.4*1.5*1.6*1.6*2.2*2.715,354000000*(1.642074^(MIN($E1153,123)-117)))*1,0))</f>
        <v>10996493</v>
      </c>
      <c r="W1153" s="6">
        <f>$E1153+15</f>
        <v>125</v>
      </c>
      <c r="X1153" s="7">
        <f>IF($J1153=0,0,ROUND(MAX($J1153*1.4*1.5*1.6*1.6*2.2*2.715*2.6,3540000000*(1.579646^(MIN($E1153,123)-117)))*1,0))</f>
        <v>144239716</v>
      </c>
      <c r="Y1153" s="4">
        <f>$E1153+17</f>
        <v>127</v>
      </c>
      <c r="Z1153" s="8">
        <f>IF($J1153=0,0,ROUND(MAX($J1153*1.4*1.5*1.6*1.6*2.2*2.715*2.6*1.4,6020000000*(1.651178^(MIN($E1153,123)-117)))*1,0))</f>
        <v>179903344</v>
      </c>
      <c r="AA1153" s="6">
        <f>$E1153+19</f>
        <v>129</v>
      </c>
      <c r="AB1153" s="7">
        <f>IF($J1153=0,0,ROUND(MAX($J1153*1.4*1.5*1.6*1.6*2.2*2.715*2.6*1.4*1.4,8430000000*(1.651435^(MIN($E1153,123)-117)))*1,0))</f>
        <v>251650143</v>
      </c>
      <c r="AC1153" s="4">
        <f>$E1153+21</f>
        <v>131</v>
      </c>
      <c r="AD1153" s="8">
        <f>IF($J1153=0,0,ROUND(MAX($J1153*1.4*1.5*1.6*1.6*2.2*2.715*2.6*1.4*1.4*1.5,12600000000*(1.652953^(MIN($E1153,123)-117)))*1,0))</f>
        <v>373720576</v>
      </c>
      <c r="AE1153" s="6">
        <f>$E1153+24</f>
        <v>134</v>
      </c>
      <c r="AF1153" s="7">
        <f>IF($J1153=0,0,ROUND(MAX($J1153*1.4*1.5*1.6*1.6*2.2*2.715*2.6*1.4*1.4*1.5*1.5,18900000000*(1.65331^(MIN($E1153,123)-117)))*1,0))</f>
        <v>559734088</v>
      </c>
      <c r="AG1153" s="4">
        <f>$E1153+27</f>
        <v>137</v>
      </c>
      <c r="AH1153" s="8">
        <f>IF($J1153=0,0,ROUND(MAX($J1153*1.4*1.5*1.6*1.6*2.2*2.715*2.6*1.4*1.4*1.5*1.5*3.2,60500000000*(1.654288^(MIN($E1153,123)-117)))*1,0))</f>
        <v>1784339701</v>
      </c>
    </row>
    <row r="1154" ht="27.75" customHeight="1" spans="1:34" x14ac:dyDescent="0.25">
      <c r="A1154" s="3">
        <v>1164</v>
      </c>
      <c r="B1154" s="3" t="s">
        <v>143</v>
      </c>
      <c r="C1154" s="3" t="s">
        <v>829</v>
      </c>
      <c r="D1154" s="3" t="s">
        <v>165</v>
      </c>
      <c r="E1154" s="3">
        <v>110</v>
      </c>
      <c r="F1154" s="3" t="s">
        <v>144</v>
      </c>
      <c r="G1154" s="3" t="s">
        <v>830</v>
      </c>
      <c r="H1154" s="3">
        <v>26</v>
      </c>
      <c r="I1154" s="4">
        <v>110</v>
      </c>
      <c r="J1154" s="5">
        <v>444000</v>
      </c>
      <c r="K1154" s="6">
        <f>$E1154+1</f>
        <v>111</v>
      </c>
      <c r="L1154" s="7">
        <f>IF($J1154=0,0,ROUND(MAX($J1154*1.4,1620000*(1.497923^(MIN($E1154,123)-117)))*1,0))</f>
        <v>621600</v>
      </c>
      <c r="M1154" s="4">
        <f>$E1154+2</f>
        <v>112</v>
      </c>
      <c r="N1154" s="8">
        <f>IF($J1154=0,0,ROUND(MAX($J1154*1.4*1.5,2190000*(1.580994^(MIN($E1154,123)-117)))*1,0))</f>
        <v>932400</v>
      </c>
      <c r="O1154" s="6">
        <f>$E1154+4</f>
        <v>114</v>
      </c>
      <c r="P1154" s="7">
        <f>IF($J1154=0,0,ROUND(MAX($J1154*1.4*1.5*1.6,3500000*(1.57975^(MIN($E1154,123)-117)))*1,0))</f>
        <v>1491840</v>
      </c>
      <c r="Q1154" s="4">
        <f>$E1154+6</f>
        <v>116</v>
      </c>
      <c r="R1154" s="8">
        <f>IF($J1154=0,0,ROUND(MAX($J1154*1.4*1.5*1.6*1.6,13100000*(1.429962^(MIN($E1154,123)-117)))*1,0))</f>
        <v>2386944</v>
      </c>
      <c r="S1154" s="6">
        <f>$E1154+8</f>
        <v>118</v>
      </c>
      <c r="T1154" s="7">
        <f>IF($J1154=0,0,ROUND(MAX($J1154*1.4*1.5*1.6*1.6*2.2,42600000*(1.576904^(MIN($E1154,123)-117)))*1,0))</f>
        <v>5251277</v>
      </c>
      <c r="U1154" s="4">
        <f>$E1154+11</f>
        <v>121</v>
      </c>
      <c r="V1154" s="8">
        <f>IF($J1154=0,0,ROUND(MAX($J1154*1.4*1.5*1.6*1.6*2.2*2.715,354000000*(1.642074^(MIN($E1154,123)-117)))*1,0))</f>
        <v>14257217</v>
      </c>
      <c r="W1154" s="6">
        <f>$E1154+15</f>
        <v>125</v>
      </c>
      <c r="X1154" s="7">
        <f>IF($J1154=0,0,ROUND(MAX($J1154*1.4*1.5*1.6*1.6*2.2*2.715*2.6,3540000000*(1.579646^(MIN($E1154,123)-117)))*1,0))</f>
        <v>144239716</v>
      </c>
      <c r="Y1154" s="4">
        <f>$E1154+17</f>
        <v>127</v>
      </c>
      <c r="Z1154" s="8">
        <f>IF($J1154=0,0,ROUND(MAX($J1154*1.4*1.5*1.6*1.6*2.2*2.715*2.6*1.4,6020000000*(1.651178^(MIN($E1154,123)-117)))*1,0))</f>
        <v>179903344</v>
      </c>
      <c r="AA1154" s="6">
        <f>$E1154+19</f>
        <v>129</v>
      </c>
      <c r="AB1154" s="7">
        <f>IF($J1154=0,0,ROUND(MAX($J1154*1.4*1.5*1.6*1.6*2.2*2.715*2.6*1.4*1.4,8430000000*(1.651435^(MIN($E1154,123)-117)))*1,0))</f>
        <v>251650143</v>
      </c>
      <c r="AC1154" s="4">
        <f>$E1154+21</f>
        <v>131</v>
      </c>
      <c r="AD1154" s="8">
        <f>IF($J1154=0,0,ROUND(MAX($J1154*1.4*1.5*1.6*1.6*2.2*2.715*2.6*1.4*1.4*1.5,12600000000*(1.652953^(MIN($E1154,123)-117)))*1,0))</f>
        <v>373720576</v>
      </c>
      <c r="AE1154" s="6">
        <f>$E1154+24</f>
        <v>134</v>
      </c>
      <c r="AF1154" s="7">
        <f>IF($J1154=0,0,ROUND(MAX($J1154*1.4*1.5*1.6*1.6*2.2*2.715*2.6*1.4*1.4*1.5*1.5,18900000000*(1.65331^(MIN($E1154,123)-117)))*1,0))</f>
        <v>559734088</v>
      </c>
      <c r="AG1154" s="4">
        <f>$E1154+27</f>
        <v>137</v>
      </c>
      <c r="AH1154" s="8">
        <f>IF($J1154=0,0,ROUND(MAX($J1154*1.4*1.5*1.6*1.6*2.2*2.715*2.6*1.4*1.4*1.5*1.5*3.2,60500000000*(1.654288^(MIN($E1154,123)-117)))*1,0))</f>
        <v>1784339701</v>
      </c>
    </row>
    <row r="1155" ht="27.75" customHeight="1" spans="1:34" x14ac:dyDescent="0.25">
      <c r="A1155" s="3">
        <v>1165</v>
      </c>
      <c r="B1155" s="3" t="s">
        <v>83</v>
      </c>
      <c r="C1155" s="3" t="s">
        <v>829</v>
      </c>
      <c r="D1155" s="3" t="s">
        <v>33</v>
      </c>
      <c r="E1155" s="3">
        <v>110</v>
      </c>
      <c r="F1155" s="3" t="s">
        <v>62</v>
      </c>
      <c r="G1155" s="3" t="s">
        <v>830</v>
      </c>
      <c r="H1155" s="3">
        <v>26</v>
      </c>
      <c r="I1155" s="4">
        <v>110</v>
      </c>
      <c r="J1155" s="5">
        <v>404000</v>
      </c>
      <c r="K1155" s="6">
        <f>$E1155+1</f>
        <v>111</v>
      </c>
      <c r="L1155" s="7">
        <f>IF($J1155=0,0,ROUND(MAX($J1155*1.4,1620000*(1.497923^(MIN($E1155,123)-117)))*1,0))</f>
        <v>565600</v>
      </c>
      <c r="M1155" s="4">
        <f>$E1155+2</f>
        <v>112</v>
      </c>
      <c r="N1155" s="8">
        <f>IF($J1155=0,0,ROUND(MAX($J1155*1.4*1.5,2190000*(1.580994^(MIN($E1155,123)-117)))*1,0))</f>
        <v>848400</v>
      </c>
      <c r="O1155" s="6">
        <f>$E1155+4</f>
        <v>114</v>
      </c>
      <c r="P1155" s="7">
        <f>IF($J1155=0,0,ROUND(MAX($J1155*1.4*1.5*1.6,3500000*(1.57975^(MIN($E1155,123)-117)))*1,0))</f>
        <v>1357440</v>
      </c>
      <c r="Q1155" s="4">
        <f>$E1155+6</f>
        <v>116</v>
      </c>
      <c r="R1155" s="8">
        <f>IF($J1155=0,0,ROUND(MAX($J1155*1.4*1.5*1.6*1.6,13100000*(1.429962^(MIN($E1155,123)-117)))*1,0))</f>
        <v>2171904</v>
      </c>
      <c r="S1155" s="6">
        <f>$E1155+8</f>
        <v>118</v>
      </c>
      <c r="T1155" s="7">
        <f>IF($J1155=0,0,ROUND(MAX($J1155*1.4*1.5*1.6*1.6*2.2,42600000*(1.576904^(MIN($E1155,123)-117)))*1,0))</f>
        <v>4778189</v>
      </c>
      <c r="U1155" s="4">
        <f>$E1155+11</f>
        <v>121</v>
      </c>
      <c r="V1155" s="8">
        <f>IF($J1155=0,0,ROUND(MAX($J1155*1.4*1.5*1.6*1.6*2.2*2.715,354000000*(1.642074^(MIN($E1155,123)-117)))*1,0))</f>
        <v>12972783</v>
      </c>
      <c r="W1155" s="6">
        <f>$E1155+15</f>
        <v>125</v>
      </c>
      <c r="X1155" s="7">
        <f>IF($J1155=0,0,ROUND(MAX($J1155*1.4*1.5*1.6*1.6*2.2*2.715*2.6,3540000000*(1.579646^(MIN($E1155,123)-117)))*1,0))</f>
        <v>144239716</v>
      </c>
      <c r="Y1155" s="4">
        <f>$E1155+17</f>
        <v>127</v>
      </c>
      <c r="Z1155" s="8">
        <f>IF($J1155=0,0,ROUND(MAX($J1155*1.4*1.5*1.6*1.6*2.2*2.715*2.6*1.4,6020000000*(1.651178^(MIN($E1155,123)-117)))*1,0))</f>
        <v>179903344</v>
      </c>
      <c r="AA1155" s="6">
        <f>$E1155+19</f>
        <v>129</v>
      </c>
      <c r="AB1155" s="7">
        <f>IF($J1155=0,0,ROUND(MAX($J1155*1.4*1.5*1.6*1.6*2.2*2.715*2.6*1.4*1.4,8430000000*(1.651435^(MIN($E1155,123)-117)))*1,0))</f>
        <v>251650143</v>
      </c>
      <c r="AC1155" s="4">
        <f>$E1155+21</f>
        <v>131</v>
      </c>
      <c r="AD1155" s="8">
        <f>IF($J1155=0,0,ROUND(MAX($J1155*1.4*1.5*1.6*1.6*2.2*2.715*2.6*1.4*1.4*1.5,12600000000*(1.652953^(MIN($E1155,123)-117)))*1,0))</f>
        <v>373720576</v>
      </c>
      <c r="AE1155" s="6">
        <f>$E1155+24</f>
        <v>134</v>
      </c>
      <c r="AF1155" s="7">
        <f>IF($J1155=0,0,ROUND(MAX($J1155*1.4*1.5*1.6*1.6*2.2*2.715*2.6*1.4*1.4*1.5*1.5,18900000000*(1.65331^(MIN($E1155,123)-117)))*1,0))</f>
        <v>559734088</v>
      </c>
      <c r="AG1155" s="4">
        <f>$E1155+27</f>
        <v>137</v>
      </c>
      <c r="AH1155" s="8">
        <f>IF($J1155=0,0,ROUND(MAX($J1155*1.4*1.5*1.6*1.6*2.2*2.715*2.6*1.4*1.4*1.5*1.5*3.2,60500000000*(1.654288^(MIN($E1155,123)-117)))*1,0))</f>
        <v>1784339701</v>
      </c>
    </row>
    <row r="1156" ht="27.75" customHeight="1" spans="1:34" x14ac:dyDescent="0.25">
      <c r="A1156" s="3">
        <v>1166</v>
      </c>
      <c r="B1156" s="3" t="s">
        <v>852</v>
      </c>
      <c r="C1156" s="3" t="s">
        <v>829</v>
      </c>
      <c r="D1156" s="3" t="s">
        <v>79</v>
      </c>
      <c r="E1156" s="3">
        <v>110</v>
      </c>
      <c r="F1156" s="3" t="s">
        <v>30</v>
      </c>
      <c r="G1156" s="3" t="s">
        <v>95</v>
      </c>
      <c r="H1156" s="3">
        <v>25</v>
      </c>
      <c r="I1156" s="4">
        <v>110</v>
      </c>
      <c r="J1156" s="5">
        <v>402000</v>
      </c>
      <c r="K1156" s="6">
        <f>$E1156+1</f>
        <v>111</v>
      </c>
      <c r="L1156" s="7">
        <f>IF($J1156=0,0,ROUND(MAX($J1156*1.4,1620000*(1.497923^(MIN($E1156,123)-117)))*1,0))</f>
        <v>562800</v>
      </c>
      <c r="M1156" s="4">
        <f>$E1156+2</f>
        <v>112</v>
      </c>
      <c r="N1156" s="8">
        <f>IF($J1156=0,0,ROUND(MAX($J1156*1.4*1.5,2190000*(1.580994^(MIN($E1156,123)-117)))*1,0))</f>
        <v>844200</v>
      </c>
      <c r="O1156" s="6">
        <f>$E1156+4</f>
        <v>114</v>
      </c>
      <c r="P1156" s="7">
        <f>IF($J1156=0,0,ROUND(MAX($J1156*1.4*1.5*1.6,3500000*(1.57975^(MIN($E1156,123)-117)))*1,0))</f>
        <v>1350720</v>
      </c>
      <c r="Q1156" s="4">
        <f>$E1156+6</f>
        <v>116</v>
      </c>
      <c r="R1156" s="8">
        <f>IF($J1156=0,0,ROUND(MAX($J1156*1.4*1.5*1.6*1.6,13100000*(1.429962^(MIN($E1156,123)-117)))*1,0))</f>
        <v>2161152</v>
      </c>
      <c r="S1156" s="6">
        <f>$E1156+8</f>
        <v>118</v>
      </c>
      <c r="T1156" s="7">
        <f>IF($J1156=0,0,ROUND(MAX($J1156*1.4*1.5*1.6*1.6*2.2,42600000*(1.576904^(MIN($E1156,123)-117)))*1,0))</f>
        <v>4754534</v>
      </c>
      <c r="U1156" s="4">
        <f>$E1156+11</f>
        <v>121</v>
      </c>
      <c r="V1156" s="8">
        <f>IF($J1156=0,0,ROUND(MAX($J1156*1.4*1.5*1.6*1.6*2.2*2.715,354000000*(1.642074^(MIN($E1156,123)-117)))*1,0))</f>
        <v>12908561</v>
      </c>
      <c r="W1156" s="6">
        <f>$E1156+15</f>
        <v>125</v>
      </c>
      <c r="X1156" s="7">
        <f>IF($J1156=0,0,ROUND(MAX($J1156*1.4*1.5*1.6*1.6*2.2*2.715*2.6,3540000000*(1.579646^(MIN($E1156,123)-117)))*1,0))</f>
        <v>144239716</v>
      </c>
      <c r="Y1156" s="4">
        <f>$E1156+17</f>
        <v>127</v>
      </c>
      <c r="Z1156" s="8">
        <f>IF($J1156=0,0,ROUND(MAX($J1156*1.4*1.5*1.6*1.6*2.2*2.715*2.6*1.4,6020000000*(1.651178^(MIN($E1156,123)-117)))*1,0))</f>
        <v>179903344</v>
      </c>
      <c r="AA1156" s="6">
        <f>$E1156+19</f>
        <v>129</v>
      </c>
      <c r="AB1156" s="7">
        <f>IF($J1156=0,0,ROUND(MAX($J1156*1.4*1.5*1.6*1.6*2.2*2.715*2.6*1.4*1.4,8430000000*(1.651435^(MIN($E1156,123)-117)))*1,0))</f>
        <v>251650143</v>
      </c>
      <c r="AC1156" s="4">
        <f>$E1156+21</f>
        <v>131</v>
      </c>
      <c r="AD1156" s="8">
        <f>IF($J1156=0,0,ROUND(MAX($J1156*1.4*1.5*1.6*1.6*2.2*2.715*2.6*1.4*1.4*1.5,12600000000*(1.652953^(MIN($E1156,123)-117)))*1,0))</f>
        <v>373720576</v>
      </c>
      <c r="AE1156" s="6">
        <f>$E1156+24</f>
        <v>134</v>
      </c>
      <c r="AF1156" s="7">
        <f>IF($J1156=0,0,ROUND(MAX($J1156*1.4*1.5*1.6*1.6*2.2*2.715*2.6*1.4*1.4*1.5*1.5,18900000000*(1.65331^(MIN($E1156,123)-117)))*1,0))</f>
        <v>559734088</v>
      </c>
      <c r="AG1156" s="4">
        <f>$E1156+27</f>
        <v>137</v>
      </c>
      <c r="AH1156" s="8">
        <f>IF($J1156=0,0,ROUND(MAX($J1156*1.4*1.5*1.6*1.6*2.2*2.715*2.6*1.4*1.4*1.5*1.5*3.2,60500000000*(1.654288^(MIN($E1156,123)-117)))*1,0))</f>
        <v>1784339701</v>
      </c>
    </row>
    <row r="1157" ht="27.75" customHeight="1" spans="1:34" x14ac:dyDescent="0.25">
      <c r="A1157" s="3">
        <v>1167</v>
      </c>
      <c r="B1157" s="3" t="s">
        <v>853</v>
      </c>
      <c r="C1157" s="3" t="s">
        <v>829</v>
      </c>
      <c r="D1157" s="3" t="s">
        <v>102</v>
      </c>
      <c r="E1157" s="3">
        <v>110</v>
      </c>
      <c r="F1157" s="3" t="s">
        <v>42</v>
      </c>
      <c r="G1157" s="3" t="s">
        <v>354</v>
      </c>
      <c r="H1157" s="3">
        <v>25</v>
      </c>
      <c r="I1157" s="4">
        <v>110</v>
      </c>
      <c r="J1157" s="5">
        <v>267000</v>
      </c>
      <c r="K1157" s="6">
        <f>$E1157+1</f>
        <v>111</v>
      </c>
      <c r="L1157" s="7">
        <f>IF($J1157=0,0,ROUND(MAX($J1157*1.4,1620000*(1.497923^(MIN($E1157,123)-117)))*1,0))</f>
        <v>373800</v>
      </c>
      <c r="M1157" s="4">
        <f>$E1157+2</f>
        <v>112</v>
      </c>
      <c r="N1157" s="8">
        <f>IF($J1157=0,0,ROUND(MAX($J1157*1.4*1.5,2190000*(1.580994^(MIN($E1157,123)-117)))*1,0))</f>
        <v>560700</v>
      </c>
      <c r="O1157" s="6">
        <f>$E1157+4</f>
        <v>114</v>
      </c>
      <c r="P1157" s="7">
        <f>IF($J1157=0,0,ROUND(MAX($J1157*1.4*1.5*1.6,3500000*(1.57975^(MIN($E1157,123)-117)))*1,0))</f>
        <v>897120</v>
      </c>
      <c r="Q1157" s="4">
        <f>$E1157+6</f>
        <v>116</v>
      </c>
      <c r="R1157" s="8">
        <f>IF($J1157=0,0,ROUND(MAX($J1157*1.4*1.5*1.6*1.6,13100000*(1.429962^(MIN($E1157,123)-117)))*1,0))</f>
        <v>1435392</v>
      </c>
      <c r="S1157" s="6">
        <f>$E1157+8</f>
        <v>118</v>
      </c>
      <c r="T1157" s="7">
        <f>IF($J1157=0,0,ROUND(MAX($J1157*1.4*1.5*1.6*1.6*2.2,42600000*(1.576904^(MIN($E1157,123)-117)))*1,0))</f>
        <v>3157862</v>
      </c>
      <c r="U1157" s="4">
        <f>$E1157+11</f>
        <v>121</v>
      </c>
      <c r="V1157" s="8">
        <f>IF($J1157=0,0,ROUND(MAX($J1157*1.4*1.5*1.6*1.6*2.2*2.715,354000000*(1.642074^(MIN($E1157,123)-117)))*1,0))</f>
        <v>10996493</v>
      </c>
      <c r="W1157" s="6">
        <f>$E1157+15</f>
        <v>125</v>
      </c>
      <c r="X1157" s="7">
        <f>IF($J1157=0,0,ROUND(MAX($J1157*1.4*1.5*1.6*1.6*2.2*2.715*2.6,3540000000*(1.579646^(MIN($E1157,123)-117)))*1,0))</f>
        <v>144239716</v>
      </c>
      <c r="Y1157" s="4">
        <f>$E1157+17</f>
        <v>127</v>
      </c>
      <c r="Z1157" s="8">
        <f>IF($J1157=0,0,ROUND(MAX($J1157*1.4*1.5*1.6*1.6*2.2*2.715*2.6*1.4,6020000000*(1.651178^(MIN($E1157,123)-117)))*1,0))</f>
        <v>179903344</v>
      </c>
      <c r="AA1157" s="6">
        <f>$E1157+19</f>
        <v>129</v>
      </c>
      <c r="AB1157" s="7">
        <f>IF($J1157=0,0,ROUND(MAX($J1157*1.4*1.5*1.6*1.6*2.2*2.715*2.6*1.4*1.4,8430000000*(1.651435^(MIN($E1157,123)-117)))*1,0))</f>
        <v>251650143</v>
      </c>
      <c r="AC1157" s="4">
        <f>$E1157+21</f>
        <v>131</v>
      </c>
      <c r="AD1157" s="8">
        <f>IF($J1157=0,0,ROUND(MAX($J1157*1.4*1.5*1.6*1.6*2.2*2.715*2.6*1.4*1.4*1.5,12600000000*(1.652953^(MIN($E1157,123)-117)))*1,0))</f>
        <v>373720576</v>
      </c>
      <c r="AE1157" s="6">
        <f>$E1157+24</f>
        <v>134</v>
      </c>
      <c r="AF1157" s="7">
        <f>IF($J1157=0,0,ROUND(MAX($J1157*1.4*1.5*1.6*1.6*2.2*2.715*2.6*1.4*1.4*1.5*1.5,18900000000*(1.65331^(MIN($E1157,123)-117)))*1,0))</f>
        <v>559734088</v>
      </c>
      <c r="AG1157" s="4">
        <f>$E1157+27</f>
        <v>137</v>
      </c>
      <c r="AH1157" s="8">
        <f>IF($J1157=0,0,ROUND(MAX($J1157*1.4*1.5*1.6*1.6*2.2*2.715*2.6*1.4*1.4*1.5*1.5*3.2,60500000000*(1.654288^(MIN($E1157,123)-117)))*1,0))</f>
        <v>1784339701</v>
      </c>
    </row>
    <row r="1158" ht="27.75" customHeight="1" spans="1:34" x14ac:dyDescent="0.25">
      <c r="A1158" s="3">
        <v>1168</v>
      </c>
      <c r="B1158" s="3" t="s">
        <v>854</v>
      </c>
      <c r="C1158" s="3" t="s">
        <v>829</v>
      </c>
      <c r="D1158" s="3" t="s">
        <v>25</v>
      </c>
      <c r="E1158" s="3">
        <v>110</v>
      </c>
      <c r="F1158" s="3" t="s">
        <v>855</v>
      </c>
      <c r="G1158" s="3" t="s">
        <v>856</v>
      </c>
      <c r="H1158" s="3">
        <v>25</v>
      </c>
      <c r="I1158" s="4">
        <v>110</v>
      </c>
      <c r="J1158" s="5">
        <v>337000</v>
      </c>
      <c r="K1158" s="6">
        <f>$E1158+1</f>
        <v>111</v>
      </c>
      <c r="L1158" s="7">
        <f>IF($J1158=0,0,ROUND(MAX($J1158*1.4,1620000*(1.497923^(MIN($E1158,123)-117)))*1,0))</f>
        <v>471800</v>
      </c>
      <c r="M1158" s="4">
        <f>$E1158+2</f>
        <v>112</v>
      </c>
      <c r="N1158" s="8">
        <f>IF($J1158=0,0,ROUND(MAX($J1158*1.4*1.5,2190000*(1.580994^(MIN($E1158,123)-117)))*1,0))</f>
        <v>707700</v>
      </c>
      <c r="O1158" s="6">
        <f>$E1158+4</f>
        <v>114</v>
      </c>
      <c r="P1158" s="7">
        <f>IF($J1158=0,0,ROUND(MAX($J1158*1.4*1.5*1.6,3500000*(1.57975^(MIN($E1158,123)-117)))*1,0))</f>
        <v>1132320</v>
      </c>
      <c r="Q1158" s="4">
        <f>$E1158+6</f>
        <v>116</v>
      </c>
      <c r="R1158" s="8">
        <f>IF($J1158=0,0,ROUND(MAX($J1158*1.4*1.5*1.6*1.6,13100000*(1.429962^(MIN($E1158,123)-117)))*1,0))</f>
        <v>1811712</v>
      </c>
      <c r="S1158" s="6">
        <f>$E1158+8</f>
        <v>118</v>
      </c>
      <c r="T1158" s="7">
        <f>IF($J1158=0,0,ROUND(MAX($J1158*1.4*1.5*1.6*1.6*2.2,42600000*(1.576904^(MIN($E1158,123)-117)))*1,0))</f>
        <v>3985766</v>
      </c>
      <c r="U1158" s="4">
        <f>$E1158+11</f>
        <v>121</v>
      </c>
      <c r="V1158" s="8">
        <f>IF($J1158=0,0,ROUND(MAX($J1158*1.4*1.5*1.6*1.6*2.2*2.715,354000000*(1.642074^(MIN($E1158,123)-117)))*1,0))</f>
        <v>10996493</v>
      </c>
      <c r="W1158" s="6">
        <f>$E1158+15</f>
        <v>125</v>
      </c>
      <c r="X1158" s="7">
        <f>IF($J1158=0,0,ROUND(MAX($J1158*1.4*1.5*1.6*1.6*2.2*2.715*2.6,3540000000*(1.579646^(MIN($E1158,123)-117)))*1,0))</f>
        <v>144239716</v>
      </c>
      <c r="Y1158" s="4">
        <f>$E1158+17</f>
        <v>127</v>
      </c>
      <c r="Z1158" s="8">
        <f>IF($J1158=0,0,ROUND(MAX($J1158*1.4*1.5*1.6*1.6*2.2*2.715*2.6*1.4,6020000000*(1.651178^(MIN($E1158,123)-117)))*1,0))</f>
        <v>179903344</v>
      </c>
      <c r="AA1158" s="6">
        <f>$E1158+19</f>
        <v>129</v>
      </c>
      <c r="AB1158" s="7">
        <f>IF($J1158=0,0,ROUND(MAX($J1158*1.4*1.5*1.6*1.6*2.2*2.715*2.6*1.4*1.4,8430000000*(1.651435^(MIN($E1158,123)-117)))*1,0))</f>
        <v>251650143</v>
      </c>
      <c r="AC1158" s="4">
        <f>$E1158+21</f>
        <v>131</v>
      </c>
      <c r="AD1158" s="8">
        <f>IF($J1158=0,0,ROUND(MAX($J1158*1.4*1.5*1.6*1.6*2.2*2.715*2.6*1.4*1.4*1.5,12600000000*(1.652953^(MIN($E1158,123)-117)))*1,0))</f>
        <v>373720576</v>
      </c>
      <c r="AE1158" s="6">
        <f>$E1158+24</f>
        <v>134</v>
      </c>
      <c r="AF1158" s="7">
        <f>IF($J1158=0,0,ROUND(MAX($J1158*1.4*1.5*1.6*1.6*2.2*2.715*2.6*1.4*1.4*1.5*1.5,18900000000*(1.65331^(MIN($E1158,123)-117)))*1,0))</f>
        <v>559734088</v>
      </c>
      <c r="AG1158" s="4">
        <f>$E1158+27</f>
        <v>137</v>
      </c>
      <c r="AH1158" s="8">
        <f>IF($J1158=0,0,ROUND(MAX($J1158*1.4*1.5*1.6*1.6*2.2*2.715*2.6*1.4*1.4*1.5*1.5*3.2,60500000000*(1.654288^(MIN($E1158,123)-117)))*1,0))</f>
        <v>1784339701</v>
      </c>
    </row>
    <row r="1159" ht="27.75" customHeight="1" spans="1:34" x14ac:dyDescent="0.25">
      <c r="A1159" s="3">
        <v>1169</v>
      </c>
      <c r="B1159" s="3" t="s">
        <v>363</v>
      </c>
      <c r="C1159" s="3" t="s">
        <v>829</v>
      </c>
      <c r="D1159" s="3" t="s">
        <v>33</v>
      </c>
      <c r="E1159" s="3">
        <v>110</v>
      </c>
      <c r="F1159" s="3" t="s">
        <v>298</v>
      </c>
      <c r="G1159" s="3" t="s">
        <v>242</v>
      </c>
      <c r="H1159" s="3">
        <v>25</v>
      </c>
      <c r="I1159" s="4">
        <v>110</v>
      </c>
      <c r="J1159" s="5">
        <v>381000</v>
      </c>
      <c r="K1159" s="6">
        <f>$E1159+1</f>
        <v>111</v>
      </c>
      <c r="L1159" s="7">
        <f>IF($J1159=0,0,ROUND(MAX($J1159*1.4,1620000*(1.497923^(MIN($E1159,123)-117)))*1,0))</f>
        <v>533400</v>
      </c>
      <c r="M1159" s="4">
        <f>$E1159+2</f>
        <v>112</v>
      </c>
      <c r="N1159" s="8">
        <f>IF($J1159=0,0,ROUND(MAX($J1159*1.4*1.5,2190000*(1.580994^(MIN($E1159,123)-117)))*1,0))</f>
        <v>800100</v>
      </c>
      <c r="O1159" s="6">
        <f>$E1159+4</f>
        <v>114</v>
      </c>
      <c r="P1159" s="7">
        <f>IF($J1159=0,0,ROUND(MAX($J1159*1.4*1.5*1.6,3500000*(1.57975^(MIN($E1159,123)-117)))*1,0))</f>
        <v>1280160</v>
      </c>
      <c r="Q1159" s="4">
        <f>$E1159+6</f>
        <v>116</v>
      </c>
      <c r="R1159" s="8">
        <f>IF($J1159=0,0,ROUND(MAX($J1159*1.4*1.5*1.6*1.6,13100000*(1.429962^(MIN($E1159,123)-117)))*1,0))</f>
        <v>2048256</v>
      </c>
      <c r="S1159" s="6">
        <f>$E1159+8</f>
        <v>118</v>
      </c>
      <c r="T1159" s="7">
        <f>IF($J1159=0,0,ROUND(MAX($J1159*1.4*1.5*1.6*1.6*2.2,42600000*(1.576904^(MIN($E1159,123)-117)))*1,0))</f>
        <v>4506163</v>
      </c>
      <c r="U1159" s="4">
        <f>$E1159+11</f>
        <v>121</v>
      </c>
      <c r="V1159" s="8">
        <f>IF($J1159=0,0,ROUND(MAX($J1159*1.4*1.5*1.6*1.6*2.2*2.715,354000000*(1.642074^(MIN($E1159,123)-117)))*1,0))</f>
        <v>12234233</v>
      </c>
      <c r="W1159" s="6">
        <f>$E1159+15</f>
        <v>125</v>
      </c>
      <c r="X1159" s="7">
        <f>IF($J1159=0,0,ROUND(MAX($J1159*1.4*1.5*1.6*1.6*2.2*2.715*2.6,3540000000*(1.579646^(MIN($E1159,123)-117)))*1,0))</f>
        <v>144239716</v>
      </c>
      <c r="Y1159" s="4">
        <f>$E1159+17</f>
        <v>127</v>
      </c>
      <c r="Z1159" s="8">
        <f>IF($J1159=0,0,ROUND(MAX($J1159*1.4*1.5*1.6*1.6*2.2*2.715*2.6*1.4,6020000000*(1.651178^(MIN($E1159,123)-117)))*1,0))</f>
        <v>179903344</v>
      </c>
      <c r="AA1159" s="6">
        <f>$E1159+19</f>
        <v>129</v>
      </c>
      <c r="AB1159" s="7">
        <f>IF($J1159=0,0,ROUND(MAX($J1159*1.4*1.5*1.6*1.6*2.2*2.715*2.6*1.4*1.4,8430000000*(1.651435^(MIN($E1159,123)-117)))*1,0))</f>
        <v>251650143</v>
      </c>
      <c r="AC1159" s="4">
        <f>$E1159+21</f>
        <v>131</v>
      </c>
      <c r="AD1159" s="8">
        <f>IF($J1159=0,0,ROUND(MAX($J1159*1.4*1.5*1.6*1.6*2.2*2.715*2.6*1.4*1.4*1.5,12600000000*(1.652953^(MIN($E1159,123)-117)))*1,0))</f>
        <v>373720576</v>
      </c>
      <c r="AE1159" s="6">
        <f>$E1159+24</f>
        <v>134</v>
      </c>
      <c r="AF1159" s="7">
        <f>IF($J1159=0,0,ROUND(MAX($J1159*1.4*1.5*1.6*1.6*2.2*2.715*2.6*1.4*1.4*1.5*1.5,18900000000*(1.65331^(MIN($E1159,123)-117)))*1,0))</f>
        <v>559734088</v>
      </c>
      <c r="AG1159" s="4">
        <f>$E1159+27</f>
        <v>137</v>
      </c>
      <c r="AH1159" s="8">
        <f>IF($J1159=0,0,ROUND(MAX($J1159*1.4*1.5*1.6*1.6*2.2*2.715*2.6*1.4*1.4*1.5*1.5*3.2,60500000000*(1.654288^(MIN($E1159,123)-117)))*1,0))</f>
        <v>1784339701</v>
      </c>
    </row>
    <row r="1160" ht="27.75" customHeight="1" spans="1:34" x14ac:dyDescent="0.25">
      <c r="A1160" s="3">
        <v>1170</v>
      </c>
      <c r="B1160" s="3" t="s">
        <v>790</v>
      </c>
      <c r="C1160" s="3" t="s">
        <v>829</v>
      </c>
      <c r="D1160" s="3" t="s">
        <v>75</v>
      </c>
      <c r="E1160" s="3">
        <v>110</v>
      </c>
      <c r="F1160" s="3" t="s">
        <v>54</v>
      </c>
      <c r="G1160" s="3" t="s">
        <v>38</v>
      </c>
      <c r="H1160" s="3">
        <v>25</v>
      </c>
      <c r="I1160" s="4">
        <v>110</v>
      </c>
      <c r="J1160" s="5">
        <v>337000</v>
      </c>
      <c r="K1160" s="6">
        <f>$E1160+1</f>
        <v>111</v>
      </c>
      <c r="L1160" s="7">
        <f>IF($J1160=0,0,ROUND(MAX($J1160*1.4,1620000*(1.497923^(MIN($E1160,123)-117)))*1,0))</f>
        <v>471800</v>
      </c>
      <c r="M1160" s="4">
        <f>$E1160+2</f>
        <v>112</v>
      </c>
      <c r="N1160" s="8">
        <f>IF($J1160=0,0,ROUND(MAX($J1160*1.4*1.5,2190000*(1.580994^(MIN($E1160,123)-117)))*1,0))</f>
        <v>707700</v>
      </c>
      <c r="O1160" s="6">
        <f>$E1160+4</f>
        <v>114</v>
      </c>
      <c r="P1160" s="7">
        <f>IF($J1160=0,0,ROUND(MAX($J1160*1.4*1.5*1.6,3500000*(1.57975^(MIN($E1160,123)-117)))*1,0))</f>
        <v>1132320</v>
      </c>
      <c r="Q1160" s="4">
        <f>$E1160+6</f>
        <v>116</v>
      </c>
      <c r="R1160" s="8">
        <f>IF($J1160=0,0,ROUND(MAX($J1160*1.4*1.5*1.6*1.6,13100000*(1.429962^(MIN($E1160,123)-117)))*1,0))</f>
        <v>1811712</v>
      </c>
      <c r="S1160" s="6">
        <f>$E1160+8</f>
        <v>118</v>
      </c>
      <c r="T1160" s="7">
        <f>IF($J1160=0,0,ROUND(MAX($J1160*1.4*1.5*1.6*1.6*2.2,42600000*(1.576904^(MIN($E1160,123)-117)))*1,0))</f>
        <v>3985766</v>
      </c>
      <c r="U1160" s="4">
        <f>$E1160+11</f>
        <v>121</v>
      </c>
      <c r="V1160" s="8">
        <f>IF($J1160=0,0,ROUND(MAX($J1160*1.4*1.5*1.6*1.6*2.2*2.715,354000000*(1.642074^(MIN($E1160,123)-117)))*1,0))</f>
        <v>10996493</v>
      </c>
      <c r="W1160" s="6">
        <f>$E1160+15</f>
        <v>125</v>
      </c>
      <c r="X1160" s="7">
        <f>IF($J1160=0,0,ROUND(MAX($J1160*1.4*1.5*1.6*1.6*2.2*2.715*2.6,3540000000*(1.579646^(MIN($E1160,123)-117)))*1,0))</f>
        <v>144239716</v>
      </c>
      <c r="Y1160" s="4">
        <f>$E1160+17</f>
        <v>127</v>
      </c>
      <c r="Z1160" s="8">
        <f>IF($J1160=0,0,ROUND(MAX($J1160*1.4*1.5*1.6*1.6*2.2*2.715*2.6*1.4,6020000000*(1.651178^(MIN($E1160,123)-117)))*1,0))</f>
        <v>179903344</v>
      </c>
      <c r="AA1160" s="6">
        <f>$E1160+19</f>
        <v>129</v>
      </c>
      <c r="AB1160" s="7">
        <f>IF($J1160=0,0,ROUND(MAX($J1160*1.4*1.5*1.6*1.6*2.2*2.715*2.6*1.4*1.4,8430000000*(1.651435^(MIN($E1160,123)-117)))*1,0))</f>
        <v>251650143</v>
      </c>
      <c r="AC1160" s="4">
        <f>$E1160+21</f>
        <v>131</v>
      </c>
      <c r="AD1160" s="8">
        <f>IF($J1160=0,0,ROUND(MAX($J1160*1.4*1.5*1.6*1.6*2.2*2.715*2.6*1.4*1.4*1.5,12600000000*(1.652953^(MIN($E1160,123)-117)))*1,0))</f>
        <v>373720576</v>
      </c>
      <c r="AE1160" s="6">
        <f>$E1160+24</f>
        <v>134</v>
      </c>
      <c r="AF1160" s="7">
        <f>IF($J1160=0,0,ROUND(MAX($J1160*1.4*1.5*1.6*1.6*2.2*2.715*2.6*1.4*1.4*1.5*1.5,18900000000*(1.65331^(MIN($E1160,123)-117)))*1,0))</f>
        <v>559734088</v>
      </c>
      <c r="AG1160" s="4">
        <f>$E1160+27</f>
        <v>137</v>
      </c>
      <c r="AH1160" s="8">
        <f>IF($J1160=0,0,ROUND(MAX($J1160*1.4*1.5*1.6*1.6*2.2*2.715*2.6*1.4*1.4*1.5*1.5*3.2,60500000000*(1.654288^(MIN($E1160,123)-117)))*1,0))</f>
        <v>1784339701</v>
      </c>
    </row>
    <row r="1161" ht="27.75" customHeight="1" spans="1:34" x14ac:dyDescent="0.25">
      <c r="A1161" s="3">
        <v>1171</v>
      </c>
      <c r="B1161" s="3" t="s">
        <v>857</v>
      </c>
      <c r="C1161" s="3" t="s">
        <v>829</v>
      </c>
      <c r="D1161" s="3" t="s">
        <v>29</v>
      </c>
      <c r="E1161" s="3">
        <v>110</v>
      </c>
      <c r="F1161" s="3" t="s">
        <v>54</v>
      </c>
      <c r="G1161" s="3" t="s">
        <v>295</v>
      </c>
      <c r="H1161" s="3">
        <v>25</v>
      </c>
      <c r="I1161" s="4">
        <v>110</v>
      </c>
      <c r="J1161" s="5">
        <v>381000</v>
      </c>
      <c r="K1161" s="6">
        <f>$E1161+1</f>
        <v>111</v>
      </c>
      <c r="L1161" s="7">
        <f>IF($J1161=0,0,ROUND(MAX($J1161*1.4,1620000*(1.497923^(MIN($E1161,123)-117)))*1,0))</f>
        <v>533400</v>
      </c>
      <c r="M1161" s="4">
        <f>$E1161+2</f>
        <v>112</v>
      </c>
      <c r="N1161" s="8">
        <f>IF($J1161=0,0,ROUND(MAX($J1161*1.4*1.5,2190000*(1.580994^(MIN($E1161,123)-117)))*1,0))</f>
        <v>800100</v>
      </c>
      <c r="O1161" s="6">
        <f>$E1161+4</f>
        <v>114</v>
      </c>
      <c r="P1161" s="7">
        <f>IF($J1161=0,0,ROUND(MAX($J1161*1.4*1.5*1.6,3500000*(1.57975^(MIN($E1161,123)-117)))*1,0))</f>
        <v>1280160</v>
      </c>
      <c r="Q1161" s="4">
        <f>$E1161+6</f>
        <v>116</v>
      </c>
      <c r="R1161" s="8">
        <f>IF($J1161=0,0,ROUND(MAX($J1161*1.4*1.5*1.6*1.6,13100000*(1.429962^(MIN($E1161,123)-117)))*1,0))</f>
        <v>2048256</v>
      </c>
      <c r="S1161" s="6">
        <f>$E1161+8</f>
        <v>118</v>
      </c>
      <c r="T1161" s="7">
        <f>IF($J1161=0,0,ROUND(MAX($J1161*1.4*1.5*1.6*1.6*2.2,42600000*(1.576904^(MIN($E1161,123)-117)))*1,0))</f>
        <v>4506163</v>
      </c>
      <c r="U1161" s="4">
        <f>$E1161+11</f>
        <v>121</v>
      </c>
      <c r="V1161" s="8">
        <f>IF($J1161=0,0,ROUND(MAX($J1161*1.4*1.5*1.6*1.6*2.2*2.715,354000000*(1.642074^(MIN($E1161,123)-117)))*1,0))</f>
        <v>12234233</v>
      </c>
      <c r="W1161" s="6">
        <f>$E1161+15</f>
        <v>125</v>
      </c>
      <c r="X1161" s="7">
        <f>IF($J1161=0,0,ROUND(MAX($J1161*1.4*1.5*1.6*1.6*2.2*2.715*2.6,3540000000*(1.579646^(MIN($E1161,123)-117)))*1,0))</f>
        <v>144239716</v>
      </c>
      <c r="Y1161" s="4">
        <f>$E1161+17</f>
        <v>127</v>
      </c>
      <c r="Z1161" s="8">
        <f>IF($J1161=0,0,ROUND(MAX($J1161*1.4*1.5*1.6*1.6*2.2*2.715*2.6*1.4,6020000000*(1.651178^(MIN($E1161,123)-117)))*1,0))</f>
        <v>179903344</v>
      </c>
      <c r="AA1161" s="6">
        <f>$E1161+19</f>
        <v>129</v>
      </c>
      <c r="AB1161" s="7">
        <f>IF($J1161=0,0,ROUND(MAX($J1161*1.4*1.5*1.6*1.6*2.2*2.715*2.6*1.4*1.4,8430000000*(1.651435^(MIN($E1161,123)-117)))*1,0))</f>
        <v>251650143</v>
      </c>
      <c r="AC1161" s="4">
        <f>$E1161+21</f>
        <v>131</v>
      </c>
      <c r="AD1161" s="8">
        <f>IF($J1161=0,0,ROUND(MAX($J1161*1.4*1.5*1.6*1.6*2.2*2.715*2.6*1.4*1.4*1.5,12600000000*(1.652953^(MIN($E1161,123)-117)))*1,0))</f>
        <v>373720576</v>
      </c>
      <c r="AE1161" s="6">
        <f>$E1161+24</f>
        <v>134</v>
      </c>
      <c r="AF1161" s="7">
        <f>IF($J1161=0,0,ROUND(MAX($J1161*1.4*1.5*1.6*1.6*2.2*2.715*2.6*1.4*1.4*1.5*1.5,18900000000*(1.65331^(MIN($E1161,123)-117)))*1,0))</f>
        <v>559734088</v>
      </c>
      <c r="AG1161" s="4">
        <f>$E1161+27</f>
        <v>137</v>
      </c>
      <c r="AH1161" s="8">
        <f>IF($J1161=0,0,ROUND(MAX($J1161*1.4*1.5*1.6*1.6*2.2*2.715*2.6*1.4*1.4*1.5*1.5*3.2,60500000000*(1.654288^(MIN($E1161,123)-117)))*1,0))</f>
        <v>1784339701</v>
      </c>
    </row>
    <row r="1162" ht="27.75" customHeight="1" spans="1:34" x14ac:dyDescent="0.25">
      <c r="A1162" s="3">
        <v>1172</v>
      </c>
      <c r="B1162" s="3" t="s">
        <v>858</v>
      </c>
      <c r="C1162" s="3" t="s">
        <v>829</v>
      </c>
      <c r="D1162" s="3" t="s">
        <v>33</v>
      </c>
      <c r="E1162" s="3">
        <v>110</v>
      </c>
      <c r="F1162" s="3" t="s">
        <v>54</v>
      </c>
      <c r="G1162" s="3" t="s">
        <v>295</v>
      </c>
      <c r="H1162" s="3">
        <v>25</v>
      </c>
      <c r="I1162" s="4">
        <v>110</v>
      </c>
      <c r="J1162" s="5">
        <v>88600</v>
      </c>
      <c r="K1162" s="6">
        <f>$E1162+1</f>
        <v>111</v>
      </c>
      <c r="L1162" s="7">
        <f>IF($J1162=0,0,ROUND(MAX($J1162*1.4,1620000*(1.497923^(MIN($E1162,123)-117)))*1,0))</f>
        <v>124040</v>
      </c>
      <c r="M1162" s="4">
        <f>$E1162+2</f>
        <v>112</v>
      </c>
      <c r="N1162" s="8">
        <f>IF($J1162=0,0,ROUND(MAX($J1162*1.4*1.5,2190000*(1.580994^(MIN($E1162,123)-117)))*1,0))</f>
        <v>186060</v>
      </c>
      <c r="O1162" s="6">
        <f>$E1162+4</f>
        <v>114</v>
      </c>
      <c r="P1162" s="7">
        <f>IF($J1162=0,0,ROUND(MAX($J1162*1.4*1.5*1.6,3500000*(1.57975^(MIN($E1162,123)-117)))*1,0))</f>
        <v>297696</v>
      </c>
      <c r="Q1162" s="4">
        <f>$E1162+6</f>
        <v>116</v>
      </c>
      <c r="R1162" s="8">
        <f>IF($J1162=0,0,ROUND(MAX($J1162*1.4*1.5*1.6*1.6,13100000*(1.429962^(MIN($E1162,123)-117)))*1,0))</f>
        <v>1071519</v>
      </c>
      <c r="S1162" s="6">
        <f>$E1162+8</f>
        <v>118</v>
      </c>
      <c r="T1162" s="7">
        <f>IF($J1162=0,0,ROUND(MAX($J1162*1.4*1.5*1.6*1.6*2.2,42600000*(1.576904^(MIN($E1162,123)-117)))*1,0))</f>
        <v>1757004</v>
      </c>
      <c r="U1162" s="4">
        <f>$E1162+11</f>
        <v>121</v>
      </c>
      <c r="V1162" s="8">
        <f>IF($J1162=0,0,ROUND(MAX($J1162*1.4*1.5*1.6*1.6*2.2*2.715,354000000*(1.642074^(MIN($E1162,123)-117)))*1,0))</f>
        <v>10996493</v>
      </c>
      <c r="W1162" s="6">
        <f>$E1162+15</f>
        <v>125</v>
      </c>
      <c r="X1162" s="7">
        <f>IF($J1162=0,0,ROUND(MAX($J1162*1.4*1.5*1.6*1.6*2.2*2.715*2.6,3540000000*(1.579646^(MIN($E1162,123)-117)))*1,0))</f>
        <v>144239716</v>
      </c>
      <c r="Y1162" s="4">
        <f>$E1162+17</f>
        <v>127</v>
      </c>
      <c r="Z1162" s="8">
        <f>IF($J1162=0,0,ROUND(MAX($J1162*1.4*1.5*1.6*1.6*2.2*2.715*2.6*1.4,6020000000*(1.651178^(MIN($E1162,123)-117)))*1,0))</f>
        <v>179903344</v>
      </c>
      <c r="AA1162" s="6">
        <f>$E1162+19</f>
        <v>129</v>
      </c>
      <c r="AB1162" s="7">
        <f>IF($J1162=0,0,ROUND(MAX($J1162*1.4*1.5*1.6*1.6*2.2*2.715*2.6*1.4*1.4,8430000000*(1.651435^(MIN($E1162,123)-117)))*1,0))</f>
        <v>251650143</v>
      </c>
      <c r="AC1162" s="4">
        <f>$E1162+21</f>
        <v>131</v>
      </c>
      <c r="AD1162" s="8">
        <f>IF($J1162=0,0,ROUND(MAX($J1162*1.4*1.5*1.6*1.6*2.2*2.715*2.6*1.4*1.4*1.5,12600000000*(1.652953^(MIN($E1162,123)-117)))*1,0))</f>
        <v>373720576</v>
      </c>
      <c r="AE1162" s="6">
        <f>$E1162+24</f>
        <v>134</v>
      </c>
      <c r="AF1162" s="7">
        <f>IF($J1162=0,0,ROUND(MAX($J1162*1.4*1.5*1.6*1.6*2.2*2.715*2.6*1.4*1.4*1.5*1.5,18900000000*(1.65331^(MIN($E1162,123)-117)))*1,0))</f>
        <v>559734088</v>
      </c>
      <c r="AG1162" s="4">
        <f>$E1162+27</f>
        <v>137</v>
      </c>
      <c r="AH1162" s="8">
        <f>IF($J1162=0,0,ROUND(MAX($J1162*1.4*1.5*1.6*1.6*2.2*2.715*2.6*1.4*1.4*1.5*1.5*3.2,60500000000*(1.654288^(MIN($E1162,123)-117)))*1,0))</f>
        <v>1784339701</v>
      </c>
    </row>
    <row r="1163" ht="27.75" customHeight="1" spans="1:34" x14ac:dyDescent="0.25">
      <c r="A1163" s="3">
        <v>1173</v>
      </c>
      <c r="B1163" s="3" t="s">
        <v>859</v>
      </c>
      <c r="C1163" s="3" t="s">
        <v>829</v>
      </c>
      <c r="D1163" s="3" t="s">
        <v>45</v>
      </c>
      <c r="E1163" s="3">
        <v>110</v>
      </c>
      <c r="F1163" s="3" t="s">
        <v>97</v>
      </c>
      <c r="G1163" s="3" t="s">
        <v>381</v>
      </c>
      <c r="H1163" s="3">
        <v>25</v>
      </c>
      <c r="I1163" s="4">
        <v>110</v>
      </c>
      <c r="J1163" s="5">
        <v>411000</v>
      </c>
      <c r="K1163" s="6">
        <f>$E1163+1</f>
        <v>111</v>
      </c>
      <c r="L1163" s="7">
        <f>IF($J1163=0,0,ROUND(MAX($J1163*1.4,1620000*(1.497923^(MIN($E1163,123)-117)))*1,0))</f>
        <v>575400</v>
      </c>
      <c r="M1163" s="4">
        <f>$E1163+2</f>
        <v>112</v>
      </c>
      <c r="N1163" s="8">
        <f>IF($J1163=0,0,ROUND(MAX($J1163*1.4*1.5,2190000*(1.580994^(MIN($E1163,123)-117)))*1,0))</f>
        <v>863100</v>
      </c>
      <c r="O1163" s="6">
        <f>$E1163+4</f>
        <v>114</v>
      </c>
      <c r="P1163" s="7">
        <f>IF($J1163=0,0,ROUND(MAX($J1163*1.4*1.5*1.6,3500000*(1.57975^(MIN($E1163,123)-117)))*1,0))</f>
        <v>1380960</v>
      </c>
      <c r="Q1163" s="4">
        <f>$E1163+6</f>
        <v>116</v>
      </c>
      <c r="R1163" s="8">
        <f>IF($J1163=0,0,ROUND(MAX($J1163*1.4*1.5*1.6*1.6,13100000*(1.429962^(MIN($E1163,123)-117)))*1,0))</f>
        <v>2209536</v>
      </c>
      <c r="S1163" s="6">
        <f>$E1163+8</f>
        <v>118</v>
      </c>
      <c r="T1163" s="7">
        <f>IF($J1163=0,0,ROUND(MAX($J1163*1.4*1.5*1.6*1.6*2.2,42600000*(1.576904^(MIN($E1163,123)-117)))*1,0))</f>
        <v>4860979</v>
      </c>
      <c r="U1163" s="4">
        <f>$E1163+11</f>
        <v>121</v>
      </c>
      <c r="V1163" s="8">
        <f>IF($J1163=0,0,ROUND(MAX($J1163*1.4*1.5*1.6*1.6*2.2*2.715,354000000*(1.642074^(MIN($E1163,123)-117)))*1,0))</f>
        <v>13197559</v>
      </c>
      <c r="W1163" s="6">
        <f>$E1163+15</f>
        <v>125</v>
      </c>
      <c r="X1163" s="7">
        <f>IF($J1163=0,0,ROUND(MAX($J1163*1.4*1.5*1.6*1.6*2.2*2.715*2.6,3540000000*(1.579646^(MIN($E1163,123)-117)))*1,0))</f>
        <v>144239716</v>
      </c>
      <c r="Y1163" s="4">
        <f>$E1163+17</f>
        <v>127</v>
      </c>
      <c r="Z1163" s="8">
        <f>IF($J1163=0,0,ROUND(MAX($J1163*1.4*1.5*1.6*1.6*2.2*2.715*2.6*1.4,6020000000*(1.651178^(MIN($E1163,123)-117)))*1,0))</f>
        <v>179903344</v>
      </c>
      <c r="AA1163" s="6">
        <f>$E1163+19</f>
        <v>129</v>
      </c>
      <c r="AB1163" s="7">
        <f>IF($J1163=0,0,ROUND(MAX($J1163*1.4*1.5*1.6*1.6*2.2*2.715*2.6*1.4*1.4,8430000000*(1.651435^(MIN($E1163,123)-117)))*1,0))</f>
        <v>251650143</v>
      </c>
      <c r="AC1163" s="4">
        <f>$E1163+21</f>
        <v>131</v>
      </c>
      <c r="AD1163" s="8">
        <f>IF($J1163=0,0,ROUND(MAX($J1163*1.4*1.5*1.6*1.6*2.2*2.715*2.6*1.4*1.4*1.5,12600000000*(1.652953^(MIN($E1163,123)-117)))*1,0))</f>
        <v>373720576</v>
      </c>
      <c r="AE1163" s="6">
        <f>$E1163+24</f>
        <v>134</v>
      </c>
      <c r="AF1163" s="7">
        <f>IF($J1163=0,0,ROUND(MAX($J1163*1.4*1.5*1.6*1.6*2.2*2.715*2.6*1.4*1.4*1.5*1.5,18900000000*(1.65331^(MIN($E1163,123)-117)))*1,0))</f>
        <v>559734088</v>
      </c>
      <c r="AG1163" s="4">
        <f>$E1163+27</f>
        <v>137</v>
      </c>
      <c r="AH1163" s="8">
        <f>IF($J1163=0,0,ROUND(MAX($J1163*1.4*1.5*1.6*1.6*2.2*2.715*2.6*1.4*1.4*1.5*1.5*3.2,60500000000*(1.654288^(MIN($E1163,123)-117)))*1,0))</f>
        <v>1784339701</v>
      </c>
    </row>
    <row r="1164" ht="27.75" customHeight="1" spans="1:34" x14ac:dyDescent="0.25">
      <c r="A1164" s="3">
        <v>1174</v>
      </c>
      <c r="B1164" s="3" t="s">
        <v>860</v>
      </c>
      <c r="C1164" s="3" t="s">
        <v>829</v>
      </c>
      <c r="D1164" s="3" t="s">
        <v>331</v>
      </c>
      <c r="E1164" s="3">
        <v>110</v>
      </c>
      <c r="F1164" s="3" t="s">
        <v>353</v>
      </c>
      <c r="G1164" s="3" t="s">
        <v>381</v>
      </c>
      <c r="H1164" s="3">
        <v>25</v>
      </c>
      <c r="I1164" s="4">
        <v>110</v>
      </c>
      <c r="J1164" s="5">
        <v>223000</v>
      </c>
      <c r="K1164" s="6">
        <f>$E1164+1</f>
        <v>111</v>
      </c>
      <c r="L1164" s="7">
        <f>IF($J1164=0,0,ROUND(MAX($J1164*1.4,1620000*(1.497923^(MIN($E1164,123)-117)))*1,0))</f>
        <v>312200</v>
      </c>
      <c r="M1164" s="4">
        <f>$E1164+2</f>
        <v>112</v>
      </c>
      <c r="N1164" s="8">
        <f>IF($J1164=0,0,ROUND(MAX($J1164*1.4*1.5,2190000*(1.580994^(MIN($E1164,123)-117)))*1,0))</f>
        <v>468300</v>
      </c>
      <c r="O1164" s="6">
        <f>$E1164+4</f>
        <v>114</v>
      </c>
      <c r="P1164" s="7">
        <f>IF($J1164=0,0,ROUND(MAX($J1164*1.4*1.5*1.6,3500000*(1.57975^(MIN($E1164,123)-117)))*1,0))</f>
        <v>749280</v>
      </c>
      <c r="Q1164" s="4">
        <f>$E1164+6</f>
        <v>116</v>
      </c>
      <c r="R1164" s="8">
        <f>IF($J1164=0,0,ROUND(MAX($J1164*1.4*1.5*1.6*1.6,13100000*(1.429962^(MIN($E1164,123)-117)))*1,0))</f>
        <v>1198848</v>
      </c>
      <c r="S1164" s="6">
        <f>$E1164+8</f>
        <v>118</v>
      </c>
      <c r="T1164" s="7">
        <f>IF($J1164=0,0,ROUND(MAX($J1164*1.4*1.5*1.6*1.6*2.2,42600000*(1.576904^(MIN($E1164,123)-117)))*1,0))</f>
        <v>2637466</v>
      </c>
      <c r="U1164" s="4">
        <f>$E1164+11</f>
        <v>121</v>
      </c>
      <c r="V1164" s="8">
        <f>IF($J1164=0,0,ROUND(MAX($J1164*1.4*1.5*1.6*1.6*2.2*2.715,354000000*(1.642074^(MIN($E1164,123)-117)))*1,0))</f>
        <v>10996493</v>
      </c>
      <c r="W1164" s="6">
        <f>$E1164+15</f>
        <v>125</v>
      </c>
      <c r="X1164" s="7">
        <f>IF($J1164=0,0,ROUND(MAX($J1164*1.4*1.5*1.6*1.6*2.2*2.715*2.6,3540000000*(1.579646^(MIN($E1164,123)-117)))*1,0))</f>
        <v>144239716</v>
      </c>
      <c r="Y1164" s="4">
        <f>$E1164+17</f>
        <v>127</v>
      </c>
      <c r="Z1164" s="8">
        <f>IF($J1164=0,0,ROUND(MAX($J1164*1.4*1.5*1.6*1.6*2.2*2.715*2.6*1.4,6020000000*(1.651178^(MIN($E1164,123)-117)))*1,0))</f>
        <v>179903344</v>
      </c>
      <c r="AA1164" s="6">
        <f>$E1164+19</f>
        <v>129</v>
      </c>
      <c r="AB1164" s="7">
        <f>IF($J1164=0,0,ROUND(MAX($J1164*1.4*1.5*1.6*1.6*2.2*2.715*2.6*1.4*1.4,8430000000*(1.651435^(MIN($E1164,123)-117)))*1,0))</f>
        <v>251650143</v>
      </c>
      <c r="AC1164" s="4">
        <f>$E1164+21</f>
        <v>131</v>
      </c>
      <c r="AD1164" s="8">
        <f>IF($J1164=0,0,ROUND(MAX($J1164*1.4*1.5*1.6*1.6*2.2*2.715*2.6*1.4*1.4*1.5,12600000000*(1.652953^(MIN($E1164,123)-117)))*1,0))</f>
        <v>373720576</v>
      </c>
      <c r="AE1164" s="6">
        <f>$E1164+24</f>
        <v>134</v>
      </c>
      <c r="AF1164" s="7">
        <f>IF($J1164=0,0,ROUND(MAX($J1164*1.4*1.5*1.6*1.6*2.2*2.715*2.6*1.4*1.4*1.5*1.5,18900000000*(1.65331^(MIN($E1164,123)-117)))*1,0))</f>
        <v>559734088</v>
      </c>
      <c r="AG1164" s="4">
        <f>$E1164+27</f>
        <v>137</v>
      </c>
      <c r="AH1164" s="8">
        <f>IF($J1164=0,0,ROUND(MAX($J1164*1.4*1.5*1.6*1.6*2.2*2.715*2.6*1.4*1.4*1.5*1.5*3.2,60500000000*(1.654288^(MIN($E1164,123)-117)))*1,0))</f>
        <v>1784339701</v>
      </c>
    </row>
    <row r="1165" ht="27.75" customHeight="1" spans="1:34" x14ac:dyDescent="0.25">
      <c r="A1165" s="3">
        <v>1175</v>
      </c>
      <c r="B1165" s="3" t="s">
        <v>861</v>
      </c>
      <c r="C1165" s="3" t="s">
        <v>829</v>
      </c>
      <c r="D1165" s="3" t="s">
        <v>75</v>
      </c>
      <c r="E1165" s="3">
        <v>110</v>
      </c>
      <c r="F1165" s="3" t="s">
        <v>42</v>
      </c>
      <c r="G1165" s="3" t="s">
        <v>862</v>
      </c>
      <c r="H1165" s="3">
        <v>25</v>
      </c>
      <c r="I1165" s="4">
        <v>110</v>
      </c>
      <c r="J1165" s="5">
        <v>68200</v>
      </c>
      <c r="K1165" s="6">
        <f>$E1165+1</f>
        <v>111</v>
      </c>
      <c r="L1165" s="7">
        <f>IF($J1165=0,0,ROUND(MAX($J1165*1.4,1620000*(1.497923^(MIN($E1165,123)-117)))*1,0))</f>
        <v>95739</v>
      </c>
      <c r="M1165" s="4">
        <f>$E1165+2</f>
        <v>112</v>
      </c>
      <c r="N1165" s="8">
        <f>IF($J1165=0,0,ROUND(MAX($J1165*1.4*1.5,2190000*(1.580994^(MIN($E1165,123)-117)))*1,0))</f>
        <v>143220</v>
      </c>
      <c r="O1165" s="6">
        <f>$E1165+4</f>
        <v>114</v>
      </c>
      <c r="P1165" s="7">
        <f>IF($J1165=0,0,ROUND(MAX($J1165*1.4*1.5*1.6,3500000*(1.57975^(MIN($E1165,123)-117)))*1,0))</f>
        <v>229152</v>
      </c>
      <c r="Q1165" s="4">
        <f>$E1165+6</f>
        <v>116</v>
      </c>
      <c r="R1165" s="8">
        <f>IF($J1165=0,0,ROUND(MAX($J1165*1.4*1.5*1.6*1.6,13100000*(1.429962^(MIN($E1165,123)-117)))*1,0))</f>
        <v>1071519</v>
      </c>
      <c r="S1165" s="6">
        <f>$E1165+8</f>
        <v>118</v>
      </c>
      <c r="T1165" s="7">
        <f>IF($J1165=0,0,ROUND(MAX($J1165*1.4*1.5*1.6*1.6*2.2,42600000*(1.576904^(MIN($E1165,123)-117)))*1,0))</f>
        <v>1757004</v>
      </c>
      <c r="U1165" s="4">
        <f>$E1165+11</f>
        <v>121</v>
      </c>
      <c r="V1165" s="8">
        <f>IF($J1165=0,0,ROUND(MAX($J1165*1.4*1.5*1.6*1.6*2.2*2.715,354000000*(1.642074^(MIN($E1165,123)-117)))*1,0))</f>
        <v>10996493</v>
      </c>
      <c r="W1165" s="6">
        <f>$E1165+15</f>
        <v>125</v>
      </c>
      <c r="X1165" s="7">
        <f>IF($J1165=0,0,ROUND(MAX($J1165*1.4*1.5*1.6*1.6*2.2*2.715*2.6,3540000000*(1.579646^(MIN($E1165,123)-117)))*1,0))</f>
        <v>144239716</v>
      </c>
      <c r="Y1165" s="4">
        <f>$E1165+17</f>
        <v>127</v>
      </c>
      <c r="Z1165" s="8">
        <f>IF($J1165=0,0,ROUND(MAX($J1165*1.4*1.5*1.6*1.6*2.2*2.715*2.6*1.4,6020000000*(1.651178^(MIN($E1165,123)-117)))*1,0))</f>
        <v>179903344</v>
      </c>
      <c r="AA1165" s="6">
        <f>$E1165+19</f>
        <v>129</v>
      </c>
      <c r="AB1165" s="7">
        <f>IF($J1165=0,0,ROUND(MAX($J1165*1.4*1.5*1.6*1.6*2.2*2.715*2.6*1.4*1.4,8430000000*(1.651435^(MIN($E1165,123)-117)))*1,0))</f>
        <v>251650143</v>
      </c>
      <c r="AC1165" s="4">
        <f>$E1165+21</f>
        <v>131</v>
      </c>
      <c r="AD1165" s="8">
        <f>IF($J1165=0,0,ROUND(MAX($J1165*1.4*1.5*1.6*1.6*2.2*2.715*2.6*1.4*1.4*1.5,12600000000*(1.652953^(MIN($E1165,123)-117)))*1,0))</f>
        <v>373720576</v>
      </c>
      <c r="AE1165" s="6">
        <f>$E1165+24</f>
        <v>134</v>
      </c>
      <c r="AF1165" s="7">
        <f>IF($J1165=0,0,ROUND(MAX($J1165*1.4*1.5*1.6*1.6*2.2*2.715*2.6*1.4*1.4*1.5*1.5,18900000000*(1.65331^(MIN($E1165,123)-117)))*1,0))</f>
        <v>559734088</v>
      </c>
      <c r="AG1165" s="4">
        <f>$E1165+27</f>
        <v>137</v>
      </c>
      <c r="AH1165" s="8">
        <f>IF($J1165=0,0,ROUND(MAX($J1165*1.4*1.5*1.6*1.6*2.2*2.715*2.6*1.4*1.4*1.5*1.5*3.2,60500000000*(1.654288^(MIN($E1165,123)-117)))*1,0))</f>
        <v>1784339701</v>
      </c>
    </row>
    <row r="1166" ht="27.75" customHeight="1" spans="1:34" x14ac:dyDescent="0.25">
      <c r="A1166" s="3">
        <v>1176</v>
      </c>
      <c r="B1166" s="3" t="s">
        <v>863</v>
      </c>
      <c r="C1166" s="3" t="s">
        <v>829</v>
      </c>
      <c r="D1166" s="3" t="s">
        <v>25</v>
      </c>
      <c r="E1166" s="3">
        <v>110</v>
      </c>
      <c r="F1166" s="3" t="s">
        <v>258</v>
      </c>
      <c r="G1166" s="3" t="s">
        <v>864</v>
      </c>
      <c r="H1166" s="3">
        <v>25</v>
      </c>
      <c r="I1166" s="4">
        <v>110</v>
      </c>
      <c r="J1166" s="5">
        <v>101000</v>
      </c>
      <c r="K1166" s="6">
        <f>$E1166+1</f>
        <v>111</v>
      </c>
      <c r="L1166" s="7">
        <f>IF($J1166=0,0,ROUND(MAX($J1166*1.4,1620000*(1.497923^(MIN($E1166,123)-117)))*1,0))</f>
        <v>141400</v>
      </c>
      <c r="M1166" s="4">
        <f>$E1166+2</f>
        <v>112</v>
      </c>
      <c r="N1166" s="8">
        <f>IF($J1166=0,0,ROUND(MAX($J1166*1.4*1.5,2190000*(1.580994^(MIN($E1166,123)-117)))*1,0))</f>
        <v>212100</v>
      </c>
      <c r="O1166" s="6">
        <f>$E1166+4</f>
        <v>114</v>
      </c>
      <c r="P1166" s="7">
        <f>IF($J1166=0,0,ROUND(MAX($J1166*1.4*1.5*1.6,3500000*(1.57975^(MIN($E1166,123)-117)))*1,0))</f>
        <v>339360</v>
      </c>
      <c r="Q1166" s="4">
        <f>$E1166+6</f>
        <v>116</v>
      </c>
      <c r="R1166" s="8">
        <f>IF($J1166=0,0,ROUND(MAX($J1166*1.4*1.5*1.6*1.6,13100000*(1.429962^(MIN($E1166,123)-117)))*1,0))</f>
        <v>1071519</v>
      </c>
      <c r="S1166" s="6">
        <f>$E1166+8</f>
        <v>118</v>
      </c>
      <c r="T1166" s="7">
        <f>IF($J1166=0,0,ROUND(MAX($J1166*1.4*1.5*1.6*1.6*2.2,42600000*(1.576904^(MIN($E1166,123)-117)))*1,0))</f>
        <v>1757004</v>
      </c>
      <c r="U1166" s="4">
        <f>$E1166+11</f>
        <v>121</v>
      </c>
      <c r="V1166" s="8">
        <f>IF($J1166=0,0,ROUND(MAX($J1166*1.4*1.5*1.6*1.6*2.2*2.715,354000000*(1.642074^(MIN($E1166,123)-117)))*1,0))</f>
        <v>10996493</v>
      </c>
      <c r="W1166" s="6">
        <f>$E1166+15</f>
        <v>125</v>
      </c>
      <c r="X1166" s="7">
        <f>IF($J1166=0,0,ROUND(MAX($J1166*1.4*1.5*1.6*1.6*2.2*2.715*2.6,3540000000*(1.579646^(MIN($E1166,123)-117)))*1,0))</f>
        <v>144239716</v>
      </c>
      <c r="Y1166" s="4">
        <f>$E1166+17</f>
        <v>127</v>
      </c>
      <c r="Z1166" s="8">
        <f>IF($J1166=0,0,ROUND(MAX($J1166*1.4*1.5*1.6*1.6*2.2*2.715*2.6*1.4,6020000000*(1.651178^(MIN($E1166,123)-117)))*1,0))</f>
        <v>179903344</v>
      </c>
      <c r="AA1166" s="6">
        <f>$E1166+19</f>
        <v>129</v>
      </c>
      <c r="AB1166" s="7">
        <f>IF($J1166=0,0,ROUND(MAX($J1166*1.4*1.5*1.6*1.6*2.2*2.715*2.6*1.4*1.4,8430000000*(1.651435^(MIN($E1166,123)-117)))*1,0))</f>
        <v>251650143</v>
      </c>
      <c r="AC1166" s="4">
        <f>$E1166+21</f>
        <v>131</v>
      </c>
      <c r="AD1166" s="8">
        <f>IF($J1166=0,0,ROUND(MAX($J1166*1.4*1.5*1.6*1.6*2.2*2.715*2.6*1.4*1.4*1.5,12600000000*(1.652953^(MIN($E1166,123)-117)))*1,0))</f>
        <v>373720576</v>
      </c>
      <c r="AE1166" s="6">
        <f>$E1166+24</f>
        <v>134</v>
      </c>
      <c r="AF1166" s="7">
        <f>IF($J1166=0,0,ROUND(MAX($J1166*1.4*1.5*1.6*1.6*2.2*2.715*2.6*1.4*1.4*1.5*1.5,18900000000*(1.65331^(MIN($E1166,123)-117)))*1,0))</f>
        <v>559734088</v>
      </c>
      <c r="AG1166" s="4">
        <f>$E1166+27</f>
        <v>137</v>
      </c>
      <c r="AH1166" s="8">
        <f>IF($J1166=0,0,ROUND(MAX($J1166*1.4*1.5*1.6*1.6*2.2*2.715*2.6*1.4*1.4*1.5*1.5*3.2,60500000000*(1.654288^(MIN($E1166,123)-117)))*1,0))</f>
        <v>1784339701</v>
      </c>
    </row>
    <row r="1167" ht="27.75" customHeight="1" spans="1:34" x14ac:dyDescent="0.25">
      <c r="A1167" s="3">
        <v>1177</v>
      </c>
      <c r="B1167" s="3" t="s">
        <v>752</v>
      </c>
      <c r="C1167" s="3" t="s">
        <v>829</v>
      </c>
      <c r="D1167" s="3" t="s">
        <v>75</v>
      </c>
      <c r="E1167" s="3">
        <v>110</v>
      </c>
      <c r="F1167" s="3" t="s">
        <v>71</v>
      </c>
      <c r="G1167" s="3" t="s">
        <v>270</v>
      </c>
      <c r="H1167" s="3">
        <v>25</v>
      </c>
      <c r="I1167" s="4">
        <v>110</v>
      </c>
      <c r="J1167" s="5">
        <v>106000</v>
      </c>
      <c r="K1167" s="6">
        <f>$E1167+1</f>
        <v>111</v>
      </c>
      <c r="L1167" s="7">
        <f>IF($J1167=0,0,ROUND(MAX($J1167*1.4,1620000*(1.497923^(MIN($E1167,123)-117)))*1,0))</f>
        <v>148400</v>
      </c>
      <c r="M1167" s="4">
        <f>$E1167+2</f>
        <v>112</v>
      </c>
      <c r="N1167" s="8">
        <f>IF($J1167=0,0,ROUND(MAX($J1167*1.4*1.5,2190000*(1.580994^(MIN($E1167,123)-117)))*1,0))</f>
        <v>222600</v>
      </c>
      <c r="O1167" s="6">
        <f>$E1167+4</f>
        <v>114</v>
      </c>
      <c r="P1167" s="7">
        <f>IF($J1167=0,0,ROUND(MAX($J1167*1.4*1.5*1.6,3500000*(1.57975^(MIN($E1167,123)-117)))*1,0))</f>
        <v>356160</v>
      </c>
      <c r="Q1167" s="4">
        <f>$E1167+6</f>
        <v>116</v>
      </c>
      <c r="R1167" s="8">
        <f>IF($J1167=0,0,ROUND(MAX($J1167*1.4*1.5*1.6*1.6,13100000*(1.429962^(MIN($E1167,123)-117)))*1,0))</f>
        <v>1071519</v>
      </c>
      <c r="S1167" s="6">
        <f>$E1167+8</f>
        <v>118</v>
      </c>
      <c r="T1167" s="7">
        <f>IF($J1167=0,0,ROUND(MAX($J1167*1.4*1.5*1.6*1.6*2.2,42600000*(1.576904^(MIN($E1167,123)-117)))*1,0))</f>
        <v>1757004</v>
      </c>
      <c r="U1167" s="4">
        <f>$E1167+11</f>
        <v>121</v>
      </c>
      <c r="V1167" s="8">
        <f>IF($J1167=0,0,ROUND(MAX($J1167*1.4*1.5*1.6*1.6*2.2*2.715,354000000*(1.642074^(MIN($E1167,123)-117)))*1,0))</f>
        <v>10996493</v>
      </c>
      <c r="W1167" s="6">
        <f>$E1167+15</f>
        <v>125</v>
      </c>
      <c r="X1167" s="7">
        <f>IF($J1167=0,0,ROUND(MAX($J1167*1.4*1.5*1.6*1.6*2.2*2.715*2.6,3540000000*(1.579646^(MIN($E1167,123)-117)))*1,0))</f>
        <v>144239716</v>
      </c>
      <c r="Y1167" s="4">
        <f>$E1167+17</f>
        <v>127</v>
      </c>
      <c r="Z1167" s="8">
        <f>IF($J1167=0,0,ROUND(MAX($J1167*1.4*1.5*1.6*1.6*2.2*2.715*2.6*1.4,6020000000*(1.651178^(MIN($E1167,123)-117)))*1,0))</f>
        <v>179903344</v>
      </c>
      <c r="AA1167" s="6">
        <f>$E1167+19</f>
        <v>129</v>
      </c>
      <c r="AB1167" s="7">
        <f>IF($J1167=0,0,ROUND(MAX($J1167*1.4*1.5*1.6*1.6*2.2*2.715*2.6*1.4*1.4,8430000000*(1.651435^(MIN($E1167,123)-117)))*1,0))</f>
        <v>251650143</v>
      </c>
      <c r="AC1167" s="4">
        <f>$E1167+21</f>
        <v>131</v>
      </c>
      <c r="AD1167" s="8">
        <f>IF($J1167=0,0,ROUND(MAX($J1167*1.4*1.5*1.6*1.6*2.2*2.715*2.6*1.4*1.4*1.5,12600000000*(1.652953^(MIN($E1167,123)-117)))*1,0))</f>
        <v>373720576</v>
      </c>
      <c r="AE1167" s="6">
        <f>$E1167+24</f>
        <v>134</v>
      </c>
      <c r="AF1167" s="7">
        <f>IF($J1167=0,0,ROUND(MAX($J1167*1.4*1.5*1.6*1.6*2.2*2.715*2.6*1.4*1.4*1.5*1.5,18900000000*(1.65331^(MIN($E1167,123)-117)))*1,0))</f>
        <v>559734088</v>
      </c>
      <c r="AG1167" s="4">
        <f>$E1167+27</f>
        <v>137</v>
      </c>
      <c r="AH1167" s="8">
        <f>IF($J1167=0,0,ROUND(MAX($J1167*1.4*1.5*1.6*1.6*2.2*2.715*2.6*1.4*1.4*1.5*1.5*3.2,60500000000*(1.654288^(MIN($E1167,123)-117)))*1,0))</f>
        <v>1784339701</v>
      </c>
    </row>
    <row r="1168" ht="27.75" customHeight="1" spans="1:34" x14ac:dyDescent="0.25">
      <c r="A1168" s="3">
        <v>1178</v>
      </c>
      <c r="B1168" s="3" t="s">
        <v>796</v>
      </c>
      <c r="C1168" s="3" t="s">
        <v>829</v>
      </c>
      <c r="D1168" s="3" t="s">
        <v>45</v>
      </c>
      <c r="E1168" s="3">
        <v>110</v>
      </c>
      <c r="F1168" s="3" t="s">
        <v>42</v>
      </c>
      <c r="G1168" s="3" t="s">
        <v>797</v>
      </c>
      <c r="H1168" s="3">
        <v>25</v>
      </c>
      <c r="I1168" s="4">
        <v>110</v>
      </c>
      <c r="J1168" s="5">
        <v>262000</v>
      </c>
      <c r="K1168" s="6">
        <f>$E1168+1</f>
        <v>111</v>
      </c>
      <c r="L1168" s="7">
        <f>IF($J1168=0,0,ROUND(MAX($J1168*1.4,1620000*(1.497923^(MIN($E1168,123)-117)))*1,0))</f>
        <v>366800</v>
      </c>
      <c r="M1168" s="4">
        <f>$E1168+2</f>
        <v>112</v>
      </c>
      <c r="N1168" s="8">
        <f>IF($J1168=0,0,ROUND(MAX($J1168*1.4*1.5,2190000*(1.580994^(MIN($E1168,123)-117)))*1,0))</f>
        <v>550200</v>
      </c>
      <c r="O1168" s="6">
        <f>$E1168+4</f>
        <v>114</v>
      </c>
      <c r="P1168" s="7">
        <f>IF($J1168=0,0,ROUND(MAX($J1168*1.4*1.5*1.6,3500000*(1.57975^(MIN($E1168,123)-117)))*1,0))</f>
        <v>880320</v>
      </c>
      <c r="Q1168" s="4">
        <f>$E1168+6</f>
        <v>116</v>
      </c>
      <c r="R1168" s="8">
        <f>IF($J1168=0,0,ROUND(MAX($J1168*1.4*1.5*1.6*1.6,13100000*(1.429962^(MIN($E1168,123)-117)))*1,0))</f>
        <v>1408512</v>
      </c>
      <c r="S1168" s="6">
        <f>$E1168+8</f>
        <v>118</v>
      </c>
      <c r="T1168" s="7">
        <f>IF($J1168=0,0,ROUND(MAX($J1168*1.4*1.5*1.6*1.6*2.2,42600000*(1.576904^(MIN($E1168,123)-117)))*1,0))</f>
        <v>3098726</v>
      </c>
      <c r="U1168" s="4">
        <f>$E1168+11</f>
        <v>121</v>
      </c>
      <c r="V1168" s="8">
        <f>IF($J1168=0,0,ROUND(MAX($J1168*1.4*1.5*1.6*1.6*2.2*2.715,354000000*(1.642074^(MIN($E1168,123)-117)))*1,0))</f>
        <v>10996493</v>
      </c>
      <c r="W1168" s="6">
        <f>$E1168+15</f>
        <v>125</v>
      </c>
      <c r="X1168" s="7">
        <f>IF($J1168=0,0,ROUND(MAX($J1168*1.4*1.5*1.6*1.6*2.2*2.715*2.6,3540000000*(1.579646^(MIN($E1168,123)-117)))*1,0))</f>
        <v>144239716</v>
      </c>
      <c r="Y1168" s="4">
        <f>$E1168+17</f>
        <v>127</v>
      </c>
      <c r="Z1168" s="8">
        <f>IF($J1168=0,0,ROUND(MAX($J1168*1.4*1.5*1.6*1.6*2.2*2.715*2.6*1.4,6020000000*(1.651178^(MIN($E1168,123)-117)))*1,0))</f>
        <v>179903344</v>
      </c>
      <c r="AA1168" s="6">
        <f>$E1168+19</f>
        <v>129</v>
      </c>
      <c r="AB1168" s="7">
        <f>IF($J1168=0,0,ROUND(MAX($J1168*1.4*1.5*1.6*1.6*2.2*2.715*2.6*1.4*1.4,8430000000*(1.651435^(MIN($E1168,123)-117)))*1,0))</f>
        <v>251650143</v>
      </c>
      <c r="AC1168" s="4">
        <f>$E1168+21</f>
        <v>131</v>
      </c>
      <c r="AD1168" s="8">
        <f>IF($J1168=0,0,ROUND(MAX($J1168*1.4*1.5*1.6*1.6*2.2*2.715*2.6*1.4*1.4*1.5,12600000000*(1.652953^(MIN($E1168,123)-117)))*1,0))</f>
        <v>373720576</v>
      </c>
      <c r="AE1168" s="6">
        <f>$E1168+24</f>
        <v>134</v>
      </c>
      <c r="AF1168" s="7">
        <f>IF($J1168=0,0,ROUND(MAX($J1168*1.4*1.5*1.6*1.6*2.2*2.715*2.6*1.4*1.4*1.5*1.5,18900000000*(1.65331^(MIN($E1168,123)-117)))*1,0))</f>
        <v>559734088</v>
      </c>
      <c r="AG1168" s="4">
        <f>$E1168+27</f>
        <v>137</v>
      </c>
      <c r="AH1168" s="8">
        <f>IF($J1168=0,0,ROUND(MAX($J1168*1.4*1.5*1.6*1.6*2.2*2.715*2.6*1.4*1.4*1.5*1.5*3.2,60500000000*(1.654288^(MIN($E1168,123)-117)))*1,0))</f>
        <v>1784339701</v>
      </c>
    </row>
    <row r="1169" ht="27.75" customHeight="1" spans="1:34" x14ac:dyDescent="0.25">
      <c r="A1169" s="3">
        <v>1179</v>
      </c>
      <c r="B1169" s="3" t="s">
        <v>865</v>
      </c>
      <c r="C1169" s="3" t="s">
        <v>829</v>
      </c>
      <c r="D1169" s="3" t="s">
        <v>33</v>
      </c>
      <c r="E1169" s="3">
        <v>110</v>
      </c>
      <c r="F1169" s="3" t="s">
        <v>71</v>
      </c>
      <c r="G1169" s="3" t="s">
        <v>760</v>
      </c>
      <c r="H1169" s="3">
        <v>25</v>
      </c>
      <c r="I1169" s="4">
        <v>110</v>
      </c>
      <c r="J1169" s="5">
        <v>346000</v>
      </c>
      <c r="K1169" s="6">
        <f>$E1169+1</f>
        <v>111</v>
      </c>
      <c r="L1169" s="7">
        <f>IF($J1169=0,0,ROUND(MAX($J1169*1.4,1620000*(1.497923^(MIN($E1169,123)-117)))*1,0))</f>
        <v>484400</v>
      </c>
      <c r="M1169" s="4">
        <f>$E1169+2</f>
        <v>112</v>
      </c>
      <c r="N1169" s="8">
        <f>IF($J1169=0,0,ROUND(MAX($J1169*1.4*1.5,2190000*(1.580994^(MIN($E1169,123)-117)))*1,0))</f>
        <v>726600</v>
      </c>
      <c r="O1169" s="6">
        <f>$E1169+4</f>
        <v>114</v>
      </c>
      <c r="P1169" s="7">
        <f>IF($J1169=0,0,ROUND(MAX($J1169*1.4*1.5*1.6,3500000*(1.57975^(MIN($E1169,123)-117)))*1,0))</f>
        <v>1162560</v>
      </c>
      <c r="Q1169" s="4">
        <f>$E1169+6</f>
        <v>116</v>
      </c>
      <c r="R1169" s="8">
        <f>IF($J1169=0,0,ROUND(MAX($J1169*1.4*1.5*1.6*1.6,13100000*(1.429962^(MIN($E1169,123)-117)))*1,0))</f>
        <v>1860096</v>
      </c>
      <c r="S1169" s="6">
        <f>$E1169+8</f>
        <v>118</v>
      </c>
      <c r="T1169" s="7">
        <f>IF($J1169=0,0,ROUND(MAX($J1169*1.4*1.5*1.6*1.6*2.2,42600000*(1.576904^(MIN($E1169,123)-117)))*1,0))</f>
        <v>4092211</v>
      </c>
      <c r="U1169" s="4">
        <f>$E1169+11</f>
        <v>121</v>
      </c>
      <c r="V1169" s="8">
        <f>IF($J1169=0,0,ROUND(MAX($J1169*1.4*1.5*1.6*1.6*2.2*2.715,354000000*(1.642074^(MIN($E1169,123)-117)))*1,0))</f>
        <v>11110353</v>
      </c>
      <c r="W1169" s="6">
        <f>$E1169+15</f>
        <v>125</v>
      </c>
      <c r="X1169" s="7">
        <f>IF($J1169=0,0,ROUND(MAX($J1169*1.4*1.5*1.6*1.6*2.2*2.715*2.6,3540000000*(1.579646^(MIN($E1169,123)-117)))*1,0))</f>
        <v>144239716</v>
      </c>
      <c r="Y1169" s="4">
        <f>$E1169+17</f>
        <v>127</v>
      </c>
      <c r="Z1169" s="8">
        <f>IF($J1169=0,0,ROUND(MAX($J1169*1.4*1.5*1.6*1.6*2.2*2.715*2.6*1.4,6020000000*(1.651178^(MIN($E1169,123)-117)))*1,0))</f>
        <v>179903344</v>
      </c>
      <c r="AA1169" s="6">
        <f>$E1169+19</f>
        <v>129</v>
      </c>
      <c r="AB1169" s="7">
        <f>IF($J1169=0,0,ROUND(MAX($J1169*1.4*1.5*1.6*1.6*2.2*2.715*2.6*1.4*1.4,8430000000*(1.651435^(MIN($E1169,123)-117)))*1,0))</f>
        <v>251650143</v>
      </c>
      <c r="AC1169" s="4">
        <f>$E1169+21</f>
        <v>131</v>
      </c>
      <c r="AD1169" s="8">
        <f>IF($J1169=0,0,ROUND(MAX($J1169*1.4*1.5*1.6*1.6*2.2*2.715*2.6*1.4*1.4*1.5,12600000000*(1.652953^(MIN($E1169,123)-117)))*1,0))</f>
        <v>373720576</v>
      </c>
      <c r="AE1169" s="6">
        <f>$E1169+24</f>
        <v>134</v>
      </c>
      <c r="AF1169" s="7">
        <f>IF($J1169=0,0,ROUND(MAX($J1169*1.4*1.5*1.6*1.6*2.2*2.715*2.6*1.4*1.4*1.5*1.5,18900000000*(1.65331^(MIN($E1169,123)-117)))*1,0))</f>
        <v>559734088</v>
      </c>
      <c r="AG1169" s="4">
        <f>$E1169+27</f>
        <v>137</v>
      </c>
      <c r="AH1169" s="8">
        <f>IF($J1169=0,0,ROUND(MAX($J1169*1.4*1.5*1.6*1.6*2.2*2.715*2.6*1.4*1.4*1.5*1.5*3.2,60500000000*(1.654288^(MIN($E1169,123)-117)))*1,0))</f>
        <v>1784339701</v>
      </c>
    </row>
    <row r="1170" ht="27.75" customHeight="1" spans="1:34" x14ac:dyDescent="0.25">
      <c r="A1170" s="3">
        <v>1180</v>
      </c>
      <c r="B1170" s="3" t="s">
        <v>656</v>
      </c>
      <c r="C1170" s="3" t="s">
        <v>829</v>
      </c>
      <c r="D1170" s="3" t="s">
        <v>25</v>
      </c>
      <c r="E1170" s="3">
        <v>110</v>
      </c>
      <c r="F1170" s="3" t="s">
        <v>383</v>
      </c>
      <c r="G1170" s="3" t="s">
        <v>830</v>
      </c>
      <c r="H1170" s="3">
        <v>25</v>
      </c>
      <c r="I1170" s="4">
        <v>110</v>
      </c>
      <c r="J1170" s="5">
        <v>384000</v>
      </c>
      <c r="K1170" s="6">
        <f>$E1170+1</f>
        <v>111</v>
      </c>
      <c r="L1170" s="7">
        <f>IF($J1170=0,0,ROUND(MAX($J1170*1.4,1620000*(1.497923^(MIN($E1170,123)-117)))*1,0))</f>
        <v>537600</v>
      </c>
      <c r="M1170" s="4">
        <f>$E1170+2</f>
        <v>112</v>
      </c>
      <c r="N1170" s="8">
        <f>IF($J1170=0,0,ROUND(MAX($J1170*1.4*1.5,2190000*(1.580994^(MIN($E1170,123)-117)))*1,0))</f>
        <v>806400</v>
      </c>
      <c r="O1170" s="6">
        <f>$E1170+4</f>
        <v>114</v>
      </c>
      <c r="P1170" s="7">
        <f>IF($J1170=0,0,ROUND(MAX($J1170*1.4*1.5*1.6,3500000*(1.57975^(MIN($E1170,123)-117)))*1,0))</f>
        <v>1290240</v>
      </c>
      <c r="Q1170" s="4">
        <f>$E1170+6</f>
        <v>116</v>
      </c>
      <c r="R1170" s="8">
        <f>IF($J1170=0,0,ROUND(MAX($J1170*1.4*1.5*1.6*1.6,13100000*(1.429962^(MIN($E1170,123)-117)))*1,0))</f>
        <v>2064384</v>
      </c>
      <c r="S1170" s="6">
        <f>$E1170+8</f>
        <v>118</v>
      </c>
      <c r="T1170" s="7">
        <f>IF($J1170=0,0,ROUND(MAX($J1170*1.4*1.5*1.6*1.6*2.2,42600000*(1.576904^(MIN($E1170,123)-117)))*1,0))</f>
        <v>4541645</v>
      </c>
      <c r="U1170" s="4">
        <f>$E1170+11</f>
        <v>121</v>
      </c>
      <c r="V1170" s="8">
        <f>IF($J1170=0,0,ROUND(MAX($J1170*1.4*1.5*1.6*1.6*2.2*2.715,354000000*(1.642074^(MIN($E1170,123)-117)))*1,0))</f>
        <v>12330566</v>
      </c>
      <c r="W1170" s="6">
        <f>$E1170+15</f>
        <v>125</v>
      </c>
      <c r="X1170" s="7">
        <f>IF($J1170=0,0,ROUND(MAX($J1170*1.4*1.5*1.6*1.6*2.2*2.715*2.6,3540000000*(1.579646^(MIN($E1170,123)-117)))*1,0))</f>
        <v>144239716</v>
      </c>
      <c r="Y1170" s="4">
        <f>$E1170+17</f>
        <v>127</v>
      </c>
      <c r="Z1170" s="8">
        <f>IF($J1170=0,0,ROUND(MAX($J1170*1.4*1.5*1.6*1.6*2.2*2.715*2.6*1.4,6020000000*(1.651178^(MIN($E1170,123)-117)))*1,0))</f>
        <v>179903344</v>
      </c>
      <c r="AA1170" s="6">
        <f>$E1170+19</f>
        <v>129</v>
      </c>
      <c r="AB1170" s="7">
        <f>IF($J1170=0,0,ROUND(MAX($J1170*1.4*1.5*1.6*1.6*2.2*2.715*2.6*1.4*1.4,8430000000*(1.651435^(MIN($E1170,123)-117)))*1,0))</f>
        <v>251650143</v>
      </c>
      <c r="AC1170" s="4">
        <f>$E1170+21</f>
        <v>131</v>
      </c>
      <c r="AD1170" s="8">
        <f>IF($J1170=0,0,ROUND(MAX($J1170*1.4*1.5*1.6*1.6*2.2*2.715*2.6*1.4*1.4*1.5,12600000000*(1.652953^(MIN($E1170,123)-117)))*1,0))</f>
        <v>373720576</v>
      </c>
      <c r="AE1170" s="6">
        <f>$E1170+24</f>
        <v>134</v>
      </c>
      <c r="AF1170" s="7">
        <f>IF($J1170=0,0,ROUND(MAX($J1170*1.4*1.5*1.6*1.6*2.2*2.715*2.6*1.4*1.4*1.5*1.5,18900000000*(1.65331^(MIN($E1170,123)-117)))*1,0))</f>
        <v>559734088</v>
      </c>
      <c r="AG1170" s="4">
        <f>$E1170+27</f>
        <v>137</v>
      </c>
      <c r="AH1170" s="8">
        <f>IF($J1170=0,0,ROUND(MAX($J1170*1.4*1.5*1.6*1.6*2.2*2.715*2.6*1.4*1.4*1.5*1.5*3.2,60500000000*(1.654288^(MIN($E1170,123)-117)))*1,0))</f>
        <v>1784339701</v>
      </c>
    </row>
    <row r="1171" ht="27.75" customHeight="1" spans="1:34" x14ac:dyDescent="0.25">
      <c r="A1171" s="3">
        <v>1181</v>
      </c>
      <c r="B1171" s="3" t="s">
        <v>606</v>
      </c>
      <c r="C1171" s="3" t="s">
        <v>829</v>
      </c>
      <c r="D1171" s="3" t="s">
        <v>33</v>
      </c>
      <c r="E1171" s="3">
        <v>110</v>
      </c>
      <c r="F1171" s="3" t="s">
        <v>59</v>
      </c>
      <c r="G1171" s="3" t="s">
        <v>830</v>
      </c>
      <c r="H1171" s="3">
        <v>25</v>
      </c>
      <c r="I1171" s="4">
        <v>110</v>
      </c>
      <c r="J1171" s="5">
        <v>86900</v>
      </c>
      <c r="K1171" s="6">
        <f>$E1171+1</f>
        <v>111</v>
      </c>
      <c r="L1171" s="7">
        <f>IF($J1171=0,0,ROUND(MAX($J1171*1.4,1620000*(1.497923^(MIN($E1171,123)-117)))*1,0))</f>
        <v>121660</v>
      </c>
      <c r="M1171" s="4">
        <f>$E1171+2</f>
        <v>112</v>
      </c>
      <c r="N1171" s="8">
        <f>IF($J1171=0,0,ROUND(MAX($J1171*1.4*1.5,2190000*(1.580994^(MIN($E1171,123)-117)))*1,0))</f>
        <v>182490</v>
      </c>
      <c r="O1171" s="6">
        <f>$E1171+4</f>
        <v>114</v>
      </c>
      <c r="P1171" s="7">
        <f>IF($J1171=0,0,ROUND(MAX($J1171*1.4*1.5*1.6,3500000*(1.57975^(MIN($E1171,123)-117)))*1,0))</f>
        <v>291984</v>
      </c>
      <c r="Q1171" s="4">
        <f>$E1171+6</f>
        <v>116</v>
      </c>
      <c r="R1171" s="8">
        <f>IF($J1171=0,0,ROUND(MAX($J1171*1.4*1.5*1.6*1.6,13100000*(1.429962^(MIN($E1171,123)-117)))*1,0))</f>
        <v>1071519</v>
      </c>
      <c r="S1171" s="6">
        <f>$E1171+8</f>
        <v>118</v>
      </c>
      <c r="T1171" s="7">
        <f>IF($J1171=0,0,ROUND(MAX($J1171*1.4*1.5*1.6*1.6*2.2,42600000*(1.576904^(MIN($E1171,123)-117)))*1,0))</f>
        <v>1757004</v>
      </c>
      <c r="U1171" s="4">
        <f>$E1171+11</f>
        <v>121</v>
      </c>
      <c r="V1171" s="8">
        <f>IF($J1171=0,0,ROUND(MAX($J1171*1.4*1.5*1.6*1.6*2.2*2.715,354000000*(1.642074^(MIN($E1171,123)-117)))*1,0))</f>
        <v>10996493</v>
      </c>
      <c r="W1171" s="6">
        <f>$E1171+15</f>
        <v>125</v>
      </c>
      <c r="X1171" s="7">
        <f>IF($J1171=0,0,ROUND(MAX($J1171*1.4*1.5*1.6*1.6*2.2*2.715*2.6,3540000000*(1.579646^(MIN($E1171,123)-117)))*1,0))</f>
        <v>144239716</v>
      </c>
      <c r="Y1171" s="4">
        <f>$E1171+17</f>
        <v>127</v>
      </c>
      <c r="Z1171" s="8">
        <f>IF($J1171=0,0,ROUND(MAX($J1171*1.4*1.5*1.6*1.6*2.2*2.715*2.6*1.4,6020000000*(1.651178^(MIN($E1171,123)-117)))*1,0))</f>
        <v>179903344</v>
      </c>
      <c r="AA1171" s="6">
        <f>$E1171+19</f>
        <v>129</v>
      </c>
      <c r="AB1171" s="7">
        <f>IF($J1171=0,0,ROUND(MAX($J1171*1.4*1.5*1.6*1.6*2.2*2.715*2.6*1.4*1.4,8430000000*(1.651435^(MIN($E1171,123)-117)))*1,0))</f>
        <v>251650143</v>
      </c>
      <c r="AC1171" s="4">
        <f>$E1171+21</f>
        <v>131</v>
      </c>
      <c r="AD1171" s="8">
        <f>IF($J1171=0,0,ROUND(MAX($J1171*1.4*1.5*1.6*1.6*2.2*2.715*2.6*1.4*1.4*1.5,12600000000*(1.652953^(MIN($E1171,123)-117)))*1,0))</f>
        <v>373720576</v>
      </c>
      <c r="AE1171" s="6">
        <f>$E1171+24</f>
        <v>134</v>
      </c>
      <c r="AF1171" s="7">
        <f>IF($J1171=0,0,ROUND(MAX($J1171*1.4*1.5*1.6*1.6*2.2*2.715*2.6*1.4*1.4*1.5*1.5,18900000000*(1.65331^(MIN($E1171,123)-117)))*1,0))</f>
        <v>559734088</v>
      </c>
      <c r="AG1171" s="4">
        <f>$E1171+27</f>
        <v>137</v>
      </c>
      <c r="AH1171" s="8">
        <f>IF($J1171=0,0,ROUND(MAX($J1171*1.4*1.5*1.6*1.6*2.2*2.715*2.6*1.4*1.4*1.5*1.5*3.2,60500000000*(1.654288^(MIN($E1171,123)-117)))*1,0))</f>
        <v>1784339701</v>
      </c>
    </row>
    <row r="1172" ht="27.75" customHeight="1" spans="1:34" x14ac:dyDescent="0.25">
      <c r="A1172" s="3">
        <v>1182</v>
      </c>
      <c r="B1172" s="3" t="s">
        <v>137</v>
      </c>
      <c r="C1172" s="3" t="s">
        <v>829</v>
      </c>
      <c r="D1172" s="3" t="s">
        <v>33</v>
      </c>
      <c r="E1172" s="3">
        <v>110</v>
      </c>
      <c r="F1172" s="3" t="s">
        <v>54</v>
      </c>
      <c r="G1172" s="3" t="s">
        <v>830</v>
      </c>
      <c r="H1172" s="3">
        <v>25</v>
      </c>
      <c r="I1172" s="4">
        <v>110</v>
      </c>
      <c r="J1172" s="5">
        <v>306000</v>
      </c>
      <c r="K1172" s="6">
        <f>$E1172+1</f>
        <v>111</v>
      </c>
      <c r="L1172" s="7">
        <f>IF($J1172=0,0,ROUND(MAX($J1172*1.4,1620000*(1.497923^(MIN($E1172,123)-117)))*1,0))</f>
        <v>428400</v>
      </c>
      <c r="M1172" s="4">
        <f>$E1172+2</f>
        <v>112</v>
      </c>
      <c r="N1172" s="8">
        <f>IF($J1172=0,0,ROUND(MAX($J1172*1.4*1.5,2190000*(1.580994^(MIN($E1172,123)-117)))*1,0))</f>
        <v>642600</v>
      </c>
      <c r="O1172" s="6">
        <f>$E1172+4</f>
        <v>114</v>
      </c>
      <c r="P1172" s="7">
        <f>IF($J1172=0,0,ROUND(MAX($J1172*1.4*1.5*1.6,3500000*(1.57975^(MIN($E1172,123)-117)))*1,0))</f>
        <v>1028160</v>
      </c>
      <c r="Q1172" s="4">
        <f>$E1172+6</f>
        <v>116</v>
      </c>
      <c r="R1172" s="8">
        <f>IF($J1172=0,0,ROUND(MAX($J1172*1.4*1.5*1.6*1.6,13100000*(1.429962^(MIN($E1172,123)-117)))*1,0))</f>
        <v>1645056</v>
      </c>
      <c r="S1172" s="6">
        <f>$E1172+8</f>
        <v>118</v>
      </c>
      <c r="T1172" s="7">
        <f>IF($J1172=0,0,ROUND(MAX($J1172*1.4*1.5*1.6*1.6*2.2,42600000*(1.576904^(MIN($E1172,123)-117)))*1,0))</f>
        <v>3619123</v>
      </c>
      <c r="U1172" s="4">
        <f>$E1172+11</f>
        <v>121</v>
      </c>
      <c r="V1172" s="8">
        <f>IF($J1172=0,0,ROUND(MAX($J1172*1.4*1.5*1.6*1.6*2.2*2.715,354000000*(1.642074^(MIN($E1172,123)-117)))*1,0))</f>
        <v>10996493</v>
      </c>
      <c r="W1172" s="6">
        <f>$E1172+15</f>
        <v>125</v>
      </c>
      <c r="X1172" s="7">
        <f>IF($J1172=0,0,ROUND(MAX($J1172*1.4*1.5*1.6*1.6*2.2*2.715*2.6,3540000000*(1.579646^(MIN($E1172,123)-117)))*1,0))</f>
        <v>144239716</v>
      </c>
      <c r="Y1172" s="4">
        <f>$E1172+17</f>
        <v>127</v>
      </c>
      <c r="Z1172" s="8">
        <f>IF($J1172=0,0,ROUND(MAX($J1172*1.4*1.5*1.6*1.6*2.2*2.715*2.6*1.4,6020000000*(1.651178^(MIN($E1172,123)-117)))*1,0))</f>
        <v>179903344</v>
      </c>
      <c r="AA1172" s="6">
        <f>$E1172+19</f>
        <v>129</v>
      </c>
      <c r="AB1172" s="7">
        <f>IF($J1172=0,0,ROUND(MAX($J1172*1.4*1.5*1.6*1.6*2.2*2.715*2.6*1.4*1.4,8430000000*(1.651435^(MIN($E1172,123)-117)))*1,0))</f>
        <v>251650143</v>
      </c>
      <c r="AC1172" s="4">
        <f>$E1172+21</f>
        <v>131</v>
      </c>
      <c r="AD1172" s="8">
        <f>IF($J1172=0,0,ROUND(MAX($J1172*1.4*1.5*1.6*1.6*2.2*2.715*2.6*1.4*1.4*1.5,12600000000*(1.652953^(MIN($E1172,123)-117)))*1,0))</f>
        <v>373720576</v>
      </c>
      <c r="AE1172" s="6">
        <f>$E1172+24</f>
        <v>134</v>
      </c>
      <c r="AF1172" s="7">
        <f>IF($J1172=0,0,ROUND(MAX($J1172*1.4*1.5*1.6*1.6*2.2*2.715*2.6*1.4*1.4*1.5*1.5,18900000000*(1.65331^(MIN($E1172,123)-117)))*1,0))</f>
        <v>559734088</v>
      </c>
      <c r="AG1172" s="4">
        <f>$E1172+27</f>
        <v>137</v>
      </c>
      <c r="AH1172" s="8">
        <f>IF($J1172=0,0,ROUND(MAX($J1172*1.4*1.5*1.6*1.6*2.2*2.715*2.6*1.4*1.4*1.5*1.5*3.2,60500000000*(1.654288^(MIN($E1172,123)-117)))*1,0))</f>
        <v>1784339701</v>
      </c>
    </row>
    <row r="1173" ht="27.75" customHeight="1" spans="1:34" x14ac:dyDescent="0.25">
      <c r="A1173" s="3">
        <v>1183</v>
      </c>
      <c r="B1173" s="3" t="s">
        <v>182</v>
      </c>
      <c r="C1173" s="3" t="s">
        <v>829</v>
      </c>
      <c r="D1173" s="3" t="s">
        <v>29</v>
      </c>
      <c r="E1173" s="3">
        <v>110</v>
      </c>
      <c r="F1173" s="3" t="s">
        <v>183</v>
      </c>
      <c r="G1173" s="3" t="s">
        <v>830</v>
      </c>
      <c r="H1173" s="3">
        <v>25</v>
      </c>
      <c r="I1173" s="4">
        <v>110</v>
      </c>
      <c r="J1173" s="5">
        <v>79600</v>
      </c>
      <c r="K1173" s="6">
        <f>$E1173+1</f>
        <v>111</v>
      </c>
      <c r="L1173" s="7">
        <f>IF($J1173=0,0,ROUND(MAX($J1173*1.4,1620000*(1.497923^(MIN($E1173,123)-117)))*1,0))</f>
        <v>111440</v>
      </c>
      <c r="M1173" s="4">
        <f>$E1173+2</f>
        <v>112</v>
      </c>
      <c r="N1173" s="8">
        <f>IF($J1173=0,0,ROUND(MAX($J1173*1.4*1.5,2190000*(1.580994^(MIN($E1173,123)-117)))*1,0))</f>
        <v>167160</v>
      </c>
      <c r="O1173" s="6">
        <f>$E1173+4</f>
        <v>114</v>
      </c>
      <c r="P1173" s="7">
        <f>IF($J1173=0,0,ROUND(MAX($J1173*1.4*1.5*1.6,3500000*(1.57975^(MIN($E1173,123)-117)))*1,0))</f>
        <v>267456</v>
      </c>
      <c r="Q1173" s="4">
        <f>$E1173+6</f>
        <v>116</v>
      </c>
      <c r="R1173" s="8">
        <f>IF($J1173=0,0,ROUND(MAX($J1173*1.4*1.5*1.6*1.6,13100000*(1.429962^(MIN($E1173,123)-117)))*1,0))</f>
        <v>1071519</v>
      </c>
      <c r="S1173" s="6">
        <f>$E1173+8</f>
        <v>118</v>
      </c>
      <c r="T1173" s="7">
        <f>IF($J1173=0,0,ROUND(MAX($J1173*1.4*1.5*1.6*1.6*2.2,42600000*(1.576904^(MIN($E1173,123)-117)))*1,0))</f>
        <v>1757004</v>
      </c>
      <c r="U1173" s="4">
        <f>$E1173+11</f>
        <v>121</v>
      </c>
      <c r="V1173" s="8">
        <f>IF($J1173=0,0,ROUND(MAX($J1173*1.4*1.5*1.6*1.6*2.2*2.715,354000000*(1.642074^(MIN($E1173,123)-117)))*1,0))</f>
        <v>10996493</v>
      </c>
      <c r="W1173" s="6">
        <f>$E1173+15</f>
        <v>125</v>
      </c>
      <c r="X1173" s="7">
        <f>IF($J1173=0,0,ROUND(MAX($J1173*1.4*1.5*1.6*1.6*2.2*2.715*2.6,3540000000*(1.579646^(MIN($E1173,123)-117)))*1,0))</f>
        <v>144239716</v>
      </c>
      <c r="Y1173" s="4">
        <f>$E1173+17</f>
        <v>127</v>
      </c>
      <c r="Z1173" s="8">
        <f>IF($J1173=0,0,ROUND(MAX($J1173*1.4*1.5*1.6*1.6*2.2*2.715*2.6*1.4,6020000000*(1.651178^(MIN($E1173,123)-117)))*1,0))</f>
        <v>179903344</v>
      </c>
      <c r="AA1173" s="6">
        <f>$E1173+19</f>
        <v>129</v>
      </c>
      <c r="AB1173" s="7">
        <f>IF($J1173=0,0,ROUND(MAX($J1173*1.4*1.5*1.6*1.6*2.2*2.715*2.6*1.4*1.4,8430000000*(1.651435^(MIN($E1173,123)-117)))*1,0))</f>
        <v>251650143</v>
      </c>
      <c r="AC1173" s="4">
        <f>$E1173+21</f>
        <v>131</v>
      </c>
      <c r="AD1173" s="8">
        <f>IF($J1173=0,0,ROUND(MAX($J1173*1.4*1.5*1.6*1.6*2.2*2.715*2.6*1.4*1.4*1.5,12600000000*(1.652953^(MIN($E1173,123)-117)))*1,0))</f>
        <v>373720576</v>
      </c>
      <c r="AE1173" s="6">
        <f>$E1173+24</f>
        <v>134</v>
      </c>
      <c r="AF1173" s="7">
        <f>IF($J1173=0,0,ROUND(MAX($J1173*1.4*1.5*1.6*1.6*2.2*2.715*2.6*1.4*1.4*1.5*1.5,18900000000*(1.65331^(MIN($E1173,123)-117)))*1,0))</f>
        <v>559734088</v>
      </c>
      <c r="AG1173" s="4">
        <f>$E1173+27</f>
        <v>137</v>
      </c>
      <c r="AH1173" s="8">
        <f>IF($J1173=0,0,ROUND(MAX($J1173*1.4*1.5*1.6*1.6*2.2*2.715*2.6*1.4*1.4*1.5*1.5*3.2,60500000000*(1.654288^(MIN($E1173,123)-117)))*1,0))</f>
        <v>1784339701</v>
      </c>
    </row>
    <row r="1174" ht="27.75" customHeight="1" spans="1:34" x14ac:dyDescent="0.25">
      <c r="A1174" s="3">
        <v>1184</v>
      </c>
      <c r="B1174" s="3" t="s">
        <v>866</v>
      </c>
      <c r="C1174" s="3" t="s">
        <v>829</v>
      </c>
      <c r="D1174" s="3" t="s">
        <v>33</v>
      </c>
      <c r="E1174" s="3">
        <v>110</v>
      </c>
      <c r="F1174" s="3" t="s">
        <v>400</v>
      </c>
      <c r="G1174" s="3" t="s">
        <v>171</v>
      </c>
      <c r="H1174" s="3">
        <v>24</v>
      </c>
      <c r="I1174" s="4">
        <v>110</v>
      </c>
      <c r="J1174" s="5">
        <v>337000</v>
      </c>
      <c r="K1174" s="6">
        <f>$E1174+1</f>
        <v>111</v>
      </c>
      <c r="L1174" s="7">
        <f>IF($J1174=0,0,ROUND(MAX($J1174*1.4,1620000*(1.497923^(MIN($E1174,123)-117)))*1,0))</f>
        <v>471800</v>
      </c>
      <c r="M1174" s="4">
        <f>$E1174+2</f>
        <v>112</v>
      </c>
      <c r="N1174" s="8">
        <f>IF($J1174=0,0,ROUND(MAX($J1174*1.4*1.5,2190000*(1.580994^(MIN($E1174,123)-117)))*1,0))</f>
        <v>707700</v>
      </c>
      <c r="O1174" s="6">
        <f>$E1174+4</f>
        <v>114</v>
      </c>
      <c r="P1174" s="7">
        <f>IF($J1174=0,0,ROUND(MAX($J1174*1.4*1.5*1.6,3500000*(1.57975^(MIN($E1174,123)-117)))*1,0))</f>
        <v>1132320</v>
      </c>
      <c r="Q1174" s="4">
        <f>$E1174+6</f>
        <v>116</v>
      </c>
      <c r="R1174" s="8">
        <f>IF($J1174=0,0,ROUND(MAX($J1174*1.4*1.5*1.6*1.6,13100000*(1.429962^(MIN($E1174,123)-117)))*1,0))</f>
        <v>1811712</v>
      </c>
      <c r="S1174" s="6">
        <f>$E1174+8</f>
        <v>118</v>
      </c>
      <c r="T1174" s="7">
        <f>IF($J1174=0,0,ROUND(MAX($J1174*1.4*1.5*1.6*1.6*2.2,42600000*(1.576904^(MIN($E1174,123)-117)))*1,0))</f>
        <v>3985766</v>
      </c>
      <c r="U1174" s="4">
        <f>$E1174+11</f>
        <v>121</v>
      </c>
      <c r="V1174" s="8">
        <f>IF($J1174=0,0,ROUND(MAX($J1174*1.4*1.5*1.6*1.6*2.2*2.715,354000000*(1.642074^(MIN($E1174,123)-117)))*1,0))</f>
        <v>10996493</v>
      </c>
      <c r="W1174" s="6">
        <f>$E1174+15</f>
        <v>125</v>
      </c>
      <c r="X1174" s="7">
        <f>IF($J1174=0,0,ROUND(MAX($J1174*1.4*1.5*1.6*1.6*2.2*2.715*2.6,3540000000*(1.579646^(MIN($E1174,123)-117)))*1,0))</f>
        <v>144239716</v>
      </c>
      <c r="Y1174" s="4">
        <f>$E1174+17</f>
        <v>127</v>
      </c>
      <c r="Z1174" s="8">
        <f>IF($J1174=0,0,ROUND(MAX($J1174*1.4*1.5*1.6*1.6*2.2*2.715*2.6*1.4,6020000000*(1.651178^(MIN($E1174,123)-117)))*1,0))</f>
        <v>179903344</v>
      </c>
      <c r="AA1174" s="6">
        <f>$E1174+19</f>
        <v>129</v>
      </c>
      <c r="AB1174" s="7">
        <f>IF($J1174=0,0,ROUND(MAX($J1174*1.4*1.5*1.6*1.6*2.2*2.715*2.6*1.4*1.4,8430000000*(1.651435^(MIN($E1174,123)-117)))*1,0))</f>
        <v>251650143</v>
      </c>
      <c r="AC1174" s="4">
        <f>$E1174+21</f>
        <v>131</v>
      </c>
      <c r="AD1174" s="8">
        <f>IF($J1174=0,0,ROUND(MAX($J1174*1.4*1.5*1.6*1.6*2.2*2.715*2.6*1.4*1.4*1.5,12600000000*(1.652953^(MIN($E1174,123)-117)))*1,0))</f>
        <v>373720576</v>
      </c>
      <c r="AE1174" s="6">
        <f>$E1174+24</f>
        <v>134</v>
      </c>
      <c r="AF1174" s="7">
        <f>IF($J1174=0,0,ROUND(MAX($J1174*1.4*1.5*1.6*1.6*2.2*2.715*2.6*1.4*1.4*1.5*1.5,18900000000*(1.65331^(MIN($E1174,123)-117)))*1,0))</f>
        <v>559734088</v>
      </c>
      <c r="AG1174" s="4">
        <f>$E1174+27</f>
        <v>137</v>
      </c>
      <c r="AH1174" s="8">
        <f>IF($J1174=0,0,ROUND(MAX($J1174*1.4*1.5*1.6*1.6*2.2*2.715*2.6*1.4*1.4*1.5*1.5*3.2,60500000000*(1.654288^(MIN($E1174,123)-117)))*1,0))</f>
        <v>1784339701</v>
      </c>
    </row>
    <row r="1175" ht="27.75" customHeight="1" spans="1:34" x14ac:dyDescent="0.25">
      <c r="A1175" s="3">
        <v>1185</v>
      </c>
      <c r="B1175" s="3" t="s">
        <v>867</v>
      </c>
      <c r="C1175" s="3" t="s">
        <v>829</v>
      </c>
      <c r="D1175" s="3" t="s">
        <v>47</v>
      </c>
      <c r="E1175" s="3">
        <v>110</v>
      </c>
      <c r="F1175" s="3" t="s">
        <v>54</v>
      </c>
      <c r="G1175" s="3" t="s">
        <v>381</v>
      </c>
      <c r="H1175" s="3">
        <v>23</v>
      </c>
      <c r="I1175" s="4">
        <v>110</v>
      </c>
      <c r="J1175" s="5">
        <v>17700</v>
      </c>
      <c r="K1175" s="6">
        <f>$E1175+1</f>
        <v>111</v>
      </c>
      <c r="L1175" s="7">
        <f>IF($J1175=0,0,ROUND(MAX($J1175*1.4,1620000*(1.497923^(MIN($E1175,123)-117)))*1,0))</f>
        <v>95739</v>
      </c>
      <c r="M1175" s="4">
        <f>$E1175+2</f>
        <v>112</v>
      </c>
      <c r="N1175" s="8">
        <f>IF($J1175=0,0,ROUND(MAX($J1175*1.4*1.5,2190000*(1.580994^(MIN($E1175,123)-117)))*1,0))</f>
        <v>88702</v>
      </c>
      <c r="O1175" s="6">
        <f>$E1175+4</f>
        <v>114</v>
      </c>
      <c r="P1175" s="7">
        <f>IF($J1175=0,0,ROUND(MAX($J1175*1.4*1.5*1.6,3500000*(1.57975^(MIN($E1175,123)-117)))*1,0))</f>
        <v>142544</v>
      </c>
      <c r="Q1175" s="4">
        <f>$E1175+6</f>
        <v>116</v>
      </c>
      <c r="R1175" s="8">
        <f>IF($J1175=0,0,ROUND(MAX($J1175*1.4*1.5*1.6*1.6,13100000*(1.429962^(MIN($E1175,123)-117)))*1,0))</f>
        <v>1071519</v>
      </c>
      <c r="S1175" s="6">
        <f>$E1175+8</f>
        <v>118</v>
      </c>
      <c r="T1175" s="7">
        <f>IF($J1175=0,0,ROUND(MAX($J1175*1.4*1.5*1.6*1.6*2.2,42600000*(1.576904^(MIN($E1175,123)-117)))*1,0))</f>
        <v>1757004</v>
      </c>
      <c r="U1175" s="4">
        <f>$E1175+11</f>
        <v>121</v>
      </c>
      <c r="V1175" s="8">
        <f>IF($J1175=0,0,ROUND(MAX($J1175*1.4*1.5*1.6*1.6*2.2*2.715,354000000*(1.642074^(MIN($E1175,123)-117)))*1,0))</f>
        <v>10996493</v>
      </c>
      <c r="W1175" s="6">
        <f>$E1175+15</f>
        <v>125</v>
      </c>
      <c r="X1175" s="7">
        <f>IF($J1175=0,0,ROUND(MAX($J1175*1.4*1.5*1.6*1.6*2.2*2.715*2.6,3540000000*(1.579646^(MIN($E1175,123)-117)))*1,0))</f>
        <v>144239716</v>
      </c>
      <c r="Y1175" s="4">
        <f>$E1175+17</f>
        <v>127</v>
      </c>
      <c r="Z1175" s="8">
        <f>IF($J1175=0,0,ROUND(MAX($J1175*1.4*1.5*1.6*1.6*2.2*2.715*2.6*1.4,6020000000*(1.651178^(MIN($E1175,123)-117)))*1,0))</f>
        <v>179903344</v>
      </c>
      <c r="AA1175" s="6">
        <f>$E1175+19</f>
        <v>129</v>
      </c>
      <c r="AB1175" s="7">
        <f>IF($J1175=0,0,ROUND(MAX($J1175*1.4*1.5*1.6*1.6*2.2*2.715*2.6*1.4*1.4,8430000000*(1.651435^(MIN($E1175,123)-117)))*1,0))</f>
        <v>251650143</v>
      </c>
      <c r="AC1175" s="4">
        <f>$E1175+21</f>
        <v>131</v>
      </c>
      <c r="AD1175" s="8">
        <f>IF($J1175=0,0,ROUND(MAX($J1175*1.4*1.5*1.6*1.6*2.2*2.715*2.6*1.4*1.4*1.5,12600000000*(1.652953^(MIN($E1175,123)-117)))*1,0))</f>
        <v>373720576</v>
      </c>
      <c r="AE1175" s="6">
        <f>$E1175+24</f>
        <v>134</v>
      </c>
      <c r="AF1175" s="7">
        <f>IF($J1175=0,0,ROUND(MAX($J1175*1.4*1.5*1.6*1.6*2.2*2.715*2.6*1.4*1.4*1.5*1.5,18900000000*(1.65331^(MIN($E1175,123)-117)))*1,0))</f>
        <v>559734088</v>
      </c>
      <c r="AG1175" s="4">
        <f>$E1175+27</f>
        <v>137</v>
      </c>
      <c r="AH1175" s="8">
        <f>IF($J1175=0,0,ROUND(MAX($J1175*1.4*1.5*1.6*1.6*2.2*2.715*2.6*1.4*1.4*1.5*1.5*3.2,60500000000*(1.654288^(MIN($E1175,123)-117)))*1,0))</f>
        <v>1784339701</v>
      </c>
    </row>
    <row r="1176" ht="27.75" customHeight="1" spans="1:34" x14ac:dyDescent="0.25">
      <c r="A1176" s="3">
        <v>1186</v>
      </c>
      <c r="B1176" s="3" t="s">
        <v>297</v>
      </c>
      <c r="C1176" s="3" t="s">
        <v>829</v>
      </c>
      <c r="D1176" s="3" t="s">
        <v>47</v>
      </c>
      <c r="E1176" s="3">
        <v>110</v>
      </c>
      <c r="F1176" s="3" t="s">
        <v>298</v>
      </c>
      <c r="G1176" s="3" t="s">
        <v>277</v>
      </c>
      <c r="H1176" s="3">
        <v>22</v>
      </c>
      <c r="I1176" s="4">
        <v>110</v>
      </c>
      <c r="J1176" s="5">
        <v>337000</v>
      </c>
      <c r="K1176" s="6">
        <f>$E1176+1</f>
        <v>111</v>
      </c>
      <c r="L1176" s="7">
        <f>IF($J1176=0,0,ROUND(MAX($J1176*1.4,1620000*(1.497923^(MIN($E1176,123)-117)))*1,0))</f>
        <v>471800</v>
      </c>
      <c r="M1176" s="4">
        <f>$E1176+2</f>
        <v>112</v>
      </c>
      <c r="N1176" s="8">
        <f>IF($J1176=0,0,ROUND(MAX($J1176*1.4*1.5,2190000*(1.580994^(MIN($E1176,123)-117)))*1,0))</f>
        <v>707700</v>
      </c>
      <c r="O1176" s="6">
        <f>$E1176+4</f>
        <v>114</v>
      </c>
      <c r="P1176" s="7">
        <f>IF($J1176=0,0,ROUND(MAX($J1176*1.4*1.5*1.6,3500000*(1.57975^(MIN($E1176,123)-117)))*1,0))</f>
        <v>1132320</v>
      </c>
      <c r="Q1176" s="4">
        <f>$E1176+6</f>
        <v>116</v>
      </c>
      <c r="R1176" s="8">
        <f>IF($J1176=0,0,ROUND(MAX($J1176*1.4*1.5*1.6*1.6,13100000*(1.429962^(MIN($E1176,123)-117)))*1,0))</f>
        <v>1811712</v>
      </c>
      <c r="S1176" s="6">
        <f>$E1176+8</f>
        <v>118</v>
      </c>
      <c r="T1176" s="7">
        <f>IF($J1176=0,0,ROUND(MAX($J1176*1.4*1.5*1.6*1.6*2.2,42600000*(1.576904^(MIN($E1176,123)-117)))*1,0))</f>
        <v>3985766</v>
      </c>
      <c r="U1176" s="4">
        <f>$E1176+11</f>
        <v>121</v>
      </c>
      <c r="V1176" s="8">
        <f>IF($J1176=0,0,ROUND(MAX($J1176*1.4*1.5*1.6*1.6*2.2*2.715,354000000*(1.642074^(MIN($E1176,123)-117)))*1,0))</f>
        <v>10996493</v>
      </c>
      <c r="W1176" s="6">
        <f>$E1176+15</f>
        <v>125</v>
      </c>
      <c r="X1176" s="7">
        <f>IF($J1176=0,0,ROUND(MAX($J1176*1.4*1.5*1.6*1.6*2.2*2.715*2.6,3540000000*(1.579646^(MIN($E1176,123)-117)))*1,0))</f>
        <v>144239716</v>
      </c>
      <c r="Y1176" s="4">
        <f>$E1176+17</f>
        <v>127</v>
      </c>
      <c r="Z1176" s="8">
        <f>IF($J1176=0,0,ROUND(MAX($J1176*1.4*1.5*1.6*1.6*2.2*2.715*2.6*1.4,6020000000*(1.651178^(MIN($E1176,123)-117)))*1,0))</f>
        <v>179903344</v>
      </c>
      <c r="AA1176" s="6">
        <f>$E1176+19</f>
        <v>129</v>
      </c>
      <c r="AB1176" s="7">
        <f>IF($J1176=0,0,ROUND(MAX($J1176*1.4*1.5*1.6*1.6*2.2*2.715*2.6*1.4*1.4,8430000000*(1.651435^(MIN($E1176,123)-117)))*1,0))</f>
        <v>251650143</v>
      </c>
      <c r="AC1176" s="4">
        <f>$E1176+21</f>
        <v>131</v>
      </c>
      <c r="AD1176" s="8">
        <f>IF($J1176=0,0,ROUND(MAX($J1176*1.4*1.5*1.6*1.6*2.2*2.715*2.6*1.4*1.4*1.5,12600000000*(1.652953^(MIN($E1176,123)-117)))*1,0))</f>
        <v>373720576</v>
      </c>
      <c r="AE1176" s="6">
        <f>$E1176+24</f>
        <v>134</v>
      </c>
      <c r="AF1176" s="7">
        <f>IF($J1176=0,0,ROUND(MAX($J1176*1.4*1.5*1.6*1.6*2.2*2.715*2.6*1.4*1.4*1.5*1.5,18900000000*(1.65331^(MIN($E1176,123)-117)))*1,0))</f>
        <v>559734088</v>
      </c>
      <c r="AG1176" s="4">
        <f>$E1176+27</f>
        <v>137</v>
      </c>
      <c r="AH1176" s="8">
        <f>IF($J1176=0,0,ROUND(MAX($J1176*1.4*1.5*1.6*1.6*2.2*2.715*2.6*1.4*1.4*1.5*1.5*3.2,60500000000*(1.654288^(MIN($E1176,123)-117)))*1,0))</f>
        <v>1784339701</v>
      </c>
    </row>
    <row r="1177" ht="27.75" customHeight="1" spans="1:34" x14ac:dyDescent="0.25">
      <c r="A1177" s="3">
        <v>1187</v>
      </c>
      <c r="B1177" s="3" t="s">
        <v>868</v>
      </c>
      <c r="C1177" s="3" t="s">
        <v>829</v>
      </c>
      <c r="D1177" s="3" t="s">
        <v>79</v>
      </c>
      <c r="E1177" s="3">
        <v>109</v>
      </c>
      <c r="F1177" s="3" t="s">
        <v>310</v>
      </c>
      <c r="G1177" s="3" t="s">
        <v>95</v>
      </c>
      <c r="H1177" s="3">
        <v>26</v>
      </c>
      <c r="I1177" s="4">
        <v>109</v>
      </c>
      <c r="J1177" s="5">
        <v>221000</v>
      </c>
      <c r="K1177" s="6">
        <f>$E1177+1</f>
        <v>110</v>
      </c>
      <c r="L1177" s="7">
        <f>IF($J1177=0,0,ROUND(MAX($J1177*1.4,1620000*(1.497923^(MIN($E1177,123)-117)))*1,0))</f>
        <v>309400</v>
      </c>
      <c r="M1177" s="4">
        <f>$E1177+2</f>
        <v>111</v>
      </c>
      <c r="N1177" s="8">
        <f>IF($J1177=0,0,ROUND(MAX($J1177*1.4*1.5,2190000*(1.580994^(MIN($E1177,123)-117)))*1,0))</f>
        <v>464100</v>
      </c>
      <c r="O1177" s="6">
        <f>$E1177+4</f>
        <v>113</v>
      </c>
      <c r="P1177" s="7">
        <f>IF($J1177=0,0,ROUND(MAX($J1177*1.4*1.5*1.6,3500000*(1.57975^(MIN($E1177,123)-117)))*1,0))</f>
        <v>742560</v>
      </c>
      <c r="Q1177" s="4">
        <f>$E1177+6</f>
        <v>115</v>
      </c>
      <c r="R1177" s="8">
        <f>IF($J1177=0,0,ROUND(MAX($J1177*1.4*1.5*1.6*1.6,13100000*(1.429962^(MIN($E1177,123)-117)))*1,0))</f>
        <v>1188096</v>
      </c>
      <c r="S1177" s="6">
        <f>$E1177+8</f>
        <v>117</v>
      </c>
      <c r="T1177" s="7">
        <f>IF($J1177=0,0,ROUND(MAX($J1177*1.4*1.5*1.6*1.6*2.2,42600000*(1.576904^(MIN($E1177,123)-117)))*1,0))</f>
        <v>2613811</v>
      </c>
      <c r="U1177" s="4">
        <f>$E1177+11</f>
        <v>120</v>
      </c>
      <c r="V1177" s="8">
        <f>IF($J1177=0,0,ROUND(MAX($J1177*1.4*1.5*1.6*1.6*2.2*2.715,354000000*(1.642074^(MIN($E1177,123)-117)))*1,0))</f>
        <v>7096497</v>
      </c>
      <c r="W1177" s="6">
        <f>$E1177+15</f>
        <v>124</v>
      </c>
      <c r="X1177" s="7">
        <f>IF($J1177=0,0,ROUND(MAX($J1177*1.4*1.5*1.6*1.6*2.2*2.715*2.6,3540000000*(1.579646^(MIN($E1177,123)-117)))*1,0))</f>
        <v>91311418</v>
      </c>
      <c r="Y1177" s="4">
        <f>$E1177+17</f>
        <v>126</v>
      </c>
      <c r="Z1177" s="8">
        <f>IF($J1177=0,0,ROUND(MAX($J1177*1.4*1.5*1.6*1.6*2.2*2.715*2.6*1.4,6020000000*(1.651178^(MIN($E1177,123)-117)))*1,0))</f>
        <v>108954543</v>
      </c>
      <c r="AA1177" s="6">
        <f>$E1177+19</f>
        <v>128</v>
      </c>
      <c r="AB1177" s="7">
        <f>IF($J1177=0,0,ROUND(MAX($J1177*1.4*1.5*1.6*1.6*2.2*2.715*2.6*1.4*1.4,8430000000*(1.651435^(MIN($E1177,123)-117)))*1,0))</f>
        <v>152382712</v>
      </c>
      <c r="AC1177" s="4">
        <f>$E1177+21</f>
        <v>130</v>
      </c>
      <c r="AD1177" s="8">
        <f>IF($J1177=0,0,ROUND(MAX($J1177*1.4*1.5*1.6*1.6*2.2*2.715*2.6*1.4*1.4*1.5,12600000000*(1.652953^(MIN($E1177,123)-117)))*1,0))</f>
        <v>226092682</v>
      </c>
      <c r="AE1177" s="6">
        <f>$E1177+24</f>
        <v>133</v>
      </c>
      <c r="AF1177" s="7">
        <f>IF($J1177=0,0,ROUND(MAX($J1177*1.4*1.5*1.6*1.6*2.2*2.715*2.6*1.4*1.4*1.5*1.5,18900000000*(1.65331^(MIN($E1177,123)-117)))*1,0))</f>
        <v>338553621</v>
      </c>
      <c r="AG1177" s="4">
        <f>$E1177+27</f>
        <v>136</v>
      </c>
      <c r="AH1177" s="8">
        <f>IF($J1177=0,0,ROUND(MAX($J1177*1.4*1.5*1.6*1.6*2.2*2.715*2.6*1.4*1.4*1.5*1.5*3.2,60500000000*(1.654288^(MIN($E1177,123)-117)))*1,0))</f>
        <v>1078614909</v>
      </c>
    </row>
    <row r="1178" ht="27.75" customHeight="1" spans="1:34" x14ac:dyDescent="0.25">
      <c r="A1178" s="3">
        <v>1188</v>
      </c>
      <c r="B1178" s="3" t="s">
        <v>869</v>
      </c>
      <c r="C1178" s="3" t="s">
        <v>829</v>
      </c>
      <c r="D1178" s="3" t="s">
        <v>25</v>
      </c>
      <c r="E1178" s="3">
        <v>109</v>
      </c>
      <c r="F1178" s="3" t="s">
        <v>383</v>
      </c>
      <c r="G1178" s="3" t="s">
        <v>870</v>
      </c>
      <c r="H1178" s="3">
        <v>25</v>
      </c>
      <c r="I1178" s="4">
        <v>109</v>
      </c>
      <c r="J1178" s="5">
        <v>66700</v>
      </c>
      <c r="K1178" s="6">
        <f>$E1178+1</f>
        <v>110</v>
      </c>
      <c r="L1178" s="7">
        <f>IF($J1178=0,0,ROUND(MAX($J1178*1.4,1620000*(1.497923^(MIN($E1178,123)-117)))*1,0))</f>
        <v>93380</v>
      </c>
      <c r="M1178" s="4">
        <f>$E1178+2</f>
        <v>111</v>
      </c>
      <c r="N1178" s="8">
        <f>IF($J1178=0,0,ROUND(MAX($J1178*1.4*1.5,2190000*(1.580994^(MIN($E1178,123)-117)))*1,0))</f>
        <v>140070</v>
      </c>
      <c r="O1178" s="6">
        <f>$E1178+4</f>
        <v>113</v>
      </c>
      <c r="P1178" s="7">
        <f>IF($J1178=0,0,ROUND(MAX($J1178*1.4*1.5*1.6,3500000*(1.57975^(MIN($E1178,123)-117)))*1,0))</f>
        <v>224112</v>
      </c>
      <c r="Q1178" s="4">
        <f>$E1178+6</f>
        <v>115</v>
      </c>
      <c r="R1178" s="8">
        <f>IF($J1178=0,0,ROUND(MAX($J1178*1.4*1.5*1.6*1.6,13100000*(1.429962^(MIN($E1178,123)-117)))*1,0))</f>
        <v>749334</v>
      </c>
      <c r="S1178" s="6">
        <f>$E1178+8</f>
        <v>117</v>
      </c>
      <c r="T1178" s="7">
        <f>IF($J1178=0,0,ROUND(MAX($J1178*1.4*1.5*1.6*1.6*2.2,42600000*(1.576904^(MIN($E1178,123)-117)))*1,0))</f>
        <v>1114211</v>
      </c>
      <c r="U1178" s="4">
        <f>$E1178+11</f>
        <v>120</v>
      </c>
      <c r="V1178" s="8">
        <f>IF($J1178=0,0,ROUND(MAX($J1178*1.4*1.5*1.6*1.6*2.2*2.715,354000000*(1.642074^(MIN($E1178,123)-117)))*1,0))</f>
        <v>6696710</v>
      </c>
      <c r="W1178" s="6">
        <f>$E1178+15</f>
        <v>124</v>
      </c>
      <c r="X1178" s="7">
        <f>IF($J1178=0,0,ROUND(MAX($J1178*1.4*1.5*1.6*1.6*2.2*2.715*2.6,3540000000*(1.579646^(MIN($E1178,123)-117)))*1,0))</f>
        <v>91311418</v>
      </c>
      <c r="Y1178" s="4">
        <f>$E1178+17</f>
        <v>126</v>
      </c>
      <c r="Z1178" s="8">
        <f>IF($J1178=0,0,ROUND(MAX($J1178*1.4*1.5*1.6*1.6*2.2*2.715*2.6*1.4,6020000000*(1.651178^(MIN($E1178,123)-117)))*1,0))</f>
        <v>108954543</v>
      </c>
      <c r="AA1178" s="6">
        <f>$E1178+19</f>
        <v>128</v>
      </c>
      <c r="AB1178" s="7">
        <f>IF($J1178=0,0,ROUND(MAX($J1178*1.4*1.5*1.6*1.6*2.2*2.715*2.6*1.4*1.4,8430000000*(1.651435^(MIN($E1178,123)-117)))*1,0))</f>
        <v>152382712</v>
      </c>
      <c r="AC1178" s="4">
        <f>$E1178+21</f>
        <v>130</v>
      </c>
      <c r="AD1178" s="8">
        <f>IF($J1178=0,0,ROUND(MAX($J1178*1.4*1.5*1.6*1.6*2.2*2.715*2.6*1.4*1.4*1.5,12600000000*(1.652953^(MIN($E1178,123)-117)))*1,0))</f>
        <v>226092682</v>
      </c>
      <c r="AE1178" s="6">
        <f>$E1178+24</f>
        <v>133</v>
      </c>
      <c r="AF1178" s="7">
        <f>IF($J1178=0,0,ROUND(MAX($J1178*1.4*1.5*1.6*1.6*2.2*2.715*2.6*1.4*1.4*1.5*1.5,18900000000*(1.65331^(MIN($E1178,123)-117)))*1,0))</f>
        <v>338553621</v>
      </c>
      <c r="AG1178" s="4">
        <f>$E1178+27</f>
        <v>136</v>
      </c>
      <c r="AH1178" s="8">
        <f>IF($J1178=0,0,ROUND(MAX($J1178*1.4*1.5*1.6*1.6*2.2*2.715*2.6*1.4*1.4*1.5*1.5*3.2,60500000000*(1.654288^(MIN($E1178,123)-117)))*1,0))</f>
        <v>1078614909</v>
      </c>
    </row>
    <row r="1179" ht="27.75" customHeight="1" spans="1:34" x14ac:dyDescent="0.25">
      <c r="A1179" s="3">
        <v>1189</v>
      </c>
      <c r="B1179" s="3" t="s">
        <v>871</v>
      </c>
      <c r="C1179" s="3" t="s">
        <v>829</v>
      </c>
      <c r="D1179" s="3" t="s">
        <v>40</v>
      </c>
      <c r="E1179" s="3">
        <v>109</v>
      </c>
      <c r="F1179" s="3" t="s">
        <v>62</v>
      </c>
      <c r="G1179" s="3" t="s">
        <v>106</v>
      </c>
      <c r="H1179" s="3">
        <v>25</v>
      </c>
      <c r="I1179" s="4">
        <v>109</v>
      </c>
      <c r="J1179" s="5">
        <v>82700</v>
      </c>
      <c r="K1179" s="6">
        <f>$E1179+1</f>
        <v>110</v>
      </c>
      <c r="L1179" s="7">
        <f>IF($J1179=0,0,ROUND(MAX($J1179*1.4,1620000*(1.497923^(MIN($E1179,123)-117)))*1,0))</f>
        <v>115780</v>
      </c>
      <c r="M1179" s="4">
        <f>$E1179+2</f>
        <v>111</v>
      </c>
      <c r="N1179" s="8">
        <f>IF($J1179=0,0,ROUND(MAX($J1179*1.4*1.5,2190000*(1.580994^(MIN($E1179,123)-117)))*1,0))</f>
        <v>173670</v>
      </c>
      <c r="O1179" s="6">
        <f>$E1179+4</f>
        <v>113</v>
      </c>
      <c r="P1179" s="7">
        <f>IF($J1179=0,0,ROUND(MAX($J1179*1.4*1.5*1.6,3500000*(1.57975^(MIN($E1179,123)-117)))*1,0))</f>
        <v>277872</v>
      </c>
      <c r="Q1179" s="4">
        <f>$E1179+6</f>
        <v>115</v>
      </c>
      <c r="R1179" s="8">
        <f>IF($J1179=0,0,ROUND(MAX($J1179*1.4*1.5*1.6*1.6,13100000*(1.429962^(MIN($E1179,123)-117)))*1,0))</f>
        <v>749334</v>
      </c>
      <c r="S1179" s="6">
        <f>$E1179+8</f>
        <v>117</v>
      </c>
      <c r="T1179" s="7">
        <f>IF($J1179=0,0,ROUND(MAX($J1179*1.4*1.5*1.6*1.6*2.2,42600000*(1.576904^(MIN($E1179,123)-117)))*1,0))</f>
        <v>1114211</v>
      </c>
      <c r="U1179" s="4">
        <f>$E1179+11</f>
        <v>120</v>
      </c>
      <c r="V1179" s="8">
        <f>IF($J1179=0,0,ROUND(MAX($J1179*1.4*1.5*1.6*1.6*2.2*2.715,354000000*(1.642074^(MIN($E1179,123)-117)))*1,0))</f>
        <v>6696710</v>
      </c>
      <c r="W1179" s="6">
        <f>$E1179+15</f>
        <v>124</v>
      </c>
      <c r="X1179" s="7">
        <f>IF($J1179=0,0,ROUND(MAX($J1179*1.4*1.5*1.6*1.6*2.2*2.715*2.6,3540000000*(1.579646^(MIN($E1179,123)-117)))*1,0))</f>
        <v>91311418</v>
      </c>
      <c r="Y1179" s="4">
        <f>$E1179+17</f>
        <v>126</v>
      </c>
      <c r="Z1179" s="8">
        <f>IF($J1179=0,0,ROUND(MAX($J1179*1.4*1.5*1.6*1.6*2.2*2.715*2.6*1.4,6020000000*(1.651178^(MIN($E1179,123)-117)))*1,0))</f>
        <v>108954543</v>
      </c>
      <c r="AA1179" s="6">
        <f>$E1179+19</f>
        <v>128</v>
      </c>
      <c r="AB1179" s="7">
        <f>IF($J1179=0,0,ROUND(MAX($J1179*1.4*1.5*1.6*1.6*2.2*2.715*2.6*1.4*1.4,8430000000*(1.651435^(MIN($E1179,123)-117)))*1,0))</f>
        <v>152382712</v>
      </c>
      <c r="AC1179" s="4">
        <f>$E1179+21</f>
        <v>130</v>
      </c>
      <c r="AD1179" s="8">
        <f>IF($J1179=0,0,ROUND(MAX($J1179*1.4*1.5*1.6*1.6*2.2*2.715*2.6*1.4*1.4*1.5,12600000000*(1.652953^(MIN($E1179,123)-117)))*1,0))</f>
        <v>226092682</v>
      </c>
      <c r="AE1179" s="6">
        <f>$E1179+24</f>
        <v>133</v>
      </c>
      <c r="AF1179" s="7">
        <f>IF($J1179=0,0,ROUND(MAX($J1179*1.4*1.5*1.6*1.6*2.2*2.715*2.6*1.4*1.4*1.5*1.5,18900000000*(1.65331^(MIN($E1179,123)-117)))*1,0))</f>
        <v>338553621</v>
      </c>
      <c r="AG1179" s="4">
        <f>$E1179+27</f>
        <v>136</v>
      </c>
      <c r="AH1179" s="8">
        <f>IF($J1179=0,0,ROUND(MAX($J1179*1.4*1.5*1.6*1.6*2.2*2.715*2.6*1.4*1.4*1.5*1.5*3.2,60500000000*(1.654288^(MIN($E1179,123)-117)))*1,0))</f>
        <v>1078614909</v>
      </c>
    </row>
    <row r="1180" ht="27.75" customHeight="1" spans="1:34" x14ac:dyDescent="0.25">
      <c r="A1180" s="3">
        <v>1190</v>
      </c>
      <c r="B1180" s="3" t="s">
        <v>872</v>
      </c>
      <c r="C1180" s="3" t="s">
        <v>829</v>
      </c>
      <c r="D1180" s="3" t="s">
        <v>29</v>
      </c>
      <c r="E1180" s="3">
        <v>109</v>
      </c>
      <c r="F1180" s="3" t="s">
        <v>42</v>
      </c>
      <c r="G1180" s="3" t="s">
        <v>832</v>
      </c>
      <c r="H1180" s="3">
        <v>25</v>
      </c>
      <c r="I1180" s="4">
        <v>109</v>
      </c>
      <c r="J1180" s="5">
        <v>214000</v>
      </c>
      <c r="K1180" s="6">
        <f>$E1180+1</f>
        <v>110</v>
      </c>
      <c r="L1180" s="7">
        <f>IF($J1180=0,0,ROUND(MAX($J1180*1.4,1620000*(1.497923^(MIN($E1180,123)-117)))*1,0))</f>
        <v>299600</v>
      </c>
      <c r="M1180" s="4">
        <f>$E1180+2</f>
        <v>111</v>
      </c>
      <c r="N1180" s="8">
        <f>IF($J1180=0,0,ROUND(MAX($J1180*1.4*1.5,2190000*(1.580994^(MIN($E1180,123)-117)))*1,0))</f>
        <v>449400</v>
      </c>
      <c r="O1180" s="6">
        <f>$E1180+4</f>
        <v>113</v>
      </c>
      <c r="P1180" s="7">
        <f>IF($J1180=0,0,ROUND(MAX($J1180*1.4*1.5*1.6,3500000*(1.57975^(MIN($E1180,123)-117)))*1,0))</f>
        <v>719040</v>
      </c>
      <c r="Q1180" s="4">
        <f>$E1180+6</f>
        <v>115</v>
      </c>
      <c r="R1180" s="8">
        <f>IF($J1180=0,0,ROUND(MAX($J1180*1.4*1.5*1.6*1.6,13100000*(1.429962^(MIN($E1180,123)-117)))*1,0))</f>
        <v>1150464</v>
      </c>
      <c r="S1180" s="6">
        <f>$E1180+8</f>
        <v>117</v>
      </c>
      <c r="T1180" s="7">
        <f>IF($J1180=0,0,ROUND(MAX($J1180*1.4*1.5*1.6*1.6*2.2,42600000*(1.576904^(MIN($E1180,123)-117)))*1,0))</f>
        <v>2531021</v>
      </c>
      <c r="U1180" s="4">
        <f>$E1180+11</f>
        <v>120</v>
      </c>
      <c r="V1180" s="8">
        <f>IF($J1180=0,0,ROUND(MAX($J1180*1.4*1.5*1.6*1.6*2.2*2.715,354000000*(1.642074^(MIN($E1180,123)-117)))*1,0))</f>
        <v>6871721</v>
      </c>
      <c r="W1180" s="6">
        <f>$E1180+15</f>
        <v>124</v>
      </c>
      <c r="X1180" s="7">
        <f>IF($J1180=0,0,ROUND(MAX($J1180*1.4*1.5*1.6*1.6*2.2*2.715*2.6,3540000000*(1.579646^(MIN($E1180,123)-117)))*1,0))</f>
        <v>91311418</v>
      </c>
      <c r="Y1180" s="4">
        <f>$E1180+17</f>
        <v>126</v>
      </c>
      <c r="Z1180" s="8">
        <f>IF($J1180=0,0,ROUND(MAX($J1180*1.4*1.5*1.6*1.6*2.2*2.715*2.6*1.4,6020000000*(1.651178^(MIN($E1180,123)-117)))*1,0))</f>
        <v>108954543</v>
      </c>
      <c r="AA1180" s="6">
        <f>$E1180+19</f>
        <v>128</v>
      </c>
      <c r="AB1180" s="7">
        <f>IF($J1180=0,0,ROUND(MAX($J1180*1.4*1.5*1.6*1.6*2.2*2.715*2.6*1.4*1.4,8430000000*(1.651435^(MIN($E1180,123)-117)))*1,0))</f>
        <v>152382712</v>
      </c>
      <c r="AC1180" s="4">
        <f>$E1180+21</f>
        <v>130</v>
      </c>
      <c r="AD1180" s="8">
        <f>IF($J1180=0,0,ROUND(MAX($J1180*1.4*1.5*1.6*1.6*2.2*2.715*2.6*1.4*1.4*1.5,12600000000*(1.652953^(MIN($E1180,123)-117)))*1,0))</f>
        <v>226092682</v>
      </c>
      <c r="AE1180" s="6">
        <f>$E1180+24</f>
        <v>133</v>
      </c>
      <c r="AF1180" s="7">
        <f>IF($J1180=0,0,ROUND(MAX($J1180*1.4*1.5*1.6*1.6*2.2*2.715*2.6*1.4*1.4*1.5*1.5,18900000000*(1.65331^(MIN($E1180,123)-117)))*1,0))</f>
        <v>338553621</v>
      </c>
      <c r="AG1180" s="4">
        <f>$E1180+27</f>
        <v>136</v>
      </c>
      <c r="AH1180" s="8">
        <f>IF($J1180=0,0,ROUND(MAX($J1180*1.4*1.5*1.6*1.6*2.2*2.715*2.6*1.4*1.4*1.5*1.5*3.2,60500000000*(1.654288^(MIN($E1180,123)-117)))*1,0))</f>
        <v>1078614909</v>
      </c>
    </row>
    <row r="1181" ht="27.75" customHeight="1" spans="1:34" x14ac:dyDescent="0.25">
      <c r="A1181" s="3">
        <v>1191</v>
      </c>
      <c r="B1181" s="3" t="s">
        <v>777</v>
      </c>
      <c r="C1181" s="3" t="s">
        <v>829</v>
      </c>
      <c r="D1181" s="3" t="s">
        <v>90</v>
      </c>
      <c r="E1181" s="3">
        <v>109</v>
      </c>
      <c r="F1181" s="3" t="s">
        <v>71</v>
      </c>
      <c r="G1181" s="3" t="s">
        <v>124</v>
      </c>
      <c r="H1181" s="3">
        <v>25</v>
      </c>
      <c r="I1181" s="4">
        <v>109</v>
      </c>
      <c r="J1181" s="5">
        <v>65700</v>
      </c>
      <c r="K1181" s="6">
        <f>$E1181+1</f>
        <v>110</v>
      </c>
      <c r="L1181" s="7">
        <f>IF($J1181=0,0,ROUND(MAX($J1181*1.4,1620000*(1.497923^(MIN($E1181,123)-117)))*1,0))</f>
        <v>91980</v>
      </c>
      <c r="M1181" s="4">
        <f>$E1181+2</f>
        <v>111</v>
      </c>
      <c r="N1181" s="8">
        <f>IF($J1181=0,0,ROUND(MAX($J1181*1.4*1.5,2190000*(1.580994^(MIN($E1181,123)-117)))*1,0))</f>
        <v>137970</v>
      </c>
      <c r="O1181" s="6">
        <f>$E1181+4</f>
        <v>113</v>
      </c>
      <c r="P1181" s="7">
        <f>IF($J1181=0,0,ROUND(MAX($J1181*1.4*1.5*1.6,3500000*(1.57975^(MIN($E1181,123)-117)))*1,0))</f>
        <v>220752</v>
      </c>
      <c r="Q1181" s="4">
        <f>$E1181+6</f>
        <v>115</v>
      </c>
      <c r="R1181" s="8">
        <f>IF($J1181=0,0,ROUND(MAX($J1181*1.4*1.5*1.6*1.6,13100000*(1.429962^(MIN($E1181,123)-117)))*1,0))</f>
        <v>749334</v>
      </c>
      <c r="S1181" s="6">
        <f>$E1181+8</f>
        <v>117</v>
      </c>
      <c r="T1181" s="7">
        <f>IF($J1181=0,0,ROUND(MAX($J1181*1.4*1.5*1.6*1.6*2.2,42600000*(1.576904^(MIN($E1181,123)-117)))*1,0))</f>
        <v>1114211</v>
      </c>
      <c r="U1181" s="4">
        <f>$E1181+11</f>
        <v>120</v>
      </c>
      <c r="V1181" s="8">
        <f>IF($J1181=0,0,ROUND(MAX($J1181*1.4*1.5*1.6*1.6*2.2*2.715,354000000*(1.642074^(MIN($E1181,123)-117)))*1,0))</f>
        <v>6696710</v>
      </c>
      <c r="W1181" s="6">
        <f>$E1181+15</f>
        <v>124</v>
      </c>
      <c r="X1181" s="7">
        <f>IF($J1181=0,0,ROUND(MAX($J1181*1.4*1.5*1.6*1.6*2.2*2.715*2.6,3540000000*(1.579646^(MIN($E1181,123)-117)))*1,0))</f>
        <v>91311418</v>
      </c>
      <c r="Y1181" s="4">
        <f>$E1181+17</f>
        <v>126</v>
      </c>
      <c r="Z1181" s="8">
        <f>IF($J1181=0,0,ROUND(MAX($J1181*1.4*1.5*1.6*1.6*2.2*2.715*2.6*1.4,6020000000*(1.651178^(MIN($E1181,123)-117)))*1,0))</f>
        <v>108954543</v>
      </c>
      <c r="AA1181" s="6">
        <f>$E1181+19</f>
        <v>128</v>
      </c>
      <c r="AB1181" s="7">
        <f>IF($J1181=0,0,ROUND(MAX($J1181*1.4*1.5*1.6*1.6*2.2*2.715*2.6*1.4*1.4,8430000000*(1.651435^(MIN($E1181,123)-117)))*1,0))</f>
        <v>152382712</v>
      </c>
      <c r="AC1181" s="4">
        <f>$E1181+21</f>
        <v>130</v>
      </c>
      <c r="AD1181" s="8">
        <f>IF($J1181=0,0,ROUND(MAX($J1181*1.4*1.5*1.6*1.6*2.2*2.715*2.6*1.4*1.4*1.5,12600000000*(1.652953^(MIN($E1181,123)-117)))*1,0))</f>
        <v>226092682</v>
      </c>
      <c r="AE1181" s="6">
        <f>$E1181+24</f>
        <v>133</v>
      </c>
      <c r="AF1181" s="7">
        <f>IF($J1181=0,0,ROUND(MAX($J1181*1.4*1.5*1.6*1.6*2.2*2.715*2.6*1.4*1.4*1.5*1.5,18900000000*(1.65331^(MIN($E1181,123)-117)))*1,0))</f>
        <v>338553621</v>
      </c>
      <c r="AG1181" s="4">
        <f>$E1181+27</f>
        <v>136</v>
      </c>
      <c r="AH1181" s="8">
        <f>IF($J1181=0,0,ROUND(MAX($J1181*1.4*1.5*1.6*1.6*2.2*2.715*2.6*1.4*1.4*1.5*1.5*3.2,60500000000*(1.654288^(MIN($E1181,123)-117)))*1,0))</f>
        <v>1078614909</v>
      </c>
    </row>
    <row r="1182" ht="27.75" customHeight="1" spans="1:34" x14ac:dyDescent="0.25">
      <c r="A1182" s="3">
        <v>1192</v>
      </c>
      <c r="B1182" s="3" t="s">
        <v>873</v>
      </c>
      <c r="C1182" s="3" t="s">
        <v>829</v>
      </c>
      <c r="D1182" s="3" t="s">
        <v>102</v>
      </c>
      <c r="E1182" s="3">
        <v>109</v>
      </c>
      <c r="F1182" s="3" t="s">
        <v>34</v>
      </c>
      <c r="G1182" s="3" t="s">
        <v>277</v>
      </c>
      <c r="H1182" s="3">
        <v>25</v>
      </c>
      <c r="I1182" s="4">
        <v>109</v>
      </c>
      <c r="J1182" s="5">
        <v>235000</v>
      </c>
      <c r="K1182" s="6">
        <f>$E1182+1</f>
        <v>110</v>
      </c>
      <c r="L1182" s="7">
        <f>IF($J1182=0,0,ROUND(MAX($J1182*1.4,1620000*(1.497923^(MIN($E1182,123)-117)))*1,0))</f>
        <v>329000</v>
      </c>
      <c r="M1182" s="4">
        <f>$E1182+2</f>
        <v>111</v>
      </c>
      <c r="N1182" s="8">
        <f>IF($J1182=0,0,ROUND(MAX($J1182*1.4*1.5,2190000*(1.580994^(MIN($E1182,123)-117)))*1,0))</f>
        <v>493500</v>
      </c>
      <c r="O1182" s="6">
        <f>$E1182+4</f>
        <v>113</v>
      </c>
      <c r="P1182" s="7">
        <f>IF($J1182=0,0,ROUND(MAX($J1182*1.4*1.5*1.6,3500000*(1.57975^(MIN($E1182,123)-117)))*1,0))</f>
        <v>789600</v>
      </c>
      <c r="Q1182" s="4">
        <f>$E1182+6</f>
        <v>115</v>
      </c>
      <c r="R1182" s="8">
        <f>IF($J1182=0,0,ROUND(MAX($J1182*1.4*1.5*1.6*1.6,13100000*(1.429962^(MIN($E1182,123)-117)))*1,0))</f>
        <v>1263360</v>
      </c>
      <c r="S1182" s="6">
        <f>$E1182+8</f>
        <v>117</v>
      </c>
      <c r="T1182" s="7">
        <f>IF($J1182=0,0,ROUND(MAX($J1182*1.4*1.5*1.6*1.6*2.2,42600000*(1.576904^(MIN($E1182,123)-117)))*1,0))</f>
        <v>2779392</v>
      </c>
      <c r="U1182" s="4">
        <f>$E1182+11</f>
        <v>120</v>
      </c>
      <c r="V1182" s="8">
        <f>IF($J1182=0,0,ROUND(MAX($J1182*1.4*1.5*1.6*1.6*2.2*2.715,354000000*(1.642074^(MIN($E1182,123)-117)))*1,0))</f>
        <v>7546049</v>
      </c>
      <c r="W1182" s="6">
        <f>$E1182+15</f>
        <v>124</v>
      </c>
      <c r="X1182" s="7">
        <f>IF($J1182=0,0,ROUND(MAX($J1182*1.4*1.5*1.6*1.6*2.2*2.715*2.6,3540000000*(1.579646^(MIN($E1182,123)-117)))*1,0))</f>
        <v>91311418</v>
      </c>
      <c r="Y1182" s="4">
        <f>$E1182+17</f>
        <v>126</v>
      </c>
      <c r="Z1182" s="8">
        <f>IF($J1182=0,0,ROUND(MAX($J1182*1.4*1.5*1.6*1.6*2.2*2.715*2.6*1.4,6020000000*(1.651178^(MIN($E1182,123)-117)))*1,0))</f>
        <v>108954543</v>
      </c>
      <c r="AA1182" s="6">
        <f>$E1182+19</f>
        <v>128</v>
      </c>
      <c r="AB1182" s="7">
        <f>IF($J1182=0,0,ROUND(MAX($J1182*1.4*1.5*1.6*1.6*2.2*2.715*2.6*1.4*1.4,8430000000*(1.651435^(MIN($E1182,123)-117)))*1,0))</f>
        <v>152382712</v>
      </c>
      <c r="AC1182" s="4">
        <f>$E1182+21</f>
        <v>130</v>
      </c>
      <c r="AD1182" s="8">
        <f>IF($J1182=0,0,ROUND(MAX($J1182*1.4*1.5*1.6*1.6*2.2*2.715*2.6*1.4*1.4*1.5,12600000000*(1.652953^(MIN($E1182,123)-117)))*1,0))</f>
        <v>226092682</v>
      </c>
      <c r="AE1182" s="6">
        <f>$E1182+24</f>
        <v>133</v>
      </c>
      <c r="AF1182" s="7">
        <f>IF($J1182=0,0,ROUND(MAX($J1182*1.4*1.5*1.6*1.6*2.2*2.715*2.6*1.4*1.4*1.5*1.5,18900000000*(1.65331^(MIN($E1182,123)-117)))*1,0))</f>
        <v>338553621</v>
      </c>
      <c r="AG1182" s="4">
        <f>$E1182+27</f>
        <v>136</v>
      </c>
      <c r="AH1182" s="8">
        <f>IF($J1182=0,0,ROUND(MAX($J1182*1.4*1.5*1.6*1.6*2.2*2.715*2.6*1.4*1.4*1.5*1.5*3.2,60500000000*(1.654288^(MIN($E1182,123)-117)))*1,0))</f>
        <v>1078614909</v>
      </c>
    </row>
    <row r="1183" ht="27.75" customHeight="1" spans="1:34" x14ac:dyDescent="0.25">
      <c r="A1183" s="3">
        <v>1193</v>
      </c>
      <c r="B1183" s="3" t="s">
        <v>874</v>
      </c>
      <c r="C1183" s="3" t="s">
        <v>829</v>
      </c>
      <c r="D1183" s="3" t="s">
        <v>64</v>
      </c>
      <c r="E1183" s="3">
        <v>109</v>
      </c>
      <c r="F1183" s="3" t="s">
        <v>345</v>
      </c>
      <c r="G1183" s="3" t="s">
        <v>300</v>
      </c>
      <c r="H1183" s="3">
        <v>25</v>
      </c>
      <c r="I1183" s="4">
        <v>109</v>
      </c>
      <c r="J1183" s="5">
        <v>204000</v>
      </c>
      <c r="K1183" s="6">
        <f>$E1183+1</f>
        <v>110</v>
      </c>
      <c r="L1183" s="7">
        <f>IF($J1183=0,0,ROUND(MAX($J1183*1.4,1620000*(1.497923^(MIN($E1183,123)-117)))*1,0))</f>
        <v>285600</v>
      </c>
      <c r="M1183" s="4">
        <f>$E1183+2</f>
        <v>111</v>
      </c>
      <c r="N1183" s="8">
        <f>IF($J1183=0,0,ROUND(MAX($J1183*1.4*1.5,2190000*(1.580994^(MIN($E1183,123)-117)))*1,0))</f>
        <v>428400</v>
      </c>
      <c r="O1183" s="6">
        <f>$E1183+4</f>
        <v>113</v>
      </c>
      <c r="P1183" s="7">
        <f>IF($J1183=0,0,ROUND(MAX($J1183*1.4*1.5*1.6,3500000*(1.57975^(MIN($E1183,123)-117)))*1,0))</f>
        <v>685440</v>
      </c>
      <c r="Q1183" s="4">
        <f>$E1183+6</f>
        <v>115</v>
      </c>
      <c r="R1183" s="8">
        <f>IF($J1183=0,0,ROUND(MAX($J1183*1.4*1.5*1.6*1.6,13100000*(1.429962^(MIN($E1183,123)-117)))*1,0))</f>
        <v>1096704</v>
      </c>
      <c r="S1183" s="6">
        <f>$E1183+8</f>
        <v>117</v>
      </c>
      <c r="T1183" s="7">
        <f>IF($J1183=0,0,ROUND(MAX($J1183*1.4*1.5*1.6*1.6*2.2,42600000*(1.576904^(MIN($E1183,123)-117)))*1,0))</f>
        <v>2412749</v>
      </c>
      <c r="U1183" s="4">
        <f>$E1183+11</f>
        <v>120</v>
      </c>
      <c r="V1183" s="8">
        <f>IF($J1183=0,0,ROUND(MAX($J1183*1.4*1.5*1.6*1.6*2.2*2.715,354000000*(1.642074^(MIN($E1183,123)-117)))*1,0))</f>
        <v>6696710</v>
      </c>
      <c r="W1183" s="6">
        <f>$E1183+15</f>
        <v>124</v>
      </c>
      <c r="X1183" s="7">
        <f>IF($J1183=0,0,ROUND(MAX($J1183*1.4*1.5*1.6*1.6*2.2*2.715*2.6,3540000000*(1.579646^(MIN($E1183,123)-117)))*1,0))</f>
        <v>91311418</v>
      </c>
      <c r="Y1183" s="4">
        <f>$E1183+17</f>
        <v>126</v>
      </c>
      <c r="Z1183" s="8">
        <f>IF($J1183=0,0,ROUND(MAX($J1183*1.4*1.5*1.6*1.6*2.2*2.715*2.6*1.4,6020000000*(1.651178^(MIN($E1183,123)-117)))*1,0))</f>
        <v>108954543</v>
      </c>
      <c r="AA1183" s="6">
        <f>$E1183+19</f>
        <v>128</v>
      </c>
      <c r="AB1183" s="7">
        <f>IF($J1183=0,0,ROUND(MAX($J1183*1.4*1.5*1.6*1.6*2.2*2.715*2.6*1.4*1.4,8430000000*(1.651435^(MIN($E1183,123)-117)))*1,0))</f>
        <v>152382712</v>
      </c>
      <c r="AC1183" s="4">
        <f>$E1183+21</f>
        <v>130</v>
      </c>
      <c r="AD1183" s="8">
        <f>IF($J1183=0,0,ROUND(MAX($J1183*1.4*1.5*1.6*1.6*2.2*2.715*2.6*1.4*1.4*1.5,12600000000*(1.652953^(MIN($E1183,123)-117)))*1,0))</f>
        <v>226092682</v>
      </c>
      <c r="AE1183" s="6">
        <f>$E1183+24</f>
        <v>133</v>
      </c>
      <c r="AF1183" s="7">
        <f>IF($J1183=0,0,ROUND(MAX($J1183*1.4*1.5*1.6*1.6*2.2*2.715*2.6*1.4*1.4*1.5*1.5,18900000000*(1.65331^(MIN($E1183,123)-117)))*1,0))</f>
        <v>338553621</v>
      </c>
      <c r="AG1183" s="4">
        <f>$E1183+27</f>
        <v>136</v>
      </c>
      <c r="AH1183" s="8">
        <f>IF($J1183=0,0,ROUND(MAX($J1183*1.4*1.5*1.6*1.6*2.2*2.715*2.6*1.4*1.4*1.5*1.5*3.2,60500000000*(1.654288^(MIN($E1183,123)-117)))*1,0))</f>
        <v>1078614909</v>
      </c>
    </row>
    <row r="1184" ht="27.75" customHeight="1" spans="1:34" x14ac:dyDescent="0.25">
      <c r="A1184" s="3">
        <v>1194</v>
      </c>
      <c r="B1184" s="3" t="s">
        <v>875</v>
      </c>
      <c r="C1184" s="3" t="s">
        <v>829</v>
      </c>
      <c r="D1184" s="3" t="s">
        <v>165</v>
      </c>
      <c r="E1184" s="3">
        <v>109</v>
      </c>
      <c r="F1184" s="3" t="s">
        <v>56</v>
      </c>
      <c r="G1184" s="3" t="s">
        <v>876</v>
      </c>
      <c r="H1184" s="3">
        <v>25</v>
      </c>
      <c r="I1184" s="4">
        <v>109</v>
      </c>
      <c r="J1184" s="5">
        <v>127000</v>
      </c>
      <c r="K1184" s="6">
        <f>$E1184+1</f>
        <v>110</v>
      </c>
      <c r="L1184" s="7">
        <f>IF($J1184=0,0,ROUND(MAX($J1184*1.4,1620000*(1.497923^(MIN($E1184,123)-117)))*1,0))</f>
        <v>177800</v>
      </c>
      <c r="M1184" s="4">
        <f>$E1184+2</f>
        <v>111</v>
      </c>
      <c r="N1184" s="8">
        <f>IF($J1184=0,0,ROUND(MAX($J1184*1.4*1.5,2190000*(1.580994^(MIN($E1184,123)-117)))*1,0))</f>
        <v>266700</v>
      </c>
      <c r="O1184" s="6">
        <f>$E1184+4</f>
        <v>113</v>
      </c>
      <c r="P1184" s="7">
        <f>IF($J1184=0,0,ROUND(MAX($J1184*1.4*1.5*1.6,3500000*(1.57975^(MIN($E1184,123)-117)))*1,0))</f>
        <v>426720</v>
      </c>
      <c r="Q1184" s="4">
        <f>$E1184+6</f>
        <v>115</v>
      </c>
      <c r="R1184" s="8">
        <f>IF($J1184=0,0,ROUND(MAX($J1184*1.4*1.5*1.6*1.6,13100000*(1.429962^(MIN($E1184,123)-117)))*1,0))</f>
        <v>749334</v>
      </c>
      <c r="S1184" s="6">
        <f>$E1184+8</f>
        <v>117</v>
      </c>
      <c r="T1184" s="7">
        <f>IF($J1184=0,0,ROUND(MAX($J1184*1.4*1.5*1.6*1.6*2.2,42600000*(1.576904^(MIN($E1184,123)-117)))*1,0))</f>
        <v>1502054</v>
      </c>
      <c r="U1184" s="4">
        <f>$E1184+11</f>
        <v>120</v>
      </c>
      <c r="V1184" s="8">
        <f>IF($J1184=0,0,ROUND(MAX($J1184*1.4*1.5*1.6*1.6*2.2*2.715,354000000*(1.642074^(MIN($E1184,123)-117)))*1,0))</f>
        <v>6696710</v>
      </c>
      <c r="W1184" s="6">
        <f>$E1184+15</f>
        <v>124</v>
      </c>
      <c r="X1184" s="7">
        <f>IF($J1184=0,0,ROUND(MAX($J1184*1.4*1.5*1.6*1.6*2.2*2.715*2.6,3540000000*(1.579646^(MIN($E1184,123)-117)))*1,0))</f>
        <v>91311418</v>
      </c>
      <c r="Y1184" s="4">
        <f>$E1184+17</f>
        <v>126</v>
      </c>
      <c r="Z1184" s="8">
        <f>IF($J1184=0,0,ROUND(MAX($J1184*1.4*1.5*1.6*1.6*2.2*2.715*2.6*1.4,6020000000*(1.651178^(MIN($E1184,123)-117)))*1,0))</f>
        <v>108954543</v>
      </c>
      <c r="AA1184" s="6">
        <f>$E1184+19</f>
        <v>128</v>
      </c>
      <c r="AB1184" s="7">
        <f>IF($J1184=0,0,ROUND(MAX($J1184*1.4*1.5*1.6*1.6*2.2*2.715*2.6*1.4*1.4,8430000000*(1.651435^(MIN($E1184,123)-117)))*1,0))</f>
        <v>152382712</v>
      </c>
      <c r="AC1184" s="4">
        <f>$E1184+21</f>
        <v>130</v>
      </c>
      <c r="AD1184" s="8">
        <f>IF($J1184=0,0,ROUND(MAX($J1184*1.4*1.5*1.6*1.6*2.2*2.715*2.6*1.4*1.4*1.5,12600000000*(1.652953^(MIN($E1184,123)-117)))*1,0))</f>
        <v>226092682</v>
      </c>
      <c r="AE1184" s="6">
        <f>$E1184+24</f>
        <v>133</v>
      </c>
      <c r="AF1184" s="7">
        <f>IF($J1184=0,0,ROUND(MAX($J1184*1.4*1.5*1.6*1.6*2.2*2.715*2.6*1.4*1.4*1.5*1.5,18900000000*(1.65331^(MIN($E1184,123)-117)))*1,0))</f>
        <v>338553621</v>
      </c>
      <c r="AG1184" s="4">
        <f>$E1184+27</f>
        <v>136</v>
      </c>
      <c r="AH1184" s="8">
        <f>IF($J1184=0,0,ROUND(MAX($J1184*1.4*1.5*1.6*1.6*2.2*2.715*2.6*1.4*1.4*1.5*1.5*3.2,60500000000*(1.654288^(MIN($E1184,123)-117)))*1,0))</f>
        <v>1078614909</v>
      </c>
    </row>
    <row r="1185" ht="27.75" customHeight="1" spans="1:34" x14ac:dyDescent="0.25">
      <c r="A1185" s="3">
        <v>1195</v>
      </c>
      <c r="B1185" s="3" t="s">
        <v>877</v>
      </c>
      <c r="C1185" s="3" t="s">
        <v>829</v>
      </c>
      <c r="D1185" s="3" t="s">
        <v>331</v>
      </c>
      <c r="E1185" s="3">
        <v>109</v>
      </c>
      <c r="F1185" s="3" t="s">
        <v>42</v>
      </c>
      <c r="G1185" s="3" t="s">
        <v>242</v>
      </c>
      <c r="H1185" s="3">
        <v>24</v>
      </c>
      <c r="I1185" s="4">
        <v>109</v>
      </c>
      <c r="J1185" s="5">
        <v>375000</v>
      </c>
      <c r="K1185" s="6">
        <f>$E1185+1</f>
        <v>110</v>
      </c>
      <c r="L1185" s="7">
        <f>IF($J1185=0,0,ROUND(MAX($J1185*1.4,1620000*(1.497923^(MIN($E1185,123)-117)))*1,0))</f>
        <v>525000</v>
      </c>
      <c r="M1185" s="4">
        <f>$E1185+2</f>
        <v>111</v>
      </c>
      <c r="N1185" s="8">
        <f>IF($J1185=0,0,ROUND(MAX($J1185*1.4*1.5,2190000*(1.580994^(MIN($E1185,123)-117)))*1,0))</f>
        <v>787500</v>
      </c>
      <c r="O1185" s="6">
        <f>$E1185+4</f>
        <v>113</v>
      </c>
      <c r="P1185" s="7">
        <f>IF($J1185=0,0,ROUND(MAX($J1185*1.4*1.5*1.6,3500000*(1.57975^(MIN($E1185,123)-117)))*1,0))</f>
        <v>1260000</v>
      </c>
      <c r="Q1185" s="4">
        <f>$E1185+6</f>
        <v>115</v>
      </c>
      <c r="R1185" s="8">
        <f>IF($J1185=0,0,ROUND(MAX($J1185*1.4*1.5*1.6*1.6,13100000*(1.429962^(MIN($E1185,123)-117)))*1,0))</f>
        <v>2016000</v>
      </c>
      <c r="S1185" s="6">
        <f>$E1185+8</f>
        <v>117</v>
      </c>
      <c r="T1185" s="7">
        <f>IF($J1185=0,0,ROUND(MAX($J1185*1.4*1.5*1.6*1.6*2.2,42600000*(1.576904^(MIN($E1185,123)-117)))*1,0))</f>
        <v>4435200</v>
      </c>
      <c r="U1185" s="4">
        <f>$E1185+11</f>
        <v>120</v>
      </c>
      <c r="V1185" s="8">
        <f>IF($J1185=0,0,ROUND(MAX($J1185*1.4*1.5*1.6*1.6*2.2*2.715,354000000*(1.642074^(MIN($E1185,123)-117)))*1,0))</f>
        <v>12041568</v>
      </c>
      <c r="W1185" s="6">
        <f>$E1185+15</f>
        <v>124</v>
      </c>
      <c r="X1185" s="7">
        <f>IF($J1185=0,0,ROUND(MAX($J1185*1.4*1.5*1.6*1.6*2.2*2.715*2.6,3540000000*(1.579646^(MIN($E1185,123)-117)))*1,0))</f>
        <v>91311418</v>
      </c>
      <c r="Y1185" s="4">
        <f>$E1185+17</f>
        <v>126</v>
      </c>
      <c r="Z1185" s="8">
        <f>IF($J1185=0,0,ROUND(MAX($J1185*1.4*1.5*1.6*1.6*2.2*2.715*2.6*1.4,6020000000*(1.651178^(MIN($E1185,123)-117)))*1,0))</f>
        <v>108954543</v>
      </c>
      <c r="AA1185" s="6">
        <f>$E1185+19</f>
        <v>128</v>
      </c>
      <c r="AB1185" s="7">
        <f>IF($J1185=0,0,ROUND(MAX($J1185*1.4*1.5*1.6*1.6*2.2*2.715*2.6*1.4*1.4,8430000000*(1.651435^(MIN($E1185,123)-117)))*1,0))</f>
        <v>152382712</v>
      </c>
      <c r="AC1185" s="4">
        <f>$E1185+21</f>
        <v>130</v>
      </c>
      <c r="AD1185" s="8">
        <f>IF($J1185=0,0,ROUND(MAX($J1185*1.4*1.5*1.6*1.6*2.2*2.715*2.6*1.4*1.4*1.5,12600000000*(1.652953^(MIN($E1185,123)-117)))*1,0))</f>
        <v>226092682</v>
      </c>
      <c r="AE1185" s="6">
        <f>$E1185+24</f>
        <v>133</v>
      </c>
      <c r="AF1185" s="7">
        <f>IF($J1185=0,0,ROUND(MAX($J1185*1.4*1.5*1.6*1.6*2.2*2.715*2.6*1.4*1.4*1.5*1.5,18900000000*(1.65331^(MIN($E1185,123)-117)))*1,0))</f>
        <v>338553621</v>
      </c>
      <c r="AG1185" s="4">
        <f>$E1185+27</f>
        <v>136</v>
      </c>
      <c r="AH1185" s="8">
        <f>IF($J1185=0,0,ROUND(MAX($J1185*1.4*1.5*1.6*1.6*2.2*2.715*2.6*1.4*1.4*1.5*1.5*3.2,60500000000*(1.654288^(MIN($E1185,123)-117)))*1,0))</f>
        <v>1078614909</v>
      </c>
    </row>
    <row r="1186" ht="27.75" customHeight="1" spans="1:34" x14ac:dyDescent="0.25">
      <c r="A1186" s="3">
        <v>1196</v>
      </c>
      <c r="B1186" s="3" t="s">
        <v>878</v>
      </c>
      <c r="C1186" s="3" t="s">
        <v>829</v>
      </c>
      <c r="D1186" s="3" t="s">
        <v>33</v>
      </c>
      <c r="E1186" s="3">
        <v>109</v>
      </c>
      <c r="F1186" s="3" t="s">
        <v>54</v>
      </c>
      <c r="G1186" s="3" t="s">
        <v>402</v>
      </c>
      <c r="H1186" s="3">
        <v>24</v>
      </c>
      <c r="I1186" s="4">
        <v>109</v>
      </c>
      <c r="J1186" s="5">
        <v>188000</v>
      </c>
      <c r="K1186" s="6">
        <f>$E1186+1</f>
        <v>110</v>
      </c>
      <c r="L1186" s="7">
        <f>IF($J1186=0,0,ROUND(MAX($J1186*1.4,1620000*(1.497923^(MIN($E1186,123)-117)))*1,0))</f>
        <v>263200</v>
      </c>
      <c r="M1186" s="4">
        <f>$E1186+2</f>
        <v>111</v>
      </c>
      <c r="N1186" s="8">
        <f>IF($J1186=0,0,ROUND(MAX($J1186*1.4*1.5,2190000*(1.580994^(MIN($E1186,123)-117)))*1,0))</f>
        <v>394800</v>
      </c>
      <c r="O1186" s="6">
        <f>$E1186+4</f>
        <v>113</v>
      </c>
      <c r="P1186" s="7">
        <f>IF($J1186=0,0,ROUND(MAX($J1186*1.4*1.5*1.6,3500000*(1.57975^(MIN($E1186,123)-117)))*1,0))</f>
        <v>631680</v>
      </c>
      <c r="Q1186" s="4">
        <f>$E1186+6</f>
        <v>115</v>
      </c>
      <c r="R1186" s="8">
        <f>IF($J1186=0,0,ROUND(MAX($J1186*1.4*1.5*1.6*1.6,13100000*(1.429962^(MIN($E1186,123)-117)))*1,0))</f>
        <v>1010688</v>
      </c>
      <c r="S1186" s="6">
        <f>$E1186+8</f>
        <v>117</v>
      </c>
      <c r="T1186" s="7">
        <f>IF($J1186=0,0,ROUND(MAX($J1186*1.4*1.5*1.6*1.6*2.2,42600000*(1.576904^(MIN($E1186,123)-117)))*1,0))</f>
        <v>2223514</v>
      </c>
      <c r="U1186" s="4">
        <f>$E1186+11</f>
        <v>120</v>
      </c>
      <c r="V1186" s="8">
        <f>IF($J1186=0,0,ROUND(MAX($J1186*1.4*1.5*1.6*1.6*2.2*2.715,354000000*(1.642074^(MIN($E1186,123)-117)))*1,0))</f>
        <v>6696710</v>
      </c>
      <c r="W1186" s="6">
        <f>$E1186+15</f>
        <v>124</v>
      </c>
      <c r="X1186" s="7">
        <f>IF($J1186=0,0,ROUND(MAX($J1186*1.4*1.5*1.6*1.6*2.2*2.715*2.6,3540000000*(1.579646^(MIN($E1186,123)-117)))*1,0))</f>
        <v>91311418</v>
      </c>
      <c r="Y1186" s="4">
        <f>$E1186+17</f>
        <v>126</v>
      </c>
      <c r="Z1186" s="8">
        <f>IF($J1186=0,0,ROUND(MAX($J1186*1.4*1.5*1.6*1.6*2.2*2.715*2.6*1.4,6020000000*(1.651178^(MIN($E1186,123)-117)))*1,0))</f>
        <v>108954543</v>
      </c>
      <c r="AA1186" s="6">
        <f>$E1186+19</f>
        <v>128</v>
      </c>
      <c r="AB1186" s="7">
        <f>IF($J1186=0,0,ROUND(MAX($J1186*1.4*1.5*1.6*1.6*2.2*2.715*2.6*1.4*1.4,8430000000*(1.651435^(MIN($E1186,123)-117)))*1,0))</f>
        <v>152382712</v>
      </c>
      <c r="AC1186" s="4">
        <f>$E1186+21</f>
        <v>130</v>
      </c>
      <c r="AD1186" s="8">
        <f>IF($J1186=0,0,ROUND(MAX($J1186*1.4*1.5*1.6*1.6*2.2*2.715*2.6*1.4*1.4*1.5,12600000000*(1.652953^(MIN($E1186,123)-117)))*1,0))</f>
        <v>226092682</v>
      </c>
      <c r="AE1186" s="6">
        <f>$E1186+24</f>
        <v>133</v>
      </c>
      <c r="AF1186" s="7">
        <f>IF($J1186=0,0,ROUND(MAX($J1186*1.4*1.5*1.6*1.6*2.2*2.715*2.6*1.4*1.4*1.5*1.5,18900000000*(1.65331^(MIN($E1186,123)-117)))*1,0))</f>
        <v>338553621</v>
      </c>
      <c r="AG1186" s="4">
        <f>$E1186+27</f>
        <v>136</v>
      </c>
      <c r="AH1186" s="8">
        <f>IF($J1186=0,0,ROUND(MAX($J1186*1.4*1.5*1.6*1.6*2.2*2.715*2.6*1.4*1.4*1.5*1.5*3.2,60500000000*(1.654288^(MIN($E1186,123)-117)))*1,0))</f>
        <v>1078614909</v>
      </c>
    </row>
    <row r="1187" ht="27.75" customHeight="1" spans="1:34" x14ac:dyDescent="0.25">
      <c r="A1187" s="3">
        <v>1197</v>
      </c>
      <c r="B1187" s="3" t="s">
        <v>879</v>
      </c>
      <c r="C1187" s="3" t="s">
        <v>829</v>
      </c>
      <c r="D1187" s="3" t="s">
        <v>102</v>
      </c>
      <c r="E1187" s="3">
        <v>109</v>
      </c>
      <c r="F1187" s="3" t="s">
        <v>62</v>
      </c>
      <c r="G1187" s="3" t="s">
        <v>880</v>
      </c>
      <c r="H1187" s="3">
        <v>24</v>
      </c>
      <c r="I1187" s="4">
        <v>109</v>
      </c>
      <c r="J1187" s="5">
        <v>35100</v>
      </c>
      <c r="K1187" s="6">
        <f>$E1187+1</f>
        <v>110</v>
      </c>
      <c r="L1187" s="7">
        <f>IF($J1187=0,0,ROUND(MAX($J1187*1.4,1620000*(1.497923^(MIN($E1187,123)-117)))*1,0))</f>
        <v>63914</v>
      </c>
      <c r="M1187" s="4">
        <f>$E1187+2</f>
        <v>111</v>
      </c>
      <c r="N1187" s="8">
        <f>IF($J1187=0,0,ROUND(MAX($J1187*1.4*1.5,2190000*(1.580994^(MIN($E1187,123)-117)))*1,0))</f>
        <v>73710</v>
      </c>
      <c r="O1187" s="6">
        <f>$E1187+4</f>
        <v>113</v>
      </c>
      <c r="P1187" s="7">
        <f>IF($J1187=0,0,ROUND(MAX($J1187*1.4*1.5*1.6,3500000*(1.57975^(MIN($E1187,123)-117)))*1,0))</f>
        <v>117936</v>
      </c>
      <c r="Q1187" s="4">
        <f>$E1187+6</f>
        <v>115</v>
      </c>
      <c r="R1187" s="8">
        <f>IF($J1187=0,0,ROUND(MAX($J1187*1.4*1.5*1.6*1.6,13100000*(1.429962^(MIN($E1187,123)-117)))*1,0))</f>
        <v>749334</v>
      </c>
      <c r="S1187" s="6">
        <f>$E1187+8</f>
        <v>117</v>
      </c>
      <c r="T1187" s="7">
        <f>IF($J1187=0,0,ROUND(MAX($J1187*1.4*1.5*1.6*1.6*2.2,42600000*(1.576904^(MIN($E1187,123)-117)))*1,0))</f>
        <v>1114211</v>
      </c>
      <c r="U1187" s="4">
        <f>$E1187+11</f>
        <v>120</v>
      </c>
      <c r="V1187" s="8">
        <f>IF($J1187=0,0,ROUND(MAX($J1187*1.4*1.5*1.6*1.6*2.2*2.715,354000000*(1.642074^(MIN($E1187,123)-117)))*1,0))</f>
        <v>6696710</v>
      </c>
      <c r="W1187" s="6">
        <f>$E1187+15</f>
        <v>124</v>
      </c>
      <c r="X1187" s="7">
        <f>IF($J1187=0,0,ROUND(MAX($J1187*1.4*1.5*1.6*1.6*2.2*2.715*2.6,3540000000*(1.579646^(MIN($E1187,123)-117)))*1,0))</f>
        <v>91311418</v>
      </c>
      <c r="Y1187" s="4">
        <f>$E1187+17</f>
        <v>126</v>
      </c>
      <c r="Z1187" s="8">
        <f>IF($J1187=0,0,ROUND(MAX($J1187*1.4*1.5*1.6*1.6*2.2*2.715*2.6*1.4,6020000000*(1.651178^(MIN($E1187,123)-117)))*1,0))</f>
        <v>108954543</v>
      </c>
      <c r="AA1187" s="6">
        <f>$E1187+19</f>
        <v>128</v>
      </c>
      <c r="AB1187" s="7">
        <f>IF($J1187=0,0,ROUND(MAX($J1187*1.4*1.5*1.6*1.6*2.2*2.715*2.6*1.4*1.4,8430000000*(1.651435^(MIN($E1187,123)-117)))*1,0))</f>
        <v>152382712</v>
      </c>
      <c r="AC1187" s="4">
        <f>$E1187+21</f>
        <v>130</v>
      </c>
      <c r="AD1187" s="8">
        <f>IF($J1187=0,0,ROUND(MAX($J1187*1.4*1.5*1.6*1.6*2.2*2.715*2.6*1.4*1.4*1.5,12600000000*(1.652953^(MIN($E1187,123)-117)))*1,0))</f>
        <v>226092682</v>
      </c>
      <c r="AE1187" s="6">
        <f>$E1187+24</f>
        <v>133</v>
      </c>
      <c r="AF1187" s="7">
        <f>IF($J1187=0,0,ROUND(MAX($J1187*1.4*1.5*1.6*1.6*2.2*2.715*2.6*1.4*1.4*1.5*1.5,18900000000*(1.65331^(MIN($E1187,123)-117)))*1,0))</f>
        <v>338553621</v>
      </c>
      <c r="AG1187" s="4">
        <f>$E1187+27</f>
        <v>136</v>
      </c>
      <c r="AH1187" s="8">
        <f>IF($J1187=0,0,ROUND(MAX($J1187*1.4*1.5*1.6*1.6*2.2*2.715*2.6*1.4*1.4*1.5*1.5*3.2,60500000000*(1.654288^(MIN($E1187,123)-117)))*1,0))</f>
        <v>1078614909</v>
      </c>
    </row>
    <row r="1188" ht="27.75" customHeight="1" spans="1:34" x14ac:dyDescent="0.25">
      <c r="A1188" s="3">
        <v>1198</v>
      </c>
      <c r="B1188" s="3" t="s">
        <v>881</v>
      </c>
      <c r="C1188" s="3" t="s">
        <v>829</v>
      </c>
      <c r="D1188" s="3" t="s">
        <v>33</v>
      </c>
      <c r="E1188" s="3">
        <v>109</v>
      </c>
      <c r="F1188" s="3" t="s">
        <v>54</v>
      </c>
      <c r="G1188" s="3" t="s">
        <v>396</v>
      </c>
      <c r="H1188" s="3">
        <v>24</v>
      </c>
      <c r="I1188" s="4">
        <v>109</v>
      </c>
      <c r="J1188" s="5">
        <v>46100</v>
      </c>
      <c r="K1188" s="6">
        <f>$E1188+1</f>
        <v>110</v>
      </c>
      <c r="L1188" s="7">
        <f>IF($J1188=0,0,ROUND(MAX($J1188*1.4,1620000*(1.497923^(MIN($E1188,123)-117)))*1,0))</f>
        <v>64540</v>
      </c>
      <c r="M1188" s="4">
        <f>$E1188+2</f>
        <v>111</v>
      </c>
      <c r="N1188" s="8">
        <f>IF($J1188=0,0,ROUND(MAX($J1188*1.4*1.5,2190000*(1.580994^(MIN($E1188,123)-117)))*1,0))</f>
        <v>96810</v>
      </c>
      <c r="O1188" s="6">
        <f>$E1188+4</f>
        <v>113</v>
      </c>
      <c r="P1188" s="7">
        <f>IF($J1188=0,0,ROUND(MAX($J1188*1.4*1.5*1.6,3500000*(1.57975^(MIN($E1188,123)-117)))*1,0))</f>
        <v>154896</v>
      </c>
      <c r="Q1188" s="4">
        <f>$E1188+6</f>
        <v>115</v>
      </c>
      <c r="R1188" s="8">
        <f>IF($J1188=0,0,ROUND(MAX($J1188*1.4*1.5*1.6*1.6,13100000*(1.429962^(MIN($E1188,123)-117)))*1,0))</f>
        <v>749334</v>
      </c>
      <c r="S1188" s="6">
        <f>$E1188+8</f>
        <v>117</v>
      </c>
      <c r="T1188" s="7">
        <f>IF($J1188=0,0,ROUND(MAX($J1188*1.4*1.5*1.6*1.6*2.2,42600000*(1.576904^(MIN($E1188,123)-117)))*1,0))</f>
        <v>1114211</v>
      </c>
      <c r="U1188" s="4">
        <f>$E1188+11</f>
        <v>120</v>
      </c>
      <c r="V1188" s="8">
        <f>IF($J1188=0,0,ROUND(MAX($J1188*1.4*1.5*1.6*1.6*2.2*2.715,354000000*(1.642074^(MIN($E1188,123)-117)))*1,0))</f>
        <v>6696710</v>
      </c>
      <c r="W1188" s="6">
        <f>$E1188+15</f>
        <v>124</v>
      </c>
      <c r="X1188" s="7">
        <f>IF($J1188=0,0,ROUND(MAX($J1188*1.4*1.5*1.6*1.6*2.2*2.715*2.6,3540000000*(1.579646^(MIN($E1188,123)-117)))*1,0))</f>
        <v>91311418</v>
      </c>
      <c r="Y1188" s="4">
        <f>$E1188+17</f>
        <v>126</v>
      </c>
      <c r="Z1188" s="8">
        <f>IF($J1188=0,0,ROUND(MAX($J1188*1.4*1.5*1.6*1.6*2.2*2.715*2.6*1.4,6020000000*(1.651178^(MIN($E1188,123)-117)))*1,0))</f>
        <v>108954543</v>
      </c>
      <c r="AA1188" s="6">
        <f>$E1188+19</f>
        <v>128</v>
      </c>
      <c r="AB1188" s="7">
        <f>IF($J1188=0,0,ROUND(MAX($J1188*1.4*1.5*1.6*1.6*2.2*2.715*2.6*1.4*1.4,8430000000*(1.651435^(MIN($E1188,123)-117)))*1,0))</f>
        <v>152382712</v>
      </c>
      <c r="AC1188" s="4">
        <f>$E1188+21</f>
        <v>130</v>
      </c>
      <c r="AD1188" s="8">
        <f>IF($J1188=0,0,ROUND(MAX($J1188*1.4*1.5*1.6*1.6*2.2*2.715*2.6*1.4*1.4*1.5,12600000000*(1.652953^(MIN($E1188,123)-117)))*1,0))</f>
        <v>226092682</v>
      </c>
      <c r="AE1188" s="6">
        <f>$E1188+24</f>
        <v>133</v>
      </c>
      <c r="AF1188" s="7">
        <f>IF($J1188=0,0,ROUND(MAX($J1188*1.4*1.5*1.6*1.6*2.2*2.715*2.6*1.4*1.4*1.5*1.5,18900000000*(1.65331^(MIN($E1188,123)-117)))*1,0))</f>
        <v>338553621</v>
      </c>
      <c r="AG1188" s="4">
        <f>$E1188+27</f>
        <v>136</v>
      </c>
      <c r="AH1188" s="8">
        <f>IF($J1188=0,0,ROUND(MAX($J1188*1.4*1.5*1.6*1.6*2.2*2.715*2.6*1.4*1.4*1.5*1.5*3.2,60500000000*(1.654288^(MIN($E1188,123)-117)))*1,0))</f>
        <v>1078614909</v>
      </c>
    </row>
    <row r="1189" ht="27.75" customHeight="1" spans="1:34" x14ac:dyDescent="0.25">
      <c r="A1189" s="3">
        <v>1199</v>
      </c>
      <c r="B1189" s="3" t="s">
        <v>809</v>
      </c>
      <c r="C1189" s="3" t="s">
        <v>829</v>
      </c>
      <c r="D1189" s="3" t="s">
        <v>33</v>
      </c>
      <c r="E1189" s="3">
        <v>109</v>
      </c>
      <c r="F1189" s="3" t="s">
        <v>71</v>
      </c>
      <c r="G1189" s="3" t="s">
        <v>329</v>
      </c>
      <c r="H1189" s="3">
        <v>24</v>
      </c>
      <c r="I1189" s="4">
        <v>109</v>
      </c>
      <c r="J1189" s="5">
        <v>235000</v>
      </c>
      <c r="K1189" s="6">
        <f>$E1189+1</f>
        <v>110</v>
      </c>
      <c r="L1189" s="7">
        <f>IF($J1189=0,0,ROUND(MAX($J1189*1.4,1620000*(1.497923^(MIN($E1189,123)-117)))*1,0))</f>
        <v>329000</v>
      </c>
      <c r="M1189" s="4">
        <f>$E1189+2</f>
        <v>111</v>
      </c>
      <c r="N1189" s="8">
        <f>IF($J1189=0,0,ROUND(MAX($J1189*1.4*1.5,2190000*(1.580994^(MIN($E1189,123)-117)))*1,0))</f>
        <v>493500</v>
      </c>
      <c r="O1189" s="6">
        <f>$E1189+4</f>
        <v>113</v>
      </c>
      <c r="P1189" s="7">
        <f>IF($J1189=0,0,ROUND(MAX($J1189*1.4*1.5*1.6,3500000*(1.57975^(MIN($E1189,123)-117)))*1,0))</f>
        <v>789600</v>
      </c>
      <c r="Q1189" s="4">
        <f>$E1189+6</f>
        <v>115</v>
      </c>
      <c r="R1189" s="8">
        <f>IF($J1189=0,0,ROUND(MAX($J1189*1.4*1.5*1.6*1.6,13100000*(1.429962^(MIN($E1189,123)-117)))*1,0))</f>
        <v>1263360</v>
      </c>
      <c r="S1189" s="6">
        <f>$E1189+8</f>
        <v>117</v>
      </c>
      <c r="T1189" s="7">
        <f>IF($J1189=0,0,ROUND(MAX($J1189*1.4*1.5*1.6*1.6*2.2,42600000*(1.576904^(MIN($E1189,123)-117)))*1,0))</f>
        <v>2779392</v>
      </c>
      <c r="U1189" s="4">
        <f>$E1189+11</f>
        <v>120</v>
      </c>
      <c r="V1189" s="8">
        <f>IF($J1189=0,0,ROUND(MAX($J1189*1.4*1.5*1.6*1.6*2.2*2.715,354000000*(1.642074^(MIN($E1189,123)-117)))*1,0))</f>
        <v>7546049</v>
      </c>
      <c r="W1189" s="6">
        <f>$E1189+15</f>
        <v>124</v>
      </c>
      <c r="X1189" s="7">
        <f>IF($J1189=0,0,ROUND(MAX($J1189*1.4*1.5*1.6*1.6*2.2*2.715*2.6,3540000000*(1.579646^(MIN($E1189,123)-117)))*1,0))</f>
        <v>91311418</v>
      </c>
      <c r="Y1189" s="4">
        <f>$E1189+17</f>
        <v>126</v>
      </c>
      <c r="Z1189" s="8">
        <f>IF($J1189=0,0,ROUND(MAX($J1189*1.4*1.5*1.6*1.6*2.2*2.715*2.6*1.4,6020000000*(1.651178^(MIN($E1189,123)-117)))*1,0))</f>
        <v>108954543</v>
      </c>
      <c r="AA1189" s="6">
        <f>$E1189+19</f>
        <v>128</v>
      </c>
      <c r="AB1189" s="7">
        <f>IF($J1189=0,0,ROUND(MAX($J1189*1.4*1.5*1.6*1.6*2.2*2.715*2.6*1.4*1.4,8430000000*(1.651435^(MIN($E1189,123)-117)))*1,0))</f>
        <v>152382712</v>
      </c>
      <c r="AC1189" s="4">
        <f>$E1189+21</f>
        <v>130</v>
      </c>
      <c r="AD1189" s="8">
        <f>IF($J1189=0,0,ROUND(MAX($J1189*1.4*1.5*1.6*1.6*2.2*2.715*2.6*1.4*1.4*1.5,12600000000*(1.652953^(MIN($E1189,123)-117)))*1,0))</f>
        <v>226092682</v>
      </c>
      <c r="AE1189" s="6">
        <f>$E1189+24</f>
        <v>133</v>
      </c>
      <c r="AF1189" s="7">
        <f>IF($J1189=0,0,ROUND(MAX($J1189*1.4*1.5*1.6*1.6*2.2*2.715*2.6*1.4*1.4*1.5*1.5,18900000000*(1.65331^(MIN($E1189,123)-117)))*1,0))</f>
        <v>338553621</v>
      </c>
      <c r="AG1189" s="4">
        <f>$E1189+27</f>
        <v>136</v>
      </c>
      <c r="AH1189" s="8">
        <f>IF($J1189=0,0,ROUND(MAX($J1189*1.4*1.5*1.6*1.6*2.2*2.715*2.6*1.4*1.4*1.5*1.5*3.2,60500000000*(1.654288^(MIN($E1189,123)-117)))*1,0))</f>
        <v>1078614909</v>
      </c>
    </row>
    <row r="1190" ht="27.75" customHeight="1" spans="1:34" x14ac:dyDescent="0.25">
      <c r="A1190" s="3">
        <v>1200</v>
      </c>
      <c r="B1190" s="3" t="s">
        <v>882</v>
      </c>
      <c r="C1190" s="3" t="s">
        <v>829</v>
      </c>
      <c r="D1190" s="3" t="s">
        <v>33</v>
      </c>
      <c r="E1190" s="3">
        <v>109</v>
      </c>
      <c r="F1190" s="3" t="s">
        <v>42</v>
      </c>
      <c r="G1190" s="3" t="s">
        <v>883</v>
      </c>
      <c r="H1190" s="3">
        <v>24</v>
      </c>
      <c r="I1190" s="4">
        <v>109</v>
      </c>
      <c r="J1190" s="5">
        <v>57600</v>
      </c>
      <c r="K1190" s="6">
        <f>$E1190+1</f>
        <v>110</v>
      </c>
      <c r="L1190" s="7">
        <f>IF($J1190=0,0,ROUND(MAX($J1190*1.4,1620000*(1.497923^(MIN($E1190,123)-117)))*1,0))</f>
        <v>80640</v>
      </c>
      <c r="M1190" s="4">
        <f>$E1190+2</f>
        <v>111</v>
      </c>
      <c r="N1190" s="8">
        <f>IF($J1190=0,0,ROUND(MAX($J1190*1.4*1.5,2190000*(1.580994^(MIN($E1190,123)-117)))*1,0))</f>
        <v>120960</v>
      </c>
      <c r="O1190" s="6">
        <f>$E1190+4</f>
        <v>113</v>
      </c>
      <c r="P1190" s="7">
        <f>IF($J1190=0,0,ROUND(MAX($J1190*1.4*1.5*1.6,3500000*(1.57975^(MIN($E1190,123)-117)))*1,0))</f>
        <v>193536</v>
      </c>
      <c r="Q1190" s="4">
        <f>$E1190+6</f>
        <v>115</v>
      </c>
      <c r="R1190" s="8">
        <f>IF($J1190=0,0,ROUND(MAX($J1190*1.4*1.5*1.6*1.6,13100000*(1.429962^(MIN($E1190,123)-117)))*1,0))</f>
        <v>749334</v>
      </c>
      <c r="S1190" s="6">
        <f>$E1190+8</f>
        <v>117</v>
      </c>
      <c r="T1190" s="7">
        <f>IF($J1190=0,0,ROUND(MAX($J1190*1.4*1.5*1.6*1.6*2.2,42600000*(1.576904^(MIN($E1190,123)-117)))*1,0))</f>
        <v>1114211</v>
      </c>
      <c r="U1190" s="4">
        <f>$E1190+11</f>
        <v>120</v>
      </c>
      <c r="V1190" s="8">
        <f>IF($J1190=0,0,ROUND(MAX($J1190*1.4*1.5*1.6*1.6*2.2*2.715,354000000*(1.642074^(MIN($E1190,123)-117)))*1,0))</f>
        <v>6696710</v>
      </c>
      <c r="W1190" s="6">
        <f>$E1190+15</f>
        <v>124</v>
      </c>
      <c r="X1190" s="7">
        <f>IF($J1190=0,0,ROUND(MAX($J1190*1.4*1.5*1.6*1.6*2.2*2.715*2.6,3540000000*(1.579646^(MIN($E1190,123)-117)))*1,0))</f>
        <v>91311418</v>
      </c>
      <c r="Y1190" s="4">
        <f>$E1190+17</f>
        <v>126</v>
      </c>
      <c r="Z1190" s="8">
        <f>IF($J1190=0,0,ROUND(MAX($J1190*1.4*1.5*1.6*1.6*2.2*2.715*2.6*1.4,6020000000*(1.651178^(MIN($E1190,123)-117)))*1,0))</f>
        <v>108954543</v>
      </c>
      <c r="AA1190" s="6">
        <f>$E1190+19</f>
        <v>128</v>
      </c>
      <c r="AB1190" s="7">
        <f>IF($J1190=0,0,ROUND(MAX($J1190*1.4*1.5*1.6*1.6*2.2*2.715*2.6*1.4*1.4,8430000000*(1.651435^(MIN($E1190,123)-117)))*1,0))</f>
        <v>152382712</v>
      </c>
      <c r="AC1190" s="4">
        <f>$E1190+21</f>
        <v>130</v>
      </c>
      <c r="AD1190" s="8">
        <f>IF($J1190=0,0,ROUND(MAX($J1190*1.4*1.5*1.6*1.6*2.2*2.715*2.6*1.4*1.4*1.5,12600000000*(1.652953^(MIN($E1190,123)-117)))*1,0))</f>
        <v>226092682</v>
      </c>
      <c r="AE1190" s="6">
        <f>$E1190+24</f>
        <v>133</v>
      </c>
      <c r="AF1190" s="7">
        <f>IF($J1190=0,0,ROUND(MAX($J1190*1.4*1.5*1.6*1.6*2.2*2.715*2.6*1.4*1.4*1.5*1.5,18900000000*(1.65331^(MIN($E1190,123)-117)))*1,0))</f>
        <v>338553621</v>
      </c>
      <c r="AG1190" s="4">
        <f>$E1190+27</f>
        <v>136</v>
      </c>
      <c r="AH1190" s="8">
        <f>IF($J1190=0,0,ROUND(MAX($J1190*1.4*1.5*1.6*1.6*2.2*2.715*2.6*1.4*1.4*1.5*1.5*3.2,60500000000*(1.654288^(MIN($E1190,123)-117)))*1,0))</f>
        <v>1078614909</v>
      </c>
    </row>
    <row r="1191" ht="27.75" customHeight="1" spans="1:34" x14ac:dyDescent="0.25">
      <c r="A1191" s="3">
        <v>1201</v>
      </c>
      <c r="B1191" s="3" t="s">
        <v>316</v>
      </c>
      <c r="C1191" s="3" t="s">
        <v>829</v>
      </c>
      <c r="D1191" s="3" t="s">
        <v>75</v>
      </c>
      <c r="E1191" s="3">
        <v>109</v>
      </c>
      <c r="F1191" s="3" t="s">
        <v>30</v>
      </c>
      <c r="G1191" s="3" t="s">
        <v>261</v>
      </c>
      <c r="H1191" s="3">
        <v>23</v>
      </c>
      <c r="I1191" s="4">
        <v>109</v>
      </c>
      <c r="J1191" s="5">
        <v>60900</v>
      </c>
      <c r="K1191" s="6">
        <f>$E1191+1</f>
        <v>110</v>
      </c>
      <c r="L1191" s="7">
        <f>IF($J1191=0,0,ROUND(MAX($J1191*1.4,1620000*(1.497923^(MIN($E1191,123)-117)))*1,0))</f>
        <v>85260</v>
      </c>
      <c r="M1191" s="4">
        <f>$E1191+2</f>
        <v>111</v>
      </c>
      <c r="N1191" s="8">
        <f>IF($J1191=0,0,ROUND(MAX($J1191*1.4*1.5,2190000*(1.580994^(MIN($E1191,123)-117)))*1,0))</f>
        <v>127890</v>
      </c>
      <c r="O1191" s="6">
        <f>$E1191+4</f>
        <v>113</v>
      </c>
      <c r="P1191" s="7">
        <f>IF($J1191=0,0,ROUND(MAX($J1191*1.4*1.5*1.6,3500000*(1.57975^(MIN($E1191,123)-117)))*1,0))</f>
        <v>204624</v>
      </c>
      <c r="Q1191" s="4">
        <f>$E1191+6</f>
        <v>115</v>
      </c>
      <c r="R1191" s="8">
        <f>IF($J1191=0,0,ROUND(MAX($J1191*1.4*1.5*1.6*1.6,13100000*(1.429962^(MIN($E1191,123)-117)))*1,0))</f>
        <v>749334</v>
      </c>
      <c r="S1191" s="6">
        <f>$E1191+8</f>
        <v>117</v>
      </c>
      <c r="T1191" s="7">
        <f>IF($J1191=0,0,ROUND(MAX($J1191*1.4*1.5*1.6*1.6*2.2,42600000*(1.576904^(MIN($E1191,123)-117)))*1,0))</f>
        <v>1114211</v>
      </c>
      <c r="U1191" s="4">
        <f>$E1191+11</f>
        <v>120</v>
      </c>
      <c r="V1191" s="8">
        <f>IF($J1191=0,0,ROUND(MAX($J1191*1.4*1.5*1.6*1.6*2.2*2.715,354000000*(1.642074^(MIN($E1191,123)-117)))*1,0))</f>
        <v>6696710</v>
      </c>
      <c r="W1191" s="6">
        <f>$E1191+15</f>
        <v>124</v>
      </c>
      <c r="X1191" s="7">
        <f>IF($J1191=0,0,ROUND(MAX($J1191*1.4*1.5*1.6*1.6*2.2*2.715*2.6,3540000000*(1.579646^(MIN($E1191,123)-117)))*1,0))</f>
        <v>91311418</v>
      </c>
      <c r="Y1191" s="4">
        <f>$E1191+17</f>
        <v>126</v>
      </c>
      <c r="Z1191" s="8">
        <f>IF($J1191=0,0,ROUND(MAX($J1191*1.4*1.5*1.6*1.6*2.2*2.715*2.6*1.4,6020000000*(1.651178^(MIN($E1191,123)-117)))*1,0))</f>
        <v>108954543</v>
      </c>
      <c r="AA1191" s="6">
        <f>$E1191+19</f>
        <v>128</v>
      </c>
      <c r="AB1191" s="7">
        <f>IF($J1191=0,0,ROUND(MAX($J1191*1.4*1.5*1.6*1.6*2.2*2.715*2.6*1.4*1.4,8430000000*(1.651435^(MIN($E1191,123)-117)))*1,0))</f>
        <v>152382712</v>
      </c>
      <c r="AC1191" s="4">
        <f>$E1191+21</f>
        <v>130</v>
      </c>
      <c r="AD1191" s="8">
        <f>IF($J1191=0,0,ROUND(MAX($J1191*1.4*1.5*1.6*1.6*2.2*2.715*2.6*1.4*1.4*1.5,12600000000*(1.652953^(MIN($E1191,123)-117)))*1,0))</f>
        <v>226092682</v>
      </c>
      <c r="AE1191" s="6">
        <f>$E1191+24</f>
        <v>133</v>
      </c>
      <c r="AF1191" s="7">
        <f>IF($J1191=0,0,ROUND(MAX($J1191*1.4*1.5*1.6*1.6*2.2*2.715*2.6*1.4*1.4*1.5*1.5,18900000000*(1.65331^(MIN($E1191,123)-117)))*1,0))</f>
        <v>338553621</v>
      </c>
      <c r="AG1191" s="4">
        <f>$E1191+27</f>
        <v>136</v>
      </c>
      <c r="AH1191" s="8">
        <f>IF($J1191=0,0,ROUND(MAX($J1191*1.4*1.5*1.6*1.6*2.2*2.715*2.6*1.4*1.4*1.5*1.5*3.2,60500000000*(1.654288^(MIN($E1191,123)-117)))*1,0))</f>
        <v>1078614909</v>
      </c>
    </row>
    <row r="1192" ht="27.75" customHeight="1" spans="1:34" x14ac:dyDescent="0.25">
      <c r="A1192" s="3">
        <v>1202</v>
      </c>
      <c r="B1192" s="3" t="s">
        <v>884</v>
      </c>
      <c r="C1192" s="3" t="s">
        <v>829</v>
      </c>
      <c r="D1192" s="3" t="s">
        <v>75</v>
      </c>
      <c r="E1192" s="3">
        <v>109</v>
      </c>
      <c r="F1192" s="3" t="s">
        <v>42</v>
      </c>
      <c r="G1192" s="3" t="s">
        <v>862</v>
      </c>
      <c r="H1192" s="3">
        <v>23</v>
      </c>
      <c r="I1192" s="4">
        <v>109</v>
      </c>
      <c r="J1192" s="5">
        <v>67800</v>
      </c>
      <c r="K1192" s="6">
        <f>$E1192+1</f>
        <v>110</v>
      </c>
      <c r="L1192" s="7">
        <f>IF($J1192=0,0,ROUND(MAX($J1192*1.4,1620000*(1.497923^(MIN($E1192,123)-117)))*1,0))</f>
        <v>94920</v>
      </c>
      <c r="M1192" s="4">
        <f>$E1192+2</f>
        <v>111</v>
      </c>
      <c r="N1192" s="8">
        <f>IF($J1192=0,0,ROUND(MAX($J1192*1.4*1.5,2190000*(1.580994^(MIN($E1192,123)-117)))*1,0))</f>
        <v>142380</v>
      </c>
      <c r="O1192" s="6">
        <f>$E1192+4</f>
        <v>113</v>
      </c>
      <c r="P1192" s="7">
        <f>IF($J1192=0,0,ROUND(MAX($J1192*1.4*1.5*1.6,3500000*(1.57975^(MIN($E1192,123)-117)))*1,0))</f>
        <v>227808</v>
      </c>
      <c r="Q1192" s="4">
        <f>$E1192+6</f>
        <v>115</v>
      </c>
      <c r="R1192" s="8">
        <f>IF($J1192=0,0,ROUND(MAX($J1192*1.4*1.5*1.6*1.6,13100000*(1.429962^(MIN($E1192,123)-117)))*1,0))</f>
        <v>749334</v>
      </c>
      <c r="S1192" s="6">
        <f>$E1192+8</f>
        <v>117</v>
      </c>
      <c r="T1192" s="7">
        <f>IF($J1192=0,0,ROUND(MAX($J1192*1.4*1.5*1.6*1.6*2.2,42600000*(1.576904^(MIN($E1192,123)-117)))*1,0))</f>
        <v>1114211</v>
      </c>
      <c r="U1192" s="4">
        <f>$E1192+11</f>
        <v>120</v>
      </c>
      <c r="V1192" s="8">
        <f>IF($J1192=0,0,ROUND(MAX($J1192*1.4*1.5*1.6*1.6*2.2*2.715,354000000*(1.642074^(MIN($E1192,123)-117)))*1,0))</f>
        <v>6696710</v>
      </c>
      <c r="W1192" s="6">
        <f>$E1192+15</f>
        <v>124</v>
      </c>
      <c r="X1192" s="7">
        <f>IF($J1192=0,0,ROUND(MAX($J1192*1.4*1.5*1.6*1.6*2.2*2.715*2.6,3540000000*(1.579646^(MIN($E1192,123)-117)))*1,0))</f>
        <v>91311418</v>
      </c>
      <c r="Y1192" s="4">
        <f>$E1192+17</f>
        <v>126</v>
      </c>
      <c r="Z1192" s="8">
        <f>IF($J1192=0,0,ROUND(MAX($J1192*1.4*1.5*1.6*1.6*2.2*2.715*2.6*1.4,6020000000*(1.651178^(MIN($E1192,123)-117)))*1,0))</f>
        <v>108954543</v>
      </c>
      <c r="AA1192" s="6">
        <f>$E1192+19</f>
        <v>128</v>
      </c>
      <c r="AB1192" s="7">
        <f>IF($J1192=0,0,ROUND(MAX($J1192*1.4*1.5*1.6*1.6*2.2*2.715*2.6*1.4*1.4,8430000000*(1.651435^(MIN($E1192,123)-117)))*1,0))</f>
        <v>152382712</v>
      </c>
      <c r="AC1192" s="4">
        <f>$E1192+21</f>
        <v>130</v>
      </c>
      <c r="AD1192" s="8">
        <f>IF($J1192=0,0,ROUND(MAX($J1192*1.4*1.5*1.6*1.6*2.2*2.715*2.6*1.4*1.4*1.5,12600000000*(1.652953^(MIN($E1192,123)-117)))*1,0))</f>
        <v>226092682</v>
      </c>
      <c r="AE1192" s="6">
        <f>$E1192+24</f>
        <v>133</v>
      </c>
      <c r="AF1192" s="7">
        <f>IF($J1192=0,0,ROUND(MAX($J1192*1.4*1.5*1.6*1.6*2.2*2.715*2.6*1.4*1.4*1.5*1.5,18900000000*(1.65331^(MIN($E1192,123)-117)))*1,0))</f>
        <v>338553621</v>
      </c>
      <c r="AG1192" s="4">
        <f>$E1192+27</f>
        <v>136</v>
      </c>
      <c r="AH1192" s="8">
        <f>IF($J1192=0,0,ROUND(MAX($J1192*1.4*1.5*1.6*1.6*2.2*2.715*2.6*1.4*1.4*1.5*1.5*3.2,60500000000*(1.654288^(MIN($E1192,123)-117)))*1,0))</f>
        <v>1078614909</v>
      </c>
    </row>
    <row r="1193" ht="27.75" customHeight="1" spans="1:34" x14ac:dyDescent="0.25">
      <c r="A1193" s="3">
        <v>1203</v>
      </c>
      <c r="B1193" s="3" t="s">
        <v>885</v>
      </c>
      <c r="C1193" s="3" t="s">
        <v>829</v>
      </c>
      <c r="D1193" s="3" t="s">
        <v>47</v>
      </c>
      <c r="E1193" s="3">
        <v>109</v>
      </c>
      <c r="F1193" s="3" t="s">
        <v>116</v>
      </c>
      <c r="G1193" s="3" t="s">
        <v>57</v>
      </c>
      <c r="H1193" s="3">
        <v>22</v>
      </c>
      <c r="I1193" s="4">
        <v>109</v>
      </c>
      <c r="J1193" s="5">
        <v>206000</v>
      </c>
      <c r="K1193" s="6">
        <f>$E1193+1</f>
        <v>110</v>
      </c>
      <c r="L1193" s="7">
        <f>IF($J1193=0,0,ROUND(MAX($J1193*1.4,1620000*(1.497923^(MIN($E1193,123)-117)))*1,0))</f>
        <v>288400</v>
      </c>
      <c r="M1193" s="4">
        <f>$E1193+2</f>
        <v>111</v>
      </c>
      <c r="N1193" s="8">
        <f>IF($J1193=0,0,ROUND(MAX($J1193*1.4*1.5,2190000*(1.580994^(MIN($E1193,123)-117)))*1,0))</f>
        <v>432600</v>
      </c>
      <c r="O1193" s="6">
        <f>$E1193+4</f>
        <v>113</v>
      </c>
      <c r="P1193" s="7">
        <f>IF($J1193=0,0,ROUND(MAX($J1193*1.4*1.5*1.6,3500000*(1.57975^(MIN($E1193,123)-117)))*1,0))</f>
        <v>692160</v>
      </c>
      <c r="Q1193" s="4">
        <f>$E1193+6</f>
        <v>115</v>
      </c>
      <c r="R1193" s="8">
        <f>IF($J1193=0,0,ROUND(MAX($J1193*1.4*1.5*1.6*1.6,13100000*(1.429962^(MIN($E1193,123)-117)))*1,0))</f>
        <v>1107456</v>
      </c>
      <c r="S1193" s="6">
        <f>$E1193+8</f>
        <v>117</v>
      </c>
      <c r="T1193" s="7">
        <f>IF($J1193=0,0,ROUND(MAX($J1193*1.4*1.5*1.6*1.6*2.2,42600000*(1.576904^(MIN($E1193,123)-117)))*1,0))</f>
        <v>2436403</v>
      </c>
      <c r="U1193" s="4">
        <f>$E1193+11</f>
        <v>120</v>
      </c>
      <c r="V1193" s="8">
        <f>IF($J1193=0,0,ROUND(MAX($J1193*1.4*1.5*1.6*1.6*2.2*2.715,354000000*(1.642074^(MIN($E1193,123)-117)))*1,0))</f>
        <v>6696710</v>
      </c>
      <c r="W1193" s="6">
        <f>$E1193+15</f>
        <v>124</v>
      </c>
      <c r="X1193" s="7">
        <f>IF($J1193=0,0,ROUND(MAX($J1193*1.4*1.5*1.6*1.6*2.2*2.715*2.6,3540000000*(1.579646^(MIN($E1193,123)-117)))*1,0))</f>
        <v>91311418</v>
      </c>
      <c r="Y1193" s="4">
        <f>$E1193+17</f>
        <v>126</v>
      </c>
      <c r="Z1193" s="8">
        <f>IF($J1193=0,0,ROUND(MAX($J1193*1.4*1.5*1.6*1.6*2.2*2.715*2.6*1.4,6020000000*(1.651178^(MIN($E1193,123)-117)))*1,0))</f>
        <v>108954543</v>
      </c>
      <c r="AA1193" s="6">
        <f>$E1193+19</f>
        <v>128</v>
      </c>
      <c r="AB1193" s="7">
        <f>IF($J1193=0,0,ROUND(MAX($J1193*1.4*1.5*1.6*1.6*2.2*2.715*2.6*1.4*1.4,8430000000*(1.651435^(MIN($E1193,123)-117)))*1,0))</f>
        <v>152382712</v>
      </c>
      <c r="AC1193" s="4">
        <f>$E1193+21</f>
        <v>130</v>
      </c>
      <c r="AD1193" s="8">
        <f>IF($J1193=0,0,ROUND(MAX($J1193*1.4*1.5*1.6*1.6*2.2*2.715*2.6*1.4*1.4*1.5,12600000000*(1.652953^(MIN($E1193,123)-117)))*1,0))</f>
        <v>226092682</v>
      </c>
      <c r="AE1193" s="6">
        <f>$E1193+24</f>
        <v>133</v>
      </c>
      <c r="AF1193" s="7">
        <f>IF($J1193=0,0,ROUND(MAX($J1193*1.4*1.5*1.6*1.6*2.2*2.715*2.6*1.4*1.4*1.5*1.5,18900000000*(1.65331^(MIN($E1193,123)-117)))*1,0))</f>
        <v>338553621</v>
      </c>
      <c r="AG1193" s="4">
        <f>$E1193+27</f>
        <v>136</v>
      </c>
      <c r="AH1193" s="8">
        <f>IF($J1193=0,0,ROUND(MAX($J1193*1.4*1.5*1.6*1.6*2.2*2.715*2.6*1.4*1.4*1.5*1.5*3.2,60500000000*(1.654288^(MIN($E1193,123)-117)))*1,0))</f>
        <v>1078614909</v>
      </c>
    </row>
    <row r="1194" ht="27.75" customHeight="1" spans="1:34" x14ac:dyDescent="0.25">
      <c r="A1194" s="3">
        <v>1204</v>
      </c>
      <c r="B1194" s="3" t="s">
        <v>886</v>
      </c>
      <c r="C1194" s="3" t="s">
        <v>829</v>
      </c>
      <c r="D1194" s="3" t="s">
        <v>47</v>
      </c>
      <c r="E1194" s="3">
        <v>109</v>
      </c>
      <c r="F1194" s="3" t="s">
        <v>298</v>
      </c>
      <c r="G1194" s="3" t="s">
        <v>887</v>
      </c>
      <c r="H1194" s="3">
        <v>22</v>
      </c>
      <c r="I1194" s="4">
        <v>109</v>
      </c>
      <c r="J1194" s="5">
        <v>70600</v>
      </c>
      <c r="K1194" s="6">
        <f>$E1194+1</f>
        <v>110</v>
      </c>
      <c r="L1194" s="7">
        <f>IF($J1194=0,0,ROUND(MAX($J1194*1.4,1620000*(1.497923^(MIN($E1194,123)-117)))*1,0))</f>
        <v>98840</v>
      </c>
      <c r="M1194" s="4">
        <f>$E1194+2</f>
        <v>111</v>
      </c>
      <c r="N1194" s="8">
        <f>IF($J1194=0,0,ROUND(MAX($J1194*1.4*1.5,2190000*(1.580994^(MIN($E1194,123)-117)))*1,0))</f>
        <v>148260</v>
      </c>
      <c r="O1194" s="6">
        <f>$E1194+4</f>
        <v>113</v>
      </c>
      <c r="P1194" s="7">
        <f>IF($J1194=0,0,ROUND(MAX($J1194*1.4*1.5*1.6,3500000*(1.57975^(MIN($E1194,123)-117)))*1,0))</f>
        <v>237216</v>
      </c>
      <c r="Q1194" s="4">
        <f>$E1194+6</f>
        <v>115</v>
      </c>
      <c r="R1194" s="8">
        <f>IF($J1194=0,0,ROUND(MAX($J1194*1.4*1.5*1.6*1.6,13100000*(1.429962^(MIN($E1194,123)-117)))*1,0))</f>
        <v>749334</v>
      </c>
      <c r="S1194" s="6">
        <f>$E1194+8</f>
        <v>117</v>
      </c>
      <c r="T1194" s="7">
        <f>IF($J1194=0,0,ROUND(MAX($J1194*1.4*1.5*1.6*1.6*2.2,42600000*(1.576904^(MIN($E1194,123)-117)))*1,0))</f>
        <v>1114211</v>
      </c>
      <c r="U1194" s="4">
        <f>$E1194+11</f>
        <v>120</v>
      </c>
      <c r="V1194" s="8">
        <f>IF($J1194=0,0,ROUND(MAX($J1194*1.4*1.5*1.6*1.6*2.2*2.715,354000000*(1.642074^(MIN($E1194,123)-117)))*1,0))</f>
        <v>6696710</v>
      </c>
      <c r="W1194" s="6">
        <f>$E1194+15</f>
        <v>124</v>
      </c>
      <c r="X1194" s="7">
        <f>IF($J1194=0,0,ROUND(MAX($J1194*1.4*1.5*1.6*1.6*2.2*2.715*2.6,3540000000*(1.579646^(MIN($E1194,123)-117)))*1,0))</f>
        <v>91311418</v>
      </c>
      <c r="Y1194" s="4">
        <f>$E1194+17</f>
        <v>126</v>
      </c>
      <c r="Z1194" s="8">
        <f>IF($J1194=0,0,ROUND(MAX($J1194*1.4*1.5*1.6*1.6*2.2*2.715*2.6*1.4,6020000000*(1.651178^(MIN($E1194,123)-117)))*1,0))</f>
        <v>108954543</v>
      </c>
      <c r="AA1194" s="6">
        <f>$E1194+19</f>
        <v>128</v>
      </c>
      <c r="AB1194" s="7">
        <f>IF($J1194=0,0,ROUND(MAX($J1194*1.4*1.5*1.6*1.6*2.2*2.715*2.6*1.4*1.4,8430000000*(1.651435^(MIN($E1194,123)-117)))*1,0))</f>
        <v>152382712</v>
      </c>
      <c r="AC1194" s="4">
        <f>$E1194+21</f>
        <v>130</v>
      </c>
      <c r="AD1194" s="8">
        <f>IF($J1194=0,0,ROUND(MAX($J1194*1.4*1.5*1.6*1.6*2.2*2.715*2.6*1.4*1.4*1.5,12600000000*(1.652953^(MIN($E1194,123)-117)))*1,0))</f>
        <v>226092682</v>
      </c>
      <c r="AE1194" s="6">
        <f>$E1194+24</f>
        <v>133</v>
      </c>
      <c r="AF1194" s="7">
        <f>IF($J1194=0,0,ROUND(MAX($J1194*1.4*1.5*1.6*1.6*2.2*2.715*2.6*1.4*1.4*1.5*1.5,18900000000*(1.65331^(MIN($E1194,123)-117)))*1,0))</f>
        <v>338553621</v>
      </c>
      <c r="AG1194" s="4">
        <f>$E1194+27</f>
        <v>136</v>
      </c>
      <c r="AH1194" s="8">
        <f>IF($J1194=0,0,ROUND(MAX($J1194*1.4*1.5*1.6*1.6*2.2*2.715*2.6*1.4*1.4*1.5*1.5*3.2,60500000000*(1.654288^(MIN($E1194,123)-117)))*1,0))</f>
        <v>1078614909</v>
      </c>
    </row>
    <row r="1195" ht="27.75" customHeight="1" spans="1:34" x14ac:dyDescent="0.25">
      <c r="A1195" s="3">
        <v>1205</v>
      </c>
      <c r="B1195" s="3" t="s">
        <v>888</v>
      </c>
      <c r="C1195" s="3" t="s">
        <v>829</v>
      </c>
      <c r="D1195" s="3" t="s">
        <v>47</v>
      </c>
      <c r="E1195" s="3">
        <v>109</v>
      </c>
      <c r="F1195" s="3" t="s">
        <v>54</v>
      </c>
      <c r="G1195" s="3" t="s">
        <v>381</v>
      </c>
      <c r="H1195" s="3">
        <v>21</v>
      </c>
      <c r="I1195" s="4">
        <v>109</v>
      </c>
      <c r="J1195" s="5">
        <v>206000</v>
      </c>
      <c r="K1195" s="6">
        <f>$E1195+1</f>
        <v>110</v>
      </c>
      <c r="L1195" s="7">
        <f>IF($J1195=0,0,ROUND(MAX($J1195*1.4,1620000*(1.497923^(MIN($E1195,123)-117)))*1,0))</f>
        <v>288400</v>
      </c>
      <c r="M1195" s="4">
        <f>$E1195+2</f>
        <v>111</v>
      </c>
      <c r="N1195" s="8">
        <f>IF($J1195=0,0,ROUND(MAX($J1195*1.4*1.5,2190000*(1.580994^(MIN($E1195,123)-117)))*1,0))</f>
        <v>432600</v>
      </c>
      <c r="O1195" s="6">
        <f>$E1195+4</f>
        <v>113</v>
      </c>
      <c r="P1195" s="7">
        <f>IF($J1195=0,0,ROUND(MAX($J1195*1.4*1.5*1.6,3500000*(1.57975^(MIN($E1195,123)-117)))*1,0))</f>
        <v>692160</v>
      </c>
      <c r="Q1195" s="4">
        <f>$E1195+6</f>
        <v>115</v>
      </c>
      <c r="R1195" s="8">
        <f>IF($J1195=0,0,ROUND(MAX($J1195*1.4*1.5*1.6*1.6,13100000*(1.429962^(MIN($E1195,123)-117)))*1,0))</f>
        <v>1107456</v>
      </c>
      <c r="S1195" s="6">
        <f>$E1195+8</f>
        <v>117</v>
      </c>
      <c r="T1195" s="7">
        <f>IF($J1195=0,0,ROUND(MAX($J1195*1.4*1.5*1.6*1.6*2.2,42600000*(1.576904^(MIN($E1195,123)-117)))*1,0))</f>
        <v>2436403</v>
      </c>
      <c r="U1195" s="4">
        <f>$E1195+11</f>
        <v>120</v>
      </c>
      <c r="V1195" s="8">
        <f>IF($J1195=0,0,ROUND(MAX($J1195*1.4*1.5*1.6*1.6*2.2*2.715,354000000*(1.642074^(MIN($E1195,123)-117)))*1,0))</f>
        <v>6696710</v>
      </c>
      <c r="W1195" s="6">
        <f>$E1195+15</f>
        <v>124</v>
      </c>
      <c r="X1195" s="7">
        <f>IF($J1195=0,0,ROUND(MAX($J1195*1.4*1.5*1.6*1.6*2.2*2.715*2.6,3540000000*(1.579646^(MIN($E1195,123)-117)))*1,0))</f>
        <v>91311418</v>
      </c>
      <c r="Y1195" s="4">
        <f>$E1195+17</f>
        <v>126</v>
      </c>
      <c r="Z1195" s="8">
        <f>IF($J1195=0,0,ROUND(MAX($J1195*1.4*1.5*1.6*1.6*2.2*2.715*2.6*1.4,6020000000*(1.651178^(MIN($E1195,123)-117)))*1,0))</f>
        <v>108954543</v>
      </c>
      <c r="AA1195" s="6">
        <f>$E1195+19</f>
        <v>128</v>
      </c>
      <c r="AB1195" s="7">
        <f>IF($J1195=0,0,ROUND(MAX($J1195*1.4*1.5*1.6*1.6*2.2*2.715*2.6*1.4*1.4,8430000000*(1.651435^(MIN($E1195,123)-117)))*1,0))</f>
        <v>152382712</v>
      </c>
      <c r="AC1195" s="4">
        <f>$E1195+21</f>
        <v>130</v>
      </c>
      <c r="AD1195" s="8">
        <f>IF($J1195=0,0,ROUND(MAX($J1195*1.4*1.5*1.6*1.6*2.2*2.715*2.6*1.4*1.4*1.5,12600000000*(1.652953^(MIN($E1195,123)-117)))*1,0))</f>
        <v>226092682</v>
      </c>
      <c r="AE1195" s="6">
        <f>$E1195+24</f>
        <v>133</v>
      </c>
      <c r="AF1195" s="7">
        <f>IF($J1195=0,0,ROUND(MAX($J1195*1.4*1.5*1.6*1.6*2.2*2.715*2.6*1.4*1.4*1.5*1.5,18900000000*(1.65331^(MIN($E1195,123)-117)))*1,0))</f>
        <v>338553621</v>
      </c>
      <c r="AG1195" s="4">
        <f>$E1195+27</f>
        <v>136</v>
      </c>
      <c r="AH1195" s="8">
        <f>IF($J1195=0,0,ROUND(MAX($J1195*1.4*1.5*1.6*1.6*2.2*2.715*2.6*1.4*1.4*1.5*1.5*3.2,60500000000*(1.654288^(MIN($E1195,123)-117)))*1,0))</f>
        <v>1078614909</v>
      </c>
    </row>
    <row r="1196" ht="27.75" customHeight="1" spans="1:34" x14ac:dyDescent="0.25">
      <c r="A1196" s="3">
        <v>1206</v>
      </c>
      <c r="B1196" s="3" t="s">
        <v>889</v>
      </c>
      <c r="C1196" s="3" t="s">
        <v>829</v>
      </c>
      <c r="D1196" s="3" t="s">
        <v>47</v>
      </c>
      <c r="E1196" s="3">
        <v>109</v>
      </c>
      <c r="F1196" s="3" t="s">
        <v>42</v>
      </c>
      <c r="G1196" s="3" t="s">
        <v>414</v>
      </c>
      <c r="H1196" s="3">
        <v>21</v>
      </c>
      <c r="I1196" s="4">
        <v>109</v>
      </c>
      <c r="J1196" s="5">
        <v>55100</v>
      </c>
      <c r="K1196" s="6">
        <f>$E1196+1</f>
        <v>110</v>
      </c>
      <c r="L1196" s="7">
        <f>IF($J1196=0,0,ROUND(MAX($J1196*1.4,1620000*(1.497923^(MIN($E1196,123)-117)))*1,0))</f>
        <v>77140</v>
      </c>
      <c r="M1196" s="4">
        <f>$E1196+2</f>
        <v>111</v>
      </c>
      <c r="N1196" s="8">
        <f>IF($J1196=0,0,ROUND(MAX($J1196*1.4*1.5,2190000*(1.580994^(MIN($E1196,123)-117)))*1,0))</f>
        <v>115710</v>
      </c>
      <c r="O1196" s="6">
        <f>$E1196+4</f>
        <v>113</v>
      </c>
      <c r="P1196" s="7">
        <f>IF($J1196=0,0,ROUND(MAX($J1196*1.4*1.5*1.6,3500000*(1.57975^(MIN($E1196,123)-117)))*1,0))</f>
        <v>185136</v>
      </c>
      <c r="Q1196" s="4">
        <f>$E1196+6</f>
        <v>115</v>
      </c>
      <c r="R1196" s="8">
        <f>IF($J1196=0,0,ROUND(MAX($J1196*1.4*1.5*1.6*1.6,13100000*(1.429962^(MIN($E1196,123)-117)))*1,0))</f>
        <v>749334</v>
      </c>
      <c r="S1196" s="6">
        <f>$E1196+8</f>
        <v>117</v>
      </c>
      <c r="T1196" s="7">
        <f>IF($J1196=0,0,ROUND(MAX($J1196*1.4*1.5*1.6*1.6*2.2,42600000*(1.576904^(MIN($E1196,123)-117)))*1,0))</f>
        <v>1114211</v>
      </c>
      <c r="U1196" s="4">
        <f>$E1196+11</f>
        <v>120</v>
      </c>
      <c r="V1196" s="8">
        <f>IF($J1196=0,0,ROUND(MAX($J1196*1.4*1.5*1.6*1.6*2.2*2.715,354000000*(1.642074^(MIN($E1196,123)-117)))*1,0))</f>
        <v>6696710</v>
      </c>
      <c r="W1196" s="6">
        <f>$E1196+15</f>
        <v>124</v>
      </c>
      <c r="X1196" s="7">
        <f>IF($J1196=0,0,ROUND(MAX($J1196*1.4*1.5*1.6*1.6*2.2*2.715*2.6,3540000000*(1.579646^(MIN($E1196,123)-117)))*1,0))</f>
        <v>91311418</v>
      </c>
      <c r="Y1196" s="4">
        <f>$E1196+17</f>
        <v>126</v>
      </c>
      <c r="Z1196" s="8">
        <f>IF($J1196=0,0,ROUND(MAX($J1196*1.4*1.5*1.6*1.6*2.2*2.715*2.6*1.4,6020000000*(1.651178^(MIN($E1196,123)-117)))*1,0))</f>
        <v>108954543</v>
      </c>
      <c r="AA1196" s="6">
        <f>$E1196+19</f>
        <v>128</v>
      </c>
      <c r="AB1196" s="7">
        <f>IF($J1196=0,0,ROUND(MAX($J1196*1.4*1.5*1.6*1.6*2.2*2.715*2.6*1.4*1.4,8430000000*(1.651435^(MIN($E1196,123)-117)))*1,0))</f>
        <v>152382712</v>
      </c>
      <c r="AC1196" s="4">
        <f>$E1196+21</f>
        <v>130</v>
      </c>
      <c r="AD1196" s="8">
        <f>IF($J1196=0,0,ROUND(MAX($J1196*1.4*1.5*1.6*1.6*2.2*2.715*2.6*1.4*1.4*1.5,12600000000*(1.652953^(MIN($E1196,123)-117)))*1,0))</f>
        <v>226092682</v>
      </c>
      <c r="AE1196" s="6">
        <f>$E1196+24</f>
        <v>133</v>
      </c>
      <c r="AF1196" s="7">
        <f>IF($J1196=0,0,ROUND(MAX($J1196*1.4*1.5*1.6*1.6*2.2*2.715*2.6*1.4*1.4*1.5*1.5,18900000000*(1.65331^(MIN($E1196,123)-117)))*1,0))</f>
        <v>338553621</v>
      </c>
      <c r="AG1196" s="4">
        <f>$E1196+27</f>
        <v>136</v>
      </c>
      <c r="AH1196" s="8">
        <f>IF($J1196=0,0,ROUND(MAX($J1196*1.4*1.5*1.6*1.6*2.2*2.715*2.6*1.4*1.4*1.5*1.5*3.2,60500000000*(1.654288^(MIN($E1196,123)-117)))*1,0))</f>
        <v>1078614909</v>
      </c>
    </row>
    <row r="1197" ht="27.75" customHeight="1" spans="1:34" x14ac:dyDescent="0.25">
      <c r="A1197" s="3">
        <v>1207</v>
      </c>
      <c r="B1197" s="3" t="s">
        <v>890</v>
      </c>
      <c r="C1197" s="3" t="s">
        <v>829</v>
      </c>
      <c r="D1197" s="3" t="s">
        <v>40</v>
      </c>
      <c r="E1197" s="3">
        <v>108</v>
      </c>
      <c r="F1197" s="3" t="s">
        <v>383</v>
      </c>
      <c r="G1197" s="3" t="s">
        <v>891</v>
      </c>
      <c r="H1197" s="3">
        <v>25</v>
      </c>
      <c r="I1197" s="4">
        <v>108</v>
      </c>
      <c r="J1197" s="5">
        <v>103000</v>
      </c>
      <c r="K1197" s="6">
        <f>$E1197+1</f>
        <v>109</v>
      </c>
      <c r="L1197" s="7">
        <f>IF($J1197=0,0,ROUND(MAX($J1197*1.4,1620000*(1.497923^(MIN($E1197,123)-117)))*1,0))</f>
        <v>144200</v>
      </c>
      <c r="M1197" s="4">
        <f>$E1197+2</f>
        <v>110</v>
      </c>
      <c r="N1197" s="8">
        <f>IF($J1197=0,0,ROUND(MAX($J1197*1.4*1.5,2190000*(1.580994^(MIN($E1197,123)-117)))*1,0))</f>
        <v>216300</v>
      </c>
      <c r="O1197" s="6">
        <f>$E1197+4</f>
        <v>112</v>
      </c>
      <c r="P1197" s="7">
        <f>IF($J1197=0,0,ROUND(MAX($J1197*1.4*1.5*1.6,3500000*(1.57975^(MIN($E1197,123)-117)))*1,0))</f>
        <v>346080</v>
      </c>
      <c r="Q1197" s="4">
        <f>$E1197+6</f>
        <v>114</v>
      </c>
      <c r="R1197" s="8">
        <f>IF($J1197=0,0,ROUND(MAX($J1197*1.4*1.5*1.6*1.6,13100000*(1.429962^(MIN($E1197,123)-117)))*1,0))</f>
        <v>553728</v>
      </c>
      <c r="S1197" s="6">
        <f>$E1197+8</f>
        <v>116</v>
      </c>
      <c r="T1197" s="7">
        <f>IF($J1197=0,0,ROUND(MAX($J1197*1.4*1.5*1.6*1.6*2.2,42600000*(1.576904^(MIN($E1197,123)-117)))*1,0))</f>
        <v>1218202</v>
      </c>
      <c r="U1197" s="4">
        <f>$E1197+11</f>
        <v>119</v>
      </c>
      <c r="V1197" s="8">
        <f>IF($J1197=0,0,ROUND(MAX($J1197*1.4*1.5*1.6*1.6*2.2*2.715,354000000*(1.642074^(MIN($E1197,123)-117)))*1,0))</f>
        <v>4078202</v>
      </c>
      <c r="W1197" s="6">
        <f>$E1197+15</f>
        <v>123</v>
      </c>
      <c r="X1197" s="7">
        <f>IF($J1197=0,0,ROUND(MAX($J1197*1.4*1.5*1.6*1.6*2.2*2.715*2.6,3540000000*(1.579646^(MIN($E1197,123)-117)))*1,0))</f>
        <v>57804988</v>
      </c>
      <c r="Y1197" s="4">
        <f>$E1197+17</f>
        <v>125</v>
      </c>
      <c r="Z1197" s="8">
        <f>IF($J1197=0,0,ROUND(MAX($J1197*1.4*1.5*1.6*1.6*2.2*2.715*2.6*1.4,6020000000*(1.651178^(MIN($E1197,123)-117)))*1,0))</f>
        <v>65985946</v>
      </c>
      <c r="AA1197" s="6">
        <f>$E1197+19</f>
        <v>127</v>
      </c>
      <c r="AB1197" s="7">
        <f>IF($J1197=0,0,ROUND(MAX($J1197*1.4*1.5*1.6*1.6*2.2*2.715*2.6*1.4*1.4,8430000000*(1.651435^(MIN($E1197,123)-117)))*1,0))</f>
        <v>92272909</v>
      </c>
      <c r="AC1197" s="4">
        <f>$E1197+21</f>
        <v>129</v>
      </c>
      <c r="AD1197" s="8">
        <f>IF($J1197=0,0,ROUND(MAX($J1197*1.4*1.5*1.6*1.6*2.2*2.715*2.6*1.4*1.4*1.5,12600000000*(1.652953^(MIN($E1197,123)-117)))*1,0))</f>
        <v>136781071</v>
      </c>
      <c r="AE1197" s="6">
        <f>$E1197+24</f>
        <v>132</v>
      </c>
      <c r="AF1197" s="7">
        <f>IF($J1197=0,0,ROUND(MAX($J1197*1.4*1.5*1.6*1.6*2.2*2.715*2.6*1.4*1.4*1.5*1.5,18900000000*(1.65331^(MIN($E1197,123)-117)))*1,0))</f>
        <v>204773225</v>
      </c>
      <c r="AG1197" s="4">
        <f>$E1197+27</f>
        <v>135</v>
      </c>
      <c r="AH1197" s="8">
        <f>IF($J1197=0,0,ROUND(MAX($J1197*1.4*1.5*1.6*1.6*2.2*2.715*2.6*1.4*1.4*1.5*1.5*3.2,60500000000*(1.654288^(MIN($E1197,123)-117)))*1,0))</f>
        <v>652011566</v>
      </c>
    </row>
    <row r="1198" ht="27.75" customHeight="1" spans="1:34" x14ac:dyDescent="0.25">
      <c r="A1198" s="3">
        <v>1208</v>
      </c>
      <c r="B1198" s="3" t="s">
        <v>607</v>
      </c>
      <c r="C1198" s="3" t="s">
        <v>829</v>
      </c>
      <c r="D1198" s="3" t="s">
        <v>33</v>
      </c>
      <c r="E1198" s="3">
        <v>108</v>
      </c>
      <c r="F1198" s="3" t="s">
        <v>71</v>
      </c>
      <c r="G1198" s="3" t="s">
        <v>358</v>
      </c>
      <c r="H1198" s="3">
        <v>25</v>
      </c>
      <c r="I1198" s="4">
        <v>108</v>
      </c>
      <c r="J1198" s="5">
        <v>58400</v>
      </c>
      <c r="K1198" s="6">
        <f>$E1198+1</f>
        <v>109</v>
      </c>
      <c r="L1198" s="7">
        <f>IF($J1198=0,0,ROUND(MAX($J1198*1.4,1620000*(1.497923^(MIN($E1198,123)-117)))*1,0))</f>
        <v>81760</v>
      </c>
      <c r="M1198" s="4">
        <f>$E1198+2</f>
        <v>110</v>
      </c>
      <c r="N1198" s="8">
        <f>IF($J1198=0,0,ROUND(MAX($J1198*1.4*1.5,2190000*(1.580994^(MIN($E1198,123)-117)))*1,0))</f>
        <v>122640</v>
      </c>
      <c r="O1198" s="6">
        <f>$E1198+4</f>
        <v>112</v>
      </c>
      <c r="P1198" s="7">
        <f>IF($J1198=0,0,ROUND(MAX($J1198*1.4*1.5*1.6,3500000*(1.57975^(MIN($E1198,123)-117)))*1,0))</f>
        <v>196224</v>
      </c>
      <c r="Q1198" s="4">
        <f>$E1198+6</f>
        <v>114</v>
      </c>
      <c r="R1198" s="8">
        <f>IF($J1198=0,0,ROUND(MAX($J1198*1.4*1.5*1.6*1.6,13100000*(1.429962^(MIN($E1198,123)-117)))*1,0))</f>
        <v>524024</v>
      </c>
      <c r="S1198" s="6">
        <f>$E1198+8</f>
        <v>116</v>
      </c>
      <c r="T1198" s="7">
        <f>IF($J1198=0,0,ROUND(MAX($J1198*1.4*1.5*1.6*1.6*2.2,42600000*(1.576904^(MIN($E1198,123)-117)))*1,0))</f>
        <v>706582</v>
      </c>
      <c r="U1198" s="4">
        <f>$E1198+11</f>
        <v>119</v>
      </c>
      <c r="V1198" s="8">
        <f>IF($J1198=0,0,ROUND(MAX($J1198*1.4*1.5*1.6*1.6*2.2*2.715,354000000*(1.642074^(MIN($E1198,123)-117)))*1,0))</f>
        <v>4078202</v>
      </c>
      <c r="W1198" s="6">
        <f>$E1198+15</f>
        <v>123</v>
      </c>
      <c r="X1198" s="7">
        <f>IF($J1198=0,0,ROUND(MAX($J1198*1.4*1.5*1.6*1.6*2.2*2.715*2.6,3540000000*(1.579646^(MIN($E1198,123)-117)))*1,0))</f>
        <v>57804988</v>
      </c>
      <c r="Y1198" s="4">
        <f>$E1198+17</f>
        <v>125</v>
      </c>
      <c r="Z1198" s="8">
        <f>IF($J1198=0,0,ROUND(MAX($J1198*1.4*1.5*1.6*1.6*2.2*2.715*2.6*1.4,6020000000*(1.651178^(MIN($E1198,123)-117)))*1,0))</f>
        <v>65985946</v>
      </c>
      <c r="AA1198" s="6">
        <f>$E1198+19</f>
        <v>127</v>
      </c>
      <c r="AB1198" s="7">
        <f>IF($J1198=0,0,ROUND(MAX($J1198*1.4*1.5*1.6*1.6*2.2*2.715*2.6*1.4*1.4,8430000000*(1.651435^(MIN($E1198,123)-117)))*1,0))</f>
        <v>92272909</v>
      </c>
      <c r="AC1198" s="4">
        <f>$E1198+21</f>
        <v>129</v>
      </c>
      <c r="AD1198" s="8">
        <f>IF($J1198=0,0,ROUND(MAX($J1198*1.4*1.5*1.6*1.6*2.2*2.715*2.6*1.4*1.4*1.5,12600000000*(1.652953^(MIN($E1198,123)-117)))*1,0))</f>
        <v>136781071</v>
      </c>
      <c r="AE1198" s="6">
        <f>$E1198+24</f>
        <v>132</v>
      </c>
      <c r="AF1198" s="7">
        <f>IF($J1198=0,0,ROUND(MAX($J1198*1.4*1.5*1.6*1.6*2.2*2.715*2.6*1.4*1.4*1.5*1.5,18900000000*(1.65331^(MIN($E1198,123)-117)))*1,0))</f>
        <v>204773225</v>
      </c>
      <c r="AG1198" s="4">
        <f>$E1198+27</f>
        <v>135</v>
      </c>
      <c r="AH1198" s="8">
        <f>IF($J1198=0,0,ROUND(MAX($J1198*1.4*1.5*1.6*1.6*2.2*2.715*2.6*1.4*1.4*1.5*1.5*3.2,60500000000*(1.654288^(MIN($E1198,123)-117)))*1,0))</f>
        <v>652011566</v>
      </c>
    </row>
    <row r="1199" ht="27.75" customHeight="1" spans="1:34" x14ac:dyDescent="0.25">
      <c r="A1199" s="3">
        <v>1209</v>
      </c>
      <c r="B1199" s="3" t="s">
        <v>892</v>
      </c>
      <c r="C1199" s="3" t="s">
        <v>829</v>
      </c>
      <c r="D1199" s="3" t="s">
        <v>33</v>
      </c>
      <c r="E1199" s="3">
        <v>108</v>
      </c>
      <c r="F1199" s="3" t="s">
        <v>42</v>
      </c>
      <c r="G1199" s="3" t="s">
        <v>242</v>
      </c>
      <c r="H1199" s="3">
        <v>25</v>
      </c>
      <c r="I1199" s="4">
        <v>108</v>
      </c>
      <c r="J1199" s="5">
        <v>48700</v>
      </c>
      <c r="K1199" s="6">
        <f>$E1199+1</f>
        <v>109</v>
      </c>
      <c r="L1199" s="7">
        <f>IF($J1199=0,0,ROUND(MAX($J1199*1.4,1620000*(1.497923^(MIN($E1199,123)-117)))*1,0))</f>
        <v>68180</v>
      </c>
      <c r="M1199" s="4">
        <f>$E1199+2</f>
        <v>110</v>
      </c>
      <c r="N1199" s="8">
        <f>IF($J1199=0,0,ROUND(MAX($J1199*1.4*1.5,2190000*(1.580994^(MIN($E1199,123)-117)))*1,0))</f>
        <v>102270</v>
      </c>
      <c r="O1199" s="6">
        <f>$E1199+4</f>
        <v>112</v>
      </c>
      <c r="P1199" s="7">
        <f>IF($J1199=0,0,ROUND(MAX($J1199*1.4*1.5*1.6,3500000*(1.57975^(MIN($E1199,123)-117)))*1,0))</f>
        <v>163632</v>
      </c>
      <c r="Q1199" s="4">
        <f>$E1199+6</f>
        <v>114</v>
      </c>
      <c r="R1199" s="8">
        <f>IF($J1199=0,0,ROUND(MAX($J1199*1.4*1.5*1.6*1.6,13100000*(1.429962^(MIN($E1199,123)-117)))*1,0))</f>
        <v>524024</v>
      </c>
      <c r="S1199" s="6">
        <f>$E1199+8</f>
        <v>116</v>
      </c>
      <c r="T1199" s="7">
        <f>IF($J1199=0,0,ROUND(MAX($J1199*1.4*1.5*1.6*1.6*2.2,42600000*(1.576904^(MIN($E1199,123)-117)))*1,0))</f>
        <v>706582</v>
      </c>
      <c r="U1199" s="4">
        <f>$E1199+11</f>
        <v>119</v>
      </c>
      <c r="V1199" s="8">
        <f>IF($J1199=0,0,ROUND(MAX($J1199*1.4*1.5*1.6*1.6*2.2*2.715,354000000*(1.642074^(MIN($E1199,123)-117)))*1,0))</f>
        <v>4078202</v>
      </c>
      <c r="W1199" s="6">
        <f>$E1199+15</f>
        <v>123</v>
      </c>
      <c r="X1199" s="7">
        <f>IF($J1199=0,0,ROUND(MAX($J1199*1.4*1.5*1.6*1.6*2.2*2.715*2.6,3540000000*(1.579646^(MIN($E1199,123)-117)))*1,0))</f>
        <v>57804988</v>
      </c>
      <c r="Y1199" s="4">
        <f>$E1199+17</f>
        <v>125</v>
      </c>
      <c r="Z1199" s="8">
        <f>IF($J1199=0,0,ROUND(MAX($J1199*1.4*1.5*1.6*1.6*2.2*2.715*2.6*1.4,6020000000*(1.651178^(MIN($E1199,123)-117)))*1,0))</f>
        <v>65985946</v>
      </c>
      <c r="AA1199" s="6">
        <f>$E1199+19</f>
        <v>127</v>
      </c>
      <c r="AB1199" s="7">
        <f>IF($J1199=0,0,ROUND(MAX($J1199*1.4*1.5*1.6*1.6*2.2*2.715*2.6*1.4*1.4,8430000000*(1.651435^(MIN($E1199,123)-117)))*1,0))</f>
        <v>92272909</v>
      </c>
      <c r="AC1199" s="4">
        <f>$E1199+21</f>
        <v>129</v>
      </c>
      <c r="AD1199" s="8">
        <f>IF($J1199=0,0,ROUND(MAX($J1199*1.4*1.5*1.6*1.6*2.2*2.715*2.6*1.4*1.4*1.5,12600000000*(1.652953^(MIN($E1199,123)-117)))*1,0))</f>
        <v>136781071</v>
      </c>
      <c r="AE1199" s="6">
        <f>$E1199+24</f>
        <v>132</v>
      </c>
      <c r="AF1199" s="7">
        <f>IF($J1199=0,0,ROUND(MAX($J1199*1.4*1.5*1.6*1.6*2.2*2.715*2.6*1.4*1.4*1.5*1.5,18900000000*(1.65331^(MIN($E1199,123)-117)))*1,0))</f>
        <v>204773225</v>
      </c>
      <c r="AG1199" s="4">
        <f>$E1199+27</f>
        <v>135</v>
      </c>
      <c r="AH1199" s="8">
        <f>IF($J1199=0,0,ROUND(MAX($J1199*1.4*1.5*1.6*1.6*2.2*2.715*2.6*1.4*1.4*1.5*1.5*3.2,60500000000*(1.654288^(MIN($E1199,123)-117)))*1,0))</f>
        <v>652011566</v>
      </c>
    </row>
    <row r="1200" ht="27.75" customHeight="1" spans="1:34" x14ac:dyDescent="0.25">
      <c r="A1200" s="3">
        <v>1210</v>
      </c>
      <c r="B1200" s="3" t="s">
        <v>893</v>
      </c>
      <c r="C1200" s="3" t="s">
        <v>829</v>
      </c>
      <c r="D1200" s="3" t="s">
        <v>33</v>
      </c>
      <c r="E1200" s="3">
        <v>108</v>
      </c>
      <c r="F1200" s="3" t="s">
        <v>26</v>
      </c>
      <c r="G1200" s="3" t="s">
        <v>425</v>
      </c>
      <c r="H1200" s="3">
        <v>24</v>
      </c>
      <c r="I1200" s="4">
        <v>108</v>
      </c>
      <c r="J1200" s="5">
        <v>146000</v>
      </c>
      <c r="K1200" s="6">
        <f>$E1200+1</f>
        <v>109</v>
      </c>
      <c r="L1200" s="7">
        <f>IF($J1200=0,0,ROUND(MAX($J1200*1.4,1620000*(1.497923^(MIN($E1200,123)-117)))*1,0))</f>
        <v>204400</v>
      </c>
      <c r="M1200" s="4">
        <f>$E1200+2</f>
        <v>110</v>
      </c>
      <c r="N1200" s="8">
        <f>IF($J1200=0,0,ROUND(MAX($J1200*1.4*1.5,2190000*(1.580994^(MIN($E1200,123)-117)))*1,0))</f>
        <v>306600</v>
      </c>
      <c r="O1200" s="6">
        <f>$E1200+4</f>
        <v>112</v>
      </c>
      <c r="P1200" s="7">
        <f>IF($J1200=0,0,ROUND(MAX($J1200*1.4*1.5*1.6,3500000*(1.57975^(MIN($E1200,123)-117)))*1,0))</f>
        <v>490560</v>
      </c>
      <c r="Q1200" s="4">
        <f>$E1200+6</f>
        <v>114</v>
      </c>
      <c r="R1200" s="8">
        <f>IF($J1200=0,0,ROUND(MAX($J1200*1.4*1.5*1.6*1.6,13100000*(1.429962^(MIN($E1200,123)-117)))*1,0))</f>
        <v>784896</v>
      </c>
      <c r="S1200" s="6">
        <f>$E1200+8</f>
        <v>116</v>
      </c>
      <c r="T1200" s="7">
        <f>IF($J1200=0,0,ROUND(MAX($J1200*1.4*1.5*1.6*1.6*2.2,42600000*(1.576904^(MIN($E1200,123)-117)))*1,0))</f>
        <v>1726771</v>
      </c>
      <c r="U1200" s="4">
        <f>$E1200+11</f>
        <v>119</v>
      </c>
      <c r="V1200" s="8">
        <f>IF($J1200=0,0,ROUND(MAX($J1200*1.4*1.5*1.6*1.6*2.2*2.715,354000000*(1.642074^(MIN($E1200,123)-117)))*1,0))</f>
        <v>4688184</v>
      </c>
      <c r="W1200" s="6">
        <f>$E1200+15</f>
        <v>123</v>
      </c>
      <c r="X1200" s="7">
        <f>IF($J1200=0,0,ROUND(MAX($J1200*1.4*1.5*1.6*1.6*2.2*2.715*2.6,3540000000*(1.579646^(MIN($E1200,123)-117)))*1,0))</f>
        <v>57804988</v>
      </c>
      <c r="Y1200" s="4">
        <f>$E1200+17</f>
        <v>125</v>
      </c>
      <c r="Z1200" s="8">
        <f>IF($J1200=0,0,ROUND(MAX($J1200*1.4*1.5*1.6*1.6*2.2*2.715*2.6*1.4,6020000000*(1.651178^(MIN($E1200,123)-117)))*1,0))</f>
        <v>65985946</v>
      </c>
      <c r="AA1200" s="6">
        <f>$E1200+19</f>
        <v>127</v>
      </c>
      <c r="AB1200" s="7">
        <f>IF($J1200=0,0,ROUND(MAX($J1200*1.4*1.5*1.6*1.6*2.2*2.715*2.6*1.4*1.4,8430000000*(1.651435^(MIN($E1200,123)-117)))*1,0))</f>
        <v>92272909</v>
      </c>
      <c r="AC1200" s="4">
        <f>$E1200+21</f>
        <v>129</v>
      </c>
      <c r="AD1200" s="8">
        <f>IF($J1200=0,0,ROUND(MAX($J1200*1.4*1.5*1.6*1.6*2.2*2.715*2.6*1.4*1.4*1.5,12600000000*(1.652953^(MIN($E1200,123)-117)))*1,0))</f>
        <v>136781071</v>
      </c>
      <c r="AE1200" s="6">
        <f>$E1200+24</f>
        <v>132</v>
      </c>
      <c r="AF1200" s="7">
        <f>IF($J1200=0,0,ROUND(MAX($J1200*1.4*1.5*1.6*1.6*2.2*2.715*2.6*1.4*1.4*1.5*1.5,18900000000*(1.65331^(MIN($E1200,123)-117)))*1,0))</f>
        <v>204773225</v>
      </c>
      <c r="AG1200" s="4">
        <f>$E1200+27</f>
        <v>135</v>
      </c>
      <c r="AH1200" s="8">
        <f>IF($J1200=0,0,ROUND(MAX($J1200*1.4*1.5*1.6*1.6*2.2*2.715*2.6*1.4*1.4*1.5*1.5*3.2,60500000000*(1.654288^(MIN($E1200,123)-117)))*1,0))</f>
        <v>652011566</v>
      </c>
    </row>
    <row r="1201" ht="27.75" customHeight="1" spans="1:34" x14ac:dyDescent="0.25">
      <c r="A1201" s="3">
        <v>1211</v>
      </c>
      <c r="B1201" s="3" t="s">
        <v>894</v>
      </c>
      <c r="C1201" s="3" t="s">
        <v>829</v>
      </c>
      <c r="D1201" s="3" t="s">
        <v>64</v>
      </c>
      <c r="E1201" s="3">
        <v>108</v>
      </c>
      <c r="F1201" s="3" t="s">
        <v>225</v>
      </c>
      <c r="G1201" s="3" t="s">
        <v>675</v>
      </c>
      <c r="H1201" s="3">
        <v>24</v>
      </c>
      <c r="I1201" s="4">
        <v>108</v>
      </c>
      <c r="J1201" s="5">
        <v>130000</v>
      </c>
      <c r="K1201" s="6">
        <f>$E1201+1</f>
        <v>109</v>
      </c>
      <c r="L1201" s="7">
        <f>IF($J1201=0,0,ROUND(MAX($J1201*1.4,1620000*(1.497923^(MIN($E1201,123)-117)))*1,0))</f>
        <v>182000</v>
      </c>
      <c r="M1201" s="4">
        <f>$E1201+2</f>
        <v>110</v>
      </c>
      <c r="N1201" s="8">
        <f>IF($J1201=0,0,ROUND(MAX($J1201*1.4*1.5,2190000*(1.580994^(MIN($E1201,123)-117)))*1,0))</f>
        <v>273000</v>
      </c>
      <c r="O1201" s="6">
        <f>$E1201+4</f>
        <v>112</v>
      </c>
      <c r="P1201" s="7">
        <f>IF($J1201=0,0,ROUND(MAX($J1201*1.4*1.5*1.6,3500000*(1.57975^(MIN($E1201,123)-117)))*1,0))</f>
        <v>436800</v>
      </c>
      <c r="Q1201" s="4">
        <f>$E1201+6</f>
        <v>114</v>
      </c>
      <c r="R1201" s="8">
        <f>IF($J1201=0,0,ROUND(MAX($J1201*1.4*1.5*1.6*1.6,13100000*(1.429962^(MIN($E1201,123)-117)))*1,0))</f>
        <v>698880</v>
      </c>
      <c r="S1201" s="6">
        <f>$E1201+8</f>
        <v>116</v>
      </c>
      <c r="T1201" s="7">
        <f>IF($J1201=0,0,ROUND(MAX($J1201*1.4*1.5*1.6*1.6*2.2,42600000*(1.576904^(MIN($E1201,123)-117)))*1,0))</f>
        <v>1537536</v>
      </c>
      <c r="U1201" s="4">
        <f>$E1201+11</f>
        <v>119</v>
      </c>
      <c r="V1201" s="8">
        <f>IF($J1201=0,0,ROUND(MAX($J1201*1.4*1.5*1.6*1.6*2.2*2.715,354000000*(1.642074^(MIN($E1201,123)-117)))*1,0))</f>
        <v>4174410</v>
      </c>
      <c r="W1201" s="6">
        <f>$E1201+15</f>
        <v>123</v>
      </c>
      <c r="X1201" s="7">
        <f>IF($J1201=0,0,ROUND(MAX($J1201*1.4*1.5*1.6*1.6*2.2*2.715*2.6,3540000000*(1.579646^(MIN($E1201,123)-117)))*1,0))</f>
        <v>57804988</v>
      </c>
      <c r="Y1201" s="4">
        <f>$E1201+17</f>
        <v>125</v>
      </c>
      <c r="Z1201" s="8">
        <f>IF($J1201=0,0,ROUND(MAX($J1201*1.4*1.5*1.6*1.6*2.2*2.715*2.6*1.4,6020000000*(1.651178^(MIN($E1201,123)-117)))*1,0))</f>
        <v>65985946</v>
      </c>
      <c r="AA1201" s="6">
        <f>$E1201+19</f>
        <v>127</v>
      </c>
      <c r="AB1201" s="7">
        <f>IF($J1201=0,0,ROUND(MAX($J1201*1.4*1.5*1.6*1.6*2.2*2.715*2.6*1.4*1.4,8430000000*(1.651435^(MIN($E1201,123)-117)))*1,0))</f>
        <v>92272909</v>
      </c>
      <c r="AC1201" s="4">
        <f>$E1201+21</f>
        <v>129</v>
      </c>
      <c r="AD1201" s="8">
        <f>IF($J1201=0,0,ROUND(MAX($J1201*1.4*1.5*1.6*1.6*2.2*2.715*2.6*1.4*1.4*1.5,12600000000*(1.652953^(MIN($E1201,123)-117)))*1,0))</f>
        <v>136781071</v>
      </c>
      <c r="AE1201" s="6">
        <f>$E1201+24</f>
        <v>132</v>
      </c>
      <c r="AF1201" s="7">
        <f>IF($J1201=0,0,ROUND(MAX($J1201*1.4*1.5*1.6*1.6*2.2*2.715*2.6*1.4*1.4*1.5*1.5,18900000000*(1.65331^(MIN($E1201,123)-117)))*1,0))</f>
        <v>204773225</v>
      </c>
      <c r="AG1201" s="4">
        <f>$E1201+27</f>
        <v>135</v>
      </c>
      <c r="AH1201" s="8">
        <f>IF($J1201=0,0,ROUND(MAX($J1201*1.4*1.5*1.6*1.6*2.2*2.715*2.6*1.4*1.4*1.5*1.5*3.2,60500000000*(1.654288^(MIN($E1201,123)-117)))*1,0))</f>
        <v>652011566</v>
      </c>
    </row>
    <row r="1202" ht="27.75" customHeight="1" spans="1:34" x14ac:dyDescent="0.25">
      <c r="A1202" s="3">
        <v>1212</v>
      </c>
      <c r="B1202" s="3" t="s">
        <v>895</v>
      </c>
      <c r="C1202" s="3" t="s">
        <v>829</v>
      </c>
      <c r="D1202" s="3" t="s">
        <v>25</v>
      </c>
      <c r="E1202" s="3">
        <v>108</v>
      </c>
      <c r="F1202" s="3" t="s">
        <v>258</v>
      </c>
      <c r="G1202" s="3" t="s">
        <v>896</v>
      </c>
      <c r="H1202" s="3">
        <v>24</v>
      </c>
      <c r="I1202" s="4">
        <v>108</v>
      </c>
      <c r="J1202" s="5">
        <v>64500</v>
      </c>
      <c r="K1202" s="6">
        <f>$E1202+1</f>
        <v>109</v>
      </c>
      <c r="L1202" s="7">
        <f>IF($J1202=0,0,ROUND(MAX($J1202*1.4,1620000*(1.497923^(MIN($E1202,123)-117)))*1,0))</f>
        <v>90300</v>
      </c>
      <c r="M1202" s="4">
        <f>$E1202+2</f>
        <v>110</v>
      </c>
      <c r="N1202" s="8">
        <f>IF($J1202=0,0,ROUND(MAX($J1202*1.4*1.5,2190000*(1.580994^(MIN($E1202,123)-117)))*1,0))</f>
        <v>135450</v>
      </c>
      <c r="O1202" s="6">
        <f>$E1202+4</f>
        <v>112</v>
      </c>
      <c r="P1202" s="7">
        <f>IF($J1202=0,0,ROUND(MAX($J1202*1.4*1.5*1.6,3500000*(1.57975^(MIN($E1202,123)-117)))*1,0))</f>
        <v>216720</v>
      </c>
      <c r="Q1202" s="4">
        <f>$E1202+6</f>
        <v>114</v>
      </c>
      <c r="R1202" s="8">
        <f>IF($J1202=0,0,ROUND(MAX($J1202*1.4*1.5*1.6*1.6,13100000*(1.429962^(MIN($E1202,123)-117)))*1,0))</f>
        <v>524024</v>
      </c>
      <c r="S1202" s="6">
        <f>$E1202+8</f>
        <v>116</v>
      </c>
      <c r="T1202" s="7">
        <f>IF($J1202=0,0,ROUND(MAX($J1202*1.4*1.5*1.6*1.6*2.2,42600000*(1.576904^(MIN($E1202,123)-117)))*1,0))</f>
        <v>762854</v>
      </c>
      <c r="U1202" s="4">
        <f>$E1202+11</f>
        <v>119</v>
      </c>
      <c r="V1202" s="8">
        <f>IF($J1202=0,0,ROUND(MAX($J1202*1.4*1.5*1.6*1.6*2.2*2.715,354000000*(1.642074^(MIN($E1202,123)-117)))*1,0))</f>
        <v>4078202</v>
      </c>
      <c r="W1202" s="6">
        <f>$E1202+15</f>
        <v>123</v>
      </c>
      <c r="X1202" s="7">
        <f>IF($J1202=0,0,ROUND(MAX($J1202*1.4*1.5*1.6*1.6*2.2*2.715*2.6,3540000000*(1.579646^(MIN($E1202,123)-117)))*1,0))</f>
        <v>57804988</v>
      </c>
      <c r="Y1202" s="4">
        <f>$E1202+17</f>
        <v>125</v>
      </c>
      <c r="Z1202" s="8">
        <f>IF($J1202=0,0,ROUND(MAX($J1202*1.4*1.5*1.6*1.6*2.2*2.715*2.6*1.4,6020000000*(1.651178^(MIN($E1202,123)-117)))*1,0))</f>
        <v>65985946</v>
      </c>
      <c r="AA1202" s="6">
        <f>$E1202+19</f>
        <v>127</v>
      </c>
      <c r="AB1202" s="7">
        <f>IF($J1202=0,0,ROUND(MAX($J1202*1.4*1.5*1.6*1.6*2.2*2.715*2.6*1.4*1.4,8430000000*(1.651435^(MIN($E1202,123)-117)))*1,0))</f>
        <v>92272909</v>
      </c>
      <c r="AC1202" s="4">
        <f>$E1202+21</f>
        <v>129</v>
      </c>
      <c r="AD1202" s="8">
        <f>IF($J1202=0,0,ROUND(MAX($J1202*1.4*1.5*1.6*1.6*2.2*2.715*2.6*1.4*1.4*1.5,12600000000*(1.652953^(MIN($E1202,123)-117)))*1,0))</f>
        <v>136781071</v>
      </c>
      <c r="AE1202" s="6">
        <f>$E1202+24</f>
        <v>132</v>
      </c>
      <c r="AF1202" s="7">
        <f>IF($J1202=0,0,ROUND(MAX($J1202*1.4*1.5*1.6*1.6*2.2*2.715*2.6*1.4*1.4*1.5*1.5,18900000000*(1.65331^(MIN($E1202,123)-117)))*1,0))</f>
        <v>204773225</v>
      </c>
      <c r="AG1202" s="4">
        <f>$E1202+27</f>
        <v>135</v>
      </c>
      <c r="AH1202" s="8">
        <f>IF($J1202=0,0,ROUND(MAX($J1202*1.4*1.5*1.6*1.6*2.2*2.715*2.6*1.4*1.4*1.5*1.5*3.2,60500000000*(1.654288^(MIN($E1202,123)-117)))*1,0))</f>
        <v>652011566</v>
      </c>
    </row>
    <row r="1203" ht="27.75" customHeight="1" spans="1:34" x14ac:dyDescent="0.25">
      <c r="A1203" s="3">
        <v>1213</v>
      </c>
      <c r="B1203" s="3" t="s">
        <v>457</v>
      </c>
      <c r="C1203" s="3" t="s">
        <v>829</v>
      </c>
      <c r="D1203" s="3" t="s">
        <v>25</v>
      </c>
      <c r="E1203" s="3">
        <v>108</v>
      </c>
      <c r="F1203" s="3" t="s">
        <v>383</v>
      </c>
      <c r="G1203" s="3" t="s">
        <v>458</v>
      </c>
      <c r="H1203" s="3">
        <v>24</v>
      </c>
      <c r="I1203" s="4">
        <v>108</v>
      </c>
      <c r="J1203" s="5">
        <v>42000</v>
      </c>
      <c r="K1203" s="6">
        <f>$E1203+1</f>
        <v>109</v>
      </c>
      <c r="L1203" s="7">
        <f>IF($J1203=0,0,ROUND(MAX($J1203*1.4,1620000*(1.497923^(MIN($E1203,123)-117)))*1,0))</f>
        <v>58800</v>
      </c>
      <c r="M1203" s="4">
        <f>$E1203+2</f>
        <v>110</v>
      </c>
      <c r="N1203" s="8">
        <f>IF($J1203=0,0,ROUND(MAX($J1203*1.4*1.5,2190000*(1.580994^(MIN($E1203,123)-117)))*1,0))</f>
        <v>88200</v>
      </c>
      <c r="O1203" s="6">
        <f>$E1203+4</f>
        <v>112</v>
      </c>
      <c r="P1203" s="7">
        <f>IF($J1203=0,0,ROUND(MAX($J1203*1.4*1.5*1.6,3500000*(1.57975^(MIN($E1203,123)-117)))*1,0))</f>
        <v>141120</v>
      </c>
      <c r="Q1203" s="4">
        <f>$E1203+6</f>
        <v>114</v>
      </c>
      <c r="R1203" s="8">
        <f>IF($J1203=0,0,ROUND(MAX($J1203*1.4*1.5*1.6*1.6,13100000*(1.429962^(MIN($E1203,123)-117)))*1,0))</f>
        <v>524024</v>
      </c>
      <c r="S1203" s="6">
        <f>$E1203+8</f>
        <v>116</v>
      </c>
      <c r="T1203" s="7">
        <f>IF($J1203=0,0,ROUND(MAX($J1203*1.4*1.5*1.6*1.6*2.2,42600000*(1.576904^(MIN($E1203,123)-117)))*1,0))</f>
        <v>706582</v>
      </c>
      <c r="U1203" s="4">
        <f>$E1203+11</f>
        <v>119</v>
      </c>
      <c r="V1203" s="8">
        <f>IF($J1203=0,0,ROUND(MAX($J1203*1.4*1.5*1.6*1.6*2.2*2.715,354000000*(1.642074^(MIN($E1203,123)-117)))*1,0))</f>
        <v>4078202</v>
      </c>
      <c r="W1203" s="6">
        <f>$E1203+15</f>
        <v>123</v>
      </c>
      <c r="X1203" s="7">
        <f>IF($J1203=0,0,ROUND(MAX($J1203*1.4*1.5*1.6*1.6*2.2*2.715*2.6,3540000000*(1.579646^(MIN($E1203,123)-117)))*1,0))</f>
        <v>57804988</v>
      </c>
      <c r="Y1203" s="4">
        <f>$E1203+17</f>
        <v>125</v>
      </c>
      <c r="Z1203" s="8">
        <f>IF($J1203=0,0,ROUND(MAX($J1203*1.4*1.5*1.6*1.6*2.2*2.715*2.6*1.4,6020000000*(1.651178^(MIN($E1203,123)-117)))*1,0))</f>
        <v>65985946</v>
      </c>
      <c r="AA1203" s="6">
        <f>$E1203+19</f>
        <v>127</v>
      </c>
      <c r="AB1203" s="7">
        <f>IF($J1203=0,0,ROUND(MAX($J1203*1.4*1.5*1.6*1.6*2.2*2.715*2.6*1.4*1.4,8430000000*(1.651435^(MIN($E1203,123)-117)))*1,0))</f>
        <v>92272909</v>
      </c>
      <c r="AC1203" s="4">
        <f>$E1203+21</f>
        <v>129</v>
      </c>
      <c r="AD1203" s="8">
        <f>IF($J1203=0,0,ROUND(MAX($J1203*1.4*1.5*1.6*1.6*2.2*2.715*2.6*1.4*1.4*1.5,12600000000*(1.652953^(MIN($E1203,123)-117)))*1,0))</f>
        <v>136781071</v>
      </c>
      <c r="AE1203" s="6">
        <f>$E1203+24</f>
        <v>132</v>
      </c>
      <c r="AF1203" s="7">
        <f>IF($J1203=0,0,ROUND(MAX($J1203*1.4*1.5*1.6*1.6*2.2*2.715*2.6*1.4*1.4*1.5*1.5,18900000000*(1.65331^(MIN($E1203,123)-117)))*1,0))</f>
        <v>204773225</v>
      </c>
      <c r="AG1203" s="4">
        <f>$E1203+27</f>
        <v>135</v>
      </c>
      <c r="AH1203" s="8">
        <f>IF($J1203=0,0,ROUND(MAX($J1203*1.4*1.5*1.6*1.6*2.2*2.715*2.6*1.4*1.4*1.5*1.5*3.2,60500000000*(1.654288^(MIN($E1203,123)-117)))*1,0))</f>
        <v>652011566</v>
      </c>
    </row>
    <row r="1204" ht="27.75" customHeight="1" spans="1:34" x14ac:dyDescent="0.25">
      <c r="A1204" s="3">
        <v>1214</v>
      </c>
      <c r="B1204" s="3" t="s">
        <v>897</v>
      </c>
      <c r="C1204" s="3" t="s">
        <v>829</v>
      </c>
      <c r="D1204" s="3" t="s">
        <v>33</v>
      </c>
      <c r="E1204" s="3">
        <v>108</v>
      </c>
      <c r="F1204" s="3" t="s">
        <v>54</v>
      </c>
      <c r="G1204" s="3" t="s">
        <v>218</v>
      </c>
      <c r="H1204" s="3">
        <v>24</v>
      </c>
      <c r="I1204" s="4">
        <v>108</v>
      </c>
      <c r="J1204" s="5">
        <v>39400</v>
      </c>
      <c r="K1204" s="6">
        <f>$E1204+1</f>
        <v>109</v>
      </c>
      <c r="L1204" s="7">
        <f>IF($J1204=0,0,ROUND(MAX($J1204*1.4,1620000*(1.497923^(MIN($E1204,123)-117)))*1,0))</f>
        <v>55160</v>
      </c>
      <c r="M1204" s="4">
        <f>$E1204+2</f>
        <v>110</v>
      </c>
      <c r="N1204" s="8">
        <f>IF($J1204=0,0,ROUND(MAX($J1204*1.4*1.5,2190000*(1.580994^(MIN($E1204,123)-117)))*1,0))</f>
        <v>82740</v>
      </c>
      <c r="O1204" s="6">
        <f>$E1204+4</f>
        <v>112</v>
      </c>
      <c r="P1204" s="7">
        <f>IF($J1204=0,0,ROUND(MAX($J1204*1.4*1.5*1.6,3500000*(1.57975^(MIN($E1204,123)-117)))*1,0))</f>
        <v>132384</v>
      </c>
      <c r="Q1204" s="4">
        <f>$E1204+6</f>
        <v>114</v>
      </c>
      <c r="R1204" s="8">
        <f>IF($J1204=0,0,ROUND(MAX($J1204*1.4*1.5*1.6*1.6,13100000*(1.429962^(MIN($E1204,123)-117)))*1,0))</f>
        <v>524024</v>
      </c>
      <c r="S1204" s="6">
        <f>$E1204+8</f>
        <v>116</v>
      </c>
      <c r="T1204" s="7">
        <f>IF($J1204=0,0,ROUND(MAX($J1204*1.4*1.5*1.6*1.6*2.2,42600000*(1.576904^(MIN($E1204,123)-117)))*1,0))</f>
        <v>706582</v>
      </c>
      <c r="U1204" s="4">
        <f>$E1204+11</f>
        <v>119</v>
      </c>
      <c r="V1204" s="8">
        <f>IF($J1204=0,0,ROUND(MAX($J1204*1.4*1.5*1.6*1.6*2.2*2.715,354000000*(1.642074^(MIN($E1204,123)-117)))*1,0))</f>
        <v>4078202</v>
      </c>
      <c r="W1204" s="6">
        <f>$E1204+15</f>
        <v>123</v>
      </c>
      <c r="X1204" s="7">
        <f>IF($J1204=0,0,ROUND(MAX($J1204*1.4*1.5*1.6*1.6*2.2*2.715*2.6,3540000000*(1.579646^(MIN($E1204,123)-117)))*1,0))</f>
        <v>57804988</v>
      </c>
      <c r="Y1204" s="4">
        <f>$E1204+17</f>
        <v>125</v>
      </c>
      <c r="Z1204" s="8">
        <f>IF($J1204=0,0,ROUND(MAX($J1204*1.4*1.5*1.6*1.6*2.2*2.715*2.6*1.4,6020000000*(1.651178^(MIN($E1204,123)-117)))*1,0))</f>
        <v>65985946</v>
      </c>
      <c r="AA1204" s="6">
        <f>$E1204+19</f>
        <v>127</v>
      </c>
      <c r="AB1204" s="7">
        <f>IF($J1204=0,0,ROUND(MAX($J1204*1.4*1.5*1.6*1.6*2.2*2.715*2.6*1.4*1.4,8430000000*(1.651435^(MIN($E1204,123)-117)))*1,0))</f>
        <v>92272909</v>
      </c>
      <c r="AC1204" s="4">
        <f>$E1204+21</f>
        <v>129</v>
      </c>
      <c r="AD1204" s="8">
        <f>IF($J1204=0,0,ROUND(MAX($J1204*1.4*1.5*1.6*1.6*2.2*2.715*2.6*1.4*1.4*1.5,12600000000*(1.652953^(MIN($E1204,123)-117)))*1,0))</f>
        <v>136781071</v>
      </c>
      <c r="AE1204" s="6">
        <f>$E1204+24</f>
        <v>132</v>
      </c>
      <c r="AF1204" s="7">
        <f>IF($J1204=0,0,ROUND(MAX($J1204*1.4*1.5*1.6*1.6*2.2*2.715*2.6*1.4*1.4*1.5*1.5,18900000000*(1.65331^(MIN($E1204,123)-117)))*1,0))</f>
        <v>204773225</v>
      </c>
      <c r="AG1204" s="4">
        <f>$E1204+27</f>
        <v>135</v>
      </c>
      <c r="AH1204" s="8">
        <f>IF($J1204=0,0,ROUND(MAX($J1204*1.4*1.5*1.6*1.6*2.2*2.715*2.6*1.4*1.4*1.5*1.5*3.2,60500000000*(1.654288^(MIN($E1204,123)-117)))*1,0))</f>
        <v>652011566</v>
      </c>
    </row>
    <row r="1205" ht="27.75" customHeight="1" spans="1:34" x14ac:dyDescent="0.25">
      <c r="A1205" s="3">
        <v>1215</v>
      </c>
      <c r="B1205" s="3" t="s">
        <v>898</v>
      </c>
      <c r="C1205" s="3" t="s">
        <v>829</v>
      </c>
      <c r="D1205" s="3" t="s">
        <v>64</v>
      </c>
      <c r="E1205" s="3">
        <v>108</v>
      </c>
      <c r="F1205" s="3" t="s">
        <v>71</v>
      </c>
      <c r="G1205" s="3" t="s">
        <v>784</v>
      </c>
      <c r="H1205" s="3">
        <v>24</v>
      </c>
      <c r="I1205" s="4">
        <v>108</v>
      </c>
      <c r="J1205" s="5">
        <v>143000</v>
      </c>
      <c r="K1205" s="6">
        <f>$E1205+1</f>
        <v>109</v>
      </c>
      <c r="L1205" s="7">
        <f>IF($J1205=0,0,ROUND(MAX($J1205*1.4,1620000*(1.497923^(MIN($E1205,123)-117)))*1,0))</f>
        <v>200200</v>
      </c>
      <c r="M1205" s="4">
        <f>$E1205+2</f>
        <v>110</v>
      </c>
      <c r="N1205" s="8">
        <f>IF($J1205=0,0,ROUND(MAX($J1205*1.4*1.5,2190000*(1.580994^(MIN($E1205,123)-117)))*1,0))</f>
        <v>300300</v>
      </c>
      <c r="O1205" s="6">
        <f>$E1205+4</f>
        <v>112</v>
      </c>
      <c r="P1205" s="7">
        <f>IF($J1205=0,0,ROUND(MAX($J1205*1.4*1.5*1.6,3500000*(1.57975^(MIN($E1205,123)-117)))*1,0))</f>
        <v>480480</v>
      </c>
      <c r="Q1205" s="4">
        <f>$E1205+6</f>
        <v>114</v>
      </c>
      <c r="R1205" s="8">
        <f>IF($J1205=0,0,ROUND(MAX($J1205*1.4*1.5*1.6*1.6,13100000*(1.429962^(MIN($E1205,123)-117)))*1,0))</f>
        <v>768768</v>
      </c>
      <c r="S1205" s="6">
        <f>$E1205+8</f>
        <v>116</v>
      </c>
      <c r="T1205" s="7">
        <f>IF($J1205=0,0,ROUND(MAX($J1205*1.4*1.5*1.6*1.6*2.2,42600000*(1.576904^(MIN($E1205,123)-117)))*1,0))</f>
        <v>1691290</v>
      </c>
      <c r="U1205" s="4">
        <f>$E1205+11</f>
        <v>119</v>
      </c>
      <c r="V1205" s="8">
        <f>IF($J1205=0,0,ROUND(MAX($J1205*1.4*1.5*1.6*1.6*2.2*2.715,354000000*(1.642074^(MIN($E1205,123)-117)))*1,0))</f>
        <v>4591851</v>
      </c>
      <c r="W1205" s="6">
        <f>$E1205+15</f>
        <v>123</v>
      </c>
      <c r="X1205" s="7">
        <f>IF($J1205=0,0,ROUND(MAX($J1205*1.4*1.5*1.6*1.6*2.2*2.715*2.6,3540000000*(1.579646^(MIN($E1205,123)-117)))*1,0))</f>
        <v>57804988</v>
      </c>
      <c r="Y1205" s="4">
        <f>$E1205+17</f>
        <v>125</v>
      </c>
      <c r="Z1205" s="8">
        <f>IF($J1205=0,0,ROUND(MAX($J1205*1.4*1.5*1.6*1.6*2.2*2.715*2.6*1.4,6020000000*(1.651178^(MIN($E1205,123)-117)))*1,0))</f>
        <v>65985946</v>
      </c>
      <c r="AA1205" s="6">
        <f>$E1205+19</f>
        <v>127</v>
      </c>
      <c r="AB1205" s="7">
        <f>IF($J1205=0,0,ROUND(MAX($J1205*1.4*1.5*1.6*1.6*2.2*2.715*2.6*1.4*1.4,8430000000*(1.651435^(MIN($E1205,123)-117)))*1,0))</f>
        <v>92272909</v>
      </c>
      <c r="AC1205" s="4">
        <f>$E1205+21</f>
        <v>129</v>
      </c>
      <c r="AD1205" s="8">
        <f>IF($J1205=0,0,ROUND(MAX($J1205*1.4*1.5*1.6*1.6*2.2*2.715*2.6*1.4*1.4*1.5,12600000000*(1.652953^(MIN($E1205,123)-117)))*1,0))</f>
        <v>136781071</v>
      </c>
      <c r="AE1205" s="6">
        <f>$E1205+24</f>
        <v>132</v>
      </c>
      <c r="AF1205" s="7">
        <f>IF($J1205=0,0,ROUND(MAX($J1205*1.4*1.5*1.6*1.6*2.2*2.715*2.6*1.4*1.4*1.5*1.5,18900000000*(1.65331^(MIN($E1205,123)-117)))*1,0))</f>
        <v>204773225</v>
      </c>
      <c r="AG1205" s="4">
        <f>$E1205+27</f>
        <v>135</v>
      </c>
      <c r="AH1205" s="8">
        <f>IF($J1205=0,0,ROUND(MAX($J1205*1.4*1.5*1.6*1.6*2.2*2.715*2.6*1.4*1.4*1.5*1.5*3.2,60500000000*(1.654288^(MIN($E1205,123)-117)))*1,0))</f>
        <v>652011566</v>
      </c>
    </row>
    <row r="1206" ht="27.75" customHeight="1" spans="1:34" x14ac:dyDescent="0.25">
      <c r="A1206" s="3">
        <v>1216</v>
      </c>
      <c r="B1206" s="3" t="s">
        <v>706</v>
      </c>
      <c r="C1206" s="3" t="s">
        <v>829</v>
      </c>
      <c r="D1206" s="3" t="s">
        <v>33</v>
      </c>
      <c r="E1206" s="3">
        <v>108</v>
      </c>
      <c r="F1206" s="3" t="s">
        <v>34</v>
      </c>
      <c r="G1206" s="3" t="s">
        <v>277</v>
      </c>
      <c r="H1206" s="3">
        <v>24</v>
      </c>
      <c r="I1206" s="4">
        <v>108</v>
      </c>
      <c r="J1206" s="5">
        <v>70900</v>
      </c>
      <c r="K1206" s="6">
        <f>$E1206+1</f>
        <v>109</v>
      </c>
      <c r="L1206" s="7">
        <f>IF($J1206=0,0,ROUND(MAX($J1206*1.4,1620000*(1.497923^(MIN($E1206,123)-117)))*1,0))</f>
        <v>99260</v>
      </c>
      <c r="M1206" s="4">
        <f>$E1206+2</f>
        <v>110</v>
      </c>
      <c r="N1206" s="8">
        <f>IF($J1206=0,0,ROUND(MAX($J1206*1.4*1.5,2190000*(1.580994^(MIN($E1206,123)-117)))*1,0))</f>
        <v>148890</v>
      </c>
      <c r="O1206" s="6">
        <f>$E1206+4</f>
        <v>112</v>
      </c>
      <c r="P1206" s="7">
        <f>IF($J1206=0,0,ROUND(MAX($J1206*1.4*1.5*1.6,3500000*(1.57975^(MIN($E1206,123)-117)))*1,0))</f>
        <v>238224</v>
      </c>
      <c r="Q1206" s="4">
        <f>$E1206+6</f>
        <v>114</v>
      </c>
      <c r="R1206" s="8">
        <f>IF($J1206=0,0,ROUND(MAX($J1206*1.4*1.5*1.6*1.6,13100000*(1.429962^(MIN($E1206,123)-117)))*1,0))</f>
        <v>524024</v>
      </c>
      <c r="S1206" s="6">
        <f>$E1206+8</f>
        <v>116</v>
      </c>
      <c r="T1206" s="7">
        <f>IF($J1206=0,0,ROUND(MAX($J1206*1.4*1.5*1.6*1.6*2.2,42600000*(1.576904^(MIN($E1206,123)-117)))*1,0))</f>
        <v>838548</v>
      </c>
      <c r="U1206" s="4">
        <f>$E1206+11</f>
        <v>119</v>
      </c>
      <c r="V1206" s="8">
        <f>IF($J1206=0,0,ROUND(MAX($J1206*1.4*1.5*1.6*1.6*2.2*2.715,354000000*(1.642074^(MIN($E1206,123)-117)))*1,0))</f>
        <v>4078202</v>
      </c>
      <c r="W1206" s="6">
        <f>$E1206+15</f>
        <v>123</v>
      </c>
      <c r="X1206" s="7">
        <f>IF($J1206=0,0,ROUND(MAX($J1206*1.4*1.5*1.6*1.6*2.2*2.715*2.6,3540000000*(1.579646^(MIN($E1206,123)-117)))*1,0))</f>
        <v>57804988</v>
      </c>
      <c r="Y1206" s="4">
        <f>$E1206+17</f>
        <v>125</v>
      </c>
      <c r="Z1206" s="8">
        <f>IF($J1206=0,0,ROUND(MAX($J1206*1.4*1.5*1.6*1.6*2.2*2.715*2.6*1.4,6020000000*(1.651178^(MIN($E1206,123)-117)))*1,0))</f>
        <v>65985946</v>
      </c>
      <c r="AA1206" s="6">
        <f>$E1206+19</f>
        <v>127</v>
      </c>
      <c r="AB1206" s="7">
        <f>IF($J1206=0,0,ROUND(MAX($J1206*1.4*1.5*1.6*1.6*2.2*2.715*2.6*1.4*1.4,8430000000*(1.651435^(MIN($E1206,123)-117)))*1,0))</f>
        <v>92272909</v>
      </c>
      <c r="AC1206" s="4">
        <f>$E1206+21</f>
        <v>129</v>
      </c>
      <c r="AD1206" s="8">
        <f>IF($J1206=0,0,ROUND(MAX($J1206*1.4*1.5*1.6*1.6*2.2*2.715*2.6*1.4*1.4*1.5,12600000000*(1.652953^(MIN($E1206,123)-117)))*1,0))</f>
        <v>136781071</v>
      </c>
      <c r="AE1206" s="6">
        <f>$E1206+24</f>
        <v>132</v>
      </c>
      <c r="AF1206" s="7">
        <f>IF($J1206=0,0,ROUND(MAX($J1206*1.4*1.5*1.6*1.6*2.2*2.715*2.6*1.4*1.4*1.5*1.5,18900000000*(1.65331^(MIN($E1206,123)-117)))*1,0))</f>
        <v>204773225</v>
      </c>
      <c r="AG1206" s="4">
        <f>$E1206+27</f>
        <v>135</v>
      </c>
      <c r="AH1206" s="8">
        <f>IF($J1206=0,0,ROUND(MAX($J1206*1.4*1.5*1.6*1.6*2.2*2.715*2.6*1.4*1.4*1.5*1.5*3.2,60500000000*(1.654288^(MIN($E1206,123)-117)))*1,0))</f>
        <v>652011566</v>
      </c>
    </row>
    <row r="1207" ht="27.75" customHeight="1" spans="1:34" x14ac:dyDescent="0.25">
      <c r="A1207" s="3">
        <v>1217</v>
      </c>
      <c r="B1207" s="3" t="s">
        <v>899</v>
      </c>
      <c r="C1207" s="3" t="s">
        <v>829</v>
      </c>
      <c r="D1207" s="3" t="s">
        <v>102</v>
      </c>
      <c r="E1207" s="3">
        <v>108</v>
      </c>
      <c r="F1207" s="3" t="s">
        <v>412</v>
      </c>
      <c r="G1207" s="3" t="s">
        <v>586</v>
      </c>
      <c r="H1207" s="3">
        <v>24</v>
      </c>
      <c r="I1207" s="4">
        <v>108</v>
      </c>
      <c r="J1207" s="5">
        <v>53800</v>
      </c>
      <c r="K1207" s="6">
        <f>$E1207+1</f>
        <v>109</v>
      </c>
      <c r="L1207" s="7">
        <f>IF($J1207=0,0,ROUND(MAX($J1207*1.4,1620000*(1.497923^(MIN($E1207,123)-117)))*1,0))</f>
        <v>75320</v>
      </c>
      <c r="M1207" s="4">
        <f>$E1207+2</f>
        <v>110</v>
      </c>
      <c r="N1207" s="8">
        <f>IF($J1207=0,0,ROUND(MAX($J1207*1.4*1.5,2190000*(1.580994^(MIN($E1207,123)-117)))*1,0))</f>
        <v>112980</v>
      </c>
      <c r="O1207" s="6">
        <f>$E1207+4</f>
        <v>112</v>
      </c>
      <c r="P1207" s="7">
        <f>IF($J1207=0,0,ROUND(MAX($J1207*1.4*1.5*1.6,3500000*(1.57975^(MIN($E1207,123)-117)))*1,0))</f>
        <v>180768</v>
      </c>
      <c r="Q1207" s="4">
        <f>$E1207+6</f>
        <v>114</v>
      </c>
      <c r="R1207" s="8">
        <f>IF($J1207=0,0,ROUND(MAX($J1207*1.4*1.5*1.6*1.6,13100000*(1.429962^(MIN($E1207,123)-117)))*1,0))</f>
        <v>524024</v>
      </c>
      <c r="S1207" s="6">
        <f>$E1207+8</f>
        <v>116</v>
      </c>
      <c r="T1207" s="7">
        <f>IF($J1207=0,0,ROUND(MAX($J1207*1.4*1.5*1.6*1.6*2.2,42600000*(1.576904^(MIN($E1207,123)-117)))*1,0))</f>
        <v>706582</v>
      </c>
      <c r="U1207" s="4">
        <f>$E1207+11</f>
        <v>119</v>
      </c>
      <c r="V1207" s="8">
        <f>IF($J1207=0,0,ROUND(MAX($J1207*1.4*1.5*1.6*1.6*2.2*2.715,354000000*(1.642074^(MIN($E1207,123)-117)))*1,0))</f>
        <v>4078202</v>
      </c>
      <c r="W1207" s="6">
        <f>$E1207+15</f>
        <v>123</v>
      </c>
      <c r="X1207" s="7">
        <f>IF($J1207=0,0,ROUND(MAX($J1207*1.4*1.5*1.6*1.6*2.2*2.715*2.6,3540000000*(1.579646^(MIN($E1207,123)-117)))*1,0))</f>
        <v>57804988</v>
      </c>
      <c r="Y1207" s="4">
        <f>$E1207+17</f>
        <v>125</v>
      </c>
      <c r="Z1207" s="8">
        <f>IF($J1207=0,0,ROUND(MAX($J1207*1.4*1.5*1.6*1.6*2.2*2.715*2.6*1.4,6020000000*(1.651178^(MIN($E1207,123)-117)))*1,0))</f>
        <v>65985946</v>
      </c>
      <c r="AA1207" s="6">
        <f>$E1207+19</f>
        <v>127</v>
      </c>
      <c r="AB1207" s="7">
        <f>IF($J1207=0,0,ROUND(MAX($J1207*1.4*1.5*1.6*1.6*2.2*2.715*2.6*1.4*1.4,8430000000*(1.651435^(MIN($E1207,123)-117)))*1,0))</f>
        <v>92272909</v>
      </c>
      <c r="AC1207" s="4">
        <f>$E1207+21</f>
        <v>129</v>
      </c>
      <c r="AD1207" s="8">
        <f>IF($J1207=0,0,ROUND(MAX($J1207*1.4*1.5*1.6*1.6*2.2*2.715*2.6*1.4*1.4*1.5,12600000000*(1.652953^(MIN($E1207,123)-117)))*1,0))</f>
        <v>136781071</v>
      </c>
      <c r="AE1207" s="6">
        <f>$E1207+24</f>
        <v>132</v>
      </c>
      <c r="AF1207" s="7">
        <f>IF($J1207=0,0,ROUND(MAX($J1207*1.4*1.5*1.6*1.6*2.2*2.715*2.6*1.4*1.4*1.5*1.5,18900000000*(1.65331^(MIN($E1207,123)-117)))*1,0))</f>
        <v>204773225</v>
      </c>
      <c r="AG1207" s="4">
        <f>$E1207+27</f>
        <v>135</v>
      </c>
      <c r="AH1207" s="8">
        <f>IF($J1207=0,0,ROUND(MAX($J1207*1.4*1.5*1.6*1.6*2.2*2.715*2.6*1.4*1.4*1.5*1.5*3.2,60500000000*(1.654288^(MIN($E1207,123)-117)))*1,0))</f>
        <v>652011566</v>
      </c>
    </row>
    <row r="1208" ht="27.75" customHeight="1" spans="1:34" x14ac:dyDescent="0.25">
      <c r="A1208" s="3">
        <v>1218</v>
      </c>
      <c r="B1208" s="3" t="s">
        <v>674</v>
      </c>
      <c r="C1208" s="3" t="s">
        <v>829</v>
      </c>
      <c r="D1208" s="3" t="s">
        <v>25</v>
      </c>
      <c r="E1208" s="3">
        <v>108</v>
      </c>
      <c r="F1208" s="3" t="s">
        <v>34</v>
      </c>
      <c r="G1208" s="3" t="s">
        <v>675</v>
      </c>
      <c r="H1208" s="3">
        <v>24</v>
      </c>
      <c r="I1208" s="4">
        <v>108</v>
      </c>
      <c r="J1208" s="5">
        <v>130000</v>
      </c>
      <c r="K1208" s="6">
        <f>$E1208+1</f>
        <v>109</v>
      </c>
      <c r="L1208" s="7">
        <f>IF($J1208=0,0,ROUND(MAX($J1208*1.4,1620000*(1.497923^(MIN($E1208,123)-117)))*1,0))</f>
        <v>182000</v>
      </c>
      <c r="M1208" s="4">
        <f>$E1208+2</f>
        <v>110</v>
      </c>
      <c r="N1208" s="8">
        <f>IF($J1208=0,0,ROUND(MAX($J1208*1.4*1.5,2190000*(1.580994^(MIN($E1208,123)-117)))*1,0))</f>
        <v>273000</v>
      </c>
      <c r="O1208" s="6">
        <f>$E1208+4</f>
        <v>112</v>
      </c>
      <c r="P1208" s="7">
        <f>IF($J1208=0,0,ROUND(MAX($J1208*1.4*1.5*1.6,3500000*(1.57975^(MIN($E1208,123)-117)))*1,0))</f>
        <v>436800</v>
      </c>
      <c r="Q1208" s="4">
        <f>$E1208+6</f>
        <v>114</v>
      </c>
      <c r="R1208" s="8">
        <f>IF($J1208=0,0,ROUND(MAX($J1208*1.4*1.5*1.6*1.6,13100000*(1.429962^(MIN($E1208,123)-117)))*1,0))</f>
        <v>698880</v>
      </c>
      <c r="S1208" s="6">
        <f>$E1208+8</f>
        <v>116</v>
      </c>
      <c r="T1208" s="7">
        <f>IF($J1208=0,0,ROUND(MAX($J1208*1.4*1.5*1.6*1.6*2.2,42600000*(1.576904^(MIN($E1208,123)-117)))*1,0))</f>
        <v>1537536</v>
      </c>
      <c r="U1208" s="4">
        <f>$E1208+11</f>
        <v>119</v>
      </c>
      <c r="V1208" s="8">
        <f>IF($J1208=0,0,ROUND(MAX($J1208*1.4*1.5*1.6*1.6*2.2*2.715,354000000*(1.642074^(MIN($E1208,123)-117)))*1,0))</f>
        <v>4174410</v>
      </c>
      <c r="W1208" s="6">
        <f>$E1208+15</f>
        <v>123</v>
      </c>
      <c r="X1208" s="7">
        <f>IF($J1208=0,0,ROUND(MAX($J1208*1.4*1.5*1.6*1.6*2.2*2.715*2.6,3540000000*(1.579646^(MIN($E1208,123)-117)))*1,0))</f>
        <v>57804988</v>
      </c>
      <c r="Y1208" s="4">
        <f>$E1208+17</f>
        <v>125</v>
      </c>
      <c r="Z1208" s="8">
        <f>IF($J1208=0,0,ROUND(MAX($J1208*1.4*1.5*1.6*1.6*2.2*2.715*2.6*1.4,6020000000*(1.651178^(MIN($E1208,123)-117)))*1,0))</f>
        <v>65985946</v>
      </c>
      <c r="AA1208" s="6">
        <f>$E1208+19</f>
        <v>127</v>
      </c>
      <c r="AB1208" s="7">
        <f>IF($J1208=0,0,ROUND(MAX($J1208*1.4*1.5*1.6*1.6*2.2*2.715*2.6*1.4*1.4,8430000000*(1.651435^(MIN($E1208,123)-117)))*1,0))</f>
        <v>92272909</v>
      </c>
      <c r="AC1208" s="4">
        <f>$E1208+21</f>
        <v>129</v>
      </c>
      <c r="AD1208" s="8">
        <f>IF($J1208=0,0,ROUND(MAX($J1208*1.4*1.5*1.6*1.6*2.2*2.715*2.6*1.4*1.4*1.5,12600000000*(1.652953^(MIN($E1208,123)-117)))*1,0))</f>
        <v>136781071</v>
      </c>
      <c r="AE1208" s="6">
        <f>$E1208+24</f>
        <v>132</v>
      </c>
      <c r="AF1208" s="7">
        <f>IF($J1208=0,0,ROUND(MAX($J1208*1.4*1.5*1.6*1.6*2.2*2.715*2.6*1.4*1.4*1.5*1.5,18900000000*(1.65331^(MIN($E1208,123)-117)))*1,0))</f>
        <v>204773225</v>
      </c>
      <c r="AG1208" s="4">
        <f>$E1208+27</f>
        <v>135</v>
      </c>
      <c r="AH1208" s="8">
        <f>IF($J1208=0,0,ROUND(MAX($J1208*1.4*1.5*1.6*1.6*2.2*2.715*2.6*1.4*1.4*1.5*1.5*3.2,60500000000*(1.654288^(MIN($E1208,123)-117)))*1,0))</f>
        <v>652011566</v>
      </c>
    </row>
    <row r="1209" ht="27.75" customHeight="1" spans="1:34" x14ac:dyDescent="0.25">
      <c r="A1209" s="3">
        <v>1219</v>
      </c>
      <c r="B1209" s="3" t="s">
        <v>900</v>
      </c>
      <c r="C1209" s="3" t="s">
        <v>829</v>
      </c>
      <c r="D1209" s="3" t="s">
        <v>45</v>
      </c>
      <c r="E1209" s="3">
        <v>108</v>
      </c>
      <c r="F1209" s="3" t="s">
        <v>71</v>
      </c>
      <c r="G1209" s="3" t="s">
        <v>209</v>
      </c>
      <c r="H1209" s="3">
        <v>24</v>
      </c>
      <c r="I1209" s="4">
        <v>108</v>
      </c>
      <c r="J1209" s="5">
        <v>11200</v>
      </c>
      <c r="K1209" s="6">
        <f>$E1209+1</f>
        <v>109</v>
      </c>
      <c r="L1209" s="7">
        <f>IF($J1209=0,0,ROUND(MAX($J1209*1.4,1620000*(1.497923^(MIN($E1209,123)-117)))*1,0))</f>
        <v>42669</v>
      </c>
      <c r="M1209" s="4">
        <f>$E1209+2</f>
        <v>110</v>
      </c>
      <c r="N1209" s="8">
        <f>IF($J1209=0,0,ROUND(MAX($J1209*1.4*1.5,2190000*(1.580994^(MIN($E1209,123)-117)))*1,0))</f>
        <v>35487</v>
      </c>
      <c r="O1209" s="6">
        <f>$E1209+4</f>
        <v>112</v>
      </c>
      <c r="P1209" s="7">
        <f>IF($J1209=0,0,ROUND(MAX($J1209*1.4*1.5*1.6,3500000*(1.57975^(MIN($E1209,123)-117)))*1,0))</f>
        <v>57118</v>
      </c>
      <c r="Q1209" s="4">
        <f>$E1209+6</f>
        <v>114</v>
      </c>
      <c r="R1209" s="8">
        <f>IF($J1209=0,0,ROUND(MAX($J1209*1.4*1.5*1.6*1.6,13100000*(1.429962^(MIN($E1209,123)-117)))*1,0))</f>
        <v>524024</v>
      </c>
      <c r="S1209" s="6">
        <f>$E1209+8</f>
        <v>116</v>
      </c>
      <c r="T1209" s="7">
        <f>IF($J1209=0,0,ROUND(MAX($J1209*1.4*1.5*1.6*1.6*2.2,42600000*(1.576904^(MIN($E1209,123)-117)))*1,0))</f>
        <v>706582</v>
      </c>
      <c r="U1209" s="4">
        <f>$E1209+11</f>
        <v>119</v>
      </c>
      <c r="V1209" s="8">
        <f>IF($J1209=0,0,ROUND(MAX($J1209*1.4*1.5*1.6*1.6*2.2*2.715,354000000*(1.642074^(MIN($E1209,123)-117)))*1,0))</f>
        <v>4078202</v>
      </c>
      <c r="W1209" s="6">
        <f>$E1209+15</f>
        <v>123</v>
      </c>
      <c r="X1209" s="7">
        <f>IF($J1209=0,0,ROUND(MAX($J1209*1.4*1.5*1.6*1.6*2.2*2.715*2.6,3540000000*(1.579646^(MIN($E1209,123)-117)))*1,0))</f>
        <v>57804988</v>
      </c>
      <c r="Y1209" s="4">
        <f>$E1209+17</f>
        <v>125</v>
      </c>
      <c r="Z1209" s="8">
        <f>IF($J1209=0,0,ROUND(MAX($J1209*1.4*1.5*1.6*1.6*2.2*2.715*2.6*1.4,6020000000*(1.651178^(MIN($E1209,123)-117)))*1,0))</f>
        <v>65985946</v>
      </c>
      <c r="AA1209" s="6">
        <f>$E1209+19</f>
        <v>127</v>
      </c>
      <c r="AB1209" s="7">
        <f>IF($J1209=0,0,ROUND(MAX($J1209*1.4*1.5*1.6*1.6*2.2*2.715*2.6*1.4*1.4,8430000000*(1.651435^(MIN($E1209,123)-117)))*1,0))</f>
        <v>92272909</v>
      </c>
      <c r="AC1209" s="4">
        <f>$E1209+21</f>
        <v>129</v>
      </c>
      <c r="AD1209" s="8">
        <f>IF($J1209=0,0,ROUND(MAX($J1209*1.4*1.5*1.6*1.6*2.2*2.715*2.6*1.4*1.4*1.5,12600000000*(1.652953^(MIN($E1209,123)-117)))*1,0))</f>
        <v>136781071</v>
      </c>
      <c r="AE1209" s="6">
        <f>$E1209+24</f>
        <v>132</v>
      </c>
      <c r="AF1209" s="7">
        <f>IF($J1209=0,0,ROUND(MAX($J1209*1.4*1.5*1.6*1.6*2.2*2.715*2.6*1.4*1.4*1.5*1.5,18900000000*(1.65331^(MIN($E1209,123)-117)))*1,0))</f>
        <v>204773225</v>
      </c>
      <c r="AG1209" s="4">
        <f>$E1209+27</f>
        <v>135</v>
      </c>
      <c r="AH1209" s="8">
        <f>IF($J1209=0,0,ROUND(MAX($J1209*1.4*1.5*1.6*1.6*2.2*2.715*2.6*1.4*1.4*1.5*1.5*3.2,60500000000*(1.654288^(MIN($E1209,123)-117)))*1,0))</f>
        <v>652011566</v>
      </c>
    </row>
    <row r="1210" ht="27.75" customHeight="1" spans="1:34" x14ac:dyDescent="0.25">
      <c r="A1210" s="3">
        <v>1220</v>
      </c>
      <c r="B1210" s="3" t="s">
        <v>587</v>
      </c>
      <c r="C1210" s="3" t="s">
        <v>829</v>
      </c>
      <c r="D1210" s="3" t="s">
        <v>79</v>
      </c>
      <c r="E1210" s="3">
        <v>107</v>
      </c>
      <c r="F1210" s="3" t="s">
        <v>30</v>
      </c>
      <c r="G1210" s="3" t="s">
        <v>38</v>
      </c>
      <c r="H1210" s="3">
        <v>24</v>
      </c>
      <c r="I1210" s="4">
        <v>107</v>
      </c>
      <c r="J1210" s="5">
        <v>115000</v>
      </c>
      <c r="K1210" s="6">
        <f>$E1210+1</f>
        <v>108</v>
      </c>
      <c r="L1210" s="7">
        <f>IF($J1210=0,0,ROUND(MAX($J1210*1.4,1620000*(1.497923^(MIN($E1210,123)-117)))*1,0))</f>
        <v>161000</v>
      </c>
      <c r="M1210" s="4">
        <f>$E1210+2</f>
        <v>109</v>
      </c>
      <c r="N1210" s="8">
        <f>IF($J1210=0,0,ROUND(MAX($J1210*1.4*1.5,2190000*(1.580994^(MIN($E1210,123)-117)))*1,0))</f>
        <v>241500</v>
      </c>
      <c r="O1210" s="6">
        <f>$E1210+4</f>
        <v>111</v>
      </c>
      <c r="P1210" s="7">
        <f>IF($J1210=0,0,ROUND(MAX($J1210*1.4*1.5*1.6,3500000*(1.57975^(MIN($E1210,123)-117)))*1,0))</f>
        <v>386400</v>
      </c>
      <c r="Q1210" s="4">
        <f>$E1210+6</f>
        <v>113</v>
      </c>
      <c r="R1210" s="8">
        <f>IF($J1210=0,0,ROUND(MAX($J1210*1.4*1.5*1.6*1.6,13100000*(1.429962^(MIN($E1210,123)-117)))*1,0))</f>
        <v>618240</v>
      </c>
      <c r="S1210" s="6">
        <f>$E1210+8</f>
        <v>115</v>
      </c>
      <c r="T1210" s="7">
        <f>IF($J1210=0,0,ROUND(MAX($J1210*1.4*1.5*1.6*1.6*2.2,42600000*(1.576904^(MIN($E1210,123)-117)))*1,0))</f>
        <v>1360128</v>
      </c>
      <c r="U1210" s="4">
        <f>$E1210+11</f>
        <v>118</v>
      </c>
      <c r="V1210" s="8">
        <f>IF($J1210=0,0,ROUND(MAX($J1210*1.4*1.5*1.6*1.6*2.2*2.715,354000000*(1.642074^(MIN($E1210,123)-117)))*1,0))</f>
        <v>3692748</v>
      </c>
      <c r="W1210" s="6">
        <f>$E1210+15</f>
        <v>122</v>
      </c>
      <c r="X1210" s="7">
        <f>IF($J1210=0,0,ROUND(MAX($J1210*1.4*1.5*1.6*1.6*2.2*2.715*2.6,3540000000*(1.579646^(MIN($E1210,123)-117)))*1,0))</f>
        <v>36593634</v>
      </c>
      <c r="Y1210" s="4">
        <f>$E1210+17</f>
        <v>124</v>
      </c>
      <c r="Z1210" s="8">
        <f>IF($J1210=0,0,ROUND(MAX($J1210*1.4*1.5*1.6*1.6*2.2*2.715*2.6*1.4,6020000000*(1.651178^(MIN($E1210,123)-117)))*1,0))</f>
        <v>39962952</v>
      </c>
      <c r="AA1210" s="6">
        <f>$E1210+19</f>
        <v>126</v>
      </c>
      <c r="AB1210" s="7">
        <f>IF($J1210=0,0,ROUND(MAX($J1210*1.4*1.5*1.6*1.6*2.2*2.715*2.6*1.4*1.4,8430000000*(1.651435^(MIN($E1210,123)-117)))*1,0))</f>
        <v>55874381</v>
      </c>
      <c r="AC1210" s="4">
        <f>$E1210+21</f>
        <v>128</v>
      </c>
      <c r="AD1210" s="8">
        <f>IF($J1210=0,0,ROUND(MAX($J1210*1.4*1.5*1.6*1.6*2.2*2.715*2.6*1.4*1.4*1.5,12600000000*(1.652953^(MIN($E1210,123)-117)))*1,0))</f>
        <v>82749522</v>
      </c>
      <c r="AE1210" s="6">
        <f>$E1210+24</f>
        <v>131</v>
      </c>
      <c r="AF1210" s="7">
        <f>IF($J1210=0,0,ROUND(MAX($J1210*1.4*1.5*1.6*1.6*2.2*2.715*2.6*1.4*1.4*1.5*1.5,18900000000*(1.65331^(MIN($E1210,123)-117)))*1,0))</f>
        <v>123856521</v>
      </c>
      <c r="AG1210" s="4">
        <f>$E1210+27</f>
        <v>134</v>
      </c>
      <c r="AH1210" s="8">
        <f>IF($J1210=0,0,ROUND(MAX($J1210*1.4*1.5*1.6*1.6*2.2*2.715*2.6*1.4*1.4*1.5*1.5*3.2,60500000000*(1.654288^(MIN($E1210,123)-117)))*1,0))</f>
        <v>394134254</v>
      </c>
    </row>
    <row r="1211" ht="27.75" customHeight="1" spans="1:34" x14ac:dyDescent="0.25">
      <c r="A1211" s="3">
        <v>1221</v>
      </c>
      <c r="B1211" s="3" t="s">
        <v>901</v>
      </c>
      <c r="C1211" s="3" t="s">
        <v>829</v>
      </c>
      <c r="D1211" s="3" t="s">
        <v>75</v>
      </c>
      <c r="E1211" s="3">
        <v>107</v>
      </c>
      <c r="F1211" s="3" t="s">
        <v>42</v>
      </c>
      <c r="G1211" s="3" t="s">
        <v>595</v>
      </c>
      <c r="H1211" s="3">
        <v>23</v>
      </c>
      <c r="I1211" s="4">
        <v>107</v>
      </c>
      <c r="J1211" s="5">
        <v>22200</v>
      </c>
      <c r="K1211" s="6">
        <f>$E1211+1</f>
        <v>108</v>
      </c>
      <c r="L1211" s="7">
        <f>IF($J1211=0,0,ROUND(MAX($J1211*1.4,1620000*(1.497923^(MIN($E1211,123)-117)))*1,0))</f>
        <v>31080</v>
      </c>
      <c r="M1211" s="4">
        <f>$E1211+2</f>
        <v>109</v>
      </c>
      <c r="N1211" s="8">
        <f>IF($J1211=0,0,ROUND(MAX($J1211*1.4*1.5,2190000*(1.580994^(MIN($E1211,123)-117)))*1,0))</f>
        <v>46620</v>
      </c>
      <c r="O1211" s="6">
        <f>$E1211+4</f>
        <v>111</v>
      </c>
      <c r="P1211" s="7">
        <f>IF($J1211=0,0,ROUND(MAX($J1211*1.4*1.5*1.6,3500000*(1.57975^(MIN($E1211,123)-117)))*1,0))</f>
        <v>74592</v>
      </c>
      <c r="Q1211" s="4">
        <f>$E1211+6</f>
        <v>113</v>
      </c>
      <c r="R1211" s="8">
        <f>IF($J1211=0,0,ROUND(MAX($J1211*1.4*1.5*1.6*1.6,13100000*(1.429962^(MIN($E1211,123)-117)))*1,0))</f>
        <v>366460</v>
      </c>
      <c r="S1211" s="6">
        <f>$E1211+8</f>
        <v>115</v>
      </c>
      <c r="T1211" s="7">
        <f>IF($J1211=0,0,ROUND(MAX($J1211*1.4*1.5*1.6*1.6*2.2,42600000*(1.576904^(MIN($E1211,123)-117)))*1,0))</f>
        <v>448082</v>
      </c>
      <c r="U1211" s="4">
        <f>$E1211+11</f>
        <v>118</v>
      </c>
      <c r="V1211" s="8">
        <f>IF($J1211=0,0,ROUND(MAX($J1211*1.4*1.5*1.6*1.6*2.2*2.715,354000000*(1.642074^(MIN($E1211,123)-117)))*1,0))</f>
        <v>2483568</v>
      </c>
      <c r="W1211" s="6">
        <f>$E1211+15</f>
        <v>122</v>
      </c>
      <c r="X1211" s="7">
        <f>IF($J1211=0,0,ROUND(MAX($J1211*1.4*1.5*1.6*1.6*2.2*2.715*2.6,3540000000*(1.579646^(MIN($E1211,123)-117)))*1,0))</f>
        <v>36593634</v>
      </c>
      <c r="Y1211" s="4">
        <f>$E1211+17</f>
        <v>124</v>
      </c>
      <c r="Z1211" s="8">
        <f>IF($J1211=0,0,ROUND(MAX($J1211*1.4*1.5*1.6*1.6*2.2*2.715*2.6*1.4,6020000000*(1.651178^(MIN($E1211,123)-117)))*1,0))</f>
        <v>39962952</v>
      </c>
      <c r="AA1211" s="6">
        <f>$E1211+19</f>
        <v>126</v>
      </c>
      <c r="AB1211" s="7">
        <f>IF($J1211=0,0,ROUND(MAX($J1211*1.4*1.5*1.6*1.6*2.2*2.715*2.6*1.4*1.4,8430000000*(1.651435^(MIN($E1211,123)-117)))*1,0))</f>
        <v>55874381</v>
      </c>
      <c r="AC1211" s="4">
        <f>$E1211+21</f>
        <v>128</v>
      </c>
      <c r="AD1211" s="8">
        <f>IF($J1211=0,0,ROUND(MAX($J1211*1.4*1.5*1.6*1.6*2.2*2.715*2.6*1.4*1.4*1.5,12600000000*(1.652953^(MIN($E1211,123)-117)))*1,0))</f>
        <v>82749522</v>
      </c>
      <c r="AE1211" s="6">
        <f>$E1211+24</f>
        <v>131</v>
      </c>
      <c r="AF1211" s="7">
        <f>IF($J1211=0,0,ROUND(MAX($J1211*1.4*1.5*1.6*1.6*2.2*2.715*2.6*1.4*1.4*1.5*1.5,18900000000*(1.65331^(MIN($E1211,123)-117)))*1,0))</f>
        <v>123856521</v>
      </c>
      <c r="AG1211" s="4">
        <f>$E1211+27</f>
        <v>134</v>
      </c>
      <c r="AH1211" s="8">
        <f>IF($J1211=0,0,ROUND(MAX($J1211*1.4*1.5*1.6*1.6*2.2*2.715*2.6*1.4*1.4*1.5*1.5*3.2,60500000000*(1.654288^(MIN($E1211,123)-117)))*1,0))</f>
        <v>394134254</v>
      </c>
    </row>
    <row r="1212" ht="27.75" customHeight="1" spans="1:34" x14ac:dyDescent="0.25">
      <c r="A1212" s="3">
        <v>1222</v>
      </c>
      <c r="B1212" s="3" t="s">
        <v>902</v>
      </c>
      <c r="C1212" s="3" t="s">
        <v>829</v>
      </c>
      <c r="D1212" s="3" t="s">
        <v>75</v>
      </c>
      <c r="E1212" s="3">
        <v>107</v>
      </c>
      <c r="F1212" s="3" t="s">
        <v>88</v>
      </c>
      <c r="G1212" s="3" t="s">
        <v>801</v>
      </c>
      <c r="H1212" s="3">
        <v>23</v>
      </c>
      <c r="I1212" s="4">
        <v>107</v>
      </c>
      <c r="J1212" s="5">
        <v>67800</v>
      </c>
      <c r="K1212" s="6">
        <f>$E1212+1</f>
        <v>108</v>
      </c>
      <c r="L1212" s="7">
        <f>IF($J1212=0,0,ROUND(MAX($J1212*1.4,1620000*(1.497923^(MIN($E1212,123)-117)))*1,0))</f>
        <v>94920</v>
      </c>
      <c r="M1212" s="4">
        <f>$E1212+2</f>
        <v>109</v>
      </c>
      <c r="N1212" s="8">
        <f>IF($J1212=0,0,ROUND(MAX($J1212*1.4*1.5,2190000*(1.580994^(MIN($E1212,123)-117)))*1,0))</f>
        <v>142380</v>
      </c>
      <c r="O1212" s="6">
        <f>$E1212+4</f>
        <v>111</v>
      </c>
      <c r="P1212" s="7">
        <f>IF($J1212=0,0,ROUND(MAX($J1212*1.4*1.5*1.6,3500000*(1.57975^(MIN($E1212,123)-117)))*1,0))</f>
        <v>227808</v>
      </c>
      <c r="Q1212" s="4">
        <f>$E1212+6</f>
        <v>113</v>
      </c>
      <c r="R1212" s="8">
        <f>IF($J1212=0,0,ROUND(MAX($J1212*1.4*1.5*1.6*1.6,13100000*(1.429962^(MIN($E1212,123)-117)))*1,0))</f>
        <v>366460</v>
      </c>
      <c r="S1212" s="6">
        <f>$E1212+8</f>
        <v>115</v>
      </c>
      <c r="T1212" s="7">
        <f>IF($J1212=0,0,ROUND(MAX($J1212*1.4*1.5*1.6*1.6*2.2,42600000*(1.576904^(MIN($E1212,123)-117)))*1,0))</f>
        <v>801884</v>
      </c>
      <c r="U1212" s="4">
        <f>$E1212+11</f>
        <v>118</v>
      </c>
      <c r="V1212" s="8">
        <f>IF($J1212=0,0,ROUND(MAX($J1212*1.4*1.5*1.6*1.6*2.2*2.715,354000000*(1.642074^(MIN($E1212,123)-117)))*1,0))</f>
        <v>2483568</v>
      </c>
      <c r="W1212" s="6">
        <f>$E1212+15</f>
        <v>122</v>
      </c>
      <c r="X1212" s="7">
        <f>IF($J1212=0,0,ROUND(MAX($J1212*1.4*1.5*1.6*1.6*2.2*2.715*2.6,3540000000*(1.579646^(MIN($E1212,123)-117)))*1,0))</f>
        <v>36593634</v>
      </c>
      <c r="Y1212" s="4">
        <f>$E1212+17</f>
        <v>124</v>
      </c>
      <c r="Z1212" s="8">
        <f>IF($J1212=0,0,ROUND(MAX($J1212*1.4*1.5*1.6*1.6*2.2*2.715*2.6*1.4,6020000000*(1.651178^(MIN($E1212,123)-117)))*1,0))</f>
        <v>39962952</v>
      </c>
      <c r="AA1212" s="6">
        <f>$E1212+19</f>
        <v>126</v>
      </c>
      <c r="AB1212" s="7">
        <f>IF($J1212=0,0,ROUND(MAX($J1212*1.4*1.5*1.6*1.6*2.2*2.715*2.6*1.4*1.4,8430000000*(1.651435^(MIN($E1212,123)-117)))*1,0))</f>
        <v>55874381</v>
      </c>
      <c r="AC1212" s="4">
        <f>$E1212+21</f>
        <v>128</v>
      </c>
      <c r="AD1212" s="8">
        <f>IF($J1212=0,0,ROUND(MAX($J1212*1.4*1.5*1.6*1.6*2.2*2.715*2.6*1.4*1.4*1.5,12600000000*(1.652953^(MIN($E1212,123)-117)))*1,0))</f>
        <v>82749522</v>
      </c>
      <c r="AE1212" s="6">
        <f>$E1212+24</f>
        <v>131</v>
      </c>
      <c r="AF1212" s="7">
        <f>IF($J1212=0,0,ROUND(MAX($J1212*1.4*1.5*1.6*1.6*2.2*2.715*2.6*1.4*1.4*1.5*1.5,18900000000*(1.65331^(MIN($E1212,123)-117)))*1,0))</f>
        <v>123856521</v>
      </c>
      <c r="AG1212" s="4">
        <f>$E1212+27</f>
        <v>134</v>
      </c>
      <c r="AH1212" s="8">
        <f>IF($J1212=0,0,ROUND(MAX($J1212*1.4*1.5*1.6*1.6*2.2*2.715*2.6*1.4*1.4*1.5*1.5*3.2,60500000000*(1.654288^(MIN($E1212,123)-117)))*1,0))</f>
        <v>394134254</v>
      </c>
    </row>
    <row r="1213" ht="27.75" customHeight="1" spans="1:34" x14ac:dyDescent="0.25">
      <c r="A1213" s="3">
        <v>1223</v>
      </c>
      <c r="B1213" s="3" t="s">
        <v>903</v>
      </c>
      <c r="C1213" s="3" t="s">
        <v>829</v>
      </c>
      <c r="D1213" s="3" t="s">
        <v>241</v>
      </c>
      <c r="E1213" s="3">
        <v>107</v>
      </c>
      <c r="F1213" s="3" t="s">
        <v>237</v>
      </c>
      <c r="G1213" s="3" t="s">
        <v>295</v>
      </c>
      <c r="H1213" s="3">
        <v>23</v>
      </c>
      <c r="I1213" s="4">
        <v>107</v>
      </c>
      <c r="J1213" s="5">
        <v>5960</v>
      </c>
      <c r="K1213" s="6">
        <f>$E1213+1</f>
        <v>108</v>
      </c>
      <c r="L1213" s="7">
        <f>IF($J1213=0,0,ROUND(MAX($J1213*1.4,1620000*(1.497923^(MIN($E1213,123)-117)))*1,0))</f>
        <v>28485</v>
      </c>
      <c r="M1213" s="4">
        <f>$E1213+2</f>
        <v>109</v>
      </c>
      <c r="N1213" s="8">
        <f>IF($J1213=0,0,ROUND(MAX($J1213*1.4*1.5,2190000*(1.580994^(MIN($E1213,123)-117)))*1,0))</f>
        <v>22446</v>
      </c>
      <c r="O1213" s="6">
        <f>$E1213+4</f>
        <v>111</v>
      </c>
      <c r="P1213" s="7">
        <f>IF($J1213=0,0,ROUND(MAX($J1213*1.4*1.5*1.6,3500000*(1.57975^(MIN($E1213,123)-117)))*1,0))</f>
        <v>36156</v>
      </c>
      <c r="Q1213" s="4">
        <f>$E1213+6</f>
        <v>113</v>
      </c>
      <c r="R1213" s="8">
        <f>IF($J1213=0,0,ROUND(MAX($J1213*1.4*1.5*1.6*1.6,13100000*(1.429962^(MIN($E1213,123)-117)))*1,0))</f>
        <v>366460</v>
      </c>
      <c r="S1213" s="6">
        <f>$E1213+8</f>
        <v>115</v>
      </c>
      <c r="T1213" s="7">
        <f>IF($J1213=0,0,ROUND(MAX($J1213*1.4*1.5*1.6*1.6*2.2,42600000*(1.576904^(MIN($E1213,123)-117)))*1,0))</f>
        <v>448082</v>
      </c>
      <c r="U1213" s="4">
        <f>$E1213+11</f>
        <v>118</v>
      </c>
      <c r="V1213" s="8">
        <f>IF($J1213=0,0,ROUND(MAX($J1213*1.4*1.5*1.6*1.6*2.2*2.715,354000000*(1.642074^(MIN($E1213,123)-117)))*1,0))</f>
        <v>2483568</v>
      </c>
      <c r="W1213" s="6">
        <f>$E1213+15</f>
        <v>122</v>
      </c>
      <c r="X1213" s="7">
        <f>IF($J1213=0,0,ROUND(MAX($J1213*1.4*1.5*1.6*1.6*2.2*2.715*2.6,3540000000*(1.579646^(MIN($E1213,123)-117)))*1,0))</f>
        <v>36593634</v>
      </c>
      <c r="Y1213" s="4">
        <f>$E1213+17</f>
        <v>124</v>
      </c>
      <c r="Z1213" s="8">
        <f>IF($J1213=0,0,ROUND(MAX($J1213*1.4*1.5*1.6*1.6*2.2*2.715*2.6*1.4,6020000000*(1.651178^(MIN($E1213,123)-117)))*1,0))</f>
        <v>39962952</v>
      </c>
      <c r="AA1213" s="6">
        <f>$E1213+19</f>
        <v>126</v>
      </c>
      <c r="AB1213" s="7">
        <f>IF($J1213=0,0,ROUND(MAX($J1213*1.4*1.5*1.6*1.6*2.2*2.715*2.6*1.4*1.4,8430000000*(1.651435^(MIN($E1213,123)-117)))*1,0))</f>
        <v>55874381</v>
      </c>
      <c r="AC1213" s="4">
        <f>$E1213+21</f>
        <v>128</v>
      </c>
      <c r="AD1213" s="8">
        <f>IF($J1213=0,0,ROUND(MAX($J1213*1.4*1.5*1.6*1.6*2.2*2.715*2.6*1.4*1.4*1.5,12600000000*(1.652953^(MIN($E1213,123)-117)))*1,0))</f>
        <v>82749522</v>
      </c>
      <c r="AE1213" s="6">
        <f>$E1213+24</f>
        <v>131</v>
      </c>
      <c r="AF1213" s="7">
        <f>IF($J1213=0,0,ROUND(MAX($J1213*1.4*1.5*1.6*1.6*2.2*2.715*2.6*1.4*1.4*1.5*1.5,18900000000*(1.65331^(MIN($E1213,123)-117)))*1,0))</f>
        <v>123856521</v>
      </c>
      <c r="AG1213" s="4">
        <f>$E1213+27</f>
        <v>134</v>
      </c>
      <c r="AH1213" s="8">
        <f>IF($J1213=0,0,ROUND(MAX($J1213*1.4*1.5*1.6*1.6*2.2*2.715*2.6*1.4*1.4*1.5*1.5*3.2,60500000000*(1.654288^(MIN($E1213,123)-117)))*1,0))</f>
        <v>394134254</v>
      </c>
    </row>
    <row r="1214" ht="27.75" customHeight="1" spans="1:34" x14ac:dyDescent="0.25">
      <c r="A1214" s="3">
        <v>1224</v>
      </c>
      <c r="B1214" s="3" t="s">
        <v>904</v>
      </c>
      <c r="C1214" s="3" t="s">
        <v>829</v>
      </c>
      <c r="D1214" s="3" t="s">
        <v>90</v>
      </c>
      <c r="E1214" s="3">
        <v>107</v>
      </c>
      <c r="F1214" s="3" t="s">
        <v>42</v>
      </c>
      <c r="G1214" s="3" t="s">
        <v>349</v>
      </c>
      <c r="H1214" s="3">
        <v>23</v>
      </c>
      <c r="I1214" s="4">
        <v>107</v>
      </c>
      <c r="J1214" s="5">
        <v>93100</v>
      </c>
      <c r="K1214" s="6">
        <f>$E1214+1</f>
        <v>108</v>
      </c>
      <c r="L1214" s="7">
        <f>IF($J1214=0,0,ROUND(MAX($J1214*1.4,1620000*(1.497923^(MIN($E1214,123)-117)))*1,0))</f>
        <v>130340</v>
      </c>
      <c r="M1214" s="4">
        <f>$E1214+2</f>
        <v>109</v>
      </c>
      <c r="N1214" s="8">
        <f>IF($J1214=0,0,ROUND(MAX($J1214*1.4*1.5,2190000*(1.580994^(MIN($E1214,123)-117)))*1,0))</f>
        <v>195510</v>
      </c>
      <c r="O1214" s="6">
        <f>$E1214+4</f>
        <v>111</v>
      </c>
      <c r="P1214" s="7">
        <f>IF($J1214=0,0,ROUND(MAX($J1214*1.4*1.5*1.6,3500000*(1.57975^(MIN($E1214,123)-117)))*1,0))</f>
        <v>312816</v>
      </c>
      <c r="Q1214" s="4">
        <f>$E1214+6</f>
        <v>113</v>
      </c>
      <c r="R1214" s="8">
        <f>IF($J1214=0,0,ROUND(MAX($J1214*1.4*1.5*1.6*1.6,13100000*(1.429962^(MIN($E1214,123)-117)))*1,0))</f>
        <v>500506</v>
      </c>
      <c r="S1214" s="6">
        <f>$E1214+8</f>
        <v>115</v>
      </c>
      <c r="T1214" s="7">
        <f>IF($J1214=0,0,ROUND(MAX($J1214*1.4*1.5*1.6*1.6*2.2,42600000*(1.576904^(MIN($E1214,123)-117)))*1,0))</f>
        <v>1101112</v>
      </c>
      <c r="U1214" s="4">
        <f>$E1214+11</f>
        <v>118</v>
      </c>
      <c r="V1214" s="8">
        <f>IF($J1214=0,0,ROUND(MAX($J1214*1.4*1.5*1.6*1.6*2.2*2.715,354000000*(1.642074^(MIN($E1214,123)-117)))*1,0))</f>
        <v>2989520</v>
      </c>
      <c r="W1214" s="6">
        <f>$E1214+15</f>
        <v>122</v>
      </c>
      <c r="X1214" s="7">
        <f>IF($J1214=0,0,ROUND(MAX($J1214*1.4*1.5*1.6*1.6*2.2*2.715*2.6,3540000000*(1.579646^(MIN($E1214,123)-117)))*1,0))</f>
        <v>36593634</v>
      </c>
      <c r="Y1214" s="4">
        <f>$E1214+17</f>
        <v>124</v>
      </c>
      <c r="Z1214" s="8">
        <f>IF($J1214=0,0,ROUND(MAX($J1214*1.4*1.5*1.6*1.6*2.2*2.715*2.6*1.4,6020000000*(1.651178^(MIN($E1214,123)-117)))*1,0))</f>
        <v>39962952</v>
      </c>
      <c r="AA1214" s="6">
        <f>$E1214+19</f>
        <v>126</v>
      </c>
      <c r="AB1214" s="7">
        <f>IF($J1214=0,0,ROUND(MAX($J1214*1.4*1.5*1.6*1.6*2.2*2.715*2.6*1.4*1.4,8430000000*(1.651435^(MIN($E1214,123)-117)))*1,0))</f>
        <v>55874381</v>
      </c>
      <c r="AC1214" s="4">
        <f>$E1214+21</f>
        <v>128</v>
      </c>
      <c r="AD1214" s="8">
        <f>IF($J1214=0,0,ROUND(MAX($J1214*1.4*1.5*1.6*1.6*2.2*2.715*2.6*1.4*1.4*1.5,12600000000*(1.652953^(MIN($E1214,123)-117)))*1,0))</f>
        <v>82749522</v>
      </c>
      <c r="AE1214" s="6">
        <f>$E1214+24</f>
        <v>131</v>
      </c>
      <c r="AF1214" s="7">
        <f>IF($J1214=0,0,ROUND(MAX($J1214*1.4*1.5*1.6*1.6*2.2*2.715*2.6*1.4*1.4*1.5*1.5,18900000000*(1.65331^(MIN($E1214,123)-117)))*1,0))</f>
        <v>123856521</v>
      </c>
      <c r="AG1214" s="4">
        <f>$E1214+27</f>
        <v>134</v>
      </c>
      <c r="AH1214" s="8">
        <f>IF($J1214=0,0,ROUND(MAX($J1214*1.4*1.5*1.6*1.6*2.2*2.715*2.6*1.4*1.4*1.5*1.5*3.2,60500000000*(1.654288^(MIN($E1214,123)-117)))*1,0))</f>
        <v>394134254</v>
      </c>
    </row>
    <row r="1215" ht="27.75" customHeight="1" spans="1:34" x14ac:dyDescent="0.25">
      <c r="A1215" s="3">
        <v>1225</v>
      </c>
      <c r="B1215" s="3" t="s">
        <v>905</v>
      </c>
      <c r="C1215" s="3" t="s">
        <v>829</v>
      </c>
      <c r="D1215" s="3" t="s">
        <v>90</v>
      </c>
      <c r="E1215" s="3">
        <v>107</v>
      </c>
      <c r="F1215" s="3" t="s">
        <v>62</v>
      </c>
      <c r="G1215" s="3" t="s">
        <v>51</v>
      </c>
      <c r="H1215" s="3">
        <v>23</v>
      </c>
      <c r="I1215" s="4">
        <v>107</v>
      </c>
      <c r="J1215" s="5">
        <v>45800</v>
      </c>
      <c r="K1215" s="6">
        <f>$E1215+1</f>
        <v>108</v>
      </c>
      <c r="L1215" s="7">
        <f>IF($J1215=0,0,ROUND(MAX($J1215*1.4,1620000*(1.497923^(MIN($E1215,123)-117)))*1,0))</f>
        <v>64120</v>
      </c>
      <c r="M1215" s="4">
        <f>$E1215+2</f>
        <v>109</v>
      </c>
      <c r="N1215" s="8">
        <f>IF($J1215=0,0,ROUND(MAX($J1215*1.4*1.5,2190000*(1.580994^(MIN($E1215,123)-117)))*1,0))</f>
        <v>96180</v>
      </c>
      <c r="O1215" s="6">
        <f>$E1215+4</f>
        <v>111</v>
      </c>
      <c r="P1215" s="7">
        <f>IF($J1215=0,0,ROUND(MAX($J1215*1.4*1.5*1.6,3500000*(1.57975^(MIN($E1215,123)-117)))*1,0))</f>
        <v>153888</v>
      </c>
      <c r="Q1215" s="4">
        <f>$E1215+6</f>
        <v>113</v>
      </c>
      <c r="R1215" s="8">
        <f>IF($J1215=0,0,ROUND(MAX($J1215*1.4*1.5*1.6*1.6,13100000*(1.429962^(MIN($E1215,123)-117)))*1,0))</f>
        <v>366460</v>
      </c>
      <c r="S1215" s="6">
        <f>$E1215+8</f>
        <v>115</v>
      </c>
      <c r="T1215" s="7">
        <f>IF($J1215=0,0,ROUND(MAX($J1215*1.4*1.5*1.6*1.6*2.2,42600000*(1.576904^(MIN($E1215,123)-117)))*1,0))</f>
        <v>541686</v>
      </c>
      <c r="U1215" s="4">
        <f>$E1215+11</f>
        <v>118</v>
      </c>
      <c r="V1215" s="8">
        <f>IF($J1215=0,0,ROUND(MAX($J1215*1.4*1.5*1.6*1.6*2.2*2.715,354000000*(1.642074^(MIN($E1215,123)-117)))*1,0))</f>
        <v>2483568</v>
      </c>
      <c r="W1215" s="6">
        <f>$E1215+15</f>
        <v>122</v>
      </c>
      <c r="X1215" s="7">
        <f>IF($J1215=0,0,ROUND(MAX($J1215*1.4*1.5*1.6*1.6*2.2*2.715*2.6,3540000000*(1.579646^(MIN($E1215,123)-117)))*1,0))</f>
        <v>36593634</v>
      </c>
      <c r="Y1215" s="4">
        <f>$E1215+17</f>
        <v>124</v>
      </c>
      <c r="Z1215" s="8">
        <f>IF($J1215=0,0,ROUND(MAX($J1215*1.4*1.5*1.6*1.6*2.2*2.715*2.6*1.4,6020000000*(1.651178^(MIN($E1215,123)-117)))*1,0))</f>
        <v>39962952</v>
      </c>
      <c r="AA1215" s="6">
        <f>$E1215+19</f>
        <v>126</v>
      </c>
      <c r="AB1215" s="7">
        <f>IF($J1215=0,0,ROUND(MAX($J1215*1.4*1.5*1.6*1.6*2.2*2.715*2.6*1.4*1.4,8430000000*(1.651435^(MIN($E1215,123)-117)))*1,0))</f>
        <v>55874381</v>
      </c>
      <c r="AC1215" s="4">
        <f>$E1215+21</f>
        <v>128</v>
      </c>
      <c r="AD1215" s="8">
        <f>IF($J1215=0,0,ROUND(MAX($J1215*1.4*1.5*1.6*1.6*2.2*2.715*2.6*1.4*1.4*1.5,12600000000*(1.652953^(MIN($E1215,123)-117)))*1,0))</f>
        <v>82749522</v>
      </c>
      <c r="AE1215" s="6">
        <f>$E1215+24</f>
        <v>131</v>
      </c>
      <c r="AF1215" s="7">
        <f>IF($J1215=0,0,ROUND(MAX($J1215*1.4*1.5*1.6*1.6*2.2*2.715*2.6*1.4*1.4*1.5*1.5,18900000000*(1.65331^(MIN($E1215,123)-117)))*1,0))</f>
        <v>123856521</v>
      </c>
      <c r="AG1215" s="4">
        <f>$E1215+27</f>
        <v>134</v>
      </c>
      <c r="AH1215" s="8">
        <f>IF($J1215=0,0,ROUND(MAX($J1215*1.4*1.5*1.6*1.6*2.2*2.715*2.6*1.4*1.4*1.5*1.5*3.2,60500000000*(1.654288^(MIN($E1215,123)-117)))*1,0))</f>
        <v>394134254</v>
      </c>
    </row>
    <row r="1216" ht="27.75" customHeight="1" spans="1:34" x14ac:dyDescent="0.25">
      <c r="A1216" s="3">
        <v>1226</v>
      </c>
      <c r="B1216" s="3" t="s">
        <v>906</v>
      </c>
      <c r="C1216" s="3" t="s">
        <v>829</v>
      </c>
      <c r="D1216" s="3" t="s">
        <v>241</v>
      </c>
      <c r="E1216" s="3">
        <v>107</v>
      </c>
      <c r="F1216" s="3" t="s">
        <v>62</v>
      </c>
      <c r="G1216" s="3" t="s">
        <v>423</v>
      </c>
      <c r="H1216" s="3">
        <v>23</v>
      </c>
      <c r="I1216" s="4">
        <v>107</v>
      </c>
      <c r="J1216" s="5">
        <v>17800</v>
      </c>
      <c r="K1216" s="6">
        <f>$E1216+1</f>
        <v>108</v>
      </c>
      <c r="L1216" s="7">
        <f>IF($J1216=0,0,ROUND(MAX($J1216*1.4,1620000*(1.497923^(MIN($E1216,123)-117)))*1,0))</f>
        <v>28485</v>
      </c>
      <c r="M1216" s="4">
        <f>$E1216+2</f>
        <v>109</v>
      </c>
      <c r="N1216" s="8">
        <f>IF($J1216=0,0,ROUND(MAX($J1216*1.4*1.5,2190000*(1.580994^(MIN($E1216,123)-117)))*1,0))</f>
        <v>37380</v>
      </c>
      <c r="O1216" s="6">
        <f>$E1216+4</f>
        <v>111</v>
      </c>
      <c r="P1216" s="7">
        <f>IF($J1216=0,0,ROUND(MAX($J1216*1.4*1.5*1.6,3500000*(1.57975^(MIN($E1216,123)-117)))*1,0))</f>
        <v>59808</v>
      </c>
      <c r="Q1216" s="4">
        <f>$E1216+6</f>
        <v>113</v>
      </c>
      <c r="R1216" s="8">
        <f>IF($J1216=0,0,ROUND(MAX($J1216*1.4*1.5*1.6*1.6,13100000*(1.429962^(MIN($E1216,123)-117)))*1,0))</f>
        <v>366460</v>
      </c>
      <c r="S1216" s="6">
        <f>$E1216+8</f>
        <v>115</v>
      </c>
      <c r="T1216" s="7">
        <f>IF($J1216=0,0,ROUND(MAX($J1216*1.4*1.5*1.6*1.6*2.2,42600000*(1.576904^(MIN($E1216,123)-117)))*1,0))</f>
        <v>448082</v>
      </c>
      <c r="U1216" s="4">
        <f>$E1216+11</f>
        <v>118</v>
      </c>
      <c r="V1216" s="8">
        <f>IF($J1216=0,0,ROUND(MAX($J1216*1.4*1.5*1.6*1.6*2.2*2.715,354000000*(1.642074^(MIN($E1216,123)-117)))*1,0))</f>
        <v>2483568</v>
      </c>
      <c r="W1216" s="6">
        <f>$E1216+15</f>
        <v>122</v>
      </c>
      <c r="X1216" s="7">
        <f>IF($J1216=0,0,ROUND(MAX($J1216*1.4*1.5*1.6*1.6*2.2*2.715*2.6,3540000000*(1.579646^(MIN($E1216,123)-117)))*1,0))</f>
        <v>36593634</v>
      </c>
      <c r="Y1216" s="4">
        <f>$E1216+17</f>
        <v>124</v>
      </c>
      <c r="Z1216" s="8">
        <f>IF($J1216=0,0,ROUND(MAX($J1216*1.4*1.5*1.6*1.6*2.2*2.715*2.6*1.4,6020000000*(1.651178^(MIN($E1216,123)-117)))*1,0))</f>
        <v>39962952</v>
      </c>
      <c r="AA1216" s="6">
        <f>$E1216+19</f>
        <v>126</v>
      </c>
      <c r="AB1216" s="7">
        <f>IF($J1216=0,0,ROUND(MAX($J1216*1.4*1.5*1.6*1.6*2.2*2.715*2.6*1.4*1.4,8430000000*(1.651435^(MIN($E1216,123)-117)))*1,0))</f>
        <v>55874381</v>
      </c>
      <c r="AC1216" s="4">
        <f>$E1216+21</f>
        <v>128</v>
      </c>
      <c r="AD1216" s="8">
        <f>IF($J1216=0,0,ROUND(MAX($J1216*1.4*1.5*1.6*1.6*2.2*2.715*2.6*1.4*1.4*1.5,12600000000*(1.652953^(MIN($E1216,123)-117)))*1,0))</f>
        <v>82749522</v>
      </c>
      <c r="AE1216" s="6">
        <f>$E1216+24</f>
        <v>131</v>
      </c>
      <c r="AF1216" s="7">
        <f>IF($J1216=0,0,ROUND(MAX($J1216*1.4*1.5*1.6*1.6*2.2*2.715*2.6*1.4*1.4*1.5*1.5,18900000000*(1.65331^(MIN($E1216,123)-117)))*1,0))</f>
        <v>123856521</v>
      </c>
      <c r="AG1216" s="4">
        <f>$E1216+27</f>
        <v>134</v>
      </c>
      <c r="AH1216" s="8">
        <f>IF($J1216=0,0,ROUND(MAX($J1216*1.4*1.5*1.6*1.6*2.2*2.715*2.6*1.4*1.4*1.5*1.5*3.2,60500000000*(1.654288^(MIN($E1216,123)-117)))*1,0))</f>
        <v>394134254</v>
      </c>
    </row>
    <row r="1217" ht="27.75" customHeight="1" spans="1:34" x14ac:dyDescent="0.25">
      <c r="A1217" s="3">
        <v>1227</v>
      </c>
      <c r="B1217" s="3" t="s">
        <v>907</v>
      </c>
      <c r="C1217" s="3" t="s">
        <v>829</v>
      </c>
      <c r="D1217" s="3" t="s">
        <v>33</v>
      </c>
      <c r="E1217" s="3">
        <v>106</v>
      </c>
      <c r="F1217" s="3" t="s">
        <v>34</v>
      </c>
      <c r="G1217" s="3" t="s">
        <v>416</v>
      </c>
      <c r="H1217" s="3">
        <v>24</v>
      </c>
      <c r="I1217" s="4">
        <v>106</v>
      </c>
      <c r="J1217" s="5">
        <v>28300</v>
      </c>
      <c r="K1217" s="6">
        <f>$E1217+1</f>
        <v>107</v>
      </c>
      <c r="L1217" s="7">
        <f>IF($J1217=0,0,ROUND(MAX($J1217*1.4,1620000*(1.497923^(MIN($E1217,123)-117)))*1,0))</f>
        <v>39620</v>
      </c>
      <c r="M1217" s="4">
        <f>$E1217+2</f>
        <v>108</v>
      </c>
      <c r="N1217" s="8">
        <f>IF($J1217=0,0,ROUND(MAX($J1217*1.4*1.5,2190000*(1.580994^(MIN($E1217,123)-117)))*1,0))</f>
        <v>59430</v>
      </c>
      <c r="O1217" s="6">
        <f>$E1217+4</f>
        <v>110</v>
      </c>
      <c r="P1217" s="7">
        <f>IF($J1217=0,0,ROUND(MAX($J1217*1.4*1.5*1.6,3500000*(1.57975^(MIN($E1217,123)-117)))*1,0))</f>
        <v>95088</v>
      </c>
      <c r="Q1217" s="4">
        <f>$E1217+6</f>
        <v>112</v>
      </c>
      <c r="R1217" s="8">
        <f>IF($J1217=0,0,ROUND(MAX($J1217*1.4*1.5*1.6*1.6,13100000*(1.429962^(MIN($E1217,123)-117)))*1,0))</f>
        <v>256272</v>
      </c>
      <c r="S1217" s="6">
        <f>$E1217+8</f>
        <v>114</v>
      </c>
      <c r="T1217" s="7">
        <f>IF($J1217=0,0,ROUND(MAX($J1217*1.4*1.5*1.6*1.6*2.2,42600000*(1.576904^(MIN($E1217,123)-117)))*1,0))</f>
        <v>334710</v>
      </c>
      <c r="U1217" s="4">
        <f>$E1217+11</f>
        <v>117</v>
      </c>
      <c r="V1217" s="8">
        <f>IF($J1217=0,0,ROUND(MAX($J1217*1.4*1.5*1.6*1.6*2.2*2.715,354000000*(1.642074^(MIN($E1217,123)-117)))*1,0))</f>
        <v>1512458</v>
      </c>
      <c r="W1217" s="6">
        <f>$E1217+15</f>
        <v>121</v>
      </c>
      <c r="X1217" s="7">
        <f>IF($J1217=0,0,ROUND(MAX($J1217*1.4*1.5*1.6*1.6*2.2*2.715*2.6,3540000000*(1.579646^(MIN($E1217,123)-117)))*1,0))</f>
        <v>23165718</v>
      </c>
      <c r="Y1217" s="4">
        <f>$E1217+17</f>
        <v>123</v>
      </c>
      <c r="Z1217" s="8">
        <f>IF($J1217=0,0,ROUND(MAX($J1217*1.4*1.5*1.6*1.6*2.2*2.715*2.6*1.4,6020000000*(1.651178^(MIN($E1217,123)-117)))*1,0))</f>
        <v>24202691</v>
      </c>
      <c r="AA1217" s="6">
        <f>$E1217+19</f>
        <v>125</v>
      </c>
      <c r="AB1217" s="7">
        <f>IF($J1217=0,0,ROUND(MAX($J1217*1.4*1.5*1.6*1.6*2.2*2.715*2.6*1.4*1.4,8430000000*(1.651435^(MIN($E1217,123)-117)))*1,0))</f>
        <v>33833836</v>
      </c>
      <c r="AC1217" s="4">
        <f>$E1217+21</f>
        <v>127</v>
      </c>
      <c r="AD1217" s="8">
        <f>IF($J1217=0,0,ROUND(MAX($J1217*1.4*1.5*1.6*1.6*2.2*2.715*2.6*1.4*1.4*1.5,12600000000*(1.652953^(MIN($E1217,123)-117)))*1,0))</f>
        <v>50061630</v>
      </c>
      <c r="AE1217" s="6">
        <f>$E1217+24</f>
        <v>130</v>
      </c>
      <c r="AF1217" s="7">
        <f>IF($J1217=0,0,ROUND(MAX($J1217*1.4*1.5*1.6*1.6*2.2*2.715*2.6*1.4*1.4*1.5*1.5,18900000000*(1.65331^(MIN($E1217,123)-117)))*1,0))</f>
        <v>74914276</v>
      </c>
      <c r="AG1217" s="4">
        <f>$E1217+27</f>
        <v>133</v>
      </c>
      <c r="AH1217" s="8">
        <f>IF($J1217=0,0,ROUND(MAX($J1217*1.4*1.5*1.6*1.6*2.2*2.715*2.6*1.4*1.4*1.5*1.5*3.2,60500000000*(1.654288^(MIN($E1217,123)-117)))*1,0))</f>
        <v>238250083</v>
      </c>
    </row>
    <row r="1218" ht="27.75" customHeight="1" spans="1:34" x14ac:dyDescent="0.25">
      <c r="A1218" s="3">
        <v>1228</v>
      </c>
      <c r="B1218" s="3" t="s">
        <v>908</v>
      </c>
      <c r="C1218" s="3" t="s">
        <v>829</v>
      </c>
      <c r="D1218" s="3" t="s">
        <v>40</v>
      </c>
      <c r="E1218" s="3">
        <v>106</v>
      </c>
      <c r="F1218" s="3" t="s">
        <v>383</v>
      </c>
      <c r="G1218" s="3" t="s">
        <v>458</v>
      </c>
      <c r="H1218" s="3">
        <v>23</v>
      </c>
      <c r="I1218" s="4">
        <v>106</v>
      </c>
      <c r="J1218" s="5">
        <v>40800</v>
      </c>
      <c r="K1218" s="6">
        <f>$E1218+1</f>
        <v>107</v>
      </c>
      <c r="L1218" s="7">
        <f>IF($J1218=0,0,ROUND(MAX($J1218*1.4,1620000*(1.497923^(MIN($E1218,123)-117)))*1,0))</f>
        <v>57120</v>
      </c>
      <c r="M1218" s="4">
        <f>$E1218+2</f>
        <v>108</v>
      </c>
      <c r="N1218" s="8">
        <f>IF($J1218=0,0,ROUND(MAX($J1218*1.4*1.5,2190000*(1.580994^(MIN($E1218,123)-117)))*1,0))</f>
        <v>85680</v>
      </c>
      <c r="O1218" s="6">
        <f>$E1218+4</f>
        <v>110</v>
      </c>
      <c r="P1218" s="7">
        <f>IF($J1218=0,0,ROUND(MAX($J1218*1.4*1.5*1.6,3500000*(1.57975^(MIN($E1218,123)-117)))*1,0))</f>
        <v>137088</v>
      </c>
      <c r="Q1218" s="4">
        <f>$E1218+6</f>
        <v>112</v>
      </c>
      <c r="R1218" s="8">
        <f>IF($J1218=0,0,ROUND(MAX($J1218*1.4*1.5*1.6*1.6,13100000*(1.429962^(MIN($E1218,123)-117)))*1,0))</f>
        <v>256272</v>
      </c>
      <c r="S1218" s="6">
        <f>$E1218+8</f>
        <v>114</v>
      </c>
      <c r="T1218" s="7">
        <f>IF($J1218=0,0,ROUND(MAX($J1218*1.4*1.5*1.6*1.6*2.2,42600000*(1.576904^(MIN($E1218,123)-117)))*1,0))</f>
        <v>482550</v>
      </c>
      <c r="U1218" s="4">
        <f>$E1218+11</f>
        <v>117</v>
      </c>
      <c r="V1218" s="8">
        <f>IF($J1218=0,0,ROUND(MAX($J1218*1.4*1.5*1.6*1.6*2.2*2.715,354000000*(1.642074^(MIN($E1218,123)-117)))*1,0))</f>
        <v>1512458</v>
      </c>
      <c r="W1218" s="6">
        <f>$E1218+15</f>
        <v>121</v>
      </c>
      <c r="X1218" s="7">
        <f>IF($J1218=0,0,ROUND(MAX($J1218*1.4*1.5*1.6*1.6*2.2*2.715*2.6,3540000000*(1.579646^(MIN($E1218,123)-117)))*1,0))</f>
        <v>23165718</v>
      </c>
      <c r="Y1218" s="4">
        <f>$E1218+17</f>
        <v>123</v>
      </c>
      <c r="Z1218" s="8">
        <f>IF($J1218=0,0,ROUND(MAX($J1218*1.4*1.5*1.6*1.6*2.2*2.715*2.6*1.4,6020000000*(1.651178^(MIN($E1218,123)-117)))*1,0))</f>
        <v>24202691</v>
      </c>
      <c r="AA1218" s="6">
        <f>$E1218+19</f>
        <v>125</v>
      </c>
      <c r="AB1218" s="7">
        <f>IF($J1218=0,0,ROUND(MAX($J1218*1.4*1.5*1.6*1.6*2.2*2.715*2.6*1.4*1.4,8430000000*(1.651435^(MIN($E1218,123)-117)))*1,0))</f>
        <v>33833836</v>
      </c>
      <c r="AC1218" s="4">
        <f>$E1218+21</f>
        <v>127</v>
      </c>
      <c r="AD1218" s="8">
        <f>IF($J1218=0,0,ROUND(MAX($J1218*1.4*1.5*1.6*1.6*2.2*2.715*2.6*1.4*1.4*1.5,12600000000*(1.652953^(MIN($E1218,123)-117)))*1,0))</f>
        <v>50061630</v>
      </c>
      <c r="AE1218" s="6">
        <f>$E1218+24</f>
        <v>130</v>
      </c>
      <c r="AF1218" s="7">
        <f>IF($J1218=0,0,ROUND(MAX($J1218*1.4*1.5*1.6*1.6*2.2*2.715*2.6*1.4*1.4*1.5*1.5,18900000000*(1.65331^(MIN($E1218,123)-117)))*1,0))</f>
        <v>74914276</v>
      </c>
      <c r="AG1218" s="4">
        <f>$E1218+27</f>
        <v>133</v>
      </c>
      <c r="AH1218" s="8">
        <f>IF($J1218=0,0,ROUND(MAX($J1218*1.4*1.5*1.6*1.6*2.2*2.715*2.6*1.4*1.4*1.5*1.5*3.2,60500000000*(1.654288^(MIN($E1218,123)-117)))*1,0))</f>
        <v>238250083</v>
      </c>
    </row>
    <row r="1219" ht="27.75" customHeight="1" spans="1:34" x14ac:dyDescent="0.25">
      <c r="A1219" s="3">
        <v>1229</v>
      </c>
      <c r="B1219" s="3" t="s">
        <v>909</v>
      </c>
      <c r="C1219" s="3" t="s">
        <v>829</v>
      </c>
      <c r="D1219" s="3" t="s">
        <v>25</v>
      </c>
      <c r="E1219" s="3">
        <v>106</v>
      </c>
      <c r="F1219" s="3" t="s">
        <v>383</v>
      </c>
      <c r="G1219" s="3" t="s">
        <v>910</v>
      </c>
      <c r="H1219" s="3">
        <v>23</v>
      </c>
      <c r="I1219" s="4">
        <v>106</v>
      </c>
      <c r="J1219" s="5">
        <v>27000</v>
      </c>
      <c r="K1219" s="6">
        <f>$E1219+1</f>
        <v>107</v>
      </c>
      <c r="L1219" s="7">
        <f>IF($J1219=0,0,ROUND(MAX($J1219*1.4,1620000*(1.497923^(MIN($E1219,123)-117)))*1,0))</f>
        <v>37800</v>
      </c>
      <c r="M1219" s="4">
        <f>$E1219+2</f>
        <v>108</v>
      </c>
      <c r="N1219" s="8">
        <f>IF($J1219=0,0,ROUND(MAX($J1219*1.4*1.5,2190000*(1.580994^(MIN($E1219,123)-117)))*1,0))</f>
        <v>56700</v>
      </c>
      <c r="O1219" s="6">
        <f>$E1219+4</f>
        <v>110</v>
      </c>
      <c r="P1219" s="7">
        <f>IF($J1219=0,0,ROUND(MAX($J1219*1.4*1.5*1.6,3500000*(1.57975^(MIN($E1219,123)-117)))*1,0))</f>
        <v>90720</v>
      </c>
      <c r="Q1219" s="4">
        <f>$E1219+6</f>
        <v>112</v>
      </c>
      <c r="R1219" s="8">
        <f>IF($J1219=0,0,ROUND(MAX($J1219*1.4*1.5*1.6*1.6,13100000*(1.429962^(MIN($E1219,123)-117)))*1,0))</f>
        <v>256272</v>
      </c>
      <c r="S1219" s="6">
        <f>$E1219+8</f>
        <v>114</v>
      </c>
      <c r="T1219" s="7">
        <f>IF($J1219=0,0,ROUND(MAX($J1219*1.4*1.5*1.6*1.6*2.2,42600000*(1.576904^(MIN($E1219,123)-117)))*1,0))</f>
        <v>319334</v>
      </c>
      <c r="U1219" s="4">
        <f>$E1219+11</f>
        <v>117</v>
      </c>
      <c r="V1219" s="8">
        <f>IF($J1219=0,0,ROUND(MAX($J1219*1.4*1.5*1.6*1.6*2.2*2.715,354000000*(1.642074^(MIN($E1219,123)-117)))*1,0))</f>
        <v>1512458</v>
      </c>
      <c r="W1219" s="6">
        <f>$E1219+15</f>
        <v>121</v>
      </c>
      <c r="X1219" s="7">
        <f>IF($J1219=0,0,ROUND(MAX($J1219*1.4*1.5*1.6*1.6*2.2*2.715*2.6,3540000000*(1.579646^(MIN($E1219,123)-117)))*1,0))</f>
        <v>23165718</v>
      </c>
      <c r="Y1219" s="4">
        <f>$E1219+17</f>
        <v>123</v>
      </c>
      <c r="Z1219" s="8">
        <f>IF($J1219=0,0,ROUND(MAX($J1219*1.4*1.5*1.6*1.6*2.2*2.715*2.6*1.4,6020000000*(1.651178^(MIN($E1219,123)-117)))*1,0))</f>
        <v>24202691</v>
      </c>
      <c r="AA1219" s="6">
        <f>$E1219+19</f>
        <v>125</v>
      </c>
      <c r="AB1219" s="7">
        <f>IF($J1219=0,0,ROUND(MAX($J1219*1.4*1.5*1.6*1.6*2.2*2.715*2.6*1.4*1.4,8430000000*(1.651435^(MIN($E1219,123)-117)))*1,0))</f>
        <v>33833836</v>
      </c>
      <c r="AC1219" s="4">
        <f>$E1219+21</f>
        <v>127</v>
      </c>
      <c r="AD1219" s="8">
        <f>IF($J1219=0,0,ROUND(MAX($J1219*1.4*1.5*1.6*1.6*2.2*2.715*2.6*1.4*1.4*1.5,12600000000*(1.652953^(MIN($E1219,123)-117)))*1,0))</f>
        <v>50061630</v>
      </c>
      <c r="AE1219" s="6">
        <f>$E1219+24</f>
        <v>130</v>
      </c>
      <c r="AF1219" s="7">
        <f>IF($J1219=0,0,ROUND(MAX($J1219*1.4*1.5*1.6*1.6*2.2*2.715*2.6*1.4*1.4*1.5*1.5,18900000000*(1.65331^(MIN($E1219,123)-117)))*1,0))</f>
        <v>74914276</v>
      </c>
      <c r="AG1219" s="4">
        <f>$E1219+27</f>
        <v>133</v>
      </c>
      <c r="AH1219" s="8">
        <f>IF($J1219=0,0,ROUND(MAX($J1219*1.4*1.5*1.6*1.6*2.2*2.715*2.6*1.4*1.4*1.5*1.5*3.2,60500000000*(1.654288^(MIN($E1219,123)-117)))*1,0))</f>
        <v>238250083</v>
      </c>
    </row>
    <row r="1220" ht="27.75" customHeight="1" spans="1:34" x14ac:dyDescent="0.25">
      <c r="A1220" s="3">
        <v>1230</v>
      </c>
      <c r="B1220" s="3" t="s">
        <v>911</v>
      </c>
      <c r="C1220" s="3" t="s">
        <v>829</v>
      </c>
      <c r="D1220" s="3" t="s">
        <v>90</v>
      </c>
      <c r="E1220" s="3">
        <v>106</v>
      </c>
      <c r="F1220" s="3" t="s">
        <v>42</v>
      </c>
      <c r="G1220" s="3" t="s">
        <v>416</v>
      </c>
      <c r="H1220" s="3">
        <v>22</v>
      </c>
      <c r="I1220" s="4">
        <v>106</v>
      </c>
      <c r="J1220" s="5">
        <v>24800</v>
      </c>
      <c r="K1220" s="6">
        <f>$E1220+1</f>
        <v>107</v>
      </c>
      <c r="L1220" s="7">
        <f>IF($J1220=0,0,ROUND(MAX($J1220*1.4,1620000*(1.497923^(MIN($E1220,123)-117)))*1,0))</f>
        <v>34720</v>
      </c>
      <c r="M1220" s="4">
        <f>$E1220+2</f>
        <v>108</v>
      </c>
      <c r="N1220" s="8">
        <f>IF($J1220=0,0,ROUND(MAX($J1220*1.4*1.5,2190000*(1.580994^(MIN($E1220,123)-117)))*1,0))</f>
        <v>52080</v>
      </c>
      <c r="O1220" s="6">
        <f>$E1220+4</f>
        <v>110</v>
      </c>
      <c r="P1220" s="7">
        <f>IF($J1220=0,0,ROUND(MAX($J1220*1.4*1.5*1.6,3500000*(1.57975^(MIN($E1220,123)-117)))*1,0))</f>
        <v>83328</v>
      </c>
      <c r="Q1220" s="4">
        <f>$E1220+6</f>
        <v>112</v>
      </c>
      <c r="R1220" s="8">
        <f>IF($J1220=0,0,ROUND(MAX($J1220*1.4*1.5*1.6*1.6,13100000*(1.429962^(MIN($E1220,123)-117)))*1,0))</f>
        <v>256272</v>
      </c>
      <c r="S1220" s="6">
        <f>$E1220+8</f>
        <v>114</v>
      </c>
      <c r="T1220" s="7">
        <f>IF($J1220=0,0,ROUND(MAX($J1220*1.4*1.5*1.6*1.6*2.2,42600000*(1.576904^(MIN($E1220,123)-117)))*1,0))</f>
        <v>293315</v>
      </c>
      <c r="U1220" s="4">
        <f>$E1220+11</f>
        <v>117</v>
      </c>
      <c r="V1220" s="8">
        <f>IF($J1220=0,0,ROUND(MAX($J1220*1.4*1.5*1.6*1.6*2.2*2.715,354000000*(1.642074^(MIN($E1220,123)-117)))*1,0))</f>
        <v>1512458</v>
      </c>
      <c r="W1220" s="6">
        <f>$E1220+15</f>
        <v>121</v>
      </c>
      <c r="X1220" s="7">
        <f>IF($J1220=0,0,ROUND(MAX($J1220*1.4*1.5*1.6*1.6*2.2*2.715*2.6,3540000000*(1.579646^(MIN($E1220,123)-117)))*1,0))</f>
        <v>23165718</v>
      </c>
      <c r="Y1220" s="4">
        <f>$E1220+17</f>
        <v>123</v>
      </c>
      <c r="Z1220" s="8">
        <f>IF($J1220=0,0,ROUND(MAX($J1220*1.4*1.5*1.6*1.6*2.2*2.715*2.6*1.4,6020000000*(1.651178^(MIN($E1220,123)-117)))*1,0))</f>
        <v>24202691</v>
      </c>
      <c r="AA1220" s="6">
        <f>$E1220+19</f>
        <v>125</v>
      </c>
      <c r="AB1220" s="7">
        <f>IF($J1220=0,0,ROUND(MAX($J1220*1.4*1.5*1.6*1.6*2.2*2.715*2.6*1.4*1.4,8430000000*(1.651435^(MIN($E1220,123)-117)))*1,0))</f>
        <v>33833836</v>
      </c>
      <c r="AC1220" s="4">
        <f>$E1220+21</f>
        <v>127</v>
      </c>
      <c r="AD1220" s="8">
        <f>IF($J1220=0,0,ROUND(MAX($J1220*1.4*1.5*1.6*1.6*2.2*2.715*2.6*1.4*1.4*1.5,12600000000*(1.652953^(MIN($E1220,123)-117)))*1,0))</f>
        <v>50061630</v>
      </c>
      <c r="AE1220" s="6">
        <f>$E1220+24</f>
        <v>130</v>
      </c>
      <c r="AF1220" s="7">
        <f>IF($J1220=0,0,ROUND(MAX($J1220*1.4*1.5*1.6*1.6*2.2*2.715*2.6*1.4*1.4*1.5*1.5,18900000000*(1.65331^(MIN($E1220,123)-117)))*1,0))</f>
        <v>74914276</v>
      </c>
      <c r="AG1220" s="4">
        <f>$E1220+27</f>
        <v>133</v>
      </c>
      <c r="AH1220" s="8">
        <f>IF($J1220=0,0,ROUND(MAX($J1220*1.4*1.5*1.6*1.6*2.2*2.715*2.6*1.4*1.4*1.5*1.5*3.2,60500000000*(1.654288^(MIN($E1220,123)-117)))*1,0))</f>
        <v>238250083</v>
      </c>
    </row>
    <row r="1221" ht="27.75" customHeight="1" spans="1:34" x14ac:dyDescent="0.25">
      <c r="A1221" s="3">
        <v>1231</v>
      </c>
      <c r="B1221" s="3" t="s">
        <v>912</v>
      </c>
      <c r="C1221" s="3" t="s">
        <v>829</v>
      </c>
      <c r="D1221" s="3" t="s">
        <v>90</v>
      </c>
      <c r="E1221" s="3">
        <v>106</v>
      </c>
      <c r="F1221" s="3" t="s">
        <v>34</v>
      </c>
      <c r="G1221" s="3" t="s">
        <v>913</v>
      </c>
      <c r="H1221" s="3">
        <v>22</v>
      </c>
      <c r="I1221" s="4">
        <v>106</v>
      </c>
      <c r="J1221" s="5">
        <v>24000</v>
      </c>
      <c r="K1221" s="6">
        <f>$E1221+1</f>
        <v>107</v>
      </c>
      <c r="L1221" s="7">
        <f>IF($J1221=0,0,ROUND(MAX($J1221*1.4,1620000*(1.497923^(MIN($E1221,123)-117)))*1,0))</f>
        <v>33600</v>
      </c>
      <c r="M1221" s="4">
        <f>$E1221+2</f>
        <v>108</v>
      </c>
      <c r="N1221" s="8">
        <f>IF($J1221=0,0,ROUND(MAX($J1221*1.4*1.5,2190000*(1.580994^(MIN($E1221,123)-117)))*1,0))</f>
        <v>50400</v>
      </c>
      <c r="O1221" s="6">
        <f>$E1221+4</f>
        <v>110</v>
      </c>
      <c r="P1221" s="7">
        <f>IF($J1221=0,0,ROUND(MAX($J1221*1.4*1.5*1.6,3500000*(1.57975^(MIN($E1221,123)-117)))*1,0))</f>
        <v>80640</v>
      </c>
      <c r="Q1221" s="4">
        <f>$E1221+6</f>
        <v>112</v>
      </c>
      <c r="R1221" s="8">
        <f>IF($J1221=0,0,ROUND(MAX($J1221*1.4*1.5*1.6*1.6,13100000*(1.429962^(MIN($E1221,123)-117)))*1,0))</f>
        <v>256272</v>
      </c>
      <c r="S1221" s="6">
        <f>$E1221+8</f>
        <v>114</v>
      </c>
      <c r="T1221" s="7">
        <f>IF($J1221=0,0,ROUND(MAX($J1221*1.4*1.5*1.6*1.6*2.2,42600000*(1.576904^(MIN($E1221,123)-117)))*1,0))</f>
        <v>284153</v>
      </c>
      <c r="U1221" s="4">
        <f>$E1221+11</f>
        <v>117</v>
      </c>
      <c r="V1221" s="8">
        <f>IF($J1221=0,0,ROUND(MAX($J1221*1.4*1.5*1.6*1.6*2.2*2.715,354000000*(1.642074^(MIN($E1221,123)-117)))*1,0))</f>
        <v>1512458</v>
      </c>
      <c r="W1221" s="6">
        <f>$E1221+15</f>
        <v>121</v>
      </c>
      <c r="X1221" s="7">
        <f>IF($J1221=0,0,ROUND(MAX($J1221*1.4*1.5*1.6*1.6*2.2*2.715*2.6,3540000000*(1.579646^(MIN($E1221,123)-117)))*1,0))</f>
        <v>23165718</v>
      </c>
      <c r="Y1221" s="4">
        <f>$E1221+17</f>
        <v>123</v>
      </c>
      <c r="Z1221" s="8">
        <f>IF($J1221=0,0,ROUND(MAX($J1221*1.4*1.5*1.6*1.6*2.2*2.715*2.6*1.4,6020000000*(1.651178^(MIN($E1221,123)-117)))*1,0))</f>
        <v>24202691</v>
      </c>
      <c r="AA1221" s="6">
        <f>$E1221+19</f>
        <v>125</v>
      </c>
      <c r="AB1221" s="7">
        <f>IF($J1221=0,0,ROUND(MAX($J1221*1.4*1.5*1.6*1.6*2.2*2.715*2.6*1.4*1.4,8430000000*(1.651435^(MIN($E1221,123)-117)))*1,0))</f>
        <v>33833836</v>
      </c>
      <c r="AC1221" s="4">
        <f>$E1221+21</f>
        <v>127</v>
      </c>
      <c r="AD1221" s="8">
        <f>IF($J1221=0,0,ROUND(MAX($J1221*1.4*1.5*1.6*1.6*2.2*2.715*2.6*1.4*1.4*1.5,12600000000*(1.652953^(MIN($E1221,123)-117)))*1,0))</f>
        <v>50061630</v>
      </c>
      <c r="AE1221" s="6">
        <f>$E1221+24</f>
        <v>130</v>
      </c>
      <c r="AF1221" s="7">
        <f>IF($J1221=0,0,ROUND(MAX($J1221*1.4*1.5*1.6*1.6*2.2*2.715*2.6*1.4*1.4*1.5*1.5,18900000000*(1.65331^(MIN($E1221,123)-117)))*1,0))</f>
        <v>74914276</v>
      </c>
      <c r="AG1221" s="4">
        <f>$E1221+27</f>
        <v>133</v>
      </c>
      <c r="AH1221" s="8">
        <f>IF($J1221=0,0,ROUND(MAX($J1221*1.4*1.5*1.6*1.6*2.2*2.715*2.6*1.4*1.4*1.5*1.5*3.2,60500000000*(1.654288^(MIN($E1221,123)-117)))*1,0))</f>
        <v>238250083</v>
      </c>
    </row>
    <row r="1222" ht="27.75" customHeight="1" spans="1:34" x14ac:dyDescent="0.25">
      <c r="A1222" s="3">
        <v>1232</v>
      </c>
      <c r="B1222" s="3" t="s">
        <v>914</v>
      </c>
      <c r="C1222" s="3" t="s">
        <v>829</v>
      </c>
      <c r="D1222" s="3" t="s">
        <v>331</v>
      </c>
      <c r="E1222" s="3">
        <v>106</v>
      </c>
      <c r="F1222" s="3" t="s">
        <v>62</v>
      </c>
      <c r="G1222" s="3" t="s">
        <v>242</v>
      </c>
      <c r="H1222" s="3">
        <v>22</v>
      </c>
      <c r="I1222" s="4">
        <v>106</v>
      </c>
      <c r="J1222" s="5">
        <v>36200</v>
      </c>
      <c r="K1222" s="6">
        <f>$E1222+1</f>
        <v>107</v>
      </c>
      <c r="L1222" s="7">
        <f>IF($J1222=0,0,ROUND(MAX($J1222*1.4,1620000*(1.497923^(MIN($E1222,123)-117)))*1,0))</f>
        <v>50680</v>
      </c>
      <c r="M1222" s="4">
        <f>$E1222+2</f>
        <v>108</v>
      </c>
      <c r="N1222" s="8">
        <f>IF($J1222=0,0,ROUND(MAX($J1222*1.4*1.5,2190000*(1.580994^(MIN($E1222,123)-117)))*1,0))</f>
        <v>76020</v>
      </c>
      <c r="O1222" s="6">
        <f>$E1222+4</f>
        <v>110</v>
      </c>
      <c r="P1222" s="7">
        <f>IF($J1222=0,0,ROUND(MAX($J1222*1.4*1.5*1.6,3500000*(1.57975^(MIN($E1222,123)-117)))*1,0))</f>
        <v>121632</v>
      </c>
      <c r="Q1222" s="4">
        <f>$E1222+6</f>
        <v>112</v>
      </c>
      <c r="R1222" s="8">
        <f>IF($J1222=0,0,ROUND(MAX($J1222*1.4*1.5*1.6*1.6,13100000*(1.429962^(MIN($E1222,123)-117)))*1,0))</f>
        <v>256272</v>
      </c>
      <c r="S1222" s="6">
        <f>$E1222+8</f>
        <v>114</v>
      </c>
      <c r="T1222" s="7">
        <f>IF($J1222=0,0,ROUND(MAX($J1222*1.4*1.5*1.6*1.6*2.2,42600000*(1.576904^(MIN($E1222,123)-117)))*1,0))</f>
        <v>428145</v>
      </c>
      <c r="U1222" s="4">
        <f>$E1222+11</f>
        <v>117</v>
      </c>
      <c r="V1222" s="8">
        <f>IF($J1222=0,0,ROUND(MAX($J1222*1.4*1.5*1.6*1.6*2.2*2.715,354000000*(1.642074^(MIN($E1222,123)-117)))*1,0))</f>
        <v>1512458</v>
      </c>
      <c r="W1222" s="6">
        <f>$E1222+15</f>
        <v>121</v>
      </c>
      <c r="X1222" s="7">
        <f>IF($J1222=0,0,ROUND(MAX($J1222*1.4*1.5*1.6*1.6*2.2*2.715*2.6,3540000000*(1.579646^(MIN($E1222,123)-117)))*1,0))</f>
        <v>23165718</v>
      </c>
      <c r="Y1222" s="4">
        <f>$E1222+17</f>
        <v>123</v>
      </c>
      <c r="Z1222" s="8">
        <f>IF($J1222=0,0,ROUND(MAX($J1222*1.4*1.5*1.6*1.6*2.2*2.715*2.6*1.4,6020000000*(1.651178^(MIN($E1222,123)-117)))*1,0))</f>
        <v>24202691</v>
      </c>
      <c r="AA1222" s="6">
        <f>$E1222+19</f>
        <v>125</v>
      </c>
      <c r="AB1222" s="7">
        <f>IF($J1222=0,0,ROUND(MAX($J1222*1.4*1.5*1.6*1.6*2.2*2.715*2.6*1.4*1.4,8430000000*(1.651435^(MIN($E1222,123)-117)))*1,0))</f>
        <v>33833836</v>
      </c>
      <c r="AC1222" s="4">
        <f>$E1222+21</f>
        <v>127</v>
      </c>
      <c r="AD1222" s="8">
        <f>IF($J1222=0,0,ROUND(MAX($J1222*1.4*1.5*1.6*1.6*2.2*2.715*2.6*1.4*1.4*1.5,12600000000*(1.652953^(MIN($E1222,123)-117)))*1,0))</f>
        <v>50061630</v>
      </c>
      <c r="AE1222" s="6">
        <f>$E1222+24</f>
        <v>130</v>
      </c>
      <c r="AF1222" s="7">
        <f>IF($J1222=0,0,ROUND(MAX($J1222*1.4*1.5*1.6*1.6*2.2*2.715*2.6*1.4*1.4*1.5*1.5,18900000000*(1.65331^(MIN($E1222,123)-117)))*1,0))</f>
        <v>74914276</v>
      </c>
      <c r="AG1222" s="4">
        <f>$E1222+27</f>
        <v>133</v>
      </c>
      <c r="AH1222" s="8">
        <f>IF($J1222=0,0,ROUND(MAX($J1222*1.4*1.5*1.6*1.6*2.2*2.715*2.6*1.4*1.4*1.5*1.5*3.2,60500000000*(1.654288^(MIN($E1222,123)-117)))*1,0))</f>
        <v>238250083</v>
      </c>
    </row>
    <row r="1223" ht="27.75" customHeight="1" spans="1:34" x14ac:dyDescent="0.25">
      <c r="A1223" s="3">
        <v>1233</v>
      </c>
      <c r="B1223" s="3" t="s">
        <v>915</v>
      </c>
      <c r="C1223" s="3" t="s">
        <v>829</v>
      </c>
      <c r="D1223" s="3" t="s">
        <v>102</v>
      </c>
      <c r="E1223" s="3">
        <v>105</v>
      </c>
      <c r="F1223" s="3" t="s">
        <v>267</v>
      </c>
      <c r="G1223" s="3" t="s">
        <v>277</v>
      </c>
      <c r="H1223" s="3">
        <v>22</v>
      </c>
      <c r="I1223" s="4">
        <v>105</v>
      </c>
      <c r="J1223" s="5">
        <v>18600</v>
      </c>
      <c r="K1223" s="6">
        <f>$E1223+1</f>
        <v>106</v>
      </c>
      <c r="L1223" s="7">
        <f>IF($J1223=0,0,ROUND(MAX($J1223*1.4,1620000*(1.497923^(MIN($E1223,123)-117)))*1,0))</f>
        <v>26040</v>
      </c>
      <c r="M1223" s="4">
        <f>$E1223+2</f>
        <v>107</v>
      </c>
      <c r="N1223" s="8">
        <f>IF($J1223=0,0,ROUND(MAX($J1223*1.4*1.5,2190000*(1.580994^(MIN($E1223,123)-117)))*1,0))</f>
        <v>39060</v>
      </c>
      <c r="O1223" s="6">
        <f>$E1223+4</f>
        <v>109</v>
      </c>
      <c r="P1223" s="7">
        <f>IF($J1223=0,0,ROUND(MAX($J1223*1.4*1.5*1.6,3500000*(1.57975^(MIN($E1223,123)-117)))*1,0))</f>
        <v>62496</v>
      </c>
      <c r="Q1223" s="4">
        <f>$E1223+6</f>
        <v>111</v>
      </c>
      <c r="R1223" s="8">
        <f>IF($J1223=0,0,ROUND(MAX($J1223*1.4*1.5*1.6*1.6,13100000*(1.429962^(MIN($E1223,123)-117)))*1,0))</f>
        <v>179216</v>
      </c>
      <c r="S1223" s="6">
        <f>$E1223+8</f>
        <v>113</v>
      </c>
      <c r="T1223" s="7">
        <f>IF($J1223=0,0,ROUND(MAX($J1223*1.4*1.5*1.6*1.6*2.2,42600000*(1.576904^(MIN($E1223,123)-117)))*1,0))</f>
        <v>219986</v>
      </c>
      <c r="U1223" s="4">
        <f>$E1223+11</f>
        <v>116</v>
      </c>
      <c r="V1223" s="8">
        <f>IF($J1223=0,0,ROUND(MAX($J1223*1.4*1.5*1.6*1.6*2.2*2.715,354000000*(1.642074^(MIN($E1223,123)-117)))*1,0))</f>
        <v>921066</v>
      </c>
      <c r="W1223" s="6">
        <f>$E1223+15</f>
        <v>120</v>
      </c>
      <c r="X1223" s="7">
        <f>IF($J1223=0,0,ROUND(MAX($J1223*1.4*1.5*1.6*1.6*2.2*2.715*2.6,3540000000*(1.579646^(MIN($E1223,123)-117)))*1,0))</f>
        <v>14665133</v>
      </c>
      <c r="Y1223" s="4">
        <f>$E1223+17</f>
        <v>122</v>
      </c>
      <c r="Z1223" s="8">
        <f>IF($J1223=0,0,ROUND(MAX($J1223*1.4*1.5*1.6*1.6*2.2*2.715*2.6*1.4,6020000000*(1.651178^(MIN($E1223,123)-117)))*1,0))</f>
        <v>14657833</v>
      </c>
      <c r="AA1223" s="6">
        <f>$E1223+19</f>
        <v>124</v>
      </c>
      <c r="AB1223" s="7">
        <f>IF($J1223=0,0,ROUND(MAX($J1223*1.4*1.5*1.6*1.6*2.2*2.715*2.6*1.4*1.4,8430000000*(1.651435^(MIN($E1223,123)-117)))*1,0))</f>
        <v>20487537</v>
      </c>
      <c r="AC1223" s="4">
        <f>$E1223+21</f>
        <v>126</v>
      </c>
      <c r="AD1223" s="8">
        <f>IF($J1223=0,0,ROUND(MAX($J1223*1.4*1.5*1.6*1.6*2.2*2.715*2.6*1.4*1.4*1.5,12600000000*(1.652953^(MIN($E1223,123)-117)))*1,0))</f>
        <v>30286179</v>
      </c>
      <c r="AE1223" s="6">
        <f>$E1223+24</f>
        <v>129</v>
      </c>
      <c r="AF1223" s="7">
        <f>IF($J1223=0,0,ROUND(MAX($J1223*1.4*1.5*1.6*1.6*2.2*2.715*2.6*1.4*1.4*1.5*1.5,18900000000*(1.65331^(MIN($E1223,123)-117)))*1,0))</f>
        <v>45311693</v>
      </c>
      <c r="AG1223" s="4">
        <f>$E1223+27</f>
        <v>132</v>
      </c>
      <c r="AH1223" s="8">
        <f>IF($J1223=0,0,ROUND(MAX($J1223*1.4*1.5*1.6*1.6*2.2*2.715*2.6*1.4*1.4*1.5*1.5*3.2,60500000000*(1.654288^(MIN($E1223,123)-117)))*1,0))</f>
        <v>144019713</v>
      </c>
    </row>
    <row r="1224" ht="27.75" customHeight="1" spans="1:34" x14ac:dyDescent="0.25">
      <c r="A1224" s="3">
        <v>1234</v>
      </c>
      <c r="B1224" s="3" t="s">
        <v>916</v>
      </c>
      <c r="C1224" s="3" t="s">
        <v>829</v>
      </c>
      <c r="D1224" s="3" t="s">
        <v>241</v>
      </c>
      <c r="E1224" s="3">
        <v>105</v>
      </c>
      <c r="F1224" s="3" t="s">
        <v>313</v>
      </c>
      <c r="G1224" s="3" t="s">
        <v>917</v>
      </c>
      <c r="H1224" s="3">
        <v>22</v>
      </c>
      <c r="I1224" s="4">
        <v>105</v>
      </c>
      <c r="J1224" s="5">
        <v>24600</v>
      </c>
      <c r="K1224" s="6">
        <f>$E1224+1</f>
        <v>106</v>
      </c>
      <c r="L1224" s="7">
        <f>IF($J1224=0,0,ROUND(MAX($J1224*1.4,1620000*(1.497923^(MIN($E1224,123)-117)))*1,0))</f>
        <v>34440</v>
      </c>
      <c r="M1224" s="4">
        <f>$E1224+2</f>
        <v>107</v>
      </c>
      <c r="N1224" s="8">
        <f>IF($J1224=0,0,ROUND(MAX($J1224*1.4*1.5,2190000*(1.580994^(MIN($E1224,123)-117)))*1,0))</f>
        <v>51660</v>
      </c>
      <c r="O1224" s="6">
        <f>$E1224+4</f>
        <v>109</v>
      </c>
      <c r="P1224" s="7">
        <f>IF($J1224=0,0,ROUND(MAX($J1224*1.4*1.5*1.6,3500000*(1.57975^(MIN($E1224,123)-117)))*1,0))</f>
        <v>82656</v>
      </c>
      <c r="Q1224" s="4">
        <f>$E1224+6</f>
        <v>111</v>
      </c>
      <c r="R1224" s="8">
        <f>IF($J1224=0,0,ROUND(MAX($J1224*1.4*1.5*1.6*1.6,13100000*(1.429962^(MIN($E1224,123)-117)))*1,0))</f>
        <v>179216</v>
      </c>
      <c r="S1224" s="6">
        <f>$E1224+8</f>
        <v>113</v>
      </c>
      <c r="T1224" s="7">
        <f>IF($J1224=0,0,ROUND(MAX($J1224*1.4*1.5*1.6*1.6*2.2,42600000*(1.576904^(MIN($E1224,123)-117)))*1,0))</f>
        <v>290949</v>
      </c>
      <c r="U1224" s="4">
        <f>$E1224+11</f>
        <v>116</v>
      </c>
      <c r="V1224" s="8">
        <f>IF($J1224=0,0,ROUND(MAX($J1224*1.4*1.5*1.6*1.6*2.2*2.715,354000000*(1.642074^(MIN($E1224,123)-117)))*1,0))</f>
        <v>921066</v>
      </c>
      <c r="W1224" s="6">
        <f>$E1224+15</f>
        <v>120</v>
      </c>
      <c r="X1224" s="7">
        <f>IF($J1224=0,0,ROUND(MAX($J1224*1.4*1.5*1.6*1.6*2.2*2.715*2.6,3540000000*(1.579646^(MIN($E1224,123)-117)))*1,0))</f>
        <v>14665133</v>
      </c>
      <c r="Y1224" s="4">
        <f>$E1224+17</f>
        <v>122</v>
      </c>
      <c r="Z1224" s="8">
        <f>IF($J1224=0,0,ROUND(MAX($J1224*1.4*1.5*1.6*1.6*2.2*2.715*2.6*1.4,6020000000*(1.651178^(MIN($E1224,123)-117)))*1,0))</f>
        <v>14657833</v>
      </c>
      <c r="AA1224" s="6">
        <f>$E1224+19</f>
        <v>124</v>
      </c>
      <c r="AB1224" s="7">
        <f>IF($J1224=0,0,ROUND(MAX($J1224*1.4*1.5*1.6*1.6*2.2*2.715*2.6*1.4*1.4,8430000000*(1.651435^(MIN($E1224,123)-117)))*1,0))</f>
        <v>20487537</v>
      </c>
      <c r="AC1224" s="4">
        <f>$E1224+21</f>
        <v>126</v>
      </c>
      <c r="AD1224" s="8">
        <f>IF($J1224=0,0,ROUND(MAX($J1224*1.4*1.5*1.6*1.6*2.2*2.715*2.6*1.4*1.4*1.5,12600000000*(1.652953^(MIN($E1224,123)-117)))*1,0))</f>
        <v>30286179</v>
      </c>
      <c r="AE1224" s="6">
        <f>$E1224+24</f>
        <v>129</v>
      </c>
      <c r="AF1224" s="7">
        <f>IF($J1224=0,0,ROUND(MAX($J1224*1.4*1.5*1.6*1.6*2.2*2.715*2.6*1.4*1.4*1.5*1.5,18900000000*(1.65331^(MIN($E1224,123)-117)))*1,0))</f>
        <v>45311693</v>
      </c>
      <c r="AG1224" s="4">
        <f>$E1224+27</f>
        <v>132</v>
      </c>
      <c r="AH1224" s="8">
        <f>IF($J1224=0,0,ROUND(MAX($J1224*1.4*1.5*1.6*1.6*2.2*2.715*2.6*1.4*1.4*1.5*1.5*3.2,60500000000*(1.654288^(MIN($E1224,123)-117)))*1,0))</f>
        <v>144019713</v>
      </c>
    </row>
    <row r="1225" ht="27.75" customHeight="1" spans="1:34" x14ac:dyDescent="0.25">
      <c r="A1225" s="3">
        <v>1235</v>
      </c>
      <c r="B1225" s="3" t="s">
        <v>918</v>
      </c>
      <c r="C1225" s="3" t="s">
        <v>829</v>
      </c>
      <c r="D1225" s="3" t="s">
        <v>47</v>
      </c>
      <c r="E1225" s="3">
        <v>105</v>
      </c>
      <c r="F1225" s="3" t="s">
        <v>42</v>
      </c>
      <c r="G1225" s="3" t="s">
        <v>919</v>
      </c>
      <c r="H1225" s="3">
        <v>20</v>
      </c>
      <c r="I1225" s="4">
        <v>105</v>
      </c>
      <c r="J1225" s="5">
        <v>23100</v>
      </c>
      <c r="K1225" s="6">
        <f>$E1225+1</f>
        <v>106</v>
      </c>
      <c r="L1225" s="7">
        <f>IF($J1225=0,0,ROUND(MAX($J1225*1.4,1620000*(1.497923^(MIN($E1225,123)-117)))*1,0))</f>
        <v>32340</v>
      </c>
      <c r="M1225" s="4">
        <f>$E1225+2</f>
        <v>107</v>
      </c>
      <c r="N1225" s="8">
        <f>IF($J1225=0,0,ROUND(MAX($J1225*1.4*1.5,2190000*(1.580994^(MIN($E1225,123)-117)))*1,0))</f>
        <v>48510</v>
      </c>
      <c r="O1225" s="6">
        <f>$E1225+4</f>
        <v>109</v>
      </c>
      <c r="P1225" s="7">
        <f>IF($J1225=0,0,ROUND(MAX($J1225*1.4*1.5*1.6,3500000*(1.57975^(MIN($E1225,123)-117)))*1,0))</f>
        <v>77616</v>
      </c>
      <c r="Q1225" s="4">
        <f>$E1225+6</f>
        <v>111</v>
      </c>
      <c r="R1225" s="8">
        <f>IF($J1225=0,0,ROUND(MAX($J1225*1.4*1.5*1.6*1.6,13100000*(1.429962^(MIN($E1225,123)-117)))*1,0))</f>
        <v>179216</v>
      </c>
      <c r="S1225" s="6">
        <f>$E1225+8</f>
        <v>113</v>
      </c>
      <c r="T1225" s="7">
        <f>IF($J1225=0,0,ROUND(MAX($J1225*1.4*1.5*1.6*1.6*2.2,42600000*(1.576904^(MIN($E1225,123)-117)))*1,0))</f>
        <v>273208</v>
      </c>
      <c r="U1225" s="4">
        <f>$E1225+11</f>
        <v>116</v>
      </c>
      <c r="V1225" s="8">
        <f>IF($J1225=0,0,ROUND(MAX($J1225*1.4*1.5*1.6*1.6*2.2*2.715,354000000*(1.642074^(MIN($E1225,123)-117)))*1,0))</f>
        <v>921066</v>
      </c>
      <c r="W1225" s="6">
        <f>$E1225+15</f>
        <v>120</v>
      </c>
      <c r="X1225" s="7">
        <f>IF($J1225=0,0,ROUND(MAX($J1225*1.4*1.5*1.6*1.6*2.2*2.715*2.6,3540000000*(1.579646^(MIN($E1225,123)-117)))*1,0))</f>
        <v>14665133</v>
      </c>
      <c r="Y1225" s="4">
        <f>$E1225+17</f>
        <v>122</v>
      </c>
      <c r="Z1225" s="8">
        <f>IF($J1225=0,0,ROUND(MAX($J1225*1.4*1.5*1.6*1.6*2.2*2.715*2.6*1.4,6020000000*(1.651178^(MIN($E1225,123)-117)))*1,0))</f>
        <v>14657833</v>
      </c>
      <c r="AA1225" s="6">
        <f>$E1225+19</f>
        <v>124</v>
      </c>
      <c r="AB1225" s="7">
        <f>IF($J1225=0,0,ROUND(MAX($J1225*1.4*1.5*1.6*1.6*2.2*2.715*2.6*1.4*1.4,8430000000*(1.651435^(MIN($E1225,123)-117)))*1,0))</f>
        <v>20487537</v>
      </c>
      <c r="AC1225" s="4">
        <f>$E1225+21</f>
        <v>126</v>
      </c>
      <c r="AD1225" s="8">
        <f>IF($J1225=0,0,ROUND(MAX($J1225*1.4*1.5*1.6*1.6*2.2*2.715*2.6*1.4*1.4*1.5,12600000000*(1.652953^(MIN($E1225,123)-117)))*1,0))</f>
        <v>30286179</v>
      </c>
      <c r="AE1225" s="6">
        <f>$E1225+24</f>
        <v>129</v>
      </c>
      <c r="AF1225" s="7">
        <f>IF($J1225=0,0,ROUND(MAX($J1225*1.4*1.5*1.6*1.6*2.2*2.715*2.6*1.4*1.4*1.5*1.5,18900000000*(1.65331^(MIN($E1225,123)-117)))*1,0))</f>
        <v>45311693</v>
      </c>
      <c r="AG1225" s="4">
        <f>$E1225+27</f>
        <v>132</v>
      </c>
      <c r="AH1225" s="8">
        <f>IF($J1225=0,0,ROUND(MAX($J1225*1.4*1.5*1.6*1.6*2.2*2.715*2.6*1.4*1.4*1.5*1.5*3.2,60500000000*(1.654288^(MIN($E1225,123)-117)))*1,0))</f>
        <v>144019713</v>
      </c>
    </row>
    <row r="1226" ht="27.75" customHeight="1" spans="1:34" x14ac:dyDescent="0.25">
      <c r="A1226" s="3">
        <v>1236</v>
      </c>
      <c r="B1226" s="3" t="s">
        <v>44</v>
      </c>
      <c r="C1226" s="3" t="s">
        <v>920</v>
      </c>
      <c r="D1226" s="3" t="s">
        <v>102</v>
      </c>
      <c r="E1226" s="3">
        <v>110</v>
      </c>
      <c r="F1226" s="3" t="s">
        <v>34</v>
      </c>
      <c r="G1226" s="3" t="s">
        <v>921</v>
      </c>
      <c r="H1226" s="3">
        <v>27</v>
      </c>
      <c r="I1226" s="4">
        <v>110</v>
      </c>
      <c r="J1226" s="5">
        <v>30000</v>
      </c>
      <c r="K1226" s="6">
        <f>$E1226+1</f>
        <v>111</v>
      </c>
      <c r="L1226" s="7">
        <f>IF($J1226=0,0,ROUND(MAX($J1226*1.4,1620000*(1.497923^(MIN($E1226,123)-117)))*1,0))</f>
        <v>95739</v>
      </c>
      <c r="M1226" s="4">
        <f>$E1226+2</f>
        <v>112</v>
      </c>
      <c r="N1226" s="8">
        <f>IF($J1226=0,0,ROUND(MAX($J1226*1.4*1.5,2190000*(1.580994^(MIN($E1226,123)-117)))*1,0))</f>
        <v>88702</v>
      </c>
      <c r="O1226" s="6">
        <f>$E1226+4</f>
        <v>114</v>
      </c>
      <c r="P1226" s="7">
        <f>IF($J1226=0,0,ROUND(MAX($J1226*1.4*1.5*1.6,3500000*(1.57975^(MIN($E1226,123)-117)))*1,0))</f>
        <v>142544</v>
      </c>
      <c r="Q1226" s="4">
        <f>$E1226+6</f>
        <v>116</v>
      </c>
      <c r="R1226" s="8">
        <f>IF($J1226=0,0,ROUND(MAX($J1226*1.4*1.5*1.6*1.6,13100000*(1.429962^(MIN($E1226,123)-117)))*1,0))</f>
        <v>1071519</v>
      </c>
      <c r="S1226" s="6">
        <f>$E1226+8</f>
        <v>118</v>
      </c>
      <c r="T1226" s="7">
        <f>IF($J1226=0,0,ROUND(MAX($J1226*1.4*1.5*1.6*1.6*2.2,42600000*(1.576904^(MIN($E1226,123)-117)))*1,0))</f>
        <v>1757004</v>
      </c>
      <c r="U1226" s="4">
        <f>$E1226+11</f>
        <v>121</v>
      </c>
      <c r="V1226" s="8">
        <f>IF($J1226=0,0,ROUND(MAX($J1226*1.4*1.5*1.6*1.6*2.2*2.715,354000000*(1.642074^(MIN($E1226,123)-117)))*1,0))</f>
        <v>10996493</v>
      </c>
      <c r="W1226" s="6">
        <f>$E1226+15</f>
        <v>125</v>
      </c>
      <c r="X1226" s="7">
        <f>IF($J1226=0,0,ROUND(MAX($J1226*1.4*1.5*1.6*1.6*2.2*2.715*2.6,3540000000*(1.579646^(MIN($E1226,123)-117)))*1,0))</f>
        <v>144239716</v>
      </c>
      <c r="Y1226" s="4">
        <f>$E1226+17</f>
        <v>127</v>
      </c>
      <c r="Z1226" s="8">
        <f>IF($J1226=0,0,ROUND(MAX($J1226*1.4*1.5*1.6*1.6*2.2*2.715*2.6*1.4,6020000000*(1.651178^(MIN($E1226,123)-117)))*1,0))</f>
        <v>179903344</v>
      </c>
      <c r="AA1226" s="6">
        <f>$E1226+19</f>
        <v>129</v>
      </c>
      <c r="AB1226" s="7">
        <f>IF($J1226=0,0,ROUND(MAX($J1226*1.4*1.5*1.6*1.6*2.2*2.715*2.6*1.4*1.4,8430000000*(1.651435^(MIN($E1226,123)-117)))*1,0))</f>
        <v>251650143</v>
      </c>
      <c r="AC1226" s="4">
        <f>$E1226+21</f>
        <v>131</v>
      </c>
      <c r="AD1226" s="8">
        <f>IF($J1226=0,0,ROUND(MAX($J1226*1.4*1.5*1.6*1.6*2.2*2.715*2.6*1.4*1.4*1.5,12600000000*(1.652953^(MIN($E1226,123)-117)))*1,0))</f>
        <v>373720576</v>
      </c>
      <c r="AE1226" s="6">
        <f>$E1226+24</f>
        <v>134</v>
      </c>
      <c r="AF1226" s="7">
        <f>IF($J1226=0,0,ROUND(MAX($J1226*1.4*1.5*1.6*1.6*2.2*2.715*2.6*1.4*1.4*1.5*1.5,18900000000*(1.65331^(MIN($E1226,123)-117)))*1,0))</f>
        <v>559734088</v>
      </c>
      <c r="AG1226" s="4">
        <f>$E1226+27</f>
        <v>137</v>
      </c>
      <c r="AH1226" s="8">
        <f>IF($J1226=0,0,ROUND(MAX($J1226*1.4*1.5*1.6*1.6*2.2*2.715*2.6*1.4*1.4*1.5*1.5*3.2,60500000000*(1.654288^(MIN($E1226,123)-117)))*1,0))</f>
        <v>1784339701</v>
      </c>
    </row>
    <row r="1227" ht="27.75" customHeight="1" spans="1:34" x14ac:dyDescent="0.25">
      <c r="A1227" s="3">
        <v>1237</v>
      </c>
      <c r="B1227" s="3" t="s">
        <v>535</v>
      </c>
      <c r="C1227" s="3" t="s">
        <v>920</v>
      </c>
      <c r="D1227" s="3" t="s">
        <v>79</v>
      </c>
      <c r="E1227" s="3">
        <v>110</v>
      </c>
      <c r="F1227" s="3" t="s">
        <v>34</v>
      </c>
      <c r="G1227" s="3" t="s">
        <v>462</v>
      </c>
      <c r="H1227" s="3">
        <v>26</v>
      </c>
      <c r="I1227" s="4">
        <v>110</v>
      </c>
      <c r="J1227" s="5">
        <v>62600</v>
      </c>
      <c r="K1227" s="6">
        <f>$E1227+1</f>
        <v>111</v>
      </c>
      <c r="L1227" s="7">
        <f>IF($J1227=0,0,ROUND(MAX($J1227*1.4,1620000*(1.497923^(MIN($E1227,123)-117)))*1,0))</f>
        <v>95739</v>
      </c>
      <c r="M1227" s="4">
        <f>$E1227+2</f>
        <v>112</v>
      </c>
      <c r="N1227" s="8">
        <f>IF($J1227=0,0,ROUND(MAX($J1227*1.4*1.5,2190000*(1.580994^(MIN($E1227,123)-117)))*1,0))</f>
        <v>131460</v>
      </c>
      <c r="O1227" s="6">
        <f>$E1227+4</f>
        <v>114</v>
      </c>
      <c r="P1227" s="7">
        <f>IF($J1227=0,0,ROUND(MAX($J1227*1.4*1.5*1.6,3500000*(1.57975^(MIN($E1227,123)-117)))*1,0))</f>
        <v>210336</v>
      </c>
      <c r="Q1227" s="4">
        <f>$E1227+6</f>
        <v>116</v>
      </c>
      <c r="R1227" s="8">
        <f>IF($J1227=0,0,ROUND(MAX($J1227*1.4*1.5*1.6*1.6,13100000*(1.429962^(MIN($E1227,123)-117)))*1,0))</f>
        <v>1071519</v>
      </c>
      <c r="S1227" s="6">
        <f>$E1227+8</f>
        <v>118</v>
      </c>
      <c r="T1227" s="7">
        <f>IF($J1227=0,0,ROUND(MAX($J1227*1.4*1.5*1.6*1.6*2.2,42600000*(1.576904^(MIN($E1227,123)-117)))*1,0))</f>
        <v>1757004</v>
      </c>
      <c r="U1227" s="4">
        <f>$E1227+11</f>
        <v>121</v>
      </c>
      <c r="V1227" s="8">
        <f>IF($J1227=0,0,ROUND(MAX($J1227*1.4*1.5*1.6*1.6*2.2*2.715,354000000*(1.642074^(MIN($E1227,123)-117)))*1,0))</f>
        <v>10996493</v>
      </c>
      <c r="W1227" s="6">
        <f>$E1227+15</f>
        <v>125</v>
      </c>
      <c r="X1227" s="7">
        <f>IF($J1227=0,0,ROUND(MAX($J1227*1.4*1.5*1.6*1.6*2.2*2.715*2.6,3540000000*(1.579646^(MIN($E1227,123)-117)))*1,0))</f>
        <v>144239716</v>
      </c>
      <c r="Y1227" s="4">
        <f>$E1227+17</f>
        <v>127</v>
      </c>
      <c r="Z1227" s="8">
        <f>IF($J1227=0,0,ROUND(MAX($J1227*1.4*1.5*1.6*1.6*2.2*2.715*2.6*1.4,6020000000*(1.651178^(MIN($E1227,123)-117)))*1,0))</f>
        <v>179903344</v>
      </c>
      <c r="AA1227" s="6">
        <f>$E1227+19</f>
        <v>129</v>
      </c>
      <c r="AB1227" s="7">
        <f>IF($J1227=0,0,ROUND(MAX($J1227*1.4*1.5*1.6*1.6*2.2*2.715*2.6*1.4*1.4,8430000000*(1.651435^(MIN($E1227,123)-117)))*1,0))</f>
        <v>251650143</v>
      </c>
      <c r="AC1227" s="4">
        <f>$E1227+21</f>
        <v>131</v>
      </c>
      <c r="AD1227" s="8">
        <f>IF($J1227=0,0,ROUND(MAX($J1227*1.4*1.5*1.6*1.6*2.2*2.715*2.6*1.4*1.4*1.5,12600000000*(1.652953^(MIN($E1227,123)-117)))*1,0))</f>
        <v>373720576</v>
      </c>
      <c r="AE1227" s="6">
        <f>$E1227+24</f>
        <v>134</v>
      </c>
      <c r="AF1227" s="7">
        <f>IF($J1227=0,0,ROUND(MAX($J1227*1.4*1.5*1.6*1.6*2.2*2.715*2.6*1.4*1.4*1.5*1.5,18900000000*(1.65331^(MIN($E1227,123)-117)))*1,0))</f>
        <v>559734088</v>
      </c>
      <c r="AG1227" s="4">
        <f>$E1227+27</f>
        <v>137</v>
      </c>
      <c r="AH1227" s="8">
        <f>IF($J1227=0,0,ROUND(MAX($J1227*1.4*1.5*1.6*1.6*2.2*2.715*2.6*1.4*1.4*1.5*1.5*3.2,60500000000*(1.654288^(MIN($E1227,123)-117)))*1,0))</f>
        <v>1784339701</v>
      </c>
    </row>
    <row r="1228" ht="27.75" customHeight="1" spans="1:34" x14ac:dyDescent="0.25">
      <c r="A1228" s="3">
        <v>1238</v>
      </c>
      <c r="B1228" s="3" t="s">
        <v>922</v>
      </c>
      <c r="C1228" s="3" t="s">
        <v>920</v>
      </c>
      <c r="D1228" s="3" t="s">
        <v>45</v>
      </c>
      <c r="E1228" s="3">
        <v>109</v>
      </c>
      <c r="F1228" s="3" t="s">
        <v>34</v>
      </c>
      <c r="G1228" s="3" t="s">
        <v>921</v>
      </c>
      <c r="H1228" s="3">
        <v>26</v>
      </c>
      <c r="I1228" s="4">
        <v>109</v>
      </c>
      <c r="J1228" s="5">
        <v>1010000</v>
      </c>
      <c r="K1228" s="6">
        <f>$E1228+1</f>
        <v>110</v>
      </c>
      <c r="L1228" s="7">
        <f>IF($J1228=0,0,ROUND(MAX($J1228*1.4,1620000*(1.497923^(MIN($E1228,123)-117)))*1,0))</f>
        <v>1414000</v>
      </c>
      <c r="M1228" s="4">
        <f>$E1228+2</f>
        <v>111</v>
      </c>
      <c r="N1228" s="8">
        <f>IF($J1228=0,0,ROUND(MAX($J1228*1.4*1.5,2190000*(1.580994^(MIN($E1228,123)-117)))*1,0))</f>
        <v>2121000</v>
      </c>
      <c r="O1228" s="6">
        <f>$E1228+4</f>
        <v>113</v>
      </c>
      <c r="P1228" s="7">
        <f>IF($J1228=0,0,ROUND(MAX($J1228*1.4*1.5*1.6,3500000*(1.57975^(MIN($E1228,123)-117)))*1,0))</f>
        <v>3393600</v>
      </c>
      <c r="Q1228" s="4">
        <f>$E1228+6</f>
        <v>115</v>
      </c>
      <c r="R1228" s="8">
        <f>IF($J1228=0,0,ROUND(MAX($J1228*1.4*1.5*1.6*1.6,13100000*(1.429962^(MIN($E1228,123)-117)))*1,0))</f>
        <v>5429760</v>
      </c>
      <c r="S1228" s="6">
        <f>$E1228+8</f>
        <v>117</v>
      </c>
      <c r="T1228" s="7">
        <f>IF($J1228=0,0,ROUND(MAX($J1228*1.4*1.5*1.6*1.6*2.2,42600000*(1.576904^(MIN($E1228,123)-117)))*1,0))</f>
        <v>11945472</v>
      </c>
      <c r="U1228" s="4">
        <f>$E1228+11</f>
        <v>120</v>
      </c>
      <c r="V1228" s="8">
        <f>IF($J1228=0,0,ROUND(MAX($J1228*1.4*1.5*1.6*1.6*2.2*2.715,354000000*(1.642074^(MIN($E1228,123)-117)))*1,0))</f>
        <v>32431956</v>
      </c>
      <c r="W1228" s="6">
        <f>$E1228+15</f>
        <v>124</v>
      </c>
      <c r="X1228" s="7">
        <f>IF($J1228=0,0,ROUND(MAX($J1228*1.4*1.5*1.6*1.6*2.2*2.715*2.6,3540000000*(1.579646^(MIN($E1228,123)-117)))*1,0))</f>
        <v>91311418</v>
      </c>
      <c r="Y1228" s="4">
        <f>$E1228+17</f>
        <v>126</v>
      </c>
      <c r="Z1228" s="8">
        <f>IF($J1228=0,0,ROUND(MAX($J1228*1.4*1.5*1.6*1.6*2.2*2.715*2.6*1.4,6020000000*(1.651178^(MIN($E1228,123)-117)))*1,0))</f>
        <v>118052322</v>
      </c>
      <c r="AA1228" s="6">
        <f>$E1228+19</f>
        <v>128</v>
      </c>
      <c r="AB1228" s="7">
        <f>IF($J1228=0,0,ROUND(MAX($J1228*1.4*1.5*1.6*1.6*2.2*2.715*2.6*1.4*1.4,8430000000*(1.651435^(MIN($E1228,123)-117)))*1,0))</f>
        <v>165273250</v>
      </c>
      <c r="AC1228" s="4">
        <f>$E1228+21</f>
        <v>130</v>
      </c>
      <c r="AD1228" s="8">
        <f>IF($J1228=0,0,ROUND(MAX($J1228*1.4*1.5*1.6*1.6*2.2*2.715*2.6*1.4*1.4*1.5,12600000000*(1.652953^(MIN($E1228,123)-117)))*1,0))</f>
        <v>247909875</v>
      </c>
      <c r="AE1228" s="6">
        <f>$E1228+24</f>
        <v>133</v>
      </c>
      <c r="AF1228" s="7">
        <f>IF($J1228=0,0,ROUND(MAX($J1228*1.4*1.5*1.6*1.6*2.2*2.715*2.6*1.4*1.4*1.5*1.5,18900000000*(1.65331^(MIN($E1228,123)-117)))*1,0))</f>
        <v>371864813</v>
      </c>
      <c r="AG1228" s="4">
        <f>$E1228+27</f>
        <v>136</v>
      </c>
      <c r="AH1228" s="8">
        <f>IF($J1228=0,0,ROUND(MAX($J1228*1.4*1.5*1.6*1.6*2.2*2.715*2.6*1.4*1.4*1.5*1.5*3.2,60500000000*(1.654288^(MIN($E1228,123)-117)))*1,0))</f>
        <v>1189967402</v>
      </c>
    </row>
    <row r="1229" ht="27.75" customHeight="1" spans="1:34" x14ac:dyDescent="0.25">
      <c r="A1229" s="3">
        <v>1239</v>
      </c>
      <c r="B1229" s="3" t="s">
        <v>131</v>
      </c>
      <c r="C1229" s="3" t="s">
        <v>920</v>
      </c>
      <c r="D1229" s="3" t="s">
        <v>40</v>
      </c>
      <c r="E1229" s="3">
        <v>109</v>
      </c>
      <c r="F1229" s="3" t="s">
        <v>132</v>
      </c>
      <c r="G1229" s="3" t="s">
        <v>921</v>
      </c>
      <c r="H1229" s="3">
        <v>25</v>
      </c>
      <c r="I1229" s="4">
        <v>109</v>
      </c>
      <c r="J1229" s="5">
        <v>105000</v>
      </c>
      <c r="K1229" s="6">
        <f>$E1229+1</f>
        <v>110</v>
      </c>
      <c r="L1229" s="7">
        <f>IF($J1229=0,0,ROUND(MAX($J1229*1.4,1620000*(1.497923^(MIN($E1229,123)-117)))*1,0))</f>
        <v>147000</v>
      </c>
      <c r="M1229" s="4">
        <f>$E1229+2</f>
        <v>111</v>
      </c>
      <c r="N1229" s="8">
        <f>IF($J1229=0,0,ROUND(MAX($J1229*1.4*1.5,2190000*(1.580994^(MIN($E1229,123)-117)))*1,0))</f>
        <v>220500</v>
      </c>
      <c r="O1229" s="6">
        <f>$E1229+4</f>
        <v>113</v>
      </c>
      <c r="P1229" s="7">
        <f>IF($J1229=0,0,ROUND(MAX($J1229*1.4*1.5*1.6,3500000*(1.57975^(MIN($E1229,123)-117)))*1,0))</f>
        <v>352800</v>
      </c>
      <c r="Q1229" s="4">
        <f>$E1229+6</f>
        <v>115</v>
      </c>
      <c r="R1229" s="8">
        <f>IF($J1229=0,0,ROUND(MAX($J1229*1.4*1.5*1.6*1.6,13100000*(1.429962^(MIN($E1229,123)-117)))*1,0))</f>
        <v>749334</v>
      </c>
      <c r="S1229" s="6">
        <f>$E1229+8</f>
        <v>117</v>
      </c>
      <c r="T1229" s="7">
        <f>IF($J1229=0,0,ROUND(MAX($J1229*1.4*1.5*1.6*1.6*2.2,42600000*(1.576904^(MIN($E1229,123)-117)))*1,0))</f>
        <v>1241856</v>
      </c>
      <c r="U1229" s="4">
        <f>$E1229+11</f>
        <v>120</v>
      </c>
      <c r="V1229" s="8">
        <f>IF($J1229=0,0,ROUND(MAX($J1229*1.4*1.5*1.6*1.6*2.2*2.715,354000000*(1.642074^(MIN($E1229,123)-117)))*1,0))</f>
        <v>6696710</v>
      </c>
      <c r="W1229" s="6">
        <f>$E1229+15</f>
        <v>124</v>
      </c>
      <c r="X1229" s="7">
        <f>IF($J1229=0,0,ROUND(MAX($J1229*1.4*1.5*1.6*1.6*2.2*2.715*2.6,3540000000*(1.579646^(MIN($E1229,123)-117)))*1,0))</f>
        <v>91311418</v>
      </c>
      <c r="Y1229" s="4">
        <f>$E1229+17</f>
        <v>126</v>
      </c>
      <c r="Z1229" s="8">
        <f>IF($J1229=0,0,ROUND(MAX($J1229*1.4*1.5*1.6*1.6*2.2*2.715*2.6*1.4,6020000000*(1.651178^(MIN($E1229,123)-117)))*1,0))</f>
        <v>108954543</v>
      </c>
      <c r="AA1229" s="6">
        <f>$E1229+19</f>
        <v>128</v>
      </c>
      <c r="AB1229" s="7">
        <f>IF($J1229=0,0,ROUND(MAX($J1229*1.4*1.5*1.6*1.6*2.2*2.715*2.6*1.4*1.4,8430000000*(1.651435^(MIN($E1229,123)-117)))*1,0))</f>
        <v>152382712</v>
      </c>
      <c r="AC1229" s="4">
        <f>$E1229+21</f>
        <v>130</v>
      </c>
      <c r="AD1229" s="8">
        <f>IF($J1229=0,0,ROUND(MAX($J1229*1.4*1.5*1.6*1.6*2.2*2.715*2.6*1.4*1.4*1.5,12600000000*(1.652953^(MIN($E1229,123)-117)))*1,0))</f>
        <v>226092682</v>
      </c>
      <c r="AE1229" s="6">
        <f>$E1229+24</f>
        <v>133</v>
      </c>
      <c r="AF1229" s="7">
        <f>IF($J1229=0,0,ROUND(MAX($J1229*1.4*1.5*1.6*1.6*2.2*2.715*2.6*1.4*1.4*1.5*1.5,18900000000*(1.65331^(MIN($E1229,123)-117)))*1,0))</f>
        <v>338553621</v>
      </c>
      <c r="AG1229" s="4">
        <f>$E1229+27</f>
        <v>136</v>
      </c>
      <c r="AH1229" s="8">
        <f>IF($J1229=0,0,ROUND(MAX($J1229*1.4*1.5*1.6*1.6*2.2*2.715*2.6*1.4*1.4*1.5*1.5*3.2,60500000000*(1.654288^(MIN($E1229,123)-117)))*1,0))</f>
        <v>1078614909</v>
      </c>
    </row>
    <row r="1230" ht="27.75" customHeight="1" spans="1:34" x14ac:dyDescent="0.25">
      <c r="A1230" s="3">
        <v>1240</v>
      </c>
      <c r="B1230" s="3" t="s">
        <v>923</v>
      </c>
      <c r="C1230" s="3" t="s">
        <v>920</v>
      </c>
      <c r="D1230" s="3" t="s">
        <v>40</v>
      </c>
      <c r="E1230" s="3">
        <v>109</v>
      </c>
      <c r="F1230" s="3" t="s">
        <v>71</v>
      </c>
      <c r="G1230" s="3" t="s">
        <v>326</v>
      </c>
      <c r="H1230" s="3">
        <v>25</v>
      </c>
      <c r="I1230" s="4">
        <v>109</v>
      </c>
      <c r="J1230" s="5">
        <v>171000</v>
      </c>
      <c r="K1230" s="6">
        <f>$E1230+1</f>
        <v>110</v>
      </c>
      <c r="L1230" s="7">
        <f>IF($J1230=0,0,ROUND(MAX($J1230*1.4,1620000*(1.497923^(MIN($E1230,123)-117)))*1,0))</f>
        <v>239400</v>
      </c>
      <c r="M1230" s="4">
        <f>$E1230+2</f>
        <v>111</v>
      </c>
      <c r="N1230" s="8">
        <f>IF($J1230=0,0,ROUND(MAX($J1230*1.4*1.5,2190000*(1.580994^(MIN($E1230,123)-117)))*1,0))</f>
        <v>359100</v>
      </c>
      <c r="O1230" s="6">
        <f>$E1230+4</f>
        <v>113</v>
      </c>
      <c r="P1230" s="7">
        <f>IF($J1230=0,0,ROUND(MAX($J1230*1.4*1.5*1.6,3500000*(1.57975^(MIN($E1230,123)-117)))*1,0))</f>
        <v>574560</v>
      </c>
      <c r="Q1230" s="4">
        <f>$E1230+6</f>
        <v>115</v>
      </c>
      <c r="R1230" s="8">
        <f>IF($J1230=0,0,ROUND(MAX($J1230*1.4*1.5*1.6*1.6,13100000*(1.429962^(MIN($E1230,123)-117)))*1,0))</f>
        <v>919296</v>
      </c>
      <c r="S1230" s="6">
        <f>$E1230+8</f>
        <v>117</v>
      </c>
      <c r="T1230" s="7">
        <f>IF($J1230=0,0,ROUND(MAX($J1230*1.4*1.5*1.6*1.6*2.2,42600000*(1.576904^(MIN($E1230,123)-117)))*1,0))</f>
        <v>2022451</v>
      </c>
      <c r="U1230" s="4">
        <f>$E1230+11</f>
        <v>120</v>
      </c>
      <c r="V1230" s="8">
        <f>IF($J1230=0,0,ROUND(MAX($J1230*1.4*1.5*1.6*1.6*2.2*2.715,354000000*(1.642074^(MIN($E1230,123)-117)))*1,0))</f>
        <v>6696710</v>
      </c>
      <c r="W1230" s="6">
        <f>$E1230+15</f>
        <v>124</v>
      </c>
      <c r="X1230" s="7">
        <f>IF($J1230=0,0,ROUND(MAX($J1230*1.4*1.5*1.6*1.6*2.2*2.715*2.6,3540000000*(1.579646^(MIN($E1230,123)-117)))*1,0))</f>
        <v>91311418</v>
      </c>
      <c r="Y1230" s="4">
        <f>$E1230+17</f>
        <v>126</v>
      </c>
      <c r="Z1230" s="8">
        <f>IF($J1230=0,0,ROUND(MAX($J1230*1.4*1.5*1.6*1.6*2.2*2.715*2.6*1.4,6020000000*(1.651178^(MIN($E1230,123)-117)))*1,0))</f>
        <v>108954543</v>
      </c>
      <c r="AA1230" s="6">
        <f>$E1230+19</f>
        <v>128</v>
      </c>
      <c r="AB1230" s="7">
        <f>IF($J1230=0,0,ROUND(MAX($J1230*1.4*1.5*1.6*1.6*2.2*2.715*2.6*1.4*1.4,8430000000*(1.651435^(MIN($E1230,123)-117)))*1,0))</f>
        <v>152382712</v>
      </c>
      <c r="AC1230" s="4">
        <f>$E1230+21</f>
        <v>130</v>
      </c>
      <c r="AD1230" s="8">
        <f>IF($J1230=0,0,ROUND(MAX($J1230*1.4*1.5*1.6*1.6*2.2*2.715*2.6*1.4*1.4*1.5,12600000000*(1.652953^(MIN($E1230,123)-117)))*1,0))</f>
        <v>226092682</v>
      </c>
      <c r="AE1230" s="6">
        <f>$E1230+24</f>
        <v>133</v>
      </c>
      <c r="AF1230" s="7">
        <f>IF($J1230=0,0,ROUND(MAX($J1230*1.4*1.5*1.6*1.6*2.2*2.715*2.6*1.4*1.4*1.5*1.5,18900000000*(1.65331^(MIN($E1230,123)-117)))*1,0))</f>
        <v>338553621</v>
      </c>
      <c r="AG1230" s="4">
        <f>$E1230+27</f>
        <v>136</v>
      </c>
      <c r="AH1230" s="8">
        <f>IF($J1230=0,0,ROUND(MAX($J1230*1.4*1.5*1.6*1.6*2.2*2.715*2.6*1.4*1.4*1.5*1.5*3.2,60500000000*(1.654288^(MIN($E1230,123)-117)))*1,0))</f>
        <v>1078614909</v>
      </c>
    </row>
    <row r="1231" ht="27.75" customHeight="1" spans="1:34" x14ac:dyDescent="0.25">
      <c r="A1231" s="3">
        <v>1241</v>
      </c>
      <c r="B1231" s="3" t="s">
        <v>627</v>
      </c>
      <c r="C1231" s="3" t="s">
        <v>920</v>
      </c>
      <c r="D1231" s="3" t="s">
        <v>45</v>
      </c>
      <c r="E1231" s="3">
        <v>109</v>
      </c>
      <c r="F1231" s="3" t="s">
        <v>71</v>
      </c>
      <c r="G1231" s="3" t="s">
        <v>921</v>
      </c>
      <c r="H1231" s="3">
        <v>25</v>
      </c>
      <c r="I1231" s="4">
        <v>109</v>
      </c>
      <c r="J1231" s="5">
        <v>180000</v>
      </c>
      <c r="K1231" s="6">
        <f>$E1231+1</f>
        <v>110</v>
      </c>
      <c r="L1231" s="7">
        <f>IF($J1231=0,0,ROUND(MAX($J1231*1.4,1620000*(1.497923^(MIN($E1231,123)-117)))*1,0))</f>
        <v>252000</v>
      </c>
      <c r="M1231" s="4">
        <f>$E1231+2</f>
        <v>111</v>
      </c>
      <c r="N1231" s="8">
        <f>IF($J1231=0,0,ROUND(MAX($J1231*1.4*1.5,2190000*(1.580994^(MIN($E1231,123)-117)))*1,0))</f>
        <v>378000</v>
      </c>
      <c r="O1231" s="6">
        <f>$E1231+4</f>
        <v>113</v>
      </c>
      <c r="P1231" s="7">
        <f>IF($J1231=0,0,ROUND(MAX($J1231*1.4*1.5*1.6,3500000*(1.57975^(MIN($E1231,123)-117)))*1,0))</f>
        <v>604800</v>
      </c>
      <c r="Q1231" s="4">
        <f>$E1231+6</f>
        <v>115</v>
      </c>
      <c r="R1231" s="8">
        <f>IF($J1231=0,0,ROUND(MAX($J1231*1.4*1.5*1.6*1.6,13100000*(1.429962^(MIN($E1231,123)-117)))*1,0))</f>
        <v>967680</v>
      </c>
      <c r="S1231" s="6">
        <f>$E1231+8</f>
        <v>117</v>
      </c>
      <c r="T1231" s="7">
        <f>IF($J1231=0,0,ROUND(MAX($J1231*1.4*1.5*1.6*1.6*2.2,42600000*(1.576904^(MIN($E1231,123)-117)))*1,0))</f>
        <v>2128896</v>
      </c>
      <c r="U1231" s="4">
        <f>$E1231+11</f>
        <v>120</v>
      </c>
      <c r="V1231" s="8">
        <f>IF($J1231=0,0,ROUND(MAX($J1231*1.4*1.5*1.6*1.6*2.2*2.715,354000000*(1.642074^(MIN($E1231,123)-117)))*1,0))</f>
        <v>6696710</v>
      </c>
      <c r="W1231" s="6">
        <f>$E1231+15</f>
        <v>124</v>
      </c>
      <c r="X1231" s="7">
        <f>IF($J1231=0,0,ROUND(MAX($J1231*1.4*1.5*1.6*1.6*2.2*2.715*2.6,3540000000*(1.579646^(MIN($E1231,123)-117)))*1,0))</f>
        <v>91311418</v>
      </c>
      <c r="Y1231" s="4">
        <f>$E1231+17</f>
        <v>126</v>
      </c>
      <c r="Z1231" s="8">
        <f>IF($J1231=0,0,ROUND(MAX($J1231*1.4*1.5*1.6*1.6*2.2*2.715*2.6*1.4,6020000000*(1.651178^(MIN($E1231,123)-117)))*1,0))</f>
        <v>108954543</v>
      </c>
      <c r="AA1231" s="6">
        <f>$E1231+19</f>
        <v>128</v>
      </c>
      <c r="AB1231" s="7">
        <f>IF($J1231=0,0,ROUND(MAX($J1231*1.4*1.5*1.6*1.6*2.2*2.715*2.6*1.4*1.4,8430000000*(1.651435^(MIN($E1231,123)-117)))*1,0))</f>
        <v>152382712</v>
      </c>
      <c r="AC1231" s="4">
        <f>$E1231+21</f>
        <v>130</v>
      </c>
      <c r="AD1231" s="8">
        <f>IF($J1231=0,0,ROUND(MAX($J1231*1.4*1.5*1.6*1.6*2.2*2.715*2.6*1.4*1.4*1.5,12600000000*(1.652953^(MIN($E1231,123)-117)))*1,0))</f>
        <v>226092682</v>
      </c>
      <c r="AE1231" s="6">
        <f>$E1231+24</f>
        <v>133</v>
      </c>
      <c r="AF1231" s="7">
        <f>IF($J1231=0,0,ROUND(MAX($J1231*1.4*1.5*1.6*1.6*2.2*2.715*2.6*1.4*1.4*1.5*1.5,18900000000*(1.65331^(MIN($E1231,123)-117)))*1,0))</f>
        <v>338553621</v>
      </c>
      <c r="AG1231" s="4">
        <f>$E1231+27</f>
        <v>136</v>
      </c>
      <c r="AH1231" s="8">
        <f>IF($J1231=0,0,ROUND(MAX($J1231*1.4*1.5*1.6*1.6*2.2*2.715*2.6*1.4*1.4*1.5*1.5*3.2,60500000000*(1.654288^(MIN($E1231,123)-117)))*1,0))</f>
        <v>1078614909</v>
      </c>
    </row>
    <row r="1232" ht="27.75" customHeight="1" spans="1:34" x14ac:dyDescent="0.25">
      <c r="A1232" s="3">
        <v>1242</v>
      </c>
      <c r="B1232" s="3" t="s">
        <v>924</v>
      </c>
      <c r="C1232" s="3" t="s">
        <v>920</v>
      </c>
      <c r="D1232" s="3" t="s">
        <v>102</v>
      </c>
      <c r="E1232" s="3">
        <v>109</v>
      </c>
      <c r="F1232" s="3" t="s">
        <v>179</v>
      </c>
      <c r="G1232" s="3" t="s">
        <v>699</v>
      </c>
      <c r="H1232" s="3">
        <v>24</v>
      </c>
      <c r="I1232" s="4">
        <v>109</v>
      </c>
      <c r="J1232" s="5">
        <v>73400</v>
      </c>
      <c r="K1232" s="6">
        <f>$E1232+1</f>
        <v>110</v>
      </c>
      <c r="L1232" s="7">
        <f>IF($J1232=0,0,ROUND(MAX($J1232*1.4,1620000*(1.497923^(MIN($E1232,123)-117)))*1,0))</f>
        <v>102760</v>
      </c>
      <c r="M1232" s="4">
        <f>$E1232+2</f>
        <v>111</v>
      </c>
      <c r="N1232" s="8">
        <f>IF($J1232=0,0,ROUND(MAX($J1232*1.4*1.5,2190000*(1.580994^(MIN($E1232,123)-117)))*1,0))</f>
        <v>154140</v>
      </c>
      <c r="O1232" s="6">
        <f>$E1232+4</f>
        <v>113</v>
      </c>
      <c r="P1232" s="7">
        <f>IF($J1232=0,0,ROUND(MAX($J1232*1.4*1.5*1.6,3500000*(1.57975^(MIN($E1232,123)-117)))*1,0))</f>
        <v>246624</v>
      </c>
      <c r="Q1232" s="4">
        <f>$E1232+6</f>
        <v>115</v>
      </c>
      <c r="R1232" s="8">
        <f>IF($J1232=0,0,ROUND(MAX($J1232*1.4*1.5*1.6*1.6,13100000*(1.429962^(MIN($E1232,123)-117)))*1,0))</f>
        <v>749334</v>
      </c>
      <c r="S1232" s="6">
        <f>$E1232+8</f>
        <v>117</v>
      </c>
      <c r="T1232" s="7">
        <f>IF($J1232=0,0,ROUND(MAX($J1232*1.4*1.5*1.6*1.6*2.2,42600000*(1.576904^(MIN($E1232,123)-117)))*1,0))</f>
        <v>1114211</v>
      </c>
      <c r="U1232" s="4">
        <f>$E1232+11</f>
        <v>120</v>
      </c>
      <c r="V1232" s="8">
        <f>IF($J1232=0,0,ROUND(MAX($J1232*1.4*1.5*1.6*1.6*2.2*2.715,354000000*(1.642074^(MIN($E1232,123)-117)))*1,0))</f>
        <v>6696710</v>
      </c>
      <c r="W1232" s="6">
        <f>$E1232+15</f>
        <v>124</v>
      </c>
      <c r="X1232" s="7">
        <f>IF($J1232=0,0,ROUND(MAX($J1232*1.4*1.5*1.6*1.6*2.2*2.715*2.6,3540000000*(1.579646^(MIN($E1232,123)-117)))*1,0))</f>
        <v>91311418</v>
      </c>
      <c r="Y1232" s="4">
        <f>$E1232+17</f>
        <v>126</v>
      </c>
      <c r="Z1232" s="8">
        <f>IF($J1232=0,0,ROUND(MAX($J1232*1.4*1.5*1.6*1.6*2.2*2.715*2.6*1.4,6020000000*(1.651178^(MIN($E1232,123)-117)))*1,0))</f>
        <v>108954543</v>
      </c>
      <c r="AA1232" s="6">
        <f>$E1232+19</f>
        <v>128</v>
      </c>
      <c r="AB1232" s="7">
        <f>IF($J1232=0,0,ROUND(MAX($J1232*1.4*1.5*1.6*1.6*2.2*2.715*2.6*1.4*1.4,8430000000*(1.651435^(MIN($E1232,123)-117)))*1,0))</f>
        <v>152382712</v>
      </c>
      <c r="AC1232" s="4">
        <f>$E1232+21</f>
        <v>130</v>
      </c>
      <c r="AD1232" s="8">
        <f>IF($J1232=0,0,ROUND(MAX($J1232*1.4*1.5*1.6*1.6*2.2*2.715*2.6*1.4*1.4*1.5,12600000000*(1.652953^(MIN($E1232,123)-117)))*1,0))</f>
        <v>226092682</v>
      </c>
      <c r="AE1232" s="6">
        <f>$E1232+24</f>
        <v>133</v>
      </c>
      <c r="AF1232" s="7">
        <f>IF($J1232=0,0,ROUND(MAX($J1232*1.4*1.5*1.6*1.6*2.2*2.715*2.6*1.4*1.4*1.5*1.5,18900000000*(1.65331^(MIN($E1232,123)-117)))*1,0))</f>
        <v>338553621</v>
      </c>
      <c r="AG1232" s="4">
        <f>$E1232+27</f>
        <v>136</v>
      </c>
      <c r="AH1232" s="8">
        <f>IF($J1232=0,0,ROUND(MAX($J1232*1.4*1.5*1.6*1.6*2.2*2.715*2.6*1.4*1.4*1.5*1.5*3.2,60500000000*(1.654288^(MIN($E1232,123)-117)))*1,0))</f>
        <v>1078614909</v>
      </c>
    </row>
    <row r="1233" ht="27.75" customHeight="1" spans="1:34" x14ac:dyDescent="0.25">
      <c r="A1233" s="3">
        <v>1243</v>
      </c>
      <c r="B1233" s="3" t="s">
        <v>77</v>
      </c>
      <c r="C1233" s="3" t="s">
        <v>920</v>
      </c>
      <c r="D1233" s="3" t="s">
        <v>29</v>
      </c>
      <c r="E1233" s="3">
        <v>108</v>
      </c>
      <c r="F1233" s="3" t="s">
        <v>42</v>
      </c>
      <c r="G1233" s="3" t="s">
        <v>921</v>
      </c>
      <c r="H1233" s="3">
        <v>27</v>
      </c>
      <c r="I1233" s="4">
        <v>108</v>
      </c>
      <c r="J1233" s="5">
        <v>30000</v>
      </c>
      <c r="K1233" s="6">
        <f>$E1233+1</f>
        <v>109</v>
      </c>
      <c r="L1233" s="7">
        <f>IF($J1233=0,0,ROUND(MAX($J1233*1.4,1620000*(1.497923^(MIN($E1233,123)-117)))*1,0))</f>
        <v>42669</v>
      </c>
      <c r="M1233" s="4">
        <f>$E1233+2</f>
        <v>110</v>
      </c>
      <c r="N1233" s="8">
        <f>IF($J1233=0,0,ROUND(MAX($J1233*1.4*1.5,2190000*(1.580994^(MIN($E1233,123)-117)))*1,0))</f>
        <v>63000</v>
      </c>
      <c r="O1233" s="6">
        <f>$E1233+4</f>
        <v>112</v>
      </c>
      <c r="P1233" s="7">
        <f>IF($J1233=0,0,ROUND(MAX($J1233*1.4*1.5*1.6,3500000*(1.57975^(MIN($E1233,123)-117)))*1,0))</f>
        <v>100800</v>
      </c>
      <c r="Q1233" s="4">
        <f>$E1233+6</f>
        <v>114</v>
      </c>
      <c r="R1233" s="8">
        <f>IF($J1233=0,0,ROUND(MAX($J1233*1.4*1.5*1.6*1.6,13100000*(1.429962^(MIN($E1233,123)-117)))*1,0))</f>
        <v>524024</v>
      </c>
      <c r="S1233" s="6">
        <f>$E1233+8</f>
        <v>116</v>
      </c>
      <c r="T1233" s="7">
        <f>IF($J1233=0,0,ROUND(MAX($J1233*1.4*1.5*1.6*1.6*2.2,42600000*(1.576904^(MIN($E1233,123)-117)))*1,0))</f>
        <v>706582</v>
      </c>
      <c r="U1233" s="4">
        <f>$E1233+11</f>
        <v>119</v>
      </c>
      <c r="V1233" s="8">
        <f>IF($J1233=0,0,ROUND(MAX($J1233*1.4*1.5*1.6*1.6*2.2*2.715,354000000*(1.642074^(MIN($E1233,123)-117)))*1,0))</f>
        <v>4078202</v>
      </c>
      <c r="W1233" s="6">
        <f>$E1233+15</f>
        <v>123</v>
      </c>
      <c r="X1233" s="7">
        <f>IF($J1233=0,0,ROUND(MAX($J1233*1.4*1.5*1.6*1.6*2.2*2.715*2.6,3540000000*(1.579646^(MIN($E1233,123)-117)))*1,0))</f>
        <v>57804988</v>
      </c>
      <c r="Y1233" s="4">
        <f>$E1233+17</f>
        <v>125</v>
      </c>
      <c r="Z1233" s="8">
        <f>IF($J1233=0,0,ROUND(MAX($J1233*1.4*1.5*1.6*1.6*2.2*2.715*2.6*1.4,6020000000*(1.651178^(MIN($E1233,123)-117)))*1,0))</f>
        <v>65985946</v>
      </c>
      <c r="AA1233" s="6">
        <f>$E1233+19</f>
        <v>127</v>
      </c>
      <c r="AB1233" s="7">
        <f>IF($J1233=0,0,ROUND(MAX($J1233*1.4*1.5*1.6*1.6*2.2*2.715*2.6*1.4*1.4,8430000000*(1.651435^(MIN($E1233,123)-117)))*1,0))</f>
        <v>92272909</v>
      </c>
      <c r="AC1233" s="4">
        <f>$E1233+21</f>
        <v>129</v>
      </c>
      <c r="AD1233" s="8">
        <f>IF($J1233=0,0,ROUND(MAX($J1233*1.4*1.5*1.6*1.6*2.2*2.715*2.6*1.4*1.4*1.5,12600000000*(1.652953^(MIN($E1233,123)-117)))*1,0))</f>
        <v>136781071</v>
      </c>
      <c r="AE1233" s="6">
        <f>$E1233+24</f>
        <v>132</v>
      </c>
      <c r="AF1233" s="7">
        <f>IF($J1233=0,0,ROUND(MAX($J1233*1.4*1.5*1.6*1.6*2.2*2.715*2.6*1.4*1.4*1.5*1.5,18900000000*(1.65331^(MIN($E1233,123)-117)))*1,0))</f>
        <v>204773225</v>
      </c>
      <c r="AG1233" s="4">
        <f>$E1233+27</f>
        <v>135</v>
      </c>
      <c r="AH1233" s="8">
        <f>IF($J1233=0,0,ROUND(MAX($J1233*1.4*1.5*1.6*1.6*2.2*2.715*2.6*1.4*1.4*1.5*1.5*3.2,60500000000*(1.654288^(MIN($E1233,123)-117)))*1,0))</f>
        <v>652011566</v>
      </c>
    </row>
    <row r="1234" ht="27.75" customHeight="1" spans="1:34" x14ac:dyDescent="0.25">
      <c r="A1234" s="3">
        <v>1244</v>
      </c>
      <c r="B1234" s="3" t="s">
        <v>251</v>
      </c>
      <c r="C1234" s="3" t="s">
        <v>920</v>
      </c>
      <c r="D1234" s="3" t="s">
        <v>40</v>
      </c>
      <c r="E1234" s="3">
        <v>108</v>
      </c>
      <c r="F1234" s="3" t="s">
        <v>59</v>
      </c>
      <c r="G1234" s="3" t="s">
        <v>252</v>
      </c>
      <c r="H1234" s="3">
        <v>27</v>
      </c>
      <c r="I1234" s="4">
        <v>108</v>
      </c>
      <c r="J1234" s="5">
        <v>10000</v>
      </c>
      <c r="K1234" s="6">
        <f>$E1234+1</f>
        <v>109</v>
      </c>
      <c r="L1234" s="7">
        <f>IF($J1234=0,0,ROUND(MAX($J1234*1.4,1620000*(1.497923^(MIN($E1234,123)-117)))*1,0))</f>
        <v>42669</v>
      </c>
      <c r="M1234" s="4">
        <f>$E1234+2</f>
        <v>110</v>
      </c>
      <c r="N1234" s="8">
        <f>IF($J1234=0,0,ROUND(MAX($J1234*1.4*1.5,2190000*(1.580994^(MIN($E1234,123)-117)))*1,0))</f>
        <v>35487</v>
      </c>
      <c r="O1234" s="6">
        <f>$E1234+4</f>
        <v>112</v>
      </c>
      <c r="P1234" s="7">
        <f>IF($J1234=0,0,ROUND(MAX($J1234*1.4*1.5*1.6,3500000*(1.57975^(MIN($E1234,123)-117)))*1,0))</f>
        <v>57118</v>
      </c>
      <c r="Q1234" s="4">
        <f>$E1234+6</f>
        <v>114</v>
      </c>
      <c r="R1234" s="8">
        <f>IF($J1234=0,0,ROUND(MAX($J1234*1.4*1.5*1.6*1.6,13100000*(1.429962^(MIN($E1234,123)-117)))*1,0))</f>
        <v>524024</v>
      </c>
      <c r="S1234" s="6">
        <f>$E1234+8</f>
        <v>116</v>
      </c>
      <c r="T1234" s="7">
        <f>IF($J1234=0,0,ROUND(MAX($J1234*1.4*1.5*1.6*1.6*2.2,42600000*(1.576904^(MIN($E1234,123)-117)))*1,0))</f>
        <v>706582</v>
      </c>
      <c r="U1234" s="4">
        <f>$E1234+11</f>
        <v>119</v>
      </c>
      <c r="V1234" s="8">
        <f>IF($J1234=0,0,ROUND(MAX($J1234*1.4*1.5*1.6*1.6*2.2*2.715,354000000*(1.642074^(MIN($E1234,123)-117)))*1,0))</f>
        <v>4078202</v>
      </c>
      <c r="W1234" s="6">
        <f>$E1234+15</f>
        <v>123</v>
      </c>
      <c r="X1234" s="7">
        <f>IF($J1234=0,0,ROUND(MAX($J1234*1.4*1.5*1.6*1.6*2.2*2.715*2.6,3540000000*(1.579646^(MIN($E1234,123)-117)))*1,0))</f>
        <v>57804988</v>
      </c>
      <c r="Y1234" s="4">
        <f>$E1234+17</f>
        <v>125</v>
      </c>
      <c r="Z1234" s="8">
        <f>IF($J1234=0,0,ROUND(MAX($J1234*1.4*1.5*1.6*1.6*2.2*2.715*2.6*1.4,6020000000*(1.651178^(MIN($E1234,123)-117)))*1,0))</f>
        <v>65985946</v>
      </c>
      <c r="AA1234" s="6">
        <f>$E1234+19</f>
        <v>127</v>
      </c>
      <c r="AB1234" s="7">
        <f>IF($J1234=0,0,ROUND(MAX($J1234*1.4*1.5*1.6*1.6*2.2*2.715*2.6*1.4*1.4,8430000000*(1.651435^(MIN($E1234,123)-117)))*1,0))</f>
        <v>92272909</v>
      </c>
      <c r="AC1234" s="4">
        <f>$E1234+21</f>
        <v>129</v>
      </c>
      <c r="AD1234" s="8">
        <f>IF($J1234=0,0,ROUND(MAX($J1234*1.4*1.5*1.6*1.6*2.2*2.715*2.6*1.4*1.4*1.5,12600000000*(1.652953^(MIN($E1234,123)-117)))*1,0))</f>
        <v>136781071</v>
      </c>
      <c r="AE1234" s="6">
        <f>$E1234+24</f>
        <v>132</v>
      </c>
      <c r="AF1234" s="7">
        <f>IF($J1234=0,0,ROUND(MAX($J1234*1.4*1.5*1.6*1.6*2.2*2.715*2.6*1.4*1.4*1.5*1.5,18900000000*(1.65331^(MIN($E1234,123)-117)))*1,0))</f>
        <v>204773225</v>
      </c>
      <c r="AG1234" s="4">
        <f>$E1234+27</f>
        <v>135</v>
      </c>
      <c r="AH1234" s="8">
        <f>IF($J1234=0,0,ROUND(MAX($J1234*1.4*1.5*1.6*1.6*2.2*2.715*2.6*1.4*1.4*1.5*1.5*3.2,60500000000*(1.654288^(MIN($E1234,123)-117)))*1,0))</f>
        <v>652011566</v>
      </c>
    </row>
    <row r="1235" ht="27.75" customHeight="1" spans="1:34" x14ac:dyDescent="0.25">
      <c r="A1235" s="3">
        <v>1245</v>
      </c>
      <c r="B1235" s="3" t="s">
        <v>41</v>
      </c>
      <c r="C1235" s="3" t="s">
        <v>920</v>
      </c>
      <c r="D1235" s="3" t="s">
        <v>29</v>
      </c>
      <c r="E1235" s="3">
        <v>108</v>
      </c>
      <c r="F1235" s="3" t="s">
        <v>42</v>
      </c>
      <c r="G1235" s="3" t="s">
        <v>921</v>
      </c>
      <c r="H1235" s="3">
        <v>26</v>
      </c>
      <c r="I1235" s="4">
        <v>108</v>
      </c>
      <c r="J1235" s="5">
        <v>10100</v>
      </c>
      <c r="K1235" s="6">
        <f>$E1235+1</f>
        <v>109</v>
      </c>
      <c r="L1235" s="7">
        <f>IF($J1235=0,0,ROUND(MAX($J1235*1.4,1620000*(1.497923^(MIN($E1235,123)-117)))*1,0))</f>
        <v>42669</v>
      </c>
      <c r="M1235" s="4">
        <f>$E1235+2</f>
        <v>110</v>
      </c>
      <c r="N1235" s="8">
        <f>IF($J1235=0,0,ROUND(MAX($J1235*1.4*1.5,2190000*(1.580994^(MIN($E1235,123)-117)))*1,0))</f>
        <v>35487</v>
      </c>
      <c r="O1235" s="6">
        <f>$E1235+4</f>
        <v>112</v>
      </c>
      <c r="P1235" s="7">
        <f>IF($J1235=0,0,ROUND(MAX($J1235*1.4*1.5*1.6,3500000*(1.57975^(MIN($E1235,123)-117)))*1,0))</f>
        <v>57118</v>
      </c>
      <c r="Q1235" s="4">
        <f>$E1235+6</f>
        <v>114</v>
      </c>
      <c r="R1235" s="8">
        <f>IF($J1235=0,0,ROUND(MAX($J1235*1.4*1.5*1.6*1.6,13100000*(1.429962^(MIN($E1235,123)-117)))*1,0))</f>
        <v>524024</v>
      </c>
      <c r="S1235" s="6">
        <f>$E1235+8</f>
        <v>116</v>
      </c>
      <c r="T1235" s="7">
        <f>IF($J1235=0,0,ROUND(MAX($J1235*1.4*1.5*1.6*1.6*2.2,42600000*(1.576904^(MIN($E1235,123)-117)))*1,0))</f>
        <v>706582</v>
      </c>
      <c r="U1235" s="4">
        <f>$E1235+11</f>
        <v>119</v>
      </c>
      <c r="V1235" s="8">
        <f>IF($J1235=0,0,ROUND(MAX($J1235*1.4*1.5*1.6*1.6*2.2*2.715,354000000*(1.642074^(MIN($E1235,123)-117)))*1,0))</f>
        <v>4078202</v>
      </c>
      <c r="W1235" s="6">
        <f>$E1235+15</f>
        <v>123</v>
      </c>
      <c r="X1235" s="7">
        <f>IF($J1235=0,0,ROUND(MAX($J1235*1.4*1.5*1.6*1.6*2.2*2.715*2.6,3540000000*(1.579646^(MIN($E1235,123)-117)))*1,0))</f>
        <v>57804988</v>
      </c>
      <c r="Y1235" s="4">
        <f>$E1235+17</f>
        <v>125</v>
      </c>
      <c r="Z1235" s="8">
        <f>IF($J1235=0,0,ROUND(MAX($J1235*1.4*1.5*1.6*1.6*2.2*2.715*2.6*1.4,6020000000*(1.651178^(MIN($E1235,123)-117)))*1,0))</f>
        <v>65985946</v>
      </c>
      <c r="AA1235" s="6">
        <f>$E1235+19</f>
        <v>127</v>
      </c>
      <c r="AB1235" s="7">
        <f>IF($J1235=0,0,ROUND(MAX($J1235*1.4*1.5*1.6*1.6*2.2*2.715*2.6*1.4*1.4,8430000000*(1.651435^(MIN($E1235,123)-117)))*1,0))</f>
        <v>92272909</v>
      </c>
      <c r="AC1235" s="4">
        <f>$E1235+21</f>
        <v>129</v>
      </c>
      <c r="AD1235" s="8">
        <f>IF($J1235=0,0,ROUND(MAX($J1235*1.4*1.5*1.6*1.6*2.2*2.715*2.6*1.4*1.4*1.5,12600000000*(1.652953^(MIN($E1235,123)-117)))*1,0))</f>
        <v>136781071</v>
      </c>
      <c r="AE1235" s="6">
        <f>$E1235+24</f>
        <v>132</v>
      </c>
      <c r="AF1235" s="7">
        <f>IF($J1235=0,0,ROUND(MAX($J1235*1.4*1.5*1.6*1.6*2.2*2.715*2.6*1.4*1.4*1.5*1.5,18900000000*(1.65331^(MIN($E1235,123)-117)))*1,0))</f>
        <v>204773225</v>
      </c>
      <c r="AG1235" s="4">
        <f>$E1235+27</f>
        <v>135</v>
      </c>
      <c r="AH1235" s="8">
        <f>IF($J1235=0,0,ROUND(MAX($J1235*1.4*1.5*1.6*1.6*2.2*2.715*2.6*1.4*1.4*1.5*1.5*3.2,60500000000*(1.654288^(MIN($E1235,123)-117)))*1,0))</f>
        <v>652011566</v>
      </c>
    </row>
    <row r="1236" ht="27.75" customHeight="1" spans="1:34" x14ac:dyDescent="0.25">
      <c r="A1236" s="3">
        <v>1246</v>
      </c>
      <c r="B1236" s="3" t="s">
        <v>119</v>
      </c>
      <c r="C1236" s="3" t="s">
        <v>920</v>
      </c>
      <c r="D1236" s="3" t="s">
        <v>40</v>
      </c>
      <c r="E1236" s="3">
        <v>108</v>
      </c>
      <c r="F1236" s="3" t="s">
        <v>120</v>
      </c>
      <c r="G1236" s="3" t="s">
        <v>921</v>
      </c>
      <c r="H1236" s="3">
        <v>26</v>
      </c>
      <c r="I1236" s="4">
        <v>108</v>
      </c>
      <c r="J1236" s="5">
        <v>105000</v>
      </c>
      <c r="K1236" s="6">
        <f>$E1236+1</f>
        <v>109</v>
      </c>
      <c r="L1236" s="7">
        <f>IF($J1236=0,0,ROUND(MAX($J1236*1.4,1620000*(1.497923^(MIN($E1236,123)-117)))*1,0))</f>
        <v>147000</v>
      </c>
      <c r="M1236" s="4">
        <f>$E1236+2</f>
        <v>110</v>
      </c>
      <c r="N1236" s="8">
        <f>IF($J1236=0,0,ROUND(MAX($J1236*1.4*1.5,2190000*(1.580994^(MIN($E1236,123)-117)))*1,0))</f>
        <v>220500</v>
      </c>
      <c r="O1236" s="6">
        <f>$E1236+4</f>
        <v>112</v>
      </c>
      <c r="P1236" s="7">
        <f>IF($J1236=0,0,ROUND(MAX($J1236*1.4*1.5*1.6,3500000*(1.57975^(MIN($E1236,123)-117)))*1,0))</f>
        <v>352800</v>
      </c>
      <c r="Q1236" s="4">
        <f>$E1236+6</f>
        <v>114</v>
      </c>
      <c r="R1236" s="8">
        <f>IF($J1236=0,0,ROUND(MAX($J1236*1.4*1.5*1.6*1.6,13100000*(1.429962^(MIN($E1236,123)-117)))*1,0))</f>
        <v>564480</v>
      </c>
      <c r="S1236" s="6">
        <f>$E1236+8</f>
        <v>116</v>
      </c>
      <c r="T1236" s="7">
        <f>IF($J1236=0,0,ROUND(MAX($J1236*1.4*1.5*1.6*1.6*2.2,42600000*(1.576904^(MIN($E1236,123)-117)))*1,0))</f>
        <v>1241856</v>
      </c>
      <c r="U1236" s="4">
        <f>$E1236+11</f>
        <v>119</v>
      </c>
      <c r="V1236" s="8">
        <f>IF($J1236=0,0,ROUND(MAX($J1236*1.4*1.5*1.6*1.6*2.2*2.715,354000000*(1.642074^(MIN($E1236,123)-117)))*1,0))</f>
        <v>4078202</v>
      </c>
      <c r="W1236" s="6">
        <f>$E1236+15</f>
        <v>123</v>
      </c>
      <c r="X1236" s="7">
        <f>IF($J1236=0,0,ROUND(MAX($J1236*1.4*1.5*1.6*1.6*2.2*2.715*2.6,3540000000*(1.579646^(MIN($E1236,123)-117)))*1,0))</f>
        <v>57804988</v>
      </c>
      <c r="Y1236" s="4">
        <f>$E1236+17</f>
        <v>125</v>
      </c>
      <c r="Z1236" s="8">
        <f>IF($J1236=0,0,ROUND(MAX($J1236*1.4*1.5*1.6*1.6*2.2*2.715*2.6*1.4,6020000000*(1.651178^(MIN($E1236,123)-117)))*1,0))</f>
        <v>65985946</v>
      </c>
      <c r="AA1236" s="6">
        <f>$E1236+19</f>
        <v>127</v>
      </c>
      <c r="AB1236" s="7">
        <f>IF($J1236=0,0,ROUND(MAX($J1236*1.4*1.5*1.6*1.6*2.2*2.715*2.6*1.4*1.4,8430000000*(1.651435^(MIN($E1236,123)-117)))*1,0))</f>
        <v>92272909</v>
      </c>
      <c r="AC1236" s="4">
        <f>$E1236+21</f>
        <v>129</v>
      </c>
      <c r="AD1236" s="8">
        <f>IF($J1236=0,0,ROUND(MAX($J1236*1.4*1.5*1.6*1.6*2.2*2.715*2.6*1.4*1.4*1.5,12600000000*(1.652953^(MIN($E1236,123)-117)))*1,0))</f>
        <v>136781071</v>
      </c>
      <c r="AE1236" s="6">
        <f>$E1236+24</f>
        <v>132</v>
      </c>
      <c r="AF1236" s="7">
        <f>IF($J1236=0,0,ROUND(MAX($J1236*1.4*1.5*1.6*1.6*2.2*2.715*2.6*1.4*1.4*1.5*1.5,18900000000*(1.65331^(MIN($E1236,123)-117)))*1,0))</f>
        <v>204773225</v>
      </c>
      <c r="AG1236" s="4">
        <f>$E1236+27</f>
        <v>135</v>
      </c>
      <c r="AH1236" s="8">
        <f>IF($J1236=0,0,ROUND(MAX($J1236*1.4*1.5*1.6*1.6*2.2*2.715*2.6*1.4*1.4*1.5*1.5*3.2,60500000000*(1.654288^(MIN($E1236,123)-117)))*1,0))</f>
        <v>652011566</v>
      </c>
    </row>
    <row r="1237" ht="27.75" customHeight="1" spans="1:34" x14ac:dyDescent="0.25">
      <c r="A1237" s="3">
        <v>1247</v>
      </c>
      <c r="B1237" s="3" t="s">
        <v>925</v>
      </c>
      <c r="C1237" s="3" t="s">
        <v>920</v>
      </c>
      <c r="D1237" s="3" t="s">
        <v>40</v>
      </c>
      <c r="E1237" s="3">
        <v>108</v>
      </c>
      <c r="F1237" s="3" t="s">
        <v>56</v>
      </c>
      <c r="G1237" s="3" t="s">
        <v>921</v>
      </c>
      <c r="H1237" s="3">
        <v>26</v>
      </c>
      <c r="I1237" s="4">
        <v>108</v>
      </c>
      <c r="J1237" s="5">
        <v>738000</v>
      </c>
      <c r="K1237" s="6">
        <f>$E1237+1</f>
        <v>109</v>
      </c>
      <c r="L1237" s="7">
        <f>IF($J1237=0,0,ROUND(MAX($J1237*1.4,1620000*(1.497923^(MIN($E1237,123)-117)))*1,0))</f>
        <v>1033200</v>
      </c>
      <c r="M1237" s="4">
        <f>$E1237+2</f>
        <v>110</v>
      </c>
      <c r="N1237" s="8">
        <f>IF($J1237=0,0,ROUND(MAX($J1237*1.4*1.5,2190000*(1.580994^(MIN($E1237,123)-117)))*1,0))</f>
        <v>1549800</v>
      </c>
      <c r="O1237" s="6">
        <f>$E1237+4</f>
        <v>112</v>
      </c>
      <c r="P1237" s="7">
        <f>IF($J1237=0,0,ROUND(MAX($J1237*1.4*1.5*1.6,3500000*(1.57975^(MIN($E1237,123)-117)))*1,0))</f>
        <v>2479680</v>
      </c>
      <c r="Q1237" s="4">
        <f>$E1237+6</f>
        <v>114</v>
      </c>
      <c r="R1237" s="8">
        <f>IF($J1237=0,0,ROUND(MAX($J1237*1.4*1.5*1.6*1.6,13100000*(1.429962^(MIN($E1237,123)-117)))*1,0))</f>
        <v>3967488</v>
      </c>
      <c r="S1237" s="6">
        <f>$E1237+8</f>
        <v>116</v>
      </c>
      <c r="T1237" s="7">
        <f>IF($J1237=0,0,ROUND(MAX($J1237*1.4*1.5*1.6*1.6*2.2,42600000*(1.576904^(MIN($E1237,123)-117)))*1,0))</f>
        <v>8728474</v>
      </c>
      <c r="U1237" s="4">
        <f>$E1237+11</f>
        <v>119</v>
      </c>
      <c r="V1237" s="8">
        <f>IF($J1237=0,0,ROUND(MAX($J1237*1.4*1.5*1.6*1.6*2.2*2.715,354000000*(1.642074^(MIN($E1237,123)-117)))*1,0))</f>
        <v>23697806</v>
      </c>
      <c r="W1237" s="6">
        <f>$E1237+15</f>
        <v>123</v>
      </c>
      <c r="X1237" s="7">
        <f>IF($J1237=0,0,ROUND(MAX($J1237*1.4*1.5*1.6*1.6*2.2*2.715*2.6,3540000000*(1.579646^(MIN($E1237,123)-117)))*1,0))</f>
        <v>61614295</v>
      </c>
      <c r="Y1237" s="4">
        <f>$E1237+17</f>
        <v>125</v>
      </c>
      <c r="Z1237" s="8">
        <f>IF($J1237=0,0,ROUND(MAX($J1237*1.4*1.5*1.6*1.6*2.2*2.715*2.6*1.4,6020000000*(1.651178^(MIN($E1237,123)-117)))*1,0))</f>
        <v>86260013</v>
      </c>
      <c r="AA1237" s="6">
        <f>$E1237+19</f>
        <v>127</v>
      </c>
      <c r="AB1237" s="7">
        <f>IF($J1237=0,0,ROUND(MAX($J1237*1.4*1.5*1.6*1.6*2.2*2.715*2.6*1.4*1.4,8430000000*(1.651435^(MIN($E1237,123)-117)))*1,0))</f>
        <v>120764018</v>
      </c>
      <c r="AC1237" s="4">
        <f>$E1237+21</f>
        <v>129</v>
      </c>
      <c r="AD1237" s="8">
        <f>IF($J1237=0,0,ROUND(MAX($J1237*1.4*1.5*1.6*1.6*2.2*2.715*2.6*1.4*1.4*1.5,12600000000*(1.652953^(MIN($E1237,123)-117)))*1,0))</f>
        <v>181146028</v>
      </c>
      <c r="AE1237" s="6">
        <f>$E1237+24</f>
        <v>132</v>
      </c>
      <c r="AF1237" s="7">
        <f>IF($J1237=0,0,ROUND(MAX($J1237*1.4*1.5*1.6*1.6*2.2*2.715*2.6*1.4*1.4*1.5*1.5,18900000000*(1.65331^(MIN($E1237,123)-117)))*1,0))</f>
        <v>271719042</v>
      </c>
      <c r="AG1237" s="4">
        <f>$E1237+27</f>
        <v>135</v>
      </c>
      <c r="AH1237" s="8">
        <f>IF($J1237=0,0,ROUND(MAX($J1237*1.4*1.5*1.6*1.6*2.2*2.715*2.6*1.4*1.4*1.5*1.5*3.2,60500000000*(1.654288^(MIN($E1237,123)-117)))*1,0))</f>
        <v>869500933</v>
      </c>
    </row>
    <row r="1238" ht="27.75" customHeight="1" spans="1:34" x14ac:dyDescent="0.25">
      <c r="A1238" s="3">
        <v>1248</v>
      </c>
      <c r="B1238" s="3" t="s">
        <v>101</v>
      </c>
      <c r="C1238" s="3" t="s">
        <v>920</v>
      </c>
      <c r="D1238" s="3" t="s">
        <v>102</v>
      </c>
      <c r="E1238" s="3">
        <v>108</v>
      </c>
      <c r="F1238" s="3" t="s">
        <v>42</v>
      </c>
      <c r="G1238" s="3" t="s">
        <v>921</v>
      </c>
      <c r="H1238" s="3">
        <v>25</v>
      </c>
      <c r="I1238" s="4">
        <v>108</v>
      </c>
      <c r="J1238" s="5">
        <v>20000</v>
      </c>
      <c r="K1238" s="6">
        <f>$E1238+1</f>
        <v>109</v>
      </c>
      <c r="L1238" s="7">
        <f>IF($J1238=0,0,ROUND(MAX($J1238*1.4,1620000*(1.497923^(MIN($E1238,123)-117)))*1,0))</f>
        <v>42669</v>
      </c>
      <c r="M1238" s="4">
        <f>$E1238+2</f>
        <v>110</v>
      </c>
      <c r="N1238" s="8">
        <f>IF($J1238=0,0,ROUND(MAX($J1238*1.4*1.5,2190000*(1.580994^(MIN($E1238,123)-117)))*1,0))</f>
        <v>42000</v>
      </c>
      <c r="O1238" s="6">
        <f>$E1238+4</f>
        <v>112</v>
      </c>
      <c r="P1238" s="7">
        <f>IF($J1238=0,0,ROUND(MAX($J1238*1.4*1.5*1.6,3500000*(1.57975^(MIN($E1238,123)-117)))*1,0))</f>
        <v>67200</v>
      </c>
      <c r="Q1238" s="4">
        <f>$E1238+6</f>
        <v>114</v>
      </c>
      <c r="R1238" s="8">
        <f>IF($J1238=0,0,ROUND(MAX($J1238*1.4*1.5*1.6*1.6,13100000*(1.429962^(MIN($E1238,123)-117)))*1,0))</f>
        <v>524024</v>
      </c>
      <c r="S1238" s="6">
        <f>$E1238+8</f>
        <v>116</v>
      </c>
      <c r="T1238" s="7">
        <f>IF($J1238=0,0,ROUND(MAX($J1238*1.4*1.5*1.6*1.6*2.2,42600000*(1.576904^(MIN($E1238,123)-117)))*1,0))</f>
        <v>706582</v>
      </c>
      <c r="U1238" s="4">
        <f>$E1238+11</f>
        <v>119</v>
      </c>
      <c r="V1238" s="8">
        <f>IF($J1238=0,0,ROUND(MAX($J1238*1.4*1.5*1.6*1.6*2.2*2.715,354000000*(1.642074^(MIN($E1238,123)-117)))*1,0))</f>
        <v>4078202</v>
      </c>
      <c r="W1238" s="6">
        <f>$E1238+15</f>
        <v>123</v>
      </c>
      <c r="X1238" s="7">
        <f>IF($J1238=0,0,ROUND(MAX($J1238*1.4*1.5*1.6*1.6*2.2*2.715*2.6,3540000000*(1.579646^(MIN($E1238,123)-117)))*1,0))</f>
        <v>57804988</v>
      </c>
      <c r="Y1238" s="4">
        <f>$E1238+17</f>
        <v>125</v>
      </c>
      <c r="Z1238" s="8">
        <f>IF($J1238=0,0,ROUND(MAX($J1238*1.4*1.5*1.6*1.6*2.2*2.715*2.6*1.4,6020000000*(1.651178^(MIN($E1238,123)-117)))*1,0))</f>
        <v>65985946</v>
      </c>
      <c r="AA1238" s="6">
        <f>$E1238+19</f>
        <v>127</v>
      </c>
      <c r="AB1238" s="7">
        <f>IF($J1238=0,0,ROUND(MAX($J1238*1.4*1.5*1.6*1.6*2.2*2.715*2.6*1.4*1.4,8430000000*(1.651435^(MIN($E1238,123)-117)))*1,0))</f>
        <v>92272909</v>
      </c>
      <c r="AC1238" s="4">
        <f>$E1238+21</f>
        <v>129</v>
      </c>
      <c r="AD1238" s="8">
        <f>IF($J1238=0,0,ROUND(MAX($J1238*1.4*1.5*1.6*1.6*2.2*2.715*2.6*1.4*1.4*1.5,12600000000*(1.652953^(MIN($E1238,123)-117)))*1,0))</f>
        <v>136781071</v>
      </c>
      <c r="AE1238" s="6">
        <f>$E1238+24</f>
        <v>132</v>
      </c>
      <c r="AF1238" s="7">
        <f>IF($J1238=0,0,ROUND(MAX($J1238*1.4*1.5*1.6*1.6*2.2*2.715*2.6*1.4*1.4*1.5*1.5,18900000000*(1.65331^(MIN($E1238,123)-117)))*1,0))</f>
        <v>204773225</v>
      </c>
      <c r="AG1238" s="4">
        <f>$E1238+27</f>
        <v>135</v>
      </c>
      <c r="AH1238" s="8">
        <f>IF($J1238=0,0,ROUND(MAX($J1238*1.4*1.5*1.6*1.6*2.2*2.715*2.6*1.4*1.4*1.5*1.5*3.2,60500000000*(1.654288^(MIN($E1238,123)-117)))*1,0))</f>
        <v>652011566</v>
      </c>
    </row>
    <row r="1239" ht="27.75" customHeight="1" spans="1:34" x14ac:dyDescent="0.25">
      <c r="A1239" s="3">
        <v>1249</v>
      </c>
      <c r="B1239" s="3" t="s">
        <v>926</v>
      </c>
      <c r="C1239" s="3" t="s">
        <v>920</v>
      </c>
      <c r="D1239" s="3" t="s">
        <v>64</v>
      </c>
      <c r="E1239" s="3">
        <v>108</v>
      </c>
      <c r="F1239" s="3" t="s">
        <v>71</v>
      </c>
      <c r="G1239" s="3" t="s">
        <v>398</v>
      </c>
      <c r="H1239" s="3">
        <v>25</v>
      </c>
      <c r="I1239" s="4">
        <v>108</v>
      </c>
      <c r="J1239" s="5">
        <v>68500</v>
      </c>
      <c r="K1239" s="6">
        <f>$E1239+1</f>
        <v>109</v>
      </c>
      <c r="L1239" s="7">
        <f>IF($J1239=0,0,ROUND(MAX($J1239*1.4,1620000*(1.497923^(MIN($E1239,123)-117)))*1,0))</f>
        <v>95900</v>
      </c>
      <c r="M1239" s="4">
        <f>$E1239+2</f>
        <v>110</v>
      </c>
      <c r="N1239" s="8">
        <f>IF($J1239=0,0,ROUND(MAX($J1239*1.4*1.5,2190000*(1.580994^(MIN($E1239,123)-117)))*1,0))</f>
        <v>143850</v>
      </c>
      <c r="O1239" s="6">
        <f>$E1239+4</f>
        <v>112</v>
      </c>
      <c r="P1239" s="7">
        <f>IF($J1239=0,0,ROUND(MAX($J1239*1.4*1.5*1.6,3500000*(1.57975^(MIN($E1239,123)-117)))*1,0))</f>
        <v>230160</v>
      </c>
      <c r="Q1239" s="4">
        <f>$E1239+6</f>
        <v>114</v>
      </c>
      <c r="R1239" s="8">
        <f>IF($J1239=0,0,ROUND(MAX($J1239*1.4*1.5*1.6*1.6,13100000*(1.429962^(MIN($E1239,123)-117)))*1,0))</f>
        <v>524024</v>
      </c>
      <c r="S1239" s="6">
        <f>$E1239+8</f>
        <v>116</v>
      </c>
      <c r="T1239" s="7">
        <f>IF($J1239=0,0,ROUND(MAX($J1239*1.4*1.5*1.6*1.6*2.2,42600000*(1.576904^(MIN($E1239,123)-117)))*1,0))</f>
        <v>810163</v>
      </c>
      <c r="U1239" s="4">
        <f>$E1239+11</f>
        <v>119</v>
      </c>
      <c r="V1239" s="8">
        <f>IF($J1239=0,0,ROUND(MAX($J1239*1.4*1.5*1.6*1.6*2.2*2.715,354000000*(1.642074^(MIN($E1239,123)-117)))*1,0))</f>
        <v>4078202</v>
      </c>
      <c r="W1239" s="6">
        <f>$E1239+15</f>
        <v>123</v>
      </c>
      <c r="X1239" s="7">
        <f>IF($J1239=0,0,ROUND(MAX($J1239*1.4*1.5*1.6*1.6*2.2*2.715*2.6,3540000000*(1.579646^(MIN($E1239,123)-117)))*1,0))</f>
        <v>57804988</v>
      </c>
      <c r="Y1239" s="4">
        <f>$E1239+17</f>
        <v>125</v>
      </c>
      <c r="Z1239" s="8">
        <f>IF($J1239=0,0,ROUND(MAX($J1239*1.4*1.5*1.6*1.6*2.2*2.715*2.6*1.4,6020000000*(1.651178^(MIN($E1239,123)-117)))*1,0))</f>
        <v>65985946</v>
      </c>
      <c r="AA1239" s="6">
        <f>$E1239+19</f>
        <v>127</v>
      </c>
      <c r="AB1239" s="7">
        <f>IF($J1239=0,0,ROUND(MAX($J1239*1.4*1.5*1.6*1.6*2.2*2.715*2.6*1.4*1.4,8430000000*(1.651435^(MIN($E1239,123)-117)))*1,0))</f>
        <v>92272909</v>
      </c>
      <c r="AC1239" s="4">
        <f>$E1239+21</f>
        <v>129</v>
      </c>
      <c r="AD1239" s="8">
        <f>IF($J1239=0,0,ROUND(MAX($J1239*1.4*1.5*1.6*1.6*2.2*2.715*2.6*1.4*1.4*1.5,12600000000*(1.652953^(MIN($E1239,123)-117)))*1,0))</f>
        <v>136781071</v>
      </c>
      <c r="AE1239" s="6">
        <f>$E1239+24</f>
        <v>132</v>
      </c>
      <c r="AF1239" s="7">
        <f>IF($J1239=0,0,ROUND(MAX($J1239*1.4*1.5*1.6*1.6*2.2*2.715*2.6*1.4*1.4*1.5*1.5,18900000000*(1.65331^(MIN($E1239,123)-117)))*1,0))</f>
        <v>204773225</v>
      </c>
      <c r="AG1239" s="4">
        <f>$E1239+27</f>
        <v>135</v>
      </c>
      <c r="AH1239" s="8">
        <f>IF($J1239=0,0,ROUND(MAX($J1239*1.4*1.5*1.6*1.6*2.2*2.715*2.6*1.4*1.4*1.5*1.5*3.2,60500000000*(1.654288^(MIN($E1239,123)-117)))*1,0))</f>
        <v>652011566</v>
      </c>
    </row>
    <row r="1240" ht="27.75" customHeight="1" spans="1:34" x14ac:dyDescent="0.25">
      <c r="A1240" s="3">
        <v>1250</v>
      </c>
      <c r="B1240" s="3" t="s">
        <v>927</v>
      </c>
      <c r="C1240" s="3" t="s">
        <v>920</v>
      </c>
      <c r="D1240" s="3" t="s">
        <v>25</v>
      </c>
      <c r="E1240" s="3">
        <v>108</v>
      </c>
      <c r="F1240" s="3" t="s">
        <v>54</v>
      </c>
      <c r="G1240" s="3" t="s">
        <v>921</v>
      </c>
      <c r="H1240" s="3">
        <v>25</v>
      </c>
      <c r="I1240" s="4">
        <v>108</v>
      </c>
      <c r="J1240" s="5">
        <v>82100</v>
      </c>
      <c r="K1240" s="6">
        <f>$E1240+1</f>
        <v>109</v>
      </c>
      <c r="L1240" s="7">
        <f>IF($J1240=0,0,ROUND(MAX($J1240*1.4,1620000*(1.497923^(MIN($E1240,123)-117)))*1,0))</f>
        <v>114940</v>
      </c>
      <c r="M1240" s="4">
        <f>$E1240+2</f>
        <v>110</v>
      </c>
      <c r="N1240" s="8">
        <f>IF($J1240=0,0,ROUND(MAX($J1240*1.4*1.5,2190000*(1.580994^(MIN($E1240,123)-117)))*1,0))</f>
        <v>172410</v>
      </c>
      <c r="O1240" s="6">
        <f>$E1240+4</f>
        <v>112</v>
      </c>
      <c r="P1240" s="7">
        <f>IF($J1240=0,0,ROUND(MAX($J1240*1.4*1.5*1.6,3500000*(1.57975^(MIN($E1240,123)-117)))*1,0))</f>
        <v>275856</v>
      </c>
      <c r="Q1240" s="4">
        <f>$E1240+6</f>
        <v>114</v>
      </c>
      <c r="R1240" s="8">
        <f>IF($J1240=0,0,ROUND(MAX($J1240*1.4*1.5*1.6*1.6,13100000*(1.429962^(MIN($E1240,123)-117)))*1,0))</f>
        <v>524024</v>
      </c>
      <c r="S1240" s="6">
        <f>$E1240+8</f>
        <v>116</v>
      </c>
      <c r="T1240" s="7">
        <f>IF($J1240=0,0,ROUND(MAX($J1240*1.4*1.5*1.6*1.6*2.2,42600000*(1.576904^(MIN($E1240,123)-117)))*1,0))</f>
        <v>971013</v>
      </c>
      <c r="U1240" s="4">
        <f>$E1240+11</f>
        <v>119</v>
      </c>
      <c r="V1240" s="8">
        <f>IF($J1240=0,0,ROUND(MAX($J1240*1.4*1.5*1.6*1.6*2.2*2.715,354000000*(1.642074^(MIN($E1240,123)-117)))*1,0))</f>
        <v>4078202</v>
      </c>
      <c r="W1240" s="6">
        <f>$E1240+15</f>
        <v>123</v>
      </c>
      <c r="X1240" s="7">
        <f>IF($J1240=0,0,ROUND(MAX($J1240*1.4*1.5*1.6*1.6*2.2*2.715*2.6,3540000000*(1.579646^(MIN($E1240,123)-117)))*1,0))</f>
        <v>57804988</v>
      </c>
      <c r="Y1240" s="4">
        <f>$E1240+17</f>
        <v>125</v>
      </c>
      <c r="Z1240" s="8">
        <f>IF($J1240=0,0,ROUND(MAX($J1240*1.4*1.5*1.6*1.6*2.2*2.715*2.6*1.4,6020000000*(1.651178^(MIN($E1240,123)-117)))*1,0))</f>
        <v>65985946</v>
      </c>
      <c r="AA1240" s="6">
        <f>$E1240+19</f>
        <v>127</v>
      </c>
      <c r="AB1240" s="7">
        <f>IF($J1240=0,0,ROUND(MAX($J1240*1.4*1.5*1.6*1.6*2.2*2.715*2.6*1.4*1.4,8430000000*(1.651435^(MIN($E1240,123)-117)))*1,0))</f>
        <v>92272909</v>
      </c>
      <c r="AC1240" s="4">
        <f>$E1240+21</f>
        <v>129</v>
      </c>
      <c r="AD1240" s="8">
        <f>IF($J1240=0,0,ROUND(MAX($J1240*1.4*1.5*1.6*1.6*2.2*2.715*2.6*1.4*1.4*1.5,12600000000*(1.652953^(MIN($E1240,123)-117)))*1,0))</f>
        <v>136781071</v>
      </c>
      <c r="AE1240" s="6">
        <f>$E1240+24</f>
        <v>132</v>
      </c>
      <c r="AF1240" s="7">
        <f>IF($J1240=0,0,ROUND(MAX($J1240*1.4*1.5*1.6*1.6*2.2*2.715*2.6*1.4*1.4*1.5*1.5,18900000000*(1.65331^(MIN($E1240,123)-117)))*1,0))</f>
        <v>204773225</v>
      </c>
      <c r="AG1240" s="4">
        <f>$E1240+27</f>
        <v>135</v>
      </c>
      <c r="AH1240" s="8">
        <f>IF($J1240=0,0,ROUND(MAX($J1240*1.4*1.5*1.6*1.6*2.2*2.715*2.6*1.4*1.4*1.5*1.5*3.2,60500000000*(1.654288^(MIN($E1240,123)-117)))*1,0))</f>
        <v>652011566</v>
      </c>
    </row>
    <row r="1241" ht="27.75" customHeight="1" spans="1:34" x14ac:dyDescent="0.25">
      <c r="A1241" s="3">
        <v>1251</v>
      </c>
      <c r="B1241" s="3" t="s">
        <v>652</v>
      </c>
      <c r="C1241" s="3" t="s">
        <v>920</v>
      </c>
      <c r="D1241" s="3" t="s">
        <v>64</v>
      </c>
      <c r="E1241" s="3">
        <v>108</v>
      </c>
      <c r="F1241" s="3" t="s">
        <v>42</v>
      </c>
      <c r="G1241" s="3" t="s">
        <v>921</v>
      </c>
      <c r="H1241" s="3">
        <v>25</v>
      </c>
      <c r="I1241" s="4">
        <v>108</v>
      </c>
      <c r="J1241" s="5">
        <v>85400</v>
      </c>
      <c r="K1241" s="6">
        <f>$E1241+1</f>
        <v>109</v>
      </c>
      <c r="L1241" s="7">
        <f>IF($J1241=0,0,ROUND(MAX($J1241*1.4,1620000*(1.497923^(MIN($E1241,123)-117)))*1,0))</f>
        <v>119560</v>
      </c>
      <c r="M1241" s="4">
        <f>$E1241+2</f>
        <v>110</v>
      </c>
      <c r="N1241" s="8">
        <f>IF($J1241=0,0,ROUND(MAX($J1241*1.4*1.5,2190000*(1.580994^(MIN($E1241,123)-117)))*1,0))</f>
        <v>179340</v>
      </c>
      <c r="O1241" s="6">
        <f>$E1241+4</f>
        <v>112</v>
      </c>
      <c r="P1241" s="7">
        <f>IF($J1241=0,0,ROUND(MAX($J1241*1.4*1.5*1.6,3500000*(1.57975^(MIN($E1241,123)-117)))*1,0))</f>
        <v>286944</v>
      </c>
      <c r="Q1241" s="4">
        <f>$E1241+6</f>
        <v>114</v>
      </c>
      <c r="R1241" s="8">
        <f>IF($J1241=0,0,ROUND(MAX($J1241*1.4*1.5*1.6*1.6,13100000*(1.429962^(MIN($E1241,123)-117)))*1,0))</f>
        <v>524024</v>
      </c>
      <c r="S1241" s="6">
        <f>$E1241+8</f>
        <v>116</v>
      </c>
      <c r="T1241" s="7">
        <f>IF($J1241=0,0,ROUND(MAX($J1241*1.4*1.5*1.6*1.6*2.2,42600000*(1.576904^(MIN($E1241,123)-117)))*1,0))</f>
        <v>1010043</v>
      </c>
      <c r="U1241" s="4">
        <f>$E1241+11</f>
        <v>119</v>
      </c>
      <c r="V1241" s="8">
        <f>IF($J1241=0,0,ROUND(MAX($J1241*1.4*1.5*1.6*1.6*2.2*2.715,354000000*(1.642074^(MIN($E1241,123)-117)))*1,0))</f>
        <v>4078202</v>
      </c>
      <c r="W1241" s="6">
        <f>$E1241+15</f>
        <v>123</v>
      </c>
      <c r="X1241" s="7">
        <f>IF($J1241=0,0,ROUND(MAX($J1241*1.4*1.5*1.6*1.6*2.2*2.715*2.6,3540000000*(1.579646^(MIN($E1241,123)-117)))*1,0))</f>
        <v>57804988</v>
      </c>
      <c r="Y1241" s="4">
        <f>$E1241+17</f>
        <v>125</v>
      </c>
      <c r="Z1241" s="8">
        <f>IF($J1241=0,0,ROUND(MAX($J1241*1.4*1.5*1.6*1.6*2.2*2.715*2.6*1.4,6020000000*(1.651178^(MIN($E1241,123)-117)))*1,0))</f>
        <v>65985946</v>
      </c>
      <c r="AA1241" s="6">
        <f>$E1241+19</f>
        <v>127</v>
      </c>
      <c r="AB1241" s="7">
        <f>IF($J1241=0,0,ROUND(MAX($J1241*1.4*1.5*1.6*1.6*2.2*2.715*2.6*1.4*1.4,8430000000*(1.651435^(MIN($E1241,123)-117)))*1,0))</f>
        <v>92272909</v>
      </c>
      <c r="AC1241" s="4">
        <f>$E1241+21</f>
        <v>129</v>
      </c>
      <c r="AD1241" s="8">
        <f>IF($J1241=0,0,ROUND(MAX($J1241*1.4*1.5*1.6*1.6*2.2*2.715*2.6*1.4*1.4*1.5,12600000000*(1.652953^(MIN($E1241,123)-117)))*1,0))</f>
        <v>136781071</v>
      </c>
      <c r="AE1241" s="6">
        <f>$E1241+24</f>
        <v>132</v>
      </c>
      <c r="AF1241" s="7">
        <f>IF($J1241=0,0,ROUND(MAX($J1241*1.4*1.5*1.6*1.6*2.2*2.715*2.6*1.4*1.4*1.5*1.5,18900000000*(1.65331^(MIN($E1241,123)-117)))*1,0))</f>
        <v>204773225</v>
      </c>
      <c r="AG1241" s="4">
        <f>$E1241+27</f>
        <v>135</v>
      </c>
      <c r="AH1241" s="8">
        <f>IF($J1241=0,0,ROUND(MAX($J1241*1.4*1.5*1.6*1.6*2.2*2.715*2.6*1.4*1.4*1.5*1.5*3.2,60500000000*(1.654288^(MIN($E1241,123)-117)))*1,0))</f>
        <v>652011566</v>
      </c>
    </row>
    <row r="1242" ht="27.75" customHeight="1" spans="1:34" x14ac:dyDescent="0.25">
      <c r="A1242" s="3">
        <v>1252</v>
      </c>
      <c r="B1242" s="3" t="s">
        <v>151</v>
      </c>
      <c r="C1242" s="3" t="s">
        <v>920</v>
      </c>
      <c r="D1242" s="3" t="s">
        <v>40</v>
      </c>
      <c r="E1242" s="3">
        <v>108</v>
      </c>
      <c r="F1242" s="3" t="s">
        <v>42</v>
      </c>
      <c r="G1242" s="3" t="s">
        <v>921</v>
      </c>
      <c r="H1242" s="3">
        <v>25</v>
      </c>
      <c r="I1242" s="4">
        <v>108</v>
      </c>
      <c r="J1242" s="5">
        <v>169000</v>
      </c>
      <c r="K1242" s="6">
        <f>$E1242+1</f>
        <v>109</v>
      </c>
      <c r="L1242" s="7">
        <f>IF($J1242=0,0,ROUND(MAX($J1242*1.4,1620000*(1.497923^(MIN($E1242,123)-117)))*1,0))</f>
        <v>236600</v>
      </c>
      <c r="M1242" s="4">
        <f>$E1242+2</f>
        <v>110</v>
      </c>
      <c r="N1242" s="8">
        <f>IF($J1242=0,0,ROUND(MAX($J1242*1.4*1.5,2190000*(1.580994^(MIN($E1242,123)-117)))*1,0))</f>
        <v>354900</v>
      </c>
      <c r="O1242" s="6">
        <f>$E1242+4</f>
        <v>112</v>
      </c>
      <c r="P1242" s="7">
        <f>IF($J1242=0,0,ROUND(MAX($J1242*1.4*1.5*1.6,3500000*(1.57975^(MIN($E1242,123)-117)))*1,0))</f>
        <v>567840</v>
      </c>
      <c r="Q1242" s="4">
        <f>$E1242+6</f>
        <v>114</v>
      </c>
      <c r="R1242" s="8">
        <f>IF($J1242=0,0,ROUND(MAX($J1242*1.4*1.5*1.6*1.6,13100000*(1.429962^(MIN($E1242,123)-117)))*1,0))</f>
        <v>908544</v>
      </c>
      <c r="S1242" s="6">
        <f>$E1242+8</f>
        <v>116</v>
      </c>
      <c r="T1242" s="7">
        <f>IF($J1242=0,0,ROUND(MAX($J1242*1.4*1.5*1.6*1.6*2.2,42600000*(1.576904^(MIN($E1242,123)-117)))*1,0))</f>
        <v>1998797</v>
      </c>
      <c r="U1242" s="4">
        <f>$E1242+11</f>
        <v>119</v>
      </c>
      <c r="V1242" s="8">
        <f>IF($J1242=0,0,ROUND(MAX($J1242*1.4*1.5*1.6*1.6*2.2*2.715,354000000*(1.642074^(MIN($E1242,123)-117)))*1,0))</f>
        <v>5426733</v>
      </c>
      <c r="W1242" s="6">
        <f>$E1242+15</f>
        <v>123</v>
      </c>
      <c r="X1242" s="7">
        <f>IF($J1242=0,0,ROUND(MAX($J1242*1.4*1.5*1.6*1.6*2.2*2.715*2.6,3540000000*(1.579646^(MIN($E1242,123)-117)))*1,0))</f>
        <v>57804988</v>
      </c>
      <c r="Y1242" s="4">
        <f>$E1242+17</f>
        <v>125</v>
      </c>
      <c r="Z1242" s="8">
        <f>IF($J1242=0,0,ROUND(MAX($J1242*1.4*1.5*1.6*1.6*2.2*2.715*2.6*1.4,6020000000*(1.651178^(MIN($E1242,123)-117)))*1,0))</f>
        <v>65985946</v>
      </c>
      <c r="AA1242" s="6">
        <f>$E1242+19</f>
        <v>127</v>
      </c>
      <c r="AB1242" s="7">
        <f>IF($J1242=0,0,ROUND(MAX($J1242*1.4*1.5*1.6*1.6*2.2*2.715*2.6*1.4*1.4,8430000000*(1.651435^(MIN($E1242,123)-117)))*1,0))</f>
        <v>92272909</v>
      </c>
      <c r="AC1242" s="4">
        <f>$E1242+21</f>
        <v>129</v>
      </c>
      <c r="AD1242" s="8">
        <f>IF($J1242=0,0,ROUND(MAX($J1242*1.4*1.5*1.6*1.6*2.2*2.715*2.6*1.4*1.4*1.5,12600000000*(1.652953^(MIN($E1242,123)-117)))*1,0))</f>
        <v>136781071</v>
      </c>
      <c r="AE1242" s="6">
        <f>$E1242+24</f>
        <v>132</v>
      </c>
      <c r="AF1242" s="7">
        <f>IF($J1242=0,0,ROUND(MAX($J1242*1.4*1.5*1.6*1.6*2.2*2.715*2.6*1.4*1.4*1.5*1.5,18900000000*(1.65331^(MIN($E1242,123)-117)))*1,0))</f>
        <v>204773225</v>
      </c>
      <c r="AG1242" s="4">
        <f>$E1242+27</f>
        <v>135</v>
      </c>
      <c r="AH1242" s="8">
        <f>IF($J1242=0,0,ROUND(MAX($J1242*1.4*1.5*1.6*1.6*2.2*2.715*2.6*1.4*1.4*1.5*1.5*3.2,60500000000*(1.654288^(MIN($E1242,123)-117)))*1,0))</f>
        <v>652011566</v>
      </c>
    </row>
    <row r="1243" ht="27.75" customHeight="1" spans="1:34" x14ac:dyDescent="0.25">
      <c r="A1243" s="3">
        <v>1253</v>
      </c>
      <c r="B1243" s="3" t="s">
        <v>928</v>
      </c>
      <c r="C1243" s="3" t="s">
        <v>920</v>
      </c>
      <c r="D1243" s="3" t="s">
        <v>64</v>
      </c>
      <c r="E1243" s="3">
        <v>108</v>
      </c>
      <c r="F1243" s="3" t="s">
        <v>62</v>
      </c>
      <c r="G1243" s="3" t="s">
        <v>699</v>
      </c>
      <c r="H1243" s="3">
        <v>24</v>
      </c>
      <c r="I1243" s="4">
        <v>108</v>
      </c>
      <c r="J1243" s="5">
        <v>71400</v>
      </c>
      <c r="K1243" s="6">
        <f>$E1243+1</f>
        <v>109</v>
      </c>
      <c r="L1243" s="7">
        <f>IF($J1243=0,0,ROUND(MAX($J1243*1.4,1620000*(1.497923^(MIN($E1243,123)-117)))*1,0))</f>
        <v>99960</v>
      </c>
      <c r="M1243" s="4">
        <f>$E1243+2</f>
        <v>110</v>
      </c>
      <c r="N1243" s="8">
        <f>IF($J1243=0,0,ROUND(MAX($J1243*1.4*1.5,2190000*(1.580994^(MIN($E1243,123)-117)))*1,0))</f>
        <v>149940</v>
      </c>
      <c r="O1243" s="6">
        <f>$E1243+4</f>
        <v>112</v>
      </c>
      <c r="P1243" s="7">
        <f>IF($J1243=0,0,ROUND(MAX($J1243*1.4*1.5*1.6,3500000*(1.57975^(MIN($E1243,123)-117)))*1,0))</f>
        <v>239904</v>
      </c>
      <c r="Q1243" s="4">
        <f>$E1243+6</f>
        <v>114</v>
      </c>
      <c r="R1243" s="8">
        <f>IF($J1243=0,0,ROUND(MAX($J1243*1.4*1.5*1.6*1.6,13100000*(1.429962^(MIN($E1243,123)-117)))*1,0))</f>
        <v>524024</v>
      </c>
      <c r="S1243" s="6">
        <f>$E1243+8</f>
        <v>116</v>
      </c>
      <c r="T1243" s="7">
        <f>IF($J1243=0,0,ROUND(MAX($J1243*1.4*1.5*1.6*1.6*2.2,42600000*(1.576904^(MIN($E1243,123)-117)))*1,0))</f>
        <v>844462</v>
      </c>
      <c r="U1243" s="4">
        <f>$E1243+11</f>
        <v>119</v>
      </c>
      <c r="V1243" s="8">
        <f>IF($J1243=0,0,ROUND(MAX($J1243*1.4*1.5*1.6*1.6*2.2*2.715,354000000*(1.642074^(MIN($E1243,123)-117)))*1,0))</f>
        <v>4078202</v>
      </c>
      <c r="W1243" s="6">
        <f>$E1243+15</f>
        <v>123</v>
      </c>
      <c r="X1243" s="7">
        <f>IF($J1243=0,0,ROUND(MAX($J1243*1.4*1.5*1.6*1.6*2.2*2.715*2.6,3540000000*(1.579646^(MIN($E1243,123)-117)))*1,0))</f>
        <v>57804988</v>
      </c>
      <c r="Y1243" s="4">
        <f>$E1243+17</f>
        <v>125</v>
      </c>
      <c r="Z1243" s="8">
        <f>IF($J1243=0,0,ROUND(MAX($J1243*1.4*1.5*1.6*1.6*2.2*2.715*2.6*1.4,6020000000*(1.651178^(MIN($E1243,123)-117)))*1,0))</f>
        <v>65985946</v>
      </c>
      <c r="AA1243" s="6">
        <f>$E1243+19</f>
        <v>127</v>
      </c>
      <c r="AB1243" s="7">
        <f>IF($J1243=0,0,ROUND(MAX($J1243*1.4*1.5*1.6*1.6*2.2*2.715*2.6*1.4*1.4,8430000000*(1.651435^(MIN($E1243,123)-117)))*1,0))</f>
        <v>92272909</v>
      </c>
      <c r="AC1243" s="4">
        <f>$E1243+21</f>
        <v>129</v>
      </c>
      <c r="AD1243" s="8">
        <f>IF($J1243=0,0,ROUND(MAX($J1243*1.4*1.5*1.6*1.6*2.2*2.715*2.6*1.4*1.4*1.5,12600000000*(1.652953^(MIN($E1243,123)-117)))*1,0))</f>
        <v>136781071</v>
      </c>
      <c r="AE1243" s="6">
        <f>$E1243+24</f>
        <v>132</v>
      </c>
      <c r="AF1243" s="7">
        <f>IF($J1243=0,0,ROUND(MAX($J1243*1.4*1.5*1.6*1.6*2.2*2.715*2.6*1.4*1.4*1.5*1.5,18900000000*(1.65331^(MIN($E1243,123)-117)))*1,0))</f>
        <v>204773225</v>
      </c>
      <c r="AG1243" s="4">
        <f>$E1243+27</f>
        <v>135</v>
      </c>
      <c r="AH1243" s="8">
        <f>IF($J1243=0,0,ROUND(MAX($J1243*1.4*1.5*1.6*1.6*2.2*2.715*2.6*1.4*1.4*1.5*1.5*3.2,60500000000*(1.654288^(MIN($E1243,123)-117)))*1,0))</f>
        <v>652011566</v>
      </c>
    </row>
    <row r="1244" ht="27.75" customHeight="1" spans="1:34" x14ac:dyDescent="0.25">
      <c r="A1244" s="3">
        <v>1254</v>
      </c>
      <c r="B1244" s="3" t="s">
        <v>929</v>
      </c>
      <c r="C1244" s="3" t="s">
        <v>920</v>
      </c>
      <c r="D1244" s="3" t="s">
        <v>40</v>
      </c>
      <c r="E1244" s="3">
        <v>108</v>
      </c>
      <c r="F1244" s="3" t="s">
        <v>54</v>
      </c>
      <c r="G1244" s="3" t="s">
        <v>930</v>
      </c>
      <c r="H1244" s="3">
        <v>24</v>
      </c>
      <c r="I1244" s="4">
        <v>108</v>
      </c>
      <c r="J1244" s="5">
        <v>58900</v>
      </c>
      <c r="K1244" s="6">
        <f>$E1244+1</f>
        <v>109</v>
      </c>
      <c r="L1244" s="7">
        <f>IF($J1244=0,0,ROUND(MAX($J1244*1.4,1620000*(1.497923^(MIN($E1244,123)-117)))*1,0))</f>
        <v>82460</v>
      </c>
      <c r="M1244" s="4">
        <f>$E1244+2</f>
        <v>110</v>
      </c>
      <c r="N1244" s="8">
        <f>IF($J1244=0,0,ROUND(MAX($J1244*1.4*1.5,2190000*(1.580994^(MIN($E1244,123)-117)))*1,0))</f>
        <v>123690</v>
      </c>
      <c r="O1244" s="6">
        <f>$E1244+4</f>
        <v>112</v>
      </c>
      <c r="P1244" s="7">
        <f>IF($J1244=0,0,ROUND(MAX($J1244*1.4*1.5*1.6,3500000*(1.57975^(MIN($E1244,123)-117)))*1,0))</f>
        <v>197904</v>
      </c>
      <c r="Q1244" s="4">
        <f>$E1244+6</f>
        <v>114</v>
      </c>
      <c r="R1244" s="8">
        <f>IF($J1244=0,0,ROUND(MAX($J1244*1.4*1.5*1.6*1.6,13100000*(1.429962^(MIN($E1244,123)-117)))*1,0))</f>
        <v>524024</v>
      </c>
      <c r="S1244" s="6">
        <f>$E1244+8</f>
        <v>116</v>
      </c>
      <c r="T1244" s="7">
        <f>IF($J1244=0,0,ROUND(MAX($J1244*1.4*1.5*1.6*1.6*2.2,42600000*(1.576904^(MIN($E1244,123)-117)))*1,0))</f>
        <v>706582</v>
      </c>
      <c r="U1244" s="4">
        <f>$E1244+11</f>
        <v>119</v>
      </c>
      <c r="V1244" s="8">
        <f>IF($J1244=0,0,ROUND(MAX($J1244*1.4*1.5*1.6*1.6*2.2*2.715,354000000*(1.642074^(MIN($E1244,123)-117)))*1,0))</f>
        <v>4078202</v>
      </c>
      <c r="W1244" s="6">
        <f>$E1244+15</f>
        <v>123</v>
      </c>
      <c r="X1244" s="7">
        <f>IF($J1244=0,0,ROUND(MAX($J1244*1.4*1.5*1.6*1.6*2.2*2.715*2.6,3540000000*(1.579646^(MIN($E1244,123)-117)))*1,0))</f>
        <v>57804988</v>
      </c>
      <c r="Y1244" s="4">
        <f>$E1244+17</f>
        <v>125</v>
      </c>
      <c r="Z1244" s="8">
        <f>IF($J1244=0,0,ROUND(MAX($J1244*1.4*1.5*1.6*1.6*2.2*2.715*2.6*1.4,6020000000*(1.651178^(MIN($E1244,123)-117)))*1,0))</f>
        <v>65985946</v>
      </c>
      <c r="AA1244" s="6">
        <f>$E1244+19</f>
        <v>127</v>
      </c>
      <c r="AB1244" s="7">
        <f>IF($J1244=0,0,ROUND(MAX($J1244*1.4*1.5*1.6*1.6*2.2*2.715*2.6*1.4*1.4,8430000000*(1.651435^(MIN($E1244,123)-117)))*1,0))</f>
        <v>92272909</v>
      </c>
      <c r="AC1244" s="4">
        <f>$E1244+21</f>
        <v>129</v>
      </c>
      <c r="AD1244" s="8">
        <f>IF($J1244=0,0,ROUND(MAX($J1244*1.4*1.5*1.6*1.6*2.2*2.715*2.6*1.4*1.4*1.5,12600000000*(1.652953^(MIN($E1244,123)-117)))*1,0))</f>
        <v>136781071</v>
      </c>
      <c r="AE1244" s="6">
        <f>$E1244+24</f>
        <v>132</v>
      </c>
      <c r="AF1244" s="7">
        <f>IF($J1244=0,0,ROUND(MAX($J1244*1.4*1.5*1.6*1.6*2.2*2.715*2.6*1.4*1.4*1.5*1.5,18900000000*(1.65331^(MIN($E1244,123)-117)))*1,0))</f>
        <v>204773225</v>
      </c>
      <c r="AG1244" s="4">
        <f>$E1244+27</f>
        <v>135</v>
      </c>
      <c r="AH1244" s="8">
        <f>IF($J1244=0,0,ROUND(MAX($J1244*1.4*1.5*1.6*1.6*2.2*2.715*2.6*1.4*1.4*1.5*1.5*3.2,60500000000*(1.654288^(MIN($E1244,123)-117)))*1,0))</f>
        <v>652011566</v>
      </c>
    </row>
    <row r="1245" ht="27.75" customHeight="1" spans="1:34" x14ac:dyDescent="0.25">
      <c r="A1245" s="3">
        <v>1255</v>
      </c>
      <c r="B1245" s="3" t="s">
        <v>931</v>
      </c>
      <c r="C1245" s="3" t="s">
        <v>920</v>
      </c>
      <c r="D1245" s="3" t="s">
        <v>45</v>
      </c>
      <c r="E1245" s="3">
        <v>107</v>
      </c>
      <c r="F1245" s="3" t="s">
        <v>54</v>
      </c>
      <c r="G1245" s="3" t="s">
        <v>416</v>
      </c>
      <c r="H1245" s="3">
        <v>26</v>
      </c>
      <c r="I1245" s="4">
        <v>107</v>
      </c>
      <c r="J1245" s="5">
        <v>10000</v>
      </c>
      <c r="K1245" s="6">
        <f>$E1245+1</f>
        <v>108</v>
      </c>
      <c r="L1245" s="7">
        <f>IF($J1245=0,0,ROUND(MAX($J1245*1.4,1620000*(1.497923^(MIN($E1245,123)-117)))*1,0))</f>
        <v>28485</v>
      </c>
      <c r="M1245" s="4">
        <f>$E1245+2</f>
        <v>109</v>
      </c>
      <c r="N1245" s="8">
        <f>IF($J1245=0,0,ROUND(MAX($J1245*1.4*1.5,2190000*(1.580994^(MIN($E1245,123)-117)))*1,0))</f>
        <v>22446</v>
      </c>
      <c r="O1245" s="6">
        <f>$E1245+4</f>
        <v>111</v>
      </c>
      <c r="P1245" s="7">
        <f>IF($J1245=0,0,ROUND(MAX($J1245*1.4*1.5*1.6,3500000*(1.57975^(MIN($E1245,123)-117)))*1,0))</f>
        <v>36156</v>
      </c>
      <c r="Q1245" s="4">
        <f>$E1245+6</f>
        <v>113</v>
      </c>
      <c r="R1245" s="8">
        <f>IF($J1245=0,0,ROUND(MAX($J1245*1.4*1.5*1.6*1.6,13100000*(1.429962^(MIN($E1245,123)-117)))*1,0))</f>
        <v>366460</v>
      </c>
      <c r="S1245" s="6">
        <f>$E1245+8</f>
        <v>115</v>
      </c>
      <c r="T1245" s="7">
        <f>IF($J1245=0,0,ROUND(MAX($J1245*1.4*1.5*1.6*1.6*2.2,42600000*(1.576904^(MIN($E1245,123)-117)))*1,0))</f>
        <v>448082</v>
      </c>
      <c r="U1245" s="4">
        <f>$E1245+11</f>
        <v>118</v>
      </c>
      <c r="V1245" s="8">
        <f>IF($J1245=0,0,ROUND(MAX($J1245*1.4*1.5*1.6*1.6*2.2*2.715,354000000*(1.642074^(MIN($E1245,123)-117)))*1,0))</f>
        <v>2483568</v>
      </c>
      <c r="W1245" s="6">
        <f>$E1245+15</f>
        <v>122</v>
      </c>
      <c r="X1245" s="7">
        <f>IF($J1245=0,0,ROUND(MAX($J1245*1.4*1.5*1.6*1.6*2.2*2.715*2.6,3540000000*(1.579646^(MIN($E1245,123)-117)))*1,0))</f>
        <v>36593634</v>
      </c>
      <c r="Y1245" s="4">
        <f>$E1245+17</f>
        <v>124</v>
      </c>
      <c r="Z1245" s="8">
        <f>IF($J1245=0,0,ROUND(MAX($J1245*1.4*1.5*1.6*1.6*2.2*2.715*2.6*1.4,6020000000*(1.651178^(MIN($E1245,123)-117)))*1,0))</f>
        <v>39962952</v>
      </c>
      <c r="AA1245" s="6">
        <f>$E1245+19</f>
        <v>126</v>
      </c>
      <c r="AB1245" s="7">
        <f>IF($J1245=0,0,ROUND(MAX($J1245*1.4*1.5*1.6*1.6*2.2*2.715*2.6*1.4*1.4,8430000000*(1.651435^(MIN($E1245,123)-117)))*1,0))</f>
        <v>55874381</v>
      </c>
      <c r="AC1245" s="4">
        <f>$E1245+21</f>
        <v>128</v>
      </c>
      <c r="AD1245" s="8">
        <f>IF($J1245=0,0,ROUND(MAX($J1245*1.4*1.5*1.6*1.6*2.2*2.715*2.6*1.4*1.4*1.5,12600000000*(1.652953^(MIN($E1245,123)-117)))*1,0))</f>
        <v>82749522</v>
      </c>
      <c r="AE1245" s="6">
        <f>$E1245+24</f>
        <v>131</v>
      </c>
      <c r="AF1245" s="7">
        <f>IF($J1245=0,0,ROUND(MAX($J1245*1.4*1.5*1.6*1.6*2.2*2.715*2.6*1.4*1.4*1.5*1.5,18900000000*(1.65331^(MIN($E1245,123)-117)))*1,0))</f>
        <v>123856521</v>
      </c>
      <c r="AG1245" s="4">
        <f>$E1245+27</f>
        <v>134</v>
      </c>
      <c r="AH1245" s="8">
        <f>IF($J1245=0,0,ROUND(MAX($J1245*1.4*1.5*1.6*1.6*2.2*2.715*2.6*1.4*1.4*1.5*1.5*3.2,60500000000*(1.654288^(MIN($E1245,123)-117)))*1,0))</f>
        <v>394134254</v>
      </c>
    </row>
    <row r="1246" ht="27.75" customHeight="1" spans="1:34" x14ac:dyDescent="0.25">
      <c r="A1246" s="3">
        <v>1256</v>
      </c>
      <c r="B1246" s="3" t="s">
        <v>814</v>
      </c>
      <c r="C1246" s="3" t="s">
        <v>920</v>
      </c>
      <c r="D1246" s="3" t="s">
        <v>40</v>
      </c>
      <c r="E1246" s="3">
        <v>107</v>
      </c>
      <c r="F1246" s="3" t="s">
        <v>71</v>
      </c>
      <c r="G1246" s="3" t="s">
        <v>247</v>
      </c>
      <c r="H1246" s="3">
        <v>25</v>
      </c>
      <c r="I1246" s="4">
        <v>107</v>
      </c>
      <c r="J1246" s="5">
        <v>72600</v>
      </c>
      <c r="K1246" s="6">
        <f>$E1246+1</f>
        <v>108</v>
      </c>
      <c r="L1246" s="7">
        <f>IF($J1246=0,0,ROUND(MAX($J1246*1.4,1620000*(1.497923^(MIN($E1246,123)-117)))*1,0))</f>
        <v>101640</v>
      </c>
      <c r="M1246" s="4">
        <f>$E1246+2</f>
        <v>109</v>
      </c>
      <c r="N1246" s="8">
        <f>IF($J1246=0,0,ROUND(MAX($J1246*1.4*1.5,2190000*(1.580994^(MIN($E1246,123)-117)))*1,0))</f>
        <v>152460</v>
      </c>
      <c r="O1246" s="6">
        <f>$E1246+4</f>
        <v>111</v>
      </c>
      <c r="P1246" s="7">
        <f>IF($J1246=0,0,ROUND(MAX($J1246*1.4*1.5*1.6,3500000*(1.57975^(MIN($E1246,123)-117)))*1,0))</f>
        <v>243936</v>
      </c>
      <c r="Q1246" s="4">
        <f>$E1246+6</f>
        <v>113</v>
      </c>
      <c r="R1246" s="8">
        <f>IF($J1246=0,0,ROUND(MAX($J1246*1.4*1.5*1.6*1.6,13100000*(1.429962^(MIN($E1246,123)-117)))*1,0))</f>
        <v>390298</v>
      </c>
      <c r="S1246" s="6">
        <f>$E1246+8</f>
        <v>115</v>
      </c>
      <c r="T1246" s="7">
        <f>IF($J1246=0,0,ROUND(MAX($J1246*1.4*1.5*1.6*1.6*2.2,42600000*(1.576904^(MIN($E1246,123)-117)))*1,0))</f>
        <v>858655</v>
      </c>
      <c r="U1246" s="4">
        <f>$E1246+11</f>
        <v>118</v>
      </c>
      <c r="V1246" s="8">
        <f>IF($J1246=0,0,ROUND(MAX($J1246*1.4*1.5*1.6*1.6*2.2*2.715,354000000*(1.642074^(MIN($E1246,123)-117)))*1,0))</f>
        <v>2483568</v>
      </c>
      <c r="W1246" s="6">
        <f>$E1246+15</f>
        <v>122</v>
      </c>
      <c r="X1246" s="7">
        <f>IF($J1246=0,0,ROUND(MAX($J1246*1.4*1.5*1.6*1.6*2.2*2.715*2.6,3540000000*(1.579646^(MIN($E1246,123)-117)))*1,0))</f>
        <v>36593634</v>
      </c>
      <c r="Y1246" s="4">
        <f>$E1246+17</f>
        <v>124</v>
      </c>
      <c r="Z1246" s="8">
        <f>IF($J1246=0,0,ROUND(MAX($J1246*1.4*1.5*1.6*1.6*2.2*2.715*2.6*1.4,6020000000*(1.651178^(MIN($E1246,123)-117)))*1,0))</f>
        <v>39962952</v>
      </c>
      <c r="AA1246" s="6">
        <f>$E1246+19</f>
        <v>126</v>
      </c>
      <c r="AB1246" s="7">
        <f>IF($J1246=0,0,ROUND(MAX($J1246*1.4*1.5*1.6*1.6*2.2*2.715*2.6*1.4*1.4,8430000000*(1.651435^(MIN($E1246,123)-117)))*1,0))</f>
        <v>55874381</v>
      </c>
      <c r="AC1246" s="4">
        <f>$E1246+21</f>
        <v>128</v>
      </c>
      <c r="AD1246" s="8">
        <f>IF($J1246=0,0,ROUND(MAX($J1246*1.4*1.5*1.6*1.6*2.2*2.715*2.6*1.4*1.4*1.5,12600000000*(1.652953^(MIN($E1246,123)-117)))*1,0))</f>
        <v>82749522</v>
      </c>
      <c r="AE1246" s="6">
        <f>$E1246+24</f>
        <v>131</v>
      </c>
      <c r="AF1246" s="7">
        <f>IF($J1246=0,0,ROUND(MAX($J1246*1.4*1.5*1.6*1.6*2.2*2.715*2.6*1.4*1.4*1.5*1.5,18900000000*(1.65331^(MIN($E1246,123)-117)))*1,0))</f>
        <v>123856521</v>
      </c>
      <c r="AG1246" s="4">
        <f>$E1246+27</f>
        <v>134</v>
      </c>
      <c r="AH1246" s="8">
        <f>IF($J1246=0,0,ROUND(MAX($J1246*1.4*1.5*1.6*1.6*2.2*2.715*2.6*1.4*1.4*1.5*1.5*3.2,60500000000*(1.654288^(MIN($E1246,123)-117)))*1,0))</f>
        <v>394134254</v>
      </c>
    </row>
    <row r="1247" ht="27.75" customHeight="1" spans="1:34" x14ac:dyDescent="0.25">
      <c r="A1247" s="3">
        <v>1257</v>
      </c>
      <c r="B1247" s="3" t="s">
        <v>672</v>
      </c>
      <c r="C1247" s="3" t="s">
        <v>920</v>
      </c>
      <c r="D1247" s="3" t="s">
        <v>33</v>
      </c>
      <c r="E1247" s="3">
        <v>107</v>
      </c>
      <c r="F1247" s="3" t="s">
        <v>34</v>
      </c>
      <c r="G1247" s="3" t="s">
        <v>921</v>
      </c>
      <c r="H1247" s="3">
        <v>25</v>
      </c>
      <c r="I1247" s="4">
        <v>107</v>
      </c>
      <c r="J1247" s="5">
        <v>48300</v>
      </c>
      <c r="K1247" s="6">
        <f>$E1247+1</f>
        <v>108</v>
      </c>
      <c r="L1247" s="7">
        <f>IF($J1247=0,0,ROUND(MAX($J1247*1.4,1620000*(1.497923^(MIN($E1247,123)-117)))*1,0))</f>
        <v>67620</v>
      </c>
      <c r="M1247" s="4">
        <f>$E1247+2</f>
        <v>109</v>
      </c>
      <c r="N1247" s="8">
        <f>IF($J1247=0,0,ROUND(MAX($J1247*1.4*1.5,2190000*(1.580994^(MIN($E1247,123)-117)))*1,0))</f>
        <v>101430</v>
      </c>
      <c r="O1247" s="6">
        <f>$E1247+4</f>
        <v>111</v>
      </c>
      <c r="P1247" s="7">
        <f>IF($J1247=0,0,ROUND(MAX($J1247*1.4*1.5*1.6,3500000*(1.57975^(MIN($E1247,123)-117)))*1,0))</f>
        <v>162288</v>
      </c>
      <c r="Q1247" s="4">
        <f>$E1247+6</f>
        <v>113</v>
      </c>
      <c r="R1247" s="8">
        <f>IF($J1247=0,0,ROUND(MAX($J1247*1.4*1.5*1.6*1.6,13100000*(1.429962^(MIN($E1247,123)-117)))*1,0))</f>
        <v>366460</v>
      </c>
      <c r="S1247" s="6">
        <f>$E1247+8</f>
        <v>115</v>
      </c>
      <c r="T1247" s="7">
        <f>IF($J1247=0,0,ROUND(MAX($J1247*1.4*1.5*1.6*1.6*2.2,42600000*(1.576904^(MIN($E1247,123)-117)))*1,0))</f>
        <v>571254</v>
      </c>
      <c r="U1247" s="4">
        <f>$E1247+11</f>
        <v>118</v>
      </c>
      <c r="V1247" s="8">
        <f>IF($J1247=0,0,ROUND(MAX($J1247*1.4*1.5*1.6*1.6*2.2*2.715,354000000*(1.642074^(MIN($E1247,123)-117)))*1,0))</f>
        <v>2483568</v>
      </c>
      <c r="W1247" s="6">
        <f>$E1247+15</f>
        <v>122</v>
      </c>
      <c r="X1247" s="7">
        <f>IF($J1247=0,0,ROUND(MAX($J1247*1.4*1.5*1.6*1.6*2.2*2.715*2.6,3540000000*(1.579646^(MIN($E1247,123)-117)))*1,0))</f>
        <v>36593634</v>
      </c>
      <c r="Y1247" s="4">
        <f>$E1247+17</f>
        <v>124</v>
      </c>
      <c r="Z1247" s="8">
        <f>IF($J1247=0,0,ROUND(MAX($J1247*1.4*1.5*1.6*1.6*2.2*2.715*2.6*1.4,6020000000*(1.651178^(MIN($E1247,123)-117)))*1,0))</f>
        <v>39962952</v>
      </c>
      <c r="AA1247" s="6">
        <f>$E1247+19</f>
        <v>126</v>
      </c>
      <c r="AB1247" s="7">
        <f>IF($J1247=0,0,ROUND(MAX($J1247*1.4*1.5*1.6*1.6*2.2*2.715*2.6*1.4*1.4,8430000000*(1.651435^(MIN($E1247,123)-117)))*1,0))</f>
        <v>55874381</v>
      </c>
      <c r="AC1247" s="4">
        <f>$E1247+21</f>
        <v>128</v>
      </c>
      <c r="AD1247" s="8">
        <f>IF($J1247=0,0,ROUND(MAX($J1247*1.4*1.5*1.6*1.6*2.2*2.715*2.6*1.4*1.4*1.5,12600000000*(1.652953^(MIN($E1247,123)-117)))*1,0))</f>
        <v>82749522</v>
      </c>
      <c r="AE1247" s="6">
        <f>$E1247+24</f>
        <v>131</v>
      </c>
      <c r="AF1247" s="7">
        <f>IF($J1247=0,0,ROUND(MAX($J1247*1.4*1.5*1.6*1.6*2.2*2.715*2.6*1.4*1.4*1.5*1.5,18900000000*(1.65331^(MIN($E1247,123)-117)))*1,0))</f>
        <v>123856521</v>
      </c>
      <c r="AG1247" s="4">
        <f>$E1247+27</f>
        <v>134</v>
      </c>
      <c r="AH1247" s="8">
        <f>IF($J1247=0,0,ROUND(MAX($J1247*1.4*1.5*1.6*1.6*2.2*2.715*2.6*1.4*1.4*1.5*1.5*3.2,60500000000*(1.654288^(MIN($E1247,123)-117)))*1,0))</f>
        <v>394134254</v>
      </c>
    </row>
    <row r="1248" ht="27.75" customHeight="1" spans="1:34" x14ac:dyDescent="0.25">
      <c r="A1248" s="3">
        <v>1258</v>
      </c>
      <c r="B1248" s="3" t="s">
        <v>173</v>
      </c>
      <c r="C1248" s="3" t="s">
        <v>920</v>
      </c>
      <c r="D1248" s="3" t="s">
        <v>79</v>
      </c>
      <c r="E1248" s="3">
        <v>107</v>
      </c>
      <c r="F1248" s="3" t="s">
        <v>174</v>
      </c>
      <c r="G1248" s="3" t="s">
        <v>921</v>
      </c>
      <c r="H1248" s="3">
        <v>25</v>
      </c>
      <c r="I1248" s="4">
        <v>107</v>
      </c>
      <c r="J1248" s="5">
        <v>70000</v>
      </c>
      <c r="K1248" s="6">
        <f>$E1248+1</f>
        <v>108</v>
      </c>
      <c r="L1248" s="7">
        <f>IF($J1248=0,0,ROUND(MAX($J1248*1.4,1620000*(1.497923^(MIN($E1248,123)-117)))*1,0))</f>
        <v>98000</v>
      </c>
      <c r="M1248" s="4">
        <f>$E1248+2</f>
        <v>109</v>
      </c>
      <c r="N1248" s="8">
        <f>IF($J1248=0,0,ROUND(MAX($J1248*1.4*1.5,2190000*(1.580994^(MIN($E1248,123)-117)))*1,0))</f>
        <v>147000</v>
      </c>
      <c r="O1248" s="6">
        <f>$E1248+4</f>
        <v>111</v>
      </c>
      <c r="P1248" s="7">
        <f>IF($J1248=0,0,ROUND(MAX($J1248*1.4*1.5*1.6,3500000*(1.57975^(MIN($E1248,123)-117)))*1,0))</f>
        <v>235200</v>
      </c>
      <c r="Q1248" s="4">
        <f>$E1248+6</f>
        <v>113</v>
      </c>
      <c r="R1248" s="8">
        <f>IF($J1248=0,0,ROUND(MAX($J1248*1.4*1.5*1.6*1.6,13100000*(1.429962^(MIN($E1248,123)-117)))*1,0))</f>
        <v>376320</v>
      </c>
      <c r="S1248" s="6">
        <f>$E1248+8</f>
        <v>115</v>
      </c>
      <c r="T1248" s="7">
        <f>IF($J1248=0,0,ROUND(MAX($J1248*1.4*1.5*1.6*1.6*2.2,42600000*(1.576904^(MIN($E1248,123)-117)))*1,0))</f>
        <v>827904</v>
      </c>
      <c r="U1248" s="4">
        <f>$E1248+11</f>
        <v>118</v>
      </c>
      <c r="V1248" s="8">
        <f>IF($J1248=0,0,ROUND(MAX($J1248*1.4*1.5*1.6*1.6*2.2*2.715,354000000*(1.642074^(MIN($E1248,123)-117)))*1,0))</f>
        <v>2483568</v>
      </c>
      <c r="W1248" s="6">
        <f>$E1248+15</f>
        <v>122</v>
      </c>
      <c r="X1248" s="7">
        <f>IF($J1248=0,0,ROUND(MAX($J1248*1.4*1.5*1.6*1.6*2.2*2.715*2.6,3540000000*(1.579646^(MIN($E1248,123)-117)))*1,0))</f>
        <v>36593634</v>
      </c>
      <c r="Y1248" s="4">
        <f>$E1248+17</f>
        <v>124</v>
      </c>
      <c r="Z1248" s="8">
        <f>IF($J1248=0,0,ROUND(MAX($J1248*1.4*1.5*1.6*1.6*2.2*2.715*2.6*1.4,6020000000*(1.651178^(MIN($E1248,123)-117)))*1,0))</f>
        <v>39962952</v>
      </c>
      <c r="AA1248" s="6">
        <f>$E1248+19</f>
        <v>126</v>
      </c>
      <c r="AB1248" s="7">
        <f>IF($J1248=0,0,ROUND(MAX($J1248*1.4*1.5*1.6*1.6*2.2*2.715*2.6*1.4*1.4,8430000000*(1.651435^(MIN($E1248,123)-117)))*1,0))</f>
        <v>55874381</v>
      </c>
      <c r="AC1248" s="4">
        <f>$E1248+21</f>
        <v>128</v>
      </c>
      <c r="AD1248" s="8">
        <f>IF($J1248=0,0,ROUND(MAX($J1248*1.4*1.5*1.6*1.6*2.2*2.715*2.6*1.4*1.4*1.5,12600000000*(1.652953^(MIN($E1248,123)-117)))*1,0))</f>
        <v>82749522</v>
      </c>
      <c r="AE1248" s="6">
        <f>$E1248+24</f>
        <v>131</v>
      </c>
      <c r="AF1248" s="7">
        <f>IF($J1248=0,0,ROUND(MAX($J1248*1.4*1.5*1.6*1.6*2.2*2.715*2.6*1.4*1.4*1.5*1.5,18900000000*(1.65331^(MIN($E1248,123)-117)))*1,0))</f>
        <v>123856521</v>
      </c>
      <c r="AG1248" s="4">
        <f>$E1248+27</f>
        <v>134</v>
      </c>
      <c r="AH1248" s="8">
        <f>IF($J1248=0,0,ROUND(MAX($J1248*1.4*1.5*1.6*1.6*2.2*2.715*2.6*1.4*1.4*1.5*1.5*3.2,60500000000*(1.654288^(MIN($E1248,123)-117)))*1,0))</f>
        <v>394134254</v>
      </c>
    </row>
    <row r="1249" ht="27.75" customHeight="1" spans="1:34" x14ac:dyDescent="0.25">
      <c r="A1249" s="3">
        <v>1259</v>
      </c>
      <c r="B1249" s="3" t="s">
        <v>630</v>
      </c>
      <c r="C1249" s="3" t="s">
        <v>920</v>
      </c>
      <c r="D1249" s="3" t="s">
        <v>102</v>
      </c>
      <c r="E1249" s="3">
        <v>107</v>
      </c>
      <c r="F1249" s="3" t="s">
        <v>71</v>
      </c>
      <c r="G1249" s="3" t="s">
        <v>185</v>
      </c>
      <c r="H1249" s="3">
        <v>24</v>
      </c>
      <c r="I1249" s="4">
        <v>107</v>
      </c>
      <c r="J1249" s="5">
        <v>10000</v>
      </c>
      <c r="K1249" s="6">
        <f>$E1249+1</f>
        <v>108</v>
      </c>
      <c r="L1249" s="7">
        <f>IF($J1249=0,0,ROUND(MAX($J1249*1.4,1620000*(1.497923^(MIN($E1249,123)-117)))*1,0))</f>
        <v>28485</v>
      </c>
      <c r="M1249" s="4">
        <f>$E1249+2</f>
        <v>109</v>
      </c>
      <c r="N1249" s="8">
        <f>IF($J1249=0,0,ROUND(MAX($J1249*1.4*1.5,2190000*(1.580994^(MIN($E1249,123)-117)))*1,0))</f>
        <v>22446</v>
      </c>
      <c r="O1249" s="6">
        <f>$E1249+4</f>
        <v>111</v>
      </c>
      <c r="P1249" s="7">
        <f>IF($J1249=0,0,ROUND(MAX($J1249*1.4*1.5*1.6,3500000*(1.57975^(MIN($E1249,123)-117)))*1,0))</f>
        <v>36156</v>
      </c>
      <c r="Q1249" s="4">
        <f>$E1249+6</f>
        <v>113</v>
      </c>
      <c r="R1249" s="8">
        <f>IF($J1249=0,0,ROUND(MAX($J1249*1.4*1.5*1.6*1.6,13100000*(1.429962^(MIN($E1249,123)-117)))*1,0))</f>
        <v>366460</v>
      </c>
      <c r="S1249" s="6">
        <f>$E1249+8</f>
        <v>115</v>
      </c>
      <c r="T1249" s="7">
        <f>IF($J1249=0,0,ROUND(MAX($J1249*1.4*1.5*1.6*1.6*2.2,42600000*(1.576904^(MIN($E1249,123)-117)))*1,0))</f>
        <v>448082</v>
      </c>
      <c r="U1249" s="4">
        <f>$E1249+11</f>
        <v>118</v>
      </c>
      <c r="V1249" s="8">
        <f>IF($J1249=0,0,ROUND(MAX($J1249*1.4*1.5*1.6*1.6*2.2*2.715,354000000*(1.642074^(MIN($E1249,123)-117)))*1,0))</f>
        <v>2483568</v>
      </c>
      <c r="W1249" s="6">
        <f>$E1249+15</f>
        <v>122</v>
      </c>
      <c r="X1249" s="7">
        <f>IF($J1249=0,0,ROUND(MAX($J1249*1.4*1.5*1.6*1.6*2.2*2.715*2.6,3540000000*(1.579646^(MIN($E1249,123)-117)))*1,0))</f>
        <v>36593634</v>
      </c>
      <c r="Y1249" s="4">
        <f>$E1249+17</f>
        <v>124</v>
      </c>
      <c r="Z1249" s="8">
        <f>IF($J1249=0,0,ROUND(MAX($J1249*1.4*1.5*1.6*1.6*2.2*2.715*2.6*1.4,6020000000*(1.651178^(MIN($E1249,123)-117)))*1,0))</f>
        <v>39962952</v>
      </c>
      <c r="AA1249" s="6">
        <f>$E1249+19</f>
        <v>126</v>
      </c>
      <c r="AB1249" s="7">
        <f>IF($J1249=0,0,ROUND(MAX($J1249*1.4*1.5*1.6*1.6*2.2*2.715*2.6*1.4*1.4,8430000000*(1.651435^(MIN($E1249,123)-117)))*1,0))</f>
        <v>55874381</v>
      </c>
      <c r="AC1249" s="4">
        <f>$E1249+21</f>
        <v>128</v>
      </c>
      <c r="AD1249" s="8">
        <f>IF($J1249=0,0,ROUND(MAX($J1249*1.4*1.5*1.6*1.6*2.2*2.715*2.6*1.4*1.4*1.5,12600000000*(1.652953^(MIN($E1249,123)-117)))*1,0))</f>
        <v>82749522</v>
      </c>
      <c r="AE1249" s="6">
        <f>$E1249+24</f>
        <v>131</v>
      </c>
      <c r="AF1249" s="7">
        <f>IF($J1249=0,0,ROUND(MAX($J1249*1.4*1.5*1.6*1.6*2.2*2.715*2.6*1.4*1.4*1.5*1.5,18900000000*(1.65331^(MIN($E1249,123)-117)))*1,0))</f>
        <v>123856521</v>
      </c>
      <c r="AG1249" s="4">
        <f>$E1249+27</f>
        <v>134</v>
      </c>
      <c r="AH1249" s="8">
        <f>IF($J1249=0,0,ROUND(MAX($J1249*1.4*1.5*1.6*1.6*2.2*2.715*2.6*1.4*1.4*1.5*1.5*3.2,60500000000*(1.654288^(MIN($E1249,123)-117)))*1,0))</f>
        <v>394134254</v>
      </c>
    </row>
    <row r="1250" ht="27.75" customHeight="1" spans="1:34" x14ac:dyDescent="0.25">
      <c r="A1250" s="3">
        <v>1260</v>
      </c>
      <c r="B1250" s="3" t="s">
        <v>770</v>
      </c>
      <c r="C1250" s="3" t="s">
        <v>920</v>
      </c>
      <c r="D1250" s="3" t="s">
        <v>90</v>
      </c>
      <c r="E1250" s="3">
        <v>107</v>
      </c>
      <c r="F1250" s="3" t="s">
        <v>71</v>
      </c>
      <c r="G1250" s="3" t="s">
        <v>38</v>
      </c>
      <c r="H1250" s="3">
        <v>24</v>
      </c>
      <c r="I1250" s="4">
        <v>107</v>
      </c>
      <c r="J1250" s="5">
        <v>78600</v>
      </c>
      <c r="K1250" s="6">
        <f>$E1250+1</f>
        <v>108</v>
      </c>
      <c r="L1250" s="7">
        <f>IF($J1250=0,0,ROUND(MAX($J1250*1.4,1620000*(1.497923^(MIN($E1250,123)-117)))*1,0))</f>
        <v>110040</v>
      </c>
      <c r="M1250" s="4">
        <f>$E1250+2</f>
        <v>109</v>
      </c>
      <c r="N1250" s="8">
        <f>IF($J1250=0,0,ROUND(MAX($J1250*1.4*1.5,2190000*(1.580994^(MIN($E1250,123)-117)))*1,0))</f>
        <v>165060</v>
      </c>
      <c r="O1250" s="6">
        <f>$E1250+4</f>
        <v>111</v>
      </c>
      <c r="P1250" s="7">
        <f>IF($J1250=0,0,ROUND(MAX($J1250*1.4*1.5*1.6,3500000*(1.57975^(MIN($E1250,123)-117)))*1,0))</f>
        <v>264096</v>
      </c>
      <c r="Q1250" s="4">
        <f>$E1250+6</f>
        <v>113</v>
      </c>
      <c r="R1250" s="8">
        <f>IF($J1250=0,0,ROUND(MAX($J1250*1.4*1.5*1.6*1.6,13100000*(1.429962^(MIN($E1250,123)-117)))*1,0))</f>
        <v>422554</v>
      </c>
      <c r="S1250" s="6">
        <f>$E1250+8</f>
        <v>115</v>
      </c>
      <c r="T1250" s="7">
        <f>IF($J1250=0,0,ROUND(MAX($J1250*1.4*1.5*1.6*1.6*2.2,42600000*(1.576904^(MIN($E1250,123)-117)))*1,0))</f>
        <v>929618</v>
      </c>
      <c r="U1250" s="4">
        <f>$E1250+11</f>
        <v>118</v>
      </c>
      <c r="V1250" s="8">
        <f>IF($J1250=0,0,ROUND(MAX($J1250*1.4*1.5*1.6*1.6*2.2*2.715,354000000*(1.642074^(MIN($E1250,123)-117)))*1,0))</f>
        <v>2523913</v>
      </c>
      <c r="W1250" s="6">
        <f>$E1250+15</f>
        <v>122</v>
      </c>
      <c r="X1250" s="7">
        <f>IF($J1250=0,0,ROUND(MAX($J1250*1.4*1.5*1.6*1.6*2.2*2.715*2.6,3540000000*(1.579646^(MIN($E1250,123)-117)))*1,0))</f>
        <v>36593634</v>
      </c>
      <c r="Y1250" s="4">
        <f>$E1250+17</f>
        <v>124</v>
      </c>
      <c r="Z1250" s="8">
        <f>IF($J1250=0,0,ROUND(MAX($J1250*1.4*1.5*1.6*1.6*2.2*2.715*2.6*1.4,6020000000*(1.651178^(MIN($E1250,123)-117)))*1,0))</f>
        <v>39962952</v>
      </c>
      <c r="AA1250" s="6">
        <f>$E1250+19</f>
        <v>126</v>
      </c>
      <c r="AB1250" s="7">
        <f>IF($J1250=0,0,ROUND(MAX($J1250*1.4*1.5*1.6*1.6*2.2*2.715*2.6*1.4*1.4,8430000000*(1.651435^(MIN($E1250,123)-117)))*1,0))</f>
        <v>55874381</v>
      </c>
      <c r="AC1250" s="4">
        <f>$E1250+21</f>
        <v>128</v>
      </c>
      <c r="AD1250" s="8">
        <f>IF($J1250=0,0,ROUND(MAX($J1250*1.4*1.5*1.6*1.6*2.2*2.715*2.6*1.4*1.4*1.5,12600000000*(1.652953^(MIN($E1250,123)-117)))*1,0))</f>
        <v>82749522</v>
      </c>
      <c r="AE1250" s="6">
        <f>$E1250+24</f>
        <v>131</v>
      </c>
      <c r="AF1250" s="7">
        <f>IF($J1250=0,0,ROUND(MAX($J1250*1.4*1.5*1.6*1.6*2.2*2.715*2.6*1.4*1.4*1.5*1.5,18900000000*(1.65331^(MIN($E1250,123)-117)))*1,0))</f>
        <v>123856521</v>
      </c>
      <c r="AG1250" s="4">
        <f>$E1250+27</f>
        <v>134</v>
      </c>
      <c r="AH1250" s="8">
        <f>IF($J1250=0,0,ROUND(MAX($J1250*1.4*1.5*1.6*1.6*2.2*2.715*2.6*1.4*1.4*1.5*1.5*3.2,60500000000*(1.654288^(MIN($E1250,123)-117)))*1,0))</f>
        <v>394134254</v>
      </c>
    </row>
    <row r="1251" ht="27.75" customHeight="1" spans="1:34" x14ac:dyDescent="0.25">
      <c r="A1251" s="3">
        <v>1261</v>
      </c>
      <c r="B1251" s="3" t="s">
        <v>932</v>
      </c>
      <c r="C1251" s="3" t="s">
        <v>920</v>
      </c>
      <c r="D1251" s="3" t="s">
        <v>33</v>
      </c>
      <c r="E1251" s="3">
        <v>107</v>
      </c>
      <c r="F1251" s="3" t="s">
        <v>42</v>
      </c>
      <c r="G1251" s="3" t="s">
        <v>748</v>
      </c>
      <c r="H1251" s="3">
        <v>24</v>
      </c>
      <c r="I1251" s="4">
        <v>107</v>
      </c>
      <c r="J1251" s="5">
        <v>90100</v>
      </c>
      <c r="K1251" s="6">
        <f>$E1251+1</f>
        <v>108</v>
      </c>
      <c r="L1251" s="7">
        <f>IF($J1251=0,0,ROUND(MAX($J1251*1.4,1620000*(1.497923^(MIN($E1251,123)-117)))*1,0))</f>
        <v>126140</v>
      </c>
      <c r="M1251" s="4">
        <f>$E1251+2</f>
        <v>109</v>
      </c>
      <c r="N1251" s="8">
        <f>IF($J1251=0,0,ROUND(MAX($J1251*1.4*1.5,2190000*(1.580994^(MIN($E1251,123)-117)))*1,0))</f>
        <v>189210</v>
      </c>
      <c r="O1251" s="6">
        <f>$E1251+4</f>
        <v>111</v>
      </c>
      <c r="P1251" s="7">
        <f>IF($J1251=0,0,ROUND(MAX($J1251*1.4*1.5*1.6,3500000*(1.57975^(MIN($E1251,123)-117)))*1,0))</f>
        <v>302736</v>
      </c>
      <c r="Q1251" s="4">
        <f>$E1251+6</f>
        <v>113</v>
      </c>
      <c r="R1251" s="8">
        <f>IF($J1251=0,0,ROUND(MAX($J1251*1.4*1.5*1.6*1.6,13100000*(1.429962^(MIN($E1251,123)-117)))*1,0))</f>
        <v>484378</v>
      </c>
      <c r="S1251" s="6">
        <f>$E1251+8</f>
        <v>115</v>
      </c>
      <c r="T1251" s="7">
        <f>IF($J1251=0,0,ROUND(MAX($J1251*1.4*1.5*1.6*1.6*2.2,42600000*(1.576904^(MIN($E1251,123)-117)))*1,0))</f>
        <v>1065631</v>
      </c>
      <c r="U1251" s="4">
        <f>$E1251+11</f>
        <v>118</v>
      </c>
      <c r="V1251" s="8">
        <f>IF($J1251=0,0,ROUND(MAX($J1251*1.4*1.5*1.6*1.6*2.2*2.715,354000000*(1.642074^(MIN($E1251,123)-117)))*1,0))</f>
        <v>2893187</v>
      </c>
      <c r="W1251" s="6">
        <f>$E1251+15</f>
        <v>122</v>
      </c>
      <c r="X1251" s="7">
        <f>IF($J1251=0,0,ROUND(MAX($J1251*1.4*1.5*1.6*1.6*2.2*2.715*2.6,3540000000*(1.579646^(MIN($E1251,123)-117)))*1,0))</f>
        <v>36593634</v>
      </c>
      <c r="Y1251" s="4">
        <f>$E1251+17</f>
        <v>124</v>
      </c>
      <c r="Z1251" s="8">
        <f>IF($J1251=0,0,ROUND(MAX($J1251*1.4*1.5*1.6*1.6*2.2*2.715*2.6*1.4,6020000000*(1.651178^(MIN($E1251,123)-117)))*1,0))</f>
        <v>39962952</v>
      </c>
      <c r="AA1251" s="6">
        <f>$E1251+19</f>
        <v>126</v>
      </c>
      <c r="AB1251" s="7">
        <f>IF($J1251=0,0,ROUND(MAX($J1251*1.4*1.5*1.6*1.6*2.2*2.715*2.6*1.4*1.4,8430000000*(1.651435^(MIN($E1251,123)-117)))*1,0))</f>
        <v>55874381</v>
      </c>
      <c r="AC1251" s="4">
        <f>$E1251+21</f>
        <v>128</v>
      </c>
      <c r="AD1251" s="8">
        <f>IF($J1251=0,0,ROUND(MAX($J1251*1.4*1.5*1.6*1.6*2.2*2.715*2.6*1.4*1.4*1.5,12600000000*(1.652953^(MIN($E1251,123)-117)))*1,0))</f>
        <v>82749522</v>
      </c>
      <c r="AE1251" s="6">
        <f>$E1251+24</f>
        <v>131</v>
      </c>
      <c r="AF1251" s="7">
        <f>IF($J1251=0,0,ROUND(MAX($J1251*1.4*1.5*1.6*1.6*2.2*2.715*2.6*1.4*1.4*1.5*1.5,18900000000*(1.65331^(MIN($E1251,123)-117)))*1,0))</f>
        <v>123856521</v>
      </c>
      <c r="AG1251" s="4">
        <f>$E1251+27</f>
        <v>134</v>
      </c>
      <c r="AH1251" s="8">
        <f>IF($J1251=0,0,ROUND(MAX($J1251*1.4*1.5*1.6*1.6*2.2*2.715*2.6*1.4*1.4*1.5*1.5*3.2,60500000000*(1.654288^(MIN($E1251,123)-117)))*1,0))</f>
        <v>394134254</v>
      </c>
    </row>
    <row r="1252" ht="27.75" customHeight="1" spans="1:34" x14ac:dyDescent="0.25">
      <c r="A1252" s="3">
        <v>1262</v>
      </c>
      <c r="B1252" s="3" t="s">
        <v>100</v>
      </c>
      <c r="C1252" s="3" t="s">
        <v>920</v>
      </c>
      <c r="D1252" s="3" t="s">
        <v>33</v>
      </c>
      <c r="E1252" s="3">
        <v>107</v>
      </c>
      <c r="F1252" s="3" t="s">
        <v>62</v>
      </c>
      <c r="G1252" s="3" t="s">
        <v>921</v>
      </c>
      <c r="H1252" s="3">
        <v>24</v>
      </c>
      <c r="I1252" s="4">
        <v>107</v>
      </c>
      <c r="J1252" s="5">
        <v>36000</v>
      </c>
      <c r="K1252" s="6">
        <f>$E1252+1</f>
        <v>108</v>
      </c>
      <c r="L1252" s="7">
        <f>IF($J1252=0,0,ROUND(MAX($J1252*1.4,1620000*(1.497923^(MIN($E1252,123)-117)))*1,0))</f>
        <v>50400</v>
      </c>
      <c r="M1252" s="4">
        <f>$E1252+2</f>
        <v>109</v>
      </c>
      <c r="N1252" s="8">
        <f>IF($J1252=0,0,ROUND(MAX($J1252*1.4*1.5,2190000*(1.580994^(MIN($E1252,123)-117)))*1,0))</f>
        <v>75600</v>
      </c>
      <c r="O1252" s="6">
        <f>$E1252+4</f>
        <v>111</v>
      </c>
      <c r="P1252" s="7">
        <f>IF($J1252=0,0,ROUND(MAX($J1252*1.4*1.5*1.6,3500000*(1.57975^(MIN($E1252,123)-117)))*1,0))</f>
        <v>120960</v>
      </c>
      <c r="Q1252" s="4">
        <f>$E1252+6</f>
        <v>113</v>
      </c>
      <c r="R1252" s="8">
        <f>IF($J1252=0,0,ROUND(MAX($J1252*1.4*1.5*1.6*1.6,13100000*(1.429962^(MIN($E1252,123)-117)))*1,0))</f>
        <v>366460</v>
      </c>
      <c r="S1252" s="6">
        <f>$E1252+8</f>
        <v>115</v>
      </c>
      <c r="T1252" s="7">
        <f>IF($J1252=0,0,ROUND(MAX($J1252*1.4*1.5*1.6*1.6*2.2,42600000*(1.576904^(MIN($E1252,123)-117)))*1,0))</f>
        <v>448082</v>
      </c>
      <c r="U1252" s="4">
        <f>$E1252+11</f>
        <v>118</v>
      </c>
      <c r="V1252" s="8">
        <f>IF($J1252=0,0,ROUND(MAX($J1252*1.4*1.5*1.6*1.6*2.2*2.715,354000000*(1.642074^(MIN($E1252,123)-117)))*1,0))</f>
        <v>2483568</v>
      </c>
      <c r="W1252" s="6">
        <f>$E1252+15</f>
        <v>122</v>
      </c>
      <c r="X1252" s="7">
        <f>IF($J1252=0,0,ROUND(MAX($J1252*1.4*1.5*1.6*1.6*2.2*2.715*2.6,3540000000*(1.579646^(MIN($E1252,123)-117)))*1,0))</f>
        <v>36593634</v>
      </c>
      <c r="Y1252" s="4">
        <f>$E1252+17</f>
        <v>124</v>
      </c>
      <c r="Z1252" s="8">
        <f>IF($J1252=0,0,ROUND(MAX($J1252*1.4*1.5*1.6*1.6*2.2*2.715*2.6*1.4,6020000000*(1.651178^(MIN($E1252,123)-117)))*1,0))</f>
        <v>39962952</v>
      </c>
      <c r="AA1252" s="6">
        <f>$E1252+19</f>
        <v>126</v>
      </c>
      <c r="AB1252" s="7">
        <f>IF($J1252=0,0,ROUND(MAX($J1252*1.4*1.5*1.6*1.6*2.2*2.715*2.6*1.4*1.4,8430000000*(1.651435^(MIN($E1252,123)-117)))*1,0))</f>
        <v>55874381</v>
      </c>
      <c r="AC1252" s="4">
        <f>$E1252+21</f>
        <v>128</v>
      </c>
      <c r="AD1252" s="8">
        <f>IF($J1252=0,0,ROUND(MAX($J1252*1.4*1.5*1.6*1.6*2.2*2.715*2.6*1.4*1.4*1.5,12600000000*(1.652953^(MIN($E1252,123)-117)))*1,0))</f>
        <v>82749522</v>
      </c>
      <c r="AE1252" s="6">
        <f>$E1252+24</f>
        <v>131</v>
      </c>
      <c r="AF1252" s="7">
        <f>IF($J1252=0,0,ROUND(MAX($J1252*1.4*1.5*1.6*1.6*2.2*2.715*2.6*1.4*1.4*1.5*1.5,18900000000*(1.65331^(MIN($E1252,123)-117)))*1,0))</f>
        <v>123856521</v>
      </c>
      <c r="AG1252" s="4">
        <f>$E1252+27</f>
        <v>134</v>
      </c>
      <c r="AH1252" s="8">
        <f>IF($J1252=0,0,ROUND(MAX($J1252*1.4*1.5*1.6*1.6*2.2*2.715*2.6*1.4*1.4*1.5*1.5*3.2,60500000000*(1.654288^(MIN($E1252,123)-117)))*1,0))</f>
        <v>394134254</v>
      </c>
    </row>
    <row r="1253" ht="27.75" customHeight="1" spans="1:34" x14ac:dyDescent="0.25">
      <c r="A1253" s="3">
        <v>1263</v>
      </c>
      <c r="B1253" s="3" t="s">
        <v>838</v>
      </c>
      <c r="C1253" s="3" t="s">
        <v>920</v>
      </c>
      <c r="D1253" s="3" t="s">
        <v>79</v>
      </c>
      <c r="E1253" s="3">
        <v>106</v>
      </c>
      <c r="F1253" s="3" t="s">
        <v>42</v>
      </c>
      <c r="G1253" s="3" t="s">
        <v>472</v>
      </c>
      <c r="H1253" s="3">
        <v>24</v>
      </c>
      <c r="I1253" s="4">
        <v>106</v>
      </c>
      <c r="J1253" s="5">
        <v>52600</v>
      </c>
      <c r="K1253" s="6">
        <f>$E1253+1</f>
        <v>107</v>
      </c>
      <c r="L1253" s="7">
        <f>IF($J1253=0,0,ROUND(MAX($J1253*1.4,1620000*(1.497923^(MIN($E1253,123)-117)))*1,0))</f>
        <v>73640</v>
      </c>
      <c r="M1253" s="4">
        <f>$E1253+2</f>
        <v>108</v>
      </c>
      <c r="N1253" s="8">
        <f>IF($J1253=0,0,ROUND(MAX($J1253*1.4*1.5,2190000*(1.580994^(MIN($E1253,123)-117)))*1,0))</f>
        <v>110460</v>
      </c>
      <c r="O1253" s="6">
        <f>$E1253+4</f>
        <v>110</v>
      </c>
      <c r="P1253" s="7">
        <f>IF($J1253=0,0,ROUND(MAX($J1253*1.4*1.5*1.6,3500000*(1.57975^(MIN($E1253,123)-117)))*1,0))</f>
        <v>176736</v>
      </c>
      <c r="Q1253" s="4">
        <f>$E1253+6</f>
        <v>112</v>
      </c>
      <c r="R1253" s="8">
        <f>IF($J1253=0,0,ROUND(MAX($J1253*1.4*1.5*1.6*1.6,13100000*(1.429962^(MIN($E1253,123)-117)))*1,0))</f>
        <v>282778</v>
      </c>
      <c r="S1253" s="6">
        <f>$E1253+8</f>
        <v>114</v>
      </c>
      <c r="T1253" s="7">
        <f>IF($J1253=0,0,ROUND(MAX($J1253*1.4*1.5*1.6*1.6*2.2,42600000*(1.576904^(MIN($E1253,123)-117)))*1,0))</f>
        <v>622111</v>
      </c>
      <c r="U1253" s="4">
        <f>$E1253+11</f>
        <v>117</v>
      </c>
      <c r="V1253" s="8">
        <f>IF($J1253=0,0,ROUND(MAX($J1253*1.4*1.5*1.6*1.6*2.2*2.715,354000000*(1.642074^(MIN($E1253,123)-117)))*1,0))</f>
        <v>1689031</v>
      </c>
      <c r="W1253" s="6">
        <f>$E1253+15</f>
        <v>121</v>
      </c>
      <c r="X1253" s="7">
        <f>IF($J1253=0,0,ROUND(MAX($J1253*1.4*1.5*1.6*1.6*2.2*2.715*2.6,3540000000*(1.579646^(MIN($E1253,123)-117)))*1,0))</f>
        <v>23165718</v>
      </c>
      <c r="Y1253" s="4">
        <f>$E1253+17</f>
        <v>123</v>
      </c>
      <c r="Z1253" s="8">
        <f>IF($J1253=0,0,ROUND(MAX($J1253*1.4*1.5*1.6*1.6*2.2*2.715*2.6*1.4,6020000000*(1.651178^(MIN($E1253,123)-117)))*1,0))</f>
        <v>24202691</v>
      </c>
      <c r="AA1253" s="6">
        <f>$E1253+19</f>
        <v>125</v>
      </c>
      <c r="AB1253" s="7">
        <f>IF($J1253=0,0,ROUND(MAX($J1253*1.4*1.5*1.6*1.6*2.2*2.715*2.6*1.4*1.4,8430000000*(1.651435^(MIN($E1253,123)-117)))*1,0))</f>
        <v>33833836</v>
      </c>
      <c r="AC1253" s="4">
        <f>$E1253+21</f>
        <v>127</v>
      </c>
      <c r="AD1253" s="8">
        <f>IF($J1253=0,0,ROUND(MAX($J1253*1.4*1.5*1.6*1.6*2.2*2.715*2.6*1.4*1.4*1.5,12600000000*(1.652953^(MIN($E1253,123)-117)))*1,0))</f>
        <v>50061630</v>
      </c>
      <c r="AE1253" s="6">
        <f>$E1253+24</f>
        <v>130</v>
      </c>
      <c r="AF1253" s="7">
        <f>IF($J1253=0,0,ROUND(MAX($J1253*1.4*1.5*1.6*1.6*2.2*2.715*2.6*1.4*1.4*1.5*1.5,18900000000*(1.65331^(MIN($E1253,123)-117)))*1,0))</f>
        <v>74914276</v>
      </c>
      <c r="AG1253" s="4">
        <f>$E1253+27</f>
        <v>133</v>
      </c>
      <c r="AH1253" s="8">
        <f>IF($J1253=0,0,ROUND(MAX($J1253*1.4*1.5*1.6*1.6*2.2*2.715*2.6*1.4*1.4*1.5*1.5*3.2,60500000000*(1.654288^(MIN($E1253,123)-117)))*1,0))</f>
        <v>238250083</v>
      </c>
    </row>
    <row r="1254" ht="27.75" customHeight="1" spans="1:34" x14ac:dyDescent="0.25">
      <c r="A1254" s="3">
        <v>1264</v>
      </c>
      <c r="B1254" s="3" t="s">
        <v>436</v>
      </c>
      <c r="C1254" s="3" t="s">
        <v>920</v>
      </c>
      <c r="D1254" s="3" t="s">
        <v>79</v>
      </c>
      <c r="E1254" s="3">
        <v>106</v>
      </c>
      <c r="F1254" s="3" t="s">
        <v>310</v>
      </c>
      <c r="G1254" s="3" t="s">
        <v>437</v>
      </c>
      <c r="H1254" s="3">
        <v>24</v>
      </c>
      <c r="I1254" s="4">
        <v>106</v>
      </c>
      <c r="J1254" s="5">
        <v>59800</v>
      </c>
      <c r="K1254" s="6">
        <f>$E1254+1</f>
        <v>107</v>
      </c>
      <c r="L1254" s="7">
        <f>IF($J1254=0,0,ROUND(MAX($J1254*1.4,1620000*(1.497923^(MIN($E1254,123)-117)))*1,0))</f>
        <v>83720</v>
      </c>
      <c r="M1254" s="4">
        <f>$E1254+2</f>
        <v>108</v>
      </c>
      <c r="N1254" s="8">
        <f>IF($J1254=0,0,ROUND(MAX($J1254*1.4*1.5,2190000*(1.580994^(MIN($E1254,123)-117)))*1,0))</f>
        <v>125580</v>
      </c>
      <c r="O1254" s="6">
        <f>$E1254+4</f>
        <v>110</v>
      </c>
      <c r="P1254" s="7">
        <f>IF($J1254=0,0,ROUND(MAX($J1254*1.4*1.5*1.6,3500000*(1.57975^(MIN($E1254,123)-117)))*1,0))</f>
        <v>200928</v>
      </c>
      <c r="Q1254" s="4">
        <f>$E1254+6</f>
        <v>112</v>
      </c>
      <c r="R1254" s="8">
        <f>IF($J1254=0,0,ROUND(MAX($J1254*1.4*1.5*1.6*1.6,13100000*(1.429962^(MIN($E1254,123)-117)))*1,0))</f>
        <v>321485</v>
      </c>
      <c r="S1254" s="6">
        <f>$E1254+8</f>
        <v>114</v>
      </c>
      <c r="T1254" s="7">
        <f>IF($J1254=0,0,ROUND(MAX($J1254*1.4*1.5*1.6*1.6*2.2,42600000*(1.576904^(MIN($E1254,123)-117)))*1,0))</f>
        <v>707267</v>
      </c>
      <c r="U1254" s="4">
        <f>$E1254+11</f>
        <v>117</v>
      </c>
      <c r="V1254" s="8">
        <f>IF($J1254=0,0,ROUND(MAX($J1254*1.4*1.5*1.6*1.6*2.2*2.715,354000000*(1.642074^(MIN($E1254,123)-117)))*1,0))</f>
        <v>1920229</v>
      </c>
      <c r="W1254" s="6">
        <f>$E1254+15</f>
        <v>121</v>
      </c>
      <c r="X1254" s="7">
        <f>IF($J1254=0,0,ROUND(MAX($J1254*1.4*1.5*1.6*1.6*2.2*2.715*2.6,3540000000*(1.579646^(MIN($E1254,123)-117)))*1,0))</f>
        <v>23165718</v>
      </c>
      <c r="Y1254" s="4">
        <f>$E1254+17</f>
        <v>123</v>
      </c>
      <c r="Z1254" s="8">
        <f>IF($J1254=0,0,ROUND(MAX($J1254*1.4*1.5*1.6*1.6*2.2*2.715*2.6*1.4,6020000000*(1.651178^(MIN($E1254,123)-117)))*1,0))</f>
        <v>24202691</v>
      </c>
      <c r="AA1254" s="6">
        <f>$E1254+19</f>
        <v>125</v>
      </c>
      <c r="AB1254" s="7">
        <f>IF($J1254=0,0,ROUND(MAX($J1254*1.4*1.5*1.6*1.6*2.2*2.715*2.6*1.4*1.4,8430000000*(1.651435^(MIN($E1254,123)-117)))*1,0))</f>
        <v>33833836</v>
      </c>
      <c r="AC1254" s="4">
        <f>$E1254+21</f>
        <v>127</v>
      </c>
      <c r="AD1254" s="8">
        <f>IF($J1254=0,0,ROUND(MAX($J1254*1.4*1.5*1.6*1.6*2.2*2.715*2.6*1.4*1.4*1.5,12600000000*(1.652953^(MIN($E1254,123)-117)))*1,0))</f>
        <v>50061630</v>
      </c>
      <c r="AE1254" s="6">
        <f>$E1254+24</f>
        <v>130</v>
      </c>
      <c r="AF1254" s="7">
        <f>IF($J1254=0,0,ROUND(MAX($J1254*1.4*1.5*1.6*1.6*2.2*2.715*2.6*1.4*1.4*1.5*1.5,18900000000*(1.65331^(MIN($E1254,123)-117)))*1,0))</f>
        <v>74914276</v>
      </c>
      <c r="AG1254" s="4">
        <f>$E1254+27</f>
        <v>133</v>
      </c>
      <c r="AH1254" s="8">
        <f>IF($J1254=0,0,ROUND(MAX($J1254*1.4*1.5*1.6*1.6*2.2*2.715*2.6*1.4*1.4*1.5*1.5*3.2,60500000000*(1.654288^(MIN($E1254,123)-117)))*1,0))</f>
        <v>238250083</v>
      </c>
    </row>
    <row r="1255" ht="27.75" customHeight="1" spans="1:34" x14ac:dyDescent="0.25">
      <c r="A1255" s="3">
        <v>1265</v>
      </c>
      <c r="B1255" s="3" t="s">
        <v>933</v>
      </c>
      <c r="C1255" s="3" t="s">
        <v>920</v>
      </c>
      <c r="D1255" s="3" t="s">
        <v>25</v>
      </c>
      <c r="E1255" s="3">
        <v>106</v>
      </c>
      <c r="F1255" s="3" t="s">
        <v>54</v>
      </c>
      <c r="G1255" s="3" t="s">
        <v>934</v>
      </c>
      <c r="H1255" s="3">
        <v>24</v>
      </c>
      <c r="I1255" s="4">
        <v>106</v>
      </c>
      <c r="J1255" s="5">
        <v>80300</v>
      </c>
      <c r="K1255" s="6">
        <f>$E1255+1</f>
        <v>107</v>
      </c>
      <c r="L1255" s="7">
        <f>IF($J1255=0,0,ROUND(MAX($J1255*1.4,1620000*(1.497923^(MIN($E1255,123)-117)))*1,0))</f>
        <v>112420</v>
      </c>
      <c r="M1255" s="4">
        <f>$E1255+2</f>
        <v>108</v>
      </c>
      <c r="N1255" s="8">
        <f>IF($J1255=0,0,ROUND(MAX($J1255*1.4*1.5,2190000*(1.580994^(MIN($E1255,123)-117)))*1,0))</f>
        <v>168630</v>
      </c>
      <c r="O1255" s="6">
        <f>$E1255+4</f>
        <v>110</v>
      </c>
      <c r="P1255" s="7">
        <f>IF($J1255=0,0,ROUND(MAX($J1255*1.4*1.5*1.6,3500000*(1.57975^(MIN($E1255,123)-117)))*1,0))</f>
        <v>269808</v>
      </c>
      <c r="Q1255" s="4">
        <f>$E1255+6</f>
        <v>112</v>
      </c>
      <c r="R1255" s="8">
        <f>IF($J1255=0,0,ROUND(MAX($J1255*1.4*1.5*1.6*1.6,13100000*(1.429962^(MIN($E1255,123)-117)))*1,0))</f>
        <v>431693</v>
      </c>
      <c r="S1255" s="6">
        <f>$E1255+8</f>
        <v>114</v>
      </c>
      <c r="T1255" s="7">
        <f>IF($J1255=0,0,ROUND(MAX($J1255*1.4*1.5*1.6*1.6*2.2,42600000*(1.576904^(MIN($E1255,123)-117)))*1,0))</f>
        <v>949724</v>
      </c>
      <c r="U1255" s="4">
        <f>$E1255+11</f>
        <v>117</v>
      </c>
      <c r="V1255" s="8">
        <f>IF($J1255=0,0,ROUND(MAX($J1255*1.4*1.5*1.6*1.6*2.2*2.715,354000000*(1.642074^(MIN($E1255,123)-117)))*1,0))</f>
        <v>2578501</v>
      </c>
      <c r="W1255" s="6">
        <f>$E1255+15</f>
        <v>121</v>
      </c>
      <c r="X1255" s="7">
        <f>IF($J1255=0,0,ROUND(MAX($J1255*1.4*1.5*1.6*1.6*2.2*2.715*2.6,3540000000*(1.579646^(MIN($E1255,123)-117)))*1,0))</f>
        <v>23165718</v>
      </c>
      <c r="Y1255" s="4">
        <f>$E1255+17</f>
        <v>123</v>
      </c>
      <c r="Z1255" s="8">
        <f>IF($J1255=0,0,ROUND(MAX($J1255*1.4*1.5*1.6*1.6*2.2*2.715*2.6*1.4,6020000000*(1.651178^(MIN($E1255,123)-117)))*1,0))</f>
        <v>24202691</v>
      </c>
      <c r="AA1255" s="6">
        <f>$E1255+19</f>
        <v>125</v>
      </c>
      <c r="AB1255" s="7">
        <f>IF($J1255=0,0,ROUND(MAX($J1255*1.4*1.5*1.6*1.6*2.2*2.715*2.6*1.4*1.4,8430000000*(1.651435^(MIN($E1255,123)-117)))*1,0))</f>
        <v>33833836</v>
      </c>
      <c r="AC1255" s="4">
        <f>$E1255+21</f>
        <v>127</v>
      </c>
      <c r="AD1255" s="8">
        <f>IF($J1255=0,0,ROUND(MAX($J1255*1.4*1.5*1.6*1.6*2.2*2.715*2.6*1.4*1.4*1.5,12600000000*(1.652953^(MIN($E1255,123)-117)))*1,0))</f>
        <v>50061630</v>
      </c>
      <c r="AE1255" s="6">
        <f>$E1255+24</f>
        <v>130</v>
      </c>
      <c r="AF1255" s="7">
        <f>IF($J1255=0,0,ROUND(MAX($J1255*1.4*1.5*1.6*1.6*2.2*2.715*2.6*1.4*1.4*1.5*1.5,18900000000*(1.65331^(MIN($E1255,123)-117)))*1,0))</f>
        <v>74914276</v>
      </c>
      <c r="AG1255" s="4">
        <f>$E1255+27</f>
        <v>133</v>
      </c>
      <c r="AH1255" s="8">
        <f>IF($J1255=0,0,ROUND(MAX($J1255*1.4*1.5*1.6*1.6*2.2*2.715*2.6*1.4*1.4*1.5*1.5*3.2,60500000000*(1.654288^(MIN($E1255,123)-117)))*1,0))</f>
        <v>238250083</v>
      </c>
    </row>
    <row r="1256" ht="27.75" customHeight="1" spans="1:34" x14ac:dyDescent="0.25">
      <c r="A1256" s="3">
        <v>1266</v>
      </c>
      <c r="B1256" s="3" t="s">
        <v>935</v>
      </c>
      <c r="C1256" s="3" t="s">
        <v>920</v>
      </c>
      <c r="D1256" s="3" t="s">
        <v>40</v>
      </c>
      <c r="E1256" s="3">
        <v>106</v>
      </c>
      <c r="F1256" s="3" t="s">
        <v>62</v>
      </c>
      <c r="G1256" s="3" t="s">
        <v>921</v>
      </c>
      <c r="H1256" s="3">
        <v>24</v>
      </c>
      <c r="I1256" s="4">
        <v>106</v>
      </c>
      <c r="J1256" s="5">
        <v>15500</v>
      </c>
      <c r="K1256" s="6">
        <f>$E1256+1</f>
        <v>107</v>
      </c>
      <c r="L1256" s="7">
        <f>IF($J1256=0,0,ROUND(MAX($J1256*1.4,1620000*(1.497923^(MIN($E1256,123)-117)))*1,0))</f>
        <v>21700</v>
      </c>
      <c r="M1256" s="4">
        <f>$E1256+2</f>
        <v>108</v>
      </c>
      <c r="N1256" s="8">
        <f>IF($J1256=0,0,ROUND(MAX($J1256*1.4*1.5,2190000*(1.580994^(MIN($E1256,123)-117)))*1,0))</f>
        <v>32550</v>
      </c>
      <c r="O1256" s="6">
        <f>$E1256+4</f>
        <v>110</v>
      </c>
      <c r="P1256" s="7">
        <f>IF($J1256=0,0,ROUND(MAX($J1256*1.4*1.5*1.6,3500000*(1.57975^(MIN($E1256,123)-117)))*1,0))</f>
        <v>52080</v>
      </c>
      <c r="Q1256" s="4">
        <f>$E1256+6</f>
        <v>112</v>
      </c>
      <c r="R1256" s="8">
        <f>IF($J1256=0,0,ROUND(MAX($J1256*1.4*1.5*1.6*1.6,13100000*(1.429962^(MIN($E1256,123)-117)))*1,0))</f>
        <v>256272</v>
      </c>
      <c r="S1256" s="6">
        <f>$E1256+8</f>
        <v>114</v>
      </c>
      <c r="T1256" s="7">
        <f>IF($J1256=0,0,ROUND(MAX($J1256*1.4*1.5*1.6*1.6*2.2,42600000*(1.576904^(MIN($E1256,123)-117)))*1,0))</f>
        <v>284153</v>
      </c>
      <c r="U1256" s="4">
        <f>$E1256+11</f>
        <v>117</v>
      </c>
      <c r="V1256" s="8">
        <f>IF($J1256=0,0,ROUND(MAX($J1256*1.4*1.5*1.6*1.6*2.2*2.715,354000000*(1.642074^(MIN($E1256,123)-117)))*1,0))</f>
        <v>1512458</v>
      </c>
      <c r="W1256" s="6">
        <f>$E1256+15</f>
        <v>121</v>
      </c>
      <c r="X1256" s="7">
        <f>IF($J1256=0,0,ROUND(MAX($J1256*1.4*1.5*1.6*1.6*2.2*2.715*2.6,3540000000*(1.579646^(MIN($E1256,123)-117)))*1,0))</f>
        <v>23165718</v>
      </c>
      <c r="Y1256" s="4">
        <f>$E1256+17</f>
        <v>123</v>
      </c>
      <c r="Z1256" s="8">
        <f>IF($J1256=0,0,ROUND(MAX($J1256*1.4*1.5*1.6*1.6*2.2*2.715*2.6*1.4,6020000000*(1.651178^(MIN($E1256,123)-117)))*1,0))</f>
        <v>24202691</v>
      </c>
      <c r="AA1256" s="6">
        <f>$E1256+19</f>
        <v>125</v>
      </c>
      <c r="AB1256" s="7">
        <f>IF($J1256=0,0,ROUND(MAX($J1256*1.4*1.5*1.6*1.6*2.2*2.715*2.6*1.4*1.4,8430000000*(1.651435^(MIN($E1256,123)-117)))*1,0))</f>
        <v>33833836</v>
      </c>
      <c r="AC1256" s="4">
        <f>$E1256+21</f>
        <v>127</v>
      </c>
      <c r="AD1256" s="8">
        <f>IF($J1256=0,0,ROUND(MAX($J1256*1.4*1.5*1.6*1.6*2.2*2.715*2.6*1.4*1.4*1.5,12600000000*(1.652953^(MIN($E1256,123)-117)))*1,0))</f>
        <v>50061630</v>
      </c>
      <c r="AE1256" s="6">
        <f>$E1256+24</f>
        <v>130</v>
      </c>
      <c r="AF1256" s="7">
        <f>IF($J1256=0,0,ROUND(MAX($J1256*1.4*1.5*1.6*1.6*2.2*2.715*2.6*1.4*1.4*1.5*1.5,18900000000*(1.65331^(MIN($E1256,123)-117)))*1,0))</f>
        <v>74914276</v>
      </c>
      <c r="AG1256" s="4">
        <f>$E1256+27</f>
        <v>133</v>
      </c>
      <c r="AH1256" s="8">
        <f>IF($J1256=0,0,ROUND(MAX($J1256*1.4*1.5*1.6*1.6*2.2*2.715*2.6*1.4*1.4*1.5*1.5*3.2,60500000000*(1.654288^(MIN($E1256,123)-117)))*1,0))</f>
        <v>238250083</v>
      </c>
    </row>
    <row r="1257" ht="27.75" customHeight="1" spans="1:34" x14ac:dyDescent="0.25">
      <c r="A1257" s="3">
        <v>1267</v>
      </c>
      <c r="B1257" s="3" t="s">
        <v>673</v>
      </c>
      <c r="C1257" s="3" t="s">
        <v>920</v>
      </c>
      <c r="D1257" s="3" t="s">
        <v>40</v>
      </c>
      <c r="E1257" s="3">
        <v>106</v>
      </c>
      <c r="F1257" s="3" t="s">
        <v>34</v>
      </c>
      <c r="G1257" s="3" t="s">
        <v>921</v>
      </c>
      <c r="H1257" s="3">
        <v>24</v>
      </c>
      <c r="I1257" s="4">
        <v>106</v>
      </c>
      <c r="J1257" s="5">
        <v>182000</v>
      </c>
      <c r="K1257" s="6">
        <f>$E1257+1</f>
        <v>107</v>
      </c>
      <c r="L1257" s="7">
        <f>IF($J1257=0,0,ROUND(MAX($J1257*1.4,1620000*(1.497923^(MIN($E1257,123)-117)))*1,0))</f>
        <v>254800</v>
      </c>
      <c r="M1257" s="4">
        <f>$E1257+2</f>
        <v>108</v>
      </c>
      <c r="N1257" s="8">
        <f>IF($J1257=0,0,ROUND(MAX($J1257*1.4*1.5,2190000*(1.580994^(MIN($E1257,123)-117)))*1,0))</f>
        <v>382200</v>
      </c>
      <c r="O1257" s="6">
        <f>$E1257+4</f>
        <v>110</v>
      </c>
      <c r="P1257" s="7">
        <f>IF($J1257=0,0,ROUND(MAX($J1257*1.4*1.5*1.6,3500000*(1.57975^(MIN($E1257,123)-117)))*1,0))</f>
        <v>611520</v>
      </c>
      <c r="Q1257" s="4">
        <f>$E1257+6</f>
        <v>112</v>
      </c>
      <c r="R1257" s="8">
        <f>IF($J1257=0,0,ROUND(MAX($J1257*1.4*1.5*1.6*1.6,13100000*(1.429962^(MIN($E1257,123)-117)))*1,0))</f>
        <v>978432</v>
      </c>
      <c r="S1257" s="6">
        <f>$E1257+8</f>
        <v>114</v>
      </c>
      <c r="T1257" s="7">
        <f>IF($J1257=0,0,ROUND(MAX($J1257*1.4*1.5*1.6*1.6*2.2,42600000*(1.576904^(MIN($E1257,123)-117)))*1,0))</f>
        <v>2152550</v>
      </c>
      <c r="U1257" s="4">
        <f>$E1257+11</f>
        <v>117</v>
      </c>
      <c r="V1257" s="8">
        <f>IF($J1257=0,0,ROUND(MAX($J1257*1.4*1.5*1.6*1.6*2.2*2.715,354000000*(1.642074^(MIN($E1257,123)-117)))*1,0))</f>
        <v>5844174</v>
      </c>
      <c r="W1257" s="6">
        <f>$E1257+15</f>
        <v>121</v>
      </c>
      <c r="X1257" s="7">
        <f>IF($J1257=0,0,ROUND(MAX($J1257*1.4*1.5*1.6*1.6*2.2*2.715*2.6,3540000000*(1.579646^(MIN($E1257,123)-117)))*1,0))</f>
        <v>23165718</v>
      </c>
      <c r="Y1257" s="4">
        <f>$E1257+17</f>
        <v>123</v>
      </c>
      <c r="Z1257" s="8">
        <f>IF($J1257=0,0,ROUND(MAX($J1257*1.4*1.5*1.6*1.6*2.2*2.715*2.6*1.4,6020000000*(1.651178^(MIN($E1257,123)-117)))*1,0))</f>
        <v>24202691</v>
      </c>
      <c r="AA1257" s="6">
        <f>$E1257+19</f>
        <v>125</v>
      </c>
      <c r="AB1257" s="7">
        <f>IF($J1257=0,0,ROUND(MAX($J1257*1.4*1.5*1.6*1.6*2.2*2.715*2.6*1.4*1.4,8430000000*(1.651435^(MIN($E1257,123)-117)))*1,0))</f>
        <v>33833836</v>
      </c>
      <c r="AC1257" s="4">
        <f>$E1257+21</f>
        <v>127</v>
      </c>
      <c r="AD1257" s="8">
        <f>IF($J1257=0,0,ROUND(MAX($J1257*1.4*1.5*1.6*1.6*2.2*2.715*2.6*1.4*1.4*1.5,12600000000*(1.652953^(MIN($E1257,123)-117)))*1,0))</f>
        <v>50061630</v>
      </c>
      <c r="AE1257" s="6">
        <f>$E1257+24</f>
        <v>130</v>
      </c>
      <c r="AF1257" s="7">
        <f>IF($J1257=0,0,ROUND(MAX($J1257*1.4*1.5*1.6*1.6*2.2*2.715*2.6*1.4*1.4*1.5*1.5,18900000000*(1.65331^(MIN($E1257,123)-117)))*1,0))</f>
        <v>74914276</v>
      </c>
      <c r="AG1257" s="4">
        <f>$E1257+27</f>
        <v>133</v>
      </c>
      <c r="AH1257" s="8">
        <f>IF($J1257=0,0,ROUND(MAX($J1257*1.4*1.5*1.6*1.6*2.2*2.715*2.6*1.4*1.4*1.5*1.5*3.2,60500000000*(1.654288^(MIN($E1257,123)-117)))*1,0))</f>
        <v>238250083</v>
      </c>
    </row>
    <row r="1258" ht="27.75" customHeight="1" spans="1:34" x14ac:dyDescent="0.25">
      <c r="A1258" s="3">
        <v>1268</v>
      </c>
      <c r="B1258" s="3" t="s">
        <v>109</v>
      </c>
      <c r="C1258" s="3" t="s">
        <v>920</v>
      </c>
      <c r="D1258" s="3" t="s">
        <v>25</v>
      </c>
      <c r="E1258" s="3">
        <v>106</v>
      </c>
      <c r="F1258" s="3" t="s">
        <v>30</v>
      </c>
      <c r="G1258" s="3" t="s">
        <v>921</v>
      </c>
      <c r="H1258" s="3">
        <v>24</v>
      </c>
      <c r="I1258" s="4">
        <v>106</v>
      </c>
      <c r="J1258" s="5">
        <v>75400</v>
      </c>
      <c r="K1258" s="6">
        <f>$E1258+1</f>
        <v>107</v>
      </c>
      <c r="L1258" s="7">
        <f>IF($J1258=0,0,ROUND(MAX($J1258*1.4,1620000*(1.497923^(MIN($E1258,123)-117)))*1,0))</f>
        <v>105560</v>
      </c>
      <c r="M1258" s="4">
        <f>$E1258+2</f>
        <v>108</v>
      </c>
      <c r="N1258" s="8">
        <f>IF($J1258=0,0,ROUND(MAX($J1258*1.4*1.5,2190000*(1.580994^(MIN($E1258,123)-117)))*1,0))</f>
        <v>158340</v>
      </c>
      <c r="O1258" s="6">
        <f>$E1258+4</f>
        <v>110</v>
      </c>
      <c r="P1258" s="7">
        <f>IF($J1258=0,0,ROUND(MAX($J1258*1.4*1.5*1.6,3500000*(1.57975^(MIN($E1258,123)-117)))*1,0))</f>
        <v>253344</v>
      </c>
      <c r="Q1258" s="4">
        <f>$E1258+6</f>
        <v>112</v>
      </c>
      <c r="R1258" s="8">
        <f>IF($J1258=0,0,ROUND(MAX($J1258*1.4*1.5*1.6*1.6,13100000*(1.429962^(MIN($E1258,123)-117)))*1,0))</f>
        <v>405350</v>
      </c>
      <c r="S1258" s="6">
        <f>$E1258+8</f>
        <v>114</v>
      </c>
      <c r="T1258" s="7">
        <f>IF($J1258=0,0,ROUND(MAX($J1258*1.4*1.5*1.6*1.6*2.2,42600000*(1.576904^(MIN($E1258,123)-117)))*1,0))</f>
        <v>891771</v>
      </c>
      <c r="U1258" s="4">
        <f>$E1258+11</f>
        <v>117</v>
      </c>
      <c r="V1258" s="8">
        <f>IF($J1258=0,0,ROUND(MAX($J1258*1.4*1.5*1.6*1.6*2.2*2.715,354000000*(1.642074^(MIN($E1258,123)-117)))*1,0))</f>
        <v>2421158</v>
      </c>
      <c r="W1258" s="6">
        <f>$E1258+15</f>
        <v>121</v>
      </c>
      <c r="X1258" s="7">
        <f>IF($J1258=0,0,ROUND(MAX($J1258*1.4*1.5*1.6*1.6*2.2*2.715*2.6,3540000000*(1.579646^(MIN($E1258,123)-117)))*1,0))</f>
        <v>23165718</v>
      </c>
      <c r="Y1258" s="4">
        <f>$E1258+17</f>
        <v>123</v>
      </c>
      <c r="Z1258" s="8">
        <f>IF($J1258=0,0,ROUND(MAX($J1258*1.4*1.5*1.6*1.6*2.2*2.715*2.6*1.4,6020000000*(1.651178^(MIN($E1258,123)-117)))*1,0))</f>
        <v>24202691</v>
      </c>
      <c r="AA1258" s="6">
        <f>$E1258+19</f>
        <v>125</v>
      </c>
      <c r="AB1258" s="7">
        <f>IF($J1258=0,0,ROUND(MAX($J1258*1.4*1.5*1.6*1.6*2.2*2.715*2.6*1.4*1.4,8430000000*(1.651435^(MIN($E1258,123)-117)))*1,0))</f>
        <v>33833836</v>
      </c>
      <c r="AC1258" s="4">
        <f>$E1258+21</f>
        <v>127</v>
      </c>
      <c r="AD1258" s="8">
        <f>IF($J1258=0,0,ROUND(MAX($J1258*1.4*1.5*1.6*1.6*2.2*2.715*2.6*1.4*1.4*1.5,12600000000*(1.652953^(MIN($E1258,123)-117)))*1,0))</f>
        <v>50061630</v>
      </c>
      <c r="AE1258" s="6">
        <f>$E1258+24</f>
        <v>130</v>
      </c>
      <c r="AF1258" s="7">
        <f>IF($J1258=0,0,ROUND(MAX($J1258*1.4*1.5*1.6*1.6*2.2*2.715*2.6*1.4*1.4*1.5*1.5,18900000000*(1.65331^(MIN($E1258,123)-117)))*1,0))</f>
        <v>74914276</v>
      </c>
      <c r="AG1258" s="4">
        <f>$E1258+27</f>
        <v>133</v>
      </c>
      <c r="AH1258" s="8">
        <f>IF($J1258=0,0,ROUND(MAX($J1258*1.4*1.5*1.6*1.6*2.2*2.715*2.6*1.4*1.4*1.5*1.5*3.2,60500000000*(1.654288^(MIN($E1258,123)-117)))*1,0))</f>
        <v>238250083</v>
      </c>
    </row>
    <row r="1259" ht="27.75" customHeight="1" spans="1:34" x14ac:dyDescent="0.25">
      <c r="A1259" s="3">
        <v>1269</v>
      </c>
      <c r="B1259" s="3" t="s">
        <v>662</v>
      </c>
      <c r="C1259" s="3" t="s">
        <v>920</v>
      </c>
      <c r="D1259" s="3" t="s">
        <v>40</v>
      </c>
      <c r="E1259" s="3">
        <v>106</v>
      </c>
      <c r="F1259" s="3" t="s">
        <v>56</v>
      </c>
      <c r="G1259" s="3" t="s">
        <v>921</v>
      </c>
      <c r="H1259" s="3">
        <v>24</v>
      </c>
      <c r="I1259" s="4">
        <v>106</v>
      </c>
      <c r="J1259" s="5">
        <v>30300</v>
      </c>
      <c r="K1259" s="6">
        <f>$E1259+1</f>
        <v>107</v>
      </c>
      <c r="L1259" s="7">
        <f>IF($J1259=0,0,ROUND(MAX($J1259*1.4,1620000*(1.497923^(MIN($E1259,123)-117)))*1,0))</f>
        <v>42420</v>
      </c>
      <c r="M1259" s="4">
        <f>$E1259+2</f>
        <v>108</v>
      </c>
      <c r="N1259" s="8">
        <f>IF($J1259=0,0,ROUND(MAX($J1259*1.4*1.5,2190000*(1.580994^(MIN($E1259,123)-117)))*1,0))</f>
        <v>63630</v>
      </c>
      <c r="O1259" s="6">
        <f>$E1259+4</f>
        <v>110</v>
      </c>
      <c r="P1259" s="7">
        <f>IF($J1259=0,0,ROUND(MAX($J1259*1.4*1.5*1.6,3500000*(1.57975^(MIN($E1259,123)-117)))*1,0))</f>
        <v>101808</v>
      </c>
      <c r="Q1259" s="4">
        <f>$E1259+6</f>
        <v>112</v>
      </c>
      <c r="R1259" s="8">
        <f>IF($J1259=0,0,ROUND(MAX($J1259*1.4*1.5*1.6*1.6,13100000*(1.429962^(MIN($E1259,123)-117)))*1,0))</f>
        <v>256272</v>
      </c>
      <c r="S1259" s="6">
        <f>$E1259+8</f>
        <v>114</v>
      </c>
      <c r="T1259" s="7">
        <f>IF($J1259=0,0,ROUND(MAX($J1259*1.4*1.5*1.6*1.6*2.2,42600000*(1.576904^(MIN($E1259,123)-117)))*1,0))</f>
        <v>358364</v>
      </c>
      <c r="U1259" s="4">
        <f>$E1259+11</f>
        <v>117</v>
      </c>
      <c r="V1259" s="8">
        <f>IF($J1259=0,0,ROUND(MAX($J1259*1.4*1.5*1.6*1.6*2.2*2.715,354000000*(1.642074^(MIN($E1259,123)-117)))*1,0))</f>
        <v>1512458</v>
      </c>
      <c r="W1259" s="6">
        <f>$E1259+15</f>
        <v>121</v>
      </c>
      <c r="X1259" s="7">
        <f>IF($J1259=0,0,ROUND(MAX($J1259*1.4*1.5*1.6*1.6*2.2*2.715*2.6,3540000000*(1.579646^(MIN($E1259,123)-117)))*1,0))</f>
        <v>23165718</v>
      </c>
      <c r="Y1259" s="4">
        <f>$E1259+17</f>
        <v>123</v>
      </c>
      <c r="Z1259" s="8">
        <f>IF($J1259=0,0,ROUND(MAX($J1259*1.4*1.5*1.6*1.6*2.2*2.715*2.6*1.4,6020000000*(1.651178^(MIN($E1259,123)-117)))*1,0))</f>
        <v>24202691</v>
      </c>
      <c r="AA1259" s="6">
        <f>$E1259+19</f>
        <v>125</v>
      </c>
      <c r="AB1259" s="7">
        <f>IF($J1259=0,0,ROUND(MAX($J1259*1.4*1.5*1.6*1.6*2.2*2.715*2.6*1.4*1.4,8430000000*(1.651435^(MIN($E1259,123)-117)))*1,0))</f>
        <v>33833836</v>
      </c>
      <c r="AC1259" s="4">
        <f>$E1259+21</f>
        <v>127</v>
      </c>
      <c r="AD1259" s="8">
        <f>IF($J1259=0,0,ROUND(MAX($J1259*1.4*1.5*1.6*1.6*2.2*2.715*2.6*1.4*1.4*1.5,12600000000*(1.652953^(MIN($E1259,123)-117)))*1,0))</f>
        <v>50061630</v>
      </c>
      <c r="AE1259" s="6">
        <f>$E1259+24</f>
        <v>130</v>
      </c>
      <c r="AF1259" s="7">
        <f>IF($J1259=0,0,ROUND(MAX($J1259*1.4*1.5*1.6*1.6*2.2*2.715*2.6*1.4*1.4*1.5*1.5,18900000000*(1.65331^(MIN($E1259,123)-117)))*1,0))</f>
        <v>74914276</v>
      </c>
      <c r="AG1259" s="4">
        <f>$E1259+27</f>
        <v>133</v>
      </c>
      <c r="AH1259" s="8">
        <f>IF($J1259=0,0,ROUND(MAX($J1259*1.4*1.5*1.6*1.6*2.2*2.715*2.6*1.4*1.4*1.5*1.5*3.2,60500000000*(1.654288^(MIN($E1259,123)-117)))*1,0))</f>
        <v>238250083</v>
      </c>
    </row>
    <row r="1260" ht="27.75" customHeight="1" spans="1:34" x14ac:dyDescent="0.25">
      <c r="A1260" s="3">
        <v>1270</v>
      </c>
      <c r="B1260" s="3" t="s">
        <v>936</v>
      </c>
      <c r="C1260" s="3" t="s">
        <v>920</v>
      </c>
      <c r="D1260" s="3" t="s">
        <v>25</v>
      </c>
      <c r="E1260" s="3">
        <v>106</v>
      </c>
      <c r="F1260" s="3" t="s">
        <v>62</v>
      </c>
      <c r="G1260" s="3" t="s">
        <v>104</v>
      </c>
      <c r="H1260" s="3">
        <v>23</v>
      </c>
      <c r="I1260" s="4">
        <v>106</v>
      </c>
      <c r="J1260" s="5">
        <v>53700</v>
      </c>
      <c r="K1260" s="6">
        <f>$E1260+1</f>
        <v>107</v>
      </c>
      <c r="L1260" s="7">
        <f>IF($J1260=0,0,ROUND(MAX($J1260*1.4,1620000*(1.497923^(MIN($E1260,123)-117)))*1,0))</f>
        <v>75180</v>
      </c>
      <c r="M1260" s="4">
        <f>$E1260+2</f>
        <v>108</v>
      </c>
      <c r="N1260" s="8">
        <f>IF($J1260=0,0,ROUND(MAX($J1260*1.4*1.5,2190000*(1.580994^(MIN($E1260,123)-117)))*1,0))</f>
        <v>112770</v>
      </c>
      <c r="O1260" s="6">
        <f>$E1260+4</f>
        <v>110</v>
      </c>
      <c r="P1260" s="7">
        <f>IF($J1260=0,0,ROUND(MAX($J1260*1.4*1.5*1.6,3500000*(1.57975^(MIN($E1260,123)-117)))*1,0))</f>
        <v>180432</v>
      </c>
      <c r="Q1260" s="4">
        <f>$E1260+6</f>
        <v>112</v>
      </c>
      <c r="R1260" s="8">
        <f>IF($J1260=0,0,ROUND(MAX($J1260*1.4*1.5*1.6*1.6,13100000*(1.429962^(MIN($E1260,123)-117)))*1,0))</f>
        <v>288691</v>
      </c>
      <c r="S1260" s="6">
        <f>$E1260+8</f>
        <v>114</v>
      </c>
      <c r="T1260" s="7">
        <f>IF($J1260=0,0,ROUND(MAX($J1260*1.4*1.5*1.6*1.6*2.2,42600000*(1.576904^(MIN($E1260,123)-117)))*1,0))</f>
        <v>635121</v>
      </c>
      <c r="U1260" s="4">
        <f>$E1260+11</f>
        <v>117</v>
      </c>
      <c r="V1260" s="8">
        <f>IF($J1260=0,0,ROUND(MAX($J1260*1.4*1.5*1.6*1.6*2.2*2.715,354000000*(1.642074^(MIN($E1260,123)-117)))*1,0))</f>
        <v>1724353</v>
      </c>
      <c r="W1260" s="6">
        <f>$E1260+15</f>
        <v>121</v>
      </c>
      <c r="X1260" s="7">
        <f>IF($J1260=0,0,ROUND(MAX($J1260*1.4*1.5*1.6*1.6*2.2*2.715*2.6,3540000000*(1.579646^(MIN($E1260,123)-117)))*1,0))</f>
        <v>23165718</v>
      </c>
      <c r="Y1260" s="4">
        <f>$E1260+17</f>
        <v>123</v>
      </c>
      <c r="Z1260" s="8">
        <f>IF($J1260=0,0,ROUND(MAX($J1260*1.4*1.5*1.6*1.6*2.2*2.715*2.6*1.4,6020000000*(1.651178^(MIN($E1260,123)-117)))*1,0))</f>
        <v>24202691</v>
      </c>
      <c r="AA1260" s="6">
        <f>$E1260+19</f>
        <v>125</v>
      </c>
      <c r="AB1260" s="7">
        <f>IF($J1260=0,0,ROUND(MAX($J1260*1.4*1.5*1.6*1.6*2.2*2.715*2.6*1.4*1.4,8430000000*(1.651435^(MIN($E1260,123)-117)))*1,0))</f>
        <v>33833836</v>
      </c>
      <c r="AC1260" s="4">
        <f>$E1260+21</f>
        <v>127</v>
      </c>
      <c r="AD1260" s="8">
        <f>IF($J1260=0,0,ROUND(MAX($J1260*1.4*1.5*1.6*1.6*2.2*2.715*2.6*1.4*1.4*1.5,12600000000*(1.652953^(MIN($E1260,123)-117)))*1,0))</f>
        <v>50061630</v>
      </c>
      <c r="AE1260" s="6">
        <f>$E1260+24</f>
        <v>130</v>
      </c>
      <c r="AF1260" s="7">
        <f>IF($J1260=0,0,ROUND(MAX($J1260*1.4*1.5*1.6*1.6*2.2*2.715*2.6*1.4*1.4*1.5*1.5,18900000000*(1.65331^(MIN($E1260,123)-117)))*1,0))</f>
        <v>74914276</v>
      </c>
      <c r="AG1260" s="4">
        <f>$E1260+27</f>
        <v>133</v>
      </c>
      <c r="AH1260" s="8">
        <f>IF($J1260=0,0,ROUND(MAX($J1260*1.4*1.5*1.6*1.6*2.2*2.715*2.6*1.4*1.4*1.5*1.5*3.2,60500000000*(1.654288^(MIN($E1260,123)-117)))*1,0))</f>
        <v>238250083</v>
      </c>
    </row>
    <row r="1261" ht="27.75" customHeight="1" spans="1:34" x14ac:dyDescent="0.25">
      <c r="A1261" s="3">
        <v>1271</v>
      </c>
      <c r="B1261" s="3" t="s">
        <v>937</v>
      </c>
      <c r="C1261" s="3" t="s">
        <v>920</v>
      </c>
      <c r="D1261" s="3" t="s">
        <v>45</v>
      </c>
      <c r="E1261" s="3">
        <v>106</v>
      </c>
      <c r="F1261" s="3" t="s">
        <v>42</v>
      </c>
      <c r="G1261" s="3" t="s">
        <v>43</v>
      </c>
      <c r="H1261" s="3">
        <v>23</v>
      </c>
      <c r="I1261" s="4">
        <v>106</v>
      </c>
      <c r="J1261" s="5">
        <v>37400</v>
      </c>
      <c r="K1261" s="6">
        <f>$E1261+1</f>
        <v>107</v>
      </c>
      <c r="L1261" s="7">
        <f>IF($J1261=0,0,ROUND(MAX($J1261*1.4,1620000*(1.497923^(MIN($E1261,123)-117)))*1,0))</f>
        <v>52360</v>
      </c>
      <c r="M1261" s="4">
        <f>$E1261+2</f>
        <v>108</v>
      </c>
      <c r="N1261" s="8">
        <f>IF($J1261=0,0,ROUND(MAX($J1261*1.4*1.5,2190000*(1.580994^(MIN($E1261,123)-117)))*1,0))</f>
        <v>78540</v>
      </c>
      <c r="O1261" s="6">
        <f>$E1261+4</f>
        <v>110</v>
      </c>
      <c r="P1261" s="7">
        <f>IF($J1261=0,0,ROUND(MAX($J1261*1.4*1.5*1.6,3500000*(1.57975^(MIN($E1261,123)-117)))*1,0))</f>
        <v>125664</v>
      </c>
      <c r="Q1261" s="4">
        <f>$E1261+6</f>
        <v>112</v>
      </c>
      <c r="R1261" s="8">
        <f>IF($J1261=0,0,ROUND(MAX($J1261*1.4*1.5*1.6*1.6,13100000*(1.429962^(MIN($E1261,123)-117)))*1,0))</f>
        <v>256272</v>
      </c>
      <c r="S1261" s="6">
        <f>$E1261+8</f>
        <v>114</v>
      </c>
      <c r="T1261" s="7">
        <f>IF($J1261=0,0,ROUND(MAX($J1261*1.4*1.5*1.6*1.6*2.2,42600000*(1.576904^(MIN($E1261,123)-117)))*1,0))</f>
        <v>442337</v>
      </c>
      <c r="U1261" s="4">
        <f>$E1261+11</f>
        <v>117</v>
      </c>
      <c r="V1261" s="8">
        <f>IF($J1261=0,0,ROUND(MAX($J1261*1.4*1.5*1.6*1.6*2.2*2.715,354000000*(1.642074^(MIN($E1261,123)-117)))*1,0))</f>
        <v>1512458</v>
      </c>
      <c r="W1261" s="6">
        <f>$E1261+15</f>
        <v>121</v>
      </c>
      <c r="X1261" s="7">
        <f>IF($J1261=0,0,ROUND(MAX($J1261*1.4*1.5*1.6*1.6*2.2*2.715*2.6,3540000000*(1.579646^(MIN($E1261,123)-117)))*1,0))</f>
        <v>23165718</v>
      </c>
      <c r="Y1261" s="4">
        <f>$E1261+17</f>
        <v>123</v>
      </c>
      <c r="Z1261" s="8">
        <f>IF($J1261=0,0,ROUND(MAX($J1261*1.4*1.5*1.6*1.6*2.2*2.715*2.6*1.4,6020000000*(1.651178^(MIN($E1261,123)-117)))*1,0))</f>
        <v>24202691</v>
      </c>
      <c r="AA1261" s="6">
        <f>$E1261+19</f>
        <v>125</v>
      </c>
      <c r="AB1261" s="7">
        <f>IF($J1261=0,0,ROUND(MAX($J1261*1.4*1.5*1.6*1.6*2.2*2.715*2.6*1.4*1.4,8430000000*(1.651435^(MIN($E1261,123)-117)))*1,0))</f>
        <v>33833836</v>
      </c>
      <c r="AC1261" s="4">
        <f>$E1261+21</f>
        <v>127</v>
      </c>
      <c r="AD1261" s="8">
        <f>IF($J1261=0,0,ROUND(MAX($J1261*1.4*1.5*1.6*1.6*2.2*2.715*2.6*1.4*1.4*1.5,12600000000*(1.652953^(MIN($E1261,123)-117)))*1,0))</f>
        <v>50061630</v>
      </c>
      <c r="AE1261" s="6">
        <f>$E1261+24</f>
        <v>130</v>
      </c>
      <c r="AF1261" s="7">
        <f>IF($J1261=0,0,ROUND(MAX($J1261*1.4*1.5*1.6*1.6*2.2*2.715*2.6*1.4*1.4*1.5*1.5,18900000000*(1.65331^(MIN($E1261,123)-117)))*1,0))</f>
        <v>74914276</v>
      </c>
      <c r="AG1261" s="4">
        <f>$E1261+27</f>
        <v>133</v>
      </c>
      <c r="AH1261" s="8">
        <f>IF($J1261=0,0,ROUND(MAX($J1261*1.4*1.5*1.6*1.6*2.2*2.715*2.6*1.4*1.4*1.5*1.5*3.2,60500000000*(1.654288^(MIN($E1261,123)-117)))*1,0))</f>
        <v>238250083</v>
      </c>
    </row>
    <row r="1262" ht="27.75" customHeight="1" spans="1:34" x14ac:dyDescent="0.25">
      <c r="A1262" s="3">
        <v>1272</v>
      </c>
      <c r="B1262" s="3" t="s">
        <v>938</v>
      </c>
      <c r="C1262" s="3" t="s">
        <v>920</v>
      </c>
      <c r="D1262" s="3" t="s">
        <v>45</v>
      </c>
      <c r="E1262" s="3">
        <v>106</v>
      </c>
      <c r="F1262" s="3" t="s">
        <v>42</v>
      </c>
      <c r="G1262" s="3" t="s">
        <v>939</v>
      </c>
      <c r="H1262" s="3">
        <v>23</v>
      </c>
      <c r="I1262" s="4">
        <v>106</v>
      </c>
      <c r="J1262" s="5">
        <v>28400</v>
      </c>
      <c r="K1262" s="6">
        <f>$E1262+1</f>
        <v>107</v>
      </c>
      <c r="L1262" s="7">
        <f>IF($J1262=0,0,ROUND(MAX($J1262*1.4,1620000*(1.497923^(MIN($E1262,123)-117)))*1,0))</f>
        <v>39760</v>
      </c>
      <c r="M1262" s="4">
        <f>$E1262+2</f>
        <v>108</v>
      </c>
      <c r="N1262" s="8">
        <f>IF($J1262=0,0,ROUND(MAX($J1262*1.4*1.5,2190000*(1.580994^(MIN($E1262,123)-117)))*1,0))</f>
        <v>59640</v>
      </c>
      <c r="O1262" s="6">
        <f>$E1262+4</f>
        <v>110</v>
      </c>
      <c r="P1262" s="7">
        <f>IF($J1262=0,0,ROUND(MAX($J1262*1.4*1.5*1.6,3500000*(1.57975^(MIN($E1262,123)-117)))*1,0))</f>
        <v>95424</v>
      </c>
      <c r="Q1262" s="4">
        <f>$E1262+6</f>
        <v>112</v>
      </c>
      <c r="R1262" s="8">
        <f>IF($J1262=0,0,ROUND(MAX($J1262*1.4*1.5*1.6*1.6,13100000*(1.429962^(MIN($E1262,123)-117)))*1,0))</f>
        <v>256272</v>
      </c>
      <c r="S1262" s="6">
        <f>$E1262+8</f>
        <v>114</v>
      </c>
      <c r="T1262" s="7">
        <f>IF($J1262=0,0,ROUND(MAX($J1262*1.4*1.5*1.6*1.6*2.2,42600000*(1.576904^(MIN($E1262,123)-117)))*1,0))</f>
        <v>335892</v>
      </c>
      <c r="U1262" s="4">
        <f>$E1262+11</f>
        <v>117</v>
      </c>
      <c r="V1262" s="8">
        <f>IF($J1262=0,0,ROUND(MAX($J1262*1.4*1.5*1.6*1.6*2.2*2.715,354000000*(1.642074^(MIN($E1262,123)-117)))*1,0))</f>
        <v>1512458</v>
      </c>
      <c r="W1262" s="6">
        <f>$E1262+15</f>
        <v>121</v>
      </c>
      <c r="X1262" s="7">
        <f>IF($J1262=0,0,ROUND(MAX($J1262*1.4*1.5*1.6*1.6*2.2*2.715*2.6,3540000000*(1.579646^(MIN($E1262,123)-117)))*1,0))</f>
        <v>23165718</v>
      </c>
      <c r="Y1262" s="4">
        <f>$E1262+17</f>
        <v>123</v>
      </c>
      <c r="Z1262" s="8">
        <f>IF($J1262=0,0,ROUND(MAX($J1262*1.4*1.5*1.6*1.6*2.2*2.715*2.6*1.4,6020000000*(1.651178^(MIN($E1262,123)-117)))*1,0))</f>
        <v>24202691</v>
      </c>
      <c r="AA1262" s="6">
        <f>$E1262+19</f>
        <v>125</v>
      </c>
      <c r="AB1262" s="7">
        <f>IF($J1262=0,0,ROUND(MAX($J1262*1.4*1.5*1.6*1.6*2.2*2.715*2.6*1.4*1.4,8430000000*(1.651435^(MIN($E1262,123)-117)))*1,0))</f>
        <v>33833836</v>
      </c>
      <c r="AC1262" s="4">
        <f>$E1262+21</f>
        <v>127</v>
      </c>
      <c r="AD1262" s="8">
        <f>IF($J1262=0,0,ROUND(MAX($J1262*1.4*1.5*1.6*1.6*2.2*2.715*2.6*1.4*1.4*1.5,12600000000*(1.652953^(MIN($E1262,123)-117)))*1,0))</f>
        <v>50061630</v>
      </c>
      <c r="AE1262" s="6">
        <f>$E1262+24</f>
        <v>130</v>
      </c>
      <c r="AF1262" s="7">
        <f>IF($J1262=0,0,ROUND(MAX($J1262*1.4*1.5*1.6*1.6*2.2*2.715*2.6*1.4*1.4*1.5*1.5,18900000000*(1.65331^(MIN($E1262,123)-117)))*1,0))</f>
        <v>74914276</v>
      </c>
      <c r="AG1262" s="4">
        <f>$E1262+27</f>
        <v>133</v>
      </c>
      <c r="AH1262" s="8">
        <f>IF($J1262=0,0,ROUND(MAX($J1262*1.4*1.5*1.6*1.6*2.2*2.715*2.6*1.4*1.4*1.5*1.5*3.2,60500000000*(1.654288^(MIN($E1262,123)-117)))*1,0))</f>
        <v>238250083</v>
      </c>
    </row>
    <row r="1263" ht="27.75" customHeight="1" spans="1:34" x14ac:dyDescent="0.25">
      <c r="A1263" s="3">
        <v>1273</v>
      </c>
      <c r="B1263" s="3" t="s">
        <v>940</v>
      </c>
      <c r="C1263" s="3" t="s">
        <v>920</v>
      </c>
      <c r="D1263" s="3" t="s">
        <v>79</v>
      </c>
      <c r="E1263" s="3">
        <v>106</v>
      </c>
      <c r="F1263" s="3" t="s">
        <v>97</v>
      </c>
      <c r="G1263" s="3" t="s">
        <v>941</v>
      </c>
      <c r="H1263" s="3">
        <v>23</v>
      </c>
      <c r="I1263" s="4">
        <v>106</v>
      </c>
      <c r="J1263" s="5">
        <v>41500</v>
      </c>
      <c r="K1263" s="6">
        <f>$E1263+1</f>
        <v>107</v>
      </c>
      <c r="L1263" s="7">
        <f>IF($J1263=0,0,ROUND(MAX($J1263*1.4,1620000*(1.497923^(MIN($E1263,123)-117)))*1,0))</f>
        <v>58100</v>
      </c>
      <c r="M1263" s="4">
        <f>$E1263+2</f>
        <v>108</v>
      </c>
      <c r="N1263" s="8">
        <f>IF($J1263=0,0,ROUND(MAX($J1263*1.4*1.5,2190000*(1.580994^(MIN($E1263,123)-117)))*1,0))</f>
        <v>87150</v>
      </c>
      <c r="O1263" s="6">
        <f>$E1263+4</f>
        <v>110</v>
      </c>
      <c r="P1263" s="7">
        <f>IF($J1263=0,0,ROUND(MAX($J1263*1.4*1.5*1.6,3500000*(1.57975^(MIN($E1263,123)-117)))*1,0))</f>
        <v>139440</v>
      </c>
      <c r="Q1263" s="4">
        <f>$E1263+6</f>
        <v>112</v>
      </c>
      <c r="R1263" s="8">
        <f>IF($J1263=0,0,ROUND(MAX($J1263*1.4*1.5*1.6*1.6,13100000*(1.429962^(MIN($E1263,123)-117)))*1,0))</f>
        <v>256272</v>
      </c>
      <c r="S1263" s="6">
        <f>$E1263+8</f>
        <v>114</v>
      </c>
      <c r="T1263" s="7">
        <f>IF($J1263=0,0,ROUND(MAX($J1263*1.4*1.5*1.6*1.6*2.2,42600000*(1.576904^(MIN($E1263,123)-117)))*1,0))</f>
        <v>490829</v>
      </c>
      <c r="U1263" s="4">
        <f>$E1263+11</f>
        <v>117</v>
      </c>
      <c r="V1263" s="8">
        <f>IF($J1263=0,0,ROUND(MAX($J1263*1.4*1.5*1.6*1.6*2.2*2.715,354000000*(1.642074^(MIN($E1263,123)-117)))*1,0))</f>
        <v>1512458</v>
      </c>
      <c r="W1263" s="6">
        <f>$E1263+15</f>
        <v>121</v>
      </c>
      <c r="X1263" s="7">
        <f>IF($J1263=0,0,ROUND(MAX($J1263*1.4*1.5*1.6*1.6*2.2*2.715*2.6,3540000000*(1.579646^(MIN($E1263,123)-117)))*1,0))</f>
        <v>23165718</v>
      </c>
      <c r="Y1263" s="4">
        <f>$E1263+17</f>
        <v>123</v>
      </c>
      <c r="Z1263" s="8">
        <f>IF($J1263=0,0,ROUND(MAX($J1263*1.4*1.5*1.6*1.6*2.2*2.715*2.6*1.4,6020000000*(1.651178^(MIN($E1263,123)-117)))*1,0))</f>
        <v>24202691</v>
      </c>
      <c r="AA1263" s="6">
        <f>$E1263+19</f>
        <v>125</v>
      </c>
      <c r="AB1263" s="7">
        <f>IF($J1263=0,0,ROUND(MAX($J1263*1.4*1.5*1.6*1.6*2.2*2.715*2.6*1.4*1.4,8430000000*(1.651435^(MIN($E1263,123)-117)))*1,0))</f>
        <v>33833836</v>
      </c>
      <c r="AC1263" s="4">
        <f>$E1263+21</f>
        <v>127</v>
      </c>
      <c r="AD1263" s="8">
        <f>IF($J1263=0,0,ROUND(MAX($J1263*1.4*1.5*1.6*1.6*2.2*2.715*2.6*1.4*1.4*1.5,12600000000*(1.652953^(MIN($E1263,123)-117)))*1,0))</f>
        <v>50061630</v>
      </c>
      <c r="AE1263" s="6">
        <f>$E1263+24</f>
        <v>130</v>
      </c>
      <c r="AF1263" s="7">
        <f>IF($J1263=0,0,ROUND(MAX($J1263*1.4*1.5*1.6*1.6*2.2*2.715*2.6*1.4*1.4*1.5*1.5,18900000000*(1.65331^(MIN($E1263,123)-117)))*1,0))</f>
        <v>74914276</v>
      </c>
      <c r="AG1263" s="4">
        <f>$E1263+27</f>
        <v>133</v>
      </c>
      <c r="AH1263" s="8">
        <f>IF($J1263=0,0,ROUND(MAX($J1263*1.4*1.5*1.6*1.6*2.2*2.715*2.6*1.4*1.4*1.5*1.5*3.2,60500000000*(1.654288^(MIN($E1263,123)-117)))*1,0))</f>
        <v>238250083</v>
      </c>
    </row>
    <row r="1264" ht="27.75" customHeight="1" spans="1:34" x14ac:dyDescent="0.25">
      <c r="A1264" s="3">
        <v>1274</v>
      </c>
      <c r="B1264" s="3" t="s">
        <v>810</v>
      </c>
      <c r="C1264" s="3" t="s">
        <v>920</v>
      </c>
      <c r="D1264" s="3" t="s">
        <v>102</v>
      </c>
      <c r="E1264" s="3">
        <v>106</v>
      </c>
      <c r="F1264" s="3" t="s">
        <v>71</v>
      </c>
      <c r="G1264" s="3" t="s">
        <v>921</v>
      </c>
      <c r="H1264" s="3">
        <v>23</v>
      </c>
      <c r="I1264" s="4">
        <v>106</v>
      </c>
      <c r="J1264" s="5">
        <v>21700</v>
      </c>
      <c r="K1264" s="6">
        <f>$E1264+1</f>
        <v>107</v>
      </c>
      <c r="L1264" s="7">
        <f>IF($J1264=0,0,ROUND(MAX($J1264*1.4,1620000*(1.497923^(MIN($E1264,123)-117)))*1,0))</f>
        <v>30380</v>
      </c>
      <c r="M1264" s="4">
        <f>$E1264+2</f>
        <v>108</v>
      </c>
      <c r="N1264" s="8">
        <f>IF($J1264=0,0,ROUND(MAX($J1264*1.4*1.5,2190000*(1.580994^(MIN($E1264,123)-117)))*1,0))</f>
        <v>45570</v>
      </c>
      <c r="O1264" s="6">
        <f>$E1264+4</f>
        <v>110</v>
      </c>
      <c r="P1264" s="7">
        <f>IF($J1264=0,0,ROUND(MAX($J1264*1.4*1.5*1.6,3500000*(1.57975^(MIN($E1264,123)-117)))*1,0))</f>
        <v>72912</v>
      </c>
      <c r="Q1264" s="4">
        <f>$E1264+6</f>
        <v>112</v>
      </c>
      <c r="R1264" s="8">
        <f>IF($J1264=0,0,ROUND(MAX($J1264*1.4*1.5*1.6*1.6,13100000*(1.429962^(MIN($E1264,123)-117)))*1,0))</f>
        <v>256272</v>
      </c>
      <c r="S1264" s="6">
        <f>$E1264+8</f>
        <v>114</v>
      </c>
      <c r="T1264" s="7">
        <f>IF($J1264=0,0,ROUND(MAX($J1264*1.4*1.5*1.6*1.6*2.2,42600000*(1.576904^(MIN($E1264,123)-117)))*1,0))</f>
        <v>284153</v>
      </c>
      <c r="U1264" s="4">
        <f>$E1264+11</f>
        <v>117</v>
      </c>
      <c r="V1264" s="8">
        <f>IF($J1264=0,0,ROUND(MAX($J1264*1.4*1.5*1.6*1.6*2.2*2.715,354000000*(1.642074^(MIN($E1264,123)-117)))*1,0))</f>
        <v>1512458</v>
      </c>
      <c r="W1264" s="6">
        <f>$E1264+15</f>
        <v>121</v>
      </c>
      <c r="X1264" s="7">
        <f>IF($J1264=0,0,ROUND(MAX($J1264*1.4*1.5*1.6*1.6*2.2*2.715*2.6,3540000000*(1.579646^(MIN($E1264,123)-117)))*1,0))</f>
        <v>23165718</v>
      </c>
      <c r="Y1264" s="4">
        <f>$E1264+17</f>
        <v>123</v>
      </c>
      <c r="Z1264" s="8">
        <f>IF($J1264=0,0,ROUND(MAX($J1264*1.4*1.5*1.6*1.6*2.2*2.715*2.6*1.4,6020000000*(1.651178^(MIN($E1264,123)-117)))*1,0))</f>
        <v>24202691</v>
      </c>
      <c r="AA1264" s="6">
        <f>$E1264+19</f>
        <v>125</v>
      </c>
      <c r="AB1264" s="7">
        <f>IF($J1264=0,0,ROUND(MAX($J1264*1.4*1.5*1.6*1.6*2.2*2.715*2.6*1.4*1.4,8430000000*(1.651435^(MIN($E1264,123)-117)))*1,0))</f>
        <v>33833836</v>
      </c>
      <c r="AC1264" s="4">
        <f>$E1264+21</f>
        <v>127</v>
      </c>
      <c r="AD1264" s="8">
        <f>IF($J1264=0,0,ROUND(MAX($J1264*1.4*1.5*1.6*1.6*2.2*2.715*2.6*1.4*1.4*1.5,12600000000*(1.652953^(MIN($E1264,123)-117)))*1,0))</f>
        <v>50061630</v>
      </c>
      <c r="AE1264" s="6">
        <f>$E1264+24</f>
        <v>130</v>
      </c>
      <c r="AF1264" s="7">
        <f>IF($J1264=0,0,ROUND(MAX($J1264*1.4*1.5*1.6*1.6*2.2*2.715*2.6*1.4*1.4*1.5*1.5,18900000000*(1.65331^(MIN($E1264,123)-117)))*1,0))</f>
        <v>74914276</v>
      </c>
      <c r="AG1264" s="4">
        <f>$E1264+27</f>
        <v>133</v>
      </c>
      <c r="AH1264" s="8">
        <f>IF($J1264=0,0,ROUND(MAX($J1264*1.4*1.5*1.6*1.6*2.2*2.715*2.6*1.4*1.4*1.5*1.5*3.2,60500000000*(1.654288^(MIN($E1264,123)-117)))*1,0))</f>
        <v>238250083</v>
      </c>
    </row>
    <row r="1265" ht="27.75" customHeight="1" spans="1:34" x14ac:dyDescent="0.25">
      <c r="A1265" s="3">
        <v>1275</v>
      </c>
      <c r="B1265" s="3" t="s">
        <v>752</v>
      </c>
      <c r="C1265" s="3" t="s">
        <v>920</v>
      </c>
      <c r="D1265" s="3" t="s">
        <v>75</v>
      </c>
      <c r="E1265" s="3">
        <v>106</v>
      </c>
      <c r="F1265" s="3" t="s">
        <v>71</v>
      </c>
      <c r="G1265" s="3" t="s">
        <v>270</v>
      </c>
      <c r="H1265" s="3">
        <v>23</v>
      </c>
      <c r="I1265" s="4">
        <v>106</v>
      </c>
      <c r="J1265" s="5">
        <v>46100</v>
      </c>
      <c r="K1265" s="6">
        <f>$E1265+1</f>
        <v>107</v>
      </c>
      <c r="L1265" s="7">
        <f>IF($J1265=0,0,ROUND(MAX($J1265*1.4,1620000*(1.497923^(MIN($E1265,123)-117)))*1,0))</f>
        <v>64540</v>
      </c>
      <c r="M1265" s="4">
        <f>$E1265+2</f>
        <v>108</v>
      </c>
      <c r="N1265" s="8">
        <f>IF($J1265=0,0,ROUND(MAX($J1265*1.4*1.5,2190000*(1.580994^(MIN($E1265,123)-117)))*1,0))</f>
        <v>96810</v>
      </c>
      <c r="O1265" s="6">
        <f>$E1265+4</f>
        <v>110</v>
      </c>
      <c r="P1265" s="7">
        <f>IF($J1265=0,0,ROUND(MAX($J1265*1.4*1.5*1.6,3500000*(1.57975^(MIN($E1265,123)-117)))*1,0))</f>
        <v>154896</v>
      </c>
      <c r="Q1265" s="4">
        <f>$E1265+6</f>
        <v>112</v>
      </c>
      <c r="R1265" s="8">
        <f>IF($J1265=0,0,ROUND(MAX($J1265*1.4*1.5*1.6*1.6,13100000*(1.429962^(MIN($E1265,123)-117)))*1,0))</f>
        <v>256272</v>
      </c>
      <c r="S1265" s="6">
        <f>$E1265+8</f>
        <v>114</v>
      </c>
      <c r="T1265" s="7">
        <f>IF($J1265=0,0,ROUND(MAX($J1265*1.4*1.5*1.6*1.6*2.2,42600000*(1.576904^(MIN($E1265,123)-117)))*1,0))</f>
        <v>545234</v>
      </c>
      <c r="U1265" s="4">
        <f>$E1265+11</f>
        <v>117</v>
      </c>
      <c r="V1265" s="8">
        <f>IF($J1265=0,0,ROUND(MAX($J1265*1.4*1.5*1.6*1.6*2.2*2.715,354000000*(1.642074^(MIN($E1265,123)-117)))*1,0))</f>
        <v>1512458</v>
      </c>
      <c r="W1265" s="6">
        <f>$E1265+15</f>
        <v>121</v>
      </c>
      <c r="X1265" s="7">
        <f>IF($J1265=0,0,ROUND(MAX($J1265*1.4*1.5*1.6*1.6*2.2*2.715*2.6,3540000000*(1.579646^(MIN($E1265,123)-117)))*1,0))</f>
        <v>23165718</v>
      </c>
      <c r="Y1265" s="4">
        <f>$E1265+17</f>
        <v>123</v>
      </c>
      <c r="Z1265" s="8">
        <f>IF($J1265=0,0,ROUND(MAX($J1265*1.4*1.5*1.6*1.6*2.2*2.715*2.6*1.4,6020000000*(1.651178^(MIN($E1265,123)-117)))*1,0))</f>
        <v>24202691</v>
      </c>
      <c r="AA1265" s="6">
        <f>$E1265+19</f>
        <v>125</v>
      </c>
      <c r="AB1265" s="7">
        <f>IF($J1265=0,0,ROUND(MAX($J1265*1.4*1.5*1.6*1.6*2.2*2.715*2.6*1.4*1.4,8430000000*(1.651435^(MIN($E1265,123)-117)))*1,0))</f>
        <v>33833836</v>
      </c>
      <c r="AC1265" s="4">
        <f>$E1265+21</f>
        <v>127</v>
      </c>
      <c r="AD1265" s="8">
        <f>IF($J1265=0,0,ROUND(MAX($J1265*1.4*1.5*1.6*1.6*2.2*2.715*2.6*1.4*1.4*1.5,12600000000*(1.652953^(MIN($E1265,123)-117)))*1,0))</f>
        <v>50061630</v>
      </c>
      <c r="AE1265" s="6">
        <f>$E1265+24</f>
        <v>130</v>
      </c>
      <c r="AF1265" s="7">
        <f>IF($J1265=0,0,ROUND(MAX($J1265*1.4*1.5*1.6*1.6*2.2*2.715*2.6*1.4*1.4*1.5*1.5,18900000000*(1.65331^(MIN($E1265,123)-117)))*1,0))</f>
        <v>74914276</v>
      </c>
      <c r="AG1265" s="4">
        <f>$E1265+27</f>
        <v>133</v>
      </c>
      <c r="AH1265" s="8">
        <f>IF($J1265=0,0,ROUND(MAX($J1265*1.4*1.5*1.6*1.6*2.2*2.715*2.6*1.4*1.4*1.5*1.5*3.2,60500000000*(1.654288^(MIN($E1265,123)-117)))*1,0))</f>
        <v>238250083</v>
      </c>
    </row>
    <row r="1266" ht="27.75" customHeight="1" spans="1:34" x14ac:dyDescent="0.25">
      <c r="A1266" s="3">
        <v>1276</v>
      </c>
      <c r="B1266" s="3" t="s">
        <v>942</v>
      </c>
      <c r="C1266" s="3" t="s">
        <v>920</v>
      </c>
      <c r="D1266" s="3" t="s">
        <v>40</v>
      </c>
      <c r="E1266" s="3">
        <v>106</v>
      </c>
      <c r="F1266" s="3" t="s">
        <v>42</v>
      </c>
      <c r="G1266" s="3" t="s">
        <v>439</v>
      </c>
      <c r="H1266" s="3">
        <v>23</v>
      </c>
      <c r="I1266" s="4">
        <v>106</v>
      </c>
      <c r="J1266" s="5">
        <v>116000</v>
      </c>
      <c r="K1266" s="6">
        <f>$E1266+1</f>
        <v>107</v>
      </c>
      <c r="L1266" s="7">
        <f>IF($J1266=0,0,ROUND(MAX($J1266*1.4,1620000*(1.497923^(MIN($E1266,123)-117)))*1,0))</f>
        <v>162400</v>
      </c>
      <c r="M1266" s="4">
        <f>$E1266+2</f>
        <v>108</v>
      </c>
      <c r="N1266" s="8">
        <f>IF($J1266=0,0,ROUND(MAX($J1266*1.4*1.5,2190000*(1.580994^(MIN($E1266,123)-117)))*1,0))</f>
        <v>243600</v>
      </c>
      <c r="O1266" s="6">
        <f>$E1266+4</f>
        <v>110</v>
      </c>
      <c r="P1266" s="7">
        <f>IF($J1266=0,0,ROUND(MAX($J1266*1.4*1.5*1.6,3500000*(1.57975^(MIN($E1266,123)-117)))*1,0))</f>
        <v>389760</v>
      </c>
      <c r="Q1266" s="4">
        <f>$E1266+6</f>
        <v>112</v>
      </c>
      <c r="R1266" s="8">
        <f>IF($J1266=0,0,ROUND(MAX($J1266*1.4*1.5*1.6*1.6,13100000*(1.429962^(MIN($E1266,123)-117)))*1,0))</f>
        <v>623616</v>
      </c>
      <c r="S1266" s="6">
        <f>$E1266+8</f>
        <v>114</v>
      </c>
      <c r="T1266" s="7">
        <f>IF($J1266=0,0,ROUND(MAX($J1266*1.4*1.5*1.6*1.6*2.2,42600000*(1.576904^(MIN($E1266,123)-117)))*1,0))</f>
        <v>1371955</v>
      </c>
      <c r="U1266" s="4">
        <f>$E1266+11</f>
        <v>117</v>
      </c>
      <c r="V1266" s="8">
        <f>IF($J1266=0,0,ROUND(MAX($J1266*1.4*1.5*1.6*1.6*2.2*2.715,354000000*(1.642074^(MIN($E1266,123)-117)))*1,0))</f>
        <v>3724858</v>
      </c>
      <c r="W1266" s="6">
        <f>$E1266+15</f>
        <v>121</v>
      </c>
      <c r="X1266" s="7">
        <f>IF($J1266=0,0,ROUND(MAX($J1266*1.4*1.5*1.6*1.6*2.2*2.715*2.6,3540000000*(1.579646^(MIN($E1266,123)-117)))*1,0))</f>
        <v>23165718</v>
      </c>
      <c r="Y1266" s="4">
        <f>$E1266+17</f>
        <v>123</v>
      </c>
      <c r="Z1266" s="8">
        <f>IF($J1266=0,0,ROUND(MAX($J1266*1.4*1.5*1.6*1.6*2.2*2.715*2.6*1.4,6020000000*(1.651178^(MIN($E1266,123)-117)))*1,0))</f>
        <v>24202691</v>
      </c>
      <c r="AA1266" s="6">
        <f>$E1266+19</f>
        <v>125</v>
      </c>
      <c r="AB1266" s="7">
        <f>IF($J1266=0,0,ROUND(MAX($J1266*1.4*1.5*1.6*1.6*2.2*2.715*2.6*1.4*1.4,8430000000*(1.651435^(MIN($E1266,123)-117)))*1,0))</f>
        <v>33833836</v>
      </c>
      <c r="AC1266" s="4">
        <f>$E1266+21</f>
        <v>127</v>
      </c>
      <c r="AD1266" s="8">
        <f>IF($J1266=0,0,ROUND(MAX($J1266*1.4*1.5*1.6*1.6*2.2*2.715*2.6*1.4*1.4*1.5,12600000000*(1.652953^(MIN($E1266,123)-117)))*1,0))</f>
        <v>50061630</v>
      </c>
      <c r="AE1266" s="6">
        <f>$E1266+24</f>
        <v>130</v>
      </c>
      <c r="AF1266" s="7">
        <f>IF($J1266=0,0,ROUND(MAX($J1266*1.4*1.5*1.6*1.6*2.2*2.715*2.6*1.4*1.4*1.5*1.5,18900000000*(1.65331^(MIN($E1266,123)-117)))*1,0))</f>
        <v>74914276</v>
      </c>
      <c r="AG1266" s="4">
        <f>$E1266+27</f>
        <v>133</v>
      </c>
      <c r="AH1266" s="8">
        <f>IF($J1266=0,0,ROUND(MAX($J1266*1.4*1.5*1.6*1.6*2.2*2.715*2.6*1.4*1.4*1.5*1.5*3.2,60500000000*(1.654288^(MIN($E1266,123)-117)))*1,0))</f>
        <v>238250083</v>
      </c>
    </row>
    <row r="1267" ht="27.75" customHeight="1" spans="1:34" x14ac:dyDescent="0.25">
      <c r="A1267" s="3">
        <v>1277</v>
      </c>
      <c r="B1267" s="3" t="s">
        <v>118</v>
      </c>
      <c r="C1267" s="3" t="s">
        <v>920</v>
      </c>
      <c r="D1267" s="3" t="s">
        <v>25</v>
      </c>
      <c r="E1267" s="3">
        <v>105</v>
      </c>
      <c r="F1267" s="3" t="s">
        <v>56</v>
      </c>
      <c r="G1267" s="3" t="s">
        <v>921</v>
      </c>
      <c r="H1267" s="3">
        <v>24</v>
      </c>
      <c r="I1267" s="4">
        <v>105</v>
      </c>
      <c r="J1267" s="5">
        <v>38700</v>
      </c>
      <c r="K1267" s="6">
        <f>$E1267+1</f>
        <v>106</v>
      </c>
      <c r="L1267" s="7">
        <f>IF($J1267=0,0,ROUND(MAX($J1267*1.4,1620000*(1.497923^(MIN($E1267,123)-117)))*1,0))</f>
        <v>54180</v>
      </c>
      <c r="M1267" s="4">
        <f>$E1267+2</f>
        <v>107</v>
      </c>
      <c r="N1267" s="8">
        <f>IF($J1267=0,0,ROUND(MAX($J1267*1.4*1.5,2190000*(1.580994^(MIN($E1267,123)-117)))*1,0))</f>
        <v>81270</v>
      </c>
      <c r="O1267" s="6">
        <f>$E1267+4</f>
        <v>109</v>
      </c>
      <c r="P1267" s="7">
        <f>IF($J1267=0,0,ROUND(MAX($J1267*1.4*1.5*1.6,3500000*(1.57975^(MIN($E1267,123)-117)))*1,0))</f>
        <v>130032</v>
      </c>
      <c r="Q1267" s="4">
        <f>$E1267+6</f>
        <v>111</v>
      </c>
      <c r="R1267" s="8">
        <f>IF($J1267=0,0,ROUND(MAX($J1267*1.4*1.5*1.6*1.6,13100000*(1.429962^(MIN($E1267,123)-117)))*1,0))</f>
        <v>208051</v>
      </c>
      <c r="S1267" s="6">
        <f>$E1267+8</f>
        <v>113</v>
      </c>
      <c r="T1267" s="7">
        <f>IF($J1267=0,0,ROUND(MAX($J1267*1.4*1.5*1.6*1.6*2.2,42600000*(1.576904^(MIN($E1267,123)-117)))*1,0))</f>
        <v>457713</v>
      </c>
      <c r="U1267" s="4">
        <f>$E1267+11</f>
        <v>116</v>
      </c>
      <c r="V1267" s="8">
        <f>IF($J1267=0,0,ROUND(MAX($J1267*1.4*1.5*1.6*1.6*2.2*2.715,354000000*(1.642074^(MIN($E1267,123)-117)))*1,0))</f>
        <v>1242690</v>
      </c>
      <c r="W1267" s="6">
        <f>$E1267+15</f>
        <v>120</v>
      </c>
      <c r="X1267" s="7">
        <f>IF($J1267=0,0,ROUND(MAX($J1267*1.4*1.5*1.6*1.6*2.2*2.715*2.6,3540000000*(1.579646^(MIN($E1267,123)-117)))*1,0))</f>
        <v>14665133</v>
      </c>
      <c r="Y1267" s="4">
        <f>$E1267+17</f>
        <v>122</v>
      </c>
      <c r="Z1267" s="8">
        <f>IF($J1267=0,0,ROUND(MAX($J1267*1.4*1.5*1.6*1.6*2.2*2.715*2.6*1.4,6020000000*(1.651178^(MIN($E1267,123)-117)))*1,0))</f>
        <v>14657833</v>
      </c>
      <c r="AA1267" s="6">
        <f>$E1267+19</f>
        <v>124</v>
      </c>
      <c r="AB1267" s="7">
        <f>IF($J1267=0,0,ROUND(MAX($J1267*1.4*1.5*1.6*1.6*2.2*2.715*2.6*1.4*1.4,8430000000*(1.651435^(MIN($E1267,123)-117)))*1,0))</f>
        <v>20487537</v>
      </c>
      <c r="AC1267" s="4">
        <f>$E1267+21</f>
        <v>126</v>
      </c>
      <c r="AD1267" s="8">
        <f>IF($J1267=0,0,ROUND(MAX($J1267*1.4*1.5*1.6*1.6*2.2*2.715*2.6*1.4*1.4*1.5,12600000000*(1.652953^(MIN($E1267,123)-117)))*1,0))</f>
        <v>30286179</v>
      </c>
      <c r="AE1267" s="6">
        <f>$E1267+24</f>
        <v>129</v>
      </c>
      <c r="AF1267" s="7">
        <f>IF($J1267=0,0,ROUND(MAX($J1267*1.4*1.5*1.6*1.6*2.2*2.715*2.6*1.4*1.4*1.5*1.5,18900000000*(1.65331^(MIN($E1267,123)-117)))*1,0))</f>
        <v>45311693</v>
      </c>
      <c r="AG1267" s="4">
        <f>$E1267+27</f>
        <v>132</v>
      </c>
      <c r="AH1267" s="8">
        <f>IF($J1267=0,0,ROUND(MAX($J1267*1.4*1.5*1.6*1.6*2.2*2.715*2.6*1.4*1.4*1.5*1.5*3.2,60500000000*(1.654288^(MIN($E1267,123)-117)))*1,0))</f>
        <v>144019713</v>
      </c>
    </row>
    <row r="1268" ht="27.75" customHeight="1" spans="1:34" x14ac:dyDescent="0.25">
      <c r="A1268" s="3">
        <v>1278</v>
      </c>
      <c r="B1268" s="3" t="s">
        <v>163</v>
      </c>
      <c r="C1268" s="3" t="s">
        <v>920</v>
      </c>
      <c r="D1268" s="3" t="s">
        <v>40</v>
      </c>
      <c r="E1268" s="3">
        <v>105</v>
      </c>
      <c r="F1268" s="3" t="s">
        <v>71</v>
      </c>
      <c r="G1268" s="3" t="s">
        <v>921</v>
      </c>
      <c r="H1268" s="3">
        <v>24</v>
      </c>
      <c r="I1268" s="4">
        <v>105</v>
      </c>
      <c r="J1268" s="5">
        <v>49600</v>
      </c>
      <c r="K1268" s="6">
        <f>$E1268+1</f>
        <v>106</v>
      </c>
      <c r="L1268" s="7">
        <f>IF($J1268=0,0,ROUND(MAX($J1268*1.4,1620000*(1.497923^(MIN($E1268,123)-117)))*1,0))</f>
        <v>69440</v>
      </c>
      <c r="M1268" s="4">
        <f>$E1268+2</f>
        <v>107</v>
      </c>
      <c r="N1268" s="8">
        <f>IF($J1268=0,0,ROUND(MAX($J1268*1.4*1.5,2190000*(1.580994^(MIN($E1268,123)-117)))*1,0))</f>
        <v>104160</v>
      </c>
      <c r="O1268" s="6">
        <f>$E1268+4</f>
        <v>109</v>
      </c>
      <c r="P1268" s="7">
        <f>IF($J1268=0,0,ROUND(MAX($J1268*1.4*1.5*1.6,3500000*(1.57975^(MIN($E1268,123)-117)))*1,0))</f>
        <v>166656</v>
      </c>
      <c r="Q1268" s="4">
        <f>$E1268+6</f>
        <v>111</v>
      </c>
      <c r="R1268" s="8">
        <f>IF($J1268=0,0,ROUND(MAX($J1268*1.4*1.5*1.6*1.6,13100000*(1.429962^(MIN($E1268,123)-117)))*1,0))</f>
        <v>266650</v>
      </c>
      <c r="S1268" s="6">
        <f>$E1268+8</f>
        <v>113</v>
      </c>
      <c r="T1268" s="7">
        <f>IF($J1268=0,0,ROUND(MAX($J1268*1.4*1.5*1.6*1.6*2.2,42600000*(1.576904^(MIN($E1268,123)-117)))*1,0))</f>
        <v>586629</v>
      </c>
      <c r="U1268" s="4">
        <f>$E1268+11</f>
        <v>116</v>
      </c>
      <c r="V1268" s="8">
        <f>IF($J1268=0,0,ROUND(MAX($J1268*1.4*1.5*1.6*1.6*2.2*2.715,354000000*(1.642074^(MIN($E1268,123)-117)))*1,0))</f>
        <v>1592698</v>
      </c>
      <c r="W1268" s="6">
        <f>$E1268+15</f>
        <v>120</v>
      </c>
      <c r="X1268" s="7">
        <f>IF($J1268=0,0,ROUND(MAX($J1268*1.4*1.5*1.6*1.6*2.2*2.715*2.6,3540000000*(1.579646^(MIN($E1268,123)-117)))*1,0))</f>
        <v>14665133</v>
      </c>
      <c r="Y1268" s="4">
        <f>$E1268+17</f>
        <v>122</v>
      </c>
      <c r="Z1268" s="8">
        <f>IF($J1268=0,0,ROUND(MAX($J1268*1.4*1.5*1.6*1.6*2.2*2.715*2.6*1.4,6020000000*(1.651178^(MIN($E1268,123)-117)))*1,0))</f>
        <v>14657833</v>
      </c>
      <c r="AA1268" s="6">
        <f>$E1268+19</f>
        <v>124</v>
      </c>
      <c r="AB1268" s="7">
        <f>IF($J1268=0,0,ROUND(MAX($J1268*1.4*1.5*1.6*1.6*2.2*2.715*2.6*1.4*1.4,8430000000*(1.651435^(MIN($E1268,123)-117)))*1,0))</f>
        <v>20487537</v>
      </c>
      <c r="AC1268" s="4">
        <f>$E1268+21</f>
        <v>126</v>
      </c>
      <c r="AD1268" s="8">
        <f>IF($J1268=0,0,ROUND(MAX($J1268*1.4*1.5*1.6*1.6*2.2*2.715*2.6*1.4*1.4*1.5,12600000000*(1.652953^(MIN($E1268,123)-117)))*1,0))</f>
        <v>30286179</v>
      </c>
      <c r="AE1268" s="6">
        <f>$E1268+24</f>
        <v>129</v>
      </c>
      <c r="AF1268" s="7">
        <f>IF($J1268=0,0,ROUND(MAX($J1268*1.4*1.5*1.6*1.6*2.2*2.715*2.6*1.4*1.4*1.5*1.5,18900000000*(1.65331^(MIN($E1268,123)-117)))*1,0))</f>
        <v>45311693</v>
      </c>
      <c r="AG1268" s="4">
        <f>$E1268+27</f>
        <v>132</v>
      </c>
      <c r="AH1268" s="8">
        <f>IF($J1268=0,0,ROUND(MAX($J1268*1.4*1.5*1.6*1.6*2.2*2.715*2.6*1.4*1.4*1.5*1.5*3.2,60500000000*(1.654288^(MIN($E1268,123)-117)))*1,0))</f>
        <v>144019713</v>
      </c>
    </row>
    <row r="1269" ht="27.75" customHeight="1" spans="1:34" x14ac:dyDescent="0.25">
      <c r="A1269" s="3">
        <v>1279</v>
      </c>
      <c r="B1269" s="3" t="s">
        <v>138</v>
      </c>
      <c r="C1269" s="3" t="s">
        <v>920</v>
      </c>
      <c r="D1269" s="3" t="s">
        <v>25</v>
      </c>
      <c r="E1269" s="3">
        <v>105</v>
      </c>
      <c r="F1269" s="3" t="s">
        <v>34</v>
      </c>
      <c r="G1269" s="3" t="s">
        <v>921</v>
      </c>
      <c r="H1269" s="3">
        <v>24</v>
      </c>
      <c r="I1269" s="4">
        <v>105</v>
      </c>
      <c r="J1269" s="5">
        <v>23500</v>
      </c>
      <c r="K1269" s="6">
        <f>$E1269+1</f>
        <v>106</v>
      </c>
      <c r="L1269" s="7">
        <f>IF($J1269=0,0,ROUND(MAX($J1269*1.4,1620000*(1.497923^(MIN($E1269,123)-117)))*1,0))</f>
        <v>32900</v>
      </c>
      <c r="M1269" s="4">
        <f>$E1269+2</f>
        <v>107</v>
      </c>
      <c r="N1269" s="8">
        <f>IF($J1269=0,0,ROUND(MAX($J1269*1.4*1.5,2190000*(1.580994^(MIN($E1269,123)-117)))*1,0))</f>
        <v>49350</v>
      </c>
      <c r="O1269" s="6">
        <f>$E1269+4</f>
        <v>109</v>
      </c>
      <c r="P1269" s="7">
        <f>IF($J1269=0,0,ROUND(MAX($J1269*1.4*1.5*1.6,3500000*(1.57975^(MIN($E1269,123)-117)))*1,0))</f>
        <v>78960</v>
      </c>
      <c r="Q1269" s="4">
        <f>$E1269+6</f>
        <v>111</v>
      </c>
      <c r="R1269" s="8">
        <f>IF($J1269=0,0,ROUND(MAX($J1269*1.4*1.5*1.6*1.6,13100000*(1.429962^(MIN($E1269,123)-117)))*1,0))</f>
        <v>179216</v>
      </c>
      <c r="S1269" s="6">
        <f>$E1269+8</f>
        <v>113</v>
      </c>
      <c r="T1269" s="7">
        <f>IF($J1269=0,0,ROUND(MAX($J1269*1.4*1.5*1.6*1.6*2.2,42600000*(1.576904^(MIN($E1269,123)-117)))*1,0))</f>
        <v>277939</v>
      </c>
      <c r="U1269" s="4">
        <f>$E1269+11</f>
        <v>116</v>
      </c>
      <c r="V1269" s="8">
        <f>IF($J1269=0,0,ROUND(MAX($J1269*1.4*1.5*1.6*1.6*2.2*2.715,354000000*(1.642074^(MIN($E1269,123)-117)))*1,0))</f>
        <v>921066</v>
      </c>
      <c r="W1269" s="6">
        <f>$E1269+15</f>
        <v>120</v>
      </c>
      <c r="X1269" s="7">
        <f>IF($J1269=0,0,ROUND(MAX($J1269*1.4*1.5*1.6*1.6*2.2*2.715*2.6,3540000000*(1.579646^(MIN($E1269,123)-117)))*1,0))</f>
        <v>14665133</v>
      </c>
      <c r="Y1269" s="4">
        <f>$E1269+17</f>
        <v>122</v>
      </c>
      <c r="Z1269" s="8">
        <f>IF($J1269=0,0,ROUND(MAX($J1269*1.4*1.5*1.6*1.6*2.2*2.715*2.6*1.4,6020000000*(1.651178^(MIN($E1269,123)-117)))*1,0))</f>
        <v>14657833</v>
      </c>
      <c r="AA1269" s="6">
        <f>$E1269+19</f>
        <v>124</v>
      </c>
      <c r="AB1269" s="7">
        <f>IF($J1269=0,0,ROUND(MAX($J1269*1.4*1.5*1.6*1.6*2.2*2.715*2.6*1.4*1.4,8430000000*(1.651435^(MIN($E1269,123)-117)))*1,0))</f>
        <v>20487537</v>
      </c>
      <c r="AC1269" s="4">
        <f>$E1269+21</f>
        <v>126</v>
      </c>
      <c r="AD1269" s="8">
        <f>IF($J1269=0,0,ROUND(MAX($J1269*1.4*1.5*1.6*1.6*2.2*2.715*2.6*1.4*1.4*1.5,12600000000*(1.652953^(MIN($E1269,123)-117)))*1,0))</f>
        <v>30286179</v>
      </c>
      <c r="AE1269" s="6">
        <f>$E1269+24</f>
        <v>129</v>
      </c>
      <c r="AF1269" s="7">
        <f>IF($J1269=0,0,ROUND(MAX($J1269*1.4*1.5*1.6*1.6*2.2*2.715*2.6*1.4*1.4*1.5*1.5,18900000000*(1.65331^(MIN($E1269,123)-117)))*1,0))</f>
        <v>45311693</v>
      </c>
      <c r="AG1269" s="4">
        <f>$E1269+27</f>
        <v>132</v>
      </c>
      <c r="AH1269" s="8">
        <f>IF($J1269=0,0,ROUND(MAX($J1269*1.4*1.5*1.6*1.6*2.2*2.715*2.6*1.4*1.4*1.5*1.5*3.2,60500000000*(1.654288^(MIN($E1269,123)-117)))*1,0))</f>
        <v>144019713</v>
      </c>
    </row>
    <row r="1270" ht="27.75" customHeight="1" spans="1:34" x14ac:dyDescent="0.25">
      <c r="A1270" s="3">
        <v>1280</v>
      </c>
      <c r="B1270" s="3" t="s">
        <v>674</v>
      </c>
      <c r="C1270" s="3" t="s">
        <v>920</v>
      </c>
      <c r="D1270" s="3" t="s">
        <v>29</v>
      </c>
      <c r="E1270" s="3">
        <v>105</v>
      </c>
      <c r="F1270" s="3" t="s">
        <v>34</v>
      </c>
      <c r="G1270" s="3" t="s">
        <v>675</v>
      </c>
      <c r="H1270" s="3">
        <v>23</v>
      </c>
      <c r="I1270" s="4">
        <v>105</v>
      </c>
      <c r="J1270" s="5">
        <v>24500</v>
      </c>
      <c r="K1270" s="6">
        <f>$E1270+1</f>
        <v>106</v>
      </c>
      <c r="L1270" s="7">
        <f>IF($J1270=0,0,ROUND(MAX($J1270*1.4,1620000*(1.497923^(MIN($E1270,123)-117)))*1,0))</f>
        <v>34300</v>
      </c>
      <c r="M1270" s="4">
        <f>$E1270+2</f>
        <v>107</v>
      </c>
      <c r="N1270" s="8">
        <f>IF($J1270=0,0,ROUND(MAX($J1270*1.4*1.5,2190000*(1.580994^(MIN($E1270,123)-117)))*1,0))</f>
        <v>51450</v>
      </c>
      <c r="O1270" s="6">
        <f>$E1270+4</f>
        <v>109</v>
      </c>
      <c r="P1270" s="7">
        <f>IF($J1270=0,0,ROUND(MAX($J1270*1.4*1.5*1.6,3500000*(1.57975^(MIN($E1270,123)-117)))*1,0))</f>
        <v>82320</v>
      </c>
      <c r="Q1270" s="4">
        <f>$E1270+6</f>
        <v>111</v>
      </c>
      <c r="R1270" s="8">
        <f>IF($J1270=0,0,ROUND(MAX($J1270*1.4*1.5*1.6*1.6,13100000*(1.429962^(MIN($E1270,123)-117)))*1,0))</f>
        <v>179216</v>
      </c>
      <c r="S1270" s="6">
        <f>$E1270+8</f>
        <v>113</v>
      </c>
      <c r="T1270" s="7">
        <f>IF($J1270=0,0,ROUND(MAX($J1270*1.4*1.5*1.6*1.6*2.2,42600000*(1.576904^(MIN($E1270,123)-117)))*1,0))</f>
        <v>289766</v>
      </c>
      <c r="U1270" s="4">
        <f>$E1270+11</f>
        <v>116</v>
      </c>
      <c r="V1270" s="8">
        <f>IF($J1270=0,0,ROUND(MAX($J1270*1.4*1.5*1.6*1.6*2.2*2.715,354000000*(1.642074^(MIN($E1270,123)-117)))*1,0))</f>
        <v>921066</v>
      </c>
      <c r="W1270" s="6">
        <f>$E1270+15</f>
        <v>120</v>
      </c>
      <c r="X1270" s="7">
        <f>IF($J1270=0,0,ROUND(MAX($J1270*1.4*1.5*1.6*1.6*2.2*2.715*2.6,3540000000*(1.579646^(MIN($E1270,123)-117)))*1,0))</f>
        <v>14665133</v>
      </c>
      <c r="Y1270" s="4">
        <f>$E1270+17</f>
        <v>122</v>
      </c>
      <c r="Z1270" s="8">
        <f>IF($J1270=0,0,ROUND(MAX($J1270*1.4*1.5*1.6*1.6*2.2*2.715*2.6*1.4,6020000000*(1.651178^(MIN($E1270,123)-117)))*1,0))</f>
        <v>14657833</v>
      </c>
      <c r="AA1270" s="6">
        <f>$E1270+19</f>
        <v>124</v>
      </c>
      <c r="AB1270" s="7">
        <f>IF($J1270=0,0,ROUND(MAX($J1270*1.4*1.5*1.6*1.6*2.2*2.715*2.6*1.4*1.4,8430000000*(1.651435^(MIN($E1270,123)-117)))*1,0))</f>
        <v>20487537</v>
      </c>
      <c r="AC1270" s="4">
        <f>$E1270+21</f>
        <v>126</v>
      </c>
      <c r="AD1270" s="8">
        <f>IF($J1270=0,0,ROUND(MAX($J1270*1.4*1.5*1.6*1.6*2.2*2.715*2.6*1.4*1.4*1.5,12600000000*(1.652953^(MIN($E1270,123)-117)))*1,0))</f>
        <v>30286179</v>
      </c>
      <c r="AE1270" s="6">
        <f>$E1270+24</f>
        <v>129</v>
      </c>
      <c r="AF1270" s="7">
        <f>IF($J1270=0,0,ROUND(MAX($J1270*1.4*1.5*1.6*1.6*2.2*2.715*2.6*1.4*1.4*1.5*1.5,18900000000*(1.65331^(MIN($E1270,123)-117)))*1,0))</f>
        <v>45311693</v>
      </c>
      <c r="AG1270" s="4">
        <f>$E1270+27</f>
        <v>132</v>
      </c>
      <c r="AH1270" s="8">
        <f>IF($J1270=0,0,ROUND(MAX($J1270*1.4*1.5*1.6*1.6*2.2*2.715*2.6*1.4*1.4*1.5*1.5*3.2,60500000000*(1.654288^(MIN($E1270,123)-117)))*1,0))</f>
        <v>144019713</v>
      </c>
    </row>
    <row r="1271" ht="27.75" customHeight="1" spans="1:34" x14ac:dyDescent="0.25">
      <c r="A1271" s="3">
        <v>1281</v>
      </c>
      <c r="B1271" s="3" t="s">
        <v>943</v>
      </c>
      <c r="C1271" s="3" t="s">
        <v>920</v>
      </c>
      <c r="D1271" s="3" t="s">
        <v>45</v>
      </c>
      <c r="E1271" s="3">
        <v>105</v>
      </c>
      <c r="F1271" s="3" t="s">
        <v>212</v>
      </c>
      <c r="G1271" s="3" t="s">
        <v>921</v>
      </c>
      <c r="H1271" s="3">
        <v>23</v>
      </c>
      <c r="I1271" s="4">
        <v>105</v>
      </c>
      <c r="J1271" s="5">
        <v>25700</v>
      </c>
      <c r="K1271" s="6">
        <f>$E1271+1</f>
        <v>106</v>
      </c>
      <c r="L1271" s="7">
        <f>IF($J1271=0,0,ROUND(MAX($J1271*1.4,1620000*(1.497923^(MIN($E1271,123)-117)))*1,0))</f>
        <v>35980</v>
      </c>
      <c r="M1271" s="4">
        <f>$E1271+2</f>
        <v>107</v>
      </c>
      <c r="N1271" s="8">
        <f>IF($J1271=0,0,ROUND(MAX($J1271*1.4*1.5,2190000*(1.580994^(MIN($E1271,123)-117)))*1,0))</f>
        <v>53970</v>
      </c>
      <c r="O1271" s="6">
        <f>$E1271+4</f>
        <v>109</v>
      </c>
      <c r="P1271" s="7">
        <f>IF($J1271=0,0,ROUND(MAX($J1271*1.4*1.5*1.6,3500000*(1.57975^(MIN($E1271,123)-117)))*1,0))</f>
        <v>86352</v>
      </c>
      <c r="Q1271" s="4">
        <f>$E1271+6</f>
        <v>111</v>
      </c>
      <c r="R1271" s="8">
        <f>IF($J1271=0,0,ROUND(MAX($J1271*1.4*1.5*1.6*1.6,13100000*(1.429962^(MIN($E1271,123)-117)))*1,0))</f>
        <v>179216</v>
      </c>
      <c r="S1271" s="6">
        <f>$E1271+8</f>
        <v>113</v>
      </c>
      <c r="T1271" s="7">
        <f>IF($J1271=0,0,ROUND(MAX($J1271*1.4*1.5*1.6*1.6*2.2,42600000*(1.576904^(MIN($E1271,123)-117)))*1,0))</f>
        <v>303959</v>
      </c>
      <c r="U1271" s="4">
        <f>$E1271+11</f>
        <v>116</v>
      </c>
      <c r="V1271" s="8">
        <f>IF($J1271=0,0,ROUND(MAX($J1271*1.4*1.5*1.6*1.6*2.2*2.715,354000000*(1.642074^(MIN($E1271,123)-117)))*1,0))</f>
        <v>921066</v>
      </c>
      <c r="W1271" s="6">
        <f>$E1271+15</f>
        <v>120</v>
      </c>
      <c r="X1271" s="7">
        <f>IF($J1271=0,0,ROUND(MAX($J1271*1.4*1.5*1.6*1.6*2.2*2.715*2.6,3540000000*(1.579646^(MIN($E1271,123)-117)))*1,0))</f>
        <v>14665133</v>
      </c>
      <c r="Y1271" s="4">
        <f>$E1271+17</f>
        <v>122</v>
      </c>
      <c r="Z1271" s="8">
        <f>IF($J1271=0,0,ROUND(MAX($J1271*1.4*1.5*1.6*1.6*2.2*2.715*2.6*1.4,6020000000*(1.651178^(MIN($E1271,123)-117)))*1,0))</f>
        <v>14657833</v>
      </c>
      <c r="AA1271" s="6">
        <f>$E1271+19</f>
        <v>124</v>
      </c>
      <c r="AB1271" s="7">
        <f>IF($J1271=0,0,ROUND(MAX($J1271*1.4*1.5*1.6*1.6*2.2*2.715*2.6*1.4*1.4,8430000000*(1.651435^(MIN($E1271,123)-117)))*1,0))</f>
        <v>20487537</v>
      </c>
      <c r="AC1271" s="4">
        <f>$E1271+21</f>
        <v>126</v>
      </c>
      <c r="AD1271" s="8">
        <f>IF($J1271=0,0,ROUND(MAX($J1271*1.4*1.5*1.6*1.6*2.2*2.715*2.6*1.4*1.4*1.5,12600000000*(1.652953^(MIN($E1271,123)-117)))*1,0))</f>
        <v>30286179</v>
      </c>
      <c r="AE1271" s="6">
        <f>$E1271+24</f>
        <v>129</v>
      </c>
      <c r="AF1271" s="7">
        <f>IF($J1271=0,0,ROUND(MAX($J1271*1.4*1.5*1.6*1.6*2.2*2.715*2.6*1.4*1.4*1.5*1.5,18900000000*(1.65331^(MIN($E1271,123)-117)))*1,0))</f>
        <v>45311693</v>
      </c>
      <c r="AG1271" s="4">
        <f>$E1271+27</f>
        <v>132</v>
      </c>
      <c r="AH1271" s="8">
        <f>IF($J1271=0,0,ROUND(MAX($J1271*1.4*1.5*1.6*1.6*2.2*2.715*2.6*1.4*1.4*1.5*1.5*3.2,60500000000*(1.654288^(MIN($E1271,123)-117)))*1,0))</f>
        <v>144019713</v>
      </c>
    </row>
    <row r="1272" ht="27.75" customHeight="1" spans="1:34" x14ac:dyDescent="0.25">
      <c r="A1272" s="3">
        <v>1282</v>
      </c>
      <c r="B1272" s="3" t="s">
        <v>944</v>
      </c>
      <c r="C1272" s="3" t="s">
        <v>920</v>
      </c>
      <c r="D1272" s="3" t="s">
        <v>331</v>
      </c>
      <c r="E1272" s="3">
        <v>105</v>
      </c>
      <c r="F1272" s="3" t="s">
        <v>71</v>
      </c>
      <c r="G1272" s="3" t="s">
        <v>921</v>
      </c>
      <c r="H1272" s="3">
        <v>23</v>
      </c>
      <c r="I1272" s="4">
        <v>105</v>
      </c>
      <c r="J1272" s="5">
        <v>13800</v>
      </c>
      <c r="K1272" s="6">
        <f>$E1272+1</f>
        <v>106</v>
      </c>
      <c r="L1272" s="7">
        <f>IF($J1272=0,0,ROUND(MAX($J1272*1.4,1620000*(1.497923^(MIN($E1272,123)-117)))*1,0))</f>
        <v>19320</v>
      </c>
      <c r="M1272" s="4">
        <f>$E1272+2</f>
        <v>107</v>
      </c>
      <c r="N1272" s="8">
        <f>IF($J1272=0,0,ROUND(MAX($J1272*1.4*1.5,2190000*(1.580994^(MIN($E1272,123)-117)))*1,0))</f>
        <v>28980</v>
      </c>
      <c r="O1272" s="6">
        <f>$E1272+4</f>
        <v>109</v>
      </c>
      <c r="P1272" s="7">
        <f>IF($J1272=0,0,ROUND(MAX($J1272*1.4*1.5*1.6,3500000*(1.57975^(MIN($E1272,123)-117)))*1,0))</f>
        <v>46368</v>
      </c>
      <c r="Q1272" s="4">
        <f>$E1272+6</f>
        <v>111</v>
      </c>
      <c r="R1272" s="8">
        <f>IF($J1272=0,0,ROUND(MAX($J1272*1.4*1.5*1.6*1.6,13100000*(1.429962^(MIN($E1272,123)-117)))*1,0))</f>
        <v>179216</v>
      </c>
      <c r="S1272" s="6">
        <f>$E1272+8</f>
        <v>113</v>
      </c>
      <c r="T1272" s="7">
        <f>IF($J1272=0,0,ROUND(MAX($J1272*1.4*1.5*1.6*1.6*2.2,42600000*(1.576904^(MIN($E1272,123)-117)))*1,0))</f>
        <v>180197</v>
      </c>
      <c r="U1272" s="4">
        <f>$E1272+11</f>
        <v>116</v>
      </c>
      <c r="V1272" s="8">
        <f>IF($J1272=0,0,ROUND(MAX($J1272*1.4*1.5*1.6*1.6*2.2*2.715,354000000*(1.642074^(MIN($E1272,123)-117)))*1,0))</f>
        <v>921066</v>
      </c>
      <c r="W1272" s="6">
        <f>$E1272+15</f>
        <v>120</v>
      </c>
      <c r="X1272" s="7">
        <f>IF($J1272=0,0,ROUND(MAX($J1272*1.4*1.5*1.6*1.6*2.2*2.715*2.6,3540000000*(1.579646^(MIN($E1272,123)-117)))*1,0))</f>
        <v>14665133</v>
      </c>
      <c r="Y1272" s="4">
        <f>$E1272+17</f>
        <v>122</v>
      </c>
      <c r="Z1272" s="8">
        <f>IF($J1272=0,0,ROUND(MAX($J1272*1.4*1.5*1.6*1.6*2.2*2.715*2.6*1.4,6020000000*(1.651178^(MIN($E1272,123)-117)))*1,0))</f>
        <v>14657833</v>
      </c>
      <c r="AA1272" s="6">
        <f>$E1272+19</f>
        <v>124</v>
      </c>
      <c r="AB1272" s="7">
        <f>IF($J1272=0,0,ROUND(MAX($J1272*1.4*1.5*1.6*1.6*2.2*2.715*2.6*1.4*1.4,8430000000*(1.651435^(MIN($E1272,123)-117)))*1,0))</f>
        <v>20487537</v>
      </c>
      <c r="AC1272" s="4">
        <f>$E1272+21</f>
        <v>126</v>
      </c>
      <c r="AD1272" s="8">
        <f>IF($J1272=0,0,ROUND(MAX($J1272*1.4*1.5*1.6*1.6*2.2*2.715*2.6*1.4*1.4*1.5,12600000000*(1.652953^(MIN($E1272,123)-117)))*1,0))</f>
        <v>30286179</v>
      </c>
      <c r="AE1272" s="6">
        <f>$E1272+24</f>
        <v>129</v>
      </c>
      <c r="AF1272" s="7">
        <f>IF($J1272=0,0,ROUND(MAX($J1272*1.4*1.5*1.6*1.6*2.2*2.715*2.6*1.4*1.4*1.5*1.5,18900000000*(1.65331^(MIN($E1272,123)-117)))*1,0))</f>
        <v>45311693</v>
      </c>
      <c r="AG1272" s="4">
        <f>$E1272+27</f>
        <v>132</v>
      </c>
      <c r="AH1272" s="8">
        <f>IF($J1272=0,0,ROUND(MAX($J1272*1.4*1.5*1.6*1.6*2.2*2.715*2.6*1.4*1.4*1.5*1.5*3.2,60500000000*(1.654288^(MIN($E1272,123)-117)))*1,0))</f>
        <v>144019713</v>
      </c>
    </row>
    <row r="1273" ht="27.75" customHeight="1" spans="1:34" x14ac:dyDescent="0.25">
      <c r="A1273" s="3">
        <v>1283</v>
      </c>
      <c r="B1273" s="3" t="s">
        <v>370</v>
      </c>
      <c r="C1273" s="3" t="s">
        <v>920</v>
      </c>
      <c r="D1273" s="3" t="s">
        <v>25</v>
      </c>
      <c r="E1273" s="3">
        <v>105</v>
      </c>
      <c r="F1273" s="3" t="s">
        <v>71</v>
      </c>
      <c r="G1273" s="3" t="s">
        <v>329</v>
      </c>
      <c r="H1273" s="3">
        <v>22</v>
      </c>
      <c r="I1273" s="4">
        <v>105</v>
      </c>
      <c r="J1273" s="5">
        <v>48500</v>
      </c>
      <c r="K1273" s="6">
        <f>$E1273+1</f>
        <v>106</v>
      </c>
      <c r="L1273" s="7">
        <f>IF($J1273=0,0,ROUND(MAX($J1273*1.4,1620000*(1.497923^(MIN($E1273,123)-117)))*1,0))</f>
        <v>67900</v>
      </c>
      <c r="M1273" s="4">
        <f>$E1273+2</f>
        <v>107</v>
      </c>
      <c r="N1273" s="8">
        <f>IF($J1273=0,0,ROUND(MAX($J1273*1.4*1.5,2190000*(1.580994^(MIN($E1273,123)-117)))*1,0))</f>
        <v>101850</v>
      </c>
      <c r="O1273" s="6">
        <f>$E1273+4</f>
        <v>109</v>
      </c>
      <c r="P1273" s="7">
        <f>IF($J1273=0,0,ROUND(MAX($J1273*1.4*1.5*1.6,3500000*(1.57975^(MIN($E1273,123)-117)))*1,0))</f>
        <v>162960</v>
      </c>
      <c r="Q1273" s="4">
        <f>$E1273+6</f>
        <v>111</v>
      </c>
      <c r="R1273" s="8">
        <f>IF($J1273=0,0,ROUND(MAX($J1273*1.4*1.5*1.6*1.6,13100000*(1.429962^(MIN($E1273,123)-117)))*1,0))</f>
        <v>260736</v>
      </c>
      <c r="S1273" s="6">
        <f>$E1273+8</f>
        <v>113</v>
      </c>
      <c r="T1273" s="7">
        <f>IF($J1273=0,0,ROUND(MAX($J1273*1.4*1.5*1.6*1.6*2.2,42600000*(1.576904^(MIN($E1273,123)-117)))*1,0))</f>
        <v>573619</v>
      </c>
      <c r="U1273" s="4">
        <f>$E1273+11</f>
        <v>116</v>
      </c>
      <c r="V1273" s="8">
        <f>IF($J1273=0,0,ROUND(MAX($J1273*1.4*1.5*1.6*1.6*2.2*2.715,354000000*(1.642074^(MIN($E1273,123)-117)))*1,0))</f>
        <v>1557376</v>
      </c>
      <c r="W1273" s="6">
        <f>$E1273+15</f>
        <v>120</v>
      </c>
      <c r="X1273" s="7">
        <f>IF($J1273=0,0,ROUND(MAX($J1273*1.4*1.5*1.6*1.6*2.2*2.715*2.6,3540000000*(1.579646^(MIN($E1273,123)-117)))*1,0))</f>
        <v>14665133</v>
      </c>
      <c r="Y1273" s="4">
        <f>$E1273+17</f>
        <v>122</v>
      </c>
      <c r="Z1273" s="8">
        <f>IF($J1273=0,0,ROUND(MAX($J1273*1.4*1.5*1.6*1.6*2.2*2.715*2.6*1.4,6020000000*(1.651178^(MIN($E1273,123)-117)))*1,0))</f>
        <v>14657833</v>
      </c>
      <c r="AA1273" s="6">
        <f>$E1273+19</f>
        <v>124</v>
      </c>
      <c r="AB1273" s="7">
        <f>IF($J1273=0,0,ROUND(MAX($J1273*1.4*1.5*1.6*1.6*2.2*2.715*2.6*1.4*1.4,8430000000*(1.651435^(MIN($E1273,123)-117)))*1,0))</f>
        <v>20487537</v>
      </c>
      <c r="AC1273" s="4">
        <f>$E1273+21</f>
        <v>126</v>
      </c>
      <c r="AD1273" s="8">
        <f>IF($J1273=0,0,ROUND(MAX($J1273*1.4*1.5*1.6*1.6*2.2*2.715*2.6*1.4*1.4*1.5,12600000000*(1.652953^(MIN($E1273,123)-117)))*1,0))</f>
        <v>30286179</v>
      </c>
      <c r="AE1273" s="6">
        <f>$E1273+24</f>
        <v>129</v>
      </c>
      <c r="AF1273" s="7">
        <f>IF($J1273=0,0,ROUND(MAX($J1273*1.4*1.5*1.6*1.6*2.2*2.715*2.6*1.4*1.4*1.5*1.5,18900000000*(1.65331^(MIN($E1273,123)-117)))*1,0))</f>
        <v>45311693</v>
      </c>
      <c r="AG1273" s="4">
        <f>$E1273+27</f>
        <v>132</v>
      </c>
      <c r="AH1273" s="8">
        <f>IF($J1273=0,0,ROUND(MAX($J1273*1.4*1.5*1.6*1.6*2.2*2.715*2.6*1.4*1.4*1.5*1.5*3.2,60500000000*(1.654288^(MIN($E1273,123)-117)))*1,0))</f>
        <v>144019713</v>
      </c>
    </row>
    <row r="1274" ht="27.75" customHeight="1" spans="1:34" x14ac:dyDescent="0.25">
      <c r="A1274" s="3">
        <v>1284</v>
      </c>
      <c r="B1274" s="3" t="s">
        <v>945</v>
      </c>
      <c r="C1274" s="3" t="s">
        <v>920</v>
      </c>
      <c r="D1274" s="3" t="s">
        <v>45</v>
      </c>
      <c r="E1274" s="3">
        <v>105</v>
      </c>
      <c r="F1274" s="3" t="s">
        <v>42</v>
      </c>
      <c r="G1274" s="3" t="s">
        <v>595</v>
      </c>
      <c r="H1274" s="3">
        <v>22</v>
      </c>
      <c r="I1274" s="4">
        <v>105</v>
      </c>
      <c r="J1274" s="5">
        <v>52600</v>
      </c>
      <c r="K1274" s="6">
        <f>$E1274+1</f>
        <v>106</v>
      </c>
      <c r="L1274" s="7">
        <f>IF($J1274=0,0,ROUND(MAX($J1274*1.4,1620000*(1.497923^(MIN($E1274,123)-117)))*1,0))</f>
        <v>73640</v>
      </c>
      <c r="M1274" s="4">
        <f>$E1274+2</f>
        <v>107</v>
      </c>
      <c r="N1274" s="8">
        <f>IF($J1274=0,0,ROUND(MAX($J1274*1.4*1.5,2190000*(1.580994^(MIN($E1274,123)-117)))*1,0))</f>
        <v>110460</v>
      </c>
      <c r="O1274" s="6">
        <f>$E1274+4</f>
        <v>109</v>
      </c>
      <c r="P1274" s="7">
        <f>IF($J1274=0,0,ROUND(MAX($J1274*1.4*1.5*1.6,3500000*(1.57975^(MIN($E1274,123)-117)))*1,0))</f>
        <v>176736</v>
      </c>
      <c r="Q1274" s="4">
        <f>$E1274+6</f>
        <v>111</v>
      </c>
      <c r="R1274" s="8">
        <f>IF($J1274=0,0,ROUND(MAX($J1274*1.4*1.5*1.6*1.6,13100000*(1.429962^(MIN($E1274,123)-117)))*1,0))</f>
        <v>282778</v>
      </c>
      <c r="S1274" s="6">
        <f>$E1274+8</f>
        <v>113</v>
      </c>
      <c r="T1274" s="7">
        <f>IF($J1274=0,0,ROUND(MAX($J1274*1.4*1.5*1.6*1.6*2.2,42600000*(1.576904^(MIN($E1274,123)-117)))*1,0))</f>
        <v>622111</v>
      </c>
      <c r="U1274" s="4">
        <f>$E1274+11</f>
        <v>116</v>
      </c>
      <c r="V1274" s="8">
        <f>IF($J1274=0,0,ROUND(MAX($J1274*1.4*1.5*1.6*1.6*2.2*2.715,354000000*(1.642074^(MIN($E1274,123)-117)))*1,0))</f>
        <v>1689031</v>
      </c>
      <c r="W1274" s="6">
        <f>$E1274+15</f>
        <v>120</v>
      </c>
      <c r="X1274" s="7">
        <f>IF($J1274=0,0,ROUND(MAX($J1274*1.4*1.5*1.6*1.6*2.2*2.715*2.6,3540000000*(1.579646^(MIN($E1274,123)-117)))*1,0))</f>
        <v>14665133</v>
      </c>
      <c r="Y1274" s="4">
        <f>$E1274+17</f>
        <v>122</v>
      </c>
      <c r="Z1274" s="8">
        <f>IF($J1274=0,0,ROUND(MAX($J1274*1.4*1.5*1.6*1.6*2.2*2.715*2.6*1.4,6020000000*(1.651178^(MIN($E1274,123)-117)))*1,0))</f>
        <v>14657833</v>
      </c>
      <c r="AA1274" s="6">
        <f>$E1274+19</f>
        <v>124</v>
      </c>
      <c r="AB1274" s="7">
        <f>IF($J1274=0,0,ROUND(MAX($J1274*1.4*1.5*1.6*1.6*2.2*2.715*2.6*1.4*1.4,8430000000*(1.651435^(MIN($E1274,123)-117)))*1,0))</f>
        <v>20487537</v>
      </c>
      <c r="AC1274" s="4">
        <f>$E1274+21</f>
        <v>126</v>
      </c>
      <c r="AD1274" s="8">
        <f>IF($J1274=0,0,ROUND(MAX($J1274*1.4*1.5*1.6*1.6*2.2*2.715*2.6*1.4*1.4*1.5,12600000000*(1.652953^(MIN($E1274,123)-117)))*1,0))</f>
        <v>30286179</v>
      </c>
      <c r="AE1274" s="6">
        <f>$E1274+24</f>
        <v>129</v>
      </c>
      <c r="AF1274" s="7">
        <f>IF($J1274=0,0,ROUND(MAX($J1274*1.4*1.5*1.6*1.6*2.2*2.715*2.6*1.4*1.4*1.5*1.5,18900000000*(1.65331^(MIN($E1274,123)-117)))*1,0))</f>
        <v>45311693</v>
      </c>
      <c r="AG1274" s="4">
        <f>$E1274+27</f>
        <v>132</v>
      </c>
      <c r="AH1274" s="8">
        <f>IF($J1274=0,0,ROUND(MAX($J1274*1.4*1.5*1.6*1.6*2.2*2.715*2.6*1.4*1.4*1.5*1.5*3.2,60500000000*(1.654288^(MIN($E1274,123)-117)))*1,0))</f>
        <v>144019713</v>
      </c>
    </row>
    <row r="1275" ht="27.75" customHeight="1" spans="1:34" x14ac:dyDescent="0.25">
      <c r="A1275" s="3">
        <v>1285</v>
      </c>
      <c r="B1275" s="3" t="s">
        <v>861</v>
      </c>
      <c r="C1275" s="3" t="s">
        <v>920</v>
      </c>
      <c r="D1275" s="3" t="s">
        <v>75</v>
      </c>
      <c r="E1275" s="3">
        <v>105</v>
      </c>
      <c r="F1275" s="3" t="s">
        <v>42</v>
      </c>
      <c r="G1275" s="3" t="s">
        <v>921</v>
      </c>
      <c r="H1275" s="3">
        <v>22</v>
      </c>
      <c r="I1275" s="4">
        <v>105</v>
      </c>
      <c r="J1275" s="5">
        <v>23000</v>
      </c>
      <c r="K1275" s="6">
        <f>$E1275+1</f>
        <v>106</v>
      </c>
      <c r="L1275" s="7">
        <f>IF($J1275=0,0,ROUND(MAX($J1275*1.4,1620000*(1.497923^(MIN($E1275,123)-117)))*1,0))</f>
        <v>32200</v>
      </c>
      <c r="M1275" s="4">
        <f>$E1275+2</f>
        <v>107</v>
      </c>
      <c r="N1275" s="8">
        <f>IF($J1275=0,0,ROUND(MAX($J1275*1.4*1.5,2190000*(1.580994^(MIN($E1275,123)-117)))*1,0))</f>
        <v>48300</v>
      </c>
      <c r="O1275" s="6">
        <f>$E1275+4</f>
        <v>109</v>
      </c>
      <c r="P1275" s="7">
        <f>IF($J1275=0,0,ROUND(MAX($J1275*1.4*1.5*1.6,3500000*(1.57975^(MIN($E1275,123)-117)))*1,0))</f>
        <v>77280</v>
      </c>
      <c r="Q1275" s="4">
        <f>$E1275+6</f>
        <v>111</v>
      </c>
      <c r="R1275" s="8">
        <f>IF($J1275=0,0,ROUND(MAX($J1275*1.4*1.5*1.6*1.6,13100000*(1.429962^(MIN($E1275,123)-117)))*1,0))</f>
        <v>179216</v>
      </c>
      <c r="S1275" s="6">
        <f>$E1275+8</f>
        <v>113</v>
      </c>
      <c r="T1275" s="7">
        <f>IF($J1275=0,0,ROUND(MAX($J1275*1.4*1.5*1.6*1.6*2.2,42600000*(1.576904^(MIN($E1275,123)-117)))*1,0))</f>
        <v>272026</v>
      </c>
      <c r="U1275" s="4">
        <f>$E1275+11</f>
        <v>116</v>
      </c>
      <c r="V1275" s="8">
        <f>IF($J1275=0,0,ROUND(MAX($J1275*1.4*1.5*1.6*1.6*2.2*2.715,354000000*(1.642074^(MIN($E1275,123)-117)))*1,0))</f>
        <v>921066</v>
      </c>
      <c r="W1275" s="6">
        <f>$E1275+15</f>
        <v>120</v>
      </c>
      <c r="X1275" s="7">
        <f>IF($J1275=0,0,ROUND(MAX($J1275*1.4*1.5*1.6*1.6*2.2*2.715*2.6,3540000000*(1.579646^(MIN($E1275,123)-117)))*1,0))</f>
        <v>14665133</v>
      </c>
      <c r="Y1275" s="4">
        <f>$E1275+17</f>
        <v>122</v>
      </c>
      <c r="Z1275" s="8">
        <f>IF($J1275=0,0,ROUND(MAX($J1275*1.4*1.5*1.6*1.6*2.2*2.715*2.6*1.4,6020000000*(1.651178^(MIN($E1275,123)-117)))*1,0))</f>
        <v>14657833</v>
      </c>
      <c r="AA1275" s="6">
        <f>$E1275+19</f>
        <v>124</v>
      </c>
      <c r="AB1275" s="7">
        <f>IF($J1275=0,0,ROUND(MAX($J1275*1.4*1.5*1.6*1.6*2.2*2.715*2.6*1.4*1.4,8430000000*(1.651435^(MIN($E1275,123)-117)))*1,0))</f>
        <v>20487537</v>
      </c>
      <c r="AC1275" s="4">
        <f>$E1275+21</f>
        <v>126</v>
      </c>
      <c r="AD1275" s="8">
        <f>IF($J1275=0,0,ROUND(MAX($J1275*1.4*1.5*1.6*1.6*2.2*2.715*2.6*1.4*1.4*1.5,12600000000*(1.652953^(MIN($E1275,123)-117)))*1,0))</f>
        <v>30286179</v>
      </c>
      <c r="AE1275" s="6">
        <f>$E1275+24</f>
        <v>129</v>
      </c>
      <c r="AF1275" s="7">
        <f>IF($J1275=0,0,ROUND(MAX($J1275*1.4*1.5*1.6*1.6*2.2*2.715*2.6*1.4*1.4*1.5*1.5,18900000000*(1.65331^(MIN($E1275,123)-117)))*1,0))</f>
        <v>45311693</v>
      </c>
      <c r="AG1275" s="4">
        <f>$E1275+27</f>
        <v>132</v>
      </c>
      <c r="AH1275" s="8">
        <f>IF($J1275=0,0,ROUND(MAX($J1275*1.4*1.5*1.6*1.6*2.2*2.715*2.6*1.4*1.4*1.5*1.5*3.2,60500000000*(1.654288^(MIN($E1275,123)-117)))*1,0))</f>
        <v>144019713</v>
      </c>
    </row>
    <row r="1276" ht="27.75" customHeight="1" spans="1:34" x14ac:dyDescent="0.25">
      <c r="A1276" s="3">
        <v>1286</v>
      </c>
      <c r="B1276" s="3" t="s">
        <v>568</v>
      </c>
      <c r="C1276" s="3" t="s">
        <v>920</v>
      </c>
      <c r="D1276" s="3" t="s">
        <v>33</v>
      </c>
      <c r="E1276" s="3">
        <v>105</v>
      </c>
      <c r="F1276" s="3" t="s">
        <v>34</v>
      </c>
      <c r="G1276" s="3" t="s">
        <v>569</v>
      </c>
      <c r="H1276" s="3">
        <v>22</v>
      </c>
      <c r="I1276" s="4">
        <v>105</v>
      </c>
      <c r="J1276" s="5">
        <v>31100</v>
      </c>
      <c r="K1276" s="6">
        <f>$E1276+1</f>
        <v>106</v>
      </c>
      <c r="L1276" s="7">
        <f>IF($J1276=0,0,ROUND(MAX($J1276*1.4,1620000*(1.497923^(MIN($E1276,123)-117)))*1,0))</f>
        <v>43540</v>
      </c>
      <c r="M1276" s="4">
        <f>$E1276+2</f>
        <v>107</v>
      </c>
      <c r="N1276" s="8">
        <f>IF($J1276=0,0,ROUND(MAX($J1276*1.4*1.5,2190000*(1.580994^(MIN($E1276,123)-117)))*1,0))</f>
        <v>65310</v>
      </c>
      <c r="O1276" s="6">
        <f>$E1276+4</f>
        <v>109</v>
      </c>
      <c r="P1276" s="7">
        <f>IF($J1276=0,0,ROUND(MAX($J1276*1.4*1.5*1.6,3500000*(1.57975^(MIN($E1276,123)-117)))*1,0))</f>
        <v>104496</v>
      </c>
      <c r="Q1276" s="4">
        <f>$E1276+6</f>
        <v>111</v>
      </c>
      <c r="R1276" s="8">
        <f>IF($J1276=0,0,ROUND(MAX($J1276*1.4*1.5*1.6*1.6,13100000*(1.429962^(MIN($E1276,123)-117)))*1,0))</f>
        <v>179216</v>
      </c>
      <c r="S1276" s="6">
        <f>$E1276+8</f>
        <v>113</v>
      </c>
      <c r="T1276" s="7">
        <f>IF($J1276=0,0,ROUND(MAX($J1276*1.4*1.5*1.6*1.6*2.2,42600000*(1.576904^(MIN($E1276,123)-117)))*1,0))</f>
        <v>367826</v>
      </c>
      <c r="U1276" s="4">
        <f>$E1276+11</f>
        <v>116</v>
      </c>
      <c r="V1276" s="8">
        <f>IF($J1276=0,0,ROUND(MAX($J1276*1.4*1.5*1.6*1.6*2.2*2.715,354000000*(1.642074^(MIN($E1276,123)-117)))*1,0))</f>
        <v>998647</v>
      </c>
      <c r="W1276" s="6">
        <f>$E1276+15</f>
        <v>120</v>
      </c>
      <c r="X1276" s="7">
        <f>IF($J1276=0,0,ROUND(MAX($J1276*1.4*1.5*1.6*1.6*2.2*2.715*2.6,3540000000*(1.579646^(MIN($E1276,123)-117)))*1,0))</f>
        <v>14665133</v>
      </c>
      <c r="Y1276" s="4">
        <f>$E1276+17</f>
        <v>122</v>
      </c>
      <c r="Z1276" s="8">
        <f>IF($J1276=0,0,ROUND(MAX($J1276*1.4*1.5*1.6*1.6*2.2*2.715*2.6*1.4,6020000000*(1.651178^(MIN($E1276,123)-117)))*1,0))</f>
        <v>14657833</v>
      </c>
      <c r="AA1276" s="6">
        <f>$E1276+19</f>
        <v>124</v>
      </c>
      <c r="AB1276" s="7">
        <f>IF($J1276=0,0,ROUND(MAX($J1276*1.4*1.5*1.6*1.6*2.2*2.715*2.6*1.4*1.4,8430000000*(1.651435^(MIN($E1276,123)-117)))*1,0))</f>
        <v>20487537</v>
      </c>
      <c r="AC1276" s="4">
        <f>$E1276+21</f>
        <v>126</v>
      </c>
      <c r="AD1276" s="8">
        <f>IF($J1276=0,0,ROUND(MAX($J1276*1.4*1.5*1.6*1.6*2.2*2.715*2.6*1.4*1.4*1.5,12600000000*(1.652953^(MIN($E1276,123)-117)))*1,0))</f>
        <v>30286179</v>
      </c>
      <c r="AE1276" s="6">
        <f>$E1276+24</f>
        <v>129</v>
      </c>
      <c r="AF1276" s="7">
        <f>IF($J1276=0,0,ROUND(MAX($J1276*1.4*1.5*1.6*1.6*2.2*2.715*2.6*1.4*1.4*1.5*1.5,18900000000*(1.65331^(MIN($E1276,123)-117)))*1,0))</f>
        <v>45311693</v>
      </c>
      <c r="AG1276" s="4">
        <f>$E1276+27</f>
        <v>132</v>
      </c>
      <c r="AH1276" s="8">
        <f>IF($J1276=0,0,ROUND(MAX($J1276*1.4*1.5*1.6*1.6*2.2*2.715*2.6*1.4*1.4*1.5*1.5*3.2,60500000000*(1.654288^(MIN($E1276,123)-117)))*1,0))</f>
        <v>144019713</v>
      </c>
    </row>
    <row r="1277" ht="27.75" customHeight="1" spans="1:34" x14ac:dyDescent="0.25">
      <c r="A1277" s="3">
        <v>1287</v>
      </c>
      <c r="B1277" s="3" t="s">
        <v>946</v>
      </c>
      <c r="C1277" s="3" t="s">
        <v>920</v>
      </c>
      <c r="D1277" s="3" t="s">
        <v>64</v>
      </c>
      <c r="E1277" s="3">
        <v>105</v>
      </c>
      <c r="F1277" s="3" t="s">
        <v>30</v>
      </c>
      <c r="G1277" s="3" t="s">
        <v>921</v>
      </c>
      <c r="H1277" s="3">
        <v>22</v>
      </c>
      <c r="I1277" s="4">
        <v>105</v>
      </c>
      <c r="J1277" s="5">
        <v>10400</v>
      </c>
      <c r="K1277" s="6">
        <f>$E1277+1</f>
        <v>106</v>
      </c>
      <c r="L1277" s="7">
        <f>IF($J1277=0,0,ROUND(MAX($J1277*1.4,1620000*(1.497923^(MIN($E1277,123)-117)))*1,0))</f>
        <v>14560</v>
      </c>
      <c r="M1277" s="4">
        <f>$E1277+2</f>
        <v>107</v>
      </c>
      <c r="N1277" s="8">
        <f>IF($J1277=0,0,ROUND(MAX($J1277*1.4*1.5,2190000*(1.580994^(MIN($E1277,123)-117)))*1,0))</f>
        <v>21840</v>
      </c>
      <c r="O1277" s="6">
        <f>$E1277+4</f>
        <v>109</v>
      </c>
      <c r="P1277" s="7">
        <f>IF($J1277=0,0,ROUND(MAX($J1277*1.4*1.5*1.6,3500000*(1.57975^(MIN($E1277,123)-117)))*1,0))</f>
        <v>34944</v>
      </c>
      <c r="Q1277" s="4">
        <f>$E1277+6</f>
        <v>111</v>
      </c>
      <c r="R1277" s="8">
        <f>IF($J1277=0,0,ROUND(MAX($J1277*1.4*1.5*1.6*1.6,13100000*(1.429962^(MIN($E1277,123)-117)))*1,0))</f>
        <v>179216</v>
      </c>
      <c r="S1277" s="6">
        <f>$E1277+8</f>
        <v>113</v>
      </c>
      <c r="T1277" s="7">
        <f>IF($J1277=0,0,ROUND(MAX($J1277*1.4*1.5*1.6*1.6*2.2,42600000*(1.576904^(MIN($E1277,123)-117)))*1,0))</f>
        <v>180197</v>
      </c>
      <c r="U1277" s="4">
        <f>$E1277+11</f>
        <v>116</v>
      </c>
      <c r="V1277" s="8">
        <f>IF($J1277=0,0,ROUND(MAX($J1277*1.4*1.5*1.6*1.6*2.2*2.715,354000000*(1.642074^(MIN($E1277,123)-117)))*1,0))</f>
        <v>921066</v>
      </c>
      <c r="W1277" s="6">
        <f>$E1277+15</f>
        <v>120</v>
      </c>
      <c r="X1277" s="7">
        <f>IF($J1277=0,0,ROUND(MAX($J1277*1.4*1.5*1.6*1.6*2.2*2.715*2.6,3540000000*(1.579646^(MIN($E1277,123)-117)))*1,0))</f>
        <v>14665133</v>
      </c>
      <c r="Y1277" s="4">
        <f>$E1277+17</f>
        <v>122</v>
      </c>
      <c r="Z1277" s="8">
        <f>IF($J1277=0,0,ROUND(MAX($J1277*1.4*1.5*1.6*1.6*2.2*2.715*2.6*1.4,6020000000*(1.651178^(MIN($E1277,123)-117)))*1,0))</f>
        <v>14657833</v>
      </c>
      <c r="AA1277" s="6">
        <f>$E1277+19</f>
        <v>124</v>
      </c>
      <c r="AB1277" s="7">
        <f>IF($J1277=0,0,ROUND(MAX($J1277*1.4*1.5*1.6*1.6*2.2*2.715*2.6*1.4*1.4,8430000000*(1.651435^(MIN($E1277,123)-117)))*1,0))</f>
        <v>20487537</v>
      </c>
      <c r="AC1277" s="4">
        <f>$E1277+21</f>
        <v>126</v>
      </c>
      <c r="AD1277" s="8">
        <f>IF($J1277=0,0,ROUND(MAX($J1277*1.4*1.5*1.6*1.6*2.2*2.715*2.6*1.4*1.4*1.5,12600000000*(1.652953^(MIN($E1277,123)-117)))*1,0))</f>
        <v>30286179</v>
      </c>
      <c r="AE1277" s="6">
        <f>$E1277+24</f>
        <v>129</v>
      </c>
      <c r="AF1277" s="7">
        <f>IF($J1277=0,0,ROUND(MAX($J1277*1.4*1.5*1.6*1.6*2.2*2.715*2.6*1.4*1.4*1.5*1.5,18900000000*(1.65331^(MIN($E1277,123)-117)))*1,0))</f>
        <v>45311693</v>
      </c>
      <c r="AG1277" s="4">
        <f>$E1277+27</f>
        <v>132</v>
      </c>
      <c r="AH1277" s="8">
        <f>IF($J1277=0,0,ROUND(MAX($J1277*1.4*1.5*1.6*1.6*2.2*2.715*2.6*1.4*1.4*1.5*1.5*3.2,60500000000*(1.654288^(MIN($E1277,123)-117)))*1,0))</f>
        <v>144019713</v>
      </c>
    </row>
    <row r="1278" ht="27.75" customHeight="1" spans="1:34" x14ac:dyDescent="0.25">
      <c r="A1278" s="3">
        <v>1288</v>
      </c>
      <c r="B1278" s="3" t="s">
        <v>947</v>
      </c>
      <c r="C1278" s="3" t="s">
        <v>920</v>
      </c>
      <c r="D1278" s="3" t="s">
        <v>33</v>
      </c>
      <c r="E1278" s="3">
        <v>105</v>
      </c>
      <c r="F1278" s="3" t="s">
        <v>71</v>
      </c>
      <c r="G1278" s="3" t="s">
        <v>748</v>
      </c>
      <c r="H1278" s="3">
        <v>22</v>
      </c>
      <c r="I1278" s="4">
        <v>105</v>
      </c>
      <c r="J1278" s="5">
        <v>40600</v>
      </c>
      <c r="K1278" s="6">
        <f>$E1278+1</f>
        <v>106</v>
      </c>
      <c r="L1278" s="7">
        <f>IF($J1278=0,0,ROUND(MAX($J1278*1.4,1620000*(1.497923^(MIN($E1278,123)-117)))*1,0))</f>
        <v>56840</v>
      </c>
      <c r="M1278" s="4">
        <f>$E1278+2</f>
        <v>107</v>
      </c>
      <c r="N1278" s="8">
        <f>IF($J1278=0,0,ROUND(MAX($J1278*1.4*1.5,2190000*(1.580994^(MIN($E1278,123)-117)))*1,0))</f>
        <v>85260</v>
      </c>
      <c r="O1278" s="6">
        <f>$E1278+4</f>
        <v>109</v>
      </c>
      <c r="P1278" s="7">
        <f>IF($J1278=0,0,ROUND(MAX($J1278*1.4*1.5*1.6,3500000*(1.57975^(MIN($E1278,123)-117)))*1,0))</f>
        <v>136416</v>
      </c>
      <c r="Q1278" s="4">
        <f>$E1278+6</f>
        <v>111</v>
      </c>
      <c r="R1278" s="8">
        <f>IF($J1278=0,0,ROUND(MAX($J1278*1.4*1.5*1.6*1.6,13100000*(1.429962^(MIN($E1278,123)-117)))*1,0))</f>
        <v>218266</v>
      </c>
      <c r="S1278" s="6">
        <f>$E1278+8</f>
        <v>113</v>
      </c>
      <c r="T1278" s="7">
        <f>IF($J1278=0,0,ROUND(MAX($J1278*1.4*1.5*1.6*1.6*2.2,42600000*(1.576904^(MIN($E1278,123)-117)))*1,0))</f>
        <v>480184</v>
      </c>
      <c r="U1278" s="4">
        <f>$E1278+11</f>
        <v>116</v>
      </c>
      <c r="V1278" s="8">
        <f>IF($J1278=0,0,ROUND(MAX($J1278*1.4*1.5*1.6*1.6*2.2*2.715,354000000*(1.642074^(MIN($E1278,123)-117)))*1,0))</f>
        <v>1303700</v>
      </c>
      <c r="W1278" s="6">
        <f>$E1278+15</f>
        <v>120</v>
      </c>
      <c r="X1278" s="7">
        <f>IF($J1278=0,0,ROUND(MAX($J1278*1.4*1.5*1.6*1.6*2.2*2.715*2.6,3540000000*(1.579646^(MIN($E1278,123)-117)))*1,0))</f>
        <v>14665133</v>
      </c>
      <c r="Y1278" s="4">
        <f>$E1278+17</f>
        <v>122</v>
      </c>
      <c r="Z1278" s="8">
        <f>IF($J1278=0,0,ROUND(MAX($J1278*1.4*1.5*1.6*1.6*2.2*2.715*2.6*1.4,6020000000*(1.651178^(MIN($E1278,123)-117)))*1,0))</f>
        <v>14657833</v>
      </c>
      <c r="AA1278" s="6">
        <f>$E1278+19</f>
        <v>124</v>
      </c>
      <c r="AB1278" s="7">
        <f>IF($J1278=0,0,ROUND(MAX($J1278*1.4*1.5*1.6*1.6*2.2*2.715*2.6*1.4*1.4,8430000000*(1.651435^(MIN($E1278,123)-117)))*1,0))</f>
        <v>20487537</v>
      </c>
      <c r="AC1278" s="4">
        <f>$E1278+21</f>
        <v>126</v>
      </c>
      <c r="AD1278" s="8">
        <f>IF($J1278=0,0,ROUND(MAX($J1278*1.4*1.5*1.6*1.6*2.2*2.715*2.6*1.4*1.4*1.5,12600000000*(1.652953^(MIN($E1278,123)-117)))*1,0))</f>
        <v>30286179</v>
      </c>
      <c r="AE1278" s="6">
        <f>$E1278+24</f>
        <v>129</v>
      </c>
      <c r="AF1278" s="7">
        <f>IF($J1278=0,0,ROUND(MAX($J1278*1.4*1.5*1.6*1.6*2.2*2.715*2.6*1.4*1.4*1.5*1.5,18900000000*(1.65331^(MIN($E1278,123)-117)))*1,0))</f>
        <v>45311693</v>
      </c>
      <c r="AG1278" s="4">
        <f>$E1278+27</f>
        <v>132</v>
      </c>
      <c r="AH1278" s="8">
        <f>IF($J1278=0,0,ROUND(MAX($J1278*1.4*1.5*1.6*1.6*2.2*2.715*2.6*1.4*1.4*1.5*1.5*3.2,60500000000*(1.654288^(MIN($E1278,123)-117)))*1,0))</f>
        <v>144019713</v>
      </c>
    </row>
    <row r="1279" ht="27.75" customHeight="1" spans="1:34" x14ac:dyDescent="0.25">
      <c r="A1279" s="3">
        <v>1289</v>
      </c>
      <c r="B1279" s="3" t="s">
        <v>948</v>
      </c>
      <c r="C1279" s="3" t="s">
        <v>920</v>
      </c>
      <c r="D1279" s="3" t="s">
        <v>33</v>
      </c>
      <c r="E1279" s="3">
        <v>105</v>
      </c>
      <c r="F1279" s="3" t="s">
        <v>62</v>
      </c>
      <c r="G1279" s="3" t="s">
        <v>921</v>
      </c>
      <c r="H1279" s="3">
        <v>22</v>
      </c>
      <c r="I1279" s="4">
        <v>105</v>
      </c>
      <c r="J1279" s="5">
        <v>16900</v>
      </c>
      <c r="K1279" s="6">
        <f>$E1279+1</f>
        <v>106</v>
      </c>
      <c r="L1279" s="7">
        <f>IF($J1279=0,0,ROUND(MAX($J1279*1.4,1620000*(1.497923^(MIN($E1279,123)-117)))*1,0))</f>
        <v>23660</v>
      </c>
      <c r="M1279" s="4">
        <f>$E1279+2</f>
        <v>107</v>
      </c>
      <c r="N1279" s="8">
        <f>IF($J1279=0,0,ROUND(MAX($J1279*1.4*1.5,2190000*(1.580994^(MIN($E1279,123)-117)))*1,0))</f>
        <v>35490</v>
      </c>
      <c r="O1279" s="6">
        <f>$E1279+4</f>
        <v>109</v>
      </c>
      <c r="P1279" s="7">
        <f>IF($J1279=0,0,ROUND(MAX($J1279*1.4*1.5*1.6,3500000*(1.57975^(MIN($E1279,123)-117)))*1,0))</f>
        <v>56784</v>
      </c>
      <c r="Q1279" s="4">
        <f>$E1279+6</f>
        <v>111</v>
      </c>
      <c r="R1279" s="8">
        <f>IF($J1279=0,0,ROUND(MAX($J1279*1.4*1.5*1.6*1.6,13100000*(1.429962^(MIN($E1279,123)-117)))*1,0))</f>
        <v>179216</v>
      </c>
      <c r="S1279" s="6">
        <f>$E1279+8</f>
        <v>113</v>
      </c>
      <c r="T1279" s="7">
        <f>IF($J1279=0,0,ROUND(MAX($J1279*1.4*1.5*1.6*1.6*2.2,42600000*(1.576904^(MIN($E1279,123)-117)))*1,0))</f>
        <v>199880</v>
      </c>
      <c r="U1279" s="4">
        <f>$E1279+11</f>
        <v>116</v>
      </c>
      <c r="V1279" s="8">
        <f>IF($J1279=0,0,ROUND(MAX($J1279*1.4*1.5*1.6*1.6*2.2*2.715,354000000*(1.642074^(MIN($E1279,123)-117)))*1,0))</f>
        <v>921066</v>
      </c>
      <c r="W1279" s="6">
        <f>$E1279+15</f>
        <v>120</v>
      </c>
      <c r="X1279" s="7">
        <f>IF($J1279=0,0,ROUND(MAX($J1279*1.4*1.5*1.6*1.6*2.2*2.715*2.6,3540000000*(1.579646^(MIN($E1279,123)-117)))*1,0))</f>
        <v>14665133</v>
      </c>
      <c r="Y1279" s="4">
        <f>$E1279+17</f>
        <v>122</v>
      </c>
      <c r="Z1279" s="8">
        <f>IF($J1279=0,0,ROUND(MAX($J1279*1.4*1.5*1.6*1.6*2.2*2.715*2.6*1.4,6020000000*(1.651178^(MIN($E1279,123)-117)))*1,0))</f>
        <v>14657833</v>
      </c>
      <c r="AA1279" s="6">
        <f>$E1279+19</f>
        <v>124</v>
      </c>
      <c r="AB1279" s="7">
        <f>IF($J1279=0,0,ROUND(MAX($J1279*1.4*1.5*1.6*1.6*2.2*2.715*2.6*1.4*1.4,8430000000*(1.651435^(MIN($E1279,123)-117)))*1,0))</f>
        <v>20487537</v>
      </c>
      <c r="AC1279" s="4">
        <f>$E1279+21</f>
        <v>126</v>
      </c>
      <c r="AD1279" s="8">
        <f>IF($J1279=0,0,ROUND(MAX($J1279*1.4*1.5*1.6*1.6*2.2*2.715*2.6*1.4*1.4*1.5,12600000000*(1.652953^(MIN($E1279,123)-117)))*1,0))</f>
        <v>30286179</v>
      </c>
      <c r="AE1279" s="6">
        <f>$E1279+24</f>
        <v>129</v>
      </c>
      <c r="AF1279" s="7">
        <f>IF($J1279=0,0,ROUND(MAX($J1279*1.4*1.5*1.6*1.6*2.2*2.715*2.6*1.4*1.4*1.5*1.5,18900000000*(1.65331^(MIN($E1279,123)-117)))*1,0))</f>
        <v>45311693</v>
      </c>
      <c r="AG1279" s="4">
        <f>$E1279+27</f>
        <v>132</v>
      </c>
      <c r="AH1279" s="8">
        <f>IF($J1279=0,0,ROUND(MAX($J1279*1.4*1.5*1.6*1.6*2.2*2.715*2.6*1.4*1.4*1.5*1.5*3.2,60500000000*(1.654288^(MIN($E1279,123)-117)))*1,0))</f>
        <v>144019713</v>
      </c>
    </row>
    <row r="1280" ht="27.75" customHeight="1" spans="1:34" x14ac:dyDescent="0.25">
      <c r="A1280" s="3">
        <v>1290</v>
      </c>
      <c r="B1280" s="3" t="s">
        <v>949</v>
      </c>
      <c r="C1280" s="3" t="s">
        <v>920</v>
      </c>
      <c r="D1280" s="3" t="s">
        <v>102</v>
      </c>
      <c r="E1280" s="3">
        <v>105</v>
      </c>
      <c r="F1280" s="3" t="s">
        <v>71</v>
      </c>
      <c r="G1280" s="3" t="s">
        <v>921</v>
      </c>
      <c r="H1280" s="3">
        <v>22</v>
      </c>
      <c r="I1280" s="4">
        <v>105</v>
      </c>
      <c r="J1280" s="5">
        <v>36900</v>
      </c>
      <c r="K1280" s="6">
        <f>$E1280+1</f>
        <v>106</v>
      </c>
      <c r="L1280" s="7">
        <f>IF($J1280=0,0,ROUND(MAX($J1280*1.4,1620000*(1.497923^(MIN($E1280,123)-117)))*1,0))</f>
        <v>51660</v>
      </c>
      <c r="M1280" s="4">
        <f>$E1280+2</f>
        <v>107</v>
      </c>
      <c r="N1280" s="8">
        <f>IF($J1280=0,0,ROUND(MAX($J1280*1.4*1.5,2190000*(1.580994^(MIN($E1280,123)-117)))*1,0))</f>
        <v>77490</v>
      </c>
      <c r="O1280" s="6">
        <f>$E1280+4</f>
        <v>109</v>
      </c>
      <c r="P1280" s="7">
        <f>IF($J1280=0,0,ROUND(MAX($J1280*1.4*1.5*1.6,3500000*(1.57975^(MIN($E1280,123)-117)))*1,0))</f>
        <v>123984</v>
      </c>
      <c r="Q1280" s="4">
        <f>$E1280+6</f>
        <v>111</v>
      </c>
      <c r="R1280" s="8">
        <f>IF($J1280=0,0,ROUND(MAX($J1280*1.4*1.5*1.6*1.6,13100000*(1.429962^(MIN($E1280,123)-117)))*1,0))</f>
        <v>198374</v>
      </c>
      <c r="S1280" s="6">
        <f>$E1280+8</f>
        <v>113</v>
      </c>
      <c r="T1280" s="7">
        <f>IF($J1280=0,0,ROUND(MAX($J1280*1.4*1.5*1.6*1.6*2.2,42600000*(1.576904^(MIN($E1280,123)-117)))*1,0))</f>
        <v>436424</v>
      </c>
      <c r="U1280" s="4">
        <f>$E1280+11</f>
        <v>116</v>
      </c>
      <c r="V1280" s="8">
        <f>IF($J1280=0,0,ROUND(MAX($J1280*1.4*1.5*1.6*1.6*2.2*2.715,354000000*(1.642074^(MIN($E1280,123)-117)))*1,0))</f>
        <v>1184890</v>
      </c>
      <c r="W1280" s="6">
        <f>$E1280+15</f>
        <v>120</v>
      </c>
      <c r="X1280" s="7">
        <f>IF($J1280=0,0,ROUND(MAX($J1280*1.4*1.5*1.6*1.6*2.2*2.715*2.6,3540000000*(1.579646^(MIN($E1280,123)-117)))*1,0))</f>
        <v>14665133</v>
      </c>
      <c r="Y1280" s="4">
        <f>$E1280+17</f>
        <v>122</v>
      </c>
      <c r="Z1280" s="8">
        <f>IF($J1280=0,0,ROUND(MAX($J1280*1.4*1.5*1.6*1.6*2.2*2.715*2.6*1.4,6020000000*(1.651178^(MIN($E1280,123)-117)))*1,0))</f>
        <v>14657833</v>
      </c>
      <c r="AA1280" s="6">
        <f>$E1280+19</f>
        <v>124</v>
      </c>
      <c r="AB1280" s="7">
        <f>IF($J1280=0,0,ROUND(MAX($J1280*1.4*1.5*1.6*1.6*2.2*2.715*2.6*1.4*1.4,8430000000*(1.651435^(MIN($E1280,123)-117)))*1,0))</f>
        <v>20487537</v>
      </c>
      <c r="AC1280" s="4">
        <f>$E1280+21</f>
        <v>126</v>
      </c>
      <c r="AD1280" s="8">
        <f>IF($J1280=0,0,ROUND(MAX($J1280*1.4*1.5*1.6*1.6*2.2*2.715*2.6*1.4*1.4*1.5,12600000000*(1.652953^(MIN($E1280,123)-117)))*1,0))</f>
        <v>30286179</v>
      </c>
      <c r="AE1280" s="6">
        <f>$E1280+24</f>
        <v>129</v>
      </c>
      <c r="AF1280" s="7">
        <f>IF($J1280=0,0,ROUND(MAX($J1280*1.4*1.5*1.6*1.6*2.2*2.715*2.6*1.4*1.4*1.5*1.5,18900000000*(1.65331^(MIN($E1280,123)-117)))*1,0))</f>
        <v>45311693</v>
      </c>
      <c r="AG1280" s="4">
        <f>$E1280+27</f>
        <v>132</v>
      </c>
      <c r="AH1280" s="8">
        <f>IF($J1280=0,0,ROUND(MAX($J1280*1.4*1.5*1.6*1.6*2.2*2.715*2.6*1.4*1.4*1.5*1.5*3.2,60500000000*(1.654288^(MIN($E1280,123)-117)))*1,0))</f>
        <v>144019713</v>
      </c>
    </row>
    <row r="1281" ht="27.75" customHeight="1" spans="1:34" x14ac:dyDescent="0.25">
      <c r="A1281" s="3">
        <v>1291</v>
      </c>
      <c r="B1281" s="3" t="s">
        <v>635</v>
      </c>
      <c r="C1281" s="3" t="s">
        <v>920</v>
      </c>
      <c r="D1281" s="3" t="s">
        <v>40</v>
      </c>
      <c r="E1281" s="3">
        <v>104</v>
      </c>
      <c r="F1281" s="3" t="s">
        <v>310</v>
      </c>
      <c r="G1281" s="3" t="s">
        <v>27</v>
      </c>
      <c r="H1281" s="3">
        <v>23</v>
      </c>
      <c r="I1281" s="4">
        <v>104</v>
      </c>
      <c r="J1281" s="5">
        <v>20400</v>
      </c>
      <c r="K1281" s="6">
        <f>$E1281+1</f>
        <v>105</v>
      </c>
      <c r="L1281" s="7">
        <f>IF($J1281=0,0,ROUND(MAX($J1281*1.4,1620000*(1.497923^(MIN($E1281,123)-117)))*1,0))</f>
        <v>28560</v>
      </c>
      <c r="M1281" s="4">
        <f>$E1281+2</f>
        <v>106</v>
      </c>
      <c r="N1281" s="8">
        <f>IF($J1281=0,0,ROUND(MAX($J1281*1.4*1.5,2190000*(1.580994^(MIN($E1281,123)-117)))*1,0))</f>
        <v>42840</v>
      </c>
      <c r="O1281" s="6">
        <f>$E1281+4</f>
        <v>108</v>
      </c>
      <c r="P1281" s="7">
        <f>IF($J1281=0,0,ROUND(MAX($J1281*1.4*1.5*1.6,3500000*(1.57975^(MIN($E1281,123)-117)))*1,0))</f>
        <v>68544</v>
      </c>
      <c r="Q1281" s="4">
        <f>$E1281+6</f>
        <v>110</v>
      </c>
      <c r="R1281" s="8">
        <f>IF($J1281=0,0,ROUND(MAX($J1281*1.4*1.5*1.6*1.6,13100000*(1.429962^(MIN($E1281,123)-117)))*1,0))</f>
        <v>125329</v>
      </c>
      <c r="S1281" s="6">
        <f>$E1281+8</f>
        <v>112</v>
      </c>
      <c r="T1281" s="7">
        <f>IF($J1281=0,0,ROUND(MAX($J1281*1.4*1.5*1.6*1.6*2.2,42600000*(1.576904^(MIN($E1281,123)-117)))*1,0))</f>
        <v>241275</v>
      </c>
      <c r="U1281" s="4">
        <f>$E1281+11</f>
        <v>115</v>
      </c>
      <c r="V1281" s="8">
        <f>IF($J1281=0,0,ROUND(MAX($J1281*1.4*1.5*1.6*1.6*2.2*2.715,354000000*(1.642074^(MIN($E1281,123)-117)))*1,0))</f>
        <v>655061</v>
      </c>
      <c r="W1281" s="6">
        <f>$E1281+15</f>
        <v>119</v>
      </c>
      <c r="X1281" s="7">
        <f>IF($J1281=0,0,ROUND(MAX($J1281*1.4*1.5*1.6*1.6*2.2*2.715*2.6,3540000000*(1.579646^(MIN($E1281,123)-117)))*1,0))</f>
        <v>9283810</v>
      </c>
      <c r="Y1281" s="4">
        <f>$E1281+17</f>
        <v>121</v>
      </c>
      <c r="Z1281" s="8">
        <f>IF($J1281=0,0,ROUND(MAX($J1281*1.4*1.5*1.6*1.6*2.2*2.715*2.6*1.4,6020000000*(1.651178^(MIN($E1281,123)-117)))*1,0))</f>
        <v>8877197</v>
      </c>
      <c r="AA1281" s="6">
        <f>$E1281+19</f>
        <v>123</v>
      </c>
      <c r="AB1281" s="7">
        <f>IF($J1281=0,0,ROUND(MAX($J1281*1.4*1.5*1.6*1.6*2.2*2.715*2.6*1.4*1.4,8430000000*(1.651435^(MIN($E1281,123)-117)))*1,0))</f>
        <v>12405900</v>
      </c>
      <c r="AC1281" s="4">
        <f>$E1281+21</f>
        <v>125</v>
      </c>
      <c r="AD1281" s="8">
        <f>IF($J1281=0,0,ROUND(MAX($J1281*1.4*1.5*1.6*1.6*2.2*2.715*2.6*1.4*1.4*1.5,12600000000*(1.652953^(MIN($E1281,123)-117)))*1,0))</f>
        <v>18322468</v>
      </c>
      <c r="AE1281" s="6">
        <f>$E1281+24</f>
        <v>128</v>
      </c>
      <c r="AF1281" s="7">
        <f>IF($J1281=0,0,ROUND(MAX($J1281*1.4*1.5*1.6*1.6*2.2*2.715*2.6*1.4*1.4*1.5*1.5,18900000000*(1.65331^(MIN($E1281,123)-117)))*1,0))</f>
        <v>27406653</v>
      </c>
      <c r="AG1281" s="4">
        <f>$E1281+27</f>
        <v>131</v>
      </c>
      <c r="AH1281" s="8">
        <f>IF($J1281=0,0,ROUND(MAX($J1281*1.4*1.5*1.6*1.6*2.2*2.715*2.6*1.4*1.4*1.5*1.5*3.2,60500000000*(1.654288^(MIN($E1281,123)-117)))*1,0))</f>
        <v>87058428</v>
      </c>
    </row>
    <row r="1282" ht="27.75" customHeight="1" spans="1:34" x14ac:dyDescent="0.25">
      <c r="A1282" s="3">
        <v>1292</v>
      </c>
      <c r="B1282" s="3" t="s">
        <v>950</v>
      </c>
      <c r="C1282" s="3" t="s">
        <v>920</v>
      </c>
      <c r="D1282" s="3" t="s">
        <v>64</v>
      </c>
      <c r="E1282" s="3">
        <v>104</v>
      </c>
      <c r="F1282" s="3" t="s">
        <v>71</v>
      </c>
      <c r="G1282" s="3" t="s">
        <v>921</v>
      </c>
      <c r="H1282" s="3">
        <v>23</v>
      </c>
      <c r="I1282" s="4">
        <v>104</v>
      </c>
      <c r="J1282" s="5">
        <v>7710</v>
      </c>
      <c r="K1282" s="6">
        <f>$E1282+1</f>
        <v>105</v>
      </c>
      <c r="L1282" s="7">
        <f>IF($J1282=0,0,ROUND(MAX($J1282*1.4,1620000*(1.497923^(MIN($E1282,123)-117)))*1,0))</f>
        <v>10794</v>
      </c>
      <c r="M1282" s="4">
        <f>$E1282+2</f>
        <v>106</v>
      </c>
      <c r="N1282" s="8">
        <f>IF($J1282=0,0,ROUND(MAX($J1282*1.4*1.5,2190000*(1.580994^(MIN($E1282,123)-117)))*1,0))</f>
        <v>16191</v>
      </c>
      <c r="O1282" s="6">
        <f>$E1282+4</f>
        <v>108</v>
      </c>
      <c r="P1282" s="7">
        <f>IF($J1282=0,0,ROUND(MAX($J1282*1.4*1.5*1.6,3500000*(1.57975^(MIN($E1282,123)-117)))*1,0))</f>
        <v>25906</v>
      </c>
      <c r="Q1282" s="4">
        <f>$E1282+6</f>
        <v>110</v>
      </c>
      <c r="R1282" s="8">
        <f>IF($J1282=0,0,ROUND(MAX($J1282*1.4*1.5*1.6*1.6,13100000*(1.429962^(MIN($E1282,123)-117)))*1,0))</f>
        <v>125329</v>
      </c>
      <c r="S1282" s="6">
        <f>$E1282+8</f>
        <v>112</v>
      </c>
      <c r="T1282" s="7">
        <f>IF($J1282=0,0,ROUND(MAX($J1282*1.4*1.5*1.6*1.6*2.2,42600000*(1.576904^(MIN($E1282,123)-117)))*1,0))</f>
        <v>114272</v>
      </c>
      <c r="U1282" s="4">
        <f>$E1282+11</f>
        <v>115</v>
      </c>
      <c r="V1282" s="8">
        <f>IF($J1282=0,0,ROUND(MAX($J1282*1.4*1.5*1.6*1.6*2.2*2.715,354000000*(1.642074^(MIN($E1282,123)-117)))*1,0))</f>
        <v>560916</v>
      </c>
      <c r="W1282" s="6">
        <f>$E1282+15</f>
        <v>119</v>
      </c>
      <c r="X1282" s="7">
        <f>IF($J1282=0,0,ROUND(MAX($J1282*1.4*1.5*1.6*1.6*2.2*2.715*2.6,3540000000*(1.579646^(MIN($E1282,123)-117)))*1,0))</f>
        <v>9283810</v>
      </c>
      <c r="Y1282" s="4">
        <f>$E1282+17</f>
        <v>121</v>
      </c>
      <c r="Z1282" s="8">
        <f>IF($J1282=0,0,ROUND(MAX($J1282*1.4*1.5*1.6*1.6*2.2*2.715*2.6*1.4,6020000000*(1.651178^(MIN($E1282,123)-117)))*1,0))</f>
        <v>8877197</v>
      </c>
      <c r="AA1282" s="6">
        <f>$E1282+19</f>
        <v>123</v>
      </c>
      <c r="AB1282" s="7">
        <f>IF($J1282=0,0,ROUND(MAX($J1282*1.4*1.5*1.6*1.6*2.2*2.715*2.6*1.4*1.4,8430000000*(1.651435^(MIN($E1282,123)-117)))*1,0))</f>
        <v>12405900</v>
      </c>
      <c r="AC1282" s="4">
        <f>$E1282+21</f>
        <v>125</v>
      </c>
      <c r="AD1282" s="8">
        <f>IF($J1282=0,0,ROUND(MAX($J1282*1.4*1.5*1.6*1.6*2.2*2.715*2.6*1.4*1.4*1.5,12600000000*(1.652953^(MIN($E1282,123)-117)))*1,0))</f>
        <v>18322468</v>
      </c>
      <c r="AE1282" s="6">
        <f>$E1282+24</f>
        <v>128</v>
      </c>
      <c r="AF1282" s="7">
        <f>IF($J1282=0,0,ROUND(MAX($J1282*1.4*1.5*1.6*1.6*2.2*2.715*2.6*1.4*1.4*1.5*1.5,18900000000*(1.65331^(MIN($E1282,123)-117)))*1,0))</f>
        <v>27406653</v>
      </c>
      <c r="AG1282" s="4">
        <f>$E1282+27</f>
        <v>131</v>
      </c>
      <c r="AH1282" s="8">
        <f>IF($J1282=0,0,ROUND(MAX($J1282*1.4*1.5*1.6*1.6*2.2*2.715*2.6*1.4*1.4*1.5*1.5*3.2,60500000000*(1.654288^(MIN($E1282,123)-117)))*1,0))</f>
        <v>87058428</v>
      </c>
    </row>
    <row r="1283" ht="27.75" customHeight="1" spans="1:34" x14ac:dyDescent="0.25">
      <c r="A1283" s="3">
        <v>1293</v>
      </c>
      <c r="B1283" s="3" t="s">
        <v>951</v>
      </c>
      <c r="C1283" s="3" t="s">
        <v>920</v>
      </c>
      <c r="D1283" s="3" t="s">
        <v>40</v>
      </c>
      <c r="E1283" s="3">
        <v>104</v>
      </c>
      <c r="F1283" s="3" t="s">
        <v>42</v>
      </c>
      <c r="G1283" s="3" t="s">
        <v>300</v>
      </c>
      <c r="H1283" s="3">
        <v>22</v>
      </c>
      <c r="I1283" s="4">
        <v>104</v>
      </c>
      <c r="J1283" s="5">
        <v>18400</v>
      </c>
      <c r="K1283" s="6">
        <f>$E1283+1</f>
        <v>105</v>
      </c>
      <c r="L1283" s="7">
        <f>IF($J1283=0,0,ROUND(MAX($J1283*1.4,1620000*(1.497923^(MIN($E1283,123)-117)))*1,0))</f>
        <v>25760</v>
      </c>
      <c r="M1283" s="4">
        <f>$E1283+2</f>
        <v>106</v>
      </c>
      <c r="N1283" s="8">
        <f>IF($J1283=0,0,ROUND(MAX($J1283*1.4*1.5,2190000*(1.580994^(MIN($E1283,123)-117)))*1,0))</f>
        <v>38640</v>
      </c>
      <c r="O1283" s="6">
        <f>$E1283+4</f>
        <v>108</v>
      </c>
      <c r="P1283" s="7">
        <f>IF($J1283=0,0,ROUND(MAX($J1283*1.4*1.5*1.6,3500000*(1.57975^(MIN($E1283,123)-117)))*1,0))</f>
        <v>61824</v>
      </c>
      <c r="Q1283" s="4">
        <f>$E1283+6</f>
        <v>110</v>
      </c>
      <c r="R1283" s="8">
        <f>IF($J1283=0,0,ROUND(MAX($J1283*1.4*1.5*1.6*1.6,13100000*(1.429962^(MIN($E1283,123)-117)))*1,0))</f>
        <v>125329</v>
      </c>
      <c r="S1283" s="6">
        <f>$E1283+8</f>
        <v>112</v>
      </c>
      <c r="T1283" s="7">
        <f>IF($J1283=0,0,ROUND(MAX($J1283*1.4*1.5*1.6*1.6*2.2,42600000*(1.576904^(MIN($E1283,123)-117)))*1,0))</f>
        <v>217620</v>
      </c>
      <c r="U1283" s="4">
        <f>$E1283+11</f>
        <v>115</v>
      </c>
      <c r="V1283" s="8">
        <f>IF($J1283=0,0,ROUND(MAX($J1283*1.4*1.5*1.6*1.6*2.2*2.715,354000000*(1.642074^(MIN($E1283,123)-117)))*1,0))</f>
        <v>590840</v>
      </c>
      <c r="W1283" s="6">
        <f>$E1283+15</f>
        <v>119</v>
      </c>
      <c r="X1283" s="7">
        <f>IF($J1283=0,0,ROUND(MAX($J1283*1.4*1.5*1.6*1.6*2.2*2.715*2.6,3540000000*(1.579646^(MIN($E1283,123)-117)))*1,0))</f>
        <v>9283810</v>
      </c>
      <c r="Y1283" s="4">
        <f>$E1283+17</f>
        <v>121</v>
      </c>
      <c r="Z1283" s="8">
        <f>IF($J1283=0,0,ROUND(MAX($J1283*1.4*1.5*1.6*1.6*2.2*2.715*2.6*1.4,6020000000*(1.651178^(MIN($E1283,123)-117)))*1,0))</f>
        <v>8877197</v>
      </c>
      <c r="AA1283" s="6">
        <f>$E1283+19</f>
        <v>123</v>
      </c>
      <c r="AB1283" s="7">
        <f>IF($J1283=0,0,ROUND(MAX($J1283*1.4*1.5*1.6*1.6*2.2*2.715*2.6*1.4*1.4,8430000000*(1.651435^(MIN($E1283,123)-117)))*1,0))</f>
        <v>12405900</v>
      </c>
      <c r="AC1283" s="4">
        <f>$E1283+21</f>
        <v>125</v>
      </c>
      <c r="AD1283" s="8">
        <f>IF($J1283=0,0,ROUND(MAX($J1283*1.4*1.5*1.6*1.6*2.2*2.715*2.6*1.4*1.4*1.5,12600000000*(1.652953^(MIN($E1283,123)-117)))*1,0))</f>
        <v>18322468</v>
      </c>
      <c r="AE1283" s="6">
        <f>$E1283+24</f>
        <v>128</v>
      </c>
      <c r="AF1283" s="7">
        <f>IF($J1283=0,0,ROUND(MAX($J1283*1.4*1.5*1.6*1.6*2.2*2.715*2.6*1.4*1.4*1.5*1.5,18900000000*(1.65331^(MIN($E1283,123)-117)))*1,0))</f>
        <v>27406653</v>
      </c>
      <c r="AG1283" s="4">
        <f>$E1283+27</f>
        <v>131</v>
      </c>
      <c r="AH1283" s="8">
        <f>IF($J1283=0,0,ROUND(MAX($J1283*1.4*1.5*1.6*1.6*2.2*2.715*2.6*1.4*1.4*1.5*1.5*3.2,60500000000*(1.654288^(MIN($E1283,123)-117)))*1,0))</f>
        <v>87058428</v>
      </c>
    </row>
    <row r="1284" ht="27.75" customHeight="1" spans="1:34" x14ac:dyDescent="0.25">
      <c r="A1284" s="3">
        <v>1294</v>
      </c>
      <c r="B1284" s="3" t="s">
        <v>952</v>
      </c>
      <c r="C1284" s="3" t="s">
        <v>920</v>
      </c>
      <c r="D1284" s="3" t="s">
        <v>40</v>
      </c>
      <c r="E1284" s="3">
        <v>104</v>
      </c>
      <c r="F1284" s="3" t="s">
        <v>42</v>
      </c>
      <c r="G1284" s="3" t="s">
        <v>953</v>
      </c>
      <c r="H1284" s="3">
        <v>22</v>
      </c>
      <c r="I1284" s="4">
        <v>104</v>
      </c>
      <c r="J1284" s="5">
        <v>21300</v>
      </c>
      <c r="K1284" s="6">
        <f>$E1284+1</f>
        <v>105</v>
      </c>
      <c r="L1284" s="7">
        <f>IF($J1284=0,0,ROUND(MAX($J1284*1.4,1620000*(1.497923^(MIN($E1284,123)-117)))*1,0))</f>
        <v>29820</v>
      </c>
      <c r="M1284" s="4">
        <f>$E1284+2</f>
        <v>106</v>
      </c>
      <c r="N1284" s="8">
        <f>IF($J1284=0,0,ROUND(MAX($J1284*1.4*1.5,2190000*(1.580994^(MIN($E1284,123)-117)))*1,0))</f>
        <v>44730</v>
      </c>
      <c r="O1284" s="6">
        <f>$E1284+4</f>
        <v>108</v>
      </c>
      <c r="P1284" s="7">
        <f>IF($J1284=0,0,ROUND(MAX($J1284*1.4*1.5*1.6,3500000*(1.57975^(MIN($E1284,123)-117)))*1,0))</f>
        <v>71568</v>
      </c>
      <c r="Q1284" s="4">
        <f>$E1284+6</f>
        <v>110</v>
      </c>
      <c r="R1284" s="8">
        <f>IF($J1284=0,0,ROUND(MAX($J1284*1.4*1.5*1.6*1.6,13100000*(1.429962^(MIN($E1284,123)-117)))*1,0))</f>
        <v>125329</v>
      </c>
      <c r="S1284" s="6">
        <f>$E1284+8</f>
        <v>112</v>
      </c>
      <c r="T1284" s="7">
        <f>IF($J1284=0,0,ROUND(MAX($J1284*1.4*1.5*1.6*1.6*2.2,42600000*(1.576904^(MIN($E1284,123)-117)))*1,0))</f>
        <v>251919</v>
      </c>
      <c r="U1284" s="4">
        <f>$E1284+11</f>
        <v>115</v>
      </c>
      <c r="V1284" s="8">
        <f>IF($J1284=0,0,ROUND(MAX($J1284*1.4*1.5*1.6*1.6*2.2*2.715,354000000*(1.642074^(MIN($E1284,123)-117)))*1,0))</f>
        <v>683961</v>
      </c>
      <c r="W1284" s="6">
        <f>$E1284+15</f>
        <v>119</v>
      </c>
      <c r="X1284" s="7">
        <f>IF($J1284=0,0,ROUND(MAX($J1284*1.4*1.5*1.6*1.6*2.2*2.715*2.6,3540000000*(1.579646^(MIN($E1284,123)-117)))*1,0))</f>
        <v>9283810</v>
      </c>
      <c r="Y1284" s="4">
        <f>$E1284+17</f>
        <v>121</v>
      </c>
      <c r="Z1284" s="8">
        <f>IF($J1284=0,0,ROUND(MAX($J1284*1.4*1.5*1.6*1.6*2.2*2.715*2.6*1.4,6020000000*(1.651178^(MIN($E1284,123)-117)))*1,0))</f>
        <v>8877197</v>
      </c>
      <c r="AA1284" s="6">
        <f>$E1284+19</f>
        <v>123</v>
      </c>
      <c r="AB1284" s="7">
        <f>IF($J1284=0,0,ROUND(MAX($J1284*1.4*1.5*1.6*1.6*2.2*2.715*2.6*1.4*1.4,8430000000*(1.651435^(MIN($E1284,123)-117)))*1,0))</f>
        <v>12405900</v>
      </c>
      <c r="AC1284" s="4">
        <f>$E1284+21</f>
        <v>125</v>
      </c>
      <c r="AD1284" s="8">
        <f>IF($J1284=0,0,ROUND(MAX($J1284*1.4*1.5*1.6*1.6*2.2*2.715*2.6*1.4*1.4*1.5,12600000000*(1.652953^(MIN($E1284,123)-117)))*1,0))</f>
        <v>18322468</v>
      </c>
      <c r="AE1284" s="6">
        <f>$E1284+24</f>
        <v>128</v>
      </c>
      <c r="AF1284" s="7">
        <f>IF($J1284=0,0,ROUND(MAX($J1284*1.4*1.5*1.6*1.6*2.2*2.715*2.6*1.4*1.4*1.5*1.5,18900000000*(1.65331^(MIN($E1284,123)-117)))*1,0))</f>
        <v>27406653</v>
      </c>
      <c r="AG1284" s="4">
        <f>$E1284+27</f>
        <v>131</v>
      </c>
      <c r="AH1284" s="8">
        <f>IF($J1284=0,0,ROUND(MAX($J1284*1.4*1.5*1.6*1.6*2.2*2.715*2.6*1.4*1.4*1.5*1.5*3.2,60500000000*(1.654288^(MIN($E1284,123)-117)))*1,0))</f>
        <v>87058428</v>
      </c>
    </row>
    <row r="1285" ht="27.75" customHeight="1" spans="1:34" x14ac:dyDescent="0.25">
      <c r="A1285" s="3">
        <v>1295</v>
      </c>
      <c r="B1285" s="3" t="s">
        <v>954</v>
      </c>
      <c r="C1285" s="3" t="s">
        <v>920</v>
      </c>
      <c r="D1285" s="3" t="s">
        <v>79</v>
      </c>
      <c r="E1285" s="3">
        <v>104</v>
      </c>
      <c r="F1285" s="3" t="s">
        <v>62</v>
      </c>
      <c r="G1285" s="3" t="s">
        <v>569</v>
      </c>
      <c r="H1285" s="3">
        <v>22</v>
      </c>
      <c r="I1285" s="4">
        <v>104</v>
      </c>
      <c r="J1285" s="5">
        <v>17200</v>
      </c>
      <c r="K1285" s="6">
        <f>$E1285+1</f>
        <v>105</v>
      </c>
      <c r="L1285" s="7">
        <f>IF($J1285=0,0,ROUND(MAX($J1285*1.4,1620000*(1.497923^(MIN($E1285,123)-117)))*1,0))</f>
        <v>24080</v>
      </c>
      <c r="M1285" s="4">
        <f>$E1285+2</f>
        <v>106</v>
      </c>
      <c r="N1285" s="8">
        <f>IF($J1285=0,0,ROUND(MAX($J1285*1.4*1.5,2190000*(1.580994^(MIN($E1285,123)-117)))*1,0))</f>
        <v>36120</v>
      </c>
      <c r="O1285" s="6">
        <f>$E1285+4</f>
        <v>108</v>
      </c>
      <c r="P1285" s="7">
        <f>IF($J1285=0,0,ROUND(MAX($J1285*1.4*1.5*1.6,3500000*(1.57975^(MIN($E1285,123)-117)))*1,0))</f>
        <v>57792</v>
      </c>
      <c r="Q1285" s="4">
        <f>$E1285+6</f>
        <v>110</v>
      </c>
      <c r="R1285" s="8">
        <f>IF($J1285=0,0,ROUND(MAX($J1285*1.4*1.5*1.6*1.6,13100000*(1.429962^(MIN($E1285,123)-117)))*1,0))</f>
        <v>125329</v>
      </c>
      <c r="S1285" s="6">
        <f>$E1285+8</f>
        <v>112</v>
      </c>
      <c r="T1285" s="7">
        <f>IF($J1285=0,0,ROUND(MAX($J1285*1.4*1.5*1.6*1.6*2.2,42600000*(1.576904^(MIN($E1285,123)-117)))*1,0))</f>
        <v>203428</v>
      </c>
      <c r="U1285" s="4">
        <f>$E1285+11</f>
        <v>115</v>
      </c>
      <c r="V1285" s="8">
        <f>IF($J1285=0,0,ROUND(MAX($J1285*1.4*1.5*1.6*1.6*2.2*2.715,354000000*(1.642074^(MIN($E1285,123)-117)))*1,0))</f>
        <v>560916</v>
      </c>
      <c r="W1285" s="6">
        <f>$E1285+15</f>
        <v>119</v>
      </c>
      <c r="X1285" s="7">
        <f>IF($J1285=0,0,ROUND(MAX($J1285*1.4*1.5*1.6*1.6*2.2*2.715*2.6,3540000000*(1.579646^(MIN($E1285,123)-117)))*1,0))</f>
        <v>9283810</v>
      </c>
      <c r="Y1285" s="4">
        <f>$E1285+17</f>
        <v>121</v>
      </c>
      <c r="Z1285" s="8">
        <f>IF($J1285=0,0,ROUND(MAX($J1285*1.4*1.5*1.6*1.6*2.2*2.715*2.6*1.4,6020000000*(1.651178^(MIN($E1285,123)-117)))*1,0))</f>
        <v>8877197</v>
      </c>
      <c r="AA1285" s="6">
        <f>$E1285+19</f>
        <v>123</v>
      </c>
      <c r="AB1285" s="7">
        <f>IF($J1285=0,0,ROUND(MAX($J1285*1.4*1.5*1.6*1.6*2.2*2.715*2.6*1.4*1.4,8430000000*(1.651435^(MIN($E1285,123)-117)))*1,0))</f>
        <v>12405900</v>
      </c>
      <c r="AC1285" s="4">
        <f>$E1285+21</f>
        <v>125</v>
      </c>
      <c r="AD1285" s="8">
        <f>IF($J1285=0,0,ROUND(MAX($J1285*1.4*1.5*1.6*1.6*2.2*2.715*2.6*1.4*1.4*1.5,12600000000*(1.652953^(MIN($E1285,123)-117)))*1,0))</f>
        <v>18322468</v>
      </c>
      <c r="AE1285" s="6">
        <f>$E1285+24</f>
        <v>128</v>
      </c>
      <c r="AF1285" s="7">
        <f>IF($J1285=0,0,ROUND(MAX($J1285*1.4*1.5*1.6*1.6*2.2*2.715*2.6*1.4*1.4*1.5*1.5,18900000000*(1.65331^(MIN($E1285,123)-117)))*1,0))</f>
        <v>27406653</v>
      </c>
      <c r="AG1285" s="4">
        <f>$E1285+27</f>
        <v>131</v>
      </c>
      <c r="AH1285" s="8">
        <f>IF($J1285=0,0,ROUND(MAX($J1285*1.4*1.5*1.6*1.6*2.2*2.715*2.6*1.4*1.4*1.5*1.5*3.2,60500000000*(1.654288^(MIN($E1285,123)-117)))*1,0))</f>
        <v>87058428</v>
      </c>
    </row>
    <row r="1286" ht="27.75" customHeight="1" spans="1:34" x14ac:dyDescent="0.25">
      <c r="A1286" s="3">
        <v>1296</v>
      </c>
      <c r="B1286" s="3" t="s">
        <v>955</v>
      </c>
      <c r="C1286" s="3" t="s">
        <v>920</v>
      </c>
      <c r="D1286" s="3" t="s">
        <v>102</v>
      </c>
      <c r="E1286" s="3">
        <v>104</v>
      </c>
      <c r="F1286" s="3" t="s">
        <v>71</v>
      </c>
      <c r="G1286" s="3" t="s">
        <v>956</v>
      </c>
      <c r="H1286" s="3">
        <v>22</v>
      </c>
      <c r="I1286" s="4">
        <v>104</v>
      </c>
      <c r="J1286" s="5">
        <v>21300</v>
      </c>
      <c r="K1286" s="6">
        <f>$E1286+1</f>
        <v>105</v>
      </c>
      <c r="L1286" s="7">
        <f>IF($J1286=0,0,ROUND(MAX($J1286*1.4,1620000*(1.497923^(MIN($E1286,123)-117)))*1,0))</f>
        <v>29820</v>
      </c>
      <c r="M1286" s="4">
        <f>$E1286+2</f>
        <v>106</v>
      </c>
      <c r="N1286" s="8">
        <f>IF($J1286=0,0,ROUND(MAX($J1286*1.4*1.5,2190000*(1.580994^(MIN($E1286,123)-117)))*1,0))</f>
        <v>44730</v>
      </c>
      <c r="O1286" s="6">
        <f>$E1286+4</f>
        <v>108</v>
      </c>
      <c r="P1286" s="7">
        <f>IF($J1286=0,0,ROUND(MAX($J1286*1.4*1.5*1.6,3500000*(1.57975^(MIN($E1286,123)-117)))*1,0))</f>
        <v>71568</v>
      </c>
      <c r="Q1286" s="4">
        <f>$E1286+6</f>
        <v>110</v>
      </c>
      <c r="R1286" s="8">
        <f>IF($J1286=0,0,ROUND(MAX($J1286*1.4*1.5*1.6*1.6,13100000*(1.429962^(MIN($E1286,123)-117)))*1,0))</f>
        <v>125329</v>
      </c>
      <c r="S1286" s="6">
        <f>$E1286+8</f>
        <v>112</v>
      </c>
      <c r="T1286" s="7">
        <f>IF($J1286=0,0,ROUND(MAX($J1286*1.4*1.5*1.6*1.6*2.2,42600000*(1.576904^(MIN($E1286,123)-117)))*1,0))</f>
        <v>251919</v>
      </c>
      <c r="U1286" s="4">
        <f>$E1286+11</f>
        <v>115</v>
      </c>
      <c r="V1286" s="8">
        <f>IF($J1286=0,0,ROUND(MAX($J1286*1.4*1.5*1.6*1.6*2.2*2.715,354000000*(1.642074^(MIN($E1286,123)-117)))*1,0))</f>
        <v>683961</v>
      </c>
      <c r="W1286" s="6">
        <f>$E1286+15</f>
        <v>119</v>
      </c>
      <c r="X1286" s="7">
        <f>IF($J1286=0,0,ROUND(MAX($J1286*1.4*1.5*1.6*1.6*2.2*2.715*2.6,3540000000*(1.579646^(MIN($E1286,123)-117)))*1,0))</f>
        <v>9283810</v>
      </c>
      <c r="Y1286" s="4">
        <f>$E1286+17</f>
        <v>121</v>
      </c>
      <c r="Z1286" s="8">
        <f>IF($J1286=0,0,ROUND(MAX($J1286*1.4*1.5*1.6*1.6*2.2*2.715*2.6*1.4,6020000000*(1.651178^(MIN($E1286,123)-117)))*1,0))</f>
        <v>8877197</v>
      </c>
      <c r="AA1286" s="6">
        <f>$E1286+19</f>
        <v>123</v>
      </c>
      <c r="AB1286" s="7">
        <f>IF($J1286=0,0,ROUND(MAX($J1286*1.4*1.5*1.6*1.6*2.2*2.715*2.6*1.4*1.4,8430000000*(1.651435^(MIN($E1286,123)-117)))*1,0))</f>
        <v>12405900</v>
      </c>
      <c r="AC1286" s="4">
        <f>$E1286+21</f>
        <v>125</v>
      </c>
      <c r="AD1286" s="8">
        <f>IF($J1286=0,0,ROUND(MAX($J1286*1.4*1.5*1.6*1.6*2.2*2.715*2.6*1.4*1.4*1.5,12600000000*(1.652953^(MIN($E1286,123)-117)))*1,0))</f>
        <v>18322468</v>
      </c>
      <c r="AE1286" s="6">
        <f>$E1286+24</f>
        <v>128</v>
      </c>
      <c r="AF1286" s="7">
        <f>IF($J1286=0,0,ROUND(MAX($J1286*1.4*1.5*1.6*1.6*2.2*2.715*2.6*1.4*1.4*1.5*1.5,18900000000*(1.65331^(MIN($E1286,123)-117)))*1,0))</f>
        <v>27406653</v>
      </c>
      <c r="AG1286" s="4">
        <f>$E1286+27</f>
        <v>131</v>
      </c>
      <c r="AH1286" s="8">
        <f>IF($J1286=0,0,ROUND(MAX($J1286*1.4*1.5*1.6*1.6*2.2*2.715*2.6*1.4*1.4*1.5*1.5*3.2,60500000000*(1.654288^(MIN($E1286,123)-117)))*1,0))</f>
        <v>87058428</v>
      </c>
    </row>
    <row r="1287" ht="27.75" customHeight="1" spans="1:34" x14ac:dyDescent="0.25">
      <c r="A1287" s="3">
        <v>1297</v>
      </c>
      <c r="B1287" s="3" t="s">
        <v>957</v>
      </c>
      <c r="C1287" s="3" t="s">
        <v>920</v>
      </c>
      <c r="D1287" s="3" t="s">
        <v>79</v>
      </c>
      <c r="E1287" s="3">
        <v>104</v>
      </c>
      <c r="F1287" s="3" t="s">
        <v>42</v>
      </c>
      <c r="G1287" s="3" t="s">
        <v>958</v>
      </c>
      <c r="H1287" s="3">
        <v>22</v>
      </c>
      <c r="I1287" s="4">
        <v>104</v>
      </c>
      <c r="J1287" s="5">
        <v>57700</v>
      </c>
      <c r="K1287" s="6">
        <f>$E1287+1</f>
        <v>105</v>
      </c>
      <c r="L1287" s="7">
        <f>IF($J1287=0,0,ROUND(MAX($J1287*1.4,1620000*(1.497923^(MIN($E1287,123)-117)))*1,0))</f>
        <v>80780</v>
      </c>
      <c r="M1287" s="4">
        <f>$E1287+2</f>
        <v>106</v>
      </c>
      <c r="N1287" s="8">
        <f>IF($J1287=0,0,ROUND(MAX($J1287*1.4*1.5,2190000*(1.580994^(MIN($E1287,123)-117)))*1,0))</f>
        <v>121170</v>
      </c>
      <c r="O1287" s="6">
        <f>$E1287+4</f>
        <v>108</v>
      </c>
      <c r="P1287" s="7">
        <f>IF($J1287=0,0,ROUND(MAX($J1287*1.4*1.5*1.6,3500000*(1.57975^(MIN($E1287,123)-117)))*1,0))</f>
        <v>193872</v>
      </c>
      <c r="Q1287" s="4">
        <f>$E1287+6</f>
        <v>110</v>
      </c>
      <c r="R1287" s="8">
        <f>IF($J1287=0,0,ROUND(MAX($J1287*1.4*1.5*1.6*1.6,13100000*(1.429962^(MIN($E1287,123)-117)))*1,0))</f>
        <v>310195</v>
      </c>
      <c r="S1287" s="6">
        <f>$E1287+8</f>
        <v>112</v>
      </c>
      <c r="T1287" s="7">
        <f>IF($J1287=0,0,ROUND(MAX($J1287*1.4*1.5*1.6*1.6*2.2,42600000*(1.576904^(MIN($E1287,123)-117)))*1,0))</f>
        <v>682429</v>
      </c>
      <c r="U1287" s="4">
        <f>$E1287+11</f>
        <v>115</v>
      </c>
      <c r="V1287" s="8">
        <f>IF($J1287=0,0,ROUND(MAX($J1287*1.4*1.5*1.6*1.6*2.2*2.715,354000000*(1.642074^(MIN($E1287,123)-117)))*1,0))</f>
        <v>1852796</v>
      </c>
      <c r="W1287" s="6">
        <f>$E1287+15</f>
        <v>119</v>
      </c>
      <c r="X1287" s="7">
        <f>IF($J1287=0,0,ROUND(MAX($J1287*1.4*1.5*1.6*1.6*2.2*2.715*2.6,3540000000*(1.579646^(MIN($E1287,123)-117)))*1,0))</f>
        <v>9283810</v>
      </c>
      <c r="Y1287" s="4">
        <f>$E1287+17</f>
        <v>121</v>
      </c>
      <c r="Z1287" s="8">
        <f>IF($J1287=0,0,ROUND(MAX($J1287*1.4*1.5*1.6*1.6*2.2*2.715*2.6*1.4,6020000000*(1.651178^(MIN($E1287,123)-117)))*1,0))</f>
        <v>8877197</v>
      </c>
      <c r="AA1287" s="6">
        <f>$E1287+19</f>
        <v>123</v>
      </c>
      <c r="AB1287" s="7">
        <f>IF($J1287=0,0,ROUND(MAX($J1287*1.4*1.5*1.6*1.6*2.2*2.715*2.6*1.4*1.4,8430000000*(1.651435^(MIN($E1287,123)-117)))*1,0))</f>
        <v>12405900</v>
      </c>
      <c r="AC1287" s="4">
        <f>$E1287+21</f>
        <v>125</v>
      </c>
      <c r="AD1287" s="8">
        <f>IF($J1287=0,0,ROUND(MAX($J1287*1.4*1.5*1.6*1.6*2.2*2.715*2.6*1.4*1.4*1.5,12600000000*(1.652953^(MIN($E1287,123)-117)))*1,0))</f>
        <v>18322468</v>
      </c>
      <c r="AE1287" s="6">
        <f>$E1287+24</f>
        <v>128</v>
      </c>
      <c r="AF1287" s="7">
        <f>IF($J1287=0,0,ROUND(MAX($J1287*1.4*1.5*1.6*1.6*2.2*2.715*2.6*1.4*1.4*1.5*1.5,18900000000*(1.65331^(MIN($E1287,123)-117)))*1,0))</f>
        <v>27406653</v>
      </c>
      <c r="AG1287" s="4">
        <f>$E1287+27</f>
        <v>131</v>
      </c>
      <c r="AH1287" s="8">
        <f>IF($J1287=0,0,ROUND(MAX($J1287*1.4*1.5*1.6*1.6*2.2*2.715*2.6*1.4*1.4*1.5*1.5*3.2,60500000000*(1.654288^(MIN($E1287,123)-117)))*1,0))</f>
        <v>87058428</v>
      </c>
    </row>
    <row r="1288" ht="27.75" customHeight="1" spans="1:34" x14ac:dyDescent="0.25">
      <c r="A1288" s="3">
        <v>1298</v>
      </c>
      <c r="B1288" s="3" t="s">
        <v>959</v>
      </c>
      <c r="C1288" s="3" t="s">
        <v>920</v>
      </c>
      <c r="D1288" s="3" t="s">
        <v>331</v>
      </c>
      <c r="E1288" s="3">
        <v>104</v>
      </c>
      <c r="F1288" s="3" t="s">
        <v>383</v>
      </c>
      <c r="G1288" s="3" t="s">
        <v>675</v>
      </c>
      <c r="H1288" s="3">
        <v>22</v>
      </c>
      <c r="I1288" s="4">
        <v>104</v>
      </c>
      <c r="J1288" s="5">
        <v>18500</v>
      </c>
      <c r="K1288" s="6">
        <f>$E1288+1</f>
        <v>105</v>
      </c>
      <c r="L1288" s="7">
        <f>IF($J1288=0,0,ROUND(MAX($J1288*1.4,1620000*(1.497923^(MIN($E1288,123)-117)))*1,0))</f>
        <v>25900</v>
      </c>
      <c r="M1288" s="4">
        <f>$E1288+2</f>
        <v>106</v>
      </c>
      <c r="N1288" s="8">
        <f>IF($J1288=0,0,ROUND(MAX($J1288*1.4*1.5,2190000*(1.580994^(MIN($E1288,123)-117)))*1,0))</f>
        <v>38850</v>
      </c>
      <c r="O1288" s="6">
        <f>$E1288+4</f>
        <v>108</v>
      </c>
      <c r="P1288" s="7">
        <f>IF($J1288=0,0,ROUND(MAX($J1288*1.4*1.5*1.6,3500000*(1.57975^(MIN($E1288,123)-117)))*1,0))</f>
        <v>62160</v>
      </c>
      <c r="Q1288" s="4">
        <f>$E1288+6</f>
        <v>110</v>
      </c>
      <c r="R1288" s="8">
        <f>IF($J1288=0,0,ROUND(MAX($J1288*1.4*1.5*1.6*1.6,13100000*(1.429962^(MIN($E1288,123)-117)))*1,0))</f>
        <v>125329</v>
      </c>
      <c r="S1288" s="6">
        <f>$E1288+8</f>
        <v>112</v>
      </c>
      <c r="T1288" s="7">
        <f>IF($J1288=0,0,ROUND(MAX($J1288*1.4*1.5*1.6*1.6*2.2,42600000*(1.576904^(MIN($E1288,123)-117)))*1,0))</f>
        <v>218803</v>
      </c>
      <c r="U1288" s="4">
        <f>$E1288+11</f>
        <v>115</v>
      </c>
      <c r="V1288" s="8">
        <f>IF($J1288=0,0,ROUND(MAX($J1288*1.4*1.5*1.6*1.6*2.2*2.715,354000000*(1.642074^(MIN($E1288,123)-117)))*1,0))</f>
        <v>594051</v>
      </c>
      <c r="W1288" s="6">
        <f>$E1288+15</f>
        <v>119</v>
      </c>
      <c r="X1288" s="7">
        <f>IF($J1288=0,0,ROUND(MAX($J1288*1.4*1.5*1.6*1.6*2.2*2.715*2.6,3540000000*(1.579646^(MIN($E1288,123)-117)))*1,0))</f>
        <v>9283810</v>
      </c>
      <c r="Y1288" s="4">
        <f>$E1288+17</f>
        <v>121</v>
      </c>
      <c r="Z1288" s="8">
        <f>IF($J1288=0,0,ROUND(MAX($J1288*1.4*1.5*1.6*1.6*2.2*2.715*2.6*1.4,6020000000*(1.651178^(MIN($E1288,123)-117)))*1,0))</f>
        <v>8877197</v>
      </c>
      <c r="AA1288" s="6">
        <f>$E1288+19</f>
        <v>123</v>
      </c>
      <c r="AB1288" s="7">
        <f>IF($J1288=0,0,ROUND(MAX($J1288*1.4*1.5*1.6*1.6*2.2*2.715*2.6*1.4*1.4,8430000000*(1.651435^(MIN($E1288,123)-117)))*1,0))</f>
        <v>12405900</v>
      </c>
      <c r="AC1288" s="4">
        <f>$E1288+21</f>
        <v>125</v>
      </c>
      <c r="AD1288" s="8">
        <f>IF($J1288=0,0,ROUND(MAX($J1288*1.4*1.5*1.6*1.6*2.2*2.715*2.6*1.4*1.4*1.5,12600000000*(1.652953^(MIN($E1288,123)-117)))*1,0))</f>
        <v>18322468</v>
      </c>
      <c r="AE1288" s="6">
        <f>$E1288+24</f>
        <v>128</v>
      </c>
      <c r="AF1288" s="7">
        <f>IF($J1288=0,0,ROUND(MAX($J1288*1.4*1.5*1.6*1.6*2.2*2.715*2.6*1.4*1.4*1.5*1.5,18900000000*(1.65331^(MIN($E1288,123)-117)))*1,0))</f>
        <v>27406653</v>
      </c>
      <c r="AG1288" s="4">
        <f>$E1288+27</f>
        <v>131</v>
      </c>
      <c r="AH1288" s="8">
        <f>IF($J1288=0,0,ROUND(MAX($J1288*1.4*1.5*1.6*1.6*2.2*2.715*2.6*1.4*1.4*1.5*1.5*3.2,60500000000*(1.654288^(MIN($E1288,123)-117)))*1,0))</f>
        <v>87058428</v>
      </c>
    </row>
    <row r="1289" ht="27.75" customHeight="1" spans="1:34" x14ac:dyDescent="0.25">
      <c r="A1289" s="3">
        <v>1299</v>
      </c>
      <c r="B1289" s="3" t="s">
        <v>960</v>
      </c>
      <c r="C1289" s="3" t="s">
        <v>920</v>
      </c>
      <c r="D1289" s="3" t="s">
        <v>25</v>
      </c>
      <c r="E1289" s="3">
        <v>104</v>
      </c>
      <c r="F1289" s="3" t="s">
        <v>62</v>
      </c>
      <c r="G1289" s="3" t="s">
        <v>921</v>
      </c>
      <c r="H1289" s="3">
        <v>22</v>
      </c>
      <c r="I1289" s="4">
        <v>104</v>
      </c>
      <c r="J1289" s="5">
        <v>13600</v>
      </c>
      <c r="K1289" s="6">
        <f>$E1289+1</f>
        <v>105</v>
      </c>
      <c r="L1289" s="7">
        <f>IF($J1289=0,0,ROUND(MAX($J1289*1.4,1620000*(1.497923^(MIN($E1289,123)-117)))*1,0))</f>
        <v>19040</v>
      </c>
      <c r="M1289" s="4">
        <f>$E1289+2</f>
        <v>106</v>
      </c>
      <c r="N1289" s="8">
        <f>IF($J1289=0,0,ROUND(MAX($J1289*1.4*1.5,2190000*(1.580994^(MIN($E1289,123)-117)))*1,0))</f>
        <v>28560</v>
      </c>
      <c r="O1289" s="6">
        <f>$E1289+4</f>
        <v>108</v>
      </c>
      <c r="P1289" s="7">
        <f>IF($J1289=0,0,ROUND(MAX($J1289*1.4*1.5*1.6,3500000*(1.57975^(MIN($E1289,123)-117)))*1,0))</f>
        <v>45696</v>
      </c>
      <c r="Q1289" s="4">
        <f>$E1289+6</f>
        <v>110</v>
      </c>
      <c r="R1289" s="8">
        <f>IF($J1289=0,0,ROUND(MAX($J1289*1.4*1.5*1.6*1.6,13100000*(1.429962^(MIN($E1289,123)-117)))*1,0))</f>
        <v>125329</v>
      </c>
      <c r="S1289" s="6">
        <f>$E1289+8</f>
        <v>112</v>
      </c>
      <c r="T1289" s="7">
        <f>IF($J1289=0,0,ROUND(MAX($J1289*1.4*1.5*1.6*1.6*2.2,42600000*(1.576904^(MIN($E1289,123)-117)))*1,0))</f>
        <v>160850</v>
      </c>
      <c r="U1289" s="4">
        <f>$E1289+11</f>
        <v>115</v>
      </c>
      <c r="V1289" s="8">
        <f>IF($J1289=0,0,ROUND(MAX($J1289*1.4*1.5*1.6*1.6*2.2*2.715,354000000*(1.642074^(MIN($E1289,123)-117)))*1,0))</f>
        <v>560916</v>
      </c>
      <c r="W1289" s="6">
        <f>$E1289+15</f>
        <v>119</v>
      </c>
      <c r="X1289" s="7">
        <f>IF($J1289=0,0,ROUND(MAX($J1289*1.4*1.5*1.6*1.6*2.2*2.715*2.6,3540000000*(1.579646^(MIN($E1289,123)-117)))*1,0))</f>
        <v>9283810</v>
      </c>
      <c r="Y1289" s="4">
        <f>$E1289+17</f>
        <v>121</v>
      </c>
      <c r="Z1289" s="8">
        <f>IF($J1289=0,0,ROUND(MAX($J1289*1.4*1.5*1.6*1.6*2.2*2.715*2.6*1.4,6020000000*(1.651178^(MIN($E1289,123)-117)))*1,0))</f>
        <v>8877197</v>
      </c>
      <c r="AA1289" s="6">
        <f>$E1289+19</f>
        <v>123</v>
      </c>
      <c r="AB1289" s="7">
        <f>IF($J1289=0,0,ROUND(MAX($J1289*1.4*1.5*1.6*1.6*2.2*2.715*2.6*1.4*1.4,8430000000*(1.651435^(MIN($E1289,123)-117)))*1,0))</f>
        <v>12405900</v>
      </c>
      <c r="AC1289" s="4">
        <f>$E1289+21</f>
        <v>125</v>
      </c>
      <c r="AD1289" s="8">
        <f>IF($J1289=0,0,ROUND(MAX($J1289*1.4*1.5*1.6*1.6*2.2*2.715*2.6*1.4*1.4*1.5,12600000000*(1.652953^(MIN($E1289,123)-117)))*1,0))</f>
        <v>18322468</v>
      </c>
      <c r="AE1289" s="6">
        <f>$E1289+24</f>
        <v>128</v>
      </c>
      <c r="AF1289" s="7">
        <f>IF($J1289=0,0,ROUND(MAX($J1289*1.4*1.5*1.6*1.6*2.2*2.715*2.6*1.4*1.4*1.5*1.5,18900000000*(1.65331^(MIN($E1289,123)-117)))*1,0))</f>
        <v>27406653</v>
      </c>
      <c r="AG1289" s="4">
        <f>$E1289+27</f>
        <v>131</v>
      </c>
      <c r="AH1289" s="8">
        <f>IF($J1289=0,0,ROUND(MAX($J1289*1.4*1.5*1.6*1.6*2.2*2.715*2.6*1.4*1.4*1.5*1.5*3.2,60500000000*(1.654288^(MIN($E1289,123)-117)))*1,0))</f>
        <v>87058428</v>
      </c>
    </row>
    <row r="1290" ht="27.75" customHeight="1" spans="1:34" x14ac:dyDescent="0.25">
      <c r="A1290" s="3">
        <v>1300</v>
      </c>
      <c r="B1290" s="3" t="s">
        <v>765</v>
      </c>
      <c r="C1290" s="3" t="s">
        <v>920</v>
      </c>
      <c r="D1290" s="3" t="s">
        <v>45</v>
      </c>
      <c r="E1290" s="3">
        <v>104</v>
      </c>
      <c r="F1290" s="3" t="s">
        <v>34</v>
      </c>
      <c r="G1290" s="3" t="s">
        <v>921</v>
      </c>
      <c r="H1290" s="3">
        <v>22</v>
      </c>
      <c r="I1290" s="4">
        <v>104</v>
      </c>
      <c r="J1290" s="5">
        <v>8390</v>
      </c>
      <c r="K1290" s="6">
        <f>$E1290+1</f>
        <v>105</v>
      </c>
      <c r="L1290" s="7">
        <f>IF($J1290=0,0,ROUND(MAX($J1290*1.4,1620000*(1.497923^(MIN($E1290,123)-117)))*1,0))</f>
        <v>11746</v>
      </c>
      <c r="M1290" s="4">
        <f>$E1290+2</f>
        <v>106</v>
      </c>
      <c r="N1290" s="8">
        <f>IF($J1290=0,0,ROUND(MAX($J1290*1.4*1.5,2190000*(1.580994^(MIN($E1290,123)-117)))*1,0))</f>
        <v>17619</v>
      </c>
      <c r="O1290" s="6">
        <f>$E1290+4</f>
        <v>108</v>
      </c>
      <c r="P1290" s="7">
        <f>IF($J1290=0,0,ROUND(MAX($J1290*1.4*1.5*1.6,3500000*(1.57975^(MIN($E1290,123)-117)))*1,0))</f>
        <v>28190</v>
      </c>
      <c r="Q1290" s="4">
        <f>$E1290+6</f>
        <v>110</v>
      </c>
      <c r="R1290" s="8">
        <f>IF($J1290=0,0,ROUND(MAX($J1290*1.4*1.5*1.6*1.6,13100000*(1.429962^(MIN($E1290,123)-117)))*1,0))</f>
        <v>125329</v>
      </c>
      <c r="S1290" s="6">
        <f>$E1290+8</f>
        <v>112</v>
      </c>
      <c r="T1290" s="7">
        <f>IF($J1290=0,0,ROUND(MAX($J1290*1.4*1.5*1.6*1.6*2.2,42600000*(1.576904^(MIN($E1290,123)-117)))*1,0))</f>
        <v>114272</v>
      </c>
      <c r="U1290" s="4">
        <f>$E1290+11</f>
        <v>115</v>
      </c>
      <c r="V1290" s="8">
        <f>IF($J1290=0,0,ROUND(MAX($J1290*1.4*1.5*1.6*1.6*2.2*2.715,354000000*(1.642074^(MIN($E1290,123)-117)))*1,0))</f>
        <v>560916</v>
      </c>
      <c r="W1290" s="6">
        <f>$E1290+15</f>
        <v>119</v>
      </c>
      <c r="X1290" s="7">
        <f>IF($J1290=0,0,ROUND(MAX($J1290*1.4*1.5*1.6*1.6*2.2*2.715*2.6,3540000000*(1.579646^(MIN($E1290,123)-117)))*1,0))</f>
        <v>9283810</v>
      </c>
      <c r="Y1290" s="4">
        <f>$E1290+17</f>
        <v>121</v>
      </c>
      <c r="Z1290" s="8">
        <f>IF($J1290=0,0,ROUND(MAX($J1290*1.4*1.5*1.6*1.6*2.2*2.715*2.6*1.4,6020000000*(1.651178^(MIN($E1290,123)-117)))*1,0))</f>
        <v>8877197</v>
      </c>
      <c r="AA1290" s="6">
        <f>$E1290+19</f>
        <v>123</v>
      </c>
      <c r="AB1290" s="7">
        <f>IF($J1290=0,0,ROUND(MAX($J1290*1.4*1.5*1.6*1.6*2.2*2.715*2.6*1.4*1.4,8430000000*(1.651435^(MIN($E1290,123)-117)))*1,0))</f>
        <v>12405900</v>
      </c>
      <c r="AC1290" s="4">
        <f>$E1290+21</f>
        <v>125</v>
      </c>
      <c r="AD1290" s="8">
        <f>IF($J1290=0,0,ROUND(MAX($J1290*1.4*1.5*1.6*1.6*2.2*2.715*2.6*1.4*1.4*1.5,12600000000*(1.652953^(MIN($E1290,123)-117)))*1,0))</f>
        <v>18322468</v>
      </c>
      <c r="AE1290" s="6">
        <f>$E1290+24</f>
        <v>128</v>
      </c>
      <c r="AF1290" s="7">
        <f>IF($J1290=0,0,ROUND(MAX($J1290*1.4*1.5*1.6*1.6*2.2*2.715*2.6*1.4*1.4*1.5*1.5,18900000000*(1.65331^(MIN($E1290,123)-117)))*1,0))</f>
        <v>27406653</v>
      </c>
      <c r="AG1290" s="4">
        <f>$E1290+27</f>
        <v>131</v>
      </c>
      <c r="AH1290" s="8">
        <f>IF($J1290=0,0,ROUND(MAX($J1290*1.4*1.5*1.6*1.6*2.2*2.715*2.6*1.4*1.4*1.5*1.5*3.2,60500000000*(1.654288^(MIN($E1290,123)-117)))*1,0))</f>
        <v>87058428</v>
      </c>
    </row>
    <row r="1291" ht="27.75" customHeight="1" spans="1:34" x14ac:dyDescent="0.25">
      <c r="A1291" s="3">
        <v>1301</v>
      </c>
      <c r="B1291" s="3" t="s">
        <v>961</v>
      </c>
      <c r="C1291" s="3" t="s">
        <v>920</v>
      </c>
      <c r="D1291" s="3" t="s">
        <v>45</v>
      </c>
      <c r="E1291" s="3">
        <v>104</v>
      </c>
      <c r="F1291" s="3" t="s">
        <v>962</v>
      </c>
      <c r="G1291" s="3" t="s">
        <v>254</v>
      </c>
      <c r="H1291" s="3">
        <v>22</v>
      </c>
      <c r="I1291" s="4">
        <v>104</v>
      </c>
      <c r="J1291" s="5">
        <v>47100</v>
      </c>
      <c r="K1291" s="6">
        <f>$E1291+1</f>
        <v>105</v>
      </c>
      <c r="L1291" s="7">
        <f>IF($J1291=0,0,ROUND(MAX($J1291*1.4,1620000*(1.497923^(MIN($E1291,123)-117)))*1,0))</f>
        <v>65940</v>
      </c>
      <c r="M1291" s="4">
        <f>$E1291+2</f>
        <v>106</v>
      </c>
      <c r="N1291" s="8">
        <f>IF($J1291=0,0,ROUND(MAX($J1291*1.4*1.5,2190000*(1.580994^(MIN($E1291,123)-117)))*1,0))</f>
        <v>98910</v>
      </c>
      <c r="O1291" s="6">
        <f>$E1291+4</f>
        <v>108</v>
      </c>
      <c r="P1291" s="7">
        <f>IF($J1291=0,0,ROUND(MAX($J1291*1.4*1.5*1.6,3500000*(1.57975^(MIN($E1291,123)-117)))*1,0))</f>
        <v>158256</v>
      </c>
      <c r="Q1291" s="4">
        <f>$E1291+6</f>
        <v>110</v>
      </c>
      <c r="R1291" s="8">
        <f>IF($J1291=0,0,ROUND(MAX($J1291*1.4*1.5*1.6*1.6,13100000*(1.429962^(MIN($E1291,123)-117)))*1,0))</f>
        <v>253210</v>
      </c>
      <c r="S1291" s="6">
        <f>$E1291+8</f>
        <v>112</v>
      </c>
      <c r="T1291" s="7">
        <f>IF($J1291=0,0,ROUND(MAX($J1291*1.4*1.5*1.6*1.6*2.2,42600000*(1.576904^(MIN($E1291,123)-117)))*1,0))</f>
        <v>557061</v>
      </c>
      <c r="U1291" s="4">
        <f>$E1291+11</f>
        <v>115</v>
      </c>
      <c r="V1291" s="8">
        <f>IF($J1291=0,0,ROUND(MAX($J1291*1.4*1.5*1.6*1.6*2.2*2.715,354000000*(1.642074^(MIN($E1291,123)-117)))*1,0))</f>
        <v>1512421</v>
      </c>
      <c r="W1291" s="6">
        <f>$E1291+15</f>
        <v>119</v>
      </c>
      <c r="X1291" s="7">
        <f>IF($J1291=0,0,ROUND(MAX($J1291*1.4*1.5*1.6*1.6*2.2*2.715*2.6,3540000000*(1.579646^(MIN($E1291,123)-117)))*1,0))</f>
        <v>9283810</v>
      </c>
      <c r="Y1291" s="4">
        <f>$E1291+17</f>
        <v>121</v>
      </c>
      <c r="Z1291" s="8">
        <f>IF($J1291=0,0,ROUND(MAX($J1291*1.4*1.5*1.6*1.6*2.2*2.715*2.6*1.4,6020000000*(1.651178^(MIN($E1291,123)-117)))*1,0))</f>
        <v>8877197</v>
      </c>
      <c r="AA1291" s="6">
        <f>$E1291+19</f>
        <v>123</v>
      </c>
      <c r="AB1291" s="7">
        <f>IF($J1291=0,0,ROUND(MAX($J1291*1.4*1.5*1.6*1.6*2.2*2.715*2.6*1.4*1.4,8430000000*(1.651435^(MIN($E1291,123)-117)))*1,0))</f>
        <v>12405900</v>
      </c>
      <c r="AC1291" s="4">
        <f>$E1291+21</f>
        <v>125</v>
      </c>
      <c r="AD1291" s="8">
        <f>IF($J1291=0,0,ROUND(MAX($J1291*1.4*1.5*1.6*1.6*2.2*2.715*2.6*1.4*1.4*1.5,12600000000*(1.652953^(MIN($E1291,123)-117)))*1,0))</f>
        <v>18322468</v>
      </c>
      <c r="AE1291" s="6">
        <f>$E1291+24</f>
        <v>128</v>
      </c>
      <c r="AF1291" s="7">
        <f>IF($J1291=0,0,ROUND(MAX($J1291*1.4*1.5*1.6*1.6*2.2*2.715*2.6*1.4*1.4*1.5*1.5,18900000000*(1.65331^(MIN($E1291,123)-117)))*1,0))</f>
        <v>27406653</v>
      </c>
      <c r="AG1291" s="4">
        <f>$E1291+27</f>
        <v>131</v>
      </c>
      <c r="AH1291" s="8">
        <f>IF($J1291=0,0,ROUND(MAX($J1291*1.4*1.5*1.6*1.6*2.2*2.715*2.6*1.4*1.4*1.5*1.5*3.2,60500000000*(1.654288^(MIN($E1291,123)-117)))*1,0))</f>
        <v>87058428</v>
      </c>
    </row>
    <row r="1292" ht="27.75" customHeight="1" spans="1:34" x14ac:dyDescent="0.25">
      <c r="A1292" s="3">
        <v>1302</v>
      </c>
      <c r="B1292" s="3" t="s">
        <v>963</v>
      </c>
      <c r="C1292" s="3" t="s">
        <v>920</v>
      </c>
      <c r="D1292" s="3" t="s">
        <v>75</v>
      </c>
      <c r="E1292" s="3">
        <v>104</v>
      </c>
      <c r="F1292" s="3" t="s">
        <v>71</v>
      </c>
      <c r="G1292" s="3" t="s">
        <v>921</v>
      </c>
      <c r="H1292" s="3">
        <v>22</v>
      </c>
      <c r="I1292" s="4">
        <v>104</v>
      </c>
      <c r="J1292" s="5">
        <v>17900</v>
      </c>
      <c r="K1292" s="6">
        <f>$E1292+1</f>
        <v>105</v>
      </c>
      <c r="L1292" s="7">
        <f>IF($J1292=0,0,ROUND(MAX($J1292*1.4,1620000*(1.497923^(MIN($E1292,123)-117)))*1,0))</f>
        <v>25060</v>
      </c>
      <c r="M1292" s="4">
        <f>$E1292+2</f>
        <v>106</v>
      </c>
      <c r="N1292" s="8">
        <f>IF($J1292=0,0,ROUND(MAX($J1292*1.4*1.5,2190000*(1.580994^(MIN($E1292,123)-117)))*1,0))</f>
        <v>37590</v>
      </c>
      <c r="O1292" s="6">
        <f>$E1292+4</f>
        <v>108</v>
      </c>
      <c r="P1292" s="7">
        <f>IF($J1292=0,0,ROUND(MAX($J1292*1.4*1.5*1.6,3500000*(1.57975^(MIN($E1292,123)-117)))*1,0))</f>
        <v>60144</v>
      </c>
      <c r="Q1292" s="4">
        <f>$E1292+6</f>
        <v>110</v>
      </c>
      <c r="R1292" s="8">
        <f>IF($J1292=0,0,ROUND(MAX($J1292*1.4*1.5*1.6*1.6,13100000*(1.429962^(MIN($E1292,123)-117)))*1,0))</f>
        <v>125329</v>
      </c>
      <c r="S1292" s="6">
        <f>$E1292+8</f>
        <v>112</v>
      </c>
      <c r="T1292" s="7">
        <f>IF($J1292=0,0,ROUND(MAX($J1292*1.4*1.5*1.6*1.6*2.2,42600000*(1.576904^(MIN($E1292,123)-117)))*1,0))</f>
        <v>211707</v>
      </c>
      <c r="U1292" s="4">
        <f>$E1292+11</f>
        <v>115</v>
      </c>
      <c r="V1292" s="8">
        <f>IF($J1292=0,0,ROUND(MAX($J1292*1.4*1.5*1.6*1.6*2.2*2.715,354000000*(1.642074^(MIN($E1292,123)-117)))*1,0))</f>
        <v>574784</v>
      </c>
      <c r="W1292" s="6">
        <f>$E1292+15</f>
        <v>119</v>
      </c>
      <c r="X1292" s="7">
        <f>IF($J1292=0,0,ROUND(MAX($J1292*1.4*1.5*1.6*1.6*2.2*2.715*2.6,3540000000*(1.579646^(MIN($E1292,123)-117)))*1,0))</f>
        <v>9283810</v>
      </c>
      <c r="Y1292" s="4">
        <f>$E1292+17</f>
        <v>121</v>
      </c>
      <c r="Z1292" s="8">
        <f>IF($J1292=0,0,ROUND(MAX($J1292*1.4*1.5*1.6*1.6*2.2*2.715*2.6*1.4,6020000000*(1.651178^(MIN($E1292,123)-117)))*1,0))</f>
        <v>8877197</v>
      </c>
      <c r="AA1292" s="6">
        <f>$E1292+19</f>
        <v>123</v>
      </c>
      <c r="AB1292" s="7">
        <f>IF($J1292=0,0,ROUND(MAX($J1292*1.4*1.5*1.6*1.6*2.2*2.715*2.6*1.4*1.4,8430000000*(1.651435^(MIN($E1292,123)-117)))*1,0))</f>
        <v>12405900</v>
      </c>
      <c r="AC1292" s="4">
        <f>$E1292+21</f>
        <v>125</v>
      </c>
      <c r="AD1292" s="8">
        <f>IF($J1292=0,0,ROUND(MAX($J1292*1.4*1.5*1.6*1.6*2.2*2.715*2.6*1.4*1.4*1.5,12600000000*(1.652953^(MIN($E1292,123)-117)))*1,0))</f>
        <v>18322468</v>
      </c>
      <c r="AE1292" s="6">
        <f>$E1292+24</f>
        <v>128</v>
      </c>
      <c r="AF1292" s="7">
        <f>IF($J1292=0,0,ROUND(MAX($J1292*1.4*1.5*1.6*1.6*2.2*2.715*2.6*1.4*1.4*1.5*1.5,18900000000*(1.65331^(MIN($E1292,123)-117)))*1,0))</f>
        <v>27406653</v>
      </c>
      <c r="AG1292" s="4">
        <f>$E1292+27</f>
        <v>131</v>
      </c>
      <c r="AH1292" s="8">
        <f>IF($J1292=0,0,ROUND(MAX($J1292*1.4*1.5*1.6*1.6*2.2*2.715*2.6*1.4*1.4*1.5*1.5*3.2,60500000000*(1.654288^(MIN($E1292,123)-117)))*1,0))</f>
        <v>87058428</v>
      </c>
    </row>
    <row r="1293" ht="27.75" customHeight="1" spans="1:34" x14ac:dyDescent="0.25">
      <c r="A1293" s="3">
        <v>1303</v>
      </c>
      <c r="B1293" s="3" t="s">
        <v>964</v>
      </c>
      <c r="C1293" s="3" t="s">
        <v>920</v>
      </c>
      <c r="D1293" s="3" t="s">
        <v>45</v>
      </c>
      <c r="E1293" s="3">
        <v>104</v>
      </c>
      <c r="F1293" s="3" t="s">
        <v>26</v>
      </c>
      <c r="G1293" s="3" t="s">
        <v>965</v>
      </c>
      <c r="H1293" s="3">
        <v>22</v>
      </c>
      <c r="I1293" s="4">
        <v>104</v>
      </c>
      <c r="J1293" s="5">
        <v>17500</v>
      </c>
      <c r="K1293" s="6">
        <f>$E1293+1</f>
        <v>105</v>
      </c>
      <c r="L1293" s="7">
        <f>IF($J1293=0,0,ROUND(MAX($J1293*1.4,1620000*(1.497923^(MIN($E1293,123)-117)))*1,0))</f>
        <v>24500</v>
      </c>
      <c r="M1293" s="4">
        <f>$E1293+2</f>
        <v>106</v>
      </c>
      <c r="N1293" s="8">
        <f>IF($J1293=0,0,ROUND(MAX($J1293*1.4*1.5,2190000*(1.580994^(MIN($E1293,123)-117)))*1,0))</f>
        <v>36750</v>
      </c>
      <c r="O1293" s="6">
        <f>$E1293+4</f>
        <v>108</v>
      </c>
      <c r="P1293" s="7">
        <f>IF($J1293=0,0,ROUND(MAX($J1293*1.4*1.5*1.6,3500000*(1.57975^(MIN($E1293,123)-117)))*1,0))</f>
        <v>58800</v>
      </c>
      <c r="Q1293" s="4">
        <f>$E1293+6</f>
        <v>110</v>
      </c>
      <c r="R1293" s="8">
        <f>IF($J1293=0,0,ROUND(MAX($J1293*1.4*1.5*1.6*1.6,13100000*(1.429962^(MIN($E1293,123)-117)))*1,0))</f>
        <v>125329</v>
      </c>
      <c r="S1293" s="6">
        <f>$E1293+8</f>
        <v>112</v>
      </c>
      <c r="T1293" s="7">
        <f>IF($J1293=0,0,ROUND(MAX($J1293*1.4*1.5*1.6*1.6*2.2,42600000*(1.576904^(MIN($E1293,123)-117)))*1,0))</f>
        <v>206976</v>
      </c>
      <c r="U1293" s="4">
        <f>$E1293+11</f>
        <v>115</v>
      </c>
      <c r="V1293" s="8">
        <f>IF($J1293=0,0,ROUND(MAX($J1293*1.4*1.5*1.6*1.6*2.2*2.715,354000000*(1.642074^(MIN($E1293,123)-117)))*1,0))</f>
        <v>561940</v>
      </c>
      <c r="W1293" s="6">
        <f>$E1293+15</f>
        <v>119</v>
      </c>
      <c r="X1293" s="7">
        <f>IF($J1293=0,0,ROUND(MAX($J1293*1.4*1.5*1.6*1.6*2.2*2.715*2.6,3540000000*(1.579646^(MIN($E1293,123)-117)))*1,0))</f>
        <v>9283810</v>
      </c>
      <c r="Y1293" s="4">
        <f>$E1293+17</f>
        <v>121</v>
      </c>
      <c r="Z1293" s="8">
        <f>IF($J1293=0,0,ROUND(MAX($J1293*1.4*1.5*1.6*1.6*2.2*2.715*2.6*1.4,6020000000*(1.651178^(MIN($E1293,123)-117)))*1,0))</f>
        <v>8877197</v>
      </c>
      <c r="AA1293" s="6">
        <f>$E1293+19</f>
        <v>123</v>
      </c>
      <c r="AB1293" s="7">
        <f>IF($J1293=0,0,ROUND(MAX($J1293*1.4*1.5*1.6*1.6*2.2*2.715*2.6*1.4*1.4,8430000000*(1.651435^(MIN($E1293,123)-117)))*1,0))</f>
        <v>12405900</v>
      </c>
      <c r="AC1293" s="4">
        <f>$E1293+21</f>
        <v>125</v>
      </c>
      <c r="AD1293" s="8">
        <f>IF($J1293=0,0,ROUND(MAX($J1293*1.4*1.5*1.6*1.6*2.2*2.715*2.6*1.4*1.4*1.5,12600000000*(1.652953^(MIN($E1293,123)-117)))*1,0))</f>
        <v>18322468</v>
      </c>
      <c r="AE1293" s="6">
        <f>$E1293+24</f>
        <v>128</v>
      </c>
      <c r="AF1293" s="7">
        <f>IF($J1293=0,0,ROUND(MAX($J1293*1.4*1.5*1.6*1.6*2.2*2.715*2.6*1.4*1.4*1.5*1.5,18900000000*(1.65331^(MIN($E1293,123)-117)))*1,0))</f>
        <v>27406653</v>
      </c>
      <c r="AG1293" s="4">
        <f>$E1293+27</f>
        <v>131</v>
      </c>
      <c r="AH1293" s="8">
        <f>IF($J1293=0,0,ROUND(MAX($J1293*1.4*1.5*1.6*1.6*2.2*2.715*2.6*1.4*1.4*1.5*1.5*3.2,60500000000*(1.654288^(MIN($E1293,123)-117)))*1,0))</f>
        <v>87058428</v>
      </c>
    </row>
    <row r="1294" ht="27.75" customHeight="1" spans="1:34" x14ac:dyDescent="0.25">
      <c r="A1294" s="3">
        <v>1304</v>
      </c>
      <c r="B1294" s="3" t="s">
        <v>966</v>
      </c>
      <c r="C1294" s="3" t="s">
        <v>920</v>
      </c>
      <c r="D1294" s="3" t="s">
        <v>90</v>
      </c>
      <c r="E1294" s="3">
        <v>104</v>
      </c>
      <c r="F1294" s="3" t="s">
        <v>62</v>
      </c>
      <c r="G1294" s="3" t="s">
        <v>921</v>
      </c>
      <c r="H1294" s="3">
        <v>21</v>
      </c>
      <c r="I1294" s="4">
        <v>104</v>
      </c>
      <c r="J1294" s="5">
        <v>31200</v>
      </c>
      <c r="K1294" s="6">
        <f>$E1294+1</f>
        <v>105</v>
      </c>
      <c r="L1294" s="7">
        <f>IF($J1294=0,0,ROUND(MAX($J1294*1.4,1620000*(1.497923^(MIN($E1294,123)-117)))*1,0))</f>
        <v>43680</v>
      </c>
      <c r="M1294" s="4">
        <f>$E1294+2</f>
        <v>106</v>
      </c>
      <c r="N1294" s="8">
        <f>IF($J1294=0,0,ROUND(MAX($J1294*1.4*1.5,2190000*(1.580994^(MIN($E1294,123)-117)))*1,0))</f>
        <v>65520</v>
      </c>
      <c r="O1294" s="6">
        <f>$E1294+4</f>
        <v>108</v>
      </c>
      <c r="P1294" s="7">
        <f>IF($J1294=0,0,ROUND(MAX($J1294*1.4*1.5*1.6,3500000*(1.57975^(MIN($E1294,123)-117)))*1,0))</f>
        <v>104832</v>
      </c>
      <c r="Q1294" s="4">
        <f>$E1294+6</f>
        <v>110</v>
      </c>
      <c r="R1294" s="8">
        <f>IF($J1294=0,0,ROUND(MAX($J1294*1.4*1.5*1.6*1.6,13100000*(1.429962^(MIN($E1294,123)-117)))*1,0))</f>
        <v>167731</v>
      </c>
      <c r="S1294" s="6">
        <f>$E1294+8</f>
        <v>112</v>
      </c>
      <c r="T1294" s="7">
        <f>IF($J1294=0,0,ROUND(MAX($J1294*1.4*1.5*1.6*1.6*2.2,42600000*(1.576904^(MIN($E1294,123)-117)))*1,0))</f>
        <v>369009</v>
      </c>
      <c r="U1294" s="4">
        <f>$E1294+11</f>
        <v>115</v>
      </c>
      <c r="V1294" s="8">
        <f>IF($J1294=0,0,ROUND(MAX($J1294*1.4*1.5*1.6*1.6*2.2*2.715,354000000*(1.642074^(MIN($E1294,123)-117)))*1,0))</f>
        <v>1001858</v>
      </c>
      <c r="W1294" s="6">
        <f>$E1294+15</f>
        <v>119</v>
      </c>
      <c r="X1294" s="7">
        <f>IF($J1294=0,0,ROUND(MAX($J1294*1.4*1.5*1.6*1.6*2.2*2.715*2.6,3540000000*(1.579646^(MIN($E1294,123)-117)))*1,0))</f>
        <v>9283810</v>
      </c>
      <c r="Y1294" s="4">
        <f>$E1294+17</f>
        <v>121</v>
      </c>
      <c r="Z1294" s="8">
        <f>IF($J1294=0,0,ROUND(MAX($J1294*1.4*1.5*1.6*1.6*2.2*2.715*2.6*1.4,6020000000*(1.651178^(MIN($E1294,123)-117)))*1,0))</f>
        <v>8877197</v>
      </c>
      <c r="AA1294" s="6">
        <f>$E1294+19</f>
        <v>123</v>
      </c>
      <c r="AB1294" s="7">
        <f>IF($J1294=0,0,ROUND(MAX($J1294*1.4*1.5*1.6*1.6*2.2*2.715*2.6*1.4*1.4,8430000000*(1.651435^(MIN($E1294,123)-117)))*1,0))</f>
        <v>12405900</v>
      </c>
      <c r="AC1294" s="4">
        <f>$E1294+21</f>
        <v>125</v>
      </c>
      <c r="AD1294" s="8">
        <f>IF($J1294=0,0,ROUND(MAX($J1294*1.4*1.5*1.6*1.6*2.2*2.715*2.6*1.4*1.4*1.5,12600000000*(1.652953^(MIN($E1294,123)-117)))*1,0))</f>
        <v>18322468</v>
      </c>
      <c r="AE1294" s="6">
        <f>$E1294+24</f>
        <v>128</v>
      </c>
      <c r="AF1294" s="7">
        <f>IF($J1294=0,0,ROUND(MAX($J1294*1.4*1.5*1.6*1.6*2.2*2.715*2.6*1.4*1.4*1.5*1.5,18900000000*(1.65331^(MIN($E1294,123)-117)))*1,0))</f>
        <v>27406653</v>
      </c>
      <c r="AG1294" s="4">
        <f>$E1294+27</f>
        <v>131</v>
      </c>
      <c r="AH1294" s="8">
        <f>IF($J1294=0,0,ROUND(MAX($J1294*1.4*1.5*1.6*1.6*2.2*2.715*2.6*1.4*1.4*1.5*1.5*3.2,60500000000*(1.654288^(MIN($E1294,123)-117)))*1,0))</f>
        <v>87058428</v>
      </c>
    </row>
    <row r="1295" ht="27.75" customHeight="1" spans="1:34" x14ac:dyDescent="0.25">
      <c r="A1295" s="3">
        <v>1305</v>
      </c>
      <c r="B1295" s="3" t="s">
        <v>967</v>
      </c>
      <c r="C1295" s="3" t="s">
        <v>920</v>
      </c>
      <c r="D1295" s="3" t="s">
        <v>40</v>
      </c>
      <c r="E1295" s="3">
        <v>103</v>
      </c>
      <c r="F1295" s="3" t="s">
        <v>71</v>
      </c>
      <c r="G1295" s="3" t="s">
        <v>921</v>
      </c>
      <c r="H1295" s="3">
        <v>23</v>
      </c>
      <c r="I1295" s="4">
        <v>103</v>
      </c>
      <c r="J1295" s="5">
        <v>22900</v>
      </c>
      <c r="K1295" s="6">
        <f>$E1295+1</f>
        <v>104</v>
      </c>
      <c r="L1295" s="7">
        <f>IF($J1295=0,0,ROUND(MAX($J1295*1.4,1620000*(1.497923^(MIN($E1295,123)-117)))*1,0))</f>
        <v>32060</v>
      </c>
      <c r="M1295" s="4">
        <f>$E1295+2</f>
        <v>105</v>
      </c>
      <c r="N1295" s="8">
        <f>IF($J1295=0,0,ROUND(MAX($J1295*1.4*1.5,2190000*(1.580994^(MIN($E1295,123)-117)))*1,0))</f>
        <v>48090</v>
      </c>
      <c r="O1295" s="6">
        <f>$E1295+4</f>
        <v>107</v>
      </c>
      <c r="P1295" s="7">
        <f>IF($J1295=0,0,ROUND(MAX($J1295*1.4*1.5*1.6,3500000*(1.57975^(MIN($E1295,123)-117)))*1,0))</f>
        <v>76944</v>
      </c>
      <c r="Q1295" s="4">
        <f>$E1295+6</f>
        <v>109</v>
      </c>
      <c r="R1295" s="8">
        <f>IF($J1295=0,0,ROUND(MAX($J1295*1.4*1.5*1.6*1.6,13100000*(1.429962^(MIN($E1295,123)-117)))*1,0))</f>
        <v>123110</v>
      </c>
      <c r="S1295" s="6">
        <f>$E1295+8</f>
        <v>111</v>
      </c>
      <c r="T1295" s="7">
        <f>IF($J1295=0,0,ROUND(MAX($J1295*1.4*1.5*1.6*1.6*2.2,42600000*(1.576904^(MIN($E1295,123)-117)))*1,0))</f>
        <v>270843</v>
      </c>
      <c r="U1295" s="4">
        <f>$E1295+11</f>
        <v>114</v>
      </c>
      <c r="V1295" s="8">
        <f>IF($J1295=0,0,ROUND(MAX($J1295*1.4*1.5*1.6*1.6*2.2*2.715,354000000*(1.642074^(MIN($E1295,123)-117)))*1,0))</f>
        <v>735338</v>
      </c>
      <c r="W1295" s="6">
        <f>$E1295+15</f>
        <v>118</v>
      </c>
      <c r="X1295" s="7">
        <f>IF($J1295=0,0,ROUND(MAX($J1295*1.4*1.5*1.6*1.6*2.2*2.715*2.6,3540000000*(1.579646^(MIN($E1295,123)-117)))*1,0))</f>
        <v>5877146</v>
      </c>
      <c r="Y1295" s="4">
        <f>$E1295+17</f>
        <v>120</v>
      </c>
      <c r="Z1295" s="8">
        <f>IF($J1295=0,0,ROUND(MAX($J1295*1.4*1.5*1.6*1.6*2.2*2.715*2.6*1.4,6020000000*(1.651178^(MIN($E1295,123)-117)))*1,0))</f>
        <v>5376281</v>
      </c>
      <c r="AA1295" s="6">
        <f>$E1295+19</f>
        <v>122</v>
      </c>
      <c r="AB1295" s="7">
        <f>IF($J1295=0,0,ROUND(MAX($J1295*1.4*1.5*1.6*1.6*2.2*2.715*2.6*1.4*1.4,8430000000*(1.651435^(MIN($E1295,123)-117)))*1,0))</f>
        <v>7512194</v>
      </c>
      <c r="AC1295" s="4">
        <f>$E1295+21</f>
        <v>124</v>
      </c>
      <c r="AD1295" s="8">
        <f>IF($J1295=0,0,ROUND(MAX($J1295*1.4*1.5*1.6*1.6*2.2*2.715*2.6*1.4*1.4*1.5,12600000000*(1.652953^(MIN($E1295,123)-117)))*1,0))</f>
        <v>11084688</v>
      </c>
      <c r="AE1295" s="6">
        <f>$E1295+24</f>
        <v>127</v>
      </c>
      <c r="AF1295" s="7">
        <f>IF($J1295=0,0,ROUND(MAX($J1295*1.4*1.5*1.6*1.6*2.2*2.715*2.6*1.4*1.4*1.5*1.5,18900000000*(1.65331^(MIN($E1295,123)-117)))*1,0))</f>
        <v>16576839</v>
      </c>
      <c r="AG1295" s="4">
        <f>$E1295+27</f>
        <v>130</v>
      </c>
      <c r="AH1295" s="8">
        <f>IF($J1295=0,0,ROUND(MAX($J1295*1.4*1.5*1.6*1.6*2.2*2.715*2.6*1.4*1.4*1.5*1.5*3.2,60500000000*(1.654288^(MIN($E1295,123)-117)))*1,0))</f>
        <v>52625920</v>
      </c>
    </row>
    <row r="1296" ht="27.75" customHeight="1" spans="1:34" x14ac:dyDescent="0.25">
      <c r="A1296" s="3">
        <v>1306</v>
      </c>
      <c r="B1296" s="3" t="s">
        <v>792</v>
      </c>
      <c r="C1296" s="3" t="s">
        <v>920</v>
      </c>
      <c r="D1296" s="3" t="s">
        <v>40</v>
      </c>
      <c r="E1296" s="3">
        <v>103</v>
      </c>
      <c r="F1296" s="3" t="s">
        <v>34</v>
      </c>
      <c r="G1296" s="3" t="s">
        <v>254</v>
      </c>
      <c r="H1296" s="3">
        <v>22</v>
      </c>
      <c r="I1296" s="4">
        <v>103</v>
      </c>
      <c r="J1296" s="5">
        <v>22900</v>
      </c>
      <c r="K1296" s="6">
        <f>$E1296+1</f>
        <v>104</v>
      </c>
      <c r="L1296" s="7">
        <f>IF($J1296=0,0,ROUND(MAX($J1296*1.4,1620000*(1.497923^(MIN($E1296,123)-117)))*1,0))</f>
        <v>32060</v>
      </c>
      <c r="M1296" s="4">
        <f>$E1296+2</f>
        <v>105</v>
      </c>
      <c r="N1296" s="8">
        <f>IF($J1296=0,0,ROUND(MAX($J1296*1.4*1.5,2190000*(1.580994^(MIN($E1296,123)-117)))*1,0))</f>
        <v>48090</v>
      </c>
      <c r="O1296" s="6">
        <f>$E1296+4</f>
        <v>107</v>
      </c>
      <c r="P1296" s="7">
        <f>IF($J1296=0,0,ROUND(MAX($J1296*1.4*1.5*1.6,3500000*(1.57975^(MIN($E1296,123)-117)))*1,0))</f>
        <v>76944</v>
      </c>
      <c r="Q1296" s="4">
        <f>$E1296+6</f>
        <v>109</v>
      </c>
      <c r="R1296" s="8">
        <f>IF($J1296=0,0,ROUND(MAX($J1296*1.4*1.5*1.6*1.6,13100000*(1.429962^(MIN($E1296,123)-117)))*1,0))</f>
        <v>123110</v>
      </c>
      <c r="S1296" s="6">
        <f>$E1296+8</f>
        <v>111</v>
      </c>
      <c r="T1296" s="7">
        <f>IF($J1296=0,0,ROUND(MAX($J1296*1.4*1.5*1.6*1.6*2.2,42600000*(1.576904^(MIN($E1296,123)-117)))*1,0))</f>
        <v>270843</v>
      </c>
      <c r="U1296" s="4">
        <f>$E1296+11</f>
        <v>114</v>
      </c>
      <c r="V1296" s="8">
        <f>IF($J1296=0,0,ROUND(MAX($J1296*1.4*1.5*1.6*1.6*2.2*2.715,354000000*(1.642074^(MIN($E1296,123)-117)))*1,0))</f>
        <v>735338</v>
      </c>
      <c r="W1296" s="6">
        <f>$E1296+15</f>
        <v>118</v>
      </c>
      <c r="X1296" s="7">
        <f>IF($J1296=0,0,ROUND(MAX($J1296*1.4*1.5*1.6*1.6*2.2*2.715*2.6,3540000000*(1.579646^(MIN($E1296,123)-117)))*1,0))</f>
        <v>5877146</v>
      </c>
      <c r="Y1296" s="4">
        <f>$E1296+17</f>
        <v>120</v>
      </c>
      <c r="Z1296" s="8">
        <f>IF($J1296=0,0,ROUND(MAX($J1296*1.4*1.5*1.6*1.6*2.2*2.715*2.6*1.4,6020000000*(1.651178^(MIN($E1296,123)-117)))*1,0))</f>
        <v>5376281</v>
      </c>
      <c r="AA1296" s="6">
        <f>$E1296+19</f>
        <v>122</v>
      </c>
      <c r="AB1296" s="7">
        <f>IF($J1296=0,0,ROUND(MAX($J1296*1.4*1.5*1.6*1.6*2.2*2.715*2.6*1.4*1.4,8430000000*(1.651435^(MIN($E1296,123)-117)))*1,0))</f>
        <v>7512194</v>
      </c>
      <c r="AC1296" s="4">
        <f>$E1296+21</f>
        <v>124</v>
      </c>
      <c r="AD1296" s="8">
        <f>IF($J1296=0,0,ROUND(MAX($J1296*1.4*1.5*1.6*1.6*2.2*2.715*2.6*1.4*1.4*1.5,12600000000*(1.652953^(MIN($E1296,123)-117)))*1,0))</f>
        <v>11084688</v>
      </c>
      <c r="AE1296" s="6">
        <f>$E1296+24</f>
        <v>127</v>
      </c>
      <c r="AF1296" s="7">
        <f>IF($J1296=0,0,ROUND(MAX($J1296*1.4*1.5*1.6*1.6*2.2*2.715*2.6*1.4*1.4*1.5*1.5,18900000000*(1.65331^(MIN($E1296,123)-117)))*1,0))</f>
        <v>16576839</v>
      </c>
      <c r="AG1296" s="4">
        <f>$E1296+27</f>
        <v>130</v>
      </c>
      <c r="AH1296" s="8">
        <f>IF($J1296=0,0,ROUND(MAX($J1296*1.4*1.5*1.6*1.6*2.2*2.715*2.6*1.4*1.4*1.5*1.5*3.2,60500000000*(1.654288^(MIN($E1296,123)-117)))*1,0))</f>
        <v>52625920</v>
      </c>
    </row>
    <row r="1297" ht="27.75" customHeight="1" spans="1:34" x14ac:dyDescent="0.25">
      <c r="A1297" s="3">
        <v>1307</v>
      </c>
      <c r="B1297" s="3" t="s">
        <v>968</v>
      </c>
      <c r="C1297" s="3" t="s">
        <v>920</v>
      </c>
      <c r="D1297" s="3" t="s">
        <v>79</v>
      </c>
      <c r="E1297" s="3">
        <v>103</v>
      </c>
      <c r="F1297" s="3" t="s">
        <v>71</v>
      </c>
      <c r="G1297" s="3" t="s">
        <v>956</v>
      </c>
      <c r="H1297" s="3">
        <v>22</v>
      </c>
      <c r="I1297" s="4">
        <v>103</v>
      </c>
      <c r="J1297" s="5">
        <v>21200</v>
      </c>
      <c r="K1297" s="6">
        <f>$E1297+1</f>
        <v>104</v>
      </c>
      <c r="L1297" s="7">
        <f>IF($J1297=0,0,ROUND(MAX($J1297*1.4,1620000*(1.497923^(MIN($E1297,123)-117)))*1,0))</f>
        <v>29680</v>
      </c>
      <c r="M1297" s="4">
        <f>$E1297+2</f>
        <v>105</v>
      </c>
      <c r="N1297" s="8">
        <f>IF($J1297=0,0,ROUND(MAX($J1297*1.4*1.5,2190000*(1.580994^(MIN($E1297,123)-117)))*1,0))</f>
        <v>44520</v>
      </c>
      <c r="O1297" s="6">
        <f>$E1297+4</f>
        <v>107</v>
      </c>
      <c r="P1297" s="7">
        <f>IF($J1297=0,0,ROUND(MAX($J1297*1.4*1.5*1.6,3500000*(1.57975^(MIN($E1297,123)-117)))*1,0))</f>
        <v>71232</v>
      </c>
      <c r="Q1297" s="4">
        <f>$E1297+6</f>
        <v>109</v>
      </c>
      <c r="R1297" s="8">
        <f>IF($J1297=0,0,ROUND(MAX($J1297*1.4*1.5*1.6*1.6,13100000*(1.429962^(MIN($E1297,123)-117)))*1,0))</f>
        <v>113971</v>
      </c>
      <c r="S1297" s="6">
        <f>$E1297+8</f>
        <v>111</v>
      </c>
      <c r="T1297" s="7">
        <f>IF($J1297=0,0,ROUND(MAX($J1297*1.4*1.5*1.6*1.6*2.2,42600000*(1.576904^(MIN($E1297,123)-117)))*1,0))</f>
        <v>250737</v>
      </c>
      <c r="U1297" s="4">
        <f>$E1297+11</f>
        <v>114</v>
      </c>
      <c r="V1297" s="8">
        <f>IF($J1297=0,0,ROUND(MAX($J1297*1.4*1.5*1.6*1.6*2.2*2.715,354000000*(1.642074^(MIN($E1297,123)-117)))*1,0))</f>
        <v>680750</v>
      </c>
      <c r="W1297" s="6">
        <f>$E1297+15</f>
        <v>118</v>
      </c>
      <c r="X1297" s="7">
        <f>IF($J1297=0,0,ROUND(MAX($J1297*1.4*1.5*1.6*1.6*2.2*2.715*2.6,3540000000*(1.579646^(MIN($E1297,123)-117)))*1,0))</f>
        <v>5877146</v>
      </c>
      <c r="Y1297" s="4">
        <f>$E1297+17</f>
        <v>120</v>
      </c>
      <c r="Z1297" s="8">
        <f>IF($J1297=0,0,ROUND(MAX($J1297*1.4*1.5*1.6*1.6*2.2*2.715*2.6*1.4,6020000000*(1.651178^(MIN($E1297,123)-117)))*1,0))</f>
        <v>5376281</v>
      </c>
      <c r="AA1297" s="6">
        <f>$E1297+19</f>
        <v>122</v>
      </c>
      <c r="AB1297" s="7">
        <f>IF($J1297=0,0,ROUND(MAX($J1297*1.4*1.5*1.6*1.6*2.2*2.715*2.6*1.4*1.4,8430000000*(1.651435^(MIN($E1297,123)-117)))*1,0))</f>
        <v>7512194</v>
      </c>
      <c r="AC1297" s="4">
        <f>$E1297+21</f>
        <v>124</v>
      </c>
      <c r="AD1297" s="8">
        <f>IF($J1297=0,0,ROUND(MAX($J1297*1.4*1.5*1.6*1.6*2.2*2.715*2.6*1.4*1.4*1.5,12600000000*(1.652953^(MIN($E1297,123)-117)))*1,0))</f>
        <v>11084688</v>
      </c>
      <c r="AE1297" s="6">
        <f>$E1297+24</f>
        <v>127</v>
      </c>
      <c r="AF1297" s="7">
        <f>IF($J1297=0,0,ROUND(MAX($J1297*1.4*1.5*1.6*1.6*2.2*2.715*2.6*1.4*1.4*1.5*1.5,18900000000*(1.65331^(MIN($E1297,123)-117)))*1,0))</f>
        <v>16576839</v>
      </c>
      <c r="AG1297" s="4">
        <f>$E1297+27</f>
        <v>130</v>
      </c>
      <c r="AH1297" s="8">
        <f>IF($J1297=0,0,ROUND(MAX($J1297*1.4*1.5*1.6*1.6*2.2*2.715*2.6*1.4*1.4*1.5*1.5*3.2,60500000000*(1.654288^(MIN($E1297,123)-117)))*1,0))</f>
        <v>52625920</v>
      </c>
    </row>
    <row r="1298" ht="27.75" customHeight="1" spans="1:34" x14ac:dyDescent="0.25">
      <c r="A1298" s="3">
        <v>1308</v>
      </c>
      <c r="B1298" s="3" t="s">
        <v>969</v>
      </c>
      <c r="C1298" s="3" t="s">
        <v>920</v>
      </c>
      <c r="D1298" s="3" t="s">
        <v>25</v>
      </c>
      <c r="E1298" s="3">
        <v>103</v>
      </c>
      <c r="F1298" s="3" t="s">
        <v>62</v>
      </c>
      <c r="G1298" s="3" t="s">
        <v>970</v>
      </c>
      <c r="H1298" s="3">
        <v>22</v>
      </c>
      <c r="I1298" s="4">
        <v>103</v>
      </c>
      <c r="J1298" s="5">
        <v>18700</v>
      </c>
      <c r="K1298" s="6">
        <f>$E1298+1</f>
        <v>104</v>
      </c>
      <c r="L1298" s="7">
        <f>IF($J1298=0,0,ROUND(MAX($J1298*1.4,1620000*(1.497923^(MIN($E1298,123)-117)))*1,0))</f>
        <v>26180</v>
      </c>
      <c r="M1298" s="4">
        <f>$E1298+2</f>
        <v>105</v>
      </c>
      <c r="N1298" s="8">
        <f>IF($J1298=0,0,ROUND(MAX($J1298*1.4*1.5,2190000*(1.580994^(MIN($E1298,123)-117)))*1,0))</f>
        <v>39270</v>
      </c>
      <c r="O1298" s="6">
        <f>$E1298+4</f>
        <v>107</v>
      </c>
      <c r="P1298" s="7">
        <f>IF($J1298=0,0,ROUND(MAX($J1298*1.4*1.5*1.6,3500000*(1.57975^(MIN($E1298,123)-117)))*1,0))</f>
        <v>62832</v>
      </c>
      <c r="Q1298" s="4">
        <f>$E1298+6</f>
        <v>109</v>
      </c>
      <c r="R1298" s="8">
        <f>IF($J1298=0,0,ROUND(MAX($J1298*1.4*1.5*1.6*1.6,13100000*(1.429962^(MIN($E1298,123)-117)))*1,0))</f>
        <v>100531</v>
      </c>
      <c r="S1298" s="6">
        <f>$E1298+8</f>
        <v>111</v>
      </c>
      <c r="T1298" s="7">
        <f>IF($J1298=0,0,ROUND(MAX($J1298*1.4*1.5*1.6*1.6*2.2,42600000*(1.576904^(MIN($E1298,123)-117)))*1,0))</f>
        <v>221169</v>
      </c>
      <c r="U1298" s="4">
        <f>$E1298+11</f>
        <v>114</v>
      </c>
      <c r="V1298" s="8">
        <f>IF($J1298=0,0,ROUND(MAX($J1298*1.4*1.5*1.6*1.6*2.2*2.715,354000000*(1.642074^(MIN($E1298,123)-117)))*1,0))</f>
        <v>600473</v>
      </c>
      <c r="W1298" s="6">
        <f>$E1298+15</f>
        <v>118</v>
      </c>
      <c r="X1298" s="7">
        <f>IF($J1298=0,0,ROUND(MAX($J1298*1.4*1.5*1.6*1.6*2.2*2.715*2.6,3540000000*(1.579646^(MIN($E1298,123)-117)))*1,0))</f>
        <v>5877146</v>
      </c>
      <c r="Y1298" s="4">
        <f>$E1298+17</f>
        <v>120</v>
      </c>
      <c r="Z1298" s="8">
        <f>IF($J1298=0,0,ROUND(MAX($J1298*1.4*1.5*1.6*1.6*2.2*2.715*2.6*1.4,6020000000*(1.651178^(MIN($E1298,123)-117)))*1,0))</f>
        <v>5376281</v>
      </c>
      <c r="AA1298" s="6">
        <f>$E1298+19</f>
        <v>122</v>
      </c>
      <c r="AB1298" s="7">
        <f>IF($J1298=0,0,ROUND(MAX($J1298*1.4*1.5*1.6*1.6*2.2*2.715*2.6*1.4*1.4,8430000000*(1.651435^(MIN($E1298,123)-117)))*1,0))</f>
        <v>7512194</v>
      </c>
      <c r="AC1298" s="4">
        <f>$E1298+21</f>
        <v>124</v>
      </c>
      <c r="AD1298" s="8">
        <f>IF($J1298=0,0,ROUND(MAX($J1298*1.4*1.5*1.6*1.6*2.2*2.715*2.6*1.4*1.4*1.5,12600000000*(1.652953^(MIN($E1298,123)-117)))*1,0))</f>
        <v>11084688</v>
      </c>
      <c r="AE1298" s="6">
        <f>$E1298+24</f>
        <v>127</v>
      </c>
      <c r="AF1298" s="7">
        <f>IF($J1298=0,0,ROUND(MAX($J1298*1.4*1.5*1.6*1.6*2.2*2.715*2.6*1.4*1.4*1.5*1.5,18900000000*(1.65331^(MIN($E1298,123)-117)))*1,0))</f>
        <v>16576839</v>
      </c>
      <c r="AG1298" s="4">
        <f>$E1298+27</f>
        <v>130</v>
      </c>
      <c r="AH1298" s="8">
        <f>IF($J1298=0,0,ROUND(MAX($J1298*1.4*1.5*1.6*1.6*2.2*2.715*2.6*1.4*1.4*1.5*1.5*3.2,60500000000*(1.654288^(MIN($E1298,123)-117)))*1,0))</f>
        <v>52625920</v>
      </c>
    </row>
    <row r="1299" ht="27.75" customHeight="1" spans="1:34" x14ac:dyDescent="0.25">
      <c r="A1299" s="3">
        <v>1309</v>
      </c>
      <c r="B1299" s="3" t="s">
        <v>971</v>
      </c>
      <c r="C1299" s="3" t="s">
        <v>920</v>
      </c>
      <c r="D1299" s="3" t="s">
        <v>25</v>
      </c>
      <c r="E1299" s="3">
        <v>103</v>
      </c>
      <c r="F1299" s="3" t="s">
        <v>26</v>
      </c>
      <c r="G1299" s="3" t="s">
        <v>828</v>
      </c>
      <c r="H1299" s="3">
        <v>22</v>
      </c>
      <c r="I1299" s="4">
        <v>103</v>
      </c>
      <c r="J1299" s="5">
        <v>18700</v>
      </c>
      <c r="K1299" s="6">
        <f>$E1299+1</f>
        <v>104</v>
      </c>
      <c r="L1299" s="7">
        <f>IF($J1299=0,0,ROUND(MAX($J1299*1.4,1620000*(1.497923^(MIN($E1299,123)-117)))*1,0))</f>
        <v>26180</v>
      </c>
      <c r="M1299" s="4">
        <f>$E1299+2</f>
        <v>105</v>
      </c>
      <c r="N1299" s="8">
        <f>IF($J1299=0,0,ROUND(MAX($J1299*1.4*1.5,2190000*(1.580994^(MIN($E1299,123)-117)))*1,0))</f>
        <v>39270</v>
      </c>
      <c r="O1299" s="6">
        <f>$E1299+4</f>
        <v>107</v>
      </c>
      <c r="P1299" s="7">
        <f>IF($J1299=0,0,ROUND(MAX($J1299*1.4*1.5*1.6,3500000*(1.57975^(MIN($E1299,123)-117)))*1,0))</f>
        <v>62832</v>
      </c>
      <c r="Q1299" s="4">
        <f>$E1299+6</f>
        <v>109</v>
      </c>
      <c r="R1299" s="8">
        <f>IF($J1299=0,0,ROUND(MAX($J1299*1.4*1.5*1.6*1.6,13100000*(1.429962^(MIN($E1299,123)-117)))*1,0))</f>
        <v>100531</v>
      </c>
      <c r="S1299" s="6">
        <f>$E1299+8</f>
        <v>111</v>
      </c>
      <c r="T1299" s="7">
        <f>IF($J1299=0,0,ROUND(MAX($J1299*1.4*1.5*1.6*1.6*2.2,42600000*(1.576904^(MIN($E1299,123)-117)))*1,0))</f>
        <v>221169</v>
      </c>
      <c r="U1299" s="4">
        <f>$E1299+11</f>
        <v>114</v>
      </c>
      <c r="V1299" s="8">
        <f>IF($J1299=0,0,ROUND(MAX($J1299*1.4*1.5*1.6*1.6*2.2*2.715,354000000*(1.642074^(MIN($E1299,123)-117)))*1,0))</f>
        <v>600473</v>
      </c>
      <c r="W1299" s="6">
        <f>$E1299+15</f>
        <v>118</v>
      </c>
      <c r="X1299" s="7">
        <f>IF($J1299=0,0,ROUND(MAX($J1299*1.4*1.5*1.6*1.6*2.2*2.715*2.6,3540000000*(1.579646^(MIN($E1299,123)-117)))*1,0))</f>
        <v>5877146</v>
      </c>
      <c r="Y1299" s="4">
        <f>$E1299+17</f>
        <v>120</v>
      </c>
      <c r="Z1299" s="8">
        <f>IF($J1299=0,0,ROUND(MAX($J1299*1.4*1.5*1.6*1.6*2.2*2.715*2.6*1.4,6020000000*(1.651178^(MIN($E1299,123)-117)))*1,0))</f>
        <v>5376281</v>
      </c>
      <c r="AA1299" s="6">
        <f>$E1299+19</f>
        <v>122</v>
      </c>
      <c r="AB1299" s="7">
        <f>IF($J1299=0,0,ROUND(MAX($J1299*1.4*1.5*1.6*1.6*2.2*2.715*2.6*1.4*1.4,8430000000*(1.651435^(MIN($E1299,123)-117)))*1,0))</f>
        <v>7512194</v>
      </c>
      <c r="AC1299" s="4">
        <f>$E1299+21</f>
        <v>124</v>
      </c>
      <c r="AD1299" s="8">
        <f>IF($J1299=0,0,ROUND(MAX($J1299*1.4*1.5*1.6*1.6*2.2*2.715*2.6*1.4*1.4*1.5,12600000000*(1.652953^(MIN($E1299,123)-117)))*1,0))</f>
        <v>11084688</v>
      </c>
      <c r="AE1299" s="6">
        <f>$E1299+24</f>
        <v>127</v>
      </c>
      <c r="AF1299" s="7">
        <f>IF($J1299=0,0,ROUND(MAX($J1299*1.4*1.5*1.6*1.6*2.2*2.715*2.6*1.4*1.4*1.5*1.5,18900000000*(1.65331^(MIN($E1299,123)-117)))*1,0))</f>
        <v>16576839</v>
      </c>
      <c r="AG1299" s="4">
        <f>$E1299+27</f>
        <v>130</v>
      </c>
      <c r="AH1299" s="8">
        <f>IF($J1299=0,0,ROUND(MAX($J1299*1.4*1.5*1.6*1.6*2.2*2.715*2.6*1.4*1.4*1.5*1.5*3.2,60500000000*(1.654288^(MIN($E1299,123)-117)))*1,0))</f>
        <v>52625920</v>
      </c>
    </row>
    <row r="1300" ht="27.75" customHeight="1" spans="1:34" x14ac:dyDescent="0.25">
      <c r="A1300" s="3">
        <v>1310</v>
      </c>
      <c r="B1300" s="3" t="s">
        <v>972</v>
      </c>
      <c r="C1300" s="3" t="s">
        <v>920</v>
      </c>
      <c r="D1300" s="3" t="s">
        <v>40</v>
      </c>
      <c r="E1300" s="3">
        <v>103</v>
      </c>
      <c r="F1300" s="3" t="s">
        <v>54</v>
      </c>
      <c r="G1300" s="3" t="s">
        <v>921</v>
      </c>
      <c r="H1300" s="3">
        <v>22</v>
      </c>
      <c r="I1300" s="4">
        <v>103</v>
      </c>
      <c r="J1300" s="5">
        <v>9040</v>
      </c>
      <c r="K1300" s="6">
        <f>$E1300+1</f>
        <v>104</v>
      </c>
      <c r="L1300" s="7">
        <f>IF($J1300=0,0,ROUND(MAX($J1300*1.4,1620000*(1.497923^(MIN($E1300,123)-117)))*1,0))</f>
        <v>12656</v>
      </c>
      <c r="M1300" s="4">
        <f>$E1300+2</f>
        <v>105</v>
      </c>
      <c r="N1300" s="8">
        <f>IF($J1300=0,0,ROUND(MAX($J1300*1.4*1.5,2190000*(1.580994^(MIN($E1300,123)-117)))*1,0))</f>
        <v>18984</v>
      </c>
      <c r="O1300" s="6">
        <f>$E1300+4</f>
        <v>107</v>
      </c>
      <c r="P1300" s="7">
        <f>IF($J1300=0,0,ROUND(MAX($J1300*1.4*1.5*1.6,3500000*(1.57975^(MIN($E1300,123)-117)))*1,0))</f>
        <v>30374</v>
      </c>
      <c r="Q1300" s="4">
        <f>$E1300+6</f>
        <v>109</v>
      </c>
      <c r="R1300" s="8">
        <f>IF($J1300=0,0,ROUND(MAX($J1300*1.4*1.5*1.6*1.6,13100000*(1.429962^(MIN($E1300,123)-117)))*1,0))</f>
        <v>87645</v>
      </c>
      <c r="S1300" s="6">
        <f>$E1300+8</f>
        <v>111</v>
      </c>
      <c r="T1300" s="7">
        <f>IF($J1300=0,0,ROUND(MAX($J1300*1.4*1.5*1.6*1.6*2.2,42600000*(1.576904^(MIN($E1300,123)-117)))*1,0))</f>
        <v>106918</v>
      </c>
      <c r="U1300" s="4">
        <f>$E1300+11</f>
        <v>114</v>
      </c>
      <c r="V1300" s="8">
        <f>IF($J1300=0,0,ROUND(MAX($J1300*1.4*1.5*1.6*1.6*2.2*2.715,354000000*(1.642074^(MIN($E1300,123)-117)))*1,0))</f>
        <v>341590</v>
      </c>
      <c r="W1300" s="6">
        <f>$E1300+15</f>
        <v>118</v>
      </c>
      <c r="X1300" s="7">
        <f>IF($J1300=0,0,ROUND(MAX($J1300*1.4*1.5*1.6*1.6*2.2*2.715*2.6,3540000000*(1.579646^(MIN($E1300,123)-117)))*1,0))</f>
        <v>5877146</v>
      </c>
      <c r="Y1300" s="4">
        <f>$E1300+17</f>
        <v>120</v>
      </c>
      <c r="Z1300" s="8">
        <f>IF($J1300=0,0,ROUND(MAX($J1300*1.4*1.5*1.6*1.6*2.2*2.715*2.6*1.4,6020000000*(1.651178^(MIN($E1300,123)-117)))*1,0))</f>
        <v>5376281</v>
      </c>
      <c r="AA1300" s="6">
        <f>$E1300+19</f>
        <v>122</v>
      </c>
      <c r="AB1300" s="7">
        <f>IF($J1300=0,0,ROUND(MAX($J1300*1.4*1.5*1.6*1.6*2.2*2.715*2.6*1.4*1.4,8430000000*(1.651435^(MIN($E1300,123)-117)))*1,0))</f>
        <v>7512194</v>
      </c>
      <c r="AC1300" s="4">
        <f>$E1300+21</f>
        <v>124</v>
      </c>
      <c r="AD1300" s="8">
        <f>IF($J1300=0,0,ROUND(MAX($J1300*1.4*1.5*1.6*1.6*2.2*2.715*2.6*1.4*1.4*1.5,12600000000*(1.652953^(MIN($E1300,123)-117)))*1,0))</f>
        <v>11084688</v>
      </c>
      <c r="AE1300" s="6">
        <f>$E1300+24</f>
        <v>127</v>
      </c>
      <c r="AF1300" s="7">
        <f>IF($J1300=0,0,ROUND(MAX($J1300*1.4*1.5*1.6*1.6*2.2*2.715*2.6*1.4*1.4*1.5*1.5,18900000000*(1.65331^(MIN($E1300,123)-117)))*1,0))</f>
        <v>16576839</v>
      </c>
      <c r="AG1300" s="4">
        <f>$E1300+27</f>
        <v>130</v>
      </c>
      <c r="AH1300" s="8">
        <f>IF($J1300=0,0,ROUND(MAX($J1300*1.4*1.5*1.6*1.6*2.2*2.715*2.6*1.4*1.4*1.5*1.5*3.2,60500000000*(1.654288^(MIN($E1300,123)-117)))*1,0))</f>
        <v>52625920</v>
      </c>
    </row>
    <row r="1301" ht="27.75" customHeight="1" spans="1:34" x14ac:dyDescent="0.25">
      <c r="A1301" s="3">
        <v>1311</v>
      </c>
      <c r="B1301" s="3" t="s">
        <v>558</v>
      </c>
      <c r="C1301" s="3" t="s">
        <v>920</v>
      </c>
      <c r="D1301" s="3" t="s">
        <v>75</v>
      </c>
      <c r="E1301" s="3">
        <v>103</v>
      </c>
      <c r="F1301" s="3" t="s">
        <v>71</v>
      </c>
      <c r="G1301" s="3" t="s">
        <v>921</v>
      </c>
      <c r="H1301" s="3">
        <v>22</v>
      </c>
      <c r="I1301" s="4">
        <v>103</v>
      </c>
      <c r="J1301" s="5">
        <v>21300</v>
      </c>
      <c r="K1301" s="6">
        <f>$E1301+1</f>
        <v>104</v>
      </c>
      <c r="L1301" s="7">
        <f>IF($J1301=0,0,ROUND(MAX($J1301*1.4,1620000*(1.497923^(MIN($E1301,123)-117)))*1,0))</f>
        <v>29820</v>
      </c>
      <c r="M1301" s="4">
        <f>$E1301+2</f>
        <v>105</v>
      </c>
      <c r="N1301" s="8">
        <f>IF($J1301=0,0,ROUND(MAX($J1301*1.4*1.5,2190000*(1.580994^(MIN($E1301,123)-117)))*1,0))</f>
        <v>44730</v>
      </c>
      <c r="O1301" s="6">
        <f>$E1301+4</f>
        <v>107</v>
      </c>
      <c r="P1301" s="7">
        <f>IF($J1301=0,0,ROUND(MAX($J1301*1.4*1.5*1.6,3500000*(1.57975^(MIN($E1301,123)-117)))*1,0))</f>
        <v>71568</v>
      </c>
      <c r="Q1301" s="4">
        <f>$E1301+6</f>
        <v>109</v>
      </c>
      <c r="R1301" s="8">
        <f>IF($J1301=0,0,ROUND(MAX($J1301*1.4*1.5*1.6*1.6,13100000*(1.429962^(MIN($E1301,123)-117)))*1,0))</f>
        <v>114509</v>
      </c>
      <c r="S1301" s="6">
        <f>$E1301+8</f>
        <v>111</v>
      </c>
      <c r="T1301" s="7">
        <f>IF($J1301=0,0,ROUND(MAX($J1301*1.4*1.5*1.6*1.6*2.2,42600000*(1.576904^(MIN($E1301,123)-117)))*1,0))</f>
        <v>251919</v>
      </c>
      <c r="U1301" s="4">
        <f>$E1301+11</f>
        <v>114</v>
      </c>
      <c r="V1301" s="8">
        <f>IF($J1301=0,0,ROUND(MAX($J1301*1.4*1.5*1.6*1.6*2.2*2.715,354000000*(1.642074^(MIN($E1301,123)-117)))*1,0))</f>
        <v>683961</v>
      </c>
      <c r="W1301" s="6">
        <f>$E1301+15</f>
        <v>118</v>
      </c>
      <c r="X1301" s="7">
        <f>IF($J1301=0,0,ROUND(MAX($J1301*1.4*1.5*1.6*1.6*2.2*2.715*2.6,3540000000*(1.579646^(MIN($E1301,123)-117)))*1,0))</f>
        <v>5877146</v>
      </c>
      <c r="Y1301" s="4">
        <f>$E1301+17</f>
        <v>120</v>
      </c>
      <c r="Z1301" s="8">
        <f>IF($J1301=0,0,ROUND(MAX($J1301*1.4*1.5*1.6*1.6*2.2*2.715*2.6*1.4,6020000000*(1.651178^(MIN($E1301,123)-117)))*1,0))</f>
        <v>5376281</v>
      </c>
      <c r="AA1301" s="6">
        <f>$E1301+19</f>
        <v>122</v>
      </c>
      <c r="AB1301" s="7">
        <f>IF($J1301=0,0,ROUND(MAX($J1301*1.4*1.5*1.6*1.6*2.2*2.715*2.6*1.4*1.4,8430000000*(1.651435^(MIN($E1301,123)-117)))*1,0))</f>
        <v>7512194</v>
      </c>
      <c r="AC1301" s="4">
        <f>$E1301+21</f>
        <v>124</v>
      </c>
      <c r="AD1301" s="8">
        <f>IF($J1301=0,0,ROUND(MAX($J1301*1.4*1.5*1.6*1.6*2.2*2.715*2.6*1.4*1.4*1.5,12600000000*(1.652953^(MIN($E1301,123)-117)))*1,0))</f>
        <v>11084688</v>
      </c>
      <c r="AE1301" s="6">
        <f>$E1301+24</f>
        <v>127</v>
      </c>
      <c r="AF1301" s="7">
        <f>IF($J1301=0,0,ROUND(MAX($J1301*1.4*1.5*1.6*1.6*2.2*2.715*2.6*1.4*1.4*1.5*1.5,18900000000*(1.65331^(MIN($E1301,123)-117)))*1,0))</f>
        <v>16576839</v>
      </c>
      <c r="AG1301" s="4">
        <f>$E1301+27</f>
        <v>130</v>
      </c>
      <c r="AH1301" s="8">
        <f>IF($J1301=0,0,ROUND(MAX($J1301*1.4*1.5*1.6*1.6*2.2*2.715*2.6*1.4*1.4*1.5*1.5*3.2,60500000000*(1.654288^(MIN($E1301,123)-117)))*1,0))</f>
        <v>52625920</v>
      </c>
    </row>
    <row r="1302" ht="27.75" customHeight="1" spans="1:34" x14ac:dyDescent="0.25">
      <c r="A1302" s="3">
        <v>1312</v>
      </c>
      <c r="B1302" s="3" t="s">
        <v>973</v>
      </c>
      <c r="C1302" s="3" t="s">
        <v>920</v>
      </c>
      <c r="D1302" s="3" t="s">
        <v>102</v>
      </c>
      <c r="E1302" s="3">
        <v>103</v>
      </c>
      <c r="F1302" s="3" t="s">
        <v>42</v>
      </c>
      <c r="G1302" s="3" t="s">
        <v>392</v>
      </c>
      <c r="H1302" s="3">
        <v>21</v>
      </c>
      <c r="I1302" s="4">
        <v>103</v>
      </c>
      <c r="J1302" s="5">
        <v>17200</v>
      </c>
      <c r="K1302" s="6">
        <f>$E1302+1</f>
        <v>104</v>
      </c>
      <c r="L1302" s="7">
        <f>IF($J1302=0,0,ROUND(MAX($J1302*1.4,1620000*(1.497923^(MIN($E1302,123)-117)))*1,0))</f>
        <v>24080</v>
      </c>
      <c r="M1302" s="4">
        <f>$E1302+2</f>
        <v>105</v>
      </c>
      <c r="N1302" s="8">
        <f>IF($J1302=0,0,ROUND(MAX($J1302*1.4*1.5,2190000*(1.580994^(MIN($E1302,123)-117)))*1,0))</f>
        <v>36120</v>
      </c>
      <c r="O1302" s="6">
        <f>$E1302+4</f>
        <v>107</v>
      </c>
      <c r="P1302" s="7">
        <f>IF($J1302=0,0,ROUND(MAX($J1302*1.4*1.5*1.6,3500000*(1.57975^(MIN($E1302,123)-117)))*1,0))</f>
        <v>57792</v>
      </c>
      <c r="Q1302" s="4">
        <f>$E1302+6</f>
        <v>109</v>
      </c>
      <c r="R1302" s="8">
        <f>IF($J1302=0,0,ROUND(MAX($J1302*1.4*1.5*1.6*1.6,13100000*(1.429962^(MIN($E1302,123)-117)))*1,0))</f>
        <v>92467</v>
      </c>
      <c r="S1302" s="6">
        <f>$E1302+8</f>
        <v>111</v>
      </c>
      <c r="T1302" s="7">
        <f>IF($J1302=0,0,ROUND(MAX($J1302*1.4*1.5*1.6*1.6*2.2,42600000*(1.576904^(MIN($E1302,123)-117)))*1,0))</f>
        <v>203428</v>
      </c>
      <c r="U1302" s="4">
        <f>$E1302+11</f>
        <v>114</v>
      </c>
      <c r="V1302" s="8">
        <f>IF($J1302=0,0,ROUND(MAX($J1302*1.4*1.5*1.6*1.6*2.2*2.715,354000000*(1.642074^(MIN($E1302,123)-117)))*1,0))</f>
        <v>552307</v>
      </c>
      <c r="W1302" s="6">
        <f>$E1302+15</f>
        <v>118</v>
      </c>
      <c r="X1302" s="7">
        <f>IF($J1302=0,0,ROUND(MAX($J1302*1.4*1.5*1.6*1.6*2.2*2.715*2.6,3540000000*(1.579646^(MIN($E1302,123)-117)))*1,0))</f>
        <v>5877146</v>
      </c>
      <c r="Y1302" s="4">
        <f>$E1302+17</f>
        <v>120</v>
      </c>
      <c r="Z1302" s="8">
        <f>IF($J1302=0,0,ROUND(MAX($J1302*1.4*1.5*1.6*1.6*2.2*2.715*2.6*1.4,6020000000*(1.651178^(MIN($E1302,123)-117)))*1,0))</f>
        <v>5376281</v>
      </c>
      <c r="AA1302" s="6">
        <f>$E1302+19</f>
        <v>122</v>
      </c>
      <c r="AB1302" s="7">
        <f>IF($J1302=0,0,ROUND(MAX($J1302*1.4*1.5*1.6*1.6*2.2*2.715*2.6*1.4*1.4,8430000000*(1.651435^(MIN($E1302,123)-117)))*1,0))</f>
        <v>7512194</v>
      </c>
      <c r="AC1302" s="4">
        <f>$E1302+21</f>
        <v>124</v>
      </c>
      <c r="AD1302" s="8">
        <f>IF($J1302=0,0,ROUND(MAX($J1302*1.4*1.5*1.6*1.6*2.2*2.715*2.6*1.4*1.4*1.5,12600000000*(1.652953^(MIN($E1302,123)-117)))*1,0))</f>
        <v>11084688</v>
      </c>
      <c r="AE1302" s="6">
        <f>$E1302+24</f>
        <v>127</v>
      </c>
      <c r="AF1302" s="7">
        <f>IF($J1302=0,0,ROUND(MAX($J1302*1.4*1.5*1.6*1.6*2.2*2.715*2.6*1.4*1.4*1.5*1.5,18900000000*(1.65331^(MIN($E1302,123)-117)))*1,0))</f>
        <v>16576839</v>
      </c>
      <c r="AG1302" s="4">
        <f>$E1302+27</f>
        <v>130</v>
      </c>
      <c r="AH1302" s="8">
        <f>IF($J1302=0,0,ROUND(MAX($J1302*1.4*1.5*1.6*1.6*2.2*2.715*2.6*1.4*1.4*1.5*1.5*3.2,60500000000*(1.654288^(MIN($E1302,123)-117)))*1,0))</f>
        <v>52625920</v>
      </c>
    </row>
    <row r="1303" ht="27.75" customHeight="1" spans="1:34" x14ac:dyDescent="0.25">
      <c r="A1303" s="3">
        <v>1313</v>
      </c>
      <c r="B1303" s="3" t="s">
        <v>974</v>
      </c>
      <c r="C1303" s="3" t="s">
        <v>920</v>
      </c>
      <c r="D1303" s="3" t="s">
        <v>33</v>
      </c>
      <c r="E1303" s="3">
        <v>103</v>
      </c>
      <c r="F1303" s="3" t="s">
        <v>42</v>
      </c>
      <c r="G1303" s="3" t="s">
        <v>921</v>
      </c>
      <c r="H1303" s="3">
        <v>21</v>
      </c>
      <c r="I1303" s="4">
        <v>103</v>
      </c>
      <c r="J1303" s="5">
        <v>20400</v>
      </c>
      <c r="K1303" s="6">
        <f>$E1303+1</f>
        <v>104</v>
      </c>
      <c r="L1303" s="7">
        <f>IF($J1303=0,0,ROUND(MAX($J1303*1.4,1620000*(1.497923^(MIN($E1303,123)-117)))*1,0))</f>
        <v>28560</v>
      </c>
      <c r="M1303" s="4">
        <f>$E1303+2</f>
        <v>105</v>
      </c>
      <c r="N1303" s="8">
        <f>IF($J1303=0,0,ROUND(MAX($J1303*1.4*1.5,2190000*(1.580994^(MIN($E1303,123)-117)))*1,0))</f>
        <v>42840</v>
      </c>
      <c r="O1303" s="6">
        <f>$E1303+4</f>
        <v>107</v>
      </c>
      <c r="P1303" s="7">
        <f>IF($J1303=0,0,ROUND(MAX($J1303*1.4*1.5*1.6,3500000*(1.57975^(MIN($E1303,123)-117)))*1,0))</f>
        <v>68544</v>
      </c>
      <c r="Q1303" s="4">
        <f>$E1303+6</f>
        <v>109</v>
      </c>
      <c r="R1303" s="8">
        <f>IF($J1303=0,0,ROUND(MAX($J1303*1.4*1.5*1.6*1.6,13100000*(1.429962^(MIN($E1303,123)-117)))*1,0))</f>
        <v>109670</v>
      </c>
      <c r="S1303" s="6">
        <f>$E1303+8</f>
        <v>111</v>
      </c>
      <c r="T1303" s="7">
        <f>IF($J1303=0,0,ROUND(MAX($J1303*1.4*1.5*1.6*1.6*2.2,42600000*(1.576904^(MIN($E1303,123)-117)))*1,0))</f>
        <v>241275</v>
      </c>
      <c r="U1303" s="4">
        <f>$E1303+11</f>
        <v>114</v>
      </c>
      <c r="V1303" s="8">
        <f>IF($J1303=0,0,ROUND(MAX($J1303*1.4*1.5*1.6*1.6*2.2*2.715,354000000*(1.642074^(MIN($E1303,123)-117)))*1,0))</f>
        <v>655061</v>
      </c>
      <c r="W1303" s="6">
        <f>$E1303+15</f>
        <v>118</v>
      </c>
      <c r="X1303" s="7">
        <f>IF($J1303=0,0,ROUND(MAX($J1303*1.4*1.5*1.6*1.6*2.2*2.715*2.6,3540000000*(1.579646^(MIN($E1303,123)-117)))*1,0))</f>
        <v>5877146</v>
      </c>
      <c r="Y1303" s="4">
        <f>$E1303+17</f>
        <v>120</v>
      </c>
      <c r="Z1303" s="8">
        <f>IF($J1303=0,0,ROUND(MAX($J1303*1.4*1.5*1.6*1.6*2.2*2.715*2.6*1.4,6020000000*(1.651178^(MIN($E1303,123)-117)))*1,0))</f>
        <v>5376281</v>
      </c>
      <c r="AA1303" s="6">
        <f>$E1303+19</f>
        <v>122</v>
      </c>
      <c r="AB1303" s="7">
        <f>IF($J1303=0,0,ROUND(MAX($J1303*1.4*1.5*1.6*1.6*2.2*2.715*2.6*1.4*1.4,8430000000*(1.651435^(MIN($E1303,123)-117)))*1,0))</f>
        <v>7512194</v>
      </c>
      <c r="AC1303" s="4">
        <f>$E1303+21</f>
        <v>124</v>
      </c>
      <c r="AD1303" s="8">
        <f>IF($J1303=0,0,ROUND(MAX($J1303*1.4*1.5*1.6*1.6*2.2*2.715*2.6*1.4*1.4*1.5,12600000000*(1.652953^(MIN($E1303,123)-117)))*1,0))</f>
        <v>11084688</v>
      </c>
      <c r="AE1303" s="6">
        <f>$E1303+24</f>
        <v>127</v>
      </c>
      <c r="AF1303" s="7">
        <f>IF($J1303=0,0,ROUND(MAX($J1303*1.4*1.5*1.6*1.6*2.2*2.715*2.6*1.4*1.4*1.5*1.5,18900000000*(1.65331^(MIN($E1303,123)-117)))*1,0))</f>
        <v>16576839</v>
      </c>
      <c r="AG1303" s="4">
        <f>$E1303+27</f>
        <v>130</v>
      </c>
      <c r="AH1303" s="8">
        <f>IF($J1303=0,0,ROUND(MAX($J1303*1.4*1.5*1.6*1.6*2.2*2.715*2.6*1.4*1.4*1.5*1.5*3.2,60500000000*(1.654288^(MIN($E1303,123)-117)))*1,0))</f>
        <v>52625920</v>
      </c>
    </row>
    <row r="1304" ht="27.75" customHeight="1" spans="1:34" x14ac:dyDescent="0.25">
      <c r="A1304" s="3">
        <v>1314</v>
      </c>
      <c r="B1304" s="3" t="s">
        <v>975</v>
      </c>
      <c r="C1304" s="3" t="s">
        <v>920</v>
      </c>
      <c r="D1304" s="3" t="s">
        <v>33</v>
      </c>
      <c r="E1304" s="3">
        <v>103</v>
      </c>
      <c r="F1304" s="3" t="s">
        <v>34</v>
      </c>
      <c r="G1304" s="3" t="s">
        <v>976</v>
      </c>
      <c r="H1304" s="3">
        <v>21</v>
      </c>
      <c r="I1304" s="4">
        <v>103</v>
      </c>
      <c r="J1304" s="5">
        <v>18400</v>
      </c>
      <c r="K1304" s="6">
        <f>$E1304+1</f>
        <v>104</v>
      </c>
      <c r="L1304" s="7">
        <f>IF($J1304=0,0,ROUND(MAX($J1304*1.4,1620000*(1.497923^(MIN($E1304,123)-117)))*1,0))</f>
        <v>25760</v>
      </c>
      <c r="M1304" s="4">
        <f>$E1304+2</f>
        <v>105</v>
      </c>
      <c r="N1304" s="8">
        <f>IF($J1304=0,0,ROUND(MAX($J1304*1.4*1.5,2190000*(1.580994^(MIN($E1304,123)-117)))*1,0))</f>
        <v>38640</v>
      </c>
      <c r="O1304" s="6">
        <f>$E1304+4</f>
        <v>107</v>
      </c>
      <c r="P1304" s="7">
        <f>IF($J1304=0,0,ROUND(MAX($J1304*1.4*1.5*1.6,3500000*(1.57975^(MIN($E1304,123)-117)))*1,0))</f>
        <v>61824</v>
      </c>
      <c r="Q1304" s="4">
        <f>$E1304+6</f>
        <v>109</v>
      </c>
      <c r="R1304" s="8">
        <f>IF($J1304=0,0,ROUND(MAX($J1304*1.4*1.5*1.6*1.6,13100000*(1.429962^(MIN($E1304,123)-117)))*1,0))</f>
        <v>98918</v>
      </c>
      <c r="S1304" s="6">
        <f>$E1304+8</f>
        <v>111</v>
      </c>
      <c r="T1304" s="7">
        <f>IF($J1304=0,0,ROUND(MAX($J1304*1.4*1.5*1.6*1.6*2.2,42600000*(1.576904^(MIN($E1304,123)-117)))*1,0))</f>
        <v>217620</v>
      </c>
      <c r="U1304" s="4">
        <f>$E1304+11</f>
        <v>114</v>
      </c>
      <c r="V1304" s="8">
        <f>IF($J1304=0,0,ROUND(MAX($J1304*1.4*1.5*1.6*1.6*2.2*2.715,354000000*(1.642074^(MIN($E1304,123)-117)))*1,0))</f>
        <v>590840</v>
      </c>
      <c r="W1304" s="6">
        <f>$E1304+15</f>
        <v>118</v>
      </c>
      <c r="X1304" s="7">
        <f>IF($J1304=0,0,ROUND(MAX($J1304*1.4*1.5*1.6*1.6*2.2*2.715*2.6,3540000000*(1.579646^(MIN($E1304,123)-117)))*1,0))</f>
        <v>5877146</v>
      </c>
      <c r="Y1304" s="4">
        <f>$E1304+17</f>
        <v>120</v>
      </c>
      <c r="Z1304" s="8">
        <f>IF($J1304=0,0,ROUND(MAX($J1304*1.4*1.5*1.6*1.6*2.2*2.715*2.6*1.4,6020000000*(1.651178^(MIN($E1304,123)-117)))*1,0))</f>
        <v>5376281</v>
      </c>
      <c r="AA1304" s="6">
        <f>$E1304+19</f>
        <v>122</v>
      </c>
      <c r="AB1304" s="7">
        <f>IF($J1304=0,0,ROUND(MAX($J1304*1.4*1.5*1.6*1.6*2.2*2.715*2.6*1.4*1.4,8430000000*(1.651435^(MIN($E1304,123)-117)))*1,0))</f>
        <v>7512194</v>
      </c>
      <c r="AC1304" s="4">
        <f>$E1304+21</f>
        <v>124</v>
      </c>
      <c r="AD1304" s="8">
        <f>IF($J1304=0,0,ROUND(MAX($J1304*1.4*1.5*1.6*1.6*2.2*2.715*2.6*1.4*1.4*1.5,12600000000*(1.652953^(MIN($E1304,123)-117)))*1,0))</f>
        <v>11084688</v>
      </c>
      <c r="AE1304" s="6">
        <f>$E1304+24</f>
        <v>127</v>
      </c>
      <c r="AF1304" s="7">
        <f>IF($J1304=0,0,ROUND(MAX($J1304*1.4*1.5*1.6*1.6*2.2*2.715*2.6*1.4*1.4*1.5*1.5,18900000000*(1.65331^(MIN($E1304,123)-117)))*1,0))</f>
        <v>16576839</v>
      </c>
      <c r="AG1304" s="4">
        <f>$E1304+27</f>
        <v>130</v>
      </c>
      <c r="AH1304" s="8">
        <f>IF($J1304=0,0,ROUND(MAX($J1304*1.4*1.5*1.6*1.6*2.2*2.715*2.6*1.4*1.4*1.5*1.5*3.2,60500000000*(1.654288^(MIN($E1304,123)-117)))*1,0))</f>
        <v>52625920</v>
      </c>
    </row>
    <row r="1305" ht="27.75" customHeight="1" spans="1:34" x14ac:dyDescent="0.25">
      <c r="A1305" s="3">
        <v>1315</v>
      </c>
      <c r="B1305" s="3" t="s">
        <v>977</v>
      </c>
      <c r="C1305" s="3" t="s">
        <v>920</v>
      </c>
      <c r="D1305" s="3" t="s">
        <v>165</v>
      </c>
      <c r="E1305" s="3">
        <v>103</v>
      </c>
      <c r="F1305" s="3" t="s">
        <v>71</v>
      </c>
      <c r="G1305" s="3" t="s">
        <v>978</v>
      </c>
      <c r="H1305" s="3">
        <v>21</v>
      </c>
      <c r="I1305" s="4">
        <v>103</v>
      </c>
      <c r="J1305" s="5">
        <v>18300</v>
      </c>
      <c r="K1305" s="6">
        <f>$E1305+1</f>
        <v>104</v>
      </c>
      <c r="L1305" s="7">
        <f>IF($J1305=0,0,ROUND(MAX($J1305*1.4,1620000*(1.497923^(MIN($E1305,123)-117)))*1,0))</f>
        <v>25620</v>
      </c>
      <c r="M1305" s="4">
        <f>$E1305+2</f>
        <v>105</v>
      </c>
      <c r="N1305" s="8">
        <f>IF($J1305=0,0,ROUND(MAX($J1305*1.4*1.5,2190000*(1.580994^(MIN($E1305,123)-117)))*1,0))</f>
        <v>38430</v>
      </c>
      <c r="O1305" s="6">
        <f>$E1305+4</f>
        <v>107</v>
      </c>
      <c r="P1305" s="7">
        <f>IF($J1305=0,0,ROUND(MAX($J1305*1.4*1.5*1.6,3500000*(1.57975^(MIN($E1305,123)-117)))*1,0))</f>
        <v>61488</v>
      </c>
      <c r="Q1305" s="4">
        <f>$E1305+6</f>
        <v>109</v>
      </c>
      <c r="R1305" s="8">
        <f>IF($J1305=0,0,ROUND(MAX($J1305*1.4*1.5*1.6*1.6,13100000*(1.429962^(MIN($E1305,123)-117)))*1,0))</f>
        <v>98381</v>
      </c>
      <c r="S1305" s="6">
        <f>$E1305+8</f>
        <v>111</v>
      </c>
      <c r="T1305" s="7">
        <f>IF($J1305=0,0,ROUND(MAX($J1305*1.4*1.5*1.6*1.6*2.2,42600000*(1.576904^(MIN($E1305,123)-117)))*1,0))</f>
        <v>216438</v>
      </c>
      <c r="U1305" s="4">
        <f>$E1305+11</f>
        <v>114</v>
      </c>
      <c r="V1305" s="8">
        <f>IF($J1305=0,0,ROUND(MAX($J1305*1.4*1.5*1.6*1.6*2.2*2.715,354000000*(1.642074^(MIN($E1305,123)-117)))*1,0))</f>
        <v>587629</v>
      </c>
      <c r="W1305" s="6">
        <f>$E1305+15</f>
        <v>118</v>
      </c>
      <c r="X1305" s="7">
        <f>IF($J1305=0,0,ROUND(MAX($J1305*1.4*1.5*1.6*1.6*2.2*2.715*2.6,3540000000*(1.579646^(MIN($E1305,123)-117)))*1,0))</f>
        <v>5877146</v>
      </c>
      <c r="Y1305" s="4">
        <f>$E1305+17</f>
        <v>120</v>
      </c>
      <c r="Z1305" s="8">
        <f>IF($J1305=0,0,ROUND(MAX($J1305*1.4*1.5*1.6*1.6*2.2*2.715*2.6*1.4,6020000000*(1.651178^(MIN($E1305,123)-117)))*1,0))</f>
        <v>5376281</v>
      </c>
      <c r="AA1305" s="6">
        <f>$E1305+19</f>
        <v>122</v>
      </c>
      <c r="AB1305" s="7">
        <f>IF($J1305=0,0,ROUND(MAX($J1305*1.4*1.5*1.6*1.6*2.2*2.715*2.6*1.4*1.4,8430000000*(1.651435^(MIN($E1305,123)-117)))*1,0))</f>
        <v>7512194</v>
      </c>
      <c r="AC1305" s="4">
        <f>$E1305+21</f>
        <v>124</v>
      </c>
      <c r="AD1305" s="8">
        <f>IF($J1305=0,0,ROUND(MAX($J1305*1.4*1.5*1.6*1.6*2.2*2.715*2.6*1.4*1.4*1.5,12600000000*(1.652953^(MIN($E1305,123)-117)))*1,0))</f>
        <v>11084688</v>
      </c>
      <c r="AE1305" s="6">
        <f>$E1305+24</f>
        <v>127</v>
      </c>
      <c r="AF1305" s="7">
        <f>IF($J1305=0,0,ROUND(MAX($J1305*1.4*1.5*1.6*1.6*2.2*2.715*2.6*1.4*1.4*1.5*1.5,18900000000*(1.65331^(MIN($E1305,123)-117)))*1,0))</f>
        <v>16576839</v>
      </c>
      <c r="AG1305" s="4">
        <f>$E1305+27</f>
        <v>130</v>
      </c>
      <c r="AH1305" s="8">
        <f>IF($J1305=0,0,ROUND(MAX($J1305*1.4*1.5*1.6*1.6*2.2*2.715*2.6*1.4*1.4*1.5*1.5*3.2,60500000000*(1.654288^(MIN($E1305,123)-117)))*1,0))</f>
        <v>52625920</v>
      </c>
    </row>
    <row r="1306" ht="27.75" customHeight="1" spans="1:34" x14ac:dyDescent="0.25">
      <c r="A1306" s="3">
        <v>1316</v>
      </c>
      <c r="B1306" s="3" t="s">
        <v>240</v>
      </c>
      <c r="C1306" s="3" t="s">
        <v>920</v>
      </c>
      <c r="D1306" s="3" t="s">
        <v>241</v>
      </c>
      <c r="E1306" s="3">
        <v>103</v>
      </c>
      <c r="F1306" s="3" t="s">
        <v>62</v>
      </c>
      <c r="G1306" s="3" t="s">
        <v>242</v>
      </c>
      <c r="H1306" s="3">
        <v>21</v>
      </c>
      <c r="I1306" s="4">
        <v>103</v>
      </c>
      <c r="J1306" s="5">
        <v>18500</v>
      </c>
      <c r="K1306" s="6">
        <f>$E1306+1</f>
        <v>104</v>
      </c>
      <c r="L1306" s="7">
        <f>IF($J1306=0,0,ROUND(MAX($J1306*1.4,1620000*(1.497923^(MIN($E1306,123)-117)))*1,0))</f>
        <v>25900</v>
      </c>
      <c r="M1306" s="4">
        <f>$E1306+2</f>
        <v>105</v>
      </c>
      <c r="N1306" s="8">
        <f>IF($J1306=0,0,ROUND(MAX($J1306*1.4*1.5,2190000*(1.580994^(MIN($E1306,123)-117)))*1,0))</f>
        <v>38850</v>
      </c>
      <c r="O1306" s="6">
        <f>$E1306+4</f>
        <v>107</v>
      </c>
      <c r="P1306" s="7">
        <f>IF($J1306=0,0,ROUND(MAX($J1306*1.4*1.5*1.6,3500000*(1.57975^(MIN($E1306,123)-117)))*1,0))</f>
        <v>62160</v>
      </c>
      <c r="Q1306" s="4">
        <f>$E1306+6</f>
        <v>109</v>
      </c>
      <c r="R1306" s="8">
        <f>IF($J1306=0,0,ROUND(MAX($J1306*1.4*1.5*1.6*1.6,13100000*(1.429962^(MIN($E1306,123)-117)))*1,0))</f>
        <v>99456</v>
      </c>
      <c r="S1306" s="6">
        <f>$E1306+8</f>
        <v>111</v>
      </c>
      <c r="T1306" s="7">
        <f>IF($J1306=0,0,ROUND(MAX($J1306*1.4*1.5*1.6*1.6*2.2,42600000*(1.576904^(MIN($E1306,123)-117)))*1,0))</f>
        <v>218803</v>
      </c>
      <c r="U1306" s="4">
        <f>$E1306+11</f>
        <v>114</v>
      </c>
      <c r="V1306" s="8">
        <f>IF($J1306=0,0,ROUND(MAX($J1306*1.4*1.5*1.6*1.6*2.2*2.715,354000000*(1.642074^(MIN($E1306,123)-117)))*1,0))</f>
        <v>594051</v>
      </c>
      <c r="W1306" s="6">
        <f>$E1306+15</f>
        <v>118</v>
      </c>
      <c r="X1306" s="7">
        <f>IF($J1306=0,0,ROUND(MAX($J1306*1.4*1.5*1.6*1.6*2.2*2.715*2.6,3540000000*(1.579646^(MIN($E1306,123)-117)))*1,0))</f>
        <v>5877146</v>
      </c>
      <c r="Y1306" s="4">
        <f>$E1306+17</f>
        <v>120</v>
      </c>
      <c r="Z1306" s="8">
        <f>IF($J1306=0,0,ROUND(MAX($J1306*1.4*1.5*1.6*1.6*2.2*2.715*2.6*1.4,6020000000*(1.651178^(MIN($E1306,123)-117)))*1,0))</f>
        <v>5376281</v>
      </c>
      <c r="AA1306" s="6">
        <f>$E1306+19</f>
        <v>122</v>
      </c>
      <c r="AB1306" s="7">
        <f>IF($J1306=0,0,ROUND(MAX($J1306*1.4*1.5*1.6*1.6*2.2*2.715*2.6*1.4*1.4,8430000000*(1.651435^(MIN($E1306,123)-117)))*1,0))</f>
        <v>7512194</v>
      </c>
      <c r="AC1306" s="4">
        <f>$E1306+21</f>
        <v>124</v>
      </c>
      <c r="AD1306" s="8">
        <f>IF($J1306=0,0,ROUND(MAX($J1306*1.4*1.5*1.6*1.6*2.2*2.715*2.6*1.4*1.4*1.5,12600000000*(1.652953^(MIN($E1306,123)-117)))*1,0))</f>
        <v>11084688</v>
      </c>
      <c r="AE1306" s="6">
        <f>$E1306+24</f>
        <v>127</v>
      </c>
      <c r="AF1306" s="7">
        <f>IF($J1306=0,0,ROUND(MAX($J1306*1.4*1.5*1.6*1.6*2.2*2.715*2.6*1.4*1.4*1.5*1.5,18900000000*(1.65331^(MIN($E1306,123)-117)))*1,0))</f>
        <v>16576839</v>
      </c>
      <c r="AG1306" s="4">
        <f>$E1306+27</f>
        <v>130</v>
      </c>
      <c r="AH1306" s="8">
        <f>IF($J1306=0,0,ROUND(MAX($J1306*1.4*1.5*1.6*1.6*2.2*2.715*2.6*1.4*1.4*1.5*1.5*3.2,60500000000*(1.654288^(MIN($E1306,123)-117)))*1,0))</f>
        <v>52625920</v>
      </c>
    </row>
    <row r="1307" ht="27.75" customHeight="1" spans="1:34" x14ac:dyDescent="0.25">
      <c r="A1307" s="3">
        <v>1317</v>
      </c>
      <c r="B1307" s="3" t="s">
        <v>979</v>
      </c>
      <c r="C1307" s="3" t="s">
        <v>920</v>
      </c>
      <c r="D1307" s="3" t="s">
        <v>40</v>
      </c>
      <c r="E1307" s="3">
        <v>103</v>
      </c>
      <c r="F1307" s="3" t="s">
        <v>34</v>
      </c>
      <c r="G1307" s="3" t="s">
        <v>921</v>
      </c>
      <c r="H1307" s="3">
        <v>21</v>
      </c>
      <c r="I1307" s="4">
        <v>103</v>
      </c>
      <c r="J1307" s="5">
        <v>18000</v>
      </c>
      <c r="K1307" s="6">
        <f>$E1307+1</f>
        <v>104</v>
      </c>
      <c r="L1307" s="7">
        <f>IF($J1307=0,0,ROUND(MAX($J1307*1.4,1620000*(1.497923^(MIN($E1307,123)-117)))*1,0))</f>
        <v>25200</v>
      </c>
      <c r="M1307" s="4">
        <f>$E1307+2</f>
        <v>105</v>
      </c>
      <c r="N1307" s="8">
        <f>IF($J1307=0,0,ROUND(MAX($J1307*1.4*1.5,2190000*(1.580994^(MIN($E1307,123)-117)))*1,0))</f>
        <v>37800</v>
      </c>
      <c r="O1307" s="6">
        <f>$E1307+4</f>
        <v>107</v>
      </c>
      <c r="P1307" s="7">
        <f>IF($J1307=0,0,ROUND(MAX($J1307*1.4*1.5*1.6,3500000*(1.57975^(MIN($E1307,123)-117)))*1,0))</f>
        <v>60480</v>
      </c>
      <c r="Q1307" s="4">
        <f>$E1307+6</f>
        <v>109</v>
      </c>
      <c r="R1307" s="8">
        <f>IF($J1307=0,0,ROUND(MAX($J1307*1.4*1.5*1.6*1.6,13100000*(1.429962^(MIN($E1307,123)-117)))*1,0))</f>
        <v>96768</v>
      </c>
      <c r="S1307" s="6">
        <f>$E1307+8</f>
        <v>111</v>
      </c>
      <c r="T1307" s="7">
        <f>IF($J1307=0,0,ROUND(MAX($J1307*1.4*1.5*1.6*1.6*2.2,42600000*(1.576904^(MIN($E1307,123)-117)))*1,0))</f>
        <v>212890</v>
      </c>
      <c r="U1307" s="4">
        <f>$E1307+11</f>
        <v>114</v>
      </c>
      <c r="V1307" s="8">
        <f>IF($J1307=0,0,ROUND(MAX($J1307*1.4*1.5*1.6*1.6*2.2*2.715,354000000*(1.642074^(MIN($E1307,123)-117)))*1,0))</f>
        <v>577995</v>
      </c>
      <c r="W1307" s="6">
        <f>$E1307+15</f>
        <v>118</v>
      </c>
      <c r="X1307" s="7">
        <f>IF($J1307=0,0,ROUND(MAX($J1307*1.4*1.5*1.6*1.6*2.2*2.715*2.6,3540000000*(1.579646^(MIN($E1307,123)-117)))*1,0))</f>
        <v>5877146</v>
      </c>
      <c r="Y1307" s="4">
        <f>$E1307+17</f>
        <v>120</v>
      </c>
      <c r="Z1307" s="8">
        <f>IF($J1307=0,0,ROUND(MAX($J1307*1.4*1.5*1.6*1.6*2.2*2.715*2.6*1.4,6020000000*(1.651178^(MIN($E1307,123)-117)))*1,0))</f>
        <v>5376281</v>
      </c>
      <c r="AA1307" s="6">
        <f>$E1307+19</f>
        <v>122</v>
      </c>
      <c r="AB1307" s="7">
        <f>IF($J1307=0,0,ROUND(MAX($J1307*1.4*1.5*1.6*1.6*2.2*2.715*2.6*1.4*1.4,8430000000*(1.651435^(MIN($E1307,123)-117)))*1,0))</f>
        <v>7512194</v>
      </c>
      <c r="AC1307" s="4">
        <f>$E1307+21</f>
        <v>124</v>
      </c>
      <c r="AD1307" s="8">
        <f>IF($J1307=0,0,ROUND(MAX($J1307*1.4*1.5*1.6*1.6*2.2*2.715*2.6*1.4*1.4*1.5,12600000000*(1.652953^(MIN($E1307,123)-117)))*1,0))</f>
        <v>11084688</v>
      </c>
      <c r="AE1307" s="6">
        <f>$E1307+24</f>
        <v>127</v>
      </c>
      <c r="AF1307" s="7">
        <f>IF($J1307=0,0,ROUND(MAX($J1307*1.4*1.5*1.6*1.6*2.2*2.715*2.6*1.4*1.4*1.5*1.5,18900000000*(1.65331^(MIN($E1307,123)-117)))*1,0))</f>
        <v>16576839</v>
      </c>
      <c r="AG1307" s="4">
        <f>$E1307+27</f>
        <v>130</v>
      </c>
      <c r="AH1307" s="8">
        <f>IF($J1307=0,0,ROUND(MAX($J1307*1.4*1.5*1.6*1.6*2.2*2.715*2.6*1.4*1.4*1.5*1.5*3.2,60500000000*(1.654288^(MIN($E1307,123)-117)))*1,0))</f>
        <v>52625920</v>
      </c>
    </row>
    <row r="1308" ht="27.75" customHeight="1" spans="1:34" x14ac:dyDescent="0.25">
      <c r="A1308" s="3">
        <v>1318</v>
      </c>
      <c r="B1308" s="3" t="s">
        <v>980</v>
      </c>
      <c r="C1308" s="3" t="s">
        <v>920</v>
      </c>
      <c r="D1308" s="3" t="s">
        <v>29</v>
      </c>
      <c r="E1308" s="3">
        <v>103</v>
      </c>
      <c r="F1308" s="3" t="s">
        <v>62</v>
      </c>
      <c r="G1308" s="3" t="s">
        <v>921</v>
      </c>
      <c r="H1308" s="3">
        <v>21</v>
      </c>
      <c r="I1308" s="4">
        <v>103</v>
      </c>
      <c r="J1308" s="5">
        <v>8850</v>
      </c>
      <c r="K1308" s="6">
        <f>$E1308+1</f>
        <v>104</v>
      </c>
      <c r="L1308" s="7">
        <f>IF($J1308=0,0,ROUND(MAX($J1308*1.4,1620000*(1.497923^(MIN($E1308,123)-117)))*1,0))</f>
        <v>12390</v>
      </c>
      <c r="M1308" s="4">
        <f>$E1308+2</f>
        <v>105</v>
      </c>
      <c r="N1308" s="8">
        <f>IF($J1308=0,0,ROUND(MAX($J1308*1.4*1.5,2190000*(1.580994^(MIN($E1308,123)-117)))*1,0))</f>
        <v>18585</v>
      </c>
      <c r="O1308" s="6">
        <f>$E1308+4</f>
        <v>107</v>
      </c>
      <c r="P1308" s="7">
        <f>IF($J1308=0,0,ROUND(MAX($J1308*1.4*1.5*1.6,3500000*(1.57975^(MIN($E1308,123)-117)))*1,0))</f>
        <v>29736</v>
      </c>
      <c r="Q1308" s="4">
        <f>$E1308+6</f>
        <v>109</v>
      </c>
      <c r="R1308" s="8">
        <f>IF($J1308=0,0,ROUND(MAX($J1308*1.4*1.5*1.6*1.6,13100000*(1.429962^(MIN($E1308,123)-117)))*1,0))</f>
        <v>87645</v>
      </c>
      <c r="S1308" s="6">
        <f>$E1308+8</f>
        <v>111</v>
      </c>
      <c r="T1308" s="7">
        <f>IF($J1308=0,0,ROUND(MAX($J1308*1.4*1.5*1.6*1.6*2.2,42600000*(1.576904^(MIN($E1308,123)-117)))*1,0))</f>
        <v>104671</v>
      </c>
      <c r="U1308" s="4">
        <f>$E1308+11</f>
        <v>114</v>
      </c>
      <c r="V1308" s="8">
        <f>IF($J1308=0,0,ROUND(MAX($J1308*1.4*1.5*1.6*1.6*2.2*2.715,354000000*(1.642074^(MIN($E1308,123)-117)))*1,0))</f>
        <v>341590</v>
      </c>
      <c r="W1308" s="6">
        <f>$E1308+15</f>
        <v>118</v>
      </c>
      <c r="X1308" s="7">
        <f>IF($J1308=0,0,ROUND(MAX($J1308*1.4*1.5*1.6*1.6*2.2*2.715*2.6,3540000000*(1.579646^(MIN($E1308,123)-117)))*1,0))</f>
        <v>5877146</v>
      </c>
      <c r="Y1308" s="4">
        <f>$E1308+17</f>
        <v>120</v>
      </c>
      <c r="Z1308" s="8">
        <f>IF($J1308=0,0,ROUND(MAX($J1308*1.4*1.5*1.6*1.6*2.2*2.715*2.6*1.4,6020000000*(1.651178^(MIN($E1308,123)-117)))*1,0))</f>
        <v>5376281</v>
      </c>
      <c r="AA1308" s="6">
        <f>$E1308+19</f>
        <v>122</v>
      </c>
      <c r="AB1308" s="7">
        <f>IF($J1308=0,0,ROUND(MAX($J1308*1.4*1.5*1.6*1.6*2.2*2.715*2.6*1.4*1.4,8430000000*(1.651435^(MIN($E1308,123)-117)))*1,0))</f>
        <v>7512194</v>
      </c>
      <c r="AC1308" s="4">
        <f>$E1308+21</f>
        <v>124</v>
      </c>
      <c r="AD1308" s="8">
        <f>IF($J1308=0,0,ROUND(MAX($J1308*1.4*1.5*1.6*1.6*2.2*2.715*2.6*1.4*1.4*1.5,12600000000*(1.652953^(MIN($E1308,123)-117)))*1,0))</f>
        <v>11084688</v>
      </c>
      <c r="AE1308" s="6">
        <f>$E1308+24</f>
        <v>127</v>
      </c>
      <c r="AF1308" s="7">
        <f>IF($J1308=0,0,ROUND(MAX($J1308*1.4*1.5*1.6*1.6*2.2*2.715*2.6*1.4*1.4*1.5*1.5,18900000000*(1.65331^(MIN($E1308,123)-117)))*1,0))</f>
        <v>16576839</v>
      </c>
      <c r="AG1308" s="4">
        <f>$E1308+27</f>
        <v>130</v>
      </c>
      <c r="AH1308" s="8">
        <f>IF($J1308=0,0,ROUND(MAX($J1308*1.4*1.5*1.6*1.6*2.2*2.715*2.6*1.4*1.4*1.5*1.5*3.2,60500000000*(1.654288^(MIN($E1308,123)-117)))*1,0))</f>
        <v>52625920</v>
      </c>
    </row>
    <row r="1309" ht="27.75" customHeight="1" spans="1:34" x14ac:dyDescent="0.25">
      <c r="A1309" s="3">
        <v>1319</v>
      </c>
      <c r="B1309" s="3" t="s">
        <v>981</v>
      </c>
      <c r="C1309" s="3" t="s">
        <v>920</v>
      </c>
      <c r="D1309" s="3" t="s">
        <v>45</v>
      </c>
      <c r="E1309" s="3">
        <v>103</v>
      </c>
      <c r="F1309" s="3" t="s">
        <v>71</v>
      </c>
      <c r="G1309" s="3" t="s">
        <v>982</v>
      </c>
      <c r="H1309" s="3">
        <v>21</v>
      </c>
      <c r="I1309" s="4">
        <v>103</v>
      </c>
      <c r="J1309" s="5">
        <v>22900</v>
      </c>
      <c r="K1309" s="6">
        <f>$E1309+1</f>
        <v>104</v>
      </c>
      <c r="L1309" s="7">
        <f>IF($J1309=0,0,ROUND(MAX($J1309*1.4,1620000*(1.497923^(MIN($E1309,123)-117)))*1,0))</f>
        <v>32060</v>
      </c>
      <c r="M1309" s="4">
        <f>$E1309+2</f>
        <v>105</v>
      </c>
      <c r="N1309" s="8">
        <f>IF($J1309=0,0,ROUND(MAX($J1309*1.4*1.5,2190000*(1.580994^(MIN($E1309,123)-117)))*1,0))</f>
        <v>48090</v>
      </c>
      <c r="O1309" s="6">
        <f>$E1309+4</f>
        <v>107</v>
      </c>
      <c r="P1309" s="7">
        <f>IF($J1309=0,0,ROUND(MAX($J1309*1.4*1.5*1.6,3500000*(1.57975^(MIN($E1309,123)-117)))*1,0))</f>
        <v>76944</v>
      </c>
      <c r="Q1309" s="4">
        <f>$E1309+6</f>
        <v>109</v>
      </c>
      <c r="R1309" s="8">
        <f>IF($J1309=0,0,ROUND(MAX($J1309*1.4*1.5*1.6*1.6,13100000*(1.429962^(MIN($E1309,123)-117)))*1,0))</f>
        <v>123110</v>
      </c>
      <c r="S1309" s="6">
        <f>$E1309+8</f>
        <v>111</v>
      </c>
      <c r="T1309" s="7">
        <f>IF($J1309=0,0,ROUND(MAX($J1309*1.4*1.5*1.6*1.6*2.2,42600000*(1.576904^(MIN($E1309,123)-117)))*1,0))</f>
        <v>270843</v>
      </c>
      <c r="U1309" s="4">
        <f>$E1309+11</f>
        <v>114</v>
      </c>
      <c r="V1309" s="8">
        <f>IF($J1309=0,0,ROUND(MAX($J1309*1.4*1.5*1.6*1.6*2.2*2.715,354000000*(1.642074^(MIN($E1309,123)-117)))*1,0))</f>
        <v>735338</v>
      </c>
      <c r="W1309" s="6">
        <f>$E1309+15</f>
        <v>118</v>
      </c>
      <c r="X1309" s="7">
        <f>IF($J1309=0,0,ROUND(MAX($J1309*1.4*1.5*1.6*1.6*2.2*2.715*2.6,3540000000*(1.579646^(MIN($E1309,123)-117)))*1,0))</f>
        <v>5877146</v>
      </c>
      <c r="Y1309" s="4">
        <f>$E1309+17</f>
        <v>120</v>
      </c>
      <c r="Z1309" s="8">
        <f>IF($J1309=0,0,ROUND(MAX($J1309*1.4*1.5*1.6*1.6*2.2*2.715*2.6*1.4,6020000000*(1.651178^(MIN($E1309,123)-117)))*1,0))</f>
        <v>5376281</v>
      </c>
      <c r="AA1309" s="6">
        <f>$E1309+19</f>
        <v>122</v>
      </c>
      <c r="AB1309" s="7">
        <f>IF($J1309=0,0,ROUND(MAX($J1309*1.4*1.5*1.6*1.6*2.2*2.715*2.6*1.4*1.4,8430000000*(1.651435^(MIN($E1309,123)-117)))*1,0))</f>
        <v>7512194</v>
      </c>
      <c r="AC1309" s="4">
        <f>$E1309+21</f>
        <v>124</v>
      </c>
      <c r="AD1309" s="8">
        <f>IF($J1309=0,0,ROUND(MAX($J1309*1.4*1.5*1.6*1.6*2.2*2.715*2.6*1.4*1.4*1.5,12600000000*(1.652953^(MIN($E1309,123)-117)))*1,0))</f>
        <v>11084688</v>
      </c>
      <c r="AE1309" s="6">
        <f>$E1309+24</f>
        <v>127</v>
      </c>
      <c r="AF1309" s="7">
        <f>IF($J1309=0,0,ROUND(MAX($J1309*1.4*1.5*1.6*1.6*2.2*2.715*2.6*1.4*1.4*1.5*1.5,18900000000*(1.65331^(MIN($E1309,123)-117)))*1,0))</f>
        <v>16576839</v>
      </c>
      <c r="AG1309" s="4">
        <f>$E1309+27</f>
        <v>130</v>
      </c>
      <c r="AH1309" s="8">
        <f>IF($J1309=0,0,ROUND(MAX($J1309*1.4*1.5*1.6*1.6*2.2*2.715*2.6*1.4*1.4*1.5*1.5*3.2,60500000000*(1.654288^(MIN($E1309,123)-117)))*1,0))</f>
        <v>52625920</v>
      </c>
    </row>
    <row r="1310" ht="27.75" customHeight="1" spans="1:34" x14ac:dyDescent="0.25">
      <c r="A1310" s="3">
        <v>1320</v>
      </c>
      <c r="B1310" s="3" t="s">
        <v>983</v>
      </c>
      <c r="C1310" s="3" t="s">
        <v>920</v>
      </c>
      <c r="D1310" s="3" t="s">
        <v>45</v>
      </c>
      <c r="E1310" s="3">
        <v>103</v>
      </c>
      <c r="F1310" s="3" t="s">
        <v>71</v>
      </c>
      <c r="G1310" s="3" t="s">
        <v>282</v>
      </c>
      <c r="H1310" s="3">
        <v>21</v>
      </c>
      <c r="I1310" s="4">
        <v>103</v>
      </c>
      <c r="J1310" s="5">
        <v>17400</v>
      </c>
      <c r="K1310" s="6">
        <f>$E1310+1</f>
        <v>104</v>
      </c>
      <c r="L1310" s="7">
        <f>IF($J1310=0,0,ROUND(MAX($J1310*1.4,1620000*(1.497923^(MIN($E1310,123)-117)))*1,0))</f>
        <v>24360</v>
      </c>
      <c r="M1310" s="4">
        <f>$E1310+2</f>
        <v>105</v>
      </c>
      <c r="N1310" s="8">
        <f>IF($J1310=0,0,ROUND(MAX($J1310*1.4*1.5,2190000*(1.580994^(MIN($E1310,123)-117)))*1,0))</f>
        <v>36540</v>
      </c>
      <c r="O1310" s="6">
        <f>$E1310+4</f>
        <v>107</v>
      </c>
      <c r="P1310" s="7">
        <f>IF($J1310=0,0,ROUND(MAX($J1310*1.4*1.5*1.6,3500000*(1.57975^(MIN($E1310,123)-117)))*1,0))</f>
        <v>58464</v>
      </c>
      <c r="Q1310" s="4">
        <f>$E1310+6</f>
        <v>109</v>
      </c>
      <c r="R1310" s="8">
        <f>IF($J1310=0,0,ROUND(MAX($J1310*1.4*1.5*1.6*1.6,13100000*(1.429962^(MIN($E1310,123)-117)))*1,0))</f>
        <v>93542</v>
      </c>
      <c r="S1310" s="6">
        <f>$E1310+8</f>
        <v>111</v>
      </c>
      <c r="T1310" s="7">
        <f>IF($J1310=0,0,ROUND(MAX($J1310*1.4*1.5*1.6*1.6*2.2,42600000*(1.576904^(MIN($E1310,123)-117)))*1,0))</f>
        <v>205793</v>
      </c>
      <c r="U1310" s="4">
        <f>$E1310+11</f>
        <v>114</v>
      </c>
      <c r="V1310" s="8">
        <f>IF($J1310=0,0,ROUND(MAX($J1310*1.4*1.5*1.6*1.6*2.2*2.715,354000000*(1.642074^(MIN($E1310,123)-117)))*1,0))</f>
        <v>558729</v>
      </c>
      <c r="W1310" s="6">
        <f>$E1310+15</f>
        <v>118</v>
      </c>
      <c r="X1310" s="7">
        <f>IF($J1310=0,0,ROUND(MAX($J1310*1.4*1.5*1.6*1.6*2.2*2.715*2.6,3540000000*(1.579646^(MIN($E1310,123)-117)))*1,0))</f>
        <v>5877146</v>
      </c>
      <c r="Y1310" s="4">
        <f>$E1310+17</f>
        <v>120</v>
      </c>
      <c r="Z1310" s="8">
        <f>IF($J1310=0,0,ROUND(MAX($J1310*1.4*1.5*1.6*1.6*2.2*2.715*2.6*1.4,6020000000*(1.651178^(MIN($E1310,123)-117)))*1,0))</f>
        <v>5376281</v>
      </c>
      <c r="AA1310" s="6">
        <f>$E1310+19</f>
        <v>122</v>
      </c>
      <c r="AB1310" s="7">
        <f>IF($J1310=0,0,ROUND(MAX($J1310*1.4*1.5*1.6*1.6*2.2*2.715*2.6*1.4*1.4,8430000000*(1.651435^(MIN($E1310,123)-117)))*1,0))</f>
        <v>7512194</v>
      </c>
      <c r="AC1310" s="4">
        <f>$E1310+21</f>
        <v>124</v>
      </c>
      <c r="AD1310" s="8">
        <f>IF($J1310=0,0,ROUND(MAX($J1310*1.4*1.5*1.6*1.6*2.2*2.715*2.6*1.4*1.4*1.5,12600000000*(1.652953^(MIN($E1310,123)-117)))*1,0))</f>
        <v>11084688</v>
      </c>
      <c r="AE1310" s="6">
        <f>$E1310+24</f>
        <v>127</v>
      </c>
      <c r="AF1310" s="7">
        <f>IF($J1310=0,0,ROUND(MAX($J1310*1.4*1.5*1.6*1.6*2.2*2.715*2.6*1.4*1.4*1.5*1.5,18900000000*(1.65331^(MIN($E1310,123)-117)))*1,0))</f>
        <v>16576839</v>
      </c>
      <c r="AG1310" s="4">
        <f>$E1310+27</f>
        <v>130</v>
      </c>
      <c r="AH1310" s="8">
        <f>IF($J1310=0,0,ROUND(MAX($J1310*1.4*1.5*1.6*1.6*2.2*2.715*2.6*1.4*1.4*1.5*1.5*3.2,60500000000*(1.654288^(MIN($E1310,123)-117)))*1,0))</f>
        <v>52625920</v>
      </c>
    </row>
    <row r="1311" ht="27.75" customHeight="1" spans="1:34" x14ac:dyDescent="0.25">
      <c r="A1311" s="3">
        <v>1321</v>
      </c>
      <c r="B1311" s="3" t="s">
        <v>984</v>
      </c>
      <c r="C1311" s="3" t="s">
        <v>920</v>
      </c>
      <c r="D1311" s="3" t="s">
        <v>331</v>
      </c>
      <c r="E1311" s="3">
        <v>103</v>
      </c>
      <c r="F1311" s="3" t="s">
        <v>54</v>
      </c>
      <c r="G1311" s="3" t="s">
        <v>921</v>
      </c>
      <c r="H1311" s="3">
        <v>21</v>
      </c>
      <c r="I1311" s="4">
        <v>103</v>
      </c>
      <c r="J1311" s="5">
        <v>8730</v>
      </c>
      <c r="K1311" s="6">
        <f>$E1311+1</f>
        <v>104</v>
      </c>
      <c r="L1311" s="7">
        <f>IF($J1311=0,0,ROUND(MAX($J1311*1.4,1620000*(1.497923^(MIN($E1311,123)-117)))*1,0))</f>
        <v>12222</v>
      </c>
      <c r="M1311" s="4">
        <f>$E1311+2</f>
        <v>105</v>
      </c>
      <c r="N1311" s="8">
        <f>IF($J1311=0,0,ROUND(MAX($J1311*1.4*1.5,2190000*(1.580994^(MIN($E1311,123)-117)))*1,0))</f>
        <v>18333</v>
      </c>
      <c r="O1311" s="6">
        <f>$E1311+4</f>
        <v>107</v>
      </c>
      <c r="P1311" s="7">
        <f>IF($J1311=0,0,ROUND(MAX($J1311*1.4*1.5*1.6,3500000*(1.57975^(MIN($E1311,123)-117)))*1,0))</f>
        <v>29333</v>
      </c>
      <c r="Q1311" s="4">
        <f>$E1311+6</f>
        <v>109</v>
      </c>
      <c r="R1311" s="8">
        <f>IF($J1311=0,0,ROUND(MAX($J1311*1.4*1.5*1.6*1.6,13100000*(1.429962^(MIN($E1311,123)-117)))*1,0))</f>
        <v>87645</v>
      </c>
      <c r="S1311" s="6">
        <f>$E1311+8</f>
        <v>111</v>
      </c>
      <c r="T1311" s="7">
        <f>IF($J1311=0,0,ROUND(MAX($J1311*1.4*1.5*1.6*1.6*2.2,42600000*(1.576904^(MIN($E1311,123)-117)))*1,0))</f>
        <v>103251</v>
      </c>
      <c r="U1311" s="4">
        <f>$E1311+11</f>
        <v>114</v>
      </c>
      <c r="V1311" s="8">
        <f>IF($J1311=0,0,ROUND(MAX($J1311*1.4*1.5*1.6*1.6*2.2*2.715,354000000*(1.642074^(MIN($E1311,123)-117)))*1,0))</f>
        <v>341590</v>
      </c>
      <c r="W1311" s="6">
        <f>$E1311+15</f>
        <v>118</v>
      </c>
      <c r="X1311" s="7">
        <f>IF($J1311=0,0,ROUND(MAX($J1311*1.4*1.5*1.6*1.6*2.2*2.715*2.6,3540000000*(1.579646^(MIN($E1311,123)-117)))*1,0))</f>
        <v>5877146</v>
      </c>
      <c r="Y1311" s="4">
        <f>$E1311+17</f>
        <v>120</v>
      </c>
      <c r="Z1311" s="8">
        <f>IF($J1311=0,0,ROUND(MAX($J1311*1.4*1.5*1.6*1.6*2.2*2.715*2.6*1.4,6020000000*(1.651178^(MIN($E1311,123)-117)))*1,0))</f>
        <v>5376281</v>
      </c>
      <c r="AA1311" s="6">
        <f>$E1311+19</f>
        <v>122</v>
      </c>
      <c r="AB1311" s="7">
        <f>IF($J1311=0,0,ROUND(MAX($J1311*1.4*1.5*1.6*1.6*2.2*2.715*2.6*1.4*1.4,8430000000*(1.651435^(MIN($E1311,123)-117)))*1,0))</f>
        <v>7512194</v>
      </c>
      <c r="AC1311" s="4">
        <f>$E1311+21</f>
        <v>124</v>
      </c>
      <c r="AD1311" s="8">
        <f>IF($J1311=0,0,ROUND(MAX($J1311*1.4*1.5*1.6*1.6*2.2*2.715*2.6*1.4*1.4*1.5,12600000000*(1.652953^(MIN($E1311,123)-117)))*1,0))</f>
        <v>11084688</v>
      </c>
      <c r="AE1311" s="6">
        <f>$E1311+24</f>
        <v>127</v>
      </c>
      <c r="AF1311" s="7">
        <f>IF($J1311=0,0,ROUND(MAX($J1311*1.4*1.5*1.6*1.6*2.2*2.715*2.6*1.4*1.4*1.5*1.5,18900000000*(1.65331^(MIN($E1311,123)-117)))*1,0))</f>
        <v>16576839</v>
      </c>
      <c r="AG1311" s="4">
        <f>$E1311+27</f>
        <v>130</v>
      </c>
      <c r="AH1311" s="8">
        <f>IF($J1311=0,0,ROUND(MAX($J1311*1.4*1.5*1.6*1.6*2.2*2.715*2.6*1.4*1.4*1.5*1.5*3.2,60500000000*(1.654288^(MIN($E1311,123)-117)))*1,0))</f>
        <v>52625920</v>
      </c>
    </row>
    <row r="1312" ht="27.75" customHeight="1" spans="1:34" x14ac:dyDescent="0.25">
      <c r="A1312" s="3">
        <v>1322</v>
      </c>
      <c r="B1312" s="3" t="s">
        <v>985</v>
      </c>
      <c r="C1312" s="3" t="s">
        <v>920</v>
      </c>
      <c r="D1312" s="3" t="s">
        <v>45</v>
      </c>
      <c r="E1312" s="3">
        <v>103</v>
      </c>
      <c r="F1312" s="3" t="s">
        <v>42</v>
      </c>
      <c r="G1312" s="3" t="s">
        <v>921</v>
      </c>
      <c r="H1312" s="3">
        <v>21</v>
      </c>
      <c r="I1312" s="4">
        <v>103</v>
      </c>
      <c r="J1312" s="5">
        <v>18200</v>
      </c>
      <c r="K1312" s="6">
        <f>$E1312+1</f>
        <v>104</v>
      </c>
      <c r="L1312" s="7">
        <f>IF($J1312=0,0,ROUND(MAX($J1312*1.4,1620000*(1.497923^(MIN($E1312,123)-117)))*1,0))</f>
        <v>25480</v>
      </c>
      <c r="M1312" s="4">
        <f>$E1312+2</f>
        <v>105</v>
      </c>
      <c r="N1312" s="8">
        <f>IF($J1312=0,0,ROUND(MAX($J1312*1.4*1.5,2190000*(1.580994^(MIN($E1312,123)-117)))*1,0))</f>
        <v>38220</v>
      </c>
      <c r="O1312" s="6">
        <f>$E1312+4</f>
        <v>107</v>
      </c>
      <c r="P1312" s="7">
        <f>IF($J1312=0,0,ROUND(MAX($J1312*1.4*1.5*1.6,3500000*(1.57975^(MIN($E1312,123)-117)))*1,0))</f>
        <v>61152</v>
      </c>
      <c r="Q1312" s="4">
        <f>$E1312+6</f>
        <v>109</v>
      </c>
      <c r="R1312" s="8">
        <f>IF($J1312=0,0,ROUND(MAX($J1312*1.4*1.5*1.6*1.6,13100000*(1.429962^(MIN($E1312,123)-117)))*1,0))</f>
        <v>97843</v>
      </c>
      <c r="S1312" s="6">
        <f>$E1312+8</f>
        <v>111</v>
      </c>
      <c r="T1312" s="7">
        <f>IF($J1312=0,0,ROUND(MAX($J1312*1.4*1.5*1.6*1.6*2.2,42600000*(1.576904^(MIN($E1312,123)-117)))*1,0))</f>
        <v>215255</v>
      </c>
      <c r="U1312" s="4">
        <f>$E1312+11</f>
        <v>114</v>
      </c>
      <c r="V1312" s="8">
        <f>IF($J1312=0,0,ROUND(MAX($J1312*1.4*1.5*1.6*1.6*2.2*2.715,354000000*(1.642074^(MIN($E1312,123)-117)))*1,0))</f>
        <v>584417</v>
      </c>
      <c r="W1312" s="6">
        <f>$E1312+15</f>
        <v>118</v>
      </c>
      <c r="X1312" s="7">
        <f>IF($J1312=0,0,ROUND(MAX($J1312*1.4*1.5*1.6*1.6*2.2*2.715*2.6,3540000000*(1.579646^(MIN($E1312,123)-117)))*1,0))</f>
        <v>5877146</v>
      </c>
      <c r="Y1312" s="4">
        <f>$E1312+17</f>
        <v>120</v>
      </c>
      <c r="Z1312" s="8">
        <f>IF($J1312=0,0,ROUND(MAX($J1312*1.4*1.5*1.6*1.6*2.2*2.715*2.6*1.4,6020000000*(1.651178^(MIN($E1312,123)-117)))*1,0))</f>
        <v>5376281</v>
      </c>
      <c r="AA1312" s="6">
        <f>$E1312+19</f>
        <v>122</v>
      </c>
      <c r="AB1312" s="7">
        <f>IF($J1312=0,0,ROUND(MAX($J1312*1.4*1.5*1.6*1.6*2.2*2.715*2.6*1.4*1.4,8430000000*(1.651435^(MIN($E1312,123)-117)))*1,0))</f>
        <v>7512194</v>
      </c>
      <c r="AC1312" s="4">
        <f>$E1312+21</f>
        <v>124</v>
      </c>
      <c r="AD1312" s="8">
        <f>IF($J1312=0,0,ROUND(MAX($J1312*1.4*1.5*1.6*1.6*2.2*2.715*2.6*1.4*1.4*1.5,12600000000*(1.652953^(MIN($E1312,123)-117)))*1,0))</f>
        <v>11084688</v>
      </c>
      <c r="AE1312" s="6">
        <f>$E1312+24</f>
        <v>127</v>
      </c>
      <c r="AF1312" s="7">
        <f>IF($J1312=0,0,ROUND(MAX($J1312*1.4*1.5*1.6*1.6*2.2*2.715*2.6*1.4*1.4*1.5*1.5,18900000000*(1.65331^(MIN($E1312,123)-117)))*1,0))</f>
        <v>16576839</v>
      </c>
      <c r="AG1312" s="4">
        <f>$E1312+27</f>
        <v>130</v>
      </c>
      <c r="AH1312" s="8">
        <f>IF($J1312=0,0,ROUND(MAX($J1312*1.4*1.5*1.6*1.6*2.2*2.715*2.6*1.4*1.4*1.5*1.5*3.2,60500000000*(1.654288^(MIN($E1312,123)-117)))*1,0))</f>
        <v>52625920</v>
      </c>
    </row>
    <row r="1313" ht="27.75" customHeight="1" spans="1:34" x14ac:dyDescent="0.25">
      <c r="A1313" s="3">
        <v>1323</v>
      </c>
      <c r="B1313" s="3" t="s">
        <v>986</v>
      </c>
      <c r="C1313" s="3" t="s">
        <v>920</v>
      </c>
      <c r="D1313" s="3" t="s">
        <v>25</v>
      </c>
      <c r="E1313" s="3">
        <v>103</v>
      </c>
      <c r="F1313" s="3" t="s">
        <v>34</v>
      </c>
      <c r="G1313" s="3" t="s">
        <v>921</v>
      </c>
      <c r="H1313" s="3">
        <v>21</v>
      </c>
      <c r="I1313" s="4">
        <v>103</v>
      </c>
      <c r="J1313" s="5">
        <v>10900</v>
      </c>
      <c r="K1313" s="6">
        <f>$E1313+1</f>
        <v>104</v>
      </c>
      <c r="L1313" s="7">
        <f>IF($J1313=0,0,ROUND(MAX($J1313*1.4,1620000*(1.497923^(MIN($E1313,123)-117)))*1,0))</f>
        <v>15260</v>
      </c>
      <c r="M1313" s="4">
        <f>$E1313+2</f>
        <v>105</v>
      </c>
      <c r="N1313" s="8">
        <f>IF($J1313=0,0,ROUND(MAX($J1313*1.4*1.5,2190000*(1.580994^(MIN($E1313,123)-117)))*1,0))</f>
        <v>22890</v>
      </c>
      <c r="O1313" s="6">
        <f>$E1313+4</f>
        <v>107</v>
      </c>
      <c r="P1313" s="7">
        <f>IF($J1313=0,0,ROUND(MAX($J1313*1.4*1.5*1.6,3500000*(1.57975^(MIN($E1313,123)-117)))*1,0))</f>
        <v>36624</v>
      </c>
      <c r="Q1313" s="4">
        <f>$E1313+6</f>
        <v>109</v>
      </c>
      <c r="R1313" s="8">
        <f>IF($J1313=0,0,ROUND(MAX($J1313*1.4*1.5*1.6*1.6,13100000*(1.429962^(MIN($E1313,123)-117)))*1,0))</f>
        <v>87645</v>
      </c>
      <c r="S1313" s="6">
        <f>$E1313+8</f>
        <v>111</v>
      </c>
      <c r="T1313" s="7">
        <f>IF($J1313=0,0,ROUND(MAX($J1313*1.4*1.5*1.6*1.6*2.2,42600000*(1.576904^(MIN($E1313,123)-117)))*1,0))</f>
        <v>128916</v>
      </c>
      <c r="U1313" s="4">
        <f>$E1313+11</f>
        <v>114</v>
      </c>
      <c r="V1313" s="8">
        <f>IF($J1313=0,0,ROUND(MAX($J1313*1.4*1.5*1.6*1.6*2.2*2.715,354000000*(1.642074^(MIN($E1313,123)-117)))*1,0))</f>
        <v>350008</v>
      </c>
      <c r="W1313" s="6">
        <f>$E1313+15</f>
        <v>118</v>
      </c>
      <c r="X1313" s="7">
        <f>IF($J1313=0,0,ROUND(MAX($J1313*1.4*1.5*1.6*1.6*2.2*2.715*2.6,3540000000*(1.579646^(MIN($E1313,123)-117)))*1,0))</f>
        <v>5877146</v>
      </c>
      <c r="Y1313" s="4">
        <f>$E1313+17</f>
        <v>120</v>
      </c>
      <c r="Z1313" s="8">
        <f>IF($J1313=0,0,ROUND(MAX($J1313*1.4*1.5*1.6*1.6*2.2*2.715*2.6*1.4,6020000000*(1.651178^(MIN($E1313,123)-117)))*1,0))</f>
        <v>5376281</v>
      </c>
      <c r="AA1313" s="6">
        <f>$E1313+19</f>
        <v>122</v>
      </c>
      <c r="AB1313" s="7">
        <f>IF($J1313=0,0,ROUND(MAX($J1313*1.4*1.5*1.6*1.6*2.2*2.715*2.6*1.4*1.4,8430000000*(1.651435^(MIN($E1313,123)-117)))*1,0))</f>
        <v>7512194</v>
      </c>
      <c r="AC1313" s="4">
        <f>$E1313+21</f>
        <v>124</v>
      </c>
      <c r="AD1313" s="8">
        <f>IF($J1313=0,0,ROUND(MAX($J1313*1.4*1.5*1.6*1.6*2.2*2.715*2.6*1.4*1.4*1.5,12600000000*(1.652953^(MIN($E1313,123)-117)))*1,0))</f>
        <v>11084688</v>
      </c>
      <c r="AE1313" s="6">
        <f>$E1313+24</f>
        <v>127</v>
      </c>
      <c r="AF1313" s="7">
        <f>IF($J1313=0,0,ROUND(MAX($J1313*1.4*1.5*1.6*1.6*2.2*2.715*2.6*1.4*1.4*1.5*1.5,18900000000*(1.65331^(MIN($E1313,123)-117)))*1,0))</f>
        <v>16576839</v>
      </c>
      <c r="AG1313" s="4">
        <f>$E1313+27</f>
        <v>130</v>
      </c>
      <c r="AH1313" s="8">
        <f>IF($J1313=0,0,ROUND(MAX($J1313*1.4*1.5*1.6*1.6*2.2*2.715*2.6*1.4*1.4*1.5*1.5*3.2,60500000000*(1.654288^(MIN($E1313,123)-117)))*1,0))</f>
        <v>52625920</v>
      </c>
    </row>
    <row r="1314" ht="27.75" customHeight="1" spans="1:34" x14ac:dyDescent="0.25">
      <c r="A1314" s="3">
        <v>1324</v>
      </c>
      <c r="B1314" s="3" t="s">
        <v>987</v>
      </c>
      <c r="C1314" s="3" t="s">
        <v>920</v>
      </c>
      <c r="D1314" s="3" t="s">
        <v>40</v>
      </c>
      <c r="E1314" s="3">
        <v>103</v>
      </c>
      <c r="F1314" s="3" t="s">
        <v>71</v>
      </c>
      <c r="G1314" s="3" t="s">
        <v>921</v>
      </c>
      <c r="H1314" s="3">
        <v>21</v>
      </c>
      <c r="I1314" s="4">
        <v>103</v>
      </c>
      <c r="J1314" s="5">
        <v>16700</v>
      </c>
      <c r="K1314" s="6">
        <f>$E1314+1</f>
        <v>104</v>
      </c>
      <c r="L1314" s="7">
        <f>IF($J1314=0,0,ROUND(MAX($J1314*1.4,1620000*(1.497923^(MIN($E1314,123)-117)))*1,0))</f>
        <v>23380</v>
      </c>
      <c r="M1314" s="4">
        <f>$E1314+2</f>
        <v>105</v>
      </c>
      <c r="N1314" s="8">
        <f>IF($J1314=0,0,ROUND(MAX($J1314*1.4*1.5,2190000*(1.580994^(MIN($E1314,123)-117)))*1,0))</f>
        <v>35070</v>
      </c>
      <c r="O1314" s="6">
        <f>$E1314+4</f>
        <v>107</v>
      </c>
      <c r="P1314" s="7">
        <f>IF($J1314=0,0,ROUND(MAX($J1314*1.4*1.5*1.6,3500000*(1.57975^(MIN($E1314,123)-117)))*1,0))</f>
        <v>56112</v>
      </c>
      <c r="Q1314" s="4">
        <f>$E1314+6</f>
        <v>109</v>
      </c>
      <c r="R1314" s="8">
        <f>IF($J1314=0,0,ROUND(MAX($J1314*1.4*1.5*1.6*1.6,13100000*(1.429962^(MIN($E1314,123)-117)))*1,0))</f>
        <v>89779</v>
      </c>
      <c r="S1314" s="6">
        <f>$E1314+8</f>
        <v>111</v>
      </c>
      <c r="T1314" s="7">
        <f>IF($J1314=0,0,ROUND(MAX($J1314*1.4*1.5*1.6*1.6*2.2,42600000*(1.576904^(MIN($E1314,123)-117)))*1,0))</f>
        <v>197514</v>
      </c>
      <c r="U1314" s="4">
        <f>$E1314+11</f>
        <v>114</v>
      </c>
      <c r="V1314" s="8">
        <f>IF($J1314=0,0,ROUND(MAX($J1314*1.4*1.5*1.6*1.6*2.2*2.715,354000000*(1.642074^(MIN($E1314,123)-117)))*1,0))</f>
        <v>536251</v>
      </c>
      <c r="W1314" s="6">
        <f>$E1314+15</f>
        <v>118</v>
      </c>
      <c r="X1314" s="7">
        <f>IF($J1314=0,0,ROUND(MAX($J1314*1.4*1.5*1.6*1.6*2.2*2.715*2.6,3540000000*(1.579646^(MIN($E1314,123)-117)))*1,0))</f>
        <v>5877146</v>
      </c>
      <c r="Y1314" s="4">
        <f>$E1314+17</f>
        <v>120</v>
      </c>
      <c r="Z1314" s="8">
        <f>IF($J1314=0,0,ROUND(MAX($J1314*1.4*1.5*1.6*1.6*2.2*2.715*2.6*1.4,6020000000*(1.651178^(MIN($E1314,123)-117)))*1,0))</f>
        <v>5376281</v>
      </c>
      <c r="AA1314" s="6">
        <f>$E1314+19</f>
        <v>122</v>
      </c>
      <c r="AB1314" s="7">
        <f>IF($J1314=0,0,ROUND(MAX($J1314*1.4*1.5*1.6*1.6*2.2*2.715*2.6*1.4*1.4,8430000000*(1.651435^(MIN($E1314,123)-117)))*1,0))</f>
        <v>7512194</v>
      </c>
      <c r="AC1314" s="4">
        <f>$E1314+21</f>
        <v>124</v>
      </c>
      <c r="AD1314" s="8">
        <f>IF($J1314=0,0,ROUND(MAX($J1314*1.4*1.5*1.6*1.6*2.2*2.715*2.6*1.4*1.4*1.5,12600000000*(1.652953^(MIN($E1314,123)-117)))*1,0))</f>
        <v>11084688</v>
      </c>
      <c r="AE1314" s="6">
        <f>$E1314+24</f>
        <v>127</v>
      </c>
      <c r="AF1314" s="7">
        <f>IF($J1314=0,0,ROUND(MAX($J1314*1.4*1.5*1.6*1.6*2.2*2.715*2.6*1.4*1.4*1.5*1.5,18900000000*(1.65331^(MIN($E1314,123)-117)))*1,0))</f>
        <v>16576839</v>
      </c>
      <c r="AG1314" s="4">
        <f>$E1314+27</f>
        <v>130</v>
      </c>
      <c r="AH1314" s="8">
        <f>IF($J1314=0,0,ROUND(MAX($J1314*1.4*1.5*1.6*1.6*2.2*2.715*2.6*1.4*1.4*1.5*1.5*3.2,60500000000*(1.654288^(MIN($E1314,123)-117)))*1,0))</f>
        <v>52625920</v>
      </c>
    </row>
    <row r="1315" ht="27.75" customHeight="1" spans="1:34" x14ac:dyDescent="0.25">
      <c r="A1315" s="3">
        <v>1325</v>
      </c>
      <c r="B1315" s="3" t="s">
        <v>988</v>
      </c>
      <c r="C1315" s="3" t="s">
        <v>920</v>
      </c>
      <c r="D1315" s="3" t="s">
        <v>40</v>
      </c>
      <c r="E1315" s="3">
        <v>103</v>
      </c>
      <c r="F1315" s="3" t="s">
        <v>62</v>
      </c>
      <c r="G1315" s="3" t="s">
        <v>921</v>
      </c>
      <c r="H1315" s="3">
        <v>21</v>
      </c>
      <c r="I1315" s="4">
        <v>103</v>
      </c>
      <c r="J1315" s="5">
        <v>6450</v>
      </c>
      <c r="K1315" s="6">
        <f>$E1315+1</f>
        <v>104</v>
      </c>
      <c r="L1315" s="7">
        <f>IF($J1315=0,0,ROUND(MAX($J1315*1.4,1620000*(1.497923^(MIN($E1315,123)-117)))*1,0))</f>
        <v>9030</v>
      </c>
      <c r="M1315" s="4">
        <f>$E1315+2</f>
        <v>105</v>
      </c>
      <c r="N1315" s="8">
        <f>IF($J1315=0,0,ROUND(MAX($J1315*1.4*1.5,2190000*(1.580994^(MIN($E1315,123)-117)))*1,0))</f>
        <v>13545</v>
      </c>
      <c r="O1315" s="6">
        <f>$E1315+4</f>
        <v>107</v>
      </c>
      <c r="P1315" s="7">
        <f>IF($J1315=0,0,ROUND(MAX($J1315*1.4*1.5*1.6,3500000*(1.57975^(MIN($E1315,123)-117)))*1,0))</f>
        <v>21672</v>
      </c>
      <c r="Q1315" s="4">
        <f>$E1315+6</f>
        <v>109</v>
      </c>
      <c r="R1315" s="8">
        <f>IF($J1315=0,0,ROUND(MAX($J1315*1.4*1.5*1.6*1.6,13100000*(1.429962^(MIN($E1315,123)-117)))*1,0))</f>
        <v>87645</v>
      </c>
      <c r="S1315" s="6">
        <f>$E1315+8</f>
        <v>111</v>
      </c>
      <c r="T1315" s="7">
        <f>IF($J1315=0,0,ROUND(MAX($J1315*1.4*1.5*1.6*1.6*2.2,42600000*(1.576904^(MIN($E1315,123)-117)))*1,0))</f>
        <v>76285</v>
      </c>
      <c r="U1315" s="4">
        <f>$E1315+11</f>
        <v>114</v>
      </c>
      <c r="V1315" s="8">
        <f>IF($J1315=0,0,ROUND(MAX($J1315*1.4*1.5*1.6*1.6*2.2*2.715,354000000*(1.642074^(MIN($E1315,123)-117)))*1,0))</f>
        <v>341590</v>
      </c>
      <c r="W1315" s="6">
        <f>$E1315+15</f>
        <v>118</v>
      </c>
      <c r="X1315" s="7">
        <f>IF($J1315=0,0,ROUND(MAX($J1315*1.4*1.5*1.6*1.6*2.2*2.715*2.6,3540000000*(1.579646^(MIN($E1315,123)-117)))*1,0))</f>
        <v>5877146</v>
      </c>
      <c r="Y1315" s="4">
        <f>$E1315+17</f>
        <v>120</v>
      </c>
      <c r="Z1315" s="8">
        <f>IF($J1315=0,0,ROUND(MAX($J1315*1.4*1.5*1.6*1.6*2.2*2.715*2.6*1.4,6020000000*(1.651178^(MIN($E1315,123)-117)))*1,0))</f>
        <v>5376281</v>
      </c>
      <c r="AA1315" s="6">
        <f>$E1315+19</f>
        <v>122</v>
      </c>
      <c r="AB1315" s="7">
        <f>IF($J1315=0,0,ROUND(MAX($J1315*1.4*1.5*1.6*1.6*2.2*2.715*2.6*1.4*1.4,8430000000*(1.651435^(MIN($E1315,123)-117)))*1,0))</f>
        <v>7512194</v>
      </c>
      <c r="AC1315" s="4">
        <f>$E1315+21</f>
        <v>124</v>
      </c>
      <c r="AD1315" s="8">
        <f>IF($J1315=0,0,ROUND(MAX($J1315*1.4*1.5*1.6*1.6*2.2*2.715*2.6*1.4*1.4*1.5,12600000000*(1.652953^(MIN($E1315,123)-117)))*1,0))</f>
        <v>11084688</v>
      </c>
      <c r="AE1315" s="6">
        <f>$E1315+24</f>
        <v>127</v>
      </c>
      <c r="AF1315" s="7">
        <f>IF($J1315=0,0,ROUND(MAX($J1315*1.4*1.5*1.6*1.6*2.2*2.715*2.6*1.4*1.4*1.5*1.5,18900000000*(1.65331^(MIN($E1315,123)-117)))*1,0))</f>
        <v>16576839</v>
      </c>
      <c r="AG1315" s="4">
        <f>$E1315+27</f>
        <v>130</v>
      </c>
      <c r="AH1315" s="8">
        <f>IF($J1315=0,0,ROUND(MAX($J1315*1.4*1.5*1.6*1.6*2.2*2.715*2.6*1.4*1.4*1.5*1.5*3.2,60500000000*(1.654288^(MIN($E1315,123)-117)))*1,0))</f>
        <v>52625920</v>
      </c>
    </row>
    <row r="1316" ht="27.75" customHeight="1" spans="1:34" x14ac:dyDescent="0.25">
      <c r="A1316" s="3">
        <v>1326</v>
      </c>
      <c r="B1316" s="3" t="s">
        <v>989</v>
      </c>
      <c r="C1316" s="3" t="s">
        <v>920</v>
      </c>
      <c r="D1316" s="3" t="s">
        <v>33</v>
      </c>
      <c r="E1316" s="3">
        <v>103</v>
      </c>
      <c r="F1316" s="3" t="s">
        <v>26</v>
      </c>
      <c r="G1316" s="3" t="s">
        <v>990</v>
      </c>
      <c r="H1316" s="3">
        <v>21</v>
      </c>
      <c r="I1316" s="4">
        <v>103</v>
      </c>
      <c r="J1316" s="5">
        <v>17400</v>
      </c>
      <c r="K1316" s="6">
        <f>$E1316+1</f>
        <v>104</v>
      </c>
      <c r="L1316" s="7">
        <f>IF($J1316=0,0,ROUND(MAX($J1316*1.4,1620000*(1.497923^(MIN($E1316,123)-117)))*1,0))</f>
        <v>24360</v>
      </c>
      <c r="M1316" s="4">
        <f>$E1316+2</f>
        <v>105</v>
      </c>
      <c r="N1316" s="8">
        <f>IF($J1316=0,0,ROUND(MAX($J1316*1.4*1.5,2190000*(1.580994^(MIN($E1316,123)-117)))*1,0))</f>
        <v>36540</v>
      </c>
      <c r="O1316" s="6">
        <f>$E1316+4</f>
        <v>107</v>
      </c>
      <c r="P1316" s="7">
        <f>IF($J1316=0,0,ROUND(MAX($J1316*1.4*1.5*1.6,3500000*(1.57975^(MIN($E1316,123)-117)))*1,0))</f>
        <v>58464</v>
      </c>
      <c r="Q1316" s="4">
        <f>$E1316+6</f>
        <v>109</v>
      </c>
      <c r="R1316" s="8">
        <f>IF($J1316=0,0,ROUND(MAX($J1316*1.4*1.5*1.6*1.6,13100000*(1.429962^(MIN($E1316,123)-117)))*1,0))</f>
        <v>93542</v>
      </c>
      <c r="S1316" s="6">
        <f>$E1316+8</f>
        <v>111</v>
      </c>
      <c r="T1316" s="7">
        <f>IF($J1316=0,0,ROUND(MAX($J1316*1.4*1.5*1.6*1.6*2.2,42600000*(1.576904^(MIN($E1316,123)-117)))*1,0))</f>
        <v>205793</v>
      </c>
      <c r="U1316" s="4">
        <f>$E1316+11</f>
        <v>114</v>
      </c>
      <c r="V1316" s="8">
        <f>IF($J1316=0,0,ROUND(MAX($J1316*1.4*1.5*1.6*1.6*2.2*2.715,354000000*(1.642074^(MIN($E1316,123)-117)))*1,0))</f>
        <v>558729</v>
      </c>
      <c r="W1316" s="6">
        <f>$E1316+15</f>
        <v>118</v>
      </c>
      <c r="X1316" s="7">
        <f>IF($J1316=0,0,ROUND(MAX($J1316*1.4*1.5*1.6*1.6*2.2*2.715*2.6,3540000000*(1.579646^(MIN($E1316,123)-117)))*1,0))</f>
        <v>5877146</v>
      </c>
      <c r="Y1316" s="4">
        <f>$E1316+17</f>
        <v>120</v>
      </c>
      <c r="Z1316" s="8">
        <f>IF($J1316=0,0,ROUND(MAX($J1316*1.4*1.5*1.6*1.6*2.2*2.715*2.6*1.4,6020000000*(1.651178^(MIN($E1316,123)-117)))*1,0))</f>
        <v>5376281</v>
      </c>
      <c r="AA1316" s="6">
        <f>$E1316+19</f>
        <v>122</v>
      </c>
      <c r="AB1316" s="7">
        <f>IF($J1316=0,0,ROUND(MAX($J1316*1.4*1.5*1.6*1.6*2.2*2.715*2.6*1.4*1.4,8430000000*(1.651435^(MIN($E1316,123)-117)))*1,0))</f>
        <v>7512194</v>
      </c>
      <c r="AC1316" s="4">
        <f>$E1316+21</f>
        <v>124</v>
      </c>
      <c r="AD1316" s="8">
        <f>IF($J1316=0,0,ROUND(MAX($J1316*1.4*1.5*1.6*1.6*2.2*2.715*2.6*1.4*1.4*1.5,12600000000*(1.652953^(MIN($E1316,123)-117)))*1,0))</f>
        <v>11084688</v>
      </c>
      <c r="AE1316" s="6">
        <f>$E1316+24</f>
        <v>127</v>
      </c>
      <c r="AF1316" s="7">
        <f>IF($J1316=0,0,ROUND(MAX($J1316*1.4*1.5*1.6*1.6*2.2*2.715*2.6*1.4*1.4*1.5*1.5,18900000000*(1.65331^(MIN($E1316,123)-117)))*1,0))</f>
        <v>16576839</v>
      </c>
      <c r="AG1316" s="4">
        <f>$E1316+27</f>
        <v>130</v>
      </c>
      <c r="AH1316" s="8">
        <f>IF($J1316=0,0,ROUND(MAX($J1316*1.4*1.5*1.6*1.6*2.2*2.715*2.6*1.4*1.4*1.5*1.5*3.2,60500000000*(1.654288^(MIN($E1316,123)-117)))*1,0))</f>
        <v>52625920</v>
      </c>
    </row>
    <row r="1317" ht="27.75" customHeight="1" spans="1:34" x14ac:dyDescent="0.25">
      <c r="A1317" s="3">
        <v>1327</v>
      </c>
      <c r="B1317" s="3" t="s">
        <v>991</v>
      </c>
      <c r="C1317" s="3" t="s">
        <v>920</v>
      </c>
      <c r="D1317" s="3" t="s">
        <v>79</v>
      </c>
      <c r="E1317" s="3">
        <v>103</v>
      </c>
      <c r="F1317" s="3" t="s">
        <v>62</v>
      </c>
      <c r="G1317" s="3" t="s">
        <v>104</v>
      </c>
      <c r="H1317" s="3">
        <v>21</v>
      </c>
      <c r="I1317" s="4">
        <v>103</v>
      </c>
      <c r="J1317" s="5">
        <v>20000</v>
      </c>
      <c r="K1317" s="6">
        <f>$E1317+1</f>
        <v>104</v>
      </c>
      <c r="L1317" s="7">
        <f>IF($J1317=0,0,ROUND(MAX($J1317*1.4,1620000*(1.497923^(MIN($E1317,123)-117)))*1,0))</f>
        <v>28000</v>
      </c>
      <c r="M1317" s="4">
        <f>$E1317+2</f>
        <v>105</v>
      </c>
      <c r="N1317" s="8">
        <f>IF($J1317=0,0,ROUND(MAX($J1317*1.4*1.5,2190000*(1.580994^(MIN($E1317,123)-117)))*1,0))</f>
        <v>42000</v>
      </c>
      <c r="O1317" s="6">
        <f>$E1317+4</f>
        <v>107</v>
      </c>
      <c r="P1317" s="7">
        <f>IF($J1317=0,0,ROUND(MAX($J1317*1.4*1.5*1.6,3500000*(1.57975^(MIN($E1317,123)-117)))*1,0))</f>
        <v>67200</v>
      </c>
      <c r="Q1317" s="4">
        <f>$E1317+6</f>
        <v>109</v>
      </c>
      <c r="R1317" s="8">
        <f>IF($J1317=0,0,ROUND(MAX($J1317*1.4*1.5*1.6*1.6,13100000*(1.429962^(MIN($E1317,123)-117)))*1,0))</f>
        <v>107520</v>
      </c>
      <c r="S1317" s="6">
        <f>$E1317+8</f>
        <v>111</v>
      </c>
      <c r="T1317" s="7">
        <f>IF($J1317=0,0,ROUND(MAX($J1317*1.4*1.5*1.6*1.6*2.2,42600000*(1.576904^(MIN($E1317,123)-117)))*1,0))</f>
        <v>236544</v>
      </c>
      <c r="U1317" s="4">
        <f>$E1317+11</f>
        <v>114</v>
      </c>
      <c r="V1317" s="8">
        <f>IF($J1317=0,0,ROUND(MAX($J1317*1.4*1.5*1.6*1.6*2.2*2.715,354000000*(1.642074^(MIN($E1317,123)-117)))*1,0))</f>
        <v>642217</v>
      </c>
      <c r="W1317" s="6">
        <f>$E1317+15</f>
        <v>118</v>
      </c>
      <c r="X1317" s="7">
        <f>IF($J1317=0,0,ROUND(MAX($J1317*1.4*1.5*1.6*1.6*2.2*2.715*2.6,3540000000*(1.579646^(MIN($E1317,123)-117)))*1,0))</f>
        <v>5877146</v>
      </c>
      <c r="Y1317" s="4">
        <f>$E1317+17</f>
        <v>120</v>
      </c>
      <c r="Z1317" s="8">
        <f>IF($J1317=0,0,ROUND(MAX($J1317*1.4*1.5*1.6*1.6*2.2*2.715*2.6*1.4,6020000000*(1.651178^(MIN($E1317,123)-117)))*1,0))</f>
        <v>5376281</v>
      </c>
      <c r="AA1317" s="6">
        <f>$E1317+19</f>
        <v>122</v>
      </c>
      <c r="AB1317" s="7">
        <f>IF($J1317=0,0,ROUND(MAX($J1317*1.4*1.5*1.6*1.6*2.2*2.715*2.6*1.4*1.4,8430000000*(1.651435^(MIN($E1317,123)-117)))*1,0))</f>
        <v>7512194</v>
      </c>
      <c r="AC1317" s="4">
        <f>$E1317+21</f>
        <v>124</v>
      </c>
      <c r="AD1317" s="8">
        <f>IF($J1317=0,0,ROUND(MAX($J1317*1.4*1.5*1.6*1.6*2.2*2.715*2.6*1.4*1.4*1.5,12600000000*(1.652953^(MIN($E1317,123)-117)))*1,0))</f>
        <v>11084688</v>
      </c>
      <c r="AE1317" s="6">
        <f>$E1317+24</f>
        <v>127</v>
      </c>
      <c r="AF1317" s="7">
        <f>IF($J1317=0,0,ROUND(MAX($J1317*1.4*1.5*1.6*1.6*2.2*2.715*2.6*1.4*1.4*1.5*1.5,18900000000*(1.65331^(MIN($E1317,123)-117)))*1,0))</f>
        <v>16576839</v>
      </c>
      <c r="AG1317" s="4">
        <f>$E1317+27</f>
        <v>130</v>
      </c>
      <c r="AH1317" s="8">
        <f>IF($J1317=0,0,ROUND(MAX($J1317*1.4*1.5*1.6*1.6*2.2*2.715*2.6*1.4*1.4*1.5*1.5*3.2,60500000000*(1.654288^(MIN($E1317,123)-117)))*1,0))</f>
        <v>52625920</v>
      </c>
    </row>
    <row r="1318" ht="27.75" customHeight="1" spans="1:34" x14ac:dyDescent="0.25">
      <c r="A1318" s="3">
        <v>1328</v>
      </c>
      <c r="B1318" s="3" t="s">
        <v>992</v>
      </c>
      <c r="C1318" s="3" t="s">
        <v>920</v>
      </c>
      <c r="D1318" s="3" t="s">
        <v>165</v>
      </c>
      <c r="E1318" s="3">
        <v>103</v>
      </c>
      <c r="F1318" s="3" t="s">
        <v>71</v>
      </c>
      <c r="G1318" s="3" t="s">
        <v>921</v>
      </c>
      <c r="H1318" s="3">
        <v>21</v>
      </c>
      <c r="I1318" s="4">
        <v>103</v>
      </c>
      <c r="J1318" s="5">
        <v>2900</v>
      </c>
      <c r="K1318" s="6">
        <f>$E1318+1</f>
        <v>104</v>
      </c>
      <c r="L1318" s="7">
        <f>IF($J1318=0,0,ROUND(MAX($J1318*1.4,1620000*(1.497923^(MIN($E1318,123)-117)))*1,0))</f>
        <v>5658</v>
      </c>
      <c r="M1318" s="4">
        <f>$E1318+2</f>
        <v>105</v>
      </c>
      <c r="N1318" s="8">
        <f>IF($J1318=0,0,ROUND(MAX($J1318*1.4*1.5,2190000*(1.580994^(MIN($E1318,123)-117)))*1,0))</f>
        <v>6090</v>
      </c>
      <c r="O1318" s="6">
        <f>$E1318+4</f>
        <v>107</v>
      </c>
      <c r="P1318" s="7">
        <f>IF($J1318=0,0,ROUND(MAX($J1318*1.4*1.5*1.6,3500000*(1.57975^(MIN($E1318,123)-117)))*1,0))</f>
        <v>9744</v>
      </c>
      <c r="Q1318" s="4">
        <f>$E1318+6</f>
        <v>109</v>
      </c>
      <c r="R1318" s="8">
        <f>IF($J1318=0,0,ROUND(MAX($J1318*1.4*1.5*1.6*1.6,13100000*(1.429962^(MIN($E1318,123)-117)))*1,0))</f>
        <v>87645</v>
      </c>
      <c r="S1318" s="6">
        <f>$E1318+8</f>
        <v>111</v>
      </c>
      <c r="T1318" s="7">
        <f>IF($J1318=0,0,ROUND(MAX($J1318*1.4*1.5*1.6*1.6*2.2,42600000*(1.576904^(MIN($E1318,123)-117)))*1,0))</f>
        <v>72466</v>
      </c>
      <c r="U1318" s="4">
        <f>$E1318+11</f>
        <v>114</v>
      </c>
      <c r="V1318" s="8">
        <f>IF($J1318=0,0,ROUND(MAX($J1318*1.4*1.5*1.6*1.6*2.2*2.715,354000000*(1.642074^(MIN($E1318,123)-117)))*1,0))</f>
        <v>341590</v>
      </c>
      <c r="W1318" s="6">
        <f>$E1318+15</f>
        <v>118</v>
      </c>
      <c r="X1318" s="7">
        <f>IF($J1318=0,0,ROUND(MAX($J1318*1.4*1.5*1.6*1.6*2.2*2.715*2.6,3540000000*(1.579646^(MIN($E1318,123)-117)))*1,0))</f>
        <v>5877146</v>
      </c>
      <c r="Y1318" s="4">
        <f>$E1318+17</f>
        <v>120</v>
      </c>
      <c r="Z1318" s="8">
        <f>IF($J1318=0,0,ROUND(MAX($J1318*1.4*1.5*1.6*1.6*2.2*2.715*2.6*1.4,6020000000*(1.651178^(MIN($E1318,123)-117)))*1,0))</f>
        <v>5376281</v>
      </c>
      <c r="AA1318" s="6">
        <f>$E1318+19</f>
        <v>122</v>
      </c>
      <c r="AB1318" s="7">
        <f>IF($J1318=0,0,ROUND(MAX($J1318*1.4*1.5*1.6*1.6*2.2*2.715*2.6*1.4*1.4,8430000000*(1.651435^(MIN($E1318,123)-117)))*1,0))</f>
        <v>7512194</v>
      </c>
      <c r="AC1318" s="4">
        <f>$E1318+21</f>
        <v>124</v>
      </c>
      <c r="AD1318" s="8">
        <f>IF($J1318=0,0,ROUND(MAX($J1318*1.4*1.5*1.6*1.6*2.2*2.715*2.6*1.4*1.4*1.5,12600000000*(1.652953^(MIN($E1318,123)-117)))*1,0))</f>
        <v>11084688</v>
      </c>
      <c r="AE1318" s="6">
        <f>$E1318+24</f>
        <v>127</v>
      </c>
      <c r="AF1318" s="7">
        <f>IF($J1318=0,0,ROUND(MAX($J1318*1.4*1.5*1.6*1.6*2.2*2.715*2.6*1.4*1.4*1.5*1.5,18900000000*(1.65331^(MIN($E1318,123)-117)))*1,0))</f>
        <v>16576839</v>
      </c>
      <c r="AG1318" s="4">
        <f>$E1318+27</f>
        <v>130</v>
      </c>
      <c r="AH1318" s="8">
        <f>IF($J1318=0,0,ROUND(MAX($J1318*1.4*1.5*1.6*1.6*2.2*2.715*2.6*1.4*1.4*1.5*1.5*3.2,60500000000*(1.654288^(MIN($E1318,123)-117)))*1,0))</f>
        <v>52625920</v>
      </c>
    </row>
    <row r="1319" ht="27.75" customHeight="1" spans="1:34" x14ac:dyDescent="0.25">
      <c r="A1319" s="3">
        <v>1329</v>
      </c>
      <c r="B1319" s="3" t="s">
        <v>96</v>
      </c>
      <c r="C1319" s="3" t="s">
        <v>920</v>
      </c>
      <c r="D1319" s="3" t="s">
        <v>40</v>
      </c>
      <c r="E1319" s="3">
        <v>102</v>
      </c>
      <c r="F1319" s="3" t="s">
        <v>97</v>
      </c>
      <c r="G1319" s="3" t="s">
        <v>921</v>
      </c>
      <c r="H1319" s="3">
        <v>23</v>
      </c>
      <c r="I1319" s="4">
        <v>102</v>
      </c>
      <c r="J1319" s="5">
        <v>23300</v>
      </c>
      <c r="K1319" s="6">
        <f>$E1319+1</f>
        <v>103</v>
      </c>
      <c r="L1319" s="7">
        <f>IF($J1319=0,0,ROUND(MAX($J1319*1.4,1620000*(1.497923^(MIN($E1319,123)-117)))*1,0))</f>
        <v>32620</v>
      </c>
      <c r="M1319" s="4">
        <f>$E1319+2</f>
        <v>104</v>
      </c>
      <c r="N1319" s="8">
        <f>IF($J1319=0,0,ROUND(MAX($J1319*1.4*1.5,2190000*(1.580994^(MIN($E1319,123)-117)))*1,0))</f>
        <v>48930</v>
      </c>
      <c r="O1319" s="6">
        <f>$E1319+4</f>
        <v>106</v>
      </c>
      <c r="P1319" s="7">
        <f>IF($J1319=0,0,ROUND(MAX($J1319*1.4*1.5*1.6,3500000*(1.57975^(MIN($E1319,123)-117)))*1,0))</f>
        <v>78288</v>
      </c>
      <c r="Q1319" s="4">
        <f>$E1319+6</f>
        <v>108</v>
      </c>
      <c r="R1319" s="8">
        <f>IF($J1319=0,0,ROUND(MAX($J1319*1.4*1.5*1.6*1.6,13100000*(1.429962^(MIN($E1319,123)-117)))*1,0))</f>
        <v>125261</v>
      </c>
      <c r="S1319" s="6">
        <f>$E1319+8</f>
        <v>110</v>
      </c>
      <c r="T1319" s="7">
        <f>IF($J1319=0,0,ROUND(MAX($J1319*1.4*1.5*1.6*1.6*2.2,42600000*(1.576904^(MIN($E1319,123)-117)))*1,0))</f>
        <v>275574</v>
      </c>
      <c r="U1319" s="4">
        <f>$E1319+11</f>
        <v>113</v>
      </c>
      <c r="V1319" s="8">
        <f>IF($J1319=0,0,ROUND(MAX($J1319*1.4*1.5*1.6*1.6*2.2*2.715,354000000*(1.642074^(MIN($E1319,123)-117)))*1,0))</f>
        <v>748183</v>
      </c>
      <c r="W1319" s="6">
        <f>$E1319+15</f>
        <v>117</v>
      </c>
      <c r="X1319" s="7">
        <f>IF($J1319=0,0,ROUND(MAX($J1319*1.4*1.5*1.6*1.6*2.2*2.715*2.6,3540000000*(1.579646^(MIN($E1319,123)-117)))*1,0))</f>
        <v>3720546</v>
      </c>
      <c r="Y1319" s="4">
        <f>$E1319+17</f>
        <v>119</v>
      </c>
      <c r="Z1319" s="8">
        <f>IF($J1319=0,0,ROUND(MAX($J1319*1.4*1.5*1.6*1.6*2.2*2.715*2.6*1.4,6020000000*(1.651178^(MIN($E1319,123)-117)))*1,0))</f>
        <v>3256028</v>
      </c>
      <c r="AA1319" s="6">
        <f>$E1319+19</f>
        <v>121</v>
      </c>
      <c r="AB1319" s="7">
        <f>IF($J1319=0,0,ROUND(MAX($J1319*1.4*1.5*1.6*1.6*2.2*2.715*2.6*1.4*1.4,8430000000*(1.651435^(MIN($E1319,123)-117)))*1,0))</f>
        <v>4548889</v>
      </c>
      <c r="AC1319" s="4">
        <f>$E1319+21</f>
        <v>123</v>
      </c>
      <c r="AD1319" s="8">
        <f>IF($J1319=0,0,ROUND(MAX($J1319*1.4*1.5*1.6*1.6*2.2*2.715*2.6*1.4*1.4*1.5,12600000000*(1.652953^(MIN($E1319,123)-117)))*1,0))</f>
        <v>6705991</v>
      </c>
      <c r="AE1319" s="6">
        <f>$E1319+24</f>
        <v>126</v>
      </c>
      <c r="AF1319" s="7">
        <f>IF($J1319=0,0,ROUND(MAX($J1319*1.4*1.5*1.6*1.6*2.2*2.715*2.6*1.4*1.4*1.5*1.5,18900000000*(1.65331^(MIN($E1319,123)-117)))*1,0))</f>
        <v>10026455</v>
      </c>
      <c r="AG1319" s="4">
        <f>$E1319+27</f>
        <v>129</v>
      </c>
      <c r="AH1319" s="8">
        <f>IF($J1319=0,0,ROUND(MAX($J1319*1.4*1.5*1.6*1.6*2.2*2.715*2.6*1.4*1.4*1.5*1.5*3.2,60500000000*(1.654288^(MIN($E1319,123)-117)))*1,0))</f>
        <v>31811825</v>
      </c>
    </row>
    <row r="1320" ht="27.75" customHeight="1" spans="1:34" x14ac:dyDescent="0.25">
      <c r="A1320" s="3">
        <v>1330</v>
      </c>
      <c r="B1320" s="3" t="s">
        <v>993</v>
      </c>
      <c r="C1320" s="3" t="s">
        <v>920</v>
      </c>
      <c r="D1320" s="3" t="s">
        <v>102</v>
      </c>
      <c r="E1320" s="3">
        <v>102</v>
      </c>
      <c r="F1320" s="3" t="s">
        <v>42</v>
      </c>
      <c r="G1320" s="3" t="s">
        <v>994</v>
      </c>
      <c r="H1320" s="3">
        <v>21</v>
      </c>
      <c r="I1320" s="4">
        <v>102</v>
      </c>
      <c r="J1320" s="5">
        <v>20800</v>
      </c>
      <c r="K1320" s="6">
        <f>$E1320+1</f>
        <v>103</v>
      </c>
      <c r="L1320" s="7">
        <f>IF($J1320=0,0,ROUND(MAX($J1320*1.4,1620000*(1.497923^(MIN($E1320,123)-117)))*1,0))</f>
        <v>29120</v>
      </c>
      <c r="M1320" s="4">
        <f>$E1320+2</f>
        <v>104</v>
      </c>
      <c r="N1320" s="8">
        <f>IF($J1320=0,0,ROUND(MAX($J1320*1.4*1.5,2190000*(1.580994^(MIN($E1320,123)-117)))*1,0))</f>
        <v>43680</v>
      </c>
      <c r="O1320" s="6">
        <f>$E1320+4</f>
        <v>106</v>
      </c>
      <c r="P1320" s="7">
        <f>IF($J1320=0,0,ROUND(MAX($J1320*1.4*1.5*1.6,3500000*(1.57975^(MIN($E1320,123)-117)))*1,0))</f>
        <v>69888</v>
      </c>
      <c r="Q1320" s="4">
        <f>$E1320+6</f>
        <v>108</v>
      </c>
      <c r="R1320" s="8">
        <f>IF($J1320=0,0,ROUND(MAX($J1320*1.4*1.5*1.6*1.6,13100000*(1.429962^(MIN($E1320,123)-117)))*1,0))</f>
        <v>111821</v>
      </c>
      <c r="S1320" s="6">
        <f>$E1320+8</f>
        <v>110</v>
      </c>
      <c r="T1320" s="7">
        <f>IF($J1320=0,0,ROUND(MAX($J1320*1.4*1.5*1.6*1.6*2.2,42600000*(1.576904^(MIN($E1320,123)-117)))*1,0))</f>
        <v>246006</v>
      </c>
      <c r="U1320" s="4">
        <f>$E1320+11</f>
        <v>113</v>
      </c>
      <c r="V1320" s="8">
        <f>IF($J1320=0,0,ROUND(MAX($J1320*1.4*1.5*1.6*1.6*2.2*2.715,354000000*(1.642074^(MIN($E1320,123)-117)))*1,0))</f>
        <v>667906</v>
      </c>
      <c r="W1320" s="6">
        <f>$E1320+15</f>
        <v>117</v>
      </c>
      <c r="X1320" s="7">
        <f>IF($J1320=0,0,ROUND(MAX($J1320*1.4*1.5*1.6*1.6*2.2*2.715*2.6,3540000000*(1.579646^(MIN($E1320,123)-117)))*1,0))</f>
        <v>3720546</v>
      </c>
      <c r="Y1320" s="4">
        <f>$E1320+17</f>
        <v>119</v>
      </c>
      <c r="Z1320" s="8">
        <f>IF($J1320=0,0,ROUND(MAX($J1320*1.4*1.5*1.6*1.6*2.2*2.715*2.6*1.4,6020000000*(1.651178^(MIN($E1320,123)-117)))*1,0))</f>
        <v>3256028</v>
      </c>
      <c r="AA1320" s="6">
        <f>$E1320+19</f>
        <v>121</v>
      </c>
      <c r="AB1320" s="7">
        <f>IF($J1320=0,0,ROUND(MAX($J1320*1.4*1.5*1.6*1.6*2.2*2.715*2.6*1.4*1.4,8430000000*(1.651435^(MIN($E1320,123)-117)))*1,0))</f>
        <v>4548889</v>
      </c>
      <c r="AC1320" s="4">
        <f>$E1320+21</f>
        <v>123</v>
      </c>
      <c r="AD1320" s="8">
        <f>IF($J1320=0,0,ROUND(MAX($J1320*1.4*1.5*1.6*1.6*2.2*2.715*2.6*1.4*1.4*1.5,12600000000*(1.652953^(MIN($E1320,123)-117)))*1,0))</f>
        <v>6705991</v>
      </c>
      <c r="AE1320" s="6">
        <f>$E1320+24</f>
        <v>126</v>
      </c>
      <c r="AF1320" s="7">
        <f>IF($J1320=0,0,ROUND(MAX($J1320*1.4*1.5*1.6*1.6*2.2*2.715*2.6*1.4*1.4*1.5*1.5,18900000000*(1.65331^(MIN($E1320,123)-117)))*1,0))</f>
        <v>10026455</v>
      </c>
      <c r="AG1320" s="4">
        <f>$E1320+27</f>
        <v>129</v>
      </c>
      <c r="AH1320" s="8">
        <f>IF($J1320=0,0,ROUND(MAX($J1320*1.4*1.5*1.6*1.6*2.2*2.715*2.6*1.4*1.4*1.5*1.5*3.2,60500000000*(1.654288^(MIN($E1320,123)-117)))*1,0))</f>
        <v>31811825</v>
      </c>
    </row>
    <row r="1321" ht="27.75" customHeight="1" spans="1:34" x14ac:dyDescent="0.25">
      <c r="A1321" s="3">
        <v>1331</v>
      </c>
      <c r="B1321" s="3" t="s">
        <v>293</v>
      </c>
      <c r="C1321" s="3" t="s">
        <v>920</v>
      </c>
      <c r="D1321" s="3" t="s">
        <v>33</v>
      </c>
      <c r="E1321" s="3">
        <v>102</v>
      </c>
      <c r="F1321" s="3" t="s">
        <v>71</v>
      </c>
      <c r="G1321" s="3" t="s">
        <v>72</v>
      </c>
      <c r="H1321" s="3">
        <v>21</v>
      </c>
      <c r="I1321" s="4">
        <v>102</v>
      </c>
      <c r="J1321" s="5">
        <v>21200</v>
      </c>
      <c r="K1321" s="6">
        <f>$E1321+1</f>
        <v>103</v>
      </c>
      <c r="L1321" s="7">
        <f>IF($J1321=0,0,ROUND(MAX($J1321*1.4,1620000*(1.497923^(MIN($E1321,123)-117)))*1,0))</f>
        <v>29680</v>
      </c>
      <c r="M1321" s="4">
        <f>$E1321+2</f>
        <v>104</v>
      </c>
      <c r="N1321" s="8">
        <f>IF($J1321=0,0,ROUND(MAX($J1321*1.4*1.5,2190000*(1.580994^(MIN($E1321,123)-117)))*1,0))</f>
        <v>44520</v>
      </c>
      <c r="O1321" s="6">
        <f>$E1321+4</f>
        <v>106</v>
      </c>
      <c r="P1321" s="7">
        <f>IF($J1321=0,0,ROUND(MAX($J1321*1.4*1.5*1.6,3500000*(1.57975^(MIN($E1321,123)-117)))*1,0))</f>
        <v>71232</v>
      </c>
      <c r="Q1321" s="4">
        <f>$E1321+6</f>
        <v>108</v>
      </c>
      <c r="R1321" s="8">
        <f>IF($J1321=0,0,ROUND(MAX($J1321*1.4*1.5*1.6*1.6,13100000*(1.429962^(MIN($E1321,123)-117)))*1,0))</f>
        <v>113971</v>
      </c>
      <c r="S1321" s="6">
        <f>$E1321+8</f>
        <v>110</v>
      </c>
      <c r="T1321" s="7">
        <f>IF($J1321=0,0,ROUND(MAX($J1321*1.4*1.5*1.6*1.6*2.2,42600000*(1.576904^(MIN($E1321,123)-117)))*1,0))</f>
        <v>250737</v>
      </c>
      <c r="U1321" s="4">
        <f>$E1321+11</f>
        <v>113</v>
      </c>
      <c r="V1321" s="8">
        <f>IF($J1321=0,0,ROUND(MAX($J1321*1.4*1.5*1.6*1.6*2.2*2.715,354000000*(1.642074^(MIN($E1321,123)-117)))*1,0))</f>
        <v>680750</v>
      </c>
      <c r="W1321" s="6">
        <f>$E1321+15</f>
        <v>117</v>
      </c>
      <c r="X1321" s="7">
        <f>IF($J1321=0,0,ROUND(MAX($J1321*1.4*1.5*1.6*1.6*2.2*2.715*2.6,3540000000*(1.579646^(MIN($E1321,123)-117)))*1,0))</f>
        <v>3720546</v>
      </c>
      <c r="Y1321" s="4">
        <f>$E1321+17</f>
        <v>119</v>
      </c>
      <c r="Z1321" s="8">
        <f>IF($J1321=0,0,ROUND(MAX($J1321*1.4*1.5*1.6*1.6*2.2*2.715*2.6*1.4,6020000000*(1.651178^(MIN($E1321,123)-117)))*1,0))</f>
        <v>3256028</v>
      </c>
      <c r="AA1321" s="6">
        <f>$E1321+19</f>
        <v>121</v>
      </c>
      <c r="AB1321" s="7">
        <f>IF($J1321=0,0,ROUND(MAX($J1321*1.4*1.5*1.6*1.6*2.2*2.715*2.6*1.4*1.4,8430000000*(1.651435^(MIN($E1321,123)-117)))*1,0))</f>
        <v>4548889</v>
      </c>
      <c r="AC1321" s="4">
        <f>$E1321+21</f>
        <v>123</v>
      </c>
      <c r="AD1321" s="8">
        <f>IF($J1321=0,0,ROUND(MAX($J1321*1.4*1.5*1.6*1.6*2.2*2.715*2.6*1.4*1.4*1.5,12600000000*(1.652953^(MIN($E1321,123)-117)))*1,0))</f>
        <v>6705991</v>
      </c>
      <c r="AE1321" s="6">
        <f>$E1321+24</f>
        <v>126</v>
      </c>
      <c r="AF1321" s="7">
        <f>IF($J1321=0,0,ROUND(MAX($J1321*1.4*1.5*1.6*1.6*2.2*2.715*2.6*1.4*1.4*1.5*1.5,18900000000*(1.65331^(MIN($E1321,123)-117)))*1,0))</f>
        <v>10026455</v>
      </c>
      <c r="AG1321" s="4">
        <f>$E1321+27</f>
        <v>129</v>
      </c>
      <c r="AH1321" s="8">
        <f>IF($J1321=0,0,ROUND(MAX($J1321*1.4*1.5*1.6*1.6*2.2*2.715*2.6*1.4*1.4*1.5*1.5*3.2,60500000000*(1.654288^(MIN($E1321,123)-117)))*1,0))</f>
        <v>31811825</v>
      </c>
    </row>
    <row r="1322" ht="27.75" customHeight="1" spans="1:34" x14ac:dyDescent="0.25">
      <c r="A1322" s="3">
        <v>1332</v>
      </c>
      <c r="B1322" s="3" t="s">
        <v>564</v>
      </c>
      <c r="C1322" s="3" t="s">
        <v>920</v>
      </c>
      <c r="D1322" s="3" t="s">
        <v>75</v>
      </c>
      <c r="E1322" s="3">
        <v>102</v>
      </c>
      <c r="F1322" s="3" t="s">
        <v>71</v>
      </c>
      <c r="G1322" s="3" t="s">
        <v>565</v>
      </c>
      <c r="H1322" s="3">
        <v>21</v>
      </c>
      <c r="I1322" s="4">
        <v>102</v>
      </c>
      <c r="J1322" s="5">
        <v>19800</v>
      </c>
      <c r="K1322" s="6">
        <f>$E1322+1</f>
        <v>103</v>
      </c>
      <c r="L1322" s="7">
        <f>IF($J1322=0,0,ROUND(MAX($J1322*1.4,1620000*(1.497923^(MIN($E1322,123)-117)))*1,0))</f>
        <v>27720</v>
      </c>
      <c r="M1322" s="4">
        <f>$E1322+2</f>
        <v>104</v>
      </c>
      <c r="N1322" s="8">
        <f>IF($J1322=0,0,ROUND(MAX($J1322*1.4*1.5,2190000*(1.580994^(MIN($E1322,123)-117)))*1,0))</f>
        <v>41580</v>
      </c>
      <c r="O1322" s="6">
        <f>$E1322+4</f>
        <v>106</v>
      </c>
      <c r="P1322" s="7">
        <f>IF($J1322=0,0,ROUND(MAX($J1322*1.4*1.5*1.6,3500000*(1.57975^(MIN($E1322,123)-117)))*1,0))</f>
        <v>66528</v>
      </c>
      <c r="Q1322" s="4">
        <f>$E1322+6</f>
        <v>108</v>
      </c>
      <c r="R1322" s="8">
        <f>IF($J1322=0,0,ROUND(MAX($J1322*1.4*1.5*1.6*1.6,13100000*(1.429962^(MIN($E1322,123)-117)))*1,0))</f>
        <v>106445</v>
      </c>
      <c r="S1322" s="6">
        <f>$E1322+8</f>
        <v>110</v>
      </c>
      <c r="T1322" s="7">
        <f>IF($J1322=0,0,ROUND(MAX($J1322*1.4*1.5*1.6*1.6*2.2,42600000*(1.576904^(MIN($E1322,123)-117)))*1,0))</f>
        <v>234179</v>
      </c>
      <c r="U1322" s="4">
        <f>$E1322+11</f>
        <v>113</v>
      </c>
      <c r="V1322" s="8">
        <f>IF($J1322=0,0,ROUND(MAX($J1322*1.4*1.5*1.6*1.6*2.2*2.715,354000000*(1.642074^(MIN($E1322,123)-117)))*1,0))</f>
        <v>635795</v>
      </c>
      <c r="W1322" s="6">
        <f>$E1322+15</f>
        <v>117</v>
      </c>
      <c r="X1322" s="7">
        <f>IF($J1322=0,0,ROUND(MAX($J1322*1.4*1.5*1.6*1.6*2.2*2.715*2.6,3540000000*(1.579646^(MIN($E1322,123)-117)))*1,0))</f>
        <v>3720546</v>
      </c>
      <c r="Y1322" s="4">
        <f>$E1322+17</f>
        <v>119</v>
      </c>
      <c r="Z1322" s="8">
        <f>IF($J1322=0,0,ROUND(MAX($J1322*1.4*1.5*1.6*1.6*2.2*2.715*2.6*1.4,6020000000*(1.651178^(MIN($E1322,123)-117)))*1,0))</f>
        <v>3256028</v>
      </c>
      <c r="AA1322" s="6">
        <f>$E1322+19</f>
        <v>121</v>
      </c>
      <c r="AB1322" s="7">
        <f>IF($J1322=0,0,ROUND(MAX($J1322*1.4*1.5*1.6*1.6*2.2*2.715*2.6*1.4*1.4,8430000000*(1.651435^(MIN($E1322,123)-117)))*1,0))</f>
        <v>4548889</v>
      </c>
      <c r="AC1322" s="4">
        <f>$E1322+21</f>
        <v>123</v>
      </c>
      <c r="AD1322" s="8">
        <f>IF($J1322=0,0,ROUND(MAX($J1322*1.4*1.5*1.6*1.6*2.2*2.715*2.6*1.4*1.4*1.5,12600000000*(1.652953^(MIN($E1322,123)-117)))*1,0))</f>
        <v>6705991</v>
      </c>
      <c r="AE1322" s="6">
        <f>$E1322+24</f>
        <v>126</v>
      </c>
      <c r="AF1322" s="7">
        <f>IF($J1322=0,0,ROUND(MAX($J1322*1.4*1.5*1.6*1.6*2.2*2.715*2.6*1.4*1.4*1.5*1.5,18900000000*(1.65331^(MIN($E1322,123)-117)))*1,0))</f>
        <v>10026455</v>
      </c>
      <c r="AG1322" s="4">
        <f>$E1322+27</f>
        <v>129</v>
      </c>
      <c r="AH1322" s="8">
        <f>IF($J1322=0,0,ROUND(MAX($J1322*1.4*1.5*1.6*1.6*2.2*2.715*2.6*1.4*1.4*1.5*1.5*3.2,60500000000*(1.654288^(MIN($E1322,123)-117)))*1,0))</f>
        <v>31811825</v>
      </c>
    </row>
    <row r="1323" ht="27.75" customHeight="1" spans="1:34" x14ac:dyDescent="0.25">
      <c r="A1323" s="3">
        <v>1333</v>
      </c>
      <c r="B1323" s="3" t="s">
        <v>995</v>
      </c>
      <c r="C1323" s="3" t="s">
        <v>920</v>
      </c>
      <c r="D1323" s="3" t="s">
        <v>75</v>
      </c>
      <c r="E1323" s="3">
        <v>102</v>
      </c>
      <c r="F1323" s="3" t="s">
        <v>313</v>
      </c>
      <c r="G1323" s="3" t="s">
        <v>921</v>
      </c>
      <c r="H1323" s="3">
        <v>21</v>
      </c>
      <c r="I1323" s="4">
        <v>102</v>
      </c>
      <c r="J1323" s="5">
        <v>5420</v>
      </c>
      <c r="K1323" s="6">
        <f>$E1323+1</f>
        <v>103</v>
      </c>
      <c r="L1323" s="7">
        <f>IF($J1323=0,0,ROUND(MAX($J1323*1.4,1620000*(1.497923^(MIN($E1323,123)-117)))*1,0))</f>
        <v>7588</v>
      </c>
      <c r="M1323" s="4">
        <f>$E1323+2</f>
        <v>104</v>
      </c>
      <c r="N1323" s="8">
        <f>IF($J1323=0,0,ROUND(MAX($J1323*1.4*1.5,2190000*(1.580994^(MIN($E1323,123)-117)))*1,0))</f>
        <v>11382</v>
      </c>
      <c r="O1323" s="6">
        <f>$E1323+4</f>
        <v>106</v>
      </c>
      <c r="P1323" s="7">
        <f>IF($J1323=0,0,ROUND(MAX($J1323*1.4*1.5*1.6,3500000*(1.57975^(MIN($E1323,123)-117)))*1,0))</f>
        <v>18211</v>
      </c>
      <c r="Q1323" s="4">
        <f>$E1323+6</f>
        <v>108</v>
      </c>
      <c r="R1323" s="8">
        <f>IF($J1323=0,0,ROUND(MAX($J1323*1.4*1.5*1.6*1.6,13100000*(1.429962^(MIN($E1323,123)-117)))*1,0))</f>
        <v>61292</v>
      </c>
      <c r="S1323" s="6">
        <f>$E1323+8</f>
        <v>110</v>
      </c>
      <c r="T1323" s="7">
        <f>IF($J1323=0,0,ROUND(MAX($J1323*1.4*1.5*1.6*1.6*2.2,42600000*(1.576904^(MIN($E1323,123)-117)))*1,0))</f>
        <v>64103</v>
      </c>
      <c r="U1323" s="4">
        <f>$E1323+11</f>
        <v>113</v>
      </c>
      <c r="V1323" s="8">
        <f>IF($J1323=0,0,ROUND(MAX($J1323*1.4*1.5*1.6*1.6*2.2*2.715,354000000*(1.642074^(MIN($E1323,123)-117)))*1,0))</f>
        <v>208023</v>
      </c>
      <c r="W1323" s="6">
        <f>$E1323+15</f>
        <v>117</v>
      </c>
      <c r="X1323" s="7">
        <f>IF($J1323=0,0,ROUND(MAX($J1323*1.4*1.5*1.6*1.6*2.2*2.715*2.6,3540000000*(1.579646^(MIN($E1323,123)-117)))*1,0))</f>
        <v>3720546</v>
      </c>
      <c r="Y1323" s="4">
        <f>$E1323+17</f>
        <v>119</v>
      </c>
      <c r="Z1323" s="8">
        <f>IF($J1323=0,0,ROUND(MAX($J1323*1.4*1.5*1.6*1.6*2.2*2.715*2.6*1.4,6020000000*(1.651178^(MIN($E1323,123)-117)))*1,0))</f>
        <v>3256028</v>
      </c>
      <c r="AA1323" s="6">
        <f>$E1323+19</f>
        <v>121</v>
      </c>
      <c r="AB1323" s="7">
        <f>IF($J1323=0,0,ROUND(MAX($J1323*1.4*1.5*1.6*1.6*2.2*2.715*2.6*1.4*1.4,8430000000*(1.651435^(MIN($E1323,123)-117)))*1,0))</f>
        <v>4548889</v>
      </c>
      <c r="AC1323" s="4">
        <f>$E1323+21</f>
        <v>123</v>
      </c>
      <c r="AD1323" s="8">
        <f>IF($J1323=0,0,ROUND(MAX($J1323*1.4*1.5*1.6*1.6*2.2*2.715*2.6*1.4*1.4*1.5,12600000000*(1.652953^(MIN($E1323,123)-117)))*1,0))</f>
        <v>6705991</v>
      </c>
      <c r="AE1323" s="6">
        <f>$E1323+24</f>
        <v>126</v>
      </c>
      <c r="AF1323" s="7">
        <f>IF($J1323=0,0,ROUND(MAX($J1323*1.4*1.5*1.6*1.6*2.2*2.715*2.6*1.4*1.4*1.5*1.5,18900000000*(1.65331^(MIN($E1323,123)-117)))*1,0))</f>
        <v>10026455</v>
      </c>
      <c r="AG1323" s="4">
        <f>$E1323+27</f>
        <v>129</v>
      </c>
      <c r="AH1323" s="8">
        <f>IF($J1323=0,0,ROUND(MAX($J1323*1.4*1.5*1.6*1.6*2.2*2.715*2.6*1.4*1.4*1.5*1.5*3.2,60500000000*(1.654288^(MIN($E1323,123)-117)))*1,0))</f>
        <v>31811825</v>
      </c>
    </row>
    <row r="1324" ht="27.75" customHeight="1" spans="1:34" x14ac:dyDescent="0.25">
      <c r="A1324" s="3">
        <v>1334</v>
      </c>
      <c r="B1324" s="3" t="s">
        <v>996</v>
      </c>
      <c r="C1324" s="3" t="s">
        <v>920</v>
      </c>
      <c r="D1324" s="3" t="s">
        <v>25</v>
      </c>
      <c r="E1324" s="3">
        <v>102</v>
      </c>
      <c r="F1324" s="3" t="s">
        <v>42</v>
      </c>
      <c r="G1324" s="3" t="s">
        <v>921</v>
      </c>
      <c r="H1324" s="3">
        <v>21</v>
      </c>
      <c r="I1324" s="4">
        <v>102</v>
      </c>
      <c r="J1324" s="5">
        <v>5280</v>
      </c>
      <c r="K1324" s="6">
        <f>$E1324+1</f>
        <v>103</v>
      </c>
      <c r="L1324" s="7">
        <f>IF($J1324=0,0,ROUND(MAX($J1324*1.4,1620000*(1.497923^(MIN($E1324,123)-117)))*1,0))</f>
        <v>7392</v>
      </c>
      <c r="M1324" s="4">
        <f>$E1324+2</f>
        <v>104</v>
      </c>
      <c r="N1324" s="8">
        <f>IF($J1324=0,0,ROUND(MAX($J1324*1.4*1.5,2190000*(1.580994^(MIN($E1324,123)-117)))*1,0))</f>
        <v>11088</v>
      </c>
      <c r="O1324" s="6">
        <f>$E1324+4</f>
        <v>106</v>
      </c>
      <c r="P1324" s="7">
        <f>IF($J1324=0,0,ROUND(MAX($J1324*1.4*1.5*1.6,3500000*(1.57975^(MIN($E1324,123)-117)))*1,0))</f>
        <v>17741</v>
      </c>
      <c r="Q1324" s="4">
        <f>$E1324+6</f>
        <v>108</v>
      </c>
      <c r="R1324" s="8">
        <f>IF($J1324=0,0,ROUND(MAX($J1324*1.4*1.5*1.6*1.6,13100000*(1.429962^(MIN($E1324,123)-117)))*1,0))</f>
        <v>61292</v>
      </c>
      <c r="S1324" s="6">
        <f>$E1324+8</f>
        <v>110</v>
      </c>
      <c r="T1324" s="7">
        <f>IF($J1324=0,0,ROUND(MAX($J1324*1.4*1.5*1.6*1.6*2.2,42600000*(1.576904^(MIN($E1324,123)-117)))*1,0))</f>
        <v>62448</v>
      </c>
      <c r="U1324" s="4">
        <f>$E1324+11</f>
        <v>113</v>
      </c>
      <c r="V1324" s="8">
        <f>IF($J1324=0,0,ROUND(MAX($J1324*1.4*1.5*1.6*1.6*2.2*2.715,354000000*(1.642074^(MIN($E1324,123)-117)))*1,0))</f>
        <v>208023</v>
      </c>
      <c r="W1324" s="6">
        <f>$E1324+15</f>
        <v>117</v>
      </c>
      <c r="X1324" s="7">
        <f>IF($J1324=0,0,ROUND(MAX($J1324*1.4*1.5*1.6*1.6*2.2*2.715*2.6,3540000000*(1.579646^(MIN($E1324,123)-117)))*1,0))</f>
        <v>3720546</v>
      </c>
      <c r="Y1324" s="4">
        <f>$E1324+17</f>
        <v>119</v>
      </c>
      <c r="Z1324" s="8">
        <f>IF($J1324=0,0,ROUND(MAX($J1324*1.4*1.5*1.6*1.6*2.2*2.715*2.6*1.4,6020000000*(1.651178^(MIN($E1324,123)-117)))*1,0))</f>
        <v>3256028</v>
      </c>
      <c r="AA1324" s="6">
        <f>$E1324+19</f>
        <v>121</v>
      </c>
      <c r="AB1324" s="7">
        <f>IF($J1324=0,0,ROUND(MAX($J1324*1.4*1.5*1.6*1.6*2.2*2.715*2.6*1.4*1.4,8430000000*(1.651435^(MIN($E1324,123)-117)))*1,0))</f>
        <v>4548889</v>
      </c>
      <c r="AC1324" s="4">
        <f>$E1324+21</f>
        <v>123</v>
      </c>
      <c r="AD1324" s="8">
        <f>IF($J1324=0,0,ROUND(MAX($J1324*1.4*1.5*1.6*1.6*2.2*2.715*2.6*1.4*1.4*1.5,12600000000*(1.652953^(MIN($E1324,123)-117)))*1,0))</f>
        <v>6705991</v>
      </c>
      <c r="AE1324" s="6">
        <f>$E1324+24</f>
        <v>126</v>
      </c>
      <c r="AF1324" s="7">
        <f>IF($J1324=0,0,ROUND(MAX($J1324*1.4*1.5*1.6*1.6*2.2*2.715*2.6*1.4*1.4*1.5*1.5,18900000000*(1.65331^(MIN($E1324,123)-117)))*1,0))</f>
        <v>10026455</v>
      </c>
      <c r="AG1324" s="4">
        <f>$E1324+27</f>
        <v>129</v>
      </c>
      <c r="AH1324" s="8">
        <f>IF($J1324=0,0,ROUND(MAX($J1324*1.4*1.5*1.6*1.6*2.2*2.715*2.6*1.4*1.4*1.5*1.5*3.2,60500000000*(1.654288^(MIN($E1324,123)-117)))*1,0))</f>
        <v>31811825</v>
      </c>
    </row>
    <row r="1325" ht="27.75" customHeight="1" spans="1:34" x14ac:dyDescent="0.25">
      <c r="A1325" s="3">
        <v>1335</v>
      </c>
      <c r="B1325" s="3" t="s">
        <v>997</v>
      </c>
      <c r="C1325" s="3" t="s">
        <v>920</v>
      </c>
      <c r="D1325" s="3" t="s">
        <v>40</v>
      </c>
      <c r="E1325" s="3">
        <v>102</v>
      </c>
      <c r="F1325" s="3" t="s">
        <v>42</v>
      </c>
      <c r="G1325" s="3" t="s">
        <v>953</v>
      </c>
      <c r="H1325" s="3">
        <v>21</v>
      </c>
      <c r="I1325" s="4">
        <v>102</v>
      </c>
      <c r="J1325" s="5">
        <v>21100</v>
      </c>
      <c r="K1325" s="6">
        <f>$E1325+1</f>
        <v>103</v>
      </c>
      <c r="L1325" s="7">
        <f>IF($J1325=0,0,ROUND(MAX($J1325*1.4,1620000*(1.497923^(MIN($E1325,123)-117)))*1,0))</f>
        <v>29540</v>
      </c>
      <c r="M1325" s="4">
        <f>$E1325+2</f>
        <v>104</v>
      </c>
      <c r="N1325" s="8">
        <f>IF($J1325=0,0,ROUND(MAX($J1325*1.4*1.5,2190000*(1.580994^(MIN($E1325,123)-117)))*1,0))</f>
        <v>44310</v>
      </c>
      <c r="O1325" s="6">
        <f>$E1325+4</f>
        <v>106</v>
      </c>
      <c r="P1325" s="7">
        <f>IF($J1325=0,0,ROUND(MAX($J1325*1.4*1.5*1.6,3500000*(1.57975^(MIN($E1325,123)-117)))*1,0))</f>
        <v>70896</v>
      </c>
      <c r="Q1325" s="4">
        <f>$E1325+6</f>
        <v>108</v>
      </c>
      <c r="R1325" s="8">
        <f>IF($J1325=0,0,ROUND(MAX($J1325*1.4*1.5*1.6*1.6,13100000*(1.429962^(MIN($E1325,123)-117)))*1,0))</f>
        <v>113434</v>
      </c>
      <c r="S1325" s="6">
        <f>$E1325+8</f>
        <v>110</v>
      </c>
      <c r="T1325" s="7">
        <f>IF($J1325=0,0,ROUND(MAX($J1325*1.4*1.5*1.6*1.6*2.2,42600000*(1.576904^(MIN($E1325,123)-117)))*1,0))</f>
        <v>249554</v>
      </c>
      <c r="U1325" s="4">
        <f>$E1325+11</f>
        <v>113</v>
      </c>
      <c r="V1325" s="8">
        <f>IF($J1325=0,0,ROUND(MAX($J1325*1.4*1.5*1.6*1.6*2.2*2.715,354000000*(1.642074^(MIN($E1325,123)-117)))*1,0))</f>
        <v>677539</v>
      </c>
      <c r="W1325" s="6">
        <f>$E1325+15</f>
        <v>117</v>
      </c>
      <c r="X1325" s="7">
        <f>IF($J1325=0,0,ROUND(MAX($J1325*1.4*1.5*1.6*1.6*2.2*2.715*2.6,3540000000*(1.579646^(MIN($E1325,123)-117)))*1,0))</f>
        <v>3720546</v>
      </c>
      <c r="Y1325" s="4">
        <f>$E1325+17</f>
        <v>119</v>
      </c>
      <c r="Z1325" s="8">
        <f>IF($J1325=0,0,ROUND(MAX($J1325*1.4*1.5*1.6*1.6*2.2*2.715*2.6*1.4,6020000000*(1.651178^(MIN($E1325,123)-117)))*1,0))</f>
        <v>3256028</v>
      </c>
      <c r="AA1325" s="6">
        <f>$E1325+19</f>
        <v>121</v>
      </c>
      <c r="AB1325" s="7">
        <f>IF($J1325=0,0,ROUND(MAX($J1325*1.4*1.5*1.6*1.6*2.2*2.715*2.6*1.4*1.4,8430000000*(1.651435^(MIN($E1325,123)-117)))*1,0))</f>
        <v>4548889</v>
      </c>
      <c r="AC1325" s="4">
        <f>$E1325+21</f>
        <v>123</v>
      </c>
      <c r="AD1325" s="8">
        <f>IF($J1325=0,0,ROUND(MAX($J1325*1.4*1.5*1.6*1.6*2.2*2.715*2.6*1.4*1.4*1.5,12600000000*(1.652953^(MIN($E1325,123)-117)))*1,0))</f>
        <v>6705991</v>
      </c>
      <c r="AE1325" s="6">
        <f>$E1325+24</f>
        <v>126</v>
      </c>
      <c r="AF1325" s="7">
        <f>IF($J1325=0,0,ROUND(MAX($J1325*1.4*1.5*1.6*1.6*2.2*2.715*2.6*1.4*1.4*1.5*1.5,18900000000*(1.65331^(MIN($E1325,123)-117)))*1,0))</f>
        <v>10026455</v>
      </c>
      <c r="AG1325" s="4">
        <f>$E1325+27</f>
        <v>129</v>
      </c>
      <c r="AH1325" s="8">
        <f>IF($J1325=0,0,ROUND(MAX($J1325*1.4*1.5*1.6*1.6*2.2*2.715*2.6*1.4*1.4*1.5*1.5*3.2,60500000000*(1.654288^(MIN($E1325,123)-117)))*1,0))</f>
        <v>31811825</v>
      </c>
    </row>
    <row r="1326" ht="27.75" customHeight="1" spans="1:34" x14ac:dyDescent="0.25">
      <c r="A1326" s="3">
        <v>1336</v>
      </c>
      <c r="B1326" s="3" t="s">
        <v>998</v>
      </c>
      <c r="C1326" s="3" t="s">
        <v>920</v>
      </c>
      <c r="D1326" s="3" t="s">
        <v>40</v>
      </c>
      <c r="E1326" s="3">
        <v>102</v>
      </c>
      <c r="F1326" s="3" t="s">
        <v>217</v>
      </c>
      <c r="G1326" s="3" t="s">
        <v>921</v>
      </c>
      <c r="H1326" s="3">
        <v>21</v>
      </c>
      <c r="I1326" s="4">
        <v>102</v>
      </c>
      <c r="J1326" s="5">
        <v>4710</v>
      </c>
      <c r="K1326" s="6">
        <f>$E1326+1</f>
        <v>103</v>
      </c>
      <c r="L1326" s="7">
        <f>IF($J1326=0,0,ROUND(MAX($J1326*1.4,1620000*(1.497923^(MIN($E1326,123)-117)))*1,0))</f>
        <v>6594</v>
      </c>
      <c r="M1326" s="4">
        <f>$E1326+2</f>
        <v>104</v>
      </c>
      <c r="N1326" s="8">
        <f>IF($J1326=0,0,ROUND(MAX($J1326*1.4*1.5,2190000*(1.580994^(MIN($E1326,123)-117)))*1,0))</f>
        <v>9891</v>
      </c>
      <c r="O1326" s="6">
        <f>$E1326+4</f>
        <v>106</v>
      </c>
      <c r="P1326" s="7">
        <f>IF($J1326=0,0,ROUND(MAX($J1326*1.4*1.5*1.6,3500000*(1.57975^(MIN($E1326,123)-117)))*1,0))</f>
        <v>15826</v>
      </c>
      <c r="Q1326" s="4">
        <f>$E1326+6</f>
        <v>108</v>
      </c>
      <c r="R1326" s="8">
        <f>IF($J1326=0,0,ROUND(MAX($J1326*1.4*1.5*1.6*1.6,13100000*(1.429962^(MIN($E1326,123)-117)))*1,0))</f>
        <v>61292</v>
      </c>
      <c r="S1326" s="6">
        <f>$E1326+8</f>
        <v>110</v>
      </c>
      <c r="T1326" s="7">
        <f>IF($J1326=0,0,ROUND(MAX($J1326*1.4*1.5*1.6*1.6*2.2,42600000*(1.576904^(MIN($E1326,123)-117)))*1,0))</f>
        <v>55706</v>
      </c>
      <c r="U1326" s="4">
        <f>$E1326+11</f>
        <v>113</v>
      </c>
      <c r="V1326" s="8">
        <f>IF($J1326=0,0,ROUND(MAX($J1326*1.4*1.5*1.6*1.6*2.2*2.715,354000000*(1.642074^(MIN($E1326,123)-117)))*1,0))</f>
        <v>208023</v>
      </c>
      <c r="W1326" s="6">
        <f>$E1326+15</f>
        <v>117</v>
      </c>
      <c r="X1326" s="7">
        <f>IF($J1326=0,0,ROUND(MAX($J1326*1.4*1.5*1.6*1.6*2.2*2.715*2.6,3540000000*(1.579646^(MIN($E1326,123)-117)))*1,0))</f>
        <v>3720546</v>
      </c>
      <c r="Y1326" s="4">
        <f>$E1326+17</f>
        <v>119</v>
      </c>
      <c r="Z1326" s="8">
        <f>IF($J1326=0,0,ROUND(MAX($J1326*1.4*1.5*1.6*1.6*2.2*2.715*2.6*1.4,6020000000*(1.651178^(MIN($E1326,123)-117)))*1,0))</f>
        <v>3256028</v>
      </c>
      <c r="AA1326" s="6">
        <f>$E1326+19</f>
        <v>121</v>
      </c>
      <c r="AB1326" s="7">
        <f>IF($J1326=0,0,ROUND(MAX($J1326*1.4*1.5*1.6*1.6*2.2*2.715*2.6*1.4*1.4,8430000000*(1.651435^(MIN($E1326,123)-117)))*1,0))</f>
        <v>4548889</v>
      </c>
      <c r="AC1326" s="4">
        <f>$E1326+21</f>
        <v>123</v>
      </c>
      <c r="AD1326" s="8">
        <f>IF($J1326=0,0,ROUND(MAX($J1326*1.4*1.5*1.6*1.6*2.2*2.715*2.6*1.4*1.4*1.5,12600000000*(1.652953^(MIN($E1326,123)-117)))*1,0))</f>
        <v>6705991</v>
      </c>
      <c r="AE1326" s="6">
        <f>$E1326+24</f>
        <v>126</v>
      </c>
      <c r="AF1326" s="7">
        <f>IF($J1326=0,0,ROUND(MAX($J1326*1.4*1.5*1.6*1.6*2.2*2.715*2.6*1.4*1.4*1.5*1.5,18900000000*(1.65331^(MIN($E1326,123)-117)))*1,0))</f>
        <v>10026455</v>
      </c>
      <c r="AG1326" s="4">
        <f>$E1326+27</f>
        <v>129</v>
      </c>
      <c r="AH1326" s="8">
        <f>IF($J1326=0,0,ROUND(MAX($J1326*1.4*1.5*1.6*1.6*2.2*2.715*2.6*1.4*1.4*1.5*1.5*3.2,60500000000*(1.654288^(MIN($E1326,123)-117)))*1,0))</f>
        <v>31811825</v>
      </c>
    </row>
    <row r="1327" ht="27.75" customHeight="1" spans="1:34" x14ac:dyDescent="0.25">
      <c r="A1327" s="3">
        <v>1337</v>
      </c>
      <c r="B1327" s="3" t="s">
        <v>999</v>
      </c>
      <c r="C1327" s="3" t="s">
        <v>920</v>
      </c>
      <c r="D1327" s="3" t="s">
        <v>90</v>
      </c>
      <c r="E1327" s="3">
        <v>102</v>
      </c>
      <c r="F1327" s="3" t="s">
        <v>71</v>
      </c>
      <c r="G1327" s="3" t="s">
        <v>921</v>
      </c>
      <c r="H1327" s="3">
        <v>21</v>
      </c>
      <c r="I1327" s="4">
        <v>102</v>
      </c>
      <c r="J1327" s="5">
        <v>10900</v>
      </c>
      <c r="K1327" s="6">
        <f>$E1327+1</f>
        <v>103</v>
      </c>
      <c r="L1327" s="7">
        <f>IF($J1327=0,0,ROUND(MAX($J1327*1.4,1620000*(1.497923^(MIN($E1327,123)-117)))*1,0))</f>
        <v>15260</v>
      </c>
      <c r="M1327" s="4">
        <f>$E1327+2</f>
        <v>104</v>
      </c>
      <c r="N1327" s="8">
        <f>IF($J1327=0,0,ROUND(MAX($J1327*1.4*1.5,2190000*(1.580994^(MIN($E1327,123)-117)))*1,0))</f>
        <v>22890</v>
      </c>
      <c r="O1327" s="6">
        <f>$E1327+4</f>
        <v>106</v>
      </c>
      <c r="P1327" s="7">
        <f>IF($J1327=0,0,ROUND(MAX($J1327*1.4*1.5*1.6,3500000*(1.57975^(MIN($E1327,123)-117)))*1,0))</f>
        <v>36624</v>
      </c>
      <c r="Q1327" s="4">
        <f>$E1327+6</f>
        <v>108</v>
      </c>
      <c r="R1327" s="8">
        <f>IF($J1327=0,0,ROUND(MAX($J1327*1.4*1.5*1.6*1.6,13100000*(1.429962^(MIN($E1327,123)-117)))*1,0))</f>
        <v>61292</v>
      </c>
      <c r="S1327" s="6">
        <f>$E1327+8</f>
        <v>110</v>
      </c>
      <c r="T1327" s="7">
        <f>IF($J1327=0,0,ROUND(MAX($J1327*1.4*1.5*1.6*1.6*2.2,42600000*(1.576904^(MIN($E1327,123)-117)))*1,0))</f>
        <v>128916</v>
      </c>
      <c r="U1327" s="4">
        <f>$E1327+11</f>
        <v>113</v>
      </c>
      <c r="V1327" s="8">
        <f>IF($J1327=0,0,ROUND(MAX($J1327*1.4*1.5*1.6*1.6*2.2*2.715,354000000*(1.642074^(MIN($E1327,123)-117)))*1,0))</f>
        <v>350008</v>
      </c>
      <c r="W1327" s="6">
        <f>$E1327+15</f>
        <v>117</v>
      </c>
      <c r="X1327" s="7">
        <f>IF($J1327=0,0,ROUND(MAX($J1327*1.4*1.5*1.6*1.6*2.2*2.715*2.6,3540000000*(1.579646^(MIN($E1327,123)-117)))*1,0))</f>
        <v>3720546</v>
      </c>
      <c r="Y1327" s="4">
        <f>$E1327+17</f>
        <v>119</v>
      </c>
      <c r="Z1327" s="8">
        <f>IF($J1327=0,0,ROUND(MAX($J1327*1.4*1.5*1.6*1.6*2.2*2.715*2.6*1.4,6020000000*(1.651178^(MIN($E1327,123)-117)))*1,0))</f>
        <v>3256028</v>
      </c>
      <c r="AA1327" s="6">
        <f>$E1327+19</f>
        <v>121</v>
      </c>
      <c r="AB1327" s="7">
        <f>IF($J1327=0,0,ROUND(MAX($J1327*1.4*1.5*1.6*1.6*2.2*2.715*2.6*1.4*1.4,8430000000*(1.651435^(MIN($E1327,123)-117)))*1,0))</f>
        <v>4548889</v>
      </c>
      <c r="AC1327" s="4">
        <f>$E1327+21</f>
        <v>123</v>
      </c>
      <c r="AD1327" s="8">
        <f>IF($J1327=0,0,ROUND(MAX($J1327*1.4*1.5*1.6*1.6*2.2*2.715*2.6*1.4*1.4*1.5,12600000000*(1.652953^(MIN($E1327,123)-117)))*1,0))</f>
        <v>6705991</v>
      </c>
      <c r="AE1327" s="6">
        <f>$E1327+24</f>
        <v>126</v>
      </c>
      <c r="AF1327" s="7">
        <f>IF($J1327=0,0,ROUND(MAX($J1327*1.4*1.5*1.6*1.6*2.2*2.715*2.6*1.4*1.4*1.5*1.5,18900000000*(1.65331^(MIN($E1327,123)-117)))*1,0))</f>
        <v>10026455</v>
      </c>
      <c r="AG1327" s="4">
        <f>$E1327+27</f>
        <v>129</v>
      </c>
      <c r="AH1327" s="8">
        <f>IF($J1327=0,0,ROUND(MAX($J1327*1.4*1.5*1.6*1.6*2.2*2.715*2.6*1.4*1.4*1.5*1.5*3.2,60500000000*(1.654288^(MIN($E1327,123)-117)))*1,0))</f>
        <v>31811825</v>
      </c>
    </row>
    <row r="1328" ht="27.75" customHeight="1" spans="1:34" x14ac:dyDescent="0.25">
      <c r="A1328" s="3">
        <v>1338</v>
      </c>
      <c r="B1328" s="3" t="s">
        <v>1000</v>
      </c>
      <c r="C1328" s="3" t="s">
        <v>920</v>
      </c>
      <c r="D1328" s="3" t="s">
        <v>331</v>
      </c>
      <c r="E1328" s="3">
        <v>102</v>
      </c>
      <c r="F1328" s="3" t="s">
        <v>62</v>
      </c>
      <c r="G1328" s="3" t="s">
        <v>595</v>
      </c>
      <c r="H1328" s="3">
        <v>21</v>
      </c>
      <c r="I1328" s="4">
        <v>102</v>
      </c>
      <c r="J1328" s="5">
        <v>25000</v>
      </c>
      <c r="K1328" s="6">
        <f>$E1328+1</f>
        <v>103</v>
      </c>
      <c r="L1328" s="7">
        <f>IF($J1328=0,0,ROUND(MAX($J1328*1.4,1620000*(1.497923^(MIN($E1328,123)-117)))*1,0))</f>
        <v>35000</v>
      </c>
      <c r="M1328" s="4">
        <f>$E1328+2</f>
        <v>104</v>
      </c>
      <c r="N1328" s="8">
        <f>IF($J1328=0,0,ROUND(MAX($J1328*1.4*1.5,2190000*(1.580994^(MIN($E1328,123)-117)))*1,0))</f>
        <v>52500</v>
      </c>
      <c r="O1328" s="6">
        <f>$E1328+4</f>
        <v>106</v>
      </c>
      <c r="P1328" s="7">
        <f>IF($J1328=0,0,ROUND(MAX($J1328*1.4*1.5*1.6,3500000*(1.57975^(MIN($E1328,123)-117)))*1,0))</f>
        <v>84000</v>
      </c>
      <c r="Q1328" s="4">
        <f>$E1328+6</f>
        <v>108</v>
      </c>
      <c r="R1328" s="8">
        <f>IF($J1328=0,0,ROUND(MAX($J1328*1.4*1.5*1.6*1.6,13100000*(1.429962^(MIN($E1328,123)-117)))*1,0))</f>
        <v>134400</v>
      </c>
      <c r="S1328" s="6">
        <f>$E1328+8</f>
        <v>110</v>
      </c>
      <c r="T1328" s="7">
        <f>IF($J1328=0,0,ROUND(MAX($J1328*1.4*1.5*1.6*1.6*2.2,42600000*(1.576904^(MIN($E1328,123)-117)))*1,0))</f>
        <v>295680</v>
      </c>
      <c r="U1328" s="4">
        <f>$E1328+11</f>
        <v>113</v>
      </c>
      <c r="V1328" s="8">
        <f>IF($J1328=0,0,ROUND(MAX($J1328*1.4*1.5*1.6*1.6*2.2*2.715,354000000*(1.642074^(MIN($E1328,123)-117)))*1,0))</f>
        <v>802771</v>
      </c>
      <c r="W1328" s="6">
        <f>$E1328+15</f>
        <v>117</v>
      </c>
      <c r="X1328" s="7">
        <f>IF($J1328=0,0,ROUND(MAX($J1328*1.4*1.5*1.6*1.6*2.2*2.715*2.6,3540000000*(1.579646^(MIN($E1328,123)-117)))*1,0))</f>
        <v>3720546</v>
      </c>
      <c r="Y1328" s="4">
        <f>$E1328+17</f>
        <v>119</v>
      </c>
      <c r="Z1328" s="8">
        <f>IF($J1328=0,0,ROUND(MAX($J1328*1.4*1.5*1.6*1.6*2.2*2.715*2.6*1.4,6020000000*(1.651178^(MIN($E1328,123)-117)))*1,0))</f>
        <v>3256028</v>
      </c>
      <c r="AA1328" s="6">
        <f>$E1328+19</f>
        <v>121</v>
      </c>
      <c r="AB1328" s="7">
        <f>IF($J1328=0,0,ROUND(MAX($J1328*1.4*1.5*1.6*1.6*2.2*2.715*2.6*1.4*1.4,8430000000*(1.651435^(MIN($E1328,123)-117)))*1,0))</f>
        <v>4548889</v>
      </c>
      <c r="AC1328" s="4">
        <f>$E1328+21</f>
        <v>123</v>
      </c>
      <c r="AD1328" s="8">
        <f>IF($J1328=0,0,ROUND(MAX($J1328*1.4*1.5*1.6*1.6*2.2*2.715*2.6*1.4*1.4*1.5,12600000000*(1.652953^(MIN($E1328,123)-117)))*1,0))</f>
        <v>6705991</v>
      </c>
      <c r="AE1328" s="6">
        <f>$E1328+24</f>
        <v>126</v>
      </c>
      <c r="AF1328" s="7">
        <f>IF($J1328=0,0,ROUND(MAX($J1328*1.4*1.5*1.6*1.6*2.2*2.715*2.6*1.4*1.4*1.5*1.5,18900000000*(1.65331^(MIN($E1328,123)-117)))*1,0))</f>
        <v>10026455</v>
      </c>
      <c r="AG1328" s="4">
        <f>$E1328+27</f>
        <v>129</v>
      </c>
      <c r="AH1328" s="8">
        <f>IF($J1328=0,0,ROUND(MAX($J1328*1.4*1.5*1.6*1.6*2.2*2.715*2.6*1.4*1.4*1.5*1.5*3.2,60500000000*(1.654288^(MIN($E1328,123)-117)))*1,0))</f>
        <v>31811825</v>
      </c>
    </row>
    <row r="1329" ht="27.75" customHeight="1" spans="1:34" x14ac:dyDescent="0.25">
      <c r="A1329" s="3">
        <v>1339</v>
      </c>
      <c r="B1329" s="3" t="s">
        <v>1001</v>
      </c>
      <c r="C1329" s="3" t="s">
        <v>920</v>
      </c>
      <c r="D1329" s="3" t="s">
        <v>45</v>
      </c>
      <c r="E1329" s="3">
        <v>102</v>
      </c>
      <c r="F1329" s="3" t="s">
        <v>54</v>
      </c>
      <c r="G1329" s="3" t="s">
        <v>921</v>
      </c>
      <c r="H1329" s="3">
        <v>21</v>
      </c>
      <c r="I1329" s="4">
        <v>102</v>
      </c>
      <c r="J1329" s="5">
        <v>25200</v>
      </c>
      <c r="K1329" s="6">
        <f>$E1329+1</f>
        <v>103</v>
      </c>
      <c r="L1329" s="7">
        <f>IF($J1329=0,0,ROUND(MAX($J1329*1.4,1620000*(1.497923^(MIN($E1329,123)-117)))*1,0))</f>
        <v>35280</v>
      </c>
      <c r="M1329" s="4">
        <f>$E1329+2</f>
        <v>104</v>
      </c>
      <c r="N1329" s="8">
        <f>IF($J1329=0,0,ROUND(MAX($J1329*1.4*1.5,2190000*(1.580994^(MIN($E1329,123)-117)))*1,0))</f>
        <v>52920</v>
      </c>
      <c r="O1329" s="6">
        <f>$E1329+4</f>
        <v>106</v>
      </c>
      <c r="P1329" s="7">
        <f>IF($J1329=0,0,ROUND(MAX($J1329*1.4*1.5*1.6,3500000*(1.57975^(MIN($E1329,123)-117)))*1,0))</f>
        <v>84672</v>
      </c>
      <c r="Q1329" s="4">
        <f>$E1329+6</f>
        <v>108</v>
      </c>
      <c r="R1329" s="8">
        <f>IF($J1329=0,0,ROUND(MAX($J1329*1.4*1.5*1.6*1.6,13100000*(1.429962^(MIN($E1329,123)-117)))*1,0))</f>
        <v>135475</v>
      </c>
      <c r="S1329" s="6">
        <f>$E1329+8</f>
        <v>110</v>
      </c>
      <c r="T1329" s="7">
        <f>IF($J1329=0,0,ROUND(MAX($J1329*1.4*1.5*1.6*1.6*2.2,42600000*(1.576904^(MIN($E1329,123)-117)))*1,0))</f>
        <v>298045</v>
      </c>
      <c r="U1329" s="4">
        <f>$E1329+11</f>
        <v>113</v>
      </c>
      <c r="V1329" s="8">
        <f>IF($J1329=0,0,ROUND(MAX($J1329*1.4*1.5*1.6*1.6*2.2*2.715,354000000*(1.642074^(MIN($E1329,123)-117)))*1,0))</f>
        <v>809193</v>
      </c>
      <c r="W1329" s="6">
        <f>$E1329+15</f>
        <v>117</v>
      </c>
      <c r="X1329" s="7">
        <f>IF($J1329=0,0,ROUND(MAX($J1329*1.4*1.5*1.6*1.6*2.2*2.715*2.6,3540000000*(1.579646^(MIN($E1329,123)-117)))*1,0))</f>
        <v>3720546</v>
      </c>
      <c r="Y1329" s="4">
        <f>$E1329+17</f>
        <v>119</v>
      </c>
      <c r="Z1329" s="8">
        <f>IF($J1329=0,0,ROUND(MAX($J1329*1.4*1.5*1.6*1.6*2.2*2.715*2.6*1.4,6020000000*(1.651178^(MIN($E1329,123)-117)))*1,0))</f>
        <v>3256028</v>
      </c>
      <c r="AA1329" s="6">
        <f>$E1329+19</f>
        <v>121</v>
      </c>
      <c r="AB1329" s="7">
        <f>IF($J1329=0,0,ROUND(MAX($J1329*1.4*1.5*1.6*1.6*2.2*2.715*2.6*1.4*1.4,8430000000*(1.651435^(MIN($E1329,123)-117)))*1,0))</f>
        <v>4548889</v>
      </c>
      <c r="AC1329" s="4">
        <f>$E1329+21</f>
        <v>123</v>
      </c>
      <c r="AD1329" s="8">
        <f>IF($J1329=0,0,ROUND(MAX($J1329*1.4*1.5*1.6*1.6*2.2*2.715*2.6*1.4*1.4*1.5,12600000000*(1.652953^(MIN($E1329,123)-117)))*1,0))</f>
        <v>6705991</v>
      </c>
      <c r="AE1329" s="6">
        <f>$E1329+24</f>
        <v>126</v>
      </c>
      <c r="AF1329" s="7">
        <f>IF($J1329=0,0,ROUND(MAX($J1329*1.4*1.5*1.6*1.6*2.2*2.715*2.6*1.4*1.4*1.5*1.5,18900000000*(1.65331^(MIN($E1329,123)-117)))*1,0))</f>
        <v>10026455</v>
      </c>
      <c r="AG1329" s="4">
        <f>$E1329+27</f>
        <v>129</v>
      </c>
      <c r="AH1329" s="8">
        <f>IF($J1329=0,0,ROUND(MAX($J1329*1.4*1.5*1.6*1.6*2.2*2.715*2.6*1.4*1.4*1.5*1.5*3.2,60500000000*(1.654288^(MIN($E1329,123)-117)))*1,0))</f>
        <v>31811825</v>
      </c>
    </row>
    <row r="1330" ht="27.75" customHeight="1" spans="1:34" x14ac:dyDescent="0.25">
      <c r="A1330" s="3">
        <v>1340</v>
      </c>
      <c r="B1330" s="3" t="s">
        <v>1002</v>
      </c>
      <c r="C1330" s="3" t="s">
        <v>920</v>
      </c>
      <c r="D1330" s="3" t="s">
        <v>45</v>
      </c>
      <c r="E1330" s="3">
        <v>102</v>
      </c>
      <c r="F1330" s="3" t="s">
        <v>62</v>
      </c>
      <c r="G1330" s="3" t="s">
        <v>1003</v>
      </c>
      <c r="H1330" s="3">
        <v>21</v>
      </c>
      <c r="I1330" s="4">
        <v>102</v>
      </c>
      <c r="J1330" s="5">
        <v>67300</v>
      </c>
      <c r="K1330" s="6">
        <f>$E1330+1</f>
        <v>103</v>
      </c>
      <c r="L1330" s="7">
        <f>IF($J1330=0,0,ROUND(MAX($J1330*1.4,1620000*(1.497923^(MIN($E1330,123)-117)))*1,0))</f>
        <v>94220</v>
      </c>
      <c r="M1330" s="4">
        <f>$E1330+2</f>
        <v>104</v>
      </c>
      <c r="N1330" s="8">
        <f>IF($J1330=0,0,ROUND(MAX($J1330*1.4*1.5,2190000*(1.580994^(MIN($E1330,123)-117)))*1,0))</f>
        <v>141330</v>
      </c>
      <c r="O1330" s="6">
        <f>$E1330+4</f>
        <v>106</v>
      </c>
      <c r="P1330" s="7">
        <f>IF($J1330=0,0,ROUND(MAX($J1330*1.4*1.5*1.6,3500000*(1.57975^(MIN($E1330,123)-117)))*1,0))</f>
        <v>226128</v>
      </c>
      <c r="Q1330" s="4">
        <f>$E1330+6</f>
        <v>108</v>
      </c>
      <c r="R1330" s="8">
        <f>IF($J1330=0,0,ROUND(MAX($J1330*1.4*1.5*1.6*1.6,13100000*(1.429962^(MIN($E1330,123)-117)))*1,0))</f>
        <v>361805</v>
      </c>
      <c r="S1330" s="6">
        <f>$E1330+8</f>
        <v>110</v>
      </c>
      <c r="T1330" s="7">
        <f>IF($J1330=0,0,ROUND(MAX($J1330*1.4*1.5*1.6*1.6*2.2,42600000*(1.576904^(MIN($E1330,123)-117)))*1,0))</f>
        <v>795971</v>
      </c>
      <c r="U1330" s="4">
        <f>$E1330+11</f>
        <v>113</v>
      </c>
      <c r="V1330" s="8">
        <f>IF($J1330=0,0,ROUND(MAX($J1330*1.4*1.5*1.6*1.6*2.2*2.715,354000000*(1.642074^(MIN($E1330,123)-117)))*1,0))</f>
        <v>2161060</v>
      </c>
      <c r="W1330" s="6">
        <f>$E1330+15</f>
        <v>117</v>
      </c>
      <c r="X1330" s="7">
        <f>IF($J1330=0,0,ROUND(MAX($J1330*1.4*1.5*1.6*1.6*2.2*2.715*2.6,3540000000*(1.579646^(MIN($E1330,123)-117)))*1,0))</f>
        <v>5618756</v>
      </c>
      <c r="Y1330" s="4">
        <f>$E1330+17</f>
        <v>119</v>
      </c>
      <c r="Z1330" s="8">
        <f>IF($J1330=0,0,ROUND(MAX($J1330*1.4*1.5*1.6*1.6*2.2*2.715*2.6*1.4,6020000000*(1.651178^(MIN($E1330,123)-117)))*1,0))</f>
        <v>7866259</v>
      </c>
      <c r="AA1330" s="6">
        <f>$E1330+19</f>
        <v>121</v>
      </c>
      <c r="AB1330" s="7">
        <f>IF($J1330=0,0,ROUND(MAX($J1330*1.4*1.5*1.6*1.6*2.2*2.715*2.6*1.4*1.4,8430000000*(1.651435^(MIN($E1330,123)-117)))*1,0))</f>
        <v>11012762</v>
      </c>
      <c r="AC1330" s="4">
        <f>$E1330+21</f>
        <v>123</v>
      </c>
      <c r="AD1330" s="8">
        <f>IF($J1330=0,0,ROUND(MAX($J1330*1.4*1.5*1.6*1.6*2.2*2.715*2.6*1.4*1.4*1.5,12600000000*(1.652953^(MIN($E1330,123)-117)))*1,0))</f>
        <v>16519143</v>
      </c>
      <c r="AE1330" s="6">
        <f>$E1330+24</f>
        <v>126</v>
      </c>
      <c r="AF1330" s="7">
        <f>IF($J1330=0,0,ROUND(MAX($J1330*1.4*1.5*1.6*1.6*2.2*2.715*2.6*1.4*1.4*1.5*1.5,18900000000*(1.65331^(MIN($E1330,123)-117)))*1,0))</f>
        <v>24778715</v>
      </c>
      <c r="AG1330" s="4">
        <f>$E1330+27</f>
        <v>129</v>
      </c>
      <c r="AH1330" s="8">
        <f>IF($J1330=0,0,ROUND(MAX($J1330*1.4*1.5*1.6*1.6*2.2*2.715*2.6*1.4*1.4*1.5*1.5*3.2,60500000000*(1.654288^(MIN($E1330,123)-117)))*1,0))</f>
        <v>79291887</v>
      </c>
    </row>
    <row r="1331" ht="27.75" customHeight="1" spans="1:34" x14ac:dyDescent="0.25">
      <c r="A1331" s="3">
        <v>1341</v>
      </c>
      <c r="B1331" s="3" t="s">
        <v>1004</v>
      </c>
      <c r="C1331" s="3" t="s">
        <v>920</v>
      </c>
      <c r="D1331" s="3" t="s">
        <v>29</v>
      </c>
      <c r="E1331" s="3">
        <v>102</v>
      </c>
      <c r="F1331" s="3" t="s">
        <v>54</v>
      </c>
      <c r="G1331" s="3" t="s">
        <v>1005</v>
      </c>
      <c r="H1331" s="3">
        <v>21</v>
      </c>
      <c r="I1331" s="4">
        <v>102</v>
      </c>
      <c r="J1331" s="5">
        <v>13900</v>
      </c>
      <c r="K1331" s="6">
        <f>$E1331+1</f>
        <v>103</v>
      </c>
      <c r="L1331" s="7">
        <f>IF($J1331=0,0,ROUND(MAX($J1331*1.4,1620000*(1.497923^(MIN($E1331,123)-117)))*1,0))</f>
        <v>19460</v>
      </c>
      <c r="M1331" s="4">
        <f>$E1331+2</f>
        <v>104</v>
      </c>
      <c r="N1331" s="8">
        <f>IF($J1331=0,0,ROUND(MAX($J1331*1.4*1.5,2190000*(1.580994^(MIN($E1331,123)-117)))*1,0))</f>
        <v>29190</v>
      </c>
      <c r="O1331" s="6">
        <f>$E1331+4</f>
        <v>106</v>
      </c>
      <c r="P1331" s="7">
        <f>IF($J1331=0,0,ROUND(MAX($J1331*1.4*1.5*1.6,3500000*(1.57975^(MIN($E1331,123)-117)))*1,0))</f>
        <v>46704</v>
      </c>
      <c r="Q1331" s="4">
        <f>$E1331+6</f>
        <v>108</v>
      </c>
      <c r="R1331" s="8">
        <f>IF($J1331=0,0,ROUND(MAX($J1331*1.4*1.5*1.6*1.6,13100000*(1.429962^(MIN($E1331,123)-117)))*1,0))</f>
        <v>74726</v>
      </c>
      <c r="S1331" s="6">
        <f>$E1331+8</f>
        <v>110</v>
      </c>
      <c r="T1331" s="7">
        <f>IF($J1331=0,0,ROUND(MAX($J1331*1.4*1.5*1.6*1.6*2.2,42600000*(1.576904^(MIN($E1331,123)-117)))*1,0))</f>
        <v>164398</v>
      </c>
      <c r="U1331" s="4">
        <f>$E1331+11</f>
        <v>113</v>
      </c>
      <c r="V1331" s="8">
        <f>IF($J1331=0,0,ROUND(MAX($J1331*1.4*1.5*1.6*1.6*2.2*2.715,354000000*(1.642074^(MIN($E1331,123)-117)))*1,0))</f>
        <v>446341</v>
      </c>
      <c r="W1331" s="6">
        <f>$E1331+15</f>
        <v>117</v>
      </c>
      <c r="X1331" s="7">
        <f>IF($J1331=0,0,ROUND(MAX($J1331*1.4*1.5*1.6*1.6*2.2*2.715*2.6,3540000000*(1.579646^(MIN($E1331,123)-117)))*1,0))</f>
        <v>3720546</v>
      </c>
      <c r="Y1331" s="4">
        <f>$E1331+17</f>
        <v>119</v>
      </c>
      <c r="Z1331" s="8">
        <f>IF($J1331=0,0,ROUND(MAX($J1331*1.4*1.5*1.6*1.6*2.2*2.715*2.6*1.4,6020000000*(1.651178^(MIN($E1331,123)-117)))*1,0))</f>
        <v>3256028</v>
      </c>
      <c r="AA1331" s="6">
        <f>$E1331+19</f>
        <v>121</v>
      </c>
      <c r="AB1331" s="7">
        <f>IF($J1331=0,0,ROUND(MAX($J1331*1.4*1.5*1.6*1.6*2.2*2.715*2.6*1.4*1.4,8430000000*(1.651435^(MIN($E1331,123)-117)))*1,0))</f>
        <v>4548889</v>
      </c>
      <c r="AC1331" s="4">
        <f>$E1331+21</f>
        <v>123</v>
      </c>
      <c r="AD1331" s="8">
        <f>IF($J1331=0,0,ROUND(MAX($J1331*1.4*1.5*1.6*1.6*2.2*2.715*2.6*1.4*1.4*1.5,12600000000*(1.652953^(MIN($E1331,123)-117)))*1,0))</f>
        <v>6705991</v>
      </c>
      <c r="AE1331" s="6">
        <f>$E1331+24</f>
        <v>126</v>
      </c>
      <c r="AF1331" s="7">
        <f>IF($J1331=0,0,ROUND(MAX($J1331*1.4*1.5*1.6*1.6*2.2*2.715*2.6*1.4*1.4*1.5*1.5,18900000000*(1.65331^(MIN($E1331,123)-117)))*1,0))</f>
        <v>10026455</v>
      </c>
      <c r="AG1331" s="4">
        <f>$E1331+27</f>
        <v>129</v>
      </c>
      <c r="AH1331" s="8">
        <f>IF($J1331=0,0,ROUND(MAX($J1331*1.4*1.5*1.6*1.6*2.2*2.715*2.6*1.4*1.4*1.5*1.5*3.2,60500000000*(1.654288^(MIN($E1331,123)-117)))*1,0))</f>
        <v>31811825</v>
      </c>
    </row>
    <row r="1332" ht="27.75" customHeight="1" spans="1:34" x14ac:dyDescent="0.25">
      <c r="A1332" s="3">
        <v>1342</v>
      </c>
      <c r="B1332" s="3" t="s">
        <v>1006</v>
      </c>
      <c r="C1332" s="3" t="s">
        <v>920</v>
      </c>
      <c r="D1332" s="3" t="s">
        <v>90</v>
      </c>
      <c r="E1332" s="3">
        <v>102</v>
      </c>
      <c r="F1332" s="3" t="s">
        <v>56</v>
      </c>
      <c r="G1332" s="3" t="s">
        <v>1007</v>
      </c>
      <c r="H1332" s="3">
        <v>21</v>
      </c>
      <c r="I1332" s="4">
        <v>102</v>
      </c>
      <c r="J1332" s="5">
        <v>19500</v>
      </c>
      <c r="K1332" s="6">
        <f>$E1332+1</f>
        <v>103</v>
      </c>
      <c r="L1332" s="7">
        <f>IF($J1332=0,0,ROUND(MAX($J1332*1.4,1620000*(1.497923^(MIN($E1332,123)-117)))*1,0))</f>
        <v>27300</v>
      </c>
      <c r="M1332" s="4">
        <f>$E1332+2</f>
        <v>104</v>
      </c>
      <c r="N1332" s="8">
        <f>IF($J1332=0,0,ROUND(MAX($J1332*1.4*1.5,2190000*(1.580994^(MIN($E1332,123)-117)))*1,0))</f>
        <v>40950</v>
      </c>
      <c r="O1332" s="6">
        <f>$E1332+4</f>
        <v>106</v>
      </c>
      <c r="P1332" s="7">
        <f>IF($J1332=0,0,ROUND(MAX($J1332*1.4*1.5*1.6,3500000*(1.57975^(MIN($E1332,123)-117)))*1,0))</f>
        <v>65520</v>
      </c>
      <c r="Q1332" s="4">
        <f>$E1332+6</f>
        <v>108</v>
      </c>
      <c r="R1332" s="8">
        <f>IF($J1332=0,0,ROUND(MAX($J1332*1.4*1.5*1.6*1.6,13100000*(1.429962^(MIN($E1332,123)-117)))*1,0))</f>
        <v>104832</v>
      </c>
      <c r="S1332" s="6">
        <f>$E1332+8</f>
        <v>110</v>
      </c>
      <c r="T1332" s="7">
        <f>IF($J1332=0,0,ROUND(MAX($J1332*1.4*1.5*1.6*1.6*2.2,42600000*(1.576904^(MIN($E1332,123)-117)))*1,0))</f>
        <v>230630</v>
      </c>
      <c r="U1332" s="4">
        <f>$E1332+11</f>
        <v>113</v>
      </c>
      <c r="V1332" s="8">
        <f>IF($J1332=0,0,ROUND(MAX($J1332*1.4*1.5*1.6*1.6*2.2*2.715,354000000*(1.642074^(MIN($E1332,123)-117)))*1,0))</f>
        <v>626162</v>
      </c>
      <c r="W1332" s="6">
        <f>$E1332+15</f>
        <v>117</v>
      </c>
      <c r="X1332" s="7">
        <f>IF($J1332=0,0,ROUND(MAX($J1332*1.4*1.5*1.6*1.6*2.2*2.715*2.6,3540000000*(1.579646^(MIN($E1332,123)-117)))*1,0))</f>
        <v>3720546</v>
      </c>
      <c r="Y1332" s="4">
        <f>$E1332+17</f>
        <v>119</v>
      </c>
      <c r="Z1332" s="8">
        <f>IF($J1332=0,0,ROUND(MAX($J1332*1.4*1.5*1.6*1.6*2.2*2.715*2.6*1.4,6020000000*(1.651178^(MIN($E1332,123)-117)))*1,0))</f>
        <v>3256028</v>
      </c>
      <c r="AA1332" s="6">
        <f>$E1332+19</f>
        <v>121</v>
      </c>
      <c r="AB1332" s="7">
        <f>IF($J1332=0,0,ROUND(MAX($J1332*1.4*1.5*1.6*1.6*2.2*2.715*2.6*1.4*1.4,8430000000*(1.651435^(MIN($E1332,123)-117)))*1,0))</f>
        <v>4548889</v>
      </c>
      <c r="AC1332" s="4">
        <f>$E1332+21</f>
        <v>123</v>
      </c>
      <c r="AD1332" s="8">
        <f>IF($J1332=0,0,ROUND(MAX($J1332*1.4*1.5*1.6*1.6*2.2*2.715*2.6*1.4*1.4*1.5,12600000000*(1.652953^(MIN($E1332,123)-117)))*1,0))</f>
        <v>6705991</v>
      </c>
      <c r="AE1332" s="6">
        <f>$E1332+24</f>
        <v>126</v>
      </c>
      <c r="AF1332" s="7">
        <f>IF($J1332=0,0,ROUND(MAX($J1332*1.4*1.5*1.6*1.6*2.2*2.715*2.6*1.4*1.4*1.5*1.5,18900000000*(1.65331^(MIN($E1332,123)-117)))*1,0))</f>
        <v>10026455</v>
      </c>
      <c r="AG1332" s="4">
        <f>$E1332+27</f>
        <v>129</v>
      </c>
      <c r="AH1332" s="8">
        <f>IF($J1332=0,0,ROUND(MAX($J1332*1.4*1.5*1.6*1.6*2.2*2.715*2.6*1.4*1.4*1.5*1.5*3.2,60500000000*(1.654288^(MIN($E1332,123)-117)))*1,0))</f>
        <v>31811825</v>
      </c>
    </row>
    <row r="1333" ht="27.75" customHeight="1" spans="1:34" x14ac:dyDescent="0.25">
      <c r="A1333" s="3">
        <v>1343</v>
      </c>
      <c r="B1333" s="3" t="s">
        <v>1008</v>
      </c>
      <c r="C1333" s="3" t="s">
        <v>920</v>
      </c>
      <c r="D1333" s="3" t="s">
        <v>33</v>
      </c>
      <c r="E1333" s="3">
        <v>102</v>
      </c>
      <c r="F1333" s="3" t="s">
        <v>62</v>
      </c>
      <c r="G1333" s="3" t="s">
        <v>921</v>
      </c>
      <c r="H1333" s="3">
        <v>21</v>
      </c>
      <c r="I1333" s="4">
        <v>102</v>
      </c>
      <c r="J1333" s="5">
        <v>21100</v>
      </c>
      <c r="K1333" s="6">
        <f>$E1333+1</f>
        <v>103</v>
      </c>
      <c r="L1333" s="7">
        <f>IF($J1333=0,0,ROUND(MAX($J1333*1.4,1620000*(1.497923^(MIN($E1333,123)-117)))*1,0))</f>
        <v>29540</v>
      </c>
      <c r="M1333" s="4">
        <f>$E1333+2</f>
        <v>104</v>
      </c>
      <c r="N1333" s="8">
        <f>IF($J1333=0,0,ROUND(MAX($J1333*1.4*1.5,2190000*(1.580994^(MIN($E1333,123)-117)))*1,0))</f>
        <v>44310</v>
      </c>
      <c r="O1333" s="6">
        <f>$E1333+4</f>
        <v>106</v>
      </c>
      <c r="P1333" s="7">
        <f>IF($J1333=0,0,ROUND(MAX($J1333*1.4*1.5*1.6,3500000*(1.57975^(MIN($E1333,123)-117)))*1,0))</f>
        <v>70896</v>
      </c>
      <c r="Q1333" s="4">
        <f>$E1333+6</f>
        <v>108</v>
      </c>
      <c r="R1333" s="8">
        <f>IF($J1333=0,0,ROUND(MAX($J1333*1.4*1.5*1.6*1.6,13100000*(1.429962^(MIN($E1333,123)-117)))*1,0))</f>
        <v>113434</v>
      </c>
      <c r="S1333" s="6">
        <f>$E1333+8</f>
        <v>110</v>
      </c>
      <c r="T1333" s="7">
        <f>IF($J1333=0,0,ROUND(MAX($J1333*1.4*1.5*1.6*1.6*2.2,42600000*(1.576904^(MIN($E1333,123)-117)))*1,0))</f>
        <v>249554</v>
      </c>
      <c r="U1333" s="4">
        <f>$E1333+11</f>
        <v>113</v>
      </c>
      <c r="V1333" s="8">
        <f>IF($J1333=0,0,ROUND(MAX($J1333*1.4*1.5*1.6*1.6*2.2*2.715,354000000*(1.642074^(MIN($E1333,123)-117)))*1,0))</f>
        <v>677539</v>
      </c>
      <c r="W1333" s="6">
        <f>$E1333+15</f>
        <v>117</v>
      </c>
      <c r="X1333" s="7">
        <f>IF($J1333=0,0,ROUND(MAX($J1333*1.4*1.5*1.6*1.6*2.2*2.715*2.6,3540000000*(1.579646^(MIN($E1333,123)-117)))*1,0))</f>
        <v>3720546</v>
      </c>
      <c r="Y1333" s="4">
        <f>$E1333+17</f>
        <v>119</v>
      </c>
      <c r="Z1333" s="8">
        <f>IF($J1333=0,0,ROUND(MAX($J1333*1.4*1.5*1.6*1.6*2.2*2.715*2.6*1.4,6020000000*(1.651178^(MIN($E1333,123)-117)))*1,0))</f>
        <v>3256028</v>
      </c>
      <c r="AA1333" s="6">
        <f>$E1333+19</f>
        <v>121</v>
      </c>
      <c r="AB1333" s="7">
        <f>IF($J1333=0,0,ROUND(MAX($J1333*1.4*1.5*1.6*1.6*2.2*2.715*2.6*1.4*1.4,8430000000*(1.651435^(MIN($E1333,123)-117)))*1,0))</f>
        <v>4548889</v>
      </c>
      <c r="AC1333" s="4">
        <f>$E1333+21</f>
        <v>123</v>
      </c>
      <c r="AD1333" s="8">
        <f>IF($J1333=0,0,ROUND(MAX($J1333*1.4*1.5*1.6*1.6*2.2*2.715*2.6*1.4*1.4*1.5,12600000000*(1.652953^(MIN($E1333,123)-117)))*1,0))</f>
        <v>6705991</v>
      </c>
      <c r="AE1333" s="6">
        <f>$E1333+24</f>
        <v>126</v>
      </c>
      <c r="AF1333" s="7">
        <f>IF($J1333=0,0,ROUND(MAX($J1333*1.4*1.5*1.6*1.6*2.2*2.715*2.6*1.4*1.4*1.5*1.5,18900000000*(1.65331^(MIN($E1333,123)-117)))*1,0))</f>
        <v>10026455</v>
      </c>
      <c r="AG1333" s="4">
        <f>$E1333+27</f>
        <v>129</v>
      </c>
      <c r="AH1333" s="8">
        <f>IF($J1333=0,0,ROUND(MAX($J1333*1.4*1.5*1.6*1.6*2.2*2.715*2.6*1.4*1.4*1.5*1.5*3.2,60500000000*(1.654288^(MIN($E1333,123)-117)))*1,0))</f>
        <v>31811825</v>
      </c>
    </row>
    <row r="1334" ht="27.75" customHeight="1" spans="1:34" x14ac:dyDescent="0.25">
      <c r="A1334" s="3">
        <v>1344</v>
      </c>
      <c r="B1334" s="3" t="s">
        <v>1009</v>
      </c>
      <c r="C1334" s="3" t="s">
        <v>920</v>
      </c>
      <c r="D1334" s="3" t="s">
        <v>75</v>
      </c>
      <c r="E1334" s="3">
        <v>102</v>
      </c>
      <c r="F1334" s="3" t="s">
        <v>71</v>
      </c>
      <c r="G1334" s="3" t="s">
        <v>684</v>
      </c>
      <c r="H1334" s="3">
        <v>21</v>
      </c>
      <c r="I1334" s="4">
        <v>102</v>
      </c>
      <c r="J1334" s="5">
        <v>22700</v>
      </c>
      <c r="K1334" s="6">
        <f>$E1334+1</f>
        <v>103</v>
      </c>
      <c r="L1334" s="7">
        <f>IF($J1334=0,0,ROUND(MAX($J1334*1.4,1620000*(1.497923^(MIN($E1334,123)-117)))*1,0))</f>
        <v>31780</v>
      </c>
      <c r="M1334" s="4">
        <f>$E1334+2</f>
        <v>104</v>
      </c>
      <c r="N1334" s="8">
        <f>IF($J1334=0,0,ROUND(MAX($J1334*1.4*1.5,2190000*(1.580994^(MIN($E1334,123)-117)))*1,0))</f>
        <v>47670</v>
      </c>
      <c r="O1334" s="6">
        <f>$E1334+4</f>
        <v>106</v>
      </c>
      <c r="P1334" s="7">
        <f>IF($J1334=0,0,ROUND(MAX($J1334*1.4*1.5*1.6,3500000*(1.57975^(MIN($E1334,123)-117)))*1,0))</f>
        <v>76272</v>
      </c>
      <c r="Q1334" s="4">
        <f>$E1334+6</f>
        <v>108</v>
      </c>
      <c r="R1334" s="8">
        <f>IF($J1334=0,0,ROUND(MAX($J1334*1.4*1.5*1.6*1.6,13100000*(1.429962^(MIN($E1334,123)-117)))*1,0))</f>
        <v>122035</v>
      </c>
      <c r="S1334" s="6">
        <f>$E1334+8</f>
        <v>110</v>
      </c>
      <c r="T1334" s="7">
        <f>IF($J1334=0,0,ROUND(MAX($J1334*1.4*1.5*1.6*1.6*2.2,42600000*(1.576904^(MIN($E1334,123)-117)))*1,0))</f>
        <v>268477</v>
      </c>
      <c r="U1334" s="4">
        <f>$E1334+11</f>
        <v>113</v>
      </c>
      <c r="V1334" s="8">
        <f>IF($J1334=0,0,ROUND(MAX($J1334*1.4*1.5*1.6*1.6*2.2*2.715,354000000*(1.642074^(MIN($E1334,123)-117)))*1,0))</f>
        <v>728916</v>
      </c>
      <c r="W1334" s="6">
        <f>$E1334+15</f>
        <v>117</v>
      </c>
      <c r="X1334" s="7">
        <f>IF($J1334=0,0,ROUND(MAX($J1334*1.4*1.5*1.6*1.6*2.2*2.715*2.6,3540000000*(1.579646^(MIN($E1334,123)-117)))*1,0))</f>
        <v>3720546</v>
      </c>
      <c r="Y1334" s="4">
        <f>$E1334+17</f>
        <v>119</v>
      </c>
      <c r="Z1334" s="8">
        <f>IF($J1334=0,0,ROUND(MAX($J1334*1.4*1.5*1.6*1.6*2.2*2.715*2.6*1.4,6020000000*(1.651178^(MIN($E1334,123)-117)))*1,0))</f>
        <v>3256028</v>
      </c>
      <c r="AA1334" s="6">
        <f>$E1334+19</f>
        <v>121</v>
      </c>
      <c r="AB1334" s="7">
        <f>IF($J1334=0,0,ROUND(MAX($J1334*1.4*1.5*1.6*1.6*2.2*2.715*2.6*1.4*1.4,8430000000*(1.651435^(MIN($E1334,123)-117)))*1,0))</f>
        <v>4548889</v>
      </c>
      <c r="AC1334" s="4">
        <f>$E1334+21</f>
        <v>123</v>
      </c>
      <c r="AD1334" s="8">
        <f>IF($J1334=0,0,ROUND(MAX($J1334*1.4*1.5*1.6*1.6*2.2*2.715*2.6*1.4*1.4*1.5,12600000000*(1.652953^(MIN($E1334,123)-117)))*1,0))</f>
        <v>6705991</v>
      </c>
      <c r="AE1334" s="6">
        <f>$E1334+24</f>
        <v>126</v>
      </c>
      <c r="AF1334" s="7">
        <f>IF($J1334=0,0,ROUND(MAX($J1334*1.4*1.5*1.6*1.6*2.2*2.715*2.6*1.4*1.4*1.5*1.5,18900000000*(1.65331^(MIN($E1334,123)-117)))*1,0))</f>
        <v>10026455</v>
      </c>
      <c r="AG1334" s="4">
        <f>$E1334+27</f>
        <v>129</v>
      </c>
      <c r="AH1334" s="8">
        <f>IF($J1334=0,0,ROUND(MAX($J1334*1.4*1.5*1.6*1.6*2.2*2.715*2.6*1.4*1.4*1.5*1.5*3.2,60500000000*(1.654288^(MIN($E1334,123)-117)))*1,0))</f>
        <v>31811825</v>
      </c>
    </row>
    <row r="1335" ht="27.75" customHeight="1" spans="1:34" x14ac:dyDescent="0.25">
      <c r="A1335" s="3">
        <v>1345</v>
      </c>
      <c r="B1335" s="3" t="s">
        <v>597</v>
      </c>
      <c r="C1335" s="3" t="s">
        <v>920</v>
      </c>
      <c r="D1335" s="3" t="s">
        <v>64</v>
      </c>
      <c r="E1335" s="3">
        <v>102</v>
      </c>
      <c r="F1335" s="3" t="s">
        <v>56</v>
      </c>
      <c r="G1335" s="3" t="s">
        <v>921</v>
      </c>
      <c r="H1335" s="3">
        <v>21</v>
      </c>
      <c r="I1335" s="4">
        <v>102</v>
      </c>
      <c r="J1335" s="5">
        <v>20200</v>
      </c>
      <c r="K1335" s="6">
        <f>$E1335+1</f>
        <v>103</v>
      </c>
      <c r="L1335" s="7">
        <f>IF($J1335=0,0,ROUND(MAX($J1335*1.4,1620000*(1.497923^(MIN($E1335,123)-117)))*1,0))</f>
        <v>28280</v>
      </c>
      <c r="M1335" s="4">
        <f>$E1335+2</f>
        <v>104</v>
      </c>
      <c r="N1335" s="8">
        <f>IF($J1335=0,0,ROUND(MAX($J1335*1.4*1.5,2190000*(1.580994^(MIN($E1335,123)-117)))*1,0))</f>
        <v>42420</v>
      </c>
      <c r="O1335" s="6">
        <f>$E1335+4</f>
        <v>106</v>
      </c>
      <c r="P1335" s="7">
        <f>IF($J1335=0,0,ROUND(MAX($J1335*1.4*1.5*1.6,3500000*(1.57975^(MIN($E1335,123)-117)))*1,0))</f>
        <v>67872</v>
      </c>
      <c r="Q1335" s="4">
        <f>$E1335+6</f>
        <v>108</v>
      </c>
      <c r="R1335" s="8">
        <f>IF($J1335=0,0,ROUND(MAX($J1335*1.4*1.5*1.6*1.6,13100000*(1.429962^(MIN($E1335,123)-117)))*1,0))</f>
        <v>108595</v>
      </c>
      <c r="S1335" s="6">
        <f>$E1335+8</f>
        <v>110</v>
      </c>
      <c r="T1335" s="7">
        <f>IF($J1335=0,0,ROUND(MAX($J1335*1.4*1.5*1.6*1.6*2.2,42600000*(1.576904^(MIN($E1335,123)-117)))*1,0))</f>
        <v>238909</v>
      </c>
      <c r="U1335" s="4">
        <f>$E1335+11</f>
        <v>113</v>
      </c>
      <c r="V1335" s="8">
        <f>IF($J1335=0,0,ROUND(MAX($J1335*1.4*1.5*1.6*1.6*2.2*2.715,354000000*(1.642074^(MIN($E1335,123)-117)))*1,0))</f>
        <v>648639</v>
      </c>
      <c r="W1335" s="6">
        <f>$E1335+15</f>
        <v>117</v>
      </c>
      <c r="X1335" s="7">
        <f>IF($J1335=0,0,ROUND(MAX($J1335*1.4*1.5*1.6*1.6*2.2*2.715*2.6,3540000000*(1.579646^(MIN($E1335,123)-117)))*1,0))</f>
        <v>3720546</v>
      </c>
      <c r="Y1335" s="4">
        <f>$E1335+17</f>
        <v>119</v>
      </c>
      <c r="Z1335" s="8">
        <f>IF($J1335=0,0,ROUND(MAX($J1335*1.4*1.5*1.6*1.6*2.2*2.715*2.6*1.4,6020000000*(1.651178^(MIN($E1335,123)-117)))*1,0))</f>
        <v>3256028</v>
      </c>
      <c r="AA1335" s="6">
        <f>$E1335+19</f>
        <v>121</v>
      </c>
      <c r="AB1335" s="7">
        <f>IF($J1335=0,0,ROUND(MAX($J1335*1.4*1.5*1.6*1.6*2.2*2.715*2.6*1.4*1.4,8430000000*(1.651435^(MIN($E1335,123)-117)))*1,0))</f>
        <v>4548889</v>
      </c>
      <c r="AC1335" s="4">
        <f>$E1335+21</f>
        <v>123</v>
      </c>
      <c r="AD1335" s="8">
        <f>IF($J1335=0,0,ROUND(MAX($J1335*1.4*1.5*1.6*1.6*2.2*2.715*2.6*1.4*1.4*1.5,12600000000*(1.652953^(MIN($E1335,123)-117)))*1,0))</f>
        <v>6705991</v>
      </c>
      <c r="AE1335" s="6">
        <f>$E1335+24</f>
        <v>126</v>
      </c>
      <c r="AF1335" s="7">
        <f>IF($J1335=0,0,ROUND(MAX($J1335*1.4*1.5*1.6*1.6*2.2*2.715*2.6*1.4*1.4*1.5*1.5,18900000000*(1.65331^(MIN($E1335,123)-117)))*1,0))</f>
        <v>10026455</v>
      </c>
      <c r="AG1335" s="4">
        <f>$E1335+27</f>
        <v>129</v>
      </c>
      <c r="AH1335" s="8">
        <f>IF($J1335=0,0,ROUND(MAX($J1335*1.4*1.5*1.6*1.6*2.2*2.715*2.6*1.4*1.4*1.5*1.5*3.2,60500000000*(1.654288^(MIN($E1335,123)-117)))*1,0))</f>
        <v>31811825</v>
      </c>
    </row>
    <row r="1336" ht="27.75" customHeight="1" spans="1:34" x14ac:dyDescent="0.25">
      <c r="A1336" s="3">
        <v>1346</v>
      </c>
      <c r="B1336" s="3" t="s">
        <v>1010</v>
      </c>
      <c r="C1336" s="3" t="s">
        <v>920</v>
      </c>
      <c r="D1336" s="3" t="s">
        <v>47</v>
      </c>
      <c r="E1336" s="3">
        <v>102</v>
      </c>
      <c r="F1336" s="3" t="s">
        <v>34</v>
      </c>
      <c r="G1336" s="3" t="s">
        <v>921</v>
      </c>
      <c r="H1336" s="3">
        <v>19</v>
      </c>
      <c r="I1336" s="4">
        <v>102</v>
      </c>
      <c r="J1336" s="5">
        <v>19800</v>
      </c>
      <c r="K1336" s="6">
        <f>$E1336+1</f>
        <v>103</v>
      </c>
      <c r="L1336" s="7">
        <f>IF($J1336=0,0,ROUND(MAX($J1336*1.4,1620000*(1.497923^(MIN($E1336,123)-117)))*1,0))</f>
        <v>27720</v>
      </c>
      <c r="M1336" s="4">
        <f>$E1336+2</f>
        <v>104</v>
      </c>
      <c r="N1336" s="8">
        <f>IF($J1336=0,0,ROUND(MAX($J1336*1.4*1.5,2190000*(1.580994^(MIN($E1336,123)-117)))*1,0))</f>
        <v>41580</v>
      </c>
      <c r="O1336" s="6">
        <f>$E1336+4</f>
        <v>106</v>
      </c>
      <c r="P1336" s="7">
        <f>IF($J1336=0,0,ROUND(MAX($J1336*1.4*1.5*1.6,3500000*(1.57975^(MIN($E1336,123)-117)))*1,0))</f>
        <v>66528</v>
      </c>
      <c r="Q1336" s="4">
        <f>$E1336+6</f>
        <v>108</v>
      </c>
      <c r="R1336" s="8">
        <f>IF($J1336=0,0,ROUND(MAX($J1336*1.4*1.5*1.6*1.6,13100000*(1.429962^(MIN($E1336,123)-117)))*1,0))</f>
        <v>106445</v>
      </c>
      <c r="S1336" s="6">
        <f>$E1336+8</f>
        <v>110</v>
      </c>
      <c r="T1336" s="7">
        <f>IF($J1336=0,0,ROUND(MAX($J1336*1.4*1.5*1.6*1.6*2.2,42600000*(1.576904^(MIN($E1336,123)-117)))*1,0))</f>
        <v>234179</v>
      </c>
      <c r="U1336" s="4">
        <f>$E1336+11</f>
        <v>113</v>
      </c>
      <c r="V1336" s="8">
        <f>IF($J1336=0,0,ROUND(MAX($J1336*1.4*1.5*1.6*1.6*2.2*2.715,354000000*(1.642074^(MIN($E1336,123)-117)))*1,0))</f>
        <v>635795</v>
      </c>
      <c r="W1336" s="6">
        <f>$E1336+15</f>
        <v>117</v>
      </c>
      <c r="X1336" s="7">
        <f>IF($J1336=0,0,ROUND(MAX($J1336*1.4*1.5*1.6*1.6*2.2*2.715*2.6,3540000000*(1.579646^(MIN($E1336,123)-117)))*1,0))</f>
        <v>3720546</v>
      </c>
      <c r="Y1336" s="4">
        <f>$E1336+17</f>
        <v>119</v>
      </c>
      <c r="Z1336" s="8">
        <f>IF($J1336=0,0,ROUND(MAX($J1336*1.4*1.5*1.6*1.6*2.2*2.715*2.6*1.4,6020000000*(1.651178^(MIN($E1336,123)-117)))*1,0))</f>
        <v>3256028</v>
      </c>
      <c r="AA1336" s="6">
        <f>$E1336+19</f>
        <v>121</v>
      </c>
      <c r="AB1336" s="7">
        <f>IF($J1336=0,0,ROUND(MAX($J1336*1.4*1.5*1.6*1.6*2.2*2.715*2.6*1.4*1.4,8430000000*(1.651435^(MIN($E1336,123)-117)))*1,0))</f>
        <v>4548889</v>
      </c>
      <c r="AC1336" s="4">
        <f>$E1336+21</f>
        <v>123</v>
      </c>
      <c r="AD1336" s="8">
        <f>IF($J1336=0,0,ROUND(MAX($J1336*1.4*1.5*1.6*1.6*2.2*2.715*2.6*1.4*1.4*1.5,12600000000*(1.652953^(MIN($E1336,123)-117)))*1,0))</f>
        <v>6705991</v>
      </c>
      <c r="AE1336" s="6">
        <f>$E1336+24</f>
        <v>126</v>
      </c>
      <c r="AF1336" s="7">
        <f>IF($J1336=0,0,ROUND(MAX($J1336*1.4*1.5*1.6*1.6*2.2*2.715*2.6*1.4*1.4*1.5*1.5,18900000000*(1.65331^(MIN($E1336,123)-117)))*1,0))</f>
        <v>10026455</v>
      </c>
      <c r="AG1336" s="4">
        <f>$E1336+27</f>
        <v>129</v>
      </c>
      <c r="AH1336" s="8">
        <f>IF($J1336=0,0,ROUND(MAX($J1336*1.4*1.5*1.6*1.6*2.2*2.715*2.6*1.4*1.4*1.5*1.5*3.2,60500000000*(1.654288^(MIN($E1336,123)-117)))*1,0))</f>
        <v>31811825</v>
      </c>
    </row>
    <row r="1337" ht="27.75" customHeight="1" spans="1:34" x14ac:dyDescent="0.25">
      <c r="A1337" s="3">
        <v>1347</v>
      </c>
      <c r="B1337" s="3" t="s">
        <v>1011</v>
      </c>
      <c r="C1337" s="3" t="s">
        <v>920</v>
      </c>
      <c r="D1337" s="3" t="s">
        <v>102</v>
      </c>
      <c r="E1337" s="3">
        <v>101</v>
      </c>
      <c r="F1337" s="3" t="s">
        <v>34</v>
      </c>
      <c r="G1337" s="3" t="s">
        <v>921</v>
      </c>
      <c r="H1337" s="3">
        <v>21</v>
      </c>
      <c r="I1337" s="4">
        <v>101</v>
      </c>
      <c r="J1337" s="5">
        <v>20100</v>
      </c>
      <c r="K1337" s="6">
        <f>$E1337+1</f>
        <v>102</v>
      </c>
      <c r="L1337" s="7">
        <f>IF($J1337=0,0,ROUND(MAX($J1337*1.4,1620000*(1.497923^(MIN($E1337,123)-117)))*1,0))</f>
        <v>28140</v>
      </c>
      <c r="M1337" s="4">
        <f>$E1337+2</f>
        <v>103</v>
      </c>
      <c r="N1337" s="8">
        <f>IF($J1337=0,0,ROUND(MAX($J1337*1.4*1.5,2190000*(1.580994^(MIN($E1337,123)-117)))*1,0))</f>
        <v>42210</v>
      </c>
      <c r="O1337" s="6">
        <f>$E1337+4</f>
        <v>105</v>
      </c>
      <c r="P1337" s="7">
        <f>IF($J1337=0,0,ROUND(MAX($J1337*1.4*1.5*1.6,3500000*(1.57975^(MIN($E1337,123)-117)))*1,0))</f>
        <v>67536</v>
      </c>
      <c r="Q1337" s="4">
        <f>$E1337+6</f>
        <v>107</v>
      </c>
      <c r="R1337" s="8">
        <f>IF($J1337=0,0,ROUND(MAX($J1337*1.4*1.5*1.6*1.6,13100000*(1.429962^(MIN($E1337,123)-117)))*1,0))</f>
        <v>108058</v>
      </c>
      <c r="S1337" s="6">
        <f>$E1337+8</f>
        <v>109</v>
      </c>
      <c r="T1337" s="7">
        <f>IF($J1337=0,0,ROUND(MAX($J1337*1.4*1.5*1.6*1.6*2.2,42600000*(1.576904^(MIN($E1337,123)-117)))*1,0))</f>
        <v>237727</v>
      </c>
      <c r="U1337" s="4">
        <f>$E1337+11</f>
        <v>112</v>
      </c>
      <c r="V1337" s="8">
        <f>IF($J1337=0,0,ROUND(MAX($J1337*1.4*1.5*1.6*1.6*2.2*2.715,354000000*(1.642074^(MIN($E1337,123)-117)))*1,0))</f>
        <v>645428</v>
      </c>
      <c r="W1337" s="6">
        <f>$E1337+15</f>
        <v>116</v>
      </c>
      <c r="X1337" s="7">
        <f>IF($J1337=0,0,ROUND(MAX($J1337*1.4*1.5*1.6*1.6*2.2*2.715*2.6,3540000000*(1.579646^(MIN($E1337,123)-117)))*1,0))</f>
        <v>2355304</v>
      </c>
      <c r="Y1337" s="4">
        <f>$E1337+17</f>
        <v>118</v>
      </c>
      <c r="Z1337" s="8">
        <f>IF($J1337=0,0,ROUND(MAX($J1337*1.4*1.5*1.6*1.6*2.2*2.715*2.6*1.4,6020000000*(1.651178^(MIN($E1337,123)-117)))*1,0))</f>
        <v>2349358</v>
      </c>
      <c r="AA1337" s="6">
        <f>$E1337+19</f>
        <v>120</v>
      </c>
      <c r="AB1337" s="7">
        <f>IF($J1337=0,0,ROUND(MAX($J1337*1.4*1.5*1.6*1.6*2.2*2.715*2.6*1.4*1.4,8430000000*(1.651435^(MIN($E1337,123)-117)))*1,0))</f>
        <v>3289101</v>
      </c>
      <c r="AC1337" s="4">
        <f>$E1337+21</f>
        <v>122</v>
      </c>
      <c r="AD1337" s="8">
        <f>IF($J1337=0,0,ROUND(MAX($J1337*1.4*1.5*1.6*1.6*2.2*2.715*2.6*1.4*1.4*1.5,12600000000*(1.652953^(MIN($E1337,123)-117)))*1,0))</f>
        <v>4933652</v>
      </c>
      <c r="AE1337" s="6">
        <f>$E1337+24</f>
        <v>125</v>
      </c>
      <c r="AF1337" s="7">
        <f>IF($J1337=0,0,ROUND(MAX($J1337*1.4*1.5*1.6*1.6*2.2*2.715*2.6*1.4*1.4*1.5*1.5,18900000000*(1.65331^(MIN($E1337,123)-117)))*1,0))</f>
        <v>7400478</v>
      </c>
      <c r="AG1337" s="4">
        <f>$E1337+27</f>
        <v>128</v>
      </c>
      <c r="AH1337" s="8">
        <f>IF($J1337=0,0,ROUND(MAX($J1337*1.4*1.5*1.6*1.6*2.2*2.715*2.6*1.4*1.4*1.5*1.5*3.2,60500000000*(1.654288^(MIN($E1337,123)-117)))*1,0))</f>
        <v>23681529</v>
      </c>
    </row>
    <row r="1338" ht="27.75" customHeight="1" spans="1:34" x14ac:dyDescent="0.25">
      <c r="A1338" s="3">
        <v>1348</v>
      </c>
      <c r="B1338" s="3" t="s">
        <v>1012</v>
      </c>
      <c r="C1338" s="3" t="s">
        <v>920</v>
      </c>
      <c r="D1338" s="3" t="s">
        <v>75</v>
      </c>
      <c r="E1338" s="3">
        <v>101</v>
      </c>
      <c r="F1338" s="3" t="s">
        <v>30</v>
      </c>
      <c r="G1338" s="3" t="s">
        <v>1013</v>
      </c>
      <c r="H1338" s="3">
        <v>20</v>
      </c>
      <c r="I1338" s="4">
        <v>101</v>
      </c>
      <c r="J1338" s="5">
        <v>20100</v>
      </c>
      <c r="K1338" s="6">
        <f>$E1338+1</f>
        <v>102</v>
      </c>
      <c r="L1338" s="7">
        <f>IF($J1338=0,0,ROUND(MAX($J1338*1.4,1620000*(1.497923^(MIN($E1338,123)-117)))*1,0))</f>
        <v>28140</v>
      </c>
      <c r="M1338" s="4">
        <f>$E1338+2</f>
        <v>103</v>
      </c>
      <c r="N1338" s="8">
        <f>IF($J1338=0,0,ROUND(MAX($J1338*1.4*1.5,2190000*(1.580994^(MIN($E1338,123)-117)))*1,0))</f>
        <v>42210</v>
      </c>
      <c r="O1338" s="6">
        <f>$E1338+4</f>
        <v>105</v>
      </c>
      <c r="P1338" s="7">
        <f>IF($J1338=0,0,ROUND(MAX($J1338*1.4*1.5*1.6,3500000*(1.57975^(MIN($E1338,123)-117)))*1,0))</f>
        <v>67536</v>
      </c>
      <c r="Q1338" s="4">
        <f>$E1338+6</f>
        <v>107</v>
      </c>
      <c r="R1338" s="8">
        <f>IF($J1338=0,0,ROUND(MAX($J1338*1.4*1.5*1.6*1.6,13100000*(1.429962^(MIN($E1338,123)-117)))*1,0))</f>
        <v>108058</v>
      </c>
      <c r="S1338" s="6">
        <f>$E1338+8</f>
        <v>109</v>
      </c>
      <c r="T1338" s="7">
        <f>IF($J1338=0,0,ROUND(MAX($J1338*1.4*1.5*1.6*1.6*2.2,42600000*(1.576904^(MIN($E1338,123)-117)))*1,0))</f>
        <v>237727</v>
      </c>
      <c r="U1338" s="4">
        <f>$E1338+11</f>
        <v>112</v>
      </c>
      <c r="V1338" s="8">
        <f>IF($J1338=0,0,ROUND(MAX($J1338*1.4*1.5*1.6*1.6*2.2*2.715,354000000*(1.642074^(MIN($E1338,123)-117)))*1,0))</f>
        <v>645428</v>
      </c>
      <c r="W1338" s="6">
        <f>$E1338+15</f>
        <v>116</v>
      </c>
      <c r="X1338" s="7">
        <f>IF($J1338=0,0,ROUND(MAX($J1338*1.4*1.5*1.6*1.6*2.2*2.715*2.6,3540000000*(1.579646^(MIN($E1338,123)-117)))*1,0))</f>
        <v>2355304</v>
      </c>
      <c r="Y1338" s="4">
        <f>$E1338+17</f>
        <v>118</v>
      </c>
      <c r="Z1338" s="8">
        <f>IF($J1338=0,0,ROUND(MAX($J1338*1.4*1.5*1.6*1.6*2.2*2.715*2.6*1.4,6020000000*(1.651178^(MIN($E1338,123)-117)))*1,0))</f>
        <v>2349358</v>
      </c>
      <c r="AA1338" s="6">
        <f>$E1338+19</f>
        <v>120</v>
      </c>
      <c r="AB1338" s="7">
        <f>IF($J1338=0,0,ROUND(MAX($J1338*1.4*1.5*1.6*1.6*2.2*2.715*2.6*1.4*1.4,8430000000*(1.651435^(MIN($E1338,123)-117)))*1,0))</f>
        <v>3289101</v>
      </c>
      <c r="AC1338" s="4">
        <f>$E1338+21</f>
        <v>122</v>
      </c>
      <c r="AD1338" s="8">
        <f>IF($J1338=0,0,ROUND(MAX($J1338*1.4*1.5*1.6*1.6*2.2*2.715*2.6*1.4*1.4*1.5,12600000000*(1.652953^(MIN($E1338,123)-117)))*1,0))</f>
        <v>4933652</v>
      </c>
      <c r="AE1338" s="6">
        <f>$E1338+24</f>
        <v>125</v>
      </c>
      <c r="AF1338" s="7">
        <f>IF($J1338=0,0,ROUND(MAX($J1338*1.4*1.5*1.6*1.6*2.2*2.715*2.6*1.4*1.4*1.5*1.5,18900000000*(1.65331^(MIN($E1338,123)-117)))*1,0))</f>
        <v>7400478</v>
      </c>
      <c r="AG1338" s="4">
        <f>$E1338+27</f>
        <v>128</v>
      </c>
      <c r="AH1338" s="8">
        <f>IF($J1338=0,0,ROUND(MAX($J1338*1.4*1.5*1.6*1.6*2.2*2.715*2.6*1.4*1.4*1.5*1.5*3.2,60500000000*(1.654288^(MIN($E1338,123)-117)))*1,0))</f>
        <v>23681529</v>
      </c>
    </row>
    <row r="1339" ht="27.75" customHeight="1" spans="1:34" x14ac:dyDescent="0.25">
      <c r="A1339" s="3">
        <v>1349</v>
      </c>
      <c r="B1339" s="3" t="s">
        <v>1014</v>
      </c>
      <c r="C1339" s="3" t="s">
        <v>920</v>
      </c>
      <c r="D1339" s="3" t="s">
        <v>33</v>
      </c>
      <c r="E1339" s="3">
        <v>101</v>
      </c>
      <c r="F1339" s="3" t="s">
        <v>42</v>
      </c>
      <c r="G1339" s="3" t="s">
        <v>1015</v>
      </c>
      <c r="H1339" s="3">
        <v>20</v>
      </c>
      <c r="I1339" s="4">
        <v>101</v>
      </c>
      <c r="J1339" s="5">
        <v>21900</v>
      </c>
      <c r="K1339" s="6">
        <f>$E1339+1</f>
        <v>102</v>
      </c>
      <c r="L1339" s="7">
        <f>IF($J1339=0,0,ROUND(MAX($J1339*1.4,1620000*(1.497923^(MIN($E1339,123)-117)))*1,0))</f>
        <v>30660</v>
      </c>
      <c r="M1339" s="4">
        <f>$E1339+2</f>
        <v>103</v>
      </c>
      <c r="N1339" s="8">
        <f>IF($J1339=0,0,ROUND(MAX($J1339*1.4*1.5,2190000*(1.580994^(MIN($E1339,123)-117)))*1,0))</f>
        <v>45990</v>
      </c>
      <c r="O1339" s="6">
        <f>$E1339+4</f>
        <v>105</v>
      </c>
      <c r="P1339" s="7">
        <f>IF($J1339=0,0,ROUND(MAX($J1339*1.4*1.5*1.6,3500000*(1.57975^(MIN($E1339,123)-117)))*1,0))</f>
        <v>73584</v>
      </c>
      <c r="Q1339" s="4">
        <f>$E1339+6</f>
        <v>107</v>
      </c>
      <c r="R1339" s="8">
        <f>IF($J1339=0,0,ROUND(MAX($J1339*1.4*1.5*1.6*1.6,13100000*(1.429962^(MIN($E1339,123)-117)))*1,0))</f>
        <v>117734</v>
      </c>
      <c r="S1339" s="6">
        <f>$E1339+8</f>
        <v>109</v>
      </c>
      <c r="T1339" s="7">
        <f>IF($J1339=0,0,ROUND(MAX($J1339*1.4*1.5*1.6*1.6*2.2,42600000*(1.576904^(MIN($E1339,123)-117)))*1,0))</f>
        <v>259016</v>
      </c>
      <c r="U1339" s="4">
        <f>$E1339+11</f>
        <v>112</v>
      </c>
      <c r="V1339" s="8">
        <f>IF($J1339=0,0,ROUND(MAX($J1339*1.4*1.5*1.6*1.6*2.2*2.715,354000000*(1.642074^(MIN($E1339,123)-117)))*1,0))</f>
        <v>703228</v>
      </c>
      <c r="W1339" s="6">
        <f>$E1339+15</f>
        <v>116</v>
      </c>
      <c r="X1339" s="7">
        <f>IF($J1339=0,0,ROUND(MAX($J1339*1.4*1.5*1.6*1.6*2.2*2.715*2.6,3540000000*(1.579646^(MIN($E1339,123)-117)))*1,0))</f>
        <v>2355304</v>
      </c>
      <c r="Y1339" s="4">
        <f>$E1339+17</f>
        <v>118</v>
      </c>
      <c r="Z1339" s="8">
        <f>IF($J1339=0,0,ROUND(MAX($J1339*1.4*1.5*1.6*1.6*2.2*2.715*2.6*1.4,6020000000*(1.651178^(MIN($E1339,123)-117)))*1,0))</f>
        <v>2559748</v>
      </c>
      <c r="AA1339" s="6">
        <f>$E1339+19</f>
        <v>120</v>
      </c>
      <c r="AB1339" s="7">
        <f>IF($J1339=0,0,ROUND(MAX($J1339*1.4*1.5*1.6*1.6*2.2*2.715*2.6*1.4*1.4,8430000000*(1.651435^(MIN($E1339,123)-117)))*1,0))</f>
        <v>3583648</v>
      </c>
      <c r="AC1339" s="4">
        <f>$E1339+21</f>
        <v>122</v>
      </c>
      <c r="AD1339" s="8">
        <f>IF($J1339=0,0,ROUND(MAX($J1339*1.4*1.5*1.6*1.6*2.2*2.715*2.6*1.4*1.4*1.5,12600000000*(1.652953^(MIN($E1339,123)-117)))*1,0))</f>
        <v>5375472</v>
      </c>
      <c r="AE1339" s="6">
        <f>$E1339+24</f>
        <v>125</v>
      </c>
      <c r="AF1339" s="7">
        <f>IF($J1339=0,0,ROUND(MAX($J1339*1.4*1.5*1.6*1.6*2.2*2.715*2.6*1.4*1.4*1.5*1.5,18900000000*(1.65331^(MIN($E1339,123)-117)))*1,0))</f>
        <v>8063207</v>
      </c>
      <c r="AG1339" s="4">
        <f>$E1339+27</f>
        <v>128</v>
      </c>
      <c r="AH1339" s="8">
        <f>IF($J1339=0,0,ROUND(MAX($J1339*1.4*1.5*1.6*1.6*2.2*2.715*2.6*1.4*1.4*1.5*1.5*3.2,60500000000*(1.654288^(MIN($E1339,123)-117)))*1,0))</f>
        <v>25802263</v>
      </c>
    </row>
    <row r="1340" ht="27.75" customHeight="1" spans="1:34" x14ac:dyDescent="0.25">
      <c r="A1340" s="3">
        <v>1350</v>
      </c>
      <c r="B1340" s="3" t="s">
        <v>1016</v>
      </c>
      <c r="C1340" s="3" t="s">
        <v>920</v>
      </c>
      <c r="D1340" s="3" t="s">
        <v>25</v>
      </c>
      <c r="E1340" s="3">
        <v>101</v>
      </c>
      <c r="F1340" s="3" t="s">
        <v>54</v>
      </c>
      <c r="G1340" s="3" t="s">
        <v>921</v>
      </c>
      <c r="H1340" s="3">
        <v>20</v>
      </c>
      <c r="I1340" s="4">
        <v>101</v>
      </c>
      <c r="J1340" s="5">
        <v>5990</v>
      </c>
      <c r="K1340" s="6">
        <f>$E1340+1</f>
        <v>102</v>
      </c>
      <c r="L1340" s="7">
        <f>IF($J1340=0,0,ROUND(MAX($J1340*1.4,1620000*(1.497923^(MIN($E1340,123)-117)))*1,0))</f>
        <v>8386</v>
      </c>
      <c r="M1340" s="4">
        <f>$E1340+2</f>
        <v>103</v>
      </c>
      <c r="N1340" s="8">
        <f>IF($J1340=0,0,ROUND(MAX($J1340*1.4*1.5,2190000*(1.580994^(MIN($E1340,123)-117)))*1,0))</f>
        <v>12579</v>
      </c>
      <c r="O1340" s="6">
        <f>$E1340+4</f>
        <v>105</v>
      </c>
      <c r="P1340" s="7">
        <f>IF($J1340=0,0,ROUND(MAX($J1340*1.4*1.5*1.6,3500000*(1.57975^(MIN($E1340,123)-117)))*1,0))</f>
        <v>20126</v>
      </c>
      <c r="Q1340" s="4">
        <f>$E1340+6</f>
        <v>107</v>
      </c>
      <c r="R1340" s="8">
        <f>IF($J1340=0,0,ROUND(MAX($J1340*1.4*1.5*1.6*1.6,13100000*(1.429962^(MIN($E1340,123)-117)))*1,0))</f>
        <v>42863</v>
      </c>
      <c r="S1340" s="6">
        <f>$E1340+8</f>
        <v>109</v>
      </c>
      <c r="T1340" s="7">
        <f>IF($J1340=0,0,ROUND(MAX($J1340*1.4*1.5*1.6*1.6*2.2,42600000*(1.576904^(MIN($E1340,123)-117)))*1,0))</f>
        <v>70845</v>
      </c>
      <c r="U1340" s="4">
        <f>$E1340+11</f>
        <v>112</v>
      </c>
      <c r="V1340" s="8">
        <f>IF($J1340=0,0,ROUND(MAX($J1340*1.4*1.5*1.6*1.6*2.2*2.715,354000000*(1.642074^(MIN($E1340,123)-117)))*1,0))</f>
        <v>192344</v>
      </c>
      <c r="W1340" s="6">
        <f>$E1340+15</f>
        <v>116</v>
      </c>
      <c r="X1340" s="7">
        <f>IF($J1340=0,0,ROUND(MAX($J1340*1.4*1.5*1.6*1.6*2.2*2.715*2.6,3540000000*(1.579646^(MIN($E1340,123)-117)))*1,0))</f>
        <v>2355304</v>
      </c>
      <c r="Y1340" s="4">
        <f>$E1340+17</f>
        <v>118</v>
      </c>
      <c r="Z1340" s="8">
        <f>IF($J1340=0,0,ROUND(MAX($J1340*1.4*1.5*1.6*1.6*2.2*2.715*2.6*1.4,6020000000*(1.651178^(MIN($E1340,123)-117)))*1,0))</f>
        <v>1971942</v>
      </c>
      <c r="AA1340" s="6">
        <f>$E1340+19</f>
        <v>120</v>
      </c>
      <c r="AB1340" s="7">
        <f>IF($J1340=0,0,ROUND(MAX($J1340*1.4*1.5*1.6*1.6*2.2*2.715*2.6*1.4*1.4,8430000000*(1.651435^(MIN($E1340,123)-117)))*1,0))</f>
        <v>2754507</v>
      </c>
      <c r="AC1340" s="4">
        <f>$E1340+21</f>
        <v>122</v>
      </c>
      <c r="AD1340" s="8">
        <f>IF($J1340=0,0,ROUND(MAX($J1340*1.4*1.5*1.6*1.6*2.2*2.715*2.6*1.4*1.4*1.5,12600000000*(1.652953^(MIN($E1340,123)-117)))*1,0))</f>
        <v>4056976</v>
      </c>
      <c r="AE1340" s="6">
        <f>$E1340+24</f>
        <v>125</v>
      </c>
      <c r="AF1340" s="7">
        <f>IF($J1340=0,0,ROUND(MAX($J1340*1.4*1.5*1.6*1.6*2.2*2.715*2.6*1.4*1.4*1.5*1.5,18900000000*(1.65331^(MIN($E1340,123)-117)))*1,0))</f>
        <v>6064474</v>
      </c>
      <c r="AG1340" s="4">
        <f>$E1340+27</f>
        <v>128</v>
      </c>
      <c r="AH1340" s="8">
        <f>IF($J1340=0,0,ROUND(MAX($J1340*1.4*1.5*1.6*1.6*2.2*2.715*2.6*1.4*1.4*1.5*1.5*3.2,60500000000*(1.654288^(MIN($E1340,123)-117)))*1,0))</f>
        <v>19229919</v>
      </c>
    </row>
    <row r="1341" ht="27.75" customHeight="1" spans="1:34" x14ac:dyDescent="0.25">
      <c r="A1341" s="3">
        <v>1351</v>
      </c>
      <c r="B1341" s="3" t="s">
        <v>1017</v>
      </c>
      <c r="C1341" s="3" t="s">
        <v>920</v>
      </c>
      <c r="D1341" s="3" t="s">
        <v>25</v>
      </c>
      <c r="E1341" s="3">
        <v>101</v>
      </c>
      <c r="F1341" s="3" t="s">
        <v>179</v>
      </c>
      <c r="G1341" s="3" t="s">
        <v>561</v>
      </c>
      <c r="H1341" s="3">
        <v>20</v>
      </c>
      <c r="I1341" s="4">
        <v>101</v>
      </c>
      <c r="J1341" s="5">
        <v>17700</v>
      </c>
      <c r="K1341" s="6">
        <f>$E1341+1</f>
        <v>102</v>
      </c>
      <c r="L1341" s="7">
        <f>IF($J1341=0,0,ROUND(MAX($J1341*1.4,1620000*(1.497923^(MIN($E1341,123)-117)))*1,0))</f>
        <v>24780</v>
      </c>
      <c r="M1341" s="4">
        <f>$E1341+2</f>
        <v>103</v>
      </c>
      <c r="N1341" s="8">
        <f>IF($J1341=0,0,ROUND(MAX($J1341*1.4*1.5,2190000*(1.580994^(MIN($E1341,123)-117)))*1,0))</f>
        <v>37170</v>
      </c>
      <c r="O1341" s="6">
        <f>$E1341+4</f>
        <v>105</v>
      </c>
      <c r="P1341" s="7">
        <f>IF($J1341=0,0,ROUND(MAX($J1341*1.4*1.5*1.6,3500000*(1.57975^(MIN($E1341,123)-117)))*1,0))</f>
        <v>59472</v>
      </c>
      <c r="Q1341" s="4">
        <f>$E1341+6</f>
        <v>107</v>
      </c>
      <c r="R1341" s="8">
        <f>IF($J1341=0,0,ROUND(MAX($J1341*1.4*1.5*1.6*1.6,13100000*(1.429962^(MIN($E1341,123)-117)))*1,0))</f>
        <v>95155</v>
      </c>
      <c r="S1341" s="6">
        <f>$E1341+8</f>
        <v>109</v>
      </c>
      <c r="T1341" s="7">
        <f>IF($J1341=0,0,ROUND(MAX($J1341*1.4*1.5*1.6*1.6*2.2,42600000*(1.576904^(MIN($E1341,123)-117)))*1,0))</f>
        <v>209341</v>
      </c>
      <c r="U1341" s="4">
        <f>$E1341+11</f>
        <v>112</v>
      </c>
      <c r="V1341" s="8">
        <f>IF($J1341=0,0,ROUND(MAX($J1341*1.4*1.5*1.6*1.6*2.2*2.715,354000000*(1.642074^(MIN($E1341,123)-117)))*1,0))</f>
        <v>568362</v>
      </c>
      <c r="W1341" s="6">
        <f>$E1341+15</f>
        <v>116</v>
      </c>
      <c r="X1341" s="7">
        <f>IF($J1341=0,0,ROUND(MAX($J1341*1.4*1.5*1.6*1.6*2.2*2.715*2.6,3540000000*(1.579646^(MIN($E1341,123)-117)))*1,0))</f>
        <v>2355304</v>
      </c>
      <c r="Y1341" s="4">
        <f>$E1341+17</f>
        <v>118</v>
      </c>
      <c r="Z1341" s="8">
        <f>IF($J1341=0,0,ROUND(MAX($J1341*1.4*1.5*1.6*1.6*2.2*2.715*2.6*1.4,6020000000*(1.651178^(MIN($E1341,123)-117)))*1,0))</f>
        <v>2068838</v>
      </c>
      <c r="AA1341" s="6">
        <f>$E1341+19</f>
        <v>120</v>
      </c>
      <c r="AB1341" s="7">
        <f>IF($J1341=0,0,ROUND(MAX($J1341*1.4*1.5*1.6*1.6*2.2*2.715*2.6*1.4*1.4,8430000000*(1.651435^(MIN($E1341,123)-117)))*1,0))</f>
        <v>2896373</v>
      </c>
      <c r="AC1341" s="4">
        <f>$E1341+21</f>
        <v>122</v>
      </c>
      <c r="AD1341" s="8">
        <f>IF($J1341=0,0,ROUND(MAX($J1341*1.4*1.5*1.6*1.6*2.2*2.715*2.6*1.4*1.4*1.5,12600000000*(1.652953^(MIN($E1341,123)-117)))*1,0))</f>
        <v>4344559</v>
      </c>
      <c r="AE1341" s="6">
        <f>$E1341+24</f>
        <v>125</v>
      </c>
      <c r="AF1341" s="7">
        <f>IF($J1341=0,0,ROUND(MAX($J1341*1.4*1.5*1.6*1.6*2.2*2.715*2.6*1.4*1.4*1.5*1.5,18900000000*(1.65331^(MIN($E1341,123)-117)))*1,0))</f>
        <v>6516839</v>
      </c>
      <c r="AG1341" s="4">
        <f>$E1341+27</f>
        <v>128</v>
      </c>
      <c r="AH1341" s="8">
        <f>IF($J1341=0,0,ROUND(MAX($J1341*1.4*1.5*1.6*1.6*2.2*2.715*2.6*1.4*1.4*1.5*1.5*3.2,60500000000*(1.654288^(MIN($E1341,123)-117)))*1,0))</f>
        <v>20853884</v>
      </c>
    </row>
    <row r="1342" ht="27.75" customHeight="1" spans="1:34" x14ac:dyDescent="0.25">
      <c r="A1342" s="3">
        <v>1352</v>
      </c>
      <c r="B1342" s="3" t="s">
        <v>1018</v>
      </c>
      <c r="C1342" s="3" t="s">
        <v>920</v>
      </c>
      <c r="D1342" s="3" t="s">
        <v>33</v>
      </c>
      <c r="E1342" s="3">
        <v>101</v>
      </c>
      <c r="F1342" s="3" t="s">
        <v>42</v>
      </c>
      <c r="G1342" s="3" t="s">
        <v>921</v>
      </c>
      <c r="H1342" s="3">
        <v>20</v>
      </c>
      <c r="I1342" s="4">
        <v>101</v>
      </c>
      <c r="J1342" s="5">
        <v>21400</v>
      </c>
      <c r="K1342" s="6">
        <f>$E1342+1</f>
        <v>102</v>
      </c>
      <c r="L1342" s="7">
        <f>IF($J1342=0,0,ROUND(MAX($J1342*1.4,1620000*(1.497923^(MIN($E1342,123)-117)))*1,0))</f>
        <v>29960</v>
      </c>
      <c r="M1342" s="4">
        <f>$E1342+2</f>
        <v>103</v>
      </c>
      <c r="N1342" s="8">
        <f>IF($J1342=0,0,ROUND(MAX($J1342*1.4*1.5,2190000*(1.580994^(MIN($E1342,123)-117)))*1,0))</f>
        <v>44940</v>
      </c>
      <c r="O1342" s="6">
        <f>$E1342+4</f>
        <v>105</v>
      </c>
      <c r="P1342" s="7">
        <f>IF($J1342=0,0,ROUND(MAX($J1342*1.4*1.5*1.6,3500000*(1.57975^(MIN($E1342,123)-117)))*1,0))</f>
        <v>71904</v>
      </c>
      <c r="Q1342" s="4">
        <f>$E1342+6</f>
        <v>107</v>
      </c>
      <c r="R1342" s="8">
        <f>IF($J1342=0,0,ROUND(MAX($J1342*1.4*1.5*1.6*1.6,13100000*(1.429962^(MIN($E1342,123)-117)))*1,0))</f>
        <v>115046</v>
      </c>
      <c r="S1342" s="6">
        <f>$E1342+8</f>
        <v>109</v>
      </c>
      <c r="T1342" s="7">
        <f>IF($J1342=0,0,ROUND(MAX($J1342*1.4*1.5*1.6*1.6*2.2,42600000*(1.576904^(MIN($E1342,123)-117)))*1,0))</f>
        <v>253102</v>
      </c>
      <c r="U1342" s="4">
        <f>$E1342+11</f>
        <v>112</v>
      </c>
      <c r="V1342" s="8">
        <f>IF($J1342=0,0,ROUND(MAX($J1342*1.4*1.5*1.6*1.6*2.2*2.715,354000000*(1.642074^(MIN($E1342,123)-117)))*1,0))</f>
        <v>687172</v>
      </c>
      <c r="W1342" s="6">
        <f>$E1342+15</f>
        <v>116</v>
      </c>
      <c r="X1342" s="7">
        <f>IF($J1342=0,0,ROUND(MAX($J1342*1.4*1.5*1.6*1.6*2.2*2.715*2.6,3540000000*(1.579646^(MIN($E1342,123)-117)))*1,0))</f>
        <v>2355304</v>
      </c>
      <c r="Y1342" s="4">
        <f>$E1342+17</f>
        <v>118</v>
      </c>
      <c r="Z1342" s="8">
        <f>IF($J1342=0,0,ROUND(MAX($J1342*1.4*1.5*1.6*1.6*2.2*2.715*2.6*1.4,6020000000*(1.651178^(MIN($E1342,123)-117)))*1,0))</f>
        <v>2501307</v>
      </c>
      <c r="AA1342" s="6">
        <f>$E1342+19</f>
        <v>120</v>
      </c>
      <c r="AB1342" s="7">
        <f>IF($J1342=0,0,ROUND(MAX($J1342*1.4*1.5*1.6*1.6*2.2*2.715*2.6*1.4*1.4,8430000000*(1.651435^(MIN($E1342,123)-117)))*1,0))</f>
        <v>3501829</v>
      </c>
      <c r="AC1342" s="4">
        <f>$E1342+21</f>
        <v>122</v>
      </c>
      <c r="AD1342" s="8">
        <f>IF($J1342=0,0,ROUND(MAX($J1342*1.4*1.5*1.6*1.6*2.2*2.715*2.6*1.4*1.4*1.5,12600000000*(1.652953^(MIN($E1342,123)-117)))*1,0))</f>
        <v>5252744</v>
      </c>
      <c r="AE1342" s="6">
        <f>$E1342+24</f>
        <v>125</v>
      </c>
      <c r="AF1342" s="7">
        <f>IF($J1342=0,0,ROUND(MAX($J1342*1.4*1.5*1.6*1.6*2.2*2.715*2.6*1.4*1.4*1.5*1.5,18900000000*(1.65331^(MIN($E1342,123)-117)))*1,0))</f>
        <v>7879116</v>
      </c>
      <c r="AG1342" s="4">
        <f>$E1342+27</f>
        <v>128</v>
      </c>
      <c r="AH1342" s="8">
        <f>IF($J1342=0,0,ROUND(MAX($J1342*1.4*1.5*1.6*1.6*2.2*2.715*2.6*1.4*1.4*1.5*1.5*3.2,60500000000*(1.654288^(MIN($E1342,123)-117)))*1,0))</f>
        <v>25213171</v>
      </c>
    </row>
    <row r="1343" ht="27.75" customHeight="1" spans="1:34" x14ac:dyDescent="0.25">
      <c r="A1343" s="3">
        <v>1353</v>
      </c>
      <c r="B1343" s="3" t="s">
        <v>1019</v>
      </c>
      <c r="C1343" s="3" t="s">
        <v>920</v>
      </c>
      <c r="D1343" s="3" t="s">
        <v>102</v>
      </c>
      <c r="E1343" s="3">
        <v>101</v>
      </c>
      <c r="F1343" s="3" t="s">
        <v>42</v>
      </c>
      <c r="G1343" s="3" t="s">
        <v>921</v>
      </c>
      <c r="H1343" s="3">
        <v>20</v>
      </c>
      <c r="I1343" s="4">
        <v>101</v>
      </c>
      <c r="J1343" s="5">
        <v>22100</v>
      </c>
      <c r="K1343" s="6">
        <f>$E1343+1</f>
        <v>102</v>
      </c>
      <c r="L1343" s="7">
        <f>IF($J1343=0,0,ROUND(MAX($J1343*1.4,1620000*(1.497923^(MIN($E1343,123)-117)))*1,0))</f>
        <v>30940</v>
      </c>
      <c r="M1343" s="4">
        <f>$E1343+2</f>
        <v>103</v>
      </c>
      <c r="N1343" s="8">
        <f>IF($J1343=0,0,ROUND(MAX($J1343*1.4*1.5,2190000*(1.580994^(MIN($E1343,123)-117)))*1,0))</f>
        <v>46410</v>
      </c>
      <c r="O1343" s="6">
        <f>$E1343+4</f>
        <v>105</v>
      </c>
      <c r="P1343" s="7">
        <f>IF($J1343=0,0,ROUND(MAX($J1343*1.4*1.5*1.6,3500000*(1.57975^(MIN($E1343,123)-117)))*1,0))</f>
        <v>74256</v>
      </c>
      <c r="Q1343" s="4">
        <f>$E1343+6</f>
        <v>107</v>
      </c>
      <c r="R1343" s="8">
        <f>IF($J1343=0,0,ROUND(MAX($J1343*1.4*1.5*1.6*1.6,13100000*(1.429962^(MIN($E1343,123)-117)))*1,0))</f>
        <v>118810</v>
      </c>
      <c r="S1343" s="6">
        <f>$E1343+8</f>
        <v>109</v>
      </c>
      <c r="T1343" s="7">
        <f>IF($J1343=0,0,ROUND(MAX($J1343*1.4*1.5*1.6*1.6*2.2,42600000*(1.576904^(MIN($E1343,123)-117)))*1,0))</f>
        <v>261381</v>
      </c>
      <c r="U1343" s="4">
        <f>$E1343+11</f>
        <v>112</v>
      </c>
      <c r="V1343" s="8">
        <f>IF($J1343=0,0,ROUND(MAX($J1343*1.4*1.5*1.6*1.6*2.2*2.715,354000000*(1.642074^(MIN($E1343,123)-117)))*1,0))</f>
        <v>709650</v>
      </c>
      <c r="W1343" s="6">
        <f>$E1343+15</f>
        <v>116</v>
      </c>
      <c r="X1343" s="7">
        <f>IF($J1343=0,0,ROUND(MAX($J1343*1.4*1.5*1.6*1.6*2.2*2.715*2.6,3540000000*(1.579646^(MIN($E1343,123)-117)))*1,0))</f>
        <v>2355304</v>
      </c>
      <c r="Y1343" s="4">
        <f>$E1343+17</f>
        <v>118</v>
      </c>
      <c r="Z1343" s="8">
        <f>IF($J1343=0,0,ROUND(MAX($J1343*1.4*1.5*1.6*1.6*2.2*2.715*2.6*1.4,6020000000*(1.651178^(MIN($E1343,123)-117)))*1,0))</f>
        <v>2583125</v>
      </c>
      <c r="AA1343" s="6">
        <f>$E1343+19</f>
        <v>120</v>
      </c>
      <c r="AB1343" s="7">
        <f>IF($J1343=0,0,ROUND(MAX($J1343*1.4*1.5*1.6*1.6*2.2*2.715*2.6*1.4*1.4,8430000000*(1.651435^(MIN($E1343,123)-117)))*1,0))</f>
        <v>3616375</v>
      </c>
      <c r="AC1343" s="4">
        <f>$E1343+21</f>
        <v>122</v>
      </c>
      <c r="AD1343" s="8">
        <f>IF($J1343=0,0,ROUND(MAX($J1343*1.4*1.5*1.6*1.6*2.2*2.715*2.6*1.4*1.4*1.5,12600000000*(1.652953^(MIN($E1343,123)-117)))*1,0))</f>
        <v>5424563</v>
      </c>
      <c r="AE1343" s="6">
        <f>$E1343+24</f>
        <v>125</v>
      </c>
      <c r="AF1343" s="7">
        <f>IF($J1343=0,0,ROUND(MAX($J1343*1.4*1.5*1.6*1.6*2.2*2.715*2.6*1.4*1.4*1.5*1.5,18900000000*(1.65331^(MIN($E1343,123)-117)))*1,0))</f>
        <v>8136844</v>
      </c>
      <c r="AG1343" s="4">
        <f>$E1343+27</f>
        <v>128</v>
      </c>
      <c r="AH1343" s="8">
        <f>IF($J1343=0,0,ROUND(MAX($J1343*1.4*1.5*1.6*1.6*2.2*2.715*2.6*1.4*1.4*1.5*1.5*3.2,60500000000*(1.654288^(MIN($E1343,123)-117)))*1,0))</f>
        <v>26037901</v>
      </c>
    </row>
    <row r="1344" ht="27.75" customHeight="1" spans="1:34" x14ac:dyDescent="0.25">
      <c r="A1344" s="3">
        <v>1354</v>
      </c>
      <c r="B1344" s="3" t="s">
        <v>875</v>
      </c>
      <c r="C1344" s="3" t="s">
        <v>920</v>
      </c>
      <c r="D1344" s="3" t="s">
        <v>75</v>
      </c>
      <c r="E1344" s="3">
        <v>101</v>
      </c>
      <c r="F1344" s="3" t="s">
        <v>56</v>
      </c>
      <c r="G1344" s="3" t="s">
        <v>876</v>
      </c>
      <c r="H1344" s="3">
        <v>20</v>
      </c>
      <c r="I1344" s="4">
        <v>101</v>
      </c>
      <c r="J1344" s="5">
        <v>99500</v>
      </c>
      <c r="K1344" s="6">
        <f>$E1344+1</f>
        <v>102</v>
      </c>
      <c r="L1344" s="7">
        <f>IF($J1344=0,0,ROUND(MAX($J1344*1.4,1620000*(1.497923^(MIN($E1344,123)-117)))*1,0))</f>
        <v>139300</v>
      </c>
      <c r="M1344" s="4">
        <f>$E1344+2</f>
        <v>103</v>
      </c>
      <c r="N1344" s="8">
        <f>IF($J1344=0,0,ROUND(MAX($J1344*1.4*1.5,2190000*(1.580994^(MIN($E1344,123)-117)))*1,0))</f>
        <v>208950</v>
      </c>
      <c r="O1344" s="6">
        <f>$E1344+4</f>
        <v>105</v>
      </c>
      <c r="P1344" s="7">
        <f>IF($J1344=0,0,ROUND(MAX($J1344*1.4*1.5*1.6,3500000*(1.57975^(MIN($E1344,123)-117)))*1,0))</f>
        <v>334320</v>
      </c>
      <c r="Q1344" s="4">
        <f>$E1344+6</f>
        <v>107</v>
      </c>
      <c r="R1344" s="8">
        <f>IF($J1344=0,0,ROUND(MAX($J1344*1.4*1.5*1.6*1.6,13100000*(1.429962^(MIN($E1344,123)-117)))*1,0))</f>
        <v>534912</v>
      </c>
      <c r="S1344" s="6">
        <f>$E1344+8</f>
        <v>109</v>
      </c>
      <c r="T1344" s="7">
        <f>IF($J1344=0,0,ROUND(MAX($J1344*1.4*1.5*1.6*1.6*2.2,42600000*(1.576904^(MIN($E1344,123)-117)))*1,0))</f>
        <v>1176806</v>
      </c>
      <c r="U1344" s="4">
        <f>$E1344+11</f>
        <v>112</v>
      </c>
      <c r="V1344" s="8">
        <f>IF($J1344=0,0,ROUND(MAX($J1344*1.4*1.5*1.6*1.6*2.2*2.715,354000000*(1.642074^(MIN($E1344,123)-117)))*1,0))</f>
        <v>3195029</v>
      </c>
      <c r="W1344" s="6">
        <f>$E1344+15</f>
        <v>116</v>
      </c>
      <c r="X1344" s="7">
        <f>IF($J1344=0,0,ROUND(MAX($J1344*1.4*1.5*1.6*1.6*2.2*2.715*2.6,3540000000*(1.579646^(MIN($E1344,123)-117)))*1,0))</f>
        <v>8307076</v>
      </c>
      <c r="Y1344" s="4">
        <f>$E1344+17</f>
        <v>118</v>
      </c>
      <c r="Z1344" s="8">
        <f>IF($J1344=0,0,ROUND(MAX($J1344*1.4*1.5*1.6*1.6*2.2*2.715*2.6*1.4,6020000000*(1.651178^(MIN($E1344,123)-117)))*1,0))</f>
        <v>11629907</v>
      </c>
      <c r="AA1344" s="6">
        <f>$E1344+19</f>
        <v>120</v>
      </c>
      <c r="AB1344" s="7">
        <f>IF($J1344=0,0,ROUND(MAX($J1344*1.4*1.5*1.6*1.6*2.2*2.715*2.6*1.4*1.4,8430000000*(1.651435^(MIN($E1344,123)-117)))*1,0))</f>
        <v>16281870</v>
      </c>
      <c r="AC1344" s="4">
        <f>$E1344+21</f>
        <v>122</v>
      </c>
      <c r="AD1344" s="8">
        <f>IF($J1344=0,0,ROUND(MAX($J1344*1.4*1.5*1.6*1.6*2.2*2.715*2.6*1.4*1.4*1.5,12600000000*(1.652953^(MIN($E1344,123)-117)))*1,0))</f>
        <v>24422805</v>
      </c>
      <c r="AE1344" s="6">
        <f>$E1344+24</f>
        <v>125</v>
      </c>
      <c r="AF1344" s="7">
        <f>IF($J1344=0,0,ROUND(MAX($J1344*1.4*1.5*1.6*1.6*2.2*2.715*2.6*1.4*1.4*1.5*1.5,18900000000*(1.65331^(MIN($E1344,123)-117)))*1,0))</f>
        <v>36634207</v>
      </c>
      <c r="AG1344" s="4">
        <f>$E1344+27</f>
        <v>128</v>
      </c>
      <c r="AH1344" s="8">
        <f>IF($J1344=0,0,ROUND(MAX($J1344*1.4*1.5*1.6*1.6*2.2*2.715*2.6*1.4*1.4*1.5*1.5*3.2,60500000000*(1.654288^(MIN($E1344,123)-117)))*1,0))</f>
        <v>117229462</v>
      </c>
    </row>
    <row r="1345" ht="27.75" customHeight="1" spans="1:34" x14ac:dyDescent="0.25">
      <c r="A1345" s="3">
        <v>1355</v>
      </c>
      <c r="B1345" s="3" t="s">
        <v>1020</v>
      </c>
      <c r="C1345" s="3" t="s">
        <v>920</v>
      </c>
      <c r="D1345" s="3" t="s">
        <v>47</v>
      </c>
      <c r="E1345" s="3">
        <v>101</v>
      </c>
      <c r="F1345" s="3" t="s">
        <v>42</v>
      </c>
      <c r="G1345" s="3" t="s">
        <v>921</v>
      </c>
      <c r="H1345" s="3">
        <v>18</v>
      </c>
      <c r="I1345" s="4">
        <v>101</v>
      </c>
      <c r="J1345" s="5">
        <v>26000</v>
      </c>
      <c r="K1345" s="6">
        <f>$E1345+1</f>
        <v>102</v>
      </c>
      <c r="L1345" s="7">
        <f>IF($J1345=0,0,ROUND(MAX($J1345*1.4,1620000*(1.497923^(MIN($E1345,123)-117)))*1,0))</f>
        <v>36400</v>
      </c>
      <c r="M1345" s="4">
        <f>$E1345+2</f>
        <v>103</v>
      </c>
      <c r="N1345" s="8">
        <f>IF($J1345=0,0,ROUND(MAX($J1345*1.4*1.5,2190000*(1.580994^(MIN($E1345,123)-117)))*1,0))</f>
        <v>54600</v>
      </c>
      <c r="O1345" s="6">
        <f>$E1345+4</f>
        <v>105</v>
      </c>
      <c r="P1345" s="7">
        <f>IF($J1345=0,0,ROUND(MAX($J1345*1.4*1.5*1.6,3500000*(1.57975^(MIN($E1345,123)-117)))*1,0))</f>
        <v>87360</v>
      </c>
      <c r="Q1345" s="4">
        <f>$E1345+6</f>
        <v>107</v>
      </c>
      <c r="R1345" s="8">
        <f>IF($J1345=0,0,ROUND(MAX($J1345*1.4*1.5*1.6*1.6,13100000*(1.429962^(MIN($E1345,123)-117)))*1,0))</f>
        <v>139776</v>
      </c>
      <c r="S1345" s="6">
        <f>$E1345+8</f>
        <v>109</v>
      </c>
      <c r="T1345" s="7">
        <f>IF($J1345=0,0,ROUND(MAX($J1345*1.4*1.5*1.6*1.6*2.2,42600000*(1.576904^(MIN($E1345,123)-117)))*1,0))</f>
        <v>307507</v>
      </c>
      <c r="U1345" s="4">
        <f>$E1345+11</f>
        <v>112</v>
      </c>
      <c r="V1345" s="8">
        <f>IF($J1345=0,0,ROUND(MAX($J1345*1.4*1.5*1.6*1.6*2.2*2.715,354000000*(1.642074^(MIN($E1345,123)-117)))*1,0))</f>
        <v>834882</v>
      </c>
      <c r="W1345" s="6">
        <f>$E1345+15</f>
        <v>116</v>
      </c>
      <c r="X1345" s="7">
        <f>IF($J1345=0,0,ROUND(MAX($J1345*1.4*1.5*1.6*1.6*2.2*2.715*2.6,3540000000*(1.579646^(MIN($E1345,123)-117)))*1,0))</f>
        <v>2355304</v>
      </c>
      <c r="Y1345" s="4">
        <f>$E1345+17</f>
        <v>118</v>
      </c>
      <c r="Z1345" s="8">
        <f>IF($J1345=0,0,ROUND(MAX($J1345*1.4*1.5*1.6*1.6*2.2*2.715*2.6*1.4,6020000000*(1.651178^(MIN($E1345,123)-117)))*1,0))</f>
        <v>3038971</v>
      </c>
      <c r="AA1345" s="6">
        <f>$E1345+19</f>
        <v>120</v>
      </c>
      <c r="AB1345" s="7">
        <f>IF($J1345=0,0,ROUND(MAX($J1345*1.4*1.5*1.6*1.6*2.2*2.715*2.6*1.4*1.4,8430000000*(1.651435^(MIN($E1345,123)-117)))*1,0))</f>
        <v>4254559</v>
      </c>
      <c r="AC1345" s="4">
        <f>$E1345+21</f>
        <v>122</v>
      </c>
      <c r="AD1345" s="8">
        <f>IF($J1345=0,0,ROUND(MAX($J1345*1.4*1.5*1.6*1.6*2.2*2.715*2.6*1.4*1.4*1.5,12600000000*(1.652953^(MIN($E1345,123)-117)))*1,0))</f>
        <v>6381838</v>
      </c>
      <c r="AE1345" s="6">
        <f>$E1345+24</f>
        <v>125</v>
      </c>
      <c r="AF1345" s="7">
        <f>IF($J1345=0,0,ROUND(MAX($J1345*1.4*1.5*1.6*1.6*2.2*2.715*2.6*1.4*1.4*1.5*1.5,18900000000*(1.65331^(MIN($E1345,123)-117)))*1,0))</f>
        <v>9572758</v>
      </c>
      <c r="AG1345" s="4">
        <f>$E1345+27</f>
        <v>128</v>
      </c>
      <c r="AH1345" s="8">
        <f>IF($J1345=0,0,ROUND(MAX($J1345*1.4*1.5*1.6*1.6*2.2*2.715*2.6*1.4*1.4*1.5*1.5*3.2,60500000000*(1.654288^(MIN($E1345,123)-117)))*1,0))</f>
        <v>30632824</v>
      </c>
    </row>
    <row r="1346" ht="27.75" customHeight="1" spans="1:34" x14ac:dyDescent="0.25">
      <c r="A1346" s="3">
        <v>1356</v>
      </c>
      <c r="B1346" s="3" t="s">
        <v>1021</v>
      </c>
      <c r="C1346" s="3" t="s">
        <v>920</v>
      </c>
      <c r="D1346" s="3" t="s">
        <v>40</v>
      </c>
      <c r="E1346" s="3">
        <v>100</v>
      </c>
      <c r="F1346" s="3" t="s">
        <v>34</v>
      </c>
      <c r="G1346" s="3" t="s">
        <v>126</v>
      </c>
      <c r="H1346" s="3">
        <v>21</v>
      </c>
      <c r="I1346" s="4">
        <v>100</v>
      </c>
      <c r="J1346" s="5">
        <v>11100</v>
      </c>
      <c r="K1346" s="6">
        <f>$E1346+1</f>
        <v>101</v>
      </c>
      <c r="L1346" s="7">
        <f>IF($J1346=0,0,ROUND(MAX($J1346*1.4,1620000*(1.497923^(MIN($E1346,123)-117)))*1,0))</f>
        <v>15540</v>
      </c>
      <c r="M1346" s="4">
        <f>$E1346+2</f>
        <v>102</v>
      </c>
      <c r="N1346" s="8">
        <f>IF($J1346=0,0,ROUND(MAX($J1346*1.4*1.5,2190000*(1.580994^(MIN($E1346,123)-117)))*1,0))</f>
        <v>23310</v>
      </c>
      <c r="O1346" s="6">
        <f>$E1346+4</f>
        <v>104</v>
      </c>
      <c r="P1346" s="7">
        <f>IF($J1346=0,0,ROUND(MAX($J1346*1.4*1.5*1.6,3500000*(1.57975^(MIN($E1346,123)-117)))*1,0))</f>
        <v>37296</v>
      </c>
      <c r="Q1346" s="4">
        <f>$E1346+6</f>
        <v>106</v>
      </c>
      <c r="R1346" s="8">
        <f>IF($J1346=0,0,ROUND(MAX($J1346*1.4*1.5*1.6*1.6,13100000*(1.429962^(MIN($E1346,123)-117)))*1,0))</f>
        <v>59674</v>
      </c>
      <c r="S1346" s="6">
        <f>$E1346+8</f>
        <v>108</v>
      </c>
      <c r="T1346" s="7">
        <f>IF($J1346=0,0,ROUND(MAX($J1346*1.4*1.5*1.6*1.6*2.2,42600000*(1.576904^(MIN($E1346,123)-117)))*1,0))</f>
        <v>131282</v>
      </c>
      <c r="U1346" s="4">
        <f>$E1346+11</f>
        <v>111</v>
      </c>
      <c r="V1346" s="8">
        <f>IF($J1346=0,0,ROUND(MAX($J1346*1.4*1.5*1.6*1.6*2.2*2.715,354000000*(1.642074^(MIN($E1346,123)-117)))*1,0))</f>
        <v>356430</v>
      </c>
      <c r="W1346" s="6">
        <f>$E1346+15</f>
        <v>115</v>
      </c>
      <c r="X1346" s="7">
        <f>IF($J1346=0,0,ROUND(MAX($J1346*1.4*1.5*1.6*1.6*2.2*2.715*2.6,3540000000*(1.579646^(MIN($E1346,123)-117)))*1,0))</f>
        <v>1491033</v>
      </c>
      <c r="Y1346" s="4">
        <f>$E1346+17</f>
        <v>117</v>
      </c>
      <c r="Z1346" s="8">
        <f>IF($J1346=0,0,ROUND(MAX($J1346*1.4*1.5*1.6*1.6*2.2*2.715*2.6*1.4,6020000000*(1.651178^(MIN($E1346,123)-117)))*1,0))</f>
        <v>1297407</v>
      </c>
      <c r="AA1346" s="6">
        <f>$E1346+19</f>
        <v>119</v>
      </c>
      <c r="AB1346" s="7">
        <f>IF($J1346=0,0,ROUND(MAX($J1346*1.4*1.5*1.6*1.6*2.2*2.715*2.6*1.4*1.4,8430000000*(1.651435^(MIN($E1346,123)-117)))*1,0))</f>
        <v>1816369</v>
      </c>
      <c r="AC1346" s="4">
        <f>$E1346+21</f>
        <v>121</v>
      </c>
      <c r="AD1346" s="8">
        <f>IF($J1346=0,0,ROUND(MAX($J1346*1.4*1.5*1.6*1.6*2.2*2.715*2.6*1.4*1.4*1.5,12600000000*(1.652953^(MIN($E1346,123)-117)))*1,0))</f>
        <v>2724554</v>
      </c>
      <c r="AE1346" s="6">
        <f>$E1346+24</f>
        <v>124</v>
      </c>
      <c r="AF1346" s="7">
        <f>IF($J1346=0,0,ROUND(MAX($J1346*1.4*1.5*1.6*1.6*2.2*2.715*2.6*1.4*1.4*1.5*1.5,18900000000*(1.65331^(MIN($E1346,123)-117)))*1,0))</f>
        <v>4086831</v>
      </c>
      <c r="AG1346" s="4">
        <f>$E1346+27</f>
        <v>127</v>
      </c>
      <c r="AH1346" s="8">
        <f>IF($J1346=0,0,ROUND(MAX($J1346*1.4*1.5*1.6*1.6*2.2*2.715*2.6*1.4*1.4*1.5*1.5*3.2,60500000000*(1.654288^(MIN($E1346,123)-117)))*1,0))</f>
        <v>13077860</v>
      </c>
    </row>
    <row r="1347" ht="27.75" customHeight="1" spans="1:34" x14ac:dyDescent="0.25">
      <c r="A1347" s="3">
        <v>1357</v>
      </c>
      <c r="B1347" s="3" t="s">
        <v>1022</v>
      </c>
      <c r="C1347" s="3" t="s">
        <v>920</v>
      </c>
      <c r="D1347" s="3" t="s">
        <v>40</v>
      </c>
      <c r="E1347" s="3">
        <v>100</v>
      </c>
      <c r="F1347" s="3" t="s">
        <v>34</v>
      </c>
      <c r="G1347" s="3" t="s">
        <v>921</v>
      </c>
      <c r="H1347" s="3">
        <v>21</v>
      </c>
      <c r="I1347" s="4">
        <v>100</v>
      </c>
      <c r="J1347" s="5">
        <v>5760</v>
      </c>
      <c r="K1347" s="6">
        <f>$E1347+1</f>
        <v>101</v>
      </c>
      <c r="L1347" s="7">
        <f>IF($J1347=0,0,ROUND(MAX($J1347*1.4,1620000*(1.497923^(MIN($E1347,123)-117)))*1,0))</f>
        <v>8064</v>
      </c>
      <c r="M1347" s="4">
        <f>$E1347+2</f>
        <v>102</v>
      </c>
      <c r="N1347" s="8">
        <f>IF($J1347=0,0,ROUND(MAX($J1347*1.4*1.5,2190000*(1.580994^(MIN($E1347,123)-117)))*1,0))</f>
        <v>12096</v>
      </c>
      <c r="O1347" s="6">
        <f>$E1347+4</f>
        <v>104</v>
      </c>
      <c r="P1347" s="7">
        <f>IF($J1347=0,0,ROUND(MAX($J1347*1.4*1.5*1.6,3500000*(1.57975^(MIN($E1347,123)-117)))*1,0))</f>
        <v>19354</v>
      </c>
      <c r="Q1347" s="4">
        <f>$E1347+6</f>
        <v>106</v>
      </c>
      <c r="R1347" s="8">
        <f>IF($J1347=0,0,ROUND(MAX($J1347*1.4*1.5*1.6*1.6,13100000*(1.429962^(MIN($E1347,123)-117)))*1,0))</f>
        <v>30966</v>
      </c>
      <c r="S1347" s="6">
        <f>$E1347+8</f>
        <v>108</v>
      </c>
      <c r="T1347" s="7">
        <f>IF($J1347=0,0,ROUND(MAX($J1347*1.4*1.5*1.6*1.6*2.2,42600000*(1.576904^(MIN($E1347,123)-117)))*1,0))</f>
        <v>68125</v>
      </c>
      <c r="U1347" s="4">
        <f>$E1347+11</f>
        <v>111</v>
      </c>
      <c r="V1347" s="8">
        <f>IF($J1347=0,0,ROUND(MAX($J1347*1.4*1.5*1.6*1.6*2.2*2.715,354000000*(1.642074^(MIN($E1347,123)-117)))*1,0))</f>
        <v>184958</v>
      </c>
      <c r="W1347" s="6">
        <f>$E1347+15</f>
        <v>115</v>
      </c>
      <c r="X1347" s="7">
        <f>IF($J1347=0,0,ROUND(MAX($J1347*1.4*1.5*1.6*1.6*2.2*2.715*2.6,3540000000*(1.579646^(MIN($E1347,123)-117)))*1,0))</f>
        <v>1491033</v>
      </c>
      <c r="Y1347" s="4">
        <f>$E1347+17</f>
        <v>117</v>
      </c>
      <c r="Z1347" s="8">
        <f>IF($J1347=0,0,ROUND(MAX($J1347*1.4*1.5*1.6*1.6*2.2*2.715*2.6*1.4,6020000000*(1.651178^(MIN($E1347,123)-117)))*1,0))</f>
        <v>1194264</v>
      </c>
      <c r="AA1347" s="6">
        <f>$E1347+19</f>
        <v>119</v>
      </c>
      <c r="AB1347" s="7">
        <f>IF($J1347=0,0,ROUND(MAX($J1347*1.4*1.5*1.6*1.6*2.2*2.715*2.6*1.4*1.4,8430000000*(1.651435^(MIN($E1347,123)-117)))*1,0))</f>
        <v>1667947</v>
      </c>
      <c r="AC1347" s="4">
        <f>$E1347+21</f>
        <v>121</v>
      </c>
      <c r="AD1347" s="8">
        <f>IF($J1347=0,0,ROUND(MAX($J1347*1.4*1.5*1.6*1.6*2.2*2.715*2.6*1.4*1.4*1.5,12600000000*(1.652953^(MIN($E1347,123)-117)))*1,0))</f>
        <v>2454381</v>
      </c>
      <c r="AE1347" s="6">
        <f>$E1347+24</f>
        <v>124</v>
      </c>
      <c r="AF1347" s="7">
        <f>IF($J1347=0,0,ROUND(MAX($J1347*1.4*1.5*1.6*1.6*2.2*2.715*2.6*1.4*1.4*1.5*1.5,18900000000*(1.65331^(MIN($E1347,123)-117)))*1,0))</f>
        <v>3668080</v>
      </c>
      <c r="AG1347" s="4">
        <f>$E1347+27</f>
        <v>127</v>
      </c>
      <c r="AH1347" s="8">
        <f>IF($J1347=0,0,ROUND(MAX($J1347*1.4*1.5*1.6*1.6*2.2*2.715*2.6*1.4*1.4*1.5*1.5*3.2,60500000000*(1.654288^(MIN($E1347,123)-117)))*1,0))</f>
        <v>11624288</v>
      </c>
    </row>
    <row r="1348" ht="27.75" customHeight="1" spans="1:34" x14ac:dyDescent="0.25">
      <c r="A1348" s="3">
        <v>1358</v>
      </c>
      <c r="B1348" s="3" t="s">
        <v>1023</v>
      </c>
      <c r="C1348" s="3" t="s">
        <v>920</v>
      </c>
      <c r="D1348" s="3" t="s">
        <v>40</v>
      </c>
      <c r="E1348" s="3">
        <v>100</v>
      </c>
      <c r="F1348" s="3" t="s">
        <v>54</v>
      </c>
      <c r="G1348" s="3" t="s">
        <v>1024</v>
      </c>
      <c r="H1348" s="3">
        <v>20</v>
      </c>
      <c r="I1348" s="4">
        <v>100</v>
      </c>
      <c r="J1348" s="5">
        <v>13200</v>
      </c>
      <c r="K1348" s="6">
        <f>$E1348+1</f>
        <v>101</v>
      </c>
      <c r="L1348" s="7">
        <f>IF($J1348=0,0,ROUND(MAX($J1348*1.4,1620000*(1.497923^(MIN($E1348,123)-117)))*1,0))</f>
        <v>18480</v>
      </c>
      <c r="M1348" s="4">
        <f>$E1348+2</f>
        <v>102</v>
      </c>
      <c r="N1348" s="8">
        <f>IF($J1348=0,0,ROUND(MAX($J1348*1.4*1.5,2190000*(1.580994^(MIN($E1348,123)-117)))*1,0))</f>
        <v>27720</v>
      </c>
      <c r="O1348" s="6">
        <f>$E1348+4</f>
        <v>104</v>
      </c>
      <c r="P1348" s="7">
        <f>IF($J1348=0,0,ROUND(MAX($J1348*1.4*1.5*1.6,3500000*(1.57975^(MIN($E1348,123)-117)))*1,0))</f>
        <v>44352</v>
      </c>
      <c r="Q1348" s="4">
        <f>$E1348+6</f>
        <v>106</v>
      </c>
      <c r="R1348" s="8">
        <f>IF($J1348=0,0,ROUND(MAX($J1348*1.4*1.5*1.6*1.6,13100000*(1.429962^(MIN($E1348,123)-117)))*1,0))</f>
        <v>70963</v>
      </c>
      <c r="S1348" s="6">
        <f>$E1348+8</f>
        <v>108</v>
      </c>
      <c r="T1348" s="7">
        <f>IF($J1348=0,0,ROUND(MAX($J1348*1.4*1.5*1.6*1.6*2.2,42600000*(1.576904^(MIN($E1348,123)-117)))*1,0))</f>
        <v>156119</v>
      </c>
      <c r="U1348" s="4">
        <f>$E1348+11</f>
        <v>111</v>
      </c>
      <c r="V1348" s="8">
        <f>IF($J1348=0,0,ROUND(MAX($J1348*1.4*1.5*1.6*1.6*2.2*2.715,354000000*(1.642074^(MIN($E1348,123)-117)))*1,0))</f>
        <v>423863</v>
      </c>
      <c r="W1348" s="6">
        <f>$E1348+15</f>
        <v>115</v>
      </c>
      <c r="X1348" s="7">
        <f>IF($J1348=0,0,ROUND(MAX($J1348*1.4*1.5*1.6*1.6*2.2*2.715*2.6,3540000000*(1.579646^(MIN($E1348,123)-117)))*1,0))</f>
        <v>1491033</v>
      </c>
      <c r="Y1348" s="4">
        <f>$E1348+17</f>
        <v>117</v>
      </c>
      <c r="Z1348" s="8">
        <f>IF($J1348=0,0,ROUND(MAX($J1348*1.4*1.5*1.6*1.6*2.2*2.715*2.6*1.4,6020000000*(1.651178^(MIN($E1348,123)-117)))*1,0))</f>
        <v>1542862</v>
      </c>
      <c r="AA1348" s="6">
        <f>$E1348+19</f>
        <v>119</v>
      </c>
      <c r="AB1348" s="7">
        <f>IF($J1348=0,0,ROUND(MAX($J1348*1.4*1.5*1.6*1.6*2.2*2.715*2.6*1.4*1.4,8430000000*(1.651435^(MIN($E1348,123)-117)))*1,0))</f>
        <v>2160007</v>
      </c>
      <c r="AC1348" s="4">
        <f>$E1348+21</f>
        <v>121</v>
      </c>
      <c r="AD1348" s="8">
        <f>IF($J1348=0,0,ROUND(MAX($J1348*1.4*1.5*1.6*1.6*2.2*2.715*2.6*1.4*1.4*1.5,12600000000*(1.652953^(MIN($E1348,123)-117)))*1,0))</f>
        <v>3240010</v>
      </c>
      <c r="AE1348" s="6">
        <f>$E1348+24</f>
        <v>124</v>
      </c>
      <c r="AF1348" s="7">
        <f>IF($J1348=0,0,ROUND(MAX($J1348*1.4*1.5*1.6*1.6*2.2*2.715*2.6*1.4*1.4*1.5*1.5,18900000000*(1.65331^(MIN($E1348,123)-117)))*1,0))</f>
        <v>4860015</v>
      </c>
      <c r="AG1348" s="4">
        <f>$E1348+27</f>
        <v>127</v>
      </c>
      <c r="AH1348" s="8">
        <f>IF($J1348=0,0,ROUND(MAX($J1348*1.4*1.5*1.6*1.6*2.2*2.715*2.6*1.4*1.4*1.5*1.5*3.2,60500000000*(1.654288^(MIN($E1348,123)-117)))*1,0))</f>
        <v>15552049</v>
      </c>
    </row>
    <row r="1349" ht="27.75" customHeight="1" spans="1:34" x14ac:dyDescent="0.25">
      <c r="A1349" s="3">
        <v>1359</v>
      </c>
      <c r="B1349" s="3" t="s">
        <v>1025</v>
      </c>
      <c r="C1349" s="3" t="s">
        <v>920</v>
      </c>
      <c r="D1349" s="3" t="s">
        <v>45</v>
      </c>
      <c r="E1349" s="3">
        <v>100</v>
      </c>
      <c r="F1349" s="3" t="s">
        <v>54</v>
      </c>
      <c r="G1349" s="3" t="s">
        <v>1026</v>
      </c>
      <c r="H1349" s="3">
        <v>20</v>
      </c>
      <c r="I1349" s="4">
        <v>100</v>
      </c>
      <c r="J1349" s="5">
        <v>12200</v>
      </c>
      <c r="K1349" s="6">
        <f>$E1349+1</f>
        <v>101</v>
      </c>
      <c r="L1349" s="7">
        <f>IF($J1349=0,0,ROUND(MAX($J1349*1.4,1620000*(1.497923^(MIN($E1349,123)-117)))*1,0))</f>
        <v>17080</v>
      </c>
      <c r="M1349" s="4">
        <f>$E1349+2</f>
        <v>102</v>
      </c>
      <c r="N1349" s="8">
        <f>IF($J1349=0,0,ROUND(MAX($J1349*1.4*1.5,2190000*(1.580994^(MIN($E1349,123)-117)))*1,0))</f>
        <v>25620</v>
      </c>
      <c r="O1349" s="6">
        <f>$E1349+4</f>
        <v>104</v>
      </c>
      <c r="P1349" s="7">
        <f>IF($J1349=0,0,ROUND(MAX($J1349*1.4*1.5*1.6,3500000*(1.57975^(MIN($E1349,123)-117)))*1,0))</f>
        <v>40992</v>
      </c>
      <c r="Q1349" s="4">
        <f>$E1349+6</f>
        <v>106</v>
      </c>
      <c r="R1349" s="8">
        <f>IF($J1349=0,0,ROUND(MAX($J1349*1.4*1.5*1.6*1.6,13100000*(1.429962^(MIN($E1349,123)-117)))*1,0))</f>
        <v>65587</v>
      </c>
      <c r="S1349" s="6">
        <f>$E1349+8</f>
        <v>108</v>
      </c>
      <c r="T1349" s="7">
        <f>IF($J1349=0,0,ROUND(MAX($J1349*1.4*1.5*1.6*1.6*2.2,42600000*(1.576904^(MIN($E1349,123)-117)))*1,0))</f>
        <v>144292</v>
      </c>
      <c r="U1349" s="4">
        <f>$E1349+11</f>
        <v>111</v>
      </c>
      <c r="V1349" s="8">
        <f>IF($J1349=0,0,ROUND(MAX($J1349*1.4*1.5*1.6*1.6*2.2*2.715,354000000*(1.642074^(MIN($E1349,123)-117)))*1,0))</f>
        <v>391752</v>
      </c>
      <c r="W1349" s="6">
        <f>$E1349+15</f>
        <v>115</v>
      </c>
      <c r="X1349" s="7">
        <f>IF($J1349=0,0,ROUND(MAX($J1349*1.4*1.5*1.6*1.6*2.2*2.715*2.6,3540000000*(1.579646^(MIN($E1349,123)-117)))*1,0))</f>
        <v>1491033</v>
      </c>
      <c r="Y1349" s="4">
        <f>$E1349+17</f>
        <v>117</v>
      </c>
      <c r="Z1349" s="8">
        <f>IF($J1349=0,0,ROUND(MAX($J1349*1.4*1.5*1.6*1.6*2.2*2.715*2.6*1.4,6020000000*(1.651178^(MIN($E1349,123)-117)))*1,0))</f>
        <v>1425979</v>
      </c>
      <c r="AA1349" s="6">
        <f>$E1349+19</f>
        <v>119</v>
      </c>
      <c r="AB1349" s="7">
        <f>IF($J1349=0,0,ROUND(MAX($J1349*1.4*1.5*1.6*1.6*2.2*2.715*2.6*1.4*1.4,8430000000*(1.651435^(MIN($E1349,123)-117)))*1,0))</f>
        <v>1996370</v>
      </c>
      <c r="AC1349" s="4">
        <f>$E1349+21</f>
        <v>121</v>
      </c>
      <c r="AD1349" s="8">
        <f>IF($J1349=0,0,ROUND(MAX($J1349*1.4*1.5*1.6*1.6*2.2*2.715*2.6*1.4*1.4*1.5,12600000000*(1.652953^(MIN($E1349,123)-117)))*1,0))</f>
        <v>2994555</v>
      </c>
      <c r="AE1349" s="6">
        <f>$E1349+24</f>
        <v>124</v>
      </c>
      <c r="AF1349" s="7">
        <f>IF($J1349=0,0,ROUND(MAX($J1349*1.4*1.5*1.6*1.6*2.2*2.715*2.6*1.4*1.4*1.5*1.5,18900000000*(1.65331^(MIN($E1349,123)-117)))*1,0))</f>
        <v>4491832</v>
      </c>
      <c r="AG1349" s="4">
        <f>$E1349+27</f>
        <v>127</v>
      </c>
      <c r="AH1349" s="8">
        <f>IF($J1349=0,0,ROUND(MAX($J1349*1.4*1.5*1.6*1.6*2.2*2.715*2.6*1.4*1.4*1.5*1.5*3.2,60500000000*(1.654288^(MIN($E1349,123)-117)))*1,0))</f>
        <v>14373864</v>
      </c>
    </row>
    <row r="1350" ht="27.75" customHeight="1" spans="1:34" x14ac:dyDescent="0.25">
      <c r="A1350" s="3">
        <v>1360</v>
      </c>
      <c r="B1350" s="3" t="s">
        <v>1027</v>
      </c>
      <c r="C1350" s="3" t="s">
        <v>920</v>
      </c>
      <c r="D1350" s="3" t="s">
        <v>102</v>
      </c>
      <c r="E1350" s="3">
        <v>100</v>
      </c>
      <c r="F1350" s="3" t="s">
        <v>71</v>
      </c>
      <c r="G1350" s="3" t="s">
        <v>1024</v>
      </c>
      <c r="H1350" s="3">
        <v>20</v>
      </c>
      <c r="I1350" s="4">
        <v>100</v>
      </c>
      <c r="J1350" s="5">
        <v>10100</v>
      </c>
      <c r="K1350" s="6">
        <f>$E1350+1</f>
        <v>101</v>
      </c>
      <c r="L1350" s="7">
        <f>IF($J1350=0,0,ROUND(MAX($J1350*1.4,1620000*(1.497923^(MIN($E1350,123)-117)))*1,0))</f>
        <v>14140</v>
      </c>
      <c r="M1350" s="4">
        <f>$E1350+2</f>
        <v>102</v>
      </c>
      <c r="N1350" s="8">
        <f>IF($J1350=0,0,ROUND(MAX($J1350*1.4*1.5,2190000*(1.580994^(MIN($E1350,123)-117)))*1,0))</f>
        <v>21210</v>
      </c>
      <c r="O1350" s="6">
        <f>$E1350+4</f>
        <v>104</v>
      </c>
      <c r="P1350" s="7">
        <f>IF($J1350=0,0,ROUND(MAX($J1350*1.4*1.5*1.6,3500000*(1.57975^(MIN($E1350,123)-117)))*1,0))</f>
        <v>33936</v>
      </c>
      <c r="Q1350" s="4">
        <f>$E1350+6</f>
        <v>106</v>
      </c>
      <c r="R1350" s="8">
        <f>IF($J1350=0,0,ROUND(MAX($J1350*1.4*1.5*1.6*1.6,13100000*(1.429962^(MIN($E1350,123)-117)))*1,0))</f>
        <v>54298</v>
      </c>
      <c r="S1350" s="6">
        <f>$E1350+8</f>
        <v>108</v>
      </c>
      <c r="T1350" s="7">
        <f>IF($J1350=0,0,ROUND(MAX($J1350*1.4*1.5*1.6*1.6*2.2,42600000*(1.576904^(MIN($E1350,123)-117)))*1,0))</f>
        <v>119455</v>
      </c>
      <c r="U1350" s="4">
        <f>$E1350+11</f>
        <v>111</v>
      </c>
      <c r="V1350" s="8">
        <f>IF($J1350=0,0,ROUND(MAX($J1350*1.4*1.5*1.6*1.6*2.2*2.715,354000000*(1.642074^(MIN($E1350,123)-117)))*1,0))</f>
        <v>324320</v>
      </c>
      <c r="W1350" s="6">
        <f>$E1350+15</f>
        <v>115</v>
      </c>
      <c r="X1350" s="7">
        <f>IF($J1350=0,0,ROUND(MAX($J1350*1.4*1.5*1.6*1.6*2.2*2.715*2.6,3540000000*(1.579646^(MIN($E1350,123)-117)))*1,0))</f>
        <v>1491033</v>
      </c>
      <c r="Y1350" s="4">
        <f>$E1350+17</f>
        <v>117</v>
      </c>
      <c r="Z1350" s="8">
        <f>IF($J1350=0,0,ROUND(MAX($J1350*1.4*1.5*1.6*1.6*2.2*2.715*2.6*1.4,6020000000*(1.651178^(MIN($E1350,123)-117)))*1,0))</f>
        <v>1194264</v>
      </c>
      <c r="AA1350" s="6">
        <f>$E1350+19</f>
        <v>119</v>
      </c>
      <c r="AB1350" s="7">
        <f>IF($J1350=0,0,ROUND(MAX($J1350*1.4*1.5*1.6*1.6*2.2*2.715*2.6*1.4*1.4,8430000000*(1.651435^(MIN($E1350,123)-117)))*1,0))</f>
        <v>1667947</v>
      </c>
      <c r="AC1350" s="4">
        <f>$E1350+21</f>
        <v>121</v>
      </c>
      <c r="AD1350" s="8">
        <f>IF($J1350=0,0,ROUND(MAX($J1350*1.4*1.5*1.6*1.6*2.2*2.715*2.6*1.4*1.4*1.5,12600000000*(1.652953^(MIN($E1350,123)-117)))*1,0))</f>
        <v>2479099</v>
      </c>
      <c r="AE1350" s="6">
        <f>$E1350+24</f>
        <v>124</v>
      </c>
      <c r="AF1350" s="7">
        <f>IF($J1350=0,0,ROUND(MAX($J1350*1.4*1.5*1.6*1.6*2.2*2.715*2.6*1.4*1.4*1.5*1.5,18900000000*(1.65331^(MIN($E1350,123)-117)))*1,0))</f>
        <v>3718648</v>
      </c>
      <c r="AG1350" s="4">
        <f>$E1350+27</f>
        <v>127</v>
      </c>
      <c r="AH1350" s="8">
        <f>IF($J1350=0,0,ROUND(MAX($J1350*1.4*1.5*1.6*1.6*2.2*2.715*2.6*1.4*1.4*1.5*1.5*3.2,60500000000*(1.654288^(MIN($E1350,123)-117)))*1,0))</f>
        <v>11899674</v>
      </c>
    </row>
    <row r="1351" ht="27.75" customHeight="1" spans="1:34" x14ac:dyDescent="0.25">
      <c r="A1351" s="3">
        <v>1361</v>
      </c>
      <c r="B1351" s="3" t="s">
        <v>1028</v>
      </c>
      <c r="C1351" s="3" t="s">
        <v>920</v>
      </c>
      <c r="D1351" s="3" t="s">
        <v>102</v>
      </c>
      <c r="E1351" s="3">
        <v>100</v>
      </c>
      <c r="F1351" s="3" t="s">
        <v>34</v>
      </c>
      <c r="G1351" s="3" t="s">
        <v>1029</v>
      </c>
      <c r="H1351" s="3">
        <v>20</v>
      </c>
      <c r="I1351" s="4">
        <v>100</v>
      </c>
      <c r="J1351" s="5">
        <v>12800</v>
      </c>
      <c r="K1351" s="6">
        <f>$E1351+1</f>
        <v>101</v>
      </c>
      <c r="L1351" s="7">
        <f>IF($J1351=0,0,ROUND(MAX($J1351*1.4,1620000*(1.497923^(MIN($E1351,123)-117)))*1,0))</f>
        <v>17920</v>
      </c>
      <c r="M1351" s="4">
        <f>$E1351+2</f>
        <v>102</v>
      </c>
      <c r="N1351" s="8">
        <f>IF($J1351=0,0,ROUND(MAX($J1351*1.4*1.5,2190000*(1.580994^(MIN($E1351,123)-117)))*1,0))</f>
        <v>26880</v>
      </c>
      <c r="O1351" s="6">
        <f>$E1351+4</f>
        <v>104</v>
      </c>
      <c r="P1351" s="7">
        <f>IF($J1351=0,0,ROUND(MAX($J1351*1.4*1.5*1.6,3500000*(1.57975^(MIN($E1351,123)-117)))*1,0))</f>
        <v>43008</v>
      </c>
      <c r="Q1351" s="4">
        <f>$E1351+6</f>
        <v>106</v>
      </c>
      <c r="R1351" s="8">
        <f>IF($J1351=0,0,ROUND(MAX($J1351*1.4*1.5*1.6*1.6,13100000*(1.429962^(MIN($E1351,123)-117)))*1,0))</f>
        <v>68813</v>
      </c>
      <c r="S1351" s="6">
        <f>$E1351+8</f>
        <v>108</v>
      </c>
      <c r="T1351" s="7">
        <f>IF($J1351=0,0,ROUND(MAX($J1351*1.4*1.5*1.6*1.6*2.2,42600000*(1.576904^(MIN($E1351,123)-117)))*1,0))</f>
        <v>151388</v>
      </c>
      <c r="U1351" s="4">
        <f>$E1351+11</f>
        <v>111</v>
      </c>
      <c r="V1351" s="8">
        <f>IF($J1351=0,0,ROUND(MAX($J1351*1.4*1.5*1.6*1.6*2.2*2.715,354000000*(1.642074^(MIN($E1351,123)-117)))*1,0))</f>
        <v>411019</v>
      </c>
      <c r="W1351" s="6">
        <f>$E1351+15</f>
        <v>115</v>
      </c>
      <c r="X1351" s="7">
        <f>IF($J1351=0,0,ROUND(MAX($J1351*1.4*1.5*1.6*1.6*2.2*2.715*2.6,3540000000*(1.579646^(MIN($E1351,123)-117)))*1,0))</f>
        <v>1491033</v>
      </c>
      <c r="Y1351" s="4">
        <f>$E1351+17</f>
        <v>117</v>
      </c>
      <c r="Z1351" s="8">
        <f>IF($J1351=0,0,ROUND(MAX($J1351*1.4*1.5*1.6*1.6*2.2*2.715*2.6*1.4,6020000000*(1.651178^(MIN($E1351,123)-117)))*1,0))</f>
        <v>1496109</v>
      </c>
      <c r="AA1351" s="6">
        <f>$E1351+19</f>
        <v>119</v>
      </c>
      <c r="AB1351" s="7">
        <f>IF($J1351=0,0,ROUND(MAX($J1351*1.4*1.5*1.6*1.6*2.2*2.715*2.6*1.4*1.4,8430000000*(1.651435^(MIN($E1351,123)-117)))*1,0))</f>
        <v>2094552</v>
      </c>
      <c r="AC1351" s="4">
        <f>$E1351+21</f>
        <v>121</v>
      </c>
      <c r="AD1351" s="8">
        <f>IF($J1351=0,0,ROUND(MAX($J1351*1.4*1.5*1.6*1.6*2.2*2.715*2.6*1.4*1.4*1.5,12600000000*(1.652953^(MIN($E1351,123)-117)))*1,0))</f>
        <v>3141828</v>
      </c>
      <c r="AE1351" s="6">
        <f>$E1351+24</f>
        <v>124</v>
      </c>
      <c r="AF1351" s="7">
        <f>IF($J1351=0,0,ROUND(MAX($J1351*1.4*1.5*1.6*1.6*2.2*2.715*2.6*1.4*1.4*1.5*1.5,18900000000*(1.65331^(MIN($E1351,123)-117)))*1,0))</f>
        <v>4712742</v>
      </c>
      <c r="AG1351" s="4">
        <f>$E1351+27</f>
        <v>127</v>
      </c>
      <c r="AH1351" s="8">
        <f>IF($J1351=0,0,ROUND(MAX($J1351*1.4*1.5*1.6*1.6*2.2*2.715*2.6*1.4*1.4*1.5*1.5*3.2,60500000000*(1.654288^(MIN($E1351,123)-117)))*1,0))</f>
        <v>15080775</v>
      </c>
    </row>
    <row r="1352" ht="27.75" customHeight="1" spans="1:34" x14ac:dyDescent="0.25">
      <c r="A1352" s="3">
        <v>1362</v>
      </c>
      <c r="B1352" s="3" t="s">
        <v>1030</v>
      </c>
      <c r="C1352" s="3" t="s">
        <v>920</v>
      </c>
      <c r="D1352" s="3" t="s">
        <v>331</v>
      </c>
      <c r="E1352" s="3">
        <v>100</v>
      </c>
      <c r="F1352" s="3" t="s">
        <v>71</v>
      </c>
      <c r="G1352" s="3" t="s">
        <v>921</v>
      </c>
      <c r="H1352" s="3">
        <v>20</v>
      </c>
      <c r="I1352" s="4">
        <v>100</v>
      </c>
      <c r="J1352" s="5">
        <v>15600</v>
      </c>
      <c r="K1352" s="6">
        <f>$E1352+1</f>
        <v>101</v>
      </c>
      <c r="L1352" s="7">
        <f>IF($J1352=0,0,ROUND(MAX($J1352*1.4,1620000*(1.497923^(MIN($E1352,123)-117)))*1,0))</f>
        <v>21840</v>
      </c>
      <c r="M1352" s="4">
        <f>$E1352+2</f>
        <v>102</v>
      </c>
      <c r="N1352" s="8">
        <f>IF($J1352=0,0,ROUND(MAX($J1352*1.4*1.5,2190000*(1.580994^(MIN($E1352,123)-117)))*1,0))</f>
        <v>32760</v>
      </c>
      <c r="O1352" s="6">
        <f>$E1352+4</f>
        <v>104</v>
      </c>
      <c r="P1352" s="7">
        <f>IF($J1352=0,0,ROUND(MAX($J1352*1.4*1.5*1.6,3500000*(1.57975^(MIN($E1352,123)-117)))*1,0))</f>
        <v>52416</v>
      </c>
      <c r="Q1352" s="4">
        <f>$E1352+6</f>
        <v>106</v>
      </c>
      <c r="R1352" s="8">
        <f>IF($J1352=0,0,ROUND(MAX($J1352*1.4*1.5*1.6*1.6,13100000*(1.429962^(MIN($E1352,123)-117)))*1,0))</f>
        <v>83866</v>
      </c>
      <c r="S1352" s="6">
        <f>$E1352+8</f>
        <v>108</v>
      </c>
      <c r="T1352" s="7">
        <f>IF($J1352=0,0,ROUND(MAX($J1352*1.4*1.5*1.6*1.6*2.2,42600000*(1.576904^(MIN($E1352,123)-117)))*1,0))</f>
        <v>184504</v>
      </c>
      <c r="U1352" s="4">
        <f>$E1352+11</f>
        <v>111</v>
      </c>
      <c r="V1352" s="8">
        <f>IF($J1352=0,0,ROUND(MAX($J1352*1.4*1.5*1.6*1.6*2.2*2.715,354000000*(1.642074^(MIN($E1352,123)-117)))*1,0))</f>
        <v>500929</v>
      </c>
      <c r="W1352" s="6">
        <f>$E1352+15</f>
        <v>115</v>
      </c>
      <c r="X1352" s="7">
        <f>IF($J1352=0,0,ROUND(MAX($J1352*1.4*1.5*1.6*1.6*2.2*2.715*2.6,3540000000*(1.579646^(MIN($E1352,123)-117)))*1,0))</f>
        <v>1491033</v>
      </c>
      <c r="Y1352" s="4">
        <f>$E1352+17</f>
        <v>117</v>
      </c>
      <c r="Z1352" s="8">
        <f>IF($J1352=0,0,ROUND(MAX($J1352*1.4*1.5*1.6*1.6*2.2*2.715*2.6*1.4,6020000000*(1.651178^(MIN($E1352,123)-117)))*1,0))</f>
        <v>1823382</v>
      </c>
      <c r="AA1352" s="6">
        <f>$E1352+19</f>
        <v>119</v>
      </c>
      <c r="AB1352" s="7">
        <f>IF($J1352=0,0,ROUND(MAX($J1352*1.4*1.5*1.6*1.6*2.2*2.715*2.6*1.4*1.4,8430000000*(1.651435^(MIN($E1352,123)-117)))*1,0))</f>
        <v>2552735</v>
      </c>
      <c r="AC1352" s="4">
        <f>$E1352+21</f>
        <v>121</v>
      </c>
      <c r="AD1352" s="8">
        <f>IF($J1352=0,0,ROUND(MAX($J1352*1.4*1.5*1.6*1.6*2.2*2.715*2.6*1.4*1.4*1.5,12600000000*(1.652953^(MIN($E1352,123)-117)))*1,0))</f>
        <v>3829103</v>
      </c>
      <c r="AE1352" s="6">
        <f>$E1352+24</f>
        <v>124</v>
      </c>
      <c r="AF1352" s="7">
        <f>IF($J1352=0,0,ROUND(MAX($J1352*1.4*1.5*1.6*1.6*2.2*2.715*2.6*1.4*1.4*1.5*1.5,18900000000*(1.65331^(MIN($E1352,123)-117)))*1,0))</f>
        <v>5743655</v>
      </c>
      <c r="AG1352" s="4">
        <f>$E1352+27</f>
        <v>127</v>
      </c>
      <c r="AH1352" s="8">
        <f>IF($J1352=0,0,ROUND(MAX($J1352*1.4*1.5*1.6*1.6*2.2*2.715*2.6*1.4*1.4*1.5*1.5*3.2,60500000000*(1.654288^(MIN($E1352,123)-117)))*1,0))</f>
        <v>18379695</v>
      </c>
    </row>
    <row r="1353" ht="27.75" customHeight="1" spans="1:34" x14ac:dyDescent="0.25">
      <c r="A1353" s="3">
        <v>1363</v>
      </c>
      <c r="B1353" s="3" t="s">
        <v>1031</v>
      </c>
      <c r="C1353" s="3" t="s">
        <v>920</v>
      </c>
      <c r="D1353" s="3" t="s">
        <v>33</v>
      </c>
      <c r="E1353" s="3">
        <v>100</v>
      </c>
      <c r="F1353" s="3" t="s">
        <v>42</v>
      </c>
      <c r="G1353" s="3" t="s">
        <v>921</v>
      </c>
      <c r="H1353" s="3">
        <v>20</v>
      </c>
      <c r="I1353" s="4">
        <v>100</v>
      </c>
      <c r="J1353" s="5">
        <v>12600</v>
      </c>
      <c r="K1353" s="6">
        <f>$E1353+1</f>
        <v>101</v>
      </c>
      <c r="L1353" s="7">
        <f>IF($J1353=0,0,ROUND(MAX($J1353*1.4,1620000*(1.497923^(MIN($E1353,123)-117)))*1,0))</f>
        <v>17640</v>
      </c>
      <c r="M1353" s="4">
        <f>$E1353+2</f>
        <v>102</v>
      </c>
      <c r="N1353" s="8">
        <f>IF($J1353=0,0,ROUND(MAX($J1353*1.4*1.5,2190000*(1.580994^(MIN($E1353,123)-117)))*1,0))</f>
        <v>26460</v>
      </c>
      <c r="O1353" s="6">
        <f>$E1353+4</f>
        <v>104</v>
      </c>
      <c r="P1353" s="7">
        <f>IF($J1353=0,0,ROUND(MAX($J1353*1.4*1.5*1.6,3500000*(1.57975^(MIN($E1353,123)-117)))*1,0))</f>
        <v>42336</v>
      </c>
      <c r="Q1353" s="4">
        <f>$E1353+6</f>
        <v>106</v>
      </c>
      <c r="R1353" s="8">
        <f>IF($J1353=0,0,ROUND(MAX($J1353*1.4*1.5*1.6*1.6,13100000*(1.429962^(MIN($E1353,123)-117)))*1,0))</f>
        <v>67738</v>
      </c>
      <c r="S1353" s="6">
        <f>$E1353+8</f>
        <v>108</v>
      </c>
      <c r="T1353" s="7">
        <f>IF($J1353=0,0,ROUND(MAX($J1353*1.4*1.5*1.6*1.6*2.2,42600000*(1.576904^(MIN($E1353,123)-117)))*1,0))</f>
        <v>149023</v>
      </c>
      <c r="U1353" s="4">
        <f>$E1353+11</f>
        <v>111</v>
      </c>
      <c r="V1353" s="8">
        <f>IF($J1353=0,0,ROUND(MAX($J1353*1.4*1.5*1.6*1.6*2.2*2.715,354000000*(1.642074^(MIN($E1353,123)-117)))*1,0))</f>
        <v>404597</v>
      </c>
      <c r="W1353" s="6">
        <f>$E1353+15</f>
        <v>115</v>
      </c>
      <c r="X1353" s="7">
        <f>IF($J1353=0,0,ROUND(MAX($J1353*1.4*1.5*1.6*1.6*2.2*2.715*2.6,3540000000*(1.579646^(MIN($E1353,123)-117)))*1,0))</f>
        <v>1491033</v>
      </c>
      <c r="Y1353" s="4">
        <f>$E1353+17</f>
        <v>117</v>
      </c>
      <c r="Z1353" s="8">
        <f>IF($J1353=0,0,ROUND(MAX($J1353*1.4*1.5*1.6*1.6*2.2*2.715*2.6*1.4,6020000000*(1.651178^(MIN($E1353,123)-117)))*1,0))</f>
        <v>1472732</v>
      </c>
      <c r="AA1353" s="6">
        <f>$E1353+19</f>
        <v>119</v>
      </c>
      <c r="AB1353" s="7">
        <f>IF($J1353=0,0,ROUND(MAX($J1353*1.4*1.5*1.6*1.6*2.2*2.715*2.6*1.4*1.4,8430000000*(1.651435^(MIN($E1353,123)-117)))*1,0))</f>
        <v>2061825</v>
      </c>
      <c r="AC1353" s="4">
        <f>$E1353+21</f>
        <v>121</v>
      </c>
      <c r="AD1353" s="8">
        <f>IF($J1353=0,0,ROUND(MAX($J1353*1.4*1.5*1.6*1.6*2.2*2.715*2.6*1.4*1.4*1.5,12600000000*(1.652953^(MIN($E1353,123)-117)))*1,0))</f>
        <v>3092737</v>
      </c>
      <c r="AE1353" s="6">
        <f>$E1353+24</f>
        <v>124</v>
      </c>
      <c r="AF1353" s="7">
        <f>IF($J1353=0,0,ROUND(MAX($J1353*1.4*1.5*1.6*1.6*2.2*2.715*2.6*1.4*1.4*1.5*1.5,18900000000*(1.65331^(MIN($E1353,123)-117)))*1,0))</f>
        <v>4639106</v>
      </c>
      <c r="AG1353" s="4">
        <f>$E1353+27</f>
        <v>127</v>
      </c>
      <c r="AH1353" s="8">
        <f>IF($J1353=0,0,ROUND(MAX($J1353*1.4*1.5*1.6*1.6*2.2*2.715*2.6*1.4*1.4*1.5*1.5*3.2,60500000000*(1.654288^(MIN($E1353,123)-117)))*1,0))</f>
        <v>14845138</v>
      </c>
    </row>
    <row r="1354" ht="27.75" customHeight="1" spans="1:34" x14ac:dyDescent="0.25">
      <c r="A1354" s="3">
        <v>1364</v>
      </c>
      <c r="B1354" s="3" t="s">
        <v>1032</v>
      </c>
      <c r="C1354" s="3" t="s">
        <v>920</v>
      </c>
      <c r="D1354" s="3" t="s">
        <v>47</v>
      </c>
      <c r="E1354" s="3">
        <v>100</v>
      </c>
      <c r="F1354" s="3" t="s">
        <v>71</v>
      </c>
      <c r="G1354" s="3" t="s">
        <v>921</v>
      </c>
      <c r="H1354" s="3">
        <v>18</v>
      </c>
      <c r="I1354" s="4">
        <v>100</v>
      </c>
      <c r="J1354" s="5">
        <v>36500</v>
      </c>
      <c r="K1354" s="6">
        <f>$E1354+1</f>
        <v>101</v>
      </c>
      <c r="L1354" s="7">
        <f>IF($J1354=0,0,ROUND(MAX($J1354*1.4,1620000*(1.497923^(MIN($E1354,123)-117)))*1,0))</f>
        <v>51100</v>
      </c>
      <c r="M1354" s="4">
        <f>$E1354+2</f>
        <v>102</v>
      </c>
      <c r="N1354" s="8">
        <f>IF($J1354=0,0,ROUND(MAX($J1354*1.4*1.5,2190000*(1.580994^(MIN($E1354,123)-117)))*1,0))</f>
        <v>76650</v>
      </c>
      <c r="O1354" s="6">
        <f>$E1354+4</f>
        <v>104</v>
      </c>
      <c r="P1354" s="7">
        <f>IF($J1354=0,0,ROUND(MAX($J1354*1.4*1.5*1.6,3500000*(1.57975^(MIN($E1354,123)-117)))*1,0))</f>
        <v>122640</v>
      </c>
      <c r="Q1354" s="4">
        <f>$E1354+6</f>
        <v>106</v>
      </c>
      <c r="R1354" s="8">
        <f>IF($J1354=0,0,ROUND(MAX($J1354*1.4*1.5*1.6*1.6,13100000*(1.429962^(MIN($E1354,123)-117)))*1,0))</f>
        <v>196224</v>
      </c>
      <c r="S1354" s="6">
        <f>$E1354+8</f>
        <v>108</v>
      </c>
      <c r="T1354" s="7">
        <f>IF($J1354=0,0,ROUND(MAX($J1354*1.4*1.5*1.6*1.6*2.2,42600000*(1.576904^(MIN($E1354,123)-117)))*1,0))</f>
        <v>431693</v>
      </c>
      <c r="U1354" s="4">
        <f>$E1354+11</f>
        <v>111</v>
      </c>
      <c r="V1354" s="8">
        <f>IF($J1354=0,0,ROUND(MAX($J1354*1.4*1.5*1.6*1.6*2.2*2.715,354000000*(1.642074^(MIN($E1354,123)-117)))*1,0))</f>
        <v>1172046</v>
      </c>
      <c r="W1354" s="6">
        <f>$E1354+15</f>
        <v>115</v>
      </c>
      <c r="X1354" s="7">
        <f>IF($J1354=0,0,ROUND(MAX($J1354*1.4*1.5*1.6*1.6*2.2*2.715*2.6,3540000000*(1.579646^(MIN($E1354,123)-117)))*1,0))</f>
        <v>3047319</v>
      </c>
      <c r="Y1354" s="4">
        <f>$E1354+17</f>
        <v>117</v>
      </c>
      <c r="Z1354" s="8">
        <f>IF($J1354=0,0,ROUND(MAX($J1354*1.4*1.5*1.6*1.6*2.2*2.715*2.6*1.4,6020000000*(1.651178^(MIN($E1354,123)-117)))*1,0))</f>
        <v>4266247</v>
      </c>
      <c r="AA1354" s="6">
        <f>$E1354+19</f>
        <v>119</v>
      </c>
      <c r="AB1354" s="7">
        <f>IF($J1354=0,0,ROUND(MAX($J1354*1.4*1.5*1.6*1.6*2.2*2.715*2.6*1.4*1.4,8430000000*(1.651435^(MIN($E1354,123)-117)))*1,0))</f>
        <v>5972746</v>
      </c>
      <c r="AC1354" s="4">
        <f>$E1354+21</f>
        <v>121</v>
      </c>
      <c r="AD1354" s="8">
        <f>IF($J1354=0,0,ROUND(MAX($J1354*1.4*1.5*1.6*1.6*2.2*2.715*2.6*1.4*1.4*1.5,12600000000*(1.652953^(MIN($E1354,123)-117)))*1,0))</f>
        <v>8959119</v>
      </c>
      <c r="AE1354" s="6">
        <f>$E1354+24</f>
        <v>124</v>
      </c>
      <c r="AF1354" s="7">
        <f>IF($J1354=0,0,ROUND(MAX($J1354*1.4*1.5*1.6*1.6*2.2*2.715*2.6*1.4*1.4*1.5*1.5,18900000000*(1.65331^(MIN($E1354,123)-117)))*1,0))</f>
        <v>13438679</v>
      </c>
      <c r="AG1354" s="4">
        <f>$E1354+27</f>
        <v>127</v>
      </c>
      <c r="AH1354" s="8">
        <f>IF($J1354=0,0,ROUND(MAX($J1354*1.4*1.5*1.6*1.6*2.2*2.715*2.6*1.4*1.4*1.5*1.5*3.2,60500000000*(1.654288^(MIN($E1354,123)-117)))*1,0))</f>
        <v>43003772</v>
      </c>
    </row>
    <row r="1355" ht="27.75" customHeight="1" spans="1:34" x14ac:dyDescent="0.25">
      <c r="A1355" s="3">
        <v>1365</v>
      </c>
      <c r="B1355" s="3" t="s">
        <v>1033</v>
      </c>
      <c r="C1355" s="3" t="s">
        <v>920</v>
      </c>
      <c r="D1355" s="3" t="s">
        <v>40</v>
      </c>
      <c r="E1355" s="3">
        <v>99</v>
      </c>
      <c r="F1355" s="3" t="s">
        <v>1034</v>
      </c>
      <c r="G1355" s="3" t="s">
        <v>982</v>
      </c>
      <c r="H1355" s="3">
        <v>20</v>
      </c>
      <c r="I1355" s="4">
        <v>99</v>
      </c>
      <c r="J1355" s="5">
        <v>155000</v>
      </c>
      <c r="K1355" s="6">
        <f>$E1355+1</f>
        <v>100</v>
      </c>
      <c r="L1355" s="7">
        <f>IF($J1355=0,0,ROUND(MAX($J1355*1.4,1620000*(1.497923^(MIN($E1355,123)-117)))*1,0))</f>
        <v>217000</v>
      </c>
      <c r="M1355" s="4">
        <f>$E1355+2</f>
        <v>101</v>
      </c>
      <c r="N1355" s="8">
        <f>IF($J1355=0,0,ROUND(MAX($J1355*1.4*1.5,2190000*(1.580994^(MIN($E1355,123)-117)))*1,0))</f>
        <v>325500</v>
      </c>
      <c r="O1355" s="6">
        <f>$E1355+4</f>
        <v>103</v>
      </c>
      <c r="P1355" s="7">
        <f>IF($J1355=0,0,ROUND(MAX($J1355*1.4*1.5*1.6,3500000*(1.57975^(MIN($E1355,123)-117)))*1,0))</f>
        <v>520800</v>
      </c>
      <c r="Q1355" s="4">
        <f>$E1355+6</f>
        <v>105</v>
      </c>
      <c r="R1355" s="8">
        <f>IF($J1355=0,0,ROUND(MAX($J1355*1.4*1.5*1.6*1.6,13100000*(1.429962^(MIN($E1355,123)-117)))*1,0))</f>
        <v>833280</v>
      </c>
      <c r="S1355" s="6">
        <f>$E1355+8</f>
        <v>107</v>
      </c>
      <c r="T1355" s="7">
        <f>IF($J1355=0,0,ROUND(MAX($J1355*1.4*1.5*1.6*1.6*2.2,42600000*(1.576904^(MIN($E1355,123)-117)))*1,0))</f>
        <v>1833216</v>
      </c>
      <c r="U1355" s="4">
        <f>$E1355+11</f>
        <v>110</v>
      </c>
      <c r="V1355" s="8">
        <f>IF($J1355=0,0,ROUND(MAX($J1355*1.4*1.5*1.6*1.6*2.2*2.715,354000000*(1.642074^(MIN($E1355,123)-117)))*1,0))</f>
        <v>4977181</v>
      </c>
      <c r="W1355" s="6">
        <f>$E1355+15</f>
        <v>114</v>
      </c>
      <c r="X1355" s="7">
        <f>IF($J1355=0,0,ROUND(MAX($J1355*1.4*1.5*1.6*1.6*2.2*2.715*2.6,3540000000*(1.579646^(MIN($E1355,123)-117)))*1,0))</f>
        <v>12940672</v>
      </c>
      <c r="Y1355" s="4">
        <f>$E1355+17</f>
        <v>116</v>
      </c>
      <c r="Z1355" s="8">
        <f>IF($J1355=0,0,ROUND(MAX($J1355*1.4*1.5*1.6*1.6*2.2*2.715*2.6*1.4,6020000000*(1.651178^(MIN($E1355,123)-117)))*1,0))</f>
        <v>18116940</v>
      </c>
      <c r="AA1355" s="6">
        <f>$E1355+19</f>
        <v>118</v>
      </c>
      <c r="AB1355" s="7">
        <f>IF($J1355=0,0,ROUND(MAX($J1355*1.4*1.5*1.6*1.6*2.2*2.715*2.6*1.4*1.4,8430000000*(1.651435^(MIN($E1355,123)-117)))*1,0))</f>
        <v>25363717</v>
      </c>
      <c r="AC1355" s="4">
        <f>$E1355+21</f>
        <v>120</v>
      </c>
      <c r="AD1355" s="8">
        <f>IF($J1355=0,0,ROUND(MAX($J1355*1.4*1.5*1.6*1.6*2.2*2.715*2.6*1.4*1.4*1.5,12600000000*(1.652953^(MIN($E1355,123)-117)))*1,0))</f>
        <v>38045575</v>
      </c>
      <c r="AE1355" s="6">
        <f>$E1355+24</f>
        <v>123</v>
      </c>
      <c r="AF1355" s="7">
        <f>IF($J1355=0,0,ROUND(MAX($J1355*1.4*1.5*1.6*1.6*2.2*2.715*2.6*1.4*1.4*1.5*1.5,18900000000*(1.65331^(MIN($E1355,123)-117)))*1,0))</f>
        <v>57068362</v>
      </c>
      <c r="AG1355" s="4">
        <f>$E1355+27</f>
        <v>126</v>
      </c>
      <c r="AH1355" s="8">
        <f>IF($J1355=0,0,ROUND(MAX($J1355*1.4*1.5*1.6*1.6*2.2*2.715*2.6*1.4*1.4*1.5*1.5*3.2,60500000000*(1.654288^(MIN($E1355,123)-117)))*1,0))</f>
        <v>182618760</v>
      </c>
    </row>
    <row r="1356" ht="27.75" customHeight="1" spans="1:34" x14ac:dyDescent="0.25">
      <c r="A1356" s="3">
        <v>1366</v>
      </c>
      <c r="B1356" s="3" t="s">
        <v>1035</v>
      </c>
      <c r="C1356" s="3" t="s">
        <v>920</v>
      </c>
      <c r="D1356" s="3" t="s">
        <v>25</v>
      </c>
      <c r="E1356" s="3">
        <v>99</v>
      </c>
      <c r="F1356" s="3" t="s">
        <v>34</v>
      </c>
      <c r="G1356" s="3" t="s">
        <v>1036</v>
      </c>
      <c r="H1356" s="3">
        <v>19</v>
      </c>
      <c r="I1356" s="4">
        <v>99</v>
      </c>
      <c r="J1356" s="5">
        <v>8570</v>
      </c>
      <c r="K1356" s="6">
        <f>$E1356+1</f>
        <v>100</v>
      </c>
      <c r="L1356" s="7">
        <f>IF($J1356=0,0,ROUND(MAX($J1356*1.4,1620000*(1.497923^(MIN($E1356,123)-117)))*1,0))</f>
        <v>11998</v>
      </c>
      <c r="M1356" s="4">
        <f>$E1356+2</f>
        <v>101</v>
      </c>
      <c r="N1356" s="8">
        <f>IF($J1356=0,0,ROUND(MAX($J1356*1.4*1.5,2190000*(1.580994^(MIN($E1356,123)-117)))*1,0))</f>
        <v>17997</v>
      </c>
      <c r="O1356" s="6">
        <f>$E1356+4</f>
        <v>103</v>
      </c>
      <c r="P1356" s="7">
        <f>IF($J1356=0,0,ROUND(MAX($J1356*1.4*1.5*1.6,3500000*(1.57975^(MIN($E1356,123)-117)))*1,0))</f>
        <v>28795</v>
      </c>
      <c r="Q1356" s="4">
        <f>$E1356+6</f>
        <v>105</v>
      </c>
      <c r="R1356" s="8">
        <f>IF($J1356=0,0,ROUND(MAX($J1356*1.4*1.5*1.6*1.6,13100000*(1.429962^(MIN($E1356,123)-117)))*1,0))</f>
        <v>46072</v>
      </c>
      <c r="S1356" s="6">
        <f>$E1356+8</f>
        <v>107</v>
      </c>
      <c r="T1356" s="7">
        <f>IF($J1356=0,0,ROUND(MAX($J1356*1.4*1.5*1.6*1.6*2.2,42600000*(1.576904^(MIN($E1356,123)-117)))*1,0))</f>
        <v>101359</v>
      </c>
      <c r="U1356" s="4">
        <f>$E1356+11</f>
        <v>110</v>
      </c>
      <c r="V1356" s="8">
        <f>IF($J1356=0,0,ROUND(MAX($J1356*1.4*1.5*1.6*1.6*2.2*2.715,354000000*(1.642074^(MIN($E1356,123)-117)))*1,0))</f>
        <v>275190</v>
      </c>
      <c r="W1356" s="6">
        <f>$E1356+15</f>
        <v>114</v>
      </c>
      <c r="X1356" s="7">
        <f>IF($J1356=0,0,ROUND(MAX($J1356*1.4*1.5*1.6*1.6*2.2*2.715*2.6,3540000000*(1.579646^(MIN($E1356,123)-117)))*1,0))</f>
        <v>943903</v>
      </c>
      <c r="Y1356" s="4">
        <f>$E1356+17</f>
        <v>116</v>
      </c>
      <c r="Z1356" s="8">
        <f>IF($J1356=0,0,ROUND(MAX($J1356*1.4*1.5*1.6*1.6*2.2*2.715*2.6*1.4,6020000000*(1.651178^(MIN($E1356,123)-117)))*1,0))</f>
        <v>1001691</v>
      </c>
      <c r="AA1356" s="6">
        <f>$E1356+19</f>
        <v>118</v>
      </c>
      <c r="AB1356" s="7">
        <f>IF($J1356=0,0,ROUND(MAX($J1356*1.4*1.5*1.6*1.6*2.2*2.715*2.6*1.4*1.4,8430000000*(1.651435^(MIN($E1356,123)-117)))*1,0))</f>
        <v>1402368</v>
      </c>
      <c r="AC1356" s="4">
        <f>$E1356+21</f>
        <v>120</v>
      </c>
      <c r="AD1356" s="8">
        <f>IF($J1356=0,0,ROUND(MAX($J1356*1.4*1.5*1.6*1.6*2.2*2.715*2.6*1.4*1.4*1.5,12600000000*(1.652953^(MIN($E1356,123)-117)))*1,0))</f>
        <v>2103552</v>
      </c>
      <c r="AE1356" s="6">
        <f>$E1356+24</f>
        <v>123</v>
      </c>
      <c r="AF1356" s="7">
        <f>IF($J1356=0,0,ROUND(MAX($J1356*1.4*1.5*1.6*1.6*2.2*2.715*2.6*1.4*1.4*1.5*1.5,18900000000*(1.65331^(MIN($E1356,123)-117)))*1,0))</f>
        <v>3155328</v>
      </c>
      <c r="AG1356" s="4">
        <f>$E1356+27</f>
        <v>126</v>
      </c>
      <c r="AH1356" s="8">
        <f>IF($J1356=0,0,ROUND(MAX($J1356*1.4*1.5*1.6*1.6*2.2*2.715*2.6*1.4*1.4*1.5*1.5*3.2,60500000000*(1.654288^(MIN($E1356,123)-117)))*1,0))</f>
        <v>10097050</v>
      </c>
    </row>
    <row r="1357" ht="27.75" customHeight="1" spans="1:34" x14ac:dyDescent="0.25">
      <c r="A1357" s="3">
        <v>1367</v>
      </c>
      <c r="B1357" s="3" t="s">
        <v>1037</v>
      </c>
      <c r="C1357" s="3" t="s">
        <v>920</v>
      </c>
      <c r="D1357" s="3" t="s">
        <v>33</v>
      </c>
      <c r="E1357" s="3">
        <v>99</v>
      </c>
      <c r="F1357" s="3" t="s">
        <v>1038</v>
      </c>
      <c r="G1357" s="3" t="s">
        <v>921</v>
      </c>
      <c r="H1357" s="3">
        <v>19</v>
      </c>
      <c r="I1357" s="4">
        <v>99</v>
      </c>
      <c r="J1357" s="5">
        <v>11200</v>
      </c>
      <c r="K1357" s="6">
        <f>$E1357+1</f>
        <v>100</v>
      </c>
      <c r="L1357" s="7">
        <f>IF($J1357=0,0,ROUND(MAX($J1357*1.4,1620000*(1.497923^(MIN($E1357,123)-117)))*1,0))</f>
        <v>15680</v>
      </c>
      <c r="M1357" s="4">
        <f>$E1357+2</f>
        <v>101</v>
      </c>
      <c r="N1357" s="8">
        <f>IF($J1357=0,0,ROUND(MAX($J1357*1.4*1.5,2190000*(1.580994^(MIN($E1357,123)-117)))*1,0))</f>
        <v>23520</v>
      </c>
      <c r="O1357" s="6">
        <f>$E1357+4</f>
        <v>103</v>
      </c>
      <c r="P1357" s="7">
        <f>IF($J1357=0,0,ROUND(MAX($J1357*1.4*1.5*1.6,3500000*(1.57975^(MIN($E1357,123)-117)))*1,0))</f>
        <v>37632</v>
      </c>
      <c r="Q1357" s="4">
        <f>$E1357+6</f>
        <v>105</v>
      </c>
      <c r="R1357" s="8">
        <f>IF($J1357=0,0,ROUND(MAX($J1357*1.4*1.5*1.6*1.6,13100000*(1.429962^(MIN($E1357,123)-117)))*1,0))</f>
        <v>60211</v>
      </c>
      <c r="S1357" s="6">
        <f>$E1357+8</f>
        <v>107</v>
      </c>
      <c r="T1357" s="7">
        <f>IF($J1357=0,0,ROUND(MAX($J1357*1.4*1.5*1.6*1.6*2.2,42600000*(1.576904^(MIN($E1357,123)-117)))*1,0))</f>
        <v>132465</v>
      </c>
      <c r="U1357" s="4">
        <f>$E1357+11</f>
        <v>110</v>
      </c>
      <c r="V1357" s="8">
        <f>IF($J1357=0,0,ROUND(MAX($J1357*1.4*1.5*1.6*1.6*2.2*2.715,354000000*(1.642074^(MIN($E1357,123)-117)))*1,0))</f>
        <v>359641</v>
      </c>
      <c r="W1357" s="6">
        <f>$E1357+15</f>
        <v>114</v>
      </c>
      <c r="X1357" s="7">
        <f>IF($J1357=0,0,ROUND(MAX($J1357*1.4*1.5*1.6*1.6*2.2*2.715*2.6,3540000000*(1.579646^(MIN($E1357,123)-117)))*1,0))</f>
        <v>943903</v>
      </c>
      <c r="Y1357" s="4">
        <f>$E1357+17</f>
        <v>116</v>
      </c>
      <c r="Z1357" s="8">
        <f>IF($J1357=0,0,ROUND(MAX($J1357*1.4*1.5*1.6*1.6*2.2*2.715*2.6*1.4,6020000000*(1.651178^(MIN($E1357,123)-117)))*1,0))</f>
        <v>1309095</v>
      </c>
      <c r="AA1357" s="6">
        <f>$E1357+19</f>
        <v>118</v>
      </c>
      <c r="AB1357" s="7">
        <f>IF($J1357=0,0,ROUND(MAX($J1357*1.4*1.5*1.6*1.6*2.2*2.715*2.6*1.4*1.4,8430000000*(1.651435^(MIN($E1357,123)-117)))*1,0))</f>
        <v>1832733</v>
      </c>
      <c r="AC1357" s="4">
        <f>$E1357+21</f>
        <v>120</v>
      </c>
      <c r="AD1357" s="8">
        <f>IF($J1357=0,0,ROUND(MAX($J1357*1.4*1.5*1.6*1.6*2.2*2.715*2.6*1.4*1.4*1.5,12600000000*(1.652953^(MIN($E1357,123)-117)))*1,0))</f>
        <v>2749100</v>
      </c>
      <c r="AE1357" s="6">
        <f>$E1357+24</f>
        <v>123</v>
      </c>
      <c r="AF1357" s="7">
        <f>IF($J1357=0,0,ROUND(MAX($J1357*1.4*1.5*1.6*1.6*2.2*2.715*2.6*1.4*1.4*1.5*1.5,18900000000*(1.65331^(MIN($E1357,123)-117)))*1,0))</f>
        <v>4123649</v>
      </c>
      <c r="AG1357" s="4">
        <f>$E1357+27</f>
        <v>126</v>
      </c>
      <c r="AH1357" s="8">
        <f>IF($J1357=0,0,ROUND(MAX($J1357*1.4*1.5*1.6*1.6*2.2*2.715*2.6*1.4*1.4*1.5*1.5*3.2,60500000000*(1.654288^(MIN($E1357,123)-117)))*1,0))</f>
        <v>13195678</v>
      </c>
    </row>
    <row r="1358" ht="27.75" customHeight="1" spans="1:34" x14ac:dyDescent="0.25">
      <c r="A1358" s="3">
        <v>1368</v>
      </c>
      <c r="B1358" s="3" t="s">
        <v>1039</v>
      </c>
      <c r="C1358" s="3" t="s">
        <v>920</v>
      </c>
      <c r="D1358" s="3" t="s">
        <v>75</v>
      </c>
      <c r="E1358" s="3">
        <v>99</v>
      </c>
      <c r="F1358" s="3" t="s">
        <v>42</v>
      </c>
      <c r="G1358" s="3" t="s">
        <v>921</v>
      </c>
      <c r="H1358" s="3">
        <v>19</v>
      </c>
      <c r="I1358" s="4">
        <v>99</v>
      </c>
      <c r="J1358" s="5">
        <v>12400</v>
      </c>
      <c r="K1358" s="6">
        <f>$E1358+1</f>
        <v>100</v>
      </c>
      <c r="L1358" s="7">
        <f>IF($J1358=0,0,ROUND(MAX($J1358*1.4,1620000*(1.497923^(MIN($E1358,123)-117)))*1,0))</f>
        <v>17360</v>
      </c>
      <c r="M1358" s="4">
        <f>$E1358+2</f>
        <v>101</v>
      </c>
      <c r="N1358" s="8">
        <f>IF($J1358=0,0,ROUND(MAX($J1358*1.4*1.5,2190000*(1.580994^(MIN($E1358,123)-117)))*1,0))</f>
        <v>26040</v>
      </c>
      <c r="O1358" s="6">
        <f>$E1358+4</f>
        <v>103</v>
      </c>
      <c r="P1358" s="7">
        <f>IF($J1358=0,0,ROUND(MAX($J1358*1.4*1.5*1.6,3500000*(1.57975^(MIN($E1358,123)-117)))*1,0))</f>
        <v>41664</v>
      </c>
      <c r="Q1358" s="4">
        <f>$E1358+6</f>
        <v>105</v>
      </c>
      <c r="R1358" s="8">
        <f>IF($J1358=0,0,ROUND(MAX($J1358*1.4*1.5*1.6*1.6,13100000*(1.429962^(MIN($E1358,123)-117)))*1,0))</f>
        <v>66662</v>
      </c>
      <c r="S1358" s="6">
        <f>$E1358+8</f>
        <v>107</v>
      </c>
      <c r="T1358" s="7">
        <f>IF($J1358=0,0,ROUND(MAX($J1358*1.4*1.5*1.6*1.6*2.2,42600000*(1.576904^(MIN($E1358,123)-117)))*1,0))</f>
        <v>146657</v>
      </c>
      <c r="U1358" s="4">
        <f>$E1358+11</f>
        <v>110</v>
      </c>
      <c r="V1358" s="8">
        <f>IF($J1358=0,0,ROUND(MAX($J1358*1.4*1.5*1.6*1.6*2.2*2.715,354000000*(1.642074^(MIN($E1358,123)-117)))*1,0))</f>
        <v>398175</v>
      </c>
      <c r="W1358" s="6">
        <f>$E1358+15</f>
        <v>114</v>
      </c>
      <c r="X1358" s="7">
        <f>IF($J1358=0,0,ROUND(MAX($J1358*1.4*1.5*1.6*1.6*2.2*2.715*2.6,3540000000*(1.579646^(MIN($E1358,123)-117)))*1,0))</f>
        <v>1035254</v>
      </c>
      <c r="Y1358" s="4">
        <f>$E1358+17</f>
        <v>116</v>
      </c>
      <c r="Z1358" s="8">
        <f>IF($J1358=0,0,ROUND(MAX($J1358*1.4*1.5*1.6*1.6*2.2*2.715*2.6*1.4,6020000000*(1.651178^(MIN($E1358,123)-117)))*1,0))</f>
        <v>1449355</v>
      </c>
      <c r="AA1358" s="6">
        <f>$E1358+19</f>
        <v>118</v>
      </c>
      <c r="AB1358" s="7">
        <f>IF($J1358=0,0,ROUND(MAX($J1358*1.4*1.5*1.6*1.6*2.2*2.715*2.6*1.4*1.4,8430000000*(1.651435^(MIN($E1358,123)-117)))*1,0))</f>
        <v>2029097</v>
      </c>
      <c r="AC1358" s="4">
        <f>$E1358+21</f>
        <v>120</v>
      </c>
      <c r="AD1358" s="8">
        <f>IF($J1358=0,0,ROUND(MAX($J1358*1.4*1.5*1.6*1.6*2.2*2.715*2.6*1.4*1.4*1.5,12600000000*(1.652953^(MIN($E1358,123)-117)))*1,0))</f>
        <v>3043646</v>
      </c>
      <c r="AE1358" s="6">
        <f>$E1358+24</f>
        <v>123</v>
      </c>
      <c r="AF1358" s="7">
        <f>IF($J1358=0,0,ROUND(MAX($J1358*1.4*1.5*1.6*1.6*2.2*2.715*2.6*1.4*1.4*1.5*1.5,18900000000*(1.65331^(MIN($E1358,123)-117)))*1,0))</f>
        <v>4565469</v>
      </c>
      <c r="AG1358" s="4">
        <f>$E1358+27</f>
        <v>126</v>
      </c>
      <c r="AH1358" s="8">
        <f>IF($J1358=0,0,ROUND(MAX($J1358*1.4*1.5*1.6*1.6*2.2*2.715*2.6*1.4*1.4*1.5*1.5*3.2,60500000000*(1.654288^(MIN($E1358,123)-117)))*1,0))</f>
        <v>14609501</v>
      </c>
    </row>
    <row r="1359" ht="27.75" customHeight="1" spans="1:34" x14ac:dyDescent="0.25">
      <c r="A1359" s="3">
        <v>1369</v>
      </c>
      <c r="B1359" s="3" t="s">
        <v>1040</v>
      </c>
      <c r="C1359" s="3" t="s">
        <v>920</v>
      </c>
      <c r="D1359" s="3" t="s">
        <v>40</v>
      </c>
      <c r="E1359" s="3">
        <v>99</v>
      </c>
      <c r="F1359" s="3" t="s">
        <v>62</v>
      </c>
      <c r="G1359" s="3" t="s">
        <v>921</v>
      </c>
      <c r="H1359" s="3">
        <v>19</v>
      </c>
      <c r="I1359" s="4">
        <v>99</v>
      </c>
      <c r="J1359" s="5">
        <v>7180</v>
      </c>
      <c r="K1359" s="6">
        <f>$E1359+1</f>
        <v>100</v>
      </c>
      <c r="L1359" s="7">
        <f>IF($J1359=0,0,ROUND(MAX($J1359*1.4,1620000*(1.497923^(MIN($E1359,123)-117)))*1,0))</f>
        <v>10052</v>
      </c>
      <c r="M1359" s="4">
        <f>$E1359+2</f>
        <v>101</v>
      </c>
      <c r="N1359" s="8">
        <f>IF($J1359=0,0,ROUND(MAX($J1359*1.4*1.5,2190000*(1.580994^(MIN($E1359,123)-117)))*1,0))</f>
        <v>15078</v>
      </c>
      <c r="O1359" s="6">
        <f>$E1359+4</f>
        <v>103</v>
      </c>
      <c r="P1359" s="7">
        <f>IF($J1359=0,0,ROUND(MAX($J1359*1.4*1.5*1.6,3500000*(1.57975^(MIN($E1359,123)-117)))*1,0))</f>
        <v>24125</v>
      </c>
      <c r="Q1359" s="4">
        <f>$E1359+6</f>
        <v>105</v>
      </c>
      <c r="R1359" s="8">
        <f>IF($J1359=0,0,ROUND(MAX($J1359*1.4*1.5*1.6*1.6,13100000*(1.429962^(MIN($E1359,123)-117)))*1,0))</f>
        <v>38600</v>
      </c>
      <c r="S1359" s="6">
        <f>$E1359+8</f>
        <v>107</v>
      </c>
      <c r="T1359" s="7">
        <f>IF($J1359=0,0,ROUND(MAX($J1359*1.4*1.5*1.6*1.6*2.2,42600000*(1.576904^(MIN($E1359,123)-117)))*1,0))</f>
        <v>84919</v>
      </c>
      <c r="U1359" s="4">
        <f>$E1359+11</f>
        <v>110</v>
      </c>
      <c r="V1359" s="8">
        <f>IF($J1359=0,0,ROUND(MAX($J1359*1.4*1.5*1.6*1.6*2.2*2.715,354000000*(1.642074^(MIN($E1359,123)-117)))*1,0))</f>
        <v>230556</v>
      </c>
      <c r="W1359" s="6">
        <f>$E1359+15</f>
        <v>114</v>
      </c>
      <c r="X1359" s="7">
        <f>IF($J1359=0,0,ROUND(MAX($J1359*1.4*1.5*1.6*1.6*2.2*2.715*2.6,3540000000*(1.579646^(MIN($E1359,123)-117)))*1,0))</f>
        <v>943903</v>
      </c>
      <c r="Y1359" s="4">
        <f>$E1359+17</f>
        <v>116</v>
      </c>
      <c r="Z1359" s="8">
        <f>IF($J1359=0,0,ROUND(MAX($J1359*1.4*1.5*1.6*1.6*2.2*2.715*2.6*1.4,6020000000*(1.651178^(MIN($E1359,123)-117)))*1,0))</f>
        <v>839223</v>
      </c>
      <c r="AA1359" s="6">
        <f>$E1359+19</f>
        <v>118</v>
      </c>
      <c r="AB1359" s="7">
        <f>IF($J1359=0,0,ROUND(MAX($J1359*1.4*1.5*1.6*1.6*2.2*2.715*2.6*1.4*1.4,8430000000*(1.651435^(MIN($E1359,123)-117)))*1,0))</f>
        <v>1174913</v>
      </c>
      <c r="AC1359" s="4">
        <f>$E1359+21</f>
        <v>120</v>
      </c>
      <c r="AD1359" s="8">
        <f>IF($J1359=0,0,ROUND(MAX($J1359*1.4*1.5*1.6*1.6*2.2*2.715*2.6*1.4*1.4*1.5,12600000000*(1.652953^(MIN($E1359,123)-117)))*1,0))</f>
        <v>1762369</v>
      </c>
      <c r="AE1359" s="6">
        <f>$E1359+24</f>
        <v>123</v>
      </c>
      <c r="AF1359" s="7">
        <f>IF($J1359=0,0,ROUND(MAX($J1359*1.4*1.5*1.6*1.6*2.2*2.715*2.6*1.4*1.4*1.5*1.5,18900000000*(1.65331^(MIN($E1359,123)-117)))*1,0))</f>
        <v>2643554</v>
      </c>
      <c r="AG1359" s="4">
        <f>$E1359+27</f>
        <v>126</v>
      </c>
      <c r="AH1359" s="8">
        <f>IF($J1359=0,0,ROUND(MAX($J1359*1.4*1.5*1.6*1.6*2.2*2.715*2.6*1.4*1.4*1.5*1.5*3.2,60500000000*(1.654288^(MIN($E1359,123)-117)))*1,0))</f>
        <v>8459372</v>
      </c>
    </row>
    <row r="1360" ht="27.75" customHeight="1" spans="1:34" x14ac:dyDescent="0.25">
      <c r="A1360" s="3">
        <v>1370</v>
      </c>
      <c r="B1360" s="3" t="s">
        <v>1041</v>
      </c>
      <c r="C1360" s="3" t="s">
        <v>920</v>
      </c>
      <c r="D1360" s="3" t="s">
        <v>93</v>
      </c>
      <c r="E1360" s="3">
        <v>99</v>
      </c>
      <c r="F1360" s="3" t="s">
        <v>54</v>
      </c>
      <c r="G1360" s="3" t="s">
        <v>921</v>
      </c>
      <c r="H1360" s="3">
        <v>19</v>
      </c>
      <c r="I1360" s="4">
        <v>99</v>
      </c>
      <c r="J1360" s="5">
        <v>4350</v>
      </c>
      <c r="K1360" s="6">
        <f>$E1360+1</f>
        <v>100</v>
      </c>
      <c r="L1360" s="7">
        <f>IF($J1360=0,0,ROUND(MAX($J1360*1.4,1620000*(1.497923^(MIN($E1360,123)-117)))*1,0))</f>
        <v>6090</v>
      </c>
      <c r="M1360" s="4">
        <f>$E1360+2</f>
        <v>101</v>
      </c>
      <c r="N1360" s="8">
        <f>IF($J1360=0,0,ROUND(MAX($J1360*1.4*1.5,2190000*(1.580994^(MIN($E1360,123)-117)))*1,0))</f>
        <v>9135</v>
      </c>
      <c r="O1360" s="6">
        <f>$E1360+4</f>
        <v>103</v>
      </c>
      <c r="P1360" s="7">
        <f>IF($J1360=0,0,ROUND(MAX($J1360*1.4*1.5*1.6,3500000*(1.57975^(MIN($E1360,123)-117)))*1,0))</f>
        <v>14616</v>
      </c>
      <c r="Q1360" s="4">
        <f>$E1360+6</f>
        <v>105</v>
      </c>
      <c r="R1360" s="8">
        <f>IF($J1360=0,0,ROUND(MAX($J1360*1.4*1.5*1.6*1.6,13100000*(1.429962^(MIN($E1360,123)-117)))*1,0))</f>
        <v>23386</v>
      </c>
      <c r="S1360" s="6">
        <f>$E1360+8</f>
        <v>107</v>
      </c>
      <c r="T1360" s="7">
        <f>IF($J1360=0,0,ROUND(MAX($J1360*1.4*1.5*1.6*1.6*2.2,42600000*(1.576904^(MIN($E1360,123)-117)))*1,0))</f>
        <v>51448</v>
      </c>
      <c r="U1360" s="4">
        <f>$E1360+11</f>
        <v>110</v>
      </c>
      <c r="V1360" s="8">
        <f>IF($J1360=0,0,ROUND(MAX($J1360*1.4*1.5*1.6*1.6*2.2*2.715,354000000*(1.642074^(MIN($E1360,123)-117)))*1,0))</f>
        <v>139682</v>
      </c>
      <c r="W1360" s="6">
        <f>$E1360+15</f>
        <v>114</v>
      </c>
      <c r="X1360" s="7">
        <f>IF($J1360=0,0,ROUND(MAX($J1360*1.4*1.5*1.6*1.6*2.2*2.715*2.6,3540000000*(1.579646^(MIN($E1360,123)-117)))*1,0))</f>
        <v>943903</v>
      </c>
      <c r="Y1360" s="4">
        <f>$E1360+17</f>
        <v>116</v>
      </c>
      <c r="Z1360" s="8">
        <f>IF($J1360=0,0,ROUND(MAX($J1360*1.4*1.5*1.6*1.6*2.2*2.715*2.6*1.4,6020000000*(1.651178^(MIN($E1360,123)-117)))*1,0))</f>
        <v>723280</v>
      </c>
      <c r="AA1360" s="6">
        <f>$E1360+19</f>
        <v>118</v>
      </c>
      <c r="AB1360" s="7">
        <f>IF($J1360=0,0,ROUND(MAX($J1360*1.4*1.5*1.6*1.6*2.2*2.715*2.6*1.4*1.4,8430000000*(1.651435^(MIN($E1360,123)-117)))*1,0))</f>
        <v>1009999</v>
      </c>
      <c r="AC1360" s="4">
        <f>$E1360+21</f>
        <v>120</v>
      </c>
      <c r="AD1360" s="8">
        <f>IF($J1360=0,0,ROUND(MAX($J1360*1.4*1.5*1.6*1.6*2.2*2.715*2.6*1.4*1.4*1.5,12600000000*(1.652953^(MIN($E1360,123)-117)))*1,0))</f>
        <v>1484846</v>
      </c>
      <c r="AE1360" s="6">
        <f>$E1360+24</f>
        <v>123</v>
      </c>
      <c r="AF1360" s="7">
        <f>IF($J1360=0,0,ROUND(MAX($J1360*1.4*1.5*1.6*1.6*2.2*2.715*2.6*1.4*1.4*1.5*1.5,18900000000*(1.65331^(MIN($E1360,123)-117)))*1,0))</f>
        <v>2218628</v>
      </c>
      <c r="AG1360" s="4">
        <f>$E1360+27</f>
        <v>126</v>
      </c>
      <c r="AH1360" s="8">
        <f>IF($J1360=0,0,ROUND(MAX($J1360*1.4*1.5*1.6*1.6*2.2*2.715*2.6*1.4*1.4*1.5*1.5*3.2,60500000000*(1.654288^(MIN($E1360,123)-117)))*1,0))</f>
        <v>7026762</v>
      </c>
    </row>
    <row r="1361" ht="27.75" customHeight="1" spans="1:34" x14ac:dyDescent="0.25">
      <c r="A1361" s="3">
        <v>1371</v>
      </c>
      <c r="B1361" s="3" t="s">
        <v>80</v>
      </c>
      <c r="C1361" s="3" t="s">
        <v>1042</v>
      </c>
      <c r="D1361" s="3" t="s">
        <v>45</v>
      </c>
      <c r="E1361" s="3">
        <v>113</v>
      </c>
      <c r="F1361" s="3" t="s">
        <v>71</v>
      </c>
      <c r="G1361" s="3" t="s">
        <v>1043</v>
      </c>
      <c r="H1361" s="3">
        <v>27</v>
      </c>
      <c r="I1361" s="4">
        <v>113</v>
      </c>
      <c r="J1361" s="5">
        <v>187000</v>
      </c>
      <c r="K1361" s="6">
        <f>$E1361+1</f>
        <v>114</v>
      </c>
      <c r="L1361" s="7">
        <f>IF($J1361=0,0,ROUND(MAX($J1361*1.4,1620000*(1.497923^(MIN($E1361,123)-117)))*1,0))</f>
        <v>321779</v>
      </c>
      <c r="M1361" s="4">
        <f>$E1361+2</f>
        <v>115</v>
      </c>
      <c r="N1361" s="8">
        <f>IF($J1361=0,0,ROUND(MAX($J1361*1.4*1.5,2190000*(1.580994^(MIN($E1361,123)-117)))*1,0))</f>
        <v>392700</v>
      </c>
      <c r="O1361" s="6">
        <f>$E1361+4</f>
        <v>117</v>
      </c>
      <c r="P1361" s="7">
        <f>IF($J1361=0,0,ROUND(MAX($J1361*1.4*1.5*1.6,3500000*(1.57975^(MIN($E1361,123)-117)))*1,0))</f>
        <v>628320</v>
      </c>
      <c r="Q1361" s="4">
        <f>$E1361+6</f>
        <v>119</v>
      </c>
      <c r="R1361" s="8">
        <f>IF($J1361=0,0,ROUND(MAX($J1361*1.4*1.5*1.6*1.6,13100000*(1.429962^(MIN($E1361,123)-117)))*1,0))</f>
        <v>3133093</v>
      </c>
      <c r="S1361" s="6">
        <f>$E1361+8</f>
        <v>121</v>
      </c>
      <c r="T1361" s="7">
        <f>IF($J1361=0,0,ROUND(MAX($J1361*1.4*1.5*1.6*1.6*2.2,42600000*(1.576904^(MIN($E1361,123)-117)))*1,0))</f>
        <v>6889514</v>
      </c>
      <c r="U1361" s="4">
        <f>$E1361+11</f>
        <v>124</v>
      </c>
      <c r="V1361" s="8">
        <f>IF($J1361=0,0,ROUND(MAX($J1361*1.4*1.5*1.6*1.6*2.2*2.715,354000000*(1.642074^(MIN($E1361,123)-117)))*1,0))</f>
        <v>48689169</v>
      </c>
      <c r="W1361" s="6">
        <f>$E1361+15</f>
        <v>128</v>
      </c>
      <c r="X1361" s="7">
        <f>IF($J1361=0,0,ROUND(MAX($J1361*1.4*1.5*1.6*1.6*2.2*2.715*2.6,3540000000*(1.579646^(MIN($E1361,123)-117)))*1,0))</f>
        <v>568544122</v>
      </c>
      <c r="Y1361" s="4">
        <f>$E1361+17</f>
        <v>130</v>
      </c>
      <c r="Z1361" s="8">
        <f>IF($J1361=0,0,ROUND(MAX($J1361*1.4*1.5*1.6*1.6*2.2*2.715*2.6*1.4,6020000000*(1.651178^(MIN($E1361,123)-117)))*1,0))</f>
        <v>809880453</v>
      </c>
      <c r="AA1361" s="6">
        <f>$E1361+19</f>
        <v>132</v>
      </c>
      <c r="AB1361" s="7">
        <f>IF($J1361=0,0,ROUND(MAX($J1361*1.4*1.5*1.6*1.6*2.2*2.715*2.6*1.4*1.4,8430000000*(1.651435^(MIN($E1361,123)-117)))*1,0))</f>
        <v>1133395897</v>
      </c>
      <c r="AC1361" s="4">
        <f>$E1361+21</f>
        <v>134</v>
      </c>
      <c r="AD1361" s="8">
        <f>IF($J1361=0,0,ROUND(MAX($J1361*1.4*1.5*1.6*1.6*2.2*2.715*2.6*1.4*1.4*1.5,12600000000*(1.652953^(MIN($E1361,123)-117)))*1,0))</f>
        <v>1687829312</v>
      </c>
      <c r="AE1361" s="6">
        <f>$E1361+24</f>
        <v>137</v>
      </c>
      <c r="AF1361" s="7">
        <f>IF($J1361=0,0,ROUND(MAX($J1361*1.4*1.5*1.6*1.6*2.2*2.715*2.6*1.4*1.4*1.5*1.5,18900000000*(1.65331^(MIN($E1361,123)-117)))*1,0))</f>
        <v>2529557954</v>
      </c>
      <c r="AG1361" s="4">
        <f>$E1361+27</f>
        <v>140</v>
      </c>
      <c r="AH1361" s="8">
        <f>IF($J1361=0,0,ROUND(MAX($J1361*1.4*1.5*1.6*1.6*2.2*2.715*2.6*1.4*1.4*1.5*1.5*3.2,60500000000*(1.654288^(MIN($E1361,123)-117)))*1,0))</f>
        <v>8078131097</v>
      </c>
    </row>
    <row r="1362" ht="27.75" customHeight="1" spans="1:34" x14ac:dyDescent="0.25">
      <c r="A1362" s="3">
        <v>1372</v>
      </c>
      <c r="B1362" s="3" t="s">
        <v>61</v>
      </c>
      <c r="C1362" s="3" t="s">
        <v>1042</v>
      </c>
      <c r="D1362" s="3" t="s">
        <v>33</v>
      </c>
      <c r="E1362" s="3">
        <v>113</v>
      </c>
      <c r="F1362" s="3" t="s">
        <v>62</v>
      </c>
      <c r="G1362" s="3" t="s">
        <v>1043</v>
      </c>
      <c r="H1362" s="3">
        <v>27</v>
      </c>
      <c r="I1362" s="4">
        <v>113</v>
      </c>
      <c r="J1362" s="5">
        <v>177000</v>
      </c>
      <c r="K1362" s="6">
        <f>$E1362+1</f>
        <v>114</v>
      </c>
      <c r="L1362" s="7">
        <f>IF($J1362=0,0,ROUND(MAX($J1362*1.4,1620000*(1.497923^(MIN($E1362,123)-117)))*1,0))</f>
        <v>321779</v>
      </c>
      <c r="M1362" s="4">
        <f>$E1362+2</f>
        <v>115</v>
      </c>
      <c r="N1362" s="8">
        <f>IF($J1362=0,0,ROUND(MAX($J1362*1.4*1.5,2190000*(1.580994^(MIN($E1362,123)-117)))*1,0))</f>
        <v>371700</v>
      </c>
      <c r="O1362" s="6">
        <f>$E1362+4</f>
        <v>117</v>
      </c>
      <c r="P1362" s="7">
        <f>IF($J1362=0,0,ROUND(MAX($J1362*1.4*1.5*1.6,3500000*(1.57975^(MIN($E1362,123)-117)))*1,0))</f>
        <v>594720</v>
      </c>
      <c r="Q1362" s="4">
        <f>$E1362+6</f>
        <v>119</v>
      </c>
      <c r="R1362" s="8">
        <f>IF($J1362=0,0,ROUND(MAX($J1362*1.4*1.5*1.6*1.6,13100000*(1.429962^(MIN($E1362,123)-117)))*1,0))</f>
        <v>3133093</v>
      </c>
      <c r="S1362" s="6">
        <f>$E1362+8</f>
        <v>121</v>
      </c>
      <c r="T1362" s="7">
        <f>IF($J1362=0,0,ROUND(MAX($J1362*1.4*1.5*1.6*1.6*2.2,42600000*(1.576904^(MIN($E1362,123)-117)))*1,0))</f>
        <v>6889514</v>
      </c>
      <c r="U1362" s="4">
        <f>$E1362+11</f>
        <v>124</v>
      </c>
      <c r="V1362" s="8">
        <f>IF($J1362=0,0,ROUND(MAX($J1362*1.4*1.5*1.6*1.6*2.2*2.715,354000000*(1.642074^(MIN($E1362,123)-117)))*1,0))</f>
        <v>48689169</v>
      </c>
      <c r="W1362" s="6">
        <f>$E1362+15</f>
        <v>128</v>
      </c>
      <c r="X1362" s="7">
        <f>IF($J1362=0,0,ROUND(MAX($J1362*1.4*1.5*1.6*1.6*2.2*2.715*2.6,3540000000*(1.579646^(MIN($E1362,123)-117)))*1,0))</f>
        <v>568544122</v>
      </c>
      <c r="Y1362" s="4">
        <f>$E1362+17</f>
        <v>130</v>
      </c>
      <c r="Z1362" s="8">
        <f>IF($J1362=0,0,ROUND(MAX($J1362*1.4*1.5*1.6*1.6*2.2*2.715*2.6*1.4,6020000000*(1.651178^(MIN($E1362,123)-117)))*1,0))</f>
        <v>809880453</v>
      </c>
      <c r="AA1362" s="6">
        <f>$E1362+19</f>
        <v>132</v>
      </c>
      <c r="AB1362" s="7">
        <f>IF($J1362=0,0,ROUND(MAX($J1362*1.4*1.5*1.6*1.6*2.2*2.715*2.6*1.4*1.4,8430000000*(1.651435^(MIN($E1362,123)-117)))*1,0))</f>
        <v>1133395897</v>
      </c>
      <c r="AC1362" s="4">
        <f>$E1362+21</f>
        <v>134</v>
      </c>
      <c r="AD1362" s="8">
        <f>IF($J1362=0,0,ROUND(MAX($J1362*1.4*1.5*1.6*1.6*2.2*2.715*2.6*1.4*1.4*1.5,12600000000*(1.652953^(MIN($E1362,123)-117)))*1,0))</f>
        <v>1687829312</v>
      </c>
      <c r="AE1362" s="6">
        <f>$E1362+24</f>
        <v>137</v>
      </c>
      <c r="AF1362" s="7">
        <f>IF($J1362=0,0,ROUND(MAX($J1362*1.4*1.5*1.6*1.6*2.2*2.715*2.6*1.4*1.4*1.5*1.5,18900000000*(1.65331^(MIN($E1362,123)-117)))*1,0))</f>
        <v>2529557954</v>
      </c>
      <c r="AG1362" s="4">
        <f>$E1362+27</f>
        <v>140</v>
      </c>
      <c r="AH1362" s="8">
        <f>IF($J1362=0,0,ROUND(MAX($J1362*1.4*1.5*1.6*1.6*2.2*2.715*2.6*1.4*1.4*1.5*1.5*3.2,60500000000*(1.654288^(MIN($E1362,123)-117)))*1,0))</f>
        <v>8078131097</v>
      </c>
    </row>
    <row r="1363" ht="27.75" customHeight="1" spans="1:34" x14ac:dyDescent="0.25">
      <c r="A1363" s="3">
        <v>1373</v>
      </c>
      <c r="B1363" s="3" t="s">
        <v>74</v>
      </c>
      <c r="C1363" s="3" t="s">
        <v>1042</v>
      </c>
      <c r="D1363" s="3" t="s">
        <v>75</v>
      </c>
      <c r="E1363" s="3">
        <v>113</v>
      </c>
      <c r="F1363" s="3" t="s">
        <v>62</v>
      </c>
      <c r="G1363" s="3" t="s">
        <v>1043</v>
      </c>
      <c r="H1363" s="3">
        <v>28</v>
      </c>
      <c r="I1363" s="4">
        <v>113</v>
      </c>
      <c r="J1363" s="5">
        <v>300000</v>
      </c>
      <c r="K1363" s="6">
        <f>$E1363+1</f>
        <v>114</v>
      </c>
      <c r="L1363" s="7">
        <f>IF($J1363=0,0,ROUND(MAX($J1363*1.4,1620000*(1.497923^(MIN($E1363,123)-117)))*1,0))</f>
        <v>420000</v>
      </c>
      <c r="M1363" s="4">
        <f>$E1363+2</f>
        <v>115</v>
      </c>
      <c r="N1363" s="8">
        <f>IF($J1363=0,0,ROUND(MAX($J1363*1.4*1.5,2190000*(1.580994^(MIN($E1363,123)-117)))*1,0))</f>
        <v>630000</v>
      </c>
      <c r="O1363" s="6">
        <f>$E1363+4</f>
        <v>117</v>
      </c>
      <c r="P1363" s="7">
        <f>IF($J1363=0,0,ROUND(MAX($J1363*1.4*1.5*1.6,3500000*(1.57975^(MIN($E1363,123)-117)))*1,0))</f>
        <v>1008000</v>
      </c>
      <c r="Q1363" s="4">
        <f>$E1363+6</f>
        <v>119</v>
      </c>
      <c r="R1363" s="8">
        <f>IF($J1363=0,0,ROUND(MAX($J1363*1.4*1.5*1.6*1.6,13100000*(1.429962^(MIN($E1363,123)-117)))*1,0))</f>
        <v>3133093</v>
      </c>
      <c r="S1363" s="6">
        <f>$E1363+8</f>
        <v>121</v>
      </c>
      <c r="T1363" s="7">
        <f>IF($J1363=0,0,ROUND(MAX($J1363*1.4*1.5*1.6*1.6*2.2,42600000*(1.576904^(MIN($E1363,123)-117)))*1,0))</f>
        <v>6889514</v>
      </c>
      <c r="U1363" s="4">
        <f>$E1363+11</f>
        <v>124</v>
      </c>
      <c r="V1363" s="8">
        <f>IF($J1363=0,0,ROUND(MAX($J1363*1.4*1.5*1.6*1.6*2.2*2.715,354000000*(1.642074^(MIN($E1363,123)-117)))*1,0))</f>
        <v>48689169</v>
      </c>
      <c r="W1363" s="6">
        <f>$E1363+15</f>
        <v>128</v>
      </c>
      <c r="X1363" s="7">
        <f>IF($J1363=0,0,ROUND(MAX($J1363*1.4*1.5*1.6*1.6*2.2*2.715*2.6,3540000000*(1.579646^(MIN($E1363,123)-117)))*1,0))</f>
        <v>568544122</v>
      </c>
      <c r="Y1363" s="4">
        <f>$E1363+17</f>
        <v>130</v>
      </c>
      <c r="Z1363" s="8">
        <f>IF($J1363=0,0,ROUND(MAX($J1363*1.4*1.5*1.6*1.6*2.2*2.715*2.6*1.4,6020000000*(1.651178^(MIN($E1363,123)-117)))*1,0))</f>
        <v>809880453</v>
      </c>
      <c r="AA1363" s="6">
        <f>$E1363+19</f>
        <v>132</v>
      </c>
      <c r="AB1363" s="7">
        <f>IF($J1363=0,0,ROUND(MAX($J1363*1.4*1.5*1.6*1.6*2.2*2.715*2.6*1.4*1.4,8430000000*(1.651435^(MIN($E1363,123)-117)))*1,0))</f>
        <v>1133395897</v>
      </c>
      <c r="AC1363" s="4">
        <f>$E1363+21</f>
        <v>134</v>
      </c>
      <c r="AD1363" s="8">
        <f>IF($J1363=0,0,ROUND(MAX($J1363*1.4*1.5*1.6*1.6*2.2*2.715*2.6*1.4*1.4*1.5,12600000000*(1.652953^(MIN($E1363,123)-117)))*1,0))</f>
        <v>1687829312</v>
      </c>
      <c r="AE1363" s="6">
        <f>$E1363+24</f>
        <v>137</v>
      </c>
      <c r="AF1363" s="7">
        <f>IF($J1363=0,0,ROUND(MAX($J1363*1.4*1.5*1.6*1.6*2.2*2.715*2.6*1.4*1.4*1.5*1.5,18900000000*(1.65331^(MIN($E1363,123)-117)))*1,0))</f>
        <v>2529557954</v>
      </c>
      <c r="AG1363" s="4">
        <f>$E1363+27</f>
        <v>140</v>
      </c>
      <c r="AH1363" s="8">
        <f>IF($J1363=0,0,ROUND(MAX($J1363*1.4*1.5*1.6*1.6*2.2*2.715*2.6*1.4*1.4*1.5*1.5*3.2,60500000000*(1.654288^(MIN($E1363,123)-117)))*1,0))</f>
        <v>8078131097</v>
      </c>
    </row>
    <row r="1364" ht="27.75" customHeight="1" spans="1:34" x14ac:dyDescent="0.25">
      <c r="A1364" s="3">
        <v>1374</v>
      </c>
      <c r="B1364" s="3" t="s">
        <v>44</v>
      </c>
      <c r="C1364" s="3" t="s">
        <v>1042</v>
      </c>
      <c r="D1364" s="3" t="s">
        <v>102</v>
      </c>
      <c r="E1364" s="3">
        <v>113</v>
      </c>
      <c r="F1364" s="3" t="s">
        <v>34</v>
      </c>
      <c r="G1364" s="3" t="s">
        <v>1043</v>
      </c>
      <c r="H1364" s="3">
        <v>28</v>
      </c>
      <c r="I1364" s="4">
        <v>113</v>
      </c>
      <c r="J1364" s="5">
        <v>192000</v>
      </c>
      <c r="K1364" s="6">
        <f>$E1364+1</f>
        <v>114</v>
      </c>
      <c r="L1364" s="7">
        <f>IF($J1364=0,0,ROUND(MAX($J1364*1.4,1620000*(1.497923^(MIN($E1364,123)-117)))*1,0))</f>
        <v>321779</v>
      </c>
      <c r="M1364" s="4">
        <f>$E1364+2</f>
        <v>115</v>
      </c>
      <c r="N1364" s="8">
        <f>IF($J1364=0,0,ROUND(MAX($J1364*1.4*1.5,2190000*(1.580994^(MIN($E1364,123)-117)))*1,0))</f>
        <v>403200</v>
      </c>
      <c r="O1364" s="6">
        <f>$E1364+4</f>
        <v>117</v>
      </c>
      <c r="P1364" s="7">
        <f>IF($J1364=0,0,ROUND(MAX($J1364*1.4*1.5*1.6,3500000*(1.57975^(MIN($E1364,123)-117)))*1,0))</f>
        <v>645120</v>
      </c>
      <c r="Q1364" s="4">
        <f>$E1364+6</f>
        <v>119</v>
      </c>
      <c r="R1364" s="8">
        <f>IF($J1364=0,0,ROUND(MAX($J1364*1.4*1.5*1.6*1.6,13100000*(1.429962^(MIN($E1364,123)-117)))*1,0))</f>
        <v>3133093</v>
      </c>
      <c r="S1364" s="6">
        <f>$E1364+8</f>
        <v>121</v>
      </c>
      <c r="T1364" s="7">
        <f>IF($J1364=0,0,ROUND(MAX($J1364*1.4*1.5*1.6*1.6*2.2,42600000*(1.576904^(MIN($E1364,123)-117)))*1,0))</f>
        <v>6889514</v>
      </c>
      <c r="U1364" s="4">
        <f>$E1364+11</f>
        <v>124</v>
      </c>
      <c r="V1364" s="8">
        <f>IF($J1364=0,0,ROUND(MAX($J1364*1.4*1.5*1.6*1.6*2.2*2.715,354000000*(1.642074^(MIN($E1364,123)-117)))*1,0))</f>
        <v>48689169</v>
      </c>
      <c r="W1364" s="6">
        <f>$E1364+15</f>
        <v>128</v>
      </c>
      <c r="X1364" s="7">
        <f>IF($J1364=0,0,ROUND(MAX($J1364*1.4*1.5*1.6*1.6*2.2*2.715*2.6,3540000000*(1.579646^(MIN($E1364,123)-117)))*1,0))</f>
        <v>568544122</v>
      </c>
      <c r="Y1364" s="4">
        <f>$E1364+17</f>
        <v>130</v>
      </c>
      <c r="Z1364" s="8">
        <f>IF($J1364=0,0,ROUND(MAX($J1364*1.4*1.5*1.6*1.6*2.2*2.715*2.6*1.4,6020000000*(1.651178^(MIN($E1364,123)-117)))*1,0))</f>
        <v>809880453</v>
      </c>
      <c r="AA1364" s="6">
        <f>$E1364+19</f>
        <v>132</v>
      </c>
      <c r="AB1364" s="7">
        <f>IF($J1364=0,0,ROUND(MAX($J1364*1.4*1.5*1.6*1.6*2.2*2.715*2.6*1.4*1.4,8430000000*(1.651435^(MIN($E1364,123)-117)))*1,0))</f>
        <v>1133395897</v>
      </c>
      <c r="AC1364" s="4">
        <f>$E1364+21</f>
        <v>134</v>
      </c>
      <c r="AD1364" s="8">
        <f>IF($J1364=0,0,ROUND(MAX($J1364*1.4*1.5*1.6*1.6*2.2*2.715*2.6*1.4*1.4*1.5,12600000000*(1.652953^(MIN($E1364,123)-117)))*1,0))</f>
        <v>1687829312</v>
      </c>
      <c r="AE1364" s="6">
        <f>$E1364+24</f>
        <v>137</v>
      </c>
      <c r="AF1364" s="7">
        <f>IF($J1364=0,0,ROUND(MAX($J1364*1.4*1.5*1.6*1.6*2.2*2.715*2.6*1.4*1.4*1.5*1.5,18900000000*(1.65331^(MIN($E1364,123)-117)))*1,0))</f>
        <v>2529557954</v>
      </c>
      <c r="AG1364" s="4">
        <f>$E1364+27</f>
        <v>140</v>
      </c>
      <c r="AH1364" s="8">
        <f>IF($J1364=0,0,ROUND(MAX($J1364*1.4*1.5*1.6*1.6*2.2*2.715*2.6*1.4*1.4*1.5*1.5*3.2,60500000000*(1.654288^(MIN($E1364,123)-117)))*1,0))</f>
        <v>8078131097</v>
      </c>
    </row>
    <row r="1365" ht="27.75" customHeight="1" spans="1:34" x14ac:dyDescent="0.25">
      <c r="A1365" s="3">
        <v>1375</v>
      </c>
      <c r="B1365" s="3" t="s">
        <v>63</v>
      </c>
      <c r="C1365" s="3" t="s">
        <v>1042</v>
      </c>
      <c r="D1365" s="3" t="s">
        <v>64</v>
      </c>
      <c r="E1365" s="3">
        <v>113</v>
      </c>
      <c r="F1365" s="3" t="s">
        <v>65</v>
      </c>
      <c r="G1365" s="3" t="s">
        <v>1043</v>
      </c>
      <c r="H1365" s="3">
        <v>28</v>
      </c>
      <c r="I1365" s="4">
        <v>113</v>
      </c>
      <c r="J1365" s="5">
        <v>167000</v>
      </c>
      <c r="K1365" s="6">
        <f>$E1365+1</f>
        <v>114</v>
      </c>
      <c r="L1365" s="7">
        <f>IF($J1365=0,0,ROUND(MAX($J1365*1.4,1620000*(1.497923^(MIN($E1365,123)-117)))*1,0))</f>
        <v>321779</v>
      </c>
      <c r="M1365" s="4">
        <f>$E1365+2</f>
        <v>115</v>
      </c>
      <c r="N1365" s="8">
        <f>IF($J1365=0,0,ROUND(MAX($J1365*1.4*1.5,2190000*(1.580994^(MIN($E1365,123)-117)))*1,0))</f>
        <v>350700</v>
      </c>
      <c r="O1365" s="6">
        <f>$E1365+4</f>
        <v>117</v>
      </c>
      <c r="P1365" s="7">
        <f>IF($J1365=0,0,ROUND(MAX($J1365*1.4*1.5*1.6,3500000*(1.57975^(MIN($E1365,123)-117)))*1,0))</f>
        <v>561972</v>
      </c>
      <c r="Q1365" s="4">
        <f>$E1365+6</f>
        <v>119</v>
      </c>
      <c r="R1365" s="8">
        <f>IF($J1365=0,0,ROUND(MAX($J1365*1.4*1.5*1.6*1.6,13100000*(1.429962^(MIN($E1365,123)-117)))*1,0))</f>
        <v>3133093</v>
      </c>
      <c r="S1365" s="6">
        <f>$E1365+8</f>
        <v>121</v>
      </c>
      <c r="T1365" s="7">
        <f>IF($J1365=0,0,ROUND(MAX($J1365*1.4*1.5*1.6*1.6*2.2,42600000*(1.576904^(MIN($E1365,123)-117)))*1,0))</f>
        <v>6889514</v>
      </c>
      <c r="U1365" s="4">
        <f>$E1365+11</f>
        <v>124</v>
      </c>
      <c r="V1365" s="8">
        <f>IF($J1365=0,0,ROUND(MAX($J1365*1.4*1.5*1.6*1.6*2.2*2.715,354000000*(1.642074^(MIN($E1365,123)-117)))*1,0))</f>
        <v>48689169</v>
      </c>
      <c r="W1365" s="6">
        <f>$E1365+15</f>
        <v>128</v>
      </c>
      <c r="X1365" s="7">
        <f>IF($J1365=0,0,ROUND(MAX($J1365*1.4*1.5*1.6*1.6*2.2*2.715*2.6,3540000000*(1.579646^(MIN($E1365,123)-117)))*1,0))</f>
        <v>568544122</v>
      </c>
      <c r="Y1365" s="4">
        <f>$E1365+17</f>
        <v>130</v>
      </c>
      <c r="Z1365" s="8">
        <f>IF($J1365=0,0,ROUND(MAX($J1365*1.4*1.5*1.6*1.6*2.2*2.715*2.6*1.4,6020000000*(1.651178^(MIN($E1365,123)-117)))*1,0))</f>
        <v>809880453</v>
      </c>
      <c r="AA1365" s="6">
        <f>$E1365+19</f>
        <v>132</v>
      </c>
      <c r="AB1365" s="7">
        <f>IF($J1365=0,0,ROUND(MAX($J1365*1.4*1.5*1.6*1.6*2.2*2.715*2.6*1.4*1.4,8430000000*(1.651435^(MIN($E1365,123)-117)))*1,0))</f>
        <v>1133395897</v>
      </c>
      <c r="AC1365" s="4">
        <f>$E1365+21</f>
        <v>134</v>
      </c>
      <c r="AD1365" s="8">
        <f>IF($J1365=0,0,ROUND(MAX($J1365*1.4*1.5*1.6*1.6*2.2*2.715*2.6*1.4*1.4*1.5,12600000000*(1.652953^(MIN($E1365,123)-117)))*1,0))</f>
        <v>1687829312</v>
      </c>
      <c r="AE1365" s="6">
        <f>$E1365+24</f>
        <v>137</v>
      </c>
      <c r="AF1365" s="7">
        <f>IF($J1365=0,0,ROUND(MAX($J1365*1.4*1.5*1.6*1.6*2.2*2.715*2.6*1.4*1.4*1.5*1.5,18900000000*(1.65331^(MIN($E1365,123)-117)))*1,0))</f>
        <v>2529557954</v>
      </c>
      <c r="AG1365" s="4">
        <f>$E1365+27</f>
        <v>140</v>
      </c>
      <c r="AH1365" s="8">
        <f>IF($J1365=0,0,ROUND(MAX($J1365*1.4*1.5*1.6*1.6*2.2*2.715*2.6*1.4*1.4*1.5*1.5*3.2,60500000000*(1.654288^(MIN($E1365,123)-117)))*1,0))</f>
        <v>8078131097</v>
      </c>
    </row>
    <row r="1366" ht="27.75" customHeight="1" spans="1:34" x14ac:dyDescent="0.25">
      <c r="A1366" s="3">
        <v>1376</v>
      </c>
      <c r="B1366" s="3" t="s">
        <v>28</v>
      </c>
      <c r="C1366" s="3" t="s">
        <v>1042</v>
      </c>
      <c r="D1366" s="3" t="s">
        <v>29</v>
      </c>
      <c r="E1366" s="3">
        <v>114</v>
      </c>
      <c r="F1366" s="3" t="s">
        <v>30</v>
      </c>
      <c r="G1366" s="3" t="s">
        <v>1043</v>
      </c>
      <c r="H1366" s="3">
        <v>29</v>
      </c>
      <c r="I1366" s="4">
        <v>114</v>
      </c>
      <c r="J1366" s="5">
        <v>350000</v>
      </c>
      <c r="K1366" s="6">
        <f>$E1366+1</f>
        <v>115</v>
      </c>
      <c r="L1366" s="7">
        <f>IF($J1366=0,0,ROUND(MAX($J1366*1.4,1620000*(1.497923^(MIN($E1366,123)-117)))*1,0))</f>
        <v>490000</v>
      </c>
      <c r="M1366" s="4">
        <f>$E1366+2</f>
        <v>116</v>
      </c>
      <c r="N1366" s="8">
        <f>IF($J1366=0,0,ROUND(MAX($J1366*1.4*1.5,2190000*(1.580994^(MIN($E1366,123)-117)))*1,0))</f>
        <v>735000</v>
      </c>
      <c r="O1366" s="6">
        <f>$E1366+4</f>
        <v>118</v>
      </c>
      <c r="P1366" s="7">
        <f>IF($J1366=0,0,ROUND(MAX($J1366*1.4*1.5*1.6,3500000*(1.57975^(MIN($E1366,123)-117)))*1,0))</f>
        <v>1176000</v>
      </c>
      <c r="Q1366" s="4">
        <f>$E1366+6</f>
        <v>120</v>
      </c>
      <c r="R1366" s="8">
        <f>IF($J1366=0,0,ROUND(MAX($J1366*1.4*1.5*1.6*1.6,13100000*(1.429962^(MIN($E1366,123)-117)))*1,0))</f>
        <v>4480204</v>
      </c>
      <c r="S1366" s="6">
        <f>$E1366+8</f>
        <v>122</v>
      </c>
      <c r="T1366" s="7">
        <f>IF($J1366=0,0,ROUND(MAX($J1366*1.4*1.5*1.6*1.6*2.2,42600000*(1.576904^(MIN($E1366,123)-117)))*1,0))</f>
        <v>10864102</v>
      </c>
      <c r="U1366" s="4">
        <f>$E1366+11</f>
        <v>125</v>
      </c>
      <c r="V1366" s="8">
        <f>IF($J1366=0,0,ROUND(MAX($J1366*1.4*1.5*1.6*1.6*2.2*2.715,354000000*(1.642074^(MIN($E1366,123)-117)))*1,0))</f>
        <v>79951219</v>
      </c>
      <c r="W1366" s="6">
        <f>$E1366+15</f>
        <v>129</v>
      </c>
      <c r="X1366" s="7">
        <f>IF($J1366=0,0,ROUND(MAX($J1366*1.4*1.5*1.6*1.6*2.2*2.715*2.6,3540000000*(1.579646^(MIN($E1366,123)-117)))*1,0))</f>
        <v>898098448</v>
      </c>
      <c r="Y1366" s="4">
        <f>$E1366+17</f>
        <v>131</v>
      </c>
      <c r="Z1366" s="8">
        <f>IF($J1366=0,0,ROUND(MAX($J1366*1.4*1.5*1.6*1.6*2.2*2.715*2.6*1.4,6020000000*(1.651178^(MIN($E1366,123)-117)))*1,0))</f>
        <v>1337256787</v>
      </c>
      <c r="AA1366" s="6">
        <f>$E1366+19</f>
        <v>133</v>
      </c>
      <c r="AB1366" s="7">
        <f>IF($J1366=0,0,ROUND(MAX($J1366*1.4*1.5*1.6*1.6*2.2*2.715*2.6*1.4*1.4,8430000000*(1.651435^(MIN($E1366,123)-117)))*1,0))</f>
        <v>1871729653</v>
      </c>
      <c r="AC1366" s="4">
        <f>$E1366+21</f>
        <v>135</v>
      </c>
      <c r="AD1366" s="8">
        <f>IF($J1366=0,0,ROUND(MAX($J1366*1.4*1.5*1.6*1.6*2.2*2.715*2.6*1.4*1.4*1.5,12600000000*(1.652953^(MIN($E1366,123)-117)))*1,0))</f>
        <v>2789902525</v>
      </c>
      <c r="AE1366" s="6">
        <f>$E1366+24</f>
        <v>138</v>
      </c>
      <c r="AF1366" s="7">
        <f>IF($J1366=0,0,ROUND(MAX($J1366*1.4*1.5*1.6*1.6*2.2*2.715*2.6*1.4*1.4*1.5*1.5,18900000000*(1.65331^(MIN($E1366,123)-117)))*1,0))</f>
        <v>4182143461</v>
      </c>
      <c r="AG1366" s="4">
        <f>$E1366+27</f>
        <v>141</v>
      </c>
      <c r="AH1366" s="8">
        <f>IF($J1366=0,0,ROUND(MAX($J1366*1.4*1.5*1.6*1.6*2.2*2.715*2.6*1.4*1.4*1.5*1.5*3.2,60500000000*(1.654288^(MIN($E1366,123)-117)))*1,0))</f>
        <v>13363555336</v>
      </c>
    </row>
    <row r="1367" ht="27.75" customHeight="1" spans="1:34" x14ac:dyDescent="0.25">
      <c r="A1367" s="3">
        <v>1377</v>
      </c>
      <c r="B1367" s="3" t="s">
        <v>41</v>
      </c>
      <c r="C1367" s="3" t="s">
        <v>1042</v>
      </c>
      <c r="D1367" s="3" t="s">
        <v>29</v>
      </c>
      <c r="E1367" s="3">
        <v>114</v>
      </c>
      <c r="F1367" s="3" t="s">
        <v>42</v>
      </c>
      <c r="G1367" s="3" t="s">
        <v>1043</v>
      </c>
      <c r="H1367" s="3">
        <v>29</v>
      </c>
      <c r="I1367" s="4">
        <v>114</v>
      </c>
      <c r="J1367" s="5">
        <v>347000</v>
      </c>
      <c r="K1367" s="6">
        <f>$E1367+1</f>
        <v>115</v>
      </c>
      <c r="L1367" s="7">
        <f>IF($J1367=0,0,ROUND(MAX($J1367*1.4,1620000*(1.497923^(MIN($E1367,123)-117)))*1,0))</f>
        <v>485800</v>
      </c>
      <c r="M1367" s="4">
        <f>$E1367+2</f>
        <v>116</v>
      </c>
      <c r="N1367" s="8">
        <f>IF($J1367=0,0,ROUND(MAX($J1367*1.4*1.5,2190000*(1.580994^(MIN($E1367,123)-117)))*1,0))</f>
        <v>728700</v>
      </c>
      <c r="O1367" s="6">
        <f>$E1367+4</f>
        <v>118</v>
      </c>
      <c r="P1367" s="7">
        <f>IF($J1367=0,0,ROUND(MAX($J1367*1.4*1.5*1.6,3500000*(1.57975^(MIN($E1367,123)-117)))*1,0))</f>
        <v>1165920</v>
      </c>
      <c r="Q1367" s="4">
        <f>$E1367+6</f>
        <v>120</v>
      </c>
      <c r="R1367" s="8">
        <f>IF($J1367=0,0,ROUND(MAX($J1367*1.4*1.5*1.6*1.6,13100000*(1.429962^(MIN($E1367,123)-117)))*1,0))</f>
        <v>4480204</v>
      </c>
      <c r="S1367" s="6">
        <f>$E1367+8</f>
        <v>122</v>
      </c>
      <c r="T1367" s="7">
        <f>IF($J1367=0,0,ROUND(MAX($J1367*1.4*1.5*1.6*1.6*2.2,42600000*(1.576904^(MIN($E1367,123)-117)))*1,0))</f>
        <v>10864102</v>
      </c>
      <c r="U1367" s="4">
        <f>$E1367+11</f>
        <v>125</v>
      </c>
      <c r="V1367" s="8">
        <f>IF($J1367=0,0,ROUND(MAX($J1367*1.4*1.5*1.6*1.6*2.2*2.715,354000000*(1.642074^(MIN($E1367,123)-117)))*1,0))</f>
        <v>79951219</v>
      </c>
      <c r="W1367" s="6">
        <f>$E1367+15</f>
        <v>129</v>
      </c>
      <c r="X1367" s="7">
        <f>IF($J1367=0,0,ROUND(MAX($J1367*1.4*1.5*1.6*1.6*2.2*2.715*2.6,3540000000*(1.579646^(MIN($E1367,123)-117)))*1,0))</f>
        <v>898098448</v>
      </c>
      <c r="Y1367" s="4">
        <f>$E1367+17</f>
        <v>131</v>
      </c>
      <c r="Z1367" s="8">
        <f>IF($J1367=0,0,ROUND(MAX($J1367*1.4*1.5*1.6*1.6*2.2*2.715*2.6*1.4,6020000000*(1.651178^(MIN($E1367,123)-117)))*1,0))</f>
        <v>1337256787</v>
      </c>
      <c r="AA1367" s="6">
        <f>$E1367+19</f>
        <v>133</v>
      </c>
      <c r="AB1367" s="7">
        <f>IF($J1367=0,0,ROUND(MAX($J1367*1.4*1.5*1.6*1.6*2.2*2.715*2.6*1.4*1.4,8430000000*(1.651435^(MIN($E1367,123)-117)))*1,0))</f>
        <v>1871729653</v>
      </c>
      <c r="AC1367" s="4">
        <f>$E1367+21</f>
        <v>135</v>
      </c>
      <c r="AD1367" s="8">
        <f>IF($J1367=0,0,ROUND(MAX($J1367*1.4*1.5*1.6*1.6*2.2*2.715*2.6*1.4*1.4*1.5,12600000000*(1.652953^(MIN($E1367,123)-117)))*1,0))</f>
        <v>2789902525</v>
      </c>
      <c r="AE1367" s="6">
        <f>$E1367+24</f>
        <v>138</v>
      </c>
      <c r="AF1367" s="7">
        <f>IF($J1367=0,0,ROUND(MAX($J1367*1.4*1.5*1.6*1.6*2.2*2.715*2.6*1.4*1.4*1.5*1.5,18900000000*(1.65331^(MIN($E1367,123)-117)))*1,0))</f>
        <v>4182143461</v>
      </c>
      <c r="AG1367" s="4">
        <f>$E1367+27</f>
        <v>141</v>
      </c>
      <c r="AH1367" s="8">
        <f>IF($J1367=0,0,ROUND(MAX($J1367*1.4*1.5*1.6*1.6*2.2*2.715*2.6*1.4*1.4*1.5*1.5*3.2,60500000000*(1.654288^(MIN($E1367,123)-117)))*1,0))</f>
        <v>13363555336</v>
      </c>
    </row>
    <row r="1368" ht="27.75" customHeight="1" spans="1:34" x14ac:dyDescent="0.25">
      <c r="A1368" s="3">
        <v>1378</v>
      </c>
      <c r="B1368" s="3" t="s">
        <v>39</v>
      </c>
      <c r="C1368" s="3" t="s">
        <v>1042</v>
      </c>
      <c r="D1368" s="3" t="s">
        <v>40</v>
      </c>
      <c r="E1368" s="3">
        <v>114</v>
      </c>
      <c r="F1368" s="3" t="s">
        <v>34</v>
      </c>
      <c r="G1368" s="3" t="s">
        <v>1043</v>
      </c>
      <c r="H1368" s="3">
        <v>29</v>
      </c>
      <c r="I1368" s="4">
        <v>114</v>
      </c>
      <c r="J1368" s="5">
        <v>398000</v>
      </c>
      <c r="K1368" s="6">
        <f>$E1368+1</f>
        <v>115</v>
      </c>
      <c r="L1368" s="7">
        <f>IF($J1368=0,0,ROUND(MAX($J1368*1.4,1620000*(1.497923^(MIN($E1368,123)-117)))*1,0))</f>
        <v>557200</v>
      </c>
      <c r="M1368" s="4">
        <f>$E1368+2</f>
        <v>116</v>
      </c>
      <c r="N1368" s="8">
        <f>IF($J1368=0,0,ROUND(MAX($J1368*1.4*1.5,2190000*(1.580994^(MIN($E1368,123)-117)))*1,0))</f>
        <v>835800</v>
      </c>
      <c r="O1368" s="6">
        <f>$E1368+4</f>
        <v>118</v>
      </c>
      <c r="P1368" s="7">
        <f>IF($J1368=0,0,ROUND(MAX($J1368*1.4*1.5*1.6,3500000*(1.57975^(MIN($E1368,123)-117)))*1,0))</f>
        <v>1337280</v>
      </c>
      <c r="Q1368" s="4">
        <f>$E1368+6</f>
        <v>120</v>
      </c>
      <c r="R1368" s="8">
        <f>IF($J1368=0,0,ROUND(MAX($J1368*1.4*1.5*1.6*1.6,13100000*(1.429962^(MIN($E1368,123)-117)))*1,0))</f>
        <v>4480204</v>
      </c>
      <c r="S1368" s="6">
        <f>$E1368+8</f>
        <v>122</v>
      </c>
      <c r="T1368" s="7">
        <f>IF($J1368=0,0,ROUND(MAX($J1368*1.4*1.5*1.6*1.6*2.2,42600000*(1.576904^(MIN($E1368,123)-117)))*1,0))</f>
        <v>10864102</v>
      </c>
      <c r="U1368" s="4">
        <f>$E1368+11</f>
        <v>125</v>
      </c>
      <c r="V1368" s="8">
        <f>IF($J1368=0,0,ROUND(MAX($J1368*1.4*1.5*1.6*1.6*2.2*2.715,354000000*(1.642074^(MIN($E1368,123)-117)))*1,0))</f>
        <v>79951219</v>
      </c>
      <c r="W1368" s="6">
        <f>$E1368+15</f>
        <v>129</v>
      </c>
      <c r="X1368" s="7">
        <f>IF($J1368=0,0,ROUND(MAX($J1368*1.4*1.5*1.6*1.6*2.2*2.715*2.6,3540000000*(1.579646^(MIN($E1368,123)-117)))*1,0))</f>
        <v>898098448</v>
      </c>
      <c r="Y1368" s="4">
        <f>$E1368+17</f>
        <v>131</v>
      </c>
      <c r="Z1368" s="8">
        <f>IF($J1368=0,0,ROUND(MAX($J1368*1.4*1.5*1.6*1.6*2.2*2.715*2.6*1.4,6020000000*(1.651178^(MIN($E1368,123)-117)))*1,0))</f>
        <v>1337256787</v>
      </c>
      <c r="AA1368" s="6">
        <f>$E1368+19</f>
        <v>133</v>
      </c>
      <c r="AB1368" s="7">
        <f>IF($J1368=0,0,ROUND(MAX($J1368*1.4*1.5*1.6*1.6*2.2*2.715*2.6*1.4*1.4,8430000000*(1.651435^(MIN($E1368,123)-117)))*1,0))</f>
        <v>1871729653</v>
      </c>
      <c r="AC1368" s="4">
        <f>$E1368+21</f>
        <v>135</v>
      </c>
      <c r="AD1368" s="8">
        <f>IF($J1368=0,0,ROUND(MAX($J1368*1.4*1.5*1.6*1.6*2.2*2.715*2.6*1.4*1.4*1.5,12600000000*(1.652953^(MIN($E1368,123)-117)))*1,0))</f>
        <v>2789902525</v>
      </c>
      <c r="AE1368" s="6">
        <f>$E1368+24</f>
        <v>138</v>
      </c>
      <c r="AF1368" s="7">
        <f>IF($J1368=0,0,ROUND(MAX($J1368*1.4*1.5*1.6*1.6*2.2*2.715*2.6*1.4*1.4*1.5*1.5,18900000000*(1.65331^(MIN($E1368,123)-117)))*1,0))</f>
        <v>4182143461</v>
      </c>
      <c r="AG1368" s="4">
        <f>$E1368+27</f>
        <v>141</v>
      </c>
      <c r="AH1368" s="8">
        <f>IF($J1368=0,0,ROUND(MAX($J1368*1.4*1.5*1.6*1.6*2.2*2.715*2.6*1.4*1.4*1.5*1.5*3.2,60500000000*(1.654288^(MIN($E1368,123)-117)))*1,0))</f>
        <v>13363555336</v>
      </c>
    </row>
    <row r="1369" ht="27.75" customHeight="1" spans="1:34" x14ac:dyDescent="0.25">
      <c r="A1369" s="3">
        <v>1379</v>
      </c>
      <c r="B1369" s="3" t="s">
        <v>541</v>
      </c>
      <c r="C1369" s="3" t="s">
        <v>1042</v>
      </c>
      <c r="D1369" s="3" t="s">
        <v>29</v>
      </c>
      <c r="E1369" s="3">
        <v>112</v>
      </c>
      <c r="F1369" s="3" t="s">
        <v>54</v>
      </c>
      <c r="G1369" s="3" t="s">
        <v>472</v>
      </c>
      <c r="H1369" s="3">
        <v>28</v>
      </c>
      <c r="I1369" s="4">
        <v>112</v>
      </c>
      <c r="J1369" s="5">
        <v>225000</v>
      </c>
      <c r="K1369" s="6">
        <f>$E1369+1</f>
        <v>113</v>
      </c>
      <c r="L1369" s="7">
        <f>IF($J1369=0,0,ROUND(MAX($J1369*1.4,1620000*(1.497923^(MIN($E1369,123)-117)))*1,0))</f>
        <v>315000</v>
      </c>
      <c r="M1369" s="4">
        <f>$E1369+2</f>
        <v>114</v>
      </c>
      <c r="N1369" s="8">
        <f>IF($J1369=0,0,ROUND(MAX($J1369*1.4*1.5,2190000*(1.580994^(MIN($E1369,123)-117)))*1,0))</f>
        <v>472500</v>
      </c>
      <c r="O1369" s="6">
        <f>$E1369+4</f>
        <v>116</v>
      </c>
      <c r="P1369" s="7">
        <f>IF($J1369=0,0,ROUND(MAX($J1369*1.4*1.5*1.6,3500000*(1.57975^(MIN($E1369,123)-117)))*1,0))</f>
        <v>756000</v>
      </c>
      <c r="Q1369" s="4">
        <f>$E1369+6</f>
        <v>118</v>
      </c>
      <c r="R1369" s="8">
        <f>IF($J1369=0,0,ROUND(MAX($J1369*1.4*1.5*1.6*1.6,13100000*(1.429962^(MIN($E1369,123)-117)))*1,0))</f>
        <v>2191032</v>
      </c>
      <c r="S1369" s="6">
        <f>$E1369+8</f>
        <v>120</v>
      </c>
      <c r="T1369" s="7">
        <f>IF($J1369=0,0,ROUND(MAX($J1369*1.4*1.5*1.6*1.6*2.2,42600000*(1.576904^(MIN($E1369,123)-117)))*1,0))</f>
        <v>4369013</v>
      </c>
      <c r="U1369" s="4">
        <f>$E1369+11</f>
        <v>123</v>
      </c>
      <c r="V1369" s="8">
        <f>IF($J1369=0,0,ROUND(MAX($J1369*1.4*1.5*1.6*1.6*2.2*2.715,354000000*(1.642074^(MIN($E1369,123)-117)))*1,0))</f>
        <v>29651020</v>
      </c>
      <c r="W1369" s="6">
        <f>$E1369+15</f>
        <v>127</v>
      </c>
      <c r="X1369" s="7">
        <f>IF($J1369=0,0,ROUND(MAX($J1369*1.4*1.5*1.6*1.6*2.2*2.715*2.6,3540000000*(1.579646^(MIN($E1369,123)-117)))*1,0))</f>
        <v>359918692</v>
      </c>
      <c r="Y1369" s="4">
        <f>$E1369+17</f>
        <v>129</v>
      </c>
      <c r="Z1369" s="8">
        <f>IF($J1369=0,0,ROUND(MAX($J1369*1.4*1.5*1.6*1.6*2.2*2.715*2.6*1.4,6020000000*(1.651178^(MIN($E1369,123)-117)))*1,0))</f>
        <v>490486461</v>
      </c>
      <c r="AA1369" s="6">
        <f>$E1369+19</f>
        <v>131</v>
      </c>
      <c r="AB1369" s="7">
        <f>IF($J1369=0,0,ROUND(MAX($J1369*1.4*1.5*1.6*1.6*2.2*2.715*2.6*1.4*1.4,8430000000*(1.651435^(MIN($E1369,123)-117)))*1,0))</f>
        <v>686309723</v>
      </c>
      <c r="AC1369" s="4">
        <f>$E1369+21</f>
        <v>133</v>
      </c>
      <c r="AD1369" s="8">
        <f>IF($J1369=0,0,ROUND(MAX($J1369*1.4*1.5*1.6*1.6*2.2*2.715*2.6*1.4*1.4*1.5,12600000000*(1.652953^(MIN($E1369,123)-117)))*1,0))</f>
        <v>1021099398</v>
      </c>
      <c r="AE1369" s="6">
        <f>$E1369+24</f>
        <v>136</v>
      </c>
      <c r="AF1369" s="7">
        <f>IF($J1369=0,0,ROUND(MAX($J1369*1.4*1.5*1.6*1.6*2.2*2.715*2.6*1.4*1.4*1.5*1.5,18900000000*(1.65331^(MIN($E1369,123)-117)))*1,0))</f>
        <v>1529996162</v>
      </c>
      <c r="AG1369" s="4">
        <f>$E1369+27</f>
        <v>139</v>
      </c>
      <c r="AH1369" s="8">
        <f>IF($J1369=0,0,ROUND(MAX($J1369*1.4*1.5*1.6*1.6*2.2*2.715*2.6*1.4*1.4*1.5*1.5*3.2,60500000000*(1.654288^(MIN($E1369,123)-117)))*1,0))</f>
        <v>4883146766</v>
      </c>
    </row>
    <row r="1370" ht="27.75" customHeight="1" spans="1:34" x14ac:dyDescent="0.25">
      <c r="A1370" s="3">
        <v>1380</v>
      </c>
      <c r="B1370" s="3" t="s">
        <v>539</v>
      </c>
      <c r="C1370" s="3" t="s">
        <v>1042</v>
      </c>
      <c r="D1370" s="3" t="s">
        <v>29</v>
      </c>
      <c r="E1370" s="3">
        <v>112</v>
      </c>
      <c r="F1370" s="3" t="s">
        <v>34</v>
      </c>
      <c r="G1370" s="3" t="s">
        <v>450</v>
      </c>
      <c r="H1370" s="3">
        <v>27</v>
      </c>
      <c r="I1370" s="4">
        <v>112</v>
      </c>
      <c r="J1370" s="5">
        <v>84700</v>
      </c>
      <c r="K1370" s="6">
        <f>$E1370+1</f>
        <v>113</v>
      </c>
      <c r="L1370" s="7">
        <f>IF($J1370=0,0,ROUND(MAX($J1370*1.4,1620000*(1.497923^(MIN($E1370,123)-117)))*1,0))</f>
        <v>214816</v>
      </c>
      <c r="M1370" s="4">
        <f>$E1370+2</f>
        <v>114</v>
      </c>
      <c r="N1370" s="8">
        <f>IF($J1370=0,0,ROUND(MAX($J1370*1.4*1.5,2190000*(1.580994^(MIN($E1370,123)-117)))*1,0))</f>
        <v>221714</v>
      </c>
      <c r="O1370" s="6">
        <f>$E1370+4</f>
        <v>116</v>
      </c>
      <c r="P1370" s="7">
        <f>IF($J1370=0,0,ROUND(MAX($J1370*1.4*1.5*1.6,3500000*(1.57975^(MIN($E1370,123)-117)))*1,0))</f>
        <v>355735</v>
      </c>
      <c r="Q1370" s="4">
        <f>$E1370+6</f>
        <v>118</v>
      </c>
      <c r="R1370" s="8">
        <f>IF($J1370=0,0,ROUND(MAX($J1370*1.4*1.5*1.6*1.6,13100000*(1.429962^(MIN($E1370,123)-117)))*1,0))</f>
        <v>2191032</v>
      </c>
      <c r="S1370" s="6">
        <f>$E1370+8</f>
        <v>120</v>
      </c>
      <c r="T1370" s="7">
        <f>IF($J1370=0,0,ROUND(MAX($J1370*1.4*1.5*1.6*1.6*2.2,42600000*(1.576904^(MIN($E1370,123)-117)))*1,0))</f>
        <v>4369013</v>
      </c>
      <c r="U1370" s="4">
        <f>$E1370+11</f>
        <v>123</v>
      </c>
      <c r="V1370" s="8">
        <f>IF($J1370=0,0,ROUND(MAX($J1370*1.4*1.5*1.6*1.6*2.2*2.715,354000000*(1.642074^(MIN($E1370,123)-117)))*1,0))</f>
        <v>29651020</v>
      </c>
      <c r="W1370" s="6">
        <f>$E1370+15</f>
        <v>127</v>
      </c>
      <c r="X1370" s="7">
        <f>IF($J1370=0,0,ROUND(MAX($J1370*1.4*1.5*1.6*1.6*2.2*2.715*2.6,3540000000*(1.579646^(MIN($E1370,123)-117)))*1,0))</f>
        <v>359918692</v>
      </c>
      <c r="Y1370" s="4">
        <f>$E1370+17</f>
        <v>129</v>
      </c>
      <c r="Z1370" s="8">
        <f>IF($J1370=0,0,ROUND(MAX($J1370*1.4*1.5*1.6*1.6*2.2*2.715*2.6*1.4,6020000000*(1.651178^(MIN($E1370,123)-117)))*1,0))</f>
        <v>490486461</v>
      </c>
      <c r="AA1370" s="6">
        <f>$E1370+19</f>
        <v>131</v>
      </c>
      <c r="AB1370" s="7">
        <f>IF($J1370=0,0,ROUND(MAX($J1370*1.4*1.5*1.6*1.6*2.2*2.715*2.6*1.4*1.4,8430000000*(1.651435^(MIN($E1370,123)-117)))*1,0))</f>
        <v>686309723</v>
      </c>
      <c r="AC1370" s="4">
        <f>$E1370+21</f>
        <v>133</v>
      </c>
      <c r="AD1370" s="8">
        <f>IF($J1370=0,0,ROUND(MAX($J1370*1.4*1.5*1.6*1.6*2.2*2.715*2.6*1.4*1.4*1.5,12600000000*(1.652953^(MIN($E1370,123)-117)))*1,0))</f>
        <v>1021099398</v>
      </c>
      <c r="AE1370" s="6">
        <f>$E1370+24</f>
        <v>136</v>
      </c>
      <c r="AF1370" s="7">
        <f>IF($J1370=0,0,ROUND(MAX($J1370*1.4*1.5*1.6*1.6*2.2*2.715*2.6*1.4*1.4*1.5*1.5,18900000000*(1.65331^(MIN($E1370,123)-117)))*1,0))</f>
        <v>1529996162</v>
      </c>
      <c r="AG1370" s="4">
        <f>$E1370+27</f>
        <v>139</v>
      </c>
      <c r="AH1370" s="8">
        <f>IF($J1370=0,0,ROUND(MAX($J1370*1.4*1.5*1.6*1.6*2.2*2.715*2.6*1.4*1.4*1.5*1.5*3.2,60500000000*(1.654288^(MIN($E1370,123)-117)))*1,0))</f>
        <v>4883146766</v>
      </c>
    </row>
    <row r="1371" ht="27.75" customHeight="1" spans="1:34" x14ac:dyDescent="0.25">
      <c r="A1371" s="3">
        <v>1381</v>
      </c>
      <c r="B1371" s="3" t="s">
        <v>694</v>
      </c>
      <c r="C1371" s="3" t="s">
        <v>1042</v>
      </c>
      <c r="D1371" s="3" t="s">
        <v>102</v>
      </c>
      <c r="E1371" s="3">
        <v>112</v>
      </c>
      <c r="F1371" s="3" t="s">
        <v>71</v>
      </c>
      <c r="G1371" s="3" t="s">
        <v>270</v>
      </c>
      <c r="H1371" s="3">
        <v>27</v>
      </c>
      <c r="I1371" s="4">
        <v>112</v>
      </c>
      <c r="J1371" s="5">
        <v>132000</v>
      </c>
      <c r="K1371" s="6">
        <f>$E1371+1</f>
        <v>113</v>
      </c>
      <c r="L1371" s="7">
        <f>IF($J1371=0,0,ROUND(MAX($J1371*1.4,1620000*(1.497923^(MIN($E1371,123)-117)))*1,0))</f>
        <v>214816</v>
      </c>
      <c r="M1371" s="4">
        <f>$E1371+2</f>
        <v>114</v>
      </c>
      <c r="N1371" s="8">
        <f>IF($J1371=0,0,ROUND(MAX($J1371*1.4*1.5,2190000*(1.580994^(MIN($E1371,123)-117)))*1,0))</f>
        <v>277200</v>
      </c>
      <c r="O1371" s="6">
        <f>$E1371+4</f>
        <v>116</v>
      </c>
      <c r="P1371" s="7">
        <f>IF($J1371=0,0,ROUND(MAX($J1371*1.4*1.5*1.6,3500000*(1.57975^(MIN($E1371,123)-117)))*1,0))</f>
        <v>443520</v>
      </c>
      <c r="Q1371" s="4">
        <f>$E1371+6</f>
        <v>118</v>
      </c>
      <c r="R1371" s="8">
        <f>IF($J1371=0,0,ROUND(MAX($J1371*1.4*1.5*1.6*1.6,13100000*(1.429962^(MIN($E1371,123)-117)))*1,0))</f>
        <v>2191032</v>
      </c>
      <c r="S1371" s="6">
        <f>$E1371+8</f>
        <v>120</v>
      </c>
      <c r="T1371" s="7">
        <f>IF($J1371=0,0,ROUND(MAX($J1371*1.4*1.5*1.6*1.6*2.2,42600000*(1.576904^(MIN($E1371,123)-117)))*1,0))</f>
        <v>4369013</v>
      </c>
      <c r="U1371" s="4">
        <f>$E1371+11</f>
        <v>123</v>
      </c>
      <c r="V1371" s="8">
        <f>IF($J1371=0,0,ROUND(MAX($J1371*1.4*1.5*1.6*1.6*2.2*2.715,354000000*(1.642074^(MIN($E1371,123)-117)))*1,0))</f>
        <v>29651020</v>
      </c>
      <c r="W1371" s="6">
        <f>$E1371+15</f>
        <v>127</v>
      </c>
      <c r="X1371" s="7">
        <f>IF($J1371=0,0,ROUND(MAX($J1371*1.4*1.5*1.6*1.6*2.2*2.715*2.6,3540000000*(1.579646^(MIN($E1371,123)-117)))*1,0))</f>
        <v>359918692</v>
      </c>
      <c r="Y1371" s="4">
        <f>$E1371+17</f>
        <v>129</v>
      </c>
      <c r="Z1371" s="8">
        <f>IF($J1371=0,0,ROUND(MAX($J1371*1.4*1.5*1.6*1.6*2.2*2.715*2.6*1.4,6020000000*(1.651178^(MIN($E1371,123)-117)))*1,0))</f>
        <v>490486461</v>
      </c>
      <c r="AA1371" s="6">
        <f>$E1371+19</f>
        <v>131</v>
      </c>
      <c r="AB1371" s="7">
        <f>IF($J1371=0,0,ROUND(MAX($J1371*1.4*1.5*1.6*1.6*2.2*2.715*2.6*1.4*1.4,8430000000*(1.651435^(MIN($E1371,123)-117)))*1,0))</f>
        <v>686309723</v>
      </c>
      <c r="AC1371" s="4">
        <f>$E1371+21</f>
        <v>133</v>
      </c>
      <c r="AD1371" s="8">
        <f>IF($J1371=0,0,ROUND(MAX($J1371*1.4*1.5*1.6*1.6*2.2*2.715*2.6*1.4*1.4*1.5,12600000000*(1.652953^(MIN($E1371,123)-117)))*1,0))</f>
        <v>1021099398</v>
      </c>
      <c r="AE1371" s="6">
        <f>$E1371+24</f>
        <v>136</v>
      </c>
      <c r="AF1371" s="7">
        <f>IF($J1371=0,0,ROUND(MAX($J1371*1.4*1.5*1.6*1.6*2.2*2.715*2.6*1.4*1.4*1.5*1.5,18900000000*(1.65331^(MIN($E1371,123)-117)))*1,0))</f>
        <v>1529996162</v>
      </c>
      <c r="AG1371" s="4">
        <f>$E1371+27</f>
        <v>139</v>
      </c>
      <c r="AH1371" s="8">
        <f>IF($J1371=0,0,ROUND(MAX($J1371*1.4*1.5*1.6*1.6*2.2*2.715*2.6*1.4*1.4*1.5*1.5*3.2,60500000000*(1.654288^(MIN($E1371,123)-117)))*1,0))</f>
        <v>4883146766</v>
      </c>
    </row>
    <row r="1372" ht="27.75" customHeight="1" spans="1:34" x14ac:dyDescent="0.25">
      <c r="A1372" s="3">
        <v>1382</v>
      </c>
      <c r="B1372" s="3" t="s">
        <v>154</v>
      </c>
      <c r="C1372" s="3" t="s">
        <v>1042</v>
      </c>
      <c r="D1372" s="3" t="s">
        <v>45</v>
      </c>
      <c r="E1372" s="3">
        <v>112</v>
      </c>
      <c r="F1372" s="3" t="s">
        <v>34</v>
      </c>
      <c r="G1372" s="3" t="s">
        <v>1043</v>
      </c>
      <c r="H1372" s="3">
        <v>27</v>
      </c>
      <c r="I1372" s="4">
        <v>112</v>
      </c>
      <c r="J1372" s="5">
        <v>187000</v>
      </c>
      <c r="K1372" s="6">
        <f>$E1372+1</f>
        <v>113</v>
      </c>
      <c r="L1372" s="7">
        <f>IF($J1372=0,0,ROUND(MAX($J1372*1.4,1620000*(1.497923^(MIN($E1372,123)-117)))*1,0))</f>
        <v>261800</v>
      </c>
      <c r="M1372" s="4">
        <f>$E1372+2</f>
        <v>114</v>
      </c>
      <c r="N1372" s="8">
        <f>IF($J1372=0,0,ROUND(MAX($J1372*1.4*1.5,2190000*(1.580994^(MIN($E1372,123)-117)))*1,0))</f>
        <v>392700</v>
      </c>
      <c r="O1372" s="6">
        <f>$E1372+4</f>
        <v>116</v>
      </c>
      <c r="P1372" s="7">
        <f>IF($J1372=0,0,ROUND(MAX($J1372*1.4*1.5*1.6,3500000*(1.57975^(MIN($E1372,123)-117)))*1,0))</f>
        <v>628320</v>
      </c>
      <c r="Q1372" s="4">
        <f>$E1372+6</f>
        <v>118</v>
      </c>
      <c r="R1372" s="8">
        <f>IF($J1372=0,0,ROUND(MAX($J1372*1.4*1.5*1.6*1.6,13100000*(1.429962^(MIN($E1372,123)-117)))*1,0))</f>
        <v>2191032</v>
      </c>
      <c r="S1372" s="6">
        <f>$E1372+8</f>
        <v>120</v>
      </c>
      <c r="T1372" s="7">
        <f>IF($J1372=0,0,ROUND(MAX($J1372*1.4*1.5*1.6*1.6*2.2,42600000*(1.576904^(MIN($E1372,123)-117)))*1,0))</f>
        <v>4369013</v>
      </c>
      <c r="U1372" s="4">
        <f>$E1372+11</f>
        <v>123</v>
      </c>
      <c r="V1372" s="8">
        <f>IF($J1372=0,0,ROUND(MAX($J1372*1.4*1.5*1.6*1.6*2.2*2.715,354000000*(1.642074^(MIN($E1372,123)-117)))*1,0))</f>
        <v>29651020</v>
      </c>
      <c r="W1372" s="6">
        <f>$E1372+15</f>
        <v>127</v>
      </c>
      <c r="X1372" s="7">
        <f>IF($J1372=0,0,ROUND(MAX($J1372*1.4*1.5*1.6*1.6*2.2*2.715*2.6,3540000000*(1.579646^(MIN($E1372,123)-117)))*1,0))</f>
        <v>359918692</v>
      </c>
      <c r="Y1372" s="4">
        <f>$E1372+17</f>
        <v>129</v>
      </c>
      <c r="Z1372" s="8">
        <f>IF($J1372=0,0,ROUND(MAX($J1372*1.4*1.5*1.6*1.6*2.2*2.715*2.6*1.4,6020000000*(1.651178^(MIN($E1372,123)-117)))*1,0))</f>
        <v>490486461</v>
      </c>
      <c r="AA1372" s="6">
        <f>$E1372+19</f>
        <v>131</v>
      </c>
      <c r="AB1372" s="7">
        <f>IF($J1372=0,0,ROUND(MAX($J1372*1.4*1.5*1.6*1.6*2.2*2.715*2.6*1.4*1.4,8430000000*(1.651435^(MIN($E1372,123)-117)))*1,0))</f>
        <v>686309723</v>
      </c>
      <c r="AC1372" s="4">
        <f>$E1372+21</f>
        <v>133</v>
      </c>
      <c r="AD1372" s="8">
        <f>IF($J1372=0,0,ROUND(MAX($J1372*1.4*1.5*1.6*1.6*2.2*2.715*2.6*1.4*1.4*1.5,12600000000*(1.652953^(MIN($E1372,123)-117)))*1,0))</f>
        <v>1021099398</v>
      </c>
      <c r="AE1372" s="6">
        <f>$E1372+24</f>
        <v>136</v>
      </c>
      <c r="AF1372" s="7">
        <f>IF($J1372=0,0,ROUND(MAX($J1372*1.4*1.5*1.6*1.6*2.2*2.715*2.6*1.4*1.4*1.5*1.5,18900000000*(1.65331^(MIN($E1372,123)-117)))*1,0))</f>
        <v>1529996162</v>
      </c>
      <c r="AG1372" s="4">
        <f>$E1372+27</f>
        <v>139</v>
      </c>
      <c r="AH1372" s="8">
        <f>IF($J1372=0,0,ROUND(MAX($J1372*1.4*1.5*1.6*1.6*2.2*2.715*2.6*1.4*1.4*1.5*1.5*3.2,60500000000*(1.654288^(MIN($E1372,123)-117)))*1,0))</f>
        <v>4883146766</v>
      </c>
    </row>
    <row r="1373" ht="27.75" customHeight="1" spans="1:34" x14ac:dyDescent="0.25">
      <c r="A1373" s="3">
        <v>1383</v>
      </c>
      <c r="B1373" s="3" t="s">
        <v>245</v>
      </c>
      <c r="C1373" s="3" t="s">
        <v>1042</v>
      </c>
      <c r="D1373" s="3" t="s">
        <v>45</v>
      </c>
      <c r="E1373" s="3">
        <v>112</v>
      </c>
      <c r="F1373" s="3" t="s">
        <v>212</v>
      </c>
      <c r="G1373" s="3" t="s">
        <v>51</v>
      </c>
      <c r="H1373" s="3">
        <v>27</v>
      </c>
      <c r="I1373" s="4">
        <v>112</v>
      </c>
      <c r="J1373" s="5">
        <v>235000</v>
      </c>
      <c r="K1373" s="6">
        <f>$E1373+1</f>
        <v>113</v>
      </c>
      <c r="L1373" s="7">
        <f>IF($J1373=0,0,ROUND(MAX($J1373*1.4,1620000*(1.497923^(MIN($E1373,123)-117)))*1,0))</f>
        <v>329000</v>
      </c>
      <c r="M1373" s="4">
        <f>$E1373+2</f>
        <v>114</v>
      </c>
      <c r="N1373" s="8">
        <f>IF($J1373=0,0,ROUND(MAX($J1373*1.4*1.5,2190000*(1.580994^(MIN($E1373,123)-117)))*1,0))</f>
        <v>493500</v>
      </c>
      <c r="O1373" s="6">
        <f>$E1373+4</f>
        <v>116</v>
      </c>
      <c r="P1373" s="7">
        <f>IF($J1373=0,0,ROUND(MAX($J1373*1.4*1.5*1.6,3500000*(1.57975^(MIN($E1373,123)-117)))*1,0))</f>
        <v>789600</v>
      </c>
      <c r="Q1373" s="4">
        <f>$E1373+6</f>
        <v>118</v>
      </c>
      <c r="R1373" s="8">
        <f>IF($J1373=0,0,ROUND(MAX($J1373*1.4*1.5*1.6*1.6,13100000*(1.429962^(MIN($E1373,123)-117)))*1,0))</f>
        <v>2191032</v>
      </c>
      <c r="S1373" s="6">
        <f>$E1373+8</f>
        <v>120</v>
      </c>
      <c r="T1373" s="7">
        <f>IF($J1373=0,0,ROUND(MAX($J1373*1.4*1.5*1.6*1.6*2.2,42600000*(1.576904^(MIN($E1373,123)-117)))*1,0))</f>
        <v>4369013</v>
      </c>
      <c r="U1373" s="4">
        <f>$E1373+11</f>
        <v>123</v>
      </c>
      <c r="V1373" s="8">
        <f>IF($J1373=0,0,ROUND(MAX($J1373*1.4*1.5*1.6*1.6*2.2*2.715,354000000*(1.642074^(MIN($E1373,123)-117)))*1,0))</f>
        <v>29651020</v>
      </c>
      <c r="W1373" s="6">
        <f>$E1373+15</f>
        <v>127</v>
      </c>
      <c r="X1373" s="7">
        <f>IF($J1373=0,0,ROUND(MAX($J1373*1.4*1.5*1.6*1.6*2.2*2.715*2.6,3540000000*(1.579646^(MIN($E1373,123)-117)))*1,0))</f>
        <v>359918692</v>
      </c>
      <c r="Y1373" s="4">
        <f>$E1373+17</f>
        <v>129</v>
      </c>
      <c r="Z1373" s="8">
        <f>IF($J1373=0,0,ROUND(MAX($J1373*1.4*1.5*1.6*1.6*2.2*2.715*2.6*1.4,6020000000*(1.651178^(MIN($E1373,123)-117)))*1,0))</f>
        <v>490486461</v>
      </c>
      <c r="AA1373" s="6">
        <f>$E1373+19</f>
        <v>131</v>
      </c>
      <c r="AB1373" s="7">
        <f>IF($J1373=0,0,ROUND(MAX($J1373*1.4*1.5*1.6*1.6*2.2*2.715*2.6*1.4*1.4,8430000000*(1.651435^(MIN($E1373,123)-117)))*1,0))</f>
        <v>686309723</v>
      </c>
      <c r="AC1373" s="4">
        <f>$E1373+21</f>
        <v>133</v>
      </c>
      <c r="AD1373" s="8">
        <f>IF($J1373=0,0,ROUND(MAX($J1373*1.4*1.5*1.6*1.6*2.2*2.715*2.6*1.4*1.4*1.5,12600000000*(1.652953^(MIN($E1373,123)-117)))*1,0))</f>
        <v>1021099398</v>
      </c>
      <c r="AE1373" s="6">
        <f>$E1373+24</f>
        <v>136</v>
      </c>
      <c r="AF1373" s="7">
        <f>IF($J1373=0,0,ROUND(MAX($J1373*1.4*1.5*1.6*1.6*2.2*2.715*2.6*1.4*1.4*1.5*1.5,18900000000*(1.65331^(MIN($E1373,123)-117)))*1,0))</f>
        <v>1529996162</v>
      </c>
      <c r="AG1373" s="4">
        <f>$E1373+27</f>
        <v>139</v>
      </c>
      <c r="AH1373" s="8">
        <f>IF($J1373=0,0,ROUND(MAX($J1373*1.4*1.5*1.6*1.6*2.2*2.715*2.6*1.4*1.4*1.5*1.5*3.2,60500000000*(1.654288^(MIN($E1373,123)-117)))*1,0))</f>
        <v>4883146766</v>
      </c>
    </row>
    <row r="1374" ht="27.75" customHeight="1" spans="1:34" x14ac:dyDescent="0.25">
      <c r="A1374" s="3">
        <v>1384</v>
      </c>
      <c r="B1374" s="3" t="s">
        <v>681</v>
      </c>
      <c r="C1374" s="3" t="s">
        <v>1042</v>
      </c>
      <c r="D1374" s="3" t="s">
        <v>33</v>
      </c>
      <c r="E1374" s="3">
        <v>112</v>
      </c>
      <c r="F1374" s="3" t="s">
        <v>71</v>
      </c>
      <c r="G1374" s="3" t="s">
        <v>1043</v>
      </c>
      <c r="H1374" s="3">
        <v>27</v>
      </c>
      <c r="I1374" s="4">
        <v>112</v>
      </c>
      <c r="J1374" s="5">
        <v>34100000</v>
      </c>
      <c r="K1374" s="6">
        <f>$E1374+1</f>
        <v>113</v>
      </c>
      <c r="L1374" s="7">
        <f>IF($J1374=0,0,ROUND(MAX($J1374*1.4,1620000*(1.497923^(MIN($E1374,123)-117)))*1,0))</f>
        <v>47740000</v>
      </c>
      <c r="M1374" s="4">
        <f>$E1374+2</f>
        <v>114</v>
      </c>
      <c r="N1374" s="8">
        <f>IF($J1374=0,0,ROUND(MAX($J1374*1.4*1.5,2190000*(1.580994^(MIN($E1374,123)-117)))*1,0))</f>
        <v>71610000</v>
      </c>
      <c r="O1374" s="6">
        <f>$E1374+4</f>
        <v>116</v>
      </c>
      <c r="P1374" s="7">
        <f>IF($J1374=0,0,ROUND(MAX($J1374*1.4*1.5*1.6,3500000*(1.57975^(MIN($E1374,123)-117)))*1,0))</f>
        <v>114576000</v>
      </c>
      <c r="Q1374" s="4">
        <f>$E1374+6</f>
        <v>118</v>
      </c>
      <c r="R1374" s="8">
        <f>IF($J1374=0,0,ROUND(MAX($J1374*1.4*1.5*1.6*1.6,13100000*(1.429962^(MIN($E1374,123)-117)))*1,0))</f>
        <v>183321600</v>
      </c>
      <c r="S1374" s="6">
        <f>$E1374+8</f>
        <v>120</v>
      </c>
      <c r="T1374" s="7">
        <f>IF($J1374=0,0,ROUND(MAX($J1374*1.4*1.5*1.6*1.6*2.2,42600000*(1.576904^(MIN($E1374,123)-117)))*1,0))</f>
        <v>403307520</v>
      </c>
      <c r="U1374" s="4">
        <f>$E1374+11</f>
        <v>123</v>
      </c>
      <c r="V1374" s="8">
        <f>IF($J1374=0,0,ROUND(MAX($J1374*1.4*1.5*1.6*1.6*2.2*2.715,354000000*(1.642074^(MIN($E1374,123)-117)))*1,0))</f>
        <v>1094979917</v>
      </c>
      <c r="W1374" s="6">
        <f>$E1374+15</f>
        <v>127</v>
      </c>
      <c r="X1374" s="7">
        <f>IF($J1374=0,0,ROUND(MAX($J1374*1.4*1.5*1.6*1.6*2.2*2.715*2.6,3540000000*(1.579646^(MIN($E1374,123)-117)))*1,0))</f>
        <v>2846947784</v>
      </c>
      <c r="Y1374" s="4">
        <f>$E1374+17</f>
        <v>129</v>
      </c>
      <c r="Z1374" s="8">
        <f>IF($J1374=0,0,ROUND(MAX($J1374*1.4*1.5*1.6*1.6*2.2*2.715*2.6*1.4,6020000000*(1.651178^(MIN($E1374,123)-117)))*1,0))</f>
        <v>3985726897</v>
      </c>
      <c r="AA1374" s="6">
        <f>$E1374+19</f>
        <v>131</v>
      </c>
      <c r="AB1374" s="7">
        <f>IF($J1374=0,0,ROUND(MAX($J1374*1.4*1.5*1.6*1.6*2.2*2.715*2.6*1.4*1.4,8430000000*(1.651435^(MIN($E1374,123)-117)))*1,0))</f>
        <v>5580017656</v>
      </c>
      <c r="AC1374" s="4">
        <f>$E1374+21</f>
        <v>133</v>
      </c>
      <c r="AD1374" s="8">
        <f>IF($J1374=0,0,ROUND(MAX($J1374*1.4*1.5*1.6*1.6*2.2*2.715*2.6*1.4*1.4*1.5,12600000000*(1.652953^(MIN($E1374,123)-117)))*1,0))</f>
        <v>8370026484</v>
      </c>
      <c r="AE1374" s="6">
        <f>$E1374+24</f>
        <v>136</v>
      </c>
      <c r="AF1374" s="7">
        <f>IF($J1374=0,0,ROUND(MAX($J1374*1.4*1.5*1.6*1.6*2.2*2.715*2.6*1.4*1.4*1.5*1.5,18900000000*(1.65331^(MIN($E1374,123)-117)))*1,0))</f>
        <v>12555039726</v>
      </c>
      <c r="AG1374" s="4">
        <f>$E1374+27</f>
        <v>139</v>
      </c>
      <c r="AH1374" s="8">
        <f>IF($J1374=0,0,ROUND(MAX($J1374*1.4*1.5*1.6*1.6*2.2*2.715*2.6*1.4*1.4*1.5*1.5*3.2,60500000000*(1.654288^(MIN($E1374,123)-117)))*1,0))</f>
        <v>40176127123</v>
      </c>
    </row>
    <row r="1375" ht="27.75" customHeight="1" spans="1:34" x14ac:dyDescent="0.25">
      <c r="A1375" s="3">
        <v>1385</v>
      </c>
      <c r="B1375" s="3" t="s">
        <v>152</v>
      </c>
      <c r="C1375" s="3" t="s">
        <v>1042</v>
      </c>
      <c r="D1375" s="3" t="s">
        <v>40</v>
      </c>
      <c r="E1375" s="3">
        <v>112</v>
      </c>
      <c r="F1375" s="3" t="s">
        <v>71</v>
      </c>
      <c r="G1375" s="3" t="s">
        <v>1043</v>
      </c>
      <c r="H1375" s="3">
        <v>27</v>
      </c>
      <c r="I1375" s="4">
        <v>112</v>
      </c>
      <c r="J1375" s="5">
        <v>85600</v>
      </c>
      <c r="K1375" s="6">
        <f>$E1375+1</f>
        <v>113</v>
      </c>
      <c r="L1375" s="7">
        <f>IF($J1375=0,0,ROUND(MAX($J1375*1.4,1620000*(1.497923^(MIN($E1375,123)-117)))*1,0))</f>
        <v>214816</v>
      </c>
      <c r="M1375" s="4">
        <f>$E1375+2</f>
        <v>114</v>
      </c>
      <c r="N1375" s="8">
        <f>IF($J1375=0,0,ROUND(MAX($J1375*1.4*1.5,2190000*(1.580994^(MIN($E1375,123)-117)))*1,0))</f>
        <v>221714</v>
      </c>
      <c r="O1375" s="6">
        <f>$E1375+4</f>
        <v>116</v>
      </c>
      <c r="P1375" s="7">
        <f>IF($J1375=0,0,ROUND(MAX($J1375*1.4*1.5*1.6,3500000*(1.57975^(MIN($E1375,123)-117)))*1,0))</f>
        <v>355735</v>
      </c>
      <c r="Q1375" s="4">
        <f>$E1375+6</f>
        <v>118</v>
      </c>
      <c r="R1375" s="8">
        <f>IF($J1375=0,0,ROUND(MAX($J1375*1.4*1.5*1.6*1.6,13100000*(1.429962^(MIN($E1375,123)-117)))*1,0))</f>
        <v>2191032</v>
      </c>
      <c r="S1375" s="6">
        <f>$E1375+8</f>
        <v>120</v>
      </c>
      <c r="T1375" s="7">
        <f>IF($J1375=0,0,ROUND(MAX($J1375*1.4*1.5*1.6*1.6*2.2,42600000*(1.576904^(MIN($E1375,123)-117)))*1,0))</f>
        <v>4369013</v>
      </c>
      <c r="U1375" s="4">
        <f>$E1375+11</f>
        <v>123</v>
      </c>
      <c r="V1375" s="8">
        <f>IF($J1375=0,0,ROUND(MAX($J1375*1.4*1.5*1.6*1.6*2.2*2.715,354000000*(1.642074^(MIN($E1375,123)-117)))*1,0))</f>
        <v>29651020</v>
      </c>
      <c r="W1375" s="6">
        <f>$E1375+15</f>
        <v>127</v>
      </c>
      <c r="X1375" s="7">
        <f>IF($J1375=0,0,ROUND(MAX($J1375*1.4*1.5*1.6*1.6*2.2*2.715*2.6,3540000000*(1.579646^(MIN($E1375,123)-117)))*1,0))</f>
        <v>359918692</v>
      </c>
      <c r="Y1375" s="4">
        <f>$E1375+17</f>
        <v>129</v>
      </c>
      <c r="Z1375" s="8">
        <f>IF($J1375=0,0,ROUND(MAX($J1375*1.4*1.5*1.6*1.6*2.2*2.715*2.6*1.4,6020000000*(1.651178^(MIN($E1375,123)-117)))*1,0))</f>
        <v>490486461</v>
      </c>
      <c r="AA1375" s="6">
        <f>$E1375+19</f>
        <v>131</v>
      </c>
      <c r="AB1375" s="7">
        <f>IF($J1375=0,0,ROUND(MAX($J1375*1.4*1.5*1.6*1.6*2.2*2.715*2.6*1.4*1.4,8430000000*(1.651435^(MIN($E1375,123)-117)))*1,0))</f>
        <v>686309723</v>
      </c>
      <c r="AC1375" s="4">
        <f>$E1375+21</f>
        <v>133</v>
      </c>
      <c r="AD1375" s="8">
        <f>IF($J1375=0,0,ROUND(MAX($J1375*1.4*1.5*1.6*1.6*2.2*2.715*2.6*1.4*1.4*1.5,12600000000*(1.652953^(MIN($E1375,123)-117)))*1,0))</f>
        <v>1021099398</v>
      </c>
      <c r="AE1375" s="6">
        <f>$E1375+24</f>
        <v>136</v>
      </c>
      <c r="AF1375" s="7">
        <f>IF($J1375=0,0,ROUND(MAX($J1375*1.4*1.5*1.6*1.6*2.2*2.715*2.6*1.4*1.4*1.5*1.5,18900000000*(1.65331^(MIN($E1375,123)-117)))*1,0))</f>
        <v>1529996162</v>
      </c>
      <c r="AG1375" s="4">
        <f>$E1375+27</f>
        <v>139</v>
      </c>
      <c r="AH1375" s="8">
        <f>IF($J1375=0,0,ROUND(MAX($J1375*1.4*1.5*1.6*1.6*2.2*2.715*2.6*1.4*1.4*1.5*1.5*3.2,60500000000*(1.654288^(MIN($E1375,123)-117)))*1,0))</f>
        <v>4883146766</v>
      </c>
    </row>
    <row r="1376" ht="27.75" customHeight="1" spans="1:34" x14ac:dyDescent="0.25">
      <c r="A1376" s="3">
        <v>1386</v>
      </c>
      <c r="B1376" s="3" t="s">
        <v>84</v>
      </c>
      <c r="C1376" s="3" t="s">
        <v>1042</v>
      </c>
      <c r="D1376" s="3" t="s">
        <v>45</v>
      </c>
      <c r="E1376" s="3">
        <v>112</v>
      </c>
      <c r="F1376" s="3" t="s">
        <v>62</v>
      </c>
      <c r="G1376" s="3" t="s">
        <v>1043</v>
      </c>
      <c r="H1376" s="3">
        <v>27</v>
      </c>
      <c r="I1376" s="4">
        <v>112</v>
      </c>
      <c r="J1376" s="5">
        <v>149000</v>
      </c>
      <c r="K1376" s="6">
        <f>$E1376+1</f>
        <v>113</v>
      </c>
      <c r="L1376" s="7">
        <f>IF($J1376=0,0,ROUND(MAX($J1376*1.4,1620000*(1.497923^(MIN($E1376,123)-117)))*1,0))</f>
        <v>214816</v>
      </c>
      <c r="M1376" s="4">
        <f>$E1376+2</f>
        <v>114</v>
      </c>
      <c r="N1376" s="8">
        <f>IF($J1376=0,0,ROUND(MAX($J1376*1.4*1.5,2190000*(1.580994^(MIN($E1376,123)-117)))*1,0))</f>
        <v>312900</v>
      </c>
      <c r="O1376" s="6">
        <f>$E1376+4</f>
        <v>116</v>
      </c>
      <c r="P1376" s="7">
        <f>IF($J1376=0,0,ROUND(MAX($J1376*1.4*1.5*1.6,3500000*(1.57975^(MIN($E1376,123)-117)))*1,0))</f>
        <v>500640</v>
      </c>
      <c r="Q1376" s="4">
        <f>$E1376+6</f>
        <v>118</v>
      </c>
      <c r="R1376" s="8">
        <f>IF($J1376=0,0,ROUND(MAX($J1376*1.4*1.5*1.6*1.6,13100000*(1.429962^(MIN($E1376,123)-117)))*1,0))</f>
        <v>2191032</v>
      </c>
      <c r="S1376" s="6">
        <f>$E1376+8</f>
        <v>120</v>
      </c>
      <c r="T1376" s="7">
        <f>IF($J1376=0,0,ROUND(MAX($J1376*1.4*1.5*1.6*1.6*2.2,42600000*(1.576904^(MIN($E1376,123)-117)))*1,0))</f>
        <v>4369013</v>
      </c>
      <c r="U1376" s="4">
        <f>$E1376+11</f>
        <v>123</v>
      </c>
      <c r="V1376" s="8">
        <f>IF($J1376=0,0,ROUND(MAX($J1376*1.4*1.5*1.6*1.6*2.2*2.715,354000000*(1.642074^(MIN($E1376,123)-117)))*1,0))</f>
        <v>29651020</v>
      </c>
      <c r="W1376" s="6">
        <f>$E1376+15</f>
        <v>127</v>
      </c>
      <c r="X1376" s="7">
        <f>IF($J1376=0,0,ROUND(MAX($J1376*1.4*1.5*1.6*1.6*2.2*2.715*2.6,3540000000*(1.579646^(MIN($E1376,123)-117)))*1,0))</f>
        <v>359918692</v>
      </c>
      <c r="Y1376" s="4">
        <f>$E1376+17</f>
        <v>129</v>
      </c>
      <c r="Z1376" s="8">
        <f>IF($J1376=0,0,ROUND(MAX($J1376*1.4*1.5*1.6*1.6*2.2*2.715*2.6*1.4,6020000000*(1.651178^(MIN($E1376,123)-117)))*1,0))</f>
        <v>490486461</v>
      </c>
      <c r="AA1376" s="6">
        <f>$E1376+19</f>
        <v>131</v>
      </c>
      <c r="AB1376" s="7">
        <f>IF($J1376=0,0,ROUND(MAX($J1376*1.4*1.5*1.6*1.6*2.2*2.715*2.6*1.4*1.4,8430000000*(1.651435^(MIN($E1376,123)-117)))*1,0))</f>
        <v>686309723</v>
      </c>
      <c r="AC1376" s="4">
        <f>$E1376+21</f>
        <v>133</v>
      </c>
      <c r="AD1376" s="8">
        <f>IF($J1376=0,0,ROUND(MAX($J1376*1.4*1.5*1.6*1.6*2.2*2.715*2.6*1.4*1.4*1.5,12600000000*(1.652953^(MIN($E1376,123)-117)))*1,0))</f>
        <v>1021099398</v>
      </c>
      <c r="AE1376" s="6">
        <f>$E1376+24</f>
        <v>136</v>
      </c>
      <c r="AF1376" s="7">
        <f>IF($J1376=0,0,ROUND(MAX($J1376*1.4*1.5*1.6*1.6*2.2*2.715*2.6*1.4*1.4*1.5*1.5,18900000000*(1.65331^(MIN($E1376,123)-117)))*1,0))</f>
        <v>1529996162</v>
      </c>
      <c r="AG1376" s="4">
        <f>$E1376+27</f>
        <v>139</v>
      </c>
      <c r="AH1376" s="8">
        <f>IF($J1376=0,0,ROUND(MAX($J1376*1.4*1.5*1.6*1.6*2.2*2.715*2.6*1.4*1.4*1.5*1.5*3.2,60500000000*(1.654288^(MIN($E1376,123)-117)))*1,0))</f>
        <v>4883146766</v>
      </c>
    </row>
    <row r="1377" ht="27.75" customHeight="1" spans="1:34" x14ac:dyDescent="0.25">
      <c r="A1377" s="3">
        <v>1387</v>
      </c>
      <c r="B1377" s="3" t="s">
        <v>121</v>
      </c>
      <c r="C1377" s="3" t="s">
        <v>1042</v>
      </c>
      <c r="D1377" s="3" t="s">
        <v>29</v>
      </c>
      <c r="E1377" s="3">
        <v>112</v>
      </c>
      <c r="F1377" s="3" t="s">
        <v>62</v>
      </c>
      <c r="G1377" s="3" t="s">
        <v>1043</v>
      </c>
      <c r="H1377" s="3">
        <v>27</v>
      </c>
      <c r="I1377" s="4">
        <v>112</v>
      </c>
      <c r="J1377" s="5">
        <v>169000</v>
      </c>
      <c r="K1377" s="6">
        <f>$E1377+1</f>
        <v>113</v>
      </c>
      <c r="L1377" s="7">
        <f>IF($J1377=0,0,ROUND(MAX($J1377*1.4,1620000*(1.497923^(MIN($E1377,123)-117)))*1,0))</f>
        <v>236600</v>
      </c>
      <c r="M1377" s="4">
        <f>$E1377+2</f>
        <v>114</v>
      </c>
      <c r="N1377" s="8">
        <f>IF($J1377=0,0,ROUND(MAX($J1377*1.4*1.5,2190000*(1.580994^(MIN($E1377,123)-117)))*1,0))</f>
        <v>354900</v>
      </c>
      <c r="O1377" s="6">
        <f>$E1377+4</f>
        <v>116</v>
      </c>
      <c r="P1377" s="7">
        <f>IF($J1377=0,0,ROUND(MAX($J1377*1.4*1.5*1.6,3500000*(1.57975^(MIN($E1377,123)-117)))*1,0))</f>
        <v>567840</v>
      </c>
      <c r="Q1377" s="4">
        <f>$E1377+6</f>
        <v>118</v>
      </c>
      <c r="R1377" s="8">
        <f>IF($J1377=0,0,ROUND(MAX($J1377*1.4*1.5*1.6*1.6,13100000*(1.429962^(MIN($E1377,123)-117)))*1,0))</f>
        <v>2191032</v>
      </c>
      <c r="S1377" s="6">
        <f>$E1377+8</f>
        <v>120</v>
      </c>
      <c r="T1377" s="7">
        <f>IF($J1377=0,0,ROUND(MAX($J1377*1.4*1.5*1.6*1.6*2.2,42600000*(1.576904^(MIN($E1377,123)-117)))*1,0))</f>
        <v>4369013</v>
      </c>
      <c r="U1377" s="4">
        <f>$E1377+11</f>
        <v>123</v>
      </c>
      <c r="V1377" s="8">
        <f>IF($J1377=0,0,ROUND(MAX($J1377*1.4*1.5*1.6*1.6*2.2*2.715,354000000*(1.642074^(MIN($E1377,123)-117)))*1,0))</f>
        <v>29651020</v>
      </c>
      <c r="W1377" s="6">
        <f>$E1377+15</f>
        <v>127</v>
      </c>
      <c r="X1377" s="7">
        <f>IF($J1377=0,0,ROUND(MAX($J1377*1.4*1.5*1.6*1.6*2.2*2.715*2.6,3540000000*(1.579646^(MIN($E1377,123)-117)))*1,0))</f>
        <v>359918692</v>
      </c>
      <c r="Y1377" s="4">
        <f>$E1377+17</f>
        <v>129</v>
      </c>
      <c r="Z1377" s="8">
        <f>IF($J1377=0,0,ROUND(MAX($J1377*1.4*1.5*1.6*1.6*2.2*2.715*2.6*1.4,6020000000*(1.651178^(MIN($E1377,123)-117)))*1,0))</f>
        <v>490486461</v>
      </c>
      <c r="AA1377" s="6">
        <f>$E1377+19</f>
        <v>131</v>
      </c>
      <c r="AB1377" s="7">
        <f>IF($J1377=0,0,ROUND(MAX($J1377*1.4*1.5*1.6*1.6*2.2*2.715*2.6*1.4*1.4,8430000000*(1.651435^(MIN($E1377,123)-117)))*1,0))</f>
        <v>686309723</v>
      </c>
      <c r="AC1377" s="4">
        <f>$E1377+21</f>
        <v>133</v>
      </c>
      <c r="AD1377" s="8">
        <f>IF($J1377=0,0,ROUND(MAX($J1377*1.4*1.5*1.6*1.6*2.2*2.715*2.6*1.4*1.4*1.5,12600000000*(1.652953^(MIN($E1377,123)-117)))*1,0))</f>
        <v>1021099398</v>
      </c>
      <c r="AE1377" s="6">
        <f>$E1377+24</f>
        <v>136</v>
      </c>
      <c r="AF1377" s="7">
        <f>IF($J1377=0,0,ROUND(MAX($J1377*1.4*1.5*1.6*1.6*2.2*2.715*2.6*1.4*1.4*1.5*1.5,18900000000*(1.65331^(MIN($E1377,123)-117)))*1,0))</f>
        <v>1529996162</v>
      </c>
      <c r="AG1377" s="4">
        <f>$E1377+27</f>
        <v>139</v>
      </c>
      <c r="AH1377" s="8">
        <f>IF($J1377=0,0,ROUND(MAX($J1377*1.4*1.5*1.6*1.6*2.2*2.715*2.6*1.4*1.4*1.5*1.5*3.2,60500000000*(1.654288^(MIN($E1377,123)-117)))*1,0))</f>
        <v>4883146766</v>
      </c>
    </row>
    <row r="1378" ht="27.75" customHeight="1" spans="1:34" x14ac:dyDescent="0.25">
      <c r="A1378" s="3">
        <v>1388</v>
      </c>
      <c r="B1378" s="3" t="s">
        <v>162</v>
      </c>
      <c r="C1378" s="3" t="s">
        <v>1042</v>
      </c>
      <c r="D1378" s="3" t="s">
        <v>33</v>
      </c>
      <c r="E1378" s="3">
        <v>112</v>
      </c>
      <c r="F1378" s="3" t="s">
        <v>71</v>
      </c>
      <c r="G1378" s="3" t="s">
        <v>1043</v>
      </c>
      <c r="H1378" s="3">
        <v>26</v>
      </c>
      <c r="I1378" s="4">
        <v>112</v>
      </c>
      <c r="J1378" s="5">
        <v>131000</v>
      </c>
      <c r="K1378" s="6">
        <f>$E1378+1</f>
        <v>113</v>
      </c>
      <c r="L1378" s="7">
        <f>IF($J1378=0,0,ROUND(MAX($J1378*1.4,1620000*(1.497923^(MIN($E1378,123)-117)))*1,0))</f>
        <v>214816</v>
      </c>
      <c r="M1378" s="4">
        <f>$E1378+2</f>
        <v>114</v>
      </c>
      <c r="N1378" s="8">
        <f>IF($J1378=0,0,ROUND(MAX($J1378*1.4*1.5,2190000*(1.580994^(MIN($E1378,123)-117)))*1,0))</f>
        <v>275100</v>
      </c>
      <c r="O1378" s="6">
        <f>$E1378+4</f>
        <v>116</v>
      </c>
      <c r="P1378" s="7">
        <f>IF($J1378=0,0,ROUND(MAX($J1378*1.4*1.5*1.6,3500000*(1.57975^(MIN($E1378,123)-117)))*1,0))</f>
        <v>440160</v>
      </c>
      <c r="Q1378" s="4">
        <f>$E1378+6</f>
        <v>118</v>
      </c>
      <c r="R1378" s="8">
        <f>IF($J1378=0,0,ROUND(MAX($J1378*1.4*1.5*1.6*1.6,13100000*(1.429962^(MIN($E1378,123)-117)))*1,0))</f>
        <v>2191032</v>
      </c>
      <c r="S1378" s="6">
        <f>$E1378+8</f>
        <v>120</v>
      </c>
      <c r="T1378" s="7">
        <f>IF($J1378=0,0,ROUND(MAX($J1378*1.4*1.5*1.6*1.6*2.2,42600000*(1.576904^(MIN($E1378,123)-117)))*1,0))</f>
        <v>4369013</v>
      </c>
      <c r="U1378" s="4">
        <f>$E1378+11</f>
        <v>123</v>
      </c>
      <c r="V1378" s="8">
        <f>IF($J1378=0,0,ROUND(MAX($J1378*1.4*1.5*1.6*1.6*2.2*2.715,354000000*(1.642074^(MIN($E1378,123)-117)))*1,0))</f>
        <v>29651020</v>
      </c>
      <c r="W1378" s="6">
        <f>$E1378+15</f>
        <v>127</v>
      </c>
      <c r="X1378" s="7">
        <f>IF($J1378=0,0,ROUND(MAX($J1378*1.4*1.5*1.6*1.6*2.2*2.715*2.6,3540000000*(1.579646^(MIN($E1378,123)-117)))*1,0))</f>
        <v>359918692</v>
      </c>
      <c r="Y1378" s="4">
        <f>$E1378+17</f>
        <v>129</v>
      </c>
      <c r="Z1378" s="8">
        <f>IF($J1378=0,0,ROUND(MAX($J1378*1.4*1.5*1.6*1.6*2.2*2.715*2.6*1.4,6020000000*(1.651178^(MIN($E1378,123)-117)))*1,0))</f>
        <v>490486461</v>
      </c>
      <c r="AA1378" s="6">
        <f>$E1378+19</f>
        <v>131</v>
      </c>
      <c r="AB1378" s="7">
        <f>IF($J1378=0,0,ROUND(MAX($J1378*1.4*1.5*1.6*1.6*2.2*2.715*2.6*1.4*1.4,8430000000*(1.651435^(MIN($E1378,123)-117)))*1,0))</f>
        <v>686309723</v>
      </c>
      <c r="AC1378" s="4">
        <f>$E1378+21</f>
        <v>133</v>
      </c>
      <c r="AD1378" s="8">
        <f>IF($J1378=0,0,ROUND(MAX($J1378*1.4*1.5*1.6*1.6*2.2*2.715*2.6*1.4*1.4*1.5,12600000000*(1.652953^(MIN($E1378,123)-117)))*1,0))</f>
        <v>1021099398</v>
      </c>
      <c r="AE1378" s="6">
        <f>$E1378+24</f>
        <v>136</v>
      </c>
      <c r="AF1378" s="7">
        <f>IF($J1378=0,0,ROUND(MAX($J1378*1.4*1.5*1.6*1.6*2.2*2.715*2.6*1.4*1.4*1.5*1.5,18900000000*(1.65331^(MIN($E1378,123)-117)))*1,0))</f>
        <v>1529996162</v>
      </c>
      <c r="AG1378" s="4">
        <f>$E1378+27</f>
        <v>139</v>
      </c>
      <c r="AH1378" s="8">
        <f>IF($J1378=0,0,ROUND(MAX($J1378*1.4*1.5*1.6*1.6*2.2*2.715*2.6*1.4*1.4*1.5*1.5*3.2,60500000000*(1.654288^(MIN($E1378,123)-117)))*1,0))</f>
        <v>4883146766</v>
      </c>
    </row>
    <row r="1379" ht="27.75" customHeight="1" spans="1:34" x14ac:dyDescent="0.25">
      <c r="A1379" s="3">
        <v>1389</v>
      </c>
      <c r="B1379" s="3" t="s">
        <v>166</v>
      </c>
      <c r="C1379" s="3" t="s">
        <v>1042</v>
      </c>
      <c r="D1379" s="3" t="s">
        <v>33</v>
      </c>
      <c r="E1379" s="3">
        <v>112</v>
      </c>
      <c r="F1379" s="3" t="s">
        <v>62</v>
      </c>
      <c r="G1379" s="3" t="s">
        <v>1043</v>
      </c>
      <c r="H1379" s="3">
        <v>26</v>
      </c>
      <c r="I1379" s="4">
        <v>112</v>
      </c>
      <c r="J1379" s="5">
        <v>173000</v>
      </c>
      <c r="K1379" s="6">
        <f>$E1379+1</f>
        <v>113</v>
      </c>
      <c r="L1379" s="7">
        <f>IF($J1379=0,0,ROUND(MAX($J1379*1.4,1620000*(1.497923^(MIN($E1379,123)-117)))*1,0))</f>
        <v>242200</v>
      </c>
      <c r="M1379" s="4">
        <f>$E1379+2</f>
        <v>114</v>
      </c>
      <c r="N1379" s="8">
        <f>IF($J1379=0,0,ROUND(MAX($J1379*1.4*1.5,2190000*(1.580994^(MIN($E1379,123)-117)))*1,0))</f>
        <v>363300</v>
      </c>
      <c r="O1379" s="6">
        <f>$E1379+4</f>
        <v>116</v>
      </c>
      <c r="P1379" s="7">
        <f>IF($J1379=0,0,ROUND(MAX($J1379*1.4*1.5*1.6,3500000*(1.57975^(MIN($E1379,123)-117)))*1,0))</f>
        <v>581280</v>
      </c>
      <c r="Q1379" s="4">
        <f>$E1379+6</f>
        <v>118</v>
      </c>
      <c r="R1379" s="8">
        <f>IF($J1379=0,0,ROUND(MAX($J1379*1.4*1.5*1.6*1.6,13100000*(1.429962^(MIN($E1379,123)-117)))*1,0))</f>
        <v>2191032</v>
      </c>
      <c r="S1379" s="6">
        <f>$E1379+8</f>
        <v>120</v>
      </c>
      <c r="T1379" s="7">
        <f>IF($J1379=0,0,ROUND(MAX($J1379*1.4*1.5*1.6*1.6*2.2,42600000*(1.576904^(MIN($E1379,123)-117)))*1,0))</f>
        <v>4369013</v>
      </c>
      <c r="U1379" s="4">
        <f>$E1379+11</f>
        <v>123</v>
      </c>
      <c r="V1379" s="8">
        <f>IF($J1379=0,0,ROUND(MAX($J1379*1.4*1.5*1.6*1.6*2.2*2.715,354000000*(1.642074^(MIN($E1379,123)-117)))*1,0))</f>
        <v>29651020</v>
      </c>
      <c r="W1379" s="6">
        <f>$E1379+15</f>
        <v>127</v>
      </c>
      <c r="X1379" s="7">
        <f>IF($J1379=0,0,ROUND(MAX($J1379*1.4*1.5*1.6*1.6*2.2*2.715*2.6,3540000000*(1.579646^(MIN($E1379,123)-117)))*1,0))</f>
        <v>359918692</v>
      </c>
      <c r="Y1379" s="4">
        <f>$E1379+17</f>
        <v>129</v>
      </c>
      <c r="Z1379" s="8">
        <f>IF($J1379=0,0,ROUND(MAX($J1379*1.4*1.5*1.6*1.6*2.2*2.715*2.6*1.4,6020000000*(1.651178^(MIN($E1379,123)-117)))*1,0))</f>
        <v>490486461</v>
      </c>
      <c r="AA1379" s="6">
        <f>$E1379+19</f>
        <v>131</v>
      </c>
      <c r="AB1379" s="7">
        <f>IF($J1379=0,0,ROUND(MAX($J1379*1.4*1.5*1.6*1.6*2.2*2.715*2.6*1.4*1.4,8430000000*(1.651435^(MIN($E1379,123)-117)))*1,0))</f>
        <v>686309723</v>
      </c>
      <c r="AC1379" s="4">
        <f>$E1379+21</f>
        <v>133</v>
      </c>
      <c r="AD1379" s="8">
        <f>IF($J1379=0,0,ROUND(MAX($J1379*1.4*1.5*1.6*1.6*2.2*2.715*2.6*1.4*1.4*1.5,12600000000*(1.652953^(MIN($E1379,123)-117)))*1,0))</f>
        <v>1021099398</v>
      </c>
      <c r="AE1379" s="6">
        <f>$E1379+24</f>
        <v>136</v>
      </c>
      <c r="AF1379" s="7">
        <f>IF($J1379=0,0,ROUND(MAX($J1379*1.4*1.5*1.6*1.6*2.2*2.715*2.6*1.4*1.4*1.5*1.5,18900000000*(1.65331^(MIN($E1379,123)-117)))*1,0))</f>
        <v>1529996162</v>
      </c>
      <c r="AG1379" s="4">
        <f>$E1379+27</f>
        <v>139</v>
      </c>
      <c r="AH1379" s="8">
        <f>IF($J1379=0,0,ROUND(MAX($J1379*1.4*1.5*1.6*1.6*2.2*2.715*2.6*1.4*1.4*1.5*1.5*3.2,60500000000*(1.654288^(MIN($E1379,123)-117)))*1,0))</f>
        <v>4883146766</v>
      </c>
    </row>
    <row r="1380" ht="27.75" customHeight="1" spans="1:34" x14ac:dyDescent="0.25">
      <c r="A1380" s="3">
        <v>1390</v>
      </c>
      <c r="B1380" s="3" t="s">
        <v>142</v>
      </c>
      <c r="C1380" s="3" t="s">
        <v>1042</v>
      </c>
      <c r="D1380" s="3" t="s">
        <v>90</v>
      </c>
      <c r="E1380" s="3">
        <v>112</v>
      </c>
      <c r="F1380" s="3" t="s">
        <v>34</v>
      </c>
      <c r="G1380" s="3" t="s">
        <v>1043</v>
      </c>
      <c r="H1380" s="3">
        <v>26</v>
      </c>
      <c r="I1380" s="4">
        <v>112</v>
      </c>
      <c r="J1380" s="5">
        <v>180000</v>
      </c>
      <c r="K1380" s="6">
        <f>$E1380+1</f>
        <v>113</v>
      </c>
      <c r="L1380" s="7">
        <f>IF($J1380=0,0,ROUND(MAX($J1380*1.4,1620000*(1.497923^(MIN($E1380,123)-117)))*1,0))</f>
        <v>252000</v>
      </c>
      <c r="M1380" s="4">
        <f>$E1380+2</f>
        <v>114</v>
      </c>
      <c r="N1380" s="8">
        <f>IF($J1380=0,0,ROUND(MAX($J1380*1.4*1.5,2190000*(1.580994^(MIN($E1380,123)-117)))*1,0))</f>
        <v>378000</v>
      </c>
      <c r="O1380" s="6">
        <f>$E1380+4</f>
        <v>116</v>
      </c>
      <c r="P1380" s="7">
        <f>IF($J1380=0,0,ROUND(MAX($J1380*1.4*1.5*1.6,3500000*(1.57975^(MIN($E1380,123)-117)))*1,0))</f>
        <v>604800</v>
      </c>
      <c r="Q1380" s="4">
        <f>$E1380+6</f>
        <v>118</v>
      </c>
      <c r="R1380" s="8">
        <f>IF($J1380=0,0,ROUND(MAX($J1380*1.4*1.5*1.6*1.6,13100000*(1.429962^(MIN($E1380,123)-117)))*1,0))</f>
        <v>2191032</v>
      </c>
      <c r="S1380" s="6">
        <f>$E1380+8</f>
        <v>120</v>
      </c>
      <c r="T1380" s="7">
        <f>IF($J1380=0,0,ROUND(MAX($J1380*1.4*1.5*1.6*1.6*2.2,42600000*(1.576904^(MIN($E1380,123)-117)))*1,0))</f>
        <v>4369013</v>
      </c>
      <c r="U1380" s="4">
        <f>$E1380+11</f>
        <v>123</v>
      </c>
      <c r="V1380" s="8">
        <f>IF($J1380=0,0,ROUND(MAX($J1380*1.4*1.5*1.6*1.6*2.2*2.715,354000000*(1.642074^(MIN($E1380,123)-117)))*1,0))</f>
        <v>29651020</v>
      </c>
      <c r="W1380" s="6">
        <f>$E1380+15</f>
        <v>127</v>
      </c>
      <c r="X1380" s="7">
        <f>IF($J1380=0,0,ROUND(MAX($J1380*1.4*1.5*1.6*1.6*2.2*2.715*2.6,3540000000*(1.579646^(MIN($E1380,123)-117)))*1,0))</f>
        <v>359918692</v>
      </c>
      <c r="Y1380" s="4">
        <f>$E1380+17</f>
        <v>129</v>
      </c>
      <c r="Z1380" s="8">
        <f>IF($J1380=0,0,ROUND(MAX($J1380*1.4*1.5*1.6*1.6*2.2*2.715*2.6*1.4,6020000000*(1.651178^(MIN($E1380,123)-117)))*1,0))</f>
        <v>490486461</v>
      </c>
      <c r="AA1380" s="6">
        <f>$E1380+19</f>
        <v>131</v>
      </c>
      <c r="AB1380" s="7">
        <f>IF($J1380=0,0,ROUND(MAX($J1380*1.4*1.5*1.6*1.6*2.2*2.715*2.6*1.4*1.4,8430000000*(1.651435^(MIN($E1380,123)-117)))*1,0))</f>
        <v>686309723</v>
      </c>
      <c r="AC1380" s="4">
        <f>$E1380+21</f>
        <v>133</v>
      </c>
      <c r="AD1380" s="8">
        <f>IF($J1380=0,0,ROUND(MAX($J1380*1.4*1.5*1.6*1.6*2.2*2.715*2.6*1.4*1.4*1.5,12600000000*(1.652953^(MIN($E1380,123)-117)))*1,0))</f>
        <v>1021099398</v>
      </c>
      <c r="AE1380" s="6">
        <f>$E1380+24</f>
        <v>136</v>
      </c>
      <c r="AF1380" s="7">
        <f>IF($J1380=0,0,ROUND(MAX($J1380*1.4*1.5*1.6*1.6*2.2*2.715*2.6*1.4*1.4*1.5*1.5,18900000000*(1.65331^(MIN($E1380,123)-117)))*1,0))</f>
        <v>1529996162</v>
      </c>
      <c r="AG1380" s="4">
        <f>$E1380+27</f>
        <v>139</v>
      </c>
      <c r="AH1380" s="8">
        <f>IF($J1380=0,0,ROUND(MAX($J1380*1.4*1.5*1.6*1.6*2.2*2.715*2.6*1.4*1.4*1.5*1.5*3.2,60500000000*(1.654288^(MIN($E1380,123)-117)))*1,0))</f>
        <v>4883146766</v>
      </c>
    </row>
    <row r="1381" ht="27.75" customHeight="1" spans="1:34" x14ac:dyDescent="0.25">
      <c r="A1381" s="3">
        <v>1391</v>
      </c>
      <c r="B1381" s="3" t="s">
        <v>134</v>
      </c>
      <c r="C1381" s="3" t="s">
        <v>1042</v>
      </c>
      <c r="D1381" s="3" t="s">
        <v>90</v>
      </c>
      <c r="E1381" s="3">
        <v>112</v>
      </c>
      <c r="F1381" s="3" t="s">
        <v>26</v>
      </c>
      <c r="G1381" s="3" t="s">
        <v>1043</v>
      </c>
      <c r="H1381" s="3">
        <v>26</v>
      </c>
      <c r="I1381" s="4">
        <v>112</v>
      </c>
      <c r="J1381" s="5">
        <v>95000</v>
      </c>
      <c r="K1381" s="6">
        <f>$E1381+1</f>
        <v>113</v>
      </c>
      <c r="L1381" s="7">
        <f>IF($J1381=0,0,ROUND(MAX($J1381*1.4,1620000*(1.497923^(MIN($E1381,123)-117)))*1,0))</f>
        <v>214816</v>
      </c>
      <c r="M1381" s="4">
        <f>$E1381+2</f>
        <v>114</v>
      </c>
      <c r="N1381" s="8">
        <f>IF($J1381=0,0,ROUND(MAX($J1381*1.4*1.5,2190000*(1.580994^(MIN($E1381,123)-117)))*1,0))</f>
        <v>221714</v>
      </c>
      <c r="O1381" s="6">
        <f>$E1381+4</f>
        <v>116</v>
      </c>
      <c r="P1381" s="7">
        <f>IF($J1381=0,0,ROUND(MAX($J1381*1.4*1.5*1.6,3500000*(1.57975^(MIN($E1381,123)-117)))*1,0))</f>
        <v>355735</v>
      </c>
      <c r="Q1381" s="4">
        <f>$E1381+6</f>
        <v>118</v>
      </c>
      <c r="R1381" s="8">
        <f>IF($J1381=0,0,ROUND(MAX($J1381*1.4*1.5*1.6*1.6,13100000*(1.429962^(MIN($E1381,123)-117)))*1,0))</f>
        <v>2191032</v>
      </c>
      <c r="S1381" s="6">
        <f>$E1381+8</f>
        <v>120</v>
      </c>
      <c r="T1381" s="7">
        <f>IF($J1381=0,0,ROUND(MAX($J1381*1.4*1.5*1.6*1.6*2.2,42600000*(1.576904^(MIN($E1381,123)-117)))*1,0))</f>
        <v>4369013</v>
      </c>
      <c r="U1381" s="4">
        <f>$E1381+11</f>
        <v>123</v>
      </c>
      <c r="V1381" s="8">
        <f>IF($J1381=0,0,ROUND(MAX($J1381*1.4*1.5*1.6*1.6*2.2*2.715,354000000*(1.642074^(MIN($E1381,123)-117)))*1,0))</f>
        <v>29651020</v>
      </c>
      <c r="W1381" s="6">
        <f>$E1381+15</f>
        <v>127</v>
      </c>
      <c r="X1381" s="7">
        <f>IF($J1381=0,0,ROUND(MAX($J1381*1.4*1.5*1.6*1.6*2.2*2.715*2.6,3540000000*(1.579646^(MIN($E1381,123)-117)))*1,0))</f>
        <v>359918692</v>
      </c>
      <c r="Y1381" s="4">
        <f>$E1381+17</f>
        <v>129</v>
      </c>
      <c r="Z1381" s="8">
        <f>IF($J1381=0,0,ROUND(MAX($J1381*1.4*1.5*1.6*1.6*2.2*2.715*2.6*1.4,6020000000*(1.651178^(MIN($E1381,123)-117)))*1,0))</f>
        <v>490486461</v>
      </c>
      <c r="AA1381" s="6">
        <f>$E1381+19</f>
        <v>131</v>
      </c>
      <c r="AB1381" s="7">
        <f>IF($J1381=0,0,ROUND(MAX($J1381*1.4*1.5*1.6*1.6*2.2*2.715*2.6*1.4*1.4,8430000000*(1.651435^(MIN($E1381,123)-117)))*1,0))</f>
        <v>686309723</v>
      </c>
      <c r="AC1381" s="4">
        <f>$E1381+21</f>
        <v>133</v>
      </c>
      <c r="AD1381" s="8">
        <f>IF($J1381=0,0,ROUND(MAX($J1381*1.4*1.5*1.6*1.6*2.2*2.715*2.6*1.4*1.4*1.5,12600000000*(1.652953^(MIN($E1381,123)-117)))*1,0))</f>
        <v>1021099398</v>
      </c>
      <c r="AE1381" s="6">
        <f>$E1381+24</f>
        <v>136</v>
      </c>
      <c r="AF1381" s="7">
        <f>IF($J1381=0,0,ROUND(MAX($J1381*1.4*1.5*1.6*1.6*2.2*2.715*2.6*1.4*1.4*1.5*1.5,18900000000*(1.65331^(MIN($E1381,123)-117)))*1,0))</f>
        <v>1529996162</v>
      </c>
      <c r="AG1381" s="4">
        <f>$E1381+27</f>
        <v>139</v>
      </c>
      <c r="AH1381" s="8">
        <f>IF($J1381=0,0,ROUND(MAX($J1381*1.4*1.5*1.6*1.6*2.2*2.715*2.6*1.4*1.4*1.5*1.5*3.2,60500000000*(1.654288^(MIN($E1381,123)-117)))*1,0))</f>
        <v>4883146766</v>
      </c>
    </row>
    <row r="1382" ht="27.75" customHeight="1" spans="1:34" x14ac:dyDescent="0.25">
      <c r="A1382" s="3">
        <v>1392</v>
      </c>
      <c r="B1382" s="3" t="s">
        <v>848</v>
      </c>
      <c r="C1382" s="3" t="s">
        <v>1042</v>
      </c>
      <c r="D1382" s="3" t="s">
        <v>47</v>
      </c>
      <c r="E1382" s="3">
        <v>112</v>
      </c>
      <c r="F1382" s="3" t="s">
        <v>34</v>
      </c>
      <c r="G1382" s="3" t="s">
        <v>35</v>
      </c>
      <c r="H1382" s="3">
        <v>24</v>
      </c>
      <c r="I1382" s="4">
        <v>112</v>
      </c>
      <c r="J1382" s="5">
        <v>94500</v>
      </c>
      <c r="K1382" s="6">
        <f>$E1382+1</f>
        <v>113</v>
      </c>
      <c r="L1382" s="7">
        <f>IF($J1382=0,0,ROUND(MAX($J1382*1.4,1620000*(1.497923^(MIN($E1382,123)-117)))*1,0))</f>
        <v>214816</v>
      </c>
      <c r="M1382" s="4">
        <f>$E1382+2</f>
        <v>114</v>
      </c>
      <c r="N1382" s="8">
        <f>IF($J1382=0,0,ROUND(MAX($J1382*1.4*1.5,2190000*(1.580994^(MIN($E1382,123)-117)))*1,0))</f>
        <v>221714</v>
      </c>
      <c r="O1382" s="6">
        <f>$E1382+4</f>
        <v>116</v>
      </c>
      <c r="P1382" s="7">
        <f>IF($J1382=0,0,ROUND(MAX($J1382*1.4*1.5*1.6,3500000*(1.57975^(MIN($E1382,123)-117)))*1,0))</f>
        <v>355735</v>
      </c>
      <c r="Q1382" s="4">
        <f>$E1382+6</f>
        <v>118</v>
      </c>
      <c r="R1382" s="8">
        <f>IF($J1382=0,0,ROUND(MAX($J1382*1.4*1.5*1.6*1.6,13100000*(1.429962^(MIN($E1382,123)-117)))*1,0))</f>
        <v>2191032</v>
      </c>
      <c r="S1382" s="6">
        <f>$E1382+8</f>
        <v>120</v>
      </c>
      <c r="T1382" s="7">
        <f>IF($J1382=0,0,ROUND(MAX($J1382*1.4*1.5*1.6*1.6*2.2,42600000*(1.576904^(MIN($E1382,123)-117)))*1,0))</f>
        <v>4369013</v>
      </c>
      <c r="U1382" s="4">
        <f>$E1382+11</f>
        <v>123</v>
      </c>
      <c r="V1382" s="8">
        <f>IF($J1382=0,0,ROUND(MAX($J1382*1.4*1.5*1.6*1.6*2.2*2.715,354000000*(1.642074^(MIN($E1382,123)-117)))*1,0))</f>
        <v>29651020</v>
      </c>
      <c r="W1382" s="6">
        <f>$E1382+15</f>
        <v>127</v>
      </c>
      <c r="X1382" s="7">
        <f>IF($J1382=0,0,ROUND(MAX($J1382*1.4*1.5*1.6*1.6*2.2*2.715*2.6,3540000000*(1.579646^(MIN($E1382,123)-117)))*1,0))</f>
        <v>359918692</v>
      </c>
      <c r="Y1382" s="4">
        <f>$E1382+17</f>
        <v>129</v>
      </c>
      <c r="Z1382" s="8">
        <f>IF($J1382=0,0,ROUND(MAX($J1382*1.4*1.5*1.6*1.6*2.2*2.715*2.6*1.4,6020000000*(1.651178^(MIN($E1382,123)-117)))*1,0))</f>
        <v>490486461</v>
      </c>
      <c r="AA1382" s="6">
        <f>$E1382+19</f>
        <v>131</v>
      </c>
      <c r="AB1382" s="7">
        <f>IF($J1382=0,0,ROUND(MAX($J1382*1.4*1.5*1.6*1.6*2.2*2.715*2.6*1.4*1.4,8430000000*(1.651435^(MIN($E1382,123)-117)))*1,0))</f>
        <v>686309723</v>
      </c>
      <c r="AC1382" s="4">
        <f>$E1382+21</f>
        <v>133</v>
      </c>
      <c r="AD1382" s="8">
        <f>IF($J1382=0,0,ROUND(MAX($J1382*1.4*1.5*1.6*1.6*2.2*2.715*2.6*1.4*1.4*1.5,12600000000*(1.652953^(MIN($E1382,123)-117)))*1,0))</f>
        <v>1021099398</v>
      </c>
      <c r="AE1382" s="6">
        <f>$E1382+24</f>
        <v>136</v>
      </c>
      <c r="AF1382" s="7">
        <f>IF($J1382=0,0,ROUND(MAX($J1382*1.4*1.5*1.6*1.6*2.2*2.715*2.6*1.4*1.4*1.5*1.5,18900000000*(1.65331^(MIN($E1382,123)-117)))*1,0))</f>
        <v>1529996162</v>
      </c>
      <c r="AG1382" s="4">
        <f>$E1382+27</f>
        <v>139</v>
      </c>
      <c r="AH1382" s="8">
        <f>IF($J1382=0,0,ROUND(MAX($J1382*1.4*1.5*1.6*1.6*2.2*2.715*2.6*1.4*1.4*1.5*1.5*3.2,60500000000*(1.654288^(MIN($E1382,123)-117)))*1,0))</f>
        <v>4883146766</v>
      </c>
    </row>
    <row r="1383" ht="27.75" customHeight="1" spans="1:34" x14ac:dyDescent="0.25">
      <c r="A1383" s="3">
        <v>1393</v>
      </c>
      <c r="B1383" s="3" t="s">
        <v>91</v>
      </c>
      <c r="C1383" s="3" t="s">
        <v>1042</v>
      </c>
      <c r="D1383" s="3" t="s">
        <v>47</v>
      </c>
      <c r="E1383" s="3">
        <v>112</v>
      </c>
      <c r="F1383" s="3" t="s">
        <v>71</v>
      </c>
      <c r="G1383" s="3" t="s">
        <v>1043</v>
      </c>
      <c r="H1383" s="3">
        <v>23</v>
      </c>
      <c r="I1383" s="4">
        <v>112</v>
      </c>
      <c r="J1383" s="5">
        <v>109000</v>
      </c>
      <c r="K1383" s="6">
        <f>$E1383+1</f>
        <v>113</v>
      </c>
      <c r="L1383" s="7">
        <f>IF($J1383=0,0,ROUND(MAX($J1383*1.4,1620000*(1.497923^(MIN($E1383,123)-117)))*1,0))</f>
        <v>214816</v>
      </c>
      <c r="M1383" s="4">
        <f>$E1383+2</f>
        <v>114</v>
      </c>
      <c r="N1383" s="8">
        <f>IF($J1383=0,0,ROUND(MAX($J1383*1.4*1.5,2190000*(1.580994^(MIN($E1383,123)-117)))*1,0))</f>
        <v>228900</v>
      </c>
      <c r="O1383" s="6">
        <f>$E1383+4</f>
        <v>116</v>
      </c>
      <c r="P1383" s="7">
        <f>IF($J1383=0,0,ROUND(MAX($J1383*1.4*1.5*1.6,3500000*(1.57975^(MIN($E1383,123)-117)))*1,0))</f>
        <v>366240</v>
      </c>
      <c r="Q1383" s="4">
        <f>$E1383+6</f>
        <v>118</v>
      </c>
      <c r="R1383" s="8">
        <f>IF($J1383=0,0,ROUND(MAX($J1383*1.4*1.5*1.6*1.6,13100000*(1.429962^(MIN($E1383,123)-117)))*1,0))</f>
        <v>2191032</v>
      </c>
      <c r="S1383" s="6">
        <f>$E1383+8</f>
        <v>120</v>
      </c>
      <c r="T1383" s="7">
        <f>IF($J1383=0,0,ROUND(MAX($J1383*1.4*1.5*1.6*1.6*2.2,42600000*(1.576904^(MIN($E1383,123)-117)))*1,0))</f>
        <v>4369013</v>
      </c>
      <c r="U1383" s="4">
        <f>$E1383+11</f>
        <v>123</v>
      </c>
      <c r="V1383" s="8">
        <f>IF($J1383=0,0,ROUND(MAX($J1383*1.4*1.5*1.6*1.6*2.2*2.715,354000000*(1.642074^(MIN($E1383,123)-117)))*1,0))</f>
        <v>29651020</v>
      </c>
      <c r="W1383" s="6">
        <f>$E1383+15</f>
        <v>127</v>
      </c>
      <c r="X1383" s="7">
        <f>IF($J1383=0,0,ROUND(MAX($J1383*1.4*1.5*1.6*1.6*2.2*2.715*2.6,3540000000*(1.579646^(MIN($E1383,123)-117)))*1,0))</f>
        <v>359918692</v>
      </c>
      <c r="Y1383" s="4">
        <f>$E1383+17</f>
        <v>129</v>
      </c>
      <c r="Z1383" s="8">
        <f>IF($J1383=0,0,ROUND(MAX($J1383*1.4*1.5*1.6*1.6*2.2*2.715*2.6*1.4,6020000000*(1.651178^(MIN($E1383,123)-117)))*1,0))</f>
        <v>490486461</v>
      </c>
      <c r="AA1383" s="6">
        <f>$E1383+19</f>
        <v>131</v>
      </c>
      <c r="AB1383" s="7">
        <f>IF($J1383=0,0,ROUND(MAX($J1383*1.4*1.5*1.6*1.6*2.2*2.715*2.6*1.4*1.4,8430000000*(1.651435^(MIN($E1383,123)-117)))*1,0))</f>
        <v>686309723</v>
      </c>
      <c r="AC1383" s="4">
        <f>$E1383+21</f>
        <v>133</v>
      </c>
      <c r="AD1383" s="8">
        <f>IF($J1383=0,0,ROUND(MAX($J1383*1.4*1.5*1.6*1.6*2.2*2.715*2.6*1.4*1.4*1.5,12600000000*(1.652953^(MIN($E1383,123)-117)))*1,0))</f>
        <v>1021099398</v>
      </c>
      <c r="AE1383" s="6">
        <f>$E1383+24</f>
        <v>136</v>
      </c>
      <c r="AF1383" s="7">
        <f>IF($J1383=0,0,ROUND(MAX($J1383*1.4*1.5*1.6*1.6*2.2*2.715*2.6*1.4*1.4*1.5*1.5,18900000000*(1.65331^(MIN($E1383,123)-117)))*1,0))</f>
        <v>1529996162</v>
      </c>
      <c r="AG1383" s="4">
        <f>$E1383+27</f>
        <v>139</v>
      </c>
      <c r="AH1383" s="8">
        <f>IF($J1383=0,0,ROUND(MAX($J1383*1.4*1.5*1.6*1.6*2.2*2.715*2.6*1.4*1.4*1.5*1.5*3.2,60500000000*(1.654288^(MIN($E1383,123)-117)))*1,0))</f>
        <v>4883146766</v>
      </c>
    </row>
    <row r="1384" ht="27.75" customHeight="1" spans="1:34" x14ac:dyDescent="0.25">
      <c r="A1384" s="3">
        <v>1394</v>
      </c>
      <c r="B1384" s="3" t="s">
        <v>227</v>
      </c>
      <c r="C1384" s="3" t="s">
        <v>1042</v>
      </c>
      <c r="D1384" s="3" t="s">
        <v>40</v>
      </c>
      <c r="E1384" s="3">
        <v>111</v>
      </c>
      <c r="F1384" s="3" t="s">
        <v>56</v>
      </c>
      <c r="G1384" s="3" t="s">
        <v>35</v>
      </c>
      <c r="H1384" s="3">
        <v>27</v>
      </c>
      <c r="I1384" s="4">
        <v>111</v>
      </c>
      <c r="J1384" s="5">
        <v>123000</v>
      </c>
      <c r="K1384" s="6">
        <f>$E1384+1</f>
        <v>112</v>
      </c>
      <c r="L1384" s="7">
        <f>IF($J1384=0,0,ROUND(MAX($J1384*1.4,1620000*(1.497923^(MIN($E1384,123)-117)))*1,0))</f>
        <v>172200</v>
      </c>
      <c r="M1384" s="4">
        <f>$E1384+2</f>
        <v>113</v>
      </c>
      <c r="N1384" s="8">
        <f>IF($J1384=0,0,ROUND(MAX($J1384*1.4*1.5,2190000*(1.580994^(MIN($E1384,123)-117)))*1,0))</f>
        <v>258300</v>
      </c>
      <c r="O1384" s="6">
        <f>$E1384+4</f>
        <v>115</v>
      </c>
      <c r="P1384" s="7">
        <f>IF($J1384=0,0,ROUND(MAX($J1384*1.4*1.5*1.6,3500000*(1.57975^(MIN($E1384,123)-117)))*1,0))</f>
        <v>413280</v>
      </c>
      <c r="Q1384" s="4">
        <f>$E1384+6</f>
        <v>117</v>
      </c>
      <c r="R1384" s="8">
        <f>IF($J1384=0,0,ROUND(MAX($J1384*1.4*1.5*1.6*1.6,13100000*(1.429962^(MIN($E1384,123)-117)))*1,0))</f>
        <v>1532231</v>
      </c>
      <c r="S1384" s="6">
        <f>$E1384+8</f>
        <v>119</v>
      </c>
      <c r="T1384" s="7">
        <f>IF($J1384=0,0,ROUND(MAX($J1384*1.4*1.5*1.6*1.6*2.2,42600000*(1.576904^(MIN($E1384,123)-117)))*1,0))</f>
        <v>2770627</v>
      </c>
      <c r="U1384" s="4">
        <f>$E1384+11</f>
        <v>122</v>
      </c>
      <c r="V1384" s="8">
        <f>IF($J1384=0,0,ROUND(MAX($J1384*1.4*1.5*1.6*1.6*2.2*2.715,354000000*(1.642074^(MIN($E1384,123)-117)))*1,0))</f>
        <v>18057055</v>
      </c>
      <c r="W1384" s="6">
        <f>$E1384+15</f>
        <v>126</v>
      </c>
      <c r="X1384" s="7">
        <f>IF($J1384=0,0,ROUND(MAX($J1384*1.4*1.5*1.6*1.6*2.2*2.715*2.6,3540000000*(1.579646^(MIN($E1384,123)-117)))*1,0))</f>
        <v>227847690</v>
      </c>
      <c r="Y1384" s="4">
        <f>$E1384+17</f>
        <v>128</v>
      </c>
      <c r="Z1384" s="8">
        <f>IF($J1384=0,0,ROUND(MAX($J1384*1.4*1.5*1.6*1.6*2.2*2.715*2.6*1.4,6020000000*(1.651178^(MIN($E1384,123)-117)))*1,0))</f>
        <v>297052444</v>
      </c>
      <c r="AA1384" s="6">
        <f>$E1384+19</f>
        <v>130</v>
      </c>
      <c r="AB1384" s="7">
        <f>IF($J1384=0,0,ROUND(MAX($J1384*1.4*1.5*1.6*1.6*2.2*2.715*2.6*1.4*1.4,8430000000*(1.651435^(MIN($E1384,123)-117)))*1,0))</f>
        <v>415583854</v>
      </c>
      <c r="AC1384" s="4">
        <f>$E1384+21</f>
        <v>132</v>
      </c>
      <c r="AD1384" s="8">
        <f>IF($J1384=0,0,ROUND(MAX($J1384*1.4*1.5*1.6*1.6*2.2*2.715*2.6*1.4*1.4*1.5,12600000000*(1.652953^(MIN($E1384,123)-117)))*1,0))</f>
        <v>617742548</v>
      </c>
      <c r="AE1384" s="6">
        <f>$E1384+24</f>
        <v>135</v>
      </c>
      <c r="AF1384" s="7">
        <f>IF($J1384=0,0,ROUND(MAX($J1384*1.4*1.5*1.6*1.6*2.2*2.715*2.6*1.4*1.4*1.5*1.5,18900000000*(1.65331^(MIN($E1384,123)-117)))*1,0))</f>
        <v>925413965</v>
      </c>
      <c r="AG1384" s="4">
        <f>$E1384+27</f>
        <v>138</v>
      </c>
      <c r="AH1384" s="8">
        <f>IF($J1384=0,0,ROUND(MAX($J1384*1.4*1.5*1.6*1.6*2.2*2.715*2.6*1.4*1.4*1.5*1.5*3.2,60500000000*(1.654288^(MIN($E1384,123)-117)))*1,0))</f>
        <v>2951811756</v>
      </c>
    </row>
    <row r="1385" ht="27.75" customHeight="1" spans="1:34" x14ac:dyDescent="0.25">
      <c r="A1385" s="3">
        <v>1395</v>
      </c>
      <c r="B1385" s="3" t="s">
        <v>118</v>
      </c>
      <c r="C1385" s="3" t="s">
        <v>1042</v>
      </c>
      <c r="D1385" s="3" t="s">
        <v>40</v>
      </c>
      <c r="E1385" s="3">
        <v>111</v>
      </c>
      <c r="F1385" s="3" t="s">
        <v>56</v>
      </c>
      <c r="G1385" s="3" t="s">
        <v>1043</v>
      </c>
      <c r="H1385" s="3">
        <v>27</v>
      </c>
      <c r="I1385" s="4">
        <v>111</v>
      </c>
      <c r="J1385" s="5">
        <v>82100</v>
      </c>
      <c r="K1385" s="6">
        <f>$E1385+1</f>
        <v>112</v>
      </c>
      <c r="L1385" s="7">
        <f>IF($J1385=0,0,ROUND(MAX($J1385*1.4,1620000*(1.497923^(MIN($E1385,123)-117)))*1,0))</f>
        <v>143410</v>
      </c>
      <c r="M1385" s="4">
        <f>$E1385+2</f>
        <v>113</v>
      </c>
      <c r="N1385" s="8">
        <f>IF($J1385=0,0,ROUND(MAX($J1385*1.4*1.5,2190000*(1.580994^(MIN($E1385,123)-117)))*1,0))</f>
        <v>172410</v>
      </c>
      <c r="O1385" s="6">
        <f>$E1385+4</f>
        <v>115</v>
      </c>
      <c r="P1385" s="7">
        <f>IF($J1385=0,0,ROUND(MAX($J1385*1.4*1.5*1.6,3500000*(1.57975^(MIN($E1385,123)-117)))*1,0))</f>
        <v>275856</v>
      </c>
      <c r="Q1385" s="4">
        <f>$E1385+6</f>
        <v>117</v>
      </c>
      <c r="R1385" s="8">
        <f>IF($J1385=0,0,ROUND(MAX($J1385*1.4*1.5*1.6*1.6,13100000*(1.429962^(MIN($E1385,123)-117)))*1,0))</f>
        <v>1532231</v>
      </c>
      <c r="S1385" s="6">
        <f>$E1385+8</f>
        <v>119</v>
      </c>
      <c r="T1385" s="7">
        <f>IF($J1385=0,0,ROUND(MAX($J1385*1.4*1.5*1.6*1.6*2.2,42600000*(1.576904^(MIN($E1385,123)-117)))*1,0))</f>
        <v>2770627</v>
      </c>
      <c r="U1385" s="4">
        <f>$E1385+11</f>
        <v>122</v>
      </c>
      <c r="V1385" s="8">
        <f>IF($J1385=0,0,ROUND(MAX($J1385*1.4*1.5*1.6*1.6*2.2*2.715,354000000*(1.642074^(MIN($E1385,123)-117)))*1,0))</f>
        <v>18057055</v>
      </c>
      <c r="W1385" s="6">
        <f>$E1385+15</f>
        <v>126</v>
      </c>
      <c r="X1385" s="7">
        <f>IF($J1385=0,0,ROUND(MAX($J1385*1.4*1.5*1.6*1.6*2.2*2.715*2.6,3540000000*(1.579646^(MIN($E1385,123)-117)))*1,0))</f>
        <v>227847690</v>
      </c>
      <c r="Y1385" s="4">
        <f>$E1385+17</f>
        <v>128</v>
      </c>
      <c r="Z1385" s="8">
        <f>IF($J1385=0,0,ROUND(MAX($J1385*1.4*1.5*1.6*1.6*2.2*2.715*2.6*1.4,6020000000*(1.651178^(MIN($E1385,123)-117)))*1,0))</f>
        <v>297052444</v>
      </c>
      <c r="AA1385" s="6">
        <f>$E1385+19</f>
        <v>130</v>
      </c>
      <c r="AB1385" s="7">
        <f>IF($J1385=0,0,ROUND(MAX($J1385*1.4*1.5*1.6*1.6*2.2*2.715*2.6*1.4*1.4,8430000000*(1.651435^(MIN($E1385,123)-117)))*1,0))</f>
        <v>415583854</v>
      </c>
      <c r="AC1385" s="4">
        <f>$E1385+21</f>
        <v>132</v>
      </c>
      <c r="AD1385" s="8">
        <f>IF($J1385=0,0,ROUND(MAX($J1385*1.4*1.5*1.6*1.6*2.2*2.715*2.6*1.4*1.4*1.5,12600000000*(1.652953^(MIN($E1385,123)-117)))*1,0))</f>
        <v>617742548</v>
      </c>
      <c r="AE1385" s="6">
        <f>$E1385+24</f>
        <v>135</v>
      </c>
      <c r="AF1385" s="7">
        <f>IF($J1385=0,0,ROUND(MAX($J1385*1.4*1.5*1.6*1.6*2.2*2.715*2.6*1.4*1.4*1.5*1.5,18900000000*(1.65331^(MIN($E1385,123)-117)))*1,0))</f>
        <v>925413965</v>
      </c>
      <c r="AG1385" s="4">
        <f>$E1385+27</f>
        <v>138</v>
      </c>
      <c r="AH1385" s="8">
        <f>IF($J1385=0,0,ROUND(MAX($J1385*1.4*1.5*1.6*1.6*2.2*2.715*2.6*1.4*1.4*1.5*1.5*3.2,60500000000*(1.654288^(MIN($E1385,123)-117)))*1,0))</f>
        <v>2951811756</v>
      </c>
    </row>
    <row r="1386" ht="27.75" customHeight="1" spans="1:34" x14ac:dyDescent="0.25">
      <c r="A1386" s="3">
        <v>1396</v>
      </c>
      <c r="B1386" s="3" t="s">
        <v>153</v>
      </c>
      <c r="C1386" s="3" t="s">
        <v>1042</v>
      </c>
      <c r="D1386" s="3" t="s">
        <v>25</v>
      </c>
      <c r="E1386" s="3">
        <v>111</v>
      </c>
      <c r="F1386" s="3" t="s">
        <v>56</v>
      </c>
      <c r="G1386" s="3" t="s">
        <v>1043</v>
      </c>
      <c r="H1386" s="3">
        <v>27</v>
      </c>
      <c r="I1386" s="4">
        <v>111</v>
      </c>
      <c r="J1386" s="5">
        <v>122000</v>
      </c>
      <c r="K1386" s="6">
        <f>$E1386+1</f>
        <v>112</v>
      </c>
      <c r="L1386" s="7">
        <f>IF($J1386=0,0,ROUND(MAX($J1386*1.4,1620000*(1.497923^(MIN($E1386,123)-117)))*1,0))</f>
        <v>170800</v>
      </c>
      <c r="M1386" s="4">
        <f>$E1386+2</f>
        <v>113</v>
      </c>
      <c r="N1386" s="8">
        <f>IF($J1386=0,0,ROUND(MAX($J1386*1.4*1.5,2190000*(1.580994^(MIN($E1386,123)-117)))*1,0))</f>
        <v>256200</v>
      </c>
      <c r="O1386" s="6">
        <f>$E1386+4</f>
        <v>115</v>
      </c>
      <c r="P1386" s="7">
        <f>IF($J1386=0,0,ROUND(MAX($J1386*1.4*1.5*1.6,3500000*(1.57975^(MIN($E1386,123)-117)))*1,0))</f>
        <v>409920</v>
      </c>
      <c r="Q1386" s="4">
        <f>$E1386+6</f>
        <v>117</v>
      </c>
      <c r="R1386" s="8">
        <f>IF($J1386=0,0,ROUND(MAX($J1386*1.4*1.5*1.6*1.6,13100000*(1.429962^(MIN($E1386,123)-117)))*1,0))</f>
        <v>1532231</v>
      </c>
      <c r="S1386" s="6">
        <f>$E1386+8</f>
        <v>119</v>
      </c>
      <c r="T1386" s="7">
        <f>IF($J1386=0,0,ROUND(MAX($J1386*1.4*1.5*1.6*1.6*2.2,42600000*(1.576904^(MIN($E1386,123)-117)))*1,0))</f>
        <v>2770627</v>
      </c>
      <c r="U1386" s="4">
        <f>$E1386+11</f>
        <v>122</v>
      </c>
      <c r="V1386" s="8">
        <f>IF($J1386=0,0,ROUND(MAX($J1386*1.4*1.5*1.6*1.6*2.2*2.715,354000000*(1.642074^(MIN($E1386,123)-117)))*1,0))</f>
        <v>18057055</v>
      </c>
      <c r="W1386" s="6">
        <f>$E1386+15</f>
        <v>126</v>
      </c>
      <c r="X1386" s="7">
        <f>IF($J1386=0,0,ROUND(MAX($J1386*1.4*1.5*1.6*1.6*2.2*2.715*2.6,3540000000*(1.579646^(MIN($E1386,123)-117)))*1,0))</f>
        <v>227847690</v>
      </c>
      <c r="Y1386" s="4">
        <f>$E1386+17</f>
        <v>128</v>
      </c>
      <c r="Z1386" s="8">
        <f>IF($J1386=0,0,ROUND(MAX($J1386*1.4*1.5*1.6*1.6*2.2*2.715*2.6*1.4,6020000000*(1.651178^(MIN($E1386,123)-117)))*1,0))</f>
        <v>297052444</v>
      </c>
      <c r="AA1386" s="6">
        <f>$E1386+19</f>
        <v>130</v>
      </c>
      <c r="AB1386" s="7">
        <f>IF($J1386=0,0,ROUND(MAX($J1386*1.4*1.5*1.6*1.6*2.2*2.715*2.6*1.4*1.4,8430000000*(1.651435^(MIN($E1386,123)-117)))*1,0))</f>
        <v>415583854</v>
      </c>
      <c r="AC1386" s="4">
        <f>$E1386+21</f>
        <v>132</v>
      </c>
      <c r="AD1386" s="8">
        <f>IF($J1386=0,0,ROUND(MAX($J1386*1.4*1.5*1.6*1.6*2.2*2.715*2.6*1.4*1.4*1.5,12600000000*(1.652953^(MIN($E1386,123)-117)))*1,0))</f>
        <v>617742548</v>
      </c>
      <c r="AE1386" s="6">
        <f>$E1386+24</f>
        <v>135</v>
      </c>
      <c r="AF1386" s="7">
        <f>IF($J1386=0,0,ROUND(MAX($J1386*1.4*1.5*1.6*1.6*2.2*2.715*2.6*1.4*1.4*1.5*1.5,18900000000*(1.65331^(MIN($E1386,123)-117)))*1,0))</f>
        <v>925413965</v>
      </c>
      <c r="AG1386" s="4">
        <f>$E1386+27</f>
        <v>138</v>
      </c>
      <c r="AH1386" s="8">
        <f>IF($J1386=0,0,ROUND(MAX($J1386*1.4*1.5*1.6*1.6*2.2*2.715*2.6*1.4*1.4*1.5*1.5*3.2,60500000000*(1.654288^(MIN($E1386,123)-117)))*1,0))</f>
        <v>2951811756</v>
      </c>
    </row>
    <row r="1387" ht="27.75" customHeight="1" spans="1:34" x14ac:dyDescent="0.25">
      <c r="A1387" s="3">
        <v>1397</v>
      </c>
      <c r="B1387" s="3" t="s">
        <v>149</v>
      </c>
      <c r="C1387" s="3" t="s">
        <v>1042</v>
      </c>
      <c r="D1387" s="3" t="s">
        <v>33</v>
      </c>
      <c r="E1387" s="3">
        <v>111</v>
      </c>
      <c r="F1387" s="3" t="s">
        <v>56</v>
      </c>
      <c r="G1387" s="3" t="s">
        <v>1043</v>
      </c>
      <c r="H1387" s="3">
        <v>27</v>
      </c>
      <c r="I1387" s="4">
        <v>111</v>
      </c>
      <c r="J1387" s="5">
        <v>116000</v>
      </c>
      <c r="K1387" s="6">
        <f>$E1387+1</f>
        <v>112</v>
      </c>
      <c r="L1387" s="7">
        <f>IF($J1387=0,0,ROUND(MAX($J1387*1.4,1620000*(1.497923^(MIN($E1387,123)-117)))*1,0))</f>
        <v>162400</v>
      </c>
      <c r="M1387" s="4">
        <f>$E1387+2</f>
        <v>113</v>
      </c>
      <c r="N1387" s="8">
        <f>IF($J1387=0,0,ROUND(MAX($J1387*1.4*1.5,2190000*(1.580994^(MIN($E1387,123)-117)))*1,0))</f>
        <v>243600</v>
      </c>
      <c r="O1387" s="6">
        <f>$E1387+4</f>
        <v>115</v>
      </c>
      <c r="P1387" s="7">
        <f>IF($J1387=0,0,ROUND(MAX($J1387*1.4*1.5*1.6,3500000*(1.57975^(MIN($E1387,123)-117)))*1,0))</f>
        <v>389760</v>
      </c>
      <c r="Q1387" s="4">
        <f>$E1387+6</f>
        <v>117</v>
      </c>
      <c r="R1387" s="8">
        <f>IF($J1387=0,0,ROUND(MAX($J1387*1.4*1.5*1.6*1.6,13100000*(1.429962^(MIN($E1387,123)-117)))*1,0))</f>
        <v>1532231</v>
      </c>
      <c r="S1387" s="6">
        <f>$E1387+8</f>
        <v>119</v>
      </c>
      <c r="T1387" s="7">
        <f>IF($J1387=0,0,ROUND(MAX($J1387*1.4*1.5*1.6*1.6*2.2,42600000*(1.576904^(MIN($E1387,123)-117)))*1,0))</f>
        <v>2770627</v>
      </c>
      <c r="U1387" s="4">
        <f>$E1387+11</f>
        <v>122</v>
      </c>
      <c r="V1387" s="8">
        <f>IF($J1387=0,0,ROUND(MAX($J1387*1.4*1.5*1.6*1.6*2.2*2.715,354000000*(1.642074^(MIN($E1387,123)-117)))*1,0))</f>
        <v>18057055</v>
      </c>
      <c r="W1387" s="6">
        <f>$E1387+15</f>
        <v>126</v>
      </c>
      <c r="X1387" s="7">
        <f>IF($J1387=0,0,ROUND(MAX($J1387*1.4*1.5*1.6*1.6*2.2*2.715*2.6,3540000000*(1.579646^(MIN($E1387,123)-117)))*1,0))</f>
        <v>227847690</v>
      </c>
      <c r="Y1387" s="4">
        <f>$E1387+17</f>
        <v>128</v>
      </c>
      <c r="Z1387" s="8">
        <f>IF($J1387=0,0,ROUND(MAX($J1387*1.4*1.5*1.6*1.6*2.2*2.715*2.6*1.4,6020000000*(1.651178^(MIN($E1387,123)-117)))*1,0))</f>
        <v>297052444</v>
      </c>
      <c r="AA1387" s="6">
        <f>$E1387+19</f>
        <v>130</v>
      </c>
      <c r="AB1387" s="7">
        <f>IF($J1387=0,0,ROUND(MAX($J1387*1.4*1.5*1.6*1.6*2.2*2.715*2.6*1.4*1.4,8430000000*(1.651435^(MIN($E1387,123)-117)))*1,0))</f>
        <v>415583854</v>
      </c>
      <c r="AC1387" s="4">
        <f>$E1387+21</f>
        <v>132</v>
      </c>
      <c r="AD1387" s="8">
        <f>IF($J1387=0,0,ROUND(MAX($J1387*1.4*1.5*1.6*1.6*2.2*2.715*2.6*1.4*1.4*1.5,12600000000*(1.652953^(MIN($E1387,123)-117)))*1,0))</f>
        <v>617742548</v>
      </c>
      <c r="AE1387" s="6">
        <f>$E1387+24</f>
        <v>135</v>
      </c>
      <c r="AF1387" s="7">
        <f>IF($J1387=0,0,ROUND(MAX($J1387*1.4*1.5*1.6*1.6*2.2*2.715*2.6*1.4*1.4*1.5*1.5,18900000000*(1.65331^(MIN($E1387,123)-117)))*1,0))</f>
        <v>925413965</v>
      </c>
      <c r="AG1387" s="4">
        <f>$E1387+27</f>
        <v>138</v>
      </c>
      <c r="AH1387" s="8">
        <f>IF($J1387=0,0,ROUND(MAX($J1387*1.4*1.5*1.6*1.6*2.2*2.715*2.6*1.4*1.4*1.5*1.5*3.2,60500000000*(1.654288^(MIN($E1387,123)-117)))*1,0))</f>
        <v>2951811756</v>
      </c>
    </row>
    <row r="1388" ht="27.75" customHeight="1" spans="1:34" x14ac:dyDescent="0.25">
      <c r="A1388" s="3">
        <v>1398</v>
      </c>
      <c r="B1388" s="3" t="s">
        <v>160</v>
      </c>
      <c r="C1388" s="3" t="s">
        <v>1042</v>
      </c>
      <c r="D1388" s="3" t="s">
        <v>40</v>
      </c>
      <c r="E1388" s="3">
        <v>111</v>
      </c>
      <c r="F1388" s="3" t="s">
        <v>54</v>
      </c>
      <c r="G1388" s="3" t="s">
        <v>1043</v>
      </c>
      <c r="H1388" s="3">
        <v>27</v>
      </c>
      <c r="I1388" s="4">
        <v>111</v>
      </c>
      <c r="J1388" s="5">
        <v>78800</v>
      </c>
      <c r="K1388" s="6">
        <f>$E1388+1</f>
        <v>112</v>
      </c>
      <c r="L1388" s="7">
        <f>IF($J1388=0,0,ROUND(MAX($J1388*1.4,1620000*(1.497923^(MIN($E1388,123)-117)))*1,0))</f>
        <v>143410</v>
      </c>
      <c r="M1388" s="4">
        <f>$E1388+2</f>
        <v>113</v>
      </c>
      <c r="N1388" s="8">
        <f>IF($J1388=0,0,ROUND(MAX($J1388*1.4*1.5,2190000*(1.580994^(MIN($E1388,123)-117)))*1,0))</f>
        <v>165480</v>
      </c>
      <c r="O1388" s="6">
        <f>$E1388+4</f>
        <v>115</v>
      </c>
      <c r="P1388" s="7">
        <f>IF($J1388=0,0,ROUND(MAX($J1388*1.4*1.5*1.6,3500000*(1.57975^(MIN($E1388,123)-117)))*1,0))</f>
        <v>264768</v>
      </c>
      <c r="Q1388" s="4">
        <f>$E1388+6</f>
        <v>117</v>
      </c>
      <c r="R1388" s="8">
        <f>IF($J1388=0,0,ROUND(MAX($J1388*1.4*1.5*1.6*1.6,13100000*(1.429962^(MIN($E1388,123)-117)))*1,0))</f>
        <v>1532231</v>
      </c>
      <c r="S1388" s="6">
        <f>$E1388+8</f>
        <v>119</v>
      </c>
      <c r="T1388" s="7">
        <f>IF($J1388=0,0,ROUND(MAX($J1388*1.4*1.5*1.6*1.6*2.2,42600000*(1.576904^(MIN($E1388,123)-117)))*1,0))</f>
        <v>2770627</v>
      </c>
      <c r="U1388" s="4">
        <f>$E1388+11</f>
        <v>122</v>
      </c>
      <c r="V1388" s="8">
        <f>IF($J1388=0,0,ROUND(MAX($J1388*1.4*1.5*1.6*1.6*2.2*2.715,354000000*(1.642074^(MIN($E1388,123)-117)))*1,0))</f>
        <v>18057055</v>
      </c>
      <c r="W1388" s="6">
        <f>$E1388+15</f>
        <v>126</v>
      </c>
      <c r="X1388" s="7">
        <f>IF($J1388=0,0,ROUND(MAX($J1388*1.4*1.5*1.6*1.6*2.2*2.715*2.6,3540000000*(1.579646^(MIN($E1388,123)-117)))*1,0))</f>
        <v>227847690</v>
      </c>
      <c r="Y1388" s="4">
        <f>$E1388+17</f>
        <v>128</v>
      </c>
      <c r="Z1388" s="8">
        <f>IF($J1388=0,0,ROUND(MAX($J1388*1.4*1.5*1.6*1.6*2.2*2.715*2.6*1.4,6020000000*(1.651178^(MIN($E1388,123)-117)))*1,0))</f>
        <v>297052444</v>
      </c>
      <c r="AA1388" s="6">
        <f>$E1388+19</f>
        <v>130</v>
      </c>
      <c r="AB1388" s="7">
        <f>IF($J1388=0,0,ROUND(MAX($J1388*1.4*1.5*1.6*1.6*2.2*2.715*2.6*1.4*1.4,8430000000*(1.651435^(MIN($E1388,123)-117)))*1,0))</f>
        <v>415583854</v>
      </c>
      <c r="AC1388" s="4">
        <f>$E1388+21</f>
        <v>132</v>
      </c>
      <c r="AD1388" s="8">
        <f>IF($J1388=0,0,ROUND(MAX($J1388*1.4*1.5*1.6*1.6*2.2*2.715*2.6*1.4*1.4*1.5,12600000000*(1.652953^(MIN($E1388,123)-117)))*1,0))</f>
        <v>617742548</v>
      </c>
      <c r="AE1388" s="6">
        <f>$E1388+24</f>
        <v>135</v>
      </c>
      <c r="AF1388" s="7">
        <f>IF($J1388=0,0,ROUND(MAX($J1388*1.4*1.5*1.6*1.6*2.2*2.715*2.6*1.4*1.4*1.5*1.5,18900000000*(1.65331^(MIN($E1388,123)-117)))*1,0))</f>
        <v>925413965</v>
      </c>
      <c r="AG1388" s="4">
        <f>$E1388+27</f>
        <v>138</v>
      </c>
      <c r="AH1388" s="8">
        <f>IF($J1388=0,0,ROUND(MAX($J1388*1.4*1.5*1.6*1.6*2.2*2.715*2.6*1.4*1.4*1.5*1.5*3.2,60500000000*(1.654288^(MIN($E1388,123)-117)))*1,0))</f>
        <v>2951811756</v>
      </c>
    </row>
    <row r="1389" ht="27.75" customHeight="1" spans="1:34" x14ac:dyDescent="0.25">
      <c r="A1389" s="3">
        <v>1399</v>
      </c>
      <c r="B1389" s="3" t="s">
        <v>130</v>
      </c>
      <c r="C1389" s="3" t="s">
        <v>1042</v>
      </c>
      <c r="D1389" s="3" t="s">
        <v>25</v>
      </c>
      <c r="E1389" s="3">
        <v>111</v>
      </c>
      <c r="F1389" s="3" t="s">
        <v>56</v>
      </c>
      <c r="G1389" s="3" t="s">
        <v>1043</v>
      </c>
      <c r="H1389" s="3">
        <v>27</v>
      </c>
      <c r="I1389" s="4">
        <v>111</v>
      </c>
      <c r="J1389" s="5">
        <v>66100</v>
      </c>
      <c r="K1389" s="6">
        <f>$E1389+1</f>
        <v>112</v>
      </c>
      <c r="L1389" s="7">
        <f>IF($J1389=0,0,ROUND(MAX($J1389*1.4,1620000*(1.497923^(MIN($E1389,123)-117)))*1,0))</f>
        <v>143410</v>
      </c>
      <c r="M1389" s="4">
        <f>$E1389+2</f>
        <v>113</v>
      </c>
      <c r="N1389" s="8">
        <f>IF($J1389=0,0,ROUND(MAX($J1389*1.4*1.5,2190000*(1.580994^(MIN($E1389,123)-117)))*1,0))</f>
        <v>140237</v>
      </c>
      <c r="O1389" s="6">
        <f>$E1389+4</f>
        <v>115</v>
      </c>
      <c r="P1389" s="7">
        <f>IF($J1389=0,0,ROUND(MAX($J1389*1.4*1.5*1.6,3500000*(1.57975^(MIN($E1389,123)-117)))*1,0))</f>
        <v>225184</v>
      </c>
      <c r="Q1389" s="4">
        <f>$E1389+6</f>
        <v>117</v>
      </c>
      <c r="R1389" s="8">
        <f>IF($J1389=0,0,ROUND(MAX($J1389*1.4*1.5*1.6*1.6,13100000*(1.429962^(MIN($E1389,123)-117)))*1,0))</f>
        <v>1532231</v>
      </c>
      <c r="S1389" s="6">
        <f>$E1389+8</f>
        <v>119</v>
      </c>
      <c r="T1389" s="7">
        <f>IF($J1389=0,0,ROUND(MAX($J1389*1.4*1.5*1.6*1.6*2.2,42600000*(1.576904^(MIN($E1389,123)-117)))*1,0))</f>
        <v>2770627</v>
      </c>
      <c r="U1389" s="4">
        <f>$E1389+11</f>
        <v>122</v>
      </c>
      <c r="V1389" s="8">
        <f>IF($J1389=0,0,ROUND(MAX($J1389*1.4*1.5*1.6*1.6*2.2*2.715,354000000*(1.642074^(MIN($E1389,123)-117)))*1,0))</f>
        <v>18057055</v>
      </c>
      <c r="W1389" s="6">
        <f>$E1389+15</f>
        <v>126</v>
      </c>
      <c r="X1389" s="7">
        <f>IF($J1389=0,0,ROUND(MAX($J1389*1.4*1.5*1.6*1.6*2.2*2.715*2.6,3540000000*(1.579646^(MIN($E1389,123)-117)))*1,0))</f>
        <v>227847690</v>
      </c>
      <c r="Y1389" s="4">
        <f>$E1389+17</f>
        <v>128</v>
      </c>
      <c r="Z1389" s="8">
        <f>IF($J1389=0,0,ROUND(MAX($J1389*1.4*1.5*1.6*1.6*2.2*2.715*2.6*1.4,6020000000*(1.651178^(MIN($E1389,123)-117)))*1,0))</f>
        <v>297052444</v>
      </c>
      <c r="AA1389" s="6">
        <f>$E1389+19</f>
        <v>130</v>
      </c>
      <c r="AB1389" s="7">
        <f>IF($J1389=0,0,ROUND(MAX($J1389*1.4*1.5*1.6*1.6*2.2*2.715*2.6*1.4*1.4,8430000000*(1.651435^(MIN($E1389,123)-117)))*1,0))</f>
        <v>415583854</v>
      </c>
      <c r="AC1389" s="4">
        <f>$E1389+21</f>
        <v>132</v>
      </c>
      <c r="AD1389" s="8">
        <f>IF($J1389=0,0,ROUND(MAX($J1389*1.4*1.5*1.6*1.6*2.2*2.715*2.6*1.4*1.4*1.5,12600000000*(1.652953^(MIN($E1389,123)-117)))*1,0))</f>
        <v>617742548</v>
      </c>
      <c r="AE1389" s="6">
        <f>$E1389+24</f>
        <v>135</v>
      </c>
      <c r="AF1389" s="7">
        <f>IF($J1389=0,0,ROUND(MAX($J1389*1.4*1.5*1.6*1.6*2.2*2.715*2.6*1.4*1.4*1.5*1.5,18900000000*(1.65331^(MIN($E1389,123)-117)))*1,0))</f>
        <v>925413965</v>
      </c>
      <c r="AG1389" s="4">
        <f>$E1389+27</f>
        <v>138</v>
      </c>
      <c r="AH1389" s="8">
        <f>IF($J1389=0,0,ROUND(MAX($J1389*1.4*1.5*1.6*1.6*2.2*2.715*2.6*1.4*1.4*1.5*1.5*3.2,60500000000*(1.654288^(MIN($E1389,123)-117)))*1,0))</f>
        <v>2951811756</v>
      </c>
    </row>
    <row r="1390" ht="27.75" customHeight="1" spans="1:34" x14ac:dyDescent="0.25">
      <c r="A1390" s="3">
        <v>1400</v>
      </c>
      <c r="B1390" s="3" t="s">
        <v>148</v>
      </c>
      <c r="C1390" s="3" t="s">
        <v>1042</v>
      </c>
      <c r="D1390" s="3" t="s">
        <v>45</v>
      </c>
      <c r="E1390" s="3">
        <v>111</v>
      </c>
      <c r="F1390" s="3" t="s">
        <v>54</v>
      </c>
      <c r="G1390" s="3" t="s">
        <v>1043</v>
      </c>
      <c r="H1390" s="3">
        <v>27</v>
      </c>
      <c r="I1390" s="4">
        <v>111</v>
      </c>
      <c r="J1390" s="5">
        <v>151000</v>
      </c>
      <c r="K1390" s="6">
        <f>$E1390+1</f>
        <v>112</v>
      </c>
      <c r="L1390" s="7">
        <f>IF($J1390=0,0,ROUND(MAX($J1390*1.4,1620000*(1.497923^(MIN($E1390,123)-117)))*1,0))</f>
        <v>211400</v>
      </c>
      <c r="M1390" s="4">
        <f>$E1390+2</f>
        <v>113</v>
      </c>
      <c r="N1390" s="8">
        <f>IF($J1390=0,0,ROUND(MAX($J1390*1.4*1.5,2190000*(1.580994^(MIN($E1390,123)-117)))*1,0))</f>
        <v>317100</v>
      </c>
      <c r="O1390" s="6">
        <f>$E1390+4</f>
        <v>115</v>
      </c>
      <c r="P1390" s="7">
        <f>IF($J1390=0,0,ROUND(MAX($J1390*1.4*1.5*1.6,3500000*(1.57975^(MIN($E1390,123)-117)))*1,0))</f>
        <v>507360</v>
      </c>
      <c r="Q1390" s="4">
        <f>$E1390+6</f>
        <v>117</v>
      </c>
      <c r="R1390" s="8">
        <f>IF($J1390=0,0,ROUND(MAX($J1390*1.4*1.5*1.6*1.6,13100000*(1.429962^(MIN($E1390,123)-117)))*1,0))</f>
        <v>1532231</v>
      </c>
      <c r="S1390" s="6">
        <f>$E1390+8</f>
        <v>119</v>
      </c>
      <c r="T1390" s="7">
        <f>IF($J1390=0,0,ROUND(MAX($J1390*1.4*1.5*1.6*1.6*2.2,42600000*(1.576904^(MIN($E1390,123)-117)))*1,0))</f>
        <v>2770627</v>
      </c>
      <c r="U1390" s="4">
        <f>$E1390+11</f>
        <v>122</v>
      </c>
      <c r="V1390" s="8">
        <f>IF($J1390=0,0,ROUND(MAX($J1390*1.4*1.5*1.6*1.6*2.2*2.715,354000000*(1.642074^(MIN($E1390,123)-117)))*1,0))</f>
        <v>18057055</v>
      </c>
      <c r="W1390" s="6">
        <f>$E1390+15</f>
        <v>126</v>
      </c>
      <c r="X1390" s="7">
        <f>IF($J1390=0,0,ROUND(MAX($J1390*1.4*1.5*1.6*1.6*2.2*2.715*2.6,3540000000*(1.579646^(MIN($E1390,123)-117)))*1,0))</f>
        <v>227847690</v>
      </c>
      <c r="Y1390" s="4">
        <f>$E1390+17</f>
        <v>128</v>
      </c>
      <c r="Z1390" s="8">
        <f>IF($J1390=0,0,ROUND(MAX($J1390*1.4*1.5*1.6*1.6*2.2*2.715*2.6*1.4,6020000000*(1.651178^(MIN($E1390,123)-117)))*1,0))</f>
        <v>297052444</v>
      </c>
      <c r="AA1390" s="6">
        <f>$E1390+19</f>
        <v>130</v>
      </c>
      <c r="AB1390" s="7">
        <f>IF($J1390=0,0,ROUND(MAX($J1390*1.4*1.5*1.6*1.6*2.2*2.715*2.6*1.4*1.4,8430000000*(1.651435^(MIN($E1390,123)-117)))*1,0))</f>
        <v>415583854</v>
      </c>
      <c r="AC1390" s="4">
        <f>$E1390+21</f>
        <v>132</v>
      </c>
      <c r="AD1390" s="8">
        <f>IF($J1390=0,0,ROUND(MAX($J1390*1.4*1.5*1.6*1.6*2.2*2.715*2.6*1.4*1.4*1.5,12600000000*(1.652953^(MIN($E1390,123)-117)))*1,0))</f>
        <v>617742548</v>
      </c>
      <c r="AE1390" s="6">
        <f>$E1390+24</f>
        <v>135</v>
      </c>
      <c r="AF1390" s="7">
        <f>IF($J1390=0,0,ROUND(MAX($J1390*1.4*1.5*1.6*1.6*2.2*2.715*2.6*1.4*1.4*1.5*1.5,18900000000*(1.65331^(MIN($E1390,123)-117)))*1,0))</f>
        <v>925413965</v>
      </c>
      <c r="AG1390" s="4">
        <f>$E1390+27</f>
        <v>138</v>
      </c>
      <c r="AH1390" s="8">
        <f>IF($J1390=0,0,ROUND(MAX($J1390*1.4*1.5*1.6*1.6*2.2*2.715*2.6*1.4*1.4*1.5*1.5*3.2,60500000000*(1.654288^(MIN($E1390,123)-117)))*1,0))</f>
        <v>2951811756</v>
      </c>
    </row>
    <row r="1391" ht="27.75" customHeight="1" spans="1:34" x14ac:dyDescent="0.25">
      <c r="A1391" s="3">
        <v>1401</v>
      </c>
      <c r="B1391" s="3" t="s">
        <v>159</v>
      </c>
      <c r="C1391" s="3" t="s">
        <v>1042</v>
      </c>
      <c r="D1391" s="3" t="s">
        <v>25</v>
      </c>
      <c r="E1391" s="3">
        <v>111</v>
      </c>
      <c r="F1391" s="3" t="s">
        <v>42</v>
      </c>
      <c r="G1391" s="3" t="s">
        <v>1043</v>
      </c>
      <c r="H1391" s="3">
        <v>27</v>
      </c>
      <c r="I1391" s="4">
        <v>111</v>
      </c>
      <c r="J1391" s="5">
        <v>167000</v>
      </c>
      <c r="K1391" s="6">
        <f>$E1391+1</f>
        <v>112</v>
      </c>
      <c r="L1391" s="7">
        <f>IF($J1391=0,0,ROUND(MAX($J1391*1.4,1620000*(1.497923^(MIN($E1391,123)-117)))*1,0))</f>
        <v>233800</v>
      </c>
      <c r="M1391" s="4">
        <f>$E1391+2</f>
        <v>113</v>
      </c>
      <c r="N1391" s="8">
        <f>IF($J1391=0,0,ROUND(MAX($J1391*1.4*1.5,2190000*(1.580994^(MIN($E1391,123)-117)))*1,0))</f>
        <v>350700</v>
      </c>
      <c r="O1391" s="6">
        <f>$E1391+4</f>
        <v>115</v>
      </c>
      <c r="P1391" s="7">
        <f>IF($J1391=0,0,ROUND(MAX($J1391*1.4*1.5*1.6,3500000*(1.57975^(MIN($E1391,123)-117)))*1,0))</f>
        <v>561120</v>
      </c>
      <c r="Q1391" s="4">
        <f>$E1391+6</f>
        <v>117</v>
      </c>
      <c r="R1391" s="8">
        <f>IF($J1391=0,0,ROUND(MAX($J1391*1.4*1.5*1.6*1.6,13100000*(1.429962^(MIN($E1391,123)-117)))*1,0))</f>
        <v>1532231</v>
      </c>
      <c r="S1391" s="6">
        <f>$E1391+8</f>
        <v>119</v>
      </c>
      <c r="T1391" s="7">
        <f>IF($J1391=0,0,ROUND(MAX($J1391*1.4*1.5*1.6*1.6*2.2,42600000*(1.576904^(MIN($E1391,123)-117)))*1,0))</f>
        <v>2770627</v>
      </c>
      <c r="U1391" s="4">
        <f>$E1391+11</f>
        <v>122</v>
      </c>
      <c r="V1391" s="8">
        <f>IF($J1391=0,0,ROUND(MAX($J1391*1.4*1.5*1.6*1.6*2.2*2.715,354000000*(1.642074^(MIN($E1391,123)-117)))*1,0))</f>
        <v>18057055</v>
      </c>
      <c r="W1391" s="6">
        <f>$E1391+15</f>
        <v>126</v>
      </c>
      <c r="X1391" s="7">
        <f>IF($J1391=0,0,ROUND(MAX($J1391*1.4*1.5*1.6*1.6*2.2*2.715*2.6,3540000000*(1.579646^(MIN($E1391,123)-117)))*1,0))</f>
        <v>227847690</v>
      </c>
      <c r="Y1391" s="4">
        <f>$E1391+17</f>
        <v>128</v>
      </c>
      <c r="Z1391" s="8">
        <f>IF($J1391=0,0,ROUND(MAX($J1391*1.4*1.5*1.6*1.6*2.2*2.715*2.6*1.4,6020000000*(1.651178^(MIN($E1391,123)-117)))*1,0))</f>
        <v>297052444</v>
      </c>
      <c r="AA1391" s="6">
        <f>$E1391+19</f>
        <v>130</v>
      </c>
      <c r="AB1391" s="7">
        <f>IF($J1391=0,0,ROUND(MAX($J1391*1.4*1.5*1.6*1.6*2.2*2.715*2.6*1.4*1.4,8430000000*(1.651435^(MIN($E1391,123)-117)))*1,0))</f>
        <v>415583854</v>
      </c>
      <c r="AC1391" s="4">
        <f>$E1391+21</f>
        <v>132</v>
      </c>
      <c r="AD1391" s="8">
        <f>IF($J1391=0,0,ROUND(MAX($J1391*1.4*1.5*1.6*1.6*2.2*2.715*2.6*1.4*1.4*1.5,12600000000*(1.652953^(MIN($E1391,123)-117)))*1,0))</f>
        <v>617742548</v>
      </c>
      <c r="AE1391" s="6">
        <f>$E1391+24</f>
        <v>135</v>
      </c>
      <c r="AF1391" s="7">
        <f>IF($J1391=0,0,ROUND(MAX($J1391*1.4*1.5*1.6*1.6*2.2*2.715*2.6*1.4*1.4*1.5*1.5,18900000000*(1.65331^(MIN($E1391,123)-117)))*1,0))</f>
        <v>925413965</v>
      </c>
      <c r="AG1391" s="4">
        <f>$E1391+27</f>
        <v>138</v>
      </c>
      <c r="AH1391" s="8">
        <f>IF($J1391=0,0,ROUND(MAX($J1391*1.4*1.5*1.6*1.6*2.2*2.715*2.6*1.4*1.4*1.5*1.5*3.2,60500000000*(1.654288^(MIN($E1391,123)-117)))*1,0))</f>
        <v>2951811756</v>
      </c>
    </row>
    <row r="1392" ht="27.75" customHeight="1" spans="1:34" x14ac:dyDescent="0.25">
      <c r="A1392" s="3">
        <v>1402</v>
      </c>
      <c r="B1392" s="3" t="s">
        <v>131</v>
      </c>
      <c r="C1392" s="3" t="s">
        <v>1042</v>
      </c>
      <c r="D1392" s="3" t="s">
        <v>40</v>
      </c>
      <c r="E1392" s="3">
        <v>111</v>
      </c>
      <c r="F1392" s="3" t="s">
        <v>132</v>
      </c>
      <c r="G1392" s="3" t="s">
        <v>1043</v>
      </c>
      <c r="H1392" s="3">
        <v>26</v>
      </c>
      <c r="I1392" s="4">
        <v>111</v>
      </c>
      <c r="J1392" s="5">
        <v>97800</v>
      </c>
      <c r="K1392" s="6">
        <f>$E1392+1</f>
        <v>112</v>
      </c>
      <c r="L1392" s="7">
        <f>IF($J1392=0,0,ROUND(MAX($J1392*1.4,1620000*(1.497923^(MIN($E1392,123)-117)))*1,0))</f>
        <v>143410</v>
      </c>
      <c r="M1392" s="4">
        <f>$E1392+2</f>
        <v>113</v>
      </c>
      <c r="N1392" s="8">
        <f>IF($J1392=0,0,ROUND(MAX($J1392*1.4*1.5,2190000*(1.580994^(MIN($E1392,123)-117)))*1,0))</f>
        <v>205380</v>
      </c>
      <c r="O1392" s="6">
        <f>$E1392+4</f>
        <v>115</v>
      </c>
      <c r="P1392" s="7">
        <f>IF($J1392=0,0,ROUND(MAX($J1392*1.4*1.5*1.6,3500000*(1.57975^(MIN($E1392,123)-117)))*1,0))</f>
        <v>328608</v>
      </c>
      <c r="Q1392" s="4">
        <f>$E1392+6</f>
        <v>117</v>
      </c>
      <c r="R1392" s="8">
        <f>IF($J1392=0,0,ROUND(MAX($J1392*1.4*1.5*1.6*1.6,13100000*(1.429962^(MIN($E1392,123)-117)))*1,0))</f>
        <v>1532231</v>
      </c>
      <c r="S1392" s="6">
        <f>$E1392+8</f>
        <v>119</v>
      </c>
      <c r="T1392" s="7">
        <f>IF($J1392=0,0,ROUND(MAX($J1392*1.4*1.5*1.6*1.6*2.2,42600000*(1.576904^(MIN($E1392,123)-117)))*1,0))</f>
        <v>2770627</v>
      </c>
      <c r="U1392" s="4">
        <f>$E1392+11</f>
        <v>122</v>
      </c>
      <c r="V1392" s="8">
        <f>IF($J1392=0,0,ROUND(MAX($J1392*1.4*1.5*1.6*1.6*2.2*2.715,354000000*(1.642074^(MIN($E1392,123)-117)))*1,0))</f>
        <v>18057055</v>
      </c>
      <c r="W1392" s="6">
        <f>$E1392+15</f>
        <v>126</v>
      </c>
      <c r="X1392" s="7">
        <f>IF($J1392=0,0,ROUND(MAX($J1392*1.4*1.5*1.6*1.6*2.2*2.715*2.6,3540000000*(1.579646^(MIN($E1392,123)-117)))*1,0))</f>
        <v>227847690</v>
      </c>
      <c r="Y1392" s="4">
        <f>$E1392+17</f>
        <v>128</v>
      </c>
      <c r="Z1392" s="8">
        <f>IF($J1392=0,0,ROUND(MAX($J1392*1.4*1.5*1.6*1.6*2.2*2.715*2.6*1.4,6020000000*(1.651178^(MIN($E1392,123)-117)))*1,0))</f>
        <v>297052444</v>
      </c>
      <c r="AA1392" s="6">
        <f>$E1392+19</f>
        <v>130</v>
      </c>
      <c r="AB1392" s="7">
        <f>IF($J1392=0,0,ROUND(MAX($J1392*1.4*1.5*1.6*1.6*2.2*2.715*2.6*1.4*1.4,8430000000*(1.651435^(MIN($E1392,123)-117)))*1,0))</f>
        <v>415583854</v>
      </c>
      <c r="AC1392" s="4">
        <f>$E1392+21</f>
        <v>132</v>
      </c>
      <c r="AD1392" s="8">
        <f>IF($J1392=0,0,ROUND(MAX($J1392*1.4*1.5*1.6*1.6*2.2*2.715*2.6*1.4*1.4*1.5,12600000000*(1.652953^(MIN($E1392,123)-117)))*1,0))</f>
        <v>617742548</v>
      </c>
      <c r="AE1392" s="6">
        <f>$E1392+24</f>
        <v>135</v>
      </c>
      <c r="AF1392" s="7">
        <f>IF($J1392=0,0,ROUND(MAX($J1392*1.4*1.5*1.6*1.6*2.2*2.715*2.6*1.4*1.4*1.5*1.5,18900000000*(1.65331^(MIN($E1392,123)-117)))*1,0))</f>
        <v>925413965</v>
      </c>
      <c r="AG1392" s="4">
        <f>$E1392+27</f>
        <v>138</v>
      </c>
      <c r="AH1392" s="8">
        <f>IF($J1392=0,0,ROUND(MAX($J1392*1.4*1.5*1.6*1.6*2.2*2.715*2.6*1.4*1.4*1.5*1.5*3.2,60500000000*(1.654288^(MIN($E1392,123)-117)))*1,0))</f>
        <v>2951811756</v>
      </c>
    </row>
    <row r="1393" ht="27.75" customHeight="1" spans="1:34" x14ac:dyDescent="0.25">
      <c r="A1393" s="3">
        <v>1403</v>
      </c>
      <c r="B1393" s="3" t="s">
        <v>135</v>
      </c>
      <c r="C1393" s="3" t="s">
        <v>1042</v>
      </c>
      <c r="D1393" s="3" t="s">
        <v>29</v>
      </c>
      <c r="E1393" s="3">
        <v>111</v>
      </c>
      <c r="F1393" s="3" t="s">
        <v>136</v>
      </c>
      <c r="G1393" s="3" t="s">
        <v>1043</v>
      </c>
      <c r="H1393" s="3">
        <v>26</v>
      </c>
      <c r="I1393" s="4">
        <v>111</v>
      </c>
      <c r="J1393" s="5">
        <v>62900</v>
      </c>
      <c r="K1393" s="6">
        <f>$E1393+1</f>
        <v>112</v>
      </c>
      <c r="L1393" s="7">
        <f>IF($J1393=0,0,ROUND(MAX($J1393*1.4,1620000*(1.497923^(MIN($E1393,123)-117)))*1,0))</f>
        <v>143410</v>
      </c>
      <c r="M1393" s="4">
        <f>$E1393+2</f>
        <v>113</v>
      </c>
      <c r="N1393" s="8">
        <f>IF($J1393=0,0,ROUND(MAX($J1393*1.4*1.5,2190000*(1.580994^(MIN($E1393,123)-117)))*1,0))</f>
        <v>140237</v>
      </c>
      <c r="O1393" s="6">
        <f>$E1393+4</f>
        <v>115</v>
      </c>
      <c r="P1393" s="7">
        <f>IF($J1393=0,0,ROUND(MAX($J1393*1.4*1.5*1.6,3500000*(1.57975^(MIN($E1393,123)-117)))*1,0))</f>
        <v>225184</v>
      </c>
      <c r="Q1393" s="4">
        <f>$E1393+6</f>
        <v>117</v>
      </c>
      <c r="R1393" s="8">
        <f>IF($J1393=0,0,ROUND(MAX($J1393*1.4*1.5*1.6*1.6,13100000*(1.429962^(MIN($E1393,123)-117)))*1,0))</f>
        <v>1532231</v>
      </c>
      <c r="S1393" s="6">
        <f>$E1393+8</f>
        <v>119</v>
      </c>
      <c r="T1393" s="7">
        <f>IF($J1393=0,0,ROUND(MAX($J1393*1.4*1.5*1.6*1.6*2.2,42600000*(1.576904^(MIN($E1393,123)-117)))*1,0))</f>
        <v>2770627</v>
      </c>
      <c r="U1393" s="4">
        <f>$E1393+11</f>
        <v>122</v>
      </c>
      <c r="V1393" s="8">
        <f>IF($J1393=0,0,ROUND(MAX($J1393*1.4*1.5*1.6*1.6*2.2*2.715,354000000*(1.642074^(MIN($E1393,123)-117)))*1,0))</f>
        <v>18057055</v>
      </c>
      <c r="W1393" s="6">
        <f>$E1393+15</f>
        <v>126</v>
      </c>
      <c r="X1393" s="7">
        <f>IF($J1393=0,0,ROUND(MAX($J1393*1.4*1.5*1.6*1.6*2.2*2.715*2.6,3540000000*(1.579646^(MIN($E1393,123)-117)))*1,0))</f>
        <v>227847690</v>
      </c>
      <c r="Y1393" s="4">
        <f>$E1393+17</f>
        <v>128</v>
      </c>
      <c r="Z1393" s="8">
        <f>IF($J1393=0,0,ROUND(MAX($J1393*1.4*1.5*1.6*1.6*2.2*2.715*2.6*1.4,6020000000*(1.651178^(MIN($E1393,123)-117)))*1,0))</f>
        <v>297052444</v>
      </c>
      <c r="AA1393" s="6">
        <f>$E1393+19</f>
        <v>130</v>
      </c>
      <c r="AB1393" s="7">
        <f>IF($J1393=0,0,ROUND(MAX($J1393*1.4*1.5*1.6*1.6*2.2*2.715*2.6*1.4*1.4,8430000000*(1.651435^(MIN($E1393,123)-117)))*1,0))</f>
        <v>415583854</v>
      </c>
      <c r="AC1393" s="4">
        <f>$E1393+21</f>
        <v>132</v>
      </c>
      <c r="AD1393" s="8">
        <f>IF($J1393=0,0,ROUND(MAX($J1393*1.4*1.5*1.6*1.6*2.2*2.715*2.6*1.4*1.4*1.5,12600000000*(1.652953^(MIN($E1393,123)-117)))*1,0))</f>
        <v>617742548</v>
      </c>
      <c r="AE1393" s="6">
        <f>$E1393+24</f>
        <v>135</v>
      </c>
      <c r="AF1393" s="7">
        <f>IF($J1393=0,0,ROUND(MAX($J1393*1.4*1.5*1.6*1.6*2.2*2.715*2.6*1.4*1.4*1.5*1.5,18900000000*(1.65331^(MIN($E1393,123)-117)))*1,0))</f>
        <v>925413965</v>
      </c>
      <c r="AG1393" s="4">
        <f>$E1393+27</f>
        <v>138</v>
      </c>
      <c r="AH1393" s="8">
        <f>IF($J1393=0,0,ROUND(MAX($J1393*1.4*1.5*1.6*1.6*2.2*2.715*2.6*1.4*1.4*1.5*1.5*3.2,60500000000*(1.654288^(MIN($E1393,123)-117)))*1,0))</f>
        <v>2951811756</v>
      </c>
    </row>
    <row r="1394" ht="27.75" customHeight="1" spans="1:34" x14ac:dyDescent="0.25">
      <c r="A1394" s="3">
        <v>1404</v>
      </c>
      <c r="B1394" s="3" t="s">
        <v>535</v>
      </c>
      <c r="C1394" s="3" t="s">
        <v>1042</v>
      </c>
      <c r="D1394" s="3" t="s">
        <v>79</v>
      </c>
      <c r="E1394" s="3">
        <v>111</v>
      </c>
      <c r="F1394" s="3" t="s">
        <v>34</v>
      </c>
      <c r="G1394" s="3" t="s">
        <v>462</v>
      </c>
      <c r="H1394" s="3">
        <v>26</v>
      </c>
      <c r="I1394" s="4">
        <v>111</v>
      </c>
      <c r="J1394" s="5">
        <v>193000</v>
      </c>
      <c r="K1394" s="6">
        <f>$E1394+1</f>
        <v>112</v>
      </c>
      <c r="L1394" s="7">
        <f>IF($J1394=0,0,ROUND(MAX($J1394*1.4,1620000*(1.497923^(MIN($E1394,123)-117)))*1,0))</f>
        <v>270200</v>
      </c>
      <c r="M1394" s="4">
        <f>$E1394+2</f>
        <v>113</v>
      </c>
      <c r="N1394" s="8">
        <f>IF($J1394=0,0,ROUND(MAX($J1394*1.4*1.5,2190000*(1.580994^(MIN($E1394,123)-117)))*1,0))</f>
        <v>405300</v>
      </c>
      <c r="O1394" s="6">
        <f>$E1394+4</f>
        <v>115</v>
      </c>
      <c r="P1394" s="7">
        <f>IF($J1394=0,0,ROUND(MAX($J1394*1.4*1.5*1.6,3500000*(1.57975^(MIN($E1394,123)-117)))*1,0))</f>
        <v>648480</v>
      </c>
      <c r="Q1394" s="4">
        <f>$E1394+6</f>
        <v>117</v>
      </c>
      <c r="R1394" s="8">
        <f>IF($J1394=0,0,ROUND(MAX($J1394*1.4*1.5*1.6*1.6,13100000*(1.429962^(MIN($E1394,123)-117)))*1,0))</f>
        <v>1532231</v>
      </c>
      <c r="S1394" s="6">
        <f>$E1394+8</f>
        <v>119</v>
      </c>
      <c r="T1394" s="7">
        <f>IF($J1394=0,0,ROUND(MAX($J1394*1.4*1.5*1.6*1.6*2.2,42600000*(1.576904^(MIN($E1394,123)-117)))*1,0))</f>
        <v>2770627</v>
      </c>
      <c r="U1394" s="4">
        <f>$E1394+11</f>
        <v>122</v>
      </c>
      <c r="V1394" s="8">
        <f>IF($J1394=0,0,ROUND(MAX($J1394*1.4*1.5*1.6*1.6*2.2*2.715,354000000*(1.642074^(MIN($E1394,123)-117)))*1,0))</f>
        <v>18057055</v>
      </c>
      <c r="W1394" s="6">
        <f>$E1394+15</f>
        <v>126</v>
      </c>
      <c r="X1394" s="7">
        <f>IF($J1394=0,0,ROUND(MAX($J1394*1.4*1.5*1.6*1.6*2.2*2.715*2.6,3540000000*(1.579646^(MIN($E1394,123)-117)))*1,0))</f>
        <v>227847690</v>
      </c>
      <c r="Y1394" s="4">
        <f>$E1394+17</f>
        <v>128</v>
      </c>
      <c r="Z1394" s="8">
        <f>IF($J1394=0,0,ROUND(MAX($J1394*1.4*1.5*1.6*1.6*2.2*2.715*2.6*1.4,6020000000*(1.651178^(MIN($E1394,123)-117)))*1,0))</f>
        <v>297052444</v>
      </c>
      <c r="AA1394" s="6">
        <f>$E1394+19</f>
        <v>130</v>
      </c>
      <c r="AB1394" s="7">
        <f>IF($J1394=0,0,ROUND(MAX($J1394*1.4*1.5*1.6*1.6*2.2*2.715*2.6*1.4*1.4,8430000000*(1.651435^(MIN($E1394,123)-117)))*1,0))</f>
        <v>415583854</v>
      </c>
      <c r="AC1394" s="4">
        <f>$E1394+21</f>
        <v>132</v>
      </c>
      <c r="AD1394" s="8">
        <f>IF($J1394=0,0,ROUND(MAX($J1394*1.4*1.5*1.6*1.6*2.2*2.715*2.6*1.4*1.4*1.5,12600000000*(1.652953^(MIN($E1394,123)-117)))*1,0))</f>
        <v>617742548</v>
      </c>
      <c r="AE1394" s="6">
        <f>$E1394+24</f>
        <v>135</v>
      </c>
      <c r="AF1394" s="7">
        <f>IF($J1394=0,0,ROUND(MAX($J1394*1.4*1.5*1.6*1.6*2.2*2.715*2.6*1.4*1.4*1.5*1.5,18900000000*(1.65331^(MIN($E1394,123)-117)))*1,0))</f>
        <v>925413965</v>
      </c>
      <c r="AG1394" s="4">
        <f>$E1394+27</f>
        <v>138</v>
      </c>
      <c r="AH1394" s="8">
        <f>IF($J1394=0,0,ROUND(MAX($J1394*1.4*1.5*1.6*1.6*2.2*2.715*2.6*1.4*1.4*1.5*1.5*3.2,60500000000*(1.654288^(MIN($E1394,123)-117)))*1,0))</f>
        <v>2951811756</v>
      </c>
    </row>
    <row r="1395" ht="27.75" customHeight="1" spans="1:34" x14ac:dyDescent="0.25">
      <c r="A1395" s="3">
        <v>1405</v>
      </c>
      <c r="B1395" s="3" t="s">
        <v>644</v>
      </c>
      <c r="C1395" s="3" t="s">
        <v>1042</v>
      </c>
      <c r="D1395" s="3" t="s">
        <v>33</v>
      </c>
      <c r="E1395" s="3">
        <v>111</v>
      </c>
      <c r="F1395" s="3" t="s">
        <v>310</v>
      </c>
      <c r="G1395" s="3" t="s">
        <v>1043</v>
      </c>
      <c r="H1395" s="3">
        <v>26</v>
      </c>
      <c r="I1395" s="4">
        <v>111</v>
      </c>
      <c r="J1395" s="5">
        <v>93300</v>
      </c>
      <c r="K1395" s="6">
        <f>$E1395+1</f>
        <v>112</v>
      </c>
      <c r="L1395" s="7">
        <f>IF($J1395=0,0,ROUND(MAX($J1395*1.4,1620000*(1.497923^(MIN($E1395,123)-117)))*1,0))</f>
        <v>143410</v>
      </c>
      <c r="M1395" s="4">
        <f>$E1395+2</f>
        <v>113</v>
      </c>
      <c r="N1395" s="8">
        <f>IF($J1395=0,0,ROUND(MAX($J1395*1.4*1.5,2190000*(1.580994^(MIN($E1395,123)-117)))*1,0))</f>
        <v>195930</v>
      </c>
      <c r="O1395" s="6">
        <f>$E1395+4</f>
        <v>115</v>
      </c>
      <c r="P1395" s="7">
        <f>IF($J1395=0,0,ROUND(MAX($J1395*1.4*1.5*1.6,3500000*(1.57975^(MIN($E1395,123)-117)))*1,0))</f>
        <v>313488</v>
      </c>
      <c r="Q1395" s="4">
        <f>$E1395+6</f>
        <v>117</v>
      </c>
      <c r="R1395" s="8">
        <f>IF($J1395=0,0,ROUND(MAX($J1395*1.4*1.5*1.6*1.6,13100000*(1.429962^(MIN($E1395,123)-117)))*1,0))</f>
        <v>1532231</v>
      </c>
      <c r="S1395" s="6">
        <f>$E1395+8</f>
        <v>119</v>
      </c>
      <c r="T1395" s="7">
        <f>IF($J1395=0,0,ROUND(MAX($J1395*1.4*1.5*1.6*1.6*2.2,42600000*(1.576904^(MIN($E1395,123)-117)))*1,0))</f>
        <v>2770627</v>
      </c>
      <c r="U1395" s="4">
        <f>$E1395+11</f>
        <v>122</v>
      </c>
      <c r="V1395" s="8">
        <f>IF($J1395=0,0,ROUND(MAX($J1395*1.4*1.5*1.6*1.6*2.2*2.715,354000000*(1.642074^(MIN($E1395,123)-117)))*1,0))</f>
        <v>18057055</v>
      </c>
      <c r="W1395" s="6">
        <f>$E1395+15</f>
        <v>126</v>
      </c>
      <c r="X1395" s="7">
        <f>IF($J1395=0,0,ROUND(MAX($J1395*1.4*1.5*1.6*1.6*2.2*2.715*2.6,3540000000*(1.579646^(MIN($E1395,123)-117)))*1,0))</f>
        <v>227847690</v>
      </c>
      <c r="Y1395" s="4">
        <f>$E1395+17</f>
        <v>128</v>
      </c>
      <c r="Z1395" s="8">
        <f>IF($J1395=0,0,ROUND(MAX($J1395*1.4*1.5*1.6*1.6*2.2*2.715*2.6*1.4,6020000000*(1.651178^(MIN($E1395,123)-117)))*1,0))</f>
        <v>297052444</v>
      </c>
      <c r="AA1395" s="6">
        <f>$E1395+19</f>
        <v>130</v>
      </c>
      <c r="AB1395" s="7">
        <f>IF($J1395=0,0,ROUND(MAX($J1395*1.4*1.5*1.6*1.6*2.2*2.715*2.6*1.4*1.4,8430000000*(1.651435^(MIN($E1395,123)-117)))*1,0))</f>
        <v>415583854</v>
      </c>
      <c r="AC1395" s="4">
        <f>$E1395+21</f>
        <v>132</v>
      </c>
      <c r="AD1395" s="8">
        <f>IF($J1395=0,0,ROUND(MAX($J1395*1.4*1.5*1.6*1.6*2.2*2.715*2.6*1.4*1.4*1.5,12600000000*(1.652953^(MIN($E1395,123)-117)))*1,0))</f>
        <v>617742548</v>
      </c>
      <c r="AE1395" s="6">
        <f>$E1395+24</f>
        <v>135</v>
      </c>
      <c r="AF1395" s="7">
        <f>IF($J1395=0,0,ROUND(MAX($J1395*1.4*1.5*1.6*1.6*2.2*2.715*2.6*1.4*1.4*1.5*1.5,18900000000*(1.65331^(MIN($E1395,123)-117)))*1,0))</f>
        <v>925413965</v>
      </c>
      <c r="AG1395" s="4">
        <f>$E1395+27</f>
        <v>138</v>
      </c>
      <c r="AH1395" s="8">
        <f>IF($J1395=0,0,ROUND(MAX($J1395*1.4*1.5*1.6*1.6*2.2*2.715*2.6*1.4*1.4*1.5*1.5*3.2,60500000000*(1.654288^(MIN($E1395,123)-117)))*1,0))</f>
        <v>2951811756</v>
      </c>
    </row>
    <row r="1396" ht="27.75" customHeight="1" spans="1:34" x14ac:dyDescent="0.25">
      <c r="A1396" s="3">
        <v>1406</v>
      </c>
      <c r="B1396" s="3" t="s">
        <v>156</v>
      </c>
      <c r="C1396" s="3" t="s">
        <v>1042</v>
      </c>
      <c r="D1396" s="3" t="s">
        <v>45</v>
      </c>
      <c r="E1396" s="3">
        <v>111</v>
      </c>
      <c r="F1396" s="3" t="s">
        <v>34</v>
      </c>
      <c r="G1396" s="3" t="s">
        <v>1043</v>
      </c>
      <c r="H1396" s="3">
        <v>26</v>
      </c>
      <c r="I1396" s="4">
        <v>111</v>
      </c>
      <c r="J1396" s="5">
        <v>135000</v>
      </c>
      <c r="K1396" s="6">
        <f>$E1396+1</f>
        <v>112</v>
      </c>
      <c r="L1396" s="7">
        <f>IF($J1396=0,0,ROUND(MAX($J1396*1.4,1620000*(1.497923^(MIN($E1396,123)-117)))*1,0))</f>
        <v>189000</v>
      </c>
      <c r="M1396" s="4">
        <f>$E1396+2</f>
        <v>113</v>
      </c>
      <c r="N1396" s="8">
        <f>IF($J1396=0,0,ROUND(MAX($J1396*1.4*1.5,2190000*(1.580994^(MIN($E1396,123)-117)))*1,0))</f>
        <v>283500</v>
      </c>
      <c r="O1396" s="6">
        <f>$E1396+4</f>
        <v>115</v>
      </c>
      <c r="P1396" s="7">
        <f>IF($J1396=0,0,ROUND(MAX($J1396*1.4*1.5*1.6,3500000*(1.57975^(MIN($E1396,123)-117)))*1,0))</f>
        <v>453600</v>
      </c>
      <c r="Q1396" s="4">
        <f>$E1396+6</f>
        <v>117</v>
      </c>
      <c r="R1396" s="8">
        <f>IF($J1396=0,0,ROUND(MAX($J1396*1.4*1.5*1.6*1.6,13100000*(1.429962^(MIN($E1396,123)-117)))*1,0))</f>
        <v>1532231</v>
      </c>
      <c r="S1396" s="6">
        <f>$E1396+8</f>
        <v>119</v>
      </c>
      <c r="T1396" s="7">
        <f>IF($J1396=0,0,ROUND(MAX($J1396*1.4*1.5*1.6*1.6*2.2,42600000*(1.576904^(MIN($E1396,123)-117)))*1,0))</f>
        <v>2770627</v>
      </c>
      <c r="U1396" s="4">
        <f>$E1396+11</f>
        <v>122</v>
      </c>
      <c r="V1396" s="8">
        <f>IF($J1396=0,0,ROUND(MAX($J1396*1.4*1.5*1.6*1.6*2.2*2.715,354000000*(1.642074^(MIN($E1396,123)-117)))*1,0))</f>
        <v>18057055</v>
      </c>
      <c r="W1396" s="6">
        <f>$E1396+15</f>
        <v>126</v>
      </c>
      <c r="X1396" s="7">
        <f>IF($J1396=0,0,ROUND(MAX($J1396*1.4*1.5*1.6*1.6*2.2*2.715*2.6,3540000000*(1.579646^(MIN($E1396,123)-117)))*1,0))</f>
        <v>227847690</v>
      </c>
      <c r="Y1396" s="4">
        <f>$E1396+17</f>
        <v>128</v>
      </c>
      <c r="Z1396" s="8">
        <f>IF($J1396=0,0,ROUND(MAX($J1396*1.4*1.5*1.6*1.6*2.2*2.715*2.6*1.4,6020000000*(1.651178^(MIN($E1396,123)-117)))*1,0))</f>
        <v>297052444</v>
      </c>
      <c r="AA1396" s="6">
        <f>$E1396+19</f>
        <v>130</v>
      </c>
      <c r="AB1396" s="7">
        <f>IF($J1396=0,0,ROUND(MAX($J1396*1.4*1.5*1.6*1.6*2.2*2.715*2.6*1.4*1.4,8430000000*(1.651435^(MIN($E1396,123)-117)))*1,0))</f>
        <v>415583854</v>
      </c>
      <c r="AC1396" s="4">
        <f>$E1396+21</f>
        <v>132</v>
      </c>
      <c r="AD1396" s="8">
        <f>IF($J1396=0,0,ROUND(MAX($J1396*1.4*1.5*1.6*1.6*2.2*2.715*2.6*1.4*1.4*1.5,12600000000*(1.652953^(MIN($E1396,123)-117)))*1,0))</f>
        <v>617742548</v>
      </c>
      <c r="AE1396" s="6">
        <f>$E1396+24</f>
        <v>135</v>
      </c>
      <c r="AF1396" s="7">
        <f>IF($J1396=0,0,ROUND(MAX($J1396*1.4*1.5*1.6*1.6*2.2*2.715*2.6*1.4*1.4*1.5*1.5,18900000000*(1.65331^(MIN($E1396,123)-117)))*1,0))</f>
        <v>925413965</v>
      </c>
      <c r="AG1396" s="4">
        <f>$E1396+27</f>
        <v>138</v>
      </c>
      <c r="AH1396" s="8">
        <f>IF($J1396=0,0,ROUND(MAX($J1396*1.4*1.5*1.6*1.6*2.2*2.715*2.6*1.4*1.4*1.5*1.5*3.2,60500000000*(1.654288^(MIN($E1396,123)-117)))*1,0))</f>
        <v>2951811756</v>
      </c>
    </row>
    <row r="1397" ht="27.75" customHeight="1" spans="1:34" x14ac:dyDescent="0.25">
      <c r="A1397" s="3">
        <v>1407</v>
      </c>
      <c r="B1397" s="3" t="s">
        <v>127</v>
      </c>
      <c r="C1397" s="3" t="s">
        <v>1042</v>
      </c>
      <c r="D1397" s="3" t="s">
        <v>33</v>
      </c>
      <c r="E1397" s="3">
        <v>111</v>
      </c>
      <c r="F1397" s="3" t="s">
        <v>71</v>
      </c>
      <c r="G1397" s="3" t="s">
        <v>1043</v>
      </c>
      <c r="H1397" s="3">
        <v>26</v>
      </c>
      <c r="I1397" s="4">
        <v>111</v>
      </c>
      <c r="J1397" s="5">
        <v>56200</v>
      </c>
      <c r="K1397" s="6">
        <f>$E1397+1</f>
        <v>112</v>
      </c>
      <c r="L1397" s="7">
        <f>IF($J1397=0,0,ROUND(MAX($J1397*1.4,1620000*(1.497923^(MIN($E1397,123)-117)))*1,0))</f>
        <v>143410</v>
      </c>
      <c r="M1397" s="4">
        <f>$E1397+2</f>
        <v>113</v>
      </c>
      <c r="N1397" s="8">
        <f>IF($J1397=0,0,ROUND(MAX($J1397*1.4*1.5,2190000*(1.580994^(MIN($E1397,123)-117)))*1,0))</f>
        <v>140237</v>
      </c>
      <c r="O1397" s="6">
        <f>$E1397+4</f>
        <v>115</v>
      </c>
      <c r="P1397" s="7">
        <f>IF($J1397=0,0,ROUND(MAX($J1397*1.4*1.5*1.6,3500000*(1.57975^(MIN($E1397,123)-117)))*1,0))</f>
        <v>225184</v>
      </c>
      <c r="Q1397" s="4">
        <f>$E1397+6</f>
        <v>117</v>
      </c>
      <c r="R1397" s="8">
        <f>IF($J1397=0,0,ROUND(MAX($J1397*1.4*1.5*1.6*1.6,13100000*(1.429962^(MIN($E1397,123)-117)))*1,0))</f>
        <v>1532231</v>
      </c>
      <c r="S1397" s="6">
        <f>$E1397+8</f>
        <v>119</v>
      </c>
      <c r="T1397" s="7">
        <f>IF($J1397=0,0,ROUND(MAX($J1397*1.4*1.5*1.6*1.6*2.2,42600000*(1.576904^(MIN($E1397,123)-117)))*1,0))</f>
        <v>2770627</v>
      </c>
      <c r="U1397" s="4">
        <f>$E1397+11</f>
        <v>122</v>
      </c>
      <c r="V1397" s="8">
        <f>IF($J1397=0,0,ROUND(MAX($J1397*1.4*1.5*1.6*1.6*2.2*2.715,354000000*(1.642074^(MIN($E1397,123)-117)))*1,0))</f>
        <v>18057055</v>
      </c>
      <c r="W1397" s="6">
        <f>$E1397+15</f>
        <v>126</v>
      </c>
      <c r="X1397" s="7">
        <f>IF($J1397=0,0,ROUND(MAX($J1397*1.4*1.5*1.6*1.6*2.2*2.715*2.6,3540000000*(1.579646^(MIN($E1397,123)-117)))*1,0))</f>
        <v>227847690</v>
      </c>
      <c r="Y1397" s="4">
        <f>$E1397+17</f>
        <v>128</v>
      </c>
      <c r="Z1397" s="8">
        <f>IF($J1397=0,0,ROUND(MAX($J1397*1.4*1.5*1.6*1.6*2.2*2.715*2.6*1.4,6020000000*(1.651178^(MIN($E1397,123)-117)))*1,0))</f>
        <v>297052444</v>
      </c>
      <c r="AA1397" s="6">
        <f>$E1397+19</f>
        <v>130</v>
      </c>
      <c r="AB1397" s="7">
        <f>IF($J1397=0,0,ROUND(MAX($J1397*1.4*1.5*1.6*1.6*2.2*2.715*2.6*1.4*1.4,8430000000*(1.651435^(MIN($E1397,123)-117)))*1,0))</f>
        <v>415583854</v>
      </c>
      <c r="AC1397" s="4">
        <f>$E1397+21</f>
        <v>132</v>
      </c>
      <c r="AD1397" s="8">
        <f>IF($J1397=0,0,ROUND(MAX($J1397*1.4*1.5*1.6*1.6*2.2*2.715*2.6*1.4*1.4*1.5,12600000000*(1.652953^(MIN($E1397,123)-117)))*1,0))</f>
        <v>617742548</v>
      </c>
      <c r="AE1397" s="6">
        <f>$E1397+24</f>
        <v>135</v>
      </c>
      <c r="AF1397" s="7">
        <f>IF($J1397=0,0,ROUND(MAX($J1397*1.4*1.5*1.6*1.6*2.2*2.715*2.6*1.4*1.4*1.5*1.5,18900000000*(1.65331^(MIN($E1397,123)-117)))*1,0))</f>
        <v>925413965</v>
      </c>
      <c r="AG1397" s="4">
        <f>$E1397+27</f>
        <v>138</v>
      </c>
      <c r="AH1397" s="8">
        <f>IF($J1397=0,0,ROUND(MAX($J1397*1.4*1.5*1.6*1.6*2.2*2.715*2.6*1.4*1.4*1.5*1.5*3.2,60500000000*(1.654288^(MIN($E1397,123)-117)))*1,0))</f>
        <v>2951811756</v>
      </c>
    </row>
    <row r="1398" ht="27.75" customHeight="1" spans="1:34" x14ac:dyDescent="0.25">
      <c r="A1398" s="3">
        <v>1408</v>
      </c>
      <c r="B1398" s="3" t="s">
        <v>94</v>
      </c>
      <c r="C1398" s="3" t="s">
        <v>1042</v>
      </c>
      <c r="D1398" s="3" t="s">
        <v>29</v>
      </c>
      <c r="E1398" s="3">
        <v>111</v>
      </c>
      <c r="F1398" s="3" t="s">
        <v>42</v>
      </c>
      <c r="G1398" s="3" t="s">
        <v>1043</v>
      </c>
      <c r="H1398" s="3">
        <v>26</v>
      </c>
      <c r="I1398" s="4">
        <v>111</v>
      </c>
      <c r="J1398" s="5">
        <v>79400</v>
      </c>
      <c r="K1398" s="6">
        <f>$E1398+1</f>
        <v>112</v>
      </c>
      <c r="L1398" s="7">
        <f>IF($J1398=0,0,ROUND(MAX($J1398*1.4,1620000*(1.497923^(MIN($E1398,123)-117)))*1,0))</f>
        <v>143410</v>
      </c>
      <c r="M1398" s="4">
        <f>$E1398+2</f>
        <v>113</v>
      </c>
      <c r="N1398" s="8">
        <f>IF($J1398=0,0,ROUND(MAX($J1398*1.4*1.5,2190000*(1.580994^(MIN($E1398,123)-117)))*1,0))</f>
        <v>166740</v>
      </c>
      <c r="O1398" s="6">
        <f>$E1398+4</f>
        <v>115</v>
      </c>
      <c r="P1398" s="7">
        <f>IF($J1398=0,0,ROUND(MAX($J1398*1.4*1.5*1.6,3500000*(1.57975^(MIN($E1398,123)-117)))*1,0))</f>
        <v>266784</v>
      </c>
      <c r="Q1398" s="4">
        <f>$E1398+6</f>
        <v>117</v>
      </c>
      <c r="R1398" s="8">
        <f>IF($J1398=0,0,ROUND(MAX($J1398*1.4*1.5*1.6*1.6,13100000*(1.429962^(MIN($E1398,123)-117)))*1,0))</f>
        <v>1532231</v>
      </c>
      <c r="S1398" s="6">
        <f>$E1398+8</f>
        <v>119</v>
      </c>
      <c r="T1398" s="7">
        <f>IF($J1398=0,0,ROUND(MAX($J1398*1.4*1.5*1.6*1.6*2.2,42600000*(1.576904^(MIN($E1398,123)-117)))*1,0))</f>
        <v>2770627</v>
      </c>
      <c r="U1398" s="4">
        <f>$E1398+11</f>
        <v>122</v>
      </c>
      <c r="V1398" s="8">
        <f>IF($J1398=0,0,ROUND(MAX($J1398*1.4*1.5*1.6*1.6*2.2*2.715,354000000*(1.642074^(MIN($E1398,123)-117)))*1,0))</f>
        <v>18057055</v>
      </c>
      <c r="W1398" s="6">
        <f>$E1398+15</f>
        <v>126</v>
      </c>
      <c r="X1398" s="7">
        <f>IF($J1398=0,0,ROUND(MAX($J1398*1.4*1.5*1.6*1.6*2.2*2.715*2.6,3540000000*(1.579646^(MIN($E1398,123)-117)))*1,0))</f>
        <v>227847690</v>
      </c>
      <c r="Y1398" s="4">
        <f>$E1398+17</f>
        <v>128</v>
      </c>
      <c r="Z1398" s="8">
        <f>IF($J1398=0,0,ROUND(MAX($J1398*1.4*1.5*1.6*1.6*2.2*2.715*2.6*1.4,6020000000*(1.651178^(MIN($E1398,123)-117)))*1,0))</f>
        <v>297052444</v>
      </c>
      <c r="AA1398" s="6">
        <f>$E1398+19</f>
        <v>130</v>
      </c>
      <c r="AB1398" s="7">
        <f>IF($J1398=0,0,ROUND(MAX($J1398*1.4*1.5*1.6*1.6*2.2*2.715*2.6*1.4*1.4,8430000000*(1.651435^(MIN($E1398,123)-117)))*1,0))</f>
        <v>415583854</v>
      </c>
      <c r="AC1398" s="4">
        <f>$E1398+21</f>
        <v>132</v>
      </c>
      <c r="AD1398" s="8">
        <f>IF($J1398=0,0,ROUND(MAX($J1398*1.4*1.5*1.6*1.6*2.2*2.715*2.6*1.4*1.4*1.5,12600000000*(1.652953^(MIN($E1398,123)-117)))*1,0))</f>
        <v>617742548</v>
      </c>
      <c r="AE1398" s="6">
        <f>$E1398+24</f>
        <v>135</v>
      </c>
      <c r="AF1398" s="7">
        <f>IF($J1398=0,0,ROUND(MAX($J1398*1.4*1.5*1.6*1.6*2.2*2.715*2.6*1.4*1.4*1.5*1.5,18900000000*(1.65331^(MIN($E1398,123)-117)))*1,0))</f>
        <v>925413965</v>
      </c>
      <c r="AG1398" s="4">
        <f>$E1398+27</f>
        <v>138</v>
      </c>
      <c r="AH1398" s="8">
        <f>IF($J1398=0,0,ROUND(MAX($J1398*1.4*1.5*1.6*1.6*2.2*2.715*2.6*1.4*1.4*1.5*1.5*3.2,60500000000*(1.654288^(MIN($E1398,123)-117)))*1,0))</f>
        <v>2951811756</v>
      </c>
    </row>
    <row r="1399" ht="27.75" customHeight="1" spans="1:34" x14ac:dyDescent="0.25">
      <c r="A1399" s="3">
        <v>1409</v>
      </c>
      <c r="B1399" s="3" t="s">
        <v>83</v>
      </c>
      <c r="C1399" s="3" t="s">
        <v>1042</v>
      </c>
      <c r="D1399" s="3" t="s">
        <v>33</v>
      </c>
      <c r="E1399" s="3">
        <v>111</v>
      </c>
      <c r="F1399" s="3" t="s">
        <v>62</v>
      </c>
      <c r="G1399" s="3" t="s">
        <v>1043</v>
      </c>
      <c r="H1399" s="3">
        <v>26</v>
      </c>
      <c r="I1399" s="4">
        <v>111</v>
      </c>
      <c r="J1399" s="5">
        <v>166000</v>
      </c>
      <c r="K1399" s="6">
        <f>$E1399+1</f>
        <v>112</v>
      </c>
      <c r="L1399" s="7">
        <f>IF($J1399=0,0,ROUND(MAX($J1399*1.4,1620000*(1.497923^(MIN($E1399,123)-117)))*1,0))</f>
        <v>232400</v>
      </c>
      <c r="M1399" s="4">
        <f>$E1399+2</f>
        <v>113</v>
      </c>
      <c r="N1399" s="8">
        <f>IF($J1399=0,0,ROUND(MAX($J1399*1.4*1.5,2190000*(1.580994^(MIN($E1399,123)-117)))*1,0))</f>
        <v>348600</v>
      </c>
      <c r="O1399" s="6">
        <f>$E1399+4</f>
        <v>115</v>
      </c>
      <c r="P1399" s="7">
        <f>IF($J1399=0,0,ROUND(MAX($J1399*1.4*1.5*1.6,3500000*(1.57975^(MIN($E1399,123)-117)))*1,0))</f>
        <v>557760</v>
      </c>
      <c r="Q1399" s="4">
        <f>$E1399+6</f>
        <v>117</v>
      </c>
      <c r="R1399" s="8">
        <f>IF($J1399=0,0,ROUND(MAX($J1399*1.4*1.5*1.6*1.6,13100000*(1.429962^(MIN($E1399,123)-117)))*1,0))</f>
        <v>1532231</v>
      </c>
      <c r="S1399" s="6">
        <f>$E1399+8</f>
        <v>119</v>
      </c>
      <c r="T1399" s="7">
        <f>IF($J1399=0,0,ROUND(MAX($J1399*1.4*1.5*1.6*1.6*2.2,42600000*(1.576904^(MIN($E1399,123)-117)))*1,0))</f>
        <v>2770627</v>
      </c>
      <c r="U1399" s="4">
        <f>$E1399+11</f>
        <v>122</v>
      </c>
      <c r="V1399" s="8">
        <f>IF($J1399=0,0,ROUND(MAX($J1399*1.4*1.5*1.6*1.6*2.2*2.715,354000000*(1.642074^(MIN($E1399,123)-117)))*1,0))</f>
        <v>18057055</v>
      </c>
      <c r="W1399" s="6">
        <f>$E1399+15</f>
        <v>126</v>
      </c>
      <c r="X1399" s="7">
        <f>IF($J1399=0,0,ROUND(MAX($J1399*1.4*1.5*1.6*1.6*2.2*2.715*2.6,3540000000*(1.579646^(MIN($E1399,123)-117)))*1,0))</f>
        <v>227847690</v>
      </c>
      <c r="Y1399" s="4">
        <f>$E1399+17</f>
        <v>128</v>
      </c>
      <c r="Z1399" s="8">
        <f>IF($J1399=0,0,ROUND(MAX($J1399*1.4*1.5*1.6*1.6*2.2*2.715*2.6*1.4,6020000000*(1.651178^(MIN($E1399,123)-117)))*1,0))</f>
        <v>297052444</v>
      </c>
      <c r="AA1399" s="6">
        <f>$E1399+19</f>
        <v>130</v>
      </c>
      <c r="AB1399" s="7">
        <f>IF($J1399=0,0,ROUND(MAX($J1399*1.4*1.5*1.6*1.6*2.2*2.715*2.6*1.4*1.4,8430000000*(1.651435^(MIN($E1399,123)-117)))*1,0))</f>
        <v>415583854</v>
      </c>
      <c r="AC1399" s="4">
        <f>$E1399+21</f>
        <v>132</v>
      </c>
      <c r="AD1399" s="8">
        <f>IF($J1399=0,0,ROUND(MAX($J1399*1.4*1.5*1.6*1.6*2.2*2.715*2.6*1.4*1.4*1.5,12600000000*(1.652953^(MIN($E1399,123)-117)))*1,0))</f>
        <v>617742548</v>
      </c>
      <c r="AE1399" s="6">
        <f>$E1399+24</f>
        <v>135</v>
      </c>
      <c r="AF1399" s="7">
        <f>IF($J1399=0,0,ROUND(MAX($J1399*1.4*1.5*1.6*1.6*2.2*2.715*2.6*1.4*1.4*1.5*1.5,18900000000*(1.65331^(MIN($E1399,123)-117)))*1,0))</f>
        <v>925413965</v>
      </c>
      <c r="AG1399" s="4">
        <f>$E1399+27</f>
        <v>138</v>
      </c>
      <c r="AH1399" s="8">
        <f>IF($J1399=0,0,ROUND(MAX($J1399*1.4*1.5*1.6*1.6*2.2*2.715*2.6*1.4*1.4*1.5*1.5*3.2,60500000000*(1.654288^(MIN($E1399,123)-117)))*1,0))</f>
        <v>2951811756</v>
      </c>
    </row>
    <row r="1400" ht="27.75" customHeight="1" spans="1:34" x14ac:dyDescent="0.25">
      <c r="A1400" s="3">
        <v>1410</v>
      </c>
      <c r="B1400" s="3" t="s">
        <v>114</v>
      </c>
      <c r="C1400" s="3" t="s">
        <v>1042</v>
      </c>
      <c r="D1400" s="3" t="s">
        <v>75</v>
      </c>
      <c r="E1400" s="3">
        <v>111</v>
      </c>
      <c r="F1400" s="3" t="s">
        <v>30</v>
      </c>
      <c r="G1400" s="3" t="s">
        <v>1043</v>
      </c>
      <c r="H1400" s="3">
        <v>26</v>
      </c>
      <c r="I1400" s="4">
        <v>111</v>
      </c>
      <c r="J1400" s="5">
        <v>88200</v>
      </c>
      <c r="K1400" s="6">
        <f>$E1400+1</f>
        <v>112</v>
      </c>
      <c r="L1400" s="7">
        <f>IF($J1400=0,0,ROUND(MAX($J1400*1.4,1620000*(1.497923^(MIN($E1400,123)-117)))*1,0))</f>
        <v>143410</v>
      </c>
      <c r="M1400" s="4">
        <f>$E1400+2</f>
        <v>113</v>
      </c>
      <c r="N1400" s="8">
        <f>IF($J1400=0,0,ROUND(MAX($J1400*1.4*1.5,2190000*(1.580994^(MIN($E1400,123)-117)))*1,0))</f>
        <v>185220</v>
      </c>
      <c r="O1400" s="6">
        <f>$E1400+4</f>
        <v>115</v>
      </c>
      <c r="P1400" s="7">
        <f>IF($J1400=0,0,ROUND(MAX($J1400*1.4*1.5*1.6,3500000*(1.57975^(MIN($E1400,123)-117)))*1,0))</f>
        <v>296352</v>
      </c>
      <c r="Q1400" s="4">
        <f>$E1400+6</f>
        <v>117</v>
      </c>
      <c r="R1400" s="8">
        <f>IF($J1400=0,0,ROUND(MAX($J1400*1.4*1.5*1.6*1.6,13100000*(1.429962^(MIN($E1400,123)-117)))*1,0))</f>
        <v>1532231</v>
      </c>
      <c r="S1400" s="6">
        <f>$E1400+8</f>
        <v>119</v>
      </c>
      <c r="T1400" s="7">
        <f>IF($J1400=0,0,ROUND(MAX($J1400*1.4*1.5*1.6*1.6*2.2,42600000*(1.576904^(MIN($E1400,123)-117)))*1,0))</f>
        <v>2770627</v>
      </c>
      <c r="U1400" s="4">
        <f>$E1400+11</f>
        <v>122</v>
      </c>
      <c r="V1400" s="8">
        <f>IF($J1400=0,0,ROUND(MAX($J1400*1.4*1.5*1.6*1.6*2.2*2.715,354000000*(1.642074^(MIN($E1400,123)-117)))*1,0))</f>
        <v>18057055</v>
      </c>
      <c r="W1400" s="6">
        <f>$E1400+15</f>
        <v>126</v>
      </c>
      <c r="X1400" s="7">
        <f>IF($J1400=0,0,ROUND(MAX($J1400*1.4*1.5*1.6*1.6*2.2*2.715*2.6,3540000000*(1.579646^(MIN($E1400,123)-117)))*1,0))</f>
        <v>227847690</v>
      </c>
      <c r="Y1400" s="4">
        <f>$E1400+17</f>
        <v>128</v>
      </c>
      <c r="Z1400" s="8">
        <f>IF($J1400=0,0,ROUND(MAX($J1400*1.4*1.5*1.6*1.6*2.2*2.715*2.6*1.4,6020000000*(1.651178^(MIN($E1400,123)-117)))*1,0))</f>
        <v>297052444</v>
      </c>
      <c r="AA1400" s="6">
        <f>$E1400+19</f>
        <v>130</v>
      </c>
      <c r="AB1400" s="7">
        <f>IF($J1400=0,0,ROUND(MAX($J1400*1.4*1.5*1.6*1.6*2.2*2.715*2.6*1.4*1.4,8430000000*(1.651435^(MIN($E1400,123)-117)))*1,0))</f>
        <v>415583854</v>
      </c>
      <c r="AC1400" s="4">
        <f>$E1400+21</f>
        <v>132</v>
      </c>
      <c r="AD1400" s="8">
        <f>IF($J1400=0,0,ROUND(MAX($J1400*1.4*1.5*1.6*1.6*2.2*2.715*2.6*1.4*1.4*1.5,12600000000*(1.652953^(MIN($E1400,123)-117)))*1,0))</f>
        <v>617742548</v>
      </c>
      <c r="AE1400" s="6">
        <f>$E1400+24</f>
        <v>135</v>
      </c>
      <c r="AF1400" s="7">
        <f>IF($J1400=0,0,ROUND(MAX($J1400*1.4*1.5*1.6*1.6*2.2*2.715*2.6*1.4*1.4*1.5*1.5,18900000000*(1.65331^(MIN($E1400,123)-117)))*1,0))</f>
        <v>925413965</v>
      </c>
      <c r="AG1400" s="4">
        <f>$E1400+27</f>
        <v>138</v>
      </c>
      <c r="AH1400" s="8">
        <f>IF($J1400=0,0,ROUND(MAX($J1400*1.4*1.5*1.6*1.6*2.2*2.715*2.6*1.4*1.4*1.5*1.5*3.2,60500000000*(1.654288^(MIN($E1400,123)-117)))*1,0))</f>
        <v>2951811756</v>
      </c>
    </row>
    <row r="1401" ht="27.75" customHeight="1" spans="1:34" x14ac:dyDescent="0.25">
      <c r="A1401" s="3">
        <v>1411</v>
      </c>
      <c r="B1401" s="3" t="s">
        <v>92</v>
      </c>
      <c r="C1401" s="3" t="s">
        <v>1042</v>
      </c>
      <c r="D1401" s="3" t="s">
        <v>93</v>
      </c>
      <c r="E1401" s="3">
        <v>111</v>
      </c>
      <c r="F1401" s="3" t="s">
        <v>56</v>
      </c>
      <c r="G1401" s="3" t="s">
        <v>1043</v>
      </c>
      <c r="H1401" s="3">
        <v>26</v>
      </c>
      <c r="I1401" s="4">
        <v>111</v>
      </c>
      <c r="J1401" s="5">
        <v>122000</v>
      </c>
      <c r="K1401" s="6">
        <f>$E1401+1</f>
        <v>112</v>
      </c>
      <c r="L1401" s="7">
        <f>IF($J1401=0,0,ROUND(MAX($J1401*1.4,1620000*(1.497923^(MIN($E1401,123)-117)))*1,0))</f>
        <v>170800</v>
      </c>
      <c r="M1401" s="4">
        <f>$E1401+2</f>
        <v>113</v>
      </c>
      <c r="N1401" s="8">
        <f>IF($J1401=0,0,ROUND(MAX($J1401*1.4*1.5,2190000*(1.580994^(MIN($E1401,123)-117)))*1,0))</f>
        <v>256200</v>
      </c>
      <c r="O1401" s="6">
        <f>$E1401+4</f>
        <v>115</v>
      </c>
      <c r="P1401" s="7">
        <f>IF($J1401=0,0,ROUND(MAX($J1401*1.4*1.5*1.6,3500000*(1.57975^(MIN($E1401,123)-117)))*1,0))</f>
        <v>409920</v>
      </c>
      <c r="Q1401" s="4">
        <f>$E1401+6</f>
        <v>117</v>
      </c>
      <c r="R1401" s="8">
        <f>IF($J1401=0,0,ROUND(MAX($J1401*1.4*1.5*1.6*1.6,13100000*(1.429962^(MIN($E1401,123)-117)))*1,0))</f>
        <v>1532231</v>
      </c>
      <c r="S1401" s="6">
        <f>$E1401+8</f>
        <v>119</v>
      </c>
      <c r="T1401" s="7">
        <f>IF($J1401=0,0,ROUND(MAX($J1401*1.4*1.5*1.6*1.6*2.2,42600000*(1.576904^(MIN($E1401,123)-117)))*1,0))</f>
        <v>2770627</v>
      </c>
      <c r="U1401" s="4">
        <f>$E1401+11</f>
        <v>122</v>
      </c>
      <c r="V1401" s="8">
        <f>IF($J1401=0,0,ROUND(MAX($J1401*1.4*1.5*1.6*1.6*2.2*2.715,354000000*(1.642074^(MIN($E1401,123)-117)))*1,0))</f>
        <v>18057055</v>
      </c>
      <c r="W1401" s="6">
        <f>$E1401+15</f>
        <v>126</v>
      </c>
      <c r="X1401" s="7">
        <f>IF($J1401=0,0,ROUND(MAX($J1401*1.4*1.5*1.6*1.6*2.2*2.715*2.6,3540000000*(1.579646^(MIN($E1401,123)-117)))*1,0))</f>
        <v>227847690</v>
      </c>
      <c r="Y1401" s="4">
        <f>$E1401+17</f>
        <v>128</v>
      </c>
      <c r="Z1401" s="8">
        <f>IF($J1401=0,0,ROUND(MAX($J1401*1.4*1.5*1.6*1.6*2.2*2.715*2.6*1.4,6020000000*(1.651178^(MIN($E1401,123)-117)))*1,0))</f>
        <v>297052444</v>
      </c>
      <c r="AA1401" s="6">
        <f>$E1401+19</f>
        <v>130</v>
      </c>
      <c r="AB1401" s="7">
        <f>IF($J1401=0,0,ROUND(MAX($J1401*1.4*1.5*1.6*1.6*2.2*2.715*2.6*1.4*1.4,8430000000*(1.651435^(MIN($E1401,123)-117)))*1,0))</f>
        <v>415583854</v>
      </c>
      <c r="AC1401" s="4">
        <f>$E1401+21</f>
        <v>132</v>
      </c>
      <c r="AD1401" s="8">
        <f>IF($J1401=0,0,ROUND(MAX($J1401*1.4*1.5*1.6*1.6*2.2*2.715*2.6*1.4*1.4*1.5,12600000000*(1.652953^(MIN($E1401,123)-117)))*1,0))</f>
        <v>617742548</v>
      </c>
      <c r="AE1401" s="6">
        <f>$E1401+24</f>
        <v>135</v>
      </c>
      <c r="AF1401" s="7">
        <f>IF($J1401=0,0,ROUND(MAX($J1401*1.4*1.5*1.6*1.6*2.2*2.715*2.6*1.4*1.4*1.5*1.5,18900000000*(1.65331^(MIN($E1401,123)-117)))*1,0))</f>
        <v>925413965</v>
      </c>
      <c r="AG1401" s="4">
        <f>$E1401+27</f>
        <v>138</v>
      </c>
      <c r="AH1401" s="8">
        <f>IF($J1401=0,0,ROUND(MAX($J1401*1.4*1.5*1.6*1.6*2.2*2.715*2.6*1.4*1.4*1.5*1.5*3.2,60500000000*(1.654288^(MIN($E1401,123)-117)))*1,0))</f>
        <v>2951811756</v>
      </c>
    </row>
    <row r="1402" ht="27.75" customHeight="1" spans="1:34" x14ac:dyDescent="0.25">
      <c r="A1402" s="3">
        <v>1412</v>
      </c>
      <c r="B1402" s="3" t="s">
        <v>147</v>
      </c>
      <c r="C1402" s="3" t="s">
        <v>1042</v>
      </c>
      <c r="D1402" s="3" t="s">
        <v>25</v>
      </c>
      <c r="E1402" s="3">
        <v>111</v>
      </c>
      <c r="F1402" s="3" t="s">
        <v>56</v>
      </c>
      <c r="G1402" s="3" t="s">
        <v>1043</v>
      </c>
      <c r="H1402" s="3">
        <v>26</v>
      </c>
      <c r="I1402" s="4">
        <v>111</v>
      </c>
      <c r="J1402" s="5">
        <v>106000</v>
      </c>
      <c r="K1402" s="6">
        <f>$E1402+1</f>
        <v>112</v>
      </c>
      <c r="L1402" s="7">
        <f>IF($J1402=0,0,ROUND(MAX($J1402*1.4,1620000*(1.497923^(MIN($E1402,123)-117)))*1,0))</f>
        <v>148400</v>
      </c>
      <c r="M1402" s="4">
        <f>$E1402+2</f>
        <v>113</v>
      </c>
      <c r="N1402" s="8">
        <f>IF($J1402=0,0,ROUND(MAX($J1402*1.4*1.5,2190000*(1.580994^(MIN($E1402,123)-117)))*1,0))</f>
        <v>222600</v>
      </c>
      <c r="O1402" s="6">
        <f>$E1402+4</f>
        <v>115</v>
      </c>
      <c r="P1402" s="7">
        <f>IF($J1402=0,0,ROUND(MAX($J1402*1.4*1.5*1.6,3500000*(1.57975^(MIN($E1402,123)-117)))*1,0))</f>
        <v>356160</v>
      </c>
      <c r="Q1402" s="4">
        <f>$E1402+6</f>
        <v>117</v>
      </c>
      <c r="R1402" s="8">
        <f>IF($J1402=0,0,ROUND(MAX($J1402*1.4*1.5*1.6*1.6,13100000*(1.429962^(MIN($E1402,123)-117)))*1,0))</f>
        <v>1532231</v>
      </c>
      <c r="S1402" s="6">
        <f>$E1402+8</f>
        <v>119</v>
      </c>
      <c r="T1402" s="7">
        <f>IF($J1402=0,0,ROUND(MAX($J1402*1.4*1.5*1.6*1.6*2.2,42600000*(1.576904^(MIN($E1402,123)-117)))*1,0))</f>
        <v>2770627</v>
      </c>
      <c r="U1402" s="4">
        <f>$E1402+11</f>
        <v>122</v>
      </c>
      <c r="V1402" s="8">
        <f>IF($J1402=0,0,ROUND(MAX($J1402*1.4*1.5*1.6*1.6*2.2*2.715,354000000*(1.642074^(MIN($E1402,123)-117)))*1,0))</f>
        <v>18057055</v>
      </c>
      <c r="W1402" s="6">
        <f>$E1402+15</f>
        <v>126</v>
      </c>
      <c r="X1402" s="7">
        <f>IF($J1402=0,0,ROUND(MAX($J1402*1.4*1.5*1.6*1.6*2.2*2.715*2.6,3540000000*(1.579646^(MIN($E1402,123)-117)))*1,0))</f>
        <v>227847690</v>
      </c>
      <c r="Y1402" s="4">
        <f>$E1402+17</f>
        <v>128</v>
      </c>
      <c r="Z1402" s="8">
        <f>IF($J1402=0,0,ROUND(MAX($J1402*1.4*1.5*1.6*1.6*2.2*2.715*2.6*1.4,6020000000*(1.651178^(MIN($E1402,123)-117)))*1,0))</f>
        <v>297052444</v>
      </c>
      <c r="AA1402" s="6">
        <f>$E1402+19</f>
        <v>130</v>
      </c>
      <c r="AB1402" s="7">
        <f>IF($J1402=0,0,ROUND(MAX($J1402*1.4*1.5*1.6*1.6*2.2*2.715*2.6*1.4*1.4,8430000000*(1.651435^(MIN($E1402,123)-117)))*1,0))</f>
        <v>415583854</v>
      </c>
      <c r="AC1402" s="4">
        <f>$E1402+21</f>
        <v>132</v>
      </c>
      <c r="AD1402" s="8">
        <f>IF($J1402=0,0,ROUND(MAX($J1402*1.4*1.5*1.6*1.6*2.2*2.715*2.6*1.4*1.4*1.5,12600000000*(1.652953^(MIN($E1402,123)-117)))*1,0))</f>
        <v>617742548</v>
      </c>
      <c r="AE1402" s="6">
        <f>$E1402+24</f>
        <v>135</v>
      </c>
      <c r="AF1402" s="7">
        <f>IF($J1402=0,0,ROUND(MAX($J1402*1.4*1.5*1.6*1.6*2.2*2.715*2.6*1.4*1.4*1.5*1.5,18900000000*(1.65331^(MIN($E1402,123)-117)))*1,0))</f>
        <v>925413965</v>
      </c>
      <c r="AG1402" s="4">
        <f>$E1402+27</f>
        <v>138</v>
      </c>
      <c r="AH1402" s="8">
        <f>IF($J1402=0,0,ROUND(MAX($J1402*1.4*1.5*1.6*1.6*2.2*2.715*2.6*1.4*1.4*1.5*1.5*3.2,60500000000*(1.654288^(MIN($E1402,123)-117)))*1,0))</f>
        <v>2951811756</v>
      </c>
    </row>
    <row r="1403" ht="27.75" customHeight="1" spans="1:34" x14ac:dyDescent="0.25">
      <c r="A1403" s="3">
        <v>1413</v>
      </c>
      <c r="B1403" s="3" t="s">
        <v>182</v>
      </c>
      <c r="C1403" s="3" t="s">
        <v>1042</v>
      </c>
      <c r="D1403" s="3" t="s">
        <v>102</v>
      </c>
      <c r="E1403" s="3">
        <v>111</v>
      </c>
      <c r="F1403" s="3" t="s">
        <v>183</v>
      </c>
      <c r="G1403" s="3" t="s">
        <v>1043</v>
      </c>
      <c r="H1403" s="3">
        <v>26</v>
      </c>
      <c r="I1403" s="4">
        <v>111</v>
      </c>
      <c r="J1403" s="5">
        <v>111000</v>
      </c>
      <c r="K1403" s="6">
        <f>$E1403+1</f>
        <v>112</v>
      </c>
      <c r="L1403" s="7">
        <f>IF($J1403=0,0,ROUND(MAX($J1403*1.4,1620000*(1.497923^(MIN($E1403,123)-117)))*1,0))</f>
        <v>155400</v>
      </c>
      <c r="M1403" s="4">
        <f>$E1403+2</f>
        <v>113</v>
      </c>
      <c r="N1403" s="8">
        <f>IF($J1403=0,0,ROUND(MAX($J1403*1.4*1.5,2190000*(1.580994^(MIN($E1403,123)-117)))*1,0))</f>
        <v>233100</v>
      </c>
      <c r="O1403" s="6">
        <f>$E1403+4</f>
        <v>115</v>
      </c>
      <c r="P1403" s="7">
        <f>IF($J1403=0,0,ROUND(MAX($J1403*1.4*1.5*1.6,3500000*(1.57975^(MIN($E1403,123)-117)))*1,0))</f>
        <v>372960</v>
      </c>
      <c r="Q1403" s="4">
        <f>$E1403+6</f>
        <v>117</v>
      </c>
      <c r="R1403" s="8">
        <f>IF($J1403=0,0,ROUND(MAX($J1403*1.4*1.5*1.6*1.6,13100000*(1.429962^(MIN($E1403,123)-117)))*1,0))</f>
        <v>1532231</v>
      </c>
      <c r="S1403" s="6">
        <f>$E1403+8</f>
        <v>119</v>
      </c>
      <c r="T1403" s="7">
        <f>IF($J1403=0,0,ROUND(MAX($J1403*1.4*1.5*1.6*1.6*2.2,42600000*(1.576904^(MIN($E1403,123)-117)))*1,0))</f>
        <v>2770627</v>
      </c>
      <c r="U1403" s="4">
        <f>$E1403+11</f>
        <v>122</v>
      </c>
      <c r="V1403" s="8">
        <f>IF($J1403=0,0,ROUND(MAX($J1403*1.4*1.5*1.6*1.6*2.2*2.715,354000000*(1.642074^(MIN($E1403,123)-117)))*1,0))</f>
        <v>18057055</v>
      </c>
      <c r="W1403" s="6">
        <f>$E1403+15</f>
        <v>126</v>
      </c>
      <c r="X1403" s="7">
        <f>IF($J1403=0,0,ROUND(MAX($J1403*1.4*1.5*1.6*1.6*2.2*2.715*2.6,3540000000*(1.579646^(MIN($E1403,123)-117)))*1,0))</f>
        <v>227847690</v>
      </c>
      <c r="Y1403" s="4">
        <f>$E1403+17</f>
        <v>128</v>
      </c>
      <c r="Z1403" s="8">
        <f>IF($J1403=0,0,ROUND(MAX($J1403*1.4*1.5*1.6*1.6*2.2*2.715*2.6*1.4,6020000000*(1.651178^(MIN($E1403,123)-117)))*1,0))</f>
        <v>297052444</v>
      </c>
      <c r="AA1403" s="6">
        <f>$E1403+19</f>
        <v>130</v>
      </c>
      <c r="AB1403" s="7">
        <f>IF($J1403=0,0,ROUND(MAX($J1403*1.4*1.5*1.6*1.6*2.2*2.715*2.6*1.4*1.4,8430000000*(1.651435^(MIN($E1403,123)-117)))*1,0))</f>
        <v>415583854</v>
      </c>
      <c r="AC1403" s="4">
        <f>$E1403+21</f>
        <v>132</v>
      </c>
      <c r="AD1403" s="8">
        <f>IF($J1403=0,0,ROUND(MAX($J1403*1.4*1.5*1.6*1.6*2.2*2.715*2.6*1.4*1.4*1.5,12600000000*(1.652953^(MIN($E1403,123)-117)))*1,0))</f>
        <v>617742548</v>
      </c>
      <c r="AE1403" s="6">
        <f>$E1403+24</f>
        <v>135</v>
      </c>
      <c r="AF1403" s="7">
        <f>IF($J1403=0,0,ROUND(MAX($J1403*1.4*1.5*1.6*1.6*2.2*2.715*2.6*1.4*1.4*1.5*1.5,18900000000*(1.65331^(MIN($E1403,123)-117)))*1,0))</f>
        <v>925413965</v>
      </c>
      <c r="AG1403" s="4">
        <f>$E1403+27</f>
        <v>138</v>
      </c>
      <c r="AH1403" s="8">
        <f>IF($J1403=0,0,ROUND(MAX($J1403*1.4*1.5*1.6*1.6*2.2*2.715*2.6*1.4*1.4*1.5*1.5*3.2,60500000000*(1.654288^(MIN($E1403,123)-117)))*1,0))</f>
        <v>2951811756</v>
      </c>
    </row>
    <row r="1404" ht="27.75" customHeight="1" spans="1:34" x14ac:dyDescent="0.25">
      <c r="A1404" s="3">
        <v>1414</v>
      </c>
      <c r="B1404" s="3" t="s">
        <v>85</v>
      </c>
      <c r="C1404" s="3" t="s">
        <v>1042</v>
      </c>
      <c r="D1404" s="3" t="s">
        <v>40</v>
      </c>
      <c r="E1404" s="3">
        <v>111</v>
      </c>
      <c r="F1404" s="3" t="s">
        <v>56</v>
      </c>
      <c r="G1404" s="3" t="s">
        <v>1043</v>
      </c>
      <c r="H1404" s="3">
        <v>26</v>
      </c>
      <c r="I1404" s="4">
        <v>111</v>
      </c>
      <c r="J1404" s="5">
        <v>79900</v>
      </c>
      <c r="K1404" s="6">
        <f>$E1404+1</f>
        <v>112</v>
      </c>
      <c r="L1404" s="7">
        <f>IF($J1404=0,0,ROUND(MAX($J1404*1.4,1620000*(1.497923^(MIN($E1404,123)-117)))*1,0))</f>
        <v>143410</v>
      </c>
      <c r="M1404" s="4">
        <f>$E1404+2</f>
        <v>113</v>
      </c>
      <c r="N1404" s="8">
        <f>IF($J1404=0,0,ROUND(MAX($J1404*1.4*1.5,2190000*(1.580994^(MIN($E1404,123)-117)))*1,0))</f>
        <v>167790</v>
      </c>
      <c r="O1404" s="6">
        <f>$E1404+4</f>
        <v>115</v>
      </c>
      <c r="P1404" s="7">
        <f>IF($J1404=0,0,ROUND(MAX($J1404*1.4*1.5*1.6,3500000*(1.57975^(MIN($E1404,123)-117)))*1,0))</f>
        <v>268464</v>
      </c>
      <c r="Q1404" s="4">
        <f>$E1404+6</f>
        <v>117</v>
      </c>
      <c r="R1404" s="8">
        <f>IF($J1404=0,0,ROUND(MAX($J1404*1.4*1.5*1.6*1.6,13100000*(1.429962^(MIN($E1404,123)-117)))*1,0))</f>
        <v>1532231</v>
      </c>
      <c r="S1404" s="6">
        <f>$E1404+8</f>
        <v>119</v>
      </c>
      <c r="T1404" s="7">
        <f>IF($J1404=0,0,ROUND(MAX($J1404*1.4*1.5*1.6*1.6*2.2,42600000*(1.576904^(MIN($E1404,123)-117)))*1,0))</f>
        <v>2770627</v>
      </c>
      <c r="U1404" s="4">
        <f>$E1404+11</f>
        <v>122</v>
      </c>
      <c r="V1404" s="8">
        <f>IF($J1404=0,0,ROUND(MAX($J1404*1.4*1.5*1.6*1.6*2.2*2.715,354000000*(1.642074^(MIN($E1404,123)-117)))*1,0))</f>
        <v>18057055</v>
      </c>
      <c r="W1404" s="6">
        <f>$E1404+15</f>
        <v>126</v>
      </c>
      <c r="X1404" s="7">
        <f>IF($J1404=0,0,ROUND(MAX($J1404*1.4*1.5*1.6*1.6*2.2*2.715*2.6,3540000000*(1.579646^(MIN($E1404,123)-117)))*1,0))</f>
        <v>227847690</v>
      </c>
      <c r="Y1404" s="4">
        <f>$E1404+17</f>
        <v>128</v>
      </c>
      <c r="Z1404" s="8">
        <f>IF($J1404=0,0,ROUND(MAX($J1404*1.4*1.5*1.6*1.6*2.2*2.715*2.6*1.4,6020000000*(1.651178^(MIN($E1404,123)-117)))*1,0))</f>
        <v>297052444</v>
      </c>
      <c r="AA1404" s="6">
        <f>$E1404+19</f>
        <v>130</v>
      </c>
      <c r="AB1404" s="7">
        <f>IF($J1404=0,0,ROUND(MAX($J1404*1.4*1.5*1.6*1.6*2.2*2.715*2.6*1.4*1.4,8430000000*(1.651435^(MIN($E1404,123)-117)))*1,0))</f>
        <v>415583854</v>
      </c>
      <c r="AC1404" s="4">
        <f>$E1404+21</f>
        <v>132</v>
      </c>
      <c r="AD1404" s="8">
        <f>IF($J1404=0,0,ROUND(MAX($J1404*1.4*1.5*1.6*1.6*2.2*2.715*2.6*1.4*1.4*1.5,12600000000*(1.652953^(MIN($E1404,123)-117)))*1,0))</f>
        <v>617742548</v>
      </c>
      <c r="AE1404" s="6">
        <f>$E1404+24</f>
        <v>135</v>
      </c>
      <c r="AF1404" s="7">
        <f>IF($J1404=0,0,ROUND(MAX($J1404*1.4*1.5*1.6*1.6*2.2*2.715*2.6*1.4*1.4*1.5*1.5,18900000000*(1.65331^(MIN($E1404,123)-117)))*1,0))</f>
        <v>925413965</v>
      </c>
      <c r="AG1404" s="4">
        <f>$E1404+27</f>
        <v>138</v>
      </c>
      <c r="AH1404" s="8">
        <f>IF($J1404=0,0,ROUND(MAX($J1404*1.4*1.5*1.6*1.6*2.2*2.715*2.6*1.4*1.4*1.5*1.5*3.2,60500000000*(1.654288^(MIN($E1404,123)-117)))*1,0))</f>
        <v>2951811756</v>
      </c>
    </row>
    <row r="1405" ht="27.75" customHeight="1" spans="1:34" x14ac:dyDescent="0.25">
      <c r="A1405" s="3">
        <v>1415</v>
      </c>
      <c r="B1405" s="3" t="s">
        <v>1044</v>
      </c>
      <c r="C1405" s="3" t="s">
        <v>1042</v>
      </c>
      <c r="D1405" s="3" t="s">
        <v>47</v>
      </c>
      <c r="E1405" s="3">
        <v>111</v>
      </c>
      <c r="F1405" s="3" t="s">
        <v>962</v>
      </c>
      <c r="G1405" s="3" t="s">
        <v>206</v>
      </c>
      <c r="H1405" s="3">
        <v>23</v>
      </c>
      <c r="I1405" s="4">
        <v>111</v>
      </c>
      <c r="J1405" s="5">
        <v>198000</v>
      </c>
      <c r="K1405" s="6">
        <f>$E1405+1</f>
        <v>112</v>
      </c>
      <c r="L1405" s="7">
        <f>IF($J1405=0,0,ROUND(MAX($J1405*1.4,1620000*(1.497923^(MIN($E1405,123)-117)))*1,0))</f>
        <v>277200</v>
      </c>
      <c r="M1405" s="4">
        <f>$E1405+2</f>
        <v>113</v>
      </c>
      <c r="N1405" s="8">
        <f>IF($J1405=0,0,ROUND(MAX($J1405*1.4*1.5,2190000*(1.580994^(MIN($E1405,123)-117)))*1,0))</f>
        <v>415800</v>
      </c>
      <c r="O1405" s="6">
        <f>$E1405+4</f>
        <v>115</v>
      </c>
      <c r="P1405" s="7">
        <f>IF($J1405=0,0,ROUND(MAX($J1405*1.4*1.5*1.6,3500000*(1.57975^(MIN($E1405,123)-117)))*1,0))</f>
        <v>665280</v>
      </c>
      <c r="Q1405" s="4">
        <f>$E1405+6</f>
        <v>117</v>
      </c>
      <c r="R1405" s="8">
        <f>IF($J1405=0,0,ROUND(MAX($J1405*1.4*1.5*1.6*1.6,13100000*(1.429962^(MIN($E1405,123)-117)))*1,0))</f>
        <v>1532231</v>
      </c>
      <c r="S1405" s="6">
        <f>$E1405+8</f>
        <v>119</v>
      </c>
      <c r="T1405" s="7">
        <f>IF($J1405=0,0,ROUND(MAX($J1405*1.4*1.5*1.6*1.6*2.2,42600000*(1.576904^(MIN($E1405,123)-117)))*1,0))</f>
        <v>2770627</v>
      </c>
      <c r="U1405" s="4">
        <f>$E1405+11</f>
        <v>122</v>
      </c>
      <c r="V1405" s="8">
        <f>IF($J1405=0,0,ROUND(MAX($J1405*1.4*1.5*1.6*1.6*2.2*2.715,354000000*(1.642074^(MIN($E1405,123)-117)))*1,0))</f>
        <v>18057055</v>
      </c>
      <c r="W1405" s="6">
        <f>$E1405+15</f>
        <v>126</v>
      </c>
      <c r="X1405" s="7">
        <f>IF($J1405=0,0,ROUND(MAX($J1405*1.4*1.5*1.6*1.6*2.2*2.715*2.6,3540000000*(1.579646^(MIN($E1405,123)-117)))*1,0))</f>
        <v>227847690</v>
      </c>
      <c r="Y1405" s="4">
        <f>$E1405+17</f>
        <v>128</v>
      </c>
      <c r="Z1405" s="8">
        <f>IF($J1405=0,0,ROUND(MAX($J1405*1.4*1.5*1.6*1.6*2.2*2.715*2.6*1.4,6020000000*(1.651178^(MIN($E1405,123)-117)))*1,0))</f>
        <v>297052444</v>
      </c>
      <c r="AA1405" s="6">
        <f>$E1405+19</f>
        <v>130</v>
      </c>
      <c r="AB1405" s="7">
        <f>IF($J1405=0,0,ROUND(MAX($J1405*1.4*1.5*1.6*1.6*2.2*2.715*2.6*1.4*1.4,8430000000*(1.651435^(MIN($E1405,123)-117)))*1,0))</f>
        <v>415583854</v>
      </c>
      <c r="AC1405" s="4">
        <f>$E1405+21</f>
        <v>132</v>
      </c>
      <c r="AD1405" s="8">
        <f>IF($J1405=0,0,ROUND(MAX($J1405*1.4*1.5*1.6*1.6*2.2*2.715*2.6*1.4*1.4*1.5,12600000000*(1.652953^(MIN($E1405,123)-117)))*1,0))</f>
        <v>617742548</v>
      </c>
      <c r="AE1405" s="6">
        <f>$E1405+24</f>
        <v>135</v>
      </c>
      <c r="AF1405" s="7">
        <f>IF($J1405=0,0,ROUND(MAX($J1405*1.4*1.5*1.6*1.6*2.2*2.715*2.6*1.4*1.4*1.5*1.5,18900000000*(1.65331^(MIN($E1405,123)-117)))*1,0))</f>
        <v>925413965</v>
      </c>
      <c r="AG1405" s="4">
        <f>$E1405+27</f>
        <v>138</v>
      </c>
      <c r="AH1405" s="8">
        <f>IF($J1405=0,0,ROUND(MAX($J1405*1.4*1.5*1.6*1.6*2.2*2.715*2.6*1.4*1.4*1.5*1.5*3.2,60500000000*(1.654288^(MIN($E1405,123)-117)))*1,0))</f>
        <v>2951811756</v>
      </c>
    </row>
    <row r="1406" ht="27.75" customHeight="1" spans="1:34" x14ac:dyDescent="0.25">
      <c r="A1406" s="3">
        <v>1416</v>
      </c>
      <c r="B1406" s="3" t="s">
        <v>180</v>
      </c>
      <c r="C1406" s="3" t="s">
        <v>1042</v>
      </c>
      <c r="D1406" s="3" t="s">
        <v>47</v>
      </c>
      <c r="E1406" s="3">
        <v>111</v>
      </c>
      <c r="F1406" s="3" t="s">
        <v>144</v>
      </c>
      <c r="G1406" s="3" t="s">
        <v>1043</v>
      </c>
      <c r="H1406" s="3">
        <v>23</v>
      </c>
      <c r="I1406" s="4">
        <v>111</v>
      </c>
      <c r="J1406" s="5">
        <v>88200</v>
      </c>
      <c r="K1406" s="6">
        <f>$E1406+1</f>
        <v>112</v>
      </c>
      <c r="L1406" s="7">
        <f>IF($J1406=0,0,ROUND(MAX($J1406*1.4,1620000*(1.497923^(MIN($E1406,123)-117)))*1,0))</f>
        <v>143410</v>
      </c>
      <c r="M1406" s="4">
        <f>$E1406+2</f>
        <v>113</v>
      </c>
      <c r="N1406" s="8">
        <f>IF($J1406=0,0,ROUND(MAX($J1406*1.4*1.5,2190000*(1.580994^(MIN($E1406,123)-117)))*1,0))</f>
        <v>185220</v>
      </c>
      <c r="O1406" s="6">
        <f>$E1406+4</f>
        <v>115</v>
      </c>
      <c r="P1406" s="7">
        <f>IF($J1406=0,0,ROUND(MAX($J1406*1.4*1.5*1.6,3500000*(1.57975^(MIN($E1406,123)-117)))*1,0))</f>
        <v>296352</v>
      </c>
      <c r="Q1406" s="4">
        <f>$E1406+6</f>
        <v>117</v>
      </c>
      <c r="R1406" s="8">
        <f>IF($J1406=0,0,ROUND(MAX($J1406*1.4*1.5*1.6*1.6,13100000*(1.429962^(MIN($E1406,123)-117)))*1,0))</f>
        <v>1532231</v>
      </c>
      <c r="S1406" s="6">
        <f>$E1406+8</f>
        <v>119</v>
      </c>
      <c r="T1406" s="7">
        <f>IF($J1406=0,0,ROUND(MAX($J1406*1.4*1.5*1.6*1.6*2.2,42600000*(1.576904^(MIN($E1406,123)-117)))*1,0))</f>
        <v>2770627</v>
      </c>
      <c r="U1406" s="4">
        <f>$E1406+11</f>
        <v>122</v>
      </c>
      <c r="V1406" s="8">
        <f>IF($J1406=0,0,ROUND(MAX($J1406*1.4*1.5*1.6*1.6*2.2*2.715,354000000*(1.642074^(MIN($E1406,123)-117)))*1,0))</f>
        <v>18057055</v>
      </c>
      <c r="W1406" s="6">
        <f>$E1406+15</f>
        <v>126</v>
      </c>
      <c r="X1406" s="7">
        <f>IF($J1406=0,0,ROUND(MAX($J1406*1.4*1.5*1.6*1.6*2.2*2.715*2.6,3540000000*(1.579646^(MIN($E1406,123)-117)))*1,0))</f>
        <v>227847690</v>
      </c>
      <c r="Y1406" s="4">
        <f>$E1406+17</f>
        <v>128</v>
      </c>
      <c r="Z1406" s="8">
        <f>IF($J1406=0,0,ROUND(MAX($J1406*1.4*1.5*1.6*1.6*2.2*2.715*2.6*1.4,6020000000*(1.651178^(MIN($E1406,123)-117)))*1,0))</f>
        <v>297052444</v>
      </c>
      <c r="AA1406" s="6">
        <f>$E1406+19</f>
        <v>130</v>
      </c>
      <c r="AB1406" s="7">
        <f>IF($J1406=0,0,ROUND(MAX($J1406*1.4*1.5*1.6*1.6*2.2*2.715*2.6*1.4*1.4,8430000000*(1.651435^(MIN($E1406,123)-117)))*1,0))</f>
        <v>415583854</v>
      </c>
      <c r="AC1406" s="4">
        <f>$E1406+21</f>
        <v>132</v>
      </c>
      <c r="AD1406" s="8">
        <f>IF($J1406=0,0,ROUND(MAX($J1406*1.4*1.5*1.6*1.6*2.2*2.715*2.6*1.4*1.4*1.5,12600000000*(1.652953^(MIN($E1406,123)-117)))*1,0))</f>
        <v>617742548</v>
      </c>
      <c r="AE1406" s="6">
        <f>$E1406+24</f>
        <v>135</v>
      </c>
      <c r="AF1406" s="7">
        <f>IF($J1406=0,0,ROUND(MAX($J1406*1.4*1.5*1.6*1.6*2.2*2.715*2.6*1.4*1.4*1.5*1.5,18900000000*(1.65331^(MIN($E1406,123)-117)))*1,0))</f>
        <v>925413965</v>
      </c>
      <c r="AG1406" s="4">
        <f>$E1406+27</f>
        <v>138</v>
      </c>
      <c r="AH1406" s="8">
        <f>IF($J1406=0,0,ROUND(MAX($J1406*1.4*1.5*1.6*1.6*2.2*2.715*2.6*1.4*1.4*1.5*1.5*3.2,60500000000*(1.654288^(MIN($E1406,123)-117)))*1,0))</f>
        <v>2951811756</v>
      </c>
    </row>
    <row r="1407" ht="27.75" customHeight="1" spans="1:34" x14ac:dyDescent="0.25">
      <c r="A1407" s="3">
        <v>1417</v>
      </c>
      <c r="B1407" s="3" t="s">
        <v>214</v>
      </c>
      <c r="C1407" s="3" t="s">
        <v>1042</v>
      </c>
      <c r="D1407" s="3" t="s">
        <v>79</v>
      </c>
      <c r="E1407" s="3">
        <v>110</v>
      </c>
      <c r="F1407" s="3" t="s">
        <v>56</v>
      </c>
      <c r="G1407" s="3" t="s">
        <v>1043</v>
      </c>
      <c r="H1407" s="3">
        <v>26</v>
      </c>
      <c r="I1407" s="4">
        <v>110</v>
      </c>
      <c r="J1407" s="5">
        <v>46200</v>
      </c>
      <c r="K1407" s="6">
        <f>$E1407+1</f>
        <v>111</v>
      </c>
      <c r="L1407" s="7">
        <f>IF($J1407=0,0,ROUND(MAX($J1407*1.4,1620000*(1.497923^(MIN($E1407,123)-117)))*1,0))</f>
        <v>95739</v>
      </c>
      <c r="M1407" s="4">
        <f>$E1407+2</f>
        <v>112</v>
      </c>
      <c r="N1407" s="8">
        <f>IF($J1407=0,0,ROUND(MAX($J1407*1.4*1.5,2190000*(1.580994^(MIN($E1407,123)-117)))*1,0))</f>
        <v>97020</v>
      </c>
      <c r="O1407" s="6">
        <f>$E1407+4</f>
        <v>114</v>
      </c>
      <c r="P1407" s="7">
        <f>IF($J1407=0,0,ROUND(MAX($J1407*1.4*1.5*1.6,3500000*(1.57975^(MIN($E1407,123)-117)))*1,0))</f>
        <v>155232</v>
      </c>
      <c r="Q1407" s="4">
        <f>$E1407+6</f>
        <v>116</v>
      </c>
      <c r="R1407" s="8">
        <f>IF($J1407=0,0,ROUND(MAX($J1407*1.4*1.5*1.6*1.6,13100000*(1.429962^(MIN($E1407,123)-117)))*1,0))</f>
        <v>1071519</v>
      </c>
      <c r="S1407" s="6">
        <f>$E1407+8</f>
        <v>118</v>
      </c>
      <c r="T1407" s="7">
        <f>IF($J1407=0,0,ROUND(MAX($J1407*1.4*1.5*1.6*1.6*2.2,42600000*(1.576904^(MIN($E1407,123)-117)))*1,0))</f>
        <v>1757004</v>
      </c>
      <c r="U1407" s="4">
        <f>$E1407+11</f>
        <v>121</v>
      </c>
      <c r="V1407" s="8">
        <f>IF($J1407=0,0,ROUND(MAX($J1407*1.4*1.5*1.6*1.6*2.2*2.715,354000000*(1.642074^(MIN($E1407,123)-117)))*1,0))</f>
        <v>10996493</v>
      </c>
      <c r="W1407" s="6">
        <f>$E1407+15</f>
        <v>125</v>
      </c>
      <c r="X1407" s="7">
        <f>IF($J1407=0,0,ROUND(MAX($J1407*1.4*1.5*1.6*1.6*2.2*2.715*2.6,3540000000*(1.579646^(MIN($E1407,123)-117)))*1,0))</f>
        <v>144239716</v>
      </c>
      <c r="Y1407" s="4">
        <f>$E1407+17</f>
        <v>127</v>
      </c>
      <c r="Z1407" s="8">
        <f>IF($J1407=0,0,ROUND(MAX($J1407*1.4*1.5*1.6*1.6*2.2*2.715*2.6*1.4,6020000000*(1.651178^(MIN($E1407,123)-117)))*1,0))</f>
        <v>179903344</v>
      </c>
      <c r="AA1407" s="6">
        <f>$E1407+19</f>
        <v>129</v>
      </c>
      <c r="AB1407" s="7">
        <f>IF($J1407=0,0,ROUND(MAX($J1407*1.4*1.5*1.6*1.6*2.2*2.715*2.6*1.4*1.4,8430000000*(1.651435^(MIN($E1407,123)-117)))*1,0))</f>
        <v>251650143</v>
      </c>
      <c r="AC1407" s="4">
        <f>$E1407+21</f>
        <v>131</v>
      </c>
      <c r="AD1407" s="8">
        <f>IF($J1407=0,0,ROUND(MAX($J1407*1.4*1.5*1.6*1.6*2.2*2.715*2.6*1.4*1.4*1.5,12600000000*(1.652953^(MIN($E1407,123)-117)))*1,0))</f>
        <v>373720576</v>
      </c>
      <c r="AE1407" s="6">
        <f>$E1407+24</f>
        <v>134</v>
      </c>
      <c r="AF1407" s="7">
        <f>IF($J1407=0,0,ROUND(MAX($J1407*1.4*1.5*1.6*1.6*2.2*2.715*2.6*1.4*1.4*1.5*1.5,18900000000*(1.65331^(MIN($E1407,123)-117)))*1,0))</f>
        <v>559734088</v>
      </c>
      <c r="AG1407" s="4">
        <f>$E1407+27</f>
        <v>137</v>
      </c>
      <c r="AH1407" s="8">
        <f>IF($J1407=0,0,ROUND(MAX($J1407*1.4*1.5*1.6*1.6*2.2*2.715*2.6*1.4*1.4*1.5*1.5*3.2,60500000000*(1.654288^(MIN($E1407,123)-117)))*1,0))</f>
        <v>1784339701</v>
      </c>
    </row>
    <row r="1408" ht="27.75" customHeight="1" spans="1:34" x14ac:dyDescent="0.25">
      <c r="A1408" s="3">
        <v>1418</v>
      </c>
      <c r="B1408" s="3" t="s">
        <v>693</v>
      </c>
      <c r="C1408" s="3" t="s">
        <v>1042</v>
      </c>
      <c r="D1408" s="3" t="s">
        <v>33</v>
      </c>
      <c r="E1408" s="3">
        <v>110</v>
      </c>
      <c r="F1408" s="3" t="s">
        <v>54</v>
      </c>
      <c r="G1408" s="3" t="s">
        <v>1043</v>
      </c>
      <c r="H1408" s="3">
        <v>26</v>
      </c>
      <c r="I1408" s="4">
        <v>110</v>
      </c>
      <c r="J1408" s="5">
        <v>947000</v>
      </c>
      <c r="K1408" s="6">
        <f>$E1408+1</f>
        <v>111</v>
      </c>
      <c r="L1408" s="7">
        <f>IF($J1408=0,0,ROUND(MAX($J1408*1.4,1620000*(1.497923^(MIN($E1408,123)-117)))*1,0))</f>
        <v>1325800</v>
      </c>
      <c r="M1408" s="4">
        <f>$E1408+2</f>
        <v>112</v>
      </c>
      <c r="N1408" s="8">
        <f>IF($J1408=0,0,ROUND(MAX($J1408*1.4*1.5,2190000*(1.580994^(MIN($E1408,123)-117)))*1,0))</f>
        <v>1988700</v>
      </c>
      <c r="O1408" s="6">
        <f>$E1408+4</f>
        <v>114</v>
      </c>
      <c r="P1408" s="7">
        <f>IF($J1408=0,0,ROUND(MAX($J1408*1.4*1.5*1.6,3500000*(1.57975^(MIN($E1408,123)-117)))*1,0))</f>
        <v>3181920</v>
      </c>
      <c r="Q1408" s="4">
        <f>$E1408+6</f>
        <v>116</v>
      </c>
      <c r="R1408" s="8">
        <f>IF($J1408=0,0,ROUND(MAX($J1408*1.4*1.5*1.6*1.6,13100000*(1.429962^(MIN($E1408,123)-117)))*1,0))</f>
        <v>5091072</v>
      </c>
      <c r="S1408" s="6">
        <f>$E1408+8</f>
        <v>118</v>
      </c>
      <c r="T1408" s="7">
        <f>IF($J1408=0,0,ROUND(MAX($J1408*1.4*1.5*1.6*1.6*2.2,42600000*(1.576904^(MIN($E1408,123)-117)))*1,0))</f>
        <v>11200358</v>
      </c>
      <c r="U1408" s="4">
        <f>$E1408+11</f>
        <v>121</v>
      </c>
      <c r="V1408" s="8">
        <f>IF($J1408=0,0,ROUND(MAX($J1408*1.4*1.5*1.6*1.6*2.2*2.715,354000000*(1.642074^(MIN($E1408,123)-117)))*1,0))</f>
        <v>30408973</v>
      </c>
      <c r="W1408" s="6">
        <f>$E1408+15</f>
        <v>125</v>
      </c>
      <c r="X1408" s="7">
        <f>IF($J1408=0,0,ROUND(MAX($J1408*1.4*1.5*1.6*1.6*2.2*2.715*2.6,3540000000*(1.579646^(MIN($E1408,123)-117)))*1,0))</f>
        <v>144239716</v>
      </c>
      <c r="Y1408" s="4">
        <f>$E1408+17</f>
        <v>127</v>
      </c>
      <c r="Z1408" s="8">
        <f>IF($J1408=0,0,ROUND(MAX($J1408*1.4*1.5*1.6*1.6*2.2*2.715*2.6*1.4,6020000000*(1.651178^(MIN($E1408,123)-117)))*1,0))</f>
        <v>179903344</v>
      </c>
      <c r="AA1408" s="6">
        <f>$E1408+19</f>
        <v>129</v>
      </c>
      <c r="AB1408" s="7">
        <f>IF($J1408=0,0,ROUND(MAX($J1408*1.4*1.5*1.6*1.6*2.2*2.715*2.6*1.4*1.4,8430000000*(1.651435^(MIN($E1408,123)-117)))*1,0))</f>
        <v>251650143</v>
      </c>
      <c r="AC1408" s="4">
        <f>$E1408+21</f>
        <v>131</v>
      </c>
      <c r="AD1408" s="8">
        <f>IF($J1408=0,0,ROUND(MAX($J1408*1.4*1.5*1.6*1.6*2.2*2.715*2.6*1.4*1.4*1.5,12600000000*(1.652953^(MIN($E1408,123)-117)))*1,0))</f>
        <v>373720576</v>
      </c>
      <c r="AE1408" s="6">
        <f>$E1408+24</f>
        <v>134</v>
      </c>
      <c r="AF1408" s="7">
        <f>IF($J1408=0,0,ROUND(MAX($J1408*1.4*1.5*1.6*1.6*2.2*2.715*2.6*1.4*1.4*1.5*1.5,18900000000*(1.65331^(MIN($E1408,123)-117)))*1,0))</f>
        <v>559734088</v>
      </c>
      <c r="AG1408" s="4">
        <f>$E1408+27</f>
        <v>137</v>
      </c>
      <c r="AH1408" s="8">
        <f>IF($J1408=0,0,ROUND(MAX($J1408*1.4*1.5*1.6*1.6*2.2*2.715*2.6*1.4*1.4*1.5*1.5*3.2,60500000000*(1.654288^(MIN($E1408,123)-117)))*1,0))</f>
        <v>1784339701</v>
      </c>
    </row>
    <row r="1409" ht="27.75" customHeight="1" spans="1:34" x14ac:dyDescent="0.25">
      <c r="A1409" s="3">
        <v>1419</v>
      </c>
      <c r="B1409" s="3" t="s">
        <v>1045</v>
      </c>
      <c r="C1409" s="3" t="s">
        <v>1042</v>
      </c>
      <c r="D1409" s="3" t="s">
        <v>165</v>
      </c>
      <c r="E1409" s="3">
        <v>110</v>
      </c>
      <c r="F1409" s="3" t="s">
        <v>71</v>
      </c>
      <c r="G1409" s="3" t="s">
        <v>206</v>
      </c>
      <c r="H1409" s="3">
        <v>26</v>
      </c>
      <c r="I1409" s="4">
        <v>110</v>
      </c>
      <c r="J1409" s="5">
        <v>223000</v>
      </c>
      <c r="K1409" s="6">
        <f>$E1409+1</f>
        <v>111</v>
      </c>
      <c r="L1409" s="7">
        <f>IF($J1409=0,0,ROUND(MAX($J1409*1.4,1620000*(1.497923^(MIN($E1409,123)-117)))*1,0))</f>
        <v>312200</v>
      </c>
      <c r="M1409" s="4">
        <f>$E1409+2</f>
        <v>112</v>
      </c>
      <c r="N1409" s="8">
        <f>IF($J1409=0,0,ROUND(MAX($J1409*1.4*1.5,2190000*(1.580994^(MIN($E1409,123)-117)))*1,0))</f>
        <v>468300</v>
      </c>
      <c r="O1409" s="6">
        <f>$E1409+4</f>
        <v>114</v>
      </c>
      <c r="P1409" s="7">
        <f>IF($J1409=0,0,ROUND(MAX($J1409*1.4*1.5*1.6,3500000*(1.57975^(MIN($E1409,123)-117)))*1,0))</f>
        <v>749280</v>
      </c>
      <c r="Q1409" s="4">
        <f>$E1409+6</f>
        <v>116</v>
      </c>
      <c r="R1409" s="8">
        <f>IF($J1409=0,0,ROUND(MAX($J1409*1.4*1.5*1.6*1.6,13100000*(1.429962^(MIN($E1409,123)-117)))*1,0))</f>
        <v>1198848</v>
      </c>
      <c r="S1409" s="6">
        <f>$E1409+8</f>
        <v>118</v>
      </c>
      <c r="T1409" s="7">
        <f>IF($J1409=0,0,ROUND(MAX($J1409*1.4*1.5*1.6*1.6*2.2,42600000*(1.576904^(MIN($E1409,123)-117)))*1,0))</f>
        <v>2637466</v>
      </c>
      <c r="U1409" s="4">
        <f>$E1409+11</f>
        <v>121</v>
      </c>
      <c r="V1409" s="8">
        <f>IF($J1409=0,0,ROUND(MAX($J1409*1.4*1.5*1.6*1.6*2.2*2.715,354000000*(1.642074^(MIN($E1409,123)-117)))*1,0))</f>
        <v>10996493</v>
      </c>
      <c r="W1409" s="6">
        <f>$E1409+15</f>
        <v>125</v>
      </c>
      <c r="X1409" s="7">
        <f>IF($J1409=0,0,ROUND(MAX($J1409*1.4*1.5*1.6*1.6*2.2*2.715*2.6,3540000000*(1.579646^(MIN($E1409,123)-117)))*1,0))</f>
        <v>144239716</v>
      </c>
      <c r="Y1409" s="4">
        <f>$E1409+17</f>
        <v>127</v>
      </c>
      <c r="Z1409" s="8">
        <f>IF($J1409=0,0,ROUND(MAX($J1409*1.4*1.5*1.6*1.6*2.2*2.715*2.6*1.4,6020000000*(1.651178^(MIN($E1409,123)-117)))*1,0))</f>
        <v>179903344</v>
      </c>
      <c r="AA1409" s="6">
        <f>$E1409+19</f>
        <v>129</v>
      </c>
      <c r="AB1409" s="7">
        <f>IF($J1409=0,0,ROUND(MAX($J1409*1.4*1.5*1.6*1.6*2.2*2.715*2.6*1.4*1.4,8430000000*(1.651435^(MIN($E1409,123)-117)))*1,0))</f>
        <v>251650143</v>
      </c>
      <c r="AC1409" s="4">
        <f>$E1409+21</f>
        <v>131</v>
      </c>
      <c r="AD1409" s="8">
        <f>IF($J1409=0,0,ROUND(MAX($J1409*1.4*1.5*1.6*1.6*2.2*2.715*2.6*1.4*1.4*1.5,12600000000*(1.652953^(MIN($E1409,123)-117)))*1,0))</f>
        <v>373720576</v>
      </c>
      <c r="AE1409" s="6">
        <f>$E1409+24</f>
        <v>134</v>
      </c>
      <c r="AF1409" s="7">
        <f>IF($J1409=0,0,ROUND(MAX($J1409*1.4*1.5*1.6*1.6*2.2*2.715*2.6*1.4*1.4*1.5*1.5,18900000000*(1.65331^(MIN($E1409,123)-117)))*1,0))</f>
        <v>559734088</v>
      </c>
      <c r="AG1409" s="4">
        <f>$E1409+27</f>
        <v>137</v>
      </c>
      <c r="AH1409" s="8">
        <f>IF($J1409=0,0,ROUND(MAX($J1409*1.4*1.5*1.6*1.6*2.2*2.715*2.6*1.4*1.4*1.5*1.5*3.2,60500000000*(1.654288^(MIN($E1409,123)-117)))*1,0))</f>
        <v>1784339701</v>
      </c>
    </row>
    <row r="1410" ht="27.75" customHeight="1" spans="1:34" x14ac:dyDescent="0.25">
      <c r="A1410" s="3">
        <v>1420</v>
      </c>
      <c r="B1410" s="3" t="s">
        <v>672</v>
      </c>
      <c r="C1410" s="3" t="s">
        <v>1042</v>
      </c>
      <c r="D1410" s="3" t="s">
        <v>33</v>
      </c>
      <c r="E1410" s="3">
        <v>110</v>
      </c>
      <c r="F1410" s="3" t="s">
        <v>34</v>
      </c>
      <c r="G1410" s="3" t="s">
        <v>1043</v>
      </c>
      <c r="H1410" s="3">
        <v>26</v>
      </c>
      <c r="I1410" s="4">
        <v>110</v>
      </c>
      <c r="J1410" s="5">
        <v>62600</v>
      </c>
      <c r="K1410" s="6">
        <f>$E1410+1</f>
        <v>111</v>
      </c>
      <c r="L1410" s="7">
        <f>IF($J1410=0,0,ROUND(MAX($J1410*1.4,1620000*(1.497923^(MIN($E1410,123)-117)))*1,0))</f>
        <v>95739</v>
      </c>
      <c r="M1410" s="4">
        <f>$E1410+2</f>
        <v>112</v>
      </c>
      <c r="N1410" s="8">
        <f>IF($J1410=0,0,ROUND(MAX($J1410*1.4*1.5,2190000*(1.580994^(MIN($E1410,123)-117)))*1,0))</f>
        <v>131460</v>
      </c>
      <c r="O1410" s="6">
        <f>$E1410+4</f>
        <v>114</v>
      </c>
      <c r="P1410" s="7">
        <f>IF($J1410=0,0,ROUND(MAX($J1410*1.4*1.5*1.6,3500000*(1.57975^(MIN($E1410,123)-117)))*1,0))</f>
        <v>210336</v>
      </c>
      <c r="Q1410" s="4">
        <f>$E1410+6</f>
        <v>116</v>
      </c>
      <c r="R1410" s="8">
        <f>IF($J1410=0,0,ROUND(MAX($J1410*1.4*1.5*1.6*1.6,13100000*(1.429962^(MIN($E1410,123)-117)))*1,0))</f>
        <v>1071519</v>
      </c>
      <c r="S1410" s="6">
        <f>$E1410+8</f>
        <v>118</v>
      </c>
      <c r="T1410" s="7">
        <f>IF($J1410=0,0,ROUND(MAX($J1410*1.4*1.5*1.6*1.6*2.2,42600000*(1.576904^(MIN($E1410,123)-117)))*1,0))</f>
        <v>1757004</v>
      </c>
      <c r="U1410" s="4">
        <f>$E1410+11</f>
        <v>121</v>
      </c>
      <c r="V1410" s="8">
        <f>IF($J1410=0,0,ROUND(MAX($J1410*1.4*1.5*1.6*1.6*2.2*2.715,354000000*(1.642074^(MIN($E1410,123)-117)))*1,0))</f>
        <v>10996493</v>
      </c>
      <c r="W1410" s="6">
        <f>$E1410+15</f>
        <v>125</v>
      </c>
      <c r="X1410" s="7">
        <f>IF($J1410=0,0,ROUND(MAX($J1410*1.4*1.5*1.6*1.6*2.2*2.715*2.6,3540000000*(1.579646^(MIN($E1410,123)-117)))*1,0))</f>
        <v>144239716</v>
      </c>
      <c r="Y1410" s="4">
        <f>$E1410+17</f>
        <v>127</v>
      </c>
      <c r="Z1410" s="8">
        <f>IF($J1410=0,0,ROUND(MAX($J1410*1.4*1.5*1.6*1.6*2.2*2.715*2.6*1.4,6020000000*(1.651178^(MIN($E1410,123)-117)))*1,0))</f>
        <v>179903344</v>
      </c>
      <c r="AA1410" s="6">
        <f>$E1410+19</f>
        <v>129</v>
      </c>
      <c r="AB1410" s="7">
        <f>IF($J1410=0,0,ROUND(MAX($J1410*1.4*1.5*1.6*1.6*2.2*2.715*2.6*1.4*1.4,8430000000*(1.651435^(MIN($E1410,123)-117)))*1,0))</f>
        <v>251650143</v>
      </c>
      <c r="AC1410" s="4">
        <f>$E1410+21</f>
        <v>131</v>
      </c>
      <c r="AD1410" s="8">
        <f>IF($J1410=0,0,ROUND(MAX($J1410*1.4*1.5*1.6*1.6*2.2*2.715*2.6*1.4*1.4*1.5,12600000000*(1.652953^(MIN($E1410,123)-117)))*1,0))</f>
        <v>373720576</v>
      </c>
      <c r="AE1410" s="6">
        <f>$E1410+24</f>
        <v>134</v>
      </c>
      <c r="AF1410" s="7">
        <f>IF($J1410=0,0,ROUND(MAX($J1410*1.4*1.5*1.6*1.6*2.2*2.715*2.6*1.4*1.4*1.5*1.5,18900000000*(1.65331^(MIN($E1410,123)-117)))*1,0))</f>
        <v>559734088</v>
      </c>
      <c r="AG1410" s="4">
        <f>$E1410+27</f>
        <v>137</v>
      </c>
      <c r="AH1410" s="8">
        <f>IF($J1410=0,0,ROUND(MAX($J1410*1.4*1.5*1.6*1.6*2.2*2.715*2.6*1.4*1.4*1.5*1.5*3.2,60500000000*(1.654288^(MIN($E1410,123)-117)))*1,0))</f>
        <v>1784339701</v>
      </c>
    </row>
    <row r="1411" ht="27.75" customHeight="1" spans="1:34" x14ac:dyDescent="0.25">
      <c r="A1411" s="3">
        <v>1421</v>
      </c>
      <c r="B1411" s="3" t="s">
        <v>187</v>
      </c>
      <c r="C1411" s="3" t="s">
        <v>1042</v>
      </c>
      <c r="D1411" s="3" t="s">
        <v>102</v>
      </c>
      <c r="E1411" s="3">
        <v>110</v>
      </c>
      <c r="F1411" s="3" t="s">
        <v>54</v>
      </c>
      <c r="G1411" s="3" t="s">
        <v>1043</v>
      </c>
      <c r="H1411" s="3">
        <v>26</v>
      </c>
      <c r="I1411" s="4">
        <v>110</v>
      </c>
      <c r="J1411" s="5">
        <v>62600</v>
      </c>
      <c r="K1411" s="6">
        <f>$E1411+1</f>
        <v>111</v>
      </c>
      <c r="L1411" s="7">
        <f>IF($J1411=0,0,ROUND(MAX($J1411*1.4,1620000*(1.497923^(MIN($E1411,123)-117)))*1,0))</f>
        <v>95739</v>
      </c>
      <c r="M1411" s="4">
        <f>$E1411+2</f>
        <v>112</v>
      </c>
      <c r="N1411" s="8">
        <f>IF($J1411=0,0,ROUND(MAX($J1411*1.4*1.5,2190000*(1.580994^(MIN($E1411,123)-117)))*1,0))</f>
        <v>131460</v>
      </c>
      <c r="O1411" s="6">
        <f>$E1411+4</f>
        <v>114</v>
      </c>
      <c r="P1411" s="7">
        <f>IF($J1411=0,0,ROUND(MAX($J1411*1.4*1.5*1.6,3500000*(1.57975^(MIN($E1411,123)-117)))*1,0))</f>
        <v>210336</v>
      </c>
      <c r="Q1411" s="4">
        <f>$E1411+6</f>
        <v>116</v>
      </c>
      <c r="R1411" s="8">
        <f>IF($J1411=0,0,ROUND(MAX($J1411*1.4*1.5*1.6*1.6,13100000*(1.429962^(MIN($E1411,123)-117)))*1,0))</f>
        <v>1071519</v>
      </c>
      <c r="S1411" s="6">
        <f>$E1411+8</f>
        <v>118</v>
      </c>
      <c r="T1411" s="7">
        <f>IF($J1411=0,0,ROUND(MAX($J1411*1.4*1.5*1.6*1.6*2.2,42600000*(1.576904^(MIN($E1411,123)-117)))*1,0))</f>
        <v>1757004</v>
      </c>
      <c r="U1411" s="4">
        <f>$E1411+11</f>
        <v>121</v>
      </c>
      <c r="V1411" s="8">
        <f>IF($J1411=0,0,ROUND(MAX($J1411*1.4*1.5*1.6*1.6*2.2*2.715,354000000*(1.642074^(MIN($E1411,123)-117)))*1,0))</f>
        <v>10996493</v>
      </c>
      <c r="W1411" s="6">
        <f>$E1411+15</f>
        <v>125</v>
      </c>
      <c r="X1411" s="7">
        <f>IF($J1411=0,0,ROUND(MAX($J1411*1.4*1.5*1.6*1.6*2.2*2.715*2.6,3540000000*(1.579646^(MIN($E1411,123)-117)))*1,0))</f>
        <v>144239716</v>
      </c>
      <c r="Y1411" s="4">
        <f>$E1411+17</f>
        <v>127</v>
      </c>
      <c r="Z1411" s="8">
        <f>IF($J1411=0,0,ROUND(MAX($J1411*1.4*1.5*1.6*1.6*2.2*2.715*2.6*1.4,6020000000*(1.651178^(MIN($E1411,123)-117)))*1,0))</f>
        <v>179903344</v>
      </c>
      <c r="AA1411" s="6">
        <f>$E1411+19</f>
        <v>129</v>
      </c>
      <c r="AB1411" s="7">
        <f>IF($J1411=0,0,ROUND(MAX($J1411*1.4*1.5*1.6*1.6*2.2*2.715*2.6*1.4*1.4,8430000000*(1.651435^(MIN($E1411,123)-117)))*1,0))</f>
        <v>251650143</v>
      </c>
      <c r="AC1411" s="4">
        <f>$E1411+21</f>
        <v>131</v>
      </c>
      <c r="AD1411" s="8">
        <f>IF($J1411=0,0,ROUND(MAX($J1411*1.4*1.5*1.6*1.6*2.2*2.715*2.6*1.4*1.4*1.5,12600000000*(1.652953^(MIN($E1411,123)-117)))*1,0))</f>
        <v>373720576</v>
      </c>
      <c r="AE1411" s="6">
        <f>$E1411+24</f>
        <v>134</v>
      </c>
      <c r="AF1411" s="7">
        <f>IF($J1411=0,0,ROUND(MAX($J1411*1.4*1.5*1.6*1.6*2.2*2.715*2.6*1.4*1.4*1.5*1.5,18900000000*(1.65331^(MIN($E1411,123)-117)))*1,0))</f>
        <v>559734088</v>
      </c>
      <c r="AG1411" s="4">
        <f>$E1411+27</f>
        <v>137</v>
      </c>
      <c r="AH1411" s="8">
        <f>IF($J1411=0,0,ROUND(MAX($J1411*1.4*1.5*1.6*1.6*2.2*2.715*2.6*1.4*1.4*1.5*1.5*3.2,60500000000*(1.654288^(MIN($E1411,123)-117)))*1,0))</f>
        <v>1784339701</v>
      </c>
    </row>
    <row r="1412" ht="27.75" customHeight="1" spans="1:34" x14ac:dyDescent="0.25">
      <c r="A1412" s="3">
        <v>1422</v>
      </c>
      <c r="B1412" s="3" t="s">
        <v>210</v>
      </c>
      <c r="C1412" s="3" t="s">
        <v>1042</v>
      </c>
      <c r="D1412" s="3" t="s">
        <v>33</v>
      </c>
      <c r="E1412" s="3">
        <v>110</v>
      </c>
      <c r="F1412" s="3" t="s">
        <v>56</v>
      </c>
      <c r="G1412" s="3" t="s">
        <v>1043</v>
      </c>
      <c r="H1412" s="3">
        <v>26</v>
      </c>
      <c r="I1412" s="4">
        <v>110</v>
      </c>
      <c r="J1412" s="5">
        <v>78200</v>
      </c>
      <c r="K1412" s="6">
        <f>$E1412+1</f>
        <v>111</v>
      </c>
      <c r="L1412" s="7">
        <f>IF($J1412=0,0,ROUND(MAX($J1412*1.4,1620000*(1.497923^(MIN($E1412,123)-117)))*1,0))</f>
        <v>109480</v>
      </c>
      <c r="M1412" s="4">
        <f>$E1412+2</f>
        <v>112</v>
      </c>
      <c r="N1412" s="8">
        <f>IF($J1412=0,0,ROUND(MAX($J1412*1.4*1.5,2190000*(1.580994^(MIN($E1412,123)-117)))*1,0))</f>
        <v>164220</v>
      </c>
      <c r="O1412" s="6">
        <f>$E1412+4</f>
        <v>114</v>
      </c>
      <c r="P1412" s="7">
        <f>IF($J1412=0,0,ROUND(MAX($J1412*1.4*1.5*1.6,3500000*(1.57975^(MIN($E1412,123)-117)))*1,0))</f>
        <v>262752</v>
      </c>
      <c r="Q1412" s="4">
        <f>$E1412+6</f>
        <v>116</v>
      </c>
      <c r="R1412" s="8">
        <f>IF($J1412=0,0,ROUND(MAX($J1412*1.4*1.5*1.6*1.6,13100000*(1.429962^(MIN($E1412,123)-117)))*1,0))</f>
        <v>1071519</v>
      </c>
      <c r="S1412" s="6">
        <f>$E1412+8</f>
        <v>118</v>
      </c>
      <c r="T1412" s="7">
        <f>IF($J1412=0,0,ROUND(MAX($J1412*1.4*1.5*1.6*1.6*2.2,42600000*(1.576904^(MIN($E1412,123)-117)))*1,0))</f>
        <v>1757004</v>
      </c>
      <c r="U1412" s="4">
        <f>$E1412+11</f>
        <v>121</v>
      </c>
      <c r="V1412" s="8">
        <f>IF($J1412=0,0,ROUND(MAX($J1412*1.4*1.5*1.6*1.6*2.2*2.715,354000000*(1.642074^(MIN($E1412,123)-117)))*1,0))</f>
        <v>10996493</v>
      </c>
      <c r="W1412" s="6">
        <f>$E1412+15</f>
        <v>125</v>
      </c>
      <c r="X1412" s="7">
        <f>IF($J1412=0,0,ROUND(MAX($J1412*1.4*1.5*1.6*1.6*2.2*2.715*2.6,3540000000*(1.579646^(MIN($E1412,123)-117)))*1,0))</f>
        <v>144239716</v>
      </c>
      <c r="Y1412" s="4">
        <f>$E1412+17</f>
        <v>127</v>
      </c>
      <c r="Z1412" s="8">
        <f>IF($J1412=0,0,ROUND(MAX($J1412*1.4*1.5*1.6*1.6*2.2*2.715*2.6*1.4,6020000000*(1.651178^(MIN($E1412,123)-117)))*1,0))</f>
        <v>179903344</v>
      </c>
      <c r="AA1412" s="6">
        <f>$E1412+19</f>
        <v>129</v>
      </c>
      <c r="AB1412" s="7">
        <f>IF($J1412=0,0,ROUND(MAX($J1412*1.4*1.5*1.6*1.6*2.2*2.715*2.6*1.4*1.4,8430000000*(1.651435^(MIN($E1412,123)-117)))*1,0))</f>
        <v>251650143</v>
      </c>
      <c r="AC1412" s="4">
        <f>$E1412+21</f>
        <v>131</v>
      </c>
      <c r="AD1412" s="8">
        <f>IF($J1412=0,0,ROUND(MAX($J1412*1.4*1.5*1.6*1.6*2.2*2.715*2.6*1.4*1.4*1.5,12600000000*(1.652953^(MIN($E1412,123)-117)))*1,0))</f>
        <v>373720576</v>
      </c>
      <c r="AE1412" s="6">
        <f>$E1412+24</f>
        <v>134</v>
      </c>
      <c r="AF1412" s="7">
        <f>IF($J1412=0,0,ROUND(MAX($J1412*1.4*1.5*1.6*1.6*2.2*2.715*2.6*1.4*1.4*1.5*1.5,18900000000*(1.65331^(MIN($E1412,123)-117)))*1,0))</f>
        <v>559734088</v>
      </c>
      <c r="AG1412" s="4">
        <f>$E1412+27</f>
        <v>137</v>
      </c>
      <c r="AH1412" s="8">
        <f>IF($J1412=0,0,ROUND(MAX($J1412*1.4*1.5*1.6*1.6*2.2*2.715*2.6*1.4*1.4*1.5*1.5*3.2,60500000000*(1.654288^(MIN($E1412,123)-117)))*1,0))</f>
        <v>1784339701</v>
      </c>
    </row>
    <row r="1413" ht="27.75" customHeight="1" spans="1:34" x14ac:dyDescent="0.25">
      <c r="A1413" s="3">
        <v>1423</v>
      </c>
      <c r="B1413" s="3" t="s">
        <v>770</v>
      </c>
      <c r="C1413" s="3" t="s">
        <v>1042</v>
      </c>
      <c r="D1413" s="3" t="s">
        <v>90</v>
      </c>
      <c r="E1413" s="3">
        <v>110</v>
      </c>
      <c r="F1413" s="3" t="s">
        <v>71</v>
      </c>
      <c r="G1413" s="3" t="s">
        <v>38</v>
      </c>
      <c r="H1413" s="3">
        <v>25</v>
      </c>
      <c r="I1413" s="4">
        <v>110</v>
      </c>
      <c r="J1413" s="5">
        <v>90300</v>
      </c>
      <c r="K1413" s="6">
        <f>$E1413+1</f>
        <v>111</v>
      </c>
      <c r="L1413" s="7">
        <f>IF($J1413=0,0,ROUND(MAX($J1413*1.4,1620000*(1.497923^(MIN($E1413,123)-117)))*1,0))</f>
        <v>126420</v>
      </c>
      <c r="M1413" s="4">
        <f>$E1413+2</f>
        <v>112</v>
      </c>
      <c r="N1413" s="8">
        <f>IF($J1413=0,0,ROUND(MAX($J1413*1.4*1.5,2190000*(1.580994^(MIN($E1413,123)-117)))*1,0))</f>
        <v>189630</v>
      </c>
      <c r="O1413" s="6">
        <f>$E1413+4</f>
        <v>114</v>
      </c>
      <c r="P1413" s="7">
        <f>IF($J1413=0,0,ROUND(MAX($J1413*1.4*1.5*1.6,3500000*(1.57975^(MIN($E1413,123)-117)))*1,0))</f>
        <v>303408</v>
      </c>
      <c r="Q1413" s="4">
        <f>$E1413+6</f>
        <v>116</v>
      </c>
      <c r="R1413" s="8">
        <f>IF($J1413=0,0,ROUND(MAX($J1413*1.4*1.5*1.6*1.6,13100000*(1.429962^(MIN($E1413,123)-117)))*1,0))</f>
        <v>1071519</v>
      </c>
      <c r="S1413" s="6">
        <f>$E1413+8</f>
        <v>118</v>
      </c>
      <c r="T1413" s="7">
        <f>IF($J1413=0,0,ROUND(MAX($J1413*1.4*1.5*1.6*1.6*2.2,42600000*(1.576904^(MIN($E1413,123)-117)))*1,0))</f>
        <v>1757004</v>
      </c>
      <c r="U1413" s="4">
        <f>$E1413+11</f>
        <v>121</v>
      </c>
      <c r="V1413" s="8">
        <f>IF($J1413=0,0,ROUND(MAX($J1413*1.4*1.5*1.6*1.6*2.2*2.715,354000000*(1.642074^(MIN($E1413,123)-117)))*1,0))</f>
        <v>10996493</v>
      </c>
      <c r="W1413" s="6">
        <f>$E1413+15</f>
        <v>125</v>
      </c>
      <c r="X1413" s="7">
        <f>IF($J1413=0,0,ROUND(MAX($J1413*1.4*1.5*1.6*1.6*2.2*2.715*2.6,3540000000*(1.579646^(MIN($E1413,123)-117)))*1,0))</f>
        <v>144239716</v>
      </c>
      <c r="Y1413" s="4">
        <f>$E1413+17</f>
        <v>127</v>
      </c>
      <c r="Z1413" s="8">
        <f>IF($J1413=0,0,ROUND(MAX($J1413*1.4*1.5*1.6*1.6*2.2*2.715*2.6*1.4,6020000000*(1.651178^(MIN($E1413,123)-117)))*1,0))</f>
        <v>179903344</v>
      </c>
      <c r="AA1413" s="6">
        <f>$E1413+19</f>
        <v>129</v>
      </c>
      <c r="AB1413" s="7">
        <f>IF($J1413=0,0,ROUND(MAX($J1413*1.4*1.5*1.6*1.6*2.2*2.715*2.6*1.4*1.4,8430000000*(1.651435^(MIN($E1413,123)-117)))*1,0))</f>
        <v>251650143</v>
      </c>
      <c r="AC1413" s="4">
        <f>$E1413+21</f>
        <v>131</v>
      </c>
      <c r="AD1413" s="8">
        <f>IF($J1413=0,0,ROUND(MAX($J1413*1.4*1.5*1.6*1.6*2.2*2.715*2.6*1.4*1.4*1.5,12600000000*(1.652953^(MIN($E1413,123)-117)))*1,0))</f>
        <v>373720576</v>
      </c>
      <c r="AE1413" s="6">
        <f>$E1413+24</f>
        <v>134</v>
      </c>
      <c r="AF1413" s="7">
        <f>IF($J1413=0,0,ROUND(MAX($J1413*1.4*1.5*1.6*1.6*2.2*2.715*2.6*1.4*1.4*1.5*1.5,18900000000*(1.65331^(MIN($E1413,123)-117)))*1,0))</f>
        <v>559734088</v>
      </c>
      <c r="AG1413" s="4">
        <f>$E1413+27</f>
        <v>137</v>
      </c>
      <c r="AH1413" s="8">
        <f>IF($J1413=0,0,ROUND(MAX($J1413*1.4*1.5*1.6*1.6*2.2*2.715*2.6*1.4*1.4*1.5*1.5*3.2,60500000000*(1.654288^(MIN($E1413,123)-117)))*1,0))</f>
        <v>1784339701</v>
      </c>
    </row>
    <row r="1414" ht="27.75" customHeight="1" spans="1:34" x14ac:dyDescent="0.25">
      <c r="A1414" s="3">
        <v>1424</v>
      </c>
      <c r="B1414" s="3" t="s">
        <v>713</v>
      </c>
      <c r="C1414" s="3" t="s">
        <v>1042</v>
      </c>
      <c r="D1414" s="3" t="s">
        <v>79</v>
      </c>
      <c r="E1414" s="3">
        <v>110</v>
      </c>
      <c r="F1414" s="3" t="s">
        <v>62</v>
      </c>
      <c r="G1414" s="3" t="s">
        <v>714</v>
      </c>
      <c r="H1414" s="3">
        <v>25</v>
      </c>
      <c r="I1414" s="4">
        <v>110</v>
      </c>
      <c r="J1414" s="5">
        <v>143000</v>
      </c>
      <c r="K1414" s="6">
        <f>$E1414+1</f>
        <v>111</v>
      </c>
      <c r="L1414" s="7">
        <f>IF($J1414=0,0,ROUND(MAX($J1414*1.4,1620000*(1.497923^(MIN($E1414,123)-117)))*1,0))</f>
        <v>200200</v>
      </c>
      <c r="M1414" s="4">
        <f>$E1414+2</f>
        <v>112</v>
      </c>
      <c r="N1414" s="8">
        <f>IF($J1414=0,0,ROUND(MAX($J1414*1.4*1.5,2190000*(1.580994^(MIN($E1414,123)-117)))*1,0))</f>
        <v>300300</v>
      </c>
      <c r="O1414" s="6">
        <f>$E1414+4</f>
        <v>114</v>
      </c>
      <c r="P1414" s="7">
        <f>IF($J1414=0,0,ROUND(MAX($J1414*1.4*1.5*1.6,3500000*(1.57975^(MIN($E1414,123)-117)))*1,0))</f>
        <v>480480</v>
      </c>
      <c r="Q1414" s="4">
        <f>$E1414+6</f>
        <v>116</v>
      </c>
      <c r="R1414" s="8">
        <f>IF($J1414=0,0,ROUND(MAX($J1414*1.4*1.5*1.6*1.6,13100000*(1.429962^(MIN($E1414,123)-117)))*1,0))</f>
        <v>1071519</v>
      </c>
      <c r="S1414" s="6">
        <f>$E1414+8</f>
        <v>118</v>
      </c>
      <c r="T1414" s="7">
        <f>IF($J1414=0,0,ROUND(MAX($J1414*1.4*1.5*1.6*1.6*2.2,42600000*(1.576904^(MIN($E1414,123)-117)))*1,0))</f>
        <v>1757004</v>
      </c>
      <c r="U1414" s="4">
        <f>$E1414+11</f>
        <v>121</v>
      </c>
      <c r="V1414" s="8">
        <f>IF($J1414=0,0,ROUND(MAX($J1414*1.4*1.5*1.6*1.6*2.2*2.715,354000000*(1.642074^(MIN($E1414,123)-117)))*1,0))</f>
        <v>10996493</v>
      </c>
      <c r="W1414" s="6">
        <f>$E1414+15</f>
        <v>125</v>
      </c>
      <c r="X1414" s="7">
        <f>IF($J1414=0,0,ROUND(MAX($J1414*1.4*1.5*1.6*1.6*2.2*2.715*2.6,3540000000*(1.579646^(MIN($E1414,123)-117)))*1,0))</f>
        <v>144239716</v>
      </c>
      <c r="Y1414" s="4">
        <f>$E1414+17</f>
        <v>127</v>
      </c>
      <c r="Z1414" s="8">
        <f>IF($J1414=0,0,ROUND(MAX($J1414*1.4*1.5*1.6*1.6*2.2*2.715*2.6*1.4,6020000000*(1.651178^(MIN($E1414,123)-117)))*1,0))</f>
        <v>179903344</v>
      </c>
      <c r="AA1414" s="6">
        <f>$E1414+19</f>
        <v>129</v>
      </c>
      <c r="AB1414" s="7">
        <f>IF($J1414=0,0,ROUND(MAX($J1414*1.4*1.5*1.6*1.6*2.2*2.715*2.6*1.4*1.4,8430000000*(1.651435^(MIN($E1414,123)-117)))*1,0))</f>
        <v>251650143</v>
      </c>
      <c r="AC1414" s="4">
        <f>$E1414+21</f>
        <v>131</v>
      </c>
      <c r="AD1414" s="8">
        <f>IF($J1414=0,0,ROUND(MAX($J1414*1.4*1.5*1.6*1.6*2.2*2.715*2.6*1.4*1.4*1.5,12600000000*(1.652953^(MIN($E1414,123)-117)))*1,0))</f>
        <v>373720576</v>
      </c>
      <c r="AE1414" s="6">
        <f>$E1414+24</f>
        <v>134</v>
      </c>
      <c r="AF1414" s="7">
        <f>IF($J1414=0,0,ROUND(MAX($J1414*1.4*1.5*1.6*1.6*2.2*2.715*2.6*1.4*1.4*1.5*1.5,18900000000*(1.65331^(MIN($E1414,123)-117)))*1,0))</f>
        <v>559734088</v>
      </c>
      <c r="AG1414" s="4">
        <f>$E1414+27</f>
        <v>137</v>
      </c>
      <c r="AH1414" s="8">
        <f>IF($J1414=0,0,ROUND(MAX($J1414*1.4*1.5*1.6*1.6*2.2*2.715*2.6*1.4*1.4*1.5*1.5*3.2,60500000000*(1.654288^(MIN($E1414,123)-117)))*1,0))</f>
        <v>1784339701</v>
      </c>
    </row>
    <row r="1415" ht="27.75" customHeight="1" spans="1:34" x14ac:dyDescent="0.25">
      <c r="A1415" s="3">
        <v>1425</v>
      </c>
      <c r="B1415" s="3" t="s">
        <v>775</v>
      </c>
      <c r="C1415" s="3" t="s">
        <v>1042</v>
      </c>
      <c r="D1415" s="3" t="s">
        <v>75</v>
      </c>
      <c r="E1415" s="3">
        <v>110</v>
      </c>
      <c r="F1415" s="3" t="s">
        <v>400</v>
      </c>
      <c r="G1415" s="3" t="s">
        <v>38</v>
      </c>
      <c r="H1415" s="3">
        <v>25</v>
      </c>
      <c r="I1415" s="4">
        <v>110</v>
      </c>
      <c r="J1415" s="5">
        <v>91000</v>
      </c>
      <c r="K1415" s="6">
        <f>$E1415+1</f>
        <v>111</v>
      </c>
      <c r="L1415" s="7">
        <f>IF($J1415=0,0,ROUND(MAX($J1415*1.4,1620000*(1.497923^(MIN($E1415,123)-117)))*1,0))</f>
        <v>127400</v>
      </c>
      <c r="M1415" s="4">
        <f>$E1415+2</f>
        <v>112</v>
      </c>
      <c r="N1415" s="8">
        <f>IF($J1415=0,0,ROUND(MAX($J1415*1.4*1.5,2190000*(1.580994^(MIN($E1415,123)-117)))*1,0))</f>
        <v>191100</v>
      </c>
      <c r="O1415" s="6">
        <f>$E1415+4</f>
        <v>114</v>
      </c>
      <c r="P1415" s="7">
        <f>IF($J1415=0,0,ROUND(MAX($J1415*1.4*1.5*1.6,3500000*(1.57975^(MIN($E1415,123)-117)))*1,0))</f>
        <v>305760</v>
      </c>
      <c r="Q1415" s="4">
        <f>$E1415+6</f>
        <v>116</v>
      </c>
      <c r="R1415" s="8">
        <f>IF($J1415=0,0,ROUND(MAX($J1415*1.4*1.5*1.6*1.6,13100000*(1.429962^(MIN($E1415,123)-117)))*1,0))</f>
        <v>1071519</v>
      </c>
      <c r="S1415" s="6">
        <f>$E1415+8</f>
        <v>118</v>
      </c>
      <c r="T1415" s="7">
        <f>IF($J1415=0,0,ROUND(MAX($J1415*1.4*1.5*1.6*1.6*2.2,42600000*(1.576904^(MIN($E1415,123)-117)))*1,0))</f>
        <v>1757004</v>
      </c>
      <c r="U1415" s="4">
        <f>$E1415+11</f>
        <v>121</v>
      </c>
      <c r="V1415" s="8">
        <f>IF($J1415=0,0,ROUND(MAX($J1415*1.4*1.5*1.6*1.6*2.2*2.715,354000000*(1.642074^(MIN($E1415,123)-117)))*1,0))</f>
        <v>10996493</v>
      </c>
      <c r="W1415" s="6">
        <f>$E1415+15</f>
        <v>125</v>
      </c>
      <c r="X1415" s="7">
        <f>IF($J1415=0,0,ROUND(MAX($J1415*1.4*1.5*1.6*1.6*2.2*2.715*2.6,3540000000*(1.579646^(MIN($E1415,123)-117)))*1,0))</f>
        <v>144239716</v>
      </c>
      <c r="Y1415" s="4">
        <f>$E1415+17</f>
        <v>127</v>
      </c>
      <c r="Z1415" s="8">
        <f>IF($J1415=0,0,ROUND(MAX($J1415*1.4*1.5*1.6*1.6*2.2*2.715*2.6*1.4,6020000000*(1.651178^(MIN($E1415,123)-117)))*1,0))</f>
        <v>179903344</v>
      </c>
      <c r="AA1415" s="6">
        <f>$E1415+19</f>
        <v>129</v>
      </c>
      <c r="AB1415" s="7">
        <f>IF($J1415=0,0,ROUND(MAX($J1415*1.4*1.5*1.6*1.6*2.2*2.715*2.6*1.4*1.4,8430000000*(1.651435^(MIN($E1415,123)-117)))*1,0))</f>
        <v>251650143</v>
      </c>
      <c r="AC1415" s="4">
        <f>$E1415+21</f>
        <v>131</v>
      </c>
      <c r="AD1415" s="8">
        <f>IF($J1415=0,0,ROUND(MAX($J1415*1.4*1.5*1.6*1.6*2.2*2.715*2.6*1.4*1.4*1.5,12600000000*(1.652953^(MIN($E1415,123)-117)))*1,0))</f>
        <v>373720576</v>
      </c>
      <c r="AE1415" s="6">
        <f>$E1415+24</f>
        <v>134</v>
      </c>
      <c r="AF1415" s="7">
        <f>IF($J1415=0,0,ROUND(MAX($J1415*1.4*1.5*1.6*1.6*2.2*2.715*2.6*1.4*1.4*1.5*1.5,18900000000*(1.65331^(MIN($E1415,123)-117)))*1,0))</f>
        <v>559734088</v>
      </c>
      <c r="AG1415" s="4">
        <f>$E1415+27</f>
        <v>137</v>
      </c>
      <c r="AH1415" s="8">
        <f>IF($J1415=0,0,ROUND(MAX($J1415*1.4*1.5*1.6*1.6*2.2*2.715*2.6*1.4*1.4*1.5*1.5*3.2,60500000000*(1.654288^(MIN($E1415,123)-117)))*1,0))</f>
        <v>1784339701</v>
      </c>
    </row>
    <row r="1416" ht="27.75" customHeight="1" spans="1:34" x14ac:dyDescent="0.25">
      <c r="A1416" s="3">
        <v>1426</v>
      </c>
      <c r="B1416" s="3" t="s">
        <v>752</v>
      </c>
      <c r="C1416" s="3" t="s">
        <v>1042</v>
      </c>
      <c r="D1416" s="3" t="s">
        <v>75</v>
      </c>
      <c r="E1416" s="3">
        <v>110</v>
      </c>
      <c r="F1416" s="3" t="s">
        <v>71</v>
      </c>
      <c r="G1416" s="3" t="s">
        <v>270</v>
      </c>
      <c r="H1416" s="3">
        <v>25</v>
      </c>
      <c r="I1416" s="4">
        <v>110</v>
      </c>
      <c r="J1416" s="5">
        <v>99000</v>
      </c>
      <c r="K1416" s="6">
        <f>$E1416+1</f>
        <v>111</v>
      </c>
      <c r="L1416" s="7">
        <f>IF($J1416=0,0,ROUND(MAX($J1416*1.4,1620000*(1.497923^(MIN($E1416,123)-117)))*1,0))</f>
        <v>138600</v>
      </c>
      <c r="M1416" s="4">
        <f>$E1416+2</f>
        <v>112</v>
      </c>
      <c r="N1416" s="8">
        <f>IF($J1416=0,0,ROUND(MAX($J1416*1.4*1.5,2190000*(1.580994^(MIN($E1416,123)-117)))*1,0))</f>
        <v>207900</v>
      </c>
      <c r="O1416" s="6">
        <f>$E1416+4</f>
        <v>114</v>
      </c>
      <c r="P1416" s="7">
        <f>IF($J1416=0,0,ROUND(MAX($J1416*1.4*1.5*1.6,3500000*(1.57975^(MIN($E1416,123)-117)))*1,0))</f>
        <v>332640</v>
      </c>
      <c r="Q1416" s="4">
        <f>$E1416+6</f>
        <v>116</v>
      </c>
      <c r="R1416" s="8">
        <f>IF($J1416=0,0,ROUND(MAX($J1416*1.4*1.5*1.6*1.6,13100000*(1.429962^(MIN($E1416,123)-117)))*1,0))</f>
        <v>1071519</v>
      </c>
      <c r="S1416" s="6">
        <f>$E1416+8</f>
        <v>118</v>
      </c>
      <c r="T1416" s="7">
        <f>IF($J1416=0,0,ROUND(MAX($J1416*1.4*1.5*1.6*1.6*2.2,42600000*(1.576904^(MIN($E1416,123)-117)))*1,0))</f>
        <v>1757004</v>
      </c>
      <c r="U1416" s="4">
        <f>$E1416+11</f>
        <v>121</v>
      </c>
      <c r="V1416" s="8">
        <f>IF($J1416=0,0,ROUND(MAX($J1416*1.4*1.5*1.6*1.6*2.2*2.715,354000000*(1.642074^(MIN($E1416,123)-117)))*1,0))</f>
        <v>10996493</v>
      </c>
      <c r="W1416" s="6">
        <f>$E1416+15</f>
        <v>125</v>
      </c>
      <c r="X1416" s="7">
        <f>IF($J1416=0,0,ROUND(MAX($J1416*1.4*1.5*1.6*1.6*2.2*2.715*2.6,3540000000*(1.579646^(MIN($E1416,123)-117)))*1,0))</f>
        <v>144239716</v>
      </c>
      <c r="Y1416" s="4">
        <f>$E1416+17</f>
        <v>127</v>
      </c>
      <c r="Z1416" s="8">
        <f>IF($J1416=0,0,ROUND(MAX($J1416*1.4*1.5*1.6*1.6*2.2*2.715*2.6*1.4,6020000000*(1.651178^(MIN($E1416,123)-117)))*1,0))</f>
        <v>179903344</v>
      </c>
      <c r="AA1416" s="6">
        <f>$E1416+19</f>
        <v>129</v>
      </c>
      <c r="AB1416" s="7">
        <f>IF($J1416=0,0,ROUND(MAX($J1416*1.4*1.5*1.6*1.6*2.2*2.715*2.6*1.4*1.4,8430000000*(1.651435^(MIN($E1416,123)-117)))*1,0))</f>
        <v>251650143</v>
      </c>
      <c r="AC1416" s="4">
        <f>$E1416+21</f>
        <v>131</v>
      </c>
      <c r="AD1416" s="8">
        <f>IF($J1416=0,0,ROUND(MAX($J1416*1.4*1.5*1.6*1.6*2.2*2.715*2.6*1.4*1.4*1.5,12600000000*(1.652953^(MIN($E1416,123)-117)))*1,0))</f>
        <v>373720576</v>
      </c>
      <c r="AE1416" s="6">
        <f>$E1416+24</f>
        <v>134</v>
      </c>
      <c r="AF1416" s="7">
        <f>IF($J1416=0,0,ROUND(MAX($J1416*1.4*1.5*1.6*1.6*2.2*2.715*2.6*1.4*1.4*1.5*1.5,18900000000*(1.65331^(MIN($E1416,123)-117)))*1,0))</f>
        <v>559734088</v>
      </c>
      <c r="AG1416" s="4">
        <f>$E1416+27</f>
        <v>137</v>
      </c>
      <c r="AH1416" s="8">
        <f>IF($J1416=0,0,ROUND(MAX($J1416*1.4*1.5*1.6*1.6*2.2*2.715*2.6*1.4*1.4*1.5*1.5*3.2,60500000000*(1.654288^(MIN($E1416,123)-117)))*1,0))</f>
        <v>1784339701</v>
      </c>
    </row>
    <row r="1417" ht="27.75" customHeight="1" spans="1:34" x14ac:dyDescent="0.25">
      <c r="A1417" s="3">
        <v>1427</v>
      </c>
      <c r="B1417" s="3" t="s">
        <v>1046</v>
      </c>
      <c r="C1417" s="3" t="s">
        <v>1042</v>
      </c>
      <c r="D1417" s="3" t="s">
        <v>29</v>
      </c>
      <c r="E1417" s="3">
        <v>110</v>
      </c>
      <c r="F1417" s="3" t="s">
        <v>310</v>
      </c>
      <c r="G1417" s="3" t="s">
        <v>1043</v>
      </c>
      <c r="H1417" s="3">
        <v>25</v>
      </c>
      <c r="I1417" s="4">
        <v>110</v>
      </c>
      <c r="J1417" s="5">
        <v>65400</v>
      </c>
      <c r="K1417" s="6">
        <f>$E1417+1</f>
        <v>111</v>
      </c>
      <c r="L1417" s="7">
        <f>IF($J1417=0,0,ROUND(MAX($J1417*1.4,1620000*(1.497923^(MIN($E1417,123)-117)))*1,0))</f>
        <v>95739</v>
      </c>
      <c r="M1417" s="4">
        <f>$E1417+2</f>
        <v>112</v>
      </c>
      <c r="N1417" s="8">
        <f>IF($J1417=0,0,ROUND(MAX($J1417*1.4*1.5,2190000*(1.580994^(MIN($E1417,123)-117)))*1,0))</f>
        <v>137340</v>
      </c>
      <c r="O1417" s="6">
        <f>$E1417+4</f>
        <v>114</v>
      </c>
      <c r="P1417" s="7">
        <f>IF($J1417=0,0,ROUND(MAX($J1417*1.4*1.5*1.6,3500000*(1.57975^(MIN($E1417,123)-117)))*1,0))</f>
        <v>219744</v>
      </c>
      <c r="Q1417" s="4">
        <f>$E1417+6</f>
        <v>116</v>
      </c>
      <c r="R1417" s="8">
        <f>IF($J1417=0,0,ROUND(MAX($J1417*1.4*1.5*1.6*1.6,13100000*(1.429962^(MIN($E1417,123)-117)))*1,0))</f>
        <v>1071519</v>
      </c>
      <c r="S1417" s="6">
        <f>$E1417+8</f>
        <v>118</v>
      </c>
      <c r="T1417" s="7">
        <f>IF($J1417=0,0,ROUND(MAX($J1417*1.4*1.5*1.6*1.6*2.2,42600000*(1.576904^(MIN($E1417,123)-117)))*1,0))</f>
        <v>1757004</v>
      </c>
      <c r="U1417" s="4">
        <f>$E1417+11</f>
        <v>121</v>
      </c>
      <c r="V1417" s="8">
        <f>IF($J1417=0,0,ROUND(MAX($J1417*1.4*1.5*1.6*1.6*2.2*2.715,354000000*(1.642074^(MIN($E1417,123)-117)))*1,0))</f>
        <v>10996493</v>
      </c>
      <c r="W1417" s="6">
        <f>$E1417+15</f>
        <v>125</v>
      </c>
      <c r="X1417" s="7">
        <f>IF($J1417=0,0,ROUND(MAX($J1417*1.4*1.5*1.6*1.6*2.2*2.715*2.6,3540000000*(1.579646^(MIN($E1417,123)-117)))*1,0))</f>
        <v>144239716</v>
      </c>
      <c r="Y1417" s="4">
        <f>$E1417+17</f>
        <v>127</v>
      </c>
      <c r="Z1417" s="8">
        <f>IF($J1417=0,0,ROUND(MAX($J1417*1.4*1.5*1.6*1.6*2.2*2.715*2.6*1.4,6020000000*(1.651178^(MIN($E1417,123)-117)))*1,0))</f>
        <v>179903344</v>
      </c>
      <c r="AA1417" s="6">
        <f>$E1417+19</f>
        <v>129</v>
      </c>
      <c r="AB1417" s="7">
        <f>IF($J1417=0,0,ROUND(MAX($J1417*1.4*1.5*1.6*1.6*2.2*2.715*2.6*1.4*1.4,8430000000*(1.651435^(MIN($E1417,123)-117)))*1,0))</f>
        <v>251650143</v>
      </c>
      <c r="AC1417" s="4">
        <f>$E1417+21</f>
        <v>131</v>
      </c>
      <c r="AD1417" s="8">
        <f>IF($J1417=0,0,ROUND(MAX($J1417*1.4*1.5*1.6*1.6*2.2*2.715*2.6*1.4*1.4*1.5,12600000000*(1.652953^(MIN($E1417,123)-117)))*1,0))</f>
        <v>373720576</v>
      </c>
      <c r="AE1417" s="6">
        <f>$E1417+24</f>
        <v>134</v>
      </c>
      <c r="AF1417" s="7">
        <f>IF($J1417=0,0,ROUND(MAX($J1417*1.4*1.5*1.6*1.6*2.2*2.715*2.6*1.4*1.4*1.5*1.5,18900000000*(1.65331^(MIN($E1417,123)-117)))*1,0))</f>
        <v>559734088</v>
      </c>
      <c r="AG1417" s="4">
        <f>$E1417+27</f>
        <v>137</v>
      </c>
      <c r="AH1417" s="8">
        <f>IF($J1417=0,0,ROUND(MAX($J1417*1.4*1.5*1.6*1.6*2.2*2.715*2.6*1.4*1.4*1.5*1.5*3.2,60500000000*(1.654288^(MIN($E1417,123)-117)))*1,0))</f>
        <v>1784339701</v>
      </c>
    </row>
    <row r="1418" ht="27.75" customHeight="1" spans="1:34" x14ac:dyDescent="0.25">
      <c r="A1418" s="3">
        <v>1428</v>
      </c>
      <c r="B1418" s="3" t="s">
        <v>487</v>
      </c>
      <c r="C1418" s="3" t="s">
        <v>1042</v>
      </c>
      <c r="D1418" s="3" t="s">
        <v>45</v>
      </c>
      <c r="E1418" s="3">
        <v>110</v>
      </c>
      <c r="F1418" s="3" t="s">
        <v>62</v>
      </c>
      <c r="G1418" s="3" t="s">
        <v>1043</v>
      </c>
      <c r="H1418" s="3">
        <v>25</v>
      </c>
      <c r="I1418" s="4">
        <v>110</v>
      </c>
      <c r="J1418" s="5">
        <v>63800</v>
      </c>
      <c r="K1418" s="6">
        <f>$E1418+1</f>
        <v>111</v>
      </c>
      <c r="L1418" s="7">
        <f>IF($J1418=0,0,ROUND(MAX($J1418*1.4,1620000*(1.497923^(MIN($E1418,123)-117)))*1,0))</f>
        <v>95739</v>
      </c>
      <c r="M1418" s="4">
        <f>$E1418+2</f>
        <v>112</v>
      </c>
      <c r="N1418" s="8">
        <f>IF($J1418=0,0,ROUND(MAX($J1418*1.4*1.5,2190000*(1.580994^(MIN($E1418,123)-117)))*1,0))</f>
        <v>133980</v>
      </c>
      <c r="O1418" s="6">
        <f>$E1418+4</f>
        <v>114</v>
      </c>
      <c r="P1418" s="7">
        <f>IF($J1418=0,0,ROUND(MAX($J1418*1.4*1.5*1.6,3500000*(1.57975^(MIN($E1418,123)-117)))*1,0))</f>
        <v>214368</v>
      </c>
      <c r="Q1418" s="4">
        <f>$E1418+6</f>
        <v>116</v>
      </c>
      <c r="R1418" s="8">
        <f>IF($J1418=0,0,ROUND(MAX($J1418*1.4*1.5*1.6*1.6,13100000*(1.429962^(MIN($E1418,123)-117)))*1,0))</f>
        <v>1071519</v>
      </c>
      <c r="S1418" s="6">
        <f>$E1418+8</f>
        <v>118</v>
      </c>
      <c r="T1418" s="7">
        <f>IF($J1418=0,0,ROUND(MAX($J1418*1.4*1.5*1.6*1.6*2.2,42600000*(1.576904^(MIN($E1418,123)-117)))*1,0))</f>
        <v>1757004</v>
      </c>
      <c r="U1418" s="4">
        <f>$E1418+11</f>
        <v>121</v>
      </c>
      <c r="V1418" s="8">
        <f>IF($J1418=0,0,ROUND(MAX($J1418*1.4*1.5*1.6*1.6*2.2*2.715,354000000*(1.642074^(MIN($E1418,123)-117)))*1,0))</f>
        <v>10996493</v>
      </c>
      <c r="W1418" s="6">
        <f>$E1418+15</f>
        <v>125</v>
      </c>
      <c r="X1418" s="7">
        <f>IF($J1418=0,0,ROUND(MAX($J1418*1.4*1.5*1.6*1.6*2.2*2.715*2.6,3540000000*(1.579646^(MIN($E1418,123)-117)))*1,0))</f>
        <v>144239716</v>
      </c>
      <c r="Y1418" s="4">
        <f>$E1418+17</f>
        <v>127</v>
      </c>
      <c r="Z1418" s="8">
        <f>IF($J1418=0,0,ROUND(MAX($J1418*1.4*1.5*1.6*1.6*2.2*2.715*2.6*1.4,6020000000*(1.651178^(MIN($E1418,123)-117)))*1,0))</f>
        <v>179903344</v>
      </c>
      <c r="AA1418" s="6">
        <f>$E1418+19</f>
        <v>129</v>
      </c>
      <c r="AB1418" s="7">
        <f>IF($J1418=0,0,ROUND(MAX($J1418*1.4*1.5*1.6*1.6*2.2*2.715*2.6*1.4*1.4,8430000000*(1.651435^(MIN($E1418,123)-117)))*1,0))</f>
        <v>251650143</v>
      </c>
      <c r="AC1418" s="4">
        <f>$E1418+21</f>
        <v>131</v>
      </c>
      <c r="AD1418" s="8">
        <f>IF($J1418=0,0,ROUND(MAX($J1418*1.4*1.5*1.6*1.6*2.2*2.715*2.6*1.4*1.4*1.5,12600000000*(1.652953^(MIN($E1418,123)-117)))*1,0))</f>
        <v>373720576</v>
      </c>
      <c r="AE1418" s="6">
        <f>$E1418+24</f>
        <v>134</v>
      </c>
      <c r="AF1418" s="7">
        <f>IF($J1418=0,0,ROUND(MAX($J1418*1.4*1.5*1.6*1.6*2.2*2.715*2.6*1.4*1.4*1.5*1.5,18900000000*(1.65331^(MIN($E1418,123)-117)))*1,0))</f>
        <v>559734088</v>
      </c>
      <c r="AG1418" s="4">
        <f>$E1418+27</f>
        <v>137</v>
      </c>
      <c r="AH1418" s="8">
        <f>IF($J1418=0,0,ROUND(MAX($J1418*1.4*1.5*1.6*1.6*2.2*2.715*2.6*1.4*1.4*1.5*1.5*3.2,60500000000*(1.654288^(MIN($E1418,123)-117)))*1,0))</f>
        <v>1784339701</v>
      </c>
    </row>
    <row r="1419" ht="27.75" customHeight="1" spans="1:34" x14ac:dyDescent="0.25">
      <c r="A1419" s="3">
        <v>1429</v>
      </c>
      <c r="B1419" s="3" t="s">
        <v>1047</v>
      </c>
      <c r="C1419" s="3" t="s">
        <v>1042</v>
      </c>
      <c r="D1419" s="3" t="s">
        <v>29</v>
      </c>
      <c r="E1419" s="3">
        <v>110</v>
      </c>
      <c r="F1419" s="3" t="s">
        <v>62</v>
      </c>
      <c r="G1419" s="3" t="s">
        <v>1043</v>
      </c>
      <c r="H1419" s="3">
        <v>25</v>
      </c>
      <c r="I1419" s="4">
        <v>110</v>
      </c>
      <c r="J1419" s="5">
        <v>66100</v>
      </c>
      <c r="K1419" s="6">
        <f>$E1419+1</f>
        <v>111</v>
      </c>
      <c r="L1419" s="7">
        <f>IF($J1419=0,0,ROUND(MAX($J1419*1.4,1620000*(1.497923^(MIN($E1419,123)-117)))*1,0))</f>
        <v>95739</v>
      </c>
      <c r="M1419" s="4">
        <f>$E1419+2</f>
        <v>112</v>
      </c>
      <c r="N1419" s="8">
        <f>IF($J1419=0,0,ROUND(MAX($J1419*1.4*1.5,2190000*(1.580994^(MIN($E1419,123)-117)))*1,0))</f>
        <v>138810</v>
      </c>
      <c r="O1419" s="6">
        <f>$E1419+4</f>
        <v>114</v>
      </c>
      <c r="P1419" s="7">
        <f>IF($J1419=0,0,ROUND(MAX($J1419*1.4*1.5*1.6,3500000*(1.57975^(MIN($E1419,123)-117)))*1,0))</f>
        <v>222096</v>
      </c>
      <c r="Q1419" s="4">
        <f>$E1419+6</f>
        <v>116</v>
      </c>
      <c r="R1419" s="8">
        <f>IF($J1419=0,0,ROUND(MAX($J1419*1.4*1.5*1.6*1.6,13100000*(1.429962^(MIN($E1419,123)-117)))*1,0))</f>
        <v>1071519</v>
      </c>
      <c r="S1419" s="6">
        <f>$E1419+8</f>
        <v>118</v>
      </c>
      <c r="T1419" s="7">
        <f>IF($J1419=0,0,ROUND(MAX($J1419*1.4*1.5*1.6*1.6*2.2,42600000*(1.576904^(MIN($E1419,123)-117)))*1,0))</f>
        <v>1757004</v>
      </c>
      <c r="U1419" s="4">
        <f>$E1419+11</f>
        <v>121</v>
      </c>
      <c r="V1419" s="8">
        <f>IF($J1419=0,0,ROUND(MAX($J1419*1.4*1.5*1.6*1.6*2.2*2.715,354000000*(1.642074^(MIN($E1419,123)-117)))*1,0))</f>
        <v>10996493</v>
      </c>
      <c r="W1419" s="6">
        <f>$E1419+15</f>
        <v>125</v>
      </c>
      <c r="X1419" s="7">
        <f>IF($J1419=0,0,ROUND(MAX($J1419*1.4*1.5*1.6*1.6*2.2*2.715*2.6,3540000000*(1.579646^(MIN($E1419,123)-117)))*1,0))</f>
        <v>144239716</v>
      </c>
      <c r="Y1419" s="4">
        <f>$E1419+17</f>
        <v>127</v>
      </c>
      <c r="Z1419" s="8">
        <f>IF($J1419=0,0,ROUND(MAX($J1419*1.4*1.5*1.6*1.6*2.2*2.715*2.6*1.4,6020000000*(1.651178^(MIN($E1419,123)-117)))*1,0))</f>
        <v>179903344</v>
      </c>
      <c r="AA1419" s="6">
        <f>$E1419+19</f>
        <v>129</v>
      </c>
      <c r="AB1419" s="7">
        <f>IF($J1419=0,0,ROUND(MAX($J1419*1.4*1.5*1.6*1.6*2.2*2.715*2.6*1.4*1.4,8430000000*(1.651435^(MIN($E1419,123)-117)))*1,0))</f>
        <v>251650143</v>
      </c>
      <c r="AC1419" s="4">
        <f>$E1419+21</f>
        <v>131</v>
      </c>
      <c r="AD1419" s="8">
        <f>IF($J1419=0,0,ROUND(MAX($J1419*1.4*1.5*1.6*1.6*2.2*2.715*2.6*1.4*1.4*1.5,12600000000*(1.652953^(MIN($E1419,123)-117)))*1,0))</f>
        <v>373720576</v>
      </c>
      <c r="AE1419" s="6">
        <f>$E1419+24</f>
        <v>134</v>
      </c>
      <c r="AF1419" s="7">
        <f>IF($J1419=0,0,ROUND(MAX($J1419*1.4*1.5*1.6*1.6*2.2*2.715*2.6*1.4*1.4*1.5*1.5,18900000000*(1.65331^(MIN($E1419,123)-117)))*1,0))</f>
        <v>559734088</v>
      </c>
      <c r="AG1419" s="4">
        <f>$E1419+27</f>
        <v>137</v>
      </c>
      <c r="AH1419" s="8">
        <f>IF($J1419=0,0,ROUND(MAX($J1419*1.4*1.5*1.6*1.6*2.2*2.715*2.6*1.4*1.4*1.5*1.5*3.2,60500000000*(1.654288^(MIN($E1419,123)-117)))*1,0))</f>
        <v>1784339701</v>
      </c>
    </row>
    <row r="1420" ht="27.75" customHeight="1" spans="1:34" x14ac:dyDescent="0.25">
      <c r="A1420" s="3">
        <v>1430</v>
      </c>
      <c r="B1420" s="3" t="s">
        <v>208</v>
      </c>
      <c r="C1420" s="3" t="s">
        <v>1042</v>
      </c>
      <c r="D1420" s="3" t="s">
        <v>25</v>
      </c>
      <c r="E1420" s="3">
        <v>110</v>
      </c>
      <c r="F1420" s="3" t="s">
        <v>26</v>
      </c>
      <c r="G1420" s="3" t="s">
        <v>1043</v>
      </c>
      <c r="H1420" s="3">
        <v>25</v>
      </c>
      <c r="I1420" s="4">
        <v>110</v>
      </c>
      <c r="J1420" s="5">
        <v>67100</v>
      </c>
      <c r="K1420" s="6">
        <f>$E1420+1</f>
        <v>111</v>
      </c>
      <c r="L1420" s="7">
        <f>IF($J1420=0,0,ROUND(MAX($J1420*1.4,1620000*(1.497923^(MIN($E1420,123)-117)))*1,0))</f>
        <v>95739</v>
      </c>
      <c r="M1420" s="4">
        <f>$E1420+2</f>
        <v>112</v>
      </c>
      <c r="N1420" s="8">
        <f>IF($J1420=0,0,ROUND(MAX($J1420*1.4*1.5,2190000*(1.580994^(MIN($E1420,123)-117)))*1,0))</f>
        <v>140910</v>
      </c>
      <c r="O1420" s="6">
        <f>$E1420+4</f>
        <v>114</v>
      </c>
      <c r="P1420" s="7">
        <f>IF($J1420=0,0,ROUND(MAX($J1420*1.4*1.5*1.6,3500000*(1.57975^(MIN($E1420,123)-117)))*1,0))</f>
        <v>225456</v>
      </c>
      <c r="Q1420" s="4">
        <f>$E1420+6</f>
        <v>116</v>
      </c>
      <c r="R1420" s="8">
        <f>IF($J1420=0,0,ROUND(MAX($J1420*1.4*1.5*1.6*1.6,13100000*(1.429962^(MIN($E1420,123)-117)))*1,0))</f>
        <v>1071519</v>
      </c>
      <c r="S1420" s="6">
        <f>$E1420+8</f>
        <v>118</v>
      </c>
      <c r="T1420" s="7">
        <f>IF($J1420=0,0,ROUND(MAX($J1420*1.4*1.5*1.6*1.6*2.2,42600000*(1.576904^(MIN($E1420,123)-117)))*1,0))</f>
        <v>1757004</v>
      </c>
      <c r="U1420" s="4">
        <f>$E1420+11</f>
        <v>121</v>
      </c>
      <c r="V1420" s="8">
        <f>IF($J1420=0,0,ROUND(MAX($J1420*1.4*1.5*1.6*1.6*2.2*2.715,354000000*(1.642074^(MIN($E1420,123)-117)))*1,0))</f>
        <v>10996493</v>
      </c>
      <c r="W1420" s="6">
        <f>$E1420+15</f>
        <v>125</v>
      </c>
      <c r="X1420" s="7">
        <f>IF($J1420=0,0,ROUND(MAX($J1420*1.4*1.5*1.6*1.6*2.2*2.715*2.6,3540000000*(1.579646^(MIN($E1420,123)-117)))*1,0))</f>
        <v>144239716</v>
      </c>
      <c r="Y1420" s="4">
        <f>$E1420+17</f>
        <v>127</v>
      </c>
      <c r="Z1420" s="8">
        <f>IF($J1420=0,0,ROUND(MAX($J1420*1.4*1.5*1.6*1.6*2.2*2.715*2.6*1.4,6020000000*(1.651178^(MIN($E1420,123)-117)))*1,0))</f>
        <v>179903344</v>
      </c>
      <c r="AA1420" s="6">
        <f>$E1420+19</f>
        <v>129</v>
      </c>
      <c r="AB1420" s="7">
        <f>IF($J1420=0,0,ROUND(MAX($J1420*1.4*1.5*1.6*1.6*2.2*2.715*2.6*1.4*1.4,8430000000*(1.651435^(MIN($E1420,123)-117)))*1,0))</f>
        <v>251650143</v>
      </c>
      <c r="AC1420" s="4">
        <f>$E1420+21</f>
        <v>131</v>
      </c>
      <c r="AD1420" s="8">
        <f>IF($J1420=0,0,ROUND(MAX($J1420*1.4*1.5*1.6*1.6*2.2*2.715*2.6*1.4*1.4*1.5,12600000000*(1.652953^(MIN($E1420,123)-117)))*1,0))</f>
        <v>373720576</v>
      </c>
      <c r="AE1420" s="6">
        <f>$E1420+24</f>
        <v>134</v>
      </c>
      <c r="AF1420" s="7">
        <f>IF($J1420=0,0,ROUND(MAX($J1420*1.4*1.5*1.6*1.6*2.2*2.715*2.6*1.4*1.4*1.5*1.5,18900000000*(1.65331^(MIN($E1420,123)-117)))*1,0))</f>
        <v>559734088</v>
      </c>
      <c r="AG1420" s="4">
        <f>$E1420+27</f>
        <v>137</v>
      </c>
      <c r="AH1420" s="8">
        <f>IF($J1420=0,0,ROUND(MAX($J1420*1.4*1.5*1.6*1.6*2.2*2.715*2.6*1.4*1.4*1.5*1.5*3.2,60500000000*(1.654288^(MIN($E1420,123)-117)))*1,0))</f>
        <v>1784339701</v>
      </c>
    </row>
    <row r="1421" ht="27.75" customHeight="1" spans="1:34" x14ac:dyDescent="0.25">
      <c r="A1421" s="3">
        <v>1431</v>
      </c>
      <c r="B1421" s="3" t="s">
        <v>622</v>
      </c>
      <c r="C1421" s="3" t="s">
        <v>1042</v>
      </c>
      <c r="D1421" s="3" t="s">
        <v>33</v>
      </c>
      <c r="E1421" s="3">
        <v>110</v>
      </c>
      <c r="F1421" s="3" t="s">
        <v>237</v>
      </c>
      <c r="G1421" s="3" t="s">
        <v>1043</v>
      </c>
      <c r="H1421" s="3">
        <v>25</v>
      </c>
      <c r="I1421" s="4">
        <v>110</v>
      </c>
      <c r="J1421" s="5">
        <v>58400</v>
      </c>
      <c r="K1421" s="6">
        <f>$E1421+1</f>
        <v>111</v>
      </c>
      <c r="L1421" s="7">
        <f>IF($J1421=0,0,ROUND(MAX($J1421*1.4,1620000*(1.497923^(MIN($E1421,123)-117)))*1,0))</f>
        <v>95739</v>
      </c>
      <c r="M1421" s="4">
        <f>$E1421+2</f>
        <v>112</v>
      </c>
      <c r="N1421" s="8">
        <f>IF($J1421=0,0,ROUND(MAX($J1421*1.4*1.5,2190000*(1.580994^(MIN($E1421,123)-117)))*1,0))</f>
        <v>122640</v>
      </c>
      <c r="O1421" s="6">
        <f>$E1421+4</f>
        <v>114</v>
      </c>
      <c r="P1421" s="7">
        <f>IF($J1421=0,0,ROUND(MAX($J1421*1.4*1.5*1.6,3500000*(1.57975^(MIN($E1421,123)-117)))*1,0))</f>
        <v>196224</v>
      </c>
      <c r="Q1421" s="4">
        <f>$E1421+6</f>
        <v>116</v>
      </c>
      <c r="R1421" s="8">
        <f>IF($J1421=0,0,ROUND(MAX($J1421*1.4*1.5*1.6*1.6,13100000*(1.429962^(MIN($E1421,123)-117)))*1,0))</f>
        <v>1071519</v>
      </c>
      <c r="S1421" s="6">
        <f>$E1421+8</f>
        <v>118</v>
      </c>
      <c r="T1421" s="7">
        <f>IF($J1421=0,0,ROUND(MAX($J1421*1.4*1.5*1.6*1.6*2.2,42600000*(1.576904^(MIN($E1421,123)-117)))*1,0))</f>
        <v>1757004</v>
      </c>
      <c r="U1421" s="4">
        <f>$E1421+11</f>
        <v>121</v>
      </c>
      <c r="V1421" s="8">
        <f>IF($J1421=0,0,ROUND(MAX($J1421*1.4*1.5*1.6*1.6*2.2*2.715,354000000*(1.642074^(MIN($E1421,123)-117)))*1,0))</f>
        <v>10996493</v>
      </c>
      <c r="W1421" s="6">
        <f>$E1421+15</f>
        <v>125</v>
      </c>
      <c r="X1421" s="7">
        <f>IF($J1421=0,0,ROUND(MAX($J1421*1.4*1.5*1.6*1.6*2.2*2.715*2.6,3540000000*(1.579646^(MIN($E1421,123)-117)))*1,0))</f>
        <v>144239716</v>
      </c>
      <c r="Y1421" s="4">
        <f>$E1421+17</f>
        <v>127</v>
      </c>
      <c r="Z1421" s="8">
        <f>IF($J1421=0,0,ROUND(MAX($J1421*1.4*1.5*1.6*1.6*2.2*2.715*2.6*1.4,6020000000*(1.651178^(MIN($E1421,123)-117)))*1,0))</f>
        <v>179903344</v>
      </c>
      <c r="AA1421" s="6">
        <f>$E1421+19</f>
        <v>129</v>
      </c>
      <c r="AB1421" s="7">
        <f>IF($J1421=0,0,ROUND(MAX($J1421*1.4*1.5*1.6*1.6*2.2*2.715*2.6*1.4*1.4,8430000000*(1.651435^(MIN($E1421,123)-117)))*1,0))</f>
        <v>251650143</v>
      </c>
      <c r="AC1421" s="4">
        <f>$E1421+21</f>
        <v>131</v>
      </c>
      <c r="AD1421" s="8">
        <f>IF($J1421=0,0,ROUND(MAX($J1421*1.4*1.5*1.6*1.6*2.2*2.715*2.6*1.4*1.4*1.5,12600000000*(1.652953^(MIN($E1421,123)-117)))*1,0))</f>
        <v>373720576</v>
      </c>
      <c r="AE1421" s="6">
        <f>$E1421+24</f>
        <v>134</v>
      </c>
      <c r="AF1421" s="7">
        <f>IF($J1421=0,0,ROUND(MAX($J1421*1.4*1.5*1.6*1.6*2.2*2.715*2.6*1.4*1.4*1.5*1.5,18900000000*(1.65331^(MIN($E1421,123)-117)))*1,0))</f>
        <v>559734088</v>
      </c>
      <c r="AG1421" s="4">
        <f>$E1421+27</f>
        <v>137</v>
      </c>
      <c r="AH1421" s="8">
        <f>IF($J1421=0,0,ROUND(MAX($J1421*1.4*1.5*1.6*1.6*2.2*2.715*2.6*1.4*1.4*1.5*1.5*3.2,60500000000*(1.654288^(MIN($E1421,123)-117)))*1,0))</f>
        <v>1784339701</v>
      </c>
    </row>
    <row r="1422" ht="27.75" customHeight="1" spans="1:34" x14ac:dyDescent="0.25">
      <c r="A1422" s="3">
        <v>1432</v>
      </c>
      <c r="B1422" s="3" t="s">
        <v>189</v>
      </c>
      <c r="C1422" s="3" t="s">
        <v>1042</v>
      </c>
      <c r="D1422" s="3" t="s">
        <v>102</v>
      </c>
      <c r="E1422" s="3">
        <v>110</v>
      </c>
      <c r="F1422" s="3" t="s">
        <v>62</v>
      </c>
      <c r="G1422" s="3" t="s">
        <v>1043</v>
      </c>
      <c r="H1422" s="3">
        <v>25</v>
      </c>
      <c r="I1422" s="4">
        <v>110</v>
      </c>
      <c r="J1422" s="5">
        <v>89900</v>
      </c>
      <c r="K1422" s="6">
        <f>$E1422+1</f>
        <v>111</v>
      </c>
      <c r="L1422" s="7">
        <f>IF($J1422=0,0,ROUND(MAX($J1422*1.4,1620000*(1.497923^(MIN($E1422,123)-117)))*1,0))</f>
        <v>125860</v>
      </c>
      <c r="M1422" s="4">
        <f>$E1422+2</f>
        <v>112</v>
      </c>
      <c r="N1422" s="8">
        <f>IF($J1422=0,0,ROUND(MAX($J1422*1.4*1.5,2190000*(1.580994^(MIN($E1422,123)-117)))*1,0))</f>
        <v>188790</v>
      </c>
      <c r="O1422" s="6">
        <f>$E1422+4</f>
        <v>114</v>
      </c>
      <c r="P1422" s="7">
        <f>IF($J1422=0,0,ROUND(MAX($J1422*1.4*1.5*1.6,3500000*(1.57975^(MIN($E1422,123)-117)))*1,0))</f>
        <v>302064</v>
      </c>
      <c r="Q1422" s="4">
        <f>$E1422+6</f>
        <v>116</v>
      </c>
      <c r="R1422" s="8">
        <f>IF($J1422=0,0,ROUND(MAX($J1422*1.4*1.5*1.6*1.6,13100000*(1.429962^(MIN($E1422,123)-117)))*1,0))</f>
        <v>1071519</v>
      </c>
      <c r="S1422" s="6">
        <f>$E1422+8</f>
        <v>118</v>
      </c>
      <c r="T1422" s="7">
        <f>IF($J1422=0,0,ROUND(MAX($J1422*1.4*1.5*1.6*1.6*2.2,42600000*(1.576904^(MIN($E1422,123)-117)))*1,0))</f>
        <v>1757004</v>
      </c>
      <c r="U1422" s="4">
        <f>$E1422+11</f>
        <v>121</v>
      </c>
      <c r="V1422" s="8">
        <f>IF($J1422=0,0,ROUND(MAX($J1422*1.4*1.5*1.6*1.6*2.2*2.715,354000000*(1.642074^(MIN($E1422,123)-117)))*1,0))</f>
        <v>10996493</v>
      </c>
      <c r="W1422" s="6">
        <f>$E1422+15</f>
        <v>125</v>
      </c>
      <c r="X1422" s="7">
        <f>IF($J1422=0,0,ROUND(MAX($J1422*1.4*1.5*1.6*1.6*2.2*2.715*2.6,3540000000*(1.579646^(MIN($E1422,123)-117)))*1,0))</f>
        <v>144239716</v>
      </c>
      <c r="Y1422" s="4">
        <f>$E1422+17</f>
        <v>127</v>
      </c>
      <c r="Z1422" s="8">
        <f>IF($J1422=0,0,ROUND(MAX($J1422*1.4*1.5*1.6*1.6*2.2*2.715*2.6*1.4,6020000000*(1.651178^(MIN($E1422,123)-117)))*1,0))</f>
        <v>179903344</v>
      </c>
      <c r="AA1422" s="6">
        <f>$E1422+19</f>
        <v>129</v>
      </c>
      <c r="AB1422" s="7">
        <f>IF($J1422=0,0,ROUND(MAX($J1422*1.4*1.5*1.6*1.6*2.2*2.715*2.6*1.4*1.4,8430000000*(1.651435^(MIN($E1422,123)-117)))*1,0))</f>
        <v>251650143</v>
      </c>
      <c r="AC1422" s="4">
        <f>$E1422+21</f>
        <v>131</v>
      </c>
      <c r="AD1422" s="8">
        <f>IF($J1422=0,0,ROUND(MAX($J1422*1.4*1.5*1.6*1.6*2.2*2.715*2.6*1.4*1.4*1.5,12600000000*(1.652953^(MIN($E1422,123)-117)))*1,0))</f>
        <v>373720576</v>
      </c>
      <c r="AE1422" s="6">
        <f>$E1422+24</f>
        <v>134</v>
      </c>
      <c r="AF1422" s="7">
        <f>IF($J1422=0,0,ROUND(MAX($J1422*1.4*1.5*1.6*1.6*2.2*2.715*2.6*1.4*1.4*1.5*1.5,18900000000*(1.65331^(MIN($E1422,123)-117)))*1,0))</f>
        <v>559734088</v>
      </c>
      <c r="AG1422" s="4">
        <f>$E1422+27</f>
        <v>137</v>
      </c>
      <c r="AH1422" s="8">
        <f>IF($J1422=0,0,ROUND(MAX($J1422*1.4*1.5*1.6*1.6*2.2*2.715*2.6*1.4*1.4*1.5*1.5*3.2,60500000000*(1.654288^(MIN($E1422,123)-117)))*1,0))</f>
        <v>1784339701</v>
      </c>
    </row>
    <row r="1423" ht="27.75" customHeight="1" spans="1:34" x14ac:dyDescent="0.25">
      <c r="A1423" s="3">
        <v>1433</v>
      </c>
      <c r="B1423" s="3" t="s">
        <v>785</v>
      </c>
      <c r="C1423" s="3" t="s">
        <v>1042</v>
      </c>
      <c r="D1423" s="3" t="s">
        <v>47</v>
      </c>
      <c r="E1423" s="3">
        <v>110</v>
      </c>
      <c r="F1423" s="3" t="s">
        <v>34</v>
      </c>
      <c r="G1423" s="3" t="s">
        <v>72</v>
      </c>
      <c r="H1423" s="3">
        <v>23</v>
      </c>
      <c r="I1423" s="4">
        <v>110</v>
      </c>
      <c r="J1423" s="5">
        <v>71600</v>
      </c>
      <c r="K1423" s="6">
        <f>$E1423+1</f>
        <v>111</v>
      </c>
      <c r="L1423" s="7">
        <f>IF($J1423=0,0,ROUND(MAX($J1423*1.4,1620000*(1.497923^(MIN($E1423,123)-117)))*1,0))</f>
        <v>100240</v>
      </c>
      <c r="M1423" s="4">
        <f>$E1423+2</f>
        <v>112</v>
      </c>
      <c r="N1423" s="8">
        <f>IF($J1423=0,0,ROUND(MAX($J1423*1.4*1.5,2190000*(1.580994^(MIN($E1423,123)-117)))*1,0))</f>
        <v>150360</v>
      </c>
      <c r="O1423" s="6">
        <f>$E1423+4</f>
        <v>114</v>
      </c>
      <c r="P1423" s="7">
        <f>IF($J1423=0,0,ROUND(MAX($J1423*1.4*1.5*1.6,3500000*(1.57975^(MIN($E1423,123)-117)))*1,0))</f>
        <v>240576</v>
      </c>
      <c r="Q1423" s="4">
        <f>$E1423+6</f>
        <v>116</v>
      </c>
      <c r="R1423" s="8">
        <f>IF($J1423=0,0,ROUND(MAX($J1423*1.4*1.5*1.6*1.6,13100000*(1.429962^(MIN($E1423,123)-117)))*1,0))</f>
        <v>1071519</v>
      </c>
      <c r="S1423" s="6">
        <f>$E1423+8</f>
        <v>118</v>
      </c>
      <c r="T1423" s="7">
        <f>IF($J1423=0,0,ROUND(MAX($J1423*1.4*1.5*1.6*1.6*2.2,42600000*(1.576904^(MIN($E1423,123)-117)))*1,0))</f>
        <v>1757004</v>
      </c>
      <c r="U1423" s="4">
        <f>$E1423+11</f>
        <v>121</v>
      </c>
      <c r="V1423" s="8">
        <f>IF($J1423=0,0,ROUND(MAX($J1423*1.4*1.5*1.6*1.6*2.2*2.715,354000000*(1.642074^(MIN($E1423,123)-117)))*1,0))</f>
        <v>10996493</v>
      </c>
      <c r="W1423" s="6">
        <f>$E1423+15</f>
        <v>125</v>
      </c>
      <c r="X1423" s="7">
        <f>IF($J1423=0,0,ROUND(MAX($J1423*1.4*1.5*1.6*1.6*2.2*2.715*2.6,3540000000*(1.579646^(MIN($E1423,123)-117)))*1,0))</f>
        <v>144239716</v>
      </c>
      <c r="Y1423" s="4">
        <f>$E1423+17</f>
        <v>127</v>
      </c>
      <c r="Z1423" s="8">
        <f>IF($J1423=0,0,ROUND(MAX($J1423*1.4*1.5*1.6*1.6*2.2*2.715*2.6*1.4,6020000000*(1.651178^(MIN($E1423,123)-117)))*1,0))</f>
        <v>179903344</v>
      </c>
      <c r="AA1423" s="6">
        <f>$E1423+19</f>
        <v>129</v>
      </c>
      <c r="AB1423" s="7">
        <f>IF($J1423=0,0,ROUND(MAX($J1423*1.4*1.5*1.6*1.6*2.2*2.715*2.6*1.4*1.4,8430000000*(1.651435^(MIN($E1423,123)-117)))*1,0))</f>
        <v>251650143</v>
      </c>
      <c r="AC1423" s="4">
        <f>$E1423+21</f>
        <v>131</v>
      </c>
      <c r="AD1423" s="8">
        <f>IF($J1423=0,0,ROUND(MAX($J1423*1.4*1.5*1.6*1.6*2.2*2.715*2.6*1.4*1.4*1.5,12600000000*(1.652953^(MIN($E1423,123)-117)))*1,0))</f>
        <v>373720576</v>
      </c>
      <c r="AE1423" s="6">
        <f>$E1423+24</f>
        <v>134</v>
      </c>
      <c r="AF1423" s="7">
        <f>IF($J1423=0,0,ROUND(MAX($J1423*1.4*1.5*1.6*1.6*2.2*2.715*2.6*1.4*1.4*1.5*1.5,18900000000*(1.65331^(MIN($E1423,123)-117)))*1,0))</f>
        <v>559734088</v>
      </c>
      <c r="AG1423" s="4">
        <f>$E1423+27</f>
        <v>137</v>
      </c>
      <c r="AH1423" s="8">
        <f>IF($J1423=0,0,ROUND(MAX($J1423*1.4*1.5*1.6*1.6*2.2*2.715*2.6*1.4*1.4*1.5*1.5*3.2,60500000000*(1.654288^(MIN($E1423,123)-117)))*1,0))</f>
        <v>1784339701</v>
      </c>
    </row>
    <row r="1424" ht="27.75" customHeight="1" spans="1:34" x14ac:dyDescent="0.25">
      <c r="A1424" s="3">
        <v>1434</v>
      </c>
      <c r="B1424" s="3" t="s">
        <v>188</v>
      </c>
      <c r="C1424" s="3" t="s">
        <v>1042</v>
      </c>
      <c r="D1424" s="3" t="s">
        <v>47</v>
      </c>
      <c r="E1424" s="3">
        <v>110</v>
      </c>
      <c r="F1424" s="3" t="s">
        <v>42</v>
      </c>
      <c r="G1424" s="3" t="s">
        <v>1043</v>
      </c>
      <c r="H1424" s="3">
        <v>23</v>
      </c>
      <c r="I1424" s="4">
        <v>110</v>
      </c>
      <c r="J1424" s="5">
        <v>92600</v>
      </c>
      <c r="K1424" s="6">
        <f>$E1424+1</f>
        <v>111</v>
      </c>
      <c r="L1424" s="7">
        <f>IF($J1424=0,0,ROUND(MAX($J1424*1.4,1620000*(1.497923^(MIN($E1424,123)-117)))*1,0))</f>
        <v>129640</v>
      </c>
      <c r="M1424" s="4">
        <f>$E1424+2</f>
        <v>112</v>
      </c>
      <c r="N1424" s="8">
        <f>IF($J1424=0,0,ROUND(MAX($J1424*1.4*1.5,2190000*(1.580994^(MIN($E1424,123)-117)))*1,0))</f>
        <v>194460</v>
      </c>
      <c r="O1424" s="6">
        <f>$E1424+4</f>
        <v>114</v>
      </c>
      <c r="P1424" s="7">
        <f>IF($J1424=0,0,ROUND(MAX($J1424*1.4*1.5*1.6,3500000*(1.57975^(MIN($E1424,123)-117)))*1,0))</f>
        <v>311136</v>
      </c>
      <c r="Q1424" s="4">
        <f>$E1424+6</f>
        <v>116</v>
      </c>
      <c r="R1424" s="8">
        <f>IF($J1424=0,0,ROUND(MAX($J1424*1.4*1.5*1.6*1.6,13100000*(1.429962^(MIN($E1424,123)-117)))*1,0))</f>
        <v>1071519</v>
      </c>
      <c r="S1424" s="6">
        <f>$E1424+8</f>
        <v>118</v>
      </c>
      <c r="T1424" s="7">
        <f>IF($J1424=0,0,ROUND(MAX($J1424*1.4*1.5*1.6*1.6*2.2,42600000*(1.576904^(MIN($E1424,123)-117)))*1,0))</f>
        <v>1757004</v>
      </c>
      <c r="U1424" s="4">
        <f>$E1424+11</f>
        <v>121</v>
      </c>
      <c r="V1424" s="8">
        <f>IF($J1424=0,0,ROUND(MAX($J1424*1.4*1.5*1.6*1.6*2.2*2.715,354000000*(1.642074^(MIN($E1424,123)-117)))*1,0))</f>
        <v>10996493</v>
      </c>
      <c r="W1424" s="6">
        <f>$E1424+15</f>
        <v>125</v>
      </c>
      <c r="X1424" s="7">
        <f>IF($J1424=0,0,ROUND(MAX($J1424*1.4*1.5*1.6*1.6*2.2*2.715*2.6,3540000000*(1.579646^(MIN($E1424,123)-117)))*1,0))</f>
        <v>144239716</v>
      </c>
      <c r="Y1424" s="4">
        <f>$E1424+17</f>
        <v>127</v>
      </c>
      <c r="Z1424" s="8">
        <f>IF($J1424=0,0,ROUND(MAX($J1424*1.4*1.5*1.6*1.6*2.2*2.715*2.6*1.4,6020000000*(1.651178^(MIN($E1424,123)-117)))*1,0))</f>
        <v>179903344</v>
      </c>
      <c r="AA1424" s="6">
        <f>$E1424+19</f>
        <v>129</v>
      </c>
      <c r="AB1424" s="7">
        <f>IF($J1424=0,0,ROUND(MAX($J1424*1.4*1.5*1.6*1.6*2.2*2.715*2.6*1.4*1.4,8430000000*(1.651435^(MIN($E1424,123)-117)))*1,0))</f>
        <v>251650143</v>
      </c>
      <c r="AC1424" s="4">
        <f>$E1424+21</f>
        <v>131</v>
      </c>
      <c r="AD1424" s="8">
        <f>IF($J1424=0,0,ROUND(MAX($J1424*1.4*1.5*1.6*1.6*2.2*2.715*2.6*1.4*1.4*1.5,12600000000*(1.652953^(MIN($E1424,123)-117)))*1,0))</f>
        <v>373720576</v>
      </c>
      <c r="AE1424" s="6">
        <f>$E1424+24</f>
        <v>134</v>
      </c>
      <c r="AF1424" s="7">
        <f>IF($J1424=0,0,ROUND(MAX($J1424*1.4*1.5*1.6*1.6*2.2*2.715*2.6*1.4*1.4*1.5*1.5,18900000000*(1.65331^(MIN($E1424,123)-117)))*1,0))</f>
        <v>559734088</v>
      </c>
      <c r="AG1424" s="4">
        <f>$E1424+27</f>
        <v>137</v>
      </c>
      <c r="AH1424" s="8">
        <f>IF($J1424=0,0,ROUND(MAX($J1424*1.4*1.5*1.6*1.6*2.2*2.715*2.6*1.4*1.4*1.5*1.5*3.2,60500000000*(1.654288^(MIN($E1424,123)-117)))*1,0))</f>
        <v>1784339701</v>
      </c>
    </row>
    <row r="1425" ht="27.75" customHeight="1" spans="1:34" x14ac:dyDescent="0.25">
      <c r="A1425" s="3">
        <v>1435</v>
      </c>
      <c r="B1425" s="3" t="s">
        <v>1048</v>
      </c>
      <c r="C1425" s="3" t="s">
        <v>1042</v>
      </c>
      <c r="D1425" s="3" t="s">
        <v>47</v>
      </c>
      <c r="E1425" s="3">
        <v>110</v>
      </c>
      <c r="F1425" s="3" t="s">
        <v>54</v>
      </c>
      <c r="G1425" s="3" t="s">
        <v>342</v>
      </c>
      <c r="H1425" s="3">
        <v>22</v>
      </c>
      <c r="I1425" s="4">
        <v>110</v>
      </c>
      <c r="J1425" s="5">
        <v>68700</v>
      </c>
      <c r="K1425" s="6">
        <f>$E1425+1</f>
        <v>111</v>
      </c>
      <c r="L1425" s="7">
        <f>IF($J1425=0,0,ROUND(MAX($J1425*1.4,1620000*(1.497923^(MIN($E1425,123)-117)))*1,0))</f>
        <v>96180</v>
      </c>
      <c r="M1425" s="4">
        <f>$E1425+2</f>
        <v>112</v>
      </c>
      <c r="N1425" s="8">
        <f>IF($J1425=0,0,ROUND(MAX($J1425*1.4*1.5,2190000*(1.580994^(MIN($E1425,123)-117)))*1,0))</f>
        <v>144270</v>
      </c>
      <c r="O1425" s="6">
        <f>$E1425+4</f>
        <v>114</v>
      </c>
      <c r="P1425" s="7">
        <f>IF($J1425=0,0,ROUND(MAX($J1425*1.4*1.5*1.6,3500000*(1.57975^(MIN($E1425,123)-117)))*1,0))</f>
        <v>230832</v>
      </c>
      <c r="Q1425" s="4">
        <f>$E1425+6</f>
        <v>116</v>
      </c>
      <c r="R1425" s="8">
        <f>IF($J1425=0,0,ROUND(MAX($J1425*1.4*1.5*1.6*1.6,13100000*(1.429962^(MIN($E1425,123)-117)))*1,0))</f>
        <v>1071519</v>
      </c>
      <c r="S1425" s="6">
        <f>$E1425+8</f>
        <v>118</v>
      </c>
      <c r="T1425" s="7">
        <f>IF($J1425=0,0,ROUND(MAX($J1425*1.4*1.5*1.6*1.6*2.2,42600000*(1.576904^(MIN($E1425,123)-117)))*1,0))</f>
        <v>1757004</v>
      </c>
      <c r="U1425" s="4">
        <f>$E1425+11</f>
        <v>121</v>
      </c>
      <c r="V1425" s="8">
        <f>IF($J1425=0,0,ROUND(MAX($J1425*1.4*1.5*1.6*1.6*2.2*2.715,354000000*(1.642074^(MIN($E1425,123)-117)))*1,0))</f>
        <v>10996493</v>
      </c>
      <c r="W1425" s="6">
        <f>$E1425+15</f>
        <v>125</v>
      </c>
      <c r="X1425" s="7">
        <f>IF($J1425=0,0,ROUND(MAX($J1425*1.4*1.5*1.6*1.6*2.2*2.715*2.6,3540000000*(1.579646^(MIN($E1425,123)-117)))*1,0))</f>
        <v>144239716</v>
      </c>
      <c r="Y1425" s="4">
        <f>$E1425+17</f>
        <v>127</v>
      </c>
      <c r="Z1425" s="8">
        <f>IF($J1425=0,0,ROUND(MAX($J1425*1.4*1.5*1.6*1.6*2.2*2.715*2.6*1.4,6020000000*(1.651178^(MIN($E1425,123)-117)))*1,0))</f>
        <v>179903344</v>
      </c>
      <c r="AA1425" s="6">
        <f>$E1425+19</f>
        <v>129</v>
      </c>
      <c r="AB1425" s="7">
        <f>IF($J1425=0,0,ROUND(MAX($J1425*1.4*1.5*1.6*1.6*2.2*2.715*2.6*1.4*1.4,8430000000*(1.651435^(MIN($E1425,123)-117)))*1,0))</f>
        <v>251650143</v>
      </c>
      <c r="AC1425" s="4">
        <f>$E1425+21</f>
        <v>131</v>
      </c>
      <c r="AD1425" s="8">
        <f>IF($J1425=0,0,ROUND(MAX($J1425*1.4*1.5*1.6*1.6*2.2*2.715*2.6*1.4*1.4*1.5,12600000000*(1.652953^(MIN($E1425,123)-117)))*1,0))</f>
        <v>373720576</v>
      </c>
      <c r="AE1425" s="6">
        <f>$E1425+24</f>
        <v>134</v>
      </c>
      <c r="AF1425" s="7">
        <f>IF($J1425=0,0,ROUND(MAX($J1425*1.4*1.5*1.6*1.6*2.2*2.715*2.6*1.4*1.4*1.5*1.5,18900000000*(1.65331^(MIN($E1425,123)-117)))*1,0))</f>
        <v>559734088</v>
      </c>
      <c r="AG1425" s="4">
        <f>$E1425+27</f>
        <v>137</v>
      </c>
      <c r="AH1425" s="8">
        <f>IF($J1425=0,0,ROUND(MAX($J1425*1.4*1.5*1.6*1.6*2.2*2.715*2.6*1.4*1.4*1.5*1.5*3.2,60500000000*(1.654288^(MIN($E1425,123)-117)))*1,0))</f>
        <v>1784339701</v>
      </c>
    </row>
    <row r="1426" ht="27.75" customHeight="1" spans="1:34" x14ac:dyDescent="0.25">
      <c r="A1426" s="3">
        <v>1436</v>
      </c>
      <c r="B1426" s="3" t="s">
        <v>1049</v>
      </c>
      <c r="C1426" s="3" t="s">
        <v>1042</v>
      </c>
      <c r="D1426" s="3" t="s">
        <v>40</v>
      </c>
      <c r="E1426" s="3">
        <v>109</v>
      </c>
      <c r="F1426" s="3" t="s">
        <v>56</v>
      </c>
      <c r="G1426" s="3" t="s">
        <v>1050</v>
      </c>
      <c r="H1426" s="3">
        <v>26</v>
      </c>
      <c r="I1426" s="4">
        <v>109</v>
      </c>
      <c r="J1426" s="5">
        <v>69200</v>
      </c>
      <c r="K1426" s="6">
        <f>$E1426+1</f>
        <v>110</v>
      </c>
      <c r="L1426" s="7">
        <f>IF($J1426=0,0,ROUND(MAX($J1426*1.4,1620000*(1.497923^(MIN($E1426,123)-117)))*1,0))</f>
        <v>96880</v>
      </c>
      <c r="M1426" s="4">
        <f>$E1426+2</f>
        <v>111</v>
      </c>
      <c r="N1426" s="8">
        <f>IF($J1426=0,0,ROUND(MAX($J1426*1.4*1.5,2190000*(1.580994^(MIN($E1426,123)-117)))*1,0))</f>
        <v>145320</v>
      </c>
      <c r="O1426" s="6">
        <f>$E1426+4</f>
        <v>113</v>
      </c>
      <c r="P1426" s="7">
        <f>IF($J1426=0,0,ROUND(MAX($J1426*1.4*1.5*1.6,3500000*(1.57975^(MIN($E1426,123)-117)))*1,0))</f>
        <v>232512</v>
      </c>
      <c r="Q1426" s="4">
        <f>$E1426+6</f>
        <v>115</v>
      </c>
      <c r="R1426" s="8">
        <f>IF($J1426=0,0,ROUND(MAX($J1426*1.4*1.5*1.6*1.6,13100000*(1.429962^(MIN($E1426,123)-117)))*1,0))</f>
        <v>749334</v>
      </c>
      <c r="S1426" s="6">
        <f>$E1426+8</f>
        <v>117</v>
      </c>
      <c r="T1426" s="7">
        <f>IF($J1426=0,0,ROUND(MAX($J1426*1.4*1.5*1.6*1.6*2.2,42600000*(1.576904^(MIN($E1426,123)-117)))*1,0))</f>
        <v>1114211</v>
      </c>
      <c r="U1426" s="4">
        <f>$E1426+11</f>
        <v>120</v>
      </c>
      <c r="V1426" s="8">
        <f>IF($J1426=0,0,ROUND(MAX($J1426*1.4*1.5*1.6*1.6*2.2*2.715,354000000*(1.642074^(MIN($E1426,123)-117)))*1,0))</f>
        <v>6696710</v>
      </c>
      <c r="W1426" s="6">
        <f>$E1426+15</f>
        <v>124</v>
      </c>
      <c r="X1426" s="7">
        <f>IF($J1426=0,0,ROUND(MAX($J1426*1.4*1.5*1.6*1.6*2.2*2.715*2.6,3540000000*(1.579646^(MIN($E1426,123)-117)))*1,0))</f>
        <v>91311418</v>
      </c>
      <c r="Y1426" s="4">
        <f>$E1426+17</f>
        <v>126</v>
      </c>
      <c r="Z1426" s="8">
        <f>IF($J1426=0,0,ROUND(MAX($J1426*1.4*1.5*1.6*1.6*2.2*2.715*2.6*1.4,6020000000*(1.651178^(MIN($E1426,123)-117)))*1,0))</f>
        <v>108954543</v>
      </c>
      <c r="AA1426" s="6">
        <f>$E1426+19</f>
        <v>128</v>
      </c>
      <c r="AB1426" s="7">
        <f>IF($J1426=0,0,ROUND(MAX($J1426*1.4*1.5*1.6*1.6*2.2*2.715*2.6*1.4*1.4,8430000000*(1.651435^(MIN($E1426,123)-117)))*1,0))</f>
        <v>152382712</v>
      </c>
      <c r="AC1426" s="4">
        <f>$E1426+21</f>
        <v>130</v>
      </c>
      <c r="AD1426" s="8">
        <f>IF($J1426=0,0,ROUND(MAX($J1426*1.4*1.5*1.6*1.6*2.2*2.715*2.6*1.4*1.4*1.5,12600000000*(1.652953^(MIN($E1426,123)-117)))*1,0))</f>
        <v>226092682</v>
      </c>
      <c r="AE1426" s="6">
        <f>$E1426+24</f>
        <v>133</v>
      </c>
      <c r="AF1426" s="7">
        <f>IF($J1426=0,0,ROUND(MAX($J1426*1.4*1.5*1.6*1.6*2.2*2.715*2.6*1.4*1.4*1.5*1.5,18900000000*(1.65331^(MIN($E1426,123)-117)))*1,0))</f>
        <v>338553621</v>
      </c>
      <c r="AG1426" s="4">
        <f>$E1426+27</f>
        <v>136</v>
      </c>
      <c r="AH1426" s="8">
        <f>IF($J1426=0,0,ROUND(MAX($J1426*1.4*1.5*1.6*1.6*2.2*2.715*2.6*1.4*1.4*1.5*1.5*3.2,60500000000*(1.654288^(MIN($E1426,123)-117)))*1,0))</f>
        <v>1078614909</v>
      </c>
    </row>
    <row r="1427" ht="27.75" customHeight="1" spans="1:34" x14ac:dyDescent="0.25">
      <c r="A1427" s="3">
        <v>1437</v>
      </c>
      <c r="B1427" s="3" t="s">
        <v>157</v>
      </c>
      <c r="C1427" s="3" t="s">
        <v>1042</v>
      </c>
      <c r="D1427" s="3" t="s">
        <v>40</v>
      </c>
      <c r="E1427" s="3">
        <v>109</v>
      </c>
      <c r="F1427" s="3" t="s">
        <v>71</v>
      </c>
      <c r="G1427" s="3" t="s">
        <v>1043</v>
      </c>
      <c r="H1427" s="3">
        <v>26</v>
      </c>
      <c r="I1427" s="4">
        <v>109</v>
      </c>
      <c r="J1427" s="5">
        <v>63800</v>
      </c>
      <c r="K1427" s="6">
        <f>$E1427+1</f>
        <v>110</v>
      </c>
      <c r="L1427" s="7">
        <f>IF($J1427=0,0,ROUND(MAX($J1427*1.4,1620000*(1.497923^(MIN($E1427,123)-117)))*1,0))</f>
        <v>89320</v>
      </c>
      <c r="M1427" s="4">
        <f>$E1427+2</f>
        <v>111</v>
      </c>
      <c r="N1427" s="8">
        <f>IF($J1427=0,0,ROUND(MAX($J1427*1.4*1.5,2190000*(1.580994^(MIN($E1427,123)-117)))*1,0))</f>
        <v>133980</v>
      </c>
      <c r="O1427" s="6">
        <f>$E1427+4</f>
        <v>113</v>
      </c>
      <c r="P1427" s="7">
        <f>IF($J1427=0,0,ROUND(MAX($J1427*1.4*1.5*1.6,3500000*(1.57975^(MIN($E1427,123)-117)))*1,0))</f>
        <v>214368</v>
      </c>
      <c r="Q1427" s="4">
        <f>$E1427+6</f>
        <v>115</v>
      </c>
      <c r="R1427" s="8">
        <f>IF($J1427=0,0,ROUND(MAX($J1427*1.4*1.5*1.6*1.6,13100000*(1.429962^(MIN($E1427,123)-117)))*1,0))</f>
        <v>749334</v>
      </c>
      <c r="S1427" s="6">
        <f>$E1427+8</f>
        <v>117</v>
      </c>
      <c r="T1427" s="7">
        <f>IF($J1427=0,0,ROUND(MAX($J1427*1.4*1.5*1.6*1.6*2.2,42600000*(1.576904^(MIN($E1427,123)-117)))*1,0))</f>
        <v>1114211</v>
      </c>
      <c r="U1427" s="4">
        <f>$E1427+11</f>
        <v>120</v>
      </c>
      <c r="V1427" s="8">
        <f>IF($J1427=0,0,ROUND(MAX($J1427*1.4*1.5*1.6*1.6*2.2*2.715,354000000*(1.642074^(MIN($E1427,123)-117)))*1,0))</f>
        <v>6696710</v>
      </c>
      <c r="W1427" s="6">
        <f>$E1427+15</f>
        <v>124</v>
      </c>
      <c r="X1427" s="7">
        <f>IF($J1427=0,0,ROUND(MAX($J1427*1.4*1.5*1.6*1.6*2.2*2.715*2.6,3540000000*(1.579646^(MIN($E1427,123)-117)))*1,0))</f>
        <v>91311418</v>
      </c>
      <c r="Y1427" s="4">
        <f>$E1427+17</f>
        <v>126</v>
      </c>
      <c r="Z1427" s="8">
        <f>IF($J1427=0,0,ROUND(MAX($J1427*1.4*1.5*1.6*1.6*2.2*2.715*2.6*1.4,6020000000*(1.651178^(MIN($E1427,123)-117)))*1,0))</f>
        <v>108954543</v>
      </c>
      <c r="AA1427" s="6">
        <f>$E1427+19</f>
        <v>128</v>
      </c>
      <c r="AB1427" s="7">
        <f>IF($J1427=0,0,ROUND(MAX($J1427*1.4*1.5*1.6*1.6*2.2*2.715*2.6*1.4*1.4,8430000000*(1.651435^(MIN($E1427,123)-117)))*1,0))</f>
        <v>152382712</v>
      </c>
      <c r="AC1427" s="4">
        <f>$E1427+21</f>
        <v>130</v>
      </c>
      <c r="AD1427" s="8">
        <f>IF($J1427=0,0,ROUND(MAX($J1427*1.4*1.5*1.6*1.6*2.2*2.715*2.6*1.4*1.4*1.5,12600000000*(1.652953^(MIN($E1427,123)-117)))*1,0))</f>
        <v>226092682</v>
      </c>
      <c r="AE1427" s="6">
        <f>$E1427+24</f>
        <v>133</v>
      </c>
      <c r="AF1427" s="7">
        <f>IF($J1427=0,0,ROUND(MAX($J1427*1.4*1.5*1.6*1.6*2.2*2.715*2.6*1.4*1.4*1.5*1.5,18900000000*(1.65331^(MIN($E1427,123)-117)))*1,0))</f>
        <v>338553621</v>
      </c>
      <c r="AG1427" s="4">
        <f>$E1427+27</f>
        <v>136</v>
      </c>
      <c r="AH1427" s="8">
        <f>IF($J1427=0,0,ROUND(MAX($J1427*1.4*1.5*1.6*1.6*2.2*2.715*2.6*1.4*1.4*1.5*1.5*3.2,60500000000*(1.654288^(MIN($E1427,123)-117)))*1,0))</f>
        <v>1078614909</v>
      </c>
    </row>
    <row r="1428" ht="27.75" customHeight="1" spans="1:34" x14ac:dyDescent="0.25">
      <c r="A1428" s="3">
        <v>1438</v>
      </c>
      <c r="B1428" s="3" t="s">
        <v>222</v>
      </c>
      <c r="C1428" s="3" t="s">
        <v>1042</v>
      </c>
      <c r="D1428" s="3" t="s">
        <v>40</v>
      </c>
      <c r="E1428" s="3">
        <v>109</v>
      </c>
      <c r="F1428" s="3" t="s">
        <v>223</v>
      </c>
      <c r="G1428" s="3" t="s">
        <v>1043</v>
      </c>
      <c r="H1428" s="3">
        <v>26</v>
      </c>
      <c r="I1428" s="4">
        <v>109</v>
      </c>
      <c r="J1428" s="5">
        <v>54900</v>
      </c>
      <c r="K1428" s="6">
        <f>$E1428+1</f>
        <v>110</v>
      </c>
      <c r="L1428" s="7">
        <f>IF($J1428=0,0,ROUND(MAX($J1428*1.4,1620000*(1.497923^(MIN($E1428,123)-117)))*1,0))</f>
        <v>76860</v>
      </c>
      <c r="M1428" s="4">
        <f>$E1428+2</f>
        <v>111</v>
      </c>
      <c r="N1428" s="8">
        <f>IF($J1428=0,0,ROUND(MAX($J1428*1.4*1.5,2190000*(1.580994^(MIN($E1428,123)-117)))*1,0))</f>
        <v>115290</v>
      </c>
      <c r="O1428" s="6">
        <f>$E1428+4</f>
        <v>113</v>
      </c>
      <c r="P1428" s="7">
        <f>IF($J1428=0,0,ROUND(MAX($J1428*1.4*1.5*1.6,3500000*(1.57975^(MIN($E1428,123)-117)))*1,0))</f>
        <v>184464</v>
      </c>
      <c r="Q1428" s="4">
        <f>$E1428+6</f>
        <v>115</v>
      </c>
      <c r="R1428" s="8">
        <f>IF($J1428=0,0,ROUND(MAX($J1428*1.4*1.5*1.6*1.6,13100000*(1.429962^(MIN($E1428,123)-117)))*1,0))</f>
        <v>749334</v>
      </c>
      <c r="S1428" s="6">
        <f>$E1428+8</f>
        <v>117</v>
      </c>
      <c r="T1428" s="7">
        <f>IF($J1428=0,0,ROUND(MAX($J1428*1.4*1.5*1.6*1.6*2.2,42600000*(1.576904^(MIN($E1428,123)-117)))*1,0))</f>
        <v>1114211</v>
      </c>
      <c r="U1428" s="4">
        <f>$E1428+11</f>
        <v>120</v>
      </c>
      <c r="V1428" s="8">
        <f>IF($J1428=0,0,ROUND(MAX($J1428*1.4*1.5*1.6*1.6*2.2*2.715,354000000*(1.642074^(MIN($E1428,123)-117)))*1,0))</f>
        <v>6696710</v>
      </c>
      <c r="W1428" s="6">
        <f>$E1428+15</f>
        <v>124</v>
      </c>
      <c r="X1428" s="7">
        <f>IF($J1428=0,0,ROUND(MAX($J1428*1.4*1.5*1.6*1.6*2.2*2.715*2.6,3540000000*(1.579646^(MIN($E1428,123)-117)))*1,0))</f>
        <v>91311418</v>
      </c>
      <c r="Y1428" s="4">
        <f>$E1428+17</f>
        <v>126</v>
      </c>
      <c r="Z1428" s="8">
        <f>IF($J1428=0,0,ROUND(MAX($J1428*1.4*1.5*1.6*1.6*2.2*2.715*2.6*1.4,6020000000*(1.651178^(MIN($E1428,123)-117)))*1,0))</f>
        <v>108954543</v>
      </c>
      <c r="AA1428" s="6">
        <f>$E1428+19</f>
        <v>128</v>
      </c>
      <c r="AB1428" s="7">
        <f>IF($J1428=0,0,ROUND(MAX($J1428*1.4*1.5*1.6*1.6*2.2*2.715*2.6*1.4*1.4,8430000000*(1.651435^(MIN($E1428,123)-117)))*1,0))</f>
        <v>152382712</v>
      </c>
      <c r="AC1428" s="4">
        <f>$E1428+21</f>
        <v>130</v>
      </c>
      <c r="AD1428" s="8">
        <f>IF($J1428=0,0,ROUND(MAX($J1428*1.4*1.5*1.6*1.6*2.2*2.715*2.6*1.4*1.4*1.5,12600000000*(1.652953^(MIN($E1428,123)-117)))*1,0))</f>
        <v>226092682</v>
      </c>
      <c r="AE1428" s="6">
        <f>$E1428+24</f>
        <v>133</v>
      </c>
      <c r="AF1428" s="7">
        <f>IF($J1428=0,0,ROUND(MAX($J1428*1.4*1.5*1.6*1.6*2.2*2.715*2.6*1.4*1.4*1.5*1.5,18900000000*(1.65331^(MIN($E1428,123)-117)))*1,0))</f>
        <v>338553621</v>
      </c>
      <c r="AG1428" s="4">
        <f>$E1428+27</f>
        <v>136</v>
      </c>
      <c r="AH1428" s="8">
        <f>IF($J1428=0,0,ROUND(MAX($J1428*1.4*1.5*1.6*1.6*2.2*2.715*2.6*1.4*1.4*1.5*1.5*3.2,60500000000*(1.654288^(MIN($E1428,123)-117)))*1,0))</f>
        <v>1078614909</v>
      </c>
    </row>
    <row r="1429" ht="27.75" customHeight="1" spans="1:34" x14ac:dyDescent="0.25">
      <c r="A1429" s="3">
        <v>1439</v>
      </c>
      <c r="B1429" s="3" t="s">
        <v>677</v>
      </c>
      <c r="C1429" s="3" t="s">
        <v>1042</v>
      </c>
      <c r="D1429" s="3" t="s">
        <v>45</v>
      </c>
      <c r="E1429" s="3">
        <v>109</v>
      </c>
      <c r="F1429" s="3" t="s">
        <v>71</v>
      </c>
      <c r="G1429" s="3" t="s">
        <v>326</v>
      </c>
      <c r="H1429" s="3">
        <v>25</v>
      </c>
      <c r="I1429" s="4">
        <v>109</v>
      </c>
      <c r="J1429" s="5">
        <v>25200</v>
      </c>
      <c r="K1429" s="6">
        <f>$E1429+1</f>
        <v>110</v>
      </c>
      <c r="L1429" s="7">
        <f>IF($J1429=0,0,ROUND(MAX($J1429*1.4,1620000*(1.497923^(MIN($E1429,123)-117)))*1,0))</f>
        <v>63914</v>
      </c>
      <c r="M1429" s="4">
        <f>$E1429+2</f>
        <v>111</v>
      </c>
      <c r="N1429" s="8">
        <f>IF($J1429=0,0,ROUND(MAX($J1429*1.4*1.5,2190000*(1.580994^(MIN($E1429,123)-117)))*1,0))</f>
        <v>56105</v>
      </c>
      <c r="O1429" s="6">
        <f>$E1429+4</f>
        <v>113</v>
      </c>
      <c r="P1429" s="7">
        <f>IF($J1429=0,0,ROUND(MAX($J1429*1.4*1.5*1.6,3500000*(1.57975^(MIN($E1429,123)-117)))*1,0))</f>
        <v>90232</v>
      </c>
      <c r="Q1429" s="4">
        <f>$E1429+6</f>
        <v>115</v>
      </c>
      <c r="R1429" s="8">
        <f>IF($J1429=0,0,ROUND(MAX($J1429*1.4*1.5*1.6*1.6,13100000*(1.429962^(MIN($E1429,123)-117)))*1,0))</f>
        <v>749334</v>
      </c>
      <c r="S1429" s="6">
        <f>$E1429+8</f>
        <v>117</v>
      </c>
      <c r="T1429" s="7">
        <f>IF($J1429=0,0,ROUND(MAX($J1429*1.4*1.5*1.6*1.6*2.2,42600000*(1.576904^(MIN($E1429,123)-117)))*1,0))</f>
        <v>1114211</v>
      </c>
      <c r="U1429" s="4">
        <f>$E1429+11</f>
        <v>120</v>
      </c>
      <c r="V1429" s="8">
        <f>IF($J1429=0,0,ROUND(MAX($J1429*1.4*1.5*1.6*1.6*2.2*2.715,354000000*(1.642074^(MIN($E1429,123)-117)))*1,0))</f>
        <v>6696710</v>
      </c>
      <c r="W1429" s="6">
        <f>$E1429+15</f>
        <v>124</v>
      </c>
      <c r="X1429" s="7">
        <f>IF($J1429=0,0,ROUND(MAX($J1429*1.4*1.5*1.6*1.6*2.2*2.715*2.6,3540000000*(1.579646^(MIN($E1429,123)-117)))*1,0))</f>
        <v>91311418</v>
      </c>
      <c r="Y1429" s="4">
        <f>$E1429+17</f>
        <v>126</v>
      </c>
      <c r="Z1429" s="8">
        <f>IF($J1429=0,0,ROUND(MAX($J1429*1.4*1.5*1.6*1.6*2.2*2.715*2.6*1.4,6020000000*(1.651178^(MIN($E1429,123)-117)))*1,0))</f>
        <v>108954543</v>
      </c>
      <c r="AA1429" s="6">
        <f>$E1429+19</f>
        <v>128</v>
      </c>
      <c r="AB1429" s="7">
        <f>IF($J1429=0,0,ROUND(MAX($J1429*1.4*1.5*1.6*1.6*2.2*2.715*2.6*1.4*1.4,8430000000*(1.651435^(MIN($E1429,123)-117)))*1,0))</f>
        <v>152382712</v>
      </c>
      <c r="AC1429" s="4">
        <f>$E1429+21</f>
        <v>130</v>
      </c>
      <c r="AD1429" s="8">
        <f>IF($J1429=0,0,ROUND(MAX($J1429*1.4*1.5*1.6*1.6*2.2*2.715*2.6*1.4*1.4*1.5,12600000000*(1.652953^(MIN($E1429,123)-117)))*1,0))</f>
        <v>226092682</v>
      </c>
      <c r="AE1429" s="6">
        <f>$E1429+24</f>
        <v>133</v>
      </c>
      <c r="AF1429" s="7">
        <f>IF($J1429=0,0,ROUND(MAX($J1429*1.4*1.5*1.6*1.6*2.2*2.715*2.6*1.4*1.4*1.5*1.5,18900000000*(1.65331^(MIN($E1429,123)-117)))*1,0))</f>
        <v>338553621</v>
      </c>
      <c r="AG1429" s="4">
        <f>$E1429+27</f>
        <v>136</v>
      </c>
      <c r="AH1429" s="8">
        <f>IF($J1429=0,0,ROUND(MAX($J1429*1.4*1.5*1.6*1.6*2.2*2.715*2.6*1.4*1.4*1.5*1.5*3.2,60500000000*(1.654288^(MIN($E1429,123)-117)))*1,0))</f>
        <v>1078614909</v>
      </c>
    </row>
    <row r="1430" ht="27.75" customHeight="1" spans="1:34" x14ac:dyDescent="0.25">
      <c r="A1430" s="3">
        <v>1440</v>
      </c>
      <c r="B1430" s="3" t="s">
        <v>612</v>
      </c>
      <c r="C1430" s="3" t="s">
        <v>1042</v>
      </c>
      <c r="D1430" s="3" t="s">
        <v>45</v>
      </c>
      <c r="E1430" s="3">
        <v>109</v>
      </c>
      <c r="F1430" s="3" t="s">
        <v>56</v>
      </c>
      <c r="G1430" s="3" t="s">
        <v>244</v>
      </c>
      <c r="H1430" s="3">
        <v>25</v>
      </c>
      <c r="I1430" s="4">
        <v>109</v>
      </c>
      <c r="J1430" s="5">
        <v>76600</v>
      </c>
      <c r="K1430" s="6">
        <f>$E1430+1</f>
        <v>110</v>
      </c>
      <c r="L1430" s="7">
        <f>IF($J1430=0,0,ROUND(MAX($J1430*1.4,1620000*(1.497923^(MIN($E1430,123)-117)))*1,0))</f>
        <v>107240</v>
      </c>
      <c r="M1430" s="4">
        <f>$E1430+2</f>
        <v>111</v>
      </c>
      <c r="N1430" s="8">
        <f>IF($J1430=0,0,ROUND(MAX($J1430*1.4*1.5,2190000*(1.580994^(MIN($E1430,123)-117)))*1,0))</f>
        <v>160860</v>
      </c>
      <c r="O1430" s="6">
        <f>$E1430+4</f>
        <v>113</v>
      </c>
      <c r="P1430" s="7">
        <f>IF($J1430=0,0,ROUND(MAX($J1430*1.4*1.5*1.6,3500000*(1.57975^(MIN($E1430,123)-117)))*1,0))</f>
        <v>257376</v>
      </c>
      <c r="Q1430" s="4">
        <f>$E1430+6</f>
        <v>115</v>
      </c>
      <c r="R1430" s="8">
        <f>IF($J1430=0,0,ROUND(MAX($J1430*1.4*1.5*1.6*1.6,13100000*(1.429962^(MIN($E1430,123)-117)))*1,0))</f>
        <v>749334</v>
      </c>
      <c r="S1430" s="6">
        <f>$E1430+8</f>
        <v>117</v>
      </c>
      <c r="T1430" s="7">
        <f>IF($J1430=0,0,ROUND(MAX($J1430*1.4*1.5*1.6*1.6*2.2,42600000*(1.576904^(MIN($E1430,123)-117)))*1,0))</f>
        <v>1114211</v>
      </c>
      <c r="U1430" s="4">
        <f>$E1430+11</f>
        <v>120</v>
      </c>
      <c r="V1430" s="8">
        <f>IF($J1430=0,0,ROUND(MAX($J1430*1.4*1.5*1.6*1.6*2.2*2.715,354000000*(1.642074^(MIN($E1430,123)-117)))*1,0))</f>
        <v>6696710</v>
      </c>
      <c r="W1430" s="6">
        <f>$E1430+15</f>
        <v>124</v>
      </c>
      <c r="X1430" s="7">
        <f>IF($J1430=0,0,ROUND(MAX($J1430*1.4*1.5*1.6*1.6*2.2*2.715*2.6,3540000000*(1.579646^(MIN($E1430,123)-117)))*1,0))</f>
        <v>91311418</v>
      </c>
      <c r="Y1430" s="4">
        <f>$E1430+17</f>
        <v>126</v>
      </c>
      <c r="Z1430" s="8">
        <f>IF($J1430=0,0,ROUND(MAX($J1430*1.4*1.5*1.6*1.6*2.2*2.715*2.6*1.4,6020000000*(1.651178^(MIN($E1430,123)-117)))*1,0))</f>
        <v>108954543</v>
      </c>
      <c r="AA1430" s="6">
        <f>$E1430+19</f>
        <v>128</v>
      </c>
      <c r="AB1430" s="7">
        <f>IF($J1430=0,0,ROUND(MAX($J1430*1.4*1.5*1.6*1.6*2.2*2.715*2.6*1.4*1.4,8430000000*(1.651435^(MIN($E1430,123)-117)))*1,0))</f>
        <v>152382712</v>
      </c>
      <c r="AC1430" s="4">
        <f>$E1430+21</f>
        <v>130</v>
      </c>
      <c r="AD1430" s="8">
        <f>IF($J1430=0,0,ROUND(MAX($J1430*1.4*1.5*1.6*1.6*2.2*2.715*2.6*1.4*1.4*1.5,12600000000*(1.652953^(MIN($E1430,123)-117)))*1,0))</f>
        <v>226092682</v>
      </c>
      <c r="AE1430" s="6">
        <f>$E1430+24</f>
        <v>133</v>
      </c>
      <c r="AF1430" s="7">
        <f>IF($J1430=0,0,ROUND(MAX($J1430*1.4*1.5*1.6*1.6*2.2*2.715*2.6*1.4*1.4*1.5*1.5,18900000000*(1.65331^(MIN($E1430,123)-117)))*1,0))</f>
        <v>338553621</v>
      </c>
      <c r="AG1430" s="4">
        <f>$E1430+27</f>
        <v>136</v>
      </c>
      <c r="AH1430" s="8">
        <f>IF($J1430=0,0,ROUND(MAX($J1430*1.4*1.5*1.6*1.6*2.2*2.715*2.6*1.4*1.4*1.5*1.5*3.2,60500000000*(1.654288^(MIN($E1430,123)-117)))*1,0))</f>
        <v>1078614909</v>
      </c>
    </row>
    <row r="1431" ht="27.75" customHeight="1" spans="1:34" x14ac:dyDescent="0.25">
      <c r="A1431" s="3">
        <v>1441</v>
      </c>
      <c r="B1431" s="3" t="s">
        <v>944</v>
      </c>
      <c r="C1431" s="3" t="s">
        <v>1042</v>
      </c>
      <c r="D1431" s="3" t="s">
        <v>90</v>
      </c>
      <c r="E1431" s="3">
        <v>109</v>
      </c>
      <c r="F1431" s="3" t="s">
        <v>71</v>
      </c>
      <c r="G1431" s="3" t="s">
        <v>1043</v>
      </c>
      <c r="H1431" s="3">
        <v>25</v>
      </c>
      <c r="I1431" s="4">
        <v>109</v>
      </c>
      <c r="J1431" s="5">
        <v>19900</v>
      </c>
      <c r="K1431" s="6">
        <f>$E1431+1</f>
        <v>110</v>
      </c>
      <c r="L1431" s="7">
        <f>IF($J1431=0,0,ROUND(MAX($J1431*1.4,1620000*(1.497923^(MIN($E1431,123)-117)))*1,0))</f>
        <v>63914</v>
      </c>
      <c r="M1431" s="4">
        <f>$E1431+2</f>
        <v>111</v>
      </c>
      <c r="N1431" s="8">
        <f>IF($J1431=0,0,ROUND(MAX($J1431*1.4*1.5,2190000*(1.580994^(MIN($E1431,123)-117)))*1,0))</f>
        <v>56105</v>
      </c>
      <c r="O1431" s="6">
        <f>$E1431+4</f>
        <v>113</v>
      </c>
      <c r="P1431" s="7">
        <f>IF($J1431=0,0,ROUND(MAX($J1431*1.4*1.5*1.6,3500000*(1.57975^(MIN($E1431,123)-117)))*1,0))</f>
        <v>90232</v>
      </c>
      <c r="Q1431" s="4">
        <f>$E1431+6</f>
        <v>115</v>
      </c>
      <c r="R1431" s="8">
        <f>IF($J1431=0,0,ROUND(MAX($J1431*1.4*1.5*1.6*1.6,13100000*(1.429962^(MIN($E1431,123)-117)))*1,0))</f>
        <v>749334</v>
      </c>
      <c r="S1431" s="6">
        <f>$E1431+8</f>
        <v>117</v>
      </c>
      <c r="T1431" s="7">
        <f>IF($J1431=0,0,ROUND(MAX($J1431*1.4*1.5*1.6*1.6*2.2,42600000*(1.576904^(MIN($E1431,123)-117)))*1,0))</f>
        <v>1114211</v>
      </c>
      <c r="U1431" s="4">
        <f>$E1431+11</f>
        <v>120</v>
      </c>
      <c r="V1431" s="8">
        <f>IF($J1431=0,0,ROUND(MAX($J1431*1.4*1.5*1.6*1.6*2.2*2.715,354000000*(1.642074^(MIN($E1431,123)-117)))*1,0))</f>
        <v>6696710</v>
      </c>
      <c r="W1431" s="6">
        <f>$E1431+15</f>
        <v>124</v>
      </c>
      <c r="X1431" s="7">
        <f>IF($J1431=0,0,ROUND(MAX($J1431*1.4*1.5*1.6*1.6*2.2*2.715*2.6,3540000000*(1.579646^(MIN($E1431,123)-117)))*1,0))</f>
        <v>91311418</v>
      </c>
      <c r="Y1431" s="4">
        <f>$E1431+17</f>
        <v>126</v>
      </c>
      <c r="Z1431" s="8">
        <f>IF($J1431=0,0,ROUND(MAX($J1431*1.4*1.5*1.6*1.6*2.2*2.715*2.6*1.4,6020000000*(1.651178^(MIN($E1431,123)-117)))*1,0))</f>
        <v>108954543</v>
      </c>
      <c r="AA1431" s="6">
        <f>$E1431+19</f>
        <v>128</v>
      </c>
      <c r="AB1431" s="7">
        <f>IF($J1431=0,0,ROUND(MAX($J1431*1.4*1.5*1.6*1.6*2.2*2.715*2.6*1.4*1.4,8430000000*(1.651435^(MIN($E1431,123)-117)))*1,0))</f>
        <v>152382712</v>
      </c>
      <c r="AC1431" s="4">
        <f>$E1431+21</f>
        <v>130</v>
      </c>
      <c r="AD1431" s="8">
        <f>IF($J1431=0,0,ROUND(MAX($J1431*1.4*1.5*1.6*1.6*2.2*2.715*2.6*1.4*1.4*1.5,12600000000*(1.652953^(MIN($E1431,123)-117)))*1,0))</f>
        <v>226092682</v>
      </c>
      <c r="AE1431" s="6">
        <f>$E1431+24</f>
        <v>133</v>
      </c>
      <c r="AF1431" s="7">
        <f>IF($J1431=0,0,ROUND(MAX($J1431*1.4*1.5*1.6*1.6*2.2*2.715*2.6*1.4*1.4*1.5*1.5,18900000000*(1.65331^(MIN($E1431,123)-117)))*1,0))</f>
        <v>338553621</v>
      </c>
      <c r="AG1431" s="4">
        <f>$E1431+27</f>
        <v>136</v>
      </c>
      <c r="AH1431" s="8">
        <f>IF($J1431=0,0,ROUND(MAX($J1431*1.4*1.5*1.6*1.6*2.2*2.715*2.6*1.4*1.4*1.5*1.5*3.2,60500000000*(1.654288^(MIN($E1431,123)-117)))*1,0))</f>
        <v>1078614909</v>
      </c>
    </row>
    <row r="1432" ht="27.75" customHeight="1" spans="1:34" x14ac:dyDescent="0.25">
      <c r="A1432" s="3">
        <v>1442</v>
      </c>
      <c r="B1432" s="3" t="s">
        <v>476</v>
      </c>
      <c r="C1432" s="3" t="s">
        <v>1042</v>
      </c>
      <c r="D1432" s="3" t="s">
        <v>25</v>
      </c>
      <c r="E1432" s="3">
        <v>109</v>
      </c>
      <c r="F1432" s="3" t="s">
        <v>144</v>
      </c>
      <c r="G1432" s="3" t="s">
        <v>1043</v>
      </c>
      <c r="H1432" s="3">
        <v>25</v>
      </c>
      <c r="I1432" s="4">
        <v>109</v>
      </c>
      <c r="J1432" s="5">
        <v>44900</v>
      </c>
      <c r="K1432" s="6">
        <f>$E1432+1</f>
        <v>110</v>
      </c>
      <c r="L1432" s="7">
        <f>IF($J1432=0,0,ROUND(MAX($J1432*1.4,1620000*(1.497923^(MIN($E1432,123)-117)))*1,0))</f>
        <v>63914</v>
      </c>
      <c r="M1432" s="4">
        <f>$E1432+2</f>
        <v>111</v>
      </c>
      <c r="N1432" s="8">
        <f>IF($J1432=0,0,ROUND(MAX($J1432*1.4*1.5,2190000*(1.580994^(MIN($E1432,123)-117)))*1,0))</f>
        <v>94290</v>
      </c>
      <c r="O1432" s="6">
        <f>$E1432+4</f>
        <v>113</v>
      </c>
      <c r="P1432" s="7">
        <f>IF($J1432=0,0,ROUND(MAX($J1432*1.4*1.5*1.6,3500000*(1.57975^(MIN($E1432,123)-117)))*1,0))</f>
        <v>150864</v>
      </c>
      <c r="Q1432" s="4">
        <f>$E1432+6</f>
        <v>115</v>
      </c>
      <c r="R1432" s="8">
        <f>IF($J1432=0,0,ROUND(MAX($J1432*1.4*1.5*1.6*1.6,13100000*(1.429962^(MIN($E1432,123)-117)))*1,0))</f>
        <v>749334</v>
      </c>
      <c r="S1432" s="6">
        <f>$E1432+8</f>
        <v>117</v>
      </c>
      <c r="T1432" s="7">
        <f>IF($J1432=0,0,ROUND(MAX($J1432*1.4*1.5*1.6*1.6*2.2,42600000*(1.576904^(MIN($E1432,123)-117)))*1,0))</f>
        <v>1114211</v>
      </c>
      <c r="U1432" s="4">
        <f>$E1432+11</f>
        <v>120</v>
      </c>
      <c r="V1432" s="8">
        <f>IF($J1432=0,0,ROUND(MAX($J1432*1.4*1.5*1.6*1.6*2.2*2.715,354000000*(1.642074^(MIN($E1432,123)-117)))*1,0))</f>
        <v>6696710</v>
      </c>
      <c r="W1432" s="6">
        <f>$E1432+15</f>
        <v>124</v>
      </c>
      <c r="X1432" s="7">
        <f>IF($J1432=0,0,ROUND(MAX($J1432*1.4*1.5*1.6*1.6*2.2*2.715*2.6,3540000000*(1.579646^(MIN($E1432,123)-117)))*1,0))</f>
        <v>91311418</v>
      </c>
      <c r="Y1432" s="4">
        <f>$E1432+17</f>
        <v>126</v>
      </c>
      <c r="Z1432" s="8">
        <f>IF($J1432=0,0,ROUND(MAX($J1432*1.4*1.5*1.6*1.6*2.2*2.715*2.6*1.4,6020000000*(1.651178^(MIN($E1432,123)-117)))*1,0))</f>
        <v>108954543</v>
      </c>
      <c r="AA1432" s="6">
        <f>$E1432+19</f>
        <v>128</v>
      </c>
      <c r="AB1432" s="7">
        <f>IF($J1432=0,0,ROUND(MAX($J1432*1.4*1.5*1.6*1.6*2.2*2.715*2.6*1.4*1.4,8430000000*(1.651435^(MIN($E1432,123)-117)))*1,0))</f>
        <v>152382712</v>
      </c>
      <c r="AC1432" s="4">
        <f>$E1432+21</f>
        <v>130</v>
      </c>
      <c r="AD1432" s="8">
        <f>IF($J1432=0,0,ROUND(MAX($J1432*1.4*1.5*1.6*1.6*2.2*2.715*2.6*1.4*1.4*1.5,12600000000*(1.652953^(MIN($E1432,123)-117)))*1,0))</f>
        <v>226092682</v>
      </c>
      <c r="AE1432" s="6">
        <f>$E1432+24</f>
        <v>133</v>
      </c>
      <c r="AF1432" s="7">
        <f>IF($J1432=0,0,ROUND(MAX($J1432*1.4*1.5*1.6*1.6*2.2*2.715*2.6*1.4*1.4*1.5*1.5,18900000000*(1.65331^(MIN($E1432,123)-117)))*1,0))</f>
        <v>338553621</v>
      </c>
      <c r="AG1432" s="4">
        <f>$E1432+27</f>
        <v>136</v>
      </c>
      <c r="AH1432" s="8">
        <f>IF($J1432=0,0,ROUND(MAX($J1432*1.4*1.5*1.6*1.6*2.2*2.715*2.6*1.4*1.4*1.5*1.5*3.2,60500000000*(1.654288^(MIN($E1432,123)-117)))*1,0))</f>
        <v>1078614909</v>
      </c>
    </row>
    <row r="1433" ht="27.75" customHeight="1" spans="1:34" x14ac:dyDescent="0.25">
      <c r="A1433" s="3">
        <v>1443</v>
      </c>
      <c r="B1433" s="3" t="s">
        <v>203</v>
      </c>
      <c r="C1433" s="3" t="s">
        <v>1042</v>
      </c>
      <c r="D1433" s="3" t="s">
        <v>29</v>
      </c>
      <c r="E1433" s="3">
        <v>109</v>
      </c>
      <c r="F1433" s="3" t="s">
        <v>204</v>
      </c>
      <c r="G1433" s="3" t="s">
        <v>1043</v>
      </c>
      <c r="H1433" s="3">
        <v>25</v>
      </c>
      <c r="I1433" s="4">
        <v>109</v>
      </c>
      <c r="J1433" s="5">
        <v>171000</v>
      </c>
      <c r="K1433" s="6">
        <f>$E1433+1</f>
        <v>110</v>
      </c>
      <c r="L1433" s="7">
        <f>IF($J1433=0,0,ROUND(MAX($J1433*1.4,1620000*(1.497923^(MIN($E1433,123)-117)))*1,0))</f>
        <v>239400</v>
      </c>
      <c r="M1433" s="4">
        <f>$E1433+2</f>
        <v>111</v>
      </c>
      <c r="N1433" s="8">
        <f>IF($J1433=0,0,ROUND(MAX($J1433*1.4*1.5,2190000*(1.580994^(MIN($E1433,123)-117)))*1,0))</f>
        <v>359100</v>
      </c>
      <c r="O1433" s="6">
        <f>$E1433+4</f>
        <v>113</v>
      </c>
      <c r="P1433" s="7">
        <f>IF($J1433=0,0,ROUND(MAX($J1433*1.4*1.5*1.6,3500000*(1.57975^(MIN($E1433,123)-117)))*1,0))</f>
        <v>574560</v>
      </c>
      <c r="Q1433" s="4">
        <f>$E1433+6</f>
        <v>115</v>
      </c>
      <c r="R1433" s="8">
        <f>IF($J1433=0,0,ROUND(MAX($J1433*1.4*1.5*1.6*1.6,13100000*(1.429962^(MIN($E1433,123)-117)))*1,0))</f>
        <v>919296</v>
      </c>
      <c r="S1433" s="6">
        <f>$E1433+8</f>
        <v>117</v>
      </c>
      <c r="T1433" s="7">
        <f>IF($J1433=0,0,ROUND(MAX($J1433*1.4*1.5*1.6*1.6*2.2,42600000*(1.576904^(MIN($E1433,123)-117)))*1,0))</f>
        <v>2022451</v>
      </c>
      <c r="U1433" s="4">
        <f>$E1433+11</f>
        <v>120</v>
      </c>
      <c r="V1433" s="8">
        <f>IF($J1433=0,0,ROUND(MAX($J1433*1.4*1.5*1.6*1.6*2.2*2.715,354000000*(1.642074^(MIN($E1433,123)-117)))*1,0))</f>
        <v>6696710</v>
      </c>
      <c r="W1433" s="6">
        <f>$E1433+15</f>
        <v>124</v>
      </c>
      <c r="X1433" s="7">
        <f>IF($J1433=0,0,ROUND(MAX($J1433*1.4*1.5*1.6*1.6*2.2*2.715*2.6,3540000000*(1.579646^(MIN($E1433,123)-117)))*1,0))</f>
        <v>91311418</v>
      </c>
      <c r="Y1433" s="4">
        <f>$E1433+17</f>
        <v>126</v>
      </c>
      <c r="Z1433" s="8">
        <f>IF($J1433=0,0,ROUND(MAX($J1433*1.4*1.5*1.6*1.6*2.2*2.715*2.6*1.4,6020000000*(1.651178^(MIN($E1433,123)-117)))*1,0))</f>
        <v>108954543</v>
      </c>
      <c r="AA1433" s="6">
        <f>$E1433+19</f>
        <v>128</v>
      </c>
      <c r="AB1433" s="7">
        <f>IF($J1433=0,0,ROUND(MAX($J1433*1.4*1.5*1.6*1.6*2.2*2.715*2.6*1.4*1.4,8430000000*(1.651435^(MIN($E1433,123)-117)))*1,0))</f>
        <v>152382712</v>
      </c>
      <c r="AC1433" s="4">
        <f>$E1433+21</f>
        <v>130</v>
      </c>
      <c r="AD1433" s="8">
        <f>IF($J1433=0,0,ROUND(MAX($J1433*1.4*1.5*1.6*1.6*2.2*2.715*2.6*1.4*1.4*1.5,12600000000*(1.652953^(MIN($E1433,123)-117)))*1,0))</f>
        <v>226092682</v>
      </c>
      <c r="AE1433" s="6">
        <f>$E1433+24</f>
        <v>133</v>
      </c>
      <c r="AF1433" s="7">
        <f>IF($J1433=0,0,ROUND(MAX($J1433*1.4*1.5*1.6*1.6*2.2*2.715*2.6*1.4*1.4*1.5*1.5,18900000000*(1.65331^(MIN($E1433,123)-117)))*1,0))</f>
        <v>338553621</v>
      </c>
      <c r="AG1433" s="4">
        <f>$E1433+27</f>
        <v>136</v>
      </c>
      <c r="AH1433" s="8">
        <f>IF($J1433=0,0,ROUND(MAX($J1433*1.4*1.5*1.6*1.6*2.2*2.715*2.6*1.4*1.4*1.5*1.5*3.2,60500000000*(1.654288^(MIN($E1433,123)-117)))*1,0))</f>
        <v>1078614909</v>
      </c>
    </row>
    <row r="1434" ht="27.75" customHeight="1" spans="1:34" x14ac:dyDescent="0.25">
      <c r="A1434" s="3">
        <v>1444</v>
      </c>
      <c r="B1434" s="3" t="s">
        <v>774</v>
      </c>
      <c r="C1434" s="3" t="s">
        <v>1042</v>
      </c>
      <c r="D1434" s="3" t="s">
        <v>165</v>
      </c>
      <c r="E1434" s="3">
        <v>109</v>
      </c>
      <c r="F1434" s="3" t="s">
        <v>56</v>
      </c>
      <c r="G1434" s="3" t="s">
        <v>1043</v>
      </c>
      <c r="H1434" s="3">
        <v>25</v>
      </c>
      <c r="I1434" s="4">
        <v>109</v>
      </c>
      <c r="J1434" s="5">
        <v>56000</v>
      </c>
      <c r="K1434" s="6">
        <f>$E1434+1</f>
        <v>110</v>
      </c>
      <c r="L1434" s="7">
        <f>IF($J1434=0,0,ROUND(MAX($J1434*1.4,1620000*(1.497923^(MIN($E1434,123)-117)))*1,0))</f>
        <v>78400</v>
      </c>
      <c r="M1434" s="4">
        <f>$E1434+2</f>
        <v>111</v>
      </c>
      <c r="N1434" s="8">
        <f>IF($J1434=0,0,ROUND(MAX($J1434*1.4*1.5,2190000*(1.580994^(MIN($E1434,123)-117)))*1,0))</f>
        <v>117600</v>
      </c>
      <c r="O1434" s="6">
        <f>$E1434+4</f>
        <v>113</v>
      </c>
      <c r="P1434" s="7">
        <f>IF($J1434=0,0,ROUND(MAX($J1434*1.4*1.5*1.6,3500000*(1.57975^(MIN($E1434,123)-117)))*1,0))</f>
        <v>188160</v>
      </c>
      <c r="Q1434" s="4">
        <f>$E1434+6</f>
        <v>115</v>
      </c>
      <c r="R1434" s="8">
        <f>IF($J1434=0,0,ROUND(MAX($J1434*1.4*1.5*1.6*1.6,13100000*(1.429962^(MIN($E1434,123)-117)))*1,0))</f>
        <v>749334</v>
      </c>
      <c r="S1434" s="6">
        <f>$E1434+8</f>
        <v>117</v>
      </c>
      <c r="T1434" s="7">
        <f>IF($J1434=0,0,ROUND(MAX($J1434*1.4*1.5*1.6*1.6*2.2,42600000*(1.576904^(MIN($E1434,123)-117)))*1,0))</f>
        <v>1114211</v>
      </c>
      <c r="U1434" s="4">
        <f>$E1434+11</f>
        <v>120</v>
      </c>
      <c r="V1434" s="8">
        <f>IF($J1434=0,0,ROUND(MAX($J1434*1.4*1.5*1.6*1.6*2.2*2.715,354000000*(1.642074^(MIN($E1434,123)-117)))*1,0))</f>
        <v>6696710</v>
      </c>
      <c r="W1434" s="6">
        <f>$E1434+15</f>
        <v>124</v>
      </c>
      <c r="X1434" s="7">
        <f>IF($J1434=0,0,ROUND(MAX($J1434*1.4*1.5*1.6*1.6*2.2*2.715*2.6,3540000000*(1.579646^(MIN($E1434,123)-117)))*1,0))</f>
        <v>91311418</v>
      </c>
      <c r="Y1434" s="4">
        <f>$E1434+17</f>
        <v>126</v>
      </c>
      <c r="Z1434" s="8">
        <f>IF($J1434=0,0,ROUND(MAX($J1434*1.4*1.5*1.6*1.6*2.2*2.715*2.6*1.4,6020000000*(1.651178^(MIN($E1434,123)-117)))*1,0))</f>
        <v>108954543</v>
      </c>
      <c r="AA1434" s="6">
        <f>$E1434+19</f>
        <v>128</v>
      </c>
      <c r="AB1434" s="7">
        <f>IF($J1434=0,0,ROUND(MAX($J1434*1.4*1.5*1.6*1.6*2.2*2.715*2.6*1.4*1.4,8430000000*(1.651435^(MIN($E1434,123)-117)))*1,0))</f>
        <v>152382712</v>
      </c>
      <c r="AC1434" s="4">
        <f>$E1434+21</f>
        <v>130</v>
      </c>
      <c r="AD1434" s="8">
        <f>IF($J1434=0,0,ROUND(MAX($J1434*1.4*1.5*1.6*1.6*2.2*2.715*2.6*1.4*1.4*1.5,12600000000*(1.652953^(MIN($E1434,123)-117)))*1,0))</f>
        <v>226092682</v>
      </c>
      <c r="AE1434" s="6">
        <f>$E1434+24</f>
        <v>133</v>
      </c>
      <c r="AF1434" s="7">
        <f>IF($J1434=0,0,ROUND(MAX($J1434*1.4*1.5*1.6*1.6*2.2*2.715*2.6*1.4*1.4*1.5*1.5,18900000000*(1.65331^(MIN($E1434,123)-117)))*1,0))</f>
        <v>338553621</v>
      </c>
      <c r="AG1434" s="4">
        <f>$E1434+27</f>
        <v>136</v>
      </c>
      <c r="AH1434" s="8">
        <f>IF($J1434=0,0,ROUND(MAX($J1434*1.4*1.5*1.6*1.6*2.2*2.715*2.6*1.4*1.4*1.5*1.5*3.2,60500000000*(1.654288^(MIN($E1434,123)-117)))*1,0))</f>
        <v>1078614909</v>
      </c>
    </row>
    <row r="1435" ht="27.75" customHeight="1" spans="1:34" x14ac:dyDescent="0.25">
      <c r="A1435" s="3">
        <v>1445</v>
      </c>
      <c r="B1435" s="3" t="s">
        <v>1051</v>
      </c>
      <c r="C1435" s="3" t="s">
        <v>1042</v>
      </c>
      <c r="D1435" s="3" t="s">
        <v>45</v>
      </c>
      <c r="E1435" s="3">
        <v>109</v>
      </c>
      <c r="F1435" s="3" t="s">
        <v>71</v>
      </c>
      <c r="G1435" s="3" t="s">
        <v>1043</v>
      </c>
      <c r="H1435" s="3">
        <v>24</v>
      </c>
      <c r="I1435" s="4">
        <v>109</v>
      </c>
      <c r="J1435" s="5">
        <v>67700</v>
      </c>
      <c r="K1435" s="6">
        <f>$E1435+1</f>
        <v>110</v>
      </c>
      <c r="L1435" s="7">
        <f>IF($J1435=0,0,ROUND(MAX($J1435*1.4,1620000*(1.497923^(MIN($E1435,123)-117)))*1,0))</f>
        <v>94780</v>
      </c>
      <c r="M1435" s="4">
        <f>$E1435+2</f>
        <v>111</v>
      </c>
      <c r="N1435" s="8">
        <f>IF($J1435=0,0,ROUND(MAX($J1435*1.4*1.5,2190000*(1.580994^(MIN($E1435,123)-117)))*1,0))</f>
        <v>142170</v>
      </c>
      <c r="O1435" s="6">
        <f>$E1435+4</f>
        <v>113</v>
      </c>
      <c r="P1435" s="7">
        <f>IF($J1435=0,0,ROUND(MAX($J1435*1.4*1.5*1.6,3500000*(1.57975^(MIN($E1435,123)-117)))*1,0))</f>
        <v>227472</v>
      </c>
      <c r="Q1435" s="4">
        <f>$E1435+6</f>
        <v>115</v>
      </c>
      <c r="R1435" s="8">
        <f>IF($J1435=0,0,ROUND(MAX($J1435*1.4*1.5*1.6*1.6,13100000*(1.429962^(MIN($E1435,123)-117)))*1,0))</f>
        <v>749334</v>
      </c>
      <c r="S1435" s="6">
        <f>$E1435+8</f>
        <v>117</v>
      </c>
      <c r="T1435" s="7">
        <f>IF($J1435=0,0,ROUND(MAX($J1435*1.4*1.5*1.6*1.6*2.2,42600000*(1.576904^(MIN($E1435,123)-117)))*1,0))</f>
        <v>1114211</v>
      </c>
      <c r="U1435" s="4">
        <f>$E1435+11</f>
        <v>120</v>
      </c>
      <c r="V1435" s="8">
        <f>IF($J1435=0,0,ROUND(MAX($J1435*1.4*1.5*1.6*1.6*2.2*2.715,354000000*(1.642074^(MIN($E1435,123)-117)))*1,0))</f>
        <v>6696710</v>
      </c>
      <c r="W1435" s="6">
        <f>$E1435+15</f>
        <v>124</v>
      </c>
      <c r="X1435" s="7">
        <f>IF($J1435=0,0,ROUND(MAX($J1435*1.4*1.5*1.6*1.6*2.2*2.715*2.6,3540000000*(1.579646^(MIN($E1435,123)-117)))*1,0))</f>
        <v>91311418</v>
      </c>
      <c r="Y1435" s="4">
        <f>$E1435+17</f>
        <v>126</v>
      </c>
      <c r="Z1435" s="8">
        <f>IF($J1435=0,0,ROUND(MAX($J1435*1.4*1.5*1.6*1.6*2.2*2.715*2.6*1.4,6020000000*(1.651178^(MIN($E1435,123)-117)))*1,0))</f>
        <v>108954543</v>
      </c>
      <c r="AA1435" s="6">
        <f>$E1435+19</f>
        <v>128</v>
      </c>
      <c r="AB1435" s="7">
        <f>IF($J1435=0,0,ROUND(MAX($J1435*1.4*1.5*1.6*1.6*2.2*2.715*2.6*1.4*1.4,8430000000*(1.651435^(MIN($E1435,123)-117)))*1,0))</f>
        <v>152382712</v>
      </c>
      <c r="AC1435" s="4">
        <f>$E1435+21</f>
        <v>130</v>
      </c>
      <c r="AD1435" s="8">
        <f>IF($J1435=0,0,ROUND(MAX($J1435*1.4*1.5*1.6*1.6*2.2*2.715*2.6*1.4*1.4*1.5,12600000000*(1.652953^(MIN($E1435,123)-117)))*1,0))</f>
        <v>226092682</v>
      </c>
      <c r="AE1435" s="6">
        <f>$E1435+24</f>
        <v>133</v>
      </c>
      <c r="AF1435" s="7">
        <f>IF($J1435=0,0,ROUND(MAX($J1435*1.4*1.5*1.6*1.6*2.2*2.715*2.6*1.4*1.4*1.5*1.5,18900000000*(1.65331^(MIN($E1435,123)-117)))*1,0))</f>
        <v>338553621</v>
      </c>
      <c r="AG1435" s="4">
        <f>$E1435+27</f>
        <v>136</v>
      </c>
      <c r="AH1435" s="8">
        <f>IF($J1435=0,0,ROUND(MAX($J1435*1.4*1.5*1.6*1.6*2.2*2.715*2.6*1.4*1.4*1.5*1.5*3.2,60500000000*(1.654288^(MIN($E1435,123)-117)))*1,0))</f>
        <v>1078614909</v>
      </c>
    </row>
    <row r="1436" ht="27.75" customHeight="1" spans="1:34" x14ac:dyDescent="0.25">
      <c r="A1436" s="3">
        <v>1446</v>
      </c>
      <c r="B1436" s="3" t="s">
        <v>782</v>
      </c>
      <c r="C1436" s="3" t="s">
        <v>1042</v>
      </c>
      <c r="D1436" s="3" t="s">
        <v>33</v>
      </c>
      <c r="E1436" s="3">
        <v>109</v>
      </c>
      <c r="F1436" s="3" t="s">
        <v>71</v>
      </c>
      <c r="G1436" s="3" t="s">
        <v>213</v>
      </c>
      <c r="H1436" s="3">
        <v>24</v>
      </c>
      <c r="I1436" s="4">
        <v>109</v>
      </c>
      <c r="J1436" s="5">
        <v>145000</v>
      </c>
      <c r="K1436" s="6">
        <f>$E1436+1</f>
        <v>110</v>
      </c>
      <c r="L1436" s="7">
        <f>IF($J1436=0,0,ROUND(MAX($J1436*1.4,1620000*(1.497923^(MIN($E1436,123)-117)))*1,0))</f>
        <v>203000</v>
      </c>
      <c r="M1436" s="4">
        <f>$E1436+2</f>
        <v>111</v>
      </c>
      <c r="N1436" s="8">
        <f>IF($J1436=0,0,ROUND(MAX($J1436*1.4*1.5,2190000*(1.580994^(MIN($E1436,123)-117)))*1,0))</f>
        <v>304500</v>
      </c>
      <c r="O1436" s="6">
        <f>$E1436+4</f>
        <v>113</v>
      </c>
      <c r="P1436" s="7">
        <f>IF($J1436=0,0,ROUND(MAX($J1436*1.4*1.5*1.6,3500000*(1.57975^(MIN($E1436,123)-117)))*1,0))</f>
        <v>487200</v>
      </c>
      <c r="Q1436" s="4">
        <f>$E1436+6</f>
        <v>115</v>
      </c>
      <c r="R1436" s="8">
        <f>IF($J1436=0,0,ROUND(MAX($J1436*1.4*1.5*1.6*1.6,13100000*(1.429962^(MIN($E1436,123)-117)))*1,0))</f>
        <v>779520</v>
      </c>
      <c r="S1436" s="6">
        <f>$E1436+8</f>
        <v>117</v>
      </c>
      <c r="T1436" s="7">
        <f>IF($J1436=0,0,ROUND(MAX($J1436*1.4*1.5*1.6*1.6*2.2,42600000*(1.576904^(MIN($E1436,123)-117)))*1,0))</f>
        <v>1714944</v>
      </c>
      <c r="U1436" s="4">
        <f>$E1436+11</f>
        <v>120</v>
      </c>
      <c r="V1436" s="8">
        <f>IF($J1436=0,0,ROUND(MAX($J1436*1.4*1.5*1.6*1.6*2.2*2.715,354000000*(1.642074^(MIN($E1436,123)-117)))*1,0))</f>
        <v>6696710</v>
      </c>
      <c r="W1436" s="6">
        <f>$E1436+15</f>
        <v>124</v>
      </c>
      <c r="X1436" s="7">
        <f>IF($J1436=0,0,ROUND(MAX($J1436*1.4*1.5*1.6*1.6*2.2*2.715*2.6,3540000000*(1.579646^(MIN($E1436,123)-117)))*1,0))</f>
        <v>91311418</v>
      </c>
      <c r="Y1436" s="4">
        <f>$E1436+17</f>
        <v>126</v>
      </c>
      <c r="Z1436" s="8">
        <f>IF($J1436=0,0,ROUND(MAX($J1436*1.4*1.5*1.6*1.6*2.2*2.715*2.6*1.4,6020000000*(1.651178^(MIN($E1436,123)-117)))*1,0))</f>
        <v>108954543</v>
      </c>
      <c r="AA1436" s="6">
        <f>$E1436+19</f>
        <v>128</v>
      </c>
      <c r="AB1436" s="7">
        <f>IF($J1436=0,0,ROUND(MAX($J1436*1.4*1.5*1.6*1.6*2.2*2.715*2.6*1.4*1.4,8430000000*(1.651435^(MIN($E1436,123)-117)))*1,0))</f>
        <v>152382712</v>
      </c>
      <c r="AC1436" s="4">
        <f>$E1436+21</f>
        <v>130</v>
      </c>
      <c r="AD1436" s="8">
        <f>IF($J1436=0,0,ROUND(MAX($J1436*1.4*1.5*1.6*1.6*2.2*2.715*2.6*1.4*1.4*1.5,12600000000*(1.652953^(MIN($E1436,123)-117)))*1,0))</f>
        <v>226092682</v>
      </c>
      <c r="AE1436" s="6">
        <f>$E1436+24</f>
        <v>133</v>
      </c>
      <c r="AF1436" s="7">
        <f>IF($J1436=0,0,ROUND(MAX($J1436*1.4*1.5*1.6*1.6*2.2*2.715*2.6*1.4*1.4*1.5*1.5,18900000000*(1.65331^(MIN($E1436,123)-117)))*1,0))</f>
        <v>338553621</v>
      </c>
      <c r="AG1436" s="4">
        <f>$E1436+27</f>
        <v>136</v>
      </c>
      <c r="AH1436" s="8">
        <f>IF($J1436=0,0,ROUND(MAX($J1436*1.4*1.5*1.6*1.6*2.2*2.715*2.6*1.4*1.4*1.5*1.5*3.2,60500000000*(1.654288^(MIN($E1436,123)-117)))*1,0))</f>
        <v>1078614909</v>
      </c>
    </row>
    <row r="1437" ht="27.75" customHeight="1" spans="1:34" x14ac:dyDescent="0.25">
      <c r="A1437" s="3">
        <v>1447</v>
      </c>
      <c r="B1437" s="3" t="s">
        <v>609</v>
      </c>
      <c r="C1437" s="3" t="s">
        <v>1042</v>
      </c>
      <c r="D1437" s="3" t="s">
        <v>75</v>
      </c>
      <c r="E1437" s="3">
        <v>109</v>
      </c>
      <c r="F1437" s="3" t="s">
        <v>54</v>
      </c>
      <c r="G1437" s="3" t="s">
        <v>1043</v>
      </c>
      <c r="H1437" s="3">
        <v>24</v>
      </c>
      <c r="I1437" s="4">
        <v>109</v>
      </c>
      <c r="J1437" s="5">
        <v>67800</v>
      </c>
      <c r="K1437" s="6">
        <f>$E1437+1</f>
        <v>110</v>
      </c>
      <c r="L1437" s="7">
        <f>IF($J1437=0,0,ROUND(MAX($J1437*1.4,1620000*(1.497923^(MIN($E1437,123)-117)))*1,0))</f>
        <v>94920</v>
      </c>
      <c r="M1437" s="4">
        <f>$E1437+2</f>
        <v>111</v>
      </c>
      <c r="N1437" s="8">
        <f>IF($J1437=0,0,ROUND(MAX($J1437*1.4*1.5,2190000*(1.580994^(MIN($E1437,123)-117)))*1,0))</f>
        <v>142380</v>
      </c>
      <c r="O1437" s="6">
        <f>$E1437+4</f>
        <v>113</v>
      </c>
      <c r="P1437" s="7">
        <f>IF($J1437=0,0,ROUND(MAX($J1437*1.4*1.5*1.6,3500000*(1.57975^(MIN($E1437,123)-117)))*1,0))</f>
        <v>227808</v>
      </c>
      <c r="Q1437" s="4">
        <f>$E1437+6</f>
        <v>115</v>
      </c>
      <c r="R1437" s="8">
        <f>IF($J1437=0,0,ROUND(MAX($J1437*1.4*1.5*1.6*1.6,13100000*(1.429962^(MIN($E1437,123)-117)))*1,0))</f>
        <v>749334</v>
      </c>
      <c r="S1437" s="6">
        <f>$E1437+8</f>
        <v>117</v>
      </c>
      <c r="T1437" s="7">
        <f>IF($J1437=0,0,ROUND(MAX($J1437*1.4*1.5*1.6*1.6*2.2,42600000*(1.576904^(MIN($E1437,123)-117)))*1,0))</f>
        <v>1114211</v>
      </c>
      <c r="U1437" s="4">
        <f>$E1437+11</f>
        <v>120</v>
      </c>
      <c r="V1437" s="8">
        <f>IF($J1437=0,0,ROUND(MAX($J1437*1.4*1.5*1.6*1.6*2.2*2.715,354000000*(1.642074^(MIN($E1437,123)-117)))*1,0))</f>
        <v>6696710</v>
      </c>
      <c r="W1437" s="6">
        <f>$E1437+15</f>
        <v>124</v>
      </c>
      <c r="X1437" s="7">
        <f>IF($J1437=0,0,ROUND(MAX($J1437*1.4*1.5*1.6*1.6*2.2*2.715*2.6,3540000000*(1.579646^(MIN($E1437,123)-117)))*1,0))</f>
        <v>91311418</v>
      </c>
      <c r="Y1437" s="4">
        <f>$E1437+17</f>
        <v>126</v>
      </c>
      <c r="Z1437" s="8">
        <f>IF($J1437=0,0,ROUND(MAX($J1437*1.4*1.5*1.6*1.6*2.2*2.715*2.6*1.4,6020000000*(1.651178^(MIN($E1437,123)-117)))*1,0))</f>
        <v>108954543</v>
      </c>
      <c r="AA1437" s="6">
        <f>$E1437+19</f>
        <v>128</v>
      </c>
      <c r="AB1437" s="7">
        <f>IF($J1437=0,0,ROUND(MAX($J1437*1.4*1.5*1.6*1.6*2.2*2.715*2.6*1.4*1.4,8430000000*(1.651435^(MIN($E1437,123)-117)))*1,0))</f>
        <v>152382712</v>
      </c>
      <c r="AC1437" s="4">
        <f>$E1437+21</f>
        <v>130</v>
      </c>
      <c r="AD1437" s="8">
        <f>IF($J1437=0,0,ROUND(MAX($J1437*1.4*1.5*1.6*1.6*2.2*2.715*2.6*1.4*1.4*1.5,12600000000*(1.652953^(MIN($E1437,123)-117)))*1,0))</f>
        <v>226092682</v>
      </c>
      <c r="AE1437" s="6">
        <f>$E1437+24</f>
        <v>133</v>
      </c>
      <c r="AF1437" s="7">
        <f>IF($J1437=0,0,ROUND(MAX($J1437*1.4*1.5*1.6*1.6*2.2*2.715*2.6*1.4*1.4*1.5*1.5,18900000000*(1.65331^(MIN($E1437,123)-117)))*1,0))</f>
        <v>338553621</v>
      </c>
      <c r="AG1437" s="4">
        <f>$E1437+27</f>
        <v>136</v>
      </c>
      <c r="AH1437" s="8">
        <f>IF($J1437=0,0,ROUND(MAX($J1437*1.4*1.5*1.6*1.6*2.2*2.715*2.6*1.4*1.4*1.5*1.5*3.2,60500000000*(1.654288^(MIN($E1437,123)-117)))*1,0))</f>
        <v>1078614909</v>
      </c>
    </row>
    <row r="1438" ht="27.75" customHeight="1" spans="1:34" x14ac:dyDescent="0.25">
      <c r="A1438" s="3">
        <v>1448</v>
      </c>
      <c r="B1438" s="3" t="s">
        <v>1052</v>
      </c>
      <c r="C1438" s="3" t="s">
        <v>1042</v>
      </c>
      <c r="D1438" s="3" t="s">
        <v>47</v>
      </c>
      <c r="E1438" s="3">
        <v>109</v>
      </c>
      <c r="F1438" s="3" t="s">
        <v>146</v>
      </c>
      <c r="G1438" s="3" t="s">
        <v>474</v>
      </c>
      <c r="H1438" s="3">
        <v>22</v>
      </c>
      <c r="I1438" s="4">
        <v>109</v>
      </c>
      <c r="J1438" s="5">
        <v>143000</v>
      </c>
      <c r="K1438" s="6">
        <f>$E1438+1</f>
        <v>110</v>
      </c>
      <c r="L1438" s="7">
        <f>IF($J1438=0,0,ROUND(MAX($J1438*1.4,1620000*(1.497923^(MIN($E1438,123)-117)))*1,0))</f>
        <v>200200</v>
      </c>
      <c r="M1438" s="4">
        <f>$E1438+2</f>
        <v>111</v>
      </c>
      <c r="N1438" s="8">
        <f>IF($J1438=0,0,ROUND(MAX($J1438*1.4*1.5,2190000*(1.580994^(MIN($E1438,123)-117)))*1,0))</f>
        <v>300300</v>
      </c>
      <c r="O1438" s="6">
        <f>$E1438+4</f>
        <v>113</v>
      </c>
      <c r="P1438" s="7">
        <f>IF($J1438=0,0,ROUND(MAX($J1438*1.4*1.5*1.6,3500000*(1.57975^(MIN($E1438,123)-117)))*1,0))</f>
        <v>480480</v>
      </c>
      <c r="Q1438" s="4">
        <f>$E1438+6</f>
        <v>115</v>
      </c>
      <c r="R1438" s="8">
        <f>IF($J1438=0,0,ROUND(MAX($J1438*1.4*1.5*1.6*1.6,13100000*(1.429962^(MIN($E1438,123)-117)))*1,0))</f>
        <v>768768</v>
      </c>
      <c r="S1438" s="6">
        <f>$E1438+8</f>
        <v>117</v>
      </c>
      <c r="T1438" s="7">
        <f>IF($J1438=0,0,ROUND(MAX($J1438*1.4*1.5*1.6*1.6*2.2,42600000*(1.576904^(MIN($E1438,123)-117)))*1,0))</f>
        <v>1691290</v>
      </c>
      <c r="U1438" s="4">
        <f>$E1438+11</f>
        <v>120</v>
      </c>
      <c r="V1438" s="8">
        <f>IF($J1438=0,0,ROUND(MAX($J1438*1.4*1.5*1.6*1.6*2.2*2.715,354000000*(1.642074^(MIN($E1438,123)-117)))*1,0))</f>
        <v>6696710</v>
      </c>
      <c r="W1438" s="6">
        <f>$E1438+15</f>
        <v>124</v>
      </c>
      <c r="X1438" s="7">
        <f>IF($J1438=0,0,ROUND(MAX($J1438*1.4*1.5*1.6*1.6*2.2*2.715*2.6,3540000000*(1.579646^(MIN($E1438,123)-117)))*1,0))</f>
        <v>91311418</v>
      </c>
      <c r="Y1438" s="4">
        <f>$E1438+17</f>
        <v>126</v>
      </c>
      <c r="Z1438" s="8">
        <f>IF($J1438=0,0,ROUND(MAX($J1438*1.4*1.5*1.6*1.6*2.2*2.715*2.6*1.4,6020000000*(1.651178^(MIN($E1438,123)-117)))*1,0))</f>
        <v>108954543</v>
      </c>
      <c r="AA1438" s="6">
        <f>$E1438+19</f>
        <v>128</v>
      </c>
      <c r="AB1438" s="7">
        <f>IF($J1438=0,0,ROUND(MAX($J1438*1.4*1.5*1.6*1.6*2.2*2.715*2.6*1.4*1.4,8430000000*(1.651435^(MIN($E1438,123)-117)))*1,0))</f>
        <v>152382712</v>
      </c>
      <c r="AC1438" s="4">
        <f>$E1438+21</f>
        <v>130</v>
      </c>
      <c r="AD1438" s="8">
        <f>IF($J1438=0,0,ROUND(MAX($J1438*1.4*1.5*1.6*1.6*2.2*2.715*2.6*1.4*1.4*1.5,12600000000*(1.652953^(MIN($E1438,123)-117)))*1,0))</f>
        <v>226092682</v>
      </c>
      <c r="AE1438" s="6">
        <f>$E1438+24</f>
        <v>133</v>
      </c>
      <c r="AF1438" s="7">
        <f>IF($J1438=0,0,ROUND(MAX($J1438*1.4*1.5*1.6*1.6*2.2*2.715*2.6*1.4*1.4*1.5*1.5,18900000000*(1.65331^(MIN($E1438,123)-117)))*1,0))</f>
        <v>338553621</v>
      </c>
      <c r="AG1438" s="4">
        <f>$E1438+27</f>
        <v>136</v>
      </c>
      <c r="AH1438" s="8">
        <f>IF($J1438=0,0,ROUND(MAX($J1438*1.4*1.5*1.6*1.6*2.2*2.715*2.6*1.4*1.4*1.5*1.5*3.2,60500000000*(1.654288^(MIN($E1438,123)-117)))*1,0))</f>
        <v>1078614909</v>
      </c>
    </row>
    <row r="1439" ht="27.75" customHeight="1" spans="1:34" x14ac:dyDescent="0.25">
      <c r="A1439" s="3">
        <v>1449</v>
      </c>
      <c r="B1439" s="3" t="s">
        <v>1053</v>
      </c>
      <c r="C1439" s="3" t="s">
        <v>1042</v>
      </c>
      <c r="D1439" s="3" t="s">
        <v>40</v>
      </c>
      <c r="E1439" s="3">
        <v>108</v>
      </c>
      <c r="F1439" s="3" t="s">
        <v>146</v>
      </c>
      <c r="G1439" s="3" t="s">
        <v>274</v>
      </c>
      <c r="H1439" s="3">
        <v>25</v>
      </c>
      <c r="I1439" s="4">
        <v>108</v>
      </c>
      <c r="J1439" s="5">
        <v>187000</v>
      </c>
      <c r="K1439" s="6">
        <f>$E1439+1</f>
        <v>109</v>
      </c>
      <c r="L1439" s="7">
        <f>IF($J1439=0,0,ROUND(MAX($J1439*1.4,1620000*(1.497923^(MIN($E1439,123)-117)))*1,0))</f>
        <v>261800</v>
      </c>
      <c r="M1439" s="4">
        <f>$E1439+2</f>
        <v>110</v>
      </c>
      <c r="N1439" s="8">
        <f>IF($J1439=0,0,ROUND(MAX($J1439*1.4*1.5,2190000*(1.580994^(MIN($E1439,123)-117)))*1,0))</f>
        <v>392700</v>
      </c>
      <c r="O1439" s="6">
        <f>$E1439+4</f>
        <v>112</v>
      </c>
      <c r="P1439" s="7">
        <f>IF($J1439=0,0,ROUND(MAX($J1439*1.4*1.5*1.6,3500000*(1.57975^(MIN($E1439,123)-117)))*1,0))</f>
        <v>628320</v>
      </c>
      <c r="Q1439" s="4">
        <f>$E1439+6</f>
        <v>114</v>
      </c>
      <c r="R1439" s="8">
        <f>IF($J1439=0,0,ROUND(MAX($J1439*1.4*1.5*1.6*1.6,13100000*(1.429962^(MIN($E1439,123)-117)))*1,0))</f>
        <v>1005312</v>
      </c>
      <c r="S1439" s="6">
        <f>$E1439+8</f>
        <v>116</v>
      </c>
      <c r="T1439" s="7">
        <f>IF($J1439=0,0,ROUND(MAX($J1439*1.4*1.5*1.6*1.6*2.2,42600000*(1.576904^(MIN($E1439,123)-117)))*1,0))</f>
        <v>2211686</v>
      </c>
      <c r="U1439" s="4">
        <f>$E1439+11</f>
        <v>119</v>
      </c>
      <c r="V1439" s="8">
        <f>IF($J1439=0,0,ROUND(MAX($J1439*1.4*1.5*1.6*1.6*2.2*2.715,354000000*(1.642074^(MIN($E1439,123)-117)))*1,0))</f>
        <v>6004729</v>
      </c>
      <c r="W1439" s="6">
        <f>$E1439+15</f>
        <v>123</v>
      </c>
      <c r="X1439" s="7">
        <f>IF($J1439=0,0,ROUND(MAX($J1439*1.4*1.5*1.6*1.6*2.2*2.715*2.6,3540000000*(1.579646^(MIN($E1439,123)-117)))*1,0))</f>
        <v>57804988</v>
      </c>
      <c r="Y1439" s="4">
        <f>$E1439+17</f>
        <v>125</v>
      </c>
      <c r="Z1439" s="8">
        <f>IF($J1439=0,0,ROUND(MAX($J1439*1.4*1.5*1.6*1.6*2.2*2.715*2.6*1.4,6020000000*(1.651178^(MIN($E1439,123)-117)))*1,0))</f>
        <v>65985946</v>
      </c>
      <c r="AA1439" s="6">
        <f>$E1439+19</f>
        <v>127</v>
      </c>
      <c r="AB1439" s="7">
        <f>IF($J1439=0,0,ROUND(MAX($J1439*1.4*1.5*1.6*1.6*2.2*2.715*2.6*1.4*1.4,8430000000*(1.651435^(MIN($E1439,123)-117)))*1,0))</f>
        <v>92272909</v>
      </c>
      <c r="AC1439" s="4">
        <f>$E1439+21</f>
        <v>129</v>
      </c>
      <c r="AD1439" s="8">
        <f>IF($J1439=0,0,ROUND(MAX($J1439*1.4*1.5*1.6*1.6*2.2*2.715*2.6*1.4*1.4*1.5,12600000000*(1.652953^(MIN($E1439,123)-117)))*1,0))</f>
        <v>136781071</v>
      </c>
      <c r="AE1439" s="6">
        <f>$E1439+24</f>
        <v>132</v>
      </c>
      <c r="AF1439" s="7">
        <f>IF($J1439=0,0,ROUND(MAX($J1439*1.4*1.5*1.6*1.6*2.2*2.715*2.6*1.4*1.4*1.5*1.5,18900000000*(1.65331^(MIN($E1439,123)-117)))*1,0))</f>
        <v>204773225</v>
      </c>
      <c r="AG1439" s="4">
        <f>$E1439+27</f>
        <v>135</v>
      </c>
      <c r="AH1439" s="8">
        <f>IF($J1439=0,0,ROUND(MAX($J1439*1.4*1.5*1.6*1.6*2.2*2.715*2.6*1.4*1.4*1.5*1.5*3.2,60500000000*(1.654288^(MIN($E1439,123)-117)))*1,0))</f>
        <v>652011566</v>
      </c>
    </row>
    <row r="1440" ht="27.75" customHeight="1" spans="1:34" x14ac:dyDescent="0.25">
      <c r="A1440" s="3">
        <v>1450</v>
      </c>
      <c r="B1440" s="3" t="s">
        <v>1054</v>
      </c>
      <c r="C1440" s="3" t="s">
        <v>1042</v>
      </c>
      <c r="D1440" s="3" t="s">
        <v>45</v>
      </c>
      <c r="E1440" s="3">
        <v>108</v>
      </c>
      <c r="F1440" s="3" t="s">
        <v>71</v>
      </c>
      <c r="G1440" s="3" t="s">
        <v>1055</v>
      </c>
      <c r="H1440" s="3">
        <v>25</v>
      </c>
      <c r="I1440" s="4">
        <v>108</v>
      </c>
      <c r="J1440" s="5">
        <v>200000</v>
      </c>
      <c r="K1440" s="6">
        <f>$E1440+1</f>
        <v>109</v>
      </c>
      <c r="L1440" s="7">
        <f>IF($J1440=0,0,ROUND(MAX($J1440*1.4,1620000*(1.497923^(MIN($E1440,123)-117)))*1,0))</f>
        <v>280000</v>
      </c>
      <c r="M1440" s="4">
        <f>$E1440+2</f>
        <v>110</v>
      </c>
      <c r="N1440" s="8">
        <f>IF($J1440=0,0,ROUND(MAX($J1440*1.4*1.5,2190000*(1.580994^(MIN($E1440,123)-117)))*1,0))</f>
        <v>420000</v>
      </c>
      <c r="O1440" s="6">
        <f>$E1440+4</f>
        <v>112</v>
      </c>
      <c r="P1440" s="7">
        <f>IF($J1440=0,0,ROUND(MAX($J1440*1.4*1.5*1.6,3500000*(1.57975^(MIN($E1440,123)-117)))*1,0))</f>
        <v>672000</v>
      </c>
      <c r="Q1440" s="4">
        <f>$E1440+6</f>
        <v>114</v>
      </c>
      <c r="R1440" s="8">
        <f>IF($J1440=0,0,ROUND(MAX($J1440*1.4*1.5*1.6*1.6,13100000*(1.429962^(MIN($E1440,123)-117)))*1,0))</f>
        <v>1075200</v>
      </c>
      <c r="S1440" s="6">
        <f>$E1440+8</f>
        <v>116</v>
      </c>
      <c r="T1440" s="7">
        <f>IF($J1440=0,0,ROUND(MAX($J1440*1.4*1.5*1.6*1.6*2.2,42600000*(1.576904^(MIN($E1440,123)-117)))*1,0))</f>
        <v>2365440</v>
      </c>
      <c r="U1440" s="4">
        <f>$E1440+11</f>
        <v>119</v>
      </c>
      <c r="V1440" s="8">
        <f>IF($J1440=0,0,ROUND(MAX($J1440*1.4*1.5*1.6*1.6*2.2*2.715,354000000*(1.642074^(MIN($E1440,123)-117)))*1,0))</f>
        <v>6422170</v>
      </c>
      <c r="W1440" s="6">
        <f>$E1440+15</f>
        <v>123</v>
      </c>
      <c r="X1440" s="7">
        <f>IF($J1440=0,0,ROUND(MAX($J1440*1.4*1.5*1.6*1.6*2.2*2.715*2.6,3540000000*(1.579646^(MIN($E1440,123)-117)))*1,0))</f>
        <v>57804988</v>
      </c>
      <c r="Y1440" s="4">
        <f>$E1440+17</f>
        <v>125</v>
      </c>
      <c r="Z1440" s="8">
        <f>IF($J1440=0,0,ROUND(MAX($J1440*1.4*1.5*1.6*1.6*2.2*2.715*2.6*1.4,6020000000*(1.651178^(MIN($E1440,123)-117)))*1,0))</f>
        <v>65985946</v>
      </c>
      <c r="AA1440" s="6">
        <f>$E1440+19</f>
        <v>127</v>
      </c>
      <c r="AB1440" s="7">
        <f>IF($J1440=0,0,ROUND(MAX($J1440*1.4*1.5*1.6*1.6*2.2*2.715*2.6*1.4*1.4,8430000000*(1.651435^(MIN($E1440,123)-117)))*1,0))</f>
        <v>92272909</v>
      </c>
      <c r="AC1440" s="4">
        <f>$E1440+21</f>
        <v>129</v>
      </c>
      <c r="AD1440" s="8">
        <f>IF($J1440=0,0,ROUND(MAX($J1440*1.4*1.5*1.6*1.6*2.2*2.715*2.6*1.4*1.4*1.5,12600000000*(1.652953^(MIN($E1440,123)-117)))*1,0))</f>
        <v>136781071</v>
      </c>
      <c r="AE1440" s="6">
        <f>$E1440+24</f>
        <v>132</v>
      </c>
      <c r="AF1440" s="7">
        <f>IF($J1440=0,0,ROUND(MAX($J1440*1.4*1.5*1.6*1.6*2.2*2.715*2.6*1.4*1.4*1.5*1.5,18900000000*(1.65331^(MIN($E1440,123)-117)))*1,0))</f>
        <v>204773225</v>
      </c>
      <c r="AG1440" s="4">
        <f>$E1440+27</f>
        <v>135</v>
      </c>
      <c r="AH1440" s="8">
        <f>IF($J1440=0,0,ROUND(MAX($J1440*1.4*1.5*1.6*1.6*2.2*2.715*2.6*1.4*1.4*1.5*1.5*3.2,60500000000*(1.654288^(MIN($E1440,123)-117)))*1,0))</f>
        <v>652011566</v>
      </c>
    </row>
    <row r="1441" ht="27.75" customHeight="1" spans="1:34" x14ac:dyDescent="0.25">
      <c r="A1441" s="3">
        <v>1451</v>
      </c>
      <c r="B1441" s="3" t="s">
        <v>607</v>
      </c>
      <c r="C1441" s="3" t="s">
        <v>1042</v>
      </c>
      <c r="D1441" s="3" t="s">
        <v>33</v>
      </c>
      <c r="E1441" s="3">
        <v>108</v>
      </c>
      <c r="F1441" s="3" t="s">
        <v>71</v>
      </c>
      <c r="G1441" s="3" t="s">
        <v>358</v>
      </c>
      <c r="H1441" s="3">
        <v>25</v>
      </c>
      <c r="I1441" s="4">
        <v>108</v>
      </c>
      <c r="J1441" s="5">
        <v>56100</v>
      </c>
      <c r="K1441" s="6">
        <f>$E1441+1</f>
        <v>109</v>
      </c>
      <c r="L1441" s="7">
        <f>IF($J1441=0,0,ROUND(MAX($J1441*1.4,1620000*(1.497923^(MIN($E1441,123)-117)))*1,0))</f>
        <v>78540</v>
      </c>
      <c r="M1441" s="4">
        <f>$E1441+2</f>
        <v>110</v>
      </c>
      <c r="N1441" s="8">
        <f>IF($J1441=0,0,ROUND(MAX($J1441*1.4*1.5,2190000*(1.580994^(MIN($E1441,123)-117)))*1,0))</f>
        <v>117810</v>
      </c>
      <c r="O1441" s="6">
        <f>$E1441+4</f>
        <v>112</v>
      </c>
      <c r="P1441" s="7">
        <f>IF($J1441=0,0,ROUND(MAX($J1441*1.4*1.5*1.6,3500000*(1.57975^(MIN($E1441,123)-117)))*1,0))</f>
        <v>188496</v>
      </c>
      <c r="Q1441" s="4">
        <f>$E1441+6</f>
        <v>114</v>
      </c>
      <c r="R1441" s="8">
        <f>IF($J1441=0,0,ROUND(MAX($J1441*1.4*1.5*1.6*1.6,13100000*(1.429962^(MIN($E1441,123)-117)))*1,0))</f>
        <v>524024</v>
      </c>
      <c r="S1441" s="6">
        <f>$E1441+8</f>
        <v>116</v>
      </c>
      <c r="T1441" s="7">
        <f>IF($J1441=0,0,ROUND(MAX($J1441*1.4*1.5*1.6*1.6*2.2,42600000*(1.576904^(MIN($E1441,123)-117)))*1,0))</f>
        <v>706582</v>
      </c>
      <c r="U1441" s="4">
        <f>$E1441+11</f>
        <v>119</v>
      </c>
      <c r="V1441" s="8">
        <f>IF($J1441=0,0,ROUND(MAX($J1441*1.4*1.5*1.6*1.6*2.2*2.715,354000000*(1.642074^(MIN($E1441,123)-117)))*1,0))</f>
        <v>4078202</v>
      </c>
      <c r="W1441" s="6">
        <f>$E1441+15</f>
        <v>123</v>
      </c>
      <c r="X1441" s="7">
        <f>IF($J1441=0,0,ROUND(MAX($J1441*1.4*1.5*1.6*1.6*2.2*2.715*2.6,3540000000*(1.579646^(MIN($E1441,123)-117)))*1,0))</f>
        <v>57804988</v>
      </c>
      <c r="Y1441" s="4">
        <f>$E1441+17</f>
        <v>125</v>
      </c>
      <c r="Z1441" s="8">
        <f>IF($J1441=0,0,ROUND(MAX($J1441*1.4*1.5*1.6*1.6*2.2*2.715*2.6*1.4,6020000000*(1.651178^(MIN($E1441,123)-117)))*1,0))</f>
        <v>65985946</v>
      </c>
      <c r="AA1441" s="6">
        <f>$E1441+19</f>
        <v>127</v>
      </c>
      <c r="AB1441" s="7">
        <f>IF($J1441=0,0,ROUND(MAX($J1441*1.4*1.5*1.6*1.6*2.2*2.715*2.6*1.4*1.4,8430000000*(1.651435^(MIN($E1441,123)-117)))*1,0))</f>
        <v>92272909</v>
      </c>
      <c r="AC1441" s="4">
        <f>$E1441+21</f>
        <v>129</v>
      </c>
      <c r="AD1441" s="8">
        <f>IF($J1441=0,0,ROUND(MAX($J1441*1.4*1.5*1.6*1.6*2.2*2.715*2.6*1.4*1.4*1.5,12600000000*(1.652953^(MIN($E1441,123)-117)))*1,0))</f>
        <v>136781071</v>
      </c>
      <c r="AE1441" s="6">
        <f>$E1441+24</f>
        <v>132</v>
      </c>
      <c r="AF1441" s="7">
        <f>IF($J1441=0,0,ROUND(MAX($J1441*1.4*1.5*1.6*1.6*2.2*2.715*2.6*1.4*1.4*1.5*1.5,18900000000*(1.65331^(MIN($E1441,123)-117)))*1,0))</f>
        <v>204773225</v>
      </c>
      <c r="AG1441" s="4">
        <f>$E1441+27</f>
        <v>135</v>
      </c>
      <c r="AH1441" s="8">
        <f>IF($J1441=0,0,ROUND(MAX($J1441*1.4*1.5*1.6*1.6*2.2*2.715*2.6*1.4*1.4*1.5*1.5*3.2,60500000000*(1.654288^(MIN($E1441,123)-117)))*1,0))</f>
        <v>652011566</v>
      </c>
    </row>
    <row r="1442" ht="27.75" customHeight="1" spans="1:34" x14ac:dyDescent="0.25">
      <c r="A1442" s="3">
        <v>1452</v>
      </c>
      <c r="B1442" s="3" t="s">
        <v>926</v>
      </c>
      <c r="C1442" s="3" t="s">
        <v>1042</v>
      </c>
      <c r="D1442" s="3" t="s">
        <v>29</v>
      </c>
      <c r="E1442" s="3">
        <v>108</v>
      </c>
      <c r="F1442" s="3" t="s">
        <v>71</v>
      </c>
      <c r="G1442" s="3" t="s">
        <v>398</v>
      </c>
      <c r="H1442" s="3">
        <v>25</v>
      </c>
      <c r="I1442" s="4">
        <v>108</v>
      </c>
      <c r="J1442" s="5">
        <v>58300</v>
      </c>
      <c r="K1442" s="6">
        <f>$E1442+1</f>
        <v>109</v>
      </c>
      <c r="L1442" s="7">
        <f>IF($J1442=0,0,ROUND(MAX($J1442*1.4,1620000*(1.497923^(MIN($E1442,123)-117)))*1,0))</f>
        <v>81620</v>
      </c>
      <c r="M1442" s="4">
        <f>$E1442+2</f>
        <v>110</v>
      </c>
      <c r="N1442" s="8">
        <f>IF($J1442=0,0,ROUND(MAX($J1442*1.4*1.5,2190000*(1.580994^(MIN($E1442,123)-117)))*1,0))</f>
        <v>122430</v>
      </c>
      <c r="O1442" s="6">
        <f>$E1442+4</f>
        <v>112</v>
      </c>
      <c r="P1442" s="7">
        <f>IF($J1442=0,0,ROUND(MAX($J1442*1.4*1.5*1.6,3500000*(1.57975^(MIN($E1442,123)-117)))*1,0))</f>
        <v>195888</v>
      </c>
      <c r="Q1442" s="4">
        <f>$E1442+6</f>
        <v>114</v>
      </c>
      <c r="R1442" s="8">
        <f>IF($J1442=0,0,ROUND(MAX($J1442*1.4*1.5*1.6*1.6,13100000*(1.429962^(MIN($E1442,123)-117)))*1,0))</f>
        <v>524024</v>
      </c>
      <c r="S1442" s="6">
        <f>$E1442+8</f>
        <v>116</v>
      </c>
      <c r="T1442" s="7">
        <f>IF($J1442=0,0,ROUND(MAX($J1442*1.4*1.5*1.6*1.6*2.2,42600000*(1.576904^(MIN($E1442,123)-117)))*1,0))</f>
        <v>706582</v>
      </c>
      <c r="U1442" s="4">
        <f>$E1442+11</f>
        <v>119</v>
      </c>
      <c r="V1442" s="8">
        <f>IF($J1442=0,0,ROUND(MAX($J1442*1.4*1.5*1.6*1.6*2.2*2.715,354000000*(1.642074^(MIN($E1442,123)-117)))*1,0))</f>
        <v>4078202</v>
      </c>
      <c r="W1442" s="6">
        <f>$E1442+15</f>
        <v>123</v>
      </c>
      <c r="X1442" s="7">
        <f>IF($J1442=0,0,ROUND(MAX($J1442*1.4*1.5*1.6*1.6*2.2*2.715*2.6,3540000000*(1.579646^(MIN($E1442,123)-117)))*1,0))</f>
        <v>57804988</v>
      </c>
      <c r="Y1442" s="4">
        <f>$E1442+17</f>
        <v>125</v>
      </c>
      <c r="Z1442" s="8">
        <f>IF($J1442=0,0,ROUND(MAX($J1442*1.4*1.5*1.6*1.6*2.2*2.715*2.6*1.4,6020000000*(1.651178^(MIN($E1442,123)-117)))*1,0))</f>
        <v>65985946</v>
      </c>
      <c r="AA1442" s="6">
        <f>$E1442+19</f>
        <v>127</v>
      </c>
      <c r="AB1442" s="7">
        <f>IF($J1442=0,0,ROUND(MAX($J1442*1.4*1.5*1.6*1.6*2.2*2.715*2.6*1.4*1.4,8430000000*(1.651435^(MIN($E1442,123)-117)))*1,0))</f>
        <v>92272909</v>
      </c>
      <c r="AC1442" s="4">
        <f>$E1442+21</f>
        <v>129</v>
      </c>
      <c r="AD1442" s="8">
        <f>IF($J1442=0,0,ROUND(MAX($J1442*1.4*1.5*1.6*1.6*2.2*2.715*2.6*1.4*1.4*1.5,12600000000*(1.652953^(MIN($E1442,123)-117)))*1,0))</f>
        <v>136781071</v>
      </c>
      <c r="AE1442" s="6">
        <f>$E1442+24</f>
        <v>132</v>
      </c>
      <c r="AF1442" s="7">
        <f>IF($J1442=0,0,ROUND(MAX($J1442*1.4*1.5*1.6*1.6*2.2*2.715*2.6*1.4*1.4*1.5*1.5,18900000000*(1.65331^(MIN($E1442,123)-117)))*1,0))</f>
        <v>204773225</v>
      </c>
      <c r="AG1442" s="4">
        <f>$E1442+27</f>
        <v>135</v>
      </c>
      <c r="AH1442" s="8">
        <f>IF($J1442=0,0,ROUND(MAX($J1442*1.4*1.5*1.6*1.6*2.2*2.715*2.6*1.4*1.4*1.5*1.5*3.2,60500000000*(1.654288^(MIN($E1442,123)-117)))*1,0))</f>
        <v>652011566</v>
      </c>
    </row>
    <row r="1443" ht="27.75" customHeight="1" spans="1:34" x14ac:dyDescent="0.25">
      <c r="A1443" s="3">
        <v>1453</v>
      </c>
      <c r="B1443" s="3" t="s">
        <v>1056</v>
      </c>
      <c r="C1443" s="3" t="s">
        <v>1042</v>
      </c>
      <c r="D1443" s="3" t="s">
        <v>40</v>
      </c>
      <c r="E1443" s="3">
        <v>108</v>
      </c>
      <c r="F1443" s="3" t="s">
        <v>194</v>
      </c>
      <c r="G1443" s="3" t="s">
        <v>684</v>
      </c>
      <c r="H1443" s="3">
        <v>24</v>
      </c>
      <c r="I1443" s="4">
        <v>108</v>
      </c>
      <c r="J1443" s="5">
        <v>42700</v>
      </c>
      <c r="K1443" s="6">
        <f>$E1443+1</f>
        <v>109</v>
      </c>
      <c r="L1443" s="7">
        <f>IF($J1443=0,0,ROUND(MAX($J1443*1.4,1620000*(1.497923^(MIN($E1443,123)-117)))*1,0))</f>
        <v>59780</v>
      </c>
      <c r="M1443" s="4">
        <f>$E1443+2</f>
        <v>110</v>
      </c>
      <c r="N1443" s="8">
        <f>IF($J1443=0,0,ROUND(MAX($J1443*1.4*1.5,2190000*(1.580994^(MIN($E1443,123)-117)))*1,0))</f>
        <v>89670</v>
      </c>
      <c r="O1443" s="6">
        <f>$E1443+4</f>
        <v>112</v>
      </c>
      <c r="P1443" s="7">
        <f>IF($J1443=0,0,ROUND(MAX($J1443*1.4*1.5*1.6,3500000*(1.57975^(MIN($E1443,123)-117)))*1,0))</f>
        <v>143472</v>
      </c>
      <c r="Q1443" s="4">
        <f>$E1443+6</f>
        <v>114</v>
      </c>
      <c r="R1443" s="8">
        <f>IF($J1443=0,0,ROUND(MAX($J1443*1.4*1.5*1.6*1.6,13100000*(1.429962^(MIN($E1443,123)-117)))*1,0))</f>
        <v>524024</v>
      </c>
      <c r="S1443" s="6">
        <f>$E1443+8</f>
        <v>116</v>
      </c>
      <c r="T1443" s="7">
        <f>IF($J1443=0,0,ROUND(MAX($J1443*1.4*1.5*1.6*1.6*2.2,42600000*(1.576904^(MIN($E1443,123)-117)))*1,0))</f>
        <v>706582</v>
      </c>
      <c r="U1443" s="4">
        <f>$E1443+11</f>
        <v>119</v>
      </c>
      <c r="V1443" s="8">
        <f>IF($J1443=0,0,ROUND(MAX($J1443*1.4*1.5*1.6*1.6*2.2*2.715,354000000*(1.642074^(MIN($E1443,123)-117)))*1,0))</f>
        <v>4078202</v>
      </c>
      <c r="W1443" s="6">
        <f>$E1443+15</f>
        <v>123</v>
      </c>
      <c r="X1443" s="7">
        <f>IF($J1443=0,0,ROUND(MAX($J1443*1.4*1.5*1.6*1.6*2.2*2.715*2.6,3540000000*(1.579646^(MIN($E1443,123)-117)))*1,0))</f>
        <v>57804988</v>
      </c>
      <c r="Y1443" s="4">
        <f>$E1443+17</f>
        <v>125</v>
      </c>
      <c r="Z1443" s="8">
        <f>IF($J1443=0,0,ROUND(MAX($J1443*1.4*1.5*1.6*1.6*2.2*2.715*2.6*1.4,6020000000*(1.651178^(MIN($E1443,123)-117)))*1,0))</f>
        <v>65985946</v>
      </c>
      <c r="AA1443" s="6">
        <f>$E1443+19</f>
        <v>127</v>
      </c>
      <c r="AB1443" s="7">
        <f>IF($J1443=0,0,ROUND(MAX($J1443*1.4*1.5*1.6*1.6*2.2*2.715*2.6*1.4*1.4,8430000000*(1.651435^(MIN($E1443,123)-117)))*1,0))</f>
        <v>92272909</v>
      </c>
      <c r="AC1443" s="4">
        <f>$E1443+21</f>
        <v>129</v>
      </c>
      <c r="AD1443" s="8">
        <f>IF($J1443=0,0,ROUND(MAX($J1443*1.4*1.5*1.6*1.6*2.2*2.715*2.6*1.4*1.4*1.5,12600000000*(1.652953^(MIN($E1443,123)-117)))*1,0))</f>
        <v>136781071</v>
      </c>
      <c r="AE1443" s="6">
        <f>$E1443+24</f>
        <v>132</v>
      </c>
      <c r="AF1443" s="7">
        <f>IF($J1443=0,0,ROUND(MAX($J1443*1.4*1.5*1.6*1.6*2.2*2.715*2.6*1.4*1.4*1.5*1.5,18900000000*(1.65331^(MIN($E1443,123)-117)))*1,0))</f>
        <v>204773225</v>
      </c>
      <c r="AG1443" s="4">
        <f>$E1443+27</f>
        <v>135</v>
      </c>
      <c r="AH1443" s="8">
        <f>IF($J1443=0,0,ROUND(MAX($J1443*1.4*1.5*1.6*1.6*2.2*2.715*2.6*1.4*1.4*1.5*1.5*3.2,60500000000*(1.654288^(MIN($E1443,123)-117)))*1,0))</f>
        <v>652011566</v>
      </c>
    </row>
    <row r="1444" ht="27.75" customHeight="1" spans="1:34" x14ac:dyDescent="0.25">
      <c r="A1444" s="3">
        <v>1454</v>
      </c>
      <c r="B1444" s="3" t="s">
        <v>1057</v>
      </c>
      <c r="C1444" s="3" t="s">
        <v>1042</v>
      </c>
      <c r="D1444" s="3" t="s">
        <v>75</v>
      </c>
      <c r="E1444" s="3">
        <v>108</v>
      </c>
      <c r="F1444" s="3" t="s">
        <v>71</v>
      </c>
      <c r="G1444" s="3" t="s">
        <v>1058</v>
      </c>
      <c r="H1444" s="3">
        <v>24</v>
      </c>
      <c r="I1444" s="4">
        <v>108</v>
      </c>
      <c r="J1444" s="5">
        <v>55100</v>
      </c>
      <c r="K1444" s="6">
        <f>$E1444+1</f>
        <v>109</v>
      </c>
      <c r="L1444" s="7">
        <f>IF($J1444=0,0,ROUND(MAX($J1444*1.4,1620000*(1.497923^(MIN($E1444,123)-117)))*1,0))</f>
        <v>77140</v>
      </c>
      <c r="M1444" s="4">
        <f>$E1444+2</f>
        <v>110</v>
      </c>
      <c r="N1444" s="8">
        <f>IF($J1444=0,0,ROUND(MAX($J1444*1.4*1.5,2190000*(1.580994^(MIN($E1444,123)-117)))*1,0))</f>
        <v>115710</v>
      </c>
      <c r="O1444" s="6">
        <f>$E1444+4</f>
        <v>112</v>
      </c>
      <c r="P1444" s="7">
        <f>IF($J1444=0,0,ROUND(MAX($J1444*1.4*1.5*1.6,3500000*(1.57975^(MIN($E1444,123)-117)))*1,0))</f>
        <v>185136</v>
      </c>
      <c r="Q1444" s="4">
        <f>$E1444+6</f>
        <v>114</v>
      </c>
      <c r="R1444" s="8">
        <f>IF($J1444=0,0,ROUND(MAX($J1444*1.4*1.5*1.6*1.6,13100000*(1.429962^(MIN($E1444,123)-117)))*1,0))</f>
        <v>524024</v>
      </c>
      <c r="S1444" s="6">
        <f>$E1444+8</f>
        <v>116</v>
      </c>
      <c r="T1444" s="7">
        <f>IF($J1444=0,0,ROUND(MAX($J1444*1.4*1.5*1.6*1.6*2.2,42600000*(1.576904^(MIN($E1444,123)-117)))*1,0))</f>
        <v>706582</v>
      </c>
      <c r="U1444" s="4">
        <f>$E1444+11</f>
        <v>119</v>
      </c>
      <c r="V1444" s="8">
        <f>IF($J1444=0,0,ROUND(MAX($J1444*1.4*1.5*1.6*1.6*2.2*2.715,354000000*(1.642074^(MIN($E1444,123)-117)))*1,0))</f>
        <v>4078202</v>
      </c>
      <c r="W1444" s="6">
        <f>$E1444+15</f>
        <v>123</v>
      </c>
      <c r="X1444" s="7">
        <f>IF($J1444=0,0,ROUND(MAX($J1444*1.4*1.5*1.6*1.6*2.2*2.715*2.6,3540000000*(1.579646^(MIN($E1444,123)-117)))*1,0))</f>
        <v>57804988</v>
      </c>
      <c r="Y1444" s="4">
        <f>$E1444+17</f>
        <v>125</v>
      </c>
      <c r="Z1444" s="8">
        <f>IF($J1444=0,0,ROUND(MAX($J1444*1.4*1.5*1.6*1.6*2.2*2.715*2.6*1.4,6020000000*(1.651178^(MIN($E1444,123)-117)))*1,0))</f>
        <v>65985946</v>
      </c>
      <c r="AA1444" s="6">
        <f>$E1444+19</f>
        <v>127</v>
      </c>
      <c r="AB1444" s="7">
        <f>IF($J1444=0,0,ROUND(MAX($J1444*1.4*1.5*1.6*1.6*2.2*2.715*2.6*1.4*1.4,8430000000*(1.651435^(MIN($E1444,123)-117)))*1,0))</f>
        <v>92272909</v>
      </c>
      <c r="AC1444" s="4">
        <f>$E1444+21</f>
        <v>129</v>
      </c>
      <c r="AD1444" s="8">
        <f>IF($J1444=0,0,ROUND(MAX($J1444*1.4*1.5*1.6*1.6*2.2*2.715*2.6*1.4*1.4*1.5,12600000000*(1.652953^(MIN($E1444,123)-117)))*1,0))</f>
        <v>136781071</v>
      </c>
      <c r="AE1444" s="6">
        <f>$E1444+24</f>
        <v>132</v>
      </c>
      <c r="AF1444" s="7">
        <f>IF($J1444=0,0,ROUND(MAX($J1444*1.4*1.5*1.6*1.6*2.2*2.715*2.6*1.4*1.4*1.5*1.5,18900000000*(1.65331^(MIN($E1444,123)-117)))*1,0))</f>
        <v>204773225</v>
      </c>
      <c r="AG1444" s="4">
        <f>$E1444+27</f>
        <v>135</v>
      </c>
      <c r="AH1444" s="8">
        <f>IF($J1444=0,0,ROUND(MAX($J1444*1.4*1.5*1.6*1.6*2.2*2.715*2.6*1.4*1.4*1.5*1.5*3.2,60500000000*(1.654288^(MIN($E1444,123)-117)))*1,0))</f>
        <v>652011566</v>
      </c>
    </row>
    <row r="1445" ht="27.75" customHeight="1" spans="1:34" x14ac:dyDescent="0.25">
      <c r="A1445" s="3">
        <v>1455</v>
      </c>
      <c r="B1445" s="3" t="s">
        <v>1059</v>
      </c>
      <c r="C1445" s="3" t="s">
        <v>1042</v>
      </c>
      <c r="D1445" s="3" t="s">
        <v>45</v>
      </c>
      <c r="E1445" s="3">
        <v>108</v>
      </c>
      <c r="F1445" s="3" t="s">
        <v>34</v>
      </c>
      <c r="G1445" s="3" t="s">
        <v>1013</v>
      </c>
      <c r="H1445" s="3">
        <v>24</v>
      </c>
      <c r="I1445" s="4">
        <v>108</v>
      </c>
      <c r="J1445" s="5">
        <v>49900</v>
      </c>
      <c r="K1445" s="6">
        <f>$E1445+1</f>
        <v>109</v>
      </c>
      <c r="L1445" s="7">
        <f>IF($J1445=0,0,ROUND(MAX($J1445*1.4,1620000*(1.497923^(MIN($E1445,123)-117)))*1,0))</f>
        <v>69860</v>
      </c>
      <c r="M1445" s="4">
        <f>$E1445+2</f>
        <v>110</v>
      </c>
      <c r="N1445" s="8">
        <f>IF($J1445=0,0,ROUND(MAX($J1445*1.4*1.5,2190000*(1.580994^(MIN($E1445,123)-117)))*1,0))</f>
        <v>104790</v>
      </c>
      <c r="O1445" s="6">
        <f>$E1445+4</f>
        <v>112</v>
      </c>
      <c r="P1445" s="7">
        <f>IF($J1445=0,0,ROUND(MAX($J1445*1.4*1.5*1.6,3500000*(1.57975^(MIN($E1445,123)-117)))*1,0))</f>
        <v>167664</v>
      </c>
      <c r="Q1445" s="4">
        <f>$E1445+6</f>
        <v>114</v>
      </c>
      <c r="R1445" s="8">
        <f>IF($J1445=0,0,ROUND(MAX($J1445*1.4*1.5*1.6*1.6,13100000*(1.429962^(MIN($E1445,123)-117)))*1,0))</f>
        <v>524024</v>
      </c>
      <c r="S1445" s="6">
        <f>$E1445+8</f>
        <v>116</v>
      </c>
      <c r="T1445" s="7">
        <f>IF($J1445=0,0,ROUND(MAX($J1445*1.4*1.5*1.6*1.6*2.2,42600000*(1.576904^(MIN($E1445,123)-117)))*1,0))</f>
        <v>706582</v>
      </c>
      <c r="U1445" s="4">
        <f>$E1445+11</f>
        <v>119</v>
      </c>
      <c r="V1445" s="8">
        <f>IF($J1445=0,0,ROUND(MAX($J1445*1.4*1.5*1.6*1.6*2.2*2.715,354000000*(1.642074^(MIN($E1445,123)-117)))*1,0))</f>
        <v>4078202</v>
      </c>
      <c r="W1445" s="6">
        <f>$E1445+15</f>
        <v>123</v>
      </c>
      <c r="X1445" s="7">
        <f>IF($J1445=0,0,ROUND(MAX($J1445*1.4*1.5*1.6*1.6*2.2*2.715*2.6,3540000000*(1.579646^(MIN($E1445,123)-117)))*1,0))</f>
        <v>57804988</v>
      </c>
      <c r="Y1445" s="4">
        <f>$E1445+17</f>
        <v>125</v>
      </c>
      <c r="Z1445" s="8">
        <f>IF($J1445=0,0,ROUND(MAX($J1445*1.4*1.5*1.6*1.6*2.2*2.715*2.6*1.4,6020000000*(1.651178^(MIN($E1445,123)-117)))*1,0))</f>
        <v>65985946</v>
      </c>
      <c r="AA1445" s="6">
        <f>$E1445+19</f>
        <v>127</v>
      </c>
      <c r="AB1445" s="7">
        <f>IF($J1445=0,0,ROUND(MAX($J1445*1.4*1.5*1.6*1.6*2.2*2.715*2.6*1.4*1.4,8430000000*(1.651435^(MIN($E1445,123)-117)))*1,0))</f>
        <v>92272909</v>
      </c>
      <c r="AC1445" s="4">
        <f>$E1445+21</f>
        <v>129</v>
      </c>
      <c r="AD1445" s="8">
        <f>IF($J1445=0,0,ROUND(MAX($J1445*1.4*1.5*1.6*1.6*2.2*2.715*2.6*1.4*1.4*1.5,12600000000*(1.652953^(MIN($E1445,123)-117)))*1,0))</f>
        <v>136781071</v>
      </c>
      <c r="AE1445" s="6">
        <f>$E1445+24</f>
        <v>132</v>
      </c>
      <c r="AF1445" s="7">
        <f>IF($J1445=0,0,ROUND(MAX($J1445*1.4*1.5*1.6*1.6*2.2*2.715*2.6*1.4*1.4*1.5*1.5,18900000000*(1.65331^(MIN($E1445,123)-117)))*1,0))</f>
        <v>204773225</v>
      </c>
      <c r="AG1445" s="4">
        <f>$E1445+27</f>
        <v>135</v>
      </c>
      <c r="AH1445" s="8">
        <f>IF($J1445=0,0,ROUND(MAX($J1445*1.4*1.5*1.6*1.6*2.2*2.715*2.6*1.4*1.4*1.5*1.5*3.2,60500000000*(1.654288^(MIN($E1445,123)-117)))*1,0))</f>
        <v>652011566</v>
      </c>
    </row>
    <row r="1446" ht="27.75" customHeight="1" spans="1:34" x14ac:dyDescent="0.25">
      <c r="A1446" s="3">
        <v>1456</v>
      </c>
      <c r="B1446" s="3" t="s">
        <v>1060</v>
      </c>
      <c r="C1446" s="3" t="s">
        <v>1042</v>
      </c>
      <c r="D1446" s="3" t="s">
        <v>75</v>
      </c>
      <c r="E1446" s="3">
        <v>108</v>
      </c>
      <c r="F1446" s="3" t="s">
        <v>56</v>
      </c>
      <c r="G1446" s="3" t="s">
        <v>57</v>
      </c>
      <c r="H1446" s="3">
        <v>24</v>
      </c>
      <c r="I1446" s="4">
        <v>108</v>
      </c>
      <c r="J1446" s="5">
        <v>377000</v>
      </c>
      <c r="K1446" s="6">
        <f>$E1446+1</f>
        <v>109</v>
      </c>
      <c r="L1446" s="7">
        <f>IF($J1446=0,0,ROUND(MAX($J1446*1.4,1620000*(1.497923^(MIN($E1446,123)-117)))*1,0))</f>
        <v>527800</v>
      </c>
      <c r="M1446" s="4">
        <f>$E1446+2</f>
        <v>110</v>
      </c>
      <c r="N1446" s="8">
        <f>IF($J1446=0,0,ROUND(MAX($J1446*1.4*1.5,2190000*(1.580994^(MIN($E1446,123)-117)))*1,0))</f>
        <v>791700</v>
      </c>
      <c r="O1446" s="6">
        <f>$E1446+4</f>
        <v>112</v>
      </c>
      <c r="P1446" s="7">
        <f>IF($J1446=0,0,ROUND(MAX($J1446*1.4*1.5*1.6,3500000*(1.57975^(MIN($E1446,123)-117)))*1,0))</f>
        <v>1266720</v>
      </c>
      <c r="Q1446" s="4">
        <f>$E1446+6</f>
        <v>114</v>
      </c>
      <c r="R1446" s="8">
        <f>IF($J1446=0,0,ROUND(MAX($J1446*1.4*1.5*1.6*1.6,13100000*(1.429962^(MIN($E1446,123)-117)))*1,0))</f>
        <v>2026752</v>
      </c>
      <c r="S1446" s="6">
        <f>$E1446+8</f>
        <v>116</v>
      </c>
      <c r="T1446" s="7">
        <f>IF($J1446=0,0,ROUND(MAX($J1446*1.4*1.5*1.6*1.6*2.2,42600000*(1.576904^(MIN($E1446,123)-117)))*1,0))</f>
        <v>4458854</v>
      </c>
      <c r="U1446" s="4">
        <f>$E1446+11</f>
        <v>119</v>
      </c>
      <c r="V1446" s="8">
        <f>IF($J1446=0,0,ROUND(MAX($J1446*1.4*1.5*1.6*1.6*2.2*2.715,354000000*(1.642074^(MIN($E1446,123)-117)))*1,0))</f>
        <v>12105790</v>
      </c>
      <c r="W1446" s="6">
        <f>$E1446+15</f>
        <v>123</v>
      </c>
      <c r="X1446" s="7">
        <f>IF($J1446=0,0,ROUND(MAX($J1446*1.4*1.5*1.6*1.6*2.2*2.715*2.6,3540000000*(1.579646^(MIN($E1446,123)-117)))*1,0))</f>
        <v>57804988</v>
      </c>
      <c r="Y1446" s="4">
        <f>$E1446+17</f>
        <v>125</v>
      </c>
      <c r="Z1446" s="8">
        <f>IF($J1446=0,0,ROUND(MAX($J1446*1.4*1.5*1.6*1.6*2.2*2.715*2.6*1.4,6020000000*(1.651178^(MIN($E1446,123)-117)))*1,0))</f>
        <v>65985946</v>
      </c>
      <c r="AA1446" s="6">
        <f>$E1446+19</f>
        <v>127</v>
      </c>
      <c r="AB1446" s="7">
        <f>IF($J1446=0,0,ROUND(MAX($J1446*1.4*1.5*1.6*1.6*2.2*2.715*2.6*1.4*1.4,8430000000*(1.651435^(MIN($E1446,123)-117)))*1,0))</f>
        <v>92272909</v>
      </c>
      <c r="AC1446" s="4">
        <f>$E1446+21</f>
        <v>129</v>
      </c>
      <c r="AD1446" s="8">
        <f>IF($J1446=0,0,ROUND(MAX($J1446*1.4*1.5*1.6*1.6*2.2*2.715*2.6*1.4*1.4*1.5,12600000000*(1.652953^(MIN($E1446,123)-117)))*1,0))</f>
        <v>136781071</v>
      </c>
      <c r="AE1446" s="6">
        <f>$E1446+24</f>
        <v>132</v>
      </c>
      <c r="AF1446" s="7">
        <f>IF($J1446=0,0,ROUND(MAX($J1446*1.4*1.5*1.6*1.6*2.2*2.715*2.6*1.4*1.4*1.5*1.5,18900000000*(1.65331^(MIN($E1446,123)-117)))*1,0))</f>
        <v>204773225</v>
      </c>
      <c r="AG1446" s="4">
        <f>$E1446+27</f>
        <v>135</v>
      </c>
      <c r="AH1446" s="8">
        <f>IF($J1446=0,0,ROUND(MAX($J1446*1.4*1.5*1.6*1.6*2.2*2.715*2.6*1.4*1.4*1.5*1.5*3.2,60500000000*(1.654288^(MIN($E1446,123)-117)))*1,0))</f>
        <v>652011566</v>
      </c>
    </row>
    <row r="1447" ht="27.75" customHeight="1" spans="1:34" x14ac:dyDescent="0.25">
      <c r="A1447" s="3">
        <v>1457</v>
      </c>
      <c r="B1447" s="3" t="s">
        <v>1061</v>
      </c>
      <c r="C1447" s="3" t="s">
        <v>1042</v>
      </c>
      <c r="D1447" s="3" t="s">
        <v>45</v>
      </c>
      <c r="E1447" s="3">
        <v>108</v>
      </c>
      <c r="F1447" s="3" t="s">
        <v>56</v>
      </c>
      <c r="G1447" s="3" t="s">
        <v>126</v>
      </c>
      <c r="H1447" s="3">
        <v>24</v>
      </c>
      <c r="I1447" s="4">
        <v>108</v>
      </c>
      <c r="J1447" s="5">
        <v>58300</v>
      </c>
      <c r="K1447" s="6">
        <f>$E1447+1</f>
        <v>109</v>
      </c>
      <c r="L1447" s="7">
        <f>IF($J1447=0,0,ROUND(MAX($J1447*1.4,1620000*(1.497923^(MIN($E1447,123)-117)))*1,0))</f>
        <v>81620</v>
      </c>
      <c r="M1447" s="4">
        <f>$E1447+2</f>
        <v>110</v>
      </c>
      <c r="N1447" s="8">
        <f>IF($J1447=0,0,ROUND(MAX($J1447*1.4*1.5,2190000*(1.580994^(MIN($E1447,123)-117)))*1,0))</f>
        <v>122430</v>
      </c>
      <c r="O1447" s="6">
        <f>$E1447+4</f>
        <v>112</v>
      </c>
      <c r="P1447" s="7">
        <f>IF($J1447=0,0,ROUND(MAX($J1447*1.4*1.5*1.6,3500000*(1.57975^(MIN($E1447,123)-117)))*1,0))</f>
        <v>195888</v>
      </c>
      <c r="Q1447" s="4">
        <f>$E1447+6</f>
        <v>114</v>
      </c>
      <c r="R1447" s="8">
        <f>IF($J1447=0,0,ROUND(MAX($J1447*1.4*1.5*1.6*1.6,13100000*(1.429962^(MIN($E1447,123)-117)))*1,0))</f>
        <v>524024</v>
      </c>
      <c r="S1447" s="6">
        <f>$E1447+8</f>
        <v>116</v>
      </c>
      <c r="T1447" s="7">
        <f>IF($J1447=0,0,ROUND(MAX($J1447*1.4*1.5*1.6*1.6*2.2,42600000*(1.576904^(MIN($E1447,123)-117)))*1,0))</f>
        <v>706582</v>
      </c>
      <c r="U1447" s="4">
        <f>$E1447+11</f>
        <v>119</v>
      </c>
      <c r="V1447" s="8">
        <f>IF($J1447=0,0,ROUND(MAX($J1447*1.4*1.5*1.6*1.6*2.2*2.715,354000000*(1.642074^(MIN($E1447,123)-117)))*1,0))</f>
        <v>4078202</v>
      </c>
      <c r="W1447" s="6">
        <f>$E1447+15</f>
        <v>123</v>
      </c>
      <c r="X1447" s="7">
        <f>IF($J1447=0,0,ROUND(MAX($J1447*1.4*1.5*1.6*1.6*2.2*2.715*2.6,3540000000*(1.579646^(MIN($E1447,123)-117)))*1,0))</f>
        <v>57804988</v>
      </c>
      <c r="Y1447" s="4">
        <f>$E1447+17</f>
        <v>125</v>
      </c>
      <c r="Z1447" s="8">
        <f>IF($J1447=0,0,ROUND(MAX($J1447*1.4*1.5*1.6*1.6*2.2*2.715*2.6*1.4,6020000000*(1.651178^(MIN($E1447,123)-117)))*1,0))</f>
        <v>65985946</v>
      </c>
      <c r="AA1447" s="6">
        <f>$E1447+19</f>
        <v>127</v>
      </c>
      <c r="AB1447" s="7">
        <f>IF($J1447=0,0,ROUND(MAX($J1447*1.4*1.5*1.6*1.6*2.2*2.715*2.6*1.4*1.4,8430000000*(1.651435^(MIN($E1447,123)-117)))*1,0))</f>
        <v>92272909</v>
      </c>
      <c r="AC1447" s="4">
        <f>$E1447+21</f>
        <v>129</v>
      </c>
      <c r="AD1447" s="8">
        <f>IF($J1447=0,0,ROUND(MAX($J1447*1.4*1.5*1.6*1.6*2.2*2.715*2.6*1.4*1.4*1.5,12600000000*(1.652953^(MIN($E1447,123)-117)))*1,0))</f>
        <v>136781071</v>
      </c>
      <c r="AE1447" s="6">
        <f>$E1447+24</f>
        <v>132</v>
      </c>
      <c r="AF1447" s="7">
        <f>IF($J1447=0,0,ROUND(MAX($J1447*1.4*1.5*1.6*1.6*2.2*2.715*2.6*1.4*1.4*1.5*1.5,18900000000*(1.65331^(MIN($E1447,123)-117)))*1,0))</f>
        <v>204773225</v>
      </c>
      <c r="AG1447" s="4">
        <f>$E1447+27</f>
        <v>135</v>
      </c>
      <c r="AH1447" s="8">
        <f>IF($J1447=0,0,ROUND(MAX($J1447*1.4*1.5*1.6*1.6*2.2*2.715*2.6*1.4*1.4*1.5*1.5*3.2,60500000000*(1.654288^(MIN($E1447,123)-117)))*1,0))</f>
        <v>652011566</v>
      </c>
    </row>
    <row r="1448" ht="27.75" customHeight="1" spans="1:34" x14ac:dyDescent="0.25">
      <c r="A1448" s="3">
        <v>1458</v>
      </c>
      <c r="B1448" s="3" t="s">
        <v>603</v>
      </c>
      <c r="C1448" s="3" t="s">
        <v>1042</v>
      </c>
      <c r="D1448" s="3" t="s">
        <v>90</v>
      </c>
      <c r="E1448" s="3">
        <v>108</v>
      </c>
      <c r="F1448" s="3" t="s">
        <v>71</v>
      </c>
      <c r="G1448" s="3" t="s">
        <v>247</v>
      </c>
      <c r="H1448" s="3">
        <v>24</v>
      </c>
      <c r="I1448" s="4">
        <v>108</v>
      </c>
      <c r="J1448" s="5">
        <v>298000</v>
      </c>
      <c r="K1448" s="6">
        <f>$E1448+1</f>
        <v>109</v>
      </c>
      <c r="L1448" s="7">
        <f>IF($J1448=0,0,ROUND(MAX($J1448*1.4,1620000*(1.497923^(MIN($E1448,123)-117)))*1,0))</f>
        <v>417200</v>
      </c>
      <c r="M1448" s="4">
        <f>$E1448+2</f>
        <v>110</v>
      </c>
      <c r="N1448" s="8">
        <f>IF($J1448=0,0,ROUND(MAX($J1448*1.4*1.5,2190000*(1.580994^(MIN($E1448,123)-117)))*1,0))</f>
        <v>625800</v>
      </c>
      <c r="O1448" s="6">
        <f>$E1448+4</f>
        <v>112</v>
      </c>
      <c r="P1448" s="7">
        <f>IF($J1448=0,0,ROUND(MAX($J1448*1.4*1.5*1.6,3500000*(1.57975^(MIN($E1448,123)-117)))*1,0))</f>
        <v>1001280</v>
      </c>
      <c r="Q1448" s="4">
        <f>$E1448+6</f>
        <v>114</v>
      </c>
      <c r="R1448" s="8">
        <f>IF($J1448=0,0,ROUND(MAX($J1448*1.4*1.5*1.6*1.6,13100000*(1.429962^(MIN($E1448,123)-117)))*1,0))</f>
        <v>1602048</v>
      </c>
      <c r="S1448" s="6">
        <f>$E1448+8</f>
        <v>116</v>
      </c>
      <c r="T1448" s="7">
        <f>IF($J1448=0,0,ROUND(MAX($J1448*1.4*1.5*1.6*1.6*2.2,42600000*(1.576904^(MIN($E1448,123)-117)))*1,0))</f>
        <v>3524506</v>
      </c>
      <c r="U1448" s="4">
        <f>$E1448+11</f>
        <v>119</v>
      </c>
      <c r="V1448" s="8">
        <f>IF($J1448=0,0,ROUND(MAX($J1448*1.4*1.5*1.6*1.6*2.2*2.715,354000000*(1.642074^(MIN($E1448,123)-117)))*1,0))</f>
        <v>9569033</v>
      </c>
      <c r="W1448" s="6">
        <f>$E1448+15</f>
        <v>123</v>
      </c>
      <c r="X1448" s="7">
        <f>IF($J1448=0,0,ROUND(MAX($J1448*1.4*1.5*1.6*1.6*2.2*2.715*2.6,3540000000*(1.579646^(MIN($E1448,123)-117)))*1,0))</f>
        <v>57804988</v>
      </c>
      <c r="Y1448" s="4">
        <f>$E1448+17</f>
        <v>125</v>
      </c>
      <c r="Z1448" s="8">
        <f>IF($J1448=0,0,ROUND(MAX($J1448*1.4*1.5*1.6*1.6*2.2*2.715*2.6*1.4,6020000000*(1.651178^(MIN($E1448,123)-117)))*1,0))</f>
        <v>65985946</v>
      </c>
      <c r="AA1448" s="6">
        <f>$E1448+19</f>
        <v>127</v>
      </c>
      <c r="AB1448" s="7">
        <f>IF($J1448=0,0,ROUND(MAX($J1448*1.4*1.5*1.6*1.6*2.2*2.715*2.6*1.4*1.4,8430000000*(1.651435^(MIN($E1448,123)-117)))*1,0))</f>
        <v>92272909</v>
      </c>
      <c r="AC1448" s="4">
        <f>$E1448+21</f>
        <v>129</v>
      </c>
      <c r="AD1448" s="8">
        <f>IF($J1448=0,0,ROUND(MAX($J1448*1.4*1.5*1.6*1.6*2.2*2.715*2.6*1.4*1.4*1.5,12600000000*(1.652953^(MIN($E1448,123)-117)))*1,0))</f>
        <v>136781071</v>
      </c>
      <c r="AE1448" s="6">
        <f>$E1448+24</f>
        <v>132</v>
      </c>
      <c r="AF1448" s="7">
        <f>IF($J1448=0,0,ROUND(MAX($J1448*1.4*1.5*1.6*1.6*2.2*2.715*2.6*1.4*1.4*1.5*1.5,18900000000*(1.65331^(MIN($E1448,123)-117)))*1,0))</f>
        <v>204773225</v>
      </c>
      <c r="AG1448" s="4">
        <f>$E1448+27</f>
        <v>135</v>
      </c>
      <c r="AH1448" s="8">
        <f>IF($J1448=0,0,ROUND(MAX($J1448*1.4*1.5*1.6*1.6*2.2*2.715*2.6*1.4*1.4*1.5*1.5*3.2,60500000000*(1.654288^(MIN($E1448,123)-117)))*1,0))</f>
        <v>652011566</v>
      </c>
    </row>
    <row r="1449" ht="27.75" customHeight="1" spans="1:34" x14ac:dyDescent="0.25">
      <c r="A1449" s="3">
        <v>1459</v>
      </c>
      <c r="B1449" s="3" t="s">
        <v>1062</v>
      </c>
      <c r="C1449" s="3" t="s">
        <v>1042</v>
      </c>
      <c r="D1449" s="3" t="s">
        <v>64</v>
      </c>
      <c r="E1449" s="3">
        <v>108</v>
      </c>
      <c r="F1449" s="3" t="s">
        <v>34</v>
      </c>
      <c r="G1449" s="3" t="s">
        <v>1043</v>
      </c>
      <c r="H1449" s="3">
        <v>24</v>
      </c>
      <c r="I1449" s="4">
        <v>108</v>
      </c>
      <c r="J1449" s="5">
        <v>18300</v>
      </c>
      <c r="K1449" s="6">
        <f>$E1449+1</f>
        <v>109</v>
      </c>
      <c r="L1449" s="7">
        <f>IF($J1449=0,0,ROUND(MAX($J1449*1.4,1620000*(1.497923^(MIN($E1449,123)-117)))*1,0))</f>
        <v>42669</v>
      </c>
      <c r="M1449" s="4">
        <f>$E1449+2</f>
        <v>110</v>
      </c>
      <c r="N1449" s="8">
        <f>IF($J1449=0,0,ROUND(MAX($J1449*1.4*1.5,2190000*(1.580994^(MIN($E1449,123)-117)))*1,0))</f>
        <v>38430</v>
      </c>
      <c r="O1449" s="6">
        <f>$E1449+4</f>
        <v>112</v>
      </c>
      <c r="P1449" s="7">
        <f>IF($J1449=0,0,ROUND(MAX($J1449*1.4*1.5*1.6,3500000*(1.57975^(MIN($E1449,123)-117)))*1,0))</f>
        <v>61488</v>
      </c>
      <c r="Q1449" s="4">
        <f>$E1449+6</f>
        <v>114</v>
      </c>
      <c r="R1449" s="8">
        <f>IF($J1449=0,0,ROUND(MAX($J1449*1.4*1.5*1.6*1.6,13100000*(1.429962^(MIN($E1449,123)-117)))*1,0))</f>
        <v>524024</v>
      </c>
      <c r="S1449" s="6">
        <f>$E1449+8</f>
        <v>116</v>
      </c>
      <c r="T1449" s="7">
        <f>IF($J1449=0,0,ROUND(MAX($J1449*1.4*1.5*1.6*1.6*2.2,42600000*(1.576904^(MIN($E1449,123)-117)))*1,0))</f>
        <v>706582</v>
      </c>
      <c r="U1449" s="4">
        <f>$E1449+11</f>
        <v>119</v>
      </c>
      <c r="V1449" s="8">
        <f>IF($J1449=0,0,ROUND(MAX($J1449*1.4*1.5*1.6*1.6*2.2*2.715,354000000*(1.642074^(MIN($E1449,123)-117)))*1,0))</f>
        <v>4078202</v>
      </c>
      <c r="W1449" s="6">
        <f>$E1449+15</f>
        <v>123</v>
      </c>
      <c r="X1449" s="7">
        <f>IF($J1449=0,0,ROUND(MAX($J1449*1.4*1.5*1.6*1.6*2.2*2.715*2.6,3540000000*(1.579646^(MIN($E1449,123)-117)))*1,0))</f>
        <v>57804988</v>
      </c>
      <c r="Y1449" s="4">
        <f>$E1449+17</f>
        <v>125</v>
      </c>
      <c r="Z1449" s="8">
        <f>IF($J1449=0,0,ROUND(MAX($J1449*1.4*1.5*1.6*1.6*2.2*2.715*2.6*1.4,6020000000*(1.651178^(MIN($E1449,123)-117)))*1,0))</f>
        <v>65985946</v>
      </c>
      <c r="AA1449" s="6">
        <f>$E1449+19</f>
        <v>127</v>
      </c>
      <c r="AB1449" s="7">
        <f>IF($J1449=0,0,ROUND(MAX($J1449*1.4*1.5*1.6*1.6*2.2*2.715*2.6*1.4*1.4,8430000000*(1.651435^(MIN($E1449,123)-117)))*1,0))</f>
        <v>92272909</v>
      </c>
      <c r="AC1449" s="4">
        <f>$E1449+21</f>
        <v>129</v>
      </c>
      <c r="AD1449" s="8">
        <f>IF($J1449=0,0,ROUND(MAX($J1449*1.4*1.5*1.6*1.6*2.2*2.715*2.6*1.4*1.4*1.5,12600000000*(1.652953^(MIN($E1449,123)-117)))*1,0))</f>
        <v>136781071</v>
      </c>
      <c r="AE1449" s="6">
        <f>$E1449+24</f>
        <v>132</v>
      </c>
      <c r="AF1449" s="7">
        <f>IF($J1449=0,0,ROUND(MAX($J1449*1.4*1.5*1.6*1.6*2.2*2.715*2.6*1.4*1.4*1.5*1.5,18900000000*(1.65331^(MIN($E1449,123)-117)))*1,0))</f>
        <v>204773225</v>
      </c>
      <c r="AG1449" s="4">
        <f>$E1449+27</f>
        <v>135</v>
      </c>
      <c r="AH1449" s="8">
        <f>IF($J1449=0,0,ROUND(MAX($J1449*1.4*1.5*1.6*1.6*2.2*2.715*2.6*1.4*1.4*1.5*1.5*3.2,60500000000*(1.654288^(MIN($E1449,123)-117)))*1,0))</f>
        <v>652011566</v>
      </c>
    </row>
    <row r="1450" ht="27.75" customHeight="1" spans="1:34" x14ac:dyDescent="0.25">
      <c r="A1450" s="3">
        <v>1460</v>
      </c>
      <c r="B1450" s="3" t="s">
        <v>932</v>
      </c>
      <c r="C1450" s="3" t="s">
        <v>1042</v>
      </c>
      <c r="D1450" s="3" t="s">
        <v>33</v>
      </c>
      <c r="E1450" s="3">
        <v>108</v>
      </c>
      <c r="F1450" s="3" t="s">
        <v>42</v>
      </c>
      <c r="G1450" s="3" t="s">
        <v>748</v>
      </c>
      <c r="H1450" s="3">
        <v>24</v>
      </c>
      <c r="I1450" s="4">
        <v>108</v>
      </c>
      <c r="J1450" s="5">
        <v>264000</v>
      </c>
      <c r="K1450" s="6">
        <f>$E1450+1</f>
        <v>109</v>
      </c>
      <c r="L1450" s="7">
        <f>IF($J1450=0,0,ROUND(MAX($J1450*1.4,1620000*(1.497923^(MIN($E1450,123)-117)))*1,0))</f>
        <v>369600</v>
      </c>
      <c r="M1450" s="4">
        <f>$E1450+2</f>
        <v>110</v>
      </c>
      <c r="N1450" s="8">
        <f>IF($J1450=0,0,ROUND(MAX($J1450*1.4*1.5,2190000*(1.580994^(MIN($E1450,123)-117)))*1,0))</f>
        <v>554400</v>
      </c>
      <c r="O1450" s="6">
        <f>$E1450+4</f>
        <v>112</v>
      </c>
      <c r="P1450" s="7">
        <f>IF($J1450=0,0,ROUND(MAX($J1450*1.4*1.5*1.6,3500000*(1.57975^(MIN($E1450,123)-117)))*1,0))</f>
        <v>887040</v>
      </c>
      <c r="Q1450" s="4">
        <f>$E1450+6</f>
        <v>114</v>
      </c>
      <c r="R1450" s="8">
        <f>IF($J1450=0,0,ROUND(MAX($J1450*1.4*1.5*1.6*1.6,13100000*(1.429962^(MIN($E1450,123)-117)))*1,0))</f>
        <v>1419264</v>
      </c>
      <c r="S1450" s="6">
        <f>$E1450+8</f>
        <v>116</v>
      </c>
      <c r="T1450" s="7">
        <f>IF($J1450=0,0,ROUND(MAX($J1450*1.4*1.5*1.6*1.6*2.2,42600000*(1.576904^(MIN($E1450,123)-117)))*1,0))</f>
        <v>3122381</v>
      </c>
      <c r="U1450" s="4">
        <f>$E1450+11</f>
        <v>119</v>
      </c>
      <c r="V1450" s="8">
        <f>IF($J1450=0,0,ROUND(MAX($J1450*1.4*1.5*1.6*1.6*2.2*2.715,354000000*(1.642074^(MIN($E1450,123)-117)))*1,0))</f>
        <v>8477264</v>
      </c>
      <c r="W1450" s="6">
        <f>$E1450+15</f>
        <v>123</v>
      </c>
      <c r="X1450" s="7">
        <f>IF($J1450=0,0,ROUND(MAX($J1450*1.4*1.5*1.6*1.6*2.2*2.715*2.6,3540000000*(1.579646^(MIN($E1450,123)-117)))*1,0))</f>
        <v>57804988</v>
      </c>
      <c r="Y1450" s="4">
        <f>$E1450+17</f>
        <v>125</v>
      </c>
      <c r="Z1450" s="8">
        <f>IF($J1450=0,0,ROUND(MAX($J1450*1.4*1.5*1.6*1.6*2.2*2.715*2.6*1.4,6020000000*(1.651178^(MIN($E1450,123)-117)))*1,0))</f>
        <v>65985946</v>
      </c>
      <c r="AA1450" s="6">
        <f>$E1450+19</f>
        <v>127</v>
      </c>
      <c r="AB1450" s="7">
        <f>IF($J1450=0,0,ROUND(MAX($J1450*1.4*1.5*1.6*1.6*2.2*2.715*2.6*1.4*1.4,8430000000*(1.651435^(MIN($E1450,123)-117)))*1,0))</f>
        <v>92272909</v>
      </c>
      <c r="AC1450" s="4">
        <f>$E1450+21</f>
        <v>129</v>
      </c>
      <c r="AD1450" s="8">
        <f>IF($J1450=0,0,ROUND(MAX($J1450*1.4*1.5*1.6*1.6*2.2*2.715*2.6*1.4*1.4*1.5,12600000000*(1.652953^(MIN($E1450,123)-117)))*1,0))</f>
        <v>136781071</v>
      </c>
      <c r="AE1450" s="6">
        <f>$E1450+24</f>
        <v>132</v>
      </c>
      <c r="AF1450" s="7">
        <f>IF($J1450=0,0,ROUND(MAX($J1450*1.4*1.5*1.6*1.6*2.2*2.715*2.6*1.4*1.4*1.5*1.5,18900000000*(1.65331^(MIN($E1450,123)-117)))*1,0))</f>
        <v>204773225</v>
      </c>
      <c r="AG1450" s="4">
        <f>$E1450+27</f>
        <v>135</v>
      </c>
      <c r="AH1450" s="8">
        <f>IF($J1450=0,0,ROUND(MAX($J1450*1.4*1.5*1.6*1.6*2.2*2.715*2.6*1.4*1.4*1.5*1.5*3.2,60500000000*(1.654288^(MIN($E1450,123)-117)))*1,0))</f>
        <v>652011566</v>
      </c>
    </row>
    <row r="1451" ht="27.75" customHeight="1" spans="1:34" x14ac:dyDescent="0.25">
      <c r="A1451" s="3">
        <v>1461</v>
      </c>
      <c r="B1451" s="3" t="s">
        <v>1063</v>
      </c>
      <c r="C1451" s="3" t="s">
        <v>1042</v>
      </c>
      <c r="D1451" s="3" t="s">
        <v>79</v>
      </c>
      <c r="E1451" s="3">
        <v>108</v>
      </c>
      <c r="F1451" s="3" t="s">
        <v>71</v>
      </c>
      <c r="G1451" s="3" t="s">
        <v>1043</v>
      </c>
      <c r="H1451" s="3">
        <v>24</v>
      </c>
      <c r="I1451" s="4">
        <v>108</v>
      </c>
      <c r="J1451" s="5">
        <v>56300</v>
      </c>
      <c r="K1451" s="6">
        <f>$E1451+1</f>
        <v>109</v>
      </c>
      <c r="L1451" s="7">
        <f>IF($J1451=0,0,ROUND(MAX($J1451*1.4,1620000*(1.497923^(MIN($E1451,123)-117)))*1,0))</f>
        <v>78820</v>
      </c>
      <c r="M1451" s="4">
        <f>$E1451+2</f>
        <v>110</v>
      </c>
      <c r="N1451" s="8">
        <f>IF($J1451=0,0,ROUND(MAX($J1451*1.4*1.5,2190000*(1.580994^(MIN($E1451,123)-117)))*1,0))</f>
        <v>118230</v>
      </c>
      <c r="O1451" s="6">
        <f>$E1451+4</f>
        <v>112</v>
      </c>
      <c r="P1451" s="7">
        <f>IF($J1451=0,0,ROUND(MAX($J1451*1.4*1.5*1.6,3500000*(1.57975^(MIN($E1451,123)-117)))*1,0))</f>
        <v>189168</v>
      </c>
      <c r="Q1451" s="4">
        <f>$E1451+6</f>
        <v>114</v>
      </c>
      <c r="R1451" s="8">
        <f>IF($J1451=0,0,ROUND(MAX($J1451*1.4*1.5*1.6*1.6,13100000*(1.429962^(MIN($E1451,123)-117)))*1,0))</f>
        <v>524024</v>
      </c>
      <c r="S1451" s="6">
        <f>$E1451+8</f>
        <v>116</v>
      </c>
      <c r="T1451" s="7">
        <f>IF($J1451=0,0,ROUND(MAX($J1451*1.4*1.5*1.6*1.6*2.2,42600000*(1.576904^(MIN($E1451,123)-117)))*1,0))</f>
        <v>706582</v>
      </c>
      <c r="U1451" s="4">
        <f>$E1451+11</f>
        <v>119</v>
      </c>
      <c r="V1451" s="8">
        <f>IF($J1451=0,0,ROUND(MAX($J1451*1.4*1.5*1.6*1.6*2.2*2.715,354000000*(1.642074^(MIN($E1451,123)-117)))*1,0))</f>
        <v>4078202</v>
      </c>
      <c r="W1451" s="6">
        <f>$E1451+15</f>
        <v>123</v>
      </c>
      <c r="X1451" s="7">
        <f>IF($J1451=0,0,ROUND(MAX($J1451*1.4*1.5*1.6*1.6*2.2*2.715*2.6,3540000000*(1.579646^(MIN($E1451,123)-117)))*1,0))</f>
        <v>57804988</v>
      </c>
      <c r="Y1451" s="4">
        <f>$E1451+17</f>
        <v>125</v>
      </c>
      <c r="Z1451" s="8">
        <f>IF($J1451=0,0,ROUND(MAX($J1451*1.4*1.5*1.6*1.6*2.2*2.715*2.6*1.4,6020000000*(1.651178^(MIN($E1451,123)-117)))*1,0))</f>
        <v>65985946</v>
      </c>
      <c r="AA1451" s="6">
        <f>$E1451+19</f>
        <v>127</v>
      </c>
      <c r="AB1451" s="7">
        <f>IF($J1451=0,0,ROUND(MAX($J1451*1.4*1.5*1.6*1.6*2.2*2.715*2.6*1.4*1.4,8430000000*(1.651435^(MIN($E1451,123)-117)))*1,0))</f>
        <v>92272909</v>
      </c>
      <c r="AC1451" s="4">
        <f>$E1451+21</f>
        <v>129</v>
      </c>
      <c r="AD1451" s="8">
        <f>IF($J1451=0,0,ROUND(MAX($J1451*1.4*1.5*1.6*1.6*2.2*2.715*2.6*1.4*1.4*1.5,12600000000*(1.652953^(MIN($E1451,123)-117)))*1,0))</f>
        <v>136781071</v>
      </c>
      <c r="AE1451" s="6">
        <f>$E1451+24</f>
        <v>132</v>
      </c>
      <c r="AF1451" s="7">
        <f>IF($J1451=0,0,ROUND(MAX($J1451*1.4*1.5*1.6*1.6*2.2*2.715*2.6*1.4*1.4*1.5*1.5,18900000000*(1.65331^(MIN($E1451,123)-117)))*1,0))</f>
        <v>204773225</v>
      </c>
      <c r="AG1451" s="4">
        <f>$E1451+27</f>
        <v>135</v>
      </c>
      <c r="AH1451" s="8">
        <f>IF($J1451=0,0,ROUND(MAX($J1451*1.4*1.5*1.6*1.6*2.2*2.715*2.6*1.4*1.4*1.5*1.5*3.2,60500000000*(1.654288^(MIN($E1451,123)-117)))*1,0))</f>
        <v>652011566</v>
      </c>
    </row>
    <row r="1452" ht="27.75" customHeight="1" spans="1:34" x14ac:dyDescent="0.25">
      <c r="A1452" s="3">
        <v>1462</v>
      </c>
      <c r="B1452" s="3" t="s">
        <v>1064</v>
      </c>
      <c r="C1452" s="3" t="s">
        <v>1042</v>
      </c>
      <c r="D1452" s="3" t="s">
        <v>25</v>
      </c>
      <c r="E1452" s="3">
        <v>108</v>
      </c>
      <c r="F1452" s="3" t="s">
        <v>132</v>
      </c>
      <c r="G1452" s="3" t="s">
        <v>1043</v>
      </c>
      <c r="H1452" s="3">
        <v>24</v>
      </c>
      <c r="I1452" s="4">
        <v>108</v>
      </c>
      <c r="J1452" s="5">
        <v>94100</v>
      </c>
      <c r="K1452" s="6">
        <f>$E1452+1</f>
        <v>109</v>
      </c>
      <c r="L1452" s="7">
        <f>IF($J1452=0,0,ROUND(MAX($J1452*1.4,1620000*(1.497923^(MIN($E1452,123)-117)))*1,0))</f>
        <v>131740</v>
      </c>
      <c r="M1452" s="4">
        <f>$E1452+2</f>
        <v>110</v>
      </c>
      <c r="N1452" s="8">
        <f>IF($J1452=0,0,ROUND(MAX($J1452*1.4*1.5,2190000*(1.580994^(MIN($E1452,123)-117)))*1,0))</f>
        <v>197610</v>
      </c>
      <c r="O1452" s="6">
        <f>$E1452+4</f>
        <v>112</v>
      </c>
      <c r="P1452" s="7">
        <f>IF($J1452=0,0,ROUND(MAX($J1452*1.4*1.5*1.6,3500000*(1.57975^(MIN($E1452,123)-117)))*1,0))</f>
        <v>316176</v>
      </c>
      <c r="Q1452" s="4">
        <f>$E1452+6</f>
        <v>114</v>
      </c>
      <c r="R1452" s="8">
        <f>IF($J1452=0,0,ROUND(MAX($J1452*1.4*1.5*1.6*1.6,13100000*(1.429962^(MIN($E1452,123)-117)))*1,0))</f>
        <v>524024</v>
      </c>
      <c r="S1452" s="6">
        <f>$E1452+8</f>
        <v>116</v>
      </c>
      <c r="T1452" s="7">
        <f>IF($J1452=0,0,ROUND(MAX($J1452*1.4*1.5*1.6*1.6*2.2,42600000*(1.576904^(MIN($E1452,123)-117)))*1,0))</f>
        <v>1112940</v>
      </c>
      <c r="U1452" s="4">
        <f>$E1452+11</f>
        <v>119</v>
      </c>
      <c r="V1452" s="8">
        <f>IF($J1452=0,0,ROUND(MAX($J1452*1.4*1.5*1.6*1.6*2.2*2.715,354000000*(1.642074^(MIN($E1452,123)-117)))*1,0))</f>
        <v>4078202</v>
      </c>
      <c r="W1452" s="6">
        <f>$E1452+15</f>
        <v>123</v>
      </c>
      <c r="X1452" s="7">
        <f>IF($J1452=0,0,ROUND(MAX($J1452*1.4*1.5*1.6*1.6*2.2*2.715*2.6,3540000000*(1.579646^(MIN($E1452,123)-117)))*1,0))</f>
        <v>57804988</v>
      </c>
      <c r="Y1452" s="4">
        <f>$E1452+17</f>
        <v>125</v>
      </c>
      <c r="Z1452" s="8">
        <f>IF($J1452=0,0,ROUND(MAX($J1452*1.4*1.5*1.6*1.6*2.2*2.715*2.6*1.4,6020000000*(1.651178^(MIN($E1452,123)-117)))*1,0))</f>
        <v>65985946</v>
      </c>
      <c r="AA1452" s="6">
        <f>$E1452+19</f>
        <v>127</v>
      </c>
      <c r="AB1452" s="7">
        <f>IF($J1452=0,0,ROUND(MAX($J1452*1.4*1.5*1.6*1.6*2.2*2.715*2.6*1.4*1.4,8430000000*(1.651435^(MIN($E1452,123)-117)))*1,0))</f>
        <v>92272909</v>
      </c>
      <c r="AC1452" s="4">
        <f>$E1452+21</f>
        <v>129</v>
      </c>
      <c r="AD1452" s="8">
        <f>IF($J1452=0,0,ROUND(MAX($J1452*1.4*1.5*1.6*1.6*2.2*2.715*2.6*1.4*1.4*1.5,12600000000*(1.652953^(MIN($E1452,123)-117)))*1,0))</f>
        <v>136781071</v>
      </c>
      <c r="AE1452" s="6">
        <f>$E1452+24</f>
        <v>132</v>
      </c>
      <c r="AF1452" s="7">
        <f>IF($J1452=0,0,ROUND(MAX($J1452*1.4*1.5*1.6*1.6*2.2*2.715*2.6*1.4*1.4*1.5*1.5,18900000000*(1.65331^(MIN($E1452,123)-117)))*1,0))</f>
        <v>204773225</v>
      </c>
      <c r="AG1452" s="4">
        <f>$E1452+27</f>
        <v>135</v>
      </c>
      <c r="AH1452" s="8">
        <f>IF($J1452=0,0,ROUND(MAX($J1452*1.4*1.5*1.6*1.6*2.2*2.715*2.6*1.4*1.4*1.5*1.5*3.2,60500000000*(1.654288^(MIN($E1452,123)-117)))*1,0))</f>
        <v>652011566</v>
      </c>
    </row>
    <row r="1453" ht="27.75" customHeight="1" spans="1:34" x14ac:dyDescent="0.25">
      <c r="A1453" s="3">
        <v>1463</v>
      </c>
      <c r="B1453" s="3" t="s">
        <v>1065</v>
      </c>
      <c r="C1453" s="3" t="s">
        <v>1042</v>
      </c>
      <c r="D1453" s="3" t="s">
        <v>165</v>
      </c>
      <c r="E1453" s="3">
        <v>108</v>
      </c>
      <c r="F1453" s="3" t="s">
        <v>56</v>
      </c>
      <c r="G1453" s="3" t="s">
        <v>1043</v>
      </c>
      <c r="H1453" s="3">
        <v>24</v>
      </c>
      <c r="I1453" s="4">
        <v>108</v>
      </c>
      <c r="J1453" s="5">
        <v>28100</v>
      </c>
      <c r="K1453" s="6">
        <f>$E1453+1</f>
        <v>109</v>
      </c>
      <c r="L1453" s="7">
        <f>IF($J1453=0,0,ROUND(MAX($J1453*1.4,1620000*(1.497923^(MIN($E1453,123)-117)))*1,0))</f>
        <v>42669</v>
      </c>
      <c r="M1453" s="4">
        <f>$E1453+2</f>
        <v>110</v>
      </c>
      <c r="N1453" s="8">
        <f>IF($J1453=0,0,ROUND(MAX($J1453*1.4*1.5,2190000*(1.580994^(MIN($E1453,123)-117)))*1,0))</f>
        <v>59010</v>
      </c>
      <c r="O1453" s="6">
        <f>$E1453+4</f>
        <v>112</v>
      </c>
      <c r="P1453" s="7">
        <f>IF($J1453=0,0,ROUND(MAX($J1453*1.4*1.5*1.6,3500000*(1.57975^(MIN($E1453,123)-117)))*1,0))</f>
        <v>94416</v>
      </c>
      <c r="Q1453" s="4">
        <f>$E1453+6</f>
        <v>114</v>
      </c>
      <c r="R1453" s="8">
        <f>IF($J1453=0,0,ROUND(MAX($J1453*1.4*1.5*1.6*1.6,13100000*(1.429962^(MIN($E1453,123)-117)))*1,0))</f>
        <v>524024</v>
      </c>
      <c r="S1453" s="6">
        <f>$E1453+8</f>
        <v>116</v>
      </c>
      <c r="T1453" s="7">
        <f>IF($J1453=0,0,ROUND(MAX($J1453*1.4*1.5*1.6*1.6*2.2,42600000*(1.576904^(MIN($E1453,123)-117)))*1,0))</f>
        <v>706582</v>
      </c>
      <c r="U1453" s="4">
        <f>$E1453+11</f>
        <v>119</v>
      </c>
      <c r="V1453" s="8">
        <f>IF($J1453=0,0,ROUND(MAX($J1453*1.4*1.5*1.6*1.6*2.2*2.715,354000000*(1.642074^(MIN($E1453,123)-117)))*1,0))</f>
        <v>4078202</v>
      </c>
      <c r="W1453" s="6">
        <f>$E1453+15</f>
        <v>123</v>
      </c>
      <c r="X1453" s="7">
        <f>IF($J1453=0,0,ROUND(MAX($J1453*1.4*1.5*1.6*1.6*2.2*2.715*2.6,3540000000*(1.579646^(MIN($E1453,123)-117)))*1,0))</f>
        <v>57804988</v>
      </c>
      <c r="Y1453" s="4">
        <f>$E1453+17</f>
        <v>125</v>
      </c>
      <c r="Z1453" s="8">
        <f>IF($J1453=0,0,ROUND(MAX($J1453*1.4*1.5*1.6*1.6*2.2*2.715*2.6*1.4,6020000000*(1.651178^(MIN($E1453,123)-117)))*1,0))</f>
        <v>65985946</v>
      </c>
      <c r="AA1453" s="6">
        <f>$E1453+19</f>
        <v>127</v>
      </c>
      <c r="AB1453" s="7">
        <f>IF($J1453=0,0,ROUND(MAX($J1453*1.4*1.5*1.6*1.6*2.2*2.715*2.6*1.4*1.4,8430000000*(1.651435^(MIN($E1453,123)-117)))*1,0))</f>
        <v>92272909</v>
      </c>
      <c r="AC1453" s="4">
        <f>$E1453+21</f>
        <v>129</v>
      </c>
      <c r="AD1453" s="8">
        <f>IF($J1453=0,0,ROUND(MAX($J1453*1.4*1.5*1.6*1.6*2.2*2.715*2.6*1.4*1.4*1.5,12600000000*(1.652953^(MIN($E1453,123)-117)))*1,0))</f>
        <v>136781071</v>
      </c>
      <c r="AE1453" s="6">
        <f>$E1453+24</f>
        <v>132</v>
      </c>
      <c r="AF1453" s="7">
        <f>IF($J1453=0,0,ROUND(MAX($J1453*1.4*1.5*1.6*1.6*2.2*2.715*2.6*1.4*1.4*1.5*1.5,18900000000*(1.65331^(MIN($E1453,123)-117)))*1,0))</f>
        <v>204773225</v>
      </c>
      <c r="AG1453" s="4">
        <f>$E1453+27</f>
        <v>135</v>
      </c>
      <c r="AH1453" s="8">
        <f>IF($J1453=0,0,ROUND(MAX($J1453*1.4*1.5*1.6*1.6*2.2*2.715*2.6*1.4*1.4*1.5*1.5*3.2,60500000000*(1.654288^(MIN($E1453,123)-117)))*1,0))</f>
        <v>652011566</v>
      </c>
    </row>
    <row r="1454" ht="27.75" customHeight="1" spans="1:34" x14ac:dyDescent="0.25">
      <c r="A1454" s="3">
        <v>1464</v>
      </c>
      <c r="B1454" s="3" t="s">
        <v>1066</v>
      </c>
      <c r="C1454" s="3" t="s">
        <v>1042</v>
      </c>
      <c r="D1454" s="3" t="s">
        <v>90</v>
      </c>
      <c r="E1454" s="3">
        <v>108</v>
      </c>
      <c r="F1454" s="3" t="s">
        <v>183</v>
      </c>
      <c r="G1454" s="3" t="s">
        <v>586</v>
      </c>
      <c r="H1454" s="3">
        <v>24</v>
      </c>
      <c r="I1454" s="4">
        <v>108</v>
      </c>
      <c r="J1454" s="5">
        <v>42700</v>
      </c>
      <c r="K1454" s="6">
        <f>$E1454+1</f>
        <v>109</v>
      </c>
      <c r="L1454" s="7">
        <f>IF($J1454=0,0,ROUND(MAX($J1454*1.4,1620000*(1.497923^(MIN($E1454,123)-117)))*1,0))</f>
        <v>59780</v>
      </c>
      <c r="M1454" s="4">
        <f>$E1454+2</f>
        <v>110</v>
      </c>
      <c r="N1454" s="8">
        <f>IF($J1454=0,0,ROUND(MAX($J1454*1.4*1.5,2190000*(1.580994^(MIN($E1454,123)-117)))*1,0))</f>
        <v>89670</v>
      </c>
      <c r="O1454" s="6">
        <f>$E1454+4</f>
        <v>112</v>
      </c>
      <c r="P1454" s="7">
        <f>IF($J1454=0,0,ROUND(MAX($J1454*1.4*1.5*1.6,3500000*(1.57975^(MIN($E1454,123)-117)))*1,0))</f>
        <v>143472</v>
      </c>
      <c r="Q1454" s="4">
        <f>$E1454+6</f>
        <v>114</v>
      </c>
      <c r="R1454" s="8">
        <f>IF($J1454=0,0,ROUND(MAX($J1454*1.4*1.5*1.6*1.6,13100000*(1.429962^(MIN($E1454,123)-117)))*1,0))</f>
        <v>524024</v>
      </c>
      <c r="S1454" s="6">
        <f>$E1454+8</f>
        <v>116</v>
      </c>
      <c r="T1454" s="7">
        <f>IF($J1454=0,0,ROUND(MAX($J1454*1.4*1.5*1.6*1.6*2.2,42600000*(1.576904^(MIN($E1454,123)-117)))*1,0))</f>
        <v>706582</v>
      </c>
      <c r="U1454" s="4">
        <f>$E1454+11</f>
        <v>119</v>
      </c>
      <c r="V1454" s="8">
        <f>IF($J1454=0,0,ROUND(MAX($J1454*1.4*1.5*1.6*1.6*2.2*2.715,354000000*(1.642074^(MIN($E1454,123)-117)))*1,0))</f>
        <v>4078202</v>
      </c>
      <c r="W1454" s="6">
        <f>$E1454+15</f>
        <v>123</v>
      </c>
      <c r="X1454" s="7">
        <f>IF($J1454=0,0,ROUND(MAX($J1454*1.4*1.5*1.6*1.6*2.2*2.715*2.6,3540000000*(1.579646^(MIN($E1454,123)-117)))*1,0))</f>
        <v>57804988</v>
      </c>
      <c r="Y1454" s="4">
        <f>$E1454+17</f>
        <v>125</v>
      </c>
      <c r="Z1454" s="8">
        <f>IF($J1454=0,0,ROUND(MAX($J1454*1.4*1.5*1.6*1.6*2.2*2.715*2.6*1.4,6020000000*(1.651178^(MIN($E1454,123)-117)))*1,0))</f>
        <v>65985946</v>
      </c>
      <c r="AA1454" s="6">
        <f>$E1454+19</f>
        <v>127</v>
      </c>
      <c r="AB1454" s="7">
        <f>IF($J1454=0,0,ROUND(MAX($J1454*1.4*1.5*1.6*1.6*2.2*2.715*2.6*1.4*1.4,8430000000*(1.651435^(MIN($E1454,123)-117)))*1,0))</f>
        <v>92272909</v>
      </c>
      <c r="AC1454" s="4">
        <f>$E1454+21</f>
        <v>129</v>
      </c>
      <c r="AD1454" s="8">
        <f>IF($J1454=0,0,ROUND(MAX($J1454*1.4*1.5*1.6*1.6*2.2*2.715*2.6*1.4*1.4*1.5,12600000000*(1.652953^(MIN($E1454,123)-117)))*1,0))</f>
        <v>136781071</v>
      </c>
      <c r="AE1454" s="6">
        <f>$E1454+24</f>
        <v>132</v>
      </c>
      <c r="AF1454" s="7">
        <f>IF($J1454=0,0,ROUND(MAX($J1454*1.4*1.5*1.6*1.6*2.2*2.715*2.6*1.4*1.4*1.5*1.5,18900000000*(1.65331^(MIN($E1454,123)-117)))*1,0))</f>
        <v>204773225</v>
      </c>
      <c r="AG1454" s="4">
        <f>$E1454+27</f>
        <v>135</v>
      </c>
      <c r="AH1454" s="8">
        <f>IF($J1454=0,0,ROUND(MAX($J1454*1.4*1.5*1.6*1.6*2.2*2.715*2.6*1.4*1.4*1.5*1.5*3.2,60500000000*(1.654288^(MIN($E1454,123)-117)))*1,0))</f>
        <v>652011566</v>
      </c>
    </row>
    <row r="1455" ht="27.75" customHeight="1" spans="1:34" x14ac:dyDescent="0.25">
      <c r="A1455" s="3">
        <v>1465</v>
      </c>
      <c r="B1455" s="3" t="s">
        <v>1067</v>
      </c>
      <c r="C1455" s="3" t="s">
        <v>1042</v>
      </c>
      <c r="D1455" s="3" t="s">
        <v>33</v>
      </c>
      <c r="E1455" s="3">
        <v>108</v>
      </c>
      <c r="F1455" s="3" t="s">
        <v>56</v>
      </c>
      <c r="G1455" s="3" t="s">
        <v>1043</v>
      </c>
      <c r="H1455" s="3">
        <v>24</v>
      </c>
      <c r="I1455" s="4">
        <v>108</v>
      </c>
      <c r="J1455" s="5">
        <v>66500</v>
      </c>
      <c r="K1455" s="6">
        <f>$E1455+1</f>
        <v>109</v>
      </c>
      <c r="L1455" s="7">
        <f>IF($J1455=0,0,ROUND(MAX($J1455*1.4,1620000*(1.497923^(MIN($E1455,123)-117)))*1,0))</f>
        <v>93100</v>
      </c>
      <c r="M1455" s="4">
        <f>$E1455+2</f>
        <v>110</v>
      </c>
      <c r="N1455" s="8">
        <f>IF($J1455=0,0,ROUND(MAX($J1455*1.4*1.5,2190000*(1.580994^(MIN($E1455,123)-117)))*1,0))</f>
        <v>139650</v>
      </c>
      <c r="O1455" s="6">
        <f>$E1455+4</f>
        <v>112</v>
      </c>
      <c r="P1455" s="7">
        <f>IF($J1455=0,0,ROUND(MAX($J1455*1.4*1.5*1.6,3500000*(1.57975^(MIN($E1455,123)-117)))*1,0))</f>
        <v>223440</v>
      </c>
      <c r="Q1455" s="4">
        <f>$E1455+6</f>
        <v>114</v>
      </c>
      <c r="R1455" s="8">
        <f>IF($J1455=0,0,ROUND(MAX($J1455*1.4*1.5*1.6*1.6,13100000*(1.429962^(MIN($E1455,123)-117)))*1,0))</f>
        <v>524024</v>
      </c>
      <c r="S1455" s="6">
        <f>$E1455+8</f>
        <v>116</v>
      </c>
      <c r="T1455" s="7">
        <f>IF($J1455=0,0,ROUND(MAX($J1455*1.4*1.5*1.6*1.6*2.2,42600000*(1.576904^(MIN($E1455,123)-117)))*1,0))</f>
        <v>786509</v>
      </c>
      <c r="U1455" s="4">
        <f>$E1455+11</f>
        <v>119</v>
      </c>
      <c r="V1455" s="8">
        <f>IF($J1455=0,0,ROUND(MAX($J1455*1.4*1.5*1.6*1.6*2.2*2.715,354000000*(1.642074^(MIN($E1455,123)-117)))*1,0))</f>
        <v>4078202</v>
      </c>
      <c r="W1455" s="6">
        <f>$E1455+15</f>
        <v>123</v>
      </c>
      <c r="X1455" s="7">
        <f>IF($J1455=0,0,ROUND(MAX($J1455*1.4*1.5*1.6*1.6*2.2*2.715*2.6,3540000000*(1.579646^(MIN($E1455,123)-117)))*1,0))</f>
        <v>57804988</v>
      </c>
      <c r="Y1455" s="4">
        <f>$E1455+17</f>
        <v>125</v>
      </c>
      <c r="Z1455" s="8">
        <f>IF($J1455=0,0,ROUND(MAX($J1455*1.4*1.5*1.6*1.6*2.2*2.715*2.6*1.4,6020000000*(1.651178^(MIN($E1455,123)-117)))*1,0))</f>
        <v>65985946</v>
      </c>
      <c r="AA1455" s="6">
        <f>$E1455+19</f>
        <v>127</v>
      </c>
      <c r="AB1455" s="7">
        <f>IF($J1455=0,0,ROUND(MAX($J1455*1.4*1.5*1.6*1.6*2.2*2.715*2.6*1.4*1.4,8430000000*(1.651435^(MIN($E1455,123)-117)))*1,0))</f>
        <v>92272909</v>
      </c>
      <c r="AC1455" s="4">
        <f>$E1455+21</f>
        <v>129</v>
      </c>
      <c r="AD1455" s="8">
        <f>IF($J1455=0,0,ROUND(MAX($J1455*1.4*1.5*1.6*1.6*2.2*2.715*2.6*1.4*1.4*1.5,12600000000*(1.652953^(MIN($E1455,123)-117)))*1,0))</f>
        <v>136781071</v>
      </c>
      <c r="AE1455" s="6">
        <f>$E1455+24</f>
        <v>132</v>
      </c>
      <c r="AF1455" s="7">
        <f>IF($J1455=0,0,ROUND(MAX($J1455*1.4*1.5*1.6*1.6*2.2*2.715*2.6*1.4*1.4*1.5*1.5,18900000000*(1.65331^(MIN($E1455,123)-117)))*1,0))</f>
        <v>204773225</v>
      </c>
      <c r="AG1455" s="4">
        <f>$E1455+27</f>
        <v>135</v>
      </c>
      <c r="AH1455" s="8">
        <f>IF($J1455=0,0,ROUND(MAX($J1455*1.4*1.5*1.6*1.6*2.2*2.715*2.6*1.4*1.4*1.5*1.5*3.2,60500000000*(1.654288^(MIN($E1455,123)-117)))*1,0))</f>
        <v>652011566</v>
      </c>
    </row>
    <row r="1456" ht="27.75" customHeight="1" spans="1:34" x14ac:dyDescent="0.25">
      <c r="A1456" s="3">
        <v>1466</v>
      </c>
      <c r="B1456" s="3" t="s">
        <v>1068</v>
      </c>
      <c r="C1456" s="3" t="s">
        <v>1042</v>
      </c>
      <c r="D1456" s="3" t="s">
        <v>64</v>
      </c>
      <c r="E1456" s="3">
        <v>108</v>
      </c>
      <c r="F1456" s="3" t="s">
        <v>54</v>
      </c>
      <c r="G1456" s="3" t="s">
        <v>1043</v>
      </c>
      <c r="H1456" s="3">
        <v>24</v>
      </c>
      <c r="I1456" s="4">
        <v>108</v>
      </c>
      <c r="J1456" s="5">
        <v>152000</v>
      </c>
      <c r="K1456" s="6">
        <f>$E1456+1</f>
        <v>109</v>
      </c>
      <c r="L1456" s="7">
        <f>IF($J1456=0,0,ROUND(MAX($J1456*1.4,1620000*(1.497923^(MIN($E1456,123)-117)))*1,0))</f>
        <v>212800</v>
      </c>
      <c r="M1456" s="4">
        <f>$E1456+2</f>
        <v>110</v>
      </c>
      <c r="N1456" s="8">
        <f>IF($J1456=0,0,ROUND(MAX($J1456*1.4*1.5,2190000*(1.580994^(MIN($E1456,123)-117)))*1,0))</f>
        <v>319200</v>
      </c>
      <c r="O1456" s="6">
        <f>$E1456+4</f>
        <v>112</v>
      </c>
      <c r="P1456" s="7">
        <f>IF($J1456=0,0,ROUND(MAX($J1456*1.4*1.5*1.6,3500000*(1.57975^(MIN($E1456,123)-117)))*1,0))</f>
        <v>510720</v>
      </c>
      <c r="Q1456" s="4">
        <f>$E1456+6</f>
        <v>114</v>
      </c>
      <c r="R1456" s="8">
        <f>IF($J1456=0,0,ROUND(MAX($J1456*1.4*1.5*1.6*1.6,13100000*(1.429962^(MIN($E1456,123)-117)))*1,0))</f>
        <v>817152</v>
      </c>
      <c r="S1456" s="6">
        <f>$E1456+8</f>
        <v>116</v>
      </c>
      <c r="T1456" s="7">
        <f>IF($J1456=0,0,ROUND(MAX($J1456*1.4*1.5*1.6*1.6*2.2,42600000*(1.576904^(MIN($E1456,123)-117)))*1,0))</f>
        <v>1797734</v>
      </c>
      <c r="U1456" s="4">
        <f>$E1456+11</f>
        <v>119</v>
      </c>
      <c r="V1456" s="8">
        <f>IF($J1456=0,0,ROUND(MAX($J1456*1.4*1.5*1.6*1.6*2.2*2.715,354000000*(1.642074^(MIN($E1456,123)-117)))*1,0))</f>
        <v>4880849</v>
      </c>
      <c r="W1456" s="6">
        <f>$E1456+15</f>
        <v>123</v>
      </c>
      <c r="X1456" s="7">
        <f>IF($J1456=0,0,ROUND(MAX($J1456*1.4*1.5*1.6*1.6*2.2*2.715*2.6,3540000000*(1.579646^(MIN($E1456,123)-117)))*1,0))</f>
        <v>57804988</v>
      </c>
      <c r="Y1456" s="4">
        <f>$E1456+17</f>
        <v>125</v>
      </c>
      <c r="Z1456" s="8">
        <f>IF($J1456=0,0,ROUND(MAX($J1456*1.4*1.5*1.6*1.6*2.2*2.715*2.6*1.4,6020000000*(1.651178^(MIN($E1456,123)-117)))*1,0))</f>
        <v>65985946</v>
      </c>
      <c r="AA1456" s="6">
        <f>$E1456+19</f>
        <v>127</v>
      </c>
      <c r="AB1456" s="7">
        <f>IF($J1456=0,0,ROUND(MAX($J1456*1.4*1.5*1.6*1.6*2.2*2.715*2.6*1.4*1.4,8430000000*(1.651435^(MIN($E1456,123)-117)))*1,0))</f>
        <v>92272909</v>
      </c>
      <c r="AC1456" s="4">
        <f>$E1456+21</f>
        <v>129</v>
      </c>
      <c r="AD1456" s="8">
        <f>IF($J1456=0,0,ROUND(MAX($J1456*1.4*1.5*1.6*1.6*2.2*2.715*2.6*1.4*1.4*1.5,12600000000*(1.652953^(MIN($E1456,123)-117)))*1,0))</f>
        <v>136781071</v>
      </c>
      <c r="AE1456" s="6">
        <f>$E1456+24</f>
        <v>132</v>
      </c>
      <c r="AF1456" s="7">
        <f>IF($J1456=0,0,ROUND(MAX($J1456*1.4*1.5*1.6*1.6*2.2*2.715*2.6*1.4*1.4*1.5*1.5,18900000000*(1.65331^(MIN($E1456,123)-117)))*1,0))</f>
        <v>204773225</v>
      </c>
      <c r="AG1456" s="4">
        <f>$E1456+27</f>
        <v>135</v>
      </c>
      <c r="AH1456" s="8">
        <f>IF($J1456=0,0,ROUND(MAX($J1456*1.4*1.5*1.6*1.6*2.2*2.715*2.6*1.4*1.4*1.5*1.5*3.2,60500000000*(1.654288^(MIN($E1456,123)-117)))*1,0))</f>
        <v>652011566</v>
      </c>
    </row>
    <row r="1457" ht="27.75" customHeight="1" spans="1:34" x14ac:dyDescent="0.25">
      <c r="A1457" s="3">
        <v>1467</v>
      </c>
      <c r="B1457" s="3" t="s">
        <v>1069</v>
      </c>
      <c r="C1457" s="3" t="s">
        <v>1042</v>
      </c>
      <c r="D1457" s="3" t="s">
        <v>25</v>
      </c>
      <c r="E1457" s="3">
        <v>108</v>
      </c>
      <c r="F1457" s="3" t="s">
        <v>34</v>
      </c>
      <c r="G1457" s="3" t="s">
        <v>1043</v>
      </c>
      <c r="H1457" s="3">
        <v>24</v>
      </c>
      <c r="I1457" s="4">
        <v>108</v>
      </c>
      <c r="J1457" s="5">
        <v>35900</v>
      </c>
      <c r="K1457" s="6">
        <f>$E1457+1</f>
        <v>109</v>
      </c>
      <c r="L1457" s="7">
        <f>IF($J1457=0,0,ROUND(MAX($J1457*1.4,1620000*(1.497923^(MIN($E1457,123)-117)))*1,0))</f>
        <v>50260</v>
      </c>
      <c r="M1457" s="4">
        <f>$E1457+2</f>
        <v>110</v>
      </c>
      <c r="N1457" s="8">
        <f>IF($J1457=0,0,ROUND(MAX($J1457*1.4*1.5,2190000*(1.580994^(MIN($E1457,123)-117)))*1,0))</f>
        <v>75390</v>
      </c>
      <c r="O1457" s="6">
        <f>$E1457+4</f>
        <v>112</v>
      </c>
      <c r="P1457" s="7">
        <f>IF($J1457=0,0,ROUND(MAX($J1457*1.4*1.5*1.6,3500000*(1.57975^(MIN($E1457,123)-117)))*1,0))</f>
        <v>120624</v>
      </c>
      <c r="Q1457" s="4">
        <f>$E1457+6</f>
        <v>114</v>
      </c>
      <c r="R1457" s="8">
        <f>IF($J1457=0,0,ROUND(MAX($J1457*1.4*1.5*1.6*1.6,13100000*(1.429962^(MIN($E1457,123)-117)))*1,0))</f>
        <v>524024</v>
      </c>
      <c r="S1457" s="6">
        <f>$E1457+8</f>
        <v>116</v>
      </c>
      <c r="T1457" s="7">
        <f>IF($J1457=0,0,ROUND(MAX($J1457*1.4*1.5*1.6*1.6*2.2,42600000*(1.576904^(MIN($E1457,123)-117)))*1,0))</f>
        <v>706582</v>
      </c>
      <c r="U1457" s="4">
        <f>$E1457+11</f>
        <v>119</v>
      </c>
      <c r="V1457" s="8">
        <f>IF($J1457=0,0,ROUND(MAX($J1457*1.4*1.5*1.6*1.6*2.2*2.715,354000000*(1.642074^(MIN($E1457,123)-117)))*1,0))</f>
        <v>4078202</v>
      </c>
      <c r="W1457" s="6">
        <f>$E1457+15</f>
        <v>123</v>
      </c>
      <c r="X1457" s="7">
        <f>IF($J1457=0,0,ROUND(MAX($J1457*1.4*1.5*1.6*1.6*2.2*2.715*2.6,3540000000*(1.579646^(MIN($E1457,123)-117)))*1,0))</f>
        <v>57804988</v>
      </c>
      <c r="Y1457" s="4">
        <f>$E1457+17</f>
        <v>125</v>
      </c>
      <c r="Z1457" s="8">
        <f>IF($J1457=0,0,ROUND(MAX($J1457*1.4*1.5*1.6*1.6*2.2*2.715*2.6*1.4,6020000000*(1.651178^(MIN($E1457,123)-117)))*1,0))</f>
        <v>65985946</v>
      </c>
      <c r="AA1457" s="6">
        <f>$E1457+19</f>
        <v>127</v>
      </c>
      <c r="AB1457" s="7">
        <f>IF($J1457=0,0,ROUND(MAX($J1457*1.4*1.5*1.6*1.6*2.2*2.715*2.6*1.4*1.4,8430000000*(1.651435^(MIN($E1457,123)-117)))*1,0))</f>
        <v>92272909</v>
      </c>
      <c r="AC1457" s="4">
        <f>$E1457+21</f>
        <v>129</v>
      </c>
      <c r="AD1457" s="8">
        <f>IF($J1457=0,0,ROUND(MAX($J1457*1.4*1.5*1.6*1.6*2.2*2.715*2.6*1.4*1.4*1.5,12600000000*(1.652953^(MIN($E1457,123)-117)))*1,0))</f>
        <v>136781071</v>
      </c>
      <c r="AE1457" s="6">
        <f>$E1457+24</f>
        <v>132</v>
      </c>
      <c r="AF1457" s="7">
        <f>IF($J1457=0,0,ROUND(MAX($J1457*1.4*1.5*1.6*1.6*2.2*2.715*2.6*1.4*1.4*1.5*1.5,18900000000*(1.65331^(MIN($E1457,123)-117)))*1,0))</f>
        <v>204773225</v>
      </c>
      <c r="AG1457" s="4">
        <f>$E1457+27</f>
        <v>135</v>
      </c>
      <c r="AH1457" s="8">
        <f>IF($J1457=0,0,ROUND(MAX($J1457*1.4*1.5*1.6*1.6*2.2*2.715*2.6*1.4*1.4*1.5*1.5*3.2,60500000000*(1.654288^(MIN($E1457,123)-117)))*1,0))</f>
        <v>652011566</v>
      </c>
    </row>
    <row r="1458" ht="27.75" customHeight="1" spans="1:34" x14ac:dyDescent="0.25">
      <c r="A1458" s="3">
        <v>1468</v>
      </c>
      <c r="B1458" s="3" t="s">
        <v>940</v>
      </c>
      <c r="C1458" s="3" t="s">
        <v>1042</v>
      </c>
      <c r="D1458" s="3" t="s">
        <v>79</v>
      </c>
      <c r="E1458" s="3">
        <v>107</v>
      </c>
      <c r="F1458" s="3" t="s">
        <v>97</v>
      </c>
      <c r="G1458" s="3" t="s">
        <v>941</v>
      </c>
      <c r="H1458" s="3">
        <v>24</v>
      </c>
      <c r="I1458" s="4">
        <v>107</v>
      </c>
      <c r="J1458" s="5">
        <v>33300</v>
      </c>
      <c r="K1458" s="6">
        <f>$E1458+1</f>
        <v>108</v>
      </c>
      <c r="L1458" s="7">
        <f>IF($J1458=0,0,ROUND(MAX($J1458*1.4,1620000*(1.497923^(MIN($E1458,123)-117)))*1,0))</f>
        <v>46620</v>
      </c>
      <c r="M1458" s="4">
        <f>$E1458+2</f>
        <v>109</v>
      </c>
      <c r="N1458" s="8">
        <f>IF($J1458=0,0,ROUND(MAX($J1458*1.4*1.5,2190000*(1.580994^(MIN($E1458,123)-117)))*1,0))</f>
        <v>69930</v>
      </c>
      <c r="O1458" s="6">
        <f>$E1458+4</f>
        <v>111</v>
      </c>
      <c r="P1458" s="7">
        <f>IF($J1458=0,0,ROUND(MAX($J1458*1.4*1.5*1.6,3500000*(1.57975^(MIN($E1458,123)-117)))*1,0))</f>
        <v>111888</v>
      </c>
      <c r="Q1458" s="4">
        <f>$E1458+6</f>
        <v>113</v>
      </c>
      <c r="R1458" s="8">
        <f>IF($J1458=0,0,ROUND(MAX($J1458*1.4*1.5*1.6*1.6,13100000*(1.429962^(MIN($E1458,123)-117)))*1,0))</f>
        <v>366460</v>
      </c>
      <c r="S1458" s="6">
        <f>$E1458+8</f>
        <v>115</v>
      </c>
      <c r="T1458" s="7">
        <f>IF($J1458=0,0,ROUND(MAX($J1458*1.4*1.5*1.6*1.6*2.2,42600000*(1.576904^(MIN($E1458,123)-117)))*1,0))</f>
        <v>448082</v>
      </c>
      <c r="U1458" s="4">
        <f>$E1458+11</f>
        <v>118</v>
      </c>
      <c r="V1458" s="8">
        <f>IF($J1458=0,0,ROUND(MAX($J1458*1.4*1.5*1.6*1.6*2.2*2.715,354000000*(1.642074^(MIN($E1458,123)-117)))*1,0))</f>
        <v>2483568</v>
      </c>
      <c r="W1458" s="6">
        <f>$E1458+15</f>
        <v>122</v>
      </c>
      <c r="X1458" s="7">
        <f>IF($J1458=0,0,ROUND(MAX($J1458*1.4*1.5*1.6*1.6*2.2*2.715*2.6,3540000000*(1.579646^(MIN($E1458,123)-117)))*1,0))</f>
        <v>36593634</v>
      </c>
      <c r="Y1458" s="4">
        <f>$E1458+17</f>
        <v>124</v>
      </c>
      <c r="Z1458" s="8">
        <f>IF($J1458=0,0,ROUND(MAX($J1458*1.4*1.5*1.6*1.6*2.2*2.715*2.6*1.4,6020000000*(1.651178^(MIN($E1458,123)-117)))*1,0))</f>
        <v>39962952</v>
      </c>
      <c r="AA1458" s="6">
        <f>$E1458+19</f>
        <v>126</v>
      </c>
      <c r="AB1458" s="7">
        <f>IF($J1458=0,0,ROUND(MAX($J1458*1.4*1.5*1.6*1.6*2.2*2.715*2.6*1.4*1.4,8430000000*(1.651435^(MIN($E1458,123)-117)))*1,0))</f>
        <v>55874381</v>
      </c>
      <c r="AC1458" s="4">
        <f>$E1458+21</f>
        <v>128</v>
      </c>
      <c r="AD1458" s="8">
        <f>IF($J1458=0,0,ROUND(MAX($J1458*1.4*1.5*1.6*1.6*2.2*2.715*2.6*1.4*1.4*1.5,12600000000*(1.652953^(MIN($E1458,123)-117)))*1,0))</f>
        <v>82749522</v>
      </c>
      <c r="AE1458" s="6">
        <f>$E1458+24</f>
        <v>131</v>
      </c>
      <c r="AF1458" s="7">
        <f>IF($J1458=0,0,ROUND(MAX($J1458*1.4*1.5*1.6*1.6*2.2*2.715*2.6*1.4*1.4*1.5*1.5,18900000000*(1.65331^(MIN($E1458,123)-117)))*1,0))</f>
        <v>123856521</v>
      </c>
      <c r="AG1458" s="4">
        <f>$E1458+27</f>
        <v>134</v>
      </c>
      <c r="AH1458" s="8">
        <f>IF($J1458=0,0,ROUND(MAX($J1458*1.4*1.5*1.6*1.6*2.2*2.715*2.6*1.4*1.4*1.5*1.5*3.2,60500000000*(1.654288^(MIN($E1458,123)-117)))*1,0))</f>
        <v>394134254</v>
      </c>
    </row>
    <row r="1459" ht="27.75" customHeight="1" spans="1:34" x14ac:dyDescent="0.25">
      <c r="A1459" s="3">
        <v>1469</v>
      </c>
      <c r="B1459" s="3" t="s">
        <v>1070</v>
      </c>
      <c r="C1459" s="3" t="s">
        <v>1042</v>
      </c>
      <c r="D1459" s="3" t="s">
        <v>40</v>
      </c>
      <c r="E1459" s="3">
        <v>107</v>
      </c>
      <c r="F1459" s="3" t="s">
        <v>56</v>
      </c>
      <c r="G1459" s="3" t="s">
        <v>816</v>
      </c>
      <c r="H1459" s="3">
        <v>24</v>
      </c>
      <c r="I1459" s="4">
        <v>107</v>
      </c>
      <c r="J1459" s="5">
        <v>180000</v>
      </c>
      <c r="K1459" s="6">
        <f>$E1459+1</f>
        <v>108</v>
      </c>
      <c r="L1459" s="7">
        <f>IF($J1459=0,0,ROUND(MAX($J1459*1.4,1620000*(1.497923^(MIN($E1459,123)-117)))*1,0))</f>
        <v>252000</v>
      </c>
      <c r="M1459" s="4">
        <f>$E1459+2</f>
        <v>109</v>
      </c>
      <c r="N1459" s="8">
        <f>IF($J1459=0,0,ROUND(MAX($J1459*1.4*1.5,2190000*(1.580994^(MIN($E1459,123)-117)))*1,0))</f>
        <v>378000</v>
      </c>
      <c r="O1459" s="6">
        <f>$E1459+4</f>
        <v>111</v>
      </c>
      <c r="P1459" s="7">
        <f>IF($J1459=0,0,ROUND(MAX($J1459*1.4*1.5*1.6,3500000*(1.57975^(MIN($E1459,123)-117)))*1,0))</f>
        <v>604800</v>
      </c>
      <c r="Q1459" s="4">
        <f>$E1459+6</f>
        <v>113</v>
      </c>
      <c r="R1459" s="8">
        <f>IF($J1459=0,0,ROUND(MAX($J1459*1.4*1.5*1.6*1.6,13100000*(1.429962^(MIN($E1459,123)-117)))*1,0))</f>
        <v>967680</v>
      </c>
      <c r="S1459" s="6">
        <f>$E1459+8</f>
        <v>115</v>
      </c>
      <c r="T1459" s="7">
        <f>IF($J1459=0,0,ROUND(MAX($J1459*1.4*1.5*1.6*1.6*2.2,42600000*(1.576904^(MIN($E1459,123)-117)))*1,0))</f>
        <v>2128896</v>
      </c>
      <c r="U1459" s="4">
        <f>$E1459+11</f>
        <v>118</v>
      </c>
      <c r="V1459" s="8">
        <f>IF($J1459=0,0,ROUND(MAX($J1459*1.4*1.5*1.6*1.6*2.2*2.715,354000000*(1.642074^(MIN($E1459,123)-117)))*1,0))</f>
        <v>5779953</v>
      </c>
      <c r="W1459" s="6">
        <f>$E1459+15</f>
        <v>122</v>
      </c>
      <c r="X1459" s="7">
        <f>IF($J1459=0,0,ROUND(MAX($J1459*1.4*1.5*1.6*1.6*2.2*2.715*2.6,3540000000*(1.579646^(MIN($E1459,123)-117)))*1,0))</f>
        <v>36593634</v>
      </c>
      <c r="Y1459" s="4">
        <f>$E1459+17</f>
        <v>124</v>
      </c>
      <c r="Z1459" s="8">
        <f>IF($J1459=0,0,ROUND(MAX($J1459*1.4*1.5*1.6*1.6*2.2*2.715*2.6*1.4,6020000000*(1.651178^(MIN($E1459,123)-117)))*1,0))</f>
        <v>39962952</v>
      </c>
      <c r="AA1459" s="6">
        <f>$E1459+19</f>
        <v>126</v>
      </c>
      <c r="AB1459" s="7">
        <f>IF($J1459=0,0,ROUND(MAX($J1459*1.4*1.5*1.6*1.6*2.2*2.715*2.6*1.4*1.4,8430000000*(1.651435^(MIN($E1459,123)-117)))*1,0))</f>
        <v>55874381</v>
      </c>
      <c r="AC1459" s="4">
        <f>$E1459+21</f>
        <v>128</v>
      </c>
      <c r="AD1459" s="8">
        <f>IF($J1459=0,0,ROUND(MAX($J1459*1.4*1.5*1.6*1.6*2.2*2.715*2.6*1.4*1.4*1.5,12600000000*(1.652953^(MIN($E1459,123)-117)))*1,0))</f>
        <v>82749522</v>
      </c>
      <c r="AE1459" s="6">
        <f>$E1459+24</f>
        <v>131</v>
      </c>
      <c r="AF1459" s="7">
        <f>IF($J1459=0,0,ROUND(MAX($J1459*1.4*1.5*1.6*1.6*2.2*2.715*2.6*1.4*1.4*1.5*1.5,18900000000*(1.65331^(MIN($E1459,123)-117)))*1,0))</f>
        <v>123856521</v>
      </c>
      <c r="AG1459" s="4">
        <f>$E1459+27</f>
        <v>134</v>
      </c>
      <c r="AH1459" s="8">
        <f>IF($J1459=0,0,ROUND(MAX($J1459*1.4*1.5*1.6*1.6*2.2*2.715*2.6*1.4*1.4*1.5*1.5*3.2,60500000000*(1.654288^(MIN($E1459,123)-117)))*1,0))</f>
        <v>394134254</v>
      </c>
    </row>
    <row r="1460" ht="27.75" customHeight="1" spans="1:34" x14ac:dyDescent="0.25">
      <c r="A1460" s="3">
        <v>1470</v>
      </c>
      <c r="B1460" s="3" t="s">
        <v>1071</v>
      </c>
      <c r="C1460" s="3" t="s">
        <v>1042</v>
      </c>
      <c r="D1460" s="3" t="s">
        <v>102</v>
      </c>
      <c r="E1460" s="3">
        <v>107</v>
      </c>
      <c r="F1460" s="3" t="s">
        <v>225</v>
      </c>
      <c r="G1460" s="3" t="s">
        <v>1043</v>
      </c>
      <c r="H1460" s="3">
        <v>24</v>
      </c>
      <c r="I1460" s="4">
        <v>107</v>
      </c>
      <c r="J1460" s="5">
        <v>32500</v>
      </c>
      <c r="K1460" s="6">
        <f>$E1460+1</f>
        <v>108</v>
      </c>
      <c r="L1460" s="7">
        <f>IF($J1460=0,0,ROUND(MAX($J1460*1.4,1620000*(1.497923^(MIN($E1460,123)-117)))*1,0))</f>
        <v>45500</v>
      </c>
      <c r="M1460" s="4">
        <f>$E1460+2</f>
        <v>109</v>
      </c>
      <c r="N1460" s="8">
        <f>IF($J1460=0,0,ROUND(MAX($J1460*1.4*1.5,2190000*(1.580994^(MIN($E1460,123)-117)))*1,0))</f>
        <v>68250</v>
      </c>
      <c r="O1460" s="6">
        <f>$E1460+4</f>
        <v>111</v>
      </c>
      <c r="P1460" s="7">
        <f>IF($J1460=0,0,ROUND(MAX($J1460*1.4*1.5*1.6,3500000*(1.57975^(MIN($E1460,123)-117)))*1,0))</f>
        <v>109200</v>
      </c>
      <c r="Q1460" s="4">
        <f>$E1460+6</f>
        <v>113</v>
      </c>
      <c r="R1460" s="8">
        <f>IF($J1460=0,0,ROUND(MAX($J1460*1.4*1.5*1.6*1.6,13100000*(1.429962^(MIN($E1460,123)-117)))*1,0))</f>
        <v>366460</v>
      </c>
      <c r="S1460" s="6">
        <f>$E1460+8</f>
        <v>115</v>
      </c>
      <c r="T1460" s="7">
        <f>IF($J1460=0,0,ROUND(MAX($J1460*1.4*1.5*1.6*1.6*2.2,42600000*(1.576904^(MIN($E1460,123)-117)))*1,0))</f>
        <v>448082</v>
      </c>
      <c r="U1460" s="4">
        <f>$E1460+11</f>
        <v>118</v>
      </c>
      <c r="V1460" s="8">
        <f>IF($J1460=0,0,ROUND(MAX($J1460*1.4*1.5*1.6*1.6*2.2*2.715,354000000*(1.642074^(MIN($E1460,123)-117)))*1,0))</f>
        <v>2483568</v>
      </c>
      <c r="W1460" s="6">
        <f>$E1460+15</f>
        <v>122</v>
      </c>
      <c r="X1460" s="7">
        <f>IF($J1460=0,0,ROUND(MAX($J1460*1.4*1.5*1.6*1.6*2.2*2.715*2.6,3540000000*(1.579646^(MIN($E1460,123)-117)))*1,0))</f>
        <v>36593634</v>
      </c>
      <c r="Y1460" s="4">
        <f>$E1460+17</f>
        <v>124</v>
      </c>
      <c r="Z1460" s="8">
        <f>IF($J1460=0,0,ROUND(MAX($J1460*1.4*1.5*1.6*1.6*2.2*2.715*2.6*1.4,6020000000*(1.651178^(MIN($E1460,123)-117)))*1,0))</f>
        <v>39962952</v>
      </c>
      <c r="AA1460" s="6">
        <f>$E1460+19</f>
        <v>126</v>
      </c>
      <c r="AB1460" s="7">
        <f>IF($J1460=0,0,ROUND(MAX($J1460*1.4*1.5*1.6*1.6*2.2*2.715*2.6*1.4*1.4,8430000000*(1.651435^(MIN($E1460,123)-117)))*1,0))</f>
        <v>55874381</v>
      </c>
      <c r="AC1460" s="4">
        <f>$E1460+21</f>
        <v>128</v>
      </c>
      <c r="AD1460" s="8">
        <f>IF($J1460=0,0,ROUND(MAX($J1460*1.4*1.5*1.6*1.6*2.2*2.715*2.6*1.4*1.4*1.5,12600000000*(1.652953^(MIN($E1460,123)-117)))*1,0))</f>
        <v>82749522</v>
      </c>
      <c r="AE1460" s="6">
        <f>$E1460+24</f>
        <v>131</v>
      </c>
      <c r="AF1460" s="7">
        <f>IF($J1460=0,0,ROUND(MAX($J1460*1.4*1.5*1.6*1.6*2.2*2.715*2.6*1.4*1.4*1.5*1.5,18900000000*(1.65331^(MIN($E1460,123)-117)))*1,0))</f>
        <v>123856521</v>
      </c>
      <c r="AG1460" s="4">
        <f>$E1460+27</f>
        <v>134</v>
      </c>
      <c r="AH1460" s="8">
        <f>IF($J1460=0,0,ROUND(MAX($J1460*1.4*1.5*1.6*1.6*2.2*2.715*2.6*1.4*1.4*1.5*1.5*3.2,60500000000*(1.654288^(MIN($E1460,123)-117)))*1,0))</f>
        <v>394134254</v>
      </c>
    </row>
    <row r="1461" ht="27.75" customHeight="1" spans="1:34" x14ac:dyDescent="0.25">
      <c r="A1461" s="3">
        <v>1471</v>
      </c>
      <c r="B1461" s="3" t="s">
        <v>1072</v>
      </c>
      <c r="C1461" s="3" t="s">
        <v>1042</v>
      </c>
      <c r="D1461" s="3" t="s">
        <v>75</v>
      </c>
      <c r="E1461" s="3">
        <v>107</v>
      </c>
      <c r="F1461" s="3" t="s">
        <v>34</v>
      </c>
      <c r="G1461" s="3" t="s">
        <v>569</v>
      </c>
      <c r="H1461" s="3">
        <v>23</v>
      </c>
      <c r="I1461" s="4">
        <v>107</v>
      </c>
      <c r="J1461" s="5">
        <v>155000</v>
      </c>
      <c r="K1461" s="6">
        <f>$E1461+1</f>
        <v>108</v>
      </c>
      <c r="L1461" s="7">
        <f>IF($J1461=0,0,ROUND(MAX($J1461*1.4,1620000*(1.497923^(MIN($E1461,123)-117)))*1,0))</f>
        <v>217000</v>
      </c>
      <c r="M1461" s="4">
        <f>$E1461+2</f>
        <v>109</v>
      </c>
      <c r="N1461" s="8">
        <f>IF($J1461=0,0,ROUND(MAX($J1461*1.4*1.5,2190000*(1.580994^(MIN($E1461,123)-117)))*1,0))</f>
        <v>325500</v>
      </c>
      <c r="O1461" s="6">
        <f>$E1461+4</f>
        <v>111</v>
      </c>
      <c r="P1461" s="7">
        <f>IF($J1461=0,0,ROUND(MAX($J1461*1.4*1.5*1.6,3500000*(1.57975^(MIN($E1461,123)-117)))*1,0))</f>
        <v>520800</v>
      </c>
      <c r="Q1461" s="4">
        <f>$E1461+6</f>
        <v>113</v>
      </c>
      <c r="R1461" s="8">
        <f>IF($J1461=0,0,ROUND(MAX($J1461*1.4*1.5*1.6*1.6,13100000*(1.429962^(MIN($E1461,123)-117)))*1,0))</f>
        <v>833280</v>
      </c>
      <c r="S1461" s="6">
        <f>$E1461+8</f>
        <v>115</v>
      </c>
      <c r="T1461" s="7">
        <f>IF($J1461=0,0,ROUND(MAX($J1461*1.4*1.5*1.6*1.6*2.2,42600000*(1.576904^(MIN($E1461,123)-117)))*1,0))</f>
        <v>1833216</v>
      </c>
      <c r="U1461" s="4">
        <f>$E1461+11</f>
        <v>118</v>
      </c>
      <c r="V1461" s="8">
        <f>IF($J1461=0,0,ROUND(MAX($J1461*1.4*1.5*1.6*1.6*2.2*2.715,354000000*(1.642074^(MIN($E1461,123)-117)))*1,0))</f>
        <v>4977181</v>
      </c>
      <c r="W1461" s="6">
        <f>$E1461+15</f>
        <v>122</v>
      </c>
      <c r="X1461" s="7">
        <f>IF($J1461=0,0,ROUND(MAX($J1461*1.4*1.5*1.6*1.6*2.2*2.715*2.6,3540000000*(1.579646^(MIN($E1461,123)-117)))*1,0))</f>
        <v>36593634</v>
      </c>
      <c r="Y1461" s="4">
        <f>$E1461+17</f>
        <v>124</v>
      </c>
      <c r="Z1461" s="8">
        <f>IF($J1461=0,0,ROUND(MAX($J1461*1.4*1.5*1.6*1.6*2.2*2.715*2.6*1.4,6020000000*(1.651178^(MIN($E1461,123)-117)))*1,0))</f>
        <v>39962952</v>
      </c>
      <c r="AA1461" s="6">
        <f>$E1461+19</f>
        <v>126</v>
      </c>
      <c r="AB1461" s="7">
        <f>IF($J1461=0,0,ROUND(MAX($J1461*1.4*1.5*1.6*1.6*2.2*2.715*2.6*1.4*1.4,8430000000*(1.651435^(MIN($E1461,123)-117)))*1,0))</f>
        <v>55874381</v>
      </c>
      <c r="AC1461" s="4">
        <f>$E1461+21</f>
        <v>128</v>
      </c>
      <c r="AD1461" s="8">
        <f>IF($J1461=0,0,ROUND(MAX($J1461*1.4*1.5*1.6*1.6*2.2*2.715*2.6*1.4*1.4*1.5,12600000000*(1.652953^(MIN($E1461,123)-117)))*1,0))</f>
        <v>82749522</v>
      </c>
      <c r="AE1461" s="6">
        <f>$E1461+24</f>
        <v>131</v>
      </c>
      <c r="AF1461" s="7">
        <f>IF($J1461=0,0,ROUND(MAX($J1461*1.4*1.5*1.6*1.6*2.2*2.715*2.6*1.4*1.4*1.5*1.5,18900000000*(1.65331^(MIN($E1461,123)-117)))*1,0))</f>
        <v>123856521</v>
      </c>
      <c r="AG1461" s="4">
        <f>$E1461+27</f>
        <v>134</v>
      </c>
      <c r="AH1461" s="8">
        <f>IF($J1461=0,0,ROUND(MAX($J1461*1.4*1.5*1.6*1.6*2.2*2.715*2.6*1.4*1.4*1.5*1.5*3.2,60500000000*(1.654288^(MIN($E1461,123)-117)))*1,0))</f>
        <v>394134254</v>
      </c>
    </row>
    <row r="1462" ht="27.75" customHeight="1" spans="1:34" x14ac:dyDescent="0.25">
      <c r="A1462" s="3">
        <v>1472</v>
      </c>
      <c r="B1462" s="3" t="s">
        <v>1073</v>
      </c>
      <c r="C1462" s="3" t="s">
        <v>1042</v>
      </c>
      <c r="D1462" s="3" t="s">
        <v>93</v>
      </c>
      <c r="E1462" s="3">
        <v>107</v>
      </c>
      <c r="F1462" s="3" t="s">
        <v>56</v>
      </c>
      <c r="G1462" s="3" t="s">
        <v>402</v>
      </c>
      <c r="H1462" s="3">
        <v>23</v>
      </c>
      <c r="I1462" s="4">
        <v>107</v>
      </c>
      <c r="J1462" s="5">
        <v>147000</v>
      </c>
      <c r="K1462" s="6">
        <f>$E1462+1</f>
        <v>108</v>
      </c>
      <c r="L1462" s="7">
        <f>IF($J1462=0,0,ROUND(MAX($J1462*1.4,1620000*(1.497923^(MIN($E1462,123)-117)))*1,0))</f>
        <v>205800</v>
      </c>
      <c r="M1462" s="4">
        <f>$E1462+2</f>
        <v>109</v>
      </c>
      <c r="N1462" s="8">
        <f>IF($J1462=0,0,ROUND(MAX($J1462*1.4*1.5,2190000*(1.580994^(MIN($E1462,123)-117)))*1,0))</f>
        <v>308700</v>
      </c>
      <c r="O1462" s="6">
        <f>$E1462+4</f>
        <v>111</v>
      </c>
      <c r="P1462" s="7">
        <f>IF($J1462=0,0,ROUND(MAX($J1462*1.4*1.5*1.6,3500000*(1.57975^(MIN($E1462,123)-117)))*1,0))</f>
        <v>493920</v>
      </c>
      <c r="Q1462" s="4">
        <f>$E1462+6</f>
        <v>113</v>
      </c>
      <c r="R1462" s="8">
        <f>IF($J1462=0,0,ROUND(MAX($J1462*1.4*1.5*1.6*1.6,13100000*(1.429962^(MIN($E1462,123)-117)))*1,0))</f>
        <v>790272</v>
      </c>
      <c r="S1462" s="6">
        <f>$E1462+8</f>
        <v>115</v>
      </c>
      <c r="T1462" s="7">
        <f>IF($J1462=0,0,ROUND(MAX($J1462*1.4*1.5*1.6*1.6*2.2,42600000*(1.576904^(MIN($E1462,123)-117)))*1,0))</f>
        <v>1738598</v>
      </c>
      <c r="U1462" s="4">
        <f>$E1462+11</f>
        <v>118</v>
      </c>
      <c r="V1462" s="8">
        <f>IF($J1462=0,0,ROUND(MAX($J1462*1.4*1.5*1.6*1.6*2.2*2.715,354000000*(1.642074^(MIN($E1462,123)-117)))*1,0))</f>
        <v>4720295</v>
      </c>
      <c r="W1462" s="6">
        <f>$E1462+15</f>
        <v>122</v>
      </c>
      <c r="X1462" s="7">
        <f>IF($J1462=0,0,ROUND(MAX($J1462*1.4*1.5*1.6*1.6*2.2*2.715*2.6,3540000000*(1.579646^(MIN($E1462,123)-117)))*1,0))</f>
        <v>36593634</v>
      </c>
      <c r="Y1462" s="4">
        <f>$E1462+17</f>
        <v>124</v>
      </c>
      <c r="Z1462" s="8">
        <f>IF($J1462=0,0,ROUND(MAX($J1462*1.4*1.5*1.6*1.6*2.2*2.715*2.6*1.4,6020000000*(1.651178^(MIN($E1462,123)-117)))*1,0))</f>
        <v>39962952</v>
      </c>
      <c r="AA1462" s="6">
        <f>$E1462+19</f>
        <v>126</v>
      </c>
      <c r="AB1462" s="7">
        <f>IF($J1462=0,0,ROUND(MAX($J1462*1.4*1.5*1.6*1.6*2.2*2.715*2.6*1.4*1.4,8430000000*(1.651435^(MIN($E1462,123)-117)))*1,0))</f>
        <v>55874381</v>
      </c>
      <c r="AC1462" s="4">
        <f>$E1462+21</f>
        <v>128</v>
      </c>
      <c r="AD1462" s="8">
        <f>IF($J1462=0,0,ROUND(MAX($J1462*1.4*1.5*1.6*1.6*2.2*2.715*2.6*1.4*1.4*1.5,12600000000*(1.652953^(MIN($E1462,123)-117)))*1,0))</f>
        <v>82749522</v>
      </c>
      <c r="AE1462" s="6">
        <f>$E1462+24</f>
        <v>131</v>
      </c>
      <c r="AF1462" s="7">
        <f>IF($J1462=0,0,ROUND(MAX($J1462*1.4*1.5*1.6*1.6*2.2*2.715*2.6*1.4*1.4*1.5*1.5,18900000000*(1.65331^(MIN($E1462,123)-117)))*1,0))</f>
        <v>123856521</v>
      </c>
      <c r="AG1462" s="4">
        <f>$E1462+27</f>
        <v>134</v>
      </c>
      <c r="AH1462" s="8">
        <f>IF($J1462=0,0,ROUND(MAX($J1462*1.4*1.5*1.6*1.6*2.2*2.715*2.6*1.4*1.4*1.5*1.5*3.2,60500000000*(1.654288^(MIN($E1462,123)-117)))*1,0))</f>
        <v>394134254</v>
      </c>
    </row>
    <row r="1463" ht="27.75" customHeight="1" spans="1:34" x14ac:dyDescent="0.25">
      <c r="A1463" s="3">
        <v>1473</v>
      </c>
      <c r="B1463" s="3" t="s">
        <v>1074</v>
      </c>
      <c r="C1463" s="3" t="s">
        <v>1042</v>
      </c>
      <c r="D1463" s="3" t="s">
        <v>75</v>
      </c>
      <c r="E1463" s="3">
        <v>107</v>
      </c>
      <c r="F1463" s="3" t="s">
        <v>132</v>
      </c>
      <c r="G1463" s="3" t="s">
        <v>171</v>
      </c>
      <c r="H1463" s="3">
        <v>23</v>
      </c>
      <c r="I1463" s="4">
        <v>107</v>
      </c>
      <c r="J1463" s="5">
        <v>122000</v>
      </c>
      <c r="K1463" s="6">
        <f>$E1463+1</f>
        <v>108</v>
      </c>
      <c r="L1463" s="7">
        <f>IF($J1463=0,0,ROUND(MAX($J1463*1.4,1620000*(1.497923^(MIN($E1463,123)-117)))*1,0))</f>
        <v>170800</v>
      </c>
      <c r="M1463" s="4">
        <f>$E1463+2</f>
        <v>109</v>
      </c>
      <c r="N1463" s="8">
        <f>IF($J1463=0,0,ROUND(MAX($J1463*1.4*1.5,2190000*(1.580994^(MIN($E1463,123)-117)))*1,0))</f>
        <v>256200</v>
      </c>
      <c r="O1463" s="6">
        <f>$E1463+4</f>
        <v>111</v>
      </c>
      <c r="P1463" s="7">
        <f>IF($J1463=0,0,ROUND(MAX($J1463*1.4*1.5*1.6,3500000*(1.57975^(MIN($E1463,123)-117)))*1,0))</f>
        <v>409920</v>
      </c>
      <c r="Q1463" s="4">
        <f>$E1463+6</f>
        <v>113</v>
      </c>
      <c r="R1463" s="8">
        <f>IF($J1463=0,0,ROUND(MAX($J1463*1.4*1.5*1.6*1.6,13100000*(1.429962^(MIN($E1463,123)-117)))*1,0))</f>
        <v>655872</v>
      </c>
      <c r="S1463" s="6">
        <f>$E1463+8</f>
        <v>115</v>
      </c>
      <c r="T1463" s="7">
        <f>IF($J1463=0,0,ROUND(MAX($J1463*1.4*1.5*1.6*1.6*2.2,42600000*(1.576904^(MIN($E1463,123)-117)))*1,0))</f>
        <v>1442918</v>
      </c>
      <c r="U1463" s="4">
        <f>$E1463+11</f>
        <v>118</v>
      </c>
      <c r="V1463" s="8">
        <f>IF($J1463=0,0,ROUND(MAX($J1463*1.4*1.5*1.6*1.6*2.2*2.715,354000000*(1.642074^(MIN($E1463,123)-117)))*1,0))</f>
        <v>3917523</v>
      </c>
      <c r="W1463" s="6">
        <f>$E1463+15</f>
        <v>122</v>
      </c>
      <c r="X1463" s="7">
        <f>IF($J1463=0,0,ROUND(MAX($J1463*1.4*1.5*1.6*1.6*2.2*2.715*2.6,3540000000*(1.579646^(MIN($E1463,123)-117)))*1,0))</f>
        <v>36593634</v>
      </c>
      <c r="Y1463" s="4">
        <f>$E1463+17</f>
        <v>124</v>
      </c>
      <c r="Z1463" s="8">
        <f>IF($J1463=0,0,ROUND(MAX($J1463*1.4*1.5*1.6*1.6*2.2*2.715*2.6*1.4,6020000000*(1.651178^(MIN($E1463,123)-117)))*1,0))</f>
        <v>39962952</v>
      </c>
      <c r="AA1463" s="6">
        <f>$E1463+19</f>
        <v>126</v>
      </c>
      <c r="AB1463" s="7">
        <f>IF($J1463=0,0,ROUND(MAX($J1463*1.4*1.5*1.6*1.6*2.2*2.715*2.6*1.4*1.4,8430000000*(1.651435^(MIN($E1463,123)-117)))*1,0))</f>
        <v>55874381</v>
      </c>
      <c r="AC1463" s="4">
        <f>$E1463+21</f>
        <v>128</v>
      </c>
      <c r="AD1463" s="8">
        <f>IF($J1463=0,0,ROUND(MAX($J1463*1.4*1.5*1.6*1.6*2.2*2.715*2.6*1.4*1.4*1.5,12600000000*(1.652953^(MIN($E1463,123)-117)))*1,0))</f>
        <v>82749522</v>
      </c>
      <c r="AE1463" s="6">
        <f>$E1463+24</f>
        <v>131</v>
      </c>
      <c r="AF1463" s="7">
        <f>IF($J1463=0,0,ROUND(MAX($J1463*1.4*1.5*1.6*1.6*2.2*2.715*2.6*1.4*1.4*1.5*1.5,18900000000*(1.65331^(MIN($E1463,123)-117)))*1,0))</f>
        <v>123856521</v>
      </c>
      <c r="AG1463" s="4">
        <f>$E1463+27</f>
        <v>134</v>
      </c>
      <c r="AH1463" s="8">
        <f>IF($J1463=0,0,ROUND(MAX($J1463*1.4*1.5*1.6*1.6*2.2*2.715*2.6*1.4*1.4*1.5*1.5*3.2,60500000000*(1.654288^(MIN($E1463,123)-117)))*1,0))</f>
        <v>394134254</v>
      </c>
    </row>
    <row r="1464" ht="27.75" customHeight="1" spans="1:34" x14ac:dyDescent="0.25">
      <c r="A1464" s="3">
        <v>1474</v>
      </c>
      <c r="B1464" s="3" t="s">
        <v>1075</v>
      </c>
      <c r="C1464" s="3" t="s">
        <v>1042</v>
      </c>
      <c r="D1464" s="3" t="s">
        <v>102</v>
      </c>
      <c r="E1464" s="3">
        <v>107</v>
      </c>
      <c r="F1464" s="3" t="s">
        <v>56</v>
      </c>
      <c r="G1464" s="3" t="s">
        <v>416</v>
      </c>
      <c r="H1464" s="3">
        <v>23</v>
      </c>
      <c r="I1464" s="4">
        <v>107</v>
      </c>
      <c r="J1464" s="5">
        <v>136000</v>
      </c>
      <c r="K1464" s="6">
        <f>$E1464+1</f>
        <v>108</v>
      </c>
      <c r="L1464" s="7">
        <f>IF($J1464=0,0,ROUND(MAX($J1464*1.4,1620000*(1.497923^(MIN($E1464,123)-117)))*1,0))</f>
        <v>190400</v>
      </c>
      <c r="M1464" s="4">
        <f>$E1464+2</f>
        <v>109</v>
      </c>
      <c r="N1464" s="8">
        <f>IF($J1464=0,0,ROUND(MAX($J1464*1.4*1.5,2190000*(1.580994^(MIN($E1464,123)-117)))*1,0))</f>
        <v>285600</v>
      </c>
      <c r="O1464" s="6">
        <f>$E1464+4</f>
        <v>111</v>
      </c>
      <c r="P1464" s="7">
        <f>IF($J1464=0,0,ROUND(MAX($J1464*1.4*1.5*1.6,3500000*(1.57975^(MIN($E1464,123)-117)))*1,0))</f>
        <v>456960</v>
      </c>
      <c r="Q1464" s="4">
        <f>$E1464+6</f>
        <v>113</v>
      </c>
      <c r="R1464" s="8">
        <f>IF($J1464=0,0,ROUND(MAX($J1464*1.4*1.5*1.6*1.6,13100000*(1.429962^(MIN($E1464,123)-117)))*1,0))</f>
        <v>731136</v>
      </c>
      <c r="S1464" s="6">
        <f>$E1464+8</f>
        <v>115</v>
      </c>
      <c r="T1464" s="7">
        <f>IF($J1464=0,0,ROUND(MAX($J1464*1.4*1.5*1.6*1.6*2.2,42600000*(1.576904^(MIN($E1464,123)-117)))*1,0))</f>
        <v>1608499</v>
      </c>
      <c r="U1464" s="4">
        <f>$E1464+11</f>
        <v>118</v>
      </c>
      <c r="V1464" s="8">
        <f>IF($J1464=0,0,ROUND(MAX($J1464*1.4*1.5*1.6*1.6*2.2*2.715,354000000*(1.642074^(MIN($E1464,123)-117)))*1,0))</f>
        <v>4367075</v>
      </c>
      <c r="W1464" s="6">
        <f>$E1464+15</f>
        <v>122</v>
      </c>
      <c r="X1464" s="7">
        <f>IF($J1464=0,0,ROUND(MAX($J1464*1.4*1.5*1.6*1.6*2.2*2.715*2.6,3540000000*(1.579646^(MIN($E1464,123)-117)))*1,0))</f>
        <v>36593634</v>
      </c>
      <c r="Y1464" s="4">
        <f>$E1464+17</f>
        <v>124</v>
      </c>
      <c r="Z1464" s="8">
        <f>IF($J1464=0,0,ROUND(MAX($J1464*1.4*1.5*1.6*1.6*2.2*2.715*2.6*1.4,6020000000*(1.651178^(MIN($E1464,123)-117)))*1,0))</f>
        <v>39962952</v>
      </c>
      <c r="AA1464" s="6">
        <f>$E1464+19</f>
        <v>126</v>
      </c>
      <c r="AB1464" s="7">
        <f>IF($J1464=0,0,ROUND(MAX($J1464*1.4*1.5*1.6*1.6*2.2*2.715*2.6*1.4*1.4,8430000000*(1.651435^(MIN($E1464,123)-117)))*1,0))</f>
        <v>55874381</v>
      </c>
      <c r="AC1464" s="4">
        <f>$E1464+21</f>
        <v>128</v>
      </c>
      <c r="AD1464" s="8">
        <f>IF($J1464=0,0,ROUND(MAX($J1464*1.4*1.5*1.6*1.6*2.2*2.715*2.6*1.4*1.4*1.5,12600000000*(1.652953^(MIN($E1464,123)-117)))*1,0))</f>
        <v>82749522</v>
      </c>
      <c r="AE1464" s="6">
        <f>$E1464+24</f>
        <v>131</v>
      </c>
      <c r="AF1464" s="7">
        <f>IF($J1464=0,0,ROUND(MAX($J1464*1.4*1.5*1.6*1.6*2.2*2.715*2.6*1.4*1.4*1.5*1.5,18900000000*(1.65331^(MIN($E1464,123)-117)))*1,0))</f>
        <v>123856521</v>
      </c>
      <c r="AG1464" s="4">
        <f>$E1464+27</f>
        <v>134</v>
      </c>
      <c r="AH1464" s="8">
        <f>IF($J1464=0,0,ROUND(MAX($J1464*1.4*1.5*1.6*1.6*2.2*2.715*2.6*1.4*1.4*1.5*1.5*3.2,60500000000*(1.654288^(MIN($E1464,123)-117)))*1,0))</f>
        <v>394134254</v>
      </c>
    </row>
    <row r="1465" ht="27.75" customHeight="1" spans="1:34" x14ac:dyDescent="0.25">
      <c r="A1465" s="3">
        <v>1475</v>
      </c>
      <c r="B1465" s="3" t="s">
        <v>1076</v>
      </c>
      <c r="C1465" s="3" t="s">
        <v>1042</v>
      </c>
      <c r="D1465" s="3" t="s">
        <v>33</v>
      </c>
      <c r="E1465" s="3">
        <v>107</v>
      </c>
      <c r="F1465" s="3" t="s">
        <v>56</v>
      </c>
      <c r="G1465" s="3" t="s">
        <v>402</v>
      </c>
      <c r="H1465" s="3">
        <v>23</v>
      </c>
      <c r="I1465" s="4">
        <v>107</v>
      </c>
      <c r="J1465" s="5">
        <v>188000</v>
      </c>
      <c r="K1465" s="6">
        <f>$E1465+1</f>
        <v>108</v>
      </c>
      <c r="L1465" s="7">
        <f>IF($J1465=0,0,ROUND(MAX($J1465*1.4,1620000*(1.497923^(MIN($E1465,123)-117)))*1,0))</f>
        <v>263200</v>
      </c>
      <c r="M1465" s="4">
        <f>$E1465+2</f>
        <v>109</v>
      </c>
      <c r="N1465" s="8">
        <f>IF($J1465=0,0,ROUND(MAX($J1465*1.4*1.5,2190000*(1.580994^(MIN($E1465,123)-117)))*1,0))</f>
        <v>394800</v>
      </c>
      <c r="O1465" s="6">
        <f>$E1465+4</f>
        <v>111</v>
      </c>
      <c r="P1465" s="7">
        <f>IF($J1465=0,0,ROUND(MAX($J1465*1.4*1.5*1.6,3500000*(1.57975^(MIN($E1465,123)-117)))*1,0))</f>
        <v>631680</v>
      </c>
      <c r="Q1465" s="4">
        <f>$E1465+6</f>
        <v>113</v>
      </c>
      <c r="R1465" s="8">
        <f>IF($J1465=0,0,ROUND(MAX($J1465*1.4*1.5*1.6*1.6,13100000*(1.429962^(MIN($E1465,123)-117)))*1,0))</f>
        <v>1010688</v>
      </c>
      <c r="S1465" s="6">
        <f>$E1465+8</f>
        <v>115</v>
      </c>
      <c r="T1465" s="7">
        <f>IF($J1465=0,0,ROUND(MAX($J1465*1.4*1.5*1.6*1.6*2.2,42600000*(1.576904^(MIN($E1465,123)-117)))*1,0))</f>
        <v>2223514</v>
      </c>
      <c r="U1465" s="4">
        <f>$E1465+11</f>
        <v>118</v>
      </c>
      <c r="V1465" s="8">
        <f>IF($J1465=0,0,ROUND(MAX($J1465*1.4*1.5*1.6*1.6*2.2*2.715,354000000*(1.642074^(MIN($E1465,123)-117)))*1,0))</f>
        <v>6036839</v>
      </c>
      <c r="W1465" s="6">
        <f>$E1465+15</f>
        <v>122</v>
      </c>
      <c r="X1465" s="7">
        <f>IF($J1465=0,0,ROUND(MAX($J1465*1.4*1.5*1.6*1.6*2.2*2.715*2.6,3540000000*(1.579646^(MIN($E1465,123)-117)))*1,0))</f>
        <v>36593634</v>
      </c>
      <c r="Y1465" s="4">
        <f>$E1465+17</f>
        <v>124</v>
      </c>
      <c r="Z1465" s="8">
        <f>IF($J1465=0,0,ROUND(MAX($J1465*1.4*1.5*1.6*1.6*2.2*2.715*2.6*1.4,6020000000*(1.651178^(MIN($E1465,123)-117)))*1,0))</f>
        <v>39962952</v>
      </c>
      <c r="AA1465" s="6">
        <f>$E1465+19</f>
        <v>126</v>
      </c>
      <c r="AB1465" s="7">
        <f>IF($J1465=0,0,ROUND(MAX($J1465*1.4*1.5*1.6*1.6*2.2*2.715*2.6*1.4*1.4,8430000000*(1.651435^(MIN($E1465,123)-117)))*1,0))</f>
        <v>55874381</v>
      </c>
      <c r="AC1465" s="4">
        <f>$E1465+21</f>
        <v>128</v>
      </c>
      <c r="AD1465" s="8">
        <f>IF($J1465=0,0,ROUND(MAX($J1465*1.4*1.5*1.6*1.6*2.2*2.715*2.6*1.4*1.4*1.5,12600000000*(1.652953^(MIN($E1465,123)-117)))*1,0))</f>
        <v>82749522</v>
      </c>
      <c r="AE1465" s="6">
        <f>$E1465+24</f>
        <v>131</v>
      </c>
      <c r="AF1465" s="7">
        <f>IF($J1465=0,0,ROUND(MAX($J1465*1.4*1.5*1.6*1.6*2.2*2.715*2.6*1.4*1.4*1.5*1.5,18900000000*(1.65331^(MIN($E1465,123)-117)))*1,0))</f>
        <v>123856521</v>
      </c>
      <c r="AG1465" s="4">
        <f>$E1465+27</f>
        <v>134</v>
      </c>
      <c r="AH1465" s="8">
        <f>IF($J1465=0,0,ROUND(MAX($J1465*1.4*1.5*1.6*1.6*2.2*2.715*2.6*1.4*1.4*1.5*1.5*3.2,60500000000*(1.654288^(MIN($E1465,123)-117)))*1,0))</f>
        <v>394134254</v>
      </c>
    </row>
    <row r="1466" ht="27.75" customHeight="1" spans="1:34" x14ac:dyDescent="0.25">
      <c r="A1466" s="3">
        <v>1476</v>
      </c>
      <c r="B1466" s="3" t="s">
        <v>1077</v>
      </c>
      <c r="C1466" s="3" t="s">
        <v>1042</v>
      </c>
      <c r="D1466" s="3" t="s">
        <v>102</v>
      </c>
      <c r="E1466" s="3">
        <v>107</v>
      </c>
      <c r="F1466" s="3" t="s">
        <v>34</v>
      </c>
      <c r="G1466" s="3" t="s">
        <v>569</v>
      </c>
      <c r="H1466" s="3">
        <v>23</v>
      </c>
      <c r="I1466" s="4">
        <v>107</v>
      </c>
      <c r="J1466" s="5">
        <v>69400</v>
      </c>
      <c r="K1466" s="6">
        <f>$E1466+1</f>
        <v>108</v>
      </c>
      <c r="L1466" s="7">
        <f>IF($J1466=0,0,ROUND(MAX($J1466*1.4,1620000*(1.497923^(MIN($E1466,123)-117)))*1,0))</f>
        <v>97160</v>
      </c>
      <c r="M1466" s="4">
        <f>$E1466+2</f>
        <v>109</v>
      </c>
      <c r="N1466" s="8">
        <f>IF($J1466=0,0,ROUND(MAX($J1466*1.4*1.5,2190000*(1.580994^(MIN($E1466,123)-117)))*1,0))</f>
        <v>145740</v>
      </c>
      <c r="O1466" s="6">
        <f>$E1466+4</f>
        <v>111</v>
      </c>
      <c r="P1466" s="7">
        <f>IF($J1466=0,0,ROUND(MAX($J1466*1.4*1.5*1.6,3500000*(1.57975^(MIN($E1466,123)-117)))*1,0))</f>
        <v>233184</v>
      </c>
      <c r="Q1466" s="4">
        <f>$E1466+6</f>
        <v>113</v>
      </c>
      <c r="R1466" s="8">
        <f>IF($J1466=0,0,ROUND(MAX($J1466*1.4*1.5*1.6*1.6,13100000*(1.429962^(MIN($E1466,123)-117)))*1,0))</f>
        <v>373094</v>
      </c>
      <c r="S1466" s="6">
        <f>$E1466+8</f>
        <v>115</v>
      </c>
      <c r="T1466" s="7">
        <f>IF($J1466=0,0,ROUND(MAX($J1466*1.4*1.5*1.6*1.6*2.2,42600000*(1.576904^(MIN($E1466,123)-117)))*1,0))</f>
        <v>820808</v>
      </c>
      <c r="U1466" s="4">
        <f>$E1466+11</f>
        <v>118</v>
      </c>
      <c r="V1466" s="8">
        <f>IF($J1466=0,0,ROUND(MAX($J1466*1.4*1.5*1.6*1.6*2.2*2.715,354000000*(1.642074^(MIN($E1466,123)-117)))*1,0))</f>
        <v>2483568</v>
      </c>
      <c r="W1466" s="6">
        <f>$E1466+15</f>
        <v>122</v>
      </c>
      <c r="X1466" s="7">
        <f>IF($J1466=0,0,ROUND(MAX($J1466*1.4*1.5*1.6*1.6*2.2*2.715*2.6,3540000000*(1.579646^(MIN($E1466,123)-117)))*1,0))</f>
        <v>36593634</v>
      </c>
      <c r="Y1466" s="4">
        <f>$E1466+17</f>
        <v>124</v>
      </c>
      <c r="Z1466" s="8">
        <f>IF($J1466=0,0,ROUND(MAX($J1466*1.4*1.5*1.6*1.6*2.2*2.715*2.6*1.4,6020000000*(1.651178^(MIN($E1466,123)-117)))*1,0))</f>
        <v>39962952</v>
      </c>
      <c r="AA1466" s="6">
        <f>$E1466+19</f>
        <v>126</v>
      </c>
      <c r="AB1466" s="7">
        <f>IF($J1466=0,0,ROUND(MAX($J1466*1.4*1.5*1.6*1.6*2.2*2.715*2.6*1.4*1.4,8430000000*(1.651435^(MIN($E1466,123)-117)))*1,0))</f>
        <v>55874381</v>
      </c>
      <c r="AC1466" s="4">
        <f>$E1466+21</f>
        <v>128</v>
      </c>
      <c r="AD1466" s="8">
        <f>IF($J1466=0,0,ROUND(MAX($J1466*1.4*1.5*1.6*1.6*2.2*2.715*2.6*1.4*1.4*1.5,12600000000*(1.652953^(MIN($E1466,123)-117)))*1,0))</f>
        <v>82749522</v>
      </c>
      <c r="AE1466" s="6">
        <f>$E1466+24</f>
        <v>131</v>
      </c>
      <c r="AF1466" s="7">
        <f>IF($J1466=0,0,ROUND(MAX($J1466*1.4*1.5*1.6*1.6*2.2*2.715*2.6*1.4*1.4*1.5*1.5,18900000000*(1.65331^(MIN($E1466,123)-117)))*1,0))</f>
        <v>123856521</v>
      </c>
      <c r="AG1466" s="4">
        <f>$E1466+27</f>
        <v>134</v>
      </c>
      <c r="AH1466" s="8">
        <f>IF($J1466=0,0,ROUND(MAX($J1466*1.4*1.5*1.6*1.6*2.2*2.715*2.6*1.4*1.4*1.5*1.5*3.2,60500000000*(1.654288^(MIN($E1466,123)-117)))*1,0))</f>
        <v>394134254</v>
      </c>
    </row>
    <row r="1467" ht="27.75" customHeight="1" spans="1:34" x14ac:dyDescent="0.25">
      <c r="A1467" s="3">
        <v>1477</v>
      </c>
      <c r="B1467" s="3" t="s">
        <v>1078</v>
      </c>
      <c r="C1467" s="3" t="s">
        <v>1042</v>
      </c>
      <c r="D1467" s="3" t="s">
        <v>33</v>
      </c>
      <c r="E1467" s="3">
        <v>107</v>
      </c>
      <c r="F1467" s="3" t="s">
        <v>34</v>
      </c>
      <c r="G1467" s="3" t="s">
        <v>1029</v>
      </c>
      <c r="H1467" s="3">
        <v>23</v>
      </c>
      <c r="I1467" s="4">
        <v>107</v>
      </c>
      <c r="J1467" s="5">
        <v>224000</v>
      </c>
      <c r="K1467" s="6">
        <f>$E1467+1</f>
        <v>108</v>
      </c>
      <c r="L1467" s="7">
        <f>IF($J1467=0,0,ROUND(MAX($J1467*1.4,1620000*(1.497923^(MIN($E1467,123)-117)))*1,0))</f>
        <v>313600</v>
      </c>
      <c r="M1467" s="4">
        <f>$E1467+2</f>
        <v>109</v>
      </c>
      <c r="N1467" s="8">
        <f>IF($J1467=0,0,ROUND(MAX($J1467*1.4*1.5,2190000*(1.580994^(MIN($E1467,123)-117)))*1,0))</f>
        <v>470400</v>
      </c>
      <c r="O1467" s="6">
        <f>$E1467+4</f>
        <v>111</v>
      </c>
      <c r="P1467" s="7">
        <f>IF($J1467=0,0,ROUND(MAX($J1467*1.4*1.5*1.6,3500000*(1.57975^(MIN($E1467,123)-117)))*1,0))</f>
        <v>752640</v>
      </c>
      <c r="Q1467" s="4">
        <f>$E1467+6</f>
        <v>113</v>
      </c>
      <c r="R1467" s="8">
        <f>IF($J1467=0,0,ROUND(MAX($J1467*1.4*1.5*1.6*1.6,13100000*(1.429962^(MIN($E1467,123)-117)))*1,0))</f>
        <v>1204224</v>
      </c>
      <c r="S1467" s="6">
        <f>$E1467+8</f>
        <v>115</v>
      </c>
      <c r="T1467" s="7">
        <f>IF($J1467=0,0,ROUND(MAX($J1467*1.4*1.5*1.6*1.6*2.2,42600000*(1.576904^(MIN($E1467,123)-117)))*1,0))</f>
        <v>2649293</v>
      </c>
      <c r="U1467" s="4">
        <f>$E1467+11</f>
        <v>118</v>
      </c>
      <c r="V1467" s="8">
        <f>IF($J1467=0,0,ROUND(MAX($J1467*1.4*1.5*1.6*1.6*2.2*2.715,354000000*(1.642074^(MIN($E1467,123)-117)))*1,0))</f>
        <v>7192830</v>
      </c>
      <c r="W1467" s="6">
        <f>$E1467+15</f>
        <v>122</v>
      </c>
      <c r="X1467" s="7">
        <f>IF($J1467=0,0,ROUND(MAX($J1467*1.4*1.5*1.6*1.6*2.2*2.715*2.6,3540000000*(1.579646^(MIN($E1467,123)-117)))*1,0))</f>
        <v>36593634</v>
      </c>
      <c r="Y1467" s="4">
        <f>$E1467+17</f>
        <v>124</v>
      </c>
      <c r="Z1467" s="8">
        <f>IF($J1467=0,0,ROUND(MAX($J1467*1.4*1.5*1.6*1.6*2.2*2.715*2.6*1.4,6020000000*(1.651178^(MIN($E1467,123)-117)))*1,0))</f>
        <v>39962952</v>
      </c>
      <c r="AA1467" s="6">
        <f>$E1467+19</f>
        <v>126</v>
      </c>
      <c r="AB1467" s="7">
        <f>IF($J1467=0,0,ROUND(MAX($J1467*1.4*1.5*1.6*1.6*2.2*2.715*2.6*1.4*1.4,8430000000*(1.651435^(MIN($E1467,123)-117)))*1,0))</f>
        <v>55874381</v>
      </c>
      <c r="AC1467" s="4">
        <f>$E1467+21</f>
        <v>128</v>
      </c>
      <c r="AD1467" s="8">
        <f>IF($J1467=0,0,ROUND(MAX($J1467*1.4*1.5*1.6*1.6*2.2*2.715*2.6*1.4*1.4*1.5,12600000000*(1.652953^(MIN($E1467,123)-117)))*1,0))</f>
        <v>82749522</v>
      </c>
      <c r="AE1467" s="6">
        <f>$E1467+24</f>
        <v>131</v>
      </c>
      <c r="AF1467" s="7">
        <f>IF($J1467=0,0,ROUND(MAX($J1467*1.4*1.5*1.6*1.6*2.2*2.715*2.6*1.4*1.4*1.5*1.5,18900000000*(1.65331^(MIN($E1467,123)-117)))*1,0))</f>
        <v>123856521</v>
      </c>
      <c r="AG1467" s="4">
        <f>$E1467+27</f>
        <v>134</v>
      </c>
      <c r="AH1467" s="8">
        <f>IF($J1467=0,0,ROUND(MAX($J1467*1.4*1.5*1.6*1.6*2.2*2.715*2.6*1.4*1.4*1.5*1.5*3.2,60500000000*(1.654288^(MIN($E1467,123)-117)))*1,0))</f>
        <v>394134254</v>
      </c>
    </row>
    <row r="1468" ht="27.75" customHeight="1" spans="1:34" x14ac:dyDescent="0.25">
      <c r="A1468" s="3">
        <v>1478</v>
      </c>
      <c r="B1468" s="3" t="s">
        <v>1079</v>
      </c>
      <c r="C1468" s="3" t="s">
        <v>1042</v>
      </c>
      <c r="D1468" s="3" t="s">
        <v>331</v>
      </c>
      <c r="E1468" s="3">
        <v>107</v>
      </c>
      <c r="F1468" s="3" t="s">
        <v>400</v>
      </c>
      <c r="G1468" s="3" t="s">
        <v>1080</v>
      </c>
      <c r="H1468" s="3">
        <v>23</v>
      </c>
      <c r="I1468" s="4">
        <v>107</v>
      </c>
      <c r="J1468" s="5">
        <v>35100</v>
      </c>
      <c r="K1468" s="6">
        <f>$E1468+1</f>
        <v>108</v>
      </c>
      <c r="L1468" s="7">
        <f>IF($J1468=0,0,ROUND(MAX($J1468*1.4,1620000*(1.497923^(MIN($E1468,123)-117)))*1,0))</f>
        <v>49140</v>
      </c>
      <c r="M1468" s="4">
        <f>$E1468+2</f>
        <v>109</v>
      </c>
      <c r="N1468" s="8">
        <f>IF($J1468=0,0,ROUND(MAX($J1468*1.4*1.5,2190000*(1.580994^(MIN($E1468,123)-117)))*1,0))</f>
        <v>73710</v>
      </c>
      <c r="O1468" s="6">
        <f>$E1468+4</f>
        <v>111</v>
      </c>
      <c r="P1468" s="7">
        <f>IF($J1468=0,0,ROUND(MAX($J1468*1.4*1.5*1.6,3500000*(1.57975^(MIN($E1468,123)-117)))*1,0))</f>
        <v>117936</v>
      </c>
      <c r="Q1468" s="4">
        <f>$E1468+6</f>
        <v>113</v>
      </c>
      <c r="R1468" s="8">
        <f>IF($J1468=0,0,ROUND(MAX($J1468*1.4*1.5*1.6*1.6,13100000*(1.429962^(MIN($E1468,123)-117)))*1,0))</f>
        <v>366460</v>
      </c>
      <c r="S1468" s="6">
        <f>$E1468+8</f>
        <v>115</v>
      </c>
      <c r="T1468" s="7">
        <f>IF($J1468=0,0,ROUND(MAX($J1468*1.4*1.5*1.6*1.6*2.2,42600000*(1.576904^(MIN($E1468,123)-117)))*1,0))</f>
        <v>448082</v>
      </c>
      <c r="U1468" s="4">
        <f>$E1468+11</f>
        <v>118</v>
      </c>
      <c r="V1468" s="8">
        <f>IF($J1468=0,0,ROUND(MAX($J1468*1.4*1.5*1.6*1.6*2.2*2.715,354000000*(1.642074^(MIN($E1468,123)-117)))*1,0))</f>
        <v>2483568</v>
      </c>
      <c r="W1468" s="6">
        <f>$E1468+15</f>
        <v>122</v>
      </c>
      <c r="X1468" s="7">
        <f>IF($J1468=0,0,ROUND(MAX($J1468*1.4*1.5*1.6*1.6*2.2*2.715*2.6,3540000000*(1.579646^(MIN($E1468,123)-117)))*1,0))</f>
        <v>36593634</v>
      </c>
      <c r="Y1468" s="4">
        <f>$E1468+17</f>
        <v>124</v>
      </c>
      <c r="Z1468" s="8">
        <f>IF($J1468=0,0,ROUND(MAX($J1468*1.4*1.5*1.6*1.6*2.2*2.715*2.6*1.4,6020000000*(1.651178^(MIN($E1468,123)-117)))*1,0))</f>
        <v>39962952</v>
      </c>
      <c r="AA1468" s="6">
        <f>$E1468+19</f>
        <v>126</v>
      </c>
      <c r="AB1468" s="7">
        <f>IF($J1468=0,0,ROUND(MAX($J1468*1.4*1.5*1.6*1.6*2.2*2.715*2.6*1.4*1.4,8430000000*(1.651435^(MIN($E1468,123)-117)))*1,0))</f>
        <v>55874381</v>
      </c>
      <c r="AC1468" s="4">
        <f>$E1468+21</f>
        <v>128</v>
      </c>
      <c r="AD1468" s="8">
        <f>IF($J1468=0,0,ROUND(MAX($J1468*1.4*1.5*1.6*1.6*2.2*2.715*2.6*1.4*1.4*1.5,12600000000*(1.652953^(MIN($E1468,123)-117)))*1,0))</f>
        <v>82749522</v>
      </c>
      <c r="AE1468" s="6">
        <f>$E1468+24</f>
        <v>131</v>
      </c>
      <c r="AF1468" s="7">
        <f>IF($J1468=0,0,ROUND(MAX($J1468*1.4*1.5*1.6*1.6*2.2*2.715*2.6*1.4*1.4*1.5*1.5,18900000000*(1.65331^(MIN($E1468,123)-117)))*1,0))</f>
        <v>123856521</v>
      </c>
      <c r="AG1468" s="4">
        <f>$E1468+27</f>
        <v>134</v>
      </c>
      <c r="AH1468" s="8">
        <f>IF($J1468=0,0,ROUND(MAX($J1468*1.4*1.5*1.6*1.6*2.2*2.715*2.6*1.4*1.4*1.5*1.5*3.2,60500000000*(1.654288^(MIN($E1468,123)-117)))*1,0))</f>
        <v>394134254</v>
      </c>
    </row>
    <row r="1469" ht="27.75" customHeight="1" spans="1:34" x14ac:dyDescent="0.25">
      <c r="A1469" s="3">
        <v>1479</v>
      </c>
      <c r="B1469" s="3" t="s">
        <v>1081</v>
      </c>
      <c r="C1469" s="3" t="s">
        <v>1042</v>
      </c>
      <c r="D1469" s="3" t="s">
        <v>33</v>
      </c>
      <c r="E1469" s="3">
        <v>107</v>
      </c>
      <c r="F1469" s="3" t="s">
        <v>34</v>
      </c>
      <c r="G1469" s="3" t="s">
        <v>1043</v>
      </c>
      <c r="H1469" s="3">
        <v>23</v>
      </c>
      <c r="I1469" s="4">
        <v>107</v>
      </c>
      <c r="J1469" s="5">
        <v>7170</v>
      </c>
      <c r="K1469" s="6">
        <f>$E1469+1</f>
        <v>108</v>
      </c>
      <c r="L1469" s="7">
        <f>IF($J1469=0,0,ROUND(MAX($J1469*1.4,1620000*(1.497923^(MIN($E1469,123)-117)))*1,0))</f>
        <v>28485</v>
      </c>
      <c r="M1469" s="4">
        <f>$E1469+2</f>
        <v>109</v>
      </c>
      <c r="N1469" s="8">
        <f>IF($J1469=0,0,ROUND(MAX($J1469*1.4*1.5,2190000*(1.580994^(MIN($E1469,123)-117)))*1,0))</f>
        <v>22446</v>
      </c>
      <c r="O1469" s="6">
        <f>$E1469+4</f>
        <v>111</v>
      </c>
      <c r="P1469" s="7">
        <f>IF($J1469=0,0,ROUND(MAX($J1469*1.4*1.5*1.6,3500000*(1.57975^(MIN($E1469,123)-117)))*1,0))</f>
        <v>36156</v>
      </c>
      <c r="Q1469" s="4">
        <f>$E1469+6</f>
        <v>113</v>
      </c>
      <c r="R1469" s="8">
        <f>IF($J1469=0,0,ROUND(MAX($J1469*1.4*1.5*1.6*1.6,13100000*(1.429962^(MIN($E1469,123)-117)))*1,0))</f>
        <v>366460</v>
      </c>
      <c r="S1469" s="6">
        <f>$E1469+8</f>
        <v>115</v>
      </c>
      <c r="T1469" s="7">
        <f>IF($J1469=0,0,ROUND(MAX($J1469*1.4*1.5*1.6*1.6*2.2,42600000*(1.576904^(MIN($E1469,123)-117)))*1,0))</f>
        <v>448082</v>
      </c>
      <c r="U1469" s="4">
        <f>$E1469+11</f>
        <v>118</v>
      </c>
      <c r="V1469" s="8">
        <f>IF($J1469=0,0,ROUND(MAX($J1469*1.4*1.5*1.6*1.6*2.2*2.715,354000000*(1.642074^(MIN($E1469,123)-117)))*1,0))</f>
        <v>2483568</v>
      </c>
      <c r="W1469" s="6">
        <f>$E1469+15</f>
        <v>122</v>
      </c>
      <c r="X1469" s="7">
        <f>IF($J1469=0,0,ROUND(MAX($J1469*1.4*1.5*1.6*1.6*2.2*2.715*2.6,3540000000*(1.579646^(MIN($E1469,123)-117)))*1,0))</f>
        <v>36593634</v>
      </c>
      <c r="Y1469" s="4">
        <f>$E1469+17</f>
        <v>124</v>
      </c>
      <c r="Z1469" s="8">
        <f>IF($J1469=0,0,ROUND(MAX($J1469*1.4*1.5*1.6*1.6*2.2*2.715*2.6*1.4,6020000000*(1.651178^(MIN($E1469,123)-117)))*1,0))</f>
        <v>39962952</v>
      </c>
      <c r="AA1469" s="6">
        <f>$E1469+19</f>
        <v>126</v>
      </c>
      <c r="AB1469" s="7">
        <f>IF($J1469=0,0,ROUND(MAX($J1469*1.4*1.5*1.6*1.6*2.2*2.715*2.6*1.4*1.4,8430000000*(1.651435^(MIN($E1469,123)-117)))*1,0))</f>
        <v>55874381</v>
      </c>
      <c r="AC1469" s="4">
        <f>$E1469+21</f>
        <v>128</v>
      </c>
      <c r="AD1469" s="8">
        <f>IF($J1469=0,0,ROUND(MAX($J1469*1.4*1.5*1.6*1.6*2.2*2.715*2.6*1.4*1.4*1.5,12600000000*(1.652953^(MIN($E1469,123)-117)))*1,0))</f>
        <v>82749522</v>
      </c>
      <c r="AE1469" s="6">
        <f>$E1469+24</f>
        <v>131</v>
      </c>
      <c r="AF1469" s="7">
        <f>IF($J1469=0,0,ROUND(MAX($J1469*1.4*1.5*1.6*1.6*2.2*2.715*2.6*1.4*1.4*1.5*1.5,18900000000*(1.65331^(MIN($E1469,123)-117)))*1,0))</f>
        <v>123856521</v>
      </c>
      <c r="AG1469" s="4">
        <f>$E1469+27</f>
        <v>134</v>
      </c>
      <c r="AH1469" s="8">
        <f>IF($J1469=0,0,ROUND(MAX($J1469*1.4*1.5*1.6*1.6*2.2*2.715*2.6*1.4*1.4*1.5*1.5*3.2,60500000000*(1.654288^(MIN($E1469,123)-117)))*1,0))</f>
        <v>394134254</v>
      </c>
    </row>
    <row r="1470" ht="27.75" customHeight="1" spans="1:34" x14ac:dyDescent="0.25">
      <c r="A1470" s="3">
        <v>1480</v>
      </c>
      <c r="B1470" s="3" t="s">
        <v>1082</v>
      </c>
      <c r="C1470" s="3" t="s">
        <v>1042</v>
      </c>
      <c r="D1470" s="3" t="s">
        <v>90</v>
      </c>
      <c r="E1470" s="3">
        <v>107</v>
      </c>
      <c r="F1470" s="3" t="s">
        <v>71</v>
      </c>
      <c r="G1470" s="3" t="s">
        <v>1043</v>
      </c>
      <c r="H1470" s="3">
        <v>23</v>
      </c>
      <c r="I1470" s="4">
        <v>107</v>
      </c>
      <c r="J1470" s="5">
        <v>32800</v>
      </c>
      <c r="K1470" s="6">
        <f>$E1470+1</f>
        <v>108</v>
      </c>
      <c r="L1470" s="7">
        <f>IF($J1470=0,0,ROUND(MAX($J1470*1.4,1620000*(1.497923^(MIN($E1470,123)-117)))*1,0))</f>
        <v>45920</v>
      </c>
      <c r="M1470" s="4">
        <f>$E1470+2</f>
        <v>109</v>
      </c>
      <c r="N1470" s="8">
        <f>IF($J1470=0,0,ROUND(MAX($J1470*1.4*1.5,2190000*(1.580994^(MIN($E1470,123)-117)))*1,0))</f>
        <v>68880</v>
      </c>
      <c r="O1470" s="6">
        <f>$E1470+4</f>
        <v>111</v>
      </c>
      <c r="P1470" s="7">
        <f>IF($J1470=0,0,ROUND(MAX($J1470*1.4*1.5*1.6,3500000*(1.57975^(MIN($E1470,123)-117)))*1,0))</f>
        <v>110208</v>
      </c>
      <c r="Q1470" s="4">
        <f>$E1470+6</f>
        <v>113</v>
      </c>
      <c r="R1470" s="8">
        <f>IF($J1470=0,0,ROUND(MAX($J1470*1.4*1.5*1.6*1.6,13100000*(1.429962^(MIN($E1470,123)-117)))*1,0))</f>
        <v>366460</v>
      </c>
      <c r="S1470" s="6">
        <f>$E1470+8</f>
        <v>115</v>
      </c>
      <c r="T1470" s="7">
        <f>IF($J1470=0,0,ROUND(MAX($J1470*1.4*1.5*1.6*1.6*2.2,42600000*(1.576904^(MIN($E1470,123)-117)))*1,0))</f>
        <v>448082</v>
      </c>
      <c r="U1470" s="4">
        <f>$E1470+11</f>
        <v>118</v>
      </c>
      <c r="V1470" s="8">
        <f>IF($J1470=0,0,ROUND(MAX($J1470*1.4*1.5*1.6*1.6*2.2*2.715,354000000*(1.642074^(MIN($E1470,123)-117)))*1,0))</f>
        <v>2483568</v>
      </c>
      <c r="W1470" s="6">
        <f>$E1470+15</f>
        <v>122</v>
      </c>
      <c r="X1470" s="7">
        <f>IF($J1470=0,0,ROUND(MAX($J1470*1.4*1.5*1.6*1.6*2.2*2.715*2.6,3540000000*(1.579646^(MIN($E1470,123)-117)))*1,0))</f>
        <v>36593634</v>
      </c>
      <c r="Y1470" s="4">
        <f>$E1470+17</f>
        <v>124</v>
      </c>
      <c r="Z1470" s="8">
        <f>IF($J1470=0,0,ROUND(MAX($J1470*1.4*1.5*1.6*1.6*2.2*2.715*2.6*1.4,6020000000*(1.651178^(MIN($E1470,123)-117)))*1,0))</f>
        <v>39962952</v>
      </c>
      <c r="AA1470" s="6">
        <f>$E1470+19</f>
        <v>126</v>
      </c>
      <c r="AB1470" s="7">
        <f>IF($J1470=0,0,ROUND(MAX($J1470*1.4*1.5*1.6*1.6*2.2*2.715*2.6*1.4*1.4,8430000000*(1.651435^(MIN($E1470,123)-117)))*1,0))</f>
        <v>55874381</v>
      </c>
      <c r="AC1470" s="4">
        <f>$E1470+21</f>
        <v>128</v>
      </c>
      <c r="AD1470" s="8">
        <f>IF($J1470=0,0,ROUND(MAX($J1470*1.4*1.5*1.6*1.6*2.2*2.715*2.6*1.4*1.4*1.5,12600000000*(1.652953^(MIN($E1470,123)-117)))*1,0))</f>
        <v>82749522</v>
      </c>
      <c r="AE1470" s="6">
        <f>$E1470+24</f>
        <v>131</v>
      </c>
      <c r="AF1470" s="7">
        <f>IF($J1470=0,0,ROUND(MAX($J1470*1.4*1.5*1.6*1.6*2.2*2.715*2.6*1.4*1.4*1.5*1.5,18900000000*(1.65331^(MIN($E1470,123)-117)))*1,0))</f>
        <v>123856521</v>
      </c>
      <c r="AG1470" s="4">
        <f>$E1470+27</f>
        <v>134</v>
      </c>
      <c r="AH1470" s="8">
        <f>IF($J1470=0,0,ROUND(MAX($J1470*1.4*1.5*1.6*1.6*2.2*2.715*2.6*1.4*1.4*1.5*1.5*3.2,60500000000*(1.654288^(MIN($E1470,123)-117)))*1,0))</f>
        <v>394134254</v>
      </c>
    </row>
    <row r="1471" ht="27.75" customHeight="1" spans="1:34" x14ac:dyDescent="0.25">
      <c r="A1471" s="3">
        <v>1481</v>
      </c>
      <c r="B1471" s="3" t="s">
        <v>1083</v>
      </c>
      <c r="C1471" s="3" t="s">
        <v>1042</v>
      </c>
      <c r="D1471" s="3" t="s">
        <v>33</v>
      </c>
      <c r="E1471" s="3">
        <v>107</v>
      </c>
      <c r="F1471" s="3" t="s">
        <v>56</v>
      </c>
      <c r="G1471" s="3" t="s">
        <v>1084</v>
      </c>
      <c r="H1471" s="3">
        <v>23</v>
      </c>
      <c r="I1471" s="4">
        <v>107</v>
      </c>
      <c r="J1471" s="5">
        <v>110000</v>
      </c>
      <c r="K1471" s="6">
        <f>$E1471+1</f>
        <v>108</v>
      </c>
      <c r="L1471" s="7">
        <f>IF($J1471=0,0,ROUND(MAX($J1471*1.4,1620000*(1.497923^(MIN($E1471,123)-117)))*1,0))</f>
        <v>154000</v>
      </c>
      <c r="M1471" s="4">
        <f>$E1471+2</f>
        <v>109</v>
      </c>
      <c r="N1471" s="8">
        <f>IF($J1471=0,0,ROUND(MAX($J1471*1.4*1.5,2190000*(1.580994^(MIN($E1471,123)-117)))*1,0))</f>
        <v>231000</v>
      </c>
      <c r="O1471" s="6">
        <f>$E1471+4</f>
        <v>111</v>
      </c>
      <c r="P1471" s="7">
        <f>IF($J1471=0,0,ROUND(MAX($J1471*1.4*1.5*1.6,3500000*(1.57975^(MIN($E1471,123)-117)))*1,0))</f>
        <v>369600</v>
      </c>
      <c r="Q1471" s="4">
        <f>$E1471+6</f>
        <v>113</v>
      </c>
      <c r="R1471" s="8">
        <f>IF($J1471=0,0,ROUND(MAX($J1471*1.4*1.5*1.6*1.6,13100000*(1.429962^(MIN($E1471,123)-117)))*1,0))</f>
        <v>591360</v>
      </c>
      <c r="S1471" s="6">
        <f>$E1471+8</f>
        <v>115</v>
      </c>
      <c r="T1471" s="7">
        <f>IF($J1471=0,0,ROUND(MAX($J1471*1.4*1.5*1.6*1.6*2.2,42600000*(1.576904^(MIN($E1471,123)-117)))*1,0))</f>
        <v>1300992</v>
      </c>
      <c r="U1471" s="4">
        <f>$E1471+11</f>
        <v>118</v>
      </c>
      <c r="V1471" s="8">
        <f>IF($J1471=0,0,ROUND(MAX($J1471*1.4*1.5*1.6*1.6*2.2*2.715,354000000*(1.642074^(MIN($E1471,123)-117)))*1,0))</f>
        <v>3532193</v>
      </c>
      <c r="W1471" s="6">
        <f>$E1471+15</f>
        <v>122</v>
      </c>
      <c r="X1471" s="7">
        <f>IF($J1471=0,0,ROUND(MAX($J1471*1.4*1.5*1.6*1.6*2.2*2.715*2.6,3540000000*(1.579646^(MIN($E1471,123)-117)))*1,0))</f>
        <v>36593634</v>
      </c>
      <c r="Y1471" s="4">
        <f>$E1471+17</f>
        <v>124</v>
      </c>
      <c r="Z1471" s="8">
        <f>IF($J1471=0,0,ROUND(MAX($J1471*1.4*1.5*1.6*1.6*2.2*2.715*2.6*1.4,6020000000*(1.651178^(MIN($E1471,123)-117)))*1,0))</f>
        <v>39962952</v>
      </c>
      <c r="AA1471" s="6">
        <f>$E1471+19</f>
        <v>126</v>
      </c>
      <c r="AB1471" s="7">
        <f>IF($J1471=0,0,ROUND(MAX($J1471*1.4*1.5*1.6*1.6*2.2*2.715*2.6*1.4*1.4,8430000000*(1.651435^(MIN($E1471,123)-117)))*1,0))</f>
        <v>55874381</v>
      </c>
      <c r="AC1471" s="4">
        <f>$E1471+21</f>
        <v>128</v>
      </c>
      <c r="AD1471" s="8">
        <f>IF($J1471=0,0,ROUND(MAX($J1471*1.4*1.5*1.6*1.6*2.2*2.715*2.6*1.4*1.4*1.5,12600000000*(1.652953^(MIN($E1471,123)-117)))*1,0))</f>
        <v>82749522</v>
      </c>
      <c r="AE1471" s="6">
        <f>$E1471+24</f>
        <v>131</v>
      </c>
      <c r="AF1471" s="7">
        <f>IF($J1471=0,0,ROUND(MAX($J1471*1.4*1.5*1.6*1.6*2.2*2.715*2.6*1.4*1.4*1.5*1.5,18900000000*(1.65331^(MIN($E1471,123)-117)))*1,0))</f>
        <v>123856521</v>
      </c>
      <c r="AG1471" s="4">
        <f>$E1471+27</f>
        <v>134</v>
      </c>
      <c r="AH1471" s="8">
        <f>IF($J1471=0,0,ROUND(MAX($J1471*1.4*1.5*1.6*1.6*2.2*2.715*2.6*1.4*1.4*1.5*1.5*3.2,60500000000*(1.654288^(MIN($E1471,123)-117)))*1,0))</f>
        <v>394134254</v>
      </c>
    </row>
    <row r="1472" ht="27.75" customHeight="1" spans="1:34" x14ac:dyDescent="0.25">
      <c r="A1472" s="3">
        <v>1482</v>
      </c>
      <c r="B1472" s="3" t="s">
        <v>1085</v>
      </c>
      <c r="C1472" s="3" t="s">
        <v>1042</v>
      </c>
      <c r="D1472" s="3" t="s">
        <v>75</v>
      </c>
      <c r="E1472" s="3">
        <v>107</v>
      </c>
      <c r="F1472" s="3" t="s">
        <v>56</v>
      </c>
      <c r="G1472" s="3" t="s">
        <v>1086</v>
      </c>
      <c r="H1472" s="3">
        <v>23</v>
      </c>
      <c r="I1472" s="4">
        <v>107</v>
      </c>
      <c r="J1472" s="5">
        <v>26300</v>
      </c>
      <c r="K1472" s="6">
        <f>$E1472+1</f>
        <v>108</v>
      </c>
      <c r="L1472" s="7">
        <f>IF($J1472=0,0,ROUND(MAX($J1472*1.4,1620000*(1.497923^(MIN($E1472,123)-117)))*1,0))</f>
        <v>36820</v>
      </c>
      <c r="M1472" s="4">
        <f>$E1472+2</f>
        <v>109</v>
      </c>
      <c r="N1472" s="8">
        <f>IF($J1472=0,0,ROUND(MAX($J1472*1.4*1.5,2190000*(1.580994^(MIN($E1472,123)-117)))*1,0))</f>
        <v>55230</v>
      </c>
      <c r="O1472" s="6">
        <f>$E1472+4</f>
        <v>111</v>
      </c>
      <c r="P1472" s="7">
        <f>IF($J1472=0,0,ROUND(MAX($J1472*1.4*1.5*1.6,3500000*(1.57975^(MIN($E1472,123)-117)))*1,0))</f>
        <v>88368</v>
      </c>
      <c r="Q1472" s="4">
        <f>$E1472+6</f>
        <v>113</v>
      </c>
      <c r="R1472" s="8">
        <f>IF($J1472=0,0,ROUND(MAX($J1472*1.4*1.5*1.6*1.6,13100000*(1.429962^(MIN($E1472,123)-117)))*1,0))</f>
        <v>366460</v>
      </c>
      <c r="S1472" s="6">
        <f>$E1472+8</f>
        <v>115</v>
      </c>
      <c r="T1472" s="7">
        <f>IF($J1472=0,0,ROUND(MAX($J1472*1.4*1.5*1.6*1.6*2.2,42600000*(1.576904^(MIN($E1472,123)-117)))*1,0))</f>
        <v>448082</v>
      </c>
      <c r="U1472" s="4">
        <f>$E1472+11</f>
        <v>118</v>
      </c>
      <c r="V1472" s="8">
        <f>IF($J1472=0,0,ROUND(MAX($J1472*1.4*1.5*1.6*1.6*2.2*2.715,354000000*(1.642074^(MIN($E1472,123)-117)))*1,0))</f>
        <v>2483568</v>
      </c>
      <c r="W1472" s="6">
        <f>$E1472+15</f>
        <v>122</v>
      </c>
      <c r="X1472" s="7">
        <f>IF($J1472=0,0,ROUND(MAX($J1472*1.4*1.5*1.6*1.6*2.2*2.715*2.6,3540000000*(1.579646^(MIN($E1472,123)-117)))*1,0))</f>
        <v>36593634</v>
      </c>
      <c r="Y1472" s="4">
        <f>$E1472+17</f>
        <v>124</v>
      </c>
      <c r="Z1472" s="8">
        <f>IF($J1472=0,0,ROUND(MAX($J1472*1.4*1.5*1.6*1.6*2.2*2.715*2.6*1.4,6020000000*(1.651178^(MIN($E1472,123)-117)))*1,0))</f>
        <v>39962952</v>
      </c>
      <c r="AA1472" s="6">
        <f>$E1472+19</f>
        <v>126</v>
      </c>
      <c r="AB1472" s="7">
        <f>IF($J1472=0,0,ROUND(MAX($J1472*1.4*1.5*1.6*1.6*2.2*2.715*2.6*1.4*1.4,8430000000*(1.651435^(MIN($E1472,123)-117)))*1,0))</f>
        <v>55874381</v>
      </c>
      <c r="AC1472" s="4">
        <f>$E1472+21</f>
        <v>128</v>
      </c>
      <c r="AD1472" s="8">
        <f>IF($J1472=0,0,ROUND(MAX($J1472*1.4*1.5*1.6*1.6*2.2*2.715*2.6*1.4*1.4*1.5,12600000000*(1.652953^(MIN($E1472,123)-117)))*1,0))</f>
        <v>82749522</v>
      </c>
      <c r="AE1472" s="6">
        <f>$E1472+24</f>
        <v>131</v>
      </c>
      <c r="AF1472" s="7">
        <f>IF($J1472=0,0,ROUND(MAX($J1472*1.4*1.5*1.6*1.6*2.2*2.715*2.6*1.4*1.4*1.5*1.5,18900000000*(1.65331^(MIN($E1472,123)-117)))*1,0))</f>
        <v>123856521</v>
      </c>
      <c r="AG1472" s="4">
        <f>$E1472+27</f>
        <v>134</v>
      </c>
      <c r="AH1472" s="8">
        <f>IF($J1472=0,0,ROUND(MAX($J1472*1.4*1.5*1.6*1.6*2.2*2.715*2.6*1.4*1.4*1.5*1.5*3.2,60500000000*(1.654288^(MIN($E1472,123)-117)))*1,0))</f>
        <v>394134254</v>
      </c>
    </row>
    <row r="1473" ht="27.75" customHeight="1" spans="1:34" x14ac:dyDescent="0.25">
      <c r="A1473" s="3">
        <v>1483</v>
      </c>
      <c r="B1473" s="3" t="s">
        <v>1087</v>
      </c>
      <c r="C1473" s="3" t="s">
        <v>1042</v>
      </c>
      <c r="D1473" s="3" t="s">
        <v>33</v>
      </c>
      <c r="E1473" s="3">
        <v>107</v>
      </c>
      <c r="F1473" s="3" t="s">
        <v>136</v>
      </c>
      <c r="G1473" s="3" t="s">
        <v>1088</v>
      </c>
      <c r="H1473" s="3">
        <v>23</v>
      </c>
      <c r="I1473" s="4">
        <v>107</v>
      </c>
      <c r="J1473" s="5">
        <v>44000</v>
      </c>
      <c r="K1473" s="6">
        <f>$E1473+1</f>
        <v>108</v>
      </c>
      <c r="L1473" s="7">
        <f>IF($J1473=0,0,ROUND(MAX($J1473*1.4,1620000*(1.497923^(MIN($E1473,123)-117)))*1,0))</f>
        <v>61600</v>
      </c>
      <c r="M1473" s="4">
        <f>$E1473+2</f>
        <v>109</v>
      </c>
      <c r="N1473" s="8">
        <f>IF($J1473=0,0,ROUND(MAX($J1473*1.4*1.5,2190000*(1.580994^(MIN($E1473,123)-117)))*1,0))</f>
        <v>92400</v>
      </c>
      <c r="O1473" s="6">
        <f>$E1473+4</f>
        <v>111</v>
      </c>
      <c r="P1473" s="7">
        <f>IF($J1473=0,0,ROUND(MAX($J1473*1.4*1.5*1.6,3500000*(1.57975^(MIN($E1473,123)-117)))*1,0))</f>
        <v>147840</v>
      </c>
      <c r="Q1473" s="4">
        <f>$E1473+6</f>
        <v>113</v>
      </c>
      <c r="R1473" s="8">
        <f>IF($J1473=0,0,ROUND(MAX($J1473*1.4*1.5*1.6*1.6,13100000*(1.429962^(MIN($E1473,123)-117)))*1,0))</f>
        <v>366460</v>
      </c>
      <c r="S1473" s="6">
        <f>$E1473+8</f>
        <v>115</v>
      </c>
      <c r="T1473" s="7">
        <f>IF($J1473=0,0,ROUND(MAX($J1473*1.4*1.5*1.6*1.6*2.2,42600000*(1.576904^(MIN($E1473,123)-117)))*1,0))</f>
        <v>520397</v>
      </c>
      <c r="U1473" s="4">
        <f>$E1473+11</f>
        <v>118</v>
      </c>
      <c r="V1473" s="8">
        <f>IF($J1473=0,0,ROUND(MAX($J1473*1.4*1.5*1.6*1.6*2.2*2.715,354000000*(1.642074^(MIN($E1473,123)-117)))*1,0))</f>
        <v>2483568</v>
      </c>
      <c r="W1473" s="6">
        <f>$E1473+15</f>
        <v>122</v>
      </c>
      <c r="X1473" s="7">
        <f>IF($J1473=0,0,ROUND(MAX($J1473*1.4*1.5*1.6*1.6*2.2*2.715*2.6,3540000000*(1.579646^(MIN($E1473,123)-117)))*1,0))</f>
        <v>36593634</v>
      </c>
      <c r="Y1473" s="4">
        <f>$E1473+17</f>
        <v>124</v>
      </c>
      <c r="Z1473" s="8">
        <f>IF($J1473=0,0,ROUND(MAX($J1473*1.4*1.5*1.6*1.6*2.2*2.715*2.6*1.4,6020000000*(1.651178^(MIN($E1473,123)-117)))*1,0))</f>
        <v>39962952</v>
      </c>
      <c r="AA1473" s="6">
        <f>$E1473+19</f>
        <v>126</v>
      </c>
      <c r="AB1473" s="7">
        <f>IF($J1473=0,0,ROUND(MAX($J1473*1.4*1.5*1.6*1.6*2.2*2.715*2.6*1.4*1.4,8430000000*(1.651435^(MIN($E1473,123)-117)))*1,0))</f>
        <v>55874381</v>
      </c>
      <c r="AC1473" s="4">
        <f>$E1473+21</f>
        <v>128</v>
      </c>
      <c r="AD1473" s="8">
        <f>IF($J1473=0,0,ROUND(MAX($J1473*1.4*1.5*1.6*1.6*2.2*2.715*2.6*1.4*1.4*1.5,12600000000*(1.652953^(MIN($E1473,123)-117)))*1,0))</f>
        <v>82749522</v>
      </c>
      <c r="AE1473" s="6">
        <f>$E1473+24</f>
        <v>131</v>
      </c>
      <c r="AF1473" s="7">
        <f>IF($J1473=0,0,ROUND(MAX($J1473*1.4*1.5*1.6*1.6*2.2*2.715*2.6*1.4*1.4*1.5*1.5,18900000000*(1.65331^(MIN($E1473,123)-117)))*1,0))</f>
        <v>123856521</v>
      </c>
      <c r="AG1473" s="4">
        <f>$E1473+27</f>
        <v>134</v>
      </c>
      <c r="AH1473" s="8">
        <f>IF($J1473=0,0,ROUND(MAX($J1473*1.4*1.5*1.6*1.6*2.2*2.715*2.6*1.4*1.4*1.5*1.5*3.2,60500000000*(1.654288^(MIN($E1473,123)-117)))*1,0))</f>
        <v>394134254</v>
      </c>
    </row>
    <row r="1474" ht="27.75" customHeight="1" spans="1:34" x14ac:dyDescent="0.25">
      <c r="A1474" s="3">
        <v>1484</v>
      </c>
      <c r="B1474" s="3" t="s">
        <v>1089</v>
      </c>
      <c r="C1474" s="3" t="s">
        <v>1042</v>
      </c>
      <c r="D1474" s="3" t="s">
        <v>90</v>
      </c>
      <c r="E1474" s="3">
        <v>107</v>
      </c>
      <c r="F1474" s="3" t="s">
        <v>56</v>
      </c>
      <c r="G1474" s="3" t="s">
        <v>1090</v>
      </c>
      <c r="H1474" s="3">
        <v>23</v>
      </c>
      <c r="I1474" s="4">
        <v>107</v>
      </c>
      <c r="J1474" s="5">
        <v>117000</v>
      </c>
      <c r="K1474" s="6">
        <f>$E1474+1</f>
        <v>108</v>
      </c>
      <c r="L1474" s="7">
        <f>IF($J1474=0,0,ROUND(MAX($J1474*1.4,1620000*(1.497923^(MIN($E1474,123)-117)))*1,0))</f>
        <v>163800</v>
      </c>
      <c r="M1474" s="4">
        <f>$E1474+2</f>
        <v>109</v>
      </c>
      <c r="N1474" s="8">
        <f>IF($J1474=0,0,ROUND(MAX($J1474*1.4*1.5,2190000*(1.580994^(MIN($E1474,123)-117)))*1,0))</f>
        <v>245700</v>
      </c>
      <c r="O1474" s="6">
        <f>$E1474+4</f>
        <v>111</v>
      </c>
      <c r="P1474" s="7">
        <f>IF($J1474=0,0,ROUND(MAX($J1474*1.4*1.5*1.6,3500000*(1.57975^(MIN($E1474,123)-117)))*1,0))</f>
        <v>393120</v>
      </c>
      <c r="Q1474" s="4">
        <f>$E1474+6</f>
        <v>113</v>
      </c>
      <c r="R1474" s="8">
        <f>IF($J1474=0,0,ROUND(MAX($J1474*1.4*1.5*1.6*1.6,13100000*(1.429962^(MIN($E1474,123)-117)))*1,0))</f>
        <v>628992</v>
      </c>
      <c r="S1474" s="6">
        <f>$E1474+8</f>
        <v>115</v>
      </c>
      <c r="T1474" s="7">
        <f>IF($J1474=0,0,ROUND(MAX($J1474*1.4*1.5*1.6*1.6*2.2,42600000*(1.576904^(MIN($E1474,123)-117)))*1,0))</f>
        <v>1383782</v>
      </c>
      <c r="U1474" s="4">
        <f>$E1474+11</f>
        <v>118</v>
      </c>
      <c r="V1474" s="8">
        <f>IF($J1474=0,0,ROUND(MAX($J1474*1.4*1.5*1.6*1.6*2.2*2.715,354000000*(1.642074^(MIN($E1474,123)-117)))*1,0))</f>
        <v>3756969</v>
      </c>
      <c r="W1474" s="6">
        <f>$E1474+15</f>
        <v>122</v>
      </c>
      <c r="X1474" s="7">
        <f>IF($J1474=0,0,ROUND(MAX($J1474*1.4*1.5*1.6*1.6*2.2*2.715*2.6,3540000000*(1.579646^(MIN($E1474,123)-117)))*1,0))</f>
        <v>36593634</v>
      </c>
      <c r="Y1474" s="4">
        <f>$E1474+17</f>
        <v>124</v>
      </c>
      <c r="Z1474" s="8">
        <f>IF($J1474=0,0,ROUND(MAX($J1474*1.4*1.5*1.6*1.6*2.2*2.715*2.6*1.4,6020000000*(1.651178^(MIN($E1474,123)-117)))*1,0))</f>
        <v>39962952</v>
      </c>
      <c r="AA1474" s="6">
        <f>$E1474+19</f>
        <v>126</v>
      </c>
      <c r="AB1474" s="7">
        <f>IF($J1474=0,0,ROUND(MAX($J1474*1.4*1.5*1.6*1.6*2.2*2.715*2.6*1.4*1.4,8430000000*(1.651435^(MIN($E1474,123)-117)))*1,0))</f>
        <v>55874381</v>
      </c>
      <c r="AC1474" s="4">
        <f>$E1474+21</f>
        <v>128</v>
      </c>
      <c r="AD1474" s="8">
        <f>IF($J1474=0,0,ROUND(MAX($J1474*1.4*1.5*1.6*1.6*2.2*2.715*2.6*1.4*1.4*1.5,12600000000*(1.652953^(MIN($E1474,123)-117)))*1,0))</f>
        <v>82749522</v>
      </c>
      <c r="AE1474" s="6">
        <f>$E1474+24</f>
        <v>131</v>
      </c>
      <c r="AF1474" s="7">
        <f>IF($J1474=0,0,ROUND(MAX($J1474*1.4*1.5*1.6*1.6*2.2*2.715*2.6*1.4*1.4*1.5*1.5,18900000000*(1.65331^(MIN($E1474,123)-117)))*1,0))</f>
        <v>123856521</v>
      </c>
      <c r="AG1474" s="4">
        <f>$E1474+27</f>
        <v>134</v>
      </c>
      <c r="AH1474" s="8">
        <f>IF($J1474=0,0,ROUND(MAX($J1474*1.4*1.5*1.6*1.6*2.2*2.715*2.6*1.4*1.4*1.5*1.5*3.2,60500000000*(1.654288^(MIN($E1474,123)-117)))*1,0))</f>
        <v>394134254</v>
      </c>
    </row>
    <row r="1475" ht="27.75" customHeight="1" spans="1:34" x14ac:dyDescent="0.25">
      <c r="A1475" s="3">
        <v>1485</v>
      </c>
      <c r="B1475" s="3" t="s">
        <v>446</v>
      </c>
      <c r="C1475" s="3" t="s">
        <v>1042</v>
      </c>
      <c r="D1475" s="3" t="s">
        <v>47</v>
      </c>
      <c r="E1475" s="3">
        <v>107</v>
      </c>
      <c r="F1475" s="3" t="s">
        <v>34</v>
      </c>
      <c r="G1475" s="3" t="s">
        <v>379</v>
      </c>
      <c r="H1475" s="3">
        <v>21</v>
      </c>
      <c r="I1475" s="4">
        <v>107</v>
      </c>
      <c r="J1475" s="5">
        <v>124000</v>
      </c>
      <c r="K1475" s="6">
        <f>$E1475+1</f>
        <v>108</v>
      </c>
      <c r="L1475" s="7">
        <f>IF($J1475=0,0,ROUND(MAX($J1475*1.4,1620000*(1.497923^(MIN($E1475,123)-117)))*1,0))</f>
        <v>173600</v>
      </c>
      <c r="M1475" s="4">
        <f>$E1475+2</f>
        <v>109</v>
      </c>
      <c r="N1475" s="8">
        <f>IF($J1475=0,0,ROUND(MAX($J1475*1.4*1.5,2190000*(1.580994^(MIN($E1475,123)-117)))*1,0))</f>
        <v>260400</v>
      </c>
      <c r="O1475" s="6">
        <f>$E1475+4</f>
        <v>111</v>
      </c>
      <c r="P1475" s="7">
        <f>IF($J1475=0,0,ROUND(MAX($J1475*1.4*1.5*1.6,3500000*(1.57975^(MIN($E1475,123)-117)))*1,0))</f>
        <v>416640</v>
      </c>
      <c r="Q1475" s="4">
        <f>$E1475+6</f>
        <v>113</v>
      </c>
      <c r="R1475" s="8">
        <f>IF($J1475=0,0,ROUND(MAX($J1475*1.4*1.5*1.6*1.6,13100000*(1.429962^(MIN($E1475,123)-117)))*1,0))</f>
        <v>666624</v>
      </c>
      <c r="S1475" s="6">
        <f>$E1475+8</f>
        <v>115</v>
      </c>
      <c r="T1475" s="7">
        <f>IF($J1475=0,0,ROUND(MAX($J1475*1.4*1.5*1.6*1.6*2.2,42600000*(1.576904^(MIN($E1475,123)-117)))*1,0))</f>
        <v>1466573</v>
      </c>
      <c r="U1475" s="4">
        <f>$E1475+11</f>
        <v>118</v>
      </c>
      <c r="V1475" s="8">
        <f>IF($J1475=0,0,ROUND(MAX($J1475*1.4*1.5*1.6*1.6*2.2*2.715,354000000*(1.642074^(MIN($E1475,123)-117)))*1,0))</f>
        <v>3981745</v>
      </c>
      <c r="W1475" s="6">
        <f>$E1475+15</f>
        <v>122</v>
      </c>
      <c r="X1475" s="7">
        <f>IF($J1475=0,0,ROUND(MAX($J1475*1.4*1.5*1.6*1.6*2.2*2.715*2.6,3540000000*(1.579646^(MIN($E1475,123)-117)))*1,0))</f>
        <v>36593634</v>
      </c>
      <c r="Y1475" s="4">
        <f>$E1475+17</f>
        <v>124</v>
      </c>
      <c r="Z1475" s="8">
        <f>IF($J1475=0,0,ROUND(MAX($J1475*1.4*1.5*1.6*1.6*2.2*2.715*2.6*1.4,6020000000*(1.651178^(MIN($E1475,123)-117)))*1,0))</f>
        <v>39962952</v>
      </c>
      <c r="AA1475" s="6">
        <f>$E1475+19</f>
        <v>126</v>
      </c>
      <c r="AB1475" s="7">
        <f>IF($J1475=0,0,ROUND(MAX($J1475*1.4*1.5*1.6*1.6*2.2*2.715*2.6*1.4*1.4,8430000000*(1.651435^(MIN($E1475,123)-117)))*1,0))</f>
        <v>55874381</v>
      </c>
      <c r="AC1475" s="4">
        <f>$E1475+21</f>
        <v>128</v>
      </c>
      <c r="AD1475" s="8">
        <f>IF($J1475=0,0,ROUND(MAX($J1475*1.4*1.5*1.6*1.6*2.2*2.715*2.6*1.4*1.4*1.5,12600000000*(1.652953^(MIN($E1475,123)-117)))*1,0))</f>
        <v>82749522</v>
      </c>
      <c r="AE1475" s="6">
        <f>$E1475+24</f>
        <v>131</v>
      </c>
      <c r="AF1475" s="7">
        <f>IF($J1475=0,0,ROUND(MAX($J1475*1.4*1.5*1.6*1.6*2.2*2.715*2.6*1.4*1.4*1.5*1.5,18900000000*(1.65331^(MIN($E1475,123)-117)))*1,0))</f>
        <v>123856521</v>
      </c>
      <c r="AG1475" s="4">
        <f>$E1475+27</f>
        <v>134</v>
      </c>
      <c r="AH1475" s="8">
        <f>IF($J1475=0,0,ROUND(MAX($J1475*1.4*1.5*1.6*1.6*2.2*2.715*2.6*1.4*1.4*1.5*1.5*3.2,60500000000*(1.654288^(MIN($E1475,123)-117)))*1,0))</f>
        <v>394134254</v>
      </c>
    </row>
    <row r="1476" ht="27.75" customHeight="1" spans="1:34" x14ac:dyDescent="0.25">
      <c r="A1476" s="3">
        <v>1486</v>
      </c>
      <c r="B1476" s="3" t="s">
        <v>1091</v>
      </c>
      <c r="C1476" s="3" t="s">
        <v>1042</v>
      </c>
      <c r="D1476" s="3" t="s">
        <v>25</v>
      </c>
      <c r="E1476" s="3">
        <v>106</v>
      </c>
      <c r="F1476" s="3" t="s">
        <v>183</v>
      </c>
      <c r="G1476" s="3" t="s">
        <v>300</v>
      </c>
      <c r="H1476" s="3">
        <v>23</v>
      </c>
      <c r="I1476" s="4">
        <v>106</v>
      </c>
      <c r="J1476" s="5">
        <v>171000</v>
      </c>
      <c r="K1476" s="6">
        <f>$E1476+1</f>
        <v>107</v>
      </c>
      <c r="L1476" s="7">
        <f>IF($J1476=0,0,ROUND(MAX($J1476*1.4,1620000*(1.497923^(MIN($E1476,123)-117)))*1,0))</f>
        <v>239400</v>
      </c>
      <c r="M1476" s="4">
        <f>$E1476+2</f>
        <v>108</v>
      </c>
      <c r="N1476" s="8">
        <f>IF($J1476=0,0,ROUND(MAX($J1476*1.4*1.5,2190000*(1.580994^(MIN($E1476,123)-117)))*1,0))</f>
        <v>359100</v>
      </c>
      <c r="O1476" s="6">
        <f>$E1476+4</f>
        <v>110</v>
      </c>
      <c r="P1476" s="7">
        <f>IF($J1476=0,0,ROUND(MAX($J1476*1.4*1.5*1.6,3500000*(1.57975^(MIN($E1476,123)-117)))*1,0))</f>
        <v>574560</v>
      </c>
      <c r="Q1476" s="4">
        <f>$E1476+6</f>
        <v>112</v>
      </c>
      <c r="R1476" s="8">
        <f>IF($J1476=0,0,ROUND(MAX($J1476*1.4*1.5*1.6*1.6,13100000*(1.429962^(MIN($E1476,123)-117)))*1,0))</f>
        <v>919296</v>
      </c>
      <c r="S1476" s="6">
        <f>$E1476+8</f>
        <v>114</v>
      </c>
      <c r="T1476" s="7">
        <f>IF($J1476=0,0,ROUND(MAX($J1476*1.4*1.5*1.6*1.6*2.2,42600000*(1.576904^(MIN($E1476,123)-117)))*1,0))</f>
        <v>2022451</v>
      </c>
      <c r="U1476" s="4">
        <f>$E1476+11</f>
        <v>117</v>
      </c>
      <c r="V1476" s="8">
        <f>IF($J1476=0,0,ROUND(MAX($J1476*1.4*1.5*1.6*1.6*2.2*2.715,354000000*(1.642074^(MIN($E1476,123)-117)))*1,0))</f>
        <v>5490955</v>
      </c>
      <c r="W1476" s="6">
        <f>$E1476+15</f>
        <v>121</v>
      </c>
      <c r="X1476" s="7">
        <f>IF($J1476=0,0,ROUND(MAX($J1476*1.4*1.5*1.6*1.6*2.2*2.715*2.6,3540000000*(1.579646^(MIN($E1476,123)-117)))*1,0))</f>
        <v>23165718</v>
      </c>
      <c r="Y1476" s="4">
        <f>$E1476+17</f>
        <v>123</v>
      </c>
      <c r="Z1476" s="8">
        <f>IF($J1476=0,0,ROUND(MAX($J1476*1.4*1.5*1.6*1.6*2.2*2.715*2.6*1.4,6020000000*(1.651178^(MIN($E1476,123)-117)))*1,0))</f>
        <v>24202691</v>
      </c>
      <c r="AA1476" s="6">
        <f>$E1476+19</f>
        <v>125</v>
      </c>
      <c r="AB1476" s="7">
        <f>IF($J1476=0,0,ROUND(MAX($J1476*1.4*1.5*1.6*1.6*2.2*2.715*2.6*1.4*1.4,8430000000*(1.651435^(MIN($E1476,123)-117)))*1,0))</f>
        <v>33833836</v>
      </c>
      <c r="AC1476" s="4">
        <f>$E1476+21</f>
        <v>127</v>
      </c>
      <c r="AD1476" s="8">
        <f>IF($J1476=0,0,ROUND(MAX($J1476*1.4*1.5*1.6*1.6*2.2*2.715*2.6*1.4*1.4*1.5,12600000000*(1.652953^(MIN($E1476,123)-117)))*1,0))</f>
        <v>50061630</v>
      </c>
      <c r="AE1476" s="6">
        <f>$E1476+24</f>
        <v>130</v>
      </c>
      <c r="AF1476" s="7">
        <f>IF($J1476=0,0,ROUND(MAX($J1476*1.4*1.5*1.6*1.6*2.2*2.715*2.6*1.4*1.4*1.5*1.5,18900000000*(1.65331^(MIN($E1476,123)-117)))*1,0))</f>
        <v>74914276</v>
      </c>
      <c r="AG1476" s="4">
        <f>$E1476+27</f>
        <v>133</v>
      </c>
      <c r="AH1476" s="8">
        <f>IF($J1476=0,0,ROUND(MAX($J1476*1.4*1.5*1.6*1.6*2.2*2.715*2.6*1.4*1.4*1.5*1.5*3.2,60500000000*(1.654288^(MIN($E1476,123)-117)))*1,0))</f>
        <v>238250083</v>
      </c>
    </row>
    <row r="1477" ht="27.75" customHeight="1" spans="1:34" x14ac:dyDescent="0.25">
      <c r="A1477" s="3">
        <v>1487</v>
      </c>
      <c r="B1477" s="3" t="s">
        <v>1092</v>
      </c>
      <c r="C1477" s="3" t="s">
        <v>1042</v>
      </c>
      <c r="D1477" s="3" t="s">
        <v>64</v>
      </c>
      <c r="E1477" s="3">
        <v>106</v>
      </c>
      <c r="F1477" s="3" t="s">
        <v>1093</v>
      </c>
      <c r="G1477" s="3" t="s">
        <v>1094</v>
      </c>
      <c r="H1477" s="3">
        <v>23</v>
      </c>
      <c r="I1477" s="4">
        <v>106</v>
      </c>
      <c r="J1477" s="5">
        <v>91400</v>
      </c>
      <c r="K1477" s="6">
        <f>$E1477+1</f>
        <v>107</v>
      </c>
      <c r="L1477" s="7">
        <f>IF($J1477=0,0,ROUND(MAX($J1477*1.4,1620000*(1.497923^(MIN($E1477,123)-117)))*1,0))</f>
        <v>127960</v>
      </c>
      <c r="M1477" s="4">
        <f>$E1477+2</f>
        <v>108</v>
      </c>
      <c r="N1477" s="8">
        <f>IF($J1477=0,0,ROUND(MAX($J1477*1.4*1.5,2190000*(1.580994^(MIN($E1477,123)-117)))*1,0))</f>
        <v>191940</v>
      </c>
      <c r="O1477" s="6">
        <f>$E1477+4</f>
        <v>110</v>
      </c>
      <c r="P1477" s="7">
        <f>IF($J1477=0,0,ROUND(MAX($J1477*1.4*1.5*1.6,3500000*(1.57975^(MIN($E1477,123)-117)))*1,0))</f>
        <v>307104</v>
      </c>
      <c r="Q1477" s="4">
        <f>$E1477+6</f>
        <v>112</v>
      </c>
      <c r="R1477" s="8">
        <f>IF($J1477=0,0,ROUND(MAX($J1477*1.4*1.5*1.6*1.6,13100000*(1.429962^(MIN($E1477,123)-117)))*1,0))</f>
        <v>491366</v>
      </c>
      <c r="S1477" s="6">
        <f>$E1477+8</f>
        <v>114</v>
      </c>
      <c r="T1477" s="7">
        <f>IF($J1477=0,0,ROUND(MAX($J1477*1.4*1.5*1.6*1.6*2.2,42600000*(1.576904^(MIN($E1477,123)-117)))*1,0))</f>
        <v>1081006</v>
      </c>
      <c r="U1477" s="4">
        <f>$E1477+11</f>
        <v>117</v>
      </c>
      <c r="V1477" s="8">
        <f>IF($J1477=0,0,ROUND(MAX($J1477*1.4*1.5*1.6*1.6*2.2*2.715,354000000*(1.642074^(MIN($E1477,123)-117)))*1,0))</f>
        <v>2934932</v>
      </c>
      <c r="W1477" s="6">
        <f>$E1477+15</f>
        <v>121</v>
      </c>
      <c r="X1477" s="7">
        <f>IF($J1477=0,0,ROUND(MAX($J1477*1.4*1.5*1.6*1.6*2.2*2.715*2.6,3540000000*(1.579646^(MIN($E1477,123)-117)))*1,0))</f>
        <v>23165718</v>
      </c>
      <c r="Y1477" s="4">
        <f>$E1477+17</f>
        <v>123</v>
      </c>
      <c r="Z1477" s="8">
        <f>IF($J1477=0,0,ROUND(MAX($J1477*1.4*1.5*1.6*1.6*2.2*2.715*2.6*1.4,6020000000*(1.651178^(MIN($E1477,123)-117)))*1,0))</f>
        <v>24202691</v>
      </c>
      <c r="AA1477" s="6">
        <f>$E1477+19</f>
        <v>125</v>
      </c>
      <c r="AB1477" s="7">
        <f>IF($J1477=0,0,ROUND(MAX($J1477*1.4*1.5*1.6*1.6*2.2*2.715*2.6*1.4*1.4,8430000000*(1.651435^(MIN($E1477,123)-117)))*1,0))</f>
        <v>33833836</v>
      </c>
      <c r="AC1477" s="4">
        <f>$E1477+21</f>
        <v>127</v>
      </c>
      <c r="AD1477" s="8">
        <f>IF($J1477=0,0,ROUND(MAX($J1477*1.4*1.5*1.6*1.6*2.2*2.715*2.6*1.4*1.4*1.5,12600000000*(1.652953^(MIN($E1477,123)-117)))*1,0))</f>
        <v>50061630</v>
      </c>
      <c r="AE1477" s="6">
        <f>$E1477+24</f>
        <v>130</v>
      </c>
      <c r="AF1477" s="7">
        <f>IF($J1477=0,0,ROUND(MAX($J1477*1.4*1.5*1.6*1.6*2.2*2.715*2.6*1.4*1.4*1.5*1.5,18900000000*(1.65331^(MIN($E1477,123)-117)))*1,0))</f>
        <v>74914276</v>
      </c>
      <c r="AG1477" s="4">
        <f>$E1477+27</f>
        <v>133</v>
      </c>
      <c r="AH1477" s="8">
        <f>IF($J1477=0,0,ROUND(MAX($J1477*1.4*1.5*1.6*1.6*2.2*2.715*2.6*1.4*1.4*1.5*1.5*3.2,60500000000*(1.654288^(MIN($E1477,123)-117)))*1,0))</f>
        <v>238250083</v>
      </c>
    </row>
    <row r="1478" ht="27.75" customHeight="1" spans="1:34" x14ac:dyDescent="0.25">
      <c r="A1478" s="3">
        <v>1488</v>
      </c>
      <c r="B1478" s="3" t="s">
        <v>1095</v>
      </c>
      <c r="C1478" s="3" t="s">
        <v>1042</v>
      </c>
      <c r="D1478" s="3" t="s">
        <v>45</v>
      </c>
      <c r="E1478" s="3">
        <v>106</v>
      </c>
      <c r="F1478" s="3" t="s">
        <v>56</v>
      </c>
      <c r="G1478" s="3" t="s">
        <v>1096</v>
      </c>
      <c r="H1478" s="3">
        <v>23</v>
      </c>
      <c r="I1478" s="4">
        <v>106</v>
      </c>
      <c r="J1478" s="5">
        <v>119000</v>
      </c>
      <c r="K1478" s="6">
        <f>$E1478+1</f>
        <v>107</v>
      </c>
      <c r="L1478" s="7">
        <f>IF($J1478=0,0,ROUND(MAX($J1478*1.4,1620000*(1.497923^(MIN($E1478,123)-117)))*1,0))</f>
        <v>166600</v>
      </c>
      <c r="M1478" s="4">
        <f>$E1478+2</f>
        <v>108</v>
      </c>
      <c r="N1478" s="8">
        <f>IF($J1478=0,0,ROUND(MAX($J1478*1.4*1.5,2190000*(1.580994^(MIN($E1478,123)-117)))*1,0))</f>
        <v>249900</v>
      </c>
      <c r="O1478" s="6">
        <f>$E1478+4</f>
        <v>110</v>
      </c>
      <c r="P1478" s="7">
        <f>IF($J1478=0,0,ROUND(MAX($J1478*1.4*1.5*1.6,3500000*(1.57975^(MIN($E1478,123)-117)))*1,0))</f>
        <v>399840</v>
      </c>
      <c r="Q1478" s="4">
        <f>$E1478+6</f>
        <v>112</v>
      </c>
      <c r="R1478" s="8">
        <f>IF($J1478=0,0,ROUND(MAX($J1478*1.4*1.5*1.6*1.6,13100000*(1.429962^(MIN($E1478,123)-117)))*1,0))</f>
        <v>639744</v>
      </c>
      <c r="S1478" s="6">
        <f>$E1478+8</f>
        <v>114</v>
      </c>
      <c r="T1478" s="7">
        <f>IF($J1478=0,0,ROUND(MAX($J1478*1.4*1.5*1.6*1.6*2.2,42600000*(1.576904^(MIN($E1478,123)-117)))*1,0))</f>
        <v>1407437</v>
      </c>
      <c r="U1478" s="4">
        <f>$E1478+11</f>
        <v>117</v>
      </c>
      <c r="V1478" s="8">
        <f>IF($J1478=0,0,ROUND(MAX($J1478*1.4*1.5*1.6*1.6*2.2*2.715,354000000*(1.642074^(MIN($E1478,123)-117)))*1,0))</f>
        <v>3821191</v>
      </c>
      <c r="W1478" s="6">
        <f>$E1478+15</f>
        <v>121</v>
      </c>
      <c r="X1478" s="7">
        <f>IF($J1478=0,0,ROUND(MAX($J1478*1.4*1.5*1.6*1.6*2.2*2.715*2.6,3540000000*(1.579646^(MIN($E1478,123)-117)))*1,0))</f>
        <v>23165718</v>
      </c>
      <c r="Y1478" s="4">
        <f>$E1478+17</f>
        <v>123</v>
      </c>
      <c r="Z1478" s="8">
        <f>IF($J1478=0,0,ROUND(MAX($J1478*1.4*1.5*1.6*1.6*2.2*2.715*2.6*1.4,6020000000*(1.651178^(MIN($E1478,123)-117)))*1,0))</f>
        <v>24202691</v>
      </c>
      <c r="AA1478" s="6">
        <f>$E1478+19</f>
        <v>125</v>
      </c>
      <c r="AB1478" s="7">
        <f>IF($J1478=0,0,ROUND(MAX($J1478*1.4*1.5*1.6*1.6*2.2*2.715*2.6*1.4*1.4,8430000000*(1.651435^(MIN($E1478,123)-117)))*1,0))</f>
        <v>33833836</v>
      </c>
      <c r="AC1478" s="4">
        <f>$E1478+21</f>
        <v>127</v>
      </c>
      <c r="AD1478" s="8">
        <f>IF($J1478=0,0,ROUND(MAX($J1478*1.4*1.5*1.6*1.6*2.2*2.715*2.6*1.4*1.4*1.5,12600000000*(1.652953^(MIN($E1478,123)-117)))*1,0))</f>
        <v>50061630</v>
      </c>
      <c r="AE1478" s="6">
        <f>$E1478+24</f>
        <v>130</v>
      </c>
      <c r="AF1478" s="7">
        <f>IF($J1478=0,0,ROUND(MAX($J1478*1.4*1.5*1.6*1.6*2.2*2.715*2.6*1.4*1.4*1.5*1.5,18900000000*(1.65331^(MIN($E1478,123)-117)))*1,0))</f>
        <v>74914276</v>
      </c>
      <c r="AG1478" s="4">
        <f>$E1478+27</f>
        <v>133</v>
      </c>
      <c r="AH1478" s="8">
        <f>IF($J1478=0,0,ROUND(MAX($J1478*1.4*1.5*1.6*1.6*2.2*2.715*2.6*1.4*1.4*1.5*1.5*3.2,60500000000*(1.654288^(MIN($E1478,123)-117)))*1,0))</f>
        <v>238250083</v>
      </c>
    </row>
    <row r="1479" ht="27.75" customHeight="1" spans="1:34" x14ac:dyDescent="0.25">
      <c r="A1479" s="3">
        <v>1489</v>
      </c>
      <c r="B1479" s="3" t="s">
        <v>1097</v>
      </c>
      <c r="C1479" s="3" t="s">
        <v>1042</v>
      </c>
      <c r="D1479" s="3" t="s">
        <v>102</v>
      </c>
      <c r="E1479" s="3">
        <v>106</v>
      </c>
      <c r="F1479" s="3" t="s">
        <v>54</v>
      </c>
      <c r="G1479" s="3" t="s">
        <v>1043</v>
      </c>
      <c r="H1479" s="3">
        <v>22</v>
      </c>
      <c r="I1479" s="4">
        <v>106</v>
      </c>
      <c r="J1479" s="5">
        <v>14000</v>
      </c>
      <c r="K1479" s="6">
        <f>$E1479+1</f>
        <v>107</v>
      </c>
      <c r="L1479" s="7">
        <f>IF($J1479=0,0,ROUND(MAX($J1479*1.4,1620000*(1.497923^(MIN($E1479,123)-117)))*1,0))</f>
        <v>19600</v>
      </c>
      <c r="M1479" s="4">
        <f>$E1479+2</f>
        <v>108</v>
      </c>
      <c r="N1479" s="8">
        <f>IF($J1479=0,0,ROUND(MAX($J1479*1.4*1.5,2190000*(1.580994^(MIN($E1479,123)-117)))*1,0))</f>
        <v>29400</v>
      </c>
      <c r="O1479" s="6">
        <f>$E1479+4</f>
        <v>110</v>
      </c>
      <c r="P1479" s="7">
        <f>IF($J1479=0,0,ROUND(MAX($J1479*1.4*1.5*1.6,3500000*(1.57975^(MIN($E1479,123)-117)))*1,0))</f>
        <v>47040</v>
      </c>
      <c r="Q1479" s="4">
        <f>$E1479+6</f>
        <v>112</v>
      </c>
      <c r="R1479" s="8">
        <f>IF($J1479=0,0,ROUND(MAX($J1479*1.4*1.5*1.6*1.6,13100000*(1.429962^(MIN($E1479,123)-117)))*1,0))</f>
        <v>256272</v>
      </c>
      <c r="S1479" s="6">
        <f>$E1479+8</f>
        <v>114</v>
      </c>
      <c r="T1479" s="7">
        <f>IF($J1479=0,0,ROUND(MAX($J1479*1.4*1.5*1.6*1.6*2.2,42600000*(1.576904^(MIN($E1479,123)-117)))*1,0))</f>
        <v>284153</v>
      </c>
      <c r="U1479" s="4">
        <f>$E1479+11</f>
        <v>117</v>
      </c>
      <c r="V1479" s="8">
        <f>IF($J1479=0,0,ROUND(MAX($J1479*1.4*1.5*1.6*1.6*2.2*2.715,354000000*(1.642074^(MIN($E1479,123)-117)))*1,0))</f>
        <v>1512458</v>
      </c>
      <c r="W1479" s="6">
        <f>$E1479+15</f>
        <v>121</v>
      </c>
      <c r="X1479" s="7">
        <f>IF($J1479=0,0,ROUND(MAX($J1479*1.4*1.5*1.6*1.6*2.2*2.715*2.6,3540000000*(1.579646^(MIN($E1479,123)-117)))*1,0))</f>
        <v>23165718</v>
      </c>
      <c r="Y1479" s="4">
        <f>$E1479+17</f>
        <v>123</v>
      </c>
      <c r="Z1479" s="8">
        <f>IF($J1479=0,0,ROUND(MAX($J1479*1.4*1.5*1.6*1.6*2.2*2.715*2.6*1.4,6020000000*(1.651178^(MIN($E1479,123)-117)))*1,0))</f>
        <v>24202691</v>
      </c>
      <c r="AA1479" s="6">
        <f>$E1479+19</f>
        <v>125</v>
      </c>
      <c r="AB1479" s="7">
        <f>IF($J1479=0,0,ROUND(MAX($J1479*1.4*1.5*1.6*1.6*2.2*2.715*2.6*1.4*1.4,8430000000*(1.651435^(MIN($E1479,123)-117)))*1,0))</f>
        <v>33833836</v>
      </c>
      <c r="AC1479" s="4">
        <f>$E1479+21</f>
        <v>127</v>
      </c>
      <c r="AD1479" s="8">
        <f>IF($J1479=0,0,ROUND(MAX($J1479*1.4*1.5*1.6*1.6*2.2*2.715*2.6*1.4*1.4*1.5,12600000000*(1.652953^(MIN($E1479,123)-117)))*1,0))</f>
        <v>50061630</v>
      </c>
      <c r="AE1479" s="6">
        <f>$E1479+24</f>
        <v>130</v>
      </c>
      <c r="AF1479" s="7">
        <f>IF($J1479=0,0,ROUND(MAX($J1479*1.4*1.5*1.6*1.6*2.2*2.715*2.6*1.4*1.4*1.5*1.5,18900000000*(1.65331^(MIN($E1479,123)-117)))*1,0))</f>
        <v>74914276</v>
      </c>
      <c r="AG1479" s="4">
        <f>$E1479+27</f>
        <v>133</v>
      </c>
      <c r="AH1479" s="8">
        <f>IF($J1479=0,0,ROUND(MAX($J1479*1.4*1.5*1.6*1.6*2.2*2.715*2.6*1.4*1.4*1.5*1.5*3.2,60500000000*(1.654288^(MIN($E1479,123)-117)))*1,0))</f>
        <v>238250083</v>
      </c>
    </row>
    <row r="1480" ht="27.75" customHeight="1" spans="1:34" x14ac:dyDescent="0.25">
      <c r="A1480" s="3">
        <v>1490</v>
      </c>
      <c r="B1480" s="3" t="s">
        <v>1098</v>
      </c>
      <c r="C1480" s="3" t="s">
        <v>1042</v>
      </c>
      <c r="D1480" s="3" t="s">
        <v>47</v>
      </c>
      <c r="E1480" s="3">
        <v>106</v>
      </c>
      <c r="F1480" s="3" t="s">
        <v>258</v>
      </c>
      <c r="G1480" s="3" t="s">
        <v>1099</v>
      </c>
      <c r="H1480" s="3">
        <v>20</v>
      </c>
      <c r="I1480" s="4">
        <v>106</v>
      </c>
      <c r="J1480" s="5">
        <v>34200</v>
      </c>
      <c r="K1480" s="6">
        <f>$E1480+1</f>
        <v>107</v>
      </c>
      <c r="L1480" s="7">
        <f>IF($J1480=0,0,ROUND(MAX($J1480*1.4,1620000*(1.497923^(MIN($E1480,123)-117)))*1,0))</f>
        <v>47880</v>
      </c>
      <c r="M1480" s="4">
        <f>$E1480+2</f>
        <v>108</v>
      </c>
      <c r="N1480" s="8">
        <f>IF($J1480=0,0,ROUND(MAX($J1480*1.4*1.5,2190000*(1.580994^(MIN($E1480,123)-117)))*1,0))</f>
        <v>71820</v>
      </c>
      <c r="O1480" s="6">
        <f>$E1480+4</f>
        <v>110</v>
      </c>
      <c r="P1480" s="7">
        <f>IF($J1480=0,0,ROUND(MAX($J1480*1.4*1.5*1.6,3500000*(1.57975^(MIN($E1480,123)-117)))*1,0))</f>
        <v>114912</v>
      </c>
      <c r="Q1480" s="4">
        <f>$E1480+6</f>
        <v>112</v>
      </c>
      <c r="R1480" s="8">
        <f>IF($J1480=0,0,ROUND(MAX($J1480*1.4*1.5*1.6*1.6,13100000*(1.429962^(MIN($E1480,123)-117)))*1,0))</f>
        <v>256272</v>
      </c>
      <c r="S1480" s="6">
        <f>$E1480+8</f>
        <v>114</v>
      </c>
      <c r="T1480" s="7">
        <f>IF($J1480=0,0,ROUND(MAX($J1480*1.4*1.5*1.6*1.6*2.2,42600000*(1.576904^(MIN($E1480,123)-117)))*1,0))</f>
        <v>404490</v>
      </c>
      <c r="U1480" s="4">
        <f>$E1480+11</f>
        <v>117</v>
      </c>
      <c r="V1480" s="8">
        <f>IF($J1480=0,0,ROUND(MAX($J1480*1.4*1.5*1.6*1.6*2.2*2.715,354000000*(1.642074^(MIN($E1480,123)-117)))*1,0))</f>
        <v>1512458</v>
      </c>
      <c r="W1480" s="6">
        <f>$E1480+15</f>
        <v>121</v>
      </c>
      <c r="X1480" s="7">
        <f>IF($J1480=0,0,ROUND(MAX($J1480*1.4*1.5*1.6*1.6*2.2*2.715*2.6,3540000000*(1.579646^(MIN($E1480,123)-117)))*1,0))</f>
        <v>23165718</v>
      </c>
      <c r="Y1480" s="4">
        <f>$E1480+17</f>
        <v>123</v>
      </c>
      <c r="Z1480" s="8">
        <f>IF($J1480=0,0,ROUND(MAX($J1480*1.4*1.5*1.6*1.6*2.2*2.715*2.6*1.4,6020000000*(1.651178^(MIN($E1480,123)-117)))*1,0))</f>
        <v>24202691</v>
      </c>
      <c r="AA1480" s="6">
        <f>$E1480+19</f>
        <v>125</v>
      </c>
      <c r="AB1480" s="7">
        <f>IF($J1480=0,0,ROUND(MAX($J1480*1.4*1.5*1.6*1.6*2.2*2.715*2.6*1.4*1.4,8430000000*(1.651435^(MIN($E1480,123)-117)))*1,0))</f>
        <v>33833836</v>
      </c>
      <c r="AC1480" s="4">
        <f>$E1480+21</f>
        <v>127</v>
      </c>
      <c r="AD1480" s="8">
        <f>IF($J1480=0,0,ROUND(MAX($J1480*1.4*1.5*1.6*1.6*2.2*2.715*2.6*1.4*1.4*1.5,12600000000*(1.652953^(MIN($E1480,123)-117)))*1,0))</f>
        <v>50061630</v>
      </c>
      <c r="AE1480" s="6">
        <f>$E1480+24</f>
        <v>130</v>
      </c>
      <c r="AF1480" s="7">
        <f>IF($J1480=0,0,ROUND(MAX($J1480*1.4*1.5*1.6*1.6*2.2*2.715*2.6*1.4*1.4*1.5*1.5,18900000000*(1.65331^(MIN($E1480,123)-117)))*1,0))</f>
        <v>74914276</v>
      </c>
      <c r="AG1480" s="4">
        <f>$E1480+27</f>
        <v>133</v>
      </c>
      <c r="AH1480" s="8">
        <f>IF($J1480=0,0,ROUND(MAX($J1480*1.4*1.5*1.6*1.6*2.2*2.715*2.6*1.4*1.4*1.5*1.5*3.2,60500000000*(1.654288^(MIN($E1480,123)-117)))*1,0))</f>
        <v>238250083</v>
      </c>
    </row>
    <row r="1481" ht="27.75" customHeight="1" spans="1:34" x14ac:dyDescent="0.25">
      <c r="A1481" s="3">
        <v>1491</v>
      </c>
      <c r="B1481" s="3" t="s">
        <v>1100</v>
      </c>
      <c r="C1481" s="3" t="s">
        <v>1042</v>
      </c>
      <c r="D1481" s="3" t="s">
        <v>79</v>
      </c>
      <c r="E1481" s="3">
        <v>105</v>
      </c>
      <c r="F1481" s="3" t="s">
        <v>123</v>
      </c>
      <c r="G1481" s="3" t="s">
        <v>1043</v>
      </c>
      <c r="H1481" s="3">
        <v>23</v>
      </c>
      <c r="I1481" s="4">
        <v>105</v>
      </c>
      <c r="J1481" s="5">
        <v>17700</v>
      </c>
      <c r="K1481" s="6">
        <f>$E1481+1</f>
        <v>106</v>
      </c>
      <c r="L1481" s="7">
        <f>IF($J1481=0,0,ROUND(MAX($J1481*1.4,1620000*(1.497923^(MIN($E1481,123)-117)))*1,0))</f>
        <v>24780</v>
      </c>
      <c r="M1481" s="4">
        <f>$E1481+2</f>
        <v>107</v>
      </c>
      <c r="N1481" s="8">
        <f>IF($J1481=0,0,ROUND(MAX($J1481*1.4*1.5,2190000*(1.580994^(MIN($E1481,123)-117)))*1,0))</f>
        <v>37170</v>
      </c>
      <c r="O1481" s="6">
        <f>$E1481+4</f>
        <v>109</v>
      </c>
      <c r="P1481" s="7">
        <f>IF($J1481=0,0,ROUND(MAX($J1481*1.4*1.5*1.6,3500000*(1.57975^(MIN($E1481,123)-117)))*1,0))</f>
        <v>59472</v>
      </c>
      <c r="Q1481" s="4">
        <f>$E1481+6</f>
        <v>111</v>
      </c>
      <c r="R1481" s="8">
        <f>IF($J1481=0,0,ROUND(MAX($J1481*1.4*1.5*1.6*1.6,13100000*(1.429962^(MIN($E1481,123)-117)))*1,0))</f>
        <v>179216</v>
      </c>
      <c r="S1481" s="6">
        <f>$E1481+8</f>
        <v>113</v>
      </c>
      <c r="T1481" s="7">
        <f>IF($J1481=0,0,ROUND(MAX($J1481*1.4*1.5*1.6*1.6*2.2,42600000*(1.576904^(MIN($E1481,123)-117)))*1,0))</f>
        <v>209341</v>
      </c>
      <c r="U1481" s="4">
        <f>$E1481+11</f>
        <v>116</v>
      </c>
      <c r="V1481" s="8">
        <f>IF($J1481=0,0,ROUND(MAX($J1481*1.4*1.5*1.6*1.6*2.2*2.715,354000000*(1.642074^(MIN($E1481,123)-117)))*1,0))</f>
        <v>921066</v>
      </c>
      <c r="W1481" s="6">
        <f>$E1481+15</f>
        <v>120</v>
      </c>
      <c r="X1481" s="7">
        <f>IF($J1481=0,0,ROUND(MAX($J1481*1.4*1.5*1.6*1.6*2.2*2.715*2.6,3540000000*(1.579646^(MIN($E1481,123)-117)))*1,0))</f>
        <v>14665133</v>
      </c>
      <c r="Y1481" s="4">
        <f>$E1481+17</f>
        <v>122</v>
      </c>
      <c r="Z1481" s="8">
        <f>IF($J1481=0,0,ROUND(MAX($J1481*1.4*1.5*1.6*1.6*2.2*2.715*2.6*1.4,6020000000*(1.651178^(MIN($E1481,123)-117)))*1,0))</f>
        <v>14657833</v>
      </c>
      <c r="AA1481" s="6">
        <f>$E1481+19</f>
        <v>124</v>
      </c>
      <c r="AB1481" s="7">
        <f>IF($J1481=0,0,ROUND(MAX($J1481*1.4*1.5*1.6*1.6*2.2*2.715*2.6*1.4*1.4,8430000000*(1.651435^(MIN($E1481,123)-117)))*1,0))</f>
        <v>20487537</v>
      </c>
      <c r="AC1481" s="4">
        <f>$E1481+21</f>
        <v>126</v>
      </c>
      <c r="AD1481" s="8">
        <f>IF($J1481=0,0,ROUND(MAX($J1481*1.4*1.5*1.6*1.6*2.2*2.715*2.6*1.4*1.4*1.5,12600000000*(1.652953^(MIN($E1481,123)-117)))*1,0))</f>
        <v>30286179</v>
      </c>
      <c r="AE1481" s="6">
        <f>$E1481+24</f>
        <v>129</v>
      </c>
      <c r="AF1481" s="7">
        <f>IF($J1481=0,0,ROUND(MAX($J1481*1.4*1.5*1.6*1.6*2.2*2.715*2.6*1.4*1.4*1.5*1.5,18900000000*(1.65331^(MIN($E1481,123)-117)))*1,0))</f>
        <v>45311693</v>
      </c>
      <c r="AG1481" s="4">
        <f>$E1481+27</f>
        <v>132</v>
      </c>
      <c r="AH1481" s="8">
        <f>IF($J1481=0,0,ROUND(MAX($J1481*1.4*1.5*1.6*1.6*2.2*2.715*2.6*1.4*1.4*1.5*1.5*3.2,60500000000*(1.654288^(MIN($E1481,123)-117)))*1,0))</f>
        <v>144019713</v>
      </c>
    </row>
    <row r="1482" ht="27.75" customHeight="1" spans="1:34" x14ac:dyDescent="0.25">
      <c r="A1482" s="3">
        <v>1492</v>
      </c>
      <c r="B1482" s="3" t="s">
        <v>1101</v>
      </c>
      <c r="C1482" s="3" t="s">
        <v>1042</v>
      </c>
      <c r="D1482" s="3" t="s">
        <v>45</v>
      </c>
      <c r="E1482" s="3">
        <v>105</v>
      </c>
      <c r="F1482" s="3" t="s">
        <v>383</v>
      </c>
      <c r="G1482" s="3" t="s">
        <v>1043</v>
      </c>
      <c r="H1482" s="3">
        <v>23</v>
      </c>
      <c r="I1482" s="4">
        <v>105</v>
      </c>
      <c r="J1482" s="5">
        <v>14500</v>
      </c>
      <c r="K1482" s="6">
        <f>$E1482+1</f>
        <v>106</v>
      </c>
      <c r="L1482" s="7">
        <f>IF($J1482=0,0,ROUND(MAX($J1482*1.4,1620000*(1.497923^(MIN($E1482,123)-117)))*1,0))</f>
        <v>20300</v>
      </c>
      <c r="M1482" s="4">
        <f>$E1482+2</f>
        <v>107</v>
      </c>
      <c r="N1482" s="8">
        <f>IF($J1482=0,0,ROUND(MAX($J1482*1.4*1.5,2190000*(1.580994^(MIN($E1482,123)-117)))*1,0))</f>
        <v>30450</v>
      </c>
      <c r="O1482" s="6">
        <f>$E1482+4</f>
        <v>109</v>
      </c>
      <c r="P1482" s="7">
        <f>IF($J1482=0,0,ROUND(MAX($J1482*1.4*1.5*1.6,3500000*(1.57975^(MIN($E1482,123)-117)))*1,0))</f>
        <v>48720</v>
      </c>
      <c r="Q1482" s="4">
        <f>$E1482+6</f>
        <v>111</v>
      </c>
      <c r="R1482" s="8">
        <f>IF($J1482=0,0,ROUND(MAX($J1482*1.4*1.5*1.6*1.6,13100000*(1.429962^(MIN($E1482,123)-117)))*1,0))</f>
        <v>179216</v>
      </c>
      <c r="S1482" s="6">
        <f>$E1482+8</f>
        <v>113</v>
      </c>
      <c r="T1482" s="7">
        <f>IF($J1482=0,0,ROUND(MAX($J1482*1.4*1.5*1.6*1.6*2.2,42600000*(1.576904^(MIN($E1482,123)-117)))*1,0))</f>
        <v>180197</v>
      </c>
      <c r="U1482" s="4">
        <f>$E1482+11</f>
        <v>116</v>
      </c>
      <c r="V1482" s="8">
        <f>IF($J1482=0,0,ROUND(MAX($J1482*1.4*1.5*1.6*1.6*2.2*2.715,354000000*(1.642074^(MIN($E1482,123)-117)))*1,0))</f>
        <v>921066</v>
      </c>
      <c r="W1482" s="6">
        <f>$E1482+15</f>
        <v>120</v>
      </c>
      <c r="X1482" s="7">
        <f>IF($J1482=0,0,ROUND(MAX($J1482*1.4*1.5*1.6*1.6*2.2*2.715*2.6,3540000000*(1.579646^(MIN($E1482,123)-117)))*1,0))</f>
        <v>14665133</v>
      </c>
      <c r="Y1482" s="4">
        <f>$E1482+17</f>
        <v>122</v>
      </c>
      <c r="Z1482" s="8">
        <f>IF($J1482=0,0,ROUND(MAX($J1482*1.4*1.5*1.6*1.6*2.2*2.715*2.6*1.4,6020000000*(1.651178^(MIN($E1482,123)-117)))*1,0))</f>
        <v>14657833</v>
      </c>
      <c r="AA1482" s="6">
        <f>$E1482+19</f>
        <v>124</v>
      </c>
      <c r="AB1482" s="7">
        <f>IF($J1482=0,0,ROUND(MAX($J1482*1.4*1.5*1.6*1.6*2.2*2.715*2.6*1.4*1.4,8430000000*(1.651435^(MIN($E1482,123)-117)))*1,0))</f>
        <v>20487537</v>
      </c>
      <c r="AC1482" s="4">
        <f>$E1482+21</f>
        <v>126</v>
      </c>
      <c r="AD1482" s="8">
        <f>IF($J1482=0,0,ROUND(MAX($J1482*1.4*1.5*1.6*1.6*2.2*2.715*2.6*1.4*1.4*1.5,12600000000*(1.652953^(MIN($E1482,123)-117)))*1,0))</f>
        <v>30286179</v>
      </c>
      <c r="AE1482" s="6">
        <f>$E1482+24</f>
        <v>129</v>
      </c>
      <c r="AF1482" s="7">
        <f>IF($J1482=0,0,ROUND(MAX($J1482*1.4*1.5*1.6*1.6*2.2*2.715*2.6*1.4*1.4*1.5*1.5,18900000000*(1.65331^(MIN($E1482,123)-117)))*1,0))</f>
        <v>45311693</v>
      </c>
      <c r="AG1482" s="4">
        <f>$E1482+27</f>
        <v>132</v>
      </c>
      <c r="AH1482" s="8">
        <f>IF($J1482=0,0,ROUND(MAX($J1482*1.4*1.5*1.6*1.6*2.2*2.715*2.6*1.4*1.4*1.5*1.5*3.2,60500000000*(1.654288^(MIN($E1482,123)-117)))*1,0))</f>
        <v>144019713</v>
      </c>
    </row>
    <row r="1483" ht="27.75" customHeight="1" spans="1:34" x14ac:dyDescent="0.25">
      <c r="A1483" s="3">
        <v>1493</v>
      </c>
      <c r="B1483" s="3" t="s">
        <v>1102</v>
      </c>
      <c r="C1483" s="3" t="s">
        <v>1042</v>
      </c>
      <c r="D1483" s="3" t="s">
        <v>102</v>
      </c>
      <c r="E1483" s="3">
        <v>105</v>
      </c>
      <c r="F1483" s="3" t="s">
        <v>267</v>
      </c>
      <c r="G1483" s="3" t="s">
        <v>1043</v>
      </c>
      <c r="H1483" s="3">
        <v>22</v>
      </c>
      <c r="I1483" s="4">
        <v>105</v>
      </c>
      <c r="J1483" s="5">
        <v>5690</v>
      </c>
      <c r="K1483" s="6">
        <f>$E1483+1</f>
        <v>106</v>
      </c>
      <c r="L1483" s="7">
        <f>IF($J1483=0,0,ROUND(MAX($J1483*1.4,1620000*(1.497923^(MIN($E1483,123)-117)))*1,0))</f>
        <v>12695</v>
      </c>
      <c r="M1483" s="4">
        <f>$E1483+2</f>
        <v>107</v>
      </c>
      <c r="N1483" s="8">
        <f>IF($J1483=0,0,ROUND(MAX($J1483*1.4*1.5,2190000*(1.580994^(MIN($E1483,123)-117)))*1,0))</f>
        <v>11949</v>
      </c>
      <c r="O1483" s="6">
        <f>$E1483+4</f>
        <v>109</v>
      </c>
      <c r="P1483" s="7">
        <f>IF($J1483=0,0,ROUND(MAX($J1483*1.4*1.5*1.6,3500000*(1.57975^(MIN($E1483,123)-117)))*1,0))</f>
        <v>19118</v>
      </c>
      <c r="Q1483" s="4">
        <f>$E1483+6</f>
        <v>111</v>
      </c>
      <c r="R1483" s="8">
        <f>IF($J1483=0,0,ROUND(MAX($J1483*1.4*1.5*1.6*1.6,13100000*(1.429962^(MIN($E1483,123)-117)))*1,0))</f>
        <v>179216</v>
      </c>
      <c r="S1483" s="6">
        <f>$E1483+8</f>
        <v>113</v>
      </c>
      <c r="T1483" s="7">
        <f>IF($J1483=0,0,ROUND(MAX($J1483*1.4*1.5*1.6*1.6*2.2,42600000*(1.576904^(MIN($E1483,123)-117)))*1,0))</f>
        <v>180197</v>
      </c>
      <c r="U1483" s="4">
        <f>$E1483+11</f>
        <v>116</v>
      </c>
      <c r="V1483" s="8">
        <f>IF($J1483=0,0,ROUND(MAX($J1483*1.4*1.5*1.6*1.6*2.2*2.715,354000000*(1.642074^(MIN($E1483,123)-117)))*1,0))</f>
        <v>921066</v>
      </c>
      <c r="W1483" s="6">
        <f>$E1483+15</f>
        <v>120</v>
      </c>
      <c r="X1483" s="7">
        <f>IF($J1483=0,0,ROUND(MAX($J1483*1.4*1.5*1.6*1.6*2.2*2.715*2.6,3540000000*(1.579646^(MIN($E1483,123)-117)))*1,0))</f>
        <v>14665133</v>
      </c>
      <c r="Y1483" s="4">
        <f>$E1483+17</f>
        <v>122</v>
      </c>
      <c r="Z1483" s="8">
        <f>IF($J1483=0,0,ROUND(MAX($J1483*1.4*1.5*1.6*1.6*2.2*2.715*2.6*1.4,6020000000*(1.651178^(MIN($E1483,123)-117)))*1,0))</f>
        <v>14657833</v>
      </c>
      <c r="AA1483" s="6">
        <f>$E1483+19</f>
        <v>124</v>
      </c>
      <c r="AB1483" s="7">
        <f>IF($J1483=0,0,ROUND(MAX($J1483*1.4*1.5*1.6*1.6*2.2*2.715*2.6*1.4*1.4,8430000000*(1.651435^(MIN($E1483,123)-117)))*1,0))</f>
        <v>20487537</v>
      </c>
      <c r="AC1483" s="4">
        <f>$E1483+21</f>
        <v>126</v>
      </c>
      <c r="AD1483" s="8">
        <f>IF($J1483=0,0,ROUND(MAX($J1483*1.4*1.5*1.6*1.6*2.2*2.715*2.6*1.4*1.4*1.5,12600000000*(1.652953^(MIN($E1483,123)-117)))*1,0))</f>
        <v>30286179</v>
      </c>
      <c r="AE1483" s="6">
        <f>$E1483+24</f>
        <v>129</v>
      </c>
      <c r="AF1483" s="7">
        <f>IF($J1483=0,0,ROUND(MAX($J1483*1.4*1.5*1.6*1.6*2.2*2.715*2.6*1.4*1.4*1.5*1.5,18900000000*(1.65331^(MIN($E1483,123)-117)))*1,0))</f>
        <v>45311693</v>
      </c>
      <c r="AG1483" s="4">
        <f>$E1483+27</f>
        <v>132</v>
      </c>
      <c r="AH1483" s="8">
        <f>IF($J1483=0,0,ROUND(MAX($J1483*1.4*1.5*1.6*1.6*2.2*2.715*2.6*1.4*1.4*1.5*1.5*3.2,60500000000*(1.654288^(MIN($E1483,123)-117)))*1,0))</f>
        <v>144019713</v>
      </c>
    </row>
    <row r="1484" ht="27.75" customHeight="1" spans="1:34" x14ac:dyDescent="0.25">
      <c r="A1484" s="3">
        <v>1494</v>
      </c>
      <c r="B1484" s="3" t="s">
        <v>1103</v>
      </c>
      <c r="C1484" s="3" t="s">
        <v>1042</v>
      </c>
      <c r="D1484" s="3" t="s">
        <v>33</v>
      </c>
      <c r="E1484" s="3">
        <v>104</v>
      </c>
      <c r="F1484" s="3" t="s">
        <v>267</v>
      </c>
      <c r="G1484" s="3" t="s">
        <v>813</v>
      </c>
      <c r="H1484" s="3">
        <v>22</v>
      </c>
      <c r="I1484" s="4">
        <v>104</v>
      </c>
      <c r="J1484" s="5">
        <v>108000</v>
      </c>
      <c r="K1484" s="6">
        <f>$E1484+1</f>
        <v>105</v>
      </c>
      <c r="L1484" s="7">
        <f>IF($J1484=0,0,ROUND(MAX($J1484*1.4,1620000*(1.497923^(MIN($E1484,123)-117)))*1,0))</f>
        <v>151200</v>
      </c>
      <c r="M1484" s="4">
        <f>$E1484+2</f>
        <v>106</v>
      </c>
      <c r="N1484" s="8">
        <f>IF($J1484=0,0,ROUND(MAX($J1484*1.4*1.5,2190000*(1.580994^(MIN($E1484,123)-117)))*1,0))</f>
        <v>226800</v>
      </c>
      <c r="O1484" s="6">
        <f>$E1484+4</f>
        <v>108</v>
      </c>
      <c r="P1484" s="7">
        <f>IF($J1484=0,0,ROUND(MAX($J1484*1.4*1.5*1.6,3500000*(1.57975^(MIN($E1484,123)-117)))*1,0))</f>
        <v>362880</v>
      </c>
      <c r="Q1484" s="4">
        <f>$E1484+6</f>
        <v>110</v>
      </c>
      <c r="R1484" s="8">
        <f>IF($J1484=0,0,ROUND(MAX($J1484*1.4*1.5*1.6*1.6,13100000*(1.429962^(MIN($E1484,123)-117)))*1,0))</f>
        <v>580608</v>
      </c>
      <c r="S1484" s="6">
        <f>$E1484+8</f>
        <v>112</v>
      </c>
      <c r="T1484" s="7">
        <f>IF($J1484=0,0,ROUND(MAX($J1484*1.4*1.5*1.6*1.6*2.2,42600000*(1.576904^(MIN($E1484,123)-117)))*1,0))</f>
        <v>1277338</v>
      </c>
      <c r="U1484" s="4">
        <f>$E1484+11</f>
        <v>115</v>
      </c>
      <c r="V1484" s="8">
        <f>IF($J1484=0,0,ROUND(MAX($J1484*1.4*1.5*1.6*1.6*2.2*2.715,354000000*(1.642074^(MIN($E1484,123)-117)))*1,0))</f>
        <v>3467972</v>
      </c>
      <c r="W1484" s="6">
        <f>$E1484+15</f>
        <v>119</v>
      </c>
      <c r="X1484" s="7">
        <f>IF($J1484=0,0,ROUND(MAX($J1484*1.4*1.5*1.6*1.6*2.2*2.715*2.6,3540000000*(1.579646^(MIN($E1484,123)-117)))*1,0))</f>
        <v>9283810</v>
      </c>
      <c r="Y1484" s="4">
        <f>$E1484+17</f>
        <v>121</v>
      </c>
      <c r="Z1484" s="8">
        <f>IF($J1484=0,0,ROUND(MAX($J1484*1.4*1.5*1.6*1.6*2.2*2.715*2.6*1.4,6020000000*(1.651178^(MIN($E1484,123)-117)))*1,0))</f>
        <v>12623417</v>
      </c>
      <c r="AA1484" s="6">
        <f>$E1484+19</f>
        <v>123</v>
      </c>
      <c r="AB1484" s="7">
        <f>IF($J1484=0,0,ROUND(MAX($J1484*1.4*1.5*1.6*1.6*2.2*2.715*2.6*1.4*1.4,8430000000*(1.651435^(MIN($E1484,123)-117)))*1,0))</f>
        <v>17672783</v>
      </c>
      <c r="AC1484" s="4">
        <f>$E1484+21</f>
        <v>125</v>
      </c>
      <c r="AD1484" s="8">
        <f>IF($J1484=0,0,ROUND(MAX($J1484*1.4*1.5*1.6*1.6*2.2*2.715*2.6*1.4*1.4*1.5,12600000000*(1.652953^(MIN($E1484,123)-117)))*1,0))</f>
        <v>26509175</v>
      </c>
      <c r="AE1484" s="6">
        <f>$E1484+24</f>
        <v>128</v>
      </c>
      <c r="AF1484" s="7">
        <f>IF($J1484=0,0,ROUND(MAX($J1484*1.4*1.5*1.6*1.6*2.2*2.715*2.6*1.4*1.4*1.5*1.5,18900000000*(1.65331^(MIN($E1484,123)-117)))*1,0))</f>
        <v>39763762</v>
      </c>
      <c r="AG1484" s="4">
        <f>$E1484+27</f>
        <v>131</v>
      </c>
      <c r="AH1484" s="8">
        <f>IF($J1484=0,0,ROUND(MAX($J1484*1.4*1.5*1.6*1.6*2.2*2.715*2.6*1.4*1.4*1.5*1.5*3.2,60500000000*(1.654288^(MIN($E1484,123)-117)))*1,0))</f>
        <v>127244039</v>
      </c>
    </row>
    <row r="1485" ht="27.75" customHeight="1" spans="1:34" x14ac:dyDescent="0.25">
      <c r="A1485" s="3">
        <v>1495</v>
      </c>
      <c r="B1485" s="3" t="s">
        <v>1104</v>
      </c>
      <c r="C1485" s="3" t="s">
        <v>1042</v>
      </c>
      <c r="D1485" s="3" t="s">
        <v>165</v>
      </c>
      <c r="E1485" s="3">
        <v>104</v>
      </c>
      <c r="F1485" s="3" t="s">
        <v>383</v>
      </c>
      <c r="G1485" s="3" t="s">
        <v>1043</v>
      </c>
      <c r="H1485" s="3">
        <v>22</v>
      </c>
      <c r="I1485" s="4">
        <v>104</v>
      </c>
      <c r="J1485" s="5">
        <v>5610</v>
      </c>
      <c r="K1485" s="6">
        <f>$E1485+1</f>
        <v>105</v>
      </c>
      <c r="L1485" s="7">
        <f>IF($J1485=0,0,ROUND(MAX($J1485*1.4,1620000*(1.497923^(MIN($E1485,123)-117)))*1,0))</f>
        <v>8475</v>
      </c>
      <c r="M1485" s="4">
        <f>$E1485+2</f>
        <v>106</v>
      </c>
      <c r="N1485" s="8">
        <f>IF($J1485=0,0,ROUND(MAX($J1485*1.4*1.5,2190000*(1.580994^(MIN($E1485,123)-117)))*1,0))</f>
        <v>11781</v>
      </c>
      <c r="O1485" s="6">
        <f>$E1485+4</f>
        <v>108</v>
      </c>
      <c r="P1485" s="7">
        <f>IF($J1485=0,0,ROUND(MAX($J1485*1.4*1.5*1.6,3500000*(1.57975^(MIN($E1485,123)-117)))*1,0))</f>
        <v>18850</v>
      </c>
      <c r="Q1485" s="4">
        <f>$E1485+6</f>
        <v>110</v>
      </c>
      <c r="R1485" s="8">
        <f>IF($J1485=0,0,ROUND(MAX($J1485*1.4*1.5*1.6*1.6,13100000*(1.429962^(MIN($E1485,123)-117)))*1,0))</f>
        <v>125329</v>
      </c>
      <c r="S1485" s="6">
        <f>$E1485+8</f>
        <v>112</v>
      </c>
      <c r="T1485" s="7">
        <f>IF($J1485=0,0,ROUND(MAX($J1485*1.4*1.5*1.6*1.6*2.2,42600000*(1.576904^(MIN($E1485,123)-117)))*1,0))</f>
        <v>114272</v>
      </c>
      <c r="U1485" s="4">
        <f>$E1485+11</f>
        <v>115</v>
      </c>
      <c r="V1485" s="8">
        <f>IF($J1485=0,0,ROUND(MAX($J1485*1.4*1.5*1.6*1.6*2.2*2.715,354000000*(1.642074^(MIN($E1485,123)-117)))*1,0))</f>
        <v>560916</v>
      </c>
      <c r="W1485" s="6">
        <f>$E1485+15</f>
        <v>119</v>
      </c>
      <c r="X1485" s="7">
        <f>IF($J1485=0,0,ROUND(MAX($J1485*1.4*1.5*1.6*1.6*2.2*2.715*2.6,3540000000*(1.579646^(MIN($E1485,123)-117)))*1,0))</f>
        <v>9283810</v>
      </c>
      <c r="Y1485" s="4">
        <f>$E1485+17</f>
        <v>121</v>
      </c>
      <c r="Z1485" s="8">
        <f>IF($J1485=0,0,ROUND(MAX($J1485*1.4*1.5*1.6*1.6*2.2*2.715*2.6*1.4,6020000000*(1.651178^(MIN($E1485,123)-117)))*1,0))</f>
        <v>8877197</v>
      </c>
      <c r="AA1485" s="6">
        <f>$E1485+19</f>
        <v>123</v>
      </c>
      <c r="AB1485" s="7">
        <f>IF($J1485=0,0,ROUND(MAX($J1485*1.4*1.5*1.6*1.6*2.2*2.715*2.6*1.4*1.4,8430000000*(1.651435^(MIN($E1485,123)-117)))*1,0))</f>
        <v>12405900</v>
      </c>
      <c r="AC1485" s="4">
        <f>$E1485+21</f>
        <v>125</v>
      </c>
      <c r="AD1485" s="8">
        <f>IF($J1485=0,0,ROUND(MAX($J1485*1.4*1.5*1.6*1.6*2.2*2.715*2.6*1.4*1.4*1.5,12600000000*(1.652953^(MIN($E1485,123)-117)))*1,0))</f>
        <v>18322468</v>
      </c>
      <c r="AE1485" s="6">
        <f>$E1485+24</f>
        <v>128</v>
      </c>
      <c r="AF1485" s="7">
        <f>IF($J1485=0,0,ROUND(MAX($J1485*1.4*1.5*1.6*1.6*2.2*2.715*2.6*1.4*1.4*1.5*1.5,18900000000*(1.65331^(MIN($E1485,123)-117)))*1,0))</f>
        <v>27406653</v>
      </c>
      <c r="AG1485" s="4">
        <f>$E1485+27</f>
        <v>131</v>
      </c>
      <c r="AH1485" s="8">
        <f>IF($J1485=0,0,ROUND(MAX($J1485*1.4*1.5*1.6*1.6*2.2*2.715*2.6*1.4*1.4*1.5*1.5*3.2,60500000000*(1.654288^(MIN($E1485,123)-117)))*1,0))</f>
        <v>87058428</v>
      </c>
    </row>
    <row r="1486" ht="27.75" customHeight="1" spans="1:34" x14ac:dyDescent="0.25">
      <c r="A1486" s="3">
        <v>1496</v>
      </c>
      <c r="B1486" s="3" t="s">
        <v>1105</v>
      </c>
      <c r="C1486" s="3" t="s">
        <v>1042</v>
      </c>
      <c r="D1486" s="3" t="s">
        <v>79</v>
      </c>
      <c r="E1486" s="3">
        <v>103</v>
      </c>
      <c r="F1486" s="3" t="s">
        <v>123</v>
      </c>
      <c r="G1486" s="3" t="s">
        <v>1043</v>
      </c>
      <c r="H1486" s="3">
        <v>22</v>
      </c>
      <c r="I1486" s="4">
        <v>103</v>
      </c>
      <c r="J1486" s="5">
        <v>6980</v>
      </c>
      <c r="K1486" s="6">
        <f>$E1486+1</f>
        <v>104</v>
      </c>
      <c r="L1486" s="7">
        <f>IF($J1486=0,0,ROUND(MAX($J1486*1.4,1620000*(1.497923^(MIN($E1486,123)-117)))*1,0))</f>
        <v>9772</v>
      </c>
      <c r="M1486" s="4">
        <f>$E1486+2</f>
        <v>105</v>
      </c>
      <c r="N1486" s="8">
        <f>IF($J1486=0,0,ROUND(MAX($J1486*1.4*1.5,2190000*(1.580994^(MIN($E1486,123)-117)))*1,0))</f>
        <v>14658</v>
      </c>
      <c r="O1486" s="6">
        <f>$E1486+4</f>
        <v>107</v>
      </c>
      <c r="P1486" s="7">
        <f>IF($J1486=0,0,ROUND(MAX($J1486*1.4*1.5*1.6,3500000*(1.57975^(MIN($E1486,123)-117)))*1,0))</f>
        <v>23453</v>
      </c>
      <c r="Q1486" s="4">
        <f>$E1486+6</f>
        <v>109</v>
      </c>
      <c r="R1486" s="8">
        <f>IF($J1486=0,0,ROUND(MAX($J1486*1.4*1.5*1.6*1.6,13100000*(1.429962^(MIN($E1486,123)-117)))*1,0))</f>
        <v>87645</v>
      </c>
      <c r="S1486" s="6">
        <f>$E1486+8</f>
        <v>111</v>
      </c>
      <c r="T1486" s="7">
        <f>IF($J1486=0,0,ROUND(MAX($J1486*1.4*1.5*1.6*1.6*2.2,42600000*(1.576904^(MIN($E1486,123)-117)))*1,0))</f>
        <v>82554</v>
      </c>
      <c r="U1486" s="4">
        <f>$E1486+11</f>
        <v>114</v>
      </c>
      <c r="V1486" s="8">
        <f>IF($J1486=0,0,ROUND(MAX($J1486*1.4*1.5*1.6*1.6*2.2*2.715,354000000*(1.642074^(MIN($E1486,123)-117)))*1,0))</f>
        <v>341590</v>
      </c>
      <c r="W1486" s="6">
        <f>$E1486+15</f>
        <v>118</v>
      </c>
      <c r="X1486" s="7">
        <f>IF($J1486=0,0,ROUND(MAX($J1486*1.4*1.5*1.6*1.6*2.2*2.715*2.6,3540000000*(1.579646^(MIN($E1486,123)-117)))*1,0))</f>
        <v>5877146</v>
      </c>
      <c r="Y1486" s="4">
        <f>$E1486+17</f>
        <v>120</v>
      </c>
      <c r="Z1486" s="8">
        <f>IF($J1486=0,0,ROUND(MAX($J1486*1.4*1.5*1.6*1.6*2.2*2.715*2.6*1.4,6020000000*(1.651178^(MIN($E1486,123)-117)))*1,0))</f>
        <v>5376281</v>
      </c>
      <c r="AA1486" s="6">
        <f>$E1486+19</f>
        <v>122</v>
      </c>
      <c r="AB1486" s="7">
        <f>IF($J1486=0,0,ROUND(MAX($J1486*1.4*1.5*1.6*1.6*2.2*2.715*2.6*1.4*1.4,8430000000*(1.651435^(MIN($E1486,123)-117)))*1,0))</f>
        <v>7512194</v>
      </c>
      <c r="AC1486" s="4">
        <f>$E1486+21</f>
        <v>124</v>
      </c>
      <c r="AD1486" s="8">
        <f>IF($J1486=0,0,ROUND(MAX($J1486*1.4*1.5*1.6*1.6*2.2*2.715*2.6*1.4*1.4*1.5,12600000000*(1.652953^(MIN($E1486,123)-117)))*1,0))</f>
        <v>11084688</v>
      </c>
      <c r="AE1486" s="6">
        <f>$E1486+24</f>
        <v>127</v>
      </c>
      <c r="AF1486" s="7">
        <f>IF($J1486=0,0,ROUND(MAX($J1486*1.4*1.5*1.6*1.6*2.2*2.715*2.6*1.4*1.4*1.5*1.5,18900000000*(1.65331^(MIN($E1486,123)-117)))*1,0))</f>
        <v>16576839</v>
      </c>
      <c r="AG1486" s="4">
        <f>$E1486+27</f>
        <v>130</v>
      </c>
      <c r="AH1486" s="8">
        <f>IF($J1486=0,0,ROUND(MAX($J1486*1.4*1.5*1.6*1.6*2.2*2.715*2.6*1.4*1.4*1.5*1.5*3.2,60500000000*(1.654288^(MIN($E1486,123)-117)))*1,0))</f>
        <v>52625920</v>
      </c>
    </row>
    <row r="1487" ht="27.75" customHeight="1" spans="1:34" x14ac:dyDescent="0.25">
      <c r="A1487" s="3">
        <v>1497</v>
      </c>
      <c r="B1487" s="3" t="s">
        <v>1106</v>
      </c>
      <c r="C1487" s="3" t="s">
        <v>1042</v>
      </c>
      <c r="D1487" s="3" t="s">
        <v>90</v>
      </c>
      <c r="E1487" s="3">
        <v>103</v>
      </c>
      <c r="F1487" s="3" t="s">
        <v>123</v>
      </c>
      <c r="G1487" s="3" t="s">
        <v>1107</v>
      </c>
      <c r="H1487" s="3">
        <v>21</v>
      </c>
      <c r="I1487" s="4">
        <v>103</v>
      </c>
      <c r="J1487" s="5">
        <v>71100</v>
      </c>
      <c r="K1487" s="6">
        <f>$E1487+1</f>
        <v>104</v>
      </c>
      <c r="L1487" s="7">
        <f>IF($J1487=0,0,ROUND(MAX($J1487*1.4,1620000*(1.497923^(MIN($E1487,123)-117)))*1,0))</f>
        <v>99540</v>
      </c>
      <c r="M1487" s="4">
        <f>$E1487+2</f>
        <v>105</v>
      </c>
      <c r="N1487" s="8">
        <f>IF($J1487=0,0,ROUND(MAX($J1487*1.4*1.5,2190000*(1.580994^(MIN($E1487,123)-117)))*1,0))</f>
        <v>149310</v>
      </c>
      <c r="O1487" s="6">
        <f>$E1487+4</f>
        <v>107</v>
      </c>
      <c r="P1487" s="7">
        <f>IF($J1487=0,0,ROUND(MAX($J1487*1.4*1.5*1.6,3500000*(1.57975^(MIN($E1487,123)-117)))*1,0))</f>
        <v>238896</v>
      </c>
      <c r="Q1487" s="4">
        <f>$E1487+6</f>
        <v>109</v>
      </c>
      <c r="R1487" s="8">
        <f>IF($J1487=0,0,ROUND(MAX($J1487*1.4*1.5*1.6*1.6,13100000*(1.429962^(MIN($E1487,123)-117)))*1,0))</f>
        <v>382234</v>
      </c>
      <c r="S1487" s="6">
        <f>$E1487+8</f>
        <v>111</v>
      </c>
      <c r="T1487" s="7">
        <f>IF($J1487=0,0,ROUND(MAX($J1487*1.4*1.5*1.6*1.6*2.2,42600000*(1.576904^(MIN($E1487,123)-117)))*1,0))</f>
        <v>840914</v>
      </c>
      <c r="U1487" s="4">
        <f>$E1487+11</f>
        <v>114</v>
      </c>
      <c r="V1487" s="8">
        <f>IF($J1487=0,0,ROUND(MAX($J1487*1.4*1.5*1.6*1.6*2.2*2.715,354000000*(1.642074^(MIN($E1487,123)-117)))*1,0))</f>
        <v>2283081</v>
      </c>
      <c r="W1487" s="6">
        <f>$E1487+15</f>
        <v>118</v>
      </c>
      <c r="X1487" s="7">
        <f>IF($J1487=0,0,ROUND(MAX($J1487*1.4*1.5*1.6*1.6*2.2*2.715*2.6,3540000000*(1.579646^(MIN($E1487,123)-117)))*1,0))</f>
        <v>5936011</v>
      </c>
      <c r="Y1487" s="4">
        <f>$E1487+17</f>
        <v>120</v>
      </c>
      <c r="Z1487" s="8">
        <f>IF($J1487=0,0,ROUND(MAX($J1487*1.4*1.5*1.6*1.6*2.2*2.715*2.6*1.4,6020000000*(1.651178^(MIN($E1487,123)-117)))*1,0))</f>
        <v>8310416</v>
      </c>
      <c r="AA1487" s="6">
        <f>$E1487+19</f>
        <v>122</v>
      </c>
      <c r="AB1487" s="7">
        <f>IF($J1487=0,0,ROUND(MAX($J1487*1.4*1.5*1.6*1.6*2.2*2.715*2.6*1.4*1.4,8430000000*(1.651435^(MIN($E1487,123)-117)))*1,0))</f>
        <v>11634582</v>
      </c>
      <c r="AC1487" s="4">
        <f>$E1487+21</f>
        <v>124</v>
      </c>
      <c r="AD1487" s="8">
        <f>IF($J1487=0,0,ROUND(MAX($J1487*1.4*1.5*1.6*1.6*2.2*2.715*2.6*1.4*1.4*1.5,12600000000*(1.652953^(MIN($E1487,123)-117)))*1,0))</f>
        <v>17451873</v>
      </c>
      <c r="AE1487" s="6">
        <f>$E1487+24</f>
        <v>127</v>
      </c>
      <c r="AF1487" s="7">
        <f>IF($J1487=0,0,ROUND(MAX($J1487*1.4*1.5*1.6*1.6*2.2*2.715*2.6*1.4*1.4*1.5*1.5,18900000000*(1.65331^(MIN($E1487,123)-117)))*1,0))</f>
        <v>26177810</v>
      </c>
      <c r="AG1487" s="4">
        <f>$E1487+27</f>
        <v>130</v>
      </c>
      <c r="AH1487" s="8">
        <f>IF($J1487=0,0,ROUND(MAX($J1487*1.4*1.5*1.6*1.6*2.2*2.715*2.6*1.4*1.4*1.5*1.5*3.2,60500000000*(1.654288^(MIN($E1487,123)-117)))*1,0))</f>
        <v>83768992</v>
      </c>
    </row>
    <row r="1488" ht="27.75" customHeight="1" spans="1:34" x14ac:dyDescent="0.25">
      <c r="A1488" s="3">
        <v>1498</v>
      </c>
      <c r="B1488" s="3" t="s">
        <v>430</v>
      </c>
      <c r="C1488" s="3" t="s">
        <v>1042</v>
      </c>
      <c r="D1488" s="3" t="s">
        <v>79</v>
      </c>
      <c r="E1488" s="3">
        <v>102</v>
      </c>
      <c r="F1488" s="3" t="s">
        <v>431</v>
      </c>
      <c r="G1488" s="3" t="s">
        <v>374</v>
      </c>
      <c r="H1488" s="3">
        <v>22</v>
      </c>
      <c r="I1488" s="4">
        <v>102</v>
      </c>
      <c r="J1488" s="5">
        <v>34200</v>
      </c>
      <c r="K1488" s="6">
        <f>$E1488+1</f>
        <v>103</v>
      </c>
      <c r="L1488" s="7">
        <f>IF($J1488=0,0,ROUND(MAX($J1488*1.4,1620000*(1.497923^(MIN($E1488,123)-117)))*1,0))</f>
        <v>47880</v>
      </c>
      <c r="M1488" s="4">
        <f>$E1488+2</f>
        <v>104</v>
      </c>
      <c r="N1488" s="8">
        <f>IF($J1488=0,0,ROUND(MAX($J1488*1.4*1.5,2190000*(1.580994^(MIN($E1488,123)-117)))*1,0))</f>
        <v>71820</v>
      </c>
      <c r="O1488" s="6">
        <f>$E1488+4</f>
        <v>106</v>
      </c>
      <c r="P1488" s="7">
        <f>IF($J1488=0,0,ROUND(MAX($J1488*1.4*1.5*1.6,3500000*(1.57975^(MIN($E1488,123)-117)))*1,0))</f>
        <v>114912</v>
      </c>
      <c r="Q1488" s="4">
        <f>$E1488+6</f>
        <v>108</v>
      </c>
      <c r="R1488" s="8">
        <f>IF($J1488=0,0,ROUND(MAX($J1488*1.4*1.5*1.6*1.6,13100000*(1.429962^(MIN($E1488,123)-117)))*1,0))</f>
        <v>183859</v>
      </c>
      <c r="S1488" s="6">
        <f>$E1488+8</f>
        <v>110</v>
      </c>
      <c r="T1488" s="7">
        <f>IF($J1488=0,0,ROUND(MAX($J1488*1.4*1.5*1.6*1.6*2.2,42600000*(1.576904^(MIN($E1488,123)-117)))*1,0))</f>
        <v>404490</v>
      </c>
      <c r="U1488" s="4">
        <f>$E1488+11</f>
        <v>113</v>
      </c>
      <c r="V1488" s="8">
        <f>IF($J1488=0,0,ROUND(MAX($J1488*1.4*1.5*1.6*1.6*2.2*2.715,354000000*(1.642074^(MIN($E1488,123)-117)))*1,0))</f>
        <v>1098191</v>
      </c>
      <c r="W1488" s="6">
        <f>$E1488+15</f>
        <v>117</v>
      </c>
      <c r="X1488" s="7">
        <f>IF($J1488=0,0,ROUND(MAX($J1488*1.4*1.5*1.6*1.6*2.2*2.715*2.6,3540000000*(1.579646^(MIN($E1488,123)-117)))*1,0))</f>
        <v>3720546</v>
      </c>
      <c r="Y1488" s="4">
        <f>$E1488+17</f>
        <v>119</v>
      </c>
      <c r="Z1488" s="8">
        <f>IF($J1488=0,0,ROUND(MAX($J1488*1.4*1.5*1.6*1.6*2.2*2.715*2.6*1.4,6020000000*(1.651178^(MIN($E1488,123)-117)))*1,0))</f>
        <v>3997415</v>
      </c>
      <c r="AA1488" s="6">
        <f>$E1488+19</f>
        <v>121</v>
      </c>
      <c r="AB1488" s="7">
        <f>IF($J1488=0,0,ROUND(MAX($J1488*1.4*1.5*1.6*1.6*2.2*2.715*2.6*1.4*1.4,8430000000*(1.651435^(MIN($E1488,123)-117)))*1,0))</f>
        <v>5596381</v>
      </c>
      <c r="AC1488" s="4">
        <f>$E1488+21</f>
        <v>123</v>
      </c>
      <c r="AD1488" s="8">
        <f>IF($J1488=0,0,ROUND(MAX($J1488*1.4*1.5*1.6*1.6*2.2*2.715*2.6*1.4*1.4*1.5,12600000000*(1.652953^(MIN($E1488,123)-117)))*1,0))</f>
        <v>8394572</v>
      </c>
      <c r="AE1488" s="6">
        <f>$E1488+24</f>
        <v>126</v>
      </c>
      <c r="AF1488" s="7">
        <f>IF($J1488=0,0,ROUND(MAX($J1488*1.4*1.5*1.6*1.6*2.2*2.715*2.6*1.4*1.4*1.5*1.5,18900000000*(1.65331^(MIN($E1488,123)-117)))*1,0))</f>
        <v>12591858</v>
      </c>
      <c r="AG1488" s="4">
        <f>$E1488+27</f>
        <v>129</v>
      </c>
      <c r="AH1488" s="8">
        <f>IF($J1488=0,0,ROUND(MAX($J1488*1.4*1.5*1.6*1.6*2.2*2.715*2.6*1.4*1.4*1.5*1.5*3.2,60500000000*(1.654288^(MIN($E1488,123)-117)))*1,0))</f>
        <v>40293946</v>
      </c>
    </row>
    <row r="1489" ht="27.75" customHeight="1" spans="1:34" x14ac:dyDescent="0.25">
      <c r="A1489" s="3">
        <v>1499</v>
      </c>
      <c r="B1489" s="3" t="s">
        <v>1108</v>
      </c>
      <c r="C1489" s="3" t="s">
        <v>1042</v>
      </c>
      <c r="D1489" s="3" t="s">
        <v>102</v>
      </c>
      <c r="E1489" s="3">
        <v>102</v>
      </c>
      <c r="F1489" s="3" t="s">
        <v>237</v>
      </c>
      <c r="G1489" s="3" t="s">
        <v>1109</v>
      </c>
      <c r="H1489" s="3">
        <v>21</v>
      </c>
      <c r="I1489" s="4">
        <v>102</v>
      </c>
      <c r="J1489" s="5">
        <v>14000</v>
      </c>
      <c r="K1489" s="6">
        <f>$E1489+1</f>
        <v>103</v>
      </c>
      <c r="L1489" s="7">
        <f>IF($J1489=0,0,ROUND(MAX($J1489*1.4,1620000*(1.497923^(MIN($E1489,123)-117)))*1,0))</f>
        <v>19600</v>
      </c>
      <c r="M1489" s="4">
        <f>$E1489+2</f>
        <v>104</v>
      </c>
      <c r="N1489" s="8">
        <f>IF($J1489=0,0,ROUND(MAX($J1489*1.4*1.5,2190000*(1.580994^(MIN($E1489,123)-117)))*1,0))</f>
        <v>29400</v>
      </c>
      <c r="O1489" s="6">
        <f>$E1489+4</f>
        <v>106</v>
      </c>
      <c r="P1489" s="7">
        <f>IF($J1489=0,0,ROUND(MAX($J1489*1.4*1.5*1.6,3500000*(1.57975^(MIN($E1489,123)-117)))*1,0))</f>
        <v>47040</v>
      </c>
      <c r="Q1489" s="4">
        <f>$E1489+6</f>
        <v>108</v>
      </c>
      <c r="R1489" s="8">
        <f>IF($J1489=0,0,ROUND(MAX($J1489*1.4*1.5*1.6*1.6,13100000*(1.429962^(MIN($E1489,123)-117)))*1,0))</f>
        <v>75264</v>
      </c>
      <c r="S1489" s="6">
        <f>$E1489+8</f>
        <v>110</v>
      </c>
      <c r="T1489" s="7">
        <f>IF($J1489=0,0,ROUND(MAX($J1489*1.4*1.5*1.6*1.6*2.2,42600000*(1.576904^(MIN($E1489,123)-117)))*1,0))</f>
        <v>165581</v>
      </c>
      <c r="U1489" s="4">
        <f>$E1489+11</f>
        <v>113</v>
      </c>
      <c r="V1489" s="8">
        <f>IF($J1489=0,0,ROUND(MAX($J1489*1.4*1.5*1.6*1.6*2.2*2.715,354000000*(1.642074^(MIN($E1489,123)-117)))*1,0))</f>
        <v>449552</v>
      </c>
      <c r="W1489" s="6">
        <f>$E1489+15</f>
        <v>117</v>
      </c>
      <c r="X1489" s="7">
        <f>IF($J1489=0,0,ROUND(MAX($J1489*1.4*1.5*1.6*1.6*2.2*2.715*2.6,3540000000*(1.579646^(MIN($E1489,123)-117)))*1,0))</f>
        <v>3720546</v>
      </c>
      <c r="Y1489" s="4">
        <f>$E1489+17</f>
        <v>119</v>
      </c>
      <c r="Z1489" s="8">
        <f>IF($J1489=0,0,ROUND(MAX($J1489*1.4*1.5*1.6*1.6*2.2*2.715*2.6*1.4,6020000000*(1.651178^(MIN($E1489,123)-117)))*1,0))</f>
        <v>3256028</v>
      </c>
      <c r="AA1489" s="6">
        <f>$E1489+19</f>
        <v>121</v>
      </c>
      <c r="AB1489" s="7">
        <f>IF($J1489=0,0,ROUND(MAX($J1489*1.4*1.5*1.6*1.6*2.2*2.715*2.6*1.4*1.4,8430000000*(1.651435^(MIN($E1489,123)-117)))*1,0))</f>
        <v>4548889</v>
      </c>
      <c r="AC1489" s="4">
        <f>$E1489+21</f>
        <v>123</v>
      </c>
      <c r="AD1489" s="8">
        <f>IF($J1489=0,0,ROUND(MAX($J1489*1.4*1.5*1.6*1.6*2.2*2.715*2.6*1.4*1.4*1.5,12600000000*(1.652953^(MIN($E1489,123)-117)))*1,0))</f>
        <v>6705991</v>
      </c>
      <c r="AE1489" s="6">
        <f>$E1489+24</f>
        <v>126</v>
      </c>
      <c r="AF1489" s="7">
        <f>IF($J1489=0,0,ROUND(MAX($J1489*1.4*1.5*1.6*1.6*2.2*2.715*2.6*1.4*1.4*1.5*1.5,18900000000*(1.65331^(MIN($E1489,123)-117)))*1,0))</f>
        <v>10026455</v>
      </c>
      <c r="AG1489" s="4">
        <f>$E1489+27</f>
        <v>129</v>
      </c>
      <c r="AH1489" s="8">
        <f>IF($J1489=0,0,ROUND(MAX($J1489*1.4*1.5*1.6*1.6*2.2*2.715*2.6*1.4*1.4*1.5*1.5*3.2,60500000000*(1.654288^(MIN($E1489,123)-117)))*1,0))</f>
        <v>31811825</v>
      </c>
    </row>
    <row r="1490" ht="27.75" customHeight="1" spans="1:34" x14ac:dyDescent="0.25">
      <c r="A1490" s="3">
        <v>1500</v>
      </c>
      <c r="B1490" s="3" t="s">
        <v>1110</v>
      </c>
      <c r="C1490" s="3" t="s">
        <v>1042</v>
      </c>
      <c r="D1490" s="3" t="s">
        <v>64</v>
      </c>
      <c r="E1490" s="3">
        <v>102</v>
      </c>
      <c r="F1490" s="3" t="s">
        <v>123</v>
      </c>
      <c r="G1490" s="3" t="s">
        <v>1111</v>
      </c>
      <c r="H1490" s="3">
        <v>21</v>
      </c>
      <c r="I1490" s="4">
        <v>102</v>
      </c>
      <c r="J1490" s="5">
        <v>15000</v>
      </c>
      <c r="K1490" s="6">
        <f>$E1490+1</f>
        <v>103</v>
      </c>
      <c r="L1490" s="7">
        <f>IF($J1490=0,0,ROUND(MAX($J1490*1.4,1620000*(1.497923^(MIN($E1490,123)-117)))*1,0))</f>
        <v>21000</v>
      </c>
      <c r="M1490" s="4">
        <f>$E1490+2</f>
        <v>104</v>
      </c>
      <c r="N1490" s="8">
        <f>IF($J1490=0,0,ROUND(MAX($J1490*1.4*1.5,2190000*(1.580994^(MIN($E1490,123)-117)))*1,0))</f>
        <v>31500</v>
      </c>
      <c r="O1490" s="6">
        <f>$E1490+4</f>
        <v>106</v>
      </c>
      <c r="P1490" s="7">
        <f>IF($J1490=0,0,ROUND(MAX($J1490*1.4*1.5*1.6,3500000*(1.57975^(MIN($E1490,123)-117)))*1,0))</f>
        <v>50400</v>
      </c>
      <c r="Q1490" s="4">
        <f>$E1490+6</f>
        <v>108</v>
      </c>
      <c r="R1490" s="8">
        <f>IF($J1490=0,0,ROUND(MAX($J1490*1.4*1.5*1.6*1.6,13100000*(1.429962^(MIN($E1490,123)-117)))*1,0))</f>
        <v>80640</v>
      </c>
      <c r="S1490" s="6">
        <f>$E1490+8</f>
        <v>110</v>
      </c>
      <c r="T1490" s="7">
        <f>IF($J1490=0,0,ROUND(MAX($J1490*1.4*1.5*1.6*1.6*2.2,42600000*(1.576904^(MIN($E1490,123)-117)))*1,0))</f>
        <v>177408</v>
      </c>
      <c r="U1490" s="4">
        <f>$E1490+11</f>
        <v>113</v>
      </c>
      <c r="V1490" s="8">
        <f>IF($J1490=0,0,ROUND(MAX($J1490*1.4*1.5*1.6*1.6*2.2*2.715,354000000*(1.642074^(MIN($E1490,123)-117)))*1,0))</f>
        <v>481663</v>
      </c>
      <c r="W1490" s="6">
        <f>$E1490+15</f>
        <v>117</v>
      </c>
      <c r="X1490" s="7">
        <f>IF($J1490=0,0,ROUND(MAX($J1490*1.4*1.5*1.6*1.6*2.2*2.715*2.6,3540000000*(1.579646^(MIN($E1490,123)-117)))*1,0))</f>
        <v>3720546</v>
      </c>
      <c r="Y1490" s="4">
        <f>$E1490+17</f>
        <v>119</v>
      </c>
      <c r="Z1490" s="8">
        <f>IF($J1490=0,0,ROUND(MAX($J1490*1.4*1.5*1.6*1.6*2.2*2.715*2.6*1.4,6020000000*(1.651178^(MIN($E1490,123)-117)))*1,0))</f>
        <v>3256028</v>
      </c>
      <c r="AA1490" s="6">
        <f>$E1490+19</f>
        <v>121</v>
      </c>
      <c r="AB1490" s="7">
        <f>IF($J1490=0,0,ROUND(MAX($J1490*1.4*1.5*1.6*1.6*2.2*2.715*2.6*1.4*1.4,8430000000*(1.651435^(MIN($E1490,123)-117)))*1,0))</f>
        <v>4548889</v>
      </c>
      <c r="AC1490" s="4">
        <f>$E1490+21</f>
        <v>123</v>
      </c>
      <c r="AD1490" s="8">
        <f>IF($J1490=0,0,ROUND(MAX($J1490*1.4*1.5*1.6*1.6*2.2*2.715*2.6*1.4*1.4*1.5,12600000000*(1.652953^(MIN($E1490,123)-117)))*1,0))</f>
        <v>6705991</v>
      </c>
      <c r="AE1490" s="6">
        <f>$E1490+24</f>
        <v>126</v>
      </c>
      <c r="AF1490" s="7">
        <f>IF($J1490=0,0,ROUND(MAX($J1490*1.4*1.5*1.6*1.6*2.2*2.715*2.6*1.4*1.4*1.5*1.5,18900000000*(1.65331^(MIN($E1490,123)-117)))*1,0))</f>
        <v>10026455</v>
      </c>
      <c r="AG1490" s="4">
        <f>$E1490+27</f>
        <v>129</v>
      </c>
      <c r="AH1490" s="8">
        <f>IF($J1490=0,0,ROUND(MAX($J1490*1.4*1.5*1.6*1.6*2.2*2.715*2.6*1.4*1.4*1.5*1.5*3.2,60500000000*(1.654288^(MIN($E1490,123)-117)))*1,0))</f>
        <v>31811825</v>
      </c>
    </row>
    <row r="1491" ht="27.75" customHeight="1" spans="1:34" x14ac:dyDescent="0.25">
      <c r="A1491" s="3">
        <v>1501</v>
      </c>
      <c r="B1491" s="3" t="s">
        <v>1112</v>
      </c>
      <c r="C1491" s="3" t="s">
        <v>1042</v>
      </c>
      <c r="D1491" s="3" t="s">
        <v>90</v>
      </c>
      <c r="E1491" s="3">
        <v>102</v>
      </c>
      <c r="F1491" s="3" t="s">
        <v>123</v>
      </c>
      <c r="G1491" s="3" t="s">
        <v>736</v>
      </c>
      <c r="H1491" s="3">
        <v>21</v>
      </c>
      <c r="I1491" s="4">
        <v>102</v>
      </c>
      <c r="J1491" s="5">
        <v>14600</v>
      </c>
      <c r="K1491" s="6">
        <f>$E1491+1</f>
        <v>103</v>
      </c>
      <c r="L1491" s="7">
        <f>IF($J1491=0,0,ROUND(MAX($J1491*1.4,1620000*(1.497923^(MIN($E1491,123)-117)))*1,0))</f>
        <v>20440</v>
      </c>
      <c r="M1491" s="4">
        <f>$E1491+2</f>
        <v>104</v>
      </c>
      <c r="N1491" s="8">
        <f>IF($J1491=0,0,ROUND(MAX($J1491*1.4*1.5,2190000*(1.580994^(MIN($E1491,123)-117)))*1,0))</f>
        <v>30660</v>
      </c>
      <c r="O1491" s="6">
        <f>$E1491+4</f>
        <v>106</v>
      </c>
      <c r="P1491" s="7">
        <f>IF($J1491=0,0,ROUND(MAX($J1491*1.4*1.5*1.6,3500000*(1.57975^(MIN($E1491,123)-117)))*1,0))</f>
        <v>49056</v>
      </c>
      <c r="Q1491" s="4">
        <f>$E1491+6</f>
        <v>108</v>
      </c>
      <c r="R1491" s="8">
        <f>IF($J1491=0,0,ROUND(MAX($J1491*1.4*1.5*1.6*1.6,13100000*(1.429962^(MIN($E1491,123)-117)))*1,0))</f>
        <v>78490</v>
      </c>
      <c r="S1491" s="6">
        <f>$E1491+8</f>
        <v>110</v>
      </c>
      <c r="T1491" s="7">
        <f>IF($J1491=0,0,ROUND(MAX($J1491*1.4*1.5*1.6*1.6*2.2,42600000*(1.576904^(MIN($E1491,123)-117)))*1,0))</f>
        <v>172677</v>
      </c>
      <c r="U1491" s="4">
        <f>$E1491+11</f>
        <v>113</v>
      </c>
      <c r="V1491" s="8">
        <f>IF($J1491=0,0,ROUND(MAX($J1491*1.4*1.5*1.6*1.6*2.2*2.715,354000000*(1.642074^(MIN($E1491,123)-117)))*1,0))</f>
        <v>468818</v>
      </c>
      <c r="W1491" s="6">
        <f>$E1491+15</f>
        <v>117</v>
      </c>
      <c r="X1491" s="7">
        <f>IF($J1491=0,0,ROUND(MAX($J1491*1.4*1.5*1.6*1.6*2.2*2.715*2.6,3540000000*(1.579646^(MIN($E1491,123)-117)))*1,0))</f>
        <v>3720546</v>
      </c>
      <c r="Y1491" s="4">
        <f>$E1491+17</f>
        <v>119</v>
      </c>
      <c r="Z1491" s="8">
        <f>IF($J1491=0,0,ROUND(MAX($J1491*1.4*1.5*1.6*1.6*2.2*2.715*2.6*1.4,6020000000*(1.651178^(MIN($E1491,123)-117)))*1,0))</f>
        <v>3256028</v>
      </c>
      <c r="AA1491" s="6">
        <f>$E1491+19</f>
        <v>121</v>
      </c>
      <c r="AB1491" s="7">
        <f>IF($J1491=0,0,ROUND(MAX($J1491*1.4*1.5*1.6*1.6*2.2*2.715*2.6*1.4*1.4,8430000000*(1.651435^(MIN($E1491,123)-117)))*1,0))</f>
        <v>4548889</v>
      </c>
      <c r="AC1491" s="4">
        <f>$E1491+21</f>
        <v>123</v>
      </c>
      <c r="AD1491" s="8">
        <f>IF($J1491=0,0,ROUND(MAX($J1491*1.4*1.5*1.6*1.6*2.2*2.715*2.6*1.4*1.4*1.5,12600000000*(1.652953^(MIN($E1491,123)-117)))*1,0))</f>
        <v>6705991</v>
      </c>
      <c r="AE1491" s="6">
        <f>$E1491+24</f>
        <v>126</v>
      </c>
      <c r="AF1491" s="7">
        <f>IF($J1491=0,0,ROUND(MAX($J1491*1.4*1.5*1.6*1.6*2.2*2.715*2.6*1.4*1.4*1.5*1.5,18900000000*(1.65331^(MIN($E1491,123)-117)))*1,0))</f>
        <v>10026455</v>
      </c>
      <c r="AG1491" s="4">
        <f>$E1491+27</f>
        <v>129</v>
      </c>
      <c r="AH1491" s="8">
        <f>IF($J1491=0,0,ROUND(MAX($J1491*1.4*1.5*1.6*1.6*2.2*2.715*2.6*1.4*1.4*1.5*1.5*3.2,60500000000*(1.654288^(MIN($E1491,123)-117)))*1,0))</f>
        <v>31811825</v>
      </c>
    </row>
    <row r="1492" ht="27.75" customHeight="1" spans="1:34" x14ac:dyDescent="0.25">
      <c r="A1492" s="3">
        <v>1502</v>
      </c>
      <c r="B1492" s="3" t="s">
        <v>1113</v>
      </c>
      <c r="C1492" s="3" t="s">
        <v>1042</v>
      </c>
      <c r="D1492" s="3" t="s">
        <v>45</v>
      </c>
      <c r="E1492" s="3">
        <v>101</v>
      </c>
      <c r="F1492" s="3" t="s">
        <v>123</v>
      </c>
      <c r="G1492" s="3" t="s">
        <v>1114</v>
      </c>
      <c r="H1492" s="3">
        <v>21</v>
      </c>
      <c r="I1492" s="4">
        <v>101</v>
      </c>
      <c r="J1492" s="5">
        <v>10700</v>
      </c>
      <c r="K1492" s="6">
        <f>$E1492+1</f>
        <v>102</v>
      </c>
      <c r="L1492" s="7">
        <f>IF($J1492=0,0,ROUND(MAX($J1492*1.4,1620000*(1.497923^(MIN($E1492,123)-117)))*1,0))</f>
        <v>14980</v>
      </c>
      <c r="M1492" s="4">
        <f>$E1492+2</f>
        <v>103</v>
      </c>
      <c r="N1492" s="8">
        <f>IF($J1492=0,0,ROUND(MAX($J1492*1.4*1.5,2190000*(1.580994^(MIN($E1492,123)-117)))*1,0))</f>
        <v>22470</v>
      </c>
      <c r="O1492" s="6">
        <f>$E1492+4</f>
        <v>105</v>
      </c>
      <c r="P1492" s="7">
        <f>IF($J1492=0,0,ROUND(MAX($J1492*1.4*1.5*1.6,3500000*(1.57975^(MIN($E1492,123)-117)))*1,0))</f>
        <v>35952</v>
      </c>
      <c r="Q1492" s="4">
        <f>$E1492+6</f>
        <v>107</v>
      </c>
      <c r="R1492" s="8">
        <f>IF($J1492=0,0,ROUND(MAX($J1492*1.4*1.5*1.6*1.6,13100000*(1.429962^(MIN($E1492,123)-117)))*1,0))</f>
        <v>57523</v>
      </c>
      <c r="S1492" s="6">
        <f>$E1492+8</f>
        <v>109</v>
      </c>
      <c r="T1492" s="7">
        <f>IF($J1492=0,0,ROUND(MAX($J1492*1.4*1.5*1.6*1.6*2.2,42600000*(1.576904^(MIN($E1492,123)-117)))*1,0))</f>
        <v>126551</v>
      </c>
      <c r="U1492" s="4">
        <f>$E1492+11</f>
        <v>112</v>
      </c>
      <c r="V1492" s="8">
        <f>IF($J1492=0,0,ROUND(MAX($J1492*1.4*1.5*1.6*1.6*2.2*2.715,354000000*(1.642074^(MIN($E1492,123)-117)))*1,0))</f>
        <v>343586</v>
      </c>
      <c r="W1492" s="6">
        <f>$E1492+15</f>
        <v>116</v>
      </c>
      <c r="X1492" s="7">
        <f>IF($J1492=0,0,ROUND(MAX($J1492*1.4*1.5*1.6*1.6*2.2*2.715*2.6,3540000000*(1.579646^(MIN($E1492,123)-117)))*1,0))</f>
        <v>2355304</v>
      </c>
      <c r="Y1492" s="4">
        <f>$E1492+17</f>
        <v>118</v>
      </c>
      <c r="Z1492" s="8">
        <f>IF($J1492=0,0,ROUND(MAX($J1492*1.4*1.5*1.6*1.6*2.2*2.715*2.6*1.4,6020000000*(1.651178^(MIN($E1492,123)-117)))*1,0))</f>
        <v>1971942</v>
      </c>
      <c r="AA1492" s="6">
        <f>$E1492+19</f>
        <v>120</v>
      </c>
      <c r="AB1492" s="7">
        <f>IF($J1492=0,0,ROUND(MAX($J1492*1.4*1.5*1.6*1.6*2.2*2.715*2.6*1.4*1.4,8430000000*(1.651435^(MIN($E1492,123)-117)))*1,0))</f>
        <v>2754507</v>
      </c>
      <c r="AC1492" s="4">
        <f>$E1492+21</f>
        <v>122</v>
      </c>
      <c r="AD1492" s="8">
        <f>IF($J1492=0,0,ROUND(MAX($J1492*1.4*1.5*1.6*1.6*2.2*2.715*2.6*1.4*1.4*1.5,12600000000*(1.652953^(MIN($E1492,123)-117)))*1,0))</f>
        <v>4056976</v>
      </c>
      <c r="AE1492" s="6">
        <f>$E1492+24</f>
        <v>125</v>
      </c>
      <c r="AF1492" s="7">
        <f>IF($J1492=0,0,ROUND(MAX($J1492*1.4*1.5*1.6*1.6*2.2*2.715*2.6*1.4*1.4*1.5*1.5,18900000000*(1.65331^(MIN($E1492,123)-117)))*1,0))</f>
        <v>6064474</v>
      </c>
      <c r="AG1492" s="4">
        <f>$E1492+27</f>
        <v>128</v>
      </c>
      <c r="AH1492" s="8">
        <f>IF($J1492=0,0,ROUND(MAX($J1492*1.4*1.5*1.6*1.6*2.2*2.715*2.6*1.4*1.4*1.5*1.5*3.2,60500000000*(1.654288^(MIN($E1492,123)-117)))*1,0))</f>
        <v>19229919</v>
      </c>
    </row>
    <row r="1493" ht="27.75" customHeight="1" spans="1:34" x14ac:dyDescent="0.25">
      <c r="A1493" s="3">
        <v>1503</v>
      </c>
      <c r="B1493" s="3" t="s">
        <v>1115</v>
      </c>
      <c r="C1493" s="3" t="s">
        <v>1042</v>
      </c>
      <c r="D1493" s="3" t="s">
        <v>75</v>
      </c>
      <c r="E1493" s="3">
        <v>101</v>
      </c>
      <c r="F1493" s="3" t="s">
        <v>431</v>
      </c>
      <c r="G1493" s="3" t="s">
        <v>358</v>
      </c>
      <c r="H1493" s="3">
        <v>20</v>
      </c>
      <c r="I1493" s="4">
        <v>101</v>
      </c>
      <c r="J1493" s="5">
        <v>12000</v>
      </c>
      <c r="K1493" s="6">
        <f>$E1493+1</f>
        <v>102</v>
      </c>
      <c r="L1493" s="7">
        <f>IF($J1493=0,0,ROUND(MAX($J1493*1.4,1620000*(1.497923^(MIN($E1493,123)-117)))*1,0))</f>
        <v>16800</v>
      </c>
      <c r="M1493" s="4">
        <f>$E1493+2</f>
        <v>103</v>
      </c>
      <c r="N1493" s="8">
        <f>IF($J1493=0,0,ROUND(MAX($J1493*1.4*1.5,2190000*(1.580994^(MIN($E1493,123)-117)))*1,0))</f>
        <v>25200</v>
      </c>
      <c r="O1493" s="6">
        <f>$E1493+4</f>
        <v>105</v>
      </c>
      <c r="P1493" s="7">
        <f>IF($J1493=0,0,ROUND(MAX($J1493*1.4*1.5*1.6,3500000*(1.57975^(MIN($E1493,123)-117)))*1,0))</f>
        <v>40320</v>
      </c>
      <c r="Q1493" s="4">
        <f>$E1493+6</f>
        <v>107</v>
      </c>
      <c r="R1493" s="8">
        <f>IF($J1493=0,0,ROUND(MAX($J1493*1.4*1.5*1.6*1.6,13100000*(1.429962^(MIN($E1493,123)-117)))*1,0))</f>
        <v>64512</v>
      </c>
      <c r="S1493" s="6">
        <f>$E1493+8</f>
        <v>109</v>
      </c>
      <c r="T1493" s="7">
        <f>IF($J1493=0,0,ROUND(MAX($J1493*1.4*1.5*1.6*1.6*2.2,42600000*(1.576904^(MIN($E1493,123)-117)))*1,0))</f>
        <v>141926</v>
      </c>
      <c r="U1493" s="4">
        <f>$E1493+11</f>
        <v>112</v>
      </c>
      <c r="V1493" s="8">
        <f>IF($J1493=0,0,ROUND(MAX($J1493*1.4*1.5*1.6*1.6*2.2*2.715,354000000*(1.642074^(MIN($E1493,123)-117)))*1,0))</f>
        <v>385330</v>
      </c>
      <c r="W1493" s="6">
        <f>$E1493+15</f>
        <v>116</v>
      </c>
      <c r="X1493" s="7">
        <f>IF($J1493=0,0,ROUND(MAX($J1493*1.4*1.5*1.6*1.6*2.2*2.715*2.6,3540000000*(1.579646^(MIN($E1493,123)-117)))*1,0))</f>
        <v>2355304</v>
      </c>
      <c r="Y1493" s="4">
        <f>$E1493+17</f>
        <v>118</v>
      </c>
      <c r="Z1493" s="8">
        <f>IF($J1493=0,0,ROUND(MAX($J1493*1.4*1.5*1.6*1.6*2.2*2.715*2.6*1.4,6020000000*(1.651178^(MIN($E1493,123)-117)))*1,0))</f>
        <v>1971942</v>
      </c>
      <c r="AA1493" s="6">
        <f>$E1493+19</f>
        <v>120</v>
      </c>
      <c r="AB1493" s="7">
        <f>IF($J1493=0,0,ROUND(MAX($J1493*1.4*1.5*1.6*1.6*2.2*2.715*2.6*1.4*1.4,8430000000*(1.651435^(MIN($E1493,123)-117)))*1,0))</f>
        <v>2754507</v>
      </c>
      <c r="AC1493" s="4">
        <f>$E1493+21</f>
        <v>122</v>
      </c>
      <c r="AD1493" s="8">
        <f>IF($J1493=0,0,ROUND(MAX($J1493*1.4*1.5*1.6*1.6*2.2*2.715*2.6*1.4*1.4*1.5,12600000000*(1.652953^(MIN($E1493,123)-117)))*1,0))</f>
        <v>4056976</v>
      </c>
      <c r="AE1493" s="6">
        <f>$E1493+24</f>
        <v>125</v>
      </c>
      <c r="AF1493" s="7">
        <f>IF($J1493=0,0,ROUND(MAX($J1493*1.4*1.5*1.6*1.6*2.2*2.715*2.6*1.4*1.4*1.5*1.5,18900000000*(1.65331^(MIN($E1493,123)-117)))*1,0))</f>
        <v>6064474</v>
      </c>
      <c r="AG1493" s="4">
        <f>$E1493+27</f>
        <v>128</v>
      </c>
      <c r="AH1493" s="8">
        <f>IF($J1493=0,0,ROUND(MAX($J1493*1.4*1.5*1.6*1.6*2.2*2.715*2.6*1.4*1.4*1.5*1.5*3.2,60500000000*(1.654288^(MIN($E1493,123)-117)))*1,0))</f>
        <v>19229919</v>
      </c>
    </row>
    <row r="1494" ht="27.75" customHeight="1" spans="1:34" x14ac:dyDescent="0.25">
      <c r="A1494" s="3">
        <v>1504</v>
      </c>
      <c r="B1494" s="3" t="s">
        <v>1116</v>
      </c>
      <c r="C1494" s="3" t="s">
        <v>1042</v>
      </c>
      <c r="D1494" s="3" t="s">
        <v>33</v>
      </c>
      <c r="E1494" s="3">
        <v>101</v>
      </c>
      <c r="F1494" s="3" t="s">
        <v>123</v>
      </c>
      <c r="G1494" s="3" t="s">
        <v>1117</v>
      </c>
      <c r="H1494" s="3">
        <v>20</v>
      </c>
      <c r="I1494" s="4">
        <v>101</v>
      </c>
      <c r="J1494" s="5">
        <v>11100</v>
      </c>
      <c r="K1494" s="6">
        <f>$E1494+1</f>
        <v>102</v>
      </c>
      <c r="L1494" s="7">
        <f>IF($J1494=0,0,ROUND(MAX($J1494*1.4,1620000*(1.497923^(MIN($E1494,123)-117)))*1,0))</f>
        <v>15540</v>
      </c>
      <c r="M1494" s="4">
        <f>$E1494+2</f>
        <v>103</v>
      </c>
      <c r="N1494" s="8">
        <f>IF($J1494=0,0,ROUND(MAX($J1494*1.4*1.5,2190000*(1.580994^(MIN($E1494,123)-117)))*1,0))</f>
        <v>23310</v>
      </c>
      <c r="O1494" s="6">
        <f>$E1494+4</f>
        <v>105</v>
      </c>
      <c r="P1494" s="7">
        <f>IF($J1494=0,0,ROUND(MAX($J1494*1.4*1.5*1.6,3500000*(1.57975^(MIN($E1494,123)-117)))*1,0))</f>
        <v>37296</v>
      </c>
      <c r="Q1494" s="4">
        <f>$E1494+6</f>
        <v>107</v>
      </c>
      <c r="R1494" s="8">
        <f>IF($J1494=0,0,ROUND(MAX($J1494*1.4*1.5*1.6*1.6,13100000*(1.429962^(MIN($E1494,123)-117)))*1,0))</f>
        <v>59674</v>
      </c>
      <c r="S1494" s="6">
        <f>$E1494+8</f>
        <v>109</v>
      </c>
      <c r="T1494" s="7">
        <f>IF($J1494=0,0,ROUND(MAX($J1494*1.4*1.5*1.6*1.6*2.2,42600000*(1.576904^(MIN($E1494,123)-117)))*1,0))</f>
        <v>131282</v>
      </c>
      <c r="U1494" s="4">
        <f>$E1494+11</f>
        <v>112</v>
      </c>
      <c r="V1494" s="8">
        <f>IF($J1494=0,0,ROUND(MAX($J1494*1.4*1.5*1.6*1.6*2.2*2.715,354000000*(1.642074^(MIN($E1494,123)-117)))*1,0))</f>
        <v>356430</v>
      </c>
      <c r="W1494" s="6">
        <f>$E1494+15</f>
        <v>116</v>
      </c>
      <c r="X1494" s="7">
        <f>IF($J1494=0,0,ROUND(MAX($J1494*1.4*1.5*1.6*1.6*2.2*2.715*2.6,3540000000*(1.579646^(MIN($E1494,123)-117)))*1,0))</f>
        <v>2355304</v>
      </c>
      <c r="Y1494" s="4">
        <f>$E1494+17</f>
        <v>118</v>
      </c>
      <c r="Z1494" s="8">
        <f>IF($J1494=0,0,ROUND(MAX($J1494*1.4*1.5*1.6*1.6*2.2*2.715*2.6*1.4,6020000000*(1.651178^(MIN($E1494,123)-117)))*1,0))</f>
        <v>1971942</v>
      </c>
      <c r="AA1494" s="6">
        <f>$E1494+19</f>
        <v>120</v>
      </c>
      <c r="AB1494" s="7">
        <f>IF($J1494=0,0,ROUND(MAX($J1494*1.4*1.5*1.6*1.6*2.2*2.715*2.6*1.4*1.4,8430000000*(1.651435^(MIN($E1494,123)-117)))*1,0))</f>
        <v>2754507</v>
      </c>
      <c r="AC1494" s="4">
        <f>$E1494+21</f>
        <v>122</v>
      </c>
      <c r="AD1494" s="8">
        <f>IF($J1494=0,0,ROUND(MAX($J1494*1.4*1.5*1.6*1.6*2.2*2.715*2.6*1.4*1.4*1.5,12600000000*(1.652953^(MIN($E1494,123)-117)))*1,0))</f>
        <v>4056976</v>
      </c>
      <c r="AE1494" s="6">
        <f>$E1494+24</f>
        <v>125</v>
      </c>
      <c r="AF1494" s="7">
        <f>IF($J1494=0,0,ROUND(MAX($J1494*1.4*1.5*1.6*1.6*2.2*2.715*2.6*1.4*1.4*1.5*1.5,18900000000*(1.65331^(MIN($E1494,123)-117)))*1,0))</f>
        <v>6064474</v>
      </c>
      <c r="AG1494" s="4">
        <f>$E1494+27</f>
        <v>128</v>
      </c>
      <c r="AH1494" s="8">
        <f>IF($J1494=0,0,ROUND(MAX($J1494*1.4*1.5*1.6*1.6*2.2*2.715*2.6*1.4*1.4*1.5*1.5*3.2,60500000000*(1.654288^(MIN($E1494,123)-117)))*1,0))</f>
        <v>19229919</v>
      </c>
    </row>
    <row r="1495" ht="27.75" customHeight="1" spans="1:34" x14ac:dyDescent="0.25">
      <c r="A1495" s="3">
        <v>1505</v>
      </c>
      <c r="B1495" s="3" t="s">
        <v>1118</v>
      </c>
      <c r="C1495" s="3" t="s">
        <v>1042</v>
      </c>
      <c r="D1495" s="3" t="s">
        <v>33</v>
      </c>
      <c r="E1495" s="3">
        <v>100</v>
      </c>
      <c r="F1495" s="3" t="s">
        <v>431</v>
      </c>
      <c r="G1495" s="3" t="s">
        <v>1043</v>
      </c>
      <c r="H1495" s="3">
        <v>20</v>
      </c>
      <c r="I1495" s="4">
        <v>100</v>
      </c>
      <c r="J1495" s="5">
        <v>7650</v>
      </c>
      <c r="K1495" s="6">
        <f>$E1495+1</f>
        <v>101</v>
      </c>
      <c r="L1495" s="7">
        <f>IF($J1495=0,0,ROUND(MAX($J1495*1.4,1620000*(1.497923^(MIN($E1495,123)-117)))*1,0))</f>
        <v>10710</v>
      </c>
      <c r="M1495" s="4">
        <f>$E1495+2</f>
        <v>102</v>
      </c>
      <c r="N1495" s="8">
        <f>IF($J1495=0,0,ROUND(MAX($J1495*1.4*1.5,2190000*(1.580994^(MIN($E1495,123)-117)))*1,0))</f>
        <v>16065</v>
      </c>
      <c r="O1495" s="6">
        <f>$E1495+4</f>
        <v>104</v>
      </c>
      <c r="P1495" s="7">
        <f>IF($J1495=0,0,ROUND(MAX($J1495*1.4*1.5*1.6,3500000*(1.57975^(MIN($E1495,123)-117)))*1,0))</f>
        <v>25704</v>
      </c>
      <c r="Q1495" s="4">
        <f>$E1495+6</f>
        <v>106</v>
      </c>
      <c r="R1495" s="8">
        <f>IF($J1495=0,0,ROUND(MAX($J1495*1.4*1.5*1.6*1.6,13100000*(1.429962^(MIN($E1495,123)-117)))*1,0))</f>
        <v>41126</v>
      </c>
      <c r="S1495" s="6">
        <f>$E1495+8</f>
        <v>108</v>
      </c>
      <c r="T1495" s="7">
        <f>IF($J1495=0,0,ROUND(MAX($J1495*1.4*1.5*1.6*1.6*2.2,42600000*(1.576904^(MIN($E1495,123)-117)))*1,0))</f>
        <v>90478</v>
      </c>
      <c r="U1495" s="4">
        <f>$E1495+11</f>
        <v>111</v>
      </c>
      <c r="V1495" s="8">
        <f>IF($J1495=0,0,ROUND(MAX($J1495*1.4*1.5*1.6*1.6*2.2*2.715,354000000*(1.642074^(MIN($E1495,123)-117)))*1,0))</f>
        <v>245648</v>
      </c>
      <c r="W1495" s="6">
        <f>$E1495+15</f>
        <v>115</v>
      </c>
      <c r="X1495" s="7">
        <f>IF($J1495=0,0,ROUND(MAX($J1495*1.4*1.5*1.6*1.6*2.2*2.715*2.6,3540000000*(1.579646^(MIN($E1495,123)-117)))*1,0))</f>
        <v>1491033</v>
      </c>
      <c r="Y1495" s="4">
        <f>$E1495+17</f>
        <v>117</v>
      </c>
      <c r="Z1495" s="8">
        <f>IF($J1495=0,0,ROUND(MAX($J1495*1.4*1.5*1.6*1.6*2.2*2.715*2.6*1.4,6020000000*(1.651178^(MIN($E1495,123)-117)))*1,0))</f>
        <v>1194264</v>
      </c>
      <c r="AA1495" s="6">
        <f>$E1495+19</f>
        <v>119</v>
      </c>
      <c r="AB1495" s="7">
        <f>IF($J1495=0,0,ROUND(MAX($J1495*1.4*1.5*1.6*1.6*2.2*2.715*2.6*1.4*1.4,8430000000*(1.651435^(MIN($E1495,123)-117)))*1,0))</f>
        <v>1667947</v>
      </c>
      <c r="AC1495" s="4">
        <f>$E1495+21</f>
        <v>121</v>
      </c>
      <c r="AD1495" s="8">
        <f>IF($J1495=0,0,ROUND(MAX($J1495*1.4*1.5*1.6*1.6*2.2*2.715*2.6*1.4*1.4*1.5,12600000000*(1.652953^(MIN($E1495,123)-117)))*1,0))</f>
        <v>2454381</v>
      </c>
      <c r="AE1495" s="6">
        <f>$E1495+24</f>
        <v>124</v>
      </c>
      <c r="AF1495" s="7">
        <f>IF($J1495=0,0,ROUND(MAX($J1495*1.4*1.5*1.6*1.6*2.2*2.715*2.6*1.4*1.4*1.5*1.5,18900000000*(1.65331^(MIN($E1495,123)-117)))*1,0))</f>
        <v>3668080</v>
      </c>
      <c r="AG1495" s="4">
        <f>$E1495+27</f>
        <v>127</v>
      </c>
      <c r="AH1495" s="8">
        <f>IF($J1495=0,0,ROUND(MAX($J1495*1.4*1.5*1.6*1.6*2.2*2.715*2.6*1.4*1.4*1.5*1.5*3.2,60500000000*(1.654288^(MIN($E1495,123)-117)))*1,0))</f>
        <v>11624288</v>
      </c>
    </row>
    <row r="1496" ht="27.75" customHeight="1" spans="1:34" x14ac:dyDescent="0.25">
      <c r="A1496" s="3">
        <v>1506</v>
      </c>
      <c r="B1496" s="3" t="s">
        <v>251</v>
      </c>
      <c r="C1496" s="3" t="s">
        <v>1119</v>
      </c>
      <c r="D1496" s="3" t="s">
        <v>40</v>
      </c>
      <c r="E1496" s="3">
        <v>113</v>
      </c>
      <c r="F1496" s="3" t="s">
        <v>59</v>
      </c>
      <c r="G1496" s="3" t="s">
        <v>252</v>
      </c>
      <c r="H1496" s="3">
        <v>29</v>
      </c>
      <c r="I1496" s="4">
        <v>113</v>
      </c>
      <c r="J1496" s="5">
        <v>540000</v>
      </c>
      <c r="K1496" s="6">
        <f>$E1496+1</f>
        <v>114</v>
      </c>
      <c r="L1496" s="7">
        <f>IF($J1496=0,0,ROUND(MAX($J1496*1.4,1620000*(1.497923^(MIN($E1496,123)-117)))*1,0))</f>
        <v>756000</v>
      </c>
      <c r="M1496" s="4">
        <f>$E1496+2</f>
        <v>115</v>
      </c>
      <c r="N1496" s="8">
        <f>IF($J1496=0,0,ROUND(MAX($J1496*1.4*1.5,2190000*(1.580994^(MIN($E1496,123)-117)))*1,0))</f>
        <v>1134000</v>
      </c>
      <c r="O1496" s="6">
        <f>$E1496+4</f>
        <v>117</v>
      </c>
      <c r="P1496" s="7">
        <f>IF($J1496=0,0,ROUND(MAX($J1496*1.4*1.5*1.6,3500000*(1.57975^(MIN($E1496,123)-117)))*1,0))</f>
        <v>1814400</v>
      </c>
      <c r="Q1496" s="4">
        <f>$E1496+6</f>
        <v>119</v>
      </c>
      <c r="R1496" s="8">
        <f>IF($J1496=0,0,ROUND(MAX($J1496*1.4*1.5*1.6*1.6,13100000*(1.429962^(MIN($E1496,123)-117)))*1,0))</f>
        <v>3133093</v>
      </c>
      <c r="S1496" s="6">
        <f>$E1496+8</f>
        <v>121</v>
      </c>
      <c r="T1496" s="7">
        <f>IF($J1496=0,0,ROUND(MAX($J1496*1.4*1.5*1.6*1.6*2.2,42600000*(1.576904^(MIN($E1496,123)-117)))*1,0))</f>
        <v>6889514</v>
      </c>
      <c r="U1496" s="4">
        <f>$E1496+11</f>
        <v>124</v>
      </c>
      <c r="V1496" s="8">
        <f>IF($J1496=0,0,ROUND(MAX($J1496*1.4*1.5*1.6*1.6*2.2*2.715,354000000*(1.642074^(MIN($E1496,123)-117)))*1,0))</f>
        <v>48689169</v>
      </c>
      <c r="W1496" s="6">
        <f>$E1496+15</f>
        <v>128</v>
      </c>
      <c r="X1496" s="7">
        <f>IF($J1496=0,0,ROUND(MAX($J1496*1.4*1.5*1.6*1.6*2.2*2.715*2.6,3540000000*(1.579646^(MIN($E1496,123)-117)))*1,0))</f>
        <v>568544122</v>
      </c>
      <c r="Y1496" s="4">
        <f>$E1496+17</f>
        <v>130</v>
      </c>
      <c r="Z1496" s="8">
        <f>IF($J1496=0,0,ROUND(MAX($J1496*1.4*1.5*1.6*1.6*2.2*2.715*2.6*1.4,6020000000*(1.651178^(MIN($E1496,123)-117)))*1,0))</f>
        <v>809880453</v>
      </c>
      <c r="AA1496" s="6">
        <f>$E1496+19</f>
        <v>132</v>
      </c>
      <c r="AB1496" s="7">
        <f>IF($J1496=0,0,ROUND(MAX($J1496*1.4*1.5*1.6*1.6*2.2*2.715*2.6*1.4*1.4,8430000000*(1.651435^(MIN($E1496,123)-117)))*1,0))</f>
        <v>1133395897</v>
      </c>
      <c r="AC1496" s="4">
        <f>$E1496+21</f>
        <v>134</v>
      </c>
      <c r="AD1496" s="8">
        <f>IF($J1496=0,0,ROUND(MAX($J1496*1.4*1.5*1.6*1.6*2.2*2.715*2.6*1.4*1.4*1.5,12600000000*(1.652953^(MIN($E1496,123)-117)))*1,0))</f>
        <v>1687829312</v>
      </c>
      <c r="AE1496" s="6">
        <f>$E1496+24</f>
        <v>137</v>
      </c>
      <c r="AF1496" s="7">
        <f>IF($J1496=0,0,ROUND(MAX($J1496*1.4*1.5*1.6*1.6*2.2*2.715*2.6*1.4*1.4*1.5*1.5,18900000000*(1.65331^(MIN($E1496,123)-117)))*1,0))</f>
        <v>2529557954</v>
      </c>
      <c r="AG1496" s="4">
        <f>$E1496+27</f>
        <v>140</v>
      </c>
      <c r="AH1496" s="8">
        <f>IF($J1496=0,0,ROUND(MAX($J1496*1.4*1.5*1.6*1.6*2.2*2.715*2.6*1.4*1.4*1.5*1.5*3.2,60500000000*(1.654288^(MIN($E1496,123)-117)))*1,0))</f>
        <v>8078131097</v>
      </c>
    </row>
    <row r="1497" ht="27.75" customHeight="1" spans="1:34" x14ac:dyDescent="0.25">
      <c r="A1497" s="3">
        <v>1507</v>
      </c>
      <c r="B1497" s="3" t="s">
        <v>53</v>
      </c>
      <c r="C1497" s="3" t="s">
        <v>1119</v>
      </c>
      <c r="D1497" s="3" t="s">
        <v>25</v>
      </c>
      <c r="E1497" s="3">
        <v>113</v>
      </c>
      <c r="F1497" s="3" t="s">
        <v>54</v>
      </c>
      <c r="G1497" s="3" t="s">
        <v>1120</v>
      </c>
      <c r="H1497" s="3">
        <v>29</v>
      </c>
      <c r="I1497" s="4">
        <v>113</v>
      </c>
      <c r="J1497" s="5">
        <v>724000</v>
      </c>
      <c r="K1497" s="6">
        <f>$E1497+1</f>
        <v>114</v>
      </c>
      <c r="L1497" s="7">
        <f>IF($J1497=0,0,ROUND(MAX($J1497*1.4,1620000*(1.497923^(MIN($E1497,123)-117)))*1,0))</f>
        <v>1013600</v>
      </c>
      <c r="M1497" s="4">
        <f>$E1497+2</f>
        <v>115</v>
      </c>
      <c r="N1497" s="8">
        <f>IF($J1497=0,0,ROUND(MAX($J1497*1.4*1.5,2190000*(1.580994^(MIN($E1497,123)-117)))*1,0))</f>
        <v>1520400</v>
      </c>
      <c r="O1497" s="6">
        <f>$E1497+4</f>
        <v>117</v>
      </c>
      <c r="P1497" s="7">
        <f>IF($J1497=0,0,ROUND(MAX($J1497*1.4*1.5*1.6,3500000*(1.57975^(MIN($E1497,123)-117)))*1,0))</f>
        <v>2432640</v>
      </c>
      <c r="Q1497" s="4">
        <f>$E1497+6</f>
        <v>119</v>
      </c>
      <c r="R1497" s="8">
        <f>IF($J1497=0,0,ROUND(MAX($J1497*1.4*1.5*1.6*1.6,13100000*(1.429962^(MIN($E1497,123)-117)))*1,0))</f>
        <v>3892224</v>
      </c>
      <c r="S1497" s="6">
        <f>$E1497+8</f>
        <v>121</v>
      </c>
      <c r="T1497" s="7">
        <f>IF($J1497=0,0,ROUND(MAX($J1497*1.4*1.5*1.6*1.6*2.2,42600000*(1.576904^(MIN($E1497,123)-117)))*1,0))</f>
        <v>8562893</v>
      </c>
      <c r="U1497" s="4">
        <f>$E1497+11</f>
        <v>124</v>
      </c>
      <c r="V1497" s="8">
        <f>IF($J1497=0,0,ROUND(MAX($J1497*1.4*1.5*1.6*1.6*2.2*2.715,354000000*(1.642074^(MIN($E1497,123)-117)))*1,0))</f>
        <v>48689169</v>
      </c>
      <c r="W1497" s="6">
        <f>$E1497+15</f>
        <v>128</v>
      </c>
      <c r="X1497" s="7">
        <f>IF($J1497=0,0,ROUND(MAX($J1497*1.4*1.5*1.6*1.6*2.2*2.715*2.6,3540000000*(1.579646^(MIN($E1497,123)-117)))*1,0))</f>
        <v>568544122</v>
      </c>
      <c r="Y1497" s="4">
        <f>$E1497+17</f>
        <v>130</v>
      </c>
      <c r="Z1497" s="8">
        <f>IF($J1497=0,0,ROUND(MAX($J1497*1.4*1.5*1.6*1.6*2.2*2.715*2.6*1.4,6020000000*(1.651178^(MIN($E1497,123)-117)))*1,0))</f>
        <v>809880453</v>
      </c>
      <c r="AA1497" s="6">
        <f>$E1497+19</f>
        <v>132</v>
      </c>
      <c r="AB1497" s="7">
        <f>IF($J1497=0,0,ROUND(MAX($J1497*1.4*1.5*1.6*1.6*2.2*2.715*2.6*1.4*1.4,8430000000*(1.651435^(MIN($E1497,123)-117)))*1,0))</f>
        <v>1133395897</v>
      </c>
      <c r="AC1497" s="4">
        <f>$E1497+21</f>
        <v>134</v>
      </c>
      <c r="AD1497" s="8">
        <f>IF($J1497=0,0,ROUND(MAX($J1497*1.4*1.5*1.6*1.6*2.2*2.715*2.6*1.4*1.4*1.5,12600000000*(1.652953^(MIN($E1497,123)-117)))*1,0))</f>
        <v>1687829312</v>
      </c>
      <c r="AE1497" s="6">
        <f>$E1497+24</f>
        <v>137</v>
      </c>
      <c r="AF1497" s="7">
        <f>IF($J1497=0,0,ROUND(MAX($J1497*1.4*1.5*1.6*1.6*2.2*2.715*2.6*1.4*1.4*1.5*1.5,18900000000*(1.65331^(MIN($E1497,123)-117)))*1,0))</f>
        <v>2529557954</v>
      </c>
      <c r="AG1497" s="4">
        <f>$E1497+27</f>
        <v>140</v>
      </c>
      <c r="AH1497" s="8">
        <f>IF($J1497=0,0,ROUND(MAX($J1497*1.4*1.5*1.6*1.6*2.2*2.715*2.6*1.4*1.4*1.5*1.5*3.2,60500000000*(1.654288^(MIN($E1497,123)-117)))*1,0))</f>
        <v>8078131097</v>
      </c>
    </row>
    <row r="1498" ht="27.75" customHeight="1" spans="1:34" x14ac:dyDescent="0.25">
      <c r="A1498" s="3">
        <v>1508</v>
      </c>
      <c r="B1498" s="3" t="s">
        <v>44</v>
      </c>
      <c r="C1498" s="3" t="s">
        <v>1119</v>
      </c>
      <c r="D1498" s="3" t="s">
        <v>45</v>
      </c>
      <c r="E1498" s="3">
        <v>113</v>
      </c>
      <c r="F1498" s="3" t="s">
        <v>34</v>
      </c>
      <c r="G1498" s="3" t="s">
        <v>1120</v>
      </c>
      <c r="H1498" s="3">
        <v>28</v>
      </c>
      <c r="I1498" s="4">
        <v>113</v>
      </c>
      <c r="J1498" s="5">
        <v>581000</v>
      </c>
      <c r="K1498" s="6">
        <f>$E1498+1</f>
        <v>114</v>
      </c>
      <c r="L1498" s="7">
        <f>IF($J1498=0,0,ROUND(MAX($J1498*1.4,1620000*(1.497923^(MIN($E1498,123)-117)))*1,0))</f>
        <v>813400</v>
      </c>
      <c r="M1498" s="4">
        <f>$E1498+2</f>
        <v>115</v>
      </c>
      <c r="N1498" s="8">
        <f>IF($J1498=0,0,ROUND(MAX($J1498*1.4*1.5,2190000*(1.580994^(MIN($E1498,123)-117)))*1,0))</f>
        <v>1220100</v>
      </c>
      <c r="O1498" s="6">
        <f>$E1498+4</f>
        <v>117</v>
      </c>
      <c r="P1498" s="7">
        <f>IF($J1498=0,0,ROUND(MAX($J1498*1.4*1.5*1.6,3500000*(1.57975^(MIN($E1498,123)-117)))*1,0))</f>
        <v>1952160</v>
      </c>
      <c r="Q1498" s="4">
        <f>$E1498+6</f>
        <v>119</v>
      </c>
      <c r="R1498" s="8">
        <f>IF($J1498=0,0,ROUND(MAX($J1498*1.4*1.5*1.6*1.6,13100000*(1.429962^(MIN($E1498,123)-117)))*1,0))</f>
        <v>3133093</v>
      </c>
      <c r="S1498" s="6">
        <f>$E1498+8</f>
        <v>121</v>
      </c>
      <c r="T1498" s="7">
        <f>IF($J1498=0,0,ROUND(MAX($J1498*1.4*1.5*1.6*1.6*2.2,42600000*(1.576904^(MIN($E1498,123)-117)))*1,0))</f>
        <v>6889514</v>
      </c>
      <c r="U1498" s="4">
        <f>$E1498+11</f>
        <v>124</v>
      </c>
      <c r="V1498" s="8">
        <f>IF($J1498=0,0,ROUND(MAX($J1498*1.4*1.5*1.6*1.6*2.2*2.715,354000000*(1.642074^(MIN($E1498,123)-117)))*1,0))</f>
        <v>48689169</v>
      </c>
      <c r="W1498" s="6">
        <f>$E1498+15</f>
        <v>128</v>
      </c>
      <c r="X1498" s="7">
        <f>IF($J1498=0,0,ROUND(MAX($J1498*1.4*1.5*1.6*1.6*2.2*2.715*2.6,3540000000*(1.579646^(MIN($E1498,123)-117)))*1,0))</f>
        <v>568544122</v>
      </c>
      <c r="Y1498" s="4">
        <f>$E1498+17</f>
        <v>130</v>
      </c>
      <c r="Z1498" s="8">
        <f>IF($J1498=0,0,ROUND(MAX($J1498*1.4*1.5*1.6*1.6*2.2*2.715*2.6*1.4,6020000000*(1.651178^(MIN($E1498,123)-117)))*1,0))</f>
        <v>809880453</v>
      </c>
      <c r="AA1498" s="6">
        <f>$E1498+19</f>
        <v>132</v>
      </c>
      <c r="AB1498" s="7">
        <f>IF($J1498=0,0,ROUND(MAX($J1498*1.4*1.5*1.6*1.6*2.2*2.715*2.6*1.4*1.4,8430000000*(1.651435^(MIN($E1498,123)-117)))*1,0))</f>
        <v>1133395897</v>
      </c>
      <c r="AC1498" s="4">
        <f>$E1498+21</f>
        <v>134</v>
      </c>
      <c r="AD1498" s="8">
        <f>IF($J1498=0,0,ROUND(MAX($J1498*1.4*1.5*1.6*1.6*2.2*2.715*2.6*1.4*1.4*1.5,12600000000*(1.652953^(MIN($E1498,123)-117)))*1,0))</f>
        <v>1687829312</v>
      </c>
      <c r="AE1498" s="6">
        <f>$E1498+24</f>
        <v>137</v>
      </c>
      <c r="AF1498" s="7">
        <f>IF($J1498=0,0,ROUND(MAX($J1498*1.4*1.5*1.6*1.6*2.2*2.715*2.6*1.4*1.4*1.5*1.5,18900000000*(1.65331^(MIN($E1498,123)-117)))*1,0))</f>
        <v>2529557954</v>
      </c>
      <c r="AG1498" s="4">
        <f>$E1498+27</f>
        <v>140</v>
      </c>
      <c r="AH1498" s="8">
        <f>IF($J1498=0,0,ROUND(MAX($J1498*1.4*1.5*1.6*1.6*2.2*2.715*2.6*1.4*1.4*1.5*1.5*3.2,60500000000*(1.654288^(MIN($E1498,123)-117)))*1,0))</f>
        <v>8078131097</v>
      </c>
    </row>
    <row r="1499" ht="27.75" customHeight="1" spans="1:34" x14ac:dyDescent="0.25">
      <c r="A1499" s="3">
        <v>1509</v>
      </c>
      <c r="B1499" s="3" t="s">
        <v>269</v>
      </c>
      <c r="C1499" s="3" t="s">
        <v>1119</v>
      </c>
      <c r="D1499" s="3" t="s">
        <v>29</v>
      </c>
      <c r="E1499" s="3">
        <v>113</v>
      </c>
      <c r="F1499" s="3" t="s">
        <v>26</v>
      </c>
      <c r="G1499" s="3" t="s">
        <v>270</v>
      </c>
      <c r="H1499" s="3">
        <v>28</v>
      </c>
      <c r="I1499" s="4">
        <v>113</v>
      </c>
      <c r="J1499" s="5">
        <v>643000</v>
      </c>
      <c r="K1499" s="6">
        <f>$E1499+1</f>
        <v>114</v>
      </c>
      <c r="L1499" s="7">
        <f>IF($J1499=0,0,ROUND(MAX($J1499*1.4,1620000*(1.497923^(MIN($E1499,123)-117)))*1,0))</f>
        <v>900200</v>
      </c>
      <c r="M1499" s="4">
        <f>$E1499+2</f>
        <v>115</v>
      </c>
      <c r="N1499" s="8">
        <f>IF($J1499=0,0,ROUND(MAX($J1499*1.4*1.5,2190000*(1.580994^(MIN($E1499,123)-117)))*1,0))</f>
        <v>1350300</v>
      </c>
      <c r="O1499" s="6">
        <f>$E1499+4</f>
        <v>117</v>
      </c>
      <c r="P1499" s="7">
        <f>IF($J1499=0,0,ROUND(MAX($J1499*1.4*1.5*1.6,3500000*(1.57975^(MIN($E1499,123)-117)))*1,0))</f>
        <v>2160480</v>
      </c>
      <c r="Q1499" s="4">
        <f>$E1499+6</f>
        <v>119</v>
      </c>
      <c r="R1499" s="8">
        <f>IF($J1499=0,0,ROUND(MAX($J1499*1.4*1.5*1.6*1.6,13100000*(1.429962^(MIN($E1499,123)-117)))*1,0))</f>
        <v>3456768</v>
      </c>
      <c r="S1499" s="6">
        <f>$E1499+8</f>
        <v>121</v>
      </c>
      <c r="T1499" s="7">
        <f>IF($J1499=0,0,ROUND(MAX($J1499*1.4*1.5*1.6*1.6*2.2,42600000*(1.576904^(MIN($E1499,123)-117)))*1,0))</f>
        <v>7604890</v>
      </c>
      <c r="U1499" s="4">
        <f>$E1499+11</f>
        <v>124</v>
      </c>
      <c r="V1499" s="8">
        <f>IF($J1499=0,0,ROUND(MAX($J1499*1.4*1.5*1.6*1.6*2.2*2.715,354000000*(1.642074^(MIN($E1499,123)-117)))*1,0))</f>
        <v>48689169</v>
      </c>
      <c r="W1499" s="6">
        <f>$E1499+15</f>
        <v>128</v>
      </c>
      <c r="X1499" s="7">
        <f>IF($J1499=0,0,ROUND(MAX($J1499*1.4*1.5*1.6*1.6*2.2*2.715*2.6,3540000000*(1.579646^(MIN($E1499,123)-117)))*1,0))</f>
        <v>568544122</v>
      </c>
      <c r="Y1499" s="4">
        <f>$E1499+17</f>
        <v>130</v>
      </c>
      <c r="Z1499" s="8">
        <f>IF($J1499=0,0,ROUND(MAX($J1499*1.4*1.5*1.6*1.6*2.2*2.715*2.6*1.4,6020000000*(1.651178^(MIN($E1499,123)-117)))*1,0))</f>
        <v>809880453</v>
      </c>
      <c r="AA1499" s="6">
        <f>$E1499+19</f>
        <v>132</v>
      </c>
      <c r="AB1499" s="7">
        <f>IF($J1499=0,0,ROUND(MAX($J1499*1.4*1.5*1.6*1.6*2.2*2.715*2.6*1.4*1.4,8430000000*(1.651435^(MIN($E1499,123)-117)))*1,0))</f>
        <v>1133395897</v>
      </c>
      <c r="AC1499" s="4">
        <f>$E1499+21</f>
        <v>134</v>
      </c>
      <c r="AD1499" s="8">
        <f>IF($J1499=0,0,ROUND(MAX($J1499*1.4*1.5*1.6*1.6*2.2*2.715*2.6*1.4*1.4*1.5,12600000000*(1.652953^(MIN($E1499,123)-117)))*1,0))</f>
        <v>1687829312</v>
      </c>
      <c r="AE1499" s="6">
        <f>$E1499+24</f>
        <v>137</v>
      </c>
      <c r="AF1499" s="7">
        <f>IF($J1499=0,0,ROUND(MAX($J1499*1.4*1.5*1.6*1.6*2.2*2.715*2.6*1.4*1.4*1.5*1.5,18900000000*(1.65331^(MIN($E1499,123)-117)))*1,0))</f>
        <v>2529557954</v>
      </c>
      <c r="AG1499" s="4">
        <f>$E1499+27</f>
        <v>140</v>
      </c>
      <c r="AH1499" s="8">
        <f>IF($J1499=0,0,ROUND(MAX($J1499*1.4*1.5*1.6*1.6*2.2*2.715*2.6*1.4*1.4*1.5*1.5*3.2,60500000000*(1.654288^(MIN($E1499,123)-117)))*1,0))</f>
        <v>8078131097</v>
      </c>
    </row>
    <row r="1500" ht="27.75" customHeight="1" spans="1:34" x14ac:dyDescent="0.25">
      <c r="A1500" s="3">
        <v>1510</v>
      </c>
      <c r="B1500" s="3" t="s">
        <v>117</v>
      </c>
      <c r="C1500" s="3" t="s">
        <v>1119</v>
      </c>
      <c r="D1500" s="3" t="s">
        <v>79</v>
      </c>
      <c r="E1500" s="3">
        <v>112</v>
      </c>
      <c r="F1500" s="3" t="s">
        <v>54</v>
      </c>
      <c r="G1500" s="3" t="s">
        <v>1120</v>
      </c>
      <c r="H1500" s="3">
        <v>28</v>
      </c>
      <c r="I1500" s="4">
        <v>112</v>
      </c>
      <c r="J1500" s="5">
        <v>504000</v>
      </c>
      <c r="K1500" s="6">
        <f>$E1500+1</f>
        <v>113</v>
      </c>
      <c r="L1500" s="7">
        <f>IF($J1500=0,0,ROUND(MAX($J1500*1.4,1620000*(1.497923^(MIN($E1500,123)-117)))*1,0))</f>
        <v>705600</v>
      </c>
      <c r="M1500" s="4">
        <f>$E1500+2</f>
        <v>114</v>
      </c>
      <c r="N1500" s="8">
        <f>IF($J1500=0,0,ROUND(MAX($J1500*1.4*1.5,2190000*(1.580994^(MIN($E1500,123)-117)))*1,0))</f>
        <v>1058400</v>
      </c>
      <c r="O1500" s="6">
        <f>$E1500+4</f>
        <v>116</v>
      </c>
      <c r="P1500" s="7">
        <f>IF($J1500=0,0,ROUND(MAX($J1500*1.4*1.5*1.6,3500000*(1.57975^(MIN($E1500,123)-117)))*1,0))</f>
        <v>1693440</v>
      </c>
      <c r="Q1500" s="4">
        <f>$E1500+6</f>
        <v>118</v>
      </c>
      <c r="R1500" s="8">
        <f>IF($J1500=0,0,ROUND(MAX($J1500*1.4*1.5*1.6*1.6,13100000*(1.429962^(MIN($E1500,123)-117)))*1,0))</f>
        <v>2709504</v>
      </c>
      <c r="S1500" s="6">
        <f>$E1500+8</f>
        <v>120</v>
      </c>
      <c r="T1500" s="7">
        <f>IF($J1500=0,0,ROUND(MAX($J1500*1.4*1.5*1.6*1.6*2.2,42600000*(1.576904^(MIN($E1500,123)-117)))*1,0))</f>
        <v>5960909</v>
      </c>
      <c r="U1500" s="4">
        <f>$E1500+11</f>
        <v>123</v>
      </c>
      <c r="V1500" s="8">
        <f>IF($J1500=0,0,ROUND(MAX($J1500*1.4*1.5*1.6*1.6*2.2*2.715,354000000*(1.642074^(MIN($E1500,123)-117)))*1,0))</f>
        <v>29651020</v>
      </c>
      <c r="W1500" s="6">
        <f>$E1500+15</f>
        <v>127</v>
      </c>
      <c r="X1500" s="7">
        <f>IF($J1500=0,0,ROUND(MAX($J1500*1.4*1.5*1.6*1.6*2.2*2.715*2.6,3540000000*(1.579646^(MIN($E1500,123)-117)))*1,0))</f>
        <v>359918692</v>
      </c>
      <c r="Y1500" s="4">
        <f>$E1500+17</f>
        <v>129</v>
      </c>
      <c r="Z1500" s="8">
        <f>IF($J1500=0,0,ROUND(MAX($J1500*1.4*1.5*1.6*1.6*2.2*2.715*2.6*1.4,6020000000*(1.651178^(MIN($E1500,123)-117)))*1,0))</f>
        <v>490486461</v>
      </c>
      <c r="AA1500" s="6">
        <f>$E1500+19</f>
        <v>131</v>
      </c>
      <c r="AB1500" s="7">
        <f>IF($J1500=0,0,ROUND(MAX($J1500*1.4*1.5*1.6*1.6*2.2*2.715*2.6*1.4*1.4,8430000000*(1.651435^(MIN($E1500,123)-117)))*1,0))</f>
        <v>686309723</v>
      </c>
      <c r="AC1500" s="4">
        <f>$E1500+21</f>
        <v>133</v>
      </c>
      <c r="AD1500" s="8">
        <f>IF($J1500=0,0,ROUND(MAX($J1500*1.4*1.5*1.6*1.6*2.2*2.715*2.6*1.4*1.4*1.5,12600000000*(1.652953^(MIN($E1500,123)-117)))*1,0))</f>
        <v>1021099398</v>
      </c>
      <c r="AE1500" s="6">
        <f>$E1500+24</f>
        <v>136</v>
      </c>
      <c r="AF1500" s="7">
        <f>IF($J1500=0,0,ROUND(MAX($J1500*1.4*1.5*1.6*1.6*2.2*2.715*2.6*1.4*1.4*1.5*1.5,18900000000*(1.65331^(MIN($E1500,123)-117)))*1,0))</f>
        <v>1529996162</v>
      </c>
      <c r="AG1500" s="4">
        <f>$E1500+27</f>
        <v>139</v>
      </c>
      <c r="AH1500" s="8">
        <f>IF($J1500=0,0,ROUND(MAX($J1500*1.4*1.5*1.6*1.6*2.2*2.715*2.6*1.4*1.4*1.5*1.5*3.2,60500000000*(1.654288^(MIN($E1500,123)-117)))*1,0))</f>
        <v>4883146766</v>
      </c>
    </row>
    <row r="1501" ht="27.75" customHeight="1" spans="1:34" x14ac:dyDescent="0.25">
      <c r="A1501" s="3">
        <v>1511</v>
      </c>
      <c r="B1501" s="3" t="s">
        <v>1121</v>
      </c>
      <c r="C1501" s="3" t="s">
        <v>1119</v>
      </c>
      <c r="D1501" s="3" t="s">
        <v>64</v>
      </c>
      <c r="E1501" s="3">
        <v>112</v>
      </c>
      <c r="F1501" s="3" t="s">
        <v>54</v>
      </c>
      <c r="G1501" s="3" t="s">
        <v>206</v>
      </c>
      <c r="H1501" s="3">
        <v>27</v>
      </c>
      <c r="I1501" s="4">
        <v>112</v>
      </c>
      <c r="J1501" s="5">
        <v>339000</v>
      </c>
      <c r="K1501" s="6">
        <f>$E1501+1</f>
        <v>113</v>
      </c>
      <c r="L1501" s="7">
        <f>IF($J1501=0,0,ROUND(MAX($J1501*1.4,1620000*(1.497923^(MIN($E1501,123)-117)))*1,0))</f>
        <v>474600</v>
      </c>
      <c r="M1501" s="4">
        <f>$E1501+2</f>
        <v>114</v>
      </c>
      <c r="N1501" s="8">
        <f>IF($J1501=0,0,ROUND(MAX($J1501*1.4*1.5,2190000*(1.580994^(MIN($E1501,123)-117)))*1,0))</f>
        <v>711900</v>
      </c>
      <c r="O1501" s="6">
        <f>$E1501+4</f>
        <v>116</v>
      </c>
      <c r="P1501" s="7">
        <f>IF($J1501=0,0,ROUND(MAX($J1501*1.4*1.5*1.6,3500000*(1.57975^(MIN($E1501,123)-117)))*1,0))</f>
        <v>1139040</v>
      </c>
      <c r="Q1501" s="4">
        <f>$E1501+6</f>
        <v>118</v>
      </c>
      <c r="R1501" s="8">
        <f>IF($J1501=0,0,ROUND(MAX($J1501*1.4*1.5*1.6*1.6,13100000*(1.429962^(MIN($E1501,123)-117)))*1,0))</f>
        <v>2191032</v>
      </c>
      <c r="S1501" s="6">
        <f>$E1501+8</f>
        <v>120</v>
      </c>
      <c r="T1501" s="7">
        <f>IF($J1501=0,0,ROUND(MAX($J1501*1.4*1.5*1.6*1.6*2.2,42600000*(1.576904^(MIN($E1501,123)-117)))*1,0))</f>
        <v>4369013</v>
      </c>
      <c r="U1501" s="4">
        <f>$E1501+11</f>
        <v>123</v>
      </c>
      <c r="V1501" s="8">
        <f>IF($J1501=0,0,ROUND(MAX($J1501*1.4*1.5*1.6*1.6*2.2*2.715,354000000*(1.642074^(MIN($E1501,123)-117)))*1,0))</f>
        <v>29651020</v>
      </c>
      <c r="W1501" s="6">
        <f>$E1501+15</f>
        <v>127</v>
      </c>
      <c r="X1501" s="7">
        <f>IF($J1501=0,0,ROUND(MAX($J1501*1.4*1.5*1.6*1.6*2.2*2.715*2.6,3540000000*(1.579646^(MIN($E1501,123)-117)))*1,0))</f>
        <v>359918692</v>
      </c>
      <c r="Y1501" s="4">
        <f>$E1501+17</f>
        <v>129</v>
      </c>
      <c r="Z1501" s="8">
        <f>IF($J1501=0,0,ROUND(MAX($J1501*1.4*1.5*1.6*1.6*2.2*2.715*2.6*1.4,6020000000*(1.651178^(MIN($E1501,123)-117)))*1,0))</f>
        <v>490486461</v>
      </c>
      <c r="AA1501" s="6">
        <f>$E1501+19</f>
        <v>131</v>
      </c>
      <c r="AB1501" s="7">
        <f>IF($J1501=0,0,ROUND(MAX($J1501*1.4*1.5*1.6*1.6*2.2*2.715*2.6*1.4*1.4,8430000000*(1.651435^(MIN($E1501,123)-117)))*1,0))</f>
        <v>686309723</v>
      </c>
      <c r="AC1501" s="4">
        <f>$E1501+21</f>
        <v>133</v>
      </c>
      <c r="AD1501" s="8">
        <f>IF($J1501=0,0,ROUND(MAX($J1501*1.4*1.5*1.6*1.6*2.2*2.715*2.6*1.4*1.4*1.5,12600000000*(1.652953^(MIN($E1501,123)-117)))*1,0))</f>
        <v>1021099398</v>
      </c>
      <c r="AE1501" s="6">
        <f>$E1501+24</f>
        <v>136</v>
      </c>
      <c r="AF1501" s="7">
        <f>IF($J1501=0,0,ROUND(MAX($J1501*1.4*1.5*1.6*1.6*2.2*2.715*2.6*1.4*1.4*1.5*1.5,18900000000*(1.65331^(MIN($E1501,123)-117)))*1,0))</f>
        <v>1529996162</v>
      </c>
      <c r="AG1501" s="4">
        <f>$E1501+27</f>
        <v>139</v>
      </c>
      <c r="AH1501" s="8">
        <f>IF($J1501=0,0,ROUND(MAX($J1501*1.4*1.5*1.6*1.6*2.2*2.715*2.6*1.4*1.4*1.5*1.5*3.2,60500000000*(1.654288^(MIN($E1501,123)-117)))*1,0))</f>
        <v>4883146766</v>
      </c>
    </row>
    <row r="1502" ht="27.75" customHeight="1" spans="1:34" x14ac:dyDescent="0.25">
      <c r="A1502" s="3">
        <v>1512</v>
      </c>
      <c r="B1502" s="3" t="s">
        <v>468</v>
      </c>
      <c r="C1502" s="3" t="s">
        <v>1119</v>
      </c>
      <c r="D1502" s="3" t="s">
        <v>29</v>
      </c>
      <c r="E1502" s="3">
        <v>112</v>
      </c>
      <c r="F1502" s="3" t="s">
        <v>258</v>
      </c>
      <c r="G1502" s="3" t="s">
        <v>1120</v>
      </c>
      <c r="H1502" s="3">
        <v>27</v>
      </c>
      <c r="I1502" s="4">
        <v>112</v>
      </c>
      <c r="J1502" s="5">
        <v>422000</v>
      </c>
      <c r="K1502" s="6">
        <f>$E1502+1</f>
        <v>113</v>
      </c>
      <c r="L1502" s="7">
        <f>IF($J1502=0,0,ROUND(MAX($J1502*1.4,1620000*(1.497923^(MIN($E1502,123)-117)))*1,0))</f>
        <v>590800</v>
      </c>
      <c r="M1502" s="4">
        <f>$E1502+2</f>
        <v>114</v>
      </c>
      <c r="N1502" s="8">
        <f>IF($J1502=0,0,ROUND(MAX($J1502*1.4*1.5,2190000*(1.580994^(MIN($E1502,123)-117)))*1,0))</f>
        <v>886200</v>
      </c>
      <c r="O1502" s="6">
        <f>$E1502+4</f>
        <v>116</v>
      </c>
      <c r="P1502" s="7">
        <f>IF($J1502=0,0,ROUND(MAX($J1502*1.4*1.5*1.6,3500000*(1.57975^(MIN($E1502,123)-117)))*1,0))</f>
        <v>1417920</v>
      </c>
      <c r="Q1502" s="4">
        <f>$E1502+6</f>
        <v>118</v>
      </c>
      <c r="R1502" s="8">
        <f>IF($J1502=0,0,ROUND(MAX($J1502*1.4*1.5*1.6*1.6,13100000*(1.429962^(MIN($E1502,123)-117)))*1,0))</f>
        <v>2268672</v>
      </c>
      <c r="S1502" s="6">
        <f>$E1502+8</f>
        <v>120</v>
      </c>
      <c r="T1502" s="7">
        <f>IF($J1502=0,0,ROUND(MAX($J1502*1.4*1.5*1.6*1.6*2.2,42600000*(1.576904^(MIN($E1502,123)-117)))*1,0))</f>
        <v>4991078</v>
      </c>
      <c r="U1502" s="4">
        <f>$E1502+11</f>
        <v>123</v>
      </c>
      <c r="V1502" s="8">
        <f>IF($J1502=0,0,ROUND(MAX($J1502*1.4*1.5*1.6*1.6*2.2*2.715,354000000*(1.642074^(MIN($E1502,123)-117)))*1,0))</f>
        <v>29651020</v>
      </c>
      <c r="W1502" s="6">
        <f>$E1502+15</f>
        <v>127</v>
      </c>
      <c r="X1502" s="7">
        <f>IF($J1502=0,0,ROUND(MAX($J1502*1.4*1.5*1.6*1.6*2.2*2.715*2.6,3540000000*(1.579646^(MIN($E1502,123)-117)))*1,0))</f>
        <v>359918692</v>
      </c>
      <c r="Y1502" s="4">
        <f>$E1502+17</f>
        <v>129</v>
      </c>
      <c r="Z1502" s="8">
        <f>IF($J1502=0,0,ROUND(MAX($J1502*1.4*1.5*1.6*1.6*2.2*2.715*2.6*1.4,6020000000*(1.651178^(MIN($E1502,123)-117)))*1,0))</f>
        <v>490486461</v>
      </c>
      <c r="AA1502" s="6">
        <f>$E1502+19</f>
        <v>131</v>
      </c>
      <c r="AB1502" s="7">
        <f>IF($J1502=0,0,ROUND(MAX($J1502*1.4*1.5*1.6*1.6*2.2*2.715*2.6*1.4*1.4,8430000000*(1.651435^(MIN($E1502,123)-117)))*1,0))</f>
        <v>686309723</v>
      </c>
      <c r="AC1502" s="4">
        <f>$E1502+21</f>
        <v>133</v>
      </c>
      <c r="AD1502" s="8">
        <f>IF($J1502=0,0,ROUND(MAX($J1502*1.4*1.5*1.6*1.6*2.2*2.715*2.6*1.4*1.4*1.5,12600000000*(1.652953^(MIN($E1502,123)-117)))*1,0))</f>
        <v>1021099398</v>
      </c>
      <c r="AE1502" s="6">
        <f>$E1502+24</f>
        <v>136</v>
      </c>
      <c r="AF1502" s="7">
        <f>IF($J1502=0,0,ROUND(MAX($J1502*1.4*1.5*1.6*1.6*2.2*2.715*2.6*1.4*1.4*1.5*1.5,18900000000*(1.65331^(MIN($E1502,123)-117)))*1,0))</f>
        <v>1529996162</v>
      </c>
      <c r="AG1502" s="4">
        <f>$E1502+27</f>
        <v>139</v>
      </c>
      <c r="AH1502" s="8">
        <f>IF($J1502=0,0,ROUND(MAX($J1502*1.4*1.5*1.6*1.6*2.2*2.715*2.6*1.4*1.4*1.5*1.5*3.2,60500000000*(1.654288^(MIN($E1502,123)-117)))*1,0))</f>
        <v>4883146766</v>
      </c>
    </row>
    <row r="1503" ht="27.75" customHeight="1" spans="1:34" x14ac:dyDescent="0.25">
      <c r="A1503" s="3">
        <v>1513</v>
      </c>
      <c r="B1503" s="3" t="s">
        <v>139</v>
      </c>
      <c r="C1503" s="3" t="s">
        <v>1119</v>
      </c>
      <c r="D1503" s="3" t="s">
        <v>40</v>
      </c>
      <c r="E1503" s="3">
        <v>112</v>
      </c>
      <c r="F1503" s="3" t="s">
        <v>34</v>
      </c>
      <c r="G1503" s="3" t="s">
        <v>1120</v>
      </c>
      <c r="H1503" s="3">
        <v>27</v>
      </c>
      <c r="I1503" s="4">
        <v>112</v>
      </c>
      <c r="J1503" s="5">
        <v>369000</v>
      </c>
      <c r="K1503" s="6">
        <f>$E1503+1</f>
        <v>113</v>
      </c>
      <c r="L1503" s="7">
        <f>IF($J1503=0,0,ROUND(MAX($J1503*1.4,1620000*(1.497923^(MIN($E1503,123)-117)))*1,0))</f>
        <v>516600</v>
      </c>
      <c r="M1503" s="4">
        <f>$E1503+2</f>
        <v>114</v>
      </c>
      <c r="N1503" s="8">
        <f>IF($J1503=0,0,ROUND(MAX($J1503*1.4*1.5,2190000*(1.580994^(MIN($E1503,123)-117)))*1,0))</f>
        <v>774900</v>
      </c>
      <c r="O1503" s="6">
        <f>$E1503+4</f>
        <v>116</v>
      </c>
      <c r="P1503" s="7">
        <f>IF($J1503=0,0,ROUND(MAX($J1503*1.4*1.5*1.6,3500000*(1.57975^(MIN($E1503,123)-117)))*1,0))</f>
        <v>1239840</v>
      </c>
      <c r="Q1503" s="4">
        <f>$E1503+6</f>
        <v>118</v>
      </c>
      <c r="R1503" s="8">
        <f>IF($J1503=0,0,ROUND(MAX($J1503*1.4*1.5*1.6*1.6,13100000*(1.429962^(MIN($E1503,123)-117)))*1,0))</f>
        <v>2191032</v>
      </c>
      <c r="S1503" s="6">
        <f>$E1503+8</f>
        <v>120</v>
      </c>
      <c r="T1503" s="7">
        <f>IF($J1503=0,0,ROUND(MAX($J1503*1.4*1.5*1.6*1.6*2.2,42600000*(1.576904^(MIN($E1503,123)-117)))*1,0))</f>
        <v>4369013</v>
      </c>
      <c r="U1503" s="4">
        <f>$E1503+11</f>
        <v>123</v>
      </c>
      <c r="V1503" s="8">
        <f>IF($J1503=0,0,ROUND(MAX($J1503*1.4*1.5*1.6*1.6*2.2*2.715,354000000*(1.642074^(MIN($E1503,123)-117)))*1,0))</f>
        <v>29651020</v>
      </c>
      <c r="W1503" s="6">
        <f>$E1503+15</f>
        <v>127</v>
      </c>
      <c r="X1503" s="7">
        <f>IF($J1503=0,0,ROUND(MAX($J1503*1.4*1.5*1.6*1.6*2.2*2.715*2.6,3540000000*(1.579646^(MIN($E1503,123)-117)))*1,0))</f>
        <v>359918692</v>
      </c>
      <c r="Y1503" s="4">
        <f>$E1503+17</f>
        <v>129</v>
      </c>
      <c r="Z1503" s="8">
        <f>IF($J1503=0,0,ROUND(MAX($J1503*1.4*1.5*1.6*1.6*2.2*2.715*2.6*1.4,6020000000*(1.651178^(MIN($E1503,123)-117)))*1,0))</f>
        <v>490486461</v>
      </c>
      <c r="AA1503" s="6">
        <f>$E1503+19</f>
        <v>131</v>
      </c>
      <c r="AB1503" s="7">
        <f>IF($J1503=0,0,ROUND(MAX($J1503*1.4*1.5*1.6*1.6*2.2*2.715*2.6*1.4*1.4,8430000000*(1.651435^(MIN($E1503,123)-117)))*1,0))</f>
        <v>686309723</v>
      </c>
      <c r="AC1503" s="4">
        <f>$E1503+21</f>
        <v>133</v>
      </c>
      <c r="AD1503" s="8">
        <f>IF($J1503=0,0,ROUND(MAX($J1503*1.4*1.5*1.6*1.6*2.2*2.715*2.6*1.4*1.4*1.5,12600000000*(1.652953^(MIN($E1503,123)-117)))*1,0))</f>
        <v>1021099398</v>
      </c>
      <c r="AE1503" s="6">
        <f>$E1503+24</f>
        <v>136</v>
      </c>
      <c r="AF1503" s="7">
        <f>IF($J1503=0,0,ROUND(MAX($J1503*1.4*1.5*1.6*1.6*2.2*2.715*2.6*1.4*1.4*1.5*1.5,18900000000*(1.65331^(MIN($E1503,123)-117)))*1,0))</f>
        <v>1529996162</v>
      </c>
      <c r="AG1503" s="4">
        <f>$E1503+27</f>
        <v>139</v>
      </c>
      <c r="AH1503" s="8">
        <f>IF($J1503=0,0,ROUND(MAX($J1503*1.4*1.5*1.6*1.6*2.2*2.715*2.6*1.4*1.4*1.5*1.5*3.2,60500000000*(1.654288^(MIN($E1503,123)-117)))*1,0))</f>
        <v>4883146766</v>
      </c>
    </row>
    <row r="1504" ht="27.75" customHeight="1" spans="1:34" x14ac:dyDescent="0.25">
      <c r="A1504" s="3">
        <v>1514</v>
      </c>
      <c r="B1504" s="3" t="s">
        <v>80</v>
      </c>
      <c r="C1504" s="3" t="s">
        <v>1119</v>
      </c>
      <c r="D1504" s="3" t="s">
        <v>45</v>
      </c>
      <c r="E1504" s="3">
        <v>112</v>
      </c>
      <c r="F1504" s="3" t="s">
        <v>71</v>
      </c>
      <c r="G1504" s="3" t="s">
        <v>1120</v>
      </c>
      <c r="H1504" s="3">
        <v>27</v>
      </c>
      <c r="I1504" s="4">
        <v>112</v>
      </c>
      <c r="J1504" s="5">
        <v>211000</v>
      </c>
      <c r="K1504" s="6">
        <f>$E1504+1</f>
        <v>113</v>
      </c>
      <c r="L1504" s="7">
        <f>IF($J1504=0,0,ROUND(MAX($J1504*1.4,1620000*(1.497923^(MIN($E1504,123)-117)))*1,0))</f>
        <v>295400</v>
      </c>
      <c r="M1504" s="4">
        <f>$E1504+2</f>
        <v>114</v>
      </c>
      <c r="N1504" s="8">
        <f>IF($J1504=0,0,ROUND(MAX($J1504*1.4*1.5,2190000*(1.580994^(MIN($E1504,123)-117)))*1,0))</f>
        <v>443100</v>
      </c>
      <c r="O1504" s="6">
        <f>$E1504+4</f>
        <v>116</v>
      </c>
      <c r="P1504" s="7">
        <f>IF($J1504=0,0,ROUND(MAX($J1504*1.4*1.5*1.6,3500000*(1.57975^(MIN($E1504,123)-117)))*1,0))</f>
        <v>708960</v>
      </c>
      <c r="Q1504" s="4">
        <f>$E1504+6</f>
        <v>118</v>
      </c>
      <c r="R1504" s="8">
        <f>IF($J1504=0,0,ROUND(MAX($J1504*1.4*1.5*1.6*1.6,13100000*(1.429962^(MIN($E1504,123)-117)))*1,0))</f>
        <v>2191032</v>
      </c>
      <c r="S1504" s="6">
        <f>$E1504+8</f>
        <v>120</v>
      </c>
      <c r="T1504" s="7">
        <f>IF($J1504=0,0,ROUND(MAX($J1504*1.4*1.5*1.6*1.6*2.2,42600000*(1.576904^(MIN($E1504,123)-117)))*1,0))</f>
        <v>4369013</v>
      </c>
      <c r="U1504" s="4">
        <f>$E1504+11</f>
        <v>123</v>
      </c>
      <c r="V1504" s="8">
        <f>IF($J1504=0,0,ROUND(MAX($J1504*1.4*1.5*1.6*1.6*2.2*2.715,354000000*(1.642074^(MIN($E1504,123)-117)))*1,0))</f>
        <v>29651020</v>
      </c>
      <c r="W1504" s="6">
        <f>$E1504+15</f>
        <v>127</v>
      </c>
      <c r="X1504" s="7">
        <f>IF($J1504=0,0,ROUND(MAX($J1504*1.4*1.5*1.6*1.6*2.2*2.715*2.6,3540000000*(1.579646^(MIN($E1504,123)-117)))*1,0))</f>
        <v>359918692</v>
      </c>
      <c r="Y1504" s="4">
        <f>$E1504+17</f>
        <v>129</v>
      </c>
      <c r="Z1504" s="8">
        <f>IF($J1504=0,0,ROUND(MAX($J1504*1.4*1.5*1.6*1.6*2.2*2.715*2.6*1.4,6020000000*(1.651178^(MIN($E1504,123)-117)))*1,0))</f>
        <v>490486461</v>
      </c>
      <c r="AA1504" s="6">
        <f>$E1504+19</f>
        <v>131</v>
      </c>
      <c r="AB1504" s="7">
        <f>IF($J1504=0,0,ROUND(MAX($J1504*1.4*1.5*1.6*1.6*2.2*2.715*2.6*1.4*1.4,8430000000*(1.651435^(MIN($E1504,123)-117)))*1,0))</f>
        <v>686309723</v>
      </c>
      <c r="AC1504" s="4">
        <f>$E1504+21</f>
        <v>133</v>
      </c>
      <c r="AD1504" s="8">
        <f>IF($J1504=0,0,ROUND(MAX($J1504*1.4*1.5*1.6*1.6*2.2*2.715*2.6*1.4*1.4*1.5,12600000000*(1.652953^(MIN($E1504,123)-117)))*1,0))</f>
        <v>1021099398</v>
      </c>
      <c r="AE1504" s="6">
        <f>$E1504+24</f>
        <v>136</v>
      </c>
      <c r="AF1504" s="7">
        <f>IF($J1504=0,0,ROUND(MAX($J1504*1.4*1.5*1.6*1.6*2.2*2.715*2.6*1.4*1.4*1.5*1.5,18900000000*(1.65331^(MIN($E1504,123)-117)))*1,0))</f>
        <v>1529996162</v>
      </c>
      <c r="AG1504" s="4">
        <f>$E1504+27</f>
        <v>139</v>
      </c>
      <c r="AH1504" s="8">
        <f>IF($J1504=0,0,ROUND(MAX($J1504*1.4*1.5*1.6*1.6*2.2*2.715*2.6*1.4*1.4*1.5*1.5*3.2,60500000000*(1.654288^(MIN($E1504,123)-117)))*1,0))</f>
        <v>4883146766</v>
      </c>
    </row>
    <row r="1505" ht="27.75" customHeight="1" spans="1:34" x14ac:dyDescent="0.25">
      <c r="A1505" s="3">
        <v>1515</v>
      </c>
      <c r="B1505" s="3" t="s">
        <v>115</v>
      </c>
      <c r="C1505" s="3" t="s">
        <v>1119</v>
      </c>
      <c r="D1505" s="3" t="s">
        <v>40</v>
      </c>
      <c r="E1505" s="3">
        <v>112</v>
      </c>
      <c r="F1505" s="3" t="s">
        <v>116</v>
      </c>
      <c r="G1505" s="3" t="s">
        <v>1120</v>
      </c>
      <c r="H1505" s="3">
        <v>27</v>
      </c>
      <c r="I1505" s="4">
        <v>112</v>
      </c>
      <c r="J1505" s="5">
        <v>201000</v>
      </c>
      <c r="K1505" s="6">
        <f>$E1505+1</f>
        <v>113</v>
      </c>
      <c r="L1505" s="7">
        <f>IF($J1505=0,0,ROUND(MAX($J1505*1.4,1620000*(1.497923^(MIN($E1505,123)-117)))*1,0))</f>
        <v>281400</v>
      </c>
      <c r="M1505" s="4">
        <f>$E1505+2</f>
        <v>114</v>
      </c>
      <c r="N1505" s="8">
        <f>IF($J1505=0,0,ROUND(MAX($J1505*1.4*1.5,2190000*(1.580994^(MIN($E1505,123)-117)))*1,0))</f>
        <v>422100</v>
      </c>
      <c r="O1505" s="6">
        <f>$E1505+4</f>
        <v>116</v>
      </c>
      <c r="P1505" s="7">
        <f>IF($J1505=0,0,ROUND(MAX($J1505*1.4*1.5*1.6,3500000*(1.57975^(MIN($E1505,123)-117)))*1,0))</f>
        <v>675360</v>
      </c>
      <c r="Q1505" s="4">
        <f>$E1505+6</f>
        <v>118</v>
      </c>
      <c r="R1505" s="8">
        <f>IF($J1505=0,0,ROUND(MAX($J1505*1.4*1.5*1.6*1.6,13100000*(1.429962^(MIN($E1505,123)-117)))*1,0))</f>
        <v>2191032</v>
      </c>
      <c r="S1505" s="6">
        <f>$E1505+8</f>
        <v>120</v>
      </c>
      <c r="T1505" s="7">
        <f>IF($J1505=0,0,ROUND(MAX($J1505*1.4*1.5*1.6*1.6*2.2,42600000*(1.576904^(MIN($E1505,123)-117)))*1,0))</f>
        <v>4369013</v>
      </c>
      <c r="U1505" s="4">
        <f>$E1505+11</f>
        <v>123</v>
      </c>
      <c r="V1505" s="8">
        <f>IF($J1505=0,0,ROUND(MAX($J1505*1.4*1.5*1.6*1.6*2.2*2.715,354000000*(1.642074^(MIN($E1505,123)-117)))*1,0))</f>
        <v>29651020</v>
      </c>
      <c r="W1505" s="6">
        <f>$E1505+15</f>
        <v>127</v>
      </c>
      <c r="X1505" s="7">
        <f>IF($J1505=0,0,ROUND(MAX($J1505*1.4*1.5*1.6*1.6*2.2*2.715*2.6,3540000000*(1.579646^(MIN($E1505,123)-117)))*1,0))</f>
        <v>359918692</v>
      </c>
      <c r="Y1505" s="4">
        <f>$E1505+17</f>
        <v>129</v>
      </c>
      <c r="Z1505" s="8">
        <f>IF($J1505=0,0,ROUND(MAX($J1505*1.4*1.5*1.6*1.6*2.2*2.715*2.6*1.4,6020000000*(1.651178^(MIN($E1505,123)-117)))*1,0))</f>
        <v>490486461</v>
      </c>
      <c r="AA1505" s="6">
        <f>$E1505+19</f>
        <v>131</v>
      </c>
      <c r="AB1505" s="7">
        <f>IF($J1505=0,0,ROUND(MAX($J1505*1.4*1.5*1.6*1.6*2.2*2.715*2.6*1.4*1.4,8430000000*(1.651435^(MIN($E1505,123)-117)))*1,0))</f>
        <v>686309723</v>
      </c>
      <c r="AC1505" s="4">
        <f>$E1505+21</f>
        <v>133</v>
      </c>
      <c r="AD1505" s="8">
        <f>IF($J1505=0,0,ROUND(MAX($J1505*1.4*1.5*1.6*1.6*2.2*2.715*2.6*1.4*1.4*1.5,12600000000*(1.652953^(MIN($E1505,123)-117)))*1,0))</f>
        <v>1021099398</v>
      </c>
      <c r="AE1505" s="6">
        <f>$E1505+24</f>
        <v>136</v>
      </c>
      <c r="AF1505" s="7">
        <f>IF($J1505=0,0,ROUND(MAX($J1505*1.4*1.5*1.6*1.6*2.2*2.715*2.6*1.4*1.4*1.5*1.5,18900000000*(1.65331^(MIN($E1505,123)-117)))*1,0))</f>
        <v>1529996162</v>
      </c>
      <c r="AG1505" s="4">
        <f>$E1505+27</f>
        <v>139</v>
      </c>
      <c r="AH1505" s="8">
        <f>IF($J1505=0,0,ROUND(MAX($J1505*1.4*1.5*1.6*1.6*2.2*2.715*2.6*1.4*1.4*1.5*1.5*3.2,60500000000*(1.654288^(MIN($E1505,123)-117)))*1,0))</f>
        <v>4883146766</v>
      </c>
    </row>
    <row r="1506" ht="27.75" customHeight="1" spans="1:34" x14ac:dyDescent="0.25">
      <c r="A1506" s="3">
        <v>1516</v>
      </c>
      <c r="B1506" s="3" t="s">
        <v>84</v>
      </c>
      <c r="C1506" s="3" t="s">
        <v>1119</v>
      </c>
      <c r="D1506" s="3" t="s">
        <v>45</v>
      </c>
      <c r="E1506" s="3">
        <v>112</v>
      </c>
      <c r="F1506" s="3" t="s">
        <v>62</v>
      </c>
      <c r="G1506" s="3" t="s">
        <v>1120</v>
      </c>
      <c r="H1506" s="3">
        <v>27</v>
      </c>
      <c r="I1506" s="4">
        <v>112</v>
      </c>
      <c r="J1506" s="5">
        <v>258000</v>
      </c>
      <c r="K1506" s="6">
        <f>$E1506+1</f>
        <v>113</v>
      </c>
      <c r="L1506" s="7">
        <f>IF($J1506=0,0,ROUND(MAX($J1506*1.4,1620000*(1.497923^(MIN($E1506,123)-117)))*1,0))</f>
        <v>361200</v>
      </c>
      <c r="M1506" s="4">
        <f>$E1506+2</f>
        <v>114</v>
      </c>
      <c r="N1506" s="8">
        <f>IF($J1506=0,0,ROUND(MAX($J1506*1.4*1.5,2190000*(1.580994^(MIN($E1506,123)-117)))*1,0))</f>
        <v>541800</v>
      </c>
      <c r="O1506" s="6">
        <f>$E1506+4</f>
        <v>116</v>
      </c>
      <c r="P1506" s="7">
        <f>IF($J1506=0,0,ROUND(MAX($J1506*1.4*1.5*1.6,3500000*(1.57975^(MIN($E1506,123)-117)))*1,0))</f>
        <v>866880</v>
      </c>
      <c r="Q1506" s="4">
        <f>$E1506+6</f>
        <v>118</v>
      </c>
      <c r="R1506" s="8">
        <f>IF($J1506=0,0,ROUND(MAX($J1506*1.4*1.5*1.6*1.6,13100000*(1.429962^(MIN($E1506,123)-117)))*1,0))</f>
        <v>2191032</v>
      </c>
      <c r="S1506" s="6">
        <f>$E1506+8</f>
        <v>120</v>
      </c>
      <c r="T1506" s="7">
        <f>IF($J1506=0,0,ROUND(MAX($J1506*1.4*1.5*1.6*1.6*2.2,42600000*(1.576904^(MIN($E1506,123)-117)))*1,0))</f>
        <v>4369013</v>
      </c>
      <c r="U1506" s="4">
        <f>$E1506+11</f>
        <v>123</v>
      </c>
      <c r="V1506" s="8">
        <f>IF($J1506=0,0,ROUND(MAX($J1506*1.4*1.5*1.6*1.6*2.2*2.715,354000000*(1.642074^(MIN($E1506,123)-117)))*1,0))</f>
        <v>29651020</v>
      </c>
      <c r="W1506" s="6">
        <f>$E1506+15</f>
        <v>127</v>
      </c>
      <c r="X1506" s="7">
        <f>IF($J1506=0,0,ROUND(MAX($J1506*1.4*1.5*1.6*1.6*2.2*2.715*2.6,3540000000*(1.579646^(MIN($E1506,123)-117)))*1,0))</f>
        <v>359918692</v>
      </c>
      <c r="Y1506" s="4">
        <f>$E1506+17</f>
        <v>129</v>
      </c>
      <c r="Z1506" s="8">
        <f>IF($J1506=0,0,ROUND(MAX($J1506*1.4*1.5*1.6*1.6*2.2*2.715*2.6*1.4,6020000000*(1.651178^(MIN($E1506,123)-117)))*1,0))</f>
        <v>490486461</v>
      </c>
      <c r="AA1506" s="6">
        <f>$E1506+19</f>
        <v>131</v>
      </c>
      <c r="AB1506" s="7">
        <f>IF($J1506=0,0,ROUND(MAX($J1506*1.4*1.5*1.6*1.6*2.2*2.715*2.6*1.4*1.4,8430000000*(1.651435^(MIN($E1506,123)-117)))*1,0))</f>
        <v>686309723</v>
      </c>
      <c r="AC1506" s="4">
        <f>$E1506+21</f>
        <v>133</v>
      </c>
      <c r="AD1506" s="8">
        <f>IF($J1506=0,0,ROUND(MAX($J1506*1.4*1.5*1.6*1.6*2.2*2.715*2.6*1.4*1.4*1.5,12600000000*(1.652953^(MIN($E1506,123)-117)))*1,0))</f>
        <v>1021099398</v>
      </c>
      <c r="AE1506" s="6">
        <f>$E1506+24</f>
        <v>136</v>
      </c>
      <c r="AF1506" s="7">
        <f>IF($J1506=0,0,ROUND(MAX($J1506*1.4*1.5*1.6*1.6*2.2*2.715*2.6*1.4*1.4*1.5*1.5,18900000000*(1.65331^(MIN($E1506,123)-117)))*1,0))</f>
        <v>1529996162</v>
      </c>
      <c r="AG1506" s="4">
        <f>$E1506+27</f>
        <v>139</v>
      </c>
      <c r="AH1506" s="8">
        <f>IF($J1506=0,0,ROUND(MAX($J1506*1.4*1.5*1.6*1.6*2.2*2.715*2.6*1.4*1.4*1.5*1.5*3.2,60500000000*(1.654288^(MIN($E1506,123)-117)))*1,0))</f>
        <v>4883146766</v>
      </c>
    </row>
    <row r="1507" ht="27.75" customHeight="1" spans="1:34" x14ac:dyDescent="0.25">
      <c r="A1507" s="3">
        <v>1517</v>
      </c>
      <c r="B1507" s="3" t="s">
        <v>100</v>
      </c>
      <c r="C1507" s="3" t="s">
        <v>1119</v>
      </c>
      <c r="D1507" s="3" t="s">
        <v>33</v>
      </c>
      <c r="E1507" s="3">
        <v>112</v>
      </c>
      <c r="F1507" s="3" t="s">
        <v>62</v>
      </c>
      <c r="G1507" s="3" t="s">
        <v>1120</v>
      </c>
      <c r="H1507" s="3">
        <v>27</v>
      </c>
      <c r="I1507" s="4">
        <v>112</v>
      </c>
      <c r="J1507" s="5">
        <v>193000</v>
      </c>
      <c r="K1507" s="6">
        <f>$E1507+1</f>
        <v>113</v>
      </c>
      <c r="L1507" s="7">
        <f>IF($J1507=0,0,ROUND(MAX($J1507*1.4,1620000*(1.497923^(MIN($E1507,123)-117)))*1,0))</f>
        <v>270200</v>
      </c>
      <c r="M1507" s="4">
        <f>$E1507+2</f>
        <v>114</v>
      </c>
      <c r="N1507" s="8">
        <f>IF($J1507=0,0,ROUND(MAX($J1507*1.4*1.5,2190000*(1.580994^(MIN($E1507,123)-117)))*1,0))</f>
        <v>405300</v>
      </c>
      <c r="O1507" s="6">
        <f>$E1507+4</f>
        <v>116</v>
      </c>
      <c r="P1507" s="7">
        <f>IF($J1507=0,0,ROUND(MAX($J1507*1.4*1.5*1.6,3500000*(1.57975^(MIN($E1507,123)-117)))*1,0))</f>
        <v>648480</v>
      </c>
      <c r="Q1507" s="4">
        <f>$E1507+6</f>
        <v>118</v>
      </c>
      <c r="R1507" s="8">
        <f>IF($J1507=0,0,ROUND(MAX($J1507*1.4*1.5*1.6*1.6,13100000*(1.429962^(MIN($E1507,123)-117)))*1,0))</f>
        <v>2191032</v>
      </c>
      <c r="S1507" s="6">
        <f>$E1507+8</f>
        <v>120</v>
      </c>
      <c r="T1507" s="7">
        <f>IF($J1507=0,0,ROUND(MAX($J1507*1.4*1.5*1.6*1.6*2.2,42600000*(1.576904^(MIN($E1507,123)-117)))*1,0))</f>
        <v>4369013</v>
      </c>
      <c r="U1507" s="4">
        <f>$E1507+11</f>
        <v>123</v>
      </c>
      <c r="V1507" s="8">
        <f>IF($J1507=0,0,ROUND(MAX($J1507*1.4*1.5*1.6*1.6*2.2*2.715,354000000*(1.642074^(MIN($E1507,123)-117)))*1,0))</f>
        <v>29651020</v>
      </c>
      <c r="W1507" s="6">
        <f>$E1507+15</f>
        <v>127</v>
      </c>
      <c r="X1507" s="7">
        <f>IF($J1507=0,0,ROUND(MAX($J1507*1.4*1.5*1.6*1.6*2.2*2.715*2.6,3540000000*(1.579646^(MIN($E1507,123)-117)))*1,0))</f>
        <v>359918692</v>
      </c>
      <c r="Y1507" s="4">
        <f>$E1507+17</f>
        <v>129</v>
      </c>
      <c r="Z1507" s="8">
        <f>IF($J1507=0,0,ROUND(MAX($J1507*1.4*1.5*1.6*1.6*2.2*2.715*2.6*1.4,6020000000*(1.651178^(MIN($E1507,123)-117)))*1,0))</f>
        <v>490486461</v>
      </c>
      <c r="AA1507" s="6">
        <f>$E1507+19</f>
        <v>131</v>
      </c>
      <c r="AB1507" s="7">
        <f>IF($J1507=0,0,ROUND(MAX($J1507*1.4*1.5*1.6*1.6*2.2*2.715*2.6*1.4*1.4,8430000000*(1.651435^(MIN($E1507,123)-117)))*1,0))</f>
        <v>686309723</v>
      </c>
      <c r="AC1507" s="4">
        <f>$E1507+21</f>
        <v>133</v>
      </c>
      <c r="AD1507" s="8">
        <f>IF($J1507=0,0,ROUND(MAX($J1507*1.4*1.5*1.6*1.6*2.2*2.715*2.6*1.4*1.4*1.5,12600000000*(1.652953^(MIN($E1507,123)-117)))*1,0))</f>
        <v>1021099398</v>
      </c>
      <c r="AE1507" s="6">
        <f>$E1507+24</f>
        <v>136</v>
      </c>
      <c r="AF1507" s="7">
        <f>IF($J1507=0,0,ROUND(MAX($J1507*1.4*1.5*1.6*1.6*2.2*2.715*2.6*1.4*1.4*1.5*1.5,18900000000*(1.65331^(MIN($E1507,123)-117)))*1,0))</f>
        <v>1529996162</v>
      </c>
      <c r="AG1507" s="4">
        <f>$E1507+27</f>
        <v>139</v>
      </c>
      <c r="AH1507" s="8">
        <f>IF($J1507=0,0,ROUND(MAX($J1507*1.4*1.5*1.6*1.6*2.2*2.715*2.6*1.4*1.4*1.5*1.5*3.2,60500000000*(1.654288^(MIN($E1507,123)-117)))*1,0))</f>
        <v>4883146766</v>
      </c>
    </row>
    <row r="1508" ht="27.75" customHeight="1" spans="1:34" x14ac:dyDescent="0.25">
      <c r="A1508" s="3">
        <v>1518</v>
      </c>
      <c r="B1508" s="3" t="s">
        <v>125</v>
      </c>
      <c r="C1508" s="3" t="s">
        <v>1119</v>
      </c>
      <c r="D1508" s="3" t="s">
        <v>33</v>
      </c>
      <c r="E1508" s="3">
        <v>112</v>
      </c>
      <c r="F1508" s="3" t="s">
        <v>56</v>
      </c>
      <c r="G1508" s="3" t="s">
        <v>1120</v>
      </c>
      <c r="H1508" s="3">
        <v>26</v>
      </c>
      <c r="I1508" s="4">
        <v>112</v>
      </c>
      <c r="J1508" s="5">
        <v>492000</v>
      </c>
      <c r="K1508" s="6">
        <f>$E1508+1</f>
        <v>113</v>
      </c>
      <c r="L1508" s="7">
        <f>IF($J1508=0,0,ROUND(MAX($J1508*1.4,1620000*(1.497923^(MIN($E1508,123)-117)))*1,0))</f>
        <v>688800</v>
      </c>
      <c r="M1508" s="4">
        <f>$E1508+2</f>
        <v>114</v>
      </c>
      <c r="N1508" s="8">
        <f>IF($J1508=0,0,ROUND(MAX($J1508*1.4*1.5,2190000*(1.580994^(MIN($E1508,123)-117)))*1,0))</f>
        <v>1033200</v>
      </c>
      <c r="O1508" s="6">
        <f>$E1508+4</f>
        <v>116</v>
      </c>
      <c r="P1508" s="7">
        <f>IF($J1508=0,0,ROUND(MAX($J1508*1.4*1.5*1.6,3500000*(1.57975^(MIN($E1508,123)-117)))*1,0))</f>
        <v>1653120</v>
      </c>
      <c r="Q1508" s="4">
        <f>$E1508+6</f>
        <v>118</v>
      </c>
      <c r="R1508" s="8">
        <f>IF($J1508=0,0,ROUND(MAX($J1508*1.4*1.5*1.6*1.6,13100000*(1.429962^(MIN($E1508,123)-117)))*1,0))</f>
        <v>2644992</v>
      </c>
      <c r="S1508" s="6">
        <f>$E1508+8</f>
        <v>120</v>
      </c>
      <c r="T1508" s="7">
        <f>IF($J1508=0,0,ROUND(MAX($J1508*1.4*1.5*1.6*1.6*2.2,42600000*(1.576904^(MIN($E1508,123)-117)))*1,0))</f>
        <v>5818982</v>
      </c>
      <c r="U1508" s="4">
        <f>$E1508+11</f>
        <v>123</v>
      </c>
      <c r="V1508" s="8">
        <f>IF($J1508=0,0,ROUND(MAX($J1508*1.4*1.5*1.6*1.6*2.2*2.715,354000000*(1.642074^(MIN($E1508,123)-117)))*1,0))</f>
        <v>29651020</v>
      </c>
      <c r="W1508" s="6">
        <f>$E1508+15</f>
        <v>127</v>
      </c>
      <c r="X1508" s="7">
        <f>IF($J1508=0,0,ROUND(MAX($J1508*1.4*1.5*1.6*1.6*2.2*2.715*2.6,3540000000*(1.579646^(MIN($E1508,123)-117)))*1,0))</f>
        <v>359918692</v>
      </c>
      <c r="Y1508" s="4">
        <f>$E1508+17</f>
        <v>129</v>
      </c>
      <c r="Z1508" s="8">
        <f>IF($J1508=0,0,ROUND(MAX($J1508*1.4*1.5*1.6*1.6*2.2*2.715*2.6*1.4,6020000000*(1.651178^(MIN($E1508,123)-117)))*1,0))</f>
        <v>490486461</v>
      </c>
      <c r="AA1508" s="6">
        <f>$E1508+19</f>
        <v>131</v>
      </c>
      <c r="AB1508" s="7">
        <f>IF($J1508=0,0,ROUND(MAX($J1508*1.4*1.5*1.6*1.6*2.2*2.715*2.6*1.4*1.4,8430000000*(1.651435^(MIN($E1508,123)-117)))*1,0))</f>
        <v>686309723</v>
      </c>
      <c r="AC1508" s="4">
        <f>$E1508+21</f>
        <v>133</v>
      </c>
      <c r="AD1508" s="8">
        <f>IF($J1508=0,0,ROUND(MAX($J1508*1.4*1.5*1.6*1.6*2.2*2.715*2.6*1.4*1.4*1.5,12600000000*(1.652953^(MIN($E1508,123)-117)))*1,0))</f>
        <v>1021099398</v>
      </c>
      <c r="AE1508" s="6">
        <f>$E1508+24</f>
        <v>136</v>
      </c>
      <c r="AF1508" s="7">
        <f>IF($J1508=0,0,ROUND(MAX($J1508*1.4*1.5*1.6*1.6*2.2*2.715*2.6*1.4*1.4*1.5*1.5,18900000000*(1.65331^(MIN($E1508,123)-117)))*1,0))</f>
        <v>1529996162</v>
      </c>
      <c r="AG1508" s="4">
        <f>$E1508+27</f>
        <v>139</v>
      </c>
      <c r="AH1508" s="8">
        <f>IF($J1508=0,0,ROUND(MAX($J1508*1.4*1.5*1.6*1.6*2.2*2.715*2.6*1.4*1.4*1.5*1.5*3.2,60500000000*(1.654288^(MIN($E1508,123)-117)))*1,0))</f>
        <v>4883146766</v>
      </c>
    </row>
    <row r="1509" ht="27.75" customHeight="1" spans="1:34" x14ac:dyDescent="0.25">
      <c r="A1509" s="3">
        <v>1519</v>
      </c>
      <c r="B1509" s="3" t="s">
        <v>156</v>
      </c>
      <c r="C1509" s="3" t="s">
        <v>1119</v>
      </c>
      <c r="D1509" s="3" t="s">
        <v>45</v>
      </c>
      <c r="E1509" s="3">
        <v>112</v>
      </c>
      <c r="F1509" s="3" t="s">
        <v>34</v>
      </c>
      <c r="G1509" s="3" t="s">
        <v>1120</v>
      </c>
      <c r="H1509" s="3">
        <v>26</v>
      </c>
      <c r="I1509" s="4">
        <v>112</v>
      </c>
      <c r="J1509" s="5">
        <v>293000</v>
      </c>
      <c r="K1509" s="6">
        <f>$E1509+1</f>
        <v>113</v>
      </c>
      <c r="L1509" s="7">
        <f>IF($J1509=0,0,ROUND(MAX($J1509*1.4,1620000*(1.497923^(MIN($E1509,123)-117)))*1,0))</f>
        <v>410200</v>
      </c>
      <c r="M1509" s="4">
        <f>$E1509+2</f>
        <v>114</v>
      </c>
      <c r="N1509" s="8">
        <f>IF($J1509=0,0,ROUND(MAX($J1509*1.4*1.5,2190000*(1.580994^(MIN($E1509,123)-117)))*1,0))</f>
        <v>615300</v>
      </c>
      <c r="O1509" s="6">
        <f>$E1509+4</f>
        <v>116</v>
      </c>
      <c r="P1509" s="7">
        <f>IF($J1509=0,0,ROUND(MAX($J1509*1.4*1.5*1.6,3500000*(1.57975^(MIN($E1509,123)-117)))*1,0))</f>
        <v>984480</v>
      </c>
      <c r="Q1509" s="4">
        <f>$E1509+6</f>
        <v>118</v>
      </c>
      <c r="R1509" s="8">
        <f>IF($J1509=0,0,ROUND(MAX($J1509*1.4*1.5*1.6*1.6,13100000*(1.429962^(MIN($E1509,123)-117)))*1,0))</f>
        <v>2191032</v>
      </c>
      <c r="S1509" s="6">
        <f>$E1509+8</f>
        <v>120</v>
      </c>
      <c r="T1509" s="7">
        <f>IF($J1509=0,0,ROUND(MAX($J1509*1.4*1.5*1.6*1.6*2.2,42600000*(1.576904^(MIN($E1509,123)-117)))*1,0))</f>
        <v>4369013</v>
      </c>
      <c r="U1509" s="4">
        <f>$E1509+11</f>
        <v>123</v>
      </c>
      <c r="V1509" s="8">
        <f>IF($J1509=0,0,ROUND(MAX($J1509*1.4*1.5*1.6*1.6*2.2*2.715,354000000*(1.642074^(MIN($E1509,123)-117)))*1,0))</f>
        <v>29651020</v>
      </c>
      <c r="W1509" s="6">
        <f>$E1509+15</f>
        <v>127</v>
      </c>
      <c r="X1509" s="7">
        <f>IF($J1509=0,0,ROUND(MAX($J1509*1.4*1.5*1.6*1.6*2.2*2.715*2.6,3540000000*(1.579646^(MIN($E1509,123)-117)))*1,0))</f>
        <v>359918692</v>
      </c>
      <c r="Y1509" s="4">
        <f>$E1509+17</f>
        <v>129</v>
      </c>
      <c r="Z1509" s="8">
        <f>IF($J1509=0,0,ROUND(MAX($J1509*1.4*1.5*1.6*1.6*2.2*2.715*2.6*1.4,6020000000*(1.651178^(MIN($E1509,123)-117)))*1,0))</f>
        <v>490486461</v>
      </c>
      <c r="AA1509" s="6">
        <f>$E1509+19</f>
        <v>131</v>
      </c>
      <c r="AB1509" s="7">
        <f>IF($J1509=0,0,ROUND(MAX($J1509*1.4*1.5*1.6*1.6*2.2*2.715*2.6*1.4*1.4,8430000000*(1.651435^(MIN($E1509,123)-117)))*1,0))</f>
        <v>686309723</v>
      </c>
      <c r="AC1509" s="4">
        <f>$E1509+21</f>
        <v>133</v>
      </c>
      <c r="AD1509" s="8">
        <f>IF($J1509=0,0,ROUND(MAX($J1509*1.4*1.5*1.6*1.6*2.2*2.715*2.6*1.4*1.4*1.5,12600000000*(1.652953^(MIN($E1509,123)-117)))*1,0))</f>
        <v>1021099398</v>
      </c>
      <c r="AE1509" s="6">
        <f>$E1509+24</f>
        <v>136</v>
      </c>
      <c r="AF1509" s="7">
        <f>IF($J1509=0,0,ROUND(MAX($J1509*1.4*1.5*1.6*1.6*2.2*2.715*2.6*1.4*1.4*1.5*1.5,18900000000*(1.65331^(MIN($E1509,123)-117)))*1,0))</f>
        <v>1529996162</v>
      </c>
      <c r="AG1509" s="4">
        <f>$E1509+27</f>
        <v>139</v>
      </c>
      <c r="AH1509" s="8">
        <f>IF($J1509=0,0,ROUND(MAX($J1509*1.4*1.5*1.6*1.6*2.2*2.715*2.6*1.4*1.4*1.5*1.5*3.2,60500000000*(1.654288^(MIN($E1509,123)-117)))*1,0))</f>
        <v>4883146766</v>
      </c>
    </row>
    <row r="1510" ht="27.75" customHeight="1" spans="1:34" x14ac:dyDescent="0.25">
      <c r="A1510" s="3">
        <v>1520</v>
      </c>
      <c r="B1510" s="3" t="s">
        <v>96</v>
      </c>
      <c r="C1510" s="3" t="s">
        <v>1119</v>
      </c>
      <c r="D1510" s="3" t="s">
        <v>40</v>
      </c>
      <c r="E1510" s="3">
        <v>111</v>
      </c>
      <c r="F1510" s="3" t="s">
        <v>97</v>
      </c>
      <c r="G1510" s="3" t="s">
        <v>1120</v>
      </c>
      <c r="H1510" s="3">
        <v>27</v>
      </c>
      <c r="I1510" s="4">
        <v>111</v>
      </c>
      <c r="J1510" s="5">
        <v>178000</v>
      </c>
      <c r="K1510" s="6">
        <f>$E1510+1</f>
        <v>112</v>
      </c>
      <c r="L1510" s="7">
        <f>IF($J1510=0,0,ROUND(MAX($J1510*1.4,1620000*(1.497923^(MIN($E1510,123)-117)))*1,0))</f>
        <v>249200</v>
      </c>
      <c r="M1510" s="4">
        <f>$E1510+2</f>
        <v>113</v>
      </c>
      <c r="N1510" s="8">
        <f>IF($J1510=0,0,ROUND(MAX($J1510*1.4*1.5,2190000*(1.580994^(MIN($E1510,123)-117)))*1,0))</f>
        <v>373800</v>
      </c>
      <c r="O1510" s="6">
        <f>$E1510+4</f>
        <v>115</v>
      </c>
      <c r="P1510" s="7">
        <f>IF($J1510=0,0,ROUND(MAX($J1510*1.4*1.5*1.6,3500000*(1.57975^(MIN($E1510,123)-117)))*1,0))</f>
        <v>598080</v>
      </c>
      <c r="Q1510" s="4">
        <f>$E1510+6</f>
        <v>117</v>
      </c>
      <c r="R1510" s="8">
        <f>IF($J1510=0,0,ROUND(MAX($J1510*1.4*1.5*1.6*1.6,13100000*(1.429962^(MIN($E1510,123)-117)))*1,0))</f>
        <v>1532231</v>
      </c>
      <c r="S1510" s="6">
        <f>$E1510+8</f>
        <v>119</v>
      </c>
      <c r="T1510" s="7">
        <f>IF($J1510=0,0,ROUND(MAX($J1510*1.4*1.5*1.6*1.6*2.2,42600000*(1.576904^(MIN($E1510,123)-117)))*1,0))</f>
        <v>2770627</v>
      </c>
      <c r="U1510" s="4">
        <f>$E1510+11</f>
        <v>122</v>
      </c>
      <c r="V1510" s="8">
        <f>IF($J1510=0,0,ROUND(MAX($J1510*1.4*1.5*1.6*1.6*2.2*2.715,354000000*(1.642074^(MIN($E1510,123)-117)))*1,0))</f>
        <v>18057055</v>
      </c>
      <c r="W1510" s="6">
        <f>$E1510+15</f>
        <v>126</v>
      </c>
      <c r="X1510" s="7">
        <f>IF($J1510=0,0,ROUND(MAX($J1510*1.4*1.5*1.6*1.6*2.2*2.715*2.6,3540000000*(1.579646^(MIN($E1510,123)-117)))*1,0))</f>
        <v>227847690</v>
      </c>
      <c r="Y1510" s="4">
        <f>$E1510+17</f>
        <v>128</v>
      </c>
      <c r="Z1510" s="8">
        <f>IF($J1510=0,0,ROUND(MAX($J1510*1.4*1.5*1.6*1.6*2.2*2.715*2.6*1.4,6020000000*(1.651178^(MIN($E1510,123)-117)))*1,0))</f>
        <v>297052444</v>
      </c>
      <c r="AA1510" s="6">
        <f>$E1510+19</f>
        <v>130</v>
      </c>
      <c r="AB1510" s="7">
        <f>IF($J1510=0,0,ROUND(MAX($J1510*1.4*1.5*1.6*1.6*2.2*2.715*2.6*1.4*1.4,8430000000*(1.651435^(MIN($E1510,123)-117)))*1,0))</f>
        <v>415583854</v>
      </c>
      <c r="AC1510" s="4">
        <f>$E1510+21</f>
        <v>132</v>
      </c>
      <c r="AD1510" s="8">
        <f>IF($J1510=0,0,ROUND(MAX($J1510*1.4*1.5*1.6*1.6*2.2*2.715*2.6*1.4*1.4*1.5,12600000000*(1.652953^(MIN($E1510,123)-117)))*1,0))</f>
        <v>617742548</v>
      </c>
      <c r="AE1510" s="6">
        <f>$E1510+24</f>
        <v>135</v>
      </c>
      <c r="AF1510" s="7">
        <f>IF($J1510=0,0,ROUND(MAX($J1510*1.4*1.5*1.6*1.6*2.2*2.715*2.6*1.4*1.4*1.5*1.5,18900000000*(1.65331^(MIN($E1510,123)-117)))*1,0))</f>
        <v>925413965</v>
      </c>
      <c r="AG1510" s="4">
        <f>$E1510+27</f>
        <v>138</v>
      </c>
      <c r="AH1510" s="8">
        <f>IF($J1510=0,0,ROUND(MAX($J1510*1.4*1.5*1.6*1.6*2.2*2.715*2.6*1.4*1.4*1.5*1.5*3.2,60500000000*(1.654288^(MIN($E1510,123)-117)))*1,0))</f>
        <v>2951811756</v>
      </c>
    </row>
    <row r="1511" ht="27.75" customHeight="1" spans="1:34" x14ac:dyDescent="0.25">
      <c r="A1511" s="3">
        <v>1521</v>
      </c>
      <c r="B1511" s="3" t="s">
        <v>110</v>
      </c>
      <c r="C1511" s="3" t="s">
        <v>1119</v>
      </c>
      <c r="D1511" s="3" t="s">
        <v>64</v>
      </c>
      <c r="E1511" s="3">
        <v>111</v>
      </c>
      <c r="F1511" s="3" t="s">
        <v>59</v>
      </c>
      <c r="G1511" s="3" t="s">
        <v>1120</v>
      </c>
      <c r="H1511" s="3">
        <v>27</v>
      </c>
      <c r="I1511" s="4">
        <v>111</v>
      </c>
      <c r="J1511" s="5">
        <v>185000</v>
      </c>
      <c r="K1511" s="6">
        <f>$E1511+1</f>
        <v>112</v>
      </c>
      <c r="L1511" s="7">
        <f>IF($J1511=0,0,ROUND(MAX($J1511*1.4,1620000*(1.497923^(MIN($E1511,123)-117)))*1,0))</f>
        <v>259000</v>
      </c>
      <c r="M1511" s="4">
        <f>$E1511+2</f>
        <v>113</v>
      </c>
      <c r="N1511" s="8">
        <f>IF($J1511=0,0,ROUND(MAX($J1511*1.4*1.5,2190000*(1.580994^(MIN($E1511,123)-117)))*1,0))</f>
        <v>388500</v>
      </c>
      <c r="O1511" s="6">
        <f>$E1511+4</f>
        <v>115</v>
      </c>
      <c r="P1511" s="7">
        <f>IF($J1511=0,0,ROUND(MAX($J1511*1.4*1.5*1.6,3500000*(1.57975^(MIN($E1511,123)-117)))*1,0))</f>
        <v>621600</v>
      </c>
      <c r="Q1511" s="4">
        <f>$E1511+6</f>
        <v>117</v>
      </c>
      <c r="R1511" s="8">
        <f>IF($J1511=0,0,ROUND(MAX($J1511*1.4*1.5*1.6*1.6,13100000*(1.429962^(MIN($E1511,123)-117)))*1,0))</f>
        <v>1532231</v>
      </c>
      <c r="S1511" s="6">
        <f>$E1511+8</f>
        <v>119</v>
      </c>
      <c r="T1511" s="7">
        <f>IF($J1511=0,0,ROUND(MAX($J1511*1.4*1.5*1.6*1.6*2.2,42600000*(1.576904^(MIN($E1511,123)-117)))*1,0))</f>
        <v>2770627</v>
      </c>
      <c r="U1511" s="4">
        <f>$E1511+11</f>
        <v>122</v>
      </c>
      <c r="V1511" s="8">
        <f>IF($J1511=0,0,ROUND(MAX($J1511*1.4*1.5*1.6*1.6*2.2*2.715,354000000*(1.642074^(MIN($E1511,123)-117)))*1,0))</f>
        <v>18057055</v>
      </c>
      <c r="W1511" s="6">
        <f>$E1511+15</f>
        <v>126</v>
      </c>
      <c r="X1511" s="7">
        <f>IF($J1511=0,0,ROUND(MAX($J1511*1.4*1.5*1.6*1.6*2.2*2.715*2.6,3540000000*(1.579646^(MIN($E1511,123)-117)))*1,0))</f>
        <v>227847690</v>
      </c>
      <c r="Y1511" s="4">
        <f>$E1511+17</f>
        <v>128</v>
      </c>
      <c r="Z1511" s="8">
        <f>IF($J1511=0,0,ROUND(MAX($J1511*1.4*1.5*1.6*1.6*2.2*2.715*2.6*1.4,6020000000*(1.651178^(MIN($E1511,123)-117)))*1,0))</f>
        <v>297052444</v>
      </c>
      <c r="AA1511" s="6">
        <f>$E1511+19</f>
        <v>130</v>
      </c>
      <c r="AB1511" s="7">
        <f>IF($J1511=0,0,ROUND(MAX($J1511*1.4*1.5*1.6*1.6*2.2*2.715*2.6*1.4*1.4,8430000000*(1.651435^(MIN($E1511,123)-117)))*1,0))</f>
        <v>415583854</v>
      </c>
      <c r="AC1511" s="4">
        <f>$E1511+21</f>
        <v>132</v>
      </c>
      <c r="AD1511" s="8">
        <f>IF($J1511=0,0,ROUND(MAX($J1511*1.4*1.5*1.6*1.6*2.2*2.715*2.6*1.4*1.4*1.5,12600000000*(1.652953^(MIN($E1511,123)-117)))*1,0))</f>
        <v>617742548</v>
      </c>
      <c r="AE1511" s="6">
        <f>$E1511+24</f>
        <v>135</v>
      </c>
      <c r="AF1511" s="7">
        <f>IF($J1511=0,0,ROUND(MAX($J1511*1.4*1.5*1.6*1.6*2.2*2.715*2.6*1.4*1.4*1.5*1.5,18900000000*(1.65331^(MIN($E1511,123)-117)))*1,0))</f>
        <v>925413965</v>
      </c>
      <c r="AG1511" s="4">
        <f>$E1511+27</f>
        <v>138</v>
      </c>
      <c r="AH1511" s="8">
        <f>IF($J1511=0,0,ROUND(MAX($J1511*1.4*1.5*1.6*1.6*2.2*2.715*2.6*1.4*1.4*1.5*1.5*3.2,60500000000*(1.654288^(MIN($E1511,123)-117)))*1,0))</f>
        <v>2951811756</v>
      </c>
    </row>
    <row r="1512" ht="27.75" customHeight="1" spans="1:34" x14ac:dyDescent="0.25">
      <c r="A1512" s="3">
        <v>1522</v>
      </c>
      <c r="B1512" s="3" t="s">
        <v>176</v>
      </c>
      <c r="C1512" s="3" t="s">
        <v>1119</v>
      </c>
      <c r="D1512" s="3" t="s">
        <v>33</v>
      </c>
      <c r="E1512" s="3">
        <v>111</v>
      </c>
      <c r="F1512" s="3" t="s">
        <v>54</v>
      </c>
      <c r="G1512" s="3" t="s">
        <v>1120</v>
      </c>
      <c r="H1512" s="3">
        <v>27</v>
      </c>
      <c r="I1512" s="4">
        <v>111</v>
      </c>
      <c r="J1512" s="5">
        <v>241000</v>
      </c>
      <c r="K1512" s="6">
        <f>$E1512+1</f>
        <v>112</v>
      </c>
      <c r="L1512" s="7">
        <f>IF($J1512=0,0,ROUND(MAX($J1512*1.4,1620000*(1.497923^(MIN($E1512,123)-117)))*1,0))</f>
        <v>337400</v>
      </c>
      <c r="M1512" s="4">
        <f>$E1512+2</f>
        <v>113</v>
      </c>
      <c r="N1512" s="8">
        <f>IF($J1512=0,0,ROUND(MAX($J1512*1.4*1.5,2190000*(1.580994^(MIN($E1512,123)-117)))*1,0))</f>
        <v>506100</v>
      </c>
      <c r="O1512" s="6">
        <f>$E1512+4</f>
        <v>115</v>
      </c>
      <c r="P1512" s="7">
        <f>IF($J1512=0,0,ROUND(MAX($J1512*1.4*1.5*1.6,3500000*(1.57975^(MIN($E1512,123)-117)))*1,0))</f>
        <v>809760</v>
      </c>
      <c r="Q1512" s="4">
        <f>$E1512+6</f>
        <v>117</v>
      </c>
      <c r="R1512" s="8">
        <f>IF($J1512=0,0,ROUND(MAX($J1512*1.4*1.5*1.6*1.6,13100000*(1.429962^(MIN($E1512,123)-117)))*1,0))</f>
        <v>1532231</v>
      </c>
      <c r="S1512" s="6">
        <f>$E1512+8</f>
        <v>119</v>
      </c>
      <c r="T1512" s="7">
        <f>IF($J1512=0,0,ROUND(MAX($J1512*1.4*1.5*1.6*1.6*2.2,42600000*(1.576904^(MIN($E1512,123)-117)))*1,0))</f>
        <v>2850355</v>
      </c>
      <c r="U1512" s="4">
        <f>$E1512+11</f>
        <v>122</v>
      </c>
      <c r="V1512" s="8">
        <f>IF($J1512=0,0,ROUND(MAX($J1512*1.4*1.5*1.6*1.6*2.2*2.715,354000000*(1.642074^(MIN($E1512,123)-117)))*1,0))</f>
        <v>18057055</v>
      </c>
      <c r="W1512" s="6">
        <f>$E1512+15</f>
        <v>126</v>
      </c>
      <c r="X1512" s="7">
        <f>IF($J1512=0,0,ROUND(MAX($J1512*1.4*1.5*1.6*1.6*2.2*2.715*2.6,3540000000*(1.579646^(MIN($E1512,123)-117)))*1,0))</f>
        <v>227847690</v>
      </c>
      <c r="Y1512" s="4">
        <f>$E1512+17</f>
        <v>128</v>
      </c>
      <c r="Z1512" s="8">
        <f>IF($J1512=0,0,ROUND(MAX($J1512*1.4*1.5*1.6*1.6*2.2*2.715*2.6*1.4,6020000000*(1.651178^(MIN($E1512,123)-117)))*1,0))</f>
        <v>297052444</v>
      </c>
      <c r="AA1512" s="6">
        <f>$E1512+19</f>
        <v>130</v>
      </c>
      <c r="AB1512" s="7">
        <f>IF($J1512=0,0,ROUND(MAX($J1512*1.4*1.5*1.6*1.6*2.2*2.715*2.6*1.4*1.4,8430000000*(1.651435^(MIN($E1512,123)-117)))*1,0))</f>
        <v>415583854</v>
      </c>
      <c r="AC1512" s="4">
        <f>$E1512+21</f>
        <v>132</v>
      </c>
      <c r="AD1512" s="8">
        <f>IF($J1512=0,0,ROUND(MAX($J1512*1.4*1.5*1.6*1.6*2.2*2.715*2.6*1.4*1.4*1.5,12600000000*(1.652953^(MIN($E1512,123)-117)))*1,0))</f>
        <v>617742548</v>
      </c>
      <c r="AE1512" s="6">
        <f>$E1512+24</f>
        <v>135</v>
      </c>
      <c r="AF1512" s="7">
        <f>IF($J1512=0,0,ROUND(MAX($J1512*1.4*1.5*1.6*1.6*2.2*2.715*2.6*1.4*1.4*1.5*1.5,18900000000*(1.65331^(MIN($E1512,123)-117)))*1,0))</f>
        <v>925413965</v>
      </c>
      <c r="AG1512" s="4">
        <f>$E1512+27</f>
        <v>138</v>
      </c>
      <c r="AH1512" s="8">
        <f>IF($J1512=0,0,ROUND(MAX($J1512*1.4*1.5*1.6*1.6*2.2*2.715*2.6*1.4*1.4*1.5*1.5*3.2,60500000000*(1.654288^(MIN($E1512,123)-117)))*1,0))</f>
        <v>2951811756</v>
      </c>
    </row>
    <row r="1513" ht="27.75" customHeight="1" spans="1:34" x14ac:dyDescent="0.25">
      <c r="A1513" s="3">
        <v>1523</v>
      </c>
      <c r="B1513" s="3" t="s">
        <v>74</v>
      </c>
      <c r="C1513" s="3" t="s">
        <v>1119</v>
      </c>
      <c r="D1513" s="3" t="s">
        <v>241</v>
      </c>
      <c r="E1513" s="3">
        <v>111</v>
      </c>
      <c r="F1513" s="3" t="s">
        <v>62</v>
      </c>
      <c r="G1513" s="3" t="s">
        <v>1120</v>
      </c>
      <c r="H1513" s="3">
        <v>27</v>
      </c>
      <c r="I1513" s="4">
        <v>111</v>
      </c>
      <c r="J1513" s="5">
        <v>162000</v>
      </c>
      <c r="K1513" s="6">
        <f>$E1513+1</f>
        <v>112</v>
      </c>
      <c r="L1513" s="7">
        <f>IF($J1513=0,0,ROUND(MAX($J1513*1.4,1620000*(1.497923^(MIN($E1513,123)-117)))*1,0))</f>
        <v>226800</v>
      </c>
      <c r="M1513" s="4">
        <f>$E1513+2</f>
        <v>113</v>
      </c>
      <c r="N1513" s="8">
        <f>IF($J1513=0,0,ROUND(MAX($J1513*1.4*1.5,2190000*(1.580994^(MIN($E1513,123)-117)))*1,0))</f>
        <v>340200</v>
      </c>
      <c r="O1513" s="6">
        <f>$E1513+4</f>
        <v>115</v>
      </c>
      <c r="P1513" s="7">
        <f>IF($J1513=0,0,ROUND(MAX($J1513*1.4*1.5*1.6,3500000*(1.57975^(MIN($E1513,123)-117)))*1,0))</f>
        <v>544320</v>
      </c>
      <c r="Q1513" s="4">
        <f>$E1513+6</f>
        <v>117</v>
      </c>
      <c r="R1513" s="8">
        <f>IF($J1513=0,0,ROUND(MAX($J1513*1.4*1.5*1.6*1.6,13100000*(1.429962^(MIN($E1513,123)-117)))*1,0))</f>
        <v>1532231</v>
      </c>
      <c r="S1513" s="6">
        <f>$E1513+8</f>
        <v>119</v>
      </c>
      <c r="T1513" s="7">
        <f>IF($J1513=0,0,ROUND(MAX($J1513*1.4*1.5*1.6*1.6*2.2,42600000*(1.576904^(MIN($E1513,123)-117)))*1,0))</f>
        <v>2770627</v>
      </c>
      <c r="U1513" s="4">
        <f>$E1513+11</f>
        <v>122</v>
      </c>
      <c r="V1513" s="8">
        <f>IF($J1513=0,0,ROUND(MAX($J1513*1.4*1.5*1.6*1.6*2.2*2.715,354000000*(1.642074^(MIN($E1513,123)-117)))*1,0))</f>
        <v>18057055</v>
      </c>
      <c r="W1513" s="6">
        <f>$E1513+15</f>
        <v>126</v>
      </c>
      <c r="X1513" s="7">
        <f>IF($J1513=0,0,ROUND(MAX($J1513*1.4*1.5*1.6*1.6*2.2*2.715*2.6,3540000000*(1.579646^(MIN($E1513,123)-117)))*1,0))</f>
        <v>227847690</v>
      </c>
      <c r="Y1513" s="4">
        <f>$E1513+17</f>
        <v>128</v>
      </c>
      <c r="Z1513" s="8">
        <f>IF($J1513=0,0,ROUND(MAX($J1513*1.4*1.5*1.6*1.6*2.2*2.715*2.6*1.4,6020000000*(1.651178^(MIN($E1513,123)-117)))*1,0))</f>
        <v>297052444</v>
      </c>
      <c r="AA1513" s="6">
        <f>$E1513+19</f>
        <v>130</v>
      </c>
      <c r="AB1513" s="7">
        <f>IF($J1513=0,0,ROUND(MAX($J1513*1.4*1.5*1.6*1.6*2.2*2.715*2.6*1.4*1.4,8430000000*(1.651435^(MIN($E1513,123)-117)))*1,0))</f>
        <v>415583854</v>
      </c>
      <c r="AC1513" s="4">
        <f>$E1513+21</f>
        <v>132</v>
      </c>
      <c r="AD1513" s="8">
        <f>IF($J1513=0,0,ROUND(MAX($J1513*1.4*1.5*1.6*1.6*2.2*2.715*2.6*1.4*1.4*1.5,12600000000*(1.652953^(MIN($E1513,123)-117)))*1,0))</f>
        <v>617742548</v>
      </c>
      <c r="AE1513" s="6">
        <f>$E1513+24</f>
        <v>135</v>
      </c>
      <c r="AF1513" s="7">
        <f>IF($J1513=0,0,ROUND(MAX($J1513*1.4*1.5*1.6*1.6*2.2*2.715*2.6*1.4*1.4*1.5*1.5,18900000000*(1.65331^(MIN($E1513,123)-117)))*1,0))</f>
        <v>925413965</v>
      </c>
      <c r="AG1513" s="4">
        <f>$E1513+27</f>
        <v>138</v>
      </c>
      <c r="AH1513" s="8">
        <f>IF($J1513=0,0,ROUND(MAX($J1513*1.4*1.5*1.6*1.6*2.2*2.715*2.6*1.4*1.4*1.5*1.5*3.2,60500000000*(1.654288^(MIN($E1513,123)-117)))*1,0))</f>
        <v>2951811756</v>
      </c>
    </row>
    <row r="1514" ht="27.75" customHeight="1" spans="1:34" x14ac:dyDescent="0.25">
      <c r="A1514" s="3">
        <v>1524</v>
      </c>
      <c r="B1514" s="3" t="s">
        <v>154</v>
      </c>
      <c r="C1514" s="3" t="s">
        <v>1119</v>
      </c>
      <c r="D1514" s="3" t="s">
        <v>45</v>
      </c>
      <c r="E1514" s="3">
        <v>111</v>
      </c>
      <c r="F1514" s="3" t="s">
        <v>34</v>
      </c>
      <c r="G1514" s="3" t="s">
        <v>1120</v>
      </c>
      <c r="H1514" s="3">
        <v>26</v>
      </c>
      <c r="I1514" s="4">
        <v>111</v>
      </c>
      <c r="J1514" s="5">
        <v>158000</v>
      </c>
      <c r="K1514" s="6">
        <f>$E1514+1</f>
        <v>112</v>
      </c>
      <c r="L1514" s="7">
        <f>IF($J1514=0,0,ROUND(MAX($J1514*1.4,1620000*(1.497923^(MIN($E1514,123)-117)))*1,0))</f>
        <v>221200</v>
      </c>
      <c r="M1514" s="4">
        <f>$E1514+2</f>
        <v>113</v>
      </c>
      <c r="N1514" s="8">
        <f>IF($J1514=0,0,ROUND(MAX($J1514*1.4*1.5,2190000*(1.580994^(MIN($E1514,123)-117)))*1,0))</f>
        <v>331800</v>
      </c>
      <c r="O1514" s="6">
        <f>$E1514+4</f>
        <v>115</v>
      </c>
      <c r="P1514" s="7">
        <f>IF($J1514=0,0,ROUND(MAX($J1514*1.4*1.5*1.6,3500000*(1.57975^(MIN($E1514,123)-117)))*1,0))</f>
        <v>530880</v>
      </c>
      <c r="Q1514" s="4">
        <f>$E1514+6</f>
        <v>117</v>
      </c>
      <c r="R1514" s="8">
        <f>IF($J1514=0,0,ROUND(MAX($J1514*1.4*1.5*1.6*1.6,13100000*(1.429962^(MIN($E1514,123)-117)))*1,0))</f>
        <v>1532231</v>
      </c>
      <c r="S1514" s="6">
        <f>$E1514+8</f>
        <v>119</v>
      </c>
      <c r="T1514" s="7">
        <f>IF($J1514=0,0,ROUND(MAX($J1514*1.4*1.5*1.6*1.6*2.2,42600000*(1.576904^(MIN($E1514,123)-117)))*1,0))</f>
        <v>2770627</v>
      </c>
      <c r="U1514" s="4">
        <f>$E1514+11</f>
        <v>122</v>
      </c>
      <c r="V1514" s="8">
        <f>IF($J1514=0,0,ROUND(MAX($J1514*1.4*1.5*1.6*1.6*2.2*2.715,354000000*(1.642074^(MIN($E1514,123)-117)))*1,0))</f>
        <v>18057055</v>
      </c>
      <c r="W1514" s="6">
        <f>$E1514+15</f>
        <v>126</v>
      </c>
      <c r="X1514" s="7">
        <f>IF($J1514=0,0,ROUND(MAX($J1514*1.4*1.5*1.6*1.6*2.2*2.715*2.6,3540000000*(1.579646^(MIN($E1514,123)-117)))*1,0))</f>
        <v>227847690</v>
      </c>
      <c r="Y1514" s="4">
        <f>$E1514+17</f>
        <v>128</v>
      </c>
      <c r="Z1514" s="8">
        <f>IF($J1514=0,0,ROUND(MAX($J1514*1.4*1.5*1.6*1.6*2.2*2.715*2.6*1.4,6020000000*(1.651178^(MIN($E1514,123)-117)))*1,0))</f>
        <v>297052444</v>
      </c>
      <c r="AA1514" s="6">
        <f>$E1514+19</f>
        <v>130</v>
      </c>
      <c r="AB1514" s="7">
        <f>IF($J1514=0,0,ROUND(MAX($J1514*1.4*1.5*1.6*1.6*2.2*2.715*2.6*1.4*1.4,8430000000*(1.651435^(MIN($E1514,123)-117)))*1,0))</f>
        <v>415583854</v>
      </c>
      <c r="AC1514" s="4">
        <f>$E1514+21</f>
        <v>132</v>
      </c>
      <c r="AD1514" s="8">
        <f>IF($J1514=0,0,ROUND(MAX($J1514*1.4*1.5*1.6*1.6*2.2*2.715*2.6*1.4*1.4*1.5,12600000000*(1.652953^(MIN($E1514,123)-117)))*1,0))</f>
        <v>617742548</v>
      </c>
      <c r="AE1514" s="6">
        <f>$E1514+24</f>
        <v>135</v>
      </c>
      <c r="AF1514" s="7">
        <f>IF($J1514=0,0,ROUND(MAX($J1514*1.4*1.5*1.6*1.6*2.2*2.715*2.6*1.4*1.4*1.5*1.5,18900000000*(1.65331^(MIN($E1514,123)-117)))*1,0))</f>
        <v>925413965</v>
      </c>
      <c r="AG1514" s="4">
        <f>$E1514+27</f>
        <v>138</v>
      </c>
      <c r="AH1514" s="8">
        <f>IF($J1514=0,0,ROUND(MAX($J1514*1.4*1.5*1.6*1.6*2.2*2.715*2.6*1.4*1.4*1.5*1.5*3.2,60500000000*(1.654288^(MIN($E1514,123)-117)))*1,0))</f>
        <v>2951811756</v>
      </c>
    </row>
    <row r="1515" ht="27.75" customHeight="1" spans="1:34" x14ac:dyDescent="0.25">
      <c r="A1515" s="3">
        <v>1525</v>
      </c>
      <c r="B1515" s="3" t="s">
        <v>245</v>
      </c>
      <c r="C1515" s="3" t="s">
        <v>1119</v>
      </c>
      <c r="D1515" s="3" t="s">
        <v>45</v>
      </c>
      <c r="E1515" s="3">
        <v>111</v>
      </c>
      <c r="F1515" s="3" t="s">
        <v>212</v>
      </c>
      <c r="G1515" s="3" t="s">
        <v>51</v>
      </c>
      <c r="H1515" s="3">
        <v>26</v>
      </c>
      <c r="I1515" s="4">
        <v>111</v>
      </c>
      <c r="J1515" s="5">
        <v>145000</v>
      </c>
      <c r="K1515" s="6">
        <f>$E1515+1</f>
        <v>112</v>
      </c>
      <c r="L1515" s="7">
        <f>IF($J1515=0,0,ROUND(MAX($J1515*1.4,1620000*(1.497923^(MIN($E1515,123)-117)))*1,0))</f>
        <v>203000</v>
      </c>
      <c r="M1515" s="4">
        <f>$E1515+2</f>
        <v>113</v>
      </c>
      <c r="N1515" s="8">
        <f>IF($J1515=0,0,ROUND(MAX($J1515*1.4*1.5,2190000*(1.580994^(MIN($E1515,123)-117)))*1,0))</f>
        <v>304500</v>
      </c>
      <c r="O1515" s="6">
        <f>$E1515+4</f>
        <v>115</v>
      </c>
      <c r="P1515" s="7">
        <f>IF($J1515=0,0,ROUND(MAX($J1515*1.4*1.5*1.6,3500000*(1.57975^(MIN($E1515,123)-117)))*1,0))</f>
        <v>487200</v>
      </c>
      <c r="Q1515" s="4">
        <f>$E1515+6</f>
        <v>117</v>
      </c>
      <c r="R1515" s="8">
        <f>IF($J1515=0,0,ROUND(MAX($J1515*1.4*1.5*1.6*1.6,13100000*(1.429962^(MIN($E1515,123)-117)))*1,0))</f>
        <v>1532231</v>
      </c>
      <c r="S1515" s="6">
        <f>$E1515+8</f>
        <v>119</v>
      </c>
      <c r="T1515" s="7">
        <f>IF($J1515=0,0,ROUND(MAX($J1515*1.4*1.5*1.6*1.6*2.2,42600000*(1.576904^(MIN($E1515,123)-117)))*1,0))</f>
        <v>2770627</v>
      </c>
      <c r="U1515" s="4">
        <f>$E1515+11</f>
        <v>122</v>
      </c>
      <c r="V1515" s="8">
        <f>IF($J1515=0,0,ROUND(MAX($J1515*1.4*1.5*1.6*1.6*2.2*2.715,354000000*(1.642074^(MIN($E1515,123)-117)))*1,0))</f>
        <v>18057055</v>
      </c>
      <c r="W1515" s="6">
        <f>$E1515+15</f>
        <v>126</v>
      </c>
      <c r="X1515" s="7">
        <f>IF($J1515=0,0,ROUND(MAX($J1515*1.4*1.5*1.6*1.6*2.2*2.715*2.6,3540000000*(1.579646^(MIN($E1515,123)-117)))*1,0))</f>
        <v>227847690</v>
      </c>
      <c r="Y1515" s="4">
        <f>$E1515+17</f>
        <v>128</v>
      </c>
      <c r="Z1515" s="8">
        <f>IF($J1515=0,0,ROUND(MAX($J1515*1.4*1.5*1.6*1.6*2.2*2.715*2.6*1.4,6020000000*(1.651178^(MIN($E1515,123)-117)))*1,0))</f>
        <v>297052444</v>
      </c>
      <c r="AA1515" s="6">
        <f>$E1515+19</f>
        <v>130</v>
      </c>
      <c r="AB1515" s="7">
        <f>IF($J1515=0,0,ROUND(MAX($J1515*1.4*1.5*1.6*1.6*2.2*2.715*2.6*1.4*1.4,8430000000*(1.651435^(MIN($E1515,123)-117)))*1,0))</f>
        <v>415583854</v>
      </c>
      <c r="AC1515" s="4">
        <f>$E1515+21</f>
        <v>132</v>
      </c>
      <c r="AD1515" s="8">
        <f>IF($J1515=0,0,ROUND(MAX($J1515*1.4*1.5*1.6*1.6*2.2*2.715*2.6*1.4*1.4*1.5,12600000000*(1.652953^(MIN($E1515,123)-117)))*1,0))</f>
        <v>617742548</v>
      </c>
      <c r="AE1515" s="6">
        <f>$E1515+24</f>
        <v>135</v>
      </c>
      <c r="AF1515" s="7">
        <f>IF($J1515=0,0,ROUND(MAX($J1515*1.4*1.5*1.6*1.6*2.2*2.715*2.6*1.4*1.4*1.5*1.5,18900000000*(1.65331^(MIN($E1515,123)-117)))*1,0))</f>
        <v>925413965</v>
      </c>
      <c r="AG1515" s="4">
        <f>$E1515+27</f>
        <v>138</v>
      </c>
      <c r="AH1515" s="8">
        <f>IF($J1515=0,0,ROUND(MAX($J1515*1.4*1.5*1.6*1.6*2.2*2.715*2.6*1.4*1.4*1.5*1.5*3.2,60500000000*(1.654288^(MIN($E1515,123)-117)))*1,0))</f>
        <v>2951811756</v>
      </c>
    </row>
    <row r="1516" ht="27.75" customHeight="1" spans="1:34" x14ac:dyDescent="0.25">
      <c r="A1516" s="3">
        <v>1526</v>
      </c>
      <c r="B1516" s="3" t="s">
        <v>167</v>
      </c>
      <c r="C1516" s="3" t="s">
        <v>1119</v>
      </c>
      <c r="D1516" s="3" t="s">
        <v>25</v>
      </c>
      <c r="E1516" s="3">
        <v>111</v>
      </c>
      <c r="F1516" s="3" t="s">
        <v>168</v>
      </c>
      <c r="G1516" s="3" t="s">
        <v>1120</v>
      </c>
      <c r="H1516" s="3">
        <v>26</v>
      </c>
      <c r="I1516" s="4">
        <v>111</v>
      </c>
      <c r="J1516" s="5">
        <v>171000</v>
      </c>
      <c r="K1516" s="6">
        <f>$E1516+1</f>
        <v>112</v>
      </c>
      <c r="L1516" s="7">
        <f>IF($J1516=0,0,ROUND(MAX($J1516*1.4,1620000*(1.497923^(MIN($E1516,123)-117)))*1,0))</f>
        <v>239400</v>
      </c>
      <c r="M1516" s="4">
        <f>$E1516+2</f>
        <v>113</v>
      </c>
      <c r="N1516" s="8">
        <f>IF($J1516=0,0,ROUND(MAX($J1516*1.4*1.5,2190000*(1.580994^(MIN($E1516,123)-117)))*1,0))</f>
        <v>359100</v>
      </c>
      <c r="O1516" s="6">
        <f>$E1516+4</f>
        <v>115</v>
      </c>
      <c r="P1516" s="7">
        <f>IF($J1516=0,0,ROUND(MAX($J1516*1.4*1.5*1.6,3500000*(1.57975^(MIN($E1516,123)-117)))*1,0))</f>
        <v>574560</v>
      </c>
      <c r="Q1516" s="4">
        <f>$E1516+6</f>
        <v>117</v>
      </c>
      <c r="R1516" s="8">
        <f>IF($J1516=0,0,ROUND(MAX($J1516*1.4*1.5*1.6*1.6,13100000*(1.429962^(MIN($E1516,123)-117)))*1,0))</f>
        <v>1532231</v>
      </c>
      <c r="S1516" s="6">
        <f>$E1516+8</f>
        <v>119</v>
      </c>
      <c r="T1516" s="7">
        <f>IF($J1516=0,0,ROUND(MAX($J1516*1.4*1.5*1.6*1.6*2.2,42600000*(1.576904^(MIN($E1516,123)-117)))*1,0))</f>
        <v>2770627</v>
      </c>
      <c r="U1516" s="4">
        <f>$E1516+11</f>
        <v>122</v>
      </c>
      <c r="V1516" s="8">
        <f>IF($J1516=0,0,ROUND(MAX($J1516*1.4*1.5*1.6*1.6*2.2*2.715,354000000*(1.642074^(MIN($E1516,123)-117)))*1,0))</f>
        <v>18057055</v>
      </c>
      <c r="W1516" s="6">
        <f>$E1516+15</f>
        <v>126</v>
      </c>
      <c r="X1516" s="7">
        <f>IF($J1516=0,0,ROUND(MAX($J1516*1.4*1.5*1.6*1.6*2.2*2.715*2.6,3540000000*(1.579646^(MIN($E1516,123)-117)))*1,0))</f>
        <v>227847690</v>
      </c>
      <c r="Y1516" s="4">
        <f>$E1516+17</f>
        <v>128</v>
      </c>
      <c r="Z1516" s="8">
        <f>IF($J1516=0,0,ROUND(MAX($J1516*1.4*1.5*1.6*1.6*2.2*2.715*2.6*1.4,6020000000*(1.651178^(MIN($E1516,123)-117)))*1,0))</f>
        <v>297052444</v>
      </c>
      <c r="AA1516" s="6">
        <f>$E1516+19</f>
        <v>130</v>
      </c>
      <c r="AB1516" s="7">
        <f>IF($J1516=0,0,ROUND(MAX($J1516*1.4*1.5*1.6*1.6*2.2*2.715*2.6*1.4*1.4,8430000000*(1.651435^(MIN($E1516,123)-117)))*1,0))</f>
        <v>415583854</v>
      </c>
      <c r="AC1516" s="4">
        <f>$E1516+21</f>
        <v>132</v>
      </c>
      <c r="AD1516" s="8">
        <f>IF($J1516=0,0,ROUND(MAX($J1516*1.4*1.5*1.6*1.6*2.2*2.715*2.6*1.4*1.4*1.5,12600000000*(1.652953^(MIN($E1516,123)-117)))*1,0))</f>
        <v>617742548</v>
      </c>
      <c r="AE1516" s="6">
        <f>$E1516+24</f>
        <v>135</v>
      </c>
      <c r="AF1516" s="7">
        <f>IF($J1516=0,0,ROUND(MAX($J1516*1.4*1.5*1.6*1.6*2.2*2.715*2.6*1.4*1.4*1.5*1.5,18900000000*(1.65331^(MIN($E1516,123)-117)))*1,0))</f>
        <v>925413965</v>
      </c>
      <c r="AG1516" s="4">
        <f>$E1516+27</f>
        <v>138</v>
      </c>
      <c r="AH1516" s="8">
        <f>IF($J1516=0,0,ROUND(MAX($J1516*1.4*1.5*1.6*1.6*2.2*2.715*2.6*1.4*1.4*1.5*1.5*3.2,60500000000*(1.654288^(MIN($E1516,123)-117)))*1,0))</f>
        <v>2951811756</v>
      </c>
    </row>
    <row r="1517" ht="27.75" customHeight="1" spans="1:34" x14ac:dyDescent="0.25">
      <c r="A1517" s="3">
        <v>1527</v>
      </c>
      <c r="B1517" s="3" t="s">
        <v>142</v>
      </c>
      <c r="C1517" s="3" t="s">
        <v>1119</v>
      </c>
      <c r="D1517" s="3" t="s">
        <v>102</v>
      </c>
      <c r="E1517" s="3">
        <v>111</v>
      </c>
      <c r="F1517" s="3" t="s">
        <v>34</v>
      </c>
      <c r="G1517" s="3" t="s">
        <v>1120</v>
      </c>
      <c r="H1517" s="3">
        <v>26</v>
      </c>
      <c r="I1517" s="4">
        <v>111</v>
      </c>
      <c r="J1517" s="5">
        <v>176000</v>
      </c>
      <c r="K1517" s="6">
        <f>$E1517+1</f>
        <v>112</v>
      </c>
      <c r="L1517" s="7">
        <f>IF($J1517=0,0,ROUND(MAX($J1517*1.4,1620000*(1.497923^(MIN($E1517,123)-117)))*1,0))</f>
        <v>246400</v>
      </c>
      <c r="M1517" s="4">
        <f>$E1517+2</f>
        <v>113</v>
      </c>
      <c r="N1517" s="8">
        <f>IF($J1517=0,0,ROUND(MAX($J1517*1.4*1.5,2190000*(1.580994^(MIN($E1517,123)-117)))*1,0))</f>
        <v>369600</v>
      </c>
      <c r="O1517" s="6">
        <f>$E1517+4</f>
        <v>115</v>
      </c>
      <c r="P1517" s="7">
        <f>IF($J1517=0,0,ROUND(MAX($J1517*1.4*1.5*1.6,3500000*(1.57975^(MIN($E1517,123)-117)))*1,0))</f>
        <v>591360</v>
      </c>
      <c r="Q1517" s="4">
        <f>$E1517+6</f>
        <v>117</v>
      </c>
      <c r="R1517" s="8">
        <f>IF($J1517=0,0,ROUND(MAX($J1517*1.4*1.5*1.6*1.6,13100000*(1.429962^(MIN($E1517,123)-117)))*1,0))</f>
        <v>1532231</v>
      </c>
      <c r="S1517" s="6">
        <f>$E1517+8</f>
        <v>119</v>
      </c>
      <c r="T1517" s="7">
        <f>IF($J1517=0,0,ROUND(MAX($J1517*1.4*1.5*1.6*1.6*2.2,42600000*(1.576904^(MIN($E1517,123)-117)))*1,0))</f>
        <v>2770627</v>
      </c>
      <c r="U1517" s="4">
        <f>$E1517+11</f>
        <v>122</v>
      </c>
      <c r="V1517" s="8">
        <f>IF($J1517=0,0,ROUND(MAX($J1517*1.4*1.5*1.6*1.6*2.2*2.715,354000000*(1.642074^(MIN($E1517,123)-117)))*1,0))</f>
        <v>18057055</v>
      </c>
      <c r="W1517" s="6">
        <f>$E1517+15</f>
        <v>126</v>
      </c>
      <c r="X1517" s="7">
        <f>IF($J1517=0,0,ROUND(MAX($J1517*1.4*1.5*1.6*1.6*2.2*2.715*2.6,3540000000*(1.579646^(MIN($E1517,123)-117)))*1,0))</f>
        <v>227847690</v>
      </c>
      <c r="Y1517" s="4">
        <f>$E1517+17</f>
        <v>128</v>
      </c>
      <c r="Z1517" s="8">
        <f>IF($J1517=0,0,ROUND(MAX($J1517*1.4*1.5*1.6*1.6*2.2*2.715*2.6*1.4,6020000000*(1.651178^(MIN($E1517,123)-117)))*1,0))</f>
        <v>297052444</v>
      </c>
      <c r="AA1517" s="6">
        <f>$E1517+19</f>
        <v>130</v>
      </c>
      <c r="AB1517" s="7">
        <f>IF($J1517=0,0,ROUND(MAX($J1517*1.4*1.5*1.6*1.6*2.2*2.715*2.6*1.4*1.4,8430000000*(1.651435^(MIN($E1517,123)-117)))*1,0))</f>
        <v>415583854</v>
      </c>
      <c r="AC1517" s="4">
        <f>$E1517+21</f>
        <v>132</v>
      </c>
      <c r="AD1517" s="8">
        <f>IF($J1517=0,0,ROUND(MAX($J1517*1.4*1.5*1.6*1.6*2.2*2.715*2.6*1.4*1.4*1.5,12600000000*(1.652953^(MIN($E1517,123)-117)))*1,0))</f>
        <v>617742548</v>
      </c>
      <c r="AE1517" s="6">
        <f>$E1517+24</f>
        <v>135</v>
      </c>
      <c r="AF1517" s="7">
        <f>IF($J1517=0,0,ROUND(MAX($J1517*1.4*1.5*1.6*1.6*2.2*2.715*2.6*1.4*1.4*1.5*1.5,18900000000*(1.65331^(MIN($E1517,123)-117)))*1,0))</f>
        <v>925413965</v>
      </c>
      <c r="AG1517" s="4">
        <f>$E1517+27</f>
        <v>138</v>
      </c>
      <c r="AH1517" s="8">
        <f>IF($J1517=0,0,ROUND(MAX($J1517*1.4*1.5*1.6*1.6*2.2*2.715*2.6*1.4*1.4*1.5*1.5*3.2,60500000000*(1.654288^(MIN($E1517,123)-117)))*1,0))</f>
        <v>2951811756</v>
      </c>
    </row>
    <row r="1518" ht="27.75" customHeight="1" spans="1:34" x14ac:dyDescent="0.25">
      <c r="A1518" s="3">
        <v>1528</v>
      </c>
      <c r="B1518" s="3" t="s">
        <v>483</v>
      </c>
      <c r="C1518" s="3" t="s">
        <v>1119</v>
      </c>
      <c r="D1518" s="3" t="s">
        <v>33</v>
      </c>
      <c r="E1518" s="3">
        <v>111</v>
      </c>
      <c r="F1518" s="3" t="s">
        <v>30</v>
      </c>
      <c r="G1518" s="3" t="s">
        <v>1120</v>
      </c>
      <c r="H1518" s="3">
        <v>26</v>
      </c>
      <c r="I1518" s="4">
        <v>111</v>
      </c>
      <c r="J1518" s="5">
        <v>122000</v>
      </c>
      <c r="K1518" s="6">
        <f>$E1518+1</f>
        <v>112</v>
      </c>
      <c r="L1518" s="7">
        <f>IF($J1518=0,0,ROUND(MAX($J1518*1.4,1620000*(1.497923^(MIN($E1518,123)-117)))*1,0))</f>
        <v>170800</v>
      </c>
      <c r="M1518" s="4">
        <f>$E1518+2</f>
        <v>113</v>
      </c>
      <c r="N1518" s="8">
        <f>IF($J1518=0,0,ROUND(MAX($J1518*1.4*1.5,2190000*(1.580994^(MIN($E1518,123)-117)))*1,0))</f>
        <v>256200</v>
      </c>
      <c r="O1518" s="6">
        <f>$E1518+4</f>
        <v>115</v>
      </c>
      <c r="P1518" s="7">
        <f>IF($J1518=0,0,ROUND(MAX($J1518*1.4*1.5*1.6,3500000*(1.57975^(MIN($E1518,123)-117)))*1,0))</f>
        <v>409920</v>
      </c>
      <c r="Q1518" s="4">
        <f>$E1518+6</f>
        <v>117</v>
      </c>
      <c r="R1518" s="8">
        <f>IF($J1518=0,0,ROUND(MAX($J1518*1.4*1.5*1.6*1.6,13100000*(1.429962^(MIN($E1518,123)-117)))*1,0))</f>
        <v>1532231</v>
      </c>
      <c r="S1518" s="6">
        <f>$E1518+8</f>
        <v>119</v>
      </c>
      <c r="T1518" s="7">
        <f>IF($J1518=0,0,ROUND(MAX($J1518*1.4*1.5*1.6*1.6*2.2,42600000*(1.576904^(MIN($E1518,123)-117)))*1,0))</f>
        <v>2770627</v>
      </c>
      <c r="U1518" s="4">
        <f>$E1518+11</f>
        <v>122</v>
      </c>
      <c r="V1518" s="8">
        <f>IF($J1518=0,0,ROUND(MAX($J1518*1.4*1.5*1.6*1.6*2.2*2.715,354000000*(1.642074^(MIN($E1518,123)-117)))*1,0))</f>
        <v>18057055</v>
      </c>
      <c r="W1518" s="6">
        <f>$E1518+15</f>
        <v>126</v>
      </c>
      <c r="X1518" s="7">
        <f>IF($J1518=0,0,ROUND(MAX($J1518*1.4*1.5*1.6*1.6*2.2*2.715*2.6,3540000000*(1.579646^(MIN($E1518,123)-117)))*1,0))</f>
        <v>227847690</v>
      </c>
      <c r="Y1518" s="4">
        <f>$E1518+17</f>
        <v>128</v>
      </c>
      <c r="Z1518" s="8">
        <f>IF($J1518=0,0,ROUND(MAX($J1518*1.4*1.5*1.6*1.6*2.2*2.715*2.6*1.4,6020000000*(1.651178^(MIN($E1518,123)-117)))*1,0))</f>
        <v>297052444</v>
      </c>
      <c r="AA1518" s="6">
        <f>$E1518+19</f>
        <v>130</v>
      </c>
      <c r="AB1518" s="7">
        <f>IF($J1518=0,0,ROUND(MAX($J1518*1.4*1.5*1.6*1.6*2.2*2.715*2.6*1.4*1.4,8430000000*(1.651435^(MIN($E1518,123)-117)))*1,0))</f>
        <v>415583854</v>
      </c>
      <c r="AC1518" s="4">
        <f>$E1518+21</f>
        <v>132</v>
      </c>
      <c r="AD1518" s="8">
        <f>IF($J1518=0,0,ROUND(MAX($J1518*1.4*1.5*1.6*1.6*2.2*2.715*2.6*1.4*1.4*1.5,12600000000*(1.652953^(MIN($E1518,123)-117)))*1,0))</f>
        <v>617742548</v>
      </c>
      <c r="AE1518" s="6">
        <f>$E1518+24</f>
        <v>135</v>
      </c>
      <c r="AF1518" s="7">
        <f>IF($J1518=0,0,ROUND(MAX($J1518*1.4*1.5*1.6*1.6*2.2*2.715*2.6*1.4*1.4*1.5*1.5,18900000000*(1.65331^(MIN($E1518,123)-117)))*1,0))</f>
        <v>925413965</v>
      </c>
      <c r="AG1518" s="4">
        <f>$E1518+27</f>
        <v>138</v>
      </c>
      <c r="AH1518" s="8">
        <f>IF($J1518=0,0,ROUND(MAX($J1518*1.4*1.5*1.6*1.6*2.2*2.715*2.6*1.4*1.4*1.5*1.5*3.2,60500000000*(1.654288^(MIN($E1518,123)-117)))*1,0))</f>
        <v>2951811756</v>
      </c>
    </row>
    <row r="1519" ht="27.75" customHeight="1" spans="1:34" x14ac:dyDescent="0.25">
      <c r="A1519" s="3">
        <v>1529</v>
      </c>
      <c r="B1519" s="3" t="s">
        <v>127</v>
      </c>
      <c r="C1519" s="3" t="s">
        <v>1119</v>
      </c>
      <c r="D1519" s="3" t="s">
        <v>33</v>
      </c>
      <c r="E1519" s="3">
        <v>111</v>
      </c>
      <c r="F1519" s="3" t="s">
        <v>71</v>
      </c>
      <c r="G1519" s="3" t="s">
        <v>1120</v>
      </c>
      <c r="H1519" s="3">
        <v>26</v>
      </c>
      <c r="I1519" s="4">
        <v>111</v>
      </c>
      <c r="J1519" s="5">
        <v>180000</v>
      </c>
      <c r="K1519" s="6">
        <f>$E1519+1</f>
        <v>112</v>
      </c>
      <c r="L1519" s="7">
        <f>IF($J1519=0,0,ROUND(MAX($J1519*1.4,1620000*(1.497923^(MIN($E1519,123)-117)))*1,0))</f>
        <v>252000</v>
      </c>
      <c r="M1519" s="4">
        <f>$E1519+2</f>
        <v>113</v>
      </c>
      <c r="N1519" s="8">
        <f>IF($J1519=0,0,ROUND(MAX($J1519*1.4*1.5,2190000*(1.580994^(MIN($E1519,123)-117)))*1,0))</f>
        <v>378000</v>
      </c>
      <c r="O1519" s="6">
        <f>$E1519+4</f>
        <v>115</v>
      </c>
      <c r="P1519" s="7">
        <f>IF($J1519=0,0,ROUND(MAX($J1519*1.4*1.5*1.6,3500000*(1.57975^(MIN($E1519,123)-117)))*1,0))</f>
        <v>604800</v>
      </c>
      <c r="Q1519" s="4">
        <f>$E1519+6</f>
        <v>117</v>
      </c>
      <c r="R1519" s="8">
        <f>IF($J1519=0,0,ROUND(MAX($J1519*1.4*1.5*1.6*1.6,13100000*(1.429962^(MIN($E1519,123)-117)))*1,0))</f>
        <v>1532231</v>
      </c>
      <c r="S1519" s="6">
        <f>$E1519+8</f>
        <v>119</v>
      </c>
      <c r="T1519" s="7">
        <f>IF($J1519=0,0,ROUND(MAX($J1519*1.4*1.5*1.6*1.6*2.2,42600000*(1.576904^(MIN($E1519,123)-117)))*1,0))</f>
        <v>2770627</v>
      </c>
      <c r="U1519" s="4">
        <f>$E1519+11</f>
        <v>122</v>
      </c>
      <c r="V1519" s="8">
        <f>IF($J1519=0,0,ROUND(MAX($J1519*1.4*1.5*1.6*1.6*2.2*2.715,354000000*(1.642074^(MIN($E1519,123)-117)))*1,0))</f>
        <v>18057055</v>
      </c>
      <c r="W1519" s="6">
        <f>$E1519+15</f>
        <v>126</v>
      </c>
      <c r="X1519" s="7">
        <f>IF($J1519=0,0,ROUND(MAX($J1519*1.4*1.5*1.6*1.6*2.2*2.715*2.6,3540000000*(1.579646^(MIN($E1519,123)-117)))*1,0))</f>
        <v>227847690</v>
      </c>
      <c r="Y1519" s="4">
        <f>$E1519+17</f>
        <v>128</v>
      </c>
      <c r="Z1519" s="8">
        <f>IF($J1519=0,0,ROUND(MAX($J1519*1.4*1.5*1.6*1.6*2.2*2.715*2.6*1.4,6020000000*(1.651178^(MIN($E1519,123)-117)))*1,0))</f>
        <v>297052444</v>
      </c>
      <c r="AA1519" s="6">
        <f>$E1519+19</f>
        <v>130</v>
      </c>
      <c r="AB1519" s="7">
        <f>IF($J1519=0,0,ROUND(MAX($J1519*1.4*1.5*1.6*1.6*2.2*2.715*2.6*1.4*1.4,8430000000*(1.651435^(MIN($E1519,123)-117)))*1,0))</f>
        <v>415583854</v>
      </c>
      <c r="AC1519" s="4">
        <f>$E1519+21</f>
        <v>132</v>
      </c>
      <c r="AD1519" s="8">
        <f>IF($J1519=0,0,ROUND(MAX($J1519*1.4*1.5*1.6*1.6*2.2*2.715*2.6*1.4*1.4*1.5,12600000000*(1.652953^(MIN($E1519,123)-117)))*1,0))</f>
        <v>617742548</v>
      </c>
      <c r="AE1519" s="6">
        <f>$E1519+24</f>
        <v>135</v>
      </c>
      <c r="AF1519" s="7">
        <f>IF($J1519=0,0,ROUND(MAX($J1519*1.4*1.5*1.6*1.6*2.2*2.715*2.6*1.4*1.4*1.5*1.5,18900000000*(1.65331^(MIN($E1519,123)-117)))*1,0))</f>
        <v>925413965</v>
      </c>
      <c r="AG1519" s="4">
        <f>$E1519+27</f>
        <v>138</v>
      </c>
      <c r="AH1519" s="8">
        <f>IF($J1519=0,0,ROUND(MAX($J1519*1.4*1.5*1.6*1.6*2.2*2.715*2.6*1.4*1.4*1.5*1.5*3.2,60500000000*(1.654288^(MIN($E1519,123)-117)))*1,0))</f>
        <v>2951811756</v>
      </c>
    </row>
    <row r="1520" ht="27.75" customHeight="1" spans="1:34" x14ac:dyDescent="0.25">
      <c r="A1520" s="3">
        <v>1530</v>
      </c>
      <c r="B1520" s="3" t="s">
        <v>92</v>
      </c>
      <c r="C1520" s="3" t="s">
        <v>1119</v>
      </c>
      <c r="D1520" s="3" t="s">
        <v>93</v>
      </c>
      <c r="E1520" s="3">
        <v>111</v>
      </c>
      <c r="F1520" s="3" t="s">
        <v>56</v>
      </c>
      <c r="G1520" s="3" t="s">
        <v>1120</v>
      </c>
      <c r="H1520" s="3">
        <v>26</v>
      </c>
      <c r="I1520" s="4">
        <v>111</v>
      </c>
      <c r="J1520" s="5">
        <v>163000</v>
      </c>
      <c r="K1520" s="6">
        <f>$E1520+1</f>
        <v>112</v>
      </c>
      <c r="L1520" s="7">
        <f>IF($J1520=0,0,ROUND(MAX($J1520*1.4,1620000*(1.497923^(MIN($E1520,123)-117)))*1,0))</f>
        <v>228200</v>
      </c>
      <c r="M1520" s="4">
        <f>$E1520+2</f>
        <v>113</v>
      </c>
      <c r="N1520" s="8">
        <f>IF($J1520=0,0,ROUND(MAX($J1520*1.4*1.5,2190000*(1.580994^(MIN($E1520,123)-117)))*1,0))</f>
        <v>342300</v>
      </c>
      <c r="O1520" s="6">
        <f>$E1520+4</f>
        <v>115</v>
      </c>
      <c r="P1520" s="7">
        <f>IF($J1520=0,0,ROUND(MAX($J1520*1.4*1.5*1.6,3500000*(1.57975^(MIN($E1520,123)-117)))*1,0))</f>
        <v>547680</v>
      </c>
      <c r="Q1520" s="4">
        <f>$E1520+6</f>
        <v>117</v>
      </c>
      <c r="R1520" s="8">
        <f>IF($J1520=0,0,ROUND(MAX($J1520*1.4*1.5*1.6*1.6,13100000*(1.429962^(MIN($E1520,123)-117)))*1,0))</f>
        <v>1532231</v>
      </c>
      <c r="S1520" s="6">
        <f>$E1520+8</f>
        <v>119</v>
      </c>
      <c r="T1520" s="7">
        <f>IF($J1520=0,0,ROUND(MAX($J1520*1.4*1.5*1.6*1.6*2.2,42600000*(1.576904^(MIN($E1520,123)-117)))*1,0))</f>
        <v>2770627</v>
      </c>
      <c r="U1520" s="4">
        <f>$E1520+11</f>
        <v>122</v>
      </c>
      <c r="V1520" s="8">
        <f>IF($J1520=0,0,ROUND(MAX($J1520*1.4*1.5*1.6*1.6*2.2*2.715,354000000*(1.642074^(MIN($E1520,123)-117)))*1,0))</f>
        <v>18057055</v>
      </c>
      <c r="W1520" s="6">
        <f>$E1520+15</f>
        <v>126</v>
      </c>
      <c r="X1520" s="7">
        <f>IF($J1520=0,0,ROUND(MAX($J1520*1.4*1.5*1.6*1.6*2.2*2.715*2.6,3540000000*(1.579646^(MIN($E1520,123)-117)))*1,0))</f>
        <v>227847690</v>
      </c>
      <c r="Y1520" s="4">
        <f>$E1520+17</f>
        <v>128</v>
      </c>
      <c r="Z1520" s="8">
        <f>IF($J1520=0,0,ROUND(MAX($J1520*1.4*1.5*1.6*1.6*2.2*2.715*2.6*1.4,6020000000*(1.651178^(MIN($E1520,123)-117)))*1,0))</f>
        <v>297052444</v>
      </c>
      <c r="AA1520" s="6">
        <f>$E1520+19</f>
        <v>130</v>
      </c>
      <c r="AB1520" s="7">
        <f>IF($J1520=0,0,ROUND(MAX($J1520*1.4*1.5*1.6*1.6*2.2*2.715*2.6*1.4*1.4,8430000000*(1.651435^(MIN($E1520,123)-117)))*1,0))</f>
        <v>415583854</v>
      </c>
      <c r="AC1520" s="4">
        <f>$E1520+21</f>
        <v>132</v>
      </c>
      <c r="AD1520" s="8">
        <f>IF($J1520=0,0,ROUND(MAX($J1520*1.4*1.5*1.6*1.6*2.2*2.715*2.6*1.4*1.4*1.5,12600000000*(1.652953^(MIN($E1520,123)-117)))*1,0))</f>
        <v>617742548</v>
      </c>
      <c r="AE1520" s="6">
        <f>$E1520+24</f>
        <v>135</v>
      </c>
      <c r="AF1520" s="7">
        <f>IF($J1520=0,0,ROUND(MAX($J1520*1.4*1.5*1.6*1.6*2.2*2.715*2.6*1.4*1.4*1.5*1.5,18900000000*(1.65331^(MIN($E1520,123)-117)))*1,0))</f>
        <v>925413965</v>
      </c>
      <c r="AG1520" s="4">
        <f>$E1520+27</f>
        <v>138</v>
      </c>
      <c r="AH1520" s="8">
        <f>IF($J1520=0,0,ROUND(MAX($J1520*1.4*1.5*1.6*1.6*2.2*2.715*2.6*1.4*1.4*1.5*1.5*3.2,60500000000*(1.654288^(MIN($E1520,123)-117)))*1,0))</f>
        <v>2951811756</v>
      </c>
    </row>
    <row r="1521" ht="27.75" customHeight="1" spans="1:34" x14ac:dyDescent="0.25">
      <c r="A1521" s="3">
        <v>1531</v>
      </c>
      <c r="B1521" s="3" t="s">
        <v>66</v>
      </c>
      <c r="C1521" s="3" t="s">
        <v>1119</v>
      </c>
      <c r="D1521" s="3" t="s">
        <v>47</v>
      </c>
      <c r="E1521" s="3">
        <v>111</v>
      </c>
      <c r="F1521" s="3" t="s">
        <v>62</v>
      </c>
      <c r="G1521" s="3" t="s">
        <v>1120</v>
      </c>
      <c r="H1521" s="3">
        <v>23</v>
      </c>
      <c r="I1521" s="4">
        <v>111</v>
      </c>
      <c r="J1521" s="5">
        <v>179000</v>
      </c>
      <c r="K1521" s="6">
        <f>$E1521+1</f>
        <v>112</v>
      </c>
      <c r="L1521" s="7">
        <f>IF($J1521=0,0,ROUND(MAX($J1521*1.4,1620000*(1.497923^(MIN($E1521,123)-117)))*1,0))</f>
        <v>250600</v>
      </c>
      <c r="M1521" s="4">
        <f>$E1521+2</f>
        <v>113</v>
      </c>
      <c r="N1521" s="8">
        <f>IF($J1521=0,0,ROUND(MAX($J1521*1.4*1.5,2190000*(1.580994^(MIN($E1521,123)-117)))*1,0))</f>
        <v>375900</v>
      </c>
      <c r="O1521" s="6">
        <f>$E1521+4</f>
        <v>115</v>
      </c>
      <c r="P1521" s="7">
        <f>IF($J1521=0,0,ROUND(MAX($J1521*1.4*1.5*1.6,3500000*(1.57975^(MIN($E1521,123)-117)))*1,0))</f>
        <v>601440</v>
      </c>
      <c r="Q1521" s="4">
        <f>$E1521+6</f>
        <v>117</v>
      </c>
      <c r="R1521" s="8">
        <f>IF($J1521=0,0,ROUND(MAX($J1521*1.4*1.5*1.6*1.6,13100000*(1.429962^(MIN($E1521,123)-117)))*1,0))</f>
        <v>1532231</v>
      </c>
      <c r="S1521" s="6">
        <f>$E1521+8</f>
        <v>119</v>
      </c>
      <c r="T1521" s="7">
        <f>IF($J1521=0,0,ROUND(MAX($J1521*1.4*1.5*1.6*1.6*2.2,42600000*(1.576904^(MIN($E1521,123)-117)))*1,0))</f>
        <v>2770627</v>
      </c>
      <c r="U1521" s="4">
        <f>$E1521+11</f>
        <v>122</v>
      </c>
      <c r="V1521" s="8">
        <f>IF($J1521=0,0,ROUND(MAX($J1521*1.4*1.5*1.6*1.6*2.2*2.715,354000000*(1.642074^(MIN($E1521,123)-117)))*1,0))</f>
        <v>18057055</v>
      </c>
      <c r="W1521" s="6">
        <f>$E1521+15</f>
        <v>126</v>
      </c>
      <c r="X1521" s="7">
        <f>IF($J1521=0,0,ROUND(MAX($J1521*1.4*1.5*1.6*1.6*2.2*2.715*2.6,3540000000*(1.579646^(MIN($E1521,123)-117)))*1,0))</f>
        <v>227847690</v>
      </c>
      <c r="Y1521" s="4">
        <f>$E1521+17</f>
        <v>128</v>
      </c>
      <c r="Z1521" s="8">
        <f>IF($J1521=0,0,ROUND(MAX($J1521*1.4*1.5*1.6*1.6*2.2*2.715*2.6*1.4,6020000000*(1.651178^(MIN($E1521,123)-117)))*1,0))</f>
        <v>297052444</v>
      </c>
      <c r="AA1521" s="6">
        <f>$E1521+19</f>
        <v>130</v>
      </c>
      <c r="AB1521" s="7">
        <f>IF($J1521=0,0,ROUND(MAX($J1521*1.4*1.5*1.6*1.6*2.2*2.715*2.6*1.4*1.4,8430000000*(1.651435^(MIN($E1521,123)-117)))*1,0))</f>
        <v>415583854</v>
      </c>
      <c r="AC1521" s="4">
        <f>$E1521+21</f>
        <v>132</v>
      </c>
      <c r="AD1521" s="8">
        <f>IF($J1521=0,0,ROUND(MAX($J1521*1.4*1.5*1.6*1.6*2.2*2.715*2.6*1.4*1.4*1.5,12600000000*(1.652953^(MIN($E1521,123)-117)))*1,0))</f>
        <v>617742548</v>
      </c>
      <c r="AE1521" s="6">
        <f>$E1521+24</f>
        <v>135</v>
      </c>
      <c r="AF1521" s="7">
        <f>IF($J1521=0,0,ROUND(MAX($J1521*1.4*1.5*1.6*1.6*2.2*2.715*2.6*1.4*1.4*1.5*1.5,18900000000*(1.65331^(MIN($E1521,123)-117)))*1,0))</f>
        <v>925413965</v>
      </c>
      <c r="AG1521" s="4">
        <f>$E1521+27</f>
        <v>138</v>
      </c>
      <c r="AH1521" s="8">
        <f>IF($J1521=0,0,ROUND(MAX($J1521*1.4*1.5*1.6*1.6*2.2*2.715*2.6*1.4*1.4*1.5*1.5*3.2,60500000000*(1.654288^(MIN($E1521,123)-117)))*1,0))</f>
        <v>2951811756</v>
      </c>
    </row>
    <row r="1522" ht="27.75" customHeight="1" spans="1:34" x14ac:dyDescent="0.25">
      <c r="A1522" s="3">
        <v>1532</v>
      </c>
      <c r="B1522" s="3" t="s">
        <v>91</v>
      </c>
      <c r="C1522" s="3" t="s">
        <v>1119</v>
      </c>
      <c r="D1522" s="3" t="s">
        <v>47</v>
      </c>
      <c r="E1522" s="3">
        <v>111</v>
      </c>
      <c r="F1522" s="3" t="s">
        <v>71</v>
      </c>
      <c r="G1522" s="3" t="s">
        <v>1120</v>
      </c>
      <c r="H1522" s="3">
        <v>22</v>
      </c>
      <c r="I1522" s="4">
        <v>111</v>
      </c>
      <c r="J1522" s="5">
        <v>160000</v>
      </c>
      <c r="K1522" s="6">
        <f>$E1522+1</f>
        <v>112</v>
      </c>
      <c r="L1522" s="7">
        <f>IF($J1522=0,0,ROUND(MAX($J1522*1.4,1620000*(1.497923^(MIN($E1522,123)-117)))*1,0))</f>
        <v>224000</v>
      </c>
      <c r="M1522" s="4">
        <f>$E1522+2</f>
        <v>113</v>
      </c>
      <c r="N1522" s="8">
        <f>IF($J1522=0,0,ROUND(MAX($J1522*1.4*1.5,2190000*(1.580994^(MIN($E1522,123)-117)))*1,0))</f>
        <v>336000</v>
      </c>
      <c r="O1522" s="6">
        <f>$E1522+4</f>
        <v>115</v>
      </c>
      <c r="P1522" s="7">
        <f>IF($J1522=0,0,ROUND(MAX($J1522*1.4*1.5*1.6,3500000*(1.57975^(MIN($E1522,123)-117)))*1,0))</f>
        <v>537600</v>
      </c>
      <c r="Q1522" s="4">
        <f>$E1522+6</f>
        <v>117</v>
      </c>
      <c r="R1522" s="8">
        <f>IF($J1522=0,0,ROUND(MAX($J1522*1.4*1.5*1.6*1.6,13100000*(1.429962^(MIN($E1522,123)-117)))*1,0))</f>
        <v>1532231</v>
      </c>
      <c r="S1522" s="6">
        <f>$E1522+8</f>
        <v>119</v>
      </c>
      <c r="T1522" s="7">
        <f>IF($J1522=0,0,ROUND(MAX($J1522*1.4*1.5*1.6*1.6*2.2,42600000*(1.576904^(MIN($E1522,123)-117)))*1,0))</f>
        <v>2770627</v>
      </c>
      <c r="U1522" s="4">
        <f>$E1522+11</f>
        <v>122</v>
      </c>
      <c r="V1522" s="8">
        <f>IF($J1522=0,0,ROUND(MAX($J1522*1.4*1.5*1.6*1.6*2.2*2.715,354000000*(1.642074^(MIN($E1522,123)-117)))*1,0))</f>
        <v>18057055</v>
      </c>
      <c r="W1522" s="6">
        <f>$E1522+15</f>
        <v>126</v>
      </c>
      <c r="X1522" s="7">
        <f>IF($J1522=0,0,ROUND(MAX($J1522*1.4*1.5*1.6*1.6*2.2*2.715*2.6,3540000000*(1.579646^(MIN($E1522,123)-117)))*1,0))</f>
        <v>227847690</v>
      </c>
      <c r="Y1522" s="4">
        <f>$E1522+17</f>
        <v>128</v>
      </c>
      <c r="Z1522" s="8">
        <f>IF($J1522=0,0,ROUND(MAX($J1522*1.4*1.5*1.6*1.6*2.2*2.715*2.6*1.4,6020000000*(1.651178^(MIN($E1522,123)-117)))*1,0))</f>
        <v>297052444</v>
      </c>
      <c r="AA1522" s="6">
        <f>$E1522+19</f>
        <v>130</v>
      </c>
      <c r="AB1522" s="7">
        <f>IF($J1522=0,0,ROUND(MAX($J1522*1.4*1.5*1.6*1.6*2.2*2.715*2.6*1.4*1.4,8430000000*(1.651435^(MIN($E1522,123)-117)))*1,0))</f>
        <v>415583854</v>
      </c>
      <c r="AC1522" s="4">
        <f>$E1522+21</f>
        <v>132</v>
      </c>
      <c r="AD1522" s="8">
        <f>IF($J1522=0,0,ROUND(MAX($J1522*1.4*1.5*1.6*1.6*2.2*2.715*2.6*1.4*1.4*1.5,12600000000*(1.652953^(MIN($E1522,123)-117)))*1,0))</f>
        <v>617742548</v>
      </c>
      <c r="AE1522" s="6">
        <f>$E1522+24</f>
        <v>135</v>
      </c>
      <c r="AF1522" s="7">
        <f>IF($J1522=0,0,ROUND(MAX($J1522*1.4*1.5*1.6*1.6*2.2*2.715*2.6*1.4*1.4*1.5*1.5,18900000000*(1.65331^(MIN($E1522,123)-117)))*1,0))</f>
        <v>925413965</v>
      </c>
      <c r="AG1522" s="4">
        <f>$E1522+27</f>
        <v>138</v>
      </c>
      <c r="AH1522" s="8">
        <f>IF($J1522=0,0,ROUND(MAX($J1522*1.4*1.5*1.6*1.6*2.2*2.715*2.6*1.4*1.4*1.5*1.5*3.2,60500000000*(1.654288^(MIN($E1522,123)-117)))*1,0))</f>
        <v>2951811756</v>
      </c>
    </row>
    <row r="1523" ht="27.75" customHeight="1" spans="1:34" x14ac:dyDescent="0.25">
      <c r="A1523" s="3">
        <v>1533</v>
      </c>
      <c r="B1523" s="3" t="s">
        <v>153</v>
      </c>
      <c r="C1523" s="3" t="s">
        <v>1119</v>
      </c>
      <c r="D1523" s="3" t="s">
        <v>45</v>
      </c>
      <c r="E1523" s="3">
        <v>110</v>
      </c>
      <c r="F1523" s="3" t="s">
        <v>56</v>
      </c>
      <c r="G1523" s="3" t="s">
        <v>1120</v>
      </c>
      <c r="H1523" s="3">
        <v>27</v>
      </c>
      <c r="I1523" s="4">
        <v>110</v>
      </c>
      <c r="J1523" s="5">
        <v>135000</v>
      </c>
      <c r="K1523" s="6">
        <f>$E1523+1</f>
        <v>111</v>
      </c>
      <c r="L1523" s="7">
        <f>IF($J1523=0,0,ROUND(MAX($J1523*1.4,1620000*(1.497923^(MIN($E1523,123)-117)))*1,0))</f>
        <v>189000</v>
      </c>
      <c r="M1523" s="4">
        <f>$E1523+2</f>
        <v>112</v>
      </c>
      <c r="N1523" s="8">
        <f>IF($J1523=0,0,ROUND(MAX($J1523*1.4*1.5,2190000*(1.580994^(MIN($E1523,123)-117)))*1,0))</f>
        <v>283500</v>
      </c>
      <c r="O1523" s="6">
        <f>$E1523+4</f>
        <v>114</v>
      </c>
      <c r="P1523" s="7">
        <f>IF($J1523=0,0,ROUND(MAX($J1523*1.4*1.5*1.6,3500000*(1.57975^(MIN($E1523,123)-117)))*1,0))</f>
        <v>453600</v>
      </c>
      <c r="Q1523" s="4">
        <f>$E1523+6</f>
        <v>116</v>
      </c>
      <c r="R1523" s="8">
        <f>IF($J1523=0,0,ROUND(MAX($J1523*1.4*1.5*1.6*1.6,13100000*(1.429962^(MIN($E1523,123)-117)))*1,0))</f>
        <v>1071519</v>
      </c>
      <c r="S1523" s="6">
        <f>$E1523+8</f>
        <v>118</v>
      </c>
      <c r="T1523" s="7">
        <f>IF($J1523=0,0,ROUND(MAX($J1523*1.4*1.5*1.6*1.6*2.2,42600000*(1.576904^(MIN($E1523,123)-117)))*1,0))</f>
        <v>1757004</v>
      </c>
      <c r="U1523" s="4">
        <f>$E1523+11</f>
        <v>121</v>
      </c>
      <c r="V1523" s="8">
        <f>IF($J1523=0,0,ROUND(MAX($J1523*1.4*1.5*1.6*1.6*2.2*2.715,354000000*(1.642074^(MIN($E1523,123)-117)))*1,0))</f>
        <v>10996493</v>
      </c>
      <c r="W1523" s="6">
        <f>$E1523+15</f>
        <v>125</v>
      </c>
      <c r="X1523" s="7">
        <f>IF($J1523=0,0,ROUND(MAX($J1523*1.4*1.5*1.6*1.6*2.2*2.715*2.6,3540000000*(1.579646^(MIN($E1523,123)-117)))*1,0))</f>
        <v>144239716</v>
      </c>
      <c r="Y1523" s="4">
        <f>$E1523+17</f>
        <v>127</v>
      </c>
      <c r="Z1523" s="8">
        <f>IF($J1523=0,0,ROUND(MAX($J1523*1.4*1.5*1.6*1.6*2.2*2.715*2.6*1.4,6020000000*(1.651178^(MIN($E1523,123)-117)))*1,0))</f>
        <v>179903344</v>
      </c>
      <c r="AA1523" s="6">
        <f>$E1523+19</f>
        <v>129</v>
      </c>
      <c r="AB1523" s="7">
        <f>IF($J1523=0,0,ROUND(MAX($J1523*1.4*1.5*1.6*1.6*2.2*2.715*2.6*1.4*1.4,8430000000*(1.651435^(MIN($E1523,123)-117)))*1,0))</f>
        <v>251650143</v>
      </c>
      <c r="AC1523" s="4">
        <f>$E1523+21</f>
        <v>131</v>
      </c>
      <c r="AD1523" s="8">
        <f>IF($J1523=0,0,ROUND(MAX($J1523*1.4*1.5*1.6*1.6*2.2*2.715*2.6*1.4*1.4*1.5,12600000000*(1.652953^(MIN($E1523,123)-117)))*1,0))</f>
        <v>373720576</v>
      </c>
      <c r="AE1523" s="6">
        <f>$E1523+24</f>
        <v>134</v>
      </c>
      <c r="AF1523" s="7">
        <f>IF($J1523=0,0,ROUND(MAX($J1523*1.4*1.5*1.6*1.6*2.2*2.715*2.6*1.4*1.4*1.5*1.5,18900000000*(1.65331^(MIN($E1523,123)-117)))*1,0))</f>
        <v>559734088</v>
      </c>
      <c r="AG1523" s="4">
        <f>$E1523+27</f>
        <v>137</v>
      </c>
      <c r="AH1523" s="8">
        <f>IF($J1523=0,0,ROUND(MAX($J1523*1.4*1.5*1.6*1.6*2.2*2.715*2.6*1.4*1.4*1.5*1.5*3.2,60500000000*(1.654288^(MIN($E1523,123)-117)))*1,0))</f>
        <v>1784339701</v>
      </c>
    </row>
    <row r="1524" ht="27.75" customHeight="1" spans="1:34" x14ac:dyDescent="0.25">
      <c r="A1524" s="3">
        <v>1534</v>
      </c>
      <c r="B1524" s="3" t="s">
        <v>130</v>
      </c>
      <c r="C1524" s="3" t="s">
        <v>1119</v>
      </c>
      <c r="D1524" s="3" t="s">
        <v>45</v>
      </c>
      <c r="E1524" s="3">
        <v>110</v>
      </c>
      <c r="F1524" s="3" t="s">
        <v>56</v>
      </c>
      <c r="G1524" s="3" t="s">
        <v>1120</v>
      </c>
      <c r="H1524" s="3">
        <v>27</v>
      </c>
      <c r="I1524" s="4">
        <v>110</v>
      </c>
      <c r="J1524" s="5">
        <v>98600</v>
      </c>
      <c r="K1524" s="6">
        <f>$E1524+1</f>
        <v>111</v>
      </c>
      <c r="L1524" s="7">
        <f>IF($J1524=0,0,ROUND(MAX($J1524*1.4,1620000*(1.497923^(MIN($E1524,123)-117)))*1,0))</f>
        <v>138040</v>
      </c>
      <c r="M1524" s="4">
        <f>$E1524+2</f>
        <v>112</v>
      </c>
      <c r="N1524" s="8">
        <f>IF($J1524=0,0,ROUND(MAX($J1524*1.4*1.5,2190000*(1.580994^(MIN($E1524,123)-117)))*1,0))</f>
        <v>207060</v>
      </c>
      <c r="O1524" s="6">
        <f>$E1524+4</f>
        <v>114</v>
      </c>
      <c r="P1524" s="7">
        <f>IF($J1524=0,0,ROUND(MAX($J1524*1.4*1.5*1.6,3500000*(1.57975^(MIN($E1524,123)-117)))*1,0))</f>
        <v>331296</v>
      </c>
      <c r="Q1524" s="4">
        <f>$E1524+6</f>
        <v>116</v>
      </c>
      <c r="R1524" s="8">
        <f>IF($J1524=0,0,ROUND(MAX($J1524*1.4*1.5*1.6*1.6,13100000*(1.429962^(MIN($E1524,123)-117)))*1,0))</f>
        <v>1071519</v>
      </c>
      <c r="S1524" s="6">
        <f>$E1524+8</f>
        <v>118</v>
      </c>
      <c r="T1524" s="7">
        <f>IF($J1524=0,0,ROUND(MAX($J1524*1.4*1.5*1.6*1.6*2.2,42600000*(1.576904^(MIN($E1524,123)-117)))*1,0))</f>
        <v>1757004</v>
      </c>
      <c r="U1524" s="4">
        <f>$E1524+11</f>
        <v>121</v>
      </c>
      <c r="V1524" s="8">
        <f>IF($J1524=0,0,ROUND(MAX($J1524*1.4*1.5*1.6*1.6*2.2*2.715,354000000*(1.642074^(MIN($E1524,123)-117)))*1,0))</f>
        <v>10996493</v>
      </c>
      <c r="W1524" s="6">
        <f>$E1524+15</f>
        <v>125</v>
      </c>
      <c r="X1524" s="7">
        <f>IF($J1524=0,0,ROUND(MAX($J1524*1.4*1.5*1.6*1.6*2.2*2.715*2.6,3540000000*(1.579646^(MIN($E1524,123)-117)))*1,0))</f>
        <v>144239716</v>
      </c>
      <c r="Y1524" s="4">
        <f>$E1524+17</f>
        <v>127</v>
      </c>
      <c r="Z1524" s="8">
        <f>IF($J1524=0,0,ROUND(MAX($J1524*1.4*1.5*1.6*1.6*2.2*2.715*2.6*1.4,6020000000*(1.651178^(MIN($E1524,123)-117)))*1,0))</f>
        <v>179903344</v>
      </c>
      <c r="AA1524" s="6">
        <f>$E1524+19</f>
        <v>129</v>
      </c>
      <c r="AB1524" s="7">
        <f>IF($J1524=0,0,ROUND(MAX($J1524*1.4*1.5*1.6*1.6*2.2*2.715*2.6*1.4*1.4,8430000000*(1.651435^(MIN($E1524,123)-117)))*1,0))</f>
        <v>251650143</v>
      </c>
      <c r="AC1524" s="4">
        <f>$E1524+21</f>
        <v>131</v>
      </c>
      <c r="AD1524" s="8">
        <f>IF($J1524=0,0,ROUND(MAX($J1524*1.4*1.5*1.6*1.6*2.2*2.715*2.6*1.4*1.4*1.5,12600000000*(1.652953^(MIN($E1524,123)-117)))*1,0))</f>
        <v>373720576</v>
      </c>
      <c r="AE1524" s="6">
        <f>$E1524+24</f>
        <v>134</v>
      </c>
      <c r="AF1524" s="7">
        <f>IF($J1524=0,0,ROUND(MAX($J1524*1.4*1.5*1.6*1.6*2.2*2.715*2.6*1.4*1.4*1.5*1.5,18900000000*(1.65331^(MIN($E1524,123)-117)))*1,0))</f>
        <v>559734088</v>
      </c>
      <c r="AG1524" s="4">
        <f>$E1524+27</f>
        <v>137</v>
      </c>
      <c r="AH1524" s="8">
        <f>IF($J1524=0,0,ROUND(MAX($J1524*1.4*1.5*1.6*1.6*2.2*2.715*2.6*1.4*1.4*1.5*1.5*3.2,60500000000*(1.654288^(MIN($E1524,123)-117)))*1,0))</f>
        <v>1784339701</v>
      </c>
    </row>
    <row r="1525" ht="27.75" customHeight="1" spans="1:34" x14ac:dyDescent="0.25">
      <c r="A1525" s="3">
        <v>1535</v>
      </c>
      <c r="B1525" s="3" t="s">
        <v>694</v>
      </c>
      <c r="C1525" s="3" t="s">
        <v>1119</v>
      </c>
      <c r="D1525" s="3" t="s">
        <v>102</v>
      </c>
      <c r="E1525" s="3">
        <v>110</v>
      </c>
      <c r="F1525" s="3" t="s">
        <v>71</v>
      </c>
      <c r="G1525" s="3" t="s">
        <v>270</v>
      </c>
      <c r="H1525" s="3">
        <v>26</v>
      </c>
      <c r="I1525" s="4">
        <v>110</v>
      </c>
      <c r="J1525" s="5">
        <v>106000</v>
      </c>
      <c r="K1525" s="6">
        <f>$E1525+1</f>
        <v>111</v>
      </c>
      <c r="L1525" s="7">
        <f>IF($J1525=0,0,ROUND(MAX($J1525*1.4,1620000*(1.497923^(MIN($E1525,123)-117)))*1,0))</f>
        <v>148400</v>
      </c>
      <c r="M1525" s="4">
        <f>$E1525+2</f>
        <v>112</v>
      </c>
      <c r="N1525" s="8">
        <f>IF($J1525=0,0,ROUND(MAX($J1525*1.4*1.5,2190000*(1.580994^(MIN($E1525,123)-117)))*1,0))</f>
        <v>222600</v>
      </c>
      <c r="O1525" s="6">
        <f>$E1525+4</f>
        <v>114</v>
      </c>
      <c r="P1525" s="7">
        <f>IF($J1525=0,0,ROUND(MAX($J1525*1.4*1.5*1.6,3500000*(1.57975^(MIN($E1525,123)-117)))*1,0))</f>
        <v>356160</v>
      </c>
      <c r="Q1525" s="4">
        <f>$E1525+6</f>
        <v>116</v>
      </c>
      <c r="R1525" s="8">
        <f>IF($J1525=0,0,ROUND(MAX($J1525*1.4*1.5*1.6*1.6,13100000*(1.429962^(MIN($E1525,123)-117)))*1,0))</f>
        <v>1071519</v>
      </c>
      <c r="S1525" s="6">
        <f>$E1525+8</f>
        <v>118</v>
      </c>
      <c r="T1525" s="7">
        <f>IF($J1525=0,0,ROUND(MAX($J1525*1.4*1.5*1.6*1.6*2.2,42600000*(1.576904^(MIN($E1525,123)-117)))*1,0))</f>
        <v>1757004</v>
      </c>
      <c r="U1525" s="4">
        <f>$E1525+11</f>
        <v>121</v>
      </c>
      <c r="V1525" s="8">
        <f>IF($J1525=0,0,ROUND(MAX($J1525*1.4*1.5*1.6*1.6*2.2*2.715,354000000*(1.642074^(MIN($E1525,123)-117)))*1,0))</f>
        <v>10996493</v>
      </c>
      <c r="W1525" s="6">
        <f>$E1525+15</f>
        <v>125</v>
      </c>
      <c r="X1525" s="7">
        <f>IF($J1525=0,0,ROUND(MAX($J1525*1.4*1.5*1.6*1.6*2.2*2.715*2.6,3540000000*(1.579646^(MIN($E1525,123)-117)))*1,0))</f>
        <v>144239716</v>
      </c>
      <c r="Y1525" s="4">
        <f>$E1525+17</f>
        <v>127</v>
      </c>
      <c r="Z1525" s="8">
        <f>IF($J1525=0,0,ROUND(MAX($J1525*1.4*1.5*1.6*1.6*2.2*2.715*2.6*1.4,6020000000*(1.651178^(MIN($E1525,123)-117)))*1,0))</f>
        <v>179903344</v>
      </c>
      <c r="AA1525" s="6">
        <f>$E1525+19</f>
        <v>129</v>
      </c>
      <c r="AB1525" s="7">
        <f>IF($J1525=0,0,ROUND(MAX($J1525*1.4*1.5*1.6*1.6*2.2*2.715*2.6*1.4*1.4,8430000000*(1.651435^(MIN($E1525,123)-117)))*1,0))</f>
        <v>251650143</v>
      </c>
      <c r="AC1525" s="4">
        <f>$E1525+21</f>
        <v>131</v>
      </c>
      <c r="AD1525" s="8">
        <f>IF($J1525=0,0,ROUND(MAX($J1525*1.4*1.5*1.6*1.6*2.2*2.715*2.6*1.4*1.4*1.5,12600000000*(1.652953^(MIN($E1525,123)-117)))*1,0))</f>
        <v>373720576</v>
      </c>
      <c r="AE1525" s="6">
        <f>$E1525+24</f>
        <v>134</v>
      </c>
      <c r="AF1525" s="7">
        <f>IF($J1525=0,0,ROUND(MAX($J1525*1.4*1.5*1.6*1.6*2.2*2.715*2.6*1.4*1.4*1.5*1.5,18900000000*(1.65331^(MIN($E1525,123)-117)))*1,0))</f>
        <v>559734088</v>
      </c>
      <c r="AG1525" s="4">
        <f>$E1525+27</f>
        <v>137</v>
      </c>
      <c r="AH1525" s="8">
        <f>IF($J1525=0,0,ROUND(MAX($J1525*1.4*1.5*1.6*1.6*2.2*2.715*2.6*1.4*1.4*1.5*1.5*3.2,60500000000*(1.654288^(MIN($E1525,123)-117)))*1,0))</f>
        <v>1784339701</v>
      </c>
    </row>
    <row r="1526" ht="27.75" customHeight="1" spans="1:34" x14ac:dyDescent="0.25">
      <c r="A1526" s="3">
        <v>1536</v>
      </c>
      <c r="B1526" s="3" t="s">
        <v>596</v>
      </c>
      <c r="C1526" s="3" t="s">
        <v>1119</v>
      </c>
      <c r="D1526" s="3" t="s">
        <v>102</v>
      </c>
      <c r="E1526" s="3">
        <v>110</v>
      </c>
      <c r="F1526" s="3" t="s">
        <v>26</v>
      </c>
      <c r="G1526" s="3" t="s">
        <v>1120</v>
      </c>
      <c r="H1526" s="3">
        <v>26</v>
      </c>
      <c r="I1526" s="4">
        <v>110</v>
      </c>
      <c r="J1526" s="5">
        <v>81300</v>
      </c>
      <c r="K1526" s="6">
        <f>$E1526+1</f>
        <v>111</v>
      </c>
      <c r="L1526" s="7">
        <f>IF($J1526=0,0,ROUND(MAX($J1526*1.4,1620000*(1.497923^(MIN($E1526,123)-117)))*1,0))</f>
        <v>113820</v>
      </c>
      <c r="M1526" s="4">
        <f>$E1526+2</f>
        <v>112</v>
      </c>
      <c r="N1526" s="8">
        <f>IF($J1526=0,0,ROUND(MAX($J1526*1.4*1.5,2190000*(1.580994^(MIN($E1526,123)-117)))*1,0))</f>
        <v>170730</v>
      </c>
      <c r="O1526" s="6">
        <f>$E1526+4</f>
        <v>114</v>
      </c>
      <c r="P1526" s="7">
        <f>IF($J1526=0,0,ROUND(MAX($J1526*1.4*1.5*1.6,3500000*(1.57975^(MIN($E1526,123)-117)))*1,0))</f>
        <v>273168</v>
      </c>
      <c r="Q1526" s="4">
        <f>$E1526+6</f>
        <v>116</v>
      </c>
      <c r="R1526" s="8">
        <f>IF($J1526=0,0,ROUND(MAX($J1526*1.4*1.5*1.6*1.6,13100000*(1.429962^(MIN($E1526,123)-117)))*1,0))</f>
        <v>1071519</v>
      </c>
      <c r="S1526" s="6">
        <f>$E1526+8</f>
        <v>118</v>
      </c>
      <c r="T1526" s="7">
        <f>IF($J1526=0,0,ROUND(MAX($J1526*1.4*1.5*1.6*1.6*2.2,42600000*(1.576904^(MIN($E1526,123)-117)))*1,0))</f>
        <v>1757004</v>
      </c>
      <c r="U1526" s="4">
        <f>$E1526+11</f>
        <v>121</v>
      </c>
      <c r="V1526" s="8">
        <f>IF($J1526=0,0,ROUND(MAX($J1526*1.4*1.5*1.6*1.6*2.2*2.715,354000000*(1.642074^(MIN($E1526,123)-117)))*1,0))</f>
        <v>10996493</v>
      </c>
      <c r="W1526" s="6">
        <f>$E1526+15</f>
        <v>125</v>
      </c>
      <c r="X1526" s="7">
        <f>IF($J1526=0,0,ROUND(MAX($J1526*1.4*1.5*1.6*1.6*2.2*2.715*2.6,3540000000*(1.579646^(MIN($E1526,123)-117)))*1,0))</f>
        <v>144239716</v>
      </c>
      <c r="Y1526" s="4">
        <f>$E1526+17</f>
        <v>127</v>
      </c>
      <c r="Z1526" s="8">
        <f>IF($J1526=0,0,ROUND(MAX($J1526*1.4*1.5*1.6*1.6*2.2*2.715*2.6*1.4,6020000000*(1.651178^(MIN($E1526,123)-117)))*1,0))</f>
        <v>179903344</v>
      </c>
      <c r="AA1526" s="6">
        <f>$E1526+19</f>
        <v>129</v>
      </c>
      <c r="AB1526" s="7">
        <f>IF($J1526=0,0,ROUND(MAX($J1526*1.4*1.5*1.6*1.6*2.2*2.715*2.6*1.4*1.4,8430000000*(1.651435^(MIN($E1526,123)-117)))*1,0))</f>
        <v>251650143</v>
      </c>
      <c r="AC1526" s="4">
        <f>$E1526+21</f>
        <v>131</v>
      </c>
      <c r="AD1526" s="8">
        <f>IF($J1526=0,0,ROUND(MAX($J1526*1.4*1.5*1.6*1.6*2.2*2.715*2.6*1.4*1.4*1.5,12600000000*(1.652953^(MIN($E1526,123)-117)))*1,0))</f>
        <v>373720576</v>
      </c>
      <c r="AE1526" s="6">
        <f>$E1526+24</f>
        <v>134</v>
      </c>
      <c r="AF1526" s="7">
        <f>IF($J1526=0,0,ROUND(MAX($J1526*1.4*1.5*1.6*1.6*2.2*2.715*2.6*1.4*1.4*1.5*1.5,18900000000*(1.65331^(MIN($E1526,123)-117)))*1,0))</f>
        <v>559734088</v>
      </c>
      <c r="AG1526" s="4">
        <f>$E1526+27</f>
        <v>137</v>
      </c>
      <c r="AH1526" s="8">
        <f>IF($J1526=0,0,ROUND(MAX($J1526*1.4*1.5*1.6*1.6*2.2*2.715*2.6*1.4*1.4*1.5*1.5*3.2,60500000000*(1.654288^(MIN($E1526,123)-117)))*1,0))</f>
        <v>1784339701</v>
      </c>
    </row>
    <row r="1527" ht="27.75" customHeight="1" spans="1:34" x14ac:dyDescent="0.25">
      <c r="A1527" s="3">
        <v>1537</v>
      </c>
      <c r="B1527" s="3" t="s">
        <v>152</v>
      </c>
      <c r="C1527" s="3" t="s">
        <v>1119</v>
      </c>
      <c r="D1527" s="3" t="s">
        <v>29</v>
      </c>
      <c r="E1527" s="3">
        <v>110</v>
      </c>
      <c r="F1527" s="3" t="s">
        <v>71</v>
      </c>
      <c r="G1527" s="3" t="s">
        <v>1120</v>
      </c>
      <c r="H1527" s="3">
        <v>26</v>
      </c>
      <c r="I1527" s="4">
        <v>110</v>
      </c>
      <c r="J1527" s="5">
        <v>103000</v>
      </c>
      <c r="K1527" s="6">
        <f>$E1527+1</f>
        <v>111</v>
      </c>
      <c r="L1527" s="7">
        <f>IF($J1527=0,0,ROUND(MAX($J1527*1.4,1620000*(1.497923^(MIN($E1527,123)-117)))*1,0))</f>
        <v>144200</v>
      </c>
      <c r="M1527" s="4">
        <f>$E1527+2</f>
        <v>112</v>
      </c>
      <c r="N1527" s="8">
        <f>IF($J1527=0,0,ROUND(MAX($J1527*1.4*1.5,2190000*(1.580994^(MIN($E1527,123)-117)))*1,0))</f>
        <v>216300</v>
      </c>
      <c r="O1527" s="6">
        <f>$E1527+4</f>
        <v>114</v>
      </c>
      <c r="P1527" s="7">
        <f>IF($J1527=0,0,ROUND(MAX($J1527*1.4*1.5*1.6,3500000*(1.57975^(MIN($E1527,123)-117)))*1,0))</f>
        <v>346080</v>
      </c>
      <c r="Q1527" s="4">
        <f>$E1527+6</f>
        <v>116</v>
      </c>
      <c r="R1527" s="8">
        <f>IF($J1527=0,0,ROUND(MAX($J1527*1.4*1.5*1.6*1.6,13100000*(1.429962^(MIN($E1527,123)-117)))*1,0))</f>
        <v>1071519</v>
      </c>
      <c r="S1527" s="6">
        <f>$E1527+8</f>
        <v>118</v>
      </c>
      <c r="T1527" s="7">
        <f>IF($J1527=0,0,ROUND(MAX($J1527*1.4*1.5*1.6*1.6*2.2,42600000*(1.576904^(MIN($E1527,123)-117)))*1,0))</f>
        <v>1757004</v>
      </c>
      <c r="U1527" s="4">
        <f>$E1527+11</f>
        <v>121</v>
      </c>
      <c r="V1527" s="8">
        <f>IF($J1527=0,0,ROUND(MAX($J1527*1.4*1.5*1.6*1.6*2.2*2.715,354000000*(1.642074^(MIN($E1527,123)-117)))*1,0))</f>
        <v>10996493</v>
      </c>
      <c r="W1527" s="6">
        <f>$E1527+15</f>
        <v>125</v>
      </c>
      <c r="X1527" s="7">
        <f>IF($J1527=0,0,ROUND(MAX($J1527*1.4*1.5*1.6*1.6*2.2*2.715*2.6,3540000000*(1.579646^(MIN($E1527,123)-117)))*1,0))</f>
        <v>144239716</v>
      </c>
      <c r="Y1527" s="4">
        <f>$E1527+17</f>
        <v>127</v>
      </c>
      <c r="Z1527" s="8">
        <f>IF($J1527=0,0,ROUND(MAX($J1527*1.4*1.5*1.6*1.6*2.2*2.715*2.6*1.4,6020000000*(1.651178^(MIN($E1527,123)-117)))*1,0))</f>
        <v>179903344</v>
      </c>
      <c r="AA1527" s="6">
        <f>$E1527+19</f>
        <v>129</v>
      </c>
      <c r="AB1527" s="7">
        <f>IF($J1527=0,0,ROUND(MAX($J1527*1.4*1.5*1.6*1.6*2.2*2.715*2.6*1.4*1.4,8430000000*(1.651435^(MIN($E1527,123)-117)))*1,0))</f>
        <v>251650143</v>
      </c>
      <c r="AC1527" s="4">
        <f>$E1527+21</f>
        <v>131</v>
      </c>
      <c r="AD1527" s="8">
        <f>IF($J1527=0,0,ROUND(MAX($J1527*1.4*1.5*1.6*1.6*2.2*2.715*2.6*1.4*1.4*1.5,12600000000*(1.652953^(MIN($E1527,123)-117)))*1,0))</f>
        <v>373720576</v>
      </c>
      <c r="AE1527" s="6">
        <f>$E1527+24</f>
        <v>134</v>
      </c>
      <c r="AF1527" s="7">
        <f>IF($J1527=0,0,ROUND(MAX($J1527*1.4*1.5*1.6*1.6*2.2*2.715*2.6*1.4*1.4*1.5*1.5,18900000000*(1.65331^(MIN($E1527,123)-117)))*1,0))</f>
        <v>559734088</v>
      </c>
      <c r="AG1527" s="4">
        <f>$E1527+27</f>
        <v>137</v>
      </c>
      <c r="AH1527" s="8">
        <f>IF($J1527=0,0,ROUND(MAX($J1527*1.4*1.5*1.6*1.6*2.2*2.715*2.6*1.4*1.4*1.5*1.5*3.2,60500000000*(1.654288^(MIN($E1527,123)-117)))*1,0))</f>
        <v>1784339701</v>
      </c>
    </row>
    <row r="1528" ht="27.75" customHeight="1" spans="1:34" x14ac:dyDescent="0.25">
      <c r="A1528" s="3">
        <v>1538</v>
      </c>
      <c r="B1528" s="3" t="s">
        <v>148</v>
      </c>
      <c r="C1528" s="3" t="s">
        <v>1119</v>
      </c>
      <c r="D1528" s="3" t="s">
        <v>102</v>
      </c>
      <c r="E1528" s="3">
        <v>110</v>
      </c>
      <c r="F1528" s="3" t="s">
        <v>54</v>
      </c>
      <c r="G1528" s="3" t="s">
        <v>1120</v>
      </c>
      <c r="H1528" s="3">
        <v>26</v>
      </c>
      <c r="I1528" s="4">
        <v>110</v>
      </c>
      <c r="J1528" s="5">
        <v>94600</v>
      </c>
      <c r="K1528" s="6">
        <f>$E1528+1</f>
        <v>111</v>
      </c>
      <c r="L1528" s="7">
        <f>IF($J1528=0,0,ROUND(MAX($J1528*1.4,1620000*(1.497923^(MIN($E1528,123)-117)))*1,0))</f>
        <v>132440</v>
      </c>
      <c r="M1528" s="4">
        <f>$E1528+2</f>
        <v>112</v>
      </c>
      <c r="N1528" s="8">
        <f>IF($J1528=0,0,ROUND(MAX($J1528*1.4*1.5,2190000*(1.580994^(MIN($E1528,123)-117)))*1,0))</f>
        <v>198660</v>
      </c>
      <c r="O1528" s="6">
        <f>$E1528+4</f>
        <v>114</v>
      </c>
      <c r="P1528" s="7">
        <f>IF($J1528=0,0,ROUND(MAX($J1528*1.4*1.5*1.6,3500000*(1.57975^(MIN($E1528,123)-117)))*1,0))</f>
        <v>317856</v>
      </c>
      <c r="Q1528" s="4">
        <f>$E1528+6</f>
        <v>116</v>
      </c>
      <c r="R1528" s="8">
        <f>IF($J1528=0,0,ROUND(MAX($J1528*1.4*1.5*1.6*1.6,13100000*(1.429962^(MIN($E1528,123)-117)))*1,0))</f>
        <v>1071519</v>
      </c>
      <c r="S1528" s="6">
        <f>$E1528+8</f>
        <v>118</v>
      </c>
      <c r="T1528" s="7">
        <f>IF($J1528=0,0,ROUND(MAX($J1528*1.4*1.5*1.6*1.6*2.2,42600000*(1.576904^(MIN($E1528,123)-117)))*1,0))</f>
        <v>1757004</v>
      </c>
      <c r="U1528" s="4">
        <f>$E1528+11</f>
        <v>121</v>
      </c>
      <c r="V1528" s="8">
        <f>IF($J1528=0,0,ROUND(MAX($J1528*1.4*1.5*1.6*1.6*2.2*2.715,354000000*(1.642074^(MIN($E1528,123)-117)))*1,0))</f>
        <v>10996493</v>
      </c>
      <c r="W1528" s="6">
        <f>$E1528+15</f>
        <v>125</v>
      </c>
      <c r="X1528" s="7">
        <f>IF($J1528=0,0,ROUND(MAX($J1528*1.4*1.5*1.6*1.6*2.2*2.715*2.6,3540000000*(1.579646^(MIN($E1528,123)-117)))*1,0))</f>
        <v>144239716</v>
      </c>
      <c r="Y1528" s="4">
        <f>$E1528+17</f>
        <v>127</v>
      </c>
      <c r="Z1528" s="8">
        <f>IF($J1528=0,0,ROUND(MAX($J1528*1.4*1.5*1.6*1.6*2.2*2.715*2.6*1.4,6020000000*(1.651178^(MIN($E1528,123)-117)))*1,0))</f>
        <v>179903344</v>
      </c>
      <c r="AA1528" s="6">
        <f>$E1528+19</f>
        <v>129</v>
      </c>
      <c r="AB1528" s="7">
        <f>IF($J1528=0,0,ROUND(MAX($J1528*1.4*1.5*1.6*1.6*2.2*2.715*2.6*1.4*1.4,8430000000*(1.651435^(MIN($E1528,123)-117)))*1,0))</f>
        <v>251650143</v>
      </c>
      <c r="AC1528" s="4">
        <f>$E1528+21</f>
        <v>131</v>
      </c>
      <c r="AD1528" s="8">
        <f>IF($J1528=0,0,ROUND(MAX($J1528*1.4*1.5*1.6*1.6*2.2*2.715*2.6*1.4*1.4*1.5,12600000000*(1.652953^(MIN($E1528,123)-117)))*1,0))</f>
        <v>373720576</v>
      </c>
      <c r="AE1528" s="6">
        <f>$E1528+24</f>
        <v>134</v>
      </c>
      <c r="AF1528" s="7">
        <f>IF($J1528=0,0,ROUND(MAX($J1528*1.4*1.5*1.6*1.6*2.2*2.715*2.6*1.4*1.4*1.5*1.5,18900000000*(1.65331^(MIN($E1528,123)-117)))*1,0))</f>
        <v>559734088</v>
      </c>
      <c r="AG1528" s="4">
        <f>$E1528+27</f>
        <v>137</v>
      </c>
      <c r="AH1528" s="8">
        <f>IF($J1528=0,0,ROUND(MAX($J1528*1.4*1.5*1.6*1.6*2.2*2.715*2.6*1.4*1.4*1.5*1.5*3.2,60500000000*(1.654288^(MIN($E1528,123)-117)))*1,0))</f>
        <v>1784339701</v>
      </c>
    </row>
    <row r="1529" ht="27.75" customHeight="1" spans="1:34" x14ac:dyDescent="0.25">
      <c r="A1529" s="3">
        <v>1539</v>
      </c>
      <c r="B1529" s="3" t="s">
        <v>114</v>
      </c>
      <c r="C1529" s="3" t="s">
        <v>1119</v>
      </c>
      <c r="D1529" s="3" t="s">
        <v>75</v>
      </c>
      <c r="E1529" s="3">
        <v>110</v>
      </c>
      <c r="F1529" s="3" t="s">
        <v>30</v>
      </c>
      <c r="G1529" s="3" t="s">
        <v>1120</v>
      </c>
      <c r="H1529" s="3">
        <v>26</v>
      </c>
      <c r="I1529" s="4">
        <v>110</v>
      </c>
      <c r="J1529" s="5">
        <v>103000</v>
      </c>
      <c r="K1529" s="6">
        <f>$E1529+1</f>
        <v>111</v>
      </c>
      <c r="L1529" s="7">
        <f>IF($J1529=0,0,ROUND(MAX($J1529*1.4,1620000*(1.497923^(MIN($E1529,123)-117)))*1,0))</f>
        <v>144200</v>
      </c>
      <c r="M1529" s="4">
        <f>$E1529+2</f>
        <v>112</v>
      </c>
      <c r="N1529" s="8">
        <f>IF($J1529=0,0,ROUND(MAX($J1529*1.4*1.5,2190000*(1.580994^(MIN($E1529,123)-117)))*1,0))</f>
        <v>216300</v>
      </c>
      <c r="O1529" s="6">
        <f>$E1529+4</f>
        <v>114</v>
      </c>
      <c r="P1529" s="7">
        <f>IF($J1529=0,0,ROUND(MAX($J1529*1.4*1.5*1.6,3500000*(1.57975^(MIN($E1529,123)-117)))*1,0))</f>
        <v>346080</v>
      </c>
      <c r="Q1529" s="4">
        <f>$E1529+6</f>
        <v>116</v>
      </c>
      <c r="R1529" s="8">
        <f>IF($J1529=0,0,ROUND(MAX($J1529*1.4*1.5*1.6*1.6,13100000*(1.429962^(MIN($E1529,123)-117)))*1,0))</f>
        <v>1071519</v>
      </c>
      <c r="S1529" s="6">
        <f>$E1529+8</f>
        <v>118</v>
      </c>
      <c r="T1529" s="7">
        <f>IF($J1529=0,0,ROUND(MAX($J1529*1.4*1.5*1.6*1.6*2.2,42600000*(1.576904^(MIN($E1529,123)-117)))*1,0))</f>
        <v>1757004</v>
      </c>
      <c r="U1529" s="4">
        <f>$E1529+11</f>
        <v>121</v>
      </c>
      <c r="V1529" s="8">
        <f>IF($J1529=0,0,ROUND(MAX($J1529*1.4*1.5*1.6*1.6*2.2*2.715,354000000*(1.642074^(MIN($E1529,123)-117)))*1,0))</f>
        <v>10996493</v>
      </c>
      <c r="W1529" s="6">
        <f>$E1529+15</f>
        <v>125</v>
      </c>
      <c r="X1529" s="7">
        <f>IF($J1529=0,0,ROUND(MAX($J1529*1.4*1.5*1.6*1.6*2.2*2.715*2.6,3540000000*(1.579646^(MIN($E1529,123)-117)))*1,0))</f>
        <v>144239716</v>
      </c>
      <c r="Y1529" s="4">
        <f>$E1529+17</f>
        <v>127</v>
      </c>
      <c r="Z1529" s="8">
        <f>IF($J1529=0,0,ROUND(MAX($J1529*1.4*1.5*1.6*1.6*2.2*2.715*2.6*1.4,6020000000*(1.651178^(MIN($E1529,123)-117)))*1,0))</f>
        <v>179903344</v>
      </c>
      <c r="AA1529" s="6">
        <f>$E1529+19</f>
        <v>129</v>
      </c>
      <c r="AB1529" s="7">
        <f>IF($J1529=0,0,ROUND(MAX($J1529*1.4*1.5*1.6*1.6*2.2*2.715*2.6*1.4*1.4,8430000000*(1.651435^(MIN($E1529,123)-117)))*1,0))</f>
        <v>251650143</v>
      </c>
      <c r="AC1529" s="4">
        <f>$E1529+21</f>
        <v>131</v>
      </c>
      <c r="AD1529" s="8">
        <f>IF($J1529=0,0,ROUND(MAX($J1529*1.4*1.5*1.6*1.6*2.2*2.715*2.6*1.4*1.4*1.5,12600000000*(1.652953^(MIN($E1529,123)-117)))*1,0))</f>
        <v>373720576</v>
      </c>
      <c r="AE1529" s="6">
        <f>$E1529+24</f>
        <v>134</v>
      </c>
      <c r="AF1529" s="7">
        <f>IF($J1529=0,0,ROUND(MAX($J1529*1.4*1.5*1.6*1.6*2.2*2.715*2.6*1.4*1.4*1.5*1.5,18900000000*(1.65331^(MIN($E1529,123)-117)))*1,0))</f>
        <v>559734088</v>
      </c>
      <c r="AG1529" s="4">
        <f>$E1529+27</f>
        <v>137</v>
      </c>
      <c r="AH1529" s="8">
        <f>IF($J1529=0,0,ROUND(MAX($J1529*1.4*1.5*1.6*1.6*2.2*2.715*2.6*1.4*1.4*1.5*1.5*3.2,60500000000*(1.654288^(MIN($E1529,123)-117)))*1,0))</f>
        <v>1784339701</v>
      </c>
    </row>
    <row r="1530" ht="27.75" customHeight="1" spans="1:34" x14ac:dyDescent="0.25">
      <c r="A1530" s="3">
        <v>1540</v>
      </c>
      <c r="B1530" s="3" t="s">
        <v>567</v>
      </c>
      <c r="C1530" s="3" t="s">
        <v>1119</v>
      </c>
      <c r="D1530" s="3" t="s">
        <v>33</v>
      </c>
      <c r="E1530" s="3">
        <v>110</v>
      </c>
      <c r="F1530" s="3" t="s">
        <v>30</v>
      </c>
      <c r="G1530" s="3" t="s">
        <v>354</v>
      </c>
      <c r="H1530" s="3">
        <v>25</v>
      </c>
      <c r="I1530" s="4">
        <v>110</v>
      </c>
      <c r="J1530" s="5">
        <v>71600</v>
      </c>
      <c r="K1530" s="6">
        <f>$E1530+1</f>
        <v>111</v>
      </c>
      <c r="L1530" s="7">
        <f>IF($J1530=0,0,ROUND(MAX($J1530*1.4,1620000*(1.497923^(MIN($E1530,123)-117)))*1,0))</f>
        <v>100240</v>
      </c>
      <c r="M1530" s="4">
        <f>$E1530+2</f>
        <v>112</v>
      </c>
      <c r="N1530" s="8">
        <f>IF($J1530=0,0,ROUND(MAX($J1530*1.4*1.5,2190000*(1.580994^(MIN($E1530,123)-117)))*1,0))</f>
        <v>150360</v>
      </c>
      <c r="O1530" s="6">
        <f>$E1530+4</f>
        <v>114</v>
      </c>
      <c r="P1530" s="7">
        <f>IF($J1530=0,0,ROUND(MAX($J1530*1.4*1.5*1.6,3500000*(1.57975^(MIN($E1530,123)-117)))*1,0))</f>
        <v>240576</v>
      </c>
      <c r="Q1530" s="4">
        <f>$E1530+6</f>
        <v>116</v>
      </c>
      <c r="R1530" s="8">
        <f>IF($J1530=0,0,ROUND(MAX($J1530*1.4*1.5*1.6*1.6,13100000*(1.429962^(MIN($E1530,123)-117)))*1,0))</f>
        <v>1071519</v>
      </c>
      <c r="S1530" s="6">
        <f>$E1530+8</f>
        <v>118</v>
      </c>
      <c r="T1530" s="7">
        <f>IF($J1530=0,0,ROUND(MAX($J1530*1.4*1.5*1.6*1.6*2.2,42600000*(1.576904^(MIN($E1530,123)-117)))*1,0))</f>
        <v>1757004</v>
      </c>
      <c r="U1530" s="4">
        <f>$E1530+11</f>
        <v>121</v>
      </c>
      <c r="V1530" s="8">
        <f>IF($J1530=0,0,ROUND(MAX($J1530*1.4*1.5*1.6*1.6*2.2*2.715,354000000*(1.642074^(MIN($E1530,123)-117)))*1,0))</f>
        <v>10996493</v>
      </c>
      <c r="W1530" s="6">
        <f>$E1530+15</f>
        <v>125</v>
      </c>
      <c r="X1530" s="7">
        <f>IF($J1530=0,0,ROUND(MAX($J1530*1.4*1.5*1.6*1.6*2.2*2.715*2.6,3540000000*(1.579646^(MIN($E1530,123)-117)))*1,0))</f>
        <v>144239716</v>
      </c>
      <c r="Y1530" s="4">
        <f>$E1530+17</f>
        <v>127</v>
      </c>
      <c r="Z1530" s="8">
        <f>IF($J1530=0,0,ROUND(MAX($J1530*1.4*1.5*1.6*1.6*2.2*2.715*2.6*1.4,6020000000*(1.651178^(MIN($E1530,123)-117)))*1,0))</f>
        <v>179903344</v>
      </c>
      <c r="AA1530" s="6">
        <f>$E1530+19</f>
        <v>129</v>
      </c>
      <c r="AB1530" s="7">
        <f>IF($J1530=0,0,ROUND(MAX($J1530*1.4*1.5*1.6*1.6*2.2*2.715*2.6*1.4*1.4,8430000000*(1.651435^(MIN($E1530,123)-117)))*1,0))</f>
        <v>251650143</v>
      </c>
      <c r="AC1530" s="4">
        <f>$E1530+21</f>
        <v>131</v>
      </c>
      <c r="AD1530" s="8">
        <f>IF($J1530=0,0,ROUND(MAX($J1530*1.4*1.5*1.6*1.6*2.2*2.715*2.6*1.4*1.4*1.5,12600000000*(1.652953^(MIN($E1530,123)-117)))*1,0))</f>
        <v>373720576</v>
      </c>
      <c r="AE1530" s="6">
        <f>$E1530+24</f>
        <v>134</v>
      </c>
      <c r="AF1530" s="7">
        <f>IF($J1530=0,0,ROUND(MAX($J1530*1.4*1.5*1.6*1.6*2.2*2.715*2.6*1.4*1.4*1.5*1.5,18900000000*(1.65331^(MIN($E1530,123)-117)))*1,0))</f>
        <v>559734088</v>
      </c>
      <c r="AG1530" s="4">
        <f>$E1530+27</f>
        <v>137</v>
      </c>
      <c r="AH1530" s="8">
        <f>IF($J1530=0,0,ROUND(MAX($J1530*1.4*1.5*1.6*1.6*2.2*2.715*2.6*1.4*1.4*1.5*1.5*3.2,60500000000*(1.654288^(MIN($E1530,123)-117)))*1,0))</f>
        <v>1784339701</v>
      </c>
    </row>
    <row r="1531" ht="27.75" customHeight="1" spans="1:34" x14ac:dyDescent="0.25">
      <c r="A1531" s="3">
        <v>1541</v>
      </c>
      <c r="B1531" s="3" t="s">
        <v>155</v>
      </c>
      <c r="C1531" s="3" t="s">
        <v>1119</v>
      </c>
      <c r="D1531" s="3" t="s">
        <v>102</v>
      </c>
      <c r="E1531" s="3">
        <v>110</v>
      </c>
      <c r="F1531" s="3" t="s">
        <v>71</v>
      </c>
      <c r="G1531" s="3" t="s">
        <v>1120</v>
      </c>
      <c r="H1531" s="3">
        <v>25</v>
      </c>
      <c r="I1531" s="4">
        <v>110</v>
      </c>
      <c r="J1531" s="5">
        <v>81300</v>
      </c>
      <c r="K1531" s="6">
        <f>$E1531+1</f>
        <v>111</v>
      </c>
      <c r="L1531" s="7">
        <f>IF($J1531=0,0,ROUND(MAX($J1531*1.4,1620000*(1.497923^(MIN($E1531,123)-117)))*1,0))</f>
        <v>113820</v>
      </c>
      <c r="M1531" s="4">
        <f>$E1531+2</f>
        <v>112</v>
      </c>
      <c r="N1531" s="8">
        <f>IF($J1531=0,0,ROUND(MAX($J1531*1.4*1.5,2190000*(1.580994^(MIN($E1531,123)-117)))*1,0))</f>
        <v>170730</v>
      </c>
      <c r="O1531" s="6">
        <f>$E1531+4</f>
        <v>114</v>
      </c>
      <c r="P1531" s="7">
        <f>IF($J1531=0,0,ROUND(MAX($J1531*1.4*1.5*1.6,3500000*(1.57975^(MIN($E1531,123)-117)))*1,0))</f>
        <v>273168</v>
      </c>
      <c r="Q1531" s="4">
        <f>$E1531+6</f>
        <v>116</v>
      </c>
      <c r="R1531" s="8">
        <f>IF($J1531=0,0,ROUND(MAX($J1531*1.4*1.5*1.6*1.6,13100000*(1.429962^(MIN($E1531,123)-117)))*1,0))</f>
        <v>1071519</v>
      </c>
      <c r="S1531" s="6">
        <f>$E1531+8</f>
        <v>118</v>
      </c>
      <c r="T1531" s="7">
        <f>IF($J1531=0,0,ROUND(MAX($J1531*1.4*1.5*1.6*1.6*2.2,42600000*(1.576904^(MIN($E1531,123)-117)))*1,0))</f>
        <v>1757004</v>
      </c>
      <c r="U1531" s="4">
        <f>$E1531+11</f>
        <v>121</v>
      </c>
      <c r="V1531" s="8">
        <f>IF($J1531=0,0,ROUND(MAX($J1531*1.4*1.5*1.6*1.6*2.2*2.715,354000000*(1.642074^(MIN($E1531,123)-117)))*1,0))</f>
        <v>10996493</v>
      </c>
      <c r="W1531" s="6">
        <f>$E1531+15</f>
        <v>125</v>
      </c>
      <c r="X1531" s="7">
        <f>IF($J1531=0,0,ROUND(MAX($J1531*1.4*1.5*1.6*1.6*2.2*2.715*2.6,3540000000*(1.579646^(MIN($E1531,123)-117)))*1,0))</f>
        <v>144239716</v>
      </c>
      <c r="Y1531" s="4">
        <f>$E1531+17</f>
        <v>127</v>
      </c>
      <c r="Z1531" s="8">
        <f>IF($J1531=0,0,ROUND(MAX($J1531*1.4*1.5*1.6*1.6*2.2*2.715*2.6*1.4,6020000000*(1.651178^(MIN($E1531,123)-117)))*1,0))</f>
        <v>179903344</v>
      </c>
      <c r="AA1531" s="6">
        <f>$E1531+19</f>
        <v>129</v>
      </c>
      <c r="AB1531" s="7">
        <f>IF($J1531=0,0,ROUND(MAX($J1531*1.4*1.5*1.6*1.6*2.2*2.715*2.6*1.4*1.4,8430000000*(1.651435^(MIN($E1531,123)-117)))*1,0))</f>
        <v>251650143</v>
      </c>
      <c r="AC1531" s="4">
        <f>$E1531+21</f>
        <v>131</v>
      </c>
      <c r="AD1531" s="8">
        <f>IF($J1531=0,0,ROUND(MAX($J1531*1.4*1.5*1.6*1.6*2.2*2.715*2.6*1.4*1.4*1.5,12600000000*(1.652953^(MIN($E1531,123)-117)))*1,0))</f>
        <v>373720576</v>
      </c>
      <c r="AE1531" s="6">
        <f>$E1531+24</f>
        <v>134</v>
      </c>
      <c r="AF1531" s="7">
        <f>IF($J1531=0,0,ROUND(MAX($J1531*1.4*1.5*1.6*1.6*2.2*2.715*2.6*1.4*1.4*1.5*1.5,18900000000*(1.65331^(MIN($E1531,123)-117)))*1,0))</f>
        <v>559734088</v>
      </c>
      <c r="AG1531" s="4">
        <f>$E1531+27</f>
        <v>137</v>
      </c>
      <c r="AH1531" s="8">
        <f>IF($J1531=0,0,ROUND(MAX($J1531*1.4*1.5*1.6*1.6*2.2*2.715*2.6*1.4*1.4*1.5*1.5*3.2,60500000000*(1.654288^(MIN($E1531,123)-117)))*1,0))</f>
        <v>1784339701</v>
      </c>
    </row>
    <row r="1532" ht="27.75" customHeight="1" spans="1:34" x14ac:dyDescent="0.25">
      <c r="A1532" s="3">
        <v>1542</v>
      </c>
      <c r="B1532" s="3" t="s">
        <v>89</v>
      </c>
      <c r="C1532" s="3" t="s">
        <v>1119</v>
      </c>
      <c r="D1532" s="3" t="s">
        <v>90</v>
      </c>
      <c r="E1532" s="3">
        <v>110</v>
      </c>
      <c r="F1532" s="3" t="s">
        <v>30</v>
      </c>
      <c r="G1532" s="3" t="s">
        <v>1120</v>
      </c>
      <c r="H1532" s="3">
        <v>25</v>
      </c>
      <c r="I1532" s="4">
        <v>110</v>
      </c>
      <c r="J1532" s="5">
        <v>90300</v>
      </c>
      <c r="K1532" s="6">
        <f>$E1532+1</f>
        <v>111</v>
      </c>
      <c r="L1532" s="7">
        <f>IF($J1532=0,0,ROUND(MAX($J1532*1.4,1620000*(1.497923^(MIN($E1532,123)-117)))*1,0))</f>
        <v>126420</v>
      </c>
      <c r="M1532" s="4">
        <f>$E1532+2</f>
        <v>112</v>
      </c>
      <c r="N1532" s="8">
        <f>IF($J1532=0,0,ROUND(MAX($J1532*1.4*1.5,2190000*(1.580994^(MIN($E1532,123)-117)))*1,0))</f>
        <v>189630</v>
      </c>
      <c r="O1532" s="6">
        <f>$E1532+4</f>
        <v>114</v>
      </c>
      <c r="P1532" s="7">
        <f>IF($J1532=0,0,ROUND(MAX($J1532*1.4*1.5*1.6,3500000*(1.57975^(MIN($E1532,123)-117)))*1,0))</f>
        <v>303408</v>
      </c>
      <c r="Q1532" s="4">
        <f>$E1532+6</f>
        <v>116</v>
      </c>
      <c r="R1532" s="8">
        <f>IF($J1532=0,0,ROUND(MAX($J1532*1.4*1.5*1.6*1.6,13100000*(1.429962^(MIN($E1532,123)-117)))*1,0))</f>
        <v>1071519</v>
      </c>
      <c r="S1532" s="6">
        <f>$E1532+8</f>
        <v>118</v>
      </c>
      <c r="T1532" s="7">
        <f>IF($J1532=0,0,ROUND(MAX($J1532*1.4*1.5*1.6*1.6*2.2,42600000*(1.576904^(MIN($E1532,123)-117)))*1,0))</f>
        <v>1757004</v>
      </c>
      <c r="U1532" s="4">
        <f>$E1532+11</f>
        <v>121</v>
      </c>
      <c r="V1532" s="8">
        <f>IF($J1532=0,0,ROUND(MAX($J1532*1.4*1.5*1.6*1.6*2.2*2.715,354000000*(1.642074^(MIN($E1532,123)-117)))*1,0))</f>
        <v>10996493</v>
      </c>
      <c r="W1532" s="6">
        <f>$E1532+15</f>
        <v>125</v>
      </c>
      <c r="X1532" s="7">
        <f>IF($J1532=0,0,ROUND(MAX($J1532*1.4*1.5*1.6*1.6*2.2*2.715*2.6,3540000000*(1.579646^(MIN($E1532,123)-117)))*1,0))</f>
        <v>144239716</v>
      </c>
      <c r="Y1532" s="4">
        <f>$E1532+17</f>
        <v>127</v>
      </c>
      <c r="Z1532" s="8">
        <f>IF($J1532=0,0,ROUND(MAX($J1532*1.4*1.5*1.6*1.6*2.2*2.715*2.6*1.4,6020000000*(1.651178^(MIN($E1532,123)-117)))*1,0))</f>
        <v>179903344</v>
      </c>
      <c r="AA1532" s="6">
        <f>$E1532+19</f>
        <v>129</v>
      </c>
      <c r="AB1532" s="7">
        <f>IF($J1532=0,0,ROUND(MAX($J1532*1.4*1.5*1.6*1.6*2.2*2.715*2.6*1.4*1.4,8430000000*(1.651435^(MIN($E1532,123)-117)))*1,0))</f>
        <v>251650143</v>
      </c>
      <c r="AC1532" s="4">
        <f>$E1532+21</f>
        <v>131</v>
      </c>
      <c r="AD1532" s="8">
        <f>IF($J1532=0,0,ROUND(MAX($J1532*1.4*1.5*1.6*1.6*2.2*2.715*2.6*1.4*1.4*1.5,12600000000*(1.652953^(MIN($E1532,123)-117)))*1,0))</f>
        <v>373720576</v>
      </c>
      <c r="AE1532" s="6">
        <f>$E1532+24</f>
        <v>134</v>
      </c>
      <c r="AF1532" s="7">
        <f>IF($J1532=0,0,ROUND(MAX($J1532*1.4*1.5*1.6*1.6*2.2*2.715*2.6*1.4*1.4*1.5*1.5,18900000000*(1.65331^(MIN($E1532,123)-117)))*1,0))</f>
        <v>559734088</v>
      </c>
      <c r="AG1532" s="4">
        <f>$E1532+27</f>
        <v>137</v>
      </c>
      <c r="AH1532" s="8">
        <f>IF($J1532=0,0,ROUND(MAX($J1532*1.4*1.5*1.6*1.6*2.2*2.715*2.6*1.4*1.4*1.5*1.5*3.2,60500000000*(1.654288^(MIN($E1532,123)-117)))*1,0))</f>
        <v>1784339701</v>
      </c>
    </row>
    <row r="1533" ht="27.75" customHeight="1" spans="1:34" x14ac:dyDescent="0.25">
      <c r="A1533" s="3">
        <v>1543</v>
      </c>
      <c r="B1533" s="3" t="s">
        <v>145</v>
      </c>
      <c r="C1533" s="3" t="s">
        <v>1119</v>
      </c>
      <c r="D1533" s="3" t="s">
        <v>47</v>
      </c>
      <c r="E1533" s="3">
        <v>110</v>
      </c>
      <c r="F1533" s="3" t="s">
        <v>146</v>
      </c>
      <c r="G1533" s="3" t="s">
        <v>1120</v>
      </c>
      <c r="H1533" s="3">
        <v>23</v>
      </c>
      <c r="I1533" s="4">
        <v>110</v>
      </c>
      <c r="J1533" s="5">
        <v>79400</v>
      </c>
      <c r="K1533" s="6">
        <f>$E1533+1</f>
        <v>111</v>
      </c>
      <c r="L1533" s="7">
        <f>IF($J1533=0,0,ROUND(MAX($J1533*1.4,1620000*(1.497923^(MIN($E1533,123)-117)))*1,0))</f>
        <v>111160</v>
      </c>
      <c r="M1533" s="4">
        <f>$E1533+2</f>
        <v>112</v>
      </c>
      <c r="N1533" s="8">
        <f>IF($J1533=0,0,ROUND(MAX($J1533*1.4*1.5,2190000*(1.580994^(MIN($E1533,123)-117)))*1,0))</f>
        <v>166740</v>
      </c>
      <c r="O1533" s="6">
        <f>$E1533+4</f>
        <v>114</v>
      </c>
      <c r="P1533" s="7">
        <f>IF($J1533=0,0,ROUND(MAX($J1533*1.4*1.5*1.6,3500000*(1.57975^(MIN($E1533,123)-117)))*1,0))</f>
        <v>266784</v>
      </c>
      <c r="Q1533" s="4">
        <f>$E1533+6</f>
        <v>116</v>
      </c>
      <c r="R1533" s="8">
        <f>IF($J1533=0,0,ROUND(MAX($J1533*1.4*1.5*1.6*1.6,13100000*(1.429962^(MIN($E1533,123)-117)))*1,0))</f>
        <v>1071519</v>
      </c>
      <c r="S1533" s="6">
        <f>$E1533+8</f>
        <v>118</v>
      </c>
      <c r="T1533" s="7">
        <f>IF($J1533=0,0,ROUND(MAX($J1533*1.4*1.5*1.6*1.6*2.2,42600000*(1.576904^(MIN($E1533,123)-117)))*1,0))</f>
        <v>1757004</v>
      </c>
      <c r="U1533" s="4">
        <f>$E1533+11</f>
        <v>121</v>
      </c>
      <c r="V1533" s="8">
        <f>IF($J1533=0,0,ROUND(MAX($J1533*1.4*1.5*1.6*1.6*2.2*2.715,354000000*(1.642074^(MIN($E1533,123)-117)))*1,0))</f>
        <v>10996493</v>
      </c>
      <c r="W1533" s="6">
        <f>$E1533+15</f>
        <v>125</v>
      </c>
      <c r="X1533" s="7">
        <f>IF($J1533=0,0,ROUND(MAX($J1533*1.4*1.5*1.6*1.6*2.2*2.715*2.6,3540000000*(1.579646^(MIN($E1533,123)-117)))*1,0))</f>
        <v>144239716</v>
      </c>
      <c r="Y1533" s="4">
        <f>$E1533+17</f>
        <v>127</v>
      </c>
      <c r="Z1533" s="8">
        <f>IF($J1533=0,0,ROUND(MAX($J1533*1.4*1.5*1.6*1.6*2.2*2.715*2.6*1.4,6020000000*(1.651178^(MIN($E1533,123)-117)))*1,0))</f>
        <v>179903344</v>
      </c>
      <c r="AA1533" s="6">
        <f>$E1533+19</f>
        <v>129</v>
      </c>
      <c r="AB1533" s="7">
        <f>IF($J1533=0,0,ROUND(MAX($J1533*1.4*1.5*1.6*1.6*2.2*2.715*2.6*1.4*1.4,8430000000*(1.651435^(MIN($E1533,123)-117)))*1,0))</f>
        <v>251650143</v>
      </c>
      <c r="AC1533" s="4">
        <f>$E1533+21</f>
        <v>131</v>
      </c>
      <c r="AD1533" s="8">
        <f>IF($J1533=0,0,ROUND(MAX($J1533*1.4*1.5*1.6*1.6*2.2*2.715*2.6*1.4*1.4*1.5,12600000000*(1.652953^(MIN($E1533,123)-117)))*1,0))</f>
        <v>373720576</v>
      </c>
      <c r="AE1533" s="6">
        <f>$E1533+24</f>
        <v>134</v>
      </c>
      <c r="AF1533" s="7">
        <f>IF($J1533=0,0,ROUND(MAX($J1533*1.4*1.5*1.6*1.6*2.2*2.715*2.6*1.4*1.4*1.5*1.5,18900000000*(1.65331^(MIN($E1533,123)-117)))*1,0))</f>
        <v>559734088</v>
      </c>
      <c r="AG1533" s="4">
        <f>$E1533+27</f>
        <v>137</v>
      </c>
      <c r="AH1533" s="8">
        <f>IF($J1533=0,0,ROUND(MAX($J1533*1.4*1.5*1.6*1.6*2.2*2.715*2.6*1.4*1.4*1.5*1.5*3.2,60500000000*(1.654288^(MIN($E1533,123)-117)))*1,0))</f>
        <v>1784339701</v>
      </c>
    </row>
    <row r="1534" ht="27.75" customHeight="1" spans="1:34" x14ac:dyDescent="0.25">
      <c r="A1534" s="3">
        <v>1544</v>
      </c>
      <c r="B1534" s="3" t="s">
        <v>639</v>
      </c>
      <c r="C1534" s="3" t="s">
        <v>1119</v>
      </c>
      <c r="D1534" s="3" t="s">
        <v>40</v>
      </c>
      <c r="E1534" s="3">
        <v>109</v>
      </c>
      <c r="F1534" s="3" t="s">
        <v>353</v>
      </c>
      <c r="G1534" s="3" t="s">
        <v>72</v>
      </c>
      <c r="H1534" s="3">
        <v>26</v>
      </c>
      <c r="I1534" s="4">
        <v>109</v>
      </c>
      <c r="J1534" s="5">
        <v>91600</v>
      </c>
      <c r="K1534" s="6">
        <f>$E1534+1</f>
        <v>110</v>
      </c>
      <c r="L1534" s="7">
        <f>IF($J1534=0,0,ROUND(MAX($J1534*1.4,1620000*(1.497923^(MIN($E1534,123)-117)))*1,0))</f>
        <v>128240</v>
      </c>
      <c r="M1534" s="4">
        <f>$E1534+2</f>
        <v>111</v>
      </c>
      <c r="N1534" s="8">
        <f>IF($J1534=0,0,ROUND(MAX($J1534*1.4*1.5,2190000*(1.580994^(MIN($E1534,123)-117)))*1,0))</f>
        <v>192360</v>
      </c>
      <c r="O1534" s="6">
        <f>$E1534+4</f>
        <v>113</v>
      </c>
      <c r="P1534" s="7">
        <f>IF($J1534=0,0,ROUND(MAX($J1534*1.4*1.5*1.6,3500000*(1.57975^(MIN($E1534,123)-117)))*1,0))</f>
        <v>307776</v>
      </c>
      <c r="Q1534" s="4">
        <f>$E1534+6</f>
        <v>115</v>
      </c>
      <c r="R1534" s="8">
        <f>IF($J1534=0,0,ROUND(MAX($J1534*1.4*1.5*1.6*1.6,13100000*(1.429962^(MIN($E1534,123)-117)))*1,0))</f>
        <v>749334</v>
      </c>
      <c r="S1534" s="6">
        <f>$E1534+8</f>
        <v>117</v>
      </c>
      <c r="T1534" s="7">
        <f>IF($J1534=0,0,ROUND(MAX($J1534*1.4*1.5*1.6*1.6*2.2,42600000*(1.576904^(MIN($E1534,123)-117)))*1,0))</f>
        <v>1114211</v>
      </c>
      <c r="U1534" s="4">
        <f>$E1534+11</f>
        <v>120</v>
      </c>
      <c r="V1534" s="8">
        <f>IF($J1534=0,0,ROUND(MAX($J1534*1.4*1.5*1.6*1.6*2.2*2.715,354000000*(1.642074^(MIN($E1534,123)-117)))*1,0))</f>
        <v>6696710</v>
      </c>
      <c r="W1534" s="6">
        <f>$E1534+15</f>
        <v>124</v>
      </c>
      <c r="X1534" s="7">
        <f>IF($J1534=0,0,ROUND(MAX($J1534*1.4*1.5*1.6*1.6*2.2*2.715*2.6,3540000000*(1.579646^(MIN($E1534,123)-117)))*1,0))</f>
        <v>91311418</v>
      </c>
      <c r="Y1534" s="4">
        <f>$E1534+17</f>
        <v>126</v>
      </c>
      <c r="Z1534" s="8">
        <f>IF($J1534=0,0,ROUND(MAX($J1534*1.4*1.5*1.6*1.6*2.2*2.715*2.6*1.4,6020000000*(1.651178^(MIN($E1534,123)-117)))*1,0))</f>
        <v>108954543</v>
      </c>
      <c r="AA1534" s="6">
        <f>$E1534+19</f>
        <v>128</v>
      </c>
      <c r="AB1534" s="7">
        <f>IF($J1534=0,0,ROUND(MAX($J1534*1.4*1.5*1.6*1.6*2.2*2.715*2.6*1.4*1.4,8430000000*(1.651435^(MIN($E1534,123)-117)))*1,0))</f>
        <v>152382712</v>
      </c>
      <c r="AC1534" s="4">
        <f>$E1534+21</f>
        <v>130</v>
      </c>
      <c r="AD1534" s="8">
        <f>IF($J1534=0,0,ROUND(MAX($J1534*1.4*1.5*1.6*1.6*2.2*2.715*2.6*1.4*1.4*1.5,12600000000*(1.652953^(MIN($E1534,123)-117)))*1,0))</f>
        <v>226092682</v>
      </c>
      <c r="AE1534" s="6">
        <f>$E1534+24</f>
        <v>133</v>
      </c>
      <c r="AF1534" s="7">
        <f>IF($J1534=0,0,ROUND(MAX($J1534*1.4*1.5*1.6*1.6*2.2*2.715*2.6*1.4*1.4*1.5*1.5,18900000000*(1.65331^(MIN($E1534,123)-117)))*1,0))</f>
        <v>338553621</v>
      </c>
      <c r="AG1534" s="4">
        <f>$E1534+27</f>
        <v>136</v>
      </c>
      <c r="AH1534" s="8">
        <f>IF($J1534=0,0,ROUND(MAX($J1534*1.4*1.5*1.6*1.6*2.2*2.715*2.6*1.4*1.4*1.5*1.5*3.2,60500000000*(1.654288^(MIN($E1534,123)-117)))*1,0))</f>
        <v>1078614909</v>
      </c>
    </row>
    <row r="1535" ht="27.75" customHeight="1" spans="1:34" x14ac:dyDescent="0.25">
      <c r="A1535" s="3">
        <v>1545</v>
      </c>
      <c r="B1535" s="3" t="s">
        <v>1122</v>
      </c>
      <c r="C1535" s="3" t="s">
        <v>1119</v>
      </c>
      <c r="D1535" s="3" t="s">
        <v>79</v>
      </c>
      <c r="E1535" s="3">
        <v>109</v>
      </c>
      <c r="F1535" s="3" t="s">
        <v>212</v>
      </c>
      <c r="G1535" s="3" t="s">
        <v>261</v>
      </c>
      <c r="H1535" s="3">
        <v>26</v>
      </c>
      <c r="I1535" s="4">
        <v>109</v>
      </c>
      <c r="J1535" s="5">
        <v>77800</v>
      </c>
      <c r="K1535" s="6">
        <f>$E1535+1</f>
        <v>110</v>
      </c>
      <c r="L1535" s="7">
        <f>IF($J1535=0,0,ROUND(MAX($J1535*1.4,1620000*(1.497923^(MIN($E1535,123)-117)))*1,0))</f>
        <v>108920</v>
      </c>
      <c r="M1535" s="4">
        <f>$E1535+2</f>
        <v>111</v>
      </c>
      <c r="N1535" s="8">
        <f>IF($J1535=0,0,ROUND(MAX($J1535*1.4*1.5,2190000*(1.580994^(MIN($E1535,123)-117)))*1,0))</f>
        <v>163380</v>
      </c>
      <c r="O1535" s="6">
        <f>$E1535+4</f>
        <v>113</v>
      </c>
      <c r="P1535" s="7">
        <f>IF($J1535=0,0,ROUND(MAX($J1535*1.4*1.5*1.6,3500000*(1.57975^(MIN($E1535,123)-117)))*1,0))</f>
        <v>261408</v>
      </c>
      <c r="Q1535" s="4">
        <f>$E1535+6</f>
        <v>115</v>
      </c>
      <c r="R1535" s="8">
        <f>IF($J1535=0,0,ROUND(MAX($J1535*1.4*1.5*1.6*1.6,13100000*(1.429962^(MIN($E1535,123)-117)))*1,0))</f>
        <v>749334</v>
      </c>
      <c r="S1535" s="6">
        <f>$E1535+8</f>
        <v>117</v>
      </c>
      <c r="T1535" s="7">
        <f>IF($J1535=0,0,ROUND(MAX($J1535*1.4*1.5*1.6*1.6*2.2,42600000*(1.576904^(MIN($E1535,123)-117)))*1,0))</f>
        <v>1114211</v>
      </c>
      <c r="U1535" s="4">
        <f>$E1535+11</f>
        <v>120</v>
      </c>
      <c r="V1535" s="8">
        <f>IF($J1535=0,0,ROUND(MAX($J1535*1.4*1.5*1.6*1.6*2.2*2.715,354000000*(1.642074^(MIN($E1535,123)-117)))*1,0))</f>
        <v>6696710</v>
      </c>
      <c r="W1535" s="6">
        <f>$E1535+15</f>
        <v>124</v>
      </c>
      <c r="X1535" s="7">
        <f>IF($J1535=0,0,ROUND(MAX($J1535*1.4*1.5*1.6*1.6*2.2*2.715*2.6,3540000000*(1.579646^(MIN($E1535,123)-117)))*1,0))</f>
        <v>91311418</v>
      </c>
      <c r="Y1535" s="4">
        <f>$E1535+17</f>
        <v>126</v>
      </c>
      <c r="Z1535" s="8">
        <f>IF($J1535=0,0,ROUND(MAX($J1535*1.4*1.5*1.6*1.6*2.2*2.715*2.6*1.4,6020000000*(1.651178^(MIN($E1535,123)-117)))*1,0))</f>
        <v>108954543</v>
      </c>
      <c r="AA1535" s="6">
        <f>$E1535+19</f>
        <v>128</v>
      </c>
      <c r="AB1535" s="7">
        <f>IF($J1535=0,0,ROUND(MAX($J1535*1.4*1.5*1.6*1.6*2.2*2.715*2.6*1.4*1.4,8430000000*(1.651435^(MIN($E1535,123)-117)))*1,0))</f>
        <v>152382712</v>
      </c>
      <c r="AC1535" s="4">
        <f>$E1535+21</f>
        <v>130</v>
      </c>
      <c r="AD1535" s="8">
        <f>IF($J1535=0,0,ROUND(MAX($J1535*1.4*1.5*1.6*1.6*2.2*2.715*2.6*1.4*1.4*1.5,12600000000*(1.652953^(MIN($E1535,123)-117)))*1,0))</f>
        <v>226092682</v>
      </c>
      <c r="AE1535" s="6">
        <f>$E1535+24</f>
        <v>133</v>
      </c>
      <c r="AF1535" s="7">
        <f>IF($J1535=0,0,ROUND(MAX($J1535*1.4*1.5*1.6*1.6*2.2*2.715*2.6*1.4*1.4*1.5*1.5,18900000000*(1.65331^(MIN($E1535,123)-117)))*1,0))</f>
        <v>338553621</v>
      </c>
      <c r="AG1535" s="4">
        <f>$E1535+27</f>
        <v>136</v>
      </c>
      <c r="AH1535" s="8">
        <f>IF($J1535=0,0,ROUND(MAX($J1535*1.4*1.5*1.6*1.6*2.2*2.715*2.6*1.4*1.4*1.5*1.5*3.2,60500000000*(1.654288^(MIN($E1535,123)-117)))*1,0))</f>
        <v>1078614909</v>
      </c>
    </row>
    <row r="1536" ht="27.75" customHeight="1" spans="1:34" x14ac:dyDescent="0.25">
      <c r="A1536" s="3">
        <v>1546</v>
      </c>
      <c r="B1536" s="3" t="s">
        <v>1123</v>
      </c>
      <c r="C1536" s="3" t="s">
        <v>1119</v>
      </c>
      <c r="D1536" s="3" t="s">
        <v>40</v>
      </c>
      <c r="E1536" s="3">
        <v>109</v>
      </c>
      <c r="F1536" s="3" t="s">
        <v>258</v>
      </c>
      <c r="G1536" s="3" t="s">
        <v>209</v>
      </c>
      <c r="H1536" s="3">
        <v>26</v>
      </c>
      <c r="I1536" s="4">
        <v>109</v>
      </c>
      <c r="J1536" s="5">
        <v>72300</v>
      </c>
      <c r="K1536" s="6">
        <f>$E1536+1</f>
        <v>110</v>
      </c>
      <c r="L1536" s="7">
        <f>IF($J1536=0,0,ROUND(MAX($J1536*1.4,1620000*(1.497923^(MIN($E1536,123)-117)))*1,0))</f>
        <v>101220</v>
      </c>
      <c r="M1536" s="4">
        <f>$E1536+2</f>
        <v>111</v>
      </c>
      <c r="N1536" s="8">
        <f>IF($J1536=0,0,ROUND(MAX($J1536*1.4*1.5,2190000*(1.580994^(MIN($E1536,123)-117)))*1,0))</f>
        <v>151830</v>
      </c>
      <c r="O1536" s="6">
        <f>$E1536+4</f>
        <v>113</v>
      </c>
      <c r="P1536" s="7">
        <f>IF($J1536=0,0,ROUND(MAX($J1536*1.4*1.5*1.6,3500000*(1.57975^(MIN($E1536,123)-117)))*1,0))</f>
        <v>242928</v>
      </c>
      <c r="Q1536" s="4">
        <f>$E1536+6</f>
        <v>115</v>
      </c>
      <c r="R1536" s="8">
        <f>IF($J1536=0,0,ROUND(MAX($J1536*1.4*1.5*1.6*1.6,13100000*(1.429962^(MIN($E1536,123)-117)))*1,0))</f>
        <v>749334</v>
      </c>
      <c r="S1536" s="6">
        <f>$E1536+8</f>
        <v>117</v>
      </c>
      <c r="T1536" s="7">
        <f>IF($J1536=0,0,ROUND(MAX($J1536*1.4*1.5*1.6*1.6*2.2,42600000*(1.576904^(MIN($E1536,123)-117)))*1,0))</f>
        <v>1114211</v>
      </c>
      <c r="U1536" s="4">
        <f>$E1536+11</f>
        <v>120</v>
      </c>
      <c r="V1536" s="8">
        <f>IF($J1536=0,0,ROUND(MAX($J1536*1.4*1.5*1.6*1.6*2.2*2.715,354000000*(1.642074^(MIN($E1536,123)-117)))*1,0))</f>
        <v>6696710</v>
      </c>
      <c r="W1536" s="6">
        <f>$E1536+15</f>
        <v>124</v>
      </c>
      <c r="X1536" s="7">
        <f>IF($J1536=0,0,ROUND(MAX($J1536*1.4*1.5*1.6*1.6*2.2*2.715*2.6,3540000000*(1.579646^(MIN($E1536,123)-117)))*1,0))</f>
        <v>91311418</v>
      </c>
      <c r="Y1536" s="4">
        <f>$E1536+17</f>
        <v>126</v>
      </c>
      <c r="Z1536" s="8">
        <f>IF($J1536=0,0,ROUND(MAX($J1536*1.4*1.5*1.6*1.6*2.2*2.715*2.6*1.4,6020000000*(1.651178^(MIN($E1536,123)-117)))*1,0))</f>
        <v>108954543</v>
      </c>
      <c r="AA1536" s="6">
        <f>$E1536+19</f>
        <v>128</v>
      </c>
      <c r="AB1536" s="7">
        <f>IF($J1536=0,0,ROUND(MAX($J1536*1.4*1.5*1.6*1.6*2.2*2.715*2.6*1.4*1.4,8430000000*(1.651435^(MIN($E1536,123)-117)))*1,0))</f>
        <v>152382712</v>
      </c>
      <c r="AC1536" s="4">
        <f>$E1536+21</f>
        <v>130</v>
      </c>
      <c r="AD1536" s="8">
        <f>IF($J1536=0,0,ROUND(MAX($J1536*1.4*1.5*1.6*1.6*2.2*2.715*2.6*1.4*1.4*1.5,12600000000*(1.652953^(MIN($E1536,123)-117)))*1,0))</f>
        <v>226092682</v>
      </c>
      <c r="AE1536" s="6">
        <f>$E1536+24</f>
        <v>133</v>
      </c>
      <c r="AF1536" s="7">
        <f>IF($J1536=0,0,ROUND(MAX($J1536*1.4*1.5*1.6*1.6*2.2*2.715*2.6*1.4*1.4*1.5*1.5,18900000000*(1.65331^(MIN($E1536,123)-117)))*1,0))</f>
        <v>338553621</v>
      </c>
      <c r="AG1536" s="4">
        <f>$E1536+27</f>
        <v>136</v>
      </c>
      <c r="AH1536" s="8">
        <f>IF($J1536=0,0,ROUND(MAX($J1536*1.4*1.5*1.6*1.6*2.2*2.715*2.6*1.4*1.4*1.5*1.5*3.2,60500000000*(1.654288^(MIN($E1536,123)-117)))*1,0))</f>
        <v>1078614909</v>
      </c>
    </row>
    <row r="1537" ht="27.75" customHeight="1" spans="1:34" x14ac:dyDescent="0.25">
      <c r="A1537" s="3">
        <v>1547</v>
      </c>
      <c r="B1537" s="3" t="s">
        <v>184</v>
      </c>
      <c r="C1537" s="3" t="s">
        <v>1119</v>
      </c>
      <c r="D1537" s="3" t="s">
        <v>45</v>
      </c>
      <c r="E1537" s="3">
        <v>109</v>
      </c>
      <c r="F1537" s="3" t="s">
        <v>97</v>
      </c>
      <c r="G1537" s="3" t="s">
        <v>1120</v>
      </c>
      <c r="H1537" s="3">
        <v>26</v>
      </c>
      <c r="I1537" s="4">
        <v>109</v>
      </c>
      <c r="J1537" s="5">
        <v>99300</v>
      </c>
      <c r="K1537" s="6">
        <f>$E1537+1</f>
        <v>110</v>
      </c>
      <c r="L1537" s="7">
        <f>IF($J1537=0,0,ROUND(MAX($J1537*1.4,1620000*(1.497923^(MIN($E1537,123)-117)))*1,0))</f>
        <v>139020</v>
      </c>
      <c r="M1537" s="4">
        <f>$E1537+2</f>
        <v>111</v>
      </c>
      <c r="N1537" s="8">
        <f>IF($J1537=0,0,ROUND(MAX($J1537*1.4*1.5,2190000*(1.580994^(MIN($E1537,123)-117)))*1,0))</f>
        <v>208530</v>
      </c>
      <c r="O1537" s="6">
        <f>$E1537+4</f>
        <v>113</v>
      </c>
      <c r="P1537" s="7">
        <f>IF($J1537=0,0,ROUND(MAX($J1537*1.4*1.5*1.6,3500000*(1.57975^(MIN($E1537,123)-117)))*1,0))</f>
        <v>333648</v>
      </c>
      <c r="Q1537" s="4">
        <f>$E1537+6</f>
        <v>115</v>
      </c>
      <c r="R1537" s="8">
        <f>IF($J1537=0,0,ROUND(MAX($J1537*1.4*1.5*1.6*1.6,13100000*(1.429962^(MIN($E1537,123)-117)))*1,0))</f>
        <v>749334</v>
      </c>
      <c r="S1537" s="6">
        <f>$E1537+8</f>
        <v>117</v>
      </c>
      <c r="T1537" s="7">
        <f>IF($J1537=0,0,ROUND(MAX($J1537*1.4*1.5*1.6*1.6*2.2,42600000*(1.576904^(MIN($E1537,123)-117)))*1,0))</f>
        <v>1174441</v>
      </c>
      <c r="U1537" s="4">
        <f>$E1537+11</f>
        <v>120</v>
      </c>
      <c r="V1537" s="8">
        <f>IF($J1537=0,0,ROUND(MAX($J1537*1.4*1.5*1.6*1.6*2.2*2.715,354000000*(1.642074^(MIN($E1537,123)-117)))*1,0))</f>
        <v>6696710</v>
      </c>
      <c r="W1537" s="6">
        <f>$E1537+15</f>
        <v>124</v>
      </c>
      <c r="X1537" s="7">
        <f>IF($J1537=0,0,ROUND(MAX($J1537*1.4*1.5*1.6*1.6*2.2*2.715*2.6,3540000000*(1.579646^(MIN($E1537,123)-117)))*1,0))</f>
        <v>91311418</v>
      </c>
      <c r="Y1537" s="4">
        <f>$E1537+17</f>
        <v>126</v>
      </c>
      <c r="Z1537" s="8">
        <f>IF($J1537=0,0,ROUND(MAX($J1537*1.4*1.5*1.6*1.6*2.2*2.715*2.6*1.4,6020000000*(1.651178^(MIN($E1537,123)-117)))*1,0))</f>
        <v>108954543</v>
      </c>
      <c r="AA1537" s="6">
        <f>$E1537+19</f>
        <v>128</v>
      </c>
      <c r="AB1537" s="7">
        <f>IF($J1537=0,0,ROUND(MAX($J1537*1.4*1.5*1.6*1.6*2.2*2.715*2.6*1.4*1.4,8430000000*(1.651435^(MIN($E1537,123)-117)))*1,0))</f>
        <v>152382712</v>
      </c>
      <c r="AC1537" s="4">
        <f>$E1537+21</f>
        <v>130</v>
      </c>
      <c r="AD1537" s="8">
        <f>IF($J1537=0,0,ROUND(MAX($J1537*1.4*1.5*1.6*1.6*2.2*2.715*2.6*1.4*1.4*1.5,12600000000*(1.652953^(MIN($E1537,123)-117)))*1,0))</f>
        <v>226092682</v>
      </c>
      <c r="AE1537" s="6">
        <f>$E1537+24</f>
        <v>133</v>
      </c>
      <c r="AF1537" s="7">
        <f>IF($J1537=0,0,ROUND(MAX($J1537*1.4*1.5*1.6*1.6*2.2*2.715*2.6*1.4*1.4*1.5*1.5,18900000000*(1.65331^(MIN($E1537,123)-117)))*1,0))</f>
        <v>338553621</v>
      </c>
      <c r="AG1537" s="4">
        <f>$E1537+27</f>
        <v>136</v>
      </c>
      <c r="AH1537" s="8">
        <f>IF($J1537=0,0,ROUND(MAX($J1537*1.4*1.5*1.6*1.6*2.2*2.715*2.6*1.4*1.4*1.5*1.5*3.2,60500000000*(1.654288^(MIN($E1537,123)-117)))*1,0))</f>
        <v>1078614909</v>
      </c>
    </row>
    <row r="1538" ht="27.75" customHeight="1" spans="1:34" x14ac:dyDescent="0.25">
      <c r="A1538" s="3">
        <v>1548</v>
      </c>
      <c r="B1538" s="3" t="s">
        <v>87</v>
      </c>
      <c r="C1538" s="3" t="s">
        <v>1119</v>
      </c>
      <c r="D1538" s="3" t="s">
        <v>40</v>
      </c>
      <c r="E1538" s="3">
        <v>109</v>
      </c>
      <c r="F1538" s="3" t="s">
        <v>88</v>
      </c>
      <c r="G1538" s="3" t="s">
        <v>1120</v>
      </c>
      <c r="H1538" s="3">
        <v>26</v>
      </c>
      <c r="I1538" s="4">
        <v>109</v>
      </c>
      <c r="J1538" s="5">
        <v>55300</v>
      </c>
      <c r="K1538" s="6">
        <f>$E1538+1</f>
        <v>110</v>
      </c>
      <c r="L1538" s="7">
        <f>IF($J1538=0,0,ROUND(MAX($J1538*1.4,1620000*(1.497923^(MIN($E1538,123)-117)))*1,0))</f>
        <v>77420</v>
      </c>
      <c r="M1538" s="4">
        <f>$E1538+2</f>
        <v>111</v>
      </c>
      <c r="N1538" s="8">
        <f>IF($J1538=0,0,ROUND(MAX($J1538*1.4*1.5,2190000*(1.580994^(MIN($E1538,123)-117)))*1,0))</f>
        <v>116130</v>
      </c>
      <c r="O1538" s="6">
        <f>$E1538+4</f>
        <v>113</v>
      </c>
      <c r="P1538" s="7">
        <f>IF($J1538=0,0,ROUND(MAX($J1538*1.4*1.5*1.6,3500000*(1.57975^(MIN($E1538,123)-117)))*1,0))</f>
        <v>185808</v>
      </c>
      <c r="Q1538" s="4">
        <f>$E1538+6</f>
        <v>115</v>
      </c>
      <c r="R1538" s="8">
        <f>IF($J1538=0,0,ROUND(MAX($J1538*1.4*1.5*1.6*1.6,13100000*(1.429962^(MIN($E1538,123)-117)))*1,0))</f>
        <v>749334</v>
      </c>
      <c r="S1538" s="6">
        <f>$E1538+8</f>
        <v>117</v>
      </c>
      <c r="T1538" s="7">
        <f>IF($J1538=0,0,ROUND(MAX($J1538*1.4*1.5*1.6*1.6*2.2,42600000*(1.576904^(MIN($E1538,123)-117)))*1,0))</f>
        <v>1114211</v>
      </c>
      <c r="U1538" s="4">
        <f>$E1538+11</f>
        <v>120</v>
      </c>
      <c r="V1538" s="8">
        <f>IF($J1538=0,0,ROUND(MAX($J1538*1.4*1.5*1.6*1.6*2.2*2.715,354000000*(1.642074^(MIN($E1538,123)-117)))*1,0))</f>
        <v>6696710</v>
      </c>
      <c r="W1538" s="6">
        <f>$E1538+15</f>
        <v>124</v>
      </c>
      <c r="X1538" s="7">
        <f>IF($J1538=0,0,ROUND(MAX($J1538*1.4*1.5*1.6*1.6*2.2*2.715*2.6,3540000000*(1.579646^(MIN($E1538,123)-117)))*1,0))</f>
        <v>91311418</v>
      </c>
      <c r="Y1538" s="4">
        <f>$E1538+17</f>
        <v>126</v>
      </c>
      <c r="Z1538" s="8">
        <f>IF($J1538=0,0,ROUND(MAX($J1538*1.4*1.5*1.6*1.6*2.2*2.715*2.6*1.4,6020000000*(1.651178^(MIN($E1538,123)-117)))*1,0))</f>
        <v>108954543</v>
      </c>
      <c r="AA1538" s="6">
        <f>$E1538+19</f>
        <v>128</v>
      </c>
      <c r="AB1538" s="7">
        <f>IF($J1538=0,0,ROUND(MAX($J1538*1.4*1.5*1.6*1.6*2.2*2.715*2.6*1.4*1.4,8430000000*(1.651435^(MIN($E1538,123)-117)))*1,0))</f>
        <v>152382712</v>
      </c>
      <c r="AC1538" s="4">
        <f>$E1538+21</f>
        <v>130</v>
      </c>
      <c r="AD1538" s="8">
        <f>IF($J1538=0,0,ROUND(MAX($J1538*1.4*1.5*1.6*1.6*2.2*2.715*2.6*1.4*1.4*1.5,12600000000*(1.652953^(MIN($E1538,123)-117)))*1,0))</f>
        <v>226092682</v>
      </c>
      <c r="AE1538" s="6">
        <f>$E1538+24</f>
        <v>133</v>
      </c>
      <c r="AF1538" s="7">
        <f>IF($J1538=0,0,ROUND(MAX($J1538*1.4*1.5*1.6*1.6*2.2*2.715*2.6*1.4*1.4*1.5*1.5,18900000000*(1.65331^(MIN($E1538,123)-117)))*1,0))</f>
        <v>338553621</v>
      </c>
      <c r="AG1538" s="4">
        <f>$E1538+27</f>
        <v>136</v>
      </c>
      <c r="AH1538" s="8">
        <f>IF($J1538=0,0,ROUND(MAX($J1538*1.4*1.5*1.6*1.6*2.2*2.715*2.6*1.4*1.4*1.5*1.5*3.2,60500000000*(1.654288^(MIN($E1538,123)-117)))*1,0))</f>
        <v>1078614909</v>
      </c>
    </row>
    <row r="1539" ht="27.75" customHeight="1" spans="1:34" x14ac:dyDescent="0.25">
      <c r="A1539" s="3">
        <v>1549</v>
      </c>
      <c r="B1539" s="3" t="s">
        <v>151</v>
      </c>
      <c r="C1539" s="3" t="s">
        <v>1119</v>
      </c>
      <c r="D1539" s="3" t="s">
        <v>40</v>
      </c>
      <c r="E1539" s="3">
        <v>109</v>
      </c>
      <c r="F1539" s="3" t="s">
        <v>42</v>
      </c>
      <c r="G1539" s="3" t="s">
        <v>1120</v>
      </c>
      <c r="H1539" s="3">
        <v>26</v>
      </c>
      <c r="I1539" s="4">
        <v>109</v>
      </c>
      <c r="J1539" s="5">
        <v>180000</v>
      </c>
      <c r="K1539" s="6">
        <f>$E1539+1</f>
        <v>110</v>
      </c>
      <c r="L1539" s="7">
        <f>IF($J1539=0,0,ROUND(MAX($J1539*1.4,1620000*(1.497923^(MIN($E1539,123)-117)))*1,0))</f>
        <v>252000</v>
      </c>
      <c r="M1539" s="4">
        <f>$E1539+2</f>
        <v>111</v>
      </c>
      <c r="N1539" s="8">
        <f>IF($J1539=0,0,ROUND(MAX($J1539*1.4*1.5,2190000*(1.580994^(MIN($E1539,123)-117)))*1,0))</f>
        <v>378000</v>
      </c>
      <c r="O1539" s="6">
        <f>$E1539+4</f>
        <v>113</v>
      </c>
      <c r="P1539" s="7">
        <f>IF($J1539=0,0,ROUND(MAX($J1539*1.4*1.5*1.6,3500000*(1.57975^(MIN($E1539,123)-117)))*1,0))</f>
        <v>604800</v>
      </c>
      <c r="Q1539" s="4">
        <f>$E1539+6</f>
        <v>115</v>
      </c>
      <c r="R1539" s="8">
        <f>IF($J1539=0,0,ROUND(MAX($J1539*1.4*1.5*1.6*1.6,13100000*(1.429962^(MIN($E1539,123)-117)))*1,0))</f>
        <v>967680</v>
      </c>
      <c r="S1539" s="6">
        <f>$E1539+8</f>
        <v>117</v>
      </c>
      <c r="T1539" s="7">
        <f>IF($J1539=0,0,ROUND(MAX($J1539*1.4*1.5*1.6*1.6*2.2,42600000*(1.576904^(MIN($E1539,123)-117)))*1,0))</f>
        <v>2128896</v>
      </c>
      <c r="U1539" s="4">
        <f>$E1539+11</f>
        <v>120</v>
      </c>
      <c r="V1539" s="8">
        <f>IF($J1539=0,0,ROUND(MAX($J1539*1.4*1.5*1.6*1.6*2.2*2.715,354000000*(1.642074^(MIN($E1539,123)-117)))*1,0))</f>
        <v>6696710</v>
      </c>
      <c r="W1539" s="6">
        <f>$E1539+15</f>
        <v>124</v>
      </c>
      <c r="X1539" s="7">
        <f>IF($J1539=0,0,ROUND(MAX($J1539*1.4*1.5*1.6*1.6*2.2*2.715*2.6,3540000000*(1.579646^(MIN($E1539,123)-117)))*1,0))</f>
        <v>91311418</v>
      </c>
      <c r="Y1539" s="4">
        <f>$E1539+17</f>
        <v>126</v>
      </c>
      <c r="Z1539" s="8">
        <f>IF($J1539=0,0,ROUND(MAX($J1539*1.4*1.5*1.6*1.6*2.2*2.715*2.6*1.4,6020000000*(1.651178^(MIN($E1539,123)-117)))*1,0))</f>
        <v>108954543</v>
      </c>
      <c r="AA1539" s="6">
        <f>$E1539+19</f>
        <v>128</v>
      </c>
      <c r="AB1539" s="7">
        <f>IF($J1539=0,0,ROUND(MAX($J1539*1.4*1.5*1.6*1.6*2.2*2.715*2.6*1.4*1.4,8430000000*(1.651435^(MIN($E1539,123)-117)))*1,0))</f>
        <v>152382712</v>
      </c>
      <c r="AC1539" s="4">
        <f>$E1539+21</f>
        <v>130</v>
      </c>
      <c r="AD1539" s="8">
        <f>IF($J1539=0,0,ROUND(MAX($J1539*1.4*1.5*1.6*1.6*2.2*2.715*2.6*1.4*1.4*1.5,12600000000*(1.652953^(MIN($E1539,123)-117)))*1,0))</f>
        <v>226092682</v>
      </c>
      <c r="AE1539" s="6">
        <f>$E1539+24</f>
        <v>133</v>
      </c>
      <c r="AF1539" s="7">
        <f>IF($J1539=0,0,ROUND(MAX($J1539*1.4*1.5*1.6*1.6*2.2*2.715*2.6*1.4*1.4*1.5*1.5,18900000000*(1.65331^(MIN($E1539,123)-117)))*1,0))</f>
        <v>338553621</v>
      </c>
      <c r="AG1539" s="4">
        <f>$E1539+27</f>
        <v>136</v>
      </c>
      <c r="AH1539" s="8">
        <f>IF($J1539=0,0,ROUND(MAX($J1539*1.4*1.5*1.6*1.6*2.2*2.715*2.6*1.4*1.4*1.5*1.5*3.2,60500000000*(1.654288^(MIN($E1539,123)-117)))*1,0))</f>
        <v>1078614909</v>
      </c>
    </row>
    <row r="1540" ht="27.75" customHeight="1" spans="1:34" x14ac:dyDescent="0.25">
      <c r="A1540" s="3">
        <v>1550</v>
      </c>
      <c r="B1540" s="3" t="s">
        <v>650</v>
      </c>
      <c r="C1540" s="3" t="s">
        <v>1119</v>
      </c>
      <c r="D1540" s="3" t="s">
        <v>33</v>
      </c>
      <c r="E1540" s="3">
        <v>109</v>
      </c>
      <c r="F1540" s="3" t="s">
        <v>34</v>
      </c>
      <c r="G1540" s="3" t="s">
        <v>1120</v>
      </c>
      <c r="H1540" s="3">
        <v>25</v>
      </c>
      <c r="I1540" s="4">
        <v>109</v>
      </c>
      <c r="J1540" s="5">
        <v>85900</v>
      </c>
      <c r="K1540" s="6">
        <f>$E1540+1</f>
        <v>110</v>
      </c>
      <c r="L1540" s="7">
        <f>IF($J1540=0,0,ROUND(MAX($J1540*1.4,1620000*(1.497923^(MIN($E1540,123)-117)))*1,0))</f>
        <v>120260</v>
      </c>
      <c r="M1540" s="4">
        <f>$E1540+2</f>
        <v>111</v>
      </c>
      <c r="N1540" s="8">
        <f>IF($J1540=0,0,ROUND(MAX($J1540*1.4*1.5,2190000*(1.580994^(MIN($E1540,123)-117)))*1,0))</f>
        <v>180390</v>
      </c>
      <c r="O1540" s="6">
        <f>$E1540+4</f>
        <v>113</v>
      </c>
      <c r="P1540" s="7">
        <f>IF($J1540=0,0,ROUND(MAX($J1540*1.4*1.5*1.6,3500000*(1.57975^(MIN($E1540,123)-117)))*1,0))</f>
        <v>288624</v>
      </c>
      <c r="Q1540" s="4">
        <f>$E1540+6</f>
        <v>115</v>
      </c>
      <c r="R1540" s="8">
        <f>IF($J1540=0,0,ROUND(MAX($J1540*1.4*1.5*1.6*1.6,13100000*(1.429962^(MIN($E1540,123)-117)))*1,0))</f>
        <v>749334</v>
      </c>
      <c r="S1540" s="6">
        <f>$E1540+8</f>
        <v>117</v>
      </c>
      <c r="T1540" s="7">
        <f>IF($J1540=0,0,ROUND(MAX($J1540*1.4*1.5*1.6*1.6*2.2,42600000*(1.576904^(MIN($E1540,123)-117)))*1,0))</f>
        <v>1114211</v>
      </c>
      <c r="U1540" s="4">
        <f>$E1540+11</f>
        <v>120</v>
      </c>
      <c r="V1540" s="8">
        <f>IF($J1540=0,0,ROUND(MAX($J1540*1.4*1.5*1.6*1.6*2.2*2.715,354000000*(1.642074^(MIN($E1540,123)-117)))*1,0))</f>
        <v>6696710</v>
      </c>
      <c r="W1540" s="6">
        <f>$E1540+15</f>
        <v>124</v>
      </c>
      <c r="X1540" s="7">
        <f>IF($J1540=0,0,ROUND(MAX($J1540*1.4*1.5*1.6*1.6*2.2*2.715*2.6,3540000000*(1.579646^(MIN($E1540,123)-117)))*1,0))</f>
        <v>91311418</v>
      </c>
      <c r="Y1540" s="4">
        <f>$E1540+17</f>
        <v>126</v>
      </c>
      <c r="Z1540" s="8">
        <f>IF($J1540=0,0,ROUND(MAX($J1540*1.4*1.5*1.6*1.6*2.2*2.715*2.6*1.4,6020000000*(1.651178^(MIN($E1540,123)-117)))*1,0))</f>
        <v>108954543</v>
      </c>
      <c r="AA1540" s="6">
        <f>$E1540+19</f>
        <v>128</v>
      </c>
      <c r="AB1540" s="7">
        <f>IF($J1540=0,0,ROUND(MAX($J1540*1.4*1.5*1.6*1.6*2.2*2.715*2.6*1.4*1.4,8430000000*(1.651435^(MIN($E1540,123)-117)))*1,0))</f>
        <v>152382712</v>
      </c>
      <c r="AC1540" s="4">
        <f>$E1540+21</f>
        <v>130</v>
      </c>
      <c r="AD1540" s="8">
        <f>IF($J1540=0,0,ROUND(MAX($J1540*1.4*1.5*1.6*1.6*2.2*2.715*2.6*1.4*1.4*1.5,12600000000*(1.652953^(MIN($E1540,123)-117)))*1,0))</f>
        <v>226092682</v>
      </c>
      <c r="AE1540" s="6">
        <f>$E1540+24</f>
        <v>133</v>
      </c>
      <c r="AF1540" s="7">
        <f>IF($J1540=0,0,ROUND(MAX($J1540*1.4*1.5*1.6*1.6*2.2*2.715*2.6*1.4*1.4*1.5*1.5,18900000000*(1.65331^(MIN($E1540,123)-117)))*1,0))</f>
        <v>338553621</v>
      </c>
      <c r="AG1540" s="4">
        <f>$E1540+27</f>
        <v>136</v>
      </c>
      <c r="AH1540" s="8">
        <f>IF($J1540=0,0,ROUND(MAX($J1540*1.4*1.5*1.6*1.6*2.2*2.715*2.6*1.4*1.4*1.5*1.5*3.2,60500000000*(1.654288^(MIN($E1540,123)-117)))*1,0))</f>
        <v>1078614909</v>
      </c>
    </row>
    <row r="1541" ht="27.75" customHeight="1" spans="1:34" x14ac:dyDescent="0.25">
      <c r="A1541" s="3">
        <v>1551</v>
      </c>
      <c r="B1541" s="3" t="s">
        <v>943</v>
      </c>
      <c r="C1541" s="3" t="s">
        <v>1119</v>
      </c>
      <c r="D1541" s="3" t="s">
        <v>45</v>
      </c>
      <c r="E1541" s="3">
        <v>109</v>
      </c>
      <c r="F1541" s="3" t="s">
        <v>212</v>
      </c>
      <c r="G1541" s="3" t="s">
        <v>1120</v>
      </c>
      <c r="H1541" s="3">
        <v>25</v>
      </c>
      <c r="I1541" s="4">
        <v>109</v>
      </c>
      <c r="J1541" s="5">
        <v>2060000</v>
      </c>
      <c r="K1541" s="6">
        <f>$E1541+1</f>
        <v>110</v>
      </c>
      <c r="L1541" s="7">
        <f>IF($J1541=0,0,ROUND(MAX($J1541*1.4,1620000*(1.497923^(MIN($E1541,123)-117)))*1,0))</f>
        <v>2884000</v>
      </c>
      <c r="M1541" s="4">
        <f>$E1541+2</f>
        <v>111</v>
      </c>
      <c r="N1541" s="8">
        <f>IF($J1541=0,0,ROUND(MAX($J1541*1.4*1.5,2190000*(1.580994^(MIN($E1541,123)-117)))*1,0))</f>
        <v>4326000</v>
      </c>
      <c r="O1541" s="6">
        <f>$E1541+4</f>
        <v>113</v>
      </c>
      <c r="P1541" s="7">
        <f>IF($J1541=0,0,ROUND(MAX($J1541*1.4*1.5*1.6,3500000*(1.57975^(MIN($E1541,123)-117)))*1,0))</f>
        <v>6921600</v>
      </c>
      <c r="Q1541" s="4">
        <f>$E1541+6</f>
        <v>115</v>
      </c>
      <c r="R1541" s="8">
        <f>IF($J1541=0,0,ROUND(MAX($J1541*1.4*1.5*1.6*1.6,13100000*(1.429962^(MIN($E1541,123)-117)))*1,0))</f>
        <v>11074560</v>
      </c>
      <c r="S1541" s="6">
        <f>$E1541+8</f>
        <v>117</v>
      </c>
      <c r="T1541" s="7">
        <f>IF($J1541=0,0,ROUND(MAX($J1541*1.4*1.5*1.6*1.6*2.2,42600000*(1.576904^(MIN($E1541,123)-117)))*1,0))</f>
        <v>24364032</v>
      </c>
      <c r="U1541" s="4">
        <f>$E1541+11</f>
        <v>120</v>
      </c>
      <c r="V1541" s="8">
        <f>IF($J1541=0,0,ROUND(MAX($J1541*1.4*1.5*1.6*1.6*2.2*2.715,354000000*(1.642074^(MIN($E1541,123)-117)))*1,0))</f>
        <v>66148347</v>
      </c>
      <c r="W1541" s="6">
        <f>$E1541+15</f>
        <v>124</v>
      </c>
      <c r="X1541" s="7">
        <f>IF($J1541=0,0,ROUND(MAX($J1541*1.4*1.5*1.6*1.6*2.2*2.715*2.6,3540000000*(1.579646^(MIN($E1541,123)-117)))*1,0))</f>
        <v>171985702</v>
      </c>
      <c r="Y1541" s="4">
        <f>$E1541+17</f>
        <v>126</v>
      </c>
      <c r="Z1541" s="8">
        <f>IF($J1541=0,0,ROUND(MAX($J1541*1.4*1.5*1.6*1.6*2.2*2.715*2.6*1.4,6020000000*(1.651178^(MIN($E1541,123)-117)))*1,0))</f>
        <v>240779983</v>
      </c>
      <c r="AA1541" s="6">
        <f>$E1541+19</f>
        <v>128</v>
      </c>
      <c r="AB1541" s="7">
        <f>IF($J1541=0,0,ROUND(MAX($J1541*1.4*1.5*1.6*1.6*2.2*2.715*2.6*1.4*1.4,8430000000*(1.651435^(MIN($E1541,123)-117)))*1,0))</f>
        <v>337091976</v>
      </c>
      <c r="AC1541" s="4">
        <f>$E1541+21</f>
        <v>130</v>
      </c>
      <c r="AD1541" s="8">
        <f>IF($J1541=0,0,ROUND(MAX($J1541*1.4*1.5*1.6*1.6*2.2*2.715*2.6*1.4*1.4*1.5,12600000000*(1.652953^(MIN($E1541,123)-117)))*1,0))</f>
        <v>505637964</v>
      </c>
      <c r="AE1541" s="6">
        <f>$E1541+24</f>
        <v>133</v>
      </c>
      <c r="AF1541" s="7">
        <f>IF($J1541=0,0,ROUND(MAX($J1541*1.4*1.5*1.6*1.6*2.2*2.715*2.6*1.4*1.4*1.5*1.5,18900000000*(1.65331^(MIN($E1541,123)-117)))*1,0))</f>
        <v>758456945</v>
      </c>
      <c r="AG1541" s="4">
        <f>$E1541+27</f>
        <v>136</v>
      </c>
      <c r="AH1541" s="8">
        <f>IF($J1541=0,0,ROUND(MAX($J1541*1.4*1.5*1.6*1.6*2.2*2.715*2.6*1.4*1.4*1.5*1.5*3.2,60500000000*(1.654288^(MIN($E1541,123)-117)))*1,0))</f>
        <v>2427062225</v>
      </c>
    </row>
    <row r="1542" ht="27.75" customHeight="1" spans="1:34" x14ac:dyDescent="0.25">
      <c r="A1542" s="3">
        <v>1552</v>
      </c>
      <c r="B1542" s="3" t="s">
        <v>1124</v>
      </c>
      <c r="C1542" s="3" t="s">
        <v>1119</v>
      </c>
      <c r="D1542" s="3" t="s">
        <v>64</v>
      </c>
      <c r="E1542" s="3">
        <v>109</v>
      </c>
      <c r="F1542" s="3" t="s">
        <v>71</v>
      </c>
      <c r="G1542" s="3" t="s">
        <v>1120</v>
      </c>
      <c r="H1542" s="3">
        <v>25</v>
      </c>
      <c r="I1542" s="4">
        <v>109</v>
      </c>
      <c r="J1542" s="5">
        <v>490000</v>
      </c>
      <c r="K1542" s="6">
        <f>$E1542+1</f>
        <v>110</v>
      </c>
      <c r="L1542" s="7">
        <f>IF($J1542=0,0,ROUND(MAX($J1542*1.4,1620000*(1.497923^(MIN($E1542,123)-117)))*1,0))</f>
        <v>686000</v>
      </c>
      <c r="M1542" s="4">
        <f>$E1542+2</f>
        <v>111</v>
      </c>
      <c r="N1542" s="8">
        <f>IF($J1542=0,0,ROUND(MAX($J1542*1.4*1.5,2190000*(1.580994^(MIN($E1542,123)-117)))*1,0))</f>
        <v>1029000</v>
      </c>
      <c r="O1542" s="6">
        <f>$E1542+4</f>
        <v>113</v>
      </c>
      <c r="P1542" s="7">
        <f>IF($J1542=0,0,ROUND(MAX($J1542*1.4*1.5*1.6,3500000*(1.57975^(MIN($E1542,123)-117)))*1,0))</f>
        <v>1646400</v>
      </c>
      <c r="Q1542" s="4">
        <f>$E1542+6</f>
        <v>115</v>
      </c>
      <c r="R1542" s="8">
        <f>IF($J1542=0,0,ROUND(MAX($J1542*1.4*1.5*1.6*1.6,13100000*(1.429962^(MIN($E1542,123)-117)))*1,0))</f>
        <v>2634240</v>
      </c>
      <c r="S1542" s="6">
        <f>$E1542+8</f>
        <v>117</v>
      </c>
      <c r="T1542" s="7">
        <f>IF($J1542=0,0,ROUND(MAX($J1542*1.4*1.5*1.6*1.6*2.2,42600000*(1.576904^(MIN($E1542,123)-117)))*1,0))</f>
        <v>5795328</v>
      </c>
      <c r="U1542" s="4">
        <f>$E1542+11</f>
        <v>120</v>
      </c>
      <c r="V1542" s="8">
        <f>IF($J1542=0,0,ROUND(MAX($J1542*1.4*1.5*1.6*1.6*2.2*2.715,354000000*(1.642074^(MIN($E1542,123)-117)))*1,0))</f>
        <v>15734316</v>
      </c>
      <c r="W1542" s="6">
        <f>$E1542+15</f>
        <v>124</v>
      </c>
      <c r="X1542" s="7">
        <f>IF($J1542=0,0,ROUND(MAX($J1542*1.4*1.5*1.6*1.6*2.2*2.715*2.6,3540000000*(1.579646^(MIN($E1542,123)-117)))*1,0))</f>
        <v>91311418</v>
      </c>
      <c r="Y1542" s="4">
        <f>$E1542+17</f>
        <v>126</v>
      </c>
      <c r="Z1542" s="8">
        <f>IF($J1542=0,0,ROUND(MAX($J1542*1.4*1.5*1.6*1.6*2.2*2.715*2.6*1.4,6020000000*(1.651178^(MIN($E1542,123)-117)))*1,0))</f>
        <v>108954543</v>
      </c>
      <c r="AA1542" s="6">
        <f>$E1542+19</f>
        <v>128</v>
      </c>
      <c r="AB1542" s="7">
        <f>IF($J1542=0,0,ROUND(MAX($J1542*1.4*1.5*1.6*1.6*2.2*2.715*2.6*1.4*1.4,8430000000*(1.651435^(MIN($E1542,123)-117)))*1,0))</f>
        <v>152382712</v>
      </c>
      <c r="AC1542" s="4">
        <f>$E1542+21</f>
        <v>130</v>
      </c>
      <c r="AD1542" s="8">
        <f>IF($J1542=0,0,ROUND(MAX($J1542*1.4*1.5*1.6*1.6*2.2*2.715*2.6*1.4*1.4*1.5,12600000000*(1.652953^(MIN($E1542,123)-117)))*1,0))</f>
        <v>226092682</v>
      </c>
      <c r="AE1542" s="6">
        <f>$E1542+24</f>
        <v>133</v>
      </c>
      <c r="AF1542" s="7">
        <f>IF($J1542=0,0,ROUND(MAX($J1542*1.4*1.5*1.6*1.6*2.2*2.715*2.6*1.4*1.4*1.5*1.5,18900000000*(1.65331^(MIN($E1542,123)-117)))*1,0))</f>
        <v>338553621</v>
      </c>
      <c r="AG1542" s="4">
        <f>$E1542+27</f>
        <v>136</v>
      </c>
      <c r="AH1542" s="8">
        <f>IF($J1542=0,0,ROUND(MAX($J1542*1.4*1.5*1.6*1.6*2.2*2.715*2.6*1.4*1.4*1.5*1.5*3.2,60500000000*(1.654288^(MIN($E1542,123)-117)))*1,0))</f>
        <v>1078614909</v>
      </c>
    </row>
    <row r="1543" ht="27.75" customHeight="1" spans="1:34" x14ac:dyDescent="0.25">
      <c r="A1543" s="3">
        <v>1553</v>
      </c>
      <c r="B1543" s="3" t="s">
        <v>473</v>
      </c>
      <c r="C1543" s="3" t="s">
        <v>1119</v>
      </c>
      <c r="D1543" s="3" t="s">
        <v>165</v>
      </c>
      <c r="E1543" s="3">
        <v>109</v>
      </c>
      <c r="F1543" s="3" t="s">
        <v>123</v>
      </c>
      <c r="G1543" s="3" t="s">
        <v>1120</v>
      </c>
      <c r="H1543" s="3">
        <v>25</v>
      </c>
      <c r="I1543" s="4">
        <v>109</v>
      </c>
      <c r="J1543" s="5">
        <v>60400</v>
      </c>
      <c r="K1543" s="6">
        <f>$E1543+1</f>
        <v>110</v>
      </c>
      <c r="L1543" s="7">
        <f>IF($J1543=0,0,ROUND(MAX($J1543*1.4,1620000*(1.497923^(MIN($E1543,123)-117)))*1,0))</f>
        <v>84560</v>
      </c>
      <c r="M1543" s="4">
        <f>$E1543+2</f>
        <v>111</v>
      </c>
      <c r="N1543" s="8">
        <f>IF($J1543=0,0,ROUND(MAX($J1543*1.4*1.5,2190000*(1.580994^(MIN($E1543,123)-117)))*1,0))</f>
        <v>126840</v>
      </c>
      <c r="O1543" s="6">
        <f>$E1543+4</f>
        <v>113</v>
      </c>
      <c r="P1543" s="7">
        <f>IF($J1543=0,0,ROUND(MAX($J1543*1.4*1.5*1.6,3500000*(1.57975^(MIN($E1543,123)-117)))*1,0))</f>
        <v>202944</v>
      </c>
      <c r="Q1543" s="4">
        <f>$E1543+6</f>
        <v>115</v>
      </c>
      <c r="R1543" s="8">
        <f>IF($J1543=0,0,ROUND(MAX($J1543*1.4*1.5*1.6*1.6,13100000*(1.429962^(MIN($E1543,123)-117)))*1,0))</f>
        <v>749334</v>
      </c>
      <c r="S1543" s="6">
        <f>$E1543+8</f>
        <v>117</v>
      </c>
      <c r="T1543" s="7">
        <f>IF($J1543=0,0,ROUND(MAX($J1543*1.4*1.5*1.6*1.6*2.2,42600000*(1.576904^(MIN($E1543,123)-117)))*1,0))</f>
        <v>1114211</v>
      </c>
      <c r="U1543" s="4">
        <f>$E1543+11</f>
        <v>120</v>
      </c>
      <c r="V1543" s="8">
        <f>IF($J1543=0,0,ROUND(MAX($J1543*1.4*1.5*1.6*1.6*2.2*2.715,354000000*(1.642074^(MIN($E1543,123)-117)))*1,0))</f>
        <v>6696710</v>
      </c>
      <c r="W1543" s="6">
        <f>$E1543+15</f>
        <v>124</v>
      </c>
      <c r="X1543" s="7">
        <f>IF($J1543=0,0,ROUND(MAX($J1543*1.4*1.5*1.6*1.6*2.2*2.715*2.6,3540000000*(1.579646^(MIN($E1543,123)-117)))*1,0))</f>
        <v>91311418</v>
      </c>
      <c r="Y1543" s="4">
        <f>$E1543+17</f>
        <v>126</v>
      </c>
      <c r="Z1543" s="8">
        <f>IF($J1543=0,0,ROUND(MAX($J1543*1.4*1.5*1.6*1.6*2.2*2.715*2.6*1.4,6020000000*(1.651178^(MIN($E1543,123)-117)))*1,0))</f>
        <v>108954543</v>
      </c>
      <c r="AA1543" s="6">
        <f>$E1543+19</f>
        <v>128</v>
      </c>
      <c r="AB1543" s="7">
        <f>IF($J1543=0,0,ROUND(MAX($J1543*1.4*1.5*1.6*1.6*2.2*2.715*2.6*1.4*1.4,8430000000*(1.651435^(MIN($E1543,123)-117)))*1,0))</f>
        <v>152382712</v>
      </c>
      <c r="AC1543" s="4">
        <f>$E1543+21</f>
        <v>130</v>
      </c>
      <c r="AD1543" s="8">
        <f>IF($J1543=0,0,ROUND(MAX($J1543*1.4*1.5*1.6*1.6*2.2*2.715*2.6*1.4*1.4*1.5,12600000000*(1.652953^(MIN($E1543,123)-117)))*1,0))</f>
        <v>226092682</v>
      </c>
      <c r="AE1543" s="6">
        <f>$E1543+24</f>
        <v>133</v>
      </c>
      <c r="AF1543" s="7">
        <f>IF($J1543=0,0,ROUND(MAX($J1543*1.4*1.5*1.6*1.6*2.2*2.715*2.6*1.4*1.4*1.5*1.5,18900000000*(1.65331^(MIN($E1543,123)-117)))*1,0))</f>
        <v>338553621</v>
      </c>
      <c r="AG1543" s="4">
        <f>$E1543+27</f>
        <v>136</v>
      </c>
      <c r="AH1543" s="8">
        <f>IF($J1543=0,0,ROUND(MAX($J1543*1.4*1.5*1.6*1.6*2.2*2.715*2.6*1.4*1.4*1.5*1.5*3.2,60500000000*(1.654288^(MIN($E1543,123)-117)))*1,0))</f>
        <v>1078614909</v>
      </c>
    </row>
    <row r="1544" ht="27.75" customHeight="1" spans="1:34" x14ac:dyDescent="0.25">
      <c r="A1544" s="3">
        <v>1554</v>
      </c>
      <c r="B1544" s="3" t="s">
        <v>327</v>
      </c>
      <c r="C1544" s="3" t="s">
        <v>1119</v>
      </c>
      <c r="D1544" s="3" t="s">
        <v>47</v>
      </c>
      <c r="E1544" s="3">
        <v>109</v>
      </c>
      <c r="F1544" s="3" t="s">
        <v>310</v>
      </c>
      <c r="G1544" s="3" t="s">
        <v>38</v>
      </c>
      <c r="H1544" s="3">
        <v>22</v>
      </c>
      <c r="I1544" s="4">
        <v>109</v>
      </c>
      <c r="J1544" s="5">
        <v>97000</v>
      </c>
      <c r="K1544" s="6">
        <f>$E1544+1</f>
        <v>110</v>
      </c>
      <c r="L1544" s="7">
        <f>IF($J1544=0,0,ROUND(MAX($J1544*1.4,1620000*(1.497923^(MIN($E1544,123)-117)))*1,0))</f>
        <v>135800</v>
      </c>
      <c r="M1544" s="4">
        <f>$E1544+2</f>
        <v>111</v>
      </c>
      <c r="N1544" s="8">
        <f>IF($J1544=0,0,ROUND(MAX($J1544*1.4*1.5,2190000*(1.580994^(MIN($E1544,123)-117)))*1,0))</f>
        <v>203700</v>
      </c>
      <c r="O1544" s="6">
        <f>$E1544+4</f>
        <v>113</v>
      </c>
      <c r="P1544" s="7">
        <f>IF($J1544=0,0,ROUND(MAX($J1544*1.4*1.5*1.6,3500000*(1.57975^(MIN($E1544,123)-117)))*1,0))</f>
        <v>325920</v>
      </c>
      <c r="Q1544" s="4">
        <f>$E1544+6</f>
        <v>115</v>
      </c>
      <c r="R1544" s="8">
        <f>IF($J1544=0,0,ROUND(MAX($J1544*1.4*1.5*1.6*1.6,13100000*(1.429962^(MIN($E1544,123)-117)))*1,0))</f>
        <v>749334</v>
      </c>
      <c r="S1544" s="6">
        <f>$E1544+8</f>
        <v>117</v>
      </c>
      <c r="T1544" s="7">
        <f>IF($J1544=0,0,ROUND(MAX($J1544*1.4*1.5*1.6*1.6*2.2,42600000*(1.576904^(MIN($E1544,123)-117)))*1,0))</f>
        <v>1147238</v>
      </c>
      <c r="U1544" s="4">
        <f>$E1544+11</f>
        <v>120</v>
      </c>
      <c r="V1544" s="8">
        <f>IF($J1544=0,0,ROUND(MAX($J1544*1.4*1.5*1.6*1.6*2.2*2.715,354000000*(1.642074^(MIN($E1544,123)-117)))*1,0))</f>
        <v>6696710</v>
      </c>
      <c r="W1544" s="6">
        <f>$E1544+15</f>
        <v>124</v>
      </c>
      <c r="X1544" s="7">
        <f>IF($J1544=0,0,ROUND(MAX($J1544*1.4*1.5*1.6*1.6*2.2*2.715*2.6,3540000000*(1.579646^(MIN($E1544,123)-117)))*1,0))</f>
        <v>91311418</v>
      </c>
      <c r="Y1544" s="4">
        <f>$E1544+17</f>
        <v>126</v>
      </c>
      <c r="Z1544" s="8">
        <f>IF($J1544=0,0,ROUND(MAX($J1544*1.4*1.5*1.6*1.6*2.2*2.715*2.6*1.4,6020000000*(1.651178^(MIN($E1544,123)-117)))*1,0))</f>
        <v>108954543</v>
      </c>
      <c r="AA1544" s="6">
        <f>$E1544+19</f>
        <v>128</v>
      </c>
      <c r="AB1544" s="7">
        <f>IF($J1544=0,0,ROUND(MAX($J1544*1.4*1.5*1.6*1.6*2.2*2.715*2.6*1.4*1.4,8430000000*(1.651435^(MIN($E1544,123)-117)))*1,0))</f>
        <v>152382712</v>
      </c>
      <c r="AC1544" s="4">
        <f>$E1544+21</f>
        <v>130</v>
      </c>
      <c r="AD1544" s="8">
        <f>IF($J1544=0,0,ROUND(MAX($J1544*1.4*1.5*1.6*1.6*2.2*2.715*2.6*1.4*1.4*1.5,12600000000*(1.652953^(MIN($E1544,123)-117)))*1,0))</f>
        <v>226092682</v>
      </c>
      <c r="AE1544" s="6">
        <f>$E1544+24</f>
        <v>133</v>
      </c>
      <c r="AF1544" s="7">
        <f>IF($J1544=0,0,ROUND(MAX($J1544*1.4*1.5*1.6*1.6*2.2*2.715*2.6*1.4*1.4*1.5*1.5,18900000000*(1.65331^(MIN($E1544,123)-117)))*1,0))</f>
        <v>338553621</v>
      </c>
      <c r="AG1544" s="4">
        <f>$E1544+27</f>
        <v>136</v>
      </c>
      <c r="AH1544" s="8">
        <f>IF($J1544=0,0,ROUND(MAX($J1544*1.4*1.5*1.6*1.6*2.2*2.715*2.6*1.4*1.4*1.5*1.5*3.2,60500000000*(1.654288^(MIN($E1544,123)-117)))*1,0))</f>
        <v>1078614909</v>
      </c>
    </row>
    <row r="1545" ht="27.75" customHeight="1" spans="1:34" x14ac:dyDescent="0.25">
      <c r="A1545" s="3">
        <v>1555</v>
      </c>
      <c r="B1545" s="3" t="s">
        <v>1048</v>
      </c>
      <c r="C1545" s="3" t="s">
        <v>1119</v>
      </c>
      <c r="D1545" s="3" t="s">
        <v>47</v>
      </c>
      <c r="E1545" s="3">
        <v>109</v>
      </c>
      <c r="F1545" s="3" t="s">
        <v>54</v>
      </c>
      <c r="G1545" s="3" t="s">
        <v>342</v>
      </c>
      <c r="H1545" s="3">
        <v>22</v>
      </c>
      <c r="I1545" s="4">
        <v>109</v>
      </c>
      <c r="J1545" s="5">
        <v>54800</v>
      </c>
      <c r="K1545" s="6">
        <f>$E1545+1</f>
        <v>110</v>
      </c>
      <c r="L1545" s="7">
        <f>IF($J1545=0,0,ROUND(MAX($J1545*1.4,1620000*(1.497923^(MIN($E1545,123)-117)))*1,0))</f>
        <v>76720</v>
      </c>
      <c r="M1545" s="4">
        <f>$E1545+2</f>
        <v>111</v>
      </c>
      <c r="N1545" s="8">
        <f>IF($J1545=0,0,ROUND(MAX($J1545*1.4*1.5,2190000*(1.580994^(MIN($E1545,123)-117)))*1,0))</f>
        <v>115080</v>
      </c>
      <c r="O1545" s="6">
        <f>$E1545+4</f>
        <v>113</v>
      </c>
      <c r="P1545" s="7">
        <f>IF($J1545=0,0,ROUND(MAX($J1545*1.4*1.5*1.6,3500000*(1.57975^(MIN($E1545,123)-117)))*1,0))</f>
        <v>184128</v>
      </c>
      <c r="Q1545" s="4">
        <f>$E1545+6</f>
        <v>115</v>
      </c>
      <c r="R1545" s="8">
        <f>IF($J1545=0,0,ROUND(MAX($J1545*1.4*1.5*1.6*1.6,13100000*(1.429962^(MIN($E1545,123)-117)))*1,0))</f>
        <v>749334</v>
      </c>
      <c r="S1545" s="6">
        <f>$E1545+8</f>
        <v>117</v>
      </c>
      <c r="T1545" s="7">
        <f>IF($J1545=0,0,ROUND(MAX($J1545*1.4*1.5*1.6*1.6*2.2,42600000*(1.576904^(MIN($E1545,123)-117)))*1,0))</f>
        <v>1114211</v>
      </c>
      <c r="U1545" s="4">
        <f>$E1545+11</f>
        <v>120</v>
      </c>
      <c r="V1545" s="8">
        <f>IF($J1545=0,0,ROUND(MAX($J1545*1.4*1.5*1.6*1.6*2.2*2.715,354000000*(1.642074^(MIN($E1545,123)-117)))*1,0))</f>
        <v>6696710</v>
      </c>
      <c r="W1545" s="6">
        <f>$E1545+15</f>
        <v>124</v>
      </c>
      <c r="X1545" s="7">
        <f>IF($J1545=0,0,ROUND(MAX($J1545*1.4*1.5*1.6*1.6*2.2*2.715*2.6,3540000000*(1.579646^(MIN($E1545,123)-117)))*1,0))</f>
        <v>91311418</v>
      </c>
      <c r="Y1545" s="4">
        <f>$E1545+17</f>
        <v>126</v>
      </c>
      <c r="Z1545" s="8">
        <f>IF($J1545=0,0,ROUND(MAX($J1545*1.4*1.5*1.6*1.6*2.2*2.715*2.6*1.4,6020000000*(1.651178^(MIN($E1545,123)-117)))*1,0))</f>
        <v>108954543</v>
      </c>
      <c r="AA1545" s="6">
        <f>$E1545+19</f>
        <v>128</v>
      </c>
      <c r="AB1545" s="7">
        <f>IF($J1545=0,0,ROUND(MAX($J1545*1.4*1.5*1.6*1.6*2.2*2.715*2.6*1.4*1.4,8430000000*(1.651435^(MIN($E1545,123)-117)))*1,0))</f>
        <v>152382712</v>
      </c>
      <c r="AC1545" s="4">
        <f>$E1545+21</f>
        <v>130</v>
      </c>
      <c r="AD1545" s="8">
        <f>IF($J1545=0,0,ROUND(MAX($J1545*1.4*1.5*1.6*1.6*2.2*2.715*2.6*1.4*1.4*1.5,12600000000*(1.652953^(MIN($E1545,123)-117)))*1,0))</f>
        <v>226092682</v>
      </c>
      <c r="AE1545" s="6">
        <f>$E1545+24</f>
        <v>133</v>
      </c>
      <c r="AF1545" s="7">
        <f>IF($J1545=0,0,ROUND(MAX($J1545*1.4*1.5*1.6*1.6*2.2*2.715*2.6*1.4*1.4*1.5*1.5,18900000000*(1.65331^(MIN($E1545,123)-117)))*1,0))</f>
        <v>338553621</v>
      </c>
      <c r="AG1545" s="4">
        <f>$E1545+27</f>
        <v>136</v>
      </c>
      <c r="AH1545" s="8">
        <f>IF($J1545=0,0,ROUND(MAX($J1545*1.4*1.5*1.6*1.6*2.2*2.715*2.6*1.4*1.4*1.5*1.5*3.2,60500000000*(1.654288^(MIN($E1545,123)-117)))*1,0))</f>
        <v>1078614909</v>
      </c>
    </row>
    <row r="1546" ht="27.75" customHeight="1" spans="1:34" x14ac:dyDescent="0.25">
      <c r="A1546" s="3">
        <v>1556</v>
      </c>
      <c r="B1546" s="3" t="s">
        <v>188</v>
      </c>
      <c r="C1546" s="3" t="s">
        <v>1119</v>
      </c>
      <c r="D1546" s="3" t="s">
        <v>47</v>
      </c>
      <c r="E1546" s="3">
        <v>109</v>
      </c>
      <c r="F1546" s="3" t="s">
        <v>42</v>
      </c>
      <c r="G1546" s="3" t="s">
        <v>1120</v>
      </c>
      <c r="H1546" s="3">
        <v>22</v>
      </c>
      <c r="I1546" s="4">
        <v>109</v>
      </c>
      <c r="J1546" s="5">
        <v>80100</v>
      </c>
      <c r="K1546" s="6">
        <f>$E1546+1</f>
        <v>110</v>
      </c>
      <c r="L1546" s="7">
        <f>IF($J1546=0,0,ROUND(MAX($J1546*1.4,1620000*(1.497923^(MIN($E1546,123)-117)))*1,0))</f>
        <v>112140</v>
      </c>
      <c r="M1546" s="4">
        <f>$E1546+2</f>
        <v>111</v>
      </c>
      <c r="N1546" s="8">
        <f>IF($J1546=0,0,ROUND(MAX($J1546*1.4*1.5,2190000*(1.580994^(MIN($E1546,123)-117)))*1,0))</f>
        <v>168210</v>
      </c>
      <c r="O1546" s="6">
        <f>$E1546+4</f>
        <v>113</v>
      </c>
      <c r="P1546" s="7">
        <f>IF($J1546=0,0,ROUND(MAX($J1546*1.4*1.5*1.6,3500000*(1.57975^(MIN($E1546,123)-117)))*1,0))</f>
        <v>269136</v>
      </c>
      <c r="Q1546" s="4">
        <f>$E1546+6</f>
        <v>115</v>
      </c>
      <c r="R1546" s="8">
        <f>IF($J1546=0,0,ROUND(MAX($J1546*1.4*1.5*1.6*1.6,13100000*(1.429962^(MIN($E1546,123)-117)))*1,0))</f>
        <v>749334</v>
      </c>
      <c r="S1546" s="6">
        <f>$E1546+8</f>
        <v>117</v>
      </c>
      <c r="T1546" s="7">
        <f>IF($J1546=0,0,ROUND(MAX($J1546*1.4*1.5*1.6*1.6*2.2,42600000*(1.576904^(MIN($E1546,123)-117)))*1,0))</f>
        <v>1114211</v>
      </c>
      <c r="U1546" s="4">
        <f>$E1546+11</f>
        <v>120</v>
      </c>
      <c r="V1546" s="8">
        <f>IF($J1546=0,0,ROUND(MAX($J1546*1.4*1.5*1.6*1.6*2.2*2.715,354000000*(1.642074^(MIN($E1546,123)-117)))*1,0))</f>
        <v>6696710</v>
      </c>
      <c r="W1546" s="6">
        <f>$E1546+15</f>
        <v>124</v>
      </c>
      <c r="X1546" s="7">
        <f>IF($J1546=0,0,ROUND(MAX($J1546*1.4*1.5*1.6*1.6*2.2*2.715*2.6,3540000000*(1.579646^(MIN($E1546,123)-117)))*1,0))</f>
        <v>91311418</v>
      </c>
      <c r="Y1546" s="4">
        <f>$E1546+17</f>
        <v>126</v>
      </c>
      <c r="Z1546" s="8">
        <f>IF($J1546=0,0,ROUND(MAX($J1546*1.4*1.5*1.6*1.6*2.2*2.715*2.6*1.4,6020000000*(1.651178^(MIN($E1546,123)-117)))*1,0))</f>
        <v>108954543</v>
      </c>
      <c r="AA1546" s="6">
        <f>$E1546+19</f>
        <v>128</v>
      </c>
      <c r="AB1546" s="7">
        <f>IF($J1546=0,0,ROUND(MAX($J1546*1.4*1.5*1.6*1.6*2.2*2.715*2.6*1.4*1.4,8430000000*(1.651435^(MIN($E1546,123)-117)))*1,0))</f>
        <v>152382712</v>
      </c>
      <c r="AC1546" s="4">
        <f>$E1546+21</f>
        <v>130</v>
      </c>
      <c r="AD1546" s="8">
        <f>IF($J1546=0,0,ROUND(MAX($J1546*1.4*1.5*1.6*1.6*2.2*2.715*2.6*1.4*1.4*1.5,12600000000*(1.652953^(MIN($E1546,123)-117)))*1,0))</f>
        <v>226092682</v>
      </c>
      <c r="AE1546" s="6">
        <f>$E1546+24</f>
        <v>133</v>
      </c>
      <c r="AF1546" s="7">
        <f>IF($J1546=0,0,ROUND(MAX($J1546*1.4*1.5*1.6*1.6*2.2*2.715*2.6*1.4*1.4*1.5*1.5,18900000000*(1.65331^(MIN($E1546,123)-117)))*1,0))</f>
        <v>338553621</v>
      </c>
      <c r="AG1546" s="4">
        <f>$E1546+27</f>
        <v>136</v>
      </c>
      <c r="AH1546" s="8">
        <f>IF($J1546=0,0,ROUND(MAX($J1546*1.4*1.5*1.6*1.6*2.2*2.715*2.6*1.4*1.4*1.5*1.5*3.2,60500000000*(1.654288^(MIN($E1546,123)-117)))*1,0))</f>
        <v>1078614909</v>
      </c>
    </row>
    <row r="1547" ht="27.75" customHeight="1" spans="1:34" x14ac:dyDescent="0.25">
      <c r="A1547" s="3">
        <v>1557</v>
      </c>
      <c r="B1547" s="3" t="s">
        <v>1125</v>
      </c>
      <c r="C1547" s="3" t="s">
        <v>1119</v>
      </c>
      <c r="D1547" s="3" t="s">
        <v>47</v>
      </c>
      <c r="E1547" s="3">
        <v>109</v>
      </c>
      <c r="F1547" s="3" t="s">
        <v>1126</v>
      </c>
      <c r="G1547" s="3" t="s">
        <v>1120</v>
      </c>
      <c r="H1547" s="3">
        <v>21</v>
      </c>
      <c r="I1547" s="4">
        <v>109</v>
      </c>
      <c r="J1547" s="5">
        <v>10000</v>
      </c>
      <c r="K1547" s="6">
        <f>$E1547+1</f>
        <v>110</v>
      </c>
      <c r="L1547" s="7">
        <f>IF($J1547=0,0,ROUND(MAX($J1547*1.4,1620000*(1.497923^(MIN($E1547,123)-117)))*1,0))</f>
        <v>63914</v>
      </c>
      <c r="M1547" s="4">
        <f>$E1547+2</f>
        <v>111</v>
      </c>
      <c r="N1547" s="8">
        <f>IF($J1547=0,0,ROUND(MAX($J1547*1.4*1.5,2190000*(1.580994^(MIN($E1547,123)-117)))*1,0))</f>
        <v>56105</v>
      </c>
      <c r="O1547" s="6">
        <f>$E1547+4</f>
        <v>113</v>
      </c>
      <c r="P1547" s="7">
        <f>IF($J1547=0,0,ROUND(MAX($J1547*1.4*1.5*1.6,3500000*(1.57975^(MIN($E1547,123)-117)))*1,0))</f>
        <v>90232</v>
      </c>
      <c r="Q1547" s="4">
        <f>$E1547+6</f>
        <v>115</v>
      </c>
      <c r="R1547" s="8">
        <f>IF($J1547=0,0,ROUND(MAX($J1547*1.4*1.5*1.6*1.6,13100000*(1.429962^(MIN($E1547,123)-117)))*1,0))</f>
        <v>749334</v>
      </c>
      <c r="S1547" s="6">
        <f>$E1547+8</f>
        <v>117</v>
      </c>
      <c r="T1547" s="7">
        <f>IF($J1547=0,0,ROUND(MAX($J1547*1.4*1.5*1.6*1.6*2.2,42600000*(1.576904^(MIN($E1547,123)-117)))*1,0))</f>
        <v>1114211</v>
      </c>
      <c r="U1547" s="4">
        <f>$E1547+11</f>
        <v>120</v>
      </c>
      <c r="V1547" s="8">
        <f>IF($J1547=0,0,ROUND(MAX($J1547*1.4*1.5*1.6*1.6*2.2*2.715,354000000*(1.642074^(MIN($E1547,123)-117)))*1,0))</f>
        <v>6696710</v>
      </c>
      <c r="W1547" s="6">
        <f>$E1547+15</f>
        <v>124</v>
      </c>
      <c r="X1547" s="7">
        <f>IF($J1547=0,0,ROUND(MAX($J1547*1.4*1.5*1.6*1.6*2.2*2.715*2.6,3540000000*(1.579646^(MIN($E1547,123)-117)))*1,0))</f>
        <v>91311418</v>
      </c>
      <c r="Y1547" s="4">
        <f>$E1547+17</f>
        <v>126</v>
      </c>
      <c r="Z1547" s="8">
        <f>IF($J1547=0,0,ROUND(MAX($J1547*1.4*1.5*1.6*1.6*2.2*2.715*2.6*1.4,6020000000*(1.651178^(MIN($E1547,123)-117)))*1,0))</f>
        <v>108954543</v>
      </c>
      <c r="AA1547" s="6">
        <f>$E1547+19</f>
        <v>128</v>
      </c>
      <c r="AB1547" s="7">
        <f>IF($J1547=0,0,ROUND(MAX($J1547*1.4*1.5*1.6*1.6*2.2*2.715*2.6*1.4*1.4,8430000000*(1.651435^(MIN($E1547,123)-117)))*1,0))</f>
        <v>152382712</v>
      </c>
      <c r="AC1547" s="4">
        <f>$E1547+21</f>
        <v>130</v>
      </c>
      <c r="AD1547" s="8">
        <f>IF($J1547=0,0,ROUND(MAX($J1547*1.4*1.5*1.6*1.6*2.2*2.715*2.6*1.4*1.4*1.5,12600000000*(1.652953^(MIN($E1547,123)-117)))*1,0))</f>
        <v>226092682</v>
      </c>
      <c r="AE1547" s="6">
        <f>$E1547+24</f>
        <v>133</v>
      </c>
      <c r="AF1547" s="7">
        <f>IF($J1547=0,0,ROUND(MAX($J1547*1.4*1.5*1.6*1.6*2.2*2.715*2.6*1.4*1.4*1.5*1.5,18900000000*(1.65331^(MIN($E1547,123)-117)))*1,0))</f>
        <v>338553621</v>
      </c>
      <c r="AG1547" s="4">
        <f>$E1547+27</f>
        <v>136</v>
      </c>
      <c r="AH1547" s="8">
        <f>IF($J1547=0,0,ROUND(MAX($J1547*1.4*1.5*1.6*1.6*2.2*2.715*2.6*1.4*1.4*1.5*1.5*3.2,60500000000*(1.654288^(MIN($E1547,123)-117)))*1,0))</f>
        <v>1078614909</v>
      </c>
    </row>
    <row r="1548" ht="27.75" customHeight="1" spans="1:34" x14ac:dyDescent="0.25">
      <c r="A1548" s="3">
        <v>1558</v>
      </c>
      <c r="B1548" s="3" t="s">
        <v>177</v>
      </c>
      <c r="C1548" s="3" t="s">
        <v>1119</v>
      </c>
      <c r="D1548" s="3" t="s">
        <v>25</v>
      </c>
      <c r="E1548" s="3">
        <v>108</v>
      </c>
      <c r="F1548" s="3" t="s">
        <v>146</v>
      </c>
      <c r="G1548" s="3" t="s">
        <v>1120</v>
      </c>
      <c r="H1548" s="3">
        <v>25</v>
      </c>
      <c r="I1548" s="4">
        <v>108</v>
      </c>
      <c r="J1548" s="5">
        <v>202000</v>
      </c>
      <c r="K1548" s="6">
        <f>$E1548+1</f>
        <v>109</v>
      </c>
      <c r="L1548" s="7">
        <f>IF($J1548=0,0,ROUND(MAX($J1548*1.4,1620000*(1.497923^(MIN($E1548,123)-117)))*1,0))</f>
        <v>282800</v>
      </c>
      <c r="M1548" s="4">
        <f>$E1548+2</f>
        <v>110</v>
      </c>
      <c r="N1548" s="8">
        <f>IF($J1548=0,0,ROUND(MAX($J1548*1.4*1.5,2190000*(1.580994^(MIN($E1548,123)-117)))*1,0))</f>
        <v>424200</v>
      </c>
      <c r="O1548" s="6">
        <f>$E1548+4</f>
        <v>112</v>
      </c>
      <c r="P1548" s="7">
        <f>IF($J1548=0,0,ROUND(MAX($J1548*1.4*1.5*1.6,3500000*(1.57975^(MIN($E1548,123)-117)))*1,0))</f>
        <v>678720</v>
      </c>
      <c r="Q1548" s="4">
        <f>$E1548+6</f>
        <v>114</v>
      </c>
      <c r="R1548" s="8">
        <f>IF($J1548=0,0,ROUND(MAX($J1548*1.4*1.5*1.6*1.6,13100000*(1.429962^(MIN($E1548,123)-117)))*1,0))</f>
        <v>1085952</v>
      </c>
      <c r="S1548" s="6">
        <f>$E1548+8</f>
        <v>116</v>
      </c>
      <c r="T1548" s="7">
        <f>IF($J1548=0,0,ROUND(MAX($J1548*1.4*1.5*1.6*1.6*2.2,42600000*(1.576904^(MIN($E1548,123)-117)))*1,0))</f>
        <v>2389094</v>
      </c>
      <c r="U1548" s="4">
        <f>$E1548+11</f>
        <v>119</v>
      </c>
      <c r="V1548" s="8">
        <f>IF($J1548=0,0,ROUND(MAX($J1548*1.4*1.5*1.6*1.6*2.2*2.715,354000000*(1.642074^(MIN($E1548,123)-117)))*1,0))</f>
        <v>6486391</v>
      </c>
      <c r="W1548" s="6">
        <f>$E1548+15</f>
        <v>123</v>
      </c>
      <c r="X1548" s="7">
        <f>IF($J1548=0,0,ROUND(MAX($J1548*1.4*1.5*1.6*1.6*2.2*2.715*2.6,3540000000*(1.579646^(MIN($E1548,123)-117)))*1,0))</f>
        <v>57804988</v>
      </c>
      <c r="Y1548" s="4">
        <f>$E1548+17</f>
        <v>125</v>
      </c>
      <c r="Z1548" s="8">
        <f>IF($J1548=0,0,ROUND(MAX($J1548*1.4*1.5*1.6*1.6*2.2*2.715*2.6*1.4,6020000000*(1.651178^(MIN($E1548,123)-117)))*1,0))</f>
        <v>65985946</v>
      </c>
      <c r="AA1548" s="6">
        <f>$E1548+19</f>
        <v>127</v>
      </c>
      <c r="AB1548" s="7">
        <f>IF($J1548=0,0,ROUND(MAX($J1548*1.4*1.5*1.6*1.6*2.2*2.715*2.6*1.4*1.4,8430000000*(1.651435^(MIN($E1548,123)-117)))*1,0))</f>
        <v>92272909</v>
      </c>
      <c r="AC1548" s="4">
        <f>$E1548+21</f>
        <v>129</v>
      </c>
      <c r="AD1548" s="8">
        <f>IF($J1548=0,0,ROUND(MAX($J1548*1.4*1.5*1.6*1.6*2.2*2.715*2.6*1.4*1.4*1.5,12600000000*(1.652953^(MIN($E1548,123)-117)))*1,0))</f>
        <v>136781071</v>
      </c>
      <c r="AE1548" s="6">
        <f>$E1548+24</f>
        <v>132</v>
      </c>
      <c r="AF1548" s="7">
        <f>IF($J1548=0,0,ROUND(MAX($J1548*1.4*1.5*1.6*1.6*2.2*2.715*2.6*1.4*1.4*1.5*1.5,18900000000*(1.65331^(MIN($E1548,123)-117)))*1,0))</f>
        <v>204773225</v>
      </c>
      <c r="AG1548" s="4">
        <f>$E1548+27</f>
        <v>135</v>
      </c>
      <c r="AH1548" s="8">
        <f>IF($J1548=0,0,ROUND(MAX($J1548*1.4*1.5*1.6*1.6*2.2*2.715*2.6*1.4*1.4*1.5*1.5*3.2,60500000000*(1.654288^(MIN($E1548,123)-117)))*1,0))</f>
        <v>652011566</v>
      </c>
    </row>
    <row r="1549" ht="27.75" customHeight="1" spans="1:34" x14ac:dyDescent="0.25">
      <c r="A1549" s="3">
        <v>1559</v>
      </c>
      <c r="B1549" s="3" t="s">
        <v>347</v>
      </c>
      <c r="C1549" s="3" t="s">
        <v>1119</v>
      </c>
      <c r="D1549" s="3" t="s">
        <v>79</v>
      </c>
      <c r="E1549" s="3">
        <v>108</v>
      </c>
      <c r="F1549" s="3" t="s">
        <v>123</v>
      </c>
      <c r="G1549" s="3" t="s">
        <v>342</v>
      </c>
      <c r="H1549" s="3">
        <v>25</v>
      </c>
      <c r="I1549" s="4">
        <v>108</v>
      </c>
      <c r="J1549" s="5">
        <v>77700</v>
      </c>
      <c r="K1549" s="6">
        <f>$E1549+1</f>
        <v>109</v>
      </c>
      <c r="L1549" s="7">
        <f>IF($J1549=0,0,ROUND(MAX($J1549*1.4,1620000*(1.497923^(MIN($E1549,123)-117)))*1,0))</f>
        <v>108780</v>
      </c>
      <c r="M1549" s="4">
        <f>$E1549+2</f>
        <v>110</v>
      </c>
      <c r="N1549" s="8">
        <f>IF($J1549=0,0,ROUND(MAX($J1549*1.4*1.5,2190000*(1.580994^(MIN($E1549,123)-117)))*1,0))</f>
        <v>163170</v>
      </c>
      <c r="O1549" s="6">
        <f>$E1549+4</f>
        <v>112</v>
      </c>
      <c r="P1549" s="7">
        <f>IF($J1549=0,0,ROUND(MAX($J1549*1.4*1.5*1.6,3500000*(1.57975^(MIN($E1549,123)-117)))*1,0))</f>
        <v>261072</v>
      </c>
      <c r="Q1549" s="4">
        <f>$E1549+6</f>
        <v>114</v>
      </c>
      <c r="R1549" s="8">
        <f>IF($J1549=0,0,ROUND(MAX($J1549*1.4*1.5*1.6*1.6,13100000*(1.429962^(MIN($E1549,123)-117)))*1,0))</f>
        <v>524024</v>
      </c>
      <c r="S1549" s="6">
        <f>$E1549+8</f>
        <v>116</v>
      </c>
      <c r="T1549" s="7">
        <f>IF($J1549=0,0,ROUND(MAX($J1549*1.4*1.5*1.6*1.6*2.2,42600000*(1.576904^(MIN($E1549,123)-117)))*1,0))</f>
        <v>918973</v>
      </c>
      <c r="U1549" s="4">
        <f>$E1549+11</f>
        <v>119</v>
      </c>
      <c r="V1549" s="8">
        <f>IF($J1549=0,0,ROUND(MAX($J1549*1.4*1.5*1.6*1.6*2.2*2.715,354000000*(1.642074^(MIN($E1549,123)-117)))*1,0))</f>
        <v>4078202</v>
      </c>
      <c r="W1549" s="6">
        <f>$E1549+15</f>
        <v>123</v>
      </c>
      <c r="X1549" s="7">
        <f>IF($J1549=0,0,ROUND(MAX($J1549*1.4*1.5*1.6*1.6*2.2*2.715*2.6,3540000000*(1.579646^(MIN($E1549,123)-117)))*1,0))</f>
        <v>57804988</v>
      </c>
      <c r="Y1549" s="4">
        <f>$E1549+17</f>
        <v>125</v>
      </c>
      <c r="Z1549" s="8">
        <f>IF($J1549=0,0,ROUND(MAX($J1549*1.4*1.5*1.6*1.6*2.2*2.715*2.6*1.4,6020000000*(1.651178^(MIN($E1549,123)-117)))*1,0))</f>
        <v>65985946</v>
      </c>
      <c r="AA1549" s="6">
        <f>$E1549+19</f>
        <v>127</v>
      </c>
      <c r="AB1549" s="7">
        <f>IF($J1549=0,0,ROUND(MAX($J1549*1.4*1.5*1.6*1.6*2.2*2.715*2.6*1.4*1.4,8430000000*(1.651435^(MIN($E1549,123)-117)))*1,0))</f>
        <v>92272909</v>
      </c>
      <c r="AC1549" s="4">
        <f>$E1549+21</f>
        <v>129</v>
      </c>
      <c r="AD1549" s="8">
        <f>IF($J1549=0,0,ROUND(MAX($J1549*1.4*1.5*1.6*1.6*2.2*2.715*2.6*1.4*1.4*1.5,12600000000*(1.652953^(MIN($E1549,123)-117)))*1,0))</f>
        <v>136781071</v>
      </c>
      <c r="AE1549" s="6">
        <f>$E1549+24</f>
        <v>132</v>
      </c>
      <c r="AF1549" s="7">
        <f>IF($J1549=0,0,ROUND(MAX($J1549*1.4*1.5*1.6*1.6*2.2*2.715*2.6*1.4*1.4*1.5*1.5,18900000000*(1.65331^(MIN($E1549,123)-117)))*1,0))</f>
        <v>204773225</v>
      </c>
      <c r="AG1549" s="4">
        <f>$E1549+27</f>
        <v>135</v>
      </c>
      <c r="AH1549" s="8">
        <f>IF($J1549=0,0,ROUND(MAX($J1549*1.4*1.5*1.6*1.6*2.2*2.715*2.6*1.4*1.4*1.5*1.5*3.2,60500000000*(1.654288^(MIN($E1549,123)-117)))*1,0))</f>
        <v>652011566</v>
      </c>
    </row>
    <row r="1550" ht="27.75" customHeight="1" spans="1:34" x14ac:dyDescent="0.25">
      <c r="A1550" s="3">
        <v>1560</v>
      </c>
      <c r="B1550" s="3" t="s">
        <v>122</v>
      </c>
      <c r="C1550" s="3" t="s">
        <v>1119</v>
      </c>
      <c r="D1550" s="3" t="s">
        <v>64</v>
      </c>
      <c r="E1550" s="3">
        <v>108</v>
      </c>
      <c r="F1550" s="3" t="s">
        <v>123</v>
      </c>
      <c r="G1550" s="3" t="s">
        <v>1120</v>
      </c>
      <c r="H1550" s="3">
        <v>25</v>
      </c>
      <c r="I1550" s="4">
        <v>108</v>
      </c>
      <c r="J1550" s="5">
        <v>275000</v>
      </c>
      <c r="K1550" s="6">
        <f>$E1550+1</f>
        <v>109</v>
      </c>
      <c r="L1550" s="7">
        <f>IF($J1550=0,0,ROUND(MAX($J1550*1.4,1620000*(1.497923^(MIN($E1550,123)-117)))*1,0))</f>
        <v>385000</v>
      </c>
      <c r="M1550" s="4">
        <f>$E1550+2</f>
        <v>110</v>
      </c>
      <c r="N1550" s="8">
        <f>IF($J1550=0,0,ROUND(MAX($J1550*1.4*1.5,2190000*(1.580994^(MIN($E1550,123)-117)))*1,0))</f>
        <v>577500</v>
      </c>
      <c r="O1550" s="6">
        <f>$E1550+4</f>
        <v>112</v>
      </c>
      <c r="P1550" s="7">
        <f>IF($J1550=0,0,ROUND(MAX($J1550*1.4*1.5*1.6,3500000*(1.57975^(MIN($E1550,123)-117)))*1,0))</f>
        <v>924000</v>
      </c>
      <c r="Q1550" s="4">
        <f>$E1550+6</f>
        <v>114</v>
      </c>
      <c r="R1550" s="8">
        <f>IF($J1550=0,0,ROUND(MAX($J1550*1.4*1.5*1.6*1.6,13100000*(1.429962^(MIN($E1550,123)-117)))*1,0))</f>
        <v>1478400</v>
      </c>
      <c r="S1550" s="6">
        <f>$E1550+8</f>
        <v>116</v>
      </c>
      <c r="T1550" s="7">
        <f>IF($J1550=0,0,ROUND(MAX($J1550*1.4*1.5*1.6*1.6*2.2,42600000*(1.576904^(MIN($E1550,123)-117)))*1,0))</f>
        <v>3252480</v>
      </c>
      <c r="U1550" s="4">
        <f>$E1550+11</f>
        <v>119</v>
      </c>
      <c r="V1550" s="8">
        <f>IF($J1550=0,0,ROUND(MAX($J1550*1.4*1.5*1.6*1.6*2.2*2.715,354000000*(1.642074^(MIN($E1550,123)-117)))*1,0))</f>
        <v>8830483</v>
      </c>
      <c r="W1550" s="6">
        <f>$E1550+15</f>
        <v>123</v>
      </c>
      <c r="X1550" s="7">
        <f>IF($J1550=0,0,ROUND(MAX($J1550*1.4*1.5*1.6*1.6*2.2*2.715*2.6,3540000000*(1.579646^(MIN($E1550,123)-117)))*1,0))</f>
        <v>57804988</v>
      </c>
      <c r="Y1550" s="4">
        <f>$E1550+17</f>
        <v>125</v>
      </c>
      <c r="Z1550" s="8">
        <f>IF($J1550=0,0,ROUND(MAX($J1550*1.4*1.5*1.6*1.6*2.2*2.715*2.6*1.4,6020000000*(1.651178^(MIN($E1550,123)-117)))*1,0))</f>
        <v>65985946</v>
      </c>
      <c r="AA1550" s="6">
        <f>$E1550+19</f>
        <v>127</v>
      </c>
      <c r="AB1550" s="7">
        <f>IF($J1550=0,0,ROUND(MAX($J1550*1.4*1.5*1.6*1.6*2.2*2.715*2.6*1.4*1.4,8430000000*(1.651435^(MIN($E1550,123)-117)))*1,0))</f>
        <v>92272909</v>
      </c>
      <c r="AC1550" s="4">
        <f>$E1550+21</f>
        <v>129</v>
      </c>
      <c r="AD1550" s="8">
        <f>IF($J1550=0,0,ROUND(MAX($J1550*1.4*1.5*1.6*1.6*2.2*2.715*2.6*1.4*1.4*1.5,12600000000*(1.652953^(MIN($E1550,123)-117)))*1,0))</f>
        <v>136781071</v>
      </c>
      <c r="AE1550" s="6">
        <f>$E1550+24</f>
        <v>132</v>
      </c>
      <c r="AF1550" s="7">
        <f>IF($J1550=0,0,ROUND(MAX($J1550*1.4*1.5*1.6*1.6*2.2*2.715*2.6*1.4*1.4*1.5*1.5,18900000000*(1.65331^(MIN($E1550,123)-117)))*1,0))</f>
        <v>204773225</v>
      </c>
      <c r="AG1550" s="4">
        <f>$E1550+27</f>
        <v>135</v>
      </c>
      <c r="AH1550" s="8">
        <f>IF($J1550=0,0,ROUND(MAX($J1550*1.4*1.5*1.6*1.6*2.2*2.715*2.6*1.4*1.4*1.5*1.5*3.2,60500000000*(1.654288^(MIN($E1550,123)-117)))*1,0))</f>
        <v>652011566</v>
      </c>
    </row>
    <row r="1551" ht="27.75" customHeight="1" spans="1:34" x14ac:dyDescent="0.25">
      <c r="A1551" s="3">
        <v>1561</v>
      </c>
      <c r="B1551" s="3" t="s">
        <v>1127</v>
      </c>
      <c r="C1551" s="3" t="s">
        <v>1119</v>
      </c>
      <c r="D1551" s="3" t="s">
        <v>64</v>
      </c>
      <c r="E1551" s="3">
        <v>108</v>
      </c>
      <c r="F1551" s="3" t="s">
        <v>26</v>
      </c>
      <c r="G1551" s="3" t="s">
        <v>1128</v>
      </c>
      <c r="H1551" s="3">
        <v>25</v>
      </c>
      <c r="I1551" s="4">
        <v>108</v>
      </c>
      <c r="J1551" s="5">
        <v>152000</v>
      </c>
      <c r="K1551" s="6">
        <f>$E1551+1</f>
        <v>109</v>
      </c>
      <c r="L1551" s="7">
        <f>IF($J1551=0,0,ROUND(MAX($J1551*1.4,1620000*(1.497923^(MIN($E1551,123)-117)))*1,0))</f>
        <v>212800</v>
      </c>
      <c r="M1551" s="4">
        <f>$E1551+2</f>
        <v>110</v>
      </c>
      <c r="N1551" s="8">
        <f>IF($J1551=0,0,ROUND(MAX($J1551*1.4*1.5,2190000*(1.580994^(MIN($E1551,123)-117)))*1,0))</f>
        <v>319200</v>
      </c>
      <c r="O1551" s="6">
        <f>$E1551+4</f>
        <v>112</v>
      </c>
      <c r="P1551" s="7">
        <f>IF($J1551=0,0,ROUND(MAX($J1551*1.4*1.5*1.6,3500000*(1.57975^(MIN($E1551,123)-117)))*1,0))</f>
        <v>510720</v>
      </c>
      <c r="Q1551" s="4">
        <f>$E1551+6</f>
        <v>114</v>
      </c>
      <c r="R1551" s="8">
        <f>IF($J1551=0,0,ROUND(MAX($J1551*1.4*1.5*1.6*1.6,13100000*(1.429962^(MIN($E1551,123)-117)))*1,0))</f>
        <v>817152</v>
      </c>
      <c r="S1551" s="6">
        <f>$E1551+8</f>
        <v>116</v>
      </c>
      <c r="T1551" s="7">
        <f>IF($J1551=0,0,ROUND(MAX($J1551*1.4*1.5*1.6*1.6*2.2,42600000*(1.576904^(MIN($E1551,123)-117)))*1,0))</f>
        <v>1797734</v>
      </c>
      <c r="U1551" s="4">
        <f>$E1551+11</f>
        <v>119</v>
      </c>
      <c r="V1551" s="8">
        <f>IF($J1551=0,0,ROUND(MAX($J1551*1.4*1.5*1.6*1.6*2.2*2.715,354000000*(1.642074^(MIN($E1551,123)-117)))*1,0))</f>
        <v>4880849</v>
      </c>
      <c r="W1551" s="6">
        <f>$E1551+15</f>
        <v>123</v>
      </c>
      <c r="X1551" s="7">
        <f>IF($J1551=0,0,ROUND(MAX($J1551*1.4*1.5*1.6*1.6*2.2*2.715*2.6,3540000000*(1.579646^(MIN($E1551,123)-117)))*1,0))</f>
        <v>57804988</v>
      </c>
      <c r="Y1551" s="4">
        <f>$E1551+17</f>
        <v>125</v>
      </c>
      <c r="Z1551" s="8">
        <f>IF($J1551=0,0,ROUND(MAX($J1551*1.4*1.5*1.6*1.6*2.2*2.715*2.6*1.4,6020000000*(1.651178^(MIN($E1551,123)-117)))*1,0))</f>
        <v>65985946</v>
      </c>
      <c r="AA1551" s="6">
        <f>$E1551+19</f>
        <v>127</v>
      </c>
      <c r="AB1551" s="7">
        <f>IF($J1551=0,0,ROUND(MAX($J1551*1.4*1.5*1.6*1.6*2.2*2.715*2.6*1.4*1.4,8430000000*(1.651435^(MIN($E1551,123)-117)))*1,0))</f>
        <v>92272909</v>
      </c>
      <c r="AC1551" s="4">
        <f>$E1551+21</f>
        <v>129</v>
      </c>
      <c r="AD1551" s="8">
        <f>IF($J1551=0,0,ROUND(MAX($J1551*1.4*1.5*1.6*1.6*2.2*2.715*2.6*1.4*1.4*1.5,12600000000*(1.652953^(MIN($E1551,123)-117)))*1,0))</f>
        <v>136781071</v>
      </c>
      <c r="AE1551" s="6">
        <f>$E1551+24</f>
        <v>132</v>
      </c>
      <c r="AF1551" s="7">
        <f>IF($J1551=0,0,ROUND(MAX($J1551*1.4*1.5*1.6*1.6*2.2*2.715*2.6*1.4*1.4*1.5*1.5,18900000000*(1.65331^(MIN($E1551,123)-117)))*1,0))</f>
        <v>204773225</v>
      </c>
      <c r="AG1551" s="4">
        <f>$E1551+27</f>
        <v>135</v>
      </c>
      <c r="AH1551" s="8">
        <f>IF($J1551=0,0,ROUND(MAX($J1551*1.4*1.5*1.6*1.6*2.2*2.715*2.6*1.4*1.4*1.5*1.5*3.2,60500000000*(1.654288^(MIN($E1551,123)-117)))*1,0))</f>
        <v>652011566</v>
      </c>
    </row>
    <row r="1552" ht="27.75" customHeight="1" spans="1:34" x14ac:dyDescent="0.25">
      <c r="A1552" s="3">
        <v>1562</v>
      </c>
      <c r="B1552" s="3" t="s">
        <v>686</v>
      </c>
      <c r="C1552" s="3" t="s">
        <v>1119</v>
      </c>
      <c r="D1552" s="3" t="s">
        <v>40</v>
      </c>
      <c r="E1552" s="3">
        <v>108</v>
      </c>
      <c r="F1552" s="3" t="s">
        <v>54</v>
      </c>
      <c r="G1552" s="3" t="s">
        <v>396</v>
      </c>
      <c r="H1552" s="3">
        <v>25</v>
      </c>
      <c r="I1552" s="4">
        <v>108</v>
      </c>
      <c r="J1552" s="5">
        <v>158000</v>
      </c>
      <c r="K1552" s="6">
        <f>$E1552+1</f>
        <v>109</v>
      </c>
      <c r="L1552" s="7">
        <f>IF($J1552=0,0,ROUND(MAX($J1552*1.4,1620000*(1.497923^(MIN($E1552,123)-117)))*1,0))</f>
        <v>221200</v>
      </c>
      <c r="M1552" s="4">
        <f>$E1552+2</f>
        <v>110</v>
      </c>
      <c r="N1552" s="8">
        <f>IF($J1552=0,0,ROUND(MAX($J1552*1.4*1.5,2190000*(1.580994^(MIN($E1552,123)-117)))*1,0))</f>
        <v>331800</v>
      </c>
      <c r="O1552" s="6">
        <f>$E1552+4</f>
        <v>112</v>
      </c>
      <c r="P1552" s="7">
        <f>IF($J1552=0,0,ROUND(MAX($J1552*1.4*1.5*1.6,3500000*(1.57975^(MIN($E1552,123)-117)))*1,0))</f>
        <v>530880</v>
      </c>
      <c r="Q1552" s="4">
        <f>$E1552+6</f>
        <v>114</v>
      </c>
      <c r="R1552" s="8">
        <f>IF($J1552=0,0,ROUND(MAX($J1552*1.4*1.5*1.6*1.6,13100000*(1.429962^(MIN($E1552,123)-117)))*1,0))</f>
        <v>849408</v>
      </c>
      <c r="S1552" s="6">
        <f>$E1552+8</f>
        <v>116</v>
      </c>
      <c r="T1552" s="7">
        <f>IF($J1552=0,0,ROUND(MAX($J1552*1.4*1.5*1.6*1.6*2.2,42600000*(1.576904^(MIN($E1552,123)-117)))*1,0))</f>
        <v>1868698</v>
      </c>
      <c r="U1552" s="4">
        <f>$E1552+11</f>
        <v>119</v>
      </c>
      <c r="V1552" s="8">
        <f>IF($J1552=0,0,ROUND(MAX($J1552*1.4*1.5*1.6*1.6*2.2*2.715,354000000*(1.642074^(MIN($E1552,123)-117)))*1,0))</f>
        <v>5073514</v>
      </c>
      <c r="W1552" s="6">
        <f>$E1552+15</f>
        <v>123</v>
      </c>
      <c r="X1552" s="7">
        <f>IF($J1552=0,0,ROUND(MAX($J1552*1.4*1.5*1.6*1.6*2.2*2.715*2.6,3540000000*(1.579646^(MIN($E1552,123)-117)))*1,0))</f>
        <v>57804988</v>
      </c>
      <c r="Y1552" s="4">
        <f>$E1552+17</f>
        <v>125</v>
      </c>
      <c r="Z1552" s="8">
        <f>IF($J1552=0,0,ROUND(MAX($J1552*1.4*1.5*1.6*1.6*2.2*2.715*2.6*1.4,6020000000*(1.651178^(MIN($E1552,123)-117)))*1,0))</f>
        <v>65985946</v>
      </c>
      <c r="AA1552" s="6">
        <f>$E1552+19</f>
        <v>127</v>
      </c>
      <c r="AB1552" s="7">
        <f>IF($J1552=0,0,ROUND(MAX($J1552*1.4*1.5*1.6*1.6*2.2*2.715*2.6*1.4*1.4,8430000000*(1.651435^(MIN($E1552,123)-117)))*1,0))</f>
        <v>92272909</v>
      </c>
      <c r="AC1552" s="4">
        <f>$E1552+21</f>
        <v>129</v>
      </c>
      <c r="AD1552" s="8">
        <f>IF($J1552=0,0,ROUND(MAX($J1552*1.4*1.5*1.6*1.6*2.2*2.715*2.6*1.4*1.4*1.5,12600000000*(1.652953^(MIN($E1552,123)-117)))*1,0))</f>
        <v>136781071</v>
      </c>
      <c r="AE1552" s="6">
        <f>$E1552+24</f>
        <v>132</v>
      </c>
      <c r="AF1552" s="7">
        <f>IF($J1552=0,0,ROUND(MAX($J1552*1.4*1.5*1.6*1.6*2.2*2.715*2.6*1.4*1.4*1.5*1.5,18900000000*(1.65331^(MIN($E1552,123)-117)))*1,0))</f>
        <v>204773225</v>
      </c>
      <c r="AG1552" s="4">
        <f>$E1552+27</f>
        <v>135</v>
      </c>
      <c r="AH1552" s="8">
        <f>IF($J1552=0,0,ROUND(MAX($J1552*1.4*1.5*1.6*1.6*2.2*2.715*2.6*1.4*1.4*1.5*1.5*3.2,60500000000*(1.654288^(MIN($E1552,123)-117)))*1,0))</f>
        <v>652011566</v>
      </c>
    </row>
    <row r="1553" ht="27.75" customHeight="1" spans="1:34" x14ac:dyDescent="0.25">
      <c r="A1553" s="3">
        <v>1563</v>
      </c>
      <c r="B1553" s="3" t="s">
        <v>118</v>
      </c>
      <c r="C1553" s="3" t="s">
        <v>1119</v>
      </c>
      <c r="D1553" s="3" t="s">
        <v>40</v>
      </c>
      <c r="E1553" s="3">
        <v>108</v>
      </c>
      <c r="F1553" s="3" t="s">
        <v>56</v>
      </c>
      <c r="G1553" s="3" t="s">
        <v>1120</v>
      </c>
      <c r="H1553" s="3">
        <v>25</v>
      </c>
      <c r="I1553" s="4">
        <v>108</v>
      </c>
      <c r="J1553" s="5">
        <v>281000</v>
      </c>
      <c r="K1553" s="6">
        <f>$E1553+1</f>
        <v>109</v>
      </c>
      <c r="L1553" s="7">
        <f>IF($J1553=0,0,ROUND(MAX($J1553*1.4,1620000*(1.497923^(MIN($E1553,123)-117)))*1,0))</f>
        <v>393400</v>
      </c>
      <c r="M1553" s="4">
        <f>$E1553+2</f>
        <v>110</v>
      </c>
      <c r="N1553" s="8">
        <f>IF($J1553=0,0,ROUND(MAX($J1553*1.4*1.5,2190000*(1.580994^(MIN($E1553,123)-117)))*1,0))</f>
        <v>590100</v>
      </c>
      <c r="O1553" s="6">
        <f>$E1553+4</f>
        <v>112</v>
      </c>
      <c r="P1553" s="7">
        <f>IF($J1553=0,0,ROUND(MAX($J1553*1.4*1.5*1.6,3500000*(1.57975^(MIN($E1553,123)-117)))*1,0))</f>
        <v>944160</v>
      </c>
      <c r="Q1553" s="4">
        <f>$E1553+6</f>
        <v>114</v>
      </c>
      <c r="R1553" s="8">
        <f>IF($J1553=0,0,ROUND(MAX($J1553*1.4*1.5*1.6*1.6,13100000*(1.429962^(MIN($E1553,123)-117)))*1,0))</f>
        <v>1510656</v>
      </c>
      <c r="S1553" s="6">
        <f>$E1553+8</f>
        <v>116</v>
      </c>
      <c r="T1553" s="7">
        <f>IF($J1553=0,0,ROUND(MAX($J1553*1.4*1.5*1.6*1.6*2.2,42600000*(1.576904^(MIN($E1553,123)-117)))*1,0))</f>
        <v>3323443</v>
      </c>
      <c r="U1553" s="4">
        <f>$E1553+11</f>
        <v>119</v>
      </c>
      <c r="V1553" s="8">
        <f>IF($J1553=0,0,ROUND(MAX($J1553*1.4*1.5*1.6*1.6*2.2*2.715,354000000*(1.642074^(MIN($E1553,123)-117)))*1,0))</f>
        <v>9023148</v>
      </c>
      <c r="W1553" s="6">
        <f>$E1553+15</f>
        <v>123</v>
      </c>
      <c r="X1553" s="7">
        <f>IF($J1553=0,0,ROUND(MAX($J1553*1.4*1.5*1.6*1.6*2.2*2.715*2.6,3540000000*(1.579646^(MIN($E1553,123)-117)))*1,0))</f>
        <v>57804988</v>
      </c>
      <c r="Y1553" s="4">
        <f>$E1553+17</f>
        <v>125</v>
      </c>
      <c r="Z1553" s="8">
        <f>IF($J1553=0,0,ROUND(MAX($J1553*1.4*1.5*1.6*1.6*2.2*2.715*2.6*1.4,6020000000*(1.651178^(MIN($E1553,123)-117)))*1,0))</f>
        <v>65985946</v>
      </c>
      <c r="AA1553" s="6">
        <f>$E1553+19</f>
        <v>127</v>
      </c>
      <c r="AB1553" s="7">
        <f>IF($J1553=0,0,ROUND(MAX($J1553*1.4*1.5*1.6*1.6*2.2*2.715*2.6*1.4*1.4,8430000000*(1.651435^(MIN($E1553,123)-117)))*1,0))</f>
        <v>92272909</v>
      </c>
      <c r="AC1553" s="4">
        <f>$E1553+21</f>
        <v>129</v>
      </c>
      <c r="AD1553" s="8">
        <f>IF($J1553=0,0,ROUND(MAX($J1553*1.4*1.5*1.6*1.6*2.2*2.715*2.6*1.4*1.4*1.5,12600000000*(1.652953^(MIN($E1553,123)-117)))*1,0))</f>
        <v>136781071</v>
      </c>
      <c r="AE1553" s="6">
        <f>$E1553+24</f>
        <v>132</v>
      </c>
      <c r="AF1553" s="7">
        <f>IF($J1553=0,0,ROUND(MAX($J1553*1.4*1.5*1.6*1.6*2.2*2.715*2.6*1.4*1.4*1.5*1.5,18900000000*(1.65331^(MIN($E1553,123)-117)))*1,0))</f>
        <v>204773225</v>
      </c>
      <c r="AG1553" s="4">
        <f>$E1553+27</f>
        <v>135</v>
      </c>
      <c r="AH1553" s="8">
        <f>IF($J1553=0,0,ROUND(MAX($J1553*1.4*1.5*1.6*1.6*2.2*2.715*2.6*1.4*1.4*1.5*1.5*3.2,60500000000*(1.654288^(MIN($E1553,123)-117)))*1,0))</f>
        <v>652011566</v>
      </c>
    </row>
    <row r="1554" ht="27.75" customHeight="1" spans="1:34" x14ac:dyDescent="0.25">
      <c r="A1554" s="3">
        <v>1564</v>
      </c>
      <c r="B1554" s="3" t="s">
        <v>163</v>
      </c>
      <c r="C1554" s="3" t="s">
        <v>1119</v>
      </c>
      <c r="D1554" s="3" t="s">
        <v>40</v>
      </c>
      <c r="E1554" s="3">
        <v>108</v>
      </c>
      <c r="F1554" s="3" t="s">
        <v>71</v>
      </c>
      <c r="G1554" s="3" t="s">
        <v>1120</v>
      </c>
      <c r="H1554" s="3">
        <v>25</v>
      </c>
      <c r="I1554" s="4">
        <v>108</v>
      </c>
      <c r="J1554" s="5">
        <v>204000</v>
      </c>
      <c r="K1554" s="6">
        <f>$E1554+1</f>
        <v>109</v>
      </c>
      <c r="L1554" s="7">
        <f>IF($J1554=0,0,ROUND(MAX($J1554*1.4,1620000*(1.497923^(MIN($E1554,123)-117)))*1,0))</f>
        <v>285600</v>
      </c>
      <c r="M1554" s="4">
        <f>$E1554+2</f>
        <v>110</v>
      </c>
      <c r="N1554" s="8">
        <f>IF($J1554=0,0,ROUND(MAX($J1554*1.4*1.5,2190000*(1.580994^(MIN($E1554,123)-117)))*1,0))</f>
        <v>428400</v>
      </c>
      <c r="O1554" s="6">
        <f>$E1554+4</f>
        <v>112</v>
      </c>
      <c r="P1554" s="7">
        <f>IF($J1554=0,0,ROUND(MAX($J1554*1.4*1.5*1.6,3500000*(1.57975^(MIN($E1554,123)-117)))*1,0))</f>
        <v>685440</v>
      </c>
      <c r="Q1554" s="4">
        <f>$E1554+6</f>
        <v>114</v>
      </c>
      <c r="R1554" s="8">
        <f>IF($J1554=0,0,ROUND(MAX($J1554*1.4*1.5*1.6*1.6,13100000*(1.429962^(MIN($E1554,123)-117)))*1,0))</f>
        <v>1096704</v>
      </c>
      <c r="S1554" s="6">
        <f>$E1554+8</f>
        <v>116</v>
      </c>
      <c r="T1554" s="7">
        <f>IF($J1554=0,0,ROUND(MAX($J1554*1.4*1.5*1.6*1.6*2.2,42600000*(1.576904^(MIN($E1554,123)-117)))*1,0))</f>
        <v>2412749</v>
      </c>
      <c r="U1554" s="4">
        <f>$E1554+11</f>
        <v>119</v>
      </c>
      <c r="V1554" s="8">
        <f>IF($J1554=0,0,ROUND(MAX($J1554*1.4*1.5*1.6*1.6*2.2*2.715,354000000*(1.642074^(MIN($E1554,123)-117)))*1,0))</f>
        <v>6550613</v>
      </c>
      <c r="W1554" s="6">
        <f>$E1554+15</f>
        <v>123</v>
      </c>
      <c r="X1554" s="7">
        <f>IF($J1554=0,0,ROUND(MAX($J1554*1.4*1.5*1.6*1.6*2.2*2.715*2.6,3540000000*(1.579646^(MIN($E1554,123)-117)))*1,0))</f>
        <v>57804988</v>
      </c>
      <c r="Y1554" s="4">
        <f>$E1554+17</f>
        <v>125</v>
      </c>
      <c r="Z1554" s="8">
        <f>IF($J1554=0,0,ROUND(MAX($J1554*1.4*1.5*1.6*1.6*2.2*2.715*2.6*1.4,6020000000*(1.651178^(MIN($E1554,123)-117)))*1,0))</f>
        <v>65985946</v>
      </c>
      <c r="AA1554" s="6">
        <f>$E1554+19</f>
        <v>127</v>
      </c>
      <c r="AB1554" s="7">
        <f>IF($J1554=0,0,ROUND(MAX($J1554*1.4*1.5*1.6*1.6*2.2*2.715*2.6*1.4*1.4,8430000000*(1.651435^(MIN($E1554,123)-117)))*1,0))</f>
        <v>92272909</v>
      </c>
      <c r="AC1554" s="4">
        <f>$E1554+21</f>
        <v>129</v>
      </c>
      <c r="AD1554" s="8">
        <f>IF($J1554=0,0,ROUND(MAX($J1554*1.4*1.5*1.6*1.6*2.2*2.715*2.6*1.4*1.4*1.5,12600000000*(1.652953^(MIN($E1554,123)-117)))*1,0))</f>
        <v>136781071</v>
      </c>
      <c r="AE1554" s="6">
        <f>$E1554+24</f>
        <v>132</v>
      </c>
      <c r="AF1554" s="7">
        <f>IF($J1554=0,0,ROUND(MAX($J1554*1.4*1.5*1.6*1.6*2.2*2.715*2.6*1.4*1.4*1.5*1.5,18900000000*(1.65331^(MIN($E1554,123)-117)))*1,0))</f>
        <v>204773225</v>
      </c>
      <c r="AG1554" s="4">
        <f>$E1554+27</f>
        <v>135</v>
      </c>
      <c r="AH1554" s="8">
        <f>IF($J1554=0,0,ROUND(MAX($J1554*1.4*1.5*1.6*1.6*2.2*2.715*2.6*1.4*1.4*1.5*1.5*3.2,60500000000*(1.654288^(MIN($E1554,123)-117)))*1,0))</f>
        <v>652011566</v>
      </c>
    </row>
    <row r="1555" ht="27.75" customHeight="1" spans="1:34" x14ac:dyDescent="0.25">
      <c r="A1555" s="3">
        <v>1565</v>
      </c>
      <c r="B1555" s="3" t="s">
        <v>652</v>
      </c>
      <c r="C1555" s="3" t="s">
        <v>1119</v>
      </c>
      <c r="D1555" s="3" t="s">
        <v>79</v>
      </c>
      <c r="E1555" s="3">
        <v>108</v>
      </c>
      <c r="F1555" s="3" t="s">
        <v>42</v>
      </c>
      <c r="G1555" s="3" t="s">
        <v>1120</v>
      </c>
      <c r="H1555" s="3">
        <v>25</v>
      </c>
      <c r="I1555" s="4">
        <v>108</v>
      </c>
      <c r="J1555" s="5">
        <v>151000</v>
      </c>
      <c r="K1555" s="6">
        <f>$E1555+1</f>
        <v>109</v>
      </c>
      <c r="L1555" s="7">
        <f>IF($J1555=0,0,ROUND(MAX($J1555*1.4,1620000*(1.497923^(MIN($E1555,123)-117)))*1,0))</f>
        <v>211400</v>
      </c>
      <c r="M1555" s="4">
        <f>$E1555+2</f>
        <v>110</v>
      </c>
      <c r="N1555" s="8">
        <f>IF($J1555=0,0,ROUND(MAX($J1555*1.4*1.5,2190000*(1.580994^(MIN($E1555,123)-117)))*1,0))</f>
        <v>317100</v>
      </c>
      <c r="O1555" s="6">
        <f>$E1555+4</f>
        <v>112</v>
      </c>
      <c r="P1555" s="7">
        <f>IF($J1555=0,0,ROUND(MAX($J1555*1.4*1.5*1.6,3500000*(1.57975^(MIN($E1555,123)-117)))*1,0))</f>
        <v>507360</v>
      </c>
      <c r="Q1555" s="4">
        <f>$E1555+6</f>
        <v>114</v>
      </c>
      <c r="R1555" s="8">
        <f>IF($J1555=0,0,ROUND(MAX($J1555*1.4*1.5*1.6*1.6,13100000*(1.429962^(MIN($E1555,123)-117)))*1,0))</f>
        <v>811776</v>
      </c>
      <c r="S1555" s="6">
        <f>$E1555+8</f>
        <v>116</v>
      </c>
      <c r="T1555" s="7">
        <f>IF($J1555=0,0,ROUND(MAX($J1555*1.4*1.5*1.6*1.6*2.2,42600000*(1.576904^(MIN($E1555,123)-117)))*1,0))</f>
        <v>1785907</v>
      </c>
      <c r="U1555" s="4">
        <f>$E1555+11</f>
        <v>119</v>
      </c>
      <c r="V1555" s="8">
        <f>IF($J1555=0,0,ROUND(MAX($J1555*1.4*1.5*1.6*1.6*2.2*2.715,354000000*(1.642074^(MIN($E1555,123)-117)))*1,0))</f>
        <v>4848738</v>
      </c>
      <c r="W1555" s="6">
        <f>$E1555+15</f>
        <v>123</v>
      </c>
      <c r="X1555" s="7">
        <f>IF($J1555=0,0,ROUND(MAX($J1555*1.4*1.5*1.6*1.6*2.2*2.715*2.6,3540000000*(1.579646^(MIN($E1555,123)-117)))*1,0))</f>
        <v>57804988</v>
      </c>
      <c r="Y1555" s="4">
        <f>$E1555+17</f>
        <v>125</v>
      </c>
      <c r="Z1555" s="8">
        <f>IF($J1555=0,0,ROUND(MAX($J1555*1.4*1.5*1.6*1.6*2.2*2.715*2.6*1.4,6020000000*(1.651178^(MIN($E1555,123)-117)))*1,0))</f>
        <v>65985946</v>
      </c>
      <c r="AA1555" s="6">
        <f>$E1555+19</f>
        <v>127</v>
      </c>
      <c r="AB1555" s="7">
        <f>IF($J1555=0,0,ROUND(MAX($J1555*1.4*1.5*1.6*1.6*2.2*2.715*2.6*1.4*1.4,8430000000*(1.651435^(MIN($E1555,123)-117)))*1,0))</f>
        <v>92272909</v>
      </c>
      <c r="AC1555" s="4">
        <f>$E1555+21</f>
        <v>129</v>
      </c>
      <c r="AD1555" s="8">
        <f>IF($J1555=0,0,ROUND(MAX($J1555*1.4*1.5*1.6*1.6*2.2*2.715*2.6*1.4*1.4*1.5,12600000000*(1.652953^(MIN($E1555,123)-117)))*1,0))</f>
        <v>136781071</v>
      </c>
      <c r="AE1555" s="6">
        <f>$E1555+24</f>
        <v>132</v>
      </c>
      <c r="AF1555" s="7">
        <f>IF($J1555=0,0,ROUND(MAX($J1555*1.4*1.5*1.6*1.6*2.2*2.715*2.6*1.4*1.4*1.5*1.5,18900000000*(1.65331^(MIN($E1555,123)-117)))*1,0))</f>
        <v>204773225</v>
      </c>
      <c r="AG1555" s="4">
        <f>$E1555+27</f>
        <v>135</v>
      </c>
      <c r="AH1555" s="8">
        <f>IF($J1555=0,0,ROUND(MAX($J1555*1.4*1.5*1.6*1.6*2.2*2.715*2.6*1.4*1.4*1.5*1.5*3.2,60500000000*(1.654288^(MIN($E1555,123)-117)))*1,0))</f>
        <v>652011566</v>
      </c>
    </row>
    <row r="1556" ht="27.75" customHeight="1" spans="1:34" x14ac:dyDescent="0.25">
      <c r="A1556" s="3">
        <v>1566</v>
      </c>
      <c r="B1556" s="3" t="s">
        <v>932</v>
      </c>
      <c r="C1556" s="3" t="s">
        <v>1119</v>
      </c>
      <c r="D1556" s="3" t="s">
        <v>75</v>
      </c>
      <c r="E1556" s="3">
        <v>108</v>
      </c>
      <c r="F1556" s="3" t="s">
        <v>42</v>
      </c>
      <c r="G1556" s="3" t="s">
        <v>748</v>
      </c>
      <c r="H1556" s="3">
        <v>24</v>
      </c>
      <c r="I1556" s="4">
        <v>108</v>
      </c>
      <c r="J1556" s="5">
        <v>82200</v>
      </c>
      <c r="K1556" s="6">
        <f>$E1556+1</f>
        <v>109</v>
      </c>
      <c r="L1556" s="7">
        <f>IF($J1556=0,0,ROUND(MAX($J1556*1.4,1620000*(1.497923^(MIN($E1556,123)-117)))*1,0))</f>
        <v>115080</v>
      </c>
      <c r="M1556" s="4">
        <f>$E1556+2</f>
        <v>110</v>
      </c>
      <c r="N1556" s="8">
        <f>IF($J1556=0,0,ROUND(MAX($J1556*1.4*1.5,2190000*(1.580994^(MIN($E1556,123)-117)))*1,0))</f>
        <v>172620</v>
      </c>
      <c r="O1556" s="6">
        <f>$E1556+4</f>
        <v>112</v>
      </c>
      <c r="P1556" s="7">
        <f>IF($J1556=0,0,ROUND(MAX($J1556*1.4*1.5*1.6,3500000*(1.57975^(MIN($E1556,123)-117)))*1,0))</f>
        <v>276192</v>
      </c>
      <c r="Q1556" s="4">
        <f>$E1556+6</f>
        <v>114</v>
      </c>
      <c r="R1556" s="8">
        <f>IF($J1556=0,0,ROUND(MAX($J1556*1.4*1.5*1.6*1.6,13100000*(1.429962^(MIN($E1556,123)-117)))*1,0))</f>
        <v>524024</v>
      </c>
      <c r="S1556" s="6">
        <f>$E1556+8</f>
        <v>116</v>
      </c>
      <c r="T1556" s="7">
        <f>IF($J1556=0,0,ROUND(MAX($J1556*1.4*1.5*1.6*1.6*2.2,42600000*(1.576904^(MIN($E1556,123)-117)))*1,0))</f>
        <v>972196</v>
      </c>
      <c r="U1556" s="4">
        <f>$E1556+11</f>
        <v>119</v>
      </c>
      <c r="V1556" s="8">
        <f>IF($J1556=0,0,ROUND(MAX($J1556*1.4*1.5*1.6*1.6*2.2*2.715,354000000*(1.642074^(MIN($E1556,123)-117)))*1,0))</f>
        <v>4078202</v>
      </c>
      <c r="W1556" s="6">
        <f>$E1556+15</f>
        <v>123</v>
      </c>
      <c r="X1556" s="7">
        <f>IF($J1556=0,0,ROUND(MAX($J1556*1.4*1.5*1.6*1.6*2.2*2.715*2.6,3540000000*(1.579646^(MIN($E1556,123)-117)))*1,0))</f>
        <v>57804988</v>
      </c>
      <c r="Y1556" s="4">
        <f>$E1556+17</f>
        <v>125</v>
      </c>
      <c r="Z1556" s="8">
        <f>IF($J1556=0,0,ROUND(MAX($J1556*1.4*1.5*1.6*1.6*2.2*2.715*2.6*1.4,6020000000*(1.651178^(MIN($E1556,123)-117)))*1,0))</f>
        <v>65985946</v>
      </c>
      <c r="AA1556" s="6">
        <f>$E1556+19</f>
        <v>127</v>
      </c>
      <c r="AB1556" s="7">
        <f>IF($J1556=0,0,ROUND(MAX($J1556*1.4*1.5*1.6*1.6*2.2*2.715*2.6*1.4*1.4,8430000000*(1.651435^(MIN($E1556,123)-117)))*1,0))</f>
        <v>92272909</v>
      </c>
      <c r="AC1556" s="4">
        <f>$E1556+21</f>
        <v>129</v>
      </c>
      <c r="AD1556" s="8">
        <f>IF($J1556=0,0,ROUND(MAX($J1556*1.4*1.5*1.6*1.6*2.2*2.715*2.6*1.4*1.4*1.5,12600000000*(1.652953^(MIN($E1556,123)-117)))*1,0))</f>
        <v>136781071</v>
      </c>
      <c r="AE1556" s="6">
        <f>$E1556+24</f>
        <v>132</v>
      </c>
      <c r="AF1556" s="7">
        <f>IF($J1556=0,0,ROUND(MAX($J1556*1.4*1.5*1.6*1.6*2.2*2.715*2.6*1.4*1.4*1.5*1.5,18900000000*(1.65331^(MIN($E1556,123)-117)))*1,0))</f>
        <v>204773225</v>
      </c>
      <c r="AG1556" s="4">
        <f>$E1556+27</f>
        <v>135</v>
      </c>
      <c r="AH1556" s="8">
        <f>IF($J1556=0,0,ROUND(MAX($J1556*1.4*1.5*1.6*1.6*2.2*2.715*2.6*1.4*1.4*1.5*1.5*3.2,60500000000*(1.654288^(MIN($E1556,123)-117)))*1,0))</f>
        <v>652011566</v>
      </c>
    </row>
    <row r="1557" ht="27.75" customHeight="1" spans="1:34" x14ac:dyDescent="0.25">
      <c r="A1557" s="3">
        <v>1567</v>
      </c>
      <c r="B1557" s="3" t="s">
        <v>948</v>
      </c>
      <c r="C1557" s="3" t="s">
        <v>1119</v>
      </c>
      <c r="D1557" s="3" t="s">
        <v>33</v>
      </c>
      <c r="E1557" s="3">
        <v>108</v>
      </c>
      <c r="F1557" s="3" t="s">
        <v>62</v>
      </c>
      <c r="G1557" s="3" t="s">
        <v>1120</v>
      </c>
      <c r="H1557" s="3">
        <v>24</v>
      </c>
      <c r="I1557" s="4">
        <v>108</v>
      </c>
      <c r="J1557" s="5">
        <v>127000</v>
      </c>
      <c r="K1557" s="6">
        <f>$E1557+1</f>
        <v>109</v>
      </c>
      <c r="L1557" s="7">
        <f>IF($J1557=0,0,ROUND(MAX($J1557*1.4,1620000*(1.497923^(MIN($E1557,123)-117)))*1,0))</f>
        <v>177800</v>
      </c>
      <c r="M1557" s="4">
        <f>$E1557+2</f>
        <v>110</v>
      </c>
      <c r="N1557" s="8">
        <f>IF($J1557=0,0,ROUND(MAX($J1557*1.4*1.5,2190000*(1.580994^(MIN($E1557,123)-117)))*1,0))</f>
        <v>266700</v>
      </c>
      <c r="O1557" s="6">
        <f>$E1557+4</f>
        <v>112</v>
      </c>
      <c r="P1557" s="7">
        <f>IF($J1557=0,0,ROUND(MAX($J1557*1.4*1.5*1.6,3500000*(1.57975^(MIN($E1557,123)-117)))*1,0))</f>
        <v>426720</v>
      </c>
      <c r="Q1557" s="4">
        <f>$E1557+6</f>
        <v>114</v>
      </c>
      <c r="R1557" s="8">
        <f>IF($J1557=0,0,ROUND(MAX($J1557*1.4*1.5*1.6*1.6,13100000*(1.429962^(MIN($E1557,123)-117)))*1,0))</f>
        <v>682752</v>
      </c>
      <c r="S1557" s="6">
        <f>$E1557+8</f>
        <v>116</v>
      </c>
      <c r="T1557" s="7">
        <f>IF($J1557=0,0,ROUND(MAX($J1557*1.4*1.5*1.6*1.6*2.2,42600000*(1.576904^(MIN($E1557,123)-117)))*1,0))</f>
        <v>1502054</v>
      </c>
      <c r="U1557" s="4">
        <f>$E1557+11</f>
        <v>119</v>
      </c>
      <c r="V1557" s="8">
        <f>IF($J1557=0,0,ROUND(MAX($J1557*1.4*1.5*1.6*1.6*2.2*2.715,354000000*(1.642074^(MIN($E1557,123)-117)))*1,0))</f>
        <v>4078202</v>
      </c>
      <c r="W1557" s="6">
        <f>$E1557+15</f>
        <v>123</v>
      </c>
      <c r="X1557" s="7">
        <f>IF($J1557=0,0,ROUND(MAX($J1557*1.4*1.5*1.6*1.6*2.2*2.715*2.6,3540000000*(1.579646^(MIN($E1557,123)-117)))*1,0))</f>
        <v>57804988</v>
      </c>
      <c r="Y1557" s="4">
        <f>$E1557+17</f>
        <v>125</v>
      </c>
      <c r="Z1557" s="8">
        <f>IF($J1557=0,0,ROUND(MAX($J1557*1.4*1.5*1.6*1.6*2.2*2.715*2.6*1.4,6020000000*(1.651178^(MIN($E1557,123)-117)))*1,0))</f>
        <v>65985946</v>
      </c>
      <c r="AA1557" s="6">
        <f>$E1557+19</f>
        <v>127</v>
      </c>
      <c r="AB1557" s="7">
        <f>IF($J1557=0,0,ROUND(MAX($J1557*1.4*1.5*1.6*1.6*2.2*2.715*2.6*1.4*1.4,8430000000*(1.651435^(MIN($E1557,123)-117)))*1,0))</f>
        <v>92272909</v>
      </c>
      <c r="AC1557" s="4">
        <f>$E1557+21</f>
        <v>129</v>
      </c>
      <c r="AD1557" s="8">
        <f>IF($J1557=0,0,ROUND(MAX($J1557*1.4*1.5*1.6*1.6*2.2*2.715*2.6*1.4*1.4*1.5,12600000000*(1.652953^(MIN($E1557,123)-117)))*1,0))</f>
        <v>136781071</v>
      </c>
      <c r="AE1557" s="6">
        <f>$E1557+24</f>
        <v>132</v>
      </c>
      <c r="AF1557" s="7">
        <f>IF($J1557=0,0,ROUND(MAX($J1557*1.4*1.5*1.6*1.6*2.2*2.715*2.6*1.4*1.4*1.5*1.5,18900000000*(1.65331^(MIN($E1557,123)-117)))*1,0))</f>
        <v>204773225</v>
      </c>
      <c r="AG1557" s="4">
        <f>$E1557+27</f>
        <v>135</v>
      </c>
      <c r="AH1557" s="8">
        <f>IF($J1557=0,0,ROUND(MAX($J1557*1.4*1.5*1.6*1.6*2.2*2.715*2.6*1.4*1.4*1.5*1.5*3.2,60500000000*(1.654288^(MIN($E1557,123)-117)))*1,0))</f>
        <v>652011566</v>
      </c>
    </row>
    <row r="1558" ht="27.75" customHeight="1" spans="1:34" x14ac:dyDescent="0.25">
      <c r="A1558" s="3">
        <v>1568</v>
      </c>
      <c r="B1558" s="3" t="s">
        <v>627</v>
      </c>
      <c r="C1558" s="3" t="s">
        <v>1119</v>
      </c>
      <c r="D1558" s="3" t="s">
        <v>29</v>
      </c>
      <c r="E1558" s="3">
        <v>108</v>
      </c>
      <c r="F1558" s="3" t="s">
        <v>71</v>
      </c>
      <c r="G1558" s="3" t="s">
        <v>1120</v>
      </c>
      <c r="H1558" s="3">
        <v>24</v>
      </c>
      <c r="I1558" s="4">
        <v>108</v>
      </c>
      <c r="J1558" s="5">
        <v>198000</v>
      </c>
      <c r="K1558" s="6">
        <f>$E1558+1</f>
        <v>109</v>
      </c>
      <c r="L1558" s="7">
        <f>IF($J1558=0,0,ROUND(MAX($J1558*1.4,1620000*(1.497923^(MIN($E1558,123)-117)))*1,0))</f>
        <v>277200</v>
      </c>
      <c r="M1558" s="4">
        <f>$E1558+2</f>
        <v>110</v>
      </c>
      <c r="N1558" s="8">
        <f>IF($J1558=0,0,ROUND(MAX($J1558*1.4*1.5,2190000*(1.580994^(MIN($E1558,123)-117)))*1,0))</f>
        <v>415800</v>
      </c>
      <c r="O1558" s="6">
        <f>$E1558+4</f>
        <v>112</v>
      </c>
      <c r="P1558" s="7">
        <f>IF($J1558=0,0,ROUND(MAX($J1558*1.4*1.5*1.6,3500000*(1.57975^(MIN($E1558,123)-117)))*1,0))</f>
        <v>665280</v>
      </c>
      <c r="Q1558" s="4">
        <f>$E1558+6</f>
        <v>114</v>
      </c>
      <c r="R1558" s="8">
        <f>IF($J1558=0,0,ROUND(MAX($J1558*1.4*1.5*1.6*1.6,13100000*(1.429962^(MIN($E1558,123)-117)))*1,0))</f>
        <v>1064448</v>
      </c>
      <c r="S1558" s="6">
        <f>$E1558+8</f>
        <v>116</v>
      </c>
      <c r="T1558" s="7">
        <f>IF($J1558=0,0,ROUND(MAX($J1558*1.4*1.5*1.6*1.6*2.2,42600000*(1.576904^(MIN($E1558,123)-117)))*1,0))</f>
        <v>2341786</v>
      </c>
      <c r="U1558" s="4">
        <f>$E1558+11</f>
        <v>119</v>
      </c>
      <c r="V1558" s="8">
        <f>IF($J1558=0,0,ROUND(MAX($J1558*1.4*1.5*1.6*1.6*2.2*2.715,354000000*(1.642074^(MIN($E1558,123)-117)))*1,0))</f>
        <v>6357948</v>
      </c>
      <c r="W1558" s="6">
        <f>$E1558+15</f>
        <v>123</v>
      </c>
      <c r="X1558" s="7">
        <f>IF($J1558=0,0,ROUND(MAX($J1558*1.4*1.5*1.6*1.6*2.2*2.715*2.6,3540000000*(1.579646^(MIN($E1558,123)-117)))*1,0))</f>
        <v>57804988</v>
      </c>
      <c r="Y1558" s="4">
        <f>$E1558+17</f>
        <v>125</v>
      </c>
      <c r="Z1558" s="8">
        <f>IF($J1558=0,0,ROUND(MAX($J1558*1.4*1.5*1.6*1.6*2.2*2.715*2.6*1.4,6020000000*(1.651178^(MIN($E1558,123)-117)))*1,0))</f>
        <v>65985946</v>
      </c>
      <c r="AA1558" s="6">
        <f>$E1558+19</f>
        <v>127</v>
      </c>
      <c r="AB1558" s="7">
        <f>IF($J1558=0,0,ROUND(MAX($J1558*1.4*1.5*1.6*1.6*2.2*2.715*2.6*1.4*1.4,8430000000*(1.651435^(MIN($E1558,123)-117)))*1,0))</f>
        <v>92272909</v>
      </c>
      <c r="AC1558" s="4">
        <f>$E1558+21</f>
        <v>129</v>
      </c>
      <c r="AD1558" s="8">
        <f>IF($J1558=0,0,ROUND(MAX($J1558*1.4*1.5*1.6*1.6*2.2*2.715*2.6*1.4*1.4*1.5,12600000000*(1.652953^(MIN($E1558,123)-117)))*1,0))</f>
        <v>136781071</v>
      </c>
      <c r="AE1558" s="6">
        <f>$E1558+24</f>
        <v>132</v>
      </c>
      <c r="AF1558" s="7">
        <f>IF($J1558=0,0,ROUND(MAX($J1558*1.4*1.5*1.6*1.6*2.2*2.715*2.6*1.4*1.4*1.5*1.5,18900000000*(1.65331^(MIN($E1558,123)-117)))*1,0))</f>
        <v>204773225</v>
      </c>
      <c r="AG1558" s="4">
        <f>$E1558+27</f>
        <v>135</v>
      </c>
      <c r="AH1558" s="8">
        <f>IF($J1558=0,0,ROUND(MAX($J1558*1.4*1.5*1.6*1.6*2.2*2.715*2.6*1.4*1.4*1.5*1.5*3.2,60500000000*(1.654288^(MIN($E1558,123)-117)))*1,0))</f>
        <v>652011566</v>
      </c>
    </row>
    <row r="1559" ht="27.75" customHeight="1" spans="1:34" x14ac:dyDescent="0.25">
      <c r="A1559" s="3">
        <v>1569</v>
      </c>
      <c r="B1559" s="3" t="s">
        <v>166</v>
      </c>
      <c r="C1559" s="3" t="s">
        <v>1119</v>
      </c>
      <c r="D1559" s="3" t="s">
        <v>33</v>
      </c>
      <c r="E1559" s="3">
        <v>108</v>
      </c>
      <c r="F1559" s="3" t="s">
        <v>62</v>
      </c>
      <c r="G1559" s="3" t="s">
        <v>1120</v>
      </c>
      <c r="H1559" s="3">
        <v>24</v>
      </c>
      <c r="I1559" s="4">
        <v>108</v>
      </c>
      <c r="J1559" s="5">
        <v>154000</v>
      </c>
      <c r="K1559" s="6">
        <f>$E1559+1</f>
        <v>109</v>
      </c>
      <c r="L1559" s="7">
        <f>IF($J1559=0,0,ROUND(MAX($J1559*1.4,1620000*(1.497923^(MIN($E1559,123)-117)))*1,0))</f>
        <v>215600</v>
      </c>
      <c r="M1559" s="4">
        <f>$E1559+2</f>
        <v>110</v>
      </c>
      <c r="N1559" s="8">
        <f>IF($J1559=0,0,ROUND(MAX($J1559*1.4*1.5,2190000*(1.580994^(MIN($E1559,123)-117)))*1,0))</f>
        <v>323400</v>
      </c>
      <c r="O1559" s="6">
        <f>$E1559+4</f>
        <v>112</v>
      </c>
      <c r="P1559" s="7">
        <f>IF($J1559=0,0,ROUND(MAX($J1559*1.4*1.5*1.6,3500000*(1.57975^(MIN($E1559,123)-117)))*1,0))</f>
        <v>517440</v>
      </c>
      <c r="Q1559" s="4">
        <f>$E1559+6</f>
        <v>114</v>
      </c>
      <c r="R1559" s="8">
        <f>IF($J1559=0,0,ROUND(MAX($J1559*1.4*1.5*1.6*1.6,13100000*(1.429962^(MIN($E1559,123)-117)))*1,0))</f>
        <v>827904</v>
      </c>
      <c r="S1559" s="6">
        <f>$E1559+8</f>
        <v>116</v>
      </c>
      <c r="T1559" s="7">
        <f>IF($J1559=0,0,ROUND(MAX($J1559*1.4*1.5*1.6*1.6*2.2,42600000*(1.576904^(MIN($E1559,123)-117)))*1,0))</f>
        <v>1821389</v>
      </c>
      <c r="U1559" s="4">
        <f>$E1559+11</f>
        <v>119</v>
      </c>
      <c r="V1559" s="8">
        <f>IF($J1559=0,0,ROUND(MAX($J1559*1.4*1.5*1.6*1.6*2.2*2.715,354000000*(1.642074^(MIN($E1559,123)-117)))*1,0))</f>
        <v>4945071</v>
      </c>
      <c r="W1559" s="6">
        <f>$E1559+15</f>
        <v>123</v>
      </c>
      <c r="X1559" s="7">
        <f>IF($J1559=0,0,ROUND(MAX($J1559*1.4*1.5*1.6*1.6*2.2*2.715*2.6,3540000000*(1.579646^(MIN($E1559,123)-117)))*1,0))</f>
        <v>57804988</v>
      </c>
      <c r="Y1559" s="4">
        <f>$E1559+17</f>
        <v>125</v>
      </c>
      <c r="Z1559" s="8">
        <f>IF($J1559=0,0,ROUND(MAX($J1559*1.4*1.5*1.6*1.6*2.2*2.715*2.6*1.4,6020000000*(1.651178^(MIN($E1559,123)-117)))*1,0))</f>
        <v>65985946</v>
      </c>
      <c r="AA1559" s="6">
        <f>$E1559+19</f>
        <v>127</v>
      </c>
      <c r="AB1559" s="7">
        <f>IF($J1559=0,0,ROUND(MAX($J1559*1.4*1.5*1.6*1.6*2.2*2.715*2.6*1.4*1.4,8430000000*(1.651435^(MIN($E1559,123)-117)))*1,0))</f>
        <v>92272909</v>
      </c>
      <c r="AC1559" s="4">
        <f>$E1559+21</f>
        <v>129</v>
      </c>
      <c r="AD1559" s="8">
        <f>IF($J1559=0,0,ROUND(MAX($J1559*1.4*1.5*1.6*1.6*2.2*2.715*2.6*1.4*1.4*1.5,12600000000*(1.652953^(MIN($E1559,123)-117)))*1,0))</f>
        <v>136781071</v>
      </c>
      <c r="AE1559" s="6">
        <f>$E1559+24</f>
        <v>132</v>
      </c>
      <c r="AF1559" s="7">
        <f>IF($J1559=0,0,ROUND(MAX($J1559*1.4*1.5*1.6*1.6*2.2*2.715*2.6*1.4*1.4*1.5*1.5,18900000000*(1.65331^(MIN($E1559,123)-117)))*1,0))</f>
        <v>204773225</v>
      </c>
      <c r="AG1559" s="4">
        <f>$E1559+27</f>
        <v>135</v>
      </c>
      <c r="AH1559" s="8">
        <f>IF($J1559=0,0,ROUND(MAX($J1559*1.4*1.5*1.6*1.6*2.2*2.715*2.6*1.4*1.4*1.5*1.5*3.2,60500000000*(1.654288^(MIN($E1559,123)-117)))*1,0))</f>
        <v>652011566</v>
      </c>
    </row>
    <row r="1560" ht="27.75" customHeight="1" spans="1:34" x14ac:dyDescent="0.25">
      <c r="A1560" s="3">
        <v>1570</v>
      </c>
      <c r="B1560" s="3" t="s">
        <v>134</v>
      </c>
      <c r="C1560" s="3" t="s">
        <v>1119</v>
      </c>
      <c r="D1560" s="3" t="s">
        <v>331</v>
      </c>
      <c r="E1560" s="3">
        <v>108</v>
      </c>
      <c r="F1560" s="3" t="s">
        <v>26</v>
      </c>
      <c r="G1560" s="3" t="s">
        <v>1120</v>
      </c>
      <c r="H1560" s="3">
        <v>24</v>
      </c>
      <c r="I1560" s="4">
        <v>108</v>
      </c>
      <c r="J1560" s="5">
        <v>149000</v>
      </c>
      <c r="K1560" s="6">
        <f>$E1560+1</f>
        <v>109</v>
      </c>
      <c r="L1560" s="7">
        <f>IF($J1560=0,0,ROUND(MAX($J1560*1.4,1620000*(1.497923^(MIN($E1560,123)-117)))*1,0))</f>
        <v>208600</v>
      </c>
      <c r="M1560" s="4">
        <f>$E1560+2</f>
        <v>110</v>
      </c>
      <c r="N1560" s="8">
        <f>IF($J1560=0,0,ROUND(MAX($J1560*1.4*1.5,2190000*(1.580994^(MIN($E1560,123)-117)))*1,0))</f>
        <v>312900</v>
      </c>
      <c r="O1560" s="6">
        <f>$E1560+4</f>
        <v>112</v>
      </c>
      <c r="P1560" s="7">
        <f>IF($J1560=0,0,ROUND(MAX($J1560*1.4*1.5*1.6,3500000*(1.57975^(MIN($E1560,123)-117)))*1,0))</f>
        <v>500640</v>
      </c>
      <c r="Q1560" s="4">
        <f>$E1560+6</f>
        <v>114</v>
      </c>
      <c r="R1560" s="8">
        <f>IF($J1560=0,0,ROUND(MAX($J1560*1.4*1.5*1.6*1.6,13100000*(1.429962^(MIN($E1560,123)-117)))*1,0))</f>
        <v>801024</v>
      </c>
      <c r="S1560" s="6">
        <f>$E1560+8</f>
        <v>116</v>
      </c>
      <c r="T1560" s="7">
        <f>IF($J1560=0,0,ROUND(MAX($J1560*1.4*1.5*1.6*1.6*2.2,42600000*(1.576904^(MIN($E1560,123)-117)))*1,0))</f>
        <v>1762253</v>
      </c>
      <c r="U1560" s="4">
        <f>$E1560+11</f>
        <v>119</v>
      </c>
      <c r="V1560" s="8">
        <f>IF($J1560=0,0,ROUND(MAX($J1560*1.4*1.5*1.6*1.6*2.2*2.715,354000000*(1.642074^(MIN($E1560,123)-117)))*1,0))</f>
        <v>4784516</v>
      </c>
      <c r="W1560" s="6">
        <f>$E1560+15</f>
        <v>123</v>
      </c>
      <c r="X1560" s="7">
        <f>IF($J1560=0,0,ROUND(MAX($J1560*1.4*1.5*1.6*1.6*2.2*2.715*2.6,3540000000*(1.579646^(MIN($E1560,123)-117)))*1,0))</f>
        <v>57804988</v>
      </c>
      <c r="Y1560" s="4">
        <f>$E1560+17</f>
        <v>125</v>
      </c>
      <c r="Z1560" s="8">
        <f>IF($J1560=0,0,ROUND(MAX($J1560*1.4*1.5*1.6*1.6*2.2*2.715*2.6*1.4,6020000000*(1.651178^(MIN($E1560,123)-117)))*1,0))</f>
        <v>65985946</v>
      </c>
      <c r="AA1560" s="6">
        <f>$E1560+19</f>
        <v>127</v>
      </c>
      <c r="AB1560" s="7">
        <f>IF($J1560=0,0,ROUND(MAX($J1560*1.4*1.5*1.6*1.6*2.2*2.715*2.6*1.4*1.4,8430000000*(1.651435^(MIN($E1560,123)-117)))*1,0))</f>
        <v>92272909</v>
      </c>
      <c r="AC1560" s="4">
        <f>$E1560+21</f>
        <v>129</v>
      </c>
      <c r="AD1560" s="8">
        <f>IF($J1560=0,0,ROUND(MAX($J1560*1.4*1.5*1.6*1.6*2.2*2.715*2.6*1.4*1.4*1.5,12600000000*(1.652953^(MIN($E1560,123)-117)))*1,0))</f>
        <v>136781071</v>
      </c>
      <c r="AE1560" s="6">
        <f>$E1560+24</f>
        <v>132</v>
      </c>
      <c r="AF1560" s="7">
        <f>IF($J1560=0,0,ROUND(MAX($J1560*1.4*1.5*1.6*1.6*2.2*2.715*2.6*1.4*1.4*1.5*1.5,18900000000*(1.65331^(MIN($E1560,123)-117)))*1,0))</f>
        <v>204773225</v>
      </c>
      <c r="AG1560" s="4">
        <f>$E1560+27</f>
        <v>135</v>
      </c>
      <c r="AH1560" s="8">
        <f>IF($J1560=0,0,ROUND(MAX($J1560*1.4*1.5*1.6*1.6*2.2*2.715*2.6*1.4*1.4*1.5*1.5*3.2,60500000000*(1.654288^(MIN($E1560,123)-117)))*1,0))</f>
        <v>652011566</v>
      </c>
    </row>
    <row r="1561" ht="27.75" customHeight="1" spans="1:34" x14ac:dyDescent="0.25">
      <c r="A1561" s="3">
        <v>1571</v>
      </c>
      <c r="B1561" s="3" t="s">
        <v>182</v>
      </c>
      <c r="C1561" s="3" t="s">
        <v>1119</v>
      </c>
      <c r="D1561" s="3" t="s">
        <v>40</v>
      </c>
      <c r="E1561" s="3">
        <v>108</v>
      </c>
      <c r="F1561" s="3" t="s">
        <v>183</v>
      </c>
      <c r="G1561" s="3" t="s">
        <v>1120</v>
      </c>
      <c r="H1561" s="3">
        <v>24</v>
      </c>
      <c r="I1561" s="4">
        <v>108</v>
      </c>
      <c r="J1561" s="5">
        <v>115000</v>
      </c>
      <c r="K1561" s="6">
        <f>$E1561+1</f>
        <v>109</v>
      </c>
      <c r="L1561" s="7">
        <f>IF($J1561=0,0,ROUND(MAX($J1561*1.4,1620000*(1.497923^(MIN($E1561,123)-117)))*1,0))</f>
        <v>161000</v>
      </c>
      <c r="M1561" s="4">
        <f>$E1561+2</f>
        <v>110</v>
      </c>
      <c r="N1561" s="8">
        <f>IF($J1561=0,0,ROUND(MAX($J1561*1.4*1.5,2190000*(1.580994^(MIN($E1561,123)-117)))*1,0))</f>
        <v>241500</v>
      </c>
      <c r="O1561" s="6">
        <f>$E1561+4</f>
        <v>112</v>
      </c>
      <c r="P1561" s="7">
        <f>IF($J1561=0,0,ROUND(MAX($J1561*1.4*1.5*1.6,3500000*(1.57975^(MIN($E1561,123)-117)))*1,0))</f>
        <v>386400</v>
      </c>
      <c r="Q1561" s="4">
        <f>$E1561+6</f>
        <v>114</v>
      </c>
      <c r="R1561" s="8">
        <f>IF($J1561=0,0,ROUND(MAX($J1561*1.4*1.5*1.6*1.6,13100000*(1.429962^(MIN($E1561,123)-117)))*1,0))</f>
        <v>618240</v>
      </c>
      <c r="S1561" s="6">
        <f>$E1561+8</f>
        <v>116</v>
      </c>
      <c r="T1561" s="7">
        <f>IF($J1561=0,0,ROUND(MAX($J1561*1.4*1.5*1.6*1.6*2.2,42600000*(1.576904^(MIN($E1561,123)-117)))*1,0))</f>
        <v>1360128</v>
      </c>
      <c r="U1561" s="4">
        <f>$E1561+11</f>
        <v>119</v>
      </c>
      <c r="V1561" s="8">
        <f>IF($J1561=0,0,ROUND(MAX($J1561*1.4*1.5*1.6*1.6*2.2*2.715,354000000*(1.642074^(MIN($E1561,123)-117)))*1,0))</f>
        <v>4078202</v>
      </c>
      <c r="W1561" s="6">
        <f>$E1561+15</f>
        <v>123</v>
      </c>
      <c r="X1561" s="7">
        <f>IF($J1561=0,0,ROUND(MAX($J1561*1.4*1.5*1.6*1.6*2.2*2.715*2.6,3540000000*(1.579646^(MIN($E1561,123)-117)))*1,0))</f>
        <v>57804988</v>
      </c>
      <c r="Y1561" s="4">
        <f>$E1561+17</f>
        <v>125</v>
      </c>
      <c r="Z1561" s="8">
        <f>IF($J1561=0,0,ROUND(MAX($J1561*1.4*1.5*1.6*1.6*2.2*2.715*2.6*1.4,6020000000*(1.651178^(MIN($E1561,123)-117)))*1,0))</f>
        <v>65985946</v>
      </c>
      <c r="AA1561" s="6">
        <f>$E1561+19</f>
        <v>127</v>
      </c>
      <c r="AB1561" s="7">
        <f>IF($J1561=0,0,ROUND(MAX($J1561*1.4*1.5*1.6*1.6*2.2*2.715*2.6*1.4*1.4,8430000000*(1.651435^(MIN($E1561,123)-117)))*1,0))</f>
        <v>92272909</v>
      </c>
      <c r="AC1561" s="4">
        <f>$E1561+21</f>
        <v>129</v>
      </c>
      <c r="AD1561" s="8">
        <f>IF($J1561=0,0,ROUND(MAX($J1561*1.4*1.5*1.6*1.6*2.2*2.715*2.6*1.4*1.4*1.5,12600000000*(1.652953^(MIN($E1561,123)-117)))*1,0))</f>
        <v>136781071</v>
      </c>
      <c r="AE1561" s="6">
        <f>$E1561+24</f>
        <v>132</v>
      </c>
      <c r="AF1561" s="7">
        <f>IF($J1561=0,0,ROUND(MAX($J1561*1.4*1.5*1.6*1.6*2.2*2.715*2.6*1.4*1.4*1.5*1.5,18900000000*(1.65331^(MIN($E1561,123)-117)))*1,0))</f>
        <v>204773225</v>
      </c>
      <c r="AG1561" s="4">
        <f>$E1561+27</f>
        <v>135</v>
      </c>
      <c r="AH1561" s="8">
        <f>IF($J1561=0,0,ROUND(MAX($J1561*1.4*1.5*1.6*1.6*2.2*2.715*2.6*1.4*1.4*1.5*1.5*3.2,60500000000*(1.654288^(MIN($E1561,123)-117)))*1,0))</f>
        <v>652011566</v>
      </c>
    </row>
    <row r="1562" ht="27.75" customHeight="1" spans="1:34" x14ac:dyDescent="0.25">
      <c r="A1562" s="3">
        <v>1572</v>
      </c>
      <c r="B1562" s="3" t="s">
        <v>180</v>
      </c>
      <c r="C1562" s="3" t="s">
        <v>1119</v>
      </c>
      <c r="D1562" s="3" t="s">
        <v>47</v>
      </c>
      <c r="E1562" s="3">
        <v>108</v>
      </c>
      <c r="F1562" s="3" t="s">
        <v>144</v>
      </c>
      <c r="G1562" s="3" t="s">
        <v>1120</v>
      </c>
      <c r="H1562" s="3">
        <v>22</v>
      </c>
      <c r="I1562" s="4">
        <v>108</v>
      </c>
      <c r="J1562" s="5">
        <v>176000</v>
      </c>
      <c r="K1562" s="6">
        <f>$E1562+1</f>
        <v>109</v>
      </c>
      <c r="L1562" s="7">
        <f>IF($J1562=0,0,ROUND(MAX($J1562*1.4,1620000*(1.497923^(MIN($E1562,123)-117)))*1,0))</f>
        <v>246400</v>
      </c>
      <c r="M1562" s="4">
        <f>$E1562+2</f>
        <v>110</v>
      </c>
      <c r="N1562" s="8">
        <f>IF($J1562=0,0,ROUND(MAX($J1562*1.4*1.5,2190000*(1.580994^(MIN($E1562,123)-117)))*1,0))</f>
        <v>369600</v>
      </c>
      <c r="O1562" s="6">
        <f>$E1562+4</f>
        <v>112</v>
      </c>
      <c r="P1562" s="7">
        <f>IF($J1562=0,0,ROUND(MAX($J1562*1.4*1.5*1.6,3500000*(1.57975^(MIN($E1562,123)-117)))*1,0))</f>
        <v>591360</v>
      </c>
      <c r="Q1562" s="4">
        <f>$E1562+6</f>
        <v>114</v>
      </c>
      <c r="R1562" s="8">
        <f>IF($J1562=0,0,ROUND(MAX($J1562*1.4*1.5*1.6*1.6,13100000*(1.429962^(MIN($E1562,123)-117)))*1,0))</f>
        <v>946176</v>
      </c>
      <c r="S1562" s="6">
        <f>$E1562+8</f>
        <v>116</v>
      </c>
      <c r="T1562" s="7">
        <f>IF($J1562=0,0,ROUND(MAX($J1562*1.4*1.5*1.6*1.6*2.2,42600000*(1.576904^(MIN($E1562,123)-117)))*1,0))</f>
        <v>2081587</v>
      </c>
      <c r="U1562" s="4">
        <f>$E1562+11</f>
        <v>119</v>
      </c>
      <c r="V1562" s="8">
        <f>IF($J1562=0,0,ROUND(MAX($J1562*1.4*1.5*1.6*1.6*2.2*2.715,354000000*(1.642074^(MIN($E1562,123)-117)))*1,0))</f>
        <v>5651509</v>
      </c>
      <c r="W1562" s="6">
        <f>$E1562+15</f>
        <v>123</v>
      </c>
      <c r="X1562" s="7">
        <f>IF($J1562=0,0,ROUND(MAX($J1562*1.4*1.5*1.6*1.6*2.2*2.715*2.6,3540000000*(1.579646^(MIN($E1562,123)-117)))*1,0))</f>
        <v>57804988</v>
      </c>
      <c r="Y1562" s="4">
        <f>$E1562+17</f>
        <v>125</v>
      </c>
      <c r="Z1562" s="8">
        <f>IF($J1562=0,0,ROUND(MAX($J1562*1.4*1.5*1.6*1.6*2.2*2.715*2.6*1.4,6020000000*(1.651178^(MIN($E1562,123)-117)))*1,0))</f>
        <v>65985946</v>
      </c>
      <c r="AA1562" s="6">
        <f>$E1562+19</f>
        <v>127</v>
      </c>
      <c r="AB1562" s="7">
        <f>IF($J1562=0,0,ROUND(MAX($J1562*1.4*1.5*1.6*1.6*2.2*2.715*2.6*1.4*1.4,8430000000*(1.651435^(MIN($E1562,123)-117)))*1,0))</f>
        <v>92272909</v>
      </c>
      <c r="AC1562" s="4">
        <f>$E1562+21</f>
        <v>129</v>
      </c>
      <c r="AD1562" s="8">
        <f>IF($J1562=0,0,ROUND(MAX($J1562*1.4*1.5*1.6*1.6*2.2*2.715*2.6*1.4*1.4*1.5,12600000000*(1.652953^(MIN($E1562,123)-117)))*1,0))</f>
        <v>136781071</v>
      </c>
      <c r="AE1562" s="6">
        <f>$E1562+24</f>
        <v>132</v>
      </c>
      <c r="AF1562" s="7">
        <f>IF($J1562=0,0,ROUND(MAX($J1562*1.4*1.5*1.6*1.6*2.2*2.715*2.6*1.4*1.4*1.5*1.5,18900000000*(1.65331^(MIN($E1562,123)-117)))*1,0))</f>
        <v>204773225</v>
      </c>
      <c r="AG1562" s="4">
        <f>$E1562+27</f>
        <v>135</v>
      </c>
      <c r="AH1562" s="8">
        <f>IF($J1562=0,0,ROUND(MAX($J1562*1.4*1.5*1.6*1.6*2.2*2.715*2.6*1.4*1.4*1.5*1.5*3.2,60500000000*(1.654288^(MIN($E1562,123)-117)))*1,0))</f>
        <v>652011566</v>
      </c>
    </row>
    <row r="1563" ht="27.75" customHeight="1" spans="1:34" x14ac:dyDescent="0.25">
      <c r="A1563" s="3">
        <v>1573</v>
      </c>
      <c r="B1563" s="3" t="s">
        <v>635</v>
      </c>
      <c r="C1563" s="3" t="s">
        <v>1119</v>
      </c>
      <c r="D1563" s="3" t="s">
        <v>40</v>
      </c>
      <c r="E1563" s="3">
        <v>107</v>
      </c>
      <c r="F1563" s="3" t="s">
        <v>310</v>
      </c>
      <c r="G1563" s="3" t="s">
        <v>27</v>
      </c>
      <c r="H1563" s="3">
        <v>25</v>
      </c>
      <c r="I1563" s="4">
        <v>107</v>
      </c>
      <c r="J1563" s="5">
        <v>160000</v>
      </c>
      <c r="K1563" s="6">
        <f>$E1563+1</f>
        <v>108</v>
      </c>
      <c r="L1563" s="7">
        <f>IF($J1563=0,0,ROUND(MAX($J1563*1.4,1620000*(1.497923^(MIN($E1563,123)-117)))*1,0))</f>
        <v>224000</v>
      </c>
      <c r="M1563" s="4">
        <f>$E1563+2</f>
        <v>109</v>
      </c>
      <c r="N1563" s="8">
        <f>IF($J1563=0,0,ROUND(MAX($J1563*1.4*1.5,2190000*(1.580994^(MIN($E1563,123)-117)))*1,0))</f>
        <v>336000</v>
      </c>
      <c r="O1563" s="6">
        <f>$E1563+4</f>
        <v>111</v>
      </c>
      <c r="P1563" s="7">
        <f>IF($J1563=0,0,ROUND(MAX($J1563*1.4*1.5*1.6,3500000*(1.57975^(MIN($E1563,123)-117)))*1,0))</f>
        <v>537600</v>
      </c>
      <c r="Q1563" s="4">
        <f>$E1563+6</f>
        <v>113</v>
      </c>
      <c r="R1563" s="8">
        <f>IF($J1563=0,0,ROUND(MAX($J1563*1.4*1.5*1.6*1.6,13100000*(1.429962^(MIN($E1563,123)-117)))*1,0))</f>
        <v>860160</v>
      </c>
      <c r="S1563" s="6">
        <f>$E1563+8</f>
        <v>115</v>
      </c>
      <c r="T1563" s="7">
        <f>IF($J1563=0,0,ROUND(MAX($J1563*1.4*1.5*1.6*1.6*2.2,42600000*(1.576904^(MIN($E1563,123)-117)))*1,0))</f>
        <v>1892352</v>
      </c>
      <c r="U1563" s="4">
        <f>$E1563+11</f>
        <v>118</v>
      </c>
      <c r="V1563" s="8">
        <f>IF($J1563=0,0,ROUND(MAX($J1563*1.4*1.5*1.6*1.6*2.2*2.715,354000000*(1.642074^(MIN($E1563,123)-117)))*1,0))</f>
        <v>5137736</v>
      </c>
      <c r="W1563" s="6">
        <f>$E1563+15</f>
        <v>122</v>
      </c>
      <c r="X1563" s="7">
        <f>IF($J1563=0,0,ROUND(MAX($J1563*1.4*1.5*1.6*1.6*2.2*2.715*2.6,3540000000*(1.579646^(MIN($E1563,123)-117)))*1,0))</f>
        <v>36593634</v>
      </c>
      <c r="Y1563" s="4">
        <f>$E1563+17</f>
        <v>124</v>
      </c>
      <c r="Z1563" s="8">
        <f>IF($J1563=0,0,ROUND(MAX($J1563*1.4*1.5*1.6*1.6*2.2*2.715*2.6*1.4,6020000000*(1.651178^(MIN($E1563,123)-117)))*1,0))</f>
        <v>39962952</v>
      </c>
      <c r="AA1563" s="6">
        <f>$E1563+19</f>
        <v>126</v>
      </c>
      <c r="AB1563" s="7">
        <f>IF($J1563=0,0,ROUND(MAX($J1563*1.4*1.5*1.6*1.6*2.2*2.715*2.6*1.4*1.4,8430000000*(1.651435^(MIN($E1563,123)-117)))*1,0))</f>
        <v>55874381</v>
      </c>
      <c r="AC1563" s="4">
        <f>$E1563+21</f>
        <v>128</v>
      </c>
      <c r="AD1563" s="8">
        <f>IF($J1563=0,0,ROUND(MAX($J1563*1.4*1.5*1.6*1.6*2.2*2.715*2.6*1.4*1.4*1.5,12600000000*(1.652953^(MIN($E1563,123)-117)))*1,0))</f>
        <v>82749522</v>
      </c>
      <c r="AE1563" s="6">
        <f>$E1563+24</f>
        <v>131</v>
      </c>
      <c r="AF1563" s="7">
        <f>IF($J1563=0,0,ROUND(MAX($J1563*1.4*1.5*1.6*1.6*2.2*2.715*2.6*1.4*1.4*1.5*1.5,18900000000*(1.65331^(MIN($E1563,123)-117)))*1,0))</f>
        <v>123856521</v>
      </c>
      <c r="AG1563" s="4">
        <f>$E1563+27</f>
        <v>134</v>
      </c>
      <c r="AH1563" s="8">
        <f>IF($J1563=0,0,ROUND(MAX($J1563*1.4*1.5*1.6*1.6*2.2*2.715*2.6*1.4*1.4*1.5*1.5*3.2,60500000000*(1.654288^(MIN($E1563,123)-117)))*1,0))</f>
        <v>394134254</v>
      </c>
    </row>
    <row r="1564" ht="27.75" customHeight="1" spans="1:34" x14ac:dyDescent="0.25">
      <c r="A1564" s="3">
        <v>1574</v>
      </c>
      <c r="B1564" s="3" t="s">
        <v>1129</v>
      </c>
      <c r="C1564" s="3" t="s">
        <v>1119</v>
      </c>
      <c r="D1564" s="3" t="s">
        <v>40</v>
      </c>
      <c r="E1564" s="3">
        <v>107</v>
      </c>
      <c r="F1564" s="3" t="s">
        <v>1093</v>
      </c>
      <c r="G1564" s="3" t="s">
        <v>106</v>
      </c>
      <c r="H1564" s="3">
        <v>25</v>
      </c>
      <c r="I1564" s="4">
        <v>107</v>
      </c>
      <c r="J1564" s="5">
        <v>80200</v>
      </c>
      <c r="K1564" s="6">
        <f>$E1564+1</f>
        <v>108</v>
      </c>
      <c r="L1564" s="7">
        <f>IF($J1564=0,0,ROUND(MAX($J1564*1.4,1620000*(1.497923^(MIN($E1564,123)-117)))*1,0))</f>
        <v>112280</v>
      </c>
      <c r="M1564" s="4">
        <f>$E1564+2</f>
        <v>109</v>
      </c>
      <c r="N1564" s="8">
        <f>IF($J1564=0,0,ROUND(MAX($J1564*1.4*1.5,2190000*(1.580994^(MIN($E1564,123)-117)))*1,0))</f>
        <v>168420</v>
      </c>
      <c r="O1564" s="6">
        <f>$E1564+4</f>
        <v>111</v>
      </c>
      <c r="P1564" s="7">
        <f>IF($J1564=0,0,ROUND(MAX($J1564*1.4*1.5*1.6,3500000*(1.57975^(MIN($E1564,123)-117)))*1,0))</f>
        <v>269472</v>
      </c>
      <c r="Q1564" s="4">
        <f>$E1564+6</f>
        <v>113</v>
      </c>
      <c r="R1564" s="8">
        <f>IF($J1564=0,0,ROUND(MAX($J1564*1.4*1.5*1.6*1.6,13100000*(1.429962^(MIN($E1564,123)-117)))*1,0))</f>
        <v>431155</v>
      </c>
      <c r="S1564" s="6">
        <f>$E1564+8</f>
        <v>115</v>
      </c>
      <c r="T1564" s="7">
        <f>IF($J1564=0,0,ROUND(MAX($J1564*1.4*1.5*1.6*1.6*2.2,42600000*(1.576904^(MIN($E1564,123)-117)))*1,0))</f>
        <v>948541</v>
      </c>
      <c r="U1564" s="4">
        <f>$E1564+11</f>
        <v>118</v>
      </c>
      <c r="V1564" s="8">
        <f>IF($J1564=0,0,ROUND(MAX($J1564*1.4*1.5*1.6*1.6*2.2*2.715,354000000*(1.642074^(MIN($E1564,123)-117)))*1,0))</f>
        <v>2575290</v>
      </c>
      <c r="W1564" s="6">
        <f>$E1564+15</f>
        <v>122</v>
      </c>
      <c r="X1564" s="7">
        <f>IF($J1564=0,0,ROUND(MAX($J1564*1.4*1.5*1.6*1.6*2.2*2.715*2.6,3540000000*(1.579646^(MIN($E1564,123)-117)))*1,0))</f>
        <v>36593634</v>
      </c>
      <c r="Y1564" s="4">
        <f>$E1564+17</f>
        <v>124</v>
      </c>
      <c r="Z1564" s="8">
        <f>IF($J1564=0,0,ROUND(MAX($J1564*1.4*1.5*1.6*1.6*2.2*2.715*2.6*1.4,6020000000*(1.651178^(MIN($E1564,123)-117)))*1,0))</f>
        <v>39962952</v>
      </c>
      <c r="AA1564" s="6">
        <f>$E1564+19</f>
        <v>126</v>
      </c>
      <c r="AB1564" s="7">
        <f>IF($J1564=0,0,ROUND(MAX($J1564*1.4*1.5*1.6*1.6*2.2*2.715*2.6*1.4*1.4,8430000000*(1.651435^(MIN($E1564,123)-117)))*1,0))</f>
        <v>55874381</v>
      </c>
      <c r="AC1564" s="4">
        <f>$E1564+21</f>
        <v>128</v>
      </c>
      <c r="AD1564" s="8">
        <f>IF($J1564=0,0,ROUND(MAX($J1564*1.4*1.5*1.6*1.6*2.2*2.715*2.6*1.4*1.4*1.5,12600000000*(1.652953^(MIN($E1564,123)-117)))*1,0))</f>
        <v>82749522</v>
      </c>
      <c r="AE1564" s="6">
        <f>$E1564+24</f>
        <v>131</v>
      </c>
      <c r="AF1564" s="7">
        <f>IF($J1564=0,0,ROUND(MAX($J1564*1.4*1.5*1.6*1.6*2.2*2.715*2.6*1.4*1.4*1.5*1.5,18900000000*(1.65331^(MIN($E1564,123)-117)))*1,0))</f>
        <v>123856521</v>
      </c>
      <c r="AG1564" s="4">
        <f>$E1564+27</f>
        <v>134</v>
      </c>
      <c r="AH1564" s="8">
        <f>IF($J1564=0,0,ROUND(MAX($J1564*1.4*1.5*1.6*1.6*2.2*2.715*2.6*1.4*1.4*1.5*1.5*3.2,60500000000*(1.654288^(MIN($E1564,123)-117)))*1,0))</f>
        <v>394134254</v>
      </c>
    </row>
    <row r="1565" ht="27.75" customHeight="1" spans="1:34" x14ac:dyDescent="0.25">
      <c r="A1565" s="3">
        <v>1575</v>
      </c>
      <c r="B1565" s="3" t="s">
        <v>135</v>
      </c>
      <c r="C1565" s="3" t="s">
        <v>1119</v>
      </c>
      <c r="D1565" s="3" t="s">
        <v>29</v>
      </c>
      <c r="E1565" s="3">
        <v>107</v>
      </c>
      <c r="F1565" s="3" t="s">
        <v>136</v>
      </c>
      <c r="G1565" s="3" t="s">
        <v>1120</v>
      </c>
      <c r="H1565" s="3">
        <v>24</v>
      </c>
      <c r="I1565" s="4">
        <v>107</v>
      </c>
      <c r="J1565" s="5">
        <v>50700</v>
      </c>
      <c r="K1565" s="6">
        <f>$E1565+1</f>
        <v>108</v>
      </c>
      <c r="L1565" s="7">
        <f>IF($J1565=0,0,ROUND(MAX($J1565*1.4,1620000*(1.497923^(MIN($E1565,123)-117)))*1,0))</f>
        <v>70980</v>
      </c>
      <c r="M1565" s="4">
        <f>$E1565+2</f>
        <v>109</v>
      </c>
      <c r="N1565" s="8">
        <f>IF($J1565=0,0,ROUND(MAX($J1565*1.4*1.5,2190000*(1.580994^(MIN($E1565,123)-117)))*1,0))</f>
        <v>106470</v>
      </c>
      <c r="O1565" s="6">
        <f>$E1565+4</f>
        <v>111</v>
      </c>
      <c r="P1565" s="7">
        <f>IF($J1565=0,0,ROUND(MAX($J1565*1.4*1.5*1.6,3500000*(1.57975^(MIN($E1565,123)-117)))*1,0))</f>
        <v>170352</v>
      </c>
      <c r="Q1565" s="4">
        <f>$E1565+6</f>
        <v>113</v>
      </c>
      <c r="R1565" s="8">
        <f>IF($J1565=0,0,ROUND(MAX($J1565*1.4*1.5*1.6*1.6,13100000*(1.429962^(MIN($E1565,123)-117)))*1,0))</f>
        <v>366460</v>
      </c>
      <c r="S1565" s="6">
        <f>$E1565+8</f>
        <v>115</v>
      </c>
      <c r="T1565" s="7">
        <f>IF($J1565=0,0,ROUND(MAX($J1565*1.4*1.5*1.6*1.6*2.2,42600000*(1.576904^(MIN($E1565,123)-117)))*1,0))</f>
        <v>599639</v>
      </c>
      <c r="U1565" s="4">
        <f>$E1565+11</f>
        <v>118</v>
      </c>
      <c r="V1565" s="8">
        <f>IF($J1565=0,0,ROUND(MAX($J1565*1.4*1.5*1.6*1.6*2.2*2.715,354000000*(1.642074^(MIN($E1565,123)-117)))*1,0))</f>
        <v>2483568</v>
      </c>
      <c r="W1565" s="6">
        <f>$E1565+15</f>
        <v>122</v>
      </c>
      <c r="X1565" s="7">
        <f>IF($J1565=0,0,ROUND(MAX($J1565*1.4*1.5*1.6*1.6*2.2*2.715*2.6,3540000000*(1.579646^(MIN($E1565,123)-117)))*1,0))</f>
        <v>36593634</v>
      </c>
      <c r="Y1565" s="4">
        <f>$E1565+17</f>
        <v>124</v>
      </c>
      <c r="Z1565" s="8">
        <f>IF($J1565=0,0,ROUND(MAX($J1565*1.4*1.5*1.6*1.6*2.2*2.715*2.6*1.4,6020000000*(1.651178^(MIN($E1565,123)-117)))*1,0))</f>
        <v>39962952</v>
      </c>
      <c r="AA1565" s="6">
        <f>$E1565+19</f>
        <v>126</v>
      </c>
      <c r="AB1565" s="7">
        <f>IF($J1565=0,0,ROUND(MAX($J1565*1.4*1.5*1.6*1.6*2.2*2.715*2.6*1.4*1.4,8430000000*(1.651435^(MIN($E1565,123)-117)))*1,0))</f>
        <v>55874381</v>
      </c>
      <c r="AC1565" s="4">
        <f>$E1565+21</f>
        <v>128</v>
      </c>
      <c r="AD1565" s="8">
        <f>IF($J1565=0,0,ROUND(MAX($J1565*1.4*1.5*1.6*1.6*2.2*2.715*2.6*1.4*1.4*1.5,12600000000*(1.652953^(MIN($E1565,123)-117)))*1,0))</f>
        <v>82749522</v>
      </c>
      <c r="AE1565" s="6">
        <f>$E1565+24</f>
        <v>131</v>
      </c>
      <c r="AF1565" s="7">
        <f>IF($J1565=0,0,ROUND(MAX($J1565*1.4*1.5*1.6*1.6*2.2*2.715*2.6*1.4*1.4*1.5*1.5,18900000000*(1.65331^(MIN($E1565,123)-117)))*1,0))</f>
        <v>123856521</v>
      </c>
      <c r="AG1565" s="4">
        <f>$E1565+27</f>
        <v>134</v>
      </c>
      <c r="AH1565" s="8">
        <f>IF($J1565=0,0,ROUND(MAX($J1565*1.4*1.5*1.6*1.6*2.2*2.715*2.6*1.4*1.4*1.5*1.5*3.2,60500000000*(1.654288^(MIN($E1565,123)-117)))*1,0))</f>
        <v>394134254</v>
      </c>
    </row>
    <row r="1566" ht="27.75" customHeight="1" spans="1:34" x14ac:dyDescent="0.25">
      <c r="A1566" s="3">
        <v>1576</v>
      </c>
      <c r="B1566" s="3" t="s">
        <v>299</v>
      </c>
      <c r="C1566" s="3" t="s">
        <v>1119</v>
      </c>
      <c r="D1566" s="3" t="s">
        <v>102</v>
      </c>
      <c r="E1566" s="3">
        <v>107</v>
      </c>
      <c r="F1566" s="3" t="s">
        <v>298</v>
      </c>
      <c r="G1566" s="3" t="s">
        <v>300</v>
      </c>
      <c r="H1566" s="3">
        <v>24</v>
      </c>
      <c r="I1566" s="4">
        <v>107</v>
      </c>
      <c r="J1566" s="5">
        <v>74900</v>
      </c>
      <c r="K1566" s="6">
        <f>$E1566+1</f>
        <v>108</v>
      </c>
      <c r="L1566" s="7">
        <f>IF($J1566=0,0,ROUND(MAX($J1566*1.4,1620000*(1.497923^(MIN($E1566,123)-117)))*1,0))</f>
        <v>104860</v>
      </c>
      <c r="M1566" s="4">
        <f>$E1566+2</f>
        <v>109</v>
      </c>
      <c r="N1566" s="8">
        <f>IF($J1566=0,0,ROUND(MAX($J1566*1.4*1.5,2190000*(1.580994^(MIN($E1566,123)-117)))*1,0))</f>
        <v>157290</v>
      </c>
      <c r="O1566" s="6">
        <f>$E1566+4</f>
        <v>111</v>
      </c>
      <c r="P1566" s="7">
        <f>IF($J1566=0,0,ROUND(MAX($J1566*1.4*1.5*1.6,3500000*(1.57975^(MIN($E1566,123)-117)))*1,0))</f>
        <v>251664</v>
      </c>
      <c r="Q1566" s="4">
        <f>$E1566+6</f>
        <v>113</v>
      </c>
      <c r="R1566" s="8">
        <f>IF($J1566=0,0,ROUND(MAX($J1566*1.4*1.5*1.6*1.6,13100000*(1.429962^(MIN($E1566,123)-117)))*1,0))</f>
        <v>402662</v>
      </c>
      <c r="S1566" s="6">
        <f>$E1566+8</f>
        <v>115</v>
      </c>
      <c r="T1566" s="7">
        <f>IF($J1566=0,0,ROUND(MAX($J1566*1.4*1.5*1.6*1.6*2.2,42600000*(1.576904^(MIN($E1566,123)-117)))*1,0))</f>
        <v>885857</v>
      </c>
      <c r="U1566" s="4">
        <f>$E1566+11</f>
        <v>118</v>
      </c>
      <c r="V1566" s="8">
        <f>IF($J1566=0,0,ROUND(MAX($J1566*1.4*1.5*1.6*1.6*2.2*2.715,354000000*(1.642074^(MIN($E1566,123)-117)))*1,0))</f>
        <v>2483568</v>
      </c>
      <c r="W1566" s="6">
        <f>$E1566+15</f>
        <v>122</v>
      </c>
      <c r="X1566" s="7">
        <f>IF($J1566=0,0,ROUND(MAX($J1566*1.4*1.5*1.6*1.6*2.2*2.715*2.6,3540000000*(1.579646^(MIN($E1566,123)-117)))*1,0))</f>
        <v>36593634</v>
      </c>
      <c r="Y1566" s="4">
        <f>$E1566+17</f>
        <v>124</v>
      </c>
      <c r="Z1566" s="8">
        <f>IF($J1566=0,0,ROUND(MAX($J1566*1.4*1.5*1.6*1.6*2.2*2.715*2.6*1.4,6020000000*(1.651178^(MIN($E1566,123)-117)))*1,0))</f>
        <v>39962952</v>
      </c>
      <c r="AA1566" s="6">
        <f>$E1566+19</f>
        <v>126</v>
      </c>
      <c r="AB1566" s="7">
        <f>IF($J1566=0,0,ROUND(MAX($J1566*1.4*1.5*1.6*1.6*2.2*2.715*2.6*1.4*1.4,8430000000*(1.651435^(MIN($E1566,123)-117)))*1,0))</f>
        <v>55874381</v>
      </c>
      <c r="AC1566" s="4">
        <f>$E1566+21</f>
        <v>128</v>
      </c>
      <c r="AD1566" s="8">
        <f>IF($J1566=0,0,ROUND(MAX($J1566*1.4*1.5*1.6*1.6*2.2*2.715*2.6*1.4*1.4*1.5,12600000000*(1.652953^(MIN($E1566,123)-117)))*1,0))</f>
        <v>82749522</v>
      </c>
      <c r="AE1566" s="6">
        <f>$E1566+24</f>
        <v>131</v>
      </c>
      <c r="AF1566" s="7">
        <f>IF($J1566=0,0,ROUND(MAX($J1566*1.4*1.5*1.6*1.6*2.2*2.715*2.6*1.4*1.4*1.5*1.5,18900000000*(1.65331^(MIN($E1566,123)-117)))*1,0))</f>
        <v>123856521</v>
      </c>
      <c r="AG1566" s="4">
        <f>$E1566+27</f>
        <v>134</v>
      </c>
      <c r="AH1566" s="8">
        <f>IF($J1566=0,0,ROUND(MAX($J1566*1.4*1.5*1.6*1.6*2.2*2.715*2.6*1.4*1.4*1.5*1.5*3.2,60500000000*(1.654288^(MIN($E1566,123)-117)))*1,0))</f>
        <v>394134254</v>
      </c>
    </row>
    <row r="1567" ht="27.75" customHeight="1" spans="1:34" x14ac:dyDescent="0.25">
      <c r="A1567" s="3">
        <v>1577</v>
      </c>
      <c r="B1567" s="3" t="s">
        <v>1130</v>
      </c>
      <c r="C1567" s="3" t="s">
        <v>1119</v>
      </c>
      <c r="D1567" s="3" t="s">
        <v>25</v>
      </c>
      <c r="E1567" s="3">
        <v>107</v>
      </c>
      <c r="F1567" s="3" t="s">
        <v>146</v>
      </c>
      <c r="G1567" s="3" t="s">
        <v>1013</v>
      </c>
      <c r="H1567" s="3">
        <v>24</v>
      </c>
      <c r="I1567" s="4">
        <v>107</v>
      </c>
      <c r="J1567" s="5">
        <v>87300</v>
      </c>
      <c r="K1567" s="6">
        <f>$E1567+1</f>
        <v>108</v>
      </c>
      <c r="L1567" s="7">
        <f>IF($J1567=0,0,ROUND(MAX($J1567*1.4,1620000*(1.497923^(MIN($E1567,123)-117)))*1,0))</f>
        <v>122220</v>
      </c>
      <c r="M1567" s="4">
        <f>$E1567+2</f>
        <v>109</v>
      </c>
      <c r="N1567" s="8">
        <f>IF($J1567=0,0,ROUND(MAX($J1567*1.4*1.5,2190000*(1.580994^(MIN($E1567,123)-117)))*1,0))</f>
        <v>183330</v>
      </c>
      <c r="O1567" s="6">
        <f>$E1567+4</f>
        <v>111</v>
      </c>
      <c r="P1567" s="7">
        <f>IF($J1567=0,0,ROUND(MAX($J1567*1.4*1.5*1.6,3500000*(1.57975^(MIN($E1567,123)-117)))*1,0))</f>
        <v>293328</v>
      </c>
      <c r="Q1567" s="4">
        <f>$E1567+6</f>
        <v>113</v>
      </c>
      <c r="R1567" s="8">
        <f>IF($J1567=0,0,ROUND(MAX($J1567*1.4*1.5*1.6*1.6,13100000*(1.429962^(MIN($E1567,123)-117)))*1,0))</f>
        <v>469325</v>
      </c>
      <c r="S1567" s="6">
        <f>$E1567+8</f>
        <v>115</v>
      </c>
      <c r="T1567" s="7">
        <f>IF($J1567=0,0,ROUND(MAX($J1567*1.4*1.5*1.6*1.6*2.2,42600000*(1.576904^(MIN($E1567,123)-117)))*1,0))</f>
        <v>1032515</v>
      </c>
      <c r="U1567" s="4">
        <f>$E1567+11</f>
        <v>118</v>
      </c>
      <c r="V1567" s="8">
        <f>IF($J1567=0,0,ROUND(MAX($J1567*1.4*1.5*1.6*1.6*2.2*2.715,354000000*(1.642074^(MIN($E1567,123)-117)))*1,0))</f>
        <v>2803277</v>
      </c>
      <c r="W1567" s="6">
        <f>$E1567+15</f>
        <v>122</v>
      </c>
      <c r="X1567" s="7">
        <f>IF($J1567=0,0,ROUND(MAX($J1567*1.4*1.5*1.6*1.6*2.2*2.715*2.6,3540000000*(1.579646^(MIN($E1567,123)-117)))*1,0))</f>
        <v>36593634</v>
      </c>
      <c r="Y1567" s="4">
        <f>$E1567+17</f>
        <v>124</v>
      </c>
      <c r="Z1567" s="8">
        <f>IF($J1567=0,0,ROUND(MAX($J1567*1.4*1.5*1.6*1.6*2.2*2.715*2.6*1.4,6020000000*(1.651178^(MIN($E1567,123)-117)))*1,0))</f>
        <v>39962952</v>
      </c>
      <c r="AA1567" s="6">
        <f>$E1567+19</f>
        <v>126</v>
      </c>
      <c r="AB1567" s="7">
        <f>IF($J1567=0,0,ROUND(MAX($J1567*1.4*1.5*1.6*1.6*2.2*2.715*2.6*1.4*1.4,8430000000*(1.651435^(MIN($E1567,123)-117)))*1,0))</f>
        <v>55874381</v>
      </c>
      <c r="AC1567" s="4">
        <f>$E1567+21</f>
        <v>128</v>
      </c>
      <c r="AD1567" s="8">
        <f>IF($J1567=0,0,ROUND(MAX($J1567*1.4*1.5*1.6*1.6*2.2*2.715*2.6*1.4*1.4*1.5,12600000000*(1.652953^(MIN($E1567,123)-117)))*1,0))</f>
        <v>82749522</v>
      </c>
      <c r="AE1567" s="6">
        <f>$E1567+24</f>
        <v>131</v>
      </c>
      <c r="AF1567" s="7">
        <f>IF($J1567=0,0,ROUND(MAX($J1567*1.4*1.5*1.6*1.6*2.2*2.715*2.6*1.4*1.4*1.5*1.5,18900000000*(1.65331^(MIN($E1567,123)-117)))*1,0))</f>
        <v>123856521</v>
      </c>
      <c r="AG1567" s="4">
        <f>$E1567+27</f>
        <v>134</v>
      </c>
      <c r="AH1567" s="8">
        <f>IF($J1567=0,0,ROUND(MAX($J1567*1.4*1.5*1.6*1.6*2.2*2.715*2.6*1.4*1.4*1.5*1.5*3.2,60500000000*(1.654288^(MIN($E1567,123)-117)))*1,0))</f>
        <v>394134254</v>
      </c>
    </row>
    <row r="1568" ht="27.75" customHeight="1" spans="1:34" x14ac:dyDescent="0.25">
      <c r="A1568" s="3">
        <v>1578</v>
      </c>
      <c r="B1568" s="3" t="s">
        <v>747</v>
      </c>
      <c r="C1568" s="3" t="s">
        <v>1119</v>
      </c>
      <c r="D1568" s="3" t="s">
        <v>102</v>
      </c>
      <c r="E1568" s="3">
        <v>107</v>
      </c>
      <c r="F1568" s="3" t="s">
        <v>310</v>
      </c>
      <c r="G1568" s="3" t="s">
        <v>748</v>
      </c>
      <c r="H1568" s="3">
        <v>24</v>
      </c>
      <c r="I1568" s="4">
        <v>107</v>
      </c>
      <c r="J1568" s="5">
        <v>188000</v>
      </c>
      <c r="K1568" s="6">
        <f>$E1568+1</f>
        <v>108</v>
      </c>
      <c r="L1568" s="7">
        <f>IF($J1568=0,0,ROUND(MAX($J1568*1.4,1620000*(1.497923^(MIN($E1568,123)-117)))*1,0))</f>
        <v>263200</v>
      </c>
      <c r="M1568" s="4">
        <f>$E1568+2</f>
        <v>109</v>
      </c>
      <c r="N1568" s="8">
        <f>IF($J1568=0,0,ROUND(MAX($J1568*1.4*1.5,2190000*(1.580994^(MIN($E1568,123)-117)))*1,0))</f>
        <v>394800</v>
      </c>
      <c r="O1568" s="6">
        <f>$E1568+4</f>
        <v>111</v>
      </c>
      <c r="P1568" s="7">
        <f>IF($J1568=0,0,ROUND(MAX($J1568*1.4*1.5*1.6,3500000*(1.57975^(MIN($E1568,123)-117)))*1,0))</f>
        <v>631680</v>
      </c>
      <c r="Q1568" s="4">
        <f>$E1568+6</f>
        <v>113</v>
      </c>
      <c r="R1568" s="8">
        <f>IF($J1568=0,0,ROUND(MAX($J1568*1.4*1.5*1.6*1.6,13100000*(1.429962^(MIN($E1568,123)-117)))*1,0))</f>
        <v>1010688</v>
      </c>
      <c r="S1568" s="6">
        <f>$E1568+8</f>
        <v>115</v>
      </c>
      <c r="T1568" s="7">
        <f>IF($J1568=0,0,ROUND(MAX($J1568*1.4*1.5*1.6*1.6*2.2,42600000*(1.576904^(MIN($E1568,123)-117)))*1,0))</f>
        <v>2223514</v>
      </c>
      <c r="U1568" s="4">
        <f>$E1568+11</f>
        <v>118</v>
      </c>
      <c r="V1568" s="8">
        <f>IF($J1568=0,0,ROUND(MAX($J1568*1.4*1.5*1.6*1.6*2.2*2.715,354000000*(1.642074^(MIN($E1568,123)-117)))*1,0))</f>
        <v>6036839</v>
      </c>
      <c r="W1568" s="6">
        <f>$E1568+15</f>
        <v>122</v>
      </c>
      <c r="X1568" s="7">
        <f>IF($J1568=0,0,ROUND(MAX($J1568*1.4*1.5*1.6*1.6*2.2*2.715*2.6,3540000000*(1.579646^(MIN($E1568,123)-117)))*1,0))</f>
        <v>36593634</v>
      </c>
      <c r="Y1568" s="4">
        <f>$E1568+17</f>
        <v>124</v>
      </c>
      <c r="Z1568" s="8">
        <f>IF($J1568=0,0,ROUND(MAX($J1568*1.4*1.5*1.6*1.6*2.2*2.715*2.6*1.4,6020000000*(1.651178^(MIN($E1568,123)-117)))*1,0))</f>
        <v>39962952</v>
      </c>
      <c r="AA1568" s="6">
        <f>$E1568+19</f>
        <v>126</v>
      </c>
      <c r="AB1568" s="7">
        <f>IF($J1568=0,0,ROUND(MAX($J1568*1.4*1.5*1.6*1.6*2.2*2.715*2.6*1.4*1.4,8430000000*(1.651435^(MIN($E1568,123)-117)))*1,0))</f>
        <v>55874381</v>
      </c>
      <c r="AC1568" s="4">
        <f>$E1568+21</f>
        <v>128</v>
      </c>
      <c r="AD1568" s="8">
        <f>IF($J1568=0,0,ROUND(MAX($J1568*1.4*1.5*1.6*1.6*2.2*2.715*2.6*1.4*1.4*1.5,12600000000*(1.652953^(MIN($E1568,123)-117)))*1,0))</f>
        <v>82749522</v>
      </c>
      <c r="AE1568" s="6">
        <f>$E1568+24</f>
        <v>131</v>
      </c>
      <c r="AF1568" s="7">
        <f>IF($J1568=0,0,ROUND(MAX($J1568*1.4*1.5*1.6*1.6*2.2*2.715*2.6*1.4*1.4*1.5*1.5,18900000000*(1.65331^(MIN($E1568,123)-117)))*1,0))</f>
        <v>123856521</v>
      </c>
      <c r="AG1568" s="4">
        <f>$E1568+27</f>
        <v>134</v>
      </c>
      <c r="AH1568" s="8">
        <f>IF($J1568=0,0,ROUND(MAX($J1568*1.4*1.5*1.6*1.6*2.2*2.715*2.6*1.4*1.4*1.5*1.5*3.2,60500000000*(1.654288^(MIN($E1568,123)-117)))*1,0))</f>
        <v>394134254</v>
      </c>
    </row>
    <row r="1569" ht="27.75" customHeight="1" spans="1:34" x14ac:dyDescent="0.25">
      <c r="A1569" s="3">
        <v>1579</v>
      </c>
      <c r="B1569" s="3" t="s">
        <v>1131</v>
      </c>
      <c r="C1569" s="3" t="s">
        <v>1119</v>
      </c>
      <c r="D1569" s="3" t="s">
        <v>33</v>
      </c>
      <c r="E1569" s="3">
        <v>107</v>
      </c>
      <c r="F1569" s="3" t="s">
        <v>310</v>
      </c>
      <c r="G1569" s="3" t="s">
        <v>1120</v>
      </c>
      <c r="H1569" s="3">
        <v>24</v>
      </c>
      <c r="I1569" s="4">
        <v>107</v>
      </c>
      <c r="J1569" s="5">
        <v>10600000</v>
      </c>
      <c r="K1569" s="6">
        <f>$E1569+1</f>
        <v>108</v>
      </c>
      <c r="L1569" s="7">
        <f>IF($J1569=0,0,ROUND(MAX($J1569*1.4,1620000*(1.497923^(MIN($E1569,123)-117)))*1,0))</f>
        <v>14840000</v>
      </c>
      <c r="M1569" s="4">
        <f>$E1569+2</f>
        <v>109</v>
      </c>
      <c r="N1569" s="8">
        <f>IF($J1569=0,0,ROUND(MAX($J1569*1.4*1.5,2190000*(1.580994^(MIN($E1569,123)-117)))*1,0))</f>
        <v>22260000</v>
      </c>
      <c r="O1569" s="6">
        <f>$E1569+4</f>
        <v>111</v>
      </c>
      <c r="P1569" s="7">
        <f>IF($J1569=0,0,ROUND(MAX($J1569*1.4*1.5*1.6,3500000*(1.57975^(MIN($E1569,123)-117)))*1,0))</f>
        <v>35616000</v>
      </c>
      <c r="Q1569" s="4">
        <f>$E1569+6</f>
        <v>113</v>
      </c>
      <c r="R1569" s="8">
        <f>IF($J1569=0,0,ROUND(MAX($J1569*1.4*1.5*1.6*1.6,13100000*(1.429962^(MIN($E1569,123)-117)))*1,0))</f>
        <v>56985600</v>
      </c>
      <c r="S1569" s="6">
        <f>$E1569+8</f>
        <v>115</v>
      </c>
      <c r="T1569" s="7">
        <f>IF($J1569=0,0,ROUND(MAX($J1569*1.4*1.5*1.6*1.6*2.2,42600000*(1.576904^(MIN($E1569,123)-117)))*1,0))</f>
        <v>125368320</v>
      </c>
      <c r="U1569" s="4">
        <f>$E1569+11</f>
        <v>118</v>
      </c>
      <c r="V1569" s="8">
        <f>IF($J1569=0,0,ROUND(MAX($J1569*1.4*1.5*1.6*1.6*2.2*2.715,354000000*(1.642074^(MIN($E1569,123)-117)))*1,0))</f>
        <v>340374989</v>
      </c>
      <c r="W1569" s="6">
        <f>$E1569+15</f>
        <v>122</v>
      </c>
      <c r="X1569" s="7">
        <f>IF($J1569=0,0,ROUND(MAX($J1569*1.4*1.5*1.6*1.6*2.2*2.715*2.6,3540000000*(1.579646^(MIN($E1569,123)-117)))*1,0))</f>
        <v>884974971</v>
      </c>
      <c r="Y1569" s="4">
        <f>$E1569+17</f>
        <v>124</v>
      </c>
      <c r="Z1569" s="8">
        <f>IF($J1569=0,0,ROUND(MAX($J1569*1.4*1.5*1.6*1.6*2.2*2.715*2.6*1.4,6020000000*(1.651178^(MIN($E1569,123)-117)))*1,0))</f>
        <v>1238964959</v>
      </c>
      <c r="AA1569" s="6">
        <f>$E1569+19</f>
        <v>126</v>
      </c>
      <c r="AB1569" s="7">
        <f>IF($J1569=0,0,ROUND(MAX($J1569*1.4*1.5*1.6*1.6*2.2*2.715*2.6*1.4*1.4,8430000000*(1.651435^(MIN($E1569,123)-117)))*1,0))</f>
        <v>1734550943</v>
      </c>
      <c r="AC1569" s="4">
        <f>$E1569+21</f>
        <v>128</v>
      </c>
      <c r="AD1569" s="8">
        <f>IF($J1569=0,0,ROUND(MAX($J1569*1.4*1.5*1.6*1.6*2.2*2.715*2.6*1.4*1.4*1.5,12600000000*(1.652953^(MIN($E1569,123)-117)))*1,0))</f>
        <v>2601826414</v>
      </c>
      <c r="AE1569" s="6">
        <f>$E1569+24</f>
        <v>131</v>
      </c>
      <c r="AF1569" s="7">
        <f>IF($J1569=0,0,ROUND(MAX($J1569*1.4*1.5*1.6*1.6*2.2*2.715*2.6*1.4*1.4*1.5*1.5,18900000000*(1.65331^(MIN($E1569,123)-117)))*1,0))</f>
        <v>3902739622</v>
      </c>
      <c r="AG1569" s="4">
        <f>$E1569+27</f>
        <v>134</v>
      </c>
      <c r="AH1569" s="8">
        <f>IF($J1569=0,0,ROUND(MAX($J1569*1.4*1.5*1.6*1.6*2.2*2.715*2.6*1.4*1.4*1.5*1.5*3.2,60500000000*(1.654288^(MIN($E1569,123)-117)))*1,0))</f>
        <v>12488766789</v>
      </c>
    </row>
    <row r="1570" ht="27.75" customHeight="1" spans="1:34" x14ac:dyDescent="0.25">
      <c r="A1570" s="3">
        <v>1580</v>
      </c>
      <c r="B1570" s="3" t="s">
        <v>191</v>
      </c>
      <c r="C1570" s="3" t="s">
        <v>1119</v>
      </c>
      <c r="D1570" s="3" t="s">
        <v>40</v>
      </c>
      <c r="E1570" s="3">
        <v>107</v>
      </c>
      <c r="F1570" s="3" t="s">
        <v>120</v>
      </c>
      <c r="G1570" s="3" t="s">
        <v>1120</v>
      </c>
      <c r="H1570" s="3">
        <v>24</v>
      </c>
      <c r="I1570" s="4">
        <v>107</v>
      </c>
      <c r="J1570" s="5">
        <v>64100</v>
      </c>
      <c r="K1570" s="6">
        <f>$E1570+1</f>
        <v>108</v>
      </c>
      <c r="L1570" s="7">
        <f>IF($J1570=0,0,ROUND(MAX($J1570*1.4,1620000*(1.497923^(MIN($E1570,123)-117)))*1,0))</f>
        <v>89740</v>
      </c>
      <c r="M1570" s="4">
        <f>$E1570+2</f>
        <v>109</v>
      </c>
      <c r="N1570" s="8">
        <f>IF($J1570=0,0,ROUND(MAX($J1570*1.4*1.5,2190000*(1.580994^(MIN($E1570,123)-117)))*1,0))</f>
        <v>134610</v>
      </c>
      <c r="O1570" s="6">
        <f>$E1570+4</f>
        <v>111</v>
      </c>
      <c r="P1570" s="7">
        <f>IF($J1570=0,0,ROUND(MAX($J1570*1.4*1.5*1.6,3500000*(1.57975^(MIN($E1570,123)-117)))*1,0))</f>
        <v>215376</v>
      </c>
      <c r="Q1570" s="4">
        <f>$E1570+6</f>
        <v>113</v>
      </c>
      <c r="R1570" s="8">
        <f>IF($J1570=0,0,ROUND(MAX($J1570*1.4*1.5*1.6*1.6,13100000*(1.429962^(MIN($E1570,123)-117)))*1,0))</f>
        <v>366460</v>
      </c>
      <c r="S1570" s="6">
        <f>$E1570+8</f>
        <v>115</v>
      </c>
      <c r="T1570" s="7">
        <f>IF($J1570=0,0,ROUND(MAX($J1570*1.4*1.5*1.6*1.6*2.2,42600000*(1.576904^(MIN($E1570,123)-117)))*1,0))</f>
        <v>758124</v>
      </c>
      <c r="U1570" s="4">
        <f>$E1570+11</f>
        <v>118</v>
      </c>
      <c r="V1570" s="8">
        <f>IF($J1570=0,0,ROUND(MAX($J1570*1.4*1.5*1.6*1.6*2.2*2.715,354000000*(1.642074^(MIN($E1570,123)-117)))*1,0))</f>
        <v>2483568</v>
      </c>
      <c r="W1570" s="6">
        <f>$E1570+15</f>
        <v>122</v>
      </c>
      <c r="X1570" s="7">
        <f>IF($J1570=0,0,ROUND(MAX($J1570*1.4*1.5*1.6*1.6*2.2*2.715*2.6,3540000000*(1.579646^(MIN($E1570,123)-117)))*1,0))</f>
        <v>36593634</v>
      </c>
      <c r="Y1570" s="4">
        <f>$E1570+17</f>
        <v>124</v>
      </c>
      <c r="Z1570" s="8">
        <f>IF($J1570=0,0,ROUND(MAX($J1570*1.4*1.5*1.6*1.6*2.2*2.715*2.6*1.4,6020000000*(1.651178^(MIN($E1570,123)-117)))*1,0))</f>
        <v>39962952</v>
      </c>
      <c r="AA1570" s="6">
        <f>$E1570+19</f>
        <v>126</v>
      </c>
      <c r="AB1570" s="7">
        <f>IF($J1570=0,0,ROUND(MAX($J1570*1.4*1.5*1.6*1.6*2.2*2.715*2.6*1.4*1.4,8430000000*(1.651435^(MIN($E1570,123)-117)))*1,0))</f>
        <v>55874381</v>
      </c>
      <c r="AC1570" s="4">
        <f>$E1570+21</f>
        <v>128</v>
      </c>
      <c r="AD1570" s="8">
        <f>IF($J1570=0,0,ROUND(MAX($J1570*1.4*1.5*1.6*1.6*2.2*2.715*2.6*1.4*1.4*1.5,12600000000*(1.652953^(MIN($E1570,123)-117)))*1,0))</f>
        <v>82749522</v>
      </c>
      <c r="AE1570" s="6">
        <f>$E1570+24</f>
        <v>131</v>
      </c>
      <c r="AF1570" s="7">
        <f>IF($J1570=0,0,ROUND(MAX($J1570*1.4*1.5*1.6*1.6*2.2*2.715*2.6*1.4*1.4*1.5*1.5,18900000000*(1.65331^(MIN($E1570,123)-117)))*1,0))</f>
        <v>123856521</v>
      </c>
      <c r="AG1570" s="4">
        <f>$E1570+27</f>
        <v>134</v>
      </c>
      <c r="AH1570" s="8">
        <f>IF($J1570=0,0,ROUND(MAX($J1570*1.4*1.5*1.6*1.6*2.2*2.715*2.6*1.4*1.4*1.5*1.5*3.2,60500000000*(1.654288^(MIN($E1570,123)-117)))*1,0))</f>
        <v>394134254</v>
      </c>
    </row>
    <row r="1571" ht="27.75" customHeight="1" spans="1:34" x14ac:dyDescent="0.25">
      <c r="A1571" s="3">
        <v>1581</v>
      </c>
      <c r="B1571" s="3" t="s">
        <v>186</v>
      </c>
      <c r="C1571" s="3" t="s">
        <v>1119</v>
      </c>
      <c r="D1571" s="3" t="s">
        <v>75</v>
      </c>
      <c r="E1571" s="3">
        <v>107</v>
      </c>
      <c r="F1571" s="3" t="s">
        <v>56</v>
      </c>
      <c r="G1571" s="3" t="s">
        <v>1120</v>
      </c>
      <c r="H1571" s="3">
        <v>24</v>
      </c>
      <c r="I1571" s="4">
        <v>107</v>
      </c>
      <c r="J1571" s="5">
        <v>277000</v>
      </c>
      <c r="K1571" s="6">
        <f>$E1571+1</f>
        <v>108</v>
      </c>
      <c r="L1571" s="7">
        <f>IF($J1571=0,0,ROUND(MAX($J1571*1.4,1620000*(1.497923^(MIN($E1571,123)-117)))*1,0))</f>
        <v>387800</v>
      </c>
      <c r="M1571" s="4">
        <f>$E1571+2</f>
        <v>109</v>
      </c>
      <c r="N1571" s="8">
        <f>IF($J1571=0,0,ROUND(MAX($J1571*1.4*1.5,2190000*(1.580994^(MIN($E1571,123)-117)))*1,0))</f>
        <v>581700</v>
      </c>
      <c r="O1571" s="6">
        <f>$E1571+4</f>
        <v>111</v>
      </c>
      <c r="P1571" s="7">
        <f>IF($J1571=0,0,ROUND(MAX($J1571*1.4*1.5*1.6,3500000*(1.57975^(MIN($E1571,123)-117)))*1,0))</f>
        <v>930720</v>
      </c>
      <c r="Q1571" s="4">
        <f>$E1571+6</f>
        <v>113</v>
      </c>
      <c r="R1571" s="8">
        <f>IF($J1571=0,0,ROUND(MAX($J1571*1.4*1.5*1.6*1.6,13100000*(1.429962^(MIN($E1571,123)-117)))*1,0))</f>
        <v>1489152</v>
      </c>
      <c r="S1571" s="6">
        <f>$E1571+8</f>
        <v>115</v>
      </c>
      <c r="T1571" s="7">
        <f>IF($J1571=0,0,ROUND(MAX($J1571*1.4*1.5*1.6*1.6*2.2,42600000*(1.576904^(MIN($E1571,123)-117)))*1,0))</f>
        <v>3276134</v>
      </c>
      <c r="U1571" s="4">
        <f>$E1571+11</f>
        <v>118</v>
      </c>
      <c r="V1571" s="8">
        <f>IF($J1571=0,0,ROUND(MAX($J1571*1.4*1.5*1.6*1.6*2.2*2.715,354000000*(1.642074^(MIN($E1571,123)-117)))*1,0))</f>
        <v>8894705</v>
      </c>
      <c r="W1571" s="6">
        <f>$E1571+15</f>
        <v>122</v>
      </c>
      <c r="X1571" s="7">
        <f>IF($J1571=0,0,ROUND(MAX($J1571*1.4*1.5*1.6*1.6*2.2*2.715*2.6,3540000000*(1.579646^(MIN($E1571,123)-117)))*1,0))</f>
        <v>36593634</v>
      </c>
      <c r="Y1571" s="4">
        <f>$E1571+17</f>
        <v>124</v>
      </c>
      <c r="Z1571" s="8">
        <f>IF($J1571=0,0,ROUND(MAX($J1571*1.4*1.5*1.6*1.6*2.2*2.715*2.6*1.4,6020000000*(1.651178^(MIN($E1571,123)-117)))*1,0))</f>
        <v>39962952</v>
      </c>
      <c r="AA1571" s="6">
        <f>$E1571+19</f>
        <v>126</v>
      </c>
      <c r="AB1571" s="7">
        <f>IF($J1571=0,0,ROUND(MAX($J1571*1.4*1.5*1.6*1.6*2.2*2.715*2.6*1.4*1.4,8430000000*(1.651435^(MIN($E1571,123)-117)))*1,0))</f>
        <v>55874381</v>
      </c>
      <c r="AC1571" s="4">
        <f>$E1571+21</f>
        <v>128</v>
      </c>
      <c r="AD1571" s="8">
        <f>IF($J1571=0,0,ROUND(MAX($J1571*1.4*1.5*1.6*1.6*2.2*2.715*2.6*1.4*1.4*1.5,12600000000*(1.652953^(MIN($E1571,123)-117)))*1,0))</f>
        <v>82749522</v>
      </c>
      <c r="AE1571" s="6">
        <f>$E1571+24</f>
        <v>131</v>
      </c>
      <c r="AF1571" s="7">
        <f>IF($J1571=0,0,ROUND(MAX($J1571*1.4*1.5*1.6*1.6*2.2*2.715*2.6*1.4*1.4*1.5*1.5,18900000000*(1.65331^(MIN($E1571,123)-117)))*1,0))</f>
        <v>123856521</v>
      </c>
      <c r="AG1571" s="4">
        <f>$E1571+27</f>
        <v>134</v>
      </c>
      <c r="AH1571" s="8">
        <f>IF($J1571=0,0,ROUND(MAX($J1571*1.4*1.5*1.6*1.6*2.2*2.715*2.6*1.4*1.4*1.5*1.5*3.2,60500000000*(1.654288^(MIN($E1571,123)-117)))*1,0))</f>
        <v>394134254</v>
      </c>
    </row>
    <row r="1572" ht="27.75" customHeight="1" spans="1:34" x14ac:dyDescent="0.25">
      <c r="A1572" s="3">
        <v>1582</v>
      </c>
      <c r="B1572" s="3" t="s">
        <v>602</v>
      </c>
      <c r="C1572" s="3" t="s">
        <v>1119</v>
      </c>
      <c r="D1572" s="3" t="s">
        <v>33</v>
      </c>
      <c r="E1572" s="3">
        <v>107</v>
      </c>
      <c r="F1572" s="3" t="s">
        <v>108</v>
      </c>
      <c r="G1572" s="3" t="s">
        <v>1120</v>
      </c>
      <c r="H1572" s="3">
        <v>23</v>
      </c>
      <c r="I1572" s="4">
        <v>107</v>
      </c>
      <c r="J1572" s="5">
        <v>62900</v>
      </c>
      <c r="K1572" s="6">
        <f>$E1572+1</f>
        <v>108</v>
      </c>
      <c r="L1572" s="7">
        <f>IF($J1572=0,0,ROUND(MAX($J1572*1.4,1620000*(1.497923^(MIN($E1572,123)-117)))*1,0))</f>
        <v>88060</v>
      </c>
      <c r="M1572" s="4">
        <f>$E1572+2</f>
        <v>109</v>
      </c>
      <c r="N1572" s="8">
        <f>IF($J1572=0,0,ROUND(MAX($J1572*1.4*1.5,2190000*(1.580994^(MIN($E1572,123)-117)))*1,0))</f>
        <v>132090</v>
      </c>
      <c r="O1572" s="6">
        <f>$E1572+4</f>
        <v>111</v>
      </c>
      <c r="P1572" s="7">
        <f>IF($J1572=0,0,ROUND(MAX($J1572*1.4*1.5*1.6,3500000*(1.57975^(MIN($E1572,123)-117)))*1,0))</f>
        <v>211344</v>
      </c>
      <c r="Q1572" s="4">
        <f>$E1572+6</f>
        <v>113</v>
      </c>
      <c r="R1572" s="8">
        <f>IF($J1572=0,0,ROUND(MAX($J1572*1.4*1.5*1.6*1.6,13100000*(1.429962^(MIN($E1572,123)-117)))*1,0))</f>
        <v>366460</v>
      </c>
      <c r="S1572" s="6">
        <f>$E1572+8</f>
        <v>115</v>
      </c>
      <c r="T1572" s="7">
        <f>IF($J1572=0,0,ROUND(MAX($J1572*1.4*1.5*1.6*1.6*2.2,42600000*(1.576904^(MIN($E1572,123)-117)))*1,0))</f>
        <v>743931</v>
      </c>
      <c r="U1572" s="4">
        <f>$E1572+11</f>
        <v>118</v>
      </c>
      <c r="V1572" s="8">
        <f>IF($J1572=0,0,ROUND(MAX($J1572*1.4*1.5*1.6*1.6*2.2*2.715,354000000*(1.642074^(MIN($E1572,123)-117)))*1,0))</f>
        <v>2483568</v>
      </c>
      <c r="W1572" s="6">
        <f>$E1572+15</f>
        <v>122</v>
      </c>
      <c r="X1572" s="7">
        <f>IF($J1572=0,0,ROUND(MAX($J1572*1.4*1.5*1.6*1.6*2.2*2.715*2.6,3540000000*(1.579646^(MIN($E1572,123)-117)))*1,0))</f>
        <v>36593634</v>
      </c>
      <c r="Y1572" s="4">
        <f>$E1572+17</f>
        <v>124</v>
      </c>
      <c r="Z1572" s="8">
        <f>IF($J1572=0,0,ROUND(MAX($J1572*1.4*1.5*1.6*1.6*2.2*2.715*2.6*1.4,6020000000*(1.651178^(MIN($E1572,123)-117)))*1,0))</f>
        <v>39962952</v>
      </c>
      <c r="AA1572" s="6">
        <f>$E1572+19</f>
        <v>126</v>
      </c>
      <c r="AB1572" s="7">
        <f>IF($J1572=0,0,ROUND(MAX($J1572*1.4*1.5*1.6*1.6*2.2*2.715*2.6*1.4*1.4,8430000000*(1.651435^(MIN($E1572,123)-117)))*1,0))</f>
        <v>55874381</v>
      </c>
      <c r="AC1572" s="4">
        <f>$E1572+21</f>
        <v>128</v>
      </c>
      <c r="AD1572" s="8">
        <f>IF($J1572=0,0,ROUND(MAX($J1572*1.4*1.5*1.6*1.6*2.2*2.715*2.6*1.4*1.4*1.5,12600000000*(1.652953^(MIN($E1572,123)-117)))*1,0))</f>
        <v>82749522</v>
      </c>
      <c r="AE1572" s="6">
        <f>$E1572+24</f>
        <v>131</v>
      </c>
      <c r="AF1572" s="7">
        <f>IF($J1572=0,0,ROUND(MAX($J1572*1.4*1.5*1.6*1.6*2.2*2.715*2.6*1.4*1.4*1.5*1.5,18900000000*(1.65331^(MIN($E1572,123)-117)))*1,0))</f>
        <v>123856521</v>
      </c>
      <c r="AG1572" s="4">
        <f>$E1572+27</f>
        <v>134</v>
      </c>
      <c r="AH1572" s="8">
        <f>IF($J1572=0,0,ROUND(MAX($J1572*1.4*1.5*1.6*1.6*2.2*2.715*2.6*1.4*1.4*1.5*1.5*3.2,60500000000*(1.654288^(MIN($E1572,123)-117)))*1,0))</f>
        <v>394134254</v>
      </c>
    </row>
    <row r="1573" ht="27.75" customHeight="1" spans="1:34" x14ac:dyDescent="0.25">
      <c r="A1573" s="3">
        <v>1583</v>
      </c>
      <c r="B1573" s="3" t="s">
        <v>1132</v>
      </c>
      <c r="C1573" s="3" t="s">
        <v>1119</v>
      </c>
      <c r="D1573" s="3" t="s">
        <v>47</v>
      </c>
      <c r="E1573" s="3">
        <v>107</v>
      </c>
      <c r="F1573" s="3" t="s">
        <v>237</v>
      </c>
      <c r="G1573" s="3" t="s">
        <v>1133</v>
      </c>
      <c r="H1573" s="3">
        <v>21</v>
      </c>
      <c r="I1573" s="4">
        <v>107</v>
      </c>
      <c r="J1573" s="5">
        <v>120000</v>
      </c>
      <c r="K1573" s="6">
        <f>$E1573+1</f>
        <v>108</v>
      </c>
      <c r="L1573" s="7">
        <f>IF($J1573=0,0,ROUND(MAX($J1573*1.4,1620000*(1.497923^(MIN($E1573,123)-117)))*1,0))</f>
        <v>168000</v>
      </c>
      <c r="M1573" s="4">
        <f>$E1573+2</f>
        <v>109</v>
      </c>
      <c r="N1573" s="8">
        <f>IF($J1573=0,0,ROUND(MAX($J1573*1.4*1.5,2190000*(1.580994^(MIN($E1573,123)-117)))*1,0))</f>
        <v>252000</v>
      </c>
      <c r="O1573" s="6">
        <f>$E1573+4</f>
        <v>111</v>
      </c>
      <c r="P1573" s="7">
        <f>IF($J1573=0,0,ROUND(MAX($J1573*1.4*1.5*1.6,3500000*(1.57975^(MIN($E1573,123)-117)))*1,0))</f>
        <v>403200</v>
      </c>
      <c r="Q1573" s="4">
        <f>$E1573+6</f>
        <v>113</v>
      </c>
      <c r="R1573" s="8">
        <f>IF($J1573=0,0,ROUND(MAX($J1573*1.4*1.5*1.6*1.6,13100000*(1.429962^(MIN($E1573,123)-117)))*1,0))</f>
        <v>645120</v>
      </c>
      <c r="S1573" s="6">
        <f>$E1573+8</f>
        <v>115</v>
      </c>
      <c r="T1573" s="7">
        <f>IF($J1573=0,0,ROUND(MAX($J1573*1.4*1.5*1.6*1.6*2.2,42600000*(1.576904^(MIN($E1573,123)-117)))*1,0))</f>
        <v>1419264</v>
      </c>
      <c r="U1573" s="4">
        <f>$E1573+11</f>
        <v>118</v>
      </c>
      <c r="V1573" s="8">
        <f>IF($J1573=0,0,ROUND(MAX($J1573*1.4*1.5*1.6*1.6*2.2*2.715,354000000*(1.642074^(MIN($E1573,123)-117)))*1,0))</f>
        <v>3853302</v>
      </c>
      <c r="W1573" s="6">
        <f>$E1573+15</f>
        <v>122</v>
      </c>
      <c r="X1573" s="7">
        <f>IF($J1573=0,0,ROUND(MAX($J1573*1.4*1.5*1.6*1.6*2.2*2.715*2.6,3540000000*(1.579646^(MIN($E1573,123)-117)))*1,0))</f>
        <v>36593634</v>
      </c>
      <c r="Y1573" s="4">
        <f>$E1573+17</f>
        <v>124</v>
      </c>
      <c r="Z1573" s="8">
        <f>IF($J1573=0,0,ROUND(MAX($J1573*1.4*1.5*1.6*1.6*2.2*2.715*2.6*1.4,6020000000*(1.651178^(MIN($E1573,123)-117)))*1,0))</f>
        <v>39962952</v>
      </c>
      <c r="AA1573" s="6">
        <f>$E1573+19</f>
        <v>126</v>
      </c>
      <c r="AB1573" s="7">
        <f>IF($J1573=0,0,ROUND(MAX($J1573*1.4*1.5*1.6*1.6*2.2*2.715*2.6*1.4*1.4,8430000000*(1.651435^(MIN($E1573,123)-117)))*1,0))</f>
        <v>55874381</v>
      </c>
      <c r="AC1573" s="4">
        <f>$E1573+21</f>
        <v>128</v>
      </c>
      <c r="AD1573" s="8">
        <f>IF($J1573=0,0,ROUND(MAX($J1573*1.4*1.5*1.6*1.6*2.2*2.715*2.6*1.4*1.4*1.5,12600000000*(1.652953^(MIN($E1573,123)-117)))*1,0))</f>
        <v>82749522</v>
      </c>
      <c r="AE1573" s="6">
        <f>$E1573+24</f>
        <v>131</v>
      </c>
      <c r="AF1573" s="7">
        <f>IF($J1573=0,0,ROUND(MAX($J1573*1.4*1.5*1.6*1.6*2.2*2.715*2.6*1.4*1.4*1.5*1.5,18900000000*(1.65331^(MIN($E1573,123)-117)))*1,0))</f>
        <v>123856521</v>
      </c>
      <c r="AG1573" s="4">
        <f>$E1573+27</f>
        <v>134</v>
      </c>
      <c r="AH1573" s="8">
        <f>IF($J1573=0,0,ROUND(MAX($J1573*1.4*1.5*1.6*1.6*2.2*2.715*2.6*1.4*1.4*1.5*1.5*3.2,60500000000*(1.654288^(MIN($E1573,123)-117)))*1,0))</f>
        <v>394134254</v>
      </c>
    </row>
    <row r="1574" ht="27.75" customHeight="1" spans="1:34" x14ac:dyDescent="0.25">
      <c r="A1574" s="3">
        <v>1584</v>
      </c>
      <c r="B1574" s="3" t="s">
        <v>1134</v>
      </c>
      <c r="C1574" s="3" t="s">
        <v>1119</v>
      </c>
      <c r="D1574" s="3" t="s">
        <v>47</v>
      </c>
      <c r="E1574" s="3">
        <v>107</v>
      </c>
      <c r="F1574" s="3" t="s">
        <v>492</v>
      </c>
      <c r="G1574" s="3" t="s">
        <v>1120</v>
      </c>
      <c r="H1574" s="3">
        <v>21</v>
      </c>
      <c r="I1574" s="4">
        <v>107</v>
      </c>
      <c r="J1574" s="5">
        <v>74100</v>
      </c>
      <c r="K1574" s="6">
        <f>$E1574+1</f>
        <v>108</v>
      </c>
      <c r="L1574" s="7">
        <f>IF($J1574=0,0,ROUND(MAX($J1574*1.4,1620000*(1.497923^(MIN($E1574,123)-117)))*1,0))</f>
        <v>103740</v>
      </c>
      <c r="M1574" s="4">
        <f>$E1574+2</f>
        <v>109</v>
      </c>
      <c r="N1574" s="8">
        <f>IF($J1574=0,0,ROUND(MAX($J1574*1.4*1.5,2190000*(1.580994^(MIN($E1574,123)-117)))*1,0))</f>
        <v>155610</v>
      </c>
      <c r="O1574" s="6">
        <f>$E1574+4</f>
        <v>111</v>
      </c>
      <c r="P1574" s="7">
        <f>IF($J1574=0,0,ROUND(MAX($J1574*1.4*1.5*1.6,3500000*(1.57975^(MIN($E1574,123)-117)))*1,0))</f>
        <v>248976</v>
      </c>
      <c r="Q1574" s="4">
        <f>$E1574+6</f>
        <v>113</v>
      </c>
      <c r="R1574" s="8">
        <f>IF($J1574=0,0,ROUND(MAX($J1574*1.4*1.5*1.6*1.6,13100000*(1.429962^(MIN($E1574,123)-117)))*1,0))</f>
        <v>398362</v>
      </c>
      <c r="S1574" s="6">
        <f>$E1574+8</f>
        <v>115</v>
      </c>
      <c r="T1574" s="7">
        <f>IF($J1574=0,0,ROUND(MAX($J1574*1.4*1.5*1.6*1.6*2.2,42600000*(1.576904^(MIN($E1574,123)-117)))*1,0))</f>
        <v>876396</v>
      </c>
      <c r="U1574" s="4">
        <f>$E1574+11</f>
        <v>118</v>
      </c>
      <c r="V1574" s="8">
        <f>IF($J1574=0,0,ROUND(MAX($J1574*1.4*1.5*1.6*1.6*2.2*2.715,354000000*(1.642074^(MIN($E1574,123)-117)))*1,0))</f>
        <v>2483568</v>
      </c>
      <c r="W1574" s="6">
        <f>$E1574+15</f>
        <v>122</v>
      </c>
      <c r="X1574" s="7">
        <f>IF($J1574=0,0,ROUND(MAX($J1574*1.4*1.5*1.6*1.6*2.2*2.715*2.6,3540000000*(1.579646^(MIN($E1574,123)-117)))*1,0))</f>
        <v>36593634</v>
      </c>
      <c r="Y1574" s="4">
        <f>$E1574+17</f>
        <v>124</v>
      </c>
      <c r="Z1574" s="8">
        <f>IF($J1574=0,0,ROUND(MAX($J1574*1.4*1.5*1.6*1.6*2.2*2.715*2.6*1.4,6020000000*(1.651178^(MIN($E1574,123)-117)))*1,0))</f>
        <v>39962952</v>
      </c>
      <c r="AA1574" s="6">
        <f>$E1574+19</f>
        <v>126</v>
      </c>
      <c r="AB1574" s="7">
        <f>IF($J1574=0,0,ROUND(MAX($J1574*1.4*1.5*1.6*1.6*2.2*2.715*2.6*1.4*1.4,8430000000*(1.651435^(MIN($E1574,123)-117)))*1,0))</f>
        <v>55874381</v>
      </c>
      <c r="AC1574" s="4">
        <f>$E1574+21</f>
        <v>128</v>
      </c>
      <c r="AD1574" s="8">
        <f>IF($J1574=0,0,ROUND(MAX($J1574*1.4*1.5*1.6*1.6*2.2*2.715*2.6*1.4*1.4*1.5,12600000000*(1.652953^(MIN($E1574,123)-117)))*1,0))</f>
        <v>82749522</v>
      </c>
      <c r="AE1574" s="6">
        <f>$E1574+24</f>
        <v>131</v>
      </c>
      <c r="AF1574" s="7">
        <f>IF($J1574=0,0,ROUND(MAX($J1574*1.4*1.5*1.6*1.6*2.2*2.715*2.6*1.4*1.4*1.5*1.5,18900000000*(1.65331^(MIN($E1574,123)-117)))*1,0))</f>
        <v>123856521</v>
      </c>
      <c r="AG1574" s="4">
        <f>$E1574+27</f>
        <v>134</v>
      </c>
      <c r="AH1574" s="8">
        <f>IF($J1574=0,0,ROUND(MAX($J1574*1.4*1.5*1.6*1.6*2.2*2.715*2.6*1.4*1.4*1.5*1.5*3.2,60500000000*(1.654288^(MIN($E1574,123)-117)))*1,0))</f>
        <v>394134254</v>
      </c>
    </row>
    <row r="1575" ht="27.75" customHeight="1" spans="1:34" x14ac:dyDescent="0.25">
      <c r="A1575" s="3">
        <v>1585</v>
      </c>
      <c r="B1575" s="3" t="s">
        <v>574</v>
      </c>
      <c r="C1575" s="3" t="s">
        <v>1119</v>
      </c>
      <c r="D1575" s="3" t="s">
        <v>47</v>
      </c>
      <c r="E1575" s="3">
        <v>107</v>
      </c>
      <c r="F1575" s="3" t="s">
        <v>108</v>
      </c>
      <c r="G1575" s="3" t="s">
        <v>1135</v>
      </c>
      <c r="H1575" s="3">
        <v>21</v>
      </c>
      <c r="I1575" s="4">
        <v>107</v>
      </c>
      <c r="J1575" s="5">
        <v>74800</v>
      </c>
      <c r="K1575" s="6">
        <f>$E1575+1</f>
        <v>108</v>
      </c>
      <c r="L1575" s="7">
        <f>IF($J1575=0,0,ROUND(MAX($J1575*1.4,1620000*(1.497923^(MIN($E1575,123)-117)))*1,0))</f>
        <v>104720</v>
      </c>
      <c r="M1575" s="4">
        <f>$E1575+2</f>
        <v>109</v>
      </c>
      <c r="N1575" s="8">
        <f>IF($J1575=0,0,ROUND(MAX($J1575*1.4*1.5,2190000*(1.580994^(MIN($E1575,123)-117)))*1,0))</f>
        <v>157080</v>
      </c>
      <c r="O1575" s="6">
        <f>$E1575+4</f>
        <v>111</v>
      </c>
      <c r="P1575" s="7">
        <f>IF($J1575=0,0,ROUND(MAX($J1575*1.4*1.5*1.6,3500000*(1.57975^(MIN($E1575,123)-117)))*1,0))</f>
        <v>251328</v>
      </c>
      <c r="Q1575" s="4">
        <f>$E1575+6</f>
        <v>113</v>
      </c>
      <c r="R1575" s="8">
        <f>IF($J1575=0,0,ROUND(MAX($J1575*1.4*1.5*1.6*1.6,13100000*(1.429962^(MIN($E1575,123)-117)))*1,0))</f>
        <v>402125</v>
      </c>
      <c r="S1575" s="6">
        <f>$E1575+8</f>
        <v>115</v>
      </c>
      <c r="T1575" s="7">
        <f>IF($J1575=0,0,ROUND(MAX($J1575*1.4*1.5*1.6*1.6*2.2,42600000*(1.576904^(MIN($E1575,123)-117)))*1,0))</f>
        <v>884675</v>
      </c>
      <c r="U1575" s="4">
        <f>$E1575+11</f>
        <v>118</v>
      </c>
      <c r="V1575" s="8">
        <f>IF($J1575=0,0,ROUND(MAX($J1575*1.4*1.5*1.6*1.6*2.2*2.715,354000000*(1.642074^(MIN($E1575,123)-117)))*1,0))</f>
        <v>2483568</v>
      </c>
      <c r="W1575" s="6">
        <f>$E1575+15</f>
        <v>122</v>
      </c>
      <c r="X1575" s="7">
        <f>IF($J1575=0,0,ROUND(MAX($J1575*1.4*1.5*1.6*1.6*2.2*2.715*2.6,3540000000*(1.579646^(MIN($E1575,123)-117)))*1,0))</f>
        <v>36593634</v>
      </c>
      <c r="Y1575" s="4">
        <f>$E1575+17</f>
        <v>124</v>
      </c>
      <c r="Z1575" s="8">
        <f>IF($J1575=0,0,ROUND(MAX($J1575*1.4*1.5*1.6*1.6*2.2*2.715*2.6*1.4,6020000000*(1.651178^(MIN($E1575,123)-117)))*1,0))</f>
        <v>39962952</v>
      </c>
      <c r="AA1575" s="6">
        <f>$E1575+19</f>
        <v>126</v>
      </c>
      <c r="AB1575" s="7">
        <f>IF($J1575=0,0,ROUND(MAX($J1575*1.4*1.5*1.6*1.6*2.2*2.715*2.6*1.4*1.4,8430000000*(1.651435^(MIN($E1575,123)-117)))*1,0))</f>
        <v>55874381</v>
      </c>
      <c r="AC1575" s="4">
        <f>$E1575+21</f>
        <v>128</v>
      </c>
      <c r="AD1575" s="8">
        <f>IF($J1575=0,0,ROUND(MAX($J1575*1.4*1.5*1.6*1.6*2.2*2.715*2.6*1.4*1.4*1.5,12600000000*(1.652953^(MIN($E1575,123)-117)))*1,0))</f>
        <v>82749522</v>
      </c>
      <c r="AE1575" s="6">
        <f>$E1575+24</f>
        <v>131</v>
      </c>
      <c r="AF1575" s="7">
        <f>IF($J1575=0,0,ROUND(MAX($J1575*1.4*1.5*1.6*1.6*2.2*2.715*2.6*1.4*1.4*1.5*1.5,18900000000*(1.65331^(MIN($E1575,123)-117)))*1,0))</f>
        <v>123856521</v>
      </c>
      <c r="AG1575" s="4">
        <f>$E1575+27</f>
        <v>134</v>
      </c>
      <c r="AH1575" s="8">
        <f>IF($J1575=0,0,ROUND(MAX($J1575*1.4*1.5*1.6*1.6*2.2*2.715*2.6*1.4*1.4*1.5*1.5*3.2,60500000000*(1.654288^(MIN($E1575,123)-117)))*1,0))</f>
        <v>394134254</v>
      </c>
    </row>
    <row r="1576" ht="27.75" customHeight="1" spans="1:34" x14ac:dyDescent="0.25">
      <c r="A1576" s="3">
        <v>1586</v>
      </c>
      <c r="B1576" s="3" t="s">
        <v>718</v>
      </c>
      <c r="C1576" s="3" t="s">
        <v>1119</v>
      </c>
      <c r="D1576" s="3" t="s">
        <v>64</v>
      </c>
      <c r="E1576" s="3">
        <v>106</v>
      </c>
      <c r="F1576" s="3" t="s">
        <v>298</v>
      </c>
      <c r="G1576" s="3" t="s">
        <v>719</v>
      </c>
      <c r="H1576" s="3">
        <v>24</v>
      </c>
      <c r="I1576" s="4">
        <v>106</v>
      </c>
      <c r="J1576" s="5">
        <v>145000</v>
      </c>
      <c r="K1576" s="6">
        <f>$E1576+1</f>
        <v>107</v>
      </c>
      <c r="L1576" s="7">
        <f>IF($J1576=0,0,ROUND(MAX($J1576*1.4,1620000*(1.497923^(MIN($E1576,123)-117)))*1,0))</f>
        <v>203000</v>
      </c>
      <c r="M1576" s="4">
        <f>$E1576+2</f>
        <v>108</v>
      </c>
      <c r="N1576" s="8">
        <f>IF($J1576=0,0,ROUND(MAX($J1576*1.4*1.5,2190000*(1.580994^(MIN($E1576,123)-117)))*1,0))</f>
        <v>304500</v>
      </c>
      <c r="O1576" s="6">
        <f>$E1576+4</f>
        <v>110</v>
      </c>
      <c r="P1576" s="7">
        <f>IF($J1576=0,0,ROUND(MAX($J1576*1.4*1.5*1.6,3500000*(1.57975^(MIN($E1576,123)-117)))*1,0))</f>
        <v>487200</v>
      </c>
      <c r="Q1576" s="4">
        <f>$E1576+6</f>
        <v>112</v>
      </c>
      <c r="R1576" s="8">
        <f>IF($J1576=0,0,ROUND(MAX($J1576*1.4*1.5*1.6*1.6,13100000*(1.429962^(MIN($E1576,123)-117)))*1,0))</f>
        <v>779520</v>
      </c>
      <c r="S1576" s="6">
        <f>$E1576+8</f>
        <v>114</v>
      </c>
      <c r="T1576" s="7">
        <f>IF($J1576=0,0,ROUND(MAX($J1576*1.4*1.5*1.6*1.6*2.2,42600000*(1.576904^(MIN($E1576,123)-117)))*1,0))</f>
        <v>1714944</v>
      </c>
      <c r="U1576" s="4">
        <f>$E1576+11</f>
        <v>117</v>
      </c>
      <c r="V1576" s="8">
        <f>IF($J1576=0,0,ROUND(MAX($J1576*1.4*1.5*1.6*1.6*2.2*2.715,354000000*(1.642074^(MIN($E1576,123)-117)))*1,0))</f>
        <v>4656073</v>
      </c>
      <c r="W1576" s="6">
        <f>$E1576+15</f>
        <v>121</v>
      </c>
      <c r="X1576" s="7">
        <f>IF($J1576=0,0,ROUND(MAX($J1576*1.4*1.5*1.6*1.6*2.2*2.715*2.6,3540000000*(1.579646^(MIN($E1576,123)-117)))*1,0))</f>
        <v>23165718</v>
      </c>
      <c r="Y1576" s="4">
        <f>$E1576+17</f>
        <v>123</v>
      </c>
      <c r="Z1576" s="8">
        <f>IF($J1576=0,0,ROUND(MAX($J1576*1.4*1.5*1.6*1.6*2.2*2.715*2.6*1.4,6020000000*(1.651178^(MIN($E1576,123)-117)))*1,0))</f>
        <v>24202691</v>
      </c>
      <c r="AA1576" s="6">
        <f>$E1576+19</f>
        <v>125</v>
      </c>
      <c r="AB1576" s="7">
        <f>IF($J1576=0,0,ROUND(MAX($J1576*1.4*1.5*1.6*1.6*2.2*2.715*2.6*1.4*1.4,8430000000*(1.651435^(MIN($E1576,123)-117)))*1,0))</f>
        <v>33833836</v>
      </c>
      <c r="AC1576" s="4">
        <f>$E1576+21</f>
        <v>127</v>
      </c>
      <c r="AD1576" s="8">
        <f>IF($J1576=0,0,ROUND(MAX($J1576*1.4*1.5*1.6*1.6*2.2*2.715*2.6*1.4*1.4*1.5,12600000000*(1.652953^(MIN($E1576,123)-117)))*1,0))</f>
        <v>50061630</v>
      </c>
      <c r="AE1576" s="6">
        <f>$E1576+24</f>
        <v>130</v>
      </c>
      <c r="AF1576" s="7">
        <f>IF($J1576=0,0,ROUND(MAX($J1576*1.4*1.5*1.6*1.6*2.2*2.715*2.6*1.4*1.4*1.5*1.5,18900000000*(1.65331^(MIN($E1576,123)-117)))*1,0))</f>
        <v>74914276</v>
      </c>
      <c r="AG1576" s="4">
        <f>$E1576+27</f>
        <v>133</v>
      </c>
      <c r="AH1576" s="8">
        <f>IF($J1576=0,0,ROUND(MAX($J1576*1.4*1.5*1.6*1.6*2.2*2.715*2.6*1.4*1.4*1.5*1.5*3.2,60500000000*(1.654288^(MIN($E1576,123)-117)))*1,0))</f>
        <v>238250083</v>
      </c>
    </row>
    <row r="1577" ht="27.75" customHeight="1" spans="1:34" x14ac:dyDescent="0.25">
      <c r="A1577" s="3">
        <v>1587</v>
      </c>
      <c r="B1577" s="3" t="s">
        <v>1136</v>
      </c>
      <c r="C1577" s="3" t="s">
        <v>1119</v>
      </c>
      <c r="D1577" s="3" t="s">
        <v>40</v>
      </c>
      <c r="E1577" s="3">
        <v>106</v>
      </c>
      <c r="F1577" s="3" t="s">
        <v>237</v>
      </c>
      <c r="G1577" s="3" t="s">
        <v>1120</v>
      </c>
      <c r="H1577" s="3">
        <v>24</v>
      </c>
      <c r="I1577" s="4">
        <v>106</v>
      </c>
      <c r="J1577" s="5">
        <v>58700</v>
      </c>
      <c r="K1577" s="6">
        <f>$E1577+1</f>
        <v>107</v>
      </c>
      <c r="L1577" s="7">
        <f>IF($J1577=0,0,ROUND(MAX($J1577*1.4,1620000*(1.497923^(MIN($E1577,123)-117)))*1,0))</f>
        <v>82180</v>
      </c>
      <c r="M1577" s="4">
        <f>$E1577+2</f>
        <v>108</v>
      </c>
      <c r="N1577" s="8">
        <f>IF($J1577=0,0,ROUND(MAX($J1577*1.4*1.5,2190000*(1.580994^(MIN($E1577,123)-117)))*1,0))</f>
        <v>123270</v>
      </c>
      <c r="O1577" s="6">
        <f>$E1577+4</f>
        <v>110</v>
      </c>
      <c r="P1577" s="7">
        <f>IF($J1577=0,0,ROUND(MAX($J1577*1.4*1.5*1.6,3500000*(1.57975^(MIN($E1577,123)-117)))*1,0))</f>
        <v>197232</v>
      </c>
      <c r="Q1577" s="4">
        <f>$E1577+6</f>
        <v>112</v>
      </c>
      <c r="R1577" s="8">
        <f>IF($J1577=0,0,ROUND(MAX($J1577*1.4*1.5*1.6*1.6,13100000*(1.429962^(MIN($E1577,123)-117)))*1,0))</f>
        <v>315571</v>
      </c>
      <c r="S1577" s="6">
        <f>$E1577+8</f>
        <v>114</v>
      </c>
      <c r="T1577" s="7">
        <f>IF($J1577=0,0,ROUND(MAX($J1577*1.4*1.5*1.6*1.6*2.2,42600000*(1.576904^(MIN($E1577,123)-117)))*1,0))</f>
        <v>694257</v>
      </c>
      <c r="U1577" s="4">
        <f>$E1577+11</f>
        <v>117</v>
      </c>
      <c r="V1577" s="8">
        <f>IF($J1577=0,0,ROUND(MAX($J1577*1.4*1.5*1.6*1.6*2.2*2.715,354000000*(1.642074^(MIN($E1577,123)-117)))*1,0))</f>
        <v>1884907</v>
      </c>
      <c r="W1577" s="6">
        <f>$E1577+15</f>
        <v>121</v>
      </c>
      <c r="X1577" s="7">
        <f>IF($J1577=0,0,ROUND(MAX($J1577*1.4*1.5*1.6*1.6*2.2*2.715*2.6,3540000000*(1.579646^(MIN($E1577,123)-117)))*1,0))</f>
        <v>23165718</v>
      </c>
      <c r="Y1577" s="4">
        <f>$E1577+17</f>
        <v>123</v>
      </c>
      <c r="Z1577" s="8">
        <f>IF($J1577=0,0,ROUND(MAX($J1577*1.4*1.5*1.6*1.6*2.2*2.715*2.6*1.4,6020000000*(1.651178^(MIN($E1577,123)-117)))*1,0))</f>
        <v>24202691</v>
      </c>
      <c r="AA1577" s="6">
        <f>$E1577+19</f>
        <v>125</v>
      </c>
      <c r="AB1577" s="7">
        <f>IF($J1577=0,0,ROUND(MAX($J1577*1.4*1.5*1.6*1.6*2.2*2.715*2.6*1.4*1.4,8430000000*(1.651435^(MIN($E1577,123)-117)))*1,0))</f>
        <v>33833836</v>
      </c>
      <c r="AC1577" s="4">
        <f>$E1577+21</f>
        <v>127</v>
      </c>
      <c r="AD1577" s="8">
        <f>IF($J1577=0,0,ROUND(MAX($J1577*1.4*1.5*1.6*1.6*2.2*2.715*2.6*1.4*1.4*1.5,12600000000*(1.652953^(MIN($E1577,123)-117)))*1,0))</f>
        <v>50061630</v>
      </c>
      <c r="AE1577" s="6">
        <f>$E1577+24</f>
        <v>130</v>
      </c>
      <c r="AF1577" s="7">
        <f>IF($J1577=0,0,ROUND(MAX($J1577*1.4*1.5*1.6*1.6*2.2*2.715*2.6*1.4*1.4*1.5*1.5,18900000000*(1.65331^(MIN($E1577,123)-117)))*1,0))</f>
        <v>74914276</v>
      </c>
      <c r="AG1577" s="4">
        <f>$E1577+27</f>
        <v>133</v>
      </c>
      <c r="AH1577" s="8">
        <f>IF($J1577=0,0,ROUND(MAX($J1577*1.4*1.5*1.6*1.6*2.2*2.715*2.6*1.4*1.4*1.5*1.5*3.2,60500000000*(1.654288^(MIN($E1577,123)-117)))*1,0))</f>
        <v>238250083</v>
      </c>
    </row>
    <row r="1578" ht="27.75" customHeight="1" spans="1:34" x14ac:dyDescent="0.25">
      <c r="A1578" s="3">
        <v>1588</v>
      </c>
      <c r="B1578" s="3" t="s">
        <v>759</v>
      </c>
      <c r="C1578" s="3" t="s">
        <v>1119</v>
      </c>
      <c r="D1578" s="3" t="s">
        <v>93</v>
      </c>
      <c r="E1578" s="3">
        <v>106</v>
      </c>
      <c r="F1578" s="3" t="s">
        <v>237</v>
      </c>
      <c r="G1578" s="3" t="s">
        <v>760</v>
      </c>
      <c r="H1578" s="3">
        <v>23</v>
      </c>
      <c r="I1578" s="4">
        <v>106</v>
      </c>
      <c r="J1578" s="5">
        <v>154000</v>
      </c>
      <c r="K1578" s="6">
        <f>$E1578+1</f>
        <v>107</v>
      </c>
      <c r="L1578" s="7">
        <f>IF($J1578=0,0,ROUND(MAX($J1578*1.4,1620000*(1.497923^(MIN($E1578,123)-117)))*1,0))</f>
        <v>215600</v>
      </c>
      <c r="M1578" s="4">
        <f>$E1578+2</f>
        <v>108</v>
      </c>
      <c r="N1578" s="8">
        <f>IF($J1578=0,0,ROUND(MAX($J1578*1.4*1.5,2190000*(1.580994^(MIN($E1578,123)-117)))*1,0))</f>
        <v>323400</v>
      </c>
      <c r="O1578" s="6">
        <f>$E1578+4</f>
        <v>110</v>
      </c>
      <c r="P1578" s="7">
        <f>IF($J1578=0,0,ROUND(MAX($J1578*1.4*1.5*1.6,3500000*(1.57975^(MIN($E1578,123)-117)))*1,0))</f>
        <v>517440</v>
      </c>
      <c r="Q1578" s="4">
        <f>$E1578+6</f>
        <v>112</v>
      </c>
      <c r="R1578" s="8">
        <f>IF($J1578=0,0,ROUND(MAX($J1578*1.4*1.5*1.6*1.6,13100000*(1.429962^(MIN($E1578,123)-117)))*1,0))</f>
        <v>827904</v>
      </c>
      <c r="S1578" s="6">
        <f>$E1578+8</f>
        <v>114</v>
      </c>
      <c r="T1578" s="7">
        <f>IF($J1578=0,0,ROUND(MAX($J1578*1.4*1.5*1.6*1.6*2.2,42600000*(1.576904^(MIN($E1578,123)-117)))*1,0))</f>
        <v>1821389</v>
      </c>
      <c r="U1578" s="4">
        <f>$E1578+11</f>
        <v>117</v>
      </c>
      <c r="V1578" s="8">
        <f>IF($J1578=0,0,ROUND(MAX($J1578*1.4*1.5*1.6*1.6*2.2*2.715,354000000*(1.642074^(MIN($E1578,123)-117)))*1,0))</f>
        <v>4945071</v>
      </c>
      <c r="W1578" s="6">
        <f>$E1578+15</f>
        <v>121</v>
      </c>
      <c r="X1578" s="7">
        <f>IF($J1578=0,0,ROUND(MAX($J1578*1.4*1.5*1.6*1.6*2.2*2.715*2.6,3540000000*(1.579646^(MIN($E1578,123)-117)))*1,0))</f>
        <v>23165718</v>
      </c>
      <c r="Y1578" s="4">
        <f>$E1578+17</f>
        <v>123</v>
      </c>
      <c r="Z1578" s="8">
        <f>IF($J1578=0,0,ROUND(MAX($J1578*1.4*1.5*1.6*1.6*2.2*2.715*2.6*1.4,6020000000*(1.651178^(MIN($E1578,123)-117)))*1,0))</f>
        <v>24202691</v>
      </c>
      <c r="AA1578" s="6">
        <f>$E1578+19</f>
        <v>125</v>
      </c>
      <c r="AB1578" s="7">
        <f>IF($J1578=0,0,ROUND(MAX($J1578*1.4*1.5*1.6*1.6*2.2*2.715*2.6*1.4*1.4,8430000000*(1.651435^(MIN($E1578,123)-117)))*1,0))</f>
        <v>33833836</v>
      </c>
      <c r="AC1578" s="4">
        <f>$E1578+21</f>
        <v>127</v>
      </c>
      <c r="AD1578" s="8">
        <f>IF($J1578=0,0,ROUND(MAX($J1578*1.4*1.5*1.6*1.6*2.2*2.715*2.6*1.4*1.4*1.5,12600000000*(1.652953^(MIN($E1578,123)-117)))*1,0))</f>
        <v>50061630</v>
      </c>
      <c r="AE1578" s="6">
        <f>$E1578+24</f>
        <v>130</v>
      </c>
      <c r="AF1578" s="7">
        <f>IF($J1578=0,0,ROUND(MAX($J1578*1.4*1.5*1.6*1.6*2.2*2.715*2.6*1.4*1.4*1.5*1.5,18900000000*(1.65331^(MIN($E1578,123)-117)))*1,0))</f>
        <v>74914276</v>
      </c>
      <c r="AG1578" s="4">
        <f>$E1578+27</f>
        <v>133</v>
      </c>
      <c r="AH1578" s="8">
        <f>IF($J1578=0,0,ROUND(MAX($J1578*1.4*1.5*1.6*1.6*2.2*2.715*2.6*1.4*1.4*1.5*1.5*3.2,60500000000*(1.654288^(MIN($E1578,123)-117)))*1,0))</f>
        <v>238250083</v>
      </c>
    </row>
    <row r="1579" ht="27.75" customHeight="1" spans="1:34" x14ac:dyDescent="0.25">
      <c r="A1579" s="3">
        <v>1589</v>
      </c>
      <c r="B1579" s="3" t="s">
        <v>1137</v>
      </c>
      <c r="C1579" s="3" t="s">
        <v>1119</v>
      </c>
      <c r="D1579" s="3" t="s">
        <v>33</v>
      </c>
      <c r="E1579" s="3">
        <v>106</v>
      </c>
      <c r="F1579" s="3" t="s">
        <v>310</v>
      </c>
      <c r="G1579" s="3" t="s">
        <v>1120</v>
      </c>
      <c r="H1579" s="3">
        <v>23</v>
      </c>
      <c r="I1579" s="4">
        <v>106</v>
      </c>
      <c r="J1579" s="5">
        <v>4040000</v>
      </c>
      <c r="K1579" s="6">
        <f>$E1579+1</f>
        <v>107</v>
      </c>
      <c r="L1579" s="7">
        <f>IF($J1579=0,0,ROUND(MAX($J1579*1.4,1620000*(1.497923^(MIN($E1579,123)-117)))*1,0))</f>
        <v>5656000</v>
      </c>
      <c r="M1579" s="4">
        <f>$E1579+2</f>
        <v>108</v>
      </c>
      <c r="N1579" s="8">
        <f>IF($J1579=0,0,ROUND(MAX($J1579*1.4*1.5,2190000*(1.580994^(MIN($E1579,123)-117)))*1,0))</f>
        <v>8484000</v>
      </c>
      <c r="O1579" s="6">
        <f>$E1579+4</f>
        <v>110</v>
      </c>
      <c r="P1579" s="7">
        <f>IF($J1579=0,0,ROUND(MAX($J1579*1.4*1.5*1.6,3500000*(1.57975^(MIN($E1579,123)-117)))*1,0))</f>
        <v>13574400</v>
      </c>
      <c r="Q1579" s="4">
        <f>$E1579+6</f>
        <v>112</v>
      </c>
      <c r="R1579" s="8">
        <f>IF($J1579=0,0,ROUND(MAX($J1579*1.4*1.5*1.6*1.6,13100000*(1.429962^(MIN($E1579,123)-117)))*1,0))</f>
        <v>21719040</v>
      </c>
      <c r="S1579" s="6">
        <f>$E1579+8</f>
        <v>114</v>
      </c>
      <c r="T1579" s="7">
        <f>IF($J1579=0,0,ROUND(MAX($J1579*1.4*1.5*1.6*1.6*2.2,42600000*(1.576904^(MIN($E1579,123)-117)))*1,0))</f>
        <v>47781888</v>
      </c>
      <c r="U1579" s="4">
        <f>$E1579+11</f>
        <v>117</v>
      </c>
      <c r="V1579" s="8">
        <f>IF($J1579=0,0,ROUND(MAX($J1579*1.4*1.5*1.6*1.6*2.2*2.715,354000000*(1.642074^(MIN($E1579,123)-117)))*1,0))</f>
        <v>129727826</v>
      </c>
      <c r="W1579" s="6">
        <f>$E1579+15</f>
        <v>121</v>
      </c>
      <c r="X1579" s="7">
        <f>IF($J1579=0,0,ROUND(MAX($J1579*1.4*1.5*1.6*1.6*2.2*2.715*2.6,3540000000*(1.579646^(MIN($E1579,123)-117)))*1,0))</f>
        <v>337292347</v>
      </c>
      <c r="Y1579" s="4">
        <f>$E1579+17</f>
        <v>123</v>
      </c>
      <c r="Z1579" s="8">
        <f>IF($J1579=0,0,ROUND(MAX($J1579*1.4*1.5*1.6*1.6*2.2*2.715*2.6*1.4,6020000000*(1.651178^(MIN($E1579,123)-117)))*1,0))</f>
        <v>472209286</v>
      </c>
      <c r="AA1579" s="6">
        <f>$E1579+19</f>
        <v>125</v>
      </c>
      <c r="AB1579" s="7">
        <f>IF($J1579=0,0,ROUND(MAX($J1579*1.4*1.5*1.6*1.6*2.2*2.715*2.6*1.4*1.4,8430000000*(1.651435^(MIN($E1579,123)-117)))*1,0))</f>
        <v>661093001</v>
      </c>
      <c r="AC1579" s="4">
        <f>$E1579+21</f>
        <v>127</v>
      </c>
      <c r="AD1579" s="8">
        <f>IF($J1579=0,0,ROUND(MAX($J1579*1.4*1.5*1.6*1.6*2.2*2.715*2.6*1.4*1.4*1.5,12600000000*(1.652953^(MIN($E1579,123)-117)))*1,0))</f>
        <v>991639501</v>
      </c>
      <c r="AE1579" s="6">
        <f>$E1579+24</f>
        <v>130</v>
      </c>
      <c r="AF1579" s="7">
        <f>IF($J1579=0,0,ROUND(MAX($J1579*1.4*1.5*1.6*1.6*2.2*2.715*2.6*1.4*1.4*1.5*1.5,18900000000*(1.65331^(MIN($E1579,123)-117)))*1,0))</f>
        <v>1487459252</v>
      </c>
      <c r="AG1579" s="4">
        <f>$E1579+27</f>
        <v>133</v>
      </c>
      <c r="AH1579" s="8">
        <f>IF($J1579=0,0,ROUND(MAX($J1579*1.4*1.5*1.6*1.6*2.2*2.715*2.6*1.4*1.4*1.5*1.5*3.2,60500000000*(1.654288^(MIN($E1579,123)-117)))*1,0))</f>
        <v>4759869606</v>
      </c>
    </row>
    <row r="1580" ht="27.75" customHeight="1" spans="1:34" x14ac:dyDescent="0.25">
      <c r="A1580" s="3">
        <v>1590</v>
      </c>
      <c r="B1580" s="3" t="s">
        <v>1138</v>
      </c>
      <c r="C1580" s="3" t="s">
        <v>1119</v>
      </c>
      <c r="D1580" s="3" t="s">
        <v>40</v>
      </c>
      <c r="E1580" s="3">
        <v>106</v>
      </c>
      <c r="F1580" s="3" t="s">
        <v>108</v>
      </c>
      <c r="G1580" s="3" t="s">
        <v>1120</v>
      </c>
      <c r="H1580" s="3">
        <v>23</v>
      </c>
      <c r="I1580" s="4">
        <v>106</v>
      </c>
      <c r="J1580" s="5">
        <v>9470000</v>
      </c>
      <c r="K1580" s="6">
        <f>$E1580+1</f>
        <v>107</v>
      </c>
      <c r="L1580" s="7">
        <f>IF($J1580=0,0,ROUND(MAX($J1580*1.4,1620000*(1.497923^(MIN($E1580,123)-117)))*1,0))</f>
        <v>13258000</v>
      </c>
      <c r="M1580" s="4">
        <f>$E1580+2</f>
        <v>108</v>
      </c>
      <c r="N1580" s="8">
        <f>IF($J1580=0,0,ROUND(MAX($J1580*1.4*1.5,2190000*(1.580994^(MIN($E1580,123)-117)))*1,0))</f>
        <v>19887000</v>
      </c>
      <c r="O1580" s="6">
        <f>$E1580+4</f>
        <v>110</v>
      </c>
      <c r="P1580" s="7">
        <f>IF($J1580=0,0,ROUND(MAX($J1580*1.4*1.5*1.6,3500000*(1.57975^(MIN($E1580,123)-117)))*1,0))</f>
        <v>31819200</v>
      </c>
      <c r="Q1580" s="4">
        <f>$E1580+6</f>
        <v>112</v>
      </c>
      <c r="R1580" s="8">
        <f>IF($J1580=0,0,ROUND(MAX($J1580*1.4*1.5*1.6*1.6,13100000*(1.429962^(MIN($E1580,123)-117)))*1,0))</f>
        <v>50910720</v>
      </c>
      <c r="S1580" s="6">
        <f>$E1580+8</f>
        <v>114</v>
      </c>
      <c r="T1580" s="7">
        <f>IF($J1580=0,0,ROUND(MAX($J1580*1.4*1.5*1.6*1.6*2.2,42600000*(1.576904^(MIN($E1580,123)-117)))*1,0))</f>
        <v>112003584</v>
      </c>
      <c r="U1580" s="4">
        <f>$E1580+11</f>
        <v>117</v>
      </c>
      <c r="V1580" s="8">
        <f>IF($J1580=0,0,ROUND(MAX($J1580*1.4*1.5*1.6*1.6*2.2*2.715,354000000*(1.642074^(MIN($E1580,123)-117)))*1,0))</f>
        <v>304089731</v>
      </c>
      <c r="W1580" s="6">
        <f>$E1580+15</f>
        <v>121</v>
      </c>
      <c r="X1580" s="7">
        <f>IF($J1580=0,0,ROUND(MAX($J1580*1.4*1.5*1.6*1.6*2.2*2.715*2.6,3540000000*(1.579646^(MIN($E1580,123)-117)))*1,0))</f>
        <v>790633299</v>
      </c>
      <c r="Y1580" s="4">
        <f>$E1580+17</f>
        <v>123</v>
      </c>
      <c r="Z1580" s="8">
        <f>IF($J1580=0,0,ROUND(MAX($J1580*1.4*1.5*1.6*1.6*2.2*2.715*2.6*1.4,6020000000*(1.651178^(MIN($E1580,123)-117)))*1,0))</f>
        <v>1106886619</v>
      </c>
      <c r="AA1580" s="6">
        <f>$E1580+19</f>
        <v>125</v>
      </c>
      <c r="AB1580" s="7">
        <f>IF($J1580=0,0,ROUND(MAX($J1580*1.4*1.5*1.6*1.6*2.2*2.715*2.6*1.4*1.4,8430000000*(1.651435^(MIN($E1580,123)-117)))*1,0))</f>
        <v>1549641267</v>
      </c>
      <c r="AC1580" s="4">
        <f>$E1580+21</f>
        <v>127</v>
      </c>
      <c r="AD1580" s="8">
        <f>IF($J1580=0,0,ROUND(MAX($J1580*1.4*1.5*1.6*1.6*2.2*2.715*2.6*1.4*1.4*1.5,12600000000*(1.652953^(MIN($E1580,123)-117)))*1,0))</f>
        <v>2324461900</v>
      </c>
      <c r="AE1580" s="6">
        <f>$E1580+24</f>
        <v>130</v>
      </c>
      <c r="AF1580" s="7">
        <f>IF($J1580=0,0,ROUND(MAX($J1580*1.4*1.5*1.6*1.6*2.2*2.715*2.6*1.4*1.4*1.5*1.5,18900000000*(1.65331^(MIN($E1580,123)-117)))*1,0))</f>
        <v>3486692851</v>
      </c>
      <c r="AG1580" s="4">
        <f>$E1580+27</f>
        <v>133</v>
      </c>
      <c r="AH1580" s="8">
        <f>IF($J1580=0,0,ROUND(MAX($J1580*1.4*1.5*1.6*1.6*2.2*2.715*2.6*1.4*1.4*1.5*1.5*3.2,60500000000*(1.654288^(MIN($E1580,123)-117)))*1,0))</f>
        <v>11157417122</v>
      </c>
    </row>
    <row r="1581" ht="27.75" customHeight="1" spans="1:34" x14ac:dyDescent="0.25">
      <c r="A1581" s="3">
        <v>1591</v>
      </c>
      <c r="B1581" s="3" t="s">
        <v>1046</v>
      </c>
      <c r="C1581" s="3" t="s">
        <v>1119</v>
      </c>
      <c r="D1581" s="3" t="s">
        <v>25</v>
      </c>
      <c r="E1581" s="3">
        <v>106</v>
      </c>
      <c r="F1581" s="3" t="s">
        <v>310</v>
      </c>
      <c r="G1581" s="3" t="s">
        <v>1120</v>
      </c>
      <c r="H1581" s="3">
        <v>23</v>
      </c>
      <c r="I1581" s="4">
        <v>106</v>
      </c>
      <c r="J1581" s="5">
        <v>890000</v>
      </c>
      <c r="K1581" s="6">
        <f>$E1581+1</f>
        <v>107</v>
      </c>
      <c r="L1581" s="7">
        <f>IF($J1581=0,0,ROUND(MAX($J1581*1.4,1620000*(1.497923^(MIN($E1581,123)-117)))*1,0))</f>
        <v>1246000</v>
      </c>
      <c r="M1581" s="4">
        <f>$E1581+2</f>
        <v>108</v>
      </c>
      <c r="N1581" s="8">
        <f>IF($J1581=0,0,ROUND(MAX($J1581*1.4*1.5,2190000*(1.580994^(MIN($E1581,123)-117)))*1,0))</f>
        <v>1869000</v>
      </c>
      <c r="O1581" s="6">
        <f>$E1581+4</f>
        <v>110</v>
      </c>
      <c r="P1581" s="7">
        <f>IF($J1581=0,0,ROUND(MAX($J1581*1.4*1.5*1.6,3500000*(1.57975^(MIN($E1581,123)-117)))*1,0))</f>
        <v>2990400</v>
      </c>
      <c r="Q1581" s="4">
        <f>$E1581+6</f>
        <v>112</v>
      </c>
      <c r="R1581" s="8">
        <f>IF($J1581=0,0,ROUND(MAX($J1581*1.4*1.5*1.6*1.6,13100000*(1.429962^(MIN($E1581,123)-117)))*1,0))</f>
        <v>4784640</v>
      </c>
      <c r="S1581" s="6">
        <f>$E1581+8</f>
        <v>114</v>
      </c>
      <c r="T1581" s="7">
        <f>IF($J1581=0,0,ROUND(MAX($J1581*1.4*1.5*1.6*1.6*2.2,42600000*(1.576904^(MIN($E1581,123)-117)))*1,0))</f>
        <v>10526208</v>
      </c>
      <c r="U1581" s="4">
        <f>$E1581+11</f>
        <v>117</v>
      </c>
      <c r="V1581" s="8">
        <f>IF($J1581=0,0,ROUND(MAX($J1581*1.4*1.5*1.6*1.6*2.2*2.715,354000000*(1.642074^(MIN($E1581,123)-117)))*1,0))</f>
        <v>28578655</v>
      </c>
      <c r="W1581" s="6">
        <f>$E1581+15</f>
        <v>121</v>
      </c>
      <c r="X1581" s="7">
        <f>IF($J1581=0,0,ROUND(MAX($J1581*1.4*1.5*1.6*1.6*2.2*2.715*2.6,3540000000*(1.579646^(MIN($E1581,123)-117)))*1,0))</f>
        <v>74304502</v>
      </c>
      <c r="Y1581" s="4">
        <f>$E1581+17</f>
        <v>123</v>
      </c>
      <c r="Z1581" s="8">
        <f>IF($J1581=0,0,ROUND(MAX($J1581*1.4*1.5*1.6*1.6*2.2*2.715*2.6*1.4,6020000000*(1.651178^(MIN($E1581,123)-117)))*1,0))</f>
        <v>104026303</v>
      </c>
      <c r="AA1581" s="6">
        <f>$E1581+19</f>
        <v>125</v>
      </c>
      <c r="AB1581" s="7">
        <f>IF($J1581=0,0,ROUND(MAX($J1581*1.4*1.5*1.6*1.6*2.2*2.715*2.6*1.4*1.4,8430000000*(1.651435^(MIN($E1581,123)-117)))*1,0))</f>
        <v>145636824</v>
      </c>
      <c r="AC1581" s="4">
        <f>$E1581+21</f>
        <v>127</v>
      </c>
      <c r="AD1581" s="8">
        <f>IF($J1581=0,0,ROUND(MAX($J1581*1.4*1.5*1.6*1.6*2.2*2.715*2.6*1.4*1.4*1.5,12600000000*(1.652953^(MIN($E1581,123)-117)))*1,0))</f>
        <v>218455237</v>
      </c>
      <c r="AE1581" s="6">
        <f>$E1581+24</f>
        <v>130</v>
      </c>
      <c r="AF1581" s="7">
        <f>IF($J1581=0,0,ROUND(MAX($J1581*1.4*1.5*1.6*1.6*2.2*2.715*2.6*1.4*1.4*1.5*1.5,18900000000*(1.65331^(MIN($E1581,123)-117)))*1,0))</f>
        <v>327682855</v>
      </c>
      <c r="AG1581" s="4">
        <f>$E1581+27</f>
        <v>133</v>
      </c>
      <c r="AH1581" s="8">
        <f>IF($J1581=0,0,ROUND(MAX($J1581*1.4*1.5*1.6*1.6*2.2*2.715*2.6*1.4*1.4*1.5*1.5*3.2,60500000000*(1.654288^(MIN($E1581,123)-117)))*1,0))</f>
        <v>1048585136</v>
      </c>
    </row>
    <row r="1582" ht="27.75" customHeight="1" spans="1:34" x14ac:dyDescent="0.25">
      <c r="A1582" s="3">
        <v>1592</v>
      </c>
      <c r="B1582" s="3" t="s">
        <v>1139</v>
      </c>
      <c r="C1582" s="3" t="s">
        <v>1119</v>
      </c>
      <c r="D1582" s="3" t="s">
        <v>45</v>
      </c>
      <c r="E1582" s="3">
        <v>106</v>
      </c>
      <c r="F1582" s="3" t="s">
        <v>108</v>
      </c>
      <c r="G1582" s="3" t="s">
        <v>1120</v>
      </c>
      <c r="H1582" s="3">
        <v>23</v>
      </c>
      <c r="I1582" s="4">
        <v>106</v>
      </c>
      <c r="J1582" s="5">
        <v>27900</v>
      </c>
      <c r="K1582" s="6">
        <f>$E1582+1</f>
        <v>107</v>
      </c>
      <c r="L1582" s="7">
        <f>IF($J1582=0,0,ROUND(MAX($J1582*1.4,1620000*(1.497923^(MIN($E1582,123)-117)))*1,0))</f>
        <v>39060</v>
      </c>
      <c r="M1582" s="4">
        <f>$E1582+2</f>
        <v>108</v>
      </c>
      <c r="N1582" s="8">
        <f>IF($J1582=0,0,ROUND(MAX($J1582*1.4*1.5,2190000*(1.580994^(MIN($E1582,123)-117)))*1,0))</f>
        <v>58590</v>
      </c>
      <c r="O1582" s="6">
        <f>$E1582+4</f>
        <v>110</v>
      </c>
      <c r="P1582" s="7">
        <f>IF($J1582=0,0,ROUND(MAX($J1582*1.4*1.5*1.6,3500000*(1.57975^(MIN($E1582,123)-117)))*1,0))</f>
        <v>93744</v>
      </c>
      <c r="Q1582" s="4">
        <f>$E1582+6</f>
        <v>112</v>
      </c>
      <c r="R1582" s="8">
        <f>IF($J1582=0,0,ROUND(MAX($J1582*1.4*1.5*1.6*1.6,13100000*(1.429962^(MIN($E1582,123)-117)))*1,0))</f>
        <v>256272</v>
      </c>
      <c r="S1582" s="6">
        <f>$E1582+8</f>
        <v>114</v>
      </c>
      <c r="T1582" s="7">
        <f>IF($J1582=0,0,ROUND(MAX($J1582*1.4*1.5*1.6*1.6*2.2,42600000*(1.576904^(MIN($E1582,123)-117)))*1,0))</f>
        <v>329979</v>
      </c>
      <c r="U1582" s="4">
        <f>$E1582+11</f>
        <v>117</v>
      </c>
      <c r="V1582" s="8">
        <f>IF($J1582=0,0,ROUND(MAX($J1582*1.4*1.5*1.6*1.6*2.2*2.715,354000000*(1.642074^(MIN($E1582,123)-117)))*1,0))</f>
        <v>1512458</v>
      </c>
      <c r="W1582" s="6">
        <f>$E1582+15</f>
        <v>121</v>
      </c>
      <c r="X1582" s="7">
        <f>IF($J1582=0,0,ROUND(MAX($J1582*1.4*1.5*1.6*1.6*2.2*2.715*2.6,3540000000*(1.579646^(MIN($E1582,123)-117)))*1,0))</f>
        <v>23165718</v>
      </c>
      <c r="Y1582" s="4">
        <f>$E1582+17</f>
        <v>123</v>
      </c>
      <c r="Z1582" s="8">
        <f>IF($J1582=0,0,ROUND(MAX($J1582*1.4*1.5*1.6*1.6*2.2*2.715*2.6*1.4,6020000000*(1.651178^(MIN($E1582,123)-117)))*1,0))</f>
        <v>24202691</v>
      </c>
      <c r="AA1582" s="6">
        <f>$E1582+19</f>
        <v>125</v>
      </c>
      <c r="AB1582" s="7">
        <f>IF($J1582=0,0,ROUND(MAX($J1582*1.4*1.5*1.6*1.6*2.2*2.715*2.6*1.4*1.4,8430000000*(1.651435^(MIN($E1582,123)-117)))*1,0))</f>
        <v>33833836</v>
      </c>
      <c r="AC1582" s="4">
        <f>$E1582+21</f>
        <v>127</v>
      </c>
      <c r="AD1582" s="8">
        <f>IF($J1582=0,0,ROUND(MAX($J1582*1.4*1.5*1.6*1.6*2.2*2.715*2.6*1.4*1.4*1.5,12600000000*(1.652953^(MIN($E1582,123)-117)))*1,0))</f>
        <v>50061630</v>
      </c>
      <c r="AE1582" s="6">
        <f>$E1582+24</f>
        <v>130</v>
      </c>
      <c r="AF1582" s="7">
        <f>IF($J1582=0,0,ROUND(MAX($J1582*1.4*1.5*1.6*1.6*2.2*2.715*2.6*1.4*1.4*1.5*1.5,18900000000*(1.65331^(MIN($E1582,123)-117)))*1,0))</f>
        <v>74914276</v>
      </c>
      <c r="AG1582" s="4">
        <f>$E1582+27</f>
        <v>133</v>
      </c>
      <c r="AH1582" s="8">
        <f>IF($J1582=0,0,ROUND(MAX($J1582*1.4*1.5*1.6*1.6*2.2*2.715*2.6*1.4*1.4*1.5*1.5*3.2,60500000000*(1.654288^(MIN($E1582,123)-117)))*1,0))</f>
        <v>238250083</v>
      </c>
    </row>
    <row r="1583" ht="27.75" customHeight="1" spans="1:34" x14ac:dyDescent="0.25">
      <c r="A1583" s="3">
        <v>1593</v>
      </c>
      <c r="B1583" s="3" t="s">
        <v>645</v>
      </c>
      <c r="C1583" s="3" t="s">
        <v>1119</v>
      </c>
      <c r="D1583" s="3" t="s">
        <v>40</v>
      </c>
      <c r="E1583" s="3">
        <v>106</v>
      </c>
      <c r="F1583" s="3" t="s">
        <v>383</v>
      </c>
      <c r="G1583" s="3" t="s">
        <v>1120</v>
      </c>
      <c r="H1583" s="3">
        <v>23</v>
      </c>
      <c r="I1583" s="4">
        <v>106</v>
      </c>
      <c r="J1583" s="5">
        <v>202000</v>
      </c>
      <c r="K1583" s="6">
        <f>$E1583+1</f>
        <v>107</v>
      </c>
      <c r="L1583" s="7">
        <f>IF($J1583=0,0,ROUND(MAX($J1583*1.4,1620000*(1.497923^(MIN($E1583,123)-117)))*1,0))</f>
        <v>282800</v>
      </c>
      <c r="M1583" s="4">
        <f>$E1583+2</f>
        <v>108</v>
      </c>
      <c r="N1583" s="8">
        <f>IF($J1583=0,0,ROUND(MAX($J1583*1.4*1.5,2190000*(1.580994^(MIN($E1583,123)-117)))*1,0))</f>
        <v>424200</v>
      </c>
      <c r="O1583" s="6">
        <f>$E1583+4</f>
        <v>110</v>
      </c>
      <c r="P1583" s="7">
        <f>IF($J1583=0,0,ROUND(MAX($J1583*1.4*1.5*1.6,3500000*(1.57975^(MIN($E1583,123)-117)))*1,0))</f>
        <v>678720</v>
      </c>
      <c r="Q1583" s="4">
        <f>$E1583+6</f>
        <v>112</v>
      </c>
      <c r="R1583" s="8">
        <f>IF($J1583=0,0,ROUND(MAX($J1583*1.4*1.5*1.6*1.6,13100000*(1.429962^(MIN($E1583,123)-117)))*1,0))</f>
        <v>1085952</v>
      </c>
      <c r="S1583" s="6">
        <f>$E1583+8</f>
        <v>114</v>
      </c>
      <c r="T1583" s="7">
        <f>IF($J1583=0,0,ROUND(MAX($J1583*1.4*1.5*1.6*1.6*2.2,42600000*(1.576904^(MIN($E1583,123)-117)))*1,0))</f>
        <v>2389094</v>
      </c>
      <c r="U1583" s="4">
        <f>$E1583+11</f>
        <v>117</v>
      </c>
      <c r="V1583" s="8">
        <f>IF($J1583=0,0,ROUND(MAX($J1583*1.4*1.5*1.6*1.6*2.2*2.715,354000000*(1.642074^(MIN($E1583,123)-117)))*1,0))</f>
        <v>6486391</v>
      </c>
      <c r="W1583" s="6">
        <f>$E1583+15</f>
        <v>121</v>
      </c>
      <c r="X1583" s="7">
        <f>IF($J1583=0,0,ROUND(MAX($J1583*1.4*1.5*1.6*1.6*2.2*2.715*2.6,3540000000*(1.579646^(MIN($E1583,123)-117)))*1,0))</f>
        <v>23165718</v>
      </c>
      <c r="Y1583" s="4">
        <f>$E1583+17</f>
        <v>123</v>
      </c>
      <c r="Z1583" s="8">
        <f>IF($J1583=0,0,ROUND(MAX($J1583*1.4*1.5*1.6*1.6*2.2*2.715*2.6*1.4,6020000000*(1.651178^(MIN($E1583,123)-117)))*1,0))</f>
        <v>24202691</v>
      </c>
      <c r="AA1583" s="6">
        <f>$E1583+19</f>
        <v>125</v>
      </c>
      <c r="AB1583" s="7">
        <f>IF($J1583=0,0,ROUND(MAX($J1583*1.4*1.5*1.6*1.6*2.2*2.715*2.6*1.4*1.4,8430000000*(1.651435^(MIN($E1583,123)-117)))*1,0))</f>
        <v>33833836</v>
      </c>
      <c r="AC1583" s="4">
        <f>$E1583+21</f>
        <v>127</v>
      </c>
      <c r="AD1583" s="8">
        <f>IF($J1583=0,0,ROUND(MAX($J1583*1.4*1.5*1.6*1.6*2.2*2.715*2.6*1.4*1.4*1.5,12600000000*(1.652953^(MIN($E1583,123)-117)))*1,0))</f>
        <v>50061630</v>
      </c>
      <c r="AE1583" s="6">
        <f>$E1583+24</f>
        <v>130</v>
      </c>
      <c r="AF1583" s="7">
        <f>IF($J1583=0,0,ROUND(MAX($J1583*1.4*1.5*1.6*1.6*2.2*2.715*2.6*1.4*1.4*1.5*1.5,18900000000*(1.65331^(MIN($E1583,123)-117)))*1,0))</f>
        <v>74914276</v>
      </c>
      <c r="AG1583" s="4">
        <f>$E1583+27</f>
        <v>133</v>
      </c>
      <c r="AH1583" s="8">
        <f>IF($J1583=0,0,ROUND(MAX($J1583*1.4*1.5*1.6*1.6*2.2*2.715*2.6*1.4*1.4*1.5*1.5*3.2,60500000000*(1.654288^(MIN($E1583,123)-117)))*1,0))</f>
        <v>238250083</v>
      </c>
    </row>
    <row r="1584" ht="27.75" customHeight="1" spans="1:34" x14ac:dyDescent="0.25">
      <c r="A1584" s="3">
        <v>1594</v>
      </c>
      <c r="B1584" s="3" t="s">
        <v>642</v>
      </c>
      <c r="C1584" s="3" t="s">
        <v>1119</v>
      </c>
      <c r="D1584" s="3" t="s">
        <v>40</v>
      </c>
      <c r="E1584" s="3">
        <v>106</v>
      </c>
      <c r="F1584" s="3" t="s">
        <v>643</v>
      </c>
      <c r="G1584" s="3" t="s">
        <v>1120</v>
      </c>
      <c r="H1584" s="3">
        <v>23</v>
      </c>
      <c r="I1584" s="4">
        <v>106</v>
      </c>
      <c r="J1584" s="5">
        <v>36600</v>
      </c>
      <c r="K1584" s="6">
        <f>$E1584+1</f>
        <v>107</v>
      </c>
      <c r="L1584" s="7">
        <f>IF($J1584=0,0,ROUND(MAX($J1584*1.4,1620000*(1.497923^(MIN($E1584,123)-117)))*1,0))</f>
        <v>51240</v>
      </c>
      <c r="M1584" s="4">
        <f>$E1584+2</f>
        <v>108</v>
      </c>
      <c r="N1584" s="8">
        <f>IF($J1584=0,0,ROUND(MAX($J1584*1.4*1.5,2190000*(1.580994^(MIN($E1584,123)-117)))*1,0))</f>
        <v>76860</v>
      </c>
      <c r="O1584" s="6">
        <f>$E1584+4</f>
        <v>110</v>
      </c>
      <c r="P1584" s="7">
        <f>IF($J1584=0,0,ROUND(MAX($J1584*1.4*1.5*1.6,3500000*(1.57975^(MIN($E1584,123)-117)))*1,0))</f>
        <v>122976</v>
      </c>
      <c r="Q1584" s="4">
        <f>$E1584+6</f>
        <v>112</v>
      </c>
      <c r="R1584" s="8">
        <f>IF($J1584=0,0,ROUND(MAX($J1584*1.4*1.5*1.6*1.6,13100000*(1.429962^(MIN($E1584,123)-117)))*1,0))</f>
        <v>256272</v>
      </c>
      <c r="S1584" s="6">
        <f>$E1584+8</f>
        <v>114</v>
      </c>
      <c r="T1584" s="7">
        <f>IF($J1584=0,0,ROUND(MAX($J1584*1.4*1.5*1.6*1.6*2.2,42600000*(1.576904^(MIN($E1584,123)-117)))*1,0))</f>
        <v>432876</v>
      </c>
      <c r="U1584" s="4">
        <f>$E1584+11</f>
        <v>117</v>
      </c>
      <c r="V1584" s="8">
        <f>IF($J1584=0,0,ROUND(MAX($J1584*1.4*1.5*1.6*1.6*2.2*2.715,354000000*(1.642074^(MIN($E1584,123)-117)))*1,0))</f>
        <v>1512458</v>
      </c>
      <c r="W1584" s="6">
        <f>$E1584+15</f>
        <v>121</v>
      </c>
      <c r="X1584" s="7">
        <f>IF($J1584=0,0,ROUND(MAX($J1584*1.4*1.5*1.6*1.6*2.2*2.715*2.6,3540000000*(1.579646^(MIN($E1584,123)-117)))*1,0))</f>
        <v>23165718</v>
      </c>
      <c r="Y1584" s="4">
        <f>$E1584+17</f>
        <v>123</v>
      </c>
      <c r="Z1584" s="8">
        <f>IF($J1584=0,0,ROUND(MAX($J1584*1.4*1.5*1.6*1.6*2.2*2.715*2.6*1.4,6020000000*(1.651178^(MIN($E1584,123)-117)))*1,0))</f>
        <v>24202691</v>
      </c>
      <c r="AA1584" s="6">
        <f>$E1584+19</f>
        <v>125</v>
      </c>
      <c r="AB1584" s="7">
        <f>IF($J1584=0,0,ROUND(MAX($J1584*1.4*1.5*1.6*1.6*2.2*2.715*2.6*1.4*1.4,8430000000*(1.651435^(MIN($E1584,123)-117)))*1,0))</f>
        <v>33833836</v>
      </c>
      <c r="AC1584" s="4">
        <f>$E1584+21</f>
        <v>127</v>
      </c>
      <c r="AD1584" s="8">
        <f>IF($J1584=0,0,ROUND(MAX($J1584*1.4*1.5*1.6*1.6*2.2*2.715*2.6*1.4*1.4*1.5,12600000000*(1.652953^(MIN($E1584,123)-117)))*1,0))</f>
        <v>50061630</v>
      </c>
      <c r="AE1584" s="6">
        <f>$E1584+24</f>
        <v>130</v>
      </c>
      <c r="AF1584" s="7">
        <f>IF($J1584=0,0,ROUND(MAX($J1584*1.4*1.5*1.6*1.6*2.2*2.715*2.6*1.4*1.4*1.5*1.5,18900000000*(1.65331^(MIN($E1584,123)-117)))*1,0))</f>
        <v>74914276</v>
      </c>
      <c r="AG1584" s="4">
        <f>$E1584+27</f>
        <v>133</v>
      </c>
      <c r="AH1584" s="8">
        <f>IF($J1584=0,0,ROUND(MAX($J1584*1.4*1.5*1.6*1.6*2.2*2.715*2.6*1.4*1.4*1.5*1.5*3.2,60500000000*(1.654288^(MIN($E1584,123)-117)))*1,0))</f>
        <v>238250083</v>
      </c>
    </row>
    <row r="1585" ht="27.75" customHeight="1" spans="1:34" x14ac:dyDescent="0.25">
      <c r="A1585" s="3">
        <v>1595</v>
      </c>
      <c r="B1585" s="3" t="s">
        <v>656</v>
      </c>
      <c r="C1585" s="3" t="s">
        <v>1119</v>
      </c>
      <c r="D1585" s="3" t="s">
        <v>29</v>
      </c>
      <c r="E1585" s="3">
        <v>106</v>
      </c>
      <c r="F1585" s="3" t="s">
        <v>383</v>
      </c>
      <c r="G1585" s="3" t="s">
        <v>1120</v>
      </c>
      <c r="H1585" s="3">
        <v>23</v>
      </c>
      <c r="I1585" s="4">
        <v>106</v>
      </c>
      <c r="J1585" s="5">
        <v>162000</v>
      </c>
      <c r="K1585" s="6">
        <f>$E1585+1</f>
        <v>107</v>
      </c>
      <c r="L1585" s="7">
        <f>IF($J1585=0,0,ROUND(MAX($J1585*1.4,1620000*(1.497923^(MIN($E1585,123)-117)))*1,0))</f>
        <v>226800</v>
      </c>
      <c r="M1585" s="4">
        <f>$E1585+2</f>
        <v>108</v>
      </c>
      <c r="N1585" s="8">
        <f>IF($J1585=0,0,ROUND(MAX($J1585*1.4*1.5,2190000*(1.580994^(MIN($E1585,123)-117)))*1,0))</f>
        <v>340200</v>
      </c>
      <c r="O1585" s="6">
        <f>$E1585+4</f>
        <v>110</v>
      </c>
      <c r="P1585" s="7">
        <f>IF($J1585=0,0,ROUND(MAX($J1585*1.4*1.5*1.6,3500000*(1.57975^(MIN($E1585,123)-117)))*1,0))</f>
        <v>544320</v>
      </c>
      <c r="Q1585" s="4">
        <f>$E1585+6</f>
        <v>112</v>
      </c>
      <c r="R1585" s="8">
        <f>IF($J1585=0,0,ROUND(MAX($J1585*1.4*1.5*1.6*1.6,13100000*(1.429962^(MIN($E1585,123)-117)))*1,0))</f>
        <v>870912</v>
      </c>
      <c r="S1585" s="6">
        <f>$E1585+8</f>
        <v>114</v>
      </c>
      <c r="T1585" s="7">
        <f>IF($J1585=0,0,ROUND(MAX($J1585*1.4*1.5*1.6*1.6*2.2,42600000*(1.576904^(MIN($E1585,123)-117)))*1,0))</f>
        <v>1916006</v>
      </c>
      <c r="U1585" s="4">
        <f>$E1585+11</f>
        <v>117</v>
      </c>
      <c r="V1585" s="8">
        <f>IF($J1585=0,0,ROUND(MAX($J1585*1.4*1.5*1.6*1.6*2.2*2.715,354000000*(1.642074^(MIN($E1585,123)-117)))*1,0))</f>
        <v>5201957</v>
      </c>
      <c r="W1585" s="6">
        <f>$E1585+15</f>
        <v>121</v>
      </c>
      <c r="X1585" s="7">
        <f>IF($J1585=0,0,ROUND(MAX($J1585*1.4*1.5*1.6*1.6*2.2*2.715*2.6,3540000000*(1.579646^(MIN($E1585,123)-117)))*1,0))</f>
        <v>23165718</v>
      </c>
      <c r="Y1585" s="4">
        <f>$E1585+17</f>
        <v>123</v>
      </c>
      <c r="Z1585" s="8">
        <f>IF($J1585=0,0,ROUND(MAX($J1585*1.4*1.5*1.6*1.6*2.2*2.715*2.6*1.4,6020000000*(1.651178^(MIN($E1585,123)-117)))*1,0))</f>
        <v>24202691</v>
      </c>
      <c r="AA1585" s="6">
        <f>$E1585+19</f>
        <v>125</v>
      </c>
      <c r="AB1585" s="7">
        <f>IF($J1585=0,0,ROUND(MAX($J1585*1.4*1.5*1.6*1.6*2.2*2.715*2.6*1.4*1.4,8430000000*(1.651435^(MIN($E1585,123)-117)))*1,0))</f>
        <v>33833836</v>
      </c>
      <c r="AC1585" s="4">
        <f>$E1585+21</f>
        <v>127</v>
      </c>
      <c r="AD1585" s="8">
        <f>IF($J1585=0,0,ROUND(MAX($J1585*1.4*1.5*1.6*1.6*2.2*2.715*2.6*1.4*1.4*1.5,12600000000*(1.652953^(MIN($E1585,123)-117)))*1,0))</f>
        <v>50061630</v>
      </c>
      <c r="AE1585" s="6">
        <f>$E1585+24</f>
        <v>130</v>
      </c>
      <c r="AF1585" s="7">
        <f>IF($J1585=0,0,ROUND(MAX($J1585*1.4*1.5*1.6*1.6*2.2*2.715*2.6*1.4*1.4*1.5*1.5,18900000000*(1.65331^(MIN($E1585,123)-117)))*1,0))</f>
        <v>74914276</v>
      </c>
      <c r="AG1585" s="4">
        <f>$E1585+27</f>
        <v>133</v>
      </c>
      <c r="AH1585" s="8">
        <f>IF($J1585=0,0,ROUND(MAX($J1585*1.4*1.5*1.6*1.6*2.2*2.715*2.6*1.4*1.4*1.5*1.5*3.2,60500000000*(1.654288^(MIN($E1585,123)-117)))*1,0))</f>
        <v>238250083</v>
      </c>
    </row>
    <row r="1586" ht="27.75" customHeight="1" spans="1:34" x14ac:dyDescent="0.25">
      <c r="A1586" s="3">
        <v>1596</v>
      </c>
      <c r="B1586" s="3" t="s">
        <v>1140</v>
      </c>
      <c r="C1586" s="3" t="s">
        <v>1119</v>
      </c>
      <c r="D1586" s="3" t="s">
        <v>75</v>
      </c>
      <c r="E1586" s="3">
        <v>106</v>
      </c>
      <c r="F1586" s="3" t="s">
        <v>298</v>
      </c>
      <c r="G1586" s="3" t="s">
        <v>329</v>
      </c>
      <c r="H1586" s="3">
        <v>22</v>
      </c>
      <c r="I1586" s="4">
        <v>106</v>
      </c>
      <c r="J1586" s="5">
        <v>53200</v>
      </c>
      <c r="K1586" s="6">
        <f>$E1586+1</f>
        <v>107</v>
      </c>
      <c r="L1586" s="7">
        <f>IF($J1586=0,0,ROUND(MAX($J1586*1.4,1620000*(1.497923^(MIN($E1586,123)-117)))*1,0))</f>
        <v>74480</v>
      </c>
      <c r="M1586" s="4">
        <f>$E1586+2</f>
        <v>108</v>
      </c>
      <c r="N1586" s="8">
        <f>IF($J1586=0,0,ROUND(MAX($J1586*1.4*1.5,2190000*(1.580994^(MIN($E1586,123)-117)))*1,0))</f>
        <v>111720</v>
      </c>
      <c r="O1586" s="6">
        <f>$E1586+4</f>
        <v>110</v>
      </c>
      <c r="P1586" s="7">
        <f>IF($J1586=0,0,ROUND(MAX($J1586*1.4*1.5*1.6,3500000*(1.57975^(MIN($E1586,123)-117)))*1,0))</f>
        <v>178752</v>
      </c>
      <c r="Q1586" s="4">
        <f>$E1586+6</f>
        <v>112</v>
      </c>
      <c r="R1586" s="8">
        <f>IF($J1586=0,0,ROUND(MAX($J1586*1.4*1.5*1.6*1.6,13100000*(1.429962^(MIN($E1586,123)-117)))*1,0))</f>
        <v>286003</v>
      </c>
      <c r="S1586" s="6">
        <f>$E1586+8</f>
        <v>114</v>
      </c>
      <c r="T1586" s="7">
        <f>IF($J1586=0,0,ROUND(MAX($J1586*1.4*1.5*1.6*1.6*2.2,42600000*(1.576904^(MIN($E1586,123)-117)))*1,0))</f>
        <v>629207</v>
      </c>
      <c r="U1586" s="4">
        <f>$E1586+11</f>
        <v>117</v>
      </c>
      <c r="V1586" s="8">
        <f>IF($J1586=0,0,ROUND(MAX($J1586*1.4*1.5*1.6*1.6*2.2*2.715,354000000*(1.642074^(MIN($E1586,123)-117)))*1,0))</f>
        <v>1708297</v>
      </c>
      <c r="W1586" s="6">
        <f>$E1586+15</f>
        <v>121</v>
      </c>
      <c r="X1586" s="7">
        <f>IF($J1586=0,0,ROUND(MAX($J1586*1.4*1.5*1.6*1.6*2.2*2.715*2.6,3540000000*(1.579646^(MIN($E1586,123)-117)))*1,0))</f>
        <v>23165718</v>
      </c>
      <c r="Y1586" s="4">
        <f>$E1586+17</f>
        <v>123</v>
      </c>
      <c r="Z1586" s="8">
        <f>IF($J1586=0,0,ROUND(MAX($J1586*1.4*1.5*1.6*1.6*2.2*2.715*2.6*1.4,6020000000*(1.651178^(MIN($E1586,123)-117)))*1,0))</f>
        <v>24202691</v>
      </c>
      <c r="AA1586" s="6">
        <f>$E1586+19</f>
        <v>125</v>
      </c>
      <c r="AB1586" s="7">
        <f>IF($J1586=0,0,ROUND(MAX($J1586*1.4*1.5*1.6*1.6*2.2*2.715*2.6*1.4*1.4,8430000000*(1.651435^(MIN($E1586,123)-117)))*1,0))</f>
        <v>33833836</v>
      </c>
      <c r="AC1586" s="4">
        <f>$E1586+21</f>
        <v>127</v>
      </c>
      <c r="AD1586" s="8">
        <f>IF($J1586=0,0,ROUND(MAX($J1586*1.4*1.5*1.6*1.6*2.2*2.715*2.6*1.4*1.4*1.5,12600000000*(1.652953^(MIN($E1586,123)-117)))*1,0))</f>
        <v>50061630</v>
      </c>
      <c r="AE1586" s="6">
        <f>$E1586+24</f>
        <v>130</v>
      </c>
      <c r="AF1586" s="7">
        <f>IF($J1586=0,0,ROUND(MAX($J1586*1.4*1.5*1.6*1.6*2.2*2.715*2.6*1.4*1.4*1.5*1.5,18900000000*(1.65331^(MIN($E1586,123)-117)))*1,0))</f>
        <v>74914276</v>
      </c>
      <c r="AG1586" s="4">
        <f>$E1586+27</f>
        <v>133</v>
      </c>
      <c r="AH1586" s="8">
        <f>IF($J1586=0,0,ROUND(MAX($J1586*1.4*1.5*1.6*1.6*2.2*2.715*2.6*1.4*1.4*1.5*1.5*3.2,60500000000*(1.654288^(MIN($E1586,123)-117)))*1,0))</f>
        <v>238250083</v>
      </c>
    </row>
    <row r="1587" ht="27.75" customHeight="1" spans="1:34" x14ac:dyDescent="0.25">
      <c r="A1587" s="3">
        <v>1597</v>
      </c>
      <c r="B1587" s="3" t="s">
        <v>1098</v>
      </c>
      <c r="C1587" s="3" t="s">
        <v>1119</v>
      </c>
      <c r="D1587" s="3" t="s">
        <v>47</v>
      </c>
      <c r="E1587" s="3">
        <v>106</v>
      </c>
      <c r="F1587" s="3" t="s">
        <v>258</v>
      </c>
      <c r="G1587" s="3" t="s">
        <v>1099</v>
      </c>
      <c r="H1587" s="3">
        <v>20</v>
      </c>
      <c r="I1587" s="4">
        <v>106</v>
      </c>
      <c r="J1587" s="5">
        <v>46900</v>
      </c>
      <c r="K1587" s="6">
        <f>$E1587+1</f>
        <v>107</v>
      </c>
      <c r="L1587" s="7">
        <f>IF($J1587=0,0,ROUND(MAX($J1587*1.4,1620000*(1.497923^(MIN($E1587,123)-117)))*1,0))</f>
        <v>65660</v>
      </c>
      <c r="M1587" s="4">
        <f>$E1587+2</f>
        <v>108</v>
      </c>
      <c r="N1587" s="8">
        <f>IF($J1587=0,0,ROUND(MAX($J1587*1.4*1.5,2190000*(1.580994^(MIN($E1587,123)-117)))*1,0))</f>
        <v>98490</v>
      </c>
      <c r="O1587" s="6">
        <f>$E1587+4</f>
        <v>110</v>
      </c>
      <c r="P1587" s="7">
        <f>IF($J1587=0,0,ROUND(MAX($J1587*1.4*1.5*1.6,3500000*(1.57975^(MIN($E1587,123)-117)))*1,0))</f>
        <v>157584</v>
      </c>
      <c r="Q1587" s="4">
        <f>$E1587+6</f>
        <v>112</v>
      </c>
      <c r="R1587" s="8">
        <f>IF($J1587=0,0,ROUND(MAX($J1587*1.4*1.5*1.6*1.6,13100000*(1.429962^(MIN($E1587,123)-117)))*1,0))</f>
        <v>256272</v>
      </c>
      <c r="S1587" s="6">
        <f>$E1587+8</f>
        <v>114</v>
      </c>
      <c r="T1587" s="7">
        <f>IF($J1587=0,0,ROUND(MAX($J1587*1.4*1.5*1.6*1.6*2.2,42600000*(1.576904^(MIN($E1587,123)-117)))*1,0))</f>
        <v>554696</v>
      </c>
      <c r="U1587" s="4">
        <f>$E1587+11</f>
        <v>117</v>
      </c>
      <c r="V1587" s="8">
        <f>IF($J1587=0,0,ROUND(MAX($J1587*1.4*1.5*1.6*1.6*2.2*2.715,354000000*(1.642074^(MIN($E1587,123)-117)))*1,0))</f>
        <v>1512458</v>
      </c>
      <c r="W1587" s="6">
        <f>$E1587+15</f>
        <v>121</v>
      </c>
      <c r="X1587" s="7">
        <f>IF($J1587=0,0,ROUND(MAX($J1587*1.4*1.5*1.6*1.6*2.2*2.715*2.6,3540000000*(1.579646^(MIN($E1587,123)-117)))*1,0))</f>
        <v>23165718</v>
      </c>
      <c r="Y1587" s="4">
        <f>$E1587+17</f>
        <v>123</v>
      </c>
      <c r="Z1587" s="8">
        <f>IF($J1587=0,0,ROUND(MAX($J1587*1.4*1.5*1.6*1.6*2.2*2.715*2.6*1.4,6020000000*(1.651178^(MIN($E1587,123)-117)))*1,0))</f>
        <v>24202691</v>
      </c>
      <c r="AA1587" s="6">
        <f>$E1587+19</f>
        <v>125</v>
      </c>
      <c r="AB1587" s="7">
        <f>IF($J1587=0,0,ROUND(MAX($J1587*1.4*1.5*1.6*1.6*2.2*2.715*2.6*1.4*1.4,8430000000*(1.651435^(MIN($E1587,123)-117)))*1,0))</f>
        <v>33833836</v>
      </c>
      <c r="AC1587" s="4">
        <f>$E1587+21</f>
        <v>127</v>
      </c>
      <c r="AD1587" s="8">
        <f>IF($J1587=0,0,ROUND(MAX($J1587*1.4*1.5*1.6*1.6*2.2*2.715*2.6*1.4*1.4*1.5,12600000000*(1.652953^(MIN($E1587,123)-117)))*1,0))</f>
        <v>50061630</v>
      </c>
      <c r="AE1587" s="6">
        <f>$E1587+24</f>
        <v>130</v>
      </c>
      <c r="AF1587" s="7">
        <f>IF($J1587=0,0,ROUND(MAX($J1587*1.4*1.5*1.6*1.6*2.2*2.715*2.6*1.4*1.4*1.5*1.5,18900000000*(1.65331^(MIN($E1587,123)-117)))*1,0))</f>
        <v>74914276</v>
      </c>
      <c r="AG1587" s="4">
        <f>$E1587+27</f>
        <v>133</v>
      </c>
      <c r="AH1587" s="8">
        <f>IF($J1587=0,0,ROUND(MAX($J1587*1.4*1.5*1.6*1.6*2.2*2.715*2.6*1.4*1.4*1.5*1.5*3.2,60500000000*(1.654288^(MIN($E1587,123)-117)))*1,0))</f>
        <v>238250083</v>
      </c>
    </row>
    <row r="1588" ht="27.75" customHeight="1" spans="1:34" x14ac:dyDescent="0.25">
      <c r="A1588" s="3">
        <v>1598</v>
      </c>
      <c r="B1588" s="3" t="s">
        <v>1141</v>
      </c>
      <c r="C1588" s="3" t="s">
        <v>1119</v>
      </c>
      <c r="D1588" s="3" t="s">
        <v>64</v>
      </c>
      <c r="E1588" s="3">
        <v>105</v>
      </c>
      <c r="F1588" s="3" t="s">
        <v>97</v>
      </c>
      <c r="G1588" s="3" t="s">
        <v>1120</v>
      </c>
      <c r="H1588" s="3">
        <v>23</v>
      </c>
      <c r="I1588" s="4">
        <v>105</v>
      </c>
      <c r="J1588" s="5">
        <v>85700</v>
      </c>
      <c r="K1588" s="6">
        <f>$E1588+1</f>
        <v>106</v>
      </c>
      <c r="L1588" s="7">
        <f>IF($J1588=0,0,ROUND(MAX($J1588*1.4,1620000*(1.497923^(MIN($E1588,123)-117)))*1,0))</f>
        <v>119980</v>
      </c>
      <c r="M1588" s="4">
        <f>$E1588+2</f>
        <v>107</v>
      </c>
      <c r="N1588" s="8">
        <f>IF($J1588=0,0,ROUND(MAX($J1588*1.4*1.5,2190000*(1.580994^(MIN($E1588,123)-117)))*1,0))</f>
        <v>179970</v>
      </c>
      <c r="O1588" s="6">
        <f>$E1588+4</f>
        <v>109</v>
      </c>
      <c r="P1588" s="7">
        <f>IF($J1588=0,0,ROUND(MAX($J1588*1.4*1.5*1.6,3500000*(1.57975^(MIN($E1588,123)-117)))*1,0))</f>
        <v>287952</v>
      </c>
      <c r="Q1588" s="4">
        <f>$E1588+6</f>
        <v>111</v>
      </c>
      <c r="R1588" s="8">
        <f>IF($J1588=0,0,ROUND(MAX($J1588*1.4*1.5*1.6*1.6,13100000*(1.429962^(MIN($E1588,123)-117)))*1,0))</f>
        <v>460723</v>
      </c>
      <c r="S1588" s="6">
        <f>$E1588+8</f>
        <v>113</v>
      </c>
      <c r="T1588" s="7">
        <f>IF($J1588=0,0,ROUND(MAX($J1588*1.4*1.5*1.6*1.6*2.2,42600000*(1.576904^(MIN($E1588,123)-117)))*1,0))</f>
        <v>1013591</v>
      </c>
      <c r="U1588" s="4">
        <f>$E1588+11</f>
        <v>116</v>
      </c>
      <c r="V1588" s="8">
        <f>IF($J1588=0,0,ROUND(MAX($J1588*1.4*1.5*1.6*1.6*2.2*2.715,354000000*(1.642074^(MIN($E1588,123)-117)))*1,0))</f>
        <v>2751900</v>
      </c>
      <c r="W1588" s="6">
        <f>$E1588+15</f>
        <v>120</v>
      </c>
      <c r="X1588" s="7">
        <f>IF($J1588=0,0,ROUND(MAX($J1588*1.4*1.5*1.6*1.6*2.2*2.715*2.6,3540000000*(1.579646^(MIN($E1588,123)-117)))*1,0))</f>
        <v>14665133</v>
      </c>
      <c r="Y1588" s="4">
        <f>$E1588+17</f>
        <v>122</v>
      </c>
      <c r="Z1588" s="8">
        <f>IF($J1588=0,0,ROUND(MAX($J1588*1.4*1.5*1.6*1.6*2.2*2.715*2.6*1.4,6020000000*(1.651178^(MIN($E1588,123)-117)))*1,0))</f>
        <v>14657833</v>
      </c>
      <c r="AA1588" s="6">
        <f>$E1588+19</f>
        <v>124</v>
      </c>
      <c r="AB1588" s="7">
        <f>IF($J1588=0,0,ROUND(MAX($J1588*1.4*1.5*1.6*1.6*2.2*2.715*2.6*1.4*1.4,8430000000*(1.651435^(MIN($E1588,123)-117)))*1,0))</f>
        <v>20487537</v>
      </c>
      <c r="AC1588" s="4">
        <f>$E1588+21</f>
        <v>126</v>
      </c>
      <c r="AD1588" s="8">
        <f>IF($J1588=0,0,ROUND(MAX($J1588*1.4*1.5*1.6*1.6*2.2*2.715*2.6*1.4*1.4*1.5,12600000000*(1.652953^(MIN($E1588,123)-117)))*1,0))</f>
        <v>30286179</v>
      </c>
      <c r="AE1588" s="6">
        <f>$E1588+24</f>
        <v>129</v>
      </c>
      <c r="AF1588" s="7">
        <f>IF($J1588=0,0,ROUND(MAX($J1588*1.4*1.5*1.6*1.6*2.2*2.715*2.6*1.4*1.4*1.5*1.5,18900000000*(1.65331^(MIN($E1588,123)-117)))*1,0))</f>
        <v>45311693</v>
      </c>
      <c r="AG1588" s="4">
        <f>$E1588+27</f>
        <v>132</v>
      </c>
      <c r="AH1588" s="8">
        <f>IF($J1588=0,0,ROUND(MAX($J1588*1.4*1.5*1.6*1.6*2.2*2.715*2.6*1.4*1.4*1.5*1.5*3.2,60500000000*(1.654288^(MIN($E1588,123)-117)))*1,0))</f>
        <v>144019713</v>
      </c>
    </row>
    <row r="1589" ht="27.75" customHeight="1" spans="1:34" x14ac:dyDescent="0.25">
      <c r="A1589" s="3">
        <v>1599</v>
      </c>
      <c r="B1589" s="3" t="s">
        <v>817</v>
      </c>
      <c r="C1589" s="3" t="s">
        <v>1119</v>
      </c>
      <c r="D1589" s="3" t="s">
        <v>90</v>
      </c>
      <c r="E1589" s="3">
        <v>105</v>
      </c>
      <c r="F1589" s="3" t="s">
        <v>258</v>
      </c>
      <c r="G1589" s="3" t="s">
        <v>1120</v>
      </c>
      <c r="H1589" s="3">
        <v>23</v>
      </c>
      <c r="I1589" s="4">
        <v>105</v>
      </c>
      <c r="J1589" s="5">
        <v>1440000</v>
      </c>
      <c r="K1589" s="6">
        <f>$E1589+1</f>
        <v>106</v>
      </c>
      <c r="L1589" s="7">
        <f>IF($J1589=0,0,ROUND(MAX($J1589*1.4,1620000*(1.497923^(MIN($E1589,123)-117)))*1,0))</f>
        <v>2016000</v>
      </c>
      <c r="M1589" s="4">
        <f>$E1589+2</f>
        <v>107</v>
      </c>
      <c r="N1589" s="8">
        <f>IF($J1589=0,0,ROUND(MAX($J1589*1.4*1.5,2190000*(1.580994^(MIN($E1589,123)-117)))*1,0))</f>
        <v>3024000</v>
      </c>
      <c r="O1589" s="6">
        <f>$E1589+4</f>
        <v>109</v>
      </c>
      <c r="P1589" s="7">
        <f>IF($J1589=0,0,ROUND(MAX($J1589*1.4*1.5*1.6,3500000*(1.57975^(MIN($E1589,123)-117)))*1,0))</f>
        <v>4838400</v>
      </c>
      <c r="Q1589" s="4">
        <f>$E1589+6</f>
        <v>111</v>
      </c>
      <c r="R1589" s="8">
        <f>IF($J1589=0,0,ROUND(MAX($J1589*1.4*1.5*1.6*1.6,13100000*(1.429962^(MIN($E1589,123)-117)))*1,0))</f>
        <v>7741440</v>
      </c>
      <c r="S1589" s="6">
        <f>$E1589+8</f>
        <v>113</v>
      </c>
      <c r="T1589" s="7">
        <f>IF($J1589=0,0,ROUND(MAX($J1589*1.4*1.5*1.6*1.6*2.2,42600000*(1.576904^(MIN($E1589,123)-117)))*1,0))</f>
        <v>17031168</v>
      </c>
      <c r="U1589" s="4">
        <f>$E1589+11</f>
        <v>116</v>
      </c>
      <c r="V1589" s="8">
        <f>IF($J1589=0,0,ROUND(MAX($J1589*1.4*1.5*1.6*1.6*2.2*2.715,354000000*(1.642074^(MIN($E1589,123)-117)))*1,0))</f>
        <v>46239621</v>
      </c>
      <c r="W1589" s="6">
        <f>$E1589+15</f>
        <v>120</v>
      </c>
      <c r="X1589" s="7">
        <f>IF($J1589=0,0,ROUND(MAX($J1589*1.4*1.5*1.6*1.6*2.2*2.715*2.6,3540000000*(1.579646^(MIN($E1589,123)-117)))*1,0))</f>
        <v>120223015</v>
      </c>
      <c r="Y1589" s="4">
        <f>$E1589+17</f>
        <v>122</v>
      </c>
      <c r="Z1589" s="8">
        <f>IF($J1589=0,0,ROUND(MAX($J1589*1.4*1.5*1.6*1.6*2.2*2.715*2.6*1.4,6020000000*(1.651178^(MIN($E1589,123)-117)))*1,0))</f>
        <v>168312221</v>
      </c>
      <c r="AA1589" s="6">
        <f>$E1589+19</f>
        <v>124</v>
      </c>
      <c r="AB1589" s="7">
        <f>IF($J1589=0,0,ROUND(MAX($J1589*1.4*1.5*1.6*1.6*2.2*2.715*2.6*1.4*1.4,8430000000*(1.651435^(MIN($E1589,123)-117)))*1,0))</f>
        <v>235637109</v>
      </c>
      <c r="AC1589" s="4">
        <f>$E1589+21</f>
        <v>126</v>
      </c>
      <c r="AD1589" s="8">
        <f>IF($J1589=0,0,ROUND(MAX($J1589*1.4*1.5*1.6*1.6*2.2*2.715*2.6*1.4*1.4*1.5,12600000000*(1.652953^(MIN($E1589,123)-117)))*1,0))</f>
        <v>353455664</v>
      </c>
      <c r="AE1589" s="6">
        <f>$E1589+24</f>
        <v>129</v>
      </c>
      <c r="AF1589" s="7">
        <f>IF($J1589=0,0,ROUND(MAX($J1589*1.4*1.5*1.6*1.6*2.2*2.715*2.6*1.4*1.4*1.5*1.5,18900000000*(1.65331^(MIN($E1589,123)-117)))*1,0))</f>
        <v>530183496</v>
      </c>
      <c r="AG1589" s="4">
        <f>$E1589+27</f>
        <v>132</v>
      </c>
      <c r="AH1589" s="8">
        <f>IF($J1589=0,0,ROUND(MAX($J1589*1.4*1.5*1.6*1.6*2.2*2.715*2.6*1.4*1.4*1.5*1.5*3.2,60500000000*(1.654288^(MIN($E1589,123)-117)))*1,0))</f>
        <v>1696587186</v>
      </c>
    </row>
    <row r="1590" ht="27.75" customHeight="1" spans="1:34" x14ac:dyDescent="0.25">
      <c r="A1590" s="3">
        <v>1600</v>
      </c>
      <c r="B1590" s="3" t="s">
        <v>1142</v>
      </c>
      <c r="C1590" s="3" t="s">
        <v>1119</v>
      </c>
      <c r="D1590" s="3" t="s">
        <v>102</v>
      </c>
      <c r="E1590" s="3">
        <v>105</v>
      </c>
      <c r="F1590" s="3" t="s">
        <v>108</v>
      </c>
      <c r="G1590" s="3" t="s">
        <v>1143</v>
      </c>
      <c r="H1590" s="3">
        <v>23</v>
      </c>
      <c r="I1590" s="4">
        <v>105</v>
      </c>
      <c r="J1590" s="5">
        <v>28300</v>
      </c>
      <c r="K1590" s="6">
        <f>$E1590+1</f>
        <v>106</v>
      </c>
      <c r="L1590" s="7">
        <f>IF($J1590=0,0,ROUND(MAX($J1590*1.4,1620000*(1.497923^(MIN($E1590,123)-117)))*1,0))</f>
        <v>39620</v>
      </c>
      <c r="M1590" s="4">
        <f>$E1590+2</f>
        <v>107</v>
      </c>
      <c r="N1590" s="8">
        <f>IF($J1590=0,0,ROUND(MAX($J1590*1.4*1.5,2190000*(1.580994^(MIN($E1590,123)-117)))*1,0))</f>
        <v>59430</v>
      </c>
      <c r="O1590" s="6">
        <f>$E1590+4</f>
        <v>109</v>
      </c>
      <c r="P1590" s="7">
        <f>IF($J1590=0,0,ROUND(MAX($J1590*1.4*1.5*1.6,3500000*(1.57975^(MIN($E1590,123)-117)))*1,0))</f>
        <v>95088</v>
      </c>
      <c r="Q1590" s="4">
        <f>$E1590+6</f>
        <v>111</v>
      </c>
      <c r="R1590" s="8">
        <f>IF($J1590=0,0,ROUND(MAX($J1590*1.4*1.5*1.6*1.6,13100000*(1.429962^(MIN($E1590,123)-117)))*1,0))</f>
        <v>179216</v>
      </c>
      <c r="S1590" s="6">
        <f>$E1590+8</f>
        <v>113</v>
      </c>
      <c r="T1590" s="7">
        <f>IF($J1590=0,0,ROUND(MAX($J1590*1.4*1.5*1.6*1.6*2.2,42600000*(1.576904^(MIN($E1590,123)-117)))*1,0))</f>
        <v>334710</v>
      </c>
      <c r="U1590" s="4">
        <f>$E1590+11</f>
        <v>116</v>
      </c>
      <c r="V1590" s="8">
        <f>IF($J1590=0,0,ROUND(MAX($J1590*1.4*1.5*1.6*1.6*2.2*2.715,354000000*(1.642074^(MIN($E1590,123)-117)))*1,0))</f>
        <v>921066</v>
      </c>
      <c r="W1590" s="6">
        <f>$E1590+15</f>
        <v>120</v>
      </c>
      <c r="X1590" s="7">
        <f>IF($J1590=0,0,ROUND(MAX($J1590*1.4*1.5*1.6*1.6*2.2*2.715*2.6,3540000000*(1.579646^(MIN($E1590,123)-117)))*1,0))</f>
        <v>14665133</v>
      </c>
      <c r="Y1590" s="4">
        <f>$E1590+17</f>
        <v>122</v>
      </c>
      <c r="Z1590" s="8">
        <f>IF($J1590=0,0,ROUND(MAX($J1590*1.4*1.5*1.6*1.6*2.2*2.715*2.6*1.4,6020000000*(1.651178^(MIN($E1590,123)-117)))*1,0))</f>
        <v>14657833</v>
      </c>
      <c r="AA1590" s="6">
        <f>$E1590+19</f>
        <v>124</v>
      </c>
      <c r="AB1590" s="7">
        <f>IF($J1590=0,0,ROUND(MAX($J1590*1.4*1.5*1.6*1.6*2.2*2.715*2.6*1.4*1.4,8430000000*(1.651435^(MIN($E1590,123)-117)))*1,0))</f>
        <v>20487537</v>
      </c>
      <c r="AC1590" s="4">
        <f>$E1590+21</f>
        <v>126</v>
      </c>
      <c r="AD1590" s="8">
        <f>IF($J1590=0,0,ROUND(MAX($J1590*1.4*1.5*1.6*1.6*2.2*2.715*2.6*1.4*1.4*1.5,12600000000*(1.652953^(MIN($E1590,123)-117)))*1,0))</f>
        <v>30286179</v>
      </c>
      <c r="AE1590" s="6">
        <f>$E1590+24</f>
        <v>129</v>
      </c>
      <c r="AF1590" s="7">
        <f>IF($J1590=0,0,ROUND(MAX($J1590*1.4*1.5*1.6*1.6*2.2*2.715*2.6*1.4*1.4*1.5*1.5,18900000000*(1.65331^(MIN($E1590,123)-117)))*1,0))</f>
        <v>45311693</v>
      </c>
      <c r="AG1590" s="4">
        <f>$E1590+27</f>
        <v>132</v>
      </c>
      <c r="AH1590" s="8">
        <f>IF($J1590=0,0,ROUND(MAX($J1590*1.4*1.5*1.6*1.6*2.2*2.715*2.6*1.4*1.4*1.5*1.5*3.2,60500000000*(1.654288^(MIN($E1590,123)-117)))*1,0))</f>
        <v>144019713</v>
      </c>
    </row>
    <row r="1591" ht="27.75" customHeight="1" spans="1:34" x14ac:dyDescent="0.25">
      <c r="A1591" s="3">
        <v>1601</v>
      </c>
      <c r="B1591" s="3" t="s">
        <v>203</v>
      </c>
      <c r="C1591" s="3" t="s">
        <v>1119</v>
      </c>
      <c r="D1591" s="3" t="s">
        <v>25</v>
      </c>
      <c r="E1591" s="3">
        <v>105</v>
      </c>
      <c r="F1591" s="3" t="s">
        <v>204</v>
      </c>
      <c r="G1591" s="3" t="s">
        <v>1120</v>
      </c>
      <c r="H1591" s="3">
        <v>23</v>
      </c>
      <c r="I1591" s="4">
        <v>105</v>
      </c>
      <c r="J1591" s="5">
        <v>135000</v>
      </c>
      <c r="K1591" s="6">
        <f>$E1591+1</f>
        <v>106</v>
      </c>
      <c r="L1591" s="7">
        <f>IF($J1591=0,0,ROUND(MAX($J1591*1.4,1620000*(1.497923^(MIN($E1591,123)-117)))*1,0))</f>
        <v>189000</v>
      </c>
      <c r="M1591" s="4">
        <f>$E1591+2</f>
        <v>107</v>
      </c>
      <c r="N1591" s="8">
        <f>IF($J1591=0,0,ROUND(MAX($J1591*1.4*1.5,2190000*(1.580994^(MIN($E1591,123)-117)))*1,0))</f>
        <v>283500</v>
      </c>
      <c r="O1591" s="6">
        <f>$E1591+4</f>
        <v>109</v>
      </c>
      <c r="P1591" s="7">
        <f>IF($J1591=0,0,ROUND(MAX($J1591*1.4*1.5*1.6,3500000*(1.57975^(MIN($E1591,123)-117)))*1,0))</f>
        <v>453600</v>
      </c>
      <c r="Q1591" s="4">
        <f>$E1591+6</f>
        <v>111</v>
      </c>
      <c r="R1591" s="8">
        <f>IF($J1591=0,0,ROUND(MAX($J1591*1.4*1.5*1.6*1.6,13100000*(1.429962^(MIN($E1591,123)-117)))*1,0))</f>
        <v>725760</v>
      </c>
      <c r="S1591" s="6">
        <f>$E1591+8</f>
        <v>113</v>
      </c>
      <c r="T1591" s="7">
        <f>IF($J1591=0,0,ROUND(MAX($J1591*1.4*1.5*1.6*1.6*2.2,42600000*(1.576904^(MIN($E1591,123)-117)))*1,0))</f>
        <v>1596672</v>
      </c>
      <c r="U1591" s="4">
        <f>$E1591+11</f>
        <v>116</v>
      </c>
      <c r="V1591" s="8">
        <f>IF($J1591=0,0,ROUND(MAX($J1591*1.4*1.5*1.6*1.6*2.2*2.715,354000000*(1.642074^(MIN($E1591,123)-117)))*1,0))</f>
        <v>4334964</v>
      </c>
      <c r="W1591" s="6">
        <f>$E1591+15</f>
        <v>120</v>
      </c>
      <c r="X1591" s="7">
        <f>IF($J1591=0,0,ROUND(MAX($J1591*1.4*1.5*1.6*1.6*2.2*2.715*2.6,3540000000*(1.579646^(MIN($E1591,123)-117)))*1,0))</f>
        <v>14665133</v>
      </c>
      <c r="Y1591" s="4">
        <f>$E1591+17</f>
        <v>122</v>
      </c>
      <c r="Z1591" s="8">
        <f>IF($J1591=0,0,ROUND(MAX($J1591*1.4*1.5*1.6*1.6*2.2*2.715*2.6*1.4,6020000000*(1.651178^(MIN($E1591,123)-117)))*1,0))</f>
        <v>15779271</v>
      </c>
      <c r="AA1591" s="6">
        <f>$E1591+19</f>
        <v>124</v>
      </c>
      <c r="AB1591" s="7">
        <f>IF($J1591=0,0,ROUND(MAX($J1591*1.4*1.5*1.6*1.6*2.2*2.715*2.6*1.4*1.4,8430000000*(1.651435^(MIN($E1591,123)-117)))*1,0))</f>
        <v>22090979</v>
      </c>
      <c r="AC1591" s="4">
        <f>$E1591+21</f>
        <v>126</v>
      </c>
      <c r="AD1591" s="8">
        <f>IF($J1591=0,0,ROUND(MAX($J1591*1.4*1.5*1.6*1.6*2.2*2.715*2.6*1.4*1.4*1.5,12600000000*(1.652953^(MIN($E1591,123)-117)))*1,0))</f>
        <v>33136468</v>
      </c>
      <c r="AE1591" s="6">
        <f>$E1591+24</f>
        <v>129</v>
      </c>
      <c r="AF1591" s="7">
        <f>IF($J1591=0,0,ROUND(MAX($J1591*1.4*1.5*1.6*1.6*2.2*2.715*2.6*1.4*1.4*1.5*1.5,18900000000*(1.65331^(MIN($E1591,123)-117)))*1,0))</f>
        <v>49704703</v>
      </c>
      <c r="AG1591" s="4">
        <f>$E1591+27</f>
        <v>132</v>
      </c>
      <c r="AH1591" s="8">
        <f>IF($J1591=0,0,ROUND(MAX($J1591*1.4*1.5*1.6*1.6*2.2*2.715*2.6*1.4*1.4*1.5*1.5*3.2,60500000000*(1.654288^(MIN($E1591,123)-117)))*1,0))</f>
        <v>159055049</v>
      </c>
    </row>
    <row r="1592" ht="27.75" customHeight="1" spans="1:34" x14ac:dyDescent="0.25">
      <c r="A1592" s="3">
        <v>1602</v>
      </c>
      <c r="B1592" s="3" t="s">
        <v>1144</v>
      </c>
      <c r="C1592" s="3" t="s">
        <v>1119</v>
      </c>
      <c r="D1592" s="3" t="s">
        <v>33</v>
      </c>
      <c r="E1592" s="3">
        <v>105</v>
      </c>
      <c r="F1592" s="3" t="s">
        <v>353</v>
      </c>
      <c r="G1592" s="3" t="s">
        <v>1145</v>
      </c>
      <c r="H1592" s="3">
        <v>22</v>
      </c>
      <c r="I1592" s="4">
        <v>105</v>
      </c>
      <c r="J1592" s="5">
        <v>118000</v>
      </c>
      <c r="K1592" s="6">
        <f>$E1592+1</f>
        <v>106</v>
      </c>
      <c r="L1592" s="7">
        <f>IF($J1592=0,0,ROUND(MAX($J1592*1.4,1620000*(1.497923^(MIN($E1592,123)-117)))*1,0))</f>
        <v>165200</v>
      </c>
      <c r="M1592" s="4">
        <f>$E1592+2</f>
        <v>107</v>
      </c>
      <c r="N1592" s="8">
        <f>IF($J1592=0,0,ROUND(MAX($J1592*1.4*1.5,2190000*(1.580994^(MIN($E1592,123)-117)))*1,0))</f>
        <v>247800</v>
      </c>
      <c r="O1592" s="6">
        <f>$E1592+4</f>
        <v>109</v>
      </c>
      <c r="P1592" s="7">
        <f>IF($J1592=0,0,ROUND(MAX($J1592*1.4*1.5*1.6,3500000*(1.57975^(MIN($E1592,123)-117)))*1,0))</f>
        <v>396480</v>
      </c>
      <c r="Q1592" s="4">
        <f>$E1592+6</f>
        <v>111</v>
      </c>
      <c r="R1592" s="8">
        <f>IF($J1592=0,0,ROUND(MAX($J1592*1.4*1.5*1.6*1.6,13100000*(1.429962^(MIN($E1592,123)-117)))*1,0))</f>
        <v>634368</v>
      </c>
      <c r="S1592" s="6">
        <f>$E1592+8</f>
        <v>113</v>
      </c>
      <c r="T1592" s="7">
        <f>IF($J1592=0,0,ROUND(MAX($J1592*1.4*1.5*1.6*1.6*2.2,42600000*(1.576904^(MIN($E1592,123)-117)))*1,0))</f>
        <v>1395610</v>
      </c>
      <c r="U1592" s="4">
        <f>$E1592+11</f>
        <v>116</v>
      </c>
      <c r="V1592" s="8">
        <f>IF($J1592=0,0,ROUND(MAX($J1592*1.4*1.5*1.6*1.6*2.2*2.715,354000000*(1.642074^(MIN($E1592,123)-117)))*1,0))</f>
        <v>3789080</v>
      </c>
      <c r="W1592" s="6">
        <f>$E1592+15</f>
        <v>120</v>
      </c>
      <c r="X1592" s="7">
        <f>IF($J1592=0,0,ROUND(MAX($J1592*1.4*1.5*1.6*1.6*2.2*2.715*2.6,3540000000*(1.579646^(MIN($E1592,123)-117)))*1,0))</f>
        <v>14665133</v>
      </c>
      <c r="Y1592" s="4">
        <f>$E1592+17</f>
        <v>122</v>
      </c>
      <c r="Z1592" s="8">
        <f>IF($J1592=0,0,ROUND(MAX($J1592*1.4*1.5*1.6*1.6*2.2*2.715*2.6*1.4,6020000000*(1.651178^(MIN($E1592,123)-117)))*1,0))</f>
        <v>14657833</v>
      </c>
      <c r="AA1592" s="6">
        <f>$E1592+19</f>
        <v>124</v>
      </c>
      <c r="AB1592" s="7">
        <f>IF($J1592=0,0,ROUND(MAX($J1592*1.4*1.5*1.6*1.6*2.2*2.715*2.6*1.4*1.4,8430000000*(1.651435^(MIN($E1592,123)-117)))*1,0))</f>
        <v>20487537</v>
      </c>
      <c r="AC1592" s="4">
        <f>$E1592+21</f>
        <v>126</v>
      </c>
      <c r="AD1592" s="8">
        <f>IF($J1592=0,0,ROUND(MAX($J1592*1.4*1.5*1.6*1.6*2.2*2.715*2.6*1.4*1.4*1.5,12600000000*(1.652953^(MIN($E1592,123)-117)))*1,0))</f>
        <v>30286179</v>
      </c>
      <c r="AE1592" s="6">
        <f>$E1592+24</f>
        <v>129</v>
      </c>
      <c r="AF1592" s="7">
        <f>IF($J1592=0,0,ROUND(MAX($J1592*1.4*1.5*1.6*1.6*2.2*2.715*2.6*1.4*1.4*1.5*1.5,18900000000*(1.65331^(MIN($E1592,123)-117)))*1,0))</f>
        <v>45311693</v>
      </c>
      <c r="AG1592" s="4">
        <f>$E1592+27</f>
        <v>132</v>
      </c>
      <c r="AH1592" s="8">
        <f>IF($J1592=0,0,ROUND(MAX($J1592*1.4*1.5*1.6*1.6*2.2*2.715*2.6*1.4*1.4*1.5*1.5*3.2,60500000000*(1.654288^(MIN($E1592,123)-117)))*1,0))</f>
        <v>144019713</v>
      </c>
    </row>
    <row r="1593" ht="27.75" customHeight="1" spans="1:34" x14ac:dyDescent="0.25">
      <c r="A1593" s="3">
        <v>1603</v>
      </c>
      <c r="B1593" s="3" t="s">
        <v>1146</v>
      </c>
      <c r="C1593" s="3" t="s">
        <v>1119</v>
      </c>
      <c r="D1593" s="3" t="s">
        <v>33</v>
      </c>
      <c r="E1593" s="3">
        <v>105</v>
      </c>
      <c r="F1593" s="3" t="s">
        <v>146</v>
      </c>
      <c r="G1593" s="3" t="s">
        <v>1120</v>
      </c>
      <c r="H1593" s="3">
        <v>22</v>
      </c>
      <c r="I1593" s="4">
        <v>105</v>
      </c>
      <c r="J1593" s="5">
        <v>217000</v>
      </c>
      <c r="K1593" s="6">
        <f>$E1593+1</f>
        <v>106</v>
      </c>
      <c r="L1593" s="7">
        <f>IF($J1593=0,0,ROUND(MAX($J1593*1.4,1620000*(1.497923^(MIN($E1593,123)-117)))*1,0))</f>
        <v>303800</v>
      </c>
      <c r="M1593" s="4">
        <f>$E1593+2</f>
        <v>107</v>
      </c>
      <c r="N1593" s="8">
        <f>IF($J1593=0,0,ROUND(MAX($J1593*1.4*1.5,2190000*(1.580994^(MIN($E1593,123)-117)))*1,0))</f>
        <v>455700</v>
      </c>
      <c r="O1593" s="6">
        <f>$E1593+4</f>
        <v>109</v>
      </c>
      <c r="P1593" s="7">
        <f>IF($J1593=0,0,ROUND(MAX($J1593*1.4*1.5*1.6,3500000*(1.57975^(MIN($E1593,123)-117)))*1,0))</f>
        <v>729120</v>
      </c>
      <c r="Q1593" s="4">
        <f>$E1593+6</f>
        <v>111</v>
      </c>
      <c r="R1593" s="8">
        <f>IF($J1593=0,0,ROUND(MAX($J1593*1.4*1.5*1.6*1.6,13100000*(1.429962^(MIN($E1593,123)-117)))*1,0))</f>
        <v>1166592</v>
      </c>
      <c r="S1593" s="6">
        <f>$E1593+8</f>
        <v>113</v>
      </c>
      <c r="T1593" s="7">
        <f>IF($J1593=0,0,ROUND(MAX($J1593*1.4*1.5*1.6*1.6*2.2,42600000*(1.576904^(MIN($E1593,123)-117)))*1,0))</f>
        <v>2566502</v>
      </c>
      <c r="U1593" s="4">
        <f>$E1593+11</f>
        <v>116</v>
      </c>
      <c r="V1593" s="8">
        <f>IF($J1593=0,0,ROUND(MAX($J1593*1.4*1.5*1.6*1.6*2.2*2.715,354000000*(1.642074^(MIN($E1593,123)-117)))*1,0))</f>
        <v>6968054</v>
      </c>
      <c r="W1593" s="6">
        <f>$E1593+15</f>
        <v>120</v>
      </c>
      <c r="X1593" s="7">
        <f>IF($J1593=0,0,ROUND(MAX($J1593*1.4*1.5*1.6*1.6*2.2*2.715*2.6,3540000000*(1.579646^(MIN($E1593,123)-117)))*1,0))</f>
        <v>18116940</v>
      </c>
      <c r="Y1593" s="4">
        <f>$E1593+17</f>
        <v>122</v>
      </c>
      <c r="Z1593" s="8">
        <f>IF($J1593=0,0,ROUND(MAX($J1593*1.4*1.5*1.6*1.6*2.2*2.715*2.6*1.4,6020000000*(1.651178^(MIN($E1593,123)-117)))*1,0))</f>
        <v>25363717</v>
      </c>
      <c r="AA1593" s="6">
        <f>$E1593+19</f>
        <v>124</v>
      </c>
      <c r="AB1593" s="7">
        <f>IF($J1593=0,0,ROUND(MAX($J1593*1.4*1.5*1.6*1.6*2.2*2.715*2.6*1.4*1.4,8430000000*(1.651435^(MIN($E1593,123)-117)))*1,0))</f>
        <v>35509203</v>
      </c>
      <c r="AC1593" s="4">
        <f>$E1593+21</f>
        <v>126</v>
      </c>
      <c r="AD1593" s="8">
        <f>IF($J1593=0,0,ROUND(MAX($J1593*1.4*1.5*1.6*1.6*2.2*2.715*2.6*1.4*1.4*1.5,12600000000*(1.652953^(MIN($E1593,123)-117)))*1,0))</f>
        <v>53263805</v>
      </c>
      <c r="AE1593" s="6">
        <f>$E1593+24</f>
        <v>129</v>
      </c>
      <c r="AF1593" s="7">
        <f>IF($J1593=0,0,ROUND(MAX($J1593*1.4*1.5*1.6*1.6*2.2*2.715*2.6*1.4*1.4*1.5*1.5,18900000000*(1.65331^(MIN($E1593,123)-117)))*1,0))</f>
        <v>79895707</v>
      </c>
      <c r="AG1593" s="4">
        <f>$E1593+27</f>
        <v>132</v>
      </c>
      <c r="AH1593" s="8">
        <f>IF($J1593=0,0,ROUND(MAX($J1593*1.4*1.5*1.6*1.6*2.2*2.715*2.6*1.4*1.4*1.5*1.5*3.2,60500000000*(1.654288^(MIN($E1593,123)-117)))*1,0))</f>
        <v>255666264</v>
      </c>
    </row>
    <row r="1594" ht="27.75" customHeight="1" spans="1:34" x14ac:dyDescent="0.25">
      <c r="A1594" s="3">
        <v>1604</v>
      </c>
      <c r="B1594" s="3" t="s">
        <v>720</v>
      </c>
      <c r="C1594" s="3" t="s">
        <v>1119</v>
      </c>
      <c r="D1594" s="3" t="s">
        <v>40</v>
      </c>
      <c r="E1594" s="3">
        <v>104</v>
      </c>
      <c r="F1594" s="3" t="s">
        <v>400</v>
      </c>
      <c r="G1594" s="3" t="s">
        <v>721</v>
      </c>
      <c r="H1594" s="3">
        <v>23</v>
      </c>
      <c r="I1594" s="4">
        <v>104</v>
      </c>
      <c r="J1594" s="5">
        <v>77600</v>
      </c>
      <c r="K1594" s="6">
        <f>$E1594+1</f>
        <v>105</v>
      </c>
      <c r="L1594" s="7">
        <f>IF($J1594=0,0,ROUND(MAX($J1594*1.4,1620000*(1.497923^(MIN($E1594,123)-117)))*1,0))</f>
        <v>108640</v>
      </c>
      <c r="M1594" s="4">
        <f>$E1594+2</f>
        <v>106</v>
      </c>
      <c r="N1594" s="8">
        <f>IF($J1594=0,0,ROUND(MAX($J1594*1.4*1.5,2190000*(1.580994^(MIN($E1594,123)-117)))*1,0))</f>
        <v>162960</v>
      </c>
      <c r="O1594" s="6">
        <f>$E1594+4</f>
        <v>108</v>
      </c>
      <c r="P1594" s="7">
        <f>IF($J1594=0,0,ROUND(MAX($J1594*1.4*1.5*1.6,3500000*(1.57975^(MIN($E1594,123)-117)))*1,0))</f>
        <v>260736</v>
      </c>
      <c r="Q1594" s="4">
        <f>$E1594+6</f>
        <v>110</v>
      </c>
      <c r="R1594" s="8">
        <f>IF($J1594=0,0,ROUND(MAX($J1594*1.4*1.5*1.6*1.6,13100000*(1.429962^(MIN($E1594,123)-117)))*1,0))</f>
        <v>417178</v>
      </c>
      <c r="S1594" s="6">
        <f>$E1594+8</f>
        <v>112</v>
      </c>
      <c r="T1594" s="7">
        <f>IF($J1594=0,0,ROUND(MAX($J1594*1.4*1.5*1.6*1.6*2.2,42600000*(1.576904^(MIN($E1594,123)-117)))*1,0))</f>
        <v>917791</v>
      </c>
      <c r="U1594" s="4">
        <f>$E1594+11</f>
        <v>115</v>
      </c>
      <c r="V1594" s="8">
        <f>IF($J1594=0,0,ROUND(MAX($J1594*1.4*1.5*1.6*1.6*2.2*2.715,354000000*(1.642074^(MIN($E1594,123)-117)))*1,0))</f>
        <v>2491802</v>
      </c>
      <c r="W1594" s="6">
        <f>$E1594+15</f>
        <v>119</v>
      </c>
      <c r="X1594" s="7">
        <f>IF($J1594=0,0,ROUND(MAX($J1594*1.4*1.5*1.6*1.6*2.2*2.715*2.6,3540000000*(1.579646^(MIN($E1594,123)-117)))*1,0))</f>
        <v>9283810</v>
      </c>
      <c r="Y1594" s="4">
        <f>$E1594+17</f>
        <v>121</v>
      </c>
      <c r="Z1594" s="8">
        <f>IF($J1594=0,0,ROUND(MAX($J1594*1.4*1.5*1.6*1.6*2.2*2.715*2.6*1.4,6020000000*(1.651178^(MIN($E1594,123)-117)))*1,0))</f>
        <v>9070159</v>
      </c>
      <c r="AA1594" s="6">
        <f>$E1594+19</f>
        <v>123</v>
      </c>
      <c r="AB1594" s="7">
        <f>IF($J1594=0,0,ROUND(MAX($J1594*1.4*1.5*1.6*1.6*2.2*2.715*2.6*1.4*1.4,8430000000*(1.651435^(MIN($E1594,123)-117)))*1,0))</f>
        <v>12698222</v>
      </c>
      <c r="AC1594" s="4">
        <f>$E1594+21</f>
        <v>125</v>
      </c>
      <c r="AD1594" s="8">
        <f>IF($J1594=0,0,ROUND(MAX($J1594*1.4*1.5*1.6*1.6*2.2*2.715*2.6*1.4*1.4*1.5,12600000000*(1.652953^(MIN($E1594,123)-117)))*1,0))</f>
        <v>19047333</v>
      </c>
      <c r="AE1594" s="6">
        <f>$E1594+24</f>
        <v>128</v>
      </c>
      <c r="AF1594" s="7">
        <f>IF($J1594=0,0,ROUND(MAX($J1594*1.4*1.5*1.6*1.6*2.2*2.715*2.6*1.4*1.4*1.5*1.5,18900000000*(1.65331^(MIN($E1594,123)-117)))*1,0))</f>
        <v>28570999</v>
      </c>
      <c r="AG1594" s="4">
        <f>$E1594+27</f>
        <v>131</v>
      </c>
      <c r="AH1594" s="8">
        <f>IF($J1594=0,0,ROUND(MAX($J1594*1.4*1.5*1.6*1.6*2.2*2.715*2.6*1.4*1.4*1.5*1.5*3.2,60500000000*(1.654288^(MIN($E1594,123)-117)))*1,0))</f>
        <v>91427198</v>
      </c>
    </row>
    <row r="1595" ht="27.75" customHeight="1" spans="1:34" x14ac:dyDescent="0.25">
      <c r="A1595" s="3">
        <v>1605</v>
      </c>
      <c r="B1595" s="3" t="s">
        <v>735</v>
      </c>
      <c r="C1595" s="3" t="s">
        <v>1119</v>
      </c>
      <c r="D1595" s="3" t="s">
        <v>45</v>
      </c>
      <c r="E1595" s="3">
        <v>104</v>
      </c>
      <c r="F1595" s="3" t="s">
        <v>123</v>
      </c>
      <c r="G1595" s="3" t="s">
        <v>736</v>
      </c>
      <c r="H1595" s="3">
        <v>23</v>
      </c>
      <c r="I1595" s="4">
        <v>104</v>
      </c>
      <c r="J1595" s="5">
        <v>109000</v>
      </c>
      <c r="K1595" s="6">
        <f>$E1595+1</f>
        <v>105</v>
      </c>
      <c r="L1595" s="7">
        <f>IF($J1595=0,0,ROUND(MAX($J1595*1.4,1620000*(1.497923^(MIN($E1595,123)-117)))*1,0))</f>
        <v>152600</v>
      </c>
      <c r="M1595" s="4">
        <f>$E1595+2</f>
        <v>106</v>
      </c>
      <c r="N1595" s="8">
        <f>IF($J1595=0,0,ROUND(MAX($J1595*1.4*1.5,2190000*(1.580994^(MIN($E1595,123)-117)))*1,0))</f>
        <v>228900</v>
      </c>
      <c r="O1595" s="6">
        <f>$E1595+4</f>
        <v>108</v>
      </c>
      <c r="P1595" s="7">
        <f>IF($J1595=0,0,ROUND(MAX($J1595*1.4*1.5*1.6,3500000*(1.57975^(MIN($E1595,123)-117)))*1,0))</f>
        <v>366240</v>
      </c>
      <c r="Q1595" s="4">
        <f>$E1595+6</f>
        <v>110</v>
      </c>
      <c r="R1595" s="8">
        <f>IF($J1595=0,0,ROUND(MAX($J1595*1.4*1.5*1.6*1.6,13100000*(1.429962^(MIN($E1595,123)-117)))*1,0))</f>
        <v>585984</v>
      </c>
      <c r="S1595" s="6">
        <f>$E1595+8</f>
        <v>112</v>
      </c>
      <c r="T1595" s="7">
        <f>IF($J1595=0,0,ROUND(MAX($J1595*1.4*1.5*1.6*1.6*2.2,42600000*(1.576904^(MIN($E1595,123)-117)))*1,0))</f>
        <v>1289165</v>
      </c>
      <c r="U1595" s="4">
        <f>$E1595+11</f>
        <v>115</v>
      </c>
      <c r="V1595" s="8">
        <f>IF($J1595=0,0,ROUND(MAX($J1595*1.4*1.5*1.6*1.6*2.2*2.715,354000000*(1.642074^(MIN($E1595,123)-117)))*1,0))</f>
        <v>3500082</v>
      </c>
      <c r="W1595" s="6">
        <f>$E1595+15</f>
        <v>119</v>
      </c>
      <c r="X1595" s="7">
        <f>IF($J1595=0,0,ROUND(MAX($J1595*1.4*1.5*1.6*1.6*2.2*2.715*2.6,3540000000*(1.579646^(MIN($E1595,123)-117)))*1,0))</f>
        <v>9283810</v>
      </c>
      <c r="Y1595" s="4">
        <f>$E1595+17</f>
        <v>121</v>
      </c>
      <c r="Z1595" s="8">
        <f>IF($J1595=0,0,ROUND(MAX($J1595*1.4*1.5*1.6*1.6*2.2*2.715*2.6*1.4,6020000000*(1.651178^(MIN($E1595,123)-117)))*1,0))</f>
        <v>12740300</v>
      </c>
      <c r="AA1595" s="6">
        <f>$E1595+19</f>
        <v>123</v>
      </c>
      <c r="AB1595" s="7">
        <f>IF($J1595=0,0,ROUND(MAX($J1595*1.4*1.5*1.6*1.6*2.2*2.715*2.6*1.4*1.4,8430000000*(1.651435^(MIN($E1595,123)-117)))*1,0))</f>
        <v>17836420</v>
      </c>
      <c r="AC1595" s="4">
        <f>$E1595+21</f>
        <v>125</v>
      </c>
      <c r="AD1595" s="8">
        <f>IF($J1595=0,0,ROUND(MAX($J1595*1.4*1.5*1.6*1.6*2.2*2.715*2.6*1.4*1.4*1.5,12600000000*(1.652953^(MIN($E1595,123)-117)))*1,0))</f>
        <v>26754630</v>
      </c>
      <c r="AE1595" s="6">
        <f>$E1595+24</f>
        <v>128</v>
      </c>
      <c r="AF1595" s="7">
        <f>IF($J1595=0,0,ROUND(MAX($J1595*1.4*1.5*1.6*1.6*2.2*2.715*2.6*1.4*1.4*1.5*1.5,18900000000*(1.65331^(MIN($E1595,123)-117)))*1,0))</f>
        <v>40131945</v>
      </c>
      <c r="AG1595" s="4">
        <f>$E1595+27</f>
        <v>131</v>
      </c>
      <c r="AH1595" s="8">
        <f>IF($J1595=0,0,ROUND(MAX($J1595*1.4*1.5*1.6*1.6*2.2*2.715*2.6*1.4*1.4*1.5*1.5*3.2,60500000000*(1.654288^(MIN($E1595,123)-117)))*1,0))</f>
        <v>128422225</v>
      </c>
    </row>
    <row r="1596" ht="27.75" customHeight="1" spans="1:34" x14ac:dyDescent="0.25">
      <c r="A1596" s="3">
        <v>1606</v>
      </c>
      <c r="B1596" s="3" t="s">
        <v>1147</v>
      </c>
      <c r="C1596" s="3" t="s">
        <v>1119</v>
      </c>
      <c r="D1596" s="3" t="s">
        <v>79</v>
      </c>
      <c r="E1596" s="3">
        <v>104</v>
      </c>
      <c r="F1596" s="3" t="s">
        <v>217</v>
      </c>
      <c r="G1596" s="3" t="s">
        <v>1120</v>
      </c>
      <c r="H1596" s="3">
        <v>22</v>
      </c>
      <c r="I1596" s="4">
        <v>104</v>
      </c>
      <c r="J1596" s="5">
        <v>24300</v>
      </c>
      <c r="K1596" s="6">
        <f>$E1596+1</f>
        <v>105</v>
      </c>
      <c r="L1596" s="7">
        <f>IF($J1596=0,0,ROUND(MAX($J1596*1.4,1620000*(1.497923^(MIN($E1596,123)-117)))*1,0))</f>
        <v>34020</v>
      </c>
      <c r="M1596" s="4">
        <f>$E1596+2</f>
        <v>106</v>
      </c>
      <c r="N1596" s="8">
        <f>IF($J1596=0,0,ROUND(MAX($J1596*1.4*1.5,2190000*(1.580994^(MIN($E1596,123)-117)))*1,0))</f>
        <v>51030</v>
      </c>
      <c r="O1596" s="6">
        <f>$E1596+4</f>
        <v>108</v>
      </c>
      <c r="P1596" s="7">
        <f>IF($J1596=0,0,ROUND(MAX($J1596*1.4*1.5*1.6,3500000*(1.57975^(MIN($E1596,123)-117)))*1,0))</f>
        <v>81648</v>
      </c>
      <c r="Q1596" s="4">
        <f>$E1596+6</f>
        <v>110</v>
      </c>
      <c r="R1596" s="8">
        <f>IF($J1596=0,0,ROUND(MAX($J1596*1.4*1.5*1.6*1.6,13100000*(1.429962^(MIN($E1596,123)-117)))*1,0))</f>
        <v>130637</v>
      </c>
      <c r="S1596" s="6">
        <f>$E1596+8</f>
        <v>112</v>
      </c>
      <c r="T1596" s="7">
        <f>IF($J1596=0,0,ROUND(MAX($J1596*1.4*1.5*1.6*1.6*2.2,42600000*(1.576904^(MIN($E1596,123)-117)))*1,0))</f>
        <v>287401</v>
      </c>
      <c r="U1596" s="4">
        <f>$E1596+11</f>
        <v>115</v>
      </c>
      <c r="V1596" s="8">
        <f>IF($J1596=0,0,ROUND(MAX($J1596*1.4*1.5*1.6*1.6*2.2*2.715,354000000*(1.642074^(MIN($E1596,123)-117)))*1,0))</f>
        <v>780294</v>
      </c>
      <c r="W1596" s="6">
        <f>$E1596+15</f>
        <v>119</v>
      </c>
      <c r="X1596" s="7">
        <f>IF($J1596=0,0,ROUND(MAX($J1596*1.4*1.5*1.6*1.6*2.2*2.715*2.6,3540000000*(1.579646^(MIN($E1596,123)-117)))*1,0))</f>
        <v>9283810</v>
      </c>
      <c r="Y1596" s="4">
        <f>$E1596+17</f>
        <v>121</v>
      </c>
      <c r="Z1596" s="8">
        <f>IF($J1596=0,0,ROUND(MAX($J1596*1.4*1.5*1.6*1.6*2.2*2.715*2.6*1.4,6020000000*(1.651178^(MIN($E1596,123)-117)))*1,0))</f>
        <v>8877197</v>
      </c>
      <c r="AA1596" s="6">
        <f>$E1596+19</f>
        <v>123</v>
      </c>
      <c r="AB1596" s="7">
        <f>IF($J1596=0,0,ROUND(MAX($J1596*1.4*1.5*1.6*1.6*2.2*2.715*2.6*1.4*1.4,8430000000*(1.651435^(MIN($E1596,123)-117)))*1,0))</f>
        <v>12405900</v>
      </c>
      <c r="AC1596" s="4">
        <f>$E1596+21</f>
        <v>125</v>
      </c>
      <c r="AD1596" s="8">
        <f>IF($J1596=0,0,ROUND(MAX($J1596*1.4*1.5*1.6*1.6*2.2*2.715*2.6*1.4*1.4*1.5,12600000000*(1.652953^(MIN($E1596,123)-117)))*1,0))</f>
        <v>18322468</v>
      </c>
      <c r="AE1596" s="6">
        <f>$E1596+24</f>
        <v>128</v>
      </c>
      <c r="AF1596" s="7">
        <f>IF($J1596=0,0,ROUND(MAX($J1596*1.4*1.5*1.6*1.6*2.2*2.715*2.6*1.4*1.4*1.5*1.5,18900000000*(1.65331^(MIN($E1596,123)-117)))*1,0))</f>
        <v>27406653</v>
      </c>
      <c r="AG1596" s="4">
        <f>$E1596+27</f>
        <v>131</v>
      </c>
      <c r="AH1596" s="8">
        <f>IF($J1596=0,0,ROUND(MAX($J1596*1.4*1.5*1.6*1.6*2.2*2.715*2.6*1.4*1.4*1.5*1.5*3.2,60500000000*(1.654288^(MIN($E1596,123)-117)))*1,0))</f>
        <v>87058428</v>
      </c>
    </row>
    <row r="1597" ht="27.75" customHeight="1" spans="1:34" x14ac:dyDescent="0.25">
      <c r="A1597" s="3">
        <v>1607</v>
      </c>
      <c r="B1597" s="3" t="s">
        <v>1148</v>
      </c>
      <c r="C1597" s="3" t="s">
        <v>1119</v>
      </c>
      <c r="D1597" s="3" t="s">
        <v>33</v>
      </c>
      <c r="E1597" s="3">
        <v>104</v>
      </c>
      <c r="F1597" s="3" t="s">
        <v>212</v>
      </c>
      <c r="G1597" s="3" t="s">
        <v>828</v>
      </c>
      <c r="H1597" s="3">
        <v>22</v>
      </c>
      <c r="I1597" s="4">
        <v>104</v>
      </c>
      <c r="J1597" s="5">
        <v>111000</v>
      </c>
      <c r="K1597" s="6">
        <f>$E1597+1</f>
        <v>105</v>
      </c>
      <c r="L1597" s="7">
        <f>IF($J1597=0,0,ROUND(MAX($J1597*1.4,1620000*(1.497923^(MIN($E1597,123)-117)))*1,0))</f>
        <v>155400</v>
      </c>
      <c r="M1597" s="4">
        <f>$E1597+2</f>
        <v>106</v>
      </c>
      <c r="N1597" s="8">
        <f>IF($J1597=0,0,ROUND(MAX($J1597*1.4*1.5,2190000*(1.580994^(MIN($E1597,123)-117)))*1,0))</f>
        <v>233100</v>
      </c>
      <c r="O1597" s="6">
        <f>$E1597+4</f>
        <v>108</v>
      </c>
      <c r="P1597" s="7">
        <f>IF($J1597=0,0,ROUND(MAX($J1597*1.4*1.5*1.6,3500000*(1.57975^(MIN($E1597,123)-117)))*1,0))</f>
        <v>372960</v>
      </c>
      <c r="Q1597" s="4">
        <f>$E1597+6</f>
        <v>110</v>
      </c>
      <c r="R1597" s="8">
        <f>IF($J1597=0,0,ROUND(MAX($J1597*1.4*1.5*1.6*1.6,13100000*(1.429962^(MIN($E1597,123)-117)))*1,0))</f>
        <v>596736</v>
      </c>
      <c r="S1597" s="6">
        <f>$E1597+8</f>
        <v>112</v>
      </c>
      <c r="T1597" s="7">
        <f>IF($J1597=0,0,ROUND(MAX($J1597*1.4*1.5*1.6*1.6*2.2,42600000*(1.576904^(MIN($E1597,123)-117)))*1,0))</f>
        <v>1312819</v>
      </c>
      <c r="U1597" s="4">
        <f>$E1597+11</f>
        <v>115</v>
      </c>
      <c r="V1597" s="8">
        <f>IF($J1597=0,0,ROUND(MAX($J1597*1.4*1.5*1.6*1.6*2.2*2.715,354000000*(1.642074^(MIN($E1597,123)-117)))*1,0))</f>
        <v>3564304</v>
      </c>
      <c r="W1597" s="6">
        <f>$E1597+15</f>
        <v>119</v>
      </c>
      <c r="X1597" s="7">
        <f>IF($J1597=0,0,ROUND(MAX($J1597*1.4*1.5*1.6*1.6*2.2*2.715*2.6,3540000000*(1.579646^(MIN($E1597,123)-117)))*1,0))</f>
        <v>9283810</v>
      </c>
      <c r="Y1597" s="4">
        <f>$E1597+17</f>
        <v>121</v>
      </c>
      <c r="Z1597" s="8">
        <f>IF($J1597=0,0,ROUND(MAX($J1597*1.4*1.5*1.6*1.6*2.2*2.715*2.6*1.4,6020000000*(1.651178^(MIN($E1597,123)-117)))*1,0))</f>
        <v>12974067</v>
      </c>
      <c r="AA1597" s="6">
        <f>$E1597+19</f>
        <v>123</v>
      </c>
      <c r="AB1597" s="7">
        <f>IF($J1597=0,0,ROUND(MAX($J1597*1.4*1.5*1.6*1.6*2.2*2.715*2.6*1.4*1.4,8430000000*(1.651435^(MIN($E1597,123)-117)))*1,0))</f>
        <v>18163694</v>
      </c>
      <c r="AC1597" s="4">
        <f>$E1597+21</f>
        <v>125</v>
      </c>
      <c r="AD1597" s="8">
        <f>IF($J1597=0,0,ROUND(MAX($J1597*1.4*1.5*1.6*1.6*2.2*2.715*2.6*1.4*1.4*1.5,12600000000*(1.652953^(MIN($E1597,123)-117)))*1,0))</f>
        <v>27245541</v>
      </c>
      <c r="AE1597" s="6">
        <f>$E1597+24</f>
        <v>128</v>
      </c>
      <c r="AF1597" s="7">
        <f>IF($J1597=0,0,ROUND(MAX($J1597*1.4*1.5*1.6*1.6*2.2*2.715*2.6*1.4*1.4*1.5*1.5,18900000000*(1.65331^(MIN($E1597,123)-117)))*1,0))</f>
        <v>40868311</v>
      </c>
      <c r="AG1597" s="4">
        <f>$E1597+27</f>
        <v>131</v>
      </c>
      <c r="AH1597" s="8">
        <f>IF($J1597=0,0,ROUND(MAX($J1597*1.4*1.5*1.6*1.6*2.2*2.715*2.6*1.4*1.4*1.5*1.5*3.2,60500000000*(1.654288^(MIN($E1597,123)-117)))*1,0))</f>
        <v>130778596</v>
      </c>
    </row>
    <row r="1598" ht="27.75" customHeight="1" spans="1:34" x14ac:dyDescent="0.25">
      <c r="A1598" s="3">
        <v>1608</v>
      </c>
      <c r="B1598" s="3" t="s">
        <v>1149</v>
      </c>
      <c r="C1598" s="3" t="s">
        <v>1119</v>
      </c>
      <c r="D1598" s="3" t="s">
        <v>47</v>
      </c>
      <c r="E1598" s="3">
        <v>103</v>
      </c>
      <c r="F1598" s="3" t="s">
        <v>59</v>
      </c>
      <c r="G1598" s="3" t="s">
        <v>1120</v>
      </c>
      <c r="H1598" s="3">
        <v>19</v>
      </c>
      <c r="I1598" s="4">
        <v>103</v>
      </c>
      <c r="J1598" s="5">
        <v>7370000</v>
      </c>
      <c r="K1598" s="6">
        <f>$E1598+1</f>
        <v>104</v>
      </c>
      <c r="L1598" s="7">
        <f>IF($J1598=0,0,ROUND(MAX($J1598*1.4,1620000*(1.497923^(MIN($E1598,123)-117)))*1,0))</f>
        <v>10318000</v>
      </c>
      <c r="M1598" s="4">
        <f>$E1598+2</f>
        <v>105</v>
      </c>
      <c r="N1598" s="8">
        <f>IF($J1598=0,0,ROUND(MAX($J1598*1.4*1.5,2190000*(1.580994^(MIN($E1598,123)-117)))*1,0))</f>
        <v>15477000</v>
      </c>
      <c r="O1598" s="6">
        <f>$E1598+4</f>
        <v>107</v>
      </c>
      <c r="P1598" s="7">
        <f>IF($J1598=0,0,ROUND(MAX($J1598*1.4*1.5*1.6,3500000*(1.57975^(MIN($E1598,123)-117)))*1,0))</f>
        <v>24763200</v>
      </c>
      <c r="Q1598" s="4">
        <f>$E1598+6</f>
        <v>109</v>
      </c>
      <c r="R1598" s="8">
        <f>IF($J1598=0,0,ROUND(MAX($J1598*1.4*1.5*1.6*1.6,13100000*(1.429962^(MIN($E1598,123)-117)))*1,0))</f>
        <v>39621120</v>
      </c>
      <c r="S1598" s="6">
        <f>$E1598+8</f>
        <v>111</v>
      </c>
      <c r="T1598" s="7">
        <f>IF($J1598=0,0,ROUND(MAX($J1598*1.4*1.5*1.6*1.6*2.2,42600000*(1.576904^(MIN($E1598,123)-117)))*1,0))</f>
        <v>87166464</v>
      </c>
      <c r="U1598" s="4">
        <f>$E1598+11</f>
        <v>114</v>
      </c>
      <c r="V1598" s="8">
        <f>IF($J1598=0,0,ROUND(MAX($J1598*1.4*1.5*1.6*1.6*2.2*2.715,354000000*(1.642074^(MIN($E1598,123)-117)))*1,0))</f>
        <v>236656950</v>
      </c>
      <c r="W1598" s="6">
        <f>$E1598+15</f>
        <v>118</v>
      </c>
      <c r="X1598" s="7">
        <f>IF($J1598=0,0,ROUND(MAX($J1598*1.4*1.5*1.6*1.6*2.2*2.715*2.6,3540000000*(1.579646^(MIN($E1598,123)-117)))*1,0))</f>
        <v>615308069</v>
      </c>
      <c r="Y1598" s="4">
        <f>$E1598+17</f>
        <v>120</v>
      </c>
      <c r="Z1598" s="8">
        <f>IF($J1598=0,0,ROUND(MAX($J1598*1.4*1.5*1.6*1.6*2.2*2.715*2.6*1.4,6020000000*(1.651178^(MIN($E1598,123)-117)))*1,0))</f>
        <v>861431297</v>
      </c>
      <c r="AA1598" s="6">
        <f>$E1598+19</f>
        <v>122</v>
      </c>
      <c r="AB1598" s="7">
        <f>IF($J1598=0,0,ROUND(MAX($J1598*1.4*1.5*1.6*1.6*2.2*2.715*2.6*1.4*1.4,8430000000*(1.651435^(MIN($E1598,123)-117)))*1,0))</f>
        <v>1206003816</v>
      </c>
      <c r="AC1598" s="4">
        <f>$E1598+21</f>
        <v>124</v>
      </c>
      <c r="AD1598" s="8">
        <f>IF($J1598=0,0,ROUND(MAX($J1598*1.4*1.5*1.6*1.6*2.2*2.715*2.6*1.4*1.4*1.5,12600000000*(1.652953^(MIN($E1598,123)-117)))*1,0))</f>
        <v>1809005724</v>
      </c>
      <c r="AE1598" s="6">
        <f>$E1598+24</f>
        <v>127</v>
      </c>
      <c r="AF1598" s="7">
        <f>IF($J1598=0,0,ROUND(MAX($J1598*1.4*1.5*1.6*1.6*2.2*2.715*2.6*1.4*1.4*1.5*1.5,18900000000*(1.65331^(MIN($E1598,123)-117)))*1,0))</f>
        <v>2713508586</v>
      </c>
      <c r="AG1598" s="4">
        <f>$E1598+27</f>
        <v>130</v>
      </c>
      <c r="AH1598" s="8">
        <f>IF($J1598=0,0,ROUND(MAX($J1598*1.4*1.5*1.6*1.6*2.2*2.715*2.6*1.4*1.4*1.5*1.5*3.2,60500000000*(1.654288^(MIN($E1598,123)-117)))*1,0))</f>
        <v>8683227475</v>
      </c>
    </row>
    <row r="1599" ht="27.75" customHeight="1" spans="1:34" x14ac:dyDescent="0.25">
      <c r="A1599" s="3">
        <v>1609</v>
      </c>
      <c r="B1599" s="3" t="s">
        <v>1150</v>
      </c>
      <c r="C1599" s="3" t="s">
        <v>1119</v>
      </c>
      <c r="D1599" s="3" t="s">
        <v>47</v>
      </c>
      <c r="E1599" s="3">
        <v>103</v>
      </c>
      <c r="F1599" s="3" t="s">
        <v>132</v>
      </c>
      <c r="G1599" s="3" t="s">
        <v>1120</v>
      </c>
      <c r="H1599" s="3">
        <v>19</v>
      </c>
      <c r="I1599" s="4">
        <v>103</v>
      </c>
      <c r="J1599" s="5">
        <v>2630000</v>
      </c>
      <c r="K1599" s="6">
        <f>$E1599+1</f>
        <v>104</v>
      </c>
      <c r="L1599" s="7">
        <f>IF($J1599=0,0,ROUND(MAX($J1599*1.4,1620000*(1.497923^(MIN($E1599,123)-117)))*1,0))</f>
        <v>3682000</v>
      </c>
      <c r="M1599" s="4">
        <f>$E1599+2</f>
        <v>105</v>
      </c>
      <c r="N1599" s="8">
        <f>IF($J1599=0,0,ROUND(MAX($J1599*1.4*1.5,2190000*(1.580994^(MIN($E1599,123)-117)))*1,0))</f>
        <v>5523000</v>
      </c>
      <c r="O1599" s="6">
        <f>$E1599+4</f>
        <v>107</v>
      </c>
      <c r="P1599" s="7">
        <f>IF($J1599=0,0,ROUND(MAX($J1599*1.4*1.5*1.6,3500000*(1.57975^(MIN($E1599,123)-117)))*1,0))</f>
        <v>8836800</v>
      </c>
      <c r="Q1599" s="4">
        <f>$E1599+6</f>
        <v>109</v>
      </c>
      <c r="R1599" s="8">
        <f>IF($J1599=0,0,ROUND(MAX($J1599*1.4*1.5*1.6*1.6,13100000*(1.429962^(MIN($E1599,123)-117)))*1,0))</f>
        <v>14138880</v>
      </c>
      <c r="S1599" s="6">
        <f>$E1599+8</f>
        <v>111</v>
      </c>
      <c r="T1599" s="7">
        <f>IF($J1599=0,0,ROUND(MAX($J1599*1.4*1.5*1.6*1.6*2.2,42600000*(1.576904^(MIN($E1599,123)-117)))*1,0))</f>
        <v>31105536</v>
      </c>
      <c r="U1599" s="4">
        <f>$E1599+11</f>
        <v>114</v>
      </c>
      <c r="V1599" s="8">
        <f>IF($J1599=0,0,ROUND(MAX($J1599*1.4*1.5*1.6*1.6*2.2*2.715,354000000*(1.642074^(MIN($E1599,123)-117)))*1,0))</f>
        <v>84451530</v>
      </c>
      <c r="W1599" s="6">
        <f>$E1599+15</f>
        <v>118</v>
      </c>
      <c r="X1599" s="7">
        <f>IF($J1599=0,0,ROUND(MAX($J1599*1.4*1.5*1.6*1.6*2.2*2.715*2.6,3540000000*(1.579646^(MIN($E1599,123)-117)))*1,0))</f>
        <v>219573979</v>
      </c>
      <c r="Y1599" s="4">
        <f>$E1599+17</f>
        <v>120</v>
      </c>
      <c r="Z1599" s="8">
        <f>IF($J1599=0,0,ROUND(MAX($J1599*1.4*1.5*1.6*1.6*2.2*2.715*2.6*1.4,6020000000*(1.651178^(MIN($E1599,123)-117)))*1,0))</f>
        <v>307403570</v>
      </c>
      <c r="AA1599" s="6">
        <f>$E1599+19</f>
        <v>122</v>
      </c>
      <c r="AB1599" s="7">
        <f>IF($J1599=0,0,ROUND(MAX($J1599*1.4*1.5*1.6*1.6*2.2*2.715*2.6*1.4*1.4,8430000000*(1.651435^(MIN($E1599,123)-117)))*1,0))</f>
        <v>430364998</v>
      </c>
      <c r="AC1599" s="4">
        <f>$E1599+21</f>
        <v>124</v>
      </c>
      <c r="AD1599" s="8">
        <f>IF($J1599=0,0,ROUND(MAX($J1599*1.4*1.5*1.6*1.6*2.2*2.715*2.6*1.4*1.4*1.5,12600000000*(1.652953^(MIN($E1599,123)-117)))*1,0))</f>
        <v>645547497</v>
      </c>
      <c r="AE1599" s="6">
        <f>$E1599+24</f>
        <v>127</v>
      </c>
      <c r="AF1599" s="7">
        <f>IF($J1599=0,0,ROUND(MAX($J1599*1.4*1.5*1.6*1.6*2.2*2.715*2.6*1.4*1.4*1.5*1.5,18900000000*(1.65331^(MIN($E1599,123)-117)))*1,0))</f>
        <v>968321246</v>
      </c>
      <c r="AG1599" s="4">
        <f>$E1599+27</f>
        <v>130</v>
      </c>
      <c r="AH1599" s="8">
        <f>IF($J1599=0,0,ROUND(MAX($J1599*1.4*1.5*1.6*1.6*2.2*2.715*2.6*1.4*1.4*1.5*1.5*3.2,60500000000*(1.654288^(MIN($E1599,123)-117)))*1,0))</f>
        <v>3098627986</v>
      </c>
    </row>
    <row r="1600" ht="27.75" customHeight="1" spans="1:34" x14ac:dyDescent="0.25">
      <c r="A1600" s="3">
        <v>1610</v>
      </c>
      <c r="B1600" s="3" t="s">
        <v>1151</v>
      </c>
      <c r="C1600" s="3" t="s">
        <v>1119</v>
      </c>
      <c r="D1600" s="3" t="s">
        <v>40</v>
      </c>
      <c r="E1600" s="3">
        <v>102</v>
      </c>
      <c r="F1600" s="3" t="s">
        <v>225</v>
      </c>
      <c r="G1600" s="3" t="s">
        <v>1120</v>
      </c>
      <c r="H1600" s="3">
        <v>22</v>
      </c>
      <c r="I1600" s="4">
        <v>102</v>
      </c>
      <c r="J1600" s="5">
        <v>34400</v>
      </c>
      <c r="K1600" s="6">
        <f>$E1600+1</f>
        <v>103</v>
      </c>
      <c r="L1600" s="7">
        <f>IF($J1600=0,0,ROUND(MAX($J1600*1.4,1620000*(1.497923^(MIN($E1600,123)-117)))*1,0))</f>
        <v>48160</v>
      </c>
      <c r="M1600" s="4">
        <f>$E1600+2</f>
        <v>104</v>
      </c>
      <c r="N1600" s="8">
        <f>IF($J1600=0,0,ROUND(MAX($J1600*1.4*1.5,2190000*(1.580994^(MIN($E1600,123)-117)))*1,0))</f>
        <v>72240</v>
      </c>
      <c r="O1600" s="6">
        <f>$E1600+4</f>
        <v>106</v>
      </c>
      <c r="P1600" s="7">
        <f>IF($J1600=0,0,ROUND(MAX($J1600*1.4*1.5*1.6,3500000*(1.57975^(MIN($E1600,123)-117)))*1,0))</f>
        <v>115584</v>
      </c>
      <c r="Q1600" s="4">
        <f>$E1600+6</f>
        <v>108</v>
      </c>
      <c r="R1600" s="8">
        <f>IF($J1600=0,0,ROUND(MAX($J1600*1.4*1.5*1.6*1.6,13100000*(1.429962^(MIN($E1600,123)-117)))*1,0))</f>
        <v>184934</v>
      </c>
      <c r="S1600" s="6">
        <f>$E1600+8</f>
        <v>110</v>
      </c>
      <c r="T1600" s="7">
        <f>IF($J1600=0,0,ROUND(MAX($J1600*1.4*1.5*1.6*1.6*2.2,42600000*(1.576904^(MIN($E1600,123)-117)))*1,0))</f>
        <v>406856</v>
      </c>
      <c r="U1600" s="4">
        <f>$E1600+11</f>
        <v>113</v>
      </c>
      <c r="V1600" s="8">
        <f>IF($J1600=0,0,ROUND(MAX($J1600*1.4*1.5*1.6*1.6*2.2*2.715,354000000*(1.642074^(MIN($E1600,123)-117)))*1,0))</f>
        <v>1104613</v>
      </c>
      <c r="W1600" s="6">
        <f>$E1600+15</f>
        <v>117</v>
      </c>
      <c r="X1600" s="7">
        <f>IF($J1600=0,0,ROUND(MAX($J1600*1.4*1.5*1.6*1.6*2.2*2.715*2.6,3540000000*(1.579646^(MIN($E1600,123)-117)))*1,0))</f>
        <v>3720546</v>
      </c>
      <c r="Y1600" s="4">
        <f>$E1600+17</f>
        <v>119</v>
      </c>
      <c r="Z1600" s="8">
        <f>IF($J1600=0,0,ROUND(MAX($J1600*1.4*1.5*1.6*1.6*2.2*2.715*2.6*1.4,6020000000*(1.651178^(MIN($E1600,123)-117)))*1,0))</f>
        <v>4020792</v>
      </c>
      <c r="AA1600" s="6">
        <f>$E1600+19</f>
        <v>121</v>
      </c>
      <c r="AB1600" s="7">
        <f>IF($J1600=0,0,ROUND(MAX($J1600*1.4*1.5*1.6*1.6*2.2*2.715*2.6*1.4*1.4,8430000000*(1.651435^(MIN($E1600,123)-117)))*1,0))</f>
        <v>5629109</v>
      </c>
      <c r="AC1600" s="4">
        <f>$E1600+21</f>
        <v>123</v>
      </c>
      <c r="AD1600" s="8">
        <f>IF($J1600=0,0,ROUND(MAX($J1600*1.4*1.5*1.6*1.6*2.2*2.715*2.6*1.4*1.4*1.5,12600000000*(1.652953^(MIN($E1600,123)-117)))*1,0))</f>
        <v>8443663</v>
      </c>
      <c r="AE1600" s="6">
        <f>$E1600+24</f>
        <v>126</v>
      </c>
      <c r="AF1600" s="7">
        <f>IF($J1600=0,0,ROUND(MAX($J1600*1.4*1.5*1.6*1.6*2.2*2.715*2.6*1.4*1.4*1.5*1.5,18900000000*(1.65331^(MIN($E1600,123)-117)))*1,0))</f>
        <v>12665495</v>
      </c>
      <c r="AG1600" s="4">
        <f>$E1600+27</f>
        <v>129</v>
      </c>
      <c r="AH1600" s="8">
        <f>IF($J1600=0,0,ROUND(MAX($J1600*1.4*1.5*1.6*1.6*2.2*2.715*2.6*1.4*1.4*1.5*1.5*3.2,60500000000*(1.654288^(MIN($E1600,123)-117)))*1,0))</f>
        <v>40529583</v>
      </c>
    </row>
    <row r="1601" ht="27.75" customHeight="1" spans="1:34" x14ac:dyDescent="0.25">
      <c r="A1601" s="3">
        <v>1611</v>
      </c>
      <c r="B1601" s="3" t="s">
        <v>1101</v>
      </c>
      <c r="C1601" s="3" t="s">
        <v>1119</v>
      </c>
      <c r="D1601" s="3" t="s">
        <v>45</v>
      </c>
      <c r="E1601" s="3">
        <v>101</v>
      </c>
      <c r="F1601" s="3" t="s">
        <v>383</v>
      </c>
      <c r="G1601" s="3" t="s">
        <v>1120</v>
      </c>
      <c r="H1601" s="3">
        <v>21</v>
      </c>
      <c r="I1601" s="4">
        <v>101</v>
      </c>
      <c r="J1601" s="5">
        <v>12400</v>
      </c>
      <c r="K1601" s="6">
        <f>$E1601+1</f>
        <v>102</v>
      </c>
      <c r="L1601" s="7">
        <f>IF($J1601=0,0,ROUND(MAX($J1601*1.4,1620000*(1.497923^(MIN($E1601,123)-117)))*1,0))</f>
        <v>17360</v>
      </c>
      <c r="M1601" s="4">
        <f>$E1601+2</f>
        <v>103</v>
      </c>
      <c r="N1601" s="8">
        <f>IF($J1601=0,0,ROUND(MAX($J1601*1.4*1.5,2190000*(1.580994^(MIN($E1601,123)-117)))*1,0))</f>
        <v>26040</v>
      </c>
      <c r="O1601" s="6">
        <f>$E1601+4</f>
        <v>105</v>
      </c>
      <c r="P1601" s="7">
        <f>IF($J1601=0,0,ROUND(MAX($J1601*1.4*1.5*1.6,3500000*(1.57975^(MIN($E1601,123)-117)))*1,0))</f>
        <v>41664</v>
      </c>
      <c r="Q1601" s="4">
        <f>$E1601+6</f>
        <v>107</v>
      </c>
      <c r="R1601" s="8">
        <f>IF($J1601=0,0,ROUND(MAX($J1601*1.4*1.5*1.6*1.6,13100000*(1.429962^(MIN($E1601,123)-117)))*1,0))</f>
        <v>66662</v>
      </c>
      <c r="S1601" s="6">
        <f>$E1601+8</f>
        <v>109</v>
      </c>
      <c r="T1601" s="7">
        <f>IF($J1601=0,0,ROUND(MAX($J1601*1.4*1.5*1.6*1.6*2.2,42600000*(1.576904^(MIN($E1601,123)-117)))*1,0))</f>
        <v>146657</v>
      </c>
      <c r="U1601" s="4">
        <f>$E1601+11</f>
        <v>112</v>
      </c>
      <c r="V1601" s="8">
        <f>IF($J1601=0,0,ROUND(MAX($J1601*1.4*1.5*1.6*1.6*2.2*2.715,354000000*(1.642074^(MIN($E1601,123)-117)))*1,0))</f>
        <v>398175</v>
      </c>
      <c r="W1601" s="6">
        <f>$E1601+15</f>
        <v>116</v>
      </c>
      <c r="X1601" s="7">
        <f>IF($J1601=0,0,ROUND(MAX($J1601*1.4*1.5*1.6*1.6*2.2*2.715*2.6,3540000000*(1.579646^(MIN($E1601,123)-117)))*1,0))</f>
        <v>2355304</v>
      </c>
      <c r="Y1601" s="4">
        <f>$E1601+17</f>
        <v>118</v>
      </c>
      <c r="Z1601" s="8">
        <f>IF($J1601=0,0,ROUND(MAX($J1601*1.4*1.5*1.6*1.6*2.2*2.715*2.6*1.4,6020000000*(1.651178^(MIN($E1601,123)-117)))*1,0))</f>
        <v>1971942</v>
      </c>
      <c r="AA1601" s="6">
        <f>$E1601+19</f>
        <v>120</v>
      </c>
      <c r="AB1601" s="7">
        <f>IF($J1601=0,0,ROUND(MAX($J1601*1.4*1.5*1.6*1.6*2.2*2.715*2.6*1.4*1.4,8430000000*(1.651435^(MIN($E1601,123)-117)))*1,0))</f>
        <v>2754507</v>
      </c>
      <c r="AC1601" s="4">
        <f>$E1601+21</f>
        <v>122</v>
      </c>
      <c r="AD1601" s="8">
        <f>IF($J1601=0,0,ROUND(MAX($J1601*1.4*1.5*1.6*1.6*2.2*2.715*2.6*1.4*1.4*1.5,12600000000*(1.652953^(MIN($E1601,123)-117)))*1,0))</f>
        <v>4056976</v>
      </c>
      <c r="AE1601" s="6">
        <f>$E1601+24</f>
        <v>125</v>
      </c>
      <c r="AF1601" s="7">
        <f>IF($J1601=0,0,ROUND(MAX($J1601*1.4*1.5*1.6*1.6*2.2*2.715*2.6*1.4*1.4*1.5*1.5,18900000000*(1.65331^(MIN($E1601,123)-117)))*1,0))</f>
        <v>6064474</v>
      </c>
      <c r="AG1601" s="4">
        <f>$E1601+27</f>
        <v>128</v>
      </c>
      <c r="AH1601" s="8">
        <f>IF($J1601=0,0,ROUND(MAX($J1601*1.4*1.5*1.6*1.6*2.2*2.715*2.6*1.4*1.4*1.5*1.5*3.2,60500000000*(1.654288^(MIN($E1601,123)-117)))*1,0))</f>
        <v>19229919</v>
      </c>
    </row>
    <row r="1602" ht="27.75" customHeight="1" spans="1:34" x14ac:dyDescent="0.25">
      <c r="A1602" s="3">
        <v>1612</v>
      </c>
      <c r="B1602" s="3" t="s">
        <v>1152</v>
      </c>
      <c r="C1602" s="3" t="s">
        <v>1119</v>
      </c>
      <c r="D1602" s="3" t="s">
        <v>75</v>
      </c>
      <c r="E1602" s="3">
        <v>101</v>
      </c>
      <c r="F1602" s="3" t="s">
        <v>1153</v>
      </c>
      <c r="G1602" s="3" t="s">
        <v>1120</v>
      </c>
      <c r="H1602" s="3">
        <v>20</v>
      </c>
      <c r="I1602" s="4">
        <v>101</v>
      </c>
      <c r="J1602" s="5">
        <v>129000</v>
      </c>
      <c r="K1602" s="6">
        <f>$E1602+1</f>
        <v>102</v>
      </c>
      <c r="L1602" s="7">
        <f>IF($J1602=0,0,ROUND(MAX($J1602*1.4,1620000*(1.497923^(MIN($E1602,123)-117)))*1,0))</f>
        <v>180600</v>
      </c>
      <c r="M1602" s="4">
        <f>$E1602+2</f>
        <v>103</v>
      </c>
      <c r="N1602" s="8">
        <f>IF($J1602=0,0,ROUND(MAX($J1602*1.4*1.5,2190000*(1.580994^(MIN($E1602,123)-117)))*1,0))</f>
        <v>270900</v>
      </c>
      <c r="O1602" s="6">
        <f>$E1602+4</f>
        <v>105</v>
      </c>
      <c r="P1602" s="7">
        <f>IF($J1602=0,0,ROUND(MAX($J1602*1.4*1.5*1.6,3500000*(1.57975^(MIN($E1602,123)-117)))*1,0))</f>
        <v>433440</v>
      </c>
      <c r="Q1602" s="4">
        <f>$E1602+6</f>
        <v>107</v>
      </c>
      <c r="R1602" s="8">
        <f>IF($J1602=0,0,ROUND(MAX($J1602*1.4*1.5*1.6*1.6,13100000*(1.429962^(MIN($E1602,123)-117)))*1,0))</f>
        <v>693504</v>
      </c>
      <c r="S1602" s="6">
        <f>$E1602+8</f>
        <v>109</v>
      </c>
      <c r="T1602" s="7">
        <f>IF($J1602=0,0,ROUND(MAX($J1602*1.4*1.5*1.6*1.6*2.2,42600000*(1.576904^(MIN($E1602,123)-117)))*1,0))</f>
        <v>1525709</v>
      </c>
      <c r="U1602" s="4">
        <f>$E1602+11</f>
        <v>112</v>
      </c>
      <c r="V1602" s="8">
        <f>IF($J1602=0,0,ROUND(MAX($J1602*1.4*1.5*1.6*1.6*2.2*2.715,354000000*(1.642074^(MIN($E1602,123)-117)))*1,0))</f>
        <v>4142299</v>
      </c>
      <c r="W1602" s="6">
        <f>$E1602+15</f>
        <v>116</v>
      </c>
      <c r="X1602" s="7">
        <f>IF($J1602=0,0,ROUND(MAX($J1602*1.4*1.5*1.6*1.6*2.2*2.715*2.6,3540000000*(1.579646^(MIN($E1602,123)-117)))*1,0))</f>
        <v>10769978</v>
      </c>
      <c r="Y1602" s="4">
        <f>$E1602+17</f>
        <v>118</v>
      </c>
      <c r="Z1602" s="8">
        <f>IF($J1602=0,0,ROUND(MAX($J1602*1.4*1.5*1.6*1.6*2.2*2.715*2.6*1.4,6020000000*(1.651178^(MIN($E1602,123)-117)))*1,0))</f>
        <v>15077970</v>
      </c>
      <c r="AA1602" s="6">
        <f>$E1602+19</f>
        <v>120</v>
      </c>
      <c r="AB1602" s="7">
        <f>IF($J1602=0,0,ROUND(MAX($J1602*1.4*1.5*1.6*1.6*2.2*2.715*2.6*1.4*1.4,8430000000*(1.651435^(MIN($E1602,123)-117)))*1,0))</f>
        <v>21109158</v>
      </c>
      <c r="AC1602" s="4">
        <f>$E1602+21</f>
        <v>122</v>
      </c>
      <c r="AD1602" s="8">
        <f>IF($J1602=0,0,ROUND(MAX($J1602*1.4*1.5*1.6*1.6*2.2*2.715*2.6*1.4*1.4*1.5,12600000000*(1.652953^(MIN($E1602,123)-117)))*1,0))</f>
        <v>31663737</v>
      </c>
      <c r="AE1602" s="6">
        <f>$E1602+24</f>
        <v>125</v>
      </c>
      <c r="AF1602" s="7">
        <f>IF($J1602=0,0,ROUND(MAX($J1602*1.4*1.5*1.6*1.6*2.2*2.715*2.6*1.4*1.4*1.5*1.5,18900000000*(1.65331^(MIN($E1602,123)-117)))*1,0))</f>
        <v>47495605</v>
      </c>
      <c r="AG1602" s="4">
        <f>$E1602+27</f>
        <v>128</v>
      </c>
      <c r="AH1602" s="8">
        <f>IF($J1602=0,0,ROUND(MAX($J1602*1.4*1.5*1.6*1.6*2.2*2.715*2.6*1.4*1.4*1.5*1.5*3.2,60500000000*(1.654288^(MIN($E1602,123)-117)))*1,0))</f>
        <v>151985935</v>
      </c>
    </row>
    <row r="1603" ht="27.75" customHeight="1" spans="1:34" x14ac:dyDescent="0.25">
      <c r="A1603" s="3">
        <v>1613</v>
      </c>
      <c r="B1603" s="3" t="s">
        <v>1154</v>
      </c>
      <c r="C1603" s="3" t="s">
        <v>1119</v>
      </c>
      <c r="D1603" s="3" t="s">
        <v>33</v>
      </c>
      <c r="E1603" s="3">
        <v>100</v>
      </c>
      <c r="F1603" s="3" t="s">
        <v>123</v>
      </c>
      <c r="G1603" s="3" t="s">
        <v>554</v>
      </c>
      <c r="H1603" s="3">
        <v>20</v>
      </c>
      <c r="I1603" s="4">
        <v>100</v>
      </c>
      <c r="J1603" s="5">
        <v>18400</v>
      </c>
      <c r="K1603" s="6">
        <f>$E1603+1</f>
        <v>101</v>
      </c>
      <c r="L1603" s="7">
        <f>IF($J1603=0,0,ROUND(MAX($J1603*1.4,1620000*(1.497923^(MIN($E1603,123)-117)))*1,0))</f>
        <v>25760</v>
      </c>
      <c r="M1603" s="4">
        <f>$E1603+2</f>
        <v>102</v>
      </c>
      <c r="N1603" s="8">
        <f>IF($J1603=0,0,ROUND(MAX($J1603*1.4*1.5,2190000*(1.580994^(MIN($E1603,123)-117)))*1,0))</f>
        <v>38640</v>
      </c>
      <c r="O1603" s="6">
        <f>$E1603+4</f>
        <v>104</v>
      </c>
      <c r="P1603" s="7">
        <f>IF($J1603=0,0,ROUND(MAX($J1603*1.4*1.5*1.6,3500000*(1.57975^(MIN($E1603,123)-117)))*1,0))</f>
        <v>61824</v>
      </c>
      <c r="Q1603" s="4">
        <f>$E1603+6</f>
        <v>106</v>
      </c>
      <c r="R1603" s="8">
        <f>IF($J1603=0,0,ROUND(MAX($J1603*1.4*1.5*1.6*1.6,13100000*(1.429962^(MIN($E1603,123)-117)))*1,0))</f>
        <v>98918</v>
      </c>
      <c r="S1603" s="6">
        <f>$E1603+8</f>
        <v>108</v>
      </c>
      <c r="T1603" s="7">
        <f>IF($J1603=0,0,ROUND(MAX($J1603*1.4*1.5*1.6*1.6*2.2,42600000*(1.576904^(MIN($E1603,123)-117)))*1,0))</f>
        <v>217620</v>
      </c>
      <c r="U1603" s="4">
        <f>$E1603+11</f>
        <v>111</v>
      </c>
      <c r="V1603" s="8">
        <f>IF($J1603=0,0,ROUND(MAX($J1603*1.4*1.5*1.6*1.6*2.2*2.715,354000000*(1.642074^(MIN($E1603,123)-117)))*1,0))</f>
        <v>590840</v>
      </c>
      <c r="W1603" s="6">
        <f>$E1603+15</f>
        <v>115</v>
      </c>
      <c r="X1603" s="7">
        <f>IF($J1603=0,0,ROUND(MAX($J1603*1.4*1.5*1.6*1.6*2.2*2.715*2.6,3540000000*(1.579646^(MIN($E1603,123)-117)))*1,0))</f>
        <v>1536183</v>
      </c>
      <c r="Y1603" s="4">
        <f>$E1603+17</f>
        <v>117</v>
      </c>
      <c r="Z1603" s="8">
        <f>IF($J1603=0,0,ROUND(MAX($J1603*1.4*1.5*1.6*1.6*2.2*2.715*2.6*1.4,6020000000*(1.651178^(MIN($E1603,123)-117)))*1,0))</f>
        <v>2150656</v>
      </c>
      <c r="AA1603" s="6">
        <f>$E1603+19</f>
        <v>119</v>
      </c>
      <c r="AB1603" s="7">
        <f>IF($J1603=0,0,ROUND(MAX($J1603*1.4*1.5*1.6*1.6*2.2*2.715*2.6*1.4*1.4,8430000000*(1.651435^(MIN($E1603,123)-117)))*1,0))</f>
        <v>3010919</v>
      </c>
      <c r="AC1603" s="4">
        <f>$E1603+21</f>
        <v>121</v>
      </c>
      <c r="AD1603" s="8">
        <f>IF($J1603=0,0,ROUND(MAX($J1603*1.4*1.5*1.6*1.6*2.2*2.715*2.6*1.4*1.4*1.5,12600000000*(1.652953^(MIN($E1603,123)-117)))*1,0))</f>
        <v>4516378</v>
      </c>
      <c r="AE1603" s="6">
        <f>$E1603+24</f>
        <v>124</v>
      </c>
      <c r="AF1603" s="7">
        <f>IF($J1603=0,0,ROUND(MAX($J1603*1.4*1.5*1.6*1.6*2.2*2.715*2.6*1.4*1.4*1.5*1.5,18900000000*(1.65331^(MIN($E1603,123)-117)))*1,0))</f>
        <v>6774567</v>
      </c>
      <c r="AG1603" s="4">
        <f>$E1603+27</f>
        <v>127</v>
      </c>
      <c r="AH1603" s="8">
        <f>IF($J1603=0,0,ROUND(MAX($J1603*1.4*1.5*1.6*1.6*2.2*2.715*2.6*1.4*1.4*1.5*1.5*3.2,60500000000*(1.654288^(MIN($E1603,123)-117)))*1,0))</f>
        <v>21678614</v>
      </c>
    </row>
    <row r="1604" ht="27.75" customHeight="1" spans="1:34" x14ac:dyDescent="0.25">
      <c r="A1604" s="3">
        <v>1614</v>
      </c>
      <c r="B1604" s="3" t="s">
        <v>1155</v>
      </c>
      <c r="C1604" s="3" t="s">
        <v>1119</v>
      </c>
      <c r="D1604" s="3" t="s">
        <v>102</v>
      </c>
      <c r="E1604" s="3">
        <v>100</v>
      </c>
      <c r="F1604" s="3" t="s">
        <v>1156</v>
      </c>
      <c r="G1604" s="3" t="s">
        <v>389</v>
      </c>
      <c r="H1604" s="3">
        <v>19</v>
      </c>
      <c r="I1604" s="4">
        <v>100</v>
      </c>
      <c r="J1604" s="5">
        <v>37700</v>
      </c>
      <c r="K1604" s="6">
        <f>$E1604+1</f>
        <v>101</v>
      </c>
      <c r="L1604" s="7">
        <f>IF($J1604=0,0,ROUND(MAX($J1604*1.4,1620000*(1.497923^(MIN($E1604,123)-117)))*1,0))</f>
        <v>52780</v>
      </c>
      <c r="M1604" s="4">
        <f>$E1604+2</f>
        <v>102</v>
      </c>
      <c r="N1604" s="8">
        <f>IF($J1604=0,0,ROUND(MAX($J1604*1.4*1.5,2190000*(1.580994^(MIN($E1604,123)-117)))*1,0))</f>
        <v>79170</v>
      </c>
      <c r="O1604" s="6">
        <f>$E1604+4</f>
        <v>104</v>
      </c>
      <c r="P1604" s="7">
        <f>IF($J1604=0,0,ROUND(MAX($J1604*1.4*1.5*1.6,3500000*(1.57975^(MIN($E1604,123)-117)))*1,0))</f>
        <v>126672</v>
      </c>
      <c r="Q1604" s="4">
        <f>$E1604+6</f>
        <v>106</v>
      </c>
      <c r="R1604" s="8">
        <f>IF($J1604=0,0,ROUND(MAX($J1604*1.4*1.5*1.6*1.6,13100000*(1.429962^(MIN($E1604,123)-117)))*1,0))</f>
        <v>202675</v>
      </c>
      <c r="S1604" s="6">
        <f>$E1604+8</f>
        <v>108</v>
      </c>
      <c r="T1604" s="7">
        <f>IF($J1604=0,0,ROUND(MAX($J1604*1.4*1.5*1.6*1.6*2.2,42600000*(1.576904^(MIN($E1604,123)-117)))*1,0))</f>
        <v>445885</v>
      </c>
      <c r="U1604" s="4">
        <f>$E1604+11</f>
        <v>111</v>
      </c>
      <c r="V1604" s="8">
        <f>IF($J1604=0,0,ROUND(MAX($J1604*1.4*1.5*1.6*1.6*2.2*2.715,354000000*(1.642074^(MIN($E1604,123)-117)))*1,0))</f>
        <v>1210579</v>
      </c>
      <c r="W1604" s="6">
        <f>$E1604+15</f>
        <v>115</v>
      </c>
      <c r="X1604" s="7">
        <f>IF($J1604=0,0,ROUND(MAX($J1604*1.4*1.5*1.6*1.6*2.2*2.715*2.6,3540000000*(1.579646^(MIN($E1604,123)-117)))*1,0))</f>
        <v>3147505</v>
      </c>
      <c r="Y1604" s="4">
        <f>$E1604+17</f>
        <v>117</v>
      </c>
      <c r="Z1604" s="8">
        <f>IF($J1604=0,0,ROUND(MAX($J1604*1.4*1.5*1.6*1.6*2.2*2.715*2.6*1.4,6020000000*(1.651178^(MIN($E1604,123)-117)))*1,0))</f>
        <v>4406507</v>
      </c>
      <c r="AA1604" s="6">
        <f>$E1604+19</f>
        <v>119</v>
      </c>
      <c r="AB1604" s="7">
        <f>IF($J1604=0,0,ROUND(MAX($J1604*1.4*1.5*1.6*1.6*2.2*2.715*2.6*1.4*1.4,8430000000*(1.651435^(MIN($E1604,123)-117)))*1,0))</f>
        <v>6169110</v>
      </c>
      <c r="AC1604" s="4">
        <f>$E1604+21</f>
        <v>121</v>
      </c>
      <c r="AD1604" s="8">
        <f>IF($J1604=0,0,ROUND(MAX($J1604*1.4*1.5*1.6*1.6*2.2*2.715*2.6*1.4*1.4*1.5,12600000000*(1.652953^(MIN($E1604,123)-117)))*1,0))</f>
        <v>9253666</v>
      </c>
      <c r="AE1604" s="6">
        <f>$E1604+24</f>
        <v>124</v>
      </c>
      <c r="AF1604" s="7">
        <f>IF($J1604=0,0,ROUND(MAX($J1604*1.4*1.5*1.6*1.6*2.2*2.715*2.6*1.4*1.4*1.5*1.5,18900000000*(1.65331^(MIN($E1604,123)-117)))*1,0))</f>
        <v>13880498</v>
      </c>
      <c r="AG1604" s="4">
        <f>$E1604+27</f>
        <v>127</v>
      </c>
      <c r="AH1604" s="8">
        <f>IF($J1604=0,0,ROUND(MAX($J1604*1.4*1.5*1.6*1.6*2.2*2.715*2.6*1.4*1.4*1.5*1.5*3.2,60500000000*(1.654288^(MIN($E1604,123)-117)))*1,0))</f>
        <v>44417595</v>
      </c>
    </row>
    <row r="1605" ht="27.75" customHeight="1" spans="1:34" x14ac:dyDescent="0.25">
      <c r="A1605" s="3">
        <v>1615</v>
      </c>
      <c r="B1605" s="3" t="s">
        <v>1157</v>
      </c>
      <c r="C1605" s="3" t="s">
        <v>1119</v>
      </c>
      <c r="D1605" s="3" t="s">
        <v>40</v>
      </c>
      <c r="E1605" s="3">
        <v>100</v>
      </c>
      <c r="F1605" s="3" t="s">
        <v>204</v>
      </c>
      <c r="G1605" s="3" t="s">
        <v>1158</v>
      </c>
      <c r="H1605" s="3">
        <v>19</v>
      </c>
      <c r="I1605" s="4">
        <v>100</v>
      </c>
      <c r="J1605" s="5">
        <v>100000</v>
      </c>
      <c r="K1605" s="6">
        <f>$E1605+1</f>
        <v>101</v>
      </c>
      <c r="L1605" s="7">
        <f>IF($J1605=0,0,ROUND(MAX($J1605*1.4,1620000*(1.497923^(MIN($E1605,123)-117)))*1,0))</f>
        <v>140000</v>
      </c>
      <c r="M1605" s="4">
        <f>$E1605+2</f>
        <v>102</v>
      </c>
      <c r="N1605" s="8">
        <f>IF($J1605=0,0,ROUND(MAX($J1605*1.4*1.5,2190000*(1.580994^(MIN($E1605,123)-117)))*1,0))</f>
        <v>210000</v>
      </c>
      <c r="O1605" s="6">
        <f>$E1605+4</f>
        <v>104</v>
      </c>
      <c r="P1605" s="7">
        <f>IF($J1605=0,0,ROUND(MAX($J1605*1.4*1.5*1.6,3500000*(1.57975^(MIN($E1605,123)-117)))*1,0))</f>
        <v>336000</v>
      </c>
      <c r="Q1605" s="4">
        <f>$E1605+6</f>
        <v>106</v>
      </c>
      <c r="R1605" s="8">
        <f>IF($J1605=0,0,ROUND(MAX($J1605*1.4*1.5*1.6*1.6,13100000*(1.429962^(MIN($E1605,123)-117)))*1,0))</f>
        <v>537600</v>
      </c>
      <c r="S1605" s="6">
        <f>$E1605+8</f>
        <v>108</v>
      </c>
      <c r="T1605" s="7">
        <f>IF($J1605=0,0,ROUND(MAX($J1605*1.4*1.5*1.6*1.6*2.2,42600000*(1.576904^(MIN($E1605,123)-117)))*1,0))</f>
        <v>1182720</v>
      </c>
      <c r="U1605" s="4">
        <f>$E1605+11</f>
        <v>111</v>
      </c>
      <c r="V1605" s="8">
        <f>IF($J1605=0,0,ROUND(MAX($J1605*1.4*1.5*1.6*1.6*2.2*2.715,354000000*(1.642074^(MIN($E1605,123)-117)))*1,0))</f>
        <v>3211085</v>
      </c>
      <c r="W1605" s="6">
        <f>$E1605+15</f>
        <v>115</v>
      </c>
      <c r="X1605" s="7">
        <f>IF($J1605=0,0,ROUND(MAX($J1605*1.4*1.5*1.6*1.6*2.2*2.715*2.6,3540000000*(1.579646^(MIN($E1605,123)-117)))*1,0))</f>
        <v>8348820</v>
      </c>
      <c r="Y1605" s="4">
        <f>$E1605+17</f>
        <v>117</v>
      </c>
      <c r="Z1605" s="8">
        <f>IF($J1605=0,0,ROUND(MAX($J1605*1.4*1.5*1.6*1.6*2.2*2.715*2.6*1.4,6020000000*(1.651178^(MIN($E1605,123)-117)))*1,0))</f>
        <v>11688349</v>
      </c>
      <c r="AA1605" s="6">
        <f>$E1605+19</f>
        <v>119</v>
      </c>
      <c r="AB1605" s="7">
        <f>IF($J1605=0,0,ROUND(MAX($J1605*1.4*1.5*1.6*1.6*2.2*2.715*2.6*1.4*1.4,8430000000*(1.651435^(MIN($E1605,123)-117)))*1,0))</f>
        <v>16363688</v>
      </c>
      <c r="AC1605" s="4">
        <f>$E1605+21</f>
        <v>121</v>
      </c>
      <c r="AD1605" s="8">
        <f>IF($J1605=0,0,ROUND(MAX($J1605*1.4*1.5*1.6*1.6*2.2*2.715*2.6*1.4*1.4*1.5,12600000000*(1.652953^(MIN($E1605,123)-117)))*1,0))</f>
        <v>24545532</v>
      </c>
      <c r="AE1605" s="6">
        <f>$E1605+24</f>
        <v>124</v>
      </c>
      <c r="AF1605" s="7">
        <f>IF($J1605=0,0,ROUND(MAX($J1605*1.4*1.5*1.6*1.6*2.2*2.715*2.6*1.4*1.4*1.5*1.5,18900000000*(1.65331^(MIN($E1605,123)-117)))*1,0))</f>
        <v>36818298</v>
      </c>
      <c r="AG1605" s="4">
        <f>$E1605+27</f>
        <v>127</v>
      </c>
      <c r="AH1605" s="8">
        <f>IF($J1605=0,0,ROUND(MAX($J1605*1.4*1.5*1.6*1.6*2.2*2.715*2.6*1.4*1.4*1.5*1.5*3.2,60500000000*(1.654288^(MIN($E1605,123)-117)))*1,0))</f>
        <v>117818555</v>
      </c>
    </row>
    <row r="1606" ht="27.75" customHeight="1" spans="1:34" x14ac:dyDescent="0.25">
      <c r="A1606" s="3">
        <v>1616</v>
      </c>
      <c r="B1606" s="3" t="s">
        <v>668</v>
      </c>
      <c r="C1606" s="3" t="s">
        <v>1119</v>
      </c>
      <c r="D1606" s="3" t="s">
        <v>47</v>
      </c>
      <c r="E1606" s="3">
        <v>100</v>
      </c>
      <c r="F1606" s="3" t="s">
        <v>108</v>
      </c>
      <c r="G1606" s="3" t="s">
        <v>1120</v>
      </c>
      <c r="H1606" s="3">
        <v>17</v>
      </c>
      <c r="I1606" s="4">
        <v>100</v>
      </c>
      <c r="J1606" s="5">
        <v>35600</v>
      </c>
      <c r="K1606" s="6">
        <f>$E1606+1</f>
        <v>101</v>
      </c>
      <c r="L1606" s="7">
        <f>IF($J1606=0,0,ROUND(MAX($J1606*1.4,1620000*(1.497923^(MIN($E1606,123)-117)))*1,0))</f>
        <v>49840</v>
      </c>
      <c r="M1606" s="4">
        <f>$E1606+2</f>
        <v>102</v>
      </c>
      <c r="N1606" s="8">
        <f>IF($J1606=0,0,ROUND(MAX($J1606*1.4*1.5,2190000*(1.580994^(MIN($E1606,123)-117)))*1,0))</f>
        <v>74760</v>
      </c>
      <c r="O1606" s="6">
        <f>$E1606+4</f>
        <v>104</v>
      </c>
      <c r="P1606" s="7">
        <f>IF($J1606=0,0,ROUND(MAX($J1606*1.4*1.5*1.6,3500000*(1.57975^(MIN($E1606,123)-117)))*1,0))</f>
        <v>119616</v>
      </c>
      <c r="Q1606" s="4">
        <f>$E1606+6</f>
        <v>106</v>
      </c>
      <c r="R1606" s="8">
        <f>IF($J1606=0,0,ROUND(MAX($J1606*1.4*1.5*1.6*1.6,13100000*(1.429962^(MIN($E1606,123)-117)))*1,0))</f>
        <v>191386</v>
      </c>
      <c r="S1606" s="6">
        <f>$E1606+8</f>
        <v>108</v>
      </c>
      <c r="T1606" s="7">
        <f>IF($J1606=0,0,ROUND(MAX($J1606*1.4*1.5*1.6*1.6*2.2,42600000*(1.576904^(MIN($E1606,123)-117)))*1,0))</f>
        <v>421048</v>
      </c>
      <c r="U1606" s="4">
        <f>$E1606+11</f>
        <v>111</v>
      </c>
      <c r="V1606" s="8">
        <f>IF($J1606=0,0,ROUND(MAX($J1606*1.4*1.5*1.6*1.6*2.2*2.715,354000000*(1.642074^(MIN($E1606,123)-117)))*1,0))</f>
        <v>1143146</v>
      </c>
      <c r="W1606" s="6">
        <f>$E1606+15</f>
        <v>115</v>
      </c>
      <c r="X1606" s="7">
        <f>IF($J1606=0,0,ROUND(MAX($J1606*1.4*1.5*1.6*1.6*2.2*2.715*2.6,3540000000*(1.579646^(MIN($E1606,123)-117)))*1,0))</f>
        <v>2972180</v>
      </c>
      <c r="Y1606" s="4">
        <f>$E1606+17</f>
        <v>117</v>
      </c>
      <c r="Z1606" s="8">
        <f>IF($J1606=0,0,ROUND(MAX($J1606*1.4*1.5*1.6*1.6*2.2*2.715*2.6*1.4,6020000000*(1.651178^(MIN($E1606,123)-117)))*1,0))</f>
        <v>4161052</v>
      </c>
      <c r="AA1606" s="6">
        <f>$E1606+19</f>
        <v>119</v>
      </c>
      <c r="AB1606" s="7">
        <f>IF($J1606=0,0,ROUND(MAX($J1606*1.4*1.5*1.6*1.6*2.2*2.715*2.6*1.4*1.4,8430000000*(1.651435^(MIN($E1606,123)-117)))*1,0))</f>
        <v>5825473</v>
      </c>
      <c r="AC1606" s="4">
        <f>$E1606+21</f>
        <v>121</v>
      </c>
      <c r="AD1606" s="8">
        <f>IF($J1606=0,0,ROUND(MAX($J1606*1.4*1.5*1.6*1.6*2.2*2.715*2.6*1.4*1.4*1.5,12600000000*(1.652953^(MIN($E1606,123)-117)))*1,0))</f>
        <v>8738209</v>
      </c>
      <c r="AE1606" s="6">
        <f>$E1606+24</f>
        <v>124</v>
      </c>
      <c r="AF1606" s="7">
        <f>IF($J1606=0,0,ROUND(MAX($J1606*1.4*1.5*1.6*1.6*2.2*2.715*2.6*1.4*1.4*1.5*1.5,18900000000*(1.65331^(MIN($E1606,123)-117)))*1,0))</f>
        <v>13107314</v>
      </c>
      <c r="AG1606" s="4">
        <f>$E1606+27</f>
        <v>127</v>
      </c>
      <c r="AH1606" s="8">
        <f>IF($J1606=0,0,ROUND(MAX($J1606*1.4*1.5*1.6*1.6*2.2*2.715*2.6*1.4*1.4*1.5*1.5*3.2,60500000000*(1.654288^(MIN($E1606,123)-117)))*1,0))</f>
        <v>41943405</v>
      </c>
    </row>
    <row r="1607" ht="27.75" customHeight="1" spans="1:34" x14ac:dyDescent="0.25">
      <c r="A1607" s="3">
        <v>1617</v>
      </c>
      <c r="B1607" s="3" t="s">
        <v>269</v>
      </c>
      <c r="C1607" s="3" t="s">
        <v>1159</v>
      </c>
      <c r="D1607" s="3" t="s">
        <v>64</v>
      </c>
      <c r="E1607" s="3">
        <v>118</v>
      </c>
      <c r="F1607" s="3" t="s">
        <v>26</v>
      </c>
      <c r="G1607" s="3" t="s">
        <v>270</v>
      </c>
      <c r="H1607" s="3">
        <v>31</v>
      </c>
      <c r="I1607" s="4">
        <v>118</v>
      </c>
      <c r="J1607" s="5">
        <v>96400000</v>
      </c>
      <c r="K1607" s="6">
        <f>$E1607+1</f>
        <v>119</v>
      </c>
      <c r="L1607" s="7">
        <f>IF($J1607=0,0,ROUND(MAX($J1607*1.4,1620000*(1.497923^(MIN($E1607,123)-117)))*1,0))</f>
        <v>134960000</v>
      </c>
      <c r="M1607" s="4">
        <f>$E1607+2</f>
        <v>120</v>
      </c>
      <c r="N1607" s="8">
        <f>IF($J1607=0,0,ROUND(MAX($J1607*1.4*1.5,2190000*(1.580994^(MIN($E1607,123)-117)))*1,0))</f>
        <v>202440000</v>
      </c>
      <c r="O1607" s="6">
        <f>$E1607+4</f>
        <v>122</v>
      </c>
      <c r="P1607" s="7">
        <f>IF($J1607=0,0,ROUND(MAX($J1607*1.4*1.5*1.6,3500000*(1.57975^(MIN($E1607,123)-117)))*1,0))</f>
        <v>323904000</v>
      </c>
      <c r="Q1607" s="4">
        <f>$E1607+6</f>
        <v>124</v>
      </c>
      <c r="R1607" s="8">
        <f>IF($J1607=0,0,ROUND(MAX($J1607*1.4*1.5*1.6*1.6,13100000*(1.429962^(MIN($E1607,123)-117)))*1,0))</f>
        <v>518246400</v>
      </c>
      <c r="S1607" s="6">
        <f>$E1607+8</f>
        <v>126</v>
      </c>
      <c r="T1607" s="7">
        <f>IF($J1607=0,0,ROUND(MAX($J1607*1.4*1.5*1.6*1.6*2.2,42600000*(1.576904^(MIN($E1607,123)-117)))*1,0))</f>
        <v>1140142080</v>
      </c>
      <c r="U1607" s="4">
        <f>$E1607+11</f>
        <v>129</v>
      </c>
      <c r="V1607" s="8">
        <f>IF($J1607=0,0,ROUND(MAX($J1607*1.4*1.5*1.6*1.6*2.2*2.715,354000000*(1.642074^(MIN($E1607,123)-117)))*1,0))</f>
        <v>3095485747</v>
      </c>
      <c r="W1607" s="6">
        <f>$E1607+15</f>
        <v>133</v>
      </c>
      <c r="X1607" s="7">
        <f>IF($J1607=0,0,ROUND(MAX($J1607*1.4*1.5*1.6*1.6*2.2*2.715*2.6,3540000000*(1.579646^(MIN($E1607,123)-117)))*1,0))</f>
        <v>8048262943</v>
      </c>
      <c r="Y1607" s="4">
        <f>$E1607+17</f>
        <v>135</v>
      </c>
      <c r="Z1607" s="8">
        <f>IF($J1607=0,0,ROUND(MAX($J1607*1.4*1.5*1.6*1.6*2.2*2.715*2.6*1.4,6020000000*(1.651178^(MIN($E1607,123)-117)))*1,0))</f>
        <v>11267568120</v>
      </c>
      <c r="AA1607" s="6">
        <f>$E1607+19</f>
        <v>137</v>
      </c>
      <c r="AB1607" s="7">
        <f>IF($J1607=0,0,ROUND(MAX($J1607*1.4*1.5*1.6*1.6*2.2*2.715*2.6*1.4*1.4,8430000000*(1.651435^(MIN($E1607,123)-117)))*1,0))</f>
        <v>15774595368</v>
      </c>
      <c r="AC1607" s="4">
        <f>$E1607+21</f>
        <v>139</v>
      </c>
      <c r="AD1607" s="8">
        <f>IF($J1607=0,0,ROUND(MAX($J1607*1.4*1.5*1.6*1.6*2.2*2.715*2.6*1.4*1.4*1.5,12600000000*(1.652953^(MIN($E1607,123)-117)))*1,0))</f>
        <v>23661893052</v>
      </c>
      <c r="AE1607" s="6">
        <f>$E1607+24</f>
        <v>142</v>
      </c>
      <c r="AF1607" s="7">
        <f>IF($J1607=0,0,ROUND(MAX($J1607*1.4*1.5*1.6*1.6*2.2*2.715*2.6*1.4*1.4*1.5*1.5,18900000000*(1.65331^(MIN($E1607,123)-117)))*1,0))</f>
        <v>35492839577</v>
      </c>
      <c r="AG1607" s="4">
        <f>$E1607+27</f>
        <v>145</v>
      </c>
      <c r="AH1607" s="8">
        <f>IF($J1607=0,0,ROUND(MAX($J1607*1.4*1.5*1.6*1.6*2.2*2.715*2.6*1.4*1.4*1.5*1.5*3.2,60500000000*(1.654288^(MIN($E1607,123)-117)))*1,0))</f>
        <v>113577086648</v>
      </c>
    </row>
    <row r="1608" ht="27.75" customHeight="1" spans="1:34" x14ac:dyDescent="0.25">
      <c r="A1608" s="3">
        <v>1618</v>
      </c>
      <c r="B1608" s="3" t="s">
        <v>251</v>
      </c>
      <c r="C1608" s="3" t="s">
        <v>1159</v>
      </c>
      <c r="D1608" s="3" t="s">
        <v>79</v>
      </c>
      <c r="E1608" s="3">
        <v>118</v>
      </c>
      <c r="F1608" s="3" t="s">
        <v>59</v>
      </c>
      <c r="G1608" s="3" t="s">
        <v>252</v>
      </c>
      <c r="H1608" s="3">
        <v>31</v>
      </c>
      <c r="I1608" s="4">
        <v>118</v>
      </c>
      <c r="J1608" s="5">
        <v>41200000</v>
      </c>
      <c r="K1608" s="6">
        <f>$E1608+1</f>
        <v>119</v>
      </c>
      <c r="L1608" s="7">
        <f>IF($J1608=0,0,ROUND(MAX($J1608*1.4,1620000*(1.497923^(MIN($E1608,123)-117)))*1,0))</f>
        <v>57680000</v>
      </c>
      <c r="M1608" s="4">
        <f>$E1608+2</f>
        <v>120</v>
      </c>
      <c r="N1608" s="8">
        <f>IF($J1608=0,0,ROUND(MAX($J1608*1.4*1.5,2190000*(1.580994^(MIN($E1608,123)-117)))*1,0))</f>
        <v>86520000</v>
      </c>
      <c r="O1608" s="6">
        <f>$E1608+4</f>
        <v>122</v>
      </c>
      <c r="P1608" s="7">
        <f>IF($J1608=0,0,ROUND(MAX($J1608*1.4*1.5*1.6,3500000*(1.57975^(MIN($E1608,123)-117)))*1,0))</f>
        <v>138432000</v>
      </c>
      <c r="Q1608" s="4">
        <f>$E1608+6</f>
        <v>124</v>
      </c>
      <c r="R1608" s="8">
        <f>IF($J1608=0,0,ROUND(MAX($J1608*1.4*1.5*1.6*1.6,13100000*(1.429962^(MIN($E1608,123)-117)))*1,0))</f>
        <v>221491200</v>
      </c>
      <c r="S1608" s="6">
        <f>$E1608+8</f>
        <v>126</v>
      </c>
      <c r="T1608" s="7">
        <f>IF($J1608=0,0,ROUND(MAX($J1608*1.4*1.5*1.6*1.6*2.2,42600000*(1.576904^(MIN($E1608,123)-117)))*1,0))</f>
        <v>487280640</v>
      </c>
      <c r="U1608" s="4">
        <f>$E1608+11</f>
        <v>129</v>
      </c>
      <c r="V1608" s="8">
        <f>IF($J1608=0,0,ROUND(MAX($J1608*1.4*1.5*1.6*1.6*2.2*2.715,354000000*(1.642074^(MIN($E1608,123)-117)))*1,0))</f>
        <v>1322966938</v>
      </c>
      <c r="W1608" s="6">
        <f>$E1608+15</f>
        <v>133</v>
      </c>
      <c r="X1608" s="7">
        <f>IF($J1608=0,0,ROUND(MAX($J1608*1.4*1.5*1.6*1.6*2.2*2.715*2.6,3540000000*(1.579646^(MIN($E1608,123)-117)))*1,0))</f>
        <v>5591946840</v>
      </c>
      <c r="Y1608" s="4">
        <f>$E1608+17</f>
        <v>135</v>
      </c>
      <c r="Z1608" s="8">
        <f>IF($J1608=0,0,ROUND(MAX($J1608*1.4*1.5*1.6*1.6*2.2*2.715*2.6*1.4,6020000000*(1.651178^(MIN($E1608,123)-117)))*1,0))</f>
        <v>9940091560</v>
      </c>
      <c r="AA1608" s="6">
        <f>$E1608+19</f>
        <v>137</v>
      </c>
      <c r="AB1608" s="7">
        <f>IF($J1608=0,0,ROUND(MAX($J1608*1.4*1.5*1.6*1.6*2.2*2.715*2.6*1.4*1.4,8430000000*(1.651435^(MIN($E1608,123)-117)))*1,0))</f>
        <v>13921597050</v>
      </c>
      <c r="AC1608" s="4">
        <f>$E1608+21</f>
        <v>139</v>
      </c>
      <c r="AD1608" s="8">
        <f>IF($J1608=0,0,ROUND(MAX($J1608*1.4*1.5*1.6*1.6*2.2*2.715*2.6*1.4*1.4*1.5,12600000000*(1.652953^(MIN($E1608,123)-117)))*1,0))</f>
        <v>20827207800</v>
      </c>
      <c r="AE1608" s="6">
        <f>$E1608+24</f>
        <v>142</v>
      </c>
      <c r="AF1608" s="7">
        <f>IF($J1608=0,0,ROUND(MAX($J1608*1.4*1.5*1.6*1.6*2.2*2.715*2.6*1.4*1.4*1.5*1.5,18900000000*(1.65331^(MIN($E1608,123)-117)))*1,0))</f>
        <v>31247559000</v>
      </c>
      <c r="AG1608" s="4">
        <f>$E1608+27</f>
        <v>145</v>
      </c>
      <c r="AH1608" s="8">
        <f>IF($J1608=0,0,ROUND(MAX($J1608*1.4*1.5*1.6*1.6*2.2*2.715*2.6*1.4*1.4*1.5*1.5*3.2,60500000000*(1.654288^(MIN($E1608,123)-117)))*1,0))</f>
        <v>100084424000</v>
      </c>
    </row>
    <row r="1609" ht="27.75" customHeight="1" spans="1:34" x14ac:dyDescent="0.25">
      <c r="A1609" s="3">
        <v>1619</v>
      </c>
      <c r="B1609" s="3" t="s">
        <v>541</v>
      </c>
      <c r="C1609" s="3" t="s">
        <v>1159</v>
      </c>
      <c r="D1609" s="3" t="s">
        <v>29</v>
      </c>
      <c r="E1609" s="3">
        <v>115</v>
      </c>
      <c r="F1609" s="3" t="s">
        <v>54</v>
      </c>
      <c r="G1609" s="3" t="s">
        <v>472</v>
      </c>
      <c r="H1609" s="3">
        <v>29</v>
      </c>
      <c r="I1609" s="4">
        <v>115</v>
      </c>
      <c r="J1609" s="5">
        <v>787000</v>
      </c>
      <c r="K1609" s="6">
        <f>$E1609+1</f>
        <v>116</v>
      </c>
      <c r="L1609" s="7">
        <f>IF($J1609=0,0,ROUND(MAX($J1609*1.4,1620000*(1.497923^(MIN($E1609,123)-117)))*1,0))</f>
        <v>1101800</v>
      </c>
      <c r="M1609" s="4">
        <f>$E1609+2</f>
        <v>117</v>
      </c>
      <c r="N1609" s="8">
        <f>IF($J1609=0,0,ROUND(MAX($J1609*1.4*1.5,2190000*(1.580994^(MIN($E1609,123)-117)))*1,0))</f>
        <v>1652700</v>
      </c>
      <c r="O1609" s="6">
        <f>$E1609+4</f>
        <v>119</v>
      </c>
      <c r="P1609" s="7">
        <f>IF($J1609=0,0,ROUND(MAX($J1609*1.4*1.5*1.6,3500000*(1.57975^(MIN($E1609,123)-117)))*1,0))</f>
        <v>2644320</v>
      </c>
      <c r="Q1609" s="4">
        <f>$E1609+6</f>
        <v>121</v>
      </c>
      <c r="R1609" s="8">
        <f>IF($J1609=0,0,ROUND(MAX($J1609*1.4*1.5*1.6*1.6,13100000*(1.429962^(MIN($E1609,123)-117)))*1,0))</f>
        <v>6406522</v>
      </c>
      <c r="S1609" s="6">
        <f>$E1609+8</f>
        <v>123</v>
      </c>
      <c r="T1609" s="7">
        <f>IF($J1609=0,0,ROUND(MAX($J1609*1.4*1.5*1.6*1.6*2.2,42600000*(1.576904^(MIN($E1609,123)-117)))*1,0))</f>
        <v>17131646</v>
      </c>
      <c r="U1609" s="4">
        <f>$E1609+11</f>
        <v>126</v>
      </c>
      <c r="V1609" s="8">
        <f>IF($J1609=0,0,ROUND(MAX($J1609*1.4*1.5*1.6*1.6*2.2*2.715,354000000*(1.642074^(MIN($E1609,123)-117)))*1,0))</f>
        <v>131285817</v>
      </c>
      <c r="W1609" s="6">
        <f>$E1609+15</f>
        <v>130</v>
      </c>
      <c r="X1609" s="7">
        <f>IF($J1609=0,0,ROUND(MAX($J1609*1.4*1.5*1.6*1.6*2.2*2.715*2.6,3540000000*(1.579646^(MIN($E1609,123)-117)))*1,0))</f>
        <v>1418677620</v>
      </c>
      <c r="Y1609" s="4">
        <f>$E1609+17</f>
        <v>132</v>
      </c>
      <c r="Z1609" s="8">
        <f>IF($J1609=0,0,ROUND(MAX($J1609*1.4*1.5*1.6*1.6*2.2*2.715*2.6*1.4,6020000000*(1.651178^(MIN($E1609,123)-117)))*1,0))</f>
        <v>2208048987</v>
      </c>
      <c r="AA1609" s="6">
        <f>$E1609+19</f>
        <v>134</v>
      </c>
      <c r="AB1609" s="7">
        <f>IF($J1609=0,0,ROUND(MAX($J1609*1.4*1.5*1.6*1.6*2.2*2.715*2.6*1.4*1.4,8430000000*(1.651435^(MIN($E1609,123)-117)))*1,0))</f>
        <v>3091039859</v>
      </c>
      <c r="AC1609" s="4">
        <f>$E1609+21</f>
        <v>136</v>
      </c>
      <c r="AD1609" s="8">
        <f>IF($J1609=0,0,ROUND(MAX($J1609*1.4*1.5*1.6*1.6*2.2*2.715*2.6*1.4*1.4*1.5,12600000000*(1.652953^(MIN($E1609,123)-117)))*1,0))</f>
        <v>4611577749</v>
      </c>
      <c r="AE1609" s="6">
        <f>$E1609+24</f>
        <v>139</v>
      </c>
      <c r="AF1609" s="7">
        <f>IF($J1609=0,0,ROUND(MAX($J1609*1.4*1.5*1.6*1.6*2.2*2.715*2.6*1.4*1.4*1.5*1.5,18900000000*(1.65331^(MIN($E1609,123)-117)))*1,0))</f>
        <v>6914379606</v>
      </c>
      <c r="AG1609" s="4">
        <f>$E1609+27</f>
        <v>142</v>
      </c>
      <c r="AH1609" s="8">
        <f>IF($J1609=0,0,ROUND(MAX($J1609*1.4*1.5*1.6*1.6*2.2*2.715*2.6*1.4*1.4*1.5*1.5*3.2,60500000000*(1.654288^(MIN($E1609,123)-117)))*1,0))</f>
        <v>22107169230</v>
      </c>
    </row>
    <row r="1610" ht="27.75" customHeight="1" spans="1:34" x14ac:dyDescent="0.25">
      <c r="A1610" s="3">
        <v>1620</v>
      </c>
      <c r="B1610" s="3" t="s">
        <v>245</v>
      </c>
      <c r="C1610" s="3" t="s">
        <v>1159</v>
      </c>
      <c r="D1610" s="3" t="s">
        <v>45</v>
      </c>
      <c r="E1610" s="3">
        <v>115</v>
      </c>
      <c r="F1610" s="3" t="s">
        <v>212</v>
      </c>
      <c r="G1610" s="3" t="s">
        <v>51</v>
      </c>
      <c r="H1610" s="3">
        <v>28</v>
      </c>
      <c r="I1610" s="4">
        <v>115</v>
      </c>
      <c r="J1610" s="5">
        <v>802000</v>
      </c>
      <c r="K1610" s="6">
        <f>$E1610+1</f>
        <v>116</v>
      </c>
      <c r="L1610" s="7">
        <f>IF($J1610=0,0,ROUND(MAX($J1610*1.4,1620000*(1.497923^(MIN($E1610,123)-117)))*1,0))</f>
        <v>1122800</v>
      </c>
      <c r="M1610" s="4">
        <f>$E1610+2</f>
        <v>117</v>
      </c>
      <c r="N1610" s="8">
        <f>IF($J1610=0,0,ROUND(MAX($J1610*1.4*1.5,2190000*(1.580994^(MIN($E1610,123)-117)))*1,0))</f>
        <v>1684200</v>
      </c>
      <c r="O1610" s="6">
        <f>$E1610+4</f>
        <v>119</v>
      </c>
      <c r="P1610" s="7">
        <f>IF($J1610=0,0,ROUND(MAX($J1610*1.4*1.5*1.6,3500000*(1.57975^(MIN($E1610,123)-117)))*1,0))</f>
        <v>2694720</v>
      </c>
      <c r="Q1610" s="4">
        <f>$E1610+6</f>
        <v>121</v>
      </c>
      <c r="R1610" s="8">
        <f>IF($J1610=0,0,ROUND(MAX($J1610*1.4*1.5*1.6*1.6,13100000*(1.429962^(MIN($E1610,123)-117)))*1,0))</f>
        <v>6406522</v>
      </c>
      <c r="S1610" s="6">
        <f>$E1610+8</f>
        <v>123</v>
      </c>
      <c r="T1610" s="7">
        <f>IF($J1610=0,0,ROUND(MAX($J1610*1.4*1.5*1.6*1.6*2.2,42600000*(1.576904^(MIN($E1610,123)-117)))*1,0))</f>
        <v>17131646</v>
      </c>
      <c r="U1610" s="4">
        <f>$E1610+11</f>
        <v>126</v>
      </c>
      <c r="V1610" s="8">
        <f>IF($J1610=0,0,ROUND(MAX($J1610*1.4*1.5*1.6*1.6*2.2*2.715,354000000*(1.642074^(MIN($E1610,123)-117)))*1,0))</f>
        <v>131285817</v>
      </c>
      <c r="W1610" s="6">
        <f>$E1610+15</f>
        <v>130</v>
      </c>
      <c r="X1610" s="7">
        <f>IF($J1610=0,0,ROUND(MAX($J1610*1.4*1.5*1.6*1.6*2.2*2.715*2.6,3540000000*(1.579646^(MIN($E1610,123)-117)))*1,0))</f>
        <v>1418677620</v>
      </c>
      <c r="Y1610" s="4">
        <f>$E1610+17</f>
        <v>132</v>
      </c>
      <c r="Z1610" s="8">
        <f>IF($J1610=0,0,ROUND(MAX($J1610*1.4*1.5*1.6*1.6*2.2*2.715*2.6*1.4,6020000000*(1.651178^(MIN($E1610,123)-117)))*1,0))</f>
        <v>2208048987</v>
      </c>
      <c r="AA1610" s="6">
        <f>$E1610+19</f>
        <v>134</v>
      </c>
      <c r="AB1610" s="7">
        <f>IF($J1610=0,0,ROUND(MAX($J1610*1.4*1.5*1.6*1.6*2.2*2.715*2.6*1.4*1.4,8430000000*(1.651435^(MIN($E1610,123)-117)))*1,0))</f>
        <v>3091039859</v>
      </c>
      <c r="AC1610" s="4">
        <f>$E1610+21</f>
        <v>136</v>
      </c>
      <c r="AD1610" s="8">
        <f>IF($J1610=0,0,ROUND(MAX($J1610*1.4*1.5*1.6*1.6*2.2*2.715*2.6*1.4*1.4*1.5,12600000000*(1.652953^(MIN($E1610,123)-117)))*1,0))</f>
        <v>4611577749</v>
      </c>
      <c r="AE1610" s="6">
        <f>$E1610+24</f>
        <v>139</v>
      </c>
      <c r="AF1610" s="7">
        <f>IF($J1610=0,0,ROUND(MAX($J1610*1.4*1.5*1.6*1.6*2.2*2.715*2.6*1.4*1.4*1.5*1.5,18900000000*(1.65331^(MIN($E1610,123)-117)))*1,0))</f>
        <v>6914379606</v>
      </c>
      <c r="AG1610" s="4">
        <f>$E1610+27</f>
        <v>142</v>
      </c>
      <c r="AH1610" s="8">
        <f>IF($J1610=0,0,ROUND(MAX($J1610*1.4*1.5*1.6*1.6*2.2*2.715*2.6*1.4*1.4*1.5*1.5*3.2,60500000000*(1.654288^(MIN($E1610,123)-117)))*1,0))</f>
        <v>22107169230</v>
      </c>
    </row>
    <row r="1611" ht="27.75" customHeight="1" spans="1:34" x14ac:dyDescent="0.25">
      <c r="A1611" s="3">
        <v>1621</v>
      </c>
      <c r="B1611" s="3" t="s">
        <v>489</v>
      </c>
      <c r="C1611" s="3" t="s">
        <v>1159</v>
      </c>
      <c r="D1611" s="3" t="s">
        <v>79</v>
      </c>
      <c r="E1611" s="3">
        <v>114</v>
      </c>
      <c r="F1611" s="3" t="s">
        <v>30</v>
      </c>
      <c r="G1611" s="3" t="s">
        <v>31</v>
      </c>
      <c r="H1611" s="3">
        <v>28</v>
      </c>
      <c r="I1611" s="4">
        <v>114</v>
      </c>
      <c r="J1611" s="5">
        <v>168000</v>
      </c>
      <c r="K1611" s="6">
        <f>$E1611+1</f>
        <v>115</v>
      </c>
      <c r="L1611" s="7">
        <f>IF($J1611=0,0,ROUND(MAX($J1611*1.4,1620000*(1.497923^(MIN($E1611,123)-117)))*1,0))</f>
        <v>481999</v>
      </c>
      <c r="M1611" s="4">
        <f>$E1611+2</f>
        <v>116</v>
      </c>
      <c r="N1611" s="8">
        <f>IF($J1611=0,0,ROUND(MAX($J1611*1.4*1.5,2190000*(1.580994^(MIN($E1611,123)-117)))*1,0))</f>
        <v>554183</v>
      </c>
      <c r="O1611" s="6">
        <f>$E1611+4</f>
        <v>118</v>
      </c>
      <c r="P1611" s="7">
        <f>IF($J1611=0,0,ROUND(MAX($J1611*1.4*1.5*1.6,3500000*(1.57975^(MIN($E1611,123)-117)))*1,0))</f>
        <v>887775</v>
      </c>
      <c r="Q1611" s="4">
        <f>$E1611+6</f>
        <v>120</v>
      </c>
      <c r="R1611" s="8">
        <f>IF($J1611=0,0,ROUND(MAX($J1611*1.4*1.5*1.6*1.6,13100000*(1.429962^(MIN($E1611,123)-117)))*1,0))</f>
        <v>4480204</v>
      </c>
      <c r="S1611" s="6">
        <f>$E1611+8</f>
        <v>122</v>
      </c>
      <c r="T1611" s="7">
        <f>IF($J1611=0,0,ROUND(MAX($J1611*1.4*1.5*1.6*1.6*2.2,42600000*(1.576904^(MIN($E1611,123)-117)))*1,0))</f>
        <v>10864102</v>
      </c>
      <c r="U1611" s="4">
        <f>$E1611+11</f>
        <v>125</v>
      </c>
      <c r="V1611" s="8">
        <f>IF($J1611=0,0,ROUND(MAX($J1611*1.4*1.5*1.6*1.6*2.2*2.715,354000000*(1.642074^(MIN($E1611,123)-117)))*1,0))</f>
        <v>79951219</v>
      </c>
      <c r="W1611" s="6">
        <f>$E1611+15</f>
        <v>129</v>
      </c>
      <c r="X1611" s="7">
        <f>IF($J1611=0,0,ROUND(MAX($J1611*1.4*1.5*1.6*1.6*2.2*2.715*2.6,3540000000*(1.579646^(MIN($E1611,123)-117)))*1,0))</f>
        <v>898098448</v>
      </c>
      <c r="Y1611" s="4">
        <f>$E1611+17</f>
        <v>131</v>
      </c>
      <c r="Z1611" s="8">
        <f>IF($J1611=0,0,ROUND(MAX($J1611*1.4*1.5*1.6*1.6*2.2*2.715*2.6*1.4,6020000000*(1.651178^(MIN($E1611,123)-117)))*1,0))</f>
        <v>1337256787</v>
      </c>
      <c r="AA1611" s="6">
        <f>$E1611+19</f>
        <v>133</v>
      </c>
      <c r="AB1611" s="7">
        <f>IF($J1611=0,0,ROUND(MAX($J1611*1.4*1.5*1.6*1.6*2.2*2.715*2.6*1.4*1.4,8430000000*(1.651435^(MIN($E1611,123)-117)))*1,0))</f>
        <v>1871729653</v>
      </c>
      <c r="AC1611" s="4">
        <f>$E1611+21</f>
        <v>135</v>
      </c>
      <c r="AD1611" s="8">
        <f>IF($J1611=0,0,ROUND(MAX($J1611*1.4*1.5*1.6*1.6*2.2*2.715*2.6*1.4*1.4*1.5,12600000000*(1.652953^(MIN($E1611,123)-117)))*1,0))</f>
        <v>2789902525</v>
      </c>
      <c r="AE1611" s="6">
        <f>$E1611+24</f>
        <v>138</v>
      </c>
      <c r="AF1611" s="7">
        <f>IF($J1611=0,0,ROUND(MAX($J1611*1.4*1.5*1.6*1.6*2.2*2.715*2.6*1.4*1.4*1.5*1.5,18900000000*(1.65331^(MIN($E1611,123)-117)))*1,0))</f>
        <v>4182143461</v>
      </c>
      <c r="AG1611" s="4">
        <f>$E1611+27</f>
        <v>141</v>
      </c>
      <c r="AH1611" s="8">
        <f>IF($J1611=0,0,ROUND(MAX($J1611*1.4*1.5*1.6*1.6*2.2*2.715*2.6*1.4*1.4*1.5*1.5*3.2,60500000000*(1.654288^(MIN($E1611,123)-117)))*1,0))</f>
        <v>13363555336</v>
      </c>
    </row>
    <row r="1612" ht="27.75" customHeight="1" spans="1:34" x14ac:dyDescent="0.25">
      <c r="A1612" s="3">
        <v>1622</v>
      </c>
      <c r="B1612" s="3" t="s">
        <v>639</v>
      </c>
      <c r="C1612" s="3" t="s">
        <v>1159</v>
      </c>
      <c r="D1612" s="3" t="s">
        <v>40</v>
      </c>
      <c r="E1612" s="3">
        <v>114</v>
      </c>
      <c r="F1612" s="3" t="s">
        <v>353</v>
      </c>
      <c r="G1612" s="3" t="s">
        <v>72</v>
      </c>
      <c r="H1612" s="3">
        <v>28</v>
      </c>
      <c r="I1612" s="4">
        <v>114</v>
      </c>
      <c r="J1612" s="5">
        <v>338000</v>
      </c>
      <c r="K1612" s="6">
        <f>$E1612+1</f>
        <v>115</v>
      </c>
      <c r="L1612" s="7">
        <f>IF($J1612=0,0,ROUND(MAX($J1612*1.4,1620000*(1.497923^(MIN($E1612,123)-117)))*1,0))</f>
        <v>481999</v>
      </c>
      <c r="M1612" s="4">
        <f>$E1612+2</f>
        <v>116</v>
      </c>
      <c r="N1612" s="8">
        <f>IF($J1612=0,0,ROUND(MAX($J1612*1.4*1.5,2190000*(1.580994^(MIN($E1612,123)-117)))*1,0))</f>
        <v>709800</v>
      </c>
      <c r="O1612" s="6">
        <f>$E1612+4</f>
        <v>118</v>
      </c>
      <c r="P1612" s="7">
        <f>IF($J1612=0,0,ROUND(MAX($J1612*1.4*1.5*1.6,3500000*(1.57975^(MIN($E1612,123)-117)))*1,0))</f>
        <v>1135680</v>
      </c>
      <c r="Q1612" s="4">
        <f>$E1612+6</f>
        <v>120</v>
      </c>
      <c r="R1612" s="8">
        <f>IF($J1612=0,0,ROUND(MAX($J1612*1.4*1.5*1.6*1.6,13100000*(1.429962^(MIN($E1612,123)-117)))*1,0))</f>
        <v>4480204</v>
      </c>
      <c r="S1612" s="6">
        <f>$E1612+8</f>
        <v>122</v>
      </c>
      <c r="T1612" s="7">
        <f>IF($J1612=0,0,ROUND(MAX($J1612*1.4*1.5*1.6*1.6*2.2,42600000*(1.576904^(MIN($E1612,123)-117)))*1,0))</f>
        <v>10864102</v>
      </c>
      <c r="U1612" s="4">
        <f>$E1612+11</f>
        <v>125</v>
      </c>
      <c r="V1612" s="8">
        <f>IF($J1612=0,0,ROUND(MAX($J1612*1.4*1.5*1.6*1.6*2.2*2.715,354000000*(1.642074^(MIN($E1612,123)-117)))*1,0))</f>
        <v>79951219</v>
      </c>
      <c r="W1612" s="6">
        <f>$E1612+15</f>
        <v>129</v>
      </c>
      <c r="X1612" s="7">
        <f>IF($J1612=0,0,ROUND(MAX($J1612*1.4*1.5*1.6*1.6*2.2*2.715*2.6,3540000000*(1.579646^(MIN($E1612,123)-117)))*1,0))</f>
        <v>898098448</v>
      </c>
      <c r="Y1612" s="4">
        <f>$E1612+17</f>
        <v>131</v>
      </c>
      <c r="Z1612" s="8">
        <f>IF($J1612=0,0,ROUND(MAX($J1612*1.4*1.5*1.6*1.6*2.2*2.715*2.6*1.4,6020000000*(1.651178^(MIN($E1612,123)-117)))*1,0))</f>
        <v>1337256787</v>
      </c>
      <c r="AA1612" s="6">
        <f>$E1612+19</f>
        <v>133</v>
      </c>
      <c r="AB1612" s="7">
        <f>IF($J1612=0,0,ROUND(MAX($J1612*1.4*1.5*1.6*1.6*2.2*2.715*2.6*1.4*1.4,8430000000*(1.651435^(MIN($E1612,123)-117)))*1,0))</f>
        <v>1871729653</v>
      </c>
      <c r="AC1612" s="4">
        <f>$E1612+21</f>
        <v>135</v>
      </c>
      <c r="AD1612" s="8">
        <f>IF($J1612=0,0,ROUND(MAX($J1612*1.4*1.5*1.6*1.6*2.2*2.715*2.6*1.4*1.4*1.5,12600000000*(1.652953^(MIN($E1612,123)-117)))*1,0))</f>
        <v>2789902525</v>
      </c>
      <c r="AE1612" s="6">
        <f>$E1612+24</f>
        <v>138</v>
      </c>
      <c r="AF1612" s="7">
        <f>IF($J1612=0,0,ROUND(MAX($J1612*1.4*1.5*1.6*1.6*2.2*2.715*2.6*1.4*1.4*1.5*1.5,18900000000*(1.65331^(MIN($E1612,123)-117)))*1,0))</f>
        <v>4182143461</v>
      </c>
      <c r="AG1612" s="4">
        <f>$E1612+27</f>
        <v>141</v>
      </c>
      <c r="AH1612" s="8">
        <f>IF($J1612=0,0,ROUND(MAX($J1612*1.4*1.5*1.6*1.6*2.2*2.715*2.6*1.4*1.4*1.5*1.5*3.2,60500000000*(1.654288^(MIN($E1612,123)-117)))*1,0))</f>
        <v>13363555336</v>
      </c>
    </row>
    <row r="1613" ht="27.75" customHeight="1" spans="1:34" x14ac:dyDescent="0.25">
      <c r="A1613" s="3">
        <v>1623</v>
      </c>
      <c r="B1613" s="3" t="s">
        <v>848</v>
      </c>
      <c r="C1613" s="3" t="s">
        <v>1159</v>
      </c>
      <c r="D1613" s="3" t="s">
        <v>47</v>
      </c>
      <c r="E1613" s="3">
        <v>114</v>
      </c>
      <c r="F1613" s="3" t="s">
        <v>34</v>
      </c>
      <c r="G1613" s="3" t="s">
        <v>35</v>
      </c>
      <c r="H1613" s="3">
        <v>25</v>
      </c>
      <c r="I1613" s="4">
        <v>114</v>
      </c>
      <c r="J1613" s="5">
        <v>165000</v>
      </c>
      <c r="K1613" s="6">
        <f>$E1613+1</f>
        <v>115</v>
      </c>
      <c r="L1613" s="7">
        <f>IF($J1613=0,0,ROUND(MAX($J1613*1.4,1620000*(1.497923^(MIN($E1613,123)-117)))*1,0))</f>
        <v>481999</v>
      </c>
      <c r="M1613" s="4">
        <f>$E1613+2</f>
        <v>116</v>
      </c>
      <c r="N1613" s="8">
        <f>IF($J1613=0,0,ROUND(MAX($J1613*1.4*1.5,2190000*(1.580994^(MIN($E1613,123)-117)))*1,0))</f>
        <v>554183</v>
      </c>
      <c r="O1613" s="6">
        <f>$E1613+4</f>
        <v>118</v>
      </c>
      <c r="P1613" s="7">
        <f>IF($J1613=0,0,ROUND(MAX($J1613*1.4*1.5*1.6,3500000*(1.57975^(MIN($E1613,123)-117)))*1,0))</f>
        <v>887775</v>
      </c>
      <c r="Q1613" s="4">
        <f>$E1613+6</f>
        <v>120</v>
      </c>
      <c r="R1613" s="8">
        <f>IF($J1613=0,0,ROUND(MAX($J1613*1.4*1.5*1.6*1.6,13100000*(1.429962^(MIN($E1613,123)-117)))*1,0))</f>
        <v>4480204</v>
      </c>
      <c r="S1613" s="6">
        <f>$E1613+8</f>
        <v>122</v>
      </c>
      <c r="T1613" s="7">
        <f>IF($J1613=0,0,ROUND(MAX($J1613*1.4*1.5*1.6*1.6*2.2,42600000*(1.576904^(MIN($E1613,123)-117)))*1,0))</f>
        <v>10864102</v>
      </c>
      <c r="U1613" s="4">
        <f>$E1613+11</f>
        <v>125</v>
      </c>
      <c r="V1613" s="8">
        <f>IF($J1613=0,0,ROUND(MAX($J1613*1.4*1.5*1.6*1.6*2.2*2.715,354000000*(1.642074^(MIN($E1613,123)-117)))*1,0))</f>
        <v>79951219</v>
      </c>
      <c r="W1613" s="6">
        <f>$E1613+15</f>
        <v>129</v>
      </c>
      <c r="X1613" s="7">
        <f>IF($J1613=0,0,ROUND(MAX($J1613*1.4*1.5*1.6*1.6*2.2*2.715*2.6,3540000000*(1.579646^(MIN($E1613,123)-117)))*1,0))</f>
        <v>898098448</v>
      </c>
      <c r="Y1613" s="4">
        <f>$E1613+17</f>
        <v>131</v>
      </c>
      <c r="Z1613" s="8">
        <f>IF($J1613=0,0,ROUND(MAX($J1613*1.4*1.5*1.6*1.6*2.2*2.715*2.6*1.4,6020000000*(1.651178^(MIN($E1613,123)-117)))*1,0))</f>
        <v>1337256787</v>
      </c>
      <c r="AA1613" s="6">
        <f>$E1613+19</f>
        <v>133</v>
      </c>
      <c r="AB1613" s="7">
        <f>IF($J1613=0,0,ROUND(MAX($J1613*1.4*1.5*1.6*1.6*2.2*2.715*2.6*1.4*1.4,8430000000*(1.651435^(MIN($E1613,123)-117)))*1,0))</f>
        <v>1871729653</v>
      </c>
      <c r="AC1613" s="4">
        <f>$E1613+21</f>
        <v>135</v>
      </c>
      <c r="AD1613" s="8">
        <f>IF($J1613=0,0,ROUND(MAX($J1613*1.4*1.5*1.6*1.6*2.2*2.715*2.6*1.4*1.4*1.5,12600000000*(1.652953^(MIN($E1613,123)-117)))*1,0))</f>
        <v>2789902525</v>
      </c>
      <c r="AE1613" s="6">
        <f>$E1613+24</f>
        <v>138</v>
      </c>
      <c r="AF1613" s="7">
        <f>IF($J1613=0,0,ROUND(MAX($J1613*1.4*1.5*1.6*1.6*2.2*2.715*2.6*1.4*1.4*1.5*1.5,18900000000*(1.65331^(MIN($E1613,123)-117)))*1,0))</f>
        <v>4182143461</v>
      </c>
      <c r="AG1613" s="4">
        <f>$E1613+27</f>
        <v>141</v>
      </c>
      <c r="AH1613" s="8">
        <f>IF($J1613=0,0,ROUND(MAX($J1613*1.4*1.5*1.6*1.6*2.2*2.715*2.6*1.4*1.4*1.5*1.5*3.2,60500000000*(1.654288^(MIN($E1613,123)-117)))*1,0))</f>
        <v>13363555336</v>
      </c>
    </row>
    <row r="1614" ht="27.75" customHeight="1" spans="1:34" x14ac:dyDescent="0.25">
      <c r="A1614" s="3">
        <v>1624</v>
      </c>
      <c r="B1614" s="3" t="s">
        <v>229</v>
      </c>
      <c r="C1614" s="3" t="s">
        <v>1159</v>
      </c>
      <c r="D1614" s="3" t="s">
        <v>40</v>
      </c>
      <c r="E1614" s="3">
        <v>113</v>
      </c>
      <c r="F1614" s="3" t="s">
        <v>54</v>
      </c>
      <c r="G1614" s="3" t="s">
        <v>38</v>
      </c>
      <c r="H1614" s="3">
        <v>28</v>
      </c>
      <c r="I1614" s="4">
        <v>113</v>
      </c>
      <c r="J1614" s="5">
        <v>901000</v>
      </c>
      <c r="K1614" s="6">
        <f>$E1614+1</f>
        <v>114</v>
      </c>
      <c r="L1614" s="7">
        <f>IF($J1614=0,0,ROUND(MAX($J1614*1.4,1620000*(1.497923^(MIN($E1614,123)-117)))*1,0))</f>
        <v>1261400</v>
      </c>
      <c r="M1614" s="4">
        <f>$E1614+2</f>
        <v>115</v>
      </c>
      <c r="N1614" s="8">
        <f>IF($J1614=0,0,ROUND(MAX($J1614*1.4*1.5,2190000*(1.580994^(MIN($E1614,123)-117)))*1,0))</f>
        <v>1892100</v>
      </c>
      <c r="O1614" s="6">
        <f>$E1614+4</f>
        <v>117</v>
      </c>
      <c r="P1614" s="7">
        <f>IF($J1614=0,0,ROUND(MAX($J1614*1.4*1.5*1.6,3500000*(1.57975^(MIN($E1614,123)-117)))*1,0))</f>
        <v>3027360</v>
      </c>
      <c r="Q1614" s="4">
        <f>$E1614+6</f>
        <v>119</v>
      </c>
      <c r="R1614" s="8">
        <f>IF($J1614=0,0,ROUND(MAX($J1614*1.4*1.5*1.6*1.6,13100000*(1.429962^(MIN($E1614,123)-117)))*1,0))</f>
        <v>4843776</v>
      </c>
      <c r="S1614" s="6">
        <f>$E1614+8</f>
        <v>121</v>
      </c>
      <c r="T1614" s="7">
        <f>IF($J1614=0,0,ROUND(MAX($J1614*1.4*1.5*1.6*1.6*2.2,42600000*(1.576904^(MIN($E1614,123)-117)))*1,0))</f>
        <v>10656307</v>
      </c>
      <c r="U1614" s="4">
        <f>$E1614+11</f>
        <v>124</v>
      </c>
      <c r="V1614" s="8">
        <f>IF($J1614=0,0,ROUND(MAX($J1614*1.4*1.5*1.6*1.6*2.2*2.715,354000000*(1.642074^(MIN($E1614,123)-117)))*1,0))</f>
        <v>48689169</v>
      </c>
      <c r="W1614" s="6">
        <f>$E1614+15</f>
        <v>128</v>
      </c>
      <c r="X1614" s="7">
        <f>IF($J1614=0,0,ROUND(MAX($J1614*1.4*1.5*1.6*1.6*2.2*2.715*2.6,3540000000*(1.579646^(MIN($E1614,123)-117)))*1,0))</f>
        <v>568544122</v>
      </c>
      <c r="Y1614" s="4">
        <f>$E1614+17</f>
        <v>130</v>
      </c>
      <c r="Z1614" s="8">
        <f>IF($J1614=0,0,ROUND(MAX($J1614*1.4*1.5*1.6*1.6*2.2*2.715*2.6*1.4,6020000000*(1.651178^(MIN($E1614,123)-117)))*1,0))</f>
        <v>809880453</v>
      </c>
      <c r="AA1614" s="6">
        <f>$E1614+19</f>
        <v>132</v>
      </c>
      <c r="AB1614" s="7">
        <f>IF($J1614=0,0,ROUND(MAX($J1614*1.4*1.5*1.6*1.6*2.2*2.715*2.6*1.4*1.4,8430000000*(1.651435^(MIN($E1614,123)-117)))*1,0))</f>
        <v>1133395897</v>
      </c>
      <c r="AC1614" s="4">
        <f>$E1614+21</f>
        <v>134</v>
      </c>
      <c r="AD1614" s="8">
        <f>IF($J1614=0,0,ROUND(MAX($J1614*1.4*1.5*1.6*1.6*2.2*2.715*2.6*1.4*1.4*1.5,12600000000*(1.652953^(MIN($E1614,123)-117)))*1,0))</f>
        <v>1687829312</v>
      </c>
      <c r="AE1614" s="6">
        <f>$E1614+24</f>
        <v>137</v>
      </c>
      <c r="AF1614" s="7">
        <f>IF($J1614=0,0,ROUND(MAX($J1614*1.4*1.5*1.6*1.6*2.2*2.715*2.6*1.4*1.4*1.5*1.5,18900000000*(1.65331^(MIN($E1614,123)-117)))*1,0))</f>
        <v>2529557954</v>
      </c>
      <c r="AG1614" s="4">
        <f>$E1614+27</f>
        <v>140</v>
      </c>
      <c r="AH1614" s="8">
        <f>IF($J1614=0,0,ROUND(MAX($J1614*1.4*1.5*1.6*1.6*2.2*2.715*2.6*1.4*1.4*1.5*1.5*3.2,60500000000*(1.654288^(MIN($E1614,123)-117)))*1,0))</f>
        <v>8078131097</v>
      </c>
    </row>
    <row r="1615" ht="27.75" customHeight="1" spans="1:34" x14ac:dyDescent="0.25">
      <c r="A1615" s="3">
        <v>1625</v>
      </c>
      <c r="B1615" s="3" t="s">
        <v>283</v>
      </c>
      <c r="C1615" s="3" t="s">
        <v>1159</v>
      </c>
      <c r="D1615" s="3" t="s">
        <v>33</v>
      </c>
      <c r="E1615" s="3">
        <v>113</v>
      </c>
      <c r="F1615" s="3" t="s">
        <v>42</v>
      </c>
      <c r="G1615" s="3" t="s">
        <v>133</v>
      </c>
      <c r="H1615" s="3">
        <v>28</v>
      </c>
      <c r="I1615" s="4">
        <v>113</v>
      </c>
      <c r="J1615" s="5">
        <v>752000</v>
      </c>
      <c r="K1615" s="6">
        <f>$E1615+1</f>
        <v>114</v>
      </c>
      <c r="L1615" s="7">
        <f>IF($J1615=0,0,ROUND(MAX($J1615*1.4,1620000*(1.497923^(MIN($E1615,123)-117)))*1,0))</f>
        <v>1052800</v>
      </c>
      <c r="M1615" s="4">
        <f>$E1615+2</f>
        <v>115</v>
      </c>
      <c r="N1615" s="8">
        <f>IF($J1615=0,0,ROUND(MAX($J1615*1.4*1.5,2190000*(1.580994^(MIN($E1615,123)-117)))*1,0))</f>
        <v>1579200</v>
      </c>
      <c r="O1615" s="6">
        <f>$E1615+4</f>
        <v>117</v>
      </c>
      <c r="P1615" s="7">
        <f>IF($J1615=0,0,ROUND(MAX($J1615*1.4*1.5*1.6,3500000*(1.57975^(MIN($E1615,123)-117)))*1,0))</f>
        <v>2526720</v>
      </c>
      <c r="Q1615" s="4">
        <f>$E1615+6</f>
        <v>119</v>
      </c>
      <c r="R1615" s="8">
        <f>IF($J1615=0,0,ROUND(MAX($J1615*1.4*1.5*1.6*1.6,13100000*(1.429962^(MIN($E1615,123)-117)))*1,0))</f>
        <v>4042752</v>
      </c>
      <c r="S1615" s="6">
        <f>$E1615+8</f>
        <v>121</v>
      </c>
      <c r="T1615" s="7">
        <f>IF($J1615=0,0,ROUND(MAX($J1615*1.4*1.5*1.6*1.6*2.2,42600000*(1.576904^(MIN($E1615,123)-117)))*1,0))</f>
        <v>8894054</v>
      </c>
      <c r="U1615" s="4">
        <f>$E1615+11</f>
        <v>124</v>
      </c>
      <c r="V1615" s="8">
        <f>IF($J1615=0,0,ROUND(MAX($J1615*1.4*1.5*1.6*1.6*2.2*2.715,354000000*(1.642074^(MIN($E1615,123)-117)))*1,0))</f>
        <v>48689169</v>
      </c>
      <c r="W1615" s="6">
        <f>$E1615+15</f>
        <v>128</v>
      </c>
      <c r="X1615" s="7">
        <f>IF($J1615=0,0,ROUND(MAX($J1615*1.4*1.5*1.6*1.6*2.2*2.715*2.6,3540000000*(1.579646^(MIN($E1615,123)-117)))*1,0))</f>
        <v>568544122</v>
      </c>
      <c r="Y1615" s="4">
        <f>$E1615+17</f>
        <v>130</v>
      </c>
      <c r="Z1615" s="8">
        <f>IF($J1615=0,0,ROUND(MAX($J1615*1.4*1.5*1.6*1.6*2.2*2.715*2.6*1.4,6020000000*(1.651178^(MIN($E1615,123)-117)))*1,0))</f>
        <v>809880453</v>
      </c>
      <c r="AA1615" s="6">
        <f>$E1615+19</f>
        <v>132</v>
      </c>
      <c r="AB1615" s="7">
        <f>IF($J1615=0,0,ROUND(MAX($J1615*1.4*1.5*1.6*1.6*2.2*2.715*2.6*1.4*1.4,8430000000*(1.651435^(MIN($E1615,123)-117)))*1,0))</f>
        <v>1133395897</v>
      </c>
      <c r="AC1615" s="4">
        <f>$E1615+21</f>
        <v>134</v>
      </c>
      <c r="AD1615" s="8">
        <f>IF($J1615=0,0,ROUND(MAX($J1615*1.4*1.5*1.6*1.6*2.2*2.715*2.6*1.4*1.4*1.5,12600000000*(1.652953^(MIN($E1615,123)-117)))*1,0))</f>
        <v>1687829312</v>
      </c>
      <c r="AE1615" s="6">
        <f>$E1615+24</f>
        <v>137</v>
      </c>
      <c r="AF1615" s="7">
        <f>IF($J1615=0,0,ROUND(MAX($J1615*1.4*1.5*1.6*1.6*2.2*2.715*2.6*1.4*1.4*1.5*1.5,18900000000*(1.65331^(MIN($E1615,123)-117)))*1,0))</f>
        <v>2529557954</v>
      </c>
      <c r="AG1615" s="4">
        <f>$E1615+27</f>
        <v>140</v>
      </c>
      <c r="AH1615" s="8">
        <f>IF($J1615=0,0,ROUND(MAX($J1615*1.4*1.5*1.6*1.6*2.2*2.715*2.6*1.4*1.4*1.5*1.5*3.2,60500000000*(1.654288^(MIN($E1615,123)-117)))*1,0))</f>
        <v>8078131097</v>
      </c>
    </row>
    <row r="1616" ht="27.75" customHeight="1" spans="1:34" x14ac:dyDescent="0.25">
      <c r="A1616" s="3">
        <v>1626</v>
      </c>
      <c r="B1616" s="3" t="s">
        <v>638</v>
      </c>
      <c r="C1616" s="3" t="s">
        <v>1159</v>
      </c>
      <c r="D1616" s="3" t="s">
        <v>25</v>
      </c>
      <c r="E1616" s="3">
        <v>113</v>
      </c>
      <c r="F1616" s="3" t="s">
        <v>310</v>
      </c>
      <c r="G1616" s="3" t="s">
        <v>27</v>
      </c>
      <c r="H1616" s="3">
        <v>28</v>
      </c>
      <c r="I1616" s="4">
        <v>113</v>
      </c>
      <c r="J1616" s="5">
        <v>959000</v>
      </c>
      <c r="K1616" s="6">
        <f>$E1616+1</f>
        <v>114</v>
      </c>
      <c r="L1616" s="7">
        <f>IF($J1616=0,0,ROUND(MAX($J1616*1.4,1620000*(1.497923^(MIN($E1616,123)-117)))*1,0))</f>
        <v>1342600</v>
      </c>
      <c r="M1616" s="4">
        <f>$E1616+2</f>
        <v>115</v>
      </c>
      <c r="N1616" s="8">
        <f>IF($J1616=0,0,ROUND(MAX($J1616*1.4*1.5,2190000*(1.580994^(MIN($E1616,123)-117)))*1,0))</f>
        <v>2013900</v>
      </c>
      <c r="O1616" s="6">
        <f>$E1616+4</f>
        <v>117</v>
      </c>
      <c r="P1616" s="7">
        <f>IF($J1616=0,0,ROUND(MAX($J1616*1.4*1.5*1.6,3500000*(1.57975^(MIN($E1616,123)-117)))*1,0))</f>
        <v>3222240</v>
      </c>
      <c r="Q1616" s="4">
        <f>$E1616+6</f>
        <v>119</v>
      </c>
      <c r="R1616" s="8">
        <f>IF($J1616=0,0,ROUND(MAX($J1616*1.4*1.5*1.6*1.6,13100000*(1.429962^(MIN($E1616,123)-117)))*1,0))</f>
        <v>5155584</v>
      </c>
      <c r="S1616" s="6">
        <f>$E1616+8</f>
        <v>121</v>
      </c>
      <c r="T1616" s="7">
        <f>IF($J1616=0,0,ROUND(MAX($J1616*1.4*1.5*1.6*1.6*2.2,42600000*(1.576904^(MIN($E1616,123)-117)))*1,0))</f>
        <v>11342285</v>
      </c>
      <c r="U1616" s="4">
        <f>$E1616+11</f>
        <v>124</v>
      </c>
      <c r="V1616" s="8">
        <f>IF($J1616=0,0,ROUND(MAX($J1616*1.4*1.5*1.6*1.6*2.2*2.715,354000000*(1.642074^(MIN($E1616,123)-117)))*1,0))</f>
        <v>48689169</v>
      </c>
      <c r="W1616" s="6">
        <f>$E1616+15</f>
        <v>128</v>
      </c>
      <c r="X1616" s="7">
        <f>IF($J1616=0,0,ROUND(MAX($J1616*1.4*1.5*1.6*1.6*2.2*2.715*2.6,3540000000*(1.579646^(MIN($E1616,123)-117)))*1,0))</f>
        <v>568544122</v>
      </c>
      <c r="Y1616" s="4">
        <f>$E1616+17</f>
        <v>130</v>
      </c>
      <c r="Z1616" s="8">
        <f>IF($J1616=0,0,ROUND(MAX($J1616*1.4*1.5*1.6*1.6*2.2*2.715*2.6*1.4,6020000000*(1.651178^(MIN($E1616,123)-117)))*1,0))</f>
        <v>809880453</v>
      </c>
      <c r="AA1616" s="6">
        <f>$E1616+19</f>
        <v>132</v>
      </c>
      <c r="AB1616" s="7">
        <f>IF($J1616=0,0,ROUND(MAX($J1616*1.4*1.5*1.6*1.6*2.2*2.715*2.6*1.4*1.4,8430000000*(1.651435^(MIN($E1616,123)-117)))*1,0))</f>
        <v>1133395897</v>
      </c>
      <c r="AC1616" s="4">
        <f>$E1616+21</f>
        <v>134</v>
      </c>
      <c r="AD1616" s="8">
        <f>IF($J1616=0,0,ROUND(MAX($J1616*1.4*1.5*1.6*1.6*2.2*2.715*2.6*1.4*1.4*1.5,12600000000*(1.652953^(MIN($E1616,123)-117)))*1,0))</f>
        <v>1687829312</v>
      </c>
      <c r="AE1616" s="6">
        <f>$E1616+24</f>
        <v>137</v>
      </c>
      <c r="AF1616" s="7">
        <f>IF($J1616=0,0,ROUND(MAX($J1616*1.4*1.5*1.6*1.6*2.2*2.715*2.6*1.4*1.4*1.5*1.5,18900000000*(1.65331^(MIN($E1616,123)-117)))*1,0))</f>
        <v>2529557954</v>
      </c>
      <c r="AG1616" s="4">
        <f>$E1616+27</f>
        <v>140</v>
      </c>
      <c r="AH1616" s="8">
        <f>IF($J1616=0,0,ROUND(MAX($J1616*1.4*1.5*1.6*1.6*2.2*2.715*2.6*1.4*1.4*1.5*1.5*3.2,60500000000*(1.654288^(MIN($E1616,123)-117)))*1,0))</f>
        <v>8078131097</v>
      </c>
    </row>
    <row r="1617" ht="27.75" customHeight="1" spans="1:34" x14ac:dyDescent="0.25">
      <c r="A1617" s="3">
        <v>1627</v>
      </c>
      <c r="B1617" s="3" t="s">
        <v>271</v>
      </c>
      <c r="C1617" s="3" t="s">
        <v>1159</v>
      </c>
      <c r="D1617" s="3" t="s">
        <v>40</v>
      </c>
      <c r="E1617" s="3">
        <v>113</v>
      </c>
      <c r="F1617" s="3" t="s">
        <v>258</v>
      </c>
      <c r="G1617" s="3" t="s">
        <v>270</v>
      </c>
      <c r="H1617" s="3">
        <v>28</v>
      </c>
      <c r="I1617" s="4">
        <v>113</v>
      </c>
      <c r="J1617" s="5">
        <v>595000</v>
      </c>
      <c r="K1617" s="6">
        <f>$E1617+1</f>
        <v>114</v>
      </c>
      <c r="L1617" s="7">
        <f>IF($J1617=0,0,ROUND(MAX($J1617*1.4,1620000*(1.497923^(MIN($E1617,123)-117)))*1,0))</f>
        <v>833000</v>
      </c>
      <c r="M1617" s="4">
        <f>$E1617+2</f>
        <v>115</v>
      </c>
      <c r="N1617" s="8">
        <f>IF($J1617=0,0,ROUND(MAX($J1617*1.4*1.5,2190000*(1.580994^(MIN($E1617,123)-117)))*1,0))</f>
        <v>1249500</v>
      </c>
      <c r="O1617" s="6">
        <f>$E1617+4</f>
        <v>117</v>
      </c>
      <c r="P1617" s="7">
        <f>IF($J1617=0,0,ROUND(MAX($J1617*1.4*1.5*1.6,3500000*(1.57975^(MIN($E1617,123)-117)))*1,0))</f>
        <v>1999200</v>
      </c>
      <c r="Q1617" s="4">
        <f>$E1617+6</f>
        <v>119</v>
      </c>
      <c r="R1617" s="8">
        <f>IF($J1617=0,0,ROUND(MAX($J1617*1.4*1.5*1.6*1.6,13100000*(1.429962^(MIN($E1617,123)-117)))*1,0))</f>
        <v>3198720</v>
      </c>
      <c r="S1617" s="6">
        <f>$E1617+8</f>
        <v>121</v>
      </c>
      <c r="T1617" s="7">
        <f>IF($J1617=0,0,ROUND(MAX($J1617*1.4*1.5*1.6*1.6*2.2,42600000*(1.576904^(MIN($E1617,123)-117)))*1,0))</f>
        <v>7037184</v>
      </c>
      <c r="U1617" s="4">
        <f>$E1617+11</f>
        <v>124</v>
      </c>
      <c r="V1617" s="8">
        <f>IF($J1617=0,0,ROUND(MAX($J1617*1.4*1.5*1.6*1.6*2.2*2.715,354000000*(1.642074^(MIN($E1617,123)-117)))*1,0))</f>
        <v>48689169</v>
      </c>
      <c r="W1617" s="6">
        <f>$E1617+15</f>
        <v>128</v>
      </c>
      <c r="X1617" s="7">
        <f>IF($J1617=0,0,ROUND(MAX($J1617*1.4*1.5*1.6*1.6*2.2*2.715*2.6,3540000000*(1.579646^(MIN($E1617,123)-117)))*1,0))</f>
        <v>568544122</v>
      </c>
      <c r="Y1617" s="4">
        <f>$E1617+17</f>
        <v>130</v>
      </c>
      <c r="Z1617" s="8">
        <f>IF($J1617=0,0,ROUND(MAX($J1617*1.4*1.5*1.6*1.6*2.2*2.715*2.6*1.4,6020000000*(1.651178^(MIN($E1617,123)-117)))*1,0))</f>
        <v>809880453</v>
      </c>
      <c r="AA1617" s="6">
        <f>$E1617+19</f>
        <v>132</v>
      </c>
      <c r="AB1617" s="7">
        <f>IF($J1617=0,0,ROUND(MAX($J1617*1.4*1.5*1.6*1.6*2.2*2.715*2.6*1.4*1.4,8430000000*(1.651435^(MIN($E1617,123)-117)))*1,0))</f>
        <v>1133395897</v>
      </c>
      <c r="AC1617" s="4">
        <f>$E1617+21</f>
        <v>134</v>
      </c>
      <c r="AD1617" s="8">
        <f>IF($J1617=0,0,ROUND(MAX($J1617*1.4*1.5*1.6*1.6*2.2*2.715*2.6*1.4*1.4*1.5,12600000000*(1.652953^(MIN($E1617,123)-117)))*1,0))</f>
        <v>1687829312</v>
      </c>
      <c r="AE1617" s="6">
        <f>$E1617+24</f>
        <v>137</v>
      </c>
      <c r="AF1617" s="7">
        <f>IF($J1617=0,0,ROUND(MAX($J1617*1.4*1.5*1.6*1.6*2.2*2.715*2.6*1.4*1.4*1.5*1.5,18900000000*(1.65331^(MIN($E1617,123)-117)))*1,0))</f>
        <v>2529557954</v>
      </c>
      <c r="AG1617" s="4">
        <f>$E1617+27</f>
        <v>140</v>
      </c>
      <c r="AH1617" s="8">
        <f>IF($J1617=0,0,ROUND(MAX($J1617*1.4*1.5*1.6*1.6*2.2*2.715*2.6*1.4*1.4*1.5*1.5*3.2,60500000000*(1.654288^(MIN($E1617,123)-117)))*1,0))</f>
        <v>8078131097</v>
      </c>
    </row>
    <row r="1618" ht="27.75" customHeight="1" spans="1:34" x14ac:dyDescent="0.25">
      <c r="A1618" s="3">
        <v>1628</v>
      </c>
      <c r="B1618" s="3" t="s">
        <v>234</v>
      </c>
      <c r="C1618" s="3" t="s">
        <v>1159</v>
      </c>
      <c r="D1618" s="3" t="s">
        <v>40</v>
      </c>
      <c r="E1618" s="3">
        <v>113</v>
      </c>
      <c r="F1618" s="3" t="s">
        <v>223</v>
      </c>
      <c r="G1618" s="3" t="s">
        <v>185</v>
      </c>
      <c r="H1618" s="3">
        <v>27</v>
      </c>
      <c r="I1618" s="4">
        <v>113</v>
      </c>
      <c r="J1618" s="5">
        <v>604000</v>
      </c>
      <c r="K1618" s="6">
        <f>$E1618+1</f>
        <v>114</v>
      </c>
      <c r="L1618" s="7">
        <f>IF($J1618=0,0,ROUND(MAX($J1618*1.4,1620000*(1.497923^(MIN($E1618,123)-117)))*1,0))</f>
        <v>845600</v>
      </c>
      <c r="M1618" s="4">
        <f>$E1618+2</f>
        <v>115</v>
      </c>
      <c r="N1618" s="8">
        <f>IF($J1618=0,0,ROUND(MAX($J1618*1.4*1.5,2190000*(1.580994^(MIN($E1618,123)-117)))*1,0))</f>
        <v>1268400</v>
      </c>
      <c r="O1618" s="6">
        <f>$E1618+4</f>
        <v>117</v>
      </c>
      <c r="P1618" s="7">
        <f>IF($J1618=0,0,ROUND(MAX($J1618*1.4*1.5*1.6,3500000*(1.57975^(MIN($E1618,123)-117)))*1,0))</f>
        <v>2029440</v>
      </c>
      <c r="Q1618" s="4">
        <f>$E1618+6</f>
        <v>119</v>
      </c>
      <c r="R1618" s="8">
        <f>IF($J1618=0,0,ROUND(MAX($J1618*1.4*1.5*1.6*1.6,13100000*(1.429962^(MIN($E1618,123)-117)))*1,0))</f>
        <v>3247104</v>
      </c>
      <c r="S1618" s="6">
        <f>$E1618+8</f>
        <v>121</v>
      </c>
      <c r="T1618" s="7">
        <f>IF($J1618=0,0,ROUND(MAX($J1618*1.4*1.5*1.6*1.6*2.2,42600000*(1.576904^(MIN($E1618,123)-117)))*1,0))</f>
        <v>7143629</v>
      </c>
      <c r="U1618" s="4">
        <f>$E1618+11</f>
        <v>124</v>
      </c>
      <c r="V1618" s="8">
        <f>IF($J1618=0,0,ROUND(MAX($J1618*1.4*1.5*1.6*1.6*2.2*2.715,354000000*(1.642074^(MIN($E1618,123)-117)))*1,0))</f>
        <v>48689169</v>
      </c>
      <c r="W1618" s="6">
        <f>$E1618+15</f>
        <v>128</v>
      </c>
      <c r="X1618" s="7">
        <f>IF($J1618=0,0,ROUND(MAX($J1618*1.4*1.5*1.6*1.6*2.2*2.715*2.6,3540000000*(1.579646^(MIN($E1618,123)-117)))*1,0))</f>
        <v>568544122</v>
      </c>
      <c r="Y1618" s="4">
        <f>$E1618+17</f>
        <v>130</v>
      </c>
      <c r="Z1618" s="8">
        <f>IF($J1618=0,0,ROUND(MAX($J1618*1.4*1.5*1.6*1.6*2.2*2.715*2.6*1.4,6020000000*(1.651178^(MIN($E1618,123)-117)))*1,0))</f>
        <v>809880453</v>
      </c>
      <c r="AA1618" s="6">
        <f>$E1618+19</f>
        <v>132</v>
      </c>
      <c r="AB1618" s="7">
        <f>IF($J1618=0,0,ROUND(MAX($J1618*1.4*1.5*1.6*1.6*2.2*2.715*2.6*1.4*1.4,8430000000*(1.651435^(MIN($E1618,123)-117)))*1,0))</f>
        <v>1133395897</v>
      </c>
      <c r="AC1618" s="4">
        <f>$E1618+21</f>
        <v>134</v>
      </c>
      <c r="AD1618" s="8">
        <f>IF($J1618=0,0,ROUND(MAX($J1618*1.4*1.5*1.6*1.6*2.2*2.715*2.6*1.4*1.4*1.5,12600000000*(1.652953^(MIN($E1618,123)-117)))*1,0))</f>
        <v>1687829312</v>
      </c>
      <c r="AE1618" s="6">
        <f>$E1618+24</f>
        <v>137</v>
      </c>
      <c r="AF1618" s="7">
        <f>IF($J1618=0,0,ROUND(MAX($J1618*1.4*1.5*1.6*1.6*2.2*2.715*2.6*1.4*1.4*1.5*1.5,18900000000*(1.65331^(MIN($E1618,123)-117)))*1,0))</f>
        <v>2529557954</v>
      </c>
      <c r="AG1618" s="4">
        <f>$E1618+27</f>
        <v>140</v>
      </c>
      <c r="AH1618" s="8">
        <f>IF($J1618=0,0,ROUND(MAX($J1618*1.4*1.5*1.6*1.6*2.2*2.715*2.6*1.4*1.4*1.5*1.5*3.2,60500000000*(1.654288^(MIN($E1618,123)-117)))*1,0))</f>
        <v>8078131097</v>
      </c>
    </row>
    <row r="1619" ht="27.75" customHeight="1" spans="1:34" x14ac:dyDescent="0.25">
      <c r="A1619" s="3">
        <v>1629</v>
      </c>
      <c r="B1619" s="3" t="s">
        <v>1121</v>
      </c>
      <c r="C1619" s="3" t="s">
        <v>1159</v>
      </c>
      <c r="D1619" s="3" t="s">
        <v>29</v>
      </c>
      <c r="E1619" s="3">
        <v>113</v>
      </c>
      <c r="F1619" s="3" t="s">
        <v>54</v>
      </c>
      <c r="G1619" s="3" t="s">
        <v>206</v>
      </c>
      <c r="H1619" s="3">
        <v>27</v>
      </c>
      <c r="I1619" s="4">
        <v>113</v>
      </c>
      <c r="J1619" s="5">
        <v>81900</v>
      </c>
      <c r="K1619" s="6">
        <f>$E1619+1</f>
        <v>114</v>
      </c>
      <c r="L1619" s="7">
        <f>IF($J1619=0,0,ROUND(MAX($J1619*1.4,1620000*(1.497923^(MIN($E1619,123)-117)))*1,0))</f>
        <v>321779</v>
      </c>
      <c r="M1619" s="4">
        <f>$E1619+2</f>
        <v>115</v>
      </c>
      <c r="N1619" s="8">
        <f>IF($J1619=0,0,ROUND(MAX($J1619*1.4*1.5,2190000*(1.580994^(MIN($E1619,123)-117)))*1,0))</f>
        <v>350528</v>
      </c>
      <c r="O1619" s="6">
        <f>$E1619+4</f>
        <v>117</v>
      </c>
      <c r="P1619" s="7">
        <f>IF($J1619=0,0,ROUND(MAX($J1619*1.4*1.5*1.6,3500000*(1.57975^(MIN($E1619,123)-117)))*1,0))</f>
        <v>561972</v>
      </c>
      <c r="Q1619" s="4">
        <f>$E1619+6</f>
        <v>119</v>
      </c>
      <c r="R1619" s="8">
        <f>IF($J1619=0,0,ROUND(MAX($J1619*1.4*1.5*1.6*1.6,13100000*(1.429962^(MIN($E1619,123)-117)))*1,0))</f>
        <v>3133093</v>
      </c>
      <c r="S1619" s="6">
        <f>$E1619+8</f>
        <v>121</v>
      </c>
      <c r="T1619" s="7">
        <f>IF($J1619=0,0,ROUND(MAX($J1619*1.4*1.5*1.6*1.6*2.2,42600000*(1.576904^(MIN($E1619,123)-117)))*1,0))</f>
        <v>6889514</v>
      </c>
      <c r="U1619" s="4">
        <f>$E1619+11</f>
        <v>124</v>
      </c>
      <c r="V1619" s="8">
        <f>IF($J1619=0,0,ROUND(MAX($J1619*1.4*1.5*1.6*1.6*2.2*2.715,354000000*(1.642074^(MIN($E1619,123)-117)))*1,0))</f>
        <v>48689169</v>
      </c>
      <c r="W1619" s="6">
        <f>$E1619+15</f>
        <v>128</v>
      </c>
      <c r="X1619" s="7">
        <f>IF($J1619=0,0,ROUND(MAX($J1619*1.4*1.5*1.6*1.6*2.2*2.715*2.6,3540000000*(1.579646^(MIN($E1619,123)-117)))*1,0))</f>
        <v>568544122</v>
      </c>
      <c r="Y1619" s="4">
        <f>$E1619+17</f>
        <v>130</v>
      </c>
      <c r="Z1619" s="8">
        <f>IF($J1619=0,0,ROUND(MAX($J1619*1.4*1.5*1.6*1.6*2.2*2.715*2.6*1.4,6020000000*(1.651178^(MIN($E1619,123)-117)))*1,0))</f>
        <v>809880453</v>
      </c>
      <c r="AA1619" s="6">
        <f>$E1619+19</f>
        <v>132</v>
      </c>
      <c r="AB1619" s="7">
        <f>IF($J1619=0,0,ROUND(MAX($J1619*1.4*1.5*1.6*1.6*2.2*2.715*2.6*1.4*1.4,8430000000*(1.651435^(MIN($E1619,123)-117)))*1,0))</f>
        <v>1133395897</v>
      </c>
      <c r="AC1619" s="4">
        <f>$E1619+21</f>
        <v>134</v>
      </c>
      <c r="AD1619" s="8">
        <f>IF($J1619=0,0,ROUND(MAX($J1619*1.4*1.5*1.6*1.6*2.2*2.715*2.6*1.4*1.4*1.5,12600000000*(1.652953^(MIN($E1619,123)-117)))*1,0))</f>
        <v>1687829312</v>
      </c>
      <c r="AE1619" s="6">
        <f>$E1619+24</f>
        <v>137</v>
      </c>
      <c r="AF1619" s="7">
        <f>IF($J1619=0,0,ROUND(MAX($J1619*1.4*1.5*1.6*1.6*2.2*2.715*2.6*1.4*1.4*1.5*1.5,18900000000*(1.65331^(MIN($E1619,123)-117)))*1,0))</f>
        <v>2529557954</v>
      </c>
      <c r="AG1619" s="4">
        <f>$E1619+27</f>
        <v>140</v>
      </c>
      <c r="AH1619" s="8">
        <f>IF($J1619=0,0,ROUND(MAX($J1619*1.4*1.5*1.6*1.6*2.2*2.715*2.6*1.4*1.4*1.5*1.5*3.2,60500000000*(1.654288^(MIN($E1619,123)-117)))*1,0))</f>
        <v>8078131097</v>
      </c>
    </row>
    <row r="1620" ht="27.75" customHeight="1" spans="1:34" x14ac:dyDescent="0.25">
      <c r="A1620" s="3">
        <v>1630</v>
      </c>
      <c r="B1620" s="3" t="s">
        <v>540</v>
      </c>
      <c r="C1620" s="3" t="s">
        <v>1159</v>
      </c>
      <c r="D1620" s="3" t="s">
        <v>79</v>
      </c>
      <c r="E1620" s="3">
        <v>112</v>
      </c>
      <c r="F1620" s="3" t="s">
        <v>412</v>
      </c>
      <c r="G1620" s="3" t="s">
        <v>252</v>
      </c>
      <c r="H1620" s="3">
        <v>28</v>
      </c>
      <c r="I1620" s="4">
        <v>112</v>
      </c>
      <c r="J1620" s="5">
        <v>121000</v>
      </c>
      <c r="K1620" s="6">
        <f>$E1620+1</f>
        <v>113</v>
      </c>
      <c r="L1620" s="7">
        <f>IF($J1620=0,0,ROUND(MAX($J1620*1.4,1620000*(1.497923^(MIN($E1620,123)-117)))*1,0))</f>
        <v>214816</v>
      </c>
      <c r="M1620" s="4">
        <f>$E1620+2</f>
        <v>114</v>
      </c>
      <c r="N1620" s="8">
        <f>IF($J1620=0,0,ROUND(MAX($J1620*1.4*1.5,2190000*(1.580994^(MIN($E1620,123)-117)))*1,0))</f>
        <v>254100</v>
      </c>
      <c r="O1620" s="6">
        <f>$E1620+4</f>
        <v>116</v>
      </c>
      <c r="P1620" s="7">
        <f>IF($J1620=0,0,ROUND(MAX($J1620*1.4*1.5*1.6,3500000*(1.57975^(MIN($E1620,123)-117)))*1,0))</f>
        <v>406560</v>
      </c>
      <c r="Q1620" s="4">
        <f>$E1620+6</f>
        <v>118</v>
      </c>
      <c r="R1620" s="8">
        <f>IF($J1620=0,0,ROUND(MAX($J1620*1.4*1.5*1.6*1.6,13100000*(1.429962^(MIN($E1620,123)-117)))*1,0))</f>
        <v>2191032</v>
      </c>
      <c r="S1620" s="6">
        <f>$E1620+8</f>
        <v>120</v>
      </c>
      <c r="T1620" s="7">
        <f>IF($J1620=0,0,ROUND(MAX($J1620*1.4*1.5*1.6*1.6*2.2,42600000*(1.576904^(MIN($E1620,123)-117)))*1,0))</f>
        <v>4369013</v>
      </c>
      <c r="U1620" s="4">
        <f>$E1620+11</f>
        <v>123</v>
      </c>
      <c r="V1620" s="8">
        <f>IF($J1620=0,0,ROUND(MAX($J1620*1.4*1.5*1.6*1.6*2.2*2.715,354000000*(1.642074^(MIN($E1620,123)-117)))*1,0))</f>
        <v>29651020</v>
      </c>
      <c r="W1620" s="6">
        <f>$E1620+15</f>
        <v>127</v>
      </c>
      <c r="X1620" s="7">
        <f>IF($J1620=0,0,ROUND(MAX($J1620*1.4*1.5*1.6*1.6*2.2*2.715*2.6,3540000000*(1.579646^(MIN($E1620,123)-117)))*1,0))</f>
        <v>359918692</v>
      </c>
      <c r="Y1620" s="4">
        <f>$E1620+17</f>
        <v>129</v>
      </c>
      <c r="Z1620" s="8">
        <f>IF($J1620=0,0,ROUND(MAX($J1620*1.4*1.5*1.6*1.6*2.2*2.715*2.6*1.4,6020000000*(1.651178^(MIN($E1620,123)-117)))*1,0))</f>
        <v>490486461</v>
      </c>
      <c r="AA1620" s="6">
        <f>$E1620+19</f>
        <v>131</v>
      </c>
      <c r="AB1620" s="7">
        <f>IF($J1620=0,0,ROUND(MAX($J1620*1.4*1.5*1.6*1.6*2.2*2.715*2.6*1.4*1.4,8430000000*(1.651435^(MIN($E1620,123)-117)))*1,0))</f>
        <v>686309723</v>
      </c>
      <c r="AC1620" s="4">
        <f>$E1620+21</f>
        <v>133</v>
      </c>
      <c r="AD1620" s="8">
        <f>IF($J1620=0,0,ROUND(MAX($J1620*1.4*1.5*1.6*1.6*2.2*2.715*2.6*1.4*1.4*1.5,12600000000*(1.652953^(MIN($E1620,123)-117)))*1,0))</f>
        <v>1021099398</v>
      </c>
      <c r="AE1620" s="6">
        <f>$E1620+24</f>
        <v>136</v>
      </c>
      <c r="AF1620" s="7">
        <f>IF($J1620=0,0,ROUND(MAX($J1620*1.4*1.5*1.6*1.6*2.2*2.715*2.6*1.4*1.4*1.5*1.5,18900000000*(1.65331^(MIN($E1620,123)-117)))*1,0))</f>
        <v>1529996162</v>
      </c>
      <c r="AG1620" s="4">
        <f>$E1620+27</f>
        <v>139</v>
      </c>
      <c r="AH1620" s="8">
        <f>IF($J1620=0,0,ROUND(MAX($J1620*1.4*1.5*1.6*1.6*2.2*2.715*2.6*1.4*1.4*1.5*1.5*3.2,60500000000*(1.654288^(MIN($E1620,123)-117)))*1,0))</f>
        <v>4883146766</v>
      </c>
    </row>
    <row r="1621" ht="27.75" customHeight="1" spans="1:34" x14ac:dyDescent="0.25">
      <c r="A1621" s="3">
        <v>1631</v>
      </c>
      <c r="B1621" s="3" t="s">
        <v>772</v>
      </c>
      <c r="C1621" s="3" t="s">
        <v>1159</v>
      </c>
      <c r="D1621" s="3" t="s">
        <v>64</v>
      </c>
      <c r="E1621" s="3">
        <v>112</v>
      </c>
      <c r="F1621" s="3" t="s">
        <v>773</v>
      </c>
      <c r="G1621" s="3" t="s">
        <v>133</v>
      </c>
      <c r="H1621" s="3">
        <v>27</v>
      </c>
      <c r="I1621" s="4">
        <v>112</v>
      </c>
      <c r="J1621" s="5">
        <v>360000</v>
      </c>
      <c r="K1621" s="6">
        <f>$E1621+1</f>
        <v>113</v>
      </c>
      <c r="L1621" s="7">
        <f>IF($J1621=0,0,ROUND(MAX($J1621*1.4,1620000*(1.497923^(MIN($E1621,123)-117)))*1,0))</f>
        <v>504000</v>
      </c>
      <c r="M1621" s="4">
        <f>$E1621+2</f>
        <v>114</v>
      </c>
      <c r="N1621" s="8">
        <f>IF($J1621=0,0,ROUND(MAX($J1621*1.4*1.5,2190000*(1.580994^(MIN($E1621,123)-117)))*1,0))</f>
        <v>756000</v>
      </c>
      <c r="O1621" s="6">
        <f>$E1621+4</f>
        <v>116</v>
      </c>
      <c r="P1621" s="7">
        <f>IF($J1621=0,0,ROUND(MAX($J1621*1.4*1.5*1.6,3500000*(1.57975^(MIN($E1621,123)-117)))*1,0))</f>
        <v>1209600</v>
      </c>
      <c r="Q1621" s="4">
        <f>$E1621+6</f>
        <v>118</v>
      </c>
      <c r="R1621" s="8">
        <f>IF($J1621=0,0,ROUND(MAX($J1621*1.4*1.5*1.6*1.6,13100000*(1.429962^(MIN($E1621,123)-117)))*1,0))</f>
        <v>2191032</v>
      </c>
      <c r="S1621" s="6">
        <f>$E1621+8</f>
        <v>120</v>
      </c>
      <c r="T1621" s="7">
        <f>IF($J1621=0,0,ROUND(MAX($J1621*1.4*1.5*1.6*1.6*2.2,42600000*(1.576904^(MIN($E1621,123)-117)))*1,0))</f>
        <v>4369013</v>
      </c>
      <c r="U1621" s="4">
        <f>$E1621+11</f>
        <v>123</v>
      </c>
      <c r="V1621" s="8">
        <f>IF($J1621=0,0,ROUND(MAX($J1621*1.4*1.5*1.6*1.6*2.2*2.715,354000000*(1.642074^(MIN($E1621,123)-117)))*1,0))</f>
        <v>29651020</v>
      </c>
      <c r="W1621" s="6">
        <f>$E1621+15</f>
        <v>127</v>
      </c>
      <c r="X1621" s="7">
        <f>IF($J1621=0,0,ROUND(MAX($J1621*1.4*1.5*1.6*1.6*2.2*2.715*2.6,3540000000*(1.579646^(MIN($E1621,123)-117)))*1,0))</f>
        <v>359918692</v>
      </c>
      <c r="Y1621" s="4">
        <f>$E1621+17</f>
        <v>129</v>
      </c>
      <c r="Z1621" s="8">
        <f>IF($J1621=0,0,ROUND(MAX($J1621*1.4*1.5*1.6*1.6*2.2*2.715*2.6*1.4,6020000000*(1.651178^(MIN($E1621,123)-117)))*1,0))</f>
        <v>490486461</v>
      </c>
      <c r="AA1621" s="6">
        <f>$E1621+19</f>
        <v>131</v>
      </c>
      <c r="AB1621" s="7">
        <f>IF($J1621=0,0,ROUND(MAX($J1621*1.4*1.5*1.6*1.6*2.2*2.715*2.6*1.4*1.4,8430000000*(1.651435^(MIN($E1621,123)-117)))*1,0))</f>
        <v>686309723</v>
      </c>
      <c r="AC1621" s="4">
        <f>$E1621+21</f>
        <v>133</v>
      </c>
      <c r="AD1621" s="8">
        <f>IF($J1621=0,0,ROUND(MAX($J1621*1.4*1.5*1.6*1.6*2.2*2.715*2.6*1.4*1.4*1.5,12600000000*(1.652953^(MIN($E1621,123)-117)))*1,0))</f>
        <v>1021099398</v>
      </c>
      <c r="AE1621" s="6">
        <f>$E1621+24</f>
        <v>136</v>
      </c>
      <c r="AF1621" s="7">
        <f>IF($J1621=0,0,ROUND(MAX($J1621*1.4*1.5*1.6*1.6*2.2*2.715*2.6*1.4*1.4*1.5*1.5,18900000000*(1.65331^(MIN($E1621,123)-117)))*1,0))</f>
        <v>1529996162</v>
      </c>
      <c r="AG1621" s="4">
        <f>$E1621+27</f>
        <v>139</v>
      </c>
      <c r="AH1621" s="8">
        <f>IF($J1621=0,0,ROUND(MAX($J1621*1.4*1.5*1.6*1.6*2.2*2.715*2.6*1.4*1.4*1.5*1.5*3.2,60500000000*(1.654288^(MIN($E1621,123)-117)))*1,0))</f>
        <v>4883146766</v>
      </c>
    </row>
    <row r="1622" ht="27.75" customHeight="1" spans="1:34" x14ac:dyDescent="0.25">
      <c r="A1622" s="3">
        <v>1632</v>
      </c>
      <c r="B1622" s="3" t="s">
        <v>539</v>
      </c>
      <c r="C1622" s="3" t="s">
        <v>1159</v>
      </c>
      <c r="D1622" s="3" t="s">
        <v>29</v>
      </c>
      <c r="E1622" s="3">
        <v>112</v>
      </c>
      <c r="F1622" s="3" t="s">
        <v>34</v>
      </c>
      <c r="G1622" s="3" t="s">
        <v>450</v>
      </c>
      <c r="H1622" s="3">
        <v>27</v>
      </c>
      <c r="I1622" s="4">
        <v>112</v>
      </c>
      <c r="J1622" s="5">
        <v>90000</v>
      </c>
      <c r="K1622" s="6">
        <f>$E1622+1</f>
        <v>113</v>
      </c>
      <c r="L1622" s="7">
        <f>IF($J1622=0,0,ROUND(MAX($J1622*1.4,1620000*(1.497923^(MIN($E1622,123)-117)))*1,0))</f>
        <v>214816</v>
      </c>
      <c r="M1622" s="4">
        <f>$E1622+2</f>
        <v>114</v>
      </c>
      <c r="N1622" s="8">
        <f>IF($J1622=0,0,ROUND(MAX($J1622*1.4*1.5,2190000*(1.580994^(MIN($E1622,123)-117)))*1,0))</f>
        <v>221714</v>
      </c>
      <c r="O1622" s="6">
        <f>$E1622+4</f>
        <v>116</v>
      </c>
      <c r="P1622" s="7">
        <f>IF($J1622=0,0,ROUND(MAX($J1622*1.4*1.5*1.6,3500000*(1.57975^(MIN($E1622,123)-117)))*1,0))</f>
        <v>355735</v>
      </c>
      <c r="Q1622" s="4">
        <f>$E1622+6</f>
        <v>118</v>
      </c>
      <c r="R1622" s="8">
        <f>IF($J1622=0,0,ROUND(MAX($J1622*1.4*1.5*1.6*1.6,13100000*(1.429962^(MIN($E1622,123)-117)))*1,0))</f>
        <v>2191032</v>
      </c>
      <c r="S1622" s="6">
        <f>$E1622+8</f>
        <v>120</v>
      </c>
      <c r="T1622" s="7">
        <f>IF($J1622=0,0,ROUND(MAX($J1622*1.4*1.5*1.6*1.6*2.2,42600000*(1.576904^(MIN($E1622,123)-117)))*1,0))</f>
        <v>4369013</v>
      </c>
      <c r="U1622" s="4">
        <f>$E1622+11</f>
        <v>123</v>
      </c>
      <c r="V1622" s="8">
        <f>IF($J1622=0,0,ROUND(MAX($J1622*1.4*1.5*1.6*1.6*2.2*2.715,354000000*(1.642074^(MIN($E1622,123)-117)))*1,0))</f>
        <v>29651020</v>
      </c>
      <c r="W1622" s="6">
        <f>$E1622+15</f>
        <v>127</v>
      </c>
      <c r="X1622" s="7">
        <f>IF($J1622=0,0,ROUND(MAX($J1622*1.4*1.5*1.6*1.6*2.2*2.715*2.6,3540000000*(1.579646^(MIN($E1622,123)-117)))*1,0))</f>
        <v>359918692</v>
      </c>
      <c r="Y1622" s="4">
        <f>$E1622+17</f>
        <v>129</v>
      </c>
      <c r="Z1622" s="8">
        <f>IF($J1622=0,0,ROUND(MAX($J1622*1.4*1.5*1.6*1.6*2.2*2.715*2.6*1.4,6020000000*(1.651178^(MIN($E1622,123)-117)))*1,0))</f>
        <v>490486461</v>
      </c>
      <c r="AA1622" s="6">
        <f>$E1622+19</f>
        <v>131</v>
      </c>
      <c r="AB1622" s="7">
        <f>IF($J1622=0,0,ROUND(MAX($J1622*1.4*1.5*1.6*1.6*2.2*2.715*2.6*1.4*1.4,8430000000*(1.651435^(MIN($E1622,123)-117)))*1,0))</f>
        <v>686309723</v>
      </c>
      <c r="AC1622" s="4">
        <f>$E1622+21</f>
        <v>133</v>
      </c>
      <c r="AD1622" s="8">
        <f>IF($J1622=0,0,ROUND(MAX($J1622*1.4*1.5*1.6*1.6*2.2*2.715*2.6*1.4*1.4*1.5,12600000000*(1.652953^(MIN($E1622,123)-117)))*1,0))</f>
        <v>1021099398</v>
      </c>
      <c r="AE1622" s="6">
        <f>$E1622+24</f>
        <v>136</v>
      </c>
      <c r="AF1622" s="7">
        <f>IF($J1622=0,0,ROUND(MAX($J1622*1.4*1.5*1.6*1.6*2.2*2.715*2.6*1.4*1.4*1.5*1.5,18900000000*(1.65331^(MIN($E1622,123)-117)))*1,0))</f>
        <v>1529996162</v>
      </c>
      <c r="AG1622" s="4">
        <f>$E1622+27</f>
        <v>139</v>
      </c>
      <c r="AH1622" s="8">
        <f>IF($J1622=0,0,ROUND(MAX($J1622*1.4*1.5*1.6*1.6*2.2*2.715*2.6*1.4*1.4*1.5*1.5*3.2,60500000000*(1.654288^(MIN($E1622,123)-117)))*1,0))</f>
        <v>4883146766</v>
      </c>
    </row>
    <row r="1623" ht="27.75" customHeight="1" spans="1:34" x14ac:dyDescent="0.25">
      <c r="A1623" s="3">
        <v>1633</v>
      </c>
      <c r="B1623" s="3" t="s">
        <v>471</v>
      </c>
      <c r="C1623" s="3" t="s">
        <v>1159</v>
      </c>
      <c r="D1623" s="3" t="s">
        <v>102</v>
      </c>
      <c r="E1623" s="3">
        <v>111</v>
      </c>
      <c r="F1623" s="3" t="s">
        <v>54</v>
      </c>
      <c r="G1623" s="3" t="s">
        <v>472</v>
      </c>
      <c r="H1623" s="3">
        <v>25</v>
      </c>
      <c r="I1623" s="4">
        <v>111</v>
      </c>
      <c r="J1623" s="5">
        <v>100000</v>
      </c>
      <c r="K1623" s="6">
        <f>$E1623+1</f>
        <v>112</v>
      </c>
      <c r="L1623" s="7">
        <f>IF($J1623=0,0,ROUND(MAX($J1623*1.4,1620000*(1.497923^(MIN($E1623,123)-117)))*1,0))</f>
        <v>143410</v>
      </c>
      <c r="M1623" s="4">
        <f>$E1623+2</f>
        <v>113</v>
      </c>
      <c r="N1623" s="8">
        <f>IF($J1623=0,0,ROUND(MAX($J1623*1.4*1.5,2190000*(1.580994^(MIN($E1623,123)-117)))*1,0))</f>
        <v>210000</v>
      </c>
      <c r="O1623" s="6">
        <f>$E1623+4</f>
        <v>115</v>
      </c>
      <c r="P1623" s="7">
        <f>IF($J1623=0,0,ROUND(MAX($J1623*1.4*1.5*1.6,3500000*(1.57975^(MIN($E1623,123)-117)))*1,0))</f>
        <v>336000</v>
      </c>
      <c r="Q1623" s="4">
        <f>$E1623+6</f>
        <v>117</v>
      </c>
      <c r="R1623" s="8">
        <f>IF($J1623=0,0,ROUND(MAX($J1623*1.4*1.5*1.6*1.6,13100000*(1.429962^(MIN($E1623,123)-117)))*1,0))</f>
        <v>1532231</v>
      </c>
      <c r="S1623" s="6">
        <f>$E1623+8</f>
        <v>119</v>
      </c>
      <c r="T1623" s="7">
        <f>IF($J1623=0,0,ROUND(MAX($J1623*1.4*1.5*1.6*1.6*2.2,42600000*(1.576904^(MIN($E1623,123)-117)))*1,0))</f>
        <v>2770627</v>
      </c>
      <c r="U1623" s="4">
        <f>$E1623+11</f>
        <v>122</v>
      </c>
      <c r="V1623" s="8">
        <f>IF($J1623=0,0,ROUND(MAX($J1623*1.4*1.5*1.6*1.6*2.2*2.715,354000000*(1.642074^(MIN($E1623,123)-117)))*1,0))</f>
        <v>18057055</v>
      </c>
      <c r="W1623" s="6">
        <f>$E1623+15</f>
        <v>126</v>
      </c>
      <c r="X1623" s="7">
        <f>IF($J1623=0,0,ROUND(MAX($J1623*1.4*1.5*1.6*1.6*2.2*2.715*2.6,3540000000*(1.579646^(MIN($E1623,123)-117)))*1,0))</f>
        <v>227847690</v>
      </c>
      <c r="Y1623" s="4">
        <f>$E1623+17</f>
        <v>128</v>
      </c>
      <c r="Z1623" s="8">
        <f>IF($J1623=0,0,ROUND(MAX($J1623*1.4*1.5*1.6*1.6*2.2*2.715*2.6*1.4,6020000000*(1.651178^(MIN($E1623,123)-117)))*1,0))</f>
        <v>297052444</v>
      </c>
      <c r="AA1623" s="6">
        <f>$E1623+19</f>
        <v>130</v>
      </c>
      <c r="AB1623" s="7">
        <f>IF($J1623=0,0,ROUND(MAX($J1623*1.4*1.5*1.6*1.6*2.2*2.715*2.6*1.4*1.4,8430000000*(1.651435^(MIN($E1623,123)-117)))*1,0))</f>
        <v>415583854</v>
      </c>
      <c r="AC1623" s="4">
        <f>$E1623+21</f>
        <v>132</v>
      </c>
      <c r="AD1623" s="8">
        <f>IF($J1623=0,0,ROUND(MAX($J1623*1.4*1.5*1.6*1.6*2.2*2.715*2.6*1.4*1.4*1.5,12600000000*(1.652953^(MIN($E1623,123)-117)))*1,0))</f>
        <v>617742548</v>
      </c>
      <c r="AE1623" s="6">
        <f>$E1623+24</f>
        <v>135</v>
      </c>
      <c r="AF1623" s="7">
        <f>IF($J1623=0,0,ROUND(MAX($J1623*1.4*1.5*1.6*1.6*2.2*2.715*2.6*1.4*1.4*1.5*1.5,18900000000*(1.65331^(MIN($E1623,123)-117)))*1,0))</f>
        <v>925413965</v>
      </c>
      <c r="AG1623" s="4">
        <f>$E1623+27</f>
        <v>138</v>
      </c>
      <c r="AH1623" s="8">
        <f>IF($J1623=0,0,ROUND(MAX($J1623*1.4*1.5*1.6*1.6*2.2*2.715*2.6*1.4*1.4*1.5*1.5*3.2,60500000000*(1.654288^(MIN($E1623,123)-117)))*1,0))</f>
        <v>2951811756</v>
      </c>
    </row>
    <row r="1624" ht="27.75" customHeight="1" spans="1:34" x14ac:dyDescent="0.25">
      <c r="A1624" s="3">
        <v>1634</v>
      </c>
      <c r="B1624" s="3" t="s">
        <v>227</v>
      </c>
      <c r="C1624" s="3" t="s">
        <v>1159</v>
      </c>
      <c r="D1624" s="3" t="s">
        <v>40</v>
      </c>
      <c r="E1624" s="3">
        <v>110</v>
      </c>
      <c r="F1624" s="3" t="s">
        <v>56</v>
      </c>
      <c r="G1624" s="3" t="s">
        <v>35</v>
      </c>
      <c r="H1624" s="3">
        <v>27</v>
      </c>
      <c r="I1624" s="4">
        <v>110</v>
      </c>
      <c r="J1624" s="5">
        <v>371000</v>
      </c>
      <c r="K1624" s="6">
        <f>$E1624+1</f>
        <v>111</v>
      </c>
      <c r="L1624" s="7">
        <f>IF($J1624=0,0,ROUND(MAX($J1624*1.4,1620000*(1.497923^(MIN($E1624,123)-117)))*1,0))</f>
        <v>519400</v>
      </c>
      <c r="M1624" s="4">
        <f>$E1624+2</f>
        <v>112</v>
      </c>
      <c r="N1624" s="8">
        <f>IF($J1624=0,0,ROUND(MAX($J1624*1.4*1.5,2190000*(1.580994^(MIN($E1624,123)-117)))*1,0))</f>
        <v>779100</v>
      </c>
      <c r="O1624" s="6">
        <f>$E1624+4</f>
        <v>114</v>
      </c>
      <c r="P1624" s="7">
        <f>IF($J1624=0,0,ROUND(MAX($J1624*1.4*1.5*1.6,3500000*(1.57975^(MIN($E1624,123)-117)))*1,0))</f>
        <v>1246560</v>
      </c>
      <c r="Q1624" s="4">
        <f>$E1624+6</f>
        <v>116</v>
      </c>
      <c r="R1624" s="8">
        <f>IF($J1624=0,0,ROUND(MAX($J1624*1.4*1.5*1.6*1.6,13100000*(1.429962^(MIN($E1624,123)-117)))*1,0))</f>
        <v>1994496</v>
      </c>
      <c r="S1624" s="6">
        <f>$E1624+8</f>
        <v>118</v>
      </c>
      <c r="T1624" s="7">
        <f>IF($J1624=0,0,ROUND(MAX($J1624*1.4*1.5*1.6*1.6*2.2,42600000*(1.576904^(MIN($E1624,123)-117)))*1,0))</f>
        <v>4387891</v>
      </c>
      <c r="U1624" s="4">
        <f>$E1624+11</f>
        <v>121</v>
      </c>
      <c r="V1624" s="8">
        <f>IF($J1624=0,0,ROUND(MAX($J1624*1.4*1.5*1.6*1.6*2.2*2.715,354000000*(1.642074^(MIN($E1624,123)-117)))*1,0))</f>
        <v>11913125</v>
      </c>
      <c r="W1624" s="6">
        <f>$E1624+15</f>
        <v>125</v>
      </c>
      <c r="X1624" s="7">
        <f>IF($J1624=0,0,ROUND(MAX($J1624*1.4*1.5*1.6*1.6*2.2*2.715*2.6,3540000000*(1.579646^(MIN($E1624,123)-117)))*1,0))</f>
        <v>144239716</v>
      </c>
      <c r="Y1624" s="4">
        <f>$E1624+17</f>
        <v>127</v>
      </c>
      <c r="Z1624" s="8">
        <f>IF($J1624=0,0,ROUND(MAX($J1624*1.4*1.5*1.6*1.6*2.2*2.715*2.6*1.4,6020000000*(1.651178^(MIN($E1624,123)-117)))*1,0))</f>
        <v>179903344</v>
      </c>
      <c r="AA1624" s="6">
        <f>$E1624+19</f>
        <v>129</v>
      </c>
      <c r="AB1624" s="7">
        <f>IF($J1624=0,0,ROUND(MAX($J1624*1.4*1.5*1.6*1.6*2.2*2.715*2.6*1.4*1.4,8430000000*(1.651435^(MIN($E1624,123)-117)))*1,0))</f>
        <v>251650143</v>
      </c>
      <c r="AC1624" s="4">
        <f>$E1624+21</f>
        <v>131</v>
      </c>
      <c r="AD1624" s="8">
        <f>IF($J1624=0,0,ROUND(MAX($J1624*1.4*1.5*1.6*1.6*2.2*2.715*2.6*1.4*1.4*1.5,12600000000*(1.652953^(MIN($E1624,123)-117)))*1,0))</f>
        <v>373720576</v>
      </c>
      <c r="AE1624" s="6">
        <f>$E1624+24</f>
        <v>134</v>
      </c>
      <c r="AF1624" s="7">
        <f>IF($J1624=0,0,ROUND(MAX($J1624*1.4*1.5*1.6*1.6*2.2*2.715*2.6*1.4*1.4*1.5*1.5,18900000000*(1.65331^(MIN($E1624,123)-117)))*1,0))</f>
        <v>559734088</v>
      </c>
      <c r="AG1624" s="4">
        <f>$E1624+27</f>
        <v>137</v>
      </c>
      <c r="AH1624" s="8">
        <f>IF($J1624=0,0,ROUND(MAX($J1624*1.4*1.5*1.6*1.6*2.2*2.715*2.6*1.4*1.4*1.5*1.5*3.2,60500000000*(1.654288^(MIN($E1624,123)-117)))*1,0))</f>
        <v>1784339701</v>
      </c>
    </row>
    <row r="1625" ht="27.75" customHeight="1" spans="1:34" x14ac:dyDescent="0.25">
      <c r="A1625" s="3">
        <v>1635</v>
      </c>
      <c r="B1625" s="3" t="s">
        <v>587</v>
      </c>
      <c r="C1625" s="3" t="s">
        <v>1159</v>
      </c>
      <c r="D1625" s="3" t="s">
        <v>79</v>
      </c>
      <c r="E1625" s="3">
        <v>110</v>
      </c>
      <c r="F1625" s="3" t="s">
        <v>30</v>
      </c>
      <c r="G1625" s="3" t="s">
        <v>38</v>
      </c>
      <c r="H1625" s="3">
        <v>26</v>
      </c>
      <c r="I1625" s="4">
        <v>110</v>
      </c>
      <c r="J1625" s="5">
        <v>187000</v>
      </c>
      <c r="K1625" s="6">
        <f>$E1625+1</f>
        <v>111</v>
      </c>
      <c r="L1625" s="7">
        <f>IF($J1625=0,0,ROUND(MAX($J1625*1.4,1620000*(1.497923^(MIN($E1625,123)-117)))*1,0))</f>
        <v>261800</v>
      </c>
      <c r="M1625" s="4">
        <f>$E1625+2</f>
        <v>112</v>
      </c>
      <c r="N1625" s="8">
        <f>IF($J1625=0,0,ROUND(MAX($J1625*1.4*1.5,2190000*(1.580994^(MIN($E1625,123)-117)))*1,0))</f>
        <v>392700</v>
      </c>
      <c r="O1625" s="6">
        <f>$E1625+4</f>
        <v>114</v>
      </c>
      <c r="P1625" s="7">
        <f>IF($J1625=0,0,ROUND(MAX($J1625*1.4*1.5*1.6,3500000*(1.57975^(MIN($E1625,123)-117)))*1,0))</f>
        <v>628320</v>
      </c>
      <c r="Q1625" s="4">
        <f>$E1625+6</f>
        <v>116</v>
      </c>
      <c r="R1625" s="8">
        <f>IF($J1625=0,0,ROUND(MAX($J1625*1.4*1.5*1.6*1.6,13100000*(1.429962^(MIN($E1625,123)-117)))*1,0))</f>
        <v>1071519</v>
      </c>
      <c r="S1625" s="6">
        <f>$E1625+8</f>
        <v>118</v>
      </c>
      <c r="T1625" s="7">
        <f>IF($J1625=0,0,ROUND(MAX($J1625*1.4*1.5*1.6*1.6*2.2,42600000*(1.576904^(MIN($E1625,123)-117)))*1,0))</f>
        <v>2211686</v>
      </c>
      <c r="U1625" s="4">
        <f>$E1625+11</f>
        <v>121</v>
      </c>
      <c r="V1625" s="8">
        <f>IF($J1625=0,0,ROUND(MAX($J1625*1.4*1.5*1.6*1.6*2.2*2.715,354000000*(1.642074^(MIN($E1625,123)-117)))*1,0))</f>
        <v>10996493</v>
      </c>
      <c r="W1625" s="6">
        <f>$E1625+15</f>
        <v>125</v>
      </c>
      <c r="X1625" s="7">
        <f>IF($J1625=0,0,ROUND(MAX($J1625*1.4*1.5*1.6*1.6*2.2*2.715*2.6,3540000000*(1.579646^(MIN($E1625,123)-117)))*1,0))</f>
        <v>144239716</v>
      </c>
      <c r="Y1625" s="4">
        <f>$E1625+17</f>
        <v>127</v>
      </c>
      <c r="Z1625" s="8">
        <f>IF($J1625=0,0,ROUND(MAX($J1625*1.4*1.5*1.6*1.6*2.2*2.715*2.6*1.4,6020000000*(1.651178^(MIN($E1625,123)-117)))*1,0))</f>
        <v>179903344</v>
      </c>
      <c r="AA1625" s="6">
        <f>$E1625+19</f>
        <v>129</v>
      </c>
      <c r="AB1625" s="7">
        <f>IF($J1625=0,0,ROUND(MAX($J1625*1.4*1.5*1.6*1.6*2.2*2.715*2.6*1.4*1.4,8430000000*(1.651435^(MIN($E1625,123)-117)))*1,0))</f>
        <v>251650143</v>
      </c>
      <c r="AC1625" s="4">
        <f>$E1625+21</f>
        <v>131</v>
      </c>
      <c r="AD1625" s="8">
        <f>IF($J1625=0,0,ROUND(MAX($J1625*1.4*1.5*1.6*1.6*2.2*2.715*2.6*1.4*1.4*1.5,12600000000*(1.652953^(MIN($E1625,123)-117)))*1,0))</f>
        <v>373720576</v>
      </c>
      <c r="AE1625" s="6">
        <f>$E1625+24</f>
        <v>134</v>
      </c>
      <c r="AF1625" s="7">
        <f>IF($J1625=0,0,ROUND(MAX($J1625*1.4*1.5*1.6*1.6*2.2*2.715*2.6*1.4*1.4*1.5*1.5,18900000000*(1.65331^(MIN($E1625,123)-117)))*1,0))</f>
        <v>559734088</v>
      </c>
      <c r="AG1625" s="4">
        <f>$E1625+27</f>
        <v>137</v>
      </c>
      <c r="AH1625" s="8">
        <f>IF($J1625=0,0,ROUND(MAX($J1625*1.4*1.5*1.6*1.6*2.2*2.715*2.6*1.4*1.4*1.5*1.5*3.2,60500000000*(1.654288^(MIN($E1625,123)-117)))*1,0))</f>
        <v>1784339701</v>
      </c>
    </row>
    <row r="1626" ht="27.75" customHeight="1" spans="1:34" x14ac:dyDescent="0.25">
      <c r="A1626" s="3">
        <v>1636</v>
      </c>
      <c r="B1626" s="3" t="s">
        <v>630</v>
      </c>
      <c r="C1626" s="3" t="s">
        <v>1159</v>
      </c>
      <c r="D1626" s="3" t="s">
        <v>102</v>
      </c>
      <c r="E1626" s="3">
        <v>110</v>
      </c>
      <c r="F1626" s="3" t="s">
        <v>71</v>
      </c>
      <c r="G1626" s="3" t="s">
        <v>185</v>
      </c>
      <c r="H1626" s="3">
        <v>26</v>
      </c>
      <c r="I1626" s="4">
        <v>110</v>
      </c>
      <c r="J1626" s="5">
        <v>171000</v>
      </c>
      <c r="K1626" s="6">
        <f>$E1626+1</f>
        <v>111</v>
      </c>
      <c r="L1626" s="7">
        <f>IF($J1626=0,0,ROUND(MAX($J1626*1.4,1620000*(1.497923^(MIN($E1626,123)-117)))*1,0))</f>
        <v>239400</v>
      </c>
      <c r="M1626" s="4">
        <f>$E1626+2</f>
        <v>112</v>
      </c>
      <c r="N1626" s="8">
        <f>IF($J1626=0,0,ROUND(MAX($J1626*1.4*1.5,2190000*(1.580994^(MIN($E1626,123)-117)))*1,0))</f>
        <v>359100</v>
      </c>
      <c r="O1626" s="6">
        <f>$E1626+4</f>
        <v>114</v>
      </c>
      <c r="P1626" s="7">
        <f>IF($J1626=0,0,ROUND(MAX($J1626*1.4*1.5*1.6,3500000*(1.57975^(MIN($E1626,123)-117)))*1,0))</f>
        <v>574560</v>
      </c>
      <c r="Q1626" s="4">
        <f>$E1626+6</f>
        <v>116</v>
      </c>
      <c r="R1626" s="8">
        <f>IF($J1626=0,0,ROUND(MAX($J1626*1.4*1.5*1.6*1.6,13100000*(1.429962^(MIN($E1626,123)-117)))*1,0))</f>
        <v>1071519</v>
      </c>
      <c r="S1626" s="6">
        <f>$E1626+8</f>
        <v>118</v>
      </c>
      <c r="T1626" s="7">
        <f>IF($J1626=0,0,ROUND(MAX($J1626*1.4*1.5*1.6*1.6*2.2,42600000*(1.576904^(MIN($E1626,123)-117)))*1,0))</f>
        <v>2022451</v>
      </c>
      <c r="U1626" s="4">
        <f>$E1626+11</f>
        <v>121</v>
      </c>
      <c r="V1626" s="8">
        <f>IF($J1626=0,0,ROUND(MAX($J1626*1.4*1.5*1.6*1.6*2.2*2.715,354000000*(1.642074^(MIN($E1626,123)-117)))*1,0))</f>
        <v>10996493</v>
      </c>
      <c r="W1626" s="6">
        <f>$E1626+15</f>
        <v>125</v>
      </c>
      <c r="X1626" s="7">
        <f>IF($J1626=0,0,ROUND(MAX($J1626*1.4*1.5*1.6*1.6*2.2*2.715*2.6,3540000000*(1.579646^(MIN($E1626,123)-117)))*1,0))</f>
        <v>144239716</v>
      </c>
      <c r="Y1626" s="4">
        <f>$E1626+17</f>
        <v>127</v>
      </c>
      <c r="Z1626" s="8">
        <f>IF($J1626=0,0,ROUND(MAX($J1626*1.4*1.5*1.6*1.6*2.2*2.715*2.6*1.4,6020000000*(1.651178^(MIN($E1626,123)-117)))*1,0))</f>
        <v>179903344</v>
      </c>
      <c r="AA1626" s="6">
        <f>$E1626+19</f>
        <v>129</v>
      </c>
      <c r="AB1626" s="7">
        <f>IF($J1626=0,0,ROUND(MAX($J1626*1.4*1.5*1.6*1.6*2.2*2.715*2.6*1.4*1.4,8430000000*(1.651435^(MIN($E1626,123)-117)))*1,0))</f>
        <v>251650143</v>
      </c>
      <c r="AC1626" s="4">
        <f>$E1626+21</f>
        <v>131</v>
      </c>
      <c r="AD1626" s="8">
        <f>IF($J1626=0,0,ROUND(MAX($J1626*1.4*1.5*1.6*1.6*2.2*2.715*2.6*1.4*1.4*1.5,12600000000*(1.652953^(MIN($E1626,123)-117)))*1,0))</f>
        <v>373720576</v>
      </c>
      <c r="AE1626" s="6">
        <f>$E1626+24</f>
        <v>134</v>
      </c>
      <c r="AF1626" s="7">
        <f>IF($J1626=0,0,ROUND(MAX($J1626*1.4*1.5*1.6*1.6*2.2*2.715*2.6*1.4*1.4*1.5*1.5,18900000000*(1.65331^(MIN($E1626,123)-117)))*1,0))</f>
        <v>559734088</v>
      </c>
      <c r="AG1626" s="4">
        <f>$E1626+27</f>
        <v>137</v>
      </c>
      <c r="AH1626" s="8">
        <f>IF($J1626=0,0,ROUND(MAX($J1626*1.4*1.5*1.6*1.6*2.2*2.715*2.6*1.4*1.4*1.5*1.5*3.2,60500000000*(1.654288^(MIN($E1626,123)-117)))*1,0))</f>
        <v>1784339701</v>
      </c>
    </row>
    <row r="1627" ht="27.75" customHeight="1" spans="1:34" x14ac:dyDescent="0.25">
      <c r="A1627" s="3">
        <v>1637</v>
      </c>
      <c r="B1627" s="3" t="s">
        <v>478</v>
      </c>
      <c r="C1627" s="3" t="s">
        <v>1159</v>
      </c>
      <c r="D1627" s="3" t="s">
        <v>64</v>
      </c>
      <c r="E1627" s="3">
        <v>110</v>
      </c>
      <c r="F1627" s="3" t="s">
        <v>479</v>
      </c>
      <c r="G1627" s="3" t="s">
        <v>351</v>
      </c>
      <c r="H1627" s="3">
        <v>26</v>
      </c>
      <c r="I1627" s="4">
        <v>110</v>
      </c>
      <c r="J1627" s="5">
        <v>298000</v>
      </c>
      <c r="K1627" s="6">
        <f>$E1627+1</f>
        <v>111</v>
      </c>
      <c r="L1627" s="7">
        <f>IF($J1627=0,0,ROUND(MAX($J1627*1.4,1620000*(1.497923^(MIN($E1627,123)-117)))*1,0))</f>
        <v>417200</v>
      </c>
      <c r="M1627" s="4">
        <f>$E1627+2</f>
        <v>112</v>
      </c>
      <c r="N1627" s="8">
        <f>IF($J1627=0,0,ROUND(MAX($J1627*1.4*1.5,2190000*(1.580994^(MIN($E1627,123)-117)))*1,0))</f>
        <v>625800</v>
      </c>
      <c r="O1627" s="6">
        <f>$E1627+4</f>
        <v>114</v>
      </c>
      <c r="P1627" s="7">
        <f>IF($J1627=0,0,ROUND(MAX($J1627*1.4*1.5*1.6,3500000*(1.57975^(MIN($E1627,123)-117)))*1,0))</f>
        <v>1001280</v>
      </c>
      <c r="Q1627" s="4">
        <f>$E1627+6</f>
        <v>116</v>
      </c>
      <c r="R1627" s="8">
        <f>IF($J1627=0,0,ROUND(MAX($J1627*1.4*1.5*1.6*1.6,13100000*(1.429962^(MIN($E1627,123)-117)))*1,0))</f>
        <v>1602048</v>
      </c>
      <c r="S1627" s="6">
        <f>$E1627+8</f>
        <v>118</v>
      </c>
      <c r="T1627" s="7">
        <f>IF($J1627=0,0,ROUND(MAX($J1627*1.4*1.5*1.6*1.6*2.2,42600000*(1.576904^(MIN($E1627,123)-117)))*1,0))</f>
        <v>3524506</v>
      </c>
      <c r="U1627" s="4">
        <f>$E1627+11</f>
        <v>121</v>
      </c>
      <c r="V1627" s="8">
        <f>IF($J1627=0,0,ROUND(MAX($J1627*1.4*1.5*1.6*1.6*2.2*2.715,354000000*(1.642074^(MIN($E1627,123)-117)))*1,0))</f>
        <v>10996493</v>
      </c>
      <c r="W1627" s="6">
        <f>$E1627+15</f>
        <v>125</v>
      </c>
      <c r="X1627" s="7">
        <f>IF($J1627=0,0,ROUND(MAX($J1627*1.4*1.5*1.6*1.6*2.2*2.715*2.6,3540000000*(1.579646^(MIN($E1627,123)-117)))*1,0))</f>
        <v>144239716</v>
      </c>
      <c r="Y1627" s="4">
        <f>$E1627+17</f>
        <v>127</v>
      </c>
      <c r="Z1627" s="8">
        <f>IF($J1627=0,0,ROUND(MAX($J1627*1.4*1.5*1.6*1.6*2.2*2.715*2.6*1.4,6020000000*(1.651178^(MIN($E1627,123)-117)))*1,0))</f>
        <v>179903344</v>
      </c>
      <c r="AA1627" s="6">
        <f>$E1627+19</f>
        <v>129</v>
      </c>
      <c r="AB1627" s="7">
        <f>IF($J1627=0,0,ROUND(MAX($J1627*1.4*1.5*1.6*1.6*2.2*2.715*2.6*1.4*1.4,8430000000*(1.651435^(MIN($E1627,123)-117)))*1,0))</f>
        <v>251650143</v>
      </c>
      <c r="AC1627" s="4">
        <f>$E1627+21</f>
        <v>131</v>
      </c>
      <c r="AD1627" s="8">
        <f>IF($J1627=0,0,ROUND(MAX($J1627*1.4*1.5*1.6*1.6*2.2*2.715*2.6*1.4*1.4*1.5,12600000000*(1.652953^(MIN($E1627,123)-117)))*1,0))</f>
        <v>373720576</v>
      </c>
      <c r="AE1627" s="6">
        <f>$E1627+24</f>
        <v>134</v>
      </c>
      <c r="AF1627" s="7">
        <f>IF($J1627=0,0,ROUND(MAX($J1627*1.4*1.5*1.6*1.6*2.2*2.715*2.6*1.4*1.4*1.5*1.5,18900000000*(1.65331^(MIN($E1627,123)-117)))*1,0))</f>
        <v>559734088</v>
      </c>
      <c r="AG1627" s="4">
        <f>$E1627+27</f>
        <v>137</v>
      </c>
      <c r="AH1627" s="8">
        <f>IF($J1627=0,0,ROUND(MAX($J1627*1.4*1.5*1.6*1.6*2.2*2.715*2.6*1.4*1.4*1.5*1.5*3.2,60500000000*(1.654288^(MIN($E1627,123)-117)))*1,0))</f>
        <v>1784339701</v>
      </c>
    </row>
    <row r="1628" ht="27.75" customHeight="1" spans="1:34" x14ac:dyDescent="0.25">
      <c r="A1628" s="3">
        <v>1638</v>
      </c>
      <c r="B1628" s="3" t="s">
        <v>740</v>
      </c>
      <c r="C1628" s="3" t="s">
        <v>1159</v>
      </c>
      <c r="D1628" s="3" t="s">
        <v>102</v>
      </c>
      <c r="E1628" s="3">
        <v>110</v>
      </c>
      <c r="F1628" s="3" t="s">
        <v>62</v>
      </c>
      <c r="G1628" s="3" t="s">
        <v>95</v>
      </c>
      <c r="H1628" s="3">
        <v>25</v>
      </c>
      <c r="I1628" s="4">
        <v>110</v>
      </c>
      <c r="J1628" s="5">
        <v>73200</v>
      </c>
      <c r="K1628" s="6">
        <f>$E1628+1</f>
        <v>111</v>
      </c>
      <c r="L1628" s="7">
        <f>IF($J1628=0,0,ROUND(MAX($J1628*1.4,1620000*(1.497923^(MIN($E1628,123)-117)))*1,0))</f>
        <v>102480</v>
      </c>
      <c r="M1628" s="4">
        <f>$E1628+2</f>
        <v>112</v>
      </c>
      <c r="N1628" s="8">
        <f>IF($J1628=0,0,ROUND(MAX($J1628*1.4*1.5,2190000*(1.580994^(MIN($E1628,123)-117)))*1,0))</f>
        <v>153720</v>
      </c>
      <c r="O1628" s="6">
        <f>$E1628+4</f>
        <v>114</v>
      </c>
      <c r="P1628" s="7">
        <f>IF($J1628=0,0,ROUND(MAX($J1628*1.4*1.5*1.6,3500000*(1.57975^(MIN($E1628,123)-117)))*1,0))</f>
        <v>245952</v>
      </c>
      <c r="Q1628" s="4">
        <f>$E1628+6</f>
        <v>116</v>
      </c>
      <c r="R1628" s="8">
        <f>IF($J1628=0,0,ROUND(MAX($J1628*1.4*1.5*1.6*1.6,13100000*(1.429962^(MIN($E1628,123)-117)))*1,0))</f>
        <v>1071519</v>
      </c>
      <c r="S1628" s="6">
        <f>$E1628+8</f>
        <v>118</v>
      </c>
      <c r="T1628" s="7">
        <f>IF($J1628=0,0,ROUND(MAX($J1628*1.4*1.5*1.6*1.6*2.2,42600000*(1.576904^(MIN($E1628,123)-117)))*1,0))</f>
        <v>1757004</v>
      </c>
      <c r="U1628" s="4">
        <f>$E1628+11</f>
        <v>121</v>
      </c>
      <c r="V1628" s="8">
        <f>IF($J1628=0,0,ROUND(MAX($J1628*1.4*1.5*1.6*1.6*2.2*2.715,354000000*(1.642074^(MIN($E1628,123)-117)))*1,0))</f>
        <v>10996493</v>
      </c>
      <c r="W1628" s="6">
        <f>$E1628+15</f>
        <v>125</v>
      </c>
      <c r="X1628" s="7">
        <f>IF($J1628=0,0,ROUND(MAX($J1628*1.4*1.5*1.6*1.6*2.2*2.715*2.6,3540000000*(1.579646^(MIN($E1628,123)-117)))*1,0))</f>
        <v>144239716</v>
      </c>
      <c r="Y1628" s="4">
        <f>$E1628+17</f>
        <v>127</v>
      </c>
      <c r="Z1628" s="8">
        <f>IF($J1628=0,0,ROUND(MAX($J1628*1.4*1.5*1.6*1.6*2.2*2.715*2.6*1.4,6020000000*(1.651178^(MIN($E1628,123)-117)))*1,0))</f>
        <v>179903344</v>
      </c>
      <c r="AA1628" s="6">
        <f>$E1628+19</f>
        <v>129</v>
      </c>
      <c r="AB1628" s="7">
        <f>IF($J1628=0,0,ROUND(MAX($J1628*1.4*1.5*1.6*1.6*2.2*2.715*2.6*1.4*1.4,8430000000*(1.651435^(MIN($E1628,123)-117)))*1,0))</f>
        <v>251650143</v>
      </c>
      <c r="AC1628" s="4">
        <f>$E1628+21</f>
        <v>131</v>
      </c>
      <c r="AD1628" s="8">
        <f>IF($J1628=0,0,ROUND(MAX($J1628*1.4*1.5*1.6*1.6*2.2*2.715*2.6*1.4*1.4*1.5,12600000000*(1.652953^(MIN($E1628,123)-117)))*1,0))</f>
        <v>373720576</v>
      </c>
      <c r="AE1628" s="6">
        <f>$E1628+24</f>
        <v>134</v>
      </c>
      <c r="AF1628" s="7">
        <f>IF($J1628=0,0,ROUND(MAX($J1628*1.4*1.5*1.6*1.6*2.2*2.715*2.6*1.4*1.4*1.5*1.5,18900000000*(1.65331^(MIN($E1628,123)-117)))*1,0))</f>
        <v>559734088</v>
      </c>
      <c r="AG1628" s="4">
        <f>$E1628+27</f>
        <v>137</v>
      </c>
      <c r="AH1628" s="8">
        <f>IF($J1628=0,0,ROUND(MAX($J1628*1.4*1.5*1.6*1.6*2.2*2.715*2.6*1.4*1.4*1.5*1.5*3.2,60500000000*(1.654288^(MIN($E1628,123)-117)))*1,0))</f>
        <v>1784339701</v>
      </c>
    </row>
    <row r="1629" ht="27.75" customHeight="1" spans="1:34" x14ac:dyDescent="0.25">
      <c r="A1629" s="3">
        <v>1639</v>
      </c>
      <c r="B1629" s="3" t="s">
        <v>327</v>
      </c>
      <c r="C1629" s="3" t="s">
        <v>1159</v>
      </c>
      <c r="D1629" s="3" t="s">
        <v>47</v>
      </c>
      <c r="E1629" s="3">
        <v>110</v>
      </c>
      <c r="F1629" s="3" t="s">
        <v>310</v>
      </c>
      <c r="G1629" s="3" t="s">
        <v>38</v>
      </c>
      <c r="H1629" s="3">
        <v>23</v>
      </c>
      <c r="I1629" s="4">
        <v>110</v>
      </c>
      <c r="J1629" s="5">
        <v>47200</v>
      </c>
      <c r="K1629" s="6">
        <f>$E1629+1</f>
        <v>111</v>
      </c>
      <c r="L1629" s="7">
        <f>IF($J1629=0,0,ROUND(MAX($J1629*1.4,1620000*(1.497923^(MIN($E1629,123)-117)))*1,0))</f>
        <v>95739</v>
      </c>
      <c r="M1629" s="4">
        <f>$E1629+2</f>
        <v>112</v>
      </c>
      <c r="N1629" s="8">
        <f>IF($J1629=0,0,ROUND(MAX($J1629*1.4*1.5,2190000*(1.580994^(MIN($E1629,123)-117)))*1,0))</f>
        <v>99120</v>
      </c>
      <c r="O1629" s="6">
        <f>$E1629+4</f>
        <v>114</v>
      </c>
      <c r="P1629" s="7">
        <f>IF($J1629=0,0,ROUND(MAX($J1629*1.4*1.5*1.6,3500000*(1.57975^(MIN($E1629,123)-117)))*1,0))</f>
        <v>158592</v>
      </c>
      <c r="Q1629" s="4">
        <f>$E1629+6</f>
        <v>116</v>
      </c>
      <c r="R1629" s="8">
        <f>IF($J1629=0,0,ROUND(MAX($J1629*1.4*1.5*1.6*1.6,13100000*(1.429962^(MIN($E1629,123)-117)))*1,0))</f>
        <v>1071519</v>
      </c>
      <c r="S1629" s="6">
        <f>$E1629+8</f>
        <v>118</v>
      </c>
      <c r="T1629" s="7">
        <f>IF($J1629=0,0,ROUND(MAX($J1629*1.4*1.5*1.6*1.6*2.2,42600000*(1.576904^(MIN($E1629,123)-117)))*1,0))</f>
        <v>1757004</v>
      </c>
      <c r="U1629" s="4">
        <f>$E1629+11</f>
        <v>121</v>
      </c>
      <c r="V1629" s="8">
        <f>IF($J1629=0,0,ROUND(MAX($J1629*1.4*1.5*1.6*1.6*2.2*2.715,354000000*(1.642074^(MIN($E1629,123)-117)))*1,0))</f>
        <v>10996493</v>
      </c>
      <c r="W1629" s="6">
        <f>$E1629+15</f>
        <v>125</v>
      </c>
      <c r="X1629" s="7">
        <f>IF($J1629=0,0,ROUND(MAX($J1629*1.4*1.5*1.6*1.6*2.2*2.715*2.6,3540000000*(1.579646^(MIN($E1629,123)-117)))*1,0))</f>
        <v>144239716</v>
      </c>
      <c r="Y1629" s="4">
        <f>$E1629+17</f>
        <v>127</v>
      </c>
      <c r="Z1629" s="8">
        <f>IF($J1629=0,0,ROUND(MAX($J1629*1.4*1.5*1.6*1.6*2.2*2.715*2.6*1.4,6020000000*(1.651178^(MIN($E1629,123)-117)))*1,0))</f>
        <v>179903344</v>
      </c>
      <c r="AA1629" s="6">
        <f>$E1629+19</f>
        <v>129</v>
      </c>
      <c r="AB1629" s="7">
        <f>IF($J1629=0,0,ROUND(MAX($J1629*1.4*1.5*1.6*1.6*2.2*2.715*2.6*1.4*1.4,8430000000*(1.651435^(MIN($E1629,123)-117)))*1,0))</f>
        <v>251650143</v>
      </c>
      <c r="AC1629" s="4">
        <f>$E1629+21</f>
        <v>131</v>
      </c>
      <c r="AD1629" s="8">
        <f>IF($J1629=0,0,ROUND(MAX($J1629*1.4*1.5*1.6*1.6*2.2*2.715*2.6*1.4*1.4*1.5,12600000000*(1.652953^(MIN($E1629,123)-117)))*1,0))</f>
        <v>373720576</v>
      </c>
      <c r="AE1629" s="6">
        <f>$E1629+24</f>
        <v>134</v>
      </c>
      <c r="AF1629" s="7">
        <f>IF($J1629=0,0,ROUND(MAX($J1629*1.4*1.5*1.6*1.6*2.2*2.715*2.6*1.4*1.4*1.5*1.5,18900000000*(1.65331^(MIN($E1629,123)-117)))*1,0))</f>
        <v>559734088</v>
      </c>
      <c r="AG1629" s="4">
        <f>$E1629+27</f>
        <v>137</v>
      </c>
      <c r="AH1629" s="8">
        <f>IF($J1629=0,0,ROUND(MAX($J1629*1.4*1.5*1.6*1.6*2.2*2.715*2.6*1.4*1.4*1.5*1.5*3.2,60500000000*(1.654288^(MIN($E1629,123)-117)))*1,0))</f>
        <v>1784339701</v>
      </c>
    </row>
    <row r="1630" ht="27.75" customHeight="1" spans="1:34" x14ac:dyDescent="0.25">
      <c r="A1630" s="3">
        <v>1640</v>
      </c>
      <c r="B1630" s="3" t="s">
        <v>1049</v>
      </c>
      <c r="C1630" s="3" t="s">
        <v>1159</v>
      </c>
      <c r="D1630" s="3" t="s">
        <v>40</v>
      </c>
      <c r="E1630" s="3">
        <v>109</v>
      </c>
      <c r="F1630" s="3" t="s">
        <v>56</v>
      </c>
      <c r="G1630" s="3" t="s">
        <v>1050</v>
      </c>
      <c r="H1630" s="3">
        <v>26</v>
      </c>
      <c r="I1630" s="4">
        <v>109</v>
      </c>
      <c r="J1630" s="5">
        <v>55200</v>
      </c>
      <c r="K1630" s="6">
        <f>$E1630+1</f>
        <v>110</v>
      </c>
      <c r="L1630" s="7">
        <f>IF($J1630=0,0,ROUND(MAX($J1630*1.4,1620000*(1.497923^(MIN($E1630,123)-117)))*1,0))</f>
        <v>77280</v>
      </c>
      <c r="M1630" s="4">
        <f>$E1630+2</f>
        <v>111</v>
      </c>
      <c r="N1630" s="8">
        <f>IF($J1630=0,0,ROUND(MAX($J1630*1.4*1.5,2190000*(1.580994^(MIN($E1630,123)-117)))*1,0))</f>
        <v>115920</v>
      </c>
      <c r="O1630" s="6">
        <f>$E1630+4</f>
        <v>113</v>
      </c>
      <c r="P1630" s="7">
        <f>IF($J1630=0,0,ROUND(MAX($J1630*1.4*1.5*1.6,3500000*(1.57975^(MIN($E1630,123)-117)))*1,0))</f>
        <v>185472</v>
      </c>
      <c r="Q1630" s="4">
        <f>$E1630+6</f>
        <v>115</v>
      </c>
      <c r="R1630" s="8">
        <f>IF($J1630=0,0,ROUND(MAX($J1630*1.4*1.5*1.6*1.6,13100000*(1.429962^(MIN($E1630,123)-117)))*1,0))</f>
        <v>749334</v>
      </c>
      <c r="S1630" s="6">
        <f>$E1630+8</f>
        <v>117</v>
      </c>
      <c r="T1630" s="7">
        <f>IF($J1630=0,0,ROUND(MAX($J1630*1.4*1.5*1.6*1.6*2.2,42600000*(1.576904^(MIN($E1630,123)-117)))*1,0))</f>
        <v>1114211</v>
      </c>
      <c r="U1630" s="4">
        <f>$E1630+11</f>
        <v>120</v>
      </c>
      <c r="V1630" s="8">
        <f>IF($J1630=0,0,ROUND(MAX($J1630*1.4*1.5*1.6*1.6*2.2*2.715,354000000*(1.642074^(MIN($E1630,123)-117)))*1,0))</f>
        <v>6696710</v>
      </c>
      <c r="W1630" s="6">
        <f>$E1630+15</f>
        <v>124</v>
      </c>
      <c r="X1630" s="7">
        <f>IF($J1630=0,0,ROUND(MAX($J1630*1.4*1.5*1.6*1.6*2.2*2.715*2.6,3540000000*(1.579646^(MIN($E1630,123)-117)))*1,0))</f>
        <v>91311418</v>
      </c>
      <c r="Y1630" s="4">
        <f>$E1630+17</f>
        <v>126</v>
      </c>
      <c r="Z1630" s="8">
        <f>IF($J1630=0,0,ROUND(MAX($J1630*1.4*1.5*1.6*1.6*2.2*2.715*2.6*1.4,6020000000*(1.651178^(MIN($E1630,123)-117)))*1,0))</f>
        <v>108954543</v>
      </c>
      <c r="AA1630" s="6">
        <f>$E1630+19</f>
        <v>128</v>
      </c>
      <c r="AB1630" s="7">
        <f>IF($J1630=0,0,ROUND(MAX($J1630*1.4*1.5*1.6*1.6*2.2*2.715*2.6*1.4*1.4,8430000000*(1.651435^(MIN($E1630,123)-117)))*1,0))</f>
        <v>152382712</v>
      </c>
      <c r="AC1630" s="4">
        <f>$E1630+21</f>
        <v>130</v>
      </c>
      <c r="AD1630" s="8">
        <f>IF($J1630=0,0,ROUND(MAX($J1630*1.4*1.5*1.6*1.6*2.2*2.715*2.6*1.4*1.4*1.5,12600000000*(1.652953^(MIN($E1630,123)-117)))*1,0))</f>
        <v>226092682</v>
      </c>
      <c r="AE1630" s="6">
        <f>$E1630+24</f>
        <v>133</v>
      </c>
      <c r="AF1630" s="7">
        <f>IF($J1630=0,0,ROUND(MAX($J1630*1.4*1.5*1.6*1.6*2.2*2.715*2.6*1.4*1.4*1.5*1.5,18900000000*(1.65331^(MIN($E1630,123)-117)))*1,0))</f>
        <v>338553621</v>
      </c>
      <c r="AG1630" s="4">
        <f>$E1630+27</f>
        <v>136</v>
      </c>
      <c r="AH1630" s="8">
        <f>IF($J1630=0,0,ROUND(MAX($J1630*1.4*1.5*1.6*1.6*2.2*2.715*2.6*1.4*1.4*1.5*1.5*3.2,60500000000*(1.654288^(MIN($E1630,123)-117)))*1,0))</f>
        <v>1078614909</v>
      </c>
    </row>
    <row r="1631" ht="27.75" customHeight="1" spans="1:34" x14ac:dyDescent="0.25">
      <c r="A1631" s="3">
        <v>1641</v>
      </c>
      <c r="B1631" s="3" t="s">
        <v>1160</v>
      </c>
      <c r="C1631" s="3" t="s">
        <v>1159</v>
      </c>
      <c r="D1631" s="3" t="s">
        <v>40</v>
      </c>
      <c r="E1631" s="3">
        <v>109</v>
      </c>
      <c r="F1631" s="3" t="s">
        <v>217</v>
      </c>
      <c r="G1631" s="3" t="s">
        <v>169</v>
      </c>
      <c r="H1631" s="3">
        <v>25</v>
      </c>
      <c r="I1631" s="4">
        <v>109</v>
      </c>
      <c r="J1631" s="5">
        <v>69300</v>
      </c>
      <c r="K1631" s="6">
        <f>$E1631+1</f>
        <v>110</v>
      </c>
      <c r="L1631" s="7">
        <f>IF($J1631=0,0,ROUND(MAX($J1631*1.4,1620000*(1.497923^(MIN($E1631,123)-117)))*1,0))</f>
        <v>97020</v>
      </c>
      <c r="M1631" s="4">
        <f>$E1631+2</f>
        <v>111</v>
      </c>
      <c r="N1631" s="8">
        <f>IF($J1631=0,0,ROUND(MAX($J1631*1.4*1.5,2190000*(1.580994^(MIN($E1631,123)-117)))*1,0))</f>
        <v>145530</v>
      </c>
      <c r="O1631" s="6">
        <f>$E1631+4</f>
        <v>113</v>
      </c>
      <c r="P1631" s="7">
        <f>IF($J1631=0,0,ROUND(MAX($J1631*1.4*1.5*1.6,3500000*(1.57975^(MIN($E1631,123)-117)))*1,0))</f>
        <v>232848</v>
      </c>
      <c r="Q1631" s="4">
        <f>$E1631+6</f>
        <v>115</v>
      </c>
      <c r="R1631" s="8">
        <f>IF($J1631=0,0,ROUND(MAX($J1631*1.4*1.5*1.6*1.6,13100000*(1.429962^(MIN($E1631,123)-117)))*1,0))</f>
        <v>749334</v>
      </c>
      <c r="S1631" s="6">
        <f>$E1631+8</f>
        <v>117</v>
      </c>
      <c r="T1631" s="7">
        <f>IF($J1631=0,0,ROUND(MAX($J1631*1.4*1.5*1.6*1.6*2.2,42600000*(1.576904^(MIN($E1631,123)-117)))*1,0))</f>
        <v>1114211</v>
      </c>
      <c r="U1631" s="4">
        <f>$E1631+11</f>
        <v>120</v>
      </c>
      <c r="V1631" s="8">
        <f>IF($J1631=0,0,ROUND(MAX($J1631*1.4*1.5*1.6*1.6*2.2*2.715,354000000*(1.642074^(MIN($E1631,123)-117)))*1,0))</f>
        <v>6696710</v>
      </c>
      <c r="W1631" s="6">
        <f>$E1631+15</f>
        <v>124</v>
      </c>
      <c r="X1631" s="7">
        <f>IF($J1631=0,0,ROUND(MAX($J1631*1.4*1.5*1.6*1.6*2.2*2.715*2.6,3540000000*(1.579646^(MIN($E1631,123)-117)))*1,0))</f>
        <v>91311418</v>
      </c>
      <c r="Y1631" s="4">
        <f>$E1631+17</f>
        <v>126</v>
      </c>
      <c r="Z1631" s="8">
        <f>IF($J1631=0,0,ROUND(MAX($J1631*1.4*1.5*1.6*1.6*2.2*2.715*2.6*1.4,6020000000*(1.651178^(MIN($E1631,123)-117)))*1,0))</f>
        <v>108954543</v>
      </c>
      <c r="AA1631" s="6">
        <f>$E1631+19</f>
        <v>128</v>
      </c>
      <c r="AB1631" s="7">
        <f>IF($J1631=0,0,ROUND(MAX($J1631*1.4*1.5*1.6*1.6*2.2*2.715*2.6*1.4*1.4,8430000000*(1.651435^(MIN($E1631,123)-117)))*1,0))</f>
        <v>152382712</v>
      </c>
      <c r="AC1631" s="4">
        <f>$E1631+21</f>
        <v>130</v>
      </c>
      <c r="AD1631" s="8">
        <f>IF($J1631=0,0,ROUND(MAX($J1631*1.4*1.5*1.6*1.6*2.2*2.715*2.6*1.4*1.4*1.5,12600000000*(1.652953^(MIN($E1631,123)-117)))*1,0))</f>
        <v>226092682</v>
      </c>
      <c r="AE1631" s="6">
        <f>$E1631+24</f>
        <v>133</v>
      </c>
      <c r="AF1631" s="7">
        <f>IF($J1631=0,0,ROUND(MAX($J1631*1.4*1.5*1.6*1.6*2.2*2.715*2.6*1.4*1.4*1.5*1.5,18900000000*(1.65331^(MIN($E1631,123)-117)))*1,0))</f>
        <v>338553621</v>
      </c>
      <c r="AG1631" s="4">
        <f>$E1631+27</f>
        <v>136</v>
      </c>
      <c r="AH1631" s="8">
        <f>IF($J1631=0,0,ROUND(MAX($J1631*1.4*1.5*1.6*1.6*2.2*2.715*2.6*1.4*1.4*1.5*1.5*3.2,60500000000*(1.654288^(MIN($E1631,123)-117)))*1,0))</f>
        <v>1078614909</v>
      </c>
    </row>
    <row r="1632" ht="27.75" customHeight="1" spans="1:34" x14ac:dyDescent="0.25">
      <c r="A1632" s="3">
        <v>1642</v>
      </c>
      <c r="B1632" s="3" t="s">
        <v>1161</v>
      </c>
      <c r="C1632" s="3" t="s">
        <v>1159</v>
      </c>
      <c r="D1632" s="3" t="s">
        <v>64</v>
      </c>
      <c r="E1632" s="3">
        <v>109</v>
      </c>
      <c r="F1632" s="3" t="s">
        <v>59</v>
      </c>
      <c r="G1632" s="3" t="s">
        <v>185</v>
      </c>
      <c r="H1632" s="3">
        <v>25</v>
      </c>
      <c r="I1632" s="4">
        <v>109</v>
      </c>
      <c r="J1632" s="5">
        <v>48400</v>
      </c>
      <c r="K1632" s="6">
        <f>$E1632+1</f>
        <v>110</v>
      </c>
      <c r="L1632" s="7">
        <f>IF($J1632=0,0,ROUND(MAX($J1632*1.4,1620000*(1.497923^(MIN($E1632,123)-117)))*1,0))</f>
        <v>67760</v>
      </c>
      <c r="M1632" s="4">
        <f>$E1632+2</f>
        <v>111</v>
      </c>
      <c r="N1632" s="8">
        <f>IF($J1632=0,0,ROUND(MAX($J1632*1.4*1.5,2190000*(1.580994^(MIN($E1632,123)-117)))*1,0))</f>
        <v>101640</v>
      </c>
      <c r="O1632" s="6">
        <f>$E1632+4</f>
        <v>113</v>
      </c>
      <c r="P1632" s="7">
        <f>IF($J1632=0,0,ROUND(MAX($J1632*1.4*1.5*1.6,3500000*(1.57975^(MIN($E1632,123)-117)))*1,0))</f>
        <v>162624</v>
      </c>
      <c r="Q1632" s="4">
        <f>$E1632+6</f>
        <v>115</v>
      </c>
      <c r="R1632" s="8">
        <f>IF($J1632=0,0,ROUND(MAX($J1632*1.4*1.5*1.6*1.6,13100000*(1.429962^(MIN($E1632,123)-117)))*1,0))</f>
        <v>749334</v>
      </c>
      <c r="S1632" s="6">
        <f>$E1632+8</f>
        <v>117</v>
      </c>
      <c r="T1632" s="7">
        <f>IF($J1632=0,0,ROUND(MAX($J1632*1.4*1.5*1.6*1.6*2.2,42600000*(1.576904^(MIN($E1632,123)-117)))*1,0))</f>
        <v>1114211</v>
      </c>
      <c r="U1632" s="4">
        <f>$E1632+11</f>
        <v>120</v>
      </c>
      <c r="V1632" s="8">
        <f>IF($J1632=0,0,ROUND(MAX($J1632*1.4*1.5*1.6*1.6*2.2*2.715,354000000*(1.642074^(MIN($E1632,123)-117)))*1,0))</f>
        <v>6696710</v>
      </c>
      <c r="W1632" s="6">
        <f>$E1632+15</f>
        <v>124</v>
      </c>
      <c r="X1632" s="7">
        <f>IF($J1632=0,0,ROUND(MAX($J1632*1.4*1.5*1.6*1.6*2.2*2.715*2.6,3540000000*(1.579646^(MIN($E1632,123)-117)))*1,0))</f>
        <v>91311418</v>
      </c>
      <c r="Y1632" s="4">
        <f>$E1632+17</f>
        <v>126</v>
      </c>
      <c r="Z1632" s="8">
        <f>IF($J1632=0,0,ROUND(MAX($J1632*1.4*1.5*1.6*1.6*2.2*2.715*2.6*1.4,6020000000*(1.651178^(MIN($E1632,123)-117)))*1,0))</f>
        <v>108954543</v>
      </c>
      <c r="AA1632" s="6">
        <f>$E1632+19</f>
        <v>128</v>
      </c>
      <c r="AB1632" s="7">
        <f>IF($J1632=0,0,ROUND(MAX($J1632*1.4*1.5*1.6*1.6*2.2*2.715*2.6*1.4*1.4,8430000000*(1.651435^(MIN($E1632,123)-117)))*1,0))</f>
        <v>152382712</v>
      </c>
      <c r="AC1632" s="4">
        <f>$E1632+21</f>
        <v>130</v>
      </c>
      <c r="AD1632" s="8">
        <f>IF($J1632=0,0,ROUND(MAX($J1632*1.4*1.5*1.6*1.6*2.2*2.715*2.6*1.4*1.4*1.5,12600000000*(1.652953^(MIN($E1632,123)-117)))*1,0))</f>
        <v>226092682</v>
      </c>
      <c r="AE1632" s="6">
        <f>$E1632+24</f>
        <v>133</v>
      </c>
      <c r="AF1632" s="7">
        <f>IF($J1632=0,0,ROUND(MAX($J1632*1.4*1.5*1.6*1.6*2.2*2.715*2.6*1.4*1.4*1.5*1.5,18900000000*(1.65331^(MIN($E1632,123)-117)))*1,0))</f>
        <v>338553621</v>
      </c>
      <c r="AG1632" s="4">
        <f>$E1632+27</f>
        <v>136</v>
      </c>
      <c r="AH1632" s="8">
        <f>IF($J1632=0,0,ROUND(MAX($J1632*1.4*1.5*1.6*1.6*2.2*2.715*2.6*1.4*1.4*1.5*1.5*3.2,60500000000*(1.654288^(MIN($E1632,123)-117)))*1,0))</f>
        <v>1078614909</v>
      </c>
    </row>
    <row r="1633" ht="27.75" customHeight="1" spans="1:34" x14ac:dyDescent="0.25">
      <c r="A1633" s="3">
        <v>1643</v>
      </c>
      <c r="B1633" s="3" t="s">
        <v>625</v>
      </c>
      <c r="C1633" s="3" t="s">
        <v>1159</v>
      </c>
      <c r="D1633" s="3" t="s">
        <v>47</v>
      </c>
      <c r="E1633" s="3">
        <v>109</v>
      </c>
      <c r="F1633" s="3" t="s">
        <v>30</v>
      </c>
      <c r="G1633" s="3" t="s">
        <v>133</v>
      </c>
      <c r="H1633" s="3">
        <v>22</v>
      </c>
      <c r="I1633" s="4">
        <v>109</v>
      </c>
      <c r="J1633" s="5">
        <v>72900</v>
      </c>
      <c r="K1633" s="6">
        <f>$E1633+1</f>
        <v>110</v>
      </c>
      <c r="L1633" s="7">
        <f>IF($J1633=0,0,ROUND(MAX($J1633*1.4,1620000*(1.497923^(MIN($E1633,123)-117)))*1,0))</f>
        <v>102060</v>
      </c>
      <c r="M1633" s="4">
        <f>$E1633+2</f>
        <v>111</v>
      </c>
      <c r="N1633" s="8">
        <f>IF($J1633=0,0,ROUND(MAX($J1633*1.4*1.5,2190000*(1.580994^(MIN($E1633,123)-117)))*1,0))</f>
        <v>153090</v>
      </c>
      <c r="O1633" s="6">
        <f>$E1633+4</f>
        <v>113</v>
      </c>
      <c r="P1633" s="7">
        <f>IF($J1633=0,0,ROUND(MAX($J1633*1.4*1.5*1.6,3500000*(1.57975^(MIN($E1633,123)-117)))*1,0))</f>
        <v>244944</v>
      </c>
      <c r="Q1633" s="4">
        <f>$E1633+6</f>
        <v>115</v>
      </c>
      <c r="R1633" s="8">
        <f>IF($J1633=0,0,ROUND(MAX($J1633*1.4*1.5*1.6*1.6,13100000*(1.429962^(MIN($E1633,123)-117)))*1,0))</f>
        <v>749334</v>
      </c>
      <c r="S1633" s="6">
        <f>$E1633+8</f>
        <v>117</v>
      </c>
      <c r="T1633" s="7">
        <f>IF($J1633=0,0,ROUND(MAX($J1633*1.4*1.5*1.6*1.6*2.2,42600000*(1.576904^(MIN($E1633,123)-117)))*1,0))</f>
        <v>1114211</v>
      </c>
      <c r="U1633" s="4">
        <f>$E1633+11</f>
        <v>120</v>
      </c>
      <c r="V1633" s="8">
        <f>IF($J1633=0,0,ROUND(MAX($J1633*1.4*1.5*1.6*1.6*2.2*2.715,354000000*(1.642074^(MIN($E1633,123)-117)))*1,0))</f>
        <v>6696710</v>
      </c>
      <c r="W1633" s="6">
        <f>$E1633+15</f>
        <v>124</v>
      </c>
      <c r="X1633" s="7">
        <f>IF($J1633=0,0,ROUND(MAX($J1633*1.4*1.5*1.6*1.6*2.2*2.715*2.6,3540000000*(1.579646^(MIN($E1633,123)-117)))*1,0))</f>
        <v>91311418</v>
      </c>
      <c r="Y1633" s="4">
        <f>$E1633+17</f>
        <v>126</v>
      </c>
      <c r="Z1633" s="8">
        <f>IF($J1633=0,0,ROUND(MAX($J1633*1.4*1.5*1.6*1.6*2.2*2.715*2.6*1.4,6020000000*(1.651178^(MIN($E1633,123)-117)))*1,0))</f>
        <v>108954543</v>
      </c>
      <c r="AA1633" s="6">
        <f>$E1633+19</f>
        <v>128</v>
      </c>
      <c r="AB1633" s="7">
        <f>IF($J1633=0,0,ROUND(MAX($J1633*1.4*1.5*1.6*1.6*2.2*2.715*2.6*1.4*1.4,8430000000*(1.651435^(MIN($E1633,123)-117)))*1,0))</f>
        <v>152382712</v>
      </c>
      <c r="AC1633" s="4">
        <f>$E1633+21</f>
        <v>130</v>
      </c>
      <c r="AD1633" s="8">
        <f>IF($J1633=0,0,ROUND(MAX($J1633*1.4*1.5*1.6*1.6*2.2*2.715*2.6*1.4*1.4*1.5,12600000000*(1.652953^(MIN($E1633,123)-117)))*1,0))</f>
        <v>226092682</v>
      </c>
      <c r="AE1633" s="6">
        <f>$E1633+24</f>
        <v>133</v>
      </c>
      <c r="AF1633" s="7">
        <f>IF($J1633=0,0,ROUND(MAX($J1633*1.4*1.5*1.6*1.6*2.2*2.715*2.6*1.4*1.4*1.5*1.5,18900000000*(1.65331^(MIN($E1633,123)-117)))*1,0))</f>
        <v>338553621</v>
      </c>
      <c r="AG1633" s="4">
        <f>$E1633+27</f>
        <v>136</v>
      </c>
      <c r="AH1633" s="8">
        <f>IF($J1633=0,0,ROUND(MAX($J1633*1.4*1.5*1.6*1.6*2.2*2.715*2.6*1.4*1.4*1.5*1.5*3.2,60500000000*(1.654288^(MIN($E1633,123)-117)))*1,0))</f>
        <v>1078614909</v>
      </c>
    </row>
    <row r="1634" ht="27.75" customHeight="1" spans="1:34" x14ac:dyDescent="0.25">
      <c r="A1634" s="3">
        <v>1644</v>
      </c>
      <c r="B1634" s="3" t="s">
        <v>304</v>
      </c>
      <c r="C1634" s="3" t="s">
        <v>1159</v>
      </c>
      <c r="D1634" s="3" t="s">
        <v>29</v>
      </c>
      <c r="E1634" s="3">
        <v>108</v>
      </c>
      <c r="F1634" s="3" t="s">
        <v>26</v>
      </c>
      <c r="G1634" s="3" t="s">
        <v>206</v>
      </c>
      <c r="H1634" s="3">
        <v>25</v>
      </c>
      <c r="I1634" s="4">
        <v>108</v>
      </c>
      <c r="J1634" s="5">
        <v>33800</v>
      </c>
      <c r="K1634" s="6">
        <f>$E1634+1</f>
        <v>109</v>
      </c>
      <c r="L1634" s="7">
        <f>IF($J1634=0,0,ROUND(MAX($J1634*1.4,1620000*(1.497923^(MIN($E1634,123)-117)))*1,0))</f>
        <v>47320</v>
      </c>
      <c r="M1634" s="4">
        <f>$E1634+2</f>
        <v>110</v>
      </c>
      <c r="N1634" s="8">
        <f>IF($J1634=0,0,ROUND(MAX($J1634*1.4*1.5,2190000*(1.580994^(MIN($E1634,123)-117)))*1,0))</f>
        <v>70980</v>
      </c>
      <c r="O1634" s="6">
        <f>$E1634+4</f>
        <v>112</v>
      </c>
      <c r="P1634" s="7">
        <f>IF($J1634=0,0,ROUND(MAX($J1634*1.4*1.5*1.6,3500000*(1.57975^(MIN($E1634,123)-117)))*1,0))</f>
        <v>113568</v>
      </c>
      <c r="Q1634" s="4">
        <f>$E1634+6</f>
        <v>114</v>
      </c>
      <c r="R1634" s="8">
        <f>IF($J1634=0,0,ROUND(MAX($J1634*1.4*1.5*1.6*1.6,13100000*(1.429962^(MIN($E1634,123)-117)))*1,0))</f>
        <v>524024</v>
      </c>
      <c r="S1634" s="6">
        <f>$E1634+8</f>
        <v>116</v>
      </c>
      <c r="T1634" s="7">
        <f>IF($J1634=0,0,ROUND(MAX($J1634*1.4*1.5*1.6*1.6*2.2,42600000*(1.576904^(MIN($E1634,123)-117)))*1,0))</f>
        <v>706582</v>
      </c>
      <c r="U1634" s="4">
        <f>$E1634+11</f>
        <v>119</v>
      </c>
      <c r="V1634" s="8">
        <f>IF($J1634=0,0,ROUND(MAX($J1634*1.4*1.5*1.6*1.6*2.2*2.715,354000000*(1.642074^(MIN($E1634,123)-117)))*1,0))</f>
        <v>4078202</v>
      </c>
      <c r="W1634" s="6">
        <f>$E1634+15</f>
        <v>123</v>
      </c>
      <c r="X1634" s="7">
        <f>IF($J1634=0,0,ROUND(MAX($J1634*1.4*1.5*1.6*1.6*2.2*2.715*2.6,3540000000*(1.579646^(MIN($E1634,123)-117)))*1,0))</f>
        <v>57804988</v>
      </c>
      <c r="Y1634" s="4">
        <f>$E1634+17</f>
        <v>125</v>
      </c>
      <c r="Z1634" s="8">
        <f>IF($J1634=0,0,ROUND(MAX($J1634*1.4*1.5*1.6*1.6*2.2*2.715*2.6*1.4,6020000000*(1.651178^(MIN($E1634,123)-117)))*1,0))</f>
        <v>65985946</v>
      </c>
      <c r="AA1634" s="6">
        <f>$E1634+19</f>
        <v>127</v>
      </c>
      <c r="AB1634" s="7">
        <f>IF($J1634=0,0,ROUND(MAX($J1634*1.4*1.5*1.6*1.6*2.2*2.715*2.6*1.4*1.4,8430000000*(1.651435^(MIN($E1634,123)-117)))*1,0))</f>
        <v>92272909</v>
      </c>
      <c r="AC1634" s="4">
        <f>$E1634+21</f>
        <v>129</v>
      </c>
      <c r="AD1634" s="8">
        <f>IF($J1634=0,0,ROUND(MAX($J1634*1.4*1.5*1.6*1.6*2.2*2.715*2.6*1.4*1.4*1.5,12600000000*(1.652953^(MIN($E1634,123)-117)))*1,0))</f>
        <v>136781071</v>
      </c>
      <c r="AE1634" s="6">
        <f>$E1634+24</f>
        <v>132</v>
      </c>
      <c r="AF1634" s="7">
        <f>IF($J1634=0,0,ROUND(MAX($J1634*1.4*1.5*1.6*1.6*2.2*2.715*2.6*1.4*1.4*1.5*1.5,18900000000*(1.65331^(MIN($E1634,123)-117)))*1,0))</f>
        <v>204773225</v>
      </c>
      <c r="AG1634" s="4">
        <f>$E1634+27</f>
        <v>135</v>
      </c>
      <c r="AH1634" s="8">
        <f>IF($J1634=0,0,ROUND(MAX($J1634*1.4*1.5*1.6*1.6*2.2*2.715*2.6*1.4*1.4*1.5*1.5*3.2,60500000000*(1.654288^(MIN($E1634,123)-117)))*1,0))</f>
        <v>652011566</v>
      </c>
    </row>
    <row r="1635" ht="27.75" customHeight="1" spans="1:34" x14ac:dyDescent="0.25">
      <c r="A1635" s="3">
        <v>1645</v>
      </c>
      <c r="B1635" s="3" t="s">
        <v>424</v>
      </c>
      <c r="C1635" s="3" t="s">
        <v>1159</v>
      </c>
      <c r="D1635" s="3" t="s">
        <v>40</v>
      </c>
      <c r="E1635" s="3">
        <v>108</v>
      </c>
      <c r="F1635" s="3" t="s">
        <v>341</v>
      </c>
      <c r="G1635" s="3" t="s">
        <v>425</v>
      </c>
      <c r="H1635" s="3">
        <v>25</v>
      </c>
      <c r="I1635" s="4">
        <v>108</v>
      </c>
      <c r="J1635" s="5">
        <v>40300</v>
      </c>
      <c r="K1635" s="6">
        <f>$E1635+1</f>
        <v>109</v>
      </c>
      <c r="L1635" s="7">
        <f>IF($J1635=0,0,ROUND(MAX($J1635*1.4,1620000*(1.497923^(MIN($E1635,123)-117)))*1,0))</f>
        <v>56420</v>
      </c>
      <c r="M1635" s="4">
        <f>$E1635+2</f>
        <v>110</v>
      </c>
      <c r="N1635" s="8">
        <f>IF($J1635=0,0,ROUND(MAX($J1635*1.4*1.5,2190000*(1.580994^(MIN($E1635,123)-117)))*1,0))</f>
        <v>84630</v>
      </c>
      <c r="O1635" s="6">
        <f>$E1635+4</f>
        <v>112</v>
      </c>
      <c r="P1635" s="7">
        <f>IF($J1635=0,0,ROUND(MAX($J1635*1.4*1.5*1.6,3500000*(1.57975^(MIN($E1635,123)-117)))*1,0))</f>
        <v>135408</v>
      </c>
      <c r="Q1635" s="4">
        <f>$E1635+6</f>
        <v>114</v>
      </c>
      <c r="R1635" s="8">
        <f>IF($J1635=0,0,ROUND(MAX($J1635*1.4*1.5*1.6*1.6,13100000*(1.429962^(MIN($E1635,123)-117)))*1,0))</f>
        <v>524024</v>
      </c>
      <c r="S1635" s="6">
        <f>$E1635+8</f>
        <v>116</v>
      </c>
      <c r="T1635" s="7">
        <f>IF($J1635=0,0,ROUND(MAX($J1635*1.4*1.5*1.6*1.6*2.2,42600000*(1.576904^(MIN($E1635,123)-117)))*1,0))</f>
        <v>706582</v>
      </c>
      <c r="U1635" s="4">
        <f>$E1635+11</f>
        <v>119</v>
      </c>
      <c r="V1635" s="8">
        <f>IF($J1635=0,0,ROUND(MAX($J1635*1.4*1.5*1.6*1.6*2.2*2.715,354000000*(1.642074^(MIN($E1635,123)-117)))*1,0))</f>
        <v>4078202</v>
      </c>
      <c r="W1635" s="6">
        <f>$E1635+15</f>
        <v>123</v>
      </c>
      <c r="X1635" s="7">
        <f>IF($J1635=0,0,ROUND(MAX($J1635*1.4*1.5*1.6*1.6*2.2*2.715*2.6,3540000000*(1.579646^(MIN($E1635,123)-117)))*1,0))</f>
        <v>57804988</v>
      </c>
      <c r="Y1635" s="4">
        <f>$E1635+17</f>
        <v>125</v>
      </c>
      <c r="Z1635" s="8">
        <f>IF($J1635=0,0,ROUND(MAX($J1635*1.4*1.5*1.6*1.6*2.2*2.715*2.6*1.4,6020000000*(1.651178^(MIN($E1635,123)-117)))*1,0))</f>
        <v>65985946</v>
      </c>
      <c r="AA1635" s="6">
        <f>$E1635+19</f>
        <v>127</v>
      </c>
      <c r="AB1635" s="7">
        <f>IF($J1635=0,0,ROUND(MAX($J1635*1.4*1.5*1.6*1.6*2.2*2.715*2.6*1.4*1.4,8430000000*(1.651435^(MIN($E1635,123)-117)))*1,0))</f>
        <v>92272909</v>
      </c>
      <c r="AC1635" s="4">
        <f>$E1635+21</f>
        <v>129</v>
      </c>
      <c r="AD1635" s="8">
        <f>IF($J1635=0,0,ROUND(MAX($J1635*1.4*1.5*1.6*1.6*2.2*2.715*2.6*1.4*1.4*1.5,12600000000*(1.652953^(MIN($E1635,123)-117)))*1,0))</f>
        <v>136781071</v>
      </c>
      <c r="AE1635" s="6">
        <f>$E1635+24</f>
        <v>132</v>
      </c>
      <c r="AF1635" s="7">
        <f>IF($J1635=0,0,ROUND(MAX($J1635*1.4*1.5*1.6*1.6*2.2*2.715*2.6*1.4*1.4*1.5*1.5,18900000000*(1.65331^(MIN($E1635,123)-117)))*1,0))</f>
        <v>204773225</v>
      </c>
      <c r="AG1635" s="4">
        <f>$E1635+27</f>
        <v>135</v>
      </c>
      <c r="AH1635" s="8">
        <f>IF($J1635=0,0,ROUND(MAX($J1635*1.4*1.5*1.6*1.6*2.2*2.715*2.6*1.4*1.4*1.5*1.5*3.2,60500000000*(1.654288^(MIN($E1635,123)-117)))*1,0))</f>
        <v>652011566</v>
      </c>
    </row>
    <row r="1636" ht="27.75" customHeight="1" spans="1:34" x14ac:dyDescent="0.25">
      <c r="A1636" s="3">
        <v>1646</v>
      </c>
      <c r="B1636" s="3" t="s">
        <v>685</v>
      </c>
      <c r="C1636" s="3" t="s">
        <v>1159</v>
      </c>
      <c r="D1636" s="3" t="s">
        <v>79</v>
      </c>
      <c r="E1636" s="3">
        <v>108</v>
      </c>
      <c r="F1636" s="3" t="s">
        <v>492</v>
      </c>
      <c r="G1636" s="3" t="s">
        <v>213</v>
      </c>
      <c r="H1636" s="3">
        <v>25</v>
      </c>
      <c r="I1636" s="4">
        <v>108</v>
      </c>
      <c r="J1636" s="5">
        <v>34400</v>
      </c>
      <c r="K1636" s="6">
        <f>$E1636+1</f>
        <v>109</v>
      </c>
      <c r="L1636" s="7">
        <f>IF($J1636=0,0,ROUND(MAX($J1636*1.4,1620000*(1.497923^(MIN($E1636,123)-117)))*1,0))</f>
        <v>48160</v>
      </c>
      <c r="M1636" s="4">
        <f>$E1636+2</f>
        <v>110</v>
      </c>
      <c r="N1636" s="8">
        <f>IF($J1636=0,0,ROUND(MAX($J1636*1.4*1.5,2190000*(1.580994^(MIN($E1636,123)-117)))*1,0))</f>
        <v>72240</v>
      </c>
      <c r="O1636" s="6">
        <f>$E1636+4</f>
        <v>112</v>
      </c>
      <c r="P1636" s="7">
        <f>IF($J1636=0,0,ROUND(MAX($J1636*1.4*1.5*1.6,3500000*(1.57975^(MIN($E1636,123)-117)))*1,0))</f>
        <v>115584</v>
      </c>
      <c r="Q1636" s="4">
        <f>$E1636+6</f>
        <v>114</v>
      </c>
      <c r="R1636" s="8">
        <f>IF($J1636=0,0,ROUND(MAX($J1636*1.4*1.5*1.6*1.6,13100000*(1.429962^(MIN($E1636,123)-117)))*1,0))</f>
        <v>524024</v>
      </c>
      <c r="S1636" s="6">
        <f>$E1636+8</f>
        <v>116</v>
      </c>
      <c r="T1636" s="7">
        <f>IF($J1636=0,0,ROUND(MAX($J1636*1.4*1.5*1.6*1.6*2.2,42600000*(1.576904^(MIN($E1636,123)-117)))*1,0))</f>
        <v>706582</v>
      </c>
      <c r="U1636" s="4">
        <f>$E1636+11</f>
        <v>119</v>
      </c>
      <c r="V1636" s="8">
        <f>IF($J1636=0,0,ROUND(MAX($J1636*1.4*1.5*1.6*1.6*2.2*2.715,354000000*(1.642074^(MIN($E1636,123)-117)))*1,0))</f>
        <v>4078202</v>
      </c>
      <c r="W1636" s="6">
        <f>$E1636+15</f>
        <v>123</v>
      </c>
      <c r="X1636" s="7">
        <f>IF($J1636=0,0,ROUND(MAX($J1636*1.4*1.5*1.6*1.6*2.2*2.715*2.6,3540000000*(1.579646^(MIN($E1636,123)-117)))*1,0))</f>
        <v>57804988</v>
      </c>
      <c r="Y1636" s="4">
        <f>$E1636+17</f>
        <v>125</v>
      </c>
      <c r="Z1636" s="8">
        <f>IF($J1636=0,0,ROUND(MAX($J1636*1.4*1.5*1.6*1.6*2.2*2.715*2.6*1.4,6020000000*(1.651178^(MIN($E1636,123)-117)))*1,0))</f>
        <v>65985946</v>
      </c>
      <c r="AA1636" s="6">
        <f>$E1636+19</f>
        <v>127</v>
      </c>
      <c r="AB1636" s="7">
        <f>IF($J1636=0,0,ROUND(MAX($J1636*1.4*1.5*1.6*1.6*2.2*2.715*2.6*1.4*1.4,8430000000*(1.651435^(MIN($E1636,123)-117)))*1,0))</f>
        <v>92272909</v>
      </c>
      <c r="AC1636" s="4">
        <f>$E1636+21</f>
        <v>129</v>
      </c>
      <c r="AD1636" s="8">
        <f>IF($J1636=0,0,ROUND(MAX($J1636*1.4*1.5*1.6*1.6*2.2*2.715*2.6*1.4*1.4*1.5,12600000000*(1.652953^(MIN($E1636,123)-117)))*1,0))</f>
        <v>136781071</v>
      </c>
      <c r="AE1636" s="6">
        <f>$E1636+24</f>
        <v>132</v>
      </c>
      <c r="AF1636" s="7">
        <f>IF($J1636=0,0,ROUND(MAX($J1636*1.4*1.5*1.6*1.6*2.2*2.715*2.6*1.4*1.4*1.5*1.5,18900000000*(1.65331^(MIN($E1636,123)-117)))*1,0))</f>
        <v>204773225</v>
      </c>
      <c r="AG1636" s="4">
        <f>$E1636+27</f>
        <v>135</v>
      </c>
      <c r="AH1636" s="8">
        <f>IF($J1636=0,0,ROUND(MAX($J1636*1.4*1.5*1.6*1.6*2.2*2.715*2.6*1.4*1.4*1.5*1.5*3.2,60500000000*(1.654288^(MIN($E1636,123)-117)))*1,0))</f>
        <v>652011566</v>
      </c>
    </row>
    <row r="1637" ht="27.75" customHeight="1" spans="1:34" x14ac:dyDescent="0.25">
      <c r="A1637" s="3">
        <v>1647</v>
      </c>
      <c r="B1637" s="3" t="s">
        <v>296</v>
      </c>
      <c r="C1637" s="3" t="s">
        <v>1159</v>
      </c>
      <c r="D1637" s="3" t="s">
        <v>47</v>
      </c>
      <c r="E1637" s="3">
        <v>108</v>
      </c>
      <c r="F1637" s="3" t="s">
        <v>62</v>
      </c>
      <c r="G1637" s="3" t="s">
        <v>185</v>
      </c>
      <c r="H1637" s="3">
        <v>22</v>
      </c>
      <c r="I1637" s="4">
        <v>108</v>
      </c>
      <c r="J1637" s="5">
        <v>113000</v>
      </c>
      <c r="K1637" s="6">
        <f>$E1637+1</f>
        <v>109</v>
      </c>
      <c r="L1637" s="7">
        <f>IF($J1637=0,0,ROUND(MAX($J1637*1.4,1620000*(1.497923^(MIN($E1637,123)-117)))*1,0))</f>
        <v>158200</v>
      </c>
      <c r="M1637" s="4">
        <f>$E1637+2</f>
        <v>110</v>
      </c>
      <c r="N1637" s="8">
        <f>IF($J1637=0,0,ROUND(MAX($J1637*1.4*1.5,2190000*(1.580994^(MIN($E1637,123)-117)))*1,0))</f>
        <v>237300</v>
      </c>
      <c r="O1637" s="6">
        <f>$E1637+4</f>
        <v>112</v>
      </c>
      <c r="P1637" s="7">
        <f>IF($J1637=0,0,ROUND(MAX($J1637*1.4*1.5*1.6,3500000*(1.57975^(MIN($E1637,123)-117)))*1,0))</f>
        <v>379680</v>
      </c>
      <c r="Q1637" s="4">
        <f>$E1637+6</f>
        <v>114</v>
      </c>
      <c r="R1637" s="8">
        <f>IF($J1637=0,0,ROUND(MAX($J1637*1.4*1.5*1.6*1.6,13100000*(1.429962^(MIN($E1637,123)-117)))*1,0))</f>
        <v>607488</v>
      </c>
      <c r="S1637" s="6">
        <f>$E1637+8</f>
        <v>116</v>
      </c>
      <c r="T1637" s="7">
        <f>IF($J1637=0,0,ROUND(MAX($J1637*1.4*1.5*1.6*1.6*2.2,42600000*(1.576904^(MIN($E1637,123)-117)))*1,0))</f>
        <v>1336474</v>
      </c>
      <c r="U1637" s="4">
        <f>$E1637+11</f>
        <v>119</v>
      </c>
      <c r="V1637" s="8">
        <f>IF($J1637=0,0,ROUND(MAX($J1637*1.4*1.5*1.6*1.6*2.2*2.715,354000000*(1.642074^(MIN($E1637,123)-117)))*1,0))</f>
        <v>4078202</v>
      </c>
      <c r="W1637" s="6">
        <f>$E1637+15</f>
        <v>123</v>
      </c>
      <c r="X1637" s="7">
        <f>IF($J1637=0,0,ROUND(MAX($J1637*1.4*1.5*1.6*1.6*2.2*2.715*2.6,3540000000*(1.579646^(MIN($E1637,123)-117)))*1,0))</f>
        <v>57804988</v>
      </c>
      <c r="Y1637" s="4">
        <f>$E1637+17</f>
        <v>125</v>
      </c>
      <c r="Z1637" s="8">
        <f>IF($J1637=0,0,ROUND(MAX($J1637*1.4*1.5*1.6*1.6*2.2*2.715*2.6*1.4,6020000000*(1.651178^(MIN($E1637,123)-117)))*1,0))</f>
        <v>65985946</v>
      </c>
      <c r="AA1637" s="6">
        <f>$E1637+19</f>
        <v>127</v>
      </c>
      <c r="AB1637" s="7">
        <f>IF($J1637=0,0,ROUND(MAX($J1637*1.4*1.5*1.6*1.6*2.2*2.715*2.6*1.4*1.4,8430000000*(1.651435^(MIN($E1637,123)-117)))*1,0))</f>
        <v>92272909</v>
      </c>
      <c r="AC1637" s="4">
        <f>$E1637+21</f>
        <v>129</v>
      </c>
      <c r="AD1637" s="8">
        <f>IF($J1637=0,0,ROUND(MAX($J1637*1.4*1.5*1.6*1.6*2.2*2.715*2.6*1.4*1.4*1.5,12600000000*(1.652953^(MIN($E1637,123)-117)))*1,0))</f>
        <v>136781071</v>
      </c>
      <c r="AE1637" s="6">
        <f>$E1637+24</f>
        <v>132</v>
      </c>
      <c r="AF1637" s="7">
        <f>IF($J1637=0,0,ROUND(MAX($J1637*1.4*1.5*1.6*1.6*2.2*2.715*2.6*1.4*1.4*1.5*1.5,18900000000*(1.65331^(MIN($E1637,123)-117)))*1,0))</f>
        <v>204773225</v>
      </c>
      <c r="AG1637" s="4">
        <f>$E1637+27</f>
        <v>135</v>
      </c>
      <c r="AH1637" s="8">
        <f>IF($J1637=0,0,ROUND(MAX($J1637*1.4*1.5*1.6*1.6*2.2*2.715*2.6*1.4*1.4*1.5*1.5*3.2,60500000000*(1.654288^(MIN($E1637,123)-117)))*1,0))</f>
        <v>652011566</v>
      </c>
    </row>
    <row r="1638" ht="27.75" customHeight="1" spans="1:34" x14ac:dyDescent="0.25">
      <c r="A1638" s="3">
        <v>1648</v>
      </c>
      <c r="B1638" s="3" t="s">
        <v>347</v>
      </c>
      <c r="C1638" s="3" t="s">
        <v>1159</v>
      </c>
      <c r="D1638" s="3" t="s">
        <v>79</v>
      </c>
      <c r="E1638" s="3">
        <v>107</v>
      </c>
      <c r="F1638" s="3" t="s">
        <v>123</v>
      </c>
      <c r="G1638" s="3" t="s">
        <v>342</v>
      </c>
      <c r="H1638" s="3">
        <v>25</v>
      </c>
      <c r="I1638" s="4">
        <v>107</v>
      </c>
      <c r="J1638" s="5">
        <v>42100</v>
      </c>
      <c r="K1638" s="6">
        <f>$E1638+1</f>
        <v>108</v>
      </c>
      <c r="L1638" s="7">
        <f>IF($J1638=0,0,ROUND(MAX($J1638*1.4,1620000*(1.497923^(MIN($E1638,123)-117)))*1,0))</f>
        <v>58940</v>
      </c>
      <c r="M1638" s="4">
        <f>$E1638+2</f>
        <v>109</v>
      </c>
      <c r="N1638" s="8">
        <f>IF($J1638=0,0,ROUND(MAX($J1638*1.4*1.5,2190000*(1.580994^(MIN($E1638,123)-117)))*1,0))</f>
        <v>88410</v>
      </c>
      <c r="O1638" s="6">
        <f>$E1638+4</f>
        <v>111</v>
      </c>
      <c r="P1638" s="7">
        <f>IF($J1638=0,0,ROUND(MAX($J1638*1.4*1.5*1.6,3500000*(1.57975^(MIN($E1638,123)-117)))*1,0))</f>
        <v>141456</v>
      </c>
      <c r="Q1638" s="4">
        <f>$E1638+6</f>
        <v>113</v>
      </c>
      <c r="R1638" s="8">
        <f>IF($J1638=0,0,ROUND(MAX($J1638*1.4*1.5*1.6*1.6,13100000*(1.429962^(MIN($E1638,123)-117)))*1,0))</f>
        <v>366460</v>
      </c>
      <c r="S1638" s="6">
        <f>$E1638+8</f>
        <v>115</v>
      </c>
      <c r="T1638" s="7">
        <f>IF($J1638=0,0,ROUND(MAX($J1638*1.4*1.5*1.6*1.6*2.2,42600000*(1.576904^(MIN($E1638,123)-117)))*1,0))</f>
        <v>497925</v>
      </c>
      <c r="U1638" s="4">
        <f>$E1638+11</f>
        <v>118</v>
      </c>
      <c r="V1638" s="8">
        <f>IF($J1638=0,0,ROUND(MAX($J1638*1.4*1.5*1.6*1.6*2.2*2.715,354000000*(1.642074^(MIN($E1638,123)-117)))*1,0))</f>
        <v>2483568</v>
      </c>
      <c r="W1638" s="6">
        <f>$E1638+15</f>
        <v>122</v>
      </c>
      <c r="X1638" s="7">
        <f>IF($J1638=0,0,ROUND(MAX($J1638*1.4*1.5*1.6*1.6*2.2*2.715*2.6,3540000000*(1.579646^(MIN($E1638,123)-117)))*1,0))</f>
        <v>36593634</v>
      </c>
      <c r="Y1638" s="4">
        <f>$E1638+17</f>
        <v>124</v>
      </c>
      <c r="Z1638" s="8">
        <f>IF($J1638=0,0,ROUND(MAX($J1638*1.4*1.5*1.6*1.6*2.2*2.715*2.6*1.4,6020000000*(1.651178^(MIN($E1638,123)-117)))*1,0))</f>
        <v>39962952</v>
      </c>
      <c r="AA1638" s="6">
        <f>$E1638+19</f>
        <v>126</v>
      </c>
      <c r="AB1638" s="7">
        <f>IF($J1638=0,0,ROUND(MAX($J1638*1.4*1.5*1.6*1.6*2.2*2.715*2.6*1.4*1.4,8430000000*(1.651435^(MIN($E1638,123)-117)))*1,0))</f>
        <v>55874381</v>
      </c>
      <c r="AC1638" s="4">
        <f>$E1638+21</f>
        <v>128</v>
      </c>
      <c r="AD1638" s="8">
        <f>IF($J1638=0,0,ROUND(MAX($J1638*1.4*1.5*1.6*1.6*2.2*2.715*2.6*1.4*1.4*1.5,12600000000*(1.652953^(MIN($E1638,123)-117)))*1,0))</f>
        <v>82749522</v>
      </c>
      <c r="AE1638" s="6">
        <f>$E1638+24</f>
        <v>131</v>
      </c>
      <c r="AF1638" s="7">
        <f>IF($J1638=0,0,ROUND(MAX($J1638*1.4*1.5*1.6*1.6*2.2*2.715*2.6*1.4*1.4*1.5*1.5,18900000000*(1.65331^(MIN($E1638,123)-117)))*1,0))</f>
        <v>123856521</v>
      </c>
      <c r="AG1638" s="4">
        <f>$E1638+27</f>
        <v>134</v>
      </c>
      <c r="AH1638" s="8">
        <f>IF($J1638=0,0,ROUND(MAX($J1638*1.4*1.5*1.6*1.6*2.2*2.715*2.6*1.4*1.4*1.5*1.5*3.2,60500000000*(1.654288^(MIN($E1638,123)-117)))*1,0))</f>
        <v>394134254</v>
      </c>
    </row>
    <row r="1639" ht="27.75" customHeight="1" spans="1:34" x14ac:dyDescent="0.25">
      <c r="A1639" s="3">
        <v>1649</v>
      </c>
      <c r="B1639" s="3" t="s">
        <v>588</v>
      </c>
      <c r="C1639" s="3" t="s">
        <v>1159</v>
      </c>
      <c r="D1639" s="3" t="s">
        <v>45</v>
      </c>
      <c r="E1639" s="3">
        <v>107</v>
      </c>
      <c r="F1639" s="3" t="s">
        <v>56</v>
      </c>
      <c r="G1639" s="3" t="s">
        <v>38</v>
      </c>
      <c r="H1639" s="3">
        <v>24</v>
      </c>
      <c r="I1639" s="4">
        <v>107</v>
      </c>
      <c r="J1639" s="5">
        <v>18600</v>
      </c>
      <c r="K1639" s="6">
        <f>$E1639+1</f>
        <v>108</v>
      </c>
      <c r="L1639" s="7">
        <f>IF($J1639=0,0,ROUND(MAX($J1639*1.4,1620000*(1.497923^(MIN($E1639,123)-117)))*1,0))</f>
        <v>28485</v>
      </c>
      <c r="M1639" s="4">
        <f>$E1639+2</f>
        <v>109</v>
      </c>
      <c r="N1639" s="8">
        <f>IF($J1639=0,0,ROUND(MAX($J1639*1.4*1.5,2190000*(1.580994^(MIN($E1639,123)-117)))*1,0))</f>
        <v>39060</v>
      </c>
      <c r="O1639" s="6">
        <f>$E1639+4</f>
        <v>111</v>
      </c>
      <c r="P1639" s="7">
        <f>IF($J1639=0,0,ROUND(MAX($J1639*1.4*1.5*1.6,3500000*(1.57975^(MIN($E1639,123)-117)))*1,0))</f>
        <v>62496</v>
      </c>
      <c r="Q1639" s="4">
        <f>$E1639+6</f>
        <v>113</v>
      </c>
      <c r="R1639" s="8">
        <f>IF($J1639=0,0,ROUND(MAX($J1639*1.4*1.5*1.6*1.6,13100000*(1.429962^(MIN($E1639,123)-117)))*1,0))</f>
        <v>366460</v>
      </c>
      <c r="S1639" s="6">
        <f>$E1639+8</f>
        <v>115</v>
      </c>
      <c r="T1639" s="7">
        <f>IF($J1639=0,0,ROUND(MAX($J1639*1.4*1.5*1.6*1.6*2.2,42600000*(1.576904^(MIN($E1639,123)-117)))*1,0))</f>
        <v>448082</v>
      </c>
      <c r="U1639" s="4">
        <f>$E1639+11</f>
        <v>118</v>
      </c>
      <c r="V1639" s="8">
        <f>IF($J1639=0,0,ROUND(MAX($J1639*1.4*1.5*1.6*1.6*2.2*2.715,354000000*(1.642074^(MIN($E1639,123)-117)))*1,0))</f>
        <v>2483568</v>
      </c>
      <c r="W1639" s="6">
        <f>$E1639+15</f>
        <v>122</v>
      </c>
      <c r="X1639" s="7">
        <f>IF($J1639=0,0,ROUND(MAX($J1639*1.4*1.5*1.6*1.6*2.2*2.715*2.6,3540000000*(1.579646^(MIN($E1639,123)-117)))*1,0))</f>
        <v>36593634</v>
      </c>
      <c r="Y1639" s="4">
        <f>$E1639+17</f>
        <v>124</v>
      </c>
      <c r="Z1639" s="8">
        <f>IF($J1639=0,0,ROUND(MAX($J1639*1.4*1.5*1.6*1.6*2.2*2.715*2.6*1.4,6020000000*(1.651178^(MIN($E1639,123)-117)))*1,0))</f>
        <v>39962952</v>
      </c>
      <c r="AA1639" s="6">
        <f>$E1639+19</f>
        <v>126</v>
      </c>
      <c r="AB1639" s="7">
        <f>IF($J1639=0,0,ROUND(MAX($J1639*1.4*1.5*1.6*1.6*2.2*2.715*2.6*1.4*1.4,8430000000*(1.651435^(MIN($E1639,123)-117)))*1,0))</f>
        <v>55874381</v>
      </c>
      <c r="AC1639" s="4">
        <f>$E1639+21</f>
        <v>128</v>
      </c>
      <c r="AD1639" s="8">
        <f>IF($J1639=0,0,ROUND(MAX($J1639*1.4*1.5*1.6*1.6*2.2*2.715*2.6*1.4*1.4*1.5,12600000000*(1.652953^(MIN($E1639,123)-117)))*1,0))</f>
        <v>82749522</v>
      </c>
      <c r="AE1639" s="6">
        <f>$E1639+24</f>
        <v>131</v>
      </c>
      <c r="AF1639" s="7">
        <f>IF($J1639=0,0,ROUND(MAX($J1639*1.4*1.5*1.6*1.6*2.2*2.715*2.6*1.4*1.4*1.5*1.5,18900000000*(1.65331^(MIN($E1639,123)-117)))*1,0))</f>
        <v>123856521</v>
      </c>
      <c r="AG1639" s="4">
        <f>$E1639+27</f>
        <v>134</v>
      </c>
      <c r="AH1639" s="8">
        <f>IF($J1639=0,0,ROUND(MAX($J1639*1.4*1.5*1.6*1.6*2.2*2.715*2.6*1.4*1.4*1.5*1.5*3.2,60500000000*(1.654288^(MIN($E1639,123)-117)))*1,0))</f>
        <v>394134254</v>
      </c>
    </row>
    <row r="1640" ht="27.75" customHeight="1" spans="1:34" x14ac:dyDescent="0.25">
      <c r="A1640" s="3">
        <v>1650</v>
      </c>
      <c r="B1640" s="3" t="s">
        <v>1162</v>
      </c>
      <c r="C1640" s="3" t="s">
        <v>1159</v>
      </c>
      <c r="D1640" s="3" t="s">
        <v>45</v>
      </c>
      <c r="E1640" s="3">
        <v>107</v>
      </c>
      <c r="F1640" s="3" t="s">
        <v>42</v>
      </c>
      <c r="G1640" s="3" t="s">
        <v>72</v>
      </c>
      <c r="H1640" s="3">
        <v>24</v>
      </c>
      <c r="I1640" s="4">
        <v>107</v>
      </c>
      <c r="J1640" s="5">
        <v>14600</v>
      </c>
      <c r="K1640" s="6">
        <f>$E1640+1</f>
        <v>108</v>
      </c>
      <c r="L1640" s="7">
        <f>IF($J1640=0,0,ROUND(MAX($J1640*1.4,1620000*(1.497923^(MIN($E1640,123)-117)))*1,0))</f>
        <v>28485</v>
      </c>
      <c r="M1640" s="4">
        <f>$E1640+2</f>
        <v>109</v>
      </c>
      <c r="N1640" s="8">
        <f>IF($J1640=0,0,ROUND(MAX($J1640*1.4*1.5,2190000*(1.580994^(MIN($E1640,123)-117)))*1,0))</f>
        <v>30660</v>
      </c>
      <c r="O1640" s="6">
        <f>$E1640+4</f>
        <v>111</v>
      </c>
      <c r="P1640" s="7">
        <f>IF($J1640=0,0,ROUND(MAX($J1640*1.4*1.5*1.6,3500000*(1.57975^(MIN($E1640,123)-117)))*1,0))</f>
        <v>49056</v>
      </c>
      <c r="Q1640" s="4">
        <f>$E1640+6</f>
        <v>113</v>
      </c>
      <c r="R1640" s="8">
        <f>IF($J1640=0,0,ROUND(MAX($J1640*1.4*1.5*1.6*1.6,13100000*(1.429962^(MIN($E1640,123)-117)))*1,0))</f>
        <v>366460</v>
      </c>
      <c r="S1640" s="6">
        <f>$E1640+8</f>
        <v>115</v>
      </c>
      <c r="T1640" s="7">
        <f>IF($J1640=0,0,ROUND(MAX($J1640*1.4*1.5*1.6*1.6*2.2,42600000*(1.576904^(MIN($E1640,123)-117)))*1,0))</f>
        <v>448082</v>
      </c>
      <c r="U1640" s="4">
        <f>$E1640+11</f>
        <v>118</v>
      </c>
      <c r="V1640" s="8">
        <f>IF($J1640=0,0,ROUND(MAX($J1640*1.4*1.5*1.6*1.6*2.2*2.715,354000000*(1.642074^(MIN($E1640,123)-117)))*1,0))</f>
        <v>2483568</v>
      </c>
      <c r="W1640" s="6">
        <f>$E1640+15</f>
        <v>122</v>
      </c>
      <c r="X1640" s="7">
        <f>IF($J1640=0,0,ROUND(MAX($J1640*1.4*1.5*1.6*1.6*2.2*2.715*2.6,3540000000*(1.579646^(MIN($E1640,123)-117)))*1,0))</f>
        <v>36593634</v>
      </c>
      <c r="Y1640" s="4">
        <f>$E1640+17</f>
        <v>124</v>
      </c>
      <c r="Z1640" s="8">
        <f>IF($J1640=0,0,ROUND(MAX($J1640*1.4*1.5*1.6*1.6*2.2*2.715*2.6*1.4,6020000000*(1.651178^(MIN($E1640,123)-117)))*1,0))</f>
        <v>39962952</v>
      </c>
      <c r="AA1640" s="6">
        <f>$E1640+19</f>
        <v>126</v>
      </c>
      <c r="AB1640" s="7">
        <f>IF($J1640=0,0,ROUND(MAX($J1640*1.4*1.5*1.6*1.6*2.2*2.715*2.6*1.4*1.4,8430000000*(1.651435^(MIN($E1640,123)-117)))*1,0))</f>
        <v>55874381</v>
      </c>
      <c r="AC1640" s="4">
        <f>$E1640+21</f>
        <v>128</v>
      </c>
      <c r="AD1640" s="8">
        <f>IF($J1640=0,0,ROUND(MAX($J1640*1.4*1.5*1.6*1.6*2.2*2.715*2.6*1.4*1.4*1.5,12600000000*(1.652953^(MIN($E1640,123)-117)))*1,0))</f>
        <v>82749522</v>
      </c>
      <c r="AE1640" s="6">
        <f>$E1640+24</f>
        <v>131</v>
      </c>
      <c r="AF1640" s="7">
        <f>IF($J1640=0,0,ROUND(MAX($J1640*1.4*1.5*1.6*1.6*2.2*2.715*2.6*1.4*1.4*1.5*1.5,18900000000*(1.65331^(MIN($E1640,123)-117)))*1,0))</f>
        <v>123856521</v>
      </c>
      <c r="AG1640" s="4">
        <f>$E1640+27</f>
        <v>134</v>
      </c>
      <c r="AH1640" s="8">
        <f>IF($J1640=0,0,ROUND(MAX($J1640*1.4*1.5*1.6*1.6*2.2*2.715*2.6*1.4*1.4*1.5*1.5*3.2,60500000000*(1.654288^(MIN($E1640,123)-117)))*1,0))</f>
        <v>394134254</v>
      </c>
    </row>
    <row r="1641" ht="27.75" customHeight="1" spans="1:34" x14ac:dyDescent="0.25">
      <c r="A1641" s="3">
        <v>1651</v>
      </c>
      <c r="B1641" s="3" t="s">
        <v>835</v>
      </c>
      <c r="C1641" s="3" t="s">
        <v>1159</v>
      </c>
      <c r="D1641" s="3" t="s">
        <v>79</v>
      </c>
      <c r="E1641" s="3">
        <v>107</v>
      </c>
      <c r="F1641" s="3" t="s">
        <v>56</v>
      </c>
      <c r="G1641" s="3" t="s">
        <v>392</v>
      </c>
      <c r="H1641" s="3">
        <v>24</v>
      </c>
      <c r="I1641" s="4">
        <v>107</v>
      </c>
      <c r="J1641" s="5">
        <v>49700</v>
      </c>
      <c r="K1641" s="6">
        <f>$E1641+1</f>
        <v>108</v>
      </c>
      <c r="L1641" s="7">
        <f>IF($J1641=0,0,ROUND(MAX($J1641*1.4,1620000*(1.497923^(MIN($E1641,123)-117)))*1,0))</f>
        <v>69580</v>
      </c>
      <c r="M1641" s="4">
        <f>$E1641+2</f>
        <v>109</v>
      </c>
      <c r="N1641" s="8">
        <f>IF($J1641=0,0,ROUND(MAX($J1641*1.4*1.5,2190000*(1.580994^(MIN($E1641,123)-117)))*1,0))</f>
        <v>104370</v>
      </c>
      <c r="O1641" s="6">
        <f>$E1641+4</f>
        <v>111</v>
      </c>
      <c r="P1641" s="7">
        <f>IF($J1641=0,0,ROUND(MAX($J1641*1.4*1.5*1.6,3500000*(1.57975^(MIN($E1641,123)-117)))*1,0))</f>
        <v>166992</v>
      </c>
      <c r="Q1641" s="4">
        <f>$E1641+6</f>
        <v>113</v>
      </c>
      <c r="R1641" s="8">
        <f>IF($J1641=0,0,ROUND(MAX($J1641*1.4*1.5*1.6*1.6,13100000*(1.429962^(MIN($E1641,123)-117)))*1,0))</f>
        <v>366460</v>
      </c>
      <c r="S1641" s="6">
        <f>$E1641+8</f>
        <v>115</v>
      </c>
      <c r="T1641" s="7">
        <f>IF($J1641=0,0,ROUND(MAX($J1641*1.4*1.5*1.6*1.6*2.2,42600000*(1.576904^(MIN($E1641,123)-117)))*1,0))</f>
        <v>587812</v>
      </c>
      <c r="U1641" s="4">
        <f>$E1641+11</f>
        <v>118</v>
      </c>
      <c r="V1641" s="8">
        <f>IF($J1641=0,0,ROUND(MAX($J1641*1.4*1.5*1.6*1.6*2.2*2.715,354000000*(1.642074^(MIN($E1641,123)-117)))*1,0))</f>
        <v>2483568</v>
      </c>
      <c r="W1641" s="6">
        <f>$E1641+15</f>
        <v>122</v>
      </c>
      <c r="X1641" s="7">
        <f>IF($J1641=0,0,ROUND(MAX($J1641*1.4*1.5*1.6*1.6*2.2*2.715*2.6,3540000000*(1.579646^(MIN($E1641,123)-117)))*1,0))</f>
        <v>36593634</v>
      </c>
      <c r="Y1641" s="4">
        <f>$E1641+17</f>
        <v>124</v>
      </c>
      <c r="Z1641" s="8">
        <f>IF($J1641=0,0,ROUND(MAX($J1641*1.4*1.5*1.6*1.6*2.2*2.715*2.6*1.4,6020000000*(1.651178^(MIN($E1641,123)-117)))*1,0))</f>
        <v>39962952</v>
      </c>
      <c r="AA1641" s="6">
        <f>$E1641+19</f>
        <v>126</v>
      </c>
      <c r="AB1641" s="7">
        <f>IF($J1641=0,0,ROUND(MAX($J1641*1.4*1.5*1.6*1.6*2.2*2.715*2.6*1.4*1.4,8430000000*(1.651435^(MIN($E1641,123)-117)))*1,0))</f>
        <v>55874381</v>
      </c>
      <c r="AC1641" s="4">
        <f>$E1641+21</f>
        <v>128</v>
      </c>
      <c r="AD1641" s="8">
        <f>IF($J1641=0,0,ROUND(MAX($J1641*1.4*1.5*1.6*1.6*2.2*2.715*2.6*1.4*1.4*1.5,12600000000*(1.652953^(MIN($E1641,123)-117)))*1,0))</f>
        <v>82749522</v>
      </c>
      <c r="AE1641" s="6">
        <f>$E1641+24</f>
        <v>131</v>
      </c>
      <c r="AF1641" s="7">
        <f>IF($J1641=0,0,ROUND(MAX($J1641*1.4*1.5*1.6*1.6*2.2*2.715*2.6*1.4*1.4*1.5*1.5,18900000000*(1.65331^(MIN($E1641,123)-117)))*1,0))</f>
        <v>123856521</v>
      </c>
      <c r="AG1641" s="4">
        <f>$E1641+27</f>
        <v>134</v>
      </c>
      <c r="AH1641" s="8">
        <f>IF($J1641=0,0,ROUND(MAX($J1641*1.4*1.5*1.6*1.6*2.2*2.715*2.6*1.4*1.4*1.5*1.5*3.2,60500000000*(1.654288^(MIN($E1641,123)-117)))*1,0))</f>
        <v>394134254</v>
      </c>
    </row>
    <row r="1642" ht="27.75" customHeight="1" spans="1:34" x14ac:dyDescent="0.25">
      <c r="A1642" s="3">
        <v>1652</v>
      </c>
      <c r="B1642" s="3" t="s">
        <v>778</v>
      </c>
      <c r="C1642" s="3" t="s">
        <v>1159</v>
      </c>
      <c r="D1642" s="3" t="s">
        <v>25</v>
      </c>
      <c r="E1642" s="3">
        <v>107</v>
      </c>
      <c r="F1642" s="3" t="s">
        <v>71</v>
      </c>
      <c r="G1642" s="3" t="s">
        <v>329</v>
      </c>
      <c r="H1642" s="3">
        <v>24</v>
      </c>
      <c r="I1642" s="4">
        <v>107</v>
      </c>
      <c r="J1642" s="5">
        <v>50300</v>
      </c>
      <c r="K1642" s="6">
        <f>$E1642+1</f>
        <v>108</v>
      </c>
      <c r="L1642" s="7">
        <f>IF($J1642=0,0,ROUND(MAX($J1642*1.4,1620000*(1.497923^(MIN($E1642,123)-117)))*1,0))</f>
        <v>70420</v>
      </c>
      <c r="M1642" s="4">
        <f>$E1642+2</f>
        <v>109</v>
      </c>
      <c r="N1642" s="8">
        <f>IF($J1642=0,0,ROUND(MAX($J1642*1.4*1.5,2190000*(1.580994^(MIN($E1642,123)-117)))*1,0))</f>
        <v>105630</v>
      </c>
      <c r="O1642" s="6">
        <f>$E1642+4</f>
        <v>111</v>
      </c>
      <c r="P1642" s="7">
        <f>IF($J1642=0,0,ROUND(MAX($J1642*1.4*1.5*1.6,3500000*(1.57975^(MIN($E1642,123)-117)))*1,0))</f>
        <v>169008</v>
      </c>
      <c r="Q1642" s="4">
        <f>$E1642+6</f>
        <v>113</v>
      </c>
      <c r="R1642" s="8">
        <f>IF($J1642=0,0,ROUND(MAX($J1642*1.4*1.5*1.6*1.6,13100000*(1.429962^(MIN($E1642,123)-117)))*1,0))</f>
        <v>366460</v>
      </c>
      <c r="S1642" s="6">
        <f>$E1642+8</f>
        <v>115</v>
      </c>
      <c r="T1642" s="7">
        <f>IF($J1642=0,0,ROUND(MAX($J1642*1.4*1.5*1.6*1.6*2.2,42600000*(1.576904^(MIN($E1642,123)-117)))*1,0))</f>
        <v>594908</v>
      </c>
      <c r="U1642" s="4">
        <f>$E1642+11</f>
        <v>118</v>
      </c>
      <c r="V1642" s="8">
        <f>IF($J1642=0,0,ROUND(MAX($J1642*1.4*1.5*1.6*1.6*2.2*2.715,354000000*(1.642074^(MIN($E1642,123)-117)))*1,0))</f>
        <v>2483568</v>
      </c>
      <c r="W1642" s="6">
        <f>$E1642+15</f>
        <v>122</v>
      </c>
      <c r="X1642" s="7">
        <f>IF($J1642=0,0,ROUND(MAX($J1642*1.4*1.5*1.6*1.6*2.2*2.715*2.6,3540000000*(1.579646^(MIN($E1642,123)-117)))*1,0))</f>
        <v>36593634</v>
      </c>
      <c r="Y1642" s="4">
        <f>$E1642+17</f>
        <v>124</v>
      </c>
      <c r="Z1642" s="8">
        <f>IF($J1642=0,0,ROUND(MAX($J1642*1.4*1.5*1.6*1.6*2.2*2.715*2.6*1.4,6020000000*(1.651178^(MIN($E1642,123)-117)))*1,0))</f>
        <v>39962952</v>
      </c>
      <c r="AA1642" s="6">
        <f>$E1642+19</f>
        <v>126</v>
      </c>
      <c r="AB1642" s="7">
        <f>IF($J1642=0,0,ROUND(MAX($J1642*1.4*1.5*1.6*1.6*2.2*2.715*2.6*1.4*1.4,8430000000*(1.651435^(MIN($E1642,123)-117)))*1,0))</f>
        <v>55874381</v>
      </c>
      <c r="AC1642" s="4">
        <f>$E1642+21</f>
        <v>128</v>
      </c>
      <c r="AD1642" s="8">
        <f>IF($J1642=0,0,ROUND(MAX($J1642*1.4*1.5*1.6*1.6*2.2*2.715*2.6*1.4*1.4*1.5,12600000000*(1.652953^(MIN($E1642,123)-117)))*1,0))</f>
        <v>82749522</v>
      </c>
      <c r="AE1642" s="6">
        <f>$E1642+24</f>
        <v>131</v>
      </c>
      <c r="AF1642" s="7">
        <f>IF($J1642=0,0,ROUND(MAX($J1642*1.4*1.5*1.6*1.6*2.2*2.715*2.6*1.4*1.4*1.5*1.5,18900000000*(1.65331^(MIN($E1642,123)-117)))*1,0))</f>
        <v>123856521</v>
      </c>
      <c r="AG1642" s="4">
        <f>$E1642+27</f>
        <v>134</v>
      </c>
      <c r="AH1642" s="8">
        <f>IF($J1642=0,0,ROUND(MAX($J1642*1.4*1.5*1.6*1.6*2.2*2.715*2.6*1.4*1.4*1.5*1.5*3.2,60500000000*(1.654288^(MIN($E1642,123)-117)))*1,0))</f>
        <v>394134254</v>
      </c>
    </row>
    <row r="1643" ht="27.75" customHeight="1" spans="1:34" x14ac:dyDescent="0.25">
      <c r="A1643" s="3">
        <v>1653</v>
      </c>
      <c r="B1643" s="3" t="s">
        <v>694</v>
      </c>
      <c r="C1643" s="3" t="s">
        <v>1159</v>
      </c>
      <c r="D1643" s="3" t="s">
        <v>102</v>
      </c>
      <c r="E1643" s="3">
        <v>107</v>
      </c>
      <c r="F1643" s="3" t="s">
        <v>71</v>
      </c>
      <c r="G1643" s="3" t="s">
        <v>270</v>
      </c>
      <c r="H1643" s="3">
        <v>24</v>
      </c>
      <c r="I1643" s="4">
        <v>107</v>
      </c>
      <c r="J1643" s="5">
        <v>28500</v>
      </c>
      <c r="K1643" s="6">
        <f>$E1643+1</f>
        <v>108</v>
      </c>
      <c r="L1643" s="7">
        <f>IF($J1643=0,0,ROUND(MAX($J1643*1.4,1620000*(1.497923^(MIN($E1643,123)-117)))*1,0))</f>
        <v>39900</v>
      </c>
      <c r="M1643" s="4">
        <f>$E1643+2</f>
        <v>109</v>
      </c>
      <c r="N1643" s="8">
        <f>IF($J1643=0,0,ROUND(MAX($J1643*1.4*1.5,2190000*(1.580994^(MIN($E1643,123)-117)))*1,0))</f>
        <v>59850</v>
      </c>
      <c r="O1643" s="6">
        <f>$E1643+4</f>
        <v>111</v>
      </c>
      <c r="P1643" s="7">
        <f>IF($J1643=0,0,ROUND(MAX($J1643*1.4*1.5*1.6,3500000*(1.57975^(MIN($E1643,123)-117)))*1,0))</f>
        <v>95760</v>
      </c>
      <c r="Q1643" s="4">
        <f>$E1643+6</f>
        <v>113</v>
      </c>
      <c r="R1643" s="8">
        <f>IF($J1643=0,0,ROUND(MAX($J1643*1.4*1.5*1.6*1.6,13100000*(1.429962^(MIN($E1643,123)-117)))*1,0))</f>
        <v>366460</v>
      </c>
      <c r="S1643" s="6">
        <f>$E1643+8</f>
        <v>115</v>
      </c>
      <c r="T1643" s="7">
        <f>IF($J1643=0,0,ROUND(MAX($J1643*1.4*1.5*1.6*1.6*2.2,42600000*(1.576904^(MIN($E1643,123)-117)))*1,0))</f>
        <v>448082</v>
      </c>
      <c r="U1643" s="4">
        <f>$E1643+11</f>
        <v>118</v>
      </c>
      <c r="V1643" s="8">
        <f>IF($J1643=0,0,ROUND(MAX($J1643*1.4*1.5*1.6*1.6*2.2*2.715,354000000*(1.642074^(MIN($E1643,123)-117)))*1,0))</f>
        <v>2483568</v>
      </c>
      <c r="W1643" s="6">
        <f>$E1643+15</f>
        <v>122</v>
      </c>
      <c r="X1643" s="7">
        <f>IF($J1643=0,0,ROUND(MAX($J1643*1.4*1.5*1.6*1.6*2.2*2.715*2.6,3540000000*(1.579646^(MIN($E1643,123)-117)))*1,0))</f>
        <v>36593634</v>
      </c>
      <c r="Y1643" s="4">
        <f>$E1643+17</f>
        <v>124</v>
      </c>
      <c r="Z1643" s="8">
        <f>IF($J1643=0,0,ROUND(MAX($J1643*1.4*1.5*1.6*1.6*2.2*2.715*2.6*1.4,6020000000*(1.651178^(MIN($E1643,123)-117)))*1,0))</f>
        <v>39962952</v>
      </c>
      <c r="AA1643" s="6">
        <f>$E1643+19</f>
        <v>126</v>
      </c>
      <c r="AB1643" s="7">
        <f>IF($J1643=0,0,ROUND(MAX($J1643*1.4*1.5*1.6*1.6*2.2*2.715*2.6*1.4*1.4,8430000000*(1.651435^(MIN($E1643,123)-117)))*1,0))</f>
        <v>55874381</v>
      </c>
      <c r="AC1643" s="4">
        <f>$E1643+21</f>
        <v>128</v>
      </c>
      <c r="AD1643" s="8">
        <f>IF($J1643=0,0,ROUND(MAX($J1643*1.4*1.5*1.6*1.6*2.2*2.715*2.6*1.4*1.4*1.5,12600000000*(1.652953^(MIN($E1643,123)-117)))*1,0))</f>
        <v>82749522</v>
      </c>
      <c r="AE1643" s="6">
        <f>$E1643+24</f>
        <v>131</v>
      </c>
      <c r="AF1643" s="7">
        <f>IF($J1643=0,0,ROUND(MAX($J1643*1.4*1.5*1.6*1.6*2.2*2.715*2.6*1.4*1.4*1.5*1.5,18900000000*(1.65331^(MIN($E1643,123)-117)))*1,0))</f>
        <v>123856521</v>
      </c>
      <c r="AG1643" s="4">
        <f>$E1643+27</f>
        <v>134</v>
      </c>
      <c r="AH1643" s="8">
        <f>IF($J1643=0,0,ROUND(MAX($J1643*1.4*1.5*1.6*1.6*2.2*2.715*2.6*1.4*1.4*1.5*1.5*3.2,60500000000*(1.654288^(MIN($E1643,123)-117)))*1,0))</f>
        <v>394134254</v>
      </c>
    </row>
    <row r="1644" ht="27.75" customHeight="1" spans="1:34" x14ac:dyDescent="0.25">
      <c r="A1644" s="3">
        <v>1654</v>
      </c>
      <c r="B1644" s="3" t="s">
        <v>288</v>
      </c>
      <c r="C1644" s="3" t="s">
        <v>1159</v>
      </c>
      <c r="D1644" s="3" t="s">
        <v>102</v>
      </c>
      <c r="E1644" s="3">
        <v>107</v>
      </c>
      <c r="F1644" s="3" t="s">
        <v>30</v>
      </c>
      <c r="G1644" s="3" t="s">
        <v>57</v>
      </c>
      <c r="H1644" s="3">
        <v>23</v>
      </c>
      <c r="I1644" s="4">
        <v>107</v>
      </c>
      <c r="J1644" s="5">
        <v>47500</v>
      </c>
      <c r="K1644" s="6">
        <f>$E1644+1</f>
        <v>108</v>
      </c>
      <c r="L1644" s="7">
        <f>IF($J1644=0,0,ROUND(MAX($J1644*1.4,1620000*(1.497923^(MIN($E1644,123)-117)))*1,0))</f>
        <v>66500</v>
      </c>
      <c r="M1644" s="4">
        <f>$E1644+2</f>
        <v>109</v>
      </c>
      <c r="N1644" s="8">
        <f>IF($J1644=0,0,ROUND(MAX($J1644*1.4*1.5,2190000*(1.580994^(MIN($E1644,123)-117)))*1,0))</f>
        <v>99750</v>
      </c>
      <c r="O1644" s="6">
        <f>$E1644+4</f>
        <v>111</v>
      </c>
      <c r="P1644" s="7">
        <f>IF($J1644=0,0,ROUND(MAX($J1644*1.4*1.5*1.6,3500000*(1.57975^(MIN($E1644,123)-117)))*1,0))</f>
        <v>159600</v>
      </c>
      <c r="Q1644" s="4">
        <f>$E1644+6</f>
        <v>113</v>
      </c>
      <c r="R1644" s="8">
        <f>IF($J1644=0,0,ROUND(MAX($J1644*1.4*1.5*1.6*1.6,13100000*(1.429962^(MIN($E1644,123)-117)))*1,0))</f>
        <v>366460</v>
      </c>
      <c r="S1644" s="6">
        <f>$E1644+8</f>
        <v>115</v>
      </c>
      <c r="T1644" s="7">
        <f>IF($J1644=0,0,ROUND(MAX($J1644*1.4*1.5*1.6*1.6*2.2,42600000*(1.576904^(MIN($E1644,123)-117)))*1,0))</f>
        <v>561792</v>
      </c>
      <c r="U1644" s="4">
        <f>$E1644+11</f>
        <v>118</v>
      </c>
      <c r="V1644" s="8">
        <f>IF($J1644=0,0,ROUND(MAX($J1644*1.4*1.5*1.6*1.6*2.2*2.715,354000000*(1.642074^(MIN($E1644,123)-117)))*1,0))</f>
        <v>2483568</v>
      </c>
      <c r="W1644" s="6">
        <f>$E1644+15</f>
        <v>122</v>
      </c>
      <c r="X1644" s="7">
        <f>IF($J1644=0,0,ROUND(MAX($J1644*1.4*1.5*1.6*1.6*2.2*2.715*2.6,3540000000*(1.579646^(MIN($E1644,123)-117)))*1,0))</f>
        <v>36593634</v>
      </c>
      <c r="Y1644" s="4">
        <f>$E1644+17</f>
        <v>124</v>
      </c>
      <c r="Z1644" s="8">
        <f>IF($J1644=0,0,ROUND(MAX($J1644*1.4*1.5*1.6*1.6*2.2*2.715*2.6*1.4,6020000000*(1.651178^(MIN($E1644,123)-117)))*1,0))</f>
        <v>39962952</v>
      </c>
      <c r="AA1644" s="6">
        <f>$E1644+19</f>
        <v>126</v>
      </c>
      <c r="AB1644" s="7">
        <f>IF($J1644=0,0,ROUND(MAX($J1644*1.4*1.5*1.6*1.6*2.2*2.715*2.6*1.4*1.4,8430000000*(1.651435^(MIN($E1644,123)-117)))*1,0))</f>
        <v>55874381</v>
      </c>
      <c r="AC1644" s="4">
        <f>$E1644+21</f>
        <v>128</v>
      </c>
      <c r="AD1644" s="8">
        <f>IF($J1644=0,0,ROUND(MAX($J1644*1.4*1.5*1.6*1.6*2.2*2.715*2.6*1.4*1.4*1.5,12600000000*(1.652953^(MIN($E1644,123)-117)))*1,0))</f>
        <v>82749522</v>
      </c>
      <c r="AE1644" s="6">
        <f>$E1644+24</f>
        <v>131</v>
      </c>
      <c r="AF1644" s="7">
        <f>IF($J1644=0,0,ROUND(MAX($J1644*1.4*1.5*1.6*1.6*2.2*2.715*2.6*1.4*1.4*1.5*1.5,18900000000*(1.65331^(MIN($E1644,123)-117)))*1,0))</f>
        <v>123856521</v>
      </c>
      <c r="AG1644" s="4">
        <f>$E1644+27</f>
        <v>134</v>
      </c>
      <c r="AH1644" s="8">
        <f>IF($J1644=0,0,ROUND(MAX($J1644*1.4*1.5*1.6*1.6*2.2*2.715*2.6*1.4*1.4*1.5*1.5*3.2,60500000000*(1.654288^(MIN($E1644,123)-117)))*1,0))</f>
        <v>394134254</v>
      </c>
    </row>
    <row r="1645" ht="27.75" customHeight="1" spans="1:34" x14ac:dyDescent="0.25">
      <c r="A1645" s="3">
        <v>1655</v>
      </c>
      <c r="B1645" s="3" t="s">
        <v>1048</v>
      </c>
      <c r="C1645" s="3" t="s">
        <v>1159</v>
      </c>
      <c r="D1645" s="3" t="s">
        <v>47</v>
      </c>
      <c r="E1645" s="3">
        <v>107</v>
      </c>
      <c r="F1645" s="3" t="s">
        <v>54</v>
      </c>
      <c r="G1645" s="3" t="s">
        <v>342</v>
      </c>
      <c r="H1645" s="3">
        <v>21</v>
      </c>
      <c r="I1645" s="4">
        <v>107</v>
      </c>
      <c r="J1645" s="5">
        <v>32600</v>
      </c>
      <c r="K1645" s="6">
        <f>$E1645+1</f>
        <v>108</v>
      </c>
      <c r="L1645" s="7">
        <f>IF($J1645=0,0,ROUND(MAX($J1645*1.4,1620000*(1.497923^(MIN($E1645,123)-117)))*1,0))</f>
        <v>45640</v>
      </c>
      <c r="M1645" s="4">
        <f>$E1645+2</f>
        <v>109</v>
      </c>
      <c r="N1645" s="8">
        <f>IF($J1645=0,0,ROUND(MAX($J1645*1.4*1.5,2190000*(1.580994^(MIN($E1645,123)-117)))*1,0))</f>
        <v>68460</v>
      </c>
      <c r="O1645" s="6">
        <f>$E1645+4</f>
        <v>111</v>
      </c>
      <c r="P1645" s="7">
        <f>IF($J1645=0,0,ROUND(MAX($J1645*1.4*1.5*1.6,3500000*(1.57975^(MIN($E1645,123)-117)))*1,0))</f>
        <v>109536</v>
      </c>
      <c r="Q1645" s="4">
        <f>$E1645+6</f>
        <v>113</v>
      </c>
      <c r="R1645" s="8">
        <f>IF($J1645=0,0,ROUND(MAX($J1645*1.4*1.5*1.6*1.6,13100000*(1.429962^(MIN($E1645,123)-117)))*1,0))</f>
        <v>366460</v>
      </c>
      <c r="S1645" s="6">
        <f>$E1645+8</f>
        <v>115</v>
      </c>
      <c r="T1645" s="7">
        <f>IF($J1645=0,0,ROUND(MAX($J1645*1.4*1.5*1.6*1.6*2.2,42600000*(1.576904^(MIN($E1645,123)-117)))*1,0))</f>
        <v>448082</v>
      </c>
      <c r="U1645" s="4">
        <f>$E1645+11</f>
        <v>118</v>
      </c>
      <c r="V1645" s="8">
        <f>IF($J1645=0,0,ROUND(MAX($J1645*1.4*1.5*1.6*1.6*2.2*2.715,354000000*(1.642074^(MIN($E1645,123)-117)))*1,0))</f>
        <v>2483568</v>
      </c>
      <c r="W1645" s="6">
        <f>$E1645+15</f>
        <v>122</v>
      </c>
      <c r="X1645" s="7">
        <f>IF($J1645=0,0,ROUND(MAX($J1645*1.4*1.5*1.6*1.6*2.2*2.715*2.6,3540000000*(1.579646^(MIN($E1645,123)-117)))*1,0))</f>
        <v>36593634</v>
      </c>
      <c r="Y1645" s="4">
        <f>$E1645+17</f>
        <v>124</v>
      </c>
      <c r="Z1645" s="8">
        <f>IF($J1645=0,0,ROUND(MAX($J1645*1.4*1.5*1.6*1.6*2.2*2.715*2.6*1.4,6020000000*(1.651178^(MIN($E1645,123)-117)))*1,0))</f>
        <v>39962952</v>
      </c>
      <c r="AA1645" s="6">
        <f>$E1645+19</f>
        <v>126</v>
      </c>
      <c r="AB1645" s="7">
        <f>IF($J1645=0,0,ROUND(MAX($J1645*1.4*1.5*1.6*1.6*2.2*2.715*2.6*1.4*1.4,8430000000*(1.651435^(MIN($E1645,123)-117)))*1,0))</f>
        <v>55874381</v>
      </c>
      <c r="AC1645" s="4">
        <f>$E1645+21</f>
        <v>128</v>
      </c>
      <c r="AD1645" s="8">
        <f>IF($J1645=0,0,ROUND(MAX($J1645*1.4*1.5*1.6*1.6*2.2*2.715*2.6*1.4*1.4*1.5,12600000000*(1.652953^(MIN($E1645,123)-117)))*1,0))</f>
        <v>82749522</v>
      </c>
      <c r="AE1645" s="6">
        <f>$E1645+24</f>
        <v>131</v>
      </c>
      <c r="AF1645" s="7">
        <f>IF($J1645=0,0,ROUND(MAX($J1645*1.4*1.5*1.6*1.6*2.2*2.715*2.6*1.4*1.4*1.5*1.5,18900000000*(1.65331^(MIN($E1645,123)-117)))*1,0))</f>
        <v>123856521</v>
      </c>
      <c r="AG1645" s="4">
        <f>$E1645+27</f>
        <v>134</v>
      </c>
      <c r="AH1645" s="8">
        <f>IF($J1645=0,0,ROUND(MAX($J1645*1.4*1.5*1.6*1.6*2.2*2.715*2.6*1.4*1.4*1.5*1.5*3.2,60500000000*(1.654288^(MIN($E1645,123)-117)))*1,0))</f>
        <v>394134254</v>
      </c>
    </row>
    <row r="1646" ht="27.75" customHeight="1" spans="1:34" x14ac:dyDescent="0.25">
      <c r="A1646" s="3">
        <v>1656</v>
      </c>
      <c r="B1646" s="3" t="s">
        <v>624</v>
      </c>
      <c r="C1646" s="3" t="s">
        <v>1159</v>
      </c>
      <c r="D1646" s="3" t="s">
        <v>25</v>
      </c>
      <c r="E1646" s="3">
        <v>106</v>
      </c>
      <c r="F1646" s="3" t="s">
        <v>26</v>
      </c>
      <c r="G1646" s="3" t="s">
        <v>104</v>
      </c>
      <c r="H1646" s="3">
        <v>24</v>
      </c>
      <c r="I1646" s="4">
        <v>106</v>
      </c>
      <c r="J1646" s="5">
        <v>14500</v>
      </c>
      <c r="K1646" s="6">
        <f>$E1646+1</f>
        <v>107</v>
      </c>
      <c r="L1646" s="7">
        <f>IF($J1646=0,0,ROUND(MAX($J1646*1.4,1620000*(1.497923^(MIN($E1646,123)-117)))*1,0))</f>
        <v>20300</v>
      </c>
      <c r="M1646" s="4">
        <f>$E1646+2</f>
        <v>108</v>
      </c>
      <c r="N1646" s="8">
        <f>IF($J1646=0,0,ROUND(MAX($J1646*1.4*1.5,2190000*(1.580994^(MIN($E1646,123)-117)))*1,0))</f>
        <v>30450</v>
      </c>
      <c r="O1646" s="6">
        <f>$E1646+4</f>
        <v>110</v>
      </c>
      <c r="P1646" s="7">
        <f>IF($J1646=0,0,ROUND(MAX($J1646*1.4*1.5*1.6,3500000*(1.57975^(MIN($E1646,123)-117)))*1,0))</f>
        <v>48720</v>
      </c>
      <c r="Q1646" s="4">
        <f>$E1646+6</f>
        <v>112</v>
      </c>
      <c r="R1646" s="8">
        <f>IF($J1646=0,0,ROUND(MAX($J1646*1.4*1.5*1.6*1.6,13100000*(1.429962^(MIN($E1646,123)-117)))*1,0))</f>
        <v>256272</v>
      </c>
      <c r="S1646" s="6">
        <f>$E1646+8</f>
        <v>114</v>
      </c>
      <c r="T1646" s="7">
        <f>IF($J1646=0,0,ROUND(MAX($J1646*1.4*1.5*1.6*1.6*2.2,42600000*(1.576904^(MIN($E1646,123)-117)))*1,0))</f>
        <v>284153</v>
      </c>
      <c r="U1646" s="4">
        <f>$E1646+11</f>
        <v>117</v>
      </c>
      <c r="V1646" s="8">
        <f>IF($J1646=0,0,ROUND(MAX($J1646*1.4*1.5*1.6*1.6*2.2*2.715,354000000*(1.642074^(MIN($E1646,123)-117)))*1,0))</f>
        <v>1512458</v>
      </c>
      <c r="W1646" s="6">
        <f>$E1646+15</f>
        <v>121</v>
      </c>
      <c r="X1646" s="7">
        <f>IF($J1646=0,0,ROUND(MAX($J1646*1.4*1.5*1.6*1.6*2.2*2.715*2.6,3540000000*(1.579646^(MIN($E1646,123)-117)))*1,0))</f>
        <v>23165718</v>
      </c>
      <c r="Y1646" s="4">
        <f>$E1646+17</f>
        <v>123</v>
      </c>
      <c r="Z1646" s="8">
        <f>IF($J1646=0,0,ROUND(MAX($J1646*1.4*1.5*1.6*1.6*2.2*2.715*2.6*1.4,6020000000*(1.651178^(MIN($E1646,123)-117)))*1,0))</f>
        <v>24202691</v>
      </c>
      <c r="AA1646" s="6">
        <f>$E1646+19</f>
        <v>125</v>
      </c>
      <c r="AB1646" s="7">
        <f>IF($J1646=0,0,ROUND(MAX($J1646*1.4*1.5*1.6*1.6*2.2*2.715*2.6*1.4*1.4,8430000000*(1.651435^(MIN($E1646,123)-117)))*1,0))</f>
        <v>33833836</v>
      </c>
      <c r="AC1646" s="4">
        <f>$E1646+21</f>
        <v>127</v>
      </c>
      <c r="AD1646" s="8">
        <f>IF($J1646=0,0,ROUND(MAX($J1646*1.4*1.5*1.6*1.6*2.2*2.715*2.6*1.4*1.4*1.5,12600000000*(1.652953^(MIN($E1646,123)-117)))*1,0))</f>
        <v>50061630</v>
      </c>
      <c r="AE1646" s="6">
        <f>$E1646+24</f>
        <v>130</v>
      </c>
      <c r="AF1646" s="7">
        <f>IF($J1646=0,0,ROUND(MAX($J1646*1.4*1.5*1.6*1.6*2.2*2.715*2.6*1.4*1.4*1.5*1.5,18900000000*(1.65331^(MIN($E1646,123)-117)))*1,0))</f>
        <v>74914276</v>
      </c>
      <c r="AG1646" s="4">
        <f>$E1646+27</f>
        <v>133</v>
      </c>
      <c r="AH1646" s="8">
        <f>IF($J1646=0,0,ROUND(MAX($J1646*1.4*1.5*1.6*1.6*2.2*2.715*2.6*1.4*1.4*1.5*1.5*3.2,60500000000*(1.654288^(MIN($E1646,123)-117)))*1,0))</f>
        <v>238250083</v>
      </c>
    </row>
    <row r="1647" ht="27.75" customHeight="1" spans="1:34" x14ac:dyDescent="0.25">
      <c r="A1647" s="3">
        <v>1657</v>
      </c>
      <c r="B1647" s="3" t="s">
        <v>1163</v>
      </c>
      <c r="C1647" s="3" t="s">
        <v>1159</v>
      </c>
      <c r="D1647" s="3" t="s">
        <v>40</v>
      </c>
      <c r="E1647" s="3">
        <v>106</v>
      </c>
      <c r="F1647" s="3" t="s">
        <v>97</v>
      </c>
      <c r="G1647" s="3" t="s">
        <v>883</v>
      </c>
      <c r="H1647" s="3">
        <v>24</v>
      </c>
      <c r="I1647" s="4">
        <v>106</v>
      </c>
      <c r="J1647" s="5">
        <v>12600</v>
      </c>
      <c r="K1647" s="6">
        <f>$E1647+1</f>
        <v>107</v>
      </c>
      <c r="L1647" s="7">
        <f>IF($J1647=0,0,ROUND(MAX($J1647*1.4,1620000*(1.497923^(MIN($E1647,123)-117)))*1,0))</f>
        <v>19017</v>
      </c>
      <c r="M1647" s="4">
        <f>$E1647+2</f>
        <v>108</v>
      </c>
      <c r="N1647" s="8">
        <f>IF($J1647=0,0,ROUND(MAX($J1647*1.4*1.5,2190000*(1.580994^(MIN($E1647,123)-117)))*1,0))</f>
        <v>26460</v>
      </c>
      <c r="O1647" s="6">
        <f>$E1647+4</f>
        <v>110</v>
      </c>
      <c r="P1647" s="7">
        <f>IF($J1647=0,0,ROUND(MAX($J1647*1.4*1.5*1.6,3500000*(1.57975^(MIN($E1647,123)-117)))*1,0))</f>
        <v>42336</v>
      </c>
      <c r="Q1647" s="4">
        <f>$E1647+6</f>
        <v>112</v>
      </c>
      <c r="R1647" s="8">
        <f>IF($J1647=0,0,ROUND(MAX($J1647*1.4*1.5*1.6*1.6,13100000*(1.429962^(MIN($E1647,123)-117)))*1,0))</f>
        <v>256272</v>
      </c>
      <c r="S1647" s="6">
        <f>$E1647+8</f>
        <v>114</v>
      </c>
      <c r="T1647" s="7">
        <f>IF($J1647=0,0,ROUND(MAX($J1647*1.4*1.5*1.6*1.6*2.2,42600000*(1.576904^(MIN($E1647,123)-117)))*1,0))</f>
        <v>284153</v>
      </c>
      <c r="U1647" s="4">
        <f>$E1647+11</f>
        <v>117</v>
      </c>
      <c r="V1647" s="8">
        <f>IF($J1647=0,0,ROUND(MAX($J1647*1.4*1.5*1.6*1.6*2.2*2.715,354000000*(1.642074^(MIN($E1647,123)-117)))*1,0))</f>
        <v>1512458</v>
      </c>
      <c r="W1647" s="6">
        <f>$E1647+15</f>
        <v>121</v>
      </c>
      <c r="X1647" s="7">
        <f>IF($J1647=0,0,ROUND(MAX($J1647*1.4*1.5*1.6*1.6*2.2*2.715*2.6,3540000000*(1.579646^(MIN($E1647,123)-117)))*1,0))</f>
        <v>23165718</v>
      </c>
      <c r="Y1647" s="4">
        <f>$E1647+17</f>
        <v>123</v>
      </c>
      <c r="Z1647" s="8">
        <f>IF($J1647=0,0,ROUND(MAX($J1647*1.4*1.5*1.6*1.6*2.2*2.715*2.6*1.4,6020000000*(1.651178^(MIN($E1647,123)-117)))*1,0))</f>
        <v>24202691</v>
      </c>
      <c r="AA1647" s="6">
        <f>$E1647+19</f>
        <v>125</v>
      </c>
      <c r="AB1647" s="7">
        <f>IF($J1647=0,0,ROUND(MAX($J1647*1.4*1.5*1.6*1.6*2.2*2.715*2.6*1.4*1.4,8430000000*(1.651435^(MIN($E1647,123)-117)))*1,0))</f>
        <v>33833836</v>
      </c>
      <c r="AC1647" s="4">
        <f>$E1647+21</f>
        <v>127</v>
      </c>
      <c r="AD1647" s="8">
        <f>IF($J1647=0,0,ROUND(MAX($J1647*1.4*1.5*1.6*1.6*2.2*2.715*2.6*1.4*1.4*1.5,12600000000*(1.652953^(MIN($E1647,123)-117)))*1,0))</f>
        <v>50061630</v>
      </c>
      <c r="AE1647" s="6">
        <f>$E1647+24</f>
        <v>130</v>
      </c>
      <c r="AF1647" s="7">
        <f>IF($J1647=0,0,ROUND(MAX($J1647*1.4*1.5*1.6*1.6*2.2*2.715*2.6*1.4*1.4*1.5*1.5,18900000000*(1.65331^(MIN($E1647,123)-117)))*1,0))</f>
        <v>74914276</v>
      </c>
      <c r="AG1647" s="4">
        <f>$E1647+27</f>
        <v>133</v>
      </c>
      <c r="AH1647" s="8">
        <f>IF($J1647=0,0,ROUND(MAX($J1647*1.4*1.5*1.6*1.6*2.2*2.715*2.6*1.4*1.4*1.5*1.5*3.2,60500000000*(1.654288^(MIN($E1647,123)-117)))*1,0))</f>
        <v>238250083</v>
      </c>
    </row>
    <row r="1648" ht="27.75" customHeight="1" spans="1:34" x14ac:dyDescent="0.25">
      <c r="A1648" s="3">
        <v>1658</v>
      </c>
      <c r="B1648" s="3" t="s">
        <v>635</v>
      </c>
      <c r="C1648" s="3" t="s">
        <v>1159</v>
      </c>
      <c r="D1648" s="3" t="s">
        <v>40</v>
      </c>
      <c r="E1648" s="3">
        <v>106</v>
      </c>
      <c r="F1648" s="3" t="s">
        <v>310</v>
      </c>
      <c r="G1648" s="3" t="s">
        <v>27</v>
      </c>
      <c r="H1648" s="3">
        <v>24</v>
      </c>
      <c r="I1648" s="4">
        <v>106</v>
      </c>
      <c r="J1648" s="5">
        <v>13000</v>
      </c>
      <c r="K1648" s="6">
        <f>$E1648+1</f>
        <v>107</v>
      </c>
      <c r="L1648" s="7">
        <f>IF($J1648=0,0,ROUND(MAX($J1648*1.4,1620000*(1.497923^(MIN($E1648,123)-117)))*1,0))</f>
        <v>19017</v>
      </c>
      <c r="M1648" s="4">
        <f>$E1648+2</f>
        <v>108</v>
      </c>
      <c r="N1648" s="8">
        <f>IF($J1648=0,0,ROUND(MAX($J1648*1.4*1.5,2190000*(1.580994^(MIN($E1648,123)-117)))*1,0))</f>
        <v>27300</v>
      </c>
      <c r="O1648" s="6">
        <f>$E1648+4</f>
        <v>110</v>
      </c>
      <c r="P1648" s="7">
        <f>IF($J1648=0,0,ROUND(MAX($J1648*1.4*1.5*1.6,3500000*(1.57975^(MIN($E1648,123)-117)))*1,0))</f>
        <v>43680</v>
      </c>
      <c r="Q1648" s="4">
        <f>$E1648+6</f>
        <v>112</v>
      </c>
      <c r="R1648" s="8">
        <f>IF($J1648=0,0,ROUND(MAX($J1648*1.4*1.5*1.6*1.6,13100000*(1.429962^(MIN($E1648,123)-117)))*1,0))</f>
        <v>256272</v>
      </c>
      <c r="S1648" s="6">
        <f>$E1648+8</f>
        <v>114</v>
      </c>
      <c r="T1648" s="7">
        <f>IF($J1648=0,0,ROUND(MAX($J1648*1.4*1.5*1.6*1.6*2.2,42600000*(1.576904^(MIN($E1648,123)-117)))*1,0))</f>
        <v>284153</v>
      </c>
      <c r="U1648" s="4">
        <f>$E1648+11</f>
        <v>117</v>
      </c>
      <c r="V1648" s="8">
        <f>IF($J1648=0,0,ROUND(MAX($J1648*1.4*1.5*1.6*1.6*2.2*2.715,354000000*(1.642074^(MIN($E1648,123)-117)))*1,0))</f>
        <v>1512458</v>
      </c>
      <c r="W1648" s="6">
        <f>$E1648+15</f>
        <v>121</v>
      </c>
      <c r="X1648" s="7">
        <f>IF($J1648=0,0,ROUND(MAX($J1648*1.4*1.5*1.6*1.6*2.2*2.715*2.6,3540000000*(1.579646^(MIN($E1648,123)-117)))*1,0))</f>
        <v>23165718</v>
      </c>
      <c r="Y1648" s="4">
        <f>$E1648+17</f>
        <v>123</v>
      </c>
      <c r="Z1648" s="8">
        <f>IF($J1648=0,0,ROUND(MAX($J1648*1.4*1.5*1.6*1.6*2.2*2.715*2.6*1.4,6020000000*(1.651178^(MIN($E1648,123)-117)))*1,0))</f>
        <v>24202691</v>
      </c>
      <c r="AA1648" s="6">
        <f>$E1648+19</f>
        <v>125</v>
      </c>
      <c r="AB1648" s="7">
        <f>IF($J1648=0,0,ROUND(MAX($J1648*1.4*1.5*1.6*1.6*2.2*2.715*2.6*1.4*1.4,8430000000*(1.651435^(MIN($E1648,123)-117)))*1,0))</f>
        <v>33833836</v>
      </c>
      <c r="AC1648" s="4">
        <f>$E1648+21</f>
        <v>127</v>
      </c>
      <c r="AD1648" s="8">
        <f>IF($J1648=0,0,ROUND(MAX($J1648*1.4*1.5*1.6*1.6*2.2*2.715*2.6*1.4*1.4*1.5,12600000000*(1.652953^(MIN($E1648,123)-117)))*1,0))</f>
        <v>50061630</v>
      </c>
      <c r="AE1648" s="6">
        <f>$E1648+24</f>
        <v>130</v>
      </c>
      <c r="AF1648" s="7">
        <f>IF($J1648=0,0,ROUND(MAX($J1648*1.4*1.5*1.6*1.6*2.2*2.715*2.6*1.4*1.4*1.5*1.5,18900000000*(1.65331^(MIN($E1648,123)-117)))*1,0))</f>
        <v>74914276</v>
      </c>
      <c r="AG1648" s="4">
        <f>$E1648+27</f>
        <v>133</v>
      </c>
      <c r="AH1648" s="8">
        <f>IF($J1648=0,0,ROUND(MAX($J1648*1.4*1.5*1.6*1.6*2.2*2.715*2.6*1.4*1.4*1.5*1.5*3.2,60500000000*(1.654288^(MIN($E1648,123)-117)))*1,0))</f>
        <v>238250083</v>
      </c>
    </row>
    <row r="1649" ht="27.75" customHeight="1" spans="1:34" x14ac:dyDescent="0.25">
      <c r="A1649" s="3">
        <v>1659</v>
      </c>
      <c r="B1649" s="3" t="s">
        <v>779</v>
      </c>
      <c r="C1649" s="3" t="s">
        <v>1159</v>
      </c>
      <c r="D1649" s="3" t="s">
        <v>45</v>
      </c>
      <c r="E1649" s="3">
        <v>106</v>
      </c>
      <c r="F1649" s="3" t="s">
        <v>34</v>
      </c>
      <c r="G1649" s="3" t="s">
        <v>185</v>
      </c>
      <c r="H1649" s="3">
        <v>24</v>
      </c>
      <c r="I1649" s="4">
        <v>106</v>
      </c>
      <c r="J1649" s="5">
        <v>9700</v>
      </c>
      <c r="K1649" s="6">
        <f>$E1649+1</f>
        <v>107</v>
      </c>
      <c r="L1649" s="7">
        <f>IF($J1649=0,0,ROUND(MAX($J1649*1.4,1620000*(1.497923^(MIN($E1649,123)-117)))*1,0))</f>
        <v>19017</v>
      </c>
      <c r="M1649" s="4">
        <f>$E1649+2</f>
        <v>108</v>
      </c>
      <c r="N1649" s="8">
        <f>IF($J1649=0,0,ROUND(MAX($J1649*1.4*1.5,2190000*(1.580994^(MIN($E1649,123)-117)))*1,0))</f>
        <v>20370</v>
      </c>
      <c r="O1649" s="6">
        <f>$E1649+4</f>
        <v>110</v>
      </c>
      <c r="P1649" s="7">
        <f>IF($J1649=0,0,ROUND(MAX($J1649*1.4*1.5*1.6,3500000*(1.57975^(MIN($E1649,123)-117)))*1,0))</f>
        <v>32592</v>
      </c>
      <c r="Q1649" s="4">
        <f>$E1649+6</f>
        <v>112</v>
      </c>
      <c r="R1649" s="8">
        <f>IF($J1649=0,0,ROUND(MAX($J1649*1.4*1.5*1.6*1.6,13100000*(1.429962^(MIN($E1649,123)-117)))*1,0))</f>
        <v>256272</v>
      </c>
      <c r="S1649" s="6">
        <f>$E1649+8</f>
        <v>114</v>
      </c>
      <c r="T1649" s="7">
        <f>IF($J1649=0,0,ROUND(MAX($J1649*1.4*1.5*1.6*1.6*2.2,42600000*(1.576904^(MIN($E1649,123)-117)))*1,0))</f>
        <v>284153</v>
      </c>
      <c r="U1649" s="4">
        <f>$E1649+11</f>
        <v>117</v>
      </c>
      <c r="V1649" s="8">
        <f>IF($J1649=0,0,ROUND(MAX($J1649*1.4*1.5*1.6*1.6*2.2*2.715,354000000*(1.642074^(MIN($E1649,123)-117)))*1,0))</f>
        <v>1512458</v>
      </c>
      <c r="W1649" s="6">
        <f>$E1649+15</f>
        <v>121</v>
      </c>
      <c r="X1649" s="7">
        <f>IF($J1649=0,0,ROUND(MAX($J1649*1.4*1.5*1.6*1.6*2.2*2.715*2.6,3540000000*(1.579646^(MIN($E1649,123)-117)))*1,0))</f>
        <v>23165718</v>
      </c>
      <c r="Y1649" s="4">
        <f>$E1649+17</f>
        <v>123</v>
      </c>
      <c r="Z1649" s="8">
        <f>IF($J1649=0,0,ROUND(MAX($J1649*1.4*1.5*1.6*1.6*2.2*2.715*2.6*1.4,6020000000*(1.651178^(MIN($E1649,123)-117)))*1,0))</f>
        <v>24202691</v>
      </c>
      <c r="AA1649" s="6">
        <f>$E1649+19</f>
        <v>125</v>
      </c>
      <c r="AB1649" s="7">
        <f>IF($J1649=0,0,ROUND(MAX($J1649*1.4*1.5*1.6*1.6*2.2*2.715*2.6*1.4*1.4,8430000000*(1.651435^(MIN($E1649,123)-117)))*1,0))</f>
        <v>33833836</v>
      </c>
      <c r="AC1649" s="4">
        <f>$E1649+21</f>
        <v>127</v>
      </c>
      <c r="AD1649" s="8">
        <f>IF($J1649=0,0,ROUND(MAX($J1649*1.4*1.5*1.6*1.6*2.2*2.715*2.6*1.4*1.4*1.5,12600000000*(1.652953^(MIN($E1649,123)-117)))*1,0))</f>
        <v>50061630</v>
      </c>
      <c r="AE1649" s="6">
        <f>$E1649+24</f>
        <v>130</v>
      </c>
      <c r="AF1649" s="7">
        <f>IF($J1649=0,0,ROUND(MAX($J1649*1.4*1.5*1.6*1.6*2.2*2.715*2.6*1.4*1.4*1.5*1.5,18900000000*(1.65331^(MIN($E1649,123)-117)))*1,0))</f>
        <v>74914276</v>
      </c>
      <c r="AG1649" s="4">
        <f>$E1649+27</f>
        <v>133</v>
      </c>
      <c r="AH1649" s="8">
        <f>IF($J1649=0,0,ROUND(MAX($J1649*1.4*1.5*1.6*1.6*2.2*2.715*2.6*1.4*1.4*1.5*1.5*3.2,60500000000*(1.654288^(MIN($E1649,123)-117)))*1,0))</f>
        <v>238250083</v>
      </c>
    </row>
    <row r="1650" ht="27.75" customHeight="1" spans="1:34" x14ac:dyDescent="0.25">
      <c r="A1650" s="3">
        <v>1660</v>
      </c>
      <c r="B1650" s="3" t="s">
        <v>1164</v>
      </c>
      <c r="C1650" s="3" t="s">
        <v>1159</v>
      </c>
      <c r="D1650" s="3" t="s">
        <v>79</v>
      </c>
      <c r="E1650" s="3">
        <v>106</v>
      </c>
      <c r="F1650" s="3" t="s">
        <v>59</v>
      </c>
      <c r="G1650" s="3" t="s">
        <v>51</v>
      </c>
      <c r="H1650" s="3">
        <v>23</v>
      </c>
      <c r="I1650" s="4">
        <v>106</v>
      </c>
      <c r="J1650" s="5">
        <v>34600</v>
      </c>
      <c r="K1650" s="6">
        <f>$E1650+1</f>
        <v>107</v>
      </c>
      <c r="L1650" s="7">
        <f>IF($J1650=0,0,ROUND(MAX($J1650*1.4,1620000*(1.497923^(MIN($E1650,123)-117)))*1,0))</f>
        <v>48440</v>
      </c>
      <c r="M1650" s="4">
        <f>$E1650+2</f>
        <v>108</v>
      </c>
      <c r="N1650" s="8">
        <f>IF($J1650=0,0,ROUND(MAX($J1650*1.4*1.5,2190000*(1.580994^(MIN($E1650,123)-117)))*1,0))</f>
        <v>72660</v>
      </c>
      <c r="O1650" s="6">
        <f>$E1650+4</f>
        <v>110</v>
      </c>
      <c r="P1650" s="7">
        <f>IF($J1650=0,0,ROUND(MAX($J1650*1.4*1.5*1.6,3500000*(1.57975^(MIN($E1650,123)-117)))*1,0))</f>
        <v>116256</v>
      </c>
      <c r="Q1650" s="4">
        <f>$E1650+6</f>
        <v>112</v>
      </c>
      <c r="R1650" s="8">
        <f>IF($J1650=0,0,ROUND(MAX($J1650*1.4*1.5*1.6*1.6,13100000*(1.429962^(MIN($E1650,123)-117)))*1,0))</f>
        <v>256272</v>
      </c>
      <c r="S1650" s="6">
        <f>$E1650+8</f>
        <v>114</v>
      </c>
      <c r="T1650" s="7">
        <f>IF($J1650=0,0,ROUND(MAX($J1650*1.4*1.5*1.6*1.6*2.2,42600000*(1.576904^(MIN($E1650,123)-117)))*1,0))</f>
        <v>409221</v>
      </c>
      <c r="U1650" s="4">
        <f>$E1650+11</f>
        <v>117</v>
      </c>
      <c r="V1650" s="8">
        <f>IF($J1650=0,0,ROUND(MAX($J1650*1.4*1.5*1.6*1.6*2.2*2.715,354000000*(1.642074^(MIN($E1650,123)-117)))*1,0))</f>
        <v>1512458</v>
      </c>
      <c r="W1650" s="6">
        <f>$E1650+15</f>
        <v>121</v>
      </c>
      <c r="X1650" s="7">
        <f>IF($J1650=0,0,ROUND(MAX($J1650*1.4*1.5*1.6*1.6*2.2*2.715*2.6,3540000000*(1.579646^(MIN($E1650,123)-117)))*1,0))</f>
        <v>23165718</v>
      </c>
      <c r="Y1650" s="4">
        <f>$E1650+17</f>
        <v>123</v>
      </c>
      <c r="Z1650" s="8">
        <f>IF($J1650=0,0,ROUND(MAX($J1650*1.4*1.5*1.6*1.6*2.2*2.715*2.6*1.4,6020000000*(1.651178^(MIN($E1650,123)-117)))*1,0))</f>
        <v>24202691</v>
      </c>
      <c r="AA1650" s="6">
        <f>$E1650+19</f>
        <v>125</v>
      </c>
      <c r="AB1650" s="7">
        <f>IF($J1650=0,0,ROUND(MAX($J1650*1.4*1.5*1.6*1.6*2.2*2.715*2.6*1.4*1.4,8430000000*(1.651435^(MIN($E1650,123)-117)))*1,0))</f>
        <v>33833836</v>
      </c>
      <c r="AC1650" s="4">
        <f>$E1650+21</f>
        <v>127</v>
      </c>
      <c r="AD1650" s="8">
        <f>IF($J1650=0,0,ROUND(MAX($J1650*1.4*1.5*1.6*1.6*2.2*2.715*2.6*1.4*1.4*1.5,12600000000*(1.652953^(MIN($E1650,123)-117)))*1,0))</f>
        <v>50061630</v>
      </c>
      <c r="AE1650" s="6">
        <f>$E1650+24</f>
        <v>130</v>
      </c>
      <c r="AF1650" s="7">
        <f>IF($J1650=0,0,ROUND(MAX($J1650*1.4*1.5*1.6*1.6*2.2*2.715*2.6*1.4*1.4*1.5*1.5,18900000000*(1.65331^(MIN($E1650,123)-117)))*1,0))</f>
        <v>74914276</v>
      </c>
      <c r="AG1650" s="4">
        <f>$E1650+27</f>
        <v>133</v>
      </c>
      <c r="AH1650" s="8">
        <f>IF($J1650=0,0,ROUND(MAX($J1650*1.4*1.5*1.6*1.6*2.2*2.715*2.6*1.4*1.4*1.5*1.5*3.2,60500000000*(1.654288^(MIN($E1650,123)-117)))*1,0))</f>
        <v>238250083</v>
      </c>
    </row>
    <row r="1651" ht="27.75" customHeight="1" spans="1:34" x14ac:dyDescent="0.25">
      <c r="A1651" s="3">
        <v>1661</v>
      </c>
      <c r="B1651" s="3" t="s">
        <v>780</v>
      </c>
      <c r="C1651" s="3" t="s">
        <v>1159</v>
      </c>
      <c r="D1651" s="3" t="s">
        <v>90</v>
      </c>
      <c r="E1651" s="3">
        <v>106</v>
      </c>
      <c r="F1651" s="3" t="s">
        <v>56</v>
      </c>
      <c r="G1651" s="3" t="s">
        <v>38</v>
      </c>
      <c r="H1651" s="3">
        <v>23</v>
      </c>
      <c r="I1651" s="4">
        <v>106</v>
      </c>
      <c r="J1651" s="5">
        <v>18200</v>
      </c>
      <c r="K1651" s="6">
        <f>$E1651+1</f>
        <v>107</v>
      </c>
      <c r="L1651" s="7">
        <f>IF($J1651=0,0,ROUND(MAX($J1651*1.4,1620000*(1.497923^(MIN($E1651,123)-117)))*1,0))</f>
        <v>25480</v>
      </c>
      <c r="M1651" s="4">
        <f>$E1651+2</f>
        <v>108</v>
      </c>
      <c r="N1651" s="8">
        <f>IF($J1651=0,0,ROUND(MAX($J1651*1.4*1.5,2190000*(1.580994^(MIN($E1651,123)-117)))*1,0))</f>
        <v>38220</v>
      </c>
      <c r="O1651" s="6">
        <f>$E1651+4</f>
        <v>110</v>
      </c>
      <c r="P1651" s="7">
        <f>IF($J1651=0,0,ROUND(MAX($J1651*1.4*1.5*1.6,3500000*(1.57975^(MIN($E1651,123)-117)))*1,0))</f>
        <v>61152</v>
      </c>
      <c r="Q1651" s="4">
        <f>$E1651+6</f>
        <v>112</v>
      </c>
      <c r="R1651" s="8">
        <f>IF($J1651=0,0,ROUND(MAX($J1651*1.4*1.5*1.6*1.6,13100000*(1.429962^(MIN($E1651,123)-117)))*1,0))</f>
        <v>256272</v>
      </c>
      <c r="S1651" s="6">
        <f>$E1651+8</f>
        <v>114</v>
      </c>
      <c r="T1651" s="7">
        <f>IF($J1651=0,0,ROUND(MAX($J1651*1.4*1.5*1.6*1.6*2.2,42600000*(1.576904^(MIN($E1651,123)-117)))*1,0))</f>
        <v>284153</v>
      </c>
      <c r="U1651" s="4">
        <f>$E1651+11</f>
        <v>117</v>
      </c>
      <c r="V1651" s="8">
        <f>IF($J1651=0,0,ROUND(MAX($J1651*1.4*1.5*1.6*1.6*2.2*2.715,354000000*(1.642074^(MIN($E1651,123)-117)))*1,0))</f>
        <v>1512458</v>
      </c>
      <c r="W1651" s="6">
        <f>$E1651+15</f>
        <v>121</v>
      </c>
      <c r="X1651" s="7">
        <f>IF($J1651=0,0,ROUND(MAX($J1651*1.4*1.5*1.6*1.6*2.2*2.715*2.6,3540000000*(1.579646^(MIN($E1651,123)-117)))*1,0))</f>
        <v>23165718</v>
      </c>
      <c r="Y1651" s="4">
        <f>$E1651+17</f>
        <v>123</v>
      </c>
      <c r="Z1651" s="8">
        <f>IF($J1651=0,0,ROUND(MAX($J1651*1.4*1.5*1.6*1.6*2.2*2.715*2.6*1.4,6020000000*(1.651178^(MIN($E1651,123)-117)))*1,0))</f>
        <v>24202691</v>
      </c>
      <c r="AA1651" s="6">
        <f>$E1651+19</f>
        <v>125</v>
      </c>
      <c r="AB1651" s="7">
        <f>IF($J1651=0,0,ROUND(MAX($J1651*1.4*1.5*1.6*1.6*2.2*2.715*2.6*1.4*1.4,8430000000*(1.651435^(MIN($E1651,123)-117)))*1,0))</f>
        <v>33833836</v>
      </c>
      <c r="AC1651" s="4">
        <f>$E1651+21</f>
        <v>127</v>
      </c>
      <c r="AD1651" s="8">
        <f>IF($J1651=0,0,ROUND(MAX($J1651*1.4*1.5*1.6*1.6*2.2*2.715*2.6*1.4*1.4*1.5,12600000000*(1.652953^(MIN($E1651,123)-117)))*1,0))</f>
        <v>50061630</v>
      </c>
      <c r="AE1651" s="6">
        <f>$E1651+24</f>
        <v>130</v>
      </c>
      <c r="AF1651" s="7">
        <f>IF($J1651=0,0,ROUND(MAX($J1651*1.4*1.5*1.6*1.6*2.2*2.715*2.6*1.4*1.4*1.5*1.5,18900000000*(1.65331^(MIN($E1651,123)-117)))*1,0))</f>
        <v>74914276</v>
      </c>
      <c r="AG1651" s="4">
        <f>$E1651+27</f>
        <v>133</v>
      </c>
      <c r="AH1651" s="8">
        <f>IF($J1651=0,0,ROUND(MAX($J1651*1.4*1.5*1.6*1.6*2.2*2.715*2.6*1.4*1.4*1.5*1.5*3.2,60500000000*(1.654288^(MIN($E1651,123)-117)))*1,0))</f>
        <v>238250083</v>
      </c>
    </row>
    <row r="1652" ht="27.75" customHeight="1" spans="1:34" x14ac:dyDescent="0.25">
      <c r="A1652" s="3">
        <v>1662</v>
      </c>
      <c r="B1652" s="3" t="s">
        <v>707</v>
      </c>
      <c r="C1652" s="3" t="s">
        <v>1159</v>
      </c>
      <c r="D1652" s="3" t="s">
        <v>102</v>
      </c>
      <c r="E1652" s="3">
        <v>106</v>
      </c>
      <c r="F1652" s="3" t="s">
        <v>30</v>
      </c>
      <c r="G1652" s="3" t="s">
        <v>472</v>
      </c>
      <c r="H1652" s="3">
        <v>23</v>
      </c>
      <c r="I1652" s="4">
        <v>106</v>
      </c>
      <c r="J1652" s="5">
        <v>15000</v>
      </c>
      <c r="K1652" s="6">
        <f>$E1652+1</f>
        <v>107</v>
      </c>
      <c r="L1652" s="7">
        <f>IF($J1652=0,0,ROUND(MAX($J1652*1.4,1620000*(1.497923^(MIN($E1652,123)-117)))*1,0))</f>
        <v>21000</v>
      </c>
      <c r="M1652" s="4">
        <f>$E1652+2</f>
        <v>108</v>
      </c>
      <c r="N1652" s="8">
        <f>IF($J1652=0,0,ROUND(MAX($J1652*1.4*1.5,2190000*(1.580994^(MIN($E1652,123)-117)))*1,0))</f>
        <v>31500</v>
      </c>
      <c r="O1652" s="6">
        <f>$E1652+4</f>
        <v>110</v>
      </c>
      <c r="P1652" s="7">
        <f>IF($J1652=0,0,ROUND(MAX($J1652*1.4*1.5*1.6,3500000*(1.57975^(MIN($E1652,123)-117)))*1,0))</f>
        <v>50400</v>
      </c>
      <c r="Q1652" s="4">
        <f>$E1652+6</f>
        <v>112</v>
      </c>
      <c r="R1652" s="8">
        <f>IF($J1652=0,0,ROUND(MAX($J1652*1.4*1.5*1.6*1.6,13100000*(1.429962^(MIN($E1652,123)-117)))*1,0))</f>
        <v>256272</v>
      </c>
      <c r="S1652" s="6">
        <f>$E1652+8</f>
        <v>114</v>
      </c>
      <c r="T1652" s="7">
        <f>IF($J1652=0,0,ROUND(MAX($J1652*1.4*1.5*1.6*1.6*2.2,42600000*(1.576904^(MIN($E1652,123)-117)))*1,0))</f>
        <v>284153</v>
      </c>
      <c r="U1652" s="4">
        <f>$E1652+11</f>
        <v>117</v>
      </c>
      <c r="V1652" s="8">
        <f>IF($J1652=0,0,ROUND(MAX($J1652*1.4*1.5*1.6*1.6*2.2*2.715,354000000*(1.642074^(MIN($E1652,123)-117)))*1,0))</f>
        <v>1512458</v>
      </c>
      <c r="W1652" s="6">
        <f>$E1652+15</f>
        <v>121</v>
      </c>
      <c r="X1652" s="7">
        <f>IF($J1652=0,0,ROUND(MAX($J1652*1.4*1.5*1.6*1.6*2.2*2.715*2.6,3540000000*(1.579646^(MIN($E1652,123)-117)))*1,0))</f>
        <v>23165718</v>
      </c>
      <c r="Y1652" s="4">
        <f>$E1652+17</f>
        <v>123</v>
      </c>
      <c r="Z1652" s="8">
        <f>IF($J1652=0,0,ROUND(MAX($J1652*1.4*1.5*1.6*1.6*2.2*2.715*2.6*1.4,6020000000*(1.651178^(MIN($E1652,123)-117)))*1,0))</f>
        <v>24202691</v>
      </c>
      <c r="AA1652" s="6">
        <f>$E1652+19</f>
        <v>125</v>
      </c>
      <c r="AB1652" s="7">
        <f>IF($J1652=0,0,ROUND(MAX($J1652*1.4*1.5*1.6*1.6*2.2*2.715*2.6*1.4*1.4,8430000000*(1.651435^(MIN($E1652,123)-117)))*1,0))</f>
        <v>33833836</v>
      </c>
      <c r="AC1652" s="4">
        <f>$E1652+21</f>
        <v>127</v>
      </c>
      <c r="AD1652" s="8">
        <f>IF($J1652=0,0,ROUND(MAX($J1652*1.4*1.5*1.6*1.6*2.2*2.715*2.6*1.4*1.4*1.5,12600000000*(1.652953^(MIN($E1652,123)-117)))*1,0))</f>
        <v>50061630</v>
      </c>
      <c r="AE1652" s="6">
        <f>$E1652+24</f>
        <v>130</v>
      </c>
      <c r="AF1652" s="7">
        <f>IF($J1652=0,0,ROUND(MAX($J1652*1.4*1.5*1.6*1.6*2.2*2.715*2.6*1.4*1.4*1.5*1.5,18900000000*(1.65331^(MIN($E1652,123)-117)))*1,0))</f>
        <v>74914276</v>
      </c>
      <c r="AG1652" s="4">
        <f>$E1652+27</f>
        <v>133</v>
      </c>
      <c r="AH1652" s="8">
        <f>IF($J1652=0,0,ROUND(MAX($J1652*1.4*1.5*1.6*1.6*2.2*2.715*2.6*1.4*1.4*1.5*1.5*3.2,60500000000*(1.654288^(MIN($E1652,123)-117)))*1,0))</f>
        <v>238250083</v>
      </c>
    </row>
    <row r="1653" ht="27.75" customHeight="1" spans="1:34" x14ac:dyDescent="0.25">
      <c r="A1653" s="3">
        <v>1663</v>
      </c>
      <c r="B1653" s="3" t="s">
        <v>674</v>
      </c>
      <c r="C1653" s="3" t="s">
        <v>1159</v>
      </c>
      <c r="D1653" s="3" t="s">
        <v>25</v>
      </c>
      <c r="E1653" s="3">
        <v>106</v>
      </c>
      <c r="F1653" s="3" t="s">
        <v>34</v>
      </c>
      <c r="G1653" s="3" t="s">
        <v>675</v>
      </c>
      <c r="H1653" s="3">
        <v>23</v>
      </c>
      <c r="I1653" s="4">
        <v>106</v>
      </c>
      <c r="J1653" s="5">
        <v>20700</v>
      </c>
      <c r="K1653" s="6">
        <f>$E1653+1</f>
        <v>107</v>
      </c>
      <c r="L1653" s="7">
        <f>IF($J1653=0,0,ROUND(MAX($J1653*1.4,1620000*(1.497923^(MIN($E1653,123)-117)))*1,0))</f>
        <v>28980</v>
      </c>
      <c r="M1653" s="4">
        <f>$E1653+2</f>
        <v>108</v>
      </c>
      <c r="N1653" s="8">
        <f>IF($J1653=0,0,ROUND(MAX($J1653*1.4*1.5,2190000*(1.580994^(MIN($E1653,123)-117)))*1,0))</f>
        <v>43470</v>
      </c>
      <c r="O1653" s="6">
        <f>$E1653+4</f>
        <v>110</v>
      </c>
      <c r="P1653" s="7">
        <f>IF($J1653=0,0,ROUND(MAX($J1653*1.4*1.5*1.6,3500000*(1.57975^(MIN($E1653,123)-117)))*1,0))</f>
        <v>69552</v>
      </c>
      <c r="Q1653" s="4">
        <f>$E1653+6</f>
        <v>112</v>
      </c>
      <c r="R1653" s="8">
        <f>IF($J1653=0,0,ROUND(MAX($J1653*1.4*1.5*1.6*1.6,13100000*(1.429962^(MIN($E1653,123)-117)))*1,0))</f>
        <v>256272</v>
      </c>
      <c r="S1653" s="6">
        <f>$E1653+8</f>
        <v>114</v>
      </c>
      <c r="T1653" s="7">
        <f>IF($J1653=0,0,ROUND(MAX($J1653*1.4*1.5*1.6*1.6*2.2,42600000*(1.576904^(MIN($E1653,123)-117)))*1,0))</f>
        <v>284153</v>
      </c>
      <c r="U1653" s="4">
        <f>$E1653+11</f>
        <v>117</v>
      </c>
      <c r="V1653" s="8">
        <f>IF($J1653=0,0,ROUND(MAX($J1653*1.4*1.5*1.6*1.6*2.2*2.715,354000000*(1.642074^(MIN($E1653,123)-117)))*1,0))</f>
        <v>1512458</v>
      </c>
      <c r="W1653" s="6">
        <f>$E1653+15</f>
        <v>121</v>
      </c>
      <c r="X1653" s="7">
        <f>IF($J1653=0,0,ROUND(MAX($J1653*1.4*1.5*1.6*1.6*2.2*2.715*2.6,3540000000*(1.579646^(MIN($E1653,123)-117)))*1,0))</f>
        <v>23165718</v>
      </c>
      <c r="Y1653" s="4">
        <f>$E1653+17</f>
        <v>123</v>
      </c>
      <c r="Z1653" s="8">
        <f>IF($J1653=0,0,ROUND(MAX($J1653*1.4*1.5*1.6*1.6*2.2*2.715*2.6*1.4,6020000000*(1.651178^(MIN($E1653,123)-117)))*1,0))</f>
        <v>24202691</v>
      </c>
      <c r="AA1653" s="6">
        <f>$E1653+19</f>
        <v>125</v>
      </c>
      <c r="AB1653" s="7">
        <f>IF($J1653=0,0,ROUND(MAX($J1653*1.4*1.5*1.6*1.6*2.2*2.715*2.6*1.4*1.4,8430000000*(1.651435^(MIN($E1653,123)-117)))*1,0))</f>
        <v>33833836</v>
      </c>
      <c r="AC1653" s="4">
        <f>$E1653+21</f>
        <v>127</v>
      </c>
      <c r="AD1653" s="8">
        <f>IF($J1653=0,0,ROUND(MAX($J1653*1.4*1.5*1.6*1.6*2.2*2.715*2.6*1.4*1.4*1.5,12600000000*(1.652953^(MIN($E1653,123)-117)))*1,0))</f>
        <v>50061630</v>
      </c>
      <c r="AE1653" s="6">
        <f>$E1653+24</f>
        <v>130</v>
      </c>
      <c r="AF1653" s="7">
        <f>IF($J1653=0,0,ROUND(MAX($J1653*1.4*1.5*1.6*1.6*2.2*2.715*2.6*1.4*1.4*1.5*1.5,18900000000*(1.65331^(MIN($E1653,123)-117)))*1,0))</f>
        <v>74914276</v>
      </c>
      <c r="AG1653" s="4">
        <f>$E1653+27</f>
        <v>133</v>
      </c>
      <c r="AH1653" s="8">
        <f>IF($J1653=0,0,ROUND(MAX($J1653*1.4*1.5*1.6*1.6*2.2*2.715*2.6*1.4*1.4*1.5*1.5*3.2,60500000000*(1.654288^(MIN($E1653,123)-117)))*1,0))</f>
        <v>238250083</v>
      </c>
    </row>
    <row r="1654" ht="27.75" customHeight="1" spans="1:34" x14ac:dyDescent="0.25">
      <c r="A1654" s="3">
        <v>1664</v>
      </c>
      <c r="B1654" s="3" t="s">
        <v>1149</v>
      </c>
      <c r="C1654" s="3" t="s">
        <v>1159</v>
      </c>
      <c r="D1654" s="3" t="s">
        <v>47</v>
      </c>
      <c r="E1654" s="3">
        <v>106</v>
      </c>
      <c r="F1654" s="3" t="s">
        <v>59</v>
      </c>
      <c r="G1654" s="3" t="s">
        <v>595</v>
      </c>
      <c r="H1654" s="3">
        <v>21</v>
      </c>
      <c r="I1654" s="4">
        <v>106</v>
      </c>
      <c r="J1654" s="5">
        <v>17600</v>
      </c>
      <c r="K1654" s="6">
        <f>$E1654+1</f>
        <v>107</v>
      </c>
      <c r="L1654" s="7">
        <f>IF($J1654=0,0,ROUND(MAX($J1654*1.4,1620000*(1.497923^(MIN($E1654,123)-117)))*1,0))</f>
        <v>24640</v>
      </c>
      <c r="M1654" s="4">
        <f>$E1654+2</f>
        <v>108</v>
      </c>
      <c r="N1654" s="8">
        <f>IF($J1654=0,0,ROUND(MAX($J1654*1.4*1.5,2190000*(1.580994^(MIN($E1654,123)-117)))*1,0))</f>
        <v>36960</v>
      </c>
      <c r="O1654" s="6">
        <f>$E1654+4</f>
        <v>110</v>
      </c>
      <c r="P1654" s="7">
        <f>IF($J1654=0,0,ROUND(MAX($J1654*1.4*1.5*1.6,3500000*(1.57975^(MIN($E1654,123)-117)))*1,0))</f>
        <v>59136</v>
      </c>
      <c r="Q1654" s="4">
        <f>$E1654+6</f>
        <v>112</v>
      </c>
      <c r="R1654" s="8">
        <f>IF($J1654=0,0,ROUND(MAX($J1654*1.4*1.5*1.6*1.6,13100000*(1.429962^(MIN($E1654,123)-117)))*1,0))</f>
        <v>256272</v>
      </c>
      <c r="S1654" s="6">
        <f>$E1654+8</f>
        <v>114</v>
      </c>
      <c r="T1654" s="7">
        <f>IF($J1654=0,0,ROUND(MAX($J1654*1.4*1.5*1.6*1.6*2.2,42600000*(1.576904^(MIN($E1654,123)-117)))*1,0))</f>
        <v>284153</v>
      </c>
      <c r="U1654" s="4">
        <f>$E1654+11</f>
        <v>117</v>
      </c>
      <c r="V1654" s="8">
        <f>IF($J1654=0,0,ROUND(MAX($J1654*1.4*1.5*1.6*1.6*2.2*2.715,354000000*(1.642074^(MIN($E1654,123)-117)))*1,0))</f>
        <v>1512458</v>
      </c>
      <c r="W1654" s="6">
        <f>$E1654+15</f>
        <v>121</v>
      </c>
      <c r="X1654" s="7">
        <f>IF($J1654=0,0,ROUND(MAX($J1654*1.4*1.5*1.6*1.6*2.2*2.715*2.6,3540000000*(1.579646^(MIN($E1654,123)-117)))*1,0))</f>
        <v>23165718</v>
      </c>
      <c r="Y1654" s="4">
        <f>$E1654+17</f>
        <v>123</v>
      </c>
      <c r="Z1654" s="8">
        <f>IF($J1654=0,0,ROUND(MAX($J1654*1.4*1.5*1.6*1.6*2.2*2.715*2.6*1.4,6020000000*(1.651178^(MIN($E1654,123)-117)))*1,0))</f>
        <v>24202691</v>
      </c>
      <c r="AA1654" s="6">
        <f>$E1654+19</f>
        <v>125</v>
      </c>
      <c r="AB1654" s="7">
        <f>IF($J1654=0,0,ROUND(MAX($J1654*1.4*1.5*1.6*1.6*2.2*2.715*2.6*1.4*1.4,8430000000*(1.651435^(MIN($E1654,123)-117)))*1,0))</f>
        <v>33833836</v>
      </c>
      <c r="AC1654" s="4">
        <f>$E1654+21</f>
        <v>127</v>
      </c>
      <c r="AD1654" s="8">
        <f>IF($J1654=0,0,ROUND(MAX($J1654*1.4*1.5*1.6*1.6*2.2*2.715*2.6*1.4*1.4*1.5,12600000000*(1.652953^(MIN($E1654,123)-117)))*1,0))</f>
        <v>50061630</v>
      </c>
      <c r="AE1654" s="6">
        <f>$E1654+24</f>
        <v>130</v>
      </c>
      <c r="AF1654" s="7">
        <f>IF($J1654=0,0,ROUND(MAX($J1654*1.4*1.5*1.6*1.6*2.2*2.715*2.6*1.4*1.4*1.5*1.5,18900000000*(1.65331^(MIN($E1654,123)-117)))*1,0))</f>
        <v>74914276</v>
      </c>
      <c r="AG1654" s="4">
        <f>$E1654+27</f>
        <v>133</v>
      </c>
      <c r="AH1654" s="8">
        <f>IF($J1654=0,0,ROUND(MAX($J1654*1.4*1.5*1.6*1.6*2.2*2.715*2.6*1.4*1.4*1.5*1.5*3.2,60500000000*(1.654288^(MIN($E1654,123)-117)))*1,0))</f>
        <v>238250083</v>
      </c>
    </row>
    <row r="1655" ht="27.75" customHeight="1" spans="1:34" x14ac:dyDescent="0.25">
      <c r="A1655" s="3">
        <v>1665</v>
      </c>
      <c r="B1655" s="3" t="s">
        <v>1165</v>
      </c>
      <c r="C1655" s="3" t="s">
        <v>1159</v>
      </c>
      <c r="D1655" s="3" t="s">
        <v>47</v>
      </c>
      <c r="E1655" s="3">
        <v>106</v>
      </c>
      <c r="F1655" s="3" t="s">
        <v>303</v>
      </c>
      <c r="G1655" s="3" t="s">
        <v>374</v>
      </c>
      <c r="H1655" s="3">
        <v>20</v>
      </c>
      <c r="I1655" s="4">
        <v>106</v>
      </c>
      <c r="J1655" s="5">
        <v>17600</v>
      </c>
      <c r="K1655" s="6">
        <f>$E1655+1</f>
        <v>107</v>
      </c>
      <c r="L1655" s="7">
        <f>IF($J1655=0,0,ROUND(MAX($J1655*1.4,1620000*(1.497923^(MIN($E1655,123)-117)))*1,0))</f>
        <v>24640</v>
      </c>
      <c r="M1655" s="4">
        <f>$E1655+2</f>
        <v>108</v>
      </c>
      <c r="N1655" s="8">
        <f>IF($J1655=0,0,ROUND(MAX($J1655*1.4*1.5,2190000*(1.580994^(MIN($E1655,123)-117)))*1,0))</f>
        <v>36960</v>
      </c>
      <c r="O1655" s="6">
        <f>$E1655+4</f>
        <v>110</v>
      </c>
      <c r="P1655" s="7">
        <f>IF($J1655=0,0,ROUND(MAX($J1655*1.4*1.5*1.6,3500000*(1.57975^(MIN($E1655,123)-117)))*1,0))</f>
        <v>59136</v>
      </c>
      <c r="Q1655" s="4">
        <f>$E1655+6</f>
        <v>112</v>
      </c>
      <c r="R1655" s="8">
        <f>IF($J1655=0,0,ROUND(MAX($J1655*1.4*1.5*1.6*1.6,13100000*(1.429962^(MIN($E1655,123)-117)))*1,0))</f>
        <v>256272</v>
      </c>
      <c r="S1655" s="6">
        <f>$E1655+8</f>
        <v>114</v>
      </c>
      <c r="T1655" s="7">
        <f>IF($J1655=0,0,ROUND(MAX($J1655*1.4*1.5*1.6*1.6*2.2,42600000*(1.576904^(MIN($E1655,123)-117)))*1,0))</f>
        <v>284153</v>
      </c>
      <c r="U1655" s="4">
        <f>$E1655+11</f>
        <v>117</v>
      </c>
      <c r="V1655" s="8">
        <f>IF($J1655=0,0,ROUND(MAX($J1655*1.4*1.5*1.6*1.6*2.2*2.715,354000000*(1.642074^(MIN($E1655,123)-117)))*1,0))</f>
        <v>1512458</v>
      </c>
      <c r="W1655" s="6">
        <f>$E1655+15</f>
        <v>121</v>
      </c>
      <c r="X1655" s="7">
        <f>IF($J1655=0,0,ROUND(MAX($J1655*1.4*1.5*1.6*1.6*2.2*2.715*2.6,3540000000*(1.579646^(MIN($E1655,123)-117)))*1,0))</f>
        <v>23165718</v>
      </c>
      <c r="Y1655" s="4">
        <f>$E1655+17</f>
        <v>123</v>
      </c>
      <c r="Z1655" s="8">
        <f>IF($J1655=0,0,ROUND(MAX($J1655*1.4*1.5*1.6*1.6*2.2*2.715*2.6*1.4,6020000000*(1.651178^(MIN($E1655,123)-117)))*1,0))</f>
        <v>24202691</v>
      </c>
      <c r="AA1655" s="6">
        <f>$E1655+19</f>
        <v>125</v>
      </c>
      <c r="AB1655" s="7">
        <f>IF($J1655=0,0,ROUND(MAX($J1655*1.4*1.5*1.6*1.6*2.2*2.715*2.6*1.4*1.4,8430000000*(1.651435^(MIN($E1655,123)-117)))*1,0))</f>
        <v>33833836</v>
      </c>
      <c r="AC1655" s="4">
        <f>$E1655+21</f>
        <v>127</v>
      </c>
      <c r="AD1655" s="8">
        <f>IF($J1655=0,0,ROUND(MAX($J1655*1.4*1.5*1.6*1.6*2.2*2.715*2.6*1.4*1.4*1.5,12600000000*(1.652953^(MIN($E1655,123)-117)))*1,0))</f>
        <v>50061630</v>
      </c>
      <c r="AE1655" s="6">
        <f>$E1655+24</f>
        <v>130</v>
      </c>
      <c r="AF1655" s="7">
        <f>IF($J1655=0,0,ROUND(MAX($J1655*1.4*1.5*1.6*1.6*2.2*2.715*2.6*1.4*1.4*1.5*1.5,18900000000*(1.65331^(MIN($E1655,123)-117)))*1,0))</f>
        <v>74914276</v>
      </c>
      <c r="AG1655" s="4">
        <f>$E1655+27</f>
        <v>133</v>
      </c>
      <c r="AH1655" s="8">
        <f>IF($J1655=0,0,ROUND(MAX($J1655*1.4*1.5*1.6*1.6*2.2*2.715*2.6*1.4*1.4*1.5*1.5*3.2,60500000000*(1.654288^(MIN($E1655,123)-117)))*1,0))</f>
        <v>238250083</v>
      </c>
    </row>
    <row r="1656" ht="27.75" customHeight="1" spans="1:34" x14ac:dyDescent="0.25">
      <c r="A1656" s="3">
        <v>1666</v>
      </c>
      <c r="B1656" s="3" t="s">
        <v>232</v>
      </c>
      <c r="C1656" s="3" t="s">
        <v>1159</v>
      </c>
      <c r="D1656" s="3" t="s">
        <v>25</v>
      </c>
      <c r="E1656" s="3">
        <v>105</v>
      </c>
      <c r="F1656" s="3" t="s">
        <v>59</v>
      </c>
      <c r="G1656" s="3" t="s">
        <v>57</v>
      </c>
      <c r="H1656" s="3">
        <v>24</v>
      </c>
      <c r="I1656" s="4">
        <v>105</v>
      </c>
      <c r="J1656" s="5">
        <v>22700</v>
      </c>
      <c r="K1656" s="6">
        <f>$E1656+1</f>
        <v>106</v>
      </c>
      <c r="L1656" s="7">
        <f>IF($J1656=0,0,ROUND(MAX($J1656*1.4,1620000*(1.497923^(MIN($E1656,123)-117)))*1,0))</f>
        <v>31780</v>
      </c>
      <c r="M1656" s="4">
        <f>$E1656+2</f>
        <v>107</v>
      </c>
      <c r="N1656" s="8">
        <f>IF($J1656=0,0,ROUND(MAX($J1656*1.4*1.5,2190000*(1.580994^(MIN($E1656,123)-117)))*1,0))</f>
        <v>47670</v>
      </c>
      <c r="O1656" s="6">
        <f>$E1656+4</f>
        <v>109</v>
      </c>
      <c r="P1656" s="7">
        <f>IF($J1656=0,0,ROUND(MAX($J1656*1.4*1.5*1.6,3500000*(1.57975^(MIN($E1656,123)-117)))*1,0))</f>
        <v>76272</v>
      </c>
      <c r="Q1656" s="4">
        <f>$E1656+6</f>
        <v>111</v>
      </c>
      <c r="R1656" s="8">
        <f>IF($J1656=0,0,ROUND(MAX($J1656*1.4*1.5*1.6*1.6,13100000*(1.429962^(MIN($E1656,123)-117)))*1,0))</f>
        <v>179216</v>
      </c>
      <c r="S1656" s="6">
        <f>$E1656+8</f>
        <v>113</v>
      </c>
      <c r="T1656" s="7">
        <f>IF($J1656=0,0,ROUND(MAX($J1656*1.4*1.5*1.6*1.6*2.2,42600000*(1.576904^(MIN($E1656,123)-117)))*1,0))</f>
        <v>268477</v>
      </c>
      <c r="U1656" s="4">
        <f>$E1656+11</f>
        <v>116</v>
      </c>
      <c r="V1656" s="8">
        <f>IF($J1656=0,0,ROUND(MAX($J1656*1.4*1.5*1.6*1.6*2.2*2.715,354000000*(1.642074^(MIN($E1656,123)-117)))*1,0))</f>
        <v>921066</v>
      </c>
      <c r="W1656" s="6">
        <f>$E1656+15</f>
        <v>120</v>
      </c>
      <c r="X1656" s="7">
        <f>IF($J1656=0,0,ROUND(MAX($J1656*1.4*1.5*1.6*1.6*2.2*2.715*2.6,3540000000*(1.579646^(MIN($E1656,123)-117)))*1,0))</f>
        <v>14665133</v>
      </c>
      <c r="Y1656" s="4">
        <f>$E1656+17</f>
        <v>122</v>
      </c>
      <c r="Z1656" s="8">
        <f>IF($J1656=0,0,ROUND(MAX($J1656*1.4*1.5*1.6*1.6*2.2*2.715*2.6*1.4,6020000000*(1.651178^(MIN($E1656,123)-117)))*1,0))</f>
        <v>14657833</v>
      </c>
      <c r="AA1656" s="6">
        <f>$E1656+19</f>
        <v>124</v>
      </c>
      <c r="AB1656" s="7">
        <f>IF($J1656=0,0,ROUND(MAX($J1656*1.4*1.5*1.6*1.6*2.2*2.715*2.6*1.4*1.4,8430000000*(1.651435^(MIN($E1656,123)-117)))*1,0))</f>
        <v>20487537</v>
      </c>
      <c r="AC1656" s="4">
        <f>$E1656+21</f>
        <v>126</v>
      </c>
      <c r="AD1656" s="8">
        <f>IF($J1656=0,0,ROUND(MAX($J1656*1.4*1.5*1.6*1.6*2.2*2.715*2.6*1.4*1.4*1.5,12600000000*(1.652953^(MIN($E1656,123)-117)))*1,0))</f>
        <v>30286179</v>
      </c>
      <c r="AE1656" s="6">
        <f>$E1656+24</f>
        <v>129</v>
      </c>
      <c r="AF1656" s="7">
        <f>IF($J1656=0,0,ROUND(MAX($J1656*1.4*1.5*1.6*1.6*2.2*2.715*2.6*1.4*1.4*1.5*1.5,18900000000*(1.65331^(MIN($E1656,123)-117)))*1,0))</f>
        <v>45311693</v>
      </c>
      <c r="AG1656" s="4">
        <f>$E1656+27</f>
        <v>132</v>
      </c>
      <c r="AH1656" s="8">
        <f>IF($J1656=0,0,ROUND(MAX($J1656*1.4*1.5*1.6*1.6*2.2*2.715*2.6*1.4*1.4*1.5*1.5*3.2,60500000000*(1.654288^(MIN($E1656,123)-117)))*1,0))</f>
        <v>144019713</v>
      </c>
    </row>
    <row r="1657" ht="27.75" customHeight="1" spans="1:34" x14ac:dyDescent="0.25">
      <c r="A1657" s="3">
        <v>1667</v>
      </c>
      <c r="B1657" s="3" t="s">
        <v>264</v>
      </c>
      <c r="C1657" s="3" t="s">
        <v>1159</v>
      </c>
      <c r="D1657" s="3" t="s">
        <v>79</v>
      </c>
      <c r="E1657" s="3">
        <v>105</v>
      </c>
      <c r="F1657" s="3" t="s">
        <v>265</v>
      </c>
      <c r="G1657" s="3" t="s">
        <v>218</v>
      </c>
      <c r="H1657" s="3">
        <v>23</v>
      </c>
      <c r="I1657" s="4">
        <v>105</v>
      </c>
      <c r="J1657" s="5">
        <v>21200</v>
      </c>
      <c r="K1657" s="6">
        <f>$E1657+1</f>
        <v>106</v>
      </c>
      <c r="L1657" s="7">
        <f>IF($J1657=0,0,ROUND(MAX($J1657*1.4,1620000*(1.497923^(MIN($E1657,123)-117)))*1,0))</f>
        <v>29680</v>
      </c>
      <c r="M1657" s="4">
        <f>$E1657+2</f>
        <v>107</v>
      </c>
      <c r="N1657" s="8">
        <f>IF($J1657=0,0,ROUND(MAX($J1657*1.4*1.5,2190000*(1.580994^(MIN($E1657,123)-117)))*1,0))</f>
        <v>44520</v>
      </c>
      <c r="O1657" s="6">
        <f>$E1657+4</f>
        <v>109</v>
      </c>
      <c r="P1657" s="7">
        <f>IF($J1657=0,0,ROUND(MAX($J1657*1.4*1.5*1.6,3500000*(1.57975^(MIN($E1657,123)-117)))*1,0))</f>
        <v>71232</v>
      </c>
      <c r="Q1657" s="4">
        <f>$E1657+6</f>
        <v>111</v>
      </c>
      <c r="R1657" s="8">
        <f>IF($J1657=0,0,ROUND(MAX($J1657*1.4*1.5*1.6*1.6,13100000*(1.429962^(MIN($E1657,123)-117)))*1,0))</f>
        <v>179216</v>
      </c>
      <c r="S1657" s="6">
        <f>$E1657+8</f>
        <v>113</v>
      </c>
      <c r="T1657" s="7">
        <f>IF($J1657=0,0,ROUND(MAX($J1657*1.4*1.5*1.6*1.6*2.2,42600000*(1.576904^(MIN($E1657,123)-117)))*1,0))</f>
        <v>250737</v>
      </c>
      <c r="U1657" s="4">
        <f>$E1657+11</f>
        <v>116</v>
      </c>
      <c r="V1657" s="8">
        <f>IF($J1657=0,0,ROUND(MAX($J1657*1.4*1.5*1.6*1.6*2.2*2.715,354000000*(1.642074^(MIN($E1657,123)-117)))*1,0))</f>
        <v>921066</v>
      </c>
      <c r="W1657" s="6">
        <f>$E1657+15</f>
        <v>120</v>
      </c>
      <c r="X1657" s="7">
        <f>IF($J1657=0,0,ROUND(MAX($J1657*1.4*1.5*1.6*1.6*2.2*2.715*2.6,3540000000*(1.579646^(MIN($E1657,123)-117)))*1,0))</f>
        <v>14665133</v>
      </c>
      <c r="Y1657" s="4">
        <f>$E1657+17</f>
        <v>122</v>
      </c>
      <c r="Z1657" s="8">
        <f>IF($J1657=0,0,ROUND(MAX($J1657*1.4*1.5*1.6*1.6*2.2*2.715*2.6*1.4,6020000000*(1.651178^(MIN($E1657,123)-117)))*1,0))</f>
        <v>14657833</v>
      </c>
      <c r="AA1657" s="6">
        <f>$E1657+19</f>
        <v>124</v>
      </c>
      <c r="AB1657" s="7">
        <f>IF($J1657=0,0,ROUND(MAX($J1657*1.4*1.5*1.6*1.6*2.2*2.715*2.6*1.4*1.4,8430000000*(1.651435^(MIN($E1657,123)-117)))*1,0))</f>
        <v>20487537</v>
      </c>
      <c r="AC1657" s="4">
        <f>$E1657+21</f>
        <v>126</v>
      </c>
      <c r="AD1657" s="8">
        <f>IF($J1657=0,0,ROUND(MAX($J1657*1.4*1.5*1.6*1.6*2.2*2.715*2.6*1.4*1.4*1.5,12600000000*(1.652953^(MIN($E1657,123)-117)))*1,0))</f>
        <v>30286179</v>
      </c>
      <c r="AE1657" s="6">
        <f>$E1657+24</f>
        <v>129</v>
      </c>
      <c r="AF1657" s="7">
        <f>IF($J1657=0,0,ROUND(MAX($J1657*1.4*1.5*1.6*1.6*2.2*2.715*2.6*1.4*1.4*1.5*1.5,18900000000*(1.65331^(MIN($E1657,123)-117)))*1,0))</f>
        <v>45311693</v>
      </c>
      <c r="AG1657" s="4">
        <f>$E1657+27</f>
        <v>132</v>
      </c>
      <c r="AH1657" s="8">
        <f>IF($J1657=0,0,ROUND(MAX($J1657*1.4*1.5*1.6*1.6*2.2*2.715*2.6*1.4*1.4*1.5*1.5*3.2,60500000000*(1.654288^(MIN($E1657,123)-117)))*1,0))</f>
        <v>144019713</v>
      </c>
    </row>
    <row r="1658" ht="27.75" customHeight="1" spans="1:34" x14ac:dyDescent="0.25">
      <c r="A1658" s="3">
        <v>1668</v>
      </c>
      <c r="B1658" s="3" t="s">
        <v>1166</v>
      </c>
      <c r="C1658" s="3" t="s">
        <v>1159</v>
      </c>
      <c r="D1658" s="3" t="s">
        <v>33</v>
      </c>
      <c r="E1658" s="3">
        <v>105</v>
      </c>
      <c r="F1658" s="3" t="s">
        <v>42</v>
      </c>
      <c r="G1658" s="3" t="s">
        <v>57</v>
      </c>
      <c r="H1658" s="3">
        <v>23</v>
      </c>
      <c r="I1658" s="4">
        <v>105</v>
      </c>
      <c r="J1658" s="5">
        <v>22400</v>
      </c>
      <c r="K1658" s="6">
        <f>$E1658+1</f>
        <v>106</v>
      </c>
      <c r="L1658" s="7">
        <f>IF($J1658=0,0,ROUND(MAX($J1658*1.4,1620000*(1.497923^(MIN($E1658,123)-117)))*1,0))</f>
        <v>31360</v>
      </c>
      <c r="M1658" s="4">
        <f>$E1658+2</f>
        <v>107</v>
      </c>
      <c r="N1658" s="8">
        <f>IF($J1658=0,0,ROUND(MAX($J1658*1.4*1.5,2190000*(1.580994^(MIN($E1658,123)-117)))*1,0))</f>
        <v>47040</v>
      </c>
      <c r="O1658" s="6">
        <f>$E1658+4</f>
        <v>109</v>
      </c>
      <c r="P1658" s="7">
        <f>IF($J1658=0,0,ROUND(MAX($J1658*1.4*1.5*1.6,3500000*(1.57975^(MIN($E1658,123)-117)))*1,0))</f>
        <v>75264</v>
      </c>
      <c r="Q1658" s="4">
        <f>$E1658+6</f>
        <v>111</v>
      </c>
      <c r="R1658" s="8">
        <f>IF($J1658=0,0,ROUND(MAX($J1658*1.4*1.5*1.6*1.6,13100000*(1.429962^(MIN($E1658,123)-117)))*1,0))</f>
        <v>179216</v>
      </c>
      <c r="S1658" s="6">
        <f>$E1658+8</f>
        <v>113</v>
      </c>
      <c r="T1658" s="7">
        <f>IF($J1658=0,0,ROUND(MAX($J1658*1.4*1.5*1.6*1.6*2.2,42600000*(1.576904^(MIN($E1658,123)-117)))*1,0))</f>
        <v>264929</v>
      </c>
      <c r="U1658" s="4">
        <f>$E1658+11</f>
        <v>116</v>
      </c>
      <c r="V1658" s="8">
        <f>IF($J1658=0,0,ROUND(MAX($J1658*1.4*1.5*1.6*1.6*2.2*2.715,354000000*(1.642074^(MIN($E1658,123)-117)))*1,0))</f>
        <v>921066</v>
      </c>
      <c r="W1658" s="6">
        <f>$E1658+15</f>
        <v>120</v>
      </c>
      <c r="X1658" s="7">
        <f>IF($J1658=0,0,ROUND(MAX($J1658*1.4*1.5*1.6*1.6*2.2*2.715*2.6,3540000000*(1.579646^(MIN($E1658,123)-117)))*1,0))</f>
        <v>14665133</v>
      </c>
      <c r="Y1658" s="4">
        <f>$E1658+17</f>
        <v>122</v>
      </c>
      <c r="Z1658" s="8">
        <f>IF($J1658=0,0,ROUND(MAX($J1658*1.4*1.5*1.6*1.6*2.2*2.715*2.6*1.4,6020000000*(1.651178^(MIN($E1658,123)-117)))*1,0))</f>
        <v>14657833</v>
      </c>
      <c r="AA1658" s="6">
        <f>$E1658+19</f>
        <v>124</v>
      </c>
      <c r="AB1658" s="7">
        <f>IF($J1658=0,0,ROUND(MAX($J1658*1.4*1.5*1.6*1.6*2.2*2.715*2.6*1.4*1.4,8430000000*(1.651435^(MIN($E1658,123)-117)))*1,0))</f>
        <v>20487537</v>
      </c>
      <c r="AC1658" s="4">
        <f>$E1658+21</f>
        <v>126</v>
      </c>
      <c r="AD1658" s="8">
        <f>IF($J1658=0,0,ROUND(MAX($J1658*1.4*1.5*1.6*1.6*2.2*2.715*2.6*1.4*1.4*1.5,12600000000*(1.652953^(MIN($E1658,123)-117)))*1,0))</f>
        <v>30286179</v>
      </c>
      <c r="AE1658" s="6">
        <f>$E1658+24</f>
        <v>129</v>
      </c>
      <c r="AF1658" s="7">
        <f>IF($J1658=0,0,ROUND(MAX($J1658*1.4*1.5*1.6*1.6*2.2*2.715*2.6*1.4*1.4*1.5*1.5,18900000000*(1.65331^(MIN($E1658,123)-117)))*1,0))</f>
        <v>45311693</v>
      </c>
      <c r="AG1658" s="4">
        <f>$E1658+27</f>
        <v>132</v>
      </c>
      <c r="AH1658" s="8">
        <f>IF($J1658=0,0,ROUND(MAX($J1658*1.4*1.5*1.6*1.6*2.2*2.715*2.6*1.4*1.4*1.5*1.5*3.2,60500000000*(1.654288^(MIN($E1658,123)-117)))*1,0))</f>
        <v>144019713</v>
      </c>
    </row>
    <row r="1659" ht="27.75" customHeight="1" spans="1:34" x14ac:dyDescent="0.25">
      <c r="A1659" s="3">
        <v>1669</v>
      </c>
      <c r="B1659" s="3" t="s">
        <v>268</v>
      </c>
      <c r="C1659" s="3" t="s">
        <v>1159</v>
      </c>
      <c r="D1659" s="3" t="s">
        <v>40</v>
      </c>
      <c r="E1659" s="3">
        <v>105</v>
      </c>
      <c r="F1659" s="3" t="s">
        <v>26</v>
      </c>
      <c r="G1659" s="3" t="s">
        <v>242</v>
      </c>
      <c r="H1659" s="3">
        <v>23</v>
      </c>
      <c r="I1659" s="4">
        <v>105</v>
      </c>
      <c r="J1659" s="5">
        <v>21000</v>
      </c>
      <c r="K1659" s="6">
        <f>$E1659+1</f>
        <v>106</v>
      </c>
      <c r="L1659" s="7">
        <f>IF($J1659=0,0,ROUND(MAX($J1659*1.4,1620000*(1.497923^(MIN($E1659,123)-117)))*1,0))</f>
        <v>29400</v>
      </c>
      <c r="M1659" s="4">
        <f>$E1659+2</f>
        <v>107</v>
      </c>
      <c r="N1659" s="8">
        <f>IF($J1659=0,0,ROUND(MAX($J1659*1.4*1.5,2190000*(1.580994^(MIN($E1659,123)-117)))*1,0))</f>
        <v>44100</v>
      </c>
      <c r="O1659" s="6">
        <f>$E1659+4</f>
        <v>109</v>
      </c>
      <c r="P1659" s="7">
        <f>IF($J1659=0,0,ROUND(MAX($J1659*1.4*1.5*1.6,3500000*(1.57975^(MIN($E1659,123)-117)))*1,0))</f>
        <v>70560</v>
      </c>
      <c r="Q1659" s="4">
        <f>$E1659+6</f>
        <v>111</v>
      </c>
      <c r="R1659" s="8">
        <f>IF($J1659=0,0,ROUND(MAX($J1659*1.4*1.5*1.6*1.6,13100000*(1.429962^(MIN($E1659,123)-117)))*1,0))</f>
        <v>179216</v>
      </c>
      <c r="S1659" s="6">
        <f>$E1659+8</f>
        <v>113</v>
      </c>
      <c r="T1659" s="7">
        <f>IF($J1659=0,0,ROUND(MAX($J1659*1.4*1.5*1.6*1.6*2.2,42600000*(1.576904^(MIN($E1659,123)-117)))*1,0))</f>
        <v>248371</v>
      </c>
      <c r="U1659" s="4">
        <f>$E1659+11</f>
        <v>116</v>
      </c>
      <c r="V1659" s="8">
        <f>IF($J1659=0,0,ROUND(MAX($J1659*1.4*1.5*1.6*1.6*2.2*2.715,354000000*(1.642074^(MIN($E1659,123)-117)))*1,0))</f>
        <v>921066</v>
      </c>
      <c r="W1659" s="6">
        <f>$E1659+15</f>
        <v>120</v>
      </c>
      <c r="X1659" s="7">
        <f>IF($J1659=0,0,ROUND(MAX($J1659*1.4*1.5*1.6*1.6*2.2*2.715*2.6,3540000000*(1.579646^(MIN($E1659,123)-117)))*1,0))</f>
        <v>14665133</v>
      </c>
      <c r="Y1659" s="4">
        <f>$E1659+17</f>
        <v>122</v>
      </c>
      <c r="Z1659" s="8">
        <f>IF($J1659=0,0,ROUND(MAX($J1659*1.4*1.5*1.6*1.6*2.2*2.715*2.6*1.4,6020000000*(1.651178^(MIN($E1659,123)-117)))*1,0))</f>
        <v>14657833</v>
      </c>
      <c r="AA1659" s="6">
        <f>$E1659+19</f>
        <v>124</v>
      </c>
      <c r="AB1659" s="7">
        <f>IF($J1659=0,0,ROUND(MAX($J1659*1.4*1.5*1.6*1.6*2.2*2.715*2.6*1.4*1.4,8430000000*(1.651435^(MIN($E1659,123)-117)))*1,0))</f>
        <v>20487537</v>
      </c>
      <c r="AC1659" s="4">
        <f>$E1659+21</f>
        <v>126</v>
      </c>
      <c r="AD1659" s="8">
        <f>IF($J1659=0,0,ROUND(MAX($J1659*1.4*1.5*1.6*1.6*2.2*2.715*2.6*1.4*1.4*1.5,12600000000*(1.652953^(MIN($E1659,123)-117)))*1,0))</f>
        <v>30286179</v>
      </c>
      <c r="AE1659" s="6">
        <f>$E1659+24</f>
        <v>129</v>
      </c>
      <c r="AF1659" s="7">
        <f>IF($J1659=0,0,ROUND(MAX($J1659*1.4*1.5*1.6*1.6*2.2*2.715*2.6*1.4*1.4*1.5*1.5,18900000000*(1.65331^(MIN($E1659,123)-117)))*1,0))</f>
        <v>45311693</v>
      </c>
      <c r="AG1659" s="4">
        <f>$E1659+27</f>
        <v>132</v>
      </c>
      <c r="AH1659" s="8">
        <f>IF($J1659=0,0,ROUND(MAX($J1659*1.4*1.5*1.6*1.6*2.2*2.715*2.6*1.4*1.4*1.5*1.5*3.2,60500000000*(1.654288^(MIN($E1659,123)-117)))*1,0))</f>
        <v>144019713</v>
      </c>
    </row>
    <row r="1660" ht="27.75" customHeight="1" spans="1:34" x14ac:dyDescent="0.25">
      <c r="A1660" s="3">
        <v>1670</v>
      </c>
      <c r="B1660" s="3" t="s">
        <v>692</v>
      </c>
      <c r="C1660" s="3" t="s">
        <v>1159</v>
      </c>
      <c r="D1660" s="3" t="s">
        <v>29</v>
      </c>
      <c r="E1660" s="3">
        <v>105</v>
      </c>
      <c r="F1660" s="3" t="s">
        <v>30</v>
      </c>
      <c r="G1660" s="3" t="s">
        <v>351</v>
      </c>
      <c r="H1660" s="3">
        <v>23</v>
      </c>
      <c r="I1660" s="4">
        <v>105</v>
      </c>
      <c r="J1660" s="5">
        <v>20000</v>
      </c>
      <c r="K1660" s="6">
        <f>$E1660+1</f>
        <v>106</v>
      </c>
      <c r="L1660" s="7">
        <f>IF($J1660=0,0,ROUND(MAX($J1660*1.4,1620000*(1.497923^(MIN($E1660,123)-117)))*1,0))</f>
        <v>28000</v>
      </c>
      <c r="M1660" s="4">
        <f>$E1660+2</f>
        <v>107</v>
      </c>
      <c r="N1660" s="8">
        <f>IF($J1660=0,0,ROUND(MAX($J1660*1.4*1.5,2190000*(1.580994^(MIN($E1660,123)-117)))*1,0))</f>
        <v>42000</v>
      </c>
      <c r="O1660" s="6">
        <f>$E1660+4</f>
        <v>109</v>
      </c>
      <c r="P1660" s="7">
        <f>IF($J1660=0,0,ROUND(MAX($J1660*1.4*1.5*1.6,3500000*(1.57975^(MIN($E1660,123)-117)))*1,0))</f>
        <v>67200</v>
      </c>
      <c r="Q1660" s="4">
        <f>$E1660+6</f>
        <v>111</v>
      </c>
      <c r="R1660" s="8">
        <f>IF($J1660=0,0,ROUND(MAX($J1660*1.4*1.5*1.6*1.6,13100000*(1.429962^(MIN($E1660,123)-117)))*1,0))</f>
        <v>179216</v>
      </c>
      <c r="S1660" s="6">
        <f>$E1660+8</f>
        <v>113</v>
      </c>
      <c r="T1660" s="7">
        <f>IF($J1660=0,0,ROUND(MAX($J1660*1.4*1.5*1.6*1.6*2.2,42600000*(1.576904^(MIN($E1660,123)-117)))*1,0))</f>
        <v>236544</v>
      </c>
      <c r="U1660" s="4">
        <f>$E1660+11</f>
        <v>116</v>
      </c>
      <c r="V1660" s="8">
        <f>IF($J1660=0,0,ROUND(MAX($J1660*1.4*1.5*1.6*1.6*2.2*2.715,354000000*(1.642074^(MIN($E1660,123)-117)))*1,0))</f>
        <v>921066</v>
      </c>
      <c r="W1660" s="6">
        <f>$E1660+15</f>
        <v>120</v>
      </c>
      <c r="X1660" s="7">
        <f>IF($J1660=0,0,ROUND(MAX($J1660*1.4*1.5*1.6*1.6*2.2*2.715*2.6,3540000000*(1.579646^(MIN($E1660,123)-117)))*1,0))</f>
        <v>14665133</v>
      </c>
      <c r="Y1660" s="4">
        <f>$E1660+17</f>
        <v>122</v>
      </c>
      <c r="Z1660" s="8">
        <f>IF($J1660=0,0,ROUND(MAX($J1660*1.4*1.5*1.6*1.6*2.2*2.715*2.6*1.4,6020000000*(1.651178^(MIN($E1660,123)-117)))*1,0))</f>
        <v>14657833</v>
      </c>
      <c r="AA1660" s="6">
        <f>$E1660+19</f>
        <v>124</v>
      </c>
      <c r="AB1660" s="7">
        <f>IF($J1660=0,0,ROUND(MAX($J1660*1.4*1.5*1.6*1.6*2.2*2.715*2.6*1.4*1.4,8430000000*(1.651435^(MIN($E1660,123)-117)))*1,0))</f>
        <v>20487537</v>
      </c>
      <c r="AC1660" s="4">
        <f>$E1660+21</f>
        <v>126</v>
      </c>
      <c r="AD1660" s="8">
        <f>IF($J1660=0,0,ROUND(MAX($J1660*1.4*1.5*1.6*1.6*2.2*2.715*2.6*1.4*1.4*1.5,12600000000*(1.652953^(MIN($E1660,123)-117)))*1,0))</f>
        <v>30286179</v>
      </c>
      <c r="AE1660" s="6">
        <f>$E1660+24</f>
        <v>129</v>
      </c>
      <c r="AF1660" s="7">
        <f>IF($J1660=0,0,ROUND(MAX($J1660*1.4*1.5*1.6*1.6*2.2*2.715*2.6*1.4*1.4*1.5*1.5,18900000000*(1.65331^(MIN($E1660,123)-117)))*1,0))</f>
        <v>45311693</v>
      </c>
      <c r="AG1660" s="4">
        <f>$E1660+27</f>
        <v>132</v>
      </c>
      <c r="AH1660" s="8">
        <f>IF($J1660=0,0,ROUND(MAX($J1660*1.4*1.5*1.6*1.6*2.2*2.715*2.6*1.4*1.4*1.5*1.5*3.2,60500000000*(1.654288^(MIN($E1660,123)-117)))*1,0))</f>
        <v>144019713</v>
      </c>
    </row>
    <row r="1661" ht="27.75" customHeight="1" spans="1:34" x14ac:dyDescent="0.25">
      <c r="A1661" s="3">
        <v>1671</v>
      </c>
      <c r="B1661" s="3" t="s">
        <v>678</v>
      </c>
      <c r="C1661" s="3" t="s">
        <v>1159</v>
      </c>
      <c r="D1661" s="3" t="s">
        <v>40</v>
      </c>
      <c r="E1661" s="3">
        <v>105</v>
      </c>
      <c r="F1661" s="3" t="s">
        <v>179</v>
      </c>
      <c r="G1661" s="3" t="s">
        <v>67</v>
      </c>
      <c r="H1661" s="3">
        <v>22</v>
      </c>
      <c r="I1661" s="4">
        <v>105</v>
      </c>
      <c r="J1661" s="5">
        <v>19800</v>
      </c>
      <c r="K1661" s="6">
        <f>$E1661+1</f>
        <v>106</v>
      </c>
      <c r="L1661" s="7">
        <f>IF($J1661=0,0,ROUND(MAX($J1661*1.4,1620000*(1.497923^(MIN($E1661,123)-117)))*1,0))</f>
        <v>27720</v>
      </c>
      <c r="M1661" s="4">
        <f>$E1661+2</f>
        <v>107</v>
      </c>
      <c r="N1661" s="8">
        <f>IF($J1661=0,0,ROUND(MAX($J1661*1.4*1.5,2190000*(1.580994^(MIN($E1661,123)-117)))*1,0))</f>
        <v>41580</v>
      </c>
      <c r="O1661" s="6">
        <f>$E1661+4</f>
        <v>109</v>
      </c>
      <c r="P1661" s="7">
        <f>IF($J1661=0,0,ROUND(MAX($J1661*1.4*1.5*1.6,3500000*(1.57975^(MIN($E1661,123)-117)))*1,0))</f>
        <v>66528</v>
      </c>
      <c r="Q1661" s="4">
        <f>$E1661+6</f>
        <v>111</v>
      </c>
      <c r="R1661" s="8">
        <f>IF($J1661=0,0,ROUND(MAX($J1661*1.4*1.5*1.6*1.6,13100000*(1.429962^(MIN($E1661,123)-117)))*1,0))</f>
        <v>179216</v>
      </c>
      <c r="S1661" s="6">
        <f>$E1661+8</f>
        <v>113</v>
      </c>
      <c r="T1661" s="7">
        <f>IF($J1661=0,0,ROUND(MAX($J1661*1.4*1.5*1.6*1.6*2.2,42600000*(1.576904^(MIN($E1661,123)-117)))*1,0))</f>
        <v>234179</v>
      </c>
      <c r="U1661" s="4">
        <f>$E1661+11</f>
        <v>116</v>
      </c>
      <c r="V1661" s="8">
        <f>IF($J1661=0,0,ROUND(MAX($J1661*1.4*1.5*1.6*1.6*2.2*2.715,354000000*(1.642074^(MIN($E1661,123)-117)))*1,0))</f>
        <v>921066</v>
      </c>
      <c r="W1661" s="6">
        <f>$E1661+15</f>
        <v>120</v>
      </c>
      <c r="X1661" s="7">
        <f>IF($J1661=0,0,ROUND(MAX($J1661*1.4*1.5*1.6*1.6*2.2*2.715*2.6,3540000000*(1.579646^(MIN($E1661,123)-117)))*1,0))</f>
        <v>14665133</v>
      </c>
      <c r="Y1661" s="4">
        <f>$E1661+17</f>
        <v>122</v>
      </c>
      <c r="Z1661" s="8">
        <f>IF($J1661=0,0,ROUND(MAX($J1661*1.4*1.5*1.6*1.6*2.2*2.715*2.6*1.4,6020000000*(1.651178^(MIN($E1661,123)-117)))*1,0))</f>
        <v>14657833</v>
      </c>
      <c r="AA1661" s="6">
        <f>$E1661+19</f>
        <v>124</v>
      </c>
      <c r="AB1661" s="7">
        <f>IF($J1661=0,0,ROUND(MAX($J1661*1.4*1.5*1.6*1.6*2.2*2.715*2.6*1.4*1.4,8430000000*(1.651435^(MIN($E1661,123)-117)))*1,0))</f>
        <v>20487537</v>
      </c>
      <c r="AC1661" s="4">
        <f>$E1661+21</f>
        <v>126</v>
      </c>
      <c r="AD1661" s="8">
        <f>IF($J1661=0,0,ROUND(MAX($J1661*1.4*1.5*1.6*1.6*2.2*2.715*2.6*1.4*1.4*1.5,12600000000*(1.652953^(MIN($E1661,123)-117)))*1,0))</f>
        <v>30286179</v>
      </c>
      <c r="AE1661" s="6">
        <f>$E1661+24</f>
        <v>129</v>
      </c>
      <c r="AF1661" s="7">
        <f>IF($J1661=0,0,ROUND(MAX($J1661*1.4*1.5*1.6*1.6*2.2*2.715*2.6*1.4*1.4*1.5*1.5,18900000000*(1.65331^(MIN($E1661,123)-117)))*1,0))</f>
        <v>45311693</v>
      </c>
      <c r="AG1661" s="4">
        <f>$E1661+27</f>
        <v>132</v>
      </c>
      <c r="AH1661" s="8">
        <f>IF($J1661=0,0,ROUND(MAX($J1661*1.4*1.5*1.6*1.6*2.2*2.715*2.6*1.4*1.4*1.5*1.5*3.2,60500000000*(1.654288^(MIN($E1661,123)-117)))*1,0))</f>
        <v>144019713</v>
      </c>
    </row>
    <row r="1662" ht="27.75" customHeight="1" spans="1:34" x14ac:dyDescent="0.25">
      <c r="A1662" s="3">
        <v>1672</v>
      </c>
      <c r="B1662" s="3" t="s">
        <v>236</v>
      </c>
      <c r="C1662" s="3" t="s">
        <v>1159</v>
      </c>
      <c r="D1662" s="3" t="s">
        <v>79</v>
      </c>
      <c r="E1662" s="3">
        <v>105</v>
      </c>
      <c r="F1662" s="3" t="s">
        <v>237</v>
      </c>
      <c r="G1662" s="3" t="s">
        <v>35</v>
      </c>
      <c r="H1662" s="3">
        <v>22</v>
      </c>
      <c r="I1662" s="4">
        <v>105</v>
      </c>
      <c r="J1662" s="5">
        <v>21000</v>
      </c>
      <c r="K1662" s="6">
        <f>$E1662+1</f>
        <v>106</v>
      </c>
      <c r="L1662" s="7">
        <f>IF($J1662=0,0,ROUND(MAX($J1662*1.4,1620000*(1.497923^(MIN($E1662,123)-117)))*1,0))</f>
        <v>29400</v>
      </c>
      <c r="M1662" s="4">
        <f>$E1662+2</f>
        <v>107</v>
      </c>
      <c r="N1662" s="8">
        <f>IF($J1662=0,0,ROUND(MAX($J1662*1.4*1.5,2190000*(1.580994^(MIN($E1662,123)-117)))*1,0))</f>
        <v>44100</v>
      </c>
      <c r="O1662" s="6">
        <f>$E1662+4</f>
        <v>109</v>
      </c>
      <c r="P1662" s="7">
        <f>IF($J1662=0,0,ROUND(MAX($J1662*1.4*1.5*1.6,3500000*(1.57975^(MIN($E1662,123)-117)))*1,0))</f>
        <v>70560</v>
      </c>
      <c r="Q1662" s="4">
        <f>$E1662+6</f>
        <v>111</v>
      </c>
      <c r="R1662" s="8">
        <f>IF($J1662=0,0,ROUND(MAX($J1662*1.4*1.5*1.6*1.6,13100000*(1.429962^(MIN($E1662,123)-117)))*1,0))</f>
        <v>179216</v>
      </c>
      <c r="S1662" s="6">
        <f>$E1662+8</f>
        <v>113</v>
      </c>
      <c r="T1662" s="7">
        <f>IF($J1662=0,0,ROUND(MAX($J1662*1.4*1.5*1.6*1.6*2.2,42600000*(1.576904^(MIN($E1662,123)-117)))*1,0))</f>
        <v>248371</v>
      </c>
      <c r="U1662" s="4">
        <f>$E1662+11</f>
        <v>116</v>
      </c>
      <c r="V1662" s="8">
        <f>IF($J1662=0,0,ROUND(MAX($J1662*1.4*1.5*1.6*1.6*2.2*2.715,354000000*(1.642074^(MIN($E1662,123)-117)))*1,0))</f>
        <v>921066</v>
      </c>
      <c r="W1662" s="6">
        <f>$E1662+15</f>
        <v>120</v>
      </c>
      <c r="X1662" s="7">
        <f>IF($J1662=0,0,ROUND(MAX($J1662*1.4*1.5*1.6*1.6*2.2*2.715*2.6,3540000000*(1.579646^(MIN($E1662,123)-117)))*1,0))</f>
        <v>14665133</v>
      </c>
      <c r="Y1662" s="4">
        <f>$E1662+17</f>
        <v>122</v>
      </c>
      <c r="Z1662" s="8">
        <f>IF($J1662=0,0,ROUND(MAX($J1662*1.4*1.5*1.6*1.6*2.2*2.715*2.6*1.4,6020000000*(1.651178^(MIN($E1662,123)-117)))*1,0))</f>
        <v>14657833</v>
      </c>
      <c r="AA1662" s="6">
        <f>$E1662+19</f>
        <v>124</v>
      </c>
      <c r="AB1662" s="7">
        <f>IF($J1662=0,0,ROUND(MAX($J1662*1.4*1.5*1.6*1.6*2.2*2.715*2.6*1.4*1.4,8430000000*(1.651435^(MIN($E1662,123)-117)))*1,0))</f>
        <v>20487537</v>
      </c>
      <c r="AC1662" s="4">
        <f>$E1662+21</f>
        <v>126</v>
      </c>
      <c r="AD1662" s="8">
        <f>IF($J1662=0,0,ROUND(MAX($J1662*1.4*1.5*1.6*1.6*2.2*2.715*2.6*1.4*1.4*1.5,12600000000*(1.652953^(MIN($E1662,123)-117)))*1,0))</f>
        <v>30286179</v>
      </c>
      <c r="AE1662" s="6">
        <f>$E1662+24</f>
        <v>129</v>
      </c>
      <c r="AF1662" s="7">
        <f>IF($J1662=0,0,ROUND(MAX($J1662*1.4*1.5*1.6*1.6*2.2*2.715*2.6*1.4*1.4*1.5*1.5,18900000000*(1.65331^(MIN($E1662,123)-117)))*1,0))</f>
        <v>45311693</v>
      </c>
      <c r="AG1662" s="4">
        <f>$E1662+27</f>
        <v>132</v>
      </c>
      <c r="AH1662" s="8">
        <f>IF($J1662=0,0,ROUND(MAX($J1662*1.4*1.5*1.6*1.6*2.2*2.715*2.6*1.4*1.4*1.5*1.5*3.2,60500000000*(1.654288^(MIN($E1662,123)-117)))*1,0))</f>
        <v>144019713</v>
      </c>
    </row>
    <row r="1663" ht="27.75" customHeight="1" spans="1:34" x14ac:dyDescent="0.25">
      <c r="A1663" s="3">
        <v>1673</v>
      </c>
      <c r="B1663" s="3" t="s">
        <v>805</v>
      </c>
      <c r="C1663" s="3" t="s">
        <v>1159</v>
      </c>
      <c r="D1663" s="3" t="s">
        <v>79</v>
      </c>
      <c r="E1663" s="3">
        <v>105</v>
      </c>
      <c r="F1663" s="3" t="s">
        <v>56</v>
      </c>
      <c r="G1663" s="3" t="s">
        <v>185</v>
      </c>
      <c r="H1663" s="3">
        <v>22</v>
      </c>
      <c r="I1663" s="4">
        <v>105</v>
      </c>
      <c r="J1663" s="5">
        <v>18700</v>
      </c>
      <c r="K1663" s="6">
        <f>$E1663+1</f>
        <v>106</v>
      </c>
      <c r="L1663" s="7">
        <f>IF($J1663=0,0,ROUND(MAX($J1663*1.4,1620000*(1.497923^(MIN($E1663,123)-117)))*1,0))</f>
        <v>26180</v>
      </c>
      <c r="M1663" s="4">
        <f>$E1663+2</f>
        <v>107</v>
      </c>
      <c r="N1663" s="8">
        <f>IF($J1663=0,0,ROUND(MAX($J1663*1.4*1.5,2190000*(1.580994^(MIN($E1663,123)-117)))*1,0))</f>
        <v>39270</v>
      </c>
      <c r="O1663" s="6">
        <f>$E1663+4</f>
        <v>109</v>
      </c>
      <c r="P1663" s="7">
        <f>IF($J1663=0,0,ROUND(MAX($J1663*1.4*1.5*1.6,3500000*(1.57975^(MIN($E1663,123)-117)))*1,0))</f>
        <v>62832</v>
      </c>
      <c r="Q1663" s="4">
        <f>$E1663+6</f>
        <v>111</v>
      </c>
      <c r="R1663" s="8">
        <f>IF($J1663=0,0,ROUND(MAX($J1663*1.4*1.5*1.6*1.6,13100000*(1.429962^(MIN($E1663,123)-117)))*1,0))</f>
        <v>179216</v>
      </c>
      <c r="S1663" s="6">
        <f>$E1663+8</f>
        <v>113</v>
      </c>
      <c r="T1663" s="7">
        <f>IF($J1663=0,0,ROUND(MAX($J1663*1.4*1.5*1.6*1.6*2.2,42600000*(1.576904^(MIN($E1663,123)-117)))*1,0))</f>
        <v>221169</v>
      </c>
      <c r="U1663" s="4">
        <f>$E1663+11</f>
        <v>116</v>
      </c>
      <c r="V1663" s="8">
        <f>IF($J1663=0,0,ROUND(MAX($J1663*1.4*1.5*1.6*1.6*2.2*2.715,354000000*(1.642074^(MIN($E1663,123)-117)))*1,0))</f>
        <v>921066</v>
      </c>
      <c r="W1663" s="6">
        <f>$E1663+15</f>
        <v>120</v>
      </c>
      <c r="X1663" s="7">
        <f>IF($J1663=0,0,ROUND(MAX($J1663*1.4*1.5*1.6*1.6*2.2*2.715*2.6,3540000000*(1.579646^(MIN($E1663,123)-117)))*1,0))</f>
        <v>14665133</v>
      </c>
      <c r="Y1663" s="4">
        <f>$E1663+17</f>
        <v>122</v>
      </c>
      <c r="Z1663" s="8">
        <f>IF($J1663=0,0,ROUND(MAX($J1663*1.4*1.5*1.6*1.6*2.2*2.715*2.6*1.4,6020000000*(1.651178^(MIN($E1663,123)-117)))*1,0))</f>
        <v>14657833</v>
      </c>
      <c r="AA1663" s="6">
        <f>$E1663+19</f>
        <v>124</v>
      </c>
      <c r="AB1663" s="7">
        <f>IF($J1663=0,0,ROUND(MAX($J1663*1.4*1.5*1.6*1.6*2.2*2.715*2.6*1.4*1.4,8430000000*(1.651435^(MIN($E1663,123)-117)))*1,0))</f>
        <v>20487537</v>
      </c>
      <c r="AC1663" s="4">
        <f>$E1663+21</f>
        <v>126</v>
      </c>
      <c r="AD1663" s="8">
        <f>IF($J1663=0,0,ROUND(MAX($J1663*1.4*1.5*1.6*1.6*2.2*2.715*2.6*1.4*1.4*1.5,12600000000*(1.652953^(MIN($E1663,123)-117)))*1,0))</f>
        <v>30286179</v>
      </c>
      <c r="AE1663" s="6">
        <f>$E1663+24</f>
        <v>129</v>
      </c>
      <c r="AF1663" s="7">
        <f>IF($J1663=0,0,ROUND(MAX($J1663*1.4*1.5*1.6*1.6*2.2*2.715*2.6*1.4*1.4*1.5*1.5,18900000000*(1.65331^(MIN($E1663,123)-117)))*1,0))</f>
        <v>45311693</v>
      </c>
      <c r="AG1663" s="4">
        <f>$E1663+27</f>
        <v>132</v>
      </c>
      <c r="AH1663" s="8">
        <f>IF($J1663=0,0,ROUND(MAX($J1663*1.4*1.5*1.6*1.6*2.2*2.715*2.6*1.4*1.4*1.5*1.5*3.2,60500000000*(1.654288^(MIN($E1663,123)-117)))*1,0))</f>
        <v>144019713</v>
      </c>
    </row>
    <row r="1664" ht="27.75" customHeight="1" spans="1:34" x14ac:dyDescent="0.25">
      <c r="A1664" s="3">
        <v>1674</v>
      </c>
      <c r="B1664" s="3" t="s">
        <v>259</v>
      </c>
      <c r="C1664" s="3" t="s">
        <v>1159</v>
      </c>
      <c r="D1664" s="3" t="s">
        <v>102</v>
      </c>
      <c r="E1664" s="3">
        <v>105</v>
      </c>
      <c r="F1664" s="3" t="s">
        <v>34</v>
      </c>
      <c r="G1664" s="3" t="s">
        <v>35</v>
      </c>
      <c r="H1664" s="3">
        <v>22</v>
      </c>
      <c r="I1664" s="4">
        <v>105</v>
      </c>
      <c r="J1664" s="5">
        <v>22000</v>
      </c>
      <c r="K1664" s="6">
        <f>$E1664+1</f>
        <v>106</v>
      </c>
      <c r="L1664" s="7">
        <f>IF($J1664=0,0,ROUND(MAX($J1664*1.4,1620000*(1.497923^(MIN($E1664,123)-117)))*1,0))</f>
        <v>30800</v>
      </c>
      <c r="M1664" s="4">
        <f>$E1664+2</f>
        <v>107</v>
      </c>
      <c r="N1664" s="8">
        <f>IF($J1664=0,0,ROUND(MAX($J1664*1.4*1.5,2190000*(1.580994^(MIN($E1664,123)-117)))*1,0))</f>
        <v>46200</v>
      </c>
      <c r="O1664" s="6">
        <f>$E1664+4</f>
        <v>109</v>
      </c>
      <c r="P1664" s="7">
        <f>IF($J1664=0,0,ROUND(MAX($J1664*1.4*1.5*1.6,3500000*(1.57975^(MIN($E1664,123)-117)))*1,0))</f>
        <v>73920</v>
      </c>
      <c r="Q1664" s="4">
        <f>$E1664+6</f>
        <v>111</v>
      </c>
      <c r="R1664" s="8">
        <f>IF($J1664=0,0,ROUND(MAX($J1664*1.4*1.5*1.6*1.6,13100000*(1.429962^(MIN($E1664,123)-117)))*1,0))</f>
        <v>179216</v>
      </c>
      <c r="S1664" s="6">
        <f>$E1664+8</f>
        <v>113</v>
      </c>
      <c r="T1664" s="7">
        <f>IF($J1664=0,0,ROUND(MAX($J1664*1.4*1.5*1.6*1.6*2.2,42600000*(1.576904^(MIN($E1664,123)-117)))*1,0))</f>
        <v>260198</v>
      </c>
      <c r="U1664" s="4">
        <f>$E1664+11</f>
        <v>116</v>
      </c>
      <c r="V1664" s="8">
        <f>IF($J1664=0,0,ROUND(MAX($J1664*1.4*1.5*1.6*1.6*2.2*2.715,354000000*(1.642074^(MIN($E1664,123)-117)))*1,0))</f>
        <v>921066</v>
      </c>
      <c r="W1664" s="6">
        <f>$E1664+15</f>
        <v>120</v>
      </c>
      <c r="X1664" s="7">
        <f>IF($J1664=0,0,ROUND(MAX($J1664*1.4*1.5*1.6*1.6*2.2*2.715*2.6,3540000000*(1.579646^(MIN($E1664,123)-117)))*1,0))</f>
        <v>14665133</v>
      </c>
      <c r="Y1664" s="4">
        <f>$E1664+17</f>
        <v>122</v>
      </c>
      <c r="Z1664" s="8">
        <f>IF($J1664=0,0,ROUND(MAX($J1664*1.4*1.5*1.6*1.6*2.2*2.715*2.6*1.4,6020000000*(1.651178^(MIN($E1664,123)-117)))*1,0))</f>
        <v>14657833</v>
      </c>
      <c r="AA1664" s="6">
        <f>$E1664+19</f>
        <v>124</v>
      </c>
      <c r="AB1664" s="7">
        <f>IF($J1664=0,0,ROUND(MAX($J1664*1.4*1.5*1.6*1.6*2.2*2.715*2.6*1.4*1.4,8430000000*(1.651435^(MIN($E1664,123)-117)))*1,0))</f>
        <v>20487537</v>
      </c>
      <c r="AC1664" s="4">
        <f>$E1664+21</f>
        <v>126</v>
      </c>
      <c r="AD1664" s="8">
        <f>IF($J1664=0,0,ROUND(MAX($J1664*1.4*1.5*1.6*1.6*2.2*2.715*2.6*1.4*1.4*1.5,12600000000*(1.652953^(MIN($E1664,123)-117)))*1,0))</f>
        <v>30286179</v>
      </c>
      <c r="AE1664" s="6">
        <f>$E1664+24</f>
        <v>129</v>
      </c>
      <c r="AF1664" s="7">
        <f>IF($J1664=0,0,ROUND(MAX($J1664*1.4*1.5*1.6*1.6*2.2*2.715*2.6*1.4*1.4*1.5*1.5,18900000000*(1.65331^(MIN($E1664,123)-117)))*1,0))</f>
        <v>45311693</v>
      </c>
      <c r="AG1664" s="4">
        <f>$E1664+27</f>
        <v>132</v>
      </c>
      <c r="AH1664" s="8">
        <f>IF($J1664=0,0,ROUND(MAX($J1664*1.4*1.5*1.6*1.6*2.2*2.715*2.6*1.4*1.4*1.5*1.5*3.2,60500000000*(1.654288^(MIN($E1664,123)-117)))*1,0))</f>
        <v>144019713</v>
      </c>
    </row>
    <row r="1665" ht="27.75" customHeight="1" spans="1:34" x14ac:dyDescent="0.25">
      <c r="A1665" s="3">
        <v>1675</v>
      </c>
      <c r="B1665" s="3" t="s">
        <v>1167</v>
      </c>
      <c r="C1665" s="3" t="s">
        <v>1159</v>
      </c>
      <c r="D1665" s="3" t="s">
        <v>47</v>
      </c>
      <c r="E1665" s="3">
        <v>105</v>
      </c>
      <c r="F1665" s="3" t="s">
        <v>26</v>
      </c>
      <c r="G1665" s="3" t="s">
        <v>832</v>
      </c>
      <c r="H1665" s="3">
        <v>20</v>
      </c>
      <c r="I1665" s="4">
        <v>105</v>
      </c>
      <c r="J1665" s="5">
        <v>19500</v>
      </c>
      <c r="K1665" s="6">
        <f>$E1665+1</f>
        <v>106</v>
      </c>
      <c r="L1665" s="7">
        <f>IF($J1665=0,0,ROUND(MAX($J1665*1.4,1620000*(1.497923^(MIN($E1665,123)-117)))*1,0))</f>
        <v>27300</v>
      </c>
      <c r="M1665" s="4">
        <f>$E1665+2</f>
        <v>107</v>
      </c>
      <c r="N1665" s="8">
        <f>IF($J1665=0,0,ROUND(MAX($J1665*1.4*1.5,2190000*(1.580994^(MIN($E1665,123)-117)))*1,0))</f>
        <v>40950</v>
      </c>
      <c r="O1665" s="6">
        <f>$E1665+4</f>
        <v>109</v>
      </c>
      <c r="P1665" s="7">
        <f>IF($J1665=0,0,ROUND(MAX($J1665*1.4*1.5*1.6,3500000*(1.57975^(MIN($E1665,123)-117)))*1,0))</f>
        <v>65520</v>
      </c>
      <c r="Q1665" s="4">
        <f>$E1665+6</f>
        <v>111</v>
      </c>
      <c r="R1665" s="8">
        <f>IF($J1665=0,0,ROUND(MAX($J1665*1.4*1.5*1.6*1.6,13100000*(1.429962^(MIN($E1665,123)-117)))*1,0))</f>
        <v>179216</v>
      </c>
      <c r="S1665" s="6">
        <f>$E1665+8</f>
        <v>113</v>
      </c>
      <c r="T1665" s="7">
        <f>IF($J1665=0,0,ROUND(MAX($J1665*1.4*1.5*1.6*1.6*2.2,42600000*(1.576904^(MIN($E1665,123)-117)))*1,0))</f>
        <v>230630</v>
      </c>
      <c r="U1665" s="4">
        <f>$E1665+11</f>
        <v>116</v>
      </c>
      <c r="V1665" s="8">
        <f>IF($J1665=0,0,ROUND(MAX($J1665*1.4*1.5*1.6*1.6*2.2*2.715,354000000*(1.642074^(MIN($E1665,123)-117)))*1,0))</f>
        <v>921066</v>
      </c>
      <c r="W1665" s="6">
        <f>$E1665+15</f>
        <v>120</v>
      </c>
      <c r="X1665" s="7">
        <f>IF($J1665=0,0,ROUND(MAX($J1665*1.4*1.5*1.6*1.6*2.2*2.715*2.6,3540000000*(1.579646^(MIN($E1665,123)-117)))*1,0))</f>
        <v>14665133</v>
      </c>
      <c r="Y1665" s="4">
        <f>$E1665+17</f>
        <v>122</v>
      </c>
      <c r="Z1665" s="8">
        <f>IF($J1665=0,0,ROUND(MAX($J1665*1.4*1.5*1.6*1.6*2.2*2.715*2.6*1.4,6020000000*(1.651178^(MIN($E1665,123)-117)))*1,0))</f>
        <v>14657833</v>
      </c>
      <c r="AA1665" s="6">
        <f>$E1665+19</f>
        <v>124</v>
      </c>
      <c r="AB1665" s="7">
        <f>IF($J1665=0,0,ROUND(MAX($J1665*1.4*1.5*1.6*1.6*2.2*2.715*2.6*1.4*1.4,8430000000*(1.651435^(MIN($E1665,123)-117)))*1,0))</f>
        <v>20487537</v>
      </c>
      <c r="AC1665" s="4">
        <f>$E1665+21</f>
        <v>126</v>
      </c>
      <c r="AD1665" s="8">
        <f>IF($J1665=0,0,ROUND(MAX($J1665*1.4*1.5*1.6*1.6*2.2*2.715*2.6*1.4*1.4*1.5,12600000000*(1.652953^(MIN($E1665,123)-117)))*1,0))</f>
        <v>30286179</v>
      </c>
      <c r="AE1665" s="6">
        <f>$E1665+24</f>
        <v>129</v>
      </c>
      <c r="AF1665" s="7">
        <f>IF($J1665=0,0,ROUND(MAX($J1665*1.4*1.5*1.6*1.6*2.2*2.715*2.6*1.4*1.4*1.5*1.5,18900000000*(1.65331^(MIN($E1665,123)-117)))*1,0))</f>
        <v>45311693</v>
      </c>
      <c r="AG1665" s="4">
        <f>$E1665+27</f>
        <v>132</v>
      </c>
      <c r="AH1665" s="8">
        <f>IF($J1665=0,0,ROUND(MAX($J1665*1.4*1.5*1.6*1.6*2.2*2.715*2.6*1.4*1.4*1.5*1.5*3.2,60500000000*(1.654288^(MIN($E1665,123)-117)))*1,0))</f>
        <v>144019713</v>
      </c>
    </row>
    <row r="1666" ht="27.75" customHeight="1" spans="1:34" x14ac:dyDescent="0.25">
      <c r="A1666" s="3">
        <v>1676</v>
      </c>
      <c r="B1666" s="3" t="s">
        <v>634</v>
      </c>
      <c r="C1666" s="3" t="s">
        <v>1159</v>
      </c>
      <c r="D1666" s="3" t="s">
        <v>33</v>
      </c>
      <c r="E1666" s="3">
        <v>104</v>
      </c>
      <c r="F1666" s="3" t="s">
        <v>59</v>
      </c>
      <c r="G1666" s="3" t="s">
        <v>185</v>
      </c>
      <c r="H1666" s="3">
        <v>23</v>
      </c>
      <c r="I1666" s="4">
        <v>104</v>
      </c>
      <c r="J1666" s="5">
        <v>19900</v>
      </c>
      <c r="K1666" s="6">
        <f>$E1666+1</f>
        <v>105</v>
      </c>
      <c r="L1666" s="7">
        <f>IF($J1666=0,0,ROUND(MAX($J1666*1.4,1620000*(1.497923^(MIN($E1666,123)-117)))*1,0))</f>
        <v>27860</v>
      </c>
      <c r="M1666" s="4">
        <f>$E1666+2</f>
        <v>106</v>
      </c>
      <c r="N1666" s="8">
        <f>IF($J1666=0,0,ROUND(MAX($J1666*1.4*1.5,2190000*(1.580994^(MIN($E1666,123)-117)))*1,0))</f>
        <v>41790</v>
      </c>
      <c r="O1666" s="6">
        <f>$E1666+4</f>
        <v>108</v>
      </c>
      <c r="P1666" s="7">
        <f>IF($J1666=0,0,ROUND(MAX($J1666*1.4*1.5*1.6,3500000*(1.57975^(MIN($E1666,123)-117)))*1,0))</f>
        <v>66864</v>
      </c>
      <c r="Q1666" s="4">
        <f>$E1666+6</f>
        <v>110</v>
      </c>
      <c r="R1666" s="8">
        <f>IF($J1666=0,0,ROUND(MAX($J1666*1.4*1.5*1.6*1.6,13100000*(1.429962^(MIN($E1666,123)-117)))*1,0))</f>
        <v>125329</v>
      </c>
      <c r="S1666" s="6">
        <f>$E1666+8</f>
        <v>112</v>
      </c>
      <c r="T1666" s="7">
        <f>IF($J1666=0,0,ROUND(MAX($J1666*1.4*1.5*1.6*1.6*2.2,42600000*(1.576904^(MIN($E1666,123)-117)))*1,0))</f>
        <v>235361</v>
      </c>
      <c r="U1666" s="4">
        <f>$E1666+11</f>
        <v>115</v>
      </c>
      <c r="V1666" s="8">
        <f>IF($J1666=0,0,ROUND(MAX($J1666*1.4*1.5*1.6*1.6*2.2*2.715,354000000*(1.642074^(MIN($E1666,123)-117)))*1,0))</f>
        <v>639006</v>
      </c>
      <c r="W1666" s="6">
        <f>$E1666+15</f>
        <v>119</v>
      </c>
      <c r="X1666" s="7">
        <f>IF($J1666=0,0,ROUND(MAX($J1666*1.4*1.5*1.6*1.6*2.2*2.715*2.6,3540000000*(1.579646^(MIN($E1666,123)-117)))*1,0))</f>
        <v>9283810</v>
      </c>
      <c r="Y1666" s="4">
        <f>$E1666+17</f>
        <v>121</v>
      </c>
      <c r="Z1666" s="8">
        <f>IF($J1666=0,0,ROUND(MAX($J1666*1.4*1.5*1.6*1.6*2.2*2.715*2.6*1.4,6020000000*(1.651178^(MIN($E1666,123)-117)))*1,0))</f>
        <v>8877197</v>
      </c>
      <c r="AA1666" s="6">
        <f>$E1666+19</f>
        <v>123</v>
      </c>
      <c r="AB1666" s="7">
        <f>IF($J1666=0,0,ROUND(MAX($J1666*1.4*1.5*1.6*1.6*2.2*2.715*2.6*1.4*1.4,8430000000*(1.651435^(MIN($E1666,123)-117)))*1,0))</f>
        <v>12405900</v>
      </c>
      <c r="AC1666" s="4">
        <f>$E1666+21</f>
        <v>125</v>
      </c>
      <c r="AD1666" s="8">
        <f>IF($J1666=0,0,ROUND(MAX($J1666*1.4*1.5*1.6*1.6*2.2*2.715*2.6*1.4*1.4*1.5,12600000000*(1.652953^(MIN($E1666,123)-117)))*1,0))</f>
        <v>18322468</v>
      </c>
      <c r="AE1666" s="6">
        <f>$E1666+24</f>
        <v>128</v>
      </c>
      <c r="AF1666" s="7">
        <f>IF($J1666=0,0,ROUND(MAX($J1666*1.4*1.5*1.6*1.6*2.2*2.715*2.6*1.4*1.4*1.5*1.5,18900000000*(1.65331^(MIN($E1666,123)-117)))*1,0))</f>
        <v>27406653</v>
      </c>
      <c r="AG1666" s="4">
        <f>$E1666+27</f>
        <v>131</v>
      </c>
      <c r="AH1666" s="8">
        <f>IF($J1666=0,0,ROUND(MAX($J1666*1.4*1.5*1.6*1.6*2.2*2.715*2.6*1.4*1.4*1.5*1.5*3.2,60500000000*(1.654288^(MIN($E1666,123)-117)))*1,0))</f>
        <v>87058428</v>
      </c>
    </row>
    <row r="1667" ht="27.75" customHeight="1" spans="1:34" x14ac:dyDescent="0.25">
      <c r="A1667" s="3">
        <v>1677</v>
      </c>
      <c r="B1667" s="3" t="s">
        <v>679</v>
      </c>
      <c r="C1667" s="3" t="s">
        <v>1159</v>
      </c>
      <c r="D1667" s="3" t="s">
        <v>33</v>
      </c>
      <c r="E1667" s="3">
        <v>104</v>
      </c>
      <c r="F1667" s="3" t="s">
        <v>123</v>
      </c>
      <c r="G1667" s="3" t="s">
        <v>35</v>
      </c>
      <c r="H1667" s="3">
        <v>23</v>
      </c>
      <c r="I1667" s="4">
        <v>104</v>
      </c>
      <c r="J1667" s="5">
        <v>17800</v>
      </c>
      <c r="K1667" s="6">
        <f>$E1667+1</f>
        <v>105</v>
      </c>
      <c r="L1667" s="7">
        <f>IF($J1667=0,0,ROUND(MAX($J1667*1.4,1620000*(1.497923^(MIN($E1667,123)-117)))*1,0))</f>
        <v>24920</v>
      </c>
      <c r="M1667" s="4">
        <f>$E1667+2</f>
        <v>106</v>
      </c>
      <c r="N1667" s="8">
        <f>IF($J1667=0,0,ROUND(MAX($J1667*1.4*1.5,2190000*(1.580994^(MIN($E1667,123)-117)))*1,0))</f>
        <v>37380</v>
      </c>
      <c r="O1667" s="6">
        <f>$E1667+4</f>
        <v>108</v>
      </c>
      <c r="P1667" s="7">
        <f>IF($J1667=0,0,ROUND(MAX($J1667*1.4*1.5*1.6,3500000*(1.57975^(MIN($E1667,123)-117)))*1,0))</f>
        <v>59808</v>
      </c>
      <c r="Q1667" s="4">
        <f>$E1667+6</f>
        <v>110</v>
      </c>
      <c r="R1667" s="8">
        <f>IF($J1667=0,0,ROUND(MAX($J1667*1.4*1.5*1.6*1.6,13100000*(1.429962^(MIN($E1667,123)-117)))*1,0))</f>
        <v>125329</v>
      </c>
      <c r="S1667" s="6">
        <f>$E1667+8</f>
        <v>112</v>
      </c>
      <c r="T1667" s="7">
        <f>IF($J1667=0,0,ROUND(MAX($J1667*1.4*1.5*1.6*1.6*2.2,42600000*(1.576904^(MIN($E1667,123)-117)))*1,0))</f>
        <v>210524</v>
      </c>
      <c r="U1667" s="4">
        <f>$E1667+11</f>
        <v>115</v>
      </c>
      <c r="V1667" s="8">
        <f>IF($J1667=0,0,ROUND(MAX($J1667*1.4*1.5*1.6*1.6*2.2*2.715,354000000*(1.642074^(MIN($E1667,123)-117)))*1,0))</f>
        <v>571573</v>
      </c>
      <c r="W1667" s="6">
        <f>$E1667+15</f>
        <v>119</v>
      </c>
      <c r="X1667" s="7">
        <f>IF($J1667=0,0,ROUND(MAX($J1667*1.4*1.5*1.6*1.6*2.2*2.715*2.6,3540000000*(1.579646^(MIN($E1667,123)-117)))*1,0))</f>
        <v>9283810</v>
      </c>
      <c r="Y1667" s="4">
        <f>$E1667+17</f>
        <v>121</v>
      </c>
      <c r="Z1667" s="8">
        <f>IF($J1667=0,0,ROUND(MAX($J1667*1.4*1.5*1.6*1.6*2.2*2.715*2.6*1.4,6020000000*(1.651178^(MIN($E1667,123)-117)))*1,0))</f>
        <v>8877197</v>
      </c>
      <c r="AA1667" s="6">
        <f>$E1667+19</f>
        <v>123</v>
      </c>
      <c r="AB1667" s="7">
        <f>IF($J1667=0,0,ROUND(MAX($J1667*1.4*1.5*1.6*1.6*2.2*2.715*2.6*1.4*1.4,8430000000*(1.651435^(MIN($E1667,123)-117)))*1,0))</f>
        <v>12405900</v>
      </c>
      <c r="AC1667" s="4">
        <f>$E1667+21</f>
        <v>125</v>
      </c>
      <c r="AD1667" s="8">
        <f>IF($J1667=0,0,ROUND(MAX($J1667*1.4*1.5*1.6*1.6*2.2*2.715*2.6*1.4*1.4*1.5,12600000000*(1.652953^(MIN($E1667,123)-117)))*1,0))</f>
        <v>18322468</v>
      </c>
      <c r="AE1667" s="6">
        <f>$E1667+24</f>
        <v>128</v>
      </c>
      <c r="AF1667" s="7">
        <f>IF($J1667=0,0,ROUND(MAX($J1667*1.4*1.5*1.6*1.6*2.2*2.715*2.6*1.4*1.4*1.5*1.5,18900000000*(1.65331^(MIN($E1667,123)-117)))*1,0))</f>
        <v>27406653</v>
      </c>
      <c r="AG1667" s="4">
        <f>$E1667+27</f>
        <v>131</v>
      </c>
      <c r="AH1667" s="8">
        <f>IF($J1667=0,0,ROUND(MAX($J1667*1.4*1.5*1.6*1.6*2.2*2.715*2.6*1.4*1.4*1.5*1.5*3.2,60500000000*(1.654288^(MIN($E1667,123)-117)))*1,0))</f>
        <v>87058428</v>
      </c>
    </row>
    <row r="1668" ht="27.75" customHeight="1" spans="1:34" x14ac:dyDescent="0.25">
      <c r="A1668" s="3">
        <v>1678</v>
      </c>
      <c r="B1668" s="3" t="s">
        <v>485</v>
      </c>
      <c r="C1668" s="3" t="s">
        <v>1159</v>
      </c>
      <c r="D1668" s="3" t="s">
        <v>33</v>
      </c>
      <c r="E1668" s="3">
        <v>104</v>
      </c>
      <c r="F1668" s="3" t="s">
        <v>30</v>
      </c>
      <c r="G1668" s="3" t="s">
        <v>218</v>
      </c>
      <c r="H1668" s="3">
        <v>23</v>
      </c>
      <c r="I1668" s="4">
        <v>104</v>
      </c>
      <c r="J1668" s="5">
        <v>9500</v>
      </c>
      <c r="K1668" s="6">
        <f>$E1668+1</f>
        <v>105</v>
      </c>
      <c r="L1668" s="7">
        <f>IF($J1668=0,0,ROUND(MAX($J1668*1.4,1620000*(1.497923^(MIN($E1668,123)-117)))*1,0))</f>
        <v>13300</v>
      </c>
      <c r="M1668" s="4">
        <f>$E1668+2</f>
        <v>106</v>
      </c>
      <c r="N1668" s="8">
        <f>IF($J1668=0,0,ROUND(MAX($J1668*1.4*1.5,2190000*(1.580994^(MIN($E1668,123)-117)))*1,0))</f>
        <v>19950</v>
      </c>
      <c r="O1668" s="6">
        <f>$E1668+4</f>
        <v>108</v>
      </c>
      <c r="P1668" s="7">
        <f>IF($J1668=0,0,ROUND(MAX($J1668*1.4*1.5*1.6,3500000*(1.57975^(MIN($E1668,123)-117)))*1,0))</f>
        <v>31920</v>
      </c>
      <c r="Q1668" s="4">
        <f>$E1668+6</f>
        <v>110</v>
      </c>
      <c r="R1668" s="8">
        <f>IF($J1668=0,0,ROUND(MAX($J1668*1.4*1.5*1.6*1.6,13100000*(1.429962^(MIN($E1668,123)-117)))*1,0))</f>
        <v>125329</v>
      </c>
      <c r="S1668" s="6">
        <f>$E1668+8</f>
        <v>112</v>
      </c>
      <c r="T1668" s="7">
        <f>IF($J1668=0,0,ROUND(MAX($J1668*1.4*1.5*1.6*1.6*2.2,42600000*(1.576904^(MIN($E1668,123)-117)))*1,0))</f>
        <v>114272</v>
      </c>
      <c r="U1668" s="4">
        <f>$E1668+11</f>
        <v>115</v>
      </c>
      <c r="V1668" s="8">
        <f>IF($J1668=0,0,ROUND(MAX($J1668*1.4*1.5*1.6*1.6*2.2*2.715,354000000*(1.642074^(MIN($E1668,123)-117)))*1,0))</f>
        <v>560916</v>
      </c>
      <c r="W1668" s="6">
        <f>$E1668+15</f>
        <v>119</v>
      </c>
      <c r="X1668" s="7">
        <f>IF($J1668=0,0,ROUND(MAX($J1668*1.4*1.5*1.6*1.6*2.2*2.715*2.6,3540000000*(1.579646^(MIN($E1668,123)-117)))*1,0))</f>
        <v>9283810</v>
      </c>
      <c r="Y1668" s="4">
        <f>$E1668+17</f>
        <v>121</v>
      </c>
      <c r="Z1668" s="8">
        <f>IF($J1668=0,0,ROUND(MAX($J1668*1.4*1.5*1.6*1.6*2.2*2.715*2.6*1.4,6020000000*(1.651178^(MIN($E1668,123)-117)))*1,0))</f>
        <v>8877197</v>
      </c>
      <c r="AA1668" s="6">
        <f>$E1668+19</f>
        <v>123</v>
      </c>
      <c r="AB1668" s="7">
        <f>IF($J1668=0,0,ROUND(MAX($J1668*1.4*1.5*1.6*1.6*2.2*2.715*2.6*1.4*1.4,8430000000*(1.651435^(MIN($E1668,123)-117)))*1,0))</f>
        <v>12405900</v>
      </c>
      <c r="AC1668" s="4">
        <f>$E1668+21</f>
        <v>125</v>
      </c>
      <c r="AD1668" s="8">
        <f>IF($J1668=0,0,ROUND(MAX($J1668*1.4*1.5*1.6*1.6*2.2*2.715*2.6*1.4*1.4*1.5,12600000000*(1.652953^(MIN($E1668,123)-117)))*1,0))</f>
        <v>18322468</v>
      </c>
      <c r="AE1668" s="6">
        <f>$E1668+24</f>
        <v>128</v>
      </c>
      <c r="AF1668" s="7">
        <f>IF($J1668=0,0,ROUND(MAX($J1668*1.4*1.5*1.6*1.6*2.2*2.715*2.6*1.4*1.4*1.5*1.5,18900000000*(1.65331^(MIN($E1668,123)-117)))*1,0))</f>
        <v>27406653</v>
      </c>
      <c r="AG1668" s="4">
        <f>$E1668+27</f>
        <v>131</v>
      </c>
      <c r="AH1668" s="8">
        <f>IF($J1668=0,0,ROUND(MAX($J1668*1.4*1.5*1.6*1.6*2.2*2.715*2.6*1.4*1.4*1.5*1.5*3.2,60500000000*(1.654288^(MIN($E1668,123)-117)))*1,0))</f>
        <v>87058428</v>
      </c>
    </row>
    <row r="1669" ht="27.75" customHeight="1" spans="1:34" x14ac:dyDescent="0.25">
      <c r="A1669" s="3">
        <v>1679</v>
      </c>
      <c r="B1669" s="3" t="s">
        <v>1168</v>
      </c>
      <c r="C1669" s="3" t="s">
        <v>1159</v>
      </c>
      <c r="D1669" s="3" t="s">
        <v>79</v>
      </c>
      <c r="E1669" s="3">
        <v>104</v>
      </c>
      <c r="F1669" s="3" t="s">
        <v>179</v>
      </c>
      <c r="G1669" s="3" t="s">
        <v>784</v>
      </c>
      <c r="H1669" s="3">
        <v>23</v>
      </c>
      <c r="I1669" s="4">
        <v>104</v>
      </c>
      <c r="J1669" s="5">
        <v>18200</v>
      </c>
      <c r="K1669" s="6">
        <f>$E1669+1</f>
        <v>105</v>
      </c>
      <c r="L1669" s="7">
        <f>IF($J1669=0,0,ROUND(MAX($J1669*1.4,1620000*(1.497923^(MIN($E1669,123)-117)))*1,0))</f>
        <v>25480</v>
      </c>
      <c r="M1669" s="4">
        <f>$E1669+2</f>
        <v>106</v>
      </c>
      <c r="N1669" s="8">
        <f>IF($J1669=0,0,ROUND(MAX($J1669*1.4*1.5,2190000*(1.580994^(MIN($E1669,123)-117)))*1,0))</f>
        <v>38220</v>
      </c>
      <c r="O1669" s="6">
        <f>$E1669+4</f>
        <v>108</v>
      </c>
      <c r="P1669" s="7">
        <f>IF($J1669=0,0,ROUND(MAX($J1669*1.4*1.5*1.6,3500000*(1.57975^(MIN($E1669,123)-117)))*1,0))</f>
        <v>61152</v>
      </c>
      <c r="Q1669" s="4">
        <f>$E1669+6</f>
        <v>110</v>
      </c>
      <c r="R1669" s="8">
        <f>IF($J1669=0,0,ROUND(MAX($J1669*1.4*1.5*1.6*1.6,13100000*(1.429962^(MIN($E1669,123)-117)))*1,0))</f>
        <v>125329</v>
      </c>
      <c r="S1669" s="6">
        <f>$E1669+8</f>
        <v>112</v>
      </c>
      <c r="T1669" s="7">
        <f>IF($J1669=0,0,ROUND(MAX($J1669*1.4*1.5*1.6*1.6*2.2,42600000*(1.576904^(MIN($E1669,123)-117)))*1,0))</f>
        <v>215255</v>
      </c>
      <c r="U1669" s="4">
        <f>$E1669+11</f>
        <v>115</v>
      </c>
      <c r="V1669" s="8">
        <f>IF($J1669=0,0,ROUND(MAX($J1669*1.4*1.5*1.6*1.6*2.2*2.715,354000000*(1.642074^(MIN($E1669,123)-117)))*1,0))</f>
        <v>584417</v>
      </c>
      <c r="W1669" s="6">
        <f>$E1669+15</f>
        <v>119</v>
      </c>
      <c r="X1669" s="7">
        <f>IF($J1669=0,0,ROUND(MAX($J1669*1.4*1.5*1.6*1.6*2.2*2.715*2.6,3540000000*(1.579646^(MIN($E1669,123)-117)))*1,0))</f>
        <v>9283810</v>
      </c>
      <c r="Y1669" s="4">
        <f>$E1669+17</f>
        <v>121</v>
      </c>
      <c r="Z1669" s="8">
        <f>IF($J1669=0,0,ROUND(MAX($J1669*1.4*1.5*1.6*1.6*2.2*2.715*2.6*1.4,6020000000*(1.651178^(MIN($E1669,123)-117)))*1,0))</f>
        <v>8877197</v>
      </c>
      <c r="AA1669" s="6">
        <f>$E1669+19</f>
        <v>123</v>
      </c>
      <c r="AB1669" s="7">
        <f>IF($J1669=0,0,ROUND(MAX($J1669*1.4*1.5*1.6*1.6*2.2*2.715*2.6*1.4*1.4,8430000000*(1.651435^(MIN($E1669,123)-117)))*1,0))</f>
        <v>12405900</v>
      </c>
      <c r="AC1669" s="4">
        <f>$E1669+21</f>
        <v>125</v>
      </c>
      <c r="AD1669" s="8">
        <f>IF($J1669=0,0,ROUND(MAX($J1669*1.4*1.5*1.6*1.6*2.2*2.715*2.6*1.4*1.4*1.5,12600000000*(1.652953^(MIN($E1669,123)-117)))*1,0))</f>
        <v>18322468</v>
      </c>
      <c r="AE1669" s="6">
        <f>$E1669+24</f>
        <v>128</v>
      </c>
      <c r="AF1669" s="7">
        <f>IF($J1669=0,0,ROUND(MAX($J1669*1.4*1.5*1.6*1.6*2.2*2.715*2.6*1.4*1.4*1.5*1.5,18900000000*(1.65331^(MIN($E1669,123)-117)))*1,0))</f>
        <v>27406653</v>
      </c>
      <c r="AG1669" s="4">
        <f>$E1669+27</f>
        <v>131</v>
      </c>
      <c r="AH1669" s="8">
        <f>IF($J1669=0,0,ROUND(MAX($J1669*1.4*1.5*1.6*1.6*2.2*2.715*2.6*1.4*1.4*1.5*1.5*3.2,60500000000*(1.654288^(MIN($E1669,123)-117)))*1,0))</f>
        <v>87058428</v>
      </c>
    </row>
    <row r="1670" ht="27.75" customHeight="1" spans="1:34" x14ac:dyDescent="0.25">
      <c r="A1670" s="3">
        <v>1680</v>
      </c>
      <c r="B1670" s="3" t="s">
        <v>1169</v>
      </c>
      <c r="C1670" s="3" t="s">
        <v>1159</v>
      </c>
      <c r="D1670" s="3" t="s">
        <v>25</v>
      </c>
      <c r="E1670" s="3">
        <v>104</v>
      </c>
      <c r="F1670" s="3" t="s">
        <v>34</v>
      </c>
      <c r="G1670" s="3" t="s">
        <v>35</v>
      </c>
      <c r="H1670" s="3">
        <v>22</v>
      </c>
      <c r="I1670" s="4">
        <v>104</v>
      </c>
      <c r="J1670" s="5">
        <v>17100</v>
      </c>
      <c r="K1670" s="6">
        <f>$E1670+1</f>
        <v>105</v>
      </c>
      <c r="L1670" s="7">
        <f>IF($J1670=0,0,ROUND(MAX($J1670*1.4,1620000*(1.497923^(MIN($E1670,123)-117)))*1,0))</f>
        <v>23940</v>
      </c>
      <c r="M1670" s="4">
        <f>$E1670+2</f>
        <v>106</v>
      </c>
      <c r="N1670" s="8">
        <f>IF($J1670=0,0,ROUND(MAX($J1670*1.4*1.5,2190000*(1.580994^(MIN($E1670,123)-117)))*1,0))</f>
        <v>35910</v>
      </c>
      <c r="O1670" s="6">
        <f>$E1670+4</f>
        <v>108</v>
      </c>
      <c r="P1670" s="7">
        <f>IF($J1670=0,0,ROUND(MAX($J1670*1.4*1.5*1.6,3500000*(1.57975^(MIN($E1670,123)-117)))*1,0))</f>
        <v>57456</v>
      </c>
      <c r="Q1670" s="4">
        <f>$E1670+6</f>
        <v>110</v>
      </c>
      <c r="R1670" s="8">
        <f>IF($J1670=0,0,ROUND(MAX($J1670*1.4*1.5*1.6*1.6,13100000*(1.429962^(MIN($E1670,123)-117)))*1,0))</f>
        <v>125329</v>
      </c>
      <c r="S1670" s="6">
        <f>$E1670+8</f>
        <v>112</v>
      </c>
      <c r="T1670" s="7">
        <f>IF($J1670=0,0,ROUND(MAX($J1670*1.4*1.5*1.6*1.6*2.2,42600000*(1.576904^(MIN($E1670,123)-117)))*1,0))</f>
        <v>202245</v>
      </c>
      <c r="U1670" s="4">
        <f>$E1670+11</f>
        <v>115</v>
      </c>
      <c r="V1670" s="8">
        <f>IF($J1670=0,0,ROUND(MAX($J1670*1.4*1.5*1.6*1.6*2.2*2.715,354000000*(1.642074^(MIN($E1670,123)-117)))*1,0))</f>
        <v>560916</v>
      </c>
      <c r="W1670" s="6">
        <f>$E1670+15</f>
        <v>119</v>
      </c>
      <c r="X1670" s="7">
        <f>IF($J1670=0,0,ROUND(MAX($J1670*1.4*1.5*1.6*1.6*2.2*2.715*2.6,3540000000*(1.579646^(MIN($E1670,123)-117)))*1,0))</f>
        <v>9283810</v>
      </c>
      <c r="Y1670" s="4">
        <f>$E1670+17</f>
        <v>121</v>
      </c>
      <c r="Z1670" s="8">
        <f>IF($J1670=0,0,ROUND(MAX($J1670*1.4*1.5*1.6*1.6*2.2*2.715*2.6*1.4,6020000000*(1.651178^(MIN($E1670,123)-117)))*1,0))</f>
        <v>8877197</v>
      </c>
      <c r="AA1670" s="6">
        <f>$E1670+19</f>
        <v>123</v>
      </c>
      <c r="AB1670" s="7">
        <f>IF($J1670=0,0,ROUND(MAX($J1670*1.4*1.5*1.6*1.6*2.2*2.715*2.6*1.4*1.4,8430000000*(1.651435^(MIN($E1670,123)-117)))*1,0))</f>
        <v>12405900</v>
      </c>
      <c r="AC1670" s="4">
        <f>$E1670+21</f>
        <v>125</v>
      </c>
      <c r="AD1670" s="8">
        <f>IF($J1670=0,0,ROUND(MAX($J1670*1.4*1.5*1.6*1.6*2.2*2.715*2.6*1.4*1.4*1.5,12600000000*(1.652953^(MIN($E1670,123)-117)))*1,0))</f>
        <v>18322468</v>
      </c>
      <c r="AE1670" s="6">
        <f>$E1670+24</f>
        <v>128</v>
      </c>
      <c r="AF1670" s="7">
        <f>IF($J1670=0,0,ROUND(MAX($J1670*1.4*1.5*1.6*1.6*2.2*2.715*2.6*1.4*1.4*1.5*1.5,18900000000*(1.65331^(MIN($E1670,123)-117)))*1,0))</f>
        <v>27406653</v>
      </c>
      <c r="AG1670" s="4">
        <f>$E1670+27</f>
        <v>131</v>
      </c>
      <c r="AH1670" s="8">
        <f>IF($J1670=0,0,ROUND(MAX($J1670*1.4*1.5*1.6*1.6*2.2*2.715*2.6*1.4*1.4*1.5*1.5*3.2,60500000000*(1.654288^(MIN($E1670,123)-117)))*1,0))</f>
        <v>87058428</v>
      </c>
    </row>
    <row r="1671" ht="27.75" customHeight="1" spans="1:34" x14ac:dyDescent="0.25">
      <c r="A1671" s="3">
        <v>1681</v>
      </c>
      <c r="B1671" s="3" t="s">
        <v>1170</v>
      </c>
      <c r="C1671" s="3" t="s">
        <v>1159</v>
      </c>
      <c r="D1671" s="3" t="s">
        <v>40</v>
      </c>
      <c r="E1671" s="3">
        <v>104</v>
      </c>
      <c r="F1671" s="3" t="s">
        <v>258</v>
      </c>
      <c r="G1671" s="3" t="s">
        <v>374</v>
      </c>
      <c r="H1671" s="3">
        <v>22</v>
      </c>
      <c r="I1671" s="4">
        <v>104</v>
      </c>
      <c r="J1671" s="5">
        <v>16800</v>
      </c>
      <c r="K1671" s="6">
        <f>$E1671+1</f>
        <v>105</v>
      </c>
      <c r="L1671" s="7">
        <f>IF($J1671=0,0,ROUND(MAX($J1671*1.4,1620000*(1.497923^(MIN($E1671,123)-117)))*1,0))</f>
        <v>23520</v>
      </c>
      <c r="M1671" s="4">
        <f>$E1671+2</f>
        <v>106</v>
      </c>
      <c r="N1671" s="8">
        <f>IF($J1671=0,0,ROUND(MAX($J1671*1.4*1.5,2190000*(1.580994^(MIN($E1671,123)-117)))*1,0))</f>
        <v>35280</v>
      </c>
      <c r="O1671" s="6">
        <f>$E1671+4</f>
        <v>108</v>
      </c>
      <c r="P1671" s="7">
        <f>IF($J1671=0,0,ROUND(MAX($J1671*1.4*1.5*1.6,3500000*(1.57975^(MIN($E1671,123)-117)))*1,0))</f>
        <v>56448</v>
      </c>
      <c r="Q1671" s="4">
        <f>$E1671+6</f>
        <v>110</v>
      </c>
      <c r="R1671" s="8">
        <f>IF($J1671=0,0,ROUND(MAX($J1671*1.4*1.5*1.6*1.6,13100000*(1.429962^(MIN($E1671,123)-117)))*1,0))</f>
        <v>125329</v>
      </c>
      <c r="S1671" s="6">
        <f>$E1671+8</f>
        <v>112</v>
      </c>
      <c r="T1671" s="7">
        <f>IF($J1671=0,0,ROUND(MAX($J1671*1.4*1.5*1.6*1.6*2.2,42600000*(1.576904^(MIN($E1671,123)-117)))*1,0))</f>
        <v>198697</v>
      </c>
      <c r="U1671" s="4">
        <f>$E1671+11</f>
        <v>115</v>
      </c>
      <c r="V1671" s="8">
        <f>IF($J1671=0,0,ROUND(MAX($J1671*1.4*1.5*1.6*1.6*2.2*2.715,354000000*(1.642074^(MIN($E1671,123)-117)))*1,0))</f>
        <v>560916</v>
      </c>
      <c r="W1671" s="6">
        <f>$E1671+15</f>
        <v>119</v>
      </c>
      <c r="X1671" s="7">
        <f>IF($J1671=0,0,ROUND(MAX($J1671*1.4*1.5*1.6*1.6*2.2*2.715*2.6,3540000000*(1.579646^(MIN($E1671,123)-117)))*1,0))</f>
        <v>9283810</v>
      </c>
      <c r="Y1671" s="4">
        <f>$E1671+17</f>
        <v>121</v>
      </c>
      <c r="Z1671" s="8">
        <f>IF($J1671=0,0,ROUND(MAX($J1671*1.4*1.5*1.6*1.6*2.2*2.715*2.6*1.4,6020000000*(1.651178^(MIN($E1671,123)-117)))*1,0))</f>
        <v>8877197</v>
      </c>
      <c r="AA1671" s="6">
        <f>$E1671+19</f>
        <v>123</v>
      </c>
      <c r="AB1671" s="7">
        <f>IF($J1671=0,0,ROUND(MAX($J1671*1.4*1.5*1.6*1.6*2.2*2.715*2.6*1.4*1.4,8430000000*(1.651435^(MIN($E1671,123)-117)))*1,0))</f>
        <v>12405900</v>
      </c>
      <c r="AC1671" s="4">
        <f>$E1671+21</f>
        <v>125</v>
      </c>
      <c r="AD1671" s="8">
        <f>IF($J1671=0,0,ROUND(MAX($J1671*1.4*1.5*1.6*1.6*2.2*2.715*2.6*1.4*1.4*1.5,12600000000*(1.652953^(MIN($E1671,123)-117)))*1,0))</f>
        <v>18322468</v>
      </c>
      <c r="AE1671" s="6">
        <f>$E1671+24</f>
        <v>128</v>
      </c>
      <c r="AF1671" s="7">
        <f>IF($J1671=0,0,ROUND(MAX($J1671*1.4*1.5*1.6*1.6*2.2*2.715*2.6*1.4*1.4*1.5*1.5,18900000000*(1.65331^(MIN($E1671,123)-117)))*1,0))</f>
        <v>27406653</v>
      </c>
      <c r="AG1671" s="4">
        <f>$E1671+27</f>
        <v>131</v>
      </c>
      <c r="AH1671" s="8">
        <f>IF($J1671=0,0,ROUND(MAX($J1671*1.4*1.5*1.6*1.6*2.2*2.715*2.6*1.4*1.4*1.5*1.5*3.2,60500000000*(1.654288^(MIN($E1671,123)-117)))*1,0))</f>
        <v>87058428</v>
      </c>
    </row>
    <row r="1672" ht="27.75" customHeight="1" spans="1:34" x14ac:dyDescent="0.25">
      <c r="A1672" s="3">
        <v>1682</v>
      </c>
      <c r="B1672" s="3" t="s">
        <v>467</v>
      </c>
      <c r="C1672" s="3" t="s">
        <v>1159</v>
      </c>
      <c r="D1672" s="3" t="s">
        <v>64</v>
      </c>
      <c r="E1672" s="3">
        <v>104</v>
      </c>
      <c r="F1672" s="3" t="s">
        <v>56</v>
      </c>
      <c r="G1672" s="3" t="s">
        <v>95</v>
      </c>
      <c r="H1672" s="3">
        <v>22</v>
      </c>
      <c r="I1672" s="4">
        <v>104</v>
      </c>
      <c r="J1672" s="5">
        <v>24200</v>
      </c>
      <c r="K1672" s="6">
        <f>$E1672+1</f>
        <v>105</v>
      </c>
      <c r="L1672" s="7">
        <f>IF($J1672=0,0,ROUND(MAX($J1672*1.4,1620000*(1.497923^(MIN($E1672,123)-117)))*1,0))</f>
        <v>33880</v>
      </c>
      <c r="M1672" s="4">
        <f>$E1672+2</f>
        <v>106</v>
      </c>
      <c r="N1672" s="8">
        <f>IF($J1672=0,0,ROUND(MAX($J1672*1.4*1.5,2190000*(1.580994^(MIN($E1672,123)-117)))*1,0))</f>
        <v>50820</v>
      </c>
      <c r="O1672" s="6">
        <f>$E1672+4</f>
        <v>108</v>
      </c>
      <c r="P1672" s="7">
        <f>IF($J1672=0,0,ROUND(MAX($J1672*1.4*1.5*1.6,3500000*(1.57975^(MIN($E1672,123)-117)))*1,0))</f>
        <v>81312</v>
      </c>
      <c r="Q1672" s="4">
        <f>$E1672+6</f>
        <v>110</v>
      </c>
      <c r="R1672" s="8">
        <f>IF($J1672=0,0,ROUND(MAX($J1672*1.4*1.5*1.6*1.6,13100000*(1.429962^(MIN($E1672,123)-117)))*1,0))</f>
        <v>130099</v>
      </c>
      <c r="S1672" s="6">
        <f>$E1672+8</f>
        <v>112</v>
      </c>
      <c r="T1672" s="7">
        <f>IF($J1672=0,0,ROUND(MAX($J1672*1.4*1.5*1.6*1.6*2.2,42600000*(1.576904^(MIN($E1672,123)-117)))*1,0))</f>
        <v>286218</v>
      </c>
      <c r="U1672" s="4">
        <f>$E1672+11</f>
        <v>115</v>
      </c>
      <c r="V1672" s="8">
        <f>IF($J1672=0,0,ROUND(MAX($J1672*1.4*1.5*1.6*1.6*2.2*2.715,354000000*(1.642074^(MIN($E1672,123)-117)))*1,0))</f>
        <v>777083</v>
      </c>
      <c r="W1672" s="6">
        <f>$E1672+15</f>
        <v>119</v>
      </c>
      <c r="X1672" s="7">
        <f>IF($J1672=0,0,ROUND(MAX($J1672*1.4*1.5*1.6*1.6*2.2*2.715*2.6,3540000000*(1.579646^(MIN($E1672,123)-117)))*1,0))</f>
        <v>9283810</v>
      </c>
      <c r="Y1672" s="4">
        <f>$E1672+17</f>
        <v>121</v>
      </c>
      <c r="Z1672" s="8">
        <f>IF($J1672=0,0,ROUND(MAX($J1672*1.4*1.5*1.6*1.6*2.2*2.715*2.6*1.4,6020000000*(1.651178^(MIN($E1672,123)-117)))*1,0))</f>
        <v>8877197</v>
      </c>
      <c r="AA1672" s="6">
        <f>$E1672+19</f>
        <v>123</v>
      </c>
      <c r="AB1672" s="7">
        <f>IF($J1672=0,0,ROUND(MAX($J1672*1.4*1.5*1.6*1.6*2.2*2.715*2.6*1.4*1.4,8430000000*(1.651435^(MIN($E1672,123)-117)))*1,0))</f>
        <v>12405900</v>
      </c>
      <c r="AC1672" s="4">
        <f>$E1672+21</f>
        <v>125</v>
      </c>
      <c r="AD1672" s="8">
        <f>IF($J1672=0,0,ROUND(MAX($J1672*1.4*1.5*1.6*1.6*2.2*2.715*2.6*1.4*1.4*1.5,12600000000*(1.652953^(MIN($E1672,123)-117)))*1,0))</f>
        <v>18322468</v>
      </c>
      <c r="AE1672" s="6">
        <f>$E1672+24</f>
        <v>128</v>
      </c>
      <c r="AF1672" s="7">
        <f>IF($J1672=0,0,ROUND(MAX($J1672*1.4*1.5*1.6*1.6*2.2*2.715*2.6*1.4*1.4*1.5*1.5,18900000000*(1.65331^(MIN($E1672,123)-117)))*1,0))</f>
        <v>27406653</v>
      </c>
      <c r="AG1672" s="4">
        <f>$E1672+27</f>
        <v>131</v>
      </c>
      <c r="AH1672" s="8">
        <f>IF($J1672=0,0,ROUND(MAX($J1672*1.4*1.5*1.6*1.6*2.2*2.715*2.6*1.4*1.4*1.5*1.5*3.2,60500000000*(1.654288^(MIN($E1672,123)-117)))*1,0))</f>
        <v>87058428</v>
      </c>
    </row>
    <row r="1673" ht="27.75" customHeight="1" spans="1:34" x14ac:dyDescent="0.25">
      <c r="A1673" s="3">
        <v>1683</v>
      </c>
      <c r="B1673" s="3" t="s">
        <v>789</v>
      </c>
      <c r="C1673" s="3" t="s">
        <v>1159</v>
      </c>
      <c r="D1673" s="3" t="s">
        <v>25</v>
      </c>
      <c r="E1673" s="3">
        <v>104</v>
      </c>
      <c r="F1673" s="3" t="s">
        <v>56</v>
      </c>
      <c r="G1673" s="3" t="s">
        <v>57</v>
      </c>
      <c r="H1673" s="3">
        <v>22</v>
      </c>
      <c r="I1673" s="4">
        <v>104</v>
      </c>
      <c r="J1673" s="5">
        <v>14200</v>
      </c>
      <c r="K1673" s="6">
        <f>$E1673+1</f>
        <v>105</v>
      </c>
      <c r="L1673" s="7">
        <f>IF($J1673=0,0,ROUND(MAX($J1673*1.4,1620000*(1.497923^(MIN($E1673,123)-117)))*1,0))</f>
        <v>19880</v>
      </c>
      <c r="M1673" s="4">
        <f>$E1673+2</f>
        <v>106</v>
      </c>
      <c r="N1673" s="8">
        <f>IF($J1673=0,0,ROUND(MAX($J1673*1.4*1.5,2190000*(1.580994^(MIN($E1673,123)-117)))*1,0))</f>
        <v>29820</v>
      </c>
      <c r="O1673" s="6">
        <f>$E1673+4</f>
        <v>108</v>
      </c>
      <c r="P1673" s="7">
        <f>IF($J1673=0,0,ROUND(MAX($J1673*1.4*1.5*1.6,3500000*(1.57975^(MIN($E1673,123)-117)))*1,0))</f>
        <v>47712</v>
      </c>
      <c r="Q1673" s="4">
        <f>$E1673+6</f>
        <v>110</v>
      </c>
      <c r="R1673" s="8">
        <f>IF($J1673=0,0,ROUND(MAX($J1673*1.4*1.5*1.6*1.6,13100000*(1.429962^(MIN($E1673,123)-117)))*1,0))</f>
        <v>125329</v>
      </c>
      <c r="S1673" s="6">
        <f>$E1673+8</f>
        <v>112</v>
      </c>
      <c r="T1673" s="7">
        <f>IF($J1673=0,0,ROUND(MAX($J1673*1.4*1.5*1.6*1.6*2.2,42600000*(1.576904^(MIN($E1673,123)-117)))*1,0))</f>
        <v>167946</v>
      </c>
      <c r="U1673" s="4">
        <f>$E1673+11</f>
        <v>115</v>
      </c>
      <c r="V1673" s="8">
        <f>IF($J1673=0,0,ROUND(MAX($J1673*1.4*1.5*1.6*1.6*2.2*2.715,354000000*(1.642074^(MIN($E1673,123)-117)))*1,0))</f>
        <v>560916</v>
      </c>
      <c r="W1673" s="6">
        <f>$E1673+15</f>
        <v>119</v>
      </c>
      <c r="X1673" s="7">
        <f>IF($J1673=0,0,ROUND(MAX($J1673*1.4*1.5*1.6*1.6*2.2*2.715*2.6,3540000000*(1.579646^(MIN($E1673,123)-117)))*1,0))</f>
        <v>9283810</v>
      </c>
      <c r="Y1673" s="4">
        <f>$E1673+17</f>
        <v>121</v>
      </c>
      <c r="Z1673" s="8">
        <f>IF($J1673=0,0,ROUND(MAX($J1673*1.4*1.5*1.6*1.6*2.2*2.715*2.6*1.4,6020000000*(1.651178^(MIN($E1673,123)-117)))*1,0))</f>
        <v>8877197</v>
      </c>
      <c r="AA1673" s="6">
        <f>$E1673+19</f>
        <v>123</v>
      </c>
      <c r="AB1673" s="7">
        <f>IF($J1673=0,0,ROUND(MAX($J1673*1.4*1.5*1.6*1.6*2.2*2.715*2.6*1.4*1.4,8430000000*(1.651435^(MIN($E1673,123)-117)))*1,0))</f>
        <v>12405900</v>
      </c>
      <c r="AC1673" s="4">
        <f>$E1673+21</f>
        <v>125</v>
      </c>
      <c r="AD1673" s="8">
        <f>IF($J1673=0,0,ROUND(MAX($J1673*1.4*1.5*1.6*1.6*2.2*2.715*2.6*1.4*1.4*1.5,12600000000*(1.652953^(MIN($E1673,123)-117)))*1,0))</f>
        <v>18322468</v>
      </c>
      <c r="AE1673" s="6">
        <f>$E1673+24</f>
        <v>128</v>
      </c>
      <c r="AF1673" s="7">
        <f>IF($J1673=0,0,ROUND(MAX($J1673*1.4*1.5*1.6*1.6*2.2*2.715*2.6*1.4*1.4*1.5*1.5,18900000000*(1.65331^(MIN($E1673,123)-117)))*1,0))</f>
        <v>27406653</v>
      </c>
      <c r="AG1673" s="4">
        <f>$E1673+27</f>
        <v>131</v>
      </c>
      <c r="AH1673" s="8">
        <f>IF($J1673=0,0,ROUND(MAX($J1673*1.4*1.5*1.6*1.6*2.2*2.715*2.6*1.4*1.4*1.5*1.5*3.2,60500000000*(1.654288^(MIN($E1673,123)-117)))*1,0))</f>
        <v>87058428</v>
      </c>
    </row>
    <row r="1674" ht="27.75" customHeight="1" spans="1:34" x14ac:dyDescent="0.25">
      <c r="A1674" s="3">
        <v>1684</v>
      </c>
      <c r="B1674" s="3" t="s">
        <v>1171</v>
      </c>
      <c r="C1674" s="3" t="s">
        <v>1159</v>
      </c>
      <c r="D1674" s="3" t="s">
        <v>29</v>
      </c>
      <c r="E1674" s="3">
        <v>104</v>
      </c>
      <c r="F1674" s="3" t="s">
        <v>54</v>
      </c>
      <c r="G1674" s="3" t="s">
        <v>51</v>
      </c>
      <c r="H1674" s="3">
        <v>22</v>
      </c>
      <c r="I1674" s="4">
        <v>104</v>
      </c>
      <c r="J1674" s="5">
        <v>17500</v>
      </c>
      <c r="K1674" s="6">
        <f>$E1674+1</f>
        <v>105</v>
      </c>
      <c r="L1674" s="7">
        <f>IF($J1674=0,0,ROUND(MAX($J1674*1.4,1620000*(1.497923^(MIN($E1674,123)-117)))*1,0))</f>
        <v>24500</v>
      </c>
      <c r="M1674" s="4">
        <f>$E1674+2</f>
        <v>106</v>
      </c>
      <c r="N1674" s="8">
        <f>IF($J1674=0,0,ROUND(MAX($J1674*1.4*1.5,2190000*(1.580994^(MIN($E1674,123)-117)))*1,0))</f>
        <v>36750</v>
      </c>
      <c r="O1674" s="6">
        <f>$E1674+4</f>
        <v>108</v>
      </c>
      <c r="P1674" s="7">
        <f>IF($J1674=0,0,ROUND(MAX($J1674*1.4*1.5*1.6,3500000*(1.57975^(MIN($E1674,123)-117)))*1,0))</f>
        <v>58800</v>
      </c>
      <c r="Q1674" s="4">
        <f>$E1674+6</f>
        <v>110</v>
      </c>
      <c r="R1674" s="8">
        <f>IF($J1674=0,0,ROUND(MAX($J1674*1.4*1.5*1.6*1.6,13100000*(1.429962^(MIN($E1674,123)-117)))*1,0))</f>
        <v>125329</v>
      </c>
      <c r="S1674" s="6">
        <f>$E1674+8</f>
        <v>112</v>
      </c>
      <c r="T1674" s="7">
        <f>IF($J1674=0,0,ROUND(MAX($J1674*1.4*1.5*1.6*1.6*2.2,42600000*(1.576904^(MIN($E1674,123)-117)))*1,0))</f>
        <v>206976</v>
      </c>
      <c r="U1674" s="4">
        <f>$E1674+11</f>
        <v>115</v>
      </c>
      <c r="V1674" s="8">
        <f>IF($J1674=0,0,ROUND(MAX($J1674*1.4*1.5*1.6*1.6*2.2*2.715,354000000*(1.642074^(MIN($E1674,123)-117)))*1,0))</f>
        <v>561940</v>
      </c>
      <c r="W1674" s="6">
        <f>$E1674+15</f>
        <v>119</v>
      </c>
      <c r="X1674" s="7">
        <f>IF($J1674=0,0,ROUND(MAX($J1674*1.4*1.5*1.6*1.6*2.2*2.715*2.6,3540000000*(1.579646^(MIN($E1674,123)-117)))*1,0))</f>
        <v>9283810</v>
      </c>
      <c r="Y1674" s="4">
        <f>$E1674+17</f>
        <v>121</v>
      </c>
      <c r="Z1674" s="8">
        <f>IF($J1674=0,0,ROUND(MAX($J1674*1.4*1.5*1.6*1.6*2.2*2.715*2.6*1.4,6020000000*(1.651178^(MIN($E1674,123)-117)))*1,0))</f>
        <v>8877197</v>
      </c>
      <c r="AA1674" s="6">
        <f>$E1674+19</f>
        <v>123</v>
      </c>
      <c r="AB1674" s="7">
        <f>IF($J1674=0,0,ROUND(MAX($J1674*1.4*1.5*1.6*1.6*2.2*2.715*2.6*1.4*1.4,8430000000*(1.651435^(MIN($E1674,123)-117)))*1,0))</f>
        <v>12405900</v>
      </c>
      <c r="AC1674" s="4">
        <f>$E1674+21</f>
        <v>125</v>
      </c>
      <c r="AD1674" s="8">
        <f>IF($J1674=0,0,ROUND(MAX($J1674*1.4*1.5*1.6*1.6*2.2*2.715*2.6*1.4*1.4*1.5,12600000000*(1.652953^(MIN($E1674,123)-117)))*1,0))</f>
        <v>18322468</v>
      </c>
      <c r="AE1674" s="6">
        <f>$E1674+24</f>
        <v>128</v>
      </c>
      <c r="AF1674" s="7">
        <f>IF($J1674=0,0,ROUND(MAX($J1674*1.4*1.5*1.6*1.6*2.2*2.715*2.6*1.4*1.4*1.5*1.5,18900000000*(1.65331^(MIN($E1674,123)-117)))*1,0))</f>
        <v>27406653</v>
      </c>
      <c r="AG1674" s="4">
        <f>$E1674+27</f>
        <v>131</v>
      </c>
      <c r="AH1674" s="8">
        <f>IF($J1674=0,0,ROUND(MAX($J1674*1.4*1.5*1.6*1.6*2.2*2.715*2.6*1.4*1.4*1.5*1.5*3.2,60500000000*(1.654288^(MIN($E1674,123)-117)))*1,0))</f>
        <v>87058428</v>
      </c>
    </row>
    <row r="1675" ht="27.75" customHeight="1" spans="1:34" x14ac:dyDescent="0.25">
      <c r="A1675" s="3">
        <v>1685</v>
      </c>
      <c r="B1675" s="3" t="s">
        <v>621</v>
      </c>
      <c r="C1675" s="3" t="s">
        <v>1159</v>
      </c>
      <c r="D1675" s="3" t="s">
        <v>45</v>
      </c>
      <c r="E1675" s="3">
        <v>104</v>
      </c>
      <c r="F1675" s="3" t="s">
        <v>62</v>
      </c>
      <c r="G1675" s="3" t="s">
        <v>242</v>
      </c>
      <c r="H1675" s="3">
        <v>22</v>
      </c>
      <c r="I1675" s="4">
        <v>104</v>
      </c>
      <c r="J1675" s="5">
        <v>17800</v>
      </c>
      <c r="K1675" s="6">
        <f>$E1675+1</f>
        <v>105</v>
      </c>
      <c r="L1675" s="7">
        <f>IF($J1675=0,0,ROUND(MAX($J1675*1.4,1620000*(1.497923^(MIN($E1675,123)-117)))*1,0))</f>
        <v>24920</v>
      </c>
      <c r="M1675" s="4">
        <f>$E1675+2</f>
        <v>106</v>
      </c>
      <c r="N1675" s="8">
        <f>IF($J1675=0,0,ROUND(MAX($J1675*1.4*1.5,2190000*(1.580994^(MIN($E1675,123)-117)))*1,0))</f>
        <v>37380</v>
      </c>
      <c r="O1675" s="6">
        <f>$E1675+4</f>
        <v>108</v>
      </c>
      <c r="P1675" s="7">
        <f>IF($J1675=0,0,ROUND(MAX($J1675*1.4*1.5*1.6,3500000*(1.57975^(MIN($E1675,123)-117)))*1,0))</f>
        <v>59808</v>
      </c>
      <c r="Q1675" s="4">
        <f>$E1675+6</f>
        <v>110</v>
      </c>
      <c r="R1675" s="8">
        <f>IF($J1675=0,0,ROUND(MAX($J1675*1.4*1.5*1.6*1.6,13100000*(1.429962^(MIN($E1675,123)-117)))*1,0))</f>
        <v>125329</v>
      </c>
      <c r="S1675" s="6">
        <f>$E1675+8</f>
        <v>112</v>
      </c>
      <c r="T1675" s="7">
        <f>IF($J1675=0,0,ROUND(MAX($J1675*1.4*1.5*1.6*1.6*2.2,42600000*(1.576904^(MIN($E1675,123)-117)))*1,0))</f>
        <v>210524</v>
      </c>
      <c r="U1675" s="4">
        <f>$E1675+11</f>
        <v>115</v>
      </c>
      <c r="V1675" s="8">
        <f>IF($J1675=0,0,ROUND(MAX($J1675*1.4*1.5*1.6*1.6*2.2*2.715,354000000*(1.642074^(MIN($E1675,123)-117)))*1,0))</f>
        <v>571573</v>
      </c>
      <c r="W1675" s="6">
        <f>$E1675+15</f>
        <v>119</v>
      </c>
      <c r="X1675" s="7">
        <f>IF($J1675=0,0,ROUND(MAX($J1675*1.4*1.5*1.6*1.6*2.2*2.715*2.6,3540000000*(1.579646^(MIN($E1675,123)-117)))*1,0))</f>
        <v>9283810</v>
      </c>
      <c r="Y1675" s="4">
        <f>$E1675+17</f>
        <v>121</v>
      </c>
      <c r="Z1675" s="8">
        <f>IF($J1675=0,0,ROUND(MAX($J1675*1.4*1.5*1.6*1.6*2.2*2.715*2.6*1.4,6020000000*(1.651178^(MIN($E1675,123)-117)))*1,0))</f>
        <v>8877197</v>
      </c>
      <c r="AA1675" s="6">
        <f>$E1675+19</f>
        <v>123</v>
      </c>
      <c r="AB1675" s="7">
        <f>IF($J1675=0,0,ROUND(MAX($J1675*1.4*1.5*1.6*1.6*2.2*2.715*2.6*1.4*1.4,8430000000*(1.651435^(MIN($E1675,123)-117)))*1,0))</f>
        <v>12405900</v>
      </c>
      <c r="AC1675" s="4">
        <f>$E1675+21</f>
        <v>125</v>
      </c>
      <c r="AD1675" s="8">
        <f>IF($J1675=0,0,ROUND(MAX($J1675*1.4*1.5*1.6*1.6*2.2*2.715*2.6*1.4*1.4*1.5,12600000000*(1.652953^(MIN($E1675,123)-117)))*1,0))</f>
        <v>18322468</v>
      </c>
      <c r="AE1675" s="6">
        <f>$E1675+24</f>
        <v>128</v>
      </c>
      <c r="AF1675" s="7">
        <f>IF($J1675=0,0,ROUND(MAX($J1675*1.4*1.5*1.6*1.6*2.2*2.715*2.6*1.4*1.4*1.5*1.5,18900000000*(1.65331^(MIN($E1675,123)-117)))*1,0))</f>
        <v>27406653</v>
      </c>
      <c r="AG1675" s="4">
        <f>$E1675+27</f>
        <v>131</v>
      </c>
      <c r="AH1675" s="8">
        <f>IF($J1675=0,0,ROUND(MAX($J1675*1.4*1.5*1.6*1.6*2.2*2.715*2.6*1.4*1.4*1.5*1.5*3.2,60500000000*(1.654288^(MIN($E1675,123)-117)))*1,0))</f>
        <v>87058428</v>
      </c>
    </row>
    <row r="1676" ht="27.75" customHeight="1" spans="1:34" x14ac:dyDescent="0.25">
      <c r="A1676" s="3">
        <v>1686</v>
      </c>
      <c r="B1676" s="3" t="s">
        <v>781</v>
      </c>
      <c r="C1676" s="3" t="s">
        <v>1159</v>
      </c>
      <c r="D1676" s="3" t="s">
        <v>33</v>
      </c>
      <c r="E1676" s="3">
        <v>104</v>
      </c>
      <c r="F1676" s="3" t="s">
        <v>34</v>
      </c>
      <c r="G1676" s="3" t="s">
        <v>38</v>
      </c>
      <c r="H1676" s="3">
        <v>22</v>
      </c>
      <c r="I1676" s="4">
        <v>104</v>
      </c>
      <c r="J1676" s="5">
        <v>81200</v>
      </c>
      <c r="K1676" s="6">
        <f>$E1676+1</f>
        <v>105</v>
      </c>
      <c r="L1676" s="7">
        <f>IF($J1676=0,0,ROUND(MAX($J1676*1.4,1620000*(1.497923^(MIN($E1676,123)-117)))*1,0))</f>
        <v>113680</v>
      </c>
      <c r="M1676" s="4">
        <f>$E1676+2</f>
        <v>106</v>
      </c>
      <c r="N1676" s="8">
        <f>IF($J1676=0,0,ROUND(MAX($J1676*1.4*1.5,2190000*(1.580994^(MIN($E1676,123)-117)))*1,0))</f>
        <v>170520</v>
      </c>
      <c r="O1676" s="6">
        <f>$E1676+4</f>
        <v>108</v>
      </c>
      <c r="P1676" s="7">
        <f>IF($J1676=0,0,ROUND(MAX($J1676*1.4*1.5*1.6,3500000*(1.57975^(MIN($E1676,123)-117)))*1,0))</f>
        <v>272832</v>
      </c>
      <c r="Q1676" s="4">
        <f>$E1676+6</f>
        <v>110</v>
      </c>
      <c r="R1676" s="8">
        <f>IF($J1676=0,0,ROUND(MAX($J1676*1.4*1.5*1.6*1.6,13100000*(1.429962^(MIN($E1676,123)-117)))*1,0))</f>
        <v>436531</v>
      </c>
      <c r="S1676" s="6">
        <f>$E1676+8</f>
        <v>112</v>
      </c>
      <c r="T1676" s="7">
        <f>IF($J1676=0,0,ROUND(MAX($J1676*1.4*1.5*1.6*1.6*2.2,42600000*(1.576904^(MIN($E1676,123)-117)))*1,0))</f>
        <v>960369</v>
      </c>
      <c r="U1676" s="4">
        <f>$E1676+11</f>
        <v>115</v>
      </c>
      <c r="V1676" s="8">
        <f>IF($J1676=0,0,ROUND(MAX($J1676*1.4*1.5*1.6*1.6*2.2*2.715,354000000*(1.642074^(MIN($E1676,123)-117)))*1,0))</f>
        <v>2607401</v>
      </c>
      <c r="W1676" s="6">
        <f>$E1676+15</f>
        <v>119</v>
      </c>
      <c r="X1676" s="7">
        <f>IF($J1676=0,0,ROUND(MAX($J1676*1.4*1.5*1.6*1.6*2.2*2.715*2.6,3540000000*(1.579646^(MIN($E1676,123)-117)))*1,0))</f>
        <v>9283810</v>
      </c>
      <c r="Y1676" s="4">
        <f>$E1676+17</f>
        <v>121</v>
      </c>
      <c r="Z1676" s="8">
        <f>IF($J1676=0,0,ROUND(MAX($J1676*1.4*1.5*1.6*1.6*2.2*2.715*2.6*1.4,6020000000*(1.651178^(MIN($E1676,123)-117)))*1,0))</f>
        <v>9490939</v>
      </c>
      <c r="AA1676" s="6">
        <f>$E1676+19</f>
        <v>123</v>
      </c>
      <c r="AB1676" s="7">
        <f>IF($J1676=0,0,ROUND(MAX($J1676*1.4*1.5*1.6*1.6*2.2*2.715*2.6*1.4*1.4,8430000000*(1.651435^(MIN($E1676,123)-117)))*1,0))</f>
        <v>13287315</v>
      </c>
      <c r="AC1676" s="4">
        <f>$E1676+21</f>
        <v>125</v>
      </c>
      <c r="AD1676" s="8">
        <f>IF($J1676=0,0,ROUND(MAX($J1676*1.4*1.5*1.6*1.6*2.2*2.715*2.6*1.4*1.4*1.5,12600000000*(1.652953^(MIN($E1676,123)-117)))*1,0))</f>
        <v>19930972</v>
      </c>
      <c r="AE1676" s="6">
        <f>$E1676+24</f>
        <v>128</v>
      </c>
      <c r="AF1676" s="7">
        <f>IF($J1676=0,0,ROUND(MAX($J1676*1.4*1.5*1.6*1.6*2.2*2.715*2.6*1.4*1.4*1.5*1.5,18900000000*(1.65331^(MIN($E1676,123)-117)))*1,0))</f>
        <v>29896458</v>
      </c>
      <c r="AG1676" s="4">
        <f>$E1676+27</f>
        <v>131</v>
      </c>
      <c r="AH1676" s="8">
        <f>IF($J1676=0,0,ROUND(MAX($J1676*1.4*1.5*1.6*1.6*2.2*2.715*2.6*1.4*1.4*1.5*1.5*3.2,60500000000*(1.654288^(MIN($E1676,123)-117)))*1,0))</f>
        <v>95668666</v>
      </c>
    </row>
    <row r="1677" ht="27.75" customHeight="1" spans="1:34" x14ac:dyDescent="0.25">
      <c r="A1677" s="3">
        <v>1687</v>
      </c>
      <c r="B1677" s="3" t="s">
        <v>537</v>
      </c>
      <c r="C1677" s="3" t="s">
        <v>1159</v>
      </c>
      <c r="D1677" s="3" t="s">
        <v>75</v>
      </c>
      <c r="E1677" s="3">
        <v>104</v>
      </c>
      <c r="F1677" s="3" t="s">
        <v>59</v>
      </c>
      <c r="G1677" s="3" t="s">
        <v>374</v>
      </c>
      <c r="H1677" s="3">
        <v>21</v>
      </c>
      <c r="I1677" s="4">
        <v>104</v>
      </c>
      <c r="J1677" s="5">
        <v>82200</v>
      </c>
      <c r="K1677" s="6">
        <f>$E1677+1</f>
        <v>105</v>
      </c>
      <c r="L1677" s="7">
        <f>IF($J1677=0,0,ROUND(MAX($J1677*1.4,1620000*(1.497923^(MIN($E1677,123)-117)))*1,0))</f>
        <v>115080</v>
      </c>
      <c r="M1677" s="4">
        <f>$E1677+2</f>
        <v>106</v>
      </c>
      <c r="N1677" s="8">
        <f>IF($J1677=0,0,ROUND(MAX($J1677*1.4*1.5,2190000*(1.580994^(MIN($E1677,123)-117)))*1,0))</f>
        <v>172620</v>
      </c>
      <c r="O1677" s="6">
        <f>$E1677+4</f>
        <v>108</v>
      </c>
      <c r="P1677" s="7">
        <f>IF($J1677=0,0,ROUND(MAX($J1677*1.4*1.5*1.6,3500000*(1.57975^(MIN($E1677,123)-117)))*1,0))</f>
        <v>276192</v>
      </c>
      <c r="Q1677" s="4">
        <f>$E1677+6</f>
        <v>110</v>
      </c>
      <c r="R1677" s="8">
        <f>IF($J1677=0,0,ROUND(MAX($J1677*1.4*1.5*1.6*1.6,13100000*(1.429962^(MIN($E1677,123)-117)))*1,0))</f>
        <v>441907</v>
      </c>
      <c r="S1677" s="6">
        <f>$E1677+8</f>
        <v>112</v>
      </c>
      <c r="T1677" s="7">
        <f>IF($J1677=0,0,ROUND(MAX($J1677*1.4*1.5*1.6*1.6*2.2,42600000*(1.576904^(MIN($E1677,123)-117)))*1,0))</f>
        <v>972196</v>
      </c>
      <c r="U1677" s="4">
        <f>$E1677+11</f>
        <v>115</v>
      </c>
      <c r="V1677" s="8">
        <f>IF($J1677=0,0,ROUND(MAX($J1677*1.4*1.5*1.6*1.6*2.2*2.715,354000000*(1.642074^(MIN($E1677,123)-117)))*1,0))</f>
        <v>2639512</v>
      </c>
      <c r="W1677" s="6">
        <f>$E1677+15</f>
        <v>119</v>
      </c>
      <c r="X1677" s="7">
        <f>IF($J1677=0,0,ROUND(MAX($J1677*1.4*1.5*1.6*1.6*2.2*2.715*2.6,3540000000*(1.579646^(MIN($E1677,123)-117)))*1,0))</f>
        <v>9283810</v>
      </c>
      <c r="Y1677" s="4">
        <f>$E1677+17</f>
        <v>121</v>
      </c>
      <c r="Z1677" s="8">
        <f>IF($J1677=0,0,ROUND(MAX($J1677*1.4*1.5*1.6*1.6*2.2*2.715*2.6*1.4,6020000000*(1.651178^(MIN($E1677,123)-117)))*1,0))</f>
        <v>9607823</v>
      </c>
      <c r="AA1677" s="6">
        <f>$E1677+19</f>
        <v>123</v>
      </c>
      <c r="AB1677" s="7">
        <f>IF($J1677=0,0,ROUND(MAX($J1677*1.4*1.5*1.6*1.6*2.2*2.715*2.6*1.4*1.4,8430000000*(1.651435^(MIN($E1677,123)-117)))*1,0))</f>
        <v>13450952</v>
      </c>
      <c r="AC1677" s="4">
        <f>$E1677+21</f>
        <v>125</v>
      </c>
      <c r="AD1677" s="8">
        <f>IF($J1677=0,0,ROUND(MAX($J1677*1.4*1.5*1.6*1.6*2.2*2.715*2.6*1.4*1.4*1.5,12600000000*(1.652953^(MIN($E1677,123)-117)))*1,0))</f>
        <v>20176427</v>
      </c>
      <c r="AE1677" s="6">
        <f>$E1677+24</f>
        <v>128</v>
      </c>
      <c r="AF1677" s="7">
        <f>IF($J1677=0,0,ROUND(MAX($J1677*1.4*1.5*1.6*1.6*2.2*2.715*2.6*1.4*1.4*1.5*1.5,18900000000*(1.65331^(MIN($E1677,123)-117)))*1,0))</f>
        <v>30264641</v>
      </c>
      <c r="AG1677" s="4">
        <f>$E1677+27</f>
        <v>131</v>
      </c>
      <c r="AH1677" s="8">
        <f>IF($J1677=0,0,ROUND(MAX($J1677*1.4*1.5*1.6*1.6*2.2*2.715*2.6*1.4*1.4*1.5*1.5*3.2,60500000000*(1.654288^(MIN($E1677,123)-117)))*1,0))</f>
        <v>96846852</v>
      </c>
    </row>
    <row r="1678" ht="27.75" customHeight="1" spans="1:34" x14ac:dyDescent="0.25">
      <c r="A1678" s="3">
        <v>1688</v>
      </c>
      <c r="B1678" s="3" t="s">
        <v>364</v>
      </c>
      <c r="C1678" s="3" t="s">
        <v>1159</v>
      </c>
      <c r="D1678" s="3" t="s">
        <v>47</v>
      </c>
      <c r="E1678" s="3">
        <v>104</v>
      </c>
      <c r="F1678" s="3" t="s">
        <v>54</v>
      </c>
      <c r="G1678" s="3" t="s">
        <v>51</v>
      </c>
      <c r="H1678" s="3">
        <v>20</v>
      </c>
      <c r="I1678" s="4">
        <v>104</v>
      </c>
      <c r="J1678" s="5">
        <v>97400</v>
      </c>
      <c r="K1678" s="6">
        <f>$E1678+1</f>
        <v>105</v>
      </c>
      <c r="L1678" s="7">
        <f>IF($J1678=0,0,ROUND(MAX($J1678*1.4,1620000*(1.497923^(MIN($E1678,123)-117)))*1,0))</f>
        <v>136360</v>
      </c>
      <c r="M1678" s="4">
        <f>$E1678+2</f>
        <v>106</v>
      </c>
      <c r="N1678" s="8">
        <f>IF($J1678=0,0,ROUND(MAX($J1678*1.4*1.5,2190000*(1.580994^(MIN($E1678,123)-117)))*1,0))</f>
        <v>204540</v>
      </c>
      <c r="O1678" s="6">
        <f>$E1678+4</f>
        <v>108</v>
      </c>
      <c r="P1678" s="7">
        <f>IF($J1678=0,0,ROUND(MAX($J1678*1.4*1.5*1.6,3500000*(1.57975^(MIN($E1678,123)-117)))*1,0))</f>
        <v>327264</v>
      </c>
      <c r="Q1678" s="4">
        <f>$E1678+6</f>
        <v>110</v>
      </c>
      <c r="R1678" s="8">
        <f>IF($J1678=0,0,ROUND(MAX($J1678*1.4*1.5*1.6*1.6,13100000*(1.429962^(MIN($E1678,123)-117)))*1,0))</f>
        <v>523622</v>
      </c>
      <c r="S1678" s="6">
        <f>$E1678+8</f>
        <v>112</v>
      </c>
      <c r="T1678" s="7">
        <f>IF($J1678=0,0,ROUND(MAX($J1678*1.4*1.5*1.6*1.6*2.2,42600000*(1.576904^(MIN($E1678,123)-117)))*1,0))</f>
        <v>1151969</v>
      </c>
      <c r="U1678" s="4">
        <f>$E1678+11</f>
        <v>115</v>
      </c>
      <c r="V1678" s="8">
        <f>IF($J1678=0,0,ROUND(MAX($J1678*1.4*1.5*1.6*1.6*2.2*2.715,354000000*(1.642074^(MIN($E1678,123)-117)))*1,0))</f>
        <v>3127597</v>
      </c>
      <c r="W1678" s="6">
        <f>$E1678+15</f>
        <v>119</v>
      </c>
      <c r="X1678" s="7">
        <f>IF($J1678=0,0,ROUND(MAX($J1678*1.4*1.5*1.6*1.6*2.2*2.715*2.6,3540000000*(1.579646^(MIN($E1678,123)-117)))*1,0))</f>
        <v>9283810</v>
      </c>
      <c r="Y1678" s="4">
        <f>$E1678+17</f>
        <v>121</v>
      </c>
      <c r="Z1678" s="8">
        <f>IF($J1678=0,0,ROUND(MAX($J1678*1.4*1.5*1.6*1.6*2.2*2.715*2.6*1.4,6020000000*(1.651178^(MIN($E1678,123)-117)))*1,0))</f>
        <v>11384452</v>
      </c>
      <c r="AA1678" s="6">
        <f>$E1678+19</f>
        <v>123</v>
      </c>
      <c r="AB1678" s="7">
        <f>IF($J1678=0,0,ROUND(MAX($J1678*1.4*1.5*1.6*1.6*2.2*2.715*2.6*1.4*1.4,8430000000*(1.651435^(MIN($E1678,123)-117)))*1,0))</f>
        <v>15938232</v>
      </c>
      <c r="AC1678" s="4">
        <f>$E1678+21</f>
        <v>125</v>
      </c>
      <c r="AD1678" s="8">
        <f>IF($J1678=0,0,ROUND(MAX($J1678*1.4*1.5*1.6*1.6*2.2*2.715*2.6*1.4*1.4*1.5,12600000000*(1.652953^(MIN($E1678,123)-117)))*1,0))</f>
        <v>23907348</v>
      </c>
      <c r="AE1678" s="6">
        <f>$E1678+24</f>
        <v>128</v>
      </c>
      <c r="AF1678" s="7">
        <f>IF($J1678=0,0,ROUND(MAX($J1678*1.4*1.5*1.6*1.6*2.2*2.715*2.6*1.4*1.4*1.5*1.5,18900000000*(1.65331^(MIN($E1678,123)-117)))*1,0))</f>
        <v>35861023</v>
      </c>
      <c r="AG1678" s="4">
        <f>$E1678+27</f>
        <v>131</v>
      </c>
      <c r="AH1678" s="8">
        <f>IF($J1678=0,0,ROUND(MAX($J1678*1.4*1.5*1.6*1.6*2.2*2.715*2.6*1.4*1.4*1.5*1.5*3.2,60500000000*(1.654288^(MIN($E1678,123)-117)))*1,0))</f>
        <v>114755272</v>
      </c>
    </row>
    <row r="1679" ht="27.75" customHeight="1" spans="1:34" x14ac:dyDescent="0.25">
      <c r="A1679" s="3">
        <v>1689</v>
      </c>
      <c r="B1679" s="3" t="s">
        <v>1044</v>
      </c>
      <c r="C1679" s="3" t="s">
        <v>1159</v>
      </c>
      <c r="D1679" s="3" t="s">
        <v>47</v>
      </c>
      <c r="E1679" s="3">
        <v>104</v>
      </c>
      <c r="F1679" s="3" t="s">
        <v>962</v>
      </c>
      <c r="G1679" s="3" t="s">
        <v>206</v>
      </c>
      <c r="H1679" s="3">
        <v>20</v>
      </c>
      <c r="I1679" s="4">
        <v>104</v>
      </c>
      <c r="J1679" s="5">
        <v>9500</v>
      </c>
      <c r="K1679" s="6">
        <f>$E1679+1</f>
        <v>105</v>
      </c>
      <c r="L1679" s="7">
        <f>IF($J1679=0,0,ROUND(MAX($J1679*1.4,1620000*(1.497923^(MIN($E1679,123)-117)))*1,0))</f>
        <v>13300</v>
      </c>
      <c r="M1679" s="4">
        <f>$E1679+2</f>
        <v>106</v>
      </c>
      <c r="N1679" s="8">
        <f>IF($J1679=0,0,ROUND(MAX($J1679*1.4*1.5,2190000*(1.580994^(MIN($E1679,123)-117)))*1,0))</f>
        <v>19950</v>
      </c>
      <c r="O1679" s="6">
        <f>$E1679+4</f>
        <v>108</v>
      </c>
      <c r="P1679" s="7">
        <f>IF($J1679=0,0,ROUND(MAX($J1679*1.4*1.5*1.6,3500000*(1.57975^(MIN($E1679,123)-117)))*1,0))</f>
        <v>31920</v>
      </c>
      <c r="Q1679" s="4">
        <f>$E1679+6</f>
        <v>110</v>
      </c>
      <c r="R1679" s="8">
        <f>IF($J1679=0,0,ROUND(MAX($J1679*1.4*1.5*1.6*1.6,13100000*(1.429962^(MIN($E1679,123)-117)))*1,0))</f>
        <v>125329</v>
      </c>
      <c r="S1679" s="6">
        <f>$E1679+8</f>
        <v>112</v>
      </c>
      <c r="T1679" s="7">
        <f>IF($J1679=0,0,ROUND(MAX($J1679*1.4*1.5*1.6*1.6*2.2,42600000*(1.576904^(MIN($E1679,123)-117)))*1,0))</f>
        <v>114272</v>
      </c>
      <c r="U1679" s="4">
        <f>$E1679+11</f>
        <v>115</v>
      </c>
      <c r="V1679" s="8">
        <f>IF($J1679=0,0,ROUND(MAX($J1679*1.4*1.5*1.6*1.6*2.2*2.715,354000000*(1.642074^(MIN($E1679,123)-117)))*1,0))</f>
        <v>560916</v>
      </c>
      <c r="W1679" s="6">
        <f>$E1679+15</f>
        <v>119</v>
      </c>
      <c r="X1679" s="7">
        <f>IF($J1679=0,0,ROUND(MAX($J1679*1.4*1.5*1.6*1.6*2.2*2.715*2.6,3540000000*(1.579646^(MIN($E1679,123)-117)))*1,0))</f>
        <v>9283810</v>
      </c>
      <c r="Y1679" s="4">
        <f>$E1679+17</f>
        <v>121</v>
      </c>
      <c r="Z1679" s="8">
        <f>IF($J1679=0,0,ROUND(MAX($J1679*1.4*1.5*1.6*1.6*2.2*2.715*2.6*1.4,6020000000*(1.651178^(MIN($E1679,123)-117)))*1,0))</f>
        <v>8877197</v>
      </c>
      <c r="AA1679" s="6">
        <f>$E1679+19</f>
        <v>123</v>
      </c>
      <c r="AB1679" s="7">
        <f>IF($J1679=0,0,ROUND(MAX($J1679*1.4*1.5*1.6*1.6*2.2*2.715*2.6*1.4*1.4,8430000000*(1.651435^(MIN($E1679,123)-117)))*1,0))</f>
        <v>12405900</v>
      </c>
      <c r="AC1679" s="4">
        <f>$E1679+21</f>
        <v>125</v>
      </c>
      <c r="AD1679" s="8">
        <f>IF($J1679=0,0,ROUND(MAX($J1679*1.4*1.5*1.6*1.6*2.2*2.715*2.6*1.4*1.4*1.5,12600000000*(1.652953^(MIN($E1679,123)-117)))*1,0))</f>
        <v>18322468</v>
      </c>
      <c r="AE1679" s="6">
        <f>$E1679+24</f>
        <v>128</v>
      </c>
      <c r="AF1679" s="7">
        <f>IF($J1679=0,0,ROUND(MAX($J1679*1.4*1.5*1.6*1.6*2.2*2.715*2.6*1.4*1.4*1.5*1.5,18900000000*(1.65331^(MIN($E1679,123)-117)))*1,0))</f>
        <v>27406653</v>
      </c>
      <c r="AG1679" s="4">
        <f>$E1679+27</f>
        <v>131</v>
      </c>
      <c r="AH1679" s="8">
        <f>IF($J1679=0,0,ROUND(MAX($J1679*1.4*1.5*1.6*1.6*2.2*2.715*2.6*1.4*1.4*1.5*1.5*3.2,60500000000*(1.654288^(MIN($E1679,123)-117)))*1,0))</f>
        <v>87058428</v>
      </c>
    </row>
    <row r="1680" ht="27.75" customHeight="1" spans="1:34" x14ac:dyDescent="0.25">
      <c r="A1680" s="3">
        <v>1690</v>
      </c>
      <c r="B1680" s="3" t="s">
        <v>785</v>
      </c>
      <c r="C1680" s="3" t="s">
        <v>1159</v>
      </c>
      <c r="D1680" s="3" t="s">
        <v>47</v>
      </c>
      <c r="E1680" s="3">
        <v>104</v>
      </c>
      <c r="F1680" s="3" t="s">
        <v>34</v>
      </c>
      <c r="G1680" s="3" t="s">
        <v>72</v>
      </c>
      <c r="H1680" s="3">
        <v>20</v>
      </c>
      <c r="I1680" s="4">
        <v>104</v>
      </c>
      <c r="J1680" s="5">
        <v>18700</v>
      </c>
      <c r="K1680" s="6">
        <f>$E1680+1</f>
        <v>105</v>
      </c>
      <c r="L1680" s="7">
        <f>IF($J1680=0,0,ROUND(MAX($J1680*1.4,1620000*(1.497923^(MIN($E1680,123)-117)))*1,0))</f>
        <v>26180</v>
      </c>
      <c r="M1680" s="4">
        <f>$E1680+2</f>
        <v>106</v>
      </c>
      <c r="N1680" s="8">
        <f>IF($J1680=0,0,ROUND(MAX($J1680*1.4*1.5,2190000*(1.580994^(MIN($E1680,123)-117)))*1,0))</f>
        <v>39270</v>
      </c>
      <c r="O1680" s="6">
        <f>$E1680+4</f>
        <v>108</v>
      </c>
      <c r="P1680" s="7">
        <f>IF($J1680=0,0,ROUND(MAX($J1680*1.4*1.5*1.6,3500000*(1.57975^(MIN($E1680,123)-117)))*1,0))</f>
        <v>62832</v>
      </c>
      <c r="Q1680" s="4">
        <f>$E1680+6</f>
        <v>110</v>
      </c>
      <c r="R1680" s="8">
        <f>IF($J1680=0,0,ROUND(MAX($J1680*1.4*1.5*1.6*1.6,13100000*(1.429962^(MIN($E1680,123)-117)))*1,0))</f>
        <v>125329</v>
      </c>
      <c r="S1680" s="6">
        <f>$E1680+8</f>
        <v>112</v>
      </c>
      <c r="T1680" s="7">
        <f>IF($J1680=0,0,ROUND(MAX($J1680*1.4*1.5*1.6*1.6*2.2,42600000*(1.576904^(MIN($E1680,123)-117)))*1,0))</f>
        <v>221169</v>
      </c>
      <c r="U1680" s="4">
        <f>$E1680+11</f>
        <v>115</v>
      </c>
      <c r="V1680" s="8">
        <f>IF($J1680=0,0,ROUND(MAX($J1680*1.4*1.5*1.6*1.6*2.2*2.715,354000000*(1.642074^(MIN($E1680,123)-117)))*1,0))</f>
        <v>600473</v>
      </c>
      <c r="W1680" s="6">
        <f>$E1680+15</f>
        <v>119</v>
      </c>
      <c r="X1680" s="7">
        <f>IF($J1680=0,0,ROUND(MAX($J1680*1.4*1.5*1.6*1.6*2.2*2.715*2.6,3540000000*(1.579646^(MIN($E1680,123)-117)))*1,0))</f>
        <v>9283810</v>
      </c>
      <c r="Y1680" s="4">
        <f>$E1680+17</f>
        <v>121</v>
      </c>
      <c r="Z1680" s="8">
        <f>IF($J1680=0,0,ROUND(MAX($J1680*1.4*1.5*1.6*1.6*2.2*2.715*2.6*1.4,6020000000*(1.651178^(MIN($E1680,123)-117)))*1,0))</f>
        <v>8877197</v>
      </c>
      <c r="AA1680" s="6">
        <f>$E1680+19</f>
        <v>123</v>
      </c>
      <c r="AB1680" s="7">
        <f>IF($J1680=0,0,ROUND(MAX($J1680*1.4*1.5*1.6*1.6*2.2*2.715*2.6*1.4*1.4,8430000000*(1.651435^(MIN($E1680,123)-117)))*1,0))</f>
        <v>12405900</v>
      </c>
      <c r="AC1680" s="4">
        <f>$E1680+21</f>
        <v>125</v>
      </c>
      <c r="AD1680" s="8">
        <f>IF($J1680=0,0,ROUND(MAX($J1680*1.4*1.5*1.6*1.6*2.2*2.715*2.6*1.4*1.4*1.5,12600000000*(1.652953^(MIN($E1680,123)-117)))*1,0))</f>
        <v>18322468</v>
      </c>
      <c r="AE1680" s="6">
        <f>$E1680+24</f>
        <v>128</v>
      </c>
      <c r="AF1680" s="7">
        <f>IF($J1680=0,0,ROUND(MAX($J1680*1.4*1.5*1.6*1.6*2.2*2.715*2.6*1.4*1.4*1.5*1.5,18900000000*(1.65331^(MIN($E1680,123)-117)))*1,0))</f>
        <v>27406653</v>
      </c>
      <c r="AG1680" s="4">
        <f>$E1680+27</f>
        <v>131</v>
      </c>
      <c r="AH1680" s="8">
        <f>IF($J1680=0,0,ROUND(MAX($J1680*1.4*1.5*1.6*1.6*2.2*2.715*2.6*1.4*1.4*1.5*1.5*3.2,60500000000*(1.654288^(MIN($E1680,123)-117)))*1,0))</f>
        <v>87058428</v>
      </c>
    </row>
    <row r="1681" ht="27.75" customHeight="1" spans="1:34" x14ac:dyDescent="0.25">
      <c r="A1681" s="3">
        <v>1691</v>
      </c>
      <c r="B1681" s="3" t="s">
        <v>411</v>
      </c>
      <c r="C1681" s="3" t="s">
        <v>1159</v>
      </c>
      <c r="D1681" s="3" t="s">
        <v>33</v>
      </c>
      <c r="E1681" s="3">
        <v>103</v>
      </c>
      <c r="F1681" s="3" t="s">
        <v>412</v>
      </c>
      <c r="G1681" s="3" t="s">
        <v>374</v>
      </c>
      <c r="H1681" s="3">
        <v>23</v>
      </c>
      <c r="I1681" s="4">
        <v>103</v>
      </c>
      <c r="J1681" s="5">
        <v>19600</v>
      </c>
      <c r="K1681" s="6">
        <f>$E1681+1</f>
        <v>104</v>
      </c>
      <c r="L1681" s="7">
        <f>IF($J1681=0,0,ROUND(MAX($J1681*1.4,1620000*(1.497923^(MIN($E1681,123)-117)))*1,0))</f>
        <v>27440</v>
      </c>
      <c r="M1681" s="4">
        <f>$E1681+2</f>
        <v>105</v>
      </c>
      <c r="N1681" s="8">
        <f>IF($J1681=0,0,ROUND(MAX($J1681*1.4*1.5,2190000*(1.580994^(MIN($E1681,123)-117)))*1,0))</f>
        <v>41160</v>
      </c>
      <c r="O1681" s="6">
        <f>$E1681+4</f>
        <v>107</v>
      </c>
      <c r="P1681" s="7">
        <f>IF($J1681=0,0,ROUND(MAX($J1681*1.4*1.5*1.6,3500000*(1.57975^(MIN($E1681,123)-117)))*1,0))</f>
        <v>65856</v>
      </c>
      <c r="Q1681" s="4">
        <f>$E1681+6</f>
        <v>109</v>
      </c>
      <c r="R1681" s="8">
        <f>IF($J1681=0,0,ROUND(MAX($J1681*1.4*1.5*1.6*1.6,13100000*(1.429962^(MIN($E1681,123)-117)))*1,0))</f>
        <v>105370</v>
      </c>
      <c r="S1681" s="6">
        <f>$E1681+8</f>
        <v>111</v>
      </c>
      <c r="T1681" s="7">
        <f>IF($J1681=0,0,ROUND(MAX($J1681*1.4*1.5*1.6*1.6*2.2,42600000*(1.576904^(MIN($E1681,123)-117)))*1,0))</f>
        <v>231813</v>
      </c>
      <c r="U1681" s="4">
        <f>$E1681+11</f>
        <v>114</v>
      </c>
      <c r="V1681" s="8">
        <f>IF($J1681=0,0,ROUND(MAX($J1681*1.4*1.5*1.6*1.6*2.2*2.715,354000000*(1.642074^(MIN($E1681,123)-117)))*1,0))</f>
        <v>629373</v>
      </c>
      <c r="W1681" s="6">
        <f>$E1681+15</f>
        <v>118</v>
      </c>
      <c r="X1681" s="7">
        <f>IF($J1681=0,0,ROUND(MAX($J1681*1.4*1.5*1.6*1.6*2.2*2.715*2.6,3540000000*(1.579646^(MIN($E1681,123)-117)))*1,0))</f>
        <v>5877146</v>
      </c>
      <c r="Y1681" s="4">
        <f>$E1681+17</f>
        <v>120</v>
      </c>
      <c r="Z1681" s="8">
        <f>IF($J1681=0,0,ROUND(MAX($J1681*1.4*1.5*1.6*1.6*2.2*2.715*2.6*1.4,6020000000*(1.651178^(MIN($E1681,123)-117)))*1,0))</f>
        <v>5376281</v>
      </c>
      <c r="AA1681" s="6">
        <f>$E1681+19</f>
        <v>122</v>
      </c>
      <c r="AB1681" s="7">
        <f>IF($J1681=0,0,ROUND(MAX($J1681*1.4*1.5*1.6*1.6*2.2*2.715*2.6*1.4*1.4,8430000000*(1.651435^(MIN($E1681,123)-117)))*1,0))</f>
        <v>7512194</v>
      </c>
      <c r="AC1681" s="4">
        <f>$E1681+21</f>
        <v>124</v>
      </c>
      <c r="AD1681" s="8">
        <f>IF($J1681=0,0,ROUND(MAX($J1681*1.4*1.5*1.6*1.6*2.2*2.715*2.6*1.4*1.4*1.5,12600000000*(1.652953^(MIN($E1681,123)-117)))*1,0))</f>
        <v>11084688</v>
      </c>
      <c r="AE1681" s="6">
        <f>$E1681+24</f>
        <v>127</v>
      </c>
      <c r="AF1681" s="7">
        <f>IF($J1681=0,0,ROUND(MAX($J1681*1.4*1.5*1.6*1.6*2.2*2.715*2.6*1.4*1.4*1.5*1.5,18900000000*(1.65331^(MIN($E1681,123)-117)))*1,0))</f>
        <v>16576839</v>
      </c>
      <c r="AG1681" s="4">
        <f>$E1681+27</f>
        <v>130</v>
      </c>
      <c r="AH1681" s="8">
        <f>IF($J1681=0,0,ROUND(MAX($J1681*1.4*1.5*1.6*1.6*2.2*2.715*2.6*1.4*1.4*1.5*1.5*3.2,60500000000*(1.654288^(MIN($E1681,123)-117)))*1,0))</f>
        <v>52625920</v>
      </c>
    </row>
    <row r="1682" ht="27.75" customHeight="1" spans="1:34" x14ac:dyDescent="0.25">
      <c r="A1682" s="3">
        <v>1692</v>
      </c>
      <c r="B1682" s="3" t="s">
        <v>1129</v>
      </c>
      <c r="C1682" s="3" t="s">
        <v>1159</v>
      </c>
      <c r="D1682" s="3" t="s">
        <v>40</v>
      </c>
      <c r="E1682" s="3">
        <v>103</v>
      </c>
      <c r="F1682" s="3" t="s">
        <v>1093</v>
      </c>
      <c r="G1682" s="3" t="s">
        <v>106</v>
      </c>
      <c r="H1682" s="3">
        <v>23</v>
      </c>
      <c r="I1682" s="4">
        <v>103</v>
      </c>
      <c r="J1682" s="5">
        <v>15100</v>
      </c>
      <c r="K1682" s="6">
        <f>$E1682+1</f>
        <v>104</v>
      </c>
      <c r="L1682" s="7">
        <f>IF($J1682=0,0,ROUND(MAX($J1682*1.4,1620000*(1.497923^(MIN($E1682,123)-117)))*1,0))</f>
        <v>21140</v>
      </c>
      <c r="M1682" s="4">
        <f>$E1682+2</f>
        <v>105</v>
      </c>
      <c r="N1682" s="8">
        <f>IF($J1682=0,0,ROUND(MAX($J1682*1.4*1.5,2190000*(1.580994^(MIN($E1682,123)-117)))*1,0))</f>
        <v>31710</v>
      </c>
      <c r="O1682" s="6">
        <f>$E1682+4</f>
        <v>107</v>
      </c>
      <c r="P1682" s="7">
        <f>IF($J1682=0,0,ROUND(MAX($J1682*1.4*1.5*1.6,3500000*(1.57975^(MIN($E1682,123)-117)))*1,0))</f>
        <v>50736</v>
      </c>
      <c r="Q1682" s="4">
        <f>$E1682+6</f>
        <v>109</v>
      </c>
      <c r="R1682" s="8">
        <f>IF($J1682=0,0,ROUND(MAX($J1682*1.4*1.5*1.6*1.6,13100000*(1.429962^(MIN($E1682,123)-117)))*1,0))</f>
        <v>87645</v>
      </c>
      <c r="S1682" s="6">
        <f>$E1682+8</f>
        <v>111</v>
      </c>
      <c r="T1682" s="7">
        <f>IF($J1682=0,0,ROUND(MAX($J1682*1.4*1.5*1.6*1.6*2.2,42600000*(1.576904^(MIN($E1682,123)-117)))*1,0))</f>
        <v>178591</v>
      </c>
      <c r="U1682" s="4">
        <f>$E1682+11</f>
        <v>114</v>
      </c>
      <c r="V1682" s="8">
        <f>IF($J1682=0,0,ROUND(MAX($J1682*1.4*1.5*1.6*1.6*2.2*2.715,354000000*(1.642074^(MIN($E1682,123)-117)))*1,0))</f>
        <v>484874</v>
      </c>
      <c r="W1682" s="6">
        <f>$E1682+15</f>
        <v>118</v>
      </c>
      <c r="X1682" s="7">
        <f>IF($J1682=0,0,ROUND(MAX($J1682*1.4*1.5*1.6*1.6*2.2*2.715*2.6,3540000000*(1.579646^(MIN($E1682,123)-117)))*1,0))</f>
        <v>5877146</v>
      </c>
      <c r="Y1682" s="4">
        <f>$E1682+17</f>
        <v>120</v>
      </c>
      <c r="Z1682" s="8">
        <f>IF($J1682=0,0,ROUND(MAX($J1682*1.4*1.5*1.6*1.6*2.2*2.715*2.6*1.4,6020000000*(1.651178^(MIN($E1682,123)-117)))*1,0))</f>
        <v>5376281</v>
      </c>
      <c r="AA1682" s="6">
        <f>$E1682+19</f>
        <v>122</v>
      </c>
      <c r="AB1682" s="7">
        <f>IF($J1682=0,0,ROUND(MAX($J1682*1.4*1.5*1.6*1.6*2.2*2.715*2.6*1.4*1.4,8430000000*(1.651435^(MIN($E1682,123)-117)))*1,0))</f>
        <v>7512194</v>
      </c>
      <c r="AC1682" s="4">
        <f>$E1682+21</f>
        <v>124</v>
      </c>
      <c r="AD1682" s="8">
        <f>IF($J1682=0,0,ROUND(MAX($J1682*1.4*1.5*1.6*1.6*2.2*2.715*2.6*1.4*1.4*1.5,12600000000*(1.652953^(MIN($E1682,123)-117)))*1,0))</f>
        <v>11084688</v>
      </c>
      <c r="AE1682" s="6">
        <f>$E1682+24</f>
        <v>127</v>
      </c>
      <c r="AF1682" s="7">
        <f>IF($J1682=0,0,ROUND(MAX($J1682*1.4*1.5*1.6*1.6*2.2*2.715*2.6*1.4*1.4*1.5*1.5,18900000000*(1.65331^(MIN($E1682,123)-117)))*1,0))</f>
        <v>16576839</v>
      </c>
      <c r="AG1682" s="4">
        <f>$E1682+27</f>
        <v>130</v>
      </c>
      <c r="AH1682" s="8">
        <f>IF($J1682=0,0,ROUND(MAX($J1682*1.4*1.5*1.6*1.6*2.2*2.715*2.6*1.4*1.4*1.5*1.5*3.2,60500000000*(1.654288^(MIN($E1682,123)-117)))*1,0))</f>
        <v>52625920</v>
      </c>
    </row>
    <row r="1683" ht="27.75" customHeight="1" spans="1:34" x14ac:dyDescent="0.25">
      <c r="A1683" s="3">
        <v>1693</v>
      </c>
      <c r="B1683" s="3" t="s">
        <v>238</v>
      </c>
      <c r="C1683" s="3" t="s">
        <v>1159</v>
      </c>
      <c r="D1683" s="3" t="s">
        <v>45</v>
      </c>
      <c r="E1683" s="3">
        <v>103</v>
      </c>
      <c r="F1683" s="3" t="s">
        <v>71</v>
      </c>
      <c r="G1683" s="3" t="s">
        <v>72</v>
      </c>
      <c r="H1683" s="3">
        <v>22</v>
      </c>
      <c r="I1683" s="4">
        <v>103</v>
      </c>
      <c r="J1683" s="5">
        <v>17100</v>
      </c>
      <c r="K1683" s="6">
        <f>$E1683+1</f>
        <v>104</v>
      </c>
      <c r="L1683" s="7">
        <f>IF($J1683=0,0,ROUND(MAX($J1683*1.4,1620000*(1.497923^(MIN($E1683,123)-117)))*1,0))</f>
        <v>23940</v>
      </c>
      <c r="M1683" s="4">
        <f>$E1683+2</f>
        <v>105</v>
      </c>
      <c r="N1683" s="8">
        <f>IF($J1683=0,0,ROUND(MAX($J1683*1.4*1.5,2190000*(1.580994^(MIN($E1683,123)-117)))*1,0))</f>
        <v>35910</v>
      </c>
      <c r="O1683" s="6">
        <f>$E1683+4</f>
        <v>107</v>
      </c>
      <c r="P1683" s="7">
        <f>IF($J1683=0,0,ROUND(MAX($J1683*1.4*1.5*1.6,3500000*(1.57975^(MIN($E1683,123)-117)))*1,0))</f>
        <v>57456</v>
      </c>
      <c r="Q1683" s="4">
        <f>$E1683+6</f>
        <v>109</v>
      </c>
      <c r="R1683" s="8">
        <f>IF($J1683=0,0,ROUND(MAX($J1683*1.4*1.5*1.6*1.6,13100000*(1.429962^(MIN($E1683,123)-117)))*1,0))</f>
        <v>91930</v>
      </c>
      <c r="S1683" s="6">
        <f>$E1683+8</f>
        <v>111</v>
      </c>
      <c r="T1683" s="7">
        <f>IF($J1683=0,0,ROUND(MAX($J1683*1.4*1.5*1.6*1.6*2.2,42600000*(1.576904^(MIN($E1683,123)-117)))*1,0))</f>
        <v>202245</v>
      </c>
      <c r="U1683" s="4">
        <f>$E1683+11</f>
        <v>114</v>
      </c>
      <c r="V1683" s="8">
        <f>IF($J1683=0,0,ROUND(MAX($J1683*1.4*1.5*1.6*1.6*2.2*2.715,354000000*(1.642074^(MIN($E1683,123)-117)))*1,0))</f>
        <v>549096</v>
      </c>
      <c r="W1683" s="6">
        <f>$E1683+15</f>
        <v>118</v>
      </c>
      <c r="X1683" s="7">
        <f>IF($J1683=0,0,ROUND(MAX($J1683*1.4*1.5*1.6*1.6*2.2*2.715*2.6,3540000000*(1.579646^(MIN($E1683,123)-117)))*1,0))</f>
        <v>5877146</v>
      </c>
      <c r="Y1683" s="4">
        <f>$E1683+17</f>
        <v>120</v>
      </c>
      <c r="Z1683" s="8">
        <f>IF($J1683=0,0,ROUND(MAX($J1683*1.4*1.5*1.6*1.6*2.2*2.715*2.6*1.4,6020000000*(1.651178^(MIN($E1683,123)-117)))*1,0))</f>
        <v>5376281</v>
      </c>
      <c r="AA1683" s="6">
        <f>$E1683+19</f>
        <v>122</v>
      </c>
      <c r="AB1683" s="7">
        <f>IF($J1683=0,0,ROUND(MAX($J1683*1.4*1.5*1.6*1.6*2.2*2.715*2.6*1.4*1.4,8430000000*(1.651435^(MIN($E1683,123)-117)))*1,0))</f>
        <v>7512194</v>
      </c>
      <c r="AC1683" s="4">
        <f>$E1683+21</f>
        <v>124</v>
      </c>
      <c r="AD1683" s="8">
        <f>IF($J1683=0,0,ROUND(MAX($J1683*1.4*1.5*1.6*1.6*2.2*2.715*2.6*1.4*1.4*1.5,12600000000*(1.652953^(MIN($E1683,123)-117)))*1,0))</f>
        <v>11084688</v>
      </c>
      <c r="AE1683" s="6">
        <f>$E1683+24</f>
        <v>127</v>
      </c>
      <c r="AF1683" s="7">
        <f>IF($J1683=0,0,ROUND(MAX($J1683*1.4*1.5*1.6*1.6*2.2*2.715*2.6*1.4*1.4*1.5*1.5,18900000000*(1.65331^(MIN($E1683,123)-117)))*1,0))</f>
        <v>16576839</v>
      </c>
      <c r="AG1683" s="4">
        <f>$E1683+27</f>
        <v>130</v>
      </c>
      <c r="AH1683" s="8">
        <f>IF($J1683=0,0,ROUND(MAX($J1683*1.4*1.5*1.6*1.6*2.2*2.715*2.6*1.4*1.4*1.5*1.5*3.2,60500000000*(1.654288^(MIN($E1683,123)-117)))*1,0))</f>
        <v>52625920</v>
      </c>
    </row>
    <row r="1684" ht="27.75" customHeight="1" spans="1:34" x14ac:dyDescent="0.25">
      <c r="A1684" s="3">
        <v>1694</v>
      </c>
      <c r="B1684" s="3" t="s">
        <v>833</v>
      </c>
      <c r="C1684" s="3" t="s">
        <v>1159</v>
      </c>
      <c r="D1684" s="3" t="s">
        <v>25</v>
      </c>
      <c r="E1684" s="3">
        <v>103</v>
      </c>
      <c r="F1684" s="3" t="s">
        <v>223</v>
      </c>
      <c r="G1684" s="3" t="s">
        <v>95</v>
      </c>
      <c r="H1684" s="3">
        <v>22</v>
      </c>
      <c r="I1684" s="4">
        <v>103</v>
      </c>
      <c r="J1684" s="5">
        <v>17700</v>
      </c>
      <c r="K1684" s="6">
        <f>$E1684+1</f>
        <v>104</v>
      </c>
      <c r="L1684" s="7">
        <f>IF($J1684=0,0,ROUND(MAX($J1684*1.4,1620000*(1.497923^(MIN($E1684,123)-117)))*1,0))</f>
        <v>24780</v>
      </c>
      <c r="M1684" s="4">
        <f>$E1684+2</f>
        <v>105</v>
      </c>
      <c r="N1684" s="8">
        <f>IF($J1684=0,0,ROUND(MAX($J1684*1.4*1.5,2190000*(1.580994^(MIN($E1684,123)-117)))*1,0))</f>
        <v>37170</v>
      </c>
      <c r="O1684" s="6">
        <f>$E1684+4</f>
        <v>107</v>
      </c>
      <c r="P1684" s="7">
        <f>IF($J1684=0,0,ROUND(MAX($J1684*1.4*1.5*1.6,3500000*(1.57975^(MIN($E1684,123)-117)))*1,0))</f>
        <v>59472</v>
      </c>
      <c r="Q1684" s="4">
        <f>$E1684+6</f>
        <v>109</v>
      </c>
      <c r="R1684" s="8">
        <f>IF($J1684=0,0,ROUND(MAX($J1684*1.4*1.5*1.6*1.6,13100000*(1.429962^(MIN($E1684,123)-117)))*1,0))</f>
        <v>95155</v>
      </c>
      <c r="S1684" s="6">
        <f>$E1684+8</f>
        <v>111</v>
      </c>
      <c r="T1684" s="7">
        <f>IF($J1684=0,0,ROUND(MAX($J1684*1.4*1.5*1.6*1.6*2.2,42600000*(1.576904^(MIN($E1684,123)-117)))*1,0))</f>
        <v>209341</v>
      </c>
      <c r="U1684" s="4">
        <f>$E1684+11</f>
        <v>114</v>
      </c>
      <c r="V1684" s="8">
        <f>IF($J1684=0,0,ROUND(MAX($J1684*1.4*1.5*1.6*1.6*2.2*2.715,354000000*(1.642074^(MIN($E1684,123)-117)))*1,0))</f>
        <v>568362</v>
      </c>
      <c r="W1684" s="6">
        <f>$E1684+15</f>
        <v>118</v>
      </c>
      <c r="X1684" s="7">
        <f>IF($J1684=0,0,ROUND(MAX($J1684*1.4*1.5*1.6*1.6*2.2*2.715*2.6,3540000000*(1.579646^(MIN($E1684,123)-117)))*1,0))</f>
        <v>5877146</v>
      </c>
      <c r="Y1684" s="4">
        <f>$E1684+17</f>
        <v>120</v>
      </c>
      <c r="Z1684" s="8">
        <f>IF($J1684=0,0,ROUND(MAX($J1684*1.4*1.5*1.6*1.6*2.2*2.715*2.6*1.4,6020000000*(1.651178^(MIN($E1684,123)-117)))*1,0))</f>
        <v>5376281</v>
      </c>
      <c r="AA1684" s="6">
        <f>$E1684+19</f>
        <v>122</v>
      </c>
      <c r="AB1684" s="7">
        <f>IF($J1684=0,0,ROUND(MAX($J1684*1.4*1.5*1.6*1.6*2.2*2.715*2.6*1.4*1.4,8430000000*(1.651435^(MIN($E1684,123)-117)))*1,0))</f>
        <v>7512194</v>
      </c>
      <c r="AC1684" s="4">
        <f>$E1684+21</f>
        <v>124</v>
      </c>
      <c r="AD1684" s="8">
        <f>IF($J1684=0,0,ROUND(MAX($J1684*1.4*1.5*1.6*1.6*2.2*2.715*2.6*1.4*1.4*1.5,12600000000*(1.652953^(MIN($E1684,123)-117)))*1,0))</f>
        <v>11084688</v>
      </c>
      <c r="AE1684" s="6">
        <f>$E1684+24</f>
        <v>127</v>
      </c>
      <c r="AF1684" s="7">
        <f>IF($J1684=0,0,ROUND(MAX($J1684*1.4*1.5*1.6*1.6*2.2*2.715*2.6*1.4*1.4*1.5*1.5,18900000000*(1.65331^(MIN($E1684,123)-117)))*1,0))</f>
        <v>16576839</v>
      </c>
      <c r="AG1684" s="4">
        <f>$E1684+27</f>
        <v>130</v>
      </c>
      <c r="AH1684" s="8">
        <f>IF($J1684=0,0,ROUND(MAX($J1684*1.4*1.5*1.6*1.6*2.2*2.715*2.6*1.4*1.4*1.5*1.5*3.2,60500000000*(1.654288^(MIN($E1684,123)-117)))*1,0))</f>
        <v>52625920</v>
      </c>
    </row>
    <row r="1685" ht="27.75" customHeight="1" spans="1:34" x14ac:dyDescent="0.25">
      <c r="A1685" s="3">
        <v>1695</v>
      </c>
      <c r="B1685" s="3" t="s">
        <v>1172</v>
      </c>
      <c r="C1685" s="3" t="s">
        <v>1159</v>
      </c>
      <c r="D1685" s="3" t="s">
        <v>45</v>
      </c>
      <c r="E1685" s="3">
        <v>103</v>
      </c>
      <c r="F1685" s="3" t="s">
        <v>42</v>
      </c>
      <c r="G1685" s="3" t="s">
        <v>748</v>
      </c>
      <c r="H1685" s="3">
        <v>22</v>
      </c>
      <c r="I1685" s="4">
        <v>103</v>
      </c>
      <c r="J1685" s="5">
        <v>15700</v>
      </c>
      <c r="K1685" s="6">
        <f>$E1685+1</f>
        <v>104</v>
      </c>
      <c r="L1685" s="7">
        <f>IF($J1685=0,0,ROUND(MAX($J1685*1.4,1620000*(1.497923^(MIN($E1685,123)-117)))*1,0))</f>
        <v>21980</v>
      </c>
      <c r="M1685" s="4">
        <f>$E1685+2</f>
        <v>105</v>
      </c>
      <c r="N1685" s="8">
        <f>IF($J1685=0,0,ROUND(MAX($J1685*1.4*1.5,2190000*(1.580994^(MIN($E1685,123)-117)))*1,0))</f>
        <v>32970</v>
      </c>
      <c r="O1685" s="6">
        <f>$E1685+4</f>
        <v>107</v>
      </c>
      <c r="P1685" s="7">
        <f>IF($J1685=0,0,ROUND(MAX($J1685*1.4*1.5*1.6,3500000*(1.57975^(MIN($E1685,123)-117)))*1,0))</f>
        <v>52752</v>
      </c>
      <c r="Q1685" s="4">
        <f>$E1685+6</f>
        <v>109</v>
      </c>
      <c r="R1685" s="8">
        <f>IF($J1685=0,0,ROUND(MAX($J1685*1.4*1.5*1.6*1.6,13100000*(1.429962^(MIN($E1685,123)-117)))*1,0))</f>
        <v>87645</v>
      </c>
      <c r="S1685" s="6">
        <f>$E1685+8</f>
        <v>111</v>
      </c>
      <c r="T1685" s="7">
        <f>IF($J1685=0,0,ROUND(MAX($J1685*1.4*1.5*1.6*1.6*2.2,42600000*(1.576904^(MIN($E1685,123)-117)))*1,0))</f>
        <v>185687</v>
      </c>
      <c r="U1685" s="4">
        <f>$E1685+11</f>
        <v>114</v>
      </c>
      <c r="V1685" s="8">
        <f>IF($J1685=0,0,ROUND(MAX($J1685*1.4*1.5*1.6*1.6*2.2*2.715,354000000*(1.642074^(MIN($E1685,123)-117)))*1,0))</f>
        <v>504140</v>
      </c>
      <c r="W1685" s="6">
        <f>$E1685+15</f>
        <v>118</v>
      </c>
      <c r="X1685" s="7">
        <f>IF($J1685=0,0,ROUND(MAX($J1685*1.4*1.5*1.6*1.6*2.2*2.715*2.6,3540000000*(1.579646^(MIN($E1685,123)-117)))*1,0))</f>
        <v>5877146</v>
      </c>
      <c r="Y1685" s="4">
        <f>$E1685+17</f>
        <v>120</v>
      </c>
      <c r="Z1685" s="8">
        <f>IF($J1685=0,0,ROUND(MAX($J1685*1.4*1.5*1.6*1.6*2.2*2.715*2.6*1.4,6020000000*(1.651178^(MIN($E1685,123)-117)))*1,0))</f>
        <v>5376281</v>
      </c>
      <c r="AA1685" s="6">
        <f>$E1685+19</f>
        <v>122</v>
      </c>
      <c r="AB1685" s="7">
        <f>IF($J1685=0,0,ROUND(MAX($J1685*1.4*1.5*1.6*1.6*2.2*2.715*2.6*1.4*1.4,8430000000*(1.651435^(MIN($E1685,123)-117)))*1,0))</f>
        <v>7512194</v>
      </c>
      <c r="AC1685" s="4">
        <f>$E1685+21</f>
        <v>124</v>
      </c>
      <c r="AD1685" s="8">
        <f>IF($J1685=0,0,ROUND(MAX($J1685*1.4*1.5*1.6*1.6*2.2*2.715*2.6*1.4*1.4*1.5,12600000000*(1.652953^(MIN($E1685,123)-117)))*1,0))</f>
        <v>11084688</v>
      </c>
      <c r="AE1685" s="6">
        <f>$E1685+24</f>
        <v>127</v>
      </c>
      <c r="AF1685" s="7">
        <f>IF($J1685=0,0,ROUND(MAX($J1685*1.4*1.5*1.6*1.6*2.2*2.715*2.6*1.4*1.4*1.5*1.5,18900000000*(1.65331^(MIN($E1685,123)-117)))*1,0))</f>
        <v>16576839</v>
      </c>
      <c r="AG1685" s="4">
        <f>$E1685+27</f>
        <v>130</v>
      </c>
      <c r="AH1685" s="8">
        <f>IF($J1685=0,0,ROUND(MAX($J1685*1.4*1.5*1.6*1.6*2.2*2.715*2.6*1.4*1.4*1.5*1.5*3.2,60500000000*(1.654288^(MIN($E1685,123)-117)))*1,0))</f>
        <v>52625920</v>
      </c>
    </row>
    <row r="1686" ht="27.75" customHeight="1" spans="1:34" x14ac:dyDescent="0.25">
      <c r="A1686" s="3">
        <v>1696</v>
      </c>
      <c r="B1686" s="3" t="s">
        <v>923</v>
      </c>
      <c r="C1686" s="3" t="s">
        <v>1159</v>
      </c>
      <c r="D1686" s="3" t="s">
        <v>40</v>
      </c>
      <c r="E1686" s="3">
        <v>103</v>
      </c>
      <c r="F1686" s="3" t="s">
        <v>71</v>
      </c>
      <c r="G1686" s="3" t="s">
        <v>326</v>
      </c>
      <c r="H1686" s="3">
        <v>22</v>
      </c>
      <c r="I1686" s="4">
        <v>103</v>
      </c>
      <c r="J1686" s="5">
        <v>17700</v>
      </c>
      <c r="K1686" s="6">
        <f>$E1686+1</f>
        <v>104</v>
      </c>
      <c r="L1686" s="7">
        <f>IF($J1686=0,0,ROUND(MAX($J1686*1.4,1620000*(1.497923^(MIN($E1686,123)-117)))*1,0))</f>
        <v>24780</v>
      </c>
      <c r="M1686" s="4">
        <f>$E1686+2</f>
        <v>105</v>
      </c>
      <c r="N1686" s="8">
        <f>IF($J1686=0,0,ROUND(MAX($J1686*1.4*1.5,2190000*(1.580994^(MIN($E1686,123)-117)))*1,0))</f>
        <v>37170</v>
      </c>
      <c r="O1686" s="6">
        <f>$E1686+4</f>
        <v>107</v>
      </c>
      <c r="P1686" s="7">
        <f>IF($J1686=0,0,ROUND(MAX($J1686*1.4*1.5*1.6,3500000*(1.57975^(MIN($E1686,123)-117)))*1,0))</f>
        <v>59472</v>
      </c>
      <c r="Q1686" s="4">
        <f>$E1686+6</f>
        <v>109</v>
      </c>
      <c r="R1686" s="8">
        <f>IF($J1686=0,0,ROUND(MAX($J1686*1.4*1.5*1.6*1.6,13100000*(1.429962^(MIN($E1686,123)-117)))*1,0))</f>
        <v>95155</v>
      </c>
      <c r="S1686" s="6">
        <f>$E1686+8</f>
        <v>111</v>
      </c>
      <c r="T1686" s="7">
        <f>IF($J1686=0,0,ROUND(MAX($J1686*1.4*1.5*1.6*1.6*2.2,42600000*(1.576904^(MIN($E1686,123)-117)))*1,0))</f>
        <v>209341</v>
      </c>
      <c r="U1686" s="4">
        <f>$E1686+11</f>
        <v>114</v>
      </c>
      <c r="V1686" s="8">
        <f>IF($J1686=0,0,ROUND(MAX($J1686*1.4*1.5*1.6*1.6*2.2*2.715,354000000*(1.642074^(MIN($E1686,123)-117)))*1,0))</f>
        <v>568362</v>
      </c>
      <c r="W1686" s="6">
        <f>$E1686+15</f>
        <v>118</v>
      </c>
      <c r="X1686" s="7">
        <f>IF($J1686=0,0,ROUND(MAX($J1686*1.4*1.5*1.6*1.6*2.2*2.715*2.6,3540000000*(1.579646^(MIN($E1686,123)-117)))*1,0))</f>
        <v>5877146</v>
      </c>
      <c r="Y1686" s="4">
        <f>$E1686+17</f>
        <v>120</v>
      </c>
      <c r="Z1686" s="8">
        <f>IF($J1686=0,0,ROUND(MAX($J1686*1.4*1.5*1.6*1.6*2.2*2.715*2.6*1.4,6020000000*(1.651178^(MIN($E1686,123)-117)))*1,0))</f>
        <v>5376281</v>
      </c>
      <c r="AA1686" s="6">
        <f>$E1686+19</f>
        <v>122</v>
      </c>
      <c r="AB1686" s="7">
        <f>IF($J1686=0,0,ROUND(MAX($J1686*1.4*1.5*1.6*1.6*2.2*2.715*2.6*1.4*1.4,8430000000*(1.651435^(MIN($E1686,123)-117)))*1,0))</f>
        <v>7512194</v>
      </c>
      <c r="AC1686" s="4">
        <f>$E1686+21</f>
        <v>124</v>
      </c>
      <c r="AD1686" s="8">
        <f>IF($J1686=0,0,ROUND(MAX($J1686*1.4*1.5*1.6*1.6*2.2*2.715*2.6*1.4*1.4*1.5,12600000000*(1.652953^(MIN($E1686,123)-117)))*1,0))</f>
        <v>11084688</v>
      </c>
      <c r="AE1686" s="6">
        <f>$E1686+24</f>
        <v>127</v>
      </c>
      <c r="AF1686" s="7">
        <f>IF($J1686=0,0,ROUND(MAX($J1686*1.4*1.5*1.6*1.6*2.2*2.715*2.6*1.4*1.4*1.5*1.5,18900000000*(1.65331^(MIN($E1686,123)-117)))*1,0))</f>
        <v>16576839</v>
      </c>
      <c r="AG1686" s="4">
        <f>$E1686+27</f>
        <v>130</v>
      </c>
      <c r="AH1686" s="8">
        <f>IF($J1686=0,0,ROUND(MAX($J1686*1.4*1.5*1.6*1.6*2.2*2.715*2.6*1.4*1.4*1.5*1.5*3.2,60500000000*(1.654288^(MIN($E1686,123)-117)))*1,0))</f>
        <v>52625920</v>
      </c>
    </row>
    <row r="1687" ht="27.75" customHeight="1" spans="1:34" x14ac:dyDescent="0.25">
      <c r="A1687" s="3">
        <v>1697</v>
      </c>
      <c r="B1687" s="3" t="s">
        <v>1045</v>
      </c>
      <c r="C1687" s="3" t="s">
        <v>1159</v>
      </c>
      <c r="D1687" s="3" t="s">
        <v>165</v>
      </c>
      <c r="E1687" s="3">
        <v>103</v>
      </c>
      <c r="F1687" s="3" t="s">
        <v>71</v>
      </c>
      <c r="G1687" s="3" t="s">
        <v>206</v>
      </c>
      <c r="H1687" s="3">
        <v>22</v>
      </c>
      <c r="I1687" s="4">
        <v>103</v>
      </c>
      <c r="J1687" s="5">
        <v>18800</v>
      </c>
      <c r="K1687" s="6">
        <f>$E1687+1</f>
        <v>104</v>
      </c>
      <c r="L1687" s="7">
        <f>IF($J1687=0,0,ROUND(MAX($J1687*1.4,1620000*(1.497923^(MIN($E1687,123)-117)))*1,0))</f>
        <v>26320</v>
      </c>
      <c r="M1687" s="4">
        <f>$E1687+2</f>
        <v>105</v>
      </c>
      <c r="N1687" s="8">
        <f>IF($J1687=0,0,ROUND(MAX($J1687*1.4*1.5,2190000*(1.580994^(MIN($E1687,123)-117)))*1,0))</f>
        <v>39480</v>
      </c>
      <c r="O1687" s="6">
        <f>$E1687+4</f>
        <v>107</v>
      </c>
      <c r="P1687" s="7">
        <f>IF($J1687=0,0,ROUND(MAX($J1687*1.4*1.5*1.6,3500000*(1.57975^(MIN($E1687,123)-117)))*1,0))</f>
        <v>63168</v>
      </c>
      <c r="Q1687" s="4">
        <f>$E1687+6</f>
        <v>109</v>
      </c>
      <c r="R1687" s="8">
        <f>IF($J1687=0,0,ROUND(MAX($J1687*1.4*1.5*1.6*1.6,13100000*(1.429962^(MIN($E1687,123)-117)))*1,0))</f>
        <v>101069</v>
      </c>
      <c r="S1687" s="6">
        <f>$E1687+8</f>
        <v>111</v>
      </c>
      <c r="T1687" s="7">
        <f>IF($J1687=0,0,ROUND(MAX($J1687*1.4*1.5*1.6*1.6*2.2,42600000*(1.576904^(MIN($E1687,123)-117)))*1,0))</f>
        <v>222351</v>
      </c>
      <c r="U1687" s="4">
        <f>$E1687+11</f>
        <v>114</v>
      </c>
      <c r="V1687" s="8">
        <f>IF($J1687=0,0,ROUND(MAX($J1687*1.4*1.5*1.6*1.6*2.2*2.715,354000000*(1.642074^(MIN($E1687,123)-117)))*1,0))</f>
        <v>603684</v>
      </c>
      <c r="W1687" s="6">
        <f>$E1687+15</f>
        <v>118</v>
      </c>
      <c r="X1687" s="7">
        <f>IF($J1687=0,0,ROUND(MAX($J1687*1.4*1.5*1.6*1.6*2.2*2.715*2.6,3540000000*(1.579646^(MIN($E1687,123)-117)))*1,0))</f>
        <v>5877146</v>
      </c>
      <c r="Y1687" s="4">
        <f>$E1687+17</f>
        <v>120</v>
      </c>
      <c r="Z1687" s="8">
        <f>IF($J1687=0,0,ROUND(MAX($J1687*1.4*1.5*1.6*1.6*2.2*2.715*2.6*1.4,6020000000*(1.651178^(MIN($E1687,123)-117)))*1,0))</f>
        <v>5376281</v>
      </c>
      <c r="AA1687" s="6">
        <f>$E1687+19</f>
        <v>122</v>
      </c>
      <c r="AB1687" s="7">
        <f>IF($J1687=0,0,ROUND(MAX($J1687*1.4*1.5*1.6*1.6*2.2*2.715*2.6*1.4*1.4,8430000000*(1.651435^(MIN($E1687,123)-117)))*1,0))</f>
        <v>7512194</v>
      </c>
      <c r="AC1687" s="4">
        <f>$E1687+21</f>
        <v>124</v>
      </c>
      <c r="AD1687" s="8">
        <f>IF($J1687=0,0,ROUND(MAX($J1687*1.4*1.5*1.6*1.6*2.2*2.715*2.6*1.4*1.4*1.5,12600000000*(1.652953^(MIN($E1687,123)-117)))*1,0))</f>
        <v>11084688</v>
      </c>
      <c r="AE1687" s="6">
        <f>$E1687+24</f>
        <v>127</v>
      </c>
      <c r="AF1687" s="7">
        <f>IF($J1687=0,0,ROUND(MAX($J1687*1.4*1.5*1.6*1.6*2.2*2.715*2.6*1.4*1.4*1.5*1.5,18900000000*(1.65331^(MIN($E1687,123)-117)))*1,0))</f>
        <v>16576839</v>
      </c>
      <c r="AG1687" s="4">
        <f>$E1687+27</f>
        <v>130</v>
      </c>
      <c r="AH1687" s="8">
        <f>IF($J1687=0,0,ROUND(MAX($J1687*1.4*1.5*1.6*1.6*2.2*2.715*2.6*1.4*1.4*1.5*1.5*3.2,60500000000*(1.654288^(MIN($E1687,123)-117)))*1,0))</f>
        <v>52625920</v>
      </c>
    </row>
    <row r="1688" ht="27.75" customHeight="1" spans="1:34" x14ac:dyDescent="0.25">
      <c r="A1688" s="3">
        <v>1698</v>
      </c>
      <c r="B1688" s="3" t="s">
        <v>796</v>
      </c>
      <c r="C1688" s="3" t="s">
        <v>1159</v>
      </c>
      <c r="D1688" s="3" t="s">
        <v>45</v>
      </c>
      <c r="E1688" s="3">
        <v>103</v>
      </c>
      <c r="F1688" s="3" t="s">
        <v>42</v>
      </c>
      <c r="G1688" s="3" t="s">
        <v>797</v>
      </c>
      <c r="H1688" s="3">
        <v>22</v>
      </c>
      <c r="I1688" s="4">
        <v>103</v>
      </c>
      <c r="J1688" s="5">
        <v>20100</v>
      </c>
      <c r="K1688" s="6">
        <f>$E1688+1</f>
        <v>104</v>
      </c>
      <c r="L1688" s="7">
        <f>IF($J1688=0,0,ROUND(MAX($J1688*1.4,1620000*(1.497923^(MIN($E1688,123)-117)))*1,0))</f>
        <v>28140</v>
      </c>
      <c r="M1688" s="4">
        <f>$E1688+2</f>
        <v>105</v>
      </c>
      <c r="N1688" s="8">
        <f>IF($J1688=0,0,ROUND(MAX($J1688*1.4*1.5,2190000*(1.580994^(MIN($E1688,123)-117)))*1,0))</f>
        <v>42210</v>
      </c>
      <c r="O1688" s="6">
        <f>$E1688+4</f>
        <v>107</v>
      </c>
      <c r="P1688" s="7">
        <f>IF($J1688=0,0,ROUND(MAX($J1688*1.4*1.5*1.6,3500000*(1.57975^(MIN($E1688,123)-117)))*1,0))</f>
        <v>67536</v>
      </c>
      <c r="Q1688" s="4">
        <f>$E1688+6</f>
        <v>109</v>
      </c>
      <c r="R1688" s="8">
        <f>IF($J1688=0,0,ROUND(MAX($J1688*1.4*1.5*1.6*1.6,13100000*(1.429962^(MIN($E1688,123)-117)))*1,0))</f>
        <v>108058</v>
      </c>
      <c r="S1688" s="6">
        <f>$E1688+8</f>
        <v>111</v>
      </c>
      <c r="T1688" s="7">
        <f>IF($J1688=0,0,ROUND(MAX($J1688*1.4*1.5*1.6*1.6*2.2,42600000*(1.576904^(MIN($E1688,123)-117)))*1,0))</f>
        <v>237727</v>
      </c>
      <c r="U1688" s="4">
        <f>$E1688+11</f>
        <v>114</v>
      </c>
      <c r="V1688" s="8">
        <f>IF($J1688=0,0,ROUND(MAX($J1688*1.4*1.5*1.6*1.6*2.2*2.715,354000000*(1.642074^(MIN($E1688,123)-117)))*1,0))</f>
        <v>645428</v>
      </c>
      <c r="W1688" s="6">
        <f>$E1688+15</f>
        <v>118</v>
      </c>
      <c r="X1688" s="7">
        <f>IF($J1688=0,0,ROUND(MAX($J1688*1.4*1.5*1.6*1.6*2.2*2.715*2.6,3540000000*(1.579646^(MIN($E1688,123)-117)))*1,0))</f>
        <v>5877146</v>
      </c>
      <c r="Y1688" s="4">
        <f>$E1688+17</f>
        <v>120</v>
      </c>
      <c r="Z1688" s="8">
        <f>IF($J1688=0,0,ROUND(MAX($J1688*1.4*1.5*1.6*1.6*2.2*2.715*2.6*1.4,6020000000*(1.651178^(MIN($E1688,123)-117)))*1,0))</f>
        <v>5376281</v>
      </c>
      <c r="AA1688" s="6">
        <f>$E1688+19</f>
        <v>122</v>
      </c>
      <c r="AB1688" s="7">
        <f>IF($J1688=0,0,ROUND(MAX($J1688*1.4*1.5*1.6*1.6*2.2*2.715*2.6*1.4*1.4,8430000000*(1.651435^(MIN($E1688,123)-117)))*1,0))</f>
        <v>7512194</v>
      </c>
      <c r="AC1688" s="4">
        <f>$E1688+21</f>
        <v>124</v>
      </c>
      <c r="AD1688" s="8">
        <f>IF($J1688=0,0,ROUND(MAX($J1688*1.4*1.5*1.6*1.6*2.2*2.715*2.6*1.4*1.4*1.5,12600000000*(1.652953^(MIN($E1688,123)-117)))*1,0))</f>
        <v>11084688</v>
      </c>
      <c r="AE1688" s="6">
        <f>$E1688+24</f>
        <v>127</v>
      </c>
      <c r="AF1688" s="7">
        <f>IF($J1688=0,0,ROUND(MAX($J1688*1.4*1.5*1.6*1.6*2.2*2.715*2.6*1.4*1.4*1.5*1.5,18900000000*(1.65331^(MIN($E1688,123)-117)))*1,0))</f>
        <v>16576839</v>
      </c>
      <c r="AG1688" s="4">
        <f>$E1688+27</f>
        <v>130</v>
      </c>
      <c r="AH1688" s="8">
        <f>IF($J1688=0,0,ROUND(MAX($J1688*1.4*1.5*1.6*1.6*2.2*2.715*2.6*1.4*1.4*1.5*1.5*3.2,60500000000*(1.654288^(MIN($E1688,123)-117)))*1,0))</f>
        <v>52625920</v>
      </c>
    </row>
    <row r="1689" ht="27.75" customHeight="1" spans="1:34" x14ac:dyDescent="0.25">
      <c r="A1689" s="3">
        <v>1699</v>
      </c>
      <c r="B1689" s="3" t="s">
        <v>1173</v>
      </c>
      <c r="C1689" s="3" t="s">
        <v>1159</v>
      </c>
      <c r="D1689" s="3" t="s">
        <v>33</v>
      </c>
      <c r="E1689" s="3">
        <v>103</v>
      </c>
      <c r="F1689" s="3" t="s">
        <v>212</v>
      </c>
      <c r="G1689" s="3" t="s">
        <v>185</v>
      </c>
      <c r="H1689" s="3">
        <v>21</v>
      </c>
      <c r="I1689" s="4">
        <v>103</v>
      </c>
      <c r="J1689" s="5">
        <v>17900</v>
      </c>
      <c r="K1689" s="6">
        <f>$E1689+1</f>
        <v>104</v>
      </c>
      <c r="L1689" s="7">
        <f>IF($J1689=0,0,ROUND(MAX($J1689*1.4,1620000*(1.497923^(MIN($E1689,123)-117)))*1,0))</f>
        <v>25060</v>
      </c>
      <c r="M1689" s="4">
        <f>$E1689+2</f>
        <v>105</v>
      </c>
      <c r="N1689" s="8">
        <f>IF($J1689=0,0,ROUND(MAX($J1689*1.4*1.5,2190000*(1.580994^(MIN($E1689,123)-117)))*1,0))</f>
        <v>37590</v>
      </c>
      <c r="O1689" s="6">
        <f>$E1689+4</f>
        <v>107</v>
      </c>
      <c r="P1689" s="7">
        <f>IF($J1689=0,0,ROUND(MAX($J1689*1.4*1.5*1.6,3500000*(1.57975^(MIN($E1689,123)-117)))*1,0))</f>
        <v>60144</v>
      </c>
      <c r="Q1689" s="4">
        <f>$E1689+6</f>
        <v>109</v>
      </c>
      <c r="R1689" s="8">
        <f>IF($J1689=0,0,ROUND(MAX($J1689*1.4*1.5*1.6*1.6,13100000*(1.429962^(MIN($E1689,123)-117)))*1,0))</f>
        <v>96230</v>
      </c>
      <c r="S1689" s="6">
        <f>$E1689+8</f>
        <v>111</v>
      </c>
      <c r="T1689" s="7">
        <f>IF($J1689=0,0,ROUND(MAX($J1689*1.4*1.5*1.6*1.6*2.2,42600000*(1.576904^(MIN($E1689,123)-117)))*1,0))</f>
        <v>211707</v>
      </c>
      <c r="U1689" s="4">
        <f>$E1689+11</f>
        <v>114</v>
      </c>
      <c r="V1689" s="8">
        <f>IF($J1689=0,0,ROUND(MAX($J1689*1.4*1.5*1.6*1.6*2.2*2.715,354000000*(1.642074^(MIN($E1689,123)-117)))*1,0))</f>
        <v>574784</v>
      </c>
      <c r="W1689" s="6">
        <f>$E1689+15</f>
        <v>118</v>
      </c>
      <c r="X1689" s="7">
        <f>IF($J1689=0,0,ROUND(MAX($J1689*1.4*1.5*1.6*1.6*2.2*2.715*2.6,3540000000*(1.579646^(MIN($E1689,123)-117)))*1,0))</f>
        <v>5877146</v>
      </c>
      <c r="Y1689" s="4">
        <f>$E1689+17</f>
        <v>120</v>
      </c>
      <c r="Z1689" s="8">
        <f>IF($J1689=0,0,ROUND(MAX($J1689*1.4*1.5*1.6*1.6*2.2*2.715*2.6*1.4,6020000000*(1.651178^(MIN($E1689,123)-117)))*1,0))</f>
        <v>5376281</v>
      </c>
      <c r="AA1689" s="6">
        <f>$E1689+19</f>
        <v>122</v>
      </c>
      <c r="AB1689" s="7">
        <f>IF($J1689=0,0,ROUND(MAX($J1689*1.4*1.5*1.6*1.6*2.2*2.715*2.6*1.4*1.4,8430000000*(1.651435^(MIN($E1689,123)-117)))*1,0))</f>
        <v>7512194</v>
      </c>
      <c r="AC1689" s="4">
        <f>$E1689+21</f>
        <v>124</v>
      </c>
      <c r="AD1689" s="8">
        <f>IF($J1689=0,0,ROUND(MAX($J1689*1.4*1.5*1.6*1.6*2.2*2.715*2.6*1.4*1.4*1.5,12600000000*(1.652953^(MIN($E1689,123)-117)))*1,0))</f>
        <v>11084688</v>
      </c>
      <c r="AE1689" s="6">
        <f>$E1689+24</f>
        <v>127</v>
      </c>
      <c r="AF1689" s="7">
        <f>IF($J1689=0,0,ROUND(MAX($J1689*1.4*1.5*1.6*1.6*2.2*2.715*2.6*1.4*1.4*1.5*1.5,18900000000*(1.65331^(MIN($E1689,123)-117)))*1,0))</f>
        <v>16576839</v>
      </c>
      <c r="AG1689" s="4">
        <f>$E1689+27</f>
        <v>130</v>
      </c>
      <c r="AH1689" s="8">
        <f>IF($J1689=0,0,ROUND(MAX($J1689*1.4*1.5*1.6*1.6*2.2*2.715*2.6*1.4*1.4*1.5*1.5*3.2,60500000000*(1.654288^(MIN($E1689,123)-117)))*1,0))</f>
        <v>52625920</v>
      </c>
    </row>
    <row r="1690" ht="27.75" customHeight="1" spans="1:34" x14ac:dyDescent="0.25">
      <c r="A1690" s="3">
        <v>1700</v>
      </c>
      <c r="B1690" s="3" t="s">
        <v>885</v>
      </c>
      <c r="C1690" s="3" t="s">
        <v>1159</v>
      </c>
      <c r="D1690" s="3" t="s">
        <v>47</v>
      </c>
      <c r="E1690" s="3">
        <v>103</v>
      </c>
      <c r="F1690" s="3" t="s">
        <v>116</v>
      </c>
      <c r="G1690" s="3" t="s">
        <v>57</v>
      </c>
      <c r="H1690" s="3">
        <v>19</v>
      </c>
      <c r="I1690" s="4">
        <v>103</v>
      </c>
      <c r="J1690" s="5">
        <v>19300</v>
      </c>
      <c r="K1690" s="6">
        <f>$E1690+1</f>
        <v>104</v>
      </c>
      <c r="L1690" s="7">
        <f>IF($J1690=0,0,ROUND(MAX($J1690*1.4,1620000*(1.497923^(MIN($E1690,123)-117)))*1,0))</f>
        <v>27020</v>
      </c>
      <c r="M1690" s="4">
        <f>$E1690+2</f>
        <v>105</v>
      </c>
      <c r="N1690" s="8">
        <f>IF($J1690=0,0,ROUND(MAX($J1690*1.4*1.5,2190000*(1.580994^(MIN($E1690,123)-117)))*1,0))</f>
        <v>40530</v>
      </c>
      <c r="O1690" s="6">
        <f>$E1690+4</f>
        <v>107</v>
      </c>
      <c r="P1690" s="7">
        <f>IF($J1690=0,0,ROUND(MAX($J1690*1.4*1.5*1.6,3500000*(1.57975^(MIN($E1690,123)-117)))*1,0))</f>
        <v>64848</v>
      </c>
      <c r="Q1690" s="4">
        <f>$E1690+6</f>
        <v>109</v>
      </c>
      <c r="R1690" s="8">
        <f>IF($J1690=0,0,ROUND(MAX($J1690*1.4*1.5*1.6*1.6,13100000*(1.429962^(MIN($E1690,123)-117)))*1,0))</f>
        <v>103757</v>
      </c>
      <c r="S1690" s="6">
        <f>$E1690+8</f>
        <v>111</v>
      </c>
      <c r="T1690" s="7">
        <f>IF($J1690=0,0,ROUND(MAX($J1690*1.4*1.5*1.6*1.6*2.2,42600000*(1.576904^(MIN($E1690,123)-117)))*1,0))</f>
        <v>228265</v>
      </c>
      <c r="U1690" s="4">
        <f>$E1690+11</f>
        <v>114</v>
      </c>
      <c r="V1690" s="8">
        <f>IF($J1690=0,0,ROUND(MAX($J1690*1.4*1.5*1.6*1.6*2.2*2.715,354000000*(1.642074^(MIN($E1690,123)-117)))*1,0))</f>
        <v>619739</v>
      </c>
      <c r="W1690" s="6">
        <f>$E1690+15</f>
        <v>118</v>
      </c>
      <c r="X1690" s="7">
        <f>IF($J1690=0,0,ROUND(MAX($J1690*1.4*1.5*1.6*1.6*2.2*2.715*2.6,3540000000*(1.579646^(MIN($E1690,123)-117)))*1,0))</f>
        <v>5877146</v>
      </c>
      <c r="Y1690" s="4">
        <f>$E1690+17</f>
        <v>120</v>
      </c>
      <c r="Z1690" s="8">
        <f>IF($J1690=0,0,ROUND(MAX($J1690*1.4*1.5*1.6*1.6*2.2*2.715*2.6*1.4,6020000000*(1.651178^(MIN($E1690,123)-117)))*1,0))</f>
        <v>5376281</v>
      </c>
      <c r="AA1690" s="6">
        <f>$E1690+19</f>
        <v>122</v>
      </c>
      <c r="AB1690" s="7">
        <f>IF($J1690=0,0,ROUND(MAX($J1690*1.4*1.5*1.6*1.6*2.2*2.715*2.6*1.4*1.4,8430000000*(1.651435^(MIN($E1690,123)-117)))*1,0))</f>
        <v>7512194</v>
      </c>
      <c r="AC1690" s="4">
        <f>$E1690+21</f>
        <v>124</v>
      </c>
      <c r="AD1690" s="8">
        <f>IF($J1690=0,0,ROUND(MAX($J1690*1.4*1.5*1.6*1.6*2.2*2.715*2.6*1.4*1.4*1.5,12600000000*(1.652953^(MIN($E1690,123)-117)))*1,0))</f>
        <v>11084688</v>
      </c>
      <c r="AE1690" s="6">
        <f>$E1690+24</f>
        <v>127</v>
      </c>
      <c r="AF1690" s="7">
        <f>IF($J1690=0,0,ROUND(MAX($J1690*1.4*1.5*1.6*1.6*2.2*2.715*2.6*1.4*1.4*1.5*1.5,18900000000*(1.65331^(MIN($E1690,123)-117)))*1,0))</f>
        <v>16576839</v>
      </c>
      <c r="AG1690" s="4">
        <f>$E1690+27</f>
        <v>130</v>
      </c>
      <c r="AH1690" s="8">
        <f>IF($J1690=0,0,ROUND(MAX($J1690*1.4*1.5*1.6*1.6*2.2*2.715*2.6*1.4*1.4*1.5*1.5*3.2,60500000000*(1.654288^(MIN($E1690,123)-117)))*1,0))</f>
        <v>52625920</v>
      </c>
    </row>
    <row r="1691" ht="27.75" customHeight="1" spans="1:34" x14ac:dyDescent="0.25">
      <c r="A1691" s="3">
        <v>1701</v>
      </c>
      <c r="B1691" s="3" t="s">
        <v>308</v>
      </c>
      <c r="C1691" s="3" t="s">
        <v>1159</v>
      </c>
      <c r="D1691" s="3" t="s">
        <v>29</v>
      </c>
      <c r="E1691" s="3">
        <v>102</v>
      </c>
      <c r="F1691" s="3" t="s">
        <v>59</v>
      </c>
      <c r="G1691" s="3" t="s">
        <v>252</v>
      </c>
      <c r="H1691" s="3">
        <v>22</v>
      </c>
      <c r="I1691" s="4">
        <v>102</v>
      </c>
      <c r="J1691" s="5">
        <v>20500</v>
      </c>
      <c r="K1691" s="6">
        <f>$E1691+1</f>
        <v>103</v>
      </c>
      <c r="L1691" s="7">
        <f>IF($J1691=0,0,ROUND(MAX($J1691*1.4,1620000*(1.497923^(MIN($E1691,123)-117)))*1,0))</f>
        <v>28700</v>
      </c>
      <c r="M1691" s="4">
        <f>$E1691+2</f>
        <v>104</v>
      </c>
      <c r="N1691" s="8">
        <f>IF($J1691=0,0,ROUND(MAX($J1691*1.4*1.5,2190000*(1.580994^(MIN($E1691,123)-117)))*1,0))</f>
        <v>43050</v>
      </c>
      <c r="O1691" s="6">
        <f>$E1691+4</f>
        <v>106</v>
      </c>
      <c r="P1691" s="7">
        <f>IF($J1691=0,0,ROUND(MAX($J1691*1.4*1.5*1.6,3500000*(1.57975^(MIN($E1691,123)-117)))*1,0))</f>
        <v>68880</v>
      </c>
      <c r="Q1691" s="4">
        <f>$E1691+6</f>
        <v>108</v>
      </c>
      <c r="R1691" s="8">
        <f>IF($J1691=0,0,ROUND(MAX($J1691*1.4*1.5*1.6*1.6,13100000*(1.429962^(MIN($E1691,123)-117)))*1,0))</f>
        <v>110208</v>
      </c>
      <c r="S1691" s="6">
        <f>$E1691+8</f>
        <v>110</v>
      </c>
      <c r="T1691" s="7">
        <f>IF($J1691=0,0,ROUND(MAX($J1691*1.4*1.5*1.6*1.6*2.2,42600000*(1.576904^(MIN($E1691,123)-117)))*1,0))</f>
        <v>242458</v>
      </c>
      <c r="U1691" s="4">
        <f>$E1691+11</f>
        <v>113</v>
      </c>
      <c r="V1691" s="8">
        <f>IF($J1691=0,0,ROUND(MAX($J1691*1.4*1.5*1.6*1.6*2.2*2.715,354000000*(1.642074^(MIN($E1691,123)-117)))*1,0))</f>
        <v>658272</v>
      </c>
      <c r="W1691" s="6">
        <f>$E1691+15</f>
        <v>117</v>
      </c>
      <c r="X1691" s="7">
        <f>IF($J1691=0,0,ROUND(MAX($J1691*1.4*1.5*1.6*1.6*2.2*2.715*2.6,3540000000*(1.579646^(MIN($E1691,123)-117)))*1,0))</f>
        <v>3720546</v>
      </c>
      <c r="Y1691" s="4">
        <f>$E1691+17</f>
        <v>119</v>
      </c>
      <c r="Z1691" s="8">
        <f>IF($J1691=0,0,ROUND(MAX($J1691*1.4*1.5*1.6*1.6*2.2*2.715*2.6*1.4,6020000000*(1.651178^(MIN($E1691,123)-117)))*1,0))</f>
        <v>3256028</v>
      </c>
      <c r="AA1691" s="6">
        <f>$E1691+19</f>
        <v>121</v>
      </c>
      <c r="AB1691" s="7">
        <f>IF($J1691=0,0,ROUND(MAX($J1691*1.4*1.5*1.6*1.6*2.2*2.715*2.6*1.4*1.4,8430000000*(1.651435^(MIN($E1691,123)-117)))*1,0))</f>
        <v>4548889</v>
      </c>
      <c r="AC1691" s="4">
        <f>$E1691+21</f>
        <v>123</v>
      </c>
      <c r="AD1691" s="8">
        <f>IF($J1691=0,0,ROUND(MAX($J1691*1.4*1.5*1.6*1.6*2.2*2.715*2.6*1.4*1.4*1.5,12600000000*(1.652953^(MIN($E1691,123)-117)))*1,0))</f>
        <v>6705991</v>
      </c>
      <c r="AE1691" s="6">
        <f>$E1691+24</f>
        <v>126</v>
      </c>
      <c r="AF1691" s="7">
        <f>IF($J1691=0,0,ROUND(MAX($J1691*1.4*1.5*1.6*1.6*2.2*2.715*2.6*1.4*1.4*1.5*1.5,18900000000*(1.65331^(MIN($E1691,123)-117)))*1,0))</f>
        <v>10026455</v>
      </c>
      <c r="AG1691" s="4">
        <f>$E1691+27</f>
        <v>129</v>
      </c>
      <c r="AH1691" s="8">
        <f>IF($J1691=0,0,ROUND(MAX($J1691*1.4*1.5*1.6*1.6*2.2*2.715*2.6*1.4*1.4*1.5*1.5*3.2,60500000000*(1.654288^(MIN($E1691,123)-117)))*1,0))</f>
        <v>31811825</v>
      </c>
    </row>
    <row r="1692" ht="27.75" customHeight="1" spans="1:34" x14ac:dyDescent="0.25">
      <c r="A1692" s="3">
        <v>1702</v>
      </c>
      <c r="B1692" s="3" t="s">
        <v>1174</v>
      </c>
      <c r="C1692" s="3" t="s">
        <v>1159</v>
      </c>
      <c r="D1692" s="3" t="s">
        <v>40</v>
      </c>
      <c r="E1692" s="3">
        <v>102</v>
      </c>
      <c r="F1692" s="3" t="s">
        <v>54</v>
      </c>
      <c r="G1692" s="3" t="s">
        <v>171</v>
      </c>
      <c r="H1692" s="3">
        <v>21</v>
      </c>
      <c r="I1692" s="4">
        <v>102</v>
      </c>
      <c r="J1692" s="5">
        <v>19000</v>
      </c>
      <c r="K1692" s="6">
        <f>$E1692+1</f>
        <v>103</v>
      </c>
      <c r="L1692" s="7">
        <f>IF($J1692=0,0,ROUND(MAX($J1692*1.4,1620000*(1.497923^(MIN($E1692,123)-117)))*1,0))</f>
        <v>26600</v>
      </c>
      <c r="M1692" s="4">
        <f>$E1692+2</f>
        <v>104</v>
      </c>
      <c r="N1692" s="8">
        <f>IF($J1692=0,0,ROUND(MAX($J1692*1.4*1.5,2190000*(1.580994^(MIN($E1692,123)-117)))*1,0))</f>
        <v>39900</v>
      </c>
      <c r="O1692" s="6">
        <f>$E1692+4</f>
        <v>106</v>
      </c>
      <c r="P1692" s="7">
        <f>IF($J1692=0,0,ROUND(MAX($J1692*1.4*1.5*1.6,3500000*(1.57975^(MIN($E1692,123)-117)))*1,0))</f>
        <v>63840</v>
      </c>
      <c r="Q1692" s="4">
        <f>$E1692+6</f>
        <v>108</v>
      </c>
      <c r="R1692" s="8">
        <f>IF($J1692=0,0,ROUND(MAX($J1692*1.4*1.5*1.6*1.6,13100000*(1.429962^(MIN($E1692,123)-117)))*1,0))</f>
        <v>102144</v>
      </c>
      <c r="S1692" s="6">
        <f>$E1692+8</f>
        <v>110</v>
      </c>
      <c r="T1692" s="7">
        <f>IF($J1692=0,0,ROUND(MAX($J1692*1.4*1.5*1.6*1.6*2.2,42600000*(1.576904^(MIN($E1692,123)-117)))*1,0))</f>
        <v>224717</v>
      </c>
      <c r="U1692" s="4">
        <f>$E1692+11</f>
        <v>113</v>
      </c>
      <c r="V1692" s="8">
        <f>IF($J1692=0,0,ROUND(MAX($J1692*1.4*1.5*1.6*1.6*2.2*2.715,354000000*(1.642074^(MIN($E1692,123)-117)))*1,0))</f>
        <v>610106</v>
      </c>
      <c r="W1692" s="6">
        <f>$E1692+15</f>
        <v>117</v>
      </c>
      <c r="X1692" s="7">
        <f>IF($J1692=0,0,ROUND(MAX($J1692*1.4*1.5*1.6*1.6*2.2*2.715*2.6,3540000000*(1.579646^(MIN($E1692,123)-117)))*1,0))</f>
        <v>3720546</v>
      </c>
      <c r="Y1692" s="4">
        <f>$E1692+17</f>
        <v>119</v>
      </c>
      <c r="Z1692" s="8">
        <f>IF($J1692=0,0,ROUND(MAX($J1692*1.4*1.5*1.6*1.6*2.2*2.715*2.6*1.4,6020000000*(1.651178^(MIN($E1692,123)-117)))*1,0))</f>
        <v>3256028</v>
      </c>
      <c r="AA1692" s="6">
        <f>$E1692+19</f>
        <v>121</v>
      </c>
      <c r="AB1692" s="7">
        <f>IF($J1692=0,0,ROUND(MAX($J1692*1.4*1.5*1.6*1.6*2.2*2.715*2.6*1.4*1.4,8430000000*(1.651435^(MIN($E1692,123)-117)))*1,0))</f>
        <v>4548889</v>
      </c>
      <c r="AC1692" s="4">
        <f>$E1692+21</f>
        <v>123</v>
      </c>
      <c r="AD1692" s="8">
        <f>IF($J1692=0,0,ROUND(MAX($J1692*1.4*1.5*1.6*1.6*2.2*2.715*2.6*1.4*1.4*1.5,12600000000*(1.652953^(MIN($E1692,123)-117)))*1,0))</f>
        <v>6705991</v>
      </c>
      <c r="AE1692" s="6">
        <f>$E1692+24</f>
        <v>126</v>
      </c>
      <c r="AF1692" s="7">
        <f>IF($J1692=0,0,ROUND(MAX($J1692*1.4*1.5*1.6*1.6*2.2*2.715*2.6*1.4*1.4*1.5*1.5,18900000000*(1.65331^(MIN($E1692,123)-117)))*1,0))</f>
        <v>10026455</v>
      </c>
      <c r="AG1692" s="4">
        <f>$E1692+27</f>
        <v>129</v>
      </c>
      <c r="AH1692" s="8">
        <f>IF($J1692=0,0,ROUND(MAX($J1692*1.4*1.5*1.6*1.6*2.2*2.715*2.6*1.4*1.4*1.5*1.5*3.2,60500000000*(1.654288^(MIN($E1692,123)-117)))*1,0))</f>
        <v>31811825</v>
      </c>
    </row>
    <row r="1693" ht="27.75" customHeight="1" spans="1:34" x14ac:dyDescent="0.25">
      <c r="A1693" s="3">
        <v>1703</v>
      </c>
      <c r="B1693" s="3" t="s">
        <v>782</v>
      </c>
      <c r="C1693" s="3" t="s">
        <v>1159</v>
      </c>
      <c r="D1693" s="3" t="s">
        <v>33</v>
      </c>
      <c r="E1693" s="3">
        <v>102</v>
      </c>
      <c r="F1693" s="3" t="s">
        <v>71</v>
      </c>
      <c r="G1693" s="3" t="s">
        <v>213</v>
      </c>
      <c r="H1693" s="3">
        <v>21</v>
      </c>
      <c r="I1693" s="4">
        <v>102</v>
      </c>
      <c r="J1693" s="5">
        <v>20800</v>
      </c>
      <c r="K1693" s="6">
        <f>$E1693+1</f>
        <v>103</v>
      </c>
      <c r="L1693" s="7">
        <f>IF($J1693=0,0,ROUND(MAX($J1693*1.4,1620000*(1.497923^(MIN($E1693,123)-117)))*1,0))</f>
        <v>29120</v>
      </c>
      <c r="M1693" s="4">
        <f>$E1693+2</f>
        <v>104</v>
      </c>
      <c r="N1693" s="8">
        <f>IF($J1693=0,0,ROUND(MAX($J1693*1.4*1.5,2190000*(1.580994^(MIN($E1693,123)-117)))*1,0))</f>
        <v>43680</v>
      </c>
      <c r="O1693" s="6">
        <f>$E1693+4</f>
        <v>106</v>
      </c>
      <c r="P1693" s="7">
        <f>IF($J1693=0,0,ROUND(MAX($J1693*1.4*1.5*1.6,3500000*(1.57975^(MIN($E1693,123)-117)))*1,0))</f>
        <v>69888</v>
      </c>
      <c r="Q1693" s="4">
        <f>$E1693+6</f>
        <v>108</v>
      </c>
      <c r="R1693" s="8">
        <f>IF($J1693=0,0,ROUND(MAX($J1693*1.4*1.5*1.6*1.6,13100000*(1.429962^(MIN($E1693,123)-117)))*1,0))</f>
        <v>111821</v>
      </c>
      <c r="S1693" s="6">
        <f>$E1693+8</f>
        <v>110</v>
      </c>
      <c r="T1693" s="7">
        <f>IF($J1693=0,0,ROUND(MAX($J1693*1.4*1.5*1.6*1.6*2.2,42600000*(1.576904^(MIN($E1693,123)-117)))*1,0))</f>
        <v>246006</v>
      </c>
      <c r="U1693" s="4">
        <f>$E1693+11</f>
        <v>113</v>
      </c>
      <c r="V1693" s="8">
        <f>IF($J1693=0,0,ROUND(MAX($J1693*1.4*1.5*1.6*1.6*2.2*2.715,354000000*(1.642074^(MIN($E1693,123)-117)))*1,0))</f>
        <v>667906</v>
      </c>
      <c r="W1693" s="6">
        <f>$E1693+15</f>
        <v>117</v>
      </c>
      <c r="X1693" s="7">
        <f>IF($J1693=0,0,ROUND(MAX($J1693*1.4*1.5*1.6*1.6*2.2*2.715*2.6,3540000000*(1.579646^(MIN($E1693,123)-117)))*1,0))</f>
        <v>3720546</v>
      </c>
      <c r="Y1693" s="4">
        <f>$E1693+17</f>
        <v>119</v>
      </c>
      <c r="Z1693" s="8">
        <f>IF($J1693=0,0,ROUND(MAX($J1693*1.4*1.5*1.6*1.6*2.2*2.715*2.6*1.4,6020000000*(1.651178^(MIN($E1693,123)-117)))*1,0))</f>
        <v>3256028</v>
      </c>
      <c r="AA1693" s="6">
        <f>$E1693+19</f>
        <v>121</v>
      </c>
      <c r="AB1693" s="7">
        <f>IF($J1693=0,0,ROUND(MAX($J1693*1.4*1.5*1.6*1.6*2.2*2.715*2.6*1.4*1.4,8430000000*(1.651435^(MIN($E1693,123)-117)))*1,0))</f>
        <v>4548889</v>
      </c>
      <c r="AC1693" s="4">
        <f>$E1693+21</f>
        <v>123</v>
      </c>
      <c r="AD1693" s="8">
        <f>IF($J1693=0,0,ROUND(MAX($J1693*1.4*1.5*1.6*1.6*2.2*2.715*2.6*1.4*1.4*1.5,12600000000*(1.652953^(MIN($E1693,123)-117)))*1,0))</f>
        <v>6705991</v>
      </c>
      <c r="AE1693" s="6">
        <f>$E1693+24</f>
        <v>126</v>
      </c>
      <c r="AF1693" s="7">
        <f>IF($J1693=0,0,ROUND(MAX($J1693*1.4*1.5*1.6*1.6*2.2*2.715*2.6*1.4*1.4*1.5*1.5,18900000000*(1.65331^(MIN($E1693,123)-117)))*1,0))</f>
        <v>10026455</v>
      </c>
      <c r="AG1693" s="4">
        <f>$E1693+27</f>
        <v>129</v>
      </c>
      <c r="AH1693" s="8">
        <f>IF($J1693=0,0,ROUND(MAX($J1693*1.4*1.5*1.6*1.6*2.2*2.715*2.6*1.4*1.4*1.5*1.5*3.2,60500000000*(1.654288^(MIN($E1693,123)-117)))*1,0))</f>
        <v>31811825</v>
      </c>
    </row>
    <row r="1694" ht="27.75" customHeight="1" spans="1:34" x14ac:dyDescent="0.25">
      <c r="A1694" s="3">
        <v>1704</v>
      </c>
      <c r="B1694" s="3" t="s">
        <v>1046</v>
      </c>
      <c r="C1694" s="3" t="s">
        <v>1159</v>
      </c>
      <c r="D1694" s="3" t="s">
        <v>29</v>
      </c>
      <c r="E1694" s="3">
        <v>102</v>
      </c>
      <c r="F1694" s="3" t="s">
        <v>310</v>
      </c>
      <c r="G1694" s="3" t="s">
        <v>169</v>
      </c>
      <c r="H1694" s="3">
        <v>21</v>
      </c>
      <c r="I1694" s="4">
        <v>102</v>
      </c>
      <c r="J1694" s="5">
        <v>23300</v>
      </c>
      <c r="K1694" s="6">
        <f>$E1694+1</f>
        <v>103</v>
      </c>
      <c r="L1694" s="7">
        <f>IF($J1694=0,0,ROUND(MAX($J1694*1.4,1620000*(1.497923^(MIN($E1694,123)-117)))*1,0))</f>
        <v>32620</v>
      </c>
      <c r="M1694" s="4">
        <f>$E1694+2</f>
        <v>104</v>
      </c>
      <c r="N1694" s="8">
        <f>IF($J1694=0,0,ROUND(MAX($J1694*1.4*1.5,2190000*(1.580994^(MIN($E1694,123)-117)))*1,0))</f>
        <v>48930</v>
      </c>
      <c r="O1694" s="6">
        <f>$E1694+4</f>
        <v>106</v>
      </c>
      <c r="P1694" s="7">
        <f>IF($J1694=0,0,ROUND(MAX($J1694*1.4*1.5*1.6,3500000*(1.57975^(MIN($E1694,123)-117)))*1,0))</f>
        <v>78288</v>
      </c>
      <c r="Q1694" s="4">
        <f>$E1694+6</f>
        <v>108</v>
      </c>
      <c r="R1694" s="8">
        <f>IF($J1694=0,0,ROUND(MAX($J1694*1.4*1.5*1.6*1.6,13100000*(1.429962^(MIN($E1694,123)-117)))*1,0))</f>
        <v>125261</v>
      </c>
      <c r="S1694" s="6">
        <f>$E1694+8</f>
        <v>110</v>
      </c>
      <c r="T1694" s="7">
        <f>IF($J1694=0,0,ROUND(MAX($J1694*1.4*1.5*1.6*1.6*2.2,42600000*(1.576904^(MIN($E1694,123)-117)))*1,0))</f>
        <v>275574</v>
      </c>
      <c r="U1694" s="4">
        <f>$E1694+11</f>
        <v>113</v>
      </c>
      <c r="V1694" s="8">
        <f>IF($J1694=0,0,ROUND(MAX($J1694*1.4*1.5*1.6*1.6*2.2*2.715,354000000*(1.642074^(MIN($E1694,123)-117)))*1,0))</f>
        <v>748183</v>
      </c>
      <c r="W1694" s="6">
        <f>$E1694+15</f>
        <v>117</v>
      </c>
      <c r="X1694" s="7">
        <f>IF($J1694=0,0,ROUND(MAX($J1694*1.4*1.5*1.6*1.6*2.2*2.715*2.6,3540000000*(1.579646^(MIN($E1694,123)-117)))*1,0))</f>
        <v>3720546</v>
      </c>
      <c r="Y1694" s="4">
        <f>$E1694+17</f>
        <v>119</v>
      </c>
      <c r="Z1694" s="8">
        <f>IF($J1694=0,0,ROUND(MAX($J1694*1.4*1.5*1.6*1.6*2.2*2.715*2.6*1.4,6020000000*(1.651178^(MIN($E1694,123)-117)))*1,0))</f>
        <v>3256028</v>
      </c>
      <c r="AA1694" s="6">
        <f>$E1694+19</f>
        <v>121</v>
      </c>
      <c r="AB1694" s="7">
        <f>IF($J1694=0,0,ROUND(MAX($J1694*1.4*1.5*1.6*1.6*2.2*2.715*2.6*1.4*1.4,8430000000*(1.651435^(MIN($E1694,123)-117)))*1,0))</f>
        <v>4548889</v>
      </c>
      <c r="AC1694" s="4">
        <f>$E1694+21</f>
        <v>123</v>
      </c>
      <c r="AD1694" s="8">
        <f>IF($J1694=0,0,ROUND(MAX($J1694*1.4*1.5*1.6*1.6*2.2*2.715*2.6*1.4*1.4*1.5,12600000000*(1.652953^(MIN($E1694,123)-117)))*1,0))</f>
        <v>6705991</v>
      </c>
      <c r="AE1694" s="6">
        <f>$E1694+24</f>
        <v>126</v>
      </c>
      <c r="AF1694" s="7">
        <f>IF($J1694=0,0,ROUND(MAX($J1694*1.4*1.5*1.6*1.6*2.2*2.715*2.6*1.4*1.4*1.5*1.5,18900000000*(1.65331^(MIN($E1694,123)-117)))*1,0))</f>
        <v>10026455</v>
      </c>
      <c r="AG1694" s="4">
        <f>$E1694+27</f>
        <v>129</v>
      </c>
      <c r="AH1694" s="8">
        <f>IF($J1694=0,0,ROUND(MAX($J1694*1.4*1.5*1.6*1.6*2.2*2.715*2.6*1.4*1.4*1.5*1.5*3.2,60500000000*(1.654288^(MIN($E1694,123)-117)))*1,0))</f>
        <v>31811825</v>
      </c>
    </row>
    <row r="1695" ht="27.75" customHeight="1" spans="1:34" x14ac:dyDescent="0.25">
      <c r="A1695" s="3">
        <v>1705</v>
      </c>
      <c r="B1695" s="3" t="s">
        <v>41</v>
      </c>
      <c r="C1695" s="3" t="s">
        <v>1175</v>
      </c>
      <c r="D1695" s="3" t="s">
        <v>25</v>
      </c>
      <c r="E1695" s="3">
        <v>119</v>
      </c>
      <c r="F1695" s="3" t="s">
        <v>42</v>
      </c>
      <c r="G1695" s="3" t="s">
        <v>1176</v>
      </c>
      <c r="H1695" s="3">
        <v>32</v>
      </c>
      <c r="I1695" s="4">
        <v>119</v>
      </c>
      <c r="J1695" s="5">
        <v>2860000</v>
      </c>
      <c r="K1695" s="6">
        <f>$E1695+1</f>
        <v>120</v>
      </c>
      <c r="L1695" s="7">
        <f>IF($J1695=0,0,ROUND(MAX($J1695*1.4,1620000*(1.497923^(MIN($E1695,123)-117)))*1,0))</f>
        <v>4004000</v>
      </c>
      <c r="M1695" s="4">
        <f>$E1695+2</f>
        <v>121</v>
      </c>
      <c r="N1695" s="8">
        <f>IF($J1695=0,0,ROUND(MAX($J1695*1.4*1.5,2190000*(1.580994^(MIN($E1695,123)-117)))*1,0))</f>
        <v>6006000</v>
      </c>
      <c r="O1695" s="6">
        <f>$E1695+4</f>
        <v>123</v>
      </c>
      <c r="P1695" s="7">
        <f>IF($J1695=0,0,ROUND(MAX($J1695*1.4*1.5*1.6,3500000*(1.57975^(MIN($E1695,123)-117)))*1,0))</f>
        <v>9609600</v>
      </c>
      <c r="Q1695" s="4">
        <f>$E1695+6</f>
        <v>125</v>
      </c>
      <c r="R1695" s="8">
        <f>IF($J1695=0,0,ROUND(MAX($J1695*1.4*1.5*1.6*1.6,13100000*(1.429962^(MIN($E1695,123)-117)))*1,0))</f>
        <v>26786766</v>
      </c>
      <c r="S1695" s="6">
        <f>$E1695+8</f>
        <v>127</v>
      </c>
      <c r="T1695" s="7">
        <f>IF($J1695=0,0,ROUND(MAX($J1695*1.4*1.5*1.6*1.6*2.2,42600000*(1.576904^(MIN($E1695,123)-117)))*1,0))</f>
        <v>105930277</v>
      </c>
      <c r="U1695" s="4">
        <f>$E1695+11</f>
        <v>130</v>
      </c>
      <c r="V1695" s="8">
        <f>IF($J1695=0,0,ROUND(MAX($J1695*1.4*1.5*1.6*1.6*2.2*2.715,354000000*(1.642074^(MIN($E1695,123)-117)))*1,0))</f>
        <v>954528086</v>
      </c>
      <c r="W1695" s="6">
        <f>$E1695+15</f>
        <v>134</v>
      </c>
      <c r="X1695" s="7">
        <f>IF($J1695=0,0,ROUND(MAX($J1695*1.4*1.5*1.6*1.6*2.2*2.715*2.6,3540000000*(1.579646^(MIN($E1695,123)-117)))*1,0))</f>
        <v>8833296458</v>
      </c>
      <c r="Y1695" s="4">
        <f>$E1695+17</f>
        <v>136</v>
      </c>
      <c r="Z1695" s="8">
        <f>IF($J1695=0,0,ROUND(MAX($J1695*1.4*1.5*1.6*1.6*2.2*2.715*2.6*1.4,6020000000*(1.651178^(MIN($E1695,123)-117)))*1,0))</f>
        <v>16412860502</v>
      </c>
      <c r="AA1695" s="6">
        <f>$E1695+19</f>
        <v>138</v>
      </c>
      <c r="AB1695" s="7">
        <f>IF($J1695=0,0,ROUND(MAX($J1695*1.4*1.5*1.6*1.6*2.2*2.715*2.6*1.4*1.4,8430000000*(1.651435^(MIN($E1695,123)-117)))*1,0))</f>
        <v>22990612624</v>
      </c>
      <c r="AC1695" s="4">
        <f>$E1695+21</f>
        <v>140</v>
      </c>
      <c r="AD1695" s="8">
        <f>IF($J1695=0,0,ROUND(MAX($J1695*1.4*1.5*1.6*1.6*2.2*2.715*2.6*1.4*1.4*1.5,12600000000*(1.652953^(MIN($E1695,123)-117)))*1,0))</f>
        <v>34426395615</v>
      </c>
      <c r="AE1695" s="6">
        <f>$E1695+24</f>
        <v>143</v>
      </c>
      <c r="AF1695" s="7">
        <f>IF($J1695=0,0,ROUND(MAX($J1695*1.4*1.5*1.6*1.6*2.2*2.715*2.6*1.4*1.4*1.5*1.5,18900000000*(1.65331^(MIN($E1695,123)-117)))*1,0))</f>
        <v>51661901770</v>
      </c>
      <c r="AG1695" s="4">
        <f>$E1695+27</f>
        <v>146</v>
      </c>
      <c r="AH1695" s="8">
        <f>IF($J1695=0,0,ROUND(MAX($J1695*1.4*1.5*1.6*1.6*2.2*2.715*2.6*1.4*1.4*1.5*1.5*3.2,60500000000*(1.654288^(MIN($E1695,123)-117)))*1,0))</f>
        <v>165568461610</v>
      </c>
    </row>
    <row r="1696" ht="27.75" customHeight="1" spans="1:34" x14ac:dyDescent="0.25">
      <c r="A1696" s="3">
        <v>1706</v>
      </c>
      <c r="B1696" s="3" t="s">
        <v>52</v>
      </c>
      <c r="C1696" s="3" t="s">
        <v>1175</v>
      </c>
      <c r="D1696" s="3" t="s">
        <v>40</v>
      </c>
      <c r="E1696" s="3">
        <v>119</v>
      </c>
      <c r="F1696" s="3" t="s">
        <v>30</v>
      </c>
      <c r="G1696" s="3" t="s">
        <v>1176</v>
      </c>
      <c r="H1696" s="3">
        <v>32</v>
      </c>
      <c r="I1696" s="4">
        <v>119</v>
      </c>
      <c r="J1696" s="5">
        <v>8480000</v>
      </c>
      <c r="K1696" s="6">
        <f>$E1696+1</f>
        <v>120</v>
      </c>
      <c r="L1696" s="7">
        <f>IF($J1696=0,0,ROUND(MAX($J1696*1.4,1620000*(1.497923^(MIN($E1696,123)-117)))*1,0))</f>
        <v>11872000</v>
      </c>
      <c r="M1696" s="4">
        <f>$E1696+2</f>
        <v>121</v>
      </c>
      <c r="N1696" s="8">
        <f>IF($J1696=0,0,ROUND(MAX($J1696*1.4*1.5,2190000*(1.580994^(MIN($E1696,123)-117)))*1,0))</f>
        <v>17808000</v>
      </c>
      <c r="O1696" s="6">
        <f>$E1696+4</f>
        <v>123</v>
      </c>
      <c r="P1696" s="7">
        <f>IF($J1696=0,0,ROUND(MAX($J1696*1.4*1.5*1.6,3500000*(1.57975^(MIN($E1696,123)-117)))*1,0))</f>
        <v>28492800</v>
      </c>
      <c r="Q1696" s="4">
        <f>$E1696+6</f>
        <v>125</v>
      </c>
      <c r="R1696" s="8">
        <f>IF($J1696=0,0,ROUND(MAX($J1696*1.4*1.5*1.6*1.6,13100000*(1.429962^(MIN($E1696,123)-117)))*1,0))</f>
        <v>45588480</v>
      </c>
      <c r="S1696" s="6">
        <f>$E1696+8</f>
        <v>127</v>
      </c>
      <c r="T1696" s="7">
        <f>IF($J1696=0,0,ROUND(MAX($J1696*1.4*1.5*1.6*1.6*2.2,42600000*(1.576904^(MIN($E1696,123)-117)))*1,0))</f>
        <v>105930277</v>
      </c>
      <c r="U1696" s="4">
        <f>$E1696+11</f>
        <v>130</v>
      </c>
      <c r="V1696" s="8">
        <f>IF($J1696=0,0,ROUND(MAX($J1696*1.4*1.5*1.6*1.6*2.2*2.715,354000000*(1.642074^(MIN($E1696,123)-117)))*1,0))</f>
        <v>954528086</v>
      </c>
      <c r="W1696" s="6">
        <f>$E1696+15</f>
        <v>134</v>
      </c>
      <c r="X1696" s="7">
        <f>IF($J1696=0,0,ROUND(MAX($J1696*1.4*1.5*1.6*1.6*2.2*2.715*2.6,3540000000*(1.579646^(MIN($E1696,123)-117)))*1,0))</f>
        <v>8833296458</v>
      </c>
      <c r="Y1696" s="4">
        <f>$E1696+17</f>
        <v>136</v>
      </c>
      <c r="Z1696" s="8">
        <f>IF($J1696=0,0,ROUND(MAX($J1696*1.4*1.5*1.6*1.6*2.2*2.715*2.6*1.4,6020000000*(1.651178^(MIN($E1696,123)-117)))*1,0))</f>
        <v>16412860502</v>
      </c>
      <c r="AA1696" s="6">
        <f>$E1696+19</f>
        <v>138</v>
      </c>
      <c r="AB1696" s="7">
        <f>IF($J1696=0,0,ROUND(MAX($J1696*1.4*1.5*1.6*1.6*2.2*2.715*2.6*1.4*1.4,8430000000*(1.651435^(MIN($E1696,123)-117)))*1,0))</f>
        <v>22990612624</v>
      </c>
      <c r="AC1696" s="4">
        <f>$E1696+21</f>
        <v>140</v>
      </c>
      <c r="AD1696" s="8">
        <f>IF($J1696=0,0,ROUND(MAX($J1696*1.4*1.5*1.6*1.6*2.2*2.715*2.6*1.4*1.4*1.5,12600000000*(1.652953^(MIN($E1696,123)-117)))*1,0))</f>
        <v>34426395615</v>
      </c>
      <c r="AE1696" s="6">
        <f>$E1696+24</f>
        <v>143</v>
      </c>
      <c r="AF1696" s="7">
        <f>IF($J1696=0,0,ROUND(MAX($J1696*1.4*1.5*1.6*1.6*2.2*2.715*2.6*1.4*1.4*1.5*1.5,18900000000*(1.65331^(MIN($E1696,123)-117)))*1,0))</f>
        <v>51661901770</v>
      </c>
      <c r="AG1696" s="4">
        <f>$E1696+27</f>
        <v>146</v>
      </c>
      <c r="AH1696" s="8">
        <f>IF($J1696=0,0,ROUND(MAX($J1696*1.4*1.5*1.6*1.6*2.2*2.715*2.6*1.4*1.4*1.5*1.5*3.2,60500000000*(1.654288^(MIN($E1696,123)-117)))*1,0))</f>
        <v>165568461610</v>
      </c>
    </row>
    <row r="1697" ht="27.75" customHeight="1" spans="1:34" x14ac:dyDescent="0.25">
      <c r="A1697" s="3">
        <v>1707</v>
      </c>
      <c r="B1697" s="3" t="s">
        <v>229</v>
      </c>
      <c r="C1697" s="3" t="s">
        <v>1175</v>
      </c>
      <c r="D1697" s="3" t="s">
        <v>40</v>
      </c>
      <c r="E1697" s="3">
        <v>119</v>
      </c>
      <c r="F1697" s="3" t="s">
        <v>54</v>
      </c>
      <c r="G1697" s="3" t="s">
        <v>38</v>
      </c>
      <c r="H1697" s="3">
        <v>31</v>
      </c>
      <c r="I1697" s="4">
        <v>119</v>
      </c>
      <c r="J1697" s="5">
        <v>7500000</v>
      </c>
      <c r="K1697" s="6">
        <f>$E1697+1</f>
        <v>120</v>
      </c>
      <c r="L1697" s="7">
        <f>IF($J1697=0,0,ROUND(MAX($J1697*1.4,1620000*(1.497923^(MIN($E1697,123)-117)))*1,0))</f>
        <v>10500000</v>
      </c>
      <c r="M1697" s="4">
        <f>$E1697+2</f>
        <v>121</v>
      </c>
      <c r="N1697" s="8">
        <f>IF($J1697=0,0,ROUND(MAX($J1697*1.4*1.5,2190000*(1.580994^(MIN($E1697,123)-117)))*1,0))</f>
        <v>15750000</v>
      </c>
      <c r="O1697" s="6">
        <f>$E1697+4</f>
        <v>123</v>
      </c>
      <c r="P1697" s="7">
        <f>IF($J1697=0,0,ROUND(MAX($J1697*1.4*1.5*1.6,3500000*(1.57975^(MIN($E1697,123)-117)))*1,0))</f>
        <v>25200000</v>
      </c>
      <c r="Q1697" s="4">
        <f>$E1697+6</f>
        <v>125</v>
      </c>
      <c r="R1697" s="8">
        <f>IF($J1697=0,0,ROUND(MAX($J1697*1.4*1.5*1.6*1.6,13100000*(1.429962^(MIN($E1697,123)-117)))*1,0))</f>
        <v>40320000</v>
      </c>
      <c r="S1697" s="6">
        <f>$E1697+8</f>
        <v>127</v>
      </c>
      <c r="T1697" s="7">
        <f>IF($J1697=0,0,ROUND(MAX($J1697*1.4*1.5*1.6*1.6*2.2,42600000*(1.576904^(MIN($E1697,123)-117)))*1,0))</f>
        <v>105930277</v>
      </c>
      <c r="U1697" s="4">
        <f>$E1697+11</f>
        <v>130</v>
      </c>
      <c r="V1697" s="8">
        <f>IF($J1697=0,0,ROUND(MAX($J1697*1.4*1.5*1.6*1.6*2.2*2.715,354000000*(1.642074^(MIN($E1697,123)-117)))*1,0))</f>
        <v>954528086</v>
      </c>
      <c r="W1697" s="6">
        <f>$E1697+15</f>
        <v>134</v>
      </c>
      <c r="X1697" s="7">
        <f>IF($J1697=0,0,ROUND(MAX($J1697*1.4*1.5*1.6*1.6*2.2*2.715*2.6,3540000000*(1.579646^(MIN($E1697,123)-117)))*1,0))</f>
        <v>8833296458</v>
      </c>
      <c r="Y1697" s="4">
        <f>$E1697+17</f>
        <v>136</v>
      </c>
      <c r="Z1697" s="8">
        <f>IF($J1697=0,0,ROUND(MAX($J1697*1.4*1.5*1.6*1.6*2.2*2.715*2.6*1.4,6020000000*(1.651178^(MIN($E1697,123)-117)))*1,0))</f>
        <v>16412860502</v>
      </c>
      <c r="AA1697" s="6">
        <f>$E1697+19</f>
        <v>138</v>
      </c>
      <c r="AB1697" s="7">
        <f>IF($J1697=0,0,ROUND(MAX($J1697*1.4*1.5*1.6*1.6*2.2*2.715*2.6*1.4*1.4,8430000000*(1.651435^(MIN($E1697,123)-117)))*1,0))</f>
        <v>22990612624</v>
      </c>
      <c r="AC1697" s="4">
        <f>$E1697+21</f>
        <v>140</v>
      </c>
      <c r="AD1697" s="8">
        <f>IF($J1697=0,0,ROUND(MAX($J1697*1.4*1.5*1.6*1.6*2.2*2.715*2.6*1.4*1.4*1.5,12600000000*(1.652953^(MIN($E1697,123)-117)))*1,0))</f>
        <v>34426395615</v>
      </c>
      <c r="AE1697" s="6">
        <f>$E1697+24</f>
        <v>143</v>
      </c>
      <c r="AF1697" s="7">
        <f>IF($J1697=0,0,ROUND(MAX($J1697*1.4*1.5*1.6*1.6*2.2*2.715*2.6*1.4*1.4*1.5*1.5,18900000000*(1.65331^(MIN($E1697,123)-117)))*1,0))</f>
        <v>51661901770</v>
      </c>
      <c r="AG1697" s="4">
        <f>$E1697+27</f>
        <v>146</v>
      </c>
      <c r="AH1697" s="8">
        <f>IF($J1697=0,0,ROUND(MAX($J1697*1.4*1.5*1.6*1.6*2.2*2.715*2.6*1.4*1.4*1.5*1.5*3.2,60500000000*(1.654288^(MIN($E1697,123)-117)))*1,0))</f>
        <v>165568461610</v>
      </c>
    </row>
    <row r="1698" ht="27.75" customHeight="1" spans="1:34" x14ac:dyDescent="0.25">
      <c r="A1698" s="3">
        <v>1708</v>
      </c>
      <c r="B1698" s="3" t="s">
        <v>269</v>
      </c>
      <c r="C1698" s="3" t="s">
        <v>1175</v>
      </c>
      <c r="D1698" s="3" t="s">
        <v>64</v>
      </c>
      <c r="E1698" s="3">
        <v>119</v>
      </c>
      <c r="F1698" s="3" t="s">
        <v>26</v>
      </c>
      <c r="G1698" s="3" t="s">
        <v>270</v>
      </c>
      <c r="H1698" s="3">
        <v>31</v>
      </c>
      <c r="I1698" s="4">
        <v>119</v>
      </c>
      <c r="J1698" s="5">
        <v>5200000</v>
      </c>
      <c r="K1698" s="6">
        <f>$E1698+1</f>
        <v>120</v>
      </c>
      <c r="L1698" s="7">
        <f>IF($J1698=0,0,ROUND(MAX($J1698*1.4,1620000*(1.497923^(MIN($E1698,123)-117)))*1,0))</f>
        <v>7280000</v>
      </c>
      <c r="M1698" s="4">
        <f>$E1698+2</f>
        <v>121</v>
      </c>
      <c r="N1698" s="8">
        <f>IF($J1698=0,0,ROUND(MAX($J1698*1.4*1.5,2190000*(1.580994^(MIN($E1698,123)-117)))*1,0))</f>
        <v>10920000</v>
      </c>
      <c r="O1698" s="6">
        <f>$E1698+4</f>
        <v>123</v>
      </c>
      <c r="P1698" s="7">
        <f>IF($J1698=0,0,ROUND(MAX($J1698*1.4*1.5*1.6,3500000*(1.57975^(MIN($E1698,123)-117)))*1,0))</f>
        <v>17472000</v>
      </c>
      <c r="Q1698" s="4">
        <f>$E1698+6</f>
        <v>125</v>
      </c>
      <c r="R1698" s="8">
        <f>IF($J1698=0,0,ROUND(MAX($J1698*1.4*1.5*1.6*1.6,13100000*(1.429962^(MIN($E1698,123)-117)))*1,0))</f>
        <v>27955200</v>
      </c>
      <c r="S1698" s="6">
        <f>$E1698+8</f>
        <v>127</v>
      </c>
      <c r="T1698" s="7">
        <f>IF($J1698=0,0,ROUND(MAX($J1698*1.4*1.5*1.6*1.6*2.2,42600000*(1.576904^(MIN($E1698,123)-117)))*1,0))</f>
        <v>105930277</v>
      </c>
      <c r="U1698" s="4">
        <f>$E1698+11</f>
        <v>130</v>
      </c>
      <c r="V1698" s="8">
        <f>IF($J1698=0,0,ROUND(MAX($J1698*1.4*1.5*1.6*1.6*2.2*2.715,354000000*(1.642074^(MIN($E1698,123)-117)))*1,0))</f>
        <v>954528086</v>
      </c>
      <c r="W1698" s="6">
        <f>$E1698+15</f>
        <v>134</v>
      </c>
      <c r="X1698" s="7">
        <f>IF($J1698=0,0,ROUND(MAX($J1698*1.4*1.5*1.6*1.6*2.2*2.715*2.6,3540000000*(1.579646^(MIN($E1698,123)-117)))*1,0))</f>
        <v>8833296458</v>
      </c>
      <c r="Y1698" s="4">
        <f>$E1698+17</f>
        <v>136</v>
      </c>
      <c r="Z1698" s="8">
        <f>IF($J1698=0,0,ROUND(MAX($J1698*1.4*1.5*1.6*1.6*2.2*2.715*2.6*1.4,6020000000*(1.651178^(MIN($E1698,123)-117)))*1,0))</f>
        <v>16412860502</v>
      </c>
      <c r="AA1698" s="6">
        <f>$E1698+19</f>
        <v>138</v>
      </c>
      <c r="AB1698" s="7">
        <f>IF($J1698=0,0,ROUND(MAX($J1698*1.4*1.5*1.6*1.6*2.2*2.715*2.6*1.4*1.4,8430000000*(1.651435^(MIN($E1698,123)-117)))*1,0))</f>
        <v>22990612624</v>
      </c>
      <c r="AC1698" s="4">
        <f>$E1698+21</f>
        <v>140</v>
      </c>
      <c r="AD1698" s="8">
        <f>IF($J1698=0,0,ROUND(MAX($J1698*1.4*1.5*1.6*1.6*2.2*2.715*2.6*1.4*1.4*1.5,12600000000*(1.652953^(MIN($E1698,123)-117)))*1,0))</f>
        <v>34426395615</v>
      </c>
      <c r="AE1698" s="6">
        <f>$E1698+24</f>
        <v>143</v>
      </c>
      <c r="AF1698" s="7">
        <f>IF($J1698=0,0,ROUND(MAX($J1698*1.4*1.5*1.6*1.6*2.2*2.715*2.6*1.4*1.4*1.5*1.5,18900000000*(1.65331^(MIN($E1698,123)-117)))*1,0))</f>
        <v>51661901770</v>
      </c>
      <c r="AG1698" s="4">
        <f>$E1698+27</f>
        <v>146</v>
      </c>
      <c r="AH1698" s="8">
        <f>IF($J1698=0,0,ROUND(MAX($J1698*1.4*1.5*1.6*1.6*2.2*2.715*2.6*1.4*1.4*1.5*1.5*3.2,60500000000*(1.654288^(MIN($E1698,123)-117)))*1,0))</f>
        <v>165568461610</v>
      </c>
    </row>
    <row r="1699" ht="27.75" customHeight="1" spans="1:34" x14ac:dyDescent="0.25">
      <c r="A1699" s="3">
        <v>1709</v>
      </c>
      <c r="B1699" s="3" t="s">
        <v>39</v>
      </c>
      <c r="C1699" s="3" t="s">
        <v>1175</v>
      </c>
      <c r="D1699" s="3" t="s">
        <v>40</v>
      </c>
      <c r="E1699" s="3">
        <v>118</v>
      </c>
      <c r="F1699" s="3" t="s">
        <v>34</v>
      </c>
      <c r="G1699" s="3" t="s">
        <v>1176</v>
      </c>
      <c r="H1699" s="3">
        <v>31</v>
      </c>
      <c r="I1699" s="4">
        <v>118</v>
      </c>
      <c r="J1699" s="5">
        <v>959000</v>
      </c>
      <c r="K1699" s="6">
        <f>$E1699+1</f>
        <v>119</v>
      </c>
      <c r="L1699" s="7">
        <f>IF($J1699=0,0,ROUND(MAX($J1699*1.4,1620000*(1.497923^(MIN($E1699,123)-117)))*1,0))</f>
        <v>2426635</v>
      </c>
      <c r="M1699" s="4">
        <f>$E1699+2</f>
        <v>120</v>
      </c>
      <c r="N1699" s="8">
        <f>IF($J1699=0,0,ROUND(MAX($J1699*1.4*1.5,2190000*(1.580994^(MIN($E1699,123)-117)))*1,0))</f>
        <v>3462377</v>
      </c>
      <c r="O1699" s="6">
        <f>$E1699+4</f>
        <v>122</v>
      </c>
      <c r="P1699" s="7">
        <f>IF($J1699=0,0,ROUND(MAX($J1699*1.4*1.5*1.6,3500000*(1.57975^(MIN($E1699,123)-117)))*1,0))</f>
        <v>5529125</v>
      </c>
      <c r="Q1699" s="4">
        <f>$E1699+6</f>
        <v>124</v>
      </c>
      <c r="R1699" s="8">
        <f>IF($J1699=0,0,ROUND(MAX($J1699*1.4*1.5*1.6*1.6,13100000*(1.429962^(MIN($E1699,123)-117)))*1,0))</f>
        <v>18732502</v>
      </c>
      <c r="S1699" s="6">
        <f>$E1699+8</f>
        <v>126</v>
      </c>
      <c r="T1699" s="7">
        <f>IF($J1699=0,0,ROUND(MAX($J1699*1.4*1.5*1.6*1.6*2.2,42600000*(1.576904^(MIN($E1699,123)-117)))*1,0))</f>
        <v>67176110</v>
      </c>
      <c r="U1699" s="4">
        <f>$E1699+11</f>
        <v>129</v>
      </c>
      <c r="V1699" s="8">
        <f>IF($J1699=0,0,ROUND(MAX($J1699*1.4*1.5*1.6*1.6*2.2*2.715,354000000*(1.642074^(MIN($E1699,123)-117)))*1,0))</f>
        <v>581294196</v>
      </c>
      <c r="W1699" s="6">
        <f>$E1699+15</f>
        <v>133</v>
      </c>
      <c r="X1699" s="7">
        <f>IF($J1699=0,0,ROUND(MAX($J1699*1.4*1.5*1.6*1.6*2.2*2.715*2.6,3540000000*(1.579646^(MIN($E1699,123)-117)))*1,0))</f>
        <v>5591946840</v>
      </c>
      <c r="Y1699" s="4">
        <f>$E1699+17</f>
        <v>135</v>
      </c>
      <c r="Z1699" s="8">
        <f>IF($J1699=0,0,ROUND(MAX($J1699*1.4*1.5*1.6*1.6*2.2*2.715*2.6*1.4,6020000000*(1.651178^(MIN($E1699,123)-117)))*1,0))</f>
        <v>9940091560</v>
      </c>
      <c r="AA1699" s="6">
        <f>$E1699+19</f>
        <v>137</v>
      </c>
      <c r="AB1699" s="7">
        <f>IF($J1699=0,0,ROUND(MAX($J1699*1.4*1.5*1.6*1.6*2.2*2.715*2.6*1.4*1.4,8430000000*(1.651435^(MIN($E1699,123)-117)))*1,0))</f>
        <v>13921597050</v>
      </c>
      <c r="AC1699" s="4">
        <f>$E1699+21</f>
        <v>139</v>
      </c>
      <c r="AD1699" s="8">
        <f>IF($J1699=0,0,ROUND(MAX($J1699*1.4*1.5*1.6*1.6*2.2*2.715*2.6*1.4*1.4*1.5,12600000000*(1.652953^(MIN($E1699,123)-117)))*1,0))</f>
        <v>20827207800</v>
      </c>
      <c r="AE1699" s="6">
        <f>$E1699+24</f>
        <v>142</v>
      </c>
      <c r="AF1699" s="7">
        <f>IF($J1699=0,0,ROUND(MAX($J1699*1.4*1.5*1.6*1.6*2.2*2.715*2.6*1.4*1.4*1.5*1.5,18900000000*(1.65331^(MIN($E1699,123)-117)))*1,0))</f>
        <v>31247559000</v>
      </c>
      <c r="AG1699" s="4">
        <f>$E1699+27</f>
        <v>145</v>
      </c>
      <c r="AH1699" s="8">
        <f>IF($J1699=0,0,ROUND(MAX($J1699*1.4*1.5*1.6*1.6*2.2*2.715*2.6*1.4*1.4*1.5*1.5*3.2,60500000000*(1.654288^(MIN($E1699,123)-117)))*1,0))</f>
        <v>100084424000</v>
      </c>
    </row>
    <row r="1700" ht="27.75" customHeight="1" spans="1:34" x14ac:dyDescent="0.25">
      <c r="A1700" s="3">
        <v>1710</v>
      </c>
      <c r="B1700" s="3" t="s">
        <v>588</v>
      </c>
      <c r="C1700" s="3" t="s">
        <v>1175</v>
      </c>
      <c r="D1700" s="3" t="s">
        <v>25</v>
      </c>
      <c r="E1700" s="3">
        <v>118</v>
      </c>
      <c r="F1700" s="3" t="s">
        <v>56</v>
      </c>
      <c r="G1700" s="3" t="s">
        <v>38</v>
      </c>
      <c r="H1700" s="3">
        <v>30</v>
      </c>
      <c r="I1700" s="4">
        <v>118</v>
      </c>
      <c r="J1700" s="5">
        <v>964000</v>
      </c>
      <c r="K1700" s="6">
        <f>$E1700+1</f>
        <v>119</v>
      </c>
      <c r="L1700" s="7">
        <f>IF($J1700=0,0,ROUND(MAX($J1700*1.4,1620000*(1.497923^(MIN($E1700,123)-117)))*1,0))</f>
        <v>2426635</v>
      </c>
      <c r="M1700" s="4">
        <f>$E1700+2</f>
        <v>120</v>
      </c>
      <c r="N1700" s="8">
        <f>IF($J1700=0,0,ROUND(MAX($J1700*1.4*1.5,2190000*(1.580994^(MIN($E1700,123)-117)))*1,0))</f>
        <v>3462377</v>
      </c>
      <c r="O1700" s="6">
        <f>$E1700+4</f>
        <v>122</v>
      </c>
      <c r="P1700" s="7">
        <f>IF($J1700=0,0,ROUND(MAX($J1700*1.4*1.5*1.6,3500000*(1.57975^(MIN($E1700,123)-117)))*1,0))</f>
        <v>5529125</v>
      </c>
      <c r="Q1700" s="4">
        <f>$E1700+6</f>
        <v>124</v>
      </c>
      <c r="R1700" s="8">
        <f>IF($J1700=0,0,ROUND(MAX($J1700*1.4*1.5*1.6*1.6,13100000*(1.429962^(MIN($E1700,123)-117)))*1,0))</f>
        <v>18732502</v>
      </c>
      <c r="S1700" s="6">
        <f>$E1700+8</f>
        <v>126</v>
      </c>
      <c r="T1700" s="7">
        <f>IF($J1700=0,0,ROUND(MAX($J1700*1.4*1.5*1.6*1.6*2.2,42600000*(1.576904^(MIN($E1700,123)-117)))*1,0))</f>
        <v>67176110</v>
      </c>
      <c r="U1700" s="4">
        <f>$E1700+11</f>
        <v>129</v>
      </c>
      <c r="V1700" s="8">
        <f>IF($J1700=0,0,ROUND(MAX($J1700*1.4*1.5*1.6*1.6*2.2*2.715,354000000*(1.642074^(MIN($E1700,123)-117)))*1,0))</f>
        <v>581294196</v>
      </c>
      <c r="W1700" s="6">
        <f>$E1700+15</f>
        <v>133</v>
      </c>
      <c r="X1700" s="7">
        <f>IF($J1700=0,0,ROUND(MAX($J1700*1.4*1.5*1.6*1.6*2.2*2.715*2.6,3540000000*(1.579646^(MIN($E1700,123)-117)))*1,0))</f>
        <v>5591946840</v>
      </c>
      <c r="Y1700" s="4">
        <f>$E1700+17</f>
        <v>135</v>
      </c>
      <c r="Z1700" s="8">
        <f>IF($J1700=0,0,ROUND(MAX($J1700*1.4*1.5*1.6*1.6*2.2*2.715*2.6*1.4,6020000000*(1.651178^(MIN($E1700,123)-117)))*1,0))</f>
        <v>9940091560</v>
      </c>
      <c r="AA1700" s="6">
        <f>$E1700+19</f>
        <v>137</v>
      </c>
      <c r="AB1700" s="7">
        <f>IF($J1700=0,0,ROUND(MAX($J1700*1.4*1.5*1.6*1.6*2.2*2.715*2.6*1.4*1.4,8430000000*(1.651435^(MIN($E1700,123)-117)))*1,0))</f>
        <v>13921597050</v>
      </c>
      <c r="AC1700" s="4">
        <f>$E1700+21</f>
        <v>139</v>
      </c>
      <c r="AD1700" s="8">
        <f>IF($J1700=0,0,ROUND(MAX($J1700*1.4*1.5*1.6*1.6*2.2*2.715*2.6*1.4*1.4*1.5,12600000000*(1.652953^(MIN($E1700,123)-117)))*1,0))</f>
        <v>20827207800</v>
      </c>
      <c r="AE1700" s="6">
        <f>$E1700+24</f>
        <v>142</v>
      </c>
      <c r="AF1700" s="7">
        <f>IF($J1700=0,0,ROUND(MAX($J1700*1.4*1.5*1.6*1.6*2.2*2.715*2.6*1.4*1.4*1.5*1.5,18900000000*(1.65331^(MIN($E1700,123)-117)))*1,0))</f>
        <v>31247559000</v>
      </c>
      <c r="AG1700" s="4">
        <f>$E1700+27</f>
        <v>145</v>
      </c>
      <c r="AH1700" s="8">
        <f>IF($J1700=0,0,ROUND(MAX($J1700*1.4*1.5*1.6*1.6*2.2*2.715*2.6*1.4*1.4*1.5*1.5*3.2,60500000000*(1.654288^(MIN($E1700,123)-117)))*1,0))</f>
        <v>100084424000</v>
      </c>
    </row>
    <row r="1701" ht="27.75" customHeight="1" spans="1:34" x14ac:dyDescent="0.25">
      <c r="A1701" s="3">
        <v>1711</v>
      </c>
      <c r="B1701" s="3" t="s">
        <v>55</v>
      </c>
      <c r="C1701" s="3" t="s">
        <v>1175</v>
      </c>
      <c r="D1701" s="3" t="s">
        <v>29</v>
      </c>
      <c r="E1701" s="3">
        <v>118</v>
      </c>
      <c r="F1701" s="3" t="s">
        <v>56</v>
      </c>
      <c r="G1701" s="3" t="s">
        <v>1176</v>
      </c>
      <c r="H1701" s="3">
        <v>30</v>
      </c>
      <c r="I1701" s="4">
        <v>118</v>
      </c>
      <c r="J1701" s="5">
        <v>31500000</v>
      </c>
      <c r="K1701" s="6">
        <f>$E1701+1</f>
        <v>119</v>
      </c>
      <c r="L1701" s="7">
        <f>IF($J1701=0,0,ROUND(MAX($J1701*1.4,1620000*(1.497923^(MIN($E1701,123)-117)))*1,0))</f>
        <v>44100000</v>
      </c>
      <c r="M1701" s="4">
        <f>$E1701+2</f>
        <v>120</v>
      </c>
      <c r="N1701" s="8">
        <f>IF($J1701=0,0,ROUND(MAX($J1701*1.4*1.5,2190000*(1.580994^(MIN($E1701,123)-117)))*1,0))</f>
        <v>66150000</v>
      </c>
      <c r="O1701" s="6">
        <f>$E1701+4</f>
        <v>122</v>
      </c>
      <c r="P1701" s="7">
        <f>IF($J1701=0,0,ROUND(MAX($J1701*1.4*1.5*1.6,3500000*(1.57975^(MIN($E1701,123)-117)))*1,0))</f>
        <v>105840000</v>
      </c>
      <c r="Q1701" s="4">
        <f>$E1701+6</f>
        <v>124</v>
      </c>
      <c r="R1701" s="8">
        <f>IF($J1701=0,0,ROUND(MAX($J1701*1.4*1.5*1.6*1.6,13100000*(1.429962^(MIN($E1701,123)-117)))*1,0))</f>
        <v>169344000</v>
      </c>
      <c r="S1701" s="6">
        <f>$E1701+8</f>
        <v>126</v>
      </c>
      <c r="T1701" s="7">
        <f>IF($J1701=0,0,ROUND(MAX($J1701*1.4*1.5*1.6*1.6*2.2,42600000*(1.576904^(MIN($E1701,123)-117)))*1,0))</f>
        <v>372556800</v>
      </c>
      <c r="U1701" s="4">
        <f>$E1701+11</f>
        <v>129</v>
      </c>
      <c r="V1701" s="8">
        <f>IF($J1701=0,0,ROUND(MAX($J1701*1.4*1.5*1.6*1.6*2.2*2.715,354000000*(1.642074^(MIN($E1701,123)-117)))*1,0))</f>
        <v>1011491712</v>
      </c>
      <c r="W1701" s="6">
        <f>$E1701+15</f>
        <v>133</v>
      </c>
      <c r="X1701" s="7">
        <f>IF($J1701=0,0,ROUND(MAX($J1701*1.4*1.5*1.6*1.6*2.2*2.715*2.6,3540000000*(1.579646^(MIN($E1701,123)-117)))*1,0))</f>
        <v>5591946840</v>
      </c>
      <c r="Y1701" s="4">
        <f>$E1701+17</f>
        <v>135</v>
      </c>
      <c r="Z1701" s="8">
        <f>IF($J1701=0,0,ROUND(MAX($J1701*1.4*1.5*1.6*1.6*2.2*2.715*2.6*1.4,6020000000*(1.651178^(MIN($E1701,123)-117)))*1,0))</f>
        <v>9940091560</v>
      </c>
      <c r="AA1701" s="6">
        <f>$E1701+19</f>
        <v>137</v>
      </c>
      <c r="AB1701" s="7">
        <f>IF($J1701=0,0,ROUND(MAX($J1701*1.4*1.5*1.6*1.6*2.2*2.715*2.6*1.4*1.4,8430000000*(1.651435^(MIN($E1701,123)-117)))*1,0))</f>
        <v>13921597050</v>
      </c>
      <c r="AC1701" s="4">
        <f>$E1701+21</f>
        <v>139</v>
      </c>
      <c r="AD1701" s="8">
        <f>IF($J1701=0,0,ROUND(MAX($J1701*1.4*1.5*1.6*1.6*2.2*2.715*2.6*1.4*1.4*1.5,12600000000*(1.652953^(MIN($E1701,123)-117)))*1,0))</f>
        <v>20827207800</v>
      </c>
      <c r="AE1701" s="6">
        <f>$E1701+24</f>
        <v>142</v>
      </c>
      <c r="AF1701" s="7">
        <f>IF($J1701=0,0,ROUND(MAX($J1701*1.4*1.5*1.6*1.6*2.2*2.715*2.6*1.4*1.4*1.5*1.5,18900000000*(1.65331^(MIN($E1701,123)-117)))*1,0))</f>
        <v>31247559000</v>
      </c>
      <c r="AG1701" s="4">
        <f>$E1701+27</f>
        <v>145</v>
      </c>
      <c r="AH1701" s="8">
        <f>IF($J1701=0,0,ROUND(MAX($J1701*1.4*1.5*1.6*1.6*2.2*2.715*2.6*1.4*1.4*1.5*1.5*3.2,60500000000*(1.654288^(MIN($E1701,123)-117)))*1,0))</f>
        <v>100084424000</v>
      </c>
    </row>
    <row r="1702" ht="27.75" customHeight="1" spans="1:34" x14ac:dyDescent="0.25">
      <c r="A1702" s="3">
        <v>1712</v>
      </c>
      <c r="B1702" s="3" t="s">
        <v>50</v>
      </c>
      <c r="C1702" s="3" t="s">
        <v>1175</v>
      </c>
      <c r="D1702" s="3" t="s">
        <v>40</v>
      </c>
      <c r="E1702" s="3">
        <v>118</v>
      </c>
      <c r="F1702" s="3" t="s">
        <v>42</v>
      </c>
      <c r="G1702" s="3" t="s">
        <v>1176</v>
      </c>
      <c r="H1702" s="3">
        <v>30</v>
      </c>
      <c r="I1702" s="4">
        <v>118</v>
      </c>
      <c r="J1702" s="5">
        <v>1400000</v>
      </c>
      <c r="K1702" s="6">
        <f>$E1702+1</f>
        <v>119</v>
      </c>
      <c r="L1702" s="7">
        <f>IF($J1702=0,0,ROUND(MAX($J1702*1.4,1620000*(1.497923^(MIN($E1702,123)-117)))*1,0))</f>
        <v>2426635</v>
      </c>
      <c r="M1702" s="4">
        <f>$E1702+2</f>
        <v>120</v>
      </c>
      <c r="N1702" s="8">
        <f>IF($J1702=0,0,ROUND(MAX($J1702*1.4*1.5,2190000*(1.580994^(MIN($E1702,123)-117)))*1,0))</f>
        <v>3462377</v>
      </c>
      <c r="O1702" s="6">
        <f>$E1702+4</f>
        <v>122</v>
      </c>
      <c r="P1702" s="7">
        <f>IF($J1702=0,0,ROUND(MAX($J1702*1.4*1.5*1.6,3500000*(1.57975^(MIN($E1702,123)-117)))*1,0))</f>
        <v>5529125</v>
      </c>
      <c r="Q1702" s="4">
        <f>$E1702+6</f>
        <v>124</v>
      </c>
      <c r="R1702" s="8">
        <f>IF($J1702=0,0,ROUND(MAX($J1702*1.4*1.5*1.6*1.6,13100000*(1.429962^(MIN($E1702,123)-117)))*1,0))</f>
        <v>18732502</v>
      </c>
      <c r="S1702" s="6">
        <f>$E1702+8</f>
        <v>126</v>
      </c>
      <c r="T1702" s="7">
        <f>IF($J1702=0,0,ROUND(MAX($J1702*1.4*1.5*1.6*1.6*2.2,42600000*(1.576904^(MIN($E1702,123)-117)))*1,0))</f>
        <v>67176110</v>
      </c>
      <c r="U1702" s="4">
        <f>$E1702+11</f>
        <v>129</v>
      </c>
      <c r="V1702" s="8">
        <f>IF($J1702=0,0,ROUND(MAX($J1702*1.4*1.5*1.6*1.6*2.2*2.715,354000000*(1.642074^(MIN($E1702,123)-117)))*1,0))</f>
        <v>581294196</v>
      </c>
      <c r="W1702" s="6">
        <f>$E1702+15</f>
        <v>133</v>
      </c>
      <c r="X1702" s="7">
        <f>IF($J1702=0,0,ROUND(MAX($J1702*1.4*1.5*1.6*1.6*2.2*2.715*2.6,3540000000*(1.579646^(MIN($E1702,123)-117)))*1,0))</f>
        <v>5591946840</v>
      </c>
      <c r="Y1702" s="4">
        <f>$E1702+17</f>
        <v>135</v>
      </c>
      <c r="Z1702" s="8">
        <f>IF($J1702=0,0,ROUND(MAX($J1702*1.4*1.5*1.6*1.6*2.2*2.715*2.6*1.4,6020000000*(1.651178^(MIN($E1702,123)-117)))*1,0))</f>
        <v>9940091560</v>
      </c>
      <c r="AA1702" s="6">
        <f>$E1702+19</f>
        <v>137</v>
      </c>
      <c r="AB1702" s="7">
        <f>IF($J1702=0,0,ROUND(MAX($J1702*1.4*1.5*1.6*1.6*2.2*2.715*2.6*1.4*1.4,8430000000*(1.651435^(MIN($E1702,123)-117)))*1,0))</f>
        <v>13921597050</v>
      </c>
      <c r="AC1702" s="4">
        <f>$E1702+21</f>
        <v>139</v>
      </c>
      <c r="AD1702" s="8">
        <f>IF($J1702=0,0,ROUND(MAX($J1702*1.4*1.5*1.6*1.6*2.2*2.715*2.6*1.4*1.4*1.5,12600000000*(1.652953^(MIN($E1702,123)-117)))*1,0))</f>
        <v>20827207800</v>
      </c>
      <c r="AE1702" s="6">
        <f>$E1702+24</f>
        <v>142</v>
      </c>
      <c r="AF1702" s="7">
        <f>IF($J1702=0,0,ROUND(MAX($J1702*1.4*1.5*1.6*1.6*2.2*2.715*2.6*1.4*1.4*1.5*1.5,18900000000*(1.65331^(MIN($E1702,123)-117)))*1,0))</f>
        <v>31247559000</v>
      </c>
      <c r="AG1702" s="4">
        <f>$E1702+27</f>
        <v>145</v>
      </c>
      <c r="AH1702" s="8">
        <f>IF($J1702=0,0,ROUND(MAX($J1702*1.4*1.5*1.6*1.6*2.2*2.715*2.6*1.4*1.4*1.5*1.5*3.2,60500000000*(1.654288^(MIN($E1702,123)-117)))*1,0))</f>
        <v>100084424000</v>
      </c>
    </row>
    <row r="1703" ht="27.75" customHeight="1" spans="1:34" x14ac:dyDescent="0.25">
      <c r="A1703" s="3">
        <v>1713</v>
      </c>
      <c r="B1703" s="3" t="s">
        <v>32</v>
      </c>
      <c r="C1703" s="3" t="s">
        <v>1175</v>
      </c>
      <c r="D1703" s="3" t="s">
        <v>33</v>
      </c>
      <c r="E1703" s="3">
        <v>118</v>
      </c>
      <c r="F1703" s="3" t="s">
        <v>34</v>
      </c>
      <c r="G1703" s="3" t="s">
        <v>1176</v>
      </c>
      <c r="H1703" s="3">
        <v>30</v>
      </c>
      <c r="I1703" s="4">
        <v>118</v>
      </c>
      <c r="J1703" s="5">
        <v>1770000</v>
      </c>
      <c r="K1703" s="6">
        <f>$E1703+1</f>
        <v>119</v>
      </c>
      <c r="L1703" s="7">
        <f>IF($J1703=0,0,ROUND(MAX($J1703*1.4,1620000*(1.497923^(MIN($E1703,123)-117)))*1,0))</f>
        <v>2478000</v>
      </c>
      <c r="M1703" s="4">
        <f>$E1703+2</f>
        <v>120</v>
      </c>
      <c r="N1703" s="8">
        <f>IF($J1703=0,0,ROUND(MAX($J1703*1.4*1.5,2190000*(1.580994^(MIN($E1703,123)-117)))*1,0))</f>
        <v>3717000</v>
      </c>
      <c r="O1703" s="6">
        <f>$E1703+4</f>
        <v>122</v>
      </c>
      <c r="P1703" s="7">
        <f>IF($J1703=0,0,ROUND(MAX($J1703*1.4*1.5*1.6,3500000*(1.57975^(MIN($E1703,123)-117)))*1,0))</f>
        <v>5947200</v>
      </c>
      <c r="Q1703" s="4">
        <f>$E1703+6</f>
        <v>124</v>
      </c>
      <c r="R1703" s="8">
        <f>IF($J1703=0,0,ROUND(MAX($J1703*1.4*1.5*1.6*1.6,13100000*(1.429962^(MIN($E1703,123)-117)))*1,0))</f>
        <v>18732502</v>
      </c>
      <c r="S1703" s="6">
        <f>$E1703+8</f>
        <v>126</v>
      </c>
      <c r="T1703" s="7">
        <f>IF($J1703=0,0,ROUND(MAX($J1703*1.4*1.5*1.6*1.6*2.2,42600000*(1.576904^(MIN($E1703,123)-117)))*1,0))</f>
        <v>67176110</v>
      </c>
      <c r="U1703" s="4">
        <f>$E1703+11</f>
        <v>129</v>
      </c>
      <c r="V1703" s="8">
        <f>IF($J1703=0,0,ROUND(MAX($J1703*1.4*1.5*1.6*1.6*2.2*2.715,354000000*(1.642074^(MIN($E1703,123)-117)))*1,0))</f>
        <v>581294196</v>
      </c>
      <c r="W1703" s="6">
        <f>$E1703+15</f>
        <v>133</v>
      </c>
      <c r="X1703" s="7">
        <f>IF($J1703=0,0,ROUND(MAX($J1703*1.4*1.5*1.6*1.6*2.2*2.715*2.6,3540000000*(1.579646^(MIN($E1703,123)-117)))*1,0))</f>
        <v>5591946840</v>
      </c>
      <c r="Y1703" s="4">
        <f>$E1703+17</f>
        <v>135</v>
      </c>
      <c r="Z1703" s="8">
        <f>IF($J1703=0,0,ROUND(MAX($J1703*1.4*1.5*1.6*1.6*2.2*2.715*2.6*1.4,6020000000*(1.651178^(MIN($E1703,123)-117)))*1,0))</f>
        <v>9940091560</v>
      </c>
      <c r="AA1703" s="6">
        <f>$E1703+19</f>
        <v>137</v>
      </c>
      <c r="AB1703" s="7">
        <f>IF($J1703=0,0,ROUND(MAX($J1703*1.4*1.5*1.6*1.6*2.2*2.715*2.6*1.4*1.4,8430000000*(1.651435^(MIN($E1703,123)-117)))*1,0))</f>
        <v>13921597050</v>
      </c>
      <c r="AC1703" s="4">
        <f>$E1703+21</f>
        <v>139</v>
      </c>
      <c r="AD1703" s="8">
        <f>IF($J1703=0,0,ROUND(MAX($J1703*1.4*1.5*1.6*1.6*2.2*2.715*2.6*1.4*1.4*1.5,12600000000*(1.652953^(MIN($E1703,123)-117)))*1,0))</f>
        <v>20827207800</v>
      </c>
      <c r="AE1703" s="6">
        <f>$E1703+24</f>
        <v>142</v>
      </c>
      <c r="AF1703" s="7">
        <f>IF($J1703=0,0,ROUND(MAX($J1703*1.4*1.5*1.6*1.6*2.2*2.715*2.6*1.4*1.4*1.5*1.5,18900000000*(1.65331^(MIN($E1703,123)-117)))*1,0))</f>
        <v>31247559000</v>
      </c>
      <c r="AG1703" s="4">
        <f>$E1703+27</f>
        <v>145</v>
      </c>
      <c r="AH1703" s="8">
        <f>IF($J1703=0,0,ROUND(MAX($J1703*1.4*1.5*1.6*1.6*2.2*2.715*2.6*1.4*1.4*1.5*1.5*3.2,60500000000*(1.654288^(MIN($E1703,123)-117)))*1,0))</f>
        <v>100084424000</v>
      </c>
    </row>
    <row r="1704" ht="27.75" customHeight="1" spans="1:34" x14ac:dyDescent="0.25">
      <c r="A1704" s="3">
        <v>1714</v>
      </c>
      <c r="B1704" s="3" t="s">
        <v>152</v>
      </c>
      <c r="C1704" s="3" t="s">
        <v>1175</v>
      </c>
      <c r="D1704" s="3" t="s">
        <v>79</v>
      </c>
      <c r="E1704" s="3">
        <v>118</v>
      </c>
      <c r="F1704" s="3" t="s">
        <v>71</v>
      </c>
      <c r="G1704" s="3" t="s">
        <v>1176</v>
      </c>
      <c r="H1704" s="3">
        <v>30</v>
      </c>
      <c r="I1704" s="4">
        <v>118</v>
      </c>
      <c r="J1704" s="5">
        <v>797000</v>
      </c>
      <c r="K1704" s="6">
        <f>$E1704+1</f>
        <v>119</v>
      </c>
      <c r="L1704" s="7">
        <f>IF($J1704=0,0,ROUND(MAX($J1704*1.4,1620000*(1.497923^(MIN($E1704,123)-117)))*1,0))</f>
        <v>2426635</v>
      </c>
      <c r="M1704" s="4">
        <f>$E1704+2</f>
        <v>120</v>
      </c>
      <c r="N1704" s="8">
        <f>IF($J1704=0,0,ROUND(MAX($J1704*1.4*1.5,2190000*(1.580994^(MIN($E1704,123)-117)))*1,0))</f>
        <v>3462377</v>
      </c>
      <c r="O1704" s="6">
        <f>$E1704+4</f>
        <v>122</v>
      </c>
      <c r="P1704" s="7">
        <f>IF($J1704=0,0,ROUND(MAX($J1704*1.4*1.5*1.6,3500000*(1.57975^(MIN($E1704,123)-117)))*1,0))</f>
        <v>5529125</v>
      </c>
      <c r="Q1704" s="4">
        <f>$E1704+6</f>
        <v>124</v>
      </c>
      <c r="R1704" s="8">
        <f>IF($J1704=0,0,ROUND(MAX($J1704*1.4*1.5*1.6*1.6,13100000*(1.429962^(MIN($E1704,123)-117)))*1,0))</f>
        <v>18732502</v>
      </c>
      <c r="S1704" s="6">
        <f>$E1704+8</f>
        <v>126</v>
      </c>
      <c r="T1704" s="7">
        <f>IF($J1704=0,0,ROUND(MAX($J1704*1.4*1.5*1.6*1.6*2.2,42600000*(1.576904^(MIN($E1704,123)-117)))*1,0))</f>
        <v>67176110</v>
      </c>
      <c r="U1704" s="4">
        <f>$E1704+11</f>
        <v>129</v>
      </c>
      <c r="V1704" s="8">
        <f>IF($J1704=0,0,ROUND(MAX($J1704*1.4*1.5*1.6*1.6*2.2*2.715,354000000*(1.642074^(MIN($E1704,123)-117)))*1,0))</f>
        <v>581294196</v>
      </c>
      <c r="W1704" s="6">
        <f>$E1704+15</f>
        <v>133</v>
      </c>
      <c r="X1704" s="7">
        <f>IF($J1704=0,0,ROUND(MAX($J1704*1.4*1.5*1.6*1.6*2.2*2.715*2.6,3540000000*(1.579646^(MIN($E1704,123)-117)))*1,0))</f>
        <v>5591946840</v>
      </c>
      <c r="Y1704" s="4">
        <f>$E1704+17</f>
        <v>135</v>
      </c>
      <c r="Z1704" s="8">
        <f>IF($J1704=0,0,ROUND(MAX($J1704*1.4*1.5*1.6*1.6*2.2*2.715*2.6*1.4,6020000000*(1.651178^(MIN($E1704,123)-117)))*1,0))</f>
        <v>9940091560</v>
      </c>
      <c r="AA1704" s="6">
        <f>$E1704+19</f>
        <v>137</v>
      </c>
      <c r="AB1704" s="7">
        <f>IF($J1704=0,0,ROUND(MAX($J1704*1.4*1.5*1.6*1.6*2.2*2.715*2.6*1.4*1.4,8430000000*(1.651435^(MIN($E1704,123)-117)))*1,0))</f>
        <v>13921597050</v>
      </c>
      <c r="AC1704" s="4">
        <f>$E1704+21</f>
        <v>139</v>
      </c>
      <c r="AD1704" s="8">
        <f>IF($J1704=0,0,ROUND(MAX($J1704*1.4*1.5*1.6*1.6*2.2*2.715*2.6*1.4*1.4*1.5,12600000000*(1.652953^(MIN($E1704,123)-117)))*1,0))</f>
        <v>20827207800</v>
      </c>
      <c r="AE1704" s="6">
        <f>$E1704+24</f>
        <v>142</v>
      </c>
      <c r="AF1704" s="7">
        <f>IF($J1704=0,0,ROUND(MAX($J1704*1.4*1.5*1.6*1.6*2.2*2.715*2.6*1.4*1.4*1.5*1.5,18900000000*(1.65331^(MIN($E1704,123)-117)))*1,0))</f>
        <v>31247559000</v>
      </c>
      <c r="AG1704" s="4">
        <f>$E1704+27</f>
        <v>145</v>
      </c>
      <c r="AH1704" s="8">
        <f>IF($J1704=0,0,ROUND(MAX($J1704*1.4*1.5*1.6*1.6*2.2*2.715*2.6*1.4*1.4*1.5*1.5*3.2,60500000000*(1.654288^(MIN($E1704,123)-117)))*1,0))</f>
        <v>100084424000</v>
      </c>
    </row>
    <row r="1705" ht="27.75" customHeight="1" spans="1:34" x14ac:dyDescent="0.25">
      <c r="A1705" s="3">
        <v>1715</v>
      </c>
      <c r="B1705" s="3" t="s">
        <v>140</v>
      </c>
      <c r="C1705" s="3" t="s">
        <v>1175</v>
      </c>
      <c r="D1705" s="3" t="s">
        <v>40</v>
      </c>
      <c r="E1705" s="3">
        <v>118</v>
      </c>
      <c r="F1705" s="3" t="s">
        <v>56</v>
      </c>
      <c r="G1705" s="3" t="s">
        <v>1176</v>
      </c>
      <c r="H1705" s="3">
        <v>30</v>
      </c>
      <c r="I1705" s="4">
        <v>118</v>
      </c>
      <c r="J1705" s="5">
        <v>1080000</v>
      </c>
      <c r="K1705" s="6">
        <f>$E1705+1</f>
        <v>119</v>
      </c>
      <c r="L1705" s="7">
        <f>IF($J1705=0,0,ROUND(MAX($J1705*1.4,1620000*(1.497923^(MIN($E1705,123)-117)))*1,0))</f>
        <v>2426635</v>
      </c>
      <c r="M1705" s="4">
        <f>$E1705+2</f>
        <v>120</v>
      </c>
      <c r="N1705" s="8">
        <f>IF($J1705=0,0,ROUND(MAX($J1705*1.4*1.5,2190000*(1.580994^(MIN($E1705,123)-117)))*1,0))</f>
        <v>3462377</v>
      </c>
      <c r="O1705" s="6">
        <f>$E1705+4</f>
        <v>122</v>
      </c>
      <c r="P1705" s="7">
        <f>IF($J1705=0,0,ROUND(MAX($J1705*1.4*1.5*1.6,3500000*(1.57975^(MIN($E1705,123)-117)))*1,0))</f>
        <v>5529125</v>
      </c>
      <c r="Q1705" s="4">
        <f>$E1705+6</f>
        <v>124</v>
      </c>
      <c r="R1705" s="8">
        <f>IF($J1705=0,0,ROUND(MAX($J1705*1.4*1.5*1.6*1.6,13100000*(1.429962^(MIN($E1705,123)-117)))*1,0))</f>
        <v>18732502</v>
      </c>
      <c r="S1705" s="6">
        <f>$E1705+8</f>
        <v>126</v>
      </c>
      <c r="T1705" s="7">
        <f>IF($J1705=0,0,ROUND(MAX($J1705*1.4*1.5*1.6*1.6*2.2,42600000*(1.576904^(MIN($E1705,123)-117)))*1,0))</f>
        <v>67176110</v>
      </c>
      <c r="U1705" s="4">
        <f>$E1705+11</f>
        <v>129</v>
      </c>
      <c r="V1705" s="8">
        <f>IF($J1705=0,0,ROUND(MAX($J1705*1.4*1.5*1.6*1.6*2.2*2.715,354000000*(1.642074^(MIN($E1705,123)-117)))*1,0))</f>
        <v>581294196</v>
      </c>
      <c r="W1705" s="6">
        <f>$E1705+15</f>
        <v>133</v>
      </c>
      <c r="X1705" s="7">
        <f>IF($J1705=0,0,ROUND(MAX($J1705*1.4*1.5*1.6*1.6*2.2*2.715*2.6,3540000000*(1.579646^(MIN($E1705,123)-117)))*1,0))</f>
        <v>5591946840</v>
      </c>
      <c r="Y1705" s="4">
        <f>$E1705+17</f>
        <v>135</v>
      </c>
      <c r="Z1705" s="8">
        <f>IF($J1705=0,0,ROUND(MAX($J1705*1.4*1.5*1.6*1.6*2.2*2.715*2.6*1.4,6020000000*(1.651178^(MIN($E1705,123)-117)))*1,0))</f>
        <v>9940091560</v>
      </c>
      <c r="AA1705" s="6">
        <f>$E1705+19</f>
        <v>137</v>
      </c>
      <c r="AB1705" s="7">
        <f>IF($J1705=0,0,ROUND(MAX($J1705*1.4*1.5*1.6*1.6*2.2*2.715*2.6*1.4*1.4,8430000000*(1.651435^(MIN($E1705,123)-117)))*1,0))</f>
        <v>13921597050</v>
      </c>
      <c r="AC1705" s="4">
        <f>$E1705+21</f>
        <v>139</v>
      </c>
      <c r="AD1705" s="8">
        <f>IF($J1705=0,0,ROUND(MAX($J1705*1.4*1.5*1.6*1.6*2.2*2.715*2.6*1.4*1.4*1.5,12600000000*(1.652953^(MIN($E1705,123)-117)))*1,0))</f>
        <v>20827207800</v>
      </c>
      <c r="AE1705" s="6">
        <f>$E1705+24</f>
        <v>142</v>
      </c>
      <c r="AF1705" s="7">
        <f>IF($J1705=0,0,ROUND(MAX($J1705*1.4*1.5*1.6*1.6*2.2*2.715*2.6*1.4*1.4*1.5*1.5,18900000000*(1.65331^(MIN($E1705,123)-117)))*1,0))</f>
        <v>31247559000</v>
      </c>
      <c r="AG1705" s="4">
        <f>$E1705+27</f>
        <v>145</v>
      </c>
      <c r="AH1705" s="8">
        <f>IF($J1705=0,0,ROUND(MAX($J1705*1.4*1.5*1.6*1.6*2.2*2.715*2.6*1.4*1.4*1.5*1.5*3.2,60500000000*(1.654288^(MIN($E1705,123)-117)))*1,0))</f>
        <v>100084424000</v>
      </c>
    </row>
    <row r="1706" ht="27.75" customHeight="1" spans="1:34" x14ac:dyDescent="0.25">
      <c r="A1706" s="3">
        <v>1716</v>
      </c>
      <c r="B1706" s="3" t="s">
        <v>1177</v>
      </c>
      <c r="C1706" s="3" t="s">
        <v>1175</v>
      </c>
      <c r="D1706" s="3" t="s">
        <v>64</v>
      </c>
      <c r="E1706" s="3">
        <v>117</v>
      </c>
      <c r="F1706" s="3" t="s">
        <v>56</v>
      </c>
      <c r="G1706" s="3" t="s">
        <v>98</v>
      </c>
      <c r="H1706" s="3">
        <v>29</v>
      </c>
      <c r="I1706" s="4">
        <v>117</v>
      </c>
      <c r="J1706" s="5">
        <v>1020000</v>
      </c>
      <c r="K1706" s="6">
        <f>$E1706+1</f>
        <v>118</v>
      </c>
      <c r="L1706" s="7">
        <f>IF($J1706=0,0,ROUND(MAX($J1706*1.4,1620000*(1.497923^(MIN($E1706,123)-117)))*1,0))</f>
        <v>1620000</v>
      </c>
      <c r="M1706" s="4">
        <f>$E1706+2</f>
        <v>119</v>
      </c>
      <c r="N1706" s="8">
        <f>IF($J1706=0,0,ROUND(MAX($J1706*1.4*1.5,2190000*(1.580994^(MIN($E1706,123)-117)))*1,0))</f>
        <v>2190000</v>
      </c>
      <c r="O1706" s="6">
        <f>$E1706+4</f>
        <v>121</v>
      </c>
      <c r="P1706" s="7">
        <f>IF($J1706=0,0,ROUND(MAX($J1706*1.4*1.5*1.6,3500000*(1.57975^(MIN($E1706,123)-117)))*1,0))</f>
        <v>3500000</v>
      </c>
      <c r="Q1706" s="4">
        <f>$E1706+6</f>
        <v>123</v>
      </c>
      <c r="R1706" s="8">
        <f>IF($J1706=0,0,ROUND(MAX($J1706*1.4*1.5*1.6*1.6,13100000*(1.429962^(MIN($E1706,123)-117)))*1,0))</f>
        <v>13100000</v>
      </c>
      <c r="S1706" s="6">
        <f>$E1706+8</f>
        <v>125</v>
      </c>
      <c r="T1706" s="7">
        <f>IF($J1706=0,0,ROUND(MAX($J1706*1.4*1.5*1.6*1.6*2.2,42600000*(1.576904^(MIN($E1706,123)-117)))*1,0))</f>
        <v>42600000</v>
      </c>
      <c r="U1706" s="4">
        <f>$E1706+11</f>
        <v>128</v>
      </c>
      <c r="V1706" s="8">
        <f>IF($J1706=0,0,ROUND(MAX($J1706*1.4*1.5*1.6*1.6*2.2*2.715,354000000*(1.642074^(MIN($E1706,123)-117)))*1,0))</f>
        <v>354000000</v>
      </c>
      <c r="W1706" s="6">
        <f>$E1706+15</f>
        <v>132</v>
      </c>
      <c r="X1706" s="7">
        <f>IF($J1706=0,0,ROUND(MAX($J1706*1.4*1.5*1.6*1.6*2.2*2.715*2.6,3540000000*(1.579646^(MIN($E1706,123)-117)))*1,0))</f>
        <v>3540000000</v>
      </c>
      <c r="Y1706" s="4">
        <f>$E1706+17</f>
        <v>134</v>
      </c>
      <c r="Z1706" s="8">
        <f>IF($J1706=0,0,ROUND(MAX($J1706*1.4*1.5*1.6*1.6*2.2*2.715*2.6*1.4,6020000000*(1.651178^(MIN($E1706,123)-117)))*1,0))</f>
        <v>6020000000</v>
      </c>
      <c r="AA1706" s="6">
        <f>$E1706+19</f>
        <v>136</v>
      </c>
      <c r="AB1706" s="7">
        <f>IF($J1706=0,0,ROUND(MAX($J1706*1.4*1.5*1.6*1.6*2.2*2.715*2.6*1.4*1.4,8430000000*(1.651435^(MIN($E1706,123)-117)))*1,0))</f>
        <v>8430000000</v>
      </c>
      <c r="AC1706" s="4">
        <f>$E1706+21</f>
        <v>138</v>
      </c>
      <c r="AD1706" s="8">
        <f>IF($J1706=0,0,ROUND(MAX($J1706*1.4*1.5*1.6*1.6*2.2*2.715*2.6*1.4*1.4*1.5,12600000000*(1.652953^(MIN($E1706,123)-117)))*1,0))</f>
        <v>12600000000</v>
      </c>
      <c r="AE1706" s="6">
        <f>$E1706+24</f>
        <v>141</v>
      </c>
      <c r="AF1706" s="7">
        <f>IF($J1706=0,0,ROUND(MAX($J1706*1.4*1.5*1.6*1.6*2.2*2.715*2.6*1.4*1.4*1.5*1.5,18900000000*(1.65331^(MIN($E1706,123)-117)))*1,0))</f>
        <v>18900000000</v>
      </c>
      <c r="AG1706" s="4">
        <f>$E1706+27</f>
        <v>144</v>
      </c>
      <c r="AH1706" s="8">
        <f>IF($J1706=0,0,ROUND(MAX($J1706*1.4*1.5*1.6*1.6*2.2*2.715*2.6*1.4*1.4*1.5*1.5*3.2,60500000000*(1.654288^(MIN($E1706,123)-117)))*1,0))</f>
        <v>60500000000</v>
      </c>
    </row>
    <row r="1707" ht="27.75" customHeight="1" spans="1:34" x14ac:dyDescent="0.25">
      <c r="A1707" s="3">
        <v>1717</v>
      </c>
      <c r="B1707" s="3" t="s">
        <v>636</v>
      </c>
      <c r="C1707" s="3" t="s">
        <v>1175</v>
      </c>
      <c r="D1707" s="3" t="s">
        <v>25</v>
      </c>
      <c r="E1707" s="3">
        <v>117</v>
      </c>
      <c r="F1707" s="3" t="s">
        <v>34</v>
      </c>
      <c r="G1707" s="3" t="s">
        <v>133</v>
      </c>
      <c r="H1707" s="3">
        <v>29</v>
      </c>
      <c r="I1707" s="4">
        <v>117</v>
      </c>
      <c r="J1707" s="5">
        <v>1010000</v>
      </c>
      <c r="K1707" s="6">
        <f>$E1707+1</f>
        <v>118</v>
      </c>
      <c r="L1707" s="7">
        <f>IF($J1707=0,0,ROUND(MAX($J1707*1.4,1620000*(1.497923^(MIN($E1707,123)-117)))*1,0))</f>
        <v>1620000</v>
      </c>
      <c r="M1707" s="4">
        <f>$E1707+2</f>
        <v>119</v>
      </c>
      <c r="N1707" s="8">
        <f>IF($J1707=0,0,ROUND(MAX($J1707*1.4*1.5,2190000*(1.580994^(MIN($E1707,123)-117)))*1,0))</f>
        <v>2190000</v>
      </c>
      <c r="O1707" s="6">
        <f>$E1707+4</f>
        <v>121</v>
      </c>
      <c r="P1707" s="7">
        <f>IF($J1707=0,0,ROUND(MAX($J1707*1.4*1.5*1.6,3500000*(1.57975^(MIN($E1707,123)-117)))*1,0))</f>
        <v>3500000</v>
      </c>
      <c r="Q1707" s="4">
        <f>$E1707+6</f>
        <v>123</v>
      </c>
      <c r="R1707" s="8">
        <f>IF($J1707=0,0,ROUND(MAX($J1707*1.4*1.5*1.6*1.6,13100000*(1.429962^(MIN($E1707,123)-117)))*1,0))</f>
        <v>13100000</v>
      </c>
      <c r="S1707" s="6">
        <f>$E1707+8</f>
        <v>125</v>
      </c>
      <c r="T1707" s="7">
        <f>IF($J1707=0,0,ROUND(MAX($J1707*1.4*1.5*1.6*1.6*2.2,42600000*(1.576904^(MIN($E1707,123)-117)))*1,0))</f>
        <v>42600000</v>
      </c>
      <c r="U1707" s="4">
        <f>$E1707+11</f>
        <v>128</v>
      </c>
      <c r="V1707" s="8">
        <f>IF($J1707=0,0,ROUND(MAX($J1707*1.4*1.5*1.6*1.6*2.2*2.715,354000000*(1.642074^(MIN($E1707,123)-117)))*1,0))</f>
        <v>354000000</v>
      </c>
      <c r="W1707" s="6">
        <f>$E1707+15</f>
        <v>132</v>
      </c>
      <c r="X1707" s="7">
        <f>IF($J1707=0,0,ROUND(MAX($J1707*1.4*1.5*1.6*1.6*2.2*2.715*2.6,3540000000*(1.579646^(MIN($E1707,123)-117)))*1,0))</f>
        <v>3540000000</v>
      </c>
      <c r="Y1707" s="4">
        <f>$E1707+17</f>
        <v>134</v>
      </c>
      <c r="Z1707" s="8">
        <f>IF($J1707=0,0,ROUND(MAX($J1707*1.4*1.5*1.6*1.6*2.2*2.715*2.6*1.4,6020000000*(1.651178^(MIN($E1707,123)-117)))*1,0))</f>
        <v>6020000000</v>
      </c>
      <c r="AA1707" s="6">
        <f>$E1707+19</f>
        <v>136</v>
      </c>
      <c r="AB1707" s="7">
        <f>IF($J1707=0,0,ROUND(MAX($J1707*1.4*1.5*1.6*1.6*2.2*2.715*2.6*1.4*1.4,8430000000*(1.651435^(MIN($E1707,123)-117)))*1,0))</f>
        <v>8430000000</v>
      </c>
      <c r="AC1707" s="4">
        <f>$E1707+21</f>
        <v>138</v>
      </c>
      <c r="AD1707" s="8">
        <f>IF($J1707=0,0,ROUND(MAX($J1707*1.4*1.5*1.6*1.6*2.2*2.715*2.6*1.4*1.4*1.5,12600000000*(1.652953^(MIN($E1707,123)-117)))*1,0))</f>
        <v>12600000000</v>
      </c>
      <c r="AE1707" s="6">
        <f>$E1707+24</f>
        <v>141</v>
      </c>
      <c r="AF1707" s="7">
        <f>IF($J1707=0,0,ROUND(MAX($J1707*1.4*1.5*1.6*1.6*2.2*2.715*2.6*1.4*1.4*1.5*1.5,18900000000*(1.65331^(MIN($E1707,123)-117)))*1,0))</f>
        <v>18900000000</v>
      </c>
      <c r="AG1707" s="4">
        <f>$E1707+27</f>
        <v>144</v>
      </c>
      <c r="AH1707" s="8">
        <f>IF($J1707=0,0,ROUND(MAX($J1707*1.4*1.5*1.6*1.6*2.2*2.715*2.6*1.4*1.4*1.5*1.5*3.2,60500000000*(1.654288^(MIN($E1707,123)-117)))*1,0))</f>
        <v>60500000000</v>
      </c>
    </row>
    <row r="1708" ht="27.75" customHeight="1" spans="1:34" x14ac:dyDescent="0.25">
      <c r="A1708" s="3">
        <v>1718</v>
      </c>
      <c r="B1708" s="3" t="s">
        <v>234</v>
      </c>
      <c r="C1708" s="3" t="s">
        <v>1175</v>
      </c>
      <c r="D1708" s="3" t="s">
        <v>40</v>
      </c>
      <c r="E1708" s="3">
        <v>117</v>
      </c>
      <c r="F1708" s="3" t="s">
        <v>223</v>
      </c>
      <c r="G1708" s="3" t="s">
        <v>185</v>
      </c>
      <c r="H1708" s="3">
        <v>29</v>
      </c>
      <c r="I1708" s="4">
        <v>117</v>
      </c>
      <c r="J1708" s="5">
        <v>879000</v>
      </c>
      <c r="K1708" s="6">
        <f>$E1708+1</f>
        <v>118</v>
      </c>
      <c r="L1708" s="7">
        <f>IF($J1708=0,0,ROUND(MAX($J1708*1.4,1620000*(1.497923^(MIN($E1708,123)-117)))*1,0))</f>
        <v>1620000</v>
      </c>
      <c r="M1708" s="4">
        <f>$E1708+2</f>
        <v>119</v>
      </c>
      <c r="N1708" s="8">
        <f>IF($J1708=0,0,ROUND(MAX($J1708*1.4*1.5,2190000*(1.580994^(MIN($E1708,123)-117)))*1,0))</f>
        <v>2190000</v>
      </c>
      <c r="O1708" s="6">
        <f>$E1708+4</f>
        <v>121</v>
      </c>
      <c r="P1708" s="7">
        <f>IF($J1708=0,0,ROUND(MAX($J1708*1.4*1.5*1.6,3500000*(1.57975^(MIN($E1708,123)-117)))*1,0))</f>
        <v>3500000</v>
      </c>
      <c r="Q1708" s="4">
        <f>$E1708+6</f>
        <v>123</v>
      </c>
      <c r="R1708" s="8">
        <f>IF($J1708=0,0,ROUND(MAX($J1708*1.4*1.5*1.6*1.6,13100000*(1.429962^(MIN($E1708,123)-117)))*1,0))</f>
        <v>13100000</v>
      </c>
      <c r="S1708" s="6">
        <f>$E1708+8</f>
        <v>125</v>
      </c>
      <c r="T1708" s="7">
        <f>IF($J1708=0,0,ROUND(MAX($J1708*1.4*1.5*1.6*1.6*2.2,42600000*(1.576904^(MIN($E1708,123)-117)))*1,0))</f>
        <v>42600000</v>
      </c>
      <c r="U1708" s="4">
        <f>$E1708+11</f>
        <v>128</v>
      </c>
      <c r="V1708" s="8">
        <f>IF($J1708=0,0,ROUND(MAX($J1708*1.4*1.5*1.6*1.6*2.2*2.715,354000000*(1.642074^(MIN($E1708,123)-117)))*1,0))</f>
        <v>354000000</v>
      </c>
      <c r="W1708" s="6">
        <f>$E1708+15</f>
        <v>132</v>
      </c>
      <c r="X1708" s="7">
        <f>IF($J1708=0,0,ROUND(MAX($J1708*1.4*1.5*1.6*1.6*2.2*2.715*2.6,3540000000*(1.579646^(MIN($E1708,123)-117)))*1,0))</f>
        <v>3540000000</v>
      </c>
      <c r="Y1708" s="4">
        <f>$E1708+17</f>
        <v>134</v>
      </c>
      <c r="Z1708" s="8">
        <f>IF($J1708=0,0,ROUND(MAX($J1708*1.4*1.5*1.6*1.6*2.2*2.715*2.6*1.4,6020000000*(1.651178^(MIN($E1708,123)-117)))*1,0))</f>
        <v>6020000000</v>
      </c>
      <c r="AA1708" s="6">
        <f>$E1708+19</f>
        <v>136</v>
      </c>
      <c r="AB1708" s="7">
        <f>IF($J1708=0,0,ROUND(MAX($J1708*1.4*1.5*1.6*1.6*2.2*2.715*2.6*1.4*1.4,8430000000*(1.651435^(MIN($E1708,123)-117)))*1,0))</f>
        <v>8430000000</v>
      </c>
      <c r="AC1708" s="4">
        <f>$E1708+21</f>
        <v>138</v>
      </c>
      <c r="AD1708" s="8">
        <f>IF($J1708=0,0,ROUND(MAX($J1708*1.4*1.5*1.6*1.6*2.2*2.715*2.6*1.4*1.4*1.5,12600000000*(1.652953^(MIN($E1708,123)-117)))*1,0))</f>
        <v>12600000000</v>
      </c>
      <c r="AE1708" s="6">
        <f>$E1708+24</f>
        <v>141</v>
      </c>
      <c r="AF1708" s="7">
        <f>IF($J1708=0,0,ROUND(MAX($J1708*1.4*1.5*1.6*1.6*2.2*2.715*2.6*1.4*1.4*1.5*1.5,18900000000*(1.65331^(MIN($E1708,123)-117)))*1,0))</f>
        <v>18900000000</v>
      </c>
      <c r="AG1708" s="4">
        <f>$E1708+27</f>
        <v>144</v>
      </c>
      <c r="AH1708" s="8">
        <f>IF($J1708=0,0,ROUND(MAX($J1708*1.4*1.5*1.6*1.6*2.2*2.715*2.6*1.4*1.4*1.5*1.5*3.2,60500000000*(1.654288^(MIN($E1708,123)-117)))*1,0))</f>
        <v>60500000000</v>
      </c>
    </row>
    <row r="1709" ht="27.75" customHeight="1" spans="1:34" x14ac:dyDescent="0.25">
      <c r="A1709" s="3">
        <v>1719</v>
      </c>
      <c r="B1709" s="3" t="s">
        <v>627</v>
      </c>
      <c r="C1709" s="3" t="s">
        <v>1175</v>
      </c>
      <c r="D1709" s="3" t="s">
        <v>45</v>
      </c>
      <c r="E1709" s="3">
        <v>117</v>
      </c>
      <c r="F1709" s="3" t="s">
        <v>71</v>
      </c>
      <c r="G1709" s="3" t="s">
        <v>1176</v>
      </c>
      <c r="H1709" s="3">
        <v>29</v>
      </c>
      <c r="I1709" s="4">
        <v>117</v>
      </c>
      <c r="J1709" s="5">
        <v>695000</v>
      </c>
      <c r="K1709" s="6">
        <f>$E1709+1</f>
        <v>118</v>
      </c>
      <c r="L1709" s="7">
        <f>IF($J1709=0,0,ROUND(MAX($J1709*1.4,1620000*(1.497923^(MIN($E1709,123)-117)))*1,0))</f>
        <v>1620000</v>
      </c>
      <c r="M1709" s="4">
        <f>$E1709+2</f>
        <v>119</v>
      </c>
      <c r="N1709" s="8">
        <f>IF($J1709=0,0,ROUND(MAX($J1709*1.4*1.5,2190000*(1.580994^(MIN($E1709,123)-117)))*1,0))</f>
        <v>2190000</v>
      </c>
      <c r="O1709" s="6">
        <f>$E1709+4</f>
        <v>121</v>
      </c>
      <c r="P1709" s="7">
        <f>IF($J1709=0,0,ROUND(MAX($J1709*1.4*1.5*1.6,3500000*(1.57975^(MIN($E1709,123)-117)))*1,0))</f>
        <v>3500000</v>
      </c>
      <c r="Q1709" s="4">
        <f>$E1709+6</f>
        <v>123</v>
      </c>
      <c r="R1709" s="8">
        <f>IF($J1709=0,0,ROUND(MAX($J1709*1.4*1.5*1.6*1.6,13100000*(1.429962^(MIN($E1709,123)-117)))*1,0))</f>
        <v>13100000</v>
      </c>
      <c r="S1709" s="6">
        <f>$E1709+8</f>
        <v>125</v>
      </c>
      <c r="T1709" s="7">
        <f>IF($J1709=0,0,ROUND(MAX($J1709*1.4*1.5*1.6*1.6*2.2,42600000*(1.576904^(MIN($E1709,123)-117)))*1,0))</f>
        <v>42600000</v>
      </c>
      <c r="U1709" s="4">
        <f>$E1709+11</f>
        <v>128</v>
      </c>
      <c r="V1709" s="8">
        <f>IF($J1709=0,0,ROUND(MAX($J1709*1.4*1.5*1.6*1.6*2.2*2.715,354000000*(1.642074^(MIN($E1709,123)-117)))*1,0))</f>
        <v>354000000</v>
      </c>
      <c r="W1709" s="6">
        <f>$E1709+15</f>
        <v>132</v>
      </c>
      <c r="X1709" s="7">
        <f>IF($J1709=0,0,ROUND(MAX($J1709*1.4*1.5*1.6*1.6*2.2*2.715*2.6,3540000000*(1.579646^(MIN($E1709,123)-117)))*1,0))</f>
        <v>3540000000</v>
      </c>
      <c r="Y1709" s="4">
        <f>$E1709+17</f>
        <v>134</v>
      </c>
      <c r="Z1709" s="8">
        <f>IF($J1709=0,0,ROUND(MAX($J1709*1.4*1.5*1.6*1.6*2.2*2.715*2.6*1.4,6020000000*(1.651178^(MIN($E1709,123)-117)))*1,0))</f>
        <v>6020000000</v>
      </c>
      <c r="AA1709" s="6">
        <f>$E1709+19</f>
        <v>136</v>
      </c>
      <c r="AB1709" s="7">
        <f>IF($J1709=0,0,ROUND(MAX($J1709*1.4*1.5*1.6*1.6*2.2*2.715*2.6*1.4*1.4,8430000000*(1.651435^(MIN($E1709,123)-117)))*1,0))</f>
        <v>8430000000</v>
      </c>
      <c r="AC1709" s="4">
        <f>$E1709+21</f>
        <v>138</v>
      </c>
      <c r="AD1709" s="8">
        <f>IF($J1709=0,0,ROUND(MAX($J1709*1.4*1.5*1.6*1.6*2.2*2.715*2.6*1.4*1.4*1.5,12600000000*(1.652953^(MIN($E1709,123)-117)))*1,0))</f>
        <v>12600000000</v>
      </c>
      <c r="AE1709" s="6">
        <f>$E1709+24</f>
        <v>141</v>
      </c>
      <c r="AF1709" s="7">
        <f>IF($J1709=0,0,ROUND(MAX($J1709*1.4*1.5*1.6*1.6*2.2*2.715*2.6*1.4*1.4*1.5*1.5,18900000000*(1.65331^(MIN($E1709,123)-117)))*1,0))</f>
        <v>18900000000</v>
      </c>
      <c r="AG1709" s="4">
        <f>$E1709+27</f>
        <v>144</v>
      </c>
      <c r="AH1709" s="8">
        <f>IF($J1709=0,0,ROUND(MAX($J1709*1.4*1.5*1.6*1.6*2.2*2.715*2.6*1.4*1.4*1.5*1.5*3.2,60500000000*(1.654288^(MIN($E1709,123)-117)))*1,0))</f>
        <v>60500000000</v>
      </c>
    </row>
    <row r="1710" ht="27.75" customHeight="1" spans="1:34" x14ac:dyDescent="0.25">
      <c r="A1710" s="3">
        <v>1720</v>
      </c>
      <c r="B1710" s="3" t="s">
        <v>77</v>
      </c>
      <c r="C1710" s="3" t="s">
        <v>1175</v>
      </c>
      <c r="D1710" s="3" t="s">
        <v>25</v>
      </c>
      <c r="E1710" s="3">
        <v>116</v>
      </c>
      <c r="F1710" s="3" t="s">
        <v>42</v>
      </c>
      <c r="G1710" s="3" t="s">
        <v>1176</v>
      </c>
      <c r="H1710" s="3">
        <v>31</v>
      </c>
      <c r="I1710" s="4">
        <v>116</v>
      </c>
      <c r="J1710" s="5">
        <v>1140000</v>
      </c>
      <c r="K1710" s="6">
        <f>$E1710+1</f>
        <v>117</v>
      </c>
      <c r="L1710" s="7">
        <f>IF($J1710=0,0,ROUND(MAX($J1710*1.4,1620000*(1.497923^(MIN($E1710,123)-117)))*1,0))</f>
        <v>1596000</v>
      </c>
      <c r="M1710" s="4">
        <f>$E1710+2</f>
        <v>118</v>
      </c>
      <c r="N1710" s="8">
        <f>IF($J1710=0,0,ROUND(MAX($J1710*1.4*1.5,2190000*(1.580994^(MIN($E1710,123)-117)))*1,0))</f>
        <v>2394000</v>
      </c>
      <c r="O1710" s="6">
        <f>$E1710+4</f>
        <v>120</v>
      </c>
      <c r="P1710" s="7">
        <f>IF($J1710=0,0,ROUND(MAX($J1710*1.4*1.5*1.6,3500000*(1.57975^(MIN($E1710,123)-117)))*1,0))</f>
        <v>3830400</v>
      </c>
      <c r="Q1710" s="4">
        <f>$E1710+6</f>
        <v>122</v>
      </c>
      <c r="R1710" s="8">
        <f>IF($J1710=0,0,ROUND(MAX($J1710*1.4*1.5*1.6*1.6,13100000*(1.429962^(MIN($E1710,123)-117)))*1,0))</f>
        <v>9161083</v>
      </c>
      <c r="S1710" s="6">
        <f>$E1710+8</f>
        <v>124</v>
      </c>
      <c r="T1710" s="7">
        <f>IF($J1710=0,0,ROUND(MAX($J1710*1.4*1.5*1.6*1.6*2.2,42600000*(1.576904^(MIN($E1710,123)-117)))*1,0))</f>
        <v>27014961</v>
      </c>
      <c r="U1710" s="4">
        <f>$E1710+11</f>
        <v>127</v>
      </c>
      <c r="V1710" s="8">
        <f>IF($J1710=0,0,ROUND(MAX($J1710*1.4*1.5*1.6*1.6*2.2*2.715,354000000*(1.642074^(MIN($E1710,123)-117)))*1,0))</f>
        <v>215581027</v>
      </c>
      <c r="W1710" s="6">
        <f>$E1710+15</f>
        <v>131</v>
      </c>
      <c r="X1710" s="7">
        <f>IF($J1710=0,0,ROUND(MAX($J1710*1.4*1.5*1.6*1.6*2.2*2.715*2.6,3540000000*(1.579646^(MIN($E1710,123)-117)))*1,0))</f>
        <v>2241008428</v>
      </c>
      <c r="Y1710" s="4">
        <f>$E1710+17</f>
        <v>133</v>
      </c>
      <c r="Z1710" s="8">
        <f>IF($J1710=0,0,ROUND(MAX($J1710*1.4*1.5*1.6*1.6*2.2*2.715*2.6*1.4,6020000000*(1.651178^(MIN($E1710,123)-117)))*1,0))</f>
        <v>3645881910</v>
      </c>
      <c r="AA1710" s="6">
        <f>$E1710+19</f>
        <v>135</v>
      </c>
      <c r="AB1710" s="7">
        <f>IF($J1710=0,0,ROUND(MAX($J1710*1.4*1.5*1.6*1.6*2.2*2.715*2.6*1.4*1.4,8430000000*(1.651435^(MIN($E1710,123)-117)))*1,0))</f>
        <v>5104651409</v>
      </c>
      <c r="AC1710" s="4">
        <f>$E1710+21</f>
        <v>137</v>
      </c>
      <c r="AD1710" s="8">
        <f>IF($J1710=0,0,ROUND(MAX($J1710*1.4*1.5*1.6*1.6*2.2*2.715*2.6*1.4*1.4*1.5,12600000000*(1.652953^(MIN($E1710,123)-117)))*1,0))</f>
        <v>7622721275</v>
      </c>
      <c r="AE1710" s="6">
        <f>$E1710+24</f>
        <v>140</v>
      </c>
      <c r="AF1710" s="7">
        <f>IF($J1710=0,0,ROUND(MAX($J1710*1.4*1.5*1.6*1.6*2.2*2.715*2.6*1.4*1.4*1.5*1.5,18900000000*(1.65331^(MIN($E1710,123)-117)))*1,0))</f>
        <v>11431612946</v>
      </c>
      <c r="AG1710" s="4">
        <f>$E1710+27</f>
        <v>143</v>
      </c>
      <c r="AH1710" s="8">
        <f>IF($J1710=0,0,ROUND(MAX($J1710*1.4*1.5*1.6*1.6*2.2*2.715*2.6*1.4*1.4*1.5*1.5*3.2,60500000000*(1.654288^(MIN($E1710,123)-117)))*1,0))</f>
        <v>36571624772</v>
      </c>
    </row>
    <row r="1711" ht="27.75" customHeight="1" spans="1:34" x14ac:dyDescent="0.25">
      <c r="A1711" s="3">
        <v>1721</v>
      </c>
      <c r="B1711" s="3" t="s">
        <v>153</v>
      </c>
      <c r="C1711" s="3" t="s">
        <v>1175</v>
      </c>
      <c r="D1711" s="3" t="s">
        <v>45</v>
      </c>
      <c r="E1711" s="3">
        <v>116</v>
      </c>
      <c r="F1711" s="3" t="s">
        <v>56</v>
      </c>
      <c r="G1711" s="3" t="s">
        <v>1176</v>
      </c>
      <c r="H1711" s="3">
        <v>30</v>
      </c>
      <c r="I1711" s="4">
        <v>116</v>
      </c>
      <c r="J1711" s="5">
        <v>880000</v>
      </c>
      <c r="K1711" s="6">
        <f>$E1711+1</f>
        <v>117</v>
      </c>
      <c r="L1711" s="7">
        <f>IF($J1711=0,0,ROUND(MAX($J1711*1.4,1620000*(1.497923^(MIN($E1711,123)-117)))*1,0))</f>
        <v>1232000</v>
      </c>
      <c r="M1711" s="4">
        <f>$E1711+2</f>
        <v>118</v>
      </c>
      <c r="N1711" s="8">
        <f>IF($J1711=0,0,ROUND(MAX($J1711*1.4*1.5,2190000*(1.580994^(MIN($E1711,123)-117)))*1,0))</f>
        <v>1848000</v>
      </c>
      <c r="O1711" s="6">
        <f>$E1711+4</f>
        <v>120</v>
      </c>
      <c r="P1711" s="7">
        <f>IF($J1711=0,0,ROUND(MAX($J1711*1.4*1.5*1.6,3500000*(1.57975^(MIN($E1711,123)-117)))*1,0))</f>
        <v>2956800</v>
      </c>
      <c r="Q1711" s="4">
        <f>$E1711+6</f>
        <v>122</v>
      </c>
      <c r="R1711" s="8">
        <f>IF($J1711=0,0,ROUND(MAX($J1711*1.4*1.5*1.6*1.6,13100000*(1.429962^(MIN($E1711,123)-117)))*1,0))</f>
        <v>9161083</v>
      </c>
      <c r="S1711" s="6">
        <f>$E1711+8</f>
        <v>124</v>
      </c>
      <c r="T1711" s="7">
        <f>IF($J1711=0,0,ROUND(MAX($J1711*1.4*1.5*1.6*1.6*2.2,42600000*(1.576904^(MIN($E1711,123)-117)))*1,0))</f>
        <v>27014961</v>
      </c>
      <c r="U1711" s="4">
        <f>$E1711+11</f>
        <v>127</v>
      </c>
      <c r="V1711" s="8">
        <f>IF($J1711=0,0,ROUND(MAX($J1711*1.4*1.5*1.6*1.6*2.2*2.715,354000000*(1.642074^(MIN($E1711,123)-117)))*1,0))</f>
        <v>215581027</v>
      </c>
      <c r="W1711" s="6">
        <f>$E1711+15</f>
        <v>131</v>
      </c>
      <c r="X1711" s="7">
        <f>IF($J1711=0,0,ROUND(MAX($J1711*1.4*1.5*1.6*1.6*2.2*2.715*2.6,3540000000*(1.579646^(MIN($E1711,123)-117)))*1,0))</f>
        <v>2241008428</v>
      </c>
      <c r="Y1711" s="4">
        <f>$E1711+17</f>
        <v>133</v>
      </c>
      <c r="Z1711" s="8">
        <f>IF($J1711=0,0,ROUND(MAX($J1711*1.4*1.5*1.6*1.6*2.2*2.715*2.6*1.4,6020000000*(1.651178^(MIN($E1711,123)-117)))*1,0))</f>
        <v>3645881910</v>
      </c>
      <c r="AA1711" s="6">
        <f>$E1711+19</f>
        <v>135</v>
      </c>
      <c r="AB1711" s="7">
        <f>IF($J1711=0,0,ROUND(MAX($J1711*1.4*1.5*1.6*1.6*2.2*2.715*2.6*1.4*1.4,8430000000*(1.651435^(MIN($E1711,123)-117)))*1,0))</f>
        <v>5104651409</v>
      </c>
      <c r="AC1711" s="4">
        <f>$E1711+21</f>
        <v>137</v>
      </c>
      <c r="AD1711" s="8">
        <f>IF($J1711=0,0,ROUND(MAX($J1711*1.4*1.5*1.6*1.6*2.2*2.715*2.6*1.4*1.4*1.5,12600000000*(1.652953^(MIN($E1711,123)-117)))*1,0))</f>
        <v>7622721275</v>
      </c>
      <c r="AE1711" s="6">
        <f>$E1711+24</f>
        <v>140</v>
      </c>
      <c r="AF1711" s="7">
        <f>IF($J1711=0,0,ROUND(MAX($J1711*1.4*1.5*1.6*1.6*2.2*2.715*2.6*1.4*1.4*1.5*1.5,18900000000*(1.65331^(MIN($E1711,123)-117)))*1,0))</f>
        <v>11431612946</v>
      </c>
      <c r="AG1711" s="4">
        <f>$E1711+27</f>
        <v>143</v>
      </c>
      <c r="AH1711" s="8">
        <f>IF($J1711=0,0,ROUND(MAX($J1711*1.4*1.5*1.6*1.6*2.2*2.715*2.6*1.4*1.4*1.5*1.5*3.2,60500000000*(1.654288^(MIN($E1711,123)-117)))*1,0))</f>
        <v>36571624772</v>
      </c>
    </row>
    <row r="1712" ht="27.75" customHeight="1" spans="1:34" x14ac:dyDescent="0.25">
      <c r="A1712" s="3">
        <v>1722</v>
      </c>
      <c r="B1712" s="3" t="s">
        <v>131</v>
      </c>
      <c r="C1712" s="3" t="s">
        <v>1175</v>
      </c>
      <c r="D1712" s="3" t="s">
        <v>40</v>
      </c>
      <c r="E1712" s="3">
        <v>116</v>
      </c>
      <c r="F1712" s="3" t="s">
        <v>132</v>
      </c>
      <c r="G1712" s="3" t="s">
        <v>1176</v>
      </c>
      <c r="H1712" s="3">
        <v>29</v>
      </c>
      <c r="I1712" s="4">
        <v>116</v>
      </c>
      <c r="J1712" s="5">
        <v>910000</v>
      </c>
      <c r="K1712" s="6">
        <f>$E1712+1</f>
        <v>117</v>
      </c>
      <c r="L1712" s="7">
        <f>IF($J1712=0,0,ROUND(MAX($J1712*1.4,1620000*(1.497923^(MIN($E1712,123)-117)))*1,0))</f>
        <v>1274000</v>
      </c>
      <c r="M1712" s="4">
        <f>$E1712+2</f>
        <v>118</v>
      </c>
      <c r="N1712" s="8">
        <f>IF($J1712=0,0,ROUND(MAX($J1712*1.4*1.5,2190000*(1.580994^(MIN($E1712,123)-117)))*1,0))</f>
        <v>1911000</v>
      </c>
      <c r="O1712" s="6">
        <f>$E1712+4</f>
        <v>120</v>
      </c>
      <c r="P1712" s="7">
        <f>IF($J1712=0,0,ROUND(MAX($J1712*1.4*1.5*1.6,3500000*(1.57975^(MIN($E1712,123)-117)))*1,0))</f>
        <v>3057600</v>
      </c>
      <c r="Q1712" s="4">
        <f>$E1712+6</f>
        <v>122</v>
      </c>
      <c r="R1712" s="8">
        <f>IF($J1712=0,0,ROUND(MAX($J1712*1.4*1.5*1.6*1.6,13100000*(1.429962^(MIN($E1712,123)-117)))*1,0))</f>
        <v>9161083</v>
      </c>
      <c r="S1712" s="6">
        <f>$E1712+8</f>
        <v>124</v>
      </c>
      <c r="T1712" s="7">
        <f>IF($J1712=0,0,ROUND(MAX($J1712*1.4*1.5*1.6*1.6*2.2,42600000*(1.576904^(MIN($E1712,123)-117)))*1,0))</f>
        <v>27014961</v>
      </c>
      <c r="U1712" s="4">
        <f>$E1712+11</f>
        <v>127</v>
      </c>
      <c r="V1712" s="8">
        <f>IF($J1712=0,0,ROUND(MAX($J1712*1.4*1.5*1.6*1.6*2.2*2.715,354000000*(1.642074^(MIN($E1712,123)-117)))*1,0))</f>
        <v>215581027</v>
      </c>
      <c r="W1712" s="6">
        <f>$E1712+15</f>
        <v>131</v>
      </c>
      <c r="X1712" s="7">
        <f>IF($J1712=0,0,ROUND(MAX($J1712*1.4*1.5*1.6*1.6*2.2*2.715*2.6,3540000000*(1.579646^(MIN($E1712,123)-117)))*1,0))</f>
        <v>2241008428</v>
      </c>
      <c r="Y1712" s="4">
        <f>$E1712+17</f>
        <v>133</v>
      </c>
      <c r="Z1712" s="8">
        <f>IF($J1712=0,0,ROUND(MAX($J1712*1.4*1.5*1.6*1.6*2.2*2.715*2.6*1.4,6020000000*(1.651178^(MIN($E1712,123)-117)))*1,0))</f>
        <v>3645881910</v>
      </c>
      <c r="AA1712" s="6">
        <f>$E1712+19</f>
        <v>135</v>
      </c>
      <c r="AB1712" s="7">
        <f>IF($J1712=0,0,ROUND(MAX($J1712*1.4*1.5*1.6*1.6*2.2*2.715*2.6*1.4*1.4,8430000000*(1.651435^(MIN($E1712,123)-117)))*1,0))</f>
        <v>5104651409</v>
      </c>
      <c r="AC1712" s="4">
        <f>$E1712+21</f>
        <v>137</v>
      </c>
      <c r="AD1712" s="8">
        <f>IF($J1712=0,0,ROUND(MAX($J1712*1.4*1.5*1.6*1.6*2.2*2.715*2.6*1.4*1.4*1.5,12600000000*(1.652953^(MIN($E1712,123)-117)))*1,0))</f>
        <v>7622721275</v>
      </c>
      <c r="AE1712" s="6">
        <f>$E1712+24</f>
        <v>140</v>
      </c>
      <c r="AF1712" s="7">
        <f>IF($J1712=0,0,ROUND(MAX($J1712*1.4*1.5*1.6*1.6*2.2*2.715*2.6*1.4*1.4*1.5*1.5,18900000000*(1.65331^(MIN($E1712,123)-117)))*1,0))</f>
        <v>11431612946</v>
      </c>
      <c r="AG1712" s="4">
        <f>$E1712+27</f>
        <v>143</v>
      </c>
      <c r="AH1712" s="8">
        <f>IF($J1712=0,0,ROUND(MAX($J1712*1.4*1.5*1.6*1.6*2.2*2.715*2.6*1.4*1.4*1.5*1.5*3.2,60500000000*(1.654288^(MIN($E1712,123)-117)))*1,0))</f>
        <v>36571624772</v>
      </c>
    </row>
    <row r="1713" ht="27.75" customHeight="1" spans="1:34" x14ac:dyDescent="0.25">
      <c r="A1713" s="3">
        <v>1723</v>
      </c>
      <c r="B1713" s="3" t="s">
        <v>831</v>
      </c>
      <c r="C1713" s="3" t="s">
        <v>1175</v>
      </c>
      <c r="D1713" s="3" t="s">
        <v>64</v>
      </c>
      <c r="E1713" s="3">
        <v>116</v>
      </c>
      <c r="F1713" s="3" t="s">
        <v>56</v>
      </c>
      <c r="G1713" s="3" t="s">
        <v>832</v>
      </c>
      <c r="H1713" s="3">
        <v>29</v>
      </c>
      <c r="I1713" s="4">
        <v>116</v>
      </c>
      <c r="J1713" s="5">
        <v>1130000</v>
      </c>
      <c r="K1713" s="6">
        <f>$E1713+1</f>
        <v>117</v>
      </c>
      <c r="L1713" s="7">
        <f>IF($J1713=0,0,ROUND(MAX($J1713*1.4,1620000*(1.497923^(MIN($E1713,123)-117)))*1,0))</f>
        <v>1582000</v>
      </c>
      <c r="M1713" s="4">
        <f>$E1713+2</f>
        <v>118</v>
      </c>
      <c r="N1713" s="8">
        <f>IF($J1713=0,0,ROUND(MAX($J1713*1.4*1.5,2190000*(1.580994^(MIN($E1713,123)-117)))*1,0))</f>
        <v>2373000</v>
      </c>
      <c r="O1713" s="6">
        <f>$E1713+4</f>
        <v>120</v>
      </c>
      <c r="P1713" s="7">
        <f>IF($J1713=0,0,ROUND(MAX($J1713*1.4*1.5*1.6,3500000*(1.57975^(MIN($E1713,123)-117)))*1,0))</f>
        <v>3796800</v>
      </c>
      <c r="Q1713" s="4">
        <f>$E1713+6</f>
        <v>122</v>
      </c>
      <c r="R1713" s="8">
        <f>IF($J1713=0,0,ROUND(MAX($J1713*1.4*1.5*1.6*1.6,13100000*(1.429962^(MIN($E1713,123)-117)))*1,0))</f>
        <v>9161083</v>
      </c>
      <c r="S1713" s="6">
        <f>$E1713+8</f>
        <v>124</v>
      </c>
      <c r="T1713" s="7">
        <f>IF($J1713=0,0,ROUND(MAX($J1713*1.4*1.5*1.6*1.6*2.2,42600000*(1.576904^(MIN($E1713,123)-117)))*1,0))</f>
        <v>27014961</v>
      </c>
      <c r="U1713" s="4">
        <f>$E1713+11</f>
        <v>127</v>
      </c>
      <c r="V1713" s="8">
        <f>IF($J1713=0,0,ROUND(MAX($J1713*1.4*1.5*1.6*1.6*2.2*2.715,354000000*(1.642074^(MIN($E1713,123)-117)))*1,0))</f>
        <v>215581027</v>
      </c>
      <c r="W1713" s="6">
        <f>$E1713+15</f>
        <v>131</v>
      </c>
      <c r="X1713" s="7">
        <f>IF($J1713=0,0,ROUND(MAX($J1713*1.4*1.5*1.6*1.6*2.2*2.715*2.6,3540000000*(1.579646^(MIN($E1713,123)-117)))*1,0))</f>
        <v>2241008428</v>
      </c>
      <c r="Y1713" s="4">
        <f>$E1713+17</f>
        <v>133</v>
      </c>
      <c r="Z1713" s="8">
        <f>IF($J1713=0,0,ROUND(MAX($J1713*1.4*1.5*1.6*1.6*2.2*2.715*2.6*1.4,6020000000*(1.651178^(MIN($E1713,123)-117)))*1,0))</f>
        <v>3645881910</v>
      </c>
      <c r="AA1713" s="6">
        <f>$E1713+19</f>
        <v>135</v>
      </c>
      <c r="AB1713" s="7">
        <f>IF($J1713=0,0,ROUND(MAX($J1713*1.4*1.5*1.6*1.6*2.2*2.715*2.6*1.4*1.4,8430000000*(1.651435^(MIN($E1713,123)-117)))*1,0))</f>
        <v>5104651409</v>
      </c>
      <c r="AC1713" s="4">
        <f>$E1713+21</f>
        <v>137</v>
      </c>
      <c r="AD1713" s="8">
        <f>IF($J1713=0,0,ROUND(MAX($J1713*1.4*1.5*1.6*1.6*2.2*2.715*2.6*1.4*1.4*1.5,12600000000*(1.652953^(MIN($E1713,123)-117)))*1,0))</f>
        <v>7622721275</v>
      </c>
      <c r="AE1713" s="6">
        <f>$E1713+24</f>
        <v>140</v>
      </c>
      <c r="AF1713" s="7">
        <f>IF($J1713=0,0,ROUND(MAX($J1713*1.4*1.5*1.6*1.6*2.2*2.715*2.6*1.4*1.4*1.5*1.5,18900000000*(1.65331^(MIN($E1713,123)-117)))*1,0))</f>
        <v>11431612946</v>
      </c>
      <c r="AG1713" s="4">
        <f>$E1713+27</f>
        <v>143</v>
      </c>
      <c r="AH1713" s="8">
        <f>IF($J1713=0,0,ROUND(MAX($J1713*1.4*1.5*1.6*1.6*2.2*2.715*2.6*1.4*1.4*1.5*1.5*3.2,60500000000*(1.654288^(MIN($E1713,123)-117)))*1,0))</f>
        <v>36571624772</v>
      </c>
    </row>
    <row r="1714" ht="27.75" customHeight="1" spans="1:34" x14ac:dyDescent="0.25">
      <c r="A1714" s="3">
        <v>1724</v>
      </c>
      <c r="B1714" s="3" t="s">
        <v>63</v>
      </c>
      <c r="C1714" s="3" t="s">
        <v>1175</v>
      </c>
      <c r="D1714" s="3" t="s">
        <v>64</v>
      </c>
      <c r="E1714" s="3">
        <v>116</v>
      </c>
      <c r="F1714" s="3" t="s">
        <v>65</v>
      </c>
      <c r="G1714" s="3" t="s">
        <v>1176</v>
      </c>
      <c r="H1714" s="3">
        <v>29</v>
      </c>
      <c r="I1714" s="4">
        <v>116</v>
      </c>
      <c r="J1714" s="5">
        <v>1130000</v>
      </c>
      <c r="K1714" s="6">
        <f>$E1714+1</f>
        <v>117</v>
      </c>
      <c r="L1714" s="7">
        <f>IF($J1714=0,0,ROUND(MAX($J1714*1.4,1620000*(1.497923^(MIN($E1714,123)-117)))*1,0))</f>
        <v>1582000</v>
      </c>
      <c r="M1714" s="4">
        <f>$E1714+2</f>
        <v>118</v>
      </c>
      <c r="N1714" s="8">
        <f>IF($J1714=0,0,ROUND(MAX($J1714*1.4*1.5,2190000*(1.580994^(MIN($E1714,123)-117)))*1,0))</f>
        <v>2373000</v>
      </c>
      <c r="O1714" s="6">
        <f>$E1714+4</f>
        <v>120</v>
      </c>
      <c r="P1714" s="7">
        <f>IF($J1714=0,0,ROUND(MAX($J1714*1.4*1.5*1.6,3500000*(1.57975^(MIN($E1714,123)-117)))*1,0))</f>
        <v>3796800</v>
      </c>
      <c r="Q1714" s="4">
        <f>$E1714+6</f>
        <v>122</v>
      </c>
      <c r="R1714" s="8">
        <f>IF($J1714=0,0,ROUND(MAX($J1714*1.4*1.5*1.6*1.6,13100000*(1.429962^(MIN($E1714,123)-117)))*1,0))</f>
        <v>9161083</v>
      </c>
      <c r="S1714" s="6">
        <f>$E1714+8</f>
        <v>124</v>
      </c>
      <c r="T1714" s="7">
        <f>IF($J1714=0,0,ROUND(MAX($J1714*1.4*1.5*1.6*1.6*2.2,42600000*(1.576904^(MIN($E1714,123)-117)))*1,0))</f>
        <v>27014961</v>
      </c>
      <c r="U1714" s="4">
        <f>$E1714+11</f>
        <v>127</v>
      </c>
      <c r="V1714" s="8">
        <f>IF($J1714=0,0,ROUND(MAX($J1714*1.4*1.5*1.6*1.6*2.2*2.715,354000000*(1.642074^(MIN($E1714,123)-117)))*1,0))</f>
        <v>215581027</v>
      </c>
      <c r="W1714" s="6">
        <f>$E1714+15</f>
        <v>131</v>
      </c>
      <c r="X1714" s="7">
        <f>IF($J1714=0,0,ROUND(MAX($J1714*1.4*1.5*1.6*1.6*2.2*2.715*2.6,3540000000*(1.579646^(MIN($E1714,123)-117)))*1,0))</f>
        <v>2241008428</v>
      </c>
      <c r="Y1714" s="4">
        <f>$E1714+17</f>
        <v>133</v>
      </c>
      <c r="Z1714" s="8">
        <f>IF($J1714=0,0,ROUND(MAX($J1714*1.4*1.5*1.6*1.6*2.2*2.715*2.6*1.4,6020000000*(1.651178^(MIN($E1714,123)-117)))*1,0))</f>
        <v>3645881910</v>
      </c>
      <c r="AA1714" s="6">
        <f>$E1714+19</f>
        <v>135</v>
      </c>
      <c r="AB1714" s="7">
        <f>IF($J1714=0,0,ROUND(MAX($J1714*1.4*1.5*1.6*1.6*2.2*2.715*2.6*1.4*1.4,8430000000*(1.651435^(MIN($E1714,123)-117)))*1,0))</f>
        <v>5104651409</v>
      </c>
      <c r="AC1714" s="4">
        <f>$E1714+21</f>
        <v>137</v>
      </c>
      <c r="AD1714" s="8">
        <f>IF($J1714=0,0,ROUND(MAX($J1714*1.4*1.5*1.6*1.6*2.2*2.715*2.6*1.4*1.4*1.5,12600000000*(1.652953^(MIN($E1714,123)-117)))*1,0))</f>
        <v>7622721275</v>
      </c>
      <c r="AE1714" s="6">
        <f>$E1714+24</f>
        <v>140</v>
      </c>
      <c r="AF1714" s="7">
        <f>IF($J1714=0,0,ROUND(MAX($J1714*1.4*1.5*1.6*1.6*2.2*2.715*2.6*1.4*1.4*1.5*1.5,18900000000*(1.65331^(MIN($E1714,123)-117)))*1,0))</f>
        <v>11431612946</v>
      </c>
      <c r="AG1714" s="4">
        <f>$E1714+27</f>
        <v>143</v>
      </c>
      <c r="AH1714" s="8">
        <f>IF($J1714=0,0,ROUND(MAX($J1714*1.4*1.5*1.6*1.6*2.2*2.715*2.6*1.4*1.4*1.5*1.5*3.2,60500000000*(1.654288^(MIN($E1714,123)-117)))*1,0))</f>
        <v>36571624772</v>
      </c>
    </row>
    <row r="1715" ht="27.75" customHeight="1" spans="1:34" x14ac:dyDescent="0.25">
      <c r="A1715" s="3">
        <v>1725</v>
      </c>
      <c r="B1715" s="3" t="s">
        <v>227</v>
      </c>
      <c r="C1715" s="3" t="s">
        <v>1175</v>
      </c>
      <c r="D1715" s="3" t="s">
        <v>40</v>
      </c>
      <c r="E1715" s="3">
        <v>116</v>
      </c>
      <c r="F1715" s="3" t="s">
        <v>56</v>
      </c>
      <c r="G1715" s="3" t="s">
        <v>35</v>
      </c>
      <c r="H1715" s="3">
        <v>29</v>
      </c>
      <c r="I1715" s="4">
        <v>116</v>
      </c>
      <c r="J1715" s="5">
        <v>960000</v>
      </c>
      <c r="K1715" s="6">
        <f>$E1715+1</f>
        <v>117</v>
      </c>
      <c r="L1715" s="7">
        <f>IF($J1715=0,0,ROUND(MAX($J1715*1.4,1620000*(1.497923^(MIN($E1715,123)-117)))*1,0))</f>
        <v>1344000</v>
      </c>
      <c r="M1715" s="4">
        <f>$E1715+2</f>
        <v>118</v>
      </c>
      <c r="N1715" s="8">
        <f>IF($J1715=0,0,ROUND(MAX($J1715*1.4*1.5,2190000*(1.580994^(MIN($E1715,123)-117)))*1,0))</f>
        <v>2016000</v>
      </c>
      <c r="O1715" s="6">
        <f>$E1715+4</f>
        <v>120</v>
      </c>
      <c r="P1715" s="7">
        <f>IF($J1715=0,0,ROUND(MAX($J1715*1.4*1.5*1.6,3500000*(1.57975^(MIN($E1715,123)-117)))*1,0))</f>
        <v>3225600</v>
      </c>
      <c r="Q1715" s="4">
        <f>$E1715+6</f>
        <v>122</v>
      </c>
      <c r="R1715" s="8">
        <f>IF($J1715=0,0,ROUND(MAX($J1715*1.4*1.5*1.6*1.6,13100000*(1.429962^(MIN($E1715,123)-117)))*1,0))</f>
        <v>9161083</v>
      </c>
      <c r="S1715" s="6">
        <f>$E1715+8</f>
        <v>124</v>
      </c>
      <c r="T1715" s="7">
        <f>IF($J1715=0,0,ROUND(MAX($J1715*1.4*1.5*1.6*1.6*2.2,42600000*(1.576904^(MIN($E1715,123)-117)))*1,0))</f>
        <v>27014961</v>
      </c>
      <c r="U1715" s="4">
        <f>$E1715+11</f>
        <v>127</v>
      </c>
      <c r="V1715" s="8">
        <f>IF($J1715=0,0,ROUND(MAX($J1715*1.4*1.5*1.6*1.6*2.2*2.715,354000000*(1.642074^(MIN($E1715,123)-117)))*1,0))</f>
        <v>215581027</v>
      </c>
      <c r="W1715" s="6">
        <f>$E1715+15</f>
        <v>131</v>
      </c>
      <c r="X1715" s="7">
        <f>IF($J1715=0,0,ROUND(MAX($J1715*1.4*1.5*1.6*1.6*2.2*2.715*2.6,3540000000*(1.579646^(MIN($E1715,123)-117)))*1,0))</f>
        <v>2241008428</v>
      </c>
      <c r="Y1715" s="4">
        <f>$E1715+17</f>
        <v>133</v>
      </c>
      <c r="Z1715" s="8">
        <f>IF($J1715=0,0,ROUND(MAX($J1715*1.4*1.5*1.6*1.6*2.2*2.715*2.6*1.4,6020000000*(1.651178^(MIN($E1715,123)-117)))*1,0))</f>
        <v>3645881910</v>
      </c>
      <c r="AA1715" s="6">
        <f>$E1715+19</f>
        <v>135</v>
      </c>
      <c r="AB1715" s="7">
        <f>IF($J1715=0,0,ROUND(MAX($J1715*1.4*1.5*1.6*1.6*2.2*2.715*2.6*1.4*1.4,8430000000*(1.651435^(MIN($E1715,123)-117)))*1,0))</f>
        <v>5104651409</v>
      </c>
      <c r="AC1715" s="4">
        <f>$E1715+21</f>
        <v>137</v>
      </c>
      <c r="AD1715" s="8">
        <f>IF($J1715=0,0,ROUND(MAX($J1715*1.4*1.5*1.6*1.6*2.2*2.715*2.6*1.4*1.4*1.5,12600000000*(1.652953^(MIN($E1715,123)-117)))*1,0))</f>
        <v>7622721275</v>
      </c>
      <c r="AE1715" s="6">
        <f>$E1715+24</f>
        <v>140</v>
      </c>
      <c r="AF1715" s="7">
        <f>IF($J1715=0,0,ROUND(MAX($J1715*1.4*1.5*1.6*1.6*2.2*2.715*2.6*1.4*1.4*1.5*1.5,18900000000*(1.65331^(MIN($E1715,123)-117)))*1,0))</f>
        <v>11431612946</v>
      </c>
      <c r="AG1715" s="4">
        <f>$E1715+27</f>
        <v>143</v>
      </c>
      <c r="AH1715" s="8">
        <f>IF($J1715=0,0,ROUND(MAX($J1715*1.4*1.5*1.6*1.6*2.2*2.715*2.6*1.4*1.4*1.5*1.5*3.2,60500000000*(1.654288^(MIN($E1715,123)-117)))*1,0))</f>
        <v>36571624772</v>
      </c>
    </row>
    <row r="1716" ht="27.75" customHeight="1" spans="1:34" x14ac:dyDescent="0.25">
      <c r="A1716" s="3">
        <v>1726</v>
      </c>
      <c r="B1716" s="3" t="s">
        <v>534</v>
      </c>
      <c r="C1716" s="3" t="s">
        <v>1175</v>
      </c>
      <c r="D1716" s="3" t="s">
        <v>79</v>
      </c>
      <c r="E1716" s="3">
        <v>116</v>
      </c>
      <c r="F1716" s="3" t="s">
        <v>310</v>
      </c>
      <c r="G1716" s="3" t="s">
        <v>1176</v>
      </c>
      <c r="H1716" s="3">
        <v>29</v>
      </c>
      <c r="I1716" s="4">
        <v>116</v>
      </c>
      <c r="J1716" s="5">
        <v>986000</v>
      </c>
      <c r="K1716" s="6">
        <f>$E1716+1</f>
        <v>117</v>
      </c>
      <c r="L1716" s="7">
        <f>IF($J1716=0,0,ROUND(MAX($J1716*1.4,1620000*(1.497923^(MIN($E1716,123)-117)))*1,0))</f>
        <v>1380400</v>
      </c>
      <c r="M1716" s="4">
        <f>$E1716+2</f>
        <v>118</v>
      </c>
      <c r="N1716" s="8">
        <f>IF($J1716=0,0,ROUND(MAX($J1716*1.4*1.5,2190000*(1.580994^(MIN($E1716,123)-117)))*1,0))</f>
        <v>2070600</v>
      </c>
      <c r="O1716" s="6">
        <f>$E1716+4</f>
        <v>120</v>
      </c>
      <c r="P1716" s="7">
        <f>IF($J1716=0,0,ROUND(MAX($J1716*1.4*1.5*1.6,3500000*(1.57975^(MIN($E1716,123)-117)))*1,0))</f>
        <v>3312960</v>
      </c>
      <c r="Q1716" s="4">
        <f>$E1716+6</f>
        <v>122</v>
      </c>
      <c r="R1716" s="8">
        <f>IF($J1716=0,0,ROUND(MAX($J1716*1.4*1.5*1.6*1.6,13100000*(1.429962^(MIN($E1716,123)-117)))*1,0))</f>
        <v>9161083</v>
      </c>
      <c r="S1716" s="6">
        <f>$E1716+8</f>
        <v>124</v>
      </c>
      <c r="T1716" s="7">
        <f>IF($J1716=0,0,ROUND(MAX($J1716*1.4*1.5*1.6*1.6*2.2,42600000*(1.576904^(MIN($E1716,123)-117)))*1,0))</f>
        <v>27014961</v>
      </c>
      <c r="U1716" s="4">
        <f>$E1716+11</f>
        <v>127</v>
      </c>
      <c r="V1716" s="8">
        <f>IF($J1716=0,0,ROUND(MAX($J1716*1.4*1.5*1.6*1.6*2.2*2.715,354000000*(1.642074^(MIN($E1716,123)-117)))*1,0))</f>
        <v>215581027</v>
      </c>
      <c r="W1716" s="6">
        <f>$E1716+15</f>
        <v>131</v>
      </c>
      <c r="X1716" s="7">
        <f>IF($J1716=0,0,ROUND(MAX($J1716*1.4*1.5*1.6*1.6*2.2*2.715*2.6,3540000000*(1.579646^(MIN($E1716,123)-117)))*1,0))</f>
        <v>2241008428</v>
      </c>
      <c r="Y1716" s="4">
        <f>$E1716+17</f>
        <v>133</v>
      </c>
      <c r="Z1716" s="8">
        <f>IF($J1716=0,0,ROUND(MAX($J1716*1.4*1.5*1.6*1.6*2.2*2.715*2.6*1.4,6020000000*(1.651178^(MIN($E1716,123)-117)))*1,0))</f>
        <v>3645881910</v>
      </c>
      <c r="AA1716" s="6">
        <f>$E1716+19</f>
        <v>135</v>
      </c>
      <c r="AB1716" s="7">
        <f>IF($J1716=0,0,ROUND(MAX($J1716*1.4*1.5*1.6*1.6*2.2*2.715*2.6*1.4*1.4,8430000000*(1.651435^(MIN($E1716,123)-117)))*1,0))</f>
        <v>5104651409</v>
      </c>
      <c r="AC1716" s="4">
        <f>$E1716+21</f>
        <v>137</v>
      </c>
      <c r="AD1716" s="8">
        <f>IF($J1716=0,0,ROUND(MAX($J1716*1.4*1.5*1.6*1.6*2.2*2.715*2.6*1.4*1.4*1.5,12600000000*(1.652953^(MIN($E1716,123)-117)))*1,0))</f>
        <v>7622721275</v>
      </c>
      <c r="AE1716" s="6">
        <f>$E1716+24</f>
        <v>140</v>
      </c>
      <c r="AF1716" s="7">
        <f>IF($J1716=0,0,ROUND(MAX($J1716*1.4*1.5*1.6*1.6*2.2*2.715*2.6*1.4*1.4*1.5*1.5,18900000000*(1.65331^(MIN($E1716,123)-117)))*1,0))</f>
        <v>11431612946</v>
      </c>
      <c r="AG1716" s="4">
        <f>$E1716+27</f>
        <v>143</v>
      </c>
      <c r="AH1716" s="8">
        <f>IF($J1716=0,0,ROUND(MAX($J1716*1.4*1.5*1.6*1.6*2.2*2.715*2.6*1.4*1.4*1.5*1.5*3.2,60500000000*(1.654288^(MIN($E1716,123)-117)))*1,0))</f>
        <v>36571624772</v>
      </c>
    </row>
    <row r="1717" ht="27.75" customHeight="1" spans="1:34" x14ac:dyDescent="0.25">
      <c r="A1717" s="3">
        <v>1727</v>
      </c>
      <c r="B1717" s="3" t="s">
        <v>164</v>
      </c>
      <c r="C1717" s="3" t="s">
        <v>1175</v>
      </c>
      <c r="D1717" s="3" t="s">
        <v>165</v>
      </c>
      <c r="E1717" s="3">
        <v>116</v>
      </c>
      <c r="F1717" s="3" t="s">
        <v>132</v>
      </c>
      <c r="G1717" s="3" t="s">
        <v>1176</v>
      </c>
      <c r="H1717" s="3">
        <v>29</v>
      </c>
      <c r="I1717" s="4">
        <v>116</v>
      </c>
      <c r="J1717" s="5">
        <v>1110000</v>
      </c>
      <c r="K1717" s="6">
        <f>$E1717+1</f>
        <v>117</v>
      </c>
      <c r="L1717" s="7">
        <f>IF($J1717=0,0,ROUND(MAX($J1717*1.4,1620000*(1.497923^(MIN($E1717,123)-117)))*1,0))</f>
        <v>1554000</v>
      </c>
      <c r="M1717" s="4">
        <f>$E1717+2</f>
        <v>118</v>
      </c>
      <c r="N1717" s="8">
        <f>IF($J1717=0,0,ROUND(MAX($J1717*1.4*1.5,2190000*(1.580994^(MIN($E1717,123)-117)))*1,0))</f>
        <v>2331000</v>
      </c>
      <c r="O1717" s="6">
        <f>$E1717+4</f>
        <v>120</v>
      </c>
      <c r="P1717" s="7">
        <f>IF($J1717=0,0,ROUND(MAX($J1717*1.4*1.5*1.6,3500000*(1.57975^(MIN($E1717,123)-117)))*1,0))</f>
        <v>3729600</v>
      </c>
      <c r="Q1717" s="4">
        <f>$E1717+6</f>
        <v>122</v>
      </c>
      <c r="R1717" s="8">
        <f>IF($J1717=0,0,ROUND(MAX($J1717*1.4*1.5*1.6*1.6,13100000*(1.429962^(MIN($E1717,123)-117)))*1,0))</f>
        <v>9161083</v>
      </c>
      <c r="S1717" s="6">
        <f>$E1717+8</f>
        <v>124</v>
      </c>
      <c r="T1717" s="7">
        <f>IF($J1717=0,0,ROUND(MAX($J1717*1.4*1.5*1.6*1.6*2.2,42600000*(1.576904^(MIN($E1717,123)-117)))*1,0))</f>
        <v>27014961</v>
      </c>
      <c r="U1717" s="4">
        <f>$E1717+11</f>
        <v>127</v>
      </c>
      <c r="V1717" s="8">
        <f>IF($J1717=0,0,ROUND(MAX($J1717*1.4*1.5*1.6*1.6*2.2*2.715,354000000*(1.642074^(MIN($E1717,123)-117)))*1,0))</f>
        <v>215581027</v>
      </c>
      <c r="W1717" s="6">
        <f>$E1717+15</f>
        <v>131</v>
      </c>
      <c r="X1717" s="7">
        <f>IF($J1717=0,0,ROUND(MAX($J1717*1.4*1.5*1.6*1.6*2.2*2.715*2.6,3540000000*(1.579646^(MIN($E1717,123)-117)))*1,0))</f>
        <v>2241008428</v>
      </c>
      <c r="Y1717" s="4">
        <f>$E1717+17</f>
        <v>133</v>
      </c>
      <c r="Z1717" s="8">
        <f>IF($J1717=0,0,ROUND(MAX($J1717*1.4*1.5*1.6*1.6*2.2*2.715*2.6*1.4,6020000000*(1.651178^(MIN($E1717,123)-117)))*1,0))</f>
        <v>3645881910</v>
      </c>
      <c r="AA1717" s="6">
        <f>$E1717+19</f>
        <v>135</v>
      </c>
      <c r="AB1717" s="7">
        <f>IF($J1717=0,0,ROUND(MAX($J1717*1.4*1.5*1.6*1.6*2.2*2.715*2.6*1.4*1.4,8430000000*(1.651435^(MIN($E1717,123)-117)))*1,0))</f>
        <v>5104651409</v>
      </c>
      <c r="AC1717" s="4">
        <f>$E1717+21</f>
        <v>137</v>
      </c>
      <c r="AD1717" s="8">
        <f>IF($J1717=0,0,ROUND(MAX($J1717*1.4*1.5*1.6*1.6*2.2*2.715*2.6*1.4*1.4*1.5,12600000000*(1.652953^(MIN($E1717,123)-117)))*1,0))</f>
        <v>7622721275</v>
      </c>
      <c r="AE1717" s="6">
        <f>$E1717+24</f>
        <v>140</v>
      </c>
      <c r="AF1717" s="7">
        <f>IF($J1717=0,0,ROUND(MAX($J1717*1.4*1.5*1.6*1.6*2.2*2.715*2.6*1.4*1.4*1.5*1.5,18900000000*(1.65331^(MIN($E1717,123)-117)))*1,0))</f>
        <v>11431612946</v>
      </c>
      <c r="AG1717" s="4">
        <f>$E1717+27</f>
        <v>143</v>
      </c>
      <c r="AH1717" s="8">
        <f>IF($J1717=0,0,ROUND(MAX($J1717*1.4*1.5*1.6*1.6*2.2*2.715*2.6*1.4*1.4*1.5*1.5*3.2,60500000000*(1.654288^(MIN($E1717,123)-117)))*1,0))</f>
        <v>36571624772</v>
      </c>
    </row>
    <row r="1718" ht="27.75" customHeight="1" spans="1:34" x14ac:dyDescent="0.25">
      <c r="A1718" s="3">
        <v>1728</v>
      </c>
      <c r="B1718" s="3" t="s">
        <v>118</v>
      </c>
      <c r="C1718" s="3" t="s">
        <v>1175</v>
      </c>
      <c r="D1718" s="3" t="s">
        <v>29</v>
      </c>
      <c r="E1718" s="3">
        <v>116</v>
      </c>
      <c r="F1718" s="3" t="s">
        <v>56</v>
      </c>
      <c r="G1718" s="3" t="s">
        <v>1176</v>
      </c>
      <c r="H1718" s="3">
        <v>29</v>
      </c>
      <c r="I1718" s="4">
        <v>116</v>
      </c>
      <c r="J1718" s="5">
        <v>1012000</v>
      </c>
      <c r="K1718" s="6">
        <f>$E1718+1</f>
        <v>117</v>
      </c>
      <c r="L1718" s="7">
        <f>IF($J1718=0,0,ROUND(MAX($J1718*1.4,1620000*(1.497923^(MIN($E1718,123)-117)))*1,0))</f>
        <v>1416800</v>
      </c>
      <c r="M1718" s="4">
        <f>$E1718+2</f>
        <v>118</v>
      </c>
      <c r="N1718" s="8">
        <f>IF($J1718=0,0,ROUND(MAX($J1718*1.4*1.5,2190000*(1.580994^(MIN($E1718,123)-117)))*1,0))</f>
        <v>2125200</v>
      </c>
      <c r="O1718" s="6">
        <f>$E1718+4</f>
        <v>120</v>
      </c>
      <c r="P1718" s="7">
        <f>IF($J1718=0,0,ROUND(MAX($J1718*1.4*1.5*1.6,3500000*(1.57975^(MIN($E1718,123)-117)))*1,0))</f>
        <v>3400320</v>
      </c>
      <c r="Q1718" s="4">
        <f>$E1718+6</f>
        <v>122</v>
      </c>
      <c r="R1718" s="8">
        <f>IF($J1718=0,0,ROUND(MAX($J1718*1.4*1.5*1.6*1.6,13100000*(1.429962^(MIN($E1718,123)-117)))*1,0))</f>
        <v>9161083</v>
      </c>
      <c r="S1718" s="6">
        <f>$E1718+8</f>
        <v>124</v>
      </c>
      <c r="T1718" s="7">
        <f>IF($J1718=0,0,ROUND(MAX($J1718*1.4*1.5*1.6*1.6*2.2,42600000*(1.576904^(MIN($E1718,123)-117)))*1,0))</f>
        <v>27014961</v>
      </c>
      <c r="U1718" s="4">
        <f>$E1718+11</f>
        <v>127</v>
      </c>
      <c r="V1718" s="8">
        <f>IF($J1718=0,0,ROUND(MAX($J1718*1.4*1.5*1.6*1.6*2.2*2.715,354000000*(1.642074^(MIN($E1718,123)-117)))*1,0))</f>
        <v>215581027</v>
      </c>
      <c r="W1718" s="6">
        <f>$E1718+15</f>
        <v>131</v>
      </c>
      <c r="X1718" s="7">
        <f>IF($J1718=0,0,ROUND(MAX($J1718*1.4*1.5*1.6*1.6*2.2*2.715*2.6,3540000000*(1.579646^(MIN($E1718,123)-117)))*1,0))</f>
        <v>2241008428</v>
      </c>
      <c r="Y1718" s="4">
        <f>$E1718+17</f>
        <v>133</v>
      </c>
      <c r="Z1718" s="8">
        <f>IF($J1718=0,0,ROUND(MAX($J1718*1.4*1.5*1.6*1.6*2.2*2.715*2.6*1.4,6020000000*(1.651178^(MIN($E1718,123)-117)))*1,0))</f>
        <v>3645881910</v>
      </c>
      <c r="AA1718" s="6">
        <f>$E1718+19</f>
        <v>135</v>
      </c>
      <c r="AB1718" s="7">
        <f>IF($J1718=0,0,ROUND(MAX($J1718*1.4*1.5*1.6*1.6*2.2*2.715*2.6*1.4*1.4,8430000000*(1.651435^(MIN($E1718,123)-117)))*1,0))</f>
        <v>5104651409</v>
      </c>
      <c r="AC1718" s="4">
        <f>$E1718+21</f>
        <v>137</v>
      </c>
      <c r="AD1718" s="8">
        <f>IF($J1718=0,0,ROUND(MAX($J1718*1.4*1.5*1.6*1.6*2.2*2.715*2.6*1.4*1.4*1.5,12600000000*(1.652953^(MIN($E1718,123)-117)))*1,0))</f>
        <v>7622721275</v>
      </c>
      <c r="AE1718" s="6">
        <f>$E1718+24</f>
        <v>140</v>
      </c>
      <c r="AF1718" s="7">
        <f>IF($J1718=0,0,ROUND(MAX($J1718*1.4*1.5*1.6*1.6*2.2*2.715*2.6*1.4*1.4*1.5*1.5,18900000000*(1.65331^(MIN($E1718,123)-117)))*1,0))</f>
        <v>11431612946</v>
      </c>
      <c r="AG1718" s="4">
        <f>$E1718+27</f>
        <v>143</v>
      </c>
      <c r="AH1718" s="8">
        <f>IF($J1718=0,0,ROUND(MAX($J1718*1.4*1.5*1.6*1.6*2.2*2.715*2.6*1.4*1.4*1.5*1.5*3.2,60500000000*(1.654288^(MIN($E1718,123)-117)))*1,0))</f>
        <v>36571624772</v>
      </c>
    </row>
    <row r="1719" ht="27.75" customHeight="1" spans="1:34" x14ac:dyDescent="0.25">
      <c r="A1719" s="3">
        <v>1729</v>
      </c>
      <c r="B1719" s="3" t="s">
        <v>163</v>
      </c>
      <c r="C1719" s="3" t="s">
        <v>1175</v>
      </c>
      <c r="D1719" s="3" t="s">
        <v>40</v>
      </c>
      <c r="E1719" s="3">
        <v>116</v>
      </c>
      <c r="F1719" s="3" t="s">
        <v>71</v>
      </c>
      <c r="G1719" s="3" t="s">
        <v>1176</v>
      </c>
      <c r="H1719" s="3">
        <v>29</v>
      </c>
      <c r="I1719" s="4">
        <v>116</v>
      </c>
      <c r="J1719" s="5">
        <v>832000</v>
      </c>
      <c r="K1719" s="6">
        <f>$E1719+1</f>
        <v>117</v>
      </c>
      <c r="L1719" s="7">
        <f>IF($J1719=0,0,ROUND(MAX($J1719*1.4,1620000*(1.497923^(MIN($E1719,123)-117)))*1,0))</f>
        <v>1164800</v>
      </c>
      <c r="M1719" s="4">
        <f>$E1719+2</f>
        <v>118</v>
      </c>
      <c r="N1719" s="8">
        <f>IF($J1719=0,0,ROUND(MAX($J1719*1.4*1.5,2190000*(1.580994^(MIN($E1719,123)-117)))*1,0))</f>
        <v>1747200</v>
      </c>
      <c r="O1719" s="6">
        <f>$E1719+4</f>
        <v>120</v>
      </c>
      <c r="P1719" s="7">
        <f>IF($J1719=0,0,ROUND(MAX($J1719*1.4*1.5*1.6,3500000*(1.57975^(MIN($E1719,123)-117)))*1,0))</f>
        <v>2795520</v>
      </c>
      <c r="Q1719" s="4">
        <f>$E1719+6</f>
        <v>122</v>
      </c>
      <c r="R1719" s="8">
        <f>IF($J1719=0,0,ROUND(MAX($J1719*1.4*1.5*1.6*1.6,13100000*(1.429962^(MIN($E1719,123)-117)))*1,0))</f>
        <v>9161083</v>
      </c>
      <c r="S1719" s="6">
        <f>$E1719+8</f>
        <v>124</v>
      </c>
      <c r="T1719" s="7">
        <f>IF($J1719=0,0,ROUND(MAX($J1719*1.4*1.5*1.6*1.6*2.2,42600000*(1.576904^(MIN($E1719,123)-117)))*1,0))</f>
        <v>27014961</v>
      </c>
      <c r="U1719" s="4">
        <f>$E1719+11</f>
        <v>127</v>
      </c>
      <c r="V1719" s="8">
        <f>IF($J1719=0,0,ROUND(MAX($J1719*1.4*1.5*1.6*1.6*2.2*2.715,354000000*(1.642074^(MIN($E1719,123)-117)))*1,0))</f>
        <v>215581027</v>
      </c>
      <c r="W1719" s="6">
        <f>$E1719+15</f>
        <v>131</v>
      </c>
      <c r="X1719" s="7">
        <f>IF($J1719=0,0,ROUND(MAX($J1719*1.4*1.5*1.6*1.6*2.2*2.715*2.6,3540000000*(1.579646^(MIN($E1719,123)-117)))*1,0))</f>
        <v>2241008428</v>
      </c>
      <c r="Y1719" s="4">
        <f>$E1719+17</f>
        <v>133</v>
      </c>
      <c r="Z1719" s="8">
        <f>IF($J1719=0,0,ROUND(MAX($J1719*1.4*1.5*1.6*1.6*2.2*2.715*2.6*1.4,6020000000*(1.651178^(MIN($E1719,123)-117)))*1,0))</f>
        <v>3645881910</v>
      </c>
      <c r="AA1719" s="6">
        <f>$E1719+19</f>
        <v>135</v>
      </c>
      <c r="AB1719" s="7">
        <f>IF($J1719=0,0,ROUND(MAX($J1719*1.4*1.5*1.6*1.6*2.2*2.715*2.6*1.4*1.4,8430000000*(1.651435^(MIN($E1719,123)-117)))*1,0))</f>
        <v>5104651409</v>
      </c>
      <c r="AC1719" s="4">
        <f>$E1719+21</f>
        <v>137</v>
      </c>
      <c r="AD1719" s="8">
        <f>IF($J1719=0,0,ROUND(MAX($J1719*1.4*1.5*1.6*1.6*2.2*2.715*2.6*1.4*1.4*1.5,12600000000*(1.652953^(MIN($E1719,123)-117)))*1,0))</f>
        <v>7622721275</v>
      </c>
      <c r="AE1719" s="6">
        <f>$E1719+24</f>
        <v>140</v>
      </c>
      <c r="AF1719" s="7">
        <f>IF($J1719=0,0,ROUND(MAX($J1719*1.4*1.5*1.6*1.6*2.2*2.715*2.6*1.4*1.4*1.5*1.5,18900000000*(1.65331^(MIN($E1719,123)-117)))*1,0))</f>
        <v>11431612946</v>
      </c>
      <c r="AG1719" s="4">
        <f>$E1719+27</f>
        <v>143</v>
      </c>
      <c r="AH1719" s="8">
        <f>IF($J1719=0,0,ROUND(MAX($J1719*1.4*1.5*1.6*1.6*2.2*2.715*2.6*1.4*1.4*1.5*1.5*3.2,60500000000*(1.654288^(MIN($E1719,123)-117)))*1,0))</f>
        <v>36571624772</v>
      </c>
    </row>
    <row r="1720" ht="27.75" customHeight="1" spans="1:34" x14ac:dyDescent="0.25">
      <c r="A1720" s="3">
        <v>1730</v>
      </c>
      <c r="B1720" s="3" t="s">
        <v>1169</v>
      </c>
      <c r="C1720" s="3" t="s">
        <v>1175</v>
      </c>
      <c r="D1720" s="3" t="s">
        <v>25</v>
      </c>
      <c r="E1720" s="3">
        <v>116</v>
      </c>
      <c r="F1720" s="3" t="s">
        <v>34</v>
      </c>
      <c r="G1720" s="3" t="s">
        <v>35</v>
      </c>
      <c r="H1720" s="3">
        <v>28</v>
      </c>
      <c r="I1720" s="4">
        <v>116</v>
      </c>
      <c r="J1720" s="5">
        <v>1070000</v>
      </c>
      <c r="K1720" s="6">
        <f>$E1720+1</f>
        <v>117</v>
      </c>
      <c r="L1720" s="7">
        <f>IF($J1720=0,0,ROUND(MAX($J1720*1.4,1620000*(1.497923^(MIN($E1720,123)-117)))*1,0))</f>
        <v>1498000</v>
      </c>
      <c r="M1720" s="4">
        <f>$E1720+2</f>
        <v>118</v>
      </c>
      <c r="N1720" s="8">
        <f>IF($J1720=0,0,ROUND(MAX($J1720*1.4*1.5,2190000*(1.580994^(MIN($E1720,123)-117)))*1,0))</f>
        <v>2247000</v>
      </c>
      <c r="O1720" s="6">
        <f>$E1720+4</f>
        <v>120</v>
      </c>
      <c r="P1720" s="7">
        <f>IF($J1720=0,0,ROUND(MAX($J1720*1.4*1.5*1.6,3500000*(1.57975^(MIN($E1720,123)-117)))*1,0))</f>
        <v>3595200</v>
      </c>
      <c r="Q1720" s="4">
        <f>$E1720+6</f>
        <v>122</v>
      </c>
      <c r="R1720" s="8">
        <f>IF($J1720=0,0,ROUND(MAX($J1720*1.4*1.5*1.6*1.6,13100000*(1.429962^(MIN($E1720,123)-117)))*1,0))</f>
        <v>9161083</v>
      </c>
      <c r="S1720" s="6">
        <f>$E1720+8</f>
        <v>124</v>
      </c>
      <c r="T1720" s="7">
        <f>IF($J1720=0,0,ROUND(MAX($J1720*1.4*1.5*1.6*1.6*2.2,42600000*(1.576904^(MIN($E1720,123)-117)))*1,0))</f>
        <v>27014961</v>
      </c>
      <c r="U1720" s="4">
        <f>$E1720+11</f>
        <v>127</v>
      </c>
      <c r="V1720" s="8">
        <f>IF($J1720=0,0,ROUND(MAX($J1720*1.4*1.5*1.6*1.6*2.2*2.715,354000000*(1.642074^(MIN($E1720,123)-117)))*1,0))</f>
        <v>215581027</v>
      </c>
      <c r="W1720" s="6">
        <f>$E1720+15</f>
        <v>131</v>
      </c>
      <c r="X1720" s="7">
        <f>IF($J1720=0,0,ROUND(MAX($J1720*1.4*1.5*1.6*1.6*2.2*2.715*2.6,3540000000*(1.579646^(MIN($E1720,123)-117)))*1,0))</f>
        <v>2241008428</v>
      </c>
      <c r="Y1720" s="4">
        <f>$E1720+17</f>
        <v>133</v>
      </c>
      <c r="Z1720" s="8">
        <f>IF($J1720=0,0,ROUND(MAX($J1720*1.4*1.5*1.6*1.6*2.2*2.715*2.6*1.4,6020000000*(1.651178^(MIN($E1720,123)-117)))*1,0))</f>
        <v>3645881910</v>
      </c>
      <c r="AA1720" s="6">
        <f>$E1720+19</f>
        <v>135</v>
      </c>
      <c r="AB1720" s="7">
        <f>IF($J1720=0,0,ROUND(MAX($J1720*1.4*1.5*1.6*1.6*2.2*2.715*2.6*1.4*1.4,8430000000*(1.651435^(MIN($E1720,123)-117)))*1,0))</f>
        <v>5104651409</v>
      </c>
      <c r="AC1720" s="4">
        <f>$E1720+21</f>
        <v>137</v>
      </c>
      <c r="AD1720" s="8">
        <f>IF($J1720=0,0,ROUND(MAX($J1720*1.4*1.5*1.6*1.6*2.2*2.715*2.6*1.4*1.4*1.5,12600000000*(1.652953^(MIN($E1720,123)-117)))*1,0))</f>
        <v>7622721275</v>
      </c>
      <c r="AE1720" s="6">
        <f>$E1720+24</f>
        <v>140</v>
      </c>
      <c r="AF1720" s="7">
        <f>IF($J1720=0,0,ROUND(MAX($J1720*1.4*1.5*1.6*1.6*2.2*2.715*2.6*1.4*1.4*1.5*1.5,18900000000*(1.65331^(MIN($E1720,123)-117)))*1,0))</f>
        <v>11431612946</v>
      </c>
      <c r="AG1720" s="4">
        <f>$E1720+27</f>
        <v>143</v>
      </c>
      <c r="AH1720" s="8">
        <f>IF($J1720=0,0,ROUND(MAX($J1720*1.4*1.5*1.6*1.6*2.2*2.715*2.6*1.4*1.4*1.5*1.5*3.2,60500000000*(1.654288^(MIN($E1720,123)-117)))*1,0))</f>
        <v>36571624772</v>
      </c>
    </row>
    <row r="1721" ht="27.75" customHeight="1" spans="1:34" x14ac:dyDescent="0.25">
      <c r="A1721" s="3">
        <v>1731</v>
      </c>
      <c r="B1721" s="3" t="s">
        <v>467</v>
      </c>
      <c r="C1721" s="3" t="s">
        <v>1175</v>
      </c>
      <c r="D1721" s="3" t="s">
        <v>64</v>
      </c>
      <c r="E1721" s="3">
        <v>116</v>
      </c>
      <c r="F1721" s="3" t="s">
        <v>56</v>
      </c>
      <c r="G1721" s="3" t="s">
        <v>95</v>
      </c>
      <c r="H1721" s="3">
        <v>28</v>
      </c>
      <c r="I1721" s="4">
        <v>116</v>
      </c>
      <c r="J1721" s="5">
        <v>719000</v>
      </c>
      <c r="K1721" s="6">
        <f>$E1721+1</f>
        <v>117</v>
      </c>
      <c r="L1721" s="7">
        <f>IF($J1721=0,0,ROUND(MAX($J1721*1.4,1620000*(1.497923^(MIN($E1721,123)-117)))*1,0))</f>
        <v>1081498</v>
      </c>
      <c r="M1721" s="4">
        <f>$E1721+2</f>
        <v>118</v>
      </c>
      <c r="N1721" s="8">
        <f>IF($J1721=0,0,ROUND(MAX($J1721*1.4*1.5,2190000*(1.580994^(MIN($E1721,123)-117)))*1,0))</f>
        <v>1509900</v>
      </c>
      <c r="O1721" s="6">
        <f>$E1721+4</f>
        <v>120</v>
      </c>
      <c r="P1721" s="7">
        <f>IF($J1721=0,0,ROUND(MAX($J1721*1.4*1.5*1.6,3500000*(1.57975^(MIN($E1721,123)-117)))*1,0))</f>
        <v>2415840</v>
      </c>
      <c r="Q1721" s="4">
        <f>$E1721+6</f>
        <v>122</v>
      </c>
      <c r="R1721" s="8">
        <f>IF($J1721=0,0,ROUND(MAX($J1721*1.4*1.5*1.6*1.6,13100000*(1.429962^(MIN($E1721,123)-117)))*1,0))</f>
        <v>9161083</v>
      </c>
      <c r="S1721" s="6">
        <f>$E1721+8</f>
        <v>124</v>
      </c>
      <c r="T1721" s="7">
        <f>IF($J1721=0,0,ROUND(MAX($J1721*1.4*1.5*1.6*1.6*2.2,42600000*(1.576904^(MIN($E1721,123)-117)))*1,0))</f>
        <v>27014961</v>
      </c>
      <c r="U1721" s="4">
        <f>$E1721+11</f>
        <v>127</v>
      </c>
      <c r="V1721" s="8">
        <f>IF($J1721=0,0,ROUND(MAX($J1721*1.4*1.5*1.6*1.6*2.2*2.715,354000000*(1.642074^(MIN($E1721,123)-117)))*1,0))</f>
        <v>215581027</v>
      </c>
      <c r="W1721" s="6">
        <f>$E1721+15</f>
        <v>131</v>
      </c>
      <c r="X1721" s="7">
        <f>IF($J1721=0,0,ROUND(MAX($J1721*1.4*1.5*1.6*1.6*2.2*2.715*2.6,3540000000*(1.579646^(MIN($E1721,123)-117)))*1,0))</f>
        <v>2241008428</v>
      </c>
      <c r="Y1721" s="4">
        <f>$E1721+17</f>
        <v>133</v>
      </c>
      <c r="Z1721" s="8">
        <f>IF($J1721=0,0,ROUND(MAX($J1721*1.4*1.5*1.6*1.6*2.2*2.715*2.6*1.4,6020000000*(1.651178^(MIN($E1721,123)-117)))*1,0))</f>
        <v>3645881910</v>
      </c>
      <c r="AA1721" s="6">
        <f>$E1721+19</f>
        <v>135</v>
      </c>
      <c r="AB1721" s="7">
        <f>IF($J1721=0,0,ROUND(MAX($J1721*1.4*1.5*1.6*1.6*2.2*2.715*2.6*1.4*1.4,8430000000*(1.651435^(MIN($E1721,123)-117)))*1,0))</f>
        <v>5104651409</v>
      </c>
      <c r="AC1721" s="4">
        <f>$E1721+21</f>
        <v>137</v>
      </c>
      <c r="AD1721" s="8">
        <f>IF($J1721=0,0,ROUND(MAX($J1721*1.4*1.5*1.6*1.6*2.2*2.715*2.6*1.4*1.4*1.5,12600000000*(1.652953^(MIN($E1721,123)-117)))*1,0))</f>
        <v>7622721275</v>
      </c>
      <c r="AE1721" s="6">
        <f>$E1721+24</f>
        <v>140</v>
      </c>
      <c r="AF1721" s="7">
        <f>IF($J1721=0,0,ROUND(MAX($J1721*1.4*1.5*1.6*1.6*2.2*2.715*2.6*1.4*1.4*1.5*1.5,18900000000*(1.65331^(MIN($E1721,123)-117)))*1,0))</f>
        <v>11431612946</v>
      </c>
      <c r="AG1721" s="4">
        <f>$E1721+27</f>
        <v>143</v>
      </c>
      <c r="AH1721" s="8">
        <f>IF($J1721=0,0,ROUND(MAX($J1721*1.4*1.5*1.6*1.6*2.2*2.715*2.6*1.4*1.4*1.5*1.5*3.2,60500000000*(1.654288^(MIN($E1721,123)-117)))*1,0))</f>
        <v>36571624772</v>
      </c>
    </row>
    <row r="1722" ht="27.75" customHeight="1" spans="1:34" x14ac:dyDescent="0.25">
      <c r="A1722" s="3">
        <v>1732</v>
      </c>
      <c r="B1722" s="3" t="s">
        <v>230</v>
      </c>
      <c r="C1722" s="3" t="s">
        <v>1175</v>
      </c>
      <c r="D1722" s="3" t="s">
        <v>64</v>
      </c>
      <c r="E1722" s="3">
        <v>116</v>
      </c>
      <c r="F1722" s="3" t="s">
        <v>71</v>
      </c>
      <c r="G1722" s="3" t="s">
        <v>72</v>
      </c>
      <c r="H1722" s="3">
        <v>27</v>
      </c>
      <c r="I1722" s="4">
        <v>116</v>
      </c>
      <c r="J1722" s="5">
        <v>906000</v>
      </c>
      <c r="K1722" s="6">
        <f>$E1722+1</f>
        <v>117</v>
      </c>
      <c r="L1722" s="7">
        <f>IF($J1722=0,0,ROUND(MAX($J1722*1.4,1620000*(1.497923^(MIN($E1722,123)-117)))*1,0))</f>
        <v>1268400</v>
      </c>
      <c r="M1722" s="4">
        <f>$E1722+2</f>
        <v>118</v>
      </c>
      <c r="N1722" s="8">
        <f>IF($J1722=0,0,ROUND(MAX($J1722*1.4*1.5,2190000*(1.580994^(MIN($E1722,123)-117)))*1,0))</f>
        <v>1902600</v>
      </c>
      <c r="O1722" s="6">
        <f>$E1722+4</f>
        <v>120</v>
      </c>
      <c r="P1722" s="7">
        <f>IF($J1722=0,0,ROUND(MAX($J1722*1.4*1.5*1.6,3500000*(1.57975^(MIN($E1722,123)-117)))*1,0))</f>
        <v>3044160</v>
      </c>
      <c r="Q1722" s="4">
        <f>$E1722+6</f>
        <v>122</v>
      </c>
      <c r="R1722" s="8">
        <f>IF($J1722=0,0,ROUND(MAX($J1722*1.4*1.5*1.6*1.6,13100000*(1.429962^(MIN($E1722,123)-117)))*1,0))</f>
        <v>9161083</v>
      </c>
      <c r="S1722" s="6">
        <f>$E1722+8</f>
        <v>124</v>
      </c>
      <c r="T1722" s="7">
        <f>IF($J1722=0,0,ROUND(MAX($J1722*1.4*1.5*1.6*1.6*2.2,42600000*(1.576904^(MIN($E1722,123)-117)))*1,0))</f>
        <v>27014961</v>
      </c>
      <c r="U1722" s="4">
        <f>$E1722+11</f>
        <v>127</v>
      </c>
      <c r="V1722" s="8">
        <f>IF($J1722=0,0,ROUND(MAX($J1722*1.4*1.5*1.6*1.6*2.2*2.715,354000000*(1.642074^(MIN($E1722,123)-117)))*1,0))</f>
        <v>215581027</v>
      </c>
      <c r="W1722" s="6">
        <f>$E1722+15</f>
        <v>131</v>
      </c>
      <c r="X1722" s="7">
        <f>IF($J1722=0,0,ROUND(MAX($J1722*1.4*1.5*1.6*1.6*2.2*2.715*2.6,3540000000*(1.579646^(MIN($E1722,123)-117)))*1,0))</f>
        <v>2241008428</v>
      </c>
      <c r="Y1722" s="4">
        <f>$E1722+17</f>
        <v>133</v>
      </c>
      <c r="Z1722" s="8">
        <f>IF($J1722=0,0,ROUND(MAX($J1722*1.4*1.5*1.6*1.6*2.2*2.715*2.6*1.4,6020000000*(1.651178^(MIN($E1722,123)-117)))*1,0))</f>
        <v>3645881910</v>
      </c>
      <c r="AA1722" s="6">
        <f>$E1722+19</f>
        <v>135</v>
      </c>
      <c r="AB1722" s="7">
        <f>IF($J1722=0,0,ROUND(MAX($J1722*1.4*1.5*1.6*1.6*2.2*2.715*2.6*1.4*1.4,8430000000*(1.651435^(MIN($E1722,123)-117)))*1,0))</f>
        <v>5104651409</v>
      </c>
      <c r="AC1722" s="4">
        <f>$E1722+21</f>
        <v>137</v>
      </c>
      <c r="AD1722" s="8">
        <f>IF($J1722=0,0,ROUND(MAX($J1722*1.4*1.5*1.6*1.6*2.2*2.715*2.6*1.4*1.4*1.5,12600000000*(1.652953^(MIN($E1722,123)-117)))*1,0))</f>
        <v>7622721275</v>
      </c>
      <c r="AE1722" s="6">
        <f>$E1722+24</f>
        <v>140</v>
      </c>
      <c r="AF1722" s="7">
        <f>IF($J1722=0,0,ROUND(MAX($J1722*1.4*1.5*1.6*1.6*2.2*2.715*2.6*1.4*1.4*1.5*1.5,18900000000*(1.65331^(MIN($E1722,123)-117)))*1,0))</f>
        <v>11431612946</v>
      </c>
      <c r="AG1722" s="4">
        <f>$E1722+27</f>
        <v>143</v>
      </c>
      <c r="AH1722" s="8">
        <f>IF($J1722=0,0,ROUND(MAX($J1722*1.4*1.5*1.6*1.6*2.2*2.715*2.6*1.4*1.4*1.5*1.5*3.2,60500000000*(1.654288^(MIN($E1722,123)-117)))*1,0))</f>
        <v>36571624772</v>
      </c>
    </row>
    <row r="1723" ht="27.75" customHeight="1" spans="1:34" x14ac:dyDescent="0.25">
      <c r="A1723" s="3">
        <v>1733</v>
      </c>
      <c r="B1723" s="3" t="s">
        <v>251</v>
      </c>
      <c r="C1723" s="3" t="s">
        <v>1175</v>
      </c>
      <c r="D1723" s="3" t="s">
        <v>64</v>
      </c>
      <c r="E1723" s="3">
        <v>115</v>
      </c>
      <c r="F1723" s="3" t="s">
        <v>59</v>
      </c>
      <c r="G1723" s="3" t="s">
        <v>252</v>
      </c>
      <c r="H1723" s="3">
        <v>30</v>
      </c>
      <c r="I1723" s="4">
        <v>115</v>
      </c>
      <c r="J1723" s="5">
        <v>1240000</v>
      </c>
      <c r="K1723" s="6">
        <f>$E1723+1</f>
        <v>116</v>
      </c>
      <c r="L1723" s="7">
        <f>IF($J1723=0,0,ROUND(MAX($J1723*1.4,1620000*(1.497923^(MIN($E1723,123)-117)))*1,0))</f>
        <v>1736000</v>
      </c>
      <c r="M1723" s="4">
        <f>$E1723+2</f>
        <v>117</v>
      </c>
      <c r="N1723" s="8">
        <f>IF($J1723=0,0,ROUND(MAX($J1723*1.4*1.5,2190000*(1.580994^(MIN($E1723,123)-117)))*1,0))</f>
        <v>2604000</v>
      </c>
      <c r="O1723" s="6">
        <f>$E1723+4</f>
        <v>119</v>
      </c>
      <c r="P1723" s="7">
        <f>IF($J1723=0,0,ROUND(MAX($J1723*1.4*1.5*1.6,3500000*(1.57975^(MIN($E1723,123)-117)))*1,0))</f>
        <v>4166400</v>
      </c>
      <c r="Q1723" s="4">
        <f>$E1723+6</f>
        <v>121</v>
      </c>
      <c r="R1723" s="8">
        <f>IF($J1723=0,0,ROUND(MAX($J1723*1.4*1.5*1.6*1.6,13100000*(1.429962^(MIN($E1723,123)-117)))*1,0))</f>
        <v>6666240</v>
      </c>
      <c r="S1723" s="6">
        <f>$E1723+8</f>
        <v>123</v>
      </c>
      <c r="T1723" s="7">
        <f>IF($J1723=0,0,ROUND(MAX($J1723*1.4*1.5*1.6*1.6*2.2,42600000*(1.576904^(MIN($E1723,123)-117)))*1,0))</f>
        <v>17131646</v>
      </c>
      <c r="U1723" s="4">
        <f>$E1723+11</f>
        <v>126</v>
      </c>
      <c r="V1723" s="8">
        <f>IF($J1723=0,0,ROUND(MAX($J1723*1.4*1.5*1.6*1.6*2.2*2.715,354000000*(1.642074^(MIN($E1723,123)-117)))*1,0))</f>
        <v>131285817</v>
      </c>
      <c r="W1723" s="6">
        <f>$E1723+15</f>
        <v>130</v>
      </c>
      <c r="X1723" s="7">
        <f>IF($J1723=0,0,ROUND(MAX($J1723*1.4*1.5*1.6*1.6*2.2*2.715*2.6,3540000000*(1.579646^(MIN($E1723,123)-117)))*1,0))</f>
        <v>1418677620</v>
      </c>
      <c r="Y1723" s="4">
        <f>$E1723+17</f>
        <v>132</v>
      </c>
      <c r="Z1723" s="8">
        <f>IF($J1723=0,0,ROUND(MAX($J1723*1.4*1.5*1.6*1.6*2.2*2.715*2.6*1.4,6020000000*(1.651178^(MIN($E1723,123)-117)))*1,0))</f>
        <v>2208048987</v>
      </c>
      <c r="AA1723" s="6">
        <f>$E1723+19</f>
        <v>134</v>
      </c>
      <c r="AB1723" s="7">
        <f>IF($J1723=0,0,ROUND(MAX($J1723*1.4*1.5*1.6*1.6*2.2*2.715*2.6*1.4*1.4,8430000000*(1.651435^(MIN($E1723,123)-117)))*1,0))</f>
        <v>3091039859</v>
      </c>
      <c r="AC1723" s="4">
        <f>$E1723+21</f>
        <v>136</v>
      </c>
      <c r="AD1723" s="8">
        <f>IF($J1723=0,0,ROUND(MAX($J1723*1.4*1.5*1.6*1.6*2.2*2.715*2.6*1.4*1.4*1.5,12600000000*(1.652953^(MIN($E1723,123)-117)))*1,0))</f>
        <v>4611577749</v>
      </c>
      <c r="AE1723" s="6">
        <f>$E1723+24</f>
        <v>139</v>
      </c>
      <c r="AF1723" s="7">
        <f>IF($J1723=0,0,ROUND(MAX($J1723*1.4*1.5*1.6*1.6*2.2*2.715*2.6*1.4*1.4*1.5*1.5,18900000000*(1.65331^(MIN($E1723,123)-117)))*1,0))</f>
        <v>6914379606</v>
      </c>
      <c r="AG1723" s="4">
        <f>$E1723+27</f>
        <v>142</v>
      </c>
      <c r="AH1723" s="8">
        <f>IF($J1723=0,0,ROUND(MAX($J1723*1.4*1.5*1.6*1.6*2.2*2.715*2.6*1.4*1.4*1.5*1.5*3.2,60500000000*(1.654288^(MIN($E1723,123)-117)))*1,0))</f>
        <v>22107169230</v>
      </c>
    </row>
    <row r="1724" ht="27.75" customHeight="1" spans="1:34" x14ac:dyDescent="0.25">
      <c r="A1724" s="3">
        <v>1734</v>
      </c>
      <c r="B1724" s="3" t="s">
        <v>53</v>
      </c>
      <c r="C1724" s="3" t="s">
        <v>1175</v>
      </c>
      <c r="D1724" s="3" t="s">
        <v>25</v>
      </c>
      <c r="E1724" s="3">
        <v>115</v>
      </c>
      <c r="F1724" s="3" t="s">
        <v>54</v>
      </c>
      <c r="G1724" s="3" t="s">
        <v>1176</v>
      </c>
      <c r="H1724" s="3">
        <v>30</v>
      </c>
      <c r="I1724" s="4">
        <v>115</v>
      </c>
      <c r="J1724" s="5">
        <v>818000</v>
      </c>
      <c r="K1724" s="6">
        <f>$E1724+1</f>
        <v>116</v>
      </c>
      <c r="L1724" s="7">
        <f>IF($J1724=0,0,ROUND(MAX($J1724*1.4,1620000*(1.497923^(MIN($E1724,123)-117)))*1,0))</f>
        <v>1145200</v>
      </c>
      <c r="M1724" s="4">
        <f>$E1724+2</f>
        <v>117</v>
      </c>
      <c r="N1724" s="8">
        <f>IF($J1724=0,0,ROUND(MAX($J1724*1.4*1.5,2190000*(1.580994^(MIN($E1724,123)-117)))*1,0))</f>
        <v>1717800</v>
      </c>
      <c r="O1724" s="6">
        <f>$E1724+4</f>
        <v>119</v>
      </c>
      <c r="P1724" s="7">
        <f>IF($J1724=0,0,ROUND(MAX($J1724*1.4*1.5*1.6,3500000*(1.57975^(MIN($E1724,123)-117)))*1,0))</f>
        <v>2748480</v>
      </c>
      <c r="Q1724" s="4">
        <f>$E1724+6</f>
        <v>121</v>
      </c>
      <c r="R1724" s="8">
        <f>IF($J1724=0,0,ROUND(MAX($J1724*1.4*1.5*1.6*1.6,13100000*(1.429962^(MIN($E1724,123)-117)))*1,0))</f>
        <v>6406522</v>
      </c>
      <c r="S1724" s="6">
        <f>$E1724+8</f>
        <v>123</v>
      </c>
      <c r="T1724" s="7">
        <f>IF($J1724=0,0,ROUND(MAX($J1724*1.4*1.5*1.6*1.6*2.2,42600000*(1.576904^(MIN($E1724,123)-117)))*1,0))</f>
        <v>17131646</v>
      </c>
      <c r="U1724" s="4">
        <f>$E1724+11</f>
        <v>126</v>
      </c>
      <c r="V1724" s="8">
        <f>IF($J1724=0,0,ROUND(MAX($J1724*1.4*1.5*1.6*1.6*2.2*2.715,354000000*(1.642074^(MIN($E1724,123)-117)))*1,0))</f>
        <v>131285817</v>
      </c>
      <c r="W1724" s="6">
        <f>$E1724+15</f>
        <v>130</v>
      </c>
      <c r="X1724" s="7">
        <f>IF($J1724=0,0,ROUND(MAX($J1724*1.4*1.5*1.6*1.6*2.2*2.715*2.6,3540000000*(1.579646^(MIN($E1724,123)-117)))*1,0))</f>
        <v>1418677620</v>
      </c>
      <c r="Y1724" s="4">
        <f>$E1724+17</f>
        <v>132</v>
      </c>
      <c r="Z1724" s="8">
        <f>IF($J1724=0,0,ROUND(MAX($J1724*1.4*1.5*1.6*1.6*2.2*2.715*2.6*1.4,6020000000*(1.651178^(MIN($E1724,123)-117)))*1,0))</f>
        <v>2208048987</v>
      </c>
      <c r="AA1724" s="6">
        <f>$E1724+19</f>
        <v>134</v>
      </c>
      <c r="AB1724" s="7">
        <f>IF($J1724=0,0,ROUND(MAX($J1724*1.4*1.5*1.6*1.6*2.2*2.715*2.6*1.4*1.4,8430000000*(1.651435^(MIN($E1724,123)-117)))*1,0))</f>
        <v>3091039859</v>
      </c>
      <c r="AC1724" s="4">
        <f>$E1724+21</f>
        <v>136</v>
      </c>
      <c r="AD1724" s="8">
        <f>IF($J1724=0,0,ROUND(MAX($J1724*1.4*1.5*1.6*1.6*2.2*2.715*2.6*1.4*1.4*1.5,12600000000*(1.652953^(MIN($E1724,123)-117)))*1,0))</f>
        <v>4611577749</v>
      </c>
      <c r="AE1724" s="6">
        <f>$E1724+24</f>
        <v>139</v>
      </c>
      <c r="AF1724" s="7">
        <f>IF($J1724=0,0,ROUND(MAX($J1724*1.4*1.5*1.6*1.6*2.2*2.715*2.6*1.4*1.4*1.5*1.5,18900000000*(1.65331^(MIN($E1724,123)-117)))*1,0))</f>
        <v>6914379606</v>
      </c>
      <c r="AG1724" s="4">
        <f>$E1724+27</f>
        <v>142</v>
      </c>
      <c r="AH1724" s="8">
        <f>IF($J1724=0,0,ROUND(MAX($J1724*1.4*1.5*1.6*1.6*2.2*2.715*2.6*1.4*1.4*1.5*1.5*3.2,60500000000*(1.654288^(MIN($E1724,123)-117)))*1,0))</f>
        <v>22107169230</v>
      </c>
    </row>
    <row r="1725" ht="27.75" customHeight="1" spans="1:34" x14ac:dyDescent="0.25">
      <c r="A1725" s="3">
        <v>1735</v>
      </c>
      <c r="B1725" s="3" t="s">
        <v>157</v>
      </c>
      <c r="C1725" s="3" t="s">
        <v>1175</v>
      </c>
      <c r="D1725" s="3" t="s">
        <v>40</v>
      </c>
      <c r="E1725" s="3">
        <v>115</v>
      </c>
      <c r="F1725" s="3" t="s">
        <v>71</v>
      </c>
      <c r="G1725" s="3" t="s">
        <v>1176</v>
      </c>
      <c r="H1725" s="3">
        <v>29</v>
      </c>
      <c r="I1725" s="4">
        <v>115</v>
      </c>
      <c r="J1725" s="5">
        <v>777000</v>
      </c>
      <c r="K1725" s="6">
        <f>$E1725+1</f>
        <v>116</v>
      </c>
      <c r="L1725" s="7">
        <f>IF($J1725=0,0,ROUND(MAX($J1725*1.4,1620000*(1.497923^(MIN($E1725,123)-117)))*1,0))</f>
        <v>1087800</v>
      </c>
      <c r="M1725" s="4">
        <f>$E1725+2</f>
        <v>117</v>
      </c>
      <c r="N1725" s="8">
        <f>IF($J1725=0,0,ROUND(MAX($J1725*1.4*1.5,2190000*(1.580994^(MIN($E1725,123)-117)))*1,0))</f>
        <v>1631700</v>
      </c>
      <c r="O1725" s="6">
        <f>$E1725+4</f>
        <v>119</v>
      </c>
      <c r="P1725" s="7">
        <f>IF($J1725=0,0,ROUND(MAX($J1725*1.4*1.5*1.6,3500000*(1.57975^(MIN($E1725,123)-117)))*1,0))</f>
        <v>2610720</v>
      </c>
      <c r="Q1725" s="4">
        <f>$E1725+6</f>
        <v>121</v>
      </c>
      <c r="R1725" s="8">
        <f>IF($J1725=0,0,ROUND(MAX($J1725*1.4*1.5*1.6*1.6,13100000*(1.429962^(MIN($E1725,123)-117)))*1,0))</f>
        <v>6406522</v>
      </c>
      <c r="S1725" s="6">
        <f>$E1725+8</f>
        <v>123</v>
      </c>
      <c r="T1725" s="7">
        <f>IF($J1725=0,0,ROUND(MAX($J1725*1.4*1.5*1.6*1.6*2.2,42600000*(1.576904^(MIN($E1725,123)-117)))*1,0))</f>
        <v>17131646</v>
      </c>
      <c r="U1725" s="4">
        <f>$E1725+11</f>
        <v>126</v>
      </c>
      <c r="V1725" s="8">
        <f>IF($J1725=0,0,ROUND(MAX($J1725*1.4*1.5*1.6*1.6*2.2*2.715,354000000*(1.642074^(MIN($E1725,123)-117)))*1,0))</f>
        <v>131285817</v>
      </c>
      <c r="W1725" s="6">
        <f>$E1725+15</f>
        <v>130</v>
      </c>
      <c r="X1725" s="7">
        <f>IF($J1725=0,0,ROUND(MAX($J1725*1.4*1.5*1.6*1.6*2.2*2.715*2.6,3540000000*(1.579646^(MIN($E1725,123)-117)))*1,0))</f>
        <v>1418677620</v>
      </c>
      <c r="Y1725" s="4">
        <f>$E1725+17</f>
        <v>132</v>
      </c>
      <c r="Z1725" s="8">
        <f>IF($J1725=0,0,ROUND(MAX($J1725*1.4*1.5*1.6*1.6*2.2*2.715*2.6*1.4,6020000000*(1.651178^(MIN($E1725,123)-117)))*1,0))</f>
        <v>2208048987</v>
      </c>
      <c r="AA1725" s="6">
        <f>$E1725+19</f>
        <v>134</v>
      </c>
      <c r="AB1725" s="7">
        <f>IF($J1725=0,0,ROUND(MAX($J1725*1.4*1.5*1.6*1.6*2.2*2.715*2.6*1.4*1.4,8430000000*(1.651435^(MIN($E1725,123)-117)))*1,0))</f>
        <v>3091039859</v>
      </c>
      <c r="AC1725" s="4">
        <f>$E1725+21</f>
        <v>136</v>
      </c>
      <c r="AD1725" s="8">
        <f>IF($J1725=0,0,ROUND(MAX($J1725*1.4*1.5*1.6*1.6*2.2*2.715*2.6*1.4*1.4*1.5,12600000000*(1.652953^(MIN($E1725,123)-117)))*1,0))</f>
        <v>4611577749</v>
      </c>
      <c r="AE1725" s="6">
        <f>$E1725+24</f>
        <v>139</v>
      </c>
      <c r="AF1725" s="7">
        <f>IF($J1725=0,0,ROUND(MAX($J1725*1.4*1.5*1.6*1.6*2.2*2.715*2.6*1.4*1.4*1.5*1.5,18900000000*(1.65331^(MIN($E1725,123)-117)))*1,0))</f>
        <v>6914379606</v>
      </c>
      <c r="AG1725" s="4">
        <f>$E1725+27</f>
        <v>142</v>
      </c>
      <c r="AH1725" s="8">
        <f>IF($J1725=0,0,ROUND(MAX($J1725*1.4*1.5*1.6*1.6*2.2*2.715*2.6*1.4*1.4*1.5*1.5*3.2,60500000000*(1.654288^(MIN($E1725,123)-117)))*1,0))</f>
        <v>22107169230</v>
      </c>
    </row>
    <row r="1726" ht="27.75" customHeight="1" spans="1:34" x14ac:dyDescent="0.25">
      <c r="A1726" s="3">
        <v>1736</v>
      </c>
      <c r="B1726" s="3" t="s">
        <v>541</v>
      </c>
      <c r="C1726" s="3" t="s">
        <v>1175</v>
      </c>
      <c r="D1726" s="3" t="s">
        <v>40</v>
      </c>
      <c r="E1726" s="3">
        <v>115</v>
      </c>
      <c r="F1726" s="3" t="s">
        <v>54</v>
      </c>
      <c r="G1726" s="3" t="s">
        <v>472</v>
      </c>
      <c r="H1726" s="3">
        <v>29</v>
      </c>
      <c r="I1726" s="4">
        <v>115</v>
      </c>
      <c r="J1726" s="5">
        <v>803000</v>
      </c>
      <c r="K1726" s="6">
        <f>$E1726+1</f>
        <v>116</v>
      </c>
      <c r="L1726" s="7">
        <f>IF($J1726=0,0,ROUND(MAX($J1726*1.4,1620000*(1.497923^(MIN($E1726,123)-117)))*1,0))</f>
        <v>1124200</v>
      </c>
      <c r="M1726" s="4">
        <f>$E1726+2</f>
        <v>117</v>
      </c>
      <c r="N1726" s="8">
        <f>IF($J1726=0,0,ROUND(MAX($J1726*1.4*1.5,2190000*(1.580994^(MIN($E1726,123)-117)))*1,0))</f>
        <v>1686300</v>
      </c>
      <c r="O1726" s="6">
        <f>$E1726+4</f>
        <v>119</v>
      </c>
      <c r="P1726" s="7">
        <f>IF($J1726=0,0,ROUND(MAX($J1726*1.4*1.5*1.6,3500000*(1.57975^(MIN($E1726,123)-117)))*1,0))</f>
        <v>2698080</v>
      </c>
      <c r="Q1726" s="4">
        <f>$E1726+6</f>
        <v>121</v>
      </c>
      <c r="R1726" s="8">
        <f>IF($J1726=0,0,ROUND(MAX($J1726*1.4*1.5*1.6*1.6,13100000*(1.429962^(MIN($E1726,123)-117)))*1,0))</f>
        <v>6406522</v>
      </c>
      <c r="S1726" s="6">
        <f>$E1726+8</f>
        <v>123</v>
      </c>
      <c r="T1726" s="7">
        <f>IF($J1726=0,0,ROUND(MAX($J1726*1.4*1.5*1.6*1.6*2.2,42600000*(1.576904^(MIN($E1726,123)-117)))*1,0))</f>
        <v>17131646</v>
      </c>
      <c r="U1726" s="4">
        <f>$E1726+11</f>
        <v>126</v>
      </c>
      <c r="V1726" s="8">
        <f>IF($J1726=0,0,ROUND(MAX($J1726*1.4*1.5*1.6*1.6*2.2*2.715,354000000*(1.642074^(MIN($E1726,123)-117)))*1,0))</f>
        <v>131285817</v>
      </c>
      <c r="W1726" s="6">
        <f>$E1726+15</f>
        <v>130</v>
      </c>
      <c r="X1726" s="7">
        <f>IF($J1726=0,0,ROUND(MAX($J1726*1.4*1.5*1.6*1.6*2.2*2.715*2.6,3540000000*(1.579646^(MIN($E1726,123)-117)))*1,0))</f>
        <v>1418677620</v>
      </c>
      <c r="Y1726" s="4">
        <f>$E1726+17</f>
        <v>132</v>
      </c>
      <c r="Z1726" s="8">
        <f>IF($J1726=0,0,ROUND(MAX($J1726*1.4*1.5*1.6*1.6*2.2*2.715*2.6*1.4,6020000000*(1.651178^(MIN($E1726,123)-117)))*1,0))</f>
        <v>2208048987</v>
      </c>
      <c r="AA1726" s="6">
        <f>$E1726+19</f>
        <v>134</v>
      </c>
      <c r="AB1726" s="7">
        <f>IF($J1726=0,0,ROUND(MAX($J1726*1.4*1.5*1.6*1.6*2.2*2.715*2.6*1.4*1.4,8430000000*(1.651435^(MIN($E1726,123)-117)))*1,0))</f>
        <v>3091039859</v>
      </c>
      <c r="AC1726" s="4">
        <f>$E1726+21</f>
        <v>136</v>
      </c>
      <c r="AD1726" s="8">
        <f>IF($J1726=0,0,ROUND(MAX($J1726*1.4*1.5*1.6*1.6*2.2*2.715*2.6*1.4*1.4*1.5,12600000000*(1.652953^(MIN($E1726,123)-117)))*1,0))</f>
        <v>4611577749</v>
      </c>
      <c r="AE1726" s="6">
        <f>$E1726+24</f>
        <v>139</v>
      </c>
      <c r="AF1726" s="7">
        <f>IF($J1726=0,0,ROUND(MAX($J1726*1.4*1.5*1.6*1.6*2.2*2.715*2.6*1.4*1.4*1.5*1.5,18900000000*(1.65331^(MIN($E1726,123)-117)))*1,0))</f>
        <v>6914379606</v>
      </c>
      <c r="AG1726" s="4">
        <f>$E1726+27</f>
        <v>142</v>
      </c>
      <c r="AH1726" s="8">
        <f>IF($J1726=0,0,ROUND(MAX($J1726*1.4*1.5*1.6*1.6*2.2*2.715*2.6*1.4*1.4*1.5*1.5*3.2,60500000000*(1.654288^(MIN($E1726,123)-117)))*1,0))</f>
        <v>22107169230</v>
      </c>
    </row>
    <row r="1727" ht="27.75" customHeight="1" spans="1:34" x14ac:dyDescent="0.25">
      <c r="A1727" s="3">
        <v>1737</v>
      </c>
      <c r="B1727" s="3" t="s">
        <v>195</v>
      </c>
      <c r="C1727" s="3" t="s">
        <v>1175</v>
      </c>
      <c r="D1727" s="3" t="s">
        <v>40</v>
      </c>
      <c r="E1727" s="3">
        <v>115</v>
      </c>
      <c r="F1727" s="3" t="s">
        <v>42</v>
      </c>
      <c r="G1727" s="3" t="s">
        <v>1176</v>
      </c>
      <c r="H1727" s="3">
        <v>29</v>
      </c>
      <c r="I1727" s="4">
        <v>115</v>
      </c>
      <c r="J1727" s="5">
        <v>897000</v>
      </c>
      <c r="K1727" s="6">
        <f>$E1727+1</f>
        <v>116</v>
      </c>
      <c r="L1727" s="7">
        <f>IF($J1727=0,0,ROUND(MAX($J1727*1.4,1620000*(1.497923^(MIN($E1727,123)-117)))*1,0))</f>
        <v>1255800</v>
      </c>
      <c r="M1727" s="4">
        <f>$E1727+2</f>
        <v>117</v>
      </c>
      <c r="N1727" s="8">
        <f>IF($J1727=0,0,ROUND(MAX($J1727*1.4*1.5,2190000*(1.580994^(MIN($E1727,123)-117)))*1,0))</f>
        <v>1883700</v>
      </c>
      <c r="O1727" s="6">
        <f>$E1727+4</f>
        <v>119</v>
      </c>
      <c r="P1727" s="7">
        <f>IF($J1727=0,0,ROUND(MAX($J1727*1.4*1.5*1.6,3500000*(1.57975^(MIN($E1727,123)-117)))*1,0))</f>
        <v>3013920</v>
      </c>
      <c r="Q1727" s="4">
        <f>$E1727+6</f>
        <v>121</v>
      </c>
      <c r="R1727" s="8">
        <f>IF($J1727=0,0,ROUND(MAX($J1727*1.4*1.5*1.6*1.6,13100000*(1.429962^(MIN($E1727,123)-117)))*1,0))</f>
        <v>6406522</v>
      </c>
      <c r="S1727" s="6">
        <f>$E1727+8</f>
        <v>123</v>
      </c>
      <c r="T1727" s="7">
        <f>IF($J1727=0,0,ROUND(MAX($J1727*1.4*1.5*1.6*1.6*2.2,42600000*(1.576904^(MIN($E1727,123)-117)))*1,0))</f>
        <v>17131646</v>
      </c>
      <c r="U1727" s="4">
        <f>$E1727+11</f>
        <v>126</v>
      </c>
      <c r="V1727" s="8">
        <f>IF($J1727=0,0,ROUND(MAX($J1727*1.4*1.5*1.6*1.6*2.2*2.715,354000000*(1.642074^(MIN($E1727,123)-117)))*1,0))</f>
        <v>131285817</v>
      </c>
      <c r="W1727" s="6">
        <f>$E1727+15</f>
        <v>130</v>
      </c>
      <c r="X1727" s="7">
        <f>IF($J1727=0,0,ROUND(MAX($J1727*1.4*1.5*1.6*1.6*2.2*2.715*2.6,3540000000*(1.579646^(MIN($E1727,123)-117)))*1,0))</f>
        <v>1418677620</v>
      </c>
      <c r="Y1727" s="4">
        <f>$E1727+17</f>
        <v>132</v>
      </c>
      <c r="Z1727" s="8">
        <f>IF($J1727=0,0,ROUND(MAX($J1727*1.4*1.5*1.6*1.6*2.2*2.715*2.6*1.4,6020000000*(1.651178^(MIN($E1727,123)-117)))*1,0))</f>
        <v>2208048987</v>
      </c>
      <c r="AA1727" s="6">
        <f>$E1727+19</f>
        <v>134</v>
      </c>
      <c r="AB1727" s="7">
        <f>IF($J1727=0,0,ROUND(MAX($J1727*1.4*1.5*1.6*1.6*2.2*2.715*2.6*1.4*1.4,8430000000*(1.651435^(MIN($E1727,123)-117)))*1,0))</f>
        <v>3091039859</v>
      </c>
      <c r="AC1727" s="4">
        <f>$E1727+21</f>
        <v>136</v>
      </c>
      <c r="AD1727" s="8">
        <f>IF($J1727=0,0,ROUND(MAX($J1727*1.4*1.5*1.6*1.6*2.2*2.715*2.6*1.4*1.4*1.5,12600000000*(1.652953^(MIN($E1727,123)-117)))*1,0))</f>
        <v>4611577749</v>
      </c>
      <c r="AE1727" s="6">
        <f>$E1727+24</f>
        <v>139</v>
      </c>
      <c r="AF1727" s="7">
        <f>IF($J1727=0,0,ROUND(MAX($J1727*1.4*1.5*1.6*1.6*2.2*2.715*2.6*1.4*1.4*1.5*1.5,18900000000*(1.65331^(MIN($E1727,123)-117)))*1,0))</f>
        <v>6914379606</v>
      </c>
      <c r="AG1727" s="4">
        <f>$E1727+27</f>
        <v>142</v>
      </c>
      <c r="AH1727" s="8">
        <f>IF($J1727=0,0,ROUND(MAX($J1727*1.4*1.5*1.6*1.6*2.2*2.715*2.6*1.4*1.4*1.5*1.5*3.2,60500000000*(1.654288^(MIN($E1727,123)-117)))*1,0))</f>
        <v>22107169230</v>
      </c>
    </row>
    <row r="1728" ht="27.75" customHeight="1" spans="1:34" x14ac:dyDescent="0.25">
      <c r="A1728" s="3">
        <v>1738</v>
      </c>
      <c r="B1728" s="3" t="s">
        <v>148</v>
      </c>
      <c r="C1728" s="3" t="s">
        <v>1175</v>
      </c>
      <c r="D1728" s="3" t="s">
        <v>102</v>
      </c>
      <c r="E1728" s="3">
        <v>115</v>
      </c>
      <c r="F1728" s="3" t="s">
        <v>54</v>
      </c>
      <c r="G1728" s="3" t="s">
        <v>1176</v>
      </c>
      <c r="H1728" s="3">
        <v>29</v>
      </c>
      <c r="I1728" s="4">
        <v>115</v>
      </c>
      <c r="J1728" s="5">
        <v>907000</v>
      </c>
      <c r="K1728" s="6">
        <f>$E1728+1</f>
        <v>116</v>
      </c>
      <c r="L1728" s="7">
        <f>IF($J1728=0,0,ROUND(MAX($J1728*1.4,1620000*(1.497923^(MIN($E1728,123)-117)))*1,0))</f>
        <v>1269800</v>
      </c>
      <c r="M1728" s="4">
        <f>$E1728+2</f>
        <v>117</v>
      </c>
      <c r="N1728" s="8">
        <f>IF($J1728=0,0,ROUND(MAX($J1728*1.4*1.5,2190000*(1.580994^(MIN($E1728,123)-117)))*1,0))</f>
        <v>1904700</v>
      </c>
      <c r="O1728" s="6">
        <f>$E1728+4</f>
        <v>119</v>
      </c>
      <c r="P1728" s="7">
        <f>IF($J1728=0,0,ROUND(MAX($J1728*1.4*1.5*1.6,3500000*(1.57975^(MIN($E1728,123)-117)))*1,0))</f>
        <v>3047520</v>
      </c>
      <c r="Q1728" s="4">
        <f>$E1728+6</f>
        <v>121</v>
      </c>
      <c r="R1728" s="8">
        <f>IF($J1728=0,0,ROUND(MAX($J1728*1.4*1.5*1.6*1.6,13100000*(1.429962^(MIN($E1728,123)-117)))*1,0))</f>
        <v>6406522</v>
      </c>
      <c r="S1728" s="6">
        <f>$E1728+8</f>
        <v>123</v>
      </c>
      <c r="T1728" s="7">
        <f>IF($J1728=0,0,ROUND(MAX($J1728*1.4*1.5*1.6*1.6*2.2,42600000*(1.576904^(MIN($E1728,123)-117)))*1,0))</f>
        <v>17131646</v>
      </c>
      <c r="U1728" s="4">
        <f>$E1728+11</f>
        <v>126</v>
      </c>
      <c r="V1728" s="8">
        <f>IF($J1728=0,0,ROUND(MAX($J1728*1.4*1.5*1.6*1.6*2.2*2.715,354000000*(1.642074^(MIN($E1728,123)-117)))*1,0))</f>
        <v>131285817</v>
      </c>
      <c r="W1728" s="6">
        <f>$E1728+15</f>
        <v>130</v>
      </c>
      <c r="X1728" s="7">
        <f>IF($J1728=0,0,ROUND(MAX($J1728*1.4*1.5*1.6*1.6*2.2*2.715*2.6,3540000000*(1.579646^(MIN($E1728,123)-117)))*1,0))</f>
        <v>1418677620</v>
      </c>
      <c r="Y1728" s="4">
        <f>$E1728+17</f>
        <v>132</v>
      </c>
      <c r="Z1728" s="8">
        <f>IF($J1728=0,0,ROUND(MAX($J1728*1.4*1.5*1.6*1.6*2.2*2.715*2.6*1.4,6020000000*(1.651178^(MIN($E1728,123)-117)))*1,0))</f>
        <v>2208048987</v>
      </c>
      <c r="AA1728" s="6">
        <f>$E1728+19</f>
        <v>134</v>
      </c>
      <c r="AB1728" s="7">
        <f>IF($J1728=0,0,ROUND(MAX($J1728*1.4*1.5*1.6*1.6*2.2*2.715*2.6*1.4*1.4,8430000000*(1.651435^(MIN($E1728,123)-117)))*1,0))</f>
        <v>3091039859</v>
      </c>
      <c r="AC1728" s="4">
        <f>$E1728+21</f>
        <v>136</v>
      </c>
      <c r="AD1728" s="8">
        <f>IF($J1728=0,0,ROUND(MAX($J1728*1.4*1.5*1.6*1.6*2.2*2.715*2.6*1.4*1.4*1.5,12600000000*(1.652953^(MIN($E1728,123)-117)))*1,0))</f>
        <v>4611577749</v>
      </c>
      <c r="AE1728" s="6">
        <f>$E1728+24</f>
        <v>139</v>
      </c>
      <c r="AF1728" s="7">
        <f>IF($J1728=0,0,ROUND(MAX($J1728*1.4*1.5*1.6*1.6*2.2*2.715*2.6*1.4*1.4*1.5*1.5,18900000000*(1.65331^(MIN($E1728,123)-117)))*1,0))</f>
        <v>6914379606</v>
      </c>
      <c r="AG1728" s="4">
        <f>$E1728+27</f>
        <v>142</v>
      </c>
      <c r="AH1728" s="8">
        <f>IF($J1728=0,0,ROUND(MAX($J1728*1.4*1.5*1.6*1.6*2.2*2.715*2.6*1.4*1.4*1.5*1.5*3.2,60500000000*(1.654288^(MIN($E1728,123)-117)))*1,0))</f>
        <v>22107169230</v>
      </c>
    </row>
    <row r="1729" ht="27.75" customHeight="1" spans="1:34" x14ac:dyDescent="0.25">
      <c r="A1729" s="3">
        <v>1739</v>
      </c>
      <c r="B1729" s="3" t="s">
        <v>74</v>
      </c>
      <c r="C1729" s="3" t="s">
        <v>1175</v>
      </c>
      <c r="D1729" s="3" t="s">
        <v>75</v>
      </c>
      <c r="E1729" s="3">
        <v>115</v>
      </c>
      <c r="F1729" s="3" t="s">
        <v>62</v>
      </c>
      <c r="G1729" s="3" t="s">
        <v>1176</v>
      </c>
      <c r="H1729" s="3">
        <v>29</v>
      </c>
      <c r="I1729" s="4">
        <v>115</v>
      </c>
      <c r="J1729" s="5">
        <v>1250000</v>
      </c>
      <c r="K1729" s="6">
        <f>$E1729+1</f>
        <v>116</v>
      </c>
      <c r="L1729" s="7">
        <f>IF($J1729=0,0,ROUND(MAX($J1729*1.4,1620000*(1.497923^(MIN($E1729,123)-117)))*1,0))</f>
        <v>1750000</v>
      </c>
      <c r="M1729" s="4">
        <f>$E1729+2</f>
        <v>117</v>
      </c>
      <c r="N1729" s="8">
        <f>IF($J1729=0,0,ROUND(MAX($J1729*1.4*1.5,2190000*(1.580994^(MIN($E1729,123)-117)))*1,0))</f>
        <v>2625000</v>
      </c>
      <c r="O1729" s="6">
        <f>$E1729+4</f>
        <v>119</v>
      </c>
      <c r="P1729" s="7">
        <f>IF($J1729=0,0,ROUND(MAX($J1729*1.4*1.5*1.6,3500000*(1.57975^(MIN($E1729,123)-117)))*1,0))</f>
        <v>4200000</v>
      </c>
      <c r="Q1729" s="4">
        <f>$E1729+6</f>
        <v>121</v>
      </c>
      <c r="R1729" s="8">
        <f>IF($J1729=0,0,ROUND(MAX($J1729*1.4*1.5*1.6*1.6,13100000*(1.429962^(MIN($E1729,123)-117)))*1,0))</f>
        <v>6720000</v>
      </c>
      <c r="S1729" s="6">
        <f>$E1729+8</f>
        <v>123</v>
      </c>
      <c r="T1729" s="7">
        <f>IF($J1729=0,0,ROUND(MAX($J1729*1.4*1.5*1.6*1.6*2.2,42600000*(1.576904^(MIN($E1729,123)-117)))*1,0))</f>
        <v>17131646</v>
      </c>
      <c r="U1729" s="4">
        <f>$E1729+11</f>
        <v>126</v>
      </c>
      <c r="V1729" s="8">
        <f>IF($J1729=0,0,ROUND(MAX($J1729*1.4*1.5*1.6*1.6*2.2*2.715,354000000*(1.642074^(MIN($E1729,123)-117)))*1,0))</f>
        <v>131285817</v>
      </c>
      <c r="W1729" s="6">
        <f>$E1729+15</f>
        <v>130</v>
      </c>
      <c r="X1729" s="7">
        <f>IF($J1729=0,0,ROUND(MAX($J1729*1.4*1.5*1.6*1.6*2.2*2.715*2.6,3540000000*(1.579646^(MIN($E1729,123)-117)))*1,0))</f>
        <v>1418677620</v>
      </c>
      <c r="Y1729" s="4">
        <f>$E1729+17</f>
        <v>132</v>
      </c>
      <c r="Z1729" s="8">
        <f>IF($J1729=0,0,ROUND(MAX($J1729*1.4*1.5*1.6*1.6*2.2*2.715*2.6*1.4,6020000000*(1.651178^(MIN($E1729,123)-117)))*1,0))</f>
        <v>2208048987</v>
      </c>
      <c r="AA1729" s="6">
        <f>$E1729+19</f>
        <v>134</v>
      </c>
      <c r="AB1729" s="7">
        <f>IF($J1729=0,0,ROUND(MAX($J1729*1.4*1.5*1.6*1.6*2.2*2.715*2.6*1.4*1.4,8430000000*(1.651435^(MIN($E1729,123)-117)))*1,0))</f>
        <v>3091039859</v>
      </c>
      <c r="AC1729" s="4">
        <f>$E1729+21</f>
        <v>136</v>
      </c>
      <c r="AD1729" s="8">
        <f>IF($J1729=0,0,ROUND(MAX($J1729*1.4*1.5*1.6*1.6*2.2*2.715*2.6*1.4*1.4*1.5,12600000000*(1.652953^(MIN($E1729,123)-117)))*1,0))</f>
        <v>4611577749</v>
      </c>
      <c r="AE1729" s="6">
        <f>$E1729+24</f>
        <v>139</v>
      </c>
      <c r="AF1729" s="7">
        <f>IF($J1729=0,0,ROUND(MAX($J1729*1.4*1.5*1.6*1.6*2.2*2.715*2.6*1.4*1.4*1.5*1.5,18900000000*(1.65331^(MIN($E1729,123)-117)))*1,0))</f>
        <v>6914379606</v>
      </c>
      <c r="AG1729" s="4">
        <f>$E1729+27</f>
        <v>142</v>
      </c>
      <c r="AH1729" s="8">
        <f>IF($J1729=0,0,ROUND(MAX($J1729*1.4*1.5*1.6*1.6*2.2*2.715*2.6*1.4*1.4*1.5*1.5*3.2,60500000000*(1.654288^(MIN($E1729,123)-117)))*1,0))</f>
        <v>22107169230</v>
      </c>
    </row>
    <row r="1730" ht="27.75" customHeight="1" spans="1:34" x14ac:dyDescent="0.25">
      <c r="A1730" s="3">
        <v>1740</v>
      </c>
      <c r="B1730" s="3" t="s">
        <v>121</v>
      </c>
      <c r="C1730" s="3" t="s">
        <v>1175</v>
      </c>
      <c r="D1730" s="3" t="s">
        <v>79</v>
      </c>
      <c r="E1730" s="3">
        <v>115</v>
      </c>
      <c r="F1730" s="3" t="s">
        <v>62</v>
      </c>
      <c r="G1730" s="3" t="s">
        <v>1176</v>
      </c>
      <c r="H1730" s="3">
        <v>29</v>
      </c>
      <c r="I1730" s="4">
        <v>115</v>
      </c>
      <c r="J1730" s="5">
        <v>615000</v>
      </c>
      <c r="K1730" s="6">
        <f>$E1730+1</f>
        <v>116</v>
      </c>
      <c r="L1730" s="7">
        <f>IF($J1730=0,0,ROUND(MAX($J1730*1.4,1620000*(1.497923^(MIN($E1730,123)-117)))*1,0))</f>
        <v>861000</v>
      </c>
      <c r="M1730" s="4">
        <f>$E1730+2</f>
        <v>117</v>
      </c>
      <c r="N1730" s="8">
        <f>IF($J1730=0,0,ROUND(MAX($J1730*1.4*1.5,2190000*(1.580994^(MIN($E1730,123)-117)))*1,0))</f>
        <v>1291500</v>
      </c>
      <c r="O1730" s="6">
        <f>$E1730+4</f>
        <v>119</v>
      </c>
      <c r="P1730" s="7">
        <f>IF($J1730=0,0,ROUND(MAX($J1730*1.4*1.5*1.6,3500000*(1.57975^(MIN($E1730,123)-117)))*1,0))</f>
        <v>2066400</v>
      </c>
      <c r="Q1730" s="4">
        <f>$E1730+6</f>
        <v>121</v>
      </c>
      <c r="R1730" s="8">
        <f>IF($J1730=0,0,ROUND(MAX($J1730*1.4*1.5*1.6*1.6,13100000*(1.429962^(MIN($E1730,123)-117)))*1,0))</f>
        <v>6406522</v>
      </c>
      <c r="S1730" s="6">
        <f>$E1730+8</f>
        <v>123</v>
      </c>
      <c r="T1730" s="7">
        <f>IF($J1730=0,0,ROUND(MAX($J1730*1.4*1.5*1.6*1.6*2.2,42600000*(1.576904^(MIN($E1730,123)-117)))*1,0))</f>
        <v>17131646</v>
      </c>
      <c r="U1730" s="4">
        <f>$E1730+11</f>
        <v>126</v>
      </c>
      <c r="V1730" s="8">
        <f>IF($J1730=0,0,ROUND(MAX($J1730*1.4*1.5*1.6*1.6*2.2*2.715,354000000*(1.642074^(MIN($E1730,123)-117)))*1,0))</f>
        <v>131285817</v>
      </c>
      <c r="W1730" s="6">
        <f>$E1730+15</f>
        <v>130</v>
      </c>
      <c r="X1730" s="7">
        <f>IF($J1730=0,0,ROUND(MAX($J1730*1.4*1.5*1.6*1.6*2.2*2.715*2.6,3540000000*(1.579646^(MIN($E1730,123)-117)))*1,0))</f>
        <v>1418677620</v>
      </c>
      <c r="Y1730" s="4">
        <f>$E1730+17</f>
        <v>132</v>
      </c>
      <c r="Z1730" s="8">
        <f>IF($J1730=0,0,ROUND(MAX($J1730*1.4*1.5*1.6*1.6*2.2*2.715*2.6*1.4,6020000000*(1.651178^(MIN($E1730,123)-117)))*1,0))</f>
        <v>2208048987</v>
      </c>
      <c r="AA1730" s="6">
        <f>$E1730+19</f>
        <v>134</v>
      </c>
      <c r="AB1730" s="7">
        <f>IF($J1730=0,0,ROUND(MAX($J1730*1.4*1.5*1.6*1.6*2.2*2.715*2.6*1.4*1.4,8430000000*(1.651435^(MIN($E1730,123)-117)))*1,0))</f>
        <v>3091039859</v>
      </c>
      <c r="AC1730" s="4">
        <f>$E1730+21</f>
        <v>136</v>
      </c>
      <c r="AD1730" s="8">
        <f>IF($J1730=0,0,ROUND(MAX($J1730*1.4*1.5*1.6*1.6*2.2*2.715*2.6*1.4*1.4*1.5,12600000000*(1.652953^(MIN($E1730,123)-117)))*1,0))</f>
        <v>4611577749</v>
      </c>
      <c r="AE1730" s="6">
        <f>$E1730+24</f>
        <v>139</v>
      </c>
      <c r="AF1730" s="7">
        <f>IF($J1730=0,0,ROUND(MAX($J1730*1.4*1.5*1.6*1.6*2.2*2.715*2.6*1.4*1.4*1.5*1.5,18900000000*(1.65331^(MIN($E1730,123)-117)))*1,0))</f>
        <v>6914379606</v>
      </c>
      <c r="AG1730" s="4">
        <f>$E1730+27</f>
        <v>142</v>
      </c>
      <c r="AH1730" s="8">
        <f>IF($J1730=0,0,ROUND(MAX($J1730*1.4*1.5*1.6*1.6*2.2*2.715*2.6*1.4*1.4*1.5*1.5*3.2,60500000000*(1.654288^(MIN($E1730,123)-117)))*1,0))</f>
        <v>22107169230</v>
      </c>
    </row>
    <row r="1731" ht="27.75" customHeight="1" spans="1:34" x14ac:dyDescent="0.25">
      <c r="A1731" s="3">
        <v>1741</v>
      </c>
      <c r="B1731" s="3" t="s">
        <v>587</v>
      </c>
      <c r="C1731" s="3" t="s">
        <v>1175</v>
      </c>
      <c r="D1731" s="3" t="s">
        <v>79</v>
      </c>
      <c r="E1731" s="3">
        <v>115</v>
      </c>
      <c r="F1731" s="3" t="s">
        <v>30</v>
      </c>
      <c r="G1731" s="3" t="s">
        <v>38</v>
      </c>
      <c r="H1731" s="3">
        <v>28</v>
      </c>
      <c r="I1731" s="4">
        <v>115</v>
      </c>
      <c r="J1731" s="5">
        <v>798000</v>
      </c>
      <c r="K1731" s="6">
        <f>$E1731+1</f>
        <v>116</v>
      </c>
      <c r="L1731" s="7">
        <f>IF($J1731=0,0,ROUND(MAX($J1731*1.4,1620000*(1.497923^(MIN($E1731,123)-117)))*1,0))</f>
        <v>1117200</v>
      </c>
      <c r="M1731" s="4">
        <f>$E1731+2</f>
        <v>117</v>
      </c>
      <c r="N1731" s="8">
        <f>IF($J1731=0,0,ROUND(MAX($J1731*1.4*1.5,2190000*(1.580994^(MIN($E1731,123)-117)))*1,0))</f>
        <v>1675800</v>
      </c>
      <c r="O1731" s="6">
        <f>$E1731+4</f>
        <v>119</v>
      </c>
      <c r="P1731" s="7">
        <f>IF($J1731=0,0,ROUND(MAX($J1731*1.4*1.5*1.6,3500000*(1.57975^(MIN($E1731,123)-117)))*1,0))</f>
        <v>2681280</v>
      </c>
      <c r="Q1731" s="4">
        <f>$E1731+6</f>
        <v>121</v>
      </c>
      <c r="R1731" s="8">
        <f>IF($J1731=0,0,ROUND(MAX($J1731*1.4*1.5*1.6*1.6,13100000*(1.429962^(MIN($E1731,123)-117)))*1,0))</f>
        <v>6406522</v>
      </c>
      <c r="S1731" s="6">
        <f>$E1731+8</f>
        <v>123</v>
      </c>
      <c r="T1731" s="7">
        <f>IF($J1731=0,0,ROUND(MAX($J1731*1.4*1.5*1.6*1.6*2.2,42600000*(1.576904^(MIN($E1731,123)-117)))*1,0))</f>
        <v>17131646</v>
      </c>
      <c r="U1731" s="4">
        <f>$E1731+11</f>
        <v>126</v>
      </c>
      <c r="V1731" s="8">
        <f>IF($J1731=0,0,ROUND(MAX($J1731*1.4*1.5*1.6*1.6*2.2*2.715,354000000*(1.642074^(MIN($E1731,123)-117)))*1,0))</f>
        <v>131285817</v>
      </c>
      <c r="W1731" s="6">
        <f>$E1731+15</f>
        <v>130</v>
      </c>
      <c r="X1731" s="7">
        <f>IF($J1731=0,0,ROUND(MAX($J1731*1.4*1.5*1.6*1.6*2.2*2.715*2.6,3540000000*(1.579646^(MIN($E1731,123)-117)))*1,0))</f>
        <v>1418677620</v>
      </c>
      <c r="Y1731" s="4">
        <f>$E1731+17</f>
        <v>132</v>
      </c>
      <c r="Z1731" s="8">
        <f>IF($J1731=0,0,ROUND(MAX($J1731*1.4*1.5*1.6*1.6*2.2*2.715*2.6*1.4,6020000000*(1.651178^(MIN($E1731,123)-117)))*1,0))</f>
        <v>2208048987</v>
      </c>
      <c r="AA1731" s="6">
        <f>$E1731+19</f>
        <v>134</v>
      </c>
      <c r="AB1731" s="7">
        <f>IF($J1731=0,0,ROUND(MAX($J1731*1.4*1.5*1.6*1.6*2.2*2.715*2.6*1.4*1.4,8430000000*(1.651435^(MIN($E1731,123)-117)))*1,0))</f>
        <v>3091039859</v>
      </c>
      <c r="AC1731" s="4">
        <f>$E1731+21</f>
        <v>136</v>
      </c>
      <c r="AD1731" s="8">
        <f>IF($J1731=0,0,ROUND(MAX($J1731*1.4*1.5*1.6*1.6*2.2*2.715*2.6*1.4*1.4*1.5,12600000000*(1.652953^(MIN($E1731,123)-117)))*1,0))</f>
        <v>4611577749</v>
      </c>
      <c r="AE1731" s="6">
        <f>$E1731+24</f>
        <v>139</v>
      </c>
      <c r="AF1731" s="7">
        <f>IF($J1731=0,0,ROUND(MAX($J1731*1.4*1.5*1.6*1.6*2.2*2.715*2.6*1.4*1.4*1.5*1.5,18900000000*(1.65331^(MIN($E1731,123)-117)))*1,0))</f>
        <v>6914379606</v>
      </c>
      <c r="AG1731" s="4">
        <f>$E1731+27</f>
        <v>142</v>
      </c>
      <c r="AH1731" s="8">
        <f>IF($J1731=0,0,ROUND(MAX($J1731*1.4*1.5*1.6*1.6*2.2*2.715*2.6*1.4*1.4*1.5*1.5*3.2,60500000000*(1.654288^(MIN($E1731,123)-117)))*1,0))</f>
        <v>22107169230</v>
      </c>
    </row>
    <row r="1732" ht="27.75" customHeight="1" spans="1:34" x14ac:dyDescent="0.25">
      <c r="A1732" s="3">
        <v>1742</v>
      </c>
      <c r="B1732" s="3" t="s">
        <v>1178</v>
      </c>
      <c r="C1732" s="3" t="s">
        <v>1175</v>
      </c>
      <c r="D1732" s="3" t="s">
        <v>75</v>
      </c>
      <c r="E1732" s="3">
        <v>115</v>
      </c>
      <c r="F1732" s="3" t="s">
        <v>460</v>
      </c>
      <c r="G1732" s="3" t="s">
        <v>35</v>
      </c>
      <c r="H1732" s="3">
        <v>28</v>
      </c>
      <c r="I1732" s="4">
        <v>115</v>
      </c>
      <c r="J1732" s="5">
        <v>873000</v>
      </c>
      <c r="K1732" s="6">
        <f>$E1732+1</f>
        <v>116</v>
      </c>
      <c r="L1732" s="7">
        <f>IF($J1732=0,0,ROUND(MAX($J1732*1.4,1620000*(1.497923^(MIN($E1732,123)-117)))*1,0))</f>
        <v>1222200</v>
      </c>
      <c r="M1732" s="4">
        <f>$E1732+2</f>
        <v>117</v>
      </c>
      <c r="N1732" s="8">
        <f>IF($J1732=0,0,ROUND(MAX($J1732*1.4*1.5,2190000*(1.580994^(MIN($E1732,123)-117)))*1,0))</f>
        <v>1833300</v>
      </c>
      <c r="O1732" s="6">
        <f>$E1732+4</f>
        <v>119</v>
      </c>
      <c r="P1732" s="7">
        <f>IF($J1732=0,0,ROUND(MAX($J1732*1.4*1.5*1.6,3500000*(1.57975^(MIN($E1732,123)-117)))*1,0))</f>
        <v>2933280</v>
      </c>
      <c r="Q1732" s="4">
        <f>$E1732+6</f>
        <v>121</v>
      </c>
      <c r="R1732" s="8">
        <f>IF($J1732=0,0,ROUND(MAX($J1732*1.4*1.5*1.6*1.6,13100000*(1.429962^(MIN($E1732,123)-117)))*1,0))</f>
        <v>6406522</v>
      </c>
      <c r="S1732" s="6">
        <f>$E1732+8</f>
        <v>123</v>
      </c>
      <c r="T1732" s="7">
        <f>IF($J1732=0,0,ROUND(MAX($J1732*1.4*1.5*1.6*1.6*2.2,42600000*(1.576904^(MIN($E1732,123)-117)))*1,0))</f>
        <v>17131646</v>
      </c>
      <c r="U1732" s="4">
        <f>$E1732+11</f>
        <v>126</v>
      </c>
      <c r="V1732" s="8">
        <f>IF($J1732=0,0,ROUND(MAX($J1732*1.4*1.5*1.6*1.6*2.2*2.715,354000000*(1.642074^(MIN($E1732,123)-117)))*1,0))</f>
        <v>131285817</v>
      </c>
      <c r="W1732" s="6">
        <f>$E1732+15</f>
        <v>130</v>
      </c>
      <c r="X1732" s="7">
        <f>IF($J1732=0,0,ROUND(MAX($J1732*1.4*1.5*1.6*1.6*2.2*2.715*2.6,3540000000*(1.579646^(MIN($E1732,123)-117)))*1,0))</f>
        <v>1418677620</v>
      </c>
      <c r="Y1732" s="4">
        <f>$E1732+17</f>
        <v>132</v>
      </c>
      <c r="Z1732" s="8">
        <f>IF($J1732=0,0,ROUND(MAX($J1732*1.4*1.5*1.6*1.6*2.2*2.715*2.6*1.4,6020000000*(1.651178^(MIN($E1732,123)-117)))*1,0))</f>
        <v>2208048987</v>
      </c>
      <c r="AA1732" s="6">
        <f>$E1732+19</f>
        <v>134</v>
      </c>
      <c r="AB1732" s="7">
        <f>IF($J1732=0,0,ROUND(MAX($J1732*1.4*1.5*1.6*1.6*2.2*2.715*2.6*1.4*1.4,8430000000*(1.651435^(MIN($E1732,123)-117)))*1,0))</f>
        <v>3091039859</v>
      </c>
      <c r="AC1732" s="4">
        <f>$E1732+21</f>
        <v>136</v>
      </c>
      <c r="AD1732" s="8">
        <f>IF($J1732=0,0,ROUND(MAX($J1732*1.4*1.5*1.6*1.6*2.2*2.715*2.6*1.4*1.4*1.5,12600000000*(1.652953^(MIN($E1732,123)-117)))*1,0))</f>
        <v>4611577749</v>
      </c>
      <c r="AE1732" s="6">
        <f>$E1732+24</f>
        <v>139</v>
      </c>
      <c r="AF1732" s="7">
        <f>IF($J1732=0,0,ROUND(MAX($J1732*1.4*1.5*1.6*1.6*2.2*2.715*2.6*1.4*1.4*1.5*1.5,18900000000*(1.65331^(MIN($E1732,123)-117)))*1,0))</f>
        <v>6914379606</v>
      </c>
      <c r="AG1732" s="4">
        <f>$E1732+27</f>
        <v>142</v>
      </c>
      <c r="AH1732" s="8">
        <f>IF($J1732=0,0,ROUND(MAX($J1732*1.4*1.5*1.6*1.6*2.2*2.715*2.6*1.4*1.4*1.5*1.5*3.2,60500000000*(1.654288^(MIN($E1732,123)-117)))*1,0))</f>
        <v>22107169230</v>
      </c>
    </row>
    <row r="1733" ht="27.75" customHeight="1" spans="1:34" x14ac:dyDescent="0.25">
      <c r="A1733" s="3">
        <v>1743</v>
      </c>
      <c r="B1733" s="3" t="s">
        <v>694</v>
      </c>
      <c r="C1733" s="3" t="s">
        <v>1175</v>
      </c>
      <c r="D1733" s="3" t="s">
        <v>102</v>
      </c>
      <c r="E1733" s="3">
        <v>115</v>
      </c>
      <c r="F1733" s="3" t="s">
        <v>71</v>
      </c>
      <c r="G1733" s="3" t="s">
        <v>270</v>
      </c>
      <c r="H1733" s="3">
        <v>28</v>
      </c>
      <c r="I1733" s="4">
        <v>115</v>
      </c>
      <c r="J1733" s="5">
        <v>44300000</v>
      </c>
      <c r="K1733" s="6">
        <f>$E1733+1</f>
        <v>116</v>
      </c>
      <c r="L1733" s="7">
        <f>IF($J1733=0,0,ROUND(MAX($J1733*1.4,1620000*(1.497923^(MIN($E1733,123)-117)))*1,0))</f>
        <v>62020000</v>
      </c>
      <c r="M1733" s="4">
        <f>$E1733+2</f>
        <v>117</v>
      </c>
      <c r="N1733" s="8">
        <f>IF($J1733=0,0,ROUND(MAX($J1733*1.4*1.5,2190000*(1.580994^(MIN($E1733,123)-117)))*1,0))</f>
        <v>93030000</v>
      </c>
      <c r="O1733" s="6">
        <f>$E1733+4</f>
        <v>119</v>
      </c>
      <c r="P1733" s="7">
        <f>IF($J1733=0,0,ROUND(MAX($J1733*1.4*1.5*1.6,3500000*(1.57975^(MIN($E1733,123)-117)))*1,0))</f>
        <v>148848000</v>
      </c>
      <c r="Q1733" s="4">
        <f>$E1733+6</f>
        <v>121</v>
      </c>
      <c r="R1733" s="8">
        <f>IF($J1733=0,0,ROUND(MAX($J1733*1.4*1.5*1.6*1.6,13100000*(1.429962^(MIN($E1733,123)-117)))*1,0))</f>
        <v>238156800</v>
      </c>
      <c r="S1733" s="6">
        <f>$E1733+8</f>
        <v>123</v>
      </c>
      <c r="T1733" s="7">
        <f>IF($J1733=0,0,ROUND(MAX($J1733*1.4*1.5*1.6*1.6*2.2,42600000*(1.576904^(MIN($E1733,123)-117)))*1,0))</f>
        <v>523944960</v>
      </c>
      <c r="U1733" s="4">
        <f>$E1733+11</f>
        <v>126</v>
      </c>
      <c r="V1733" s="8">
        <f>IF($J1733=0,0,ROUND(MAX($J1733*1.4*1.5*1.6*1.6*2.2*2.715,354000000*(1.642074^(MIN($E1733,123)-117)))*1,0))</f>
        <v>1422510566</v>
      </c>
      <c r="W1733" s="6">
        <f>$E1733+15</f>
        <v>130</v>
      </c>
      <c r="X1733" s="7">
        <f>IF($J1733=0,0,ROUND(MAX($J1733*1.4*1.5*1.6*1.6*2.2*2.715*2.6,3540000000*(1.579646^(MIN($E1733,123)-117)))*1,0))</f>
        <v>3698527473</v>
      </c>
      <c r="Y1733" s="4">
        <f>$E1733+17</f>
        <v>132</v>
      </c>
      <c r="Z1733" s="8">
        <f>IF($J1733=0,0,ROUND(MAX($J1733*1.4*1.5*1.6*1.6*2.2*2.715*2.6*1.4,6020000000*(1.651178^(MIN($E1733,123)-117)))*1,0))</f>
        <v>5177938462</v>
      </c>
      <c r="AA1733" s="6">
        <f>$E1733+19</f>
        <v>134</v>
      </c>
      <c r="AB1733" s="7">
        <f>IF($J1733=0,0,ROUND(MAX($J1733*1.4*1.5*1.6*1.6*2.2*2.715*2.6*1.4*1.4,8430000000*(1.651435^(MIN($E1733,123)-117)))*1,0))</f>
        <v>7249113846</v>
      </c>
      <c r="AC1733" s="4">
        <f>$E1733+21</f>
        <v>136</v>
      </c>
      <c r="AD1733" s="8">
        <f>IF($J1733=0,0,ROUND(MAX($J1733*1.4*1.5*1.6*1.6*2.2*2.715*2.6*1.4*1.4*1.5,12600000000*(1.652953^(MIN($E1733,123)-117)))*1,0))</f>
        <v>10873670770</v>
      </c>
      <c r="AE1733" s="6">
        <f>$E1733+24</f>
        <v>139</v>
      </c>
      <c r="AF1733" s="7">
        <f>IF($J1733=0,0,ROUND(MAX($J1733*1.4*1.5*1.6*1.6*2.2*2.715*2.6*1.4*1.4*1.5*1.5,18900000000*(1.65331^(MIN($E1733,123)-117)))*1,0))</f>
        <v>16310506154</v>
      </c>
      <c r="AG1733" s="4">
        <f>$E1733+27</f>
        <v>142</v>
      </c>
      <c r="AH1733" s="8">
        <f>IF($J1733=0,0,ROUND(MAX($J1733*1.4*1.5*1.6*1.6*2.2*2.715*2.6*1.4*1.4*1.5*1.5*3.2,60500000000*(1.654288^(MIN($E1733,123)-117)))*1,0))</f>
        <v>52193619694</v>
      </c>
    </row>
    <row r="1734" ht="27.75" customHeight="1" spans="1:34" x14ac:dyDescent="0.25">
      <c r="A1734" s="3">
        <v>1744</v>
      </c>
      <c r="B1734" s="3" t="s">
        <v>94</v>
      </c>
      <c r="C1734" s="3" t="s">
        <v>1175</v>
      </c>
      <c r="D1734" s="3" t="s">
        <v>64</v>
      </c>
      <c r="E1734" s="3">
        <v>115</v>
      </c>
      <c r="F1734" s="3" t="s">
        <v>42</v>
      </c>
      <c r="G1734" s="3" t="s">
        <v>1176</v>
      </c>
      <c r="H1734" s="3">
        <v>28</v>
      </c>
      <c r="I1734" s="4">
        <v>115</v>
      </c>
      <c r="J1734" s="5">
        <v>1035000</v>
      </c>
      <c r="K1734" s="6">
        <f>$E1734+1</f>
        <v>116</v>
      </c>
      <c r="L1734" s="7">
        <f>IF($J1734=0,0,ROUND(MAX($J1734*1.4,1620000*(1.497923^(MIN($E1734,123)-117)))*1,0))</f>
        <v>1449000</v>
      </c>
      <c r="M1734" s="4">
        <f>$E1734+2</f>
        <v>117</v>
      </c>
      <c r="N1734" s="8">
        <f>IF($J1734=0,0,ROUND(MAX($J1734*1.4*1.5,2190000*(1.580994^(MIN($E1734,123)-117)))*1,0))</f>
        <v>2173500</v>
      </c>
      <c r="O1734" s="6">
        <f>$E1734+4</f>
        <v>119</v>
      </c>
      <c r="P1734" s="7">
        <f>IF($J1734=0,0,ROUND(MAX($J1734*1.4*1.5*1.6,3500000*(1.57975^(MIN($E1734,123)-117)))*1,0))</f>
        <v>3477600</v>
      </c>
      <c r="Q1734" s="4">
        <f>$E1734+6</f>
        <v>121</v>
      </c>
      <c r="R1734" s="8">
        <f>IF($J1734=0,0,ROUND(MAX($J1734*1.4*1.5*1.6*1.6,13100000*(1.429962^(MIN($E1734,123)-117)))*1,0))</f>
        <v>6406522</v>
      </c>
      <c r="S1734" s="6">
        <f>$E1734+8</f>
        <v>123</v>
      </c>
      <c r="T1734" s="7">
        <f>IF($J1734=0,0,ROUND(MAX($J1734*1.4*1.5*1.6*1.6*2.2,42600000*(1.576904^(MIN($E1734,123)-117)))*1,0))</f>
        <v>17131646</v>
      </c>
      <c r="U1734" s="4">
        <f>$E1734+11</f>
        <v>126</v>
      </c>
      <c r="V1734" s="8">
        <f>IF($J1734=0,0,ROUND(MAX($J1734*1.4*1.5*1.6*1.6*2.2*2.715,354000000*(1.642074^(MIN($E1734,123)-117)))*1,0))</f>
        <v>131285817</v>
      </c>
      <c r="W1734" s="6">
        <f>$E1734+15</f>
        <v>130</v>
      </c>
      <c r="X1734" s="7">
        <f>IF($J1734=0,0,ROUND(MAX($J1734*1.4*1.5*1.6*1.6*2.2*2.715*2.6,3540000000*(1.579646^(MIN($E1734,123)-117)))*1,0))</f>
        <v>1418677620</v>
      </c>
      <c r="Y1734" s="4">
        <f>$E1734+17</f>
        <v>132</v>
      </c>
      <c r="Z1734" s="8">
        <f>IF($J1734=0,0,ROUND(MAX($J1734*1.4*1.5*1.6*1.6*2.2*2.715*2.6*1.4,6020000000*(1.651178^(MIN($E1734,123)-117)))*1,0))</f>
        <v>2208048987</v>
      </c>
      <c r="AA1734" s="6">
        <f>$E1734+19</f>
        <v>134</v>
      </c>
      <c r="AB1734" s="7">
        <f>IF($J1734=0,0,ROUND(MAX($J1734*1.4*1.5*1.6*1.6*2.2*2.715*2.6*1.4*1.4,8430000000*(1.651435^(MIN($E1734,123)-117)))*1,0))</f>
        <v>3091039859</v>
      </c>
      <c r="AC1734" s="4">
        <f>$E1734+21</f>
        <v>136</v>
      </c>
      <c r="AD1734" s="8">
        <f>IF($J1734=0,0,ROUND(MAX($J1734*1.4*1.5*1.6*1.6*2.2*2.715*2.6*1.4*1.4*1.5,12600000000*(1.652953^(MIN($E1734,123)-117)))*1,0))</f>
        <v>4611577749</v>
      </c>
      <c r="AE1734" s="6">
        <f>$E1734+24</f>
        <v>139</v>
      </c>
      <c r="AF1734" s="7">
        <f>IF($J1734=0,0,ROUND(MAX($J1734*1.4*1.5*1.6*1.6*2.2*2.715*2.6*1.4*1.4*1.5*1.5,18900000000*(1.65331^(MIN($E1734,123)-117)))*1,0))</f>
        <v>6914379606</v>
      </c>
      <c r="AG1734" s="4">
        <f>$E1734+27</f>
        <v>142</v>
      </c>
      <c r="AH1734" s="8">
        <f>IF($J1734=0,0,ROUND(MAX($J1734*1.4*1.5*1.6*1.6*2.2*2.715*2.6*1.4*1.4*1.5*1.5*3.2,60500000000*(1.654288^(MIN($E1734,123)-117)))*1,0))</f>
        <v>22107169230</v>
      </c>
    </row>
    <row r="1735" ht="27.75" customHeight="1" spans="1:34" x14ac:dyDescent="0.25">
      <c r="A1735" s="3">
        <v>1745</v>
      </c>
      <c r="B1735" s="3" t="s">
        <v>92</v>
      </c>
      <c r="C1735" s="3" t="s">
        <v>1175</v>
      </c>
      <c r="D1735" s="3" t="s">
        <v>93</v>
      </c>
      <c r="E1735" s="3">
        <v>115</v>
      </c>
      <c r="F1735" s="3" t="s">
        <v>56</v>
      </c>
      <c r="G1735" s="3" t="s">
        <v>1176</v>
      </c>
      <c r="H1735" s="3">
        <v>28</v>
      </c>
      <c r="I1735" s="4">
        <v>115</v>
      </c>
      <c r="J1735" s="5">
        <v>741000</v>
      </c>
      <c r="K1735" s="6">
        <f>$E1735+1</f>
        <v>116</v>
      </c>
      <c r="L1735" s="7">
        <f>IF($J1735=0,0,ROUND(MAX($J1735*1.4,1620000*(1.497923^(MIN($E1735,123)-117)))*1,0))</f>
        <v>1037400</v>
      </c>
      <c r="M1735" s="4">
        <f>$E1735+2</f>
        <v>117</v>
      </c>
      <c r="N1735" s="8">
        <f>IF($J1735=0,0,ROUND(MAX($J1735*1.4*1.5,2190000*(1.580994^(MIN($E1735,123)-117)))*1,0))</f>
        <v>1556100</v>
      </c>
      <c r="O1735" s="6">
        <f>$E1735+4</f>
        <v>119</v>
      </c>
      <c r="P1735" s="7">
        <f>IF($J1735=0,0,ROUND(MAX($J1735*1.4*1.5*1.6,3500000*(1.57975^(MIN($E1735,123)-117)))*1,0))</f>
        <v>2489760</v>
      </c>
      <c r="Q1735" s="4">
        <f>$E1735+6</f>
        <v>121</v>
      </c>
      <c r="R1735" s="8">
        <f>IF($J1735=0,0,ROUND(MAX($J1735*1.4*1.5*1.6*1.6,13100000*(1.429962^(MIN($E1735,123)-117)))*1,0))</f>
        <v>6406522</v>
      </c>
      <c r="S1735" s="6">
        <f>$E1735+8</f>
        <v>123</v>
      </c>
      <c r="T1735" s="7">
        <f>IF($J1735=0,0,ROUND(MAX($J1735*1.4*1.5*1.6*1.6*2.2,42600000*(1.576904^(MIN($E1735,123)-117)))*1,0))</f>
        <v>17131646</v>
      </c>
      <c r="U1735" s="4">
        <f>$E1735+11</f>
        <v>126</v>
      </c>
      <c r="V1735" s="8">
        <f>IF($J1735=0,0,ROUND(MAX($J1735*1.4*1.5*1.6*1.6*2.2*2.715,354000000*(1.642074^(MIN($E1735,123)-117)))*1,0))</f>
        <v>131285817</v>
      </c>
      <c r="W1735" s="6">
        <f>$E1735+15</f>
        <v>130</v>
      </c>
      <c r="X1735" s="7">
        <f>IF($J1735=0,0,ROUND(MAX($J1735*1.4*1.5*1.6*1.6*2.2*2.715*2.6,3540000000*(1.579646^(MIN($E1735,123)-117)))*1,0))</f>
        <v>1418677620</v>
      </c>
      <c r="Y1735" s="4">
        <f>$E1735+17</f>
        <v>132</v>
      </c>
      <c r="Z1735" s="8">
        <f>IF($J1735=0,0,ROUND(MAX($J1735*1.4*1.5*1.6*1.6*2.2*2.715*2.6*1.4,6020000000*(1.651178^(MIN($E1735,123)-117)))*1,0))</f>
        <v>2208048987</v>
      </c>
      <c r="AA1735" s="6">
        <f>$E1735+19</f>
        <v>134</v>
      </c>
      <c r="AB1735" s="7">
        <f>IF($J1735=0,0,ROUND(MAX($J1735*1.4*1.5*1.6*1.6*2.2*2.715*2.6*1.4*1.4,8430000000*(1.651435^(MIN($E1735,123)-117)))*1,0))</f>
        <v>3091039859</v>
      </c>
      <c r="AC1735" s="4">
        <f>$E1735+21</f>
        <v>136</v>
      </c>
      <c r="AD1735" s="8">
        <f>IF($J1735=0,0,ROUND(MAX($J1735*1.4*1.5*1.6*1.6*2.2*2.715*2.6*1.4*1.4*1.5,12600000000*(1.652953^(MIN($E1735,123)-117)))*1,0))</f>
        <v>4611577749</v>
      </c>
      <c r="AE1735" s="6">
        <f>$E1735+24</f>
        <v>139</v>
      </c>
      <c r="AF1735" s="7">
        <f>IF($J1735=0,0,ROUND(MAX($J1735*1.4*1.5*1.6*1.6*2.2*2.715*2.6*1.4*1.4*1.5*1.5,18900000000*(1.65331^(MIN($E1735,123)-117)))*1,0))</f>
        <v>6914379606</v>
      </c>
      <c r="AG1735" s="4">
        <f>$E1735+27</f>
        <v>142</v>
      </c>
      <c r="AH1735" s="8">
        <f>IF($J1735=0,0,ROUND(MAX($J1735*1.4*1.5*1.6*1.6*2.2*2.715*2.6*1.4*1.4*1.5*1.5*3.2,60500000000*(1.654288^(MIN($E1735,123)-117)))*1,0))</f>
        <v>22107169230</v>
      </c>
    </row>
    <row r="1736" ht="27.75" customHeight="1" spans="1:34" x14ac:dyDescent="0.25">
      <c r="A1736" s="3">
        <v>1746</v>
      </c>
      <c r="B1736" s="3" t="s">
        <v>775</v>
      </c>
      <c r="C1736" s="3" t="s">
        <v>1175</v>
      </c>
      <c r="D1736" s="3" t="s">
        <v>75</v>
      </c>
      <c r="E1736" s="3">
        <v>115</v>
      </c>
      <c r="F1736" s="3" t="s">
        <v>400</v>
      </c>
      <c r="G1736" s="3" t="s">
        <v>38</v>
      </c>
      <c r="H1736" s="3">
        <v>27</v>
      </c>
      <c r="I1736" s="4">
        <v>115</v>
      </c>
      <c r="J1736" s="5">
        <v>1140000</v>
      </c>
      <c r="K1736" s="6">
        <f>$E1736+1</f>
        <v>116</v>
      </c>
      <c r="L1736" s="7">
        <f>IF($J1736=0,0,ROUND(MAX($J1736*1.4,1620000*(1.497923^(MIN($E1736,123)-117)))*1,0))</f>
        <v>1596000</v>
      </c>
      <c r="M1736" s="4">
        <f>$E1736+2</f>
        <v>117</v>
      </c>
      <c r="N1736" s="8">
        <f>IF($J1736=0,0,ROUND(MAX($J1736*1.4*1.5,2190000*(1.580994^(MIN($E1736,123)-117)))*1,0))</f>
        <v>2394000</v>
      </c>
      <c r="O1736" s="6">
        <f>$E1736+4</f>
        <v>119</v>
      </c>
      <c r="P1736" s="7">
        <f>IF($J1736=0,0,ROUND(MAX($J1736*1.4*1.5*1.6,3500000*(1.57975^(MIN($E1736,123)-117)))*1,0))</f>
        <v>3830400</v>
      </c>
      <c r="Q1736" s="4">
        <f>$E1736+6</f>
        <v>121</v>
      </c>
      <c r="R1736" s="8">
        <f>IF($J1736=0,0,ROUND(MAX($J1736*1.4*1.5*1.6*1.6,13100000*(1.429962^(MIN($E1736,123)-117)))*1,0))</f>
        <v>6406522</v>
      </c>
      <c r="S1736" s="6">
        <f>$E1736+8</f>
        <v>123</v>
      </c>
      <c r="T1736" s="7">
        <f>IF($J1736=0,0,ROUND(MAX($J1736*1.4*1.5*1.6*1.6*2.2,42600000*(1.576904^(MIN($E1736,123)-117)))*1,0))</f>
        <v>17131646</v>
      </c>
      <c r="U1736" s="4">
        <f>$E1736+11</f>
        <v>126</v>
      </c>
      <c r="V1736" s="8">
        <f>IF($J1736=0,0,ROUND(MAX($J1736*1.4*1.5*1.6*1.6*2.2*2.715,354000000*(1.642074^(MIN($E1736,123)-117)))*1,0))</f>
        <v>131285817</v>
      </c>
      <c r="W1736" s="6">
        <f>$E1736+15</f>
        <v>130</v>
      </c>
      <c r="X1736" s="7">
        <f>IF($J1736=0,0,ROUND(MAX($J1736*1.4*1.5*1.6*1.6*2.2*2.715*2.6,3540000000*(1.579646^(MIN($E1736,123)-117)))*1,0))</f>
        <v>1418677620</v>
      </c>
      <c r="Y1736" s="4">
        <f>$E1736+17</f>
        <v>132</v>
      </c>
      <c r="Z1736" s="8">
        <f>IF($J1736=0,0,ROUND(MAX($J1736*1.4*1.5*1.6*1.6*2.2*2.715*2.6*1.4,6020000000*(1.651178^(MIN($E1736,123)-117)))*1,0))</f>
        <v>2208048987</v>
      </c>
      <c r="AA1736" s="6">
        <f>$E1736+19</f>
        <v>134</v>
      </c>
      <c r="AB1736" s="7">
        <f>IF($J1736=0,0,ROUND(MAX($J1736*1.4*1.5*1.6*1.6*2.2*2.715*2.6*1.4*1.4,8430000000*(1.651435^(MIN($E1736,123)-117)))*1,0))</f>
        <v>3091039859</v>
      </c>
      <c r="AC1736" s="4">
        <f>$E1736+21</f>
        <v>136</v>
      </c>
      <c r="AD1736" s="8">
        <f>IF($J1736=0,0,ROUND(MAX($J1736*1.4*1.5*1.6*1.6*2.2*2.715*2.6*1.4*1.4*1.5,12600000000*(1.652953^(MIN($E1736,123)-117)))*1,0))</f>
        <v>4611577749</v>
      </c>
      <c r="AE1736" s="6">
        <f>$E1736+24</f>
        <v>139</v>
      </c>
      <c r="AF1736" s="7">
        <f>IF($J1736=0,0,ROUND(MAX($J1736*1.4*1.5*1.6*1.6*2.2*2.715*2.6*1.4*1.4*1.5*1.5,18900000000*(1.65331^(MIN($E1736,123)-117)))*1,0))</f>
        <v>6914379606</v>
      </c>
      <c r="AG1736" s="4">
        <f>$E1736+27</f>
        <v>142</v>
      </c>
      <c r="AH1736" s="8">
        <f>IF($J1736=0,0,ROUND(MAX($J1736*1.4*1.5*1.6*1.6*2.2*2.715*2.6*1.4*1.4*1.5*1.5*3.2,60500000000*(1.654288^(MIN($E1736,123)-117)))*1,0))</f>
        <v>22107169230</v>
      </c>
    </row>
    <row r="1737" ht="27.75" customHeight="1" spans="1:34" x14ac:dyDescent="0.25">
      <c r="A1737" s="3">
        <v>1747</v>
      </c>
      <c r="B1737" s="3" t="s">
        <v>66</v>
      </c>
      <c r="C1737" s="3" t="s">
        <v>1175</v>
      </c>
      <c r="D1737" s="3" t="s">
        <v>47</v>
      </c>
      <c r="E1737" s="3">
        <v>115</v>
      </c>
      <c r="F1737" s="3" t="s">
        <v>62</v>
      </c>
      <c r="G1737" s="3" t="s">
        <v>1176</v>
      </c>
      <c r="H1737" s="3">
        <v>25</v>
      </c>
      <c r="I1737" s="4">
        <v>115</v>
      </c>
      <c r="J1737" s="5">
        <v>810000</v>
      </c>
      <c r="K1737" s="6">
        <f>$E1737+1</f>
        <v>116</v>
      </c>
      <c r="L1737" s="7">
        <f>IF($J1737=0,0,ROUND(MAX($J1737*1.4,1620000*(1.497923^(MIN($E1737,123)-117)))*1,0))</f>
        <v>1134000</v>
      </c>
      <c r="M1737" s="4">
        <f>$E1737+2</f>
        <v>117</v>
      </c>
      <c r="N1737" s="8">
        <f>IF($J1737=0,0,ROUND(MAX($J1737*1.4*1.5,2190000*(1.580994^(MIN($E1737,123)-117)))*1,0))</f>
        <v>1701000</v>
      </c>
      <c r="O1737" s="6">
        <f>$E1737+4</f>
        <v>119</v>
      </c>
      <c r="P1737" s="7">
        <f>IF($J1737=0,0,ROUND(MAX($J1737*1.4*1.5*1.6,3500000*(1.57975^(MIN($E1737,123)-117)))*1,0))</f>
        <v>2721600</v>
      </c>
      <c r="Q1737" s="4">
        <f>$E1737+6</f>
        <v>121</v>
      </c>
      <c r="R1737" s="8">
        <f>IF($J1737=0,0,ROUND(MAX($J1737*1.4*1.5*1.6*1.6,13100000*(1.429962^(MIN($E1737,123)-117)))*1,0))</f>
        <v>6406522</v>
      </c>
      <c r="S1737" s="6">
        <f>$E1737+8</f>
        <v>123</v>
      </c>
      <c r="T1737" s="7">
        <f>IF($J1737=0,0,ROUND(MAX($J1737*1.4*1.5*1.6*1.6*2.2,42600000*(1.576904^(MIN($E1737,123)-117)))*1,0))</f>
        <v>17131646</v>
      </c>
      <c r="U1737" s="4">
        <f>$E1737+11</f>
        <v>126</v>
      </c>
      <c r="V1737" s="8">
        <f>IF($J1737=0,0,ROUND(MAX($J1737*1.4*1.5*1.6*1.6*2.2*2.715,354000000*(1.642074^(MIN($E1737,123)-117)))*1,0))</f>
        <v>131285817</v>
      </c>
      <c r="W1737" s="6">
        <f>$E1737+15</f>
        <v>130</v>
      </c>
      <c r="X1737" s="7">
        <f>IF($J1737=0,0,ROUND(MAX($J1737*1.4*1.5*1.6*1.6*2.2*2.715*2.6,3540000000*(1.579646^(MIN($E1737,123)-117)))*1,0))</f>
        <v>1418677620</v>
      </c>
      <c r="Y1737" s="4">
        <f>$E1737+17</f>
        <v>132</v>
      </c>
      <c r="Z1737" s="8">
        <f>IF($J1737=0,0,ROUND(MAX($J1737*1.4*1.5*1.6*1.6*2.2*2.715*2.6*1.4,6020000000*(1.651178^(MIN($E1737,123)-117)))*1,0))</f>
        <v>2208048987</v>
      </c>
      <c r="AA1737" s="6">
        <f>$E1737+19</f>
        <v>134</v>
      </c>
      <c r="AB1737" s="7">
        <f>IF($J1737=0,0,ROUND(MAX($J1737*1.4*1.5*1.6*1.6*2.2*2.715*2.6*1.4*1.4,8430000000*(1.651435^(MIN($E1737,123)-117)))*1,0))</f>
        <v>3091039859</v>
      </c>
      <c r="AC1737" s="4">
        <f>$E1737+21</f>
        <v>136</v>
      </c>
      <c r="AD1737" s="8">
        <f>IF($J1737=0,0,ROUND(MAX($J1737*1.4*1.5*1.6*1.6*2.2*2.715*2.6*1.4*1.4*1.5,12600000000*(1.652953^(MIN($E1737,123)-117)))*1,0))</f>
        <v>4611577749</v>
      </c>
      <c r="AE1737" s="6">
        <f>$E1737+24</f>
        <v>139</v>
      </c>
      <c r="AF1737" s="7">
        <f>IF($J1737=0,0,ROUND(MAX($J1737*1.4*1.5*1.6*1.6*2.2*2.715*2.6*1.4*1.4*1.5*1.5,18900000000*(1.65331^(MIN($E1737,123)-117)))*1,0))</f>
        <v>6914379606</v>
      </c>
      <c r="AG1737" s="4">
        <f>$E1737+27</f>
        <v>142</v>
      </c>
      <c r="AH1737" s="8">
        <f>IF($J1737=0,0,ROUND(MAX($J1737*1.4*1.5*1.6*1.6*2.2*2.715*2.6*1.4*1.4*1.5*1.5*3.2,60500000000*(1.654288^(MIN($E1737,123)-117)))*1,0))</f>
        <v>22107169230</v>
      </c>
    </row>
    <row r="1738" ht="27.75" customHeight="1" spans="1:34" x14ac:dyDescent="0.25">
      <c r="A1738" s="3">
        <v>1748</v>
      </c>
      <c r="B1738" s="3" t="s">
        <v>91</v>
      </c>
      <c r="C1738" s="3" t="s">
        <v>1175</v>
      </c>
      <c r="D1738" s="3" t="s">
        <v>47</v>
      </c>
      <c r="E1738" s="3">
        <v>115</v>
      </c>
      <c r="F1738" s="3" t="s">
        <v>71</v>
      </c>
      <c r="G1738" s="3" t="s">
        <v>1176</v>
      </c>
      <c r="H1738" s="3">
        <v>24</v>
      </c>
      <c r="I1738" s="4">
        <v>115</v>
      </c>
      <c r="J1738" s="5">
        <v>910000</v>
      </c>
      <c r="K1738" s="6">
        <f>$E1738+1</f>
        <v>116</v>
      </c>
      <c r="L1738" s="7">
        <f>IF($J1738=0,0,ROUND(MAX($J1738*1.4,1620000*(1.497923^(MIN($E1738,123)-117)))*1,0))</f>
        <v>1274000</v>
      </c>
      <c r="M1738" s="4">
        <f>$E1738+2</f>
        <v>117</v>
      </c>
      <c r="N1738" s="8">
        <f>IF($J1738=0,0,ROUND(MAX($J1738*1.4*1.5,2190000*(1.580994^(MIN($E1738,123)-117)))*1,0))</f>
        <v>1911000</v>
      </c>
      <c r="O1738" s="6">
        <f>$E1738+4</f>
        <v>119</v>
      </c>
      <c r="P1738" s="7">
        <f>IF($J1738=0,0,ROUND(MAX($J1738*1.4*1.5*1.6,3500000*(1.57975^(MIN($E1738,123)-117)))*1,0))</f>
        <v>3057600</v>
      </c>
      <c r="Q1738" s="4">
        <f>$E1738+6</f>
        <v>121</v>
      </c>
      <c r="R1738" s="8">
        <f>IF($J1738=0,0,ROUND(MAX($J1738*1.4*1.5*1.6*1.6,13100000*(1.429962^(MIN($E1738,123)-117)))*1,0))</f>
        <v>6406522</v>
      </c>
      <c r="S1738" s="6">
        <f>$E1738+8</f>
        <v>123</v>
      </c>
      <c r="T1738" s="7">
        <f>IF($J1738=0,0,ROUND(MAX($J1738*1.4*1.5*1.6*1.6*2.2,42600000*(1.576904^(MIN($E1738,123)-117)))*1,0))</f>
        <v>17131646</v>
      </c>
      <c r="U1738" s="4">
        <f>$E1738+11</f>
        <v>126</v>
      </c>
      <c r="V1738" s="8">
        <f>IF($J1738=0,0,ROUND(MAX($J1738*1.4*1.5*1.6*1.6*2.2*2.715,354000000*(1.642074^(MIN($E1738,123)-117)))*1,0))</f>
        <v>131285817</v>
      </c>
      <c r="W1738" s="6">
        <f>$E1738+15</f>
        <v>130</v>
      </c>
      <c r="X1738" s="7">
        <f>IF($J1738=0,0,ROUND(MAX($J1738*1.4*1.5*1.6*1.6*2.2*2.715*2.6,3540000000*(1.579646^(MIN($E1738,123)-117)))*1,0))</f>
        <v>1418677620</v>
      </c>
      <c r="Y1738" s="4">
        <f>$E1738+17</f>
        <v>132</v>
      </c>
      <c r="Z1738" s="8">
        <f>IF($J1738=0,0,ROUND(MAX($J1738*1.4*1.5*1.6*1.6*2.2*2.715*2.6*1.4,6020000000*(1.651178^(MIN($E1738,123)-117)))*1,0))</f>
        <v>2208048987</v>
      </c>
      <c r="AA1738" s="6">
        <f>$E1738+19</f>
        <v>134</v>
      </c>
      <c r="AB1738" s="7">
        <f>IF($J1738=0,0,ROUND(MAX($J1738*1.4*1.5*1.6*1.6*2.2*2.715*2.6*1.4*1.4,8430000000*(1.651435^(MIN($E1738,123)-117)))*1,0))</f>
        <v>3091039859</v>
      </c>
      <c r="AC1738" s="4">
        <f>$E1738+21</f>
        <v>136</v>
      </c>
      <c r="AD1738" s="8">
        <f>IF($J1738=0,0,ROUND(MAX($J1738*1.4*1.5*1.6*1.6*2.2*2.715*2.6*1.4*1.4*1.5,12600000000*(1.652953^(MIN($E1738,123)-117)))*1,0))</f>
        <v>4611577749</v>
      </c>
      <c r="AE1738" s="6">
        <f>$E1738+24</f>
        <v>139</v>
      </c>
      <c r="AF1738" s="7">
        <f>IF($J1738=0,0,ROUND(MAX($J1738*1.4*1.5*1.6*1.6*2.2*2.715*2.6*1.4*1.4*1.5*1.5,18900000000*(1.65331^(MIN($E1738,123)-117)))*1,0))</f>
        <v>6914379606</v>
      </c>
      <c r="AG1738" s="4">
        <f>$E1738+27</f>
        <v>142</v>
      </c>
      <c r="AH1738" s="8">
        <f>IF($J1738=0,0,ROUND(MAX($J1738*1.4*1.5*1.6*1.6*2.2*2.715*2.6*1.4*1.4*1.5*1.5*3.2,60500000000*(1.654288^(MIN($E1738,123)-117)))*1,0))</f>
        <v>22107169230</v>
      </c>
    </row>
    <row r="1739" ht="27.75" customHeight="1" spans="1:34" x14ac:dyDescent="0.25">
      <c r="A1739" s="3">
        <v>1749</v>
      </c>
      <c r="B1739" s="3" t="s">
        <v>638</v>
      </c>
      <c r="C1739" s="3" t="s">
        <v>1175</v>
      </c>
      <c r="D1739" s="3" t="s">
        <v>25</v>
      </c>
      <c r="E1739" s="3">
        <v>114</v>
      </c>
      <c r="F1739" s="3" t="s">
        <v>310</v>
      </c>
      <c r="G1739" s="3" t="s">
        <v>27</v>
      </c>
      <c r="H1739" s="3">
        <v>29</v>
      </c>
      <c r="I1739" s="4">
        <v>114</v>
      </c>
      <c r="J1739" s="5">
        <v>882000</v>
      </c>
      <c r="K1739" s="6">
        <f>$E1739+1</f>
        <v>115</v>
      </c>
      <c r="L1739" s="7">
        <f>IF($J1739=0,0,ROUND(MAX($J1739*1.4,1620000*(1.497923^(MIN($E1739,123)-117)))*1,0))</f>
        <v>1234800</v>
      </c>
      <c r="M1739" s="4">
        <f>$E1739+2</f>
        <v>116</v>
      </c>
      <c r="N1739" s="8">
        <f>IF($J1739=0,0,ROUND(MAX($J1739*1.4*1.5,2190000*(1.580994^(MIN($E1739,123)-117)))*1,0))</f>
        <v>1852200</v>
      </c>
      <c r="O1739" s="6">
        <f>$E1739+4</f>
        <v>118</v>
      </c>
      <c r="P1739" s="7">
        <f>IF($J1739=0,0,ROUND(MAX($J1739*1.4*1.5*1.6,3500000*(1.57975^(MIN($E1739,123)-117)))*1,0))</f>
        <v>2963520</v>
      </c>
      <c r="Q1739" s="4">
        <f>$E1739+6</f>
        <v>120</v>
      </c>
      <c r="R1739" s="8">
        <f>IF($J1739=0,0,ROUND(MAX($J1739*1.4*1.5*1.6*1.6,13100000*(1.429962^(MIN($E1739,123)-117)))*1,0))</f>
        <v>4741632</v>
      </c>
      <c r="S1739" s="6">
        <f>$E1739+8</f>
        <v>122</v>
      </c>
      <c r="T1739" s="7">
        <f>IF($J1739=0,0,ROUND(MAX($J1739*1.4*1.5*1.6*1.6*2.2,42600000*(1.576904^(MIN($E1739,123)-117)))*1,0))</f>
        <v>10864102</v>
      </c>
      <c r="U1739" s="4">
        <f>$E1739+11</f>
        <v>125</v>
      </c>
      <c r="V1739" s="8">
        <f>IF($J1739=0,0,ROUND(MAX($J1739*1.4*1.5*1.6*1.6*2.2*2.715,354000000*(1.642074^(MIN($E1739,123)-117)))*1,0))</f>
        <v>79951219</v>
      </c>
      <c r="W1739" s="6">
        <f>$E1739+15</f>
        <v>129</v>
      </c>
      <c r="X1739" s="7">
        <f>IF($J1739=0,0,ROUND(MAX($J1739*1.4*1.5*1.6*1.6*2.2*2.715*2.6,3540000000*(1.579646^(MIN($E1739,123)-117)))*1,0))</f>
        <v>898098448</v>
      </c>
      <c r="Y1739" s="4">
        <f>$E1739+17</f>
        <v>131</v>
      </c>
      <c r="Z1739" s="8">
        <f>IF($J1739=0,0,ROUND(MAX($J1739*1.4*1.5*1.6*1.6*2.2*2.715*2.6*1.4,6020000000*(1.651178^(MIN($E1739,123)-117)))*1,0))</f>
        <v>1337256787</v>
      </c>
      <c r="AA1739" s="6">
        <f>$E1739+19</f>
        <v>133</v>
      </c>
      <c r="AB1739" s="7">
        <f>IF($J1739=0,0,ROUND(MAX($J1739*1.4*1.5*1.6*1.6*2.2*2.715*2.6*1.4*1.4,8430000000*(1.651435^(MIN($E1739,123)-117)))*1,0))</f>
        <v>1871729653</v>
      </c>
      <c r="AC1739" s="4">
        <f>$E1739+21</f>
        <v>135</v>
      </c>
      <c r="AD1739" s="8">
        <f>IF($J1739=0,0,ROUND(MAX($J1739*1.4*1.5*1.6*1.6*2.2*2.715*2.6*1.4*1.4*1.5,12600000000*(1.652953^(MIN($E1739,123)-117)))*1,0))</f>
        <v>2789902525</v>
      </c>
      <c r="AE1739" s="6">
        <f>$E1739+24</f>
        <v>138</v>
      </c>
      <c r="AF1739" s="7">
        <f>IF($J1739=0,0,ROUND(MAX($J1739*1.4*1.5*1.6*1.6*2.2*2.715*2.6*1.4*1.4*1.5*1.5,18900000000*(1.65331^(MIN($E1739,123)-117)))*1,0))</f>
        <v>4182143461</v>
      </c>
      <c r="AG1739" s="4">
        <f>$E1739+27</f>
        <v>141</v>
      </c>
      <c r="AH1739" s="8">
        <f>IF($J1739=0,0,ROUND(MAX($J1739*1.4*1.5*1.6*1.6*2.2*2.715*2.6*1.4*1.4*1.5*1.5*3.2,60500000000*(1.654288^(MIN($E1739,123)-117)))*1,0))</f>
        <v>13363555336</v>
      </c>
    </row>
    <row r="1740" ht="27.75" customHeight="1" spans="1:34" x14ac:dyDescent="0.25">
      <c r="A1740" s="3">
        <v>1750</v>
      </c>
      <c r="B1740" s="3" t="s">
        <v>279</v>
      </c>
      <c r="C1740" s="3" t="s">
        <v>1175</v>
      </c>
      <c r="D1740" s="3" t="s">
        <v>25</v>
      </c>
      <c r="E1740" s="3">
        <v>114</v>
      </c>
      <c r="F1740" s="3" t="s">
        <v>54</v>
      </c>
      <c r="G1740" s="3" t="s">
        <v>218</v>
      </c>
      <c r="H1740" s="3">
        <v>28</v>
      </c>
      <c r="I1740" s="4">
        <v>114</v>
      </c>
      <c r="J1740" s="5">
        <v>813000</v>
      </c>
      <c r="K1740" s="6">
        <f>$E1740+1</f>
        <v>115</v>
      </c>
      <c r="L1740" s="7">
        <f>IF($J1740=0,0,ROUND(MAX($J1740*1.4,1620000*(1.497923^(MIN($E1740,123)-117)))*1,0))</f>
        <v>1138200</v>
      </c>
      <c r="M1740" s="4">
        <f>$E1740+2</f>
        <v>116</v>
      </c>
      <c r="N1740" s="8">
        <f>IF($J1740=0,0,ROUND(MAX($J1740*1.4*1.5,2190000*(1.580994^(MIN($E1740,123)-117)))*1,0))</f>
        <v>1707300</v>
      </c>
      <c r="O1740" s="6">
        <f>$E1740+4</f>
        <v>118</v>
      </c>
      <c r="P1740" s="7">
        <f>IF($J1740=0,0,ROUND(MAX($J1740*1.4*1.5*1.6,3500000*(1.57975^(MIN($E1740,123)-117)))*1,0))</f>
        <v>2731680</v>
      </c>
      <c r="Q1740" s="4">
        <f>$E1740+6</f>
        <v>120</v>
      </c>
      <c r="R1740" s="8">
        <f>IF($J1740=0,0,ROUND(MAX($J1740*1.4*1.5*1.6*1.6,13100000*(1.429962^(MIN($E1740,123)-117)))*1,0))</f>
        <v>4480204</v>
      </c>
      <c r="S1740" s="6">
        <f>$E1740+8</f>
        <v>122</v>
      </c>
      <c r="T1740" s="7">
        <f>IF($J1740=0,0,ROUND(MAX($J1740*1.4*1.5*1.6*1.6*2.2,42600000*(1.576904^(MIN($E1740,123)-117)))*1,0))</f>
        <v>10864102</v>
      </c>
      <c r="U1740" s="4">
        <f>$E1740+11</f>
        <v>125</v>
      </c>
      <c r="V1740" s="8">
        <f>IF($J1740=0,0,ROUND(MAX($J1740*1.4*1.5*1.6*1.6*2.2*2.715,354000000*(1.642074^(MIN($E1740,123)-117)))*1,0))</f>
        <v>79951219</v>
      </c>
      <c r="W1740" s="6">
        <f>$E1740+15</f>
        <v>129</v>
      </c>
      <c r="X1740" s="7">
        <f>IF($J1740=0,0,ROUND(MAX($J1740*1.4*1.5*1.6*1.6*2.2*2.715*2.6,3540000000*(1.579646^(MIN($E1740,123)-117)))*1,0))</f>
        <v>898098448</v>
      </c>
      <c r="Y1740" s="4">
        <f>$E1740+17</f>
        <v>131</v>
      </c>
      <c r="Z1740" s="8">
        <f>IF($J1740=0,0,ROUND(MAX($J1740*1.4*1.5*1.6*1.6*2.2*2.715*2.6*1.4,6020000000*(1.651178^(MIN($E1740,123)-117)))*1,0))</f>
        <v>1337256787</v>
      </c>
      <c r="AA1740" s="6">
        <f>$E1740+19</f>
        <v>133</v>
      </c>
      <c r="AB1740" s="7">
        <f>IF($J1740=0,0,ROUND(MAX($J1740*1.4*1.5*1.6*1.6*2.2*2.715*2.6*1.4*1.4,8430000000*(1.651435^(MIN($E1740,123)-117)))*1,0))</f>
        <v>1871729653</v>
      </c>
      <c r="AC1740" s="4">
        <f>$E1740+21</f>
        <v>135</v>
      </c>
      <c r="AD1740" s="8">
        <f>IF($J1740=0,0,ROUND(MAX($J1740*1.4*1.5*1.6*1.6*2.2*2.715*2.6*1.4*1.4*1.5,12600000000*(1.652953^(MIN($E1740,123)-117)))*1,0))</f>
        <v>2789902525</v>
      </c>
      <c r="AE1740" s="6">
        <f>$E1740+24</f>
        <v>138</v>
      </c>
      <c r="AF1740" s="7">
        <f>IF($J1740=0,0,ROUND(MAX($J1740*1.4*1.5*1.6*1.6*2.2*2.715*2.6*1.4*1.4*1.5*1.5,18900000000*(1.65331^(MIN($E1740,123)-117)))*1,0))</f>
        <v>4182143461</v>
      </c>
      <c r="AG1740" s="4">
        <f>$E1740+27</f>
        <v>141</v>
      </c>
      <c r="AH1740" s="8">
        <f>IF($J1740=0,0,ROUND(MAX($J1740*1.4*1.5*1.6*1.6*2.2*2.715*2.6*1.4*1.4*1.5*1.5*3.2,60500000000*(1.654288^(MIN($E1740,123)-117)))*1,0))</f>
        <v>13363555336</v>
      </c>
    </row>
    <row r="1741" ht="27.75" customHeight="1" spans="1:34" x14ac:dyDescent="0.25">
      <c r="A1741" s="3">
        <v>1751</v>
      </c>
      <c r="B1741" s="3" t="s">
        <v>1179</v>
      </c>
      <c r="C1741" s="3" t="s">
        <v>1175</v>
      </c>
      <c r="D1741" s="3" t="s">
        <v>79</v>
      </c>
      <c r="E1741" s="3">
        <v>114</v>
      </c>
      <c r="F1741" s="3" t="s">
        <v>42</v>
      </c>
      <c r="G1741" s="3" t="s">
        <v>171</v>
      </c>
      <c r="H1741" s="3">
        <v>27</v>
      </c>
      <c r="I1741" s="4">
        <v>114</v>
      </c>
      <c r="J1741" s="5">
        <v>815000</v>
      </c>
      <c r="K1741" s="6">
        <f>$E1741+1</f>
        <v>115</v>
      </c>
      <c r="L1741" s="7">
        <f>IF($J1741=0,0,ROUND(MAX($J1741*1.4,1620000*(1.497923^(MIN($E1741,123)-117)))*1,0))</f>
        <v>1141000</v>
      </c>
      <c r="M1741" s="4">
        <f>$E1741+2</f>
        <v>116</v>
      </c>
      <c r="N1741" s="8">
        <f>IF($J1741=0,0,ROUND(MAX($J1741*1.4*1.5,2190000*(1.580994^(MIN($E1741,123)-117)))*1,0))</f>
        <v>1711500</v>
      </c>
      <c r="O1741" s="6">
        <f>$E1741+4</f>
        <v>118</v>
      </c>
      <c r="P1741" s="7">
        <f>IF($J1741=0,0,ROUND(MAX($J1741*1.4*1.5*1.6,3500000*(1.57975^(MIN($E1741,123)-117)))*1,0))</f>
        <v>2738400</v>
      </c>
      <c r="Q1741" s="4">
        <f>$E1741+6</f>
        <v>120</v>
      </c>
      <c r="R1741" s="8">
        <f>IF($J1741=0,0,ROUND(MAX($J1741*1.4*1.5*1.6*1.6,13100000*(1.429962^(MIN($E1741,123)-117)))*1,0))</f>
        <v>4480204</v>
      </c>
      <c r="S1741" s="6">
        <f>$E1741+8</f>
        <v>122</v>
      </c>
      <c r="T1741" s="7">
        <f>IF($J1741=0,0,ROUND(MAX($J1741*1.4*1.5*1.6*1.6*2.2,42600000*(1.576904^(MIN($E1741,123)-117)))*1,0))</f>
        <v>10864102</v>
      </c>
      <c r="U1741" s="4">
        <f>$E1741+11</f>
        <v>125</v>
      </c>
      <c r="V1741" s="8">
        <f>IF($J1741=0,0,ROUND(MAX($J1741*1.4*1.5*1.6*1.6*2.2*2.715,354000000*(1.642074^(MIN($E1741,123)-117)))*1,0))</f>
        <v>79951219</v>
      </c>
      <c r="W1741" s="6">
        <f>$E1741+15</f>
        <v>129</v>
      </c>
      <c r="X1741" s="7">
        <f>IF($J1741=0,0,ROUND(MAX($J1741*1.4*1.5*1.6*1.6*2.2*2.715*2.6,3540000000*(1.579646^(MIN($E1741,123)-117)))*1,0))</f>
        <v>898098448</v>
      </c>
      <c r="Y1741" s="4">
        <f>$E1741+17</f>
        <v>131</v>
      </c>
      <c r="Z1741" s="8">
        <f>IF($J1741=0,0,ROUND(MAX($J1741*1.4*1.5*1.6*1.6*2.2*2.715*2.6*1.4,6020000000*(1.651178^(MIN($E1741,123)-117)))*1,0))</f>
        <v>1337256787</v>
      </c>
      <c r="AA1741" s="6">
        <f>$E1741+19</f>
        <v>133</v>
      </c>
      <c r="AB1741" s="7">
        <f>IF($J1741=0,0,ROUND(MAX($J1741*1.4*1.5*1.6*1.6*2.2*2.715*2.6*1.4*1.4,8430000000*(1.651435^(MIN($E1741,123)-117)))*1,0))</f>
        <v>1871729653</v>
      </c>
      <c r="AC1741" s="4">
        <f>$E1741+21</f>
        <v>135</v>
      </c>
      <c r="AD1741" s="8">
        <f>IF($J1741=0,0,ROUND(MAX($J1741*1.4*1.5*1.6*1.6*2.2*2.715*2.6*1.4*1.4*1.5,12600000000*(1.652953^(MIN($E1741,123)-117)))*1,0))</f>
        <v>2789902525</v>
      </c>
      <c r="AE1741" s="6">
        <f>$E1741+24</f>
        <v>138</v>
      </c>
      <c r="AF1741" s="7">
        <f>IF($J1741=0,0,ROUND(MAX($J1741*1.4*1.5*1.6*1.6*2.2*2.715*2.6*1.4*1.4*1.5*1.5,18900000000*(1.65331^(MIN($E1741,123)-117)))*1,0))</f>
        <v>4182143461</v>
      </c>
      <c r="AG1741" s="4">
        <f>$E1741+27</f>
        <v>141</v>
      </c>
      <c r="AH1741" s="8">
        <f>IF($J1741=0,0,ROUND(MAX($J1741*1.4*1.5*1.6*1.6*2.2*2.715*2.6*1.4*1.4*1.5*1.5*3.2,60500000000*(1.654288^(MIN($E1741,123)-117)))*1,0))</f>
        <v>13363555336</v>
      </c>
    </row>
    <row r="1742" ht="27.75" customHeight="1" spans="1:34" x14ac:dyDescent="0.25">
      <c r="A1742" s="3">
        <v>1752</v>
      </c>
      <c r="B1742" s="3" t="s">
        <v>789</v>
      </c>
      <c r="C1742" s="3" t="s">
        <v>1175</v>
      </c>
      <c r="D1742" s="3" t="s">
        <v>25</v>
      </c>
      <c r="E1742" s="3">
        <v>114</v>
      </c>
      <c r="F1742" s="3" t="s">
        <v>56</v>
      </c>
      <c r="G1742" s="3" t="s">
        <v>57</v>
      </c>
      <c r="H1742" s="3">
        <v>27</v>
      </c>
      <c r="I1742" s="4">
        <v>114</v>
      </c>
      <c r="J1742" s="5">
        <v>938000</v>
      </c>
      <c r="K1742" s="6">
        <f>$E1742+1</f>
        <v>115</v>
      </c>
      <c r="L1742" s="7">
        <f>IF($J1742=0,0,ROUND(MAX($J1742*1.4,1620000*(1.497923^(MIN($E1742,123)-117)))*1,0))</f>
        <v>1313200</v>
      </c>
      <c r="M1742" s="4">
        <f>$E1742+2</f>
        <v>116</v>
      </c>
      <c r="N1742" s="8">
        <f>IF($J1742=0,0,ROUND(MAX($J1742*1.4*1.5,2190000*(1.580994^(MIN($E1742,123)-117)))*1,0))</f>
        <v>1969800</v>
      </c>
      <c r="O1742" s="6">
        <f>$E1742+4</f>
        <v>118</v>
      </c>
      <c r="P1742" s="7">
        <f>IF($J1742=0,0,ROUND(MAX($J1742*1.4*1.5*1.6,3500000*(1.57975^(MIN($E1742,123)-117)))*1,0))</f>
        <v>3151680</v>
      </c>
      <c r="Q1742" s="4">
        <f>$E1742+6</f>
        <v>120</v>
      </c>
      <c r="R1742" s="8">
        <f>IF($J1742=0,0,ROUND(MAX($J1742*1.4*1.5*1.6*1.6,13100000*(1.429962^(MIN($E1742,123)-117)))*1,0))</f>
        <v>5042688</v>
      </c>
      <c r="S1742" s="6">
        <f>$E1742+8</f>
        <v>122</v>
      </c>
      <c r="T1742" s="7">
        <f>IF($J1742=0,0,ROUND(MAX($J1742*1.4*1.5*1.6*1.6*2.2,42600000*(1.576904^(MIN($E1742,123)-117)))*1,0))</f>
        <v>11093914</v>
      </c>
      <c r="U1742" s="4">
        <f>$E1742+11</f>
        <v>125</v>
      </c>
      <c r="V1742" s="8">
        <f>IF($J1742=0,0,ROUND(MAX($J1742*1.4*1.5*1.6*1.6*2.2*2.715,354000000*(1.642074^(MIN($E1742,123)-117)))*1,0))</f>
        <v>79951219</v>
      </c>
      <c r="W1742" s="6">
        <f>$E1742+15</f>
        <v>129</v>
      </c>
      <c r="X1742" s="7">
        <f>IF($J1742=0,0,ROUND(MAX($J1742*1.4*1.5*1.6*1.6*2.2*2.715*2.6,3540000000*(1.579646^(MIN($E1742,123)-117)))*1,0))</f>
        <v>898098448</v>
      </c>
      <c r="Y1742" s="4">
        <f>$E1742+17</f>
        <v>131</v>
      </c>
      <c r="Z1742" s="8">
        <f>IF($J1742=0,0,ROUND(MAX($J1742*1.4*1.5*1.6*1.6*2.2*2.715*2.6*1.4,6020000000*(1.651178^(MIN($E1742,123)-117)))*1,0))</f>
        <v>1337256787</v>
      </c>
      <c r="AA1742" s="6">
        <f>$E1742+19</f>
        <v>133</v>
      </c>
      <c r="AB1742" s="7">
        <f>IF($J1742=0,0,ROUND(MAX($J1742*1.4*1.5*1.6*1.6*2.2*2.715*2.6*1.4*1.4,8430000000*(1.651435^(MIN($E1742,123)-117)))*1,0))</f>
        <v>1871729653</v>
      </c>
      <c r="AC1742" s="4">
        <f>$E1742+21</f>
        <v>135</v>
      </c>
      <c r="AD1742" s="8">
        <f>IF($J1742=0,0,ROUND(MAX($J1742*1.4*1.5*1.6*1.6*2.2*2.715*2.6*1.4*1.4*1.5,12600000000*(1.652953^(MIN($E1742,123)-117)))*1,0))</f>
        <v>2789902525</v>
      </c>
      <c r="AE1742" s="6">
        <f>$E1742+24</f>
        <v>138</v>
      </c>
      <c r="AF1742" s="7">
        <f>IF($J1742=0,0,ROUND(MAX($J1742*1.4*1.5*1.6*1.6*2.2*2.715*2.6*1.4*1.4*1.5*1.5,18900000000*(1.65331^(MIN($E1742,123)-117)))*1,0))</f>
        <v>4182143461</v>
      </c>
      <c r="AG1742" s="4">
        <f>$E1742+27</f>
        <v>141</v>
      </c>
      <c r="AH1742" s="8">
        <f>IF($J1742=0,0,ROUND(MAX($J1742*1.4*1.5*1.6*1.6*2.2*2.715*2.6*1.4*1.4*1.5*1.5*3.2,60500000000*(1.654288^(MIN($E1742,123)-117)))*1,0))</f>
        <v>13363555336</v>
      </c>
    </row>
    <row r="1743" ht="27.75" customHeight="1" spans="1:34" x14ac:dyDescent="0.25">
      <c r="A1743" s="3">
        <v>1753</v>
      </c>
      <c r="B1743" s="3" t="s">
        <v>780</v>
      </c>
      <c r="C1743" s="3" t="s">
        <v>1175</v>
      </c>
      <c r="D1743" s="3" t="s">
        <v>90</v>
      </c>
      <c r="E1743" s="3">
        <v>114</v>
      </c>
      <c r="F1743" s="3" t="s">
        <v>56</v>
      </c>
      <c r="G1743" s="3" t="s">
        <v>38</v>
      </c>
      <c r="H1743" s="3">
        <v>27</v>
      </c>
      <c r="I1743" s="4">
        <v>114</v>
      </c>
      <c r="J1743" s="5">
        <v>916000</v>
      </c>
      <c r="K1743" s="6">
        <f>$E1743+1</f>
        <v>115</v>
      </c>
      <c r="L1743" s="7">
        <f>IF($J1743=0,0,ROUND(MAX($J1743*1.4,1620000*(1.497923^(MIN($E1743,123)-117)))*1,0))</f>
        <v>1282400</v>
      </c>
      <c r="M1743" s="4">
        <f>$E1743+2</f>
        <v>116</v>
      </c>
      <c r="N1743" s="8">
        <f>IF($J1743=0,0,ROUND(MAX($J1743*1.4*1.5,2190000*(1.580994^(MIN($E1743,123)-117)))*1,0))</f>
        <v>1923600</v>
      </c>
      <c r="O1743" s="6">
        <f>$E1743+4</f>
        <v>118</v>
      </c>
      <c r="P1743" s="7">
        <f>IF($J1743=0,0,ROUND(MAX($J1743*1.4*1.5*1.6,3500000*(1.57975^(MIN($E1743,123)-117)))*1,0))</f>
        <v>3077760</v>
      </c>
      <c r="Q1743" s="4">
        <f>$E1743+6</f>
        <v>120</v>
      </c>
      <c r="R1743" s="8">
        <f>IF($J1743=0,0,ROUND(MAX($J1743*1.4*1.5*1.6*1.6,13100000*(1.429962^(MIN($E1743,123)-117)))*1,0))</f>
        <v>4924416</v>
      </c>
      <c r="S1743" s="6">
        <f>$E1743+8</f>
        <v>122</v>
      </c>
      <c r="T1743" s="7">
        <f>IF($J1743=0,0,ROUND(MAX($J1743*1.4*1.5*1.6*1.6*2.2,42600000*(1.576904^(MIN($E1743,123)-117)))*1,0))</f>
        <v>10864102</v>
      </c>
      <c r="U1743" s="4">
        <f>$E1743+11</f>
        <v>125</v>
      </c>
      <c r="V1743" s="8">
        <f>IF($J1743=0,0,ROUND(MAX($J1743*1.4*1.5*1.6*1.6*2.2*2.715,354000000*(1.642074^(MIN($E1743,123)-117)))*1,0))</f>
        <v>79951219</v>
      </c>
      <c r="W1743" s="6">
        <f>$E1743+15</f>
        <v>129</v>
      </c>
      <c r="X1743" s="7">
        <f>IF($J1743=0,0,ROUND(MAX($J1743*1.4*1.5*1.6*1.6*2.2*2.715*2.6,3540000000*(1.579646^(MIN($E1743,123)-117)))*1,0))</f>
        <v>898098448</v>
      </c>
      <c r="Y1743" s="4">
        <f>$E1743+17</f>
        <v>131</v>
      </c>
      <c r="Z1743" s="8">
        <f>IF($J1743=0,0,ROUND(MAX($J1743*1.4*1.5*1.6*1.6*2.2*2.715*2.6*1.4,6020000000*(1.651178^(MIN($E1743,123)-117)))*1,0))</f>
        <v>1337256787</v>
      </c>
      <c r="AA1743" s="6">
        <f>$E1743+19</f>
        <v>133</v>
      </c>
      <c r="AB1743" s="7">
        <f>IF($J1743=0,0,ROUND(MAX($J1743*1.4*1.5*1.6*1.6*2.2*2.715*2.6*1.4*1.4,8430000000*(1.651435^(MIN($E1743,123)-117)))*1,0))</f>
        <v>1871729653</v>
      </c>
      <c r="AC1743" s="4">
        <f>$E1743+21</f>
        <v>135</v>
      </c>
      <c r="AD1743" s="8">
        <f>IF($J1743=0,0,ROUND(MAX($J1743*1.4*1.5*1.6*1.6*2.2*2.715*2.6*1.4*1.4*1.5,12600000000*(1.652953^(MIN($E1743,123)-117)))*1,0))</f>
        <v>2789902525</v>
      </c>
      <c r="AE1743" s="6">
        <f>$E1743+24</f>
        <v>138</v>
      </c>
      <c r="AF1743" s="7">
        <f>IF($J1743=0,0,ROUND(MAX($J1743*1.4*1.5*1.6*1.6*2.2*2.715*2.6*1.4*1.4*1.5*1.5,18900000000*(1.65331^(MIN($E1743,123)-117)))*1,0))</f>
        <v>4182143461</v>
      </c>
      <c r="AG1743" s="4">
        <f>$E1743+27</f>
        <v>141</v>
      </c>
      <c r="AH1743" s="8">
        <f>IF($J1743=0,0,ROUND(MAX($J1743*1.4*1.5*1.6*1.6*2.2*2.715*2.6*1.4*1.4*1.5*1.5*3.2,60500000000*(1.654288^(MIN($E1743,123)-117)))*1,0))</f>
        <v>13363555336</v>
      </c>
    </row>
    <row r="1744" ht="27.75" customHeight="1" spans="1:34" x14ac:dyDescent="0.25">
      <c r="A1744" s="3">
        <v>1754</v>
      </c>
      <c r="B1744" s="3" t="s">
        <v>186</v>
      </c>
      <c r="C1744" s="3" t="s">
        <v>1175</v>
      </c>
      <c r="D1744" s="3" t="s">
        <v>75</v>
      </c>
      <c r="E1744" s="3">
        <v>114</v>
      </c>
      <c r="F1744" s="3" t="s">
        <v>56</v>
      </c>
      <c r="G1744" s="3" t="s">
        <v>1176</v>
      </c>
      <c r="H1744" s="3">
        <v>27</v>
      </c>
      <c r="I1744" s="4">
        <v>114</v>
      </c>
      <c r="J1744" s="5">
        <v>539000</v>
      </c>
      <c r="K1744" s="6">
        <f>$E1744+1</f>
        <v>115</v>
      </c>
      <c r="L1744" s="7">
        <f>IF($J1744=0,0,ROUND(MAX($J1744*1.4,1620000*(1.497923^(MIN($E1744,123)-117)))*1,0))</f>
        <v>754600</v>
      </c>
      <c r="M1744" s="4">
        <f>$E1744+2</f>
        <v>116</v>
      </c>
      <c r="N1744" s="8">
        <f>IF($J1744=0,0,ROUND(MAX($J1744*1.4*1.5,2190000*(1.580994^(MIN($E1744,123)-117)))*1,0))</f>
        <v>1131900</v>
      </c>
      <c r="O1744" s="6">
        <f>$E1744+4</f>
        <v>118</v>
      </c>
      <c r="P1744" s="7">
        <f>IF($J1744=0,0,ROUND(MAX($J1744*1.4*1.5*1.6,3500000*(1.57975^(MIN($E1744,123)-117)))*1,0))</f>
        <v>1811040</v>
      </c>
      <c r="Q1744" s="4">
        <f>$E1744+6</f>
        <v>120</v>
      </c>
      <c r="R1744" s="8">
        <f>IF($J1744=0,0,ROUND(MAX($J1744*1.4*1.5*1.6*1.6,13100000*(1.429962^(MIN($E1744,123)-117)))*1,0))</f>
        <v>4480204</v>
      </c>
      <c r="S1744" s="6">
        <f>$E1744+8</f>
        <v>122</v>
      </c>
      <c r="T1744" s="7">
        <f>IF($J1744=0,0,ROUND(MAX($J1744*1.4*1.5*1.6*1.6*2.2,42600000*(1.576904^(MIN($E1744,123)-117)))*1,0))</f>
        <v>10864102</v>
      </c>
      <c r="U1744" s="4">
        <f>$E1744+11</f>
        <v>125</v>
      </c>
      <c r="V1744" s="8">
        <f>IF($J1744=0,0,ROUND(MAX($J1744*1.4*1.5*1.6*1.6*2.2*2.715,354000000*(1.642074^(MIN($E1744,123)-117)))*1,0))</f>
        <v>79951219</v>
      </c>
      <c r="W1744" s="6">
        <f>$E1744+15</f>
        <v>129</v>
      </c>
      <c r="X1744" s="7">
        <f>IF($J1744=0,0,ROUND(MAX($J1744*1.4*1.5*1.6*1.6*2.2*2.715*2.6,3540000000*(1.579646^(MIN($E1744,123)-117)))*1,0))</f>
        <v>898098448</v>
      </c>
      <c r="Y1744" s="4">
        <f>$E1744+17</f>
        <v>131</v>
      </c>
      <c r="Z1744" s="8">
        <f>IF($J1744=0,0,ROUND(MAX($J1744*1.4*1.5*1.6*1.6*2.2*2.715*2.6*1.4,6020000000*(1.651178^(MIN($E1744,123)-117)))*1,0))</f>
        <v>1337256787</v>
      </c>
      <c r="AA1744" s="6">
        <f>$E1744+19</f>
        <v>133</v>
      </c>
      <c r="AB1744" s="7">
        <f>IF($J1744=0,0,ROUND(MAX($J1744*1.4*1.5*1.6*1.6*2.2*2.715*2.6*1.4*1.4,8430000000*(1.651435^(MIN($E1744,123)-117)))*1,0))</f>
        <v>1871729653</v>
      </c>
      <c r="AC1744" s="4">
        <f>$E1744+21</f>
        <v>135</v>
      </c>
      <c r="AD1744" s="8">
        <f>IF($J1744=0,0,ROUND(MAX($J1744*1.4*1.5*1.6*1.6*2.2*2.715*2.6*1.4*1.4*1.5,12600000000*(1.652953^(MIN($E1744,123)-117)))*1,0))</f>
        <v>2789902525</v>
      </c>
      <c r="AE1744" s="6">
        <f>$E1744+24</f>
        <v>138</v>
      </c>
      <c r="AF1744" s="7">
        <f>IF($J1744=0,0,ROUND(MAX($J1744*1.4*1.5*1.6*1.6*2.2*2.715*2.6*1.4*1.4*1.5*1.5,18900000000*(1.65331^(MIN($E1744,123)-117)))*1,0))</f>
        <v>4182143461</v>
      </c>
      <c r="AG1744" s="4">
        <f>$E1744+27</f>
        <v>141</v>
      </c>
      <c r="AH1744" s="8">
        <f>IF($J1744=0,0,ROUND(MAX($J1744*1.4*1.5*1.6*1.6*2.2*2.715*2.6*1.4*1.4*1.5*1.5*3.2,60500000000*(1.654288^(MIN($E1744,123)-117)))*1,0))</f>
        <v>13363555336</v>
      </c>
    </row>
    <row r="1745" ht="27.75" customHeight="1" spans="1:34" x14ac:dyDescent="0.25">
      <c r="A1745" s="3">
        <v>1755</v>
      </c>
      <c r="B1745" s="3" t="s">
        <v>296</v>
      </c>
      <c r="C1745" s="3" t="s">
        <v>1175</v>
      </c>
      <c r="D1745" s="3" t="s">
        <v>47</v>
      </c>
      <c r="E1745" s="3">
        <v>114</v>
      </c>
      <c r="F1745" s="3" t="s">
        <v>62</v>
      </c>
      <c r="G1745" s="3" t="s">
        <v>185</v>
      </c>
      <c r="H1745" s="3">
        <v>25</v>
      </c>
      <c r="I1745" s="4">
        <v>114</v>
      </c>
      <c r="J1745" s="5">
        <v>943000</v>
      </c>
      <c r="K1745" s="6">
        <f>$E1745+1</f>
        <v>115</v>
      </c>
      <c r="L1745" s="7">
        <f>IF($J1745=0,0,ROUND(MAX($J1745*1.4,1620000*(1.497923^(MIN($E1745,123)-117)))*1,0))</f>
        <v>1320200</v>
      </c>
      <c r="M1745" s="4">
        <f>$E1745+2</f>
        <v>116</v>
      </c>
      <c r="N1745" s="8">
        <f>IF($J1745=0,0,ROUND(MAX($J1745*1.4*1.5,2190000*(1.580994^(MIN($E1745,123)-117)))*1,0))</f>
        <v>1980300</v>
      </c>
      <c r="O1745" s="6">
        <f>$E1745+4</f>
        <v>118</v>
      </c>
      <c r="P1745" s="7">
        <f>IF($J1745=0,0,ROUND(MAX($J1745*1.4*1.5*1.6,3500000*(1.57975^(MIN($E1745,123)-117)))*1,0))</f>
        <v>3168480</v>
      </c>
      <c r="Q1745" s="4">
        <f>$E1745+6</f>
        <v>120</v>
      </c>
      <c r="R1745" s="8">
        <f>IF($J1745=0,0,ROUND(MAX($J1745*1.4*1.5*1.6*1.6,13100000*(1.429962^(MIN($E1745,123)-117)))*1,0))</f>
        <v>5069568</v>
      </c>
      <c r="S1745" s="6">
        <f>$E1745+8</f>
        <v>122</v>
      </c>
      <c r="T1745" s="7">
        <f>IF($J1745=0,0,ROUND(MAX($J1745*1.4*1.5*1.6*1.6*2.2,42600000*(1.576904^(MIN($E1745,123)-117)))*1,0))</f>
        <v>11153050</v>
      </c>
      <c r="U1745" s="4">
        <f>$E1745+11</f>
        <v>125</v>
      </c>
      <c r="V1745" s="8">
        <f>IF($J1745=0,0,ROUND(MAX($J1745*1.4*1.5*1.6*1.6*2.2*2.715,354000000*(1.642074^(MIN($E1745,123)-117)))*1,0))</f>
        <v>79951219</v>
      </c>
      <c r="W1745" s="6">
        <f>$E1745+15</f>
        <v>129</v>
      </c>
      <c r="X1745" s="7">
        <f>IF($J1745=0,0,ROUND(MAX($J1745*1.4*1.5*1.6*1.6*2.2*2.715*2.6,3540000000*(1.579646^(MIN($E1745,123)-117)))*1,0))</f>
        <v>898098448</v>
      </c>
      <c r="Y1745" s="4">
        <f>$E1745+17</f>
        <v>131</v>
      </c>
      <c r="Z1745" s="8">
        <f>IF($J1745=0,0,ROUND(MAX($J1745*1.4*1.5*1.6*1.6*2.2*2.715*2.6*1.4,6020000000*(1.651178^(MIN($E1745,123)-117)))*1,0))</f>
        <v>1337256787</v>
      </c>
      <c r="AA1745" s="6">
        <f>$E1745+19</f>
        <v>133</v>
      </c>
      <c r="AB1745" s="7">
        <f>IF($J1745=0,0,ROUND(MAX($J1745*1.4*1.5*1.6*1.6*2.2*2.715*2.6*1.4*1.4,8430000000*(1.651435^(MIN($E1745,123)-117)))*1,0))</f>
        <v>1871729653</v>
      </c>
      <c r="AC1745" s="4">
        <f>$E1745+21</f>
        <v>135</v>
      </c>
      <c r="AD1745" s="8">
        <f>IF($J1745=0,0,ROUND(MAX($J1745*1.4*1.5*1.6*1.6*2.2*2.715*2.6*1.4*1.4*1.5,12600000000*(1.652953^(MIN($E1745,123)-117)))*1,0))</f>
        <v>2789902525</v>
      </c>
      <c r="AE1745" s="6">
        <f>$E1745+24</f>
        <v>138</v>
      </c>
      <c r="AF1745" s="7">
        <f>IF($J1745=0,0,ROUND(MAX($J1745*1.4*1.5*1.6*1.6*2.2*2.715*2.6*1.4*1.4*1.5*1.5,18900000000*(1.65331^(MIN($E1745,123)-117)))*1,0))</f>
        <v>4182143461</v>
      </c>
      <c r="AG1745" s="4">
        <f>$E1745+27</f>
        <v>141</v>
      </c>
      <c r="AH1745" s="8">
        <f>IF($J1745=0,0,ROUND(MAX($J1745*1.4*1.5*1.6*1.6*2.2*2.715*2.6*1.4*1.4*1.5*1.5*3.2,60500000000*(1.654288^(MIN($E1745,123)-117)))*1,0))</f>
        <v>13363555336</v>
      </c>
    </row>
    <row r="1746" ht="27.75" customHeight="1" spans="1:34" x14ac:dyDescent="0.25">
      <c r="A1746" s="3">
        <v>1756</v>
      </c>
      <c r="B1746" s="3" t="s">
        <v>848</v>
      </c>
      <c r="C1746" s="3" t="s">
        <v>1175</v>
      </c>
      <c r="D1746" s="3" t="s">
        <v>47</v>
      </c>
      <c r="E1746" s="3">
        <v>114</v>
      </c>
      <c r="F1746" s="3" t="s">
        <v>34</v>
      </c>
      <c r="G1746" s="3" t="s">
        <v>35</v>
      </c>
      <c r="H1746" s="3">
        <v>25</v>
      </c>
      <c r="I1746" s="4">
        <v>114</v>
      </c>
      <c r="J1746" s="5">
        <v>938000</v>
      </c>
      <c r="K1746" s="6">
        <f>$E1746+1</f>
        <v>115</v>
      </c>
      <c r="L1746" s="7">
        <f>IF($J1746=0,0,ROUND(MAX($J1746*1.4,1620000*(1.497923^(MIN($E1746,123)-117)))*1,0))</f>
        <v>1313200</v>
      </c>
      <c r="M1746" s="4">
        <f>$E1746+2</f>
        <v>116</v>
      </c>
      <c r="N1746" s="8">
        <f>IF($J1746=0,0,ROUND(MAX($J1746*1.4*1.5,2190000*(1.580994^(MIN($E1746,123)-117)))*1,0))</f>
        <v>1969800</v>
      </c>
      <c r="O1746" s="6">
        <f>$E1746+4</f>
        <v>118</v>
      </c>
      <c r="P1746" s="7">
        <f>IF($J1746=0,0,ROUND(MAX($J1746*1.4*1.5*1.6,3500000*(1.57975^(MIN($E1746,123)-117)))*1,0))</f>
        <v>3151680</v>
      </c>
      <c r="Q1746" s="4">
        <f>$E1746+6</f>
        <v>120</v>
      </c>
      <c r="R1746" s="8">
        <f>IF($J1746=0,0,ROUND(MAX($J1746*1.4*1.5*1.6*1.6,13100000*(1.429962^(MIN($E1746,123)-117)))*1,0))</f>
        <v>5042688</v>
      </c>
      <c r="S1746" s="6">
        <f>$E1746+8</f>
        <v>122</v>
      </c>
      <c r="T1746" s="7">
        <f>IF($J1746=0,0,ROUND(MAX($J1746*1.4*1.5*1.6*1.6*2.2,42600000*(1.576904^(MIN($E1746,123)-117)))*1,0))</f>
        <v>11093914</v>
      </c>
      <c r="U1746" s="4">
        <f>$E1746+11</f>
        <v>125</v>
      </c>
      <c r="V1746" s="8">
        <f>IF($J1746=0,0,ROUND(MAX($J1746*1.4*1.5*1.6*1.6*2.2*2.715,354000000*(1.642074^(MIN($E1746,123)-117)))*1,0))</f>
        <v>79951219</v>
      </c>
      <c r="W1746" s="6">
        <f>$E1746+15</f>
        <v>129</v>
      </c>
      <c r="X1746" s="7">
        <f>IF($J1746=0,0,ROUND(MAX($J1746*1.4*1.5*1.6*1.6*2.2*2.715*2.6,3540000000*(1.579646^(MIN($E1746,123)-117)))*1,0))</f>
        <v>898098448</v>
      </c>
      <c r="Y1746" s="4">
        <f>$E1746+17</f>
        <v>131</v>
      </c>
      <c r="Z1746" s="8">
        <f>IF($J1746=0,0,ROUND(MAX($J1746*1.4*1.5*1.6*1.6*2.2*2.715*2.6*1.4,6020000000*(1.651178^(MIN($E1746,123)-117)))*1,0))</f>
        <v>1337256787</v>
      </c>
      <c r="AA1746" s="6">
        <f>$E1746+19</f>
        <v>133</v>
      </c>
      <c r="AB1746" s="7">
        <f>IF($J1746=0,0,ROUND(MAX($J1746*1.4*1.5*1.6*1.6*2.2*2.715*2.6*1.4*1.4,8430000000*(1.651435^(MIN($E1746,123)-117)))*1,0))</f>
        <v>1871729653</v>
      </c>
      <c r="AC1746" s="4">
        <f>$E1746+21</f>
        <v>135</v>
      </c>
      <c r="AD1746" s="8">
        <f>IF($J1746=0,0,ROUND(MAX($J1746*1.4*1.5*1.6*1.6*2.2*2.715*2.6*1.4*1.4*1.5,12600000000*(1.652953^(MIN($E1746,123)-117)))*1,0))</f>
        <v>2789902525</v>
      </c>
      <c r="AE1746" s="6">
        <f>$E1746+24</f>
        <v>138</v>
      </c>
      <c r="AF1746" s="7">
        <f>IF($J1746=0,0,ROUND(MAX($J1746*1.4*1.5*1.6*1.6*2.2*2.715*2.6*1.4*1.4*1.5*1.5,18900000000*(1.65331^(MIN($E1746,123)-117)))*1,0))</f>
        <v>4182143461</v>
      </c>
      <c r="AG1746" s="4">
        <f>$E1746+27</f>
        <v>141</v>
      </c>
      <c r="AH1746" s="8">
        <f>IF($J1746=0,0,ROUND(MAX($J1746*1.4*1.5*1.6*1.6*2.2*2.715*2.6*1.4*1.4*1.5*1.5*3.2,60500000000*(1.654288^(MIN($E1746,123)-117)))*1,0))</f>
        <v>13363555336</v>
      </c>
    </row>
    <row r="1747" ht="27.75" customHeight="1" spans="1:34" x14ac:dyDescent="0.25">
      <c r="A1747" s="3">
        <v>1757</v>
      </c>
      <c r="B1747" s="3" t="s">
        <v>680</v>
      </c>
      <c r="C1747" s="3" t="s">
        <v>1175</v>
      </c>
      <c r="D1747" s="3" t="s">
        <v>45</v>
      </c>
      <c r="E1747" s="3">
        <v>113</v>
      </c>
      <c r="F1747" s="3" t="s">
        <v>179</v>
      </c>
      <c r="G1747" s="3" t="s">
        <v>374</v>
      </c>
      <c r="H1747" s="3">
        <v>28</v>
      </c>
      <c r="I1747" s="4">
        <v>113</v>
      </c>
      <c r="J1747" s="5">
        <v>932000</v>
      </c>
      <c r="K1747" s="6">
        <f>$E1747+1</f>
        <v>114</v>
      </c>
      <c r="L1747" s="7">
        <f>IF($J1747=0,0,ROUND(MAX($J1747*1.4,1620000*(1.497923^(MIN($E1747,123)-117)))*1,0))</f>
        <v>1304800</v>
      </c>
      <c r="M1747" s="4">
        <f>$E1747+2</f>
        <v>115</v>
      </c>
      <c r="N1747" s="8">
        <f>IF($J1747=0,0,ROUND(MAX($J1747*1.4*1.5,2190000*(1.580994^(MIN($E1747,123)-117)))*1,0))</f>
        <v>1957200</v>
      </c>
      <c r="O1747" s="6">
        <f>$E1747+4</f>
        <v>117</v>
      </c>
      <c r="P1747" s="7">
        <f>IF($J1747=0,0,ROUND(MAX($J1747*1.4*1.5*1.6,3500000*(1.57975^(MIN($E1747,123)-117)))*1,0))</f>
        <v>3131520</v>
      </c>
      <c r="Q1747" s="4">
        <f>$E1747+6</f>
        <v>119</v>
      </c>
      <c r="R1747" s="8">
        <f>IF($J1747=0,0,ROUND(MAX($J1747*1.4*1.5*1.6*1.6,13100000*(1.429962^(MIN($E1747,123)-117)))*1,0))</f>
        <v>5010432</v>
      </c>
      <c r="S1747" s="6">
        <f>$E1747+8</f>
        <v>121</v>
      </c>
      <c r="T1747" s="7">
        <f>IF($J1747=0,0,ROUND(MAX($J1747*1.4*1.5*1.6*1.6*2.2,42600000*(1.576904^(MIN($E1747,123)-117)))*1,0))</f>
        <v>11022950</v>
      </c>
      <c r="U1747" s="4">
        <f>$E1747+11</f>
        <v>124</v>
      </c>
      <c r="V1747" s="8">
        <f>IF($J1747=0,0,ROUND(MAX($J1747*1.4*1.5*1.6*1.6*2.2*2.715,354000000*(1.642074^(MIN($E1747,123)-117)))*1,0))</f>
        <v>48689169</v>
      </c>
      <c r="W1747" s="6">
        <f>$E1747+15</f>
        <v>128</v>
      </c>
      <c r="X1747" s="7">
        <f>IF($J1747=0,0,ROUND(MAX($J1747*1.4*1.5*1.6*1.6*2.2*2.715*2.6,3540000000*(1.579646^(MIN($E1747,123)-117)))*1,0))</f>
        <v>568544122</v>
      </c>
      <c r="Y1747" s="4">
        <f>$E1747+17</f>
        <v>130</v>
      </c>
      <c r="Z1747" s="8">
        <f>IF($J1747=0,0,ROUND(MAX($J1747*1.4*1.5*1.6*1.6*2.2*2.715*2.6*1.4,6020000000*(1.651178^(MIN($E1747,123)-117)))*1,0))</f>
        <v>809880453</v>
      </c>
      <c r="AA1747" s="6">
        <f>$E1747+19</f>
        <v>132</v>
      </c>
      <c r="AB1747" s="7">
        <f>IF($J1747=0,0,ROUND(MAX($J1747*1.4*1.5*1.6*1.6*2.2*2.715*2.6*1.4*1.4,8430000000*(1.651435^(MIN($E1747,123)-117)))*1,0))</f>
        <v>1133395897</v>
      </c>
      <c r="AC1747" s="4">
        <f>$E1747+21</f>
        <v>134</v>
      </c>
      <c r="AD1747" s="8">
        <f>IF($J1747=0,0,ROUND(MAX($J1747*1.4*1.5*1.6*1.6*2.2*2.715*2.6*1.4*1.4*1.5,12600000000*(1.652953^(MIN($E1747,123)-117)))*1,0))</f>
        <v>1687829312</v>
      </c>
      <c r="AE1747" s="6">
        <f>$E1747+24</f>
        <v>137</v>
      </c>
      <c r="AF1747" s="7">
        <f>IF($J1747=0,0,ROUND(MAX($J1747*1.4*1.5*1.6*1.6*2.2*2.715*2.6*1.4*1.4*1.5*1.5,18900000000*(1.65331^(MIN($E1747,123)-117)))*1,0))</f>
        <v>2529557954</v>
      </c>
      <c r="AG1747" s="4">
        <f>$E1747+27</f>
        <v>140</v>
      </c>
      <c r="AH1747" s="8">
        <f>IF($J1747=0,0,ROUND(MAX($J1747*1.4*1.5*1.6*1.6*2.2*2.715*2.6*1.4*1.4*1.5*1.5*3.2,60500000000*(1.654288^(MIN($E1747,123)-117)))*1,0))</f>
        <v>8078131097</v>
      </c>
    </row>
    <row r="1748" ht="27.75" customHeight="1" spans="1:34" x14ac:dyDescent="0.25">
      <c r="A1748" s="3">
        <v>1758</v>
      </c>
      <c r="B1748" s="3" t="s">
        <v>101</v>
      </c>
      <c r="C1748" s="3" t="s">
        <v>1175</v>
      </c>
      <c r="D1748" s="3" t="s">
        <v>45</v>
      </c>
      <c r="E1748" s="3">
        <v>113</v>
      </c>
      <c r="F1748" s="3" t="s">
        <v>42</v>
      </c>
      <c r="G1748" s="3" t="s">
        <v>1176</v>
      </c>
      <c r="H1748" s="3">
        <v>28</v>
      </c>
      <c r="I1748" s="4">
        <v>113</v>
      </c>
      <c r="J1748" s="5">
        <v>978000</v>
      </c>
      <c r="K1748" s="6">
        <f>$E1748+1</f>
        <v>114</v>
      </c>
      <c r="L1748" s="7">
        <f>IF($J1748=0,0,ROUND(MAX($J1748*1.4,1620000*(1.497923^(MIN($E1748,123)-117)))*1,0))</f>
        <v>1369200</v>
      </c>
      <c r="M1748" s="4">
        <f>$E1748+2</f>
        <v>115</v>
      </c>
      <c r="N1748" s="8">
        <f>IF($J1748=0,0,ROUND(MAX($J1748*1.4*1.5,2190000*(1.580994^(MIN($E1748,123)-117)))*1,0))</f>
        <v>2053800</v>
      </c>
      <c r="O1748" s="6">
        <f>$E1748+4</f>
        <v>117</v>
      </c>
      <c r="P1748" s="7">
        <f>IF($J1748=0,0,ROUND(MAX($J1748*1.4*1.5*1.6,3500000*(1.57975^(MIN($E1748,123)-117)))*1,0))</f>
        <v>3286080</v>
      </c>
      <c r="Q1748" s="4">
        <f>$E1748+6</f>
        <v>119</v>
      </c>
      <c r="R1748" s="8">
        <f>IF($J1748=0,0,ROUND(MAX($J1748*1.4*1.5*1.6*1.6,13100000*(1.429962^(MIN($E1748,123)-117)))*1,0))</f>
        <v>5257728</v>
      </c>
      <c r="S1748" s="6">
        <f>$E1748+8</f>
        <v>121</v>
      </c>
      <c r="T1748" s="7">
        <f>IF($J1748=0,0,ROUND(MAX($J1748*1.4*1.5*1.6*1.6*2.2,42600000*(1.576904^(MIN($E1748,123)-117)))*1,0))</f>
        <v>11567002</v>
      </c>
      <c r="U1748" s="4">
        <f>$E1748+11</f>
        <v>124</v>
      </c>
      <c r="V1748" s="8">
        <f>IF($J1748=0,0,ROUND(MAX($J1748*1.4*1.5*1.6*1.6*2.2*2.715,354000000*(1.642074^(MIN($E1748,123)-117)))*1,0))</f>
        <v>48689169</v>
      </c>
      <c r="W1748" s="6">
        <f>$E1748+15</f>
        <v>128</v>
      </c>
      <c r="X1748" s="7">
        <f>IF($J1748=0,0,ROUND(MAX($J1748*1.4*1.5*1.6*1.6*2.2*2.715*2.6,3540000000*(1.579646^(MIN($E1748,123)-117)))*1,0))</f>
        <v>568544122</v>
      </c>
      <c r="Y1748" s="4">
        <f>$E1748+17</f>
        <v>130</v>
      </c>
      <c r="Z1748" s="8">
        <f>IF($J1748=0,0,ROUND(MAX($J1748*1.4*1.5*1.6*1.6*2.2*2.715*2.6*1.4,6020000000*(1.651178^(MIN($E1748,123)-117)))*1,0))</f>
        <v>809880453</v>
      </c>
      <c r="AA1748" s="6">
        <f>$E1748+19</f>
        <v>132</v>
      </c>
      <c r="AB1748" s="7">
        <f>IF($J1748=0,0,ROUND(MAX($J1748*1.4*1.5*1.6*1.6*2.2*2.715*2.6*1.4*1.4,8430000000*(1.651435^(MIN($E1748,123)-117)))*1,0))</f>
        <v>1133395897</v>
      </c>
      <c r="AC1748" s="4">
        <f>$E1748+21</f>
        <v>134</v>
      </c>
      <c r="AD1748" s="8">
        <f>IF($J1748=0,0,ROUND(MAX($J1748*1.4*1.5*1.6*1.6*2.2*2.715*2.6*1.4*1.4*1.5,12600000000*(1.652953^(MIN($E1748,123)-117)))*1,0))</f>
        <v>1687829312</v>
      </c>
      <c r="AE1748" s="6">
        <f>$E1748+24</f>
        <v>137</v>
      </c>
      <c r="AF1748" s="7">
        <f>IF($J1748=0,0,ROUND(MAX($J1748*1.4*1.5*1.6*1.6*2.2*2.715*2.6*1.4*1.4*1.5*1.5,18900000000*(1.65331^(MIN($E1748,123)-117)))*1,0))</f>
        <v>2529557954</v>
      </c>
      <c r="AG1748" s="4">
        <f>$E1748+27</f>
        <v>140</v>
      </c>
      <c r="AH1748" s="8">
        <f>IF($J1748=0,0,ROUND(MAX($J1748*1.4*1.5*1.6*1.6*2.2*2.715*2.6*1.4*1.4*1.5*1.5*3.2,60500000000*(1.654288^(MIN($E1748,123)-117)))*1,0))</f>
        <v>8078131097</v>
      </c>
    </row>
    <row r="1749" ht="27.75" customHeight="1" spans="1:34" x14ac:dyDescent="0.25">
      <c r="A1749" s="3">
        <v>1759</v>
      </c>
      <c r="B1749" s="3" t="s">
        <v>347</v>
      </c>
      <c r="C1749" s="3" t="s">
        <v>1175</v>
      </c>
      <c r="D1749" s="3" t="s">
        <v>79</v>
      </c>
      <c r="E1749" s="3">
        <v>113</v>
      </c>
      <c r="F1749" s="3" t="s">
        <v>123</v>
      </c>
      <c r="G1749" s="3" t="s">
        <v>342</v>
      </c>
      <c r="H1749" s="3">
        <v>28</v>
      </c>
      <c r="I1749" s="4">
        <v>113</v>
      </c>
      <c r="J1749" s="5">
        <v>840000</v>
      </c>
      <c r="K1749" s="6">
        <f>$E1749+1</f>
        <v>114</v>
      </c>
      <c r="L1749" s="7">
        <f>IF($J1749=0,0,ROUND(MAX($J1749*1.4,1620000*(1.497923^(MIN($E1749,123)-117)))*1,0))</f>
        <v>1176000</v>
      </c>
      <c r="M1749" s="4">
        <f>$E1749+2</f>
        <v>115</v>
      </c>
      <c r="N1749" s="8">
        <f>IF($J1749=0,0,ROUND(MAX($J1749*1.4*1.5,2190000*(1.580994^(MIN($E1749,123)-117)))*1,0))</f>
        <v>1764000</v>
      </c>
      <c r="O1749" s="6">
        <f>$E1749+4</f>
        <v>117</v>
      </c>
      <c r="P1749" s="7">
        <f>IF($J1749=0,0,ROUND(MAX($J1749*1.4*1.5*1.6,3500000*(1.57975^(MIN($E1749,123)-117)))*1,0))</f>
        <v>2822400</v>
      </c>
      <c r="Q1749" s="4">
        <f>$E1749+6</f>
        <v>119</v>
      </c>
      <c r="R1749" s="8">
        <f>IF($J1749=0,0,ROUND(MAX($J1749*1.4*1.5*1.6*1.6,13100000*(1.429962^(MIN($E1749,123)-117)))*1,0))</f>
        <v>4515840</v>
      </c>
      <c r="S1749" s="6">
        <f>$E1749+8</f>
        <v>121</v>
      </c>
      <c r="T1749" s="7">
        <f>IF($J1749=0,0,ROUND(MAX($J1749*1.4*1.5*1.6*1.6*2.2,42600000*(1.576904^(MIN($E1749,123)-117)))*1,0))</f>
        <v>9934848</v>
      </c>
      <c r="U1749" s="4">
        <f>$E1749+11</f>
        <v>124</v>
      </c>
      <c r="V1749" s="8">
        <f>IF($J1749=0,0,ROUND(MAX($J1749*1.4*1.5*1.6*1.6*2.2*2.715,354000000*(1.642074^(MIN($E1749,123)-117)))*1,0))</f>
        <v>48689169</v>
      </c>
      <c r="W1749" s="6">
        <f>$E1749+15</f>
        <v>128</v>
      </c>
      <c r="X1749" s="7">
        <f>IF($J1749=0,0,ROUND(MAX($J1749*1.4*1.5*1.6*1.6*2.2*2.715*2.6,3540000000*(1.579646^(MIN($E1749,123)-117)))*1,0))</f>
        <v>568544122</v>
      </c>
      <c r="Y1749" s="4">
        <f>$E1749+17</f>
        <v>130</v>
      </c>
      <c r="Z1749" s="8">
        <f>IF($J1749=0,0,ROUND(MAX($J1749*1.4*1.5*1.6*1.6*2.2*2.715*2.6*1.4,6020000000*(1.651178^(MIN($E1749,123)-117)))*1,0))</f>
        <v>809880453</v>
      </c>
      <c r="AA1749" s="6">
        <f>$E1749+19</f>
        <v>132</v>
      </c>
      <c r="AB1749" s="7">
        <f>IF($J1749=0,0,ROUND(MAX($J1749*1.4*1.5*1.6*1.6*2.2*2.715*2.6*1.4*1.4,8430000000*(1.651435^(MIN($E1749,123)-117)))*1,0))</f>
        <v>1133395897</v>
      </c>
      <c r="AC1749" s="4">
        <f>$E1749+21</f>
        <v>134</v>
      </c>
      <c r="AD1749" s="8">
        <f>IF($J1749=0,0,ROUND(MAX($J1749*1.4*1.5*1.6*1.6*2.2*2.715*2.6*1.4*1.4*1.5,12600000000*(1.652953^(MIN($E1749,123)-117)))*1,0))</f>
        <v>1687829312</v>
      </c>
      <c r="AE1749" s="6">
        <f>$E1749+24</f>
        <v>137</v>
      </c>
      <c r="AF1749" s="7">
        <f>IF($J1749=0,0,ROUND(MAX($J1749*1.4*1.5*1.6*1.6*2.2*2.715*2.6*1.4*1.4*1.5*1.5,18900000000*(1.65331^(MIN($E1749,123)-117)))*1,0))</f>
        <v>2529557954</v>
      </c>
      <c r="AG1749" s="4">
        <f>$E1749+27</f>
        <v>140</v>
      </c>
      <c r="AH1749" s="8">
        <f>IF($J1749=0,0,ROUND(MAX($J1749*1.4*1.5*1.6*1.6*2.2*2.715*2.6*1.4*1.4*1.5*1.5*3.2,60500000000*(1.654288^(MIN($E1749,123)-117)))*1,0))</f>
        <v>8078131097</v>
      </c>
    </row>
    <row r="1750" ht="27.75" customHeight="1" spans="1:34" x14ac:dyDescent="0.25">
      <c r="A1750" s="3">
        <v>1760</v>
      </c>
      <c r="B1750" s="3" t="s">
        <v>635</v>
      </c>
      <c r="C1750" s="3" t="s">
        <v>1175</v>
      </c>
      <c r="D1750" s="3" t="s">
        <v>40</v>
      </c>
      <c r="E1750" s="3">
        <v>113</v>
      </c>
      <c r="F1750" s="3" t="s">
        <v>310</v>
      </c>
      <c r="G1750" s="3" t="s">
        <v>27</v>
      </c>
      <c r="H1750" s="3">
        <v>28</v>
      </c>
      <c r="I1750" s="4">
        <v>113</v>
      </c>
      <c r="J1750" s="5">
        <v>622000</v>
      </c>
      <c r="K1750" s="6">
        <f>$E1750+1</f>
        <v>114</v>
      </c>
      <c r="L1750" s="7">
        <f>IF($J1750=0,0,ROUND(MAX($J1750*1.4,1620000*(1.497923^(MIN($E1750,123)-117)))*1,0))</f>
        <v>870800</v>
      </c>
      <c r="M1750" s="4">
        <f>$E1750+2</f>
        <v>115</v>
      </c>
      <c r="N1750" s="8">
        <f>IF($J1750=0,0,ROUND(MAX($J1750*1.4*1.5,2190000*(1.580994^(MIN($E1750,123)-117)))*1,0))</f>
        <v>1306200</v>
      </c>
      <c r="O1750" s="6">
        <f>$E1750+4</f>
        <v>117</v>
      </c>
      <c r="P1750" s="7">
        <f>IF($J1750=0,0,ROUND(MAX($J1750*1.4*1.5*1.6,3500000*(1.57975^(MIN($E1750,123)-117)))*1,0))</f>
        <v>2089920</v>
      </c>
      <c r="Q1750" s="4">
        <f>$E1750+6</f>
        <v>119</v>
      </c>
      <c r="R1750" s="8">
        <f>IF($J1750=0,0,ROUND(MAX($J1750*1.4*1.5*1.6*1.6,13100000*(1.429962^(MIN($E1750,123)-117)))*1,0))</f>
        <v>3343872</v>
      </c>
      <c r="S1750" s="6">
        <f>$E1750+8</f>
        <v>121</v>
      </c>
      <c r="T1750" s="7">
        <f>IF($J1750=0,0,ROUND(MAX($J1750*1.4*1.5*1.6*1.6*2.2,42600000*(1.576904^(MIN($E1750,123)-117)))*1,0))</f>
        <v>7356518</v>
      </c>
      <c r="U1750" s="4">
        <f>$E1750+11</f>
        <v>124</v>
      </c>
      <c r="V1750" s="8">
        <f>IF($J1750=0,0,ROUND(MAX($J1750*1.4*1.5*1.6*1.6*2.2*2.715,354000000*(1.642074^(MIN($E1750,123)-117)))*1,0))</f>
        <v>48689169</v>
      </c>
      <c r="W1750" s="6">
        <f>$E1750+15</f>
        <v>128</v>
      </c>
      <c r="X1750" s="7">
        <f>IF($J1750=0,0,ROUND(MAX($J1750*1.4*1.5*1.6*1.6*2.2*2.715*2.6,3540000000*(1.579646^(MIN($E1750,123)-117)))*1,0))</f>
        <v>568544122</v>
      </c>
      <c r="Y1750" s="4">
        <f>$E1750+17</f>
        <v>130</v>
      </c>
      <c r="Z1750" s="8">
        <f>IF($J1750=0,0,ROUND(MAX($J1750*1.4*1.5*1.6*1.6*2.2*2.715*2.6*1.4,6020000000*(1.651178^(MIN($E1750,123)-117)))*1,0))</f>
        <v>809880453</v>
      </c>
      <c r="AA1750" s="6">
        <f>$E1750+19</f>
        <v>132</v>
      </c>
      <c r="AB1750" s="7">
        <f>IF($J1750=0,0,ROUND(MAX($J1750*1.4*1.5*1.6*1.6*2.2*2.715*2.6*1.4*1.4,8430000000*(1.651435^(MIN($E1750,123)-117)))*1,0))</f>
        <v>1133395897</v>
      </c>
      <c r="AC1750" s="4">
        <f>$E1750+21</f>
        <v>134</v>
      </c>
      <c r="AD1750" s="8">
        <f>IF($J1750=0,0,ROUND(MAX($J1750*1.4*1.5*1.6*1.6*2.2*2.715*2.6*1.4*1.4*1.5,12600000000*(1.652953^(MIN($E1750,123)-117)))*1,0))</f>
        <v>1687829312</v>
      </c>
      <c r="AE1750" s="6">
        <f>$E1750+24</f>
        <v>137</v>
      </c>
      <c r="AF1750" s="7">
        <f>IF($J1750=0,0,ROUND(MAX($J1750*1.4*1.5*1.6*1.6*2.2*2.715*2.6*1.4*1.4*1.5*1.5,18900000000*(1.65331^(MIN($E1750,123)-117)))*1,0))</f>
        <v>2529557954</v>
      </c>
      <c r="AG1750" s="4">
        <f>$E1750+27</f>
        <v>140</v>
      </c>
      <c r="AH1750" s="8">
        <f>IF($J1750=0,0,ROUND(MAX($J1750*1.4*1.5*1.6*1.6*2.2*2.715*2.6*1.4*1.4*1.5*1.5*3.2,60500000000*(1.654288^(MIN($E1750,123)-117)))*1,0))</f>
        <v>8078131097</v>
      </c>
    </row>
    <row r="1751" ht="27.75" customHeight="1" spans="1:34" x14ac:dyDescent="0.25">
      <c r="A1751" s="3">
        <v>1761</v>
      </c>
      <c r="B1751" s="3" t="s">
        <v>44</v>
      </c>
      <c r="C1751" s="3" t="s">
        <v>1175</v>
      </c>
      <c r="D1751" s="3" t="s">
        <v>102</v>
      </c>
      <c r="E1751" s="3">
        <v>113</v>
      </c>
      <c r="F1751" s="3" t="s">
        <v>34</v>
      </c>
      <c r="G1751" s="3" t="s">
        <v>1176</v>
      </c>
      <c r="H1751" s="3">
        <v>28</v>
      </c>
      <c r="I1751" s="4">
        <v>113</v>
      </c>
      <c r="J1751" s="5">
        <v>1049000</v>
      </c>
      <c r="K1751" s="6">
        <f>$E1751+1</f>
        <v>114</v>
      </c>
      <c r="L1751" s="7">
        <f>IF($J1751=0,0,ROUND(MAX($J1751*1.4,1620000*(1.497923^(MIN($E1751,123)-117)))*1,0))</f>
        <v>1468600</v>
      </c>
      <c r="M1751" s="4">
        <f>$E1751+2</f>
        <v>115</v>
      </c>
      <c r="N1751" s="8">
        <f>IF($J1751=0,0,ROUND(MAX($J1751*1.4*1.5,2190000*(1.580994^(MIN($E1751,123)-117)))*1,0))</f>
        <v>2202900</v>
      </c>
      <c r="O1751" s="6">
        <f>$E1751+4</f>
        <v>117</v>
      </c>
      <c r="P1751" s="7">
        <f>IF($J1751=0,0,ROUND(MAX($J1751*1.4*1.5*1.6,3500000*(1.57975^(MIN($E1751,123)-117)))*1,0))</f>
        <v>3524640</v>
      </c>
      <c r="Q1751" s="4">
        <f>$E1751+6</f>
        <v>119</v>
      </c>
      <c r="R1751" s="8">
        <f>IF($J1751=0,0,ROUND(MAX($J1751*1.4*1.5*1.6*1.6,13100000*(1.429962^(MIN($E1751,123)-117)))*1,0))</f>
        <v>5639424</v>
      </c>
      <c r="S1751" s="6">
        <f>$E1751+8</f>
        <v>121</v>
      </c>
      <c r="T1751" s="7">
        <f>IF($J1751=0,0,ROUND(MAX($J1751*1.4*1.5*1.6*1.6*2.2,42600000*(1.576904^(MIN($E1751,123)-117)))*1,0))</f>
        <v>12406733</v>
      </c>
      <c r="U1751" s="4">
        <f>$E1751+11</f>
        <v>124</v>
      </c>
      <c r="V1751" s="8">
        <f>IF($J1751=0,0,ROUND(MAX($J1751*1.4*1.5*1.6*1.6*2.2*2.715,354000000*(1.642074^(MIN($E1751,123)-117)))*1,0))</f>
        <v>48689169</v>
      </c>
      <c r="W1751" s="6">
        <f>$E1751+15</f>
        <v>128</v>
      </c>
      <c r="X1751" s="7">
        <f>IF($J1751=0,0,ROUND(MAX($J1751*1.4*1.5*1.6*1.6*2.2*2.715*2.6,3540000000*(1.579646^(MIN($E1751,123)-117)))*1,0))</f>
        <v>568544122</v>
      </c>
      <c r="Y1751" s="4">
        <f>$E1751+17</f>
        <v>130</v>
      </c>
      <c r="Z1751" s="8">
        <f>IF($J1751=0,0,ROUND(MAX($J1751*1.4*1.5*1.6*1.6*2.2*2.715*2.6*1.4,6020000000*(1.651178^(MIN($E1751,123)-117)))*1,0))</f>
        <v>809880453</v>
      </c>
      <c r="AA1751" s="6">
        <f>$E1751+19</f>
        <v>132</v>
      </c>
      <c r="AB1751" s="7">
        <f>IF($J1751=0,0,ROUND(MAX($J1751*1.4*1.5*1.6*1.6*2.2*2.715*2.6*1.4*1.4,8430000000*(1.651435^(MIN($E1751,123)-117)))*1,0))</f>
        <v>1133395897</v>
      </c>
      <c r="AC1751" s="4">
        <f>$E1751+21</f>
        <v>134</v>
      </c>
      <c r="AD1751" s="8">
        <f>IF($J1751=0,0,ROUND(MAX($J1751*1.4*1.5*1.6*1.6*2.2*2.715*2.6*1.4*1.4*1.5,12600000000*(1.652953^(MIN($E1751,123)-117)))*1,0))</f>
        <v>1687829312</v>
      </c>
      <c r="AE1751" s="6">
        <f>$E1751+24</f>
        <v>137</v>
      </c>
      <c r="AF1751" s="7">
        <f>IF($J1751=0,0,ROUND(MAX($J1751*1.4*1.5*1.6*1.6*2.2*2.715*2.6*1.4*1.4*1.5*1.5,18900000000*(1.65331^(MIN($E1751,123)-117)))*1,0))</f>
        <v>2529557954</v>
      </c>
      <c r="AG1751" s="4">
        <f>$E1751+27</f>
        <v>140</v>
      </c>
      <c r="AH1751" s="8">
        <f>IF($J1751=0,0,ROUND(MAX($J1751*1.4*1.5*1.6*1.6*2.2*2.715*2.6*1.4*1.4*1.5*1.5*3.2,60500000000*(1.654288^(MIN($E1751,123)-117)))*1,0))</f>
        <v>8078131097</v>
      </c>
    </row>
    <row r="1752" ht="27.75" customHeight="1" spans="1:34" x14ac:dyDescent="0.25">
      <c r="A1752" s="3">
        <v>1762</v>
      </c>
      <c r="B1752" s="3" t="s">
        <v>149</v>
      </c>
      <c r="C1752" s="3" t="s">
        <v>1175</v>
      </c>
      <c r="D1752" s="3" t="s">
        <v>33</v>
      </c>
      <c r="E1752" s="3">
        <v>113</v>
      </c>
      <c r="F1752" s="3" t="s">
        <v>56</v>
      </c>
      <c r="G1752" s="3" t="s">
        <v>1176</v>
      </c>
      <c r="H1752" s="3">
        <v>28</v>
      </c>
      <c r="I1752" s="4">
        <v>113</v>
      </c>
      <c r="J1752" s="5">
        <v>822000</v>
      </c>
      <c r="K1752" s="6">
        <f>$E1752+1</f>
        <v>114</v>
      </c>
      <c r="L1752" s="7">
        <f>IF($J1752=0,0,ROUND(MAX($J1752*1.4,1620000*(1.497923^(MIN($E1752,123)-117)))*1,0))</f>
        <v>1150800</v>
      </c>
      <c r="M1752" s="4">
        <f>$E1752+2</f>
        <v>115</v>
      </c>
      <c r="N1752" s="8">
        <f>IF($J1752=0,0,ROUND(MAX($J1752*1.4*1.5,2190000*(1.580994^(MIN($E1752,123)-117)))*1,0))</f>
        <v>1726200</v>
      </c>
      <c r="O1752" s="6">
        <f>$E1752+4</f>
        <v>117</v>
      </c>
      <c r="P1752" s="7">
        <f>IF($J1752=0,0,ROUND(MAX($J1752*1.4*1.5*1.6,3500000*(1.57975^(MIN($E1752,123)-117)))*1,0))</f>
        <v>2761920</v>
      </c>
      <c r="Q1752" s="4">
        <f>$E1752+6</f>
        <v>119</v>
      </c>
      <c r="R1752" s="8">
        <f>IF($J1752=0,0,ROUND(MAX($J1752*1.4*1.5*1.6*1.6,13100000*(1.429962^(MIN($E1752,123)-117)))*1,0))</f>
        <v>4419072</v>
      </c>
      <c r="S1752" s="6">
        <f>$E1752+8</f>
        <v>121</v>
      </c>
      <c r="T1752" s="7">
        <f>IF($J1752=0,0,ROUND(MAX($J1752*1.4*1.5*1.6*1.6*2.2,42600000*(1.576904^(MIN($E1752,123)-117)))*1,0))</f>
        <v>9721958</v>
      </c>
      <c r="U1752" s="4">
        <f>$E1752+11</f>
        <v>124</v>
      </c>
      <c r="V1752" s="8">
        <f>IF($J1752=0,0,ROUND(MAX($J1752*1.4*1.5*1.6*1.6*2.2*2.715,354000000*(1.642074^(MIN($E1752,123)-117)))*1,0))</f>
        <v>48689169</v>
      </c>
      <c r="W1752" s="6">
        <f>$E1752+15</f>
        <v>128</v>
      </c>
      <c r="X1752" s="7">
        <f>IF($J1752=0,0,ROUND(MAX($J1752*1.4*1.5*1.6*1.6*2.2*2.715*2.6,3540000000*(1.579646^(MIN($E1752,123)-117)))*1,0))</f>
        <v>568544122</v>
      </c>
      <c r="Y1752" s="4">
        <f>$E1752+17</f>
        <v>130</v>
      </c>
      <c r="Z1752" s="8">
        <f>IF($J1752=0,0,ROUND(MAX($J1752*1.4*1.5*1.6*1.6*2.2*2.715*2.6*1.4,6020000000*(1.651178^(MIN($E1752,123)-117)))*1,0))</f>
        <v>809880453</v>
      </c>
      <c r="AA1752" s="6">
        <f>$E1752+19</f>
        <v>132</v>
      </c>
      <c r="AB1752" s="7">
        <f>IF($J1752=0,0,ROUND(MAX($J1752*1.4*1.5*1.6*1.6*2.2*2.715*2.6*1.4*1.4,8430000000*(1.651435^(MIN($E1752,123)-117)))*1,0))</f>
        <v>1133395897</v>
      </c>
      <c r="AC1752" s="4">
        <f>$E1752+21</f>
        <v>134</v>
      </c>
      <c r="AD1752" s="8">
        <f>IF($J1752=0,0,ROUND(MAX($J1752*1.4*1.5*1.6*1.6*2.2*2.715*2.6*1.4*1.4*1.5,12600000000*(1.652953^(MIN($E1752,123)-117)))*1,0))</f>
        <v>1687829312</v>
      </c>
      <c r="AE1752" s="6">
        <f>$E1752+24</f>
        <v>137</v>
      </c>
      <c r="AF1752" s="7">
        <f>IF($J1752=0,0,ROUND(MAX($J1752*1.4*1.5*1.6*1.6*2.2*2.715*2.6*1.4*1.4*1.5*1.5,18900000000*(1.65331^(MIN($E1752,123)-117)))*1,0))</f>
        <v>2529557954</v>
      </c>
      <c r="AG1752" s="4">
        <f>$E1752+27</f>
        <v>140</v>
      </c>
      <c r="AH1752" s="8">
        <f>IF($J1752=0,0,ROUND(MAX($J1752*1.4*1.5*1.6*1.6*2.2*2.715*2.6*1.4*1.4*1.5*1.5*3.2,60500000000*(1.654288^(MIN($E1752,123)-117)))*1,0))</f>
        <v>8078131097</v>
      </c>
    </row>
    <row r="1753" ht="27.75" customHeight="1" spans="1:34" x14ac:dyDescent="0.25">
      <c r="A1753" s="3">
        <v>1763</v>
      </c>
      <c r="B1753" s="3" t="s">
        <v>76</v>
      </c>
      <c r="C1753" s="3" t="s">
        <v>1175</v>
      </c>
      <c r="D1753" s="3" t="s">
        <v>25</v>
      </c>
      <c r="E1753" s="3">
        <v>113</v>
      </c>
      <c r="F1753" s="3" t="s">
        <v>62</v>
      </c>
      <c r="G1753" s="3" t="s">
        <v>1176</v>
      </c>
      <c r="H1753" s="3">
        <v>28</v>
      </c>
      <c r="I1753" s="4">
        <v>113</v>
      </c>
      <c r="J1753" s="5">
        <v>964000</v>
      </c>
      <c r="K1753" s="6">
        <f>$E1753+1</f>
        <v>114</v>
      </c>
      <c r="L1753" s="7">
        <f>IF($J1753=0,0,ROUND(MAX($J1753*1.4,1620000*(1.497923^(MIN($E1753,123)-117)))*1,0))</f>
        <v>1349600</v>
      </c>
      <c r="M1753" s="4">
        <f>$E1753+2</f>
        <v>115</v>
      </c>
      <c r="N1753" s="8">
        <f>IF($J1753=0,0,ROUND(MAX($J1753*1.4*1.5,2190000*(1.580994^(MIN($E1753,123)-117)))*1,0))</f>
        <v>2024400</v>
      </c>
      <c r="O1753" s="6">
        <f>$E1753+4</f>
        <v>117</v>
      </c>
      <c r="P1753" s="7">
        <f>IF($J1753=0,0,ROUND(MAX($J1753*1.4*1.5*1.6,3500000*(1.57975^(MIN($E1753,123)-117)))*1,0))</f>
        <v>3239040</v>
      </c>
      <c r="Q1753" s="4">
        <f>$E1753+6</f>
        <v>119</v>
      </c>
      <c r="R1753" s="8">
        <f>IF($J1753=0,0,ROUND(MAX($J1753*1.4*1.5*1.6*1.6,13100000*(1.429962^(MIN($E1753,123)-117)))*1,0))</f>
        <v>5182464</v>
      </c>
      <c r="S1753" s="6">
        <f>$E1753+8</f>
        <v>121</v>
      </c>
      <c r="T1753" s="7">
        <f>IF($J1753=0,0,ROUND(MAX($J1753*1.4*1.5*1.6*1.6*2.2,42600000*(1.576904^(MIN($E1753,123)-117)))*1,0))</f>
        <v>11401421</v>
      </c>
      <c r="U1753" s="4">
        <f>$E1753+11</f>
        <v>124</v>
      </c>
      <c r="V1753" s="8">
        <f>IF($J1753=0,0,ROUND(MAX($J1753*1.4*1.5*1.6*1.6*2.2*2.715,354000000*(1.642074^(MIN($E1753,123)-117)))*1,0))</f>
        <v>48689169</v>
      </c>
      <c r="W1753" s="6">
        <f>$E1753+15</f>
        <v>128</v>
      </c>
      <c r="X1753" s="7">
        <f>IF($J1753=0,0,ROUND(MAX($J1753*1.4*1.5*1.6*1.6*2.2*2.715*2.6,3540000000*(1.579646^(MIN($E1753,123)-117)))*1,0))</f>
        <v>568544122</v>
      </c>
      <c r="Y1753" s="4">
        <f>$E1753+17</f>
        <v>130</v>
      </c>
      <c r="Z1753" s="8">
        <f>IF($J1753=0,0,ROUND(MAX($J1753*1.4*1.5*1.6*1.6*2.2*2.715*2.6*1.4,6020000000*(1.651178^(MIN($E1753,123)-117)))*1,0))</f>
        <v>809880453</v>
      </c>
      <c r="AA1753" s="6">
        <f>$E1753+19</f>
        <v>132</v>
      </c>
      <c r="AB1753" s="7">
        <f>IF($J1753=0,0,ROUND(MAX($J1753*1.4*1.5*1.6*1.6*2.2*2.715*2.6*1.4*1.4,8430000000*(1.651435^(MIN($E1753,123)-117)))*1,0))</f>
        <v>1133395897</v>
      </c>
      <c r="AC1753" s="4">
        <f>$E1753+21</f>
        <v>134</v>
      </c>
      <c r="AD1753" s="8">
        <f>IF($J1753=0,0,ROUND(MAX($J1753*1.4*1.5*1.6*1.6*2.2*2.715*2.6*1.4*1.4*1.5,12600000000*(1.652953^(MIN($E1753,123)-117)))*1,0))</f>
        <v>1687829312</v>
      </c>
      <c r="AE1753" s="6">
        <f>$E1753+24</f>
        <v>137</v>
      </c>
      <c r="AF1753" s="7">
        <f>IF($J1753=0,0,ROUND(MAX($J1753*1.4*1.5*1.6*1.6*2.2*2.715*2.6*1.4*1.4*1.5*1.5,18900000000*(1.65331^(MIN($E1753,123)-117)))*1,0))</f>
        <v>2529557954</v>
      </c>
      <c r="AG1753" s="4">
        <f>$E1753+27</f>
        <v>140</v>
      </c>
      <c r="AH1753" s="8">
        <f>IF($J1753=0,0,ROUND(MAX($J1753*1.4*1.5*1.6*1.6*2.2*2.715*2.6*1.4*1.4*1.5*1.5*3.2,60500000000*(1.654288^(MIN($E1753,123)-117)))*1,0))</f>
        <v>8078131097</v>
      </c>
    </row>
    <row r="1754" ht="27.75" customHeight="1" spans="1:34" x14ac:dyDescent="0.25">
      <c r="A1754" s="3">
        <v>1764</v>
      </c>
      <c r="B1754" s="3" t="s">
        <v>266</v>
      </c>
      <c r="C1754" s="3" t="s">
        <v>1175</v>
      </c>
      <c r="D1754" s="3" t="s">
        <v>79</v>
      </c>
      <c r="E1754" s="3">
        <v>113</v>
      </c>
      <c r="F1754" s="3" t="s">
        <v>267</v>
      </c>
      <c r="G1754" s="3" t="s">
        <v>67</v>
      </c>
      <c r="H1754" s="3">
        <v>27</v>
      </c>
      <c r="I1754" s="4">
        <v>113</v>
      </c>
      <c r="J1754" s="5">
        <v>679000</v>
      </c>
      <c r="K1754" s="6">
        <f>$E1754+1</f>
        <v>114</v>
      </c>
      <c r="L1754" s="7">
        <f>IF($J1754=0,0,ROUND(MAX($J1754*1.4,1620000*(1.497923^(MIN($E1754,123)-117)))*1,0))</f>
        <v>950600</v>
      </c>
      <c r="M1754" s="4">
        <f>$E1754+2</f>
        <v>115</v>
      </c>
      <c r="N1754" s="8">
        <f>IF($J1754=0,0,ROUND(MAX($J1754*1.4*1.5,2190000*(1.580994^(MIN($E1754,123)-117)))*1,0))</f>
        <v>1425900</v>
      </c>
      <c r="O1754" s="6">
        <f>$E1754+4</f>
        <v>117</v>
      </c>
      <c r="P1754" s="7">
        <f>IF($J1754=0,0,ROUND(MAX($J1754*1.4*1.5*1.6,3500000*(1.57975^(MIN($E1754,123)-117)))*1,0))</f>
        <v>2281440</v>
      </c>
      <c r="Q1754" s="4">
        <f>$E1754+6</f>
        <v>119</v>
      </c>
      <c r="R1754" s="8">
        <f>IF($J1754=0,0,ROUND(MAX($J1754*1.4*1.5*1.6*1.6,13100000*(1.429962^(MIN($E1754,123)-117)))*1,0))</f>
        <v>3650304</v>
      </c>
      <c r="S1754" s="6">
        <f>$E1754+8</f>
        <v>121</v>
      </c>
      <c r="T1754" s="7">
        <f>IF($J1754=0,0,ROUND(MAX($J1754*1.4*1.5*1.6*1.6*2.2,42600000*(1.576904^(MIN($E1754,123)-117)))*1,0))</f>
        <v>8030669</v>
      </c>
      <c r="U1754" s="4">
        <f>$E1754+11</f>
        <v>124</v>
      </c>
      <c r="V1754" s="8">
        <f>IF($J1754=0,0,ROUND(MAX($J1754*1.4*1.5*1.6*1.6*2.2*2.715,354000000*(1.642074^(MIN($E1754,123)-117)))*1,0))</f>
        <v>48689169</v>
      </c>
      <c r="W1754" s="6">
        <f>$E1754+15</f>
        <v>128</v>
      </c>
      <c r="X1754" s="7">
        <f>IF($J1754=0,0,ROUND(MAX($J1754*1.4*1.5*1.6*1.6*2.2*2.715*2.6,3540000000*(1.579646^(MIN($E1754,123)-117)))*1,0))</f>
        <v>568544122</v>
      </c>
      <c r="Y1754" s="4">
        <f>$E1754+17</f>
        <v>130</v>
      </c>
      <c r="Z1754" s="8">
        <f>IF($J1754=0,0,ROUND(MAX($J1754*1.4*1.5*1.6*1.6*2.2*2.715*2.6*1.4,6020000000*(1.651178^(MIN($E1754,123)-117)))*1,0))</f>
        <v>809880453</v>
      </c>
      <c r="AA1754" s="6">
        <f>$E1754+19</f>
        <v>132</v>
      </c>
      <c r="AB1754" s="7">
        <f>IF($J1754=0,0,ROUND(MAX($J1754*1.4*1.5*1.6*1.6*2.2*2.715*2.6*1.4*1.4,8430000000*(1.651435^(MIN($E1754,123)-117)))*1,0))</f>
        <v>1133395897</v>
      </c>
      <c r="AC1754" s="4">
        <f>$E1754+21</f>
        <v>134</v>
      </c>
      <c r="AD1754" s="8">
        <f>IF($J1754=0,0,ROUND(MAX($J1754*1.4*1.5*1.6*1.6*2.2*2.715*2.6*1.4*1.4*1.5,12600000000*(1.652953^(MIN($E1754,123)-117)))*1,0))</f>
        <v>1687829312</v>
      </c>
      <c r="AE1754" s="6">
        <f>$E1754+24</f>
        <v>137</v>
      </c>
      <c r="AF1754" s="7">
        <f>IF($J1754=0,0,ROUND(MAX($J1754*1.4*1.5*1.6*1.6*2.2*2.715*2.6*1.4*1.4*1.5*1.5,18900000000*(1.65331^(MIN($E1754,123)-117)))*1,0))</f>
        <v>2529557954</v>
      </c>
      <c r="AG1754" s="4">
        <f>$E1754+27</f>
        <v>140</v>
      </c>
      <c r="AH1754" s="8">
        <f>IF($J1754=0,0,ROUND(MAX($J1754*1.4*1.5*1.6*1.6*2.2*2.715*2.6*1.4*1.4*1.5*1.5*3.2,60500000000*(1.654288^(MIN($E1754,123)-117)))*1,0))</f>
        <v>8078131097</v>
      </c>
    </row>
    <row r="1755" ht="27.75" customHeight="1" spans="1:34" x14ac:dyDescent="0.25">
      <c r="A1755" s="3">
        <v>1765</v>
      </c>
      <c r="B1755" s="3" t="s">
        <v>238</v>
      </c>
      <c r="C1755" s="3" t="s">
        <v>1175</v>
      </c>
      <c r="D1755" s="3" t="s">
        <v>45</v>
      </c>
      <c r="E1755" s="3">
        <v>113</v>
      </c>
      <c r="F1755" s="3" t="s">
        <v>71</v>
      </c>
      <c r="G1755" s="3" t="s">
        <v>72</v>
      </c>
      <c r="H1755" s="3">
        <v>27</v>
      </c>
      <c r="I1755" s="4">
        <v>113</v>
      </c>
      <c r="J1755" s="5">
        <v>920000</v>
      </c>
      <c r="K1755" s="6">
        <f>$E1755+1</f>
        <v>114</v>
      </c>
      <c r="L1755" s="7">
        <f>IF($J1755=0,0,ROUND(MAX($J1755*1.4,1620000*(1.497923^(MIN($E1755,123)-117)))*1,0))</f>
        <v>1288000</v>
      </c>
      <c r="M1755" s="4">
        <f>$E1755+2</f>
        <v>115</v>
      </c>
      <c r="N1755" s="8">
        <f>IF($J1755=0,0,ROUND(MAX($J1755*1.4*1.5,2190000*(1.580994^(MIN($E1755,123)-117)))*1,0))</f>
        <v>1932000</v>
      </c>
      <c r="O1755" s="6">
        <f>$E1755+4</f>
        <v>117</v>
      </c>
      <c r="P1755" s="7">
        <f>IF($J1755=0,0,ROUND(MAX($J1755*1.4*1.5*1.6,3500000*(1.57975^(MIN($E1755,123)-117)))*1,0))</f>
        <v>3091200</v>
      </c>
      <c r="Q1755" s="4">
        <f>$E1755+6</f>
        <v>119</v>
      </c>
      <c r="R1755" s="8">
        <f>IF($J1755=0,0,ROUND(MAX($J1755*1.4*1.5*1.6*1.6,13100000*(1.429962^(MIN($E1755,123)-117)))*1,0))</f>
        <v>4945920</v>
      </c>
      <c r="S1755" s="6">
        <f>$E1755+8</f>
        <v>121</v>
      </c>
      <c r="T1755" s="7">
        <f>IF($J1755=0,0,ROUND(MAX($J1755*1.4*1.5*1.6*1.6*2.2,42600000*(1.576904^(MIN($E1755,123)-117)))*1,0))</f>
        <v>10881024</v>
      </c>
      <c r="U1755" s="4">
        <f>$E1755+11</f>
        <v>124</v>
      </c>
      <c r="V1755" s="8">
        <f>IF($J1755=0,0,ROUND(MAX($J1755*1.4*1.5*1.6*1.6*2.2*2.715,354000000*(1.642074^(MIN($E1755,123)-117)))*1,0))</f>
        <v>48689169</v>
      </c>
      <c r="W1755" s="6">
        <f>$E1755+15</f>
        <v>128</v>
      </c>
      <c r="X1755" s="7">
        <f>IF($J1755=0,0,ROUND(MAX($J1755*1.4*1.5*1.6*1.6*2.2*2.715*2.6,3540000000*(1.579646^(MIN($E1755,123)-117)))*1,0))</f>
        <v>568544122</v>
      </c>
      <c r="Y1755" s="4">
        <f>$E1755+17</f>
        <v>130</v>
      </c>
      <c r="Z1755" s="8">
        <f>IF($J1755=0,0,ROUND(MAX($J1755*1.4*1.5*1.6*1.6*2.2*2.715*2.6*1.4,6020000000*(1.651178^(MIN($E1755,123)-117)))*1,0))</f>
        <v>809880453</v>
      </c>
      <c r="AA1755" s="6">
        <f>$E1755+19</f>
        <v>132</v>
      </c>
      <c r="AB1755" s="7">
        <f>IF($J1755=0,0,ROUND(MAX($J1755*1.4*1.5*1.6*1.6*2.2*2.715*2.6*1.4*1.4,8430000000*(1.651435^(MIN($E1755,123)-117)))*1,0))</f>
        <v>1133395897</v>
      </c>
      <c r="AC1755" s="4">
        <f>$E1755+21</f>
        <v>134</v>
      </c>
      <c r="AD1755" s="8">
        <f>IF($J1755=0,0,ROUND(MAX($J1755*1.4*1.5*1.6*1.6*2.2*2.715*2.6*1.4*1.4*1.5,12600000000*(1.652953^(MIN($E1755,123)-117)))*1,0))</f>
        <v>1687829312</v>
      </c>
      <c r="AE1755" s="6">
        <f>$E1755+24</f>
        <v>137</v>
      </c>
      <c r="AF1755" s="7">
        <f>IF($J1755=0,0,ROUND(MAX($J1755*1.4*1.5*1.6*1.6*2.2*2.715*2.6*1.4*1.4*1.5*1.5,18900000000*(1.65331^(MIN($E1755,123)-117)))*1,0))</f>
        <v>2529557954</v>
      </c>
      <c r="AG1755" s="4">
        <f>$E1755+27</f>
        <v>140</v>
      </c>
      <c r="AH1755" s="8">
        <f>IF($J1755=0,0,ROUND(MAX($J1755*1.4*1.5*1.6*1.6*2.2*2.715*2.6*1.4*1.4*1.5*1.5*3.2,60500000000*(1.654288^(MIN($E1755,123)-117)))*1,0))</f>
        <v>8078131097</v>
      </c>
    </row>
    <row r="1756" ht="27.75" customHeight="1" spans="1:34" x14ac:dyDescent="0.25">
      <c r="A1756" s="3">
        <v>1766</v>
      </c>
      <c r="B1756" s="3" t="s">
        <v>852</v>
      </c>
      <c r="C1756" s="3" t="s">
        <v>1175</v>
      </c>
      <c r="D1756" s="3" t="s">
        <v>79</v>
      </c>
      <c r="E1756" s="3">
        <v>113</v>
      </c>
      <c r="F1756" s="3" t="s">
        <v>30</v>
      </c>
      <c r="G1756" s="3" t="s">
        <v>95</v>
      </c>
      <c r="H1756" s="3">
        <v>27</v>
      </c>
      <c r="I1756" s="4">
        <v>113</v>
      </c>
      <c r="J1756" s="5">
        <v>750000</v>
      </c>
      <c r="K1756" s="6">
        <f>$E1756+1</f>
        <v>114</v>
      </c>
      <c r="L1756" s="7">
        <f>IF($J1756=0,0,ROUND(MAX($J1756*1.4,1620000*(1.497923^(MIN($E1756,123)-117)))*1,0))</f>
        <v>1050000</v>
      </c>
      <c r="M1756" s="4">
        <f>$E1756+2</f>
        <v>115</v>
      </c>
      <c r="N1756" s="8">
        <f>IF($J1756=0,0,ROUND(MAX($J1756*1.4*1.5,2190000*(1.580994^(MIN($E1756,123)-117)))*1,0))</f>
        <v>1575000</v>
      </c>
      <c r="O1756" s="6">
        <f>$E1756+4</f>
        <v>117</v>
      </c>
      <c r="P1756" s="7">
        <f>IF($J1756=0,0,ROUND(MAX($J1756*1.4*1.5*1.6,3500000*(1.57975^(MIN($E1756,123)-117)))*1,0))</f>
        <v>2520000</v>
      </c>
      <c r="Q1756" s="4">
        <f>$E1756+6</f>
        <v>119</v>
      </c>
      <c r="R1756" s="8">
        <f>IF($J1756=0,0,ROUND(MAX($J1756*1.4*1.5*1.6*1.6,13100000*(1.429962^(MIN($E1756,123)-117)))*1,0))</f>
        <v>4032000</v>
      </c>
      <c r="S1756" s="6">
        <f>$E1756+8</f>
        <v>121</v>
      </c>
      <c r="T1756" s="7">
        <f>IF($J1756=0,0,ROUND(MAX($J1756*1.4*1.5*1.6*1.6*2.2,42600000*(1.576904^(MIN($E1756,123)-117)))*1,0))</f>
        <v>8870400</v>
      </c>
      <c r="U1756" s="4">
        <f>$E1756+11</f>
        <v>124</v>
      </c>
      <c r="V1756" s="8">
        <f>IF($J1756=0,0,ROUND(MAX($J1756*1.4*1.5*1.6*1.6*2.2*2.715,354000000*(1.642074^(MIN($E1756,123)-117)))*1,0))</f>
        <v>48689169</v>
      </c>
      <c r="W1756" s="6">
        <f>$E1756+15</f>
        <v>128</v>
      </c>
      <c r="X1756" s="7">
        <f>IF($J1756=0,0,ROUND(MAX($J1756*1.4*1.5*1.6*1.6*2.2*2.715*2.6,3540000000*(1.579646^(MIN($E1756,123)-117)))*1,0))</f>
        <v>568544122</v>
      </c>
      <c r="Y1756" s="4">
        <f>$E1756+17</f>
        <v>130</v>
      </c>
      <c r="Z1756" s="8">
        <f>IF($J1756=0,0,ROUND(MAX($J1756*1.4*1.5*1.6*1.6*2.2*2.715*2.6*1.4,6020000000*(1.651178^(MIN($E1756,123)-117)))*1,0))</f>
        <v>809880453</v>
      </c>
      <c r="AA1756" s="6">
        <f>$E1756+19</f>
        <v>132</v>
      </c>
      <c r="AB1756" s="7">
        <f>IF($J1756=0,0,ROUND(MAX($J1756*1.4*1.5*1.6*1.6*2.2*2.715*2.6*1.4*1.4,8430000000*(1.651435^(MIN($E1756,123)-117)))*1,0))</f>
        <v>1133395897</v>
      </c>
      <c r="AC1756" s="4">
        <f>$E1756+21</f>
        <v>134</v>
      </c>
      <c r="AD1756" s="8">
        <f>IF($J1756=0,0,ROUND(MAX($J1756*1.4*1.5*1.6*1.6*2.2*2.715*2.6*1.4*1.4*1.5,12600000000*(1.652953^(MIN($E1756,123)-117)))*1,0))</f>
        <v>1687829312</v>
      </c>
      <c r="AE1756" s="6">
        <f>$E1756+24</f>
        <v>137</v>
      </c>
      <c r="AF1756" s="7">
        <f>IF($J1756=0,0,ROUND(MAX($J1756*1.4*1.5*1.6*1.6*2.2*2.715*2.6*1.4*1.4*1.5*1.5,18900000000*(1.65331^(MIN($E1756,123)-117)))*1,0))</f>
        <v>2529557954</v>
      </c>
      <c r="AG1756" s="4">
        <f>$E1756+27</f>
        <v>140</v>
      </c>
      <c r="AH1756" s="8">
        <f>IF($J1756=0,0,ROUND(MAX($J1756*1.4*1.5*1.6*1.6*2.2*2.715*2.6*1.4*1.4*1.5*1.5*3.2,60500000000*(1.654288^(MIN($E1756,123)-117)))*1,0))</f>
        <v>8078131097</v>
      </c>
    </row>
    <row r="1757" ht="27.75" customHeight="1" spans="1:34" x14ac:dyDescent="0.25">
      <c r="A1757" s="3">
        <v>1767</v>
      </c>
      <c r="B1757" s="3" t="s">
        <v>630</v>
      </c>
      <c r="C1757" s="3" t="s">
        <v>1175</v>
      </c>
      <c r="D1757" s="3" t="s">
        <v>102</v>
      </c>
      <c r="E1757" s="3">
        <v>113</v>
      </c>
      <c r="F1757" s="3" t="s">
        <v>71</v>
      </c>
      <c r="G1757" s="3" t="s">
        <v>185</v>
      </c>
      <c r="H1757" s="3">
        <v>27</v>
      </c>
      <c r="I1757" s="4">
        <v>113</v>
      </c>
      <c r="J1757" s="5">
        <v>901000</v>
      </c>
      <c r="K1757" s="6">
        <f>$E1757+1</f>
        <v>114</v>
      </c>
      <c r="L1757" s="7">
        <f>IF($J1757=0,0,ROUND(MAX($J1757*1.4,1620000*(1.497923^(MIN($E1757,123)-117)))*1,0))</f>
        <v>1261400</v>
      </c>
      <c r="M1757" s="4">
        <f>$E1757+2</f>
        <v>115</v>
      </c>
      <c r="N1757" s="8">
        <f>IF($J1757=0,0,ROUND(MAX($J1757*1.4*1.5,2190000*(1.580994^(MIN($E1757,123)-117)))*1,0))</f>
        <v>1892100</v>
      </c>
      <c r="O1757" s="6">
        <f>$E1757+4</f>
        <v>117</v>
      </c>
      <c r="P1757" s="7">
        <f>IF($J1757=0,0,ROUND(MAX($J1757*1.4*1.5*1.6,3500000*(1.57975^(MIN($E1757,123)-117)))*1,0))</f>
        <v>3027360</v>
      </c>
      <c r="Q1757" s="4">
        <f>$E1757+6</f>
        <v>119</v>
      </c>
      <c r="R1757" s="8">
        <f>IF($J1757=0,0,ROUND(MAX($J1757*1.4*1.5*1.6*1.6,13100000*(1.429962^(MIN($E1757,123)-117)))*1,0))</f>
        <v>4843776</v>
      </c>
      <c r="S1757" s="6">
        <f>$E1757+8</f>
        <v>121</v>
      </c>
      <c r="T1757" s="7">
        <f>IF($J1757=0,0,ROUND(MAX($J1757*1.4*1.5*1.6*1.6*2.2,42600000*(1.576904^(MIN($E1757,123)-117)))*1,0))</f>
        <v>10656307</v>
      </c>
      <c r="U1757" s="4">
        <f>$E1757+11</f>
        <v>124</v>
      </c>
      <c r="V1757" s="8">
        <f>IF($J1757=0,0,ROUND(MAX($J1757*1.4*1.5*1.6*1.6*2.2*2.715,354000000*(1.642074^(MIN($E1757,123)-117)))*1,0))</f>
        <v>48689169</v>
      </c>
      <c r="W1757" s="6">
        <f>$E1757+15</f>
        <v>128</v>
      </c>
      <c r="X1757" s="7">
        <f>IF($J1757=0,0,ROUND(MAX($J1757*1.4*1.5*1.6*1.6*2.2*2.715*2.6,3540000000*(1.579646^(MIN($E1757,123)-117)))*1,0))</f>
        <v>568544122</v>
      </c>
      <c r="Y1757" s="4">
        <f>$E1757+17</f>
        <v>130</v>
      </c>
      <c r="Z1757" s="8">
        <f>IF($J1757=0,0,ROUND(MAX($J1757*1.4*1.5*1.6*1.6*2.2*2.715*2.6*1.4,6020000000*(1.651178^(MIN($E1757,123)-117)))*1,0))</f>
        <v>809880453</v>
      </c>
      <c r="AA1757" s="6">
        <f>$E1757+19</f>
        <v>132</v>
      </c>
      <c r="AB1757" s="7">
        <f>IF($J1757=0,0,ROUND(MAX($J1757*1.4*1.5*1.6*1.6*2.2*2.715*2.6*1.4*1.4,8430000000*(1.651435^(MIN($E1757,123)-117)))*1,0))</f>
        <v>1133395897</v>
      </c>
      <c r="AC1757" s="4">
        <f>$E1757+21</f>
        <v>134</v>
      </c>
      <c r="AD1757" s="8">
        <f>IF($J1757=0,0,ROUND(MAX($J1757*1.4*1.5*1.6*1.6*2.2*2.715*2.6*1.4*1.4*1.5,12600000000*(1.652953^(MIN($E1757,123)-117)))*1,0))</f>
        <v>1687829312</v>
      </c>
      <c r="AE1757" s="6">
        <f>$E1757+24</f>
        <v>137</v>
      </c>
      <c r="AF1757" s="7">
        <f>IF($J1757=0,0,ROUND(MAX($J1757*1.4*1.5*1.6*1.6*2.2*2.715*2.6*1.4*1.4*1.5*1.5,18900000000*(1.65331^(MIN($E1757,123)-117)))*1,0))</f>
        <v>2529557954</v>
      </c>
      <c r="AG1757" s="4">
        <f>$E1757+27</f>
        <v>140</v>
      </c>
      <c r="AH1757" s="8">
        <f>IF($J1757=0,0,ROUND(MAX($J1757*1.4*1.5*1.6*1.6*2.2*2.715*2.6*1.4*1.4*1.5*1.5*3.2,60500000000*(1.654288^(MIN($E1757,123)-117)))*1,0))</f>
        <v>8078131097</v>
      </c>
    </row>
    <row r="1758" ht="27.75" customHeight="1" spans="1:34" x14ac:dyDescent="0.25">
      <c r="A1758" s="3">
        <v>1768</v>
      </c>
      <c r="B1758" s="3" t="s">
        <v>792</v>
      </c>
      <c r="C1758" s="3" t="s">
        <v>1175</v>
      </c>
      <c r="D1758" s="3" t="s">
        <v>40</v>
      </c>
      <c r="E1758" s="3">
        <v>113</v>
      </c>
      <c r="F1758" s="3" t="s">
        <v>34</v>
      </c>
      <c r="G1758" s="3" t="s">
        <v>254</v>
      </c>
      <c r="H1758" s="3">
        <v>27</v>
      </c>
      <c r="I1758" s="4">
        <v>113</v>
      </c>
      <c r="J1758" s="5">
        <v>866000</v>
      </c>
      <c r="K1758" s="6">
        <f>$E1758+1</f>
        <v>114</v>
      </c>
      <c r="L1758" s="7">
        <f>IF($J1758=0,0,ROUND(MAX($J1758*1.4,1620000*(1.497923^(MIN($E1758,123)-117)))*1,0))</f>
        <v>1212400</v>
      </c>
      <c r="M1758" s="4">
        <f>$E1758+2</f>
        <v>115</v>
      </c>
      <c r="N1758" s="8">
        <f>IF($J1758=0,0,ROUND(MAX($J1758*1.4*1.5,2190000*(1.580994^(MIN($E1758,123)-117)))*1,0))</f>
        <v>1818600</v>
      </c>
      <c r="O1758" s="6">
        <f>$E1758+4</f>
        <v>117</v>
      </c>
      <c r="P1758" s="7">
        <f>IF($J1758=0,0,ROUND(MAX($J1758*1.4*1.5*1.6,3500000*(1.57975^(MIN($E1758,123)-117)))*1,0))</f>
        <v>2909760</v>
      </c>
      <c r="Q1758" s="4">
        <f>$E1758+6</f>
        <v>119</v>
      </c>
      <c r="R1758" s="8">
        <f>IF($J1758=0,0,ROUND(MAX($J1758*1.4*1.5*1.6*1.6,13100000*(1.429962^(MIN($E1758,123)-117)))*1,0))</f>
        <v>4655616</v>
      </c>
      <c r="S1758" s="6">
        <f>$E1758+8</f>
        <v>121</v>
      </c>
      <c r="T1758" s="7">
        <f>IF($J1758=0,0,ROUND(MAX($J1758*1.4*1.5*1.6*1.6*2.2,42600000*(1.576904^(MIN($E1758,123)-117)))*1,0))</f>
        <v>10242355</v>
      </c>
      <c r="U1758" s="4">
        <f>$E1758+11</f>
        <v>124</v>
      </c>
      <c r="V1758" s="8">
        <f>IF($J1758=0,0,ROUND(MAX($J1758*1.4*1.5*1.6*1.6*2.2*2.715,354000000*(1.642074^(MIN($E1758,123)-117)))*1,0))</f>
        <v>48689169</v>
      </c>
      <c r="W1758" s="6">
        <f>$E1758+15</f>
        <v>128</v>
      </c>
      <c r="X1758" s="7">
        <f>IF($J1758=0,0,ROUND(MAX($J1758*1.4*1.5*1.6*1.6*2.2*2.715*2.6,3540000000*(1.579646^(MIN($E1758,123)-117)))*1,0))</f>
        <v>568544122</v>
      </c>
      <c r="Y1758" s="4">
        <f>$E1758+17</f>
        <v>130</v>
      </c>
      <c r="Z1758" s="8">
        <f>IF($J1758=0,0,ROUND(MAX($J1758*1.4*1.5*1.6*1.6*2.2*2.715*2.6*1.4,6020000000*(1.651178^(MIN($E1758,123)-117)))*1,0))</f>
        <v>809880453</v>
      </c>
      <c r="AA1758" s="6">
        <f>$E1758+19</f>
        <v>132</v>
      </c>
      <c r="AB1758" s="7">
        <f>IF($J1758=0,0,ROUND(MAX($J1758*1.4*1.5*1.6*1.6*2.2*2.715*2.6*1.4*1.4,8430000000*(1.651435^(MIN($E1758,123)-117)))*1,0))</f>
        <v>1133395897</v>
      </c>
      <c r="AC1758" s="4">
        <f>$E1758+21</f>
        <v>134</v>
      </c>
      <c r="AD1758" s="8">
        <f>IF($J1758=0,0,ROUND(MAX($J1758*1.4*1.5*1.6*1.6*2.2*2.715*2.6*1.4*1.4*1.5,12600000000*(1.652953^(MIN($E1758,123)-117)))*1,0))</f>
        <v>1687829312</v>
      </c>
      <c r="AE1758" s="6">
        <f>$E1758+24</f>
        <v>137</v>
      </c>
      <c r="AF1758" s="7">
        <f>IF($J1758=0,0,ROUND(MAX($J1758*1.4*1.5*1.6*1.6*2.2*2.715*2.6*1.4*1.4*1.5*1.5,18900000000*(1.65331^(MIN($E1758,123)-117)))*1,0))</f>
        <v>2529557954</v>
      </c>
      <c r="AG1758" s="4">
        <f>$E1758+27</f>
        <v>140</v>
      </c>
      <c r="AH1758" s="8">
        <f>IF($J1758=0,0,ROUND(MAX($J1758*1.4*1.5*1.6*1.6*2.2*2.715*2.6*1.4*1.4*1.5*1.5*3.2,60500000000*(1.654288^(MIN($E1758,123)-117)))*1,0))</f>
        <v>8078131097</v>
      </c>
    </row>
    <row r="1759" ht="27.75" customHeight="1" spans="1:34" x14ac:dyDescent="0.25">
      <c r="A1759" s="3">
        <v>1769</v>
      </c>
      <c r="B1759" s="3" t="s">
        <v>624</v>
      </c>
      <c r="C1759" s="3" t="s">
        <v>1175</v>
      </c>
      <c r="D1759" s="3" t="s">
        <v>29</v>
      </c>
      <c r="E1759" s="3">
        <v>113</v>
      </c>
      <c r="F1759" s="3" t="s">
        <v>26</v>
      </c>
      <c r="G1759" s="3" t="s">
        <v>104</v>
      </c>
      <c r="H1759" s="3">
        <v>27</v>
      </c>
      <c r="I1759" s="4">
        <v>113</v>
      </c>
      <c r="J1759" s="5">
        <v>951000</v>
      </c>
      <c r="K1759" s="6">
        <f>$E1759+1</f>
        <v>114</v>
      </c>
      <c r="L1759" s="7">
        <f>IF($J1759=0,0,ROUND(MAX($J1759*1.4,1620000*(1.497923^(MIN($E1759,123)-117)))*1,0))</f>
        <v>1331400</v>
      </c>
      <c r="M1759" s="4">
        <f>$E1759+2</f>
        <v>115</v>
      </c>
      <c r="N1759" s="8">
        <f>IF($J1759=0,0,ROUND(MAX($J1759*1.4*1.5,2190000*(1.580994^(MIN($E1759,123)-117)))*1,0))</f>
        <v>1997100</v>
      </c>
      <c r="O1759" s="6">
        <f>$E1759+4</f>
        <v>117</v>
      </c>
      <c r="P1759" s="7">
        <f>IF($J1759=0,0,ROUND(MAX($J1759*1.4*1.5*1.6,3500000*(1.57975^(MIN($E1759,123)-117)))*1,0))</f>
        <v>3195360</v>
      </c>
      <c r="Q1759" s="4">
        <f>$E1759+6</f>
        <v>119</v>
      </c>
      <c r="R1759" s="8">
        <f>IF($J1759=0,0,ROUND(MAX($J1759*1.4*1.5*1.6*1.6,13100000*(1.429962^(MIN($E1759,123)-117)))*1,0))</f>
        <v>5112576</v>
      </c>
      <c r="S1759" s="6">
        <f>$E1759+8</f>
        <v>121</v>
      </c>
      <c r="T1759" s="7">
        <f>IF($J1759=0,0,ROUND(MAX($J1759*1.4*1.5*1.6*1.6*2.2,42600000*(1.576904^(MIN($E1759,123)-117)))*1,0))</f>
        <v>11247667</v>
      </c>
      <c r="U1759" s="4">
        <f>$E1759+11</f>
        <v>124</v>
      </c>
      <c r="V1759" s="8">
        <f>IF($J1759=0,0,ROUND(MAX($J1759*1.4*1.5*1.6*1.6*2.2*2.715,354000000*(1.642074^(MIN($E1759,123)-117)))*1,0))</f>
        <v>48689169</v>
      </c>
      <c r="W1759" s="6">
        <f>$E1759+15</f>
        <v>128</v>
      </c>
      <c r="X1759" s="7">
        <f>IF($J1759=0,0,ROUND(MAX($J1759*1.4*1.5*1.6*1.6*2.2*2.715*2.6,3540000000*(1.579646^(MIN($E1759,123)-117)))*1,0))</f>
        <v>568544122</v>
      </c>
      <c r="Y1759" s="4">
        <f>$E1759+17</f>
        <v>130</v>
      </c>
      <c r="Z1759" s="8">
        <f>IF($J1759=0,0,ROUND(MAX($J1759*1.4*1.5*1.6*1.6*2.2*2.715*2.6*1.4,6020000000*(1.651178^(MIN($E1759,123)-117)))*1,0))</f>
        <v>809880453</v>
      </c>
      <c r="AA1759" s="6">
        <f>$E1759+19</f>
        <v>132</v>
      </c>
      <c r="AB1759" s="7">
        <f>IF($J1759=0,0,ROUND(MAX($J1759*1.4*1.5*1.6*1.6*2.2*2.715*2.6*1.4*1.4,8430000000*(1.651435^(MIN($E1759,123)-117)))*1,0))</f>
        <v>1133395897</v>
      </c>
      <c r="AC1759" s="4">
        <f>$E1759+21</f>
        <v>134</v>
      </c>
      <c r="AD1759" s="8">
        <f>IF($J1759=0,0,ROUND(MAX($J1759*1.4*1.5*1.6*1.6*2.2*2.715*2.6*1.4*1.4*1.5,12600000000*(1.652953^(MIN($E1759,123)-117)))*1,0))</f>
        <v>1687829312</v>
      </c>
      <c r="AE1759" s="6">
        <f>$E1759+24</f>
        <v>137</v>
      </c>
      <c r="AF1759" s="7">
        <f>IF($J1759=0,0,ROUND(MAX($J1759*1.4*1.5*1.6*1.6*2.2*2.715*2.6*1.4*1.4*1.5*1.5,18900000000*(1.65331^(MIN($E1759,123)-117)))*1,0))</f>
        <v>2529557954</v>
      </c>
      <c r="AG1759" s="4">
        <f>$E1759+27</f>
        <v>140</v>
      </c>
      <c r="AH1759" s="8">
        <f>IF($J1759=0,0,ROUND(MAX($J1759*1.4*1.5*1.6*1.6*2.2*2.715*2.6*1.4*1.4*1.5*1.5*3.2,60500000000*(1.654288^(MIN($E1759,123)-117)))*1,0))</f>
        <v>8078131097</v>
      </c>
    </row>
    <row r="1760" ht="27.75" customHeight="1" spans="1:34" x14ac:dyDescent="0.25">
      <c r="A1760" s="3">
        <v>1770</v>
      </c>
      <c r="B1760" s="3" t="s">
        <v>835</v>
      </c>
      <c r="C1760" s="3" t="s">
        <v>1175</v>
      </c>
      <c r="D1760" s="3" t="s">
        <v>29</v>
      </c>
      <c r="E1760" s="3">
        <v>113</v>
      </c>
      <c r="F1760" s="3" t="s">
        <v>56</v>
      </c>
      <c r="G1760" s="3" t="s">
        <v>392</v>
      </c>
      <c r="H1760" s="3">
        <v>27</v>
      </c>
      <c r="I1760" s="4">
        <v>113</v>
      </c>
      <c r="J1760" s="5">
        <v>848000</v>
      </c>
      <c r="K1760" s="6">
        <f>$E1760+1</f>
        <v>114</v>
      </c>
      <c r="L1760" s="7">
        <f>IF($J1760=0,0,ROUND(MAX($J1760*1.4,1620000*(1.497923^(MIN($E1760,123)-117)))*1,0))</f>
        <v>1187200</v>
      </c>
      <c r="M1760" s="4">
        <f>$E1760+2</f>
        <v>115</v>
      </c>
      <c r="N1760" s="8">
        <f>IF($J1760=0,0,ROUND(MAX($J1760*1.4*1.5,2190000*(1.580994^(MIN($E1760,123)-117)))*1,0))</f>
        <v>1780800</v>
      </c>
      <c r="O1760" s="6">
        <f>$E1760+4</f>
        <v>117</v>
      </c>
      <c r="P1760" s="7">
        <f>IF($J1760=0,0,ROUND(MAX($J1760*1.4*1.5*1.6,3500000*(1.57975^(MIN($E1760,123)-117)))*1,0))</f>
        <v>2849280</v>
      </c>
      <c r="Q1760" s="4">
        <f>$E1760+6</f>
        <v>119</v>
      </c>
      <c r="R1760" s="8">
        <f>IF($J1760=0,0,ROUND(MAX($J1760*1.4*1.5*1.6*1.6,13100000*(1.429962^(MIN($E1760,123)-117)))*1,0))</f>
        <v>4558848</v>
      </c>
      <c r="S1760" s="6">
        <f>$E1760+8</f>
        <v>121</v>
      </c>
      <c r="T1760" s="7">
        <f>IF($J1760=0,0,ROUND(MAX($J1760*1.4*1.5*1.6*1.6*2.2,42600000*(1.576904^(MIN($E1760,123)-117)))*1,0))</f>
        <v>10029466</v>
      </c>
      <c r="U1760" s="4">
        <f>$E1760+11</f>
        <v>124</v>
      </c>
      <c r="V1760" s="8">
        <f>IF($J1760=0,0,ROUND(MAX($J1760*1.4*1.5*1.6*1.6*2.2*2.715,354000000*(1.642074^(MIN($E1760,123)-117)))*1,0))</f>
        <v>48689169</v>
      </c>
      <c r="W1760" s="6">
        <f>$E1760+15</f>
        <v>128</v>
      </c>
      <c r="X1760" s="7">
        <f>IF($J1760=0,0,ROUND(MAX($J1760*1.4*1.5*1.6*1.6*2.2*2.715*2.6,3540000000*(1.579646^(MIN($E1760,123)-117)))*1,0))</f>
        <v>568544122</v>
      </c>
      <c r="Y1760" s="4">
        <f>$E1760+17</f>
        <v>130</v>
      </c>
      <c r="Z1760" s="8">
        <f>IF($J1760=0,0,ROUND(MAX($J1760*1.4*1.5*1.6*1.6*2.2*2.715*2.6*1.4,6020000000*(1.651178^(MIN($E1760,123)-117)))*1,0))</f>
        <v>809880453</v>
      </c>
      <c r="AA1760" s="6">
        <f>$E1760+19</f>
        <v>132</v>
      </c>
      <c r="AB1760" s="7">
        <f>IF($J1760=0,0,ROUND(MAX($J1760*1.4*1.5*1.6*1.6*2.2*2.715*2.6*1.4*1.4,8430000000*(1.651435^(MIN($E1760,123)-117)))*1,0))</f>
        <v>1133395897</v>
      </c>
      <c r="AC1760" s="4">
        <f>$E1760+21</f>
        <v>134</v>
      </c>
      <c r="AD1760" s="8">
        <f>IF($J1760=0,0,ROUND(MAX($J1760*1.4*1.5*1.6*1.6*2.2*2.715*2.6*1.4*1.4*1.5,12600000000*(1.652953^(MIN($E1760,123)-117)))*1,0))</f>
        <v>1687829312</v>
      </c>
      <c r="AE1760" s="6">
        <f>$E1760+24</f>
        <v>137</v>
      </c>
      <c r="AF1760" s="7">
        <f>IF($J1760=0,0,ROUND(MAX($J1760*1.4*1.5*1.6*1.6*2.2*2.715*2.6*1.4*1.4*1.5*1.5,18900000000*(1.65331^(MIN($E1760,123)-117)))*1,0))</f>
        <v>2529557954</v>
      </c>
      <c r="AG1760" s="4">
        <f>$E1760+27</f>
        <v>140</v>
      </c>
      <c r="AH1760" s="8">
        <f>IF($J1760=0,0,ROUND(MAX($J1760*1.4*1.5*1.6*1.6*2.2*2.715*2.6*1.4*1.4*1.5*1.5*3.2,60500000000*(1.654288^(MIN($E1760,123)-117)))*1,0))</f>
        <v>8078131097</v>
      </c>
    </row>
    <row r="1761" ht="27.75" customHeight="1" spans="1:34" x14ac:dyDescent="0.25">
      <c r="A1761" s="3">
        <v>1771</v>
      </c>
      <c r="B1761" s="3" t="s">
        <v>535</v>
      </c>
      <c r="C1761" s="3" t="s">
        <v>1175</v>
      </c>
      <c r="D1761" s="3" t="s">
        <v>64</v>
      </c>
      <c r="E1761" s="3">
        <v>113</v>
      </c>
      <c r="F1761" s="3" t="s">
        <v>34</v>
      </c>
      <c r="G1761" s="3" t="s">
        <v>462</v>
      </c>
      <c r="H1761" s="3">
        <v>27</v>
      </c>
      <c r="I1761" s="4">
        <v>113</v>
      </c>
      <c r="J1761" s="5">
        <v>943000</v>
      </c>
      <c r="K1761" s="6">
        <f>$E1761+1</f>
        <v>114</v>
      </c>
      <c r="L1761" s="7">
        <f>IF($J1761=0,0,ROUND(MAX($J1761*1.4,1620000*(1.497923^(MIN($E1761,123)-117)))*1,0))</f>
        <v>1320200</v>
      </c>
      <c r="M1761" s="4">
        <f>$E1761+2</f>
        <v>115</v>
      </c>
      <c r="N1761" s="8">
        <f>IF($J1761=0,0,ROUND(MAX($J1761*1.4*1.5,2190000*(1.580994^(MIN($E1761,123)-117)))*1,0))</f>
        <v>1980300</v>
      </c>
      <c r="O1761" s="6">
        <f>$E1761+4</f>
        <v>117</v>
      </c>
      <c r="P1761" s="7">
        <f>IF($J1761=0,0,ROUND(MAX($J1761*1.4*1.5*1.6,3500000*(1.57975^(MIN($E1761,123)-117)))*1,0))</f>
        <v>3168480</v>
      </c>
      <c r="Q1761" s="4">
        <f>$E1761+6</f>
        <v>119</v>
      </c>
      <c r="R1761" s="8">
        <f>IF($J1761=0,0,ROUND(MAX($J1761*1.4*1.5*1.6*1.6,13100000*(1.429962^(MIN($E1761,123)-117)))*1,0))</f>
        <v>5069568</v>
      </c>
      <c r="S1761" s="6">
        <f>$E1761+8</f>
        <v>121</v>
      </c>
      <c r="T1761" s="7">
        <f>IF($J1761=0,0,ROUND(MAX($J1761*1.4*1.5*1.6*1.6*2.2,42600000*(1.576904^(MIN($E1761,123)-117)))*1,0))</f>
        <v>11153050</v>
      </c>
      <c r="U1761" s="4">
        <f>$E1761+11</f>
        <v>124</v>
      </c>
      <c r="V1761" s="8">
        <f>IF($J1761=0,0,ROUND(MAX($J1761*1.4*1.5*1.6*1.6*2.2*2.715,354000000*(1.642074^(MIN($E1761,123)-117)))*1,0))</f>
        <v>48689169</v>
      </c>
      <c r="W1761" s="6">
        <f>$E1761+15</f>
        <v>128</v>
      </c>
      <c r="X1761" s="7">
        <f>IF($J1761=0,0,ROUND(MAX($J1761*1.4*1.5*1.6*1.6*2.2*2.715*2.6,3540000000*(1.579646^(MIN($E1761,123)-117)))*1,0))</f>
        <v>568544122</v>
      </c>
      <c r="Y1761" s="4">
        <f>$E1761+17</f>
        <v>130</v>
      </c>
      <c r="Z1761" s="8">
        <f>IF($J1761=0,0,ROUND(MAX($J1761*1.4*1.5*1.6*1.6*2.2*2.715*2.6*1.4,6020000000*(1.651178^(MIN($E1761,123)-117)))*1,0))</f>
        <v>809880453</v>
      </c>
      <c r="AA1761" s="6">
        <f>$E1761+19</f>
        <v>132</v>
      </c>
      <c r="AB1761" s="7">
        <f>IF($J1761=0,0,ROUND(MAX($J1761*1.4*1.5*1.6*1.6*2.2*2.715*2.6*1.4*1.4,8430000000*(1.651435^(MIN($E1761,123)-117)))*1,0))</f>
        <v>1133395897</v>
      </c>
      <c r="AC1761" s="4">
        <f>$E1761+21</f>
        <v>134</v>
      </c>
      <c r="AD1761" s="8">
        <f>IF($J1761=0,0,ROUND(MAX($J1761*1.4*1.5*1.6*1.6*2.2*2.715*2.6*1.4*1.4*1.5,12600000000*(1.652953^(MIN($E1761,123)-117)))*1,0))</f>
        <v>1687829312</v>
      </c>
      <c r="AE1761" s="6">
        <f>$E1761+24</f>
        <v>137</v>
      </c>
      <c r="AF1761" s="7">
        <f>IF($J1761=0,0,ROUND(MAX($J1761*1.4*1.5*1.6*1.6*2.2*2.715*2.6*1.4*1.4*1.5*1.5,18900000000*(1.65331^(MIN($E1761,123)-117)))*1,0))</f>
        <v>2529557954</v>
      </c>
      <c r="AG1761" s="4">
        <f>$E1761+27</f>
        <v>140</v>
      </c>
      <c r="AH1761" s="8">
        <f>IF($J1761=0,0,ROUND(MAX($J1761*1.4*1.5*1.6*1.6*2.2*2.715*2.6*1.4*1.4*1.5*1.5*3.2,60500000000*(1.654288^(MIN($E1761,123)-117)))*1,0))</f>
        <v>8078131097</v>
      </c>
    </row>
    <row r="1762" ht="27.75" customHeight="1" spans="1:34" x14ac:dyDescent="0.25">
      <c r="A1762" s="3">
        <v>1772</v>
      </c>
      <c r="B1762" s="3" t="s">
        <v>61</v>
      </c>
      <c r="C1762" s="3" t="s">
        <v>1175</v>
      </c>
      <c r="D1762" s="3" t="s">
        <v>33</v>
      </c>
      <c r="E1762" s="3">
        <v>113</v>
      </c>
      <c r="F1762" s="3" t="s">
        <v>62</v>
      </c>
      <c r="G1762" s="3" t="s">
        <v>1176</v>
      </c>
      <c r="H1762" s="3">
        <v>27</v>
      </c>
      <c r="I1762" s="4">
        <v>113</v>
      </c>
      <c r="J1762" s="5">
        <v>938000</v>
      </c>
      <c r="K1762" s="6">
        <f>$E1762+1</f>
        <v>114</v>
      </c>
      <c r="L1762" s="7">
        <f>IF($J1762=0,0,ROUND(MAX($J1762*1.4,1620000*(1.497923^(MIN($E1762,123)-117)))*1,0))</f>
        <v>1313200</v>
      </c>
      <c r="M1762" s="4">
        <f>$E1762+2</f>
        <v>115</v>
      </c>
      <c r="N1762" s="8">
        <f>IF($J1762=0,0,ROUND(MAX($J1762*1.4*1.5,2190000*(1.580994^(MIN($E1762,123)-117)))*1,0))</f>
        <v>1969800</v>
      </c>
      <c r="O1762" s="6">
        <f>$E1762+4</f>
        <v>117</v>
      </c>
      <c r="P1762" s="7">
        <f>IF($J1762=0,0,ROUND(MAX($J1762*1.4*1.5*1.6,3500000*(1.57975^(MIN($E1762,123)-117)))*1,0))</f>
        <v>3151680</v>
      </c>
      <c r="Q1762" s="4">
        <f>$E1762+6</f>
        <v>119</v>
      </c>
      <c r="R1762" s="8">
        <f>IF($J1762=0,0,ROUND(MAX($J1762*1.4*1.5*1.6*1.6,13100000*(1.429962^(MIN($E1762,123)-117)))*1,0))</f>
        <v>5042688</v>
      </c>
      <c r="S1762" s="6">
        <f>$E1762+8</f>
        <v>121</v>
      </c>
      <c r="T1762" s="7">
        <f>IF($J1762=0,0,ROUND(MAX($J1762*1.4*1.5*1.6*1.6*2.2,42600000*(1.576904^(MIN($E1762,123)-117)))*1,0))</f>
        <v>11093914</v>
      </c>
      <c r="U1762" s="4">
        <f>$E1762+11</f>
        <v>124</v>
      </c>
      <c r="V1762" s="8">
        <f>IF($J1762=0,0,ROUND(MAX($J1762*1.4*1.5*1.6*1.6*2.2*2.715,354000000*(1.642074^(MIN($E1762,123)-117)))*1,0))</f>
        <v>48689169</v>
      </c>
      <c r="W1762" s="6">
        <f>$E1762+15</f>
        <v>128</v>
      </c>
      <c r="X1762" s="7">
        <f>IF($J1762=0,0,ROUND(MAX($J1762*1.4*1.5*1.6*1.6*2.2*2.715*2.6,3540000000*(1.579646^(MIN($E1762,123)-117)))*1,0))</f>
        <v>568544122</v>
      </c>
      <c r="Y1762" s="4">
        <f>$E1762+17</f>
        <v>130</v>
      </c>
      <c r="Z1762" s="8">
        <f>IF($J1762=0,0,ROUND(MAX($J1762*1.4*1.5*1.6*1.6*2.2*2.715*2.6*1.4,6020000000*(1.651178^(MIN($E1762,123)-117)))*1,0))</f>
        <v>809880453</v>
      </c>
      <c r="AA1762" s="6">
        <f>$E1762+19</f>
        <v>132</v>
      </c>
      <c r="AB1762" s="7">
        <f>IF($J1762=0,0,ROUND(MAX($J1762*1.4*1.5*1.6*1.6*2.2*2.715*2.6*1.4*1.4,8430000000*(1.651435^(MIN($E1762,123)-117)))*1,0))</f>
        <v>1133395897</v>
      </c>
      <c r="AC1762" s="4">
        <f>$E1762+21</f>
        <v>134</v>
      </c>
      <c r="AD1762" s="8">
        <f>IF($J1762=0,0,ROUND(MAX($J1762*1.4*1.5*1.6*1.6*2.2*2.715*2.6*1.4*1.4*1.5,12600000000*(1.652953^(MIN($E1762,123)-117)))*1,0))</f>
        <v>1687829312</v>
      </c>
      <c r="AE1762" s="6">
        <f>$E1762+24</f>
        <v>137</v>
      </c>
      <c r="AF1762" s="7">
        <f>IF($J1762=0,0,ROUND(MAX($J1762*1.4*1.5*1.6*1.6*2.2*2.715*2.6*1.4*1.4*1.5*1.5,18900000000*(1.65331^(MIN($E1762,123)-117)))*1,0))</f>
        <v>2529557954</v>
      </c>
      <c r="AG1762" s="4">
        <f>$E1762+27</f>
        <v>140</v>
      </c>
      <c r="AH1762" s="8">
        <f>IF($J1762=0,0,ROUND(MAX($J1762*1.4*1.5*1.6*1.6*2.2*2.715*2.6*1.4*1.4*1.5*1.5*3.2,60500000000*(1.654288^(MIN($E1762,123)-117)))*1,0))</f>
        <v>8078131097</v>
      </c>
    </row>
    <row r="1763" ht="27.75" customHeight="1" spans="1:34" x14ac:dyDescent="0.25">
      <c r="A1763" s="3">
        <v>1773</v>
      </c>
      <c r="B1763" s="3" t="s">
        <v>155</v>
      </c>
      <c r="C1763" s="3" t="s">
        <v>1175</v>
      </c>
      <c r="D1763" s="3" t="s">
        <v>102</v>
      </c>
      <c r="E1763" s="3">
        <v>113</v>
      </c>
      <c r="F1763" s="3" t="s">
        <v>71</v>
      </c>
      <c r="G1763" s="3" t="s">
        <v>1176</v>
      </c>
      <c r="H1763" s="3">
        <v>27</v>
      </c>
      <c r="I1763" s="4">
        <v>113</v>
      </c>
      <c r="J1763" s="5">
        <v>807000</v>
      </c>
      <c r="K1763" s="6">
        <f>$E1763+1</f>
        <v>114</v>
      </c>
      <c r="L1763" s="7">
        <f>IF($J1763=0,0,ROUND(MAX($J1763*1.4,1620000*(1.497923^(MIN($E1763,123)-117)))*1,0))</f>
        <v>1129800</v>
      </c>
      <c r="M1763" s="4">
        <f>$E1763+2</f>
        <v>115</v>
      </c>
      <c r="N1763" s="8">
        <f>IF($J1763=0,0,ROUND(MAX($J1763*1.4*1.5,2190000*(1.580994^(MIN($E1763,123)-117)))*1,0))</f>
        <v>1694700</v>
      </c>
      <c r="O1763" s="6">
        <f>$E1763+4</f>
        <v>117</v>
      </c>
      <c r="P1763" s="7">
        <f>IF($J1763=0,0,ROUND(MAX($J1763*1.4*1.5*1.6,3500000*(1.57975^(MIN($E1763,123)-117)))*1,0))</f>
        <v>2711520</v>
      </c>
      <c r="Q1763" s="4">
        <f>$E1763+6</f>
        <v>119</v>
      </c>
      <c r="R1763" s="8">
        <f>IF($J1763=0,0,ROUND(MAX($J1763*1.4*1.5*1.6*1.6,13100000*(1.429962^(MIN($E1763,123)-117)))*1,0))</f>
        <v>4338432</v>
      </c>
      <c r="S1763" s="6">
        <f>$E1763+8</f>
        <v>121</v>
      </c>
      <c r="T1763" s="7">
        <f>IF($J1763=0,0,ROUND(MAX($J1763*1.4*1.5*1.6*1.6*2.2,42600000*(1.576904^(MIN($E1763,123)-117)))*1,0))</f>
        <v>9544550</v>
      </c>
      <c r="U1763" s="4">
        <f>$E1763+11</f>
        <v>124</v>
      </c>
      <c r="V1763" s="8">
        <f>IF($J1763=0,0,ROUND(MAX($J1763*1.4*1.5*1.6*1.6*2.2*2.715,354000000*(1.642074^(MIN($E1763,123)-117)))*1,0))</f>
        <v>48689169</v>
      </c>
      <c r="W1763" s="6">
        <f>$E1763+15</f>
        <v>128</v>
      </c>
      <c r="X1763" s="7">
        <f>IF($J1763=0,0,ROUND(MAX($J1763*1.4*1.5*1.6*1.6*2.2*2.715*2.6,3540000000*(1.579646^(MIN($E1763,123)-117)))*1,0))</f>
        <v>568544122</v>
      </c>
      <c r="Y1763" s="4">
        <f>$E1763+17</f>
        <v>130</v>
      </c>
      <c r="Z1763" s="8">
        <f>IF($J1763=0,0,ROUND(MAX($J1763*1.4*1.5*1.6*1.6*2.2*2.715*2.6*1.4,6020000000*(1.651178^(MIN($E1763,123)-117)))*1,0))</f>
        <v>809880453</v>
      </c>
      <c r="AA1763" s="6">
        <f>$E1763+19</f>
        <v>132</v>
      </c>
      <c r="AB1763" s="7">
        <f>IF($J1763=0,0,ROUND(MAX($J1763*1.4*1.5*1.6*1.6*2.2*2.715*2.6*1.4*1.4,8430000000*(1.651435^(MIN($E1763,123)-117)))*1,0))</f>
        <v>1133395897</v>
      </c>
      <c r="AC1763" s="4">
        <f>$E1763+21</f>
        <v>134</v>
      </c>
      <c r="AD1763" s="8">
        <f>IF($J1763=0,0,ROUND(MAX($J1763*1.4*1.5*1.6*1.6*2.2*2.715*2.6*1.4*1.4*1.5,12600000000*(1.652953^(MIN($E1763,123)-117)))*1,0))</f>
        <v>1687829312</v>
      </c>
      <c r="AE1763" s="6">
        <f>$E1763+24</f>
        <v>137</v>
      </c>
      <c r="AF1763" s="7">
        <f>IF($J1763=0,0,ROUND(MAX($J1763*1.4*1.5*1.6*1.6*2.2*2.715*2.6*1.4*1.4*1.5*1.5,18900000000*(1.65331^(MIN($E1763,123)-117)))*1,0))</f>
        <v>2529557954</v>
      </c>
      <c r="AG1763" s="4">
        <f>$E1763+27</f>
        <v>140</v>
      </c>
      <c r="AH1763" s="8">
        <f>IF($J1763=0,0,ROUND(MAX($J1763*1.4*1.5*1.6*1.6*2.2*2.715*2.6*1.4*1.4*1.5*1.5*3.2,60500000000*(1.654288^(MIN($E1763,123)-117)))*1,0))</f>
        <v>8078131097</v>
      </c>
    </row>
    <row r="1764" ht="27.75" customHeight="1" spans="1:34" x14ac:dyDescent="0.25">
      <c r="A1764" s="3">
        <v>1774</v>
      </c>
      <c r="B1764" s="3" t="s">
        <v>538</v>
      </c>
      <c r="C1764" s="3" t="s">
        <v>1175</v>
      </c>
      <c r="D1764" s="3" t="s">
        <v>25</v>
      </c>
      <c r="E1764" s="3">
        <v>113</v>
      </c>
      <c r="F1764" s="3" t="s">
        <v>71</v>
      </c>
      <c r="G1764" s="3" t="s">
        <v>1176</v>
      </c>
      <c r="H1764" s="3">
        <v>27</v>
      </c>
      <c r="I1764" s="4">
        <v>113</v>
      </c>
      <c r="J1764" s="5">
        <v>634000</v>
      </c>
      <c r="K1764" s="6">
        <f>$E1764+1</f>
        <v>114</v>
      </c>
      <c r="L1764" s="7">
        <f>IF($J1764=0,0,ROUND(MAX($J1764*1.4,1620000*(1.497923^(MIN($E1764,123)-117)))*1,0))</f>
        <v>887600</v>
      </c>
      <c r="M1764" s="4">
        <f>$E1764+2</f>
        <v>115</v>
      </c>
      <c r="N1764" s="8">
        <f>IF($J1764=0,0,ROUND(MAX($J1764*1.4*1.5,2190000*(1.580994^(MIN($E1764,123)-117)))*1,0))</f>
        <v>1331400</v>
      </c>
      <c r="O1764" s="6">
        <f>$E1764+4</f>
        <v>117</v>
      </c>
      <c r="P1764" s="7">
        <f>IF($J1764=0,0,ROUND(MAX($J1764*1.4*1.5*1.6,3500000*(1.57975^(MIN($E1764,123)-117)))*1,0))</f>
        <v>2130240</v>
      </c>
      <c r="Q1764" s="4">
        <f>$E1764+6</f>
        <v>119</v>
      </c>
      <c r="R1764" s="8">
        <f>IF($J1764=0,0,ROUND(MAX($J1764*1.4*1.5*1.6*1.6,13100000*(1.429962^(MIN($E1764,123)-117)))*1,0))</f>
        <v>3408384</v>
      </c>
      <c r="S1764" s="6">
        <f>$E1764+8</f>
        <v>121</v>
      </c>
      <c r="T1764" s="7">
        <f>IF($J1764=0,0,ROUND(MAX($J1764*1.4*1.5*1.6*1.6*2.2,42600000*(1.576904^(MIN($E1764,123)-117)))*1,0))</f>
        <v>7498445</v>
      </c>
      <c r="U1764" s="4">
        <f>$E1764+11</f>
        <v>124</v>
      </c>
      <c r="V1764" s="8">
        <f>IF($J1764=0,0,ROUND(MAX($J1764*1.4*1.5*1.6*1.6*2.2*2.715,354000000*(1.642074^(MIN($E1764,123)-117)))*1,0))</f>
        <v>48689169</v>
      </c>
      <c r="W1764" s="6">
        <f>$E1764+15</f>
        <v>128</v>
      </c>
      <c r="X1764" s="7">
        <f>IF($J1764=0,0,ROUND(MAX($J1764*1.4*1.5*1.6*1.6*2.2*2.715*2.6,3540000000*(1.579646^(MIN($E1764,123)-117)))*1,0))</f>
        <v>568544122</v>
      </c>
      <c r="Y1764" s="4">
        <f>$E1764+17</f>
        <v>130</v>
      </c>
      <c r="Z1764" s="8">
        <f>IF($J1764=0,0,ROUND(MAX($J1764*1.4*1.5*1.6*1.6*2.2*2.715*2.6*1.4,6020000000*(1.651178^(MIN($E1764,123)-117)))*1,0))</f>
        <v>809880453</v>
      </c>
      <c r="AA1764" s="6">
        <f>$E1764+19</f>
        <v>132</v>
      </c>
      <c r="AB1764" s="7">
        <f>IF($J1764=0,0,ROUND(MAX($J1764*1.4*1.5*1.6*1.6*2.2*2.715*2.6*1.4*1.4,8430000000*(1.651435^(MIN($E1764,123)-117)))*1,0))</f>
        <v>1133395897</v>
      </c>
      <c r="AC1764" s="4">
        <f>$E1764+21</f>
        <v>134</v>
      </c>
      <c r="AD1764" s="8">
        <f>IF($J1764=0,0,ROUND(MAX($J1764*1.4*1.5*1.6*1.6*2.2*2.715*2.6*1.4*1.4*1.5,12600000000*(1.652953^(MIN($E1764,123)-117)))*1,0))</f>
        <v>1687829312</v>
      </c>
      <c r="AE1764" s="6">
        <f>$E1764+24</f>
        <v>137</v>
      </c>
      <c r="AF1764" s="7">
        <f>IF($J1764=0,0,ROUND(MAX($J1764*1.4*1.5*1.6*1.6*2.2*2.715*2.6*1.4*1.4*1.5*1.5,18900000000*(1.65331^(MIN($E1764,123)-117)))*1,0))</f>
        <v>2529557954</v>
      </c>
      <c r="AG1764" s="4">
        <f>$E1764+27</f>
        <v>140</v>
      </c>
      <c r="AH1764" s="8">
        <f>IF($J1764=0,0,ROUND(MAX($J1764*1.4*1.5*1.6*1.6*2.2*2.715*2.6*1.4*1.4*1.5*1.5*3.2,60500000000*(1.654288^(MIN($E1764,123)-117)))*1,0))</f>
        <v>8078131097</v>
      </c>
    </row>
    <row r="1765" ht="27.75" customHeight="1" spans="1:34" x14ac:dyDescent="0.25">
      <c r="A1765" s="3">
        <v>1775</v>
      </c>
      <c r="B1765" s="3" t="s">
        <v>557</v>
      </c>
      <c r="C1765" s="3" t="s">
        <v>1175</v>
      </c>
      <c r="D1765" s="3" t="s">
        <v>40</v>
      </c>
      <c r="E1765" s="3">
        <v>113</v>
      </c>
      <c r="F1765" s="3" t="s">
        <v>217</v>
      </c>
      <c r="G1765" s="3" t="s">
        <v>1176</v>
      </c>
      <c r="H1765" s="3">
        <v>27</v>
      </c>
      <c r="I1765" s="4">
        <v>113</v>
      </c>
      <c r="J1765" s="5">
        <v>817000</v>
      </c>
      <c r="K1765" s="6">
        <f>$E1765+1</f>
        <v>114</v>
      </c>
      <c r="L1765" s="7">
        <f>IF($J1765=0,0,ROUND(MAX($J1765*1.4,1620000*(1.497923^(MIN($E1765,123)-117)))*1,0))</f>
        <v>1143800</v>
      </c>
      <c r="M1765" s="4">
        <f>$E1765+2</f>
        <v>115</v>
      </c>
      <c r="N1765" s="8">
        <f>IF($J1765=0,0,ROUND(MAX($J1765*1.4*1.5,2190000*(1.580994^(MIN($E1765,123)-117)))*1,0))</f>
        <v>1715700</v>
      </c>
      <c r="O1765" s="6">
        <f>$E1765+4</f>
        <v>117</v>
      </c>
      <c r="P1765" s="7">
        <f>IF($J1765=0,0,ROUND(MAX($J1765*1.4*1.5*1.6,3500000*(1.57975^(MIN($E1765,123)-117)))*1,0))</f>
        <v>2745120</v>
      </c>
      <c r="Q1765" s="4">
        <f>$E1765+6</f>
        <v>119</v>
      </c>
      <c r="R1765" s="8">
        <f>IF($J1765=0,0,ROUND(MAX($J1765*1.4*1.5*1.6*1.6,13100000*(1.429962^(MIN($E1765,123)-117)))*1,0))</f>
        <v>4392192</v>
      </c>
      <c r="S1765" s="6">
        <f>$E1765+8</f>
        <v>121</v>
      </c>
      <c r="T1765" s="7">
        <f>IF($J1765=0,0,ROUND(MAX($J1765*1.4*1.5*1.6*1.6*2.2,42600000*(1.576904^(MIN($E1765,123)-117)))*1,0))</f>
        <v>9662822</v>
      </c>
      <c r="U1765" s="4">
        <f>$E1765+11</f>
        <v>124</v>
      </c>
      <c r="V1765" s="8">
        <f>IF($J1765=0,0,ROUND(MAX($J1765*1.4*1.5*1.6*1.6*2.2*2.715,354000000*(1.642074^(MIN($E1765,123)-117)))*1,0))</f>
        <v>48689169</v>
      </c>
      <c r="W1765" s="6">
        <f>$E1765+15</f>
        <v>128</v>
      </c>
      <c r="X1765" s="7">
        <f>IF($J1765=0,0,ROUND(MAX($J1765*1.4*1.5*1.6*1.6*2.2*2.715*2.6,3540000000*(1.579646^(MIN($E1765,123)-117)))*1,0))</f>
        <v>568544122</v>
      </c>
      <c r="Y1765" s="4">
        <f>$E1765+17</f>
        <v>130</v>
      </c>
      <c r="Z1765" s="8">
        <f>IF($J1765=0,0,ROUND(MAX($J1765*1.4*1.5*1.6*1.6*2.2*2.715*2.6*1.4,6020000000*(1.651178^(MIN($E1765,123)-117)))*1,0))</f>
        <v>809880453</v>
      </c>
      <c r="AA1765" s="6">
        <f>$E1765+19</f>
        <v>132</v>
      </c>
      <c r="AB1765" s="7">
        <f>IF($J1765=0,0,ROUND(MAX($J1765*1.4*1.5*1.6*1.6*2.2*2.715*2.6*1.4*1.4,8430000000*(1.651435^(MIN($E1765,123)-117)))*1,0))</f>
        <v>1133395897</v>
      </c>
      <c r="AC1765" s="4">
        <f>$E1765+21</f>
        <v>134</v>
      </c>
      <c r="AD1765" s="8">
        <f>IF($J1765=0,0,ROUND(MAX($J1765*1.4*1.5*1.6*1.6*2.2*2.715*2.6*1.4*1.4*1.5,12600000000*(1.652953^(MIN($E1765,123)-117)))*1,0))</f>
        <v>1687829312</v>
      </c>
      <c r="AE1765" s="6">
        <f>$E1765+24</f>
        <v>137</v>
      </c>
      <c r="AF1765" s="7">
        <f>IF($J1765=0,0,ROUND(MAX($J1765*1.4*1.5*1.6*1.6*2.2*2.715*2.6*1.4*1.4*1.5*1.5,18900000000*(1.65331^(MIN($E1765,123)-117)))*1,0))</f>
        <v>2529557954</v>
      </c>
      <c r="AG1765" s="4">
        <f>$E1765+27</f>
        <v>140</v>
      </c>
      <c r="AH1765" s="8">
        <f>IF($J1765=0,0,ROUND(MAX($J1765*1.4*1.5*1.6*1.6*2.2*2.715*2.6*1.4*1.4*1.5*1.5*3.2,60500000000*(1.654288^(MIN($E1765,123)-117)))*1,0))</f>
        <v>8078131097</v>
      </c>
    </row>
    <row r="1766" ht="27.75" customHeight="1" spans="1:34" x14ac:dyDescent="0.25">
      <c r="A1766" s="3">
        <v>1776</v>
      </c>
      <c r="B1766" s="3" t="s">
        <v>651</v>
      </c>
      <c r="C1766" s="3" t="s">
        <v>1175</v>
      </c>
      <c r="D1766" s="3" t="s">
        <v>40</v>
      </c>
      <c r="E1766" s="3">
        <v>113</v>
      </c>
      <c r="F1766" s="3" t="s">
        <v>71</v>
      </c>
      <c r="G1766" s="3" t="s">
        <v>1176</v>
      </c>
      <c r="H1766" s="3">
        <v>27</v>
      </c>
      <c r="I1766" s="4">
        <v>113</v>
      </c>
      <c r="J1766" s="5">
        <v>749000</v>
      </c>
      <c r="K1766" s="6">
        <f>$E1766+1</f>
        <v>114</v>
      </c>
      <c r="L1766" s="7">
        <f>IF($J1766=0,0,ROUND(MAX($J1766*1.4,1620000*(1.497923^(MIN($E1766,123)-117)))*1,0))</f>
        <v>1048600</v>
      </c>
      <c r="M1766" s="4">
        <f>$E1766+2</f>
        <v>115</v>
      </c>
      <c r="N1766" s="8">
        <f>IF($J1766=0,0,ROUND(MAX($J1766*1.4*1.5,2190000*(1.580994^(MIN($E1766,123)-117)))*1,0))</f>
        <v>1572900</v>
      </c>
      <c r="O1766" s="6">
        <f>$E1766+4</f>
        <v>117</v>
      </c>
      <c r="P1766" s="7">
        <f>IF($J1766=0,0,ROUND(MAX($J1766*1.4*1.5*1.6,3500000*(1.57975^(MIN($E1766,123)-117)))*1,0))</f>
        <v>2516640</v>
      </c>
      <c r="Q1766" s="4">
        <f>$E1766+6</f>
        <v>119</v>
      </c>
      <c r="R1766" s="8">
        <f>IF($J1766=0,0,ROUND(MAX($J1766*1.4*1.5*1.6*1.6,13100000*(1.429962^(MIN($E1766,123)-117)))*1,0))</f>
        <v>4026624</v>
      </c>
      <c r="S1766" s="6">
        <f>$E1766+8</f>
        <v>121</v>
      </c>
      <c r="T1766" s="7">
        <f>IF($J1766=0,0,ROUND(MAX($J1766*1.4*1.5*1.6*1.6*2.2,42600000*(1.576904^(MIN($E1766,123)-117)))*1,0))</f>
        <v>8858573</v>
      </c>
      <c r="U1766" s="4">
        <f>$E1766+11</f>
        <v>124</v>
      </c>
      <c r="V1766" s="8">
        <f>IF($J1766=0,0,ROUND(MAX($J1766*1.4*1.5*1.6*1.6*2.2*2.715,354000000*(1.642074^(MIN($E1766,123)-117)))*1,0))</f>
        <v>48689169</v>
      </c>
      <c r="W1766" s="6">
        <f>$E1766+15</f>
        <v>128</v>
      </c>
      <c r="X1766" s="7">
        <f>IF($J1766=0,0,ROUND(MAX($J1766*1.4*1.5*1.6*1.6*2.2*2.715*2.6,3540000000*(1.579646^(MIN($E1766,123)-117)))*1,0))</f>
        <v>568544122</v>
      </c>
      <c r="Y1766" s="4">
        <f>$E1766+17</f>
        <v>130</v>
      </c>
      <c r="Z1766" s="8">
        <f>IF($J1766=0,0,ROUND(MAX($J1766*1.4*1.5*1.6*1.6*2.2*2.715*2.6*1.4,6020000000*(1.651178^(MIN($E1766,123)-117)))*1,0))</f>
        <v>809880453</v>
      </c>
      <c r="AA1766" s="6">
        <f>$E1766+19</f>
        <v>132</v>
      </c>
      <c r="AB1766" s="7">
        <f>IF($J1766=0,0,ROUND(MAX($J1766*1.4*1.5*1.6*1.6*2.2*2.715*2.6*1.4*1.4,8430000000*(1.651435^(MIN($E1766,123)-117)))*1,0))</f>
        <v>1133395897</v>
      </c>
      <c r="AC1766" s="4">
        <f>$E1766+21</f>
        <v>134</v>
      </c>
      <c r="AD1766" s="8">
        <f>IF($J1766=0,0,ROUND(MAX($J1766*1.4*1.5*1.6*1.6*2.2*2.715*2.6*1.4*1.4*1.5,12600000000*(1.652953^(MIN($E1766,123)-117)))*1,0))</f>
        <v>1687829312</v>
      </c>
      <c r="AE1766" s="6">
        <f>$E1766+24</f>
        <v>137</v>
      </c>
      <c r="AF1766" s="7">
        <f>IF($J1766=0,0,ROUND(MAX($J1766*1.4*1.5*1.6*1.6*2.2*2.715*2.6*1.4*1.4*1.5*1.5,18900000000*(1.65331^(MIN($E1766,123)-117)))*1,0))</f>
        <v>2529557954</v>
      </c>
      <c r="AG1766" s="4">
        <f>$E1766+27</f>
        <v>140</v>
      </c>
      <c r="AH1766" s="8">
        <f>IF($J1766=0,0,ROUND(MAX($J1766*1.4*1.5*1.6*1.6*2.2*2.715*2.6*1.4*1.4*1.5*1.5*3.2,60500000000*(1.654288^(MIN($E1766,123)-117)))*1,0))</f>
        <v>8078131097</v>
      </c>
    </row>
    <row r="1767" ht="27.75" customHeight="1" spans="1:34" x14ac:dyDescent="0.25">
      <c r="A1767" s="3">
        <v>1777</v>
      </c>
      <c r="B1767" s="3" t="s">
        <v>100</v>
      </c>
      <c r="C1767" s="3" t="s">
        <v>1175</v>
      </c>
      <c r="D1767" s="3" t="s">
        <v>33</v>
      </c>
      <c r="E1767" s="3">
        <v>113</v>
      </c>
      <c r="F1767" s="3" t="s">
        <v>62</v>
      </c>
      <c r="G1767" s="3" t="s">
        <v>1176</v>
      </c>
      <c r="H1767" s="3">
        <v>27</v>
      </c>
      <c r="I1767" s="4">
        <v>113</v>
      </c>
      <c r="J1767" s="5">
        <v>965000</v>
      </c>
      <c r="K1767" s="6">
        <f>$E1767+1</f>
        <v>114</v>
      </c>
      <c r="L1767" s="7">
        <f>IF($J1767=0,0,ROUND(MAX($J1767*1.4,1620000*(1.497923^(MIN($E1767,123)-117)))*1,0))</f>
        <v>1351000</v>
      </c>
      <c r="M1767" s="4">
        <f>$E1767+2</f>
        <v>115</v>
      </c>
      <c r="N1767" s="8">
        <f>IF($J1767=0,0,ROUND(MAX($J1767*1.4*1.5,2190000*(1.580994^(MIN($E1767,123)-117)))*1,0))</f>
        <v>2026500</v>
      </c>
      <c r="O1767" s="6">
        <f>$E1767+4</f>
        <v>117</v>
      </c>
      <c r="P1767" s="7">
        <f>IF($J1767=0,0,ROUND(MAX($J1767*1.4*1.5*1.6,3500000*(1.57975^(MIN($E1767,123)-117)))*1,0))</f>
        <v>3242400</v>
      </c>
      <c r="Q1767" s="4">
        <f>$E1767+6</f>
        <v>119</v>
      </c>
      <c r="R1767" s="8">
        <f>IF($J1767=0,0,ROUND(MAX($J1767*1.4*1.5*1.6*1.6,13100000*(1.429962^(MIN($E1767,123)-117)))*1,0))</f>
        <v>5187840</v>
      </c>
      <c r="S1767" s="6">
        <f>$E1767+8</f>
        <v>121</v>
      </c>
      <c r="T1767" s="7">
        <f>IF($J1767=0,0,ROUND(MAX($J1767*1.4*1.5*1.6*1.6*2.2,42600000*(1.576904^(MIN($E1767,123)-117)))*1,0))</f>
        <v>11413248</v>
      </c>
      <c r="U1767" s="4">
        <f>$E1767+11</f>
        <v>124</v>
      </c>
      <c r="V1767" s="8">
        <f>IF($J1767=0,0,ROUND(MAX($J1767*1.4*1.5*1.6*1.6*2.2*2.715,354000000*(1.642074^(MIN($E1767,123)-117)))*1,0))</f>
        <v>48689169</v>
      </c>
      <c r="W1767" s="6">
        <f>$E1767+15</f>
        <v>128</v>
      </c>
      <c r="X1767" s="7">
        <f>IF($J1767=0,0,ROUND(MAX($J1767*1.4*1.5*1.6*1.6*2.2*2.715*2.6,3540000000*(1.579646^(MIN($E1767,123)-117)))*1,0))</f>
        <v>568544122</v>
      </c>
      <c r="Y1767" s="4">
        <f>$E1767+17</f>
        <v>130</v>
      </c>
      <c r="Z1767" s="8">
        <f>IF($J1767=0,0,ROUND(MAX($J1767*1.4*1.5*1.6*1.6*2.2*2.715*2.6*1.4,6020000000*(1.651178^(MIN($E1767,123)-117)))*1,0))</f>
        <v>809880453</v>
      </c>
      <c r="AA1767" s="6">
        <f>$E1767+19</f>
        <v>132</v>
      </c>
      <c r="AB1767" s="7">
        <f>IF($J1767=0,0,ROUND(MAX($J1767*1.4*1.5*1.6*1.6*2.2*2.715*2.6*1.4*1.4,8430000000*(1.651435^(MIN($E1767,123)-117)))*1,0))</f>
        <v>1133395897</v>
      </c>
      <c r="AC1767" s="4">
        <f>$E1767+21</f>
        <v>134</v>
      </c>
      <c r="AD1767" s="8">
        <f>IF($J1767=0,0,ROUND(MAX($J1767*1.4*1.5*1.6*1.6*2.2*2.715*2.6*1.4*1.4*1.5,12600000000*(1.652953^(MIN($E1767,123)-117)))*1,0))</f>
        <v>1687829312</v>
      </c>
      <c r="AE1767" s="6">
        <f>$E1767+24</f>
        <v>137</v>
      </c>
      <c r="AF1767" s="7">
        <f>IF($J1767=0,0,ROUND(MAX($J1767*1.4*1.5*1.6*1.6*2.2*2.715*2.6*1.4*1.4*1.5*1.5,18900000000*(1.65331^(MIN($E1767,123)-117)))*1,0))</f>
        <v>2529557954</v>
      </c>
      <c r="AG1767" s="4">
        <f>$E1767+27</f>
        <v>140</v>
      </c>
      <c r="AH1767" s="8">
        <f>IF($J1767=0,0,ROUND(MAX($J1767*1.4*1.5*1.6*1.6*2.2*2.715*2.6*1.4*1.4*1.5*1.5*3.2,60500000000*(1.654288^(MIN($E1767,123)-117)))*1,0))</f>
        <v>8078131097</v>
      </c>
    </row>
    <row r="1768" ht="27.75" customHeight="1" spans="1:34" x14ac:dyDescent="0.25">
      <c r="A1768" s="3">
        <v>1778</v>
      </c>
      <c r="B1768" s="3" t="s">
        <v>1180</v>
      </c>
      <c r="C1768" s="3" t="s">
        <v>1175</v>
      </c>
      <c r="D1768" s="3" t="s">
        <v>45</v>
      </c>
      <c r="E1768" s="3">
        <v>113</v>
      </c>
      <c r="F1768" s="3" t="s">
        <v>59</v>
      </c>
      <c r="G1768" s="3" t="s">
        <v>218</v>
      </c>
      <c r="H1768" s="3">
        <v>26</v>
      </c>
      <c r="I1768" s="4">
        <v>113</v>
      </c>
      <c r="J1768" s="5">
        <v>1090000</v>
      </c>
      <c r="K1768" s="6">
        <f>$E1768+1</f>
        <v>114</v>
      </c>
      <c r="L1768" s="7">
        <f>IF($J1768=0,0,ROUND(MAX($J1768*1.4,1620000*(1.497923^(MIN($E1768,123)-117)))*1,0))</f>
        <v>1526000</v>
      </c>
      <c r="M1768" s="4">
        <f>$E1768+2</f>
        <v>115</v>
      </c>
      <c r="N1768" s="8">
        <f>IF($J1768=0,0,ROUND(MAX($J1768*1.4*1.5,2190000*(1.580994^(MIN($E1768,123)-117)))*1,0))</f>
        <v>2289000</v>
      </c>
      <c r="O1768" s="6">
        <f>$E1768+4</f>
        <v>117</v>
      </c>
      <c r="P1768" s="7">
        <f>IF($J1768=0,0,ROUND(MAX($J1768*1.4*1.5*1.6,3500000*(1.57975^(MIN($E1768,123)-117)))*1,0))</f>
        <v>3662400</v>
      </c>
      <c r="Q1768" s="4">
        <f>$E1768+6</f>
        <v>119</v>
      </c>
      <c r="R1768" s="8">
        <f>IF($J1768=0,0,ROUND(MAX($J1768*1.4*1.5*1.6*1.6,13100000*(1.429962^(MIN($E1768,123)-117)))*1,0))</f>
        <v>5859840</v>
      </c>
      <c r="S1768" s="6">
        <f>$E1768+8</f>
        <v>121</v>
      </c>
      <c r="T1768" s="7">
        <f>IF($J1768=0,0,ROUND(MAX($J1768*1.4*1.5*1.6*1.6*2.2,42600000*(1.576904^(MIN($E1768,123)-117)))*1,0))</f>
        <v>12891648</v>
      </c>
      <c r="U1768" s="4">
        <f>$E1768+11</f>
        <v>124</v>
      </c>
      <c r="V1768" s="8">
        <f>IF($J1768=0,0,ROUND(MAX($J1768*1.4*1.5*1.6*1.6*2.2*2.715,354000000*(1.642074^(MIN($E1768,123)-117)))*1,0))</f>
        <v>48689169</v>
      </c>
      <c r="W1768" s="6">
        <f>$E1768+15</f>
        <v>128</v>
      </c>
      <c r="X1768" s="7">
        <f>IF($J1768=0,0,ROUND(MAX($J1768*1.4*1.5*1.6*1.6*2.2*2.715*2.6,3540000000*(1.579646^(MIN($E1768,123)-117)))*1,0))</f>
        <v>568544122</v>
      </c>
      <c r="Y1768" s="4">
        <f>$E1768+17</f>
        <v>130</v>
      </c>
      <c r="Z1768" s="8">
        <f>IF($J1768=0,0,ROUND(MAX($J1768*1.4*1.5*1.6*1.6*2.2*2.715*2.6*1.4,6020000000*(1.651178^(MIN($E1768,123)-117)))*1,0))</f>
        <v>809880453</v>
      </c>
      <c r="AA1768" s="6">
        <f>$E1768+19</f>
        <v>132</v>
      </c>
      <c r="AB1768" s="7">
        <f>IF($J1768=0,0,ROUND(MAX($J1768*1.4*1.5*1.6*1.6*2.2*2.715*2.6*1.4*1.4,8430000000*(1.651435^(MIN($E1768,123)-117)))*1,0))</f>
        <v>1133395897</v>
      </c>
      <c r="AC1768" s="4">
        <f>$E1768+21</f>
        <v>134</v>
      </c>
      <c r="AD1768" s="8">
        <f>IF($J1768=0,0,ROUND(MAX($J1768*1.4*1.5*1.6*1.6*2.2*2.715*2.6*1.4*1.4*1.5,12600000000*(1.652953^(MIN($E1768,123)-117)))*1,0))</f>
        <v>1687829312</v>
      </c>
      <c r="AE1768" s="6">
        <f>$E1768+24</f>
        <v>137</v>
      </c>
      <c r="AF1768" s="7">
        <f>IF($J1768=0,0,ROUND(MAX($J1768*1.4*1.5*1.6*1.6*2.2*2.715*2.6*1.4*1.4*1.5*1.5,18900000000*(1.65331^(MIN($E1768,123)-117)))*1,0))</f>
        <v>2529557954</v>
      </c>
      <c r="AG1768" s="4">
        <f>$E1768+27</f>
        <v>140</v>
      </c>
      <c r="AH1768" s="8">
        <f>IF($J1768=0,0,ROUND(MAX($J1768*1.4*1.5*1.6*1.6*2.2*2.715*2.6*1.4*1.4*1.5*1.5*3.2,60500000000*(1.654288^(MIN($E1768,123)-117)))*1,0))</f>
        <v>8078131097</v>
      </c>
    </row>
    <row r="1769" ht="27.75" customHeight="1" spans="1:34" x14ac:dyDescent="0.25">
      <c r="A1769" s="3">
        <v>1779</v>
      </c>
      <c r="B1769" s="3" t="s">
        <v>805</v>
      </c>
      <c r="C1769" s="3" t="s">
        <v>1175</v>
      </c>
      <c r="D1769" s="3" t="s">
        <v>79</v>
      </c>
      <c r="E1769" s="3">
        <v>113</v>
      </c>
      <c r="F1769" s="3" t="s">
        <v>56</v>
      </c>
      <c r="G1769" s="3" t="s">
        <v>185</v>
      </c>
      <c r="H1769" s="3">
        <v>26</v>
      </c>
      <c r="I1769" s="4">
        <v>113</v>
      </c>
      <c r="J1769" s="5">
        <v>949000</v>
      </c>
      <c r="K1769" s="6">
        <f>$E1769+1</f>
        <v>114</v>
      </c>
      <c r="L1769" s="7">
        <f>IF($J1769=0,0,ROUND(MAX($J1769*1.4,1620000*(1.497923^(MIN($E1769,123)-117)))*1,0))</f>
        <v>1328600</v>
      </c>
      <c r="M1769" s="4">
        <f>$E1769+2</f>
        <v>115</v>
      </c>
      <c r="N1769" s="8">
        <f>IF($J1769=0,0,ROUND(MAX($J1769*1.4*1.5,2190000*(1.580994^(MIN($E1769,123)-117)))*1,0))</f>
        <v>1992900</v>
      </c>
      <c r="O1769" s="6">
        <f>$E1769+4</f>
        <v>117</v>
      </c>
      <c r="P1769" s="7">
        <f>IF($J1769=0,0,ROUND(MAX($J1769*1.4*1.5*1.6,3500000*(1.57975^(MIN($E1769,123)-117)))*1,0))</f>
        <v>3188640</v>
      </c>
      <c r="Q1769" s="4">
        <f>$E1769+6</f>
        <v>119</v>
      </c>
      <c r="R1769" s="8">
        <f>IF($J1769=0,0,ROUND(MAX($J1769*1.4*1.5*1.6*1.6,13100000*(1.429962^(MIN($E1769,123)-117)))*1,0))</f>
        <v>5101824</v>
      </c>
      <c r="S1769" s="6">
        <f>$E1769+8</f>
        <v>121</v>
      </c>
      <c r="T1769" s="7">
        <f>IF($J1769=0,0,ROUND(MAX($J1769*1.4*1.5*1.6*1.6*2.2,42600000*(1.576904^(MIN($E1769,123)-117)))*1,0))</f>
        <v>11224013</v>
      </c>
      <c r="U1769" s="4">
        <f>$E1769+11</f>
        <v>124</v>
      </c>
      <c r="V1769" s="8">
        <f>IF($J1769=0,0,ROUND(MAX($J1769*1.4*1.5*1.6*1.6*2.2*2.715,354000000*(1.642074^(MIN($E1769,123)-117)))*1,0))</f>
        <v>48689169</v>
      </c>
      <c r="W1769" s="6">
        <f>$E1769+15</f>
        <v>128</v>
      </c>
      <c r="X1769" s="7">
        <f>IF($J1769=0,0,ROUND(MAX($J1769*1.4*1.5*1.6*1.6*2.2*2.715*2.6,3540000000*(1.579646^(MIN($E1769,123)-117)))*1,0))</f>
        <v>568544122</v>
      </c>
      <c r="Y1769" s="4">
        <f>$E1769+17</f>
        <v>130</v>
      </c>
      <c r="Z1769" s="8">
        <f>IF($J1769=0,0,ROUND(MAX($J1769*1.4*1.5*1.6*1.6*2.2*2.715*2.6*1.4,6020000000*(1.651178^(MIN($E1769,123)-117)))*1,0))</f>
        <v>809880453</v>
      </c>
      <c r="AA1769" s="6">
        <f>$E1769+19</f>
        <v>132</v>
      </c>
      <c r="AB1769" s="7">
        <f>IF($J1769=0,0,ROUND(MAX($J1769*1.4*1.5*1.6*1.6*2.2*2.715*2.6*1.4*1.4,8430000000*(1.651435^(MIN($E1769,123)-117)))*1,0))</f>
        <v>1133395897</v>
      </c>
      <c r="AC1769" s="4">
        <f>$E1769+21</f>
        <v>134</v>
      </c>
      <c r="AD1769" s="8">
        <f>IF($J1769=0,0,ROUND(MAX($J1769*1.4*1.5*1.6*1.6*2.2*2.715*2.6*1.4*1.4*1.5,12600000000*(1.652953^(MIN($E1769,123)-117)))*1,0))</f>
        <v>1687829312</v>
      </c>
      <c r="AE1769" s="6">
        <f>$E1769+24</f>
        <v>137</v>
      </c>
      <c r="AF1769" s="7">
        <f>IF($J1769=0,0,ROUND(MAX($J1769*1.4*1.5*1.6*1.6*2.2*2.715*2.6*1.4*1.4*1.5*1.5,18900000000*(1.65331^(MIN($E1769,123)-117)))*1,0))</f>
        <v>2529557954</v>
      </c>
      <c r="AG1769" s="4">
        <f>$E1769+27</f>
        <v>140</v>
      </c>
      <c r="AH1769" s="8">
        <f>IF($J1769=0,0,ROUND(MAX($J1769*1.4*1.5*1.6*1.6*2.2*2.715*2.6*1.4*1.4*1.5*1.5*3.2,60500000000*(1.654288^(MIN($E1769,123)-117)))*1,0))</f>
        <v>8078131097</v>
      </c>
    </row>
    <row r="1770" ht="27.75" customHeight="1" spans="1:34" x14ac:dyDescent="0.25">
      <c r="A1770" s="3">
        <v>1780</v>
      </c>
      <c r="B1770" s="3" t="s">
        <v>125</v>
      </c>
      <c r="C1770" s="3" t="s">
        <v>1175</v>
      </c>
      <c r="D1770" s="3" t="s">
        <v>33</v>
      </c>
      <c r="E1770" s="3">
        <v>113</v>
      </c>
      <c r="F1770" s="3" t="s">
        <v>56</v>
      </c>
      <c r="G1770" s="3" t="s">
        <v>1176</v>
      </c>
      <c r="H1770" s="3">
        <v>26</v>
      </c>
      <c r="I1770" s="4">
        <v>113</v>
      </c>
      <c r="J1770" s="5">
        <v>882000</v>
      </c>
      <c r="K1770" s="6">
        <f>$E1770+1</f>
        <v>114</v>
      </c>
      <c r="L1770" s="7">
        <f>IF($J1770=0,0,ROUND(MAX($J1770*1.4,1620000*(1.497923^(MIN($E1770,123)-117)))*1,0))</f>
        <v>1234800</v>
      </c>
      <c r="M1770" s="4">
        <f>$E1770+2</f>
        <v>115</v>
      </c>
      <c r="N1770" s="8">
        <f>IF($J1770=0,0,ROUND(MAX($J1770*1.4*1.5,2190000*(1.580994^(MIN($E1770,123)-117)))*1,0))</f>
        <v>1852200</v>
      </c>
      <c r="O1770" s="6">
        <f>$E1770+4</f>
        <v>117</v>
      </c>
      <c r="P1770" s="7">
        <f>IF($J1770=0,0,ROUND(MAX($J1770*1.4*1.5*1.6,3500000*(1.57975^(MIN($E1770,123)-117)))*1,0))</f>
        <v>2963520</v>
      </c>
      <c r="Q1770" s="4">
        <f>$E1770+6</f>
        <v>119</v>
      </c>
      <c r="R1770" s="8">
        <f>IF($J1770=0,0,ROUND(MAX($J1770*1.4*1.5*1.6*1.6,13100000*(1.429962^(MIN($E1770,123)-117)))*1,0))</f>
        <v>4741632</v>
      </c>
      <c r="S1770" s="6">
        <f>$E1770+8</f>
        <v>121</v>
      </c>
      <c r="T1770" s="7">
        <f>IF($J1770=0,0,ROUND(MAX($J1770*1.4*1.5*1.6*1.6*2.2,42600000*(1.576904^(MIN($E1770,123)-117)))*1,0))</f>
        <v>10431590</v>
      </c>
      <c r="U1770" s="4">
        <f>$E1770+11</f>
        <v>124</v>
      </c>
      <c r="V1770" s="8">
        <f>IF($J1770=0,0,ROUND(MAX($J1770*1.4*1.5*1.6*1.6*2.2*2.715,354000000*(1.642074^(MIN($E1770,123)-117)))*1,0))</f>
        <v>48689169</v>
      </c>
      <c r="W1770" s="6">
        <f>$E1770+15</f>
        <v>128</v>
      </c>
      <c r="X1770" s="7">
        <f>IF($J1770=0,0,ROUND(MAX($J1770*1.4*1.5*1.6*1.6*2.2*2.715*2.6,3540000000*(1.579646^(MIN($E1770,123)-117)))*1,0))</f>
        <v>568544122</v>
      </c>
      <c r="Y1770" s="4">
        <f>$E1770+17</f>
        <v>130</v>
      </c>
      <c r="Z1770" s="8">
        <f>IF($J1770=0,0,ROUND(MAX($J1770*1.4*1.5*1.6*1.6*2.2*2.715*2.6*1.4,6020000000*(1.651178^(MIN($E1770,123)-117)))*1,0))</f>
        <v>809880453</v>
      </c>
      <c r="AA1770" s="6">
        <f>$E1770+19</f>
        <v>132</v>
      </c>
      <c r="AB1770" s="7">
        <f>IF($J1770=0,0,ROUND(MAX($J1770*1.4*1.5*1.6*1.6*2.2*2.715*2.6*1.4*1.4,8430000000*(1.651435^(MIN($E1770,123)-117)))*1,0))</f>
        <v>1133395897</v>
      </c>
      <c r="AC1770" s="4">
        <f>$E1770+21</f>
        <v>134</v>
      </c>
      <c r="AD1770" s="8">
        <f>IF($J1770=0,0,ROUND(MAX($J1770*1.4*1.5*1.6*1.6*2.2*2.715*2.6*1.4*1.4*1.5,12600000000*(1.652953^(MIN($E1770,123)-117)))*1,0))</f>
        <v>1687829312</v>
      </c>
      <c r="AE1770" s="6">
        <f>$E1770+24</f>
        <v>137</v>
      </c>
      <c r="AF1770" s="7">
        <f>IF($J1770=0,0,ROUND(MAX($J1770*1.4*1.5*1.6*1.6*2.2*2.715*2.6*1.4*1.4*1.5*1.5,18900000000*(1.65331^(MIN($E1770,123)-117)))*1,0))</f>
        <v>2529557954</v>
      </c>
      <c r="AG1770" s="4">
        <f>$E1770+27</f>
        <v>140</v>
      </c>
      <c r="AH1770" s="8">
        <f>IF($J1770=0,0,ROUND(MAX($J1770*1.4*1.5*1.6*1.6*2.2*2.715*2.6*1.4*1.4*1.5*1.5*3.2,60500000000*(1.654288^(MIN($E1770,123)-117)))*1,0))</f>
        <v>8078131097</v>
      </c>
    </row>
    <row r="1771" ht="27.75" customHeight="1" spans="1:34" x14ac:dyDescent="0.25">
      <c r="A1771" s="3">
        <v>1781</v>
      </c>
      <c r="B1771" s="3" t="s">
        <v>1048</v>
      </c>
      <c r="C1771" s="3" t="s">
        <v>1175</v>
      </c>
      <c r="D1771" s="3" t="s">
        <v>47</v>
      </c>
      <c r="E1771" s="3">
        <v>113</v>
      </c>
      <c r="F1771" s="3" t="s">
        <v>54</v>
      </c>
      <c r="G1771" s="3" t="s">
        <v>342</v>
      </c>
      <c r="H1771" s="3">
        <v>24</v>
      </c>
      <c r="I1771" s="4">
        <v>113</v>
      </c>
      <c r="J1771" s="5">
        <v>730000</v>
      </c>
      <c r="K1771" s="6">
        <f>$E1771+1</f>
        <v>114</v>
      </c>
      <c r="L1771" s="7">
        <f>IF($J1771=0,0,ROUND(MAX($J1771*1.4,1620000*(1.497923^(MIN($E1771,123)-117)))*1,0))</f>
        <v>1022000</v>
      </c>
      <c r="M1771" s="4">
        <f>$E1771+2</f>
        <v>115</v>
      </c>
      <c r="N1771" s="8">
        <f>IF($J1771=0,0,ROUND(MAX($J1771*1.4*1.5,2190000*(1.580994^(MIN($E1771,123)-117)))*1,0))</f>
        <v>1533000</v>
      </c>
      <c r="O1771" s="6">
        <f>$E1771+4</f>
        <v>117</v>
      </c>
      <c r="P1771" s="7">
        <f>IF($J1771=0,0,ROUND(MAX($J1771*1.4*1.5*1.6,3500000*(1.57975^(MIN($E1771,123)-117)))*1,0))</f>
        <v>2452800</v>
      </c>
      <c r="Q1771" s="4">
        <f>$E1771+6</f>
        <v>119</v>
      </c>
      <c r="R1771" s="8">
        <f>IF($J1771=0,0,ROUND(MAX($J1771*1.4*1.5*1.6*1.6,13100000*(1.429962^(MIN($E1771,123)-117)))*1,0))</f>
        <v>3924480</v>
      </c>
      <c r="S1771" s="6">
        <f>$E1771+8</f>
        <v>121</v>
      </c>
      <c r="T1771" s="7">
        <f>IF($J1771=0,0,ROUND(MAX($J1771*1.4*1.5*1.6*1.6*2.2,42600000*(1.576904^(MIN($E1771,123)-117)))*1,0))</f>
        <v>8633856</v>
      </c>
      <c r="U1771" s="4">
        <f>$E1771+11</f>
        <v>124</v>
      </c>
      <c r="V1771" s="8">
        <f>IF($J1771=0,0,ROUND(MAX($J1771*1.4*1.5*1.6*1.6*2.2*2.715,354000000*(1.642074^(MIN($E1771,123)-117)))*1,0))</f>
        <v>48689169</v>
      </c>
      <c r="W1771" s="6">
        <f>$E1771+15</f>
        <v>128</v>
      </c>
      <c r="X1771" s="7">
        <f>IF($J1771=0,0,ROUND(MAX($J1771*1.4*1.5*1.6*1.6*2.2*2.715*2.6,3540000000*(1.579646^(MIN($E1771,123)-117)))*1,0))</f>
        <v>568544122</v>
      </c>
      <c r="Y1771" s="4">
        <f>$E1771+17</f>
        <v>130</v>
      </c>
      <c r="Z1771" s="8">
        <f>IF($J1771=0,0,ROUND(MAX($J1771*1.4*1.5*1.6*1.6*2.2*2.715*2.6*1.4,6020000000*(1.651178^(MIN($E1771,123)-117)))*1,0))</f>
        <v>809880453</v>
      </c>
      <c r="AA1771" s="6">
        <f>$E1771+19</f>
        <v>132</v>
      </c>
      <c r="AB1771" s="7">
        <f>IF($J1771=0,0,ROUND(MAX($J1771*1.4*1.5*1.6*1.6*2.2*2.715*2.6*1.4*1.4,8430000000*(1.651435^(MIN($E1771,123)-117)))*1,0))</f>
        <v>1133395897</v>
      </c>
      <c r="AC1771" s="4">
        <f>$E1771+21</f>
        <v>134</v>
      </c>
      <c r="AD1771" s="8">
        <f>IF($J1771=0,0,ROUND(MAX($J1771*1.4*1.5*1.6*1.6*2.2*2.715*2.6*1.4*1.4*1.5,12600000000*(1.652953^(MIN($E1771,123)-117)))*1,0))</f>
        <v>1687829312</v>
      </c>
      <c r="AE1771" s="6">
        <f>$E1771+24</f>
        <v>137</v>
      </c>
      <c r="AF1771" s="7">
        <f>IF($J1771=0,0,ROUND(MAX($J1771*1.4*1.5*1.6*1.6*2.2*2.715*2.6*1.4*1.4*1.5*1.5,18900000000*(1.65331^(MIN($E1771,123)-117)))*1,0))</f>
        <v>2529557954</v>
      </c>
      <c r="AG1771" s="4">
        <f>$E1771+27</f>
        <v>140</v>
      </c>
      <c r="AH1771" s="8">
        <f>IF($J1771=0,0,ROUND(MAX($J1771*1.4*1.5*1.6*1.6*2.2*2.715*2.6*1.4*1.4*1.5*1.5*3.2,60500000000*(1.654288^(MIN($E1771,123)-117)))*1,0))</f>
        <v>8078131097</v>
      </c>
    </row>
    <row r="1772" ht="27.75" customHeight="1" spans="1:34" x14ac:dyDescent="0.25">
      <c r="A1772" s="3">
        <v>1782</v>
      </c>
      <c r="B1772" s="3" t="s">
        <v>172</v>
      </c>
      <c r="C1772" s="3" t="s">
        <v>1175</v>
      </c>
      <c r="D1772" s="3" t="s">
        <v>40</v>
      </c>
      <c r="E1772" s="3">
        <v>112</v>
      </c>
      <c r="F1772" s="3" t="s">
        <v>26</v>
      </c>
      <c r="G1772" s="3" t="s">
        <v>1176</v>
      </c>
      <c r="H1772" s="3">
        <v>28</v>
      </c>
      <c r="I1772" s="4">
        <v>112</v>
      </c>
      <c r="J1772" s="5">
        <v>606000</v>
      </c>
      <c r="K1772" s="6">
        <f>$E1772+1</f>
        <v>113</v>
      </c>
      <c r="L1772" s="7">
        <f>IF($J1772=0,0,ROUND(MAX($J1772*1.4,1620000*(1.497923^(MIN($E1772,123)-117)))*1,0))</f>
        <v>848400</v>
      </c>
      <c r="M1772" s="4">
        <f>$E1772+2</f>
        <v>114</v>
      </c>
      <c r="N1772" s="8">
        <f>IF($J1772=0,0,ROUND(MAX($J1772*1.4*1.5,2190000*(1.580994^(MIN($E1772,123)-117)))*1,0))</f>
        <v>1272600</v>
      </c>
      <c r="O1772" s="6">
        <f>$E1772+4</f>
        <v>116</v>
      </c>
      <c r="P1772" s="7">
        <f>IF($J1772=0,0,ROUND(MAX($J1772*1.4*1.5*1.6,3500000*(1.57975^(MIN($E1772,123)-117)))*1,0))</f>
        <v>2036160</v>
      </c>
      <c r="Q1772" s="4">
        <f>$E1772+6</f>
        <v>118</v>
      </c>
      <c r="R1772" s="8">
        <f>IF($J1772=0,0,ROUND(MAX($J1772*1.4*1.5*1.6*1.6,13100000*(1.429962^(MIN($E1772,123)-117)))*1,0))</f>
        <v>3257856</v>
      </c>
      <c r="S1772" s="6">
        <f>$E1772+8</f>
        <v>120</v>
      </c>
      <c r="T1772" s="7">
        <f>IF($J1772=0,0,ROUND(MAX($J1772*1.4*1.5*1.6*1.6*2.2,42600000*(1.576904^(MIN($E1772,123)-117)))*1,0))</f>
        <v>7167283</v>
      </c>
      <c r="U1772" s="4">
        <f>$E1772+11</f>
        <v>123</v>
      </c>
      <c r="V1772" s="8">
        <f>IF($J1772=0,0,ROUND(MAX($J1772*1.4*1.5*1.6*1.6*2.2*2.715,354000000*(1.642074^(MIN($E1772,123)-117)))*1,0))</f>
        <v>29651020</v>
      </c>
      <c r="W1772" s="6">
        <f>$E1772+15</f>
        <v>127</v>
      </c>
      <c r="X1772" s="7">
        <f>IF($J1772=0,0,ROUND(MAX($J1772*1.4*1.5*1.6*1.6*2.2*2.715*2.6,3540000000*(1.579646^(MIN($E1772,123)-117)))*1,0))</f>
        <v>359918692</v>
      </c>
      <c r="Y1772" s="4">
        <f>$E1772+17</f>
        <v>129</v>
      </c>
      <c r="Z1772" s="8">
        <f>IF($J1772=0,0,ROUND(MAX($J1772*1.4*1.5*1.6*1.6*2.2*2.715*2.6*1.4,6020000000*(1.651178^(MIN($E1772,123)-117)))*1,0))</f>
        <v>490486461</v>
      </c>
      <c r="AA1772" s="6">
        <f>$E1772+19</f>
        <v>131</v>
      </c>
      <c r="AB1772" s="7">
        <f>IF($J1772=0,0,ROUND(MAX($J1772*1.4*1.5*1.6*1.6*2.2*2.715*2.6*1.4*1.4,8430000000*(1.651435^(MIN($E1772,123)-117)))*1,0))</f>
        <v>686309723</v>
      </c>
      <c r="AC1772" s="4">
        <f>$E1772+21</f>
        <v>133</v>
      </c>
      <c r="AD1772" s="8">
        <f>IF($J1772=0,0,ROUND(MAX($J1772*1.4*1.5*1.6*1.6*2.2*2.715*2.6*1.4*1.4*1.5,12600000000*(1.652953^(MIN($E1772,123)-117)))*1,0))</f>
        <v>1021099398</v>
      </c>
      <c r="AE1772" s="6">
        <f>$E1772+24</f>
        <v>136</v>
      </c>
      <c r="AF1772" s="7">
        <f>IF($J1772=0,0,ROUND(MAX($J1772*1.4*1.5*1.6*1.6*2.2*2.715*2.6*1.4*1.4*1.5*1.5,18900000000*(1.65331^(MIN($E1772,123)-117)))*1,0))</f>
        <v>1529996162</v>
      </c>
      <c r="AG1772" s="4">
        <f>$E1772+27</f>
        <v>139</v>
      </c>
      <c r="AH1772" s="8">
        <f>IF($J1772=0,0,ROUND(MAX($J1772*1.4*1.5*1.6*1.6*2.2*2.715*2.6*1.4*1.4*1.5*1.5*3.2,60500000000*(1.654288^(MIN($E1772,123)-117)))*1,0))</f>
        <v>4883146766</v>
      </c>
    </row>
    <row r="1773" ht="27.75" customHeight="1" spans="1:34" x14ac:dyDescent="0.25">
      <c r="A1773" s="3">
        <v>1783</v>
      </c>
      <c r="B1773" s="3" t="s">
        <v>130</v>
      </c>
      <c r="C1773" s="3" t="s">
        <v>1175</v>
      </c>
      <c r="D1773" s="3" t="s">
        <v>45</v>
      </c>
      <c r="E1773" s="3">
        <v>112</v>
      </c>
      <c r="F1773" s="3" t="s">
        <v>56</v>
      </c>
      <c r="G1773" s="3" t="s">
        <v>1176</v>
      </c>
      <c r="H1773" s="3">
        <v>28</v>
      </c>
      <c r="I1773" s="4">
        <v>112</v>
      </c>
      <c r="J1773" s="5">
        <v>1680000</v>
      </c>
      <c r="K1773" s="6">
        <f>$E1773+1</f>
        <v>113</v>
      </c>
      <c r="L1773" s="7">
        <f>IF($J1773=0,0,ROUND(MAX($J1773*1.4,1620000*(1.497923^(MIN($E1773,123)-117)))*1,0))</f>
        <v>2352000</v>
      </c>
      <c r="M1773" s="4">
        <f>$E1773+2</f>
        <v>114</v>
      </c>
      <c r="N1773" s="8">
        <f>IF($J1773=0,0,ROUND(MAX($J1773*1.4*1.5,2190000*(1.580994^(MIN($E1773,123)-117)))*1,0))</f>
        <v>3528000</v>
      </c>
      <c r="O1773" s="6">
        <f>$E1773+4</f>
        <v>116</v>
      </c>
      <c r="P1773" s="7">
        <f>IF($J1773=0,0,ROUND(MAX($J1773*1.4*1.5*1.6,3500000*(1.57975^(MIN($E1773,123)-117)))*1,0))</f>
        <v>5644800</v>
      </c>
      <c r="Q1773" s="4">
        <f>$E1773+6</f>
        <v>118</v>
      </c>
      <c r="R1773" s="8">
        <f>IF($J1773=0,0,ROUND(MAX($J1773*1.4*1.5*1.6*1.6,13100000*(1.429962^(MIN($E1773,123)-117)))*1,0))</f>
        <v>9031680</v>
      </c>
      <c r="S1773" s="6">
        <f>$E1773+8</f>
        <v>120</v>
      </c>
      <c r="T1773" s="7">
        <f>IF($J1773=0,0,ROUND(MAX($J1773*1.4*1.5*1.6*1.6*2.2,42600000*(1.576904^(MIN($E1773,123)-117)))*1,0))</f>
        <v>19869696</v>
      </c>
      <c r="U1773" s="4">
        <f>$E1773+11</f>
        <v>123</v>
      </c>
      <c r="V1773" s="8">
        <f>IF($J1773=0,0,ROUND(MAX($J1773*1.4*1.5*1.6*1.6*2.2*2.715,354000000*(1.642074^(MIN($E1773,123)-117)))*1,0))</f>
        <v>53946225</v>
      </c>
      <c r="W1773" s="6">
        <f>$E1773+15</f>
        <v>127</v>
      </c>
      <c r="X1773" s="7">
        <f>IF($J1773=0,0,ROUND(MAX($J1773*1.4*1.5*1.6*1.6*2.2*2.715*2.6,3540000000*(1.579646^(MIN($E1773,123)-117)))*1,0))</f>
        <v>359918692</v>
      </c>
      <c r="Y1773" s="4">
        <f>$E1773+17</f>
        <v>129</v>
      </c>
      <c r="Z1773" s="8">
        <f>IF($J1773=0,0,ROUND(MAX($J1773*1.4*1.5*1.6*1.6*2.2*2.715*2.6*1.4,6020000000*(1.651178^(MIN($E1773,123)-117)))*1,0))</f>
        <v>490486461</v>
      </c>
      <c r="AA1773" s="6">
        <f>$E1773+19</f>
        <v>131</v>
      </c>
      <c r="AB1773" s="7">
        <f>IF($J1773=0,0,ROUND(MAX($J1773*1.4*1.5*1.6*1.6*2.2*2.715*2.6*1.4*1.4,8430000000*(1.651435^(MIN($E1773,123)-117)))*1,0))</f>
        <v>686309723</v>
      </c>
      <c r="AC1773" s="4">
        <f>$E1773+21</f>
        <v>133</v>
      </c>
      <c r="AD1773" s="8">
        <f>IF($J1773=0,0,ROUND(MAX($J1773*1.4*1.5*1.6*1.6*2.2*2.715*2.6*1.4*1.4*1.5,12600000000*(1.652953^(MIN($E1773,123)-117)))*1,0))</f>
        <v>1021099398</v>
      </c>
      <c r="AE1773" s="6">
        <f>$E1773+24</f>
        <v>136</v>
      </c>
      <c r="AF1773" s="7">
        <f>IF($J1773=0,0,ROUND(MAX($J1773*1.4*1.5*1.6*1.6*2.2*2.715*2.6*1.4*1.4*1.5*1.5,18900000000*(1.65331^(MIN($E1773,123)-117)))*1,0))</f>
        <v>1529996162</v>
      </c>
      <c r="AG1773" s="4">
        <f>$E1773+27</f>
        <v>139</v>
      </c>
      <c r="AH1773" s="8">
        <f>IF($J1773=0,0,ROUND(MAX($J1773*1.4*1.5*1.6*1.6*2.2*2.715*2.6*1.4*1.4*1.5*1.5*3.2,60500000000*(1.654288^(MIN($E1773,123)-117)))*1,0))</f>
        <v>4883146766</v>
      </c>
    </row>
    <row r="1774" ht="27.75" customHeight="1" spans="1:34" x14ac:dyDescent="0.25">
      <c r="A1774" s="3">
        <v>1784</v>
      </c>
      <c r="B1774" s="3" t="s">
        <v>117</v>
      </c>
      <c r="C1774" s="3" t="s">
        <v>1175</v>
      </c>
      <c r="D1774" s="3" t="s">
        <v>79</v>
      </c>
      <c r="E1774" s="3">
        <v>112</v>
      </c>
      <c r="F1774" s="3" t="s">
        <v>54</v>
      </c>
      <c r="G1774" s="3" t="s">
        <v>1176</v>
      </c>
      <c r="H1774" s="3">
        <v>28</v>
      </c>
      <c r="I1774" s="4">
        <v>112</v>
      </c>
      <c r="J1774" s="5">
        <v>982000</v>
      </c>
      <c r="K1774" s="6">
        <f>$E1774+1</f>
        <v>113</v>
      </c>
      <c r="L1774" s="7">
        <f>IF($J1774=0,0,ROUND(MAX($J1774*1.4,1620000*(1.497923^(MIN($E1774,123)-117)))*1,0))</f>
        <v>1374800</v>
      </c>
      <c r="M1774" s="4">
        <f>$E1774+2</f>
        <v>114</v>
      </c>
      <c r="N1774" s="8">
        <f>IF($J1774=0,0,ROUND(MAX($J1774*1.4*1.5,2190000*(1.580994^(MIN($E1774,123)-117)))*1,0))</f>
        <v>2062200</v>
      </c>
      <c r="O1774" s="6">
        <f>$E1774+4</f>
        <v>116</v>
      </c>
      <c r="P1774" s="7">
        <f>IF($J1774=0,0,ROUND(MAX($J1774*1.4*1.5*1.6,3500000*(1.57975^(MIN($E1774,123)-117)))*1,0))</f>
        <v>3299520</v>
      </c>
      <c r="Q1774" s="4">
        <f>$E1774+6</f>
        <v>118</v>
      </c>
      <c r="R1774" s="8">
        <f>IF($J1774=0,0,ROUND(MAX($J1774*1.4*1.5*1.6*1.6,13100000*(1.429962^(MIN($E1774,123)-117)))*1,0))</f>
        <v>5279232</v>
      </c>
      <c r="S1774" s="6">
        <f>$E1774+8</f>
        <v>120</v>
      </c>
      <c r="T1774" s="7">
        <f>IF($J1774=0,0,ROUND(MAX($J1774*1.4*1.5*1.6*1.6*2.2,42600000*(1.576904^(MIN($E1774,123)-117)))*1,0))</f>
        <v>11614310</v>
      </c>
      <c r="U1774" s="4">
        <f>$E1774+11</f>
        <v>123</v>
      </c>
      <c r="V1774" s="8">
        <f>IF($J1774=0,0,ROUND(MAX($J1774*1.4*1.5*1.6*1.6*2.2*2.715,354000000*(1.642074^(MIN($E1774,123)-117)))*1,0))</f>
        <v>31532853</v>
      </c>
      <c r="W1774" s="6">
        <f>$E1774+15</f>
        <v>127</v>
      </c>
      <c r="X1774" s="7">
        <f>IF($J1774=0,0,ROUND(MAX($J1774*1.4*1.5*1.6*1.6*2.2*2.715*2.6,3540000000*(1.579646^(MIN($E1774,123)-117)))*1,0))</f>
        <v>359918692</v>
      </c>
      <c r="Y1774" s="4">
        <f>$E1774+17</f>
        <v>129</v>
      </c>
      <c r="Z1774" s="8">
        <f>IF($J1774=0,0,ROUND(MAX($J1774*1.4*1.5*1.6*1.6*2.2*2.715*2.6*1.4,6020000000*(1.651178^(MIN($E1774,123)-117)))*1,0))</f>
        <v>490486461</v>
      </c>
      <c r="AA1774" s="6">
        <f>$E1774+19</f>
        <v>131</v>
      </c>
      <c r="AB1774" s="7">
        <f>IF($J1774=0,0,ROUND(MAX($J1774*1.4*1.5*1.6*1.6*2.2*2.715*2.6*1.4*1.4,8430000000*(1.651435^(MIN($E1774,123)-117)))*1,0))</f>
        <v>686309723</v>
      </c>
      <c r="AC1774" s="4">
        <f>$E1774+21</f>
        <v>133</v>
      </c>
      <c r="AD1774" s="8">
        <f>IF($J1774=0,0,ROUND(MAX($J1774*1.4*1.5*1.6*1.6*2.2*2.715*2.6*1.4*1.4*1.5,12600000000*(1.652953^(MIN($E1774,123)-117)))*1,0))</f>
        <v>1021099398</v>
      </c>
      <c r="AE1774" s="6">
        <f>$E1774+24</f>
        <v>136</v>
      </c>
      <c r="AF1774" s="7">
        <f>IF($J1774=0,0,ROUND(MAX($J1774*1.4*1.5*1.6*1.6*2.2*2.715*2.6*1.4*1.4*1.5*1.5,18900000000*(1.65331^(MIN($E1774,123)-117)))*1,0))</f>
        <v>1529996162</v>
      </c>
      <c r="AG1774" s="4">
        <f>$E1774+27</f>
        <v>139</v>
      </c>
      <c r="AH1774" s="8">
        <f>IF($J1774=0,0,ROUND(MAX($J1774*1.4*1.5*1.6*1.6*2.2*2.715*2.6*1.4*1.4*1.5*1.5*3.2,60500000000*(1.654288^(MIN($E1774,123)-117)))*1,0))</f>
        <v>4883146766</v>
      </c>
    </row>
    <row r="1775" ht="27.75" customHeight="1" spans="1:34" x14ac:dyDescent="0.25">
      <c r="A1775" s="3">
        <v>1785</v>
      </c>
      <c r="B1775" s="3" t="s">
        <v>661</v>
      </c>
      <c r="C1775" s="3" t="s">
        <v>1175</v>
      </c>
      <c r="D1775" s="3" t="s">
        <v>79</v>
      </c>
      <c r="E1775" s="3">
        <v>112</v>
      </c>
      <c r="F1775" s="3" t="s">
        <v>643</v>
      </c>
      <c r="G1775" s="3" t="s">
        <v>1176</v>
      </c>
      <c r="H1775" s="3">
        <v>27</v>
      </c>
      <c r="I1775" s="4">
        <v>112</v>
      </c>
      <c r="J1775" s="5">
        <v>612000</v>
      </c>
      <c r="K1775" s="6">
        <f>$E1775+1</f>
        <v>113</v>
      </c>
      <c r="L1775" s="7">
        <f>IF($J1775=0,0,ROUND(MAX($J1775*1.4,1620000*(1.497923^(MIN($E1775,123)-117)))*1,0))</f>
        <v>856800</v>
      </c>
      <c r="M1775" s="4">
        <f>$E1775+2</f>
        <v>114</v>
      </c>
      <c r="N1775" s="8">
        <f>IF($J1775=0,0,ROUND(MAX($J1775*1.4*1.5,2190000*(1.580994^(MIN($E1775,123)-117)))*1,0))</f>
        <v>1285200</v>
      </c>
      <c r="O1775" s="6">
        <f>$E1775+4</f>
        <v>116</v>
      </c>
      <c r="P1775" s="7">
        <f>IF($J1775=0,0,ROUND(MAX($J1775*1.4*1.5*1.6,3500000*(1.57975^(MIN($E1775,123)-117)))*1,0))</f>
        <v>2056320</v>
      </c>
      <c r="Q1775" s="4">
        <f>$E1775+6</f>
        <v>118</v>
      </c>
      <c r="R1775" s="8">
        <f>IF($J1775=0,0,ROUND(MAX($J1775*1.4*1.5*1.6*1.6,13100000*(1.429962^(MIN($E1775,123)-117)))*1,0))</f>
        <v>3290112</v>
      </c>
      <c r="S1775" s="6">
        <f>$E1775+8</f>
        <v>120</v>
      </c>
      <c r="T1775" s="7">
        <f>IF($J1775=0,0,ROUND(MAX($J1775*1.4*1.5*1.6*1.6*2.2,42600000*(1.576904^(MIN($E1775,123)-117)))*1,0))</f>
        <v>7238246</v>
      </c>
      <c r="U1775" s="4">
        <f>$E1775+11</f>
        <v>123</v>
      </c>
      <c r="V1775" s="8">
        <f>IF($J1775=0,0,ROUND(MAX($J1775*1.4*1.5*1.6*1.6*2.2*2.715,354000000*(1.642074^(MIN($E1775,123)-117)))*1,0))</f>
        <v>29651020</v>
      </c>
      <c r="W1775" s="6">
        <f>$E1775+15</f>
        <v>127</v>
      </c>
      <c r="X1775" s="7">
        <f>IF($J1775=0,0,ROUND(MAX($J1775*1.4*1.5*1.6*1.6*2.2*2.715*2.6,3540000000*(1.579646^(MIN($E1775,123)-117)))*1,0))</f>
        <v>359918692</v>
      </c>
      <c r="Y1775" s="4">
        <f>$E1775+17</f>
        <v>129</v>
      </c>
      <c r="Z1775" s="8">
        <f>IF($J1775=0,0,ROUND(MAX($J1775*1.4*1.5*1.6*1.6*2.2*2.715*2.6*1.4,6020000000*(1.651178^(MIN($E1775,123)-117)))*1,0))</f>
        <v>490486461</v>
      </c>
      <c r="AA1775" s="6">
        <f>$E1775+19</f>
        <v>131</v>
      </c>
      <c r="AB1775" s="7">
        <f>IF($J1775=0,0,ROUND(MAX($J1775*1.4*1.5*1.6*1.6*2.2*2.715*2.6*1.4*1.4,8430000000*(1.651435^(MIN($E1775,123)-117)))*1,0))</f>
        <v>686309723</v>
      </c>
      <c r="AC1775" s="4">
        <f>$E1775+21</f>
        <v>133</v>
      </c>
      <c r="AD1775" s="8">
        <f>IF($J1775=0,0,ROUND(MAX($J1775*1.4*1.5*1.6*1.6*2.2*2.715*2.6*1.4*1.4*1.5,12600000000*(1.652953^(MIN($E1775,123)-117)))*1,0))</f>
        <v>1021099398</v>
      </c>
      <c r="AE1775" s="6">
        <f>$E1775+24</f>
        <v>136</v>
      </c>
      <c r="AF1775" s="7">
        <f>IF($J1775=0,0,ROUND(MAX($J1775*1.4*1.5*1.6*1.6*2.2*2.715*2.6*1.4*1.4*1.5*1.5,18900000000*(1.65331^(MIN($E1775,123)-117)))*1,0))</f>
        <v>1529996162</v>
      </c>
      <c r="AG1775" s="4">
        <f>$E1775+27</f>
        <v>139</v>
      </c>
      <c r="AH1775" s="8">
        <f>IF($J1775=0,0,ROUND(MAX($J1775*1.4*1.5*1.6*1.6*2.2*2.715*2.6*1.4*1.4*1.5*1.5*3.2,60500000000*(1.654288^(MIN($E1775,123)-117)))*1,0))</f>
        <v>4883146766</v>
      </c>
    </row>
    <row r="1776" ht="27.75" customHeight="1" spans="1:34" x14ac:dyDescent="0.25">
      <c r="A1776" s="3">
        <v>1786</v>
      </c>
      <c r="B1776" s="3" t="s">
        <v>214</v>
      </c>
      <c r="C1776" s="3" t="s">
        <v>1175</v>
      </c>
      <c r="D1776" s="3" t="s">
        <v>79</v>
      </c>
      <c r="E1776" s="3">
        <v>112</v>
      </c>
      <c r="F1776" s="3" t="s">
        <v>56</v>
      </c>
      <c r="G1776" s="3" t="s">
        <v>1176</v>
      </c>
      <c r="H1776" s="3">
        <v>27</v>
      </c>
      <c r="I1776" s="4">
        <v>112</v>
      </c>
      <c r="J1776" s="5">
        <v>606000</v>
      </c>
      <c r="K1776" s="6">
        <f>$E1776+1</f>
        <v>113</v>
      </c>
      <c r="L1776" s="7">
        <f>IF($J1776=0,0,ROUND(MAX($J1776*1.4,1620000*(1.497923^(MIN($E1776,123)-117)))*1,0))</f>
        <v>848400</v>
      </c>
      <c r="M1776" s="4">
        <f>$E1776+2</f>
        <v>114</v>
      </c>
      <c r="N1776" s="8">
        <f>IF($J1776=0,0,ROUND(MAX($J1776*1.4*1.5,2190000*(1.580994^(MIN($E1776,123)-117)))*1,0))</f>
        <v>1272600</v>
      </c>
      <c r="O1776" s="6">
        <f>$E1776+4</f>
        <v>116</v>
      </c>
      <c r="P1776" s="7">
        <f>IF($J1776=0,0,ROUND(MAX($J1776*1.4*1.5*1.6,3500000*(1.57975^(MIN($E1776,123)-117)))*1,0))</f>
        <v>2036160</v>
      </c>
      <c r="Q1776" s="4">
        <f>$E1776+6</f>
        <v>118</v>
      </c>
      <c r="R1776" s="8">
        <f>IF($J1776=0,0,ROUND(MAX($J1776*1.4*1.5*1.6*1.6,13100000*(1.429962^(MIN($E1776,123)-117)))*1,0))</f>
        <v>3257856</v>
      </c>
      <c r="S1776" s="6">
        <f>$E1776+8</f>
        <v>120</v>
      </c>
      <c r="T1776" s="7">
        <f>IF($J1776=0,0,ROUND(MAX($J1776*1.4*1.5*1.6*1.6*2.2,42600000*(1.576904^(MIN($E1776,123)-117)))*1,0))</f>
        <v>7167283</v>
      </c>
      <c r="U1776" s="4">
        <f>$E1776+11</f>
        <v>123</v>
      </c>
      <c r="V1776" s="8">
        <f>IF($J1776=0,0,ROUND(MAX($J1776*1.4*1.5*1.6*1.6*2.2*2.715,354000000*(1.642074^(MIN($E1776,123)-117)))*1,0))</f>
        <v>29651020</v>
      </c>
      <c r="W1776" s="6">
        <f>$E1776+15</f>
        <v>127</v>
      </c>
      <c r="X1776" s="7">
        <f>IF($J1776=0,0,ROUND(MAX($J1776*1.4*1.5*1.6*1.6*2.2*2.715*2.6,3540000000*(1.579646^(MIN($E1776,123)-117)))*1,0))</f>
        <v>359918692</v>
      </c>
      <c r="Y1776" s="4">
        <f>$E1776+17</f>
        <v>129</v>
      </c>
      <c r="Z1776" s="8">
        <f>IF($J1776=0,0,ROUND(MAX($J1776*1.4*1.5*1.6*1.6*2.2*2.715*2.6*1.4,6020000000*(1.651178^(MIN($E1776,123)-117)))*1,0))</f>
        <v>490486461</v>
      </c>
      <c r="AA1776" s="6">
        <f>$E1776+19</f>
        <v>131</v>
      </c>
      <c r="AB1776" s="7">
        <f>IF($J1776=0,0,ROUND(MAX($J1776*1.4*1.5*1.6*1.6*2.2*2.715*2.6*1.4*1.4,8430000000*(1.651435^(MIN($E1776,123)-117)))*1,0))</f>
        <v>686309723</v>
      </c>
      <c r="AC1776" s="4">
        <f>$E1776+21</f>
        <v>133</v>
      </c>
      <c r="AD1776" s="8">
        <f>IF($J1776=0,0,ROUND(MAX($J1776*1.4*1.5*1.6*1.6*2.2*2.715*2.6*1.4*1.4*1.5,12600000000*(1.652953^(MIN($E1776,123)-117)))*1,0))</f>
        <v>1021099398</v>
      </c>
      <c r="AE1776" s="6">
        <f>$E1776+24</f>
        <v>136</v>
      </c>
      <c r="AF1776" s="7">
        <f>IF($J1776=0,0,ROUND(MAX($J1776*1.4*1.5*1.6*1.6*2.2*2.715*2.6*1.4*1.4*1.5*1.5,18900000000*(1.65331^(MIN($E1776,123)-117)))*1,0))</f>
        <v>1529996162</v>
      </c>
      <c r="AG1776" s="4">
        <f>$E1776+27</f>
        <v>139</v>
      </c>
      <c r="AH1776" s="8">
        <f>IF($J1776=0,0,ROUND(MAX($J1776*1.4*1.5*1.6*1.6*2.2*2.715*2.6*1.4*1.4*1.5*1.5*3.2,60500000000*(1.654288^(MIN($E1776,123)-117)))*1,0))</f>
        <v>4883146766</v>
      </c>
    </row>
    <row r="1777" ht="27.75" customHeight="1" spans="1:34" x14ac:dyDescent="0.25">
      <c r="A1777" s="3">
        <v>1787</v>
      </c>
      <c r="B1777" s="3" t="s">
        <v>691</v>
      </c>
      <c r="C1777" s="3" t="s">
        <v>1175</v>
      </c>
      <c r="D1777" s="3" t="s">
        <v>25</v>
      </c>
      <c r="E1777" s="3">
        <v>112</v>
      </c>
      <c r="F1777" s="3" t="s">
        <v>34</v>
      </c>
      <c r="G1777" s="3" t="s">
        <v>95</v>
      </c>
      <c r="H1777" s="3">
        <v>27</v>
      </c>
      <c r="I1777" s="4">
        <v>112</v>
      </c>
      <c r="J1777" s="5">
        <v>618000</v>
      </c>
      <c r="K1777" s="6">
        <f>$E1777+1</f>
        <v>113</v>
      </c>
      <c r="L1777" s="7">
        <f>IF($J1777=0,0,ROUND(MAX($J1777*1.4,1620000*(1.497923^(MIN($E1777,123)-117)))*1,0))</f>
        <v>865200</v>
      </c>
      <c r="M1777" s="4">
        <f>$E1777+2</f>
        <v>114</v>
      </c>
      <c r="N1777" s="8">
        <f>IF($J1777=0,0,ROUND(MAX($J1777*1.4*1.5,2190000*(1.580994^(MIN($E1777,123)-117)))*1,0))</f>
        <v>1297800</v>
      </c>
      <c r="O1777" s="6">
        <f>$E1777+4</f>
        <v>116</v>
      </c>
      <c r="P1777" s="7">
        <f>IF($J1777=0,0,ROUND(MAX($J1777*1.4*1.5*1.6,3500000*(1.57975^(MIN($E1777,123)-117)))*1,0))</f>
        <v>2076480</v>
      </c>
      <c r="Q1777" s="4">
        <f>$E1777+6</f>
        <v>118</v>
      </c>
      <c r="R1777" s="8">
        <f>IF($J1777=0,0,ROUND(MAX($J1777*1.4*1.5*1.6*1.6,13100000*(1.429962^(MIN($E1777,123)-117)))*1,0))</f>
        <v>3322368</v>
      </c>
      <c r="S1777" s="6">
        <f>$E1777+8</f>
        <v>120</v>
      </c>
      <c r="T1777" s="7">
        <f>IF($J1777=0,0,ROUND(MAX($J1777*1.4*1.5*1.6*1.6*2.2,42600000*(1.576904^(MIN($E1777,123)-117)))*1,0))</f>
        <v>7309210</v>
      </c>
      <c r="U1777" s="4">
        <f>$E1777+11</f>
        <v>123</v>
      </c>
      <c r="V1777" s="8">
        <f>IF($J1777=0,0,ROUND(MAX($J1777*1.4*1.5*1.6*1.6*2.2*2.715,354000000*(1.642074^(MIN($E1777,123)-117)))*1,0))</f>
        <v>29651020</v>
      </c>
      <c r="W1777" s="6">
        <f>$E1777+15</f>
        <v>127</v>
      </c>
      <c r="X1777" s="7">
        <f>IF($J1777=0,0,ROUND(MAX($J1777*1.4*1.5*1.6*1.6*2.2*2.715*2.6,3540000000*(1.579646^(MIN($E1777,123)-117)))*1,0))</f>
        <v>359918692</v>
      </c>
      <c r="Y1777" s="4">
        <f>$E1777+17</f>
        <v>129</v>
      </c>
      <c r="Z1777" s="8">
        <f>IF($J1777=0,0,ROUND(MAX($J1777*1.4*1.5*1.6*1.6*2.2*2.715*2.6*1.4,6020000000*(1.651178^(MIN($E1777,123)-117)))*1,0))</f>
        <v>490486461</v>
      </c>
      <c r="AA1777" s="6">
        <f>$E1777+19</f>
        <v>131</v>
      </c>
      <c r="AB1777" s="7">
        <f>IF($J1777=0,0,ROUND(MAX($J1777*1.4*1.5*1.6*1.6*2.2*2.715*2.6*1.4*1.4,8430000000*(1.651435^(MIN($E1777,123)-117)))*1,0))</f>
        <v>686309723</v>
      </c>
      <c r="AC1777" s="4">
        <f>$E1777+21</f>
        <v>133</v>
      </c>
      <c r="AD1777" s="8">
        <f>IF($J1777=0,0,ROUND(MAX($J1777*1.4*1.5*1.6*1.6*2.2*2.715*2.6*1.4*1.4*1.5,12600000000*(1.652953^(MIN($E1777,123)-117)))*1,0))</f>
        <v>1021099398</v>
      </c>
      <c r="AE1777" s="6">
        <f>$E1777+24</f>
        <v>136</v>
      </c>
      <c r="AF1777" s="7">
        <f>IF($J1777=0,0,ROUND(MAX($J1777*1.4*1.5*1.6*1.6*2.2*2.715*2.6*1.4*1.4*1.5*1.5,18900000000*(1.65331^(MIN($E1777,123)-117)))*1,0))</f>
        <v>1529996162</v>
      </c>
      <c r="AG1777" s="4">
        <f>$E1777+27</f>
        <v>139</v>
      </c>
      <c r="AH1777" s="8">
        <f>IF($J1777=0,0,ROUND(MAX($J1777*1.4*1.5*1.6*1.6*2.2*2.715*2.6*1.4*1.4*1.5*1.5*3.2,60500000000*(1.654288^(MIN($E1777,123)-117)))*1,0))</f>
        <v>4883146766</v>
      </c>
    </row>
    <row r="1778" ht="27.75" customHeight="1" spans="1:34" x14ac:dyDescent="0.25">
      <c r="A1778" s="3">
        <v>1788</v>
      </c>
      <c r="B1778" s="3" t="s">
        <v>1166</v>
      </c>
      <c r="C1778" s="3" t="s">
        <v>1175</v>
      </c>
      <c r="D1778" s="3" t="s">
        <v>33</v>
      </c>
      <c r="E1778" s="3">
        <v>112</v>
      </c>
      <c r="F1778" s="3" t="s">
        <v>42</v>
      </c>
      <c r="G1778" s="3" t="s">
        <v>57</v>
      </c>
      <c r="H1778" s="3">
        <v>27</v>
      </c>
      <c r="I1778" s="4">
        <v>112</v>
      </c>
      <c r="J1778" s="5">
        <v>1490000</v>
      </c>
      <c r="K1778" s="6">
        <f>$E1778+1</f>
        <v>113</v>
      </c>
      <c r="L1778" s="7">
        <f>IF($J1778=0,0,ROUND(MAX($J1778*1.4,1620000*(1.497923^(MIN($E1778,123)-117)))*1,0))</f>
        <v>2086000</v>
      </c>
      <c r="M1778" s="4">
        <f>$E1778+2</f>
        <v>114</v>
      </c>
      <c r="N1778" s="8">
        <f>IF($J1778=0,0,ROUND(MAX($J1778*1.4*1.5,2190000*(1.580994^(MIN($E1778,123)-117)))*1,0))</f>
        <v>3129000</v>
      </c>
      <c r="O1778" s="6">
        <f>$E1778+4</f>
        <v>116</v>
      </c>
      <c r="P1778" s="7">
        <f>IF($J1778=0,0,ROUND(MAX($J1778*1.4*1.5*1.6,3500000*(1.57975^(MIN($E1778,123)-117)))*1,0))</f>
        <v>5006400</v>
      </c>
      <c r="Q1778" s="4">
        <f>$E1778+6</f>
        <v>118</v>
      </c>
      <c r="R1778" s="8">
        <f>IF($J1778=0,0,ROUND(MAX($J1778*1.4*1.5*1.6*1.6,13100000*(1.429962^(MIN($E1778,123)-117)))*1,0))</f>
        <v>8010240</v>
      </c>
      <c r="S1778" s="6">
        <f>$E1778+8</f>
        <v>120</v>
      </c>
      <c r="T1778" s="7">
        <f>IF($J1778=0,0,ROUND(MAX($J1778*1.4*1.5*1.6*1.6*2.2,42600000*(1.576904^(MIN($E1778,123)-117)))*1,0))</f>
        <v>17622528</v>
      </c>
      <c r="U1778" s="4">
        <f>$E1778+11</f>
        <v>123</v>
      </c>
      <c r="V1778" s="8">
        <f>IF($J1778=0,0,ROUND(MAX($J1778*1.4*1.5*1.6*1.6*2.2*2.715,354000000*(1.642074^(MIN($E1778,123)-117)))*1,0))</f>
        <v>47845164</v>
      </c>
      <c r="W1778" s="6">
        <f>$E1778+15</f>
        <v>127</v>
      </c>
      <c r="X1778" s="7">
        <f>IF($J1778=0,0,ROUND(MAX($J1778*1.4*1.5*1.6*1.6*2.2*2.715*2.6,3540000000*(1.579646^(MIN($E1778,123)-117)))*1,0))</f>
        <v>359918692</v>
      </c>
      <c r="Y1778" s="4">
        <f>$E1778+17</f>
        <v>129</v>
      </c>
      <c r="Z1778" s="8">
        <f>IF($J1778=0,0,ROUND(MAX($J1778*1.4*1.5*1.6*1.6*2.2*2.715*2.6*1.4,6020000000*(1.651178^(MIN($E1778,123)-117)))*1,0))</f>
        <v>490486461</v>
      </c>
      <c r="AA1778" s="6">
        <f>$E1778+19</f>
        <v>131</v>
      </c>
      <c r="AB1778" s="7">
        <f>IF($J1778=0,0,ROUND(MAX($J1778*1.4*1.5*1.6*1.6*2.2*2.715*2.6*1.4*1.4,8430000000*(1.651435^(MIN($E1778,123)-117)))*1,0))</f>
        <v>686309723</v>
      </c>
      <c r="AC1778" s="4">
        <f>$E1778+21</f>
        <v>133</v>
      </c>
      <c r="AD1778" s="8">
        <f>IF($J1778=0,0,ROUND(MAX($J1778*1.4*1.5*1.6*1.6*2.2*2.715*2.6*1.4*1.4*1.5,12600000000*(1.652953^(MIN($E1778,123)-117)))*1,0))</f>
        <v>1021099398</v>
      </c>
      <c r="AE1778" s="6">
        <f>$E1778+24</f>
        <v>136</v>
      </c>
      <c r="AF1778" s="7">
        <f>IF($J1778=0,0,ROUND(MAX($J1778*1.4*1.5*1.6*1.6*2.2*2.715*2.6*1.4*1.4*1.5*1.5,18900000000*(1.65331^(MIN($E1778,123)-117)))*1,0))</f>
        <v>1529996162</v>
      </c>
      <c r="AG1778" s="4">
        <f>$E1778+27</f>
        <v>139</v>
      </c>
      <c r="AH1778" s="8">
        <f>IF($J1778=0,0,ROUND(MAX($J1778*1.4*1.5*1.6*1.6*2.2*2.715*2.6*1.4*1.4*1.5*1.5*3.2,60500000000*(1.654288^(MIN($E1778,123)-117)))*1,0))</f>
        <v>4883146766</v>
      </c>
    </row>
    <row r="1779" ht="27.75" customHeight="1" spans="1:34" x14ac:dyDescent="0.25">
      <c r="A1779" s="3">
        <v>1789</v>
      </c>
      <c r="B1779" s="3" t="s">
        <v>1161</v>
      </c>
      <c r="C1779" s="3" t="s">
        <v>1175</v>
      </c>
      <c r="D1779" s="3" t="s">
        <v>64</v>
      </c>
      <c r="E1779" s="3">
        <v>112</v>
      </c>
      <c r="F1779" s="3" t="s">
        <v>59</v>
      </c>
      <c r="G1779" s="3" t="s">
        <v>185</v>
      </c>
      <c r="H1779" s="3">
        <v>27</v>
      </c>
      <c r="I1779" s="4">
        <v>112</v>
      </c>
      <c r="J1779" s="5">
        <v>878000</v>
      </c>
      <c r="K1779" s="6">
        <f>$E1779+1</f>
        <v>113</v>
      </c>
      <c r="L1779" s="7">
        <f>IF($J1779=0,0,ROUND(MAX($J1779*1.4,1620000*(1.497923^(MIN($E1779,123)-117)))*1,0))</f>
        <v>1229200</v>
      </c>
      <c r="M1779" s="4">
        <f>$E1779+2</f>
        <v>114</v>
      </c>
      <c r="N1779" s="8">
        <f>IF($J1779=0,0,ROUND(MAX($J1779*1.4*1.5,2190000*(1.580994^(MIN($E1779,123)-117)))*1,0))</f>
        <v>1843800</v>
      </c>
      <c r="O1779" s="6">
        <f>$E1779+4</f>
        <v>116</v>
      </c>
      <c r="P1779" s="7">
        <f>IF($J1779=0,0,ROUND(MAX($J1779*1.4*1.5*1.6,3500000*(1.57975^(MIN($E1779,123)-117)))*1,0))</f>
        <v>2950080</v>
      </c>
      <c r="Q1779" s="4">
        <f>$E1779+6</f>
        <v>118</v>
      </c>
      <c r="R1779" s="8">
        <f>IF($J1779=0,0,ROUND(MAX($J1779*1.4*1.5*1.6*1.6,13100000*(1.429962^(MIN($E1779,123)-117)))*1,0))</f>
        <v>4720128</v>
      </c>
      <c r="S1779" s="6">
        <f>$E1779+8</f>
        <v>120</v>
      </c>
      <c r="T1779" s="7">
        <f>IF($J1779=0,0,ROUND(MAX($J1779*1.4*1.5*1.6*1.6*2.2,42600000*(1.576904^(MIN($E1779,123)-117)))*1,0))</f>
        <v>10384282</v>
      </c>
      <c r="U1779" s="4">
        <f>$E1779+11</f>
        <v>123</v>
      </c>
      <c r="V1779" s="8">
        <f>IF($J1779=0,0,ROUND(MAX($J1779*1.4*1.5*1.6*1.6*2.2*2.715,354000000*(1.642074^(MIN($E1779,123)-117)))*1,0))</f>
        <v>29651020</v>
      </c>
      <c r="W1779" s="6">
        <f>$E1779+15</f>
        <v>127</v>
      </c>
      <c r="X1779" s="7">
        <f>IF($J1779=0,0,ROUND(MAX($J1779*1.4*1.5*1.6*1.6*2.2*2.715*2.6,3540000000*(1.579646^(MIN($E1779,123)-117)))*1,0))</f>
        <v>359918692</v>
      </c>
      <c r="Y1779" s="4">
        <f>$E1779+17</f>
        <v>129</v>
      </c>
      <c r="Z1779" s="8">
        <f>IF($J1779=0,0,ROUND(MAX($J1779*1.4*1.5*1.6*1.6*2.2*2.715*2.6*1.4,6020000000*(1.651178^(MIN($E1779,123)-117)))*1,0))</f>
        <v>490486461</v>
      </c>
      <c r="AA1779" s="6">
        <f>$E1779+19</f>
        <v>131</v>
      </c>
      <c r="AB1779" s="7">
        <f>IF($J1779=0,0,ROUND(MAX($J1779*1.4*1.5*1.6*1.6*2.2*2.715*2.6*1.4*1.4,8430000000*(1.651435^(MIN($E1779,123)-117)))*1,0))</f>
        <v>686309723</v>
      </c>
      <c r="AC1779" s="4">
        <f>$E1779+21</f>
        <v>133</v>
      </c>
      <c r="AD1779" s="8">
        <f>IF($J1779=0,0,ROUND(MAX($J1779*1.4*1.5*1.6*1.6*2.2*2.715*2.6*1.4*1.4*1.5,12600000000*(1.652953^(MIN($E1779,123)-117)))*1,0))</f>
        <v>1021099398</v>
      </c>
      <c r="AE1779" s="6">
        <f>$E1779+24</f>
        <v>136</v>
      </c>
      <c r="AF1779" s="7">
        <f>IF($J1779=0,0,ROUND(MAX($J1779*1.4*1.5*1.6*1.6*2.2*2.715*2.6*1.4*1.4*1.5*1.5,18900000000*(1.65331^(MIN($E1779,123)-117)))*1,0))</f>
        <v>1529996162</v>
      </c>
      <c r="AG1779" s="4">
        <f>$E1779+27</f>
        <v>139</v>
      </c>
      <c r="AH1779" s="8">
        <f>IF($J1779=0,0,ROUND(MAX($J1779*1.4*1.5*1.6*1.6*2.2*2.715*2.6*1.4*1.4*1.5*1.5*3.2,60500000000*(1.654288^(MIN($E1779,123)-117)))*1,0))</f>
        <v>4883146766</v>
      </c>
    </row>
    <row r="1780" ht="27.75" customHeight="1" spans="1:34" x14ac:dyDescent="0.25">
      <c r="A1780" s="3">
        <v>1790</v>
      </c>
      <c r="B1780" s="3" t="s">
        <v>1181</v>
      </c>
      <c r="C1780" s="3" t="s">
        <v>1175</v>
      </c>
      <c r="D1780" s="3" t="s">
        <v>45</v>
      </c>
      <c r="E1780" s="3">
        <v>112</v>
      </c>
      <c r="F1780" s="3" t="s">
        <v>34</v>
      </c>
      <c r="G1780" s="3" t="s">
        <v>35</v>
      </c>
      <c r="H1780" s="3">
        <v>27</v>
      </c>
      <c r="I1780" s="4">
        <v>112</v>
      </c>
      <c r="J1780" s="5">
        <v>1100000</v>
      </c>
      <c r="K1780" s="6">
        <f>$E1780+1</f>
        <v>113</v>
      </c>
      <c r="L1780" s="7">
        <f>IF($J1780=0,0,ROUND(MAX($J1780*1.4,1620000*(1.497923^(MIN($E1780,123)-117)))*1,0))</f>
        <v>1540000</v>
      </c>
      <c r="M1780" s="4">
        <f>$E1780+2</f>
        <v>114</v>
      </c>
      <c r="N1780" s="8">
        <f>IF($J1780=0,0,ROUND(MAX($J1780*1.4*1.5,2190000*(1.580994^(MIN($E1780,123)-117)))*1,0))</f>
        <v>2310000</v>
      </c>
      <c r="O1780" s="6">
        <f>$E1780+4</f>
        <v>116</v>
      </c>
      <c r="P1780" s="7">
        <f>IF($J1780=0,0,ROUND(MAX($J1780*1.4*1.5*1.6,3500000*(1.57975^(MIN($E1780,123)-117)))*1,0))</f>
        <v>3696000</v>
      </c>
      <c r="Q1780" s="4">
        <f>$E1780+6</f>
        <v>118</v>
      </c>
      <c r="R1780" s="8">
        <f>IF($J1780=0,0,ROUND(MAX($J1780*1.4*1.5*1.6*1.6,13100000*(1.429962^(MIN($E1780,123)-117)))*1,0))</f>
        <v>5913600</v>
      </c>
      <c r="S1780" s="6">
        <f>$E1780+8</f>
        <v>120</v>
      </c>
      <c r="T1780" s="7">
        <f>IF($J1780=0,0,ROUND(MAX($J1780*1.4*1.5*1.6*1.6*2.2,42600000*(1.576904^(MIN($E1780,123)-117)))*1,0))</f>
        <v>13009920</v>
      </c>
      <c r="U1780" s="4">
        <f>$E1780+11</f>
        <v>123</v>
      </c>
      <c r="V1780" s="8">
        <f>IF($J1780=0,0,ROUND(MAX($J1780*1.4*1.5*1.6*1.6*2.2*2.715,354000000*(1.642074^(MIN($E1780,123)-117)))*1,0))</f>
        <v>35321933</v>
      </c>
      <c r="W1780" s="6">
        <f>$E1780+15</f>
        <v>127</v>
      </c>
      <c r="X1780" s="7">
        <f>IF($J1780=0,0,ROUND(MAX($J1780*1.4*1.5*1.6*1.6*2.2*2.715*2.6,3540000000*(1.579646^(MIN($E1780,123)-117)))*1,0))</f>
        <v>359918692</v>
      </c>
      <c r="Y1780" s="4">
        <f>$E1780+17</f>
        <v>129</v>
      </c>
      <c r="Z1780" s="8">
        <f>IF($J1780=0,0,ROUND(MAX($J1780*1.4*1.5*1.6*1.6*2.2*2.715*2.6*1.4,6020000000*(1.651178^(MIN($E1780,123)-117)))*1,0))</f>
        <v>490486461</v>
      </c>
      <c r="AA1780" s="6">
        <f>$E1780+19</f>
        <v>131</v>
      </c>
      <c r="AB1780" s="7">
        <f>IF($J1780=0,0,ROUND(MAX($J1780*1.4*1.5*1.6*1.6*2.2*2.715*2.6*1.4*1.4,8430000000*(1.651435^(MIN($E1780,123)-117)))*1,0))</f>
        <v>686309723</v>
      </c>
      <c r="AC1780" s="4">
        <f>$E1780+21</f>
        <v>133</v>
      </c>
      <c r="AD1780" s="8">
        <f>IF($J1780=0,0,ROUND(MAX($J1780*1.4*1.5*1.6*1.6*2.2*2.715*2.6*1.4*1.4*1.5,12600000000*(1.652953^(MIN($E1780,123)-117)))*1,0))</f>
        <v>1021099398</v>
      </c>
      <c r="AE1780" s="6">
        <f>$E1780+24</f>
        <v>136</v>
      </c>
      <c r="AF1780" s="7">
        <f>IF($J1780=0,0,ROUND(MAX($J1780*1.4*1.5*1.6*1.6*2.2*2.715*2.6*1.4*1.4*1.5*1.5,18900000000*(1.65331^(MIN($E1780,123)-117)))*1,0))</f>
        <v>1529996162</v>
      </c>
      <c r="AG1780" s="4">
        <f>$E1780+27</f>
        <v>139</v>
      </c>
      <c r="AH1780" s="8">
        <f>IF($J1780=0,0,ROUND(MAX($J1780*1.4*1.5*1.6*1.6*2.2*2.715*2.6*1.4*1.4*1.5*1.5*3.2,60500000000*(1.654288^(MIN($E1780,123)-117)))*1,0))</f>
        <v>4883146766</v>
      </c>
    </row>
    <row r="1781" ht="27.75" customHeight="1" spans="1:34" x14ac:dyDescent="0.25">
      <c r="A1781" s="3">
        <v>1791</v>
      </c>
      <c r="B1781" s="3" t="s">
        <v>639</v>
      </c>
      <c r="C1781" s="3" t="s">
        <v>1175</v>
      </c>
      <c r="D1781" s="3" t="s">
        <v>40</v>
      </c>
      <c r="E1781" s="3">
        <v>112</v>
      </c>
      <c r="F1781" s="3" t="s">
        <v>353</v>
      </c>
      <c r="G1781" s="3" t="s">
        <v>72</v>
      </c>
      <c r="H1781" s="3">
        <v>27</v>
      </c>
      <c r="I1781" s="4">
        <v>112</v>
      </c>
      <c r="J1781" s="5">
        <v>606000</v>
      </c>
      <c r="K1781" s="6">
        <f>$E1781+1</f>
        <v>113</v>
      </c>
      <c r="L1781" s="7">
        <f>IF($J1781=0,0,ROUND(MAX($J1781*1.4,1620000*(1.497923^(MIN($E1781,123)-117)))*1,0))</f>
        <v>848400</v>
      </c>
      <c r="M1781" s="4">
        <f>$E1781+2</f>
        <v>114</v>
      </c>
      <c r="N1781" s="8">
        <f>IF($J1781=0,0,ROUND(MAX($J1781*1.4*1.5,2190000*(1.580994^(MIN($E1781,123)-117)))*1,0))</f>
        <v>1272600</v>
      </c>
      <c r="O1781" s="6">
        <f>$E1781+4</f>
        <v>116</v>
      </c>
      <c r="P1781" s="7">
        <f>IF($J1781=0,0,ROUND(MAX($J1781*1.4*1.5*1.6,3500000*(1.57975^(MIN($E1781,123)-117)))*1,0))</f>
        <v>2036160</v>
      </c>
      <c r="Q1781" s="4">
        <f>$E1781+6</f>
        <v>118</v>
      </c>
      <c r="R1781" s="8">
        <f>IF($J1781=0,0,ROUND(MAX($J1781*1.4*1.5*1.6*1.6,13100000*(1.429962^(MIN($E1781,123)-117)))*1,0))</f>
        <v>3257856</v>
      </c>
      <c r="S1781" s="6">
        <f>$E1781+8</f>
        <v>120</v>
      </c>
      <c r="T1781" s="7">
        <f>IF($J1781=0,0,ROUND(MAX($J1781*1.4*1.5*1.6*1.6*2.2,42600000*(1.576904^(MIN($E1781,123)-117)))*1,0))</f>
        <v>7167283</v>
      </c>
      <c r="U1781" s="4">
        <f>$E1781+11</f>
        <v>123</v>
      </c>
      <c r="V1781" s="8">
        <f>IF($J1781=0,0,ROUND(MAX($J1781*1.4*1.5*1.6*1.6*2.2*2.715,354000000*(1.642074^(MIN($E1781,123)-117)))*1,0))</f>
        <v>29651020</v>
      </c>
      <c r="W1781" s="6">
        <f>$E1781+15</f>
        <v>127</v>
      </c>
      <c r="X1781" s="7">
        <f>IF($J1781=0,0,ROUND(MAX($J1781*1.4*1.5*1.6*1.6*2.2*2.715*2.6,3540000000*(1.579646^(MIN($E1781,123)-117)))*1,0))</f>
        <v>359918692</v>
      </c>
      <c r="Y1781" s="4">
        <f>$E1781+17</f>
        <v>129</v>
      </c>
      <c r="Z1781" s="8">
        <f>IF($J1781=0,0,ROUND(MAX($J1781*1.4*1.5*1.6*1.6*2.2*2.715*2.6*1.4,6020000000*(1.651178^(MIN($E1781,123)-117)))*1,0))</f>
        <v>490486461</v>
      </c>
      <c r="AA1781" s="6">
        <f>$E1781+19</f>
        <v>131</v>
      </c>
      <c r="AB1781" s="7">
        <f>IF($J1781=0,0,ROUND(MAX($J1781*1.4*1.5*1.6*1.6*2.2*2.715*2.6*1.4*1.4,8430000000*(1.651435^(MIN($E1781,123)-117)))*1,0))</f>
        <v>686309723</v>
      </c>
      <c r="AC1781" s="4">
        <f>$E1781+21</f>
        <v>133</v>
      </c>
      <c r="AD1781" s="8">
        <f>IF($J1781=0,0,ROUND(MAX($J1781*1.4*1.5*1.6*1.6*2.2*2.715*2.6*1.4*1.4*1.5,12600000000*(1.652953^(MIN($E1781,123)-117)))*1,0))</f>
        <v>1021099398</v>
      </c>
      <c r="AE1781" s="6">
        <f>$E1781+24</f>
        <v>136</v>
      </c>
      <c r="AF1781" s="7">
        <f>IF($J1781=0,0,ROUND(MAX($J1781*1.4*1.5*1.6*1.6*2.2*2.715*2.6*1.4*1.4*1.5*1.5,18900000000*(1.65331^(MIN($E1781,123)-117)))*1,0))</f>
        <v>1529996162</v>
      </c>
      <c r="AG1781" s="4">
        <f>$E1781+27</f>
        <v>139</v>
      </c>
      <c r="AH1781" s="8">
        <f>IF($J1781=0,0,ROUND(MAX($J1781*1.4*1.5*1.6*1.6*2.2*2.715*2.6*1.4*1.4*1.5*1.5*3.2,60500000000*(1.654288^(MIN($E1781,123)-117)))*1,0))</f>
        <v>4883146766</v>
      </c>
    </row>
    <row r="1782" ht="27.75" customHeight="1" spans="1:34" x14ac:dyDescent="0.25">
      <c r="A1782" s="3">
        <v>1792</v>
      </c>
      <c r="B1782" s="3" t="s">
        <v>623</v>
      </c>
      <c r="C1782" s="3" t="s">
        <v>1175</v>
      </c>
      <c r="D1782" s="3" t="s">
        <v>45</v>
      </c>
      <c r="E1782" s="3">
        <v>112</v>
      </c>
      <c r="F1782" s="3" t="s">
        <v>56</v>
      </c>
      <c r="G1782" s="3" t="s">
        <v>1176</v>
      </c>
      <c r="H1782" s="3">
        <v>27</v>
      </c>
      <c r="I1782" s="4">
        <v>112</v>
      </c>
      <c r="J1782" s="5">
        <v>606000</v>
      </c>
      <c r="K1782" s="6">
        <f>$E1782+1</f>
        <v>113</v>
      </c>
      <c r="L1782" s="7">
        <f>IF($J1782=0,0,ROUND(MAX($J1782*1.4,1620000*(1.497923^(MIN($E1782,123)-117)))*1,0))</f>
        <v>848400</v>
      </c>
      <c r="M1782" s="4">
        <f>$E1782+2</f>
        <v>114</v>
      </c>
      <c r="N1782" s="8">
        <f>IF($J1782=0,0,ROUND(MAX($J1782*1.4*1.5,2190000*(1.580994^(MIN($E1782,123)-117)))*1,0))</f>
        <v>1272600</v>
      </c>
      <c r="O1782" s="6">
        <f>$E1782+4</f>
        <v>116</v>
      </c>
      <c r="P1782" s="7">
        <f>IF($J1782=0,0,ROUND(MAX($J1782*1.4*1.5*1.6,3500000*(1.57975^(MIN($E1782,123)-117)))*1,0))</f>
        <v>2036160</v>
      </c>
      <c r="Q1782" s="4">
        <f>$E1782+6</f>
        <v>118</v>
      </c>
      <c r="R1782" s="8">
        <f>IF($J1782=0,0,ROUND(MAX($J1782*1.4*1.5*1.6*1.6,13100000*(1.429962^(MIN($E1782,123)-117)))*1,0))</f>
        <v>3257856</v>
      </c>
      <c r="S1782" s="6">
        <f>$E1782+8</f>
        <v>120</v>
      </c>
      <c r="T1782" s="7">
        <f>IF($J1782=0,0,ROUND(MAX($J1782*1.4*1.5*1.6*1.6*2.2,42600000*(1.576904^(MIN($E1782,123)-117)))*1,0))</f>
        <v>7167283</v>
      </c>
      <c r="U1782" s="4">
        <f>$E1782+11</f>
        <v>123</v>
      </c>
      <c r="V1782" s="8">
        <f>IF($J1782=0,0,ROUND(MAX($J1782*1.4*1.5*1.6*1.6*2.2*2.715,354000000*(1.642074^(MIN($E1782,123)-117)))*1,0))</f>
        <v>29651020</v>
      </c>
      <c r="W1782" s="6">
        <f>$E1782+15</f>
        <v>127</v>
      </c>
      <c r="X1782" s="7">
        <f>IF($J1782=0,0,ROUND(MAX($J1782*1.4*1.5*1.6*1.6*2.2*2.715*2.6,3540000000*(1.579646^(MIN($E1782,123)-117)))*1,0))</f>
        <v>359918692</v>
      </c>
      <c r="Y1782" s="4">
        <f>$E1782+17</f>
        <v>129</v>
      </c>
      <c r="Z1782" s="8">
        <f>IF($J1782=0,0,ROUND(MAX($J1782*1.4*1.5*1.6*1.6*2.2*2.715*2.6*1.4,6020000000*(1.651178^(MIN($E1782,123)-117)))*1,0))</f>
        <v>490486461</v>
      </c>
      <c r="AA1782" s="6">
        <f>$E1782+19</f>
        <v>131</v>
      </c>
      <c r="AB1782" s="7">
        <f>IF($J1782=0,0,ROUND(MAX($J1782*1.4*1.5*1.6*1.6*2.2*2.715*2.6*1.4*1.4,8430000000*(1.651435^(MIN($E1782,123)-117)))*1,0))</f>
        <v>686309723</v>
      </c>
      <c r="AC1782" s="4">
        <f>$E1782+21</f>
        <v>133</v>
      </c>
      <c r="AD1782" s="8">
        <f>IF($J1782=0,0,ROUND(MAX($J1782*1.4*1.5*1.6*1.6*2.2*2.715*2.6*1.4*1.4*1.5,12600000000*(1.652953^(MIN($E1782,123)-117)))*1,0))</f>
        <v>1021099398</v>
      </c>
      <c r="AE1782" s="6">
        <f>$E1782+24</f>
        <v>136</v>
      </c>
      <c r="AF1782" s="7">
        <f>IF($J1782=0,0,ROUND(MAX($J1782*1.4*1.5*1.6*1.6*2.2*2.715*2.6*1.4*1.4*1.5*1.5,18900000000*(1.65331^(MIN($E1782,123)-117)))*1,0))</f>
        <v>1529996162</v>
      </c>
      <c r="AG1782" s="4">
        <f>$E1782+27</f>
        <v>139</v>
      </c>
      <c r="AH1782" s="8">
        <f>IF($J1782=0,0,ROUND(MAX($J1782*1.4*1.5*1.6*1.6*2.2*2.715*2.6*1.4*1.4*1.5*1.5*3.2,60500000000*(1.654288^(MIN($E1782,123)-117)))*1,0))</f>
        <v>4883146766</v>
      </c>
    </row>
    <row r="1783" ht="27.75" customHeight="1" spans="1:34" x14ac:dyDescent="0.25">
      <c r="A1783" s="3">
        <v>1793</v>
      </c>
      <c r="B1783" s="3" t="s">
        <v>207</v>
      </c>
      <c r="C1783" s="3" t="s">
        <v>1175</v>
      </c>
      <c r="D1783" s="3" t="s">
        <v>165</v>
      </c>
      <c r="E1783" s="3">
        <v>112</v>
      </c>
      <c r="F1783" s="3" t="s">
        <v>54</v>
      </c>
      <c r="G1783" s="3" t="s">
        <v>1176</v>
      </c>
      <c r="H1783" s="3">
        <v>27</v>
      </c>
      <c r="I1783" s="4">
        <v>112</v>
      </c>
      <c r="J1783" s="5">
        <v>606000</v>
      </c>
      <c r="K1783" s="6">
        <f>$E1783+1</f>
        <v>113</v>
      </c>
      <c r="L1783" s="7">
        <f>IF($J1783=0,0,ROUND(MAX($J1783*1.4,1620000*(1.497923^(MIN($E1783,123)-117)))*1,0))</f>
        <v>848400</v>
      </c>
      <c r="M1783" s="4">
        <f>$E1783+2</f>
        <v>114</v>
      </c>
      <c r="N1783" s="8">
        <f>IF($J1783=0,0,ROUND(MAX($J1783*1.4*1.5,2190000*(1.580994^(MIN($E1783,123)-117)))*1,0))</f>
        <v>1272600</v>
      </c>
      <c r="O1783" s="6">
        <f>$E1783+4</f>
        <v>116</v>
      </c>
      <c r="P1783" s="7">
        <f>IF($J1783=0,0,ROUND(MAX($J1783*1.4*1.5*1.6,3500000*(1.57975^(MIN($E1783,123)-117)))*1,0))</f>
        <v>2036160</v>
      </c>
      <c r="Q1783" s="4">
        <f>$E1783+6</f>
        <v>118</v>
      </c>
      <c r="R1783" s="8">
        <f>IF($J1783=0,0,ROUND(MAX($J1783*1.4*1.5*1.6*1.6,13100000*(1.429962^(MIN($E1783,123)-117)))*1,0))</f>
        <v>3257856</v>
      </c>
      <c r="S1783" s="6">
        <f>$E1783+8</f>
        <v>120</v>
      </c>
      <c r="T1783" s="7">
        <f>IF($J1783=0,0,ROUND(MAX($J1783*1.4*1.5*1.6*1.6*2.2,42600000*(1.576904^(MIN($E1783,123)-117)))*1,0))</f>
        <v>7167283</v>
      </c>
      <c r="U1783" s="4">
        <f>$E1783+11</f>
        <v>123</v>
      </c>
      <c r="V1783" s="8">
        <f>IF($J1783=0,0,ROUND(MAX($J1783*1.4*1.5*1.6*1.6*2.2*2.715,354000000*(1.642074^(MIN($E1783,123)-117)))*1,0))</f>
        <v>29651020</v>
      </c>
      <c r="W1783" s="6">
        <f>$E1783+15</f>
        <v>127</v>
      </c>
      <c r="X1783" s="7">
        <f>IF($J1783=0,0,ROUND(MAX($J1783*1.4*1.5*1.6*1.6*2.2*2.715*2.6,3540000000*(1.579646^(MIN($E1783,123)-117)))*1,0))</f>
        <v>359918692</v>
      </c>
      <c r="Y1783" s="4">
        <f>$E1783+17</f>
        <v>129</v>
      </c>
      <c r="Z1783" s="8">
        <f>IF($J1783=0,0,ROUND(MAX($J1783*1.4*1.5*1.6*1.6*2.2*2.715*2.6*1.4,6020000000*(1.651178^(MIN($E1783,123)-117)))*1,0))</f>
        <v>490486461</v>
      </c>
      <c r="AA1783" s="6">
        <f>$E1783+19</f>
        <v>131</v>
      </c>
      <c r="AB1783" s="7">
        <f>IF($J1783=0,0,ROUND(MAX($J1783*1.4*1.5*1.6*1.6*2.2*2.715*2.6*1.4*1.4,8430000000*(1.651435^(MIN($E1783,123)-117)))*1,0))</f>
        <v>686309723</v>
      </c>
      <c r="AC1783" s="4">
        <f>$E1783+21</f>
        <v>133</v>
      </c>
      <c r="AD1783" s="8">
        <f>IF($J1783=0,0,ROUND(MAX($J1783*1.4*1.5*1.6*1.6*2.2*2.715*2.6*1.4*1.4*1.5,12600000000*(1.652953^(MIN($E1783,123)-117)))*1,0))</f>
        <v>1021099398</v>
      </c>
      <c r="AE1783" s="6">
        <f>$E1783+24</f>
        <v>136</v>
      </c>
      <c r="AF1783" s="7">
        <f>IF($J1783=0,0,ROUND(MAX($J1783*1.4*1.5*1.6*1.6*2.2*2.715*2.6*1.4*1.4*1.5*1.5,18900000000*(1.65331^(MIN($E1783,123)-117)))*1,0))</f>
        <v>1529996162</v>
      </c>
      <c r="AG1783" s="4">
        <f>$E1783+27</f>
        <v>139</v>
      </c>
      <c r="AH1783" s="8">
        <f>IF($J1783=0,0,ROUND(MAX($J1783*1.4*1.5*1.6*1.6*2.2*2.715*2.6*1.4*1.4*1.5*1.5*3.2,60500000000*(1.654288^(MIN($E1783,123)-117)))*1,0))</f>
        <v>4883146766</v>
      </c>
    </row>
    <row r="1784" ht="27.75" customHeight="1" spans="1:34" x14ac:dyDescent="0.25">
      <c r="A1784" s="3">
        <v>1794</v>
      </c>
      <c r="B1784" s="3" t="s">
        <v>1182</v>
      </c>
      <c r="C1784" s="3" t="s">
        <v>1175</v>
      </c>
      <c r="D1784" s="3" t="s">
        <v>79</v>
      </c>
      <c r="E1784" s="3">
        <v>112</v>
      </c>
      <c r="F1784" s="3" t="s">
        <v>30</v>
      </c>
      <c r="G1784" s="3" t="s">
        <v>185</v>
      </c>
      <c r="H1784" s="3">
        <v>26</v>
      </c>
      <c r="I1784" s="4">
        <v>112</v>
      </c>
      <c r="J1784" s="5">
        <v>1430000</v>
      </c>
      <c r="K1784" s="6">
        <f>$E1784+1</f>
        <v>113</v>
      </c>
      <c r="L1784" s="7">
        <f>IF($J1784=0,0,ROUND(MAX($J1784*1.4,1620000*(1.497923^(MIN($E1784,123)-117)))*1,0))</f>
        <v>2002000</v>
      </c>
      <c r="M1784" s="4">
        <f>$E1784+2</f>
        <v>114</v>
      </c>
      <c r="N1784" s="8">
        <f>IF($J1784=0,0,ROUND(MAX($J1784*1.4*1.5,2190000*(1.580994^(MIN($E1784,123)-117)))*1,0))</f>
        <v>3003000</v>
      </c>
      <c r="O1784" s="6">
        <f>$E1784+4</f>
        <v>116</v>
      </c>
      <c r="P1784" s="7">
        <f>IF($J1784=0,0,ROUND(MAX($J1784*1.4*1.5*1.6,3500000*(1.57975^(MIN($E1784,123)-117)))*1,0))</f>
        <v>4804800</v>
      </c>
      <c r="Q1784" s="4">
        <f>$E1784+6</f>
        <v>118</v>
      </c>
      <c r="R1784" s="8">
        <f>IF($J1784=0,0,ROUND(MAX($J1784*1.4*1.5*1.6*1.6,13100000*(1.429962^(MIN($E1784,123)-117)))*1,0))</f>
        <v>7687680</v>
      </c>
      <c r="S1784" s="6">
        <f>$E1784+8</f>
        <v>120</v>
      </c>
      <c r="T1784" s="7">
        <f>IF($J1784=0,0,ROUND(MAX($J1784*1.4*1.5*1.6*1.6*2.2,42600000*(1.576904^(MIN($E1784,123)-117)))*1,0))</f>
        <v>16912896</v>
      </c>
      <c r="U1784" s="4">
        <f>$E1784+11</f>
        <v>123</v>
      </c>
      <c r="V1784" s="8">
        <f>IF($J1784=0,0,ROUND(MAX($J1784*1.4*1.5*1.6*1.6*2.2*2.715,354000000*(1.642074^(MIN($E1784,123)-117)))*1,0))</f>
        <v>45918513</v>
      </c>
      <c r="W1784" s="6">
        <f>$E1784+15</f>
        <v>127</v>
      </c>
      <c r="X1784" s="7">
        <f>IF($J1784=0,0,ROUND(MAX($J1784*1.4*1.5*1.6*1.6*2.2*2.715*2.6,3540000000*(1.579646^(MIN($E1784,123)-117)))*1,0))</f>
        <v>359918692</v>
      </c>
      <c r="Y1784" s="4">
        <f>$E1784+17</f>
        <v>129</v>
      </c>
      <c r="Z1784" s="8">
        <f>IF($J1784=0,0,ROUND(MAX($J1784*1.4*1.5*1.6*1.6*2.2*2.715*2.6*1.4,6020000000*(1.651178^(MIN($E1784,123)-117)))*1,0))</f>
        <v>490486461</v>
      </c>
      <c r="AA1784" s="6">
        <f>$E1784+19</f>
        <v>131</v>
      </c>
      <c r="AB1784" s="7">
        <f>IF($J1784=0,0,ROUND(MAX($J1784*1.4*1.5*1.6*1.6*2.2*2.715*2.6*1.4*1.4,8430000000*(1.651435^(MIN($E1784,123)-117)))*1,0))</f>
        <v>686309723</v>
      </c>
      <c r="AC1784" s="4">
        <f>$E1784+21</f>
        <v>133</v>
      </c>
      <c r="AD1784" s="8">
        <f>IF($J1784=0,0,ROUND(MAX($J1784*1.4*1.5*1.6*1.6*2.2*2.715*2.6*1.4*1.4*1.5,12600000000*(1.652953^(MIN($E1784,123)-117)))*1,0))</f>
        <v>1021099398</v>
      </c>
      <c r="AE1784" s="6">
        <f>$E1784+24</f>
        <v>136</v>
      </c>
      <c r="AF1784" s="7">
        <f>IF($J1784=0,0,ROUND(MAX($J1784*1.4*1.5*1.6*1.6*2.2*2.715*2.6*1.4*1.4*1.5*1.5,18900000000*(1.65331^(MIN($E1784,123)-117)))*1,0))</f>
        <v>1529996162</v>
      </c>
      <c r="AG1784" s="4">
        <f>$E1784+27</f>
        <v>139</v>
      </c>
      <c r="AH1784" s="8">
        <f>IF($J1784=0,0,ROUND(MAX($J1784*1.4*1.5*1.6*1.6*2.2*2.715*2.6*1.4*1.4*1.5*1.5*3.2,60500000000*(1.654288^(MIN($E1784,123)-117)))*1,0))</f>
        <v>4883146766</v>
      </c>
    </row>
    <row r="1785" ht="27.75" customHeight="1" spans="1:34" x14ac:dyDescent="0.25">
      <c r="A1785" s="3">
        <v>1795</v>
      </c>
      <c r="B1785" s="3" t="s">
        <v>1183</v>
      </c>
      <c r="C1785" s="3" t="s">
        <v>1175</v>
      </c>
      <c r="D1785" s="3" t="s">
        <v>102</v>
      </c>
      <c r="E1785" s="3">
        <v>112</v>
      </c>
      <c r="F1785" s="3" t="s">
        <v>385</v>
      </c>
      <c r="G1785" s="3" t="s">
        <v>98</v>
      </c>
      <c r="H1785" s="3">
        <v>26</v>
      </c>
      <c r="I1785" s="4">
        <v>112</v>
      </c>
      <c r="J1785" s="5">
        <v>1010000</v>
      </c>
      <c r="K1785" s="6">
        <f>$E1785+1</f>
        <v>113</v>
      </c>
      <c r="L1785" s="7">
        <f>IF($J1785=0,0,ROUND(MAX($J1785*1.4,1620000*(1.497923^(MIN($E1785,123)-117)))*1,0))</f>
        <v>1414000</v>
      </c>
      <c r="M1785" s="4">
        <f>$E1785+2</f>
        <v>114</v>
      </c>
      <c r="N1785" s="8">
        <f>IF($J1785=0,0,ROUND(MAX($J1785*1.4*1.5,2190000*(1.580994^(MIN($E1785,123)-117)))*1,0))</f>
        <v>2121000</v>
      </c>
      <c r="O1785" s="6">
        <f>$E1785+4</f>
        <v>116</v>
      </c>
      <c r="P1785" s="7">
        <f>IF($J1785=0,0,ROUND(MAX($J1785*1.4*1.5*1.6,3500000*(1.57975^(MIN($E1785,123)-117)))*1,0))</f>
        <v>3393600</v>
      </c>
      <c r="Q1785" s="4">
        <f>$E1785+6</f>
        <v>118</v>
      </c>
      <c r="R1785" s="8">
        <f>IF($J1785=0,0,ROUND(MAX($J1785*1.4*1.5*1.6*1.6,13100000*(1.429962^(MIN($E1785,123)-117)))*1,0))</f>
        <v>5429760</v>
      </c>
      <c r="S1785" s="6">
        <f>$E1785+8</f>
        <v>120</v>
      </c>
      <c r="T1785" s="7">
        <f>IF($J1785=0,0,ROUND(MAX($J1785*1.4*1.5*1.6*1.6*2.2,42600000*(1.576904^(MIN($E1785,123)-117)))*1,0))</f>
        <v>11945472</v>
      </c>
      <c r="U1785" s="4">
        <f>$E1785+11</f>
        <v>123</v>
      </c>
      <c r="V1785" s="8">
        <f>IF($J1785=0,0,ROUND(MAX($J1785*1.4*1.5*1.6*1.6*2.2*2.715,354000000*(1.642074^(MIN($E1785,123)-117)))*1,0))</f>
        <v>32431956</v>
      </c>
      <c r="W1785" s="6">
        <f>$E1785+15</f>
        <v>127</v>
      </c>
      <c r="X1785" s="7">
        <f>IF($J1785=0,0,ROUND(MAX($J1785*1.4*1.5*1.6*1.6*2.2*2.715*2.6,3540000000*(1.579646^(MIN($E1785,123)-117)))*1,0))</f>
        <v>359918692</v>
      </c>
      <c r="Y1785" s="4">
        <f>$E1785+17</f>
        <v>129</v>
      </c>
      <c r="Z1785" s="8">
        <f>IF($J1785=0,0,ROUND(MAX($J1785*1.4*1.5*1.6*1.6*2.2*2.715*2.6*1.4,6020000000*(1.651178^(MIN($E1785,123)-117)))*1,0))</f>
        <v>490486461</v>
      </c>
      <c r="AA1785" s="6">
        <f>$E1785+19</f>
        <v>131</v>
      </c>
      <c r="AB1785" s="7">
        <f>IF($J1785=0,0,ROUND(MAX($J1785*1.4*1.5*1.6*1.6*2.2*2.715*2.6*1.4*1.4,8430000000*(1.651435^(MIN($E1785,123)-117)))*1,0))</f>
        <v>686309723</v>
      </c>
      <c r="AC1785" s="4">
        <f>$E1785+21</f>
        <v>133</v>
      </c>
      <c r="AD1785" s="8">
        <f>IF($J1785=0,0,ROUND(MAX($J1785*1.4*1.5*1.6*1.6*2.2*2.715*2.6*1.4*1.4*1.5,12600000000*(1.652953^(MIN($E1785,123)-117)))*1,0))</f>
        <v>1021099398</v>
      </c>
      <c r="AE1785" s="6">
        <f>$E1785+24</f>
        <v>136</v>
      </c>
      <c r="AF1785" s="7">
        <f>IF($J1785=0,0,ROUND(MAX($J1785*1.4*1.5*1.6*1.6*2.2*2.715*2.6*1.4*1.4*1.5*1.5,18900000000*(1.65331^(MIN($E1785,123)-117)))*1,0))</f>
        <v>1529996162</v>
      </c>
      <c r="AG1785" s="4">
        <f>$E1785+27</f>
        <v>139</v>
      </c>
      <c r="AH1785" s="8">
        <f>IF($J1785=0,0,ROUND(MAX($J1785*1.4*1.5*1.6*1.6*2.2*2.715*2.6*1.4*1.4*1.5*1.5*3.2,60500000000*(1.654288^(MIN($E1785,123)-117)))*1,0))</f>
        <v>4883146766</v>
      </c>
    </row>
    <row r="1786" ht="27.75" customHeight="1" spans="1:34" x14ac:dyDescent="0.25">
      <c r="A1786" s="3">
        <v>1796</v>
      </c>
      <c r="B1786" s="3" t="s">
        <v>803</v>
      </c>
      <c r="C1786" s="3" t="s">
        <v>1175</v>
      </c>
      <c r="D1786" s="3" t="s">
        <v>79</v>
      </c>
      <c r="E1786" s="3">
        <v>112</v>
      </c>
      <c r="F1786" s="3" t="s">
        <v>383</v>
      </c>
      <c r="G1786" s="3" t="s">
        <v>51</v>
      </c>
      <c r="H1786" s="3">
        <v>26</v>
      </c>
      <c r="I1786" s="4">
        <v>112</v>
      </c>
      <c r="J1786" s="5">
        <v>1610000</v>
      </c>
      <c r="K1786" s="6">
        <f>$E1786+1</f>
        <v>113</v>
      </c>
      <c r="L1786" s="7">
        <f>IF($J1786=0,0,ROUND(MAX($J1786*1.4,1620000*(1.497923^(MIN($E1786,123)-117)))*1,0))</f>
        <v>2254000</v>
      </c>
      <c r="M1786" s="4">
        <f>$E1786+2</f>
        <v>114</v>
      </c>
      <c r="N1786" s="8">
        <f>IF($J1786=0,0,ROUND(MAX($J1786*1.4*1.5,2190000*(1.580994^(MIN($E1786,123)-117)))*1,0))</f>
        <v>3381000</v>
      </c>
      <c r="O1786" s="6">
        <f>$E1786+4</f>
        <v>116</v>
      </c>
      <c r="P1786" s="7">
        <f>IF($J1786=0,0,ROUND(MAX($J1786*1.4*1.5*1.6,3500000*(1.57975^(MIN($E1786,123)-117)))*1,0))</f>
        <v>5409600</v>
      </c>
      <c r="Q1786" s="4">
        <f>$E1786+6</f>
        <v>118</v>
      </c>
      <c r="R1786" s="8">
        <f>IF($J1786=0,0,ROUND(MAX($J1786*1.4*1.5*1.6*1.6,13100000*(1.429962^(MIN($E1786,123)-117)))*1,0))</f>
        <v>8655360</v>
      </c>
      <c r="S1786" s="6">
        <f>$E1786+8</f>
        <v>120</v>
      </c>
      <c r="T1786" s="7">
        <f>IF($J1786=0,0,ROUND(MAX($J1786*1.4*1.5*1.6*1.6*2.2,42600000*(1.576904^(MIN($E1786,123)-117)))*1,0))</f>
        <v>19041792</v>
      </c>
      <c r="U1786" s="4">
        <f>$E1786+11</f>
        <v>123</v>
      </c>
      <c r="V1786" s="8">
        <f>IF($J1786=0,0,ROUND(MAX($J1786*1.4*1.5*1.6*1.6*2.2*2.715,354000000*(1.642074^(MIN($E1786,123)-117)))*1,0))</f>
        <v>51698465</v>
      </c>
      <c r="W1786" s="6">
        <f>$E1786+15</f>
        <v>127</v>
      </c>
      <c r="X1786" s="7">
        <f>IF($J1786=0,0,ROUND(MAX($J1786*1.4*1.5*1.6*1.6*2.2*2.715*2.6,3540000000*(1.579646^(MIN($E1786,123)-117)))*1,0))</f>
        <v>359918692</v>
      </c>
      <c r="Y1786" s="4">
        <f>$E1786+17</f>
        <v>129</v>
      </c>
      <c r="Z1786" s="8">
        <f>IF($J1786=0,0,ROUND(MAX($J1786*1.4*1.5*1.6*1.6*2.2*2.715*2.6*1.4,6020000000*(1.651178^(MIN($E1786,123)-117)))*1,0))</f>
        <v>490486461</v>
      </c>
      <c r="AA1786" s="6">
        <f>$E1786+19</f>
        <v>131</v>
      </c>
      <c r="AB1786" s="7">
        <f>IF($J1786=0,0,ROUND(MAX($J1786*1.4*1.5*1.6*1.6*2.2*2.715*2.6*1.4*1.4,8430000000*(1.651435^(MIN($E1786,123)-117)))*1,0))</f>
        <v>686309723</v>
      </c>
      <c r="AC1786" s="4">
        <f>$E1786+21</f>
        <v>133</v>
      </c>
      <c r="AD1786" s="8">
        <f>IF($J1786=0,0,ROUND(MAX($J1786*1.4*1.5*1.6*1.6*2.2*2.715*2.6*1.4*1.4*1.5,12600000000*(1.652953^(MIN($E1786,123)-117)))*1,0))</f>
        <v>1021099398</v>
      </c>
      <c r="AE1786" s="6">
        <f>$E1786+24</f>
        <v>136</v>
      </c>
      <c r="AF1786" s="7">
        <f>IF($J1786=0,0,ROUND(MAX($J1786*1.4*1.5*1.6*1.6*2.2*2.715*2.6*1.4*1.4*1.5*1.5,18900000000*(1.65331^(MIN($E1786,123)-117)))*1,0))</f>
        <v>1529996162</v>
      </c>
      <c r="AG1786" s="4">
        <f>$E1786+27</f>
        <v>139</v>
      </c>
      <c r="AH1786" s="8">
        <f>IF($J1786=0,0,ROUND(MAX($J1786*1.4*1.5*1.6*1.6*2.2*2.715*2.6*1.4*1.4*1.5*1.5*3.2,60500000000*(1.654288^(MIN($E1786,123)-117)))*1,0))</f>
        <v>4883146766</v>
      </c>
    </row>
    <row r="1787" ht="27.75" customHeight="1" spans="1:34" x14ac:dyDescent="0.25">
      <c r="A1787" s="3">
        <v>1797</v>
      </c>
      <c r="B1787" s="3" t="s">
        <v>654</v>
      </c>
      <c r="C1787" s="3" t="s">
        <v>1175</v>
      </c>
      <c r="D1787" s="3" t="s">
        <v>25</v>
      </c>
      <c r="E1787" s="3">
        <v>112</v>
      </c>
      <c r="F1787" s="3" t="s">
        <v>42</v>
      </c>
      <c r="G1787" s="3" t="s">
        <v>1176</v>
      </c>
      <c r="H1787" s="3">
        <v>26</v>
      </c>
      <c r="I1787" s="4">
        <v>112</v>
      </c>
      <c r="J1787" s="5">
        <v>621000</v>
      </c>
      <c r="K1787" s="6">
        <f>$E1787+1</f>
        <v>113</v>
      </c>
      <c r="L1787" s="7">
        <f>IF($J1787=0,0,ROUND(MAX($J1787*1.4,1620000*(1.497923^(MIN($E1787,123)-117)))*1,0))</f>
        <v>869400</v>
      </c>
      <c r="M1787" s="4">
        <f>$E1787+2</f>
        <v>114</v>
      </c>
      <c r="N1787" s="8">
        <f>IF($J1787=0,0,ROUND(MAX($J1787*1.4*1.5,2190000*(1.580994^(MIN($E1787,123)-117)))*1,0))</f>
        <v>1304100</v>
      </c>
      <c r="O1787" s="6">
        <f>$E1787+4</f>
        <v>116</v>
      </c>
      <c r="P1787" s="7">
        <f>IF($J1787=0,0,ROUND(MAX($J1787*1.4*1.5*1.6,3500000*(1.57975^(MIN($E1787,123)-117)))*1,0))</f>
        <v>2086560</v>
      </c>
      <c r="Q1787" s="4">
        <f>$E1787+6</f>
        <v>118</v>
      </c>
      <c r="R1787" s="8">
        <f>IF($J1787=0,0,ROUND(MAX($J1787*1.4*1.5*1.6*1.6,13100000*(1.429962^(MIN($E1787,123)-117)))*1,0))</f>
        <v>3338496</v>
      </c>
      <c r="S1787" s="6">
        <f>$E1787+8</f>
        <v>120</v>
      </c>
      <c r="T1787" s="7">
        <f>IF($J1787=0,0,ROUND(MAX($J1787*1.4*1.5*1.6*1.6*2.2,42600000*(1.576904^(MIN($E1787,123)-117)))*1,0))</f>
        <v>7344691</v>
      </c>
      <c r="U1787" s="4">
        <f>$E1787+11</f>
        <v>123</v>
      </c>
      <c r="V1787" s="8">
        <f>IF($J1787=0,0,ROUND(MAX($J1787*1.4*1.5*1.6*1.6*2.2*2.715,354000000*(1.642074^(MIN($E1787,123)-117)))*1,0))</f>
        <v>29651020</v>
      </c>
      <c r="W1787" s="6">
        <f>$E1787+15</f>
        <v>127</v>
      </c>
      <c r="X1787" s="7">
        <f>IF($J1787=0,0,ROUND(MAX($J1787*1.4*1.5*1.6*1.6*2.2*2.715*2.6,3540000000*(1.579646^(MIN($E1787,123)-117)))*1,0))</f>
        <v>359918692</v>
      </c>
      <c r="Y1787" s="4">
        <f>$E1787+17</f>
        <v>129</v>
      </c>
      <c r="Z1787" s="8">
        <f>IF($J1787=0,0,ROUND(MAX($J1787*1.4*1.5*1.6*1.6*2.2*2.715*2.6*1.4,6020000000*(1.651178^(MIN($E1787,123)-117)))*1,0))</f>
        <v>490486461</v>
      </c>
      <c r="AA1787" s="6">
        <f>$E1787+19</f>
        <v>131</v>
      </c>
      <c r="AB1787" s="7">
        <f>IF($J1787=0,0,ROUND(MAX($J1787*1.4*1.5*1.6*1.6*2.2*2.715*2.6*1.4*1.4,8430000000*(1.651435^(MIN($E1787,123)-117)))*1,0))</f>
        <v>686309723</v>
      </c>
      <c r="AC1787" s="4">
        <f>$E1787+21</f>
        <v>133</v>
      </c>
      <c r="AD1787" s="8">
        <f>IF($J1787=0,0,ROUND(MAX($J1787*1.4*1.5*1.6*1.6*2.2*2.715*2.6*1.4*1.4*1.5,12600000000*(1.652953^(MIN($E1787,123)-117)))*1,0))</f>
        <v>1021099398</v>
      </c>
      <c r="AE1787" s="6">
        <f>$E1787+24</f>
        <v>136</v>
      </c>
      <c r="AF1787" s="7">
        <f>IF($J1787=0,0,ROUND(MAX($J1787*1.4*1.5*1.6*1.6*2.2*2.715*2.6*1.4*1.4*1.5*1.5,18900000000*(1.65331^(MIN($E1787,123)-117)))*1,0))</f>
        <v>1529996162</v>
      </c>
      <c r="AG1787" s="4">
        <f>$E1787+27</f>
        <v>139</v>
      </c>
      <c r="AH1787" s="8">
        <f>IF($J1787=0,0,ROUND(MAX($J1787*1.4*1.5*1.6*1.6*2.2*2.715*2.6*1.4*1.4*1.5*1.5*3.2,60500000000*(1.654288^(MIN($E1787,123)-117)))*1,0))</f>
        <v>4883146766</v>
      </c>
    </row>
    <row r="1788" ht="27.75" customHeight="1" spans="1:34" x14ac:dyDescent="0.25">
      <c r="A1788" s="3">
        <v>1798</v>
      </c>
      <c r="B1788" s="3" t="s">
        <v>142</v>
      </c>
      <c r="C1788" s="3" t="s">
        <v>1175</v>
      </c>
      <c r="D1788" s="3" t="s">
        <v>75</v>
      </c>
      <c r="E1788" s="3">
        <v>112</v>
      </c>
      <c r="F1788" s="3" t="s">
        <v>34</v>
      </c>
      <c r="G1788" s="3" t="s">
        <v>1176</v>
      </c>
      <c r="H1788" s="3">
        <v>26</v>
      </c>
      <c r="I1788" s="4">
        <v>112</v>
      </c>
      <c r="J1788" s="5">
        <v>645000</v>
      </c>
      <c r="K1788" s="6">
        <f>$E1788+1</f>
        <v>113</v>
      </c>
      <c r="L1788" s="7">
        <f>IF($J1788=0,0,ROUND(MAX($J1788*1.4,1620000*(1.497923^(MIN($E1788,123)-117)))*1,0))</f>
        <v>903000</v>
      </c>
      <c r="M1788" s="4">
        <f>$E1788+2</f>
        <v>114</v>
      </c>
      <c r="N1788" s="8">
        <f>IF($J1788=0,0,ROUND(MAX($J1788*1.4*1.5,2190000*(1.580994^(MIN($E1788,123)-117)))*1,0))</f>
        <v>1354500</v>
      </c>
      <c r="O1788" s="6">
        <f>$E1788+4</f>
        <v>116</v>
      </c>
      <c r="P1788" s="7">
        <f>IF($J1788=0,0,ROUND(MAX($J1788*1.4*1.5*1.6,3500000*(1.57975^(MIN($E1788,123)-117)))*1,0))</f>
        <v>2167200</v>
      </c>
      <c r="Q1788" s="4">
        <f>$E1788+6</f>
        <v>118</v>
      </c>
      <c r="R1788" s="8">
        <f>IF($J1788=0,0,ROUND(MAX($J1788*1.4*1.5*1.6*1.6,13100000*(1.429962^(MIN($E1788,123)-117)))*1,0))</f>
        <v>3467520</v>
      </c>
      <c r="S1788" s="6">
        <f>$E1788+8</f>
        <v>120</v>
      </c>
      <c r="T1788" s="7">
        <f>IF($J1788=0,0,ROUND(MAX($J1788*1.4*1.5*1.6*1.6*2.2,42600000*(1.576904^(MIN($E1788,123)-117)))*1,0))</f>
        <v>7628544</v>
      </c>
      <c r="U1788" s="4">
        <f>$E1788+11</f>
        <v>123</v>
      </c>
      <c r="V1788" s="8">
        <f>IF($J1788=0,0,ROUND(MAX($J1788*1.4*1.5*1.6*1.6*2.2*2.715,354000000*(1.642074^(MIN($E1788,123)-117)))*1,0))</f>
        <v>29651020</v>
      </c>
      <c r="W1788" s="6">
        <f>$E1788+15</f>
        <v>127</v>
      </c>
      <c r="X1788" s="7">
        <f>IF($J1788=0,0,ROUND(MAX($J1788*1.4*1.5*1.6*1.6*2.2*2.715*2.6,3540000000*(1.579646^(MIN($E1788,123)-117)))*1,0))</f>
        <v>359918692</v>
      </c>
      <c r="Y1788" s="4">
        <f>$E1788+17</f>
        <v>129</v>
      </c>
      <c r="Z1788" s="8">
        <f>IF($J1788=0,0,ROUND(MAX($J1788*1.4*1.5*1.6*1.6*2.2*2.715*2.6*1.4,6020000000*(1.651178^(MIN($E1788,123)-117)))*1,0))</f>
        <v>490486461</v>
      </c>
      <c r="AA1788" s="6">
        <f>$E1788+19</f>
        <v>131</v>
      </c>
      <c r="AB1788" s="7">
        <f>IF($J1788=0,0,ROUND(MAX($J1788*1.4*1.5*1.6*1.6*2.2*2.715*2.6*1.4*1.4,8430000000*(1.651435^(MIN($E1788,123)-117)))*1,0))</f>
        <v>686309723</v>
      </c>
      <c r="AC1788" s="4">
        <f>$E1788+21</f>
        <v>133</v>
      </c>
      <c r="AD1788" s="8">
        <f>IF($J1788=0,0,ROUND(MAX($J1788*1.4*1.5*1.6*1.6*2.2*2.715*2.6*1.4*1.4*1.5,12600000000*(1.652953^(MIN($E1788,123)-117)))*1,0))</f>
        <v>1021099398</v>
      </c>
      <c r="AE1788" s="6">
        <f>$E1788+24</f>
        <v>136</v>
      </c>
      <c r="AF1788" s="7">
        <f>IF($J1788=0,0,ROUND(MAX($J1788*1.4*1.5*1.6*1.6*2.2*2.715*2.6*1.4*1.4*1.5*1.5,18900000000*(1.65331^(MIN($E1788,123)-117)))*1,0))</f>
        <v>1529996162</v>
      </c>
      <c r="AG1788" s="4">
        <f>$E1788+27</f>
        <v>139</v>
      </c>
      <c r="AH1788" s="8">
        <f>IF($J1788=0,0,ROUND(MAX($J1788*1.4*1.5*1.6*1.6*2.2*2.715*2.6*1.4*1.4*1.5*1.5*3.2,60500000000*(1.654288^(MIN($E1788,123)-117)))*1,0))</f>
        <v>4883146766</v>
      </c>
    </row>
    <row r="1789" ht="27.75" customHeight="1" spans="1:34" x14ac:dyDescent="0.25">
      <c r="A1789" s="3">
        <v>1799</v>
      </c>
      <c r="B1789" s="3" t="s">
        <v>180</v>
      </c>
      <c r="C1789" s="3" t="s">
        <v>1175</v>
      </c>
      <c r="D1789" s="3" t="s">
        <v>47</v>
      </c>
      <c r="E1789" s="3">
        <v>112</v>
      </c>
      <c r="F1789" s="3" t="s">
        <v>144</v>
      </c>
      <c r="G1789" s="3" t="s">
        <v>1176</v>
      </c>
      <c r="H1789" s="3">
        <v>24</v>
      </c>
      <c r="I1789" s="4">
        <v>112</v>
      </c>
      <c r="J1789" s="5">
        <v>606000</v>
      </c>
      <c r="K1789" s="6">
        <f>$E1789+1</f>
        <v>113</v>
      </c>
      <c r="L1789" s="7">
        <f>IF($J1789=0,0,ROUND(MAX($J1789*1.4,1620000*(1.497923^(MIN($E1789,123)-117)))*1,0))</f>
        <v>848400</v>
      </c>
      <c r="M1789" s="4">
        <f>$E1789+2</f>
        <v>114</v>
      </c>
      <c r="N1789" s="8">
        <f>IF($J1789=0,0,ROUND(MAX($J1789*1.4*1.5,2190000*(1.580994^(MIN($E1789,123)-117)))*1,0))</f>
        <v>1272600</v>
      </c>
      <c r="O1789" s="6">
        <f>$E1789+4</f>
        <v>116</v>
      </c>
      <c r="P1789" s="7">
        <f>IF($J1789=0,0,ROUND(MAX($J1789*1.4*1.5*1.6,3500000*(1.57975^(MIN($E1789,123)-117)))*1,0))</f>
        <v>2036160</v>
      </c>
      <c r="Q1789" s="4">
        <f>$E1789+6</f>
        <v>118</v>
      </c>
      <c r="R1789" s="8">
        <f>IF($J1789=0,0,ROUND(MAX($J1789*1.4*1.5*1.6*1.6,13100000*(1.429962^(MIN($E1789,123)-117)))*1,0))</f>
        <v>3257856</v>
      </c>
      <c r="S1789" s="6">
        <f>$E1789+8</f>
        <v>120</v>
      </c>
      <c r="T1789" s="7">
        <f>IF($J1789=0,0,ROUND(MAX($J1789*1.4*1.5*1.6*1.6*2.2,42600000*(1.576904^(MIN($E1789,123)-117)))*1,0))</f>
        <v>7167283</v>
      </c>
      <c r="U1789" s="4">
        <f>$E1789+11</f>
        <v>123</v>
      </c>
      <c r="V1789" s="8">
        <f>IF($J1789=0,0,ROUND(MAX($J1789*1.4*1.5*1.6*1.6*2.2*2.715,354000000*(1.642074^(MIN($E1789,123)-117)))*1,0))</f>
        <v>29651020</v>
      </c>
      <c r="W1789" s="6">
        <f>$E1789+15</f>
        <v>127</v>
      </c>
      <c r="X1789" s="7">
        <f>IF($J1789=0,0,ROUND(MAX($J1789*1.4*1.5*1.6*1.6*2.2*2.715*2.6,3540000000*(1.579646^(MIN($E1789,123)-117)))*1,0))</f>
        <v>359918692</v>
      </c>
      <c r="Y1789" s="4">
        <f>$E1789+17</f>
        <v>129</v>
      </c>
      <c r="Z1789" s="8">
        <f>IF($J1789=0,0,ROUND(MAX($J1789*1.4*1.5*1.6*1.6*2.2*2.715*2.6*1.4,6020000000*(1.651178^(MIN($E1789,123)-117)))*1,0))</f>
        <v>490486461</v>
      </c>
      <c r="AA1789" s="6">
        <f>$E1789+19</f>
        <v>131</v>
      </c>
      <c r="AB1789" s="7">
        <f>IF($J1789=0,0,ROUND(MAX($J1789*1.4*1.5*1.6*1.6*2.2*2.715*2.6*1.4*1.4,8430000000*(1.651435^(MIN($E1789,123)-117)))*1,0))</f>
        <v>686309723</v>
      </c>
      <c r="AC1789" s="4">
        <f>$E1789+21</f>
        <v>133</v>
      </c>
      <c r="AD1789" s="8">
        <f>IF($J1789=0,0,ROUND(MAX($J1789*1.4*1.5*1.6*1.6*2.2*2.715*2.6*1.4*1.4*1.5,12600000000*(1.652953^(MIN($E1789,123)-117)))*1,0))</f>
        <v>1021099398</v>
      </c>
      <c r="AE1789" s="6">
        <f>$E1789+24</f>
        <v>136</v>
      </c>
      <c r="AF1789" s="7">
        <f>IF($J1789=0,0,ROUND(MAX($J1789*1.4*1.5*1.6*1.6*2.2*2.715*2.6*1.4*1.4*1.5*1.5,18900000000*(1.65331^(MIN($E1789,123)-117)))*1,0))</f>
        <v>1529996162</v>
      </c>
      <c r="AG1789" s="4">
        <f>$E1789+27</f>
        <v>139</v>
      </c>
      <c r="AH1789" s="8">
        <f>IF($J1789=0,0,ROUND(MAX($J1789*1.4*1.5*1.6*1.6*2.2*2.715*2.6*1.4*1.4*1.5*1.5*3.2,60500000000*(1.654288^(MIN($E1789,123)-117)))*1,0))</f>
        <v>4883146766</v>
      </c>
    </row>
    <row r="1790" ht="27.75" customHeight="1" spans="1:34" x14ac:dyDescent="0.25">
      <c r="A1790" s="3">
        <v>1800</v>
      </c>
      <c r="B1790" s="3" t="s">
        <v>304</v>
      </c>
      <c r="C1790" s="3" t="s">
        <v>1175</v>
      </c>
      <c r="D1790" s="3" t="s">
        <v>29</v>
      </c>
      <c r="E1790" s="3">
        <v>111</v>
      </c>
      <c r="F1790" s="3" t="s">
        <v>26</v>
      </c>
      <c r="G1790" s="3" t="s">
        <v>206</v>
      </c>
      <c r="H1790" s="3">
        <v>26</v>
      </c>
      <c r="I1790" s="4">
        <v>111</v>
      </c>
      <c r="J1790" s="5">
        <v>625000</v>
      </c>
      <c r="K1790" s="6">
        <f>$E1790+1</f>
        <v>112</v>
      </c>
      <c r="L1790" s="7">
        <f>IF($J1790=0,0,ROUND(MAX($J1790*1.4,1620000*(1.497923^(MIN($E1790,123)-117)))*1,0))</f>
        <v>875000</v>
      </c>
      <c r="M1790" s="4">
        <f>$E1790+2</f>
        <v>113</v>
      </c>
      <c r="N1790" s="8">
        <f>IF($J1790=0,0,ROUND(MAX($J1790*1.4*1.5,2190000*(1.580994^(MIN($E1790,123)-117)))*1,0))</f>
        <v>1312500</v>
      </c>
      <c r="O1790" s="6">
        <f>$E1790+4</f>
        <v>115</v>
      </c>
      <c r="P1790" s="7">
        <f>IF($J1790=0,0,ROUND(MAX($J1790*1.4*1.5*1.6,3500000*(1.57975^(MIN($E1790,123)-117)))*1,0))</f>
        <v>2100000</v>
      </c>
      <c r="Q1790" s="4">
        <f>$E1790+6</f>
        <v>117</v>
      </c>
      <c r="R1790" s="8">
        <f>IF($J1790=0,0,ROUND(MAX($J1790*1.4*1.5*1.6*1.6,13100000*(1.429962^(MIN($E1790,123)-117)))*1,0))</f>
        <v>3360000</v>
      </c>
      <c r="S1790" s="6">
        <f>$E1790+8</f>
        <v>119</v>
      </c>
      <c r="T1790" s="7">
        <f>IF($J1790=0,0,ROUND(MAX($J1790*1.4*1.5*1.6*1.6*2.2,42600000*(1.576904^(MIN($E1790,123)-117)))*1,0))</f>
        <v>7392000</v>
      </c>
      <c r="U1790" s="4">
        <f>$E1790+11</f>
        <v>122</v>
      </c>
      <c r="V1790" s="8">
        <f>IF($J1790=0,0,ROUND(MAX($J1790*1.4*1.5*1.6*1.6*2.2*2.715,354000000*(1.642074^(MIN($E1790,123)-117)))*1,0))</f>
        <v>20069280</v>
      </c>
      <c r="W1790" s="6">
        <f>$E1790+15</f>
        <v>126</v>
      </c>
      <c r="X1790" s="7">
        <f>IF($J1790=0,0,ROUND(MAX($J1790*1.4*1.5*1.6*1.6*2.2*2.715*2.6,3540000000*(1.579646^(MIN($E1790,123)-117)))*1,0))</f>
        <v>227847690</v>
      </c>
      <c r="Y1790" s="4">
        <f>$E1790+17</f>
        <v>128</v>
      </c>
      <c r="Z1790" s="8">
        <f>IF($J1790=0,0,ROUND(MAX($J1790*1.4*1.5*1.6*1.6*2.2*2.715*2.6*1.4,6020000000*(1.651178^(MIN($E1790,123)-117)))*1,0))</f>
        <v>297052444</v>
      </c>
      <c r="AA1790" s="6">
        <f>$E1790+19</f>
        <v>130</v>
      </c>
      <c r="AB1790" s="7">
        <f>IF($J1790=0,0,ROUND(MAX($J1790*1.4*1.5*1.6*1.6*2.2*2.715*2.6*1.4*1.4,8430000000*(1.651435^(MIN($E1790,123)-117)))*1,0))</f>
        <v>415583854</v>
      </c>
      <c r="AC1790" s="4">
        <f>$E1790+21</f>
        <v>132</v>
      </c>
      <c r="AD1790" s="8">
        <f>IF($J1790=0,0,ROUND(MAX($J1790*1.4*1.5*1.6*1.6*2.2*2.715*2.6*1.4*1.4*1.5,12600000000*(1.652953^(MIN($E1790,123)-117)))*1,0))</f>
        <v>617742548</v>
      </c>
      <c r="AE1790" s="6">
        <f>$E1790+24</f>
        <v>135</v>
      </c>
      <c r="AF1790" s="7">
        <f>IF($J1790=0,0,ROUND(MAX($J1790*1.4*1.5*1.6*1.6*2.2*2.715*2.6*1.4*1.4*1.5*1.5,18900000000*(1.65331^(MIN($E1790,123)-117)))*1,0))</f>
        <v>925413965</v>
      </c>
      <c r="AG1790" s="4">
        <f>$E1790+27</f>
        <v>138</v>
      </c>
      <c r="AH1790" s="8">
        <f>IF($J1790=0,0,ROUND(MAX($J1790*1.4*1.5*1.6*1.6*2.2*2.715*2.6*1.4*1.4*1.5*1.5*3.2,60500000000*(1.654288^(MIN($E1790,123)-117)))*1,0))</f>
        <v>2951811756</v>
      </c>
    </row>
    <row r="1791" ht="27.75" customHeight="1" spans="1:34" x14ac:dyDescent="0.25">
      <c r="A1791" s="3">
        <v>1801</v>
      </c>
      <c r="B1791" s="3" t="s">
        <v>308</v>
      </c>
      <c r="C1791" s="3" t="s">
        <v>1175</v>
      </c>
      <c r="D1791" s="3" t="s">
        <v>29</v>
      </c>
      <c r="E1791" s="3">
        <v>111</v>
      </c>
      <c r="F1791" s="3" t="s">
        <v>59</v>
      </c>
      <c r="G1791" s="3" t="s">
        <v>252</v>
      </c>
      <c r="H1791" s="3">
        <v>26</v>
      </c>
      <c r="I1791" s="4">
        <v>111</v>
      </c>
      <c r="J1791" s="5">
        <v>1560000</v>
      </c>
      <c r="K1791" s="6">
        <f>$E1791+1</f>
        <v>112</v>
      </c>
      <c r="L1791" s="7">
        <f>IF($J1791=0,0,ROUND(MAX($J1791*1.4,1620000*(1.497923^(MIN($E1791,123)-117)))*1,0))</f>
        <v>2184000</v>
      </c>
      <c r="M1791" s="4">
        <f>$E1791+2</f>
        <v>113</v>
      </c>
      <c r="N1791" s="8">
        <f>IF($J1791=0,0,ROUND(MAX($J1791*1.4*1.5,2190000*(1.580994^(MIN($E1791,123)-117)))*1,0))</f>
        <v>3276000</v>
      </c>
      <c r="O1791" s="6">
        <f>$E1791+4</f>
        <v>115</v>
      </c>
      <c r="P1791" s="7">
        <f>IF($J1791=0,0,ROUND(MAX($J1791*1.4*1.5*1.6,3500000*(1.57975^(MIN($E1791,123)-117)))*1,0))</f>
        <v>5241600</v>
      </c>
      <c r="Q1791" s="4">
        <f>$E1791+6</f>
        <v>117</v>
      </c>
      <c r="R1791" s="8">
        <f>IF($J1791=0,0,ROUND(MAX($J1791*1.4*1.5*1.6*1.6,13100000*(1.429962^(MIN($E1791,123)-117)))*1,0))</f>
        <v>8386560</v>
      </c>
      <c r="S1791" s="6">
        <f>$E1791+8</f>
        <v>119</v>
      </c>
      <c r="T1791" s="7">
        <f>IF($J1791=0,0,ROUND(MAX($J1791*1.4*1.5*1.6*1.6*2.2,42600000*(1.576904^(MIN($E1791,123)-117)))*1,0))</f>
        <v>18450432</v>
      </c>
      <c r="U1791" s="4">
        <f>$E1791+11</f>
        <v>122</v>
      </c>
      <c r="V1791" s="8">
        <f>IF($J1791=0,0,ROUND(MAX($J1791*1.4*1.5*1.6*1.6*2.2*2.715,354000000*(1.642074^(MIN($E1791,123)-117)))*1,0))</f>
        <v>50092923</v>
      </c>
      <c r="W1791" s="6">
        <f>$E1791+15</f>
        <v>126</v>
      </c>
      <c r="X1791" s="7">
        <f>IF($J1791=0,0,ROUND(MAX($J1791*1.4*1.5*1.6*1.6*2.2*2.715*2.6,3540000000*(1.579646^(MIN($E1791,123)-117)))*1,0))</f>
        <v>227847690</v>
      </c>
      <c r="Y1791" s="4">
        <f>$E1791+17</f>
        <v>128</v>
      </c>
      <c r="Z1791" s="8">
        <f>IF($J1791=0,0,ROUND(MAX($J1791*1.4*1.5*1.6*1.6*2.2*2.715*2.6*1.4,6020000000*(1.651178^(MIN($E1791,123)-117)))*1,0))</f>
        <v>297052444</v>
      </c>
      <c r="AA1791" s="6">
        <f>$E1791+19</f>
        <v>130</v>
      </c>
      <c r="AB1791" s="7">
        <f>IF($J1791=0,0,ROUND(MAX($J1791*1.4*1.5*1.6*1.6*2.2*2.715*2.6*1.4*1.4,8430000000*(1.651435^(MIN($E1791,123)-117)))*1,0))</f>
        <v>415583854</v>
      </c>
      <c r="AC1791" s="4">
        <f>$E1791+21</f>
        <v>132</v>
      </c>
      <c r="AD1791" s="8">
        <f>IF($J1791=0,0,ROUND(MAX($J1791*1.4*1.5*1.6*1.6*2.2*2.715*2.6*1.4*1.4*1.5,12600000000*(1.652953^(MIN($E1791,123)-117)))*1,0))</f>
        <v>617742548</v>
      </c>
      <c r="AE1791" s="6">
        <f>$E1791+24</f>
        <v>135</v>
      </c>
      <c r="AF1791" s="7">
        <f>IF($J1791=0,0,ROUND(MAX($J1791*1.4*1.5*1.6*1.6*2.2*2.715*2.6*1.4*1.4*1.5*1.5,18900000000*(1.65331^(MIN($E1791,123)-117)))*1,0))</f>
        <v>925413965</v>
      </c>
      <c r="AG1791" s="4">
        <f>$E1791+27</f>
        <v>138</v>
      </c>
      <c r="AH1791" s="8">
        <f>IF($J1791=0,0,ROUND(MAX($J1791*1.4*1.5*1.6*1.6*2.2*2.715*2.6*1.4*1.4*1.5*1.5*3.2,60500000000*(1.654288^(MIN($E1791,123)-117)))*1,0))</f>
        <v>2951811756</v>
      </c>
    </row>
    <row r="1792" ht="27.75" customHeight="1" spans="1:34" x14ac:dyDescent="0.25">
      <c r="A1792" s="3">
        <v>1802</v>
      </c>
      <c r="B1792" s="3" t="s">
        <v>286</v>
      </c>
      <c r="C1792" s="3" t="s">
        <v>1175</v>
      </c>
      <c r="D1792" s="3" t="s">
        <v>102</v>
      </c>
      <c r="E1792" s="3">
        <v>111</v>
      </c>
      <c r="F1792" s="3" t="s">
        <v>54</v>
      </c>
      <c r="G1792" s="3" t="s">
        <v>38</v>
      </c>
      <c r="H1792" s="3">
        <v>26</v>
      </c>
      <c r="I1792" s="4">
        <v>111</v>
      </c>
      <c r="J1792" s="5">
        <v>724000</v>
      </c>
      <c r="K1792" s="6">
        <f>$E1792+1</f>
        <v>112</v>
      </c>
      <c r="L1792" s="7">
        <f>IF($J1792=0,0,ROUND(MAX($J1792*1.4,1620000*(1.497923^(MIN($E1792,123)-117)))*1,0))</f>
        <v>1013600</v>
      </c>
      <c r="M1792" s="4">
        <f>$E1792+2</f>
        <v>113</v>
      </c>
      <c r="N1792" s="8">
        <f>IF($J1792=0,0,ROUND(MAX($J1792*1.4*1.5,2190000*(1.580994^(MIN($E1792,123)-117)))*1,0))</f>
        <v>1520400</v>
      </c>
      <c r="O1792" s="6">
        <f>$E1792+4</f>
        <v>115</v>
      </c>
      <c r="P1792" s="7">
        <f>IF($J1792=0,0,ROUND(MAX($J1792*1.4*1.5*1.6,3500000*(1.57975^(MIN($E1792,123)-117)))*1,0))</f>
        <v>2432640</v>
      </c>
      <c r="Q1792" s="4">
        <f>$E1792+6</f>
        <v>117</v>
      </c>
      <c r="R1792" s="8">
        <f>IF($J1792=0,0,ROUND(MAX($J1792*1.4*1.5*1.6*1.6,13100000*(1.429962^(MIN($E1792,123)-117)))*1,0))</f>
        <v>3892224</v>
      </c>
      <c r="S1792" s="6">
        <f>$E1792+8</f>
        <v>119</v>
      </c>
      <c r="T1792" s="7">
        <f>IF($J1792=0,0,ROUND(MAX($J1792*1.4*1.5*1.6*1.6*2.2,42600000*(1.576904^(MIN($E1792,123)-117)))*1,0))</f>
        <v>8562893</v>
      </c>
      <c r="U1792" s="4">
        <f>$E1792+11</f>
        <v>122</v>
      </c>
      <c r="V1792" s="8">
        <f>IF($J1792=0,0,ROUND(MAX($J1792*1.4*1.5*1.6*1.6*2.2*2.715,354000000*(1.642074^(MIN($E1792,123)-117)))*1,0))</f>
        <v>23248254</v>
      </c>
      <c r="W1792" s="6">
        <f>$E1792+15</f>
        <v>126</v>
      </c>
      <c r="X1792" s="7">
        <f>IF($J1792=0,0,ROUND(MAX($J1792*1.4*1.5*1.6*1.6*2.2*2.715*2.6,3540000000*(1.579646^(MIN($E1792,123)-117)))*1,0))</f>
        <v>227847690</v>
      </c>
      <c r="Y1792" s="4">
        <f>$E1792+17</f>
        <v>128</v>
      </c>
      <c r="Z1792" s="8">
        <f>IF($J1792=0,0,ROUND(MAX($J1792*1.4*1.5*1.6*1.6*2.2*2.715*2.6*1.4,6020000000*(1.651178^(MIN($E1792,123)-117)))*1,0))</f>
        <v>297052444</v>
      </c>
      <c r="AA1792" s="6">
        <f>$E1792+19</f>
        <v>130</v>
      </c>
      <c r="AB1792" s="7">
        <f>IF($J1792=0,0,ROUND(MAX($J1792*1.4*1.5*1.6*1.6*2.2*2.715*2.6*1.4*1.4,8430000000*(1.651435^(MIN($E1792,123)-117)))*1,0))</f>
        <v>415583854</v>
      </c>
      <c r="AC1792" s="4">
        <f>$E1792+21</f>
        <v>132</v>
      </c>
      <c r="AD1792" s="8">
        <f>IF($J1792=0,0,ROUND(MAX($J1792*1.4*1.5*1.6*1.6*2.2*2.715*2.6*1.4*1.4*1.5,12600000000*(1.652953^(MIN($E1792,123)-117)))*1,0))</f>
        <v>617742548</v>
      </c>
      <c r="AE1792" s="6">
        <f>$E1792+24</f>
        <v>135</v>
      </c>
      <c r="AF1792" s="7">
        <f>IF($J1792=0,0,ROUND(MAX($J1792*1.4*1.5*1.6*1.6*2.2*2.715*2.6*1.4*1.4*1.5*1.5,18900000000*(1.65331^(MIN($E1792,123)-117)))*1,0))</f>
        <v>925413965</v>
      </c>
      <c r="AG1792" s="4">
        <f>$E1792+27</f>
        <v>138</v>
      </c>
      <c r="AH1792" s="8">
        <f>IF($J1792=0,0,ROUND(MAX($J1792*1.4*1.5*1.6*1.6*2.2*2.715*2.6*1.4*1.4*1.5*1.5*3.2,60500000000*(1.654288^(MIN($E1792,123)-117)))*1,0))</f>
        <v>2951811756</v>
      </c>
    </row>
    <row r="1793" ht="27.75" customHeight="1" spans="1:34" x14ac:dyDescent="0.25">
      <c r="A1793" s="3">
        <v>1803</v>
      </c>
      <c r="B1793" s="3" t="s">
        <v>233</v>
      </c>
      <c r="C1793" s="3" t="s">
        <v>1175</v>
      </c>
      <c r="D1793" s="3" t="s">
        <v>102</v>
      </c>
      <c r="E1793" s="3">
        <v>111</v>
      </c>
      <c r="F1793" s="3" t="s">
        <v>56</v>
      </c>
      <c r="G1793" s="3" t="s">
        <v>95</v>
      </c>
      <c r="H1793" s="3">
        <v>26</v>
      </c>
      <c r="I1793" s="4">
        <v>111</v>
      </c>
      <c r="J1793" s="5">
        <v>714000</v>
      </c>
      <c r="K1793" s="6">
        <f>$E1793+1</f>
        <v>112</v>
      </c>
      <c r="L1793" s="7">
        <f>IF($J1793=0,0,ROUND(MAX($J1793*1.4,1620000*(1.497923^(MIN($E1793,123)-117)))*1,0))</f>
        <v>999600</v>
      </c>
      <c r="M1793" s="4">
        <f>$E1793+2</f>
        <v>113</v>
      </c>
      <c r="N1793" s="8">
        <f>IF($J1793=0,0,ROUND(MAX($J1793*1.4*1.5,2190000*(1.580994^(MIN($E1793,123)-117)))*1,0))</f>
        <v>1499400</v>
      </c>
      <c r="O1793" s="6">
        <f>$E1793+4</f>
        <v>115</v>
      </c>
      <c r="P1793" s="7">
        <f>IF($J1793=0,0,ROUND(MAX($J1793*1.4*1.5*1.6,3500000*(1.57975^(MIN($E1793,123)-117)))*1,0))</f>
        <v>2399040</v>
      </c>
      <c r="Q1793" s="4">
        <f>$E1793+6</f>
        <v>117</v>
      </c>
      <c r="R1793" s="8">
        <f>IF($J1793=0,0,ROUND(MAX($J1793*1.4*1.5*1.6*1.6,13100000*(1.429962^(MIN($E1793,123)-117)))*1,0))</f>
        <v>3838464</v>
      </c>
      <c r="S1793" s="6">
        <f>$E1793+8</f>
        <v>119</v>
      </c>
      <c r="T1793" s="7">
        <f>IF($J1793=0,0,ROUND(MAX($J1793*1.4*1.5*1.6*1.6*2.2,42600000*(1.576904^(MIN($E1793,123)-117)))*1,0))</f>
        <v>8444621</v>
      </c>
      <c r="U1793" s="4">
        <f>$E1793+11</f>
        <v>122</v>
      </c>
      <c r="V1793" s="8">
        <f>IF($J1793=0,0,ROUND(MAX($J1793*1.4*1.5*1.6*1.6*2.2*2.715,354000000*(1.642074^(MIN($E1793,123)-117)))*1,0))</f>
        <v>22927145</v>
      </c>
      <c r="W1793" s="6">
        <f>$E1793+15</f>
        <v>126</v>
      </c>
      <c r="X1793" s="7">
        <f>IF($J1793=0,0,ROUND(MAX($J1793*1.4*1.5*1.6*1.6*2.2*2.715*2.6,3540000000*(1.579646^(MIN($E1793,123)-117)))*1,0))</f>
        <v>227847690</v>
      </c>
      <c r="Y1793" s="4">
        <f>$E1793+17</f>
        <v>128</v>
      </c>
      <c r="Z1793" s="8">
        <f>IF($J1793=0,0,ROUND(MAX($J1793*1.4*1.5*1.6*1.6*2.2*2.715*2.6*1.4,6020000000*(1.651178^(MIN($E1793,123)-117)))*1,0))</f>
        <v>297052444</v>
      </c>
      <c r="AA1793" s="6">
        <f>$E1793+19</f>
        <v>130</v>
      </c>
      <c r="AB1793" s="7">
        <f>IF($J1793=0,0,ROUND(MAX($J1793*1.4*1.5*1.6*1.6*2.2*2.715*2.6*1.4*1.4,8430000000*(1.651435^(MIN($E1793,123)-117)))*1,0))</f>
        <v>415583854</v>
      </c>
      <c r="AC1793" s="4">
        <f>$E1793+21</f>
        <v>132</v>
      </c>
      <c r="AD1793" s="8">
        <f>IF($J1793=0,0,ROUND(MAX($J1793*1.4*1.5*1.6*1.6*2.2*2.715*2.6*1.4*1.4*1.5,12600000000*(1.652953^(MIN($E1793,123)-117)))*1,0))</f>
        <v>617742548</v>
      </c>
      <c r="AE1793" s="6">
        <f>$E1793+24</f>
        <v>135</v>
      </c>
      <c r="AF1793" s="7">
        <f>IF($J1793=0,0,ROUND(MAX($J1793*1.4*1.5*1.6*1.6*2.2*2.715*2.6*1.4*1.4*1.5*1.5,18900000000*(1.65331^(MIN($E1793,123)-117)))*1,0))</f>
        <v>925413965</v>
      </c>
      <c r="AG1793" s="4">
        <f>$E1793+27</f>
        <v>138</v>
      </c>
      <c r="AH1793" s="8">
        <f>IF($J1793=0,0,ROUND(MAX($J1793*1.4*1.5*1.6*1.6*2.2*2.715*2.6*1.4*1.4*1.5*1.5*3.2,60500000000*(1.654288^(MIN($E1793,123)-117)))*1,0))</f>
        <v>2951811756</v>
      </c>
    </row>
    <row r="1794" ht="27.75" customHeight="1" spans="1:34" x14ac:dyDescent="0.25">
      <c r="A1794" s="3">
        <v>1804</v>
      </c>
      <c r="B1794" s="3" t="s">
        <v>1162</v>
      </c>
      <c r="C1794" s="3" t="s">
        <v>1175</v>
      </c>
      <c r="D1794" s="3" t="s">
        <v>102</v>
      </c>
      <c r="E1794" s="3">
        <v>111</v>
      </c>
      <c r="F1794" s="3" t="s">
        <v>42</v>
      </c>
      <c r="G1794" s="3" t="s">
        <v>72</v>
      </c>
      <c r="H1794" s="3">
        <v>26</v>
      </c>
      <c r="I1794" s="4">
        <v>111</v>
      </c>
      <c r="J1794" s="5">
        <v>1620000</v>
      </c>
      <c r="K1794" s="6">
        <f>$E1794+1</f>
        <v>112</v>
      </c>
      <c r="L1794" s="7">
        <f>IF($J1794=0,0,ROUND(MAX($J1794*1.4,1620000*(1.497923^(MIN($E1794,123)-117)))*1,0))</f>
        <v>2268000</v>
      </c>
      <c r="M1794" s="4">
        <f>$E1794+2</f>
        <v>113</v>
      </c>
      <c r="N1794" s="8">
        <f>IF($J1794=0,0,ROUND(MAX($J1794*1.4*1.5,2190000*(1.580994^(MIN($E1794,123)-117)))*1,0))</f>
        <v>3402000</v>
      </c>
      <c r="O1794" s="6">
        <f>$E1794+4</f>
        <v>115</v>
      </c>
      <c r="P1794" s="7">
        <f>IF($J1794=0,0,ROUND(MAX($J1794*1.4*1.5*1.6,3500000*(1.57975^(MIN($E1794,123)-117)))*1,0))</f>
        <v>5443200</v>
      </c>
      <c r="Q1794" s="4">
        <f>$E1794+6</f>
        <v>117</v>
      </c>
      <c r="R1794" s="8">
        <f>IF($J1794=0,0,ROUND(MAX($J1794*1.4*1.5*1.6*1.6,13100000*(1.429962^(MIN($E1794,123)-117)))*1,0))</f>
        <v>8709120</v>
      </c>
      <c r="S1794" s="6">
        <f>$E1794+8</f>
        <v>119</v>
      </c>
      <c r="T1794" s="7">
        <f>IF($J1794=0,0,ROUND(MAX($J1794*1.4*1.5*1.6*1.6*2.2,42600000*(1.576904^(MIN($E1794,123)-117)))*1,0))</f>
        <v>19160064</v>
      </c>
      <c r="U1794" s="4">
        <f>$E1794+11</f>
        <v>122</v>
      </c>
      <c r="V1794" s="8">
        <f>IF($J1794=0,0,ROUND(MAX($J1794*1.4*1.5*1.6*1.6*2.2*2.715,354000000*(1.642074^(MIN($E1794,123)-117)))*1,0))</f>
        <v>52019574</v>
      </c>
      <c r="W1794" s="6">
        <f>$E1794+15</f>
        <v>126</v>
      </c>
      <c r="X1794" s="7">
        <f>IF($J1794=0,0,ROUND(MAX($J1794*1.4*1.5*1.6*1.6*2.2*2.715*2.6,3540000000*(1.579646^(MIN($E1794,123)-117)))*1,0))</f>
        <v>227847690</v>
      </c>
      <c r="Y1794" s="4">
        <f>$E1794+17</f>
        <v>128</v>
      </c>
      <c r="Z1794" s="8">
        <f>IF($J1794=0,0,ROUND(MAX($J1794*1.4*1.5*1.6*1.6*2.2*2.715*2.6*1.4,6020000000*(1.651178^(MIN($E1794,123)-117)))*1,0))</f>
        <v>297052444</v>
      </c>
      <c r="AA1794" s="6">
        <f>$E1794+19</f>
        <v>130</v>
      </c>
      <c r="AB1794" s="7">
        <f>IF($J1794=0,0,ROUND(MAX($J1794*1.4*1.5*1.6*1.6*2.2*2.715*2.6*1.4*1.4,8430000000*(1.651435^(MIN($E1794,123)-117)))*1,0))</f>
        <v>415583854</v>
      </c>
      <c r="AC1794" s="4">
        <f>$E1794+21</f>
        <v>132</v>
      </c>
      <c r="AD1794" s="8">
        <f>IF($J1794=0,0,ROUND(MAX($J1794*1.4*1.5*1.6*1.6*2.2*2.715*2.6*1.4*1.4*1.5,12600000000*(1.652953^(MIN($E1794,123)-117)))*1,0))</f>
        <v>617742548</v>
      </c>
      <c r="AE1794" s="6">
        <f>$E1794+24</f>
        <v>135</v>
      </c>
      <c r="AF1794" s="7">
        <f>IF($J1794=0,0,ROUND(MAX($J1794*1.4*1.5*1.6*1.6*2.2*2.715*2.6*1.4*1.4*1.5*1.5,18900000000*(1.65331^(MIN($E1794,123)-117)))*1,0))</f>
        <v>925413965</v>
      </c>
      <c r="AG1794" s="4">
        <f>$E1794+27</f>
        <v>138</v>
      </c>
      <c r="AH1794" s="8">
        <f>IF($J1794=0,0,ROUND(MAX($J1794*1.4*1.5*1.6*1.6*2.2*2.715*2.6*1.4*1.4*1.5*1.5*3.2,60500000000*(1.654288^(MIN($E1794,123)-117)))*1,0))</f>
        <v>2951811756</v>
      </c>
    </row>
    <row r="1795" ht="27.75" customHeight="1" spans="1:34" x14ac:dyDescent="0.25">
      <c r="A1795" s="3">
        <v>1805</v>
      </c>
      <c r="B1795" s="3" t="s">
        <v>156</v>
      </c>
      <c r="C1795" s="3" t="s">
        <v>1175</v>
      </c>
      <c r="D1795" s="3" t="s">
        <v>93</v>
      </c>
      <c r="E1795" s="3">
        <v>111</v>
      </c>
      <c r="F1795" s="3" t="s">
        <v>34</v>
      </c>
      <c r="G1795" s="3" t="s">
        <v>1176</v>
      </c>
      <c r="H1795" s="3">
        <v>26</v>
      </c>
      <c r="I1795" s="4">
        <v>111</v>
      </c>
      <c r="J1795" s="5">
        <v>492000</v>
      </c>
      <c r="K1795" s="6">
        <f>$E1795+1</f>
        <v>112</v>
      </c>
      <c r="L1795" s="7">
        <f>IF($J1795=0,0,ROUND(MAX($J1795*1.4,1620000*(1.497923^(MIN($E1795,123)-117)))*1,0))</f>
        <v>688800</v>
      </c>
      <c r="M1795" s="4">
        <f>$E1795+2</f>
        <v>113</v>
      </c>
      <c r="N1795" s="8">
        <f>IF($J1795=0,0,ROUND(MAX($J1795*1.4*1.5,2190000*(1.580994^(MIN($E1795,123)-117)))*1,0))</f>
        <v>1033200</v>
      </c>
      <c r="O1795" s="6">
        <f>$E1795+4</f>
        <v>115</v>
      </c>
      <c r="P1795" s="7">
        <f>IF($J1795=0,0,ROUND(MAX($J1795*1.4*1.5*1.6,3500000*(1.57975^(MIN($E1795,123)-117)))*1,0))</f>
        <v>1653120</v>
      </c>
      <c r="Q1795" s="4">
        <f>$E1795+6</f>
        <v>117</v>
      </c>
      <c r="R1795" s="8">
        <f>IF($J1795=0,0,ROUND(MAX($J1795*1.4*1.5*1.6*1.6,13100000*(1.429962^(MIN($E1795,123)-117)))*1,0))</f>
        <v>2644992</v>
      </c>
      <c r="S1795" s="6">
        <f>$E1795+8</f>
        <v>119</v>
      </c>
      <c r="T1795" s="7">
        <f>IF($J1795=0,0,ROUND(MAX($J1795*1.4*1.5*1.6*1.6*2.2,42600000*(1.576904^(MIN($E1795,123)-117)))*1,0))</f>
        <v>5818982</v>
      </c>
      <c r="U1795" s="4">
        <f>$E1795+11</f>
        <v>122</v>
      </c>
      <c r="V1795" s="8">
        <f>IF($J1795=0,0,ROUND(MAX($J1795*1.4*1.5*1.6*1.6*2.2*2.715,354000000*(1.642074^(MIN($E1795,123)-117)))*1,0))</f>
        <v>18057055</v>
      </c>
      <c r="W1795" s="6">
        <f>$E1795+15</f>
        <v>126</v>
      </c>
      <c r="X1795" s="7">
        <f>IF($J1795=0,0,ROUND(MAX($J1795*1.4*1.5*1.6*1.6*2.2*2.715*2.6,3540000000*(1.579646^(MIN($E1795,123)-117)))*1,0))</f>
        <v>227847690</v>
      </c>
      <c r="Y1795" s="4">
        <f>$E1795+17</f>
        <v>128</v>
      </c>
      <c r="Z1795" s="8">
        <f>IF($J1795=0,0,ROUND(MAX($J1795*1.4*1.5*1.6*1.6*2.2*2.715*2.6*1.4,6020000000*(1.651178^(MIN($E1795,123)-117)))*1,0))</f>
        <v>297052444</v>
      </c>
      <c r="AA1795" s="6">
        <f>$E1795+19</f>
        <v>130</v>
      </c>
      <c r="AB1795" s="7">
        <f>IF($J1795=0,0,ROUND(MAX($J1795*1.4*1.5*1.6*1.6*2.2*2.715*2.6*1.4*1.4,8430000000*(1.651435^(MIN($E1795,123)-117)))*1,0))</f>
        <v>415583854</v>
      </c>
      <c r="AC1795" s="4">
        <f>$E1795+21</f>
        <v>132</v>
      </c>
      <c r="AD1795" s="8">
        <f>IF($J1795=0,0,ROUND(MAX($J1795*1.4*1.5*1.6*1.6*2.2*2.715*2.6*1.4*1.4*1.5,12600000000*(1.652953^(MIN($E1795,123)-117)))*1,0))</f>
        <v>617742548</v>
      </c>
      <c r="AE1795" s="6">
        <f>$E1795+24</f>
        <v>135</v>
      </c>
      <c r="AF1795" s="7">
        <f>IF($J1795=0,0,ROUND(MAX($J1795*1.4*1.5*1.6*1.6*2.2*2.715*2.6*1.4*1.4*1.5*1.5,18900000000*(1.65331^(MIN($E1795,123)-117)))*1,0))</f>
        <v>925413965</v>
      </c>
      <c r="AG1795" s="4">
        <f>$E1795+27</f>
        <v>138</v>
      </c>
      <c r="AH1795" s="8">
        <f>IF($J1795=0,0,ROUND(MAX($J1795*1.4*1.5*1.6*1.6*2.2*2.715*2.6*1.4*1.4*1.5*1.5*3.2,60500000000*(1.654288^(MIN($E1795,123)-117)))*1,0))</f>
        <v>2951811756</v>
      </c>
    </row>
    <row r="1796" ht="27.75" customHeight="1" spans="1:34" x14ac:dyDescent="0.25">
      <c r="A1796" s="3">
        <v>1806</v>
      </c>
      <c r="B1796" s="3" t="s">
        <v>1067</v>
      </c>
      <c r="C1796" s="3" t="s">
        <v>1175</v>
      </c>
      <c r="D1796" s="3" t="s">
        <v>33</v>
      </c>
      <c r="E1796" s="3">
        <v>111</v>
      </c>
      <c r="F1796" s="3" t="s">
        <v>56</v>
      </c>
      <c r="G1796" s="3" t="s">
        <v>1176</v>
      </c>
      <c r="H1796" s="3">
        <v>26</v>
      </c>
      <c r="I1796" s="4">
        <v>111</v>
      </c>
      <c r="J1796" s="5">
        <v>1040000</v>
      </c>
      <c r="K1796" s="6">
        <f>$E1796+1</f>
        <v>112</v>
      </c>
      <c r="L1796" s="7">
        <f>IF($J1796=0,0,ROUND(MAX($J1796*1.4,1620000*(1.497923^(MIN($E1796,123)-117)))*1,0))</f>
        <v>1456000</v>
      </c>
      <c r="M1796" s="4">
        <f>$E1796+2</f>
        <v>113</v>
      </c>
      <c r="N1796" s="8">
        <f>IF($J1796=0,0,ROUND(MAX($J1796*1.4*1.5,2190000*(1.580994^(MIN($E1796,123)-117)))*1,0))</f>
        <v>2184000</v>
      </c>
      <c r="O1796" s="6">
        <f>$E1796+4</f>
        <v>115</v>
      </c>
      <c r="P1796" s="7">
        <f>IF($J1796=0,0,ROUND(MAX($J1796*1.4*1.5*1.6,3500000*(1.57975^(MIN($E1796,123)-117)))*1,0))</f>
        <v>3494400</v>
      </c>
      <c r="Q1796" s="4">
        <f>$E1796+6</f>
        <v>117</v>
      </c>
      <c r="R1796" s="8">
        <f>IF($J1796=0,0,ROUND(MAX($J1796*1.4*1.5*1.6*1.6,13100000*(1.429962^(MIN($E1796,123)-117)))*1,0))</f>
        <v>5591040</v>
      </c>
      <c r="S1796" s="6">
        <f>$E1796+8</f>
        <v>119</v>
      </c>
      <c r="T1796" s="7">
        <f>IF($J1796=0,0,ROUND(MAX($J1796*1.4*1.5*1.6*1.6*2.2,42600000*(1.576904^(MIN($E1796,123)-117)))*1,0))</f>
        <v>12300288</v>
      </c>
      <c r="U1796" s="4">
        <f>$E1796+11</f>
        <v>122</v>
      </c>
      <c r="V1796" s="8">
        <f>IF($J1796=0,0,ROUND(MAX($J1796*1.4*1.5*1.6*1.6*2.2*2.715,354000000*(1.642074^(MIN($E1796,123)-117)))*1,0))</f>
        <v>33395282</v>
      </c>
      <c r="W1796" s="6">
        <f>$E1796+15</f>
        <v>126</v>
      </c>
      <c r="X1796" s="7">
        <f>IF($J1796=0,0,ROUND(MAX($J1796*1.4*1.5*1.6*1.6*2.2*2.715*2.6,3540000000*(1.579646^(MIN($E1796,123)-117)))*1,0))</f>
        <v>227847690</v>
      </c>
      <c r="Y1796" s="4">
        <f>$E1796+17</f>
        <v>128</v>
      </c>
      <c r="Z1796" s="8">
        <f>IF($J1796=0,0,ROUND(MAX($J1796*1.4*1.5*1.6*1.6*2.2*2.715*2.6*1.4,6020000000*(1.651178^(MIN($E1796,123)-117)))*1,0))</f>
        <v>297052444</v>
      </c>
      <c r="AA1796" s="6">
        <f>$E1796+19</f>
        <v>130</v>
      </c>
      <c r="AB1796" s="7">
        <f>IF($J1796=0,0,ROUND(MAX($J1796*1.4*1.5*1.6*1.6*2.2*2.715*2.6*1.4*1.4,8430000000*(1.651435^(MIN($E1796,123)-117)))*1,0))</f>
        <v>415583854</v>
      </c>
      <c r="AC1796" s="4">
        <f>$E1796+21</f>
        <v>132</v>
      </c>
      <c r="AD1796" s="8">
        <f>IF($J1796=0,0,ROUND(MAX($J1796*1.4*1.5*1.6*1.6*2.2*2.715*2.6*1.4*1.4*1.5,12600000000*(1.652953^(MIN($E1796,123)-117)))*1,0))</f>
        <v>617742548</v>
      </c>
      <c r="AE1796" s="6">
        <f>$E1796+24</f>
        <v>135</v>
      </c>
      <c r="AF1796" s="7">
        <f>IF($J1796=0,0,ROUND(MAX($J1796*1.4*1.5*1.6*1.6*2.2*2.715*2.6*1.4*1.4*1.5*1.5,18900000000*(1.65331^(MIN($E1796,123)-117)))*1,0))</f>
        <v>925413965</v>
      </c>
      <c r="AG1796" s="4">
        <f>$E1796+27</f>
        <v>138</v>
      </c>
      <c r="AH1796" s="8">
        <f>IF($J1796=0,0,ROUND(MAX($J1796*1.4*1.5*1.6*1.6*2.2*2.715*2.6*1.4*1.4*1.5*1.5*3.2,60500000000*(1.654288^(MIN($E1796,123)-117)))*1,0))</f>
        <v>2951811756</v>
      </c>
    </row>
    <row r="1797" ht="27.75" customHeight="1" spans="1:34" x14ac:dyDescent="0.25">
      <c r="A1797" s="3">
        <v>1807</v>
      </c>
      <c r="B1797" s="3" t="s">
        <v>558</v>
      </c>
      <c r="C1797" s="3" t="s">
        <v>1175</v>
      </c>
      <c r="D1797" s="3" t="s">
        <v>75</v>
      </c>
      <c r="E1797" s="3">
        <v>111</v>
      </c>
      <c r="F1797" s="3" t="s">
        <v>71</v>
      </c>
      <c r="G1797" s="3" t="s">
        <v>1176</v>
      </c>
      <c r="H1797" s="3">
        <v>26</v>
      </c>
      <c r="I1797" s="4">
        <v>111</v>
      </c>
      <c r="J1797" s="5">
        <v>409000</v>
      </c>
      <c r="K1797" s="6">
        <f>$E1797+1</f>
        <v>112</v>
      </c>
      <c r="L1797" s="7">
        <f>IF($J1797=0,0,ROUND(MAX($J1797*1.4,1620000*(1.497923^(MIN($E1797,123)-117)))*1,0))</f>
        <v>572600</v>
      </c>
      <c r="M1797" s="4">
        <f>$E1797+2</f>
        <v>113</v>
      </c>
      <c r="N1797" s="8">
        <f>IF($J1797=0,0,ROUND(MAX($J1797*1.4*1.5,2190000*(1.580994^(MIN($E1797,123)-117)))*1,0))</f>
        <v>858900</v>
      </c>
      <c r="O1797" s="6">
        <f>$E1797+4</f>
        <v>115</v>
      </c>
      <c r="P1797" s="7">
        <f>IF($J1797=0,0,ROUND(MAX($J1797*1.4*1.5*1.6,3500000*(1.57975^(MIN($E1797,123)-117)))*1,0))</f>
        <v>1374240</v>
      </c>
      <c r="Q1797" s="4">
        <f>$E1797+6</f>
        <v>117</v>
      </c>
      <c r="R1797" s="8">
        <f>IF($J1797=0,0,ROUND(MAX($J1797*1.4*1.5*1.6*1.6,13100000*(1.429962^(MIN($E1797,123)-117)))*1,0))</f>
        <v>2198784</v>
      </c>
      <c r="S1797" s="6">
        <f>$E1797+8</f>
        <v>119</v>
      </c>
      <c r="T1797" s="7">
        <f>IF($J1797=0,0,ROUND(MAX($J1797*1.4*1.5*1.6*1.6*2.2,42600000*(1.576904^(MIN($E1797,123)-117)))*1,0))</f>
        <v>4837325</v>
      </c>
      <c r="U1797" s="4">
        <f>$E1797+11</f>
        <v>122</v>
      </c>
      <c r="V1797" s="8">
        <f>IF($J1797=0,0,ROUND(MAX($J1797*1.4*1.5*1.6*1.6*2.2*2.715,354000000*(1.642074^(MIN($E1797,123)-117)))*1,0))</f>
        <v>18057055</v>
      </c>
      <c r="W1797" s="6">
        <f>$E1797+15</f>
        <v>126</v>
      </c>
      <c r="X1797" s="7">
        <f>IF($J1797=0,0,ROUND(MAX($J1797*1.4*1.5*1.6*1.6*2.2*2.715*2.6,3540000000*(1.579646^(MIN($E1797,123)-117)))*1,0))</f>
        <v>227847690</v>
      </c>
      <c r="Y1797" s="4">
        <f>$E1797+17</f>
        <v>128</v>
      </c>
      <c r="Z1797" s="8">
        <f>IF($J1797=0,0,ROUND(MAX($J1797*1.4*1.5*1.6*1.6*2.2*2.715*2.6*1.4,6020000000*(1.651178^(MIN($E1797,123)-117)))*1,0))</f>
        <v>297052444</v>
      </c>
      <c r="AA1797" s="6">
        <f>$E1797+19</f>
        <v>130</v>
      </c>
      <c r="AB1797" s="7">
        <f>IF($J1797=0,0,ROUND(MAX($J1797*1.4*1.5*1.6*1.6*2.2*2.715*2.6*1.4*1.4,8430000000*(1.651435^(MIN($E1797,123)-117)))*1,0))</f>
        <v>415583854</v>
      </c>
      <c r="AC1797" s="4">
        <f>$E1797+21</f>
        <v>132</v>
      </c>
      <c r="AD1797" s="8">
        <f>IF($J1797=0,0,ROUND(MAX($J1797*1.4*1.5*1.6*1.6*2.2*2.715*2.6*1.4*1.4*1.5,12600000000*(1.652953^(MIN($E1797,123)-117)))*1,0))</f>
        <v>617742548</v>
      </c>
      <c r="AE1797" s="6">
        <f>$E1797+24</f>
        <v>135</v>
      </c>
      <c r="AF1797" s="7">
        <f>IF($J1797=0,0,ROUND(MAX($J1797*1.4*1.5*1.6*1.6*2.2*2.715*2.6*1.4*1.4*1.5*1.5,18900000000*(1.65331^(MIN($E1797,123)-117)))*1,0))</f>
        <v>925413965</v>
      </c>
      <c r="AG1797" s="4">
        <f>$E1797+27</f>
        <v>138</v>
      </c>
      <c r="AH1797" s="8">
        <f>IF($J1797=0,0,ROUND(MAX($J1797*1.4*1.5*1.6*1.6*2.2*2.715*2.6*1.4*1.4*1.5*1.5*3.2,60500000000*(1.654288^(MIN($E1797,123)-117)))*1,0))</f>
        <v>2951811756</v>
      </c>
    </row>
    <row r="1798" ht="27.75" customHeight="1" spans="1:34" x14ac:dyDescent="0.25">
      <c r="A1798" s="3">
        <v>1808</v>
      </c>
      <c r="B1798" s="3" t="s">
        <v>215</v>
      </c>
      <c r="C1798" s="3" t="s">
        <v>1175</v>
      </c>
      <c r="D1798" s="3" t="s">
        <v>33</v>
      </c>
      <c r="E1798" s="3">
        <v>111</v>
      </c>
      <c r="F1798" s="3" t="s">
        <v>56</v>
      </c>
      <c r="G1798" s="3" t="s">
        <v>1176</v>
      </c>
      <c r="H1798" s="3">
        <v>26</v>
      </c>
      <c r="I1798" s="4">
        <v>111</v>
      </c>
      <c r="J1798" s="5">
        <v>760000</v>
      </c>
      <c r="K1798" s="6">
        <f>$E1798+1</f>
        <v>112</v>
      </c>
      <c r="L1798" s="7">
        <f>IF($J1798=0,0,ROUND(MAX($J1798*1.4,1620000*(1.497923^(MIN($E1798,123)-117)))*1,0))</f>
        <v>1064000</v>
      </c>
      <c r="M1798" s="4">
        <f>$E1798+2</f>
        <v>113</v>
      </c>
      <c r="N1798" s="8">
        <f>IF($J1798=0,0,ROUND(MAX($J1798*1.4*1.5,2190000*(1.580994^(MIN($E1798,123)-117)))*1,0))</f>
        <v>1596000</v>
      </c>
      <c r="O1798" s="6">
        <f>$E1798+4</f>
        <v>115</v>
      </c>
      <c r="P1798" s="7">
        <f>IF($J1798=0,0,ROUND(MAX($J1798*1.4*1.5*1.6,3500000*(1.57975^(MIN($E1798,123)-117)))*1,0))</f>
        <v>2553600</v>
      </c>
      <c r="Q1798" s="4">
        <f>$E1798+6</f>
        <v>117</v>
      </c>
      <c r="R1798" s="8">
        <f>IF($J1798=0,0,ROUND(MAX($J1798*1.4*1.5*1.6*1.6,13100000*(1.429962^(MIN($E1798,123)-117)))*1,0))</f>
        <v>4085760</v>
      </c>
      <c r="S1798" s="6">
        <f>$E1798+8</f>
        <v>119</v>
      </c>
      <c r="T1798" s="7">
        <f>IF($J1798=0,0,ROUND(MAX($J1798*1.4*1.5*1.6*1.6*2.2,42600000*(1.576904^(MIN($E1798,123)-117)))*1,0))</f>
        <v>8988672</v>
      </c>
      <c r="U1798" s="4">
        <f>$E1798+11</f>
        <v>122</v>
      </c>
      <c r="V1798" s="8">
        <f>IF($J1798=0,0,ROUND(MAX($J1798*1.4*1.5*1.6*1.6*2.2*2.715,354000000*(1.642074^(MIN($E1798,123)-117)))*1,0))</f>
        <v>24404244</v>
      </c>
      <c r="W1798" s="6">
        <f>$E1798+15</f>
        <v>126</v>
      </c>
      <c r="X1798" s="7">
        <f>IF($J1798=0,0,ROUND(MAX($J1798*1.4*1.5*1.6*1.6*2.2*2.715*2.6,3540000000*(1.579646^(MIN($E1798,123)-117)))*1,0))</f>
        <v>227847690</v>
      </c>
      <c r="Y1798" s="4">
        <f>$E1798+17</f>
        <v>128</v>
      </c>
      <c r="Z1798" s="8">
        <f>IF($J1798=0,0,ROUND(MAX($J1798*1.4*1.5*1.6*1.6*2.2*2.715*2.6*1.4,6020000000*(1.651178^(MIN($E1798,123)-117)))*1,0))</f>
        <v>297052444</v>
      </c>
      <c r="AA1798" s="6">
        <f>$E1798+19</f>
        <v>130</v>
      </c>
      <c r="AB1798" s="7">
        <f>IF($J1798=0,0,ROUND(MAX($J1798*1.4*1.5*1.6*1.6*2.2*2.715*2.6*1.4*1.4,8430000000*(1.651435^(MIN($E1798,123)-117)))*1,0))</f>
        <v>415583854</v>
      </c>
      <c r="AC1798" s="4">
        <f>$E1798+21</f>
        <v>132</v>
      </c>
      <c r="AD1798" s="8">
        <f>IF($J1798=0,0,ROUND(MAX($J1798*1.4*1.5*1.6*1.6*2.2*2.715*2.6*1.4*1.4*1.5,12600000000*(1.652953^(MIN($E1798,123)-117)))*1,0))</f>
        <v>617742548</v>
      </c>
      <c r="AE1798" s="6">
        <f>$E1798+24</f>
        <v>135</v>
      </c>
      <c r="AF1798" s="7">
        <f>IF($J1798=0,0,ROUND(MAX($J1798*1.4*1.5*1.6*1.6*2.2*2.715*2.6*1.4*1.4*1.5*1.5,18900000000*(1.65331^(MIN($E1798,123)-117)))*1,0))</f>
        <v>925413965</v>
      </c>
      <c r="AG1798" s="4">
        <f>$E1798+27</f>
        <v>138</v>
      </c>
      <c r="AH1798" s="8">
        <f>IF($J1798=0,0,ROUND(MAX($J1798*1.4*1.5*1.6*1.6*2.2*2.715*2.6*1.4*1.4*1.5*1.5*3.2,60500000000*(1.654288^(MIN($E1798,123)-117)))*1,0))</f>
        <v>2951811756</v>
      </c>
    </row>
    <row r="1799" ht="27.75" customHeight="1" spans="1:34" x14ac:dyDescent="0.25">
      <c r="A1799" s="3">
        <v>1809</v>
      </c>
      <c r="B1799" s="3" t="s">
        <v>619</v>
      </c>
      <c r="C1799" s="3" t="s">
        <v>1175</v>
      </c>
      <c r="D1799" s="3" t="s">
        <v>64</v>
      </c>
      <c r="E1799" s="3">
        <v>111</v>
      </c>
      <c r="F1799" s="3" t="s">
        <v>54</v>
      </c>
      <c r="G1799" s="3" t="s">
        <v>1176</v>
      </c>
      <c r="H1799" s="3">
        <v>26</v>
      </c>
      <c r="I1799" s="4">
        <v>111</v>
      </c>
      <c r="J1799" s="5">
        <v>635000</v>
      </c>
      <c r="K1799" s="6">
        <f>$E1799+1</f>
        <v>112</v>
      </c>
      <c r="L1799" s="7">
        <f>IF($J1799=0,0,ROUND(MAX($J1799*1.4,1620000*(1.497923^(MIN($E1799,123)-117)))*1,0))</f>
        <v>889000</v>
      </c>
      <c r="M1799" s="4">
        <f>$E1799+2</f>
        <v>113</v>
      </c>
      <c r="N1799" s="8">
        <f>IF($J1799=0,0,ROUND(MAX($J1799*1.4*1.5,2190000*(1.580994^(MIN($E1799,123)-117)))*1,0))</f>
        <v>1333500</v>
      </c>
      <c r="O1799" s="6">
        <f>$E1799+4</f>
        <v>115</v>
      </c>
      <c r="P1799" s="7">
        <f>IF($J1799=0,0,ROUND(MAX($J1799*1.4*1.5*1.6,3500000*(1.57975^(MIN($E1799,123)-117)))*1,0))</f>
        <v>2133600</v>
      </c>
      <c r="Q1799" s="4">
        <f>$E1799+6</f>
        <v>117</v>
      </c>
      <c r="R1799" s="8">
        <f>IF($J1799=0,0,ROUND(MAX($J1799*1.4*1.5*1.6*1.6,13100000*(1.429962^(MIN($E1799,123)-117)))*1,0))</f>
        <v>3413760</v>
      </c>
      <c r="S1799" s="6">
        <f>$E1799+8</f>
        <v>119</v>
      </c>
      <c r="T1799" s="7">
        <f>IF($J1799=0,0,ROUND(MAX($J1799*1.4*1.5*1.6*1.6*2.2,42600000*(1.576904^(MIN($E1799,123)-117)))*1,0))</f>
        <v>7510272</v>
      </c>
      <c r="U1799" s="4">
        <f>$E1799+11</f>
        <v>122</v>
      </c>
      <c r="V1799" s="8">
        <f>IF($J1799=0,0,ROUND(MAX($J1799*1.4*1.5*1.6*1.6*2.2*2.715,354000000*(1.642074^(MIN($E1799,123)-117)))*1,0))</f>
        <v>20390388</v>
      </c>
      <c r="W1799" s="6">
        <f>$E1799+15</f>
        <v>126</v>
      </c>
      <c r="X1799" s="7">
        <f>IF($J1799=0,0,ROUND(MAX($J1799*1.4*1.5*1.6*1.6*2.2*2.715*2.6,3540000000*(1.579646^(MIN($E1799,123)-117)))*1,0))</f>
        <v>227847690</v>
      </c>
      <c r="Y1799" s="4">
        <f>$E1799+17</f>
        <v>128</v>
      </c>
      <c r="Z1799" s="8">
        <f>IF($J1799=0,0,ROUND(MAX($J1799*1.4*1.5*1.6*1.6*2.2*2.715*2.6*1.4,6020000000*(1.651178^(MIN($E1799,123)-117)))*1,0))</f>
        <v>297052444</v>
      </c>
      <c r="AA1799" s="6">
        <f>$E1799+19</f>
        <v>130</v>
      </c>
      <c r="AB1799" s="7">
        <f>IF($J1799=0,0,ROUND(MAX($J1799*1.4*1.5*1.6*1.6*2.2*2.715*2.6*1.4*1.4,8430000000*(1.651435^(MIN($E1799,123)-117)))*1,0))</f>
        <v>415583854</v>
      </c>
      <c r="AC1799" s="4">
        <f>$E1799+21</f>
        <v>132</v>
      </c>
      <c r="AD1799" s="8">
        <f>IF($J1799=0,0,ROUND(MAX($J1799*1.4*1.5*1.6*1.6*2.2*2.715*2.6*1.4*1.4*1.5,12600000000*(1.652953^(MIN($E1799,123)-117)))*1,0))</f>
        <v>617742548</v>
      </c>
      <c r="AE1799" s="6">
        <f>$E1799+24</f>
        <v>135</v>
      </c>
      <c r="AF1799" s="7">
        <f>IF($J1799=0,0,ROUND(MAX($J1799*1.4*1.5*1.6*1.6*2.2*2.715*2.6*1.4*1.4*1.5*1.5,18900000000*(1.65331^(MIN($E1799,123)-117)))*1,0))</f>
        <v>925413965</v>
      </c>
      <c r="AG1799" s="4">
        <f>$E1799+27</f>
        <v>138</v>
      </c>
      <c r="AH1799" s="8">
        <f>IF($J1799=0,0,ROUND(MAX($J1799*1.4*1.5*1.6*1.6*2.2*2.715*2.6*1.4*1.4*1.5*1.5*3.2,60500000000*(1.654288^(MIN($E1799,123)-117)))*1,0))</f>
        <v>2951811756</v>
      </c>
    </row>
    <row r="1800" ht="27.75" customHeight="1" spans="1:34" x14ac:dyDescent="0.25">
      <c r="A1800" s="3">
        <v>1810</v>
      </c>
      <c r="B1800" s="3" t="s">
        <v>597</v>
      </c>
      <c r="C1800" s="3" t="s">
        <v>1175</v>
      </c>
      <c r="D1800" s="3" t="s">
        <v>64</v>
      </c>
      <c r="E1800" s="3">
        <v>111</v>
      </c>
      <c r="F1800" s="3" t="s">
        <v>56</v>
      </c>
      <c r="G1800" s="3" t="s">
        <v>1176</v>
      </c>
      <c r="H1800" s="3">
        <v>26</v>
      </c>
      <c r="I1800" s="4">
        <v>111</v>
      </c>
      <c r="J1800" s="5">
        <v>456000</v>
      </c>
      <c r="K1800" s="6">
        <f>$E1800+1</f>
        <v>112</v>
      </c>
      <c r="L1800" s="7">
        <f>IF($J1800=0,0,ROUND(MAX($J1800*1.4,1620000*(1.497923^(MIN($E1800,123)-117)))*1,0))</f>
        <v>638400</v>
      </c>
      <c r="M1800" s="4">
        <f>$E1800+2</f>
        <v>113</v>
      </c>
      <c r="N1800" s="8">
        <f>IF($J1800=0,0,ROUND(MAX($J1800*1.4*1.5,2190000*(1.580994^(MIN($E1800,123)-117)))*1,0))</f>
        <v>957600</v>
      </c>
      <c r="O1800" s="6">
        <f>$E1800+4</f>
        <v>115</v>
      </c>
      <c r="P1800" s="7">
        <f>IF($J1800=0,0,ROUND(MAX($J1800*1.4*1.5*1.6,3500000*(1.57975^(MIN($E1800,123)-117)))*1,0))</f>
        <v>1532160</v>
      </c>
      <c r="Q1800" s="4">
        <f>$E1800+6</f>
        <v>117</v>
      </c>
      <c r="R1800" s="8">
        <f>IF($J1800=0,0,ROUND(MAX($J1800*1.4*1.5*1.6*1.6,13100000*(1.429962^(MIN($E1800,123)-117)))*1,0))</f>
        <v>2451456</v>
      </c>
      <c r="S1800" s="6">
        <f>$E1800+8</f>
        <v>119</v>
      </c>
      <c r="T1800" s="7">
        <f>IF($J1800=0,0,ROUND(MAX($J1800*1.4*1.5*1.6*1.6*2.2,42600000*(1.576904^(MIN($E1800,123)-117)))*1,0))</f>
        <v>5393203</v>
      </c>
      <c r="U1800" s="4">
        <f>$E1800+11</f>
        <v>122</v>
      </c>
      <c r="V1800" s="8">
        <f>IF($J1800=0,0,ROUND(MAX($J1800*1.4*1.5*1.6*1.6*2.2*2.715,354000000*(1.642074^(MIN($E1800,123)-117)))*1,0))</f>
        <v>18057055</v>
      </c>
      <c r="W1800" s="6">
        <f>$E1800+15</f>
        <v>126</v>
      </c>
      <c r="X1800" s="7">
        <f>IF($J1800=0,0,ROUND(MAX($J1800*1.4*1.5*1.6*1.6*2.2*2.715*2.6,3540000000*(1.579646^(MIN($E1800,123)-117)))*1,0))</f>
        <v>227847690</v>
      </c>
      <c r="Y1800" s="4">
        <f>$E1800+17</f>
        <v>128</v>
      </c>
      <c r="Z1800" s="8">
        <f>IF($J1800=0,0,ROUND(MAX($J1800*1.4*1.5*1.6*1.6*2.2*2.715*2.6*1.4,6020000000*(1.651178^(MIN($E1800,123)-117)))*1,0))</f>
        <v>297052444</v>
      </c>
      <c r="AA1800" s="6">
        <f>$E1800+19</f>
        <v>130</v>
      </c>
      <c r="AB1800" s="7">
        <f>IF($J1800=0,0,ROUND(MAX($J1800*1.4*1.5*1.6*1.6*2.2*2.715*2.6*1.4*1.4,8430000000*(1.651435^(MIN($E1800,123)-117)))*1,0))</f>
        <v>415583854</v>
      </c>
      <c r="AC1800" s="4">
        <f>$E1800+21</f>
        <v>132</v>
      </c>
      <c r="AD1800" s="8">
        <f>IF($J1800=0,0,ROUND(MAX($J1800*1.4*1.5*1.6*1.6*2.2*2.715*2.6*1.4*1.4*1.5,12600000000*(1.652953^(MIN($E1800,123)-117)))*1,0))</f>
        <v>617742548</v>
      </c>
      <c r="AE1800" s="6">
        <f>$E1800+24</f>
        <v>135</v>
      </c>
      <c r="AF1800" s="7">
        <f>IF($J1800=0,0,ROUND(MAX($J1800*1.4*1.5*1.6*1.6*2.2*2.715*2.6*1.4*1.4*1.5*1.5,18900000000*(1.65331^(MIN($E1800,123)-117)))*1,0))</f>
        <v>925413965</v>
      </c>
      <c r="AG1800" s="4">
        <f>$E1800+27</f>
        <v>138</v>
      </c>
      <c r="AH1800" s="8">
        <f>IF($J1800=0,0,ROUND(MAX($J1800*1.4*1.5*1.6*1.6*2.2*2.715*2.6*1.4*1.4*1.5*1.5*3.2,60500000000*(1.654288^(MIN($E1800,123)-117)))*1,0))</f>
        <v>2951811756</v>
      </c>
    </row>
    <row r="1801" ht="27.75" customHeight="1" spans="1:34" x14ac:dyDescent="0.25">
      <c r="A1801" s="3">
        <v>1811</v>
      </c>
      <c r="B1801" s="3" t="s">
        <v>246</v>
      </c>
      <c r="C1801" s="3" t="s">
        <v>1175</v>
      </c>
      <c r="D1801" s="3" t="s">
        <v>25</v>
      </c>
      <c r="E1801" s="3">
        <v>111</v>
      </c>
      <c r="F1801" s="3" t="s">
        <v>26</v>
      </c>
      <c r="G1801" s="3" t="s">
        <v>247</v>
      </c>
      <c r="H1801" s="3">
        <v>25</v>
      </c>
      <c r="I1801" s="4">
        <v>111</v>
      </c>
      <c r="J1801" s="5">
        <v>1310000</v>
      </c>
      <c r="K1801" s="6">
        <f>$E1801+1</f>
        <v>112</v>
      </c>
      <c r="L1801" s="7">
        <f>IF($J1801=0,0,ROUND(MAX($J1801*1.4,1620000*(1.497923^(MIN($E1801,123)-117)))*1,0))</f>
        <v>1834000</v>
      </c>
      <c r="M1801" s="4">
        <f>$E1801+2</f>
        <v>113</v>
      </c>
      <c r="N1801" s="8">
        <f>IF($J1801=0,0,ROUND(MAX($J1801*1.4*1.5,2190000*(1.580994^(MIN($E1801,123)-117)))*1,0))</f>
        <v>2751000</v>
      </c>
      <c r="O1801" s="6">
        <f>$E1801+4</f>
        <v>115</v>
      </c>
      <c r="P1801" s="7">
        <f>IF($J1801=0,0,ROUND(MAX($J1801*1.4*1.5*1.6,3500000*(1.57975^(MIN($E1801,123)-117)))*1,0))</f>
        <v>4401600</v>
      </c>
      <c r="Q1801" s="4">
        <f>$E1801+6</f>
        <v>117</v>
      </c>
      <c r="R1801" s="8">
        <f>IF($J1801=0,0,ROUND(MAX($J1801*1.4*1.5*1.6*1.6,13100000*(1.429962^(MIN($E1801,123)-117)))*1,0))</f>
        <v>7042560</v>
      </c>
      <c r="S1801" s="6">
        <f>$E1801+8</f>
        <v>119</v>
      </c>
      <c r="T1801" s="7">
        <f>IF($J1801=0,0,ROUND(MAX($J1801*1.4*1.5*1.6*1.6*2.2,42600000*(1.576904^(MIN($E1801,123)-117)))*1,0))</f>
        <v>15493632</v>
      </c>
      <c r="U1801" s="4">
        <f>$E1801+11</f>
        <v>122</v>
      </c>
      <c r="V1801" s="8">
        <f>IF($J1801=0,0,ROUND(MAX($J1801*1.4*1.5*1.6*1.6*2.2*2.715,354000000*(1.642074^(MIN($E1801,123)-117)))*1,0))</f>
        <v>42065211</v>
      </c>
      <c r="W1801" s="6">
        <f>$E1801+15</f>
        <v>126</v>
      </c>
      <c r="X1801" s="7">
        <f>IF($J1801=0,0,ROUND(MAX($J1801*1.4*1.5*1.6*1.6*2.2*2.715*2.6,3540000000*(1.579646^(MIN($E1801,123)-117)))*1,0))</f>
        <v>227847690</v>
      </c>
      <c r="Y1801" s="4">
        <f>$E1801+17</f>
        <v>128</v>
      </c>
      <c r="Z1801" s="8">
        <f>IF($J1801=0,0,ROUND(MAX($J1801*1.4*1.5*1.6*1.6*2.2*2.715*2.6*1.4,6020000000*(1.651178^(MIN($E1801,123)-117)))*1,0))</f>
        <v>297052444</v>
      </c>
      <c r="AA1801" s="6">
        <f>$E1801+19</f>
        <v>130</v>
      </c>
      <c r="AB1801" s="7">
        <f>IF($J1801=0,0,ROUND(MAX($J1801*1.4*1.5*1.6*1.6*2.2*2.715*2.6*1.4*1.4,8430000000*(1.651435^(MIN($E1801,123)-117)))*1,0))</f>
        <v>415583854</v>
      </c>
      <c r="AC1801" s="4">
        <f>$E1801+21</f>
        <v>132</v>
      </c>
      <c r="AD1801" s="8">
        <f>IF($J1801=0,0,ROUND(MAX($J1801*1.4*1.5*1.6*1.6*2.2*2.715*2.6*1.4*1.4*1.5,12600000000*(1.652953^(MIN($E1801,123)-117)))*1,0))</f>
        <v>617742548</v>
      </c>
      <c r="AE1801" s="6">
        <f>$E1801+24</f>
        <v>135</v>
      </c>
      <c r="AF1801" s="7">
        <f>IF($J1801=0,0,ROUND(MAX($J1801*1.4*1.5*1.6*1.6*2.2*2.715*2.6*1.4*1.4*1.5*1.5,18900000000*(1.65331^(MIN($E1801,123)-117)))*1,0))</f>
        <v>925413965</v>
      </c>
      <c r="AG1801" s="4">
        <f>$E1801+27</f>
        <v>138</v>
      </c>
      <c r="AH1801" s="8">
        <f>IF($J1801=0,0,ROUND(MAX($J1801*1.4*1.5*1.6*1.6*2.2*2.715*2.6*1.4*1.4*1.5*1.5*3.2,60500000000*(1.654288^(MIN($E1801,123)-117)))*1,0))</f>
        <v>2951811756</v>
      </c>
    </row>
    <row r="1802" ht="27.75" customHeight="1" spans="1:34" x14ac:dyDescent="0.25">
      <c r="A1802" s="3">
        <v>1812</v>
      </c>
      <c r="B1802" s="3" t="s">
        <v>1184</v>
      </c>
      <c r="C1802" s="3" t="s">
        <v>1175</v>
      </c>
      <c r="D1802" s="3" t="s">
        <v>45</v>
      </c>
      <c r="E1802" s="3">
        <v>111</v>
      </c>
      <c r="F1802" s="3" t="s">
        <v>34</v>
      </c>
      <c r="G1802" s="3" t="s">
        <v>35</v>
      </c>
      <c r="H1802" s="3">
        <v>25</v>
      </c>
      <c r="I1802" s="4">
        <v>111</v>
      </c>
      <c r="J1802" s="5">
        <v>1590000</v>
      </c>
      <c r="K1802" s="6">
        <f>$E1802+1</f>
        <v>112</v>
      </c>
      <c r="L1802" s="7">
        <f>IF($J1802=0,0,ROUND(MAX($J1802*1.4,1620000*(1.497923^(MIN($E1802,123)-117)))*1,0))</f>
        <v>2226000</v>
      </c>
      <c r="M1802" s="4">
        <f>$E1802+2</f>
        <v>113</v>
      </c>
      <c r="N1802" s="8">
        <f>IF($J1802=0,0,ROUND(MAX($J1802*1.4*1.5,2190000*(1.580994^(MIN($E1802,123)-117)))*1,0))</f>
        <v>3339000</v>
      </c>
      <c r="O1802" s="6">
        <f>$E1802+4</f>
        <v>115</v>
      </c>
      <c r="P1802" s="7">
        <f>IF($J1802=0,0,ROUND(MAX($J1802*1.4*1.5*1.6,3500000*(1.57975^(MIN($E1802,123)-117)))*1,0))</f>
        <v>5342400</v>
      </c>
      <c r="Q1802" s="4">
        <f>$E1802+6</f>
        <v>117</v>
      </c>
      <c r="R1802" s="8">
        <f>IF($J1802=0,0,ROUND(MAX($J1802*1.4*1.5*1.6*1.6,13100000*(1.429962^(MIN($E1802,123)-117)))*1,0))</f>
        <v>8547840</v>
      </c>
      <c r="S1802" s="6">
        <f>$E1802+8</f>
        <v>119</v>
      </c>
      <c r="T1802" s="7">
        <f>IF($J1802=0,0,ROUND(MAX($J1802*1.4*1.5*1.6*1.6*2.2,42600000*(1.576904^(MIN($E1802,123)-117)))*1,0))</f>
        <v>18805248</v>
      </c>
      <c r="U1802" s="4">
        <f>$E1802+11</f>
        <v>122</v>
      </c>
      <c r="V1802" s="8">
        <f>IF($J1802=0,0,ROUND(MAX($J1802*1.4*1.5*1.6*1.6*2.2*2.715,354000000*(1.642074^(MIN($E1802,123)-117)))*1,0))</f>
        <v>51056248</v>
      </c>
      <c r="W1802" s="6">
        <f>$E1802+15</f>
        <v>126</v>
      </c>
      <c r="X1802" s="7">
        <f>IF($J1802=0,0,ROUND(MAX($J1802*1.4*1.5*1.6*1.6*2.2*2.715*2.6,3540000000*(1.579646^(MIN($E1802,123)-117)))*1,0))</f>
        <v>227847690</v>
      </c>
      <c r="Y1802" s="4">
        <f>$E1802+17</f>
        <v>128</v>
      </c>
      <c r="Z1802" s="8">
        <f>IF($J1802=0,0,ROUND(MAX($J1802*1.4*1.5*1.6*1.6*2.2*2.715*2.6*1.4,6020000000*(1.651178^(MIN($E1802,123)-117)))*1,0))</f>
        <v>297052444</v>
      </c>
      <c r="AA1802" s="6">
        <f>$E1802+19</f>
        <v>130</v>
      </c>
      <c r="AB1802" s="7">
        <f>IF($J1802=0,0,ROUND(MAX($J1802*1.4*1.5*1.6*1.6*2.2*2.715*2.6*1.4*1.4,8430000000*(1.651435^(MIN($E1802,123)-117)))*1,0))</f>
        <v>415583854</v>
      </c>
      <c r="AC1802" s="4">
        <f>$E1802+21</f>
        <v>132</v>
      </c>
      <c r="AD1802" s="8">
        <f>IF($J1802=0,0,ROUND(MAX($J1802*1.4*1.5*1.6*1.6*2.2*2.715*2.6*1.4*1.4*1.5,12600000000*(1.652953^(MIN($E1802,123)-117)))*1,0))</f>
        <v>617742548</v>
      </c>
      <c r="AE1802" s="6">
        <f>$E1802+24</f>
        <v>135</v>
      </c>
      <c r="AF1802" s="7">
        <f>IF($J1802=0,0,ROUND(MAX($J1802*1.4*1.5*1.6*1.6*2.2*2.715*2.6*1.4*1.4*1.5*1.5,18900000000*(1.65331^(MIN($E1802,123)-117)))*1,0))</f>
        <v>925413965</v>
      </c>
      <c r="AG1802" s="4">
        <f>$E1802+27</f>
        <v>138</v>
      </c>
      <c r="AH1802" s="8">
        <f>IF($J1802=0,0,ROUND(MAX($J1802*1.4*1.5*1.6*1.6*2.2*2.715*2.6*1.4*1.4*1.5*1.5*3.2,60500000000*(1.654288^(MIN($E1802,123)-117)))*1,0))</f>
        <v>2951811756</v>
      </c>
    </row>
    <row r="1803" ht="27.75" customHeight="1" spans="1:34" x14ac:dyDescent="0.25">
      <c r="A1803" s="3">
        <v>1813</v>
      </c>
      <c r="B1803" s="3" t="s">
        <v>1185</v>
      </c>
      <c r="C1803" s="3" t="s">
        <v>1175</v>
      </c>
      <c r="D1803" s="3" t="s">
        <v>79</v>
      </c>
      <c r="E1803" s="3">
        <v>111</v>
      </c>
      <c r="F1803" s="3" t="s">
        <v>71</v>
      </c>
      <c r="G1803" s="3" t="s">
        <v>684</v>
      </c>
      <c r="H1803" s="3">
        <v>25</v>
      </c>
      <c r="I1803" s="4">
        <v>111</v>
      </c>
      <c r="J1803" s="5">
        <v>462000</v>
      </c>
      <c r="K1803" s="6">
        <f>$E1803+1</f>
        <v>112</v>
      </c>
      <c r="L1803" s="7">
        <f>IF($J1803=0,0,ROUND(MAX($J1803*1.4,1620000*(1.497923^(MIN($E1803,123)-117)))*1,0))</f>
        <v>646800</v>
      </c>
      <c r="M1803" s="4">
        <f>$E1803+2</f>
        <v>113</v>
      </c>
      <c r="N1803" s="8">
        <f>IF($J1803=0,0,ROUND(MAX($J1803*1.4*1.5,2190000*(1.580994^(MIN($E1803,123)-117)))*1,0))</f>
        <v>970200</v>
      </c>
      <c r="O1803" s="6">
        <f>$E1803+4</f>
        <v>115</v>
      </c>
      <c r="P1803" s="7">
        <f>IF($J1803=0,0,ROUND(MAX($J1803*1.4*1.5*1.6,3500000*(1.57975^(MIN($E1803,123)-117)))*1,0))</f>
        <v>1552320</v>
      </c>
      <c r="Q1803" s="4">
        <f>$E1803+6</f>
        <v>117</v>
      </c>
      <c r="R1803" s="8">
        <f>IF($J1803=0,0,ROUND(MAX($J1803*1.4*1.5*1.6*1.6,13100000*(1.429962^(MIN($E1803,123)-117)))*1,0))</f>
        <v>2483712</v>
      </c>
      <c r="S1803" s="6">
        <f>$E1803+8</f>
        <v>119</v>
      </c>
      <c r="T1803" s="7">
        <f>IF($J1803=0,0,ROUND(MAX($J1803*1.4*1.5*1.6*1.6*2.2,42600000*(1.576904^(MIN($E1803,123)-117)))*1,0))</f>
        <v>5464166</v>
      </c>
      <c r="U1803" s="4">
        <f>$E1803+11</f>
        <v>122</v>
      </c>
      <c r="V1803" s="8">
        <f>IF($J1803=0,0,ROUND(MAX($J1803*1.4*1.5*1.6*1.6*2.2*2.715,354000000*(1.642074^(MIN($E1803,123)-117)))*1,0))</f>
        <v>18057055</v>
      </c>
      <c r="W1803" s="6">
        <f>$E1803+15</f>
        <v>126</v>
      </c>
      <c r="X1803" s="7">
        <f>IF($J1803=0,0,ROUND(MAX($J1803*1.4*1.5*1.6*1.6*2.2*2.715*2.6,3540000000*(1.579646^(MIN($E1803,123)-117)))*1,0))</f>
        <v>227847690</v>
      </c>
      <c r="Y1803" s="4">
        <f>$E1803+17</f>
        <v>128</v>
      </c>
      <c r="Z1803" s="8">
        <f>IF($J1803=0,0,ROUND(MAX($J1803*1.4*1.5*1.6*1.6*2.2*2.715*2.6*1.4,6020000000*(1.651178^(MIN($E1803,123)-117)))*1,0))</f>
        <v>297052444</v>
      </c>
      <c r="AA1803" s="6">
        <f>$E1803+19</f>
        <v>130</v>
      </c>
      <c r="AB1803" s="7">
        <f>IF($J1803=0,0,ROUND(MAX($J1803*1.4*1.5*1.6*1.6*2.2*2.715*2.6*1.4*1.4,8430000000*(1.651435^(MIN($E1803,123)-117)))*1,0))</f>
        <v>415583854</v>
      </c>
      <c r="AC1803" s="4">
        <f>$E1803+21</f>
        <v>132</v>
      </c>
      <c r="AD1803" s="8">
        <f>IF($J1803=0,0,ROUND(MAX($J1803*1.4*1.5*1.6*1.6*2.2*2.715*2.6*1.4*1.4*1.5,12600000000*(1.652953^(MIN($E1803,123)-117)))*1,0))</f>
        <v>617742548</v>
      </c>
      <c r="AE1803" s="6">
        <f>$E1803+24</f>
        <v>135</v>
      </c>
      <c r="AF1803" s="7">
        <f>IF($J1803=0,0,ROUND(MAX($J1803*1.4*1.5*1.6*1.6*2.2*2.715*2.6*1.4*1.4*1.5*1.5,18900000000*(1.65331^(MIN($E1803,123)-117)))*1,0))</f>
        <v>925413965</v>
      </c>
      <c r="AG1803" s="4">
        <f>$E1803+27</f>
        <v>138</v>
      </c>
      <c r="AH1803" s="8">
        <f>IF($J1803=0,0,ROUND(MAX($J1803*1.4*1.5*1.6*1.6*2.2*2.715*2.6*1.4*1.4*1.5*1.5*3.2,60500000000*(1.654288^(MIN($E1803,123)-117)))*1,0))</f>
        <v>2951811756</v>
      </c>
    </row>
    <row r="1804" ht="27.75" customHeight="1" spans="1:34" x14ac:dyDescent="0.25">
      <c r="A1804" s="3">
        <v>1814</v>
      </c>
      <c r="B1804" s="3" t="s">
        <v>231</v>
      </c>
      <c r="C1804" s="3" t="s">
        <v>1175</v>
      </c>
      <c r="D1804" s="3" t="s">
        <v>64</v>
      </c>
      <c r="E1804" s="3">
        <v>111</v>
      </c>
      <c r="F1804" s="3" t="s">
        <v>54</v>
      </c>
      <c r="G1804" s="3" t="s">
        <v>35</v>
      </c>
      <c r="H1804" s="3">
        <v>25</v>
      </c>
      <c r="I1804" s="4">
        <v>111</v>
      </c>
      <c r="J1804" s="5">
        <v>1780000</v>
      </c>
      <c r="K1804" s="6">
        <f>$E1804+1</f>
        <v>112</v>
      </c>
      <c r="L1804" s="7">
        <f>IF($J1804=0,0,ROUND(MAX($J1804*1.4,1620000*(1.497923^(MIN($E1804,123)-117)))*1,0))</f>
        <v>2492000</v>
      </c>
      <c r="M1804" s="4">
        <f>$E1804+2</f>
        <v>113</v>
      </c>
      <c r="N1804" s="8">
        <f>IF($J1804=0,0,ROUND(MAX($J1804*1.4*1.5,2190000*(1.580994^(MIN($E1804,123)-117)))*1,0))</f>
        <v>3738000</v>
      </c>
      <c r="O1804" s="6">
        <f>$E1804+4</f>
        <v>115</v>
      </c>
      <c r="P1804" s="7">
        <f>IF($J1804=0,0,ROUND(MAX($J1804*1.4*1.5*1.6,3500000*(1.57975^(MIN($E1804,123)-117)))*1,0))</f>
        <v>5980800</v>
      </c>
      <c r="Q1804" s="4">
        <f>$E1804+6</f>
        <v>117</v>
      </c>
      <c r="R1804" s="8">
        <f>IF($J1804=0,0,ROUND(MAX($J1804*1.4*1.5*1.6*1.6,13100000*(1.429962^(MIN($E1804,123)-117)))*1,0))</f>
        <v>9569280</v>
      </c>
      <c r="S1804" s="6">
        <f>$E1804+8</f>
        <v>119</v>
      </c>
      <c r="T1804" s="7">
        <f>IF($J1804=0,0,ROUND(MAX($J1804*1.4*1.5*1.6*1.6*2.2,42600000*(1.576904^(MIN($E1804,123)-117)))*1,0))</f>
        <v>21052416</v>
      </c>
      <c r="U1804" s="4">
        <f>$E1804+11</f>
        <v>122</v>
      </c>
      <c r="V1804" s="8">
        <f>IF($J1804=0,0,ROUND(MAX($J1804*1.4*1.5*1.6*1.6*2.2*2.715,354000000*(1.642074^(MIN($E1804,123)-117)))*1,0))</f>
        <v>57157309</v>
      </c>
      <c r="W1804" s="6">
        <f>$E1804+15</f>
        <v>126</v>
      </c>
      <c r="X1804" s="7">
        <f>IF($J1804=0,0,ROUND(MAX($J1804*1.4*1.5*1.6*1.6*2.2*2.715*2.6,3540000000*(1.579646^(MIN($E1804,123)-117)))*1,0))</f>
        <v>227847690</v>
      </c>
      <c r="Y1804" s="4">
        <f>$E1804+17</f>
        <v>128</v>
      </c>
      <c r="Z1804" s="8">
        <f>IF($J1804=0,0,ROUND(MAX($J1804*1.4*1.5*1.6*1.6*2.2*2.715*2.6*1.4,6020000000*(1.651178^(MIN($E1804,123)-117)))*1,0))</f>
        <v>297052444</v>
      </c>
      <c r="AA1804" s="6">
        <f>$E1804+19</f>
        <v>130</v>
      </c>
      <c r="AB1804" s="7">
        <f>IF($J1804=0,0,ROUND(MAX($J1804*1.4*1.5*1.6*1.6*2.2*2.715*2.6*1.4*1.4,8430000000*(1.651435^(MIN($E1804,123)-117)))*1,0))</f>
        <v>415583854</v>
      </c>
      <c r="AC1804" s="4">
        <f>$E1804+21</f>
        <v>132</v>
      </c>
      <c r="AD1804" s="8">
        <f>IF($J1804=0,0,ROUND(MAX($J1804*1.4*1.5*1.6*1.6*2.2*2.715*2.6*1.4*1.4*1.5,12600000000*(1.652953^(MIN($E1804,123)-117)))*1,0))</f>
        <v>617742548</v>
      </c>
      <c r="AE1804" s="6">
        <f>$E1804+24</f>
        <v>135</v>
      </c>
      <c r="AF1804" s="7">
        <f>IF($J1804=0,0,ROUND(MAX($J1804*1.4*1.5*1.6*1.6*2.2*2.715*2.6*1.4*1.4*1.5*1.5,18900000000*(1.65331^(MIN($E1804,123)-117)))*1,0))</f>
        <v>925413965</v>
      </c>
      <c r="AG1804" s="4">
        <f>$E1804+27</f>
        <v>138</v>
      </c>
      <c r="AH1804" s="8">
        <f>IF($J1804=0,0,ROUND(MAX($J1804*1.4*1.5*1.6*1.6*2.2*2.715*2.6*1.4*1.4*1.5*1.5*3.2,60500000000*(1.654288^(MIN($E1804,123)-117)))*1,0))</f>
        <v>2951811756</v>
      </c>
    </row>
    <row r="1805" ht="27.75" customHeight="1" spans="1:34" x14ac:dyDescent="0.25">
      <c r="A1805" s="3">
        <v>1815</v>
      </c>
      <c r="B1805" s="3" t="s">
        <v>1186</v>
      </c>
      <c r="C1805" s="3" t="s">
        <v>1175</v>
      </c>
      <c r="D1805" s="3" t="s">
        <v>64</v>
      </c>
      <c r="E1805" s="3">
        <v>111</v>
      </c>
      <c r="F1805" s="3" t="s">
        <v>120</v>
      </c>
      <c r="G1805" s="3" t="s">
        <v>171</v>
      </c>
      <c r="H1805" s="3">
        <v>25</v>
      </c>
      <c r="I1805" s="4">
        <v>111</v>
      </c>
      <c r="J1805" s="5">
        <v>428000</v>
      </c>
      <c r="K1805" s="6">
        <f>$E1805+1</f>
        <v>112</v>
      </c>
      <c r="L1805" s="7">
        <f>IF($J1805=0,0,ROUND(MAX($J1805*1.4,1620000*(1.497923^(MIN($E1805,123)-117)))*1,0))</f>
        <v>599200</v>
      </c>
      <c r="M1805" s="4">
        <f>$E1805+2</f>
        <v>113</v>
      </c>
      <c r="N1805" s="8">
        <f>IF($J1805=0,0,ROUND(MAX($J1805*1.4*1.5,2190000*(1.580994^(MIN($E1805,123)-117)))*1,0))</f>
        <v>898800</v>
      </c>
      <c r="O1805" s="6">
        <f>$E1805+4</f>
        <v>115</v>
      </c>
      <c r="P1805" s="7">
        <f>IF($J1805=0,0,ROUND(MAX($J1805*1.4*1.5*1.6,3500000*(1.57975^(MIN($E1805,123)-117)))*1,0))</f>
        <v>1438080</v>
      </c>
      <c r="Q1805" s="4">
        <f>$E1805+6</f>
        <v>117</v>
      </c>
      <c r="R1805" s="8">
        <f>IF($J1805=0,0,ROUND(MAX($J1805*1.4*1.5*1.6*1.6,13100000*(1.429962^(MIN($E1805,123)-117)))*1,0))</f>
        <v>2300928</v>
      </c>
      <c r="S1805" s="6">
        <f>$E1805+8</f>
        <v>119</v>
      </c>
      <c r="T1805" s="7">
        <f>IF($J1805=0,0,ROUND(MAX($J1805*1.4*1.5*1.6*1.6*2.2,42600000*(1.576904^(MIN($E1805,123)-117)))*1,0))</f>
        <v>5062042</v>
      </c>
      <c r="U1805" s="4">
        <f>$E1805+11</f>
        <v>122</v>
      </c>
      <c r="V1805" s="8">
        <f>IF($J1805=0,0,ROUND(MAX($J1805*1.4*1.5*1.6*1.6*2.2*2.715,354000000*(1.642074^(MIN($E1805,123)-117)))*1,0))</f>
        <v>18057055</v>
      </c>
      <c r="W1805" s="6">
        <f>$E1805+15</f>
        <v>126</v>
      </c>
      <c r="X1805" s="7">
        <f>IF($J1805=0,0,ROUND(MAX($J1805*1.4*1.5*1.6*1.6*2.2*2.715*2.6,3540000000*(1.579646^(MIN($E1805,123)-117)))*1,0))</f>
        <v>227847690</v>
      </c>
      <c r="Y1805" s="4">
        <f>$E1805+17</f>
        <v>128</v>
      </c>
      <c r="Z1805" s="8">
        <f>IF($J1805=0,0,ROUND(MAX($J1805*1.4*1.5*1.6*1.6*2.2*2.715*2.6*1.4,6020000000*(1.651178^(MIN($E1805,123)-117)))*1,0))</f>
        <v>297052444</v>
      </c>
      <c r="AA1805" s="6">
        <f>$E1805+19</f>
        <v>130</v>
      </c>
      <c r="AB1805" s="7">
        <f>IF($J1805=0,0,ROUND(MAX($J1805*1.4*1.5*1.6*1.6*2.2*2.715*2.6*1.4*1.4,8430000000*(1.651435^(MIN($E1805,123)-117)))*1,0))</f>
        <v>415583854</v>
      </c>
      <c r="AC1805" s="4">
        <f>$E1805+21</f>
        <v>132</v>
      </c>
      <c r="AD1805" s="8">
        <f>IF($J1805=0,0,ROUND(MAX($J1805*1.4*1.5*1.6*1.6*2.2*2.715*2.6*1.4*1.4*1.5,12600000000*(1.652953^(MIN($E1805,123)-117)))*1,0))</f>
        <v>617742548</v>
      </c>
      <c r="AE1805" s="6">
        <f>$E1805+24</f>
        <v>135</v>
      </c>
      <c r="AF1805" s="7">
        <f>IF($J1805=0,0,ROUND(MAX($J1805*1.4*1.5*1.6*1.6*2.2*2.715*2.6*1.4*1.4*1.5*1.5,18900000000*(1.65331^(MIN($E1805,123)-117)))*1,0))</f>
        <v>925413965</v>
      </c>
      <c r="AG1805" s="4">
        <f>$E1805+27</f>
        <v>138</v>
      </c>
      <c r="AH1805" s="8">
        <f>IF($J1805=0,0,ROUND(MAX($J1805*1.4*1.5*1.6*1.6*2.2*2.715*2.6*1.4*1.4*1.5*1.5*3.2,60500000000*(1.654288^(MIN($E1805,123)-117)))*1,0))</f>
        <v>2951811756</v>
      </c>
    </row>
    <row r="1806" ht="27.75" customHeight="1" spans="1:34" x14ac:dyDescent="0.25">
      <c r="A1806" s="3">
        <v>1816</v>
      </c>
      <c r="B1806" s="3" t="s">
        <v>678</v>
      </c>
      <c r="C1806" s="3" t="s">
        <v>1175</v>
      </c>
      <c r="D1806" s="3" t="s">
        <v>40</v>
      </c>
      <c r="E1806" s="3">
        <v>111</v>
      </c>
      <c r="F1806" s="3" t="s">
        <v>179</v>
      </c>
      <c r="G1806" s="3" t="s">
        <v>67</v>
      </c>
      <c r="H1806" s="3">
        <v>25</v>
      </c>
      <c r="I1806" s="4">
        <v>111</v>
      </c>
      <c r="J1806" s="5">
        <v>381000</v>
      </c>
      <c r="K1806" s="6">
        <f>$E1806+1</f>
        <v>112</v>
      </c>
      <c r="L1806" s="7">
        <f>IF($J1806=0,0,ROUND(MAX($J1806*1.4,1620000*(1.497923^(MIN($E1806,123)-117)))*1,0))</f>
        <v>533400</v>
      </c>
      <c r="M1806" s="4">
        <f>$E1806+2</f>
        <v>113</v>
      </c>
      <c r="N1806" s="8">
        <f>IF($J1806=0,0,ROUND(MAX($J1806*1.4*1.5,2190000*(1.580994^(MIN($E1806,123)-117)))*1,0))</f>
        <v>800100</v>
      </c>
      <c r="O1806" s="6">
        <f>$E1806+4</f>
        <v>115</v>
      </c>
      <c r="P1806" s="7">
        <f>IF($J1806=0,0,ROUND(MAX($J1806*1.4*1.5*1.6,3500000*(1.57975^(MIN($E1806,123)-117)))*1,0))</f>
        <v>1280160</v>
      </c>
      <c r="Q1806" s="4">
        <f>$E1806+6</f>
        <v>117</v>
      </c>
      <c r="R1806" s="8">
        <f>IF($J1806=0,0,ROUND(MAX($J1806*1.4*1.5*1.6*1.6,13100000*(1.429962^(MIN($E1806,123)-117)))*1,0))</f>
        <v>2048256</v>
      </c>
      <c r="S1806" s="6">
        <f>$E1806+8</f>
        <v>119</v>
      </c>
      <c r="T1806" s="7">
        <f>IF($J1806=0,0,ROUND(MAX($J1806*1.4*1.5*1.6*1.6*2.2,42600000*(1.576904^(MIN($E1806,123)-117)))*1,0))</f>
        <v>4506163</v>
      </c>
      <c r="U1806" s="4">
        <f>$E1806+11</f>
        <v>122</v>
      </c>
      <c r="V1806" s="8">
        <f>IF($J1806=0,0,ROUND(MAX($J1806*1.4*1.5*1.6*1.6*2.2*2.715,354000000*(1.642074^(MIN($E1806,123)-117)))*1,0))</f>
        <v>18057055</v>
      </c>
      <c r="W1806" s="6">
        <f>$E1806+15</f>
        <v>126</v>
      </c>
      <c r="X1806" s="7">
        <f>IF($J1806=0,0,ROUND(MAX($J1806*1.4*1.5*1.6*1.6*2.2*2.715*2.6,3540000000*(1.579646^(MIN($E1806,123)-117)))*1,0))</f>
        <v>227847690</v>
      </c>
      <c r="Y1806" s="4">
        <f>$E1806+17</f>
        <v>128</v>
      </c>
      <c r="Z1806" s="8">
        <f>IF($J1806=0,0,ROUND(MAX($J1806*1.4*1.5*1.6*1.6*2.2*2.715*2.6*1.4,6020000000*(1.651178^(MIN($E1806,123)-117)))*1,0))</f>
        <v>297052444</v>
      </c>
      <c r="AA1806" s="6">
        <f>$E1806+19</f>
        <v>130</v>
      </c>
      <c r="AB1806" s="7">
        <f>IF($J1806=0,0,ROUND(MAX($J1806*1.4*1.5*1.6*1.6*2.2*2.715*2.6*1.4*1.4,8430000000*(1.651435^(MIN($E1806,123)-117)))*1,0))</f>
        <v>415583854</v>
      </c>
      <c r="AC1806" s="4">
        <f>$E1806+21</f>
        <v>132</v>
      </c>
      <c r="AD1806" s="8">
        <f>IF($J1806=0,0,ROUND(MAX($J1806*1.4*1.5*1.6*1.6*2.2*2.715*2.6*1.4*1.4*1.5,12600000000*(1.652953^(MIN($E1806,123)-117)))*1,0))</f>
        <v>617742548</v>
      </c>
      <c r="AE1806" s="6">
        <f>$E1806+24</f>
        <v>135</v>
      </c>
      <c r="AF1806" s="7">
        <f>IF($J1806=0,0,ROUND(MAX($J1806*1.4*1.5*1.6*1.6*2.2*2.715*2.6*1.4*1.4*1.5*1.5,18900000000*(1.65331^(MIN($E1806,123)-117)))*1,0))</f>
        <v>925413965</v>
      </c>
      <c r="AG1806" s="4">
        <f>$E1806+27</f>
        <v>138</v>
      </c>
      <c r="AH1806" s="8">
        <f>IF($J1806=0,0,ROUND(MAX($J1806*1.4*1.5*1.6*1.6*2.2*2.715*2.6*1.4*1.4*1.5*1.5*3.2,60500000000*(1.654288^(MIN($E1806,123)-117)))*1,0))</f>
        <v>2951811756</v>
      </c>
    </row>
    <row r="1807" ht="27.75" customHeight="1" spans="1:34" x14ac:dyDescent="0.25">
      <c r="A1807" s="3">
        <v>1817</v>
      </c>
      <c r="B1807" s="3" t="s">
        <v>1187</v>
      </c>
      <c r="C1807" s="3" t="s">
        <v>1175</v>
      </c>
      <c r="D1807" s="3" t="s">
        <v>33</v>
      </c>
      <c r="E1807" s="3">
        <v>111</v>
      </c>
      <c r="F1807" s="3" t="s">
        <v>54</v>
      </c>
      <c r="G1807" s="3" t="s">
        <v>133</v>
      </c>
      <c r="H1807" s="3">
        <v>25</v>
      </c>
      <c r="I1807" s="4">
        <v>111</v>
      </c>
      <c r="J1807" s="5">
        <v>2520000</v>
      </c>
      <c r="K1807" s="6">
        <f>$E1807+1</f>
        <v>112</v>
      </c>
      <c r="L1807" s="7">
        <f>IF($J1807=0,0,ROUND(MAX($J1807*1.4,1620000*(1.497923^(MIN($E1807,123)-117)))*1,0))</f>
        <v>3528000</v>
      </c>
      <c r="M1807" s="4">
        <f>$E1807+2</f>
        <v>113</v>
      </c>
      <c r="N1807" s="8">
        <f>IF($J1807=0,0,ROUND(MAX($J1807*1.4*1.5,2190000*(1.580994^(MIN($E1807,123)-117)))*1,0))</f>
        <v>5292000</v>
      </c>
      <c r="O1807" s="6">
        <f>$E1807+4</f>
        <v>115</v>
      </c>
      <c r="P1807" s="7">
        <f>IF($J1807=0,0,ROUND(MAX($J1807*1.4*1.5*1.6,3500000*(1.57975^(MIN($E1807,123)-117)))*1,0))</f>
        <v>8467200</v>
      </c>
      <c r="Q1807" s="4">
        <f>$E1807+6</f>
        <v>117</v>
      </c>
      <c r="R1807" s="8">
        <f>IF($J1807=0,0,ROUND(MAX($J1807*1.4*1.5*1.6*1.6,13100000*(1.429962^(MIN($E1807,123)-117)))*1,0))</f>
        <v>13547520</v>
      </c>
      <c r="S1807" s="6">
        <f>$E1807+8</f>
        <v>119</v>
      </c>
      <c r="T1807" s="7">
        <f>IF($J1807=0,0,ROUND(MAX($J1807*1.4*1.5*1.6*1.6*2.2,42600000*(1.576904^(MIN($E1807,123)-117)))*1,0))</f>
        <v>29804544</v>
      </c>
      <c r="U1807" s="4">
        <f>$E1807+11</f>
        <v>122</v>
      </c>
      <c r="V1807" s="8">
        <f>IF($J1807=0,0,ROUND(MAX($J1807*1.4*1.5*1.6*1.6*2.2*2.715,354000000*(1.642074^(MIN($E1807,123)-117)))*1,0))</f>
        <v>80919337</v>
      </c>
      <c r="W1807" s="6">
        <f>$E1807+15</f>
        <v>126</v>
      </c>
      <c r="X1807" s="7">
        <f>IF($J1807=0,0,ROUND(MAX($J1807*1.4*1.5*1.6*1.6*2.2*2.715*2.6,3540000000*(1.579646^(MIN($E1807,123)-117)))*1,0))</f>
        <v>227847690</v>
      </c>
      <c r="Y1807" s="4">
        <f>$E1807+17</f>
        <v>128</v>
      </c>
      <c r="Z1807" s="8">
        <f>IF($J1807=0,0,ROUND(MAX($J1807*1.4*1.5*1.6*1.6*2.2*2.715*2.6*1.4,6020000000*(1.651178^(MIN($E1807,123)-117)))*1,0))</f>
        <v>297052444</v>
      </c>
      <c r="AA1807" s="6">
        <f>$E1807+19</f>
        <v>130</v>
      </c>
      <c r="AB1807" s="7">
        <f>IF($J1807=0,0,ROUND(MAX($J1807*1.4*1.5*1.6*1.6*2.2*2.715*2.6*1.4*1.4,8430000000*(1.651435^(MIN($E1807,123)-117)))*1,0))</f>
        <v>415583854</v>
      </c>
      <c r="AC1807" s="4">
        <f>$E1807+21</f>
        <v>132</v>
      </c>
      <c r="AD1807" s="8">
        <f>IF($J1807=0,0,ROUND(MAX($J1807*1.4*1.5*1.6*1.6*2.2*2.715*2.6*1.4*1.4*1.5,12600000000*(1.652953^(MIN($E1807,123)-117)))*1,0))</f>
        <v>618547412</v>
      </c>
      <c r="AE1807" s="6">
        <f>$E1807+24</f>
        <v>135</v>
      </c>
      <c r="AF1807" s="7">
        <f>IF($J1807=0,0,ROUND(MAX($J1807*1.4*1.5*1.6*1.6*2.2*2.715*2.6*1.4*1.4*1.5*1.5,18900000000*(1.65331^(MIN($E1807,123)-117)))*1,0))</f>
        <v>927821118</v>
      </c>
      <c r="AG1807" s="4">
        <f>$E1807+27</f>
        <v>138</v>
      </c>
      <c r="AH1807" s="8">
        <f>IF($J1807=0,0,ROUND(MAX($J1807*1.4*1.5*1.6*1.6*2.2*2.715*2.6*1.4*1.4*1.5*1.5*3.2,60500000000*(1.654288^(MIN($E1807,123)-117)))*1,0))</f>
        <v>2969027576</v>
      </c>
    </row>
    <row r="1808" ht="27.75" customHeight="1" spans="1:34" x14ac:dyDescent="0.25">
      <c r="A1808" s="3">
        <v>1818</v>
      </c>
      <c r="B1808" s="3" t="s">
        <v>815</v>
      </c>
      <c r="C1808" s="3" t="s">
        <v>1175</v>
      </c>
      <c r="D1808" s="3" t="s">
        <v>90</v>
      </c>
      <c r="E1808" s="3">
        <v>111</v>
      </c>
      <c r="F1808" s="3" t="s">
        <v>56</v>
      </c>
      <c r="G1808" s="3" t="s">
        <v>816</v>
      </c>
      <c r="H1808" s="3">
        <v>25</v>
      </c>
      <c r="I1808" s="4">
        <v>111</v>
      </c>
      <c r="J1808" s="5">
        <v>1580000</v>
      </c>
      <c r="K1808" s="6">
        <f>$E1808+1</f>
        <v>112</v>
      </c>
      <c r="L1808" s="7">
        <f>IF($J1808=0,0,ROUND(MAX($J1808*1.4,1620000*(1.497923^(MIN($E1808,123)-117)))*1,0))</f>
        <v>2212000</v>
      </c>
      <c r="M1808" s="4">
        <f>$E1808+2</f>
        <v>113</v>
      </c>
      <c r="N1808" s="8">
        <f>IF($J1808=0,0,ROUND(MAX($J1808*1.4*1.5,2190000*(1.580994^(MIN($E1808,123)-117)))*1,0))</f>
        <v>3318000</v>
      </c>
      <c r="O1808" s="6">
        <f>$E1808+4</f>
        <v>115</v>
      </c>
      <c r="P1808" s="7">
        <f>IF($J1808=0,0,ROUND(MAX($J1808*1.4*1.5*1.6,3500000*(1.57975^(MIN($E1808,123)-117)))*1,0))</f>
        <v>5308800</v>
      </c>
      <c r="Q1808" s="4">
        <f>$E1808+6</f>
        <v>117</v>
      </c>
      <c r="R1808" s="8">
        <f>IF($J1808=0,0,ROUND(MAX($J1808*1.4*1.5*1.6*1.6,13100000*(1.429962^(MIN($E1808,123)-117)))*1,0))</f>
        <v>8494080</v>
      </c>
      <c r="S1808" s="6">
        <f>$E1808+8</f>
        <v>119</v>
      </c>
      <c r="T1808" s="7">
        <f>IF($J1808=0,0,ROUND(MAX($J1808*1.4*1.5*1.6*1.6*2.2,42600000*(1.576904^(MIN($E1808,123)-117)))*1,0))</f>
        <v>18686976</v>
      </c>
      <c r="U1808" s="4">
        <f>$E1808+11</f>
        <v>122</v>
      </c>
      <c r="V1808" s="8">
        <f>IF($J1808=0,0,ROUND(MAX($J1808*1.4*1.5*1.6*1.6*2.2*2.715,354000000*(1.642074^(MIN($E1808,123)-117)))*1,0))</f>
        <v>50735140</v>
      </c>
      <c r="W1808" s="6">
        <f>$E1808+15</f>
        <v>126</v>
      </c>
      <c r="X1808" s="7">
        <f>IF($J1808=0,0,ROUND(MAX($J1808*1.4*1.5*1.6*1.6*2.2*2.715*2.6,3540000000*(1.579646^(MIN($E1808,123)-117)))*1,0))</f>
        <v>227847690</v>
      </c>
      <c r="Y1808" s="4">
        <f>$E1808+17</f>
        <v>128</v>
      </c>
      <c r="Z1808" s="8">
        <f>IF($J1808=0,0,ROUND(MAX($J1808*1.4*1.5*1.6*1.6*2.2*2.715*2.6*1.4,6020000000*(1.651178^(MIN($E1808,123)-117)))*1,0))</f>
        <v>297052444</v>
      </c>
      <c r="AA1808" s="6">
        <f>$E1808+19</f>
        <v>130</v>
      </c>
      <c r="AB1808" s="7">
        <f>IF($J1808=0,0,ROUND(MAX($J1808*1.4*1.5*1.6*1.6*2.2*2.715*2.6*1.4*1.4,8430000000*(1.651435^(MIN($E1808,123)-117)))*1,0))</f>
        <v>415583854</v>
      </c>
      <c r="AC1808" s="4">
        <f>$E1808+21</f>
        <v>132</v>
      </c>
      <c r="AD1808" s="8">
        <f>IF($J1808=0,0,ROUND(MAX($J1808*1.4*1.5*1.6*1.6*2.2*2.715*2.6*1.4*1.4*1.5,12600000000*(1.652953^(MIN($E1808,123)-117)))*1,0))</f>
        <v>617742548</v>
      </c>
      <c r="AE1808" s="6">
        <f>$E1808+24</f>
        <v>135</v>
      </c>
      <c r="AF1808" s="7">
        <f>IF($J1808=0,0,ROUND(MAX($J1808*1.4*1.5*1.6*1.6*2.2*2.715*2.6*1.4*1.4*1.5*1.5,18900000000*(1.65331^(MIN($E1808,123)-117)))*1,0))</f>
        <v>925413965</v>
      </c>
      <c r="AG1808" s="4">
        <f>$E1808+27</f>
        <v>138</v>
      </c>
      <c r="AH1808" s="8">
        <f>IF($J1808=0,0,ROUND(MAX($J1808*1.4*1.5*1.6*1.6*2.2*2.715*2.6*1.4*1.4*1.5*1.5*3.2,60500000000*(1.654288^(MIN($E1808,123)-117)))*1,0))</f>
        <v>2951811756</v>
      </c>
    </row>
    <row r="1809" ht="27.75" customHeight="1" spans="1:34" x14ac:dyDescent="0.25">
      <c r="A1809" s="3">
        <v>1819</v>
      </c>
      <c r="B1809" s="3" t="s">
        <v>609</v>
      </c>
      <c r="C1809" s="3" t="s">
        <v>1175</v>
      </c>
      <c r="D1809" s="3" t="s">
        <v>75</v>
      </c>
      <c r="E1809" s="3">
        <v>111</v>
      </c>
      <c r="F1809" s="3" t="s">
        <v>54</v>
      </c>
      <c r="G1809" s="3" t="s">
        <v>1176</v>
      </c>
      <c r="H1809" s="3">
        <v>25</v>
      </c>
      <c r="I1809" s="4">
        <v>111</v>
      </c>
      <c r="J1809" s="5">
        <v>466000</v>
      </c>
      <c r="K1809" s="6">
        <f>$E1809+1</f>
        <v>112</v>
      </c>
      <c r="L1809" s="7">
        <f>IF($J1809=0,0,ROUND(MAX($J1809*1.4,1620000*(1.497923^(MIN($E1809,123)-117)))*1,0))</f>
        <v>652400</v>
      </c>
      <c r="M1809" s="4">
        <f>$E1809+2</f>
        <v>113</v>
      </c>
      <c r="N1809" s="8">
        <f>IF($J1809=0,0,ROUND(MAX($J1809*1.4*1.5,2190000*(1.580994^(MIN($E1809,123)-117)))*1,0))</f>
        <v>978600</v>
      </c>
      <c r="O1809" s="6">
        <f>$E1809+4</f>
        <v>115</v>
      </c>
      <c r="P1809" s="7">
        <f>IF($J1809=0,0,ROUND(MAX($J1809*1.4*1.5*1.6,3500000*(1.57975^(MIN($E1809,123)-117)))*1,0))</f>
        <v>1565760</v>
      </c>
      <c r="Q1809" s="4">
        <f>$E1809+6</f>
        <v>117</v>
      </c>
      <c r="R1809" s="8">
        <f>IF($J1809=0,0,ROUND(MAX($J1809*1.4*1.5*1.6*1.6,13100000*(1.429962^(MIN($E1809,123)-117)))*1,0))</f>
        <v>2505216</v>
      </c>
      <c r="S1809" s="6">
        <f>$E1809+8</f>
        <v>119</v>
      </c>
      <c r="T1809" s="7">
        <f>IF($J1809=0,0,ROUND(MAX($J1809*1.4*1.5*1.6*1.6*2.2,42600000*(1.576904^(MIN($E1809,123)-117)))*1,0))</f>
        <v>5511475</v>
      </c>
      <c r="U1809" s="4">
        <f>$E1809+11</f>
        <v>122</v>
      </c>
      <c r="V1809" s="8">
        <f>IF($J1809=0,0,ROUND(MAX($J1809*1.4*1.5*1.6*1.6*2.2*2.715,354000000*(1.642074^(MIN($E1809,123)-117)))*1,0))</f>
        <v>18057055</v>
      </c>
      <c r="W1809" s="6">
        <f>$E1809+15</f>
        <v>126</v>
      </c>
      <c r="X1809" s="7">
        <f>IF($J1809=0,0,ROUND(MAX($J1809*1.4*1.5*1.6*1.6*2.2*2.715*2.6,3540000000*(1.579646^(MIN($E1809,123)-117)))*1,0))</f>
        <v>227847690</v>
      </c>
      <c r="Y1809" s="4">
        <f>$E1809+17</f>
        <v>128</v>
      </c>
      <c r="Z1809" s="8">
        <f>IF($J1809=0,0,ROUND(MAX($J1809*1.4*1.5*1.6*1.6*2.2*2.715*2.6*1.4,6020000000*(1.651178^(MIN($E1809,123)-117)))*1,0))</f>
        <v>297052444</v>
      </c>
      <c r="AA1809" s="6">
        <f>$E1809+19</f>
        <v>130</v>
      </c>
      <c r="AB1809" s="7">
        <f>IF($J1809=0,0,ROUND(MAX($J1809*1.4*1.5*1.6*1.6*2.2*2.715*2.6*1.4*1.4,8430000000*(1.651435^(MIN($E1809,123)-117)))*1,0))</f>
        <v>415583854</v>
      </c>
      <c r="AC1809" s="4">
        <f>$E1809+21</f>
        <v>132</v>
      </c>
      <c r="AD1809" s="8">
        <f>IF($J1809=0,0,ROUND(MAX($J1809*1.4*1.5*1.6*1.6*2.2*2.715*2.6*1.4*1.4*1.5,12600000000*(1.652953^(MIN($E1809,123)-117)))*1,0))</f>
        <v>617742548</v>
      </c>
      <c r="AE1809" s="6">
        <f>$E1809+24</f>
        <v>135</v>
      </c>
      <c r="AF1809" s="7">
        <f>IF($J1809=0,0,ROUND(MAX($J1809*1.4*1.5*1.6*1.6*2.2*2.715*2.6*1.4*1.4*1.5*1.5,18900000000*(1.65331^(MIN($E1809,123)-117)))*1,0))</f>
        <v>925413965</v>
      </c>
      <c r="AG1809" s="4">
        <f>$E1809+27</f>
        <v>138</v>
      </c>
      <c r="AH1809" s="8">
        <f>IF($J1809=0,0,ROUND(MAX($J1809*1.4*1.5*1.6*1.6*2.2*2.715*2.6*1.4*1.4*1.5*1.5*3.2,60500000000*(1.654288^(MIN($E1809,123)-117)))*1,0))</f>
        <v>2951811756</v>
      </c>
    </row>
    <row r="1810" ht="27.75" customHeight="1" spans="1:34" x14ac:dyDescent="0.25">
      <c r="A1810" s="3">
        <v>1820</v>
      </c>
      <c r="B1810" s="3" t="s">
        <v>477</v>
      </c>
      <c r="C1810" s="3" t="s">
        <v>1175</v>
      </c>
      <c r="D1810" s="3" t="s">
        <v>79</v>
      </c>
      <c r="E1810" s="3">
        <v>110</v>
      </c>
      <c r="F1810" s="3" t="s">
        <v>59</v>
      </c>
      <c r="G1810" s="3" t="s">
        <v>98</v>
      </c>
      <c r="H1810" s="3">
        <v>26</v>
      </c>
      <c r="I1810" s="4">
        <v>110</v>
      </c>
      <c r="J1810" s="5">
        <v>2650000</v>
      </c>
      <c r="K1810" s="6">
        <f>$E1810+1</f>
        <v>111</v>
      </c>
      <c r="L1810" s="7">
        <f>IF($J1810=0,0,ROUND(MAX($J1810*1.4,1620000*(1.497923^(MIN($E1810,123)-117)))*1,0))</f>
        <v>3710000</v>
      </c>
      <c r="M1810" s="4">
        <f>$E1810+2</f>
        <v>112</v>
      </c>
      <c r="N1810" s="8">
        <f>IF($J1810=0,0,ROUND(MAX($J1810*1.4*1.5,2190000*(1.580994^(MIN($E1810,123)-117)))*1,0))</f>
        <v>5565000</v>
      </c>
      <c r="O1810" s="6">
        <f>$E1810+4</f>
        <v>114</v>
      </c>
      <c r="P1810" s="7">
        <f>IF($J1810=0,0,ROUND(MAX($J1810*1.4*1.5*1.6,3500000*(1.57975^(MIN($E1810,123)-117)))*1,0))</f>
        <v>8904000</v>
      </c>
      <c r="Q1810" s="4">
        <f>$E1810+6</f>
        <v>116</v>
      </c>
      <c r="R1810" s="8">
        <f>IF($J1810=0,0,ROUND(MAX($J1810*1.4*1.5*1.6*1.6,13100000*(1.429962^(MIN($E1810,123)-117)))*1,0))</f>
        <v>14246400</v>
      </c>
      <c r="S1810" s="6">
        <f>$E1810+8</f>
        <v>118</v>
      </c>
      <c r="T1810" s="7">
        <f>IF($J1810=0,0,ROUND(MAX($J1810*1.4*1.5*1.6*1.6*2.2,42600000*(1.576904^(MIN($E1810,123)-117)))*1,0))</f>
        <v>31342080</v>
      </c>
      <c r="U1810" s="4">
        <f>$E1810+11</f>
        <v>121</v>
      </c>
      <c r="V1810" s="8">
        <f>IF($J1810=0,0,ROUND(MAX($J1810*1.4*1.5*1.6*1.6*2.2*2.715,354000000*(1.642074^(MIN($E1810,123)-117)))*1,0))</f>
        <v>85093747</v>
      </c>
      <c r="W1810" s="6">
        <f>$E1810+15</f>
        <v>125</v>
      </c>
      <c r="X1810" s="7">
        <f>IF($J1810=0,0,ROUND(MAX($J1810*1.4*1.5*1.6*1.6*2.2*2.715*2.6,3540000000*(1.579646^(MIN($E1810,123)-117)))*1,0))</f>
        <v>221243743</v>
      </c>
      <c r="Y1810" s="4">
        <f>$E1810+17</f>
        <v>127</v>
      </c>
      <c r="Z1810" s="8">
        <f>IF($J1810=0,0,ROUND(MAX($J1810*1.4*1.5*1.6*1.6*2.2*2.715*2.6*1.4,6020000000*(1.651178^(MIN($E1810,123)-117)))*1,0))</f>
        <v>309741240</v>
      </c>
      <c r="AA1810" s="6">
        <f>$E1810+19</f>
        <v>129</v>
      </c>
      <c r="AB1810" s="7">
        <f>IF($J1810=0,0,ROUND(MAX($J1810*1.4*1.5*1.6*1.6*2.2*2.715*2.6*1.4*1.4,8430000000*(1.651435^(MIN($E1810,123)-117)))*1,0))</f>
        <v>433637736</v>
      </c>
      <c r="AC1810" s="4">
        <f>$E1810+21</f>
        <v>131</v>
      </c>
      <c r="AD1810" s="8">
        <f>IF($J1810=0,0,ROUND(MAX($J1810*1.4*1.5*1.6*1.6*2.2*2.715*2.6*1.4*1.4*1.5,12600000000*(1.652953^(MIN($E1810,123)-117)))*1,0))</f>
        <v>650456604</v>
      </c>
      <c r="AE1810" s="6">
        <f>$E1810+24</f>
        <v>134</v>
      </c>
      <c r="AF1810" s="7">
        <f>IF($J1810=0,0,ROUND(MAX($J1810*1.4*1.5*1.6*1.6*2.2*2.715*2.6*1.4*1.4*1.5*1.5,18900000000*(1.65331^(MIN($E1810,123)-117)))*1,0))</f>
        <v>975684905</v>
      </c>
      <c r="AG1810" s="4">
        <f>$E1810+27</f>
        <v>137</v>
      </c>
      <c r="AH1810" s="8">
        <f>IF($J1810=0,0,ROUND(MAX($J1810*1.4*1.5*1.6*1.6*2.2*2.715*2.6*1.4*1.4*1.5*1.5*3.2,60500000000*(1.654288^(MIN($E1810,123)-117)))*1,0))</f>
        <v>3122191697</v>
      </c>
    </row>
    <row r="1811" ht="27.75" customHeight="1" spans="1:34" x14ac:dyDescent="0.25">
      <c r="A1811" s="3">
        <v>1821</v>
      </c>
      <c r="B1811" s="3" t="s">
        <v>1188</v>
      </c>
      <c r="C1811" s="3" t="s">
        <v>1175</v>
      </c>
      <c r="D1811" s="3" t="s">
        <v>40</v>
      </c>
      <c r="E1811" s="3">
        <v>110</v>
      </c>
      <c r="F1811" s="3" t="s">
        <v>120</v>
      </c>
      <c r="G1811" s="3" t="s">
        <v>133</v>
      </c>
      <c r="H1811" s="3">
        <v>26</v>
      </c>
      <c r="I1811" s="4">
        <v>110</v>
      </c>
      <c r="J1811" s="5">
        <v>403000</v>
      </c>
      <c r="K1811" s="6">
        <f>$E1811+1</f>
        <v>111</v>
      </c>
      <c r="L1811" s="7">
        <f>IF($J1811=0,0,ROUND(MAX($J1811*1.4,1620000*(1.497923^(MIN($E1811,123)-117)))*1,0))</f>
        <v>564200</v>
      </c>
      <c r="M1811" s="4">
        <f>$E1811+2</f>
        <v>112</v>
      </c>
      <c r="N1811" s="8">
        <f>IF($J1811=0,0,ROUND(MAX($J1811*1.4*1.5,2190000*(1.580994^(MIN($E1811,123)-117)))*1,0))</f>
        <v>846300</v>
      </c>
      <c r="O1811" s="6">
        <f>$E1811+4</f>
        <v>114</v>
      </c>
      <c r="P1811" s="7">
        <f>IF($J1811=0,0,ROUND(MAX($J1811*1.4*1.5*1.6,3500000*(1.57975^(MIN($E1811,123)-117)))*1,0))</f>
        <v>1354080</v>
      </c>
      <c r="Q1811" s="4">
        <f>$E1811+6</f>
        <v>116</v>
      </c>
      <c r="R1811" s="8">
        <f>IF($J1811=0,0,ROUND(MAX($J1811*1.4*1.5*1.6*1.6,13100000*(1.429962^(MIN($E1811,123)-117)))*1,0))</f>
        <v>2166528</v>
      </c>
      <c r="S1811" s="6">
        <f>$E1811+8</f>
        <v>118</v>
      </c>
      <c r="T1811" s="7">
        <f>IF($J1811=0,0,ROUND(MAX($J1811*1.4*1.5*1.6*1.6*2.2,42600000*(1.576904^(MIN($E1811,123)-117)))*1,0))</f>
        <v>4766362</v>
      </c>
      <c r="U1811" s="4">
        <f>$E1811+11</f>
        <v>121</v>
      </c>
      <c r="V1811" s="8">
        <f>IF($J1811=0,0,ROUND(MAX($J1811*1.4*1.5*1.6*1.6*2.2*2.715,354000000*(1.642074^(MIN($E1811,123)-117)))*1,0))</f>
        <v>12940672</v>
      </c>
      <c r="W1811" s="6">
        <f>$E1811+15</f>
        <v>125</v>
      </c>
      <c r="X1811" s="7">
        <f>IF($J1811=0,0,ROUND(MAX($J1811*1.4*1.5*1.6*1.6*2.2*2.715*2.6,3540000000*(1.579646^(MIN($E1811,123)-117)))*1,0))</f>
        <v>144239716</v>
      </c>
      <c r="Y1811" s="4">
        <f>$E1811+17</f>
        <v>127</v>
      </c>
      <c r="Z1811" s="8">
        <f>IF($J1811=0,0,ROUND(MAX($J1811*1.4*1.5*1.6*1.6*2.2*2.715*2.6*1.4,6020000000*(1.651178^(MIN($E1811,123)-117)))*1,0))</f>
        <v>179903344</v>
      </c>
      <c r="AA1811" s="6">
        <f>$E1811+19</f>
        <v>129</v>
      </c>
      <c r="AB1811" s="7">
        <f>IF($J1811=0,0,ROUND(MAX($J1811*1.4*1.5*1.6*1.6*2.2*2.715*2.6*1.4*1.4,8430000000*(1.651435^(MIN($E1811,123)-117)))*1,0))</f>
        <v>251650143</v>
      </c>
      <c r="AC1811" s="4">
        <f>$E1811+21</f>
        <v>131</v>
      </c>
      <c r="AD1811" s="8">
        <f>IF($J1811=0,0,ROUND(MAX($J1811*1.4*1.5*1.6*1.6*2.2*2.715*2.6*1.4*1.4*1.5,12600000000*(1.652953^(MIN($E1811,123)-117)))*1,0))</f>
        <v>373720576</v>
      </c>
      <c r="AE1811" s="6">
        <f>$E1811+24</f>
        <v>134</v>
      </c>
      <c r="AF1811" s="7">
        <f>IF($J1811=0,0,ROUND(MAX($J1811*1.4*1.5*1.6*1.6*2.2*2.715*2.6*1.4*1.4*1.5*1.5,18900000000*(1.65331^(MIN($E1811,123)-117)))*1,0))</f>
        <v>559734088</v>
      </c>
      <c r="AG1811" s="4">
        <f>$E1811+27</f>
        <v>137</v>
      </c>
      <c r="AH1811" s="8">
        <f>IF($J1811=0,0,ROUND(MAX($J1811*1.4*1.5*1.6*1.6*2.2*2.715*2.6*1.4*1.4*1.5*1.5*3.2,60500000000*(1.654288^(MIN($E1811,123)-117)))*1,0))</f>
        <v>1784339701</v>
      </c>
    </row>
    <row r="1812" ht="27.75" customHeight="1" spans="1:34" x14ac:dyDescent="0.25">
      <c r="A1812" s="3">
        <v>1822</v>
      </c>
      <c r="B1812" s="3" t="s">
        <v>1189</v>
      </c>
      <c r="C1812" s="3" t="s">
        <v>1175</v>
      </c>
      <c r="D1812" s="3" t="s">
        <v>40</v>
      </c>
      <c r="E1812" s="3">
        <v>110</v>
      </c>
      <c r="F1812" s="3" t="s">
        <v>56</v>
      </c>
      <c r="G1812" s="3" t="s">
        <v>72</v>
      </c>
      <c r="H1812" s="3">
        <v>26</v>
      </c>
      <c r="I1812" s="4">
        <v>110</v>
      </c>
      <c r="J1812" s="5">
        <v>185000</v>
      </c>
      <c r="K1812" s="6">
        <f>$E1812+1</f>
        <v>111</v>
      </c>
      <c r="L1812" s="7">
        <f>IF($J1812=0,0,ROUND(MAX($J1812*1.4,1620000*(1.497923^(MIN($E1812,123)-117)))*1,0))</f>
        <v>259000</v>
      </c>
      <c r="M1812" s="4">
        <f>$E1812+2</f>
        <v>112</v>
      </c>
      <c r="N1812" s="8">
        <f>IF($J1812=0,0,ROUND(MAX($J1812*1.4*1.5,2190000*(1.580994^(MIN($E1812,123)-117)))*1,0))</f>
        <v>388500</v>
      </c>
      <c r="O1812" s="6">
        <f>$E1812+4</f>
        <v>114</v>
      </c>
      <c r="P1812" s="7">
        <f>IF($J1812=0,0,ROUND(MAX($J1812*1.4*1.5*1.6,3500000*(1.57975^(MIN($E1812,123)-117)))*1,0))</f>
        <v>621600</v>
      </c>
      <c r="Q1812" s="4">
        <f>$E1812+6</f>
        <v>116</v>
      </c>
      <c r="R1812" s="8">
        <f>IF($J1812=0,0,ROUND(MAX($J1812*1.4*1.5*1.6*1.6,13100000*(1.429962^(MIN($E1812,123)-117)))*1,0))</f>
        <v>1071519</v>
      </c>
      <c r="S1812" s="6">
        <f>$E1812+8</f>
        <v>118</v>
      </c>
      <c r="T1812" s="7">
        <f>IF($J1812=0,0,ROUND(MAX($J1812*1.4*1.5*1.6*1.6*2.2,42600000*(1.576904^(MIN($E1812,123)-117)))*1,0))</f>
        <v>2188032</v>
      </c>
      <c r="U1812" s="4">
        <f>$E1812+11</f>
        <v>121</v>
      </c>
      <c r="V1812" s="8">
        <f>IF($J1812=0,0,ROUND(MAX($J1812*1.4*1.5*1.6*1.6*2.2*2.715,354000000*(1.642074^(MIN($E1812,123)-117)))*1,0))</f>
        <v>10996493</v>
      </c>
      <c r="W1812" s="6">
        <f>$E1812+15</f>
        <v>125</v>
      </c>
      <c r="X1812" s="7">
        <f>IF($J1812=0,0,ROUND(MAX($J1812*1.4*1.5*1.6*1.6*2.2*2.715*2.6,3540000000*(1.579646^(MIN($E1812,123)-117)))*1,0))</f>
        <v>144239716</v>
      </c>
      <c r="Y1812" s="4">
        <f>$E1812+17</f>
        <v>127</v>
      </c>
      <c r="Z1812" s="8">
        <f>IF($J1812=0,0,ROUND(MAX($J1812*1.4*1.5*1.6*1.6*2.2*2.715*2.6*1.4,6020000000*(1.651178^(MIN($E1812,123)-117)))*1,0))</f>
        <v>179903344</v>
      </c>
      <c r="AA1812" s="6">
        <f>$E1812+19</f>
        <v>129</v>
      </c>
      <c r="AB1812" s="7">
        <f>IF($J1812=0,0,ROUND(MAX($J1812*1.4*1.5*1.6*1.6*2.2*2.715*2.6*1.4*1.4,8430000000*(1.651435^(MIN($E1812,123)-117)))*1,0))</f>
        <v>251650143</v>
      </c>
      <c r="AC1812" s="4">
        <f>$E1812+21</f>
        <v>131</v>
      </c>
      <c r="AD1812" s="8">
        <f>IF($J1812=0,0,ROUND(MAX($J1812*1.4*1.5*1.6*1.6*2.2*2.715*2.6*1.4*1.4*1.5,12600000000*(1.652953^(MIN($E1812,123)-117)))*1,0))</f>
        <v>373720576</v>
      </c>
      <c r="AE1812" s="6">
        <f>$E1812+24</f>
        <v>134</v>
      </c>
      <c r="AF1812" s="7">
        <f>IF($J1812=0,0,ROUND(MAX($J1812*1.4*1.5*1.6*1.6*2.2*2.715*2.6*1.4*1.4*1.5*1.5,18900000000*(1.65331^(MIN($E1812,123)-117)))*1,0))</f>
        <v>559734088</v>
      </c>
      <c r="AG1812" s="4">
        <f>$E1812+27</f>
        <v>137</v>
      </c>
      <c r="AH1812" s="8">
        <f>IF($J1812=0,0,ROUND(MAX($J1812*1.4*1.5*1.6*1.6*2.2*2.715*2.6*1.4*1.4*1.5*1.5*3.2,60500000000*(1.654288^(MIN($E1812,123)-117)))*1,0))</f>
        <v>1784339701</v>
      </c>
    </row>
    <row r="1813" ht="27.75" customHeight="1" spans="1:34" x14ac:dyDescent="0.25">
      <c r="A1813" s="3">
        <v>1823</v>
      </c>
      <c r="B1813" s="3" t="s">
        <v>1190</v>
      </c>
      <c r="C1813" s="3" t="s">
        <v>1175</v>
      </c>
      <c r="D1813" s="3" t="s">
        <v>79</v>
      </c>
      <c r="E1813" s="3">
        <v>110</v>
      </c>
      <c r="F1813" s="3" t="s">
        <v>34</v>
      </c>
      <c r="G1813" s="3" t="s">
        <v>169</v>
      </c>
      <c r="H1813" s="3">
        <v>26</v>
      </c>
      <c r="I1813" s="4">
        <v>110</v>
      </c>
      <c r="J1813" s="5">
        <v>315000</v>
      </c>
      <c r="K1813" s="6">
        <f>$E1813+1</f>
        <v>111</v>
      </c>
      <c r="L1813" s="7">
        <f>IF($J1813=0,0,ROUND(MAX($J1813*1.4,1620000*(1.497923^(MIN($E1813,123)-117)))*1,0))</f>
        <v>441000</v>
      </c>
      <c r="M1813" s="4">
        <f>$E1813+2</f>
        <v>112</v>
      </c>
      <c r="N1813" s="8">
        <f>IF($J1813=0,0,ROUND(MAX($J1813*1.4*1.5,2190000*(1.580994^(MIN($E1813,123)-117)))*1,0))</f>
        <v>661500</v>
      </c>
      <c r="O1813" s="6">
        <f>$E1813+4</f>
        <v>114</v>
      </c>
      <c r="P1813" s="7">
        <f>IF($J1813=0,0,ROUND(MAX($J1813*1.4*1.5*1.6,3500000*(1.57975^(MIN($E1813,123)-117)))*1,0))</f>
        <v>1058400</v>
      </c>
      <c r="Q1813" s="4">
        <f>$E1813+6</f>
        <v>116</v>
      </c>
      <c r="R1813" s="8">
        <f>IF($J1813=0,0,ROUND(MAX($J1813*1.4*1.5*1.6*1.6,13100000*(1.429962^(MIN($E1813,123)-117)))*1,0))</f>
        <v>1693440</v>
      </c>
      <c r="S1813" s="6">
        <f>$E1813+8</f>
        <v>118</v>
      </c>
      <c r="T1813" s="7">
        <f>IF($J1813=0,0,ROUND(MAX($J1813*1.4*1.5*1.6*1.6*2.2,42600000*(1.576904^(MIN($E1813,123)-117)))*1,0))</f>
        <v>3725568</v>
      </c>
      <c r="U1813" s="4">
        <f>$E1813+11</f>
        <v>121</v>
      </c>
      <c r="V1813" s="8">
        <f>IF($J1813=0,0,ROUND(MAX($J1813*1.4*1.5*1.6*1.6*2.2*2.715,354000000*(1.642074^(MIN($E1813,123)-117)))*1,0))</f>
        <v>10996493</v>
      </c>
      <c r="W1813" s="6">
        <f>$E1813+15</f>
        <v>125</v>
      </c>
      <c r="X1813" s="7">
        <f>IF($J1813=0,0,ROUND(MAX($J1813*1.4*1.5*1.6*1.6*2.2*2.715*2.6,3540000000*(1.579646^(MIN($E1813,123)-117)))*1,0))</f>
        <v>144239716</v>
      </c>
      <c r="Y1813" s="4">
        <f>$E1813+17</f>
        <v>127</v>
      </c>
      <c r="Z1813" s="8">
        <f>IF($J1813=0,0,ROUND(MAX($J1813*1.4*1.5*1.6*1.6*2.2*2.715*2.6*1.4,6020000000*(1.651178^(MIN($E1813,123)-117)))*1,0))</f>
        <v>179903344</v>
      </c>
      <c r="AA1813" s="6">
        <f>$E1813+19</f>
        <v>129</v>
      </c>
      <c r="AB1813" s="7">
        <f>IF($J1813=0,0,ROUND(MAX($J1813*1.4*1.5*1.6*1.6*2.2*2.715*2.6*1.4*1.4,8430000000*(1.651435^(MIN($E1813,123)-117)))*1,0))</f>
        <v>251650143</v>
      </c>
      <c r="AC1813" s="4">
        <f>$E1813+21</f>
        <v>131</v>
      </c>
      <c r="AD1813" s="8">
        <f>IF($J1813=0,0,ROUND(MAX($J1813*1.4*1.5*1.6*1.6*2.2*2.715*2.6*1.4*1.4*1.5,12600000000*(1.652953^(MIN($E1813,123)-117)))*1,0))</f>
        <v>373720576</v>
      </c>
      <c r="AE1813" s="6">
        <f>$E1813+24</f>
        <v>134</v>
      </c>
      <c r="AF1813" s="7">
        <f>IF($J1813=0,0,ROUND(MAX($J1813*1.4*1.5*1.6*1.6*2.2*2.715*2.6*1.4*1.4*1.5*1.5,18900000000*(1.65331^(MIN($E1813,123)-117)))*1,0))</f>
        <v>559734088</v>
      </c>
      <c r="AG1813" s="4">
        <f>$E1813+27</f>
        <v>137</v>
      </c>
      <c r="AH1813" s="8">
        <f>IF($J1813=0,0,ROUND(MAX($J1813*1.4*1.5*1.6*1.6*2.2*2.715*2.6*1.4*1.4*1.5*1.5*3.2,60500000000*(1.654288^(MIN($E1813,123)-117)))*1,0))</f>
        <v>1784339701</v>
      </c>
    </row>
    <row r="1814" ht="27.75" customHeight="1" spans="1:34" x14ac:dyDescent="0.25">
      <c r="A1814" s="3">
        <v>1824</v>
      </c>
      <c r="B1814" s="3" t="s">
        <v>545</v>
      </c>
      <c r="C1814" s="3" t="s">
        <v>1175</v>
      </c>
      <c r="D1814" s="3" t="s">
        <v>79</v>
      </c>
      <c r="E1814" s="3">
        <v>110</v>
      </c>
      <c r="F1814" s="3" t="s">
        <v>34</v>
      </c>
      <c r="G1814" s="3" t="s">
        <v>277</v>
      </c>
      <c r="H1814" s="3">
        <v>26</v>
      </c>
      <c r="I1814" s="4">
        <v>110</v>
      </c>
      <c r="J1814" s="5">
        <v>2840000</v>
      </c>
      <c r="K1814" s="6">
        <f>$E1814+1</f>
        <v>111</v>
      </c>
      <c r="L1814" s="7">
        <f>IF($J1814=0,0,ROUND(MAX($J1814*1.4,1620000*(1.497923^(MIN($E1814,123)-117)))*1,0))</f>
        <v>3976000</v>
      </c>
      <c r="M1814" s="4">
        <f>$E1814+2</f>
        <v>112</v>
      </c>
      <c r="N1814" s="8">
        <f>IF($J1814=0,0,ROUND(MAX($J1814*1.4*1.5,2190000*(1.580994^(MIN($E1814,123)-117)))*1,0))</f>
        <v>5964000</v>
      </c>
      <c r="O1814" s="6">
        <f>$E1814+4</f>
        <v>114</v>
      </c>
      <c r="P1814" s="7">
        <f>IF($J1814=0,0,ROUND(MAX($J1814*1.4*1.5*1.6,3500000*(1.57975^(MIN($E1814,123)-117)))*1,0))</f>
        <v>9542400</v>
      </c>
      <c r="Q1814" s="4">
        <f>$E1814+6</f>
        <v>116</v>
      </c>
      <c r="R1814" s="8">
        <f>IF($J1814=0,0,ROUND(MAX($J1814*1.4*1.5*1.6*1.6,13100000*(1.429962^(MIN($E1814,123)-117)))*1,0))</f>
        <v>15267840</v>
      </c>
      <c r="S1814" s="6">
        <f>$E1814+8</f>
        <v>118</v>
      </c>
      <c r="T1814" s="7">
        <f>IF($J1814=0,0,ROUND(MAX($J1814*1.4*1.5*1.6*1.6*2.2,42600000*(1.576904^(MIN($E1814,123)-117)))*1,0))</f>
        <v>33589248</v>
      </c>
      <c r="U1814" s="4">
        <f>$E1814+11</f>
        <v>121</v>
      </c>
      <c r="V1814" s="8">
        <f>IF($J1814=0,0,ROUND(MAX($J1814*1.4*1.5*1.6*1.6*2.2*2.715,354000000*(1.642074^(MIN($E1814,123)-117)))*1,0))</f>
        <v>91194808</v>
      </c>
      <c r="W1814" s="6">
        <f>$E1814+15</f>
        <v>125</v>
      </c>
      <c r="X1814" s="7">
        <f>IF($J1814=0,0,ROUND(MAX($J1814*1.4*1.5*1.6*1.6*2.2*2.715*2.6,3540000000*(1.579646^(MIN($E1814,123)-117)))*1,0))</f>
        <v>237106502</v>
      </c>
      <c r="Y1814" s="4">
        <f>$E1814+17</f>
        <v>127</v>
      </c>
      <c r="Z1814" s="8">
        <f>IF($J1814=0,0,ROUND(MAX($J1814*1.4*1.5*1.6*1.6*2.2*2.715*2.6*1.4,6020000000*(1.651178^(MIN($E1814,123)-117)))*1,0))</f>
        <v>331949102</v>
      </c>
      <c r="AA1814" s="6">
        <f>$E1814+19</f>
        <v>129</v>
      </c>
      <c r="AB1814" s="7">
        <f>IF($J1814=0,0,ROUND(MAX($J1814*1.4*1.5*1.6*1.6*2.2*2.715*2.6*1.4*1.4,8430000000*(1.651435^(MIN($E1814,123)-117)))*1,0))</f>
        <v>464728743</v>
      </c>
      <c r="AC1814" s="4">
        <f>$E1814+21</f>
        <v>131</v>
      </c>
      <c r="AD1814" s="8">
        <f>IF($J1814=0,0,ROUND(MAX($J1814*1.4*1.5*1.6*1.6*2.2*2.715*2.6*1.4*1.4*1.5,12600000000*(1.652953^(MIN($E1814,123)-117)))*1,0))</f>
        <v>697093115</v>
      </c>
      <c r="AE1814" s="6">
        <f>$E1814+24</f>
        <v>134</v>
      </c>
      <c r="AF1814" s="7">
        <f>IF($J1814=0,0,ROUND(MAX($J1814*1.4*1.5*1.6*1.6*2.2*2.715*2.6*1.4*1.4*1.5*1.5,18900000000*(1.65331^(MIN($E1814,123)-117)))*1,0))</f>
        <v>1045639672</v>
      </c>
      <c r="AG1814" s="4">
        <f>$E1814+27</f>
        <v>137</v>
      </c>
      <c r="AH1814" s="8">
        <f>IF($J1814=0,0,ROUND(MAX($J1814*1.4*1.5*1.6*1.6*2.2*2.715*2.6*1.4*1.4*1.5*1.5*3.2,60500000000*(1.654288^(MIN($E1814,123)-117)))*1,0))</f>
        <v>3346046951</v>
      </c>
    </row>
    <row r="1815" ht="27.75" customHeight="1" spans="1:34" x14ac:dyDescent="0.25">
      <c r="A1815" s="3">
        <v>1825</v>
      </c>
      <c r="B1815" s="3" t="s">
        <v>245</v>
      </c>
      <c r="C1815" s="3" t="s">
        <v>1175</v>
      </c>
      <c r="D1815" s="3" t="s">
        <v>45</v>
      </c>
      <c r="E1815" s="3">
        <v>110</v>
      </c>
      <c r="F1815" s="3" t="s">
        <v>212</v>
      </c>
      <c r="G1815" s="3" t="s">
        <v>51</v>
      </c>
      <c r="H1815" s="3">
        <v>26</v>
      </c>
      <c r="I1815" s="4">
        <v>110</v>
      </c>
      <c r="J1815" s="5">
        <v>535000</v>
      </c>
      <c r="K1815" s="6">
        <f>$E1815+1</f>
        <v>111</v>
      </c>
      <c r="L1815" s="7">
        <f>IF($J1815=0,0,ROUND(MAX($J1815*1.4,1620000*(1.497923^(MIN($E1815,123)-117)))*1,0))</f>
        <v>749000</v>
      </c>
      <c r="M1815" s="4">
        <f>$E1815+2</f>
        <v>112</v>
      </c>
      <c r="N1815" s="8">
        <f>IF($J1815=0,0,ROUND(MAX($J1815*1.4*1.5,2190000*(1.580994^(MIN($E1815,123)-117)))*1,0))</f>
        <v>1123500</v>
      </c>
      <c r="O1815" s="6">
        <f>$E1815+4</f>
        <v>114</v>
      </c>
      <c r="P1815" s="7">
        <f>IF($J1815=0,0,ROUND(MAX($J1815*1.4*1.5*1.6,3500000*(1.57975^(MIN($E1815,123)-117)))*1,0))</f>
        <v>1797600</v>
      </c>
      <c r="Q1815" s="4">
        <f>$E1815+6</f>
        <v>116</v>
      </c>
      <c r="R1815" s="8">
        <f>IF($J1815=0,0,ROUND(MAX($J1815*1.4*1.5*1.6*1.6,13100000*(1.429962^(MIN($E1815,123)-117)))*1,0))</f>
        <v>2876160</v>
      </c>
      <c r="S1815" s="6">
        <f>$E1815+8</f>
        <v>118</v>
      </c>
      <c r="T1815" s="7">
        <f>IF($J1815=0,0,ROUND(MAX($J1815*1.4*1.5*1.6*1.6*2.2,42600000*(1.576904^(MIN($E1815,123)-117)))*1,0))</f>
        <v>6327552</v>
      </c>
      <c r="U1815" s="4">
        <f>$E1815+11</f>
        <v>121</v>
      </c>
      <c r="V1815" s="8">
        <f>IF($J1815=0,0,ROUND(MAX($J1815*1.4*1.5*1.6*1.6*2.2*2.715,354000000*(1.642074^(MIN($E1815,123)-117)))*1,0))</f>
        <v>17179304</v>
      </c>
      <c r="W1815" s="6">
        <f>$E1815+15</f>
        <v>125</v>
      </c>
      <c r="X1815" s="7">
        <f>IF($J1815=0,0,ROUND(MAX($J1815*1.4*1.5*1.6*1.6*2.2*2.715*2.6,3540000000*(1.579646^(MIN($E1815,123)-117)))*1,0))</f>
        <v>144239716</v>
      </c>
      <c r="Y1815" s="4">
        <f>$E1815+17</f>
        <v>127</v>
      </c>
      <c r="Z1815" s="8">
        <f>IF($J1815=0,0,ROUND(MAX($J1815*1.4*1.5*1.6*1.6*2.2*2.715*2.6*1.4,6020000000*(1.651178^(MIN($E1815,123)-117)))*1,0))</f>
        <v>179903344</v>
      </c>
      <c r="AA1815" s="6">
        <f>$E1815+19</f>
        <v>129</v>
      </c>
      <c r="AB1815" s="7">
        <f>IF($J1815=0,0,ROUND(MAX($J1815*1.4*1.5*1.6*1.6*2.2*2.715*2.6*1.4*1.4,8430000000*(1.651435^(MIN($E1815,123)-117)))*1,0))</f>
        <v>251650143</v>
      </c>
      <c r="AC1815" s="4">
        <f>$E1815+21</f>
        <v>131</v>
      </c>
      <c r="AD1815" s="8">
        <f>IF($J1815=0,0,ROUND(MAX($J1815*1.4*1.5*1.6*1.6*2.2*2.715*2.6*1.4*1.4*1.5,12600000000*(1.652953^(MIN($E1815,123)-117)))*1,0))</f>
        <v>373720576</v>
      </c>
      <c r="AE1815" s="6">
        <f>$E1815+24</f>
        <v>134</v>
      </c>
      <c r="AF1815" s="7">
        <f>IF($J1815=0,0,ROUND(MAX($J1815*1.4*1.5*1.6*1.6*2.2*2.715*2.6*1.4*1.4*1.5*1.5,18900000000*(1.65331^(MIN($E1815,123)-117)))*1,0))</f>
        <v>559734088</v>
      </c>
      <c r="AG1815" s="4">
        <f>$E1815+27</f>
        <v>137</v>
      </c>
      <c r="AH1815" s="8">
        <f>IF($J1815=0,0,ROUND(MAX($J1815*1.4*1.5*1.6*1.6*2.2*2.715*2.6*1.4*1.4*1.5*1.5*3.2,60500000000*(1.654288^(MIN($E1815,123)-117)))*1,0))</f>
        <v>1784339701</v>
      </c>
    </row>
    <row r="1816" ht="27.75" customHeight="1" spans="1:34" x14ac:dyDescent="0.25">
      <c r="A1816" s="3">
        <v>1826</v>
      </c>
      <c r="B1816" s="3" t="s">
        <v>1173</v>
      </c>
      <c r="C1816" s="3" t="s">
        <v>1175</v>
      </c>
      <c r="D1816" s="3" t="s">
        <v>33</v>
      </c>
      <c r="E1816" s="3">
        <v>110</v>
      </c>
      <c r="F1816" s="3" t="s">
        <v>212</v>
      </c>
      <c r="G1816" s="3" t="s">
        <v>185</v>
      </c>
      <c r="H1816" s="3">
        <v>25</v>
      </c>
      <c r="I1816" s="4">
        <v>110</v>
      </c>
      <c r="J1816" s="5">
        <v>698000</v>
      </c>
      <c r="K1816" s="6">
        <f>$E1816+1</f>
        <v>111</v>
      </c>
      <c r="L1816" s="7">
        <f>IF($J1816=0,0,ROUND(MAX($J1816*1.4,1620000*(1.497923^(MIN($E1816,123)-117)))*1,0))</f>
        <v>977200</v>
      </c>
      <c r="M1816" s="4">
        <f>$E1816+2</f>
        <v>112</v>
      </c>
      <c r="N1816" s="8">
        <f>IF($J1816=0,0,ROUND(MAX($J1816*1.4*1.5,2190000*(1.580994^(MIN($E1816,123)-117)))*1,0))</f>
        <v>1465800</v>
      </c>
      <c r="O1816" s="6">
        <f>$E1816+4</f>
        <v>114</v>
      </c>
      <c r="P1816" s="7">
        <f>IF($J1816=0,0,ROUND(MAX($J1816*1.4*1.5*1.6,3500000*(1.57975^(MIN($E1816,123)-117)))*1,0))</f>
        <v>2345280</v>
      </c>
      <c r="Q1816" s="4">
        <f>$E1816+6</f>
        <v>116</v>
      </c>
      <c r="R1816" s="8">
        <f>IF($J1816=0,0,ROUND(MAX($J1816*1.4*1.5*1.6*1.6,13100000*(1.429962^(MIN($E1816,123)-117)))*1,0))</f>
        <v>3752448</v>
      </c>
      <c r="S1816" s="6">
        <f>$E1816+8</f>
        <v>118</v>
      </c>
      <c r="T1816" s="7">
        <f>IF($J1816=0,0,ROUND(MAX($J1816*1.4*1.5*1.6*1.6*2.2,42600000*(1.576904^(MIN($E1816,123)-117)))*1,0))</f>
        <v>8255386</v>
      </c>
      <c r="U1816" s="4">
        <f>$E1816+11</f>
        <v>121</v>
      </c>
      <c r="V1816" s="8">
        <f>IF($J1816=0,0,ROUND(MAX($J1816*1.4*1.5*1.6*1.6*2.2*2.715,354000000*(1.642074^(MIN($E1816,123)-117)))*1,0))</f>
        <v>22413372</v>
      </c>
      <c r="W1816" s="6">
        <f>$E1816+15</f>
        <v>125</v>
      </c>
      <c r="X1816" s="7">
        <f>IF($J1816=0,0,ROUND(MAX($J1816*1.4*1.5*1.6*1.6*2.2*2.715*2.6,3540000000*(1.579646^(MIN($E1816,123)-117)))*1,0))</f>
        <v>144239716</v>
      </c>
      <c r="Y1816" s="4">
        <f>$E1816+17</f>
        <v>127</v>
      </c>
      <c r="Z1816" s="8">
        <f>IF($J1816=0,0,ROUND(MAX($J1816*1.4*1.5*1.6*1.6*2.2*2.715*2.6*1.4,6020000000*(1.651178^(MIN($E1816,123)-117)))*1,0))</f>
        <v>179903344</v>
      </c>
      <c r="AA1816" s="6">
        <f>$E1816+19</f>
        <v>129</v>
      </c>
      <c r="AB1816" s="7">
        <f>IF($J1816=0,0,ROUND(MAX($J1816*1.4*1.5*1.6*1.6*2.2*2.715*2.6*1.4*1.4,8430000000*(1.651435^(MIN($E1816,123)-117)))*1,0))</f>
        <v>251650143</v>
      </c>
      <c r="AC1816" s="4">
        <f>$E1816+21</f>
        <v>131</v>
      </c>
      <c r="AD1816" s="8">
        <f>IF($J1816=0,0,ROUND(MAX($J1816*1.4*1.5*1.6*1.6*2.2*2.715*2.6*1.4*1.4*1.5,12600000000*(1.652953^(MIN($E1816,123)-117)))*1,0))</f>
        <v>373720576</v>
      </c>
      <c r="AE1816" s="6">
        <f>$E1816+24</f>
        <v>134</v>
      </c>
      <c r="AF1816" s="7">
        <f>IF($J1816=0,0,ROUND(MAX($J1816*1.4*1.5*1.6*1.6*2.2*2.715*2.6*1.4*1.4*1.5*1.5,18900000000*(1.65331^(MIN($E1816,123)-117)))*1,0))</f>
        <v>559734088</v>
      </c>
      <c r="AG1816" s="4">
        <f>$E1816+27</f>
        <v>137</v>
      </c>
      <c r="AH1816" s="8">
        <f>IF($J1816=0,0,ROUND(MAX($J1816*1.4*1.5*1.6*1.6*2.2*2.715*2.6*1.4*1.4*1.5*1.5*3.2,60500000000*(1.654288^(MIN($E1816,123)-117)))*1,0))</f>
        <v>1784339701</v>
      </c>
    </row>
    <row r="1817" ht="27.75" customHeight="1" spans="1:34" x14ac:dyDescent="0.25">
      <c r="A1817" s="3">
        <v>1827</v>
      </c>
      <c r="B1817" s="3" t="s">
        <v>1191</v>
      </c>
      <c r="C1817" s="3" t="s">
        <v>1175</v>
      </c>
      <c r="D1817" s="3" t="s">
        <v>40</v>
      </c>
      <c r="E1817" s="3">
        <v>110</v>
      </c>
      <c r="F1817" s="3" t="s">
        <v>310</v>
      </c>
      <c r="G1817" s="3" t="s">
        <v>595</v>
      </c>
      <c r="H1817" s="3">
        <v>25</v>
      </c>
      <c r="I1817" s="4">
        <v>110</v>
      </c>
      <c r="J1817" s="5">
        <v>334000</v>
      </c>
      <c r="K1817" s="6">
        <f>$E1817+1</f>
        <v>111</v>
      </c>
      <c r="L1817" s="7">
        <f>IF($J1817=0,0,ROUND(MAX($J1817*1.4,1620000*(1.497923^(MIN($E1817,123)-117)))*1,0))</f>
        <v>467600</v>
      </c>
      <c r="M1817" s="4">
        <f>$E1817+2</f>
        <v>112</v>
      </c>
      <c r="N1817" s="8">
        <f>IF($J1817=0,0,ROUND(MAX($J1817*1.4*1.5,2190000*(1.580994^(MIN($E1817,123)-117)))*1,0))</f>
        <v>701400</v>
      </c>
      <c r="O1817" s="6">
        <f>$E1817+4</f>
        <v>114</v>
      </c>
      <c r="P1817" s="7">
        <f>IF($J1817=0,0,ROUND(MAX($J1817*1.4*1.5*1.6,3500000*(1.57975^(MIN($E1817,123)-117)))*1,0))</f>
        <v>1122240</v>
      </c>
      <c r="Q1817" s="4">
        <f>$E1817+6</f>
        <v>116</v>
      </c>
      <c r="R1817" s="8">
        <f>IF($J1817=0,0,ROUND(MAX($J1817*1.4*1.5*1.6*1.6,13100000*(1.429962^(MIN($E1817,123)-117)))*1,0))</f>
        <v>1795584</v>
      </c>
      <c r="S1817" s="6">
        <f>$E1817+8</f>
        <v>118</v>
      </c>
      <c r="T1817" s="7">
        <f>IF($J1817=0,0,ROUND(MAX($J1817*1.4*1.5*1.6*1.6*2.2,42600000*(1.576904^(MIN($E1817,123)-117)))*1,0))</f>
        <v>3950285</v>
      </c>
      <c r="U1817" s="4">
        <f>$E1817+11</f>
        <v>121</v>
      </c>
      <c r="V1817" s="8">
        <f>IF($J1817=0,0,ROUND(MAX($J1817*1.4*1.5*1.6*1.6*2.2*2.715,354000000*(1.642074^(MIN($E1817,123)-117)))*1,0))</f>
        <v>10996493</v>
      </c>
      <c r="W1817" s="6">
        <f>$E1817+15</f>
        <v>125</v>
      </c>
      <c r="X1817" s="7">
        <f>IF($J1817=0,0,ROUND(MAX($J1817*1.4*1.5*1.6*1.6*2.2*2.715*2.6,3540000000*(1.579646^(MIN($E1817,123)-117)))*1,0))</f>
        <v>144239716</v>
      </c>
      <c r="Y1817" s="4">
        <f>$E1817+17</f>
        <v>127</v>
      </c>
      <c r="Z1817" s="8">
        <f>IF($J1817=0,0,ROUND(MAX($J1817*1.4*1.5*1.6*1.6*2.2*2.715*2.6*1.4,6020000000*(1.651178^(MIN($E1817,123)-117)))*1,0))</f>
        <v>179903344</v>
      </c>
      <c r="AA1817" s="6">
        <f>$E1817+19</f>
        <v>129</v>
      </c>
      <c r="AB1817" s="7">
        <f>IF($J1817=0,0,ROUND(MAX($J1817*1.4*1.5*1.6*1.6*2.2*2.715*2.6*1.4*1.4,8430000000*(1.651435^(MIN($E1817,123)-117)))*1,0))</f>
        <v>251650143</v>
      </c>
      <c r="AC1817" s="4">
        <f>$E1817+21</f>
        <v>131</v>
      </c>
      <c r="AD1817" s="8">
        <f>IF($J1817=0,0,ROUND(MAX($J1817*1.4*1.5*1.6*1.6*2.2*2.715*2.6*1.4*1.4*1.5,12600000000*(1.652953^(MIN($E1817,123)-117)))*1,0))</f>
        <v>373720576</v>
      </c>
      <c r="AE1817" s="6">
        <f>$E1817+24</f>
        <v>134</v>
      </c>
      <c r="AF1817" s="7">
        <f>IF($J1817=0,0,ROUND(MAX($J1817*1.4*1.5*1.6*1.6*2.2*2.715*2.6*1.4*1.4*1.5*1.5,18900000000*(1.65331^(MIN($E1817,123)-117)))*1,0))</f>
        <v>559734088</v>
      </c>
      <c r="AG1817" s="4">
        <f>$E1817+27</f>
        <v>137</v>
      </c>
      <c r="AH1817" s="8">
        <f>IF($J1817=0,0,ROUND(MAX($J1817*1.4*1.5*1.6*1.6*2.2*2.715*2.6*1.4*1.4*1.5*1.5*3.2,60500000000*(1.654288^(MIN($E1817,123)-117)))*1,0))</f>
        <v>1784339701</v>
      </c>
    </row>
    <row r="1818" ht="27.75" customHeight="1" spans="1:34" x14ac:dyDescent="0.25">
      <c r="A1818" s="3">
        <v>1828</v>
      </c>
      <c r="B1818" s="3" t="s">
        <v>697</v>
      </c>
      <c r="C1818" s="3" t="s">
        <v>1175</v>
      </c>
      <c r="D1818" s="3" t="s">
        <v>79</v>
      </c>
      <c r="E1818" s="3">
        <v>110</v>
      </c>
      <c r="F1818" s="3" t="s">
        <v>123</v>
      </c>
      <c r="G1818" s="3" t="s">
        <v>218</v>
      </c>
      <c r="H1818" s="3">
        <v>25</v>
      </c>
      <c r="I1818" s="4">
        <v>110</v>
      </c>
      <c r="J1818" s="5">
        <v>373000</v>
      </c>
      <c r="K1818" s="6">
        <f>$E1818+1</f>
        <v>111</v>
      </c>
      <c r="L1818" s="7">
        <f>IF($J1818=0,0,ROUND(MAX($J1818*1.4,1620000*(1.497923^(MIN($E1818,123)-117)))*1,0))</f>
        <v>522200</v>
      </c>
      <c r="M1818" s="4">
        <f>$E1818+2</f>
        <v>112</v>
      </c>
      <c r="N1818" s="8">
        <f>IF($J1818=0,0,ROUND(MAX($J1818*1.4*1.5,2190000*(1.580994^(MIN($E1818,123)-117)))*1,0))</f>
        <v>783300</v>
      </c>
      <c r="O1818" s="6">
        <f>$E1818+4</f>
        <v>114</v>
      </c>
      <c r="P1818" s="7">
        <f>IF($J1818=0,0,ROUND(MAX($J1818*1.4*1.5*1.6,3500000*(1.57975^(MIN($E1818,123)-117)))*1,0))</f>
        <v>1253280</v>
      </c>
      <c r="Q1818" s="4">
        <f>$E1818+6</f>
        <v>116</v>
      </c>
      <c r="R1818" s="8">
        <f>IF($J1818=0,0,ROUND(MAX($J1818*1.4*1.5*1.6*1.6,13100000*(1.429962^(MIN($E1818,123)-117)))*1,0))</f>
        <v>2005248</v>
      </c>
      <c r="S1818" s="6">
        <f>$E1818+8</f>
        <v>118</v>
      </c>
      <c r="T1818" s="7">
        <f>IF($J1818=0,0,ROUND(MAX($J1818*1.4*1.5*1.6*1.6*2.2,42600000*(1.576904^(MIN($E1818,123)-117)))*1,0))</f>
        <v>4411546</v>
      </c>
      <c r="U1818" s="4">
        <f>$E1818+11</f>
        <v>121</v>
      </c>
      <c r="V1818" s="8">
        <f>IF($J1818=0,0,ROUND(MAX($J1818*1.4*1.5*1.6*1.6*2.2*2.715,354000000*(1.642074^(MIN($E1818,123)-117)))*1,0))</f>
        <v>11977346</v>
      </c>
      <c r="W1818" s="6">
        <f>$E1818+15</f>
        <v>125</v>
      </c>
      <c r="X1818" s="7">
        <f>IF($J1818=0,0,ROUND(MAX($J1818*1.4*1.5*1.6*1.6*2.2*2.715*2.6,3540000000*(1.579646^(MIN($E1818,123)-117)))*1,0))</f>
        <v>144239716</v>
      </c>
      <c r="Y1818" s="4">
        <f>$E1818+17</f>
        <v>127</v>
      </c>
      <c r="Z1818" s="8">
        <f>IF($J1818=0,0,ROUND(MAX($J1818*1.4*1.5*1.6*1.6*2.2*2.715*2.6*1.4,6020000000*(1.651178^(MIN($E1818,123)-117)))*1,0))</f>
        <v>179903344</v>
      </c>
      <c r="AA1818" s="6">
        <f>$E1818+19</f>
        <v>129</v>
      </c>
      <c r="AB1818" s="7">
        <f>IF($J1818=0,0,ROUND(MAX($J1818*1.4*1.5*1.6*1.6*2.2*2.715*2.6*1.4*1.4,8430000000*(1.651435^(MIN($E1818,123)-117)))*1,0))</f>
        <v>251650143</v>
      </c>
      <c r="AC1818" s="4">
        <f>$E1818+21</f>
        <v>131</v>
      </c>
      <c r="AD1818" s="8">
        <f>IF($J1818=0,0,ROUND(MAX($J1818*1.4*1.5*1.6*1.6*2.2*2.715*2.6*1.4*1.4*1.5,12600000000*(1.652953^(MIN($E1818,123)-117)))*1,0))</f>
        <v>373720576</v>
      </c>
      <c r="AE1818" s="6">
        <f>$E1818+24</f>
        <v>134</v>
      </c>
      <c r="AF1818" s="7">
        <f>IF($J1818=0,0,ROUND(MAX($J1818*1.4*1.5*1.6*1.6*2.2*2.715*2.6*1.4*1.4*1.5*1.5,18900000000*(1.65331^(MIN($E1818,123)-117)))*1,0))</f>
        <v>559734088</v>
      </c>
      <c r="AG1818" s="4">
        <f>$E1818+27</f>
        <v>137</v>
      </c>
      <c r="AH1818" s="8">
        <f>IF($J1818=0,0,ROUND(MAX($J1818*1.4*1.5*1.6*1.6*2.2*2.715*2.6*1.4*1.4*1.5*1.5*3.2,60500000000*(1.654288^(MIN($E1818,123)-117)))*1,0))</f>
        <v>1784339701</v>
      </c>
    </row>
    <row r="1819" ht="27.75" customHeight="1" spans="1:34" x14ac:dyDescent="0.25">
      <c r="A1819" s="3">
        <v>1829</v>
      </c>
      <c r="B1819" s="3" t="s">
        <v>1192</v>
      </c>
      <c r="C1819" s="3" t="s">
        <v>1175</v>
      </c>
      <c r="D1819" s="3" t="s">
        <v>45</v>
      </c>
      <c r="E1819" s="3">
        <v>110</v>
      </c>
      <c r="F1819" s="3" t="s">
        <v>56</v>
      </c>
      <c r="G1819" s="3" t="s">
        <v>206</v>
      </c>
      <c r="H1819" s="3">
        <v>25</v>
      </c>
      <c r="I1819" s="4">
        <v>110</v>
      </c>
      <c r="J1819" s="5">
        <v>1410000</v>
      </c>
      <c r="K1819" s="6">
        <f>$E1819+1</f>
        <v>111</v>
      </c>
      <c r="L1819" s="7">
        <f>IF($J1819=0,0,ROUND(MAX($J1819*1.4,1620000*(1.497923^(MIN($E1819,123)-117)))*1,0))</f>
        <v>1974000</v>
      </c>
      <c r="M1819" s="4">
        <f>$E1819+2</f>
        <v>112</v>
      </c>
      <c r="N1819" s="8">
        <f>IF($J1819=0,0,ROUND(MAX($J1819*1.4*1.5,2190000*(1.580994^(MIN($E1819,123)-117)))*1,0))</f>
        <v>2961000</v>
      </c>
      <c r="O1819" s="6">
        <f>$E1819+4</f>
        <v>114</v>
      </c>
      <c r="P1819" s="7">
        <f>IF($J1819=0,0,ROUND(MAX($J1819*1.4*1.5*1.6,3500000*(1.57975^(MIN($E1819,123)-117)))*1,0))</f>
        <v>4737600</v>
      </c>
      <c r="Q1819" s="4">
        <f>$E1819+6</f>
        <v>116</v>
      </c>
      <c r="R1819" s="8">
        <f>IF($J1819=0,0,ROUND(MAX($J1819*1.4*1.5*1.6*1.6,13100000*(1.429962^(MIN($E1819,123)-117)))*1,0))</f>
        <v>7580160</v>
      </c>
      <c r="S1819" s="6">
        <f>$E1819+8</f>
        <v>118</v>
      </c>
      <c r="T1819" s="7">
        <f>IF($J1819=0,0,ROUND(MAX($J1819*1.4*1.5*1.6*1.6*2.2,42600000*(1.576904^(MIN($E1819,123)-117)))*1,0))</f>
        <v>16676352</v>
      </c>
      <c r="U1819" s="4">
        <f>$E1819+11</f>
        <v>121</v>
      </c>
      <c r="V1819" s="8">
        <f>IF($J1819=0,0,ROUND(MAX($J1819*1.4*1.5*1.6*1.6*2.2*2.715,354000000*(1.642074^(MIN($E1819,123)-117)))*1,0))</f>
        <v>45276296</v>
      </c>
      <c r="W1819" s="6">
        <f>$E1819+15</f>
        <v>125</v>
      </c>
      <c r="X1819" s="7">
        <f>IF($J1819=0,0,ROUND(MAX($J1819*1.4*1.5*1.6*1.6*2.2*2.715*2.6,3540000000*(1.579646^(MIN($E1819,123)-117)))*1,0))</f>
        <v>144239716</v>
      </c>
      <c r="Y1819" s="4">
        <f>$E1819+17</f>
        <v>127</v>
      </c>
      <c r="Z1819" s="8">
        <f>IF($J1819=0,0,ROUND(MAX($J1819*1.4*1.5*1.6*1.6*2.2*2.715*2.6*1.4,6020000000*(1.651178^(MIN($E1819,123)-117)))*1,0))</f>
        <v>179903344</v>
      </c>
      <c r="AA1819" s="6">
        <f>$E1819+19</f>
        <v>129</v>
      </c>
      <c r="AB1819" s="7">
        <f>IF($J1819=0,0,ROUND(MAX($J1819*1.4*1.5*1.6*1.6*2.2*2.715*2.6*1.4*1.4,8430000000*(1.651435^(MIN($E1819,123)-117)))*1,0))</f>
        <v>251650143</v>
      </c>
      <c r="AC1819" s="4">
        <f>$E1819+21</f>
        <v>131</v>
      </c>
      <c r="AD1819" s="8">
        <f>IF($J1819=0,0,ROUND(MAX($J1819*1.4*1.5*1.6*1.6*2.2*2.715*2.6*1.4*1.4*1.5,12600000000*(1.652953^(MIN($E1819,123)-117)))*1,0))</f>
        <v>373720576</v>
      </c>
      <c r="AE1819" s="6">
        <f>$E1819+24</f>
        <v>134</v>
      </c>
      <c r="AF1819" s="7">
        <f>IF($J1819=0,0,ROUND(MAX($J1819*1.4*1.5*1.6*1.6*2.2*2.715*2.6*1.4*1.4*1.5*1.5,18900000000*(1.65331^(MIN($E1819,123)-117)))*1,0))</f>
        <v>559734088</v>
      </c>
      <c r="AG1819" s="4">
        <f>$E1819+27</f>
        <v>137</v>
      </c>
      <c r="AH1819" s="8">
        <f>IF($J1819=0,0,ROUND(MAX($J1819*1.4*1.5*1.6*1.6*2.2*2.715*2.6*1.4*1.4*1.5*1.5*3.2,60500000000*(1.654288^(MIN($E1819,123)-117)))*1,0))</f>
        <v>1784339701</v>
      </c>
    </row>
    <row r="1820" ht="27.75" customHeight="1" spans="1:34" x14ac:dyDescent="0.25">
      <c r="A1820" s="3">
        <v>1830</v>
      </c>
      <c r="B1820" s="3" t="s">
        <v>268</v>
      </c>
      <c r="C1820" s="3" t="s">
        <v>1175</v>
      </c>
      <c r="D1820" s="3" t="s">
        <v>40</v>
      </c>
      <c r="E1820" s="3">
        <v>110</v>
      </c>
      <c r="F1820" s="3" t="s">
        <v>26</v>
      </c>
      <c r="G1820" s="3" t="s">
        <v>242</v>
      </c>
      <c r="H1820" s="3">
        <v>25</v>
      </c>
      <c r="I1820" s="4">
        <v>110</v>
      </c>
      <c r="J1820" s="5">
        <v>668000</v>
      </c>
      <c r="K1820" s="6">
        <f>$E1820+1</f>
        <v>111</v>
      </c>
      <c r="L1820" s="7">
        <f>IF($J1820=0,0,ROUND(MAX($J1820*1.4,1620000*(1.497923^(MIN($E1820,123)-117)))*1,0))</f>
        <v>935200</v>
      </c>
      <c r="M1820" s="4">
        <f>$E1820+2</f>
        <v>112</v>
      </c>
      <c r="N1820" s="8">
        <f>IF($J1820=0,0,ROUND(MAX($J1820*1.4*1.5,2190000*(1.580994^(MIN($E1820,123)-117)))*1,0))</f>
        <v>1402800</v>
      </c>
      <c r="O1820" s="6">
        <f>$E1820+4</f>
        <v>114</v>
      </c>
      <c r="P1820" s="7">
        <f>IF($J1820=0,0,ROUND(MAX($J1820*1.4*1.5*1.6,3500000*(1.57975^(MIN($E1820,123)-117)))*1,0))</f>
        <v>2244480</v>
      </c>
      <c r="Q1820" s="4">
        <f>$E1820+6</f>
        <v>116</v>
      </c>
      <c r="R1820" s="8">
        <f>IF($J1820=0,0,ROUND(MAX($J1820*1.4*1.5*1.6*1.6,13100000*(1.429962^(MIN($E1820,123)-117)))*1,0))</f>
        <v>3591168</v>
      </c>
      <c r="S1820" s="6">
        <f>$E1820+8</f>
        <v>118</v>
      </c>
      <c r="T1820" s="7">
        <f>IF($J1820=0,0,ROUND(MAX($J1820*1.4*1.5*1.6*1.6*2.2,42600000*(1.576904^(MIN($E1820,123)-117)))*1,0))</f>
        <v>7900570</v>
      </c>
      <c r="U1820" s="4">
        <f>$E1820+11</f>
        <v>121</v>
      </c>
      <c r="V1820" s="8">
        <f>IF($J1820=0,0,ROUND(MAX($J1820*1.4*1.5*1.6*1.6*2.2*2.715,354000000*(1.642074^(MIN($E1820,123)-117)))*1,0))</f>
        <v>21450046</v>
      </c>
      <c r="W1820" s="6">
        <f>$E1820+15</f>
        <v>125</v>
      </c>
      <c r="X1820" s="7">
        <f>IF($J1820=0,0,ROUND(MAX($J1820*1.4*1.5*1.6*1.6*2.2*2.715*2.6,3540000000*(1.579646^(MIN($E1820,123)-117)))*1,0))</f>
        <v>144239716</v>
      </c>
      <c r="Y1820" s="4">
        <f>$E1820+17</f>
        <v>127</v>
      </c>
      <c r="Z1820" s="8">
        <f>IF($J1820=0,0,ROUND(MAX($J1820*1.4*1.5*1.6*1.6*2.2*2.715*2.6*1.4,6020000000*(1.651178^(MIN($E1820,123)-117)))*1,0))</f>
        <v>179903344</v>
      </c>
      <c r="AA1820" s="6">
        <f>$E1820+19</f>
        <v>129</v>
      </c>
      <c r="AB1820" s="7">
        <f>IF($J1820=0,0,ROUND(MAX($J1820*1.4*1.5*1.6*1.6*2.2*2.715*2.6*1.4*1.4,8430000000*(1.651435^(MIN($E1820,123)-117)))*1,0))</f>
        <v>251650143</v>
      </c>
      <c r="AC1820" s="4">
        <f>$E1820+21</f>
        <v>131</v>
      </c>
      <c r="AD1820" s="8">
        <f>IF($J1820=0,0,ROUND(MAX($J1820*1.4*1.5*1.6*1.6*2.2*2.715*2.6*1.4*1.4*1.5,12600000000*(1.652953^(MIN($E1820,123)-117)))*1,0))</f>
        <v>373720576</v>
      </c>
      <c r="AE1820" s="6">
        <f>$E1820+24</f>
        <v>134</v>
      </c>
      <c r="AF1820" s="7">
        <f>IF($J1820=0,0,ROUND(MAX($J1820*1.4*1.5*1.6*1.6*2.2*2.715*2.6*1.4*1.4*1.5*1.5,18900000000*(1.65331^(MIN($E1820,123)-117)))*1,0))</f>
        <v>559734088</v>
      </c>
      <c r="AG1820" s="4">
        <f>$E1820+27</f>
        <v>137</v>
      </c>
      <c r="AH1820" s="8">
        <f>IF($J1820=0,0,ROUND(MAX($J1820*1.4*1.5*1.6*1.6*2.2*2.715*2.6*1.4*1.4*1.5*1.5*3.2,60500000000*(1.654288^(MIN($E1820,123)-117)))*1,0))</f>
        <v>1784339701</v>
      </c>
    </row>
    <row r="1821" ht="27.75" customHeight="1" spans="1:34" x14ac:dyDescent="0.25">
      <c r="A1821" s="3">
        <v>1831</v>
      </c>
      <c r="B1821" s="3" t="s">
        <v>563</v>
      </c>
      <c r="C1821" s="3" t="s">
        <v>1175</v>
      </c>
      <c r="D1821" s="3" t="s">
        <v>40</v>
      </c>
      <c r="E1821" s="3">
        <v>110</v>
      </c>
      <c r="F1821" s="3" t="s">
        <v>30</v>
      </c>
      <c r="G1821" s="3" t="s">
        <v>95</v>
      </c>
      <c r="H1821" s="3">
        <v>25</v>
      </c>
      <c r="I1821" s="4">
        <v>110</v>
      </c>
      <c r="J1821" s="5">
        <v>663000</v>
      </c>
      <c r="K1821" s="6">
        <f>$E1821+1</f>
        <v>111</v>
      </c>
      <c r="L1821" s="7">
        <f>IF($J1821=0,0,ROUND(MAX($J1821*1.4,1620000*(1.497923^(MIN($E1821,123)-117)))*1,0))</f>
        <v>928200</v>
      </c>
      <c r="M1821" s="4">
        <f>$E1821+2</f>
        <v>112</v>
      </c>
      <c r="N1821" s="8">
        <f>IF($J1821=0,0,ROUND(MAX($J1821*1.4*1.5,2190000*(1.580994^(MIN($E1821,123)-117)))*1,0))</f>
        <v>1392300</v>
      </c>
      <c r="O1821" s="6">
        <f>$E1821+4</f>
        <v>114</v>
      </c>
      <c r="P1821" s="7">
        <f>IF($J1821=0,0,ROUND(MAX($J1821*1.4*1.5*1.6,3500000*(1.57975^(MIN($E1821,123)-117)))*1,0))</f>
        <v>2227680</v>
      </c>
      <c r="Q1821" s="4">
        <f>$E1821+6</f>
        <v>116</v>
      </c>
      <c r="R1821" s="8">
        <f>IF($J1821=0,0,ROUND(MAX($J1821*1.4*1.5*1.6*1.6,13100000*(1.429962^(MIN($E1821,123)-117)))*1,0))</f>
        <v>3564288</v>
      </c>
      <c r="S1821" s="6">
        <f>$E1821+8</f>
        <v>118</v>
      </c>
      <c r="T1821" s="7">
        <f>IF($J1821=0,0,ROUND(MAX($J1821*1.4*1.5*1.6*1.6*2.2,42600000*(1.576904^(MIN($E1821,123)-117)))*1,0))</f>
        <v>7841434</v>
      </c>
      <c r="U1821" s="4">
        <f>$E1821+11</f>
        <v>121</v>
      </c>
      <c r="V1821" s="8">
        <f>IF($J1821=0,0,ROUND(MAX($J1821*1.4*1.5*1.6*1.6*2.2*2.715,354000000*(1.642074^(MIN($E1821,123)-117)))*1,0))</f>
        <v>21289492</v>
      </c>
      <c r="W1821" s="6">
        <f>$E1821+15</f>
        <v>125</v>
      </c>
      <c r="X1821" s="7">
        <f>IF($J1821=0,0,ROUND(MAX($J1821*1.4*1.5*1.6*1.6*2.2*2.715*2.6,3540000000*(1.579646^(MIN($E1821,123)-117)))*1,0))</f>
        <v>144239716</v>
      </c>
      <c r="Y1821" s="4">
        <f>$E1821+17</f>
        <v>127</v>
      </c>
      <c r="Z1821" s="8">
        <f>IF($J1821=0,0,ROUND(MAX($J1821*1.4*1.5*1.6*1.6*2.2*2.715*2.6*1.4,6020000000*(1.651178^(MIN($E1821,123)-117)))*1,0))</f>
        <v>179903344</v>
      </c>
      <c r="AA1821" s="6">
        <f>$E1821+19</f>
        <v>129</v>
      </c>
      <c r="AB1821" s="7">
        <f>IF($J1821=0,0,ROUND(MAX($J1821*1.4*1.5*1.6*1.6*2.2*2.715*2.6*1.4*1.4,8430000000*(1.651435^(MIN($E1821,123)-117)))*1,0))</f>
        <v>251650143</v>
      </c>
      <c r="AC1821" s="4">
        <f>$E1821+21</f>
        <v>131</v>
      </c>
      <c r="AD1821" s="8">
        <f>IF($J1821=0,0,ROUND(MAX($J1821*1.4*1.5*1.6*1.6*2.2*2.715*2.6*1.4*1.4*1.5,12600000000*(1.652953^(MIN($E1821,123)-117)))*1,0))</f>
        <v>373720576</v>
      </c>
      <c r="AE1821" s="6">
        <f>$E1821+24</f>
        <v>134</v>
      </c>
      <c r="AF1821" s="7">
        <f>IF($J1821=0,0,ROUND(MAX($J1821*1.4*1.5*1.6*1.6*2.2*2.715*2.6*1.4*1.4*1.5*1.5,18900000000*(1.65331^(MIN($E1821,123)-117)))*1,0))</f>
        <v>559734088</v>
      </c>
      <c r="AG1821" s="4">
        <f>$E1821+27</f>
        <v>137</v>
      </c>
      <c r="AH1821" s="8">
        <f>IF($J1821=0,0,ROUND(MAX($J1821*1.4*1.5*1.6*1.6*2.2*2.715*2.6*1.4*1.4*1.5*1.5*3.2,60500000000*(1.654288^(MIN($E1821,123)-117)))*1,0))</f>
        <v>1784339701</v>
      </c>
    </row>
    <row r="1822" ht="27.75" customHeight="1" spans="1:34" x14ac:dyDescent="0.25">
      <c r="A1822" s="3">
        <v>1832</v>
      </c>
      <c r="B1822" s="3" t="s">
        <v>898</v>
      </c>
      <c r="C1822" s="3" t="s">
        <v>1175</v>
      </c>
      <c r="D1822" s="3" t="s">
        <v>25</v>
      </c>
      <c r="E1822" s="3">
        <v>110</v>
      </c>
      <c r="F1822" s="3" t="s">
        <v>71</v>
      </c>
      <c r="G1822" s="3" t="s">
        <v>784</v>
      </c>
      <c r="H1822" s="3">
        <v>25</v>
      </c>
      <c r="I1822" s="4">
        <v>110</v>
      </c>
      <c r="J1822" s="5">
        <v>270000</v>
      </c>
      <c r="K1822" s="6">
        <f>$E1822+1</f>
        <v>111</v>
      </c>
      <c r="L1822" s="7">
        <f>IF($J1822=0,0,ROUND(MAX($J1822*1.4,1620000*(1.497923^(MIN($E1822,123)-117)))*1,0))</f>
        <v>378000</v>
      </c>
      <c r="M1822" s="4">
        <f>$E1822+2</f>
        <v>112</v>
      </c>
      <c r="N1822" s="8">
        <f>IF($J1822=0,0,ROUND(MAX($J1822*1.4*1.5,2190000*(1.580994^(MIN($E1822,123)-117)))*1,0))</f>
        <v>567000</v>
      </c>
      <c r="O1822" s="6">
        <f>$E1822+4</f>
        <v>114</v>
      </c>
      <c r="P1822" s="7">
        <f>IF($J1822=0,0,ROUND(MAX($J1822*1.4*1.5*1.6,3500000*(1.57975^(MIN($E1822,123)-117)))*1,0))</f>
        <v>907200</v>
      </c>
      <c r="Q1822" s="4">
        <f>$E1822+6</f>
        <v>116</v>
      </c>
      <c r="R1822" s="8">
        <f>IF($J1822=0,0,ROUND(MAX($J1822*1.4*1.5*1.6*1.6,13100000*(1.429962^(MIN($E1822,123)-117)))*1,0))</f>
        <v>1451520</v>
      </c>
      <c r="S1822" s="6">
        <f>$E1822+8</f>
        <v>118</v>
      </c>
      <c r="T1822" s="7">
        <f>IF($J1822=0,0,ROUND(MAX($J1822*1.4*1.5*1.6*1.6*2.2,42600000*(1.576904^(MIN($E1822,123)-117)))*1,0))</f>
        <v>3193344</v>
      </c>
      <c r="U1822" s="4">
        <f>$E1822+11</f>
        <v>121</v>
      </c>
      <c r="V1822" s="8">
        <f>IF($J1822=0,0,ROUND(MAX($J1822*1.4*1.5*1.6*1.6*2.2*2.715,354000000*(1.642074^(MIN($E1822,123)-117)))*1,0))</f>
        <v>10996493</v>
      </c>
      <c r="W1822" s="6">
        <f>$E1822+15</f>
        <v>125</v>
      </c>
      <c r="X1822" s="7">
        <f>IF($J1822=0,0,ROUND(MAX($J1822*1.4*1.5*1.6*1.6*2.2*2.715*2.6,3540000000*(1.579646^(MIN($E1822,123)-117)))*1,0))</f>
        <v>144239716</v>
      </c>
      <c r="Y1822" s="4">
        <f>$E1822+17</f>
        <v>127</v>
      </c>
      <c r="Z1822" s="8">
        <f>IF($J1822=0,0,ROUND(MAX($J1822*1.4*1.5*1.6*1.6*2.2*2.715*2.6*1.4,6020000000*(1.651178^(MIN($E1822,123)-117)))*1,0))</f>
        <v>179903344</v>
      </c>
      <c r="AA1822" s="6">
        <f>$E1822+19</f>
        <v>129</v>
      </c>
      <c r="AB1822" s="7">
        <f>IF($J1822=0,0,ROUND(MAX($J1822*1.4*1.5*1.6*1.6*2.2*2.715*2.6*1.4*1.4,8430000000*(1.651435^(MIN($E1822,123)-117)))*1,0))</f>
        <v>251650143</v>
      </c>
      <c r="AC1822" s="4">
        <f>$E1822+21</f>
        <v>131</v>
      </c>
      <c r="AD1822" s="8">
        <f>IF($J1822=0,0,ROUND(MAX($J1822*1.4*1.5*1.6*1.6*2.2*2.715*2.6*1.4*1.4*1.5,12600000000*(1.652953^(MIN($E1822,123)-117)))*1,0))</f>
        <v>373720576</v>
      </c>
      <c r="AE1822" s="6">
        <f>$E1822+24</f>
        <v>134</v>
      </c>
      <c r="AF1822" s="7">
        <f>IF($J1822=0,0,ROUND(MAX($J1822*1.4*1.5*1.6*1.6*2.2*2.715*2.6*1.4*1.4*1.5*1.5,18900000000*(1.65331^(MIN($E1822,123)-117)))*1,0))</f>
        <v>559734088</v>
      </c>
      <c r="AG1822" s="4">
        <f>$E1822+27</f>
        <v>137</v>
      </c>
      <c r="AH1822" s="8">
        <f>IF($J1822=0,0,ROUND(MAX($J1822*1.4*1.5*1.6*1.6*2.2*2.715*2.6*1.4*1.4*1.5*1.5*3.2,60500000000*(1.654288^(MIN($E1822,123)-117)))*1,0))</f>
        <v>1784339701</v>
      </c>
    </row>
    <row r="1823" ht="27.75" customHeight="1" spans="1:34" x14ac:dyDescent="0.25">
      <c r="A1823" s="3">
        <v>1833</v>
      </c>
      <c r="B1823" s="3" t="s">
        <v>291</v>
      </c>
      <c r="C1823" s="3" t="s">
        <v>1175</v>
      </c>
      <c r="D1823" s="3" t="s">
        <v>33</v>
      </c>
      <c r="E1823" s="3">
        <v>110</v>
      </c>
      <c r="F1823" s="3" t="s">
        <v>54</v>
      </c>
      <c r="G1823" s="3" t="s">
        <v>35</v>
      </c>
      <c r="H1823" s="3">
        <v>24</v>
      </c>
      <c r="I1823" s="4">
        <v>110</v>
      </c>
      <c r="J1823" s="5">
        <v>2970000</v>
      </c>
      <c r="K1823" s="6">
        <f>$E1823+1</f>
        <v>111</v>
      </c>
      <c r="L1823" s="7">
        <f>IF($J1823=0,0,ROUND(MAX($J1823*1.4,1620000*(1.497923^(MIN($E1823,123)-117)))*1,0))</f>
        <v>4158000</v>
      </c>
      <c r="M1823" s="4">
        <f>$E1823+2</f>
        <v>112</v>
      </c>
      <c r="N1823" s="8">
        <f>IF($J1823=0,0,ROUND(MAX($J1823*1.4*1.5,2190000*(1.580994^(MIN($E1823,123)-117)))*1,0))</f>
        <v>6237000</v>
      </c>
      <c r="O1823" s="6">
        <f>$E1823+4</f>
        <v>114</v>
      </c>
      <c r="P1823" s="7">
        <f>IF($J1823=0,0,ROUND(MAX($J1823*1.4*1.5*1.6,3500000*(1.57975^(MIN($E1823,123)-117)))*1,0))</f>
        <v>9979200</v>
      </c>
      <c r="Q1823" s="4">
        <f>$E1823+6</f>
        <v>116</v>
      </c>
      <c r="R1823" s="8">
        <f>IF($J1823=0,0,ROUND(MAX($J1823*1.4*1.5*1.6*1.6,13100000*(1.429962^(MIN($E1823,123)-117)))*1,0))</f>
        <v>15966720</v>
      </c>
      <c r="S1823" s="6">
        <f>$E1823+8</f>
        <v>118</v>
      </c>
      <c r="T1823" s="7">
        <f>IF($J1823=0,0,ROUND(MAX($J1823*1.4*1.5*1.6*1.6*2.2,42600000*(1.576904^(MIN($E1823,123)-117)))*1,0))</f>
        <v>35126784</v>
      </c>
      <c r="U1823" s="4">
        <f>$E1823+11</f>
        <v>121</v>
      </c>
      <c r="V1823" s="8">
        <f>IF($J1823=0,0,ROUND(MAX($J1823*1.4*1.5*1.6*1.6*2.2*2.715,354000000*(1.642074^(MIN($E1823,123)-117)))*1,0))</f>
        <v>95369219</v>
      </c>
      <c r="W1823" s="6">
        <f>$E1823+15</f>
        <v>125</v>
      </c>
      <c r="X1823" s="7">
        <f>IF($J1823=0,0,ROUND(MAX($J1823*1.4*1.5*1.6*1.6*2.2*2.715*2.6,3540000000*(1.579646^(MIN($E1823,123)-117)))*1,0))</f>
        <v>247959968</v>
      </c>
      <c r="Y1823" s="4">
        <f>$E1823+17</f>
        <v>127</v>
      </c>
      <c r="Z1823" s="8">
        <f>IF($J1823=0,0,ROUND(MAX($J1823*1.4*1.5*1.6*1.6*2.2*2.715*2.6*1.4,6020000000*(1.651178^(MIN($E1823,123)-117)))*1,0))</f>
        <v>347143956</v>
      </c>
      <c r="AA1823" s="6">
        <f>$E1823+19</f>
        <v>129</v>
      </c>
      <c r="AB1823" s="7">
        <f>IF($J1823=0,0,ROUND(MAX($J1823*1.4*1.5*1.6*1.6*2.2*2.715*2.6*1.4*1.4,8430000000*(1.651435^(MIN($E1823,123)-117)))*1,0))</f>
        <v>486001538</v>
      </c>
      <c r="AC1823" s="4">
        <f>$E1823+21</f>
        <v>131</v>
      </c>
      <c r="AD1823" s="8">
        <f>IF($J1823=0,0,ROUND(MAX($J1823*1.4*1.5*1.6*1.6*2.2*2.715*2.6*1.4*1.4*1.5,12600000000*(1.652953^(MIN($E1823,123)-117)))*1,0))</f>
        <v>729002307</v>
      </c>
      <c r="AE1823" s="6">
        <f>$E1823+24</f>
        <v>134</v>
      </c>
      <c r="AF1823" s="7">
        <f>IF($J1823=0,0,ROUND(MAX($J1823*1.4*1.5*1.6*1.6*2.2*2.715*2.6*1.4*1.4*1.5*1.5,18900000000*(1.65331^(MIN($E1823,123)-117)))*1,0))</f>
        <v>1093503460</v>
      </c>
      <c r="AG1823" s="4">
        <f>$E1823+27</f>
        <v>137</v>
      </c>
      <c r="AH1823" s="8">
        <f>IF($J1823=0,0,ROUND(MAX($J1823*1.4*1.5*1.6*1.6*2.2*2.715*2.6*1.4*1.4*1.5*1.5*3.2,60500000000*(1.654288^(MIN($E1823,123)-117)))*1,0))</f>
        <v>3499211072</v>
      </c>
    </row>
    <row r="1824" ht="27.75" customHeight="1" spans="1:34" x14ac:dyDescent="0.25">
      <c r="A1824" s="3">
        <v>1834</v>
      </c>
      <c r="B1824" s="3" t="s">
        <v>1193</v>
      </c>
      <c r="C1824" s="3" t="s">
        <v>1175</v>
      </c>
      <c r="D1824" s="3" t="s">
        <v>79</v>
      </c>
      <c r="E1824" s="3">
        <v>109</v>
      </c>
      <c r="F1824" s="3" t="s">
        <v>56</v>
      </c>
      <c r="G1824" s="3" t="s">
        <v>98</v>
      </c>
      <c r="H1824" s="3">
        <v>25</v>
      </c>
      <c r="I1824" s="4">
        <v>109</v>
      </c>
      <c r="J1824" s="5">
        <v>2120000</v>
      </c>
      <c r="K1824" s="6">
        <f>$E1824+1</f>
        <v>110</v>
      </c>
      <c r="L1824" s="7">
        <f>IF($J1824=0,0,ROUND(MAX($J1824*1.4,1620000*(1.497923^(MIN($E1824,123)-117)))*1,0))</f>
        <v>2968000</v>
      </c>
      <c r="M1824" s="4">
        <f>$E1824+2</f>
        <v>111</v>
      </c>
      <c r="N1824" s="8">
        <f>IF($J1824=0,0,ROUND(MAX($J1824*1.4*1.5,2190000*(1.580994^(MIN($E1824,123)-117)))*1,0))</f>
        <v>4452000</v>
      </c>
      <c r="O1824" s="6">
        <f>$E1824+4</f>
        <v>113</v>
      </c>
      <c r="P1824" s="7">
        <f>IF($J1824=0,0,ROUND(MAX($J1824*1.4*1.5*1.6,3500000*(1.57975^(MIN($E1824,123)-117)))*1,0))</f>
        <v>7123200</v>
      </c>
      <c r="Q1824" s="4">
        <f>$E1824+6</f>
        <v>115</v>
      </c>
      <c r="R1824" s="8">
        <f>IF($J1824=0,0,ROUND(MAX($J1824*1.4*1.5*1.6*1.6,13100000*(1.429962^(MIN($E1824,123)-117)))*1,0))</f>
        <v>11397120</v>
      </c>
      <c r="S1824" s="6">
        <f>$E1824+8</f>
        <v>117</v>
      </c>
      <c r="T1824" s="7">
        <f>IF($J1824=0,0,ROUND(MAX($J1824*1.4*1.5*1.6*1.6*2.2,42600000*(1.576904^(MIN($E1824,123)-117)))*1,0))</f>
        <v>25073664</v>
      </c>
      <c r="U1824" s="4">
        <f>$E1824+11</f>
        <v>120</v>
      </c>
      <c r="V1824" s="8">
        <f>IF($J1824=0,0,ROUND(MAX($J1824*1.4*1.5*1.6*1.6*2.2*2.715,354000000*(1.642074^(MIN($E1824,123)-117)))*1,0))</f>
        <v>68074998</v>
      </c>
      <c r="W1824" s="6">
        <f>$E1824+15</f>
        <v>124</v>
      </c>
      <c r="X1824" s="7">
        <f>IF($J1824=0,0,ROUND(MAX($J1824*1.4*1.5*1.6*1.6*2.2*2.715*2.6,3540000000*(1.579646^(MIN($E1824,123)-117)))*1,0))</f>
        <v>176994994</v>
      </c>
      <c r="Y1824" s="4">
        <f>$E1824+17</f>
        <v>126</v>
      </c>
      <c r="Z1824" s="8">
        <f>IF($J1824=0,0,ROUND(MAX($J1824*1.4*1.5*1.6*1.6*2.2*2.715*2.6*1.4,6020000000*(1.651178^(MIN($E1824,123)-117)))*1,0))</f>
        <v>247792992</v>
      </c>
      <c r="AA1824" s="6">
        <f>$E1824+19</f>
        <v>128</v>
      </c>
      <c r="AB1824" s="7">
        <f>IF($J1824=0,0,ROUND(MAX($J1824*1.4*1.5*1.6*1.6*2.2*2.715*2.6*1.4*1.4,8430000000*(1.651435^(MIN($E1824,123)-117)))*1,0))</f>
        <v>346910189</v>
      </c>
      <c r="AC1824" s="4">
        <f>$E1824+21</f>
        <v>130</v>
      </c>
      <c r="AD1824" s="8">
        <f>IF($J1824=0,0,ROUND(MAX($J1824*1.4*1.5*1.6*1.6*2.2*2.715*2.6*1.4*1.4*1.5,12600000000*(1.652953^(MIN($E1824,123)-117)))*1,0))</f>
        <v>520365283</v>
      </c>
      <c r="AE1824" s="6">
        <f>$E1824+24</f>
        <v>133</v>
      </c>
      <c r="AF1824" s="7">
        <f>IF($J1824=0,0,ROUND(MAX($J1824*1.4*1.5*1.6*1.6*2.2*2.715*2.6*1.4*1.4*1.5*1.5,18900000000*(1.65331^(MIN($E1824,123)-117)))*1,0))</f>
        <v>780547924</v>
      </c>
      <c r="AG1824" s="4">
        <f>$E1824+27</f>
        <v>136</v>
      </c>
      <c r="AH1824" s="8">
        <f>IF($J1824=0,0,ROUND(MAX($J1824*1.4*1.5*1.6*1.6*2.2*2.715*2.6*1.4*1.4*1.5*1.5*3.2,60500000000*(1.654288^(MIN($E1824,123)-117)))*1,0))</f>
        <v>2497753358</v>
      </c>
    </row>
    <row r="1825" ht="27.75" customHeight="1" spans="1:34" x14ac:dyDescent="0.25">
      <c r="A1825" s="3">
        <v>1835</v>
      </c>
      <c r="B1825" s="3" t="s">
        <v>1194</v>
      </c>
      <c r="C1825" s="3" t="s">
        <v>1175</v>
      </c>
      <c r="D1825" s="3" t="s">
        <v>40</v>
      </c>
      <c r="E1825" s="3">
        <v>109</v>
      </c>
      <c r="F1825" s="3" t="s">
        <v>59</v>
      </c>
      <c r="G1825" s="3" t="s">
        <v>218</v>
      </c>
      <c r="H1825" s="3">
        <v>25</v>
      </c>
      <c r="I1825" s="4">
        <v>109</v>
      </c>
      <c r="J1825" s="5">
        <v>760000</v>
      </c>
      <c r="K1825" s="6">
        <f>$E1825+1</f>
        <v>110</v>
      </c>
      <c r="L1825" s="7">
        <f>IF($J1825=0,0,ROUND(MAX($J1825*1.4,1620000*(1.497923^(MIN($E1825,123)-117)))*1,0))</f>
        <v>1064000</v>
      </c>
      <c r="M1825" s="4">
        <f>$E1825+2</f>
        <v>111</v>
      </c>
      <c r="N1825" s="8">
        <f>IF($J1825=0,0,ROUND(MAX($J1825*1.4*1.5,2190000*(1.580994^(MIN($E1825,123)-117)))*1,0))</f>
        <v>1596000</v>
      </c>
      <c r="O1825" s="6">
        <f>$E1825+4</f>
        <v>113</v>
      </c>
      <c r="P1825" s="7">
        <f>IF($J1825=0,0,ROUND(MAX($J1825*1.4*1.5*1.6,3500000*(1.57975^(MIN($E1825,123)-117)))*1,0))</f>
        <v>2553600</v>
      </c>
      <c r="Q1825" s="4">
        <f>$E1825+6</f>
        <v>115</v>
      </c>
      <c r="R1825" s="8">
        <f>IF($J1825=0,0,ROUND(MAX($J1825*1.4*1.5*1.6*1.6,13100000*(1.429962^(MIN($E1825,123)-117)))*1,0))</f>
        <v>4085760</v>
      </c>
      <c r="S1825" s="6">
        <f>$E1825+8</f>
        <v>117</v>
      </c>
      <c r="T1825" s="7">
        <f>IF($J1825=0,0,ROUND(MAX($J1825*1.4*1.5*1.6*1.6*2.2,42600000*(1.576904^(MIN($E1825,123)-117)))*1,0))</f>
        <v>8988672</v>
      </c>
      <c r="U1825" s="4">
        <f>$E1825+11</f>
        <v>120</v>
      </c>
      <c r="V1825" s="8">
        <f>IF($J1825=0,0,ROUND(MAX($J1825*1.4*1.5*1.6*1.6*2.2*2.715,354000000*(1.642074^(MIN($E1825,123)-117)))*1,0))</f>
        <v>24404244</v>
      </c>
      <c r="W1825" s="6">
        <f>$E1825+15</f>
        <v>124</v>
      </c>
      <c r="X1825" s="7">
        <f>IF($J1825=0,0,ROUND(MAX($J1825*1.4*1.5*1.6*1.6*2.2*2.715*2.6,3540000000*(1.579646^(MIN($E1825,123)-117)))*1,0))</f>
        <v>91311418</v>
      </c>
      <c r="Y1825" s="4">
        <f>$E1825+17</f>
        <v>126</v>
      </c>
      <c r="Z1825" s="8">
        <f>IF($J1825=0,0,ROUND(MAX($J1825*1.4*1.5*1.6*1.6*2.2*2.715*2.6*1.4,6020000000*(1.651178^(MIN($E1825,123)-117)))*1,0))</f>
        <v>108954543</v>
      </c>
      <c r="AA1825" s="6">
        <f>$E1825+19</f>
        <v>128</v>
      </c>
      <c r="AB1825" s="7">
        <f>IF($J1825=0,0,ROUND(MAX($J1825*1.4*1.5*1.6*1.6*2.2*2.715*2.6*1.4*1.4,8430000000*(1.651435^(MIN($E1825,123)-117)))*1,0))</f>
        <v>152382712</v>
      </c>
      <c r="AC1825" s="4">
        <f>$E1825+21</f>
        <v>130</v>
      </c>
      <c r="AD1825" s="8">
        <f>IF($J1825=0,0,ROUND(MAX($J1825*1.4*1.5*1.6*1.6*2.2*2.715*2.6*1.4*1.4*1.5,12600000000*(1.652953^(MIN($E1825,123)-117)))*1,0))</f>
        <v>226092682</v>
      </c>
      <c r="AE1825" s="6">
        <f>$E1825+24</f>
        <v>133</v>
      </c>
      <c r="AF1825" s="7">
        <f>IF($J1825=0,0,ROUND(MAX($J1825*1.4*1.5*1.6*1.6*2.2*2.715*2.6*1.4*1.4*1.5*1.5,18900000000*(1.65331^(MIN($E1825,123)-117)))*1,0))</f>
        <v>338553621</v>
      </c>
      <c r="AG1825" s="4">
        <f>$E1825+27</f>
        <v>136</v>
      </c>
      <c r="AH1825" s="8">
        <f>IF($J1825=0,0,ROUND(MAX($J1825*1.4*1.5*1.6*1.6*2.2*2.715*2.6*1.4*1.4*1.5*1.5*3.2,60500000000*(1.654288^(MIN($E1825,123)-117)))*1,0))</f>
        <v>1078614909</v>
      </c>
    </row>
    <row r="1826" ht="27.75" customHeight="1" spans="1:34" x14ac:dyDescent="0.25">
      <c r="A1826" s="3">
        <v>1836</v>
      </c>
      <c r="B1826" s="3" t="s">
        <v>871</v>
      </c>
      <c r="C1826" s="3" t="s">
        <v>1175</v>
      </c>
      <c r="D1826" s="3" t="s">
        <v>40</v>
      </c>
      <c r="E1826" s="3">
        <v>109</v>
      </c>
      <c r="F1826" s="3" t="s">
        <v>62</v>
      </c>
      <c r="G1826" s="3" t="s">
        <v>106</v>
      </c>
      <c r="H1826" s="3">
        <v>25</v>
      </c>
      <c r="I1826" s="4">
        <v>109</v>
      </c>
      <c r="J1826" s="5">
        <v>221000</v>
      </c>
      <c r="K1826" s="6">
        <f>$E1826+1</f>
        <v>110</v>
      </c>
      <c r="L1826" s="7">
        <f>IF($J1826=0,0,ROUND(MAX($J1826*1.4,1620000*(1.497923^(MIN($E1826,123)-117)))*1,0))</f>
        <v>309400</v>
      </c>
      <c r="M1826" s="4">
        <f>$E1826+2</f>
        <v>111</v>
      </c>
      <c r="N1826" s="8">
        <f>IF($J1826=0,0,ROUND(MAX($J1826*1.4*1.5,2190000*(1.580994^(MIN($E1826,123)-117)))*1,0))</f>
        <v>464100</v>
      </c>
      <c r="O1826" s="6">
        <f>$E1826+4</f>
        <v>113</v>
      </c>
      <c r="P1826" s="7">
        <f>IF($J1826=0,0,ROUND(MAX($J1826*1.4*1.5*1.6,3500000*(1.57975^(MIN($E1826,123)-117)))*1,0))</f>
        <v>742560</v>
      </c>
      <c r="Q1826" s="4">
        <f>$E1826+6</f>
        <v>115</v>
      </c>
      <c r="R1826" s="8">
        <f>IF($J1826=0,0,ROUND(MAX($J1826*1.4*1.5*1.6*1.6,13100000*(1.429962^(MIN($E1826,123)-117)))*1,0))</f>
        <v>1188096</v>
      </c>
      <c r="S1826" s="6">
        <f>$E1826+8</f>
        <v>117</v>
      </c>
      <c r="T1826" s="7">
        <f>IF($J1826=0,0,ROUND(MAX($J1826*1.4*1.5*1.6*1.6*2.2,42600000*(1.576904^(MIN($E1826,123)-117)))*1,0))</f>
        <v>2613811</v>
      </c>
      <c r="U1826" s="4">
        <f>$E1826+11</f>
        <v>120</v>
      </c>
      <c r="V1826" s="8">
        <f>IF($J1826=0,0,ROUND(MAX($J1826*1.4*1.5*1.6*1.6*2.2*2.715,354000000*(1.642074^(MIN($E1826,123)-117)))*1,0))</f>
        <v>7096497</v>
      </c>
      <c r="W1826" s="6">
        <f>$E1826+15</f>
        <v>124</v>
      </c>
      <c r="X1826" s="7">
        <f>IF($J1826=0,0,ROUND(MAX($J1826*1.4*1.5*1.6*1.6*2.2*2.715*2.6,3540000000*(1.579646^(MIN($E1826,123)-117)))*1,0))</f>
        <v>91311418</v>
      </c>
      <c r="Y1826" s="4">
        <f>$E1826+17</f>
        <v>126</v>
      </c>
      <c r="Z1826" s="8">
        <f>IF($J1826=0,0,ROUND(MAX($J1826*1.4*1.5*1.6*1.6*2.2*2.715*2.6*1.4,6020000000*(1.651178^(MIN($E1826,123)-117)))*1,0))</f>
        <v>108954543</v>
      </c>
      <c r="AA1826" s="6">
        <f>$E1826+19</f>
        <v>128</v>
      </c>
      <c r="AB1826" s="7">
        <f>IF($J1826=0,0,ROUND(MAX($J1826*1.4*1.5*1.6*1.6*2.2*2.715*2.6*1.4*1.4,8430000000*(1.651435^(MIN($E1826,123)-117)))*1,0))</f>
        <v>152382712</v>
      </c>
      <c r="AC1826" s="4">
        <f>$E1826+21</f>
        <v>130</v>
      </c>
      <c r="AD1826" s="8">
        <f>IF($J1826=0,0,ROUND(MAX($J1826*1.4*1.5*1.6*1.6*2.2*2.715*2.6*1.4*1.4*1.5,12600000000*(1.652953^(MIN($E1826,123)-117)))*1,0))</f>
        <v>226092682</v>
      </c>
      <c r="AE1826" s="6">
        <f>$E1826+24</f>
        <v>133</v>
      </c>
      <c r="AF1826" s="7">
        <f>IF($J1826=0,0,ROUND(MAX($J1826*1.4*1.5*1.6*1.6*2.2*2.715*2.6*1.4*1.4*1.5*1.5,18900000000*(1.65331^(MIN($E1826,123)-117)))*1,0))</f>
        <v>338553621</v>
      </c>
      <c r="AG1826" s="4">
        <f>$E1826+27</f>
        <v>136</v>
      </c>
      <c r="AH1826" s="8">
        <f>IF($J1826=0,0,ROUND(MAX($J1826*1.4*1.5*1.6*1.6*2.2*2.715*2.6*1.4*1.4*1.5*1.5*3.2,60500000000*(1.654288^(MIN($E1826,123)-117)))*1,0))</f>
        <v>1078614909</v>
      </c>
    </row>
    <row r="1827" ht="27.75" customHeight="1" spans="1:34" x14ac:dyDescent="0.25">
      <c r="A1827" s="3">
        <v>1837</v>
      </c>
      <c r="B1827" s="3" t="s">
        <v>485</v>
      </c>
      <c r="C1827" s="3" t="s">
        <v>1175</v>
      </c>
      <c r="D1827" s="3" t="s">
        <v>33</v>
      </c>
      <c r="E1827" s="3">
        <v>109</v>
      </c>
      <c r="F1827" s="3" t="s">
        <v>30</v>
      </c>
      <c r="G1827" s="3" t="s">
        <v>218</v>
      </c>
      <c r="H1827" s="3">
        <v>25</v>
      </c>
      <c r="I1827" s="4">
        <v>109</v>
      </c>
      <c r="J1827" s="5">
        <v>316000</v>
      </c>
      <c r="K1827" s="6">
        <f>$E1827+1</f>
        <v>110</v>
      </c>
      <c r="L1827" s="7">
        <f>IF($J1827=0,0,ROUND(MAX($J1827*1.4,1620000*(1.497923^(MIN($E1827,123)-117)))*1,0))</f>
        <v>442400</v>
      </c>
      <c r="M1827" s="4">
        <f>$E1827+2</f>
        <v>111</v>
      </c>
      <c r="N1827" s="8">
        <f>IF($J1827=0,0,ROUND(MAX($J1827*1.4*1.5,2190000*(1.580994^(MIN($E1827,123)-117)))*1,0))</f>
        <v>663600</v>
      </c>
      <c r="O1827" s="6">
        <f>$E1827+4</f>
        <v>113</v>
      </c>
      <c r="P1827" s="7">
        <f>IF($J1827=0,0,ROUND(MAX($J1827*1.4*1.5*1.6,3500000*(1.57975^(MIN($E1827,123)-117)))*1,0))</f>
        <v>1061760</v>
      </c>
      <c r="Q1827" s="4">
        <f>$E1827+6</f>
        <v>115</v>
      </c>
      <c r="R1827" s="8">
        <f>IF($J1827=0,0,ROUND(MAX($J1827*1.4*1.5*1.6*1.6,13100000*(1.429962^(MIN($E1827,123)-117)))*1,0))</f>
        <v>1698816</v>
      </c>
      <c r="S1827" s="6">
        <f>$E1827+8</f>
        <v>117</v>
      </c>
      <c r="T1827" s="7">
        <f>IF($J1827=0,0,ROUND(MAX($J1827*1.4*1.5*1.6*1.6*2.2,42600000*(1.576904^(MIN($E1827,123)-117)))*1,0))</f>
        <v>3737395</v>
      </c>
      <c r="U1827" s="4">
        <f>$E1827+11</f>
        <v>120</v>
      </c>
      <c r="V1827" s="8">
        <f>IF($J1827=0,0,ROUND(MAX($J1827*1.4*1.5*1.6*1.6*2.2*2.715,354000000*(1.642074^(MIN($E1827,123)-117)))*1,0))</f>
        <v>10147028</v>
      </c>
      <c r="W1827" s="6">
        <f>$E1827+15</f>
        <v>124</v>
      </c>
      <c r="X1827" s="7">
        <f>IF($J1827=0,0,ROUND(MAX($J1827*1.4*1.5*1.6*1.6*2.2*2.715*2.6,3540000000*(1.579646^(MIN($E1827,123)-117)))*1,0))</f>
        <v>91311418</v>
      </c>
      <c r="Y1827" s="4">
        <f>$E1827+17</f>
        <v>126</v>
      </c>
      <c r="Z1827" s="8">
        <f>IF($J1827=0,0,ROUND(MAX($J1827*1.4*1.5*1.6*1.6*2.2*2.715*2.6*1.4,6020000000*(1.651178^(MIN($E1827,123)-117)))*1,0))</f>
        <v>108954543</v>
      </c>
      <c r="AA1827" s="6">
        <f>$E1827+19</f>
        <v>128</v>
      </c>
      <c r="AB1827" s="7">
        <f>IF($J1827=0,0,ROUND(MAX($J1827*1.4*1.5*1.6*1.6*2.2*2.715*2.6*1.4*1.4,8430000000*(1.651435^(MIN($E1827,123)-117)))*1,0))</f>
        <v>152382712</v>
      </c>
      <c r="AC1827" s="4">
        <f>$E1827+21</f>
        <v>130</v>
      </c>
      <c r="AD1827" s="8">
        <f>IF($J1827=0,0,ROUND(MAX($J1827*1.4*1.5*1.6*1.6*2.2*2.715*2.6*1.4*1.4*1.5,12600000000*(1.652953^(MIN($E1827,123)-117)))*1,0))</f>
        <v>226092682</v>
      </c>
      <c r="AE1827" s="6">
        <f>$E1827+24</f>
        <v>133</v>
      </c>
      <c r="AF1827" s="7">
        <f>IF($J1827=0,0,ROUND(MAX($J1827*1.4*1.5*1.6*1.6*2.2*2.715*2.6*1.4*1.4*1.5*1.5,18900000000*(1.65331^(MIN($E1827,123)-117)))*1,0))</f>
        <v>338553621</v>
      </c>
      <c r="AG1827" s="4">
        <f>$E1827+27</f>
        <v>136</v>
      </c>
      <c r="AH1827" s="8">
        <f>IF($J1827=0,0,ROUND(MAX($J1827*1.4*1.5*1.6*1.6*2.2*2.715*2.6*1.4*1.4*1.5*1.5*3.2,60500000000*(1.654288^(MIN($E1827,123)-117)))*1,0))</f>
        <v>1078614909</v>
      </c>
    </row>
    <row r="1828" ht="27.75" customHeight="1" spans="1:34" x14ac:dyDescent="0.25">
      <c r="A1828" s="3">
        <v>1838</v>
      </c>
      <c r="B1828" s="3" t="s">
        <v>371</v>
      </c>
      <c r="C1828" s="3" t="s">
        <v>1175</v>
      </c>
      <c r="D1828" s="3" t="s">
        <v>33</v>
      </c>
      <c r="E1828" s="3">
        <v>109</v>
      </c>
      <c r="F1828" s="3" t="s">
        <v>71</v>
      </c>
      <c r="G1828" s="3" t="s">
        <v>72</v>
      </c>
      <c r="H1828" s="3">
        <v>24</v>
      </c>
      <c r="I1828" s="4">
        <v>109</v>
      </c>
      <c r="J1828" s="5">
        <v>1500000</v>
      </c>
      <c r="K1828" s="6">
        <f>$E1828+1</f>
        <v>110</v>
      </c>
      <c r="L1828" s="7">
        <f>IF($J1828=0,0,ROUND(MAX($J1828*1.4,1620000*(1.497923^(MIN($E1828,123)-117)))*1,0))</f>
        <v>2100000</v>
      </c>
      <c r="M1828" s="4">
        <f>$E1828+2</f>
        <v>111</v>
      </c>
      <c r="N1828" s="8">
        <f>IF($J1828=0,0,ROUND(MAX($J1828*1.4*1.5,2190000*(1.580994^(MIN($E1828,123)-117)))*1,0))</f>
        <v>3150000</v>
      </c>
      <c r="O1828" s="6">
        <f>$E1828+4</f>
        <v>113</v>
      </c>
      <c r="P1828" s="7">
        <f>IF($J1828=0,0,ROUND(MAX($J1828*1.4*1.5*1.6,3500000*(1.57975^(MIN($E1828,123)-117)))*1,0))</f>
        <v>5040000</v>
      </c>
      <c r="Q1828" s="4">
        <f>$E1828+6</f>
        <v>115</v>
      </c>
      <c r="R1828" s="8">
        <f>IF($J1828=0,0,ROUND(MAX($J1828*1.4*1.5*1.6*1.6,13100000*(1.429962^(MIN($E1828,123)-117)))*1,0))</f>
        <v>8064000</v>
      </c>
      <c r="S1828" s="6">
        <f>$E1828+8</f>
        <v>117</v>
      </c>
      <c r="T1828" s="7">
        <f>IF($J1828=0,0,ROUND(MAX($J1828*1.4*1.5*1.6*1.6*2.2,42600000*(1.576904^(MIN($E1828,123)-117)))*1,0))</f>
        <v>17740800</v>
      </c>
      <c r="U1828" s="4">
        <f>$E1828+11</f>
        <v>120</v>
      </c>
      <c r="V1828" s="8">
        <f>IF($J1828=0,0,ROUND(MAX($J1828*1.4*1.5*1.6*1.6*2.2*2.715,354000000*(1.642074^(MIN($E1828,123)-117)))*1,0))</f>
        <v>48166272</v>
      </c>
      <c r="W1828" s="6">
        <f>$E1828+15</f>
        <v>124</v>
      </c>
      <c r="X1828" s="7">
        <f>IF($J1828=0,0,ROUND(MAX($J1828*1.4*1.5*1.6*1.6*2.2*2.715*2.6,3540000000*(1.579646^(MIN($E1828,123)-117)))*1,0))</f>
        <v>125232307</v>
      </c>
      <c r="Y1828" s="4">
        <f>$E1828+17</f>
        <v>126</v>
      </c>
      <c r="Z1828" s="8">
        <f>IF($J1828=0,0,ROUND(MAX($J1828*1.4*1.5*1.6*1.6*2.2*2.715*2.6*1.4,6020000000*(1.651178^(MIN($E1828,123)-117)))*1,0))</f>
        <v>175325230</v>
      </c>
      <c r="AA1828" s="6">
        <f>$E1828+19</f>
        <v>128</v>
      </c>
      <c r="AB1828" s="7">
        <f>IF($J1828=0,0,ROUND(MAX($J1828*1.4*1.5*1.6*1.6*2.2*2.715*2.6*1.4*1.4,8430000000*(1.651435^(MIN($E1828,123)-117)))*1,0))</f>
        <v>245455322</v>
      </c>
      <c r="AC1828" s="4">
        <f>$E1828+21</f>
        <v>130</v>
      </c>
      <c r="AD1828" s="8">
        <f>IF($J1828=0,0,ROUND(MAX($J1828*1.4*1.5*1.6*1.6*2.2*2.715*2.6*1.4*1.4*1.5,12600000000*(1.652953^(MIN($E1828,123)-117)))*1,0))</f>
        <v>368182983</v>
      </c>
      <c r="AE1828" s="6">
        <f>$E1828+24</f>
        <v>133</v>
      </c>
      <c r="AF1828" s="7">
        <f>IF($J1828=0,0,ROUND(MAX($J1828*1.4*1.5*1.6*1.6*2.2*2.715*2.6*1.4*1.4*1.5*1.5,18900000000*(1.65331^(MIN($E1828,123)-117)))*1,0))</f>
        <v>552274475</v>
      </c>
      <c r="AG1828" s="4">
        <f>$E1828+27</f>
        <v>136</v>
      </c>
      <c r="AH1828" s="8">
        <f>IF($J1828=0,0,ROUND(MAX($J1828*1.4*1.5*1.6*1.6*2.2*2.715*2.6*1.4*1.4*1.5*1.5*3.2,60500000000*(1.654288^(MIN($E1828,123)-117)))*1,0))</f>
        <v>1767278319</v>
      </c>
    </row>
    <row r="1829" ht="27.75" customHeight="1" spans="1:34" x14ac:dyDescent="0.25">
      <c r="A1829" s="3">
        <v>1839</v>
      </c>
      <c r="B1829" s="3" t="s">
        <v>415</v>
      </c>
      <c r="C1829" s="3" t="s">
        <v>1175</v>
      </c>
      <c r="D1829" s="3" t="s">
        <v>102</v>
      </c>
      <c r="E1829" s="3">
        <v>109</v>
      </c>
      <c r="F1829" s="3" t="s">
        <v>412</v>
      </c>
      <c r="G1829" s="3" t="s">
        <v>416</v>
      </c>
      <c r="H1829" s="3">
        <v>24</v>
      </c>
      <c r="I1829" s="4">
        <v>109</v>
      </c>
      <c r="J1829" s="5">
        <v>597000</v>
      </c>
      <c r="K1829" s="6">
        <f>$E1829+1</f>
        <v>110</v>
      </c>
      <c r="L1829" s="7">
        <f>IF($J1829=0,0,ROUND(MAX($J1829*1.4,1620000*(1.497923^(MIN($E1829,123)-117)))*1,0))</f>
        <v>835800</v>
      </c>
      <c r="M1829" s="4">
        <f>$E1829+2</f>
        <v>111</v>
      </c>
      <c r="N1829" s="8">
        <f>IF($J1829=0,0,ROUND(MAX($J1829*1.4*1.5,2190000*(1.580994^(MIN($E1829,123)-117)))*1,0))</f>
        <v>1253700</v>
      </c>
      <c r="O1829" s="6">
        <f>$E1829+4</f>
        <v>113</v>
      </c>
      <c r="P1829" s="7">
        <f>IF($J1829=0,0,ROUND(MAX($J1829*1.4*1.5*1.6,3500000*(1.57975^(MIN($E1829,123)-117)))*1,0))</f>
        <v>2005920</v>
      </c>
      <c r="Q1829" s="4">
        <f>$E1829+6</f>
        <v>115</v>
      </c>
      <c r="R1829" s="8">
        <f>IF($J1829=0,0,ROUND(MAX($J1829*1.4*1.5*1.6*1.6,13100000*(1.429962^(MIN($E1829,123)-117)))*1,0))</f>
        <v>3209472</v>
      </c>
      <c r="S1829" s="6">
        <f>$E1829+8</f>
        <v>117</v>
      </c>
      <c r="T1829" s="7">
        <f>IF($J1829=0,0,ROUND(MAX($J1829*1.4*1.5*1.6*1.6*2.2,42600000*(1.576904^(MIN($E1829,123)-117)))*1,0))</f>
        <v>7060838</v>
      </c>
      <c r="U1829" s="4">
        <f>$E1829+11</f>
        <v>120</v>
      </c>
      <c r="V1829" s="8">
        <f>IF($J1829=0,0,ROUND(MAX($J1829*1.4*1.5*1.6*1.6*2.2*2.715,354000000*(1.642074^(MIN($E1829,123)-117)))*1,0))</f>
        <v>19170176</v>
      </c>
      <c r="W1829" s="6">
        <f>$E1829+15</f>
        <v>124</v>
      </c>
      <c r="X1829" s="7">
        <f>IF($J1829=0,0,ROUND(MAX($J1829*1.4*1.5*1.6*1.6*2.2*2.715*2.6,3540000000*(1.579646^(MIN($E1829,123)-117)))*1,0))</f>
        <v>91311418</v>
      </c>
      <c r="Y1829" s="4">
        <f>$E1829+17</f>
        <v>126</v>
      </c>
      <c r="Z1829" s="8">
        <f>IF($J1829=0,0,ROUND(MAX($J1829*1.4*1.5*1.6*1.6*2.2*2.715*2.6*1.4,6020000000*(1.651178^(MIN($E1829,123)-117)))*1,0))</f>
        <v>108954543</v>
      </c>
      <c r="AA1829" s="6">
        <f>$E1829+19</f>
        <v>128</v>
      </c>
      <c r="AB1829" s="7">
        <f>IF($J1829=0,0,ROUND(MAX($J1829*1.4*1.5*1.6*1.6*2.2*2.715*2.6*1.4*1.4,8430000000*(1.651435^(MIN($E1829,123)-117)))*1,0))</f>
        <v>152382712</v>
      </c>
      <c r="AC1829" s="4">
        <f>$E1829+21</f>
        <v>130</v>
      </c>
      <c r="AD1829" s="8">
        <f>IF($J1829=0,0,ROUND(MAX($J1829*1.4*1.5*1.6*1.6*2.2*2.715*2.6*1.4*1.4*1.5,12600000000*(1.652953^(MIN($E1829,123)-117)))*1,0))</f>
        <v>226092682</v>
      </c>
      <c r="AE1829" s="6">
        <f>$E1829+24</f>
        <v>133</v>
      </c>
      <c r="AF1829" s="7">
        <f>IF($J1829=0,0,ROUND(MAX($J1829*1.4*1.5*1.6*1.6*2.2*2.715*2.6*1.4*1.4*1.5*1.5,18900000000*(1.65331^(MIN($E1829,123)-117)))*1,0))</f>
        <v>338553621</v>
      </c>
      <c r="AG1829" s="4">
        <f>$E1829+27</f>
        <v>136</v>
      </c>
      <c r="AH1829" s="8">
        <f>IF($J1829=0,0,ROUND(MAX($J1829*1.4*1.5*1.6*1.6*2.2*2.715*2.6*1.4*1.4*1.5*1.5*3.2,60500000000*(1.654288^(MIN($E1829,123)-117)))*1,0))</f>
        <v>1078614909</v>
      </c>
    </row>
    <row r="1830" ht="27.75" customHeight="1" spans="1:34" x14ac:dyDescent="0.25">
      <c r="A1830" s="3">
        <v>1840</v>
      </c>
      <c r="B1830" s="3" t="s">
        <v>386</v>
      </c>
      <c r="C1830" s="3" t="s">
        <v>1175</v>
      </c>
      <c r="D1830" s="3" t="s">
        <v>45</v>
      </c>
      <c r="E1830" s="3">
        <v>109</v>
      </c>
      <c r="F1830" s="3" t="s">
        <v>54</v>
      </c>
      <c r="G1830" s="3" t="s">
        <v>218</v>
      </c>
      <c r="H1830" s="3">
        <v>24</v>
      </c>
      <c r="I1830" s="4">
        <v>109</v>
      </c>
      <c r="J1830" s="5">
        <v>485000</v>
      </c>
      <c r="K1830" s="6">
        <f>$E1830+1</f>
        <v>110</v>
      </c>
      <c r="L1830" s="7">
        <f>IF($J1830=0,0,ROUND(MAX($J1830*1.4,1620000*(1.497923^(MIN($E1830,123)-117)))*1,0))</f>
        <v>679000</v>
      </c>
      <c r="M1830" s="4">
        <f>$E1830+2</f>
        <v>111</v>
      </c>
      <c r="N1830" s="8">
        <f>IF($J1830=0,0,ROUND(MAX($J1830*1.4*1.5,2190000*(1.580994^(MIN($E1830,123)-117)))*1,0))</f>
        <v>1018500</v>
      </c>
      <c r="O1830" s="6">
        <f>$E1830+4</f>
        <v>113</v>
      </c>
      <c r="P1830" s="7">
        <f>IF($J1830=0,0,ROUND(MAX($J1830*1.4*1.5*1.6,3500000*(1.57975^(MIN($E1830,123)-117)))*1,0))</f>
        <v>1629600</v>
      </c>
      <c r="Q1830" s="4">
        <f>$E1830+6</f>
        <v>115</v>
      </c>
      <c r="R1830" s="8">
        <f>IF($J1830=0,0,ROUND(MAX($J1830*1.4*1.5*1.6*1.6,13100000*(1.429962^(MIN($E1830,123)-117)))*1,0))</f>
        <v>2607360</v>
      </c>
      <c r="S1830" s="6">
        <f>$E1830+8</f>
        <v>117</v>
      </c>
      <c r="T1830" s="7">
        <f>IF($J1830=0,0,ROUND(MAX($J1830*1.4*1.5*1.6*1.6*2.2,42600000*(1.576904^(MIN($E1830,123)-117)))*1,0))</f>
        <v>5736192</v>
      </c>
      <c r="U1830" s="4">
        <f>$E1830+11</f>
        <v>120</v>
      </c>
      <c r="V1830" s="8">
        <f>IF($J1830=0,0,ROUND(MAX($J1830*1.4*1.5*1.6*1.6*2.2*2.715,354000000*(1.642074^(MIN($E1830,123)-117)))*1,0))</f>
        <v>15573761</v>
      </c>
      <c r="W1830" s="6">
        <f>$E1830+15</f>
        <v>124</v>
      </c>
      <c r="X1830" s="7">
        <f>IF($J1830=0,0,ROUND(MAX($J1830*1.4*1.5*1.6*1.6*2.2*2.715*2.6,3540000000*(1.579646^(MIN($E1830,123)-117)))*1,0))</f>
        <v>91311418</v>
      </c>
      <c r="Y1830" s="4">
        <f>$E1830+17</f>
        <v>126</v>
      </c>
      <c r="Z1830" s="8">
        <f>IF($J1830=0,0,ROUND(MAX($J1830*1.4*1.5*1.6*1.6*2.2*2.715*2.6*1.4,6020000000*(1.651178^(MIN($E1830,123)-117)))*1,0))</f>
        <v>108954543</v>
      </c>
      <c r="AA1830" s="6">
        <f>$E1830+19</f>
        <v>128</v>
      </c>
      <c r="AB1830" s="7">
        <f>IF($J1830=0,0,ROUND(MAX($J1830*1.4*1.5*1.6*1.6*2.2*2.715*2.6*1.4*1.4,8430000000*(1.651435^(MIN($E1830,123)-117)))*1,0))</f>
        <v>152382712</v>
      </c>
      <c r="AC1830" s="4">
        <f>$E1830+21</f>
        <v>130</v>
      </c>
      <c r="AD1830" s="8">
        <f>IF($J1830=0,0,ROUND(MAX($J1830*1.4*1.5*1.6*1.6*2.2*2.715*2.6*1.4*1.4*1.5,12600000000*(1.652953^(MIN($E1830,123)-117)))*1,0))</f>
        <v>226092682</v>
      </c>
      <c r="AE1830" s="6">
        <f>$E1830+24</f>
        <v>133</v>
      </c>
      <c r="AF1830" s="7">
        <f>IF($J1830=0,0,ROUND(MAX($J1830*1.4*1.5*1.6*1.6*2.2*2.715*2.6*1.4*1.4*1.5*1.5,18900000000*(1.65331^(MIN($E1830,123)-117)))*1,0))</f>
        <v>338553621</v>
      </c>
      <c r="AG1830" s="4">
        <f>$E1830+27</f>
        <v>136</v>
      </c>
      <c r="AH1830" s="8">
        <f>IF($J1830=0,0,ROUND(MAX($J1830*1.4*1.5*1.6*1.6*2.2*2.715*2.6*1.4*1.4*1.5*1.5*3.2,60500000000*(1.654288^(MIN($E1830,123)-117)))*1,0))</f>
        <v>1078614909</v>
      </c>
    </row>
    <row r="1831" ht="27.75" customHeight="1" spans="1:34" x14ac:dyDescent="0.25">
      <c r="A1831" s="3">
        <v>1841</v>
      </c>
      <c r="B1831" s="3" t="s">
        <v>1195</v>
      </c>
      <c r="C1831" s="3" t="s">
        <v>1175</v>
      </c>
      <c r="D1831" s="3" t="s">
        <v>75</v>
      </c>
      <c r="E1831" s="3">
        <v>109</v>
      </c>
      <c r="F1831" s="3" t="s">
        <v>56</v>
      </c>
      <c r="G1831" s="3" t="s">
        <v>86</v>
      </c>
      <c r="H1831" s="3">
        <v>24</v>
      </c>
      <c r="I1831" s="4">
        <v>109</v>
      </c>
      <c r="J1831" s="5">
        <v>860000</v>
      </c>
      <c r="K1831" s="6">
        <f>$E1831+1</f>
        <v>110</v>
      </c>
      <c r="L1831" s="7">
        <f>IF($J1831=0,0,ROUND(MAX($J1831*1.4,1620000*(1.497923^(MIN($E1831,123)-117)))*1,0))</f>
        <v>1204000</v>
      </c>
      <c r="M1831" s="4">
        <f>$E1831+2</f>
        <v>111</v>
      </c>
      <c r="N1831" s="8">
        <f>IF($J1831=0,0,ROUND(MAX($J1831*1.4*1.5,2190000*(1.580994^(MIN($E1831,123)-117)))*1,0))</f>
        <v>1806000</v>
      </c>
      <c r="O1831" s="6">
        <f>$E1831+4</f>
        <v>113</v>
      </c>
      <c r="P1831" s="7">
        <f>IF($J1831=0,0,ROUND(MAX($J1831*1.4*1.5*1.6,3500000*(1.57975^(MIN($E1831,123)-117)))*1,0))</f>
        <v>2889600</v>
      </c>
      <c r="Q1831" s="4">
        <f>$E1831+6</f>
        <v>115</v>
      </c>
      <c r="R1831" s="8">
        <f>IF($J1831=0,0,ROUND(MAX($J1831*1.4*1.5*1.6*1.6,13100000*(1.429962^(MIN($E1831,123)-117)))*1,0))</f>
        <v>4623360</v>
      </c>
      <c r="S1831" s="6">
        <f>$E1831+8</f>
        <v>117</v>
      </c>
      <c r="T1831" s="7">
        <f>IF($J1831=0,0,ROUND(MAX($J1831*1.4*1.5*1.6*1.6*2.2,42600000*(1.576904^(MIN($E1831,123)-117)))*1,0))</f>
        <v>10171392</v>
      </c>
      <c r="U1831" s="4">
        <f>$E1831+11</f>
        <v>120</v>
      </c>
      <c r="V1831" s="8">
        <f>IF($J1831=0,0,ROUND(MAX($J1831*1.4*1.5*1.6*1.6*2.2*2.715,354000000*(1.642074^(MIN($E1831,123)-117)))*1,0))</f>
        <v>27615329</v>
      </c>
      <c r="W1831" s="6">
        <f>$E1831+15</f>
        <v>124</v>
      </c>
      <c r="X1831" s="7">
        <f>IF($J1831=0,0,ROUND(MAX($J1831*1.4*1.5*1.6*1.6*2.2*2.715*2.6,3540000000*(1.579646^(MIN($E1831,123)-117)))*1,0))</f>
        <v>91311418</v>
      </c>
      <c r="Y1831" s="4">
        <f>$E1831+17</f>
        <v>126</v>
      </c>
      <c r="Z1831" s="8">
        <f>IF($J1831=0,0,ROUND(MAX($J1831*1.4*1.5*1.6*1.6*2.2*2.715*2.6*1.4,6020000000*(1.651178^(MIN($E1831,123)-117)))*1,0))</f>
        <v>108954543</v>
      </c>
      <c r="AA1831" s="6">
        <f>$E1831+19</f>
        <v>128</v>
      </c>
      <c r="AB1831" s="7">
        <f>IF($J1831=0,0,ROUND(MAX($J1831*1.4*1.5*1.6*1.6*2.2*2.715*2.6*1.4*1.4,8430000000*(1.651435^(MIN($E1831,123)-117)))*1,0))</f>
        <v>152382712</v>
      </c>
      <c r="AC1831" s="4">
        <f>$E1831+21</f>
        <v>130</v>
      </c>
      <c r="AD1831" s="8">
        <f>IF($J1831=0,0,ROUND(MAX($J1831*1.4*1.5*1.6*1.6*2.2*2.715*2.6*1.4*1.4*1.5,12600000000*(1.652953^(MIN($E1831,123)-117)))*1,0))</f>
        <v>226092682</v>
      </c>
      <c r="AE1831" s="6">
        <f>$E1831+24</f>
        <v>133</v>
      </c>
      <c r="AF1831" s="7">
        <f>IF($J1831=0,0,ROUND(MAX($J1831*1.4*1.5*1.6*1.6*2.2*2.715*2.6*1.4*1.4*1.5*1.5,18900000000*(1.65331^(MIN($E1831,123)-117)))*1,0))</f>
        <v>338553621</v>
      </c>
      <c r="AG1831" s="4">
        <f>$E1831+27</f>
        <v>136</v>
      </c>
      <c r="AH1831" s="8">
        <f>IF($J1831=0,0,ROUND(MAX($J1831*1.4*1.5*1.6*1.6*2.2*2.715*2.6*1.4*1.4*1.5*1.5*3.2,60500000000*(1.654288^(MIN($E1831,123)-117)))*1,0))</f>
        <v>1078614909</v>
      </c>
    </row>
    <row r="1832" ht="27.75" customHeight="1" spans="1:34" x14ac:dyDescent="0.25">
      <c r="A1832" s="3">
        <v>1842</v>
      </c>
      <c r="B1832" s="3" t="s">
        <v>1196</v>
      </c>
      <c r="C1832" s="3" t="s">
        <v>1175</v>
      </c>
      <c r="D1832" s="3" t="s">
        <v>33</v>
      </c>
      <c r="E1832" s="3">
        <v>109</v>
      </c>
      <c r="F1832" s="3" t="s">
        <v>62</v>
      </c>
      <c r="G1832" s="3" t="s">
        <v>595</v>
      </c>
      <c r="H1832" s="3">
        <v>24</v>
      </c>
      <c r="I1832" s="4">
        <v>109</v>
      </c>
      <c r="J1832" s="5">
        <v>221000</v>
      </c>
      <c r="K1832" s="6">
        <f>$E1832+1</f>
        <v>110</v>
      </c>
      <c r="L1832" s="7">
        <f>IF($J1832=0,0,ROUND(MAX($J1832*1.4,1620000*(1.497923^(MIN($E1832,123)-117)))*1,0))</f>
        <v>309400</v>
      </c>
      <c r="M1832" s="4">
        <f>$E1832+2</f>
        <v>111</v>
      </c>
      <c r="N1832" s="8">
        <f>IF($J1832=0,0,ROUND(MAX($J1832*1.4*1.5,2190000*(1.580994^(MIN($E1832,123)-117)))*1,0))</f>
        <v>464100</v>
      </c>
      <c r="O1832" s="6">
        <f>$E1832+4</f>
        <v>113</v>
      </c>
      <c r="P1832" s="7">
        <f>IF($J1832=0,0,ROUND(MAX($J1832*1.4*1.5*1.6,3500000*(1.57975^(MIN($E1832,123)-117)))*1,0))</f>
        <v>742560</v>
      </c>
      <c r="Q1832" s="4">
        <f>$E1832+6</f>
        <v>115</v>
      </c>
      <c r="R1832" s="8">
        <f>IF($J1832=0,0,ROUND(MAX($J1832*1.4*1.5*1.6*1.6,13100000*(1.429962^(MIN($E1832,123)-117)))*1,0))</f>
        <v>1188096</v>
      </c>
      <c r="S1832" s="6">
        <f>$E1832+8</f>
        <v>117</v>
      </c>
      <c r="T1832" s="7">
        <f>IF($J1832=0,0,ROUND(MAX($J1832*1.4*1.5*1.6*1.6*2.2,42600000*(1.576904^(MIN($E1832,123)-117)))*1,0))</f>
        <v>2613811</v>
      </c>
      <c r="U1832" s="4">
        <f>$E1832+11</f>
        <v>120</v>
      </c>
      <c r="V1832" s="8">
        <f>IF($J1832=0,0,ROUND(MAX($J1832*1.4*1.5*1.6*1.6*2.2*2.715,354000000*(1.642074^(MIN($E1832,123)-117)))*1,0))</f>
        <v>7096497</v>
      </c>
      <c r="W1832" s="6">
        <f>$E1832+15</f>
        <v>124</v>
      </c>
      <c r="X1832" s="7">
        <f>IF($J1832=0,0,ROUND(MAX($J1832*1.4*1.5*1.6*1.6*2.2*2.715*2.6,3540000000*(1.579646^(MIN($E1832,123)-117)))*1,0))</f>
        <v>91311418</v>
      </c>
      <c r="Y1832" s="4">
        <f>$E1832+17</f>
        <v>126</v>
      </c>
      <c r="Z1832" s="8">
        <f>IF($J1832=0,0,ROUND(MAX($J1832*1.4*1.5*1.6*1.6*2.2*2.715*2.6*1.4,6020000000*(1.651178^(MIN($E1832,123)-117)))*1,0))</f>
        <v>108954543</v>
      </c>
      <c r="AA1832" s="6">
        <f>$E1832+19</f>
        <v>128</v>
      </c>
      <c r="AB1832" s="7">
        <f>IF($J1832=0,0,ROUND(MAX($J1832*1.4*1.5*1.6*1.6*2.2*2.715*2.6*1.4*1.4,8430000000*(1.651435^(MIN($E1832,123)-117)))*1,0))</f>
        <v>152382712</v>
      </c>
      <c r="AC1832" s="4">
        <f>$E1832+21</f>
        <v>130</v>
      </c>
      <c r="AD1832" s="8">
        <f>IF($J1832=0,0,ROUND(MAX($J1832*1.4*1.5*1.6*1.6*2.2*2.715*2.6*1.4*1.4*1.5,12600000000*(1.652953^(MIN($E1832,123)-117)))*1,0))</f>
        <v>226092682</v>
      </c>
      <c r="AE1832" s="6">
        <f>$E1832+24</f>
        <v>133</v>
      </c>
      <c r="AF1832" s="7">
        <f>IF($J1832=0,0,ROUND(MAX($J1832*1.4*1.5*1.6*1.6*2.2*2.715*2.6*1.4*1.4*1.5*1.5,18900000000*(1.65331^(MIN($E1832,123)-117)))*1,0))</f>
        <v>338553621</v>
      </c>
      <c r="AG1832" s="4">
        <f>$E1832+27</f>
        <v>136</v>
      </c>
      <c r="AH1832" s="8">
        <f>IF($J1832=0,0,ROUND(MAX($J1832*1.4*1.5*1.6*1.6*2.2*2.715*2.6*1.4*1.4*1.5*1.5*3.2,60500000000*(1.654288^(MIN($E1832,123)-117)))*1,0))</f>
        <v>1078614909</v>
      </c>
    </row>
    <row r="1833" ht="27.75" customHeight="1" spans="1:34" x14ac:dyDescent="0.25">
      <c r="A1833" s="3">
        <v>1843</v>
      </c>
      <c r="B1833" s="3" t="s">
        <v>1197</v>
      </c>
      <c r="C1833" s="3" t="s">
        <v>1175</v>
      </c>
      <c r="D1833" s="3" t="s">
        <v>33</v>
      </c>
      <c r="E1833" s="3">
        <v>109</v>
      </c>
      <c r="F1833" s="3" t="s">
        <v>56</v>
      </c>
      <c r="G1833" s="3" t="s">
        <v>98</v>
      </c>
      <c r="H1833" s="3">
        <v>24</v>
      </c>
      <c r="I1833" s="4">
        <v>109</v>
      </c>
      <c r="J1833" s="5">
        <v>1210000</v>
      </c>
      <c r="K1833" s="6">
        <f>$E1833+1</f>
        <v>110</v>
      </c>
      <c r="L1833" s="7">
        <f>IF($J1833=0,0,ROUND(MAX($J1833*1.4,1620000*(1.497923^(MIN($E1833,123)-117)))*1,0))</f>
        <v>1694000</v>
      </c>
      <c r="M1833" s="4">
        <f>$E1833+2</f>
        <v>111</v>
      </c>
      <c r="N1833" s="8">
        <f>IF($J1833=0,0,ROUND(MAX($J1833*1.4*1.5,2190000*(1.580994^(MIN($E1833,123)-117)))*1,0))</f>
        <v>2541000</v>
      </c>
      <c r="O1833" s="6">
        <f>$E1833+4</f>
        <v>113</v>
      </c>
      <c r="P1833" s="7">
        <f>IF($J1833=0,0,ROUND(MAX($J1833*1.4*1.5*1.6,3500000*(1.57975^(MIN($E1833,123)-117)))*1,0))</f>
        <v>4065600</v>
      </c>
      <c r="Q1833" s="4">
        <f>$E1833+6</f>
        <v>115</v>
      </c>
      <c r="R1833" s="8">
        <f>IF($J1833=0,0,ROUND(MAX($J1833*1.4*1.5*1.6*1.6,13100000*(1.429962^(MIN($E1833,123)-117)))*1,0))</f>
        <v>6504960</v>
      </c>
      <c r="S1833" s="6">
        <f>$E1833+8</f>
        <v>117</v>
      </c>
      <c r="T1833" s="7">
        <f>IF($J1833=0,0,ROUND(MAX($J1833*1.4*1.5*1.6*1.6*2.2,42600000*(1.576904^(MIN($E1833,123)-117)))*1,0))</f>
        <v>14310912</v>
      </c>
      <c r="U1833" s="4">
        <f>$E1833+11</f>
        <v>120</v>
      </c>
      <c r="V1833" s="8">
        <f>IF($J1833=0,0,ROUND(MAX($J1833*1.4*1.5*1.6*1.6*2.2*2.715,354000000*(1.642074^(MIN($E1833,123)-117)))*1,0))</f>
        <v>38854126</v>
      </c>
      <c r="W1833" s="6">
        <f>$E1833+15</f>
        <v>124</v>
      </c>
      <c r="X1833" s="7">
        <f>IF($J1833=0,0,ROUND(MAX($J1833*1.4*1.5*1.6*1.6*2.2*2.715*2.6,3540000000*(1.579646^(MIN($E1833,123)-117)))*1,0))</f>
        <v>101020728</v>
      </c>
      <c r="Y1833" s="4">
        <f>$E1833+17</f>
        <v>126</v>
      </c>
      <c r="Z1833" s="8">
        <f>IF($J1833=0,0,ROUND(MAX($J1833*1.4*1.5*1.6*1.6*2.2*2.715*2.6*1.4,6020000000*(1.651178^(MIN($E1833,123)-117)))*1,0))</f>
        <v>141429019</v>
      </c>
      <c r="AA1833" s="6">
        <f>$E1833+19</f>
        <v>128</v>
      </c>
      <c r="AB1833" s="7">
        <f>IF($J1833=0,0,ROUND(MAX($J1833*1.4*1.5*1.6*1.6*2.2*2.715*2.6*1.4*1.4,8430000000*(1.651435^(MIN($E1833,123)-117)))*1,0))</f>
        <v>198000627</v>
      </c>
      <c r="AC1833" s="4">
        <f>$E1833+21</f>
        <v>130</v>
      </c>
      <c r="AD1833" s="8">
        <f>IF($J1833=0,0,ROUND(MAX($J1833*1.4*1.5*1.6*1.6*2.2*2.715*2.6*1.4*1.4*1.5,12600000000*(1.652953^(MIN($E1833,123)-117)))*1,0))</f>
        <v>297000940</v>
      </c>
      <c r="AE1833" s="6">
        <f>$E1833+24</f>
        <v>133</v>
      </c>
      <c r="AF1833" s="7">
        <f>IF($J1833=0,0,ROUND(MAX($J1833*1.4*1.5*1.6*1.6*2.2*2.715*2.6*1.4*1.4*1.5*1.5,18900000000*(1.65331^(MIN($E1833,123)-117)))*1,0))</f>
        <v>445501410</v>
      </c>
      <c r="AG1833" s="4">
        <f>$E1833+27</f>
        <v>136</v>
      </c>
      <c r="AH1833" s="8">
        <f>IF($J1833=0,0,ROUND(MAX($J1833*1.4*1.5*1.6*1.6*2.2*2.715*2.6*1.4*1.4*1.5*1.5*3.2,60500000000*(1.654288^(MIN($E1833,123)-117)))*1,0))</f>
        <v>1425604511</v>
      </c>
    </row>
    <row r="1834" ht="27.75" customHeight="1" spans="1:34" x14ac:dyDescent="0.25">
      <c r="A1834" s="3">
        <v>1844</v>
      </c>
      <c r="B1834" s="3" t="s">
        <v>1198</v>
      </c>
      <c r="C1834" s="3" t="s">
        <v>1175</v>
      </c>
      <c r="D1834" s="3" t="s">
        <v>25</v>
      </c>
      <c r="E1834" s="3">
        <v>109</v>
      </c>
      <c r="F1834" s="3" t="s">
        <v>54</v>
      </c>
      <c r="G1834" s="3" t="s">
        <v>351</v>
      </c>
      <c r="H1834" s="3">
        <v>24</v>
      </c>
      <c r="I1834" s="4">
        <v>109</v>
      </c>
      <c r="J1834" s="5">
        <v>545000</v>
      </c>
      <c r="K1834" s="6">
        <f>$E1834+1</f>
        <v>110</v>
      </c>
      <c r="L1834" s="7">
        <f>IF($J1834=0,0,ROUND(MAX($J1834*1.4,1620000*(1.497923^(MIN($E1834,123)-117)))*1,0))</f>
        <v>763000</v>
      </c>
      <c r="M1834" s="4">
        <f>$E1834+2</f>
        <v>111</v>
      </c>
      <c r="N1834" s="8">
        <f>IF($J1834=0,0,ROUND(MAX($J1834*1.4*1.5,2190000*(1.580994^(MIN($E1834,123)-117)))*1,0))</f>
        <v>1144500</v>
      </c>
      <c r="O1834" s="6">
        <f>$E1834+4</f>
        <v>113</v>
      </c>
      <c r="P1834" s="7">
        <f>IF($J1834=0,0,ROUND(MAX($J1834*1.4*1.5*1.6,3500000*(1.57975^(MIN($E1834,123)-117)))*1,0))</f>
        <v>1831200</v>
      </c>
      <c r="Q1834" s="4">
        <f>$E1834+6</f>
        <v>115</v>
      </c>
      <c r="R1834" s="8">
        <f>IF($J1834=0,0,ROUND(MAX($J1834*1.4*1.5*1.6*1.6,13100000*(1.429962^(MIN($E1834,123)-117)))*1,0))</f>
        <v>2929920</v>
      </c>
      <c r="S1834" s="6">
        <f>$E1834+8</f>
        <v>117</v>
      </c>
      <c r="T1834" s="7">
        <f>IF($J1834=0,0,ROUND(MAX($J1834*1.4*1.5*1.6*1.6*2.2,42600000*(1.576904^(MIN($E1834,123)-117)))*1,0))</f>
        <v>6445824</v>
      </c>
      <c r="U1834" s="4">
        <f>$E1834+11</f>
        <v>120</v>
      </c>
      <c r="V1834" s="8">
        <f>IF($J1834=0,0,ROUND(MAX($J1834*1.4*1.5*1.6*1.6*2.2*2.715,354000000*(1.642074^(MIN($E1834,123)-117)))*1,0))</f>
        <v>17500412</v>
      </c>
      <c r="W1834" s="6">
        <f>$E1834+15</f>
        <v>124</v>
      </c>
      <c r="X1834" s="7">
        <f>IF($J1834=0,0,ROUND(MAX($J1834*1.4*1.5*1.6*1.6*2.2*2.715*2.6,3540000000*(1.579646^(MIN($E1834,123)-117)))*1,0))</f>
        <v>91311418</v>
      </c>
      <c r="Y1834" s="4">
        <f>$E1834+17</f>
        <v>126</v>
      </c>
      <c r="Z1834" s="8">
        <f>IF($J1834=0,0,ROUND(MAX($J1834*1.4*1.5*1.6*1.6*2.2*2.715*2.6*1.4,6020000000*(1.651178^(MIN($E1834,123)-117)))*1,0))</f>
        <v>108954543</v>
      </c>
      <c r="AA1834" s="6">
        <f>$E1834+19</f>
        <v>128</v>
      </c>
      <c r="AB1834" s="7">
        <f>IF($J1834=0,0,ROUND(MAX($J1834*1.4*1.5*1.6*1.6*2.2*2.715*2.6*1.4*1.4,8430000000*(1.651435^(MIN($E1834,123)-117)))*1,0))</f>
        <v>152382712</v>
      </c>
      <c r="AC1834" s="4">
        <f>$E1834+21</f>
        <v>130</v>
      </c>
      <c r="AD1834" s="8">
        <f>IF($J1834=0,0,ROUND(MAX($J1834*1.4*1.5*1.6*1.6*2.2*2.715*2.6*1.4*1.4*1.5,12600000000*(1.652953^(MIN($E1834,123)-117)))*1,0))</f>
        <v>226092682</v>
      </c>
      <c r="AE1834" s="6">
        <f>$E1834+24</f>
        <v>133</v>
      </c>
      <c r="AF1834" s="7">
        <f>IF($J1834=0,0,ROUND(MAX($J1834*1.4*1.5*1.6*1.6*2.2*2.715*2.6*1.4*1.4*1.5*1.5,18900000000*(1.65331^(MIN($E1834,123)-117)))*1,0))</f>
        <v>338553621</v>
      </c>
      <c r="AG1834" s="4">
        <f>$E1834+27</f>
        <v>136</v>
      </c>
      <c r="AH1834" s="8">
        <f>IF($J1834=0,0,ROUND(MAX($J1834*1.4*1.5*1.6*1.6*2.2*2.715*2.6*1.4*1.4*1.5*1.5*3.2,60500000000*(1.654288^(MIN($E1834,123)-117)))*1,0))</f>
        <v>1078614909</v>
      </c>
    </row>
    <row r="1835" ht="27.75" customHeight="1" spans="1:34" x14ac:dyDescent="0.25">
      <c r="A1835" s="3">
        <v>1845</v>
      </c>
      <c r="B1835" s="3" t="s">
        <v>278</v>
      </c>
      <c r="C1835" s="3" t="s">
        <v>1175</v>
      </c>
      <c r="D1835" s="3" t="s">
        <v>75</v>
      </c>
      <c r="E1835" s="3">
        <v>109</v>
      </c>
      <c r="F1835" s="3" t="s">
        <v>59</v>
      </c>
      <c r="G1835" s="3" t="s">
        <v>218</v>
      </c>
      <c r="H1835" s="3">
        <v>24</v>
      </c>
      <c r="I1835" s="4">
        <v>109</v>
      </c>
      <c r="J1835" s="5">
        <v>199000</v>
      </c>
      <c r="K1835" s="6">
        <f>$E1835+1</f>
        <v>110</v>
      </c>
      <c r="L1835" s="7">
        <f>IF($J1835=0,0,ROUND(MAX($J1835*1.4,1620000*(1.497923^(MIN($E1835,123)-117)))*1,0))</f>
        <v>278600</v>
      </c>
      <c r="M1835" s="4">
        <f>$E1835+2</f>
        <v>111</v>
      </c>
      <c r="N1835" s="8">
        <f>IF($J1835=0,0,ROUND(MAX($J1835*1.4*1.5,2190000*(1.580994^(MIN($E1835,123)-117)))*1,0))</f>
        <v>417900</v>
      </c>
      <c r="O1835" s="6">
        <f>$E1835+4</f>
        <v>113</v>
      </c>
      <c r="P1835" s="7">
        <f>IF($J1835=0,0,ROUND(MAX($J1835*1.4*1.5*1.6,3500000*(1.57975^(MIN($E1835,123)-117)))*1,0))</f>
        <v>668640</v>
      </c>
      <c r="Q1835" s="4">
        <f>$E1835+6</f>
        <v>115</v>
      </c>
      <c r="R1835" s="8">
        <f>IF($J1835=0,0,ROUND(MAX($J1835*1.4*1.5*1.6*1.6,13100000*(1.429962^(MIN($E1835,123)-117)))*1,0))</f>
        <v>1069824</v>
      </c>
      <c r="S1835" s="6">
        <f>$E1835+8</f>
        <v>117</v>
      </c>
      <c r="T1835" s="7">
        <f>IF($J1835=0,0,ROUND(MAX($J1835*1.4*1.5*1.6*1.6*2.2,42600000*(1.576904^(MIN($E1835,123)-117)))*1,0))</f>
        <v>2353613</v>
      </c>
      <c r="U1835" s="4">
        <f>$E1835+11</f>
        <v>120</v>
      </c>
      <c r="V1835" s="8">
        <f>IF($J1835=0,0,ROUND(MAX($J1835*1.4*1.5*1.6*1.6*2.2*2.715,354000000*(1.642074^(MIN($E1835,123)-117)))*1,0))</f>
        <v>6696710</v>
      </c>
      <c r="W1835" s="6">
        <f>$E1835+15</f>
        <v>124</v>
      </c>
      <c r="X1835" s="7">
        <f>IF($J1835=0,0,ROUND(MAX($J1835*1.4*1.5*1.6*1.6*2.2*2.715*2.6,3540000000*(1.579646^(MIN($E1835,123)-117)))*1,0))</f>
        <v>91311418</v>
      </c>
      <c r="Y1835" s="4">
        <f>$E1835+17</f>
        <v>126</v>
      </c>
      <c r="Z1835" s="8">
        <f>IF($J1835=0,0,ROUND(MAX($J1835*1.4*1.5*1.6*1.6*2.2*2.715*2.6*1.4,6020000000*(1.651178^(MIN($E1835,123)-117)))*1,0))</f>
        <v>108954543</v>
      </c>
      <c r="AA1835" s="6">
        <f>$E1835+19</f>
        <v>128</v>
      </c>
      <c r="AB1835" s="7">
        <f>IF($J1835=0,0,ROUND(MAX($J1835*1.4*1.5*1.6*1.6*2.2*2.715*2.6*1.4*1.4,8430000000*(1.651435^(MIN($E1835,123)-117)))*1,0))</f>
        <v>152382712</v>
      </c>
      <c r="AC1835" s="4">
        <f>$E1835+21</f>
        <v>130</v>
      </c>
      <c r="AD1835" s="8">
        <f>IF($J1835=0,0,ROUND(MAX($J1835*1.4*1.5*1.6*1.6*2.2*2.715*2.6*1.4*1.4*1.5,12600000000*(1.652953^(MIN($E1835,123)-117)))*1,0))</f>
        <v>226092682</v>
      </c>
      <c r="AE1835" s="6">
        <f>$E1835+24</f>
        <v>133</v>
      </c>
      <c r="AF1835" s="7">
        <f>IF($J1835=0,0,ROUND(MAX($J1835*1.4*1.5*1.6*1.6*2.2*2.715*2.6*1.4*1.4*1.5*1.5,18900000000*(1.65331^(MIN($E1835,123)-117)))*1,0))</f>
        <v>338553621</v>
      </c>
      <c r="AG1835" s="4">
        <f>$E1835+27</f>
        <v>136</v>
      </c>
      <c r="AH1835" s="8">
        <f>IF($J1835=0,0,ROUND(MAX($J1835*1.4*1.5*1.6*1.6*2.2*2.715*2.6*1.4*1.4*1.5*1.5*3.2,60500000000*(1.654288^(MIN($E1835,123)-117)))*1,0))</f>
        <v>1078614909</v>
      </c>
    </row>
    <row r="1836" ht="27.75" customHeight="1" spans="1:34" x14ac:dyDescent="0.25">
      <c r="A1836" s="3">
        <v>1846</v>
      </c>
      <c r="B1836" s="3" t="s">
        <v>1199</v>
      </c>
      <c r="C1836" s="3" t="s">
        <v>1175</v>
      </c>
      <c r="D1836" s="3" t="s">
        <v>33</v>
      </c>
      <c r="E1836" s="3">
        <v>109</v>
      </c>
      <c r="F1836" s="3" t="s">
        <v>54</v>
      </c>
      <c r="G1836" s="3" t="s">
        <v>98</v>
      </c>
      <c r="H1836" s="3">
        <v>24</v>
      </c>
      <c r="I1836" s="4">
        <v>109</v>
      </c>
      <c r="J1836" s="5">
        <v>3630000</v>
      </c>
      <c r="K1836" s="6">
        <f>$E1836+1</f>
        <v>110</v>
      </c>
      <c r="L1836" s="7">
        <f>IF($J1836=0,0,ROUND(MAX($J1836*1.4,1620000*(1.497923^(MIN($E1836,123)-117)))*1,0))</f>
        <v>5082000</v>
      </c>
      <c r="M1836" s="4">
        <f>$E1836+2</f>
        <v>111</v>
      </c>
      <c r="N1836" s="8">
        <f>IF($J1836=0,0,ROUND(MAX($J1836*1.4*1.5,2190000*(1.580994^(MIN($E1836,123)-117)))*1,0))</f>
        <v>7623000</v>
      </c>
      <c r="O1836" s="6">
        <f>$E1836+4</f>
        <v>113</v>
      </c>
      <c r="P1836" s="7">
        <f>IF($J1836=0,0,ROUND(MAX($J1836*1.4*1.5*1.6,3500000*(1.57975^(MIN($E1836,123)-117)))*1,0))</f>
        <v>12196800</v>
      </c>
      <c r="Q1836" s="4">
        <f>$E1836+6</f>
        <v>115</v>
      </c>
      <c r="R1836" s="8">
        <f>IF($J1836=0,0,ROUND(MAX($J1836*1.4*1.5*1.6*1.6,13100000*(1.429962^(MIN($E1836,123)-117)))*1,0))</f>
        <v>19514880</v>
      </c>
      <c r="S1836" s="6">
        <f>$E1836+8</f>
        <v>117</v>
      </c>
      <c r="T1836" s="7">
        <f>IF($J1836=0,0,ROUND(MAX($J1836*1.4*1.5*1.6*1.6*2.2,42600000*(1.576904^(MIN($E1836,123)-117)))*1,0))</f>
        <v>42932736</v>
      </c>
      <c r="U1836" s="4">
        <f>$E1836+11</f>
        <v>120</v>
      </c>
      <c r="V1836" s="8">
        <f>IF($J1836=0,0,ROUND(MAX($J1836*1.4*1.5*1.6*1.6*2.2*2.715,354000000*(1.642074^(MIN($E1836,123)-117)))*1,0))</f>
        <v>116562378</v>
      </c>
      <c r="W1836" s="6">
        <f>$E1836+15</f>
        <v>124</v>
      </c>
      <c r="X1836" s="7">
        <f>IF($J1836=0,0,ROUND(MAX($J1836*1.4*1.5*1.6*1.6*2.2*2.715*2.6,3540000000*(1.579646^(MIN($E1836,123)-117)))*1,0))</f>
        <v>303062183</v>
      </c>
      <c r="Y1836" s="4">
        <f>$E1836+17</f>
        <v>126</v>
      </c>
      <c r="Z1836" s="8">
        <f>IF($J1836=0,0,ROUND(MAX($J1836*1.4*1.5*1.6*1.6*2.2*2.715*2.6*1.4,6020000000*(1.651178^(MIN($E1836,123)-117)))*1,0))</f>
        <v>424287057</v>
      </c>
      <c r="AA1836" s="6">
        <f>$E1836+19</f>
        <v>128</v>
      </c>
      <c r="AB1836" s="7">
        <f>IF($J1836=0,0,ROUND(MAX($J1836*1.4*1.5*1.6*1.6*2.2*2.715*2.6*1.4*1.4,8430000000*(1.651435^(MIN($E1836,123)-117)))*1,0))</f>
        <v>594001880</v>
      </c>
      <c r="AC1836" s="4">
        <f>$E1836+21</f>
        <v>130</v>
      </c>
      <c r="AD1836" s="8">
        <f>IF($J1836=0,0,ROUND(MAX($J1836*1.4*1.5*1.6*1.6*2.2*2.715*2.6*1.4*1.4*1.5,12600000000*(1.652953^(MIN($E1836,123)-117)))*1,0))</f>
        <v>891002819</v>
      </c>
      <c r="AE1836" s="6">
        <f>$E1836+24</f>
        <v>133</v>
      </c>
      <c r="AF1836" s="7">
        <f>IF($J1836=0,0,ROUND(MAX($J1836*1.4*1.5*1.6*1.6*2.2*2.715*2.6*1.4*1.4*1.5*1.5,18900000000*(1.65331^(MIN($E1836,123)-117)))*1,0))</f>
        <v>1336504229</v>
      </c>
      <c r="AG1836" s="4">
        <f>$E1836+27</f>
        <v>136</v>
      </c>
      <c r="AH1836" s="8">
        <f>IF($J1836=0,0,ROUND(MAX($J1836*1.4*1.5*1.6*1.6*2.2*2.715*2.6*1.4*1.4*1.5*1.5*3.2,60500000000*(1.654288^(MIN($E1836,123)-117)))*1,0))</f>
        <v>4276813532</v>
      </c>
    </row>
    <row r="1837" ht="27.75" customHeight="1" spans="1:34" x14ac:dyDescent="0.25">
      <c r="A1837" s="3">
        <v>1847</v>
      </c>
      <c r="B1837" s="3" t="s">
        <v>1200</v>
      </c>
      <c r="C1837" s="3" t="s">
        <v>1175</v>
      </c>
      <c r="D1837" s="3" t="s">
        <v>33</v>
      </c>
      <c r="E1837" s="3">
        <v>109</v>
      </c>
      <c r="F1837" s="3" t="s">
        <v>56</v>
      </c>
      <c r="G1837" s="3" t="s">
        <v>586</v>
      </c>
      <c r="H1837" s="3">
        <v>24</v>
      </c>
      <c r="I1837" s="4">
        <v>109</v>
      </c>
      <c r="J1837" s="5">
        <v>221000</v>
      </c>
      <c r="K1837" s="6">
        <f>$E1837+1</f>
        <v>110</v>
      </c>
      <c r="L1837" s="7">
        <f>IF($J1837=0,0,ROUND(MAX($J1837*1.4,1620000*(1.497923^(MIN($E1837,123)-117)))*1,0))</f>
        <v>309400</v>
      </c>
      <c r="M1837" s="4">
        <f>$E1837+2</f>
        <v>111</v>
      </c>
      <c r="N1837" s="8">
        <f>IF($J1837=0,0,ROUND(MAX($J1837*1.4*1.5,2190000*(1.580994^(MIN($E1837,123)-117)))*1,0))</f>
        <v>464100</v>
      </c>
      <c r="O1837" s="6">
        <f>$E1837+4</f>
        <v>113</v>
      </c>
      <c r="P1837" s="7">
        <f>IF($J1837=0,0,ROUND(MAX($J1837*1.4*1.5*1.6,3500000*(1.57975^(MIN($E1837,123)-117)))*1,0))</f>
        <v>742560</v>
      </c>
      <c r="Q1837" s="4">
        <f>$E1837+6</f>
        <v>115</v>
      </c>
      <c r="R1837" s="8">
        <f>IF($J1837=0,0,ROUND(MAX($J1837*1.4*1.5*1.6*1.6,13100000*(1.429962^(MIN($E1837,123)-117)))*1,0))</f>
        <v>1188096</v>
      </c>
      <c r="S1837" s="6">
        <f>$E1837+8</f>
        <v>117</v>
      </c>
      <c r="T1837" s="7">
        <f>IF($J1837=0,0,ROUND(MAX($J1837*1.4*1.5*1.6*1.6*2.2,42600000*(1.576904^(MIN($E1837,123)-117)))*1,0))</f>
        <v>2613811</v>
      </c>
      <c r="U1837" s="4">
        <f>$E1837+11</f>
        <v>120</v>
      </c>
      <c r="V1837" s="8">
        <f>IF($J1837=0,0,ROUND(MAX($J1837*1.4*1.5*1.6*1.6*2.2*2.715,354000000*(1.642074^(MIN($E1837,123)-117)))*1,0))</f>
        <v>7096497</v>
      </c>
      <c r="W1837" s="6">
        <f>$E1837+15</f>
        <v>124</v>
      </c>
      <c r="X1837" s="7">
        <f>IF($J1837=0,0,ROUND(MAX($J1837*1.4*1.5*1.6*1.6*2.2*2.715*2.6,3540000000*(1.579646^(MIN($E1837,123)-117)))*1,0))</f>
        <v>91311418</v>
      </c>
      <c r="Y1837" s="4">
        <f>$E1837+17</f>
        <v>126</v>
      </c>
      <c r="Z1837" s="8">
        <f>IF($J1837=0,0,ROUND(MAX($J1837*1.4*1.5*1.6*1.6*2.2*2.715*2.6*1.4,6020000000*(1.651178^(MIN($E1837,123)-117)))*1,0))</f>
        <v>108954543</v>
      </c>
      <c r="AA1837" s="6">
        <f>$E1837+19</f>
        <v>128</v>
      </c>
      <c r="AB1837" s="7">
        <f>IF($J1837=0,0,ROUND(MAX($J1837*1.4*1.5*1.6*1.6*2.2*2.715*2.6*1.4*1.4,8430000000*(1.651435^(MIN($E1837,123)-117)))*1,0))</f>
        <v>152382712</v>
      </c>
      <c r="AC1837" s="4">
        <f>$E1837+21</f>
        <v>130</v>
      </c>
      <c r="AD1837" s="8">
        <f>IF($J1837=0,0,ROUND(MAX($J1837*1.4*1.5*1.6*1.6*2.2*2.715*2.6*1.4*1.4*1.5,12600000000*(1.652953^(MIN($E1837,123)-117)))*1,0))</f>
        <v>226092682</v>
      </c>
      <c r="AE1837" s="6">
        <f>$E1837+24</f>
        <v>133</v>
      </c>
      <c r="AF1837" s="7">
        <f>IF($J1837=0,0,ROUND(MAX($J1837*1.4*1.5*1.6*1.6*2.2*2.715*2.6*1.4*1.4*1.5*1.5,18900000000*(1.65331^(MIN($E1837,123)-117)))*1,0))</f>
        <v>338553621</v>
      </c>
      <c r="AG1837" s="4">
        <f>$E1837+27</f>
        <v>136</v>
      </c>
      <c r="AH1837" s="8">
        <f>IF($J1837=0,0,ROUND(MAX($J1837*1.4*1.5*1.6*1.6*2.2*2.715*2.6*1.4*1.4*1.5*1.5*3.2,60500000000*(1.654288^(MIN($E1837,123)-117)))*1,0))</f>
        <v>1078614909</v>
      </c>
    </row>
    <row r="1838" ht="27.75" customHeight="1" spans="1:34" x14ac:dyDescent="0.25">
      <c r="A1838" s="3">
        <v>1848</v>
      </c>
      <c r="B1838" s="3" t="s">
        <v>620</v>
      </c>
      <c r="C1838" s="3" t="s">
        <v>1175</v>
      </c>
      <c r="D1838" s="3" t="s">
        <v>45</v>
      </c>
      <c r="E1838" s="3">
        <v>109</v>
      </c>
      <c r="F1838" s="3" t="s">
        <v>42</v>
      </c>
      <c r="G1838" s="3" t="s">
        <v>133</v>
      </c>
      <c r="H1838" s="3">
        <v>24</v>
      </c>
      <c r="I1838" s="4">
        <v>109</v>
      </c>
      <c r="J1838" s="5">
        <v>275000</v>
      </c>
      <c r="K1838" s="6">
        <f>$E1838+1</f>
        <v>110</v>
      </c>
      <c r="L1838" s="7">
        <f>IF($J1838=0,0,ROUND(MAX($J1838*1.4,1620000*(1.497923^(MIN($E1838,123)-117)))*1,0))</f>
        <v>385000</v>
      </c>
      <c r="M1838" s="4">
        <f>$E1838+2</f>
        <v>111</v>
      </c>
      <c r="N1838" s="8">
        <f>IF($J1838=0,0,ROUND(MAX($J1838*1.4*1.5,2190000*(1.580994^(MIN($E1838,123)-117)))*1,0))</f>
        <v>577500</v>
      </c>
      <c r="O1838" s="6">
        <f>$E1838+4</f>
        <v>113</v>
      </c>
      <c r="P1838" s="7">
        <f>IF($J1838=0,0,ROUND(MAX($J1838*1.4*1.5*1.6,3500000*(1.57975^(MIN($E1838,123)-117)))*1,0))</f>
        <v>924000</v>
      </c>
      <c r="Q1838" s="4">
        <f>$E1838+6</f>
        <v>115</v>
      </c>
      <c r="R1838" s="8">
        <f>IF($J1838=0,0,ROUND(MAX($J1838*1.4*1.5*1.6*1.6,13100000*(1.429962^(MIN($E1838,123)-117)))*1,0))</f>
        <v>1478400</v>
      </c>
      <c r="S1838" s="6">
        <f>$E1838+8</f>
        <v>117</v>
      </c>
      <c r="T1838" s="7">
        <f>IF($J1838=0,0,ROUND(MAX($J1838*1.4*1.5*1.6*1.6*2.2,42600000*(1.576904^(MIN($E1838,123)-117)))*1,0))</f>
        <v>3252480</v>
      </c>
      <c r="U1838" s="4">
        <f>$E1838+11</f>
        <v>120</v>
      </c>
      <c r="V1838" s="8">
        <f>IF($J1838=0,0,ROUND(MAX($J1838*1.4*1.5*1.6*1.6*2.2*2.715,354000000*(1.642074^(MIN($E1838,123)-117)))*1,0))</f>
        <v>8830483</v>
      </c>
      <c r="W1838" s="6">
        <f>$E1838+15</f>
        <v>124</v>
      </c>
      <c r="X1838" s="7">
        <f>IF($J1838=0,0,ROUND(MAX($J1838*1.4*1.5*1.6*1.6*2.2*2.715*2.6,3540000000*(1.579646^(MIN($E1838,123)-117)))*1,0))</f>
        <v>91311418</v>
      </c>
      <c r="Y1838" s="4">
        <f>$E1838+17</f>
        <v>126</v>
      </c>
      <c r="Z1838" s="8">
        <f>IF($J1838=0,0,ROUND(MAX($J1838*1.4*1.5*1.6*1.6*2.2*2.715*2.6*1.4,6020000000*(1.651178^(MIN($E1838,123)-117)))*1,0))</f>
        <v>108954543</v>
      </c>
      <c r="AA1838" s="6">
        <f>$E1838+19</f>
        <v>128</v>
      </c>
      <c r="AB1838" s="7">
        <f>IF($J1838=0,0,ROUND(MAX($J1838*1.4*1.5*1.6*1.6*2.2*2.715*2.6*1.4*1.4,8430000000*(1.651435^(MIN($E1838,123)-117)))*1,0))</f>
        <v>152382712</v>
      </c>
      <c r="AC1838" s="4">
        <f>$E1838+21</f>
        <v>130</v>
      </c>
      <c r="AD1838" s="8">
        <f>IF($J1838=0,0,ROUND(MAX($J1838*1.4*1.5*1.6*1.6*2.2*2.715*2.6*1.4*1.4*1.5,12600000000*(1.652953^(MIN($E1838,123)-117)))*1,0))</f>
        <v>226092682</v>
      </c>
      <c r="AE1838" s="6">
        <f>$E1838+24</f>
        <v>133</v>
      </c>
      <c r="AF1838" s="7">
        <f>IF($J1838=0,0,ROUND(MAX($J1838*1.4*1.5*1.6*1.6*2.2*2.715*2.6*1.4*1.4*1.5*1.5,18900000000*(1.65331^(MIN($E1838,123)-117)))*1,0))</f>
        <v>338553621</v>
      </c>
      <c r="AG1838" s="4">
        <f>$E1838+27</f>
        <v>136</v>
      </c>
      <c r="AH1838" s="8">
        <f>IF($J1838=0,0,ROUND(MAX($J1838*1.4*1.5*1.6*1.6*2.2*2.715*2.6*1.4*1.4*1.5*1.5*3.2,60500000000*(1.654288^(MIN($E1838,123)-117)))*1,0))</f>
        <v>1078614909</v>
      </c>
    </row>
    <row r="1839" ht="27.75" customHeight="1" spans="1:34" x14ac:dyDescent="0.25">
      <c r="A1839" s="3">
        <v>1849</v>
      </c>
      <c r="B1839" s="3" t="s">
        <v>248</v>
      </c>
      <c r="C1839" s="3" t="s">
        <v>1175</v>
      </c>
      <c r="D1839" s="3" t="s">
        <v>33</v>
      </c>
      <c r="E1839" s="3">
        <v>109</v>
      </c>
      <c r="F1839" s="3" t="s">
        <v>54</v>
      </c>
      <c r="G1839" s="3" t="s">
        <v>95</v>
      </c>
      <c r="H1839" s="3">
        <v>24</v>
      </c>
      <c r="I1839" s="4">
        <v>109</v>
      </c>
      <c r="J1839" s="5">
        <v>268000</v>
      </c>
      <c r="K1839" s="6">
        <f>$E1839+1</f>
        <v>110</v>
      </c>
      <c r="L1839" s="7">
        <f>IF($J1839=0,0,ROUND(MAX($J1839*1.4,1620000*(1.497923^(MIN($E1839,123)-117)))*1,0))</f>
        <v>375200</v>
      </c>
      <c r="M1839" s="4">
        <f>$E1839+2</f>
        <v>111</v>
      </c>
      <c r="N1839" s="8">
        <f>IF($J1839=0,0,ROUND(MAX($J1839*1.4*1.5,2190000*(1.580994^(MIN($E1839,123)-117)))*1,0))</f>
        <v>562800</v>
      </c>
      <c r="O1839" s="6">
        <f>$E1839+4</f>
        <v>113</v>
      </c>
      <c r="P1839" s="7">
        <f>IF($J1839=0,0,ROUND(MAX($J1839*1.4*1.5*1.6,3500000*(1.57975^(MIN($E1839,123)-117)))*1,0))</f>
        <v>900480</v>
      </c>
      <c r="Q1839" s="4">
        <f>$E1839+6</f>
        <v>115</v>
      </c>
      <c r="R1839" s="8">
        <f>IF($J1839=0,0,ROUND(MAX($J1839*1.4*1.5*1.6*1.6,13100000*(1.429962^(MIN($E1839,123)-117)))*1,0))</f>
        <v>1440768</v>
      </c>
      <c r="S1839" s="6">
        <f>$E1839+8</f>
        <v>117</v>
      </c>
      <c r="T1839" s="7">
        <f>IF($J1839=0,0,ROUND(MAX($J1839*1.4*1.5*1.6*1.6*2.2,42600000*(1.576904^(MIN($E1839,123)-117)))*1,0))</f>
        <v>3169690</v>
      </c>
      <c r="U1839" s="4">
        <f>$E1839+11</f>
        <v>120</v>
      </c>
      <c r="V1839" s="8">
        <f>IF($J1839=0,0,ROUND(MAX($J1839*1.4*1.5*1.6*1.6*2.2*2.715,354000000*(1.642074^(MIN($E1839,123)-117)))*1,0))</f>
        <v>8605707</v>
      </c>
      <c r="W1839" s="6">
        <f>$E1839+15</f>
        <v>124</v>
      </c>
      <c r="X1839" s="7">
        <f>IF($J1839=0,0,ROUND(MAX($J1839*1.4*1.5*1.6*1.6*2.2*2.715*2.6,3540000000*(1.579646^(MIN($E1839,123)-117)))*1,0))</f>
        <v>91311418</v>
      </c>
      <c r="Y1839" s="4">
        <f>$E1839+17</f>
        <v>126</v>
      </c>
      <c r="Z1839" s="8">
        <f>IF($J1839=0,0,ROUND(MAX($J1839*1.4*1.5*1.6*1.6*2.2*2.715*2.6*1.4,6020000000*(1.651178^(MIN($E1839,123)-117)))*1,0))</f>
        <v>108954543</v>
      </c>
      <c r="AA1839" s="6">
        <f>$E1839+19</f>
        <v>128</v>
      </c>
      <c r="AB1839" s="7">
        <f>IF($J1839=0,0,ROUND(MAX($J1839*1.4*1.5*1.6*1.6*2.2*2.715*2.6*1.4*1.4,8430000000*(1.651435^(MIN($E1839,123)-117)))*1,0))</f>
        <v>152382712</v>
      </c>
      <c r="AC1839" s="4">
        <f>$E1839+21</f>
        <v>130</v>
      </c>
      <c r="AD1839" s="8">
        <f>IF($J1839=0,0,ROUND(MAX($J1839*1.4*1.5*1.6*1.6*2.2*2.715*2.6*1.4*1.4*1.5,12600000000*(1.652953^(MIN($E1839,123)-117)))*1,0))</f>
        <v>226092682</v>
      </c>
      <c r="AE1839" s="6">
        <f>$E1839+24</f>
        <v>133</v>
      </c>
      <c r="AF1839" s="7">
        <f>IF($J1839=0,0,ROUND(MAX($J1839*1.4*1.5*1.6*1.6*2.2*2.715*2.6*1.4*1.4*1.5*1.5,18900000000*(1.65331^(MIN($E1839,123)-117)))*1,0))</f>
        <v>338553621</v>
      </c>
      <c r="AG1839" s="4">
        <f>$E1839+27</f>
        <v>136</v>
      </c>
      <c r="AH1839" s="8">
        <f>IF($J1839=0,0,ROUND(MAX($J1839*1.4*1.5*1.6*1.6*2.2*2.715*2.6*1.4*1.4*1.5*1.5*3.2,60500000000*(1.654288^(MIN($E1839,123)-117)))*1,0))</f>
        <v>1078614909</v>
      </c>
    </row>
    <row r="1840" ht="27.75" customHeight="1" spans="1:34" x14ac:dyDescent="0.25">
      <c r="A1840" s="3">
        <v>1850</v>
      </c>
      <c r="B1840" s="3" t="s">
        <v>1201</v>
      </c>
      <c r="C1840" s="3" t="s">
        <v>1175</v>
      </c>
      <c r="D1840" s="3" t="s">
        <v>64</v>
      </c>
      <c r="E1840" s="3">
        <v>109</v>
      </c>
      <c r="F1840" s="3" t="s">
        <v>225</v>
      </c>
      <c r="G1840" s="3" t="s">
        <v>319</v>
      </c>
      <c r="H1840" s="3">
        <v>24</v>
      </c>
      <c r="I1840" s="4">
        <v>109</v>
      </c>
      <c r="J1840" s="5">
        <v>433000</v>
      </c>
      <c r="K1840" s="6">
        <f>$E1840+1</f>
        <v>110</v>
      </c>
      <c r="L1840" s="7">
        <f>IF($J1840=0,0,ROUND(MAX($J1840*1.4,1620000*(1.497923^(MIN($E1840,123)-117)))*1,0))</f>
        <v>606200</v>
      </c>
      <c r="M1840" s="4">
        <f>$E1840+2</f>
        <v>111</v>
      </c>
      <c r="N1840" s="8">
        <f>IF($J1840=0,0,ROUND(MAX($J1840*1.4*1.5,2190000*(1.580994^(MIN($E1840,123)-117)))*1,0))</f>
        <v>909300</v>
      </c>
      <c r="O1840" s="6">
        <f>$E1840+4</f>
        <v>113</v>
      </c>
      <c r="P1840" s="7">
        <f>IF($J1840=0,0,ROUND(MAX($J1840*1.4*1.5*1.6,3500000*(1.57975^(MIN($E1840,123)-117)))*1,0))</f>
        <v>1454880</v>
      </c>
      <c r="Q1840" s="4">
        <f>$E1840+6</f>
        <v>115</v>
      </c>
      <c r="R1840" s="8">
        <f>IF($J1840=0,0,ROUND(MAX($J1840*1.4*1.5*1.6*1.6,13100000*(1.429962^(MIN($E1840,123)-117)))*1,0))</f>
        <v>2327808</v>
      </c>
      <c r="S1840" s="6">
        <f>$E1840+8</f>
        <v>117</v>
      </c>
      <c r="T1840" s="7">
        <f>IF($J1840=0,0,ROUND(MAX($J1840*1.4*1.5*1.6*1.6*2.2,42600000*(1.576904^(MIN($E1840,123)-117)))*1,0))</f>
        <v>5121178</v>
      </c>
      <c r="U1840" s="4">
        <f>$E1840+11</f>
        <v>120</v>
      </c>
      <c r="V1840" s="8">
        <f>IF($J1840=0,0,ROUND(MAX($J1840*1.4*1.5*1.6*1.6*2.2*2.715,354000000*(1.642074^(MIN($E1840,123)-117)))*1,0))</f>
        <v>13903997</v>
      </c>
      <c r="W1840" s="6">
        <f>$E1840+15</f>
        <v>124</v>
      </c>
      <c r="X1840" s="7">
        <f>IF($J1840=0,0,ROUND(MAX($J1840*1.4*1.5*1.6*1.6*2.2*2.715*2.6,3540000000*(1.579646^(MIN($E1840,123)-117)))*1,0))</f>
        <v>91311418</v>
      </c>
      <c r="Y1840" s="4">
        <f>$E1840+17</f>
        <v>126</v>
      </c>
      <c r="Z1840" s="8">
        <f>IF($J1840=0,0,ROUND(MAX($J1840*1.4*1.5*1.6*1.6*2.2*2.715*2.6*1.4,6020000000*(1.651178^(MIN($E1840,123)-117)))*1,0))</f>
        <v>108954543</v>
      </c>
      <c r="AA1840" s="6">
        <f>$E1840+19</f>
        <v>128</v>
      </c>
      <c r="AB1840" s="7">
        <f>IF($J1840=0,0,ROUND(MAX($J1840*1.4*1.5*1.6*1.6*2.2*2.715*2.6*1.4*1.4,8430000000*(1.651435^(MIN($E1840,123)-117)))*1,0))</f>
        <v>152382712</v>
      </c>
      <c r="AC1840" s="4">
        <f>$E1840+21</f>
        <v>130</v>
      </c>
      <c r="AD1840" s="8">
        <f>IF($J1840=0,0,ROUND(MAX($J1840*1.4*1.5*1.6*1.6*2.2*2.715*2.6*1.4*1.4*1.5,12600000000*(1.652953^(MIN($E1840,123)-117)))*1,0))</f>
        <v>226092682</v>
      </c>
      <c r="AE1840" s="6">
        <f>$E1840+24</f>
        <v>133</v>
      </c>
      <c r="AF1840" s="7">
        <f>IF($J1840=0,0,ROUND(MAX($J1840*1.4*1.5*1.6*1.6*2.2*2.715*2.6*1.4*1.4*1.5*1.5,18900000000*(1.65331^(MIN($E1840,123)-117)))*1,0))</f>
        <v>338553621</v>
      </c>
      <c r="AG1840" s="4">
        <f>$E1840+27</f>
        <v>136</v>
      </c>
      <c r="AH1840" s="8">
        <f>IF($J1840=0,0,ROUND(MAX($J1840*1.4*1.5*1.6*1.6*2.2*2.715*2.6*1.4*1.4*1.5*1.5*3.2,60500000000*(1.654288^(MIN($E1840,123)-117)))*1,0))</f>
        <v>1078614909</v>
      </c>
    </row>
    <row r="1841" ht="27.75" customHeight="1" spans="1:34" x14ac:dyDescent="0.25">
      <c r="A1841" s="3">
        <v>1851</v>
      </c>
      <c r="B1841" s="3" t="s">
        <v>846</v>
      </c>
      <c r="C1841" s="3" t="s">
        <v>1175</v>
      </c>
      <c r="D1841" s="3" t="s">
        <v>33</v>
      </c>
      <c r="E1841" s="3">
        <v>109</v>
      </c>
      <c r="F1841" s="3" t="s">
        <v>62</v>
      </c>
      <c r="G1841" s="3" t="s">
        <v>242</v>
      </c>
      <c r="H1841" s="3">
        <v>24</v>
      </c>
      <c r="I1841" s="4">
        <v>109</v>
      </c>
      <c r="J1841" s="5">
        <v>305000</v>
      </c>
      <c r="K1841" s="6">
        <f>$E1841+1</f>
        <v>110</v>
      </c>
      <c r="L1841" s="7">
        <f>IF($J1841=0,0,ROUND(MAX($J1841*1.4,1620000*(1.497923^(MIN($E1841,123)-117)))*1,0))</f>
        <v>427000</v>
      </c>
      <c r="M1841" s="4">
        <f>$E1841+2</f>
        <v>111</v>
      </c>
      <c r="N1841" s="8">
        <f>IF($J1841=0,0,ROUND(MAX($J1841*1.4*1.5,2190000*(1.580994^(MIN($E1841,123)-117)))*1,0))</f>
        <v>640500</v>
      </c>
      <c r="O1841" s="6">
        <f>$E1841+4</f>
        <v>113</v>
      </c>
      <c r="P1841" s="7">
        <f>IF($J1841=0,0,ROUND(MAX($J1841*1.4*1.5*1.6,3500000*(1.57975^(MIN($E1841,123)-117)))*1,0))</f>
        <v>1024800</v>
      </c>
      <c r="Q1841" s="4">
        <f>$E1841+6</f>
        <v>115</v>
      </c>
      <c r="R1841" s="8">
        <f>IF($J1841=0,0,ROUND(MAX($J1841*1.4*1.5*1.6*1.6,13100000*(1.429962^(MIN($E1841,123)-117)))*1,0))</f>
        <v>1639680</v>
      </c>
      <c r="S1841" s="6">
        <f>$E1841+8</f>
        <v>117</v>
      </c>
      <c r="T1841" s="7">
        <f>IF($J1841=0,0,ROUND(MAX($J1841*1.4*1.5*1.6*1.6*2.2,42600000*(1.576904^(MIN($E1841,123)-117)))*1,0))</f>
        <v>3607296</v>
      </c>
      <c r="U1841" s="4">
        <f>$E1841+11</f>
        <v>120</v>
      </c>
      <c r="V1841" s="8">
        <f>IF($J1841=0,0,ROUND(MAX($J1841*1.4*1.5*1.6*1.6*2.2*2.715,354000000*(1.642074^(MIN($E1841,123)-117)))*1,0))</f>
        <v>9793809</v>
      </c>
      <c r="W1841" s="6">
        <f>$E1841+15</f>
        <v>124</v>
      </c>
      <c r="X1841" s="7">
        <f>IF($J1841=0,0,ROUND(MAX($J1841*1.4*1.5*1.6*1.6*2.2*2.715*2.6,3540000000*(1.579646^(MIN($E1841,123)-117)))*1,0))</f>
        <v>91311418</v>
      </c>
      <c r="Y1841" s="4">
        <f>$E1841+17</f>
        <v>126</v>
      </c>
      <c r="Z1841" s="8">
        <f>IF($J1841=0,0,ROUND(MAX($J1841*1.4*1.5*1.6*1.6*2.2*2.715*2.6*1.4,6020000000*(1.651178^(MIN($E1841,123)-117)))*1,0))</f>
        <v>108954543</v>
      </c>
      <c r="AA1841" s="6">
        <f>$E1841+19</f>
        <v>128</v>
      </c>
      <c r="AB1841" s="7">
        <f>IF($J1841=0,0,ROUND(MAX($J1841*1.4*1.5*1.6*1.6*2.2*2.715*2.6*1.4*1.4,8430000000*(1.651435^(MIN($E1841,123)-117)))*1,0))</f>
        <v>152382712</v>
      </c>
      <c r="AC1841" s="4">
        <f>$E1841+21</f>
        <v>130</v>
      </c>
      <c r="AD1841" s="8">
        <f>IF($J1841=0,0,ROUND(MAX($J1841*1.4*1.5*1.6*1.6*2.2*2.715*2.6*1.4*1.4*1.5,12600000000*(1.652953^(MIN($E1841,123)-117)))*1,0))</f>
        <v>226092682</v>
      </c>
      <c r="AE1841" s="6">
        <f>$E1841+24</f>
        <v>133</v>
      </c>
      <c r="AF1841" s="7">
        <f>IF($J1841=0,0,ROUND(MAX($J1841*1.4*1.5*1.6*1.6*2.2*2.715*2.6*1.4*1.4*1.5*1.5,18900000000*(1.65331^(MIN($E1841,123)-117)))*1,0))</f>
        <v>338553621</v>
      </c>
      <c r="AG1841" s="4">
        <f>$E1841+27</f>
        <v>136</v>
      </c>
      <c r="AH1841" s="8">
        <f>IF($J1841=0,0,ROUND(MAX($J1841*1.4*1.5*1.6*1.6*2.2*2.715*2.6*1.4*1.4*1.5*1.5*3.2,60500000000*(1.654288^(MIN($E1841,123)-117)))*1,0))</f>
        <v>1078614909</v>
      </c>
    </row>
    <row r="1842" ht="27.75" customHeight="1" spans="1:34" x14ac:dyDescent="0.25">
      <c r="A1842" s="3">
        <v>1852</v>
      </c>
      <c r="B1842" s="3" t="s">
        <v>1202</v>
      </c>
      <c r="C1842" s="3" t="s">
        <v>1175</v>
      </c>
      <c r="D1842" s="3" t="s">
        <v>40</v>
      </c>
      <c r="E1842" s="3">
        <v>108</v>
      </c>
      <c r="F1842" s="3" t="s">
        <v>962</v>
      </c>
      <c r="G1842" s="3" t="s">
        <v>57</v>
      </c>
      <c r="H1842" s="3">
        <v>25</v>
      </c>
      <c r="I1842" s="4">
        <v>108</v>
      </c>
      <c r="J1842" s="5">
        <v>2590000</v>
      </c>
      <c r="K1842" s="6">
        <f>$E1842+1</f>
        <v>109</v>
      </c>
      <c r="L1842" s="7">
        <f>IF($J1842=0,0,ROUND(MAX($J1842*1.4,1620000*(1.497923^(MIN($E1842,123)-117)))*1,0))</f>
        <v>3626000</v>
      </c>
      <c r="M1842" s="4">
        <f>$E1842+2</f>
        <v>110</v>
      </c>
      <c r="N1842" s="8">
        <f>IF($J1842=0,0,ROUND(MAX($J1842*1.4*1.5,2190000*(1.580994^(MIN($E1842,123)-117)))*1,0))</f>
        <v>5439000</v>
      </c>
      <c r="O1842" s="6">
        <f>$E1842+4</f>
        <v>112</v>
      </c>
      <c r="P1842" s="7">
        <f>IF($J1842=0,0,ROUND(MAX($J1842*1.4*1.5*1.6,3500000*(1.57975^(MIN($E1842,123)-117)))*1,0))</f>
        <v>8702400</v>
      </c>
      <c r="Q1842" s="4">
        <f>$E1842+6</f>
        <v>114</v>
      </c>
      <c r="R1842" s="8">
        <f>IF($J1842=0,0,ROUND(MAX($J1842*1.4*1.5*1.6*1.6,13100000*(1.429962^(MIN($E1842,123)-117)))*1,0))</f>
        <v>13923840</v>
      </c>
      <c r="S1842" s="6">
        <f>$E1842+8</f>
        <v>116</v>
      </c>
      <c r="T1842" s="7">
        <f>IF($J1842=0,0,ROUND(MAX($J1842*1.4*1.5*1.6*1.6*2.2,42600000*(1.576904^(MIN($E1842,123)-117)))*1,0))</f>
        <v>30632448</v>
      </c>
      <c r="U1842" s="4">
        <f>$E1842+11</f>
        <v>119</v>
      </c>
      <c r="V1842" s="8">
        <f>IF($J1842=0,0,ROUND(MAX($J1842*1.4*1.5*1.6*1.6*2.2*2.715,354000000*(1.642074^(MIN($E1842,123)-117)))*1,0))</f>
        <v>83167096</v>
      </c>
      <c r="W1842" s="6">
        <f>$E1842+15</f>
        <v>123</v>
      </c>
      <c r="X1842" s="7">
        <f>IF($J1842=0,0,ROUND(MAX($J1842*1.4*1.5*1.6*1.6*2.2*2.715*2.6,3540000000*(1.579646^(MIN($E1842,123)-117)))*1,0))</f>
        <v>216234450</v>
      </c>
      <c r="Y1842" s="4">
        <f>$E1842+17</f>
        <v>125</v>
      </c>
      <c r="Z1842" s="8">
        <f>IF($J1842=0,0,ROUND(MAX($J1842*1.4*1.5*1.6*1.6*2.2*2.715*2.6*1.4,6020000000*(1.651178^(MIN($E1842,123)-117)))*1,0))</f>
        <v>302728231</v>
      </c>
      <c r="AA1842" s="6">
        <f>$E1842+19</f>
        <v>127</v>
      </c>
      <c r="AB1842" s="7">
        <f>IF($J1842=0,0,ROUND(MAX($J1842*1.4*1.5*1.6*1.6*2.2*2.715*2.6*1.4*1.4,8430000000*(1.651435^(MIN($E1842,123)-117)))*1,0))</f>
        <v>423819523</v>
      </c>
      <c r="AC1842" s="4">
        <f>$E1842+21</f>
        <v>129</v>
      </c>
      <c r="AD1842" s="8">
        <f>IF($J1842=0,0,ROUND(MAX($J1842*1.4*1.5*1.6*1.6*2.2*2.715*2.6*1.4*1.4*1.5,12600000000*(1.652953^(MIN($E1842,123)-117)))*1,0))</f>
        <v>635729284</v>
      </c>
      <c r="AE1842" s="6">
        <f>$E1842+24</f>
        <v>132</v>
      </c>
      <c r="AF1842" s="7">
        <f>IF($J1842=0,0,ROUND(MAX($J1842*1.4*1.5*1.6*1.6*2.2*2.715*2.6*1.4*1.4*1.5*1.5,18900000000*(1.65331^(MIN($E1842,123)-117)))*1,0))</f>
        <v>953593926</v>
      </c>
      <c r="AG1842" s="4">
        <f>$E1842+27</f>
        <v>135</v>
      </c>
      <c r="AH1842" s="8">
        <f>IF($J1842=0,0,ROUND(MAX($J1842*1.4*1.5*1.6*1.6*2.2*2.715*2.6*1.4*1.4*1.5*1.5*3.2,60500000000*(1.654288^(MIN($E1842,123)-117)))*1,0))</f>
        <v>3051500564</v>
      </c>
    </row>
    <row r="1843" ht="27.75" customHeight="1" spans="1:34" x14ac:dyDescent="0.25">
      <c r="A1843" s="3">
        <v>1853</v>
      </c>
      <c r="B1843" s="3" t="s">
        <v>1203</v>
      </c>
      <c r="C1843" s="3" t="s">
        <v>1175</v>
      </c>
      <c r="D1843" s="3" t="s">
        <v>40</v>
      </c>
      <c r="E1843" s="3">
        <v>108</v>
      </c>
      <c r="F1843" s="3" t="s">
        <v>460</v>
      </c>
      <c r="G1843" s="3" t="s">
        <v>67</v>
      </c>
      <c r="H1843" s="3">
        <v>25</v>
      </c>
      <c r="I1843" s="4">
        <v>108</v>
      </c>
      <c r="J1843" s="5">
        <v>220000</v>
      </c>
      <c r="K1843" s="6">
        <f>$E1843+1</f>
        <v>109</v>
      </c>
      <c r="L1843" s="7">
        <f>IF($J1843=0,0,ROUND(MAX($J1843*1.4,1620000*(1.497923^(MIN($E1843,123)-117)))*1,0))</f>
        <v>308000</v>
      </c>
      <c r="M1843" s="4">
        <f>$E1843+2</f>
        <v>110</v>
      </c>
      <c r="N1843" s="8">
        <f>IF($J1843=0,0,ROUND(MAX($J1843*1.4*1.5,2190000*(1.580994^(MIN($E1843,123)-117)))*1,0))</f>
        <v>462000</v>
      </c>
      <c r="O1843" s="6">
        <f>$E1843+4</f>
        <v>112</v>
      </c>
      <c r="P1843" s="7">
        <f>IF($J1843=0,0,ROUND(MAX($J1843*1.4*1.5*1.6,3500000*(1.57975^(MIN($E1843,123)-117)))*1,0))</f>
        <v>739200</v>
      </c>
      <c r="Q1843" s="4">
        <f>$E1843+6</f>
        <v>114</v>
      </c>
      <c r="R1843" s="8">
        <f>IF($J1843=0,0,ROUND(MAX($J1843*1.4*1.5*1.6*1.6,13100000*(1.429962^(MIN($E1843,123)-117)))*1,0))</f>
        <v>1182720</v>
      </c>
      <c r="S1843" s="6">
        <f>$E1843+8</f>
        <v>116</v>
      </c>
      <c r="T1843" s="7">
        <f>IF($J1843=0,0,ROUND(MAX($J1843*1.4*1.5*1.6*1.6*2.2,42600000*(1.576904^(MIN($E1843,123)-117)))*1,0))</f>
        <v>2601984</v>
      </c>
      <c r="U1843" s="4">
        <f>$E1843+11</f>
        <v>119</v>
      </c>
      <c r="V1843" s="8">
        <f>IF($J1843=0,0,ROUND(MAX($J1843*1.4*1.5*1.6*1.6*2.2*2.715,354000000*(1.642074^(MIN($E1843,123)-117)))*1,0))</f>
        <v>7064387</v>
      </c>
      <c r="W1843" s="6">
        <f>$E1843+15</f>
        <v>123</v>
      </c>
      <c r="X1843" s="7">
        <f>IF($J1843=0,0,ROUND(MAX($J1843*1.4*1.5*1.6*1.6*2.2*2.715*2.6,3540000000*(1.579646^(MIN($E1843,123)-117)))*1,0))</f>
        <v>57804988</v>
      </c>
      <c r="Y1843" s="4">
        <f>$E1843+17</f>
        <v>125</v>
      </c>
      <c r="Z1843" s="8">
        <f>IF($J1843=0,0,ROUND(MAX($J1843*1.4*1.5*1.6*1.6*2.2*2.715*2.6*1.4,6020000000*(1.651178^(MIN($E1843,123)-117)))*1,0))</f>
        <v>65985946</v>
      </c>
      <c r="AA1843" s="6">
        <f>$E1843+19</f>
        <v>127</v>
      </c>
      <c r="AB1843" s="7">
        <f>IF($J1843=0,0,ROUND(MAX($J1843*1.4*1.5*1.6*1.6*2.2*2.715*2.6*1.4*1.4,8430000000*(1.651435^(MIN($E1843,123)-117)))*1,0))</f>
        <v>92272909</v>
      </c>
      <c r="AC1843" s="4">
        <f>$E1843+21</f>
        <v>129</v>
      </c>
      <c r="AD1843" s="8">
        <f>IF($J1843=0,0,ROUND(MAX($J1843*1.4*1.5*1.6*1.6*2.2*2.715*2.6*1.4*1.4*1.5,12600000000*(1.652953^(MIN($E1843,123)-117)))*1,0))</f>
        <v>136781071</v>
      </c>
      <c r="AE1843" s="6">
        <f>$E1843+24</f>
        <v>132</v>
      </c>
      <c r="AF1843" s="7">
        <f>IF($J1843=0,0,ROUND(MAX($J1843*1.4*1.5*1.6*1.6*2.2*2.715*2.6*1.4*1.4*1.5*1.5,18900000000*(1.65331^(MIN($E1843,123)-117)))*1,0))</f>
        <v>204773225</v>
      </c>
      <c r="AG1843" s="4">
        <f>$E1843+27</f>
        <v>135</v>
      </c>
      <c r="AH1843" s="8">
        <f>IF($J1843=0,0,ROUND(MAX($J1843*1.4*1.5*1.6*1.6*2.2*2.715*2.6*1.4*1.4*1.5*1.5*3.2,60500000000*(1.654288^(MIN($E1843,123)-117)))*1,0))</f>
        <v>652011566</v>
      </c>
    </row>
    <row r="1844" ht="27.75" customHeight="1" spans="1:34" x14ac:dyDescent="0.25">
      <c r="A1844" s="3">
        <v>1854</v>
      </c>
      <c r="B1844" s="3" t="s">
        <v>1204</v>
      </c>
      <c r="C1844" s="3" t="s">
        <v>1175</v>
      </c>
      <c r="D1844" s="3" t="s">
        <v>79</v>
      </c>
      <c r="E1844" s="3">
        <v>108</v>
      </c>
      <c r="F1844" s="3" t="s">
        <v>310</v>
      </c>
      <c r="G1844" s="3" t="s">
        <v>213</v>
      </c>
      <c r="H1844" s="3">
        <v>25</v>
      </c>
      <c r="I1844" s="4">
        <v>108</v>
      </c>
      <c r="J1844" s="5">
        <v>2010000</v>
      </c>
      <c r="K1844" s="6">
        <f>$E1844+1</f>
        <v>109</v>
      </c>
      <c r="L1844" s="7">
        <f>IF($J1844=0,0,ROUND(MAX($J1844*1.4,1620000*(1.497923^(MIN($E1844,123)-117)))*1,0))</f>
        <v>2814000</v>
      </c>
      <c r="M1844" s="4">
        <f>$E1844+2</f>
        <v>110</v>
      </c>
      <c r="N1844" s="8">
        <f>IF($J1844=0,0,ROUND(MAX($J1844*1.4*1.5,2190000*(1.580994^(MIN($E1844,123)-117)))*1,0))</f>
        <v>4221000</v>
      </c>
      <c r="O1844" s="6">
        <f>$E1844+4</f>
        <v>112</v>
      </c>
      <c r="P1844" s="7">
        <f>IF($J1844=0,0,ROUND(MAX($J1844*1.4*1.5*1.6,3500000*(1.57975^(MIN($E1844,123)-117)))*1,0))</f>
        <v>6753600</v>
      </c>
      <c r="Q1844" s="4">
        <f>$E1844+6</f>
        <v>114</v>
      </c>
      <c r="R1844" s="8">
        <f>IF($J1844=0,0,ROUND(MAX($J1844*1.4*1.5*1.6*1.6,13100000*(1.429962^(MIN($E1844,123)-117)))*1,0))</f>
        <v>10805760</v>
      </c>
      <c r="S1844" s="6">
        <f>$E1844+8</f>
        <v>116</v>
      </c>
      <c r="T1844" s="7">
        <f>IF($J1844=0,0,ROUND(MAX($J1844*1.4*1.5*1.6*1.6*2.2,42600000*(1.576904^(MIN($E1844,123)-117)))*1,0))</f>
        <v>23772672</v>
      </c>
      <c r="U1844" s="4">
        <f>$E1844+11</f>
        <v>119</v>
      </c>
      <c r="V1844" s="8">
        <f>IF($J1844=0,0,ROUND(MAX($J1844*1.4*1.5*1.6*1.6*2.2*2.715,354000000*(1.642074^(MIN($E1844,123)-117)))*1,0))</f>
        <v>64542804</v>
      </c>
      <c r="W1844" s="6">
        <f>$E1844+15</f>
        <v>123</v>
      </c>
      <c r="X1844" s="7">
        <f>IF($J1844=0,0,ROUND(MAX($J1844*1.4*1.5*1.6*1.6*2.2*2.715*2.6,3540000000*(1.579646^(MIN($E1844,123)-117)))*1,0))</f>
        <v>167811292</v>
      </c>
      <c r="Y1844" s="4">
        <f>$E1844+17</f>
        <v>125</v>
      </c>
      <c r="Z1844" s="8">
        <f>IF($J1844=0,0,ROUND(MAX($J1844*1.4*1.5*1.6*1.6*2.2*2.715*2.6*1.4,6020000000*(1.651178^(MIN($E1844,123)-117)))*1,0))</f>
        <v>234935808</v>
      </c>
      <c r="AA1844" s="6">
        <f>$E1844+19</f>
        <v>127</v>
      </c>
      <c r="AB1844" s="7">
        <f>IF($J1844=0,0,ROUND(MAX($J1844*1.4*1.5*1.6*1.6*2.2*2.715*2.6*1.4*1.4,8430000000*(1.651435^(MIN($E1844,123)-117)))*1,0))</f>
        <v>328910132</v>
      </c>
      <c r="AC1844" s="4">
        <f>$E1844+21</f>
        <v>129</v>
      </c>
      <c r="AD1844" s="8">
        <f>IF($J1844=0,0,ROUND(MAX($J1844*1.4*1.5*1.6*1.6*2.2*2.715*2.6*1.4*1.4*1.5,12600000000*(1.652953^(MIN($E1844,123)-117)))*1,0))</f>
        <v>493365197</v>
      </c>
      <c r="AE1844" s="6">
        <f>$E1844+24</f>
        <v>132</v>
      </c>
      <c r="AF1844" s="7">
        <f>IF($J1844=0,0,ROUND(MAX($J1844*1.4*1.5*1.6*1.6*2.2*2.715*2.6*1.4*1.4*1.5*1.5,18900000000*(1.65331^(MIN($E1844,123)-117)))*1,0))</f>
        <v>740047796</v>
      </c>
      <c r="AG1844" s="4">
        <f>$E1844+27</f>
        <v>135</v>
      </c>
      <c r="AH1844" s="8">
        <f>IF($J1844=0,0,ROUND(MAX($J1844*1.4*1.5*1.6*1.6*2.2*2.715*2.6*1.4*1.4*1.5*1.5*3.2,60500000000*(1.654288^(MIN($E1844,123)-117)))*1,0))</f>
        <v>2368152948</v>
      </c>
    </row>
    <row r="1845" ht="27.75" customHeight="1" spans="1:34" x14ac:dyDescent="0.25">
      <c r="A1845" s="3">
        <v>1855</v>
      </c>
      <c r="B1845" s="3" t="s">
        <v>1205</v>
      </c>
      <c r="C1845" s="3" t="s">
        <v>1175</v>
      </c>
      <c r="D1845" s="3" t="s">
        <v>45</v>
      </c>
      <c r="E1845" s="3">
        <v>108</v>
      </c>
      <c r="F1845" s="3" t="s">
        <v>1206</v>
      </c>
      <c r="G1845" s="3" t="s">
        <v>1176</v>
      </c>
      <c r="H1845" s="3">
        <v>25</v>
      </c>
      <c r="I1845" s="4">
        <v>108</v>
      </c>
      <c r="J1845" s="5">
        <v>253000</v>
      </c>
      <c r="K1845" s="6">
        <f>$E1845+1</f>
        <v>109</v>
      </c>
      <c r="L1845" s="7">
        <f>IF($J1845=0,0,ROUND(MAX($J1845*1.4,1620000*(1.497923^(MIN($E1845,123)-117)))*1,0))</f>
        <v>354200</v>
      </c>
      <c r="M1845" s="4">
        <f>$E1845+2</f>
        <v>110</v>
      </c>
      <c r="N1845" s="8">
        <f>IF($J1845=0,0,ROUND(MAX($J1845*1.4*1.5,2190000*(1.580994^(MIN($E1845,123)-117)))*1,0))</f>
        <v>531300</v>
      </c>
      <c r="O1845" s="6">
        <f>$E1845+4</f>
        <v>112</v>
      </c>
      <c r="P1845" s="7">
        <f>IF($J1845=0,0,ROUND(MAX($J1845*1.4*1.5*1.6,3500000*(1.57975^(MIN($E1845,123)-117)))*1,0))</f>
        <v>850080</v>
      </c>
      <c r="Q1845" s="4">
        <f>$E1845+6</f>
        <v>114</v>
      </c>
      <c r="R1845" s="8">
        <f>IF($J1845=0,0,ROUND(MAX($J1845*1.4*1.5*1.6*1.6,13100000*(1.429962^(MIN($E1845,123)-117)))*1,0))</f>
        <v>1360128</v>
      </c>
      <c r="S1845" s="6">
        <f>$E1845+8</f>
        <v>116</v>
      </c>
      <c r="T1845" s="7">
        <f>IF($J1845=0,0,ROUND(MAX($J1845*1.4*1.5*1.6*1.6*2.2,42600000*(1.576904^(MIN($E1845,123)-117)))*1,0))</f>
        <v>2992282</v>
      </c>
      <c r="U1845" s="4">
        <f>$E1845+11</f>
        <v>119</v>
      </c>
      <c r="V1845" s="8">
        <f>IF($J1845=0,0,ROUND(MAX($J1845*1.4*1.5*1.6*1.6*2.2*2.715,354000000*(1.642074^(MIN($E1845,123)-117)))*1,0))</f>
        <v>8124045</v>
      </c>
      <c r="W1845" s="6">
        <f>$E1845+15</f>
        <v>123</v>
      </c>
      <c r="X1845" s="7">
        <f>IF($J1845=0,0,ROUND(MAX($J1845*1.4*1.5*1.6*1.6*2.2*2.715*2.6,3540000000*(1.579646^(MIN($E1845,123)-117)))*1,0))</f>
        <v>57804988</v>
      </c>
      <c r="Y1845" s="4">
        <f>$E1845+17</f>
        <v>125</v>
      </c>
      <c r="Z1845" s="8">
        <f>IF($J1845=0,0,ROUND(MAX($J1845*1.4*1.5*1.6*1.6*2.2*2.715*2.6*1.4,6020000000*(1.651178^(MIN($E1845,123)-117)))*1,0))</f>
        <v>65985946</v>
      </c>
      <c r="AA1845" s="6">
        <f>$E1845+19</f>
        <v>127</v>
      </c>
      <c r="AB1845" s="7">
        <f>IF($J1845=0,0,ROUND(MAX($J1845*1.4*1.5*1.6*1.6*2.2*2.715*2.6*1.4*1.4,8430000000*(1.651435^(MIN($E1845,123)-117)))*1,0))</f>
        <v>92272909</v>
      </c>
      <c r="AC1845" s="4">
        <f>$E1845+21</f>
        <v>129</v>
      </c>
      <c r="AD1845" s="8">
        <f>IF($J1845=0,0,ROUND(MAX($J1845*1.4*1.5*1.6*1.6*2.2*2.715*2.6*1.4*1.4*1.5,12600000000*(1.652953^(MIN($E1845,123)-117)))*1,0))</f>
        <v>136781071</v>
      </c>
      <c r="AE1845" s="6">
        <f>$E1845+24</f>
        <v>132</v>
      </c>
      <c r="AF1845" s="7">
        <f>IF($J1845=0,0,ROUND(MAX($J1845*1.4*1.5*1.6*1.6*2.2*2.715*2.6*1.4*1.4*1.5*1.5,18900000000*(1.65331^(MIN($E1845,123)-117)))*1,0))</f>
        <v>204773225</v>
      </c>
      <c r="AG1845" s="4">
        <f>$E1845+27</f>
        <v>135</v>
      </c>
      <c r="AH1845" s="8">
        <f>IF($J1845=0,0,ROUND(MAX($J1845*1.4*1.5*1.6*1.6*2.2*2.715*2.6*1.4*1.4*1.5*1.5*3.2,60500000000*(1.654288^(MIN($E1845,123)-117)))*1,0))</f>
        <v>652011566</v>
      </c>
    </row>
    <row r="1846" ht="27.75" customHeight="1" spans="1:34" x14ac:dyDescent="0.25">
      <c r="A1846" s="3">
        <v>1856</v>
      </c>
      <c r="B1846" s="3" t="s">
        <v>1207</v>
      </c>
      <c r="C1846" s="3" t="s">
        <v>1175</v>
      </c>
      <c r="D1846" s="3" t="s">
        <v>102</v>
      </c>
      <c r="E1846" s="3">
        <v>108</v>
      </c>
      <c r="F1846" s="3" t="s">
        <v>116</v>
      </c>
      <c r="G1846" s="3" t="s">
        <v>402</v>
      </c>
      <c r="H1846" s="3">
        <v>24</v>
      </c>
      <c r="I1846" s="4">
        <v>108</v>
      </c>
      <c r="J1846" s="5">
        <v>1730000</v>
      </c>
      <c r="K1846" s="6">
        <f>$E1846+1</f>
        <v>109</v>
      </c>
      <c r="L1846" s="7">
        <f>IF($J1846=0,0,ROUND(MAX($J1846*1.4,1620000*(1.497923^(MIN($E1846,123)-117)))*1,0))</f>
        <v>2422000</v>
      </c>
      <c r="M1846" s="4">
        <f>$E1846+2</f>
        <v>110</v>
      </c>
      <c r="N1846" s="8">
        <f>IF($J1846=0,0,ROUND(MAX($J1846*1.4*1.5,2190000*(1.580994^(MIN($E1846,123)-117)))*1,0))</f>
        <v>3633000</v>
      </c>
      <c r="O1846" s="6">
        <f>$E1846+4</f>
        <v>112</v>
      </c>
      <c r="P1846" s="7">
        <f>IF($J1846=0,0,ROUND(MAX($J1846*1.4*1.5*1.6,3500000*(1.57975^(MIN($E1846,123)-117)))*1,0))</f>
        <v>5812800</v>
      </c>
      <c r="Q1846" s="4">
        <f>$E1846+6</f>
        <v>114</v>
      </c>
      <c r="R1846" s="8">
        <f>IF($J1846=0,0,ROUND(MAX($J1846*1.4*1.5*1.6*1.6,13100000*(1.429962^(MIN($E1846,123)-117)))*1,0))</f>
        <v>9300480</v>
      </c>
      <c r="S1846" s="6">
        <f>$E1846+8</f>
        <v>116</v>
      </c>
      <c r="T1846" s="7">
        <f>IF($J1846=0,0,ROUND(MAX($J1846*1.4*1.5*1.6*1.6*2.2,42600000*(1.576904^(MIN($E1846,123)-117)))*1,0))</f>
        <v>20461056</v>
      </c>
      <c r="U1846" s="4">
        <f>$E1846+11</f>
        <v>119</v>
      </c>
      <c r="V1846" s="8">
        <f>IF($J1846=0,0,ROUND(MAX($J1846*1.4*1.5*1.6*1.6*2.2*2.715,354000000*(1.642074^(MIN($E1846,123)-117)))*1,0))</f>
        <v>55551767</v>
      </c>
      <c r="W1846" s="6">
        <f>$E1846+15</f>
        <v>123</v>
      </c>
      <c r="X1846" s="7">
        <f>IF($J1846=0,0,ROUND(MAX($J1846*1.4*1.5*1.6*1.6*2.2*2.715*2.6,3540000000*(1.579646^(MIN($E1846,123)-117)))*1,0))</f>
        <v>144434594</v>
      </c>
      <c r="Y1846" s="4">
        <f>$E1846+17</f>
        <v>125</v>
      </c>
      <c r="Z1846" s="8">
        <f>IF($J1846=0,0,ROUND(MAX($J1846*1.4*1.5*1.6*1.6*2.2*2.715*2.6*1.4,6020000000*(1.651178^(MIN($E1846,123)-117)))*1,0))</f>
        <v>202208432</v>
      </c>
      <c r="AA1846" s="6">
        <f>$E1846+19</f>
        <v>127</v>
      </c>
      <c r="AB1846" s="7">
        <f>IF($J1846=0,0,ROUND(MAX($J1846*1.4*1.5*1.6*1.6*2.2*2.715*2.6*1.4*1.4,8430000000*(1.651435^(MIN($E1846,123)-117)))*1,0))</f>
        <v>283091805</v>
      </c>
      <c r="AC1846" s="4">
        <f>$E1846+21</f>
        <v>129</v>
      </c>
      <c r="AD1846" s="8">
        <f>IF($J1846=0,0,ROUND(MAX($J1846*1.4*1.5*1.6*1.6*2.2*2.715*2.6*1.4*1.4*1.5,12600000000*(1.652953^(MIN($E1846,123)-117)))*1,0))</f>
        <v>424637707</v>
      </c>
      <c r="AE1846" s="6">
        <f>$E1846+24</f>
        <v>132</v>
      </c>
      <c r="AF1846" s="7">
        <f>IF($J1846=0,0,ROUND(MAX($J1846*1.4*1.5*1.6*1.6*2.2*2.715*2.6*1.4*1.4*1.5*1.5,18900000000*(1.65331^(MIN($E1846,123)-117)))*1,0))</f>
        <v>636956561</v>
      </c>
      <c r="AG1846" s="4">
        <f>$E1846+27</f>
        <v>135</v>
      </c>
      <c r="AH1846" s="8">
        <f>IF($J1846=0,0,ROUND(MAX($J1846*1.4*1.5*1.6*1.6*2.2*2.715*2.6*1.4*1.4*1.5*1.5*3.2,60500000000*(1.654288^(MIN($E1846,123)-117)))*1,0))</f>
        <v>2038260995</v>
      </c>
    </row>
    <row r="1847" ht="27.75" customHeight="1" spans="1:34" x14ac:dyDescent="0.25">
      <c r="A1847" s="3">
        <v>1857</v>
      </c>
      <c r="B1847" s="3" t="s">
        <v>1208</v>
      </c>
      <c r="C1847" s="3" t="s">
        <v>1175</v>
      </c>
      <c r="D1847" s="3" t="s">
        <v>102</v>
      </c>
      <c r="E1847" s="3">
        <v>108</v>
      </c>
      <c r="F1847" s="3" t="s">
        <v>56</v>
      </c>
      <c r="G1847" s="3" t="s">
        <v>57</v>
      </c>
      <c r="H1847" s="3">
        <v>24</v>
      </c>
      <c r="I1847" s="4">
        <v>108</v>
      </c>
      <c r="J1847" s="5">
        <v>98000</v>
      </c>
      <c r="K1847" s="6">
        <f>$E1847+1</f>
        <v>109</v>
      </c>
      <c r="L1847" s="7">
        <f>IF($J1847=0,0,ROUND(MAX($J1847*1.4,1620000*(1.497923^(MIN($E1847,123)-117)))*1,0))</f>
        <v>137200</v>
      </c>
      <c r="M1847" s="4">
        <f>$E1847+2</f>
        <v>110</v>
      </c>
      <c r="N1847" s="8">
        <f>IF($J1847=0,0,ROUND(MAX($J1847*1.4*1.5,2190000*(1.580994^(MIN($E1847,123)-117)))*1,0))</f>
        <v>205800</v>
      </c>
      <c r="O1847" s="6">
        <f>$E1847+4</f>
        <v>112</v>
      </c>
      <c r="P1847" s="7">
        <f>IF($J1847=0,0,ROUND(MAX($J1847*1.4*1.5*1.6,3500000*(1.57975^(MIN($E1847,123)-117)))*1,0))</f>
        <v>329280</v>
      </c>
      <c r="Q1847" s="4">
        <f>$E1847+6</f>
        <v>114</v>
      </c>
      <c r="R1847" s="8">
        <f>IF($J1847=0,0,ROUND(MAX($J1847*1.4*1.5*1.6*1.6,13100000*(1.429962^(MIN($E1847,123)-117)))*1,0))</f>
        <v>526848</v>
      </c>
      <c r="S1847" s="6">
        <f>$E1847+8</f>
        <v>116</v>
      </c>
      <c r="T1847" s="7">
        <f>IF($J1847=0,0,ROUND(MAX($J1847*1.4*1.5*1.6*1.6*2.2,42600000*(1.576904^(MIN($E1847,123)-117)))*1,0))</f>
        <v>1159066</v>
      </c>
      <c r="U1847" s="4">
        <f>$E1847+11</f>
        <v>119</v>
      </c>
      <c r="V1847" s="8">
        <f>IF($J1847=0,0,ROUND(MAX($J1847*1.4*1.5*1.6*1.6*2.2*2.715,354000000*(1.642074^(MIN($E1847,123)-117)))*1,0))</f>
        <v>4078202</v>
      </c>
      <c r="W1847" s="6">
        <f>$E1847+15</f>
        <v>123</v>
      </c>
      <c r="X1847" s="7">
        <f>IF($J1847=0,0,ROUND(MAX($J1847*1.4*1.5*1.6*1.6*2.2*2.715*2.6,3540000000*(1.579646^(MIN($E1847,123)-117)))*1,0))</f>
        <v>57804988</v>
      </c>
      <c r="Y1847" s="4">
        <f>$E1847+17</f>
        <v>125</v>
      </c>
      <c r="Z1847" s="8">
        <f>IF($J1847=0,0,ROUND(MAX($J1847*1.4*1.5*1.6*1.6*2.2*2.715*2.6*1.4,6020000000*(1.651178^(MIN($E1847,123)-117)))*1,0))</f>
        <v>65985946</v>
      </c>
      <c r="AA1847" s="6">
        <f>$E1847+19</f>
        <v>127</v>
      </c>
      <c r="AB1847" s="7">
        <f>IF($J1847=0,0,ROUND(MAX($J1847*1.4*1.5*1.6*1.6*2.2*2.715*2.6*1.4*1.4,8430000000*(1.651435^(MIN($E1847,123)-117)))*1,0))</f>
        <v>92272909</v>
      </c>
      <c r="AC1847" s="4">
        <f>$E1847+21</f>
        <v>129</v>
      </c>
      <c r="AD1847" s="8">
        <f>IF($J1847=0,0,ROUND(MAX($J1847*1.4*1.5*1.6*1.6*2.2*2.715*2.6*1.4*1.4*1.5,12600000000*(1.652953^(MIN($E1847,123)-117)))*1,0))</f>
        <v>136781071</v>
      </c>
      <c r="AE1847" s="6">
        <f>$E1847+24</f>
        <v>132</v>
      </c>
      <c r="AF1847" s="7">
        <f>IF($J1847=0,0,ROUND(MAX($J1847*1.4*1.5*1.6*1.6*2.2*2.715*2.6*1.4*1.4*1.5*1.5,18900000000*(1.65331^(MIN($E1847,123)-117)))*1,0))</f>
        <v>204773225</v>
      </c>
      <c r="AG1847" s="4">
        <f>$E1847+27</f>
        <v>135</v>
      </c>
      <c r="AH1847" s="8">
        <f>IF($J1847=0,0,ROUND(MAX($J1847*1.4*1.5*1.6*1.6*2.2*2.715*2.6*1.4*1.4*1.5*1.5*3.2,60500000000*(1.654288^(MIN($E1847,123)-117)))*1,0))</f>
        <v>652011566</v>
      </c>
    </row>
    <row r="1848" ht="27.75" customHeight="1" spans="1:34" x14ac:dyDescent="0.25">
      <c r="A1848" s="3">
        <v>1858</v>
      </c>
      <c r="B1848" s="3" t="s">
        <v>1209</v>
      </c>
      <c r="C1848" s="3" t="s">
        <v>1175</v>
      </c>
      <c r="D1848" s="3" t="s">
        <v>90</v>
      </c>
      <c r="E1848" s="3">
        <v>108</v>
      </c>
      <c r="F1848" s="3" t="s">
        <v>30</v>
      </c>
      <c r="G1848" s="3" t="s">
        <v>416</v>
      </c>
      <c r="H1848" s="3">
        <v>24</v>
      </c>
      <c r="I1848" s="4">
        <v>108</v>
      </c>
      <c r="J1848" s="5">
        <v>331000</v>
      </c>
      <c r="K1848" s="6">
        <f>$E1848+1</f>
        <v>109</v>
      </c>
      <c r="L1848" s="7">
        <f>IF($J1848=0,0,ROUND(MAX($J1848*1.4,1620000*(1.497923^(MIN($E1848,123)-117)))*1,0))</f>
        <v>463400</v>
      </c>
      <c r="M1848" s="4">
        <f>$E1848+2</f>
        <v>110</v>
      </c>
      <c r="N1848" s="8">
        <f>IF($J1848=0,0,ROUND(MAX($J1848*1.4*1.5,2190000*(1.580994^(MIN($E1848,123)-117)))*1,0))</f>
        <v>695100</v>
      </c>
      <c r="O1848" s="6">
        <f>$E1848+4</f>
        <v>112</v>
      </c>
      <c r="P1848" s="7">
        <f>IF($J1848=0,0,ROUND(MAX($J1848*1.4*1.5*1.6,3500000*(1.57975^(MIN($E1848,123)-117)))*1,0))</f>
        <v>1112160</v>
      </c>
      <c r="Q1848" s="4">
        <f>$E1848+6</f>
        <v>114</v>
      </c>
      <c r="R1848" s="8">
        <f>IF($J1848=0,0,ROUND(MAX($J1848*1.4*1.5*1.6*1.6,13100000*(1.429962^(MIN($E1848,123)-117)))*1,0))</f>
        <v>1779456</v>
      </c>
      <c r="S1848" s="6">
        <f>$E1848+8</f>
        <v>116</v>
      </c>
      <c r="T1848" s="7">
        <f>IF($J1848=0,0,ROUND(MAX($J1848*1.4*1.5*1.6*1.6*2.2,42600000*(1.576904^(MIN($E1848,123)-117)))*1,0))</f>
        <v>3914803</v>
      </c>
      <c r="U1848" s="4">
        <f>$E1848+11</f>
        <v>119</v>
      </c>
      <c r="V1848" s="8">
        <f>IF($J1848=0,0,ROUND(MAX($J1848*1.4*1.5*1.6*1.6*2.2*2.715,354000000*(1.642074^(MIN($E1848,123)-117)))*1,0))</f>
        <v>10628691</v>
      </c>
      <c r="W1848" s="6">
        <f>$E1848+15</f>
        <v>123</v>
      </c>
      <c r="X1848" s="7">
        <f>IF($J1848=0,0,ROUND(MAX($J1848*1.4*1.5*1.6*1.6*2.2*2.715*2.6,3540000000*(1.579646^(MIN($E1848,123)-117)))*1,0))</f>
        <v>57804988</v>
      </c>
      <c r="Y1848" s="4">
        <f>$E1848+17</f>
        <v>125</v>
      </c>
      <c r="Z1848" s="8">
        <f>IF($J1848=0,0,ROUND(MAX($J1848*1.4*1.5*1.6*1.6*2.2*2.715*2.6*1.4,6020000000*(1.651178^(MIN($E1848,123)-117)))*1,0))</f>
        <v>65985946</v>
      </c>
      <c r="AA1848" s="6">
        <f>$E1848+19</f>
        <v>127</v>
      </c>
      <c r="AB1848" s="7">
        <f>IF($J1848=0,0,ROUND(MAX($J1848*1.4*1.5*1.6*1.6*2.2*2.715*2.6*1.4*1.4,8430000000*(1.651435^(MIN($E1848,123)-117)))*1,0))</f>
        <v>92272909</v>
      </c>
      <c r="AC1848" s="4">
        <f>$E1848+21</f>
        <v>129</v>
      </c>
      <c r="AD1848" s="8">
        <f>IF($J1848=0,0,ROUND(MAX($J1848*1.4*1.5*1.6*1.6*2.2*2.715*2.6*1.4*1.4*1.5,12600000000*(1.652953^(MIN($E1848,123)-117)))*1,0))</f>
        <v>136781071</v>
      </c>
      <c r="AE1848" s="6">
        <f>$E1848+24</f>
        <v>132</v>
      </c>
      <c r="AF1848" s="7">
        <f>IF($J1848=0,0,ROUND(MAX($J1848*1.4*1.5*1.6*1.6*2.2*2.715*2.6*1.4*1.4*1.5*1.5,18900000000*(1.65331^(MIN($E1848,123)-117)))*1,0))</f>
        <v>204773225</v>
      </c>
      <c r="AG1848" s="4">
        <f>$E1848+27</f>
        <v>135</v>
      </c>
      <c r="AH1848" s="8">
        <f>IF($J1848=0,0,ROUND(MAX($J1848*1.4*1.5*1.6*1.6*2.2*2.715*2.6*1.4*1.4*1.5*1.5*3.2,60500000000*(1.654288^(MIN($E1848,123)-117)))*1,0))</f>
        <v>652011566</v>
      </c>
    </row>
    <row r="1849" ht="27.75" customHeight="1" spans="1:34" x14ac:dyDescent="0.25">
      <c r="A1849" s="3">
        <v>1859</v>
      </c>
      <c r="B1849" s="3" t="s">
        <v>1210</v>
      </c>
      <c r="C1849" s="3" t="s">
        <v>1175</v>
      </c>
      <c r="D1849" s="3" t="s">
        <v>75</v>
      </c>
      <c r="E1849" s="3">
        <v>108</v>
      </c>
      <c r="F1849" s="3" t="s">
        <v>71</v>
      </c>
      <c r="G1849" s="3" t="s">
        <v>72</v>
      </c>
      <c r="H1849" s="3">
        <v>24</v>
      </c>
      <c r="I1849" s="4">
        <v>108</v>
      </c>
      <c r="J1849" s="5">
        <v>2310000</v>
      </c>
      <c r="K1849" s="6">
        <f>$E1849+1</f>
        <v>109</v>
      </c>
      <c r="L1849" s="7">
        <f>IF($J1849=0,0,ROUND(MAX($J1849*1.4,1620000*(1.497923^(MIN($E1849,123)-117)))*1,0))</f>
        <v>3234000</v>
      </c>
      <c r="M1849" s="4">
        <f>$E1849+2</f>
        <v>110</v>
      </c>
      <c r="N1849" s="8">
        <f>IF($J1849=0,0,ROUND(MAX($J1849*1.4*1.5,2190000*(1.580994^(MIN($E1849,123)-117)))*1,0))</f>
        <v>4851000</v>
      </c>
      <c r="O1849" s="6">
        <f>$E1849+4</f>
        <v>112</v>
      </c>
      <c r="P1849" s="7">
        <f>IF($J1849=0,0,ROUND(MAX($J1849*1.4*1.5*1.6,3500000*(1.57975^(MIN($E1849,123)-117)))*1,0))</f>
        <v>7761600</v>
      </c>
      <c r="Q1849" s="4">
        <f>$E1849+6</f>
        <v>114</v>
      </c>
      <c r="R1849" s="8">
        <f>IF($J1849=0,0,ROUND(MAX($J1849*1.4*1.5*1.6*1.6,13100000*(1.429962^(MIN($E1849,123)-117)))*1,0))</f>
        <v>12418560</v>
      </c>
      <c r="S1849" s="6">
        <f>$E1849+8</f>
        <v>116</v>
      </c>
      <c r="T1849" s="7">
        <f>IF($J1849=0,0,ROUND(MAX($J1849*1.4*1.5*1.6*1.6*2.2,42600000*(1.576904^(MIN($E1849,123)-117)))*1,0))</f>
        <v>27320832</v>
      </c>
      <c r="U1849" s="4">
        <f>$E1849+11</f>
        <v>119</v>
      </c>
      <c r="V1849" s="8">
        <f>IF($J1849=0,0,ROUND(MAX($J1849*1.4*1.5*1.6*1.6*2.2*2.715,354000000*(1.642074^(MIN($E1849,123)-117)))*1,0))</f>
        <v>74176059</v>
      </c>
      <c r="W1849" s="6">
        <f>$E1849+15</f>
        <v>123</v>
      </c>
      <c r="X1849" s="7">
        <f>IF($J1849=0,0,ROUND(MAX($J1849*1.4*1.5*1.6*1.6*2.2*2.715*2.6,3540000000*(1.579646^(MIN($E1849,123)-117)))*1,0))</f>
        <v>192857753</v>
      </c>
      <c r="Y1849" s="4">
        <f>$E1849+17</f>
        <v>125</v>
      </c>
      <c r="Z1849" s="8">
        <f>IF($J1849=0,0,ROUND(MAX($J1849*1.4*1.5*1.6*1.6*2.2*2.715*2.6*1.4,6020000000*(1.651178^(MIN($E1849,123)-117)))*1,0))</f>
        <v>270000854</v>
      </c>
      <c r="AA1849" s="6">
        <f>$E1849+19</f>
        <v>127</v>
      </c>
      <c r="AB1849" s="7">
        <f>IF($J1849=0,0,ROUND(MAX($J1849*1.4*1.5*1.6*1.6*2.2*2.715*2.6*1.4*1.4,8430000000*(1.651435^(MIN($E1849,123)-117)))*1,0))</f>
        <v>378001196</v>
      </c>
      <c r="AC1849" s="4">
        <f>$E1849+21</f>
        <v>129</v>
      </c>
      <c r="AD1849" s="8">
        <f>IF($J1849=0,0,ROUND(MAX($J1849*1.4*1.5*1.6*1.6*2.2*2.715*2.6*1.4*1.4*1.5,12600000000*(1.652953^(MIN($E1849,123)-117)))*1,0))</f>
        <v>567001794</v>
      </c>
      <c r="AE1849" s="6">
        <f>$E1849+24</f>
        <v>132</v>
      </c>
      <c r="AF1849" s="7">
        <f>IF($J1849=0,0,ROUND(MAX($J1849*1.4*1.5*1.6*1.6*2.2*2.715*2.6*1.4*1.4*1.5*1.5,18900000000*(1.65331^(MIN($E1849,123)-117)))*1,0))</f>
        <v>850502691</v>
      </c>
      <c r="AG1849" s="4">
        <f>$E1849+27</f>
        <v>135</v>
      </c>
      <c r="AH1849" s="8">
        <f>IF($J1849=0,0,ROUND(MAX($J1849*1.4*1.5*1.6*1.6*2.2*2.715*2.6*1.4*1.4*1.5*1.5*3.2,60500000000*(1.654288^(MIN($E1849,123)-117)))*1,0))</f>
        <v>2721608612</v>
      </c>
    </row>
    <row r="1850" ht="27.75" customHeight="1" spans="1:34" x14ac:dyDescent="0.25">
      <c r="A1850" s="3">
        <v>1860</v>
      </c>
      <c r="B1850" s="3" t="s">
        <v>1211</v>
      </c>
      <c r="C1850" s="3" t="s">
        <v>1175</v>
      </c>
      <c r="D1850" s="3" t="s">
        <v>40</v>
      </c>
      <c r="E1850" s="3">
        <v>108</v>
      </c>
      <c r="F1850" s="3" t="s">
        <v>34</v>
      </c>
      <c r="G1850" s="3" t="s">
        <v>277</v>
      </c>
      <c r="H1850" s="3">
        <v>24</v>
      </c>
      <c r="I1850" s="4">
        <v>108</v>
      </c>
      <c r="J1850" s="5">
        <v>145000</v>
      </c>
      <c r="K1850" s="6">
        <f>$E1850+1</f>
        <v>109</v>
      </c>
      <c r="L1850" s="7">
        <f>IF($J1850=0,0,ROUND(MAX($J1850*1.4,1620000*(1.497923^(MIN($E1850,123)-117)))*1,0))</f>
        <v>203000</v>
      </c>
      <c r="M1850" s="4">
        <f>$E1850+2</f>
        <v>110</v>
      </c>
      <c r="N1850" s="8">
        <f>IF($J1850=0,0,ROUND(MAX($J1850*1.4*1.5,2190000*(1.580994^(MIN($E1850,123)-117)))*1,0))</f>
        <v>304500</v>
      </c>
      <c r="O1850" s="6">
        <f>$E1850+4</f>
        <v>112</v>
      </c>
      <c r="P1850" s="7">
        <f>IF($J1850=0,0,ROUND(MAX($J1850*1.4*1.5*1.6,3500000*(1.57975^(MIN($E1850,123)-117)))*1,0))</f>
        <v>487200</v>
      </c>
      <c r="Q1850" s="4">
        <f>$E1850+6</f>
        <v>114</v>
      </c>
      <c r="R1850" s="8">
        <f>IF($J1850=0,0,ROUND(MAX($J1850*1.4*1.5*1.6*1.6,13100000*(1.429962^(MIN($E1850,123)-117)))*1,0))</f>
        <v>779520</v>
      </c>
      <c r="S1850" s="6">
        <f>$E1850+8</f>
        <v>116</v>
      </c>
      <c r="T1850" s="7">
        <f>IF($J1850=0,0,ROUND(MAX($J1850*1.4*1.5*1.6*1.6*2.2,42600000*(1.576904^(MIN($E1850,123)-117)))*1,0))</f>
        <v>1714944</v>
      </c>
      <c r="U1850" s="4">
        <f>$E1850+11</f>
        <v>119</v>
      </c>
      <c r="V1850" s="8">
        <f>IF($J1850=0,0,ROUND(MAX($J1850*1.4*1.5*1.6*1.6*2.2*2.715,354000000*(1.642074^(MIN($E1850,123)-117)))*1,0))</f>
        <v>4656073</v>
      </c>
      <c r="W1850" s="6">
        <f>$E1850+15</f>
        <v>123</v>
      </c>
      <c r="X1850" s="7">
        <f>IF($J1850=0,0,ROUND(MAX($J1850*1.4*1.5*1.6*1.6*2.2*2.715*2.6,3540000000*(1.579646^(MIN($E1850,123)-117)))*1,0))</f>
        <v>57804988</v>
      </c>
      <c r="Y1850" s="4">
        <f>$E1850+17</f>
        <v>125</v>
      </c>
      <c r="Z1850" s="8">
        <f>IF($J1850=0,0,ROUND(MAX($J1850*1.4*1.5*1.6*1.6*2.2*2.715*2.6*1.4,6020000000*(1.651178^(MIN($E1850,123)-117)))*1,0))</f>
        <v>65985946</v>
      </c>
      <c r="AA1850" s="6">
        <f>$E1850+19</f>
        <v>127</v>
      </c>
      <c r="AB1850" s="7">
        <f>IF($J1850=0,0,ROUND(MAX($J1850*1.4*1.5*1.6*1.6*2.2*2.715*2.6*1.4*1.4,8430000000*(1.651435^(MIN($E1850,123)-117)))*1,0))</f>
        <v>92272909</v>
      </c>
      <c r="AC1850" s="4">
        <f>$E1850+21</f>
        <v>129</v>
      </c>
      <c r="AD1850" s="8">
        <f>IF($J1850=0,0,ROUND(MAX($J1850*1.4*1.5*1.6*1.6*2.2*2.715*2.6*1.4*1.4*1.5,12600000000*(1.652953^(MIN($E1850,123)-117)))*1,0))</f>
        <v>136781071</v>
      </c>
      <c r="AE1850" s="6">
        <f>$E1850+24</f>
        <v>132</v>
      </c>
      <c r="AF1850" s="7">
        <f>IF($J1850=0,0,ROUND(MAX($J1850*1.4*1.5*1.6*1.6*2.2*2.715*2.6*1.4*1.4*1.5*1.5,18900000000*(1.65331^(MIN($E1850,123)-117)))*1,0))</f>
        <v>204773225</v>
      </c>
      <c r="AG1850" s="4">
        <f>$E1850+27</f>
        <v>135</v>
      </c>
      <c r="AH1850" s="8">
        <f>IF($J1850=0,0,ROUND(MAX($J1850*1.4*1.5*1.6*1.6*2.2*2.715*2.6*1.4*1.4*1.5*1.5*3.2,60500000000*(1.654288^(MIN($E1850,123)-117)))*1,0))</f>
        <v>652011566</v>
      </c>
    </row>
    <row r="1851" ht="27.75" customHeight="1" spans="1:34" x14ac:dyDescent="0.25">
      <c r="A1851" s="3">
        <v>1861</v>
      </c>
      <c r="B1851" s="3" t="s">
        <v>263</v>
      </c>
      <c r="C1851" s="3" t="s">
        <v>1175</v>
      </c>
      <c r="D1851" s="3" t="s">
        <v>40</v>
      </c>
      <c r="E1851" s="3">
        <v>108</v>
      </c>
      <c r="F1851" s="3" t="s">
        <v>30</v>
      </c>
      <c r="G1851" s="3" t="s">
        <v>98</v>
      </c>
      <c r="H1851" s="3">
        <v>24</v>
      </c>
      <c r="I1851" s="4">
        <v>108</v>
      </c>
      <c r="J1851" s="5">
        <v>186000</v>
      </c>
      <c r="K1851" s="6">
        <f>$E1851+1</f>
        <v>109</v>
      </c>
      <c r="L1851" s="7">
        <f>IF($J1851=0,0,ROUND(MAX($J1851*1.4,1620000*(1.497923^(MIN($E1851,123)-117)))*1,0))</f>
        <v>260400</v>
      </c>
      <c r="M1851" s="4">
        <f>$E1851+2</f>
        <v>110</v>
      </c>
      <c r="N1851" s="8">
        <f>IF($J1851=0,0,ROUND(MAX($J1851*1.4*1.5,2190000*(1.580994^(MIN($E1851,123)-117)))*1,0))</f>
        <v>390600</v>
      </c>
      <c r="O1851" s="6">
        <f>$E1851+4</f>
        <v>112</v>
      </c>
      <c r="P1851" s="7">
        <f>IF($J1851=0,0,ROUND(MAX($J1851*1.4*1.5*1.6,3500000*(1.57975^(MIN($E1851,123)-117)))*1,0))</f>
        <v>624960</v>
      </c>
      <c r="Q1851" s="4">
        <f>$E1851+6</f>
        <v>114</v>
      </c>
      <c r="R1851" s="8">
        <f>IF($J1851=0,0,ROUND(MAX($J1851*1.4*1.5*1.6*1.6,13100000*(1.429962^(MIN($E1851,123)-117)))*1,0))</f>
        <v>999936</v>
      </c>
      <c r="S1851" s="6">
        <f>$E1851+8</f>
        <v>116</v>
      </c>
      <c r="T1851" s="7">
        <f>IF($J1851=0,0,ROUND(MAX($J1851*1.4*1.5*1.6*1.6*2.2,42600000*(1.576904^(MIN($E1851,123)-117)))*1,0))</f>
        <v>2199859</v>
      </c>
      <c r="U1851" s="4">
        <f>$E1851+11</f>
        <v>119</v>
      </c>
      <c r="V1851" s="8">
        <f>IF($J1851=0,0,ROUND(MAX($J1851*1.4*1.5*1.6*1.6*2.2*2.715,354000000*(1.642074^(MIN($E1851,123)-117)))*1,0))</f>
        <v>5972618</v>
      </c>
      <c r="W1851" s="6">
        <f>$E1851+15</f>
        <v>123</v>
      </c>
      <c r="X1851" s="7">
        <f>IF($J1851=0,0,ROUND(MAX($J1851*1.4*1.5*1.6*1.6*2.2*2.715*2.6,3540000000*(1.579646^(MIN($E1851,123)-117)))*1,0))</f>
        <v>57804988</v>
      </c>
      <c r="Y1851" s="4">
        <f>$E1851+17</f>
        <v>125</v>
      </c>
      <c r="Z1851" s="8">
        <f>IF($J1851=0,0,ROUND(MAX($J1851*1.4*1.5*1.6*1.6*2.2*2.715*2.6*1.4,6020000000*(1.651178^(MIN($E1851,123)-117)))*1,0))</f>
        <v>65985946</v>
      </c>
      <c r="AA1851" s="6">
        <f>$E1851+19</f>
        <v>127</v>
      </c>
      <c r="AB1851" s="7">
        <f>IF($J1851=0,0,ROUND(MAX($J1851*1.4*1.5*1.6*1.6*2.2*2.715*2.6*1.4*1.4,8430000000*(1.651435^(MIN($E1851,123)-117)))*1,0))</f>
        <v>92272909</v>
      </c>
      <c r="AC1851" s="4">
        <f>$E1851+21</f>
        <v>129</v>
      </c>
      <c r="AD1851" s="8">
        <f>IF($J1851=0,0,ROUND(MAX($J1851*1.4*1.5*1.6*1.6*2.2*2.715*2.6*1.4*1.4*1.5,12600000000*(1.652953^(MIN($E1851,123)-117)))*1,0))</f>
        <v>136781071</v>
      </c>
      <c r="AE1851" s="6">
        <f>$E1851+24</f>
        <v>132</v>
      </c>
      <c r="AF1851" s="7">
        <f>IF($J1851=0,0,ROUND(MAX($J1851*1.4*1.5*1.6*1.6*2.2*2.715*2.6*1.4*1.4*1.5*1.5,18900000000*(1.65331^(MIN($E1851,123)-117)))*1,0))</f>
        <v>204773225</v>
      </c>
      <c r="AG1851" s="4">
        <f>$E1851+27</f>
        <v>135</v>
      </c>
      <c r="AH1851" s="8">
        <f>IF($J1851=0,0,ROUND(MAX($J1851*1.4*1.5*1.6*1.6*2.2*2.715*2.6*1.4*1.4*1.5*1.5*3.2,60500000000*(1.654288^(MIN($E1851,123)-117)))*1,0))</f>
        <v>652011566</v>
      </c>
    </row>
    <row r="1852" ht="27.75" customHeight="1" spans="1:34" x14ac:dyDescent="0.25">
      <c r="A1852" s="3">
        <v>1862</v>
      </c>
      <c r="B1852" s="3" t="s">
        <v>788</v>
      </c>
      <c r="C1852" s="3" t="s">
        <v>1175</v>
      </c>
      <c r="D1852" s="3" t="s">
        <v>102</v>
      </c>
      <c r="E1852" s="3">
        <v>108</v>
      </c>
      <c r="F1852" s="3" t="s">
        <v>54</v>
      </c>
      <c r="G1852" s="3" t="s">
        <v>38</v>
      </c>
      <c r="H1852" s="3">
        <v>24</v>
      </c>
      <c r="I1852" s="4">
        <v>108</v>
      </c>
      <c r="J1852" s="5">
        <v>208000</v>
      </c>
      <c r="K1852" s="6">
        <f>$E1852+1</f>
        <v>109</v>
      </c>
      <c r="L1852" s="7">
        <f>IF($J1852=0,0,ROUND(MAX($J1852*1.4,1620000*(1.497923^(MIN($E1852,123)-117)))*1,0))</f>
        <v>291200</v>
      </c>
      <c r="M1852" s="4">
        <f>$E1852+2</f>
        <v>110</v>
      </c>
      <c r="N1852" s="8">
        <f>IF($J1852=0,0,ROUND(MAX($J1852*1.4*1.5,2190000*(1.580994^(MIN($E1852,123)-117)))*1,0))</f>
        <v>436800</v>
      </c>
      <c r="O1852" s="6">
        <f>$E1852+4</f>
        <v>112</v>
      </c>
      <c r="P1852" s="7">
        <f>IF($J1852=0,0,ROUND(MAX($J1852*1.4*1.5*1.6,3500000*(1.57975^(MIN($E1852,123)-117)))*1,0))</f>
        <v>698880</v>
      </c>
      <c r="Q1852" s="4">
        <f>$E1852+6</f>
        <v>114</v>
      </c>
      <c r="R1852" s="8">
        <f>IF($J1852=0,0,ROUND(MAX($J1852*1.4*1.5*1.6*1.6,13100000*(1.429962^(MIN($E1852,123)-117)))*1,0))</f>
        <v>1118208</v>
      </c>
      <c r="S1852" s="6">
        <f>$E1852+8</f>
        <v>116</v>
      </c>
      <c r="T1852" s="7">
        <f>IF($J1852=0,0,ROUND(MAX($J1852*1.4*1.5*1.6*1.6*2.2,42600000*(1.576904^(MIN($E1852,123)-117)))*1,0))</f>
        <v>2460058</v>
      </c>
      <c r="U1852" s="4">
        <f>$E1852+11</f>
        <v>119</v>
      </c>
      <c r="V1852" s="8">
        <f>IF($J1852=0,0,ROUND(MAX($J1852*1.4*1.5*1.6*1.6*2.2*2.715,354000000*(1.642074^(MIN($E1852,123)-117)))*1,0))</f>
        <v>6679056</v>
      </c>
      <c r="W1852" s="6">
        <f>$E1852+15</f>
        <v>123</v>
      </c>
      <c r="X1852" s="7">
        <f>IF($J1852=0,0,ROUND(MAX($J1852*1.4*1.5*1.6*1.6*2.2*2.715*2.6,3540000000*(1.579646^(MIN($E1852,123)-117)))*1,0))</f>
        <v>57804988</v>
      </c>
      <c r="Y1852" s="4">
        <f>$E1852+17</f>
        <v>125</v>
      </c>
      <c r="Z1852" s="8">
        <f>IF($J1852=0,0,ROUND(MAX($J1852*1.4*1.5*1.6*1.6*2.2*2.715*2.6*1.4,6020000000*(1.651178^(MIN($E1852,123)-117)))*1,0))</f>
        <v>65985946</v>
      </c>
      <c r="AA1852" s="6">
        <f>$E1852+19</f>
        <v>127</v>
      </c>
      <c r="AB1852" s="7">
        <f>IF($J1852=0,0,ROUND(MAX($J1852*1.4*1.5*1.6*1.6*2.2*2.715*2.6*1.4*1.4,8430000000*(1.651435^(MIN($E1852,123)-117)))*1,0))</f>
        <v>92272909</v>
      </c>
      <c r="AC1852" s="4">
        <f>$E1852+21</f>
        <v>129</v>
      </c>
      <c r="AD1852" s="8">
        <f>IF($J1852=0,0,ROUND(MAX($J1852*1.4*1.5*1.6*1.6*2.2*2.715*2.6*1.4*1.4*1.5,12600000000*(1.652953^(MIN($E1852,123)-117)))*1,0))</f>
        <v>136781071</v>
      </c>
      <c r="AE1852" s="6">
        <f>$E1852+24</f>
        <v>132</v>
      </c>
      <c r="AF1852" s="7">
        <f>IF($J1852=0,0,ROUND(MAX($J1852*1.4*1.5*1.6*1.6*2.2*2.715*2.6*1.4*1.4*1.5*1.5,18900000000*(1.65331^(MIN($E1852,123)-117)))*1,0))</f>
        <v>204773225</v>
      </c>
      <c r="AG1852" s="4">
        <f>$E1852+27</f>
        <v>135</v>
      </c>
      <c r="AH1852" s="8">
        <f>IF($J1852=0,0,ROUND(MAX($J1852*1.4*1.5*1.6*1.6*2.2*2.715*2.6*1.4*1.4*1.5*1.5*3.2,60500000000*(1.654288^(MIN($E1852,123)-117)))*1,0))</f>
        <v>652011566</v>
      </c>
    </row>
    <row r="1853" ht="27.75" customHeight="1" spans="1:34" x14ac:dyDescent="0.25">
      <c r="A1853" s="3">
        <v>1863</v>
      </c>
      <c r="B1853" s="3" t="s">
        <v>1212</v>
      </c>
      <c r="C1853" s="3" t="s">
        <v>1175</v>
      </c>
      <c r="D1853" s="3" t="s">
        <v>40</v>
      </c>
      <c r="E1853" s="3">
        <v>108</v>
      </c>
      <c r="F1853" s="3" t="s">
        <v>383</v>
      </c>
      <c r="G1853" s="3" t="s">
        <v>416</v>
      </c>
      <c r="H1853" s="3">
        <v>24</v>
      </c>
      <c r="I1853" s="4">
        <v>108</v>
      </c>
      <c r="J1853" s="5">
        <v>232000</v>
      </c>
      <c r="K1853" s="6">
        <f>$E1853+1</f>
        <v>109</v>
      </c>
      <c r="L1853" s="7">
        <f>IF($J1853=0,0,ROUND(MAX($J1853*1.4,1620000*(1.497923^(MIN($E1853,123)-117)))*1,0))</f>
        <v>324800</v>
      </c>
      <c r="M1853" s="4">
        <f>$E1853+2</f>
        <v>110</v>
      </c>
      <c r="N1853" s="8">
        <f>IF($J1853=0,0,ROUND(MAX($J1853*1.4*1.5,2190000*(1.580994^(MIN($E1853,123)-117)))*1,0))</f>
        <v>487200</v>
      </c>
      <c r="O1853" s="6">
        <f>$E1853+4</f>
        <v>112</v>
      </c>
      <c r="P1853" s="7">
        <f>IF($J1853=0,0,ROUND(MAX($J1853*1.4*1.5*1.6,3500000*(1.57975^(MIN($E1853,123)-117)))*1,0))</f>
        <v>779520</v>
      </c>
      <c r="Q1853" s="4">
        <f>$E1853+6</f>
        <v>114</v>
      </c>
      <c r="R1853" s="8">
        <f>IF($J1853=0,0,ROUND(MAX($J1853*1.4*1.5*1.6*1.6,13100000*(1.429962^(MIN($E1853,123)-117)))*1,0))</f>
        <v>1247232</v>
      </c>
      <c r="S1853" s="6">
        <f>$E1853+8</f>
        <v>116</v>
      </c>
      <c r="T1853" s="7">
        <f>IF($J1853=0,0,ROUND(MAX($J1853*1.4*1.5*1.6*1.6*2.2,42600000*(1.576904^(MIN($E1853,123)-117)))*1,0))</f>
        <v>2743910</v>
      </c>
      <c r="U1853" s="4">
        <f>$E1853+11</f>
        <v>119</v>
      </c>
      <c r="V1853" s="8">
        <f>IF($J1853=0,0,ROUND(MAX($J1853*1.4*1.5*1.6*1.6*2.2*2.715,354000000*(1.642074^(MIN($E1853,123)-117)))*1,0))</f>
        <v>7449717</v>
      </c>
      <c r="W1853" s="6">
        <f>$E1853+15</f>
        <v>123</v>
      </c>
      <c r="X1853" s="7">
        <f>IF($J1853=0,0,ROUND(MAX($J1853*1.4*1.5*1.6*1.6*2.2*2.715*2.6,3540000000*(1.579646^(MIN($E1853,123)-117)))*1,0))</f>
        <v>57804988</v>
      </c>
      <c r="Y1853" s="4">
        <f>$E1853+17</f>
        <v>125</v>
      </c>
      <c r="Z1853" s="8">
        <f>IF($J1853=0,0,ROUND(MAX($J1853*1.4*1.5*1.6*1.6*2.2*2.715*2.6*1.4,6020000000*(1.651178^(MIN($E1853,123)-117)))*1,0))</f>
        <v>65985946</v>
      </c>
      <c r="AA1853" s="6">
        <f>$E1853+19</f>
        <v>127</v>
      </c>
      <c r="AB1853" s="7">
        <f>IF($J1853=0,0,ROUND(MAX($J1853*1.4*1.5*1.6*1.6*2.2*2.715*2.6*1.4*1.4,8430000000*(1.651435^(MIN($E1853,123)-117)))*1,0))</f>
        <v>92272909</v>
      </c>
      <c r="AC1853" s="4">
        <f>$E1853+21</f>
        <v>129</v>
      </c>
      <c r="AD1853" s="8">
        <f>IF($J1853=0,0,ROUND(MAX($J1853*1.4*1.5*1.6*1.6*2.2*2.715*2.6*1.4*1.4*1.5,12600000000*(1.652953^(MIN($E1853,123)-117)))*1,0))</f>
        <v>136781071</v>
      </c>
      <c r="AE1853" s="6">
        <f>$E1853+24</f>
        <v>132</v>
      </c>
      <c r="AF1853" s="7">
        <f>IF($J1853=0,0,ROUND(MAX($J1853*1.4*1.5*1.6*1.6*2.2*2.715*2.6*1.4*1.4*1.5*1.5,18900000000*(1.65331^(MIN($E1853,123)-117)))*1,0))</f>
        <v>204773225</v>
      </c>
      <c r="AG1853" s="4">
        <f>$E1853+27</f>
        <v>135</v>
      </c>
      <c r="AH1853" s="8">
        <f>IF($J1853=0,0,ROUND(MAX($J1853*1.4*1.5*1.6*1.6*2.2*2.715*2.6*1.4*1.4*1.5*1.5*3.2,60500000000*(1.654288^(MIN($E1853,123)-117)))*1,0))</f>
        <v>652011566</v>
      </c>
    </row>
    <row r="1854" ht="27.75" customHeight="1" spans="1:34" x14ac:dyDescent="0.25">
      <c r="A1854" s="3">
        <v>1864</v>
      </c>
      <c r="B1854" s="3" t="s">
        <v>936</v>
      </c>
      <c r="C1854" s="3" t="s">
        <v>1175</v>
      </c>
      <c r="D1854" s="3" t="s">
        <v>45</v>
      </c>
      <c r="E1854" s="3">
        <v>108</v>
      </c>
      <c r="F1854" s="3" t="s">
        <v>62</v>
      </c>
      <c r="G1854" s="3" t="s">
        <v>104</v>
      </c>
      <c r="H1854" s="3">
        <v>24</v>
      </c>
      <c r="I1854" s="4">
        <v>108</v>
      </c>
      <c r="J1854" s="5">
        <v>235000</v>
      </c>
      <c r="K1854" s="6">
        <f>$E1854+1</f>
        <v>109</v>
      </c>
      <c r="L1854" s="7">
        <f>IF($J1854=0,0,ROUND(MAX($J1854*1.4,1620000*(1.497923^(MIN($E1854,123)-117)))*1,0))</f>
        <v>329000</v>
      </c>
      <c r="M1854" s="4">
        <f>$E1854+2</f>
        <v>110</v>
      </c>
      <c r="N1854" s="8">
        <f>IF($J1854=0,0,ROUND(MAX($J1854*1.4*1.5,2190000*(1.580994^(MIN($E1854,123)-117)))*1,0))</f>
        <v>493500</v>
      </c>
      <c r="O1854" s="6">
        <f>$E1854+4</f>
        <v>112</v>
      </c>
      <c r="P1854" s="7">
        <f>IF($J1854=0,0,ROUND(MAX($J1854*1.4*1.5*1.6,3500000*(1.57975^(MIN($E1854,123)-117)))*1,0))</f>
        <v>789600</v>
      </c>
      <c r="Q1854" s="4">
        <f>$E1854+6</f>
        <v>114</v>
      </c>
      <c r="R1854" s="8">
        <f>IF($J1854=0,0,ROUND(MAX($J1854*1.4*1.5*1.6*1.6,13100000*(1.429962^(MIN($E1854,123)-117)))*1,0))</f>
        <v>1263360</v>
      </c>
      <c r="S1854" s="6">
        <f>$E1854+8</f>
        <v>116</v>
      </c>
      <c r="T1854" s="7">
        <f>IF($J1854=0,0,ROUND(MAX($J1854*1.4*1.5*1.6*1.6*2.2,42600000*(1.576904^(MIN($E1854,123)-117)))*1,0))</f>
        <v>2779392</v>
      </c>
      <c r="U1854" s="4">
        <f>$E1854+11</f>
        <v>119</v>
      </c>
      <c r="V1854" s="8">
        <f>IF($J1854=0,0,ROUND(MAX($J1854*1.4*1.5*1.6*1.6*2.2*2.715,354000000*(1.642074^(MIN($E1854,123)-117)))*1,0))</f>
        <v>7546049</v>
      </c>
      <c r="W1854" s="6">
        <f>$E1854+15</f>
        <v>123</v>
      </c>
      <c r="X1854" s="7">
        <f>IF($J1854=0,0,ROUND(MAX($J1854*1.4*1.5*1.6*1.6*2.2*2.715*2.6,3540000000*(1.579646^(MIN($E1854,123)-117)))*1,0))</f>
        <v>57804988</v>
      </c>
      <c r="Y1854" s="4">
        <f>$E1854+17</f>
        <v>125</v>
      </c>
      <c r="Z1854" s="8">
        <f>IF($J1854=0,0,ROUND(MAX($J1854*1.4*1.5*1.6*1.6*2.2*2.715*2.6*1.4,6020000000*(1.651178^(MIN($E1854,123)-117)))*1,0))</f>
        <v>65985946</v>
      </c>
      <c r="AA1854" s="6">
        <f>$E1854+19</f>
        <v>127</v>
      </c>
      <c r="AB1854" s="7">
        <f>IF($J1854=0,0,ROUND(MAX($J1854*1.4*1.5*1.6*1.6*2.2*2.715*2.6*1.4*1.4,8430000000*(1.651435^(MIN($E1854,123)-117)))*1,0))</f>
        <v>92272909</v>
      </c>
      <c r="AC1854" s="4">
        <f>$E1854+21</f>
        <v>129</v>
      </c>
      <c r="AD1854" s="8">
        <f>IF($J1854=0,0,ROUND(MAX($J1854*1.4*1.5*1.6*1.6*2.2*2.715*2.6*1.4*1.4*1.5,12600000000*(1.652953^(MIN($E1854,123)-117)))*1,0))</f>
        <v>136781071</v>
      </c>
      <c r="AE1854" s="6">
        <f>$E1854+24</f>
        <v>132</v>
      </c>
      <c r="AF1854" s="7">
        <f>IF($J1854=0,0,ROUND(MAX($J1854*1.4*1.5*1.6*1.6*2.2*2.715*2.6*1.4*1.4*1.5*1.5,18900000000*(1.65331^(MIN($E1854,123)-117)))*1,0))</f>
        <v>204773225</v>
      </c>
      <c r="AG1854" s="4">
        <f>$E1854+27</f>
        <v>135</v>
      </c>
      <c r="AH1854" s="8">
        <f>IF($J1854=0,0,ROUND(MAX($J1854*1.4*1.5*1.6*1.6*2.2*2.715*2.6*1.4*1.4*1.5*1.5*3.2,60500000000*(1.654288^(MIN($E1854,123)-117)))*1,0))</f>
        <v>652011566</v>
      </c>
    </row>
    <row r="1855" ht="27.75" customHeight="1" spans="1:34" x14ac:dyDescent="0.25">
      <c r="A1855" s="3">
        <v>1865</v>
      </c>
      <c r="B1855" s="3" t="s">
        <v>929</v>
      </c>
      <c r="C1855" s="3" t="s">
        <v>1175</v>
      </c>
      <c r="D1855" s="3" t="s">
        <v>64</v>
      </c>
      <c r="E1855" s="3">
        <v>108</v>
      </c>
      <c r="F1855" s="3" t="s">
        <v>54</v>
      </c>
      <c r="G1855" s="3" t="s">
        <v>930</v>
      </c>
      <c r="H1855" s="3">
        <v>24</v>
      </c>
      <c r="I1855" s="4">
        <v>108</v>
      </c>
      <c r="J1855" s="5">
        <v>148000</v>
      </c>
      <c r="K1855" s="6">
        <f>$E1855+1</f>
        <v>109</v>
      </c>
      <c r="L1855" s="7">
        <f>IF($J1855=0,0,ROUND(MAX($J1855*1.4,1620000*(1.497923^(MIN($E1855,123)-117)))*1,0))</f>
        <v>207200</v>
      </c>
      <c r="M1855" s="4">
        <f>$E1855+2</f>
        <v>110</v>
      </c>
      <c r="N1855" s="8">
        <f>IF($J1855=0,0,ROUND(MAX($J1855*1.4*1.5,2190000*(1.580994^(MIN($E1855,123)-117)))*1,0))</f>
        <v>310800</v>
      </c>
      <c r="O1855" s="6">
        <f>$E1855+4</f>
        <v>112</v>
      </c>
      <c r="P1855" s="7">
        <f>IF($J1855=0,0,ROUND(MAX($J1855*1.4*1.5*1.6,3500000*(1.57975^(MIN($E1855,123)-117)))*1,0))</f>
        <v>497280</v>
      </c>
      <c r="Q1855" s="4">
        <f>$E1855+6</f>
        <v>114</v>
      </c>
      <c r="R1855" s="8">
        <f>IF($J1855=0,0,ROUND(MAX($J1855*1.4*1.5*1.6*1.6,13100000*(1.429962^(MIN($E1855,123)-117)))*1,0))</f>
        <v>795648</v>
      </c>
      <c r="S1855" s="6">
        <f>$E1855+8</f>
        <v>116</v>
      </c>
      <c r="T1855" s="7">
        <f>IF($J1855=0,0,ROUND(MAX($J1855*1.4*1.5*1.6*1.6*2.2,42600000*(1.576904^(MIN($E1855,123)-117)))*1,0))</f>
        <v>1750426</v>
      </c>
      <c r="U1855" s="4">
        <f>$E1855+11</f>
        <v>119</v>
      </c>
      <c r="V1855" s="8">
        <f>IF($J1855=0,0,ROUND(MAX($J1855*1.4*1.5*1.6*1.6*2.2*2.715,354000000*(1.642074^(MIN($E1855,123)-117)))*1,0))</f>
        <v>4752406</v>
      </c>
      <c r="W1855" s="6">
        <f>$E1855+15</f>
        <v>123</v>
      </c>
      <c r="X1855" s="7">
        <f>IF($J1855=0,0,ROUND(MAX($J1855*1.4*1.5*1.6*1.6*2.2*2.715*2.6,3540000000*(1.579646^(MIN($E1855,123)-117)))*1,0))</f>
        <v>57804988</v>
      </c>
      <c r="Y1855" s="4">
        <f>$E1855+17</f>
        <v>125</v>
      </c>
      <c r="Z1855" s="8">
        <f>IF($J1855=0,0,ROUND(MAX($J1855*1.4*1.5*1.6*1.6*2.2*2.715*2.6*1.4,6020000000*(1.651178^(MIN($E1855,123)-117)))*1,0))</f>
        <v>65985946</v>
      </c>
      <c r="AA1855" s="6">
        <f>$E1855+19</f>
        <v>127</v>
      </c>
      <c r="AB1855" s="7">
        <f>IF($J1855=0,0,ROUND(MAX($J1855*1.4*1.5*1.6*1.6*2.2*2.715*2.6*1.4*1.4,8430000000*(1.651435^(MIN($E1855,123)-117)))*1,0))</f>
        <v>92272909</v>
      </c>
      <c r="AC1855" s="4">
        <f>$E1855+21</f>
        <v>129</v>
      </c>
      <c r="AD1855" s="8">
        <f>IF($J1855=0,0,ROUND(MAX($J1855*1.4*1.5*1.6*1.6*2.2*2.715*2.6*1.4*1.4*1.5,12600000000*(1.652953^(MIN($E1855,123)-117)))*1,0))</f>
        <v>136781071</v>
      </c>
      <c r="AE1855" s="6">
        <f>$E1855+24</f>
        <v>132</v>
      </c>
      <c r="AF1855" s="7">
        <f>IF($J1855=0,0,ROUND(MAX($J1855*1.4*1.5*1.6*1.6*2.2*2.715*2.6*1.4*1.4*1.5*1.5,18900000000*(1.65331^(MIN($E1855,123)-117)))*1,0))</f>
        <v>204773225</v>
      </c>
      <c r="AG1855" s="4">
        <f>$E1855+27</f>
        <v>135</v>
      </c>
      <c r="AH1855" s="8">
        <f>IF($J1855=0,0,ROUND(MAX($J1855*1.4*1.5*1.6*1.6*2.2*2.715*2.6*1.4*1.4*1.5*1.5*3.2,60500000000*(1.654288^(MIN($E1855,123)-117)))*1,0))</f>
        <v>652011566</v>
      </c>
    </row>
    <row r="1856" ht="27.75" customHeight="1" spans="1:34" x14ac:dyDescent="0.25">
      <c r="A1856" s="3">
        <v>1866</v>
      </c>
      <c r="B1856" s="3" t="s">
        <v>1213</v>
      </c>
      <c r="C1856" s="3" t="s">
        <v>1175</v>
      </c>
      <c r="D1856" s="3" t="s">
        <v>40</v>
      </c>
      <c r="E1856" s="3">
        <v>107</v>
      </c>
      <c r="F1856" s="3" t="s">
        <v>54</v>
      </c>
      <c r="G1856" s="3" t="s">
        <v>675</v>
      </c>
      <c r="H1856" s="3">
        <v>24</v>
      </c>
      <c r="I1856" s="4">
        <v>107</v>
      </c>
      <c r="J1856" s="5">
        <v>97900</v>
      </c>
      <c r="K1856" s="6">
        <f>$E1856+1</f>
        <v>108</v>
      </c>
      <c r="L1856" s="7">
        <f>IF($J1856=0,0,ROUND(MAX($J1856*1.4,1620000*(1.497923^(MIN($E1856,123)-117)))*1,0))</f>
        <v>137060</v>
      </c>
      <c r="M1856" s="4">
        <f>$E1856+2</f>
        <v>109</v>
      </c>
      <c r="N1856" s="8">
        <f>IF($J1856=0,0,ROUND(MAX($J1856*1.4*1.5,2190000*(1.580994^(MIN($E1856,123)-117)))*1,0))</f>
        <v>205590</v>
      </c>
      <c r="O1856" s="6">
        <f>$E1856+4</f>
        <v>111</v>
      </c>
      <c r="P1856" s="7">
        <f>IF($J1856=0,0,ROUND(MAX($J1856*1.4*1.5*1.6,3500000*(1.57975^(MIN($E1856,123)-117)))*1,0))</f>
        <v>328944</v>
      </c>
      <c r="Q1856" s="4">
        <f>$E1856+6</f>
        <v>113</v>
      </c>
      <c r="R1856" s="8">
        <f>IF($J1856=0,0,ROUND(MAX($J1856*1.4*1.5*1.6*1.6,13100000*(1.429962^(MIN($E1856,123)-117)))*1,0))</f>
        <v>526310</v>
      </c>
      <c r="S1856" s="6">
        <f>$E1856+8</f>
        <v>115</v>
      </c>
      <c r="T1856" s="7">
        <f>IF($J1856=0,0,ROUND(MAX($J1856*1.4*1.5*1.6*1.6*2.2,42600000*(1.576904^(MIN($E1856,123)-117)))*1,0))</f>
        <v>1157883</v>
      </c>
      <c r="U1856" s="4">
        <f>$E1856+11</f>
        <v>118</v>
      </c>
      <c r="V1856" s="8">
        <f>IF($J1856=0,0,ROUND(MAX($J1856*1.4*1.5*1.6*1.6*2.2*2.715,354000000*(1.642074^(MIN($E1856,123)-117)))*1,0))</f>
        <v>3143652</v>
      </c>
      <c r="W1856" s="6">
        <f>$E1856+15</f>
        <v>122</v>
      </c>
      <c r="X1856" s="7">
        <f>IF($J1856=0,0,ROUND(MAX($J1856*1.4*1.5*1.6*1.6*2.2*2.715*2.6,3540000000*(1.579646^(MIN($E1856,123)-117)))*1,0))</f>
        <v>36593634</v>
      </c>
      <c r="Y1856" s="4">
        <f>$E1856+17</f>
        <v>124</v>
      </c>
      <c r="Z1856" s="8">
        <f>IF($J1856=0,0,ROUND(MAX($J1856*1.4*1.5*1.6*1.6*2.2*2.715*2.6*1.4,6020000000*(1.651178^(MIN($E1856,123)-117)))*1,0))</f>
        <v>39962952</v>
      </c>
      <c r="AA1856" s="6">
        <f>$E1856+19</f>
        <v>126</v>
      </c>
      <c r="AB1856" s="7">
        <f>IF($J1856=0,0,ROUND(MAX($J1856*1.4*1.5*1.6*1.6*2.2*2.715*2.6*1.4*1.4,8430000000*(1.651435^(MIN($E1856,123)-117)))*1,0))</f>
        <v>55874381</v>
      </c>
      <c r="AC1856" s="4">
        <f>$E1856+21</f>
        <v>128</v>
      </c>
      <c r="AD1856" s="8">
        <f>IF($J1856=0,0,ROUND(MAX($J1856*1.4*1.5*1.6*1.6*2.2*2.715*2.6*1.4*1.4*1.5,12600000000*(1.652953^(MIN($E1856,123)-117)))*1,0))</f>
        <v>82749522</v>
      </c>
      <c r="AE1856" s="6">
        <f>$E1856+24</f>
        <v>131</v>
      </c>
      <c r="AF1856" s="7">
        <f>IF($J1856=0,0,ROUND(MAX($J1856*1.4*1.5*1.6*1.6*2.2*2.715*2.6*1.4*1.4*1.5*1.5,18900000000*(1.65331^(MIN($E1856,123)-117)))*1,0))</f>
        <v>123856521</v>
      </c>
      <c r="AG1856" s="4">
        <f>$E1856+27</f>
        <v>134</v>
      </c>
      <c r="AH1856" s="8">
        <f>IF($J1856=0,0,ROUND(MAX($J1856*1.4*1.5*1.6*1.6*2.2*2.715*2.6*1.4*1.4*1.5*1.5*3.2,60500000000*(1.654288^(MIN($E1856,123)-117)))*1,0))</f>
        <v>394134254</v>
      </c>
    </row>
    <row r="1857" ht="27.75" customHeight="1" spans="1:34" x14ac:dyDescent="0.25">
      <c r="A1857" s="3">
        <v>1867</v>
      </c>
      <c r="B1857" s="3" t="s">
        <v>1214</v>
      </c>
      <c r="C1857" s="3" t="s">
        <v>1175</v>
      </c>
      <c r="D1857" s="3" t="s">
        <v>40</v>
      </c>
      <c r="E1857" s="3">
        <v>107</v>
      </c>
      <c r="F1857" s="3" t="s">
        <v>412</v>
      </c>
      <c r="G1857" s="3" t="s">
        <v>35</v>
      </c>
      <c r="H1857" s="3">
        <v>24</v>
      </c>
      <c r="I1857" s="4">
        <v>107</v>
      </c>
      <c r="J1857" s="5">
        <v>87400</v>
      </c>
      <c r="K1857" s="6">
        <f>$E1857+1</f>
        <v>108</v>
      </c>
      <c r="L1857" s="7">
        <f>IF($J1857=0,0,ROUND(MAX($J1857*1.4,1620000*(1.497923^(MIN($E1857,123)-117)))*1,0))</f>
        <v>122360</v>
      </c>
      <c r="M1857" s="4">
        <f>$E1857+2</f>
        <v>109</v>
      </c>
      <c r="N1857" s="8">
        <f>IF($J1857=0,0,ROUND(MAX($J1857*1.4*1.5,2190000*(1.580994^(MIN($E1857,123)-117)))*1,0))</f>
        <v>183540</v>
      </c>
      <c r="O1857" s="6">
        <f>$E1857+4</f>
        <v>111</v>
      </c>
      <c r="P1857" s="7">
        <f>IF($J1857=0,0,ROUND(MAX($J1857*1.4*1.5*1.6,3500000*(1.57975^(MIN($E1857,123)-117)))*1,0))</f>
        <v>293664</v>
      </c>
      <c r="Q1857" s="4">
        <f>$E1857+6</f>
        <v>113</v>
      </c>
      <c r="R1857" s="8">
        <f>IF($J1857=0,0,ROUND(MAX($J1857*1.4*1.5*1.6*1.6,13100000*(1.429962^(MIN($E1857,123)-117)))*1,0))</f>
        <v>469862</v>
      </c>
      <c r="S1857" s="6">
        <f>$E1857+8</f>
        <v>115</v>
      </c>
      <c r="T1857" s="7">
        <f>IF($J1857=0,0,ROUND(MAX($J1857*1.4*1.5*1.6*1.6*2.2,42600000*(1.576904^(MIN($E1857,123)-117)))*1,0))</f>
        <v>1033697</v>
      </c>
      <c r="U1857" s="4">
        <f>$E1857+11</f>
        <v>118</v>
      </c>
      <c r="V1857" s="8">
        <f>IF($J1857=0,0,ROUND(MAX($J1857*1.4*1.5*1.6*1.6*2.2*2.715,354000000*(1.642074^(MIN($E1857,123)-117)))*1,0))</f>
        <v>2806488</v>
      </c>
      <c r="W1857" s="6">
        <f>$E1857+15</f>
        <v>122</v>
      </c>
      <c r="X1857" s="7">
        <f>IF($J1857=0,0,ROUND(MAX($J1857*1.4*1.5*1.6*1.6*2.2*2.715*2.6,3540000000*(1.579646^(MIN($E1857,123)-117)))*1,0))</f>
        <v>36593634</v>
      </c>
      <c r="Y1857" s="4">
        <f>$E1857+17</f>
        <v>124</v>
      </c>
      <c r="Z1857" s="8">
        <f>IF($J1857=0,0,ROUND(MAX($J1857*1.4*1.5*1.6*1.6*2.2*2.715*2.6*1.4,6020000000*(1.651178^(MIN($E1857,123)-117)))*1,0))</f>
        <v>39962952</v>
      </c>
      <c r="AA1857" s="6">
        <f>$E1857+19</f>
        <v>126</v>
      </c>
      <c r="AB1857" s="7">
        <f>IF($J1857=0,0,ROUND(MAX($J1857*1.4*1.5*1.6*1.6*2.2*2.715*2.6*1.4*1.4,8430000000*(1.651435^(MIN($E1857,123)-117)))*1,0))</f>
        <v>55874381</v>
      </c>
      <c r="AC1857" s="4">
        <f>$E1857+21</f>
        <v>128</v>
      </c>
      <c r="AD1857" s="8">
        <f>IF($J1857=0,0,ROUND(MAX($J1857*1.4*1.5*1.6*1.6*2.2*2.715*2.6*1.4*1.4*1.5,12600000000*(1.652953^(MIN($E1857,123)-117)))*1,0))</f>
        <v>82749522</v>
      </c>
      <c r="AE1857" s="6">
        <f>$E1857+24</f>
        <v>131</v>
      </c>
      <c r="AF1857" s="7">
        <f>IF($J1857=0,0,ROUND(MAX($J1857*1.4*1.5*1.6*1.6*2.2*2.715*2.6*1.4*1.4*1.5*1.5,18900000000*(1.65331^(MIN($E1857,123)-117)))*1,0))</f>
        <v>123856521</v>
      </c>
      <c r="AG1857" s="4">
        <f>$E1857+27</f>
        <v>134</v>
      </c>
      <c r="AH1857" s="8">
        <f>IF($J1857=0,0,ROUND(MAX($J1857*1.4*1.5*1.6*1.6*2.2*2.715*2.6*1.4*1.4*1.5*1.5*3.2,60500000000*(1.654288^(MIN($E1857,123)-117)))*1,0))</f>
        <v>394134254</v>
      </c>
    </row>
    <row r="1858" ht="27.75" customHeight="1" spans="1:34" x14ac:dyDescent="0.25">
      <c r="A1858" s="3">
        <v>1868</v>
      </c>
      <c r="B1858" s="3" t="s">
        <v>1215</v>
      </c>
      <c r="C1858" s="3" t="s">
        <v>1175</v>
      </c>
      <c r="D1858" s="3" t="s">
        <v>40</v>
      </c>
      <c r="E1858" s="3">
        <v>107</v>
      </c>
      <c r="F1858" s="3" t="s">
        <v>56</v>
      </c>
      <c r="G1858" s="3" t="s">
        <v>98</v>
      </c>
      <c r="H1858" s="3">
        <v>24</v>
      </c>
      <c r="I1858" s="4">
        <v>107</v>
      </c>
      <c r="J1858" s="5">
        <v>68500</v>
      </c>
      <c r="K1858" s="6">
        <f>$E1858+1</f>
        <v>108</v>
      </c>
      <c r="L1858" s="7">
        <f>IF($J1858=0,0,ROUND(MAX($J1858*1.4,1620000*(1.497923^(MIN($E1858,123)-117)))*1,0))</f>
        <v>95900</v>
      </c>
      <c r="M1858" s="4">
        <f>$E1858+2</f>
        <v>109</v>
      </c>
      <c r="N1858" s="8">
        <f>IF($J1858=0,0,ROUND(MAX($J1858*1.4*1.5,2190000*(1.580994^(MIN($E1858,123)-117)))*1,0))</f>
        <v>143850</v>
      </c>
      <c r="O1858" s="6">
        <f>$E1858+4</f>
        <v>111</v>
      </c>
      <c r="P1858" s="7">
        <f>IF($J1858=0,0,ROUND(MAX($J1858*1.4*1.5*1.6,3500000*(1.57975^(MIN($E1858,123)-117)))*1,0))</f>
        <v>230160</v>
      </c>
      <c r="Q1858" s="4">
        <f>$E1858+6</f>
        <v>113</v>
      </c>
      <c r="R1858" s="8">
        <f>IF($J1858=0,0,ROUND(MAX($J1858*1.4*1.5*1.6*1.6,13100000*(1.429962^(MIN($E1858,123)-117)))*1,0))</f>
        <v>368256</v>
      </c>
      <c r="S1858" s="6">
        <f>$E1858+8</f>
        <v>115</v>
      </c>
      <c r="T1858" s="7">
        <f>IF($J1858=0,0,ROUND(MAX($J1858*1.4*1.5*1.6*1.6*2.2,42600000*(1.576904^(MIN($E1858,123)-117)))*1,0))</f>
        <v>810163</v>
      </c>
      <c r="U1858" s="4">
        <f>$E1858+11</f>
        <v>118</v>
      </c>
      <c r="V1858" s="8">
        <f>IF($J1858=0,0,ROUND(MAX($J1858*1.4*1.5*1.6*1.6*2.2*2.715,354000000*(1.642074^(MIN($E1858,123)-117)))*1,0))</f>
        <v>2483568</v>
      </c>
      <c r="W1858" s="6">
        <f>$E1858+15</f>
        <v>122</v>
      </c>
      <c r="X1858" s="7">
        <f>IF($J1858=0,0,ROUND(MAX($J1858*1.4*1.5*1.6*1.6*2.2*2.715*2.6,3540000000*(1.579646^(MIN($E1858,123)-117)))*1,0))</f>
        <v>36593634</v>
      </c>
      <c r="Y1858" s="4">
        <f>$E1858+17</f>
        <v>124</v>
      </c>
      <c r="Z1858" s="8">
        <f>IF($J1858=0,0,ROUND(MAX($J1858*1.4*1.5*1.6*1.6*2.2*2.715*2.6*1.4,6020000000*(1.651178^(MIN($E1858,123)-117)))*1,0))</f>
        <v>39962952</v>
      </c>
      <c r="AA1858" s="6">
        <f>$E1858+19</f>
        <v>126</v>
      </c>
      <c r="AB1858" s="7">
        <f>IF($J1858=0,0,ROUND(MAX($J1858*1.4*1.5*1.6*1.6*2.2*2.715*2.6*1.4*1.4,8430000000*(1.651435^(MIN($E1858,123)-117)))*1,0))</f>
        <v>55874381</v>
      </c>
      <c r="AC1858" s="4">
        <f>$E1858+21</f>
        <v>128</v>
      </c>
      <c r="AD1858" s="8">
        <f>IF($J1858=0,0,ROUND(MAX($J1858*1.4*1.5*1.6*1.6*2.2*2.715*2.6*1.4*1.4*1.5,12600000000*(1.652953^(MIN($E1858,123)-117)))*1,0))</f>
        <v>82749522</v>
      </c>
      <c r="AE1858" s="6">
        <f>$E1858+24</f>
        <v>131</v>
      </c>
      <c r="AF1858" s="7">
        <f>IF($J1858=0,0,ROUND(MAX($J1858*1.4*1.5*1.6*1.6*2.2*2.715*2.6*1.4*1.4*1.5*1.5,18900000000*(1.65331^(MIN($E1858,123)-117)))*1,0))</f>
        <v>123856521</v>
      </c>
      <c r="AG1858" s="4">
        <f>$E1858+27</f>
        <v>134</v>
      </c>
      <c r="AH1858" s="8">
        <f>IF($J1858=0,0,ROUND(MAX($J1858*1.4*1.5*1.6*1.6*2.2*2.715*2.6*1.4*1.4*1.5*1.5*3.2,60500000000*(1.654288^(MIN($E1858,123)-117)))*1,0))</f>
        <v>394134254</v>
      </c>
    </row>
    <row r="1859" ht="27.75" customHeight="1" spans="1:34" x14ac:dyDescent="0.25">
      <c r="A1859" s="3">
        <v>1869</v>
      </c>
      <c r="B1859" s="3" t="s">
        <v>634</v>
      </c>
      <c r="C1859" s="3" t="s">
        <v>1175</v>
      </c>
      <c r="D1859" s="3" t="s">
        <v>33</v>
      </c>
      <c r="E1859" s="3">
        <v>107</v>
      </c>
      <c r="F1859" s="3" t="s">
        <v>59</v>
      </c>
      <c r="G1859" s="3" t="s">
        <v>185</v>
      </c>
      <c r="H1859" s="3">
        <v>24</v>
      </c>
      <c r="I1859" s="4">
        <v>107</v>
      </c>
      <c r="J1859" s="5">
        <v>185000</v>
      </c>
      <c r="K1859" s="6">
        <f>$E1859+1</f>
        <v>108</v>
      </c>
      <c r="L1859" s="7">
        <f>IF($J1859=0,0,ROUND(MAX($J1859*1.4,1620000*(1.497923^(MIN($E1859,123)-117)))*1,0))</f>
        <v>259000</v>
      </c>
      <c r="M1859" s="4">
        <f>$E1859+2</f>
        <v>109</v>
      </c>
      <c r="N1859" s="8">
        <f>IF($J1859=0,0,ROUND(MAX($J1859*1.4*1.5,2190000*(1.580994^(MIN($E1859,123)-117)))*1,0))</f>
        <v>388500</v>
      </c>
      <c r="O1859" s="6">
        <f>$E1859+4</f>
        <v>111</v>
      </c>
      <c r="P1859" s="7">
        <f>IF($J1859=0,0,ROUND(MAX($J1859*1.4*1.5*1.6,3500000*(1.57975^(MIN($E1859,123)-117)))*1,0))</f>
        <v>621600</v>
      </c>
      <c r="Q1859" s="4">
        <f>$E1859+6</f>
        <v>113</v>
      </c>
      <c r="R1859" s="8">
        <f>IF($J1859=0,0,ROUND(MAX($J1859*1.4*1.5*1.6*1.6,13100000*(1.429962^(MIN($E1859,123)-117)))*1,0))</f>
        <v>994560</v>
      </c>
      <c r="S1859" s="6">
        <f>$E1859+8</f>
        <v>115</v>
      </c>
      <c r="T1859" s="7">
        <f>IF($J1859=0,0,ROUND(MAX($J1859*1.4*1.5*1.6*1.6*2.2,42600000*(1.576904^(MIN($E1859,123)-117)))*1,0))</f>
        <v>2188032</v>
      </c>
      <c r="U1859" s="4">
        <f>$E1859+11</f>
        <v>118</v>
      </c>
      <c r="V1859" s="8">
        <f>IF($J1859=0,0,ROUND(MAX($J1859*1.4*1.5*1.6*1.6*2.2*2.715,354000000*(1.642074^(MIN($E1859,123)-117)))*1,0))</f>
        <v>5940507</v>
      </c>
      <c r="W1859" s="6">
        <f>$E1859+15</f>
        <v>122</v>
      </c>
      <c r="X1859" s="7">
        <f>IF($J1859=0,0,ROUND(MAX($J1859*1.4*1.5*1.6*1.6*2.2*2.715*2.6,3540000000*(1.579646^(MIN($E1859,123)-117)))*1,0))</f>
        <v>36593634</v>
      </c>
      <c r="Y1859" s="4">
        <f>$E1859+17</f>
        <v>124</v>
      </c>
      <c r="Z1859" s="8">
        <f>IF($J1859=0,0,ROUND(MAX($J1859*1.4*1.5*1.6*1.6*2.2*2.715*2.6*1.4,6020000000*(1.651178^(MIN($E1859,123)-117)))*1,0))</f>
        <v>39962952</v>
      </c>
      <c r="AA1859" s="6">
        <f>$E1859+19</f>
        <v>126</v>
      </c>
      <c r="AB1859" s="7">
        <f>IF($J1859=0,0,ROUND(MAX($J1859*1.4*1.5*1.6*1.6*2.2*2.715*2.6*1.4*1.4,8430000000*(1.651435^(MIN($E1859,123)-117)))*1,0))</f>
        <v>55874381</v>
      </c>
      <c r="AC1859" s="4">
        <f>$E1859+21</f>
        <v>128</v>
      </c>
      <c r="AD1859" s="8">
        <f>IF($J1859=0,0,ROUND(MAX($J1859*1.4*1.5*1.6*1.6*2.2*2.715*2.6*1.4*1.4*1.5,12600000000*(1.652953^(MIN($E1859,123)-117)))*1,0))</f>
        <v>82749522</v>
      </c>
      <c r="AE1859" s="6">
        <f>$E1859+24</f>
        <v>131</v>
      </c>
      <c r="AF1859" s="7">
        <f>IF($J1859=0,0,ROUND(MAX($J1859*1.4*1.5*1.6*1.6*2.2*2.715*2.6*1.4*1.4*1.5*1.5,18900000000*(1.65331^(MIN($E1859,123)-117)))*1,0))</f>
        <v>123856521</v>
      </c>
      <c r="AG1859" s="4">
        <f>$E1859+27</f>
        <v>134</v>
      </c>
      <c r="AH1859" s="8">
        <f>IF($J1859=0,0,ROUND(MAX($J1859*1.4*1.5*1.6*1.6*2.2*2.715*2.6*1.4*1.4*1.5*1.5*3.2,60500000000*(1.654288^(MIN($E1859,123)-117)))*1,0))</f>
        <v>394134254</v>
      </c>
    </row>
    <row r="1860" ht="27.75" customHeight="1" spans="1:34" x14ac:dyDescent="0.25">
      <c r="A1860" s="3">
        <v>1870</v>
      </c>
      <c r="B1860" s="3" t="s">
        <v>255</v>
      </c>
      <c r="C1860" s="3" t="s">
        <v>1175</v>
      </c>
      <c r="D1860" s="3" t="s">
        <v>25</v>
      </c>
      <c r="E1860" s="3">
        <v>107</v>
      </c>
      <c r="F1860" s="3" t="s">
        <v>37</v>
      </c>
      <c r="G1860" s="3" t="s">
        <v>133</v>
      </c>
      <c r="H1860" s="3">
        <v>24</v>
      </c>
      <c r="I1860" s="4">
        <v>107</v>
      </c>
      <c r="J1860" s="5">
        <v>93800</v>
      </c>
      <c r="K1860" s="6">
        <f>$E1860+1</f>
        <v>108</v>
      </c>
      <c r="L1860" s="7">
        <f>IF($J1860=0,0,ROUND(MAX($J1860*1.4,1620000*(1.497923^(MIN($E1860,123)-117)))*1,0))</f>
        <v>131320</v>
      </c>
      <c r="M1860" s="4">
        <f>$E1860+2</f>
        <v>109</v>
      </c>
      <c r="N1860" s="8">
        <f>IF($J1860=0,0,ROUND(MAX($J1860*1.4*1.5,2190000*(1.580994^(MIN($E1860,123)-117)))*1,0))</f>
        <v>196980</v>
      </c>
      <c r="O1860" s="6">
        <f>$E1860+4</f>
        <v>111</v>
      </c>
      <c r="P1860" s="7">
        <f>IF($J1860=0,0,ROUND(MAX($J1860*1.4*1.5*1.6,3500000*(1.57975^(MIN($E1860,123)-117)))*1,0))</f>
        <v>315168</v>
      </c>
      <c r="Q1860" s="4">
        <f>$E1860+6</f>
        <v>113</v>
      </c>
      <c r="R1860" s="8">
        <f>IF($J1860=0,0,ROUND(MAX($J1860*1.4*1.5*1.6*1.6,13100000*(1.429962^(MIN($E1860,123)-117)))*1,0))</f>
        <v>504269</v>
      </c>
      <c r="S1860" s="6">
        <f>$E1860+8</f>
        <v>115</v>
      </c>
      <c r="T1860" s="7">
        <f>IF($J1860=0,0,ROUND(MAX($J1860*1.4*1.5*1.6*1.6*2.2,42600000*(1.576904^(MIN($E1860,123)-117)))*1,0))</f>
        <v>1109391</v>
      </c>
      <c r="U1860" s="4">
        <f>$E1860+11</f>
        <v>118</v>
      </c>
      <c r="V1860" s="8">
        <f>IF($J1860=0,0,ROUND(MAX($J1860*1.4*1.5*1.6*1.6*2.2*2.715,354000000*(1.642074^(MIN($E1860,123)-117)))*1,0))</f>
        <v>3011998</v>
      </c>
      <c r="W1860" s="6">
        <f>$E1860+15</f>
        <v>122</v>
      </c>
      <c r="X1860" s="7">
        <f>IF($J1860=0,0,ROUND(MAX($J1860*1.4*1.5*1.6*1.6*2.2*2.715*2.6,3540000000*(1.579646^(MIN($E1860,123)-117)))*1,0))</f>
        <v>36593634</v>
      </c>
      <c r="Y1860" s="4">
        <f>$E1860+17</f>
        <v>124</v>
      </c>
      <c r="Z1860" s="8">
        <f>IF($J1860=0,0,ROUND(MAX($J1860*1.4*1.5*1.6*1.6*2.2*2.715*2.6*1.4,6020000000*(1.651178^(MIN($E1860,123)-117)))*1,0))</f>
        <v>39962952</v>
      </c>
      <c r="AA1860" s="6">
        <f>$E1860+19</f>
        <v>126</v>
      </c>
      <c r="AB1860" s="7">
        <f>IF($J1860=0,0,ROUND(MAX($J1860*1.4*1.5*1.6*1.6*2.2*2.715*2.6*1.4*1.4,8430000000*(1.651435^(MIN($E1860,123)-117)))*1,0))</f>
        <v>55874381</v>
      </c>
      <c r="AC1860" s="4">
        <f>$E1860+21</f>
        <v>128</v>
      </c>
      <c r="AD1860" s="8">
        <f>IF($J1860=0,0,ROUND(MAX($J1860*1.4*1.5*1.6*1.6*2.2*2.715*2.6*1.4*1.4*1.5,12600000000*(1.652953^(MIN($E1860,123)-117)))*1,0))</f>
        <v>82749522</v>
      </c>
      <c r="AE1860" s="6">
        <f>$E1860+24</f>
        <v>131</v>
      </c>
      <c r="AF1860" s="7">
        <f>IF($J1860=0,0,ROUND(MAX($J1860*1.4*1.5*1.6*1.6*2.2*2.715*2.6*1.4*1.4*1.5*1.5,18900000000*(1.65331^(MIN($E1860,123)-117)))*1,0))</f>
        <v>123856521</v>
      </c>
      <c r="AG1860" s="4">
        <f>$E1860+27</f>
        <v>134</v>
      </c>
      <c r="AH1860" s="8">
        <f>IF($J1860=0,0,ROUND(MAX($J1860*1.4*1.5*1.6*1.6*2.2*2.715*2.6*1.4*1.4*1.5*1.5*3.2,60500000000*(1.654288^(MIN($E1860,123)-117)))*1,0))</f>
        <v>394134254</v>
      </c>
    </row>
    <row r="1861" ht="27.75" customHeight="1" spans="1:34" x14ac:dyDescent="0.25">
      <c r="A1861" s="3">
        <v>1871</v>
      </c>
      <c r="B1861" s="3" t="s">
        <v>1216</v>
      </c>
      <c r="C1861" s="3" t="s">
        <v>1175</v>
      </c>
      <c r="D1861" s="3" t="s">
        <v>33</v>
      </c>
      <c r="E1861" s="3">
        <v>107</v>
      </c>
      <c r="F1861" s="3" t="s">
        <v>54</v>
      </c>
      <c r="G1861" s="3" t="s">
        <v>930</v>
      </c>
      <c r="H1861" s="3">
        <v>23</v>
      </c>
      <c r="I1861" s="4">
        <v>107</v>
      </c>
      <c r="J1861" s="5">
        <v>47400</v>
      </c>
      <c r="K1861" s="6">
        <f>$E1861+1</f>
        <v>108</v>
      </c>
      <c r="L1861" s="7">
        <f>IF($J1861=0,0,ROUND(MAX($J1861*1.4,1620000*(1.497923^(MIN($E1861,123)-117)))*1,0))</f>
        <v>66360</v>
      </c>
      <c r="M1861" s="4">
        <f>$E1861+2</f>
        <v>109</v>
      </c>
      <c r="N1861" s="8">
        <f>IF($J1861=0,0,ROUND(MAX($J1861*1.4*1.5,2190000*(1.580994^(MIN($E1861,123)-117)))*1,0))</f>
        <v>99540</v>
      </c>
      <c r="O1861" s="6">
        <f>$E1861+4</f>
        <v>111</v>
      </c>
      <c r="P1861" s="7">
        <f>IF($J1861=0,0,ROUND(MAX($J1861*1.4*1.5*1.6,3500000*(1.57975^(MIN($E1861,123)-117)))*1,0))</f>
        <v>159264</v>
      </c>
      <c r="Q1861" s="4">
        <f>$E1861+6</f>
        <v>113</v>
      </c>
      <c r="R1861" s="8">
        <f>IF($J1861=0,0,ROUND(MAX($J1861*1.4*1.5*1.6*1.6,13100000*(1.429962^(MIN($E1861,123)-117)))*1,0))</f>
        <v>366460</v>
      </c>
      <c r="S1861" s="6">
        <f>$E1861+8</f>
        <v>115</v>
      </c>
      <c r="T1861" s="7">
        <f>IF($J1861=0,0,ROUND(MAX($J1861*1.4*1.5*1.6*1.6*2.2,42600000*(1.576904^(MIN($E1861,123)-117)))*1,0))</f>
        <v>560609</v>
      </c>
      <c r="U1861" s="4">
        <f>$E1861+11</f>
        <v>118</v>
      </c>
      <c r="V1861" s="8">
        <f>IF($J1861=0,0,ROUND(MAX($J1861*1.4*1.5*1.6*1.6*2.2*2.715,354000000*(1.642074^(MIN($E1861,123)-117)))*1,0))</f>
        <v>2483568</v>
      </c>
      <c r="W1861" s="6">
        <f>$E1861+15</f>
        <v>122</v>
      </c>
      <c r="X1861" s="7">
        <f>IF($J1861=0,0,ROUND(MAX($J1861*1.4*1.5*1.6*1.6*2.2*2.715*2.6,3540000000*(1.579646^(MIN($E1861,123)-117)))*1,0))</f>
        <v>36593634</v>
      </c>
      <c r="Y1861" s="4">
        <f>$E1861+17</f>
        <v>124</v>
      </c>
      <c r="Z1861" s="8">
        <f>IF($J1861=0,0,ROUND(MAX($J1861*1.4*1.5*1.6*1.6*2.2*2.715*2.6*1.4,6020000000*(1.651178^(MIN($E1861,123)-117)))*1,0))</f>
        <v>39962952</v>
      </c>
      <c r="AA1861" s="6">
        <f>$E1861+19</f>
        <v>126</v>
      </c>
      <c r="AB1861" s="7">
        <f>IF($J1861=0,0,ROUND(MAX($J1861*1.4*1.5*1.6*1.6*2.2*2.715*2.6*1.4*1.4,8430000000*(1.651435^(MIN($E1861,123)-117)))*1,0))</f>
        <v>55874381</v>
      </c>
      <c r="AC1861" s="4">
        <f>$E1861+21</f>
        <v>128</v>
      </c>
      <c r="AD1861" s="8">
        <f>IF($J1861=0,0,ROUND(MAX($J1861*1.4*1.5*1.6*1.6*2.2*2.715*2.6*1.4*1.4*1.5,12600000000*(1.652953^(MIN($E1861,123)-117)))*1,0))</f>
        <v>82749522</v>
      </c>
      <c r="AE1861" s="6">
        <f>$E1861+24</f>
        <v>131</v>
      </c>
      <c r="AF1861" s="7">
        <f>IF($J1861=0,0,ROUND(MAX($J1861*1.4*1.5*1.6*1.6*2.2*2.715*2.6*1.4*1.4*1.5*1.5,18900000000*(1.65331^(MIN($E1861,123)-117)))*1,0))</f>
        <v>123856521</v>
      </c>
      <c r="AG1861" s="4">
        <f>$E1861+27</f>
        <v>134</v>
      </c>
      <c r="AH1861" s="8">
        <f>IF($J1861=0,0,ROUND(MAX($J1861*1.4*1.5*1.6*1.6*2.2*2.715*2.6*1.4*1.4*1.5*1.5*3.2,60500000000*(1.654288^(MIN($E1861,123)-117)))*1,0))</f>
        <v>394134254</v>
      </c>
    </row>
    <row r="1862" ht="27.75" customHeight="1" spans="1:34" x14ac:dyDescent="0.25">
      <c r="A1862" s="3">
        <v>1872</v>
      </c>
      <c r="B1862" s="3" t="s">
        <v>1217</v>
      </c>
      <c r="C1862" s="3" t="s">
        <v>1175</v>
      </c>
      <c r="D1862" s="3" t="s">
        <v>102</v>
      </c>
      <c r="E1862" s="3">
        <v>107</v>
      </c>
      <c r="F1862" s="3" t="s">
        <v>71</v>
      </c>
      <c r="G1862" s="3" t="s">
        <v>72</v>
      </c>
      <c r="H1862" s="3">
        <v>23</v>
      </c>
      <c r="I1862" s="4">
        <v>107</v>
      </c>
      <c r="J1862" s="5">
        <v>78100</v>
      </c>
      <c r="K1862" s="6">
        <f>$E1862+1</f>
        <v>108</v>
      </c>
      <c r="L1862" s="7">
        <f>IF($J1862=0,0,ROUND(MAX($J1862*1.4,1620000*(1.497923^(MIN($E1862,123)-117)))*1,0))</f>
        <v>109340</v>
      </c>
      <c r="M1862" s="4">
        <f>$E1862+2</f>
        <v>109</v>
      </c>
      <c r="N1862" s="8">
        <f>IF($J1862=0,0,ROUND(MAX($J1862*1.4*1.5,2190000*(1.580994^(MIN($E1862,123)-117)))*1,0))</f>
        <v>164010</v>
      </c>
      <c r="O1862" s="6">
        <f>$E1862+4</f>
        <v>111</v>
      </c>
      <c r="P1862" s="7">
        <f>IF($J1862=0,0,ROUND(MAX($J1862*1.4*1.5*1.6,3500000*(1.57975^(MIN($E1862,123)-117)))*1,0))</f>
        <v>262416</v>
      </c>
      <c r="Q1862" s="4">
        <f>$E1862+6</f>
        <v>113</v>
      </c>
      <c r="R1862" s="8">
        <f>IF($J1862=0,0,ROUND(MAX($J1862*1.4*1.5*1.6*1.6,13100000*(1.429962^(MIN($E1862,123)-117)))*1,0))</f>
        <v>419866</v>
      </c>
      <c r="S1862" s="6">
        <f>$E1862+8</f>
        <v>115</v>
      </c>
      <c r="T1862" s="7">
        <f>IF($J1862=0,0,ROUND(MAX($J1862*1.4*1.5*1.6*1.6*2.2,42600000*(1.576904^(MIN($E1862,123)-117)))*1,0))</f>
        <v>923704</v>
      </c>
      <c r="U1862" s="4">
        <f>$E1862+11</f>
        <v>118</v>
      </c>
      <c r="V1862" s="8">
        <f>IF($J1862=0,0,ROUND(MAX($J1862*1.4*1.5*1.6*1.6*2.2*2.715,354000000*(1.642074^(MIN($E1862,123)-117)))*1,0))</f>
        <v>2507857</v>
      </c>
      <c r="W1862" s="6">
        <f>$E1862+15</f>
        <v>122</v>
      </c>
      <c r="X1862" s="7">
        <f>IF($J1862=0,0,ROUND(MAX($J1862*1.4*1.5*1.6*1.6*2.2*2.715*2.6,3540000000*(1.579646^(MIN($E1862,123)-117)))*1,0))</f>
        <v>36593634</v>
      </c>
      <c r="Y1862" s="4">
        <f>$E1862+17</f>
        <v>124</v>
      </c>
      <c r="Z1862" s="8">
        <f>IF($J1862=0,0,ROUND(MAX($J1862*1.4*1.5*1.6*1.6*2.2*2.715*2.6*1.4,6020000000*(1.651178^(MIN($E1862,123)-117)))*1,0))</f>
        <v>39962952</v>
      </c>
      <c r="AA1862" s="6">
        <f>$E1862+19</f>
        <v>126</v>
      </c>
      <c r="AB1862" s="7">
        <f>IF($J1862=0,0,ROUND(MAX($J1862*1.4*1.5*1.6*1.6*2.2*2.715*2.6*1.4*1.4,8430000000*(1.651435^(MIN($E1862,123)-117)))*1,0))</f>
        <v>55874381</v>
      </c>
      <c r="AC1862" s="4">
        <f>$E1862+21</f>
        <v>128</v>
      </c>
      <c r="AD1862" s="8">
        <f>IF($J1862=0,0,ROUND(MAX($J1862*1.4*1.5*1.6*1.6*2.2*2.715*2.6*1.4*1.4*1.5,12600000000*(1.652953^(MIN($E1862,123)-117)))*1,0))</f>
        <v>82749522</v>
      </c>
      <c r="AE1862" s="6">
        <f>$E1862+24</f>
        <v>131</v>
      </c>
      <c r="AF1862" s="7">
        <f>IF($J1862=0,0,ROUND(MAX($J1862*1.4*1.5*1.6*1.6*2.2*2.715*2.6*1.4*1.4*1.5*1.5,18900000000*(1.65331^(MIN($E1862,123)-117)))*1,0))</f>
        <v>123856521</v>
      </c>
      <c r="AG1862" s="4">
        <f>$E1862+27</f>
        <v>134</v>
      </c>
      <c r="AH1862" s="8">
        <f>IF($J1862=0,0,ROUND(MAX($J1862*1.4*1.5*1.6*1.6*2.2*2.715*2.6*1.4*1.4*1.5*1.5*3.2,60500000000*(1.654288^(MIN($E1862,123)-117)))*1,0))</f>
        <v>394134254</v>
      </c>
    </row>
    <row r="1863" ht="27.75" customHeight="1" spans="1:34" x14ac:dyDescent="0.25">
      <c r="A1863" s="3">
        <v>1873</v>
      </c>
      <c r="B1863" s="3" t="s">
        <v>1218</v>
      </c>
      <c r="C1863" s="3" t="s">
        <v>1175</v>
      </c>
      <c r="D1863" s="3" t="s">
        <v>45</v>
      </c>
      <c r="E1863" s="3">
        <v>107</v>
      </c>
      <c r="F1863" s="3" t="s">
        <v>71</v>
      </c>
      <c r="G1863" s="3" t="s">
        <v>72</v>
      </c>
      <c r="H1863" s="3">
        <v>23</v>
      </c>
      <c r="I1863" s="4">
        <v>107</v>
      </c>
      <c r="J1863" s="5">
        <v>146000</v>
      </c>
      <c r="K1863" s="6">
        <f>$E1863+1</f>
        <v>108</v>
      </c>
      <c r="L1863" s="7">
        <f>IF($J1863=0,0,ROUND(MAX($J1863*1.4,1620000*(1.497923^(MIN($E1863,123)-117)))*1,0))</f>
        <v>204400</v>
      </c>
      <c r="M1863" s="4">
        <f>$E1863+2</f>
        <v>109</v>
      </c>
      <c r="N1863" s="8">
        <f>IF($J1863=0,0,ROUND(MAX($J1863*1.4*1.5,2190000*(1.580994^(MIN($E1863,123)-117)))*1,0))</f>
        <v>306600</v>
      </c>
      <c r="O1863" s="6">
        <f>$E1863+4</f>
        <v>111</v>
      </c>
      <c r="P1863" s="7">
        <f>IF($J1863=0,0,ROUND(MAX($J1863*1.4*1.5*1.6,3500000*(1.57975^(MIN($E1863,123)-117)))*1,0))</f>
        <v>490560</v>
      </c>
      <c r="Q1863" s="4">
        <f>$E1863+6</f>
        <v>113</v>
      </c>
      <c r="R1863" s="8">
        <f>IF($J1863=0,0,ROUND(MAX($J1863*1.4*1.5*1.6*1.6,13100000*(1.429962^(MIN($E1863,123)-117)))*1,0))</f>
        <v>784896</v>
      </c>
      <c r="S1863" s="6">
        <f>$E1863+8</f>
        <v>115</v>
      </c>
      <c r="T1863" s="7">
        <f>IF($J1863=0,0,ROUND(MAX($J1863*1.4*1.5*1.6*1.6*2.2,42600000*(1.576904^(MIN($E1863,123)-117)))*1,0))</f>
        <v>1726771</v>
      </c>
      <c r="U1863" s="4">
        <f>$E1863+11</f>
        <v>118</v>
      </c>
      <c r="V1863" s="8">
        <f>IF($J1863=0,0,ROUND(MAX($J1863*1.4*1.5*1.6*1.6*2.2*2.715,354000000*(1.642074^(MIN($E1863,123)-117)))*1,0))</f>
        <v>4688184</v>
      </c>
      <c r="W1863" s="6">
        <f>$E1863+15</f>
        <v>122</v>
      </c>
      <c r="X1863" s="7">
        <f>IF($J1863=0,0,ROUND(MAX($J1863*1.4*1.5*1.6*1.6*2.2*2.715*2.6,3540000000*(1.579646^(MIN($E1863,123)-117)))*1,0))</f>
        <v>36593634</v>
      </c>
      <c r="Y1863" s="4">
        <f>$E1863+17</f>
        <v>124</v>
      </c>
      <c r="Z1863" s="8">
        <f>IF($J1863=0,0,ROUND(MAX($J1863*1.4*1.5*1.6*1.6*2.2*2.715*2.6*1.4,6020000000*(1.651178^(MIN($E1863,123)-117)))*1,0))</f>
        <v>39962952</v>
      </c>
      <c r="AA1863" s="6">
        <f>$E1863+19</f>
        <v>126</v>
      </c>
      <c r="AB1863" s="7">
        <f>IF($J1863=0,0,ROUND(MAX($J1863*1.4*1.5*1.6*1.6*2.2*2.715*2.6*1.4*1.4,8430000000*(1.651435^(MIN($E1863,123)-117)))*1,0))</f>
        <v>55874381</v>
      </c>
      <c r="AC1863" s="4">
        <f>$E1863+21</f>
        <v>128</v>
      </c>
      <c r="AD1863" s="8">
        <f>IF($J1863=0,0,ROUND(MAX($J1863*1.4*1.5*1.6*1.6*2.2*2.715*2.6*1.4*1.4*1.5,12600000000*(1.652953^(MIN($E1863,123)-117)))*1,0))</f>
        <v>82749522</v>
      </c>
      <c r="AE1863" s="6">
        <f>$E1863+24</f>
        <v>131</v>
      </c>
      <c r="AF1863" s="7">
        <f>IF($J1863=0,0,ROUND(MAX($J1863*1.4*1.5*1.6*1.6*2.2*2.715*2.6*1.4*1.4*1.5*1.5,18900000000*(1.65331^(MIN($E1863,123)-117)))*1,0))</f>
        <v>123856521</v>
      </c>
      <c r="AG1863" s="4">
        <f>$E1863+27</f>
        <v>134</v>
      </c>
      <c r="AH1863" s="8">
        <f>IF($J1863=0,0,ROUND(MAX($J1863*1.4*1.5*1.6*1.6*2.2*2.715*2.6*1.4*1.4*1.5*1.5*3.2,60500000000*(1.654288^(MIN($E1863,123)-117)))*1,0))</f>
        <v>394134254</v>
      </c>
    </row>
    <row r="1864" ht="27.75" customHeight="1" spans="1:34" x14ac:dyDescent="0.25">
      <c r="A1864" s="3">
        <v>1874</v>
      </c>
      <c r="B1864" s="3" t="s">
        <v>1219</v>
      </c>
      <c r="C1864" s="3" t="s">
        <v>1175</v>
      </c>
      <c r="D1864" s="3" t="s">
        <v>75</v>
      </c>
      <c r="E1864" s="3">
        <v>107</v>
      </c>
      <c r="F1864" s="3" t="s">
        <v>37</v>
      </c>
      <c r="G1864" s="3" t="s">
        <v>133</v>
      </c>
      <c r="H1864" s="3">
        <v>23</v>
      </c>
      <c r="I1864" s="4">
        <v>107</v>
      </c>
      <c r="J1864" s="5">
        <v>4920000</v>
      </c>
      <c r="K1864" s="6">
        <f>$E1864+1</f>
        <v>108</v>
      </c>
      <c r="L1864" s="7">
        <f>IF($J1864=0,0,ROUND(MAX($J1864*1.4,1620000*(1.497923^(MIN($E1864,123)-117)))*1,0))</f>
        <v>6888000</v>
      </c>
      <c r="M1864" s="4">
        <f>$E1864+2</f>
        <v>109</v>
      </c>
      <c r="N1864" s="8">
        <f>IF($J1864=0,0,ROUND(MAX($J1864*1.4*1.5,2190000*(1.580994^(MIN($E1864,123)-117)))*1,0))</f>
        <v>10332000</v>
      </c>
      <c r="O1864" s="6">
        <f>$E1864+4</f>
        <v>111</v>
      </c>
      <c r="P1864" s="7">
        <f>IF($J1864=0,0,ROUND(MAX($J1864*1.4*1.5*1.6,3500000*(1.57975^(MIN($E1864,123)-117)))*1,0))</f>
        <v>16531200</v>
      </c>
      <c r="Q1864" s="4">
        <f>$E1864+6</f>
        <v>113</v>
      </c>
      <c r="R1864" s="8">
        <f>IF($J1864=0,0,ROUND(MAX($J1864*1.4*1.5*1.6*1.6,13100000*(1.429962^(MIN($E1864,123)-117)))*1,0))</f>
        <v>26449920</v>
      </c>
      <c r="S1864" s="6">
        <f>$E1864+8</f>
        <v>115</v>
      </c>
      <c r="T1864" s="7">
        <f>IF($J1864=0,0,ROUND(MAX($J1864*1.4*1.5*1.6*1.6*2.2,42600000*(1.576904^(MIN($E1864,123)-117)))*1,0))</f>
        <v>58189824</v>
      </c>
      <c r="U1864" s="4">
        <f>$E1864+11</f>
        <v>118</v>
      </c>
      <c r="V1864" s="8">
        <f>IF($J1864=0,0,ROUND(MAX($J1864*1.4*1.5*1.6*1.6*2.2*2.715,354000000*(1.642074^(MIN($E1864,123)-117)))*1,0))</f>
        <v>157985372</v>
      </c>
      <c r="W1864" s="6">
        <f>$E1864+15</f>
        <v>122</v>
      </c>
      <c r="X1864" s="7">
        <f>IF($J1864=0,0,ROUND(MAX($J1864*1.4*1.5*1.6*1.6*2.2*2.715*2.6,3540000000*(1.579646^(MIN($E1864,123)-117)))*1,0))</f>
        <v>410761968</v>
      </c>
      <c r="Y1864" s="4">
        <f>$E1864+17</f>
        <v>124</v>
      </c>
      <c r="Z1864" s="8">
        <f>IF($J1864=0,0,ROUND(MAX($J1864*1.4*1.5*1.6*1.6*2.2*2.715*2.6*1.4,6020000000*(1.651178^(MIN($E1864,123)-117)))*1,0))</f>
        <v>575066755</v>
      </c>
      <c r="AA1864" s="6">
        <f>$E1864+19</f>
        <v>126</v>
      </c>
      <c r="AB1864" s="7">
        <f>IF($J1864=0,0,ROUND(MAX($J1864*1.4*1.5*1.6*1.6*2.2*2.715*2.6*1.4*1.4,8430000000*(1.651435^(MIN($E1864,123)-117)))*1,0))</f>
        <v>805093457</v>
      </c>
      <c r="AC1864" s="4">
        <f>$E1864+21</f>
        <v>128</v>
      </c>
      <c r="AD1864" s="8">
        <f>IF($J1864=0,0,ROUND(MAX($J1864*1.4*1.5*1.6*1.6*2.2*2.715*2.6*1.4*1.4*1.5,12600000000*(1.652953^(MIN($E1864,123)-117)))*1,0))</f>
        <v>1207640185</v>
      </c>
      <c r="AE1864" s="6">
        <f>$E1864+24</f>
        <v>131</v>
      </c>
      <c r="AF1864" s="7">
        <f>IF($J1864=0,0,ROUND(MAX($J1864*1.4*1.5*1.6*1.6*2.2*2.715*2.6*1.4*1.4*1.5*1.5,18900000000*(1.65331^(MIN($E1864,123)-117)))*1,0))</f>
        <v>1811460277</v>
      </c>
      <c r="AG1864" s="4">
        <f>$E1864+27</f>
        <v>134</v>
      </c>
      <c r="AH1864" s="8">
        <f>IF($J1864=0,0,ROUND(MAX($J1864*1.4*1.5*1.6*1.6*2.2*2.715*2.6*1.4*1.4*1.5*1.5*3.2,60500000000*(1.654288^(MIN($E1864,123)-117)))*1,0))</f>
        <v>5796672887</v>
      </c>
    </row>
    <row r="1865" ht="27.75" customHeight="1" spans="1:34" x14ac:dyDescent="0.25">
      <c r="A1865" s="3">
        <v>1875</v>
      </c>
      <c r="B1865" s="3" t="s">
        <v>1220</v>
      </c>
      <c r="C1865" s="3" t="s">
        <v>1175</v>
      </c>
      <c r="D1865" s="3" t="s">
        <v>75</v>
      </c>
      <c r="E1865" s="3">
        <v>107</v>
      </c>
      <c r="F1865" s="3" t="s">
        <v>62</v>
      </c>
      <c r="G1865" s="3" t="s">
        <v>171</v>
      </c>
      <c r="H1865" s="3">
        <v>23</v>
      </c>
      <c r="I1865" s="4">
        <v>107</v>
      </c>
      <c r="J1865" s="5">
        <v>68000</v>
      </c>
      <c r="K1865" s="6">
        <f>$E1865+1</f>
        <v>108</v>
      </c>
      <c r="L1865" s="7">
        <f>IF($J1865=0,0,ROUND(MAX($J1865*1.4,1620000*(1.497923^(MIN($E1865,123)-117)))*1,0))</f>
        <v>95200</v>
      </c>
      <c r="M1865" s="4">
        <f>$E1865+2</f>
        <v>109</v>
      </c>
      <c r="N1865" s="8">
        <f>IF($J1865=0,0,ROUND(MAX($J1865*1.4*1.5,2190000*(1.580994^(MIN($E1865,123)-117)))*1,0))</f>
        <v>142800</v>
      </c>
      <c r="O1865" s="6">
        <f>$E1865+4</f>
        <v>111</v>
      </c>
      <c r="P1865" s="7">
        <f>IF($J1865=0,0,ROUND(MAX($J1865*1.4*1.5*1.6,3500000*(1.57975^(MIN($E1865,123)-117)))*1,0))</f>
        <v>228480</v>
      </c>
      <c r="Q1865" s="4">
        <f>$E1865+6</f>
        <v>113</v>
      </c>
      <c r="R1865" s="8">
        <f>IF($J1865=0,0,ROUND(MAX($J1865*1.4*1.5*1.6*1.6,13100000*(1.429962^(MIN($E1865,123)-117)))*1,0))</f>
        <v>366460</v>
      </c>
      <c r="S1865" s="6">
        <f>$E1865+8</f>
        <v>115</v>
      </c>
      <c r="T1865" s="7">
        <f>IF($J1865=0,0,ROUND(MAX($J1865*1.4*1.5*1.6*1.6*2.2,42600000*(1.576904^(MIN($E1865,123)-117)))*1,0))</f>
        <v>804250</v>
      </c>
      <c r="U1865" s="4">
        <f>$E1865+11</f>
        <v>118</v>
      </c>
      <c r="V1865" s="8">
        <f>IF($J1865=0,0,ROUND(MAX($J1865*1.4*1.5*1.6*1.6*2.2*2.715,354000000*(1.642074^(MIN($E1865,123)-117)))*1,0))</f>
        <v>2483568</v>
      </c>
      <c r="W1865" s="6">
        <f>$E1865+15</f>
        <v>122</v>
      </c>
      <c r="X1865" s="7">
        <f>IF($J1865=0,0,ROUND(MAX($J1865*1.4*1.5*1.6*1.6*2.2*2.715*2.6,3540000000*(1.579646^(MIN($E1865,123)-117)))*1,0))</f>
        <v>36593634</v>
      </c>
      <c r="Y1865" s="4">
        <f>$E1865+17</f>
        <v>124</v>
      </c>
      <c r="Z1865" s="8">
        <f>IF($J1865=0,0,ROUND(MAX($J1865*1.4*1.5*1.6*1.6*2.2*2.715*2.6*1.4,6020000000*(1.651178^(MIN($E1865,123)-117)))*1,0))</f>
        <v>39962952</v>
      </c>
      <c r="AA1865" s="6">
        <f>$E1865+19</f>
        <v>126</v>
      </c>
      <c r="AB1865" s="7">
        <f>IF($J1865=0,0,ROUND(MAX($J1865*1.4*1.5*1.6*1.6*2.2*2.715*2.6*1.4*1.4,8430000000*(1.651435^(MIN($E1865,123)-117)))*1,0))</f>
        <v>55874381</v>
      </c>
      <c r="AC1865" s="4">
        <f>$E1865+21</f>
        <v>128</v>
      </c>
      <c r="AD1865" s="8">
        <f>IF($J1865=0,0,ROUND(MAX($J1865*1.4*1.5*1.6*1.6*2.2*2.715*2.6*1.4*1.4*1.5,12600000000*(1.652953^(MIN($E1865,123)-117)))*1,0))</f>
        <v>82749522</v>
      </c>
      <c r="AE1865" s="6">
        <f>$E1865+24</f>
        <v>131</v>
      </c>
      <c r="AF1865" s="7">
        <f>IF($J1865=0,0,ROUND(MAX($J1865*1.4*1.5*1.6*1.6*2.2*2.715*2.6*1.4*1.4*1.5*1.5,18900000000*(1.65331^(MIN($E1865,123)-117)))*1,0))</f>
        <v>123856521</v>
      </c>
      <c r="AG1865" s="4">
        <f>$E1865+27</f>
        <v>134</v>
      </c>
      <c r="AH1865" s="8">
        <f>IF($J1865=0,0,ROUND(MAX($J1865*1.4*1.5*1.6*1.6*2.2*2.715*2.6*1.4*1.4*1.5*1.5*3.2,60500000000*(1.654288^(MIN($E1865,123)-117)))*1,0))</f>
        <v>394134254</v>
      </c>
    </row>
    <row r="1866" ht="27.75" customHeight="1" spans="1:34" x14ac:dyDescent="0.25">
      <c r="A1866" s="3">
        <v>1876</v>
      </c>
      <c r="B1866" s="3" t="s">
        <v>306</v>
      </c>
      <c r="C1866" s="3" t="s">
        <v>1175</v>
      </c>
      <c r="D1866" s="3" t="s">
        <v>33</v>
      </c>
      <c r="E1866" s="3">
        <v>107</v>
      </c>
      <c r="F1866" s="3" t="s">
        <v>42</v>
      </c>
      <c r="G1866" s="3" t="s">
        <v>95</v>
      </c>
      <c r="H1866" s="3">
        <v>23</v>
      </c>
      <c r="I1866" s="4">
        <v>107</v>
      </c>
      <c r="J1866" s="5">
        <v>74900</v>
      </c>
      <c r="K1866" s="6">
        <f>$E1866+1</f>
        <v>108</v>
      </c>
      <c r="L1866" s="7">
        <f>IF($J1866=0,0,ROUND(MAX($J1866*1.4,1620000*(1.497923^(MIN($E1866,123)-117)))*1,0))</f>
        <v>104860</v>
      </c>
      <c r="M1866" s="4">
        <f>$E1866+2</f>
        <v>109</v>
      </c>
      <c r="N1866" s="8">
        <f>IF($J1866=0,0,ROUND(MAX($J1866*1.4*1.5,2190000*(1.580994^(MIN($E1866,123)-117)))*1,0))</f>
        <v>157290</v>
      </c>
      <c r="O1866" s="6">
        <f>$E1866+4</f>
        <v>111</v>
      </c>
      <c r="P1866" s="7">
        <f>IF($J1866=0,0,ROUND(MAX($J1866*1.4*1.5*1.6,3500000*(1.57975^(MIN($E1866,123)-117)))*1,0))</f>
        <v>251664</v>
      </c>
      <c r="Q1866" s="4">
        <f>$E1866+6</f>
        <v>113</v>
      </c>
      <c r="R1866" s="8">
        <f>IF($J1866=0,0,ROUND(MAX($J1866*1.4*1.5*1.6*1.6,13100000*(1.429962^(MIN($E1866,123)-117)))*1,0))</f>
        <v>402662</v>
      </c>
      <c r="S1866" s="6">
        <f>$E1866+8</f>
        <v>115</v>
      </c>
      <c r="T1866" s="7">
        <f>IF($J1866=0,0,ROUND(MAX($J1866*1.4*1.5*1.6*1.6*2.2,42600000*(1.576904^(MIN($E1866,123)-117)))*1,0))</f>
        <v>885857</v>
      </c>
      <c r="U1866" s="4">
        <f>$E1866+11</f>
        <v>118</v>
      </c>
      <c r="V1866" s="8">
        <f>IF($J1866=0,0,ROUND(MAX($J1866*1.4*1.5*1.6*1.6*2.2*2.715,354000000*(1.642074^(MIN($E1866,123)-117)))*1,0))</f>
        <v>2483568</v>
      </c>
      <c r="W1866" s="6">
        <f>$E1866+15</f>
        <v>122</v>
      </c>
      <c r="X1866" s="7">
        <f>IF($J1866=0,0,ROUND(MAX($J1866*1.4*1.5*1.6*1.6*2.2*2.715*2.6,3540000000*(1.579646^(MIN($E1866,123)-117)))*1,0))</f>
        <v>36593634</v>
      </c>
      <c r="Y1866" s="4">
        <f>$E1866+17</f>
        <v>124</v>
      </c>
      <c r="Z1866" s="8">
        <f>IF($J1866=0,0,ROUND(MAX($J1866*1.4*1.5*1.6*1.6*2.2*2.715*2.6*1.4,6020000000*(1.651178^(MIN($E1866,123)-117)))*1,0))</f>
        <v>39962952</v>
      </c>
      <c r="AA1866" s="6">
        <f>$E1866+19</f>
        <v>126</v>
      </c>
      <c r="AB1866" s="7">
        <f>IF($J1866=0,0,ROUND(MAX($J1866*1.4*1.5*1.6*1.6*2.2*2.715*2.6*1.4*1.4,8430000000*(1.651435^(MIN($E1866,123)-117)))*1,0))</f>
        <v>55874381</v>
      </c>
      <c r="AC1866" s="4">
        <f>$E1866+21</f>
        <v>128</v>
      </c>
      <c r="AD1866" s="8">
        <f>IF($J1866=0,0,ROUND(MAX($J1866*1.4*1.5*1.6*1.6*2.2*2.715*2.6*1.4*1.4*1.5,12600000000*(1.652953^(MIN($E1866,123)-117)))*1,0))</f>
        <v>82749522</v>
      </c>
      <c r="AE1866" s="6">
        <f>$E1866+24</f>
        <v>131</v>
      </c>
      <c r="AF1866" s="7">
        <f>IF($J1866=0,0,ROUND(MAX($J1866*1.4*1.5*1.6*1.6*2.2*2.715*2.6*1.4*1.4*1.5*1.5,18900000000*(1.65331^(MIN($E1866,123)-117)))*1,0))</f>
        <v>123856521</v>
      </c>
      <c r="AG1866" s="4">
        <f>$E1866+27</f>
        <v>134</v>
      </c>
      <c r="AH1866" s="8">
        <f>IF($J1866=0,0,ROUND(MAX($J1866*1.4*1.5*1.6*1.6*2.2*2.715*2.6*1.4*1.4*1.5*1.5*3.2,60500000000*(1.654288^(MIN($E1866,123)-117)))*1,0))</f>
        <v>394134254</v>
      </c>
    </row>
    <row r="1867" ht="27.75" customHeight="1" spans="1:34" x14ac:dyDescent="0.25">
      <c r="A1867" s="3">
        <v>1877</v>
      </c>
      <c r="B1867" s="3" t="s">
        <v>1221</v>
      </c>
      <c r="C1867" s="3" t="s">
        <v>1175</v>
      </c>
      <c r="D1867" s="3" t="s">
        <v>64</v>
      </c>
      <c r="E1867" s="3">
        <v>107</v>
      </c>
      <c r="F1867" s="3" t="s">
        <v>56</v>
      </c>
      <c r="G1867" s="3" t="s">
        <v>86</v>
      </c>
      <c r="H1867" s="3">
        <v>23</v>
      </c>
      <c r="I1867" s="4">
        <v>107</v>
      </c>
      <c r="J1867" s="5">
        <v>93800</v>
      </c>
      <c r="K1867" s="6">
        <f>$E1867+1</f>
        <v>108</v>
      </c>
      <c r="L1867" s="7">
        <f>IF($J1867=0,0,ROUND(MAX($J1867*1.4,1620000*(1.497923^(MIN($E1867,123)-117)))*1,0))</f>
        <v>131320</v>
      </c>
      <c r="M1867" s="4">
        <f>$E1867+2</f>
        <v>109</v>
      </c>
      <c r="N1867" s="8">
        <f>IF($J1867=0,0,ROUND(MAX($J1867*1.4*1.5,2190000*(1.580994^(MIN($E1867,123)-117)))*1,0))</f>
        <v>196980</v>
      </c>
      <c r="O1867" s="6">
        <f>$E1867+4</f>
        <v>111</v>
      </c>
      <c r="P1867" s="7">
        <f>IF($J1867=0,0,ROUND(MAX($J1867*1.4*1.5*1.6,3500000*(1.57975^(MIN($E1867,123)-117)))*1,0))</f>
        <v>315168</v>
      </c>
      <c r="Q1867" s="4">
        <f>$E1867+6</f>
        <v>113</v>
      </c>
      <c r="R1867" s="8">
        <f>IF($J1867=0,0,ROUND(MAX($J1867*1.4*1.5*1.6*1.6,13100000*(1.429962^(MIN($E1867,123)-117)))*1,0))</f>
        <v>504269</v>
      </c>
      <c r="S1867" s="6">
        <f>$E1867+8</f>
        <v>115</v>
      </c>
      <c r="T1867" s="7">
        <f>IF($J1867=0,0,ROUND(MAX($J1867*1.4*1.5*1.6*1.6*2.2,42600000*(1.576904^(MIN($E1867,123)-117)))*1,0))</f>
        <v>1109391</v>
      </c>
      <c r="U1867" s="4">
        <f>$E1867+11</f>
        <v>118</v>
      </c>
      <c r="V1867" s="8">
        <f>IF($J1867=0,0,ROUND(MAX($J1867*1.4*1.5*1.6*1.6*2.2*2.715,354000000*(1.642074^(MIN($E1867,123)-117)))*1,0))</f>
        <v>3011998</v>
      </c>
      <c r="W1867" s="6">
        <f>$E1867+15</f>
        <v>122</v>
      </c>
      <c r="X1867" s="7">
        <f>IF($J1867=0,0,ROUND(MAX($J1867*1.4*1.5*1.6*1.6*2.2*2.715*2.6,3540000000*(1.579646^(MIN($E1867,123)-117)))*1,0))</f>
        <v>36593634</v>
      </c>
      <c r="Y1867" s="4">
        <f>$E1867+17</f>
        <v>124</v>
      </c>
      <c r="Z1867" s="8">
        <f>IF($J1867=0,0,ROUND(MAX($J1867*1.4*1.5*1.6*1.6*2.2*2.715*2.6*1.4,6020000000*(1.651178^(MIN($E1867,123)-117)))*1,0))</f>
        <v>39962952</v>
      </c>
      <c r="AA1867" s="6">
        <f>$E1867+19</f>
        <v>126</v>
      </c>
      <c r="AB1867" s="7">
        <f>IF($J1867=0,0,ROUND(MAX($J1867*1.4*1.5*1.6*1.6*2.2*2.715*2.6*1.4*1.4,8430000000*(1.651435^(MIN($E1867,123)-117)))*1,0))</f>
        <v>55874381</v>
      </c>
      <c r="AC1867" s="4">
        <f>$E1867+21</f>
        <v>128</v>
      </c>
      <c r="AD1867" s="8">
        <f>IF($J1867=0,0,ROUND(MAX($J1867*1.4*1.5*1.6*1.6*2.2*2.715*2.6*1.4*1.4*1.5,12600000000*(1.652953^(MIN($E1867,123)-117)))*1,0))</f>
        <v>82749522</v>
      </c>
      <c r="AE1867" s="6">
        <f>$E1867+24</f>
        <v>131</v>
      </c>
      <c r="AF1867" s="7">
        <f>IF($J1867=0,0,ROUND(MAX($J1867*1.4*1.5*1.6*1.6*2.2*2.715*2.6*1.4*1.4*1.5*1.5,18900000000*(1.65331^(MIN($E1867,123)-117)))*1,0))</f>
        <v>123856521</v>
      </c>
      <c r="AG1867" s="4">
        <f>$E1867+27</f>
        <v>134</v>
      </c>
      <c r="AH1867" s="8">
        <f>IF($J1867=0,0,ROUND(MAX($J1867*1.4*1.5*1.6*1.6*2.2*2.715*2.6*1.4*1.4*1.5*1.5*3.2,60500000000*(1.654288^(MIN($E1867,123)-117)))*1,0))</f>
        <v>394134254</v>
      </c>
    </row>
    <row r="1868" ht="27.75" customHeight="1" spans="1:34" x14ac:dyDescent="0.25">
      <c r="A1868" s="3">
        <v>1878</v>
      </c>
      <c r="B1868" s="3" t="s">
        <v>1222</v>
      </c>
      <c r="C1868" s="3" t="s">
        <v>1175</v>
      </c>
      <c r="D1868" s="3" t="s">
        <v>75</v>
      </c>
      <c r="E1868" s="3">
        <v>107</v>
      </c>
      <c r="F1868" s="3" t="s">
        <v>479</v>
      </c>
      <c r="G1868" s="3" t="s">
        <v>185</v>
      </c>
      <c r="H1868" s="3">
        <v>23</v>
      </c>
      <c r="I1868" s="4">
        <v>107</v>
      </c>
      <c r="J1868" s="5">
        <v>146000</v>
      </c>
      <c r="K1868" s="6">
        <f>$E1868+1</f>
        <v>108</v>
      </c>
      <c r="L1868" s="7">
        <f>IF($J1868=0,0,ROUND(MAX($J1868*1.4,1620000*(1.497923^(MIN($E1868,123)-117)))*1,0))</f>
        <v>204400</v>
      </c>
      <c r="M1868" s="4">
        <f>$E1868+2</f>
        <v>109</v>
      </c>
      <c r="N1868" s="8">
        <f>IF($J1868=0,0,ROUND(MAX($J1868*1.4*1.5,2190000*(1.580994^(MIN($E1868,123)-117)))*1,0))</f>
        <v>306600</v>
      </c>
      <c r="O1868" s="6">
        <f>$E1868+4</f>
        <v>111</v>
      </c>
      <c r="P1868" s="7">
        <f>IF($J1868=0,0,ROUND(MAX($J1868*1.4*1.5*1.6,3500000*(1.57975^(MIN($E1868,123)-117)))*1,0))</f>
        <v>490560</v>
      </c>
      <c r="Q1868" s="4">
        <f>$E1868+6</f>
        <v>113</v>
      </c>
      <c r="R1868" s="8">
        <f>IF($J1868=0,0,ROUND(MAX($J1868*1.4*1.5*1.6*1.6,13100000*(1.429962^(MIN($E1868,123)-117)))*1,0))</f>
        <v>784896</v>
      </c>
      <c r="S1868" s="6">
        <f>$E1868+8</f>
        <v>115</v>
      </c>
      <c r="T1868" s="7">
        <f>IF($J1868=0,0,ROUND(MAX($J1868*1.4*1.5*1.6*1.6*2.2,42600000*(1.576904^(MIN($E1868,123)-117)))*1,0))</f>
        <v>1726771</v>
      </c>
      <c r="U1868" s="4">
        <f>$E1868+11</f>
        <v>118</v>
      </c>
      <c r="V1868" s="8">
        <f>IF($J1868=0,0,ROUND(MAX($J1868*1.4*1.5*1.6*1.6*2.2*2.715,354000000*(1.642074^(MIN($E1868,123)-117)))*1,0))</f>
        <v>4688184</v>
      </c>
      <c r="W1868" s="6">
        <f>$E1868+15</f>
        <v>122</v>
      </c>
      <c r="X1868" s="7">
        <f>IF($J1868=0,0,ROUND(MAX($J1868*1.4*1.5*1.6*1.6*2.2*2.715*2.6,3540000000*(1.579646^(MIN($E1868,123)-117)))*1,0))</f>
        <v>36593634</v>
      </c>
      <c r="Y1868" s="4">
        <f>$E1868+17</f>
        <v>124</v>
      </c>
      <c r="Z1868" s="8">
        <f>IF($J1868=0,0,ROUND(MAX($J1868*1.4*1.5*1.6*1.6*2.2*2.715*2.6*1.4,6020000000*(1.651178^(MIN($E1868,123)-117)))*1,0))</f>
        <v>39962952</v>
      </c>
      <c r="AA1868" s="6">
        <f>$E1868+19</f>
        <v>126</v>
      </c>
      <c r="AB1868" s="7">
        <f>IF($J1868=0,0,ROUND(MAX($J1868*1.4*1.5*1.6*1.6*2.2*2.715*2.6*1.4*1.4,8430000000*(1.651435^(MIN($E1868,123)-117)))*1,0))</f>
        <v>55874381</v>
      </c>
      <c r="AC1868" s="4">
        <f>$E1868+21</f>
        <v>128</v>
      </c>
      <c r="AD1868" s="8">
        <f>IF($J1868=0,0,ROUND(MAX($J1868*1.4*1.5*1.6*1.6*2.2*2.715*2.6*1.4*1.4*1.5,12600000000*(1.652953^(MIN($E1868,123)-117)))*1,0))</f>
        <v>82749522</v>
      </c>
      <c r="AE1868" s="6">
        <f>$E1868+24</f>
        <v>131</v>
      </c>
      <c r="AF1868" s="7">
        <f>IF($J1868=0,0,ROUND(MAX($J1868*1.4*1.5*1.6*1.6*2.2*2.715*2.6*1.4*1.4*1.5*1.5,18900000000*(1.65331^(MIN($E1868,123)-117)))*1,0))</f>
        <v>123856521</v>
      </c>
      <c r="AG1868" s="4">
        <f>$E1868+27</f>
        <v>134</v>
      </c>
      <c r="AH1868" s="8">
        <f>IF($J1868=0,0,ROUND(MAX($J1868*1.4*1.5*1.6*1.6*2.2*2.715*2.6*1.4*1.4*1.5*1.5*3.2,60500000000*(1.654288^(MIN($E1868,123)-117)))*1,0))</f>
        <v>394134254</v>
      </c>
    </row>
    <row r="1869" ht="27.75" customHeight="1" spans="1:34" x14ac:dyDescent="0.25">
      <c r="A1869" s="3">
        <v>1879</v>
      </c>
      <c r="B1869" s="3" t="s">
        <v>1223</v>
      </c>
      <c r="C1869" s="3" t="s">
        <v>1175</v>
      </c>
      <c r="D1869" s="3" t="s">
        <v>33</v>
      </c>
      <c r="E1869" s="3">
        <v>107</v>
      </c>
      <c r="F1869" s="3" t="s">
        <v>56</v>
      </c>
      <c r="G1869" s="3" t="s">
        <v>1007</v>
      </c>
      <c r="H1869" s="3">
        <v>23</v>
      </c>
      <c r="I1869" s="4">
        <v>107</v>
      </c>
      <c r="J1869" s="5">
        <v>62500</v>
      </c>
      <c r="K1869" s="6">
        <f>$E1869+1</f>
        <v>108</v>
      </c>
      <c r="L1869" s="7">
        <f>IF($J1869=0,0,ROUND(MAX($J1869*1.4,1620000*(1.497923^(MIN($E1869,123)-117)))*1,0))</f>
        <v>87500</v>
      </c>
      <c r="M1869" s="4">
        <f>$E1869+2</f>
        <v>109</v>
      </c>
      <c r="N1869" s="8">
        <f>IF($J1869=0,0,ROUND(MAX($J1869*1.4*1.5,2190000*(1.580994^(MIN($E1869,123)-117)))*1,0))</f>
        <v>131250</v>
      </c>
      <c r="O1869" s="6">
        <f>$E1869+4</f>
        <v>111</v>
      </c>
      <c r="P1869" s="7">
        <f>IF($J1869=0,0,ROUND(MAX($J1869*1.4*1.5*1.6,3500000*(1.57975^(MIN($E1869,123)-117)))*1,0))</f>
        <v>210000</v>
      </c>
      <c r="Q1869" s="4">
        <f>$E1869+6</f>
        <v>113</v>
      </c>
      <c r="R1869" s="8">
        <f>IF($J1869=0,0,ROUND(MAX($J1869*1.4*1.5*1.6*1.6,13100000*(1.429962^(MIN($E1869,123)-117)))*1,0))</f>
        <v>366460</v>
      </c>
      <c r="S1869" s="6">
        <f>$E1869+8</f>
        <v>115</v>
      </c>
      <c r="T1869" s="7">
        <f>IF($J1869=0,0,ROUND(MAX($J1869*1.4*1.5*1.6*1.6*2.2,42600000*(1.576904^(MIN($E1869,123)-117)))*1,0))</f>
        <v>739200</v>
      </c>
      <c r="U1869" s="4">
        <f>$E1869+11</f>
        <v>118</v>
      </c>
      <c r="V1869" s="8">
        <f>IF($J1869=0,0,ROUND(MAX($J1869*1.4*1.5*1.6*1.6*2.2*2.715,354000000*(1.642074^(MIN($E1869,123)-117)))*1,0))</f>
        <v>2483568</v>
      </c>
      <c r="W1869" s="6">
        <f>$E1869+15</f>
        <v>122</v>
      </c>
      <c r="X1869" s="7">
        <f>IF($J1869=0,0,ROUND(MAX($J1869*1.4*1.5*1.6*1.6*2.2*2.715*2.6,3540000000*(1.579646^(MIN($E1869,123)-117)))*1,0))</f>
        <v>36593634</v>
      </c>
      <c r="Y1869" s="4">
        <f>$E1869+17</f>
        <v>124</v>
      </c>
      <c r="Z1869" s="8">
        <f>IF($J1869=0,0,ROUND(MAX($J1869*1.4*1.5*1.6*1.6*2.2*2.715*2.6*1.4,6020000000*(1.651178^(MIN($E1869,123)-117)))*1,0))</f>
        <v>39962952</v>
      </c>
      <c r="AA1869" s="6">
        <f>$E1869+19</f>
        <v>126</v>
      </c>
      <c r="AB1869" s="7">
        <f>IF($J1869=0,0,ROUND(MAX($J1869*1.4*1.5*1.6*1.6*2.2*2.715*2.6*1.4*1.4,8430000000*(1.651435^(MIN($E1869,123)-117)))*1,0))</f>
        <v>55874381</v>
      </c>
      <c r="AC1869" s="4">
        <f>$E1869+21</f>
        <v>128</v>
      </c>
      <c r="AD1869" s="8">
        <f>IF($J1869=0,0,ROUND(MAX($J1869*1.4*1.5*1.6*1.6*2.2*2.715*2.6*1.4*1.4*1.5,12600000000*(1.652953^(MIN($E1869,123)-117)))*1,0))</f>
        <v>82749522</v>
      </c>
      <c r="AE1869" s="6">
        <f>$E1869+24</f>
        <v>131</v>
      </c>
      <c r="AF1869" s="7">
        <f>IF($J1869=0,0,ROUND(MAX($J1869*1.4*1.5*1.6*1.6*2.2*2.715*2.6*1.4*1.4*1.5*1.5,18900000000*(1.65331^(MIN($E1869,123)-117)))*1,0))</f>
        <v>123856521</v>
      </c>
      <c r="AG1869" s="4">
        <f>$E1869+27</f>
        <v>134</v>
      </c>
      <c r="AH1869" s="8">
        <f>IF($J1869=0,0,ROUND(MAX($J1869*1.4*1.5*1.6*1.6*2.2*2.715*2.6*1.4*1.4*1.5*1.5*3.2,60500000000*(1.654288^(MIN($E1869,123)-117)))*1,0))</f>
        <v>394134254</v>
      </c>
    </row>
    <row r="1870" ht="27.75" customHeight="1" spans="1:34" x14ac:dyDescent="0.25">
      <c r="A1870" s="3">
        <v>1880</v>
      </c>
      <c r="B1870" s="3" t="s">
        <v>1224</v>
      </c>
      <c r="C1870" s="3" t="s">
        <v>1175</v>
      </c>
      <c r="D1870" s="3" t="s">
        <v>102</v>
      </c>
      <c r="E1870" s="3">
        <v>107</v>
      </c>
      <c r="F1870" s="3" t="s">
        <v>62</v>
      </c>
      <c r="G1870" s="3" t="s">
        <v>86</v>
      </c>
      <c r="H1870" s="3">
        <v>23</v>
      </c>
      <c r="I1870" s="4">
        <v>107</v>
      </c>
      <c r="J1870" s="5">
        <v>114000</v>
      </c>
      <c r="K1870" s="6">
        <f>$E1870+1</f>
        <v>108</v>
      </c>
      <c r="L1870" s="7">
        <f>IF($J1870=0,0,ROUND(MAX($J1870*1.4,1620000*(1.497923^(MIN($E1870,123)-117)))*1,0))</f>
        <v>159600</v>
      </c>
      <c r="M1870" s="4">
        <f>$E1870+2</f>
        <v>109</v>
      </c>
      <c r="N1870" s="8">
        <f>IF($J1870=0,0,ROUND(MAX($J1870*1.4*1.5,2190000*(1.580994^(MIN($E1870,123)-117)))*1,0))</f>
        <v>239400</v>
      </c>
      <c r="O1870" s="6">
        <f>$E1870+4</f>
        <v>111</v>
      </c>
      <c r="P1870" s="7">
        <f>IF($J1870=0,0,ROUND(MAX($J1870*1.4*1.5*1.6,3500000*(1.57975^(MIN($E1870,123)-117)))*1,0))</f>
        <v>383040</v>
      </c>
      <c r="Q1870" s="4">
        <f>$E1870+6</f>
        <v>113</v>
      </c>
      <c r="R1870" s="8">
        <f>IF($J1870=0,0,ROUND(MAX($J1870*1.4*1.5*1.6*1.6,13100000*(1.429962^(MIN($E1870,123)-117)))*1,0))</f>
        <v>612864</v>
      </c>
      <c r="S1870" s="6">
        <f>$E1870+8</f>
        <v>115</v>
      </c>
      <c r="T1870" s="7">
        <f>IF($J1870=0,0,ROUND(MAX($J1870*1.4*1.5*1.6*1.6*2.2,42600000*(1.576904^(MIN($E1870,123)-117)))*1,0))</f>
        <v>1348301</v>
      </c>
      <c r="U1870" s="4">
        <f>$E1870+11</f>
        <v>118</v>
      </c>
      <c r="V1870" s="8">
        <f>IF($J1870=0,0,ROUND(MAX($J1870*1.4*1.5*1.6*1.6*2.2*2.715,354000000*(1.642074^(MIN($E1870,123)-117)))*1,0))</f>
        <v>3660637</v>
      </c>
      <c r="W1870" s="6">
        <f>$E1870+15</f>
        <v>122</v>
      </c>
      <c r="X1870" s="7">
        <f>IF($J1870=0,0,ROUND(MAX($J1870*1.4*1.5*1.6*1.6*2.2*2.715*2.6,3540000000*(1.579646^(MIN($E1870,123)-117)))*1,0))</f>
        <v>36593634</v>
      </c>
      <c r="Y1870" s="4">
        <f>$E1870+17</f>
        <v>124</v>
      </c>
      <c r="Z1870" s="8">
        <f>IF($J1870=0,0,ROUND(MAX($J1870*1.4*1.5*1.6*1.6*2.2*2.715*2.6*1.4,6020000000*(1.651178^(MIN($E1870,123)-117)))*1,0))</f>
        <v>39962952</v>
      </c>
      <c r="AA1870" s="6">
        <f>$E1870+19</f>
        <v>126</v>
      </c>
      <c r="AB1870" s="7">
        <f>IF($J1870=0,0,ROUND(MAX($J1870*1.4*1.5*1.6*1.6*2.2*2.715*2.6*1.4*1.4,8430000000*(1.651435^(MIN($E1870,123)-117)))*1,0))</f>
        <v>55874381</v>
      </c>
      <c r="AC1870" s="4">
        <f>$E1870+21</f>
        <v>128</v>
      </c>
      <c r="AD1870" s="8">
        <f>IF($J1870=0,0,ROUND(MAX($J1870*1.4*1.5*1.6*1.6*2.2*2.715*2.6*1.4*1.4*1.5,12600000000*(1.652953^(MIN($E1870,123)-117)))*1,0))</f>
        <v>82749522</v>
      </c>
      <c r="AE1870" s="6">
        <f>$E1870+24</f>
        <v>131</v>
      </c>
      <c r="AF1870" s="7">
        <f>IF($J1870=0,0,ROUND(MAX($J1870*1.4*1.5*1.6*1.6*2.2*2.715*2.6*1.4*1.4*1.5*1.5,18900000000*(1.65331^(MIN($E1870,123)-117)))*1,0))</f>
        <v>123856521</v>
      </c>
      <c r="AG1870" s="4">
        <f>$E1870+27</f>
        <v>134</v>
      </c>
      <c r="AH1870" s="8">
        <f>IF($J1870=0,0,ROUND(MAX($J1870*1.4*1.5*1.6*1.6*2.2*2.715*2.6*1.4*1.4*1.5*1.5*3.2,60500000000*(1.654288^(MIN($E1870,123)-117)))*1,0))</f>
        <v>394134254</v>
      </c>
    </row>
    <row r="1871" ht="27.75" customHeight="1" spans="1:34" x14ac:dyDescent="0.25">
      <c r="A1871" s="3">
        <v>1881</v>
      </c>
      <c r="B1871" s="3" t="s">
        <v>1225</v>
      </c>
      <c r="C1871" s="3" t="s">
        <v>1175</v>
      </c>
      <c r="D1871" s="3" t="s">
        <v>64</v>
      </c>
      <c r="E1871" s="3">
        <v>106</v>
      </c>
      <c r="F1871" s="3" t="s">
        <v>62</v>
      </c>
      <c r="G1871" s="3" t="s">
        <v>1226</v>
      </c>
      <c r="H1871" s="3">
        <v>24</v>
      </c>
      <c r="I1871" s="4">
        <v>106</v>
      </c>
      <c r="J1871" s="5">
        <v>73500</v>
      </c>
      <c r="K1871" s="6">
        <f>$E1871+1</f>
        <v>107</v>
      </c>
      <c r="L1871" s="7">
        <f>IF($J1871=0,0,ROUND(MAX($J1871*1.4,1620000*(1.497923^(MIN($E1871,123)-117)))*1,0))</f>
        <v>102900</v>
      </c>
      <c r="M1871" s="4">
        <f>$E1871+2</f>
        <v>108</v>
      </c>
      <c r="N1871" s="8">
        <f>IF($J1871=0,0,ROUND(MAX($J1871*1.4*1.5,2190000*(1.580994^(MIN($E1871,123)-117)))*1,0))</f>
        <v>154350</v>
      </c>
      <c r="O1871" s="6">
        <f>$E1871+4</f>
        <v>110</v>
      </c>
      <c r="P1871" s="7">
        <f>IF($J1871=0,0,ROUND(MAX($J1871*1.4*1.5*1.6,3500000*(1.57975^(MIN($E1871,123)-117)))*1,0))</f>
        <v>246960</v>
      </c>
      <c r="Q1871" s="4">
        <f>$E1871+6</f>
        <v>112</v>
      </c>
      <c r="R1871" s="8">
        <f>IF($J1871=0,0,ROUND(MAX($J1871*1.4*1.5*1.6*1.6,13100000*(1.429962^(MIN($E1871,123)-117)))*1,0))</f>
        <v>395136</v>
      </c>
      <c r="S1871" s="6">
        <f>$E1871+8</f>
        <v>114</v>
      </c>
      <c r="T1871" s="7">
        <f>IF($J1871=0,0,ROUND(MAX($J1871*1.4*1.5*1.6*1.6*2.2,42600000*(1.576904^(MIN($E1871,123)-117)))*1,0))</f>
        <v>869299</v>
      </c>
      <c r="U1871" s="4">
        <f>$E1871+11</f>
        <v>117</v>
      </c>
      <c r="V1871" s="8">
        <f>IF($J1871=0,0,ROUND(MAX($J1871*1.4*1.5*1.6*1.6*2.2*2.715,354000000*(1.642074^(MIN($E1871,123)-117)))*1,0))</f>
        <v>2360147</v>
      </c>
      <c r="W1871" s="6">
        <f>$E1871+15</f>
        <v>121</v>
      </c>
      <c r="X1871" s="7">
        <f>IF($J1871=0,0,ROUND(MAX($J1871*1.4*1.5*1.6*1.6*2.2*2.715*2.6,3540000000*(1.579646^(MIN($E1871,123)-117)))*1,0))</f>
        <v>23165718</v>
      </c>
      <c r="Y1871" s="4">
        <f>$E1871+17</f>
        <v>123</v>
      </c>
      <c r="Z1871" s="8">
        <f>IF($J1871=0,0,ROUND(MAX($J1871*1.4*1.5*1.6*1.6*2.2*2.715*2.6*1.4,6020000000*(1.651178^(MIN($E1871,123)-117)))*1,0))</f>
        <v>24202691</v>
      </c>
      <c r="AA1871" s="6">
        <f>$E1871+19</f>
        <v>125</v>
      </c>
      <c r="AB1871" s="7">
        <f>IF($J1871=0,0,ROUND(MAX($J1871*1.4*1.5*1.6*1.6*2.2*2.715*2.6*1.4*1.4,8430000000*(1.651435^(MIN($E1871,123)-117)))*1,0))</f>
        <v>33833836</v>
      </c>
      <c r="AC1871" s="4">
        <f>$E1871+21</f>
        <v>127</v>
      </c>
      <c r="AD1871" s="8">
        <f>IF($J1871=0,0,ROUND(MAX($J1871*1.4*1.5*1.6*1.6*2.2*2.715*2.6*1.4*1.4*1.5,12600000000*(1.652953^(MIN($E1871,123)-117)))*1,0))</f>
        <v>50061630</v>
      </c>
      <c r="AE1871" s="6">
        <f>$E1871+24</f>
        <v>130</v>
      </c>
      <c r="AF1871" s="7">
        <f>IF($J1871=0,0,ROUND(MAX($J1871*1.4*1.5*1.6*1.6*2.2*2.715*2.6*1.4*1.4*1.5*1.5,18900000000*(1.65331^(MIN($E1871,123)-117)))*1,0))</f>
        <v>74914276</v>
      </c>
      <c r="AG1871" s="4">
        <f>$E1871+27</f>
        <v>133</v>
      </c>
      <c r="AH1871" s="8">
        <f>IF($J1871=0,0,ROUND(MAX($J1871*1.4*1.5*1.6*1.6*2.2*2.715*2.6*1.4*1.4*1.5*1.5*3.2,60500000000*(1.654288^(MIN($E1871,123)-117)))*1,0))</f>
        <v>238250083</v>
      </c>
    </row>
    <row r="1872" ht="27.75" customHeight="1" spans="1:34" x14ac:dyDescent="0.25">
      <c r="A1872" s="3">
        <v>1882</v>
      </c>
      <c r="B1872" s="3" t="s">
        <v>662</v>
      </c>
      <c r="C1872" s="3" t="s">
        <v>1175</v>
      </c>
      <c r="D1872" s="3" t="s">
        <v>40</v>
      </c>
      <c r="E1872" s="3">
        <v>106</v>
      </c>
      <c r="F1872" s="3" t="s">
        <v>56</v>
      </c>
      <c r="G1872" s="3" t="s">
        <v>1176</v>
      </c>
      <c r="H1872" s="3">
        <v>24</v>
      </c>
      <c r="I1872" s="4">
        <v>106</v>
      </c>
      <c r="J1872" s="5">
        <v>51000</v>
      </c>
      <c r="K1872" s="6">
        <f>$E1872+1</f>
        <v>107</v>
      </c>
      <c r="L1872" s="7">
        <f>IF($J1872=0,0,ROUND(MAX($J1872*1.4,1620000*(1.497923^(MIN($E1872,123)-117)))*1,0))</f>
        <v>71400</v>
      </c>
      <c r="M1872" s="4">
        <f>$E1872+2</f>
        <v>108</v>
      </c>
      <c r="N1872" s="8">
        <f>IF($J1872=0,0,ROUND(MAX($J1872*1.4*1.5,2190000*(1.580994^(MIN($E1872,123)-117)))*1,0))</f>
        <v>107100</v>
      </c>
      <c r="O1872" s="6">
        <f>$E1872+4</f>
        <v>110</v>
      </c>
      <c r="P1872" s="7">
        <f>IF($J1872=0,0,ROUND(MAX($J1872*1.4*1.5*1.6,3500000*(1.57975^(MIN($E1872,123)-117)))*1,0))</f>
        <v>171360</v>
      </c>
      <c r="Q1872" s="4">
        <f>$E1872+6</f>
        <v>112</v>
      </c>
      <c r="R1872" s="8">
        <f>IF($J1872=0,0,ROUND(MAX($J1872*1.4*1.5*1.6*1.6,13100000*(1.429962^(MIN($E1872,123)-117)))*1,0))</f>
        <v>274176</v>
      </c>
      <c r="S1872" s="6">
        <f>$E1872+8</f>
        <v>114</v>
      </c>
      <c r="T1872" s="7">
        <f>IF($J1872=0,0,ROUND(MAX($J1872*1.4*1.5*1.6*1.6*2.2,42600000*(1.576904^(MIN($E1872,123)-117)))*1,0))</f>
        <v>603187</v>
      </c>
      <c r="U1872" s="4">
        <f>$E1872+11</f>
        <v>117</v>
      </c>
      <c r="V1872" s="8">
        <f>IF($J1872=0,0,ROUND(MAX($J1872*1.4*1.5*1.6*1.6*2.2*2.715,354000000*(1.642074^(MIN($E1872,123)-117)))*1,0))</f>
        <v>1637653</v>
      </c>
      <c r="W1872" s="6">
        <f>$E1872+15</f>
        <v>121</v>
      </c>
      <c r="X1872" s="7">
        <f>IF($J1872=0,0,ROUND(MAX($J1872*1.4*1.5*1.6*1.6*2.2*2.715*2.6,3540000000*(1.579646^(MIN($E1872,123)-117)))*1,0))</f>
        <v>23165718</v>
      </c>
      <c r="Y1872" s="4">
        <f>$E1872+17</f>
        <v>123</v>
      </c>
      <c r="Z1872" s="8">
        <f>IF($J1872=0,0,ROUND(MAX($J1872*1.4*1.5*1.6*1.6*2.2*2.715*2.6*1.4,6020000000*(1.651178^(MIN($E1872,123)-117)))*1,0))</f>
        <v>24202691</v>
      </c>
      <c r="AA1872" s="6">
        <f>$E1872+19</f>
        <v>125</v>
      </c>
      <c r="AB1872" s="7">
        <f>IF($J1872=0,0,ROUND(MAX($J1872*1.4*1.5*1.6*1.6*2.2*2.715*2.6*1.4*1.4,8430000000*(1.651435^(MIN($E1872,123)-117)))*1,0))</f>
        <v>33833836</v>
      </c>
      <c r="AC1872" s="4">
        <f>$E1872+21</f>
        <v>127</v>
      </c>
      <c r="AD1872" s="8">
        <f>IF($J1872=0,0,ROUND(MAX($J1872*1.4*1.5*1.6*1.6*2.2*2.715*2.6*1.4*1.4*1.5,12600000000*(1.652953^(MIN($E1872,123)-117)))*1,0))</f>
        <v>50061630</v>
      </c>
      <c r="AE1872" s="6">
        <f>$E1872+24</f>
        <v>130</v>
      </c>
      <c r="AF1872" s="7">
        <f>IF($J1872=0,0,ROUND(MAX($J1872*1.4*1.5*1.6*1.6*2.2*2.715*2.6*1.4*1.4*1.5*1.5,18900000000*(1.65331^(MIN($E1872,123)-117)))*1,0))</f>
        <v>74914276</v>
      </c>
      <c r="AG1872" s="4">
        <f>$E1872+27</f>
        <v>133</v>
      </c>
      <c r="AH1872" s="8">
        <f>IF($J1872=0,0,ROUND(MAX($J1872*1.4*1.5*1.6*1.6*2.2*2.715*2.6*1.4*1.4*1.5*1.5*3.2,60500000000*(1.654288^(MIN($E1872,123)-117)))*1,0))</f>
        <v>238250083</v>
      </c>
    </row>
    <row r="1873" ht="27.75" customHeight="1" spans="1:34" x14ac:dyDescent="0.25">
      <c r="A1873" s="3">
        <v>1883</v>
      </c>
      <c r="B1873" s="3" t="s">
        <v>652</v>
      </c>
      <c r="C1873" s="3" t="s">
        <v>1175</v>
      </c>
      <c r="D1873" s="3" t="s">
        <v>40</v>
      </c>
      <c r="E1873" s="3">
        <v>106</v>
      </c>
      <c r="F1873" s="3" t="s">
        <v>42</v>
      </c>
      <c r="G1873" s="3" t="s">
        <v>1176</v>
      </c>
      <c r="H1873" s="3">
        <v>24</v>
      </c>
      <c r="I1873" s="4">
        <v>106</v>
      </c>
      <c r="J1873" s="5">
        <v>41000</v>
      </c>
      <c r="K1873" s="6">
        <f>$E1873+1</f>
        <v>107</v>
      </c>
      <c r="L1873" s="7">
        <f>IF($J1873=0,0,ROUND(MAX($J1873*1.4,1620000*(1.497923^(MIN($E1873,123)-117)))*1,0))</f>
        <v>57400</v>
      </c>
      <c r="M1873" s="4">
        <f>$E1873+2</f>
        <v>108</v>
      </c>
      <c r="N1873" s="8">
        <f>IF($J1873=0,0,ROUND(MAX($J1873*1.4*1.5,2190000*(1.580994^(MIN($E1873,123)-117)))*1,0))</f>
        <v>86100</v>
      </c>
      <c r="O1873" s="6">
        <f>$E1873+4</f>
        <v>110</v>
      </c>
      <c r="P1873" s="7">
        <f>IF($J1873=0,0,ROUND(MAX($J1873*1.4*1.5*1.6,3500000*(1.57975^(MIN($E1873,123)-117)))*1,0))</f>
        <v>137760</v>
      </c>
      <c r="Q1873" s="4">
        <f>$E1873+6</f>
        <v>112</v>
      </c>
      <c r="R1873" s="8">
        <f>IF($J1873=0,0,ROUND(MAX($J1873*1.4*1.5*1.6*1.6,13100000*(1.429962^(MIN($E1873,123)-117)))*1,0))</f>
        <v>256272</v>
      </c>
      <c r="S1873" s="6">
        <f>$E1873+8</f>
        <v>114</v>
      </c>
      <c r="T1873" s="7">
        <f>IF($J1873=0,0,ROUND(MAX($J1873*1.4*1.5*1.6*1.6*2.2,42600000*(1.576904^(MIN($E1873,123)-117)))*1,0))</f>
        <v>484915</v>
      </c>
      <c r="U1873" s="4">
        <f>$E1873+11</f>
        <v>117</v>
      </c>
      <c r="V1873" s="8">
        <f>IF($J1873=0,0,ROUND(MAX($J1873*1.4*1.5*1.6*1.6*2.2*2.715,354000000*(1.642074^(MIN($E1873,123)-117)))*1,0))</f>
        <v>1512458</v>
      </c>
      <c r="W1873" s="6">
        <f>$E1873+15</f>
        <v>121</v>
      </c>
      <c r="X1873" s="7">
        <f>IF($J1873=0,0,ROUND(MAX($J1873*1.4*1.5*1.6*1.6*2.2*2.715*2.6,3540000000*(1.579646^(MIN($E1873,123)-117)))*1,0))</f>
        <v>23165718</v>
      </c>
      <c r="Y1873" s="4">
        <f>$E1873+17</f>
        <v>123</v>
      </c>
      <c r="Z1873" s="8">
        <f>IF($J1873=0,0,ROUND(MAX($J1873*1.4*1.5*1.6*1.6*2.2*2.715*2.6*1.4,6020000000*(1.651178^(MIN($E1873,123)-117)))*1,0))</f>
        <v>24202691</v>
      </c>
      <c r="AA1873" s="6">
        <f>$E1873+19</f>
        <v>125</v>
      </c>
      <c r="AB1873" s="7">
        <f>IF($J1873=0,0,ROUND(MAX($J1873*1.4*1.5*1.6*1.6*2.2*2.715*2.6*1.4*1.4,8430000000*(1.651435^(MIN($E1873,123)-117)))*1,0))</f>
        <v>33833836</v>
      </c>
      <c r="AC1873" s="4">
        <f>$E1873+21</f>
        <v>127</v>
      </c>
      <c r="AD1873" s="8">
        <f>IF($J1873=0,0,ROUND(MAX($J1873*1.4*1.5*1.6*1.6*2.2*2.715*2.6*1.4*1.4*1.5,12600000000*(1.652953^(MIN($E1873,123)-117)))*1,0))</f>
        <v>50061630</v>
      </c>
      <c r="AE1873" s="6">
        <f>$E1873+24</f>
        <v>130</v>
      </c>
      <c r="AF1873" s="7">
        <f>IF($J1873=0,0,ROUND(MAX($J1873*1.4*1.5*1.6*1.6*2.2*2.715*2.6*1.4*1.4*1.5*1.5,18900000000*(1.65331^(MIN($E1873,123)-117)))*1,0))</f>
        <v>74914276</v>
      </c>
      <c r="AG1873" s="4">
        <f>$E1873+27</f>
        <v>133</v>
      </c>
      <c r="AH1873" s="8">
        <f>IF($J1873=0,0,ROUND(MAX($J1873*1.4*1.5*1.6*1.6*2.2*2.715*2.6*1.4*1.4*1.5*1.5*3.2,60500000000*(1.654288^(MIN($E1873,123)-117)))*1,0))</f>
        <v>238250083</v>
      </c>
    </row>
    <row r="1874" ht="27.75" customHeight="1" spans="1:34" x14ac:dyDescent="0.25">
      <c r="A1874" s="3">
        <v>1884</v>
      </c>
      <c r="B1874" s="3" t="s">
        <v>1227</v>
      </c>
      <c r="C1874" s="3" t="s">
        <v>1175</v>
      </c>
      <c r="D1874" s="3" t="s">
        <v>79</v>
      </c>
      <c r="E1874" s="3">
        <v>106</v>
      </c>
      <c r="F1874" s="3" t="s">
        <v>303</v>
      </c>
      <c r="G1874" s="3" t="s">
        <v>124</v>
      </c>
      <c r="H1874" s="3">
        <v>23</v>
      </c>
      <c r="I1874" s="4">
        <v>106</v>
      </c>
      <c r="J1874" s="5">
        <v>92500</v>
      </c>
      <c r="K1874" s="6">
        <f>$E1874+1</f>
        <v>107</v>
      </c>
      <c r="L1874" s="7">
        <f>IF($J1874=0,0,ROUND(MAX($J1874*1.4,1620000*(1.497923^(MIN($E1874,123)-117)))*1,0))</f>
        <v>129500</v>
      </c>
      <c r="M1874" s="4">
        <f>$E1874+2</f>
        <v>108</v>
      </c>
      <c r="N1874" s="8">
        <f>IF($J1874=0,0,ROUND(MAX($J1874*1.4*1.5,2190000*(1.580994^(MIN($E1874,123)-117)))*1,0))</f>
        <v>194250</v>
      </c>
      <c r="O1874" s="6">
        <f>$E1874+4</f>
        <v>110</v>
      </c>
      <c r="P1874" s="7">
        <f>IF($J1874=0,0,ROUND(MAX($J1874*1.4*1.5*1.6,3500000*(1.57975^(MIN($E1874,123)-117)))*1,0))</f>
        <v>310800</v>
      </c>
      <c r="Q1874" s="4">
        <f>$E1874+6</f>
        <v>112</v>
      </c>
      <c r="R1874" s="8">
        <f>IF($J1874=0,0,ROUND(MAX($J1874*1.4*1.5*1.6*1.6,13100000*(1.429962^(MIN($E1874,123)-117)))*1,0))</f>
        <v>497280</v>
      </c>
      <c r="S1874" s="6">
        <f>$E1874+8</f>
        <v>114</v>
      </c>
      <c r="T1874" s="7">
        <f>IF($J1874=0,0,ROUND(MAX($J1874*1.4*1.5*1.6*1.6*2.2,42600000*(1.576904^(MIN($E1874,123)-117)))*1,0))</f>
        <v>1094016</v>
      </c>
      <c r="U1874" s="4">
        <f>$E1874+11</f>
        <v>117</v>
      </c>
      <c r="V1874" s="8">
        <f>IF($J1874=0,0,ROUND(MAX($J1874*1.4*1.5*1.6*1.6*2.2*2.715,354000000*(1.642074^(MIN($E1874,123)-117)))*1,0))</f>
        <v>2970253</v>
      </c>
      <c r="W1874" s="6">
        <f>$E1874+15</f>
        <v>121</v>
      </c>
      <c r="X1874" s="7">
        <f>IF($J1874=0,0,ROUND(MAX($J1874*1.4*1.5*1.6*1.6*2.2*2.715*2.6,3540000000*(1.579646^(MIN($E1874,123)-117)))*1,0))</f>
        <v>23165718</v>
      </c>
      <c r="Y1874" s="4">
        <f>$E1874+17</f>
        <v>123</v>
      </c>
      <c r="Z1874" s="8">
        <f>IF($J1874=0,0,ROUND(MAX($J1874*1.4*1.5*1.6*1.6*2.2*2.715*2.6*1.4,6020000000*(1.651178^(MIN($E1874,123)-117)))*1,0))</f>
        <v>24202691</v>
      </c>
      <c r="AA1874" s="6">
        <f>$E1874+19</f>
        <v>125</v>
      </c>
      <c r="AB1874" s="7">
        <f>IF($J1874=0,0,ROUND(MAX($J1874*1.4*1.5*1.6*1.6*2.2*2.715*2.6*1.4*1.4,8430000000*(1.651435^(MIN($E1874,123)-117)))*1,0))</f>
        <v>33833836</v>
      </c>
      <c r="AC1874" s="4">
        <f>$E1874+21</f>
        <v>127</v>
      </c>
      <c r="AD1874" s="8">
        <f>IF($J1874=0,0,ROUND(MAX($J1874*1.4*1.5*1.6*1.6*2.2*2.715*2.6*1.4*1.4*1.5,12600000000*(1.652953^(MIN($E1874,123)-117)))*1,0))</f>
        <v>50061630</v>
      </c>
      <c r="AE1874" s="6">
        <f>$E1874+24</f>
        <v>130</v>
      </c>
      <c r="AF1874" s="7">
        <f>IF($J1874=0,0,ROUND(MAX($J1874*1.4*1.5*1.6*1.6*2.2*2.715*2.6*1.4*1.4*1.5*1.5,18900000000*(1.65331^(MIN($E1874,123)-117)))*1,0))</f>
        <v>74914276</v>
      </c>
      <c r="AG1874" s="4">
        <f>$E1874+27</f>
        <v>133</v>
      </c>
      <c r="AH1874" s="8">
        <f>IF($J1874=0,0,ROUND(MAX($J1874*1.4*1.5*1.6*1.6*2.2*2.715*2.6*1.4*1.4*1.5*1.5*3.2,60500000000*(1.654288^(MIN($E1874,123)-117)))*1,0))</f>
        <v>238250083</v>
      </c>
    </row>
    <row r="1875" ht="27.75" customHeight="1" spans="1:34" x14ac:dyDescent="0.25">
      <c r="A1875" s="3">
        <v>1885</v>
      </c>
      <c r="B1875" s="3" t="s">
        <v>1228</v>
      </c>
      <c r="C1875" s="3" t="s">
        <v>1175</v>
      </c>
      <c r="D1875" s="3" t="s">
        <v>33</v>
      </c>
      <c r="E1875" s="3">
        <v>106</v>
      </c>
      <c r="F1875" s="3" t="s">
        <v>54</v>
      </c>
      <c r="G1875" s="3" t="s">
        <v>57</v>
      </c>
      <c r="H1875" s="3">
        <v>23</v>
      </c>
      <c r="I1875" s="4">
        <v>106</v>
      </c>
      <c r="J1875" s="5">
        <v>267000</v>
      </c>
      <c r="K1875" s="6">
        <f>$E1875+1</f>
        <v>107</v>
      </c>
      <c r="L1875" s="7">
        <f>IF($J1875=0,0,ROUND(MAX($J1875*1.4,1620000*(1.497923^(MIN($E1875,123)-117)))*1,0))</f>
        <v>373800</v>
      </c>
      <c r="M1875" s="4">
        <f>$E1875+2</f>
        <v>108</v>
      </c>
      <c r="N1875" s="8">
        <f>IF($J1875=0,0,ROUND(MAX($J1875*1.4*1.5,2190000*(1.580994^(MIN($E1875,123)-117)))*1,0))</f>
        <v>560700</v>
      </c>
      <c r="O1875" s="6">
        <f>$E1875+4</f>
        <v>110</v>
      </c>
      <c r="P1875" s="7">
        <f>IF($J1875=0,0,ROUND(MAX($J1875*1.4*1.5*1.6,3500000*(1.57975^(MIN($E1875,123)-117)))*1,0))</f>
        <v>897120</v>
      </c>
      <c r="Q1875" s="4">
        <f>$E1875+6</f>
        <v>112</v>
      </c>
      <c r="R1875" s="8">
        <f>IF($J1875=0,0,ROUND(MAX($J1875*1.4*1.5*1.6*1.6,13100000*(1.429962^(MIN($E1875,123)-117)))*1,0))</f>
        <v>1435392</v>
      </c>
      <c r="S1875" s="6">
        <f>$E1875+8</f>
        <v>114</v>
      </c>
      <c r="T1875" s="7">
        <f>IF($J1875=0,0,ROUND(MAX($J1875*1.4*1.5*1.6*1.6*2.2,42600000*(1.576904^(MIN($E1875,123)-117)))*1,0))</f>
        <v>3157862</v>
      </c>
      <c r="U1875" s="4">
        <f>$E1875+11</f>
        <v>117</v>
      </c>
      <c r="V1875" s="8">
        <f>IF($J1875=0,0,ROUND(MAX($J1875*1.4*1.5*1.6*1.6*2.2*2.715,354000000*(1.642074^(MIN($E1875,123)-117)))*1,0))</f>
        <v>8573596</v>
      </c>
      <c r="W1875" s="6">
        <f>$E1875+15</f>
        <v>121</v>
      </c>
      <c r="X1875" s="7">
        <f>IF($J1875=0,0,ROUND(MAX($J1875*1.4*1.5*1.6*1.6*2.2*2.715*2.6,3540000000*(1.579646^(MIN($E1875,123)-117)))*1,0))</f>
        <v>23165718</v>
      </c>
      <c r="Y1875" s="4">
        <f>$E1875+17</f>
        <v>123</v>
      </c>
      <c r="Z1875" s="8">
        <f>IF($J1875=0,0,ROUND(MAX($J1875*1.4*1.5*1.6*1.6*2.2*2.715*2.6*1.4,6020000000*(1.651178^(MIN($E1875,123)-117)))*1,0))</f>
        <v>31207891</v>
      </c>
      <c r="AA1875" s="6">
        <f>$E1875+19</f>
        <v>125</v>
      </c>
      <c r="AB1875" s="7">
        <f>IF($J1875=0,0,ROUND(MAX($J1875*1.4*1.5*1.6*1.6*2.2*2.715*2.6*1.4*1.4,8430000000*(1.651435^(MIN($E1875,123)-117)))*1,0))</f>
        <v>43691047</v>
      </c>
      <c r="AC1875" s="4">
        <f>$E1875+21</f>
        <v>127</v>
      </c>
      <c r="AD1875" s="8">
        <f>IF($J1875=0,0,ROUND(MAX($J1875*1.4*1.5*1.6*1.6*2.2*2.715*2.6*1.4*1.4*1.5,12600000000*(1.652953^(MIN($E1875,123)-117)))*1,0))</f>
        <v>65536571</v>
      </c>
      <c r="AE1875" s="6">
        <f>$E1875+24</f>
        <v>130</v>
      </c>
      <c r="AF1875" s="7">
        <f>IF($J1875=0,0,ROUND(MAX($J1875*1.4*1.5*1.6*1.6*2.2*2.715*2.6*1.4*1.4*1.5*1.5,18900000000*(1.65331^(MIN($E1875,123)-117)))*1,0))</f>
        <v>98304857</v>
      </c>
      <c r="AG1875" s="4">
        <f>$E1875+27</f>
        <v>133</v>
      </c>
      <c r="AH1875" s="8">
        <f>IF($J1875=0,0,ROUND(MAX($J1875*1.4*1.5*1.6*1.6*2.2*2.715*2.6*1.4*1.4*1.5*1.5*3.2,60500000000*(1.654288^(MIN($E1875,123)-117)))*1,0))</f>
        <v>314575541</v>
      </c>
    </row>
    <row r="1876" ht="27.75" customHeight="1" spans="1:34" x14ac:dyDescent="0.25">
      <c r="A1876" s="3">
        <v>1886</v>
      </c>
      <c r="B1876" s="3" t="s">
        <v>1229</v>
      </c>
      <c r="C1876" s="3" t="s">
        <v>1175</v>
      </c>
      <c r="D1876" s="3" t="s">
        <v>79</v>
      </c>
      <c r="E1876" s="3">
        <v>106</v>
      </c>
      <c r="F1876" s="3" t="s">
        <v>26</v>
      </c>
      <c r="G1876" s="3" t="s">
        <v>98</v>
      </c>
      <c r="H1876" s="3">
        <v>23</v>
      </c>
      <c r="I1876" s="4">
        <v>106</v>
      </c>
      <c r="J1876" s="5">
        <v>60900</v>
      </c>
      <c r="K1876" s="6">
        <f>$E1876+1</f>
        <v>107</v>
      </c>
      <c r="L1876" s="7">
        <f>IF($J1876=0,0,ROUND(MAX($J1876*1.4,1620000*(1.497923^(MIN($E1876,123)-117)))*1,0))</f>
        <v>85260</v>
      </c>
      <c r="M1876" s="4">
        <f>$E1876+2</f>
        <v>108</v>
      </c>
      <c r="N1876" s="8">
        <f>IF($J1876=0,0,ROUND(MAX($J1876*1.4*1.5,2190000*(1.580994^(MIN($E1876,123)-117)))*1,0))</f>
        <v>127890</v>
      </c>
      <c r="O1876" s="6">
        <f>$E1876+4</f>
        <v>110</v>
      </c>
      <c r="P1876" s="7">
        <f>IF($J1876=0,0,ROUND(MAX($J1876*1.4*1.5*1.6,3500000*(1.57975^(MIN($E1876,123)-117)))*1,0))</f>
        <v>204624</v>
      </c>
      <c r="Q1876" s="4">
        <f>$E1876+6</f>
        <v>112</v>
      </c>
      <c r="R1876" s="8">
        <f>IF($J1876=0,0,ROUND(MAX($J1876*1.4*1.5*1.6*1.6,13100000*(1.429962^(MIN($E1876,123)-117)))*1,0))</f>
        <v>327398</v>
      </c>
      <c r="S1876" s="6">
        <f>$E1876+8</f>
        <v>114</v>
      </c>
      <c r="T1876" s="7">
        <f>IF($J1876=0,0,ROUND(MAX($J1876*1.4*1.5*1.6*1.6*2.2,42600000*(1.576904^(MIN($E1876,123)-117)))*1,0))</f>
        <v>720276</v>
      </c>
      <c r="U1876" s="4">
        <f>$E1876+11</f>
        <v>117</v>
      </c>
      <c r="V1876" s="8">
        <f>IF($J1876=0,0,ROUND(MAX($J1876*1.4*1.5*1.6*1.6*2.2*2.715,354000000*(1.642074^(MIN($E1876,123)-117)))*1,0))</f>
        <v>1955551</v>
      </c>
      <c r="W1876" s="6">
        <f>$E1876+15</f>
        <v>121</v>
      </c>
      <c r="X1876" s="7">
        <f>IF($J1876=0,0,ROUND(MAX($J1876*1.4*1.5*1.6*1.6*2.2*2.715*2.6,3540000000*(1.579646^(MIN($E1876,123)-117)))*1,0))</f>
        <v>23165718</v>
      </c>
      <c r="Y1876" s="4">
        <f>$E1876+17</f>
        <v>123</v>
      </c>
      <c r="Z1876" s="8">
        <f>IF($J1876=0,0,ROUND(MAX($J1876*1.4*1.5*1.6*1.6*2.2*2.715*2.6*1.4,6020000000*(1.651178^(MIN($E1876,123)-117)))*1,0))</f>
        <v>24202691</v>
      </c>
      <c r="AA1876" s="6">
        <f>$E1876+19</f>
        <v>125</v>
      </c>
      <c r="AB1876" s="7">
        <f>IF($J1876=0,0,ROUND(MAX($J1876*1.4*1.5*1.6*1.6*2.2*2.715*2.6*1.4*1.4,8430000000*(1.651435^(MIN($E1876,123)-117)))*1,0))</f>
        <v>33833836</v>
      </c>
      <c r="AC1876" s="4">
        <f>$E1876+21</f>
        <v>127</v>
      </c>
      <c r="AD1876" s="8">
        <f>IF($J1876=0,0,ROUND(MAX($J1876*1.4*1.5*1.6*1.6*2.2*2.715*2.6*1.4*1.4*1.5,12600000000*(1.652953^(MIN($E1876,123)-117)))*1,0))</f>
        <v>50061630</v>
      </c>
      <c r="AE1876" s="6">
        <f>$E1876+24</f>
        <v>130</v>
      </c>
      <c r="AF1876" s="7">
        <f>IF($J1876=0,0,ROUND(MAX($J1876*1.4*1.5*1.6*1.6*2.2*2.715*2.6*1.4*1.4*1.5*1.5,18900000000*(1.65331^(MIN($E1876,123)-117)))*1,0))</f>
        <v>74914276</v>
      </c>
      <c r="AG1876" s="4">
        <f>$E1876+27</f>
        <v>133</v>
      </c>
      <c r="AH1876" s="8">
        <f>IF($J1876=0,0,ROUND(MAX($J1876*1.4*1.5*1.6*1.6*2.2*2.715*2.6*1.4*1.4*1.5*1.5*3.2,60500000000*(1.654288^(MIN($E1876,123)-117)))*1,0))</f>
        <v>238250083</v>
      </c>
    </row>
    <row r="1877" ht="27.75" customHeight="1" spans="1:34" x14ac:dyDescent="0.25">
      <c r="A1877" s="3">
        <v>1887</v>
      </c>
      <c r="B1877" s="3" t="s">
        <v>1230</v>
      </c>
      <c r="C1877" s="3" t="s">
        <v>1175</v>
      </c>
      <c r="D1877" s="3" t="s">
        <v>165</v>
      </c>
      <c r="E1877" s="3">
        <v>106</v>
      </c>
      <c r="F1877" s="3" t="s">
        <v>34</v>
      </c>
      <c r="G1877" s="3" t="s">
        <v>1080</v>
      </c>
      <c r="H1877" s="3">
        <v>23</v>
      </c>
      <c r="I1877" s="4">
        <v>106</v>
      </c>
      <c r="J1877" s="5">
        <v>67600</v>
      </c>
      <c r="K1877" s="6">
        <f>$E1877+1</f>
        <v>107</v>
      </c>
      <c r="L1877" s="7">
        <f>IF($J1877=0,0,ROUND(MAX($J1877*1.4,1620000*(1.497923^(MIN($E1877,123)-117)))*1,0))</f>
        <v>94640</v>
      </c>
      <c r="M1877" s="4">
        <f>$E1877+2</f>
        <v>108</v>
      </c>
      <c r="N1877" s="8">
        <f>IF($J1877=0,0,ROUND(MAX($J1877*1.4*1.5,2190000*(1.580994^(MIN($E1877,123)-117)))*1,0))</f>
        <v>141960</v>
      </c>
      <c r="O1877" s="6">
        <f>$E1877+4</f>
        <v>110</v>
      </c>
      <c r="P1877" s="7">
        <f>IF($J1877=0,0,ROUND(MAX($J1877*1.4*1.5*1.6,3500000*(1.57975^(MIN($E1877,123)-117)))*1,0))</f>
        <v>227136</v>
      </c>
      <c r="Q1877" s="4">
        <f>$E1877+6</f>
        <v>112</v>
      </c>
      <c r="R1877" s="8">
        <f>IF($J1877=0,0,ROUND(MAX($J1877*1.4*1.5*1.6*1.6,13100000*(1.429962^(MIN($E1877,123)-117)))*1,0))</f>
        <v>363418</v>
      </c>
      <c r="S1877" s="6">
        <f>$E1877+8</f>
        <v>114</v>
      </c>
      <c r="T1877" s="7">
        <f>IF($J1877=0,0,ROUND(MAX($J1877*1.4*1.5*1.6*1.6*2.2,42600000*(1.576904^(MIN($E1877,123)-117)))*1,0))</f>
        <v>799519</v>
      </c>
      <c r="U1877" s="4">
        <f>$E1877+11</f>
        <v>117</v>
      </c>
      <c r="V1877" s="8">
        <f>IF($J1877=0,0,ROUND(MAX($J1877*1.4*1.5*1.6*1.6*2.2*2.715,354000000*(1.642074^(MIN($E1877,123)-117)))*1,0))</f>
        <v>2170693</v>
      </c>
      <c r="W1877" s="6">
        <f>$E1877+15</f>
        <v>121</v>
      </c>
      <c r="X1877" s="7">
        <f>IF($J1877=0,0,ROUND(MAX($J1877*1.4*1.5*1.6*1.6*2.2*2.715*2.6,3540000000*(1.579646^(MIN($E1877,123)-117)))*1,0))</f>
        <v>23165718</v>
      </c>
      <c r="Y1877" s="4">
        <f>$E1877+17</f>
        <v>123</v>
      </c>
      <c r="Z1877" s="8">
        <f>IF($J1877=0,0,ROUND(MAX($J1877*1.4*1.5*1.6*1.6*2.2*2.715*2.6*1.4,6020000000*(1.651178^(MIN($E1877,123)-117)))*1,0))</f>
        <v>24202691</v>
      </c>
      <c r="AA1877" s="6">
        <f>$E1877+19</f>
        <v>125</v>
      </c>
      <c r="AB1877" s="7">
        <f>IF($J1877=0,0,ROUND(MAX($J1877*1.4*1.5*1.6*1.6*2.2*2.715*2.6*1.4*1.4,8430000000*(1.651435^(MIN($E1877,123)-117)))*1,0))</f>
        <v>33833836</v>
      </c>
      <c r="AC1877" s="4">
        <f>$E1877+21</f>
        <v>127</v>
      </c>
      <c r="AD1877" s="8">
        <f>IF($J1877=0,0,ROUND(MAX($J1877*1.4*1.5*1.6*1.6*2.2*2.715*2.6*1.4*1.4*1.5,12600000000*(1.652953^(MIN($E1877,123)-117)))*1,0))</f>
        <v>50061630</v>
      </c>
      <c r="AE1877" s="6">
        <f>$E1877+24</f>
        <v>130</v>
      </c>
      <c r="AF1877" s="7">
        <f>IF($J1877=0,0,ROUND(MAX($J1877*1.4*1.5*1.6*1.6*2.2*2.715*2.6*1.4*1.4*1.5*1.5,18900000000*(1.65331^(MIN($E1877,123)-117)))*1,0))</f>
        <v>74914276</v>
      </c>
      <c r="AG1877" s="4">
        <f>$E1877+27</f>
        <v>133</v>
      </c>
      <c r="AH1877" s="8">
        <f>IF($J1877=0,0,ROUND(MAX($J1877*1.4*1.5*1.6*1.6*2.2*2.715*2.6*1.4*1.4*1.5*1.5*3.2,60500000000*(1.654288^(MIN($E1877,123)-117)))*1,0))</f>
        <v>238250083</v>
      </c>
    </row>
    <row r="1878" ht="27.75" customHeight="1" spans="1:34" x14ac:dyDescent="0.25">
      <c r="A1878" s="3">
        <v>1888</v>
      </c>
      <c r="B1878" s="3" t="s">
        <v>1231</v>
      </c>
      <c r="C1878" s="3" t="s">
        <v>1175</v>
      </c>
      <c r="D1878" s="3" t="s">
        <v>64</v>
      </c>
      <c r="E1878" s="3">
        <v>106</v>
      </c>
      <c r="F1878" s="3" t="s">
        <v>223</v>
      </c>
      <c r="G1878" s="3" t="s">
        <v>254</v>
      </c>
      <c r="H1878" s="3">
        <v>23</v>
      </c>
      <c r="I1878" s="4">
        <v>106</v>
      </c>
      <c r="J1878" s="5">
        <v>81600</v>
      </c>
      <c r="K1878" s="6">
        <f>$E1878+1</f>
        <v>107</v>
      </c>
      <c r="L1878" s="7">
        <f>IF($J1878=0,0,ROUND(MAX($J1878*1.4,1620000*(1.497923^(MIN($E1878,123)-117)))*1,0))</f>
        <v>114240</v>
      </c>
      <c r="M1878" s="4">
        <f>$E1878+2</f>
        <v>108</v>
      </c>
      <c r="N1878" s="8">
        <f>IF($J1878=0,0,ROUND(MAX($J1878*1.4*1.5,2190000*(1.580994^(MIN($E1878,123)-117)))*1,0))</f>
        <v>171360</v>
      </c>
      <c r="O1878" s="6">
        <f>$E1878+4</f>
        <v>110</v>
      </c>
      <c r="P1878" s="7">
        <f>IF($J1878=0,0,ROUND(MAX($J1878*1.4*1.5*1.6,3500000*(1.57975^(MIN($E1878,123)-117)))*1,0))</f>
        <v>274176</v>
      </c>
      <c r="Q1878" s="4">
        <f>$E1878+6</f>
        <v>112</v>
      </c>
      <c r="R1878" s="8">
        <f>IF($J1878=0,0,ROUND(MAX($J1878*1.4*1.5*1.6*1.6,13100000*(1.429962^(MIN($E1878,123)-117)))*1,0))</f>
        <v>438682</v>
      </c>
      <c r="S1878" s="6">
        <f>$E1878+8</f>
        <v>114</v>
      </c>
      <c r="T1878" s="7">
        <f>IF($J1878=0,0,ROUND(MAX($J1878*1.4*1.5*1.6*1.6*2.2,42600000*(1.576904^(MIN($E1878,123)-117)))*1,0))</f>
        <v>965100</v>
      </c>
      <c r="U1878" s="4">
        <f>$E1878+11</f>
        <v>117</v>
      </c>
      <c r="V1878" s="8">
        <f>IF($J1878=0,0,ROUND(MAX($J1878*1.4*1.5*1.6*1.6*2.2*2.715,354000000*(1.642074^(MIN($E1878,123)-117)))*1,0))</f>
        <v>2620245</v>
      </c>
      <c r="W1878" s="6">
        <f>$E1878+15</f>
        <v>121</v>
      </c>
      <c r="X1878" s="7">
        <f>IF($J1878=0,0,ROUND(MAX($J1878*1.4*1.5*1.6*1.6*2.2*2.715*2.6,3540000000*(1.579646^(MIN($E1878,123)-117)))*1,0))</f>
        <v>23165718</v>
      </c>
      <c r="Y1878" s="4">
        <f>$E1878+17</f>
        <v>123</v>
      </c>
      <c r="Z1878" s="8">
        <f>IF($J1878=0,0,ROUND(MAX($J1878*1.4*1.5*1.6*1.6*2.2*2.715*2.6*1.4,6020000000*(1.651178^(MIN($E1878,123)-117)))*1,0))</f>
        <v>24202691</v>
      </c>
      <c r="AA1878" s="6">
        <f>$E1878+19</f>
        <v>125</v>
      </c>
      <c r="AB1878" s="7">
        <f>IF($J1878=0,0,ROUND(MAX($J1878*1.4*1.5*1.6*1.6*2.2*2.715*2.6*1.4*1.4,8430000000*(1.651435^(MIN($E1878,123)-117)))*1,0))</f>
        <v>33833836</v>
      </c>
      <c r="AC1878" s="4">
        <f>$E1878+21</f>
        <v>127</v>
      </c>
      <c r="AD1878" s="8">
        <f>IF($J1878=0,0,ROUND(MAX($J1878*1.4*1.5*1.6*1.6*2.2*2.715*2.6*1.4*1.4*1.5,12600000000*(1.652953^(MIN($E1878,123)-117)))*1,0))</f>
        <v>50061630</v>
      </c>
      <c r="AE1878" s="6">
        <f>$E1878+24</f>
        <v>130</v>
      </c>
      <c r="AF1878" s="7">
        <f>IF($J1878=0,0,ROUND(MAX($J1878*1.4*1.5*1.6*1.6*2.2*2.715*2.6*1.4*1.4*1.5*1.5,18900000000*(1.65331^(MIN($E1878,123)-117)))*1,0))</f>
        <v>74914276</v>
      </c>
      <c r="AG1878" s="4">
        <f>$E1878+27</f>
        <v>133</v>
      </c>
      <c r="AH1878" s="8">
        <f>IF($J1878=0,0,ROUND(MAX($J1878*1.4*1.5*1.6*1.6*2.2*2.715*2.6*1.4*1.4*1.5*1.5*3.2,60500000000*(1.654288^(MIN($E1878,123)-117)))*1,0))</f>
        <v>238250083</v>
      </c>
    </row>
    <row r="1879" ht="27.75" customHeight="1" spans="1:34" x14ac:dyDescent="0.25">
      <c r="A1879" s="3">
        <v>1889</v>
      </c>
      <c r="B1879" s="3" t="s">
        <v>1232</v>
      </c>
      <c r="C1879" s="3" t="s">
        <v>1175</v>
      </c>
      <c r="D1879" s="3" t="s">
        <v>64</v>
      </c>
      <c r="E1879" s="3">
        <v>106</v>
      </c>
      <c r="F1879" s="3" t="s">
        <v>97</v>
      </c>
      <c r="G1879" s="3" t="s">
        <v>57</v>
      </c>
      <c r="H1879" s="3">
        <v>23</v>
      </c>
      <c r="I1879" s="4">
        <v>106</v>
      </c>
      <c r="J1879" s="5">
        <v>165000</v>
      </c>
      <c r="K1879" s="6">
        <f>$E1879+1</f>
        <v>107</v>
      </c>
      <c r="L1879" s="7">
        <f>IF($J1879=0,0,ROUND(MAX($J1879*1.4,1620000*(1.497923^(MIN($E1879,123)-117)))*1,0))</f>
        <v>231000</v>
      </c>
      <c r="M1879" s="4">
        <f>$E1879+2</f>
        <v>108</v>
      </c>
      <c r="N1879" s="8">
        <f>IF($J1879=0,0,ROUND(MAX($J1879*1.4*1.5,2190000*(1.580994^(MIN($E1879,123)-117)))*1,0))</f>
        <v>346500</v>
      </c>
      <c r="O1879" s="6">
        <f>$E1879+4</f>
        <v>110</v>
      </c>
      <c r="P1879" s="7">
        <f>IF($J1879=0,0,ROUND(MAX($J1879*1.4*1.5*1.6,3500000*(1.57975^(MIN($E1879,123)-117)))*1,0))</f>
        <v>554400</v>
      </c>
      <c r="Q1879" s="4">
        <f>$E1879+6</f>
        <v>112</v>
      </c>
      <c r="R1879" s="8">
        <f>IF($J1879=0,0,ROUND(MAX($J1879*1.4*1.5*1.6*1.6,13100000*(1.429962^(MIN($E1879,123)-117)))*1,0))</f>
        <v>887040</v>
      </c>
      <c r="S1879" s="6">
        <f>$E1879+8</f>
        <v>114</v>
      </c>
      <c r="T1879" s="7">
        <f>IF($J1879=0,0,ROUND(MAX($J1879*1.4*1.5*1.6*1.6*2.2,42600000*(1.576904^(MIN($E1879,123)-117)))*1,0))</f>
        <v>1951488</v>
      </c>
      <c r="U1879" s="4">
        <f>$E1879+11</f>
        <v>117</v>
      </c>
      <c r="V1879" s="8">
        <f>IF($J1879=0,0,ROUND(MAX($J1879*1.4*1.5*1.6*1.6*2.2*2.715,354000000*(1.642074^(MIN($E1879,123)-117)))*1,0))</f>
        <v>5298290</v>
      </c>
      <c r="W1879" s="6">
        <f>$E1879+15</f>
        <v>121</v>
      </c>
      <c r="X1879" s="7">
        <f>IF($J1879=0,0,ROUND(MAX($J1879*1.4*1.5*1.6*1.6*2.2*2.715*2.6,3540000000*(1.579646^(MIN($E1879,123)-117)))*1,0))</f>
        <v>23165718</v>
      </c>
      <c r="Y1879" s="4">
        <f>$E1879+17</f>
        <v>123</v>
      </c>
      <c r="Z1879" s="8">
        <f>IF($J1879=0,0,ROUND(MAX($J1879*1.4*1.5*1.6*1.6*2.2*2.715*2.6*1.4,6020000000*(1.651178^(MIN($E1879,123)-117)))*1,0))</f>
        <v>24202691</v>
      </c>
      <c r="AA1879" s="6">
        <f>$E1879+19</f>
        <v>125</v>
      </c>
      <c r="AB1879" s="7">
        <f>IF($J1879=0,0,ROUND(MAX($J1879*1.4*1.5*1.6*1.6*2.2*2.715*2.6*1.4*1.4,8430000000*(1.651435^(MIN($E1879,123)-117)))*1,0))</f>
        <v>33833836</v>
      </c>
      <c r="AC1879" s="4">
        <f>$E1879+21</f>
        <v>127</v>
      </c>
      <c r="AD1879" s="8">
        <f>IF($J1879=0,0,ROUND(MAX($J1879*1.4*1.5*1.6*1.6*2.2*2.715*2.6*1.4*1.4*1.5,12600000000*(1.652953^(MIN($E1879,123)-117)))*1,0))</f>
        <v>50061630</v>
      </c>
      <c r="AE1879" s="6">
        <f>$E1879+24</f>
        <v>130</v>
      </c>
      <c r="AF1879" s="7">
        <f>IF($J1879=0,0,ROUND(MAX($J1879*1.4*1.5*1.6*1.6*2.2*2.715*2.6*1.4*1.4*1.5*1.5,18900000000*(1.65331^(MIN($E1879,123)-117)))*1,0))</f>
        <v>74914276</v>
      </c>
      <c r="AG1879" s="4">
        <f>$E1879+27</f>
        <v>133</v>
      </c>
      <c r="AH1879" s="8">
        <f>IF($J1879=0,0,ROUND(MAX($J1879*1.4*1.5*1.6*1.6*2.2*2.715*2.6*1.4*1.4*1.5*1.5*3.2,60500000000*(1.654288^(MIN($E1879,123)-117)))*1,0))</f>
        <v>238250083</v>
      </c>
    </row>
    <row r="1880" ht="27.75" customHeight="1" spans="1:34" x14ac:dyDescent="0.25">
      <c r="A1880" s="3">
        <v>1890</v>
      </c>
      <c r="B1880" s="3" t="s">
        <v>1170</v>
      </c>
      <c r="C1880" s="3" t="s">
        <v>1175</v>
      </c>
      <c r="D1880" s="3" t="s">
        <v>40</v>
      </c>
      <c r="E1880" s="3">
        <v>106</v>
      </c>
      <c r="F1880" s="3" t="s">
        <v>258</v>
      </c>
      <c r="G1880" s="3" t="s">
        <v>374</v>
      </c>
      <c r="H1880" s="3">
        <v>23</v>
      </c>
      <c r="I1880" s="4">
        <v>106</v>
      </c>
      <c r="J1880" s="5">
        <v>68000</v>
      </c>
      <c r="K1880" s="6">
        <f>$E1880+1</f>
        <v>107</v>
      </c>
      <c r="L1880" s="7">
        <f>IF($J1880=0,0,ROUND(MAX($J1880*1.4,1620000*(1.497923^(MIN($E1880,123)-117)))*1,0))</f>
        <v>95200</v>
      </c>
      <c r="M1880" s="4">
        <f>$E1880+2</f>
        <v>108</v>
      </c>
      <c r="N1880" s="8">
        <f>IF($J1880=0,0,ROUND(MAX($J1880*1.4*1.5,2190000*(1.580994^(MIN($E1880,123)-117)))*1,0))</f>
        <v>142800</v>
      </c>
      <c r="O1880" s="6">
        <f>$E1880+4</f>
        <v>110</v>
      </c>
      <c r="P1880" s="7">
        <f>IF($J1880=0,0,ROUND(MAX($J1880*1.4*1.5*1.6,3500000*(1.57975^(MIN($E1880,123)-117)))*1,0))</f>
        <v>228480</v>
      </c>
      <c r="Q1880" s="4">
        <f>$E1880+6</f>
        <v>112</v>
      </c>
      <c r="R1880" s="8">
        <f>IF($J1880=0,0,ROUND(MAX($J1880*1.4*1.5*1.6*1.6,13100000*(1.429962^(MIN($E1880,123)-117)))*1,0))</f>
        <v>365568</v>
      </c>
      <c r="S1880" s="6">
        <f>$E1880+8</f>
        <v>114</v>
      </c>
      <c r="T1880" s="7">
        <f>IF($J1880=0,0,ROUND(MAX($J1880*1.4*1.5*1.6*1.6*2.2,42600000*(1.576904^(MIN($E1880,123)-117)))*1,0))</f>
        <v>804250</v>
      </c>
      <c r="U1880" s="4">
        <f>$E1880+11</f>
        <v>117</v>
      </c>
      <c r="V1880" s="8">
        <f>IF($J1880=0,0,ROUND(MAX($J1880*1.4*1.5*1.6*1.6*2.2*2.715,354000000*(1.642074^(MIN($E1880,123)-117)))*1,0))</f>
        <v>2183538</v>
      </c>
      <c r="W1880" s="6">
        <f>$E1880+15</f>
        <v>121</v>
      </c>
      <c r="X1880" s="7">
        <f>IF($J1880=0,0,ROUND(MAX($J1880*1.4*1.5*1.6*1.6*2.2*2.715*2.6,3540000000*(1.579646^(MIN($E1880,123)-117)))*1,0))</f>
        <v>23165718</v>
      </c>
      <c r="Y1880" s="4">
        <f>$E1880+17</f>
        <v>123</v>
      </c>
      <c r="Z1880" s="8">
        <f>IF($J1880=0,0,ROUND(MAX($J1880*1.4*1.5*1.6*1.6*2.2*2.715*2.6*1.4,6020000000*(1.651178^(MIN($E1880,123)-117)))*1,0))</f>
        <v>24202691</v>
      </c>
      <c r="AA1880" s="6">
        <f>$E1880+19</f>
        <v>125</v>
      </c>
      <c r="AB1880" s="7">
        <f>IF($J1880=0,0,ROUND(MAX($J1880*1.4*1.5*1.6*1.6*2.2*2.715*2.6*1.4*1.4,8430000000*(1.651435^(MIN($E1880,123)-117)))*1,0))</f>
        <v>33833836</v>
      </c>
      <c r="AC1880" s="4">
        <f>$E1880+21</f>
        <v>127</v>
      </c>
      <c r="AD1880" s="8">
        <f>IF($J1880=0,0,ROUND(MAX($J1880*1.4*1.5*1.6*1.6*2.2*2.715*2.6*1.4*1.4*1.5,12600000000*(1.652953^(MIN($E1880,123)-117)))*1,0))</f>
        <v>50061630</v>
      </c>
      <c r="AE1880" s="6">
        <f>$E1880+24</f>
        <v>130</v>
      </c>
      <c r="AF1880" s="7">
        <f>IF($J1880=0,0,ROUND(MAX($J1880*1.4*1.5*1.6*1.6*2.2*2.715*2.6*1.4*1.4*1.5*1.5,18900000000*(1.65331^(MIN($E1880,123)-117)))*1,0))</f>
        <v>74914276</v>
      </c>
      <c r="AG1880" s="4">
        <f>$E1880+27</f>
        <v>133</v>
      </c>
      <c r="AH1880" s="8">
        <f>IF($J1880=0,0,ROUND(MAX($J1880*1.4*1.5*1.6*1.6*2.2*2.715*2.6*1.4*1.4*1.5*1.5*3.2,60500000000*(1.654288^(MIN($E1880,123)-117)))*1,0))</f>
        <v>238250083</v>
      </c>
    </row>
    <row r="1881" ht="27.75" customHeight="1" spans="1:34" x14ac:dyDescent="0.25">
      <c r="A1881" s="3">
        <v>1891</v>
      </c>
      <c r="B1881" s="3" t="s">
        <v>1233</v>
      </c>
      <c r="C1881" s="3" t="s">
        <v>1175</v>
      </c>
      <c r="D1881" s="3" t="s">
        <v>93</v>
      </c>
      <c r="E1881" s="3">
        <v>106</v>
      </c>
      <c r="F1881" s="3" t="s">
        <v>97</v>
      </c>
      <c r="G1881" s="3" t="s">
        <v>169</v>
      </c>
      <c r="H1881" s="3">
        <v>23</v>
      </c>
      <c r="I1881" s="4">
        <v>106</v>
      </c>
      <c r="J1881" s="5">
        <v>45500</v>
      </c>
      <c r="K1881" s="6">
        <f>$E1881+1</f>
        <v>107</v>
      </c>
      <c r="L1881" s="7">
        <f>IF($J1881=0,0,ROUND(MAX($J1881*1.4,1620000*(1.497923^(MIN($E1881,123)-117)))*1,0))</f>
        <v>63700</v>
      </c>
      <c r="M1881" s="4">
        <f>$E1881+2</f>
        <v>108</v>
      </c>
      <c r="N1881" s="8">
        <f>IF($J1881=0,0,ROUND(MAX($J1881*1.4*1.5,2190000*(1.580994^(MIN($E1881,123)-117)))*1,0))</f>
        <v>95550</v>
      </c>
      <c r="O1881" s="6">
        <f>$E1881+4</f>
        <v>110</v>
      </c>
      <c r="P1881" s="7">
        <f>IF($J1881=0,0,ROUND(MAX($J1881*1.4*1.5*1.6,3500000*(1.57975^(MIN($E1881,123)-117)))*1,0))</f>
        <v>152880</v>
      </c>
      <c r="Q1881" s="4">
        <f>$E1881+6</f>
        <v>112</v>
      </c>
      <c r="R1881" s="8">
        <f>IF($J1881=0,0,ROUND(MAX($J1881*1.4*1.5*1.6*1.6,13100000*(1.429962^(MIN($E1881,123)-117)))*1,0))</f>
        <v>256272</v>
      </c>
      <c r="S1881" s="6">
        <f>$E1881+8</f>
        <v>114</v>
      </c>
      <c r="T1881" s="7">
        <f>IF($J1881=0,0,ROUND(MAX($J1881*1.4*1.5*1.6*1.6*2.2,42600000*(1.576904^(MIN($E1881,123)-117)))*1,0))</f>
        <v>538138</v>
      </c>
      <c r="U1881" s="4">
        <f>$E1881+11</f>
        <v>117</v>
      </c>
      <c r="V1881" s="8">
        <f>IF($J1881=0,0,ROUND(MAX($J1881*1.4*1.5*1.6*1.6*2.2*2.715,354000000*(1.642074^(MIN($E1881,123)-117)))*1,0))</f>
        <v>1512458</v>
      </c>
      <c r="W1881" s="6">
        <f>$E1881+15</f>
        <v>121</v>
      </c>
      <c r="X1881" s="7">
        <f>IF($J1881=0,0,ROUND(MAX($J1881*1.4*1.5*1.6*1.6*2.2*2.715*2.6,3540000000*(1.579646^(MIN($E1881,123)-117)))*1,0))</f>
        <v>23165718</v>
      </c>
      <c r="Y1881" s="4">
        <f>$E1881+17</f>
        <v>123</v>
      </c>
      <c r="Z1881" s="8">
        <f>IF($J1881=0,0,ROUND(MAX($J1881*1.4*1.5*1.6*1.6*2.2*2.715*2.6*1.4,6020000000*(1.651178^(MIN($E1881,123)-117)))*1,0))</f>
        <v>24202691</v>
      </c>
      <c r="AA1881" s="6">
        <f>$E1881+19</f>
        <v>125</v>
      </c>
      <c r="AB1881" s="7">
        <f>IF($J1881=0,0,ROUND(MAX($J1881*1.4*1.5*1.6*1.6*2.2*2.715*2.6*1.4*1.4,8430000000*(1.651435^(MIN($E1881,123)-117)))*1,0))</f>
        <v>33833836</v>
      </c>
      <c r="AC1881" s="4">
        <f>$E1881+21</f>
        <v>127</v>
      </c>
      <c r="AD1881" s="8">
        <f>IF($J1881=0,0,ROUND(MAX($J1881*1.4*1.5*1.6*1.6*2.2*2.715*2.6*1.4*1.4*1.5,12600000000*(1.652953^(MIN($E1881,123)-117)))*1,0))</f>
        <v>50061630</v>
      </c>
      <c r="AE1881" s="6">
        <f>$E1881+24</f>
        <v>130</v>
      </c>
      <c r="AF1881" s="7">
        <f>IF($J1881=0,0,ROUND(MAX($J1881*1.4*1.5*1.6*1.6*2.2*2.715*2.6*1.4*1.4*1.5*1.5,18900000000*(1.65331^(MIN($E1881,123)-117)))*1,0))</f>
        <v>74914276</v>
      </c>
      <c r="AG1881" s="4">
        <f>$E1881+27</f>
        <v>133</v>
      </c>
      <c r="AH1881" s="8">
        <f>IF($J1881=0,0,ROUND(MAX($J1881*1.4*1.5*1.6*1.6*2.2*2.715*2.6*1.4*1.4*1.5*1.5*3.2,60500000000*(1.654288^(MIN($E1881,123)-117)))*1,0))</f>
        <v>238250083</v>
      </c>
    </row>
    <row r="1882" ht="27.75" customHeight="1" spans="1:34" x14ac:dyDescent="0.25">
      <c r="A1882" s="3">
        <v>1892</v>
      </c>
      <c r="B1882" s="3" t="s">
        <v>1234</v>
      </c>
      <c r="C1882" s="3" t="s">
        <v>1175</v>
      </c>
      <c r="D1882" s="3" t="s">
        <v>64</v>
      </c>
      <c r="E1882" s="3">
        <v>106</v>
      </c>
      <c r="F1882" s="3" t="s">
        <v>132</v>
      </c>
      <c r="G1882" s="3" t="s">
        <v>171</v>
      </c>
      <c r="H1882" s="3">
        <v>23</v>
      </c>
      <c r="I1882" s="4">
        <v>106</v>
      </c>
      <c r="J1882" s="5">
        <v>60600</v>
      </c>
      <c r="K1882" s="6">
        <f>$E1882+1</f>
        <v>107</v>
      </c>
      <c r="L1882" s="7">
        <f>IF($J1882=0,0,ROUND(MAX($J1882*1.4,1620000*(1.497923^(MIN($E1882,123)-117)))*1,0))</f>
        <v>84840</v>
      </c>
      <c r="M1882" s="4">
        <f>$E1882+2</f>
        <v>108</v>
      </c>
      <c r="N1882" s="8">
        <f>IF($J1882=0,0,ROUND(MAX($J1882*1.4*1.5,2190000*(1.580994^(MIN($E1882,123)-117)))*1,0))</f>
        <v>127260</v>
      </c>
      <c r="O1882" s="6">
        <f>$E1882+4</f>
        <v>110</v>
      </c>
      <c r="P1882" s="7">
        <f>IF($J1882=0,0,ROUND(MAX($J1882*1.4*1.5*1.6,3500000*(1.57975^(MIN($E1882,123)-117)))*1,0))</f>
        <v>203616</v>
      </c>
      <c r="Q1882" s="4">
        <f>$E1882+6</f>
        <v>112</v>
      </c>
      <c r="R1882" s="8">
        <f>IF($J1882=0,0,ROUND(MAX($J1882*1.4*1.5*1.6*1.6,13100000*(1.429962^(MIN($E1882,123)-117)))*1,0))</f>
        <v>325786</v>
      </c>
      <c r="S1882" s="6">
        <f>$E1882+8</f>
        <v>114</v>
      </c>
      <c r="T1882" s="7">
        <f>IF($J1882=0,0,ROUND(MAX($J1882*1.4*1.5*1.6*1.6*2.2,42600000*(1.576904^(MIN($E1882,123)-117)))*1,0))</f>
        <v>716728</v>
      </c>
      <c r="U1882" s="4">
        <f>$E1882+11</f>
        <v>117</v>
      </c>
      <c r="V1882" s="8">
        <f>IF($J1882=0,0,ROUND(MAX($J1882*1.4*1.5*1.6*1.6*2.2*2.715,354000000*(1.642074^(MIN($E1882,123)-117)))*1,0))</f>
        <v>1945917</v>
      </c>
      <c r="W1882" s="6">
        <f>$E1882+15</f>
        <v>121</v>
      </c>
      <c r="X1882" s="7">
        <f>IF($J1882=0,0,ROUND(MAX($J1882*1.4*1.5*1.6*1.6*2.2*2.715*2.6,3540000000*(1.579646^(MIN($E1882,123)-117)))*1,0))</f>
        <v>23165718</v>
      </c>
      <c r="Y1882" s="4">
        <f>$E1882+17</f>
        <v>123</v>
      </c>
      <c r="Z1882" s="8">
        <f>IF($J1882=0,0,ROUND(MAX($J1882*1.4*1.5*1.6*1.6*2.2*2.715*2.6*1.4,6020000000*(1.651178^(MIN($E1882,123)-117)))*1,0))</f>
        <v>24202691</v>
      </c>
      <c r="AA1882" s="6">
        <f>$E1882+19</f>
        <v>125</v>
      </c>
      <c r="AB1882" s="7">
        <f>IF($J1882=0,0,ROUND(MAX($J1882*1.4*1.5*1.6*1.6*2.2*2.715*2.6*1.4*1.4,8430000000*(1.651435^(MIN($E1882,123)-117)))*1,0))</f>
        <v>33833836</v>
      </c>
      <c r="AC1882" s="4">
        <f>$E1882+21</f>
        <v>127</v>
      </c>
      <c r="AD1882" s="8">
        <f>IF($J1882=0,0,ROUND(MAX($J1882*1.4*1.5*1.6*1.6*2.2*2.715*2.6*1.4*1.4*1.5,12600000000*(1.652953^(MIN($E1882,123)-117)))*1,0))</f>
        <v>50061630</v>
      </c>
      <c r="AE1882" s="6">
        <f>$E1882+24</f>
        <v>130</v>
      </c>
      <c r="AF1882" s="7">
        <f>IF($J1882=0,0,ROUND(MAX($J1882*1.4*1.5*1.6*1.6*2.2*2.715*2.6*1.4*1.4*1.5*1.5,18900000000*(1.65331^(MIN($E1882,123)-117)))*1,0))</f>
        <v>74914276</v>
      </c>
      <c r="AG1882" s="4">
        <f>$E1882+27</f>
        <v>133</v>
      </c>
      <c r="AH1882" s="8">
        <f>IF($J1882=0,0,ROUND(MAX($J1882*1.4*1.5*1.6*1.6*2.2*2.715*2.6*1.4*1.4*1.5*1.5*3.2,60500000000*(1.654288^(MIN($E1882,123)-117)))*1,0))</f>
        <v>238250083</v>
      </c>
    </row>
    <row r="1883" ht="27.75" customHeight="1" spans="1:34" x14ac:dyDescent="0.25">
      <c r="A1883" s="3">
        <v>1893</v>
      </c>
      <c r="B1883" s="3" t="s">
        <v>1235</v>
      </c>
      <c r="C1883" s="3" t="s">
        <v>1175</v>
      </c>
      <c r="D1883" s="3" t="s">
        <v>64</v>
      </c>
      <c r="E1883" s="3">
        <v>106</v>
      </c>
      <c r="F1883" s="3" t="s">
        <v>30</v>
      </c>
      <c r="G1883" s="3" t="s">
        <v>38</v>
      </c>
      <c r="H1883" s="3">
        <v>23</v>
      </c>
      <c r="I1883" s="4">
        <v>106</v>
      </c>
      <c r="J1883" s="5">
        <v>45300</v>
      </c>
      <c r="K1883" s="6">
        <f>$E1883+1</f>
        <v>107</v>
      </c>
      <c r="L1883" s="7">
        <f>IF($J1883=0,0,ROUND(MAX($J1883*1.4,1620000*(1.497923^(MIN($E1883,123)-117)))*1,0))</f>
        <v>63420</v>
      </c>
      <c r="M1883" s="4">
        <f>$E1883+2</f>
        <v>108</v>
      </c>
      <c r="N1883" s="8">
        <f>IF($J1883=0,0,ROUND(MAX($J1883*1.4*1.5,2190000*(1.580994^(MIN($E1883,123)-117)))*1,0))</f>
        <v>95130</v>
      </c>
      <c r="O1883" s="6">
        <f>$E1883+4</f>
        <v>110</v>
      </c>
      <c r="P1883" s="7">
        <f>IF($J1883=0,0,ROUND(MAX($J1883*1.4*1.5*1.6,3500000*(1.57975^(MIN($E1883,123)-117)))*1,0))</f>
        <v>152208</v>
      </c>
      <c r="Q1883" s="4">
        <f>$E1883+6</f>
        <v>112</v>
      </c>
      <c r="R1883" s="8">
        <f>IF($J1883=0,0,ROUND(MAX($J1883*1.4*1.5*1.6*1.6,13100000*(1.429962^(MIN($E1883,123)-117)))*1,0))</f>
        <v>256272</v>
      </c>
      <c r="S1883" s="6">
        <f>$E1883+8</f>
        <v>114</v>
      </c>
      <c r="T1883" s="7">
        <f>IF($J1883=0,0,ROUND(MAX($J1883*1.4*1.5*1.6*1.6*2.2,42600000*(1.576904^(MIN($E1883,123)-117)))*1,0))</f>
        <v>535772</v>
      </c>
      <c r="U1883" s="4">
        <f>$E1883+11</f>
        <v>117</v>
      </c>
      <c r="V1883" s="8">
        <f>IF($J1883=0,0,ROUND(MAX($J1883*1.4*1.5*1.6*1.6*2.2*2.715,354000000*(1.642074^(MIN($E1883,123)-117)))*1,0))</f>
        <v>1512458</v>
      </c>
      <c r="W1883" s="6">
        <f>$E1883+15</f>
        <v>121</v>
      </c>
      <c r="X1883" s="7">
        <f>IF($J1883=0,0,ROUND(MAX($J1883*1.4*1.5*1.6*1.6*2.2*2.715*2.6,3540000000*(1.579646^(MIN($E1883,123)-117)))*1,0))</f>
        <v>23165718</v>
      </c>
      <c r="Y1883" s="4">
        <f>$E1883+17</f>
        <v>123</v>
      </c>
      <c r="Z1883" s="8">
        <f>IF($J1883=0,0,ROUND(MAX($J1883*1.4*1.5*1.6*1.6*2.2*2.715*2.6*1.4,6020000000*(1.651178^(MIN($E1883,123)-117)))*1,0))</f>
        <v>24202691</v>
      </c>
      <c r="AA1883" s="6">
        <f>$E1883+19</f>
        <v>125</v>
      </c>
      <c r="AB1883" s="7">
        <f>IF($J1883=0,0,ROUND(MAX($J1883*1.4*1.5*1.6*1.6*2.2*2.715*2.6*1.4*1.4,8430000000*(1.651435^(MIN($E1883,123)-117)))*1,0))</f>
        <v>33833836</v>
      </c>
      <c r="AC1883" s="4">
        <f>$E1883+21</f>
        <v>127</v>
      </c>
      <c r="AD1883" s="8">
        <f>IF($J1883=0,0,ROUND(MAX($J1883*1.4*1.5*1.6*1.6*2.2*2.715*2.6*1.4*1.4*1.5,12600000000*(1.652953^(MIN($E1883,123)-117)))*1,0))</f>
        <v>50061630</v>
      </c>
      <c r="AE1883" s="6">
        <f>$E1883+24</f>
        <v>130</v>
      </c>
      <c r="AF1883" s="7">
        <f>IF($J1883=0,0,ROUND(MAX($J1883*1.4*1.5*1.6*1.6*2.2*2.715*2.6*1.4*1.4*1.5*1.5,18900000000*(1.65331^(MIN($E1883,123)-117)))*1,0))</f>
        <v>74914276</v>
      </c>
      <c r="AG1883" s="4">
        <f>$E1883+27</f>
        <v>133</v>
      </c>
      <c r="AH1883" s="8">
        <f>IF($J1883=0,0,ROUND(MAX($J1883*1.4*1.5*1.6*1.6*2.2*2.715*2.6*1.4*1.4*1.5*1.5*3.2,60500000000*(1.654288^(MIN($E1883,123)-117)))*1,0))</f>
        <v>238250083</v>
      </c>
    </row>
    <row r="1884" ht="27.75" customHeight="1" spans="1:34" x14ac:dyDescent="0.25">
      <c r="A1884" s="3">
        <v>1894</v>
      </c>
      <c r="B1884" s="3" t="s">
        <v>713</v>
      </c>
      <c r="C1884" s="3" t="s">
        <v>1175</v>
      </c>
      <c r="D1884" s="3" t="s">
        <v>79</v>
      </c>
      <c r="E1884" s="3">
        <v>106</v>
      </c>
      <c r="F1884" s="3" t="s">
        <v>62</v>
      </c>
      <c r="G1884" s="3" t="s">
        <v>714</v>
      </c>
      <c r="H1884" s="3">
        <v>23</v>
      </c>
      <c r="I1884" s="4">
        <v>106</v>
      </c>
      <c r="J1884" s="5">
        <v>62600</v>
      </c>
      <c r="K1884" s="6">
        <f>$E1884+1</f>
        <v>107</v>
      </c>
      <c r="L1884" s="7">
        <f>IF($J1884=0,0,ROUND(MAX($J1884*1.4,1620000*(1.497923^(MIN($E1884,123)-117)))*1,0))</f>
        <v>87640</v>
      </c>
      <c r="M1884" s="4">
        <f>$E1884+2</f>
        <v>108</v>
      </c>
      <c r="N1884" s="8">
        <f>IF($J1884=0,0,ROUND(MAX($J1884*1.4*1.5,2190000*(1.580994^(MIN($E1884,123)-117)))*1,0))</f>
        <v>131460</v>
      </c>
      <c r="O1884" s="6">
        <f>$E1884+4</f>
        <v>110</v>
      </c>
      <c r="P1884" s="7">
        <f>IF($J1884=0,0,ROUND(MAX($J1884*1.4*1.5*1.6,3500000*(1.57975^(MIN($E1884,123)-117)))*1,0))</f>
        <v>210336</v>
      </c>
      <c r="Q1884" s="4">
        <f>$E1884+6</f>
        <v>112</v>
      </c>
      <c r="R1884" s="8">
        <f>IF($J1884=0,0,ROUND(MAX($J1884*1.4*1.5*1.6*1.6,13100000*(1.429962^(MIN($E1884,123)-117)))*1,0))</f>
        <v>336538</v>
      </c>
      <c r="S1884" s="6">
        <f>$E1884+8</f>
        <v>114</v>
      </c>
      <c r="T1884" s="7">
        <f>IF($J1884=0,0,ROUND(MAX($J1884*1.4*1.5*1.6*1.6*2.2,42600000*(1.576904^(MIN($E1884,123)-117)))*1,0))</f>
        <v>740383</v>
      </c>
      <c r="U1884" s="4">
        <f>$E1884+11</f>
        <v>117</v>
      </c>
      <c r="V1884" s="8">
        <f>IF($J1884=0,0,ROUND(MAX($J1884*1.4*1.5*1.6*1.6*2.2*2.715,354000000*(1.642074^(MIN($E1884,123)-117)))*1,0))</f>
        <v>2010139</v>
      </c>
      <c r="W1884" s="6">
        <f>$E1884+15</f>
        <v>121</v>
      </c>
      <c r="X1884" s="7">
        <f>IF($J1884=0,0,ROUND(MAX($J1884*1.4*1.5*1.6*1.6*2.2*2.715*2.6,3540000000*(1.579646^(MIN($E1884,123)-117)))*1,0))</f>
        <v>23165718</v>
      </c>
      <c r="Y1884" s="4">
        <f>$E1884+17</f>
        <v>123</v>
      </c>
      <c r="Z1884" s="8">
        <f>IF($J1884=0,0,ROUND(MAX($J1884*1.4*1.5*1.6*1.6*2.2*2.715*2.6*1.4,6020000000*(1.651178^(MIN($E1884,123)-117)))*1,0))</f>
        <v>24202691</v>
      </c>
      <c r="AA1884" s="6">
        <f>$E1884+19</f>
        <v>125</v>
      </c>
      <c r="AB1884" s="7">
        <f>IF($J1884=0,0,ROUND(MAX($J1884*1.4*1.5*1.6*1.6*2.2*2.715*2.6*1.4*1.4,8430000000*(1.651435^(MIN($E1884,123)-117)))*1,0))</f>
        <v>33833836</v>
      </c>
      <c r="AC1884" s="4">
        <f>$E1884+21</f>
        <v>127</v>
      </c>
      <c r="AD1884" s="8">
        <f>IF($J1884=0,0,ROUND(MAX($J1884*1.4*1.5*1.6*1.6*2.2*2.715*2.6*1.4*1.4*1.5,12600000000*(1.652953^(MIN($E1884,123)-117)))*1,0))</f>
        <v>50061630</v>
      </c>
      <c r="AE1884" s="6">
        <f>$E1884+24</f>
        <v>130</v>
      </c>
      <c r="AF1884" s="7">
        <f>IF($J1884=0,0,ROUND(MAX($J1884*1.4*1.5*1.6*1.6*2.2*2.715*2.6*1.4*1.4*1.5*1.5,18900000000*(1.65331^(MIN($E1884,123)-117)))*1,0))</f>
        <v>74914276</v>
      </c>
      <c r="AG1884" s="4">
        <f>$E1884+27</f>
        <v>133</v>
      </c>
      <c r="AH1884" s="8">
        <f>IF($J1884=0,0,ROUND(MAX($J1884*1.4*1.5*1.6*1.6*2.2*2.715*2.6*1.4*1.4*1.5*1.5*3.2,60500000000*(1.654288^(MIN($E1884,123)-117)))*1,0))</f>
        <v>238250083</v>
      </c>
    </row>
    <row r="1885" ht="27.75" customHeight="1" spans="1:34" x14ac:dyDescent="0.25">
      <c r="A1885" s="3">
        <v>1895</v>
      </c>
      <c r="B1885" s="3" t="s">
        <v>1236</v>
      </c>
      <c r="C1885" s="3" t="s">
        <v>1175</v>
      </c>
      <c r="D1885" s="3" t="s">
        <v>90</v>
      </c>
      <c r="E1885" s="3">
        <v>106</v>
      </c>
      <c r="F1885" s="3" t="s">
        <v>62</v>
      </c>
      <c r="G1885" s="3" t="s">
        <v>67</v>
      </c>
      <c r="H1885" s="3">
        <v>23</v>
      </c>
      <c r="I1885" s="4">
        <v>106</v>
      </c>
      <c r="J1885" s="5">
        <v>46100</v>
      </c>
      <c r="K1885" s="6">
        <f>$E1885+1</f>
        <v>107</v>
      </c>
      <c r="L1885" s="7">
        <f>IF($J1885=0,0,ROUND(MAX($J1885*1.4,1620000*(1.497923^(MIN($E1885,123)-117)))*1,0))</f>
        <v>64540</v>
      </c>
      <c r="M1885" s="4">
        <f>$E1885+2</f>
        <v>108</v>
      </c>
      <c r="N1885" s="8">
        <f>IF($J1885=0,0,ROUND(MAX($J1885*1.4*1.5,2190000*(1.580994^(MIN($E1885,123)-117)))*1,0))</f>
        <v>96810</v>
      </c>
      <c r="O1885" s="6">
        <f>$E1885+4</f>
        <v>110</v>
      </c>
      <c r="P1885" s="7">
        <f>IF($J1885=0,0,ROUND(MAX($J1885*1.4*1.5*1.6,3500000*(1.57975^(MIN($E1885,123)-117)))*1,0))</f>
        <v>154896</v>
      </c>
      <c r="Q1885" s="4">
        <f>$E1885+6</f>
        <v>112</v>
      </c>
      <c r="R1885" s="8">
        <f>IF($J1885=0,0,ROUND(MAX($J1885*1.4*1.5*1.6*1.6,13100000*(1.429962^(MIN($E1885,123)-117)))*1,0))</f>
        <v>256272</v>
      </c>
      <c r="S1885" s="6">
        <f>$E1885+8</f>
        <v>114</v>
      </c>
      <c r="T1885" s="7">
        <f>IF($J1885=0,0,ROUND(MAX($J1885*1.4*1.5*1.6*1.6*2.2,42600000*(1.576904^(MIN($E1885,123)-117)))*1,0))</f>
        <v>545234</v>
      </c>
      <c r="U1885" s="4">
        <f>$E1885+11</f>
        <v>117</v>
      </c>
      <c r="V1885" s="8">
        <f>IF($J1885=0,0,ROUND(MAX($J1885*1.4*1.5*1.6*1.6*2.2*2.715,354000000*(1.642074^(MIN($E1885,123)-117)))*1,0))</f>
        <v>1512458</v>
      </c>
      <c r="W1885" s="6">
        <f>$E1885+15</f>
        <v>121</v>
      </c>
      <c r="X1885" s="7">
        <f>IF($J1885=0,0,ROUND(MAX($J1885*1.4*1.5*1.6*1.6*2.2*2.715*2.6,3540000000*(1.579646^(MIN($E1885,123)-117)))*1,0))</f>
        <v>23165718</v>
      </c>
      <c r="Y1885" s="4">
        <f>$E1885+17</f>
        <v>123</v>
      </c>
      <c r="Z1885" s="8">
        <f>IF($J1885=0,0,ROUND(MAX($J1885*1.4*1.5*1.6*1.6*2.2*2.715*2.6*1.4,6020000000*(1.651178^(MIN($E1885,123)-117)))*1,0))</f>
        <v>24202691</v>
      </c>
      <c r="AA1885" s="6">
        <f>$E1885+19</f>
        <v>125</v>
      </c>
      <c r="AB1885" s="7">
        <f>IF($J1885=0,0,ROUND(MAX($J1885*1.4*1.5*1.6*1.6*2.2*2.715*2.6*1.4*1.4,8430000000*(1.651435^(MIN($E1885,123)-117)))*1,0))</f>
        <v>33833836</v>
      </c>
      <c r="AC1885" s="4">
        <f>$E1885+21</f>
        <v>127</v>
      </c>
      <c r="AD1885" s="8">
        <f>IF($J1885=0,0,ROUND(MAX($J1885*1.4*1.5*1.6*1.6*2.2*2.715*2.6*1.4*1.4*1.5,12600000000*(1.652953^(MIN($E1885,123)-117)))*1,0))</f>
        <v>50061630</v>
      </c>
      <c r="AE1885" s="6">
        <f>$E1885+24</f>
        <v>130</v>
      </c>
      <c r="AF1885" s="7">
        <f>IF($J1885=0,0,ROUND(MAX($J1885*1.4*1.5*1.6*1.6*2.2*2.715*2.6*1.4*1.4*1.5*1.5,18900000000*(1.65331^(MIN($E1885,123)-117)))*1,0))</f>
        <v>74914276</v>
      </c>
      <c r="AG1885" s="4">
        <f>$E1885+27</f>
        <v>133</v>
      </c>
      <c r="AH1885" s="8">
        <f>IF($J1885=0,0,ROUND(MAX($J1885*1.4*1.5*1.6*1.6*2.2*2.715*2.6*1.4*1.4*1.5*1.5*3.2,60500000000*(1.654288^(MIN($E1885,123)-117)))*1,0))</f>
        <v>238250083</v>
      </c>
    </row>
    <row r="1886" ht="27.75" customHeight="1" spans="1:34" x14ac:dyDescent="0.25">
      <c r="A1886" s="3">
        <v>1896</v>
      </c>
      <c r="B1886" s="3" t="s">
        <v>182</v>
      </c>
      <c r="C1886" s="3" t="s">
        <v>1175</v>
      </c>
      <c r="D1886" s="3" t="s">
        <v>40</v>
      </c>
      <c r="E1886" s="3">
        <v>106</v>
      </c>
      <c r="F1886" s="3" t="s">
        <v>183</v>
      </c>
      <c r="G1886" s="3" t="s">
        <v>1176</v>
      </c>
      <c r="H1886" s="3">
        <v>23</v>
      </c>
      <c r="I1886" s="4">
        <v>106</v>
      </c>
      <c r="J1886" s="5">
        <v>45700</v>
      </c>
      <c r="K1886" s="6">
        <f>$E1886+1</f>
        <v>107</v>
      </c>
      <c r="L1886" s="7">
        <f>IF($J1886=0,0,ROUND(MAX($J1886*1.4,1620000*(1.497923^(MIN($E1886,123)-117)))*1,0))</f>
        <v>63980</v>
      </c>
      <c r="M1886" s="4">
        <f>$E1886+2</f>
        <v>108</v>
      </c>
      <c r="N1886" s="8">
        <f>IF($J1886=0,0,ROUND(MAX($J1886*1.4*1.5,2190000*(1.580994^(MIN($E1886,123)-117)))*1,0))</f>
        <v>95970</v>
      </c>
      <c r="O1886" s="6">
        <f>$E1886+4</f>
        <v>110</v>
      </c>
      <c r="P1886" s="7">
        <f>IF($J1886=0,0,ROUND(MAX($J1886*1.4*1.5*1.6,3500000*(1.57975^(MIN($E1886,123)-117)))*1,0))</f>
        <v>153552</v>
      </c>
      <c r="Q1886" s="4">
        <f>$E1886+6</f>
        <v>112</v>
      </c>
      <c r="R1886" s="8">
        <f>IF($J1886=0,0,ROUND(MAX($J1886*1.4*1.5*1.6*1.6,13100000*(1.429962^(MIN($E1886,123)-117)))*1,0))</f>
        <v>256272</v>
      </c>
      <c r="S1886" s="6">
        <f>$E1886+8</f>
        <v>114</v>
      </c>
      <c r="T1886" s="7">
        <f>IF($J1886=0,0,ROUND(MAX($J1886*1.4*1.5*1.6*1.6*2.2,42600000*(1.576904^(MIN($E1886,123)-117)))*1,0))</f>
        <v>540503</v>
      </c>
      <c r="U1886" s="4">
        <f>$E1886+11</f>
        <v>117</v>
      </c>
      <c r="V1886" s="8">
        <f>IF($J1886=0,0,ROUND(MAX($J1886*1.4*1.5*1.6*1.6*2.2*2.715,354000000*(1.642074^(MIN($E1886,123)-117)))*1,0))</f>
        <v>1512458</v>
      </c>
      <c r="W1886" s="6">
        <f>$E1886+15</f>
        <v>121</v>
      </c>
      <c r="X1886" s="7">
        <f>IF($J1886=0,0,ROUND(MAX($J1886*1.4*1.5*1.6*1.6*2.2*2.715*2.6,3540000000*(1.579646^(MIN($E1886,123)-117)))*1,0))</f>
        <v>23165718</v>
      </c>
      <c r="Y1886" s="4">
        <f>$E1886+17</f>
        <v>123</v>
      </c>
      <c r="Z1886" s="8">
        <f>IF($J1886=0,0,ROUND(MAX($J1886*1.4*1.5*1.6*1.6*2.2*2.715*2.6*1.4,6020000000*(1.651178^(MIN($E1886,123)-117)))*1,0))</f>
        <v>24202691</v>
      </c>
      <c r="AA1886" s="6">
        <f>$E1886+19</f>
        <v>125</v>
      </c>
      <c r="AB1886" s="7">
        <f>IF($J1886=0,0,ROUND(MAX($J1886*1.4*1.5*1.6*1.6*2.2*2.715*2.6*1.4*1.4,8430000000*(1.651435^(MIN($E1886,123)-117)))*1,0))</f>
        <v>33833836</v>
      </c>
      <c r="AC1886" s="4">
        <f>$E1886+21</f>
        <v>127</v>
      </c>
      <c r="AD1886" s="8">
        <f>IF($J1886=0,0,ROUND(MAX($J1886*1.4*1.5*1.6*1.6*2.2*2.715*2.6*1.4*1.4*1.5,12600000000*(1.652953^(MIN($E1886,123)-117)))*1,0))</f>
        <v>50061630</v>
      </c>
      <c r="AE1886" s="6">
        <f>$E1886+24</f>
        <v>130</v>
      </c>
      <c r="AF1886" s="7">
        <f>IF($J1886=0,0,ROUND(MAX($J1886*1.4*1.5*1.6*1.6*2.2*2.715*2.6*1.4*1.4*1.5*1.5,18900000000*(1.65331^(MIN($E1886,123)-117)))*1,0))</f>
        <v>74914276</v>
      </c>
      <c r="AG1886" s="4">
        <f>$E1886+27</f>
        <v>133</v>
      </c>
      <c r="AH1886" s="8">
        <f>IF($J1886=0,0,ROUND(MAX($J1886*1.4*1.5*1.6*1.6*2.2*2.715*2.6*1.4*1.4*1.5*1.5*3.2,60500000000*(1.654288^(MIN($E1886,123)-117)))*1,0))</f>
        <v>238250083</v>
      </c>
    </row>
    <row r="1887" ht="27.75" customHeight="1" spans="1:34" x14ac:dyDescent="0.25">
      <c r="A1887" s="3">
        <v>1897</v>
      </c>
      <c r="B1887" s="3" t="s">
        <v>1237</v>
      </c>
      <c r="C1887" s="3" t="s">
        <v>1175</v>
      </c>
      <c r="D1887" s="3" t="s">
        <v>25</v>
      </c>
      <c r="E1887" s="3">
        <v>105</v>
      </c>
      <c r="F1887" s="3" t="s">
        <v>120</v>
      </c>
      <c r="G1887" s="3" t="s">
        <v>1238</v>
      </c>
      <c r="H1887" s="3">
        <v>23</v>
      </c>
      <c r="I1887" s="4">
        <v>105</v>
      </c>
      <c r="J1887" s="5">
        <v>47900</v>
      </c>
      <c r="K1887" s="6">
        <f>$E1887+1</f>
        <v>106</v>
      </c>
      <c r="L1887" s="7">
        <f>IF($J1887=0,0,ROUND(MAX($J1887*1.4,1620000*(1.497923^(MIN($E1887,123)-117)))*1,0))</f>
        <v>67060</v>
      </c>
      <c r="M1887" s="4">
        <f>$E1887+2</f>
        <v>107</v>
      </c>
      <c r="N1887" s="8">
        <f>IF($J1887=0,0,ROUND(MAX($J1887*1.4*1.5,2190000*(1.580994^(MIN($E1887,123)-117)))*1,0))</f>
        <v>100590</v>
      </c>
      <c r="O1887" s="6">
        <f>$E1887+4</f>
        <v>109</v>
      </c>
      <c r="P1887" s="7">
        <f>IF($J1887=0,0,ROUND(MAX($J1887*1.4*1.5*1.6,3500000*(1.57975^(MIN($E1887,123)-117)))*1,0))</f>
        <v>160944</v>
      </c>
      <c r="Q1887" s="4">
        <f>$E1887+6</f>
        <v>111</v>
      </c>
      <c r="R1887" s="8">
        <f>IF($J1887=0,0,ROUND(MAX($J1887*1.4*1.5*1.6*1.6,13100000*(1.429962^(MIN($E1887,123)-117)))*1,0))</f>
        <v>257510</v>
      </c>
      <c r="S1887" s="6">
        <f>$E1887+8</f>
        <v>113</v>
      </c>
      <c r="T1887" s="7">
        <f>IF($J1887=0,0,ROUND(MAX($J1887*1.4*1.5*1.6*1.6*2.2,42600000*(1.576904^(MIN($E1887,123)-117)))*1,0))</f>
        <v>566523</v>
      </c>
      <c r="U1887" s="4">
        <f>$E1887+11</f>
        <v>116</v>
      </c>
      <c r="V1887" s="8">
        <f>IF($J1887=0,0,ROUND(MAX($J1887*1.4*1.5*1.6*1.6*2.2*2.715,354000000*(1.642074^(MIN($E1887,123)-117)))*1,0))</f>
        <v>1538110</v>
      </c>
      <c r="W1887" s="6">
        <f>$E1887+15</f>
        <v>120</v>
      </c>
      <c r="X1887" s="7">
        <f>IF($J1887=0,0,ROUND(MAX($J1887*1.4*1.5*1.6*1.6*2.2*2.715*2.6,3540000000*(1.579646^(MIN($E1887,123)-117)))*1,0))</f>
        <v>14665133</v>
      </c>
      <c r="Y1887" s="4">
        <f>$E1887+17</f>
        <v>122</v>
      </c>
      <c r="Z1887" s="8">
        <f>IF($J1887=0,0,ROUND(MAX($J1887*1.4*1.5*1.6*1.6*2.2*2.715*2.6*1.4,6020000000*(1.651178^(MIN($E1887,123)-117)))*1,0))</f>
        <v>14657833</v>
      </c>
      <c r="AA1887" s="6">
        <f>$E1887+19</f>
        <v>124</v>
      </c>
      <c r="AB1887" s="7">
        <f>IF($J1887=0,0,ROUND(MAX($J1887*1.4*1.5*1.6*1.6*2.2*2.715*2.6*1.4*1.4,8430000000*(1.651435^(MIN($E1887,123)-117)))*1,0))</f>
        <v>20487537</v>
      </c>
      <c r="AC1887" s="4">
        <f>$E1887+21</f>
        <v>126</v>
      </c>
      <c r="AD1887" s="8">
        <f>IF($J1887=0,0,ROUND(MAX($J1887*1.4*1.5*1.6*1.6*2.2*2.715*2.6*1.4*1.4*1.5,12600000000*(1.652953^(MIN($E1887,123)-117)))*1,0))</f>
        <v>30286179</v>
      </c>
      <c r="AE1887" s="6">
        <f>$E1887+24</f>
        <v>129</v>
      </c>
      <c r="AF1887" s="7">
        <f>IF($J1887=0,0,ROUND(MAX($J1887*1.4*1.5*1.6*1.6*2.2*2.715*2.6*1.4*1.4*1.5*1.5,18900000000*(1.65331^(MIN($E1887,123)-117)))*1,0))</f>
        <v>45311693</v>
      </c>
      <c r="AG1887" s="4">
        <f>$E1887+27</f>
        <v>132</v>
      </c>
      <c r="AH1887" s="8">
        <f>IF($J1887=0,0,ROUND(MAX($J1887*1.4*1.5*1.6*1.6*2.2*2.715*2.6*1.4*1.4*1.5*1.5*3.2,60500000000*(1.654288^(MIN($E1887,123)-117)))*1,0))</f>
        <v>144019713</v>
      </c>
    </row>
    <row r="1888" ht="27.75" customHeight="1" spans="1:34" x14ac:dyDescent="0.25">
      <c r="A1888" s="3">
        <v>1898</v>
      </c>
      <c r="B1888" s="3" t="s">
        <v>1239</v>
      </c>
      <c r="C1888" s="3" t="s">
        <v>1175</v>
      </c>
      <c r="D1888" s="3" t="s">
        <v>45</v>
      </c>
      <c r="E1888" s="3">
        <v>105</v>
      </c>
      <c r="F1888" s="3" t="s">
        <v>412</v>
      </c>
      <c r="G1888" s="3" t="s">
        <v>171</v>
      </c>
      <c r="H1888" s="3">
        <v>22</v>
      </c>
      <c r="I1888" s="4">
        <v>105</v>
      </c>
      <c r="J1888" s="5">
        <v>57600</v>
      </c>
      <c r="K1888" s="6">
        <f>$E1888+1</f>
        <v>106</v>
      </c>
      <c r="L1888" s="7">
        <f>IF($J1888=0,0,ROUND(MAX($J1888*1.4,1620000*(1.497923^(MIN($E1888,123)-117)))*1,0))</f>
        <v>80640</v>
      </c>
      <c r="M1888" s="4">
        <f>$E1888+2</f>
        <v>107</v>
      </c>
      <c r="N1888" s="8">
        <f>IF($J1888=0,0,ROUND(MAX($J1888*1.4*1.5,2190000*(1.580994^(MIN($E1888,123)-117)))*1,0))</f>
        <v>120960</v>
      </c>
      <c r="O1888" s="6">
        <f>$E1888+4</f>
        <v>109</v>
      </c>
      <c r="P1888" s="7">
        <f>IF($J1888=0,0,ROUND(MAX($J1888*1.4*1.5*1.6,3500000*(1.57975^(MIN($E1888,123)-117)))*1,0))</f>
        <v>193536</v>
      </c>
      <c r="Q1888" s="4">
        <f>$E1888+6</f>
        <v>111</v>
      </c>
      <c r="R1888" s="8">
        <f>IF($J1888=0,0,ROUND(MAX($J1888*1.4*1.5*1.6*1.6,13100000*(1.429962^(MIN($E1888,123)-117)))*1,0))</f>
        <v>309658</v>
      </c>
      <c r="S1888" s="6">
        <f>$E1888+8</f>
        <v>113</v>
      </c>
      <c r="T1888" s="7">
        <f>IF($J1888=0,0,ROUND(MAX($J1888*1.4*1.5*1.6*1.6*2.2,42600000*(1.576904^(MIN($E1888,123)-117)))*1,0))</f>
        <v>681247</v>
      </c>
      <c r="U1888" s="4">
        <f>$E1888+11</f>
        <v>116</v>
      </c>
      <c r="V1888" s="8">
        <f>IF($J1888=0,0,ROUND(MAX($J1888*1.4*1.5*1.6*1.6*2.2*2.715,354000000*(1.642074^(MIN($E1888,123)-117)))*1,0))</f>
        <v>1849585</v>
      </c>
      <c r="W1888" s="6">
        <f>$E1888+15</f>
        <v>120</v>
      </c>
      <c r="X1888" s="7">
        <f>IF($J1888=0,0,ROUND(MAX($J1888*1.4*1.5*1.6*1.6*2.2*2.715*2.6,3540000000*(1.579646^(MIN($E1888,123)-117)))*1,0))</f>
        <v>14665133</v>
      </c>
      <c r="Y1888" s="4">
        <f>$E1888+17</f>
        <v>122</v>
      </c>
      <c r="Z1888" s="8">
        <f>IF($J1888=0,0,ROUND(MAX($J1888*1.4*1.5*1.6*1.6*2.2*2.715*2.6*1.4,6020000000*(1.651178^(MIN($E1888,123)-117)))*1,0))</f>
        <v>14657833</v>
      </c>
      <c r="AA1888" s="6">
        <f>$E1888+19</f>
        <v>124</v>
      </c>
      <c r="AB1888" s="7">
        <f>IF($J1888=0,0,ROUND(MAX($J1888*1.4*1.5*1.6*1.6*2.2*2.715*2.6*1.4*1.4,8430000000*(1.651435^(MIN($E1888,123)-117)))*1,0))</f>
        <v>20487537</v>
      </c>
      <c r="AC1888" s="4">
        <f>$E1888+21</f>
        <v>126</v>
      </c>
      <c r="AD1888" s="8">
        <f>IF($J1888=0,0,ROUND(MAX($J1888*1.4*1.5*1.6*1.6*2.2*2.715*2.6*1.4*1.4*1.5,12600000000*(1.652953^(MIN($E1888,123)-117)))*1,0))</f>
        <v>30286179</v>
      </c>
      <c r="AE1888" s="6">
        <f>$E1888+24</f>
        <v>129</v>
      </c>
      <c r="AF1888" s="7">
        <f>IF($J1888=0,0,ROUND(MAX($J1888*1.4*1.5*1.6*1.6*2.2*2.715*2.6*1.4*1.4*1.5*1.5,18900000000*(1.65331^(MIN($E1888,123)-117)))*1,0))</f>
        <v>45311693</v>
      </c>
      <c r="AG1888" s="4">
        <f>$E1888+27</f>
        <v>132</v>
      </c>
      <c r="AH1888" s="8">
        <f>IF($J1888=0,0,ROUND(MAX($J1888*1.4*1.5*1.6*1.6*2.2*2.715*2.6*1.4*1.4*1.5*1.5*3.2,60500000000*(1.654288^(MIN($E1888,123)-117)))*1,0))</f>
        <v>144019713</v>
      </c>
    </row>
    <row r="1889" ht="27.75" customHeight="1" spans="1:34" x14ac:dyDescent="0.25">
      <c r="A1889" s="3">
        <v>1899</v>
      </c>
      <c r="B1889" s="3" t="s">
        <v>384</v>
      </c>
      <c r="C1889" s="3" t="s">
        <v>1175</v>
      </c>
      <c r="D1889" s="3" t="s">
        <v>33</v>
      </c>
      <c r="E1889" s="3">
        <v>105</v>
      </c>
      <c r="F1889" s="3" t="s">
        <v>385</v>
      </c>
      <c r="G1889" s="3" t="s">
        <v>218</v>
      </c>
      <c r="H1889" s="3">
        <v>22</v>
      </c>
      <c r="I1889" s="4">
        <v>105</v>
      </c>
      <c r="J1889" s="5">
        <v>74800</v>
      </c>
      <c r="K1889" s="6">
        <f>$E1889+1</f>
        <v>106</v>
      </c>
      <c r="L1889" s="7">
        <f>IF($J1889=0,0,ROUND(MAX($J1889*1.4,1620000*(1.497923^(MIN($E1889,123)-117)))*1,0))</f>
        <v>104720</v>
      </c>
      <c r="M1889" s="4">
        <f>$E1889+2</f>
        <v>107</v>
      </c>
      <c r="N1889" s="8">
        <f>IF($J1889=0,0,ROUND(MAX($J1889*1.4*1.5,2190000*(1.580994^(MIN($E1889,123)-117)))*1,0))</f>
        <v>157080</v>
      </c>
      <c r="O1889" s="6">
        <f>$E1889+4</f>
        <v>109</v>
      </c>
      <c r="P1889" s="7">
        <f>IF($J1889=0,0,ROUND(MAX($J1889*1.4*1.5*1.6,3500000*(1.57975^(MIN($E1889,123)-117)))*1,0))</f>
        <v>251328</v>
      </c>
      <c r="Q1889" s="4">
        <f>$E1889+6</f>
        <v>111</v>
      </c>
      <c r="R1889" s="8">
        <f>IF($J1889=0,0,ROUND(MAX($J1889*1.4*1.5*1.6*1.6,13100000*(1.429962^(MIN($E1889,123)-117)))*1,0))</f>
        <v>402125</v>
      </c>
      <c r="S1889" s="6">
        <f>$E1889+8</f>
        <v>113</v>
      </c>
      <c r="T1889" s="7">
        <f>IF($J1889=0,0,ROUND(MAX($J1889*1.4*1.5*1.6*1.6*2.2,42600000*(1.576904^(MIN($E1889,123)-117)))*1,0))</f>
        <v>884675</v>
      </c>
      <c r="U1889" s="4">
        <f>$E1889+11</f>
        <v>116</v>
      </c>
      <c r="V1889" s="8">
        <f>IF($J1889=0,0,ROUND(MAX($J1889*1.4*1.5*1.6*1.6*2.2*2.715,354000000*(1.642074^(MIN($E1889,123)-117)))*1,0))</f>
        <v>2401891</v>
      </c>
      <c r="W1889" s="6">
        <f>$E1889+15</f>
        <v>120</v>
      </c>
      <c r="X1889" s="7">
        <f>IF($J1889=0,0,ROUND(MAX($J1889*1.4*1.5*1.6*1.6*2.2*2.715*2.6,3540000000*(1.579646^(MIN($E1889,123)-117)))*1,0))</f>
        <v>14665133</v>
      </c>
      <c r="Y1889" s="4">
        <f>$E1889+17</f>
        <v>122</v>
      </c>
      <c r="Z1889" s="8">
        <f>IF($J1889=0,0,ROUND(MAX($J1889*1.4*1.5*1.6*1.6*2.2*2.715*2.6*1.4,6020000000*(1.651178^(MIN($E1889,123)-117)))*1,0))</f>
        <v>14657833</v>
      </c>
      <c r="AA1889" s="6">
        <f>$E1889+19</f>
        <v>124</v>
      </c>
      <c r="AB1889" s="7">
        <f>IF($J1889=0,0,ROUND(MAX($J1889*1.4*1.5*1.6*1.6*2.2*2.715*2.6*1.4*1.4,8430000000*(1.651435^(MIN($E1889,123)-117)))*1,0))</f>
        <v>20487537</v>
      </c>
      <c r="AC1889" s="4">
        <f>$E1889+21</f>
        <v>126</v>
      </c>
      <c r="AD1889" s="8">
        <f>IF($J1889=0,0,ROUND(MAX($J1889*1.4*1.5*1.6*1.6*2.2*2.715*2.6*1.4*1.4*1.5,12600000000*(1.652953^(MIN($E1889,123)-117)))*1,0))</f>
        <v>30286179</v>
      </c>
      <c r="AE1889" s="6">
        <f>$E1889+24</f>
        <v>129</v>
      </c>
      <c r="AF1889" s="7">
        <f>IF($J1889=0,0,ROUND(MAX($J1889*1.4*1.5*1.6*1.6*2.2*2.715*2.6*1.4*1.4*1.5*1.5,18900000000*(1.65331^(MIN($E1889,123)-117)))*1,0))</f>
        <v>45311693</v>
      </c>
      <c r="AG1889" s="4">
        <f>$E1889+27</f>
        <v>132</v>
      </c>
      <c r="AH1889" s="8">
        <f>IF($J1889=0,0,ROUND(MAX($J1889*1.4*1.5*1.6*1.6*2.2*2.715*2.6*1.4*1.4*1.5*1.5*3.2,60500000000*(1.654288^(MIN($E1889,123)-117)))*1,0))</f>
        <v>144019713</v>
      </c>
    </row>
    <row r="1890" ht="27.75" customHeight="1" spans="1:34" x14ac:dyDescent="0.25">
      <c r="A1890" s="3">
        <v>1900</v>
      </c>
      <c r="B1890" s="3" t="s">
        <v>1240</v>
      </c>
      <c r="C1890" s="3" t="s">
        <v>1175</v>
      </c>
      <c r="D1890" s="3" t="s">
        <v>40</v>
      </c>
      <c r="E1890" s="3">
        <v>105</v>
      </c>
      <c r="F1890" s="3" t="s">
        <v>34</v>
      </c>
      <c r="G1890" s="3" t="s">
        <v>277</v>
      </c>
      <c r="H1890" s="3">
        <v>22</v>
      </c>
      <c r="I1890" s="4">
        <v>105</v>
      </c>
      <c r="J1890" s="5">
        <v>38800</v>
      </c>
      <c r="K1890" s="6">
        <f>$E1890+1</f>
        <v>106</v>
      </c>
      <c r="L1890" s="7">
        <f>IF($J1890=0,0,ROUND(MAX($J1890*1.4,1620000*(1.497923^(MIN($E1890,123)-117)))*1,0))</f>
        <v>54320</v>
      </c>
      <c r="M1890" s="4">
        <f>$E1890+2</f>
        <v>107</v>
      </c>
      <c r="N1890" s="8">
        <f>IF($J1890=0,0,ROUND(MAX($J1890*1.4*1.5,2190000*(1.580994^(MIN($E1890,123)-117)))*1,0))</f>
        <v>81480</v>
      </c>
      <c r="O1890" s="6">
        <f>$E1890+4</f>
        <v>109</v>
      </c>
      <c r="P1890" s="7">
        <f>IF($J1890=0,0,ROUND(MAX($J1890*1.4*1.5*1.6,3500000*(1.57975^(MIN($E1890,123)-117)))*1,0))</f>
        <v>130368</v>
      </c>
      <c r="Q1890" s="4">
        <f>$E1890+6</f>
        <v>111</v>
      </c>
      <c r="R1890" s="8">
        <f>IF($J1890=0,0,ROUND(MAX($J1890*1.4*1.5*1.6*1.6,13100000*(1.429962^(MIN($E1890,123)-117)))*1,0))</f>
        <v>208589</v>
      </c>
      <c r="S1890" s="6">
        <f>$E1890+8</f>
        <v>113</v>
      </c>
      <c r="T1890" s="7">
        <f>IF($J1890=0,0,ROUND(MAX($J1890*1.4*1.5*1.6*1.6*2.2,42600000*(1.576904^(MIN($E1890,123)-117)))*1,0))</f>
        <v>458895</v>
      </c>
      <c r="U1890" s="4">
        <f>$E1890+11</f>
        <v>116</v>
      </c>
      <c r="V1890" s="8">
        <f>IF($J1890=0,0,ROUND(MAX($J1890*1.4*1.5*1.6*1.6*2.2*2.715,354000000*(1.642074^(MIN($E1890,123)-117)))*1,0))</f>
        <v>1245901</v>
      </c>
      <c r="W1890" s="6">
        <f>$E1890+15</f>
        <v>120</v>
      </c>
      <c r="X1890" s="7">
        <f>IF($J1890=0,0,ROUND(MAX($J1890*1.4*1.5*1.6*1.6*2.2*2.715*2.6,3540000000*(1.579646^(MIN($E1890,123)-117)))*1,0))</f>
        <v>14665133</v>
      </c>
      <c r="Y1890" s="4">
        <f>$E1890+17</f>
        <v>122</v>
      </c>
      <c r="Z1890" s="8">
        <f>IF($J1890=0,0,ROUND(MAX($J1890*1.4*1.5*1.6*1.6*2.2*2.715*2.6*1.4,6020000000*(1.651178^(MIN($E1890,123)-117)))*1,0))</f>
        <v>14657833</v>
      </c>
      <c r="AA1890" s="6">
        <f>$E1890+19</f>
        <v>124</v>
      </c>
      <c r="AB1890" s="7">
        <f>IF($J1890=0,0,ROUND(MAX($J1890*1.4*1.5*1.6*1.6*2.2*2.715*2.6*1.4*1.4,8430000000*(1.651435^(MIN($E1890,123)-117)))*1,0))</f>
        <v>20487537</v>
      </c>
      <c r="AC1890" s="4">
        <f>$E1890+21</f>
        <v>126</v>
      </c>
      <c r="AD1890" s="8">
        <f>IF($J1890=0,0,ROUND(MAX($J1890*1.4*1.5*1.6*1.6*2.2*2.715*2.6*1.4*1.4*1.5,12600000000*(1.652953^(MIN($E1890,123)-117)))*1,0))</f>
        <v>30286179</v>
      </c>
      <c r="AE1890" s="6">
        <f>$E1890+24</f>
        <v>129</v>
      </c>
      <c r="AF1890" s="7">
        <f>IF($J1890=0,0,ROUND(MAX($J1890*1.4*1.5*1.6*1.6*2.2*2.715*2.6*1.4*1.4*1.5*1.5,18900000000*(1.65331^(MIN($E1890,123)-117)))*1,0))</f>
        <v>45311693</v>
      </c>
      <c r="AG1890" s="4">
        <f>$E1890+27</f>
        <v>132</v>
      </c>
      <c r="AH1890" s="8">
        <f>IF($J1890=0,0,ROUND(MAX($J1890*1.4*1.5*1.6*1.6*2.2*2.715*2.6*1.4*1.4*1.5*1.5*3.2,60500000000*(1.654288^(MIN($E1890,123)-117)))*1,0))</f>
        <v>144019713</v>
      </c>
    </row>
    <row r="1891" ht="27.75" customHeight="1" spans="1:34" x14ac:dyDescent="0.25">
      <c r="A1891" s="3">
        <v>1901</v>
      </c>
      <c r="B1891" s="3" t="s">
        <v>1241</v>
      </c>
      <c r="C1891" s="3" t="s">
        <v>1175</v>
      </c>
      <c r="D1891" s="3" t="s">
        <v>45</v>
      </c>
      <c r="E1891" s="3">
        <v>105</v>
      </c>
      <c r="F1891" s="3" t="s">
        <v>56</v>
      </c>
      <c r="G1891" s="3" t="s">
        <v>86</v>
      </c>
      <c r="H1891" s="3">
        <v>22</v>
      </c>
      <c r="I1891" s="4">
        <v>105</v>
      </c>
      <c r="J1891" s="5">
        <v>64900</v>
      </c>
      <c r="K1891" s="6">
        <f>$E1891+1</f>
        <v>106</v>
      </c>
      <c r="L1891" s="7">
        <f>IF($J1891=0,0,ROUND(MAX($J1891*1.4,1620000*(1.497923^(MIN($E1891,123)-117)))*1,0))</f>
        <v>90860</v>
      </c>
      <c r="M1891" s="4">
        <f>$E1891+2</f>
        <v>107</v>
      </c>
      <c r="N1891" s="8">
        <f>IF($J1891=0,0,ROUND(MAX($J1891*1.4*1.5,2190000*(1.580994^(MIN($E1891,123)-117)))*1,0))</f>
        <v>136290</v>
      </c>
      <c r="O1891" s="6">
        <f>$E1891+4</f>
        <v>109</v>
      </c>
      <c r="P1891" s="7">
        <f>IF($J1891=0,0,ROUND(MAX($J1891*1.4*1.5*1.6,3500000*(1.57975^(MIN($E1891,123)-117)))*1,0))</f>
        <v>218064</v>
      </c>
      <c r="Q1891" s="4">
        <f>$E1891+6</f>
        <v>111</v>
      </c>
      <c r="R1891" s="8">
        <f>IF($J1891=0,0,ROUND(MAX($J1891*1.4*1.5*1.6*1.6,13100000*(1.429962^(MIN($E1891,123)-117)))*1,0))</f>
        <v>348902</v>
      </c>
      <c r="S1891" s="6">
        <f>$E1891+8</f>
        <v>113</v>
      </c>
      <c r="T1891" s="7">
        <f>IF($J1891=0,0,ROUND(MAX($J1891*1.4*1.5*1.6*1.6*2.2,42600000*(1.576904^(MIN($E1891,123)-117)))*1,0))</f>
        <v>767585</v>
      </c>
      <c r="U1891" s="4">
        <f>$E1891+11</f>
        <v>116</v>
      </c>
      <c r="V1891" s="8">
        <f>IF($J1891=0,0,ROUND(MAX($J1891*1.4*1.5*1.6*1.6*2.2*2.715,354000000*(1.642074^(MIN($E1891,123)-117)))*1,0))</f>
        <v>2083994</v>
      </c>
      <c r="W1891" s="6">
        <f>$E1891+15</f>
        <v>120</v>
      </c>
      <c r="X1891" s="7">
        <f>IF($J1891=0,0,ROUND(MAX($J1891*1.4*1.5*1.6*1.6*2.2*2.715*2.6,3540000000*(1.579646^(MIN($E1891,123)-117)))*1,0))</f>
        <v>14665133</v>
      </c>
      <c r="Y1891" s="4">
        <f>$E1891+17</f>
        <v>122</v>
      </c>
      <c r="Z1891" s="8">
        <f>IF($J1891=0,0,ROUND(MAX($J1891*1.4*1.5*1.6*1.6*2.2*2.715*2.6*1.4,6020000000*(1.651178^(MIN($E1891,123)-117)))*1,0))</f>
        <v>14657833</v>
      </c>
      <c r="AA1891" s="6">
        <f>$E1891+19</f>
        <v>124</v>
      </c>
      <c r="AB1891" s="7">
        <f>IF($J1891=0,0,ROUND(MAX($J1891*1.4*1.5*1.6*1.6*2.2*2.715*2.6*1.4*1.4,8430000000*(1.651435^(MIN($E1891,123)-117)))*1,0))</f>
        <v>20487537</v>
      </c>
      <c r="AC1891" s="4">
        <f>$E1891+21</f>
        <v>126</v>
      </c>
      <c r="AD1891" s="8">
        <f>IF($J1891=0,0,ROUND(MAX($J1891*1.4*1.5*1.6*1.6*2.2*2.715*2.6*1.4*1.4*1.5,12600000000*(1.652953^(MIN($E1891,123)-117)))*1,0))</f>
        <v>30286179</v>
      </c>
      <c r="AE1891" s="6">
        <f>$E1891+24</f>
        <v>129</v>
      </c>
      <c r="AF1891" s="7">
        <f>IF($J1891=0,0,ROUND(MAX($J1891*1.4*1.5*1.6*1.6*2.2*2.715*2.6*1.4*1.4*1.5*1.5,18900000000*(1.65331^(MIN($E1891,123)-117)))*1,0))</f>
        <v>45311693</v>
      </c>
      <c r="AG1891" s="4">
        <f>$E1891+27</f>
        <v>132</v>
      </c>
      <c r="AH1891" s="8">
        <f>IF($J1891=0,0,ROUND(MAX($J1891*1.4*1.5*1.6*1.6*2.2*2.715*2.6*1.4*1.4*1.5*1.5*3.2,60500000000*(1.654288^(MIN($E1891,123)-117)))*1,0))</f>
        <v>144019713</v>
      </c>
    </row>
    <row r="1892" ht="27.75" customHeight="1" spans="1:34" x14ac:dyDescent="0.25">
      <c r="A1892" s="3">
        <v>1902</v>
      </c>
      <c r="B1892" s="3" t="s">
        <v>1242</v>
      </c>
      <c r="C1892" s="3" t="s">
        <v>1175</v>
      </c>
      <c r="D1892" s="3" t="s">
        <v>64</v>
      </c>
      <c r="E1892" s="3">
        <v>105</v>
      </c>
      <c r="F1892" s="3" t="s">
        <v>56</v>
      </c>
      <c r="G1892" s="3" t="s">
        <v>832</v>
      </c>
      <c r="H1892" s="3">
        <v>22</v>
      </c>
      <c r="I1892" s="4">
        <v>105</v>
      </c>
      <c r="J1892" s="5">
        <v>52800</v>
      </c>
      <c r="K1892" s="6">
        <f>$E1892+1</f>
        <v>106</v>
      </c>
      <c r="L1892" s="7">
        <f>IF($J1892=0,0,ROUND(MAX($J1892*1.4,1620000*(1.497923^(MIN($E1892,123)-117)))*1,0))</f>
        <v>73920</v>
      </c>
      <c r="M1892" s="4">
        <f>$E1892+2</f>
        <v>107</v>
      </c>
      <c r="N1892" s="8">
        <f>IF($J1892=0,0,ROUND(MAX($J1892*1.4*1.5,2190000*(1.580994^(MIN($E1892,123)-117)))*1,0))</f>
        <v>110880</v>
      </c>
      <c r="O1892" s="6">
        <f>$E1892+4</f>
        <v>109</v>
      </c>
      <c r="P1892" s="7">
        <f>IF($J1892=0,0,ROUND(MAX($J1892*1.4*1.5*1.6,3500000*(1.57975^(MIN($E1892,123)-117)))*1,0))</f>
        <v>177408</v>
      </c>
      <c r="Q1892" s="4">
        <f>$E1892+6</f>
        <v>111</v>
      </c>
      <c r="R1892" s="8">
        <f>IF($J1892=0,0,ROUND(MAX($J1892*1.4*1.5*1.6*1.6,13100000*(1.429962^(MIN($E1892,123)-117)))*1,0))</f>
        <v>283853</v>
      </c>
      <c r="S1892" s="6">
        <f>$E1892+8</f>
        <v>113</v>
      </c>
      <c r="T1892" s="7">
        <f>IF($J1892=0,0,ROUND(MAX($J1892*1.4*1.5*1.6*1.6*2.2,42600000*(1.576904^(MIN($E1892,123)-117)))*1,0))</f>
        <v>624476</v>
      </c>
      <c r="U1892" s="4">
        <f>$E1892+11</f>
        <v>116</v>
      </c>
      <c r="V1892" s="8">
        <f>IF($J1892=0,0,ROUND(MAX($J1892*1.4*1.5*1.6*1.6*2.2*2.715,354000000*(1.642074^(MIN($E1892,123)-117)))*1,0))</f>
        <v>1695453</v>
      </c>
      <c r="W1892" s="6">
        <f>$E1892+15</f>
        <v>120</v>
      </c>
      <c r="X1892" s="7">
        <f>IF($J1892=0,0,ROUND(MAX($J1892*1.4*1.5*1.6*1.6*2.2*2.715*2.6,3540000000*(1.579646^(MIN($E1892,123)-117)))*1,0))</f>
        <v>14665133</v>
      </c>
      <c r="Y1892" s="4">
        <f>$E1892+17</f>
        <v>122</v>
      </c>
      <c r="Z1892" s="8">
        <f>IF($J1892=0,0,ROUND(MAX($J1892*1.4*1.5*1.6*1.6*2.2*2.715*2.6*1.4,6020000000*(1.651178^(MIN($E1892,123)-117)))*1,0))</f>
        <v>14657833</v>
      </c>
      <c r="AA1892" s="6">
        <f>$E1892+19</f>
        <v>124</v>
      </c>
      <c r="AB1892" s="7">
        <f>IF($J1892=0,0,ROUND(MAX($J1892*1.4*1.5*1.6*1.6*2.2*2.715*2.6*1.4*1.4,8430000000*(1.651435^(MIN($E1892,123)-117)))*1,0))</f>
        <v>20487537</v>
      </c>
      <c r="AC1892" s="4">
        <f>$E1892+21</f>
        <v>126</v>
      </c>
      <c r="AD1892" s="8">
        <f>IF($J1892=0,0,ROUND(MAX($J1892*1.4*1.5*1.6*1.6*2.2*2.715*2.6*1.4*1.4*1.5,12600000000*(1.652953^(MIN($E1892,123)-117)))*1,0))</f>
        <v>30286179</v>
      </c>
      <c r="AE1892" s="6">
        <f>$E1892+24</f>
        <v>129</v>
      </c>
      <c r="AF1892" s="7">
        <f>IF($J1892=0,0,ROUND(MAX($J1892*1.4*1.5*1.6*1.6*2.2*2.715*2.6*1.4*1.4*1.5*1.5,18900000000*(1.65331^(MIN($E1892,123)-117)))*1,0))</f>
        <v>45311693</v>
      </c>
      <c r="AG1892" s="4">
        <f>$E1892+27</f>
        <v>132</v>
      </c>
      <c r="AH1892" s="8">
        <f>IF($J1892=0,0,ROUND(MAX($J1892*1.4*1.5*1.6*1.6*2.2*2.715*2.6*1.4*1.4*1.5*1.5*3.2,60500000000*(1.654288^(MIN($E1892,123)-117)))*1,0))</f>
        <v>144019713</v>
      </c>
    </row>
    <row r="1893" ht="27.75" customHeight="1" spans="1:34" x14ac:dyDescent="0.25">
      <c r="A1893" s="3">
        <v>1903</v>
      </c>
      <c r="B1893" s="3" t="s">
        <v>119</v>
      </c>
      <c r="C1893" s="3" t="s">
        <v>1243</v>
      </c>
      <c r="D1893" s="3" t="s">
        <v>40</v>
      </c>
      <c r="E1893" s="3">
        <v>125</v>
      </c>
      <c r="F1893" s="3" t="s">
        <v>120</v>
      </c>
      <c r="G1893" s="3" t="s">
        <v>1244</v>
      </c>
      <c r="H1893" s="3">
        <v>35</v>
      </c>
      <c r="I1893" s="4">
        <v>125</v>
      </c>
      <c r="J1893" s="5">
        <v>143000000</v>
      </c>
      <c r="K1893" s="6">
        <f>$E1893+1</f>
        <v>126</v>
      </c>
      <c r="L1893" s="7">
        <f>IF($J1893=0,0,ROUND(MAX($J1893*1.4,1620000*(1.497923^(MIN($E1893,123)-117)))*1,0))</f>
        <v>200200000</v>
      </c>
      <c r="M1893" s="4">
        <f>$E1893+2</f>
        <v>127</v>
      </c>
      <c r="N1893" s="8">
        <f>IF($J1893=0,0,ROUND(MAX($J1893*1.4*1.5,2190000*(1.580994^(MIN($E1893,123)-117)))*1,0))</f>
        <v>300300000</v>
      </c>
      <c r="O1893" s="6">
        <f>$E1893+4</f>
        <v>129</v>
      </c>
      <c r="P1893" s="7">
        <f>IF($J1893=0,0,ROUND(MAX($J1893*1.4*1.5*1.6,3500000*(1.57975^(MIN($E1893,123)-117)))*1,0))</f>
        <v>480480000</v>
      </c>
      <c r="Q1893" s="4">
        <f>$E1893+6</f>
        <v>131</v>
      </c>
      <c r="R1893" s="8">
        <f>IF($J1893=0,0,ROUND(MAX($J1893*1.4*1.5*1.6*1.6,13100000*(1.429962^(MIN($E1893,123)-117)))*1,0))</f>
        <v>768768000</v>
      </c>
      <c r="S1893" s="6">
        <f>$E1893+8</f>
        <v>133</v>
      </c>
      <c r="T1893" s="7">
        <f>IF($J1893=0,0,ROUND(MAX($J1893*1.4*1.5*1.6*1.6*2.2,42600000*(1.576904^(MIN($E1893,123)-117)))*1,0))</f>
        <v>1691289600</v>
      </c>
      <c r="U1893" s="4">
        <f>$E1893+11</f>
        <v>136</v>
      </c>
      <c r="V1893" s="8">
        <f>IF($J1893=0,0,ROUND(MAX($J1893*1.4*1.5*1.6*1.6*2.2*2.715,354000000*(1.642074^(MIN($E1893,123)-117)))*1,0))</f>
        <v>6940002232</v>
      </c>
      <c r="W1893" s="6">
        <f>$E1893+15</f>
        <v>140</v>
      </c>
      <c r="X1893" s="7">
        <f>IF($J1893=0,0,ROUND(MAX($J1893*1.4*1.5*1.6*1.6*2.2*2.715*2.6,3540000000*(1.579646^(MIN($E1893,123)-117)))*1,0))</f>
        <v>54999899335</v>
      </c>
      <c r="Y1893" s="4">
        <f>$E1893+17</f>
        <v>142</v>
      </c>
      <c r="Z1893" s="8">
        <f>IF($J1893=0,0,ROUND(MAX($J1893*1.4*1.5*1.6*1.6*2.2*2.715*2.6*1.4,6020000000*(1.651178^(MIN($E1893,123)-117)))*1,0))</f>
        <v>122000006103</v>
      </c>
      <c r="AA1893" s="6">
        <f>$E1893+19</f>
        <v>144</v>
      </c>
      <c r="AB1893" s="7">
        <f>IF($J1893=0,0,ROUND(MAX($J1893*1.4*1.5*1.6*1.6*2.2*2.715*2.6*1.4*1.4,8430000000*(1.651435^(MIN($E1893,123)-117)))*1,0))</f>
        <v>171000146547</v>
      </c>
      <c r="AC1893" s="4">
        <f>$E1893+21</f>
        <v>146</v>
      </c>
      <c r="AD1893" s="8">
        <f>IF($J1893=0,0,ROUND(MAX($J1893*1.4*1.5*1.6*1.6*2.2*2.715*2.6*1.4*1.4*1.5,12600000000*(1.652953^(MIN($E1893,123)-117)))*1,0))</f>
        <v>257000267475</v>
      </c>
      <c r="AE1893" s="6">
        <f>$E1893+24</f>
        <v>149</v>
      </c>
      <c r="AF1893" s="7">
        <f>IF($J1893=0,0,ROUND(MAX($J1893*1.4*1.5*1.6*1.6*2.2*2.715*2.6*1.4*1.4*1.5*1.5,18900000000*(1.65331^(MIN($E1893,123)-117)))*1,0))</f>
        <v>386000226581</v>
      </c>
      <c r="AG1893" s="4">
        <f>$E1893+27</f>
        <v>152</v>
      </c>
      <c r="AH1893" s="8">
        <f>IF($J1893=0,0,ROUND(MAX($J1893*1.4*1.5*1.6*1.6*2.2*2.715*2.6*1.4*1.4*1.5*1.5*3.2,60500000000*(1.654288^(MIN($E1893,123)-117)))*1,0))</f>
        <v>1240001159555</v>
      </c>
    </row>
    <row r="1894" ht="27.75" customHeight="1" spans="1:34" x14ac:dyDescent="0.25">
      <c r="A1894" s="3">
        <v>1904</v>
      </c>
      <c r="B1894" s="3" t="s">
        <v>110</v>
      </c>
      <c r="C1894" s="3" t="s">
        <v>1243</v>
      </c>
      <c r="D1894" s="3" t="s">
        <v>64</v>
      </c>
      <c r="E1894" s="3">
        <v>125</v>
      </c>
      <c r="F1894" s="3" t="s">
        <v>59</v>
      </c>
      <c r="G1894" s="3" t="s">
        <v>1244</v>
      </c>
      <c r="H1894" s="3">
        <v>34</v>
      </c>
      <c r="I1894" s="4">
        <v>125</v>
      </c>
      <c r="J1894" s="5">
        <v>61700000</v>
      </c>
      <c r="K1894" s="6">
        <f>$E1894+1</f>
        <v>126</v>
      </c>
      <c r="L1894" s="7">
        <f>IF($J1894=0,0,ROUND(MAX($J1894*1.4,1620000*(1.497923^(MIN($E1894,123)-117)))*1,0))</f>
        <v>86380000</v>
      </c>
      <c r="M1894" s="4">
        <f>$E1894+2</f>
        <v>127</v>
      </c>
      <c r="N1894" s="8">
        <f>IF($J1894=0,0,ROUND(MAX($J1894*1.4*1.5,2190000*(1.580994^(MIN($E1894,123)-117)))*1,0))</f>
        <v>129570000</v>
      </c>
      <c r="O1894" s="6">
        <f>$E1894+4</f>
        <v>129</v>
      </c>
      <c r="P1894" s="7">
        <f>IF($J1894=0,0,ROUND(MAX($J1894*1.4*1.5*1.6,3500000*(1.57975^(MIN($E1894,123)-117)))*1,0))</f>
        <v>207312000</v>
      </c>
      <c r="Q1894" s="4">
        <f>$E1894+6</f>
        <v>131</v>
      </c>
      <c r="R1894" s="8">
        <f>IF($J1894=0,0,ROUND(MAX($J1894*1.4*1.5*1.6*1.6,13100000*(1.429962^(MIN($E1894,123)-117)))*1,0))</f>
        <v>331699200</v>
      </c>
      <c r="S1894" s="6">
        <f>$E1894+8</f>
        <v>133</v>
      </c>
      <c r="T1894" s="7">
        <f>IF($J1894=0,0,ROUND(MAX($J1894*1.4*1.5*1.6*1.6*2.2,42600000*(1.576904^(MIN($E1894,123)-117)))*1,0))</f>
        <v>729738240</v>
      </c>
      <c r="U1894" s="4">
        <f>$E1894+11</f>
        <v>136</v>
      </c>
      <c r="V1894" s="8">
        <f>IF($J1894=0,0,ROUND(MAX($J1894*1.4*1.5*1.6*1.6*2.2*2.715,354000000*(1.642074^(MIN($E1894,123)-117)))*1,0))</f>
        <v>6940002232</v>
      </c>
      <c r="W1894" s="6">
        <f>$E1894+15</f>
        <v>140</v>
      </c>
      <c r="X1894" s="7">
        <f>IF($J1894=0,0,ROUND(MAX($J1894*1.4*1.5*1.6*1.6*2.2*2.715*2.6,3540000000*(1.579646^(MIN($E1894,123)-117)))*1,0))</f>
        <v>54999899335</v>
      </c>
      <c r="Y1894" s="4">
        <f>$E1894+17</f>
        <v>142</v>
      </c>
      <c r="Z1894" s="8">
        <f>IF($J1894=0,0,ROUND(MAX($J1894*1.4*1.5*1.6*1.6*2.2*2.715*2.6*1.4,6020000000*(1.651178^(MIN($E1894,123)-117)))*1,0))</f>
        <v>122000006103</v>
      </c>
      <c r="AA1894" s="6">
        <f>$E1894+19</f>
        <v>144</v>
      </c>
      <c r="AB1894" s="7">
        <f>IF($J1894=0,0,ROUND(MAX($J1894*1.4*1.5*1.6*1.6*2.2*2.715*2.6*1.4*1.4,8430000000*(1.651435^(MIN($E1894,123)-117)))*1,0))</f>
        <v>171000146547</v>
      </c>
      <c r="AC1894" s="4">
        <f>$E1894+21</f>
        <v>146</v>
      </c>
      <c r="AD1894" s="8">
        <f>IF($J1894=0,0,ROUND(MAX($J1894*1.4*1.5*1.6*1.6*2.2*2.715*2.6*1.4*1.4*1.5,12600000000*(1.652953^(MIN($E1894,123)-117)))*1,0))</f>
        <v>257000267475</v>
      </c>
      <c r="AE1894" s="6">
        <f>$E1894+24</f>
        <v>149</v>
      </c>
      <c r="AF1894" s="7">
        <f>IF($J1894=0,0,ROUND(MAX($J1894*1.4*1.5*1.6*1.6*2.2*2.715*2.6*1.4*1.4*1.5*1.5,18900000000*(1.65331^(MIN($E1894,123)-117)))*1,0))</f>
        <v>386000226581</v>
      </c>
      <c r="AG1894" s="4">
        <f>$E1894+27</f>
        <v>152</v>
      </c>
      <c r="AH1894" s="8">
        <f>IF($J1894=0,0,ROUND(MAX($J1894*1.4*1.5*1.6*1.6*2.2*2.715*2.6*1.4*1.4*1.5*1.5*3.2,60500000000*(1.654288^(MIN($E1894,123)-117)))*1,0))</f>
        <v>1240001159555</v>
      </c>
    </row>
    <row r="1895" ht="27.75" customHeight="1" spans="1:34" x14ac:dyDescent="0.25">
      <c r="A1895" s="3">
        <v>1905</v>
      </c>
      <c r="B1895" s="3" t="s">
        <v>627</v>
      </c>
      <c r="C1895" s="3" t="s">
        <v>1243</v>
      </c>
      <c r="D1895" s="3" t="s">
        <v>45</v>
      </c>
      <c r="E1895" s="3">
        <v>125</v>
      </c>
      <c r="F1895" s="3" t="s">
        <v>71</v>
      </c>
      <c r="G1895" s="3" t="s">
        <v>1244</v>
      </c>
      <c r="H1895" s="3">
        <v>33</v>
      </c>
      <c r="I1895" s="4">
        <v>125</v>
      </c>
      <c r="J1895" s="5">
        <v>33700000</v>
      </c>
      <c r="K1895" s="6">
        <f>$E1895+1</f>
        <v>126</v>
      </c>
      <c r="L1895" s="7">
        <f>IF($J1895=0,0,ROUND(MAX($J1895*1.4,1620000*(1.497923^(MIN($E1895,123)-117)))*1,0))</f>
        <v>47180000</v>
      </c>
      <c r="M1895" s="4">
        <f>$E1895+2</f>
        <v>127</v>
      </c>
      <c r="N1895" s="8">
        <f>IF($J1895=0,0,ROUND(MAX($J1895*1.4*1.5,2190000*(1.580994^(MIN($E1895,123)-117)))*1,0))</f>
        <v>70770000</v>
      </c>
      <c r="O1895" s="6">
        <f>$E1895+4</f>
        <v>129</v>
      </c>
      <c r="P1895" s="7">
        <f>IF($J1895=0,0,ROUND(MAX($J1895*1.4*1.5*1.6,3500000*(1.57975^(MIN($E1895,123)-117)))*1,0))</f>
        <v>113232000</v>
      </c>
      <c r="Q1895" s="4">
        <f>$E1895+6</f>
        <v>131</v>
      </c>
      <c r="R1895" s="8">
        <f>IF($J1895=0,0,ROUND(MAX($J1895*1.4*1.5*1.6*1.6,13100000*(1.429962^(MIN($E1895,123)-117)))*1,0))</f>
        <v>181171200</v>
      </c>
      <c r="S1895" s="6">
        <f>$E1895+8</f>
        <v>133</v>
      </c>
      <c r="T1895" s="7">
        <f>IF($J1895=0,0,ROUND(MAX($J1895*1.4*1.5*1.6*1.6*2.2,42600000*(1.576904^(MIN($E1895,123)-117)))*1,0))</f>
        <v>654999741</v>
      </c>
      <c r="U1895" s="4">
        <f>$E1895+11</f>
        <v>136</v>
      </c>
      <c r="V1895" s="8">
        <f>IF($J1895=0,0,ROUND(MAX($J1895*1.4*1.5*1.6*1.6*2.2*2.715,354000000*(1.642074^(MIN($E1895,123)-117)))*1,0))</f>
        <v>6940002232</v>
      </c>
      <c r="W1895" s="6">
        <f>$E1895+15</f>
        <v>140</v>
      </c>
      <c r="X1895" s="7">
        <f>IF($J1895=0,0,ROUND(MAX($J1895*1.4*1.5*1.6*1.6*2.2*2.715*2.6,3540000000*(1.579646^(MIN($E1895,123)-117)))*1,0))</f>
        <v>54999899335</v>
      </c>
      <c r="Y1895" s="4">
        <f>$E1895+17</f>
        <v>142</v>
      </c>
      <c r="Z1895" s="8">
        <f>IF($J1895=0,0,ROUND(MAX($J1895*1.4*1.5*1.6*1.6*2.2*2.715*2.6*1.4,6020000000*(1.651178^(MIN($E1895,123)-117)))*1,0))</f>
        <v>122000006103</v>
      </c>
      <c r="AA1895" s="6">
        <f>$E1895+19</f>
        <v>144</v>
      </c>
      <c r="AB1895" s="7">
        <f>IF($J1895=0,0,ROUND(MAX($J1895*1.4*1.5*1.6*1.6*2.2*2.715*2.6*1.4*1.4,8430000000*(1.651435^(MIN($E1895,123)-117)))*1,0))</f>
        <v>171000146547</v>
      </c>
      <c r="AC1895" s="4">
        <f>$E1895+21</f>
        <v>146</v>
      </c>
      <c r="AD1895" s="8">
        <f>IF($J1895=0,0,ROUND(MAX($J1895*1.4*1.5*1.6*1.6*2.2*2.715*2.6*1.4*1.4*1.5,12600000000*(1.652953^(MIN($E1895,123)-117)))*1,0))</f>
        <v>257000267475</v>
      </c>
      <c r="AE1895" s="6">
        <f>$E1895+24</f>
        <v>149</v>
      </c>
      <c r="AF1895" s="7">
        <f>IF($J1895=0,0,ROUND(MAX($J1895*1.4*1.5*1.6*1.6*2.2*2.715*2.6*1.4*1.4*1.5*1.5,18900000000*(1.65331^(MIN($E1895,123)-117)))*1,0))</f>
        <v>386000226581</v>
      </c>
      <c r="AG1895" s="4">
        <f>$E1895+27</f>
        <v>152</v>
      </c>
      <c r="AH1895" s="8">
        <f>IF($J1895=0,0,ROUND(MAX($J1895*1.4*1.5*1.6*1.6*2.2*2.715*2.6*1.4*1.4*1.5*1.5*3.2,60500000000*(1.654288^(MIN($E1895,123)-117)))*1,0))</f>
        <v>1240001159555</v>
      </c>
    </row>
    <row r="1896" ht="27.75" customHeight="1" spans="1:34" x14ac:dyDescent="0.25">
      <c r="A1896" s="3">
        <v>1906</v>
      </c>
      <c r="B1896" s="3" t="s">
        <v>115</v>
      </c>
      <c r="C1896" s="3" t="s">
        <v>1243</v>
      </c>
      <c r="D1896" s="3" t="s">
        <v>40</v>
      </c>
      <c r="E1896" s="3">
        <v>125</v>
      </c>
      <c r="F1896" s="3" t="s">
        <v>116</v>
      </c>
      <c r="G1896" s="3" t="s">
        <v>1244</v>
      </c>
      <c r="H1896" s="3">
        <v>33</v>
      </c>
      <c r="I1896" s="4">
        <v>125</v>
      </c>
      <c r="J1896" s="5">
        <v>315000000</v>
      </c>
      <c r="K1896" s="6">
        <f>$E1896+1</f>
        <v>126</v>
      </c>
      <c r="L1896" s="7">
        <f>IF($J1896=0,0,ROUND(MAX($J1896*1.4,1620000*(1.497923^(MIN($E1896,123)-117)))*1,0))</f>
        <v>441000000</v>
      </c>
      <c r="M1896" s="4">
        <f>$E1896+2</f>
        <v>127</v>
      </c>
      <c r="N1896" s="8">
        <f>IF($J1896=0,0,ROUND(MAX($J1896*1.4*1.5,2190000*(1.580994^(MIN($E1896,123)-117)))*1,0))</f>
        <v>661500000</v>
      </c>
      <c r="O1896" s="6">
        <f>$E1896+4</f>
        <v>129</v>
      </c>
      <c r="P1896" s="7">
        <f>IF($J1896=0,0,ROUND(MAX($J1896*1.4*1.5*1.6,3500000*(1.57975^(MIN($E1896,123)-117)))*1,0))</f>
        <v>1058400000</v>
      </c>
      <c r="Q1896" s="4">
        <f>$E1896+6</f>
        <v>131</v>
      </c>
      <c r="R1896" s="8">
        <f>IF($J1896=0,0,ROUND(MAX($J1896*1.4*1.5*1.6*1.6,13100000*(1.429962^(MIN($E1896,123)-117)))*1,0))</f>
        <v>1693440000</v>
      </c>
      <c r="S1896" s="6">
        <f>$E1896+8</f>
        <v>133</v>
      </c>
      <c r="T1896" s="7">
        <f>IF($J1896=0,0,ROUND(MAX($J1896*1.4*1.5*1.6*1.6*2.2,42600000*(1.576904^(MIN($E1896,123)-117)))*1,0))</f>
        <v>3725568000</v>
      </c>
      <c r="U1896" s="4">
        <f>$E1896+11</f>
        <v>136</v>
      </c>
      <c r="V1896" s="8">
        <f>IF($J1896=0,0,ROUND(MAX($J1896*1.4*1.5*1.6*1.6*2.2*2.715,354000000*(1.642074^(MIN($E1896,123)-117)))*1,0))</f>
        <v>10114917120</v>
      </c>
      <c r="W1896" s="6">
        <f>$E1896+15</f>
        <v>140</v>
      </c>
      <c r="X1896" s="7">
        <f>IF($J1896=0,0,ROUND(MAX($J1896*1.4*1.5*1.6*1.6*2.2*2.715*2.6,3540000000*(1.579646^(MIN($E1896,123)-117)))*1,0))</f>
        <v>54999899335</v>
      </c>
      <c r="Y1896" s="4">
        <f>$E1896+17</f>
        <v>142</v>
      </c>
      <c r="Z1896" s="8">
        <f>IF($J1896=0,0,ROUND(MAX($J1896*1.4*1.5*1.6*1.6*2.2*2.715*2.6*1.4,6020000000*(1.651178^(MIN($E1896,123)-117)))*1,0))</f>
        <v>122000006103</v>
      </c>
      <c r="AA1896" s="6">
        <f>$E1896+19</f>
        <v>144</v>
      </c>
      <c r="AB1896" s="7">
        <f>IF($J1896=0,0,ROUND(MAX($J1896*1.4*1.5*1.6*1.6*2.2*2.715*2.6*1.4*1.4,8430000000*(1.651435^(MIN($E1896,123)-117)))*1,0))</f>
        <v>171000146547</v>
      </c>
      <c r="AC1896" s="4">
        <f>$E1896+21</f>
        <v>146</v>
      </c>
      <c r="AD1896" s="8">
        <f>IF($J1896=0,0,ROUND(MAX($J1896*1.4*1.5*1.6*1.6*2.2*2.715*2.6*1.4*1.4*1.5,12600000000*(1.652953^(MIN($E1896,123)-117)))*1,0))</f>
        <v>257000267475</v>
      </c>
      <c r="AE1896" s="6">
        <f>$E1896+24</f>
        <v>149</v>
      </c>
      <c r="AF1896" s="7">
        <f>IF($J1896=0,0,ROUND(MAX($J1896*1.4*1.5*1.6*1.6*2.2*2.715*2.6*1.4*1.4*1.5*1.5,18900000000*(1.65331^(MIN($E1896,123)-117)))*1,0))</f>
        <v>386000226581</v>
      </c>
      <c r="AG1896" s="4">
        <f>$E1896+27</f>
        <v>152</v>
      </c>
      <c r="AH1896" s="8">
        <f>IF($J1896=0,0,ROUND(MAX($J1896*1.4*1.5*1.6*1.6*2.2*2.715*2.6*1.4*1.4*1.5*1.5*3.2,60500000000*(1.654288^(MIN($E1896,123)-117)))*1,0))</f>
        <v>1240001159555</v>
      </c>
    </row>
    <row r="1897" ht="27.75" customHeight="1" spans="1:34" x14ac:dyDescent="0.25">
      <c r="A1897" s="3">
        <v>1907</v>
      </c>
      <c r="B1897" s="3" t="s">
        <v>96</v>
      </c>
      <c r="C1897" s="3" t="s">
        <v>1243</v>
      </c>
      <c r="D1897" s="3" t="s">
        <v>40</v>
      </c>
      <c r="E1897" s="3">
        <v>124</v>
      </c>
      <c r="F1897" s="3" t="s">
        <v>97</v>
      </c>
      <c r="G1897" s="3" t="s">
        <v>1244</v>
      </c>
      <c r="H1897" s="3">
        <v>34</v>
      </c>
      <c r="I1897" s="4">
        <v>124</v>
      </c>
      <c r="J1897" s="5">
        <v>20400000</v>
      </c>
      <c r="K1897" s="6">
        <f>$E1897+1</f>
        <v>125</v>
      </c>
      <c r="L1897" s="7">
        <f>IF($J1897=0,0,ROUND(MAX($J1897*1.4,1620000*(1.497923^(MIN($E1897,123)-117)))*1,0))</f>
        <v>28560000</v>
      </c>
      <c r="M1897" s="4">
        <f>$E1897+2</f>
        <v>126</v>
      </c>
      <c r="N1897" s="8">
        <f>IF($J1897=0,0,ROUND(MAX($J1897*1.4*1.5,2190000*(1.580994^(MIN($E1897,123)-117)))*1,0))</f>
        <v>42840000</v>
      </c>
      <c r="O1897" s="6">
        <f>$E1897+4</f>
        <v>128</v>
      </c>
      <c r="P1897" s="7">
        <f>IF($J1897=0,0,ROUND(MAX($J1897*1.4*1.5*1.6,3500000*(1.57975^(MIN($E1897,123)-117)))*1,0))</f>
        <v>68544000</v>
      </c>
      <c r="Q1897" s="4">
        <f>$E1897+6</f>
        <v>130</v>
      </c>
      <c r="R1897" s="8">
        <f>IF($J1897=0,0,ROUND(MAX($J1897*1.4*1.5*1.6*1.6,13100000*(1.429962^(MIN($E1897,123)-117)))*1,0))</f>
        <v>112000065</v>
      </c>
      <c r="S1897" s="6">
        <f>$E1897+8</f>
        <v>132</v>
      </c>
      <c r="T1897" s="7">
        <f>IF($J1897=0,0,ROUND(MAX($J1897*1.4*1.5*1.6*1.6*2.2,42600000*(1.576904^(MIN($E1897,123)-117)))*1,0))</f>
        <v>654999741</v>
      </c>
      <c r="U1897" s="4">
        <f>$E1897+11</f>
        <v>135</v>
      </c>
      <c r="V1897" s="8">
        <f>IF($J1897=0,0,ROUND(MAX($J1897*1.4*1.5*1.6*1.6*2.2*2.715,354000000*(1.642074^(MIN($E1897,123)-117)))*1,0))</f>
        <v>6940002232</v>
      </c>
      <c r="W1897" s="6">
        <f>$E1897+15</f>
        <v>139</v>
      </c>
      <c r="X1897" s="7">
        <f>IF($J1897=0,0,ROUND(MAX($J1897*1.4*1.5*1.6*1.6*2.2*2.715*2.6,3540000000*(1.579646^(MIN($E1897,123)-117)))*1,0))</f>
        <v>54999899335</v>
      </c>
      <c r="Y1897" s="4">
        <f>$E1897+17</f>
        <v>141</v>
      </c>
      <c r="Z1897" s="8">
        <f>IF($J1897=0,0,ROUND(MAX($J1897*1.4*1.5*1.6*1.6*2.2*2.715*2.6*1.4,6020000000*(1.651178^(MIN($E1897,123)-117)))*1,0))</f>
        <v>122000006103</v>
      </c>
      <c r="AA1897" s="6">
        <f>$E1897+19</f>
        <v>143</v>
      </c>
      <c r="AB1897" s="7">
        <f>IF($J1897=0,0,ROUND(MAX($J1897*1.4*1.5*1.6*1.6*2.2*2.715*2.6*1.4*1.4,8430000000*(1.651435^(MIN($E1897,123)-117)))*1,0))</f>
        <v>171000146547</v>
      </c>
      <c r="AC1897" s="4">
        <f>$E1897+21</f>
        <v>145</v>
      </c>
      <c r="AD1897" s="8">
        <f>IF($J1897=0,0,ROUND(MAX($J1897*1.4*1.5*1.6*1.6*2.2*2.715*2.6*1.4*1.4*1.5,12600000000*(1.652953^(MIN($E1897,123)-117)))*1,0))</f>
        <v>257000267475</v>
      </c>
      <c r="AE1897" s="6">
        <f>$E1897+24</f>
        <v>148</v>
      </c>
      <c r="AF1897" s="7">
        <f>IF($J1897=0,0,ROUND(MAX($J1897*1.4*1.5*1.6*1.6*2.2*2.715*2.6*1.4*1.4*1.5*1.5,18900000000*(1.65331^(MIN($E1897,123)-117)))*1,0))</f>
        <v>386000226581</v>
      </c>
      <c r="AG1897" s="4">
        <f>$E1897+27</f>
        <v>151</v>
      </c>
      <c r="AH1897" s="8">
        <f>IF($J1897=0,0,ROUND(MAX($J1897*1.4*1.5*1.6*1.6*2.2*2.715*2.6*1.4*1.4*1.5*1.5*3.2,60500000000*(1.654288^(MIN($E1897,123)-117)))*1,0))</f>
        <v>1240001159555</v>
      </c>
    </row>
    <row r="1898" ht="27.75" customHeight="1" spans="1:34" x14ac:dyDescent="0.25">
      <c r="A1898" s="3">
        <v>1908</v>
      </c>
      <c r="B1898" s="3" t="s">
        <v>192</v>
      </c>
      <c r="C1898" s="3" t="s">
        <v>1243</v>
      </c>
      <c r="D1898" s="3" t="s">
        <v>40</v>
      </c>
      <c r="E1898" s="3">
        <v>124</v>
      </c>
      <c r="F1898" s="3" t="s">
        <v>56</v>
      </c>
      <c r="G1898" s="3" t="s">
        <v>1244</v>
      </c>
      <c r="H1898" s="3">
        <v>33</v>
      </c>
      <c r="I1898" s="4">
        <v>124</v>
      </c>
      <c r="J1898" s="5">
        <v>16300000</v>
      </c>
      <c r="K1898" s="6">
        <f>$E1898+1</f>
        <v>125</v>
      </c>
      <c r="L1898" s="7">
        <f>IF($J1898=0,0,ROUND(MAX($J1898*1.4,1620000*(1.497923^(MIN($E1898,123)-117)))*1,0))</f>
        <v>22820000</v>
      </c>
      <c r="M1898" s="4">
        <f>$E1898+2</f>
        <v>126</v>
      </c>
      <c r="N1898" s="8">
        <f>IF($J1898=0,0,ROUND(MAX($J1898*1.4*1.5,2190000*(1.580994^(MIN($E1898,123)-117)))*1,0))</f>
        <v>34230000</v>
      </c>
      <c r="O1898" s="6">
        <f>$E1898+4</f>
        <v>128</v>
      </c>
      <c r="P1898" s="7">
        <f>IF($J1898=0,0,ROUND(MAX($J1898*1.4*1.5*1.6,3500000*(1.57975^(MIN($E1898,123)-117)))*1,0))</f>
        <v>54768000</v>
      </c>
      <c r="Q1898" s="4">
        <f>$E1898+6</f>
        <v>130</v>
      </c>
      <c r="R1898" s="8">
        <f>IF($J1898=0,0,ROUND(MAX($J1898*1.4*1.5*1.6*1.6,13100000*(1.429962^(MIN($E1898,123)-117)))*1,0))</f>
        <v>112000065</v>
      </c>
      <c r="S1898" s="6">
        <f>$E1898+8</f>
        <v>132</v>
      </c>
      <c r="T1898" s="7">
        <f>IF($J1898=0,0,ROUND(MAX($J1898*1.4*1.5*1.6*1.6*2.2,42600000*(1.576904^(MIN($E1898,123)-117)))*1,0))</f>
        <v>654999741</v>
      </c>
      <c r="U1898" s="4">
        <f>$E1898+11</f>
        <v>135</v>
      </c>
      <c r="V1898" s="8">
        <f>IF($J1898=0,0,ROUND(MAX($J1898*1.4*1.5*1.6*1.6*2.2*2.715,354000000*(1.642074^(MIN($E1898,123)-117)))*1,0))</f>
        <v>6940002232</v>
      </c>
      <c r="W1898" s="6">
        <f>$E1898+15</f>
        <v>139</v>
      </c>
      <c r="X1898" s="7">
        <f>IF($J1898=0,0,ROUND(MAX($J1898*1.4*1.5*1.6*1.6*2.2*2.715*2.6,3540000000*(1.579646^(MIN($E1898,123)-117)))*1,0))</f>
        <v>54999899335</v>
      </c>
      <c r="Y1898" s="4">
        <f>$E1898+17</f>
        <v>141</v>
      </c>
      <c r="Z1898" s="8">
        <f>IF($J1898=0,0,ROUND(MAX($J1898*1.4*1.5*1.6*1.6*2.2*2.715*2.6*1.4,6020000000*(1.651178^(MIN($E1898,123)-117)))*1,0))</f>
        <v>122000006103</v>
      </c>
      <c r="AA1898" s="6">
        <f>$E1898+19</f>
        <v>143</v>
      </c>
      <c r="AB1898" s="7">
        <f>IF($J1898=0,0,ROUND(MAX($J1898*1.4*1.5*1.6*1.6*2.2*2.715*2.6*1.4*1.4,8430000000*(1.651435^(MIN($E1898,123)-117)))*1,0))</f>
        <v>171000146547</v>
      </c>
      <c r="AC1898" s="4">
        <f>$E1898+21</f>
        <v>145</v>
      </c>
      <c r="AD1898" s="8">
        <f>IF($J1898=0,0,ROUND(MAX($J1898*1.4*1.5*1.6*1.6*2.2*2.715*2.6*1.4*1.4*1.5,12600000000*(1.652953^(MIN($E1898,123)-117)))*1,0))</f>
        <v>257000267475</v>
      </c>
      <c r="AE1898" s="6">
        <f>$E1898+24</f>
        <v>148</v>
      </c>
      <c r="AF1898" s="7">
        <f>IF($J1898=0,0,ROUND(MAX($J1898*1.4*1.5*1.6*1.6*2.2*2.715*2.6*1.4*1.4*1.5*1.5,18900000000*(1.65331^(MIN($E1898,123)-117)))*1,0))</f>
        <v>386000226581</v>
      </c>
      <c r="AG1898" s="4">
        <f>$E1898+27</f>
        <v>151</v>
      </c>
      <c r="AH1898" s="8">
        <f>IF($J1898=0,0,ROUND(MAX($J1898*1.4*1.5*1.6*1.6*2.2*2.715*2.6*1.4*1.4*1.5*1.5*3.2,60500000000*(1.654288^(MIN($E1898,123)-117)))*1,0))</f>
        <v>1240001159555</v>
      </c>
    </row>
    <row r="1899" ht="27.75" customHeight="1" spans="1:34" x14ac:dyDescent="0.25">
      <c r="A1899" s="3">
        <v>1909</v>
      </c>
      <c r="B1899" s="3" t="s">
        <v>926</v>
      </c>
      <c r="C1899" s="3" t="s">
        <v>1243</v>
      </c>
      <c r="D1899" s="3" t="s">
        <v>64</v>
      </c>
      <c r="E1899" s="3">
        <v>124</v>
      </c>
      <c r="F1899" s="3" t="s">
        <v>71</v>
      </c>
      <c r="G1899" s="3" t="s">
        <v>398</v>
      </c>
      <c r="H1899" s="3">
        <v>33</v>
      </c>
      <c r="I1899" s="4">
        <v>124</v>
      </c>
      <c r="J1899" s="5">
        <v>17500000</v>
      </c>
      <c r="K1899" s="6">
        <f>$E1899+1</f>
        <v>125</v>
      </c>
      <c r="L1899" s="7">
        <f>IF($J1899=0,0,ROUND(MAX($J1899*1.4,1620000*(1.497923^(MIN($E1899,123)-117)))*1,0))</f>
        <v>24500000</v>
      </c>
      <c r="M1899" s="4">
        <f>$E1899+2</f>
        <v>126</v>
      </c>
      <c r="N1899" s="8">
        <f>IF($J1899=0,0,ROUND(MAX($J1899*1.4*1.5,2190000*(1.580994^(MIN($E1899,123)-117)))*1,0))</f>
        <v>36750000</v>
      </c>
      <c r="O1899" s="6">
        <f>$E1899+4</f>
        <v>128</v>
      </c>
      <c r="P1899" s="7">
        <f>IF($J1899=0,0,ROUND(MAX($J1899*1.4*1.5*1.6,3500000*(1.57975^(MIN($E1899,123)-117)))*1,0))</f>
        <v>58800000</v>
      </c>
      <c r="Q1899" s="4">
        <f>$E1899+6</f>
        <v>130</v>
      </c>
      <c r="R1899" s="8">
        <f>IF($J1899=0,0,ROUND(MAX($J1899*1.4*1.5*1.6*1.6,13100000*(1.429962^(MIN($E1899,123)-117)))*1,0))</f>
        <v>112000065</v>
      </c>
      <c r="S1899" s="6">
        <f>$E1899+8</f>
        <v>132</v>
      </c>
      <c r="T1899" s="7">
        <f>IF($J1899=0,0,ROUND(MAX($J1899*1.4*1.5*1.6*1.6*2.2,42600000*(1.576904^(MIN($E1899,123)-117)))*1,0))</f>
        <v>654999741</v>
      </c>
      <c r="U1899" s="4">
        <f>$E1899+11</f>
        <v>135</v>
      </c>
      <c r="V1899" s="8">
        <f>IF($J1899=0,0,ROUND(MAX($J1899*1.4*1.5*1.6*1.6*2.2*2.715,354000000*(1.642074^(MIN($E1899,123)-117)))*1,0))</f>
        <v>6940002232</v>
      </c>
      <c r="W1899" s="6">
        <f>$E1899+15</f>
        <v>139</v>
      </c>
      <c r="X1899" s="7">
        <f>IF($J1899=0,0,ROUND(MAX($J1899*1.4*1.5*1.6*1.6*2.2*2.715*2.6,3540000000*(1.579646^(MIN($E1899,123)-117)))*1,0))</f>
        <v>54999899335</v>
      </c>
      <c r="Y1899" s="4">
        <f>$E1899+17</f>
        <v>141</v>
      </c>
      <c r="Z1899" s="8">
        <f>IF($J1899=0,0,ROUND(MAX($J1899*1.4*1.5*1.6*1.6*2.2*2.715*2.6*1.4,6020000000*(1.651178^(MIN($E1899,123)-117)))*1,0))</f>
        <v>122000006103</v>
      </c>
      <c r="AA1899" s="6">
        <f>$E1899+19</f>
        <v>143</v>
      </c>
      <c r="AB1899" s="7">
        <f>IF($J1899=0,0,ROUND(MAX($J1899*1.4*1.5*1.6*1.6*2.2*2.715*2.6*1.4*1.4,8430000000*(1.651435^(MIN($E1899,123)-117)))*1,0))</f>
        <v>171000146547</v>
      </c>
      <c r="AC1899" s="4">
        <f>$E1899+21</f>
        <v>145</v>
      </c>
      <c r="AD1899" s="8">
        <f>IF($J1899=0,0,ROUND(MAX($J1899*1.4*1.5*1.6*1.6*2.2*2.715*2.6*1.4*1.4*1.5,12600000000*(1.652953^(MIN($E1899,123)-117)))*1,0))</f>
        <v>257000267475</v>
      </c>
      <c r="AE1899" s="6">
        <f>$E1899+24</f>
        <v>148</v>
      </c>
      <c r="AF1899" s="7">
        <f>IF($J1899=0,0,ROUND(MAX($J1899*1.4*1.5*1.6*1.6*2.2*2.715*2.6*1.4*1.4*1.5*1.5,18900000000*(1.65331^(MIN($E1899,123)-117)))*1,0))</f>
        <v>386000226581</v>
      </c>
      <c r="AG1899" s="4">
        <f>$E1899+27</f>
        <v>151</v>
      </c>
      <c r="AH1899" s="8">
        <f>IF($J1899=0,0,ROUND(MAX($J1899*1.4*1.5*1.6*1.6*2.2*2.715*2.6*1.4*1.4*1.5*1.5*3.2,60500000000*(1.654288^(MIN($E1899,123)-117)))*1,0))</f>
        <v>1240001159555</v>
      </c>
    </row>
    <row r="1900" ht="27.75" customHeight="1" spans="1:34" x14ac:dyDescent="0.25">
      <c r="A1900" s="3">
        <v>1910</v>
      </c>
      <c r="B1900" s="3" t="s">
        <v>148</v>
      </c>
      <c r="C1900" s="3" t="s">
        <v>1243</v>
      </c>
      <c r="D1900" s="3" t="s">
        <v>102</v>
      </c>
      <c r="E1900" s="3">
        <v>124</v>
      </c>
      <c r="F1900" s="3" t="s">
        <v>54</v>
      </c>
      <c r="G1900" s="3" t="s">
        <v>1244</v>
      </c>
      <c r="H1900" s="3">
        <v>33</v>
      </c>
      <c r="I1900" s="4">
        <v>124</v>
      </c>
      <c r="J1900" s="5">
        <v>19400000</v>
      </c>
      <c r="K1900" s="6">
        <f>$E1900+1</f>
        <v>125</v>
      </c>
      <c r="L1900" s="7">
        <f>IF($J1900=0,0,ROUND(MAX($J1900*1.4,1620000*(1.497923^(MIN($E1900,123)-117)))*1,0))</f>
        <v>27160000</v>
      </c>
      <c r="M1900" s="4">
        <f>$E1900+2</f>
        <v>126</v>
      </c>
      <c r="N1900" s="8">
        <f>IF($J1900=0,0,ROUND(MAX($J1900*1.4*1.5,2190000*(1.580994^(MIN($E1900,123)-117)))*1,0))</f>
        <v>40740000</v>
      </c>
      <c r="O1900" s="6">
        <f>$E1900+4</f>
        <v>128</v>
      </c>
      <c r="P1900" s="7">
        <f>IF($J1900=0,0,ROUND(MAX($J1900*1.4*1.5*1.6,3500000*(1.57975^(MIN($E1900,123)-117)))*1,0))</f>
        <v>65184000</v>
      </c>
      <c r="Q1900" s="4">
        <f>$E1900+6</f>
        <v>130</v>
      </c>
      <c r="R1900" s="8">
        <f>IF($J1900=0,0,ROUND(MAX($J1900*1.4*1.5*1.6*1.6,13100000*(1.429962^(MIN($E1900,123)-117)))*1,0))</f>
        <v>112000065</v>
      </c>
      <c r="S1900" s="6">
        <f>$E1900+8</f>
        <v>132</v>
      </c>
      <c r="T1900" s="7">
        <f>IF($J1900=0,0,ROUND(MAX($J1900*1.4*1.5*1.6*1.6*2.2,42600000*(1.576904^(MIN($E1900,123)-117)))*1,0))</f>
        <v>654999741</v>
      </c>
      <c r="U1900" s="4">
        <f>$E1900+11</f>
        <v>135</v>
      </c>
      <c r="V1900" s="8">
        <f>IF($J1900=0,0,ROUND(MAX($J1900*1.4*1.5*1.6*1.6*2.2*2.715,354000000*(1.642074^(MIN($E1900,123)-117)))*1,0))</f>
        <v>6940002232</v>
      </c>
      <c r="W1900" s="6">
        <f>$E1900+15</f>
        <v>139</v>
      </c>
      <c r="X1900" s="7">
        <f>IF($J1900=0,0,ROUND(MAX($J1900*1.4*1.5*1.6*1.6*2.2*2.715*2.6,3540000000*(1.579646^(MIN($E1900,123)-117)))*1,0))</f>
        <v>54999899335</v>
      </c>
      <c r="Y1900" s="4">
        <f>$E1900+17</f>
        <v>141</v>
      </c>
      <c r="Z1900" s="8">
        <f>IF($J1900=0,0,ROUND(MAX($J1900*1.4*1.5*1.6*1.6*2.2*2.715*2.6*1.4,6020000000*(1.651178^(MIN($E1900,123)-117)))*1,0))</f>
        <v>122000006103</v>
      </c>
      <c r="AA1900" s="6">
        <f>$E1900+19</f>
        <v>143</v>
      </c>
      <c r="AB1900" s="7">
        <f>IF($J1900=0,0,ROUND(MAX($J1900*1.4*1.5*1.6*1.6*2.2*2.715*2.6*1.4*1.4,8430000000*(1.651435^(MIN($E1900,123)-117)))*1,0))</f>
        <v>171000146547</v>
      </c>
      <c r="AC1900" s="4">
        <f>$E1900+21</f>
        <v>145</v>
      </c>
      <c r="AD1900" s="8">
        <f>IF($J1900=0,0,ROUND(MAX($J1900*1.4*1.5*1.6*1.6*2.2*2.715*2.6*1.4*1.4*1.5,12600000000*(1.652953^(MIN($E1900,123)-117)))*1,0))</f>
        <v>257000267475</v>
      </c>
      <c r="AE1900" s="6">
        <f>$E1900+24</f>
        <v>148</v>
      </c>
      <c r="AF1900" s="7">
        <f>IF($J1900=0,0,ROUND(MAX($J1900*1.4*1.5*1.6*1.6*2.2*2.715*2.6*1.4*1.4*1.5*1.5,18900000000*(1.65331^(MIN($E1900,123)-117)))*1,0))</f>
        <v>386000226581</v>
      </c>
      <c r="AG1900" s="4">
        <f>$E1900+27</f>
        <v>151</v>
      </c>
      <c r="AH1900" s="8">
        <f>IF($J1900=0,0,ROUND(MAX($J1900*1.4*1.5*1.6*1.6*2.2*2.715*2.6*1.4*1.4*1.5*1.5*3.2,60500000000*(1.654288^(MIN($E1900,123)-117)))*1,0))</f>
        <v>1240001159555</v>
      </c>
    </row>
    <row r="1901" ht="27.75" customHeight="1" spans="1:34" x14ac:dyDescent="0.25">
      <c r="A1901" s="3">
        <v>1911</v>
      </c>
      <c r="B1901" s="3" t="s">
        <v>114</v>
      </c>
      <c r="C1901" s="3" t="s">
        <v>1243</v>
      </c>
      <c r="D1901" s="3" t="s">
        <v>75</v>
      </c>
      <c r="E1901" s="3">
        <v>124</v>
      </c>
      <c r="F1901" s="3" t="s">
        <v>30</v>
      </c>
      <c r="G1901" s="3" t="s">
        <v>1244</v>
      </c>
      <c r="H1901" s="3">
        <v>33</v>
      </c>
      <c r="I1901" s="4">
        <v>124</v>
      </c>
      <c r="J1901" s="5">
        <v>19700000</v>
      </c>
      <c r="K1901" s="6">
        <f>$E1901+1</f>
        <v>125</v>
      </c>
      <c r="L1901" s="7">
        <f>IF($J1901=0,0,ROUND(MAX($J1901*1.4,1620000*(1.497923^(MIN($E1901,123)-117)))*1,0))</f>
        <v>27580000</v>
      </c>
      <c r="M1901" s="4">
        <f>$E1901+2</f>
        <v>126</v>
      </c>
      <c r="N1901" s="8">
        <f>IF($J1901=0,0,ROUND(MAX($J1901*1.4*1.5,2190000*(1.580994^(MIN($E1901,123)-117)))*1,0))</f>
        <v>41370000</v>
      </c>
      <c r="O1901" s="6">
        <f>$E1901+4</f>
        <v>128</v>
      </c>
      <c r="P1901" s="7">
        <f>IF($J1901=0,0,ROUND(MAX($J1901*1.4*1.5*1.6,3500000*(1.57975^(MIN($E1901,123)-117)))*1,0))</f>
        <v>66192000</v>
      </c>
      <c r="Q1901" s="4">
        <f>$E1901+6</f>
        <v>130</v>
      </c>
      <c r="R1901" s="8">
        <f>IF($J1901=0,0,ROUND(MAX($J1901*1.4*1.5*1.6*1.6,13100000*(1.429962^(MIN($E1901,123)-117)))*1,0))</f>
        <v>112000065</v>
      </c>
      <c r="S1901" s="6">
        <f>$E1901+8</f>
        <v>132</v>
      </c>
      <c r="T1901" s="7">
        <f>IF($J1901=0,0,ROUND(MAX($J1901*1.4*1.5*1.6*1.6*2.2,42600000*(1.576904^(MIN($E1901,123)-117)))*1,0))</f>
        <v>654999741</v>
      </c>
      <c r="U1901" s="4">
        <f>$E1901+11</f>
        <v>135</v>
      </c>
      <c r="V1901" s="8">
        <f>IF($J1901=0,0,ROUND(MAX($J1901*1.4*1.5*1.6*1.6*2.2*2.715,354000000*(1.642074^(MIN($E1901,123)-117)))*1,0))</f>
        <v>6940002232</v>
      </c>
      <c r="W1901" s="6">
        <f>$E1901+15</f>
        <v>139</v>
      </c>
      <c r="X1901" s="7">
        <f>IF($J1901=0,0,ROUND(MAX($J1901*1.4*1.5*1.6*1.6*2.2*2.715*2.6,3540000000*(1.579646^(MIN($E1901,123)-117)))*1,0))</f>
        <v>54999899335</v>
      </c>
      <c r="Y1901" s="4">
        <f>$E1901+17</f>
        <v>141</v>
      </c>
      <c r="Z1901" s="8">
        <f>IF($J1901=0,0,ROUND(MAX($J1901*1.4*1.5*1.6*1.6*2.2*2.715*2.6*1.4,6020000000*(1.651178^(MIN($E1901,123)-117)))*1,0))</f>
        <v>122000006103</v>
      </c>
      <c r="AA1901" s="6">
        <f>$E1901+19</f>
        <v>143</v>
      </c>
      <c r="AB1901" s="7">
        <f>IF($J1901=0,0,ROUND(MAX($J1901*1.4*1.5*1.6*1.6*2.2*2.715*2.6*1.4*1.4,8430000000*(1.651435^(MIN($E1901,123)-117)))*1,0))</f>
        <v>171000146547</v>
      </c>
      <c r="AC1901" s="4">
        <f>$E1901+21</f>
        <v>145</v>
      </c>
      <c r="AD1901" s="8">
        <f>IF($J1901=0,0,ROUND(MAX($J1901*1.4*1.5*1.6*1.6*2.2*2.715*2.6*1.4*1.4*1.5,12600000000*(1.652953^(MIN($E1901,123)-117)))*1,0))</f>
        <v>257000267475</v>
      </c>
      <c r="AE1901" s="6">
        <f>$E1901+24</f>
        <v>148</v>
      </c>
      <c r="AF1901" s="7">
        <f>IF($J1901=0,0,ROUND(MAX($J1901*1.4*1.5*1.6*1.6*2.2*2.715*2.6*1.4*1.4*1.5*1.5,18900000000*(1.65331^(MIN($E1901,123)-117)))*1,0))</f>
        <v>386000226581</v>
      </c>
      <c r="AG1901" s="4">
        <f>$E1901+27</f>
        <v>151</v>
      </c>
      <c r="AH1901" s="8">
        <f>IF($J1901=0,0,ROUND(MAX($J1901*1.4*1.5*1.6*1.6*2.2*2.715*2.6*1.4*1.4*1.5*1.5*3.2,60500000000*(1.654288^(MIN($E1901,123)-117)))*1,0))</f>
        <v>1240001159555</v>
      </c>
    </row>
    <row r="1902" ht="27.75" customHeight="1" spans="1:34" x14ac:dyDescent="0.25">
      <c r="A1902" s="3">
        <v>1912</v>
      </c>
      <c r="B1902" s="3" t="s">
        <v>288</v>
      </c>
      <c r="C1902" s="3" t="s">
        <v>1243</v>
      </c>
      <c r="D1902" s="3" t="s">
        <v>102</v>
      </c>
      <c r="E1902" s="3">
        <v>124</v>
      </c>
      <c r="F1902" s="3" t="s">
        <v>30</v>
      </c>
      <c r="G1902" s="3" t="s">
        <v>57</v>
      </c>
      <c r="H1902" s="3">
        <v>32</v>
      </c>
      <c r="I1902" s="4">
        <v>124</v>
      </c>
      <c r="J1902" s="5">
        <v>19400000</v>
      </c>
      <c r="K1902" s="6">
        <f>$E1902+1</f>
        <v>125</v>
      </c>
      <c r="L1902" s="7">
        <f>IF($J1902=0,0,ROUND(MAX($J1902*1.4,1620000*(1.497923^(MIN($E1902,123)-117)))*1,0))</f>
        <v>27160000</v>
      </c>
      <c r="M1902" s="4">
        <f>$E1902+2</f>
        <v>126</v>
      </c>
      <c r="N1902" s="8">
        <f>IF($J1902=0,0,ROUND(MAX($J1902*1.4*1.5,2190000*(1.580994^(MIN($E1902,123)-117)))*1,0))</f>
        <v>40740000</v>
      </c>
      <c r="O1902" s="6">
        <f>$E1902+4</f>
        <v>128</v>
      </c>
      <c r="P1902" s="7">
        <f>IF($J1902=0,0,ROUND(MAX($J1902*1.4*1.5*1.6,3500000*(1.57975^(MIN($E1902,123)-117)))*1,0))</f>
        <v>65184000</v>
      </c>
      <c r="Q1902" s="4">
        <f>$E1902+6</f>
        <v>130</v>
      </c>
      <c r="R1902" s="8">
        <f>IF($J1902=0,0,ROUND(MAX($J1902*1.4*1.5*1.6*1.6,13100000*(1.429962^(MIN($E1902,123)-117)))*1,0))</f>
        <v>112000065</v>
      </c>
      <c r="S1902" s="6">
        <f>$E1902+8</f>
        <v>132</v>
      </c>
      <c r="T1902" s="7">
        <f>IF($J1902=0,0,ROUND(MAX($J1902*1.4*1.5*1.6*1.6*2.2,42600000*(1.576904^(MIN($E1902,123)-117)))*1,0))</f>
        <v>654999741</v>
      </c>
      <c r="U1902" s="4">
        <f>$E1902+11</f>
        <v>135</v>
      </c>
      <c r="V1902" s="8">
        <f>IF($J1902=0,0,ROUND(MAX($J1902*1.4*1.5*1.6*1.6*2.2*2.715,354000000*(1.642074^(MIN($E1902,123)-117)))*1,0))</f>
        <v>6940002232</v>
      </c>
      <c r="W1902" s="6">
        <f>$E1902+15</f>
        <v>139</v>
      </c>
      <c r="X1902" s="7">
        <f>IF($J1902=0,0,ROUND(MAX($J1902*1.4*1.5*1.6*1.6*2.2*2.715*2.6,3540000000*(1.579646^(MIN($E1902,123)-117)))*1,0))</f>
        <v>54999899335</v>
      </c>
      <c r="Y1902" s="4">
        <f>$E1902+17</f>
        <v>141</v>
      </c>
      <c r="Z1902" s="8">
        <f>IF($J1902=0,0,ROUND(MAX($J1902*1.4*1.5*1.6*1.6*2.2*2.715*2.6*1.4,6020000000*(1.651178^(MIN($E1902,123)-117)))*1,0))</f>
        <v>122000006103</v>
      </c>
      <c r="AA1902" s="6">
        <f>$E1902+19</f>
        <v>143</v>
      </c>
      <c r="AB1902" s="7">
        <f>IF($J1902=0,0,ROUND(MAX($J1902*1.4*1.5*1.6*1.6*2.2*2.715*2.6*1.4*1.4,8430000000*(1.651435^(MIN($E1902,123)-117)))*1,0))</f>
        <v>171000146547</v>
      </c>
      <c r="AC1902" s="4">
        <f>$E1902+21</f>
        <v>145</v>
      </c>
      <c r="AD1902" s="8">
        <f>IF($J1902=0,0,ROUND(MAX($J1902*1.4*1.5*1.6*1.6*2.2*2.715*2.6*1.4*1.4*1.5,12600000000*(1.652953^(MIN($E1902,123)-117)))*1,0))</f>
        <v>257000267475</v>
      </c>
      <c r="AE1902" s="6">
        <f>$E1902+24</f>
        <v>148</v>
      </c>
      <c r="AF1902" s="7">
        <f>IF($J1902=0,0,ROUND(MAX($J1902*1.4*1.5*1.6*1.6*2.2*2.715*2.6*1.4*1.4*1.5*1.5,18900000000*(1.65331^(MIN($E1902,123)-117)))*1,0))</f>
        <v>386000226581</v>
      </c>
      <c r="AG1902" s="4">
        <f>$E1902+27</f>
        <v>151</v>
      </c>
      <c r="AH1902" s="8">
        <f>IF($J1902=0,0,ROUND(MAX($J1902*1.4*1.5*1.6*1.6*2.2*2.715*2.6*1.4*1.4*1.5*1.5*3.2,60500000000*(1.654288^(MIN($E1902,123)-117)))*1,0))</f>
        <v>1240001159555</v>
      </c>
    </row>
    <row r="1903" ht="27.75" customHeight="1" spans="1:34" x14ac:dyDescent="0.25">
      <c r="A1903" s="3">
        <v>1913</v>
      </c>
      <c r="B1903" s="3" t="s">
        <v>155</v>
      </c>
      <c r="C1903" s="3" t="s">
        <v>1243</v>
      </c>
      <c r="D1903" s="3" t="s">
        <v>102</v>
      </c>
      <c r="E1903" s="3">
        <v>124</v>
      </c>
      <c r="F1903" s="3" t="s">
        <v>71</v>
      </c>
      <c r="G1903" s="3" t="s">
        <v>1244</v>
      </c>
      <c r="H1903" s="3">
        <v>32</v>
      </c>
      <c r="I1903" s="4">
        <v>124</v>
      </c>
      <c r="J1903" s="5">
        <v>19600000</v>
      </c>
      <c r="K1903" s="6">
        <f>$E1903+1</f>
        <v>125</v>
      </c>
      <c r="L1903" s="7">
        <f>IF($J1903=0,0,ROUND(MAX($J1903*1.4,1620000*(1.497923^(MIN($E1903,123)-117)))*1,0))</f>
        <v>27440000</v>
      </c>
      <c r="M1903" s="4">
        <f>$E1903+2</f>
        <v>126</v>
      </c>
      <c r="N1903" s="8">
        <f>IF($J1903=0,0,ROUND(MAX($J1903*1.4*1.5,2190000*(1.580994^(MIN($E1903,123)-117)))*1,0))</f>
        <v>41160000</v>
      </c>
      <c r="O1903" s="6">
        <f>$E1903+4</f>
        <v>128</v>
      </c>
      <c r="P1903" s="7">
        <f>IF($J1903=0,0,ROUND(MAX($J1903*1.4*1.5*1.6,3500000*(1.57975^(MIN($E1903,123)-117)))*1,0))</f>
        <v>65856000</v>
      </c>
      <c r="Q1903" s="4">
        <f>$E1903+6</f>
        <v>130</v>
      </c>
      <c r="R1903" s="8">
        <f>IF($J1903=0,0,ROUND(MAX($J1903*1.4*1.5*1.6*1.6,13100000*(1.429962^(MIN($E1903,123)-117)))*1,0))</f>
        <v>112000065</v>
      </c>
      <c r="S1903" s="6">
        <f>$E1903+8</f>
        <v>132</v>
      </c>
      <c r="T1903" s="7">
        <f>IF($J1903=0,0,ROUND(MAX($J1903*1.4*1.5*1.6*1.6*2.2,42600000*(1.576904^(MIN($E1903,123)-117)))*1,0))</f>
        <v>654999741</v>
      </c>
      <c r="U1903" s="4">
        <f>$E1903+11</f>
        <v>135</v>
      </c>
      <c r="V1903" s="8">
        <f>IF($J1903=0,0,ROUND(MAX($J1903*1.4*1.5*1.6*1.6*2.2*2.715,354000000*(1.642074^(MIN($E1903,123)-117)))*1,0))</f>
        <v>6940002232</v>
      </c>
      <c r="W1903" s="6">
        <f>$E1903+15</f>
        <v>139</v>
      </c>
      <c r="X1903" s="7">
        <f>IF($J1903=0,0,ROUND(MAX($J1903*1.4*1.5*1.6*1.6*2.2*2.715*2.6,3540000000*(1.579646^(MIN($E1903,123)-117)))*1,0))</f>
        <v>54999899335</v>
      </c>
      <c r="Y1903" s="4">
        <f>$E1903+17</f>
        <v>141</v>
      </c>
      <c r="Z1903" s="8">
        <f>IF($J1903=0,0,ROUND(MAX($J1903*1.4*1.5*1.6*1.6*2.2*2.715*2.6*1.4,6020000000*(1.651178^(MIN($E1903,123)-117)))*1,0))</f>
        <v>122000006103</v>
      </c>
      <c r="AA1903" s="6">
        <f>$E1903+19</f>
        <v>143</v>
      </c>
      <c r="AB1903" s="7">
        <f>IF($J1903=0,0,ROUND(MAX($J1903*1.4*1.5*1.6*1.6*2.2*2.715*2.6*1.4*1.4,8430000000*(1.651435^(MIN($E1903,123)-117)))*1,0))</f>
        <v>171000146547</v>
      </c>
      <c r="AC1903" s="4">
        <f>$E1903+21</f>
        <v>145</v>
      </c>
      <c r="AD1903" s="8">
        <f>IF($J1903=0,0,ROUND(MAX($J1903*1.4*1.5*1.6*1.6*2.2*2.715*2.6*1.4*1.4*1.5,12600000000*(1.652953^(MIN($E1903,123)-117)))*1,0))</f>
        <v>257000267475</v>
      </c>
      <c r="AE1903" s="6">
        <f>$E1903+24</f>
        <v>148</v>
      </c>
      <c r="AF1903" s="7">
        <f>IF($J1903=0,0,ROUND(MAX($J1903*1.4*1.5*1.6*1.6*2.2*2.715*2.6*1.4*1.4*1.5*1.5,18900000000*(1.65331^(MIN($E1903,123)-117)))*1,0))</f>
        <v>386000226581</v>
      </c>
      <c r="AG1903" s="4">
        <f>$E1903+27</f>
        <v>151</v>
      </c>
      <c r="AH1903" s="8">
        <f>IF($J1903=0,0,ROUND(MAX($J1903*1.4*1.5*1.6*1.6*2.2*2.715*2.6*1.4*1.4*1.5*1.5*3.2,60500000000*(1.654288^(MIN($E1903,123)-117)))*1,0))</f>
        <v>1240001159555</v>
      </c>
    </row>
    <row r="1904" ht="27.75" customHeight="1" spans="1:34" x14ac:dyDescent="0.25">
      <c r="A1904" s="3">
        <v>1914</v>
      </c>
      <c r="B1904" s="3" t="s">
        <v>182</v>
      </c>
      <c r="C1904" s="3" t="s">
        <v>1243</v>
      </c>
      <c r="D1904" s="3" t="s">
        <v>102</v>
      </c>
      <c r="E1904" s="3">
        <v>124</v>
      </c>
      <c r="F1904" s="3" t="s">
        <v>183</v>
      </c>
      <c r="G1904" s="3" t="s">
        <v>1244</v>
      </c>
      <c r="H1904" s="3">
        <v>32</v>
      </c>
      <c r="I1904" s="4">
        <v>124</v>
      </c>
      <c r="J1904" s="5">
        <v>19200000</v>
      </c>
      <c r="K1904" s="6">
        <f>$E1904+1</f>
        <v>125</v>
      </c>
      <c r="L1904" s="7">
        <f>IF($J1904=0,0,ROUND(MAX($J1904*1.4,1620000*(1.497923^(MIN($E1904,123)-117)))*1,0))</f>
        <v>26880000</v>
      </c>
      <c r="M1904" s="4">
        <f>$E1904+2</f>
        <v>126</v>
      </c>
      <c r="N1904" s="8">
        <f>IF($J1904=0,0,ROUND(MAX($J1904*1.4*1.5,2190000*(1.580994^(MIN($E1904,123)-117)))*1,0))</f>
        <v>40320000</v>
      </c>
      <c r="O1904" s="6">
        <f>$E1904+4</f>
        <v>128</v>
      </c>
      <c r="P1904" s="7">
        <f>IF($J1904=0,0,ROUND(MAX($J1904*1.4*1.5*1.6,3500000*(1.57975^(MIN($E1904,123)-117)))*1,0))</f>
        <v>64512000</v>
      </c>
      <c r="Q1904" s="4">
        <f>$E1904+6</f>
        <v>130</v>
      </c>
      <c r="R1904" s="8">
        <f>IF($J1904=0,0,ROUND(MAX($J1904*1.4*1.5*1.6*1.6,13100000*(1.429962^(MIN($E1904,123)-117)))*1,0))</f>
        <v>112000065</v>
      </c>
      <c r="S1904" s="6">
        <f>$E1904+8</f>
        <v>132</v>
      </c>
      <c r="T1904" s="7">
        <f>IF($J1904=0,0,ROUND(MAX($J1904*1.4*1.5*1.6*1.6*2.2,42600000*(1.576904^(MIN($E1904,123)-117)))*1,0))</f>
        <v>654999741</v>
      </c>
      <c r="U1904" s="4">
        <f>$E1904+11</f>
        <v>135</v>
      </c>
      <c r="V1904" s="8">
        <f>IF($J1904=0,0,ROUND(MAX($J1904*1.4*1.5*1.6*1.6*2.2*2.715,354000000*(1.642074^(MIN($E1904,123)-117)))*1,0))</f>
        <v>6940002232</v>
      </c>
      <c r="W1904" s="6">
        <f>$E1904+15</f>
        <v>139</v>
      </c>
      <c r="X1904" s="7">
        <f>IF($J1904=0,0,ROUND(MAX($J1904*1.4*1.5*1.6*1.6*2.2*2.715*2.6,3540000000*(1.579646^(MIN($E1904,123)-117)))*1,0))</f>
        <v>54999899335</v>
      </c>
      <c r="Y1904" s="4">
        <f>$E1904+17</f>
        <v>141</v>
      </c>
      <c r="Z1904" s="8">
        <f>IF($J1904=0,0,ROUND(MAX($J1904*1.4*1.5*1.6*1.6*2.2*2.715*2.6*1.4,6020000000*(1.651178^(MIN($E1904,123)-117)))*1,0))</f>
        <v>122000006103</v>
      </c>
      <c r="AA1904" s="6">
        <f>$E1904+19</f>
        <v>143</v>
      </c>
      <c r="AB1904" s="7">
        <f>IF($J1904=0,0,ROUND(MAX($J1904*1.4*1.5*1.6*1.6*2.2*2.715*2.6*1.4*1.4,8430000000*(1.651435^(MIN($E1904,123)-117)))*1,0))</f>
        <v>171000146547</v>
      </c>
      <c r="AC1904" s="4">
        <f>$E1904+21</f>
        <v>145</v>
      </c>
      <c r="AD1904" s="8">
        <f>IF($J1904=0,0,ROUND(MAX($J1904*1.4*1.5*1.6*1.6*2.2*2.715*2.6*1.4*1.4*1.5,12600000000*(1.652953^(MIN($E1904,123)-117)))*1,0))</f>
        <v>257000267475</v>
      </c>
      <c r="AE1904" s="6">
        <f>$E1904+24</f>
        <v>148</v>
      </c>
      <c r="AF1904" s="7">
        <f>IF($J1904=0,0,ROUND(MAX($J1904*1.4*1.5*1.6*1.6*2.2*2.715*2.6*1.4*1.4*1.5*1.5,18900000000*(1.65331^(MIN($E1904,123)-117)))*1,0))</f>
        <v>386000226581</v>
      </c>
      <c r="AG1904" s="4">
        <f>$E1904+27</f>
        <v>151</v>
      </c>
      <c r="AH1904" s="8">
        <f>IF($J1904=0,0,ROUND(MAX($J1904*1.4*1.5*1.6*1.6*2.2*2.715*2.6*1.4*1.4*1.5*1.5*3.2,60500000000*(1.654288^(MIN($E1904,123)-117)))*1,0))</f>
        <v>1240001159555</v>
      </c>
    </row>
    <row r="1905" ht="27.75" customHeight="1" spans="1:34" x14ac:dyDescent="0.25">
      <c r="A1905" s="3">
        <v>1915</v>
      </c>
      <c r="B1905" s="3" t="s">
        <v>232</v>
      </c>
      <c r="C1905" s="3" t="s">
        <v>1243</v>
      </c>
      <c r="D1905" s="3" t="s">
        <v>25</v>
      </c>
      <c r="E1905" s="3">
        <v>123</v>
      </c>
      <c r="F1905" s="3" t="s">
        <v>59</v>
      </c>
      <c r="G1905" s="3" t="s">
        <v>57</v>
      </c>
      <c r="H1905" s="3">
        <v>33</v>
      </c>
      <c r="I1905" s="4">
        <v>123</v>
      </c>
      <c r="J1905" s="5">
        <v>12700000</v>
      </c>
      <c r="K1905" s="6">
        <f>$E1905+1</f>
        <v>124</v>
      </c>
      <c r="L1905" s="7">
        <f>IF($J1905=0,0,ROUND(MAX($J1905*1.4,1620000*(1.497923^(MIN($E1905,123)-117)))*1,0))</f>
        <v>18300036</v>
      </c>
      <c r="M1905" s="4">
        <f>$E1905+2</f>
        <v>125</v>
      </c>
      <c r="N1905" s="8">
        <f>IF($J1905=0,0,ROUND(MAX($J1905*1.4*1.5,2190000*(1.580994^(MIN($E1905,123)-117)))*1,0))</f>
        <v>34199948</v>
      </c>
      <c r="O1905" s="6">
        <f>$E1905+4</f>
        <v>127</v>
      </c>
      <c r="P1905" s="7">
        <f>IF($J1905=0,0,ROUND(MAX($J1905*1.4*1.5*1.6,3500000*(1.57975^(MIN($E1905,123)-117)))*1,0))</f>
        <v>54399916</v>
      </c>
      <c r="Q1905" s="4">
        <f>$E1905+6</f>
        <v>129</v>
      </c>
      <c r="R1905" s="8">
        <f>IF($J1905=0,0,ROUND(MAX($J1905*1.4*1.5*1.6*1.6,13100000*(1.429962^(MIN($E1905,123)-117)))*1,0))</f>
        <v>112000065</v>
      </c>
      <c r="S1905" s="6">
        <f>$E1905+8</f>
        <v>131</v>
      </c>
      <c r="T1905" s="7">
        <f>IF($J1905=0,0,ROUND(MAX($J1905*1.4*1.5*1.6*1.6*2.2,42600000*(1.576904^(MIN($E1905,123)-117)))*1,0))</f>
        <v>654999741</v>
      </c>
      <c r="U1905" s="4">
        <f>$E1905+11</f>
        <v>134</v>
      </c>
      <c r="V1905" s="8">
        <f>IF($J1905=0,0,ROUND(MAX($J1905*1.4*1.5*1.6*1.6*2.2*2.715,354000000*(1.642074^(MIN($E1905,123)-117)))*1,0))</f>
        <v>6940002232</v>
      </c>
      <c r="W1905" s="6">
        <f>$E1905+15</f>
        <v>138</v>
      </c>
      <c r="X1905" s="7">
        <f>IF($J1905=0,0,ROUND(MAX($J1905*1.4*1.5*1.6*1.6*2.2*2.715*2.6,3540000000*(1.579646^(MIN($E1905,123)-117)))*1,0))</f>
        <v>54999899335</v>
      </c>
      <c r="Y1905" s="4">
        <f>$E1905+17</f>
        <v>140</v>
      </c>
      <c r="Z1905" s="8">
        <f>IF($J1905=0,0,ROUND(MAX($J1905*1.4*1.5*1.6*1.6*2.2*2.715*2.6*1.4,6020000000*(1.651178^(MIN($E1905,123)-117)))*1,0))</f>
        <v>122000006103</v>
      </c>
      <c r="AA1905" s="6">
        <f>$E1905+19</f>
        <v>142</v>
      </c>
      <c r="AB1905" s="7">
        <f>IF($J1905=0,0,ROUND(MAX($J1905*1.4*1.5*1.6*1.6*2.2*2.715*2.6*1.4*1.4,8430000000*(1.651435^(MIN($E1905,123)-117)))*1,0))</f>
        <v>171000146547</v>
      </c>
      <c r="AC1905" s="4">
        <f>$E1905+21</f>
        <v>144</v>
      </c>
      <c r="AD1905" s="8">
        <f>IF($J1905=0,0,ROUND(MAX($J1905*1.4*1.5*1.6*1.6*2.2*2.715*2.6*1.4*1.4*1.5,12600000000*(1.652953^(MIN($E1905,123)-117)))*1,0))</f>
        <v>257000267475</v>
      </c>
      <c r="AE1905" s="6">
        <f>$E1905+24</f>
        <v>147</v>
      </c>
      <c r="AF1905" s="7">
        <f>IF($J1905=0,0,ROUND(MAX($J1905*1.4*1.5*1.6*1.6*2.2*2.715*2.6*1.4*1.4*1.5*1.5,18900000000*(1.65331^(MIN($E1905,123)-117)))*1,0))</f>
        <v>386000226581</v>
      </c>
      <c r="AG1905" s="4">
        <f>$E1905+27</f>
        <v>150</v>
      </c>
      <c r="AH1905" s="8">
        <f>IF($J1905=0,0,ROUND(MAX($J1905*1.4*1.5*1.6*1.6*2.2*2.715*2.6*1.4*1.4*1.5*1.5*3.2,60500000000*(1.654288^(MIN($E1905,123)-117)))*1,0))</f>
        <v>1240001159555</v>
      </c>
    </row>
    <row r="1906" ht="27.75" customHeight="1" spans="1:34" x14ac:dyDescent="0.25">
      <c r="A1906" s="3">
        <v>1916</v>
      </c>
      <c r="B1906" s="3" t="s">
        <v>1179</v>
      </c>
      <c r="C1906" s="3" t="s">
        <v>1243</v>
      </c>
      <c r="D1906" s="3" t="s">
        <v>79</v>
      </c>
      <c r="E1906" s="3">
        <v>123</v>
      </c>
      <c r="F1906" s="3" t="s">
        <v>42</v>
      </c>
      <c r="G1906" s="3" t="s">
        <v>171</v>
      </c>
      <c r="H1906" s="3">
        <v>32</v>
      </c>
      <c r="I1906" s="4">
        <v>123</v>
      </c>
      <c r="J1906" s="5">
        <v>10100000</v>
      </c>
      <c r="K1906" s="6">
        <f>$E1906+1</f>
        <v>124</v>
      </c>
      <c r="L1906" s="7">
        <f>IF($J1906=0,0,ROUND(MAX($J1906*1.4,1620000*(1.497923^(MIN($E1906,123)-117)))*1,0))</f>
        <v>18300036</v>
      </c>
      <c r="M1906" s="4">
        <f>$E1906+2</f>
        <v>125</v>
      </c>
      <c r="N1906" s="8">
        <f>IF($J1906=0,0,ROUND(MAX($J1906*1.4*1.5,2190000*(1.580994^(MIN($E1906,123)-117)))*1,0))</f>
        <v>34199948</v>
      </c>
      <c r="O1906" s="6">
        <f>$E1906+4</f>
        <v>127</v>
      </c>
      <c r="P1906" s="7">
        <f>IF($J1906=0,0,ROUND(MAX($J1906*1.4*1.5*1.6,3500000*(1.57975^(MIN($E1906,123)-117)))*1,0))</f>
        <v>54399916</v>
      </c>
      <c r="Q1906" s="4">
        <f>$E1906+6</f>
        <v>129</v>
      </c>
      <c r="R1906" s="8">
        <f>IF($J1906=0,0,ROUND(MAX($J1906*1.4*1.5*1.6*1.6,13100000*(1.429962^(MIN($E1906,123)-117)))*1,0))</f>
        <v>112000065</v>
      </c>
      <c r="S1906" s="6">
        <f>$E1906+8</f>
        <v>131</v>
      </c>
      <c r="T1906" s="7">
        <f>IF($J1906=0,0,ROUND(MAX($J1906*1.4*1.5*1.6*1.6*2.2,42600000*(1.576904^(MIN($E1906,123)-117)))*1,0))</f>
        <v>654999741</v>
      </c>
      <c r="U1906" s="4">
        <f>$E1906+11</f>
        <v>134</v>
      </c>
      <c r="V1906" s="8">
        <f>IF($J1906=0,0,ROUND(MAX($J1906*1.4*1.5*1.6*1.6*2.2*2.715,354000000*(1.642074^(MIN($E1906,123)-117)))*1,0))</f>
        <v>6940002232</v>
      </c>
      <c r="W1906" s="6">
        <f>$E1906+15</f>
        <v>138</v>
      </c>
      <c r="X1906" s="7">
        <f>IF($J1906=0,0,ROUND(MAX($J1906*1.4*1.5*1.6*1.6*2.2*2.715*2.6,3540000000*(1.579646^(MIN($E1906,123)-117)))*1,0))</f>
        <v>54999899335</v>
      </c>
      <c r="Y1906" s="4">
        <f>$E1906+17</f>
        <v>140</v>
      </c>
      <c r="Z1906" s="8">
        <f>IF($J1906=0,0,ROUND(MAX($J1906*1.4*1.5*1.6*1.6*2.2*2.715*2.6*1.4,6020000000*(1.651178^(MIN($E1906,123)-117)))*1,0))</f>
        <v>122000006103</v>
      </c>
      <c r="AA1906" s="6">
        <f>$E1906+19</f>
        <v>142</v>
      </c>
      <c r="AB1906" s="7">
        <f>IF($J1906=0,0,ROUND(MAX($J1906*1.4*1.5*1.6*1.6*2.2*2.715*2.6*1.4*1.4,8430000000*(1.651435^(MIN($E1906,123)-117)))*1,0))</f>
        <v>171000146547</v>
      </c>
      <c r="AC1906" s="4">
        <f>$E1906+21</f>
        <v>144</v>
      </c>
      <c r="AD1906" s="8">
        <f>IF($J1906=0,0,ROUND(MAX($J1906*1.4*1.5*1.6*1.6*2.2*2.715*2.6*1.4*1.4*1.5,12600000000*(1.652953^(MIN($E1906,123)-117)))*1,0))</f>
        <v>257000267475</v>
      </c>
      <c r="AE1906" s="6">
        <f>$E1906+24</f>
        <v>147</v>
      </c>
      <c r="AF1906" s="7">
        <f>IF($J1906=0,0,ROUND(MAX($J1906*1.4*1.5*1.6*1.6*2.2*2.715*2.6*1.4*1.4*1.5*1.5,18900000000*(1.65331^(MIN($E1906,123)-117)))*1,0))</f>
        <v>386000226581</v>
      </c>
      <c r="AG1906" s="4">
        <f>$E1906+27</f>
        <v>150</v>
      </c>
      <c r="AH1906" s="8">
        <f>IF($J1906=0,0,ROUND(MAX($J1906*1.4*1.5*1.6*1.6*2.2*2.715*2.6*1.4*1.4*1.5*1.5*3.2,60500000000*(1.654288^(MIN($E1906,123)-117)))*1,0))</f>
        <v>1240001159555</v>
      </c>
    </row>
    <row r="1907" ht="27.75" customHeight="1" spans="1:34" x14ac:dyDescent="0.25">
      <c r="A1907" s="3">
        <v>1917</v>
      </c>
      <c r="B1907" s="3" t="s">
        <v>211</v>
      </c>
      <c r="C1907" s="3" t="s">
        <v>1243</v>
      </c>
      <c r="D1907" s="3" t="s">
        <v>40</v>
      </c>
      <c r="E1907" s="3">
        <v>123</v>
      </c>
      <c r="F1907" s="3" t="s">
        <v>212</v>
      </c>
      <c r="G1907" s="3" t="s">
        <v>1244</v>
      </c>
      <c r="H1907" s="3">
        <v>32</v>
      </c>
      <c r="I1907" s="4">
        <v>123</v>
      </c>
      <c r="J1907" s="5">
        <v>12400000</v>
      </c>
      <c r="K1907" s="6">
        <f>$E1907+1</f>
        <v>124</v>
      </c>
      <c r="L1907" s="7">
        <f>IF($J1907=0,0,ROUND(MAX($J1907*1.4,1620000*(1.497923^(MIN($E1907,123)-117)))*1,0))</f>
        <v>18300036</v>
      </c>
      <c r="M1907" s="4">
        <f>$E1907+2</f>
        <v>125</v>
      </c>
      <c r="N1907" s="8">
        <f>IF($J1907=0,0,ROUND(MAX($J1907*1.4*1.5,2190000*(1.580994^(MIN($E1907,123)-117)))*1,0))</f>
        <v>34199948</v>
      </c>
      <c r="O1907" s="6">
        <f>$E1907+4</f>
        <v>127</v>
      </c>
      <c r="P1907" s="7">
        <f>IF($J1907=0,0,ROUND(MAX($J1907*1.4*1.5*1.6,3500000*(1.57975^(MIN($E1907,123)-117)))*1,0))</f>
        <v>54399916</v>
      </c>
      <c r="Q1907" s="4">
        <f>$E1907+6</f>
        <v>129</v>
      </c>
      <c r="R1907" s="8">
        <f>IF($J1907=0,0,ROUND(MAX($J1907*1.4*1.5*1.6*1.6,13100000*(1.429962^(MIN($E1907,123)-117)))*1,0))</f>
        <v>112000065</v>
      </c>
      <c r="S1907" s="6">
        <f>$E1907+8</f>
        <v>131</v>
      </c>
      <c r="T1907" s="7">
        <f>IF($J1907=0,0,ROUND(MAX($J1907*1.4*1.5*1.6*1.6*2.2,42600000*(1.576904^(MIN($E1907,123)-117)))*1,0))</f>
        <v>654999741</v>
      </c>
      <c r="U1907" s="4">
        <f>$E1907+11</f>
        <v>134</v>
      </c>
      <c r="V1907" s="8">
        <f>IF($J1907=0,0,ROUND(MAX($J1907*1.4*1.5*1.6*1.6*2.2*2.715,354000000*(1.642074^(MIN($E1907,123)-117)))*1,0))</f>
        <v>6940002232</v>
      </c>
      <c r="W1907" s="6">
        <f>$E1907+15</f>
        <v>138</v>
      </c>
      <c r="X1907" s="7">
        <f>IF($J1907=0,0,ROUND(MAX($J1907*1.4*1.5*1.6*1.6*2.2*2.715*2.6,3540000000*(1.579646^(MIN($E1907,123)-117)))*1,0))</f>
        <v>54999899335</v>
      </c>
      <c r="Y1907" s="4">
        <f>$E1907+17</f>
        <v>140</v>
      </c>
      <c r="Z1907" s="8">
        <f>IF($J1907=0,0,ROUND(MAX($J1907*1.4*1.5*1.6*1.6*2.2*2.715*2.6*1.4,6020000000*(1.651178^(MIN($E1907,123)-117)))*1,0))</f>
        <v>122000006103</v>
      </c>
      <c r="AA1907" s="6">
        <f>$E1907+19</f>
        <v>142</v>
      </c>
      <c r="AB1907" s="7">
        <f>IF($J1907=0,0,ROUND(MAX($J1907*1.4*1.5*1.6*1.6*2.2*2.715*2.6*1.4*1.4,8430000000*(1.651435^(MIN($E1907,123)-117)))*1,0))</f>
        <v>171000146547</v>
      </c>
      <c r="AC1907" s="4">
        <f>$E1907+21</f>
        <v>144</v>
      </c>
      <c r="AD1907" s="8">
        <f>IF($J1907=0,0,ROUND(MAX($J1907*1.4*1.5*1.6*1.6*2.2*2.715*2.6*1.4*1.4*1.5,12600000000*(1.652953^(MIN($E1907,123)-117)))*1,0))</f>
        <v>257000267475</v>
      </c>
      <c r="AE1907" s="6">
        <f>$E1907+24</f>
        <v>147</v>
      </c>
      <c r="AF1907" s="7">
        <f>IF($J1907=0,0,ROUND(MAX($J1907*1.4*1.5*1.6*1.6*2.2*2.715*2.6*1.4*1.4*1.5*1.5,18900000000*(1.65331^(MIN($E1907,123)-117)))*1,0))</f>
        <v>386000226581</v>
      </c>
      <c r="AG1907" s="4">
        <f>$E1907+27</f>
        <v>150</v>
      </c>
      <c r="AH1907" s="8">
        <f>IF($J1907=0,0,ROUND(MAX($J1907*1.4*1.5*1.6*1.6*2.2*2.715*2.6*1.4*1.4*1.5*1.5*3.2,60500000000*(1.654288^(MIN($E1907,123)-117)))*1,0))</f>
        <v>1240001159555</v>
      </c>
    </row>
    <row r="1908" ht="27.75" customHeight="1" spans="1:34" x14ac:dyDescent="0.25">
      <c r="A1908" s="3">
        <v>1918</v>
      </c>
      <c r="B1908" s="3" t="s">
        <v>928</v>
      </c>
      <c r="C1908" s="3" t="s">
        <v>1243</v>
      </c>
      <c r="D1908" s="3" t="s">
        <v>64</v>
      </c>
      <c r="E1908" s="3">
        <v>123</v>
      </c>
      <c r="F1908" s="3" t="s">
        <v>62</v>
      </c>
      <c r="G1908" s="3" t="s">
        <v>699</v>
      </c>
      <c r="H1908" s="3">
        <v>32</v>
      </c>
      <c r="I1908" s="4">
        <v>123</v>
      </c>
      <c r="J1908" s="5">
        <v>12900000</v>
      </c>
      <c r="K1908" s="6">
        <f>$E1908+1</f>
        <v>124</v>
      </c>
      <c r="L1908" s="7">
        <f>IF($J1908=0,0,ROUND(MAX($J1908*1.4,1620000*(1.497923^(MIN($E1908,123)-117)))*1,0))</f>
        <v>18300036</v>
      </c>
      <c r="M1908" s="4">
        <f>$E1908+2</f>
        <v>125</v>
      </c>
      <c r="N1908" s="8">
        <f>IF($J1908=0,0,ROUND(MAX($J1908*1.4*1.5,2190000*(1.580994^(MIN($E1908,123)-117)))*1,0))</f>
        <v>34199948</v>
      </c>
      <c r="O1908" s="6">
        <f>$E1908+4</f>
        <v>127</v>
      </c>
      <c r="P1908" s="7">
        <f>IF($J1908=0,0,ROUND(MAX($J1908*1.4*1.5*1.6,3500000*(1.57975^(MIN($E1908,123)-117)))*1,0))</f>
        <v>54399916</v>
      </c>
      <c r="Q1908" s="4">
        <f>$E1908+6</f>
        <v>129</v>
      </c>
      <c r="R1908" s="8">
        <f>IF($J1908=0,0,ROUND(MAX($J1908*1.4*1.5*1.6*1.6,13100000*(1.429962^(MIN($E1908,123)-117)))*1,0))</f>
        <v>112000065</v>
      </c>
      <c r="S1908" s="6">
        <f>$E1908+8</f>
        <v>131</v>
      </c>
      <c r="T1908" s="7">
        <f>IF($J1908=0,0,ROUND(MAX($J1908*1.4*1.5*1.6*1.6*2.2,42600000*(1.576904^(MIN($E1908,123)-117)))*1,0))</f>
        <v>654999741</v>
      </c>
      <c r="U1908" s="4">
        <f>$E1908+11</f>
        <v>134</v>
      </c>
      <c r="V1908" s="8">
        <f>IF($J1908=0,0,ROUND(MAX($J1908*1.4*1.5*1.6*1.6*2.2*2.715,354000000*(1.642074^(MIN($E1908,123)-117)))*1,0))</f>
        <v>6940002232</v>
      </c>
      <c r="W1908" s="6">
        <f>$E1908+15</f>
        <v>138</v>
      </c>
      <c r="X1908" s="7">
        <f>IF($J1908=0,0,ROUND(MAX($J1908*1.4*1.5*1.6*1.6*2.2*2.715*2.6,3540000000*(1.579646^(MIN($E1908,123)-117)))*1,0))</f>
        <v>54999899335</v>
      </c>
      <c r="Y1908" s="4">
        <f>$E1908+17</f>
        <v>140</v>
      </c>
      <c r="Z1908" s="8">
        <f>IF($J1908=0,0,ROUND(MAX($J1908*1.4*1.5*1.6*1.6*2.2*2.715*2.6*1.4,6020000000*(1.651178^(MIN($E1908,123)-117)))*1,0))</f>
        <v>122000006103</v>
      </c>
      <c r="AA1908" s="6">
        <f>$E1908+19</f>
        <v>142</v>
      </c>
      <c r="AB1908" s="7">
        <f>IF($J1908=0,0,ROUND(MAX($J1908*1.4*1.5*1.6*1.6*2.2*2.715*2.6*1.4*1.4,8430000000*(1.651435^(MIN($E1908,123)-117)))*1,0))</f>
        <v>171000146547</v>
      </c>
      <c r="AC1908" s="4">
        <f>$E1908+21</f>
        <v>144</v>
      </c>
      <c r="AD1908" s="8">
        <f>IF($J1908=0,0,ROUND(MAX($J1908*1.4*1.5*1.6*1.6*2.2*2.715*2.6*1.4*1.4*1.5,12600000000*(1.652953^(MIN($E1908,123)-117)))*1,0))</f>
        <v>257000267475</v>
      </c>
      <c r="AE1908" s="6">
        <f>$E1908+24</f>
        <v>147</v>
      </c>
      <c r="AF1908" s="7">
        <f>IF($J1908=0,0,ROUND(MAX($J1908*1.4*1.5*1.6*1.6*2.2*2.715*2.6*1.4*1.4*1.5*1.5,18900000000*(1.65331^(MIN($E1908,123)-117)))*1,0))</f>
        <v>386000226581</v>
      </c>
      <c r="AG1908" s="4">
        <f>$E1908+27</f>
        <v>150</v>
      </c>
      <c r="AH1908" s="8">
        <f>IF($J1908=0,0,ROUND(MAX($J1908*1.4*1.5*1.6*1.6*2.2*2.715*2.6*1.4*1.4*1.5*1.5*3.2,60500000000*(1.654288^(MIN($E1908,123)-117)))*1,0))</f>
        <v>1240001159555</v>
      </c>
    </row>
    <row r="1909" ht="27.75" customHeight="1" spans="1:34" x14ac:dyDescent="0.25">
      <c r="A1909" s="3">
        <v>1919</v>
      </c>
      <c r="B1909" s="3" t="s">
        <v>633</v>
      </c>
      <c r="C1909" s="3" t="s">
        <v>1243</v>
      </c>
      <c r="D1909" s="3" t="s">
        <v>45</v>
      </c>
      <c r="E1909" s="3">
        <v>123</v>
      </c>
      <c r="F1909" s="3" t="s">
        <v>267</v>
      </c>
      <c r="G1909" s="3" t="s">
        <v>242</v>
      </c>
      <c r="H1909" s="3">
        <v>32</v>
      </c>
      <c r="I1909" s="4">
        <v>123</v>
      </c>
      <c r="J1909" s="5">
        <v>12900000</v>
      </c>
      <c r="K1909" s="6">
        <f>$E1909+1</f>
        <v>124</v>
      </c>
      <c r="L1909" s="7">
        <f>IF($J1909=0,0,ROUND(MAX($J1909*1.4,1620000*(1.497923^(MIN($E1909,123)-117)))*1,0))</f>
        <v>18300036</v>
      </c>
      <c r="M1909" s="4">
        <f>$E1909+2</f>
        <v>125</v>
      </c>
      <c r="N1909" s="8">
        <f>IF($J1909=0,0,ROUND(MAX($J1909*1.4*1.5,2190000*(1.580994^(MIN($E1909,123)-117)))*1,0))</f>
        <v>34199948</v>
      </c>
      <c r="O1909" s="6">
        <f>$E1909+4</f>
        <v>127</v>
      </c>
      <c r="P1909" s="7">
        <f>IF($J1909=0,0,ROUND(MAX($J1909*1.4*1.5*1.6,3500000*(1.57975^(MIN($E1909,123)-117)))*1,0))</f>
        <v>54399916</v>
      </c>
      <c r="Q1909" s="4">
        <f>$E1909+6</f>
        <v>129</v>
      </c>
      <c r="R1909" s="8">
        <f>IF($J1909=0,0,ROUND(MAX($J1909*1.4*1.5*1.6*1.6,13100000*(1.429962^(MIN($E1909,123)-117)))*1,0))</f>
        <v>112000065</v>
      </c>
      <c r="S1909" s="6">
        <f>$E1909+8</f>
        <v>131</v>
      </c>
      <c r="T1909" s="7">
        <f>IF($J1909=0,0,ROUND(MAX($J1909*1.4*1.5*1.6*1.6*2.2,42600000*(1.576904^(MIN($E1909,123)-117)))*1,0))</f>
        <v>654999741</v>
      </c>
      <c r="U1909" s="4">
        <f>$E1909+11</f>
        <v>134</v>
      </c>
      <c r="V1909" s="8">
        <f>IF($J1909=0,0,ROUND(MAX($J1909*1.4*1.5*1.6*1.6*2.2*2.715,354000000*(1.642074^(MIN($E1909,123)-117)))*1,0))</f>
        <v>6940002232</v>
      </c>
      <c r="W1909" s="6">
        <f>$E1909+15</f>
        <v>138</v>
      </c>
      <c r="X1909" s="7">
        <f>IF($J1909=0,0,ROUND(MAX($J1909*1.4*1.5*1.6*1.6*2.2*2.715*2.6,3540000000*(1.579646^(MIN($E1909,123)-117)))*1,0))</f>
        <v>54999899335</v>
      </c>
      <c r="Y1909" s="4">
        <f>$E1909+17</f>
        <v>140</v>
      </c>
      <c r="Z1909" s="8">
        <f>IF($J1909=0,0,ROUND(MAX($J1909*1.4*1.5*1.6*1.6*2.2*2.715*2.6*1.4,6020000000*(1.651178^(MIN($E1909,123)-117)))*1,0))</f>
        <v>122000006103</v>
      </c>
      <c r="AA1909" s="6">
        <f>$E1909+19</f>
        <v>142</v>
      </c>
      <c r="AB1909" s="7">
        <f>IF($J1909=0,0,ROUND(MAX($J1909*1.4*1.5*1.6*1.6*2.2*2.715*2.6*1.4*1.4,8430000000*(1.651435^(MIN($E1909,123)-117)))*1,0))</f>
        <v>171000146547</v>
      </c>
      <c r="AC1909" s="4">
        <f>$E1909+21</f>
        <v>144</v>
      </c>
      <c r="AD1909" s="8">
        <f>IF($J1909=0,0,ROUND(MAX($J1909*1.4*1.5*1.6*1.6*2.2*2.715*2.6*1.4*1.4*1.5,12600000000*(1.652953^(MIN($E1909,123)-117)))*1,0))</f>
        <v>257000267475</v>
      </c>
      <c r="AE1909" s="6">
        <f>$E1909+24</f>
        <v>147</v>
      </c>
      <c r="AF1909" s="7">
        <f>IF($J1909=0,0,ROUND(MAX($J1909*1.4*1.5*1.6*1.6*2.2*2.715*2.6*1.4*1.4*1.5*1.5,18900000000*(1.65331^(MIN($E1909,123)-117)))*1,0))</f>
        <v>386000226581</v>
      </c>
      <c r="AG1909" s="4">
        <f>$E1909+27</f>
        <v>150</v>
      </c>
      <c r="AH1909" s="8">
        <f>IF($J1909=0,0,ROUND(MAX($J1909*1.4*1.5*1.6*1.6*2.2*2.715*2.6*1.4*1.4*1.5*1.5*3.2,60500000000*(1.654288^(MIN($E1909,123)-117)))*1,0))</f>
        <v>1240001159555</v>
      </c>
    </row>
    <row r="1910" ht="27.75" customHeight="1" spans="1:34" x14ac:dyDescent="0.25">
      <c r="A1910" s="3">
        <v>1920</v>
      </c>
      <c r="B1910" s="3" t="s">
        <v>778</v>
      </c>
      <c r="C1910" s="3" t="s">
        <v>1243</v>
      </c>
      <c r="D1910" s="3" t="s">
        <v>25</v>
      </c>
      <c r="E1910" s="3">
        <v>123</v>
      </c>
      <c r="F1910" s="3" t="s">
        <v>71</v>
      </c>
      <c r="G1910" s="3" t="s">
        <v>329</v>
      </c>
      <c r="H1910" s="3">
        <v>32</v>
      </c>
      <c r="I1910" s="4">
        <v>123</v>
      </c>
      <c r="J1910" s="5">
        <v>13900000</v>
      </c>
      <c r="K1910" s="6">
        <f>$E1910+1</f>
        <v>124</v>
      </c>
      <c r="L1910" s="7">
        <f>IF($J1910=0,0,ROUND(MAX($J1910*1.4,1620000*(1.497923^(MIN($E1910,123)-117)))*1,0))</f>
        <v>19460000</v>
      </c>
      <c r="M1910" s="4">
        <f>$E1910+2</f>
        <v>125</v>
      </c>
      <c r="N1910" s="8">
        <f>IF($J1910=0,0,ROUND(MAX($J1910*1.4*1.5,2190000*(1.580994^(MIN($E1910,123)-117)))*1,0))</f>
        <v>34199948</v>
      </c>
      <c r="O1910" s="6">
        <f>$E1910+4</f>
        <v>127</v>
      </c>
      <c r="P1910" s="7">
        <f>IF($J1910=0,0,ROUND(MAX($J1910*1.4*1.5*1.6,3500000*(1.57975^(MIN($E1910,123)-117)))*1,0))</f>
        <v>54399916</v>
      </c>
      <c r="Q1910" s="4">
        <f>$E1910+6</f>
        <v>129</v>
      </c>
      <c r="R1910" s="8">
        <f>IF($J1910=0,0,ROUND(MAX($J1910*1.4*1.5*1.6*1.6,13100000*(1.429962^(MIN($E1910,123)-117)))*1,0))</f>
        <v>112000065</v>
      </c>
      <c r="S1910" s="6">
        <f>$E1910+8</f>
        <v>131</v>
      </c>
      <c r="T1910" s="7">
        <f>IF($J1910=0,0,ROUND(MAX($J1910*1.4*1.5*1.6*1.6*2.2,42600000*(1.576904^(MIN($E1910,123)-117)))*1,0))</f>
        <v>654999741</v>
      </c>
      <c r="U1910" s="4">
        <f>$E1910+11</f>
        <v>134</v>
      </c>
      <c r="V1910" s="8">
        <f>IF($J1910=0,0,ROUND(MAX($J1910*1.4*1.5*1.6*1.6*2.2*2.715,354000000*(1.642074^(MIN($E1910,123)-117)))*1,0))</f>
        <v>6940002232</v>
      </c>
      <c r="W1910" s="6">
        <f>$E1910+15</f>
        <v>138</v>
      </c>
      <c r="X1910" s="7">
        <f>IF($J1910=0,0,ROUND(MAX($J1910*1.4*1.5*1.6*1.6*2.2*2.715*2.6,3540000000*(1.579646^(MIN($E1910,123)-117)))*1,0))</f>
        <v>54999899335</v>
      </c>
      <c r="Y1910" s="4">
        <f>$E1910+17</f>
        <v>140</v>
      </c>
      <c r="Z1910" s="8">
        <f>IF($J1910=0,0,ROUND(MAX($J1910*1.4*1.5*1.6*1.6*2.2*2.715*2.6*1.4,6020000000*(1.651178^(MIN($E1910,123)-117)))*1,0))</f>
        <v>122000006103</v>
      </c>
      <c r="AA1910" s="6">
        <f>$E1910+19</f>
        <v>142</v>
      </c>
      <c r="AB1910" s="7">
        <f>IF($J1910=0,0,ROUND(MAX($J1910*1.4*1.5*1.6*1.6*2.2*2.715*2.6*1.4*1.4,8430000000*(1.651435^(MIN($E1910,123)-117)))*1,0))</f>
        <v>171000146547</v>
      </c>
      <c r="AC1910" s="4">
        <f>$E1910+21</f>
        <v>144</v>
      </c>
      <c r="AD1910" s="8">
        <f>IF($J1910=0,0,ROUND(MAX($J1910*1.4*1.5*1.6*1.6*2.2*2.715*2.6*1.4*1.4*1.5,12600000000*(1.652953^(MIN($E1910,123)-117)))*1,0))</f>
        <v>257000267475</v>
      </c>
      <c r="AE1910" s="6">
        <f>$E1910+24</f>
        <v>147</v>
      </c>
      <c r="AF1910" s="7">
        <f>IF($J1910=0,0,ROUND(MAX($J1910*1.4*1.5*1.6*1.6*2.2*2.715*2.6*1.4*1.4*1.5*1.5,18900000000*(1.65331^(MIN($E1910,123)-117)))*1,0))</f>
        <v>386000226581</v>
      </c>
      <c r="AG1910" s="4">
        <f>$E1910+27</f>
        <v>150</v>
      </c>
      <c r="AH1910" s="8">
        <f>IF($J1910=0,0,ROUND(MAX($J1910*1.4*1.5*1.6*1.6*2.2*2.715*2.6*1.4*1.4*1.5*1.5*3.2,60500000000*(1.654288^(MIN($E1910,123)-117)))*1,0))</f>
        <v>1240001159555</v>
      </c>
    </row>
    <row r="1911" ht="27.75" customHeight="1" spans="1:34" x14ac:dyDescent="0.25">
      <c r="A1911" s="3">
        <v>1921</v>
      </c>
      <c r="B1911" s="3" t="s">
        <v>677</v>
      </c>
      <c r="C1911" s="3" t="s">
        <v>1243</v>
      </c>
      <c r="D1911" s="3" t="s">
        <v>45</v>
      </c>
      <c r="E1911" s="3">
        <v>123</v>
      </c>
      <c r="F1911" s="3" t="s">
        <v>71</v>
      </c>
      <c r="G1911" s="3" t="s">
        <v>326</v>
      </c>
      <c r="H1911" s="3">
        <v>32</v>
      </c>
      <c r="I1911" s="4">
        <v>123</v>
      </c>
      <c r="J1911" s="5">
        <v>13600000</v>
      </c>
      <c r="K1911" s="6">
        <f>$E1911+1</f>
        <v>124</v>
      </c>
      <c r="L1911" s="7">
        <f>IF($J1911=0,0,ROUND(MAX($J1911*1.4,1620000*(1.497923^(MIN($E1911,123)-117)))*1,0))</f>
        <v>19040000</v>
      </c>
      <c r="M1911" s="4">
        <f>$E1911+2</f>
        <v>125</v>
      </c>
      <c r="N1911" s="8">
        <f>IF($J1911=0,0,ROUND(MAX($J1911*1.4*1.5,2190000*(1.580994^(MIN($E1911,123)-117)))*1,0))</f>
        <v>34199948</v>
      </c>
      <c r="O1911" s="6">
        <f>$E1911+4</f>
        <v>127</v>
      </c>
      <c r="P1911" s="7">
        <f>IF($J1911=0,0,ROUND(MAX($J1911*1.4*1.5*1.6,3500000*(1.57975^(MIN($E1911,123)-117)))*1,0))</f>
        <v>54399916</v>
      </c>
      <c r="Q1911" s="4">
        <f>$E1911+6</f>
        <v>129</v>
      </c>
      <c r="R1911" s="8">
        <f>IF($J1911=0,0,ROUND(MAX($J1911*1.4*1.5*1.6*1.6,13100000*(1.429962^(MIN($E1911,123)-117)))*1,0))</f>
        <v>112000065</v>
      </c>
      <c r="S1911" s="6">
        <f>$E1911+8</f>
        <v>131</v>
      </c>
      <c r="T1911" s="7">
        <f>IF($J1911=0,0,ROUND(MAX($J1911*1.4*1.5*1.6*1.6*2.2,42600000*(1.576904^(MIN($E1911,123)-117)))*1,0))</f>
        <v>654999741</v>
      </c>
      <c r="U1911" s="4">
        <f>$E1911+11</f>
        <v>134</v>
      </c>
      <c r="V1911" s="8">
        <f>IF($J1911=0,0,ROUND(MAX($J1911*1.4*1.5*1.6*1.6*2.2*2.715,354000000*(1.642074^(MIN($E1911,123)-117)))*1,0))</f>
        <v>6940002232</v>
      </c>
      <c r="W1911" s="6">
        <f>$E1911+15</f>
        <v>138</v>
      </c>
      <c r="X1911" s="7">
        <f>IF($J1911=0,0,ROUND(MAX($J1911*1.4*1.5*1.6*1.6*2.2*2.715*2.6,3540000000*(1.579646^(MIN($E1911,123)-117)))*1,0))</f>
        <v>54999899335</v>
      </c>
      <c r="Y1911" s="4">
        <f>$E1911+17</f>
        <v>140</v>
      </c>
      <c r="Z1911" s="8">
        <f>IF($J1911=0,0,ROUND(MAX($J1911*1.4*1.5*1.6*1.6*2.2*2.715*2.6*1.4,6020000000*(1.651178^(MIN($E1911,123)-117)))*1,0))</f>
        <v>122000006103</v>
      </c>
      <c r="AA1911" s="6">
        <f>$E1911+19</f>
        <v>142</v>
      </c>
      <c r="AB1911" s="7">
        <f>IF($J1911=0,0,ROUND(MAX($J1911*1.4*1.5*1.6*1.6*2.2*2.715*2.6*1.4*1.4,8430000000*(1.651435^(MIN($E1911,123)-117)))*1,0))</f>
        <v>171000146547</v>
      </c>
      <c r="AC1911" s="4">
        <f>$E1911+21</f>
        <v>144</v>
      </c>
      <c r="AD1911" s="8">
        <f>IF($J1911=0,0,ROUND(MAX($J1911*1.4*1.5*1.6*1.6*2.2*2.715*2.6*1.4*1.4*1.5,12600000000*(1.652953^(MIN($E1911,123)-117)))*1,0))</f>
        <v>257000267475</v>
      </c>
      <c r="AE1911" s="6">
        <f>$E1911+24</f>
        <v>147</v>
      </c>
      <c r="AF1911" s="7">
        <f>IF($J1911=0,0,ROUND(MAX($J1911*1.4*1.5*1.6*1.6*2.2*2.715*2.6*1.4*1.4*1.5*1.5,18900000000*(1.65331^(MIN($E1911,123)-117)))*1,0))</f>
        <v>386000226581</v>
      </c>
      <c r="AG1911" s="4">
        <f>$E1911+27</f>
        <v>150</v>
      </c>
      <c r="AH1911" s="8">
        <f>IF($J1911=0,0,ROUND(MAX($J1911*1.4*1.5*1.6*1.6*2.2*2.715*2.6*1.4*1.4*1.5*1.5*3.2,60500000000*(1.654288^(MIN($E1911,123)-117)))*1,0))</f>
        <v>1240001159555</v>
      </c>
    </row>
    <row r="1912" ht="27.75" customHeight="1" spans="1:34" x14ac:dyDescent="0.25">
      <c r="A1912" s="3">
        <v>1922</v>
      </c>
      <c r="B1912" s="3" t="s">
        <v>150</v>
      </c>
      <c r="C1912" s="3" t="s">
        <v>1243</v>
      </c>
      <c r="D1912" s="3" t="s">
        <v>33</v>
      </c>
      <c r="E1912" s="3">
        <v>123</v>
      </c>
      <c r="F1912" s="3" t="s">
        <v>42</v>
      </c>
      <c r="G1912" s="3" t="s">
        <v>1244</v>
      </c>
      <c r="H1912" s="3">
        <v>32</v>
      </c>
      <c r="I1912" s="4">
        <v>123</v>
      </c>
      <c r="J1912" s="5">
        <v>13000000</v>
      </c>
      <c r="K1912" s="6">
        <f>$E1912+1</f>
        <v>124</v>
      </c>
      <c r="L1912" s="7">
        <f>IF($J1912=0,0,ROUND(MAX($J1912*1.4,1620000*(1.497923^(MIN($E1912,123)-117)))*1,0))</f>
        <v>18300036</v>
      </c>
      <c r="M1912" s="4">
        <f>$E1912+2</f>
        <v>125</v>
      </c>
      <c r="N1912" s="8">
        <f>IF($J1912=0,0,ROUND(MAX($J1912*1.4*1.5,2190000*(1.580994^(MIN($E1912,123)-117)))*1,0))</f>
        <v>34199948</v>
      </c>
      <c r="O1912" s="6">
        <f>$E1912+4</f>
        <v>127</v>
      </c>
      <c r="P1912" s="7">
        <f>IF($J1912=0,0,ROUND(MAX($J1912*1.4*1.5*1.6,3500000*(1.57975^(MIN($E1912,123)-117)))*1,0))</f>
        <v>54399916</v>
      </c>
      <c r="Q1912" s="4">
        <f>$E1912+6</f>
        <v>129</v>
      </c>
      <c r="R1912" s="8">
        <f>IF($J1912=0,0,ROUND(MAX($J1912*1.4*1.5*1.6*1.6,13100000*(1.429962^(MIN($E1912,123)-117)))*1,0))</f>
        <v>112000065</v>
      </c>
      <c r="S1912" s="6">
        <f>$E1912+8</f>
        <v>131</v>
      </c>
      <c r="T1912" s="7">
        <f>IF($J1912=0,0,ROUND(MAX($J1912*1.4*1.5*1.6*1.6*2.2,42600000*(1.576904^(MIN($E1912,123)-117)))*1,0))</f>
        <v>654999741</v>
      </c>
      <c r="U1912" s="4">
        <f>$E1912+11</f>
        <v>134</v>
      </c>
      <c r="V1912" s="8">
        <f>IF($J1912=0,0,ROUND(MAX($J1912*1.4*1.5*1.6*1.6*2.2*2.715,354000000*(1.642074^(MIN($E1912,123)-117)))*1,0))</f>
        <v>6940002232</v>
      </c>
      <c r="W1912" s="6">
        <f>$E1912+15</f>
        <v>138</v>
      </c>
      <c r="X1912" s="7">
        <f>IF($J1912=0,0,ROUND(MAX($J1912*1.4*1.5*1.6*1.6*2.2*2.715*2.6,3540000000*(1.579646^(MIN($E1912,123)-117)))*1,0))</f>
        <v>54999899335</v>
      </c>
      <c r="Y1912" s="4">
        <f>$E1912+17</f>
        <v>140</v>
      </c>
      <c r="Z1912" s="8">
        <f>IF($J1912=0,0,ROUND(MAX($J1912*1.4*1.5*1.6*1.6*2.2*2.715*2.6*1.4,6020000000*(1.651178^(MIN($E1912,123)-117)))*1,0))</f>
        <v>122000006103</v>
      </c>
      <c r="AA1912" s="6">
        <f>$E1912+19</f>
        <v>142</v>
      </c>
      <c r="AB1912" s="7">
        <f>IF($J1912=0,0,ROUND(MAX($J1912*1.4*1.5*1.6*1.6*2.2*2.715*2.6*1.4*1.4,8430000000*(1.651435^(MIN($E1912,123)-117)))*1,0))</f>
        <v>171000146547</v>
      </c>
      <c r="AC1912" s="4">
        <f>$E1912+21</f>
        <v>144</v>
      </c>
      <c r="AD1912" s="8">
        <f>IF($J1912=0,0,ROUND(MAX($J1912*1.4*1.5*1.6*1.6*2.2*2.715*2.6*1.4*1.4*1.5,12600000000*(1.652953^(MIN($E1912,123)-117)))*1,0))</f>
        <v>257000267475</v>
      </c>
      <c r="AE1912" s="6">
        <f>$E1912+24</f>
        <v>147</v>
      </c>
      <c r="AF1912" s="7">
        <f>IF($J1912=0,0,ROUND(MAX($J1912*1.4*1.5*1.6*1.6*2.2*2.715*2.6*1.4*1.4*1.5*1.5,18900000000*(1.65331^(MIN($E1912,123)-117)))*1,0))</f>
        <v>386000226581</v>
      </c>
      <c r="AG1912" s="4">
        <f>$E1912+27</f>
        <v>150</v>
      </c>
      <c r="AH1912" s="8">
        <f>IF($J1912=0,0,ROUND(MAX($J1912*1.4*1.5*1.6*1.6*2.2*2.715*2.6*1.4*1.4*1.5*1.5*3.2,60500000000*(1.654288^(MIN($E1912,123)-117)))*1,0))</f>
        <v>1240001159555</v>
      </c>
    </row>
    <row r="1913" ht="27.75" customHeight="1" spans="1:34" x14ac:dyDescent="0.25">
      <c r="A1913" s="3">
        <v>1923</v>
      </c>
      <c r="B1913" s="3" t="s">
        <v>250</v>
      </c>
      <c r="C1913" s="3" t="s">
        <v>1243</v>
      </c>
      <c r="D1913" s="3" t="s">
        <v>45</v>
      </c>
      <c r="E1913" s="3">
        <v>123</v>
      </c>
      <c r="F1913" s="3" t="s">
        <v>30</v>
      </c>
      <c r="G1913" s="3" t="s">
        <v>86</v>
      </c>
      <c r="H1913" s="3">
        <v>31</v>
      </c>
      <c r="I1913" s="4">
        <v>123</v>
      </c>
      <c r="J1913" s="5">
        <v>11400000</v>
      </c>
      <c r="K1913" s="6">
        <f>$E1913+1</f>
        <v>124</v>
      </c>
      <c r="L1913" s="7">
        <f>IF($J1913=0,0,ROUND(MAX($J1913*1.4,1620000*(1.497923^(MIN($E1913,123)-117)))*1,0))</f>
        <v>18300036</v>
      </c>
      <c r="M1913" s="4">
        <f>$E1913+2</f>
        <v>125</v>
      </c>
      <c r="N1913" s="8">
        <f>IF($J1913=0,0,ROUND(MAX($J1913*1.4*1.5,2190000*(1.580994^(MIN($E1913,123)-117)))*1,0))</f>
        <v>34199948</v>
      </c>
      <c r="O1913" s="6">
        <f>$E1913+4</f>
        <v>127</v>
      </c>
      <c r="P1913" s="7">
        <f>IF($J1913=0,0,ROUND(MAX($J1913*1.4*1.5*1.6,3500000*(1.57975^(MIN($E1913,123)-117)))*1,0))</f>
        <v>54399916</v>
      </c>
      <c r="Q1913" s="4">
        <f>$E1913+6</f>
        <v>129</v>
      </c>
      <c r="R1913" s="8">
        <f>IF($J1913=0,0,ROUND(MAX($J1913*1.4*1.5*1.6*1.6,13100000*(1.429962^(MIN($E1913,123)-117)))*1,0))</f>
        <v>112000065</v>
      </c>
      <c r="S1913" s="6">
        <f>$E1913+8</f>
        <v>131</v>
      </c>
      <c r="T1913" s="7">
        <f>IF($J1913=0,0,ROUND(MAX($J1913*1.4*1.5*1.6*1.6*2.2,42600000*(1.576904^(MIN($E1913,123)-117)))*1,0))</f>
        <v>654999741</v>
      </c>
      <c r="U1913" s="4">
        <f>$E1913+11</f>
        <v>134</v>
      </c>
      <c r="V1913" s="8">
        <f>IF($J1913=0,0,ROUND(MAX($J1913*1.4*1.5*1.6*1.6*2.2*2.715,354000000*(1.642074^(MIN($E1913,123)-117)))*1,0))</f>
        <v>6940002232</v>
      </c>
      <c r="W1913" s="6">
        <f>$E1913+15</f>
        <v>138</v>
      </c>
      <c r="X1913" s="7">
        <f>IF($J1913=0,0,ROUND(MAX($J1913*1.4*1.5*1.6*1.6*2.2*2.715*2.6,3540000000*(1.579646^(MIN($E1913,123)-117)))*1,0))</f>
        <v>54999899335</v>
      </c>
      <c r="Y1913" s="4">
        <f>$E1913+17</f>
        <v>140</v>
      </c>
      <c r="Z1913" s="8">
        <f>IF($J1913=0,0,ROUND(MAX($J1913*1.4*1.5*1.6*1.6*2.2*2.715*2.6*1.4,6020000000*(1.651178^(MIN($E1913,123)-117)))*1,0))</f>
        <v>122000006103</v>
      </c>
      <c r="AA1913" s="6">
        <f>$E1913+19</f>
        <v>142</v>
      </c>
      <c r="AB1913" s="7">
        <f>IF($J1913=0,0,ROUND(MAX($J1913*1.4*1.5*1.6*1.6*2.2*2.715*2.6*1.4*1.4,8430000000*(1.651435^(MIN($E1913,123)-117)))*1,0))</f>
        <v>171000146547</v>
      </c>
      <c r="AC1913" s="4">
        <f>$E1913+21</f>
        <v>144</v>
      </c>
      <c r="AD1913" s="8">
        <f>IF($J1913=0,0,ROUND(MAX($J1913*1.4*1.5*1.6*1.6*2.2*2.715*2.6*1.4*1.4*1.5,12600000000*(1.652953^(MIN($E1913,123)-117)))*1,0))</f>
        <v>257000267475</v>
      </c>
      <c r="AE1913" s="6">
        <f>$E1913+24</f>
        <v>147</v>
      </c>
      <c r="AF1913" s="7">
        <f>IF($J1913=0,0,ROUND(MAX($J1913*1.4*1.5*1.6*1.6*2.2*2.715*2.6*1.4*1.4*1.5*1.5,18900000000*(1.65331^(MIN($E1913,123)-117)))*1,0))</f>
        <v>386000226581</v>
      </c>
      <c r="AG1913" s="4">
        <f>$E1913+27</f>
        <v>150</v>
      </c>
      <c r="AH1913" s="8">
        <f>IF($J1913=0,0,ROUND(MAX($J1913*1.4*1.5*1.6*1.6*2.2*2.715*2.6*1.4*1.4*1.5*1.5*3.2,60500000000*(1.654288^(MIN($E1913,123)-117)))*1,0))</f>
        <v>1240001159555</v>
      </c>
    </row>
    <row r="1914" ht="27.75" customHeight="1" spans="1:34" x14ac:dyDescent="0.25">
      <c r="A1914" s="3">
        <v>1924</v>
      </c>
      <c r="B1914" s="3" t="s">
        <v>487</v>
      </c>
      <c r="C1914" s="3" t="s">
        <v>1243</v>
      </c>
      <c r="D1914" s="3" t="s">
        <v>45</v>
      </c>
      <c r="E1914" s="3">
        <v>123</v>
      </c>
      <c r="F1914" s="3" t="s">
        <v>62</v>
      </c>
      <c r="G1914" s="3" t="s">
        <v>1244</v>
      </c>
      <c r="H1914" s="3">
        <v>31</v>
      </c>
      <c r="I1914" s="4">
        <v>123</v>
      </c>
      <c r="J1914" s="5">
        <v>12900000</v>
      </c>
      <c r="K1914" s="6">
        <f>$E1914+1</f>
        <v>124</v>
      </c>
      <c r="L1914" s="7">
        <f>IF($J1914=0,0,ROUND(MAX($J1914*1.4,1620000*(1.497923^(MIN($E1914,123)-117)))*1,0))</f>
        <v>18300036</v>
      </c>
      <c r="M1914" s="4">
        <f>$E1914+2</f>
        <v>125</v>
      </c>
      <c r="N1914" s="8">
        <f>IF($J1914=0,0,ROUND(MAX($J1914*1.4*1.5,2190000*(1.580994^(MIN($E1914,123)-117)))*1,0))</f>
        <v>34199948</v>
      </c>
      <c r="O1914" s="6">
        <f>$E1914+4</f>
        <v>127</v>
      </c>
      <c r="P1914" s="7">
        <f>IF($J1914=0,0,ROUND(MAX($J1914*1.4*1.5*1.6,3500000*(1.57975^(MIN($E1914,123)-117)))*1,0))</f>
        <v>54399916</v>
      </c>
      <c r="Q1914" s="4">
        <f>$E1914+6</f>
        <v>129</v>
      </c>
      <c r="R1914" s="8">
        <f>IF($J1914=0,0,ROUND(MAX($J1914*1.4*1.5*1.6*1.6,13100000*(1.429962^(MIN($E1914,123)-117)))*1,0))</f>
        <v>112000065</v>
      </c>
      <c r="S1914" s="6">
        <f>$E1914+8</f>
        <v>131</v>
      </c>
      <c r="T1914" s="7">
        <f>IF($J1914=0,0,ROUND(MAX($J1914*1.4*1.5*1.6*1.6*2.2,42600000*(1.576904^(MIN($E1914,123)-117)))*1,0))</f>
        <v>654999741</v>
      </c>
      <c r="U1914" s="4">
        <f>$E1914+11</f>
        <v>134</v>
      </c>
      <c r="V1914" s="8">
        <f>IF($J1914=0,0,ROUND(MAX($J1914*1.4*1.5*1.6*1.6*2.2*2.715,354000000*(1.642074^(MIN($E1914,123)-117)))*1,0))</f>
        <v>6940002232</v>
      </c>
      <c r="W1914" s="6">
        <f>$E1914+15</f>
        <v>138</v>
      </c>
      <c r="X1914" s="7">
        <f>IF($J1914=0,0,ROUND(MAX($J1914*1.4*1.5*1.6*1.6*2.2*2.715*2.6,3540000000*(1.579646^(MIN($E1914,123)-117)))*1,0))</f>
        <v>54999899335</v>
      </c>
      <c r="Y1914" s="4">
        <f>$E1914+17</f>
        <v>140</v>
      </c>
      <c r="Z1914" s="8">
        <f>IF($J1914=0,0,ROUND(MAX($J1914*1.4*1.5*1.6*1.6*2.2*2.715*2.6*1.4,6020000000*(1.651178^(MIN($E1914,123)-117)))*1,0))</f>
        <v>122000006103</v>
      </c>
      <c r="AA1914" s="6">
        <f>$E1914+19</f>
        <v>142</v>
      </c>
      <c r="AB1914" s="7">
        <f>IF($J1914=0,0,ROUND(MAX($J1914*1.4*1.5*1.6*1.6*2.2*2.715*2.6*1.4*1.4,8430000000*(1.651435^(MIN($E1914,123)-117)))*1,0))</f>
        <v>171000146547</v>
      </c>
      <c r="AC1914" s="4">
        <f>$E1914+21</f>
        <v>144</v>
      </c>
      <c r="AD1914" s="8">
        <f>IF($J1914=0,0,ROUND(MAX($J1914*1.4*1.5*1.6*1.6*2.2*2.715*2.6*1.4*1.4*1.5,12600000000*(1.652953^(MIN($E1914,123)-117)))*1,0))</f>
        <v>257000267475</v>
      </c>
      <c r="AE1914" s="6">
        <f>$E1914+24</f>
        <v>147</v>
      </c>
      <c r="AF1914" s="7">
        <f>IF($J1914=0,0,ROUND(MAX($J1914*1.4*1.5*1.6*1.6*2.2*2.715*2.6*1.4*1.4*1.5*1.5,18900000000*(1.65331^(MIN($E1914,123)-117)))*1,0))</f>
        <v>386000226581</v>
      </c>
      <c r="AG1914" s="4">
        <f>$E1914+27</f>
        <v>150</v>
      </c>
      <c r="AH1914" s="8">
        <f>IF($J1914=0,0,ROUND(MAX($J1914*1.4*1.5*1.6*1.6*2.2*2.715*2.6*1.4*1.4*1.5*1.5*3.2,60500000000*(1.654288^(MIN($E1914,123)-117)))*1,0))</f>
        <v>1240001159555</v>
      </c>
    </row>
    <row r="1915" ht="27.75" customHeight="1" spans="1:34" x14ac:dyDescent="0.25">
      <c r="A1915" s="3">
        <v>1925</v>
      </c>
      <c r="B1915" s="3" t="s">
        <v>680</v>
      </c>
      <c r="C1915" s="3" t="s">
        <v>1243</v>
      </c>
      <c r="D1915" s="3" t="s">
        <v>45</v>
      </c>
      <c r="E1915" s="3">
        <v>122</v>
      </c>
      <c r="F1915" s="3" t="s">
        <v>179</v>
      </c>
      <c r="G1915" s="3" t="s">
        <v>374</v>
      </c>
      <c r="H1915" s="3">
        <v>33</v>
      </c>
      <c r="I1915" s="4">
        <v>122</v>
      </c>
      <c r="J1915" s="5">
        <v>3570000</v>
      </c>
      <c r="K1915" s="6">
        <f>$E1915+1</f>
        <v>123</v>
      </c>
      <c r="L1915" s="7">
        <f>IF($J1915=0,0,ROUND(MAX($J1915*1.4,1620000*(1.497923^(MIN($E1915,123)-117)))*1,0))</f>
        <v>12216941</v>
      </c>
      <c r="M1915" s="4">
        <f>$E1915+2</f>
        <v>124</v>
      </c>
      <c r="N1915" s="8">
        <f>IF($J1915=0,0,ROUND(MAX($J1915*1.4*1.5,2190000*(1.580994^(MIN($E1915,123)-117)))*1,0))</f>
        <v>21631928</v>
      </c>
      <c r="O1915" s="6">
        <f>$E1915+4</f>
        <v>126</v>
      </c>
      <c r="P1915" s="7">
        <f>IF($J1915=0,0,ROUND(MAX($J1915*1.4*1.5*1.6,3500000*(1.57975^(MIN($E1915,123)-117)))*1,0))</f>
        <v>34435775</v>
      </c>
      <c r="Q1915" s="4">
        <f>$E1915+6</f>
        <v>128</v>
      </c>
      <c r="R1915" s="8">
        <f>IF($J1915=0,0,ROUND(MAX($J1915*1.4*1.5*1.6*1.6,13100000*(1.429962^(MIN($E1915,123)-117)))*1,0))</f>
        <v>78323805</v>
      </c>
      <c r="S1915" s="6">
        <f>$E1915+8</f>
        <v>130</v>
      </c>
      <c r="T1915" s="7">
        <f>IF($J1915=0,0,ROUND(MAX($J1915*1.4*1.5*1.6*1.6*2.2,42600000*(1.576904^(MIN($E1915,123)-117)))*1,0))</f>
        <v>415370714</v>
      </c>
      <c r="U1915" s="4">
        <f>$E1915+11</f>
        <v>133</v>
      </c>
      <c r="V1915" s="8">
        <f>IF($J1915=0,0,ROUND(MAX($J1915*1.4*1.5*1.6*1.6*2.2*2.715,354000000*(1.642074^(MIN($E1915,123)-117)))*1,0))</f>
        <v>4226363874</v>
      </c>
      <c r="W1915" s="6">
        <f>$E1915+15</f>
        <v>137</v>
      </c>
      <c r="X1915" s="7">
        <f>IF($J1915=0,0,ROUND(MAX($J1915*1.4*1.5*1.6*1.6*2.2*2.715*2.6,3540000000*(1.579646^(MIN($E1915,123)-117)))*1,0))</f>
        <v>34817863835</v>
      </c>
      <c r="Y1915" s="4">
        <f>$E1915+17</f>
        <v>139</v>
      </c>
      <c r="Z1915" s="8">
        <f>IF($J1915=0,0,ROUND(MAX($J1915*1.4*1.5*1.6*1.6*2.2*2.715*2.6*1.4,6020000000*(1.651178^(MIN($E1915,123)-117)))*1,0))</f>
        <v>73886647050</v>
      </c>
      <c r="AA1915" s="6">
        <f>$E1915+19</f>
        <v>141</v>
      </c>
      <c r="AB1915" s="7">
        <f>IF($J1915=0,0,ROUND(MAX($J1915*1.4*1.5*1.6*1.6*2.2*2.715*2.6*1.4*1.4,8430000000*(1.651435^(MIN($E1915,123)-117)))*1,0))</f>
        <v>103546398464</v>
      </c>
      <c r="AC1915" s="4">
        <f>$E1915+21</f>
        <v>143</v>
      </c>
      <c r="AD1915" s="8">
        <f>IF($J1915=0,0,ROUND(MAX($J1915*1.4*1.5*1.6*1.6*2.2*2.715*2.6*1.4*1.4*1.5,12600000000*(1.652953^(MIN($E1915,123)-117)))*1,0))</f>
        <v>155479476715</v>
      </c>
      <c r="AE1915" s="6">
        <f>$E1915+24</f>
        <v>146</v>
      </c>
      <c r="AF1915" s="7">
        <f>IF($J1915=0,0,ROUND(MAX($J1915*1.4*1.5*1.6*1.6*2.2*2.715*2.6*1.4*1.4*1.5*1.5,18900000000*(1.65331^(MIN($E1915,123)-117)))*1,0))</f>
        <v>233471173936</v>
      </c>
      <c r="AG1915" s="4">
        <f>$E1915+27</f>
        <v>149</v>
      </c>
      <c r="AH1915" s="8">
        <f>IF($J1915=0,0,ROUND(MAX($J1915*1.4*1.5*1.6*1.6*2.2*2.715*2.6*1.4*1.4*1.5*1.5*3.2,60500000000*(1.654288^(MIN($E1915,123)-117)))*1,0))</f>
        <v>749567886338</v>
      </c>
    </row>
    <row r="1916" ht="27.75" customHeight="1" spans="1:34" x14ac:dyDescent="0.25">
      <c r="A1916" s="3">
        <v>1926</v>
      </c>
      <c r="B1916" s="3" t="s">
        <v>103</v>
      </c>
      <c r="C1916" s="3" t="s">
        <v>1243</v>
      </c>
      <c r="D1916" s="3" t="s">
        <v>29</v>
      </c>
      <c r="E1916" s="3">
        <v>122</v>
      </c>
      <c r="F1916" s="3" t="s">
        <v>62</v>
      </c>
      <c r="G1916" s="3" t="s">
        <v>1244</v>
      </c>
      <c r="H1916" s="3">
        <v>33</v>
      </c>
      <c r="I1916" s="4">
        <v>122</v>
      </c>
      <c r="J1916" s="5">
        <v>3650000</v>
      </c>
      <c r="K1916" s="6">
        <f>$E1916+1</f>
        <v>123</v>
      </c>
      <c r="L1916" s="7">
        <f>IF($J1916=0,0,ROUND(MAX($J1916*1.4,1620000*(1.497923^(MIN($E1916,123)-117)))*1,0))</f>
        <v>12216941</v>
      </c>
      <c r="M1916" s="4">
        <f>$E1916+2</f>
        <v>124</v>
      </c>
      <c r="N1916" s="8">
        <f>IF($J1916=0,0,ROUND(MAX($J1916*1.4*1.5,2190000*(1.580994^(MIN($E1916,123)-117)))*1,0))</f>
        <v>21631928</v>
      </c>
      <c r="O1916" s="6">
        <f>$E1916+4</f>
        <v>126</v>
      </c>
      <c r="P1916" s="7">
        <f>IF($J1916=0,0,ROUND(MAX($J1916*1.4*1.5*1.6,3500000*(1.57975^(MIN($E1916,123)-117)))*1,0))</f>
        <v>34435775</v>
      </c>
      <c r="Q1916" s="4">
        <f>$E1916+6</f>
        <v>128</v>
      </c>
      <c r="R1916" s="8">
        <f>IF($J1916=0,0,ROUND(MAX($J1916*1.4*1.5*1.6*1.6,13100000*(1.429962^(MIN($E1916,123)-117)))*1,0))</f>
        <v>78323805</v>
      </c>
      <c r="S1916" s="6">
        <f>$E1916+8</f>
        <v>130</v>
      </c>
      <c r="T1916" s="7">
        <f>IF($J1916=0,0,ROUND(MAX($J1916*1.4*1.5*1.6*1.6*2.2,42600000*(1.576904^(MIN($E1916,123)-117)))*1,0))</f>
        <v>415370714</v>
      </c>
      <c r="U1916" s="4">
        <f>$E1916+11</f>
        <v>133</v>
      </c>
      <c r="V1916" s="8">
        <f>IF($J1916=0,0,ROUND(MAX($J1916*1.4*1.5*1.6*1.6*2.2*2.715,354000000*(1.642074^(MIN($E1916,123)-117)))*1,0))</f>
        <v>4226363874</v>
      </c>
      <c r="W1916" s="6">
        <f>$E1916+15</f>
        <v>137</v>
      </c>
      <c r="X1916" s="7">
        <f>IF($J1916=0,0,ROUND(MAX($J1916*1.4*1.5*1.6*1.6*2.2*2.715*2.6,3540000000*(1.579646^(MIN($E1916,123)-117)))*1,0))</f>
        <v>34817863835</v>
      </c>
      <c r="Y1916" s="4">
        <f>$E1916+17</f>
        <v>139</v>
      </c>
      <c r="Z1916" s="8">
        <f>IF($J1916=0,0,ROUND(MAX($J1916*1.4*1.5*1.6*1.6*2.2*2.715*2.6*1.4,6020000000*(1.651178^(MIN($E1916,123)-117)))*1,0))</f>
        <v>73886647050</v>
      </c>
      <c r="AA1916" s="6">
        <f>$E1916+19</f>
        <v>141</v>
      </c>
      <c r="AB1916" s="7">
        <f>IF($J1916=0,0,ROUND(MAX($J1916*1.4*1.5*1.6*1.6*2.2*2.715*2.6*1.4*1.4,8430000000*(1.651435^(MIN($E1916,123)-117)))*1,0))</f>
        <v>103546398464</v>
      </c>
      <c r="AC1916" s="4">
        <f>$E1916+21</f>
        <v>143</v>
      </c>
      <c r="AD1916" s="8">
        <f>IF($J1916=0,0,ROUND(MAX($J1916*1.4*1.5*1.6*1.6*2.2*2.715*2.6*1.4*1.4*1.5,12600000000*(1.652953^(MIN($E1916,123)-117)))*1,0))</f>
        <v>155479476715</v>
      </c>
      <c r="AE1916" s="6">
        <f>$E1916+24</f>
        <v>146</v>
      </c>
      <c r="AF1916" s="7">
        <f>IF($J1916=0,0,ROUND(MAX($J1916*1.4*1.5*1.6*1.6*2.2*2.715*2.6*1.4*1.4*1.5*1.5,18900000000*(1.65331^(MIN($E1916,123)-117)))*1,0))</f>
        <v>233471173936</v>
      </c>
      <c r="AG1916" s="4">
        <f>$E1916+27</f>
        <v>149</v>
      </c>
      <c r="AH1916" s="8">
        <f>IF($J1916=0,0,ROUND(MAX($J1916*1.4*1.5*1.6*1.6*2.2*2.715*2.6*1.4*1.4*1.5*1.5*3.2,60500000000*(1.654288^(MIN($E1916,123)-117)))*1,0))</f>
        <v>749567886338</v>
      </c>
    </row>
    <row r="1917" ht="27.75" customHeight="1" spans="1:34" x14ac:dyDescent="0.25">
      <c r="A1917" s="3">
        <v>1927</v>
      </c>
      <c r="B1917" s="3" t="s">
        <v>587</v>
      </c>
      <c r="C1917" s="3" t="s">
        <v>1243</v>
      </c>
      <c r="D1917" s="3" t="s">
        <v>79</v>
      </c>
      <c r="E1917" s="3">
        <v>122</v>
      </c>
      <c r="F1917" s="3" t="s">
        <v>30</v>
      </c>
      <c r="G1917" s="3" t="s">
        <v>38</v>
      </c>
      <c r="H1917" s="3">
        <v>32</v>
      </c>
      <c r="I1917" s="4">
        <v>122</v>
      </c>
      <c r="J1917" s="5">
        <v>4030000</v>
      </c>
      <c r="K1917" s="6">
        <f>$E1917+1</f>
        <v>123</v>
      </c>
      <c r="L1917" s="7">
        <f>IF($J1917=0,0,ROUND(MAX($J1917*1.4,1620000*(1.497923^(MIN($E1917,123)-117)))*1,0))</f>
        <v>12216941</v>
      </c>
      <c r="M1917" s="4">
        <f>$E1917+2</f>
        <v>124</v>
      </c>
      <c r="N1917" s="8">
        <f>IF($J1917=0,0,ROUND(MAX($J1917*1.4*1.5,2190000*(1.580994^(MIN($E1917,123)-117)))*1,0))</f>
        <v>21631928</v>
      </c>
      <c r="O1917" s="6">
        <f>$E1917+4</f>
        <v>126</v>
      </c>
      <c r="P1917" s="7">
        <f>IF($J1917=0,0,ROUND(MAX($J1917*1.4*1.5*1.6,3500000*(1.57975^(MIN($E1917,123)-117)))*1,0))</f>
        <v>34435775</v>
      </c>
      <c r="Q1917" s="4">
        <f>$E1917+6</f>
        <v>128</v>
      </c>
      <c r="R1917" s="8">
        <f>IF($J1917=0,0,ROUND(MAX($J1917*1.4*1.5*1.6*1.6,13100000*(1.429962^(MIN($E1917,123)-117)))*1,0))</f>
        <v>78323805</v>
      </c>
      <c r="S1917" s="6">
        <f>$E1917+8</f>
        <v>130</v>
      </c>
      <c r="T1917" s="7">
        <f>IF($J1917=0,0,ROUND(MAX($J1917*1.4*1.5*1.6*1.6*2.2,42600000*(1.576904^(MIN($E1917,123)-117)))*1,0))</f>
        <v>415370714</v>
      </c>
      <c r="U1917" s="4">
        <f>$E1917+11</f>
        <v>133</v>
      </c>
      <c r="V1917" s="8">
        <f>IF($J1917=0,0,ROUND(MAX($J1917*1.4*1.5*1.6*1.6*2.2*2.715,354000000*(1.642074^(MIN($E1917,123)-117)))*1,0))</f>
        <v>4226363874</v>
      </c>
      <c r="W1917" s="6">
        <f>$E1917+15</f>
        <v>137</v>
      </c>
      <c r="X1917" s="7">
        <f>IF($J1917=0,0,ROUND(MAX($J1917*1.4*1.5*1.6*1.6*2.2*2.715*2.6,3540000000*(1.579646^(MIN($E1917,123)-117)))*1,0))</f>
        <v>34817863835</v>
      </c>
      <c r="Y1917" s="4">
        <f>$E1917+17</f>
        <v>139</v>
      </c>
      <c r="Z1917" s="8">
        <f>IF($J1917=0,0,ROUND(MAX($J1917*1.4*1.5*1.6*1.6*2.2*2.715*2.6*1.4,6020000000*(1.651178^(MIN($E1917,123)-117)))*1,0))</f>
        <v>73886647050</v>
      </c>
      <c r="AA1917" s="6">
        <f>$E1917+19</f>
        <v>141</v>
      </c>
      <c r="AB1917" s="7">
        <f>IF($J1917=0,0,ROUND(MAX($J1917*1.4*1.5*1.6*1.6*2.2*2.715*2.6*1.4*1.4,8430000000*(1.651435^(MIN($E1917,123)-117)))*1,0))</f>
        <v>103546398464</v>
      </c>
      <c r="AC1917" s="4">
        <f>$E1917+21</f>
        <v>143</v>
      </c>
      <c r="AD1917" s="8">
        <f>IF($J1917=0,0,ROUND(MAX($J1917*1.4*1.5*1.6*1.6*2.2*2.715*2.6*1.4*1.4*1.5,12600000000*(1.652953^(MIN($E1917,123)-117)))*1,0))</f>
        <v>155479476715</v>
      </c>
      <c r="AE1917" s="6">
        <f>$E1917+24</f>
        <v>146</v>
      </c>
      <c r="AF1917" s="7">
        <f>IF($J1917=0,0,ROUND(MAX($J1917*1.4*1.5*1.6*1.6*2.2*2.715*2.6*1.4*1.4*1.5*1.5,18900000000*(1.65331^(MIN($E1917,123)-117)))*1,0))</f>
        <v>233471173936</v>
      </c>
      <c r="AG1917" s="4">
        <f>$E1917+27</f>
        <v>149</v>
      </c>
      <c r="AH1917" s="8">
        <f>IF($J1917=0,0,ROUND(MAX($J1917*1.4*1.5*1.6*1.6*2.2*2.715*2.6*1.4*1.4*1.5*1.5*3.2,60500000000*(1.654288^(MIN($E1917,123)-117)))*1,0))</f>
        <v>749567886338</v>
      </c>
    </row>
    <row r="1918" ht="27.75" customHeight="1" spans="1:34" x14ac:dyDescent="0.25">
      <c r="A1918" s="3">
        <v>1928</v>
      </c>
      <c r="B1918" s="3" t="s">
        <v>596</v>
      </c>
      <c r="C1918" s="3" t="s">
        <v>1243</v>
      </c>
      <c r="D1918" s="3" t="s">
        <v>102</v>
      </c>
      <c r="E1918" s="3">
        <v>122</v>
      </c>
      <c r="F1918" s="3" t="s">
        <v>26</v>
      </c>
      <c r="G1918" s="3" t="s">
        <v>1244</v>
      </c>
      <c r="H1918" s="3">
        <v>32</v>
      </c>
      <c r="I1918" s="4">
        <v>122</v>
      </c>
      <c r="J1918" s="5">
        <v>3880000</v>
      </c>
      <c r="K1918" s="6">
        <f>$E1918+1</f>
        <v>123</v>
      </c>
      <c r="L1918" s="7">
        <f>IF($J1918=0,0,ROUND(MAX($J1918*1.4,1620000*(1.497923^(MIN($E1918,123)-117)))*1,0))</f>
        <v>12216941</v>
      </c>
      <c r="M1918" s="4">
        <f>$E1918+2</f>
        <v>124</v>
      </c>
      <c r="N1918" s="8">
        <f>IF($J1918=0,0,ROUND(MAX($J1918*1.4*1.5,2190000*(1.580994^(MIN($E1918,123)-117)))*1,0))</f>
        <v>21631928</v>
      </c>
      <c r="O1918" s="6">
        <f>$E1918+4</f>
        <v>126</v>
      </c>
      <c r="P1918" s="7">
        <f>IF($J1918=0,0,ROUND(MAX($J1918*1.4*1.5*1.6,3500000*(1.57975^(MIN($E1918,123)-117)))*1,0))</f>
        <v>34435775</v>
      </c>
      <c r="Q1918" s="4">
        <f>$E1918+6</f>
        <v>128</v>
      </c>
      <c r="R1918" s="8">
        <f>IF($J1918=0,0,ROUND(MAX($J1918*1.4*1.5*1.6*1.6,13100000*(1.429962^(MIN($E1918,123)-117)))*1,0))</f>
        <v>78323805</v>
      </c>
      <c r="S1918" s="6">
        <f>$E1918+8</f>
        <v>130</v>
      </c>
      <c r="T1918" s="7">
        <f>IF($J1918=0,0,ROUND(MAX($J1918*1.4*1.5*1.6*1.6*2.2,42600000*(1.576904^(MIN($E1918,123)-117)))*1,0))</f>
        <v>415370714</v>
      </c>
      <c r="U1918" s="4">
        <f>$E1918+11</f>
        <v>133</v>
      </c>
      <c r="V1918" s="8">
        <f>IF($J1918=0,0,ROUND(MAX($J1918*1.4*1.5*1.6*1.6*2.2*2.715,354000000*(1.642074^(MIN($E1918,123)-117)))*1,0))</f>
        <v>4226363874</v>
      </c>
      <c r="W1918" s="6">
        <f>$E1918+15</f>
        <v>137</v>
      </c>
      <c r="X1918" s="7">
        <f>IF($J1918=0,0,ROUND(MAX($J1918*1.4*1.5*1.6*1.6*2.2*2.715*2.6,3540000000*(1.579646^(MIN($E1918,123)-117)))*1,0))</f>
        <v>34817863835</v>
      </c>
      <c r="Y1918" s="4">
        <f>$E1918+17</f>
        <v>139</v>
      </c>
      <c r="Z1918" s="8">
        <f>IF($J1918=0,0,ROUND(MAX($J1918*1.4*1.5*1.6*1.6*2.2*2.715*2.6*1.4,6020000000*(1.651178^(MIN($E1918,123)-117)))*1,0))</f>
        <v>73886647050</v>
      </c>
      <c r="AA1918" s="6">
        <f>$E1918+19</f>
        <v>141</v>
      </c>
      <c r="AB1918" s="7">
        <f>IF($J1918=0,0,ROUND(MAX($J1918*1.4*1.5*1.6*1.6*2.2*2.715*2.6*1.4*1.4,8430000000*(1.651435^(MIN($E1918,123)-117)))*1,0))</f>
        <v>103546398464</v>
      </c>
      <c r="AC1918" s="4">
        <f>$E1918+21</f>
        <v>143</v>
      </c>
      <c r="AD1918" s="8">
        <f>IF($J1918=0,0,ROUND(MAX($J1918*1.4*1.5*1.6*1.6*2.2*2.715*2.6*1.4*1.4*1.5,12600000000*(1.652953^(MIN($E1918,123)-117)))*1,0))</f>
        <v>155479476715</v>
      </c>
      <c r="AE1918" s="6">
        <f>$E1918+24</f>
        <v>146</v>
      </c>
      <c r="AF1918" s="7">
        <f>IF($J1918=0,0,ROUND(MAX($J1918*1.4*1.5*1.6*1.6*2.2*2.715*2.6*1.4*1.4*1.5*1.5,18900000000*(1.65331^(MIN($E1918,123)-117)))*1,0))</f>
        <v>233471173936</v>
      </c>
      <c r="AG1918" s="4">
        <f>$E1918+27</f>
        <v>149</v>
      </c>
      <c r="AH1918" s="8">
        <f>IF($J1918=0,0,ROUND(MAX($J1918*1.4*1.5*1.6*1.6*2.2*2.715*2.6*1.4*1.4*1.5*1.5*3.2,60500000000*(1.654288^(MIN($E1918,123)-117)))*1,0))</f>
        <v>749567886338</v>
      </c>
    </row>
    <row r="1919" ht="27.75" customHeight="1" spans="1:34" x14ac:dyDescent="0.25">
      <c r="A1919" s="3">
        <v>1929</v>
      </c>
      <c r="B1919" s="3" t="s">
        <v>100</v>
      </c>
      <c r="C1919" s="3" t="s">
        <v>1243</v>
      </c>
      <c r="D1919" s="3" t="s">
        <v>33</v>
      </c>
      <c r="E1919" s="3">
        <v>122</v>
      </c>
      <c r="F1919" s="3" t="s">
        <v>62</v>
      </c>
      <c r="G1919" s="3" t="s">
        <v>1244</v>
      </c>
      <c r="H1919" s="3">
        <v>32</v>
      </c>
      <c r="I1919" s="4">
        <v>122</v>
      </c>
      <c r="J1919" s="5">
        <v>4140000</v>
      </c>
      <c r="K1919" s="6">
        <f>$E1919+1</f>
        <v>123</v>
      </c>
      <c r="L1919" s="7">
        <f>IF($J1919=0,0,ROUND(MAX($J1919*1.4,1620000*(1.497923^(MIN($E1919,123)-117)))*1,0))</f>
        <v>12216941</v>
      </c>
      <c r="M1919" s="4">
        <f>$E1919+2</f>
        <v>124</v>
      </c>
      <c r="N1919" s="8">
        <f>IF($J1919=0,0,ROUND(MAX($J1919*1.4*1.5,2190000*(1.580994^(MIN($E1919,123)-117)))*1,0))</f>
        <v>21631928</v>
      </c>
      <c r="O1919" s="6">
        <f>$E1919+4</f>
        <v>126</v>
      </c>
      <c r="P1919" s="7">
        <f>IF($J1919=0,0,ROUND(MAX($J1919*1.4*1.5*1.6,3500000*(1.57975^(MIN($E1919,123)-117)))*1,0))</f>
        <v>34435775</v>
      </c>
      <c r="Q1919" s="4">
        <f>$E1919+6</f>
        <v>128</v>
      </c>
      <c r="R1919" s="8">
        <f>IF($J1919=0,0,ROUND(MAX($J1919*1.4*1.5*1.6*1.6,13100000*(1.429962^(MIN($E1919,123)-117)))*1,0))</f>
        <v>78323805</v>
      </c>
      <c r="S1919" s="6">
        <f>$E1919+8</f>
        <v>130</v>
      </c>
      <c r="T1919" s="7">
        <f>IF($J1919=0,0,ROUND(MAX($J1919*1.4*1.5*1.6*1.6*2.2,42600000*(1.576904^(MIN($E1919,123)-117)))*1,0))</f>
        <v>415370714</v>
      </c>
      <c r="U1919" s="4">
        <f>$E1919+11</f>
        <v>133</v>
      </c>
      <c r="V1919" s="8">
        <f>IF($J1919=0,0,ROUND(MAX($J1919*1.4*1.5*1.6*1.6*2.2*2.715,354000000*(1.642074^(MIN($E1919,123)-117)))*1,0))</f>
        <v>4226363874</v>
      </c>
      <c r="W1919" s="6">
        <f>$E1919+15</f>
        <v>137</v>
      </c>
      <c r="X1919" s="7">
        <f>IF($J1919=0,0,ROUND(MAX($J1919*1.4*1.5*1.6*1.6*2.2*2.715*2.6,3540000000*(1.579646^(MIN($E1919,123)-117)))*1,0))</f>
        <v>34817863835</v>
      </c>
      <c r="Y1919" s="4">
        <f>$E1919+17</f>
        <v>139</v>
      </c>
      <c r="Z1919" s="8">
        <f>IF($J1919=0,0,ROUND(MAX($J1919*1.4*1.5*1.6*1.6*2.2*2.715*2.6*1.4,6020000000*(1.651178^(MIN($E1919,123)-117)))*1,0))</f>
        <v>73886647050</v>
      </c>
      <c r="AA1919" s="6">
        <f>$E1919+19</f>
        <v>141</v>
      </c>
      <c r="AB1919" s="7">
        <f>IF($J1919=0,0,ROUND(MAX($J1919*1.4*1.5*1.6*1.6*2.2*2.715*2.6*1.4*1.4,8430000000*(1.651435^(MIN($E1919,123)-117)))*1,0))</f>
        <v>103546398464</v>
      </c>
      <c r="AC1919" s="4">
        <f>$E1919+21</f>
        <v>143</v>
      </c>
      <c r="AD1919" s="8">
        <f>IF($J1919=0,0,ROUND(MAX($J1919*1.4*1.5*1.6*1.6*2.2*2.715*2.6*1.4*1.4*1.5,12600000000*(1.652953^(MIN($E1919,123)-117)))*1,0))</f>
        <v>155479476715</v>
      </c>
      <c r="AE1919" s="6">
        <f>$E1919+24</f>
        <v>146</v>
      </c>
      <c r="AF1919" s="7">
        <f>IF($J1919=0,0,ROUND(MAX($J1919*1.4*1.5*1.6*1.6*2.2*2.715*2.6*1.4*1.4*1.5*1.5,18900000000*(1.65331^(MIN($E1919,123)-117)))*1,0))</f>
        <v>233471173936</v>
      </c>
      <c r="AG1919" s="4">
        <f>$E1919+27</f>
        <v>149</v>
      </c>
      <c r="AH1919" s="8">
        <f>IF($J1919=0,0,ROUND(MAX($J1919*1.4*1.5*1.6*1.6*2.2*2.715*2.6*1.4*1.4*1.5*1.5*3.2,60500000000*(1.654288^(MIN($E1919,123)-117)))*1,0))</f>
        <v>749567886338</v>
      </c>
    </row>
    <row r="1920" ht="27.75" customHeight="1" spans="1:34" x14ac:dyDescent="0.25">
      <c r="A1920" s="3">
        <v>1930</v>
      </c>
      <c r="B1920" s="3" t="s">
        <v>1221</v>
      </c>
      <c r="C1920" s="3" t="s">
        <v>1243</v>
      </c>
      <c r="D1920" s="3" t="s">
        <v>79</v>
      </c>
      <c r="E1920" s="3">
        <v>122</v>
      </c>
      <c r="F1920" s="3" t="s">
        <v>56</v>
      </c>
      <c r="G1920" s="3" t="s">
        <v>86</v>
      </c>
      <c r="H1920" s="3">
        <v>31</v>
      </c>
      <c r="I1920" s="4">
        <v>122</v>
      </c>
      <c r="J1920" s="5">
        <v>3600000</v>
      </c>
      <c r="K1920" s="6">
        <f>$E1920+1</f>
        <v>123</v>
      </c>
      <c r="L1920" s="7">
        <f>IF($J1920=0,0,ROUND(MAX($J1920*1.4,1620000*(1.497923^(MIN($E1920,123)-117)))*1,0))</f>
        <v>12216941</v>
      </c>
      <c r="M1920" s="4">
        <f>$E1920+2</f>
        <v>124</v>
      </c>
      <c r="N1920" s="8">
        <f>IF($J1920=0,0,ROUND(MAX($J1920*1.4*1.5,2190000*(1.580994^(MIN($E1920,123)-117)))*1,0))</f>
        <v>21631928</v>
      </c>
      <c r="O1920" s="6">
        <f>$E1920+4</f>
        <v>126</v>
      </c>
      <c r="P1920" s="7">
        <f>IF($J1920=0,0,ROUND(MAX($J1920*1.4*1.5*1.6,3500000*(1.57975^(MIN($E1920,123)-117)))*1,0))</f>
        <v>34435775</v>
      </c>
      <c r="Q1920" s="4">
        <f>$E1920+6</f>
        <v>128</v>
      </c>
      <c r="R1920" s="8">
        <f>IF($J1920=0,0,ROUND(MAX($J1920*1.4*1.5*1.6*1.6,13100000*(1.429962^(MIN($E1920,123)-117)))*1,0))</f>
        <v>78323805</v>
      </c>
      <c r="S1920" s="6">
        <f>$E1920+8</f>
        <v>130</v>
      </c>
      <c r="T1920" s="7">
        <f>IF($J1920=0,0,ROUND(MAX($J1920*1.4*1.5*1.6*1.6*2.2,42600000*(1.576904^(MIN($E1920,123)-117)))*1,0))</f>
        <v>415370714</v>
      </c>
      <c r="U1920" s="4">
        <f>$E1920+11</f>
        <v>133</v>
      </c>
      <c r="V1920" s="8">
        <f>IF($J1920=0,0,ROUND(MAX($J1920*1.4*1.5*1.6*1.6*2.2*2.715,354000000*(1.642074^(MIN($E1920,123)-117)))*1,0))</f>
        <v>4226363874</v>
      </c>
      <c r="W1920" s="6">
        <f>$E1920+15</f>
        <v>137</v>
      </c>
      <c r="X1920" s="7">
        <f>IF($J1920=0,0,ROUND(MAX($J1920*1.4*1.5*1.6*1.6*2.2*2.715*2.6,3540000000*(1.579646^(MIN($E1920,123)-117)))*1,0))</f>
        <v>34817863835</v>
      </c>
      <c r="Y1920" s="4">
        <f>$E1920+17</f>
        <v>139</v>
      </c>
      <c r="Z1920" s="8">
        <f>IF($J1920=0,0,ROUND(MAX($J1920*1.4*1.5*1.6*1.6*2.2*2.715*2.6*1.4,6020000000*(1.651178^(MIN($E1920,123)-117)))*1,0))</f>
        <v>73886647050</v>
      </c>
      <c r="AA1920" s="6">
        <f>$E1920+19</f>
        <v>141</v>
      </c>
      <c r="AB1920" s="7">
        <f>IF($J1920=0,0,ROUND(MAX($J1920*1.4*1.5*1.6*1.6*2.2*2.715*2.6*1.4*1.4,8430000000*(1.651435^(MIN($E1920,123)-117)))*1,0))</f>
        <v>103546398464</v>
      </c>
      <c r="AC1920" s="4">
        <f>$E1920+21</f>
        <v>143</v>
      </c>
      <c r="AD1920" s="8">
        <f>IF($J1920=0,0,ROUND(MAX($J1920*1.4*1.5*1.6*1.6*2.2*2.715*2.6*1.4*1.4*1.5,12600000000*(1.652953^(MIN($E1920,123)-117)))*1,0))</f>
        <v>155479476715</v>
      </c>
      <c r="AE1920" s="6">
        <f>$E1920+24</f>
        <v>146</v>
      </c>
      <c r="AF1920" s="7">
        <f>IF($J1920=0,0,ROUND(MAX($J1920*1.4*1.5*1.6*1.6*2.2*2.715*2.6*1.4*1.4*1.5*1.5,18900000000*(1.65331^(MIN($E1920,123)-117)))*1,0))</f>
        <v>233471173936</v>
      </c>
      <c r="AG1920" s="4">
        <f>$E1920+27</f>
        <v>149</v>
      </c>
      <c r="AH1920" s="8">
        <f>IF($J1920=0,0,ROUND(MAX($J1920*1.4*1.5*1.6*1.6*2.2*2.715*2.6*1.4*1.4*1.5*1.5*3.2,60500000000*(1.654288^(MIN($E1920,123)-117)))*1,0))</f>
        <v>749567886338</v>
      </c>
    </row>
    <row r="1921" ht="27.75" customHeight="1" spans="1:34" x14ac:dyDescent="0.25">
      <c r="A1921" s="3">
        <v>1931</v>
      </c>
      <c r="B1921" s="3" t="s">
        <v>725</v>
      </c>
      <c r="C1921" s="3" t="s">
        <v>1243</v>
      </c>
      <c r="D1921" s="3" t="s">
        <v>75</v>
      </c>
      <c r="E1921" s="3">
        <v>122</v>
      </c>
      <c r="F1921" s="3" t="s">
        <v>54</v>
      </c>
      <c r="G1921" s="3" t="s">
        <v>374</v>
      </c>
      <c r="H1921" s="3">
        <v>31</v>
      </c>
      <c r="I1921" s="4">
        <v>122</v>
      </c>
      <c r="J1921" s="5">
        <v>4480000</v>
      </c>
      <c r="K1921" s="6">
        <f>$E1921+1</f>
        <v>123</v>
      </c>
      <c r="L1921" s="7">
        <f>IF($J1921=0,0,ROUND(MAX($J1921*1.4,1620000*(1.497923^(MIN($E1921,123)-117)))*1,0))</f>
        <v>12216941</v>
      </c>
      <c r="M1921" s="4">
        <f>$E1921+2</f>
        <v>124</v>
      </c>
      <c r="N1921" s="8">
        <f>IF($J1921=0,0,ROUND(MAX($J1921*1.4*1.5,2190000*(1.580994^(MIN($E1921,123)-117)))*1,0))</f>
        <v>21631928</v>
      </c>
      <c r="O1921" s="6">
        <f>$E1921+4</f>
        <v>126</v>
      </c>
      <c r="P1921" s="7">
        <f>IF($J1921=0,0,ROUND(MAX($J1921*1.4*1.5*1.6,3500000*(1.57975^(MIN($E1921,123)-117)))*1,0))</f>
        <v>34435775</v>
      </c>
      <c r="Q1921" s="4">
        <f>$E1921+6</f>
        <v>128</v>
      </c>
      <c r="R1921" s="8">
        <f>IF($J1921=0,0,ROUND(MAX($J1921*1.4*1.5*1.6*1.6,13100000*(1.429962^(MIN($E1921,123)-117)))*1,0))</f>
        <v>78323805</v>
      </c>
      <c r="S1921" s="6">
        <f>$E1921+8</f>
        <v>130</v>
      </c>
      <c r="T1921" s="7">
        <f>IF($J1921=0,0,ROUND(MAX($J1921*1.4*1.5*1.6*1.6*2.2,42600000*(1.576904^(MIN($E1921,123)-117)))*1,0))</f>
        <v>415370714</v>
      </c>
      <c r="U1921" s="4">
        <f>$E1921+11</f>
        <v>133</v>
      </c>
      <c r="V1921" s="8">
        <f>IF($J1921=0,0,ROUND(MAX($J1921*1.4*1.5*1.6*1.6*2.2*2.715,354000000*(1.642074^(MIN($E1921,123)-117)))*1,0))</f>
        <v>4226363874</v>
      </c>
      <c r="W1921" s="6">
        <f>$E1921+15</f>
        <v>137</v>
      </c>
      <c r="X1921" s="7">
        <f>IF($J1921=0,0,ROUND(MAX($J1921*1.4*1.5*1.6*1.6*2.2*2.715*2.6,3540000000*(1.579646^(MIN($E1921,123)-117)))*1,0))</f>
        <v>34817863835</v>
      </c>
      <c r="Y1921" s="4">
        <f>$E1921+17</f>
        <v>139</v>
      </c>
      <c r="Z1921" s="8">
        <f>IF($J1921=0,0,ROUND(MAX($J1921*1.4*1.5*1.6*1.6*2.2*2.715*2.6*1.4,6020000000*(1.651178^(MIN($E1921,123)-117)))*1,0))</f>
        <v>73886647050</v>
      </c>
      <c r="AA1921" s="6">
        <f>$E1921+19</f>
        <v>141</v>
      </c>
      <c r="AB1921" s="7">
        <f>IF($J1921=0,0,ROUND(MAX($J1921*1.4*1.5*1.6*1.6*2.2*2.715*2.6*1.4*1.4,8430000000*(1.651435^(MIN($E1921,123)-117)))*1,0))</f>
        <v>103546398464</v>
      </c>
      <c r="AC1921" s="4">
        <f>$E1921+21</f>
        <v>143</v>
      </c>
      <c r="AD1921" s="8">
        <f>IF($J1921=0,0,ROUND(MAX($J1921*1.4*1.5*1.6*1.6*2.2*2.715*2.6*1.4*1.4*1.5,12600000000*(1.652953^(MIN($E1921,123)-117)))*1,0))</f>
        <v>155479476715</v>
      </c>
      <c r="AE1921" s="6">
        <f>$E1921+24</f>
        <v>146</v>
      </c>
      <c r="AF1921" s="7">
        <f>IF($J1921=0,0,ROUND(MAX($J1921*1.4*1.5*1.6*1.6*2.2*2.715*2.6*1.4*1.4*1.5*1.5,18900000000*(1.65331^(MIN($E1921,123)-117)))*1,0))</f>
        <v>233471173936</v>
      </c>
      <c r="AG1921" s="4">
        <f>$E1921+27</f>
        <v>149</v>
      </c>
      <c r="AH1921" s="8">
        <f>IF($J1921=0,0,ROUND(MAX($J1921*1.4*1.5*1.6*1.6*2.2*2.715*2.6*1.4*1.4*1.5*1.5*3.2,60500000000*(1.654288^(MIN($E1921,123)-117)))*1,0))</f>
        <v>749567886338</v>
      </c>
    </row>
    <row r="1922" ht="27.75" customHeight="1" spans="1:34" x14ac:dyDescent="0.25">
      <c r="A1922" s="3">
        <v>1932</v>
      </c>
      <c r="B1922" s="3" t="s">
        <v>1245</v>
      </c>
      <c r="C1922" s="3" t="s">
        <v>1243</v>
      </c>
      <c r="D1922" s="3" t="s">
        <v>33</v>
      </c>
      <c r="E1922" s="3">
        <v>122</v>
      </c>
      <c r="F1922" s="3" t="s">
        <v>298</v>
      </c>
      <c r="G1922" s="3" t="s">
        <v>86</v>
      </c>
      <c r="H1922" s="3">
        <v>31</v>
      </c>
      <c r="I1922" s="4">
        <v>122</v>
      </c>
      <c r="J1922" s="5">
        <v>3510000</v>
      </c>
      <c r="K1922" s="6">
        <f>$E1922+1</f>
        <v>123</v>
      </c>
      <c r="L1922" s="7">
        <f>IF($J1922=0,0,ROUND(MAX($J1922*1.4,1620000*(1.497923^(MIN($E1922,123)-117)))*1,0))</f>
        <v>12216941</v>
      </c>
      <c r="M1922" s="4">
        <f>$E1922+2</f>
        <v>124</v>
      </c>
      <c r="N1922" s="8">
        <f>IF($J1922=0,0,ROUND(MAX($J1922*1.4*1.5,2190000*(1.580994^(MIN($E1922,123)-117)))*1,0))</f>
        <v>21631928</v>
      </c>
      <c r="O1922" s="6">
        <f>$E1922+4</f>
        <v>126</v>
      </c>
      <c r="P1922" s="7">
        <f>IF($J1922=0,0,ROUND(MAX($J1922*1.4*1.5*1.6,3500000*(1.57975^(MIN($E1922,123)-117)))*1,0))</f>
        <v>34435775</v>
      </c>
      <c r="Q1922" s="4">
        <f>$E1922+6</f>
        <v>128</v>
      </c>
      <c r="R1922" s="8">
        <f>IF($J1922=0,0,ROUND(MAX($J1922*1.4*1.5*1.6*1.6,13100000*(1.429962^(MIN($E1922,123)-117)))*1,0))</f>
        <v>78323805</v>
      </c>
      <c r="S1922" s="6">
        <f>$E1922+8</f>
        <v>130</v>
      </c>
      <c r="T1922" s="7">
        <f>IF($J1922=0,0,ROUND(MAX($J1922*1.4*1.5*1.6*1.6*2.2,42600000*(1.576904^(MIN($E1922,123)-117)))*1,0))</f>
        <v>415370714</v>
      </c>
      <c r="U1922" s="4">
        <f>$E1922+11</f>
        <v>133</v>
      </c>
      <c r="V1922" s="8">
        <f>IF($J1922=0,0,ROUND(MAX($J1922*1.4*1.5*1.6*1.6*2.2*2.715,354000000*(1.642074^(MIN($E1922,123)-117)))*1,0))</f>
        <v>4226363874</v>
      </c>
      <c r="W1922" s="6">
        <f>$E1922+15</f>
        <v>137</v>
      </c>
      <c r="X1922" s="7">
        <f>IF($J1922=0,0,ROUND(MAX($J1922*1.4*1.5*1.6*1.6*2.2*2.715*2.6,3540000000*(1.579646^(MIN($E1922,123)-117)))*1,0))</f>
        <v>34817863835</v>
      </c>
      <c r="Y1922" s="4">
        <f>$E1922+17</f>
        <v>139</v>
      </c>
      <c r="Z1922" s="8">
        <f>IF($J1922=0,0,ROUND(MAX($J1922*1.4*1.5*1.6*1.6*2.2*2.715*2.6*1.4,6020000000*(1.651178^(MIN($E1922,123)-117)))*1,0))</f>
        <v>73886647050</v>
      </c>
      <c r="AA1922" s="6">
        <f>$E1922+19</f>
        <v>141</v>
      </c>
      <c r="AB1922" s="7">
        <f>IF($J1922=0,0,ROUND(MAX($J1922*1.4*1.5*1.6*1.6*2.2*2.715*2.6*1.4*1.4,8430000000*(1.651435^(MIN($E1922,123)-117)))*1,0))</f>
        <v>103546398464</v>
      </c>
      <c r="AC1922" s="4">
        <f>$E1922+21</f>
        <v>143</v>
      </c>
      <c r="AD1922" s="8">
        <f>IF($J1922=0,0,ROUND(MAX($J1922*1.4*1.5*1.6*1.6*2.2*2.715*2.6*1.4*1.4*1.5,12600000000*(1.652953^(MIN($E1922,123)-117)))*1,0))</f>
        <v>155479476715</v>
      </c>
      <c r="AE1922" s="6">
        <f>$E1922+24</f>
        <v>146</v>
      </c>
      <c r="AF1922" s="7">
        <f>IF($J1922=0,0,ROUND(MAX($J1922*1.4*1.5*1.6*1.6*2.2*2.715*2.6*1.4*1.4*1.5*1.5,18900000000*(1.65331^(MIN($E1922,123)-117)))*1,0))</f>
        <v>233471173936</v>
      </c>
      <c r="AG1922" s="4">
        <f>$E1922+27</f>
        <v>149</v>
      </c>
      <c r="AH1922" s="8">
        <f>IF($J1922=0,0,ROUND(MAX($J1922*1.4*1.5*1.6*1.6*2.2*2.715*2.6*1.4*1.4*1.5*1.5*3.2,60500000000*(1.654288^(MIN($E1922,123)-117)))*1,0))</f>
        <v>749567886338</v>
      </c>
    </row>
    <row r="1923" ht="27.75" customHeight="1" spans="1:34" x14ac:dyDescent="0.25">
      <c r="A1923" s="3">
        <v>1933</v>
      </c>
      <c r="B1923" s="3" t="s">
        <v>660</v>
      </c>
      <c r="C1923" s="3" t="s">
        <v>1243</v>
      </c>
      <c r="D1923" s="3" t="s">
        <v>102</v>
      </c>
      <c r="E1923" s="3">
        <v>122</v>
      </c>
      <c r="F1923" s="3" t="s">
        <v>62</v>
      </c>
      <c r="G1923" s="3" t="s">
        <v>1244</v>
      </c>
      <c r="H1923" s="3">
        <v>31</v>
      </c>
      <c r="I1923" s="4">
        <v>122</v>
      </c>
      <c r="J1923" s="5">
        <v>3600000</v>
      </c>
      <c r="K1923" s="6">
        <f>$E1923+1</f>
        <v>123</v>
      </c>
      <c r="L1923" s="7">
        <f>IF($J1923=0,0,ROUND(MAX($J1923*1.4,1620000*(1.497923^(MIN($E1923,123)-117)))*1,0))</f>
        <v>12216941</v>
      </c>
      <c r="M1923" s="4">
        <f>$E1923+2</f>
        <v>124</v>
      </c>
      <c r="N1923" s="8">
        <f>IF($J1923=0,0,ROUND(MAX($J1923*1.4*1.5,2190000*(1.580994^(MIN($E1923,123)-117)))*1,0))</f>
        <v>21631928</v>
      </c>
      <c r="O1923" s="6">
        <f>$E1923+4</f>
        <v>126</v>
      </c>
      <c r="P1923" s="7">
        <f>IF($J1923=0,0,ROUND(MAX($J1923*1.4*1.5*1.6,3500000*(1.57975^(MIN($E1923,123)-117)))*1,0))</f>
        <v>34435775</v>
      </c>
      <c r="Q1923" s="4">
        <f>$E1923+6</f>
        <v>128</v>
      </c>
      <c r="R1923" s="8">
        <f>IF($J1923=0,0,ROUND(MAX($J1923*1.4*1.5*1.6*1.6,13100000*(1.429962^(MIN($E1923,123)-117)))*1,0))</f>
        <v>78323805</v>
      </c>
      <c r="S1923" s="6">
        <f>$E1923+8</f>
        <v>130</v>
      </c>
      <c r="T1923" s="7">
        <f>IF($J1923=0,0,ROUND(MAX($J1923*1.4*1.5*1.6*1.6*2.2,42600000*(1.576904^(MIN($E1923,123)-117)))*1,0))</f>
        <v>415370714</v>
      </c>
      <c r="U1923" s="4">
        <f>$E1923+11</f>
        <v>133</v>
      </c>
      <c r="V1923" s="8">
        <f>IF($J1923=0,0,ROUND(MAX($J1923*1.4*1.5*1.6*1.6*2.2*2.715,354000000*(1.642074^(MIN($E1923,123)-117)))*1,0))</f>
        <v>4226363874</v>
      </c>
      <c r="W1923" s="6">
        <f>$E1923+15</f>
        <v>137</v>
      </c>
      <c r="X1923" s="7">
        <f>IF($J1923=0,0,ROUND(MAX($J1923*1.4*1.5*1.6*1.6*2.2*2.715*2.6,3540000000*(1.579646^(MIN($E1923,123)-117)))*1,0))</f>
        <v>34817863835</v>
      </c>
      <c r="Y1923" s="4">
        <f>$E1923+17</f>
        <v>139</v>
      </c>
      <c r="Z1923" s="8">
        <f>IF($J1923=0,0,ROUND(MAX($J1923*1.4*1.5*1.6*1.6*2.2*2.715*2.6*1.4,6020000000*(1.651178^(MIN($E1923,123)-117)))*1,0))</f>
        <v>73886647050</v>
      </c>
      <c r="AA1923" s="6">
        <f>$E1923+19</f>
        <v>141</v>
      </c>
      <c r="AB1923" s="7">
        <f>IF($J1923=0,0,ROUND(MAX($J1923*1.4*1.5*1.6*1.6*2.2*2.715*2.6*1.4*1.4,8430000000*(1.651435^(MIN($E1923,123)-117)))*1,0))</f>
        <v>103546398464</v>
      </c>
      <c r="AC1923" s="4">
        <f>$E1923+21</f>
        <v>143</v>
      </c>
      <c r="AD1923" s="8">
        <f>IF($J1923=0,0,ROUND(MAX($J1923*1.4*1.5*1.6*1.6*2.2*2.715*2.6*1.4*1.4*1.5,12600000000*(1.652953^(MIN($E1923,123)-117)))*1,0))</f>
        <v>155479476715</v>
      </c>
      <c r="AE1923" s="6">
        <f>$E1923+24</f>
        <v>146</v>
      </c>
      <c r="AF1923" s="7">
        <f>IF($J1923=0,0,ROUND(MAX($J1923*1.4*1.5*1.6*1.6*2.2*2.715*2.6*1.4*1.4*1.5*1.5,18900000000*(1.65331^(MIN($E1923,123)-117)))*1,0))</f>
        <v>233471173936</v>
      </c>
      <c r="AG1923" s="4">
        <f>$E1923+27</f>
        <v>149</v>
      </c>
      <c r="AH1923" s="8">
        <f>IF($J1923=0,0,ROUND(MAX($J1923*1.4*1.5*1.6*1.6*2.2*2.715*2.6*1.4*1.4*1.5*1.5*3.2,60500000000*(1.654288^(MIN($E1923,123)-117)))*1,0))</f>
        <v>749567886338</v>
      </c>
    </row>
    <row r="1924" ht="27.75" customHeight="1" spans="1:34" x14ac:dyDescent="0.25">
      <c r="A1924" s="3">
        <v>1934</v>
      </c>
      <c r="B1924" s="3" t="s">
        <v>111</v>
      </c>
      <c r="C1924" s="3" t="s">
        <v>1243</v>
      </c>
      <c r="D1924" s="3" t="s">
        <v>47</v>
      </c>
      <c r="E1924" s="3">
        <v>122</v>
      </c>
      <c r="F1924" s="3" t="s">
        <v>34</v>
      </c>
      <c r="G1924" s="3" t="s">
        <v>1244</v>
      </c>
      <c r="H1924" s="3">
        <v>29</v>
      </c>
      <c r="I1924" s="4">
        <v>122</v>
      </c>
      <c r="J1924" s="5">
        <v>3650000</v>
      </c>
      <c r="K1924" s="6">
        <f>$E1924+1</f>
        <v>123</v>
      </c>
      <c r="L1924" s="7">
        <f>IF($J1924=0,0,ROUND(MAX($J1924*1.4,1620000*(1.497923^(MIN($E1924,123)-117)))*1,0))</f>
        <v>12216941</v>
      </c>
      <c r="M1924" s="4">
        <f>$E1924+2</f>
        <v>124</v>
      </c>
      <c r="N1924" s="8">
        <f>IF($J1924=0,0,ROUND(MAX($J1924*1.4*1.5,2190000*(1.580994^(MIN($E1924,123)-117)))*1,0))</f>
        <v>21631928</v>
      </c>
      <c r="O1924" s="6">
        <f>$E1924+4</f>
        <v>126</v>
      </c>
      <c r="P1924" s="7">
        <f>IF($J1924=0,0,ROUND(MAX($J1924*1.4*1.5*1.6,3500000*(1.57975^(MIN($E1924,123)-117)))*1,0))</f>
        <v>34435775</v>
      </c>
      <c r="Q1924" s="4">
        <f>$E1924+6</f>
        <v>128</v>
      </c>
      <c r="R1924" s="8">
        <f>IF($J1924=0,0,ROUND(MAX($J1924*1.4*1.5*1.6*1.6,13100000*(1.429962^(MIN($E1924,123)-117)))*1,0))</f>
        <v>78323805</v>
      </c>
      <c r="S1924" s="6">
        <f>$E1924+8</f>
        <v>130</v>
      </c>
      <c r="T1924" s="7">
        <f>IF($J1924=0,0,ROUND(MAX($J1924*1.4*1.5*1.6*1.6*2.2,42600000*(1.576904^(MIN($E1924,123)-117)))*1,0))</f>
        <v>415370714</v>
      </c>
      <c r="U1924" s="4">
        <f>$E1924+11</f>
        <v>133</v>
      </c>
      <c r="V1924" s="8">
        <f>IF($J1924=0,0,ROUND(MAX($J1924*1.4*1.5*1.6*1.6*2.2*2.715,354000000*(1.642074^(MIN($E1924,123)-117)))*1,0))</f>
        <v>4226363874</v>
      </c>
      <c r="W1924" s="6">
        <f>$E1924+15</f>
        <v>137</v>
      </c>
      <c r="X1924" s="7">
        <f>IF($J1924=0,0,ROUND(MAX($J1924*1.4*1.5*1.6*1.6*2.2*2.715*2.6,3540000000*(1.579646^(MIN($E1924,123)-117)))*1,0))</f>
        <v>34817863835</v>
      </c>
      <c r="Y1924" s="4">
        <f>$E1924+17</f>
        <v>139</v>
      </c>
      <c r="Z1924" s="8">
        <f>IF($J1924=0,0,ROUND(MAX($J1924*1.4*1.5*1.6*1.6*2.2*2.715*2.6*1.4,6020000000*(1.651178^(MIN($E1924,123)-117)))*1,0))</f>
        <v>73886647050</v>
      </c>
      <c r="AA1924" s="6">
        <f>$E1924+19</f>
        <v>141</v>
      </c>
      <c r="AB1924" s="7">
        <f>IF($J1924=0,0,ROUND(MAX($J1924*1.4*1.5*1.6*1.6*2.2*2.715*2.6*1.4*1.4,8430000000*(1.651435^(MIN($E1924,123)-117)))*1,0))</f>
        <v>103546398464</v>
      </c>
      <c r="AC1924" s="4">
        <f>$E1924+21</f>
        <v>143</v>
      </c>
      <c r="AD1924" s="8">
        <f>IF($J1924=0,0,ROUND(MAX($J1924*1.4*1.5*1.6*1.6*2.2*2.715*2.6*1.4*1.4*1.5,12600000000*(1.652953^(MIN($E1924,123)-117)))*1,0))</f>
        <v>155479476715</v>
      </c>
      <c r="AE1924" s="6">
        <f>$E1924+24</f>
        <v>146</v>
      </c>
      <c r="AF1924" s="7">
        <f>IF($J1924=0,0,ROUND(MAX($J1924*1.4*1.5*1.6*1.6*2.2*2.715*2.6*1.4*1.4*1.5*1.5,18900000000*(1.65331^(MIN($E1924,123)-117)))*1,0))</f>
        <v>233471173936</v>
      </c>
      <c r="AG1924" s="4">
        <f>$E1924+27</f>
        <v>149</v>
      </c>
      <c r="AH1924" s="8">
        <f>IF($J1924=0,0,ROUND(MAX($J1924*1.4*1.5*1.6*1.6*2.2*2.715*2.6*1.4*1.4*1.5*1.5*3.2,60500000000*(1.654288^(MIN($E1924,123)-117)))*1,0))</f>
        <v>749567886338</v>
      </c>
    </row>
    <row r="1925" ht="27.75" customHeight="1" spans="1:34" x14ac:dyDescent="0.25">
      <c r="A1925" s="3">
        <v>1935</v>
      </c>
      <c r="B1925" s="3" t="s">
        <v>176</v>
      </c>
      <c r="C1925" s="3" t="s">
        <v>1243</v>
      </c>
      <c r="D1925" s="3" t="s">
        <v>33</v>
      </c>
      <c r="E1925" s="3">
        <v>121</v>
      </c>
      <c r="F1925" s="3" t="s">
        <v>54</v>
      </c>
      <c r="G1925" s="3" t="s">
        <v>1244</v>
      </c>
      <c r="H1925" s="3">
        <v>32</v>
      </c>
      <c r="I1925" s="4">
        <v>121</v>
      </c>
      <c r="J1925" s="5">
        <v>1980000</v>
      </c>
      <c r="K1925" s="6">
        <f>$E1925+1</f>
        <v>122</v>
      </c>
      <c r="L1925" s="7">
        <f>IF($J1925=0,0,ROUND(MAX($J1925*1.4,1620000*(1.497923^(MIN($E1925,123)-117)))*1,0))</f>
        <v>8155920</v>
      </c>
      <c r="M1925" s="4">
        <f>$E1925+2</f>
        <v>123</v>
      </c>
      <c r="N1925" s="8">
        <f>IF($J1925=0,0,ROUND(MAX($J1925*1.4*1.5,2190000*(1.580994^(MIN($E1925,123)-117)))*1,0))</f>
        <v>13682486</v>
      </c>
      <c r="O1925" s="6">
        <f>$E1925+4</f>
        <v>125</v>
      </c>
      <c r="P1925" s="7">
        <f>IF($J1925=0,0,ROUND(MAX($J1925*1.4*1.5*1.6,3500000*(1.57975^(MIN($E1925,123)-117)))*1,0))</f>
        <v>21798244</v>
      </c>
      <c r="Q1925" s="4">
        <f>$E1925+6</f>
        <v>127</v>
      </c>
      <c r="R1925" s="8">
        <f>IF($J1925=0,0,ROUND(MAX($J1925*1.4*1.5*1.6*1.6,13100000*(1.429962^(MIN($E1925,123)-117)))*1,0))</f>
        <v>54773347</v>
      </c>
      <c r="S1925" s="6">
        <f>$E1925+8</f>
        <v>129</v>
      </c>
      <c r="T1925" s="7">
        <f>IF($J1925=0,0,ROUND(MAX($J1925*1.4*1.5*1.6*1.6*2.2,42600000*(1.576904^(MIN($E1925,123)-117)))*1,0))</f>
        <v>263409005</v>
      </c>
      <c r="U1925" s="4">
        <f>$E1925+11</f>
        <v>132</v>
      </c>
      <c r="V1925" s="8">
        <f>IF($J1925=0,0,ROUND(MAX($J1925*1.4*1.5*1.6*1.6*2.2*2.715,354000000*(1.642074^(MIN($E1925,123)-117)))*1,0))</f>
        <v>2573796232</v>
      </c>
      <c r="W1925" s="6">
        <f>$E1925+15</f>
        <v>136</v>
      </c>
      <c r="X1925" s="7">
        <f>IF($J1925=0,0,ROUND(MAX($J1925*1.4*1.5*1.6*1.6*2.2*2.715*2.6,3540000000*(1.579646^(MIN($E1925,123)-117)))*1,0))</f>
        <v>22041561106</v>
      </c>
      <c r="Y1925" s="4">
        <f>$E1925+17</f>
        <v>138</v>
      </c>
      <c r="Z1925" s="8">
        <f>IF($J1925=0,0,ROUND(MAX($J1925*1.4*1.5*1.6*1.6*2.2*2.715*2.6*1.4,6020000000*(1.651178^(MIN($E1925,123)-117)))*1,0))</f>
        <v>44747838846</v>
      </c>
      <c r="AA1925" s="6">
        <f>$E1925+19</f>
        <v>140</v>
      </c>
      <c r="AB1925" s="7">
        <f>IF($J1925=0,0,ROUND(MAX($J1925*1.4*1.5*1.6*1.6*2.2*2.715*2.6*1.4*1.4,8430000000*(1.651435^(MIN($E1925,123)-117)))*1,0))</f>
        <v>62700862258</v>
      </c>
      <c r="AC1925" s="4">
        <f>$E1925+21</f>
        <v>142</v>
      </c>
      <c r="AD1925" s="8">
        <f>IF($J1925=0,0,ROUND(MAX($J1925*1.4*1.5*1.6*1.6*2.2*2.715*2.6*1.4*1.4*1.5,12600000000*(1.652953^(MIN($E1925,123)-117)))*1,0))</f>
        <v>94061644049</v>
      </c>
      <c r="AE1925" s="6">
        <f>$E1925+24</f>
        <v>145</v>
      </c>
      <c r="AF1925" s="7">
        <f>IF($J1925=0,0,ROUND(MAX($J1925*1.4*1.5*1.6*1.6*2.2*2.715*2.6*1.4*1.4*1.5*1.5,18900000000*(1.65331^(MIN($E1925,123)-117)))*1,0))</f>
        <v>141214396536</v>
      </c>
      <c r="AG1925" s="4">
        <f>$E1925+27</f>
        <v>148</v>
      </c>
      <c r="AH1925" s="8">
        <f>IF($J1925=0,0,ROUND(MAX($J1925*1.4*1.5*1.6*1.6*2.2*2.715*2.6*1.4*1.4*1.5*1.5*3.2,60500000000*(1.654288^(MIN($E1925,123)-117)))*1,0))</f>
        <v>453106040991</v>
      </c>
    </row>
    <row r="1926" ht="27.75" customHeight="1" spans="1:34" x14ac:dyDescent="0.25">
      <c r="A1926" s="3">
        <v>1936</v>
      </c>
      <c r="B1926" s="3" t="s">
        <v>1246</v>
      </c>
      <c r="C1926" s="3" t="s">
        <v>1243</v>
      </c>
      <c r="D1926" s="3" t="s">
        <v>45</v>
      </c>
      <c r="E1926" s="3">
        <v>121</v>
      </c>
      <c r="F1926" s="3" t="s">
        <v>71</v>
      </c>
      <c r="G1926" s="3" t="s">
        <v>95</v>
      </c>
      <c r="H1926" s="3">
        <v>31</v>
      </c>
      <c r="I1926" s="4">
        <v>121</v>
      </c>
      <c r="J1926" s="5">
        <v>2100000</v>
      </c>
      <c r="K1926" s="6">
        <f>$E1926+1</f>
        <v>122</v>
      </c>
      <c r="L1926" s="7">
        <f>IF($J1926=0,0,ROUND(MAX($J1926*1.4,1620000*(1.497923^(MIN($E1926,123)-117)))*1,0))</f>
        <v>8155920</v>
      </c>
      <c r="M1926" s="4">
        <f>$E1926+2</f>
        <v>123</v>
      </c>
      <c r="N1926" s="8">
        <f>IF($J1926=0,0,ROUND(MAX($J1926*1.4*1.5,2190000*(1.580994^(MIN($E1926,123)-117)))*1,0))</f>
        <v>13682486</v>
      </c>
      <c r="O1926" s="6">
        <f>$E1926+4</f>
        <v>125</v>
      </c>
      <c r="P1926" s="7">
        <f>IF($J1926=0,0,ROUND(MAX($J1926*1.4*1.5*1.6,3500000*(1.57975^(MIN($E1926,123)-117)))*1,0))</f>
        <v>21798244</v>
      </c>
      <c r="Q1926" s="4">
        <f>$E1926+6</f>
        <v>127</v>
      </c>
      <c r="R1926" s="8">
        <f>IF($J1926=0,0,ROUND(MAX($J1926*1.4*1.5*1.6*1.6,13100000*(1.429962^(MIN($E1926,123)-117)))*1,0))</f>
        <v>54773347</v>
      </c>
      <c r="S1926" s="6">
        <f>$E1926+8</f>
        <v>129</v>
      </c>
      <c r="T1926" s="7">
        <f>IF($J1926=0,0,ROUND(MAX($J1926*1.4*1.5*1.6*1.6*2.2,42600000*(1.576904^(MIN($E1926,123)-117)))*1,0))</f>
        <v>263409005</v>
      </c>
      <c r="U1926" s="4">
        <f>$E1926+11</f>
        <v>132</v>
      </c>
      <c r="V1926" s="8">
        <f>IF($J1926=0,0,ROUND(MAX($J1926*1.4*1.5*1.6*1.6*2.2*2.715,354000000*(1.642074^(MIN($E1926,123)-117)))*1,0))</f>
        <v>2573796232</v>
      </c>
      <c r="W1926" s="6">
        <f>$E1926+15</f>
        <v>136</v>
      </c>
      <c r="X1926" s="7">
        <f>IF($J1926=0,0,ROUND(MAX($J1926*1.4*1.5*1.6*1.6*2.2*2.715*2.6,3540000000*(1.579646^(MIN($E1926,123)-117)))*1,0))</f>
        <v>22041561106</v>
      </c>
      <c r="Y1926" s="4">
        <f>$E1926+17</f>
        <v>138</v>
      </c>
      <c r="Z1926" s="8">
        <f>IF($J1926=0,0,ROUND(MAX($J1926*1.4*1.5*1.6*1.6*2.2*2.715*2.6*1.4,6020000000*(1.651178^(MIN($E1926,123)-117)))*1,0))</f>
        <v>44747838846</v>
      </c>
      <c r="AA1926" s="6">
        <f>$E1926+19</f>
        <v>140</v>
      </c>
      <c r="AB1926" s="7">
        <f>IF($J1926=0,0,ROUND(MAX($J1926*1.4*1.5*1.6*1.6*2.2*2.715*2.6*1.4*1.4,8430000000*(1.651435^(MIN($E1926,123)-117)))*1,0))</f>
        <v>62700862258</v>
      </c>
      <c r="AC1926" s="4">
        <f>$E1926+21</f>
        <v>142</v>
      </c>
      <c r="AD1926" s="8">
        <f>IF($J1926=0,0,ROUND(MAX($J1926*1.4*1.5*1.6*1.6*2.2*2.715*2.6*1.4*1.4*1.5,12600000000*(1.652953^(MIN($E1926,123)-117)))*1,0))</f>
        <v>94061644049</v>
      </c>
      <c r="AE1926" s="6">
        <f>$E1926+24</f>
        <v>145</v>
      </c>
      <c r="AF1926" s="7">
        <f>IF($J1926=0,0,ROUND(MAX($J1926*1.4*1.5*1.6*1.6*2.2*2.715*2.6*1.4*1.4*1.5*1.5,18900000000*(1.65331^(MIN($E1926,123)-117)))*1,0))</f>
        <v>141214396536</v>
      </c>
      <c r="AG1926" s="4">
        <f>$E1926+27</f>
        <v>148</v>
      </c>
      <c r="AH1926" s="8">
        <f>IF($J1926=0,0,ROUND(MAX($J1926*1.4*1.5*1.6*1.6*2.2*2.715*2.6*1.4*1.4*1.5*1.5*3.2,60500000000*(1.654288^(MIN($E1926,123)-117)))*1,0))</f>
        <v>453106040991</v>
      </c>
    </row>
    <row r="1927" ht="27.75" customHeight="1" spans="1:34" x14ac:dyDescent="0.25">
      <c r="A1927" s="3">
        <v>1937</v>
      </c>
      <c r="B1927" s="3" t="s">
        <v>1247</v>
      </c>
      <c r="C1927" s="3" t="s">
        <v>1243</v>
      </c>
      <c r="D1927" s="3" t="s">
        <v>25</v>
      </c>
      <c r="E1927" s="3">
        <v>121</v>
      </c>
      <c r="F1927" s="3" t="s">
        <v>56</v>
      </c>
      <c r="G1927" s="3" t="s">
        <v>171</v>
      </c>
      <c r="H1927" s="3">
        <v>31</v>
      </c>
      <c r="I1927" s="4">
        <v>121</v>
      </c>
      <c r="J1927" s="5">
        <v>2270000</v>
      </c>
      <c r="K1927" s="6">
        <f>$E1927+1</f>
        <v>122</v>
      </c>
      <c r="L1927" s="7">
        <f>IF($J1927=0,0,ROUND(MAX($J1927*1.4,1620000*(1.497923^(MIN($E1927,123)-117)))*1,0))</f>
        <v>8155920</v>
      </c>
      <c r="M1927" s="4">
        <f>$E1927+2</f>
        <v>123</v>
      </c>
      <c r="N1927" s="8">
        <f>IF($J1927=0,0,ROUND(MAX($J1927*1.4*1.5,2190000*(1.580994^(MIN($E1927,123)-117)))*1,0))</f>
        <v>13682486</v>
      </c>
      <c r="O1927" s="6">
        <f>$E1927+4</f>
        <v>125</v>
      </c>
      <c r="P1927" s="7">
        <f>IF($J1927=0,0,ROUND(MAX($J1927*1.4*1.5*1.6,3500000*(1.57975^(MIN($E1927,123)-117)))*1,0))</f>
        <v>21798244</v>
      </c>
      <c r="Q1927" s="4">
        <f>$E1927+6</f>
        <v>127</v>
      </c>
      <c r="R1927" s="8">
        <f>IF($J1927=0,0,ROUND(MAX($J1927*1.4*1.5*1.6*1.6,13100000*(1.429962^(MIN($E1927,123)-117)))*1,0))</f>
        <v>54773347</v>
      </c>
      <c r="S1927" s="6">
        <f>$E1927+8</f>
        <v>129</v>
      </c>
      <c r="T1927" s="7">
        <f>IF($J1927=0,0,ROUND(MAX($J1927*1.4*1.5*1.6*1.6*2.2,42600000*(1.576904^(MIN($E1927,123)-117)))*1,0))</f>
        <v>263409005</v>
      </c>
      <c r="U1927" s="4">
        <f>$E1927+11</f>
        <v>132</v>
      </c>
      <c r="V1927" s="8">
        <f>IF($J1927=0,0,ROUND(MAX($J1927*1.4*1.5*1.6*1.6*2.2*2.715,354000000*(1.642074^(MIN($E1927,123)-117)))*1,0))</f>
        <v>2573796232</v>
      </c>
      <c r="W1927" s="6">
        <f>$E1927+15</f>
        <v>136</v>
      </c>
      <c r="X1927" s="7">
        <f>IF($J1927=0,0,ROUND(MAX($J1927*1.4*1.5*1.6*1.6*2.2*2.715*2.6,3540000000*(1.579646^(MIN($E1927,123)-117)))*1,0))</f>
        <v>22041561106</v>
      </c>
      <c r="Y1927" s="4">
        <f>$E1927+17</f>
        <v>138</v>
      </c>
      <c r="Z1927" s="8">
        <f>IF($J1927=0,0,ROUND(MAX($J1927*1.4*1.5*1.6*1.6*2.2*2.715*2.6*1.4,6020000000*(1.651178^(MIN($E1927,123)-117)))*1,0))</f>
        <v>44747838846</v>
      </c>
      <c r="AA1927" s="6">
        <f>$E1927+19</f>
        <v>140</v>
      </c>
      <c r="AB1927" s="7">
        <f>IF($J1927=0,0,ROUND(MAX($J1927*1.4*1.5*1.6*1.6*2.2*2.715*2.6*1.4*1.4,8430000000*(1.651435^(MIN($E1927,123)-117)))*1,0))</f>
        <v>62700862258</v>
      </c>
      <c r="AC1927" s="4">
        <f>$E1927+21</f>
        <v>142</v>
      </c>
      <c r="AD1927" s="8">
        <f>IF($J1927=0,0,ROUND(MAX($J1927*1.4*1.5*1.6*1.6*2.2*2.715*2.6*1.4*1.4*1.5,12600000000*(1.652953^(MIN($E1927,123)-117)))*1,0))</f>
        <v>94061644049</v>
      </c>
      <c r="AE1927" s="6">
        <f>$E1927+24</f>
        <v>145</v>
      </c>
      <c r="AF1927" s="7">
        <f>IF($J1927=0,0,ROUND(MAX($J1927*1.4*1.5*1.6*1.6*2.2*2.715*2.6*1.4*1.4*1.5*1.5,18900000000*(1.65331^(MIN($E1927,123)-117)))*1,0))</f>
        <v>141214396536</v>
      </c>
      <c r="AG1927" s="4">
        <f>$E1927+27</f>
        <v>148</v>
      </c>
      <c r="AH1927" s="8">
        <f>IF($J1927=0,0,ROUND(MAX($J1927*1.4*1.5*1.6*1.6*2.2*2.715*2.6*1.4*1.4*1.5*1.5*3.2,60500000000*(1.654288^(MIN($E1927,123)-117)))*1,0))</f>
        <v>453106040991</v>
      </c>
    </row>
    <row r="1928" ht="27.75" customHeight="1" spans="1:34" x14ac:dyDescent="0.25">
      <c r="A1928" s="3">
        <v>1938</v>
      </c>
      <c r="B1928" s="3" t="s">
        <v>653</v>
      </c>
      <c r="C1928" s="3" t="s">
        <v>1243</v>
      </c>
      <c r="D1928" s="3" t="s">
        <v>40</v>
      </c>
      <c r="E1928" s="3">
        <v>121</v>
      </c>
      <c r="F1928" s="3" t="s">
        <v>34</v>
      </c>
      <c r="G1928" s="3" t="s">
        <v>1244</v>
      </c>
      <c r="H1928" s="3">
        <v>31</v>
      </c>
      <c r="I1928" s="4">
        <v>121</v>
      </c>
      <c r="J1928" s="5">
        <v>2320000</v>
      </c>
      <c r="K1928" s="6">
        <f>$E1928+1</f>
        <v>122</v>
      </c>
      <c r="L1928" s="7">
        <f>IF($J1928=0,0,ROUND(MAX($J1928*1.4,1620000*(1.497923^(MIN($E1928,123)-117)))*1,0))</f>
        <v>8155920</v>
      </c>
      <c r="M1928" s="4">
        <f>$E1928+2</f>
        <v>123</v>
      </c>
      <c r="N1928" s="8">
        <f>IF($J1928=0,0,ROUND(MAX($J1928*1.4*1.5,2190000*(1.580994^(MIN($E1928,123)-117)))*1,0))</f>
        <v>13682486</v>
      </c>
      <c r="O1928" s="6">
        <f>$E1928+4</f>
        <v>125</v>
      </c>
      <c r="P1928" s="7">
        <f>IF($J1928=0,0,ROUND(MAX($J1928*1.4*1.5*1.6,3500000*(1.57975^(MIN($E1928,123)-117)))*1,0))</f>
        <v>21798244</v>
      </c>
      <c r="Q1928" s="4">
        <f>$E1928+6</f>
        <v>127</v>
      </c>
      <c r="R1928" s="8">
        <f>IF($J1928=0,0,ROUND(MAX($J1928*1.4*1.5*1.6*1.6,13100000*(1.429962^(MIN($E1928,123)-117)))*1,0))</f>
        <v>54773347</v>
      </c>
      <c r="S1928" s="6">
        <f>$E1928+8</f>
        <v>129</v>
      </c>
      <c r="T1928" s="7">
        <f>IF($J1928=0,0,ROUND(MAX($J1928*1.4*1.5*1.6*1.6*2.2,42600000*(1.576904^(MIN($E1928,123)-117)))*1,0))</f>
        <v>263409005</v>
      </c>
      <c r="U1928" s="4">
        <f>$E1928+11</f>
        <v>132</v>
      </c>
      <c r="V1928" s="8">
        <f>IF($J1928=0,0,ROUND(MAX($J1928*1.4*1.5*1.6*1.6*2.2*2.715,354000000*(1.642074^(MIN($E1928,123)-117)))*1,0))</f>
        <v>2573796232</v>
      </c>
      <c r="W1928" s="6">
        <f>$E1928+15</f>
        <v>136</v>
      </c>
      <c r="X1928" s="7">
        <f>IF($J1928=0,0,ROUND(MAX($J1928*1.4*1.5*1.6*1.6*2.2*2.715*2.6,3540000000*(1.579646^(MIN($E1928,123)-117)))*1,0))</f>
        <v>22041561106</v>
      </c>
      <c r="Y1928" s="4">
        <f>$E1928+17</f>
        <v>138</v>
      </c>
      <c r="Z1928" s="8">
        <f>IF($J1928=0,0,ROUND(MAX($J1928*1.4*1.5*1.6*1.6*2.2*2.715*2.6*1.4,6020000000*(1.651178^(MIN($E1928,123)-117)))*1,0))</f>
        <v>44747838846</v>
      </c>
      <c r="AA1928" s="6">
        <f>$E1928+19</f>
        <v>140</v>
      </c>
      <c r="AB1928" s="7">
        <f>IF($J1928=0,0,ROUND(MAX($J1928*1.4*1.5*1.6*1.6*2.2*2.715*2.6*1.4*1.4,8430000000*(1.651435^(MIN($E1928,123)-117)))*1,0))</f>
        <v>62700862258</v>
      </c>
      <c r="AC1928" s="4">
        <f>$E1928+21</f>
        <v>142</v>
      </c>
      <c r="AD1928" s="8">
        <f>IF($J1928=0,0,ROUND(MAX($J1928*1.4*1.5*1.6*1.6*2.2*2.715*2.6*1.4*1.4*1.5,12600000000*(1.652953^(MIN($E1928,123)-117)))*1,0))</f>
        <v>94061644049</v>
      </c>
      <c r="AE1928" s="6">
        <f>$E1928+24</f>
        <v>145</v>
      </c>
      <c r="AF1928" s="7">
        <f>IF($J1928=0,0,ROUND(MAX($J1928*1.4*1.5*1.6*1.6*2.2*2.715*2.6*1.4*1.4*1.5*1.5,18900000000*(1.65331^(MIN($E1928,123)-117)))*1,0))</f>
        <v>141214396536</v>
      </c>
      <c r="AG1928" s="4">
        <f>$E1928+27</f>
        <v>148</v>
      </c>
      <c r="AH1928" s="8">
        <f>IF($J1928=0,0,ROUND(MAX($J1928*1.4*1.5*1.6*1.6*2.2*2.715*2.6*1.4*1.4*1.5*1.5*3.2,60500000000*(1.654288^(MIN($E1928,123)-117)))*1,0))</f>
        <v>453106040991</v>
      </c>
    </row>
    <row r="1929" ht="27.75" customHeight="1" spans="1:34" x14ac:dyDescent="0.25">
      <c r="A1929" s="3">
        <v>1939</v>
      </c>
      <c r="B1929" s="3" t="s">
        <v>162</v>
      </c>
      <c r="C1929" s="3" t="s">
        <v>1243</v>
      </c>
      <c r="D1929" s="3" t="s">
        <v>33</v>
      </c>
      <c r="E1929" s="3">
        <v>121</v>
      </c>
      <c r="F1929" s="3" t="s">
        <v>71</v>
      </c>
      <c r="G1929" s="3" t="s">
        <v>1244</v>
      </c>
      <c r="H1929" s="3">
        <v>31</v>
      </c>
      <c r="I1929" s="4">
        <v>121</v>
      </c>
      <c r="J1929" s="5">
        <v>2090000</v>
      </c>
      <c r="K1929" s="6">
        <f>$E1929+1</f>
        <v>122</v>
      </c>
      <c r="L1929" s="7">
        <f>IF($J1929=0,0,ROUND(MAX($J1929*1.4,1620000*(1.497923^(MIN($E1929,123)-117)))*1,0))</f>
        <v>8155920</v>
      </c>
      <c r="M1929" s="4">
        <f>$E1929+2</f>
        <v>123</v>
      </c>
      <c r="N1929" s="8">
        <f>IF($J1929=0,0,ROUND(MAX($J1929*1.4*1.5,2190000*(1.580994^(MIN($E1929,123)-117)))*1,0))</f>
        <v>13682486</v>
      </c>
      <c r="O1929" s="6">
        <f>$E1929+4</f>
        <v>125</v>
      </c>
      <c r="P1929" s="7">
        <f>IF($J1929=0,0,ROUND(MAX($J1929*1.4*1.5*1.6,3500000*(1.57975^(MIN($E1929,123)-117)))*1,0))</f>
        <v>21798244</v>
      </c>
      <c r="Q1929" s="4">
        <f>$E1929+6</f>
        <v>127</v>
      </c>
      <c r="R1929" s="8">
        <f>IF($J1929=0,0,ROUND(MAX($J1929*1.4*1.5*1.6*1.6,13100000*(1.429962^(MIN($E1929,123)-117)))*1,0))</f>
        <v>54773347</v>
      </c>
      <c r="S1929" s="6">
        <f>$E1929+8</f>
        <v>129</v>
      </c>
      <c r="T1929" s="7">
        <f>IF($J1929=0,0,ROUND(MAX($J1929*1.4*1.5*1.6*1.6*2.2,42600000*(1.576904^(MIN($E1929,123)-117)))*1,0))</f>
        <v>263409005</v>
      </c>
      <c r="U1929" s="4">
        <f>$E1929+11</f>
        <v>132</v>
      </c>
      <c r="V1929" s="8">
        <f>IF($J1929=0,0,ROUND(MAX($J1929*1.4*1.5*1.6*1.6*2.2*2.715,354000000*(1.642074^(MIN($E1929,123)-117)))*1,0))</f>
        <v>2573796232</v>
      </c>
      <c r="W1929" s="6">
        <f>$E1929+15</f>
        <v>136</v>
      </c>
      <c r="X1929" s="7">
        <f>IF($J1929=0,0,ROUND(MAX($J1929*1.4*1.5*1.6*1.6*2.2*2.715*2.6,3540000000*(1.579646^(MIN($E1929,123)-117)))*1,0))</f>
        <v>22041561106</v>
      </c>
      <c r="Y1929" s="4">
        <f>$E1929+17</f>
        <v>138</v>
      </c>
      <c r="Z1929" s="8">
        <f>IF($J1929=0,0,ROUND(MAX($J1929*1.4*1.5*1.6*1.6*2.2*2.715*2.6*1.4,6020000000*(1.651178^(MIN($E1929,123)-117)))*1,0))</f>
        <v>44747838846</v>
      </c>
      <c r="AA1929" s="6">
        <f>$E1929+19</f>
        <v>140</v>
      </c>
      <c r="AB1929" s="7">
        <f>IF($J1929=0,0,ROUND(MAX($J1929*1.4*1.5*1.6*1.6*2.2*2.715*2.6*1.4*1.4,8430000000*(1.651435^(MIN($E1929,123)-117)))*1,0))</f>
        <v>62700862258</v>
      </c>
      <c r="AC1929" s="4">
        <f>$E1929+21</f>
        <v>142</v>
      </c>
      <c r="AD1929" s="8">
        <f>IF($J1929=0,0,ROUND(MAX($J1929*1.4*1.5*1.6*1.6*2.2*2.715*2.6*1.4*1.4*1.5,12600000000*(1.652953^(MIN($E1929,123)-117)))*1,0))</f>
        <v>94061644049</v>
      </c>
      <c r="AE1929" s="6">
        <f>$E1929+24</f>
        <v>145</v>
      </c>
      <c r="AF1929" s="7">
        <f>IF($J1929=0,0,ROUND(MAX($J1929*1.4*1.5*1.6*1.6*2.2*2.715*2.6*1.4*1.4*1.5*1.5,18900000000*(1.65331^(MIN($E1929,123)-117)))*1,0))</f>
        <v>141214396536</v>
      </c>
      <c r="AG1929" s="4">
        <f>$E1929+27</f>
        <v>148</v>
      </c>
      <c r="AH1929" s="8">
        <f>IF($J1929=0,0,ROUND(MAX($J1929*1.4*1.5*1.6*1.6*2.2*2.715*2.6*1.4*1.4*1.5*1.5*3.2,60500000000*(1.654288^(MIN($E1929,123)-117)))*1,0))</f>
        <v>453106040991</v>
      </c>
    </row>
    <row r="1930" ht="27.75" customHeight="1" spans="1:34" x14ac:dyDescent="0.25">
      <c r="A1930" s="3">
        <v>1940</v>
      </c>
      <c r="B1930" s="3" t="s">
        <v>83</v>
      </c>
      <c r="C1930" s="3" t="s">
        <v>1243</v>
      </c>
      <c r="D1930" s="3" t="s">
        <v>33</v>
      </c>
      <c r="E1930" s="3">
        <v>121</v>
      </c>
      <c r="F1930" s="3" t="s">
        <v>62</v>
      </c>
      <c r="G1930" s="3" t="s">
        <v>1244</v>
      </c>
      <c r="H1930" s="3">
        <v>31</v>
      </c>
      <c r="I1930" s="4">
        <v>121</v>
      </c>
      <c r="J1930" s="5">
        <v>2100000</v>
      </c>
      <c r="K1930" s="6">
        <f>$E1930+1</f>
        <v>122</v>
      </c>
      <c r="L1930" s="7">
        <f>IF($J1930=0,0,ROUND(MAX($J1930*1.4,1620000*(1.497923^(MIN($E1930,123)-117)))*1,0))</f>
        <v>8155920</v>
      </c>
      <c r="M1930" s="4">
        <f>$E1930+2</f>
        <v>123</v>
      </c>
      <c r="N1930" s="8">
        <f>IF($J1930=0,0,ROUND(MAX($J1930*1.4*1.5,2190000*(1.580994^(MIN($E1930,123)-117)))*1,0))</f>
        <v>13682486</v>
      </c>
      <c r="O1930" s="6">
        <f>$E1930+4</f>
        <v>125</v>
      </c>
      <c r="P1930" s="7">
        <f>IF($J1930=0,0,ROUND(MAX($J1930*1.4*1.5*1.6,3500000*(1.57975^(MIN($E1930,123)-117)))*1,0))</f>
        <v>21798244</v>
      </c>
      <c r="Q1930" s="4">
        <f>$E1930+6</f>
        <v>127</v>
      </c>
      <c r="R1930" s="8">
        <f>IF($J1930=0,0,ROUND(MAX($J1930*1.4*1.5*1.6*1.6,13100000*(1.429962^(MIN($E1930,123)-117)))*1,0))</f>
        <v>54773347</v>
      </c>
      <c r="S1930" s="6">
        <f>$E1930+8</f>
        <v>129</v>
      </c>
      <c r="T1930" s="7">
        <f>IF($J1930=0,0,ROUND(MAX($J1930*1.4*1.5*1.6*1.6*2.2,42600000*(1.576904^(MIN($E1930,123)-117)))*1,0))</f>
        <v>263409005</v>
      </c>
      <c r="U1930" s="4">
        <f>$E1930+11</f>
        <v>132</v>
      </c>
      <c r="V1930" s="8">
        <f>IF($J1930=0,0,ROUND(MAX($J1930*1.4*1.5*1.6*1.6*2.2*2.715,354000000*(1.642074^(MIN($E1930,123)-117)))*1,0))</f>
        <v>2573796232</v>
      </c>
      <c r="W1930" s="6">
        <f>$E1930+15</f>
        <v>136</v>
      </c>
      <c r="X1930" s="7">
        <f>IF($J1930=0,0,ROUND(MAX($J1930*1.4*1.5*1.6*1.6*2.2*2.715*2.6,3540000000*(1.579646^(MIN($E1930,123)-117)))*1,0))</f>
        <v>22041561106</v>
      </c>
      <c r="Y1930" s="4">
        <f>$E1930+17</f>
        <v>138</v>
      </c>
      <c r="Z1930" s="8">
        <f>IF($J1930=0,0,ROUND(MAX($J1930*1.4*1.5*1.6*1.6*2.2*2.715*2.6*1.4,6020000000*(1.651178^(MIN($E1930,123)-117)))*1,0))</f>
        <v>44747838846</v>
      </c>
      <c r="AA1930" s="6">
        <f>$E1930+19</f>
        <v>140</v>
      </c>
      <c r="AB1930" s="7">
        <f>IF($J1930=0,0,ROUND(MAX($J1930*1.4*1.5*1.6*1.6*2.2*2.715*2.6*1.4*1.4,8430000000*(1.651435^(MIN($E1930,123)-117)))*1,0))</f>
        <v>62700862258</v>
      </c>
      <c r="AC1930" s="4">
        <f>$E1930+21</f>
        <v>142</v>
      </c>
      <c r="AD1930" s="8">
        <f>IF($J1930=0,0,ROUND(MAX($J1930*1.4*1.5*1.6*1.6*2.2*2.715*2.6*1.4*1.4*1.5,12600000000*(1.652953^(MIN($E1930,123)-117)))*1,0))</f>
        <v>94061644049</v>
      </c>
      <c r="AE1930" s="6">
        <f>$E1930+24</f>
        <v>145</v>
      </c>
      <c r="AF1930" s="7">
        <f>IF($J1930=0,0,ROUND(MAX($J1930*1.4*1.5*1.6*1.6*2.2*2.715*2.6*1.4*1.4*1.5*1.5,18900000000*(1.65331^(MIN($E1930,123)-117)))*1,0))</f>
        <v>141214396536</v>
      </c>
      <c r="AG1930" s="4">
        <f>$E1930+27</f>
        <v>148</v>
      </c>
      <c r="AH1930" s="8">
        <f>IF($J1930=0,0,ROUND(MAX($J1930*1.4*1.5*1.6*1.6*2.2*2.715*2.6*1.4*1.4*1.5*1.5*3.2,60500000000*(1.654288^(MIN($E1930,123)-117)))*1,0))</f>
        <v>453106040991</v>
      </c>
    </row>
    <row r="1931" ht="27.75" customHeight="1" spans="1:34" x14ac:dyDescent="0.25">
      <c r="A1931" s="3">
        <v>1941</v>
      </c>
      <c r="B1931" s="3" t="s">
        <v>92</v>
      </c>
      <c r="C1931" s="3" t="s">
        <v>1243</v>
      </c>
      <c r="D1931" s="3" t="s">
        <v>93</v>
      </c>
      <c r="E1931" s="3">
        <v>121</v>
      </c>
      <c r="F1931" s="3" t="s">
        <v>56</v>
      </c>
      <c r="G1931" s="3" t="s">
        <v>1244</v>
      </c>
      <c r="H1931" s="3">
        <v>31</v>
      </c>
      <c r="I1931" s="4">
        <v>121</v>
      </c>
      <c r="J1931" s="5">
        <v>2100000</v>
      </c>
      <c r="K1931" s="6">
        <f>$E1931+1</f>
        <v>122</v>
      </c>
      <c r="L1931" s="7">
        <f>IF($J1931=0,0,ROUND(MAX($J1931*1.4,1620000*(1.497923^(MIN($E1931,123)-117)))*1,0))</f>
        <v>8155920</v>
      </c>
      <c r="M1931" s="4">
        <f>$E1931+2</f>
        <v>123</v>
      </c>
      <c r="N1931" s="8">
        <f>IF($J1931=0,0,ROUND(MAX($J1931*1.4*1.5,2190000*(1.580994^(MIN($E1931,123)-117)))*1,0))</f>
        <v>13682486</v>
      </c>
      <c r="O1931" s="6">
        <f>$E1931+4</f>
        <v>125</v>
      </c>
      <c r="P1931" s="7">
        <f>IF($J1931=0,0,ROUND(MAX($J1931*1.4*1.5*1.6,3500000*(1.57975^(MIN($E1931,123)-117)))*1,0))</f>
        <v>21798244</v>
      </c>
      <c r="Q1931" s="4">
        <f>$E1931+6</f>
        <v>127</v>
      </c>
      <c r="R1931" s="8">
        <f>IF($J1931=0,0,ROUND(MAX($J1931*1.4*1.5*1.6*1.6,13100000*(1.429962^(MIN($E1931,123)-117)))*1,0))</f>
        <v>54773347</v>
      </c>
      <c r="S1931" s="6">
        <f>$E1931+8</f>
        <v>129</v>
      </c>
      <c r="T1931" s="7">
        <f>IF($J1931=0,0,ROUND(MAX($J1931*1.4*1.5*1.6*1.6*2.2,42600000*(1.576904^(MIN($E1931,123)-117)))*1,0))</f>
        <v>263409005</v>
      </c>
      <c r="U1931" s="4">
        <f>$E1931+11</f>
        <v>132</v>
      </c>
      <c r="V1931" s="8">
        <f>IF($J1931=0,0,ROUND(MAX($J1931*1.4*1.5*1.6*1.6*2.2*2.715,354000000*(1.642074^(MIN($E1931,123)-117)))*1,0))</f>
        <v>2573796232</v>
      </c>
      <c r="W1931" s="6">
        <f>$E1931+15</f>
        <v>136</v>
      </c>
      <c r="X1931" s="7">
        <f>IF($J1931=0,0,ROUND(MAX($J1931*1.4*1.5*1.6*1.6*2.2*2.715*2.6,3540000000*(1.579646^(MIN($E1931,123)-117)))*1,0))</f>
        <v>22041561106</v>
      </c>
      <c r="Y1931" s="4">
        <f>$E1931+17</f>
        <v>138</v>
      </c>
      <c r="Z1931" s="8">
        <f>IF($J1931=0,0,ROUND(MAX($J1931*1.4*1.5*1.6*1.6*2.2*2.715*2.6*1.4,6020000000*(1.651178^(MIN($E1931,123)-117)))*1,0))</f>
        <v>44747838846</v>
      </c>
      <c r="AA1931" s="6">
        <f>$E1931+19</f>
        <v>140</v>
      </c>
      <c r="AB1931" s="7">
        <f>IF($J1931=0,0,ROUND(MAX($J1931*1.4*1.5*1.6*1.6*2.2*2.715*2.6*1.4*1.4,8430000000*(1.651435^(MIN($E1931,123)-117)))*1,0))</f>
        <v>62700862258</v>
      </c>
      <c r="AC1931" s="4">
        <f>$E1931+21</f>
        <v>142</v>
      </c>
      <c r="AD1931" s="8">
        <f>IF($J1931=0,0,ROUND(MAX($J1931*1.4*1.5*1.6*1.6*2.2*2.715*2.6*1.4*1.4*1.5,12600000000*(1.652953^(MIN($E1931,123)-117)))*1,0))</f>
        <v>94061644049</v>
      </c>
      <c r="AE1931" s="6">
        <f>$E1931+24</f>
        <v>145</v>
      </c>
      <c r="AF1931" s="7">
        <f>IF($J1931=0,0,ROUND(MAX($J1931*1.4*1.5*1.6*1.6*2.2*2.715*2.6*1.4*1.4*1.5*1.5,18900000000*(1.65331^(MIN($E1931,123)-117)))*1,0))</f>
        <v>141214396536</v>
      </c>
      <c r="AG1931" s="4">
        <f>$E1931+27</f>
        <v>148</v>
      </c>
      <c r="AH1931" s="8">
        <f>IF($J1931=0,0,ROUND(MAX($J1931*1.4*1.5*1.6*1.6*2.2*2.715*2.6*1.4*1.4*1.5*1.5*3.2,60500000000*(1.654288^(MIN($E1931,123)-117)))*1,0))</f>
        <v>453106040991</v>
      </c>
    </row>
    <row r="1932" ht="27.75" customHeight="1" spans="1:34" x14ac:dyDescent="0.25">
      <c r="A1932" s="3">
        <v>1942</v>
      </c>
      <c r="B1932" s="3" t="s">
        <v>899</v>
      </c>
      <c r="C1932" s="3" t="s">
        <v>1243</v>
      </c>
      <c r="D1932" s="3" t="s">
        <v>102</v>
      </c>
      <c r="E1932" s="3">
        <v>121</v>
      </c>
      <c r="F1932" s="3" t="s">
        <v>412</v>
      </c>
      <c r="G1932" s="3" t="s">
        <v>586</v>
      </c>
      <c r="H1932" s="3">
        <v>30</v>
      </c>
      <c r="I1932" s="4">
        <v>121</v>
      </c>
      <c r="J1932" s="5">
        <v>2150000</v>
      </c>
      <c r="K1932" s="6">
        <f>$E1932+1</f>
        <v>122</v>
      </c>
      <c r="L1932" s="7">
        <f>IF($J1932=0,0,ROUND(MAX($J1932*1.4,1620000*(1.497923^(MIN($E1932,123)-117)))*1,0))</f>
        <v>8155920</v>
      </c>
      <c r="M1932" s="4">
        <f>$E1932+2</f>
        <v>123</v>
      </c>
      <c r="N1932" s="8">
        <f>IF($J1932=0,0,ROUND(MAX($J1932*1.4*1.5,2190000*(1.580994^(MIN($E1932,123)-117)))*1,0))</f>
        <v>13682486</v>
      </c>
      <c r="O1932" s="6">
        <f>$E1932+4</f>
        <v>125</v>
      </c>
      <c r="P1932" s="7">
        <f>IF($J1932=0,0,ROUND(MAX($J1932*1.4*1.5*1.6,3500000*(1.57975^(MIN($E1932,123)-117)))*1,0))</f>
        <v>21798244</v>
      </c>
      <c r="Q1932" s="4">
        <f>$E1932+6</f>
        <v>127</v>
      </c>
      <c r="R1932" s="8">
        <f>IF($J1932=0,0,ROUND(MAX($J1932*1.4*1.5*1.6*1.6,13100000*(1.429962^(MIN($E1932,123)-117)))*1,0))</f>
        <v>54773347</v>
      </c>
      <c r="S1932" s="6">
        <f>$E1932+8</f>
        <v>129</v>
      </c>
      <c r="T1932" s="7">
        <f>IF($J1932=0,0,ROUND(MAX($J1932*1.4*1.5*1.6*1.6*2.2,42600000*(1.576904^(MIN($E1932,123)-117)))*1,0))</f>
        <v>263409005</v>
      </c>
      <c r="U1932" s="4">
        <f>$E1932+11</f>
        <v>132</v>
      </c>
      <c r="V1932" s="8">
        <f>IF($J1932=0,0,ROUND(MAX($J1932*1.4*1.5*1.6*1.6*2.2*2.715,354000000*(1.642074^(MIN($E1932,123)-117)))*1,0))</f>
        <v>2573796232</v>
      </c>
      <c r="W1932" s="6">
        <f>$E1932+15</f>
        <v>136</v>
      </c>
      <c r="X1932" s="7">
        <f>IF($J1932=0,0,ROUND(MAX($J1932*1.4*1.5*1.6*1.6*2.2*2.715*2.6,3540000000*(1.579646^(MIN($E1932,123)-117)))*1,0))</f>
        <v>22041561106</v>
      </c>
      <c r="Y1932" s="4">
        <f>$E1932+17</f>
        <v>138</v>
      </c>
      <c r="Z1932" s="8">
        <f>IF($J1932=0,0,ROUND(MAX($J1932*1.4*1.5*1.6*1.6*2.2*2.715*2.6*1.4,6020000000*(1.651178^(MIN($E1932,123)-117)))*1,0))</f>
        <v>44747838846</v>
      </c>
      <c r="AA1932" s="6">
        <f>$E1932+19</f>
        <v>140</v>
      </c>
      <c r="AB1932" s="7">
        <f>IF($J1932=0,0,ROUND(MAX($J1932*1.4*1.5*1.6*1.6*2.2*2.715*2.6*1.4*1.4,8430000000*(1.651435^(MIN($E1932,123)-117)))*1,0))</f>
        <v>62700862258</v>
      </c>
      <c r="AC1932" s="4">
        <f>$E1932+21</f>
        <v>142</v>
      </c>
      <c r="AD1932" s="8">
        <f>IF($J1932=0,0,ROUND(MAX($J1932*1.4*1.5*1.6*1.6*2.2*2.715*2.6*1.4*1.4*1.5,12600000000*(1.652953^(MIN($E1932,123)-117)))*1,0))</f>
        <v>94061644049</v>
      </c>
      <c r="AE1932" s="6">
        <f>$E1932+24</f>
        <v>145</v>
      </c>
      <c r="AF1932" s="7">
        <f>IF($J1932=0,0,ROUND(MAX($J1932*1.4*1.5*1.6*1.6*2.2*2.715*2.6*1.4*1.4*1.5*1.5,18900000000*(1.65331^(MIN($E1932,123)-117)))*1,0))</f>
        <v>141214396536</v>
      </c>
      <c r="AG1932" s="4">
        <f>$E1932+27</f>
        <v>148</v>
      </c>
      <c r="AH1932" s="8">
        <f>IF($J1932=0,0,ROUND(MAX($J1932*1.4*1.5*1.6*1.6*2.2*2.715*2.6*1.4*1.4*1.5*1.5*3.2,60500000000*(1.654288^(MIN($E1932,123)-117)))*1,0))</f>
        <v>453106040991</v>
      </c>
    </row>
    <row r="1933" ht="27.75" customHeight="1" spans="1:34" x14ac:dyDescent="0.25">
      <c r="A1933" s="3">
        <v>1943</v>
      </c>
      <c r="B1933" s="3" t="s">
        <v>141</v>
      </c>
      <c r="C1933" s="3" t="s">
        <v>1243</v>
      </c>
      <c r="D1933" s="3" t="s">
        <v>75</v>
      </c>
      <c r="E1933" s="3">
        <v>120</v>
      </c>
      <c r="F1933" s="3" t="s">
        <v>30</v>
      </c>
      <c r="G1933" s="3" t="s">
        <v>1244</v>
      </c>
      <c r="H1933" s="3">
        <v>31</v>
      </c>
      <c r="I1933" s="4">
        <v>120</v>
      </c>
      <c r="J1933" s="5">
        <v>1260000</v>
      </c>
      <c r="K1933" s="6">
        <f>$E1933+1</f>
        <v>121</v>
      </c>
      <c r="L1933" s="7">
        <f>IF($J1933=0,0,ROUND(MAX($J1933*1.4,1620000*(1.497923^(MIN($E1933,123)-117)))*1,0))</f>
        <v>5444819</v>
      </c>
      <c r="M1933" s="4">
        <f>$E1933+2</f>
        <v>122</v>
      </c>
      <c r="N1933" s="8">
        <f>IF($J1933=0,0,ROUND(MAX($J1933*1.4*1.5,2190000*(1.580994^(MIN($E1933,123)-117)))*1,0))</f>
        <v>8654356</v>
      </c>
      <c r="O1933" s="6">
        <f>$E1933+4</f>
        <v>124</v>
      </c>
      <c r="P1933" s="7">
        <f>IF($J1933=0,0,ROUND(MAX($J1933*1.4*1.5*1.6,3500000*(1.57975^(MIN($E1933,123)-117)))*1,0))</f>
        <v>13798540</v>
      </c>
      <c r="Q1933" s="4">
        <f>$E1933+6</f>
        <v>126</v>
      </c>
      <c r="R1933" s="8">
        <f>IF($J1933=0,0,ROUND(MAX($J1933*1.4*1.5*1.6*1.6,13100000*(1.429962^(MIN($E1933,123)-117)))*1,0))</f>
        <v>38304058</v>
      </c>
      <c r="S1933" s="6">
        <f>$E1933+8</f>
        <v>128</v>
      </c>
      <c r="T1933" s="7">
        <f>IF($J1933=0,0,ROUND(MAX($J1933*1.4*1.5*1.6*1.6*2.2,42600000*(1.576904^(MIN($E1933,123)-117)))*1,0))</f>
        <v>167041878</v>
      </c>
      <c r="U1933" s="4">
        <f>$E1933+11</f>
        <v>131</v>
      </c>
      <c r="V1933" s="8">
        <f>IF($J1933=0,0,ROUND(MAX($J1933*1.4*1.5*1.6*1.6*2.2*2.715,354000000*(1.642074^(MIN($E1933,123)-117)))*1,0))</f>
        <v>1567405752</v>
      </c>
      <c r="W1933" s="6">
        <f>$E1933+15</f>
        <v>135</v>
      </c>
      <c r="X1933" s="7">
        <f>IF($J1933=0,0,ROUND(MAX($J1933*1.4*1.5*1.6*1.6*2.2*2.715*2.6,3540000000*(1.579646^(MIN($E1933,123)-117)))*1,0))</f>
        <v>13953481417</v>
      </c>
      <c r="Y1933" s="4">
        <f>$E1933+17</f>
        <v>137</v>
      </c>
      <c r="Z1933" s="8">
        <f>IF($J1933=0,0,ROUND(MAX($J1933*1.4*1.5*1.6*1.6*2.2*2.715*2.6*1.4,6020000000*(1.651178^(MIN($E1933,123)-117)))*1,0))</f>
        <v>27100554178</v>
      </c>
      <c r="AA1933" s="6">
        <f>$E1933+19</f>
        <v>139</v>
      </c>
      <c r="AB1933" s="7">
        <f>IF($J1933=0,0,ROUND(MAX($J1933*1.4*1.5*1.6*1.6*2.2*2.715*2.6*1.4*1.4,8430000000*(1.651435^(MIN($E1933,123)-117)))*1,0))</f>
        <v>37967502359</v>
      </c>
      <c r="AC1933" s="4">
        <f>$E1933+21</f>
        <v>141</v>
      </c>
      <c r="AD1933" s="8">
        <f>IF($J1933=0,0,ROUND(MAX($J1933*1.4*1.5*1.6*1.6*2.2*2.715*2.6*1.4*1.4*1.5,12600000000*(1.652953^(MIN($E1933,123)-117)))*1,0))</f>
        <v>56905213910</v>
      </c>
      <c r="AE1933" s="6">
        <f>$E1933+24</f>
        <v>144</v>
      </c>
      <c r="AF1933" s="7">
        <f>IF($J1933=0,0,ROUND(MAX($J1933*1.4*1.5*1.6*1.6*2.2*2.715*2.6*1.4*1.4*1.5*1.5,18900000000*(1.65331^(MIN($E1933,123)-117)))*1,0))</f>
        <v>85413138816</v>
      </c>
      <c r="AG1933" s="4">
        <f>$E1933+27</f>
        <v>147</v>
      </c>
      <c r="AH1933" s="8">
        <f>IF($J1933=0,0,ROUND(MAX($J1933*1.4*1.5*1.6*1.6*2.2*2.715*2.6*1.4*1.4*1.5*1.5*3.2,60500000000*(1.654288^(MIN($E1933,123)-117)))*1,0))</f>
        <v>273897919220</v>
      </c>
    </row>
    <row r="1934" ht="27.75" customHeight="1" spans="1:34" x14ac:dyDescent="0.25">
      <c r="A1934" s="3">
        <v>1944</v>
      </c>
      <c r="B1934" s="3" t="s">
        <v>787</v>
      </c>
      <c r="C1934" s="3" t="s">
        <v>1243</v>
      </c>
      <c r="D1934" s="3" t="s">
        <v>93</v>
      </c>
      <c r="E1934" s="3">
        <v>120</v>
      </c>
      <c r="F1934" s="3" t="s">
        <v>56</v>
      </c>
      <c r="G1934" s="3" t="s">
        <v>402</v>
      </c>
      <c r="H1934" s="3">
        <v>31</v>
      </c>
      <c r="I1934" s="4">
        <v>120</v>
      </c>
      <c r="J1934" s="5">
        <v>3230000</v>
      </c>
      <c r="K1934" s="6">
        <f>$E1934+1</f>
        <v>121</v>
      </c>
      <c r="L1934" s="7">
        <f>IF($J1934=0,0,ROUND(MAX($J1934*1.4,1620000*(1.497923^(MIN($E1934,123)-117)))*1,0))</f>
        <v>5444819</v>
      </c>
      <c r="M1934" s="4">
        <f>$E1934+2</f>
        <v>122</v>
      </c>
      <c r="N1934" s="8">
        <f>IF($J1934=0,0,ROUND(MAX($J1934*1.4*1.5,2190000*(1.580994^(MIN($E1934,123)-117)))*1,0))</f>
        <v>8654356</v>
      </c>
      <c r="O1934" s="6">
        <f>$E1934+4</f>
        <v>124</v>
      </c>
      <c r="P1934" s="7">
        <f>IF($J1934=0,0,ROUND(MAX($J1934*1.4*1.5*1.6,3500000*(1.57975^(MIN($E1934,123)-117)))*1,0))</f>
        <v>13798540</v>
      </c>
      <c r="Q1934" s="4">
        <f>$E1934+6</f>
        <v>126</v>
      </c>
      <c r="R1934" s="8">
        <f>IF($J1934=0,0,ROUND(MAX($J1934*1.4*1.5*1.6*1.6,13100000*(1.429962^(MIN($E1934,123)-117)))*1,0))</f>
        <v>38304058</v>
      </c>
      <c r="S1934" s="6">
        <f>$E1934+8</f>
        <v>128</v>
      </c>
      <c r="T1934" s="7">
        <f>IF($J1934=0,0,ROUND(MAX($J1934*1.4*1.5*1.6*1.6*2.2,42600000*(1.576904^(MIN($E1934,123)-117)))*1,0))</f>
        <v>167041878</v>
      </c>
      <c r="U1934" s="4">
        <f>$E1934+11</f>
        <v>131</v>
      </c>
      <c r="V1934" s="8">
        <f>IF($J1934=0,0,ROUND(MAX($J1934*1.4*1.5*1.6*1.6*2.2*2.715,354000000*(1.642074^(MIN($E1934,123)-117)))*1,0))</f>
        <v>1567405752</v>
      </c>
      <c r="W1934" s="6">
        <f>$E1934+15</f>
        <v>135</v>
      </c>
      <c r="X1934" s="7">
        <f>IF($J1934=0,0,ROUND(MAX($J1934*1.4*1.5*1.6*1.6*2.2*2.715*2.6,3540000000*(1.579646^(MIN($E1934,123)-117)))*1,0))</f>
        <v>13953481417</v>
      </c>
      <c r="Y1934" s="4">
        <f>$E1934+17</f>
        <v>137</v>
      </c>
      <c r="Z1934" s="8">
        <f>IF($J1934=0,0,ROUND(MAX($J1934*1.4*1.5*1.6*1.6*2.2*2.715*2.6*1.4,6020000000*(1.651178^(MIN($E1934,123)-117)))*1,0))</f>
        <v>27100554178</v>
      </c>
      <c r="AA1934" s="6">
        <f>$E1934+19</f>
        <v>139</v>
      </c>
      <c r="AB1934" s="7">
        <f>IF($J1934=0,0,ROUND(MAX($J1934*1.4*1.5*1.6*1.6*2.2*2.715*2.6*1.4*1.4,8430000000*(1.651435^(MIN($E1934,123)-117)))*1,0))</f>
        <v>37967502359</v>
      </c>
      <c r="AC1934" s="4">
        <f>$E1934+21</f>
        <v>141</v>
      </c>
      <c r="AD1934" s="8">
        <f>IF($J1934=0,0,ROUND(MAX($J1934*1.4*1.5*1.6*1.6*2.2*2.715*2.6*1.4*1.4*1.5,12600000000*(1.652953^(MIN($E1934,123)-117)))*1,0))</f>
        <v>56905213910</v>
      </c>
      <c r="AE1934" s="6">
        <f>$E1934+24</f>
        <v>144</v>
      </c>
      <c r="AF1934" s="7">
        <f>IF($J1934=0,0,ROUND(MAX($J1934*1.4*1.5*1.6*1.6*2.2*2.715*2.6*1.4*1.4*1.5*1.5,18900000000*(1.65331^(MIN($E1934,123)-117)))*1,0))</f>
        <v>85413138816</v>
      </c>
      <c r="AG1934" s="4">
        <f>$E1934+27</f>
        <v>147</v>
      </c>
      <c r="AH1934" s="8">
        <f>IF($J1934=0,0,ROUND(MAX($J1934*1.4*1.5*1.6*1.6*2.2*2.715*2.6*1.4*1.4*1.5*1.5*3.2,60500000000*(1.654288^(MIN($E1934,123)-117)))*1,0))</f>
        <v>273897919220</v>
      </c>
    </row>
    <row r="1935" ht="27.75" customHeight="1" spans="1:34" x14ac:dyDescent="0.25">
      <c r="A1935" s="3">
        <v>1945</v>
      </c>
      <c r="B1935" s="3" t="s">
        <v>118</v>
      </c>
      <c r="C1935" s="3" t="s">
        <v>1243</v>
      </c>
      <c r="D1935" s="3" t="s">
        <v>29</v>
      </c>
      <c r="E1935" s="3">
        <v>120</v>
      </c>
      <c r="F1935" s="3" t="s">
        <v>56</v>
      </c>
      <c r="G1935" s="3" t="s">
        <v>1244</v>
      </c>
      <c r="H1935" s="3">
        <v>31</v>
      </c>
      <c r="I1935" s="4">
        <v>120</v>
      </c>
      <c r="J1935" s="5">
        <v>1260000</v>
      </c>
      <c r="K1935" s="6">
        <f>$E1935+1</f>
        <v>121</v>
      </c>
      <c r="L1935" s="7">
        <f>IF($J1935=0,0,ROUND(MAX($J1935*1.4,1620000*(1.497923^(MIN($E1935,123)-117)))*1,0))</f>
        <v>5444819</v>
      </c>
      <c r="M1935" s="4">
        <f>$E1935+2</f>
        <v>122</v>
      </c>
      <c r="N1935" s="8">
        <f>IF($J1935=0,0,ROUND(MAX($J1935*1.4*1.5,2190000*(1.580994^(MIN($E1935,123)-117)))*1,0))</f>
        <v>8654356</v>
      </c>
      <c r="O1935" s="6">
        <f>$E1935+4</f>
        <v>124</v>
      </c>
      <c r="P1935" s="7">
        <f>IF($J1935=0,0,ROUND(MAX($J1935*1.4*1.5*1.6,3500000*(1.57975^(MIN($E1935,123)-117)))*1,0))</f>
        <v>13798540</v>
      </c>
      <c r="Q1935" s="4">
        <f>$E1935+6</f>
        <v>126</v>
      </c>
      <c r="R1935" s="8">
        <f>IF($J1935=0,0,ROUND(MAX($J1935*1.4*1.5*1.6*1.6,13100000*(1.429962^(MIN($E1935,123)-117)))*1,0))</f>
        <v>38304058</v>
      </c>
      <c r="S1935" s="6">
        <f>$E1935+8</f>
        <v>128</v>
      </c>
      <c r="T1935" s="7">
        <f>IF($J1935=0,0,ROUND(MAX($J1935*1.4*1.5*1.6*1.6*2.2,42600000*(1.576904^(MIN($E1935,123)-117)))*1,0))</f>
        <v>167041878</v>
      </c>
      <c r="U1935" s="4">
        <f>$E1935+11</f>
        <v>131</v>
      </c>
      <c r="V1935" s="8">
        <f>IF($J1935=0,0,ROUND(MAX($J1935*1.4*1.5*1.6*1.6*2.2*2.715,354000000*(1.642074^(MIN($E1935,123)-117)))*1,0))</f>
        <v>1567405752</v>
      </c>
      <c r="W1935" s="6">
        <f>$E1935+15</f>
        <v>135</v>
      </c>
      <c r="X1935" s="7">
        <f>IF($J1935=0,0,ROUND(MAX($J1935*1.4*1.5*1.6*1.6*2.2*2.715*2.6,3540000000*(1.579646^(MIN($E1935,123)-117)))*1,0))</f>
        <v>13953481417</v>
      </c>
      <c r="Y1935" s="4">
        <f>$E1935+17</f>
        <v>137</v>
      </c>
      <c r="Z1935" s="8">
        <f>IF($J1935=0,0,ROUND(MAX($J1935*1.4*1.5*1.6*1.6*2.2*2.715*2.6*1.4,6020000000*(1.651178^(MIN($E1935,123)-117)))*1,0))</f>
        <v>27100554178</v>
      </c>
      <c r="AA1935" s="6">
        <f>$E1935+19</f>
        <v>139</v>
      </c>
      <c r="AB1935" s="7">
        <f>IF($J1935=0,0,ROUND(MAX($J1935*1.4*1.5*1.6*1.6*2.2*2.715*2.6*1.4*1.4,8430000000*(1.651435^(MIN($E1935,123)-117)))*1,0))</f>
        <v>37967502359</v>
      </c>
      <c r="AC1935" s="4">
        <f>$E1935+21</f>
        <v>141</v>
      </c>
      <c r="AD1935" s="8">
        <f>IF($J1935=0,0,ROUND(MAX($J1935*1.4*1.5*1.6*1.6*2.2*2.715*2.6*1.4*1.4*1.5,12600000000*(1.652953^(MIN($E1935,123)-117)))*1,0))</f>
        <v>56905213910</v>
      </c>
      <c r="AE1935" s="6">
        <f>$E1935+24</f>
        <v>144</v>
      </c>
      <c r="AF1935" s="7">
        <f>IF($J1935=0,0,ROUND(MAX($J1935*1.4*1.5*1.6*1.6*2.2*2.715*2.6*1.4*1.4*1.5*1.5,18900000000*(1.65331^(MIN($E1935,123)-117)))*1,0))</f>
        <v>85413138816</v>
      </c>
      <c r="AG1935" s="4">
        <f>$E1935+27</f>
        <v>147</v>
      </c>
      <c r="AH1935" s="8">
        <f>IF($J1935=0,0,ROUND(MAX($J1935*1.4*1.5*1.6*1.6*2.2*2.715*2.6*1.4*1.4*1.5*1.5*3.2,60500000000*(1.654288^(MIN($E1935,123)-117)))*1,0))</f>
        <v>273897919220</v>
      </c>
    </row>
    <row r="1936" ht="27.75" customHeight="1" spans="1:34" x14ac:dyDescent="0.25">
      <c r="A1936" s="3">
        <v>1946</v>
      </c>
      <c r="B1936" s="3" t="s">
        <v>199</v>
      </c>
      <c r="C1936" s="3" t="s">
        <v>1243</v>
      </c>
      <c r="D1936" s="3" t="s">
        <v>25</v>
      </c>
      <c r="E1936" s="3">
        <v>120</v>
      </c>
      <c r="F1936" s="3" t="s">
        <v>26</v>
      </c>
      <c r="G1936" s="3" t="s">
        <v>1244</v>
      </c>
      <c r="H1936" s="3">
        <v>31</v>
      </c>
      <c r="I1936" s="4">
        <v>120</v>
      </c>
      <c r="J1936" s="5">
        <v>1430000</v>
      </c>
      <c r="K1936" s="6">
        <f>$E1936+1</f>
        <v>121</v>
      </c>
      <c r="L1936" s="7">
        <f>IF($J1936=0,0,ROUND(MAX($J1936*1.4,1620000*(1.497923^(MIN($E1936,123)-117)))*1,0))</f>
        <v>5444819</v>
      </c>
      <c r="M1936" s="4">
        <f>$E1936+2</f>
        <v>122</v>
      </c>
      <c r="N1936" s="8">
        <f>IF($J1936=0,0,ROUND(MAX($J1936*1.4*1.5,2190000*(1.580994^(MIN($E1936,123)-117)))*1,0))</f>
        <v>8654356</v>
      </c>
      <c r="O1936" s="6">
        <f>$E1936+4</f>
        <v>124</v>
      </c>
      <c r="P1936" s="7">
        <f>IF($J1936=0,0,ROUND(MAX($J1936*1.4*1.5*1.6,3500000*(1.57975^(MIN($E1936,123)-117)))*1,0))</f>
        <v>13798540</v>
      </c>
      <c r="Q1936" s="4">
        <f>$E1936+6</f>
        <v>126</v>
      </c>
      <c r="R1936" s="8">
        <f>IF($J1936=0,0,ROUND(MAX($J1936*1.4*1.5*1.6*1.6,13100000*(1.429962^(MIN($E1936,123)-117)))*1,0))</f>
        <v>38304058</v>
      </c>
      <c r="S1936" s="6">
        <f>$E1936+8</f>
        <v>128</v>
      </c>
      <c r="T1936" s="7">
        <f>IF($J1936=0,0,ROUND(MAX($J1936*1.4*1.5*1.6*1.6*2.2,42600000*(1.576904^(MIN($E1936,123)-117)))*1,0))</f>
        <v>167041878</v>
      </c>
      <c r="U1936" s="4">
        <f>$E1936+11</f>
        <v>131</v>
      </c>
      <c r="V1936" s="8">
        <f>IF($J1936=0,0,ROUND(MAX($J1936*1.4*1.5*1.6*1.6*2.2*2.715,354000000*(1.642074^(MIN($E1936,123)-117)))*1,0))</f>
        <v>1567405752</v>
      </c>
      <c r="W1936" s="6">
        <f>$E1936+15</f>
        <v>135</v>
      </c>
      <c r="X1936" s="7">
        <f>IF($J1936=0,0,ROUND(MAX($J1936*1.4*1.5*1.6*1.6*2.2*2.715*2.6,3540000000*(1.579646^(MIN($E1936,123)-117)))*1,0))</f>
        <v>13953481417</v>
      </c>
      <c r="Y1936" s="4">
        <f>$E1936+17</f>
        <v>137</v>
      </c>
      <c r="Z1936" s="8">
        <f>IF($J1936=0,0,ROUND(MAX($J1936*1.4*1.5*1.6*1.6*2.2*2.715*2.6*1.4,6020000000*(1.651178^(MIN($E1936,123)-117)))*1,0))</f>
        <v>27100554178</v>
      </c>
      <c r="AA1936" s="6">
        <f>$E1936+19</f>
        <v>139</v>
      </c>
      <c r="AB1936" s="7">
        <f>IF($J1936=0,0,ROUND(MAX($J1936*1.4*1.5*1.6*1.6*2.2*2.715*2.6*1.4*1.4,8430000000*(1.651435^(MIN($E1936,123)-117)))*1,0))</f>
        <v>37967502359</v>
      </c>
      <c r="AC1936" s="4">
        <f>$E1936+21</f>
        <v>141</v>
      </c>
      <c r="AD1936" s="8">
        <f>IF($J1936=0,0,ROUND(MAX($J1936*1.4*1.5*1.6*1.6*2.2*2.715*2.6*1.4*1.4*1.5,12600000000*(1.652953^(MIN($E1936,123)-117)))*1,0))</f>
        <v>56905213910</v>
      </c>
      <c r="AE1936" s="6">
        <f>$E1936+24</f>
        <v>144</v>
      </c>
      <c r="AF1936" s="7">
        <f>IF($J1936=0,0,ROUND(MAX($J1936*1.4*1.5*1.6*1.6*2.2*2.715*2.6*1.4*1.4*1.5*1.5,18900000000*(1.65331^(MIN($E1936,123)-117)))*1,0))</f>
        <v>85413138816</v>
      </c>
      <c r="AG1936" s="4">
        <f>$E1936+27</f>
        <v>147</v>
      </c>
      <c r="AH1936" s="8">
        <f>IF($J1936=0,0,ROUND(MAX($J1936*1.4*1.5*1.6*1.6*2.2*2.715*2.6*1.4*1.4*1.5*1.5*3.2,60500000000*(1.654288^(MIN($E1936,123)-117)))*1,0))</f>
        <v>273897919220</v>
      </c>
    </row>
    <row r="1937" ht="27.75" customHeight="1" spans="1:34" x14ac:dyDescent="0.25">
      <c r="A1937" s="3">
        <v>1947</v>
      </c>
      <c r="B1937" s="3" t="s">
        <v>143</v>
      </c>
      <c r="C1937" s="3" t="s">
        <v>1243</v>
      </c>
      <c r="D1937" s="3" t="s">
        <v>165</v>
      </c>
      <c r="E1937" s="3">
        <v>120</v>
      </c>
      <c r="F1937" s="3" t="s">
        <v>144</v>
      </c>
      <c r="G1937" s="3" t="s">
        <v>1244</v>
      </c>
      <c r="H1937" s="3">
        <v>31</v>
      </c>
      <c r="I1937" s="4">
        <v>120</v>
      </c>
      <c r="J1937" s="5">
        <v>1280000</v>
      </c>
      <c r="K1937" s="6">
        <f>$E1937+1</f>
        <v>121</v>
      </c>
      <c r="L1937" s="7">
        <f>IF($J1937=0,0,ROUND(MAX($J1937*1.4,1620000*(1.497923^(MIN($E1937,123)-117)))*1,0))</f>
        <v>5444819</v>
      </c>
      <c r="M1937" s="4">
        <f>$E1937+2</f>
        <v>122</v>
      </c>
      <c r="N1937" s="8">
        <f>IF($J1937=0,0,ROUND(MAX($J1937*1.4*1.5,2190000*(1.580994^(MIN($E1937,123)-117)))*1,0))</f>
        <v>8654356</v>
      </c>
      <c r="O1937" s="6">
        <f>$E1937+4</f>
        <v>124</v>
      </c>
      <c r="P1937" s="7">
        <f>IF($J1937=0,0,ROUND(MAX($J1937*1.4*1.5*1.6,3500000*(1.57975^(MIN($E1937,123)-117)))*1,0))</f>
        <v>13798540</v>
      </c>
      <c r="Q1937" s="4">
        <f>$E1937+6</f>
        <v>126</v>
      </c>
      <c r="R1937" s="8">
        <f>IF($J1937=0,0,ROUND(MAX($J1937*1.4*1.5*1.6*1.6,13100000*(1.429962^(MIN($E1937,123)-117)))*1,0))</f>
        <v>38304058</v>
      </c>
      <c r="S1937" s="6">
        <f>$E1937+8</f>
        <v>128</v>
      </c>
      <c r="T1937" s="7">
        <f>IF($J1937=0,0,ROUND(MAX($J1937*1.4*1.5*1.6*1.6*2.2,42600000*(1.576904^(MIN($E1937,123)-117)))*1,0))</f>
        <v>167041878</v>
      </c>
      <c r="U1937" s="4">
        <f>$E1937+11</f>
        <v>131</v>
      </c>
      <c r="V1937" s="8">
        <f>IF($J1937=0,0,ROUND(MAX($J1937*1.4*1.5*1.6*1.6*2.2*2.715,354000000*(1.642074^(MIN($E1937,123)-117)))*1,0))</f>
        <v>1567405752</v>
      </c>
      <c r="W1937" s="6">
        <f>$E1937+15</f>
        <v>135</v>
      </c>
      <c r="X1937" s="7">
        <f>IF($J1937=0,0,ROUND(MAX($J1937*1.4*1.5*1.6*1.6*2.2*2.715*2.6,3540000000*(1.579646^(MIN($E1937,123)-117)))*1,0))</f>
        <v>13953481417</v>
      </c>
      <c r="Y1937" s="4">
        <f>$E1937+17</f>
        <v>137</v>
      </c>
      <c r="Z1937" s="8">
        <f>IF($J1937=0,0,ROUND(MAX($J1937*1.4*1.5*1.6*1.6*2.2*2.715*2.6*1.4,6020000000*(1.651178^(MIN($E1937,123)-117)))*1,0))</f>
        <v>27100554178</v>
      </c>
      <c r="AA1937" s="6">
        <f>$E1937+19</f>
        <v>139</v>
      </c>
      <c r="AB1937" s="7">
        <f>IF($J1937=0,0,ROUND(MAX($J1937*1.4*1.5*1.6*1.6*2.2*2.715*2.6*1.4*1.4,8430000000*(1.651435^(MIN($E1937,123)-117)))*1,0))</f>
        <v>37967502359</v>
      </c>
      <c r="AC1937" s="4">
        <f>$E1937+21</f>
        <v>141</v>
      </c>
      <c r="AD1937" s="8">
        <f>IF($J1937=0,0,ROUND(MAX($J1937*1.4*1.5*1.6*1.6*2.2*2.715*2.6*1.4*1.4*1.5,12600000000*(1.652953^(MIN($E1937,123)-117)))*1,0))</f>
        <v>56905213910</v>
      </c>
      <c r="AE1937" s="6">
        <f>$E1937+24</f>
        <v>144</v>
      </c>
      <c r="AF1937" s="7">
        <f>IF($J1937=0,0,ROUND(MAX($J1937*1.4*1.5*1.6*1.6*2.2*2.715*2.6*1.4*1.4*1.5*1.5,18900000000*(1.65331^(MIN($E1937,123)-117)))*1,0))</f>
        <v>85413138816</v>
      </c>
      <c r="AG1937" s="4">
        <f>$E1937+27</f>
        <v>147</v>
      </c>
      <c r="AH1937" s="8">
        <f>IF($J1937=0,0,ROUND(MAX($J1937*1.4*1.5*1.6*1.6*2.2*2.715*2.6*1.4*1.4*1.5*1.5*3.2,60500000000*(1.654288^(MIN($E1937,123)-117)))*1,0))</f>
        <v>273897919220</v>
      </c>
    </row>
    <row r="1938" ht="27.75" customHeight="1" spans="1:34" x14ac:dyDescent="0.25">
      <c r="A1938" s="3">
        <v>1948</v>
      </c>
      <c r="B1938" s="3" t="s">
        <v>1248</v>
      </c>
      <c r="C1938" s="3" t="s">
        <v>1243</v>
      </c>
      <c r="D1938" s="3" t="s">
        <v>165</v>
      </c>
      <c r="E1938" s="3">
        <v>120</v>
      </c>
      <c r="F1938" s="3" t="s">
        <v>71</v>
      </c>
      <c r="G1938" s="3" t="s">
        <v>206</v>
      </c>
      <c r="H1938" s="3">
        <v>30</v>
      </c>
      <c r="I1938" s="4">
        <v>120</v>
      </c>
      <c r="J1938" s="5">
        <v>1610000</v>
      </c>
      <c r="K1938" s="6">
        <f>$E1938+1</f>
        <v>121</v>
      </c>
      <c r="L1938" s="7">
        <f>IF($J1938=0,0,ROUND(MAX($J1938*1.4,1620000*(1.497923^(MIN($E1938,123)-117)))*1,0))</f>
        <v>5444819</v>
      </c>
      <c r="M1938" s="4">
        <f>$E1938+2</f>
        <v>122</v>
      </c>
      <c r="N1938" s="8">
        <f>IF($J1938=0,0,ROUND(MAX($J1938*1.4*1.5,2190000*(1.580994^(MIN($E1938,123)-117)))*1,0))</f>
        <v>8654356</v>
      </c>
      <c r="O1938" s="6">
        <f>$E1938+4</f>
        <v>124</v>
      </c>
      <c r="P1938" s="7">
        <f>IF($J1938=0,0,ROUND(MAX($J1938*1.4*1.5*1.6,3500000*(1.57975^(MIN($E1938,123)-117)))*1,0))</f>
        <v>13798540</v>
      </c>
      <c r="Q1938" s="4">
        <f>$E1938+6</f>
        <v>126</v>
      </c>
      <c r="R1938" s="8">
        <f>IF($J1938=0,0,ROUND(MAX($J1938*1.4*1.5*1.6*1.6,13100000*(1.429962^(MIN($E1938,123)-117)))*1,0))</f>
        <v>38304058</v>
      </c>
      <c r="S1938" s="6">
        <f>$E1938+8</f>
        <v>128</v>
      </c>
      <c r="T1938" s="7">
        <f>IF($J1938=0,0,ROUND(MAX($J1938*1.4*1.5*1.6*1.6*2.2,42600000*(1.576904^(MIN($E1938,123)-117)))*1,0))</f>
        <v>167041878</v>
      </c>
      <c r="U1938" s="4">
        <f>$E1938+11</f>
        <v>131</v>
      </c>
      <c r="V1938" s="8">
        <f>IF($J1938=0,0,ROUND(MAX($J1938*1.4*1.5*1.6*1.6*2.2*2.715,354000000*(1.642074^(MIN($E1938,123)-117)))*1,0))</f>
        <v>1567405752</v>
      </c>
      <c r="W1938" s="6">
        <f>$E1938+15</f>
        <v>135</v>
      </c>
      <c r="X1938" s="7">
        <f>IF($J1938=0,0,ROUND(MAX($J1938*1.4*1.5*1.6*1.6*2.2*2.715*2.6,3540000000*(1.579646^(MIN($E1938,123)-117)))*1,0))</f>
        <v>13953481417</v>
      </c>
      <c r="Y1938" s="4">
        <f>$E1938+17</f>
        <v>137</v>
      </c>
      <c r="Z1938" s="8">
        <f>IF($J1938=0,0,ROUND(MAX($J1938*1.4*1.5*1.6*1.6*2.2*2.715*2.6*1.4,6020000000*(1.651178^(MIN($E1938,123)-117)))*1,0))</f>
        <v>27100554178</v>
      </c>
      <c r="AA1938" s="6">
        <f>$E1938+19</f>
        <v>139</v>
      </c>
      <c r="AB1938" s="7">
        <f>IF($J1938=0,0,ROUND(MAX($J1938*1.4*1.5*1.6*1.6*2.2*2.715*2.6*1.4*1.4,8430000000*(1.651435^(MIN($E1938,123)-117)))*1,0))</f>
        <v>37967502359</v>
      </c>
      <c r="AC1938" s="4">
        <f>$E1938+21</f>
        <v>141</v>
      </c>
      <c r="AD1938" s="8">
        <f>IF($J1938=0,0,ROUND(MAX($J1938*1.4*1.5*1.6*1.6*2.2*2.715*2.6*1.4*1.4*1.5,12600000000*(1.652953^(MIN($E1938,123)-117)))*1,0))</f>
        <v>56905213910</v>
      </c>
      <c r="AE1938" s="6">
        <f>$E1938+24</f>
        <v>144</v>
      </c>
      <c r="AF1938" s="7">
        <f>IF($J1938=0,0,ROUND(MAX($J1938*1.4*1.5*1.6*1.6*2.2*2.715*2.6*1.4*1.4*1.5*1.5,18900000000*(1.65331^(MIN($E1938,123)-117)))*1,0))</f>
        <v>85413138816</v>
      </c>
      <c r="AG1938" s="4">
        <f>$E1938+27</f>
        <v>147</v>
      </c>
      <c r="AH1938" s="8">
        <f>IF($J1938=0,0,ROUND(MAX($J1938*1.4*1.5*1.6*1.6*2.2*2.715*2.6*1.4*1.4*1.5*1.5*3.2,60500000000*(1.654288^(MIN($E1938,123)-117)))*1,0))</f>
        <v>273897919220</v>
      </c>
    </row>
    <row r="1939" ht="27.75" customHeight="1" spans="1:34" x14ac:dyDescent="0.25">
      <c r="A1939" s="3">
        <v>1949</v>
      </c>
      <c r="B1939" s="3" t="s">
        <v>1249</v>
      </c>
      <c r="C1939" s="3" t="s">
        <v>1243</v>
      </c>
      <c r="D1939" s="3" t="s">
        <v>33</v>
      </c>
      <c r="E1939" s="3">
        <v>120</v>
      </c>
      <c r="F1939" s="3" t="s">
        <v>26</v>
      </c>
      <c r="G1939" s="3" t="s">
        <v>171</v>
      </c>
      <c r="H1939" s="3">
        <v>30</v>
      </c>
      <c r="I1939" s="4">
        <v>120</v>
      </c>
      <c r="J1939" s="5">
        <v>1270000</v>
      </c>
      <c r="K1939" s="6">
        <f>$E1939+1</f>
        <v>121</v>
      </c>
      <c r="L1939" s="7">
        <f>IF($J1939=0,0,ROUND(MAX($J1939*1.4,1620000*(1.497923^(MIN($E1939,123)-117)))*1,0))</f>
        <v>5444819</v>
      </c>
      <c r="M1939" s="4">
        <f>$E1939+2</f>
        <v>122</v>
      </c>
      <c r="N1939" s="8">
        <f>IF($J1939=0,0,ROUND(MAX($J1939*1.4*1.5,2190000*(1.580994^(MIN($E1939,123)-117)))*1,0))</f>
        <v>8654356</v>
      </c>
      <c r="O1939" s="6">
        <f>$E1939+4</f>
        <v>124</v>
      </c>
      <c r="P1939" s="7">
        <f>IF($J1939=0,0,ROUND(MAX($J1939*1.4*1.5*1.6,3500000*(1.57975^(MIN($E1939,123)-117)))*1,0))</f>
        <v>13798540</v>
      </c>
      <c r="Q1939" s="4">
        <f>$E1939+6</f>
        <v>126</v>
      </c>
      <c r="R1939" s="8">
        <f>IF($J1939=0,0,ROUND(MAX($J1939*1.4*1.5*1.6*1.6,13100000*(1.429962^(MIN($E1939,123)-117)))*1,0))</f>
        <v>38304058</v>
      </c>
      <c r="S1939" s="6">
        <f>$E1939+8</f>
        <v>128</v>
      </c>
      <c r="T1939" s="7">
        <f>IF($J1939=0,0,ROUND(MAX($J1939*1.4*1.5*1.6*1.6*2.2,42600000*(1.576904^(MIN($E1939,123)-117)))*1,0))</f>
        <v>167041878</v>
      </c>
      <c r="U1939" s="4">
        <f>$E1939+11</f>
        <v>131</v>
      </c>
      <c r="V1939" s="8">
        <f>IF($J1939=0,0,ROUND(MAX($J1939*1.4*1.5*1.6*1.6*2.2*2.715,354000000*(1.642074^(MIN($E1939,123)-117)))*1,0))</f>
        <v>1567405752</v>
      </c>
      <c r="W1939" s="6">
        <f>$E1939+15</f>
        <v>135</v>
      </c>
      <c r="X1939" s="7">
        <f>IF($J1939=0,0,ROUND(MAX($J1939*1.4*1.5*1.6*1.6*2.2*2.715*2.6,3540000000*(1.579646^(MIN($E1939,123)-117)))*1,0))</f>
        <v>13953481417</v>
      </c>
      <c r="Y1939" s="4">
        <f>$E1939+17</f>
        <v>137</v>
      </c>
      <c r="Z1939" s="8">
        <f>IF($J1939=0,0,ROUND(MAX($J1939*1.4*1.5*1.6*1.6*2.2*2.715*2.6*1.4,6020000000*(1.651178^(MIN($E1939,123)-117)))*1,0))</f>
        <v>27100554178</v>
      </c>
      <c r="AA1939" s="6">
        <f>$E1939+19</f>
        <v>139</v>
      </c>
      <c r="AB1939" s="7">
        <f>IF($J1939=0,0,ROUND(MAX($J1939*1.4*1.5*1.6*1.6*2.2*2.715*2.6*1.4*1.4,8430000000*(1.651435^(MIN($E1939,123)-117)))*1,0))</f>
        <v>37967502359</v>
      </c>
      <c r="AC1939" s="4">
        <f>$E1939+21</f>
        <v>141</v>
      </c>
      <c r="AD1939" s="8">
        <f>IF($J1939=0,0,ROUND(MAX($J1939*1.4*1.5*1.6*1.6*2.2*2.715*2.6*1.4*1.4*1.5,12600000000*(1.652953^(MIN($E1939,123)-117)))*1,0))</f>
        <v>56905213910</v>
      </c>
      <c r="AE1939" s="6">
        <f>$E1939+24</f>
        <v>144</v>
      </c>
      <c r="AF1939" s="7">
        <f>IF($J1939=0,0,ROUND(MAX($J1939*1.4*1.5*1.6*1.6*2.2*2.715*2.6*1.4*1.4*1.5*1.5,18900000000*(1.65331^(MIN($E1939,123)-117)))*1,0))</f>
        <v>85413138816</v>
      </c>
      <c r="AG1939" s="4">
        <f>$E1939+27</f>
        <v>147</v>
      </c>
      <c r="AH1939" s="8">
        <f>IF($J1939=0,0,ROUND(MAX($J1939*1.4*1.5*1.6*1.6*2.2*2.715*2.6*1.4*1.4*1.5*1.5*3.2,60500000000*(1.654288^(MIN($E1939,123)-117)))*1,0))</f>
        <v>273897919220</v>
      </c>
    </row>
    <row r="1940" ht="27.75" customHeight="1" spans="1:34" x14ac:dyDescent="0.25">
      <c r="A1940" s="3">
        <v>1950</v>
      </c>
      <c r="B1940" s="3" t="s">
        <v>936</v>
      </c>
      <c r="C1940" s="3" t="s">
        <v>1243</v>
      </c>
      <c r="D1940" s="3" t="s">
        <v>25</v>
      </c>
      <c r="E1940" s="3">
        <v>120</v>
      </c>
      <c r="F1940" s="3" t="s">
        <v>62</v>
      </c>
      <c r="G1940" s="3" t="s">
        <v>104</v>
      </c>
      <c r="H1940" s="3">
        <v>30</v>
      </c>
      <c r="I1940" s="4">
        <v>120</v>
      </c>
      <c r="J1940" s="5">
        <v>1530000</v>
      </c>
      <c r="K1940" s="6">
        <f>$E1940+1</f>
        <v>121</v>
      </c>
      <c r="L1940" s="7">
        <f>IF($J1940=0,0,ROUND(MAX($J1940*1.4,1620000*(1.497923^(MIN($E1940,123)-117)))*1,0))</f>
        <v>5444819</v>
      </c>
      <c r="M1940" s="4">
        <f>$E1940+2</f>
        <v>122</v>
      </c>
      <c r="N1940" s="8">
        <f>IF($J1940=0,0,ROUND(MAX($J1940*1.4*1.5,2190000*(1.580994^(MIN($E1940,123)-117)))*1,0))</f>
        <v>8654356</v>
      </c>
      <c r="O1940" s="6">
        <f>$E1940+4</f>
        <v>124</v>
      </c>
      <c r="P1940" s="7">
        <f>IF($J1940=0,0,ROUND(MAX($J1940*1.4*1.5*1.6,3500000*(1.57975^(MIN($E1940,123)-117)))*1,0))</f>
        <v>13798540</v>
      </c>
      <c r="Q1940" s="4">
        <f>$E1940+6</f>
        <v>126</v>
      </c>
      <c r="R1940" s="8">
        <f>IF($J1940=0,0,ROUND(MAX($J1940*1.4*1.5*1.6*1.6,13100000*(1.429962^(MIN($E1940,123)-117)))*1,0))</f>
        <v>38304058</v>
      </c>
      <c r="S1940" s="6">
        <f>$E1940+8</f>
        <v>128</v>
      </c>
      <c r="T1940" s="7">
        <f>IF($J1940=0,0,ROUND(MAX($J1940*1.4*1.5*1.6*1.6*2.2,42600000*(1.576904^(MIN($E1940,123)-117)))*1,0))</f>
        <v>167041878</v>
      </c>
      <c r="U1940" s="4">
        <f>$E1940+11</f>
        <v>131</v>
      </c>
      <c r="V1940" s="8">
        <f>IF($J1940=0,0,ROUND(MAX($J1940*1.4*1.5*1.6*1.6*2.2*2.715,354000000*(1.642074^(MIN($E1940,123)-117)))*1,0))</f>
        <v>1567405752</v>
      </c>
      <c r="W1940" s="6">
        <f>$E1940+15</f>
        <v>135</v>
      </c>
      <c r="X1940" s="7">
        <f>IF($J1940=0,0,ROUND(MAX($J1940*1.4*1.5*1.6*1.6*2.2*2.715*2.6,3540000000*(1.579646^(MIN($E1940,123)-117)))*1,0))</f>
        <v>13953481417</v>
      </c>
      <c r="Y1940" s="4">
        <f>$E1940+17</f>
        <v>137</v>
      </c>
      <c r="Z1940" s="8">
        <f>IF($J1940=0,0,ROUND(MAX($J1940*1.4*1.5*1.6*1.6*2.2*2.715*2.6*1.4,6020000000*(1.651178^(MIN($E1940,123)-117)))*1,0))</f>
        <v>27100554178</v>
      </c>
      <c r="AA1940" s="6">
        <f>$E1940+19</f>
        <v>139</v>
      </c>
      <c r="AB1940" s="7">
        <f>IF($J1940=0,0,ROUND(MAX($J1940*1.4*1.5*1.6*1.6*2.2*2.715*2.6*1.4*1.4,8430000000*(1.651435^(MIN($E1940,123)-117)))*1,0))</f>
        <v>37967502359</v>
      </c>
      <c r="AC1940" s="4">
        <f>$E1940+21</f>
        <v>141</v>
      </c>
      <c r="AD1940" s="8">
        <f>IF($J1940=0,0,ROUND(MAX($J1940*1.4*1.5*1.6*1.6*2.2*2.715*2.6*1.4*1.4*1.5,12600000000*(1.652953^(MIN($E1940,123)-117)))*1,0))</f>
        <v>56905213910</v>
      </c>
      <c r="AE1940" s="6">
        <f>$E1940+24</f>
        <v>144</v>
      </c>
      <c r="AF1940" s="7">
        <f>IF($J1940=0,0,ROUND(MAX($J1940*1.4*1.5*1.6*1.6*2.2*2.715*2.6*1.4*1.4*1.5*1.5,18900000000*(1.65331^(MIN($E1940,123)-117)))*1,0))</f>
        <v>85413138816</v>
      </c>
      <c r="AG1940" s="4">
        <f>$E1940+27</f>
        <v>147</v>
      </c>
      <c r="AH1940" s="8">
        <f>IF($J1940=0,0,ROUND(MAX($J1940*1.4*1.5*1.6*1.6*2.2*2.715*2.6*1.4*1.4*1.5*1.5*3.2,60500000000*(1.654288^(MIN($E1940,123)-117)))*1,0))</f>
        <v>273897919220</v>
      </c>
    </row>
    <row r="1941" ht="27.75" customHeight="1" spans="1:34" x14ac:dyDescent="0.25">
      <c r="A1941" s="3">
        <v>1951</v>
      </c>
      <c r="B1941" s="3" t="s">
        <v>1250</v>
      </c>
      <c r="C1941" s="3" t="s">
        <v>1243</v>
      </c>
      <c r="D1941" s="3" t="s">
        <v>45</v>
      </c>
      <c r="E1941" s="3">
        <v>120</v>
      </c>
      <c r="F1941" s="3" t="s">
        <v>30</v>
      </c>
      <c r="G1941" s="3" t="s">
        <v>86</v>
      </c>
      <c r="H1941" s="3">
        <v>30</v>
      </c>
      <c r="I1941" s="4">
        <v>120</v>
      </c>
      <c r="J1941" s="5">
        <v>1430000</v>
      </c>
      <c r="K1941" s="6">
        <f>$E1941+1</f>
        <v>121</v>
      </c>
      <c r="L1941" s="7">
        <f>IF($J1941=0,0,ROUND(MAX($J1941*1.4,1620000*(1.497923^(MIN($E1941,123)-117)))*1,0))</f>
        <v>5444819</v>
      </c>
      <c r="M1941" s="4">
        <f>$E1941+2</f>
        <v>122</v>
      </c>
      <c r="N1941" s="8">
        <f>IF($J1941=0,0,ROUND(MAX($J1941*1.4*1.5,2190000*(1.580994^(MIN($E1941,123)-117)))*1,0))</f>
        <v>8654356</v>
      </c>
      <c r="O1941" s="6">
        <f>$E1941+4</f>
        <v>124</v>
      </c>
      <c r="P1941" s="7">
        <f>IF($J1941=0,0,ROUND(MAX($J1941*1.4*1.5*1.6,3500000*(1.57975^(MIN($E1941,123)-117)))*1,0))</f>
        <v>13798540</v>
      </c>
      <c r="Q1941" s="4">
        <f>$E1941+6</f>
        <v>126</v>
      </c>
      <c r="R1941" s="8">
        <f>IF($J1941=0,0,ROUND(MAX($J1941*1.4*1.5*1.6*1.6,13100000*(1.429962^(MIN($E1941,123)-117)))*1,0))</f>
        <v>38304058</v>
      </c>
      <c r="S1941" s="6">
        <f>$E1941+8</f>
        <v>128</v>
      </c>
      <c r="T1941" s="7">
        <f>IF($J1941=0,0,ROUND(MAX($J1941*1.4*1.5*1.6*1.6*2.2,42600000*(1.576904^(MIN($E1941,123)-117)))*1,0))</f>
        <v>167041878</v>
      </c>
      <c r="U1941" s="4">
        <f>$E1941+11</f>
        <v>131</v>
      </c>
      <c r="V1941" s="8">
        <f>IF($J1941=0,0,ROUND(MAX($J1941*1.4*1.5*1.6*1.6*2.2*2.715,354000000*(1.642074^(MIN($E1941,123)-117)))*1,0))</f>
        <v>1567405752</v>
      </c>
      <c r="W1941" s="6">
        <f>$E1941+15</f>
        <v>135</v>
      </c>
      <c r="X1941" s="7">
        <f>IF($J1941=0,0,ROUND(MAX($J1941*1.4*1.5*1.6*1.6*2.2*2.715*2.6,3540000000*(1.579646^(MIN($E1941,123)-117)))*1,0))</f>
        <v>13953481417</v>
      </c>
      <c r="Y1941" s="4">
        <f>$E1941+17</f>
        <v>137</v>
      </c>
      <c r="Z1941" s="8">
        <f>IF($J1941=0,0,ROUND(MAX($J1941*1.4*1.5*1.6*1.6*2.2*2.715*2.6*1.4,6020000000*(1.651178^(MIN($E1941,123)-117)))*1,0))</f>
        <v>27100554178</v>
      </c>
      <c r="AA1941" s="6">
        <f>$E1941+19</f>
        <v>139</v>
      </c>
      <c r="AB1941" s="7">
        <f>IF($J1941=0,0,ROUND(MAX($J1941*1.4*1.5*1.6*1.6*2.2*2.715*2.6*1.4*1.4,8430000000*(1.651435^(MIN($E1941,123)-117)))*1,0))</f>
        <v>37967502359</v>
      </c>
      <c r="AC1941" s="4">
        <f>$E1941+21</f>
        <v>141</v>
      </c>
      <c r="AD1941" s="8">
        <f>IF($J1941=0,0,ROUND(MAX($J1941*1.4*1.5*1.6*1.6*2.2*2.715*2.6*1.4*1.4*1.5,12600000000*(1.652953^(MIN($E1941,123)-117)))*1,0))</f>
        <v>56905213910</v>
      </c>
      <c r="AE1941" s="6">
        <f>$E1941+24</f>
        <v>144</v>
      </c>
      <c r="AF1941" s="7">
        <f>IF($J1941=0,0,ROUND(MAX($J1941*1.4*1.5*1.6*1.6*2.2*2.715*2.6*1.4*1.4*1.5*1.5,18900000000*(1.65331^(MIN($E1941,123)-117)))*1,0))</f>
        <v>85413138816</v>
      </c>
      <c r="AG1941" s="4">
        <f>$E1941+27</f>
        <v>147</v>
      </c>
      <c r="AH1941" s="8">
        <f>IF($J1941=0,0,ROUND(MAX($J1941*1.4*1.5*1.6*1.6*2.2*2.715*2.6*1.4*1.4*1.5*1.5*3.2,60500000000*(1.654288^(MIN($E1941,123)-117)))*1,0))</f>
        <v>273897919220</v>
      </c>
    </row>
    <row r="1942" ht="27.75" customHeight="1" spans="1:34" x14ac:dyDescent="0.25">
      <c r="A1942" s="3">
        <v>1952</v>
      </c>
      <c r="B1942" s="3" t="s">
        <v>705</v>
      </c>
      <c r="C1942" s="3" t="s">
        <v>1243</v>
      </c>
      <c r="D1942" s="3" t="s">
        <v>102</v>
      </c>
      <c r="E1942" s="3">
        <v>120</v>
      </c>
      <c r="F1942" s="3" t="s">
        <v>212</v>
      </c>
      <c r="G1942" s="3" t="s">
        <v>252</v>
      </c>
      <c r="H1942" s="3">
        <v>30</v>
      </c>
      <c r="I1942" s="4">
        <v>120</v>
      </c>
      <c r="J1942" s="5">
        <v>1270000</v>
      </c>
      <c r="K1942" s="6">
        <f>$E1942+1</f>
        <v>121</v>
      </c>
      <c r="L1942" s="7">
        <f>IF($J1942=0,0,ROUND(MAX($J1942*1.4,1620000*(1.497923^(MIN($E1942,123)-117)))*1,0))</f>
        <v>5444819</v>
      </c>
      <c r="M1942" s="4">
        <f>$E1942+2</f>
        <v>122</v>
      </c>
      <c r="N1942" s="8">
        <f>IF($J1942=0,0,ROUND(MAX($J1942*1.4*1.5,2190000*(1.580994^(MIN($E1942,123)-117)))*1,0))</f>
        <v>8654356</v>
      </c>
      <c r="O1942" s="6">
        <f>$E1942+4</f>
        <v>124</v>
      </c>
      <c r="P1942" s="7">
        <f>IF($J1942=0,0,ROUND(MAX($J1942*1.4*1.5*1.6,3500000*(1.57975^(MIN($E1942,123)-117)))*1,0))</f>
        <v>13798540</v>
      </c>
      <c r="Q1942" s="4">
        <f>$E1942+6</f>
        <v>126</v>
      </c>
      <c r="R1942" s="8">
        <f>IF($J1942=0,0,ROUND(MAX($J1942*1.4*1.5*1.6*1.6,13100000*(1.429962^(MIN($E1942,123)-117)))*1,0))</f>
        <v>38304058</v>
      </c>
      <c r="S1942" s="6">
        <f>$E1942+8</f>
        <v>128</v>
      </c>
      <c r="T1942" s="7">
        <f>IF($J1942=0,0,ROUND(MAX($J1942*1.4*1.5*1.6*1.6*2.2,42600000*(1.576904^(MIN($E1942,123)-117)))*1,0))</f>
        <v>167041878</v>
      </c>
      <c r="U1942" s="4">
        <f>$E1942+11</f>
        <v>131</v>
      </c>
      <c r="V1942" s="8">
        <f>IF($J1942=0,0,ROUND(MAX($J1942*1.4*1.5*1.6*1.6*2.2*2.715,354000000*(1.642074^(MIN($E1942,123)-117)))*1,0))</f>
        <v>1567405752</v>
      </c>
      <c r="W1942" s="6">
        <f>$E1942+15</f>
        <v>135</v>
      </c>
      <c r="X1942" s="7">
        <f>IF($J1942=0,0,ROUND(MAX($J1942*1.4*1.5*1.6*1.6*2.2*2.715*2.6,3540000000*(1.579646^(MIN($E1942,123)-117)))*1,0))</f>
        <v>13953481417</v>
      </c>
      <c r="Y1942" s="4">
        <f>$E1942+17</f>
        <v>137</v>
      </c>
      <c r="Z1942" s="8">
        <f>IF($J1942=0,0,ROUND(MAX($J1942*1.4*1.5*1.6*1.6*2.2*2.715*2.6*1.4,6020000000*(1.651178^(MIN($E1942,123)-117)))*1,0))</f>
        <v>27100554178</v>
      </c>
      <c r="AA1942" s="6">
        <f>$E1942+19</f>
        <v>139</v>
      </c>
      <c r="AB1942" s="7">
        <f>IF($J1942=0,0,ROUND(MAX($J1942*1.4*1.5*1.6*1.6*2.2*2.715*2.6*1.4*1.4,8430000000*(1.651435^(MIN($E1942,123)-117)))*1,0))</f>
        <v>37967502359</v>
      </c>
      <c r="AC1942" s="4">
        <f>$E1942+21</f>
        <v>141</v>
      </c>
      <c r="AD1942" s="8">
        <f>IF($J1942=0,0,ROUND(MAX($J1942*1.4*1.5*1.6*1.6*2.2*2.715*2.6*1.4*1.4*1.5,12600000000*(1.652953^(MIN($E1942,123)-117)))*1,0))</f>
        <v>56905213910</v>
      </c>
      <c r="AE1942" s="6">
        <f>$E1942+24</f>
        <v>144</v>
      </c>
      <c r="AF1942" s="7">
        <f>IF($J1942=0,0,ROUND(MAX($J1942*1.4*1.5*1.6*1.6*2.2*2.715*2.6*1.4*1.4*1.5*1.5,18900000000*(1.65331^(MIN($E1942,123)-117)))*1,0))</f>
        <v>85413138816</v>
      </c>
      <c r="AG1942" s="4">
        <f>$E1942+27</f>
        <v>147</v>
      </c>
      <c r="AH1942" s="8">
        <f>IF($J1942=0,0,ROUND(MAX($J1942*1.4*1.5*1.6*1.6*2.2*2.715*2.6*1.4*1.4*1.5*1.5*3.2,60500000000*(1.654288^(MIN($E1942,123)-117)))*1,0))</f>
        <v>273897919220</v>
      </c>
    </row>
    <row r="1943" ht="27.75" customHeight="1" spans="1:34" x14ac:dyDescent="0.25">
      <c r="A1943" s="3">
        <v>1953</v>
      </c>
      <c r="B1943" s="3" t="s">
        <v>1251</v>
      </c>
      <c r="C1943" s="3" t="s">
        <v>1243</v>
      </c>
      <c r="D1943" s="3" t="s">
        <v>33</v>
      </c>
      <c r="E1943" s="3">
        <v>120</v>
      </c>
      <c r="F1943" s="3" t="s">
        <v>56</v>
      </c>
      <c r="G1943" s="3" t="s">
        <v>586</v>
      </c>
      <c r="H1943" s="3">
        <v>30</v>
      </c>
      <c r="I1943" s="4">
        <v>120</v>
      </c>
      <c r="J1943" s="5">
        <v>1740000</v>
      </c>
      <c r="K1943" s="6">
        <f>$E1943+1</f>
        <v>121</v>
      </c>
      <c r="L1943" s="7">
        <f>IF($J1943=0,0,ROUND(MAX($J1943*1.4,1620000*(1.497923^(MIN($E1943,123)-117)))*1,0))</f>
        <v>5444819</v>
      </c>
      <c r="M1943" s="4">
        <f>$E1943+2</f>
        <v>122</v>
      </c>
      <c r="N1943" s="8">
        <f>IF($J1943=0,0,ROUND(MAX($J1943*1.4*1.5,2190000*(1.580994^(MIN($E1943,123)-117)))*1,0))</f>
        <v>8654356</v>
      </c>
      <c r="O1943" s="6">
        <f>$E1943+4</f>
        <v>124</v>
      </c>
      <c r="P1943" s="7">
        <f>IF($J1943=0,0,ROUND(MAX($J1943*1.4*1.5*1.6,3500000*(1.57975^(MIN($E1943,123)-117)))*1,0))</f>
        <v>13798540</v>
      </c>
      <c r="Q1943" s="4">
        <f>$E1943+6</f>
        <v>126</v>
      </c>
      <c r="R1943" s="8">
        <f>IF($J1943=0,0,ROUND(MAX($J1943*1.4*1.5*1.6*1.6,13100000*(1.429962^(MIN($E1943,123)-117)))*1,0))</f>
        <v>38304058</v>
      </c>
      <c r="S1943" s="6">
        <f>$E1943+8</f>
        <v>128</v>
      </c>
      <c r="T1943" s="7">
        <f>IF($J1943=0,0,ROUND(MAX($J1943*1.4*1.5*1.6*1.6*2.2,42600000*(1.576904^(MIN($E1943,123)-117)))*1,0))</f>
        <v>167041878</v>
      </c>
      <c r="U1943" s="4">
        <f>$E1943+11</f>
        <v>131</v>
      </c>
      <c r="V1943" s="8">
        <f>IF($J1943=0,0,ROUND(MAX($J1943*1.4*1.5*1.6*1.6*2.2*2.715,354000000*(1.642074^(MIN($E1943,123)-117)))*1,0))</f>
        <v>1567405752</v>
      </c>
      <c r="W1943" s="6">
        <f>$E1943+15</f>
        <v>135</v>
      </c>
      <c r="X1943" s="7">
        <f>IF($J1943=0,0,ROUND(MAX($J1943*1.4*1.5*1.6*1.6*2.2*2.715*2.6,3540000000*(1.579646^(MIN($E1943,123)-117)))*1,0))</f>
        <v>13953481417</v>
      </c>
      <c r="Y1943" s="4">
        <f>$E1943+17</f>
        <v>137</v>
      </c>
      <c r="Z1943" s="8">
        <f>IF($J1943=0,0,ROUND(MAX($J1943*1.4*1.5*1.6*1.6*2.2*2.715*2.6*1.4,6020000000*(1.651178^(MIN($E1943,123)-117)))*1,0))</f>
        <v>27100554178</v>
      </c>
      <c r="AA1943" s="6">
        <f>$E1943+19</f>
        <v>139</v>
      </c>
      <c r="AB1943" s="7">
        <f>IF($J1943=0,0,ROUND(MAX($J1943*1.4*1.5*1.6*1.6*2.2*2.715*2.6*1.4*1.4,8430000000*(1.651435^(MIN($E1943,123)-117)))*1,0))</f>
        <v>37967502359</v>
      </c>
      <c r="AC1943" s="4">
        <f>$E1943+21</f>
        <v>141</v>
      </c>
      <c r="AD1943" s="8">
        <f>IF($J1943=0,0,ROUND(MAX($J1943*1.4*1.5*1.6*1.6*2.2*2.715*2.6*1.4*1.4*1.5,12600000000*(1.652953^(MIN($E1943,123)-117)))*1,0))</f>
        <v>56905213910</v>
      </c>
      <c r="AE1943" s="6">
        <f>$E1943+24</f>
        <v>144</v>
      </c>
      <c r="AF1943" s="7">
        <f>IF($J1943=0,0,ROUND(MAX($J1943*1.4*1.5*1.6*1.6*2.2*2.715*2.6*1.4*1.4*1.5*1.5,18900000000*(1.65331^(MIN($E1943,123)-117)))*1,0))</f>
        <v>85413138816</v>
      </c>
      <c r="AG1943" s="4">
        <f>$E1943+27</f>
        <v>147</v>
      </c>
      <c r="AH1943" s="8">
        <f>IF($J1943=0,0,ROUND(MAX($J1943*1.4*1.5*1.6*1.6*2.2*2.715*2.6*1.4*1.4*1.5*1.5*3.2,60500000000*(1.654288^(MIN($E1943,123)-117)))*1,0))</f>
        <v>273897919220</v>
      </c>
    </row>
    <row r="1944" ht="27.75" customHeight="1" spans="1:34" x14ac:dyDescent="0.25">
      <c r="A1944" s="3">
        <v>1954</v>
      </c>
      <c r="B1944" s="3" t="s">
        <v>1009</v>
      </c>
      <c r="C1944" s="3" t="s">
        <v>1243</v>
      </c>
      <c r="D1944" s="3" t="s">
        <v>75</v>
      </c>
      <c r="E1944" s="3">
        <v>120</v>
      </c>
      <c r="F1944" s="3" t="s">
        <v>71</v>
      </c>
      <c r="G1944" s="3" t="s">
        <v>684</v>
      </c>
      <c r="H1944" s="3">
        <v>30</v>
      </c>
      <c r="I1944" s="4">
        <v>120</v>
      </c>
      <c r="J1944" s="5">
        <v>1280000</v>
      </c>
      <c r="K1944" s="6">
        <f>$E1944+1</f>
        <v>121</v>
      </c>
      <c r="L1944" s="7">
        <f>IF($J1944=0,0,ROUND(MAX($J1944*1.4,1620000*(1.497923^(MIN($E1944,123)-117)))*1,0))</f>
        <v>5444819</v>
      </c>
      <c r="M1944" s="4">
        <f>$E1944+2</f>
        <v>122</v>
      </c>
      <c r="N1944" s="8">
        <f>IF($J1944=0,0,ROUND(MAX($J1944*1.4*1.5,2190000*(1.580994^(MIN($E1944,123)-117)))*1,0))</f>
        <v>8654356</v>
      </c>
      <c r="O1944" s="6">
        <f>$E1944+4</f>
        <v>124</v>
      </c>
      <c r="P1944" s="7">
        <f>IF($J1944=0,0,ROUND(MAX($J1944*1.4*1.5*1.6,3500000*(1.57975^(MIN($E1944,123)-117)))*1,0))</f>
        <v>13798540</v>
      </c>
      <c r="Q1944" s="4">
        <f>$E1944+6</f>
        <v>126</v>
      </c>
      <c r="R1944" s="8">
        <f>IF($J1944=0,0,ROUND(MAX($J1944*1.4*1.5*1.6*1.6,13100000*(1.429962^(MIN($E1944,123)-117)))*1,0))</f>
        <v>38304058</v>
      </c>
      <c r="S1944" s="6">
        <f>$E1944+8</f>
        <v>128</v>
      </c>
      <c r="T1944" s="7">
        <f>IF($J1944=0,0,ROUND(MAX($J1944*1.4*1.5*1.6*1.6*2.2,42600000*(1.576904^(MIN($E1944,123)-117)))*1,0))</f>
        <v>167041878</v>
      </c>
      <c r="U1944" s="4">
        <f>$E1944+11</f>
        <v>131</v>
      </c>
      <c r="V1944" s="8">
        <f>IF($J1944=0,0,ROUND(MAX($J1944*1.4*1.5*1.6*1.6*2.2*2.715,354000000*(1.642074^(MIN($E1944,123)-117)))*1,0))</f>
        <v>1567405752</v>
      </c>
      <c r="W1944" s="6">
        <f>$E1944+15</f>
        <v>135</v>
      </c>
      <c r="X1944" s="7">
        <f>IF($J1944=0,0,ROUND(MAX($J1944*1.4*1.5*1.6*1.6*2.2*2.715*2.6,3540000000*(1.579646^(MIN($E1944,123)-117)))*1,0))</f>
        <v>13953481417</v>
      </c>
      <c r="Y1944" s="4">
        <f>$E1944+17</f>
        <v>137</v>
      </c>
      <c r="Z1944" s="8">
        <f>IF($J1944=0,0,ROUND(MAX($J1944*1.4*1.5*1.6*1.6*2.2*2.715*2.6*1.4,6020000000*(1.651178^(MIN($E1944,123)-117)))*1,0))</f>
        <v>27100554178</v>
      </c>
      <c r="AA1944" s="6">
        <f>$E1944+19</f>
        <v>139</v>
      </c>
      <c r="AB1944" s="7">
        <f>IF($J1944=0,0,ROUND(MAX($J1944*1.4*1.5*1.6*1.6*2.2*2.715*2.6*1.4*1.4,8430000000*(1.651435^(MIN($E1944,123)-117)))*1,0))</f>
        <v>37967502359</v>
      </c>
      <c r="AC1944" s="4">
        <f>$E1944+21</f>
        <v>141</v>
      </c>
      <c r="AD1944" s="8">
        <f>IF($J1944=0,0,ROUND(MAX($J1944*1.4*1.5*1.6*1.6*2.2*2.715*2.6*1.4*1.4*1.5,12600000000*(1.652953^(MIN($E1944,123)-117)))*1,0))</f>
        <v>56905213910</v>
      </c>
      <c r="AE1944" s="6">
        <f>$E1944+24</f>
        <v>144</v>
      </c>
      <c r="AF1944" s="7">
        <f>IF($J1944=0,0,ROUND(MAX($J1944*1.4*1.5*1.6*1.6*2.2*2.715*2.6*1.4*1.4*1.5*1.5,18900000000*(1.65331^(MIN($E1944,123)-117)))*1,0))</f>
        <v>85413138816</v>
      </c>
      <c r="AG1944" s="4">
        <f>$E1944+27</f>
        <v>147</v>
      </c>
      <c r="AH1944" s="8">
        <f>IF($J1944=0,0,ROUND(MAX($J1944*1.4*1.5*1.6*1.6*2.2*2.715*2.6*1.4*1.4*1.5*1.5*3.2,60500000000*(1.654288^(MIN($E1944,123)-117)))*1,0))</f>
        <v>273897919220</v>
      </c>
    </row>
    <row r="1945" ht="27.75" customHeight="1" spans="1:34" x14ac:dyDescent="0.25">
      <c r="A1945" s="3">
        <v>1955</v>
      </c>
      <c r="B1945" s="3" t="s">
        <v>166</v>
      </c>
      <c r="C1945" s="3" t="s">
        <v>1243</v>
      </c>
      <c r="D1945" s="3" t="s">
        <v>33</v>
      </c>
      <c r="E1945" s="3">
        <v>120</v>
      </c>
      <c r="F1945" s="3" t="s">
        <v>62</v>
      </c>
      <c r="G1945" s="3" t="s">
        <v>1244</v>
      </c>
      <c r="H1945" s="3">
        <v>30</v>
      </c>
      <c r="I1945" s="4">
        <v>120</v>
      </c>
      <c r="J1945" s="5">
        <v>1340000</v>
      </c>
      <c r="K1945" s="6">
        <f>$E1945+1</f>
        <v>121</v>
      </c>
      <c r="L1945" s="7">
        <f>IF($J1945=0,0,ROUND(MAX($J1945*1.4,1620000*(1.497923^(MIN($E1945,123)-117)))*1,0))</f>
        <v>5444819</v>
      </c>
      <c r="M1945" s="4">
        <f>$E1945+2</f>
        <v>122</v>
      </c>
      <c r="N1945" s="8">
        <f>IF($J1945=0,0,ROUND(MAX($J1945*1.4*1.5,2190000*(1.580994^(MIN($E1945,123)-117)))*1,0))</f>
        <v>8654356</v>
      </c>
      <c r="O1945" s="6">
        <f>$E1945+4</f>
        <v>124</v>
      </c>
      <c r="P1945" s="7">
        <f>IF($J1945=0,0,ROUND(MAX($J1945*1.4*1.5*1.6,3500000*(1.57975^(MIN($E1945,123)-117)))*1,0))</f>
        <v>13798540</v>
      </c>
      <c r="Q1945" s="4">
        <f>$E1945+6</f>
        <v>126</v>
      </c>
      <c r="R1945" s="8">
        <f>IF($J1945=0,0,ROUND(MAX($J1945*1.4*1.5*1.6*1.6,13100000*(1.429962^(MIN($E1945,123)-117)))*1,0))</f>
        <v>38304058</v>
      </c>
      <c r="S1945" s="6">
        <f>$E1945+8</f>
        <v>128</v>
      </c>
      <c r="T1945" s="7">
        <f>IF($J1945=0,0,ROUND(MAX($J1945*1.4*1.5*1.6*1.6*2.2,42600000*(1.576904^(MIN($E1945,123)-117)))*1,0))</f>
        <v>167041878</v>
      </c>
      <c r="U1945" s="4">
        <f>$E1945+11</f>
        <v>131</v>
      </c>
      <c r="V1945" s="8">
        <f>IF($J1945=0,0,ROUND(MAX($J1945*1.4*1.5*1.6*1.6*2.2*2.715,354000000*(1.642074^(MIN($E1945,123)-117)))*1,0))</f>
        <v>1567405752</v>
      </c>
      <c r="W1945" s="6">
        <f>$E1945+15</f>
        <v>135</v>
      </c>
      <c r="X1945" s="7">
        <f>IF($J1945=0,0,ROUND(MAX($J1945*1.4*1.5*1.6*1.6*2.2*2.715*2.6,3540000000*(1.579646^(MIN($E1945,123)-117)))*1,0))</f>
        <v>13953481417</v>
      </c>
      <c r="Y1945" s="4">
        <f>$E1945+17</f>
        <v>137</v>
      </c>
      <c r="Z1945" s="8">
        <f>IF($J1945=0,0,ROUND(MAX($J1945*1.4*1.5*1.6*1.6*2.2*2.715*2.6*1.4,6020000000*(1.651178^(MIN($E1945,123)-117)))*1,0))</f>
        <v>27100554178</v>
      </c>
      <c r="AA1945" s="6">
        <f>$E1945+19</f>
        <v>139</v>
      </c>
      <c r="AB1945" s="7">
        <f>IF($J1945=0,0,ROUND(MAX($J1945*1.4*1.5*1.6*1.6*2.2*2.715*2.6*1.4*1.4,8430000000*(1.651435^(MIN($E1945,123)-117)))*1,0))</f>
        <v>37967502359</v>
      </c>
      <c r="AC1945" s="4">
        <f>$E1945+21</f>
        <v>141</v>
      </c>
      <c r="AD1945" s="8">
        <f>IF($J1945=0,0,ROUND(MAX($J1945*1.4*1.5*1.6*1.6*2.2*2.715*2.6*1.4*1.4*1.5,12600000000*(1.652953^(MIN($E1945,123)-117)))*1,0))</f>
        <v>56905213910</v>
      </c>
      <c r="AE1945" s="6">
        <f>$E1945+24</f>
        <v>144</v>
      </c>
      <c r="AF1945" s="7">
        <f>IF($J1945=0,0,ROUND(MAX($J1945*1.4*1.5*1.6*1.6*2.2*2.715*2.6*1.4*1.4*1.5*1.5,18900000000*(1.65331^(MIN($E1945,123)-117)))*1,0))</f>
        <v>85413138816</v>
      </c>
      <c r="AG1945" s="4">
        <f>$E1945+27</f>
        <v>147</v>
      </c>
      <c r="AH1945" s="8">
        <f>IF($J1945=0,0,ROUND(MAX($J1945*1.4*1.5*1.6*1.6*2.2*2.715*2.6*1.4*1.4*1.5*1.5*3.2,60500000000*(1.654288^(MIN($E1945,123)-117)))*1,0))</f>
        <v>273897919220</v>
      </c>
    </row>
    <row r="1946" ht="27.75" customHeight="1" spans="1:34" x14ac:dyDescent="0.25">
      <c r="A1946" s="3">
        <v>1956</v>
      </c>
      <c r="B1946" s="3" t="s">
        <v>189</v>
      </c>
      <c r="C1946" s="3" t="s">
        <v>1243</v>
      </c>
      <c r="D1946" s="3" t="s">
        <v>102</v>
      </c>
      <c r="E1946" s="3">
        <v>120</v>
      </c>
      <c r="F1946" s="3" t="s">
        <v>62</v>
      </c>
      <c r="G1946" s="3" t="s">
        <v>1244</v>
      </c>
      <c r="H1946" s="3">
        <v>30</v>
      </c>
      <c r="I1946" s="4">
        <v>120</v>
      </c>
      <c r="J1946" s="5">
        <v>1280000</v>
      </c>
      <c r="K1946" s="6">
        <f>$E1946+1</f>
        <v>121</v>
      </c>
      <c r="L1946" s="7">
        <f>IF($J1946=0,0,ROUND(MAX($J1946*1.4,1620000*(1.497923^(MIN($E1946,123)-117)))*1,0))</f>
        <v>5444819</v>
      </c>
      <c r="M1946" s="4">
        <f>$E1946+2</f>
        <v>122</v>
      </c>
      <c r="N1946" s="8">
        <f>IF($J1946=0,0,ROUND(MAX($J1946*1.4*1.5,2190000*(1.580994^(MIN($E1946,123)-117)))*1,0))</f>
        <v>8654356</v>
      </c>
      <c r="O1946" s="6">
        <f>$E1946+4</f>
        <v>124</v>
      </c>
      <c r="P1946" s="7">
        <f>IF($J1946=0,0,ROUND(MAX($J1946*1.4*1.5*1.6,3500000*(1.57975^(MIN($E1946,123)-117)))*1,0))</f>
        <v>13798540</v>
      </c>
      <c r="Q1946" s="4">
        <f>$E1946+6</f>
        <v>126</v>
      </c>
      <c r="R1946" s="8">
        <f>IF($J1946=0,0,ROUND(MAX($J1946*1.4*1.5*1.6*1.6,13100000*(1.429962^(MIN($E1946,123)-117)))*1,0))</f>
        <v>38304058</v>
      </c>
      <c r="S1946" s="6">
        <f>$E1946+8</f>
        <v>128</v>
      </c>
      <c r="T1946" s="7">
        <f>IF($J1946=0,0,ROUND(MAX($J1946*1.4*1.5*1.6*1.6*2.2,42600000*(1.576904^(MIN($E1946,123)-117)))*1,0))</f>
        <v>167041878</v>
      </c>
      <c r="U1946" s="4">
        <f>$E1946+11</f>
        <v>131</v>
      </c>
      <c r="V1946" s="8">
        <f>IF($J1946=0,0,ROUND(MAX($J1946*1.4*1.5*1.6*1.6*2.2*2.715,354000000*(1.642074^(MIN($E1946,123)-117)))*1,0))</f>
        <v>1567405752</v>
      </c>
      <c r="W1946" s="6">
        <f>$E1946+15</f>
        <v>135</v>
      </c>
      <c r="X1946" s="7">
        <f>IF($J1946=0,0,ROUND(MAX($J1946*1.4*1.5*1.6*1.6*2.2*2.715*2.6,3540000000*(1.579646^(MIN($E1946,123)-117)))*1,0))</f>
        <v>13953481417</v>
      </c>
      <c r="Y1946" s="4">
        <f>$E1946+17</f>
        <v>137</v>
      </c>
      <c r="Z1946" s="8">
        <f>IF($J1946=0,0,ROUND(MAX($J1946*1.4*1.5*1.6*1.6*2.2*2.715*2.6*1.4,6020000000*(1.651178^(MIN($E1946,123)-117)))*1,0))</f>
        <v>27100554178</v>
      </c>
      <c r="AA1946" s="6">
        <f>$E1946+19</f>
        <v>139</v>
      </c>
      <c r="AB1946" s="7">
        <f>IF($J1946=0,0,ROUND(MAX($J1946*1.4*1.5*1.6*1.6*2.2*2.715*2.6*1.4*1.4,8430000000*(1.651435^(MIN($E1946,123)-117)))*1,0))</f>
        <v>37967502359</v>
      </c>
      <c r="AC1946" s="4">
        <f>$E1946+21</f>
        <v>141</v>
      </c>
      <c r="AD1946" s="8">
        <f>IF($J1946=0,0,ROUND(MAX($J1946*1.4*1.5*1.6*1.6*2.2*2.715*2.6*1.4*1.4*1.5,12600000000*(1.652953^(MIN($E1946,123)-117)))*1,0))</f>
        <v>56905213910</v>
      </c>
      <c r="AE1946" s="6">
        <f>$E1946+24</f>
        <v>144</v>
      </c>
      <c r="AF1946" s="7">
        <f>IF($J1946=0,0,ROUND(MAX($J1946*1.4*1.5*1.6*1.6*2.2*2.715*2.6*1.4*1.4*1.5*1.5,18900000000*(1.65331^(MIN($E1946,123)-117)))*1,0))</f>
        <v>85413138816</v>
      </c>
      <c r="AG1946" s="4">
        <f>$E1946+27</f>
        <v>147</v>
      </c>
      <c r="AH1946" s="8">
        <f>IF($J1946=0,0,ROUND(MAX($J1946*1.4*1.5*1.6*1.6*2.2*2.715*2.6*1.4*1.4*1.5*1.5*3.2,60500000000*(1.654288^(MIN($E1946,123)-117)))*1,0))</f>
        <v>273897919220</v>
      </c>
    </row>
    <row r="1947" ht="27.75" customHeight="1" spans="1:34" x14ac:dyDescent="0.25">
      <c r="A1947" s="3">
        <v>1957</v>
      </c>
      <c r="B1947" s="3" t="s">
        <v>691</v>
      </c>
      <c r="C1947" s="3" t="s">
        <v>1243</v>
      </c>
      <c r="D1947" s="3" t="s">
        <v>25</v>
      </c>
      <c r="E1947" s="3">
        <v>119</v>
      </c>
      <c r="F1947" s="3" t="s">
        <v>34</v>
      </c>
      <c r="G1947" s="3" t="s">
        <v>95</v>
      </c>
      <c r="H1947" s="3">
        <v>30</v>
      </c>
      <c r="I1947" s="4">
        <v>119</v>
      </c>
      <c r="J1947" s="5">
        <v>1220000</v>
      </c>
      <c r="K1947" s="6">
        <f>$E1947+1</f>
        <v>120</v>
      </c>
      <c r="L1947" s="7">
        <f>IF($J1947=0,0,ROUND(MAX($J1947*1.4,1620000*(1.497923^(MIN($E1947,123)-117)))*1,0))</f>
        <v>3634913</v>
      </c>
      <c r="M1947" s="4">
        <f>$E1947+2</f>
        <v>121</v>
      </c>
      <c r="N1947" s="8">
        <f>IF($J1947=0,0,ROUND(MAX($J1947*1.4*1.5,2190000*(1.580994^(MIN($E1947,123)-117)))*1,0))</f>
        <v>5473997</v>
      </c>
      <c r="O1947" s="6">
        <f>$E1947+4</f>
        <v>123</v>
      </c>
      <c r="P1947" s="7">
        <f>IF($J1947=0,0,ROUND(MAX($J1947*1.4*1.5*1.6,3500000*(1.57975^(MIN($E1947,123)-117)))*1,0))</f>
        <v>8734635</v>
      </c>
      <c r="Q1947" s="4">
        <f>$E1947+6</f>
        <v>125</v>
      </c>
      <c r="R1947" s="8">
        <f>IF($J1947=0,0,ROUND(MAX($J1947*1.4*1.5*1.6*1.6,13100000*(1.429962^(MIN($E1947,123)-117)))*1,0))</f>
        <v>26786766</v>
      </c>
      <c r="S1947" s="6">
        <f>$E1947+8</f>
        <v>127</v>
      </c>
      <c r="T1947" s="7">
        <f>IF($J1947=0,0,ROUND(MAX($J1947*1.4*1.5*1.6*1.6*2.2,42600000*(1.576904^(MIN($E1947,123)-117)))*1,0))</f>
        <v>105930277</v>
      </c>
      <c r="U1947" s="4">
        <f>$E1947+11</f>
        <v>130</v>
      </c>
      <c r="V1947" s="8">
        <f>IF($J1947=0,0,ROUND(MAX($J1947*1.4*1.5*1.6*1.6*2.2*2.715,354000000*(1.642074^(MIN($E1947,123)-117)))*1,0))</f>
        <v>954528086</v>
      </c>
      <c r="W1947" s="6">
        <f>$E1947+15</f>
        <v>134</v>
      </c>
      <c r="X1947" s="7">
        <f>IF($J1947=0,0,ROUND(MAX($J1947*1.4*1.5*1.6*1.6*2.2*2.715*2.6,3540000000*(1.579646^(MIN($E1947,123)-117)))*1,0))</f>
        <v>8833296458</v>
      </c>
      <c r="Y1947" s="4">
        <f>$E1947+17</f>
        <v>136</v>
      </c>
      <c r="Z1947" s="8">
        <f>IF($J1947=0,0,ROUND(MAX($J1947*1.4*1.5*1.6*1.6*2.2*2.715*2.6*1.4,6020000000*(1.651178^(MIN($E1947,123)-117)))*1,0))</f>
        <v>16412860502</v>
      </c>
      <c r="AA1947" s="6">
        <f>$E1947+19</f>
        <v>138</v>
      </c>
      <c r="AB1947" s="7">
        <f>IF($J1947=0,0,ROUND(MAX($J1947*1.4*1.5*1.6*1.6*2.2*2.715*2.6*1.4*1.4,8430000000*(1.651435^(MIN($E1947,123)-117)))*1,0))</f>
        <v>22990612624</v>
      </c>
      <c r="AC1947" s="4">
        <f>$E1947+21</f>
        <v>140</v>
      </c>
      <c r="AD1947" s="8">
        <f>IF($J1947=0,0,ROUND(MAX($J1947*1.4*1.5*1.6*1.6*2.2*2.715*2.6*1.4*1.4*1.5,12600000000*(1.652953^(MIN($E1947,123)-117)))*1,0))</f>
        <v>34426395615</v>
      </c>
      <c r="AE1947" s="6">
        <f>$E1947+24</f>
        <v>143</v>
      </c>
      <c r="AF1947" s="7">
        <f>IF($J1947=0,0,ROUND(MAX($J1947*1.4*1.5*1.6*1.6*2.2*2.715*2.6*1.4*1.4*1.5*1.5,18900000000*(1.65331^(MIN($E1947,123)-117)))*1,0))</f>
        <v>51661901770</v>
      </c>
      <c r="AG1947" s="4">
        <f>$E1947+27</f>
        <v>146</v>
      </c>
      <c r="AH1947" s="8">
        <f>IF($J1947=0,0,ROUND(MAX($J1947*1.4*1.5*1.6*1.6*2.2*2.715*2.6*1.4*1.4*1.5*1.5*3.2,60500000000*(1.654288^(MIN($E1947,123)-117)))*1,0))</f>
        <v>165568461610</v>
      </c>
    </row>
    <row r="1948" ht="27.75" customHeight="1" spans="1:34" x14ac:dyDescent="0.25">
      <c r="A1948" s="3">
        <v>1958</v>
      </c>
      <c r="B1948" s="3" t="s">
        <v>812</v>
      </c>
      <c r="C1948" s="3" t="s">
        <v>1243</v>
      </c>
      <c r="D1948" s="3" t="s">
        <v>40</v>
      </c>
      <c r="E1948" s="3">
        <v>119</v>
      </c>
      <c r="F1948" s="3" t="s">
        <v>56</v>
      </c>
      <c r="G1948" s="3" t="s">
        <v>832</v>
      </c>
      <c r="H1948" s="3">
        <v>30</v>
      </c>
      <c r="I1948" s="4">
        <v>119</v>
      </c>
      <c r="J1948" s="5">
        <v>1050000</v>
      </c>
      <c r="K1948" s="6">
        <f>$E1948+1</f>
        <v>120</v>
      </c>
      <c r="L1948" s="7">
        <f>IF($J1948=0,0,ROUND(MAX($J1948*1.4,1620000*(1.497923^(MIN($E1948,123)-117)))*1,0))</f>
        <v>3634913</v>
      </c>
      <c r="M1948" s="4">
        <f>$E1948+2</f>
        <v>121</v>
      </c>
      <c r="N1948" s="8">
        <f>IF($J1948=0,0,ROUND(MAX($J1948*1.4*1.5,2190000*(1.580994^(MIN($E1948,123)-117)))*1,0))</f>
        <v>5473997</v>
      </c>
      <c r="O1948" s="6">
        <f>$E1948+4</f>
        <v>123</v>
      </c>
      <c r="P1948" s="7">
        <f>IF($J1948=0,0,ROUND(MAX($J1948*1.4*1.5*1.6,3500000*(1.57975^(MIN($E1948,123)-117)))*1,0))</f>
        <v>8734635</v>
      </c>
      <c r="Q1948" s="4">
        <f>$E1948+6</f>
        <v>125</v>
      </c>
      <c r="R1948" s="8">
        <f>IF($J1948=0,0,ROUND(MAX($J1948*1.4*1.5*1.6*1.6,13100000*(1.429962^(MIN($E1948,123)-117)))*1,0))</f>
        <v>26786766</v>
      </c>
      <c r="S1948" s="6">
        <f>$E1948+8</f>
        <v>127</v>
      </c>
      <c r="T1948" s="7">
        <f>IF($J1948=0,0,ROUND(MAX($J1948*1.4*1.5*1.6*1.6*2.2,42600000*(1.576904^(MIN($E1948,123)-117)))*1,0))</f>
        <v>105930277</v>
      </c>
      <c r="U1948" s="4">
        <f>$E1948+11</f>
        <v>130</v>
      </c>
      <c r="V1948" s="8">
        <f>IF($J1948=0,0,ROUND(MAX($J1948*1.4*1.5*1.6*1.6*2.2*2.715,354000000*(1.642074^(MIN($E1948,123)-117)))*1,0))</f>
        <v>954528086</v>
      </c>
      <c r="W1948" s="6">
        <f>$E1948+15</f>
        <v>134</v>
      </c>
      <c r="X1948" s="7">
        <f>IF($J1948=0,0,ROUND(MAX($J1948*1.4*1.5*1.6*1.6*2.2*2.715*2.6,3540000000*(1.579646^(MIN($E1948,123)-117)))*1,0))</f>
        <v>8833296458</v>
      </c>
      <c r="Y1948" s="4">
        <f>$E1948+17</f>
        <v>136</v>
      </c>
      <c r="Z1948" s="8">
        <f>IF($J1948=0,0,ROUND(MAX($J1948*1.4*1.5*1.6*1.6*2.2*2.715*2.6*1.4,6020000000*(1.651178^(MIN($E1948,123)-117)))*1,0))</f>
        <v>16412860502</v>
      </c>
      <c r="AA1948" s="6">
        <f>$E1948+19</f>
        <v>138</v>
      </c>
      <c r="AB1948" s="7">
        <f>IF($J1948=0,0,ROUND(MAX($J1948*1.4*1.5*1.6*1.6*2.2*2.715*2.6*1.4*1.4,8430000000*(1.651435^(MIN($E1948,123)-117)))*1,0))</f>
        <v>22990612624</v>
      </c>
      <c r="AC1948" s="4">
        <f>$E1948+21</f>
        <v>140</v>
      </c>
      <c r="AD1948" s="8">
        <f>IF($J1948=0,0,ROUND(MAX($J1948*1.4*1.5*1.6*1.6*2.2*2.715*2.6*1.4*1.4*1.5,12600000000*(1.652953^(MIN($E1948,123)-117)))*1,0))</f>
        <v>34426395615</v>
      </c>
      <c r="AE1948" s="6">
        <f>$E1948+24</f>
        <v>143</v>
      </c>
      <c r="AF1948" s="7">
        <f>IF($J1948=0,0,ROUND(MAX($J1948*1.4*1.5*1.6*1.6*2.2*2.715*2.6*1.4*1.4*1.5*1.5,18900000000*(1.65331^(MIN($E1948,123)-117)))*1,0))</f>
        <v>51661901770</v>
      </c>
      <c r="AG1948" s="4">
        <f>$E1948+27</f>
        <v>146</v>
      </c>
      <c r="AH1948" s="8">
        <f>IF($J1948=0,0,ROUND(MAX($J1948*1.4*1.5*1.6*1.6*2.2*2.715*2.6*1.4*1.4*1.5*1.5*3.2,60500000000*(1.654288^(MIN($E1948,123)-117)))*1,0))</f>
        <v>165568461610</v>
      </c>
    </row>
    <row r="1949" ht="27.75" customHeight="1" spans="1:34" x14ac:dyDescent="0.25">
      <c r="A1949" s="3">
        <v>1959</v>
      </c>
      <c r="B1949" s="3" t="s">
        <v>1252</v>
      </c>
      <c r="C1949" s="3" t="s">
        <v>1243</v>
      </c>
      <c r="D1949" s="3" t="s">
        <v>45</v>
      </c>
      <c r="E1949" s="3">
        <v>119</v>
      </c>
      <c r="F1949" s="3" t="s">
        <v>71</v>
      </c>
      <c r="G1949" s="3" t="s">
        <v>213</v>
      </c>
      <c r="H1949" s="3">
        <v>30</v>
      </c>
      <c r="I1949" s="4">
        <v>119</v>
      </c>
      <c r="J1949" s="5">
        <v>965000</v>
      </c>
      <c r="K1949" s="6">
        <f>$E1949+1</f>
        <v>120</v>
      </c>
      <c r="L1949" s="7">
        <f>IF($J1949=0,0,ROUND(MAX($J1949*1.4,1620000*(1.497923^(MIN($E1949,123)-117)))*1,0))</f>
        <v>3634913</v>
      </c>
      <c r="M1949" s="4">
        <f>$E1949+2</f>
        <v>121</v>
      </c>
      <c r="N1949" s="8">
        <f>IF($J1949=0,0,ROUND(MAX($J1949*1.4*1.5,2190000*(1.580994^(MIN($E1949,123)-117)))*1,0))</f>
        <v>5473997</v>
      </c>
      <c r="O1949" s="6">
        <f>$E1949+4</f>
        <v>123</v>
      </c>
      <c r="P1949" s="7">
        <f>IF($J1949=0,0,ROUND(MAX($J1949*1.4*1.5*1.6,3500000*(1.57975^(MIN($E1949,123)-117)))*1,0))</f>
        <v>8734635</v>
      </c>
      <c r="Q1949" s="4">
        <f>$E1949+6</f>
        <v>125</v>
      </c>
      <c r="R1949" s="8">
        <f>IF($J1949=0,0,ROUND(MAX($J1949*1.4*1.5*1.6*1.6,13100000*(1.429962^(MIN($E1949,123)-117)))*1,0))</f>
        <v>26786766</v>
      </c>
      <c r="S1949" s="6">
        <f>$E1949+8</f>
        <v>127</v>
      </c>
      <c r="T1949" s="7">
        <f>IF($J1949=0,0,ROUND(MAX($J1949*1.4*1.5*1.6*1.6*2.2,42600000*(1.576904^(MIN($E1949,123)-117)))*1,0))</f>
        <v>105930277</v>
      </c>
      <c r="U1949" s="4">
        <f>$E1949+11</f>
        <v>130</v>
      </c>
      <c r="V1949" s="8">
        <f>IF($J1949=0,0,ROUND(MAX($J1949*1.4*1.5*1.6*1.6*2.2*2.715,354000000*(1.642074^(MIN($E1949,123)-117)))*1,0))</f>
        <v>954528086</v>
      </c>
      <c r="W1949" s="6">
        <f>$E1949+15</f>
        <v>134</v>
      </c>
      <c r="X1949" s="7">
        <f>IF($J1949=0,0,ROUND(MAX($J1949*1.4*1.5*1.6*1.6*2.2*2.715*2.6,3540000000*(1.579646^(MIN($E1949,123)-117)))*1,0))</f>
        <v>8833296458</v>
      </c>
      <c r="Y1949" s="4">
        <f>$E1949+17</f>
        <v>136</v>
      </c>
      <c r="Z1949" s="8">
        <f>IF($J1949=0,0,ROUND(MAX($J1949*1.4*1.5*1.6*1.6*2.2*2.715*2.6*1.4,6020000000*(1.651178^(MIN($E1949,123)-117)))*1,0))</f>
        <v>16412860502</v>
      </c>
      <c r="AA1949" s="6">
        <f>$E1949+19</f>
        <v>138</v>
      </c>
      <c r="AB1949" s="7">
        <f>IF($J1949=0,0,ROUND(MAX($J1949*1.4*1.5*1.6*1.6*2.2*2.715*2.6*1.4*1.4,8430000000*(1.651435^(MIN($E1949,123)-117)))*1,0))</f>
        <v>22990612624</v>
      </c>
      <c r="AC1949" s="4">
        <f>$E1949+21</f>
        <v>140</v>
      </c>
      <c r="AD1949" s="8">
        <f>IF($J1949=0,0,ROUND(MAX($J1949*1.4*1.5*1.6*1.6*2.2*2.715*2.6*1.4*1.4*1.5,12600000000*(1.652953^(MIN($E1949,123)-117)))*1,0))</f>
        <v>34426395615</v>
      </c>
      <c r="AE1949" s="6">
        <f>$E1949+24</f>
        <v>143</v>
      </c>
      <c r="AF1949" s="7">
        <f>IF($J1949=0,0,ROUND(MAX($J1949*1.4*1.5*1.6*1.6*2.2*2.715*2.6*1.4*1.4*1.5*1.5,18900000000*(1.65331^(MIN($E1949,123)-117)))*1,0))</f>
        <v>51661901770</v>
      </c>
      <c r="AG1949" s="4">
        <f>$E1949+27</f>
        <v>146</v>
      </c>
      <c r="AH1949" s="8">
        <f>IF($J1949=0,0,ROUND(MAX($J1949*1.4*1.5*1.6*1.6*2.2*2.715*2.6*1.4*1.4*1.5*1.5*3.2,60500000000*(1.654288^(MIN($E1949,123)-117)))*1,0))</f>
        <v>165568461610</v>
      </c>
    </row>
    <row r="1950" ht="27.75" customHeight="1" spans="1:34" x14ac:dyDescent="0.25">
      <c r="A1950" s="3">
        <v>1960</v>
      </c>
      <c r="B1950" s="3" t="s">
        <v>1253</v>
      </c>
      <c r="C1950" s="3" t="s">
        <v>1243</v>
      </c>
      <c r="D1950" s="3" t="s">
        <v>79</v>
      </c>
      <c r="E1950" s="3">
        <v>119</v>
      </c>
      <c r="F1950" s="3" t="s">
        <v>62</v>
      </c>
      <c r="G1950" s="3" t="s">
        <v>200</v>
      </c>
      <c r="H1950" s="3">
        <v>30</v>
      </c>
      <c r="I1950" s="4">
        <v>119</v>
      </c>
      <c r="J1950" s="5">
        <v>1150000</v>
      </c>
      <c r="K1950" s="6">
        <f>$E1950+1</f>
        <v>120</v>
      </c>
      <c r="L1950" s="7">
        <f>IF($J1950=0,0,ROUND(MAX($J1950*1.4,1620000*(1.497923^(MIN($E1950,123)-117)))*1,0))</f>
        <v>3634913</v>
      </c>
      <c r="M1950" s="4">
        <f>$E1950+2</f>
        <v>121</v>
      </c>
      <c r="N1950" s="8">
        <f>IF($J1950=0,0,ROUND(MAX($J1950*1.4*1.5,2190000*(1.580994^(MIN($E1950,123)-117)))*1,0))</f>
        <v>5473997</v>
      </c>
      <c r="O1950" s="6">
        <f>$E1950+4</f>
        <v>123</v>
      </c>
      <c r="P1950" s="7">
        <f>IF($J1950=0,0,ROUND(MAX($J1950*1.4*1.5*1.6,3500000*(1.57975^(MIN($E1950,123)-117)))*1,0))</f>
        <v>8734635</v>
      </c>
      <c r="Q1950" s="4">
        <f>$E1950+6</f>
        <v>125</v>
      </c>
      <c r="R1950" s="8">
        <f>IF($J1950=0,0,ROUND(MAX($J1950*1.4*1.5*1.6*1.6,13100000*(1.429962^(MIN($E1950,123)-117)))*1,0))</f>
        <v>26786766</v>
      </c>
      <c r="S1950" s="6">
        <f>$E1950+8</f>
        <v>127</v>
      </c>
      <c r="T1950" s="7">
        <f>IF($J1950=0,0,ROUND(MAX($J1950*1.4*1.5*1.6*1.6*2.2,42600000*(1.576904^(MIN($E1950,123)-117)))*1,0))</f>
        <v>105930277</v>
      </c>
      <c r="U1950" s="4">
        <f>$E1950+11</f>
        <v>130</v>
      </c>
      <c r="V1950" s="8">
        <f>IF($J1950=0,0,ROUND(MAX($J1950*1.4*1.5*1.6*1.6*2.2*2.715,354000000*(1.642074^(MIN($E1950,123)-117)))*1,0))</f>
        <v>954528086</v>
      </c>
      <c r="W1950" s="6">
        <f>$E1950+15</f>
        <v>134</v>
      </c>
      <c r="X1950" s="7">
        <f>IF($J1950=0,0,ROUND(MAX($J1950*1.4*1.5*1.6*1.6*2.2*2.715*2.6,3540000000*(1.579646^(MIN($E1950,123)-117)))*1,0))</f>
        <v>8833296458</v>
      </c>
      <c r="Y1950" s="4">
        <f>$E1950+17</f>
        <v>136</v>
      </c>
      <c r="Z1950" s="8">
        <f>IF($J1950=0,0,ROUND(MAX($J1950*1.4*1.5*1.6*1.6*2.2*2.715*2.6*1.4,6020000000*(1.651178^(MIN($E1950,123)-117)))*1,0))</f>
        <v>16412860502</v>
      </c>
      <c r="AA1950" s="6">
        <f>$E1950+19</f>
        <v>138</v>
      </c>
      <c r="AB1950" s="7">
        <f>IF($J1950=0,0,ROUND(MAX($J1950*1.4*1.5*1.6*1.6*2.2*2.715*2.6*1.4*1.4,8430000000*(1.651435^(MIN($E1950,123)-117)))*1,0))</f>
        <v>22990612624</v>
      </c>
      <c r="AC1950" s="4">
        <f>$E1950+21</f>
        <v>140</v>
      </c>
      <c r="AD1950" s="8">
        <f>IF($J1950=0,0,ROUND(MAX($J1950*1.4*1.5*1.6*1.6*2.2*2.715*2.6*1.4*1.4*1.5,12600000000*(1.652953^(MIN($E1950,123)-117)))*1,0))</f>
        <v>34426395615</v>
      </c>
      <c r="AE1950" s="6">
        <f>$E1950+24</f>
        <v>143</v>
      </c>
      <c r="AF1950" s="7">
        <f>IF($J1950=0,0,ROUND(MAX($J1950*1.4*1.5*1.6*1.6*2.2*2.715*2.6*1.4*1.4*1.5*1.5,18900000000*(1.65331^(MIN($E1950,123)-117)))*1,0))</f>
        <v>51661901770</v>
      </c>
      <c r="AG1950" s="4">
        <f>$E1950+27</f>
        <v>146</v>
      </c>
      <c r="AH1950" s="8">
        <f>IF($J1950=0,0,ROUND(MAX($J1950*1.4*1.5*1.6*1.6*2.2*2.715*2.6*1.4*1.4*1.5*1.5*3.2,60500000000*(1.654288^(MIN($E1950,123)-117)))*1,0))</f>
        <v>165568461610</v>
      </c>
    </row>
    <row r="1951" ht="27.75" customHeight="1" spans="1:34" x14ac:dyDescent="0.25">
      <c r="A1951" s="3">
        <v>1961</v>
      </c>
      <c r="B1951" s="3" t="s">
        <v>285</v>
      </c>
      <c r="C1951" s="3" t="s">
        <v>1243</v>
      </c>
      <c r="D1951" s="3" t="s">
        <v>45</v>
      </c>
      <c r="E1951" s="3">
        <v>119</v>
      </c>
      <c r="F1951" s="3" t="s">
        <v>54</v>
      </c>
      <c r="G1951" s="3" t="s">
        <v>51</v>
      </c>
      <c r="H1951" s="3">
        <v>30</v>
      </c>
      <c r="I1951" s="4">
        <v>119</v>
      </c>
      <c r="J1951" s="5">
        <v>897000</v>
      </c>
      <c r="K1951" s="6">
        <f>$E1951+1</f>
        <v>120</v>
      </c>
      <c r="L1951" s="7">
        <f>IF($J1951=0,0,ROUND(MAX($J1951*1.4,1620000*(1.497923^(MIN($E1951,123)-117)))*1,0))</f>
        <v>3634913</v>
      </c>
      <c r="M1951" s="4">
        <f>$E1951+2</f>
        <v>121</v>
      </c>
      <c r="N1951" s="8">
        <f>IF($J1951=0,0,ROUND(MAX($J1951*1.4*1.5,2190000*(1.580994^(MIN($E1951,123)-117)))*1,0))</f>
        <v>5473997</v>
      </c>
      <c r="O1951" s="6">
        <f>$E1951+4</f>
        <v>123</v>
      </c>
      <c r="P1951" s="7">
        <f>IF($J1951=0,0,ROUND(MAX($J1951*1.4*1.5*1.6,3500000*(1.57975^(MIN($E1951,123)-117)))*1,0))</f>
        <v>8734635</v>
      </c>
      <c r="Q1951" s="4">
        <f>$E1951+6</f>
        <v>125</v>
      </c>
      <c r="R1951" s="8">
        <f>IF($J1951=0,0,ROUND(MAX($J1951*1.4*1.5*1.6*1.6,13100000*(1.429962^(MIN($E1951,123)-117)))*1,0))</f>
        <v>26786766</v>
      </c>
      <c r="S1951" s="6">
        <f>$E1951+8</f>
        <v>127</v>
      </c>
      <c r="T1951" s="7">
        <f>IF($J1951=0,0,ROUND(MAX($J1951*1.4*1.5*1.6*1.6*2.2,42600000*(1.576904^(MIN($E1951,123)-117)))*1,0))</f>
        <v>105930277</v>
      </c>
      <c r="U1951" s="4">
        <f>$E1951+11</f>
        <v>130</v>
      </c>
      <c r="V1951" s="8">
        <f>IF($J1951=0,0,ROUND(MAX($J1951*1.4*1.5*1.6*1.6*2.2*2.715,354000000*(1.642074^(MIN($E1951,123)-117)))*1,0))</f>
        <v>954528086</v>
      </c>
      <c r="W1951" s="6">
        <f>$E1951+15</f>
        <v>134</v>
      </c>
      <c r="X1951" s="7">
        <f>IF($J1951=0,0,ROUND(MAX($J1951*1.4*1.5*1.6*1.6*2.2*2.715*2.6,3540000000*(1.579646^(MIN($E1951,123)-117)))*1,0))</f>
        <v>8833296458</v>
      </c>
      <c r="Y1951" s="4">
        <f>$E1951+17</f>
        <v>136</v>
      </c>
      <c r="Z1951" s="8">
        <f>IF($J1951=0,0,ROUND(MAX($J1951*1.4*1.5*1.6*1.6*2.2*2.715*2.6*1.4,6020000000*(1.651178^(MIN($E1951,123)-117)))*1,0))</f>
        <v>16412860502</v>
      </c>
      <c r="AA1951" s="6">
        <f>$E1951+19</f>
        <v>138</v>
      </c>
      <c r="AB1951" s="7">
        <f>IF($J1951=0,0,ROUND(MAX($J1951*1.4*1.5*1.6*1.6*2.2*2.715*2.6*1.4*1.4,8430000000*(1.651435^(MIN($E1951,123)-117)))*1,0))</f>
        <v>22990612624</v>
      </c>
      <c r="AC1951" s="4">
        <f>$E1951+21</f>
        <v>140</v>
      </c>
      <c r="AD1951" s="8">
        <f>IF($J1951=0,0,ROUND(MAX($J1951*1.4*1.5*1.6*1.6*2.2*2.715*2.6*1.4*1.4*1.5,12600000000*(1.652953^(MIN($E1951,123)-117)))*1,0))</f>
        <v>34426395615</v>
      </c>
      <c r="AE1951" s="6">
        <f>$E1951+24</f>
        <v>143</v>
      </c>
      <c r="AF1951" s="7">
        <f>IF($J1951=0,0,ROUND(MAX($J1951*1.4*1.5*1.6*1.6*2.2*2.715*2.6*1.4*1.4*1.5*1.5,18900000000*(1.65331^(MIN($E1951,123)-117)))*1,0))</f>
        <v>51661901770</v>
      </c>
      <c r="AG1951" s="4">
        <f>$E1951+27</f>
        <v>146</v>
      </c>
      <c r="AH1951" s="8">
        <f>IF($J1951=0,0,ROUND(MAX($J1951*1.4*1.5*1.6*1.6*2.2*2.715*2.6*1.4*1.4*1.5*1.5*3.2,60500000000*(1.654288^(MIN($E1951,123)-117)))*1,0))</f>
        <v>165568461610</v>
      </c>
    </row>
    <row r="1952" ht="27.75" customHeight="1" spans="1:34" x14ac:dyDescent="0.25">
      <c r="A1952" s="3">
        <v>1962</v>
      </c>
      <c r="B1952" s="3" t="s">
        <v>770</v>
      </c>
      <c r="C1952" s="3" t="s">
        <v>1243</v>
      </c>
      <c r="D1952" s="3" t="s">
        <v>90</v>
      </c>
      <c r="E1952" s="3">
        <v>119</v>
      </c>
      <c r="F1952" s="3" t="s">
        <v>71</v>
      </c>
      <c r="G1952" s="3" t="s">
        <v>38</v>
      </c>
      <c r="H1952" s="3">
        <v>30</v>
      </c>
      <c r="I1952" s="4">
        <v>119</v>
      </c>
      <c r="J1952" s="5">
        <v>997000</v>
      </c>
      <c r="K1952" s="6">
        <f>$E1952+1</f>
        <v>120</v>
      </c>
      <c r="L1952" s="7">
        <f>IF($J1952=0,0,ROUND(MAX($J1952*1.4,1620000*(1.497923^(MIN($E1952,123)-117)))*1,0))</f>
        <v>3634913</v>
      </c>
      <c r="M1952" s="4">
        <f>$E1952+2</f>
        <v>121</v>
      </c>
      <c r="N1952" s="8">
        <f>IF($J1952=0,0,ROUND(MAX($J1952*1.4*1.5,2190000*(1.580994^(MIN($E1952,123)-117)))*1,0))</f>
        <v>5473997</v>
      </c>
      <c r="O1952" s="6">
        <f>$E1952+4</f>
        <v>123</v>
      </c>
      <c r="P1952" s="7">
        <f>IF($J1952=0,0,ROUND(MAX($J1952*1.4*1.5*1.6,3500000*(1.57975^(MIN($E1952,123)-117)))*1,0))</f>
        <v>8734635</v>
      </c>
      <c r="Q1952" s="4">
        <f>$E1952+6</f>
        <v>125</v>
      </c>
      <c r="R1952" s="8">
        <f>IF($J1952=0,0,ROUND(MAX($J1952*1.4*1.5*1.6*1.6,13100000*(1.429962^(MIN($E1952,123)-117)))*1,0))</f>
        <v>26786766</v>
      </c>
      <c r="S1952" s="6">
        <f>$E1952+8</f>
        <v>127</v>
      </c>
      <c r="T1952" s="7">
        <f>IF($J1952=0,0,ROUND(MAX($J1952*1.4*1.5*1.6*1.6*2.2,42600000*(1.576904^(MIN($E1952,123)-117)))*1,0))</f>
        <v>105930277</v>
      </c>
      <c r="U1952" s="4">
        <f>$E1952+11</f>
        <v>130</v>
      </c>
      <c r="V1952" s="8">
        <f>IF($J1952=0,0,ROUND(MAX($J1952*1.4*1.5*1.6*1.6*2.2*2.715,354000000*(1.642074^(MIN($E1952,123)-117)))*1,0))</f>
        <v>954528086</v>
      </c>
      <c r="W1952" s="6">
        <f>$E1952+15</f>
        <v>134</v>
      </c>
      <c r="X1952" s="7">
        <f>IF($J1952=0,0,ROUND(MAX($J1952*1.4*1.5*1.6*1.6*2.2*2.715*2.6,3540000000*(1.579646^(MIN($E1952,123)-117)))*1,0))</f>
        <v>8833296458</v>
      </c>
      <c r="Y1952" s="4">
        <f>$E1952+17</f>
        <v>136</v>
      </c>
      <c r="Z1952" s="8">
        <f>IF($J1952=0,0,ROUND(MAX($J1952*1.4*1.5*1.6*1.6*2.2*2.715*2.6*1.4,6020000000*(1.651178^(MIN($E1952,123)-117)))*1,0))</f>
        <v>16412860502</v>
      </c>
      <c r="AA1952" s="6">
        <f>$E1952+19</f>
        <v>138</v>
      </c>
      <c r="AB1952" s="7">
        <f>IF($J1952=0,0,ROUND(MAX($J1952*1.4*1.5*1.6*1.6*2.2*2.715*2.6*1.4*1.4,8430000000*(1.651435^(MIN($E1952,123)-117)))*1,0))</f>
        <v>22990612624</v>
      </c>
      <c r="AC1952" s="4">
        <f>$E1952+21</f>
        <v>140</v>
      </c>
      <c r="AD1952" s="8">
        <f>IF($J1952=0,0,ROUND(MAX($J1952*1.4*1.5*1.6*1.6*2.2*2.715*2.6*1.4*1.4*1.5,12600000000*(1.652953^(MIN($E1952,123)-117)))*1,0))</f>
        <v>34426395615</v>
      </c>
      <c r="AE1952" s="6">
        <f>$E1952+24</f>
        <v>143</v>
      </c>
      <c r="AF1952" s="7">
        <f>IF($J1952=0,0,ROUND(MAX($J1952*1.4*1.5*1.6*1.6*2.2*2.715*2.6*1.4*1.4*1.5*1.5,18900000000*(1.65331^(MIN($E1952,123)-117)))*1,0))</f>
        <v>51661901770</v>
      </c>
      <c r="AG1952" s="4">
        <f>$E1952+27</f>
        <v>146</v>
      </c>
      <c r="AH1952" s="8">
        <f>IF($J1952=0,0,ROUND(MAX($J1952*1.4*1.5*1.6*1.6*2.2*2.715*2.6*1.4*1.4*1.5*1.5*3.2,60500000000*(1.654288^(MIN($E1952,123)-117)))*1,0))</f>
        <v>165568461610</v>
      </c>
    </row>
    <row r="1953" ht="27.75" customHeight="1" spans="1:34" x14ac:dyDescent="0.25">
      <c r="A1953" s="3">
        <v>1963</v>
      </c>
      <c r="B1953" s="3" t="s">
        <v>759</v>
      </c>
      <c r="C1953" s="3" t="s">
        <v>1243</v>
      </c>
      <c r="D1953" s="3" t="s">
        <v>331</v>
      </c>
      <c r="E1953" s="3">
        <v>119</v>
      </c>
      <c r="F1953" s="3" t="s">
        <v>237</v>
      </c>
      <c r="G1953" s="3" t="s">
        <v>760</v>
      </c>
      <c r="H1953" s="3">
        <v>30</v>
      </c>
      <c r="I1953" s="4">
        <v>119</v>
      </c>
      <c r="J1953" s="5">
        <v>902000</v>
      </c>
      <c r="K1953" s="6">
        <f>$E1953+1</f>
        <v>120</v>
      </c>
      <c r="L1953" s="7">
        <f>IF($J1953=0,0,ROUND(MAX($J1953*1.4,1620000*(1.497923^(MIN($E1953,123)-117)))*1,0))</f>
        <v>3634913</v>
      </c>
      <c r="M1953" s="4">
        <f>$E1953+2</f>
        <v>121</v>
      </c>
      <c r="N1953" s="8">
        <f>IF($J1953=0,0,ROUND(MAX($J1953*1.4*1.5,2190000*(1.580994^(MIN($E1953,123)-117)))*1,0))</f>
        <v>5473997</v>
      </c>
      <c r="O1953" s="6">
        <f>$E1953+4</f>
        <v>123</v>
      </c>
      <c r="P1953" s="7">
        <f>IF($J1953=0,0,ROUND(MAX($J1953*1.4*1.5*1.6,3500000*(1.57975^(MIN($E1953,123)-117)))*1,0))</f>
        <v>8734635</v>
      </c>
      <c r="Q1953" s="4">
        <f>$E1953+6</f>
        <v>125</v>
      </c>
      <c r="R1953" s="8">
        <f>IF($J1953=0,0,ROUND(MAX($J1953*1.4*1.5*1.6*1.6,13100000*(1.429962^(MIN($E1953,123)-117)))*1,0))</f>
        <v>26786766</v>
      </c>
      <c r="S1953" s="6">
        <f>$E1953+8</f>
        <v>127</v>
      </c>
      <c r="T1953" s="7">
        <f>IF($J1953=0,0,ROUND(MAX($J1953*1.4*1.5*1.6*1.6*2.2,42600000*(1.576904^(MIN($E1953,123)-117)))*1,0))</f>
        <v>105930277</v>
      </c>
      <c r="U1953" s="4">
        <f>$E1953+11</f>
        <v>130</v>
      </c>
      <c r="V1953" s="8">
        <f>IF($J1953=0,0,ROUND(MAX($J1953*1.4*1.5*1.6*1.6*2.2*2.715,354000000*(1.642074^(MIN($E1953,123)-117)))*1,0))</f>
        <v>954528086</v>
      </c>
      <c r="W1953" s="6">
        <f>$E1953+15</f>
        <v>134</v>
      </c>
      <c r="X1953" s="7">
        <f>IF($J1953=0,0,ROUND(MAX($J1953*1.4*1.5*1.6*1.6*2.2*2.715*2.6,3540000000*(1.579646^(MIN($E1953,123)-117)))*1,0))</f>
        <v>8833296458</v>
      </c>
      <c r="Y1953" s="4">
        <f>$E1953+17</f>
        <v>136</v>
      </c>
      <c r="Z1953" s="8">
        <f>IF($J1953=0,0,ROUND(MAX($J1953*1.4*1.5*1.6*1.6*2.2*2.715*2.6*1.4,6020000000*(1.651178^(MIN($E1953,123)-117)))*1,0))</f>
        <v>16412860502</v>
      </c>
      <c r="AA1953" s="6">
        <f>$E1953+19</f>
        <v>138</v>
      </c>
      <c r="AB1953" s="7">
        <f>IF($J1953=0,0,ROUND(MAX($J1953*1.4*1.5*1.6*1.6*2.2*2.715*2.6*1.4*1.4,8430000000*(1.651435^(MIN($E1953,123)-117)))*1,0))</f>
        <v>22990612624</v>
      </c>
      <c r="AC1953" s="4">
        <f>$E1953+21</f>
        <v>140</v>
      </c>
      <c r="AD1953" s="8">
        <f>IF($J1953=0,0,ROUND(MAX($J1953*1.4*1.5*1.6*1.6*2.2*2.715*2.6*1.4*1.4*1.5,12600000000*(1.652953^(MIN($E1953,123)-117)))*1,0))</f>
        <v>34426395615</v>
      </c>
      <c r="AE1953" s="6">
        <f>$E1953+24</f>
        <v>143</v>
      </c>
      <c r="AF1953" s="7">
        <f>IF($J1953=0,0,ROUND(MAX($J1953*1.4*1.5*1.6*1.6*2.2*2.715*2.6*1.4*1.4*1.5*1.5,18900000000*(1.65331^(MIN($E1953,123)-117)))*1,0))</f>
        <v>51661901770</v>
      </c>
      <c r="AG1953" s="4">
        <f>$E1953+27</f>
        <v>146</v>
      </c>
      <c r="AH1953" s="8">
        <f>IF($J1953=0,0,ROUND(MAX($J1953*1.4*1.5*1.6*1.6*2.2*2.715*2.6*1.4*1.4*1.5*1.5*3.2,60500000000*(1.654288^(MIN($E1953,123)-117)))*1,0))</f>
        <v>165568461610</v>
      </c>
    </row>
    <row r="1954" ht="27.75" customHeight="1" spans="1:34" x14ac:dyDescent="0.25">
      <c r="A1954" s="3">
        <v>1964</v>
      </c>
      <c r="B1954" s="3" t="s">
        <v>1254</v>
      </c>
      <c r="C1954" s="3" t="s">
        <v>1243</v>
      </c>
      <c r="D1954" s="3" t="s">
        <v>79</v>
      </c>
      <c r="E1954" s="3">
        <v>119</v>
      </c>
      <c r="F1954" s="3" t="s">
        <v>54</v>
      </c>
      <c r="G1954" s="3" t="s">
        <v>1244</v>
      </c>
      <c r="H1954" s="3">
        <v>30</v>
      </c>
      <c r="I1954" s="4">
        <v>119</v>
      </c>
      <c r="J1954" s="5">
        <v>950000</v>
      </c>
      <c r="K1954" s="6">
        <f>$E1954+1</f>
        <v>120</v>
      </c>
      <c r="L1954" s="7">
        <f>IF($J1954=0,0,ROUND(MAX($J1954*1.4,1620000*(1.497923^(MIN($E1954,123)-117)))*1,0))</f>
        <v>3634913</v>
      </c>
      <c r="M1954" s="4">
        <f>$E1954+2</f>
        <v>121</v>
      </c>
      <c r="N1954" s="8">
        <f>IF($J1954=0,0,ROUND(MAX($J1954*1.4*1.5,2190000*(1.580994^(MIN($E1954,123)-117)))*1,0))</f>
        <v>5473997</v>
      </c>
      <c r="O1954" s="6">
        <f>$E1954+4</f>
        <v>123</v>
      </c>
      <c r="P1954" s="7">
        <f>IF($J1954=0,0,ROUND(MAX($J1954*1.4*1.5*1.6,3500000*(1.57975^(MIN($E1954,123)-117)))*1,0))</f>
        <v>8734635</v>
      </c>
      <c r="Q1954" s="4">
        <f>$E1954+6</f>
        <v>125</v>
      </c>
      <c r="R1954" s="8">
        <f>IF($J1954=0,0,ROUND(MAX($J1954*1.4*1.5*1.6*1.6,13100000*(1.429962^(MIN($E1954,123)-117)))*1,0))</f>
        <v>26786766</v>
      </c>
      <c r="S1954" s="6">
        <f>$E1954+8</f>
        <v>127</v>
      </c>
      <c r="T1954" s="7">
        <f>IF($J1954=0,0,ROUND(MAX($J1954*1.4*1.5*1.6*1.6*2.2,42600000*(1.576904^(MIN($E1954,123)-117)))*1,0))</f>
        <v>105930277</v>
      </c>
      <c r="U1954" s="4">
        <f>$E1954+11</f>
        <v>130</v>
      </c>
      <c r="V1954" s="8">
        <f>IF($J1954=0,0,ROUND(MAX($J1954*1.4*1.5*1.6*1.6*2.2*2.715,354000000*(1.642074^(MIN($E1954,123)-117)))*1,0))</f>
        <v>954528086</v>
      </c>
      <c r="W1954" s="6">
        <f>$E1954+15</f>
        <v>134</v>
      </c>
      <c r="X1954" s="7">
        <f>IF($J1954=0,0,ROUND(MAX($J1954*1.4*1.5*1.6*1.6*2.2*2.715*2.6,3540000000*(1.579646^(MIN($E1954,123)-117)))*1,0))</f>
        <v>8833296458</v>
      </c>
      <c r="Y1954" s="4">
        <f>$E1954+17</f>
        <v>136</v>
      </c>
      <c r="Z1954" s="8">
        <f>IF($J1954=0,0,ROUND(MAX($J1954*1.4*1.5*1.6*1.6*2.2*2.715*2.6*1.4,6020000000*(1.651178^(MIN($E1954,123)-117)))*1,0))</f>
        <v>16412860502</v>
      </c>
      <c r="AA1954" s="6">
        <f>$E1954+19</f>
        <v>138</v>
      </c>
      <c r="AB1954" s="7">
        <f>IF($J1954=0,0,ROUND(MAX($J1954*1.4*1.5*1.6*1.6*2.2*2.715*2.6*1.4*1.4,8430000000*(1.651435^(MIN($E1954,123)-117)))*1,0))</f>
        <v>22990612624</v>
      </c>
      <c r="AC1954" s="4">
        <f>$E1954+21</f>
        <v>140</v>
      </c>
      <c r="AD1954" s="8">
        <f>IF($J1954=0,0,ROUND(MAX($J1954*1.4*1.5*1.6*1.6*2.2*2.715*2.6*1.4*1.4*1.5,12600000000*(1.652953^(MIN($E1954,123)-117)))*1,0))</f>
        <v>34426395615</v>
      </c>
      <c r="AE1954" s="6">
        <f>$E1954+24</f>
        <v>143</v>
      </c>
      <c r="AF1954" s="7">
        <f>IF($J1954=0,0,ROUND(MAX($J1954*1.4*1.5*1.6*1.6*2.2*2.715*2.6*1.4*1.4*1.5*1.5,18900000000*(1.65331^(MIN($E1954,123)-117)))*1,0))</f>
        <v>51661901770</v>
      </c>
      <c r="AG1954" s="4">
        <f>$E1954+27</f>
        <v>146</v>
      </c>
      <c r="AH1954" s="8">
        <f>IF($J1954=0,0,ROUND(MAX($J1954*1.4*1.5*1.6*1.6*2.2*2.715*2.6*1.4*1.4*1.5*1.5*3.2,60500000000*(1.654288^(MIN($E1954,123)-117)))*1,0))</f>
        <v>165568461610</v>
      </c>
    </row>
    <row r="1955" ht="27.75" customHeight="1" spans="1:34" x14ac:dyDescent="0.25">
      <c r="A1955" s="3">
        <v>1965</v>
      </c>
      <c r="B1955" s="3" t="s">
        <v>631</v>
      </c>
      <c r="C1955" s="3" t="s">
        <v>1243</v>
      </c>
      <c r="D1955" s="3" t="s">
        <v>40</v>
      </c>
      <c r="E1955" s="3">
        <v>119</v>
      </c>
      <c r="F1955" s="3" t="s">
        <v>212</v>
      </c>
      <c r="G1955" s="3" t="s">
        <v>1244</v>
      </c>
      <c r="H1955" s="3">
        <v>30</v>
      </c>
      <c r="I1955" s="4">
        <v>119</v>
      </c>
      <c r="J1955" s="5">
        <v>950000</v>
      </c>
      <c r="K1955" s="6">
        <f>$E1955+1</f>
        <v>120</v>
      </c>
      <c r="L1955" s="7">
        <f>IF($J1955=0,0,ROUND(MAX($J1955*1.4,1620000*(1.497923^(MIN($E1955,123)-117)))*1,0))</f>
        <v>3634913</v>
      </c>
      <c r="M1955" s="4">
        <f>$E1955+2</f>
        <v>121</v>
      </c>
      <c r="N1955" s="8">
        <f>IF($J1955=0,0,ROUND(MAX($J1955*1.4*1.5,2190000*(1.580994^(MIN($E1955,123)-117)))*1,0))</f>
        <v>5473997</v>
      </c>
      <c r="O1955" s="6">
        <f>$E1955+4</f>
        <v>123</v>
      </c>
      <c r="P1955" s="7">
        <f>IF($J1955=0,0,ROUND(MAX($J1955*1.4*1.5*1.6,3500000*(1.57975^(MIN($E1955,123)-117)))*1,0))</f>
        <v>8734635</v>
      </c>
      <c r="Q1955" s="4">
        <f>$E1955+6</f>
        <v>125</v>
      </c>
      <c r="R1955" s="8">
        <f>IF($J1955=0,0,ROUND(MAX($J1955*1.4*1.5*1.6*1.6,13100000*(1.429962^(MIN($E1955,123)-117)))*1,0))</f>
        <v>26786766</v>
      </c>
      <c r="S1955" s="6">
        <f>$E1955+8</f>
        <v>127</v>
      </c>
      <c r="T1955" s="7">
        <f>IF($J1955=0,0,ROUND(MAX($J1955*1.4*1.5*1.6*1.6*2.2,42600000*(1.576904^(MIN($E1955,123)-117)))*1,0))</f>
        <v>105930277</v>
      </c>
      <c r="U1955" s="4">
        <f>$E1955+11</f>
        <v>130</v>
      </c>
      <c r="V1955" s="8">
        <f>IF($J1955=0,0,ROUND(MAX($J1955*1.4*1.5*1.6*1.6*2.2*2.715,354000000*(1.642074^(MIN($E1955,123)-117)))*1,0))</f>
        <v>954528086</v>
      </c>
      <c r="W1955" s="6">
        <f>$E1955+15</f>
        <v>134</v>
      </c>
      <c r="X1955" s="7">
        <f>IF($J1955=0,0,ROUND(MAX($J1955*1.4*1.5*1.6*1.6*2.2*2.715*2.6,3540000000*(1.579646^(MIN($E1955,123)-117)))*1,0))</f>
        <v>8833296458</v>
      </c>
      <c r="Y1955" s="4">
        <f>$E1955+17</f>
        <v>136</v>
      </c>
      <c r="Z1955" s="8">
        <f>IF($J1955=0,0,ROUND(MAX($J1955*1.4*1.5*1.6*1.6*2.2*2.715*2.6*1.4,6020000000*(1.651178^(MIN($E1955,123)-117)))*1,0))</f>
        <v>16412860502</v>
      </c>
      <c r="AA1955" s="6">
        <f>$E1955+19</f>
        <v>138</v>
      </c>
      <c r="AB1955" s="7">
        <f>IF($J1955=0,0,ROUND(MAX($J1955*1.4*1.5*1.6*1.6*2.2*2.715*2.6*1.4*1.4,8430000000*(1.651435^(MIN($E1955,123)-117)))*1,0))</f>
        <v>22990612624</v>
      </c>
      <c r="AC1955" s="4">
        <f>$E1955+21</f>
        <v>140</v>
      </c>
      <c r="AD1955" s="8">
        <f>IF($J1955=0,0,ROUND(MAX($J1955*1.4*1.5*1.6*1.6*2.2*2.715*2.6*1.4*1.4*1.5,12600000000*(1.652953^(MIN($E1955,123)-117)))*1,0))</f>
        <v>34426395615</v>
      </c>
      <c r="AE1955" s="6">
        <f>$E1955+24</f>
        <v>143</v>
      </c>
      <c r="AF1955" s="7">
        <f>IF($J1955=0,0,ROUND(MAX($J1955*1.4*1.5*1.6*1.6*2.2*2.715*2.6*1.4*1.4*1.5*1.5,18900000000*(1.65331^(MIN($E1955,123)-117)))*1,0))</f>
        <v>51661901770</v>
      </c>
      <c r="AG1955" s="4">
        <f>$E1955+27</f>
        <v>146</v>
      </c>
      <c r="AH1955" s="8">
        <f>IF($J1955=0,0,ROUND(MAX($J1955*1.4*1.5*1.6*1.6*2.2*2.715*2.6*1.4*1.4*1.5*1.5*3.2,60500000000*(1.654288^(MIN($E1955,123)-117)))*1,0))</f>
        <v>165568461610</v>
      </c>
    </row>
    <row r="1956" ht="27.75" customHeight="1" spans="1:34" x14ac:dyDescent="0.25">
      <c r="A1956" s="3">
        <v>1966</v>
      </c>
      <c r="B1956" s="3" t="s">
        <v>659</v>
      </c>
      <c r="C1956" s="3" t="s">
        <v>1243</v>
      </c>
      <c r="D1956" s="3" t="s">
        <v>45</v>
      </c>
      <c r="E1956" s="3">
        <v>119</v>
      </c>
      <c r="F1956" s="3" t="s">
        <v>310</v>
      </c>
      <c r="G1956" s="3" t="s">
        <v>1244</v>
      </c>
      <c r="H1956" s="3">
        <v>30</v>
      </c>
      <c r="I1956" s="4">
        <v>119</v>
      </c>
      <c r="J1956" s="5">
        <v>970000</v>
      </c>
      <c r="K1956" s="6">
        <f>$E1956+1</f>
        <v>120</v>
      </c>
      <c r="L1956" s="7">
        <f>IF($J1956=0,0,ROUND(MAX($J1956*1.4,1620000*(1.497923^(MIN($E1956,123)-117)))*1,0))</f>
        <v>3634913</v>
      </c>
      <c r="M1956" s="4">
        <f>$E1956+2</f>
        <v>121</v>
      </c>
      <c r="N1956" s="8">
        <f>IF($J1956=0,0,ROUND(MAX($J1956*1.4*1.5,2190000*(1.580994^(MIN($E1956,123)-117)))*1,0))</f>
        <v>5473997</v>
      </c>
      <c r="O1956" s="6">
        <f>$E1956+4</f>
        <v>123</v>
      </c>
      <c r="P1956" s="7">
        <f>IF($J1956=0,0,ROUND(MAX($J1956*1.4*1.5*1.6,3500000*(1.57975^(MIN($E1956,123)-117)))*1,0))</f>
        <v>8734635</v>
      </c>
      <c r="Q1956" s="4">
        <f>$E1956+6</f>
        <v>125</v>
      </c>
      <c r="R1956" s="8">
        <f>IF($J1956=0,0,ROUND(MAX($J1956*1.4*1.5*1.6*1.6,13100000*(1.429962^(MIN($E1956,123)-117)))*1,0))</f>
        <v>26786766</v>
      </c>
      <c r="S1956" s="6">
        <f>$E1956+8</f>
        <v>127</v>
      </c>
      <c r="T1956" s="7">
        <f>IF($J1956=0,0,ROUND(MAX($J1956*1.4*1.5*1.6*1.6*2.2,42600000*(1.576904^(MIN($E1956,123)-117)))*1,0))</f>
        <v>105930277</v>
      </c>
      <c r="U1956" s="4">
        <f>$E1956+11</f>
        <v>130</v>
      </c>
      <c r="V1956" s="8">
        <f>IF($J1956=0,0,ROUND(MAX($J1956*1.4*1.5*1.6*1.6*2.2*2.715,354000000*(1.642074^(MIN($E1956,123)-117)))*1,0))</f>
        <v>954528086</v>
      </c>
      <c r="W1956" s="6">
        <f>$E1956+15</f>
        <v>134</v>
      </c>
      <c r="X1956" s="7">
        <f>IF($J1956=0,0,ROUND(MAX($J1956*1.4*1.5*1.6*1.6*2.2*2.715*2.6,3540000000*(1.579646^(MIN($E1956,123)-117)))*1,0))</f>
        <v>8833296458</v>
      </c>
      <c r="Y1956" s="4">
        <f>$E1956+17</f>
        <v>136</v>
      </c>
      <c r="Z1956" s="8">
        <f>IF($J1956=0,0,ROUND(MAX($J1956*1.4*1.5*1.6*1.6*2.2*2.715*2.6*1.4,6020000000*(1.651178^(MIN($E1956,123)-117)))*1,0))</f>
        <v>16412860502</v>
      </c>
      <c r="AA1956" s="6">
        <f>$E1956+19</f>
        <v>138</v>
      </c>
      <c r="AB1956" s="7">
        <f>IF($J1956=0,0,ROUND(MAX($J1956*1.4*1.5*1.6*1.6*2.2*2.715*2.6*1.4*1.4,8430000000*(1.651435^(MIN($E1956,123)-117)))*1,0))</f>
        <v>22990612624</v>
      </c>
      <c r="AC1956" s="4">
        <f>$E1956+21</f>
        <v>140</v>
      </c>
      <c r="AD1956" s="8">
        <f>IF($J1956=0,0,ROUND(MAX($J1956*1.4*1.5*1.6*1.6*2.2*2.715*2.6*1.4*1.4*1.5,12600000000*(1.652953^(MIN($E1956,123)-117)))*1,0))</f>
        <v>34426395615</v>
      </c>
      <c r="AE1956" s="6">
        <f>$E1956+24</f>
        <v>143</v>
      </c>
      <c r="AF1956" s="7">
        <f>IF($J1956=0,0,ROUND(MAX($J1956*1.4*1.5*1.6*1.6*2.2*2.715*2.6*1.4*1.4*1.5*1.5,18900000000*(1.65331^(MIN($E1956,123)-117)))*1,0))</f>
        <v>51661901770</v>
      </c>
      <c r="AG1956" s="4">
        <f>$E1956+27</f>
        <v>146</v>
      </c>
      <c r="AH1956" s="8">
        <f>IF($J1956=0,0,ROUND(MAX($J1956*1.4*1.5*1.6*1.6*2.2*2.715*2.6*1.4*1.4*1.5*1.5*3.2,60500000000*(1.654288^(MIN($E1956,123)-117)))*1,0))</f>
        <v>165568461610</v>
      </c>
    </row>
    <row r="1957" ht="27.75" customHeight="1" spans="1:34" x14ac:dyDescent="0.25">
      <c r="A1957" s="3">
        <v>1967</v>
      </c>
      <c r="B1957" s="3" t="s">
        <v>193</v>
      </c>
      <c r="C1957" s="3" t="s">
        <v>1243</v>
      </c>
      <c r="D1957" s="3" t="s">
        <v>102</v>
      </c>
      <c r="E1957" s="3">
        <v>119</v>
      </c>
      <c r="F1957" s="3" t="s">
        <v>194</v>
      </c>
      <c r="G1957" s="3" t="s">
        <v>1244</v>
      </c>
      <c r="H1957" s="3">
        <v>30</v>
      </c>
      <c r="I1957" s="4">
        <v>119</v>
      </c>
      <c r="J1957" s="5">
        <v>994000</v>
      </c>
      <c r="K1957" s="6">
        <f>$E1957+1</f>
        <v>120</v>
      </c>
      <c r="L1957" s="7">
        <f>IF($J1957=0,0,ROUND(MAX($J1957*1.4,1620000*(1.497923^(MIN($E1957,123)-117)))*1,0))</f>
        <v>3634913</v>
      </c>
      <c r="M1957" s="4">
        <f>$E1957+2</f>
        <v>121</v>
      </c>
      <c r="N1957" s="8">
        <f>IF($J1957=0,0,ROUND(MAX($J1957*1.4*1.5,2190000*(1.580994^(MIN($E1957,123)-117)))*1,0))</f>
        <v>5473997</v>
      </c>
      <c r="O1957" s="6">
        <f>$E1957+4</f>
        <v>123</v>
      </c>
      <c r="P1957" s="7">
        <f>IF($J1957=0,0,ROUND(MAX($J1957*1.4*1.5*1.6,3500000*(1.57975^(MIN($E1957,123)-117)))*1,0))</f>
        <v>8734635</v>
      </c>
      <c r="Q1957" s="4">
        <f>$E1957+6</f>
        <v>125</v>
      </c>
      <c r="R1957" s="8">
        <f>IF($J1957=0,0,ROUND(MAX($J1957*1.4*1.5*1.6*1.6,13100000*(1.429962^(MIN($E1957,123)-117)))*1,0))</f>
        <v>26786766</v>
      </c>
      <c r="S1957" s="6">
        <f>$E1957+8</f>
        <v>127</v>
      </c>
      <c r="T1957" s="7">
        <f>IF($J1957=0,0,ROUND(MAX($J1957*1.4*1.5*1.6*1.6*2.2,42600000*(1.576904^(MIN($E1957,123)-117)))*1,0))</f>
        <v>105930277</v>
      </c>
      <c r="U1957" s="4">
        <f>$E1957+11</f>
        <v>130</v>
      </c>
      <c r="V1957" s="8">
        <f>IF($J1957=0,0,ROUND(MAX($J1957*1.4*1.5*1.6*1.6*2.2*2.715,354000000*(1.642074^(MIN($E1957,123)-117)))*1,0))</f>
        <v>954528086</v>
      </c>
      <c r="W1957" s="6">
        <f>$E1957+15</f>
        <v>134</v>
      </c>
      <c r="X1957" s="7">
        <f>IF($J1957=0,0,ROUND(MAX($J1957*1.4*1.5*1.6*1.6*2.2*2.715*2.6,3540000000*(1.579646^(MIN($E1957,123)-117)))*1,0))</f>
        <v>8833296458</v>
      </c>
      <c r="Y1957" s="4">
        <f>$E1957+17</f>
        <v>136</v>
      </c>
      <c r="Z1957" s="8">
        <f>IF($J1957=0,0,ROUND(MAX($J1957*1.4*1.5*1.6*1.6*2.2*2.715*2.6*1.4,6020000000*(1.651178^(MIN($E1957,123)-117)))*1,0))</f>
        <v>16412860502</v>
      </c>
      <c r="AA1957" s="6">
        <f>$E1957+19</f>
        <v>138</v>
      </c>
      <c r="AB1957" s="7">
        <f>IF($J1957=0,0,ROUND(MAX($J1957*1.4*1.5*1.6*1.6*2.2*2.715*2.6*1.4*1.4,8430000000*(1.651435^(MIN($E1957,123)-117)))*1,0))</f>
        <v>22990612624</v>
      </c>
      <c r="AC1957" s="4">
        <f>$E1957+21</f>
        <v>140</v>
      </c>
      <c r="AD1957" s="8">
        <f>IF($J1957=0,0,ROUND(MAX($J1957*1.4*1.5*1.6*1.6*2.2*2.715*2.6*1.4*1.4*1.5,12600000000*(1.652953^(MIN($E1957,123)-117)))*1,0))</f>
        <v>34426395615</v>
      </c>
      <c r="AE1957" s="6">
        <f>$E1957+24</f>
        <v>143</v>
      </c>
      <c r="AF1957" s="7">
        <f>IF($J1957=0,0,ROUND(MAX($J1957*1.4*1.5*1.6*1.6*2.2*2.715*2.6*1.4*1.4*1.5*1.5,18900000000*(1.65331^(MIN($E1957,123)-117)))*1,0))</f>
        <v>51661901770</v>
      </c>
      <c r="AG1957" s="4">
        <f>$E1957+27</f>
        <v>146</v>
      </c>
      <c r="AH1957" s="8">
        <f>IF($J1957=0,0,ROUND(MAX($J1957*1.4*1.5*1.6*1.6*2.2*2.715*2.6*1.4*1.4*1.5*1.5*3.2,60500000000*(1.654288^(MIN($E1957,123)-117)))*1,0))</f>
        <v>165568461610</v>
      </c>
    </row>
    <row r="1958" ht="27.75" customHeight="1" spans="1:34" x14ac:dyDescent="0.25">
      <c r="A1958" s="3">
        <v>1968</v>
      </c>
      <c r="B1958" s="3" t="s">
        <v>78</v>
      </c>
      <c r="C1958" s="3" t="s">
        <v>1243</v>
      </c>
      <c r="D1958" s="3" t="s">
        <v>25</v>
      </c>
      <c r="E1958" s="3">
        <v>119</v>
      </c>
      <c r="F1958" s="3" t="s">
        <v>30</v>
      </c>
      <c r="G1958" s="3" t="s">
        <v>1244</v>
      </c>
      <c r="H1958" s="3">
        <v>30</v>
      </c>
      <c r="I1958" s="4">
        <v>119</v>
      </c>
      <c r="J1958" s="5">
        <v>1170000</v>
      </c>
      <c r="K1958" s="6">
        <f>$E1958+1</f>
        <v>120</v>
      </c>
      <c r="L1958" s="7">
        <f>IF($J1958=0,0,ROUND(MAX($J1958*1.4,1620000*(1.497923^(MIN($E1958,123)-117)))*1,0))</f>
        <v>3634913</v>
      </c>
      <c r="M1958" s="4">
        <f>$E1958+2</f>
        <v>121</v>
      </c>
      <c r="N1958" s="8">
        <f>IF($J1958=0,0,ROUND(MAX($J1958*1.4*1.5,2190000*(1.580994^(MIN($E1958,123)-117)))*1,0))</f>
        <v>5473997</v>
      </c>
      <c r="O1958" s="6">
        <f>$E1958+4</f>
        <v>123</v>
      </c>
      <c r="P1958" s="7">
        <f>IF($J1958=0,0,ROUND(MAX($J1958*1.4*1.5*1.6,3500000*(1.57975^(MIN($E1958,123)-117)))*1,0))</f>
        <v>8734635</v>
      </c>
      <c r="Q1958" s="4">
        <f>$E1958+6</f>
        <v>125</v>
      </c>
      <c r="R1958" s="8">
        <f>IF($J1958=0,0,ROUND(MAX($J1958*1.4*1.5*1.6*1.6,13100000*(1.429962^(MIN($E1958,123)-117)))*1,0))</f>
        <v>26786766</v>
      </c>
      <c r="S1958" s="6">
        <f>$E1958+8</f>
        <v>127</v>
      </c>
      <c r="T1958" s="7">
        <f>IF($J1958=0,0,ROUND(MAX($J1958*1.4*1.5*1.6*1.6*2.2,42600000*(1.576904^(MIN($E1958,123)-117)))*1,0))</f>
        <v>105930277</v>
      </c>
      <c r="U1958" s="4">
        <f>$E1958+11</f>
        <v>130</v>
      </c>
      <c r="V1958" s="8">
        <f>IF($J1958=0,0,ROUND(MAX($J1958*1.4*1.5*1.6*1.6*2.2*2.715,354000000*(1.642074^(MIN($E1958,123)-117)))*1,0))</f>
        <v>954528086</v>
      </c>
      <c r="W1958" s="6">
        <f>$E1958+15</f>
        <v>134</v>
      </c>
      <c r="X1958" s="7">
        <f>IF($J1958=0,0,ROUND(MAX($J1958*1.4*1.5*1.6*1.6*2.2*2.715*2.6,3540000000*(1.579646^(MIN($E1958,123)-117)))*1,0))</f>
        <v>8833296458</v>
      </c>
      <c r="Y1958" s="4">
        <f>$E1958+17</f>
        <v>136</v>
      </c>
      <c r="Z1958" s="8">
        <f>IF($J1958=0,0,ROUND(MAX($J1958*1.4*1.5*1.6*1.6*2.2*2.715*2.6*1.4,6020000000*(1.651178^(MIN($E1958,123)-117)))*1,0))</f>
        <v>16412860502</v>
      </c>
      <c r="AA1958" s="6">
        <f>$E1958+19</f>
        <v>138</v>
      </c>
      <c r="AB1958" s="7">
        <f>IF($J1958=0,0,ROUND(MAX($J1958*1.4*1.5*1.6*1.6*2.2*2.715*2.6*1.4*1.4,8430000000*(1.651435^(MIN($E1958,123)-117)))*1,0))</f>
        <v>22990612624</v>
      </c>
      <c r="AC1958" s="4">
        <f>$E1958+21</f>
        <v>140</v>
      </c>
      <c r="AD1958" s="8">
        <f>IF($J1958=0,0,ROUND(MAX($J1958*1.4*1.5*1.6*1.6*2.2*2.715*2.6*1.4*1.4*1.5,12600000000*(1.652953^(MIN($E1958,123)-117)))*1,0))</f>
        <v>34426395615</v>
      </c>
      <c r="AE1958" s="6">
        <f>$E1958+24</f>
        <v>143</v>
      </c>
      <c r="AF1958" s="7">
        <f>IF($J1958=0,0,ROUND(MAX($J1958*1.4*1.5*1.6*1.6*2.2*2.715*2.6*1.4*1.4*1.5*1.5,18900000000*(1.65331^(MIN($E1958,123)-117)))*1,0))</f>
        <v>51661901770</v>
      </c>
      <c r="AG1958" s="4">
        <f>$E1958+27</f>
        <v>146</v>
      </c>
      <c r="AH1958" s="8">
        <f>IF($J1958=0,0,ROUND(MAX($J1958*1.4*1.5*1.6*1.6*2.2*2.715*2.6*1.4*1.4*1.5*1.5*3.2,60500000000*(1.654288^(MIN($E1958,123)-117)))*1,0))</f>
        <v>165568461610</v>
      </c>
    </row>
    <row r="1959" ht="27.75" customHeight="1" spans="1:34" x14ac:dyDescent="0.25">
      <c r="A1959" s="3">
        <v>1969</v>
      </c>
      <c r="B1959" s="3" t="s">
        <v>669</v>
      </c>
      <c r="C1959" s="3" t="s">
        <v>1243</v>
      </c>
      <c r="D1959" s="3" t="s">
        <v>64</v>
      </c>
      <c r="E1959" s="3">
        <v>119</v>
      </c>
      <c r="F1959" s="3" t="s">
        <v>59</v>
      </c>
      <c r="G1959" s="3" t="s">
        <v>1244</v>
      </c>
      <c r="H1959" s="3">
        <v>30</v>
      </c>
      <c r="I1959" s="4">
        <v>119</v>
      </c>
      <c r="J1959" s="5">
        <v>982000</v>
      </c>
      <c r="K1959" s="6">
        <f>$E1959+1</f>
        <v>120</v>
      </c>
      <c r="L1959" s="7">
        <f>IF($J1959=0,0,ROUND(MAX($J1959*1.4,1620000*(1.497923^(MIN($E1959,123)-117)))*1,0))</f>
        <v>3634913</v>
      </c>
      <c r="M1959" s="4">
        <f>$E1959+2</f>
        <v>121</v>
      </c>
      <c r="N1959" s="8">
        <f>IF($J1959=0,0,ROUND(MAX($J1959*1.4*1.5,2190000*(1.580994^(MIN($E1959,123)-117)))*1,0))</f>
        <v>5473997</v>
      </c>
      <c r="O1959" s="6">
        <f>$E1959+4</f>
        <v>123</v>
      </c>
      <c r="P1959" s="7">
        <f>IF($J1959=0,0,ROUND(MAX($J1959*1.4*1.5*1.6,3500000*(1.57975^(MIN($E1959,123)-117)))*1,0))</f>
        <v>8734635</v>
      </c>
      <c r="Q1959" s="4">
        <f>$E1959+6</f>
        <v>125</v>
      </c>
      <c r="R1959" s="8">
        <f>IF($J1959=0,0,ROUND(MAX($J1959*1.4*1.5*1.6*1.6,13100000*(1.429962^(MIN($E1959,123)-117)))*1,0))</f>
        <v>26786766</v>
      </c>
      <c r="S1959" s="6">
        <f>$E1959+8</f>
        <v>127</v>
      </c>
      <c r="T1959" s="7">
        <f>IF($J1959=0,0,ROUND(MAX($J1959*1.4*1.5*1.6*1.6*2.2,42600000*(1.576904^(MIN($E1959,123)-117)))*1,0))</f>
        <v>105930277</v>
      </c>
      <c r="U1959" s="4">
        <f>$E1959+11</f>
        <v>130</v>
      </c>
      <c r="V1959" s="8">
        <f>IF($J1959=0,0,ROUND(MAX($J1959*1.4*1.5*1.6*1.6*2.2*2.715,354000000*(1.642074^(MIN($E1959,123)-117)))*1,0))</f>
        <v>954528086</v>
      </c>
      <c r="W1959" s="6">
        <f>$E1959+15</f>
        <v>134</v>
      </c>
      <c r="X1959" s="7">
        <f>IF($J1959=0,0,ROUND(MAX($J1959*1.4*1.5*1.6*1.6*2.2*2.715*2.6,3540000000*(1.579646^(MIN($E1959,123)-117)))*1,0))</f>
        <v>8833296458</v>
      </c>
      <c r="Y1959" s="4">
        <f>$E1959+17</f>
        <v>136</v>
      </c>
      <c r="Z1959" s="8">
        <f>IF($J1959=0,0,ROUND(MAX($J1959*1.4*1.5*1.6*1.6*2.2*2.715*2.6*1.4,6020000000*(1.651178^(MIN($E1959,123)-117)))*1,0))</f>
        <v>16412860502</v>
      </c>
      <c r="AA1959" s="6">
        <f>$E1959+19</f>
        <v>138</v>
      </c>
      <c r="AB1959" s="7">
        <f>IF($J1959=0,0,ROUND(MAX($J1959*1.4*1.5*1.6*1.6*2.2*2.715*2.6*1.4*1.4,8430000000*(1.651435^(MIN($E1959,123)-117)))*1,0))</f>
        <v>22990612624</v>
      </c>
      <c r="AC1959" s="4">
        <f>$E1959+21</f>
        <v>140</v>
      </c>
      <c r="AD1959" s="8">
        <f>IF($J1959=0,0,ROUND(MAX($J1959*1.4*1.5*1.6*1.6*2.2*2.715*2.6*1.4*1.4*1.5,12600000000*(1.652953^(MIN($E1959,123)-117)))*1,0))</f>
        <v>34426395615</v>
      </c>
      <c r="AE1959" s="6">
        <f>$E1959+24</f>
        <v>143</v>
      </c>
      <c r="AF1959" s="7">
        <f>IF($J1959=0,0,ROUND(MAX($J1959*1.4*1.5*1.6*1.6*2.2*2.715*2.6*1.4*1.4*1.5*1.5,18900000000*(1.65331^(MIN($E1959,123)-117)))*1,0))</f>
        <v>51661901770</v>
      </c>
      <c r="AG1959" s="4">
        <f>$E1959+27</f>
        <v>146</v>
      </c>
      <c r="AH1959" s="8">
        <f>IF($J1959=0,0,ROUND(MAX($J1959*1.4*1.5*1.6*1.6*2.2*2.715*2.6*1.4*1.4*1.5*1.5*3.2,60500000000*(1.654288^(MIN($E1959,123)-117)))*1,0))</f>
        <v>165568461610</v>
      </c>
    </row>
    <row r="1960" ht="27.75" customHeight="1" spans="1:34" x14ac:dyDescent="0.25">
      <c r="A1960" s="3">
        <v>1970</v>
      </c>
      <c r="B1960" s="3" t="s">
        <v>606</v>
      </c>
      <c r="C1960" s="3" t="s">
        <v>1243</v>
      </c>
      <c r="D1960" s="3" t="s">
        <v>33</v>
      </c>
      <c r="E1960" s="3">
        <v>119</v>
      </c>
      <c r="F1960" s="3" t="s">
        <v>59</v>
      </c>
      <c r="G1960" s="3" t="s">
        <v>1244</v>
      </c>
      <c r="H1960" s="3">
        <v>30</v>
      </c>
      <c r="I1960" s="4">
        <v>119</v>
      </c>
      <c r="J1960" s="5">
        <v>993000</v>
      </c>
      <c r="K1960" s="6">
        <f>$E1960+1</f>
        <v>120</v>
      </c>
      <c r="L1960" s="7">
        <f>IF($J1960=0,0,ROUND(MAX($J1960*1.4,1620000*(1.497923^(MIN($E1960,123)-117)))*1,0))</f>
        <v>3634913</v>
      </c>
      <c r="M1960" s="4">
        <f>$E1960+2</f>
        <v>121</v>
      </c>
      <c r="N1960" s="8">
        <f>IF($J1960=0,0,ROUND(MAX($J1960*1.4*1.5,2190000*(1.580994^(MIN($E1960,123)-117)))*1,0))</f>
        <v>5473997</v>
      </c>
      <c r="O1960" s="6">
        <f>$E1960+4</f>
        <v>123</v>
      </c>
      <c r="P1960" s="7">
        <f>IF($J1960=0,0,ROUND(MAX($J1960*1.4*1.5*1.6,3500000*(1.57975^(MIN($E1960,123)-117)))*1,0))</f>
        <v>8734635</v>
      </c>
      <c r="Q1960" s="4">
        <f>$E1960+6</f>
        <v>125</v>
      </c>
      <c r="R1960" s="8">
        <f>IF($J1960=0,0,ROUND(MAX($J1960*1.4*1.5*1.6*1.6,13100000*(1.429962^(MIN($E1960,123)-117)))*1,0))</f>
        <v>26786766</v>
      </c>
      <c r="S1960" s="6">
        <f>$E1960+8</f>
        <v>127</v>
      </c>
      <c r="T1960" s="7">
        <f>IF($J1960=0,0,ROUND(MAX($J1960*1.4*1.5*1.6*1.6*2.2,42600000*(1.576904^(MIN($E1960,123)-117)))*1,0))</f>
        <v>105930277</v>
      </c>
      <c r="U1960" s="4">
        <f>$E1960+11</f>
        <v>130</v>
      </c>
      <c r="V1960" s="8">
        <f>IF($J1960=0,0,ROUND(MAX($J1960*1.4*1.5*1.6*1.6*2.2*2.715,354000000*(1.642074^(MIN($E1960,123)-117)))*1,0))</f>
        <v>954528086</v>
      </c>
      <c r="W1960" s="6">
        <f>$E1960+15</f>
        <v>134</v>
      </c>
      <c r="X1960" s="7">
        <f>IF($J1960=0,0,ROUND(MAX($J1960*1.4*1.5*1.6*1.6*2.2*2.715*2.6,3540000000*(1.579646^(MIN($E1960,123)-117)))*1,0))</f>
        <v>8833296458</v>
      </c>
      <c r="Y1960" s="4">
        <f>$E1960+17</f>
        <v>136</v>
      </c>
      <c r="Z1960" s="8">
        <f>IF($J1960=0,0,ROUND(MAX($J1960*1.4*1.5*1.6*1.6*2.2*2.715*2.6*1.4,6020000000*(1.651178^(MIN($E1960,123)-117)))*1,0))</f>
        <v>16412860502</v>
      </c>
      <c r="AA1960" s="6">
        <f>$E1960+19</f>
        <v>138</v>
      </c>
      <c r="AB1960" s="7">
        <f>IF($J1960=0,0,ROUND(MAX($J1960*1.4*1.5*1.6*1.6*2.2*2.715*2.6*1.4*1.4,8430000000*(1.651435^(MIN($E1960,123)-117)))*1,0))</f>
        <v>22990612624</v>
      </c>
      <c r="AC1960" s="4">
        <f>$E1960+21</f>
        <v>140</v>
      </c>
      <c r="AD1960" s="8">
        <f>IF($J1960=0,0,ROUND(MAX($J1960*1.4*1.5*1.6*1.6*2.2*2.715*2.6*1.4*1.4*1.5,12600000000*(1.652953^(MIN($E1960,123)-117)))*1,0))</f>
        <v>34426395615</v>
      </c>
      <c r="AE1960" s="6">
        <f>$E1960+24</f>
        <v>143</v>
      </c>
      <c r="AF1960" s="7">
        <f>IF($J1960=0,0,ROUND(MAX($J1960*1.4*1.5*1.6*1.6*2.2*2.715*2.6*1.4*1.4*1.5*1.5,18900000000*(1.65331^(MIN($E1960,123)-117)))*1,0))</f>
        <v>51661901770</v>
      </c>
      <c r="AG1960" s="4">
        <f>$E1960+27</f>
        <v>146</v>
      </c>
      <c r="AH1960" s="8">
        <f>IF($J1960=0,0,ROUND(MAX($J1960*1.4*1.5*1.6*1.6*2.2*2.715*2.6*1.4*1.4*1.5*1.5*3.2,60500000000*(1.654288^(MIN($E1960,123)-117)))*1,0))</f>
        <v>165568461610</v>
      </c>
    </row>
    <row r="1961" ht="27.75" customHeight="1" spans="1:34" x14ac:dyDescent="0.25">
      <c r="A1961" s="3">
        <v>1971</v>
      </c>
      <c r="B1961" s="3" t="s">
        <v>158</v>
      </c>
      <c r="C1961" s="3" t="s">
        <v>1243</v>
      </c>
      <c r="D1961" s="3" t="s">
        <v>102</v>
      </c>
      <c r="E1961" s="3">
        <v>119</v>
      </c>
      <c r="F1961" s="3" t="s">
        <v>54</v>
      </c>
      <c r="G1961" s="3" t="s">
        <v>1244</v>
      </c>
      <c r="H1961" s="3">
        <v>30</v>
      </c>
      <c r="I1961" s="4">
        <v>119</v>
      </c>
      <c r="J1961" s="5">
        <v>1000000</v>
      </c>
      <c r="K1961" s="6">
        <f>$E1961+1</f>
        <v>120</v>
      </c>
      <c r="L1961" s="7">
        <f>IF($J1961=0,0,ROUND(MAX($J1961*1.4,1620000*(1.497923^(MIN($E1961,123)-117)))*1,0))</f>
        <v>3634913</v>
      </c>
      <c r="M1961" s="4">
        <f>$E1961+2</f>
        <v>121</v>
      </c>
      <c r="N1961" s="8">
        <f>IF($J1961=0,0,ROUND(MAX($J1961*1.4*1.5,2190000*(1.580994^(MIN($E1961,123)-117)))*1,0))</f>
        <v>5473997</v>
      </c>
      <c r="O1961" s="6">
        <f>$E1961+4</f>
        <v>123</v>
      </c>
      <c r="P1961" s="7">
        <f>IF($J1961=0,0,ROUND(MAX($J1961*1.4*1.5*1.6,3500000*(1.57975^(MIN($E1961,123)-117)))*1,0))</f>
        <v>8734635</v>
      </c>
      <c r="Q1961" s="4">
        <f>$E1961+6</f>
        <v>125</v>
      </c>
      <c r="R1961" s="8">
        <f>IF($J1961=0,0,ROUND(MAX($J1961*1.4*1.5*1.6*1.6,13100000*(1.429962^(MIN($E1961,123)-117)))*1,0))</f>
        <v>26786766</v>
      </c>
      <c r="S1961" s="6">
        <f>$E1961+8</f>
        <v>127</v>
      </c>
      <c r="T1961" s="7">
        <f>IF($J1961=0,0,ROUND(MAX($J1961*1.4*1.5*1.6*1.6*2.2,42600000*(1.576904^(MIN($E1961,123)-117)))*1,0))</f>
        <v>105930277</v>
      </c>
      <c r="U1961" s="4">
        <f>$E1961+11</f>
        <v>130</v>
      </c>
      <c r="V1961" s="8">
        <f>IF($J1961=0,0,ROUND(MAX($J1961*1.4*1.5*1.6*1.6*2.2*2.715,354000000*(1.642074^(MIN($E1961,123)-117)))*1,0))</f>
        <v>954528086</v>
      </c>
      <c r="W1961" s="6">
        <f>$E1961+15</f>
        <v>134</v>
      </c>
      <c r="X1961" s="7">
        <f>IF($J1961=0,0,ROUND(MAX($J1961*1.4*1.5*1.6*1.6*2.2*2.715*2.6,3540000000*(1.579646^(MIN($E1961,123)-117)))*1,0))</f>
        <v>8833296458</v>
      </c>
      <c r="Y1961" s="4">
        <f>$E1961+17</f>
        <v>136</v>
      </c>
      <c r="Z1961" s="8">
        <f>IF($J1961=0,0,ROUND(MAX($J1961*1.4*1.5*1.6*1.6*2.2*2.715*2.6*1.4,6020000000*(1.651178^(MIN($E1961,123)-117)))*1,0))</f>
        <v>16412860502</v>
      </c>
      <c r="AA1961" s="6">
        <f>$E1961+19</f>
        <v>138</v>
      </c>
      <c r="AB1961" s="7">
        <f>IF($J1961=0,0,ROUND(MAX($J1961*1.4*1.5*1.6*1.6*2.2*2.715*2.6*1.4*1.4,8430000000*(1.651435^(MIN($E1961,123)-117)))*1,0))</f>
        <v>22990612624</v>
      </c>
      <c r="AC1961" s="4">
        <f>$E1961+21</f>
        <v>140</v>
      </c>
      <c r="AD1961" s="8">
        <f>IF($J1961=0,0,ROUND(MAX($J1961*1.4*1.5*1.6*1.6*2.2*2.715*2.6*1.4*1.4*1.5,12600000000*(1.652953^(MIN($E1961,123)-117)))*1,0))</f>
        <v>34426395615</v>
      </c>
      <c r="AE1961" s="6">
        <f>$E1961+24</f>
        <v>143</v>
      </c>
      <c r="AF1961" s="7">
        <f>IF($J1961=0,0,ROUND(MAX($J1961*1.4*1.5*1.6*1.6*2.2*2.715*2.6*1.4*1.4*1.5*1.5,18900000000*(1.65331^(MIN($E1961,123)-117)))*1,0))</f>
        <v>51661901770</v>
      </c>
      <c r="AG1961" s="4">
        <f>$E1961+27</f>
        <v>146</v>
      </c>
      <c r="AH1961" s="8">
        <f>IF($J1961=0,0,ROUND(MAX($J1961*1.4*1.5*1.6*1.6*2.2*2.715*2.6*1.4*1.4*1.5*1.5*3.2,60500000000*(1.654288^(MIN($E1961,123)-117)))*1,0))</f>
        <v>165568461610</v>
      </c>
    </row>
    <row r="1962" ht="27.75" customHeight="1" spans="1:34" x14ac:dyDescent="0.25">
      <c r="A1962" s="3">
        <v>1972</v>
      </c>
      <c r="B1962" s="3" t="s">
        <v>249</v>
      </c>
      <c r="C1962" s="3" t="s">
        <v>1243</v>
      </c>
      <c r="D1962" s="3" t="s">
        <v>64</v>
      </c>
      <c r="E1962" s="3">
        <v>119</v>
      </c>
      <c r="F1962" s="3" t="s">
        <v>194</v>
      </c>
      <c r="G1962" s="3" t="s">
        <v>185</v>
      </c>
      <c r="H1962" s="3">
        <v>29</v>
      </c>
      <c r="I1962" s="4">
        <v>119</v>
      </c>
      <c r="J1962" s="5">
        <v>1180000</v>
      </c>
      <c r="K1962" s="6">
        <f>$E1962+1</f>
        <v>120</v>
      </c>
      <c r="L1962" s="7">
        <f>IF($J1962=0,0,ROUND(MAX($J1962*1.4,1620000*(1.497923^(MIN($E1962,123)-117)))*1,0))</f>
        <v>3634913</v>
      </c>
      <c r="M1962" s="4">
        <f>$E1962+2</f>
        <v>121</v>
      </c>
      <c r="N1962" s="8">
        <f>IF($J1962=0,0,ROUND(MAX($J1962*1.4*1.5,2190000*(1.580994^(MIN($E1962,123)-117)))*1,0))</f>
        <v>5473997</v>
      </c>
      <c r="O1962" s="6">
        <f>$E1962+4</f>
        <v>123</v>
      </c>
      <c r="P1962" s="7">
        <f>IF($J1962=0,0,ROUND(MAX($J1962*1.4*1.5*1.6,3500000*(1.57975^(MIN($E1962,123)-117)))*1,0))</f>
        <v>8734635</v>
      </c>
      <c r="Q1962" s="4">
        <f>$E1962+6</f>
        <v>125</v>
      </c>
      <c r="R1962" s="8">
        <f>IF($J1962=0,0,ROUND(MAX($J1962*1.4*1.5*1.6*1.6,13100000*(1.429962^(MIN($E1962,123)-117)))*1,0))</f>
        <v>26786766</v>
      </c>
      <c r="S1962" s="6">
        <f>$E1962+8</f>
        <v>127</v>
      </c>
      <c r="T1962" s="7">
        <f>IF($J1962=0,0,ROUND(MAX($J1962*1.4*1.5*1.6*1.6*2.2,42600000*(1.576904^(MIN($E1962,123)-117)))*1,0))</f>
        <v>105930277</v>
      </c>
      <c r="U1962" s="4">
        <f>$E1962+11</f>
        <v>130</v>
      </c>
      <c r="V1962" s="8">
        <f>IF($J1962=0,0,ROUND(MAX($J1962*1.4*1.5*1.6*1.6*2.2*2.715,354000000*(1.642074^(MIN($E1962,123)-117)))*1,0))</f>
        <v>954528086</v>
      </c>
      <c r="W1962" s="6">
        <f>$E1962+15</f>
        <v>134</v>
      </c>
      <c r="X1962" s="7">
        <f>IF($J1962=0,0,ROUND(MAX($J1962*1.4*1.5*1.6*1.6*2.2*2.715*2.6,3540000000*(1.579646^(MIN($E1962,123)-117)))*1,0))</f>
        <v>8833296458</v>
      </c>
      <c r="Y1962" s="4">
        <f>$E1962+17</f>
        <v>136</v>
      </c>
      <c r="Z1962" s="8">
        <f>IF($J1962=0,0,ROUND(MAX($J1962*1.4*1.5*1.6*1.6*2.2*2.715*2.6*1.4,6020000000*(1.651178^(MIN($E1962,123)-117)))*1,0))</f>
        <v>16412860502</v>
      </c>
      <c r="AA1962" s="6">
        <f>$E1962+19</f>
        <v>138</v>
      </c>
      <c r="AB1962" s="7">
        <f>IF($J1962=0,0,ROUND(MAX($J1962*1.4*1.5*1.6*1.6*2.2*2.715*2.6*1.4*1.4,8430000000*(1.651435^(MIN($E1962,123)-117)))*1,0))</f>
        <v>22990612624</v>
      </c>
      <c r="AC1962" s="4">
        <f>$E1962+21</f>
        <v>140</v>
      </c>
      <c r="AD1962" s="8">
        <f>IF($J1962=0,0,ROUND(MAX($J1962*1.4*1.5*1.6*1.6*2.2*2.715*2.6*1.4*1.4*1.5,12600000000*(1.652953^(MIN($E1962,123)-117)))*1,0))</f>
        <v>34426395615</v>
      </c>
      <c r="AE1962" s="6">
        <f>$E1962+24</f>
        <v>143</v>
      </c>
      <c r="AF1962" s="7">
        <f>IF($J1962=0,0,ROUND(MAX($J1962*1.4*1.5*1.6*1.6*2.2*2.715*2.6*1.4*1.4*1.5*1.5,18900000000*(1.65331^(MIN($E1962,123)-117)))*1,0))</f>
        <v>51661901770</v>
      </c>
      <c r="AG1962" s="4">
        <f>$E1962+27</f>
        <v>146</v>
      </c>
      <c r="AH1962" s="8">
        <f>IF($J1962=0,0,ROUND(MAX($J1962*1.4*1.5*1.6*1.6*2.2*2.715*2.6*1.4*1.4*1.5*1.5*3.2,60500000000*(1.654288^(MIN($E1962,123)-117)))*1,0))</f>
        <v>165568461610</v>
      </c>
    </row>
    <row r="1963" ht="27.75" customHeight="1" spans="1:34" x14ac:dyDescent="0.25">
      <c r="A1963" s="3">
        <v>1973</v>
      </c>
      <c r="B1963" s="3" t="s">
        <v>621</v>
      </c>
      <c r="C1963" s="3" t="s">
        <v>1243</v>
      </c>
      <c r="D1963" s="3" t="s">
        <v>45</v>
      </c>
      <c r="E1963" s="3">
        <v>119</v>
      </c>
      <c r="F1963" s="3" t="s">
        <v>62</v>
      </c>
      <c r="G1963" s="3" t="s">
        <v>242</v>
      </c>
      <c r="H1963" s="3">
        <v>29</v>
      </c>
      <c r="I1963" s="4">
        <v>119</v>
      </c>
      <c r="J1963" s="5">
        <v>1120000</v>
      </c>
      <c r="K1963" s="6">
        <f>$E1963+1</f>
        <v>120</v>
      </c>
      <c r="L1963" s="7">
        <f>IF($J1963=0,0,ROUND(MAX($J1963*1.4,1620000*(1.497923^(MIN($E1963,123)-117)))*1,0))</f>
        <v>3634913</v>
      </c>
      <c r="M1963" s="4">
        <f>$E1963+2</f>
        <v>121</v>
      </c>
      <c r="N1963" s="8">
        <f>IF($J1963=0,0,ROUND(MAX($J1963*1.4*1.5,2190000*(1.580994^(MIN($E1963,123)-117)))*1,0))</f>
        <v>5473997</v>
      </c>
      <c r="O1963" s="6">
        <f>$E1963+4</f>
        <v>123</v>
      </c>
      <c r="P1963" s="7">
        <f>IF($J1963=0,0,ROUND(MAX($J1963*1.4*1.5*1.6,3500000*(1.57975^(MIN($E1963,123)-117)))*1,0))</f>
        <v>8734635</v>
      </c>
      <c r="Q1963" s="4">
        <f>$E1963+6</f>
        <v>125</v>
      </c>
      <c r="R1963" s="8">
        <f>IF($J1963=0,0,ROUND(MAX($J1963*1.4*1.5*1.6*1.6,13100000*(1.429962^(MIN($E1963,123)-117)))*1,0))</f>
        <v>26786766</v>
      </c>
      <c r="S1963" s="6">
        <f>$E1963+8</f>
        <v>127</v>
      </c>
      <c r="T1963" s="7">
        <f>IF($J1963=0,0,ROUND(MAX($J1963*1.4*1.5*1.6*1.6*2.2,42600000*(1.576904^(MIN($E1963,123)-117)))*1,0))</f>
        <v>105930277</v>
      </c>
      <c r="U1963" s="4">
        <f>$E1963+11</f>
        <v>130</v>
      </c>
      <c r="V1963" s="8">
        <f>IF($J1963=0,0,ROUND(MAX($J1963*1.4*1.5*1.6*1.6*2.2*2.715,354000000*(1.642074^(MIN($E1963,123)-117)))*1,0))</f>
        <v>954528086</v>
      </c>
      <c r="W1963" s="6">
        <f>$E1963+15</f>
        <v>134</v>
      </c>
      <c r="X1963" s="7">
        <f>IF($J1963=0,0,ROUND(MAX($J1963*1.4*1.5*1.6*1.6*2.2*2.715*2.6,3540000000*(1.579646^(MIN($E1963,123)-117)))*1,0))</f>
        <v>8833296458</v>
      </c>
      <c r="Y1963" s="4">
        <f>$E1963+17</f>
        <v>136</v>
      </c>
      <c r="Z1963" s="8">
        <f>IF($J1963=0,0,ROUND(MAX($J1963*1.4*1.5*1.6*1.6*2.2*2.715*2.6*1.4,6020000000*(1.651178^(MIN($E1963,123)-117)))*1,0))</f>
        <v>16412860502</v>
      </c>
      <c r="AA1963" s="6">
        <f>$E1963+19</f>
        <v>138</v>
      </c>
      <c r="AB1963" s="7">
        <f>IF($J1963=0,0,ROUND(MAX($J1963*1.4*1.5*1.6*1.6*2.2*2.715*2.6*1.4*1.4,8430000000*(1.651435^(MIN($E1963,123)-117)))*1,0))</f>
        <v>22990612624</v>
      </c>
      <c r="AC1963" s="4">
        <f>$E1963+21</f>
        <v>140</v>
      </c>
      <c r="AD1963" s="8">
        <f>IF($J1963=0,0,ROUND(MAX($J1963*1.4*1.5*1.6*1.6*2.2*2.715*2.6*1.4*1.4*1.5,12600000000*(1.652953^(MIN($E1963,123)-117)))*1,0))</f>
        <v>34426395615</v>
      </c>
      <c r="AE1963" s="6">
        <f>$E1963+24</f>
        <v>143</v>
      </c>
      <c r="AF1963" s="7">
        <f>IF($J1963=0,0,ROUND(MAX($J1963*1.4*1.5*1.6*1.6*2.2*2.715*2.6*1.4*1.4*1.5*1.5,18900000000*(1.65331^(MIN($E1963,123)-117)))*1,0))</f>
        <v>51661901770</v>
      </c>
      <c r="AG1963" s="4">
        <f>$E1963+27</f>
        <v>146</v>
      </c>
      <c r="AH1963" s="8">
        <f>IF($J1963=0,0,ROUND(MAX($J1963*1.4*1.5*1.6*1.6*2.2*2.715*2.6*1.4*1.4*1.5*1.5*3.2,60500000000*(1.654288^(MIN($E1963,123)-117)))*1,0))</f>
        <v>165568461610</v>
      </c>
    </row>
    <row r="1964" ht="27.75" customHeight="1" spans="1:34" x14ac:dyDescent="0.25">
      <c r="A1964" s="3">
        <v>1974</v>
      </c>
      <c r="B1964" s="3" t="s">
        <v>629</v>
      </c>
      <c r="C1964" s="3" t="s">
        <v>1243</v>
      </c>
      <c r="D1964" s="3" t="s">
        <v>90</v>
      </c>
      <c r="E1964" s="3">
        <v>119</v>
      </c>
      <c r="F1964" s="3" t="s">
        <v>62</v>
      </c>
      <c r="G1964" s="3" t="s">
        <v>27</v>
      </c>
      <c r="H1964" s="3">
        <v>29</v>
      </c>
      <c r="I1964" s="4">
        <v>119</v>
      </c>
      <c r="J1964" s="5">
        <v>1170000</v>
      </c>
      <c r="K1964" s="6">
        <f>$E1964+1</f>
        <v>120</v>
      </c>
      <c r="L1964" s="7">
        <f>IF($J1964=0,0,ROUND(MAX($J1964*1.4,1620000*(1.497923^(MIN($E1964,123)-117)))*1,0))</f>
        <v>3634913</v>
      </c>
      <c r="M1964" s="4">
        <f>$E1964+2</f>
        <v>121</v>
      </c>
      <c r="N1964" s="8">
        <f>IF($J1964=0,0,ROUND(MAX($J1964*1.4*1.5,2190000*(1.580994^(MIN($E1964,123)-117)))*1,0))</f>
        <v>5473997</v>
      </c>
      <c r="O1964" s="6">
        <f>$E1964+4</f>
        <v>123</v>
      </c>
      <c r="P1964" s="7">
        <f>IF($J1964=0,0,ROUND(MAX($J1964*1.4*1.5*1.6,3500000*(1.57975^(MIN($E1964,123)-117)))*1,0))</f>
        <v>8734635</v>
      </c>
      <c r="Q1964" s="4">
        <f>$E1964+6</f>
        <v>125</v>
      </c>
      <c r="R1964" s="8">
        <f>IF($J1964=0,0,ROUND(MAX($J1964*1.4*1.5*1.6*1.6,13100000*(1.429962^(MIN($E1964,123)-117)))*1,0))</f>
        <v>26786766</v>
      </c>
      <c r="S1964" s="6">
        <f>$E1964+8</f>
        <v>127</v>
      </c>
      <c r="T1964" s="7">
        <f>IF($J1964=0,0,ROUND(MAX($J1964*1.4*1.5*1.6*1.6*2.2,42600000*(1.576904^(MIN($E1964,123)-117)))*1,0))</f>
        <v>105930277</v>
      </c>
      <c r="U1964" s="4">
        <f>$E1964+11</f>
        <v>130</v>
      </c>
      <c r="V1964" s="8">
        <f>IF($J1964=0,0,ROUND(MAX($J1964*1.4*1.5*1.6*1.6*2.2*2.715,354000000*(1.642074^(MIN($E1964,123)-117)))*1,0))</f>
        <v>954528086</v>
      </c>
      <c r="W1964" s="6">
        <f>$E1964+15</f>
        <v>134</v>
      </c>
      <c r="X1964" s="7">
        <f>IF($J1964=0,0,ROUND(MAX($J1964*1.4*1.5*1.6*1.6*2.2*2.715*2.6,3540000000*(1.579646^(MIN($E1964,123)-117)))*1,0))</f>
        <v>8833296458</v>
      </c>
      <c r="Y1964" s="4">
        <f>$E1964+17</f>
        <v>136</v>
      </c>
      <c r="Z1964" s="8">
        <f>IF($J1964=0,0,ROUND(MAX($J1964*1.4*1.5*1.6*1.6*2.2*2.715*2.6*1.4,6020000000*(1.651178^(MIN($E1964,123)-117)))*1,0))</f>
        <v>16412860502</v>
      </c>
      <c r="AA1964" s="6">
        <f>$E1964+19</f>
        <v>138</v>
      </c>
      <c r="AB1964" s="7">
        <f>IF($J1964=0,0,ROUND(MAX($J1964*1.4*1.5*1.6*1.6*2.2*2.715*2.6*1.4*1.4,8430000000*(1.651435^(MIN($E1964,123)-117)))*1,0))</f>
        <v>22990612624</v>
      </c>
      <c r="AC1964" s="4">
        <f>$E1964+21</f>
        <v>140</v>
      </c>
      <c r="AD1964" s="8">
        <f>IF($J1964=0,0,ROUND(MAX($J1964*1.4*1.5*1.6*1.6*2.2*2.715*2.6*1.4*1.4*1.5,12600000000*(1.652953^(MIN($E1964,123)-117)))*1,0))</f>
        <v>34426395615</v>
      </c>
      <c r="AE1964" s="6">
        <f>$E1964+24</f>
        <v>143</v>
      </c>
      <c r="AF1964" s="7">
        <f>IF($J1964=0,0,ROUND(MAX($J1964*1.4*1.5*1.6*1.6*2.2*2.715*2.6*1.4*1.4*1.5*1.5,18900000000*(1.65331^(MIN($E1964,123)-117)))*1,0))</f>
        <v>51661901770</v>
      </c>
      <c r="AG1964" s="4">
        <f>$E1964+27</f>
        <v>146</v>
      </c>
      <c r="AH1964" s="8">
        <f>IF($J1964=0,0,ROUND(MAX($J1964*1.4*1.5*1.6*1.6*2.2*2.715*2.6*1.4*1.4*1.5*1.5*3.2,60500000000*(1.654288^(MIN($E1964,123)-117)))*1,0))</f>
        <v>165568461610</v>
      </c>
    </row>
    <row r="1965" ht="27.75" customHeight="1" spans="1:34" x14ac:dyDescent="0.25">
      <c r="A1965" s="3">
        <v>1975</v>
      </c>
      <c r="B1965" s="3" t="s">
        <v>1061</v>
      </c>
      <c r="C1965" s="3" t="s">
        <v>1243</v>
      </c>
      <c r="D1965" s="3" t="s">
        <v>45</v>
      </c>
      <c r="E1965" s="3">
        <v>119</v>
      </c>
      <c r="F1965" s="3" t="s">
        <v>56</v>
      </c>
      <c r="G1965" s="3" t="s">
        <v>816</v>
      </c>
      <c r="H1965" s="3">
        <v>29</v>
      </c>
      <c r="I1965" s="4">
        <v>119</v>
      </c>
      <c r="J1965" s="5">
        <v>984000</v>
      </c>
      <c r="K1965" s="6">
        <f>$E1965+1</f>
        <v>120</v>
      </c>
      <c r="L1965" s="7">
        <f>IF($J1965=0,0,ROUND(MAX($J1965*1.4,1620000*(1.497923^(MIN($E1965,123)-117)))*1,0))</f>
        <v>3634913</v>
      </c>
      <c r="M1965" s="4">
        <f>$E1965+2</f>
        <v>121</v>
      </c>
      <c r="N1965" s="8">
        <f>IF($J1965=0,0,ROUND(MAX($J1965*1.4*1.5,2190000*(1.580994^(MIN($E1965,123)-117)))*1,0))</f>
        <v>5473997</v>
      </c>
      <c r="O1965" s="6">
        <f>$E1965+4</f>
        <v>123</v>
      </c>
      <c r="P1965" s="7">
        <f>IF($J1965=0,0,ROUND(MAX($J1965*1.4*1.5*1.6,3500000*(1.57975^(MIN($E1965,123)-117)))*1,0))</f>
        <v>8734635</v>
      </c>
      <c r="Q1965" s="4">
        <f>$E1965+6</f>
        <v>125</v>
      </c>
      <c r="R1965" s="8">
        <f>IF($J1965=0,0,ROUND(MAX($J1965*1.4*1.5*1.6*1.6,13100000*(1.429962^(MIN($E1965,123)-117)))*1,0))</f>
        <v>26786766</v>
      </c>
      <c r="S1965" s="6">
        <f>$E1965+8</f>
        <v>127</v>
      </c>
      <c r="T1965" s="7">
        <f>IF($J1965=0,0,ROUND(MAX($J1965*1.4*1.5*1.6*1.6*2.2,42600000*(1.576904^(MIN($E1965,123)-117)))*1,0))</f>
        <v>105930277</v>
      </c>
      <c r="U1965" s="4">
        <f>$E1965+11</f>
        <v>130</v>
      </c>
      <c r="V1965" s="8">
        <f>IF($J1965=0,0,ROUND(MAX($J1965*1.4*1.5*1.6*1.6*2.2*2.715,354000000*(1.642074^(MIN($E1965,123)-117)))*1,0))</f>
        <v>954528086</v>
      </c>
      <c r="W1965" s="6">
        <f>$E1965+15</f>
        <v>134</v>
      </c>
      <c r="X1965" s="7">
        <f>IF($J1965=0,0,ROUND(MAX($J1965*1.4*1.5*1.6*1.6*2.2*2.715*2.6,3540000000*(1.579646^(MIN($E1965,123)-117)))*1,0))</f>
        <v>8833296458</v>
      </c>
      <c r="Y1965" s="4">
        <f>$E1965+17</f>
        <v>136</v>
      </c>
      <c r="Z1965" s="8">
        <f>IF($J1965=0,0,ROUND(MAX($J1965*1.4*1.5*1.6*1.6*2.2*2.715*2.6*1.4,6020000000*(1.651178^(MIN($E1965,123)-117)))*1,0))</f>
        <v>16412860502</v>
      </c>
      <c r="AA1965" s="6">
        <f>$E1965+19</f>
        <v>138</v>
      </c>
      <c r="AB1965" s="7">
        <f>IF($J1965=0,0,ROUND(MAX($J1965*1.4*1.5*1.6*1.6*2.2*2.715*2.6*1.4*1.4,8430000000*(1.651435^(MIN($E1965,123)-117)))*1,0))</f>
        <v>22990612624</v>
      </c>
      <c r="AC1965" s="4">
        <f>$E1965+21</f>
        <v>140</v>
      </c>
      <c r="AD1965" s="8">
        <f>IF($J1965=0,0,ROUND(MAX($J1965*1.4*1.5*1.6*1.6*2.2*2.715*2.6*1.4*1.4*1.5,12600000000*(1.652953^(MIN($E1965,123)-117)))*1,0))</f>
        <v>34426395615</v>
      </c>
      <c r="AE1965" s="6">
        <f>$E1965+24</f>
        <v>143</v>
      </c>
      <c r="AF1965" s="7">
        <f>IF($J1965=0,0,ROUND(MAX($J1965*1.4*1.5*1.6*1.6*2.2*2.715*2.6*1.4*1.4*1.5*1.5,18900000000*(1.65331^(MIN($E1965,123)-117)))*1,0))</f>
        <v>51661901770</v>
      </c>
      <c r="AG1965" s="4">
        <f>$E1965+27</f>
        <v>146</v>
      </c>
      <c r="AH1965" s="8">
        <f>IF($J1965=0,0,ROUND(MAX($J1965*1.4*1.5*1.6*1.6*2.2*2.715*2.6*1.4*1.4*1.5*1.5*3.2,60500000000*(1.654288^(MIN($E1965,123)-117)))*1,0))</f>
        <v>165568461610</v>
      </c>
    </row>
    <row r="1966" ht="27.75" customHeight="1" spans="1:34" x14ac:dyDescent="0.25">
      <c r="A1966" s="3">
        <v>1976</v>
      </c>
      <c r="B1966" s="3" t="s">
        <v>588</v>
      </c>
      <c r="C1966" s="3" t="s">
        <v>1243</v>
      </c>
      <c r="D1966" s="3" t="s">
        <v>45</v>
      </c>
      <c r="E1966" s="3">
        <v>118</v>
      </c>
      <c r="F1966" s="3" t="s">
        <v>56</v>
      </c>
      <c r="G1966" s="3" t="s">
        <v>38</v>
      </c>
      <c r="H1966" s="3">
        <v>30</v>
      </c>
      <c r="I1966" s="4">
        <v>118</v>
      </c>
      <c r="J1966" s="5">
        <v>911000</v>
      </c>
      <c r="K1966" s="6">
        <f>$E1966+1</f>
        <v>119</v>
      </c>
      <c r="L1966" s="7">
        <f>IF($J1966=0,0,ROUND(MAX($J1966*1.4,1620000*(1.497923^(MIN($E1966,123)-117)))*1,0))</f>
        <v>2426635</v>
      </c>
      <c r="M1966" s="4">
        <f>$E1966+2</f>
        <v>120</v>
      </c>
      <c r="N1966" s="8">
        <f>IF($J1966=0,0,ROUND(MAX($J1966*1.4*1.5,2190000*(1.580994^(MIN($E1966,123)-117)))*1,0))</f>
        <v>3462377</v>
      </c>
      <c r="O1966" s="6">
        <f>$E1966+4</f>
        <v>122</v>
      </c>
      <c r="P1966" s="7">
        <f>IF($J1966=0,0,ROUND(MAX($J1966*1.4*1.5*1.6,3500000*(1.57975^(MIN($E1966,123)-117)))*1,0))</f>
        <v>5529125</v>
      </c>
      <c r="Q1966" s="4">
        <f>$E1966+6</f>
        <v>124</v>
      </c>
      <c r="R1966" s="8">
        <f>IF($J1966=0,0,ROUND(MAX($J1966*1.4*1.5*1.6*1.6,13100000*(1.429962^(MIN($E1966,123)-117)))*1,0))</f>
        <v>18732502</v>
      </c>
      <c r="S1966" s="6">
        <f>$E1966+8</f>
        <v>126</v>
      </c>
      <c r="T1966" s="7">
        <f>IF($J1966=0,0,ROUND(MAX($J1966*1.4*1.5*1.6*1.6*2.2,42600000*(1.576904^(MIN($E1966,123)-117)))*1,0))</f>
        <v>67176110</v>
      </c>
      <c r="U1966" s="4">
        <f>$E1966+11</f>
        <v>129</v>
      </c>
      <c r="V1966" s="8">
        <f>IF($J1966=0,0,ROUND(MAX($J1966*1.4*1.5*1.6*1.6*2.2*2.715,354000000*(1.642074^(MIN($E1966,123)-117)))*1,0))</f>
        <v>581294196</v>
      </c>
      <c r="W1966" s="6">
        <f>$E1966+15</f>
        <v>133</v>
      </c>
      <c r="X1966" s="7">
        <f>IF($J1966=0,0,ROUND(MAX($J1966*1.4*1.5*1.6*1.6*2.2*2.715*2.6,3540000000*(1.579646^(MIN($E1966,123)-117)))*1,0))</f>
        <v>5591946840</v>
      </c>
      <c r="Y1966" s="4">
        <f>$E1966+17</f>
        <v>135</v>
      </c>
      <c r="Z1966" s="8">
        <f>IF($J1966=0,0,ROUND(MAX($J1966*1.4*1.5*1.6*1.6*2.2*2.715*2.6*1.4,6020000000*(1.651178^(MIN($E1966,123)-117)))*1,0))</f>
        <v>9940091560</v>
      </c>
      <c r="AA1966" s="6">
        <f>$E1966+19</f>
        <v>137</v>
      </c>
      <c r="AB1966" s="7">
        <f>IF($J1966=0,0,ROUND(MAX($J1966*1.4*1.5*1.6*1.6*2.2*2.715*2.6*1.4*1.4,8430000000*(1.651435^(MIN($E1966,123)-117)))*1,0))</f>
        <v>13921597050</v>
      </c>
      <c r="AC1966" s="4">
        <f>$E1966+21</f>
        <v>139</v>
      </c>
      <c r="AD1966" s="8">
        <f>IF($J1966=0,0,ROUND(MAX($J1966*1.4*1.5*1.6*1.6*2.2*2.715*2.6*1.4*1.4*1.5,12600000000*(1.652953^(MIN($E1966,123)-117)))*1,0))</f>
        <v>20827207800</v>
      </c>
      <c r="AE1966" s="6">
        <f>$E1966+24</f>
        <v>142</v>
      </c>
      <c r="AF1966" s="7">
        <f>IF($J1966=0,0,ROUND(MAX($J1966*1.4*1.5*1.6*1.6*2.2*2.715*2.6*1.4*1.4*1.5*1.5,18900000000*(1.65331^(MIN($E1966,123)-117)))*1,0))</f>
        <v>31247559000</v>
      </c>
      <c r="AG1966" s="4">
        <f>$E1966+27</f>
        <v>145</v>
      </c>
      <c r="AH1966" s="8">
        <f>IF($J1966=0,0,ROUND(MAX($J1966*1.4*1.5*1.6*1.6*2.2*2.715*2.6*1.4*1.4*1.5*1.5*3.2,60500000000*(1.654288^(MIN($E1966,123)-117)))*1,0))</f>
        <v>100084424000</v>
      </c>
    </row>
    <row r="1967" ht="27.75" customHeight="1" spans="1:34" x14ac:dyDescent="0.25">
      <c r="A1967" s="3">
        <v>1977</v>
      </c>
      <c r="B1967" s="3" t="s">
        <v>411</v>
      </c>
      <c r="C1967" s="3" t="s">
        <v>1243</v>
      </c>
      <c r="D1967" s="3" t="s">
        <v>33</v>
      </c>
      <c r="E1967" s="3">
        <v>118</v>
      </c>
      <c r="F1967" s="3" t="s">
        <v>412</v>
      </c>
      <c r="G1967" s="3" t="s">
        <v>374</v>
      </c>
      <c r="H1967" s="3">
        <v>30</v>
      </c>
      <c r="I1967" s="4">
        <v>118</v>
      </c>
      <c r="J1967" s="5">
        <v>702000</v>
      </c>
      <c r="K1967" s="6">
        <f>$E1967+1</f>
        <v>119</v>
      </c>
      <c r="L1967" s="7">
        <f>IF($J1967=0,0,ROUND(MAX($J1967*1.4,1620000*(1.497923^(MIN($E1967,123)-117)))*1,0))</f>
        <v>2426635</v>
      </c>
      <c r="M1967" s="4">
        <f>$E1967+2</f>
        <v>120</v>
      </c>
      <c r="N1967" s="8">
        <f>IF($J1967=0,0,ROUND(MAX($J1967*1.4*1.5,2190000*(1.580994^(MIN($E1967,123)-117)))*1,0))</f>
        <v>3462377</v>
      </c>
      <c r="O1967" s="6">
        <f>$E1967+4</f>
        <v>122</v>
      </c>
      <c r="P1967" s="7">
        <f>IF($J1967=0,0,ROUND(MAX($J1967*1.4*1.5*1.6,3500000*(1.57975^(MIN($E1967,123)-117)))*1,0))</f>
        <v>5529125</v>
      </c>
      <c r="Q1967" s="4">
        <f>$E1967+6</f>
        <v>124</v>
      </c>
      <c r="R1967" s="8">
        <f>IF($J1967=0,0,ROUND(MAX($J1967*1.4*1.5*1.6*1.6,13100000*(1.429962^(MIN($E1967,123)-117)))*1,0))</f>
        <v>18732502</v>
      </c>
      <c r="S1967" s="6">
        <f>$E1967+8</f>
        <v>126</v>
      </c>
      <c r="T1967" s="7">
        <f>IF($J1967=0,0,ROUND(MAX($J1967*1.4*1.5*1.6*1.6*2.2,42600000*(1.576904^(MIN($E1967,123)-117)))*1,0))</f>
        <v>67176110</v>
      </c>
      <c r="U1967" s="4">
        <f>$E1967+11</f>
        <v>129</v>
      </c>
      <c r="V1967" s="8">
        <f>IF($J1967=0,0,ROUND(MAX($J1967*1.4*1.5*1.6*1.6*2.2*2.715,354000000*(1.642074^(MIN($E1967,123)-117)))*1,0))</f>
        <v>581294196</v>
      </c>
      <c r="W1967" s="6">
        <f>$E1967+15</f>
        <v>133</v>
      </c>
      <c r="X1967" s="7">
        <f>IF($J1967=0,0,ROUND(MAX($J1967*1.4*1.5*1.6*1.6*2.2*2.715*2.6,3540000000*(1.579646^(MIN($E1967,123)-117)))*1,0))</f>
        <v>5591946840</v>
      </c>
      <c r="Y1967" s="4">
        <f>$E1967+17</f>
        <v>135</v>
      </c>
      <c r="Z1967" s="8">
        <f>IF($J1967=0,0,ROUND(MAX($J1967*1.4*1.5*1.6*1.6*2.2*2.715*2.6*1.4,6020000000*(1.651178^(MIN($E1967,123)-117)))*1,0))</f>
        <v>9940091560</v>
      </c>
      <c r="AA1967" s="6">
        <f>$E1967+19</f>
        <v>137</v>
      </c>
      <c r="AB1967" s="7">
        <f>IF($J1967=0,0,ROUND(MAX($J1967*1.4*1.5*1.6*1.6*2.2*2.715*2.6*1.4*1.4,8430000000*(1.651435^(MIN($E1967,123)-117)))*1,0))</f>
        <v>13921597050</v>
      </c>
      <c r="AC1967" s="4">
        <f>$E1967+21</f>
        <v>139</v>
      </c>
      <c r="AD1967" s="8">
        <f>IF($J1967=0,0,ROUND(MAX($J1967*1.4*1.5*1.6*1.6*2.2*2.715*2.6*1.4*1.4*1.5,12600000000*(1.652953^(MIN($E1967,123)-117)))*1,0))</f>
        <v>20827207800</v>
      </c>
      <c r="AE1967" s="6">
        <f>$E1967+24</f>
        <v>142</v>
      </c>
      <c r="AF1967" s="7">
        <f>IF($J1967=0,0,ROUND(MAX($J1967*1.4*1.5*1.6*1.6*2.2*2.715*2.6*1.4*1.4*1.5*1.5,18900000000*(1.65331^(MIN($E1967,123)-117)))*1,0))</f>
        <v>31247559000</v>
      </c>
      <c r="AG1967" s="4">
        <f>$E1967+27</f>
        <v>145</v>
      </c>
      <c r="AH1967" s="8">
        <f>IF($J1967=0,0,ROUND(MAX($J1967*1.4*1.5*1.6*1.6*2.2*2.715*2.6*1.4*1.4*1.5*1.5*3.2,60500000000*(1.654288^(MIN($E1967,123)-117)))*1,0))</f>
        <v>100084424000</v>
      </c>
    </row>
    <row r="1968" ht="27.75" customHeight="1" spans="1:34" x14ac:dyDescent="0.25">
      <c r="A1968" s="3">
        <v>1978</v>
      </c>
      <c r="B1968" s="3" t="s">
        <v>538</v>
      </c>
      <c r="C1968" s="3" t="s">
        <v>1243</v>
      </c>
      <c r="D1968" s="3" t="s">
        <v>45</v>
      </c>
      <c r="E1968" s="3">
        <v>118</v>
      </c>
      <c r="F1968" s="3" t="s">
        <v>71</v>
      </c>
      <c r="G1968" s="3" t="s">
        <v>1244</v>
      </c>
      <c r="H1968" s="3">
        <v>30</v>
      </c>
      <c r="I1968" s="4">
        <v>118</v>
      </c>
      <c r="J1968" s="5">
        <v>780000</v>
      </c>
      <c r="K1968" s="6">
        <f>$E1968+1</f>
        <v>119</v>
      </c>
      <c r="L1968" s="7">
        <f>IF($J1968=0,0,ROUND(MAX($J1968*1.4,1620000*(1.497923^(MIN($E1968,123)-117)))*1,0))</f>
        <v>2426635</v>
      </c>
      <c r="M1968" s="4">
        <f>$E1968+2</f>
        <v>120</v>
      </c>
      <c r="N1968" s="8">
        <f>IF($J1968=0,0,ROUND(MAX($J1968*1.4*1.5,2190000*(1.580994^(MIN($E1968,123)-117)))*1,0))</f>
        <v>3462377</v>
      </c>
      <c r="O1968" s="6">
        <f>$E1968+4</f>
        <v>122</v>
      </c>
      <c r="P1968" s="7">
        <f>IF($J1968=0,0,ROUND(MAX($J1968*1.4*1.5*1.6,3500000*(1.57975^(MIN($E1968,123)-117)))*1,0))</f>
        <v>5529125</v>
      </c>
      <c r="Q1968" s="4">
        <f>$E1968+6</f>
        <v>124</v>
      </c>
      <c r="R1968" s="8">
        <f>IF($J1968=0,0,ROUND(MAX($J1968*1.4*1.5*1.6*1.6,13100000*(1.429962^(MIN($E1968,123)-117)))*1,0))</f>
        <v>18732502</v>
      </c>
      <c r="S1968" s="6">
        <f>$E1968+8</f>
        <v>126</v>
      </c>
      <c r="T1968" s="7">
        <f>IF($J1968=0,0,ROUND(MAX($J1968*1.4*1.5*1.6*1.6*2.2,42600000*(1.576904^(MIN($E1968,123)-117)))*1,0))</f>
        <v>67176110</v>
      </c>
      <c r="U1968" s="4">
        <f>$E1968+11</f>
        <v>129</v>
      </c>
      <c r="V1968" s="8">
        <f>IF($J1968=0,0,ROUND(MAX($J1968*1.4*1.5*1.6*1.6*2.2*2.715,354000000*(1.642074^(MIN($E1968,123)-117)))*1,0))</f>
        <v>581294196</v>
      </c>
      <c r="W1968" s="6">
        <f>$E1968+15</f>
        <v>133</v>
      </c>
      <c r="X1968" s="7">
        <f>IF($J1968=0,0,ROUND(MAX($J1968*1.4*1.5*1.6*1.6*2.2*2.715*2.6,3540000000*(1.579646^(MIN($E1968,123)-117)))*1,0))</f>
        <v>5591946840</v>
      </c>
      <c r="Y1968" s="4">
        <f>$E1968+17</f>
        <v>135</v>
      </c>
      <c r="Z1968" s="8">
        <f>IF($J1968=0,0,ROUND(MAX($J1968*1.4*1.5*1.6*1.6*2.2*2.715*2.6*1.4,6020000000*(1.651178^(MIN($E1968,123)-117)))*1,0))</f>
        <v>9940091560</v>
      </c>
      <c r="AA1968" s="6">
        <f>$E1968+19</f>
        <v>137</v>
      </c>
      <c r="AB1968" s="7">
        <f>IF($J1968=0,0,ROUND(MAX($J1968*1.4*1.5*1.6*1.6*2.2*2.715*2.6*1.4*1.4,8430000000*(1.651435^(MIN($E1968,123)-117)))*1,0))</f>
        <v>13921597050</v>
      </c>
      <c r="AC1968" s="4">
        <f>$E1968+21</f>
        <v>139</v>
      </c>
      <c r="AD1968" s="8">
        <f>IF($J1968=0,0,ROUND(MAX($J1968*1.4*1.5*1.6*1.6*2.2*2.715*2.6*1.4*1.4*1.5,12600000000*(1.652953^(MIN($E1968,123)-117)))*1,0))</f>
        <v>20827207800</v>
      </c>
      <c r="AE1968" s="6">
        <f>$E1968+24</f>
        <v>142</v>
      </c>
      <c r="AF1968" s="7">
        <f>IF($J1968=0,0,ROUND(MAX($J1968*1.4*1.5*1.6*1.6*2.2*2.715*2.6*1.4*1.4*1.5*1.5,18900000000*(1.65331^(MIN($E1968,123)-117)))*1,0))</f>
        <v>31247559000</v>
      </c>
      <c r="AG1968" s="4">
        <f>$E1968+27</f>
        <v>145</v>
      </c>
      <c r="AH1968" s="8">
        <f>IF($J1968=0,0,ROUND(MAX($J1968*1.4*1.5*1.6*1.6*2.2*2.715*2.6*1.4*1.4*1.5*1.5*3.2,60500000000*(1.654288^(MIN($E1968,123)-117)))*1,0))</f>
        <v>100084424000</v>
      </c>
    </row>
    <row r="1969" ht="27.75" customHeight="1" spans="1:34" x14ac:dyDescent="0.25">
      <c r="A1969" s="3">
        <v>1979</v>
      </c>
      <c r="B1969" s="3" t="s">
        <v>650</v>
      </c>
      <c r="C1969" s="3" t="s">
        <v>1243</v>
      </c>
      <c r="D1969" s="3" t="s">
        <v>33</v>
      </c>
      <c r="E1969" s="3">
        <v>118</v>
      </c>
      <c r="F1969" s="3" t="s">
        <v>34</v>
      </c>
      <c r="G1969" s="3" t="s">
        <v>1244</v>
      </c>
      <c r="H1969" s="3">
        <v>29</v>
      </c>
      <c r="I1969" s="4">
        <v>118</v>
      </c>
      <c r="J1969" s="5">
        <v>675000</v>
      </c>
      <c r="K1969" s="6">
        <f>$E1969+1</f>
        <v>119</v>
      </c>
      <c r="L1969" s="7">
        <f>IF($J1969=0,0,ROUND(MAX($J1969*1.4,1620000*(1.497923^(MIN($E1969,123)-117)))*1,0))</f>
        <v>2426635</v>
      </c>
      <c r="M1969" s="4">
        <f>$E1969+2</f>
        <v>120</v>
      </c>
      <c r="N1969" s="8">
        <f>IF($J1969=0,0,ROUND(MAX($J1969*1.4*1.5,2190000*(1.580994^(MIN($E1969,123)-117)))*1,0))</f>
        <v>3462377</v>
      </c>
      <c r="O1969" s="6">
        <f>$E1969+4</f>
        <v>122</v>
      </c>
      <c r="P1969" s="7">
        <f>IF($J1969=0,0,ROUND(MAX($J1969*1.4*1.5*1.6,3500000*(1.57975^(MIN($E1969,123)-117)))*1,0))</f>
        <v>5529125</v>
      </c>
      <c r="Q1969" s="4">
        <f>$E1969+6</f>
        <v>124</v>
      </c>
      <c r="R1969" s="8">
        <f>IF($J1969=0,0,ROUND(MAX($J1969*1.4*1.5*1.6*1.6,13100000*(1.429962^(MIN($E1969,123)-117)))*1,0))</f>
        <v>18732502</v>
      </c>
      <c r="S1969" s="6">
        <f>$E1969+8</f>
        <v>126</v>
      </c>
      <c r="T1969" s="7">
        <f>IF($J1969=0,0,ROUND(MAX($J1969*1.4*1.5*1.6*1.6*2.2,42600000*(1.576904^(MIN($E1969,123)-117)))*1,0))</f>
        <v>67176110</v>
      </c>
      <c r="U1969" s="4">
        <f>$E1969+11</f>
        <v>129</v>
      </c>
      <c r="V1969" s="8">
        <f>IF($J1969=0,0,ROUND(MAX($J1969*1.4*1.5*1.6*1.6*2.2*2.715,354000000*(1.642074^(MIN($E1969,123)-117)))*1,0))</f>
        <v>581294196</v>
      </c>
      <c r="W1969" s="6">
        <f>$E1969+15</f>
        <v>133</v>
      </c>
      <c r="X1969" s="7">
        <f>IF($J1969=0,0,ROUND(MAX($J1969*1.4*1.5*1.6*1.6*2.2*2.715*2.6,3540000000*(1.579646^(MIN($E1969,123)-117)))*1,0))</f>
        <v>5591946840</v>
      </c>
      <c r="Y1969" s="4">
        <f>$E1969+17</f>
        <v>135</v>
      </c>
      <c r="Z1969" s="8">
        <f>IF($J1969=0,0,ROUND(MAX($J1969*1.4*1.5*1.6*1.6*2.2*2.715*2.6*1.4,6020000000*(1.651178^(MIN($E1969,123)-117)))*1,0))</f>
        <v>9940091560</v>
      </c>
      <c r="AA1969" s="6">
        <f>$E1969+19</f>
        <v>137</v>
      </c>
      <c r="AB1969" s="7">
        <f>IF($J1969=0,0,ROUND(MAX($J1969*1.4*1.5*1.6*1.6*2.2*2.715*2.6*1.4*1.4,8430000000*(1.651435^(MIN($E1969,123)-117)))*1,0))</f>
        <v>13921597050</v>
      </c>
      <c r="AC1969" s="4">
        <f>$E1969+21</f>
        <v>139</v>
      </c>
      <c r="AD1969" s="8">
        <f>IF($J1969=0,0,ROUND(MAX($J1969*1.4*1.5*1.6*1.6*2.2*2.715*2.6*1.4*1.4*1.5,12600000000*(1.652953^(MIN($E1969,123)-117)))*1,0))</f>
        <v>20827207800</v>
      </c>
      <c r="AE1969" s="6">
        <f>$E1969+24</f>
        <v>142</v>
      </c>
      <c r="AF1969" s="7">
        <f>IF($J1969=0,0,ROUND(MAX($J1969*1.4*1.5*1.6*1.6*2.2*2.715*2.6*1.4*1.4*1.5*1.5,18900000000*(1.65331^(MIN($E1969,123)-117)))*1,0))</f>
        <v>31247559000</v>
      </c>
      <c r="AG1969" s="4">
        <f>$E1969+27</f>
        <v>145</v>
      </c>
      <c r="AH1969" s="8">
        <f>IF($J1969=0,0,ROUND(MAX($J1969*1.4*1.5*1.6*1.6*2.2*2.715*2.6*1.4*1.4*1.5*1.5*3.2,60500000000*(1.654288^(MIN($E1969,123)-117)))*1,0))</f>
        <v>100084424000</v>
      </c>
    </row>
    <row r="1970" ht="27.75" customHeight="1" spans="1:34" x14ac:dyDescent="0.25">
      <c r="A1970" s="3">
        <v>1980</v>
      </c>
      <c r="B1970" s="3" t="s">
        <v>548</v>
      </c>
      <c r="C1970" s="3" t="s">
        <v>1243</v>
      </c>
      <c r="D1970" s="3" t="s">
        <v>29</v>
      </c>
      <c r="E1970" s="3">
        <v>118</v>
      </c>
      <c r="F1970" s="3" t="s">
        <v>30</v>
      </c>
      <c r="G1970" s="3" t="s">
        <v>57</v>
      </c>
      <c r="H1970" s="3">
        <v>29</v>
      </c>
      <c r="I1970" s="4">
        <v>118</v>
      </c>
      <c r="J1970" s="5">
        <v>878000</v>
      </c>
      <c r="K1970" s="6">
        <f>$E1970+1</f>
        <v>119</v>
      </c>
      <c r="L1970" s="7">
        <f>IF($J1970=0,0,ROUND(MAX($J1970*1.4,1620000*(1.497923^(MIN($E1970,123)-117)))*1,0))</f>
        <v>2426635</v>
      </c>
      <c r="M1970" s="4">
        <f>$E1970+2</f>
        <v>120</v>
      </c>
      <c r="N1970" s="8">
        <f>IF($J1970=0,0,ROUND(MAX($J1970*1.4*1.5,2190000*(1.580994^(MIN($E1970,123)-117)))*1,0))</f>
        <v>3462377</v>
      </c>
      <c r="O1970" s="6">
        <f>$E1970+4</f>
        <v>122</v>
      </c>
      <c r="P1970" s="7">
        <f>IF($J1970=0,0,ROUND(MAX($J1970*1.4*1.5*1.6,3500000*(1.57975^(MIN($E1970,123)-117)))*1,0))</f>
        <v>5529125</v>
      </c>
      <c r="Q1970" s="4">
        <f>$E1970+6</f>
        <v>124</v>
      </c>
      <c r="R1970" s="8">
        <f>IF($J1970=0,0,ROUND(MAX($J1970*1.4*1.5*1.6*1.6,13100000*(1.429962^(MIN($E1970,123)-117)))*1,0))</f>
        <v>18732502</v>
      </c>
      <c r="S1970" s="6">
        <f>$E1970+8</f>
        <v>126</v>
      </c>
      <c r="T1970" s="7">
        <f>IF($J1970=0,0,ROUND(MAX($J1970*1.4*1.5*1.6*1.6*2.2,42600000*(1.576904^(MIN($E1970,123)-117)))*1,0))</f>
        <v>67176110</v>
      </c>
      <c r="U1970" s="4">
        <f>$E1970+11</f>
        <v>129</v>
      </c>
      <c r="V1970" s="8">
        <f>IF($J1970=0,0,ROUND(MAX($J1970*1.4*1.5*1.6*1.6*2.2*2.715,354000000*(1.642074^(MIN($E1970,123)-117)))*1,0))</f>
        <v>581294196</v>
      </c>
      <c r="W1970" s="6">
        <f>$E1970+15</f>
        <v>133</v>
      </c>
      <c r="X1970" s="7">
        <f>IF($J1970=0,0,ROUND(MAX($J1970*1.4*1.5*1.6*1.6*2.2*2.715*2.6,3540000000*(1.579646^(MIN($E1970,123)-117)))*1,0))</f>
        <v>5591946840</v>
      </c>
      <c r="Y1970" s="4">
        <f>$E1970+17</f>
        <v>135</v>
      </c>
      <c r="Z1970" s="8">
        <f>IF($J1970=0,0,ROUND(MAX($J1970*1.4*1.5*1.6*1.6*2.2*2.715*2.6*1.4,6020000000*(1.651178^(MIN($E1970,123)-117)))*1,0))</f>
        <v>9940091560</v>
      </c>
      <c r="AA1970" s="6">
        <f>$E1970+19</f>
        <v>137</v>
      </c>
      <c r="AB1970" s="7">
        <f>IF($J1970=0,0,ROUND(MAX($J1970*1.4*1.5*1.6*1.6*2.2*2.715*2.6*1.4*1.4,8430000000*(1.651435^(MIN($E1970,123)-117)))*1,0))</f>
        <v>13921597050</v>
      </c>
      <c r="AC1970" s="4">
        <f>$E1970+21</f>
        <v>139</v>
      </c>
      <c r="AD1970" s="8">
        <f>IF($J1970=0,0,ROUND(MAX($J1970*1.4*1.5*1.6*1.6*2.2*2.715*2.6*1.4*1.4*1.5,12600000000*(1.652953^(MIN($E1970,123)-117)))*1,0))</f>
        <v>20827207800</v>
      </c>
      <c r="AE1970" s="6">
        <f>$E1970+24</f>
        <v>142</v>
      </c>
      <c r="AF1970" s="7">
        <f>IF($J1970=0,0,ROUND(MAX($J1970*1.4*1.5*1.6*1.6*2.2*2.715*2.6*1.4*1.4*1.5*1.5,18900000000*(1.65331^(MIN($E1970,123)-117)))*1,0))</f>
        <v>31247559000</v>
      </c>
      <c r="AG1970" s="4">
        <f>$E1970+27</f>
        <v>145</v>
      </c>
      <c r="AH1970" s="8">
        <f>IF($J1970=0,0,ROUND(MAX($J1970*1.4*1.5*1.6*1.6*2.2*2.715*2.6*1.4*1.4*1.5*1.5*3.2,60500000000*(1.654288^(MIN($E1970,123)-117)))*1,0))</f>
        <v>100084424000</v>
      </c>
    </row>
    <row r="1971" ht="27.75" customHeight="1" spans="1:34" x14ac:dyDescent="0.25">
      <c r="A1971" s="3">
        <v>1981</v>
      </c>
      <c r="B1971" s="3" t="s">
        <v>1192</v>
      </c>
      <c r="C1971" s="3" t="s">
        <v>1243</v>
      </c>
      <c r="D1971" s="3" t="s">
        <v>45</v>
      </c>
      <c r="E1971" s="3">
        <v>118</v>
      </c>
      <c r="F1971" s="3" t="s">
        <v>56</v>
      </c>
      <c r="G1971" s="3" t="s">
        <v>171</v>
      </c>
      <c r="H1971" s="3">
        <v>29</v>
      </c>
      <c r="I1971" s="4">
        <v>118</v>
      </c>
      <c r="J1971" s="5">
        <v>686000</v>
      </c>
      <c r="K1971" s="6">
        <f>$E1971+1</f>
        <v>119</v>
      </c>
      <c r="L1971" s="7">
        <f>IF($J1971=0,0,ROUND(MAX($J1971*1.4,1620000*(1.497923^(MIN($E1971,123)-117)))*1,0))</f>
        <v>2426635</v>
      </c>
      <c r="M1971" s="4">
        <f>$E1971+2</f>
        <v>120</v>
      </c>
      <c r="N1971" s="8">
        <f>IF($J1971=0,0,ROUND(MAX($J1971*1.4*1.5,2190000*(1.580994^(MIN($E1971,123)-117)))*1,0))</f>
        <v>3462377</v>
      </c>
      <c r="O1971" s="6">
        <f>$E1971+4</f>
        <v>122</v>
      </c>
      <c r="P1971" s="7">
        <f>IF($J1971=0,0,ROUND(MAX($J1971*1.4*1.5*1.6,3500000*(1.57975^(MIN($E1971,123)-117)))*1,0))</f>
        <v>5529125</v>
      </c>
      <c r="Q1971" s="4">
        <f>$E1971+6</f>
        <v>124</v>
      </c>
      <c r="R1971" s="8">
        <f>IF($J1971=0,0,ROUND(MAX($J1971*1.4*1.5*1.6*1.6,13100000*(1.429962^(MIN($E1971,123)-117)))*1,0))</f>
        <v>18732502</v>
      </c>
      <c r="S1971" s="6">
        <f>$E1971+8</f>
        <v>126</v>
      </c>
      <c r="T1971" s="7">
        <f>IF($J1971=0,0,ROUND(MAX($J1971*1.4*1.5*1.6*1.6*2.2,42600000*(1.576904^(MIN($E1971,123)-117)))*1,0))</f>
        <v>67176110</v>
      </c>
      <c r="U1971" s="4">
        <f>$E1971+11</f>
        <v>129</v>
      </c>
      <c r="V1971" s="8">
        <f>IF($J1971=0,0,ROUND(MAX($J1971*1.4*1.5*1.6*1.6*2.2*2.715,354000000*(1.642074^(MIN($E1971,123)-117)))*1,0))</f>
        <v>581294196</v>
      </c>
      <c r="W1971" s="6">
        <f>$E1971+15</f>
        <v>133</v>
      </c>
      <c r="X1971" s="7">
        <f>IF($J1971=0,0,ROUND(MAX($J1971*1.4*1.5*1.6*1.6*2.2*2.715*2.6,3540000000*(1.579646^(MIN($E1971,123)-117)))*1,0))</f>
        <v>5591946840</v>
      </c>
      <c r="Y1971" s="4">
        <f>$E1971+17</f>
        <v>135</v>
      </c>
      <c r="Z1971" s="8">
        <f>IF($J1971=0,0,ROUND(MAX($J1971*1.4*1.5*1.6*1.6*2.2*2.715*2.6*1.4,6020000000*(1.651178^(MIN($E1971,123)-117)))*1,0))</f>
        <v>9940091560</v>
      </c>
      <c r="AA1971" s="6">
        <f>$E1971+19</f>
        <v>137</v>
      </c>
      <c r="AB1971" s="7">
        <f>IF($J1971=0,0,ROUND(MAX($J1971*1.4*1.5*1.6*1.6*2.2*2.715*2.6*1.4*1.4,8430000000*(1.651435^(MIN($E1971,123)-117)))*1,0))</f>
        <v>13921597050</v>
      </c>
      <c r="AC1971" s="4">
        <f>$E1971+21</f>
        <v>139</v>
      </c>
      <c r="AD1971" s="8">
        <f>IF($J1971=0,0,ROUND(MAX($J1971*1.4*1.5*1.6*1.6*2.2*2.715*2.6*1.4*1.4*1.5,12600000000*(1.652953^(MIN($E1971,123)-117)))*1,0))</f>
        <v>20827207800</v>
      </c>
      <c r="AE1971" s="6">
        <f>$E1971+24</f>
        <v>142</v>
      </c>
      <c r="AF1971" s="7">
        <f>IF($J1971=0,0,ROUND(MAX($J1971*1.4*1.5*1.6*1.6*2.2*2.715*2.6*1.4*1.4*1.5*1.5,18900000000*(1.65331^(MIN($E1971,123)-117)))*1,0))</f>
        <v>31247559000</v>
      </c>
      <c r="AG1971" s="4">
        <f>$E1971+27</f>
        <v>145</v>
      </c>
      <c r="AH1971" s="8">
        <f>IF($J1971=0,0,ROUND(MAX($J1971*1.4*1.5*1.6*1.6*2.2*2.715*2.6*1.4*1.4*1.5*1.5*3.2,60500000000*(1.654288^(MIN($E1971,123)-117)))*1,0))</f>
        <v>100084424000</v>
      </c>
    </row>
    <row r="1972" ht="27.75" customHeight="1" spans="1:34" x14ac:dyDescent="0.25">
      <c r="A1972" s="3">
        <v>1982</v>
      </c>
      <c r="B1972" s="3" t="s">
        <v>1255</v>
      </c>
      <c r="C1972" s="3" t="s">
        <v>1243</v>
      </c>
      <c r="D1972" s="3" t="s">
        <v>45</v>
      </c>
      <c r="E1972" s="3">
        <v>118</v>
      </c>
      <c r="F1972" s="3" t="s">
        <v>850</v>
      </c>
      <c r="G1972" s="3" t="s">
        <v>319</v>
      </c>
      <c r="H1972" s="3">
        <v>29</v>
      </c>
      <c r="I1972" s="4">
        <v>118</v>
      </c>
      <c r="J1972" s="5">
        <v>651000</v>
      </c>
      <c r="K1972" s="6">
        <f>$E1972+1</f>
        <v>119</v>
      </c>
      <c r="L1972" s="7">
        <f>IF($J1972=0,0,ROUND(MAX($J1972*1.4,1620000*(1.497923^(MIN($E1972,123)-117)))*1,0))</f>
        <v>2426635</v>
      </c>
      <c r="M1972" s="4">
        <f>$E1972+2</f>
        <v>120</v>
      </c>
      <c r="N1972" s="8">
        <f>IF($J1972=0,0,ROUND(MAX($J1972*1.4*1.5,2190000*(1.580994^(MIN($E1972,123)-117)))*1,0))</f>
        <v>3462377</v>
      </c>
      <c r="O1972" s="6">
        <f>$E1972+4</f>
        <v>122</v>
      </c>
      <c r="P1972" s="7">
        <f>IF($J1972=0,0,ROUND(MAX($J1972*1.4*1.5*1.6,3500000*(1.57975^(MIN($E1972,123)-117)))*1,0))</f>
        <v>5529125</v>
      </c>
      <c r="Q1972" s="4">
        <f>$E1972+6</f>
        <v>124</v>
      </c>
      <c r="R1972" s="8">
        <f>IF($J1972=0,0,ROUND(MAX($J1972*1.4*1.5*1.6*1.6,13100000*(1.429962^(MIN($E1972,123)-117)))*1,0))</f>
        <v>18732502</v>
      </c>
      <c r="S1972" s="6">
        <f>$E1972+8</f>
        <v>126</v>
      </c>
      <c r="T1972" s="7">
        <f>IF($J1972=0,0,ROUND(MAX($J1972*1.4*1.5*1.6*1.6*2.2,42600000*(1.576904^(MIN($E1972,123)-117)))*1,0))</f>
        <v>67176110</v>
      </c>
      <c r="U1972" s="4">
        <f>$E1972+11</f>
        <v>129</v>
      </c>
      <c r="V1972" s="8">
        <f>IF($J1972=0,0,ROUND(MAX($J1972*1.4*1.5*1.6*1.6*2.2*2.715,354000000*(1.642074^(MIN($E1972,123)-117)))*1,0))</f>
        <v>581294196</v>
      </c>
      <c r="W1972" s="6">
        <f>$E1972+15</f>
        <v>133</v>
      </c>
      <c r="X1972" s="7">
        <f>IF($J1972=0,0,ROUND(MAX($J1972*1.4*1.5*1.6*1.6*2.2*2.715*2.6,3540000000*(1.579646^(MIN($E1972,123)-117)))*1,0))</f>
        <v>5591946840</v>
      </c>
      <c r="Y1972" s="4">
        <f>$E1972+17</f>
        <v>135</v>
      </c>
      <c r="Z1972" s="8">
        <f>IF($J1972=0,0,ROUND(MAX($J1972*1.4*1.5*1.6*1.6*2.2*2.715*2.6*1.4,6020000000*(1.651178^(MIN($E1972,123)-117)))*1,0))</f>
        <v>9940091560</v>
      </c>
      <c r="AA1972" s="6">
        <f>$E1972+19</f>
        <v>137</v>
      </c>
      <c r="AB1972" s="7">
        <f>IF($J1972=0,0,ROUND(MAX($J1972*1.4*1.5*1.6*1.6*2.2*2.715*2.6*1.4*1.4,8430000000*(1.651435^(MIN($E1972,123)-117)))*1,0))</f>
        <v>13921597050</v>
      </c>
      <c r="AC1972" s="4">
        <f>$E1972+21</f>
        <v>139</v>
      </c>
      <c r="AD1972" s="8">
        <f>IF($J1972=0,0,ROUND(MAX($J1972*1.4*1.5*1.6*1.6*2.2*2.715*2.6*1.4*1.4*1.5,12600000000*(1.652953^(MIN($E1972,123)-117)))*1,0))</f>
        <v>20827207800</v>
      </c>
      <c r="AE1972" s="6">
        <f>$E1972+24</f>
        <v>142</v>
      </c>
      <c r="AF1972" s="7">
        <f>IF($J1972=0,0,ROUND(MAX($J1972*1.4*1.5*1.6*1.6*2.2*2.715*2.6*1.4*1.4*1.5*1.5,18900000000*(1.65331^(MIN($E1972,123)-117)))*1,0))</f>
        <v>31247559000</v>
      </c>
      <c r="AG1972" s="4">
        <f>$E1972+27</f>
        <v>145</v>
      </c>
      <c r="AH1972" s="8">
        <f>IF($J1972=0,0,ROUND(MAX($J1972*1.4*1.5*1.6*1.6*2.2*2.715*2.6*1.4*1.4*1.5*1.5*3.2,60500000000*(1.654288^(MIN($E1972,123)-117)))*1,0))</f>
        <v>100084424000</v>
      </c>
    </row>
    <row r="1973" ht="27.75" customHeight="1" spans="1:34" x14ac:dyDescent="0.25">
      <c r="A1973" s="3">
        <v>1983</v>
      </c>
      <c r="B1973" s="3" t="s">
        <v>593</v>
      </c>
      <c r="C1973" s="3" t="s">
        <v>1243</v>
      </c>
      <c r="D1973" s="3" t="s">
        <v>45</v>
      </c>
      <c r="E1973" s="3">
        <v>118</v>
      </c>
      <c r="F1973" s="3" t="s">
        <v>258</v>
      </c>
      <c r="G1973" s="3" t="s">
        <v>171</v>
      </c>
      <c r="H1973" s="3">
        <v>29</v>
      </c>
      <c r="I1973" s="4">
        <v>118</v>
      </c>
      <c r="J1973" s="5">
        <v>820000</v>
      </c>
      <c r="K1973" s="6">
        <f>$E1973+1</f>
        <v>119</v>
      </c>
      <c r="L1973" s="7">
        <f>IF($J1973=0,0,ROUND(MAX($J1973*1.4,1620000*(1.497923^(MIN($E1973,123)-117)))*1,0))</f>
        <v>2426635</v>
      </c>
      <c r="M1973" s="4">
        <f>$E1973+2</f>
        <v>120</v>
      </c>
      <c r="N1973" s="8">
        <f>IF($J1973=0,0,ROUND(MAX($J1973*1.4*1.5,2190000*(1.580994^(MIN($E1973,123)-117)))*1,0))</f>
        <v>3462377</v>
      </c>
      <c r="O1973" s="6">
        <f>$E1973+4</f>
        <v>122</v>
      </c>
      <c r="P1973" s="7">
        <f>IF($J1973=0,0,ROUND(MAX($J1973*1.4*1.5*1.6,3500000*(1.57975^(MIN($E1973,123)-117)))*1,0))</f>
        <v>5529125</v>
      </c>
      <c r="Q1973" s="4">
        <f>$E1973+6</f>
        <v>124</v>
      </c>
      <c r="R1973" s="8">
        <f>IF($J1973=0,0,ROUND(MAX($J1973*1.4*1.5*1.6*1.6,13100000*(1.429962^(MIN($E1973,123)-117)))*1,0))</f>
        <v>18732502</v>
      </c>
      <c r="S1973" s="6">
        <f>$E1973+8</f>
        <v>126</v>
      </c>
      <c r="T1973" s="7">
        <f>IF($J1973=0,0,ROUND(MAX($J1973*1.4*1.5*1.6*1.6*2.2,42600000*(1.576904^(MIN($E1973,123)-117)))*1,0))</f>
        <v>67176110</v>
      </c>
      <c r="U1973" s="4">
        <f>$E1973+11</f>
        <v>129</v>
      </c>
      <c r="V1973" s="8">
        <f>IF($J1973=0,0,ROUND(MAX($J1973*1.4*1.5*1.6*1.6*2.2*2.715,354000000*(1.642074^(MIN($E1973,123)-117)))*1,0))</f>
        <v>581294196</v>
      </c>
      <c r="W1973" s="6">
        <f>$E1973+15</f>
        <v>133</v>
      </c>
      <c r="X1973" s="7">
        <f>IF($J1973=0,0,ROUND(MAX($J1973*1.4*1.5*1.6*1.6*2.2*2.715*2.6,3540000000*(1.579646^(MIN($E1973,123)-117)))*1,0))</f>
        <v>5591946840</v>
      </c>
      <c r="Y1973" s="4">
        <f>$E1973+17</f>
        <v>135</v>
      </c>
      <c r="Z1973" s="8">
        <f>IF($J1973=0,0,ROUND(MAX($J1973*1.4*1.5*1.6*1.6*2.2*2.715*2.6*1.4,6020000000*(1.651178^(MIN($E1973,123)-117)))*1,0))</f>
        <v>9940091560</v>
      </c>
      <c r="AA1973" s="6">
        <f>$E1973+19</f>
        <v>137</v>
      </c>
      <c r="AB1973" s="7">
        <f>IF($J1973=0,0,ROUND(MAX($J1973*1.4*1.5*1.6*1.6*2.2*2.715*2.6*1.4*1.4,8430000000*(1.651435^(MIN($E1973,123)-117)))*1,0))</f>
        <v>13921597050</v>
      </c>
      <c r="AC1973" s="4">
        <f>$E1973+21</f>
        <v>139</v>
      </c>
      <c r="AD1973" s="8">
        <f>IF($J1973=0,0,ROUND(MAX($J1973*1.4*1.5*1.6*1.6*2.2*2.715*2.6*1.4*1.4*1.5,12600000000*(1.652953^(MIN($E1973,123)-117)))*1,0))</f>
        <v>20827207800</v>
      </c>
      <c r="AE1973" s="6">
        <f>$E1973+24</f>
        <v>142</v>
      </c>
      <c r="AF1973" s="7">
        <f>IF($J1973=0,0,ROUND(MAX($J1973*1.4*1.5*1.6*1.6*2.2*2.715*2.6*1.4*1.4*1.5*1.5,18900000000*(1.65331^(MIN($E1973,123)-117)))*1,0))</f>
        <v>31247559000</v>
      </c>
      <c r="AG1973" s="4">
        <f>$E1973+27</f>
        <v>145</v>
      </c>
      <c r="AH1973" s="8">
        <f>IF($J1973=0,0,ROUND(MAX($J1973*1.4*1.5*1.6*1.6*2.2*2.715*2.6*1.4*1.4*1.5*1.5*3.2,60500000000*(1.654288^(MIN($E1973,123)-117)))*1,0))</f>
        <v>100084424000</v>
      </c>
    </row>
    <row r="1974" ht="27.75" customHeight="1" spans="1:34" x14ac:dyDescent="0.25">
      <c r="A1974" s="3">
        <v>1984</v>
      </c>
      <c r="B1974" s="3" t="s">
        <v>311</v>
      </c>
      <c r="C1974" s="3" t="s">
        <v>1243</v>
      </c>
      <c r="D1974" s="3" t="s">
        <v>102</v>
      </c>
      <c r="E1974" s="3">
        <v>118</v>
      </c>
      <c r="F1974" s="3" t="s">
        <v>62</v>
      </c>
      <c r="G1974" s="3" t="s">
        <v>67</v>
      </c>
      <c r="H1974" s="3">
        <v>29</v>
      </c>
      <c r="I1974" s="4">
        <v>118</v>
      </c>
      <c r="J1974" s="5">
        <v>909000</v>
      </c>
      <c r="K1974" s="6">
        <f>$E1974+1</f>
        <v>119</v>
      </c>
      <c r="L1974" s="7">
        <f>IF($J1974=0,0,ROUND(MAX($J1974*1.4,1620000*(1.497923^(MIN($E1974,123)-117)))*1,0))</f>
        <v>2426635</v>
      </c>
      <c r="M1974" s="4">
        <f>$E1974+2</f>
        <v>120</v>
      </c>
      <c r="N1974" s="8">
        <f>IF($J1974=0,0,ROUND(MAX($J1974*1.4*1.5,2190000*(1.580994^(MIN($E1974,123)-117)))*1,0))</f>
        <v>3462377</v>
      </c>
      <c r="O1974" s="6">
        <f>$E1974+4</f>
        <v>122</v>
      </c>
      <c r="P1974" s="7">
        <f>IF($J1974=0,0,ROUND(MAX($J1974*1.4*1.5*1.6,3500000*(1.57975^(MIN($E1974,123)-117)))*1,0))</f>
        <v>5529125</v>
      </c>
      <c r="Q1974" s="4">
        <f>$E1974+6</f>
        <v>124</v>
      </c>
      <c r="R1974" s="8">
        <f>IF($J1974=0,0,ROUND(MAX($J1974*1.4*1.5*1.6*1.6,13100000*(1.429962^(MIN($E1974,123)-117)))*1,0))</f>
        <v>18732502</v>
      </c>
      <c r="S1974" s="6">
        <f>$E1974+8</f>
        <v>126</v>
      </c>
      <c r="T1974" s="7">
        <f>IF($J1974=0,0,ROUND(MAX($J1974*1.4*1.5*1.6*1.6*2.2,42600000*(1.576904^(MIN($E1974,123)-117)))*1,0))</f>
        <v>67176110</v>
      </c>
      <c r="U1974" s="4">
        <f>$E1974+11</f>
        <v>129</v>
      </c>
      <c r="V1974" s="8">
        <f>IF($J1974=0,0,ROUND(MAX($J1974*1.4*1.5*1.6*1.6*2.2*2.715,354000000*(1.642074^(MIN($E1974,123)-117)))*1,0))</f>
        <v>581294196</v>
      </c>
      <c r="W1974" s="6">
        <f>$E1974+15</f>
        <v>133</v>
      </c>
      <c r="X1974" s="7">
        <f>IF($J1974=0,0,ROUND(MAX($J1974*1.4*1.5*1.6*1.6*2.2*2.715*2.6,3540000000*(1.579646^(MIN($E1974,123)-117)))*1,0))</f>
        <v>5591946840</v>
      </c>
      <c r="Y1974" s="4">
        <f>$E1974+17</f>
        <v>135</v>
      </c>
      <c r="Z1974" s="8">
        <f>IF($J1974=0,0,ROUND(MAX($J1974*1.4*1.5*1.6*1.6*2.2*2.715*2.6*1.4,6020000000*(1.651178^(MIN($E1974,123)-117)))*1,0))</f>
        <v>9940091560</v>
      </c>
      <c r="AA1974" s="6">
        <f>$E1974+19</f>
        <v>137</v>
      </c>
      <c r="AB1974" s="7">
        <f>IF($J1974=0,0,ROUND(MAX($J1974*1.4*1.5*1.6*1.6*2.2*2.715*2.6*1.4*1.4,8430000000*(1.651435^(MIN($E1974,123)-117)))*1,0))</f>
        <v>13921597050</v>
      </c>
      <c r="AC1974" s="4">
        <f>$E1974+21</f>
        <v>139</v>
      </c>
      <c r="AD1974" s="8">
        <f>IF($J1974=0,0,ROUND(MAX($J1974*1.4*1.5*1.6*1.6*2.2*2.715*2.6*1.4*1.4*1.5,12600000000*(1.652953^(MIN($E1974,123)-117)))*1,0))</f>
        <v>20827207800</v>
      </c>
      <c r="AE1974" s="6">
        <f>$E1974+24</f>
        <v>142</v>
      </c>
      <c r="AF1974" s="7">
        <f>IF($J1974=0,0,ROUND(MAX($J1974*1.4*1.5*1.6*1.6*2.2*2.715*2.6*1.4*1.4*1.5*1.5,18900000000*(1.65331^(MIN($E1974,123)-117)))*1,0))</f>
        <v>31247559000</v>
      </c>
      <c r="AG1974" s="4">
        <f>$E1974+27</f>
        <v>145</v>
      </c>
      <c r="AH1974" s="8">
        <f>IF($J1974=0,0,ROUND(MAX($J1974*1.4*1.5*1.6*1.6*2.2*2.715*2.6*1.4*1.4*1.5*1.5*3.2,60500000000*(1.654288^(MIN($E1974,123)-117)))*1,0))</f>
        <v>100084424000</v>
      </c>
    </row>
    <row r="1975" ht="27.75" customHeight="1" spans="1:34" x14ac:dyDescent="0.25">
      <c r="A1975" s="3">
        <v>1985</v>
      </c>
      <c r="B1975" s="3" t="s">
        <v>1256</v>
      </c>
      <c r="C1975" s="3" t="s">
        <v>1243</v>
      </c>
      <c r="D1975" s="3" t="s">
        <v>33</v>
      </c>
      <c r="E1975" s="3">
        <v>118</v>
      </c>
      <c r="F1975" s="3" t="s">
        <v>1257</v>
      </c>
      <c r="G1975" s="3" t="s">
        <v>362</v>
      </c>
      <c r="H1975" s="3">
        <v>29</v>
      </c>
      <c r="I1975" s="4">
        <v>118</v>
      </c>
      <c r="J1975" s="5">
        <v>693000</v>
      </c>
      <c r="K1975" s="6">
        <f>$E1975+1</f>
        <v>119</v>
      </c>
      <c r="L1975" s="7">
        <f>IF($J1975=0,0,ROUND(MAX($J1975*1.4,1620000*(1.497923^(MIN($E1975,123)-117)))*1,0))</f>
        <v>2426635</v>
      </c>
      <c r="M1975" s="4">
        <f>$E1975+2</f>
        <v>120</v>
      </c>
      <c r="N1975" s="8">
        <f>IF($J1975=0,0,ROUND(MAX($J1975*1.4*1.5,2190000*(1.580994^(MIN($E1975,123)-117)))*1,0))</f>
        <v>3462377</v>
      </c>
      <c r="O1975" s="6">
        <f>$E1975+4</f>
        <v>122</v>
      </c>
      <c r="P1975" s="7">
        <f>IF($J1975=0,0,ROUND(MAX($J1975*1.4*1.5*1.6,3500000*(1.57975^(MIN($E1975,123)-117)))*1,0))</f>
        <v>5529125</v>
      </c>
      <c r="Q1975" s="4">
        <f>$E1975+6</f>
        <v>124</v>
      </c>
      <c r="R1975" s="8">
        <f>IF($J1975=0,0,ROUND(MAX($J1975*1.4*1.5*1.6*1.6,13100000*(1.429962^(MIN($E1975,123)-117)))*1,0))</f>
        <v>18732502</v>
      </c>
      <c r="S1975" s="6">
        <f>$E1975+8</f>
        <v>126</v>
      </c>
      <c r="T1975" s="7">
        <f>IF($J1975=0,0,ROUND(MAX($J1975*1.4*1.5*1.6*1.6*2.2,42600000*(1.576904^(MIN($E1975,123)-117)))*1,0))</f>
        <v>67176110</v>
      </c>
      <c r="U1975" s="4">
        <f>$E1975+11</f>
        <v>129</v>
      </c>
      <c r="V1975" s="8">
        <f>IF($J1975=0,0,ROUND(MAX($J1975*1.4*1.5*1.6*1.6*2.2*2.715,354000000*(1.642074^(MIN($E1975,123)-117)))*1,0))</f>
        <v>581294196</v>
      </c>
      <c r="W1975" s="6">
        <f>$E1975+15</f>
        <v>133</v>
      </c>
      <c r="X1975" s="7">
        <f>IF($J1975=0,0,ROUND(MAX($J1975*1.4*1.5*1.6*1.6*2.2*2.715*2.6,3540000000*(1.579646^(MIN($E1975,123)-117)))*1,0))</f>
        <v>5591946840</v>
      </c>
      <c r="Y1975" s="4">
        <f>$E1975+17</f>
        <v>135</v>
      </c>
      <c r="Z1975" s="8">
        <f>IF($J1975=0,0,ROUND(MAX($J1975*1.4*1.5*1.6*1.6*2.2*2.715*2.6*1.4,6020000000*(1.651178^(MIN($E1975,123)-117)))*1,0))</f>
        <v>9940091560</v>
      </c>
      <c r="AA1975" s="6">
        <f>$E1975+19</f>
        <v>137</v>
      </c>
      <c r="AB1975" s="7">
        <f>IF($J1975=0,0,ROUND(MAX($J1975*1.4*1.5*1.6*1.6*2.2*2.715*2.6*1.4*1.4,8430000000*(1.651435^(MIN($E1975,123)-117)))*1,0))</f>
        <v>13921597050</v>
      </c>
      <c r="AC1975" s="4">
        <f>$E1975+21</f>
        <v>139</v>
      </c>
      <c r="AD1975" s="8">
        <f>IF($J1975=0,0,ROUND(MAX($J1975*1.4*1.5*1.6*1.6*2.2*2.715*2.6*1.4*1.4*1.5,12600000000*(1.652953^(MIN($E1975,123)-117)))*1,0))</f>
        <v>20827207800</v>
      </c>
      <c r="AE1975" s="6">
        <f>$E1975+24</f>
        <v>142</v>
      </c>
      <c r="AF1975" s="7">
        <f>IF($J1975=0,0,ROUND(MAX($J1975*1.4*1.5*1.6*1.6*2.2*2.715*2.6*1.4*1.4*1.5*1.5,18900000000*(1.65331^(MIN($E1975,123)-117)))*1,0))</f>
        <v>31247559000</v>
      </c>
      <c r="AG1975" s="4">
        <f>$E1975+27</f>
        <v>145</v>
      </c>
      <c r="AH1975" s="8">
        <f>IF($J1975=0,0,ROUND(MAX($J1975*1.4*1.5*1.6*1.6*2.2*2.715*2.6*1.4*1.4*1.5*1.5*3.2,60500000000*(1.654288^(MIN($E1975,123)-117)))*1,0))</f>
        <v>100084424000</v>
      </c>
    </row>
    <row r="1976" ht="27.75" customHeight="1" spans="1:34" x14ac:dyDescent="0.25">
      <c r="A1976" s="3">
        <v>1986</v>
      </c>
      <c r="B1976" s="3" t="s">
        <v>1057</v>
      </c>
      <c r="C1976" s="3" t="s">
        <v>1243</v>
      </c>
      <c r="D1976" s="3" t="s">
        <v>75</v>
      </c>
      <c r="E1976" s="3">
        <v>118</v>
      </c>
      <c r="F1976" s="3" t="s">
        <v>71</v>
      </c>
      <c r="G1976" s="3" t="s">
        <v>1058</v>
      </c>
      <c r="H1976" s="3">
        <v>29</v>
      </c>
      <c r="I1976" s="4">
        <v>118</v>
      </c>
      <c r="J1976" s="5">
        <v>697000</v>
      </c>
      <c r="K1976" s="6">
        <f>$E1976+1</f>
        <v>119</v>
      </c>
      <c r="L1976" s="7">
        <f>IF($J1976=0,0,ROUND(MAX($J1976*1.4,1620000*(1.497923^(MIN($E1976,123)-117)))*1,0))</f>
        <v>2426635</v>
      </c>
      <c r="M1976" s="4">
        <f>$E1976+2</f>
        <v>120</v>
      </c>
      <c r="N1976" s="8">
        <f>IF($J1976=0,0,ROUND(MAX($J1976*1.4*1.5,2190000*(1.580994^(MIN($E1976,123)-117)))*1,0))</f>
        <v>3462377</v>
      </c>
      <c r="O1976" s="6">
        <f>$E1976+4</f>
        <v>122</v>
      </c>
      <c r="P1976" s="7">
        <f>IF($J1976=0,0,ROUND(MAX($J1976*1.4*1.5*1.6,3500000*(1.57975^(MIN($E1976,123)-117)))*1,0))</f>
        <v>5529125</v>
      </c>
      <c r="Q1976" s="4">
        <f>$E1976+6</f>
        <v>124</v>
      </c>
      <c r="R1976" s="8">
        <f>IF($J1976=0,0,ROUND(MAX($J1976*1.4*1.5*1.6*1.6,13100000*(1.429962^(MIN($E1976,123)-117)))*1,0))</f>
        <v>18732502</v>
      </c>
      <c r="S1976" s="6">
        <f>$E1976+8</f>
        <v>126</v>
      </c>
      <c r="T1976" s="7">
        <f>IF($J1976=0,0,ROUND(MAX($J1976*1.4*1.5*1.6*1.6*2.2,42600000*(1.576904^(MIN($E1976,123)-117)))*1,0))</f>
        <v>67176110</v>
      </c>
      <c r="U1976" s="4">
        <f>$E1976+11</f>
        <v>129</v>
      </c>
      <c r="V1976" s="8">
        <f>IF($J1976=0,0,ROUND(MAX($J1976*1.4*1.5*1.6*1.6*2.2*2.715,354000000*(1.642074^(MIN($E1976,123)-117)))*1,0))</f>
        <v>581294196</v>
      </c>
      <c r="W1976" s="6">
        <f>$E1976+15</f>
        <v>133</v>
      </c>
      <c r="X1976" s="7">
        <f>IF($J1976=0,0,ROUND(MAX($J1976*1.4*1.5*1.6*1.6*2.2*2.715*2.6,3540000000*(1.579646^(MIN($E1976,123)-117)))*1,0))</f>
        <v>5591946840</v>
      </c>
      <c r="Y1976" s="4">
        <f>$E1976+17</f>
        <v>135</v>
      </c>
      <c r="Z1976" s="8">
        <f>IF($J1976=0,0,ROUND(MAX($J1976*1.4*1.5*1.6*1.6*2.2*2.715*2.6*1.4,6020000000*(1.651178^(MIN($E1976,123)-117)))*1,0))</f>
        <v>9940091560</v>
      </c>
      <c r="AA1976" s="6">
        <f>$E1976+19</f>
        <v>137</v>
      </c>
      <c r="AB1976" s="7">
        <f>IF($J1976=0,0,ROUND(MAX($J1976*1.4*1.5*1.6*1.6*2.2*2.715*2.6*1.4*1.4,8430000000*(1.651435^(MIN($E1976,123)-117)))*1,0))</f>
        <v>13921597050</v>
      </c>
      <c r="AC1976" s="4">
        <f>$E1976+21</f>
        <v>139</v>
      </c>
      <c r="AD1976" s="8">
        <f>IF($J1976=0,0,ROUND(MAX($J1976*1.4*1.5*1.6*1.6*2.2*2.715*2.6*1.4*1.4*1.5,12600000000*(1.652953^(MIN($E1976,123)-117)))*1,0))</f>
        <v>20827207800</v>
      </c>
      <c r="AE1976" s="6">
        <f>$E1976+24</f>
        <v>142</v>
      </c>
      <c r="AF1976" s="7">
        <f>IF($J1976=0,0,ROUND(MAX($J1976*1.4*1.5*1.6*1.6*2.2*2.715*2.6*1.4*1.4*1.5*1.5,18900000000*(1.65331^(MIN($E1976,123)-117)))*1,0))</f>
        <v>31247559000</v>
      </c>
      <c r="AG1976" s="4">
        <f>$E1976+27</f>
        <v>145</v>
      </c>
      <c r="AH1976" s="8">
        <f>IF($J1976=0,0,ROUND(MAX($J1976*1.4*1.5*1.6*1.6*2.2*2.715*2.6*1.4*1.4*1.5*1.5*3.2,60500000000*(1.654288^(MIN($E1976,123)-117)))*1,0))</f>
        <v>100084424000</v>
      </c>
    </row>
    <row r="1977" ht="27.75" customHeight="1" spans="1:34" x14ac:dyDescent="0.25">
      <c r="A1977" s="3">
        <v>1987</v>
      </c>
      <c r="B1977" s="3" t="s">
        <v>1258</v>
      </c>
      <c r="C1977" s="3" t="s">
        <v>1243</v>
      </c>
      <c r="D1977" s="3" t="s">
        <v>102</v>
      </c>
      <c r="E1977" s="3">
        <v>118</v>
      </c>
      <c r="F1977" s="3" t="s">
        <v>1259</v>
      </c>
      <c r="G1977" s="3" t="s">
        <v>282</v>
      </c>
      <c r="H1977" s="3">
        <v>29</v>
      </c>
      <c r="I1977" s="4">
        <v>118</v>
      </c>
      <c r="J1977" s="5">
        <v>800000</v>
      </c>
      <c r="K1977" s="6">
        <f>$E1977+1</f>
        <v>119</v>
      </c>
      <c r="L1977" s="7">
        <f>IF($J1977=0,0,ROUND(MAX($J1977*1.4,1620000*(1.497923^(MIN($E1977,123)-117)))*1,0))</f>
        <v>2426635</v>
      </c>
      <c r="M1977" s="4">
        <f>$E1977+2</f>
        <v>120</v>
      </c>
      <c r="N1977" s="8">
        <f>IF($J1977=0,0,ROUND(MAX($J1977*1.4*1.5,2190000*(1.580994^(MIN($E1977,123)-117)))*1,0))</f>
        <v>3462377</v>
      </c>
      <c r="O1977" s="6">
        <f>$E1977+4</f>
        <v>122</v>
      </c>
      <c r="P1977" s="7">
        <f>IF($J1977=0,0,ROUND(MAX($J1977*1.4*1.5*1.6,3500000*(1.57975^(MIN($E1977,123)-117)))*1,0))</f>
        <v>5529125</v>
      </c>
      <c r="Q1977" s="4">
        <f>$E1977+6</f>
        <v>124</v>
      </c>
      <c r="R1977" s="8">
        <f>IF($J1977=0,0,ROUND(MAX($J1977*1.4*1.5*1.6*1.6,13100000*(1.429962^(MIN($E1977,123)-117)))*1,0))</f>
        <v>18732502</v>
      </c>
      <c r="S1977" s="6">
        <f>$E1977+8</f>
        <v>126</v>
      </c>
      <c r="T1977" s="7">
        <f>IF($J1977=0,0,ROUND(MAX($J1977*1.4*1.5*1.6*1.6*2.2,42600000*(1.576904^(MIN($E1977,123)-117)))*1,0))</f>
        <v>67176110</v>
      </c>
      <c r="U1977" s="4">
        <f>$E1977+11</f>
        <v>129</v>
      </c>
      <c r="V1977" s="8">
        <f>IF($J1977=0,0,ROUND(MAX($J1977*1.4*1.5*1.6*1.6*2.2*2.715,354000000*(1.642074^(MIN($E1977,123)-117)))*1,0))</f>
        <v>581294196</v>
      </c>
      <c r="W1977" s="6">
        <f>$E1977+15</f>
        <v>133</v>
      </c>
      <c r="X1977" s="7">
        <f>IF($J1977=0,0,ROUND(MAX($J1977*1.4*1.5*1.6*1.6*2.2*2.715*2.6,3540000000*(1.579646^(MIN($E1977,123)-117)))*1,0))</f>
        <v>5591946840</v>
      </c>
      <c r="Y1977" s="4">
        <f>$E1977+17</f>
        <v>135</v>
      </c>
      <c r="Z1977" s="8">
        <f>IF($J1977=0,0,ROUND(MAX($J1977*1.4*1.5*1.6*1.6*2.2*2.715*2.6*1.4,6020000000*(1.651178^(MIN($E1977,123)-117)))*1,0))</f>
        <v>9940091560</v>
      </c>
      <c r="AA1977" s="6">
        <f>$E1977+19</f>
        <v>137</v>
      </c>
      <c r="AB1977" s="7">
        <f>IF($J1977=0,0,ROUND(MAX($J1977*1.4*1.5*1.6*1.6*2.2*2.715*2.6*1.4*1.4,8430000000*(1.651435^(MIN($E1977,123)-117)))*1,0))</f>
        <v>13921597050</v>
      </c>
      <c r="AC1977" s="4">
        <f>$E1977+21</f>
        <v>139</v>
      </c>
      <c r="AD1977" s="8">
        <f>IF($J1977=0,0,ROUND(MAX($J1977*1.4*1.5*1.6*1.6*2.2*2.715*2.6*1.4*1.4*1.5,12600000000*(1.652953^(MIN($E1977,123)-117)))*1,0))</f>
        <v>20827207800</v>
      </c>
      <c r="AE1977" s="6">
        <f>$E1977+24</f>
        <v>142</v>
      </c>
      <c r="AF1977" s="7">
        <f>IF($J1977=0,0,ROUND(MAX($J1977*1.4*1.5*1.6*1.6*2.2*2.715*2.6*1.4*1.4*1.5*1.5,18900000000*(1.65331^(MIN($E1977,123)-117)))*1,0))</f>
        <v>31247559000</v>
      </c>
      <c r="AG1977" s="4">
        <f>$E1977+27</f>
        <v>145</v>
      </c>
      <c r="AH1977" s="8">
        <f>IF($J1977=0,0,ROUND(MAX($J1977*1.4*1.5*1.6*1.6*2.2*2.715*2.6*1.4*1.4*1.5*1.5*3.2,60500000000*(1.654288^(MIN($E1977,123)-117)))*1,0))</f>
        <v>100084424000</v>
      </c>
    </row>
    <row r="1978" ht="27.75" customHeight="1" spans="1:34" x14ac:dyDescent="0.25">
      <c r="A1978" s="3">
        <v>1988</v>
      </c>
      <c r="B1978" s="3" t="s">
        <v>1260</v>
      </c>
      <c r="C1978" s="3" t="s">
        <v>1243</v>
      </c>
      <c r="D1978" s="3" t="s">
        <v>33</v>
      </c>
      <c r="E1978" s="3">
        <v>118</v>
      </c>
      <c r="F1978" s="3" t="s">
        <v>30</v>
      </c>
      <c r="G1978" s="3" t="s">
        <v>27</v>
      </c>
      <c r="H1978" s="3">
        <v>29</v>
      </c>
      <c r="I1978" s="4">
        <v>118</v>
      </c>
      <c r="J1978" s="5">
        <v>665000</v>
      </c>
      <c r="K1978" s="6">
        <f>$E1978+1</f>
        <v>119</v>
      </c>
      <c r="L1978" s="7">
        <f>IF($J1978=0,0,ROUND(MAX($J1978*1.4,1620000*(1.497923^(MIN($E1978,123)-117)))*1,0))</f>
        <v>2426635</v>
      </c>
      <c r="M1978" s="4">
        <f>$E1978+2</f>
        <v>120</v>
      </c>
      <c r="N1978" s="8">
        <f>IF($J1978=0,0,ROUND(MAX($J1978*1.4*1.5,2190000*(1.580994^(MIN($E1978,123)-117)))*1,0))</f>
        <v>3462377</v>
      </c>
      <c r="O1978" s="6">
        <f>$E1978+4</f>
        <v>122</v>
      </c>
      <c r="P1978" s="7">
        <f>IF($J1978=0,0,ROUND(MAX($J1978*1.4*1.5*1.6,3500000*(1.57975^(MIN($E1978,123)-117)))*1,0))</f>
        <v>5529125</v>
      </c>
      <c r="Q1978" s="4">
        <f>$E1978+6</f>
        <v>124</v>
      </c>
      <c r="R1978" s="8">
        <f>IF($J1978=0,0,ROUND(MAX($J1978*1.4*1.5*1.6*1.6,13100000*(1.429962^(MIN($E1978,123)-117)))*1,0))</f>
        <v>18732502</v>
      </c>
      <c r="S1978" s="6">
        <f>$E1978+8</f>
        <v>126</v>
      </c>
      <c r="T1978" s="7">
        <f>IF($J1978=0,0,ROUND(MAX($J1978*1.4*1.5*1.6*1.6*2.2,42600000*(1.576904^(MIN($E1978,123)-117)))*1,0))</f>
        <v>67176110</v>
      </c>
      <c r="U1978" s="4">
        <f>$E1978+11</f>
        <v>129</v>
      </c>
      <c r="V1978" s="8">
        <f>IF($J1978=0,0,ROUND(MAX($J1978*1.4*1.5*1.6*1.6*2.2*2.715,354000000*(1.642074^(MIN($E1978,123)-117)))*1,0))</f>
        <v>581294196</v>
      </c>
      <c r="W1978" s="6">
        <f>$E1978+15</f>
        <v>133</v>
      </c>
      <c r="X1978" s="7">
        <f>IF($J1978=0,0,ROUND(MAX($J1978*1.4*1.5*1.6*1.6*2.2*2.715*2.6,3540000000*(1.579646^(MIN($E1978,123)-117)))*1,0))</f>
        <v>5591946840</v>
      </c>
      <c r="Y1978" s="4">
        <f>$E1978+17</f>
        <v>135</v>
      </c>
      <c r="Z1978" s="8">
        <f>IF($J1978=0,0,ROUND(MAX($J1978*1.4*1.5*1.6*1.6*2.2*2.715*2.6*1.4,6020000000*(1.651178^(MIN($E1978,123)-117)))*1,0))</f>
        <v>9940091560</v>
      </c>
      <c r="AA1978" s="6">
        <f>$E1978+19</f>
        <v>137</v>
      </c>
      <c r="AB1978" s="7">
        <f>IF($J1978=0,0,ROUND(MAX($J1978*1.4*1.5*1.6*1.6*2.2*2.715*2.6*1.4*1.4,8430000000*(1.651435^(MIN($E1978,123)-117)))*1,0))</f>
        <v>13921597050</v>
      </c>
      <c r="AC1978" s="4">
        <f>$E1978+21</f>
        <v>139</v>
      </c>
      <c r="AD1978" s="8">
        <f>IF($J1978=0,0,ROUND(MAX($J1978*1.4*1.5*1.6*1.6*2.2*2.715*2.6*1.4*1.4*1.5,12600000000*(1.652953^(MIN($E1978,123)-117)))*1,0))</f>
        <v>20827207800</v>
      </c>
      <c r="AE1978" s="6">
        <f>$E1978+24</f>
        <v>142</v>
      </c>
      <c r="AF1978" s="7">
        <f>IF($J1978=0,0,ROUND(MAX($J1978*1.4*1.5*1.6*1.6*2.2*2.715*2.6*1.4*1.4*1.5*1.5,18900000000*(1.65331^(MIN($E1978,123)-117)))*1,0))</f>
        <v>31247559000</v>
      </c>
      <c r="AG1978" s="4">
        <f>$E1978+27</f>
        <v>145</v>
      </c>
      <c r="AH1978" s="8">
        <f>IF($J1978=0,0,ROUND(MAX($J1978*1.4*1.5*1.6*1.6*2.2*2.715*2.6*1.4*1.4*1.5*1.5*3.2,60500000000*(1.654288^(MIN($E1978,123)-117)))*1,0))</f>
        <v>100084424000</v>
      </c>
    </row>
    <row r="1979" ht="27.75" customHeight="1" spans="1:34" x14ac:dyDescent="0.25">
      <c r="A1979" s="3">
        <v>1989</v>
      </c>
      <c r="B1979" s="3" t="s">
        <v>558</v>
      </c>
      <c r="C1979" s="3" t="s">
        <v>1243</v>
      </c>
      <c r="D1979" s="3" t="s">
        <v>75</v>
      </c>
      <c r="E1979" s="3">
        <v>118</v>
      </c>
      <c r="F1979" s="3" t="s">
        <v>71</v>
      </c>
      <c r="G1979" s="3" t="s">
        <v>1244</v>
      </c>
      <c r="H1979" s="3">
        <v>29</v>
      </c>
      <c r="I1979" s="4">
        <v>118</v>
      </c>
      <c r="J1979" s="5">
        <v>703000</v>
      </c>
      <c r="K1979" s="6">
        <f>$E1979+1</f>
        <v>119</v>
      </c>
      <c r="L1979" s="7">
        <f>IF($J1979=0,0,ROUND(MAX($J1979*1.4,1620000*(1.497923^(MIN($E1979,123)-117)))*1,0))</f>
        <v>2426635</v>
      </c>
      <c r="M1979" s="4">
        <f>$E1979+2</f>
        <v>120</v>
      </c>
      <c r="N1979" s="8">
        <f>IF($J1979=0,0,ROUND(MAX($J1979*1.4*1.5,2190000*(1.580994^(MIN($E1979,123)-117)))*1,0))</f>
        <v>3462377</v>
      </c>
      <c r="O1979" s="6">
        <f>$E1979+4</f>
        <v>122</v>
      </c>
      <c r="P1979" s="7">
        <f>IF($J1979=0,0,ROUND(MAX($J1979*1.4*1.5*1.6,3500000*(1.57975^(MIN($E1979,123)-117)))*1,0))</f>
        <v>5529125</v>
      </c>
      <c r="Q1979" s="4">
        <f>$E1979+6</f>
        <v>124</v>
      </c>
      <c r="R1979" s="8">
        <f>IF($J1979=0,0,ROUND(MAX($J1979*1.4*1.5*1.6*1.6,13100000*(1.429962^(MIN($E1979,123)-117)))*1,0))</f>
        <v>18732502</v>
      </c>
      <c r="S1979" s="6">
        <f>$E1979+8</f>
        <v>126</v>
      </c>
      <c r="T1979" s="7">
        <f>IF($J1979=0,0,ROUND(MAX($J1979*1.4*1.5*1.6*1.6*2.2,42600000*(1.576904^(MIN($E1979,123)-117)))*1,0))</f>
        <v>67176110</v>
      </c>
      <c r="U1979" s="4">
        <f>$E1979+11</f>
        <v>129</v>
      </c>
      <c r="V1979" s="8">
        <f>IF($J1979=0,0,ROUND(MAX($J1979*1.4*1.5*1.6*1.6*2.2*2.715,354000000*(1.642074^(MIN($E1979,123)-117)))*1,0))</f>
        <v>581294196</v>
      </c>
      <c r="W1979" s="6">
        <f>$E1979+15</f>
        <v>133</v>
      </c>
      <c r="X1979" s="7">
        <f>IF($J1979=0,0,ROUND(MAX($J1979*1.4*1.5*1.6*1.6*2.2*2.715*2.6,3540000000*(1.579646^(MIN($E1979,123)-117)))*1,0))</f>
        <v>5591946840</v>
      </c>
      <c r="Y1979" s="4">
        <f>$E1979+17</f>
        <v>135</v>
      </c>
      <c r="Z1979" s="8">
        <f>IF($J1979=0,0,ROUND(MAX($J1979*1.4*1.5*1.6*1.6*2.2*2.715*2.6*1.4,6020000000*(1.651178^(MIN($E1979,123)-117)))*1,0))</f>
        <v>9940091560</v>
      </c>
      <c r="AA1979" s="6">
        <f>$E1979+19</f>
        <v>137</v>
      </c>
      <c r="AB1979" s="7">
        <f>IF($J1979=0,0,ROUND(MAX($J1979*1.4*1.5*1.6*1.6*2.2*2.715*2.6*1.4*1.4,8430000000*(1.651435^(MIN($E1979,123)-117)))*1,0))</f>
        <v>13921597050</v>
      </c>
      <c r="AC1979" s="4">
        <f>$E1979+21</f>
        <v>139</v>
      </c>
      <c r="AD1979" s="8">
        <f>IF($J1979=0,0,ROUND(MAX($J1979*1.4*1.5*1.6*1.6*2.2*2.715*2.6*1.4*1.4*1.5,12600000000*(1.652953^(MIN($E1979,123)-117)))*1,0))</f>
        <v>20827207800</v>
      </c>
      <c r="AE1979" s="6">
        <f>$E1979+24</f>
        <v>142</v>
      </c>
      <c r="AF1979" s="7">
        <f>IF($J1979=0,0,ROUND(MAX($J1979*1.4*1.5*1.6*1.6*2.2*2.715*2.6*1.4*1.4*1.5*1.5,18900000000*(1.65331^(MIN($E1979,123)-117)))*1,0))</f>
        <v>31247559000</v>
      </c>
      <c r="AG1979" s="4">
        <f>$E1979+27</f>
        <v>145</v>
      </c>
      <c r="AH1979" s="8">
        <f>IF($J1979=0,0,ROUND(MAX($J1979*1.4*1.5*1.6*1.6*2.2*2.715*2.6*1.4*1.4*1.5*1.5*3.2,60500000000*(1.654288^(MIN($E1979,123)-117)))*1,0))</f>
        <v>100084424000</v>
      </c>
    </row>
    <row r="1980" ht="27.75" customHeight="1" spans="1:34" x14ac:dyDescent="0.25">
      <c r="A1980" s="3">
        <v>1990</v>
      </c>
      <c r="B1980" s="3" t="s">
        <v>622</v>
      </c>
      <c r="C1980" s="3" t="s">
        <v>1243</v>
      </c>
      <c r="D1980" s="3" t="s">
        <v>33</v>
      </c>
      <c r="E1980" s="3">
        <v>118</v>
      </c>
      <c r="F1980" s="3" t="s">
        <v>237</v>
      </c>
      <c r="G1980" s="3" t="s">
        <v>1244</v>
      </c>
      <c r="H1980" s="3">
        <v>29</v>
      </c>
      <c r="I1980" s="4">
        <v>118</v>
      </c>
      <c r="J1980" s="5">
        <v>713000</v>
      </c>
      <c r="K1980" s="6">
        <f>$E1980+1</f>
        <v>119</v>
      </c>
      <c r="L1980" s="7">
        <f>IF($J1980=0,0,ROUND(MAX($J1980*1.4,1620000*(1.497923^(MIN($E1980,123)-117)))*1,0))</f>
        <v>2426635</v>
      </c>
      <c r="M1980" s="4">
        <f>$E1980+2</f>
        <v>120</v>
      </c>
      <c r="N1980" s="8">
        <f>IF($J1980=0,0,ROUND(MAX($J1980*1.4*1.5,2190000*(1.580994^(MIN($E1980,123)-117)))*1,0))</f>
        <v>3462377</v>
      </c>
      <c r="O1980" s="6">
        <f>$E1980+4</f>
        <v>122</v>
      </c>
      <c r="P1980" s="7">
        <f>IF($J1980=0,0,ROUND(MAX($J1980*1.4*1.5*1.6,3500000*(1.57975^(MIN($E1980,123)-117)))*1,0))</f>
        <v>5529125</v>
      </c>
      <c r="Q1980" s="4">
        <f>$E1980+6</f>
        <v>124</v>
      </c>
      <c r="R1980" s="8">
        <f>IF($J1980=0,0,ROUND(MAX($J1980*1.4*1.5*1.6*1.6,13100000*(1.429962^(MIN($E1980,123)-117)))*1,0))</f>
        <v>18732502</v>
      </c>
      <c r="S1980" s="6">
        <f>$E1980+8</f>
        <v>126</v>
      </c>
      <c r="T1980" s="7">
        <f>IF($J1980=0,0,ROUND(MAX($J1980*1.4*1.5*1.6*1.6*2.2,42600000*(1.576904^(MIN($E1980,123)-117)))*1,0))</f>
        <v>67176110</v>
      </c>
      <c r="U1980" s="4">
        <f>$E1980+11</f>
        <v>129</v>
      </c>
      <c r="V1980" s="8">
        <f>IF($J1980=0,0,ROUND(MAX($J1980*1.4*1.5*1.6*1.6*2.2*2.715,354000000*(1.642074^(MIN($E1980,123)-117)))*1,0))</f>
        <v>581294196</v>
      </c>
      <c r="W1980" s="6">
        <f>$E1980+15</f>
        <v>133</v>
      </c>
      <c r="X1980" s="7">
        <f>IF($J1980=0,0,ROUND(MAX($J1980*1.4*1.5*1.6*1.6*2.2*2.715*2.6,3540000000*(1.579646^(MIN($E1980,123)-117)))*1,0))</f>
        <v>5591946840</v>
      </c>
      <c r="Y1980" s="4">
        <f>$E1980+17</f>
        <v>135</v>
      </c>
      <c r="Z1980" s="8">
        <f>IF($J1980=0,0,ROUND(MAX($J1980*1.4*1.5*1.6*1.6*2.2*2.715*2.6*1.4,6020000000*(1.651178^(MIN($E1980,123)-117)))*1,0))</f>
        <v>9940091560</v>
      </c>
      <c r="AA1980" s="6">
        <f>$E1980+19</f>
        <v>137</v>
      </c>
      <c r="AB1980" s="7">
        <f>IF($J1980=0,0,ROUND(MAX($J1980*1.4*1.5*1.6*1.6*2.2*2.715*2.6*1.4*1.4,8430000000*(1.651435^(MIN($E1980,123)-117)))*1,0))</f>
        <v>13921597050</v>
      </c>
      <c r="AC1980" s="4">
        <f>$E1980+21</f>
        <v>139</v>
      </c>
      <c r="AD1980" s="8">
        <f>IF($J1980=0,0,ROUND(MAX($J1980*1.4*1.5*1.6*1.6*2.2*2.715*2.6*1.4*1.4*1.5,12600000000*(1.652953^(MIN($E1980,123)-117)))*1,0))</f>
        <v>20827207800</v>
      </c>
      <c r="AE1980" s="6">
        <f>$E1980+24</f>
        <v>142</v>
      </c>
      <c r="AF1980" s="7">
        <f>IF($J1980=0,0,ROUND(MAX($J1980*1.4*1.5*1.6*1.6*2.2*2.715*2.6*1.4*1.4*1.5*1.5,18900000000*(1.65331^(MIN($E1980,123)-117)))*1,0))</f>
        <v>31247559000</v>
      </c>
      <c r="AG1980" s="4">
        <f>$E1980+27</f>
        <v>145</v>
      </c>
      <c r="AH1980" s="8">
        <f>IF($J1980=0,0,ROUND(MAX($J1980*1.4*1.5*1.6*1.6*2.2*2.715*2.6*1.4*1.4*1.5*1.5*3.2,60500000000*(1.654288^(MIN($E1980,123)-117)))*1,0))</f>
        <v>100084424000</v>
      </c>
    </row>
    <row r="1981" ht="27.75" customHeight="1" spans="1:34" x14ac:dyDescent="0.25">
      <c r="A1981" s="3">
        <v>1991</v>
      </c>
      <c r="B1981" s="3" t="s">
        <v>1261</v>
      </c>
      <c r="C1981" s="3" t="s">
        <v>1243</v>
      </c>
      <c r="D1981" s="3" t="s">
        <v>90</v>
      </c>
      <c r="E1981" s="3">
        <v>118</v>
      </c>
      <c r="F1981" s="3" t="s">
        <v>71</v>
      </c>
      <c r="G1981" s="3" t="s">
        <v>1244</v>
      </c>
      <c r="H1981" s="3">
        <v>29</v>
      </c>
      <c r="I1981" s="4">
        <v>118</v>
      </c>
      <c r="J1981" s="5">
        <v>701000</v>
      </c>
      <c r="K1981" s="6">
        <f>$E1981+1</f>
        <v>119</v>
      </c>
      <c r="L1981" s="7">
        <f>IF($J1981=0,0,ROUND(MAX($J1981*1.4,1620000*(1.497923^(MIN($E1981,123)-117)))*1,0))</f>
        <v>2426635</v>
      </c>
      <c r="M1981" s="4">
        <f>$E1981+2</f>
        <v>120</v>
      </c>
      <c r="N1981" s="8">
        <f>IF($J1981=0,0,ROUND(MAX($J1981*1.4*1.5,2190000*(1.580994^(MIN($E1981,123)-117)))*1,0))</f>
        <v>3462377</v>
      </c>
      <c r="O1981" s="6">
        <f>$E1981+4</f>
        <v>122</v>
      </c>
      <c r="P1981" s="7">
        <f>IF($J1981=0,0,ROUND(MAX($J1981*1.4*1.5*1.6,3500000*(1.57975^(MIN($E1981,123)-117)))*1,0))</f>
        <v>5529125</v>
      </c>
      <c r="Q1981" s="4">
        <f>$E1981+6</f>
        <v>124</v>
      </c>
      <c r="R1981" s="8">
        <f>IF($J1981=0,0,ROUND(MAX($J1981*1.4*1.5*1.6*1.6,13100000*(1.429962^(MIN($E1981,123)-117)))*1,0))</f>
        <v>18732502</v>
      </c>
      <c r="S1981" s="6">
        <f>$E1981+8</f>
        <v>126</v>
      </c>
      <c r="T1981" s="7">
        <f>IF($J1981=0,0,ROUND(MAX($J1981*1.4*1.5*1.6*1.6*2.2,42600000*(1.576904^(MIN($E1981,123)-117)))*1,0))</f>
        <v>67176110</v>
      </c>
      <c r="U1981" s="4">
        <f>$E1981+11</f>
        <v>129</v>
      </c>
      <c r="V1981" s="8">
        <f>IF($J1981=0,0,ROUND(MAX($J1981*1.4*1.5*1.6*1.6*2.2*2.715,354000000*(1.642074^(MIN($E1981,123)-117)))*1,0))</f>
        <v>581294196</v>
      </c>
      <c r="W1981" s="6">
        <f>$E1981+15</f>
        <v>133</v>
      </c>
      <c r="X1981" s="7">
        <f>IF($J1981=0,0,ROUND(MAX($J1981*1.4*1.5*1.6*1.6*2.2*2.715*2.6,3540000000*(1.579646^(MIN($E1981,123)-117)))*1,0))</f>
        <v>5591946840</v>
      </c>
      <c r="Y1981" s="4">
        <f>$E1981+17</f>
        <v>135</v>
      </c>
      <c r="Z1981" s="8">
        <f>IF($J1981=0,0,ROUND(MAX($J1981*1.4*1.5*1.6*1.6*2.2*2.715*2.6*1.4,6020000000*(1.651178^(MIN($E1981,123)-117)))*1,0))</f>
        <v>9940091560</v>
      </c>
      <c r="AA1981" s="6">
        <f>$E1981+19</f>
        <v>137</v>
      </c>
      <c r="AB1981" s="7">
        <f>IF($J1981=0,0,ROUND(MAX($J1981*1.4*1.5*1.6*1.6*2.2*2.715*2.6*1.4*1.4,8430000000*(1.651435^(MIN($E1981,123)-117)))*1,0))</f>
        <v>13921597050</v>
      </c>
      <c r="AC1981" s="4">
        <f>$E1981+21</f>
        <v>139</v>
      </c>
      <c r="AD1981" s="8">
        <f>IF($J1981=0,0,ROUND(MAX($J1981*1.4*1.5*1.6*1.6*2.2*2.715*2.6*1.4*1.4*1.5,12600000000*(1.652953^(MIN($E1981,123)-117)))*1,0))</f>
        <v>20827207800</v>
      </c>
      <c r="AE1981" s="6">
        <f>$E1981+24</f>
        <v>142</v>
      </c>
      <c r="AF1981" s="7">
        <f>IF($J1981=0,0,ROUND(MAX($J1981*1.4*1.5*1.6*1.6*2.2*2.715*2.6*1.4*1.4*1.5*1.5,18900000000*(1.65331^(MIN($E1981,123)-117)))*1,0))</f>
        <v>31247559000</v>
      </c>
      <c r="AG1981" s="4">
        <f>$E1981+27</f>
        <v>145</v>
      </c>
      <c r="AH1981" s="8">
        <f>IF($J1981=0,0,ROUND(MAX($J1981*1.4*1.5*1.6*1.6*2.2*2.715*2.6*1.4*1.4*1.5*1.5*3.2,60500000000*(1.654288^(MIN($E1981,123)-117)))*1,0))</f>
        <v>100084424000</v>
      </c>
    </row>
    <row r="1982" ht="27.75" customHeight="1" spans="1:34" x14ac:dyDescent="0.25">
      <c r="A1982" s="3">
        <v>1992</v>
      </c>
      <c r="B1982" s="3" t="s">
        <v>1262</v>
      </c>
      <c r="C1982" s="3" t="s">
        <v>1243</v>
      </c>
      <c r="D1982" s="3" t="s">
        <v>331</v>
      </c>
      <c r="E1982" s="3">
        <v>118</v>
      </c>
      <c r="F1982" s="3" t="s">
        <v>237</v>
      </c>
      <c r="G1982" s="3" t="s">
        <v>1007</v>
      </c>
      <c r="H1982" s="3">
        <v>28</v>
      </c>
      <c r="I1982" s="4">
        <v>118</v>
      </c>
      <c r="J1982" s="5">
        <v>808000</v>
      </c>
      <c r="K1982" s="6">
        <f>$E1982+1</f>
        <v>119</v>
      </c>
      <c r="L1982" s="7">
        <f>IF($J1982=0,0,ROUND(MAX($J1982*1.4,1620000*(1.497923^(MIN($E1982,123)-117)))*1,0))</f>
        <v>2426635</v>
      </c>
      <c r="M1982" s="4">
        <f>$E1982+2</f>
        <v>120</v>
      </c>
      <c r="N1982" s="8">
        <f>IF($J1982=0,0,ROUND(MAX($J1982*1.4*1.5,2190000*(1.580994^(MIN($E1982,123)-117)))*1,0))</f>
        <v>3462377</v>
      </c>
      <c r="O1982" s="6">
        <f>$E1982+4</f>
        <v>122</v>
      </c>
      <c r="P1982" s="7">
        <f>IF($J1982=0,0,ROUND(MAX($J1982*1.4*1.5*1.6,3500000*(1.57975^(MIN($E1982,123)-117)))*1,0))</f>
        <v>5529125</v>
      </c>
      <c r="Q1982" s="4">
        <f>$E1982+6</f>
        <v>124</v>
      </c>
      <c r="R1982" s="8">
        <f>IF($J1982=0,0,ROUND(MAX($J1982*1.4*1.5*1.6*1.6,13100000*(1.429962^(MIN($E1982,123)-117)))*1,0))</f>
        <v>18732502</v>
      </c>
      <c r="S1982" s="6">
        <f>$E1982+8</f>
        <v>126</v>
      </c>
      <c r="T1982" s="7">
        <f>IF($J1982=0,0,ROUND(MAX($J1982*1.4*1.5*1.6*1.6*2.2,42600000*(1.576904^(MIN($E1982,123)-117)))*1,0))</f>
        <v>67176110</v>
      </c>
      <c r="U1982" s="4">
        <f>$E1982+11</f>
        <v>129</v>
      </c>
      <c r="V1982" s="8">
        <f>IF($J1982=0,0,ROUND(MAX($J1982*1.4*1.5*1.6*1.6*2.2*2.715,354000000*(1.642074^(MIN($E1982,123)-117)))*1,0))</f>
        <v>581294196</v>
      </c>
      <c r="W1982" s="6">
        <f>$E1982+15</f>
        <v>133</v>
      </c>
      <c r="X1982" s="7">
        <f>IF($J1982=0,0,ROUND(MAX($J1982*1.4*1.5*1.6*1.6*2.2*2.715*2.6,3540000000*(1.579646^(MIN($E1982,123)-117)))*1,0))</f>
        <v>5591946840</v>
      </c>
      <c r="Y1982" s="4">
        <f>$E1982+17</f>
        <v>135</v>
      </c>
      <c r="Z1982" s="8">
        <f>IF($J1982=0,0,ROUND(MAX($J1982*1.4*1.5*1.6*1.6*2.2*2.715*2.6*1.4,6020000000*(1.651178^(MIN($E1982,123)-117)))*1,0))</f>
        <v>9940091560</v>
      </c>
      <c r="AA1982" s="6">
        <f>$E1982+19</f>
        <v>137</v>
      </c>
      <c r="AB1982" s="7">
        <f>IF($J1982=0,0,ROUND(MAX($J1982*1.4*1.5*1.6*1.6*2.2*2.715*2.6*1.4*1.4,8430000000*(1.651435^(MIN($E1982,123)-117)))*1,0))</f>
        <v>13921597050</v>
      </c>
      <c r="AC1982" s="4">
        <f>$E1982+21</f>
        <v>139</v>
      </c>
      <c r="AD1982" s="8">
        <f>IF($J1982=0,0,ROUND(MAX($J1982*1.4*1.5*1.6*1.6*2.2*2.715*2.6*1.4*1.4*1.5,12600000000*(1.652953^(MIN($E1982,123)-117)))*1,0))</f>
        <v>20827207800</v>
      </c>
      <c r="AE1982" s="6">
        <f>$E1982+24</f>
        <v>142</v>
      </c>
      <c r="AF1982" s="7">
        <f>IF($J1982=0,0,ROUND(MAX($J1982*1.4*1.5*1.6*1.6*2.2*2.715*2.6*1.4*1.4*1.5*1.5,18900000000*(1.65331^(MIN($E1982,123)-117)))*1,0))</f>
        <v>31247559000</v>
      </c>
      <c r="AG1982" s="4">
        <f>$E1982+27</f>
        <v>145</v>
      </c>
      <c r="AH1982" s="8">
        <f>IF($J1982=0,0,ROUND(MAX($J1982*1.4*1.5*1.6*1.6*2.2*2.715*2.6*1.4*1.4*1.5*1.5*3.2,60500000000*(1.654288^(MIN($E1982,123)-117)))*1,0))</f>
        <v>100084424000</v>
      </c>
    </row>
    <row r="1983" ht="27.75" customHeight="1" spans="1:34" x14ac:dyDescent="0.25">
      <c r="A1983" s="3">
        <v>1993</v>
      </c>
      <c r="B1983" s="3" t="s">
        <v>664</v>
      </c>
      <c r="C1983" s="3" t="s">
        <v>1243</v>
      </c>
      <c r="D1983" s="3" t="s">
        <v>47</v>
      </c>
      <c r="E1983" s="3">
        <v>118</v>
      </c>
      <c r="F1983" s="3" t="s">
        <v>383</v>
      </c>
      <c r="G1983" s="3" t="s">
        <v>1244</v>
      </c>
      <c r="H1983" s="3">
        <v>26</v>
      </c>
      <c r="I1983" s="4">
        <v>118</v>
      </c>
      <c r="J1983" s="5">
        <v>667000</v>
      </c>
      <c r="K1983" s="6">
        <f>$E1983+1</f>
        <v>119</v>
      </c>
      <c r="L1983" s="7">
        <f>IF($J1983=0,0,ROUND(MAX($J1983*1.4,1620000*(1.497923^(MIN($E1983,123)-117)))*1,0))</f>
        <v>2426635</v>
      </c>
      <c r="M1983" s="4">
        <f>$E1983+2</f>
        <v>120</v>
      </c>
      <c r="N1983" s="8">
        <f>IF($J1983=0,0,ROUND(MAX($J1983*1.4*1.5,2190000*(1.580994^(MIN($E1983,123)-117)))*1,0))</f>
        <v>3462377</v>
      </c>
      <c r="O1983" s="6">
        <f>$E1983+4</f>
        <v>122</v>
      </c>
      <c r="P1983" s="7">
        <f>IF($J1983=0,0,ROUND(MAX($J1983*1.4*1.5*1.6,3500000*(1.57975^(MIN($E1983,123)-117)))*1,0))</f>
        <v>5529125</v>
      </c>
      <c r="Q1983" s="4">
        <f>$E1983+6</f>
        <v>124</v>
      </c>
      <c r="R1983" s="8">
        <f>IF($J1983=0,0,ROUND(MAX($J1983*1.4*1.5*1.6*1.6,13100000*(1.429962^(MIN($E1983,123)-117)))*1,0))</f>
        <v>18732502</v>
      </c>
      <c r="S1983" s="6">
        <f>$E1983+8</f>
        <v>126</v>
      </c>
      <c r="T1983" s="7">
        <f>IF($J1983=0,0,ROUND(MAX($J1983*1.4*1.5*1.6*1.6*2.2,42600000*(1.576904^(MIN($E1983,123)-117)))*1,0))</f>
        <v>67176110</v>
      </c>
      <c r="U1983" s="4">
        <f>$E1983+11</f>
        <v>129</v>
      </c>
      <c r="V1983" s="8">
        <f>IF($J1983=0,0,ROUND(MAX($J1983*1.4*1.5*1.6*1.6*2.2*2.715,354000000*(1.642074^(MIN($E1983,123)-117)))*1,0))</f>
        <v>581294196</v>
      </c>
      <c r="W1983" s="6">
        <f>$E1983+15</f>
        <v>133</v>
      </c>
      <c r="X1983" s="7">
        <f>IF($J1983=0,0,ROUND(MAX($J1983*1.4*1.5*1.6*1.6*2.2*2.715*2.6,3540000000*(1.579646^(MIN($E1983,123)-117)))*1,0))</f>
        <v>5591946840</v>
      </c>
      <c r="Y1983" s="4">
        <f>$E1983+17</f>
        <v>135</v>
      </c>
      <c r="Z1983" s="8">
        <f>IF($J1983=0,0,ROUND(MAX($J1983*1.4*1.5*1.6*1.6*2.2*2.715*2.6*1.4,6020000000*(1.651178^(MIN($E1983,123)-117)))*1,0))</f>
        <v>9940091560</v>
      </c>
      <c r="AA1983" s="6">
        <f>$E1983+19</f>
        <v>137</v>
      </c>
      <c r="AB1983" s="7">
        <f>IF($J1983=0,0,ROUND(MAX($J1983*1.4*1.5*1.6*1.6*2.2*2.715*2.6*1.4*1.4,8430000000*(1.651435^(MIN($E1983,123)-117)))*1,0))</f>
        <v>13921597050</v>
      </c>
      <c r="AC1983" s="4">
        <f>$E1983+21</f>
        <v>139</v>
      </c>
      <c r="AD1983" s="8">
        <f>IF($J1983=0,0,ROUND(MAX($J1983*1.4*1.5*1.6*1.6*2.2*2.715*2.6*1.4*1.4*1.5,12600000000*(1.652953^(MIN($E1983,123)-117)))*1,0))</f>
        <v>20827207800</v>
      </c>
      <c r="AE1983" s="6">
        <f>$E1983+24</f>
        <v>142</v>
      </c>
      <c r="AF1983" s="7">
        <f>IF($J1983=0,0,ROUND(MAX($J1983*1.4*1.5*1.6*1.6*2.2*2.715*2.6*1.4*1.4*1.5*1.5,18900000000*(1.65331^(MIN($E1983,123)-117)))*1,0))</f>
        <v>31247559000</v>
      </c>
      <c r="AG1983" s="4">
        <f>$E1983+27</f>
        <v>145</v>
      </c>
      <c r="AH1983" s="8">
        <f>IF($J1983=0,0,ROUND(MAX($J1983*1.4*1.5*1.6*1.6*2.2*2.715*2.6*1.4*1.4*1.5*1.5*3.2,60500000000*(1.654288^(MIN($E1983,123)-117)))*1,0))</f>
        <v>100084424000</v>
      </c>
    </row>
    <row r="1984" ht="27.75" customHeight="1" spans="1:34" x14ac:dyDescent="0.25">
      <c r="A1984" s="3">
        <v>1994</v>
      </c>
      <c r="B1984" s="3" t="s">
        <v>1263</v>
      </c>
      <c r="C1984" s="3" t="s">
        <v>1243</v>
      </c>
      <c r="D1984" s="3" t="s">
        <v>102</v>
      </c>
      <c r="E1984" s="3">
        <v>117</v>
      </c>
      <c r="F1984" s="3" t="s">
        <v>59</v>
      </c>
      <c r="G1984" s="3" t="s">
        <v>171</v>
      </c>
      <c r="H1984" s="3">
        <v>29</v>
      </c>
      <c r="I1984" s="4">
        <v>117</v>
      </c>
      <c r="J1984" s="5">
        <v>552000</v>
      </c>
      <c r="K1984" s="6">
        <f>$E1984+1</f>
        <v>118</v>
      </c>
      <c r="L1984" s="7">
        <f>IF($J1984=0,0,ROUND(MAX($J1984*1.4,1620000*(1.497923^(MIN($E1984,123)-117)))*1,0))</f>
        <v>1620000</v>
      </c>
      <c r="M1984" s="4">
        <f>$E1984+2</f>
        <v>119</v>
      </c>
      <c r="N1984" s="8">
        <f>IF($J1984=0,0,ROUND(MAX($J1984*1.4*1.5,2190000*(1.580994^(MIN($E1984,123)-117)))*1,0))</f>
        <v>2190000</v>
      </c>
      <c r="O1984" s="6">
        <f>$E1984+4</f>
        <v>121</v>
      </c>
      <c r="P1984" s="7">
        <f>IF($J1984=0,0,ROUND(MAX($J1984*1.4*1.5*1.6,3500000*(1.57975^(MIN($E1984,123)-117)))*1,0))</f>
        <v>3500000</v>
      </c>
      <c r="Q1984" s="4">
        <f>$E1984+6</f>
        <v>123</v>
      </c>
      <c r="R1984" s="8">
        <f>IF($J1984=0,0,ROUND(MAX($J1984*1.4*1.5*1.6*1.6,13100000*(1.429962^(MIN($E1984,123)-117)))*1,0))</f>
        <v>13100000</v>
      </c>
      <c r="S1984" s="6">
        <f>$E1984+8</f>
        <v>125</v>
      </c>
      <c r="T1984" s="7">
        <f>IF($J1984=0,0,ROUND(MAX($J1984*1.4*1.5*1.6*1.6*2.2,42600000*(1.576904^(MIN($E1984,123)-117)))*1,0))</f>
        <v>42600000</v>
      </c>
      <c r="U1984" s="4">
        <f>$E1984+11</f>
        <v>128</v>
      </c>
      <c r="V1984" s="8">
        <f>IF($J1984=0,0,ROUND(MAX($J1984*1.4*1.5*1.6*1.6*2.2*2.715,354000000*(1.642074^(MIN($E1984,123)-117)))*1,0))</f>
        <v>354000000</v>
      </c>
      <c r="W1984" s="6">
        <f>$E1984+15</f>
        <v>132</v>
      </c>
      <c r="X1984" s="7">
        <f>IF($J1984=0,0,ROUND(MAX($J1984*1.4*1.5*1.6*1.6*2.2*2.715*2.6,3540000000*(1.579646^(MIN($E1984,123)-117)))*1,0))</f>
        <v>3540000000</v>
      </c>
      <c r="Y1984" s="4">
        <f>$E1984+17</f>
        <v>134</v>
      </c>
      <c r="Z1984" s="8">
        <f>IF($J1984=0,0,ROUND(MAX($J1984*1.4*1.5*1.6*1.6*2.2*2.715*2.6*1.4,6020000000*(1.651178^(MIN($E1984,123)-117)))*1,0))</f>
        <v>6020000000</v>
      </c>
      <c r="AA1984" s="6">
        <f>$E1984+19</f>
        <v>136</v>
      </c>
      <c r="AB1984" s="7">
        <f>IF($J1984=0,0,ROUND(MAX($J1984*1.4*1.5*1.6*1.6*2.2*2.715*2.6*1.4*1.4,8430000000*(1.651435^(MIN($E1984,123)-117)))*1,0))</f>
        <v>8430000000</v>
      </c>
      <c r="AC1984" s="4">
        <f>$E1984+21</f>
        <v>138</v>
      </c>
      <c r="AD1984" s="8">
        <f>IF($J1984=0,0,ROUND(MAX($J1984*1.4*1.5*1.6*1.6*2.2*2.715*2.6*1.4*1.4*1.5,12600000000*(1.652953^(MIN($E1984,123)-117)))*1,0))</f>
        <v>12600000000</v>
      </c>
      <c r="AE1984" s="6">
        <f>$E1984+24</f>
        <v>141</v>
      </c>
      <c r="AF1984" s="7">
        <f>IF($J1984=0,0,ROUND(MAX($J1984*1.4*1.5*1.6*1.6*2.2*2.715*2.6*1.4*1.4*1.5*1.5,18900000000*(1.65331^(MIN($E1984,123)-117)))*1,0))</f>
        <v>18900000000</v>
      </c>
      <c r="AG1984" s="4">
        <f>$E1984+27</f>
        <v>144</v>
      </c>
      <c r="AH1984" s="8">
        <f>IF($J1984=0,0,ROUND(MAX($J1984*1.4*1.5*1.6*1.6*2.2*2.715*2.6*1.4*1.4*1.5*1.5*3.2,60500000000*(1.654288^(MIN($E1984,123)-117)))*1,0))</f>
        <v>60500000000</v>
      </c>
    </row>
    <row r="1985" ht="27.75" customHeight="1" spans="1:34" x14ac:dyDescent="0.25">
      <c r="A1985" s="3">
        <v>1995</v>
      </c>
      <c r="B1985" s="3" t="s">
        <v>1264</v>
      </c>
      <c r="C1985" s="3" t="s">
        <v>1243</v>
      </c>
      <c r="D1985" s="3" t="s">
        <v>33</v>
      </c>
      <c r="E1985" s="3">
        <v>117</v>
      </c>
      <c r="F1985" s="3" t="s">
        <v>62</v>
      </c>
      <c r="G1985" s="3" t="s">
        <v>200</v>
      </c>
      <c r="H1985" s="3">
        <v>29</v>
      </c>
      <c r="I1985" s="4">
        <v>117</v>
      </c>
      <c r="J1985" s="5">
        <v>601000</v>
      </c>
      <c r="K1985" s="6">
        <f>$E1985+1</f>
        <v>118</v>
      </c>
      <c r="L1985" s="7">
        <f>IF($J1985=0,0,ROUND(MAX($J1985*1.4,1620000*(1.497923^(MIN($E1985,123)-117)))*1,0))</f>
        <v>1620000</v>
      </c>
      <c r="M1985" s="4">
        <f>$E1985+2</f>
        <v>119</v>
      </c>
      <c r="N1985" s="8">
        <f>IF($J1985=0,0,ROUND(MAX($J1985*1.4*1.5,2190000*(1.580994^(MIN($E1985,123)-117)))*1,0))</f>
        <v>2190000</v>
      </c>
      <c r="O1985" s="6">
        <f>$E1985+4</f>
        <v>121</v>
      </c>
      <c r="P1985" s="7">
        <f>IF($J1985=0,0,ROUND(MAX($J1985*1.4*1.5*1.6,3500000*(1.57975^(MIN($E1985,123)-117)))*1,0))</f>
        <v>3500000</v>
      </c>
      <c r="Q1985" s="4">
        <f>$E1985+6</f>
        <v>123</v>
      </c>
      <c r="R1985" s="8">
        <f>IF($J1985=0,0,ROUND(MAX($J1985*1.4*1.5*1.6*1.6,13100000*(1.429962^(MIN($E1985,123)-117)))*1,0))</f>
        <v>13100000</v>
      </c>
      <c r="S1985" s="6">
        <f>$E1985+8</f>
        <v>125</v>
      </c>
      <c r="T1985" s="7">
        <f>IF($J1985=0,0,ROUND(MAX($J1985*1.4*1.5*1.6*1.6*2.2,42600000*(1.576904^(MIN($E1985,123)-117)))*1,0))</f>
        <v>42600000</v>
      </c>
      <c r="U1985" s="4">
        <f>$E1985+11</f>
        <v>128</v>
      </c>
      <c r="V1985" s="8">
        <f>IF($J1985=0,0,ROUND(MAX($J1985*1.4*1.5*1.6*1.6*2.2*2.715,354000000*(1.642074^(MIN($E1985,123)-117)))*1,0))</f>
        <v>354000000</v>
      </c>
      <c r="W1985" s="6">
        <f>$E1985+15</f>
        <v>132</v>
      </c>
      <c r="X1985" s="7">
        <f>IF($J1985=0,0,ROUND(MAX($J1985*1.4*1.5*1.6*1.6*2.2*2.715*2.6,3540000000*(1.579646^(MIN($E1985,123)-117)))*1,0))</f>
        <v>3540000000</v>
      </c>
      <c r="Y1985" s="4">
        <f>$E1985+17</f>
        <v>134</v>
      </c>
      <c r="Z1985" s="8">
        <f>IF($J1985=0,0,ROUND(MAX($J1985*1.4*1.5*1.6*1.6*2.2*2.715*2.6*1.4,6020000000*(1.651178^(MIN($E1985,123)-117)))*1,0))</f>
        <v>6020000000</v>
      </c>
      <c r="AA1985" s="6">
        <f>$E1985+19</f>
        <v>136</v>
      </c>
      <c r="AB1985" s="7">
        <f>IF($J1985=0,0,ROUND(MAX($J1985*1.4*1.5*1.6*1.6*2.2*2.715*2.6*1.4*1.4,8430000000*(1.651435^(MIN($E1985,123)-117)))*1,0))</f>
        <v>8430000000</v>
      </c>
      <c r="AC1985" s="4">
        <f>$E1985+21</f>
        <v>138</v>
      </c>
      <c r="AD1985" s="8">
        <f>IF($J1985=0,0,ROUND(MAX($J1985*1.4*1.5*1.6*1.6*2.2*2.715*2.6*1.4*1.4*1.5,12600000000*(1.652953^(MIN($E1985,123)-117)))*1,0))</f>
        <v>12600000000</v>
      </c>
      <c r="AE1985" s="6">
        <f>$E1985+24</f>
        <v>141</v>
      </c>
      <c r="AF1985" s="7">
        <f>IF($J1985=0,0,ROUND(MAX($J1985*1.4*1.5*1.6*1.6*2.2*2.715*2.6*1.4*1.4*1.5*1.5,18900000000*(1.65331^(MIN($E1985,123)-117)))*1,0))</f>
        <v>18900000000</v>
      </c>
      <c r="AG1985" s="4">
        <f>$E1985+27</f>
        <v>144</v>
      </c>
      <c r="AH1985" s="8">
        <f>IF($J1985=0,0,ROUND(MAX($J1985*1.4*1.5*1.6*1.6*2.2*2.715*2.6*1.4*1.4*1.5*1.5*3.2,60500000000*(1.654288^(MIN($E1985,123)-117)))*1,0))</f>
        <v>60500000000</v>
      </c>
    </row>
    <row r="1986" ht="27.75" customHeight="1" spans="1:34" x14ac:dyDescent="0.25">
      <c r="A1986" s="3">
        <v>1996</v>
      </c>
      <c r="B1986" s="3" t="s">
        <v>873</v>
      </c>
      <c r="C1986" s="3" t="s">
        <v>1243</v>
      </c>
      <c r="D1986" s="3" t="s">
        <v>102</v>
      </c>
      <c r="E1986" s="3">
        <v>117</v>
      </c>
      <c r="F1986" s="3" t="s">
        <v>34</v>
      </c>
      <c r="G1986" s="3" t="s">
        <v>277</v>
      </c>
      <c r="H1986" s="3">
        <v>29</v>
      </c>
      <c r="I1986" s="4">
        <v>117</v>
      </c>
      <c r="J1986" s="5">
        <v>577000</v>
      </c>
      <c r="K1986" s="6">
        <f>$E1986+1</f>
        <v>118</v>
      </c>
      <c r="L1986" s="7">
        <f>IF($J1986=0,0,ROUND(MAX($J1986*1.4,1620000*(1.497923^(MIN($E1986,123)-117)))*1,0))</f>
        <v>1620000</v>
      </c>
      <c r="M1986" s="4">
        <f>$E1986+2</f>
        <v>119</v>
      </c>
      <c r="N1986" s="8">
        <f>IF($J1986=0,0,ROUND(MAX($J1986*1.4*1.5,2190000*(1.580994^(MIN($E1986,123)-117)))*1,0))</f>
        <v>2190000</v>
      </c>
      <c r="O1986" s="6">
        <f>$E1986+4</f>
        <v>121</v>
      </c>
      <c r="P1986" s="7">
        <f>IF($J1986=0,0,ROUND(MAX($J1986*1.4*1.5*1.6,3500000*(1.57975^(MIN($E1986,123)-117)))*1,0))</f>
        <v>3500000</v>
      </c>
      <c r="Q1986" s="4">
        <f>$E1986+6</f>
        <v>123</v>
      </c>
      <c r="R1986" s="8">
        <f>IF($J1986=0,0,ROUND(MAX($J1986*1.4*1.5*1.6*1.6,13100000*(1.429962^(MIN($E1986,123)-117)))*1,0))</f>
        <v>13100000</v>
      </c>
      <c r="S1986" s="6">
        <f>$E1986+8</f>
        <v>125</v>
      </c>
      <c r="T1986" s="7">
        <f>IF($J1986=0,0,ROUND(MAX($J1986*1.4*1.5*1.6*1.6*2.2,42600000*(1.576904^(MIN($E1986,123)-117)))*1,0))</f>
        <v>42600000</v>
      </c>
      <c r="U1986" s="4">
        <f>$E1986+11</f>
        <v>128</v>
      </c>
      <c r="V1986" s="8">
        <f>IF($J1986=0,0,ROUND(MAX($J1986*1.4*1.5*1.6*1.6*2.2*2.715,354000000*(1.642074^(MIN($E1986,123)-117)))*1,0))</f>
        <v>354000000</v>
      </c>
      <c r="W1986" s="6">
        <f>$E1986+15</f>
        <v>132</v>
      </c>
      <c r="X1986" s="7">
        <f>IF($J1986=0,0,ROUND(MAX($J1986*1.4*1.5*1.6*1.6*2.2*2.715*2.6,3540000000*(1.579646^(MIN($E1986,123)-117)))*1,0))</f>
        <v>3540000000</v>
      </c>
      <c r="Y1986" s="4">
        <f>$E1986+17</f>
        <v>134</v>
      </c>
      <c r="Z1986" s="8">
        <f>IF($J1986=0,0,ROUND(MAX($J1986*1.4*1.5*1.6*1.6*2.2*2.715*2.6*1.4,6020000000*(1.651178^(MIN($E1986,123)-117)))*1,0))</f>
        <v>6020000000</v>
      </c>
      <c r="AA1986" s="6">
        <f>$E1986+19</f>
        <v>136</v>
      </c>
      <c r="AB1986" s="7">
        <f>IF($J1986=0,0,ROUND(MAX($J1986*1.4*1.5*1.6*1.6*2.2*2.715*2.6*1.4*1.4,8430000000*(1.651435^(MIN($E1986,123)-117)))*1,0))</f>
        <v>8430000000</v>
      </c>
      <c r="AC1986" s="4">
        <f>$E1986+21</f>
        <v>138</v>
      </c>
      <c r="AD1986" s="8">
        <f>IF($J1986=0,0,ROUND(MAX($J1986*1.4*1.5*1.6*1.6*2.2*2.715*2.6*1.4*1.4*1.5,12600000000*(1.652953^(MIN($E1986,123)-117)))*1,0))</f>
        <v>12600000000</v>
      </c>
      <c r="AE1986" s="6">
        <f>$E1986+24</f>
        <v>141</v>
      </c>
      <c r="AF1986" s="7">
        <f>IF($J1986=0,0,ROUND(MAX($J1986*1.4*1.5*1.6*1.6*2.2*2.715*2.6*1.4*1.4*1.5*1.5,18900000000*(1.65331^(MIN($E1986,123)-117)))*1,0))</f>
        <v>18900000000</v>
      </c>
      <c r="AG1986" s="4">
        <f>$E1986+27</f>
        <v>144</v>
      </c>
      <c r="AH1986" s="8">
        <f>IF($J1986=0,0,ROUND(MAX($J1986*1.4*1.5*1.6*1.6*2.2*2.715*2.6*1.4*1.4*1.5*1.5*3.2,60500000000*(1.654288^(MIN($E1986,123)-117)))*1,0))</f>
        <v>60500000000</v>
      </c>
    </row>
    <row r="1987" ht="27.75" customHeight="1" spans="1:34" x14ac:dyDescent="0.25">
      <c r="A1987" s="3">
        <v>1997</v>
      </c>
      <c r="B1987" s="3" t="s">
        <v>1265</v>
      </c>
      <c r="C1987" s="3" t="s">
        <v>1243</v>
      </c>
      <c r="D1987" s="3" t="s">
        <v>33</v>
      </c>
      <c r="E1987" s="3">
        <v>117</v>
      </c>
      <c r="F1987" s="3" t="s">
        <v>56</v>
      </c>
      <c r="G1987" s="3" t="s">
        <v>57</v>
      </c>
      <c r="H1987" s="3">
        <v>29</v>
      </c>
      <c r="I1987" s="4">
        <v>117</v>
      </c>
      <c r="J1987" s="5">
        <v>492000</v>
      </c>
      <c r="K1987" s="6">
        <f>$E1987+1</f>
        <v>118</v>
      </c>
      <c r="L1987" s="7">
        <f>IF($J1987=0,0,ROUND(MAX($J1987*1.4,1620000*(1.497923^(MIN($E1987,123)-117)))*1,0))</f>
        <v>1620000</v>
      </c>
      <c r="M1987" s="4">
        <f>$E1987+2</f>
        <v>119</v>
      </c>
      <c r="N1987" s="8">
        <f>IF($J1987=0,0,ROUND(MAX($J1987*1.4*1.5,2190000*(1.580994^(MIN($E1987,123)-117)))*1,0))</f>
        <v>2190000</v>
      </c>
      <c r="O1987" s="6">
        <f>$E1987+4</f>
        <v>121</v>
      </c>
      <c r="P1987" s="7">
        <f>IF($J1987=0,0,ROUND(MAX($J1987*1.4*1.5*1.6,3500000*(1.57975^(MIN($E1987,123)-117)))*1,0))</f>
        <v>3500000</v>
      </c>
      <c r="Q1987" s="4">
        <f>$E1987+6</f>
        <v>123</v>
      </c>
      <c r="R1987" s="8">
        <f>IF($J1987=0,0,ROUND(MAX($J1987*1.4*1.5*1.6*1.6,13100000*(1.429962^(MIN($E1987,123)-117)))*1,0))</f>
        <v>13100000</v>
      </c>
      <c r="S1987" s="6">
        <f>$E1987+8</f>
        <v>125</v>
      </c>
      <c r="T1987" s="7">
        <f>IF($J1987=0,0,ROUND(MAX($J1987*1.4*1.5*1.6*1.6*2.2,42600000*(1.576904^(MIN($E1987,123)-117)))*1,0))</f>
        <v>42600000</v>
      </c>
      <c r="U1987" s="4">
        <f>$E1987+11</f>
        <v>128</v>
      </c>
      <c r="V1987" s="8">
        <f>IF($J1987=0,0,ROUND(MAX($J1987*1.4*1.5*1.6*1.6*2.2*2.715,354000000*(1.642074^(MIN($E1987,123)-117)))*1,0))</f>
        <v>354000000</v>
      </c>
      <c r="W1987" s="6">
        <f>$E1987+15</f>
        <v>132</v>
      </c>
      <c r="X1987" s="7">
        <f>IF($J1987=0,0,ROUND(MAX($J1987*1.4*1.5*1.6*1.6*2.2*2.715*2.6,3540000000*(1.579646^(MIN($E1987,123)-117)))*1,0))</f>
        <v>3540000000</v>
      </c>
      <c r="Y1987" s="4">
        <f>$E1987+17</f>
        <v>134</v>
      </c>
      <c r="Z1987" s="8">
        <f>IF($J1987=0,0,ROUND(MAX($J1987*1.4*1.5*1.6*1.6*2.2*2.715*2.6*1.4,6020000000*(1.651178^(MIN($E1987,123)-117)))*1,0))</f>
        <v>6020000000</v>
      </c>
      <c r="AA1987" s="6">
        <f>$E1987+19</f>
        <v>136</v>
      </c>
      <c r="AB1987" s="7">
        <f>IF($J1987=0,0,ROUND(MAX($J1987*1.4*1.5*1.6*1.6*2.2*2.715*2.6*1.4*1.4,8430000000*(1.651435^(MIN($E1987,123)-117)))*1,0))</f>
        <v>8430000000</v>
      </c>
      <c r="AC1987" s="4">
        <f>$E1987+21</f>
        <v>138</v>
      </c>
      <c r="AD1987" s="8">
        <f>IF($J1987=0,0,ROUND(MAX($J1987*1.4*1.5*1.6*1.6*2.2*2.715*2.6*1.4*1.4*1.5,12600000000*(1.652953^(MIN($E1987,123)-117)))*1,0))</f>
        <v>12600000000</v>
      </c>
      <c r="AE1987" s="6">
        <f>$E1987+24</f>
        <v>141</v>
      </c>
      <c r="AF1987" s="7">
        <f>IF($J1987=0,0,ROUND(MAX($J1987*1.4*1.5*1.6*1.6*2.2*2.715*2.6*1.4*1.4*1.5*1.5,18900000000*(1.65331^(MIN($E1987,123)-117)))*1,0))</f>
        <v>18900000000</v>
      </c>
      <c r="AG1987" s="4">
        <f>$E1987+27</f>
        <v>144</v>
      </c>
      <c r="AH1987" s="8">
        <f>IF($J1987=0,0,ROUND(MAX($J1987*1.4*1.5*1.6*1.6*2.2*2.715*2.6*1.4*1.4*1.5*1.5*3.2,60500000000*(1.654288^(MIN($E1987,123)-117)))*1,0))</f>
        <v>60500000000</v>
      </c>
    </row>
    <row r="1988" ht="27.75" customHeight="1" spans="1:34" x14ac:dyDescent="0.25">
      <c r="A1988" s="3">
        <v>1998</v>
      </c>
      <c r="B1988" s="3" t="s">
        <v>299</v>
      </c>
      <c r="C1988" s="3" t="s">
        <v>1243</v>
      </c>
      <c r="D1988" s="3" t="s">
        <v>102</v>
      </c>
      <c r="E1988" s="3">
        <v>117</v>
      </c>
      <c r="F1988" s="3" t="s">
        <v>298</v>
      </c>
      <c r="G1988" s="3" t="s">
        <v>300</v>
      </c>
      <c r="H1988" s="3">
        <v>29</v>
      </c>
      <c r="I1988" s="4">
        <v>117</v>
      </c>
      <c r="J1988" s="5">
        <v>586000</v>
      </c>
      <c r="K1988" s="6">
        <f>$E1988+1</f>
        <v>118</v>
      </c>
      <c r="L1988" s="7">
        <f>IF($J1988=0,0,ROUND(MAX($J1988*1.4,1620000*(1.497923^(MIN($E1988,123)-117)))*1,0))</f>
        <v>1620000</v>
      </c>
      <c r="M1988" s="4">
        <f>$E1988+2</f>
        <v>119</v>
      </c>
      <c r="N1988" s="8">
        <f>IF($J1988=0,0,ROUND(MAX($J1988*1.4*1.5,2190000*(1.580994^(MIN($E1988,123)-117)))*1,0))</f>
        <v>2190000</v>
      </c>
      <c r="O1988" s="6">
        <f>$E1988+4</f>
        <v>121</v>
      </c>
      <c r="P1988" s="7">
        <f>IF($J1988=0,0,ROUND(MAX($J1988*1.4*1.5*1.6,3500000*(1.57975^(MIN($E1988,123)-117)))*1,0))</f>
        <v>3500000</v>
      </c>
      <c r="Q1988" s="4">
        <f>$E1988+6</f>
        <v>123</v>
      </c>
      <c r="R1988" s="8">
        <f>IF($J1988=0,0,ROUND(MAX($J1988*1.4*1.5*1.6*1.6,13100000*(1.429962^(MIN($E1988,123)-117)))*1,0))</f>
        <v>13100000</v>
      </c>
      <c r="S1988" s="6">
        <f>$E1988+8</f>
        <v>125</v>
      </c>
      <c r="T1988" s="7">
        <f>IF($J1988=0,0,ROUND(MAX($J1988*1.4*1.5*1.6*1.6*2.2,42600000*(1.576904^(MIN($E1988,123)-117)))*1,0))</f>
        <v>42600000</v>
      </c>
      <c r="U1988" s="4">
        <f>$E1988+11</f>
        <v>128</v>
      </c>
      <c r="V1988" s="8">
        <f>IF($J1988=0,0,ROUND(MAX($J1988*1.4*1.5*1.6*1.6*2.2*2.715,354000000*(1.642074^(MIN($E1988,123)-117)))*1,0))</f>
        <v>354000000</v>
      </c>
      <c r="W1988" s="6">
        <f>$E1988+15</f>
        <v>132</v>
      </c>
      <c r="X1988" s="7">
        <f>IF($J1988=0,0,ROUND(MAX($J1988*1.4*1.5*1.6*1.6*2.2*2.715*2.6,3540000000*(1.579646^(MIN($E1988,123)-117)))*1,0))</f>
        <v>3540000000</v>
      </c>
      <c r="Y1988" s="4">
        <f>$E1988+17</f>
        <v>134</v>
      </c>
      <c r="Z1988" s="8">
        <f>IF($J1988=0,0,ROUND(MAX($J1988*1.4*1.5*1.6*1.6*2.2*2.715*2.6*1.4,6020000000*(1.651178^(MIN($E1988,123)-117)))*1,0))</f>
        <v>6020000000</v>
      </c>
      <c r="AA1988" s="6">
        <f>$E1988+19</f>
        <v>136</v>
      </c>
      <c r="AB1988" s="7">
        <f>IF($J1988=0,0,ROUND(MAX($J1988*1.4*1.5*1.6*1.6*2.2*2.715*2.6*1.4*1.4,8430000000*(1.651435^(MIN($E1988,123)-117)))*1,0))</f>
        <v>8430000000</v>
      </c>
      <c r="AC1988" s="4">
        <f>$E1988+21</f>
        <v>138</v>
      </c>
      <c r="AD1988" s="8">
        <f>IF($J1988=0,0,ROUND(MAX($J1988*1.4*1.5*1.6*1.6*2.2*2.715*2.6*1.4*1.4*1.5,12600000000*(1.652953^(MIN($E1988,123)-117)))*1,0))</f>
        <v>12600000000</v>
      </c>
      <c r="AE1988" s="6">
        <f>$E1988+24</f>
        <v>141</v>
      </c>
      <c r="AF1988" s="7">
        <f>IF($J1988=0,0,ROUND(MAX($J1988*1.4*1.5*1.6*1.6*2.2*2.715*2.6*1.4*1.4*1.5*1.5,18900000000*(1.65331^(MIN($E1988,123)-117)))*1,0))</f>
        <v>18900000000</v>
      </c>
      <c r="AG1988" s="4">
        <f>$E1988+27</f>
        <v>144</v>
      </c>
      <c r="AH1988" s="8">
        <f>IF($J1988=0,0,ROUND(MAX($J1988*1.4*1.5*1.6*1.6*2.2*2.715*2.6*1.4*1.4*1.5*1.5*3.2,60500000000*(1.654288^(MIN($E1988,123)-117)))*1,0))</f>
        <v>60500000000</v>
      </c>
    </row>
    <row r="1989" ht="27.75" customHeight="1" spans="1:34" x14ac:dyDescent="0.25">
      <c r="A1989" s="3">
        <v>1999</v>
      </c>
      <c r="B1989" s="3" t="s">
        <v>865</v>
      </c>
      <c r="C1989" s="3" t="s">
        <v>1243</v>
      </c>
      <c r="D1989" s="3" t="s">
        <v>33</v>
      </c>
      <c r="E1989" s="3">
        <v>117</v>
      </c>
      <c r="F1989" s="3" t="s">
        <v>71</v>
      </c>
      <c r="G1989" s="3" t="s">
        <v>760</v>
      </c>
      <c r="H1989" s="3">
        <v>29</v>
      </c>
      <c r="I1989" s="4">
        <v>117</v>
      </c>
      <c r="J1989" s="5">
        <v>521000</v>
      </c>
      <c r="K1989" s="6">
        <f>$E1989+1</f>
        <v>118</v>
      </c>
      <c r="L1989" s="7">
        <f>IF($J1989=0,0,ROUND(MAX($J1989*1.4,1620000*(1.497923^(MIN($E1989,123)-117)))*1,0))</f>
        <v>1620000</v>
      </c>
      <c r="M1989" s="4">
        <f>$E1989+2</f>
        <v>119</v>
      </c>
      <c r="N1989" s="8">
        <f>IF($J1989=0,0,ROUND(MAX($J1989*1.4*1.5,2190000*(1.580994^(MIN($E1989,123)-117)))*1,0))</f>
        <v>2190000</v>
      </c>
      <c r="O1989" s="6">
        <f>$E1989+4</f>
        <v>121</v>
      </c>
      <c r="P1989" s="7">
        <f>IF($J1989=0,0,ROUND(MAX($J1989*1.4*1.5*1.6,3500000*(1.57975^(MIN($E1989,123)-117)))*1,0))</f>
        <v>3500000</v>
      </c>
      <c r="Q1989" s="4">
        <f>$E1989+6</f>
        <v>123</v>
      </c>
      <c r="R1989" s="8">
        <f>IF($J1989=0,0,ROUND(MAX($J1989*1.4*1.5*1.6*1.6,13100000*(1.429962^(MIN($E1989,123)-117)))*1,0))</f>
        <v>13100000</v>
      </c>
      <c r="S1989" s="6">
        <f>$E1989+8</f>
        <v>125</v>
      </c>
      <c r="T1989" s="7">
        <f>IF($J1989=0,0,ROUND(MAX($J1989*1.4*1.5*1.6*1.6*2.2,42600000*(1.576904^(MIN($E1989,123)-117)))*1,0))</f>
        <v>42600000</v>
      </c>
      <c r="U1989" s="4">
        <f>$E1989+11</f>
        <v>128</v>
      </c>
      <c r="V1989" s="8">
        <f>IF($J1989=0,0,ROUND(MAX($J1989*1.4*1.5*1.6*1.6*2.2*2.715,354000000*(1.642074^(MIN($E1989,123)-117)))*1,0))</f>
        <v>354000000</v>
      </c>
      <c r="W1989" s="6">
        <f>$E1989+15</f>
        <v>132</v>
      </c>
      <c r="X1989" s="7">
        <f>IF($J1989=0,0,ROUND(MAX($J1989*1.4*1.5*1.6*1.6*2.2*2.715*2.6,3540000000*(1.579646^(MIN($E1989,123)-117)))*1,0))</f>
        <v>3540000000</v>
      </c>
      <c r="Y1989" s="4">
        <f>$E1989+17</f>
        <v>134</v>
      </c>
      <c r="Z1989" s="8">
        <f>IF($J1989=0,0,ROUND(MAX($J1989*1.4*1.5*1.6*1.6*2.2*2.715*2.6*1.4,6020000000*(1.651178^(MIN($E1989,123)-117)))*1,0))</f>
        <v>6020000000</v>
      </c>
      <c r="AA1989" s="6">
        <f>$E1989+19</f>
        <v>136</v>
      </c>
      <c r="AB1989" s="7">
        <f>IF($J1989=0,0,ROUND(MAX($J1989*1.4*1.5*1.6*1.6*2.2*2.715*2.6*1.4*1.4,8430000000*(1.651435^(MIN($E1989,123)-117)))*1,0))</f>
        <v>8430000000</v>
      </c>
      <c r="AC1989" s="4">
        <f>$E1989+21</f>
        <v>138</v>
      </c>
      <c r="AD1989" s="8">
        <f>IF($J1989=0,0,ROUND(MAX($J1989*1.4*1.5*1.6*1.6*2.2*2.715*2.6*1.4*1.4*1.5,12600000000*(1.652953^(MIN($E1989,123)-117)))*1,0))</f>
        <v>12600000000</v>
      </c>
      <c r="AE1989" s="6">
        <f>$E1989+24</f>
        <v>141</v>
      </c>
      <c r="AF1989" s="7">
        <f>IF($J1989=0,0,ROUND(MAX($J1989*1.4*1.5*1.6*1.6*2.2*2.715*2.6*1.4*1.4*1.5*1.5,18900000000*(1.65331^(MIN($E1989,123)-117)))*1,0))</f>
        <v>18900000000</v>
      </c>
      <c r="AG1989" s="4">
        <f>$E1989+27</f>
        <v>144</v>
      </c>
      <c r="AH1989" s="8">
        <f>IF($J1989=0,0,ROUND(MAX($J1989*1.4*1.5*1.6*1.6*2.2*2.715*2.6*1.4*1.4*1.5*1.5*3.2,60500000000*(1.654288^(MIN($E1989,123)-117)))*1,0))</f>
        <v>60500000000</v>
      </c>
    </row>
    <row r="1990" ht="27.75" customHeight="1" spans="1:34" x14ac:dyDescent="0.25">
      <c r="A1990" s="3">
        <v>2000</v>
      </c>
      <c r="B1990" s="3" t="s">
        <v>1183</v>
      </c>
      <c r="C1990" s="3" t="s">
        <v>1243</v>
      </c>
      <c r="D1990" s="3" t="s">
        <v>102</v>
      </c>
      <c r="E1990" s="3">
        <v>117</v>
      </c>
      <c r="F1990" s="3" t="s">
        <v>385</v>
      </c>
      <c r="G1990" s="3" t="s">
        <v>98</v>
      </c>
      <c r="H1990" s="3">
        <v>28</v>
      </c>
      <c r="I1990" s="4">
        <v>117</v>
      </c>
      <c r="J1990" s="5">
        <v>624000</v>
      </c>
      <c r="K1990" s="6">
        <f>$E1990+1</f>
        <v>118</v>
      </c>
      <c r="L1990" s="7">
        <f>IF($J1990=0,0,ROUND(MAX($J1990*1.4,1620000*(1.497923^(MIN($E1990,123)-117)))*1,0))</f>
        <v>1620000</v>
      </c>
      <c r="M1990" s="4">
        <f>$E1990+2</f>
        <v>119</v>
      </c>
      <c r="N1990" s="8">
        <f>IF($J1990=0,0,ROUND(MAX($J1990*1.4*1.5,2190000*(1.580994^(MIN($E1990,123)-117)))*1,0))</f>
        <v>2190000</v>
      </c>
      <c r="O1990" s="6">
        <f>$E1990+4</f>
        <v>121</v>
      </c>
      <c r="P1990" s="7">
        <f>IF($J1990=0,0,ROUND(MAX($J1990*1.4*1.5*1.6,3500000*(1.57975^(MIN($E1990,123)-117)))*1,0))</f>
        <v>3500000</v>
      </c>
      <c r="Q1990" s="4">
        <f>$E1990+6</f>
        <v>123</v>
      </c>
      <c r="R1990" s="8">
        <f>IF($J1990=0,0,ROUND(MAX($J1990*1.4*1.5*1.6*1.6,13100000*(1.429962^(MIN($E1990,123)-117)))*1,0))</f>
        <v>13100000</v>
      </c>
      <c r="S1990" s="6">
        <f>$E1990+8</f>
        <v>125</v>
      </c>
      <c r="T1990" s="7">
        <f>IF($J1990=0,0,ROUND(MAX($J1990*1.4*1.5*1.6*1.6*2.2,42600000*(1.576904^(MIN($E1990,123)-117)))*1,0))</f>
        <v>42600000</v>
      </c>
      <c r="U1990" s="4">
        <f>$E1990+11</f>
        <v>128</v>
      </c>
      <c r="V1990" s="8">
        <f>IF($J1990=0,0,ROUND(MAX($J1990*1.4*1.5*1.6*1.6*2.2*2.715,354000000*(1.642074^(MIN($E1990,123)-117)))*1,0))</f>
        <v>354000000</v>
      </c>
      <c r="W1990" s="6">
        <f>$E1990+15</f>
        <v>132</v>
      </c>
      <c r="X1990" s="7">
        <f>IF($J1990=0,0,ROUND(MAX($J1990*1.4*1.5*1.6*1.6*2.2*2.715*2.6,3540000000*(1.579646^(MIN($E1990,123)-117)))*1,0))</f>
        <v>3540000000</v>
      </c>
      <c r="Y1990" s="4">
        <f>$E1990+17</f>
        <v>134</v>
      </c>
      <c r="Z1990" s="8">
        <f>IF($J1990=0,0,ROUND(MAX($J1990*1.4*1.5*1.6*1.6*2.2*2.715*2.6*1.4,6020000000*(1.651178^(MIN($E1990,123)-117)))*1,0))</f>
        <v>6020000000</v>
      </c>
      <c r="AA1990" s="6">
        <f>$E1990+19</f>
        <v>136</v>
      </c>
      <c r="AB1990" s="7">
        <f>IF($J1990=0,0,ROUND(MAX($J1990*1.4*1.5*1.6*1.6*2.2*2.715*2.6*1.4*1.4,8430000000*(1.651435^(MIN($E1990,123)-117)))*1,0))</f>
        <v>8430000000</v>
      </c>
      <c r="AC1990" s="4">
        <f>$E1990+21</f>
        <v>138</v>
      </c>
      <c r="AD1990" s="8">
        <f>IF($J1990=0,0,ROUND(MAX($J1990*1.4*1.5*1.6*1.6*2.2*2.715*2.6*1.4*1.4*1.5,12600000000*(1.652953^(MIN($E1990,123)-117)))*1,0))</f>
        <v>12600000000</v>
      </c>
      <c r="AE1990" s="6">
        <f>$E1990+24</f>
        <v>141</v>
      </c>
      <c r="AF1990" s="7">
        <f>IF($J1990=0,0,ROUND(MAX($J1990*1.4*1.5*1.6*1.6*2.2*2.715*2.6*1.4*1.4*1.5*1.5,18900000000*(1.65331^(MIN($E1990,123)-117)))*1,0))</f>
        <v>18900000000</v>
      </c>
      <c r="AG1990" s="4">
        <f>$E1990+27</f>
        <v>144</v>
      </c>
      <c r="AH1990" s="8">
        <f>IF($J1990=0,0,ROUND(MAX($J1990*1.4*1.5*1.6*1.6*2.2*2.715*2.6*1.4*1.4*1.5*1.5*3.2,60500000000*(1.654288^(MIN($E1990,123)-117)))*1,0))</f>
        <v>60500000000</v>
      </c>
    </row>
    <row r="1991" ht="27.75" customHeight="1" spans="1:34" x14ac:dyDescent="0.25">
      <c r="A1991" s="3">
        <v>2001</v>
      </c>
      <c r="B1991" s="3" t="s">
        <v>1266</v>
      </c>
      <c r="C1991" s="3" t="s">
        <v>1243</v>
      </c>
      <c r="D1991" s="3" t="s">
        <v>33</v>
      </c>
      <c r="E1991" s="3">
        <v>117</v>
      </c>
      <c r="F1991" s="3" t="s">
        <v>42</v>
      </c>
      <c r="G1991" s="3" t="s">
        <v>244</v>
      </c>
      <c r="H1991" s="3">
        <v>28</v>
      </c>
      <c r="I1991" s="4">
        <v>117</v>
      </c>
      <c r="J1991" s="5">
        <v>605000</v>
      </c>
      <c r="K1991" s="6">
        <f>$E1991+1</f>
        <v>118</v>
      </c>
      <c r="L1991" s="7">
        <f>IF($J1991=0,0,ROUND(MAX($J1991*1.4,1620000*(1.497923^(MIN($E1991,123)-117)))*1,0))</f>
        <v>1620000</v>
      </c>
      <c r="M1991" s="4">
        <f>$E1991+2</f>
        <v>119</v>
      </c>
      <c r="N1991" s="8">
        <f>IF($J1991=0,0,ROUND(MAX($J1991*1.4*1.5,2190000*(1.580994^(MIN($E1991,123)-117)))*1,0))</f>
        <v>2190000</v>
      </c>
      <c r="O1991" s="6">
        <f>$E1991+4</f>
        <v>121</v>
      </c>
      <c r="P1991" s="7">
        <f>IF($J1991=0,0,ROUND(MAX($J1991*1.4*1.5*1.6,3500000*(1.57975^(MIN($E1991,123)-117)))*1,0))</f>
        <v>3500000</v>
      </c>
      <c r="Q1991" s="4">
        <f>$E1991+6</f>
        <v>123</v>
      </c>
      <c r="R1991" s="8">
        <f>IF($J1991=0,0,ROUND(MAX($J1991*1.4*1.5*1.6*1.6,13100000*(1.429962^(MIN($E1991,123)-117)))*1,0))</f>
        <v>13100000</v>
      </c>
      <c r="S1991" s="6">
        <f>$E1991+8</f>
        <v>125</v>
      </c>
      <c r="T1991" s="7">
        <f>IF($J1991=0,0,ROUND(MAX($J1991*1.4*1.5*1.6*1.6*2.2,42600000*(1.576904^(MIN($E1991,123)-117)))*1,0))</f>
        <v>42600000</v>
      </c>
      <c r="U1991" s="4">
        <f>$E1991+11</f>
        <v>128</v>
      </c>
      <c r="V1991" s="8">
        <f>IF($J1991=0,0,ROUND(MAX($J1991*1.4*1.5*1.6*1.6*2.2*2.715,354000000*(1.642074^(MIN($E1991,123)-117)))*1,0))</f>
        <v>354000000</v>
      </c>
      <c r="W1991" s="6">
        <f>$E1991+15</f>
        <v>132</v>
      </c>
      <c r="X1991" s="7">
        <f>IF($J1991=0,0,ROUND(MAX($J1991*1.4*1.5*1.6*1.6*2.2*2.715*2.6,3540000000*(1.579646^(MIN($E1991,123)-117)))*1,0))</f>
        <v>3540000000</v>
      </c>
      <c r="Y1991" s="4">
        <f>$E1991+17</f>
        <v>134</v>
      </c>
      <c r="Z1991" s="8">
        <f>IF($J1991=0,0,ROUND(MAX($J1991*1.4*1.5*1.6*1.6*2.2*2.715*2.6*1.4,6020000000*(1.651178^(MIN($E1991,123)-117)))*1,0))</f>
        <v>6020000000</v>
      </c>
      <c r="AA1991" s="6">
        <f>$E1991+19</f>
        <v>136</v>
      </c>
      <c r="AB1991" s="7">
        <f>IF($J1991=0,0,ROUND(MAX($J1991*1.4*1.5*1.6*1.6*2.2*2.715*2.6*1.4*1.4,8430000000*(1.651435^(MIN($E1991,123)-117)))*1,0))</f>
        <v>8430000000</v>
      </c>
      <c r="AC1991" s="4">
        <f>$E1991+21</f>
        <v>138</v>
      </c>
      <c r="AD1991" s="8">
        <f>IF($J1991=0,0,ROUND(MAX($J1991*1.4*1.5*1.6*1.6*2.2*2.715*2.6*1.4*1.4*1.5,12600000000*(1.652953^(MIN($E1991,123)-117)))*1,0))</f>
        <v>12600000000</v>
      </c>
      <c r="AE1991" s="6">
        <f>$E1991+24</f>
        <v>141</v>
      </c>
      <c r="AF1991" s="7">
        <f>IF($J1991=0,0,ROUND(MAX($J1991*1.4*1.5*1.6*1.6*2.2*2.715*2.6*1.4*1.4*1.5*1.5,18900000000*(1.65331^(MIN($E1991,123)-117)))*1,0))</f>
        <v>18900000000</v>
      </c>
      <c r="AG1991" s="4">
        <f>$E1991+27</f>
        <v>144</v>
      </c>
      <c r="AH1991" s="8">
        <f>IF($J1991=0,0,ROUND(MAX($J1991*1.4*1.5*1.6*1.6*2.2*2.715*2.6*1.4*1.4*1.5*1.5*3.2,60500000000*(1.654288^(MIN($E1991,123)-117)))*1,0))</f>
        <v>60500000000</v>
      </c>
    </row>
    <row r="1992" ht="27.75" customHeight="1" spans="1:34" x14ac:dyDescent="0.25">
      <c r="A1992" s="3">
        <v>2002</v>
      </c>
      <c r="B1992" s="3" t="s">
        <v>1224</v>
      </c>
      <c r="C1992" s="3" t="s">
        <v>1243</v>
      </c>
      <c r="D1992" s="3" t="s">
        <v>102</v>
      </c>
      <c r="E1992" s="3">
        <v>117</v>
      </c>
      <c r="F1992" s="3" t="s">
        <v>62</v>
      </c>
      <c r="G1992" s="3" t="s">
        <v>86</v>
      </c>
      <c r="H1992" s="3">
        <v>28</v>
      </c>
      <c r="I1992" s="4">
        <v>117</v>
      </c>
      <c r="J1992" s="5">
        <v>439000</v>
      </c>
      <c r="K1992" s="6">
        <f>$E1992+1</f>
        <v>118</v>
      </c>
      <c r="L1992" s="7">
        <f>IF($J1992=0,0,ROUND(MAX($J1992*1.4,1620000*(1.497923^(MIN($E1992,123)-117)))*1,0))</f>
        <v>1620000</v>
      </c>
      <c r="M1992" s="4">
        <f>$E1992+2</f>
        <v>119</v>
      </c>
      <c r="N1992" s="8">
        <f>IF($J1992=0,0,ROUND(MAX($J1992*1.4*1.5,2190000*(1.580994^(MIN($E1992,123)-117)))*1,0))</f>
        <v>2190000</v>
      </c>
      <c r="O1992" s="6">
        <f>$E1992+4</f>
        <v>121</v>
      </c>
      <c r="P1992" s="7">
        <f>IF($J1992=0,0,ROUND(MAX($J1992*1.4*1.5*1.6,3500000*(1.57975^(MIN($E1992,123)-117)))*1,0))</f>
        <v>3500000</v>
      </c>
      <c r="Q1992" s="4">
        <f>$E1992+6</f>
        <v>123</v>
      </c>
      <c r="R1992" s="8">
        <f>IF($J1992=0,0,ROUND(MAX($J1992*1.4*1.5*1.6*1.6,13100000*(1.429962^(MIN($E1992,123)-117)))*1,0))</f>
        <v>13100000</v>
      </c>
      <c r="S1992" s="6">
        <f>$E1992+8</f>
        <v>125</v>
      </c>
      <c r="T1992" s="7">
        <f>IF($J1992=0,0,ROUND(MAX($J1992*1.4*1.5*1.6*1.6*2.2,42600000*(1.576904^(MIN($E1992,123)-117)))*1,0))</f>
        <v>42600000</v>
      </c>
      <c r="U1992" s="4">
        <f>$E1992+11</f>
        <v>128</v>
      </c>
      <c r="V1992" s="8">
        <f>IF($J1992=0,0,ROUND(MAX($J1992*1.4*1.5*1.6*1.6*2.2*2.715,354000000*(1.642074^(MIN($E1992,123)-117)))*1,0))</f>
        <v>354000000</v>
      </c>
      <c r="W1992" s="6">
        <f>$E1992+15</f>
        <v>132</v>
      </c>
      <c r="X1992" s="7">
        <f>IF($J1992=0,0,ROUND(MAX($J1992*1.4*1.5*1.6*1.6*2.2*2.715*2.6,3540000000*(1.579646^(MIN($E1992,123)-117)))*1,0))</f>
        <v>3540000000</v>
      </c>
      <c r="Y1992" s="4">
        <f>$E1992+17</f>
        <v>134</v>
      </c>
      <c r="Z1992" s="8">
        <f>IF($J1992=0,0,ROUND(MAX($J1992*1.4*1.5*1.6*1.6*2.2*2.715*2.6*1.4,6020000000*(1.651178^(MIN($E1992,123)-117)))*1,0))</f>
        <v>6020000000</v>
      </c>
      <c r="AA1992" s="6">
        <f>$E1992+19</f>
        <v>136</v>
      </c>
      <c r="AB1992" s="7">
        <f>IF($J1992=0,0,ROUND(MAX($J1992*1.4*1.5*1.6*1.6*2.2*2.715*2.6*1.4*1.4,8430000000*(1.651435^(MIN($E1992,123)-117)))*1,0))</f>
        <v>8430000000</v>
      </c>
      <c r="AC1992" s="4">
        <f>$E1992+21</f>
        <v>138</v>
      </c>
      <c r="AD1992" s="8">
        <f>IF($J1992=0,0,ROUND(MAX($J1992*1.4*1.5*1.6*1.6*2.2*2.715*2.6*1.4*1.4*1.5,12600000000*(1.652953^(MIN($E1992,123)-117)))*1,0))</f>
        <v>12600000000</v>
      </c>
      <c r="AE1992" s="6">
        <f>$E1992+24</f>
        <v>141</v>
      </c>
      <c r="AF1992" s="7">
        <f>IF($J1992=0,0,ROUND(MAX($J1992*1.4*1.5*1.6*1.6*2.2*2.715*2.6*1.4*1.4*1.5*1.5,18900000000*(1.65331^(MIN($E1992,123)-117)))*1,0))</f>
        <v>18900000000</v>
      </c>
      <c r="AG1992" s="4">
        <f>$E1992+27</f>
        <v>144</v>
      </c>
      <c r="AH1992" s="8">
        <f>IF($J1992=0,0,ROUND(MAX($J1992*1.4*1.5*1.6*1.6*2.2*2.715*2.6*1.4*1.4*1.5*1.5*3.2,60500000000*(1.654288^(MIN($E1992,123)-117)))*1,0))</f>
        <v>60500000000</v>
      </c>
    </row>
    <row r="1993" ht="27.75" customHeight="1" spans="1:34" x14ac:dyDescent="0.25">
      <c r="A1993" s="3">
        <v>2003</v>
      </c>
      <c r="B1993" s="3" t="s">
        <v>287</v>
      </c>
      <c r="C1993" s="3" t="s">
        <v>1243</v>
      </c>
      <c r="D1993" s="3" t="s">
        <v>33</v>
      </c>
      <c r="E1993" s="3">
        <v>117</v>
      </c>
      <c r="F1993" s="3" t="s">
        <v>30</v>
      </c>
      <c r="G1993" s="3" t="s">
        <v>67</v>
      </c>
      <c r="H1993" s="3">
        <v>28</v>
      </c>
      <c r="I1993" s="4">
        <v>117</v>
      </c>
      <c r="J1993" s="5">
        <v>617000</v>
      </c>
      <c r="K1993" s="6">
        <f>$E1993+1</f>
        <v>118</v>
      </c>
      <c r="L1993" s="7">
        <f>IF($J1993=0,0,ROUND(MAX($J1993*1.4,1620000*(1.497923^(MIN($E1993,123)-117)))*1,0))</f>
        <v>1620000</v>
      </c>
      <c r="M1993" s="4">
        <f>$E1993+2</f>
        <v>119</v>
      </c>
      <c r="N1993" s="8">
        <f>IF($J1993=0,0,ROUND(MAX($J1993*1.4*1.5,2190000*(1.580994^(MIN($E1993,123)-117)))*1,0))</f>
        <v>2190000</v>
      </c>
      <c r="O1993" s="6">
        <f>$E1993+4</f>
        <v>121</v>
      </c>
      <c r="P1993" s="7">
        <f>IF($J1993=0,0,ROUND(MAX($J1993*1.4*1.5*1.6,3500000*(1.57975^(MIN($E1993,123)-117)))*1,0))</f>
        <v>3500000</v>
      </c>
      <c r="Q1993" s="4">
        <f>$E1993+6</f>
        <v>123</v>
      </c>
      <c r="R1993" s="8">
        <f>IF($J1993=0,0,ROUND(MAX($J1993*1.4*1.5*1.6*1.6,13100000*(1.429962^(MIN($E1993,123)-117)))*1,0))</f>
        <v>13100000</v>
      </c>
      <c r="S1993" s="6">
        <f>$E1993+8</f>
        <v>125</v>
      </c>
      <c r="T1993" s="7">
        <f>IF($J1993=0,0,ROUND(MAX($J1993*1.4*1.5*1.6*1.6*2.2,42600000*(1.576904^(MIN($E1993,123)-117)))*1,0))</f>
        <v>42600000</v>
      </c>
      <c r="U1993" s="4">
        <f>$E1993+11</f>
        <v>128</v>
      </c>
      <c r="V1993" s="8">
        <f>IF($J1993=0,0,ROUND(MAX($J1993*1.4*1.5*1.6*1.6*2.2*2.715,354000000*(1.642074^(MIN($E1993,123)-117)))*1,0))</f>
        <v>354000000</v>
      </c>
      <c r="W1993" s="6">
        <f>$E1993+15</f>
        <v>132</v>
      </c>
      <c r="X1993" s="7">
        <f>IF($J1993=0,0,ROUND(MAX($J1993*1.4*1.5*1.6*1.6*2.2*2.715*2.6,3540000000*(1.579646^(MIN($E1993,123)-117)))*1,0))</f>
        <v>3540000000</v>
      </c>
      <c r="Y1993" s="4">
        <f>$E1993+17</f>
        <v>134</v>
      </c>
      <c r="Z1993" s="8">
        <f>IF($J1993=0,0,ROUND(MAX($J1993*1.4*1.5*1.6*1.6*2.2*2.715*2.6*1.4,6020000000*(1.651178^(MIN($E1993,123)-117)))*1,0))</f>
        <v>6020000000</v>
      </c>
      <c r="AA1993" s="6">
        <f>$E1993+19</f>
        <v>136</v>
      </c>
      <c r="AB1993" s="7">
        <f>IF($J1993=0,0,ROUND(MAX($J1993*1.4*1.5*1.6*1.6*2.2*2.715*2.6*1.4*1.4,8430000000*(1.651435^(MIN($E1993,123)-117)))*1,0))</f>
        <v>8430000000</v>
      </c>
      <c r="AC1993" s="4">
        <f>$E1993+21</f>
        <v>138</v>
      </c>
      <c r="AD1993" s="8">
        <f>IF($J1993=0,0,ROUND(MAX($J1993*1.4*1.5*1.6*1.6*2.2*2.715*2.6*1.4*1.4*1.5,12600000000*(1.652953^(MIN($E1993,123)-117)))*1,0))</f>
        <v>12600000000</v>
      </c>
      <c r="AE1993" s="6">
        <f>$E1993+24</f>
        <v>141</v>
      </c>
      <c r="AF1993" s="7">
        <f>IF($J1993=0,0,ROUND(MAX($J1993*1.4*1.5*1.6*1.6*2.2*2.715*2.6*1.4*1.4*1.5*1.5,18900000000*(1.65331^(MIN($E1993,123)-117)))*1,0))</f>
        <v>18900000000</v>
      </c>
      <c r="AG1993" s="4">
        <f>$E1993+27</f>
        <v>144</v>
      </c>
      <c r="AH1993" s="8">
        <f>IF($J1993=0,0,ROUND(MAX($J1993*1.4*1.5*1.6*1.6*2.2*2.715*2.6*1.4*1.4*1.5*1.5*3.2,60500000000*(1.654288^(MIN($E1993,123)-117)))*1,0))</f>
        <v>60500000000</v>
      </c>
    </row>
    <row r="1994" ht="27.75" customHeight="1" spans="1:34" x14ac:dyDescent="0.25">
      <c r="A1994" s="3">
        <v>2004</v>
      </c>
      <c r="B1994" s="3" t="s">
        <v>1267</v>
      </c>
      <c r="C1994" s="3" t="s">
        <v>1243</v>
      </c>
      <c r="D1994" s="3" t="s">
        <v>75</v>
      </c>
      <c r="E1994" s="3">
        <v>117</v>
      </c>
      <c r="F1994" s="3" t="s">
        <v>71</v>
      </c>
      <c r="G1994" s="3" t="s">
        <v>956</v>
      </c>
      <c r="H1994" s="3">
        <v>28</v>
      </c>
      <c r="I1994" s="4">
        <v>117</v>
      </c>
      <c r="J1994" s="5">
        <v>412000</v>
      </c>
      <c r="K1994" s="6">
        <f>$E1994+1</f>
        <v>118</v>
      </c>
      <c r="L1994" s="7">
        <f>IF($J1994=0,0,ROUND(MAX($J1994*1.4,1620000*(1.497923^(MIN($E1994,123)-117)))*1,0))</f>
        <v>1620000</v>
      </c>
      <c r="M1994" s="4">
        <f>$E1994+2</f>
        <v>119</v>
      </c>
      <c r="N1994" s="8">
        <f>IF($J1994=0,0,ROUND(MAX($J1994*1.4*1.5,2190000*(1.580994^(MIN($E1994,123)-117)))*1,0))</f>
        <v>2190000</v>
      </c>
      <c r="O1994" s="6">
        <f>$E1994+4</f>
        <v>121</v>
      </c>
      <c r="P1994" s="7">
        <f>IF($J1994=0,0,ROUND(MAX($J1994*1.4*1.5*1.6,3500000*(1.57975^(MIN($E1994,123)-117)))*1,0))</f>
        <v>3500000</v>
      </c>
      <c r="Q1994" s="4">
        <f>$E1994+6</f>
        <v>123</v>
      </c>
      <c r="R1994" s="8">
        <f>IF($J1994=0,0,ROUND(MAX($J1994*1.4*1.5*1.6*1.6,13100000*(1.429962^(MIN($E1994,123)-117)))*1,0))</f>
        <v>13100000</v>
      </c>
      <c r="S1994" s="6">
        <f>$E1994+8</f>
        <v>125</v>
      </c>
      <c r="T1994" s="7">
        <f>IF($J1994=0,0,ROUND(MAX($J1994*1.4*1.5*1.6*1.6*2.2,42600000*(1.576904^(MIN($E1994,123)-117)))*1,0))</f>
        <v>42600000</v>
      </c>
      <c r="U1994" s="4">
        <f>$E1994+11</f>
        <v>128</v>
      </c>
      <c r="V1994" s="8">
        <f>IF($J1994=0,0,ROUND(MAX($J1994*1.4*1.5*1.6*1.6*2.2*2.715,354000000*(1.642074^(MIN($E1994,123)-117)))*1,0))</f>
        <v>354000000</v>
      </c>
      <c r="W1994" s="6">
        <f>$E1994+15</f>
        <v>132</v>
      </c>
      <c r="X1994" s="7">
        <f>IF($J1994=0,0,ROUND(MAX($J1994*1.4*1.5*1.6*1.6*2.2*2.715*2.6,3540000000*(1.579646^(MIN($E1994,123)-117)))*1,0))</f>
        <v>3540000000</v>
      </c>
      <c r="Y1994" s="4">
        <f>$E1994+17</f>
        <v>134</v>
      </c>
      <c r="Z1994" s="8">
        <f>IF($J1994=0,0,ROUND(MAX($J1994*1.4*1.5*1.6*1.6*2.2*2.715*2.6*1.4,6020000000*(1.651178^(MIN($E1994,123)-117)))*1,0))</f>
        <v>6020000000</v>
      </c>
      <c r="AA1994" s="6">
        <f>$E1994+19</f>
        <v>136</v>
      </c>
      <c r="AB1994" s="7">
        <f>IF($J1994=0,0,ROUND(MAX($J1994*1.4*1.5*1.6*1.6*2.2*2.715*2.6*1.4*1.4,8430000000*(1.651435^(MIN($E1994,123)-117)))*1,0))</f>
        <v>8430000000</v>
      </c>
      <c r="AC1994" s="4">
        <f>$E1994+21</f>
        <v>138</v>
      </c>
      <c r="AD1994" s="8">
        <f>IF($J1994=0,0,ROUND(MAX($J1994*1.4*1.5*1.6*1.6*2.2*2.715*2.6*1.4*1.4*1.5,12600000000*(1.652953^(MIN($E1994,123)-117)))*1,0))</f>
        <v>12600000000</v>
      </c>
      <c r="AE1994" s="6">
        <f>$E1994+24</f>
        <v>141</v>
      </c>
      <c r="AF1994" s="7">
        <f>IF($J1994=0,0,ROUND(MAX($J1994*1.4*1.5*1.6*1.6*2.2*2.715*2.6*1.4*1.4*1.5*1.5,18900000000*(1.65331^(MIN($E1994,123)-117)))*1,0))</f>
        <v>18900000000</v>
      </c>
      <c r="AG1994" s="4">
        <f>$E1994+27</f>
        <v>144</v>
      </c>
      <c r="AH1994" s="8">
        <f>IF($J1994=0,0,ROUND(MAX($J1994*1.4*1.5*1.6*1.6*2.2*2.715*2.6*1.4*1.4*1.5*1.5*3.2,60500000000*(1.654288^(MIN($E1994,123)-117)))*1,0))</f>
        <v>60500000000</v>
      </c>
    </row>
    <row r="1995" ht="27.75" customHeight="1" spans="1:34" x14ac:dyDescent="0.25">
      <c r="A1995" s="3">
        <v>2005</v>
      </c>
      <c r="B1995" s="3" t="s">
        <v>945</v>
      </c>
      <c r="C1995" s="3" t="s">
        <v>1243</v>
      </c>
      <c r="D1995" s="3" t="s">
        <v>102</v>
      </c>
      <c r="E1995" s="3">
        <v>117</v>
      </c>
      <c r="F1995" s="3" t="s">
        <v>42</v>
      </c>
      <c r="G1995" s="3" t="s">
        <v>595</v>
      </c>
      <c r="H1995" s="3">
        <v>28</v>
      </c>
      <c r="I1995" s="4">
        <v>117</v>
      </c>
      <c r="J1995" s="5">
        <v>519000</v>
      </c>
      <c r="K1995" s="6">
        <f>$E1995+1</f>
        <v>118</v>
      </c>
      <c r="L1995" s="7">
        <f>IF($J1995=0,0,ROUND(MAX($J1995*1.4,1620000*(1.497923^(MIN($E1995,123)-117)))*1,0))</f>
        <v>1620000</v>
      </c>
      <c r="M1995" s="4">
        <f>$E1995+2</f>
        <v>119</v>
      </c>
      <c r="N1995" s="8">
        <f>IF($J1995=0,0,ROUND(MAX($J1995*1.4*1.5,2190000*(1.580994^(MIN($E1995,123)-117)))*1,0))</f>
        <v>2190000</v>
      </c>
      <c r="O1995" s="6">
        <f>$E1995+4</f>
        <v>121</v>
      </c>
      <c r="P1995" s="7">
        <f>IF($J1995=0,0,ROUND(MAX($J1995*1.4*1.5*1.6,3500000*(1.57975^(MIN($E1995,123)-117)))*1,0))</f>
        <v>3500000</v>
      </c>
      <c r="Q1995" s="4">
        <f>$E1995+6</f>
        <v>123</v>
      </c>
      <c r="R1995" s="8">
        <f>IF($J1995=0,0,ROUND(MAX($J1995*1.4*1.5*1.6*1.6,13100000*(1.429962^(MIN($E1995,123)-117)))*1,0))</f>
        <v>13100000</v>
      </c>
      <c r="S1995" s="6">
        <f>$E1995+8</f>
        <v>125</v>
      </c>
      <c r="T1995" s="7">
        <f>IF($J1995=0,0,ROUND(MAX($J1995*1.4*1.5*1.6*1.6*2.2,42600000*(1.576904^(MIN($E1995,123)-117)))*1,0))</f>
        <v>42600000</v>
      </c>
      <c r="U1995" s="4">
        <f>$E1995+11</f>
        <v>128</v>
      </c>
      <c r="V1995" s="8">
        <f>IF($J1995=0,0,ROUND(MAX($J1995*1.4*1.5*1.6*1.6*2.2*2.715,354000000*(1.642074^(MIN($E1995,123)-117)))*1,0))</f>
        <v>354000000</v>
      </c>
      <c r="W1995" s="6">
        <f>$E1995+15</f>
        <v>132</v>
      </c>
      <c r="X1995" s="7">
        <f>IF($J1995=0,0,ROUND(MAX($J1995*1.4*1.5*1.6*1.6*2.2*2.715*2.6,3540000000*(1.579646^(MIN($E1995,123)-117)))*1,0))</f>
        <v>3540000000</v>
      </c>
      <c r="Y1995" s="4">
        <f>$E1995+17</f>
        <v>134</v>
      </c>
      <c r="Z1995" s="8">
        <f>IF($J1995=0,0,ROUND(MAX($J1995*1.4*1.5*1.6*1.6*2.2*2.715*2.6*1.4,6020000000*(1.651178^(MIN($E1995,123)-117)))*1,0))</f>
        <v>6020000000</v>
      </c>
      <c r="AA1995" s="6">
        <f>$E1995+19</f>
        <v>136</v>
      </c>
      <c r="AB1995" s="7">
        <f>IF($J1995=0,0,ROUND(MAX($J1995*1.4*1.5*1.6*1.6*2.2*2.715*2.6*1.4*1.4,8430000000*(1.651435^(MIN($E1995,123)-117)))*1,0))</f>
        <v>8430000000</v>
      </c>
      <c r="AC1995" s="4">
        <f>$E1995+21</f>
        <v>138</v>
      </c>
      <c r="AD1995" s="8">
        <f>IF($J1995=0,0,ROUND(MAX($J1995*1.4*1.5*1.6*1.6*2.2*2.715*2.6*1.4*1.4*1.5,12600000000*(1.652953^(MIN($E1995,123)-117)))*1,0))</f>
        <v>12600000000</v>
      </c>
      <c r="AE1995" s="6">
        <f>$E1995+24</f>
        <v>141</v>
      </c>
      <c r="AF1995" s="7">
        <f>IF($J1995=0,0,ROUND(MAX($J1995*1.4*1.5*1.6*1.6*2.2*2.715*2.6*1.4*1.4*1.5*1.5,18900000000*(1.65331^(MIN($E1995,123)-117)))*1,0))</f>
        <v>18900000000</v>
      </c>
      <c r="AG1995" s="4">
        <f>$E1995+27</f>
        <v>144</v>
      </c>
      <c r="AH1995" s="8">
        <f>IF($J1995=0,0,ROUND(MAX($J1995*1.4*1.5*1.6*1.6*2.2*2.715*2.6*1.4*1.4*1.5*1.5*3.2,60500000000*(1.654288^(MIN($E1995,123)-117)))*1,0))</f>
        <v>60500000000</v>
      </c>
    </row>
    <row r="1996" ht="27.75" customHeight="1" spans="1:34" x14ac:dyDescent="0.25">
      <c r="A1996" s="3">
        <v>2006</v>
      </c>
      <c r="B1996" s="3" t="s">
        <v>1079</v>
      </c>
      <c r="C1996" s="3" t="s">
        <v>1243</v>
      </c>
      <c r="D1996" s="3" t="s">
        <v>331</v>
      </c>
      <c r="E1996" s="3">
        <v>117</v>
      </c>
      <c r="F1996" s="3" t="s">
        <v>400</v>
      </c>
      <c r="G1996" s="3" t="s">
        <v>1080</v>
      </c>
      <c r="H1996" s="3">
        <v>28</v>
      </c>
      <c r="I1996" s="4">
        <v>117</v>
      </c>
      <c r="J1996" s="5">
        <v>467000</v>
      </c>
      <c r="K1996" s="6">
        <f>$E1996+1</f>
        <v>118</v>
      </c>
      <c r="L1996" s="7">
        <f>IF($J1996=0,0,ROUND(MAX($J1996*1.4,1620000*(1.497923^(MIN($E1996,123)-117)))*1,0))</f>
        <v>1620000</v>
      </c>
      <c r="M1996" s="4">
        <f>$E1996+2</f>
        <v>119</v>
      </c>
      <c r="N1996" s="8">
        <f>IF($J1996=0,0,ROUND(MAX($J1996*1.4*1.5,2190000*(1.580994^(MIN($E1996,123)-117)))*1,0))</f>
        <v>2190000</v>
      </c>
      <c r="O1996" s="6">
        <f>$E1996+4</f>
        <v>121</v>
      </c>
      <c r="P1996" s="7">
        <f>IF($J1996=0,0,ROUND(MAX($J1996*1.4*1.5*1.6,3500000*(1.57975^(MIN($E1996,123)-117)))*1,0))</f>
        <v>3500000</v>
      </c>
      <c r="Q1996" s="4">
        <f>$E1996+6</f>
        <v>123</v>
      </c>
      <c r="R1996" s="8">
        <f>IF($J1996=0,0,ROUND(MAX($J1996*1.4*1.5*1.6*1.6,13100000*(1.429962^(MIN($E1996,123)-117)))*1,0))</f>
        <v>13100000</v>
      </c>
      <c r="S1996" s="6">
        <f>$E1996+8</f>
        <v>125</v>
      </c>
      <c r="T1996" s="7">
        <f>IF($J1996=0,0,ROUND(MAX($J1996*1.4*1.5*1.6*1.6*2.2,42600000*(1.576904^(MIN($E1996,123)-117)))*1,0))</f>
        <v>42600000</v>
      </c>
      <c r="U1996" s="4">
        <f>$E1996+11</f>
        <v>128</v>
      </c>
      <c r="V1996" s="8">
        <f>IF($J1996=0,0,ROUND(MAX($J1996*1.4*1.5*1.6*1.6*2.2*2.715,354000000*(1.642074^(MIN($E1996,123)-117)))*1,0))</f>
        <v>354000000</v>
      </c>
      <c r="W1996" s="6">
        <f>$E1996+15</f>
        <v>132</v>
      </c>
      <c r="X1996" s="7">
        <f>IF($J1996=0,0,ROUND(MAX($J1996*1.4*1.5*1.6*1.6*2.2*2.715*2.6,3540000000*(1.579646^(MIN($E1996,123)-117)))*1,0))</f>
        <v>3540000000</v>
      </c>
      <c r="Y1996" s="4">
        <f>$E1996+17</f>
        <v>134</v>
      </c>
      <c r="Z1996" s="8">
        <f>IF($J1996=0,0,ROUND(MAX($J1996*1.4*1.5*1.6*1.6*2.2*2.715*2.6*1.4,6020000000*(1.651178^(MIN($E1996,123)-117)))*1,0))</f>
        <v>6020000000</v>
      </c>
      <c r="AA1996" s="6">
        <f>$E1996+19</f>
        <v>136</v>
      </c>
      <c r="AB1996" s="7">
        <f>IF($J1996=0,0,ROUND(MAX($J1996*1.4*1.5*1.6*1.6*2.2*2.715*2.6*1.4*1.4,8430000000*(1.651435^(MIN($E1996,123)-117)))*1,0))</f>
        <v>8430000000</v>
      </c>
      <c r="AC1996" s="4">
        <f>$E1996+21</f>
        <v>138</v>
      </c>
      <c r="AD1996" s="8">
        <f>IF($J1996=0,0,ROUND(MAX($J1996*1.4*1.5*1.6*1.6*2.2*2.715*2.6*1.4*1.4*1.5,12600000000*(1.652953^(MIN($E1996,123)-117)))*1,0))</f>
        <v>12600000000</v>
      </c>
      <c r="AE1996" s="6">
        <f>$E1996+24</f>
        <v>141</v>
      </c>
      <c r="AF1996" s="7">
        <f>IF($J1996=0,0,ROUND(MAX($J1996*1.4*1.5*1.6*1.6*2.2*2.715*2.6*1.4*1.4*1.5*1.5,18900000000*(1.65331^(MIN($E1996,123)-117)))*1,0))</f>
        <v>18900000000</v>
      </c>
      <c r="AG1996" s="4">
        <f>$E1996+27</f>
        <v>144</v>
      </c>
      <c r="AH1996" s="8">
        <f>IF($J1996=0,0,ROUND(MAX($J1996*1.4*1.5*1.6*1.6*2.2*2.715*2.6*1.4*1.4*1.5*1.5*3.2,60500000000*(1.654288^(MIN($E1996,123)-117)))*1,0))</f>
        <v>60500000000</v>
      </c>
    </row>
    <row r="1997" ht="27.75" customHeight="1" spans="1:34" x14ac:dyDescent="0.25">
      <c r="A1997" s="3">
        <v>2007</v>
      </c>
      <c r="B1997" s="3" t="s">
        <v>1268</v>
      </c>
      <c r="C1997" s="3" t="s">
        <v>1243</v>
      </c>
      <c r="D1997" s="3" t="s">
        <v>33</v>
      </c>
      <c r="E1997" s="3">
        <v>117</v>
      </c>
      <c r="F1997" s="3" t="s">
        <v>258</v>
      </c>
      <c r="G1997" s="3" t="s">
        <v>339</v>
      </c>
      <c r="H1997" s="3">
        <v>28</v>
      </c>
      <c r="I1997" s="4">
        <v>117</v>
      </c>
      <c r="J1997" s="5">
        <v>609000</v>
      </c>
      <c r="K1997" s="6">
        <f>$E1997+1</f>
        <v>118</v>
      </c>
      <c r="L1997" s="7">
        <f>IF($J1997=0,0,ROUND(MAX($J1997*1.4,1620000*(1.497923^(MIN($E1997,123)-117)))*1,0))</f>
        <v>1620000</v>
      </c>
      <c r="M1997" s="4">
        <f>$E1997+2</f>
        <v>119</v>
      </c>
      <c r="N1997" s="8">
        <f>IF($J1997=0,0,ROUND(MAX($J1997*1.4*1.5,2190000*(1.580994^(MIN($E1997,123)-117)))*1,0))</f>
        <v>2190000</v>
      </c>
      <c r="O1997" s="6">
        <f>$E1997+4</f>
        <v>121</v>
      </c>
      <c r="P1997" s="7">
        <f>IF($J1997=0,0,ROUND(MAX($J1997*1.4*1.5*1.6,3500000*(1.57975^(MIN($E1997,123)-117)))*1,0))</f>
        <v>3500000</v>
      </c>
      <c r="Q1997" s="4">
        <f>$E1997+6</f>
        <v>123</v>
      </c>
      <c r="R1997" s="8">
        <f>IF($J1997=0,0,ROUND(MAX($J1997*1.4*1.5*1.6*1.6,13100000*(1.429962^(MIN($E1997,123)-117)))*1,0))</f>
        <v>13100000</v>
      </c>
      <c r="S1997" s="6">
        <f>$E1997+8</f>
        <v>125</v>
      </c>
      <c r="T1997" s="7">
        <f>IF($J1997=0,0,ROUND(MAX($J1997*1.4*1.5*1.6*1.6*2.2,42600000*(1.576904^(MIN($E1997,123)-117)))*1,0))</f>
        <v>42600000</v>
      </c>
      <c r="U1997" s="4">
        <f>$E1997+11</f>
        <v>128</v>
      </c>
      <c r="V1997" s="8">
        <f>IF($J1997=0,0,ROUND(MAX($J1997*1.4*1.5*1.6*1.6*2.2*2.715,354000000*(1.642074^(MIN($E1997,123)-117)))*1,0))</f>
        <v>354000000</v>
      </c>
      <c r="W1997" s="6">
        <f>$E1997+15</f>
        <v>132</v>
      </c>
      <c r="X1997" s="7">
        <f>IF($J1997=0,0,ROUND(MAX($J1997*1.4*1.5*1.6*1.6*2.2*2.715*2.6,3540000000*(1.579646^(MIN($E1997,123)-117)))*1,0))</f>
        <v>3540000000</v>
      </c>
      <c r="Y1997" s="4">
        <f>$E1997+17</f>
        <v>134</v>
      </c>
      <c r="Z1997" s="8">
        <f>IF($J1997=0,0,ROUND(MAX($J1997*1.4*1.5*1.6*1.6*2.2*2.715*2.6*1.4,6020000000*(1.651178^(MIN($E1997,123)-117)))*1,0))</f>
        <v>6020000000</v>
      </c>
      <c r="AA1997" s="6">
        <f>$E1997+19</f>
        <v>136</v>
      </c>
      <c r="AB1997" s="7">
        <f>IF($J1997=0,0,ROUND(MAX($J1997*1.4*1.5*1.6*1.6*2.2*2.715*2.6*1.4*1.4,8430000000*(1.651435^(MIN($E1997,123)-117)))*1,0))</f>
        <v>8430000000</v>
      </c>
      <c r="AC1997" s="4">
        <f>$E1997+21</f>
        <v>138</v>
      </c>
      <c r="AD1997" s="8">
        <f>IF($J1997=0,0,ROUND(MAX($J1997*1.4*1.5*1.6*1.6*2.2*2.715*2.6*1.4*1.4*1.5,12600000000*(1.652953^(MIN($E1997,123)-117)))*1,0))</f>
        <v>12600000000</v>
      </c>
      <c r="AE1997" s="6">
        <f>$E1997+24</f>
        <v>141</v>
      </c>
      <c r="AF1997" s="7">
        <f>IF($J1997=0,0,ROUND(MAX($J1997*1.4*1.5*1.6*1.6*2.2*2.715*2.6*1.4*1.4*1.5*1.5,18900000000*(1.65331^(MIN($E1997,123)-117)))*1,0))</f>
        <v>18900000000</v>
      </c>
      <c r="AG1997" s="4">
        <f>$E1997+27</f>
        <v>144</v>
      </c>
      <c r="AH1997" s="8">
        <f>IF($J1997=0,0,ROUND(MAX($J1997*1.4*1.5*1.6*1.6*2.2*2.715*2.6*1.4*1.4*1.5*1.5*3.2,60500000000*(1.654288^(MIN($E1997,123)-117)))*1,0))</f>
        <v>60500000000</v>
      </c>
    </row>
    <row r="1998" ht="27.75" customHeight="1" spans="1:34" x14ac:dyDescent="0.25">
      <c r="A1998" s="3">
        <v>2008</v>
      </c>
      <c r="B1998" s="3" t="s">
        <v>1269</v>
      </c>
      <c r="C1998" s="3" t="s">
        <v>1243</v>
      </c>
      <c r="D1998" s="3" t="s">
        <v>40</v>
      </c>
      <c r="E1998" s="3">
        <v>117</v>
      </c>
      <c r="F1998" s="3" t="s">
        <v>258</v>
      </c>
      <c r="G1998" s="3" t="s">
        <v>748</v>
      </c>
      <c r="H1998" s="3">
        <v>28</v>
      </c>
      <c r="I1998" s="4">
        <v>117</v>
      </c>
      <c r="J1998" s="5">
        <v>470000</v>
      </c>
      <c r="K1998" s="6">
        <f>$E1998+1</f>
        <v>118</v>
      </c>
      <c r="L1998" s="7">
        <f>IF($J1998=0,0,ROUND(MAX($J1998*1.4,1620000*(1.497923^(MIN($E1998,123)-117)))*1,0))</f>
        <v>1620000</v>
      </c>
      <c r="M1998" s="4">
        <f>$E1998+2</f>
        <v>119</v>
      </c>
      <c r="N1998" s="8">
        <f>IF($J1998=0,0,ROUND(MAX($J1998*1.4*1.5,2190000*(1.580994^(MIN($E1998,123)-117)))*1,0))</f>
        <v>2190000</v>
      </c>
      <c r="O1998" s="6">
        <f>$E1998+4</f>
        <v>121</v>
      </c>
      <c r="P1998" s="7">
        <f>IF($J1998=0,0,ROUND(MAX($J1998*1.4*1.5*1.6,3500000*(1.57975^(MIN($E1998,123)-117)))*1,0))</f>
        <v>3500000</v>
      </c>
      <c r="Q1998" s="4">
        <f>$E1998+6</f>
        <v>123</v>
      </c>
      <c r="R1998" s="8">
        <f>IF($J1998=0,0,ROUND(MAX($J1998*1.4*1.5*1.6*1.6,13100000*(1.429962^(MIN($E1998,123)-117)))*1,0))</f>
        <v>13100000</v>
      </c>
      <c r="S1998" s="6">
        <f>$E1998+8</f>
        <v>125</v>
      </c>
      <c r="T1998" s="7">
        <f>IF($J1998=0,0,ROUND(MAX($J1998*1.4*1.5*1.6*1.6*2.2,42600000*(1.576904^(MIN($E1998,123)-117)))*1,0))</f>
        <v>42600000</v>
      </c>
      <c r="U1998" s="4">
        <f>$E1998+11</f>
        <v>128</v>
      </c>
      <c r="V1998" s="8">
        <f>IF($J1998=0,0,ROUND(MAX($J1998*1.4*1.5*1.6*1.6*2.2*2.715,354000000*(1.642074^(MIN($E1998,123)-117)))*1,0))</f>
        <v>354000000</v>
      </c>
      <c r="W1998" s="6">
        <f>$E1998+15</f>
        <v>132</v>
      </c>
      <c r="X1998" s="7">
        <f>IF($J1998=0,0,ROUND(MAX($J1998*1.4*1.5*1.6*1.6*2.2*2.715*2.6,3540000000*(1.579646^(MIN($E1998,123)-117)))*1,0))</f>
        <v>3540000000</v>
      </c>
      <c r="Y1998" s="4">
        <f>$E1998+17</f>
        <v>134</v>
      </c>
      <c r="Z1998" s="8">
        <f>IF($J1998=0,0,ROUND(MAX($J1998*1.4*1.5*1.6*1.6*2.2*2.715*2.6*1.4,6020000000*(1.651178^(MIN($E1998,123)-117)))*1,0))</f>
        <v>6020000000</v>
      </c>
      <c r="AA1998" s="6">
        <f>$E1998+19</f>
        <v>136</v>
      </c>
      <c r="AB1998" s="7">
        <f>IF($J1998=0,0,ROUND(MAX($J1998*1.4*1.5*1.6*1.6*2.2*2.715*2.6*1.4*1.4,8430000000*(1.651435^(MIN($E1998,123)-117)))*1,0))</f>
        <v>8430000000</v>
      </c>
      <c r="AC1998" s="4">
        <f>$E1998+21</f>
        <v>138</v>
      </c>
      <c r="AD1998" s="8">
        <f>IF($J1998=0,0,ROUND(MAX($J1998*1.4*1.5*1.6*1.6*2.2*2.715*2.6*1.4*1.4*1.5,12600000000*(1.652953^(MIN($E1998,123)-117)))*1,0))</f>
        <v>12600000000</v>
      </c>
      <c r="AE1998" s="6">
        <f>$E1998+24</f>
        <v>141</v>
      </c>
      <c r="AF1998" s="7">
        <f>IF($J1998=0,0,ROUND(MAX($J1998*1.4*1.5*1.6*1.6*2.2*2.715*2.6*1.4*1.4*1.5*1.5,18900000000*(1.65331^(MIN($E1998,123)-117)))*1,0))</f>
        <v>18900000000</v>
      </c>
      <c r="AG1998" s="4">
        <f>$E1998+27</f>
        <v>144</v>
      </c>
      <c r="AH1998" s="8">
        <f>IF($J1998=0,0,ROUND(MAX($J1998*1.4*1.5*1.6*1.6*2.2*2.715*2.6*1.4*1.4*1.5*1.5*3.2,60500000000*(1.654288^(MIN($E1998,123)-117)))*1,0))</f>
        <v>60500000000</v>
      </c>
    </row>
    <row r="1999" ht="27.75" customHeight="1" spans="1:34" x14ac:dyDescent="0.25">
      <c r="A1999" s="3">
        <v>2009</v>
      </c>
      <c r="B1999" s="3" t="s">
        <v>533</v>
      </c>
      <c r="C1999" s="3" t="s">
        <v>1243</v>
      </c>
      <c r="D1999" s="3" t="s">
        <v>90</v>
      </c>
      <c r="E1999" s="3">
        <v>117</v>
      </c>
      <c r="F1999" s="3" t="s">
        <v>30</v>
      </c>
      <c r="G1999" s="3" t="s">
        <v>1244</v>
      </c>
      <c r="H1999" s="3">
        <v>28</v>
      </c>
      <c r="I1999" s="4">
        <v>117</v>
      </c>
      <c r="J1999" s="5">
        <v>670000</v>
      </c>
      <c r="K1999" s="6">
        <f>$E1999+1</f>
        <v>118</v>
      </c>
      <c r="L1999" s="7">
        <f>IF($J1999=0,0,ROUND(MAX($J1999*1.4,1620000*(1.497923^(MIN($E1999,123)-117)))*1,0))</f>
        <v>1620000</v>
      </c>
      <c r="M1999" s="4">
        <f>$E1999+2</f>
        <v>119</v>
      </c>
      <c r="N1999" s="8">
        <f>IF($J1999=0,0,ROUND(MAX($J1999*1.4*1.5,2190000*(1.580994^(MIN($E1999,123)-117)))*1,0))</f>
        <v>2190000</v>
      </c>
      <c r="O1999" s="6">
        <f>$E1999+4</f>
        <v>121</v>
      </c>
      <c r="P1999" s="7">
        <f>IF($J1999=0,0,ROUND(MAX($J1999*1.4*1.5*1.6,3500000*(1.57975^(MIN($E1999,123)-117)))*1,0))</f>
        <v>3500000</v>
      </c>
      <c r="Q1999" s="4">
        <f>$E1999+6</f>
        <v>123</v>
      </c>
      <c r="R1999" s="8">
        <f>IF($J1999=0,0,ROUND(MAX($J1999*1.4*1.5*1.6*1.6,13100000*(1.429962^(MIN($E1999,123)-117)))*1,0))</f>
        <v>13100000</v>
      </c>
      <c r="S1999" s="6">
        <f>$E1999+8</f>
        <v>125</v>
      </c>
      <c r="T1999" s="7">
        <f>IF($J1999=0,0,ROUND(MAX($J1999*1.4*1.5*1.6*1.6*2.2,42600000*(1.576904^(MIN($E1999,123)-117)))*1,0))</f>
        <v>42600000</v>
      </c>
      <c r="U1999" s="4">
        <f>$E1999+11</f>
        <v>128</v>
      </c>
      <c r="V1999" s="8">
        <f>IF($J1999=0,0,ROUND(MAX($J1999*1.4*1.5*1.6*1.6*2.2*2.715,354000000*(1.642074^(MIN($E1999,123)-117)))*1,0))</f>
        <v>354000000</v>
      </c>
      <c r="W1999" s="6">
        <f>$E1999+15</f>
        <v>132</v>
      </c>
      <c r="X1999" s="7">
        <f>IF($J1999=0,0,ROUND(MAX($J1999*1.4*1.5*1.6*1.6*2.2*2.715*2.6,3540000000*(1.579646^(MIN($E1999,123)-117)))*1,0))</f>
        <v>3540000000</v>
      </c>
      <c r="Y1999" s="4">
        <f>$E1999+17</f>
        <v>134</v>
      </c>
      <c r="Z1999" s="8">
        <f>IF($J1999=0,0,ROUND(MAX($J1999*1.4*1.5*1.6*1.6*2.2*2.715*2.6*1.4,6020000000*(1.651178^(MIN($E1999,123)-117)))*1,0))</f>
        <v>6020000000</v>
      </c>
      <c r="AA1999" s="6">
        <f>$E1999+19</f>
        <v>136</v>
      </c>
      <c r="AB1999" s="7">
        <f>IF($J1999=0,0,ROUND(MAX($J1999*1.4*1.5*1.6*1.6*2.2*2.715*2.6*1.4*1.4,8430000000*(1.651435^(MIN($E1999,123)-117)))*1,0))</f>
        <v>8430000000</v>
      </c>
      <c r="AC1999" s="4">
        <f>$E1999+21</f>
        <v>138</v>
      </c>
      <c r="AD1999" s="8">
        <f>IF($J1999=0,0,ROUND(MAX($J1999*1.4*1.5*1.6*1.6*2.2*2.715*2.6*1.4*1.4*1.5,12600000000*(1.652953^(MIN($E1999,123)-117)))*1,0))</f>
        <v>12600000000</v>
      </c>
      <c r="AE1999" s="6">
        <f>$E1999+24</f>
        <v>141</v>
      </c>
      <c r="AF1999" s="7">
        <f>IF($J1999=0,0,ROUND(MAX($J1999*1.4*1.5*1.6*1.6*2.2*2.715*2.6*1.4*1.4*1.5*1.5,18900000000*(1.65331^(MIN($E1999,123)-117)))*1,0))</f>
        <v>18900000000</v>
      </c>
      <c r="AG1999" s="4">
        <f>$E1999+27</f>
        <v>144</v>
      </c>
      <c r="AH1999" s="8">
        <f>IF($J1999=0,0,ROUND(MAX($J1999*1.4*1.5*1.6*1.6*2.2*2.715*2.6*1.4*1.4*1.5*1.5*3.2,60500000000*(1.654288^(MIN($E1999,123)-117)))*1,0))</f>
        <v>60500000000</v>
      </c>
    </row>
    <row r="2000" ht="27.75" customHeight="1" spans="1:34" x14ac:dyDescent="0.25">
      <c r="A2000" s="3">
        <v>2010</v>
      </c>
      <c r="B2000" s="3" t="s">
        <v>205</v>
      </c>
      <c r="C2000" s="3" t="s">
        <v>1243</v>
      </c>
      <c r="D2000" s="3" t="s">
        <v>79</v>
      </c>
      <c r="E2000" s="3">
        <v>116</v>
      </c>
      <c r="F2000" s="3" t="s">
        <v>59</v>
      </c>
      <c r="G2000" s="3" t="s">
        <v>1244</v>
      </c>
      <c r="H2000" s="3">
        <v>29</v>
      </c>
      <c r="I2000" s="4">
        <v>116</v>
      </c>
      <c r="J2000" s="5">
        <v>456000</v>
      </c>
      <c r="K2000" s="6">
        <f>$E2000+1</f>
        <v>117</v>
      </c>
      <c r="L2000" s="7">
        <f>IF($J2000=0,0,ROUND(MAX($J2000*1.4,1620000*(1.497923^(MIN($E2000,123)-117)))*1,0))</f>
        <v>1081498</v>
      </c>
      <c r="M2000" s="4">
        <f>$E2000+2</f>
        <v>118</v>
      </c>
      <c r="N2000" s="8">
        <f>IF($J2000=0,0,ROUND(MAX($J2000*1.4*1.5,2190000*(1.580994^(MIN($E2000,123)-117)))*1,0))</f>
        <v>1385204</v>
      </c>
      <c r="O2000" s="6">
        <f>$E2000+4</f>
        <v>120</v>
      </c>
      <c r="P2000" s="7">
        <f>IF($J2000=0,0,ROUND(MAX($J2000*1.4*1.5*1.6,3500000*(1.57975^(MIN($E2000,123)-117)))*1,0))</f>
        <v>2215540</v>
      </c>
      <c r="Q2000" s="4">
        <f>$E2000+6</f>
        <v>122</v>
      </c>
      <c r="R2000" s="8">
        <f>IF($J2000=0,0,ROUND(MAX($J2000*1.4*1.5*1.6*1.6,13100000*(1.429962^(MIN($E2000,123)-117)))*1,0))</f>
        <v>9161083</v>
      </c>
      <c r="S2000" s="6">
        <f>$E2000+8</f>
        <v>124</v>
      </c>
      <c r="T2000" s="7">
        <f>IF($J2000=0,0,ROUND(MAX($J2000*1.4*1.5*1.6*1.6*2.2,42600000*(1.576904^(MIN($E2000,123)-117)))*1,0))</f>
        <v>27014961</v>
      </c>
      <c r="U2000" s="4">
        <f>$E2000+11</f>
        <v>127</v>
      </c>
      <c r="V2000" s="8">
        <f>IF($J2000=0,0,ROUND(MAX($J2000*1.4*1.5*1.6*1.6*2.2*2.715,354000000*(1.642074^(MIN($E2000,123)-117)))*1,0))</f>
        <v>215581027</v>
      </c>
      <c r="W2000" s="6">
        <f>$E2000+15</f>
        <v>131</v>
      </c>
      <c r="X2000" s="7">
        <f>IF($J2000=0,0,ROUND(MAX($J2000*1.4*1.5*1.6*1.6*2.2*2.715*2.6,3540000000*(1.579646^(MIN($E2000,123)-117)))*1,0))</f>
        <v>2241008428</v>
      </c>
      <c r="Y2000" s="4">
        <f>$E2000+17</f>
        <v>133</v>
      </c>
      <c r="Z2000" s="8">
        <f>IF($J2000=0,0,ROUND(MAX($J2000*1.4*1.5*1.6*1.6*2.2*2.715*2.6*1.4,6020000000*(1.651178^(MIN($E2000,123)-117)))*1,0))</f>
        <v>3645881910</v>
      </c>
      <c r="AA2000" s="6">
        <f>$E2000+19</f>
        <v>135</v>
      </c>
      <c r="AB2000" s="7">
        <f>IF($J2000=0,0,ROUND(MAX($J2000*1.4*1.5*1.6*1.6*2.2*2.715*2.6*1.4*1.4,8430000000*(1.651435^(MIN($E2000,123)-117)))*1,0))</f>
        <v>5104651409</v>
      </c>
      <c r="AC2000" s="4">
        <f>$E2000+21</f>
        <v>137</v>
      </c>
      <c r="AD2000" s="8">
        <f>IF($J2000=0,0,ROUND(MAX($J2000*1.4*1.5*1.6*1.6*2.2*2.715*2.6*1.4*1.4*1.5,12600000000*(1.652953^(MIN($E2000,123)-117)))*1,0))</f>
        <v>7622721275</v>
      </c>
      <c r="AE2000" s="6">
        <f>$E2000+24</f>
        <v>140</v>
      </c>
      <c r="AF2000" s="7">
        <f>IF($J2000=0,0,ROUND(MAX($J2000*1.4*1.5*1.6*1.6*2.2*2.715*2.6*1.4*1.4*1.5*1.5,18900000000*(1.65331^(MIN($E2000,123)-117)))*1,0))</f>
        <v>11431612946</v>
      </c>
      <c r="AG2000" s="4">
        <f>$E2000+27</f>
        <v>143</v>
      </c>
      <c r="AH2000" s="8">
        <f>IF($J2000=0,0,ROUND(MAX($J2000*1.4*1.5*1.6*1.6*2.2*2.715*2.6*1.4*1.4*1.5*1.5*3.2,60500000000*(1.654288^(MIN($E2000,123)-117)))*1,0))</f>
        <v>36571624772</v>
      </c>
    </row>
    <row r="2001" ht="27.75" customHeight="1" spans="1:34" x14ac:dyDescent="0.25">
      <c r="A2001" s="3">
        <v>2011</v>
      </c>
      <c r="B2001" s="3" t="s">
        <v>592</v>
      </c>
      <c r="C2001" s="3" t="s">
        <v>1243</v>
      </c>
      <c r="D2001" s="3" t="s">
        <v>75</v>
      </c>
      <c r="E2001" s="3">
        <v>116</v>
      </c>
      <c r="F2001" s="3" t="s">
        <v>258</v>
      </c>
      <c r="G2001" s="3" t="s">
        <v>27</v>
      </c>
      <c r="H2001" s="3">
        <v>28</v>
      </c>
      <c r="I2001" s="4">
        <v>116</v>
      </c>
      <c r="J2001" s="5">
        <v>379000</v>
      </c>
      <c r="K2001" s="6">
        <f>$E2001+1</f>
        <v>117</v>
      </c>
      <c r="L2001" s="7">
        <f>IF($J2001=0,0,ROUND(MAX($J2001*1.4,1620000*(1.497923^(MIN($E2001,123)-117)))*1,0))</f>
        <v>1081498</v>
      </c>
      <c r="M2001" s="4">
        <f>$E2001+2</f>
        <v>118</v>
      </c>
      <c r="N2001" s="8">
        <f>IF($J2001=0,0,ROUND(MAX($J2001*1.4*1.5,2190000*(1.580994^(MIN($E2001,123)-117)))*1,0))</f>
        <v>1385204</v>
      </c>
      <c r="O2001" s="6">
        <f>$E2001+4</f>
        <v>120</v>
      </c>
      <c r="P2001" s="7">
        <f>IF($J2001=0,0,ROUND(MAX($J2001*1.4*1.5*1.6,3500000*(1.57975^(MIN($E2001,123)-117)))*1,0))</f>
        <v>2215540</v>
      </c>
      <c r="Q2001" s="4">
        <f>$E2001+6</f>
        <v>122</v>
      </c>
      <c r="R2001" s="8">
        <f>IF($J2001=0,0,ROUND(MAX($J2001*1.4*1.5*1.6*1.6,13100000*(1.429962^(MIN($E2001,123)-117)))*1,0))</f>
        <v>9161083</v>
      </c>
      <c r="S2001" s="6">
        <f>$E2001+8</f>
        <v>124</v>
      </c>
      <c r="T2001" s="7">
        <f>IF($J2001=0,0,ROUND(MAX($J2001*1.4*1.5*1.6*1.6*2.2,42600000*(1.576904^(MIN($E2001,123)-117)))*1,0))</f>
        <v>27014961</v>
      </c>
      <c r="U2001" s="4">
        <f>$E2001+11</f>
        <v>127</v>
      </c>
      <c r="V2001" s="8">
        <f>IF($J2001=0,0,ROUND(MAX($J2001*1.4*1.5*1.6*1.6*2.2*2.715,354000000*(1.642074^(MIN($E2001,123)-117)))*1,0))</f>
        <v>215581027</v>
      </c>
      <c r="W2001" s="6">
        <f>$E2001+15</f>
        <v>131</v>
      </c>
      <c r="X2001" s="7">
        <f>IF($J2001=0,0,ROUND(MAX($J2001*1.4*1.5*1.6*1.6*2.2*2.715*2.6,3540000000*(1.579646^(MIN($E2001,123)-117)))*1,0))</f>
        <v>2241008428</v>
      </c>
      <c r="Y2001" s="4">
        <f>$E2001+17</f>
        <v>133</v>
      </c>
      <c r="Z2001" s="8">
        <f>IF($J2001=0,0,ROUND(MAX($J2001*1.4*1.5*1.6*1.6*2.2*2.715*2.6*1.4,6020000000*(1.651178^(MIN($E2001,123)-117)))*1,0))</f>
        <v>3645881910</v>
      </c>
      <c r="AA2001" s="6">
        <f>$E2001+19</f>
        <v>135</v>
      </c>
      <c r="AB2001" s="7">
        <f>IF($J2001=0,0,ROUND(MAX($J2001*1.4*1.5*1.6*1.6*2.2*2.715*2.6*1.4*1.4,8430000000*(1.651435^(MIN($E2001,123)-117)))*1,0))</f>
        <v>5104651409</v>
      </c>
      <c r="AC2001" s="4">
        <f>$E2001+21</f>
        <v>137</v>
      </c>
      <c r="AD2001" s="8">
        <f>IF($J2001=0,0,ROUND(MAX($J2001*1.4*1.5*1.6*1.6*2.2*2.715*2.6*1.4*1.4*1.5,12600000000*(1.652953^(MIN($E2001,123)-117)))*1,0))</f>
        <v>7622721275</v>
      </c>
      <c r="AE2001" s="6">
        <f>$E2001+24</f>
        <v>140</v>
      </c>
      <c r="AF2001" s="7">
        <f>IF($J2001=0,0,ROUND(MAX($J2001*1.4*1.5*1.6*1.6*2.2*2.715*2.6*1.4*1.4*1.5*1.5,18900000000*(1.65331^(MIN($E2001,123)-117)))*1,0))</f>
        <v>11431612946</v>
      </c>
      <c r="AG2001" s="4">
        <f>$E2001+27</f>
        <v>143</v>
      </c>
      <c r="AH2001" s="8">
        <f>IF($J2001=0,0,ROUND(MAX($J2001*1.4*1.5*1.6*1.6*2.2*2.715*2.6*1.4*1.4*1.5*1.5*3.2,60500000000*(1.654288^(MIN($E2001,123)-117)))*1,0))</f>
        <v>36571624772</v>
      </c>
    </row>
    <row r="2002" ht="27.75" customHeight="1" spans="1:34" x14ac:dyDescent="0.25">
      <c r="A2002" s="3">
        <v>2012</v>
      </c>
      <c r="B2002" s="3" t="s">
        <v>1270</v>
      </c>
      <c r="C2002" s="3" t="s">
        <v>1243</v>
      </c>
      <c r="D2002" s="3" t="s">
        <v>25</v>
      </c>
      <c r="E2002" s="3">
        <v>116</v>
      </c>
      <c r="F2002" s="3" t="s">
        <v>56</v>
      </c>
      <c r="G2002" s="3" t="s">
        <v>801</v>
      </c>
      <c r="H2002" s="3">
        <v>28</v>
      </c>
      <c r="I2002" s="4">
        <v>116</v>
      </c>
      <c r="J2002" s="5">
        <v>394000</v>
      </c>
      <c r="K2002" s="6">
        <f>$E2002+1</f>
        <v>117</v>
      </c>
      <c r="L2002" s="7">
        <f>IF($J2002=0,0,ROUND(MAX($J2002*1.4,1620000*(1.497923^(MIN($E2002,123)-117)))*1,0))</f>
        <v>1081498</v>
      </c>
      <c r="M2002" s="4">
        <f>$E2002+2</f>
        <v>118</v>
      </c>
      <c r="N2002" s="8">
        <f>IF($J2002=0,0,ROUND(MAX($J2002*1.4*1.5,2190000*(1.580994^(MIN($E2002,123)-117)))*1,0))</f>
        <v>1385204</v>
      </c>
      <c r="O2002" s="6">
        <f>$E2002+4</f>
        <v>120</v>
      </c>
      <c r="P2002" s="7">
        <f>IF($J2002=0,0,ROUND(MAX($J2002*1.4*1.5*1.6,3500000*(1.57975^(MIN($E2002,123)-117)))*1,0))</f>
        <v>2215540</v>
      </c>
      <c r="Q2002" s="4">
        <f>$E2002+6</f>
        <v>122</v>
      </c>
      <c r="R2002" s="8">
        <f>IF($J2002=0,0,ROUND(MAX($J2002*1.4*1.5*1.6*1.6,13100000*(1.429962^(MIN($E2002,123)-117)))*1,0))</f>
        <v>9161083</v>
      </c>
      <c r="S2002" s="6">
        <f>$E2002+8</f>
        <v>124</v>
      </c>
      <c r="T2002" s="7">
        <f>IF($J2002=0,0,ROUND(MAX($J2002*1.4*1.5*1.6*1.6*2.2,42600000*(1.576904^(MIN($E2002,123)-117)))*1,0))</f>
        <v>27014961</v>
      </c>
      <c r="U2002" s="4">
        <f>$E2002+11</f>
        <v>127</v>
      </c>
      <c r="V2002" s="8">
        <f>IF($J2002=0,0,ROUND(MAX($J2002*1.4*1.5*1.6*1.6*2.2*2.715,354000000*(1.642074^(MIN($E2002,123)-117)))*1,0))</f>
        <v>215581027</v>
      </c>
      <c r="W2002" s="6">
        <f>$E2002+15</f>
        <v>131</v>
      </c>
      <c r="X2002" s="7">
        <f>IF($J2002=0,0,ROUND(MAX($J2002*1.4*1.5*1.6*1.6*2.2*2.715*2.6,3540000000*(1.579646^(MIN($E2002,123)-117)))*1,0))</f>
        <v>2241008428</v>
      </c>
      <c r="Y2002" s="4">
        <f>$E2002+17</f>
        <v>133</v>
      </c>
      <c r="Z2002" s="8">
        <f>IF($J2002=0,0,ROUND(MAX($J2002*1.4*1.5*1.6*1.6*2.2*2.715*2.6*1.4,6020000000*(1.651178^(MIN($E2002,123)-117)))*1,0))</f>
        <v>3645881910</v>
      </c>
      <c r="AA2002" s="6">
        <f>$E2002+19</f>
        <v>135</v>
      </c>
      <c r="AB2002" s="7">
        <f>IF($J2002=0,0,ROUND(MAX($J2002*1.4*1.5*1.6*1.6*2.2*2.715*2.6*1.4*1.4,8430000000*(1.651435^(MIN($E2002,123)-117)))*1,0))</f>
        <v>5104651409</v>
      </c>
      <c r="AC2002" s="4">
        <f>$E2002+21</f>
        <v>137</v>
      </c>
      <c r="AD2002" s="8">
        <f>IF($J2002=0,0,ROUND(MAX($J2002*1.4*1.5*1.6*1.6*2.2*2.715*2.6*1.4*1.4*1.5,12600000000*(1.652953^(MIN($E2002,123)-117)))*1,0))</f>
        <v>7622721275</v>
      </c>
      <c r="AE2002" s="6">
        <f>$E2002+24</f>
        <v>140</v>
      </c>
      <c r="AF2002" s="7">
        <f>IF($J2002=0,0,ROUND(MAX($J2002*1.4*1.5*1.6*1.6*2.2*2.715*2.6*1.4*1.4*1.5*1.5,18900000000*(1.65331^(MIN($E2002,123)-117)))*1,0))</f>
        <v>11431612946</v>
      </c>
      <c r="AG2002" s="4">
        <f>$E2002+27</f>
        <v>143</v>
      </c>
      <c r="AH2002" s="8">
        <f>IF($J2002=0,0,ROUND(MAX($J2002*1.4*1.5*1.6*1.6*2.2*2.715*2.6*1.4*1.4*1.5*1.5*3.2,60500000000*(1.654288^(MIN($E2002,123)-117)))*1,0))</f>
        <v>36571624772</v>
      </c>
    </row>
    <row r="2003" ht="27.75" customHeight="1" spans="1:34" x14ac:dyDescent="0.25">
      <c r="A2003" s="3">
        <v>2013</v>
      </c>
      <c r="B2003" s="3" t="s">
        <v>1271</v>
      </c>
      <c r="C2003" s="3" t="s">
        <v>1243</v>
      </c>
      <c r="D2003" s="3" t="s">
        <v>75</v>
      </c>
      <c r="E2003" s="3">
        <v>116</v>
      </c>
      <c r="F2003" s="3" t="s">
        <v>71</v>
      </c>
      <c r="G2003" s="3" t="s">
        <v>982</v>
      </c>
      <c r="H2003" s="3">
        <v>28</v>
      </c>
      <c r="I2003" s="4">
        <v>116</v>
      </c>
      <c r="J2003" s="5">
        <v>376000</v>
      </c>
      <c r="K2003" s="6">
        <f>$E2003+1</f>
        <v>117</v>
      </c>
      <c r="L2003" s="7">
        <f>IF($J2003=0,0,ROUND(MAX($J2003*1.4,1620000*(1.497923^(MIN($E2003,123)-117)))*1,0))</f>
        <v>1081498</v>
      </c>
      <c r="M2003" s="4">
        <f>$E2003+2</f>
        <v>118</v>
      </c>
      <c r="N2003" s="8">
        <f>IF($J2003=0,0,ROUND(MAX($J2003*1.4*1.5,2190000*(1.580994^(MIN($E2003,123)-117)))*1,0))</f>
        <v>1385204</v>
      </c>
      <c r="O2003" s="6">
        <f>$E2003+4</f>
        <v>120</v>
      </c>
      <c r="P2003" s="7">
        <f>IF($J2003=0,0,ROUND(MAX($J2003*1.4*1.5*1.6,3500000*(1.57975^(MIN($E2003,123)-117)))*1,0))</f>
        <v>2215540</v>
      </c>
      <c r="Q2003" s="4">
        <f>$E2003+6</f>
        <v>122</v>
      </c>
      <c r="R2003" s="8">
        <f>IF($J2003=0,0,ROUND(MAX($J2003*1.4*1.5*1.6*1.6,13100000*(1.429962^(MIN($E2003,123)-117)))*1,0))</f>
        <v>9161083</v>
      </c>
      <c r="S2003" s="6">
        <f>$E2003+8</f>
        <v>124</v>
      </c>
      <c r="T2003" s="7">
        <f>IF($J2003=0,0,ROUND(MAX($J2003*1.4*1.5*1.6*1.6*2.2,42600000*(1.576904^(MIN($E2003,123)-117)))*1,0))</f>
        <v>27014961</v>
      </c>
      <c r="U2003" s="4">
        <f>$E2003+11</f>
        <v>127</v>
      </c>
      <c r="V2003" s="8">
        <f>IF($J2003=0,0,ROUND(MAX($J2003*1.4*1.5*1.6*1.6*2.2*2.715,354000000*(1.642074^(MIN($E2003,123)-117)))*1,0))</f>
        <v>215581027</v>
      </c>
      <c r="W2003" s="6">
        <f>$E2003+15</f>
        <v>131</v>
      </c>
      <c r="X2003" s="7">
        <f>IF($J2003=0,0,ROUND(MAX($J2003*1.4*1.5*1.6*1.6*2.2*2.715*2.6,3540000000*(1.579646^(MIN($E2003,123)-117)))*1,0))</f>
        <v>2241008428</v>
      </c>
      <c r="Y2003" s="4">
        <f>$E2003+17</f>
        <v>133</v>
      </c>
      <c r="Z2003" s="8">
        <f>IF($J2003=0,0,ROUND(MAX($J2003*1.4*1.5*1.6*1.6*2.2*2.715*2.6*1.4,6020000000*(1.651178^(MIN($E2003,123)-117)))*1,0))</f>
        <v>3645881910</v>
      </c>
      <c r="AA2003" s="6">
        <f>$E2003+19</f>
        <v>135</v>
      </c>
      <c r="AB2003" s="7">
        <f>IF($J2003=0,0,ROUND(MAX($J2003*1.4*1.5*1.6*1.6*2.2*2.715*2.6*1.4*1.4,8430000000*(1.651435^(MIN($E2003,123)-117)))*1,0))</f>
        <v>5104651409</v>
      </c>
      <c r="AC2003" s="4">
        <f>$E2003+21</f>
        <v>137</v>
      </c>
      <c r="AD2003" s="8">
        <f>IF($J2003=0,0,ROUND(MAX($J2003*1.4*1.5*1.6*1.6*2.2*2.715*2.6*1.4*1.4*1.5,12600000000*(1.652953^(MIN($E2003,123)-117)))*1,0))</f>
        <v>7622721275</v>
      </c>
      <c r="AE2003" s="6">
        <f>$E2003+24</f>
        <v>140</v>
      </c>
      <c r="AF2003" s="7">
        <f>IF($J2003=0,0,ROUND(MAX($J2003*1.4*1.5*1.6*1.6*2.2*2.715*2.6*1.4*1.4*1.5*1.5,18900000000*(1.65331^(MIN($E2003,123)-117)))*1,0))</f>
        <v>11431612946</v>
      </c>
      <c r="AG2003" s="4">
        <f>$E2003+27</f>
        <v>143</v>
      </c>
      <c r="AH2003" s="8">
        <f>IF($J2003=0,0,ROUND(MAX($J2003*1.4*1.5*1.6*1.6*2.2*2.715*2.6*1.4*1.4*1.5*1.5*3.2,60500000000*(1.654288^(MIN($E2003,123)-117)))*1,0))</f>
        <v>36571624772</v>
      </c>
    </row>
    <row r="2004" ht="27.75" customHeight="1" spans="1:34" x14ac:dyDescent="0.25">
      <c r="A2004" s="3">
        <v>2014</v>
      </c>
      <c r="B2004" s="3" t="s">
        <v>1272</v>
      </c>
      <c r="C2004" s="3" t="s">
        <v>1243</v>
      </c>
      <c r="D2004" s="3" t="s">
        <v>25</v>
      </c>
      <c r="E2004" s="3">
        <v>116</v>
      </c>
      <c r="F2004" s="3" t="s">
        <v>26</v>
      </c>
      <c r="G2004" s="3" t="s">
        <v>1024</v>
      </c>
      <c r="H2004" s="3">
        <v>28</v>
      </c>
      <c r="I2004" s="4">
        <v>116</v>
      </c>
      <c r="J2004" s="5">
        <v>739000</v>
      </c>
      <c r="K2004" s="6">
        <f>$E2004+1</f>
        <v>117</v>
      </c>
      <c r="L2004" s="7">
        <f>IF($J2004=0,0,ROUND(MAX($J2004*1.4,1620000*(1.497923^(MIN($E2004,123)-117)))*1,0))</f>
        <v>1081498</v>
      </c>
      <c r="M2004" s="4">
        <f>$E2004+2</f>
        <v>118</v>
      </c>
      <c r="N2004" s="8">
        <f>IF($J2004=0,0,ROUND(MAX($J2004*1.4*1.5,2190000*(1.580994^(MIN($E2004,123)-117)))*1,0))</f>
        <v>1551900</v>
      </c>
      <c r="O2004" s="6">
        <f>$E2004+4</f>
        <v>120</v>
      </c>
      <c r="P2004" s="7">
        <f>IF($J2004=0,0,ROUND(MAX($J2004*1.4*1.5*1.6,3500000*(1.57975^(MIN($E2004,123)-117)))*1,0))</f>
        <v>2483040</v>
      </c>
      <c r="Q2004" s="4">
        <f>$E2004+6</f>
        <v>122</v>
      </c>
      <c r="R2004" s="8">
        <f>IF($J2004=0,0,ROUND(MAX($J2004*1.4*1.5*1.6*1.6,13100000*(1.429962^(MIN($E2004,123)-117)))*1,0))</f>
        <v>9161083</v>
      </c>
      <c r="S2004" s="6">
        <f>$E2004+8</f>
        <v>124</v>
      </c>
      <c r="T2004" s="7">
        <f>IF($J2004=0,0,ROUND(MAX($J2004*1.4*1.5*1.6*1.6*2.2,42600000*(1.576904^(MIN($E2004,123)-117)))*1,0))</f>
        <v>27014961</v>
      </c>
      <c r="U2004" s="4">
        <f>$E2004+11</f>
        <v>127</v>
      </c>
      <c r="V2004" s="8">
        <f>IF($J2004=0,0,ROUND(MAX($J2004*1.4*1.5*1.6*1.6*2.2*2.715,354000000*(1.642074^(MIN($E2004,123)-117)))*1,0))</f>
        <v>215581027</v>
      </c>
      <c r="W2004" s="6">
        <f>$E2004+15</f>
        <v>131</v>
      </c>
      <c r="X2004" s="7">
        <f>IF($J2004=0,0,ROUND(MAX($J2004*1.4*1.5*1.6*1.6*2.2*2.715*2.6,3540000000*(1.579646^(MIN($E2004,123)-117)))*1,0))</f>
        <v>2241008428</v>
      </c>
      <c r="Y2004" s="4">
        <f>$E2004+17</f>
        <v>133</v>
      </c>
      <c r="Z2004" s="8">
        <f>IF($J2004=0,0,ROUND(MAX($J2004*1.4*1.5*1.6*1.6*2.2*2.715*2.6*1.4,6020000000*(1.651178^(MIN($E2004,123)-117)))*1,0))</f>
        <v>3645881910</v>
      </c>
      <c r="AA2004" s="6">
        <f>$E2004+19</f>
        <v>135</v>
      </c>
      <c r="AB2004" s="7">
        <f>IF($J2004=0,0,ROUND(MAX($J2004*1.4*1.5*1.6*1.6*2.2*2.715*2.6*1.4*1.4,8430000000*(1.651435^(MIN($E2004,123)-117)))*1,0))</f>
        <v>5104651409</v>
      </c>
      <c r="AC2004" s="4">
        <f>$E2004+21</f>
        <v>137</v>
      </c>
      <c r="AD2004" s="8">
        <f>IF($J2004=0,0,ROUND(MAX($J2004*1.4*1.5*1.6*1.6*2.2*2.715*2.6*1.4*1.4*1.5,12600000000*(1.652953^(MIN($E2004,123)-117)))*1,0))</f>
        <v>7622721275</v>
      </c>
      <c r="AE2004" s="6">
        <f>$E2004+24</f>
        <v>140</v>
      </c>
      <c r="AF2004" s="7">
        <f>IF($J2004=0,0,ROUND(MAX($J2004*1.4*1.5*1.6*1.6*2.2*2.715*2.6*1.4*1.4*1.5*1.5,18900000000*(1.65331^(MIN($E2004,123)-117)))*1,0))</f>
        <v>11431612946</v>
      </c>
      <c r="AG2004" s="4">
        <f>$E2004+27</f>
        <v>143</v>
      </c>
      <c r="AH2004" s="8">
        <f>IF($J2004=0,0,ROUND(MAX($J2004*1.4*1.5*1.6*1.6*2.2*2.715*2.6*1.4*1.4*1.5*1.5*3.2,60500000000*(1.654288^(MIN($E2004,123)-117)))*1,0))</f>
        <v>36571624772</v>
      </c>
    </row>
    <row r="2005" ht="27.75" customHeight="1" spans="1:34" x14ac:dyDescent="0.25">
      <c r="A2005" s="3">
        <v>2015</v>
      </c>
      <c r="B2005" s="3" t="s">
        <v>654</v>
      </c>
      <c r="C2005" s="3" t="s">
        <v>1243</v>
      </c>
      <c r="D2005" s="3" t="s">
        <v>25</v>
      </c>
      <c r="E2005" s="3">
        <v>116</v>
      </c>
      <c r="F2005" s="3" t="s">
        <v>42</v>
      </c>
      <c r="G2005" s="3" t="s">
        <v>1244</v>
      </c>
      <c r="H2005" s="3">
        <v>28</v>
      </c>
      <c r="I2005" s="4">
        <v>116</v>
      </c>
      <c r="J2005" s="5">
        <v>438000</v>
      </c>
      <c r="K2005" s="6">
        <f>$E2005+1</f>
        <v>117</v>
      </c>
      <c r="L2005" s="7">
        <f>IF($J2005=0,0,ROUND(MAX($J2005*1.4,1620000*(1.497923^(MIN($E2005,123)-117)))*1,0))</f>
        <v>1081498</v>
      </c>
      <c r="M2005" s="4">
        <f>$E2005+2</f>
        <v>118</v>
      </c>
      <c r="N2005" s="8">
        <f>IF($J2005=0,0,ROUND(MAX($J2005*1.4*1.5,2190000*(1.580994^(MIN($E2005,123)-117)))*1,0))</f>
        <v>1385204</v>
      </c>
      <c r="O2005" s="6">
        <f>$E2005+4</f>
        <v>120</v>
      </c>
      <c r="P2005" s="7">
        <f>IF($J2005=0,0,ROUND(MAX($J2005*1.4*1.5*1.6,3500000*(1.57975^(MIN($E2005,123)-117)))*1,0))</f>
        <v>2215540</v>
      </c>
      <c r="Q2005" s="4">
        <f>$E2005+6</f>
        <v>122</v>
      </c>
      <c r="R2005" s="8">
        <f>IF($J2005=0,0,ROUND(MAX($J2005*1.4*1.5*1.6*1.6,13100000*(1.429962^(MIN($E2005,123)-117)))*1,0))</f>
        <v>9161083</v>
      </c>
      <c r="S2005" s="6">
        <f>$E2005+8</f>
        <v>124</v>
      </c>
      <c r="T2005" s="7">
        <f>IF($J2005=0,0,ROUND(MAX($J2005*1.4*1.5*1.6*1.6*2.2,42600000*(1.576904^(MIN($E2005,123)-117)))*1,0))</f>
        <v>27014961</v>
      </c>
      <c r="U2005" s="4">
        <f>$E2005+11</f>
        <v>127</v>
      </c>
      <c r="V2005" s="8">
        <f>IF($J2005=0,0,ROUND(MAX($J2005*1.4*1.5*1.6*1.6*2.2*2.715,354000000*(1.642074^(MIN($E2005,123)-117)))*1,0))</f>
        <v>215581027</v>
      </c>
      <c r="W2005" s="6">
        <f>$E2005+15</f>
        <v>131</v>
      </c>
      <c r="X2005" s="7">
        <f>IF($J2005=0,0,ROUND(MAX($J2005*1.4*1.5*1.6*1.6*2.2*2.715*2.6,3540000000*(1.579646^(MIN($E2005,123)-117)))*1,0))</f>
        <v>2241008428</v>
      </c>
      <c r="Y2005" s="4">
        <f>$E2005+17</f>
        <v>133</v>
      </c>
      <c r="Z2005" s="8">
        <f>IF($J2005=0,0,ROUND(MAX($J2005*1.4*1.5*1.6*1.6*2.2*2.715*2.6*1.4,6020000000*(1.651178^(MIN($E2005,123)-117)))*1,0))</f>
        <v>3645881910</v>
      </c>
      <c r="AA2005" s="6">
        <f>$E2005+19</f>
        <v>135</v>
      </c>
      <c r="AB2005" s="7">
        <f>IF($J2005=0,0,ROUND(MAX($J2005*1.4*1.5*1.6*1.6*2.2*2.715*2.6*1.4*1.4,8430000000*(1.651435^(MIN($E2005,123)-117)))*1,0))</f>
        <v>5104651409</v>
      </c>
      <c r="AC2005" s="4">
        <f>$E2005+21</f>
        <v>137</v>
      </c>
      <c r="AD2005" s="8">
        <f>IF($J2005=0,0,ROUND(MAX($J2005*1.4*1.5*1.6*1.6*2.2*2.715*2.6*1.4*1.4*1.5,12600000000*(1.652953^(MIN($E2005,123)-117)))*1,0))</f>
        <v>7622721275</v>
      </c>
      <c r="AE2005" s="6">
        <f>$E2005+24</f>
        <v>140</v>
      </c>
      <c r="AF2005" s="7">
        <f>IF($J2005=0,0,ROUND(MAX($J2005*1.4*1.5*1.6*1.6*2.2*2.715*2.6*1.4*1.4*1.5*1.5,18900000000*(1.65331^(MIN($E2005,123)-117)))*1,0))</f>
        <v>11431612946</v>
      </c>
      <c r="AG2005" s="4">
        <f>$E2005+27</f>
        <v>143</v>
      </c>
      <c r="AH2005" s="8">
        <f>IF($J2005=0,0,ROUND(MAX($J2005*1.4*1.5*1.6*1.6*2.2*2.715*2.6*1.4*1.4*1.5*1.5*3.2,60500000000*(1.654288^(MIN($E2005,123)-117)))*1,0))</f>
        <v>36571624772</v>
      </c>
    </row>
    <row r="2006" ht="27.75" customHeight="1" spans="1:34" x14ac:dyDescent="0.25">
      <c r="A2006" s="3">
        <v>2016</v>
      </c>
      <c r="B2006" s="3" t="s">
        <v>642</v>
      </c>
      <c r="C2006" s="3" t="s">
        <v>1243</v>
      </c>
      <c r="D2006" s="3" t="s">
        <v>25</v>
      </c>
      <c r="E2006" s="3">
        <v>116</v>
      </c>
      <c r="F2006" s="3" t="s">
        <v>643</v>
      </c>
      <c r="G2006" s="3" t="s">
        <v>1244</v>
      </c>
      <c r="H2006" s="3">
        <v>28</v>
      </c>
      <c r="I2006" s="4">
        <v>116</v>
      </c>
      <c r="J2006" s="5">
        <v>393000</v>
      </c>
      <c r="K2006" s="6">
        <f>$E2006+1</f>
        <v>117</v>
      </c>
      <c r="L2006" s="7">
        <f>IF($J2006=0,0,ROUND(MAX($J2006*1.4,1620000*(1.497923^(MIN($E2006,123)-117)))*1,0))</f>
        <v>1081498</v>
      </c>
      <c r="M2006" s="4">
        <f>$E2006+2</f>
        <v>118</v>
      </c>
      <c r="N2006" s="8">
        <f>IF($J2006=0,0,ROUND(MAX($J2006*1.4*1.5,2190000*(1.580994^(MIN($E2006,123)-117)))*1,0))</f>
        <v>1385204</v>
      </c>
      <c r="O2006" s="6">
        <f>$E2006+4</f>
        <v>120</v>
      </c>
      <c r="P2006" s="7">
        <f>IF($J2006=0,0,ROUND(MAX($J2006*1.4*1.5*1.6,3500000*(1.57975^(MIN($E2006,123)-117)))*1,0))</f>
        <v>2215540</v>
      </c>
      <c r="Q2006" s="4">
        <f>$E2006+6</f>
        <v>122</v>
      </c>
      <c r="R2006" s="8">
        <f>IF($J2006=0,0,ROUND(MAX($J2006*1.4*1.5*1.6*1.6,13100000*(1.429962^(MIN($E2006,123)-117)))*1,0))</f>
        <v>9161083</v>
      </c>
      <c r="S2006" s="6">
        <f>$E2006+8</f>
        <v>124</v>
      </c>
      <c r="T2006" s="7">
        <f>IF($J2006=0,0,ROUND(MAX($J2006*1.4*1.5*1.6*1.6*2.2,42600000*(1.576904^(MIN($E2006,123)-117)))*1,0))</f>
        <v>27014961</v>
      </c>
      <c r="U2006" s="4">
        <f>$E2006+11</f>
        <v>127</v>
      </c>
      <c r="V2006" s="8">
        <f>IF($J2006=0,0,ROUND(MAX($J2006*1.4*1.5*1.6*1.6*2.2*2.715,354000000*(1.642074^(MIN($E2006,123)-117)))*1,0))</f>
        <v>215581027</v>
      </c>
      <c r="W2006" s="6">
        <f>$E2006+15</f>
        <v>131</v>
      </c>
      <c r="X2006" s="7">
        <f>IF($J2006=0,0,ROUND(MAX($J2006*1.4*1.5*1.6*1.6*2.2*2.715*2.6,3540000000*(1.579646^(MIN($E2006,123)-117)))*1,0))</f>
        <v>2241008428</v>
      </c>
      <c r="Y2006" s="4">
        <f>$E2006+17</f>
        <v>133</v>
      </c>
      <c r="Z2006" s="8">
        <f>IF($J2006=0,0,ROUND(MAX($J2006*1.4*1.5*1.6*1.6*2.2*2.715*2.6*1.4,6020000000*(1.651178^(MIN($E2006,123)-117)))*1,0))</f>
        <v>3645881910</v>
      </c>
      <c r="AA2006" s="6">
        <f>$E2006+19</f>
        <v>135</v>
      </c>
      <c r="AB2006" s="7">
        <f>IF($J2006=0,0,ROUND(MAX($J2006*1.4*1.5*1.6*1.6*2.2*2.715*2.6*1.4*1.4,8430000000*(1.651435^(MIN($E2006,123)-117)))*1,0))</f>
        <v>5104651409</v>
      </c>
      <c r="AC2006" s="4">
        <f>$E2006+21</f>
        <v>137</v>
      </c>
      <c r="AD2006" s="8">
        <f>IF($J2006=0,0,ROUND(MAX($J2006*1.4*1.5*1.6*1.6*2.2*2.715*2.6*1.4*1.4*1.5,12600000000*(1.652953^(MIN($E2006,123)-117)))*1,0))</f>
        <v>7622721275</v>
      </c>
      <c r="AE2006" s="6">
        <f>$E2006+24</f>
        <v>140</v>
      </c>
      <c r="AF2006" s="7">
        <f>IF($J2006=0,0,ROUND(MAX($J2006*1.4*1.5*1.6*1.6*2.2*2.715*2.6*1.4*1.4*1.5*1.5,18900000000*(1.65331^(MIN($E2006,123)-117)))*1,0))</f>
        <v>11431612946</v>
      </c>
      <c r="AG2006" s="4">
        <f>$E2006+27</f>
        <v>143</v>
      </c>
      <c r="AH2006" s="8">
        <f>IF($J2006=0,0,ROUND(MAX($J2006*1.4*1.5*1.6*1.6*2.2*2.715*2.6*1.4*1.4*1.5*1.5*3.2,60500000000*(1.654288^(MIN($E2006,123)-117)))*1,0))</f>
        <v>36571624772</v>
      </c>
    </row>
    <row r="2007" ht="27.75" customHeight="1" spans="1:34" x14ac:dyDescent="0.25">
      <c r="A2007" s="3">
        <v>2017</v>
      </c>
      <c r="B2007" s="3" t="s">
        <v>597</v>
      </c>
      <c r="C2007" s="3" t="s">
        <v>1243</v>
      </c>
      <c r="D2007" s="3" t="s">
        <v>93</v>
      </c>
      <c r="E2007" s="3">
        <v>116</v>
      </c>
      <c r="F2007" s="3" t="s">
        <v>56</v>
      </c>
      <c r="G2007" s="3" t="s">
        <v>1244</v>
      </c>
      <c r="H2007" s="3">
        <v>28</v>
      </c>
      <c r="I2007" s="4">
        <v>116</v>
      </c>
      <c r="J2007" s="5">
        <v>410000</v>
      </c>
      <c r="K2007" s="6">
        <f>$E2007+1</f>
        <v>117</v>
      </c>
      <c r="L2007" s="7">
        <f>IF($J2007=0,0,ROUND(MAX($J2007*1.4,1620000*(1.497923^(MIN($E2007,123)-117)))*1,0))</f>
        <v>1081498</v>
      </c>
      <c r="M2007" s="4">
        <f>$E2007+2</f>
        <v>118</v>
      </c>
      <c r="N2007" s="8">
        <f>IF($J2007=0,0,ROUND(MAX($J2007*1.4*1.5,2190000*(1.580994^(MIN($E2007,123)-117)))*1,0))</f>
        <v>1385204</v>
      </c>
      <c r="O2007" s="6">
        <f>$E2007+4</f>
        <v>120</v>
      </c>
      <c r="P2007" s="7">
        <f>IF($J2007=0,0,ROUND(MAX($J2007*1.4*1.5*1.6,3500000*(1.57975^(MIN($E2007,123)-117)))*1,0))</f>
        <v>2215540</v>
      </c>
      <c r="Q2007" s="4">
        <f>$E2007+6</f>
        <v>122</v>
      </c>
      <c r="R2007" s="8">
        <f>IF($J2007=0,0,ROUND(MAX($J2007*1.4*1.5*1.6*1.6,13100000*(1.429962^(MIN($E2007,123)-117)))*1,0))</f>
        <v>9161083</v>
      </c>
      <c r="S2007" s="6">
        <f>$E2007+8</f>
        <v>124</v>
      </c>
      <c r="T2007" s="7">
        <f>IF($J2007=0,0,ROUND(MAX($J2007*1.4*1.5*1.6*1.6*2.2,42600000*(1.576904^(MIN($E2007,123)-117)))*1,0))</f>
        <v>27014961</v>
      </c>
      <c r="U2007" s="4">
        <f>$E2007+11</f>
        <v>127</v>
      </c>
      <c r="V2007" s="8">
        <f>IF($J2007=0,0,ROUND(MAX($J2007*1.4*1.5*1.6*1.6*2.2*2.715,354000000*(1.642074^(MIN($E2007,123)-117)))*1,0))</f>
        <v>215581027</v>
      </c>
      <c r="W2007" s="6">
        <f>$E2007+15</f>
        <v>131</v>
      </c>
      <c r="X2007" s="7">
        <f>IF($J2007=0,0,ROUND(MAX($J2007*1.4*1.5*1.6*1.6*2.2*2.715*2.6,3540000000*(1.579646^(MIN($E2007,123)-117)))*1,0))</f>
        <v>2241008428</v>
      </c>
      <c r="Y2007" s="4">
        <f>$E2007+17</f>
        <v>133</v>
      </c>
      <c r="Z2007" s="8">
        <f>IF($J2007=0,0,ROUND(MAX($J2007*1.4*1.5*1.6*1.6*2.2*2.715*2.6*1.4,6020000000*(1.651178^(MIN($E2007,123)-117)))*1,0))</f>
        <v>3645881910</v>
      </c>
      <c r="AA2007" s="6">
        <f>$E2007+19</f>
        <v>135</v>
      </c>
      <c r="AB2007" s="7">
        <f>IF($J2007=0,0,ROUND(MAX($J2007*1.4*1.5*1.6*1.6*2.2*2.715*2.6*1.4*1.4,8430000000*(1.651435^(MIN($E2007,123)-117)))*1,0))</f>
        <v>5104651409</v>
      </c>
      <c r="AC2007" s="4">
        <f>$E2007+21</f>
        <v>137</v>
      </c>
      <c r="AD2007" s="8">
        <f>IF($J2007=0,0,ROUND(MAX($J2007*1.4*1.5*1.6*1.6*2.2*2.715*2.6*1.4*1.4*1.5,12600000000*(1.652953^(MIN($E2007,123)-117)))*1,0))</f>
        <v>7622721275</v>
      </c>
      <c r="AE2007" s="6">
        <f>$E2007+24</f>
        <v>140</v>
      </c>
      <c r="AF2007" s="7">
        <f>IF($J2007=0,0,ROUND(MAX($J2007*1.4*1.5*1.6*1.6*2.2*2.715*2.6*1.4*1.4*1.5*1.5,18900000000*(1.65331^(MIN($E2007,123)-117)))*1,0))</f>
        <v>11431612946</v>
      </c>
      <c r="AG2007" s="4">
        <f>$E2007+27</f>
        <v>143</v>
      </c>
      <c r="AH2007" s="8">
        <f>IF($J2007=0,0,ROUND(MAX($J2007*1.4*1.5*1.6*1.6*2.2*2.715*2.6*1.4*1.4*1.5*1.5*3.2,60500000000*(1.654288^(MIN($E2007,123)-117)))*1,0))</f>
        <v>36571624772</v>
      </c>
    </row>
    <row r="2008" ht="27.75" customHeight="1" spans="1:34" x14ac:dyDescent="0.25">
      <c r="A2008" s="3">
        <v>2018</v>
      </c>
      <c r="B2008" s="3" t="s">
        <v>1273</v>
      </c>
      <c r="C2008" s="3" t="s">
        <v>1243</v>
      </c>
      <c r="D2008" s="3" t="s">
        <v>102</v>
      </c>
      <c r="E2008" s="3">
        <v>115</v>
      </c>
      <c r="F2008" s="3" t="s">
        <v>54</v>
      </c>
      <c r="G2008" s="3" t="s">
        <v>104</v>
      </c>
      <c r="H2008" s="3">
        <v>28</v>
      </c>
      <c r="I2008" s="4">
        <v>115</v>
      </c>
      <c r="J2008" s="5">
        <v>310000</v>
      </c>
      <c r="K2008" s="6">
        <f>$E2008+1</f>
        <v>116</v>
      </c>
      <c r="L2008" s="7">
        <f>IF($J2008=0,0,ROUND(MAX($J2008*1.4,1620000*(1.497923^(MIN($E2008,123)-117)))*1,0))</f>
        <v>721998</v>
      </c>
      <c r="M2008" s="4">
        <f>$E2008+2</f>
        <v>117</v>
      </c>
      <c r="N2008" s="8">
        <f>IF($J2008=0,0,ROUND(MAX($J2008*1.4*1.5,2190000*(1.580994^(MIN($E2008,123)-117)))*1,0))</f>
        <v>876161</v>
      </c>
      <c r="O2008" s="6">
        <f>$E2008+4</f>
        <v>119</v>
      </c>
      <c r="P2008" s="7">
        <f>IF($J2008=0,0,ROUND(MAX($J2008*1.4*1.5*1.6,3500000*(1.57975^(MIN($E2008,123)-117)))*1,0))</f>
        <v>1402463</v>
      </c>
      <c r="Q2008" s="4">
        <f>$E2008+6</f>
        <v>121</v>
      </c>
      <c r="R2008" s="8">
        <f>IF($J2008=0,0,ROUND(MAX($J2008*1.4*1.5*1.6*1.6,13100000*(1.429962^(MIN($E2008,123)-117)))*1,0))</f>
        <v>6406522</v>
      </c>
      <c r="S2008" s="6">
        <f>$E2008+8</f>
        <v>123</v>
      </c>
      <c r="T2008" s="7">
        <f>IF($J2008=0,0,ROUND(MAX($J2008*1.4*1.5*1.6*1.6*2.2,42600000*(1.576904^(MIN($E2008,123)-117)))*1,0))</f>
        <v>17131646</v>
      </c>
      <c r="U2008" s="4">
        <f>$E2008+11</f>
        <v>126</v>
      </c>
      <c r="V2008" s="8">
        <f>IF($J2008=0,0,ROUND(MAX($J2008*1.4*1.5*1.6*1.6*2.2*2.715,354000000*(1.642074^(MIN($E2008,123)-117)))*1,0))</f>
        <v>131285817</v>
      </c>
      <c r="W2008" s="6">
        <f>$E2008+15</f>
        <v>130</v>
      </c>
      <c r="X2008" s="7">
        <f>IF($J2008=0,0,ROUND(MAX($J2008*1.4*1.5*1.6*1.6*2.2*2.715*2.6,3540000000*(1.579646^(MIN($E2008,123)-117)))*1,0))</f>
        <v>1418677620</v>
      </c>
      <c r="Y2008" s="4">
        <f>$E2008+17</f>
        <v>132</v>
      </c>
      <c r="Z2008" s="8">
        <f>IF($J2008=0,0,ROUND(MAX($J2008*1.4*1.5*1.6*1.6*2.2*2.715*2.6*1.4,6020000000*(1.651178^(MIN($E2008,123)-117)))*1,0))</f>
        <v>2208048987</v>
      </c>
      <c r="AA2008" s="6">
        <f>$E2008+19</f>
        <v>134</v>
      </c>
      <c r="AB2008" s="7">
        <f>IF($J2008=0,0,ROUND(MAX($J2008*1.4*1.5*1.6*1.6*2.2*2.715*2.6*1.4*1.4,8430000000*(1.651435^(MIN($E2008,123)-117)))*1,0))</f>
        <v>3091039859</v>
      </c>
      <c r="AC2008" s="4">
        <f>$E2008+21</f>
        <v>136</v>
      </c>
      <c r="AD2008" s="8">
        <f>IF($J2008=0,0,ROUND(MAX($J2008*1.4*1.5*1.6*1.6*2.2*2.715*2.6*1.4*1.4*1.5,12600000000*(1.652953^(MIN($E2008,123)-117)))*1,0))</f>
        <v>4611577749</v>
      </c>
      <c r="AE2008" s="6">
        <f>$E2008+24</f>
        <v>139</v>
      </c>
      <c r="AF2008" s="7">
        <f>IF($J2008=0,0,ROUND(MAX($J2008*1.4*1.5*1.6*1.6*2.2*2.715*2.6*1.4*1.4*1.5*1.5,18900000000*(1.65331^(MIN($E2008,123)-117)))*1,0))</f>
        <v>6914379606</v>
      </c>
      <c r="AG2008" s="4">
        <f>$E2008+27</f>
        <v>142</v>
      </c>
      <c r="AH2008" s="8">
        <f>IF($J2008=0,0,ROUND(MAX($J2008*1.4*1.5*1.6*1.6*2.2*2.715*2.6*1.4*1.4*1.5*1.5*3.2,60500000000*(1.654288^(MIN($E2008,123)-117)))*1,0))</f>
        <v>22107169230</v>
      </c>
    </row>
    <row r="2009" ht="27.75" customHeight="1" spans="1:34" x14ac:dyDescent="0.25">
      <c r="A2009" s="3">
        <v>2019</v>
      </c>
      <c r="B2009" s="3" t="s">
        <v>1274</v>
      </c>
      <c r="C2009" s="3" t="s">
        <v>1243</v>
      </c>
      <c r="D2009" s="3" t="s">
        <v>102</v>
      </c>
      <c r="E2009" s="3">
        <v>115</v>
      </c>
      <c r="F2009" s="3" t="s">
        <v>313</v>
      </c>
      <c r="G2009" s="3" t="s">
        <v>171</v>
      </c>
      <c r="H2009" s="3">
        <v>27</v>
      </c>
      <c r="I2009" s="4">
        <v>115</v>
      </c>
      <c r="J2009" s="5">
        <v>247000</v>
      </c>
      <c r="K2009" s="6">
        <f>$E2009+1</f>
        <v>116</v>
      </c>
      <c r="L2009" s="7">
        <f>IF($J2009=0,0,ROUND(MAX($J2009*1.4,1620000*(1.497923^(MIN($E2009,123)-117)))*1,0))</f>
        <v>721998</v>
      </c>
      <c r="M2009" s="4">
        <f>$E2009+2</f>
        <v>117</v>
      </c>
      <c r="N2009" s="8">
        <f>IF($J2009=0,0,ROUND(MAX($J2009*1.4*1.5,2190000*(1.580994^(MIN($E2009,123)-117)))*1,0))</f>
        <v>876161</v>
      </c>
      <c r="O2009" s="6">
        <f>$E2009+4</f>
        <v>119</v>
      </c>
      <c r="P2009" s="7">
        <f>IF($J2009=0,0,ROUND(MAX($J2009*1.4*1.5*1.6,3500000*(1.57975^(MIN($E2009,123)-117)))*1,0))</f>
        <v>1402463</v>
      </c>
      <c r="Q2009" s="4">
        <f>$E2009+6</f>
        <v>121</v>
      </c>
      <c r="R2009" s="8">
        <f>IF($J2009=0,0,ROUND(MAX($J2009*1.4*1.5*1.6*1.6,13100000*(1.429962^(MIN($E2009,123)-117)))*1,0))</f>
        <v>6406522</v>
      </c>
      <c r="S2009" s="6">
        <f>$E2009+8</f>
        <v>123</v>
      </c>
      <c r="T2009" s="7">
        <f>IF($J2009=0,0,ROUND(MAX($J2009*1.4*1.5*1.6*1.6*2.2,42600000*(1.576904^(MIN($E2009,123)-117)))*1,0))</f>
        <v>17131646</v>
      </c>
      <c r="U2009" s="4">
        <f>$E2009+11</f>
        <v>126</v>
      </c>
      <c r="V2009" s="8">
        <f>IF($J2009=0,0,ROUND(MAX($J2009*1.4*1.5*1.6*1.6*2.2*2.715,354000000*(1.642074^(MIN($E2009,123)-117)))*1,0))</f>
        <v>131285817</v>
      </c>
      <c r="W2009" s="6">
        <f>$E2009+15</f>
        <v>130</v>
      </c>
      <c r="X2009" s="7">
        <f>IF($J2009=0,0,ROUND(MAX($J2009*1.4*1.5*1.6*1.6*2.2*2.715*2.6,3540000000*(1.579646^(MIN($E2009,123)-117)))*1,0))</f>
        <v>1418677620</v>
      </c>
      <c r="Y2009" s="4">
        <f>$E2009+17</f>
        <v>132</v>
      </c>
      <c r="Z2009" s="8">
        <f>IF($J2009=0,0,ROUND(MAX($J2009*1.4*1.5*1.6*1.6*2.2*2.715*2.6*1.4,6020000000*(1.651178^(MIN($E2009,123)-117)))*1,0))</f>
        <v>2208048987</v>
      </c>
      <c r="AA2009" s="6">
        <f>$E2009+19</f>
        <v>134</v>
      </c>
      <c r="AB2009" s="7">
        <f>IF($J2009=0,0,ROUND(MAX($J2009*1.4*1.5*1.6*1.6*2.2*2.715*2.6*1.4*1.4,8430000000*(1.651435^(MIN($E2009,123)-117)))*1,0))</f>
        <v>3091039859</v>
      </c>
      <c r="AC2009" s="4">
        <f>$E2009+21</f>
        <v>136</v>
      </c>
      <c r="AD2009" s="8">
        <f>IF($J2009=0,0,ROUND(MAX($J2009*1.4*1.5*1.6*1.6*2.2*2.715*2.6*1.4*1.4*1.5,12600000000*(1.652953^(MIN($E2009,123)-117)))*1,0))</f>
        <v>4611577749</v>
      </c>
      <c r="AE2009" s="6">
        <f>$E2009+24</f>
        <v>139</v>
      </c>
      <c r="AF2009" s="7">
        <f>IF($J2009=0,0,ROUND(MAX($J2009*1.4*1.5*1.6*1.6*2.2*2.715*2.6*1.4*1.4*1.5*1.5,18900000000*(1.65331^(MIN($E2009,123)-117)))*1,0))</f>
        <v>6914379606</v>
      </c>
      <c r="AG2009" s="4">
        <f>$E2009+27</f>
        <v>142</v>
      </c>
      <c r="AH2009" s="8">
        <f>IF($J2009=0,0,ROUND(MAX($J2009*1.4*1.5*1.6*1.6*2.2*2.715*2.6*1.4*1.4*1.5*1.5*3.2,60500000000*(1.654288^(MIN($E2009,123)-117)))*1,0))</f>
        <v>22107169230</v>
      </c>
    </row>
    <row r="2010" ht="27.75" customHeight="1" spans="1:34" x14ac:dyDescent="0.25">
      <c r="A2010" s="3">
        <v>2020</v>
      </c>
      <c r="B2010" s="3" t="s">
        <v>1275</v>
      </c>
      <c r="C2010" s="3" t="s">
        <v>1243</v>
      </c>
      <c r="D2010" s="3" t="s">
        <v>45</v>
      </c>
      <c r="E2010" s="3">
        <v>115</v>
      </c>
      <c r="F2010" s="3" t="s">
        <v>313</v>
      </c>
      <c r="G2010" s="3" t="s">
        <v>930</v>
      </c>
      <c r="H2010" s="3">
        <v>27</v>
      </c>
      <c r="I2010" s="4">
        <v>115</v>
      </c>
      <c r="J2010" s="5">
        <v>541000</v>
      </c>
      <c r="K2010" s="6">
        <f>$E2010+1</f>
        <v>116</v>
      </c>
      <c r="L2010" s="7">
        <f>IF($J2010=0,0,ROUND(MAX($J2010*1.4,1620000*(1.497923^(MIN($E2010,123)-117)))*1,0))</f>
        <v>757400</v>
      </c>
      <c r="M2010" s="4">
        <f>$E2010+2</f>
        <v>117</v>
      </c>
      <c r="N2010" s="8">
        <f>IF($J2010=0,0,ROUND(MAX($J2010*1.4*1.5,2190000*(1.580994^(MIN($E2010,123)-117)))*1,0))</f>
        <v>1136100</v>
      </c>
      <c r="O2010" s="6">
        <f>$E2010+4</f>
        <v>119</v>
      </c>
      <c r="P2010" s="7">
        <f>IF($J2010=0,0,ROUND(MAX($J2010*1.4*1.5*1.6,3500000*(1.57975^(MIN($E2010,123)-117)))*1,0))</f>
        <v>1817760</v>
      </c>
      <c r="Q2010" s="4">
        <f>$E2010+6</f>
        <v>121</v>
      </c>
      <c r="R2010" s="8">
        <f>IF($J2010=0,0,ROUND(MAX($J2010*1.4*1.5*1.6*1.6,13100000*(1.429962^(MIN($E2010,123)-117)))*1,0))</f>
        <v>6406522</v>
      </c>
      <c r="S2010" s="6">
        <f>$E2010+8</f>
        <v>123</v>
      </c>
      <c r="T2010" s="7">
        <f>IF($J2010=0,0,ROUND(MAX($J2010*1.4*1.5*1.6*1.6*2.2,42600000*(1.576904^(MIN($E2010,123)-117)))*1,0))</f>
        <v>17131646</v>
      </c>
      <c r="U2010" s="4">
        <f>$E2010+11</f>
        <v>126</v>
      </c>
      <c r="V2010" s="8">
        <f>IF($J2010=0,0,ROUND(MAX($J2010*1.4*1.5*1.6*1.6*2.2*2.715,354000000*(1.642074^(MIN($E2010,123)-117)))*1,0))</f>
        <v>131285817</v>
      </c>
      <c r="W2010" s="6">
        <f>$E2010+15</f>
        <v>130</v>
      </c>
      <c r="X2010" s="7">
        <f>IF($J2010=0,0,ROUND(MAX($J2010*1.4*1.5*1.6*1.6*2.2*2.715*2.6,3540000000*(1.579646^(MIN($E2010,123)-117)))*1,0))</f>
        <v>1418677620</v>
      </c>
      <c r="Y2010" s="4">
        <f>$E2010+17</f>
        <v>132</v>
      </c>
      <c r="Z2010" s="8">
        <f>IF($J2010=0,0,ROUND(MAX($J2010*1.4*1.5*1.6*1.6*2.2*2.715*2.6*1.4,6020000000*(1.651178^(MIN($E2010,123)-117)))*1,0))</f>
        <v>2208048987</v>
      </c>
      <c r="AA2010" s="6">
        <f>$E2010+19</f>
        <v>134</v>
      </c>
      <c r="AB2010" s="7">
        <f>IF($J2010=0,0,ROUND(MAX($J2010*1.4*1.5*1.6*1.6*2.2*2.715*2.6*1.4*1.4,8430000000*(1.651435^(MIN($E2010,123)-117)))*1,0))</f>
        <v>3091039859</v>
      </c>
      <c r="AC2010" s="4">
        <f>$E2010+21</f>
        <v>136</v>
      </c>
      <c r="AD2010" s="8">
        <f>IF($J2010=0,0,ROUND(MAX($J2010*1.4*1.5*1.6*1.6*2.2*2.715*2.6*1.4*1.4*1.5,12600000000*(1.652953^(MIN($E2010,123)-117)))*1,0))</f>
        <v>4611577749</v>
      </c>
      <c r="AE2010" s="6">
        <f>$E2010+24</f>
        <v>139</v>
      </c>
      <c r="AF2010" s="7">
        <f>IF($J2010=0,0,ROUND(MAX($J2010*1.4*1.5*1.6*1.6*2.2*2.715*2.6*1.4*1.4*1.5*1.5,18900000000*(1.65331^(MIN($E2010,123)-117)))*1,0))</f>
        <v>6914379606</v>
      </c>
      <c r="AG2010" s="4">
        <f>$E2010+27</f>
        <v>142</v>
      </c>
      <c r="AH2010" s="8">
        <f>IF($J2010=0,0,ROUND(MAX($J2010*1.4*1.5*1.6*1.6*2.2*2.715*2.6*1.4*1.4*1.5*1.5*3.2,60500000000*(1.654288^(MIN($E2010,123)-117)))*1,0))</f>
        <v>22107169230</v>
      </c>
    </row>
    <row r="2011" ht="28" customHeight="1" spans="1:34" x14ac:dyDescent="0.25">
      <c r="A2011">
        <v>2021</v>
      </c>
      <c r="B2011" t="s">
        <v>41</v>
      </c>
      <c r="C2011" s="10" t="s">
        <v>1276</v>
      </c>
      <c r="D2011" t="s">
        <v>29</v>
      </c>
      <c r="E2011">
        <v>118</v>
      </c>
      <c r="F2011" t="s">
        <v>42</v>
      </c>
      <c r="G2011" t="s">
        <v>1277</v>
      </c>
      <c r="H2011">
        <v>31</v>
      </c>
      <c r="I2011" s="11">
        <f>$E2011+0</f>
        <v>118</v>
      </c>
      <c r="J2011" s="12">
        <v>11400000</v>
      </c>
      <c r="K2011" s="13">
        <f>$E2011+1</f>
        <v>119</v>
      </c>
      <c r="L2011" s="14">
        <f>IF($J2011=0,0,ROUND(MAX($J2011*1.4,1620000*(1.497923^(MIN($E2011,123)-117)))*1,0))</f>
        <v>15960000</v>
      </c>
      <c r="M2011" s="11">
        <f>$E2011+2</f>
        <v>120</v>
      </c>
      <c r="N2011" s="12">
        <f>IF($J2011=0,0,ROUND(MAX($J2011*1.4*1.5,2190000*(1.580994^(MIN($E2011,123)-117)))*1,0))</f>
        <v>23940000</v>
      </c>
      <c r="O2011" s="13">
        <f>$E2011+4</f>
        <v>122</v>
      </c>
      <c r="P2011" s="14">
        <f>IF($J2011=0,0,ROUND(MAX($J2011*1.4*1.5*1.6,3500000*(1.57975^(MIN($E2011,123)-117)))*1,0))</f>
        <v>38304000</v>
      </c>
      <c r="Q2011" s="11">
        <f>$E2011+6</f>
        <v>124</v>
      </c>
      <c r="R2011" s="12">
        <f>IF($J2011=0,0,ROUND(MAX($J2011*1.4*1.5*1.6*1.6,13100000*(1.429962^(MIN($E2011,123)-117)))*1,0))</f>
        <v>61286400</v>
      </c>
      <c r="S2011" s="13">
        <f>$E2011+8</f>
        <v>126</v>
      </c>
      <c r="T2011" s="14">
        <f>IF($J2011=0,0,ROUND(MAX($J2011*1.4*1.5*1.6*1.6*2.2,42600000*(1.576904^(MIN($E2011,123)-117)))*1,0))</f>
        <v>134830080</v>
      </c>
      <c r="U2011" s="11">
        <f>$E2011+11</f>
        <v>129</v>
      </c>
      <c r="V2011" s="12">
        <f>IF($J2011=0,0,ROUND(MAX($J2011*1.4*1.5*1.6*1.6*2.2*2.715,354000000*(1.642074^(MIN($E2011,123)-117)))*1,0))</f>
        <v>581294196</v>
      </c>
      <c r="W2011" s="13">
        <f>$E2011+15</f>
        <v>133</v>
      </c>
      <c r="X2011" s="14">
        <f>IF($J2011=0,0,ROUND(MAX($J2011*1.4*1.5*1.6*1.6*2.2*2.715*2.6,3540000000*(1.579646^(MIN($E2011,123)-117)))*1,0))</f>
        <v>5591946840</v>
      </c>
      <c r="Y2011" s="11">
        <f>$E2011+17</f>
        <v>135</v>
      </c>
      <c r="Z2011" s="12">
        <f>IF($J2011=0,0,ROUND(MAX($J2011*1.4*1.5*1.6*1.6*2.2*2.715*2.6*1.4,6020000000*(1.651178^(MIN($E2011,123)-117)))*1,0))</f>
        <v>9940091560</v>
      </c>
      <c r="AA2011" s="13">
        <f>$E2011+19</f>
        <v>137</v>
      </c>
      <c r="AB2011" s="14">
        <f>IF($J2011=0,0,ROUND(MAX($J2011*1.4*1.5*1.6*1.6*2.2*2.715*2.6*1.4*1.4,8430000000*(1.651435^(MIN($E2011,123)-117)))*1,0))</f>
        <v>13921597050</v>
      </c>
      <c r="AC2011" s="11">
        <f>$E2011+21</f>
        <v>139</v>
      </c>
      <c r="AD2011" s="12">
        <f>IF($J2011=0,0,ROUND(MAX($J2011*1.4*1.5*1.6*1.6*2.2*2.715*2.6*1.4*1.4*1.5,12600000000*(1.652953^(MIN($E2011,123)-117)))*1,0))</f>
        <v>20827207800</v>
      </c>
      <c r="AE2011" s="13">
        <f>$E2011+24</f>
        <v>142</v>
      </c>
      <c r="AF2011" s="14">
        <f>IF($J2011=0,0,ROUND(MAX($J2011*1.4*1.5*1.6*1.6*2.2*2.715*2.6*1.4*1.4*1.5*1.5,18900000000*(1.65331^(MIN($E2011,123)-117)))*1,0))</f>
        <v>31247559000</v>
      </c>
      <c r="AG2011" s="11">
        <f>$E2011+27</f>
        <v>145</v>
      </c>
      <c r="AH2011" s="12">
        <f>IF($J2011=0,0,ROUND(MAX($J2011*1.4*1.5*1.6*1.6*2.2*2.715*2.6*1.4*1.4*1.5*1.5*3.2,60500000000*(1.654288^(MIN($E2011,123)-117)))*1,0))</f>
        <v>100084424000</v>
      </c>
    </row>
    <row r="2012" ht="28" customHeight="1" spans="1:34" x14ac:dyDescent="0.25">
      <c r="A2012">
        <v>2022</v>
      </c>
      <c r="B2012" t="s">
        <v>50</v>
      </c>
      <c r="C2012" s="10" t="s">
        <v>1276</v>
      </c>
      <c r="D2012" t="s">
        <v>40</v>
      </c>
      <c r="E2012">
        <v>118</v>
      </c>
      <c r="F2012" t="s">
        <v>42</v>
      </c>
      <c r="G2012" t="s">
        <v>1277</v>
      </c>
      <c r="H2012">
        <v>30</v>
      </c>
      <c r="I2012" s="11">
        <f>$E2012+0</f>
        <v>118</v>
      </c>
      <c r="J2012" s="12">
        <v>75400000</v>
      </c>
      <c r="K2012" s="13">
        <f>$E2012+1</f>
        <v>119</v>
      </c>
      <c r="L2012" s="14">
        <f>IF($J2012=0,0,ROUND(MAX($J2012*1.4,1620000*(1.497923^(MIN($E2012,123)-117)))*1,0))</f>
        <v>105560000</v>
      </c>
      <c r="M2012" s="11">
        <f>$E2012+2</f>
        <v>120</v>
      </c>
      <c r="N2012" s="12">
        <f>IF($J2012=0,0,ROUND(MAX($J2012*1.4*1.5,2190000*(1.580994^(MIN($E2012,123)-117)))*1,0))</f>
        <v>158340000</v>
      </c>
      <c r="O2012" s="13">
        <f>$E2012+4</f>
        <v>122</v>
      </c>
      <c r="P2012" s="14">
        <f>IF($J2012=0,0,ROUND(MAX($J2012*1.4*1.5*1.6,3500000*(1.57975^(MIN($E2012,123)-117)))*1,0))</f>
        <v>253344000</v>
      </c>
      <c r="Q2012" s="11">
        <f>$E2012+6</f>
        <v>124</v>
      </c>
      <c r="R2012" s="12">
        <f>IF($J2012=0,0,ROUND(MAX($J2012*1.4*1.5*1.6*1.6,13100000*(1.429962^(MIN($E2012,123)-117)))*1,0))</f>
        <v>405350400</v>
      </c>
      <c r="S2012" s="13">
        <f>$E2012+8</f>
        <v>126</v>
      </c>
      <c r="T2012" s="14">
        <f>IF($J2012=0,0,ROUND(MAX($J2012*1.4*1.5*1.6*1.6*2.2,42600000*(1.576904^(MIN($E2012,123)-117)))*1,0))</f>
        <v>891770880</v>
      </c>
      <c r="U2012" s="11">
        <f>$E2012+11</f>
        <v>129</v>
      </c>
      <c r="V2012" s="12">
        <f>IF($J2012=0,0,ROUND(MAX($J2012*1.4*1.5*1.6*1.6*2.2*2.715,354000000*(1.642074^(MIN($E2012,123)-117)))*1,0))</f>
        <v>2421157939</v>
      </c>
      <c r="W2012" s="13">
        <f>$E2012+15</f>
        <v>133</v>
      </c>
      <c r="X2012" s="14">
        <f>IF($J2012=0,0,ROUND(MAX($J2012*1.4*1.5*1.6*1.6*2.2*2.715*2.6,3540000000*(1.579646^(MIN($E2012,123)-117)))*1,0))</f>
        <v>6295010642</v>
      </c>
      <c r="Y2012" s="11">
        <f>$E2012+17</f>
        <v>135</v>
      </c>
      <c r="Z2012" s="12">
        <f>IF($J2012=0,0,ROUND(MAX($J2012*1.4*1.5*1.6*1.6*2.2*2.715*2.6*1.4,6020000000*(1.651178^(MIN($E2012,123)-117)))*1,0))</f>
        <v>9940091560</v>
      </c>
      <c r="AA2012" s="13">
        <f>$E2012+19</f>
        <v>137</v>
      </c>
      <c r="AB2012" s="14">
        <f>IF($J2012=0,0,ROUND(MAX($J2012*1.4*1.5*1.6*1.6*2.2*2.715*2.6*1.4*1.4,8430000000*(1.651435^(MIN($E2012,123)-117)))*1,0))</f>
        <v>13921597050</v>
      </c>
      <c r="AC2012" s="11">
        <f>$E2012+21</f>
        <v>139</v>
      </c>
      <c r="AD2012" s="12">
        <f>IF($J2012=0,0,ROUND(MAX($J2012*1.4*1.5*1.6*1.6*2.2*2.715*2.6*1.4*1.4*1.5,12600000000*(1.652953^(MIN($E2012,123)-117)))*1,0))</f>
        <v>20827207800</v>
      </c>
      <c r="AE2012" s="13">
        <f>$E2012+24</f>
        <v>142</v>
      </c>
      <c r="AF2012" s="14">
        <f>IF($J2012=0,0,ROUND(MAX($J2012*1.4*1.5*1.6*1.6*2.2*2.715*2.6*1.4*1.4*1.5*1.5,18900000000*(1.65331^(MIN($E2012,123)-117)))*1,0))</f>
        <v>31247559000</v>
      </c>
      <c r="AG2012" s="11">
        <f>$E2012+27</f>
        <v>145</v>
      </c>
      <c r="AH2012" s="12">
        <f>IF($J2012=0,0,ROUND(MAX($J2012*1.4*1.5*1.6*1.6*2.2*2.715*2.6*1.4*1.4*1.5*1.5*3.2,60500000000*(1.654288^(MIN($E2012,123)-117)))*1,0))</f>
        <v>100084424000</v>
      </c>
    </row>
    <row r="2013" ht="28" customHeight="1" spans="1:34" x14ac:dyDescent="0.25">
      <c r="A2013">
        <v>2023</v>
      </c>
      <c r="B2013" t="s">
        <v>52</v>
      </c>
      <c r="C2013" s="10" t="s">
        <v>1276</v>
      </c>
      <c r="D2013" t="s">
        <v>40</v>
      </c>
      <c r="E2013">
        <v>117</v>
      </c>
      <c r="F2013" t="s">
        <v>30</v>
      </c>
      <c r="G2013" t="s">
        <v>1277</v>
      </c>
      <c r="H2013">
        <v>31</v>
      </c>
      <c r="I2013" s="11">
        <f>$E2013+0</f>
        <v>117</v>
      </c>
      <c r="J2013" s="12">
        <v>9150000</v>
      </c>
      <c r="K2013" s="13">
        <f>$E2013+1</f>
        <v>118</v>
      </c>
      <c r="L2013" s="14">
        <f>IF($J2013=0,0,ROUND(MAX($J2013*1.4,1620000*(1.497923^(MIN($E2013,123)-117)))*1,0))</f>
        <v>12810000</v>
      </c>
      <c r="M2013" s="11">
        <f>$E2013+2</f>
        <v>119</v>
      </c>
      <c r="N2013" s="12">
        <f>IF($J2013=0,0,ROUND(MAX($J2013*1.4*1.5,2190000*(1.580994^(MIN($E2013,123)-117)))*1,0))</f>
        <v>19215000</v>
      </c>
      <c r="O2013" s="13">
        <f>$E2013+4</f>
        <v>121</v>
      </c>
      <c r="P2013" s="14">
        <f>IF($J2013=0,0,ROUND(MAX($J2013*1.4*1.5*1.6,3500000*(1.57975^(MIN($E2013,123)-117)))*1,0))</f>
        <v>30744000</v>
      </c>
      <c r="Q2013" s="11">
        <f>$E2013+6</f>
        <v>123</v>
      </c>
      <c r="R2013" s="12">
        <f>IF($J2013=0,0,ROUND(MAX($J2013*1.4*1.5*1.6*1.6,13100000*(1.429962^(MIN($E2013,123)-117)))*1,0))</f>
        <v>49190400</v>
      </c>
      <c r="S2013" s="13">
        <f>$E2013+8</f>
        <v>125</v>
      </c>
      <c r="T2013" s="14">
        <f>IF($J2013=0,0,ROUND(MAX($J2013*1.4*1.5*1.6*1.6*2.2,42600000*(1.576904^(MIN($E2013,123)-117)))*1,0))</f>
        <v>108218880</v>
      </c>
      <c r="U2013" s="11">
        <f>$E2013+11</f>
        <v>128</v>
      </c>
      <c r="V2013" s="12">
        <f>IF($J2013=0,0,ROUND(MAX($J2013*1.4*1.5*1.6*1.6*2.2*2.715,354000000*(1.642074^(MIN($E2013,123)-117)))*1,0))</f>
        <v>354000000</v>
      </c>
      <c r="W2013" s="13">
        <f>$E2013+15</f>
        <v>132</v>
      </c>
      <c r="X2013" s="14">
        <f>IF($J2013=0,0,ROUND(MAX($J2013*1.4*1.5*1.6*1.6*2.2*2.715*2.6,3540000000*(1.579646^(MIN($E2013,123)-117)))*1,0))</f>
        <v>3540000000</v>
      </c>
      <c r="Y2013" s="11">
        <f>$E2013+17</f>
        <v>134</v>
      </c>
      <c r="Z2013" s="12">
        <f>IF($J2013=0,0,ROUND(MAX($J2013*1.4*1.5*1.6*1.6*2.2*2.715*2.6*1.4,6020000000*(1.651178^(MIN($E2013,123)-117)))*1,0))</f>
        <v>6020000000</v>
      </c>
      <c r="AA2013" s="13">
        <f>$E2013+19</f>
        <v>136</v>
      </c>
      <c r="AB2013" s="14">
        <f>IF($J2013=0,0,ROUND(MAX($J2013*1.4*1.5*1.6*1.6*2.2*2.715*2.6*1.4*1.4,8430000000*(1.651435^(MIN($E2013,123)-117)))*1,0))</f>
        <v>8430000000</v>
      </c>
      <c r="AC2013" s="11">
        <f>$E2013+21</f>
        <v>138</v>
      </c>
      <c r="AD2013" s="12">
        <f>IF($J2013=0,0,ROUND(MAX($J2013*1.4*1.5*1.6*1.6*2.2*2.715*2.6*1.4*1.4*1.5,12600000000*(1.652953^(MIN($E2013,123)-117)))*1,0))</f>
        <v>12600000000</v>
      </c>
      <c r="AE2013" s="13">
        <f>$E2013+24</f>
        <v>141</v>
      </c>
      <c r="AF2013" s="14">
        <f>IF($J2013=0,0,ROUND(MAX($J2013*1.4*1.5*1.6*1.6*2.2*2.715*2.6*1.4*1.4*1.5*1.5,18900000000*(1.65331^(MIN($E2013,123)-117)))*1,0))</f>
        <v>18900000000</v>
      </c>
      <c r="AG2013" s="11">
        <f>$E2013+27</f>
        <v>144</v>
      </c>
      <c r="AH2013" s="12">
        <f>IF($J2013=0,0,ROUND(MAX($J2013*1.4*1.5*1.6*1.6*2.2*2.715*2.6*1.4*1.4*1.5*1.5*3.2,60500000000*(1.654288^(MIN($E2013,123)-117)))*1,0))</f>
        <v>60500000000</v>
      </c>
    </row>
    <row r="2014" ht="28" customHeight="1" spans="1:34" x14ac:dyDescent="0.25">
      <c r="A2014">
        <v>2024</v>
      </c>
      <c r="B2014" t="s">
        <v>53</v>
      </c>
      <c r="C2014" s="10" t="s">
        <v>1276</v>
      </c>
      <c r="D2014" t="s">
        <v>25</v>
      </c>
      <c r="E2014">
        <v>117</v>
      </c>
      <c r="F2014" t="s">
        <v>54</v>
      </c>
      <c r="G2014" t="s">
        <v>1277</v>
      </c>
      <c r="H2014">
        <v>31</v>
      </c>
      <c r="I2014" s="11">
        <f>$E2014+0</f>
        <v>117</v>
      </c>
      <c r="J2014" s="12">
        <v>10600000</v>
      </c>
      <c r="K2014" s="13">
        <f>$E2014+1</f>
        <v>118</v>
      </c>
      <c r="L2014" s="14">
        <f>IF($J2014=0,0,ROUND(MAX($J2014*1.4,1620000*(1.497923^(MIN($E2014,123)-117)))*1,0))</f>
        <v>14840000</v>
      </c>
      <c r="M2014" s="11">
        <f>$E2014+2</f>
        <v>119</v>
      </c>
      <c r="N2014" s="12">
        <f>IF($J2014=0,0,ROUND(MAX($J2014*1.4*1.5,2190000*(1.580994^(MIN($E2014,123)-117)))*1,0))</f>
        <v>22260000</v>
      </c>
      <c r="O2014" s="13">
        <f>$E2014+4</f>
        <v>121</v>
      </c>
      <c r="P2014" s="14">
        <f>IF($J2014=0,0,ROUND(MAX($J2014*1.4*1.5*1.6,3500000*(1.57975^(MIN($E2014,123)-117)))*1,0))</f>
        <v>35616000</v>
      </c>
      <c r="Q2014" s="11">
        <f>$E2014+6</f>
        <v>123</v>
      </c>
      <c r="R2014" s="12">
        <f>IF($J2014=0,0,ROUND(MAX($J2014*1.4*1.5*1.6*1.6,13100000*(1.429962^(MIN($E2014,123)-117)))*1,0))</f>
        <v>56985600</v>
      </c>
      <c r="S2014" s="13">
        <f>$E2014+8</f>
        <v>125</v>
      </c>
      <c r="T2014" s="14">
        <f>IF($J2014=0,0,ROUND(MAX($J2014*1.4*1.5*1.6*1.6*2.2,42600000*(1.576904^(MIN($E2014,123)-117)))*1,0))</f>
        <v>125368320</v>
      </c>
      <c r="U2014" s="11">
        <f>$E2014+11</f>
        <v>128</v>
      </c>
      <c r="V2014" s="12">
        <f>IF($J2014=0,0,ROUND(MAX($J2014*1.4*1.5*1.6*1.6*2.2*2.715,354000000*(1.642074^(MIN($E2014,123)-117)))*1,0))</f>
        <v>354000000</v>
      </c>
      <c r="W2014" s="13">
        <f>$E2014+15</f>
        <v>132</v>
      </c>
      <c r="X2014" s="14">
        <f>IF($J2014=0,0,ROUND(MAX($J2014*1.4*1.5*1.6*1.6*2.2*2.715*2.6,3540000000*(1.579646^(MIN($E2014,123)-117)))*1,0))</f>
        <v>3540000000</v>
      </c>
      <c r="Y2014" s="11">
        <f>$E2014+17</f>
        <v>134</v>
      </c>
      <c r="Z2014" s="12">
        <f>IF($J2014=0,0,ROUND(MAX($J2014*1.4*1.5*1.6*1.6*2.2*2.715*2.6*1.4,6020000000*(1.651178^(MIN($E2014,123)-117)))*1,0))</f>
        <v>6020000000</v>
      </c>
      <c r="AA2014" s="13">
        <f>$E2014+19</f>
        <v>136</v>
      </c>
      <c r="AB2014" s="14">
        <f>IF($J2014=0,0,ROUND(MAX($J2014*1.4*1.5*1.6*1.6*2.2*2.715*2.6*1.4*1.4,8430000000*(1.651435^(MIN($E2014,123)-117)))*1,0))</f>
        <v>8430000000</v>
      </c>
      <c r="AC2014" s="11">
        <f>$E2014+21</f>
        <v>138</v>
      </c>
      <c r="AD2014" s="12">
        <f>IF($J2014=0,0,ROUND(MAX($J2014*1.4*1.5*1.6*1.6*2.2*2.715*2.6*1.4*1.4*1.5,12600000000*(1.652953^(MIN($E2014,123)-117)))*1,0))</f>
        <v>12600000000</v>
      </c>
      <c r="AE2014" s="13">
        <f>$E2014+24</f>
        <v>141</v>
      </c>
      <c r="AF2014" s="14">
        <f>IF($J2014=0,0,ROUND(MAX($J2014*1.4*1.5*1.6*1.6*2.2*2.715*2.6*1.4*1.4*1.5*1.5,18900000000*(1.65331^(MIN($E2014,123)-117)))*1,0))</f>
        <v>18900000000</v>
      </c>
      <c r="AG2014" s="11">
        <f>$E2014+27</f>
        <v>144</v>
      </c>
      <c r="AH2014" s="12">
        <f>IF($J2014=0,0,ROUND(MAX($J2014*1.4*1.5*1.6*1.6*2.2*2.715*2.6*1.4*1.4*1.5*1.5*3.2,60500000000*(1.654288^(MIN($E2014,123)-117)))*1,0))</f>
        <v>60500000000</v>
      </c>
    </row>
    <row r="2015" ht="28" customHeight="1" spans="1:34" x14ac:dyDescent="0.25">
      <c r="A2015">
        <v>2025</v>
      </c>
      <c r="B2015" t="s">
        <v>58</v>
      </c>
      <c r="C2015" s="10" t="s">
        <v>1276</v>
      </c>
      <c r="D2015" t="s">
        <v>29</v>
      </c>
      <c r="E2015">
        <v>117</v>
      </c>
      <c r="F2015" t="s">
        <v>59</v>
      </c>
      <c r="G2015" t="s">
        <v>1277</v>
      </c>
      <c r="H2015">
        <v>30</v>
      </c>
      <c r="I2015" s="11">
        <f>$E2015+0</f>
        <v>117</v>
      </c>
      <c r="J2015" s="12">
        <v>3440000</v>
      </c>
      <c r="K2015" s="13">
        <f>$E2015+1</f>
        <v>118</v>
      </c>
      <c r="L2015" s="14">
        <f>IF($J2015=0,0,ROUND(MAX($J2015*1.4,1620000*(1.497923^(MIN($E2015,123)-117)))*1,0))</f>
        <v>4816000</v>
      </c>
      <c r="M2015" s="11">
        <f>$E2015+2</f>
        <v>119</v>
      </c>
      <c r="N2015" s="12">
        <f>IF($J2015=0,0,ROUND(MAX($J2015*1.4*1.5,2190000*(1.580994^(MIN($E2015,123)-117)))*1,0))</f>
        <v>7224000</v>
      </c>
      <c r="O2015" s="13">
        <f>$E2015+4</f>
        <v>121</v>
      </c>
      <c r="P2015" s="14">
        <f>IF($J2015=0,0,ROUND(MAX($J2015*1.4*1.5*1.6,3500000*(1.57975^(MIN($E2015,123)-117)))*1,0))</f>
        <v>11558400</v>
      </c>
      <c r="Q2015" s="11">
        <f>$E2015+6</f>
        <v>123</v>
      </c>
      <c r="R2015" s="12">
        <f>IF($J2015=0,0,ROUND(MAX($J2015*1.4*1.5*1.6*1.6,13100000*(1.429962^(MIN($E2015,123)-117)))*1,0))</f>
        <v>18493440</v>
      </c>
      <c r="S2015" s="13">
        <f>$E2015+8</f>
        <v>125</v>
      </c>
      <c r="T2015" s="14">
        <f>IF($J2015=0,0,ROUND(MAX($J2015*1.4*1.5*1.6*1.6*2.2,42600000*(1.576904^(MIN($E2015,123)-117)))*1,0))</f>
        <v>42600000</v>
      </c>
      <c r="U2015" s="11">
        <f>$E2015+11</f>
        <v>128</v>
      </c>
      <c r="V2015" s="12">
        <f>IF($J2015=0,0,ROUND(MAX($J2015*1.4*1.5*1.6*1.6*2.2*2.715,354000000*(1.642074^(MIN($E2015,123)-117)))*1,0))</f>
        <v>354000000</v>
      </c>
      <c r="W2015" s="13">
        <f>$E2015+15</f>
        <v>132</v>
      </c>
      <c r="X2015" s="14">
        <f>IF($J2015=0,0,ROUND(MAX($J2015*1.4*1.5*1.6*1.6*2.2*2.715*2.6,3540000000*(1.579646^(MIN($E2015,123)-117)))*1,0))</f>
        <v>3540000000</v>
      </c>
      <c r="Y2015" s="11">
        <f>$E2015+17</f>
        <v>134</v>
      </c>
      <c r="Z2015" s="12">
        <f>IF($J2015=0,0,ROUND(MAX($J2015*1.4*1.5*1.6*1.6*2.2*2.715*2.6*1.4,6020000000*(1.651178^(MIN($E2015,123)-117)))*1,0))</f>
        <v>6020000000</v>
      </c>
      <c r="AA2015" s="13">
        <f>$E2015+19</f>
        <v>136</v>
      </c>
      <c r="AB2015" s="14">
        <f>IF($J2015=0,0,ROUND(MAX($J2015*1.4*1.5*1.6*1.6*2.2*2.715*2.6*1.4*1.4,8430000000*(1.651435^(MIN($E2015,123)-117)))*1,0))</f>
        <v>8430000000</v>
      </c>
      <c r="AC2015" s="11">
        <f>$E2015+21</f>
        <v>138</v>
      </c>
      <c r="AD2015" s="12">
        <f>IF($J2015=0,0,ROUND(MAX($J2015*1.4*1.5*1.6*1.6*2.2*2.715*2.6*1.4*1.4*1.5,12600000000*(1.652953^(MIN($E2015,123)-117)))*1,0))</f>
        <v>12600000000</v>
      </c>
      <c r="AE2015" s="13">
        <f>$E2015+24</f>
        <v>141</v>
      </c>
      <c r="AF2015" s="14">
        <f>IF($J2015=0,0,ROUND(MAX($J2015*1.4*1.5*1.6*1.6*2.2*2.715*2.6*1.4*1.4*1.5*1.5,18900000000*(1.65331^(MIN($E2015,123)-117)))*1,0))</f>
        <v>18900000000</v>
      </c>
      <c r="AG2015" s="11">
        <f>$E2015+27</f>
        <v>144</v>
      </c>
      <c r="AH2015" s="12">
        <f>IF($J2015=0,0,ROUND(MAX($J2015*1.4*1.5*1.6*1.6*2.2*2.715*2.6*1.4*1.4*1.5*1.5*3.2,60500000000*(1.654288^(MIN($E2015,123)-117)))*1,0))</f>
        <v>60500000000</v>
      </c>
    </row>
    <row r="2016" ht="28" customHeight="1" spans="1:34" x14ac:dyDescent="0.25">
      <c r="A2016">
        <v>2026</v>
      </c>
      <c r="B2016" t="s">
        <v>44</v>
      </c>
      <c r="C2016" s="10" t="s">
        <v>1276</v>
      </c>
      <c r="D2016" t="s">
        <v>45</v>
      </c>
      <c r="E2016">
        <v>117</v>
      </c>
      <c r="F2016" t="s">
        <v>34</v>
      </c>
      <c r="G2016" t="s">
        <v>1277</v>
      </c>
      <c r="H2016">
        <v>30</v>
      </c>
      <c r="I2016" s="11">
        <f>$E2016+0</f>
        <v>117</v>
      </c>
      <c r="J2016" s="12">
        <v>4220000</v>
      </c>
      <c r="K2016" s="13">
        <f>$E2016+1</f>
        <v>118</v>
      </c>
      <c r="L2016" s="14">
        <f>IF($J2016=0,0,ROUND(MAX($J2016*1.4,1620000*(1.497923^(MIN($E2016,123)-117)))*1,0))</f>
        <v>5908000</v>
      </c>
      <c r="M2016" s="11">
        <f>$E2016+2</f>
        <v>119</v>
      </c>
      <c r="N2016" s="12">
        <f>IF($J2016=0,0,ROUND(MAX($J2016*1.4*1.5,2190000*(1.580994^(MIN($E2016,123)-117)))*1,0))</f>
        <v>8862000</v>
      </c>
      <c r="O2016" s="13">
        <f>$E2016+4</f>
        <v>121</v>
      </c>
      <c r="P2016" s="14">
        <f>IF($J2016=0,0,ROUND(MAX($J2016*1.4*1.5*1.6,3500000*(1.57975^(MIN($E2016,123)-117)))*1,0))</f>
        <v>14179200</v>
      </c>
      <c r="Q2016" s="11">
        <f>$E2016+6</f>
        <v>123</v>
      </c>
      <c r="R2016" s="12">
        <f>IF($J2016=0,0,ROUND(MAX($J2016*1.4*1.5*1.6*1.6,13100000*(1.429962^(MIN($E2016,123)-117)))*1,0))</f>
        <v>22686720</v>
      </c>
      <c r="S2016" s="13">
        <f>$E2016+8</f>
        <v>125</v>
      </c>
      <c r="T2016" s="14">
        <f>IF($J2016=0,0,ROUND(MAX($J2016*1.4*1.5*1.6*1.6*2.2,42600000*(1.576904^(MIN($E2016,123)-117)))*1,0))</f>
        <v>49910784</v>
      </c>
      <c r="U2016" s="11">
        <f>$E2016+11</f>
        <v>128</v>
      </c>
      <c r="V2016" s="12">
        <f>IF($J2016=0,0,ROUND(MAX($J2016*1.4*1.5*1.6*1.6*2.2*2.715,354000000*(1.642074^(MIN($E2016,123)-117)))*1,0))</f>
        <v>354000000</v>
      </c>
      <c r="W2016" s="13">
        <f>$E2016+15</f>
        <v>132</v>
      </c>
      <c r="X2016" s="14">
        <f>IF($J2016=0,0,ROUND(MAX($J2016*1.4*1.5*1.6*1.6*2.2*2.715*2.6,3540000000*(1.579646^(MIN($E2016,123)-117)))*1,0))</f>
        <v>3540000000</v>
      </c>
      <c r="Y2016" s="11">
        <f>$E2016+17</f>
        <v>134</v>
      </c>
      <c r="Z2016" s="12">
        <f>IF($J2016=0,0,ROUND(MAX($J2016*1.4*1.5*1.6*1.6*2.2*2.715*2.6*1.4,6020000000*(1.651178^(MIN($E2016,123)-117)))*1,0))</f>
        <v>6020000000</v>
      </c>
      <c r="AA2016" s="13">
        <f>$E2016+19</f>
        <v>136</v>
      </c>
      <c r="AB2016" s="14">
        <f>IF($J2016=0,0,ROUND(MAX($J2016*1.4*1.5*1.6*1.6*2.2*2.715*2.6*1.4*1.4,8430000000*(1.651435^(MIN($E2016,123)-117)))*1,0))</f>
        <v>8430000000</v>
      </c>
      <c r="AC2016" s="11">
        <f>$E2016+21</f>
        <v>138</v>
      </c>
      <c r="AD2016" s="12">
        <f>IF($J2016=0,0,ROUND(MAX($J2016*1.4*1.5*1.6*1.6*2.2*2.715*2.6*1.4*1.4*1.5,12600000000*(1.652953^(MIN($E2016,123)-117)))*1,0))</f>
        <v>12600000000</v>
      </c>
      <c r="AE2016" s="13">
        <f>$E2016+24</f>
        <v>141</v>
      </c>
      <c r="AF2016" s="14">
        <f>IF($J2016=0,0,ROUND(MAX($J2016*1.4*1.5*1.6*1.6*2.2*2.715*2.6*1.4*1.4*1.5*1.5,18900000000*(1.65331^(MIN($E2016,123)-117)))*1,0))</f>
        <v>18900000000</v>
      </c>
      <c r="AG2016" s="11">
        <f>$E2016+27</f>
        <v>144</v>
      </c>
      <c r="AH2016" s="12">
        <f>IF($J2016=0,0,ROUND(MAX($J2016*1.4*1.5*1.6*1.6*2.2*2.715*2.6*1.4*1.4*1.5*1.5*3.2,60500000000*(1.654288^(MIN($E2016,123)-117)))*1,0))</f>
        <v>60500000000</v>
      </c>
    </row>
    <row r="2017" ht="28" customHeight="1" spans="1:34" x14ac:dyDescent="0.25">
      <c r="A2017">
        <v>2027</v>
      </c>
      <c r="B2017" t="s">
        <v>77</v>
      </c>
      <c r="C2017" s="10" t="s">
        <v>1276</v>
      </c>
      <c r="D2017" t="s">
        <v>25</v>
      </c>
      <c r="E2017">
        <v>116</v>
      </c>
      <c r="F2017" t="s">
        <v>42</v>
      </c>
      <c r="G2017" t="s">
        <v>1277</v>
      </c>
      <c r="H2017">
        <v>31</v>
      </c>
      <c r="I2017" s="11">
        <f>$E2017+0</f>
        <v>116</v>
      </c>
      <c r="J2017" s="12">
        <v>46200000</v>
      </c>
      <c r="K2017" s="13">
        <f>$E2017+1</f>
        <v>117</v>
      </c>
      <c r="L2017" s="14">
        <f>IF($J2017=0,0,ROUND(MAX($J2017*1.4,1620000*(1.497923^(MIN($E2017,123)-117)))*1,0))</f>
        <v>64680000</v>
      </c>
      <c r="M2017" s="11">
        <f>$E2017+2</f>
        <v>118</v>
      </c>
      <c r="N2017" s="12">
        <f>IF($J2017=0,0,ROUND(MAX($J2017*1.4*1.5,2190000*(1.580994^(MIN($E2017,123)-117)))*1,0))</f>
        <v>97020000</v>
      </c>
      <c r="O2017" s="13">
        <f>$E2017+4</f>
        <v>120</v>
      </c>
      <c r="P2017" s="14">
        <f>IF($J2017=0,0,ROUND(MAX($J2017*1.4*1.5*1.6,3500000*(1.57975^(MIN($E2017,123)-117)))*1,0))</f>
        <v>155232000</v>
      </c>
      <c r="Q2017" s="11">
        <f>$E2017+6</f>
        <v>122</v>
      </c>
      <c r="R2017" s="12">
        <f>IF($J2017=0,0,ROUND(MAX($J2017*1.4*1.5*1.6*1.6,13100000*(1.429962^(MIN($E2017,123)-117)))*1,0))</f>
        <v>248371200</v>
      </c>
      <c r="S2017" s="13">
        <f>$E2017+8</f>
        <v>124</v>
      </c>
      <c r="T2017" s="14">
        <f>IF($J2017=0,0,ROUND(MAX($J2017*1.4*1.5*1.6*1.6*2.2,42600000*(1.576904^(MIN($E2017,123)-117)))*1,0))</f>
        <v>546416640</v>
      </c>
      <c r="U2017" s="11">
        <f>$E2017+11</f>
        <v>127</v>
      </c>
      <c r="V2017" s="12">
        <f>IF($J2017=0,0,ROUND(MAX($J2017*1.4*1.5*1.6*1.6*2.2*2.715,354000000*(1.642074^(MIN($E2017,123)-117)))*1,0))</f>
        <v>1483521178</v>
      </c>
      <c r="W2017" s="13">
        <f>$E2017+15</f>
        <v>131</v>
      </c>
      <c r="X2017" s="14">
        <f>IF($J2017=0,0,ROUND(MAX($J2017*1.4*1.5*1.6*1.6*2.2*2.715*2.6,3540000000*(1.579646^(MIN($E2017,123)-117)))*1,0))</f>
        <v>3857155062</v>
      </c>
      <c r="Y2017" s="11">
        <f>$E2017+17</f>
        <v>133</v>
      </c>
      <c r="Z2017" s="12">
        <f>IF($J2017=0,0,ROUND(MAX($J2017*1.4*1.5*1.6*1.6*2.2*2.715*2.6*1.4,6020000000*(1.651178^(MIN($E2017,123)-117)))*1,0))</f>
        <v>5400017086</v>
      </c>
      <c r="AA2017" s="13">
        <f>$E2017+19</f>
        <v>135</v>
      </c>
      <c r="AB2017" s="14">
        <f>IF($J2017=0,0,ROUND(MAX($J2017*1.4*1.5*1.6*1.6*2.2*2.715*2.6*1.4*1.4,8430000000*(1.651435^(MIN($E2017,123)-117)))*1,0))</f>
        <v>7560023921</v>
      </c>
      <c r="AC2017" s="11">
        <f>$E2017+21</f>
        <v>137</v>
      </c>
      <c r="AD2017" s="12">
        <f>IF($J2017=0,0,ROUND(MAX($J2017*1.4*1.5*1.6*1.6*2.2*2.715*2.6*1.4*1.4*1.5,12600000000*(1.652953^(MIN($E2017,123)-117)))*1,0))</f>
        <v>11340035882</v>
      </c>
      <c r="AE2017" s="13">
        <f>$E2017+24</f>
        <v>140</v>
      </c>
      <c r="AF2017" s="14">
        <f>IF($J2017=0,0,ROUND(MAX($J2017*1.4*1.5*1.6*1.6*2.2*2.715*2.6*1.4*1.4*1.5*1.5,18900000000*(1.65331^(MIN($E2017,123)-117)))*1,0))</f>
        <v>17010053822</v>
      </c>
      <c r="AG2017" s="11">
        <f>$E2017+27</f>
        <v>143</v>
      </c>
      <c r="AH2017" s="12">
        <f>IF($J2017=0,0,ROUND(MAX($J2017*1.4*1.5*1.6*1.6*2.2*2.715*2.6*1.4*1.4*1.5*1.5*3.2,60500000000*(1.654288^(MIN($E2017,123)-117)))*1,0))</f>
        <v>54432172232</v>
      </c>
    </row>
    <row r="2018" ht="28" customHeight="1" spans="1:34" x14ac:dyDescent="0.25">
      <c r="A2018">
        <v>2028</v>
      </c>
      <c r="B2018" t="s">
        <v>39</v>
      </c>
      <c r="C2018" s="10" t="s">
        <v>1276</v>
      </c>
      <c r="D2018" t="s">
        <v>40</v>
      </c>
      <c r="E2018">
        <v>116</v>
      </c>
      <c r="F2018" t="s">
        <v>34</v>
      </c>
      <c r="G2018" t="s">
        <v>1277</v>
      </c>
      <c r="H2018">
        <v>30</v>
      </c>
      <c r="I2018" s="11">
        <f>$E2018+0</f>
        <v>116</v>
      </c>
      <c r="J2018" s="12">
        <v>1790000</v>
      </c>
      <c r="K2018" s="13">
        <f>$E2018+1</f>
        <v>117</v>
      </c>
      <c r="L2018" s="14">
        <f>IF($J2018=0,0,ROUND(MAX($J2018*1.4,1620000*(1.497923^(MIN($E2018,123)-117)))*1,0))</f>
        <v>2506000</v>
      </c>
      <c r="M2018" s="11">
        <f>$E2018+2</f>
        <v>118</v>
      </c>
      <c r="N2018" s="12">
        <f>IF($J2018=0,0,ROUND(MAX($J2018*1.4*1.5,2190000*(1.580994^(MIN($E2018,123)-117)))*1,0))</f>
        <v>3759000</v>
      </c>
      <c r="O2018" s="13">
        <f>$E2018+4</f>
        <v>120</v>
      </c>
      <c r="P2018" s="14">
        <f>IF($J2018=0,0,ROUND(MAX($J2018*1.4*1.5*1.6,3500000*(1.57975^(MIN($E2018,123)-117)))*1,0))</f>
        <v>6014400</v>
      </c>
      <c r="Q2018" s="11">
        <f>$E2018+6</f>
        <v>122</v>
      </c>
      <c r="R2018" s="12">
        <f>IF($J2018=0,0,ROUND(MAX($J2018*1.4*1.5*1.6*1.6,13100000*(1.429962^(MIN($E2018,123)-117)))*1,0))</f>
        <v>9623040</v>
      </c>
      <c r="S2018" s="13">
        <f>$E2018+8</f>
        <v>124</v>
      </c>
      <c r="T2018" s="14">
        <f>IF($J2018=0,0,ROUND(MAX($J2018*1.4*1.5*1.6*1.6*2.2,42600000*(1.576904^(MIN($E2018,123)-117)))*1,0))</f>
        <v>27014961</v>
      </c>
      <c r="U2018" s="11">
        <f>$E2018+11</f>
        <v>127</v>
      </c>
      <c r="V2018" s="12">
        <f>IF($J2018=0,0,ROUND(MAX($J2018*1.4*1.5*1.6*1.6*2.2*2.715,354000000*(1.642074^(MIN($E2018,123)-117)))*1,0))</f>
        <v>215581027</v>
      </c>
      <c r="W2018" s="13">
        <f>$E2018+15</f>
        <v>131</v>
      </c>
      <c r="X2018" s="14">
        <f>IF($J2018=0,0,ROUND(MAX($J2018*1.4*1.5*1.6*1.6*2.2*2.715*2.6,3540000000*(1.579646^(MIN($E2018,123)-117)))*1,0))</f>
        <v>2241008428</v>
      </c>
      <c r="Y2018" s="11">
        <f>$E2018+17</f>
        <v>133</v>
      </c>
      <c r="Z2018" s="12">
        <f>IF($J2018=0,0,ROUND(MAX($J2018*1.4*1.5*1.6*1.6*2.2*2.715*2.6*1.4,6020000000*(1.651178^(MIN($E2018,123)-117)))*1,0))</f>
        <v>3645881910</v>
      </c>
      <c r="AA2018" s="13">
        <f>$E2018+19</f>
        <v>135</v>
      </c>
      <c r="AB2018" s="14">
        <f>IF($J2018=0,0,ROUND(MAX($J2018*1.4*1.5*1.6*1.6*2.2*2.715*2.6*1.4*1.4,8430000000*(1.651435^(MIN($E2018,123)-117)))*1,0))</f>
        <v>5104651409</v>
      </c>
      <c r="AC2018" s="11">
        <f>$E2018+21</f>
        <v>137</v>
      </c>
      <c r="AD2018" s="12">
        <f>IF($J2018=0,0,ROUND(MAX($J2018*1.4*1.5*1.6*1.6*2.2*2.715*2.6*1.4*1.4*1.5,12600000000*(1.652953^(MIN($E2018,123)-117)))*1,0))</f>
        <v>7622721275</v>
      </c>
      <c r="AE2018" s="13">
        <f>$E2018+24</f>
        <v>140</v>
      </c>
      <c r="AF2018" s="14">
        <f>IF($J2018=0,0,ROUND(MAX($J2018*1.4*1.5*1.6*1.6*2.2*2.715*2.6*1.4*1.4*1.5*1.5,18900000000*(1.65331^(MIN($E2018,123)-117)))*1,0))</f>
        <v>11431612946</v>
      </c>
      <c r="AG2018" s="11">
        <f>$E2018+27</f>
        <v>143</v>
      </c>
      <c r="AH2018" s="12">
        <f>IF($J2018=0,0,ROUND(MAX($J2018*1.4*1.5*1.6*1.6*2.2*2.715*2.6*1.4*1.4*1.5*1.5*3.2,60500000000*(1.654288^(MIN($E2018,123)-117)))*1,0))</f>
        <v>36571624772</v>
      </c>
    </row>
    <row r="2019" ht="28" customHeight="1" spans="1:34" x14ac:dyDescent="0.25">
      <c r="A2019">
        <v>2029</v>
      </c>
      <c r="B2019" t="s">
        <v>87</v>
      </c>
      <c r="C2019" s="10" t="s">
        <v>1276</v>
      </c>
      <c r="D2019" t="s">
        <v>40</v>
      </c>
      <c r="E2019">
        <v>116</v>
      </c>
      <c r="F2019" t="s">
        <v>88</v>
      </c>
      <c r="G2019" t="s">
        <v>1277</v>
      </c>
      <c r="H2019">
        <v>30</v>
      </c>
      <c r="I2019" s="11">
        <f>$E2019+0</f>
        <v>116</v>
      </c>
      <c r="J2019" s="12">
        <v>580000</v>
      </c>
      <c r="K2019" s="13">
        <f>$E2019+1</f>
        <v>117</v>
      </c>
      <c r="L2019" s="14">
        <f>IF($J2019=0,0,ROUND(MAX($J2019*1.4,1620000*(1.497923^(MIN($E2019,123)-117)))*1,0))</f>
        <v>1081498</v>
      </c>
      <c r="M2019" s="11">
        <f>$E2019+2</f>
        <v>118</v>
      </c>
      <c r="N2019" s="12">
        <f>IF($J2019=0,0,ROUND(MAX($J2019*1.4*1.5,2190000*(1.580994^(MIN($E2019,123)-117)))*1,0))</f>
        <v>1385204</v>
      </c>
      <c r="O2019" s="13">
        <f>$E2019+4</f>
        <v>120</v>
      </c>
      <c r="P2019" s="14">
        <f>IF($J2019=0,0,ROUND(MAX($J2019*1.4*1.5*1.6,3500000*(1.57975^(MIN($E2019,123)-117)))*1,0))</f>
        <v>2215540</v>
      </c>
      <c r="Q2019" s="11">
        <f>$E2019+6</f>
        <v>122</v>
      </c>
      <c r="R2019" s="12">
        <f>IF($J2019=0,0,ROUND(MAX($J2019*1.4*1.5*1.6*1.6,13100000*(1.429962^(MIN($E2019,123)-117)))*1,0))</f>
        <v>9161083</v>
      </c>
      <c r="S2019" s="13">
        <f>$E2019+8</f>
        <v>124</v>
      </c>
      <c r="T2019" s="14">
        <f>IF($J2019=0,0,ROUND(MAX($J2019*1.4*1.5*1.6*1.6*2.2,42600000*(1.576904^(MIN($E2019,123)-117)))*1,0))</f>
        <v>27014961</v>
      </c>
      <c r="U2019" s="11">
        <f>$E2019+11</f>
        <v>127</v>
      </c>
      <c r="V2019" s="12">
        <f>IF($J2019=0,0,ROUND(MAX($J2019*1.4*1.5*1.6*1.6*2.2*2.715,354000000*(1.642074^(MIN($E2019,123)-117)))*1,0))</f>
        <v>215581027</v>
      </c>
      <c r="W2019" s="13">
        <f>$E2019+15</f>
        <v>131</v>
      </c>
      <c r="X2019" s="14">
        <f>IF($J2019=0,0,ROUND(MAX($J2019*1.4*1.5*1.6*1.6*2.2*2.715*2.6,3540000000*(1.579646^(MIN($E2019,123)-117)))*1,0))</f>
        <v>2241008428</v>
      </c>
      <c r="Y2019" s="11">
        <f>$E2019+17</f>
        <v>133</v>
      </c>
      <c r="Z2019" s="12">
        <f>IF($J2019=0,0,ROUND(MAX($J2019*1.4*1.5*1.6*1.6*2.2*2.715*2.6*1.4,6020000000*(1.651178^(MIN($E2019,123)-117)))*1,0))</f>
        <v>3645881910</v>
      </c>
      <c r="AA2019" s="13">
        <f>$E2019+19</f>
        <v>135</v>
      </c>
      <c r="AB2019" s="14">
        <f>IF($J2019=0,0,ROUND(MAX($J2019*1.4*1.5*1.6*1.6*2.2*2.715*2.6*1.4*1.4,8430000000*(1.651435^(MIN($E2019,123)-117)))*1,0))</f>
        <v>5104651409</v>
      </c>
      <c r="AC2019" s="11">
        <f>$E2019+21</f>
        <v>137</v>
      </c>
      <c r="AD2019" s="12">
        <f>IF($J2019=0,0,ROUND(MAX($J2019*1.4*1.5*1.6*1.6*2.2*2.715*2.6*1.4*1.4*1.5,12600000000*(1.652953^(MIN($E2019,123)-117)))*1,0))</f>
        <v>7622721275</v>
      </c>
      <c r="AE2019" s="13">
        <f>$E2019+24</f>
        <v>140</v>
      </c>
      <c r="AF2019" s="14">
        <f>IF($J2019=0,0,ROUND(MAX($J2019*1.4*1.5*1.6*1.6*2.2*2.715*2.6*1.4*1.4*1.5*1.5,18900000000*(1.65331^(MIN($E2019,123)-117)))*1,0))</f>
        <v>11431612946</v>
      </c>
      <c r="AG2019" s="11">
        <f>$E2019+27</f>
        <v>143</v>
      </c>
      <c r="AH2019" s="12">
        <f>IF($J2019=0,0,ROUND(MAX($J2019*1.4*1.5*1.6*1.6*2.2*2.715*2.6*1.4*1.4*1.5*1.5*3.2,60500000000*(1.654288^(MIN($E2019,123)-117)))*1,0))</f>
        <v>36571624772</v>
      </c>
    </row>
    <row r="2020" ht="28" customHeight="1" spans="1:34" x14ac:dyDescent="0.25">
      <c r="A2020">
        <v>2030</v>
      </c>
      <c r="B2020" t="s">
        <v>110</v>
      </c>
      <c r="C2020" s="10" t="s">
        <v>1276</v>
      </c>
      <c r="D2020" t="s">
        <v>64</v>
      </c>
      <c r="E2020">
        <v>116</v>
      </c>
      <c r="F2020" t="s">
        <v>59</v>
      </c>
      <c r="G2020" t="s">
        <v>1277</v>
      </c>
      <c r="H2020">
        <v>30</v>
      </c>
      <c r="I2020" s="11">
        <f>$E2020+0</f>
        <v>116</v>
      </c>
      <c r="J2020" s="12">
        <v>6890000</v>
      </c>
      <c r="K2020" s="13">
        <f>$E2020+1</f>
        <v>117</v>
      </c>
      <c r="L2020" s="14">
        <f>IF($J2020=0,0,ROUND(MAX($J2020*1.4,1620000*(1.497923^(MIN($E2020,123)-117)))*1,0))</f>
        <v>9646000</v>
      </c>
      <c r="M2020" s="11">
        <f>$E2020+2</f>
        <v>118</v>
      </c>
      <c r="N2020" s="12">
        <f>IF($J2020=0,0,ROUND(MAX($J2020*1.4*1.5,2190000*(1.580994^(MIN($E2020,123)-117)))*1,0))</f>
        <v>14469000</v>
      </c>
      <c r="O2020" s="13">
        <f>$E2020+4</f>
        <v>120</v>
      </c>
      <c r="P2020" s="14">
        <f>IF($J2020=0,0,ROUND(MAX($J2020*1.4*1.5*1.6,3500000*(1.57975^(MIN($E2020,123)-117)))*1,0))</f>
        <v>23150400</v>
      </c>
      <c r="Q2020" s="11">
        <f>$E2020+6</f>
        <v>122</v>
      </c>
      <c r="R2020" s="12">
        <f>IF($J2020=0,0,ROUND(MAX($J2020*1.4*1.5*1.6*1.6,13100000*(1.429962^(MIN($E2020,123)-117)))*1,0))</f>
        <v>37040640</v>
      </c>
      <c r="S2020" s="13">
        <f>$E2020+8</f>
        <v>124</v>
      </c>
      <c r="T2020" s="14">
        <f>IF($J2020=0,0,ROUND(MAX($J2020*1.4*1.5*1.6*1.6*2.2,42600000*(1.576904^(MIN($E2020,123)-117)))*1,0))</f>
        <v>81489408</v>
      </c>
      <c r="U2020" s="11">
        <f>$E2020+11</f>
        <v>127</v>
      </c>
      <c r="V2020" s="12">
        <f>IF($J2020=0,0,ROUND(MAX($J2020*1.4*1.5*1.6*1.6*2.2*2.715,354000000*(1.642074^(MIN($E2020,123)-117)))*1,0))</f>
        <v>221243743</v>
      </c>
      <c r="W2020" s="13">
        <f>$E2020+15</f>
        <v>131</v>
      </c>
      <c r="X2020" s="14">
        <f>IF($J2020=0,0,ROUND(MAX($J2020*1.4*1.5*1.6*1.6*2.2*2.715*2.6,3540000000*(1.579646^(MIN($E2020,123)-117)))*1,0))</f>
        <v>2241008428</v>
      </c>
      <c r="Y2020" s="11">
        <f>$E2020+17</f>
        <v>133</v>
      </c>
      <c r="Z2020" s="12">
        <f>IF($J2020=0,0,ROUND(MAX($J2020*1.4*1.5*1.6*1.6*2.2*2.715*2.6*1.4,6020000000*(1.651178^(MIN($E2020,123)-117)))*1,0))</f>
        <v>3645881910</v>
      </c>
      <c r="AA2020" s="13">
        <f>$E2020+19</f>
        <v>135</v>
      </c>
      <c r="AB2020" s="14">
        <f>IF($J2020=0,0,ROUND(MAX($J2020*1.4*1.5*1.6*1.6*2.2*2.715*2.6*1.4*1.4,8430000000*(1.651435^(MIN($E2020,123)-117)))*1,0))</f>
        <v>5104651409</v>
      </c>
      <c r="AC2020" s="11">
        <f>$E2020+21</f>
        <v>137</v>
      </c>
      <c r="AD2020" s="12">
        <f>IF($J2020=0,0,ROUND(MAX($J2020*1.4*1.5*1.6*1.6*2.2*2.715*2.6*1.4*1.4*1.5,12600000000*(1.652953^(MIN($E2020,123)-117)))*1,0))</f>
        <v>7622721275</v>
      </c>
      <c r="AE2020" s="13">
        <f>$E2020+24</f>
        <v>140</v>
      </c>
      <c r="AF2020" s="14">
        <f>IF($J2020=0,0,ROUND(MAX($J2020*1.4*1.5*1.6*1.6*2.2*2.715*2.6*1.4*1.4*1.5*1.5,18900000000*(1.65331^(MIN($E2020,123)-117)))*1,0))</f>
        <v>11431612946</v>
      </c>
      <c r="AG2020" s="11">
        <f>$E2020+27</f>
        <v>143</v>
      </c>
      <c r="AH2020" s="12">
        <f>IF($J2020=0,0,ROUND(MAX($J2020*1.4*1.5*1.6*1.6*2.2*2.715*2.6*1.4*1.4*1.5*1.5*3.2,60500000000*(1.654288^(MIN($E2020,123)-117)))*1,0))</f>
        <v>36571624772</v>
      </c>
    </row>
    <row r="2021" ht="28" customHeight="1" spans="1:34" x14ac:dyDescent="0.25">
      <c r="A2021">
        <v>2031</v>
      </c>
      <c r="B2021" t="s">
        <v>78</v>
      </c>
      <c r="C2021" s="10" t="s">
        <v>1276</v>
      </c>
      <c r="D2021" t="s">
        <v>79</v>
      </c>
      <c r="E2021">
        <v>116</v>
      </c>
      <c r="F2021" t="s">
        <v>30</v>
      </c>
      <c r="G2021" t="s">
        <v>1277</v>
      </c>
      <c r="H2021">
        <v>29</v>
      </c>
      <c r="I2021" s="11">
        <f>$E2021+0</f>
        <v>116</v>
      </c>
      <c r="J2021" s="12">
        <v>3560000</v>
      </c>
      <c r="K2021" s="13">
        <f>$E2021+1</f>
        <v>117</v>
      </c>
      <c r="L2021" s="14">
        <f>IF($J2021=0,0,ROUND(MAX($J2021*1.4,1620000*(1.497923^(MIN($E2021,123)-117)))*1,0))</f>
        <v>4984000</v>
      </c>
      <c r="M2021" s="11">
        <f>$E2021+2</f>
        <v>118</v>
      </c>
      <c r="N2021" s="12">
        <f>IF($J2021=0,0,ROUND(MAX($J2021*1.4*1.5,2190000*(1.580994^(MIN($E2021,123)-117)))*1,0))</f>
        <v>7476000</v>
      </c>
      <c r="O2021" s="13">
        <f>$E2021+4</f>
        <v>120</v>
      </c>
      <c r="P2021" s="14">
        <f>IF($J2021=0,0,ROUND(MAX($J2021*1.4*1.5*1.6,3500000*(1.57975^(MIN($E2021,123)-117)))*1,0))</f>
        <v>11961600</v>
      </c>
      <c r="Q2021" s="11">
        <f>$E2021+6</f>
        <v>122</v>
      </c>
      <c r="R2021" s="12">
        <f>IF($J2021=0,0,ROUND(MAX($J2021*1.4*1.5*1.6*1.6,13100000*(1.429962^(MIN($E2021,123)-117)))*1,0))</f>
        <v>19138560</v>
      </c>
      <c r="S2021" s="13">
        <f>$E2021+8</f>
        <v>124</v>
      </c>
      <c r="T2021" s="14">
        <f>IF($J2021=0,0,ROUND(MAX($J2021*1.4*1.5*1.6*1.6*2.2,42600000*(1.576904^(MIN($E2021,123)-117)))*1,0))</f>
        <v>42104832</v>
      </c>
      <c r="U2021" s="11">
        <f>$E2021+11</f>
        <v>127</v>
      </c>
      <c r="V2021" s="12">
        <f>IF($J2021=0,0,ROUND(MAX($J2021*1.4*1.5*1.6*1.6*2.2*2.715,354000000*(1.642074^(MIN($E2021,123)-117)))*1,0))</f>
        <v>215581027</v>
      </c>
      <c r="W2021" s="13">
        <f>$E2021+15</f>
        <v>131</v>
      </c>
      <c r="X2021" s="14">
        <f>IF($J2021=0,0,ROUND(MAX($J2021*1.4*1.5*1.6*1.6*2.2*2.715*2.6,3540000000*(1.579646^(MIN($E2021,123)-117)))*1,0))</f>
        <v>2241008428</v>
      </c>
      <c r="Y2021" s="11">
        <f>$E2021+17</f>
        <v>133</v>
      </c>
      <c r="Z2021" s="12">
        <f>IF($J2021=0,0,ROUND(MAX($J2021*1.4*1.5*1.6*1.6*2.2*2.715*2.6*1.4,6020000000*(1.651178^(MIN($E2021,123)-117)))*1,0))</f>
        <v>3645881910</v>
      </c>
      <c r="AA2021" s="13">
        <f>$E2021+19</f>
        <v>135</v>
      </c>
      <c r="AB2021" s="14">
        <f>IF($J2021=0,0,ROUND(MAX($J2021*1.4*1.5*1.6*1.6*2.2*2.715*2.6*1.4*1.4,8430000000*(1.651435^(MIN($E2021,123)-117)))*1,0))</f>
        <v>5104651409</v>
      </c>
      <c r="AC2021" s="11">
        <f>$E2021+21</f>
        <v>137</v>
      </c>
      <c r="AD2021" s="12">
        <f>IF($J2021=0,0,ROUND(MAX($J2021*1.4*1.5*1.6*1.6*2.2*2.715*2.6*1.4*1.4*1.5,12600000000*(1.652953^(MIN($E2021,123)-117)))*1,0))</f>
        <v>7622721275</v>
      </c>
      <c r="AE2021" s="13">
        <f>$E2021+24</f>
        <v>140</v>
      </c>
      <c r="AF2021" s="14">
        <f>IF($J2021=0,0,ROUND(MAX($J2021*1.4*1.5*1.6*1.6*2.2*2.715*2.6*1.4*1.4*1.5*1.5,18900000000*(1.65331^(MIN($E2021,123)-117)))*1,0))</f>
        <v>11431612946</v>
      </c>
      <c r="AG2021" s="11">
        <f>$E2021+27</f>
        <v>143</v>
      </c>
      <c r="AH2021" s="12">
        <f>IF($J2021=0,0,ROUND(MAX($J2021*1.4*1.5*1.6*1.6*2.2*2.715*2.6*1.4*1.4*1.5*1.5*3.2,60500000000*(1.654288^(MIN($E2021,123)-117)))*1,0))</f>
        <v>36571624772</v>
      </c>
    </row>
    <row r="2022" ht="28" customHeight="1" spans="1:34" x14ac:dyDescent="0.25">
      <c r="A2022">
        <v>2032</v>
      </c>
      <c r="B2022" t="s">
        <v>63</v>
      </c>
      <c r="C2022" s="10" t="s">
        <v>1276</v>
      </c>
      <c r="D2022" t="s">
        <v>64</v>
      </c>
      <c r="E2022">
        <v>115</v>
      </c>
      <c r="F2022" t="s">
        <v>65</v>
      </c>
      <c r="G2022" t="s">
        <v>1277</v>
      </c>
      <c r="H2022">
        <v>29</v>
      </c>
      <c r="I2022" s="11">
        <f>$E2022+0</f>
        <v>115</v>
      </c>
      <c r="J2022" s="12">
        <v>1310000</v>
      </c>
      <c r="K2022" s="13">
        <f>$E2022+1</f>
        <v>116</v>
      </c>
      <c r="L2022" s="14">
        <f>IF($J2022=0,0,ROUND(MAX($J2022*1.4,1620000*(1.497923^(MIN($E2022,123)-117)))*1,0))</f>
        <v>1834000</v>
      </c>
      <c r="M2022" s="11">
        <f>$E2022+2</f>
        <v>117</v>
      </c>
      <c r="N2022" s="12">
        <f>IF($J2022=0,0,ROUND(MAX($J2022*1.4*1.5,2190000*(1.580994^(MIN($E2022,123)-117)))*1,0))</f>
        <v>2751000</v>
      </c>
      <c r="O2022" s="13">
        <f>$E2022+4</f>
        <v>119</v>
      </c>
      <c r="P2022" s="14">
        <f>IF($J2022=0,0,ROUND(MAX($J2022*1.4*1.5*1.6,3500000*(1.57975^(MIN($E2022,123)-117)))*1,0))</f>
        <v>4401600</v>
      </c>
      <c r="Q2022" s="11">
        <f>$E2022+6</f>
        <v>121</v>
      </c>
      <c r="R2022" s="12">
        <f>IF($J2022=0,0,ROUND(MAX($J2022*1.4*1.5*1.6*1.6,13100000*(1.429962^(MIN($E2022,123)-117)))*1,0))</f>
        <v>7042560</v>
      </c>
      <c r="S2022" s="13">
        <f>$E2022+8</f>
        <v>123</v>
      </c>
      <c r="T2022" s="14">
        <f>IF($J2022=0,0,ROUND(MAX($J2022*1.4*1.5*1.6*1.6*2.2,42600000*(1.576904^(MIN($E2022,123)-117)))*1,0))</f>
        <v>17131646</v>
      </c>
      <c r="U2022" s="11">
        <f>$E2022+11</f>
        <v>126</v>
      </c>
      <c r="V2022" s="12">
        <f>IF($J2022=0,0,ROUND(MAX($J2022*1.4*1.5*1.6*1.6*2.2*2.715,354000000*(1.642074^(MIN($E2022,123)-117)))*1,0))</f>
        <v>131285817</v>
      </c>
      <c r="W2022" s="13">
        <f>$E2022+15</f>
        <v>130</v>
      </c>
      <c r="X2022" s="14">
        <f>IF($J2022=0,0,ROUND(MAX($J2022*1.4*1.5*1.6*1.6*2.2*2.715*2.6,3540000000*(1.579646^(MIN($E2022,123)-117)))*1,0))</f>
        <v>1418677620</v>
      </c>
      <c r="Y2022" s="11">
        <f>$E2022+17</f>
        <v>132</v>
      </c>
      <c r="Z2022" s="12">
        <f>IF($J2022=0,0,ROUND(MAX($J2022*1.4*1.5*1.6*1.6*2.2*2.715*2.6*1.4,6020000000*(1.651178^(MIN($E2022,123)-117)))*1,0))</f>
        <v>2208048987</v>
      </c>
      <c r="AA2022" s="13">
        <f>$E2022+19</f>
        <v>134</v>
      </c>
      <c r="AB2022" s="14">
        <f>IF($J2022=0,0,ROUND(MAX($J2022*1.4*1.5*1.6*1.6*2.2*2.715*2.6*1.4*1.4,8430000000*(1.651435^(MIN($E2022,123)-117)))*1,0))</f>
        <v>3091039859</v>
      </c>
      <c r="AC2022" s="11">
        <f>$E2022+21</f>
        <v>136</v>
      </c>
      <c r="AD2022" s="12">
        <f>IF($J2022=0,0,ROUND(MAX($J2022*1.4*1.5*1.6*1.6*2.2*2.715*2.6*1.4*1.4*1.5,12600000000*(1.652953^(MIN($E2022,123)-117)))*1,0))</f>
        <v>4611577749</v>
      </c>
      <c r="AE2022" s="13">
        <f>$E2022+24</f>
        <v>139</v>
      </c>
      <c r="AF2022" s="14">
        <f>IF($J2022=0,0,ROUND(MAX($J2022*1.4*1.5*1.6*1.6*2.2*2.715*2.6*1.4*1.4*1.5*1.5,18900000000*(1.65331^(MIN($E2022,123)-117)))*1,0))</f>
        <v>6914379606</v>
      </c>
      <c r="AG2022" s="11">
        <f>$E2022+27</f>
        <v>142</v>
      </c>
      <c r="AH2022" s="12">
        <f>IF($J2022=0,0,ROUND(MAX($J2022*1.4*1.5*1.6*1.6*2.2*2.715*2.6*1.4*1.4*1.5*1.5*3.2,60500000000*(1.654288^(MIN($E2022,123)-117)))*1,0))</f>
        <v>22107169230</v>
      </c>
    </row>
    <row r="2023" ht="28" customHeight="1" spans="1:34" x14ac:dyDescent="0.25">
      <c r="A2023">
        <v>2033</v>
      </c>
      <c r="B2023" t="s">
        <v>776</v>
      </c>
      <c r="C2023" s="10" t="s">
        <v>1276</v>
      </c>
      <c r="D2023" t="s">
        <v>40</v>
      </c>
      <c r="E2023">
        <v>115</v>
      </c>
      <c r="F2023" t="s">
        <v>54</v>
      </c>
      <c r="G2023" t="s">
        <v>1277</v>
      </c>
      <c r="H2023">
        <v>29</v>
      </c>
      <c r="I2023" s="11">
        <f>$E2023+0</f>
        <v>115</v>
      </c>
      <c r="J2023" s="12">
        <v>728000</v>
      </c>
      <c r="K2023" s="13">
        <f>$E2023+1</f>
        <v>116</v>
      </c>
      <c r="L2023" s="14">
        <f>IF($J2023=0,0,ROUND(MAX($J2023*1.4,1620000*(1.497923^(MIN($E2023,123)-117)))*1,0))</f>
        <v>1019200</v>
      </c>
      <c r="M2023" s="11">
        <f>$E2023+2</f>
        <v>117</v>
      </c>
      <c r="N2023" s="12">
        <f>IF($J2023=0,0,ROUND(MAX($J2023*1.4*1.5,2190000*(1.580994^(MIN($E2023,123)-117)))*1,0))</f>
        <v>1528800</v>
      </c>
      <c r="O2023" s="13">
        <f>$E2023+4</f>
        <v>119</v>
      </c>
      <c r="P2023" s="14">
        <f>IF($J2023=0,0,ROUND(MAX($J2023*1.4*1.5*1.6,3500000*(1.57975^(MIN($E2023,123)-117)))*1,0))</f>
        <v>2446080</v>
      </c>
      <c r="Q2023" s="11">
        <f>$E2023+6</f>
        <v>121</v>
      </c>
      <c r="R2023" s="12">
        <f>IF($J2023=0,0,ROUND(MAX($J2023*1.4*1.5*1.6*1.6,13100000*(1.429962^(MIN($E2023,123)-117)))*1,0))</f>
        <v>6406522</v>
      </c>
      <c r="S2023" s="13">
        <f>$E2023+8</f>
        <v>123</v>
      </c>
      <c r="T2023" s="14">
        <f>IF($J2023=0,0,ROUND(MAX($J2023*1.4*1.5*1.6*1.6*2.2,42600000*(1.576904^(MIN($E2023,123)-117)))*1,0))</f>
        <v>17131646</v>
      </c>
      <c r="U2023" s="11">
        <f>$E2023+11</f>
        <v>126</v>
      </c>
      <c r="V2023" s="12">
        <f>IF($J2023=0,0,ROUND(MAX($J2023*1.4*1.5*1.6*1.6*2.2*2.715,354000000*(1.642074^(MIN($E2023,123)-117)))*1,0))</f>
        <v>131285817</v>
      </c>
      <c r="W2023" s="13">
        <f>$E2023+15</f>
        <v>130</v>
      </c>
      <c r="X2023" s="14">
        <f>IF($J2023=0,0,ROUND(MAX($J2023*1.4*1.5*1.6*1.6*2.2*2.715*2.6,3540000000*(1.579646^(MIN($E2023,123)-117)))*1,0))</f>
        <v>1418677620</v>
      </c>
      <c r="Y2023" s="11">
        <f>$E2023+17</f>
        <v>132</v>
      </c>
      <c r="Z2023" s="12">
        <f>IF($J2023=0,0,ROUND(MAX($J2023*1.4*1.5*1.6*1.6*2.2*2.715*2.6*1.4,6020000000*(1.651178^(MIN($E2023,123)-117)))*1,0))</f>
        <v>2208048987</v>
      </c>
      <c r="AA2023" s="13">
        <f>$E2023+19</f>
        <v>134</v>
      </c>
      <c r="AB2023" s="14">
        <f>IF($J2023=0,0,ROUND(MAX($J2023*1.4*1.5*1.6*1.6*2.2*2.715*2.6*1.4*1.4,8430000000*(1.651435^(MIN($E2023,123)-117)))*1,0))</f>
        <v>3091039859</v>
      </c>
      <c r="AC2023" s="11">
        <f>$E2023+21</f>
        <v>136</v>
      </c>
      <c r="AD2023" s="12">
        <f>IF($J2023=0,0,ROUND(MAX($J2023*1.4*1.5*1.6*1.6*2.2*2.715*2.6*1.4*1.4*1.5,12600000000*(1.652953^(MIN($E2023,123)-117)))*1,0))</f>
        <v>4611577749</v>
      </c>
      <c r="AE2023" s="13">
        <f>$E2023+24</f>
        <v>139</v>
      </c>
      <c r="AF2023" s="14">
        <f>IF($J2023=0,0,ROUND(MAX($J2023*1.4*1.5*1.6*1.6*2.2*2.715*2.6*1.4*1.4*1.5*1.5,18900000000*(1.65331^(MIN($E2023,123)-117)))*1,0))</f>
        <v>6914379606</v>
      </c>
      <c r="AG2023" s="11">
        <f>$E2023+27</f>
        <v>142</v>
      </c>
      <c r="AH2023" s="12">
        <f>IF($J2023=0,0,ROUND(MAX($J2023*1.4*1.5*1.6*1.6*2.2*2.715*2.6*1.4*1.4*1.5*1.5*3.2,60500000000*(1.654288^(MIN($E2023,123)-117)))*1,0))</f>
        <v>22107169230</v>
      </c>
    </row>
    <row r="2024" ht="28" customHeight="1" spans="1:34" x14ac:dyDescent="0.25">
      <c r="A2024">
        <v>2034</v>
      </c>
      <c r="B2024" t="s">
        <v>109</v>
      </c>
      <c r="C2024" s="10" t="s">
        <v>1276</v>
      </c>
      <c r="D2024" t="s">
        <v>25</v>
      </c>
      <c r="E2024">
        <v>115</v>
      </c>
      <c r="F2024" t="s">
        <v>30</v>
      </c>
      <c r="G2024" t="s">
        <v>1277</v>
      </c>
      <c r="H2024">
        <v>29</v>
      </c>
      <c r="I2024" s="11">
        <f>$E2024+0</f>
        <v>115</v>
      </c>
      <c r="J2024" s="12">
        <v>2420000</v>
      </c>
      <c r="K2024" s="13">
        <f>$E2024+1</f>
        <v>116</v>
      </c>
      <c r="L2024" s="14">
        <f>IF($J2024=0,0,ROUND(MAX($J2024*1.4,1620000*(1.497923^(MIN($E2024,123)-117)))*1,0))</f>
        <v>3388000</v>
      </c>
      <c r="M2024" s="11">
        <f>$E2024+2</f>
        <v>117</v>
      </c>
      <c r="N2024" s="12">
        <f>IF($J2024=0,0,ROUND(MAX($J2024*1.4*1.5,2190000*(1.580994^(MIN($E2024,123)-117)))*1,0))</f>
        <v>5082000</v>
      </c>
      <c r="O2024" s="13">
        <f>$E2024+4</f>
        <v>119</v>
      </c>
      <c r="P2024" s="14">
        <f>IF($J2024=0,0,ROUND(MAX($J2024*1.4*1.5*1.6,3500000*(1.57975^(MIN($E2024,123)-117)))*1,0))</f>
        <v>8131200</v>
      </c>
      <c r="Q2024" s="11">
        <f>$E2024+6</f>
        <v>121</v>
      </c>
      <c r="R2024" s="12">
        <f>IF($J2024=0,0,ROUND(MAX($J2024*1.4*1.5*1.6*1.6,13100000*(1.429962^(MIN($E2024,123)-117)))*1,0))</f>
        <v>13009920</v>
      </c>
      <c r="S2024" s="13">
        <f>$E2024+8</f>
        <v>123</v>
      </c>
      <c r="T2024" s="14">
        <f>IF($J2024=0,0,ROUND(MAX($J2024*1.4*1.5*1.6*1.6*2.2,42600000*(1.576904^(MIN($E2024,123)-117)))*1,0))</f>
        <v>28621824</v>
      </c>
      <c r="U2024" s="11">
        <f>$E2024+11</f>
        <v>126</v>
      </c>
      <c r="V2024" s="12">
        <f>IF($J2024=0,0,ROUND(MAX($J2024*1.4*1.5*1.6*1.6*2.2*2.715,354000000*(1.642074^(MIN($E2024,123)-117)))*1,0))</f>
        <v>131285817</v>
      </c>
      <c r="W2024" s="13">
        <f>$E2024+15</f>
        <v>130</v>
      </c>
      <c r="X2024" s="14">
        <f>IF($J2024=0,0,ROUND(MAX($J2024*1.4*1.5*1.6*1.6*2.2*2.715*2.6,3540000000*(1.579646^(MIN($E2024,123)-117)))*1,0))</f>
        <v>1418677620</v>
      </c>
      <c r="Y2024" s="11">
        <f>$E2024+17</f>
        <v>132</v>
      </c>
      <c r="Z2024" s="12">
        <f>IF($J2024=0,0,ROUND(MAX($J2024*1.4*1.5*1.6*1.6*2.2*2.715*2.6*1.4,6020000000*(1.651178^(MIN($E2024,123)-117)))*1,0))</f>
        <v>2208048987</v>
      </c>
      <c r="AA2024" s="13">
        <f>$E2024+19</f>
        <v>134</v>
      </c>
      <c r="AB2024" s="14">
        <f>IF($J2024=0,0,ROUND(MAX($J2024*1.4*1.5*1.6*1.6*2.2*2.715*2.6*1.4*1.4,8430000000*(1.651435^(MIN($E2024,123)-117)))*1,0))</f>
        <v>3091039859</v>
      </c>
      <c r="AC2024" s="11">
        <f>$E2024+21</f>
        <v>136</v>
      </c>
      <c r="AD2024" s="12">
        <f>IF($J2024=0,0,ROUND(MAX($J2024*1.4*1.5*1.6*1.6*2.2*2.715*2.6*1.4*1.4*1.5,12600000000*(1.652953^(MIN($E2024,123)-117)))*1,0))</f>
        <v>4611577749</v>
      </c>
      <c r="AE2024" s="13">
        <f>$E2024+24</f>
        <v>139</v>
      </c>
      <c r="AF2024" s="14">
        <f>IF($J2024=0,0,ROUND(MAX($J2024*1.4*1.5*1.6*1.6*2.2*2.715*2.6*1.4*1.4*1.5*1.5,18900000000*(1.65331^(MIN($E2024,123)-117)))*1,0))</f>
        <v>6914379606</v>
      </c>
      <c r="AG2024" s="11">
        <f>$E2024+27</f>
        <v>142</v>
      </c>
      <c r="AH2024" s="12">
        <f>IF($J2024=0,0,ROUND(MAX($J2024*1.4*1.5*1.6*1.6*2.2*2.715*2.6*1.4*1.4*1.5*1.5*3.2,60500000000*(1.654288^(MIN($E2024,123)-117)))*1,0))</f>
        <v>22107169230</v>
      </c>
    </row>
    <row r="2025" ht="28" customHeight="1" spans="1:34" x14ac:dyDescent="0.25">
      <c r="A2025">
        <v>2035</v>
      </c>
      <c r="B2025" t="s">
        <v>173</v>
      </c>
      <c r="C2025" s="10" t="s">
        <v>1276</v>
      </c>
      <c r="D2025" t="s">
        <v>64</v>
      </c>
      <c r="E2025">
        <v>115</v>
      </c>
      <c r="F2025" t="s">
        <v>174</v>
      </c>
      <c r="G2025" t="s">
        <v>1277</v>
      </c>
      <c r="H2025">
        <v>29</v>
      </c>
      <c r="I2025" s="11">
        <f>$E2025+0</f>
        <v>115</v>
      </c>
      <c r="J2025" s="12">
        <v>672000</v>
      </c>
      <c r="K2025" s="13">
        <f>$E2025+1</f>
        <v>116</v>
      </c>
      <c r="L2025" s="14">
        <f>IF($J2025=0,0,ROUND(MAX($J2025*1.4,1620000*(1.497923^(MIN($E2025,123)-117)))*1,0))</f>
        <v>940800</v>
      </c>
      <c r="M2025" s="11">
        <f>$E2025+2</f>
        <v>117</v>
      </c>
      <c r="N2025" s="12">
        <f>IF($J2025=0,0,ROUND(MAX($J2025*1.4*1.5,2190000*(1.580994^(MIN($E2025,123)-117)))*1,0))</f>
        <v>1411200</v>
      </c>
      <c r="O2025" s="13">
        <f>$E2025+4</f>
        <v>119</v>
      </c>
      <c r="P2025" s="14">
        <f>IF($J2025=0,0,ROUND(MAX($J2025*1.4*1.5*1.6,3500000*(1.57975^(MIN($E2025,123)-117)))*1,0))</f>
        <v>2257920</v>
      </c>
      <c r="Q2025" s="11">
        <f>$E2025+6</f>
        <v>121</v>
      </c>
      <c r="R2025" s="12">
        <f>IF($J2025=0,0,ROUND(MAX($J2025*1.4*1.5*1.6*1.6,13100000*(1.429962^(MIN($E2025,123)-117)))*1,0))</f>
        <v>6406522</v>
      </c>
      <c r="S2025" s="13">
        <f>$E2025+8</f>
        <v>123</v>
      </c>
      <c r="T2025" s="14">
        <f>IF($J2025=0,0,ROUND(MAX($J2025*1.4*1.5*1.6*1.6*2.2,42600000*(1.576904^(MIN($E2025,123)-117)))*1,0))</f>
        <v>17131646</v>
      </c>
      <c r="U2025" s="11">
        <f>$E2025+11</f>
        <v>126</v>
      </c>
      <c r="V2025" s="12">
        <f>IF($J2025=0,0,ROUND(MAX($J2025*1.4*1.5*1.6*1.6*2.2*2.715,354000000*(1.642074^(MIN($E2025,123)-117)))*1,0))</f>
        <v>131285817</v>
      </c>
      <c r="W2025" s="13">
        <f>$E2025+15</f>
        <v>130</v>
      </c>
      <c r="X2025" s="14">
        <f>IF($J2025=0,0,ROUND(MAX($J2025*1.4*1.5*1.6*1.6*2.2*2.715*2.6,3540000000*(1.579646^(MIN($E2025,123)-117)))*1,0))</f>
        <v>1418677620</v>
      </c>
      <c r="Y2025" s="11">
        <f>$E2025+17</f>
        <v>132</v>
      </c>
      <c r="Z2025" s="12">
        <f>IF($J2025=0,0,ROUND(MAX($J2025*1.4*1.5*1.6*1.6*2.2*2.715*2.6*1.4,6020000000*(1.651178^(MIN($E2025,123)-117)))*1,0))</f>
        <v>2208048987</v>
      </c>
      <c r="AA2025" s="13">
        <f>$E2025+19</f>
        <v>134</v>
      </c>
      <c r="AB2025" s="14">
        <f>IF($J2025=0,0,ROUND(MAX($J2025*1.4*1.5*1.6*1.6*2.2*2.715*2.6*1.4*1.4,8430000000*(1.651435^(MIN($E2025,123)-117)))*1,0))</f>
        <v>3091039859</v>
      </c>
      <c r="AC2025" s="11">
        <f>$E2025+21</f>
        <v>136</v>
      </c>
      <c r="AD2025" s="12">
        <f>IF($J2025=0,0,ROUND(MAX($J2025*1.4*1.5*1.6*1.6*2.2*2.715*2.6*1.4*1.4*1.5,12600000000*(1.652953^(MIN($E2025,123)-117)))*1,0))</f>
        <v>4611577749</v>
      </c>
      <c r="AE2025" s="13">
        <f>$E2025+24</f>
        <v>139</v>
      </c>
      <c r="AF2025" s="14">
        <f>IF($J2025=0,0,ROUND(MAX($J2025*1.4*1.5*1.6*1.6*2.2*2.715*2.6*1.4*1.4*1.5*1.5,18900000000*(1.65331^(MIN($E2025,123)-117)))*1,0))</f>
        <v>6914379606</v>
      </c>
      <c r="AG2025" s="11">
        <f>$E2025+27</f>
        <v>142</v>
      </c>
      <c r="AH2025" s="12">
        <f>IF($J2025=0,0,ROUND(MAX($J2025*1.4*1.5*1.6*1.6*2.2*2.715*2.6*1.4*1.4*1.5*1.5*3.2,60500000000*(1.654288^(MIN($E2025,123)-117)))*1,0))</f>
        <v>22107169230</v>
      </c>
    </row>
    <row r="2026" ht="28" customHeight="1" spans="1:34" x14ac:dyDescent="0.25">
      <c r="A2026">
        <v>2036</v>
      </c>
      <c r="B2026" t="s">
        <v>76</v>
      </c>
      <c r="C2026" s="10" t="s">
        <v>1276</v>
      </c>
      <c r="D2026" t="s">
        <v>29</v>
      </c>
      <c r="E2026">
        <v>115</v>
      </c>
      <c r="F2026" t="s">
        <v>62</v>
      </c>
      <c r="G2026" t="s">
        <v>1277</v>
      </c>
      <c r="H2026">
        <v>29</v>
      </c>
      <c r="I2026" s="11">
        <f>$E2026+0</f>
        <v>115</v>
      </c>
      <c r="J2026" s="12">
        <v>4280000</v>
      </c>
      <c r="K2026" s="13">
        <f>$E2026+1</f>
        <v>116</v>
      </c>
      <c r="L2026" s="14">
        <f>IF($J2026=0,0,ROUND(MAX($J2026*1.4,1620000*(1.497923^(MIN($E2026,123)-117)))*1,0))</f>
        <v>5992000</v>
      </c>
      <c r="M2026" s="11">
        <f>$E2026+2</f>
        <v>117</v>
      </c>
      <c r="N2026" s="12">
        <f>IF($J2026=0,0,ROUND(MAX($J2026*1.4*1.5,2190000*(1.580994^(MIN($E2026,123)-117)))*1,0))</f>
        <v>8988000</v>
      </c>
      <c r="O2026" s="13">
        <f>$E2026+4</f>
        <v>119</v>
      </c>
      <c r="P2026" s="14">
        <f>IF($J2026=0,0,ROUND(MAX($J2026*1.4*1.5*1.6,3500000*(1.57975^(MIN($E2026,123)-117)))*1,0))</f>
        <v>14380800</v>
      </c>
      <c r="Q2026" s="11">
        <f>$E2026+6</f>
        <v>121</v>
      </c>
      <c r="R2026" s="12">
        <f>IF($J2026=0,0,ROUND(MAX($J2026*1.4*1.5*1.6*1.6,13100000*(1.429962^(MIN($E2026,123)-117)))*1,0))</f>
        <v>23009280</v>
      </c>
      <c r="S2026" s="13">
        <f>$E2026+8</f>
        <v>123</v>
      </c>
      <c r="T2026" s="14">
        <f>IF($J2026=0,0,ROUND(MAX($J2026*1.4*1.5*1.6*1.6*2.2,42600000*(1.576904^(MIN($E2026,123)-117)))*1,0))</f>
        <v>50620416</v>
      </c>
      <c r="U2026" s="11">
        <f>$E2026+11</f>
        <v>126</v>
      </c>
      <c r="V2026" s="12">
        <f>IF($J2026=0,0,ROUND(MAX($J2026*1.4*1.5*1.6*1.6*2.2*2.715,354000000*(1.642074^(MIN($E2026,123)-117)))*1,0))</f>
        <v>137434429</v>
      </c>
      <c r="W2026" s="13">
        <f>$E2026+15</f>
        <v>130</v>
      </c>
      <c r="X2026" s="14">
        <f>IF($J2026=0,0,ROUND(MAX($J2026*1.4*1.5*1.6*1.6*2.2*2.715*2.6,3540000000*(1.579646^(MIN($E2026,123)-117)))*1,0))</f>
        <v>1418677620</v>
      </c>
      <c r="Y2026" s="11">
        <f>$E2026+17</f>
        <v>132</v>
      </c>
      <c r="Z2026" s="12">
        <f>IF($J2026=0,0,ROUND(MAX($J2026*1.4*1.5*1.6*1.6*2.2*2.715*2.6*1.4,6020000000*(1.651178^(MIN($E2026,123)-117)))*1,0))</f>
        <v>2208048987</v>
      </c>
      <c r="AA2026" s="13">
        <f>$E2026+19</f>
        <v>134</v>
      </c>
      <c r="AB2026" s="14">
        <f>IF($J2026=0,0,ROUND(MAX($J2026*1.4*1.5*1.6*1.6*2.2*2.715*2.6*1.4*1.4,8430000000*(1.651435^(MIN($E2026,123)-117)))*1,0))</f>
        <v>3091039859</v>
      </c>
      <c r="AC2026" s="11">
        <f>$E2026+21</f>
        <v>136</v>
      </c>
      <c r="AD2026" s="12">
        <f>IF($J2026=0,0,ROUND(MAX($J2026*1.4*1.5*1.6*1.6*2.2*2.715*2.6*1.4*1.4*1.5,12600000000*(1.652953^(MIN($E2026,123)-117)))*1,0))</f>
        <v>4611577749</v>
      </c>
      <c r="AE2026" s="13">
        <f>$E2026+24</f>
        <v>139</v>
      </c>
      <c r="AF2026" s="14">
        <f>IF($J2026=0,0,ROUND(MAX($J2026*1.4*1.5*1.6*1.6*2.2*2.715*2.6*1.4*1.4*1.5*1.5,18900000000*(1.65331^(MIN($E2026,123)-117)))*1,0))</f>
        <v>6914379606</v>
      </c>
      <c r="AG2026" s="11">
        <f>$E2026+27</f>
        <v>142</v>
      </c>
      <c r="AH2026" s="12">
        <f>IF($J2026=0,0,ROUND(MAX($J2026*1.4*1.5*1.6*1.6*2.2*2.715*2.6*1.4*1.4*1.5*1.5*3.2,60500000000*(1.654288^(MIN($E2026,123)-117)))*1,0))</f>
        <v>22107169230</v>
      </c>
    </row>
    <row r="2027" ht="28" customHeight="1" spans="1:34" x14ac:dyDescent="0.25">
      <c r="A2027">
        <v>2037</v>
      </c>
      <c r="B2027" t="s">
        <v>143</v>
      </c>
      <c r="C2027" s="10" t="s">
        <v>1276</v>
      </c>
      <c r="D2027" t="s">
        <v>25</v>
      </c>
      <c r="E2027">
        <v>115</v>
      </c>
      <c r="F2027" t="s">
        <v>144</v>
      </c>
      <c r="G2027" t="s">
        <v>1277</v>
      </c>
      <c r="H2027">
        <v>28</v>
      </c>
      <c r="I2027" s="11">
        <f>$E2027+0</f>
        <v>115</v>
      </c>
      <c r="J2027" s="12">
        <v>4110000</v>
      </c>
      <c r="K2027" s="13">
        <f>$E2027+1</f>
        <v>116</v>
      </c>
      <c r="L2027" s="14">
        <f>IF($J2027=0,0,ROUND(MAX($J2027*1.4,1620000*(1.497923^(MIN($E2027,123)-117)))*1,0))</f>
        <v>5754000</v>
      </c>
      <c r="M2027" s="11">
        <f>$E2027+2</f>
        <v>117</v>
      </c>
      <c r="N2027" s="12">
        <f>IF($J2027=0,0,ROUND(MAX($J2027*1.4*1.5,2190000*(1.580994^(MIN($E2027,123)-117)))*1,0))</f>
        <v>8631000</v>
      </c>
      <c r="O2027" s="13">
        <f>$E2027+4</f>
        <v>119</v>
      </c>
      <c r="P2027" s="14">
        <f>IF($J2027=0,0,ROUND(MAX($J2027*1.4*1.5*1.6,3500000*(1.57975^(MIN($E2027,123)-117)))*1,0))</f>
        <v>13809600</v>
      </c>
      <c r="Q2027" s="11">
        <f>$E2027+6</f>
        <v>121</v>
      </c>
      <c r="R2027" s="12">
        <f>IF($J2027=0,0,ROUND(MAX($J2027*1.4*1.5*1.6*1.6,13100000*(1.429962^(MIN($E2027,123)-117)))*1,0))</f>
        <v>22095360</v>
      </c>
      <c r="S2027" s="13">
        <f>$E2027+8</f>
        <v>123</v>
      </c>
      <c r="T2027" s="14">
        <f>IF($J2027=0,0,ROUND(MAX($J2027*1.4*1.5*1.6*1.6*2.2,42600000*(1.576904^(MIN($E2027,123)-117)))*1,0))</f>
        <v>48609792</v>
      </c>
      <c r="U2027" s="11">
        <f>$E2027+11</f>
        <v>126</v>
      </c>
      <c r="V2027" s="12">
        <f>IF($J2027=0,0,ROUND(MAX($J2027*1.4*1.5*1.6*1.6*2.2*2.715,354000000*(1.642074^(MIN($E2027,123)-117)))*1,0))</f>
        <v>131975585</v>
      </c>
      <c r="W2027" s="13">
        <f>$E2027+15</f>
        <v>130</v>
      </c>
      <c r="X2027" s="14">
        <f>IF($J2027=0,0,ROUND(MAX($J2027*1.4*1.5*1.6*1.6*2.2*2.715*2.6,3540000000*(1.579646^(MIN($E2027,123)-117)))*1,0))</f>
        <v>1418677620</v>
      </c>
      <c r="Y2027" s="11">
        <f>$E2027+17</f>
        <v>132</v>
      </c>
      <c r="Z2027" s="12">
        <f>IF($J2027=0,0,ROUND(MAX($J2027*1.4*1.5*1.6*1.6*2.2*2.715*2.6*1.4,6020000000*(1.651178^(MIN($E2027,123)-117)))*1,0))</f>
        <v>2208048987</v>
      </c>
      <c r="AA2027" s="13">
        <f>$E2027+19</f>
        <v>134</v>
      </c>
      <c r="AB2027" s="14">
        <f>IF($J2027=0,0,ROUND(MAX($J2027*1.4*1.5*1.6*1.6*2.2*2.715*2.6*1.4*1.4,8430000000*(1.651435^(MIN($E2027,123)-117)))*1,0))</f>
        <v>3091039859</v>
      </c>
      <c r="AC2027" s="11">
        <f>$E2027+21</f>
        <v>136</v>
      </c>
      <c r="AD2027" s="12">
        <f>IF($J2027=0,0,ROUND(MAX($J2027*1.4*1.5*1.6*1.6*2.2*2.715*2.6*1.4*1.4*1.5,12600000000*(1.652953^(MIN($E2027,123)-117)))*1,0))</f>
        <v>4611577749</v>
      </c>
      <c r="AE2027" s="13">
        <f>$E2027+24</f>
        <v>139</v>
      </c>
      <c r="AF2027" s="14">
        <f>IF($J2027=0,0,ROUND(MAX($J2027*1.4*1.5*1.6*1.6*2.2*2.715*2.6*1.4*1.4*1.5*1.5,18900000000*(1.65331^(MIN($E2027,123)-117)))*1,0))</f>
        <v>6914379606</v>
      </c>
      <c r="AG2027" s="11">
        <f>$E2027+27</f>
        <v>142</v>
      </c>
      <c r="AH2027" s="12">
        <f>IF($J2027=0,0,ROUND(MAX($J2027*1.4*1.5*1.6*1.6*2.2*2.715*2.6*1.4*1.4*1.5*1.5*3.2,60500000000*(1.654288^(MIN($E2027,123)-117)))*1,0))</f>
        <v>22107169230</v>
      </c>
    </row>
    <row r="2028" ht="28" customHeight="1" spans="1:34" x14ac:dyDescent="0.25">
      <c r="A2028">
        <v>2038</v>
      </c>
      <c r="B2028" t="s">
        <v>140</v>
      </c>
      <c r="C2028" s="10" t="s">
        <v>1276</v>
      </c>
      <c r="D2028" t="s">
        <v>40</v>
      </c>
      <c r="E2028">
        <v>115</v>
      </c>
      <c r="F2028" t="s">
        <v>56</v>
      </c>
      <c r="G2028" t="s">
        <v>1277</v>
      </c>
      <c r="H2028">
        <v>28</v>
      </c>
      <c r="I2028" s="11">
        <f>$E2028+0</f>
        <v>115</v>
      </c>
      <c r="J2028" s="12">
        <v>1440000</v>
      </c>
      <c r="K2028" s="13">
        <f>$E2028+1</f>
        <v>116</v>
      </c>
      <c r="L2028" s="14">
        <f>IF($J2028=0,0,ROUND(MAX($J2028*1.4,1620000*(1.497923^(MIN($E2028,123)-117)))*1,0))</f>
        <v>2016000</v>
      </c>
      <c r="M2028" s="11">
        <f>$E2028+2</f>
        <v>117</v>
      </c>
      <c r="N2028" s="12">
        <f>IF($J2028=0,0,ROUND(MAX($J2028*1.4*1.5,2190000*(1.580994^(MIN($E2028,123)-117)))*1,0))</f>
        <v>3024000</v>
      </c>
      <c r="O2028" s="13">
        <f>$E2028+4</f>
        <v>119</v>
      </c>
      <c r="P2028" s="14">
        <f>IF($J2028=0,0,ROUND(MAX($J2028*1.4*1.5*1.6,3500000*(1.57975^(MIN($E2028,123)-117)))*1,0))</f>
        <v>4838400</v>
      </c>
      <c r="Q2028" s="11">
        <f>$E2028+6</f>
        <v>121</v>
      </c>
      <c r="R2028" s="12">
        <f>IF($J2028=0,0,ROUND(MAX($J2028*1.4*1.5*1.6*1.6,13100000*(1.429962^(MIN($E2028,123)-117)))*1,0))</f>
        <v>7741440</v>
      </c>
      <c r="S2028" s="13">
        <f>$E2028+8</f>
        <v>123</v>
      </c>
      <c r="T2028" s="14">
        <f>IF($J2028=0,0,ROUND(MAX($J2028*1.4*1.5*1.6*1.6*2.2,42600000*(1.576904^(MIN($E2028,123)-117)))*1,0))</f>
        <v>17131646</v>
      </c>
      <c r="U2028" s="11">
        <f>$E2028+11</f>
        <v>126</v>
      </c>
      <c r="V2028" s="12">
        <f>IF($J2028=0,0,ROUND(MAX($J2028*1.4*1.5*1.6*1.6*2.2*2.715,354000000*(1.642074^(MIN($E2028,123)-117)))*1,0))</f>
        <v>131285817</v>
      </c>
      <c r="W2028" s="13">
        <f>$E2028+15</f>
        <v>130</v>
      </c>
      <c r="X2028" s="14">
        <f>IF($J2028=0,0,ROUND(MAX($J2028*1.4*1.5*1.6*1.6*2.2*2.715*2.6,3540000000*(1.579646^(MIN($E2028,123)-117)))*1,0))</f>
        <v>1418677620</v>
      </c>
      <c r="Y2028" s="11">
        <f>$E2028+17</f>
        <v>132</v>
      </c>
      <c r="Z2028" s="12">
        <f>IF($J2028=0,0,ROUND(MAX($J2028*1.4*1.5*1.6*1.6*2.2*2.715*2.6*1.4,6020000000*(1.651178^(MIN($E2028,123)-117)))*1,0))</f>
        <v>2208048987</v>
      </c>
      <c r="AA2028" s="13">
        <f>$E2028+19</f>
        <v>134</v>
      </c>
      <c r="AB2028" s="14">
        <f>IF($J2028=0,0,ROUND(MAX($J2028*1.4*1.5*1.6*1.6*2.2*2.715*2.6*1.4*1.4,8430000000*(1.651435^(MIN($E2028,123)-117)))*1,0))</f>
        <v>3091039859</v>
      </c>
      <c r="AC2028" s="11">
        <f>$E2028+21</f>
        <v>136</v>
      </c>
      <c r="AD2028" s="12">
        <f>IF($J2028=0,0,ROUND(MAX($J2028*1.4*1.5*1.6*1.6*2.2*2.715*2.6*1.4*1.4*1.5,12600000000*(1.652953^(MIN($E2028,123)-117)))*1,0))</f>
        <v>4611577749</v>
      </c>
      <c r="AE2028" s="13">
        <f>$E2028+24</f>
        <v>139</v>
      </c>
      <c r="AF2028" s="14">
        <f>IF($J2028=0,0,ROUND(MAX($J2028*1.4*1.5*1.6*1.6*2.2*2.715*2.6*1.4*1.4*1.5*1.5,18900000000*(1.65331^(MIN($E2028,123)-117)))*1,0))</f>
        <v>6914379606</v>
      </c>
      <c r="AG2028" s="11">
        <f>$E2028+27</f>
        <v>142</v>
      </c>
      <c r="AH2028" s="12">
        <f>IF($J2028=0,0,ROUND(MAX($J2028*1.4*1.5*1.6*1.6*2.2*2.715*2.6*1.4*1.4*1.5*1.5*3.2,60500000000*(1.654288^(MIN($E2028,123)-117)))*1,0))</f>
        <v>22107169230</v>
      </c>
    </row>
    <row r="2029" ht="28" customHeight="1" spans="1:34" x14ac:dyDescent="0.25">
      <c r="A2029">
        <v>2039</v>
      </c>
      <c r="B2029" t="s">
        <v>113</v>
      </c>
      <c r="C2029" s="10" t="s">
        <v>1276</v>
      </c>
      <c r="D2029" t="s">
        <v>25</v>
      </c>
      <c r="E2029">
        <v>115</v>
      </c>
      <c r="F2029" t="s">
        <v>30</v>
      </c>
      <c r="G2029" t="s">
        <v>1277</v>
      </c>
      <c r="H2029">
        <v>28</v>
      </c>
      <c r="I2029" s="11">
        <f>$E2029+0</f>
        <v>115</v>
      </c>
      <c r="J2029" s="12">
        <v>1580000</v>
      </c>
      <c r="K2029" s="13">
        <f>$E2029+1</f>
        <v>116</v>
      </c>
      <c r="L2029" s="14">
        <f>IF($J2029=0,0,ROUND(MAX($J2029*1.4,1620000*(1.497923^(MIN($E2029,123)-117)))*1,0))</f>
        <v>2212000</v>
      </c>
      <c r="M2029" s="11">
        <f>$E2029+2</f>
        <v>117</v>
      </c>
      <c r="N2029" s="12">
        <f>IF($J2029=0,0,ROUND(MAX($J2029*1.4*1.5,2190000*(1.580994^(MIN($E2029,123)-117)))*1,0))</f>
        <v>3318000</v>
      </c>
      <c r="O2029" s="13">
        <f>$E2029+4</f>
        <v>119</v>
      </c>
      <c r="P2029" s="14">
        <f>IF($J2029=0,0,ROUND(MAX($J2029*1.4*1.5*1.6,3500000*(1.57975^(MIN($E2029,123)-117)))*1,0))</f>
        <v>5308800</v>
      </c>
      <c r="Q2029" s="11">
        <f>$E2029+6</f>
        <v>121</v>
      </c>
      <c r="R2029" s="12">
        <f>IF($J2029=0,0,ROUND(MAX($J2029*1.4*1.5*1.6*1.6,13100000*(1.429962^(MIN($E2029,123)-117)))*1,0))</f>
        <v>8494080</v>
      </c>
      <c r="S2029" s="13">
        <f>$E2029+8</f>
        <v>123</v>
      </c>
      <c r="T2029" s="14">
        <f>IF($J2029=0,0,ROUND(MAX($J2029*1.4*1.5*1.6*1.6*2.2,42600000*(1.576904^(MIN($E2029,123)-117)))*1,0))</f>
        <v>18686976</v>
      </c>
      <c r="U2029" s="11">
        <f>$E2029+11</f>
        <v>126</v>
      </c>
      <c r="V2029" s="12">
        <f>IF($J2029=0,0,ROUND(MAX($J2029*1.4*1.5*1.6*1.6*2.2*2.715,354000000*(1.642074^(MIN($E2029,123)-117)))*1,0))</f>
        <v>131285817</v>
      </c>
      <c r="W2029" s="13">
        <f>$E2029+15</f>
        <v>130</v>
      </c>
      <c r="X2029" s="14">
        <f>IF($J2029=0,0,ROUND(MAX($J2029*1.4*1.5*1.6*1.6*2.2*2.715*2.6,3540000000*(1.579646^(MIN($E2029,123)-117)))*1,0))</f>
        <v>1418677620</v>
      </c>
      <c r="Y2029" s="11">
        <f>$E2029+17</f>
        <v>132</v>
      </c>
      <c r="Z2029" s="12">
        <f>IF($J2029=0,0,ROUND(MAX($J2029*1.4*1.5*1.6*1.6*2.2*2.715*2.6*1.4,6020000000*(1.651178^(MIN($E2029,123)-117)))*1,0))</f>
        <v>2208048987</v>
      </c>
      <c r="AA2029" s="13">
        <f>$E2029+19</f>
        <v>134</v>
      </c>
      <c r="AB2029" s="14">
        <f>IF($J2029=0,0,ROUND(MAX($J2029*1.4*1.5*1.6*1.6*2.2*2.715*2.6*1.4*1.4,8430000000*(1.651435^(MIN($E2029,123)-117)))*1,0))</f>
        <v>3091039859</v>
      </c>
      <c r="AC2029" s="11">
        <f>$E2029+21</f>
        <v>136</v>
      </c>
      <c r="AD2029" s="12">
        <f>IF($J2029=0,0,ROUND(MAX($J2029*1.4*1.5*1.6*1.6*2.2*2.715*2.6*1.4*1.4*1.5,12600000000*(1.652953^(MIN($E2029,123)-117)))*1,0))</f>
        <v>4611577749</v>
      </c>
      <c r="AE2029" s="13">
        <f>$E2029+24</f>
        <v>139</v>
      </c>
      <c r="AF2029" s="14">
        <f>IF($J2029=0,0,ROUND(MAX($J2029*1.4*1.5*1.6*1.6*2.2*2.715*2.6*1.4*1.4*1.5*1.5,18900000000*(1.65331^(MIN($E2029,123)-117)))*1,0))</f>
        <v>6914379606</v>
      </c>
      <c r="AG2029" s="11">
        <f>$E2029+27</f>
        <v>142</v>
      </c>
      <c r="AH2029" s="12">
        <f>IF($J2029=0,0,ROUND(MAX($J2029*1.4*1.5*1.6*1.6*2.2*2.715*2.6*1.4*1.4*1.5*1.5*3.2,60500000000*(1.654288^(MIN($E2029,123)-117)))*1,0))</f>
        <v>22107169230</v>
      </c>
    </row>
    <row r="2030" ht="28" customHeight="1" spans="1:34" x14ac:dyDescent="0.25">
      <c r="A2030">
        <v>2040</v>
      </c>
      <c r="B2030" t="s">
        <v>100</v>
      </c>
      <c r="C2030" s="10" t="s">
        <v>1276</v>
      </c>
      <c r="D2030" t="s">
        <v>33</v>
      </c>
      <c r="E2030">
        <v>115</v>
      </c>
      <c r="F2030" t="s">
        <v>62</v>
      </c>
      <c r="G2030" t="s">
        <v>1277</v>
      </c>
      <c r="H2030">
        <v>28</v>
      </c>
      <c r="I2030" s="11">
        <f>$E2030+0</f>
        <v>115</v>
      </c>
      <c r="J2030" s="12">
        <v>1310000</v>
      </c>
      <c r="K2030" s="13">
        <f>$E2030+1</f>
        <v>116</v>
      </c>
      <c r="L2030" s="14">
        <f>IF($J2030=0,0,ROUND(MAX($J2030*1.4,1620000*(1.497923^(MIN($E2030,123)-117)))*1,0))</f>
        <v>1834000</v>
      </c>
      <c r="M2030" s="11">
        <f>$E2030+2</f>
        <v>117</v>
      </c>
      <c r="N2030" s="12">
        <f>IF($J2030=0,0,ROUND(MAX($J2030*1.4*1.5,2190000*(1.580994^(MIN($E2030,123)-117)))*1,0))</f>
        <v>2751000</v>
      </c>
      <c r="O2030" s="13">
        <f>$E2030+4</f>
        <v>119</v>
      </c>
      <c r="P2030" s="14">
        <f>IF($J2030=0,0,ROUND(MAX($J2030*1.4*1.5*1.6,3500000*(1.57975^(MIN($E2030,123)-117)))*1,0))</f>
        <v>4401600</v>
      </c>
      <c r="Q2030" s="11">
        <f>$E2030+6</f>
        <v>121</v>
      </c>
      <c r="R2030" s="12">
        <f>IF($J2030=0,0,ROUND(MAX($J2030*1.4*1.5*1.6*1.6,13100000*(1.429962^(MIN($E2030,123)-117)))*1,0))</f>
        <v>7042560</v>
      </c>
      <c r="S2030" s="13">
        <f>$E2030+8</f>
        <v>123</v>
      </c>
      <c r="T2030" s="14">
        <f>IF($J2030=0,0,ROUND(MAX($J2030*1.4*1.5*1.6*1.6*2.2,42600000*(1.576904^(MIN($E2030,123)-117)))*1,0))</f>
        <v>17131646</v>
      </c>
      <c r="U2030" s="11">
        <f>$E2030+11</f>
        <v>126</v>
      </c>
      <c r="V2030" s="12">
        <f>IF($J2030=0,0,ROUND(MAX($J2030*1.4*1.5*1.6*1.6*2.2*2.715,354000000*(1.642074^(MIN($E2030,123)-117)))*1,0))</f>
        <v>131285817</v>
      </c>
      <c r="W2030" s="13">
        <f>$E2030+15</f>
        <v>130</v>
      </c>
      <c r="X2030" s="14">
        <f>IF($J2030=0,0,ROUND(MAX($J2030*1.4*1.5*1.6*1.6*2.2*2.715*2.6,3540000000*(1.579646^(MIN($E2030,123)-117)))*1,0))</f>
        <v>1418677620</v>
      </c>
      <c r="Y2030" s="11">
        <f>$E2030+17</f>
        <v>132</v>
      </c>
      <c r="Z2030" s="12">
        <f>IF($J2030=0,0,ROUND(MAX($J2030*1.4*1.5*1.6*1.6*2.2*2.715*2.6*1.4,6020000000*(1.651178^(MIN($E2030,123)-117)))*1,0))</f>
        <v>2208048987</v>
      </c>
      <c r="AA2030" s="13">
        <f>$E2030+19</f>
        <v>134</v>
      </c>
      <c r="AB2030" s="14">
        <f>IF($J2030=0,0,ROUND(MAX($J2030*1.4*1.5*1.6*1.6*2.2*2.715*2.6*1.4*1.4,8430000000*(1.651435^(MIN($E2030,123)-117)))*1,0))</f>
        <v>3091039859</v>
      </c>
      <c r="AC2030" s="11">
        <f>$E2030+21</f>
        <v>136</v>
      </c>
      <c r="AD2030" s="12">
        <f>IF($J2030=0,0,ROUND(MAX($J2030*1.4*1.5*1.6*1.6*2.2*2.715*2.6*1.4*1.4*1.5,12600000000*(1.652953^(MIN($E2030,123)-117)))*1,0))</f>
        <v>4611577749</v>
      </c>
      <c r="AE2030" s="13">
        <f>$E2030+24</f>
        <v>139</v>
      </c>
      <c r="AF2030" s="14">
        <f>IF($J2030=0,0,ROUND(MAX($J2030*1.4*1.5*1.6*1.6*2.2*2.715*2.6*1.4*1.4*1.5*1.5,18900000000*(1.65331^(MIN($E2030,123)-117)))*1,0))</f>
        <v>6914379606</v>
      </c>
      <c r="AG2030" s="11">
        <f>$E2030+27</f>
        <v>142</v>
      </c>
      <c r="AH2030" s="12">
        <f>IF($J2030=0,0,ROUND(MAX($J2030*1.4*1.5*1.6*1.6*2.2*2.715*2.6*1.4*1.4*1.5*1.5*3.2,60500000000*(1.654288^(MIN($E2030,123)-117)))*1,0))</f>
        <v>22107169230</v>
      </c>
    </row>
    <row r="2031" ht="28" customHeight="1" spans="1:34" x14ac:dyDescent="0.25">
      <c r="A2031">
        <v>2041</v>
      </c>
      <c r="B2031" t="s">
        <v>161</v>
      </c>
      <c r="C2031" s="10" t="s">
        <v>1276</v>
      </c>
      <c r="D2031" t="s">
        <v>79</v>
      </c>
      <c r="E2031">
        <v>114</v>
      </c>
      <c r="F2031" t="s">
        <v>54</v>
      </c>
      <c r="G2031" t="s">
        <v>1277</v>
      </c>
      <c r="H2031">
        <v>29</v>
      </c>
      <c r="I2031" s="11">
        <f>$E2031+0</f>
        <v>114</v>
      </c>
      <c r="J2031" s="12">
        <v>346000</v>
      </c>
      <c r="K2031" s="13">
        <f>$E2031+1</f>
        <v>115</v>
      </c>
      <c r="L2031" s="14">
        <f>IF($J2031=0,0,ROUND(MAX($J2031*1.4,1620000*(1.497923^(MIN($E2031,123)-117)))*1,0))</f>
        <v>484400</v>
      </c>
      <c r="M2031" s="11">
        <f>$E2031+2</f>
        <v>116</v>
      </c>
      <c r="N2031" s="12">
        <f>IF($J2031=0,0,ROUND(MAX($J2031*1.4*1.5,2190000*(1.580994^(MIN($E2031,123)-117)))*1,0))</f>
        <v>726600</v>
      </c>
      <c r="O2031" s="13">
        <f>$E2031+4</f>
        <v>118</v>
      </c>
      <c r="P2031" s="14">
        <f>IF($J2031=0,0,ROUND(MAX($J2031*1.4*1.5*1.6,3500000*(1.57975^(MIN($E2031,123)-117)))*1,0))</f>
        <v>1162560</v>
      </c>
      <c r="Q2031" s="11">
        <f>$E2031+6</f>
        <v>120</v>
      </c>
      <c r="R2031" s="12">
        <f>IF($J2031=0,0,ROUND(MAX($J2031*1.4*1.5*1.6*1.6,13100000*(1.429962^(MIN($E2031,123)-117)))*1,0))</f>
        <v>4480204</v>
      </c>
      <c r="S2031" s="13">
        <f>$E2031+8</f>
        <v>122</v>
      </c>
      <c r="T2031" s="14">
        <f>IF($J2031=0,0,ROUND(MAX($J2031*1.4*1.5*1.6*1.6*2.2,42600000*(1.576904^(MIN($E2031,123)-117)))*1,0))</f>
        <v>10864102</v>
      </c>
      <c r="U2031" s="11">
        <f>$E2031+11</f>
        <v>125</v>
      </c>
      <c r="V2031" s="12">
        <f>IF($J2031=0,0,ROUND(MAX($J2031*1.4*1.5*1.6*1.6*2.2*2.715,354000000*(1.642074^(MIN($E2031,123)-117)))*1,0))</f>
        <v>79951219</v>
      </c>
      <c r="W2031" s="13">
        <f>$E2031+15</f>
        <v>129</v>
      </c>
      <c r="X2031" s="14">
        <f>IF($J2031=0,0,ROUND(MAX($J2031*1.4*1.5*1.6*1.6*2.2*2.715*2.6,3540000000*(1.579646^(MIN($E2031,123)-117)))*1,0))</f>
        <v>898098448</v>
      </c>
      <c r="Y2031" s="11">
        <f>$E2031+17</f>
        <v>131</v>
      </c>
      <c r="Z2031" s="12">
        <f>IF($J2031=0,0,ROUND(MAX($J2031*1.4*1.5*1.6*1.6*2.2*2.715*2.6*1.4,6020000000*(1.651178^(MIN($E2031,123)-117)))*1,0))</f>
        <v>1337256787</v>
      </c>
      <c r="AA2031" s="13">
        <f>$E2031+19</f>
        <v>133</v>
      </c>
      <c r="AB2031" s="14">
        <f>IF($J2031=0,0,ROUND(MAX($J2031*1.4*1.5*1.6*1.6*2.2*2.715*2.6*1.4*1.4,8430000000*(1.651435^(MIN($E2031,123)-117)))*1,0))</f>
        <v>1871729653</v>
      </c>
      <c r="AC2031" s="11">
        <f>$E2031+21</f>
        <v>135</v>
      </c>
      <c r="AD2031" s="12">
        <f>IF($J2031=0,0,ROUND(MAX($J2031*1.4*1.5*1.6*1.6*2.2*2.715*2.6*1.4*1.4*1.5,12600000000*(1.652953^(MIN($E2031,123)-117)))*1,0))</f>
        <v>2789902525</v>
      </c>
      <c r="AE2031" s="13">
        <f>$E2031+24</f>
        <v>138</v>
      </c>
      <c r="AF2031" s="14">
        <f>IF($J2031=0,0,ROUND(MAX($J2031*1.4*1.5*1.6*1.6*2.2*2.715*2.6*1.4*1.4*1.5*1.5,18900000000*(1.65331^(MIN($E2031,123)-117)))*1,0))</f>
        <v>4182143461</v>
      </c>
      <c r="AG2031" s="11">
        <f>$E2031+27</f>
        <v>141</v>
      </c>
      <c r="AH2031" s="12">
        <f>IF($J2031=0,0,ROUND(MAX($J2031*1.4*1.5*1.6*1.6*2.2*2.715*2.6*1.4*1.4*1.5*1.5*3.2,60500000000*(1.654288^(MIN($E2031,123)-117)))*1,0))</f>
        <v>13363555336</v>
      </c>
    </row>
    <row r="2032" ht="28" customHeight="1" spans="1:34" x14ac:dyDescent="0.25">
      <c r="A2032">
        <v>2042</v>
      </c>
      <c r="B2032" t="s">
        <v>130</v>
      </c>
      <c r="C2032" s="10" t="s">
        <v>1276</v>
      </c>
      <c r="D2032" t="s">
        <v>25</v>
      </c>
      <c r="E2032">
        <v>114</v>
      </c>
      <c r="F2032" t="s">
        <v>56</v>
      </c>
      <c r="G2032" t="s">
        <v>1277</v>
      </c>
      <c r="H2032">
        <v>29</v>
      </c>
      <c r="I2032" s="11">
        <f>$E2032+0</f>
        <v>114</v>
      </c>
      <c r="J2032" s="12">
        <v>818000</v>
      </c>
      <c r="K2032" s="13">
        <f>$E2032+1</f>
        <v>115</v>
      </c>
      <c r="L2032" s="14">
        <f>IF($J2032=0,0,ROUND(MAX($J2032*1.4,1620000*(1.497923^(MIN($E2032,123)-117)))*1,0))</f>
        <v>1145200</v>
      </c>
      <c r="M2032" s="11">
        <f>$E2032+2</f>
        <v>116</v>
      </c>
      <c r="N2032" s="12">
        <f>IF($J2032=0,0,ROUND(MAX($J2032*1.4*1.5,2190000*(1.580994^(MIN($E2032,123)-117)))*1,0))</f>
        <v>1717800</v>
      </c>
      <c r="O2032" s="13">
        <f>$E2032+4</f>
        <v>118</v>
      </c>
      <c r="P2032" s="14">
        <f>IF($J2032=0,0,ROUND(MAX($J2032*1.4*1.5*1.6,3500000*(1.57975^(MIN($E2032,123)-117)))*1,0))</f>
        <v>2748480</v>
      </c>
      <c r="Q2032" s="11">
        <f>$E2032+6</f>
        <v>120</v>
      </c>
      <c r="R2032" s="12">
        <f>IF($J2032=0,0,ROUND(MAX($J2032*1.4*1.5*1.6*1.6,13100000*(1.429962^(MIN($E2032,123)-117)))*1,0))</f>
        <v>4480204</v>
      </c>
      <c r="S2032" s="13">
        <f>$E2032+8</f>
        <v>122</v>
      </c>
      <c r="T2032" s="14">
        <f>IF($J2032=0,0,ROUND(MAX($J2032*1.4*1.5*1.6*1.6*2.2,42600000*(1.576904^(MIN($E2032,123)-117)))*1,0))</f>
        <v>10864102</v>
      </c>
      <c r="U2032" s="11">
        <f>$E2032+11</f>
        <v>125</v>
      </c>
      <c r="V2032" s="12">
        <f>IF($J2032=0,0,ROUND(MAX($J2032*1.4*1.5*1.6*1.6*2.2*2.715,354000000*(1.642074^(MIN($E2032,123)-117)))*1,0))</f>
        <v>79951219</v>
      </c>
      <c r="W2032" s="13">
        <f>$E2032+15</f>
        <v>129</v>
      </c>
      <c r="X2032" s="14">
        <f>IF($J2032=0,0,ROUND(MAX($J2032*1.4*1.5*1.6*1.6*2.2*2.715*2.6,3540000000*(1.579646^(MIN($E2032,123)-117)))*1,0))</f>
        <v>898098448</v>
      </c>
      <c r="Y2032" s="11">
        <f>$E2032+17</f>
        <v>131</v>
      </c>
      <c r="Z2032" s="12">
        <f>IF($J2032=0,0,ROUND(MAX($J2032*1.4*1.5*1.6*1.6*2.2*2.715*2.6*1.4,6020000000*(1.651178^(MIN($E2032,123)-117)))*1,0))</f>
        <v>1337256787</v>
      </c>
      <c r="AA2032" s="13">
        <f>$E2032+19</f>
        <v>133</v>
      </c>
      <c r="AB2032" s="14">
        <f>IF($J2032=0,0,ROUND(MAX($J2032*1.4*1.5*1.6*1.6*2.2*2.715*2.6*1.4*1.4,8430000000*(1.651435^(MIN($E2032,123)-117)))*1,0))</f>
        <v>1871729653</v>
      </c>
      <c r="AC2032" s="11">
        <f>$E2032+21</f>
        <v>135</v>
      </c>
      <c r="AD2032" s="12">
        <f>IF($J2032=0,0,ROUND(MAX($J2032*1.4*1.5*1.6*1.6*2.2*2.715*2.6*1.4*1.4*1.5,12600000000*(1.652953^(MIN($E2032,123)-117)))*1,0))</f>
        <v>2789902525</v>
      </c>
      <c r="AE2032" s="13">
        <f>$E2032+24</f>
        <v>138</v>
      </c>
      <c r="AF2032" s="14">
        <f>IF($J2032=0,0,ROUND(MAX($J2032*1.4*1.5*1.6*1.6*2.2*2.715*2.6*1.4*1.4*1.5*1.5,18900000000*(1.65331^(MIN($E2032,123)-117)))*1,0))</f>
        <v>4182143461</v>
      </c>
      <c r="AG2032" s="11">
        <f>$E2032+27</f>
        <v>141</v>
      </c>
      <c r="AH2032" s="12">
        <f>IF($J2032=0,0,ROUND(MAX($J2032*1.4*1.5*1.6*1.6*2.2*2.715*2.6*1.4*1.4*1.5*1.5*3.2,60500000000*(1.654288^(MIN($E2032,123)-117)))*1,0))</f>
        <v>13363555336</v>
      </c>
    </row>
    <row r="2033" ht="28" customHeight="1" spans="1:34" x14ac:dyDescent="0.25">
      <c r="A2033">
        <v>2043</v>
      </c>
      <c r="B2033" t="s">
        <v>117</v>
      </c>
      <c r="C2033" s="10" t="s">
        <v>1276</v>
      </c>
      <c r="D2033" t="s">
        <v>40</v>
      </c>
      <c r="E2033">
        <v>114</v>
      </c>
      <c r="F2033" t="s">
        <v>54</v>
      </c>
      <c r="G2033" t="s">
        <v>1277</v>
      </c>
      <c r="H2033">
        <v>29</v>
      </c>
      <c r="I2033" s="11">
        <f>$E2033+0</f>
        <v>114</v>
      </c>
      <c r="J2033" s="12">
        <v>436000</v>
      </c>
      <c r="K2033" s="13">
        <f>$E2033+1</f>
        <v>115</v>
      </c>
      <c r="L2033" s="14">
        <f>IF($J2033=0,0,ROUND(MAX($J2033*1.4,1620000*(1.497923^(MIN($E2033,123)-117)))*1,0))</f>
        <v>610400</v>
      </c>
      <c r="M2033" s="11">
        <f>$E2033+2</f>
        <v>116</v>
      </c>
      <c r="N2033" s="12">
        <f>IF($J2033=0,0,ROUND(MAX($J2033*1.4*1.5,2190000*(1.580994^(MIN($E2033,123)-117)))*1,0))</f>
        <v>915600</v>
      </c>
      <c r="O2033" s="13">
        <f>$E2033+4</f>
        <v>118</v>
      </c>
      <c r="P2033" s="14">
        <f>IF($J2033=0,0,ROUND(MAX($J2033*1.4*1.5*1.6,3500000*(1.57975^(MIN($E2033,123)-117)))*1,0))</f>
        <v>1464960</v>
      </c>
      <c r="Q2033" s="11">
        <f>$E2033+6</f>
        <v>120</v>
      </c>
      <c r="R2033" s="12">
        <f>IF($J2033=0,0,ROUND(MAX($J2033*1.4*1.5*1.6*1.6,13100000*(1.429962^(MIN($E2033,123)-117)))*1,0))</f>
        <v>4480204</v>
      </c>
      <c r="S2033" s="13">
        <f>$E2033+8</f>
        <v>122</v>
      </c>
      <c r="T2033" s="14">
        <f>IF($J2033=0,0,ROUND(MAX($J2033*1.4*1.5*1.6*1.6*2.2,42600000*(1.576904^(MIN($E2033,123)-117)))*1,0))</f>
        <v>10864102</v>
      </c>
      <c r="U2033" s="11">
        <f>$E2033+11</f>
        <v>125</v>
      </c>
      <c r="V2033" s="12">
        <f>IF($J2033=0,0,ROUND(MAX($J2033*1.4*1.5*1.6*1.6*2.2*2.715,354000000*(1.642074^(MIN($E2033,123)-117)))*1,0))</f>
        <v>79951219</v>
      </c>
      <c r="W2033" s="13">
        <f>$E2033+15</f>
        <v>129</v>
      </c>
      <c r="X2033" s="14">
        <f>IF($J2033=0,0,ROUND(MAX($J2033*1.4*1.5*1.6*1.6*2.2*2.715*2.6,3540000000*(1.579646^(MIN($E2033,123)-117)))*1,0))</f>
        <v>898098448</v>
      </c>
      <c r="Y2033" s="11">
        <f>$E2033+17</f>
        <v>131</v>
      </c>
      <c r="Z2033" s="12">
        <f>IF($J2033=0,0,ROUND(MAX($J2033*1.4*1.5*1.6*1.6*2.2*2.715*2.6*1.4,6020000000*(1.651178^(MIN($E2033,123)-117)))*1,0))</f>
        <v>1337256787</v>
      </c>
      <c r="AA2033" s="13">
        <f>$E2033+19</f>
        <v>133</v>
      </c>
      <c r="AB2033" s="14">
        <f>IF($J2033=0,0,ROUND(MAX($J2033*1.4*1.5*1.6*1.6*2.2*2.715*2.6*1.4*1.4,8430000000*(1.651435^(MIN($E2033,123)-117)))*1,0))</f>
        <v>1871729653</v>
      </c>
      <c r="AC2033" s="11">
        <f>$E2033+21</f>
        <v>135</v>
      </c>
      <c r="AD2033" s="12">
        <f>IF($J2033=0,0,ROUND(MAX($J2033*1.4*1.5*1.6*1.6*2.2*2.715*2.6*1.4*1.4*1.5,12600000000*(1.652953^(MIN($E2033,123)-117)))*1,0))</f>
        <v>2789902525</v>
      </c>
      <c r="AE2033" s="13">
        <f>$E2033+24</f>
        <v>138</v>
      </c>
      <c r="AF2033" s="14">
        <f>IF($J2033=0,0,ROUND(MAX($J2033*1.4*1.5*1.6*1.6*2.2*2.715*2.6*1.4*1.4*1.5*1.5,18900000000*(1.65331^(MIN($E2033,123)-117)))*1,0))</f>
        <v>4182143461</v>
      </c>
      <c r="AG2033" s="11">
        <f>$E2033+27</f>
        <v>141</v>
      </c>
      <c r="AH2033" s="12">
        <f>IF($J2033=0,0,ROUND(MAX($J2033*1.4*1.5*1.6*1.6*2.2*2.715*2.6*1.4*1.4*1.5*1.5*3.2,60500000000*(1.654288^(MIN($E2033,123)-117)))*1,0))</f>
        <v>13363555336</v>
      </c>
    </row>
    <row r="2034" ht="28" customHeight="1" spans="1:34" x14ac:dyDescent="0.25">
      <c r="A2034">
        <v>2044</v>
      </c>
      <c r="B2034" t="s">
        <v>135</v>
      </c>
      <c r="C2034" s="10" t="s">
        <v>1276</v>
      </c>
      <c r="D2034" t="s">
        <v>29</v>
      </c>
      <c r="E2034">
        <v>114</v>
      </c>
      <c r="F2034" t="s">
        <v>136</v>
      </c>
      <c r="G2034" t="s">
        <v>1277</v>
      </c>
      <c r="H2034">
        <v>28</v>
      </c>
      <c r="I2034" s="11">
        <f>$E2034+0</f>
        <v>114</v>
      </c>
      <c r="J2034" s="12">
        <v>248000</v>
      </c>
      <c r="K2034" s="13">
        <f>$E2034+1</f>
        <v>115</v>
      </c>
      <c r="L2034" s="14">
        <f>IF($J2034=0,0,ROUND(MAX($J2034*1.4,1620000*(1.497923^(MIN($E2034,123)-117)))*1,0))</f>
        <v>481999</v>
      </c>
      <c r="M2034" s="11">
        <f>$E2034+2</f>
        <v>116</v>
      </c>
      <c r="N2034" s="12">
        <f>IF($J2034=0,0,ROUND(MAX($J2034*1.4*1.5,2190000*(1.580994^(MIN($E2034,123)-117)))*1,0))</f>
        <v>554183</v>
      </c>
      <c r="O2034" s="13">
        <f>$E2034+4</f>
        <v>118</v>
      </c>
      <c r="P2034" s="14">
        <f>IF($J2034=0,0,ROUND(MAX($J2034*1.4*1.5*1.6,3500000*(1.57975^(MIN($E2034,123)-117)))*1,0))</f>
        <v>887775</v>
      </c>
      <c r="Q2034" s="11">
        <f>$E2034+6</f>
        <v>120</v>
      </c>
      <c r="R2034" s="12">
        <f>IF($J2034=0,0,ROUND(MAX($J2034*1.4*1.5*1.6*1.6,13100000*(1.429962^(MIN($E2034,123)-117)))*1,0))</f>
        <v>4480204</v>
      </c>
      <c r="S2034" s="13">
        <f>$E2034+8</f>
        <v>122</v>
      </c>
      <c r="T2034" s="14">
        <f>IF($J2034=0,0,ROUND(MAX($J2034*1.4*1.5*1.6*1.6*2.2,42600000*(1.576904^(MIN($E2034,123)-117)))*1,0))</f>
        <v>10864102</v>
      </c>
      <c r="U2034" s="11">
        <f>$E2034+11</f>
        <v>125</v>
      </c>
      <c r="V2034" s="12">
        <f>IF($J2034=0,0,ROUND(MAX($J2034*1.4*1.5*1.6*1.6*2.2*2.715,354000000*(1.642074^(MIN($E2034,123)-117)))*1,0))</f>
        <v>79951219</v>
      </c>
      <c r="W2034" s="13">
        <f>$E2034+15</f>
        <v>129</v>
      </c>
      <c r="X2034" s="14">
        <f>IF($J2034=0,0,ROUND(MAX($J2034*1.4*1.5*1.6*1.6*2.2*2.715*2.6,3540000000*(1.579646^(MIN($E2034,123)-117)))*1,0))</f>
        <v>898098448</v>
      </c>
      <c r="Y2034" s="11">
        <f>$E2034+17</f>
        <v>131</v>
      </c>
      <c r="Z2034" s="12">
        <f>IF($J2034=0,0,ROUND(MAX($J2034*1.4*1.5*1.6*1.6*2.2*2.715*2.6*1.4,6020000000*(1.651178^(MIN($E2034,123)-117)))*1,0))</f>
        <v>1337256787</v>
      </c>
      <c r="AA2034" s="13">
        <f>$E2034+19</f>
        <v>133</v>
      </c>
      <c r="AB2034" s="14">
        <f>IF($J2034=0,0,ROUND(MAX($J2034*1.4*1.5*1.6*1.6*2.2*2.715*2.6*1.4*1.4,8430000000*(1.651435^(MIN($E2034,123)-117)))*1,0))</f>
        <v>1871729653</v>
      </c>
      <c r="AC2034" s="11">
        <f>$E2034+21</f>
        <v>135</v>
      </c>
      <c r="AD2034" s="12">
        <f>IF($J2034=0,0,ROUND(MAX($J2034*1.4*1.5*1.6*1.6*2.2*2.715*2.6*1.4*1.4*1.5,12600000000*(1.652953^(MIN($E2034,123)-117)))*1,0))</f>
        <v>2789902525</v>
      </c>
      <c r="AE2034" s="13">
        <f>$E2034+24</f>
        <v>138</v>
      </c>
      <c r="AF2034" s="14">
        <f>IF($J2034=0,0,ROUND(MAX($J2034*1.4*1.5*1.6*1.6*2.2*2.715*2.6*1.4*1.4*1.5*1.5,18900000000*(1.65331^(MIN($E2034,123)-117)))*1,0))</f>
        <v>4182143461</v>
      </c>
      <c r="AG2034" s="11">
        <f>$E2034+27</f>
        <v>141</v>
      </c>
      <c r="AH2034" s="12">
        <f>IF($J2034=0,0,ROUND(MAX($J2034*1.4*1.5*1.6*1.6*2.2*2.715*2.6*1.4*1.4*1.5*1.5*3.2,60500000000*(1.654288^(MIN($E2034,123)-117)))*1,0))</f>
        <v>13363555336</v>
      </c>
    </row>
    <row r="2035" ht="28" customHeight="1" spans="1:34" x14ac:dyDescent="0.25">
      <c r="A2035">
        <v>2045</v>
      </c>
      <c r="B2035" t="s">
        <v>177</v>
      </c>
      <c r="C2035" s="10" t="s">
        <v>1276</v>
      </c>
      <c r="D2035" t="s">
        <v>25</v>
      </c>
      <c r="E2035">
        <v>114</v>
      </c>
      <c r="F2035" t="s">
        <v>146</v>
      </c>
      <c r="G2035" t="s">
        <v>1277</v>
      </c>
      <c r="H2035">
        <v>28</v>
      </c>
      <c r="I2035" s="11">
        <f>$E2035+0</f>
        <v>114</v>
      </c>
      <c r="J2035" s="12">
        <v>527000</v>
      </c>
      <c r="K2035" s="13">
        <f>$E2035+1</f>
        <v>115</v>
      </c>
      <c r="L2035" s="14">
        <f>IF($J2035=0,0,ROUND(MAX($J2035*1.4,1620000*(1.497923^(MIN($E2035,123)-117)))*1,0))</f>
        <v>737800</v>
      </c>
      <c r="M2035" s="11">
        <f>$E2035+2</f>
        <v>116</v>
      </c>
      <c r="N2035" s="12">
        <f>IF($J2035=0,0,ROUND(MAX($J2035*1.4*1.5,2190000*(1.580994^(MIN($E2035,123)-117)))*1,0))</f>
        <v>1106700</v>
      </c>
      <c r="O2035" s="13">
        <f>$E2035+4</f>
        <v>118</v>
      </c>
      <c r="P2035" s="14">
        <f>IF($J2035=0,0,ROUND(MAX($J2035*1.4*1.5*1.6,3500000*(1.57975^(MIN($E2035,123)-117)))*1,0))</f>
        <v>1770720</v>
      </c>
      <c r="Q2035" s="11">
        <f>$E2035+6</f>
        <v>120</v>
      </c>
      <c r="R2035" s="12">
        <f>IF($J2035=0,0,ROUND(MAX($J2035*1.4*1.5*1.6*1.6,13100000*(1.429962^(MIN($E2035,123)-117)))*1,0))</f>
        <v>4480204</v>
      </c>
      <c r="S2035" s="13">
        <f>$E2035+8</f>
        <v>122</v>
      </c>
      <c r="T2035" s="14">
        <f>IF($J2035=0,0,ROUND(MAX($J2035*1.4*1.5*1.6*1.6*2.2,42600000*(1.576904^(MIN($E2035,123)-117)))*1,0))</f>
        <v>10864102</v>
      </c>
      <c r="U2035" s="11">
        <f>$E2035+11</f>
        <v>125</v>
      </c>
      <c r="V2035" s="12">
        <f>IF($J2035=0,0,ROUND(MAX($J2035*1.4*1.5*1.6*1.6*2.2*2.715,354000000*(1.642074^(MIN($E2035,123)-117)))*1,0))</f>
        <v>79951219</v>
      </c>
      <c r="W2035" s="13">
        <f>$E2035+15</f>
        <v>129</v>
      </c>
      <c r="X2035" s="14">
        <f>IF($J2035=0,0,ROUND(MAX($J2035*1.4*1.5*1.6*1.6*2.2*2.715*2.6,3540000000*(1.579646^(MIN($E2035,123)-117)))*1,0))</f>
        <v>898098448</v>
      </c>
      <c r="Y2035" s="11">
        <f>$E2035+17</f>
        <v>131</v>
      </c>
      <c r="Z2035" s="12">
        <f>IF($J2035=0,0,ROUND(MAX($J2035*1.4*1.5*1.6*1.6*2.2*2.715*2.6*1.4,6020000000*(1.651178^(MIN($E2035,123)-117)))*1,0))</f>
        <v>1337256787</v>
      </c>
      <c r="AA2035" s="13">
        <f>$E2035+19</f>
        <v>133</v>
      </c>
      <c r="AB2035" s="14">
        <f>IF($J2035=0,0,ROUND(MAX($J2035*1.4*1.5*1.6*1.6*2.2*2.715*2.6*1.4*1.4,8430000000*(1.651435^(MIN($E2035,123)-117)))*1,0))</f>
        <v>1871729653</v>
      </c>
      <c r="AC2035" s="11">
        <f>$E2035+21</f>
        <v>135</v>
      </c>
      <c r="AD2035" s="12">
        <f>IF($J2035=0,0,ROUND(MAX($J2035*1.4*1.5*1.6*1.6*2.2*2.715*2.6*1.4*1.4*1.5,12600000000*(1.652953^(MIN($E2035,123)-117)))*1,0))</f>
        <v>2789902525</v>
      </c>
      <c r="AE2035" s="13">
        <f>$E2035+24</f>
        <v>138</v>
      </c>
      <c r="AF2035" s="14">
        <f>IF($J2035=0,0,ROUND(MAX($J2035*1.4*1.5*1.6*1.6*2.2*2.715*2.6*1.4*1.4*1.5*1.5,18900000000*(1.65331^(MIN($E2035,123)-117)))*1,0))</f>
        <v>4182143461</v>
      </c>
      <c r="AG2035" s="11">
        <f>$E2035+27</f>
        <v>141</v>
      </c>
      <c r="AH2035" s="12">
        <f>IF($J2035=0,0,ROUND(MAX($J2035*1.4*1.5*1.6*1.6*2.2*2.715*2.6*1.4*1.4*1.5*1.5*3.2,60500000000*(1.654288^(MIN($E2035,123)-117)))*1,0))</f>
        <v>13363555336</v>
      </c>
    </row>
    <row r="2036" ht="28" customHeight="1" spans="1:34" x14ac:dyDescent="0.25">
      <c r="A2036">
        <v>2046</v>
      </c>
      <c r="B2036" t="s">
        <v>61</v>
      </c>
      <c r="C2036" s="10" t="s">
        <v>1276</v>
      </c>
      <c r="D2036" t="s">
        <v>33</v>
      </c>
      <c r="E2036">
        <v>114</v>
      </c>
      <c r="F2036" t="s">
        <v>62</v>
      </c>
      <c r="G2036" t="s">
        <v>1277</v>
      </c>
      <c r="H2036">
        <v>28</v>
      </c>
      <c r="I2036" s="11">
        <f>$E2036+0</f>
        <v>114</v>
      </c>
      <c r="J2036" s="12">
        <v>328000</v>
      </c>
      <c r="K2036" s="13">
        <f>$E2036+1</f>
        <v>115</v>
      </c>
      <c r="L2036" s="14">
        <f>IF($J2036=0,0,ROUND(MAX($J2036*1.4,1620000*(1.497923^(MIN($E2036,123)-117)))*1,0))</f>
        <v>481999</v>
      </c>
      <c r="M2036" s="11">
        <f>$E2036+2</f>
        <v>116</v>
      </c>
      <c r="N2036" s="12">
        <f>IF($J2036=0,0,ROUND(MAX($J2036*1.4*1.5,2190000*(1.580994^(MIN($E2036,123)-117)))*1,0))</f>
        <v>688800</v>
      </c>
      <c r="O2036" s="13">
        <f>$E2036+4</f>
        <v>118</v>
      </c>
      <c r="P2036" s="14">
        <f>IF($J2036=0,0,ROUND(MAX($J2036*1.4*1.5*1.6,3500000*(1.57975^(MIN($E2036,123)-117)))*1,0))</f>
        <v>1102080</v>
      </c>
      <c r="Q2036" s="11">
        <f>$E2036+6</f>
        <v>120</v>
      </c>
      <c r="R2036" s="12">
        <f>IF($J2036=0,0,ROUND(MAX($J2036*1.4*1.5*1.6*1.6,13100000*(1.429962^(MIN($E2036,123)-117)))*1,0))</f>
        <v>4480204</v>
      </c>
      <c r="S2036" s="13">
        <f>$E2036+8</f>
        <v>122</v>
      </c>
      <c r="T2036" s="14">
        <f>IF($J2036=0,0,ROUND(MAX($J2036*1.4*1.5*1.6*1.6*2.2,42600000*(1.576904^(MIN($E2036,123)-117)))*1,0))</f>
        <v>10864102</v>
      </c>
      <c r="U2036" s="11">
        <f>$E2036+11</f>
        <v>125</v>
      </c>
      <c r="V2036" s="12">
        <f>IF($J2036=0,0,ROUND(MAX($J2036*1.4*1.5*1.6*1.6*2.2*2.715,354000000*(1.642074^(MIN($E2036,123)-117)))*1,0))</f>
        <v>79951219</v>
      </c>
      <c r="W2036" s="13">
        <f>$E2036+15</f>
        <v>129</v>
      </c>
      <c r="X2036" s="14">
        <f>IF($J2036=0,0,ROUND(MAX($J2036*1.4*1.5*1.6*1.6*2.2*2.715*2.6,3540000000*(1.579646^(MIN($E2036,123)-117)))*1,0))</f>
        <v>898098448</v>
      </c>
      <c r="Y2036" s="11">
        <f>$E2036+17</f>
        <v>131</v>
      </c>
      <c r="Z2036" s="12">
        <f>IF($J2036=0,0,ROUND(MAX($J2036*1.4*1.5*1.6*1.6*2.2*2.715*2.6*1.4,6020000000*(1.651178^(MIN($E2036,123)-117)))*1,0))</f>
        <v>1337256787</v>
      </c>
      <c r="AA2036" s="13">
        <f>$E2036+19</f>
        <v>133</v>
      </c>
      <c r="AB2036" s="14">
        <f>IF($J2036=0,0,ROUND(MAX($J2036*1.4*1.5*1.6*1.6*2.2*2.715*2.6*1.4*1.4,8430000000*(1.651435^(MIN($E2036,123)-117)))*1,0))</f>
        <v>1871729653</v>
      </c>
      <c r="AC2036" s="11">
        <f>$E2036+21</f>
        <v>135</v>
      </c>
      <c r="AD2036" s="12">
        <f>IF($J2036=0,0,ROUND(MAX($J2036*1.4*1.5*1.6*1.6*2.2*2.715*2.6*1.4*1.4*1.5,12600000000*(1.652953^(MIN($E2036,123)-117)))*1,0))</f>
        <v>2789902525</v>
      </c>
      <c r="AE2036" s="13">
        <f>$E2036+24</f>
        <v>138</v>
      </c>
      <c r="AF2036" s="14">
        <f>IF($J2036=0,0,ROUND(MAX($J2036*1.4*1.5*1.6*1.6*2.2*2.715*2.6*1.4*1.4*1.5*1.5,18900000000*(1.65331^(MIN($E2036,123)-117)))*1,0))</f>
        <v>4182143461</v>
      </c>
      <c r="AG2036" s="11">
        <f>$E2036+27</f>
        <v>141</v>
      </c>
      <c r="AH2036" s="12">
        <f>IF($J2036=0,0,ROUND(MAX($J2036*1.4*1.5*1.6*1.6*2.2*2.715*2.6*1.4*1.4*1.5*1.5*3.2,60500000000*(1.654288^(MIN($E2036,123)-117)))*1,0))</f>
        <v>13363555336</v>
      </c>
    </row>
    <row r="2037" ht="28" customHeight="1" spans="1:34" x14ac:dyDescent="0.25">
      <c r="A2037">
        <v>2047</v>
      </c>
      <c r="B2037" t="s">
        <v>167</v>
      </c>
      <c r="C2037" s="10" t="s">
        <v>1276</v>
      </c>
      <c r="D2037" t="s">
        <v>25</v>
      </c>
      <c r="E2037">
        <v>114</v>
      </c>
      <c r="F2037" t="s">
        <v>168</v>
      </c>
      <c r="G2037" t="s">
        <v>1277</v>
      </c>
      <c r="H2037">
        <v>28</v>
      </c>
      <c r="I2037" s="11">
        <f>$E2037+0</f>
        <v>114</v>
      </c>
      <c r="J2037" s="12">
        <v>468000</v>
      </c>
      <c r="K2037" s="13">
        <f>$E2037+1</f>
        <v>115</v>
      </c>
      <c r="L2037" s="14">
        <f>IF($J2037=0,0,ROUND(MAX($J2037*1.4,1620000*(1.497923^(MIN($E2037,123)-117)))*1,0))</f>
        <v>655200</v>
      </c>
      <c r="M2037" s="11">
        <f>$E2037+2</f>
        <v>116</v>
      </c>
      <c r="N2037" s="12">
        <f>IF($J2037=0,0,ROUND(MAX($J2037*1.4*1.5,2190000*(1.580994^(MIN($E2037,123)-117)))*1,0))</f>
        <v>982800</v>
      </c>
      <c r="O2037" s="13">
        <f>$E2037+4</f>
        <v>118</v>
      </c>
      <c r="P2037" s="14">
        <f>IF($J2037=0,0,ROUND(MAX($J2037*1.4*1.5*1.6,3500000*(1.57975^(MIN($E2037,123)-117)))*1,0))</f>
        <v>1572480</v>
      </c>
      <c r="Q2037" s="11">
        <f>$E2037+6</f>
        <v>120</v>
      </c>
      <c r="R2037" s="12">
        <f>IF($J2037=0,0,ROUND(MAX($J2037*1.4*1.5*1.6*1.6,13100000*(1.429962^(MIN($E2037,123)-117)))*1,0))</f>
        <v>4480204</v>
      </c>
      <c r="S2037" s="13">
        <f>$E2037+8</f>
        <v>122</v>
      </c>
      <c r="T2037" s="14">
        <f>IF($J2037=0,0,ROUND(MAX($J2037*1.4*1.5*1.6*1.6*2.2,42600000*(1.576904^(MIN($E2037,123)-117)))*1,0))</f>
        <v>10864102</v>
      </c>
      <c r="U2037" s="11">
        <f>$E2037+11</f>
        <v>125</v>
      </c>
      <c r="V2037" s="12">
        <f>IF($J2037=0,0,ROUND(MAX($J2037*1.4*1.5*1.6*1.6*2.2*2.715,354000000*(1.642074^(MIN($E2037,123)-117)))*1,0))</f>
        <v>79951219</v>
      </c>
      <c r="W2037" s="13">
        <f>$E2037+15</f>
        <v>129</v>
      </c>
      <c r="X2037" s="14">
        <f>IF($J2037=0,0,ROUND(MAX($J2037*1.4*1.5*1.6*1.6*2.2*2.715*2.6,3540000000*(1.579646^(MIN($E2037,123)-117)))*1,0))</f>
        <v>898098448</v>
      </c>
      <c r="Y2037" s="11">
        <f>$E2037+17</f>
        <v>131</v>
      </c>
      <c r="Z2037" s="12">
        <f>IF($J2037=0,0,ROUND(MAX($J2037*1.4*1.5*1.6*1.6*2.2*2.715*2.6*1.4,6020000000*(1.651178^(MIN($E2037,123)-117)))*1,0))</f>
        <v>1337256787</v>
      </c>
      <c r="AA2037" s="13">
        <f>$E2037+19</f>
        <v>133</v>
      </c>
      <c r="AB2037" s="14">
        <f>IF($J2037=0,0,ROUND(MAX($J2037*1.4*1.5*1.6*1.6*2.2*2.715*2.6*1.4*1.4,8430000000*(1.651435^(MIN($E2037,123)-117)))*1,0))</f>
        <v>1871729653</v>
      </c>
      <c r="AC2037" s="11">
        <f>$E2037+21</f>
        <v>135</v>
      </c>
      <c r="AD2037" s="12">
        <f>IF($J2037=0,0,ROUND(MAX($J2037*1.4*1.5*1.6*1.6*2.2*2.715*2.6*1.4*1.4*1.5,12600000000*(1.652953^(MIN($E2037,123)-117)))*1,0))</f>
        <v>2789902525</v>
      </c>
      <c r="AE2037" s="13">
        <f>$E2037+24</f>
        <v>138</v>
      </c>
      <c r="AF2037" s="14">
        <f>IF($J2037=0,0,ROUND(MAX($J2037*1.4*1.5*1.6*1.6*2.2*2.715*2.6*1.4*1.4*1.5*1.5,18900000000*(1.65331^(MIN($E2037,123)-117)))*1,0))</f>
        <v>4182143461</v>
      </c>
      <c r="AG2037" s="11">
        <f>$E2037+27</f>
        <v>141</v>
      </c>
      <c r="AH2037" s="12">
        <f>IF($J2037=0,0,ROUND(MAX($J2037*1.4*1.5*1.6*1.6*2.2*2.715*2.6*1.4*1.4*1.5*1.5*3.2,60500000000*(1.654288^(MIN($E2037,123)-117)))*1,0))</f>
        <v>13363555336</v>
      </c>
    </row>
    <row r="2038" ht="28" customHeight="1" spans="1:34" x14ac:dyDescent="0.25">
      <c r="A2038">
        <v>2048</v>
      </c>
      <c r="B2038" t="s">
        <v>152</v>
      </c>
      <c r="C2038" s="10" t="s">
        <v>1276</v>
      </c>
      <c r="D2038" t="s">
        <v>40</v>
      </c>
      <c r="E2038">
        <v>114</v>
      </c>
      <c r="F2038" t="s">
        <v>71</v>
      </c>
      <c r="G2038" t="s">
        <v>1277</v>
      </c>
      <c r="H2038">
        <v>28</v>
      </c>
      <c r="I2038" s="11">
        <f>$E2038+0</f>
        <v>114</v>
      </c>
      <c r="J2038" s="12">
        <v>262000</v>
      </c>
      <c r="K2038" s="13">
        <f>$E2038+1</f>
        <v>115</v>
      </c>
      <c r="L2038" s="14">
        <f>IF($J2038=0,0,ROUND(MAX($J2038*1.4,1620000*(1.497923^(MIN($E2038,123)-117)))*1,0))</f>
        <v>481999</v>
      </c>
      <c r="M2038" s="11">
        <f>$E2038+2</f>
        <v>116</v>
      </c>
      <c r="N2038" s="12">
        <f>IF($J2038=0,0,ROUND(MAX($J2038*1.4*1.5,2190000*(1.580994^(MIN($E2038,123)-117)))*1,0))</f>
        <v>554183</v>
      </c>
      <c r="O2038" s="13">
        <f>$E2038+4</f>
        <v>118</v>
      </c>
      <c r="P2038" s="14">
        <f>IF($J2038=0,0,ROUND(MAX($J2038*1.4*1.5*1.6,3500000*(1.57975^(MIN($E2038,123)-117)))*1,0))</f>
        <v>887775</v>
      </c>
      <c r="Q2038" s="11">
        <f>$E2038+6</f>
        <v>120</v>
      </c>
      <c r="R2038" s="12">
        <f>IF($J2038=0,0,ROUND(MAX($J2038*1.4*1.5*1.6*1.6,13100000*(1.429962^(MIN($E2038,123)-117)))*1,0))</f>
        <v>4480204</v>
      </c>
      <c r="S2038" s="13">
        <f>$E2038+8</f>
        <v>122</v>
      </c>
      <c r="T2038" s="14">
        <f>IF($J2038=0,0,ROUND(MAX($J2038*1.4*1.5*1.6*1.6*2.2,42600000*(1.576904^(MIN($E2038,123)-117)))*1,0))</f>
        <v>10864102</v>
      </c>
      <c r="U2038" s="11">
        <f>$E2038+11</f>
        <v>125</v>
      </c>
      <c r="V2038" s="12">
        <f>IF($J2038=0,0,ROUND(MAX($J2038*1.4*1.5*1.6*1.6*2.2*2.715,354000000*(1.642074^(MIN($E2038,123)-117)))*1,0))</f>
        <v>79951219</v>
      </c>
      <c r="W2038" s="13">
        <f>$E2038+15</f>
        <v>129</v>
      </c>
      <c r="X2038" s="14">
        <f>IF($J2038=0,0,ROUND(MAX($J2038*1.4*1.5*1.6*1.6*2.2*2.715*2.6,3540000000*(1.579646^(MIN($E2038,123)-117)))*1,0))</f>
        <v>898098448</v>
      </c>
      <c r="Y2038" s="11">
        <f>$E2038+17</f>
        <v>131</v>
      </c>
      <c r="Z2038" s="12">
        <f>IF($J2038=0,0,ROUND(MAX($J2038*1.4*1.5*1.6*1.6*2.2*2.715*2.6*1.4,6020000000*(1.651178^(MIN($E2038,123)-117)))*1,0))</f>
        <v>1337256787</v>
      </c>
      <c r="AA2038" s="13">
        <f>$E2038+19</f>
        <v>133</v>
      </c>
      <c r="AB2038" s="14">
        <f>IF($J2038=0,0,ROUND(MAX($J2038*1.4*1.5*1.6*1.6*2.2*2.715*2.6*1.4*1.4,8430000000*(1.651435^(MIN($E2038,123)-117)))*1,0))</f>
        <v>1871729653</v>
      </c>
      <c r="AC2038" s="11">
        <f>$E2038+21</f>
        <v>135</v>
      </c>
      <c r="AD2038" s="12">
        <f>IF($J2038=0,0,ROUND(MAX($J2038*1.4*1.5*1.6*1.6*2.2*2.715*2.6*1.4*1.4*1.5,12600000000*(1.652953^(MIN($E2038,123)-117)))*1,0))</f>
        <v>2789902525</v>
      </c>
      <c r="AE2038" s="13">
        <f>$E2038+24</f>
        <v>138</v>
      </c>
      <c r="AF2038" s="14">
        <f>IF($J2038=0,0,ROUND(MAX($J2038*1.4*1.5*1.6*1.6*2.2*2.715*2.6*1.4*1.4*1.5*1.5,18900000000*(1.65331^(MIN($E2038,123)-117)))*1,0))</f>
        <v>4182143461</v>
      </c>
      <c r="AG2038" s="11">
        <f>$E2038+27</f>
        <v>141</v>
      </c>
      <c r="AH2038" s="12">
        <f>IF($J2038=0,0,ROUND(MAX($J2038*1.4*1.5*1.6*1.6*2.2*2.715*2.6*1.4*1.4*1.5*1.5*3.2,60500000000*(1.654288^(MIN($E2038,123)-117)))*1,0))</f>
        <v>13363555336</v>
      </c>
    </row>
    <row r="2039" ht="28" customHeight="1" spans="1:34" x14ac:dyDescent="0.25">
      <c r="A2039">
        <v>2049</v>
      </c>
      <c r="B2039" t="s">
        <v>80</v>
      </c>
      <c r="C2039" s="10" t="s">
        <v>1276</v>
      </c>
      <c r="D2039" t="s">
        <v>45</v>
      </c>
      <c r="E2039">
        <v>114</v>
      </c>
      <c r="F2039" t="s">
        <v>71</v>
      </c>
      <c r="G2039" t="s">
        <v>1277</v>
      </c>
      <c r="H2039">
        <v>28</v>
      </c>
      <c r="I2039" s="11">
        <f>$E2039+0</f>
        <v>114</v>
      </c>
      <c r="J2039" s="12">
        <v>675000</v>
      </c>
      <c r="K2039" s="13">
        <f>$E2039+1</f>
        <v>115</v>
      </c>
      <c r="L2039" s="14">
        <f>IF($J2039=0,0,ROUND(MAX($J2039*1.4,1620000*(1.497923^(MIN($E2039,123)-117)))*1,0))</f>
        <v>945000</v>
      </c>
      <c r="M2039" s="11">
        <f>$E2039+2</f>
        <v>116</v>
      </c>
      <c r="N2039" s="12">
        <f>IF($J2039=0,0,ROUND(MAX($J2039*1.4*1.5,2190000*(1.580994^(MIN($E2039,123)-117)))*1,0))</f>
        <v>1417500</v>
      </c>
      <c r="O2039" s="13">
        <f>$E2039+4</f>
        <v>118</v>
      </c>
      <c r="P2039" s="14">
        <f>IF($J2039=0,0,ROUND(MAX($J2039*1.4*1.5*1.6,3500000*(1.57975^(MIN($E2039,123)-117)))*1,0))</f>
        <v>2268000</v>
      </c>
      <c r="Q2039" s="11">
        <f>$E2039+6</f>
        <v>120</v>
      </c>
      <c r="R2039" s="12">
        <f>IF($J2039=0,0,ROUND(MAX($J2039*1.4*1.5*1.6*1.6,13100000*(1.429962^(MIN($E2039,123)-117)))*1,0))</f>
        <v>4480204</v>
      </c>
      <c r="S2039" s="13">
        <f>$E2039+8</f>
        <v>122</v>
      </c>
      <c r="T2039" s="14">
        <f>IF($J2039=0,0,ROUND(MAX($J2039*1.4*1.5*1.6*1.6*2.2,42600000*(1.576904^(MIN($E2039,123)-117)))*1,0))</f>
        <v>10864102</v>
      </c>
      <c r="U2039" s="11">
        <f>$E2039+11</f>
        <v>125</v>
      </c>
      <c r="V2039" s="12">
        <f>IF($J2039=0,0,ROUND(MAX($J2039*1.4*1.5*1.6*1.6*2.2*2.715,354000000*(1.642074^(MIN($E2039,123)-117)))*1,0))</f>
        <v>79951219</v>
      </c>
      <c r="W2039" s="13">
        <f>$E2039+15</f>
        <v>129</v>
      </c>
      <c r="X2039" s="14">
        <f>IF($J2039=0,0,ROUND(MAX($J2039*1.4*1.5*1.6*1.6*2.2*2.715*2.6,3540000000*(1.579646^(MIN($E2039,123)-117)))*1,0))</f>
        <v>898098448</v>
      </c>
      <c r="Y2039" s="11">
        <f>$E2039+17</f>
        <v>131</v>
      </c>
      <c r="Z2039" s="12">
        <f>IF($J2039=0,0,ROUND(MAX($J2039*1.4*1.5*1.6*1.6*2.2*2.715*2.6*1.4,6020000000*(1.651178^(MIN($E2039,123)-117)))*1,0))</f>
        <v>1337256787</v>
      </c>
      <c r="AA2039" s="13">
        <f>$E2039+19</f>
        <v>133</v>
      </c>
      <c r="AB2039" s="14">
        <f>IF($J2039=0,0,ROUND(MAX($J2039*1.4*1.5*1.6*1.6*2.2*2.715*2.6*1.4*1.4,8430000000*(1.651435^(MIN($E2039,123)-117)))*1,0))</f>
        <v>1871729653</v>
      </c>
      <c r="AC2039" s="11">
        <f>$E2039+21</f>
        <v>135</v>
      </c>
      <c r="AD2039" s="12">
        <f>IF($J2039=0,0,ROUND(MAX($J2039*1.4*1.5*1.6*1.6*2.2*2.715*2.6*1.4*1.4*1.5,12600000000*(1.652953^(MIN($E2039,123)-117)))*1,0))</f>
        <v>2789902525</v>
      </c>
      <c r="AE2039" s="13">
        <f>$E2039+24</f>
        <v>138</v>
      </c>
      <c r="AF2039" s="14">
        <f>IF($J2039=0,0,ROUND(MAX($J2039*1.4*1.5*1.6*1.6*2.2*2.715*2.6*1.4*1.4*1.5*1.5,18900000000*(1.65331^(MIN($E2039,123)-117)))*1,0))</f>
        <v>4182143461</v>
      </c>
      <c r="AG2039" s="11">
        <f>$E2039+27</f>
        <v>141</v>
      </c>
      <c r="AH2039" s="12">
        <f>IF($J2039=0,0,ROUND(MAX($J2039*1.4*1.5*1.6*1.6*2.2*2.715*2.6*1.4*1.4*1.5*1.5*3.2,60500000000*(1.654288^(MIN($E2039,123)-117)))*1,0))</f>
        <v>13363555336</v>
      </c>
    </row>
    <row r="2040" ht="28" customHeight="1" spans="1:34" x14ac:dyDescent="0.25">
      <c r="A2040">
        <v>2050</v>
      </c>
      <c r="B2040" t="s">
        <v>94</v>
      </c>
      <c r="C2040" s="10" t="s">
        <v>1276</v>
      </c>
      <c r="D2040" t="s">
        <v>29</v>
      </c>
      <c r="E2040">
        <v>114</v>
      </c>
      <c r="F2040" t="s">
        <v>42</v>
      </c>
      <c r="G2040" t="s">
        <v>1277</v>
      </c>
      <c r="H2040">
        <v>28</v>
      </c>
      <c r="I2040" s="11">
        <f>$E2040+0</f>
        <v>114</v>
      </c>
      <c r="J2040" s="12">
        <v>348000</v>
      </c>
      <c r="K2040" s="13">
        <f>$E2040+1</f>
        <v>115</v>
      </c>
      <c r="L2040" s="14">
        <f>IF($J2040=0,0,ROUND(MAX($J2040*1.4,1620000*(1.497923^(MIN($E2040,123)-117)))*1,0))</f>
        <v>487200</v>
      </c>
      <c r="M2040" s="11">
        <f>$E2040+2</f>
        <v>116</v>
      </c>
      <c r="N2040" s="12">
        <f>IF($J2040=0,0,ROUND(MAX($J2040*1.4*1.5,2190000*(1.580994^(MIN($E2040,123)-117)))*1,0))</f>
        <v>730800</v>
      </c>
      <c r="O2040" s="13">
        <f>$E2040+4</f>
        <v>118</v>
      </c>
      <c r="P2040" s="14">
        <f>IF($J2040=0,0,ROUND(MAX($J2040*1.4*1.5*1.6,3500000*(1.57975^(MIN($E2040,123)-117)))*1,0))</f>
        <v>1169280</v>
      </c>
      <c r="Q2040" s="11">
        <f>$E2040+6</f>
        <v>120</v>
      </c>
      <c r="R2040" s="12">
        <f>IF($J2040=0,0,ROUND(MAX($J2040*1.4*1.5*1.6*1.6,13100000*(1.429962^(MIN($E2040,123)-117)))*1,0))</f>
        <v>4480204</v>
      </c>
      <c r="S2040" s="13">
        <f>$E2040+8</f>
        <v>122</v>
      </c>
      <c r="T2040" s="14">
        <f>IF($J2040=0,0,ROUND(MAX($J2040*1.4*1.5*1.6*1.6*2.2,42600000*(1.576904^(MIN($E2040,123)-117)))*1,0))</f>
        <v>10864102</v>
      </c>
      <c r="U2040" s="11">
        <f>$E2040+11</f>
        <v>125</v>
      </c>
      <c r="V2040" s="12">
        <f>IF($J2040=0,0,ROUND(MAX($J2040*1.4*1.5*1.6*1.6*2.2*2.715,354000000*(1.642074^(MIN($E2040,123)-117)))*1,0))</f>
        <v>79951219</v>
      </c>
      <c r="W2040" s="13">
        <f>$E2040+15</f>
        <v>129</v>
      </c>
      <c r="X2040" s="14">
        <f>IF($J2040=0,0,ROUND(MAX($J2040*1.4*1.5*1.6*1.6*2.2*2.715*2.6,3540000000*(1.579646^(MIN($E2040,123)-117)))*1,0))</f>
        <v>898098448</v>
      </c>
      <c r="Y2040" s="11">
        <f>$E2040+17</f>
        <v>131</v>
      </c>
      <c r="Z2040" s="12">
        <f>IF($J2040=0,0,ROUND(MAX($J2040*1.4*1.5*1.6*1.6*2.2*2.715*2.6*1.4,6020000000*(1.651178^(MIN($E2040,123)-117)))*1,0))</f>
        <v>1337256787</v>
      </c>
      <c r="AA2040" s="13">
        <f>$E2040+19</f>
        <v>133</v>
      </c>
      <c r="AB2040" s="14">
        <f>IF($J2040=0,0,ROUND(MAX($J2040*1.4*1.5*1.6*1.6*2.2*2.715*2.6*1.4*1.4,8430000000*(1.651435^(MIN($E2040,123)-117)))*1,0))</f>
        <v>1871729653</v>
      </c>
      <c r="AC2040" s="11">
        <f>$E2040+21</f>
        <v>135</v>
      </c>
      <c r="AD2040" s="12">
        <f>IF($J2040=0,0,ROUND(MAX($J2040*1.4*1.5*1.6*1.6*2.2*2.715*2.6*1.4*1.4*1.5,12600000000*(1.652953^(MIN($E2040,123)-117)))*1,0))</f>
        <v>2789902525</v>
      </c>
      <c r="AE2040" s="13">
        <f>$E2040+24</f>
        <v>138</v>
      </c>
      <c r="AF2040" s="14">
        <f>IF($J2040=0,0,ROUND(MAX($J2040*1.4*1.5*1.6*1.6*2.2*2.715*2.6*1.4*1.4*1.5*1.5,18900000000*(1.65331^(MIN($E2040,123)-117)))*1,0))</f>
        <v>4182143461</v>
      </c>
      <c r="AG2040" s="11">
        <f>$E2040+27</f>
        <v>141</v>
      </c>
      <c r="AH2040" s="12">
        <f>IF($J2040=0,0,ROUND(MAX($J2040*1.4*1.5*1.6*1.6*2.2*2.715*2.6*1.4*1.4*1.5*1.5*3.2,60500000000*(1.654288^(MIN($E2040,123)-117)))*1,0))</f>
        <v>13363555336</v>
      </c>
    </row>
    <row r="2041" ht="28" customHeight="1" spans="1:34" x14ac:dyDescent="0.25">
      <c r="A2041">
        <v>2051</v>
      </c>
      <c r="B2041" t="s">
        <v>74</v>
      </c>
      <c r="C2041" s="10" t="s">
        <v>1276</v>
      </c>
      <c r="D2041" t="s">
        <v>33</v>
      </c>
      <c r="E2041">
        <v>114</v>
      </c>
      <c r="F2041" t="s">
        <v>62</v>
      </c>
      <c r="G2041" t="s">
        <v>1277</v>
      </c>
      <c r="H2041">
        <v>28</v>
      </c>
      <c r="I2041" s="11">
        <f>$E2041+0</f>
        <v>114</v>
      </c>
      <c r="J2041" s="12">
        <v>1160000</v>
      </c>
      <c r="K2041" s="13">
        <f>$E2041+1</f>
        <v>115</v>
      </c>
      <c r="L2041" s="14">
        <f>IF($J2041=0,0,ROUND(MAX($J2041*1.4,1620000*(1.497923^(MIN($E2041,123)-117)))*1,0))</f>
        <v>1624000</v>
      </c>
      <c r="M2041" s="11">
        <f>$E2041+2</f>
        <v>116</v>
      </c>
      <c r="N2041" s="12">
        <f>IF($J2041=0,0,ROUND(MAX($J2041*1.4*1.5,2190000*(1.580994^(MIN($E2041,123)-117)))*1,0))</f>
        <v>2436000</v>
      </c>
      <c r="O2041" s="13">
        <f>$E2041+4</f>
        <v>118</v>
      </c>
      <c r="P2041" s="14">
        <f>IF($J2041=0,0,ROUND(MAX($J2041*1.4*1.5*1.6,3500000*(1.57975^(MIN($E2041,123)-117)))*1,0))</f>
        <v>3897600</v>
      </c>
      <c r="Q2041" s="11">
        <f>$E2041+6</f>
        <v>120</v>
      </c>
      <c r="R2041" s="12">
        <f>IF($J2041=0,0,ROUND(MAX($J2041*1.4*1.5*1.6*1.6,13100000*(1.429962^(MIN($E2041,123)-117)))*1,0))</f>
        <v>6236160</v>
      </c>
      <c r="S2041" s="13">
        <f>$E2041+8</f>
        <v>122</v>
      </c>
      <c r="T2041" s="14">
        <f>IF($J2041=0,0,ROUND(MAX($J2041*1.4*1.5*1.6*1.6*2.2,42600000*(1.576904^(MIN($E2041,123)-117)))*1,0))</f>
        <v>13719552</v>
      </c>
      <c r="U2041" s="11">
        <f>$E2041+11</f>
        <v>125</v>
      </c>
      <c r="V2041" s="12">
        <f>IF($J2041=0,0,ROUND(MAX($J2041*1.4*1.5*1.6*1.6*2.2*2.715,354000000*(1.642074^(MIN($E2041,123)-117)))*1,0))</f>
        <v>79951219</v>
      </c>
      <c r="W2041" s="13">
        <f>$E2041+15</f>
        <v>129</v>
      </c>
      <c r="X2041" s="14">
        <f>IF($J2041=0,0,ROUND(MAX($J2041*1.4*1.5*1.6*1.6*2.2*2.715*2.6,3540000000*(1.579646^(MIN($E2041,123)-117)))*1,0))</f>
        <v>898098448</v>
      </c>
      <c r="Y2041" s="11">
        <f>$E2041+17</f>
        <v>131</v>
      </c>
      <c r="Z2041" s="12">
        <f>IF($J2041=0,0,ROUND(MAX($J2041*1.4*1.5*1.6*1.6*2.2*2.715*2.6*1.4,6020000000*(1.651178^(MIN($E2041,123)-117)))*1,0))</f>
        <v>1337256787</v>
      </c>
      <c r="AA2041" s="13">
        <f>$E2041+19</f>
        <v>133</v>
      </c>
      <c r="AB2041" s="14">
        <f>IF($J2041=0,0,ROUND(MAX($J2041*1.4*1.5*1.6*1.6*2.2*2.715*2.6*1.4*1.4,8430000000*(1.651435^(MIN($E2041,123)-117)))*1,0))</f>
        <v>1871729653</v>
      </c>
      <c r="AC2041" s="11">
        <f>$E2041+21</f>
        <v>135</v>
      </c>
      <c r="AD2041" s="12">
        <f>IF($J2041=0,0,ROUND(MAX($J2041*1.4*1.5*1.6*1.6*2.2*2.715*2.6*1.4*1.4*1.5,12600000000*(1.652953^(MIN($E2041,123)-117)))*1,0))</f>
        <v>2789902525</v>
      </c>
      <c r="AE2041" s="13">
        <f>$E2041+24</f>
        <v>138</v>
      </c>
      <c r="AF2041" s="14">
        <f>IF($J2041=0,0,ROUND(MAX($J2041*1.4*1.5*1.6*1.6*2.2*2.715*2.6*1.4*1.4*1.5*1.5,18900000000*(1.65331^(MIN($E2041,123)-117)))*1,0))</f>
        <v>4182143461</v>
      </c>
      <c r="AG2041" s="11">
        <f>$E2041+27</f>
        <v>141</v>
      </c>
      <c r="AH2041" s="12">
        <f>IF($J2041=0,0,ROUND(MAX($J2041*1.4*1.5*1.6*1.6*2.2*2.715*2.6*1.4*1.4*1.5*1.5*3.2,60500000000*(1.654288^(MIN($E2041,123)-117)))*1,0))</f>
        <v>13363555336</v>
      </c>
    </row>
    <row r="2042" ht="28" customHeight="1" spans="1:34" x14ac:dyDescent="0.25">
      <c r="A2042">
        <v>2052</v>
      </c>
      <c r="B2042" t="s">
        <v>114</v>
      </c>
      <c r="C2042" s="10" t="s">
        <v>1276</v>
      </c>
      <c r="D2042" t="s">
        <v>75</v>
      </c>
      <c r="E2042">
        <v>114</v>
      </c>
      <c r="F2042" t="s">
        <v>30</v>
      </c>
      <c r="G2042" t="s">
        <v>1277</v>
      </c>
      <c r="H2042">
        <v>28</v>
      </c>
      <c r="I2042" s="11">
        <f>$E2042+0</f>
        <v>114</v>
      </c>
      <c r="J2042" s="12">
        <v>439000</v>
      </c>
      <c r="K2042" s="13">
        <f>$E2042+1</f>
        <v>115</v>
      </c>
      <c r="L2042" s="14">
        <f>IF($J2042=0,0,ROUND(MAX($J2042*1.4,1620000*(1.497923^(MIN($E2042,123)-117)))*1,0))</f>
        <v>614600</v>
      </c>
      <c r="M2042" s="11">
        <f>$E2042+2</f>
        <v>116</v>
      </c>
      <c r="N2042" s="12">
        <f>IF($J2042=0,0,ROUND(MAX($J2042*1.4*1.5,2190000*(1.580994^(MIN($E2042,123)-117)))*1,0))</f>
        <v>921900</v>
      </c>
      <c r="O2042" s="13">
        <f>$E2042+4</f>
        <v>118</v>
      </c>
      <c r="P2042" s="14">
        <f>IF($J2042=0,0,ROUND(MAX($J2042*1.4*1.5*1.6,3500000*(1.57975^(MIN($E2042,123)-117)))*1,0))</f>
        <v>1475040</v>
      </c>
      <c r="Q2042" s="11">
        <f>$E2042+6</f>
        <v>120</v>
      </c>
      <c r="R2042" s="12">
        <f>IF($J2042=0,0,ROUND(MAX($J2042*1.4*1.5*1.6*1.6,13100000*(1.429962^(MIN($E2042,123)-117)))*1,0))</f>
        <v>4480204</v>
      </c>
      <c r="S2042" s="13">
        <f>$E2042+8</f>
        <v>122</v>
      </c>
      <c r="T2042" s="14">
        <f>IF($J2042=0,0,ROUND(MAX($J2042*1.4*1.5*1.6*1.6*2.2,42600000*(1.576904^(MIN($E2042,123)-117)))*1,0))</f>
        <v>10864102</v>
      </c>
      <c r="U2042" s="11">
        <f>$E2042+11</f>
        <v>125</v>
      </c>
      <c r="V2042" s="12">
        <f>IF($J2042=0,0,ROUND(MAX($J2042*1.4*1.5*1.6*1.6*2.2*2.715,354000000*(1.642074^(MIN($E2042,123)-117)))*1,0))</f>
        <v>79951219</v>
      </c>
      <c r="W2042" s="13">
        <f>$E2042+15</f>
        <v>129</v>
      </c>
      <c r="X2042" s="14">
        <f>IF($J2042=0,0,ROUND(MAX($J2042*1.4*1.5*1.6*1.6*2.2*2.715*2.6,3540000000*(1.579646^(MIN($E2042,123)-117)))*1,0))</f>
        <v>898098448</v>
      </c>
      <c r="Y2042" s="11">
        <f>$E2042+17</f>
        <v>131</v>
      </c>
      <c r="Z2042" s="12">
        <f>IF($J2042=0,0,ROUND(MAX($J2042*1.4*1.5*1.6*1.6*2.2*2.715*2.6*1.4,6020000000*(1.651178^(MIN($E2042,123)-117)))*1,0))</f>
        <v>1337256787</v>
      </c>
      <c r="AA2042" s="13">
        <f>$E2042+19</f>
        <v>133</v>
      </c>
      <c r="AB2042" s="14">
        <f>IF($J2042=0,0,ROUND(MAX($J2042*1.4*1.5*1.6*1.6*2.2*2.715*2.6*1.4*1.4,8430000000*(1.651435^(MIN($E2042,123)-117)))*1,0))</f>
        <v>1871729653</v>
      </c>
      <c r="AC2042" s="11">
        <f>$E2042+21</f>
        <v>135</v>
      </c>
      <c r="AD2042" s="12">
        <f>IF($J2042=0,0,ROUND(MAX($J2042*1.4*1.5*1.6*1.6*2.2*2.715*2.6*1.4*1.4*1.5,12600000000*(1.652953^(MIN($E2042,123)-117)))*1,0))</f>
        <v>2789902525</v>
      </c>
      <c r="AE2042" s="13">
        <f>$E2042+24</f>
        <v>138</v>
      </c>
      <c r="AF2042" s="14">
        <f>IF($J2042=0,0,ROUND(MAX($J2042*1.4*1.5*1.6*1.6*2.2*2.715*2.6*1.4*1.4*1.5*1.5,18900000000*(1.65331^(MIN($E2042,123)-117)))*1,0))</f>
        <v>4182143461</v>
      </c>
      <c r="AG2042" s="11">
        <f>$E2042+27</f>
        <v>141</v>
      </c>
      <c r="AH2042" s="12">
        <f>IF($J2042=0,0,ROUND(MAX($J2042*1.4*1.5*1.6*1.6*2.2*2.715*2.6*1.4*1.4*1.5*1.5*3.2,60500000000*(1.654288^(MIN($E2042,123)-117)))*1,0))</f>
        <v>13363555336</v>
      </c>
    </row>
    <row r="2043" ht="28" customHeight="1" spans="1:34" x14ac:dyDescent="0.25">
      <c r="A2043">
        <v>2053</v>
      </c>
      <c r="B2043" t="s">
        <v>92</v>
      </c>
      <c r="C2043" s="10" t="s">
        <v>1276</v>
      </c>
      <c r="D2043" t="s">
        <v>93</v>
      </c>
      <c r="E2043">
        <v>114</v>
      </c>
      <c r="F2043" t="s">
        <v>56</v>
      </c>
      <c r="G2043" t="s">
        <v>1277</v>
      </c>
      <c r="H2043">
        <v>28</v>
      </c>
      <c r="I2043" s="11">
        <f>$E2043+0</f>
        <v>114</v>
      </c>
      <c r="J2043" s="12">
        <v>748000</v>
      </c>
      <c r="K2043" s="13">
        <f>$E2043+1</f>
        <v>115</v>
      </c>
      <c r="L2043" s="14">
        <f>IF($J2043=0,0,ROUND(MAX($J2043*1.4,1620000*(1.497923^(MIN($E2043,123)-117)))*1,0))</f>
        <v>1047200</v>
      </c>
      <c r="M2043" s="11">
        <f>$E2043+2</f>
        <v>116</v>
      </c>
      <c r="N2043" s="12">
        <f>IF($J2043=0,0,ROUND(MAX($J2043*1.4*1.5,2190000*(1.580994^(MIN($E2043,123)-117)))*1,0))</f>
        <v>1570800</v>
      </c>
      <c r="O2043" s="13">
        <f>$E2043+4</f>
        <v>118</v>
      </c>
      <c r="P2043" s="14">
        <f>IF($J2043=0,0,ROUND(MAX($J2043*1.4*1.5*1.6,3500000*(1.57975^(MIN($E2043,123)-117)))*1,0))</f>
        <v>2513280</v>
      </c>
      <c r="Q2043" s="11">
        <f>$E2043+6</f>
        <v>120</v>
      </c>
      <c r="R2043" s="12">
        <f>IF($J2043=0,0,ROUND(MAX($J2043*1.4*1.5*1.6*1.6,13100000*(1.429962^(MIN($E2043,123)-117)))*1,0))</f>
        <v>4480204</v>
      </c>
      <c r="S2043" s="13">
        <f>$E2043+8</f>
        <v>122</v>
      </c>
      <c r="T2043" s="14">
        <f>IF($J2043=0,0,ROUND(MAX($J2043*1.4*1.5*1.6*1.6*2.2,42600000*(1.576904^(MIN($E2043,123)-117)))*1,0))</f>
        <v>10864102</v>
      </c>
      <c r="U2043" s="11">
        <f>$E2043+11</f>
        <v>125</v>
      </c>
      <c r="V2043" s="12">
        <f>IF($J2043=0,0,ROUND(MAX($J2043*1.4*1.5*1.6*1.6*2.2*2.715,354000000*(1.642074^(MIN($E2043,123)-117)))*1,0))</f>
        <v>79951219</v>
      </c>
      <c r="W2043" s="13">
        <f>$E2043+15</f>
        <v>129</v>
      </c>
      <c r="X2043" s="14">
        <f>IF($J2043=0,0,ROUND(MAX($J2043*1.4*1.5*1.6*1.6*2.2*2.715*2.6,3540000000*(1.579646^(MIN($E2043,123)-117)))*1,0))</f>
        <v>898098448</v>
      </c>
      <c r="Y2043" s="11">
        <f>$E2043+17</f>
        <v>131</v>
      </c>
      <c r="Z2043" s="12">
        <f>IF($J2043=0,0,ROUND(MAX($J2043*1.4*1.5*1.6*1.6*2.2*2.715*2.6*1.4,6020000000*(1.651178^(MIN($E2043,123)-117)))*1,0))</f>
        <v>1337256787</v>
      </c>
      <c r="AA2043" s="13">
        <f>$E2043+19</f>
        <v>133</v>
      </c>
      <c r="AB2043" s="14">
        <f>IF($J2043=0,0,ROUND(MAX($J2043*1.4*1.5*1.6*1.6*2.2*2.715*2.6*1.4*1.4,8430000000*(1.651435^(MIN($E2043,123)-117)))*1,0))</f>
        <v>1871729653</v>
      </c>
      <c r="AC2043" s="11">
        <f>$E2043+21</f>
        <v>135</v>
      </c>
      <c r="AD2043" s="12">
        <f>IF($J2043=0,0,ROUND(MAX($J2043*1.4*1.5*1.6*1.6*2.2*2.715*2.6*1.4*1.4*1.5,12600000000*(1.652953^(MIN($E2043,123)-117)))*1,0))</f>
        <v>2789902525</v>
      </c>
      <c r="AE2043" s="13">
        <f>$E2043+24</f>
        <v>138</v>
      </c>
      <c r="AF2043" s="14">
        <f>IF($J2043=0,0,ROUND(MAX($J2043*1.4*1.5*1.6*1.6*2.2*2.715*2.6*1.4*1.4*1.5*1.5,18900000000*(1.65331^(MIN($E2043,123)-117)))*1,0))</f>
        <v>4182143461</v>
      </c>
      <c r="AG2043" s="11">
        <f>$E2043+27</f>
        <v>141</v>
      </c>
      <c r="AH2043" s="12">
        <f>IF($J2043=0,0,ROUND(MAX($J2043*1.4*1.5*1.6*1.6*2.2*2.715*2.6*1.4*1.4*1.5*1.5*3.2,60500000000*(1.654288^(MIN($E2043,123)-117)))*1,0))</f>
        <v>13363555336</v>
      </c>
    </row>
    <row r="2044" ht="28" customHeight="1" spans="1:34" x14ac:dyDescent="0.25">
      <c r="A2044">
        <v>2054</v>
      </c>
      <c r="B2044" t="s">
        <v>36</v>
      </c>
      <c r="C2044" s="10" t="s">
        <v>1276</v>
      </c>
      <c r="D2044" t="s">
        <v>29</v>
      </c>
      <c r="E2044">
        <v>114</v>
      </c>
      <c r="F2044" t="s">
        <v>37</v>
      </c>
      <c r="G2044" t="s">
        <v>1277</v>
      </c>
      <c r="H2044">
        <v>27</v>
      </c>
      <c r="I2044" s="11">
        <f>$E2044+0</f>
        <v>114</v>
      </c>
      <c r="J2044" s="12">
        <v>408000</v>
      </c>
      <c r="K2044" s="13">
        <f>$E2044+1</f>
        <v>115</v>
      </c>
      <c r="L2044" s="14">
        <f>IF($J2044=0,0,ROUND(MAX($J2044*1.4,1620000*(1.497923^(MIN($E2044,123)-117)))*1,0))</f>
        <v>571200</v>
      </c>
      <c r="M2044" s="11">
        <f>$E2044+2</f>
        <v>116</v>
      </c>
      <c r="N2044" s="12">
        <f>IF($J2044=0,0,ROUND(MAX($J2044*1.4*1.5,2190000*(1.580994^(MIN($E2044,123)-117)))*1,0))</f>
        <v>856800</v>
      </c>
      <c r="O2044" s="13">
        <f>$E2044+4</f>
        <v>118</v>
      </c>
      <c r="P2044" s="14">
        <f>IF($J2044=0,0,ROUND(MAX($J2044*1.4*1.5*1.6,3500000*(1.57975^(MIN($E2044,123)-117)))*1,0))</f>
        <v>1370880</v>
      </c>
      <c r="Q2044" s="11">
        <f>$E2044+6</f>
        <v>120</v>
      </c>
      <c r="R2044" s="12">
        <f>IF($J2044=0,0,ROUND(MAX($J2044*1.4*1.5*1.6*1.6,13100000*(1.429962^(MIN($E2044,123)-117)))*1,0))</f>
        <v>4480204</v>
      </c>
      <c r="S2044" s="13">
        <f>$E2044+8</f>
        <v>122</v>
      </c>
      <c r="T2044" s="14">
        <f>IF($J2044=0,0,ROUND(MAX($J2044*1.4*1.5*1.6*1.6*2.2,42600000*(1.576904^(MIN($E2044,123)-117)))*1,0))</f>
        <v>10864102</v>
      </c>
      <c r="U2044" s="11">
        <f>$E2044+11</f>
        <v>125</v>
      </c>
      <c r="V2044" s="12">
        <f>IF($J2044=0,0,ROUND(MAX($J2044*1.4*1.5*1.6*1.6*2.2*2.715,354000000*(1.642074^(MIN($E2044,123)-117)))*1,0))</f>
        <v>79951219</v>
      </c>
      <c r="W2044" s="13">
        <f>$E2044+15</f>
        <v>129</v>
      </c>
      <c r="X2044" s="14">
        <f>IF($J2044=0,0,ROUND(MAX($J2044*1.4*1.5*1.6*1.6*2.2*2.715*2.6,3540000000*(1.579646^(MIN($E2044,123)-117)))*1,0))</f>
        <v>898098448</v>
      </c>
      <c r="Y2044" s="11">
        <f>$E2044+17</f>
        <v>131</v>
      </c>
      <c r="Z2044" s="12">
        <f>IF($J2044=0,0,ROUND(MAX($J2044*1.4*1.5*1.6*1.6*2.2*2.715*2.6*1.4,6020000000*(1.651178^(MIN($E2044,123)-117)))*1,0))</f>
        <v>1337256787</v>
      </c>
      <c r="AA2044" s="13">
        <f>$E2044+19</f>
        <v>133</v>
      </c>
      <c r="AB2044" s="14">
        <f>IF($J2044=0,0,ROUND(MAX($J2044*1.4*1.5*1.6*1.6*2.2*2.715*2.6*1.4*1.4,8430000000*(1.651435^(MIN($E2044,123)-117)))*1,0))</f>
        <v>1871729653</v>
      </c>
      <c r="AC2044" s="11">
        <f>$E2044+21</f>
        <v>135</v>
      </c>
      <c r="AD2044" s="12">
        <f>IF($J2044=0,0,ROUND(MAX($J2044*1.4*1.5*1.6*1.6*2.2*2.715*2.6*1.4*1.4*1.5,12600000000*(1.652953^(MIN($E2044,123)-117)))*1,0))</f>
        <v>2789902525</v>
      </c>
      <c r="AE2044" s="13">
        <f>$E2044+24</f>
        <v>138</v>
      </c>
      <c r="AF2044" s="14">
        <f>IF($J2044=0,0,ROUND(MAX($J2044*1.4*1.5*1.6*1.6*2.2*2.715*2.6*1.4*1.4*1.5*1.5,18900000000*(1.65331^(MIN($E2044,123)-117)))*1,0))</f>
        <v>4182143461</v>
      </c>
      <c r="AG2044" s="11">
        <f>$E2044+27</f>
        <v>141</v>
      </c>
      <c r="AH2044" s="12">
        <f>IF($J2044=0,0,ROUND(MAX($J2044*1.4*1.5*1.6*1.6*2.2*2.715*2.6*1.4*1.4*1.5*1.5*3.2,60500000000*(1.654288^(MIN($E2044,123)-117)))*1,0))</f>
        <v>13363555336</v>
      </c>
    </row>
    <row r="2045" ht="28" customHeight="1" spans="1:34" x14ac:dyDescent="0.25">
      <c r="A2045">
        <v>2055</v>
      </c>
      <c r="B2045" t="s">
        <v>170</v>
      </c>
      <c r="C2045" s="10" t="s">
        <v>1276</v>
      </c>
      <c r="D2045" t="s">
        <v>40</v>
      </c>
      <c r="E2045">
        <v>114</v>
      </c>
      <c r="F2045" t="s">
        <v>56</v>
      </c>
      <c r="G2045" t="s">
        <v>1277</v>
      </c>
      <c r="H2045">
        <v>27</v>
      </c>
      <c r="I2045" s="11">
        <f>$E2045+0</f>
        <v>114</v>
      </c>
      <c r="J2045" s="12">
        <v>353000</v>
      </c>
      <c r="K2045" s="13">
        <f>$E2045+1</f>
        <v>115</v>
      </c>
      <c r="L2045" s="14">
        <f>IF($J2045=0,0,ROUND(MAX($J2045*1.4,1620000*(1.497923^(MIN($E2045,123)-117)))*1,0))</f>
        <v>494200</v>
      </c>
      <c r="M2045" s="11">
        <f>$E2045+2</f>
        <v>116</v>
      </c>
      <c r="N2045" s="12">
        <f>IF($J2045=0,0,ROUND(MAX($J2045*1.4*1.5,2190000*(1.580994^(MIN($E2045,123)-117)))*1,0))</f>
        <v>741300</v>
      </c>
      <c r="O2045" s="13">
        <f>$E2045+4</f>
        <v>118</v>
      </c>
      <c r="P2045" s="14">
        <f>IF($J2045=0,0,ROUND(MAX($J2045*1.4*1.5*1.6,3500000*(1.57975^(MIN($E2045,123)-117)))*1,0))</f>
        <v>1186080</v>
      </c>
      <c r="Q2045" s="11">
        <f>$E2045+6</f>
        <v>120</v>
      </c>
      <c r="R2045" s="12">
        <f>IF($J2045=0,0,ROUND(MAX($J2045*1.4*1.5*1.6*1.6,13100000*(1.429962^(MIN($E2045,123)-117)))*1,0))</f>
        <v>4480204</v>
      </c>
      <c r="S2045" s="13">
        <f>$E2045+8</f>
        <v>122</v>
      </c>
      <c r="T2045" s="14">
        <f>IF($J2045=0,0,ROUND(MAX($J2045*1.4*1.5*1.6*1.6*2.2,42600000*(1.576904^(MIN($E2045,123)-117)))*1,0))</f>
        <v>10864102</v>
      </c>
      <c r="U2045" s="11">
        <f>$E2045+11</f>
        <v>125</v>
      </c>
      <c r="V2045" s="12">
        <f>IF($J2045=0,0,ROUND(MAX($J2045*1.4*1.5*1.6*1.6*2.2*2.715,354000000*(1.642074^(MIN($E2045,123)-117)))*1,0))</f>
        <v>79951219</v>
      </c>
      <c r="W2045" s="13">
        <f>$E2045+15</f>
        <v>129</v>
      </c>
      <c r="X2045" s="14">
        <f>IF($J2045=0,0,ROUND(MAX($J2045*1.4*1.5*1.6*1.6*2.2*2.715*2.6,3540000000*(1.579646^(MIN($E2045,123)-117)))*1,0))</f>
        <v>898098448</v>
      </c>
      <c r="Y2045" s="11">
        <f>$E2045+17</f>
        <v>131</v>
      </c>
      <c r="Z2045" s="12">
        <f>IF($J2045=0,0,ROUND(MAX($J2045*1.4*1.5*1.6*1.6*2.2*2.715*2.6*1.4,6020000000*(1.651178^(MIN($E2045,123)-117)))*1,0))</f>
        <v>1337256787</v>
      </c>
      <c r="AA2045" s="13">
        <f>$E2045+19</f>
        <v>133</v>
      </c>
      <c r="AB2045" s="14">
        <f>IF($J2045=0,0,ROUND(MAX($J2045*1.4*1.5*1.6*1.6*2.2*2.715*2.6*1.4*1.4,8430000000*(1.651435^(MIN($E2045,123)-117)))*1,0))</f>
        <v>1871729653</v>
      </c>
      <c r="AC2045" s="11">
        <f>$E2045+21</f>
        <v>135</v>
      </c>
      <c r="AD2045" s="12">
        <f>IF($J2045=0,0,ROUND(MAX($J2045*1.4*1.5*1.6*1.6*2.2*2.715*2.6*1.4*1.4*1.5,12600000000*(1.652953^(MIN($E2045,123)-117)))*1,0))</f>
        <v>2789902525</v>
      </c>
      <c r="AE2045" s="13">
        <f>$E2045+24</f>
        <v>138</v>
      </c>
      <c r="AF2045" s="14">
        <f>IF($J2045=0,0,ROUND(MAX($J2045*1.4*1.5*1.6*1.6*2.2*2.715*2.6*1.4*1.4*1.5*1.5,18900000000*(1.65331^(MIN($E2045,123)-117)))*1,0))</f>
        <v>4182143461</v>
      </c>
      <c r="AG2045" s="11">
        <f>$E2045+27</f>
        <v>141</v>
      </c>
      <c r="AH2045" s="12">
        <f>IF($J2045=0,0,ROUND(MAX($J2045*1.4*1.5*1.6*1.6*2.2*2.715*2.6*1.4*1.4*1.5*1.5*3.2,60500000000*(1.654288^(MIN($E2045,123)-117)))*1,0))</f>
        <v>13363555336</v>
      </c>
    </row>
    <row r="2046" ht="28" customHeight="1" spans="1:34" x14ac:dyDescent="0.25">
      <c r="A2046">
        <v>2056</v>
      </c>
      <c r="B2046" t="s">
        <v>125</v>
      </c>
      <c r="C2046" s="10" t="s">
        <v>1276</v>
      </c>
      <c r="D2046" t="s">
        <v>33</v>
      </c>
      <c r="E2046">
        <v>114</v>
      </c>
      <c r="F2046" t="s">
        <v>56</v>
      </c>
      <c r="G2046" t="s">
        <v>1277</v>
      </c>
      <c r="H2046">
        <v>27</v>
      </c>
      <c r="I2046" s="11">
        <f>$E2046+0</f>
        <v>114</v>
      </c>
      <c r="J2046" s="12">
        <v>427000</v>
      </c>
      <c r="K2046" s="13">
        <f>$E2046+1</f>
        <v>115</v>
      </c>
      <c r="L2046" s="14">
        <f>IF($J2046=0,0,ROUND(MAX($J2046*1.4,1620000*(1.497923^(MIN($E2046,123)-117)))*1,0))</f>
        <v>597800</v>
      </c>
      <c r="M2046" s="11">
        <f>$E2046+2</f>
        <v>116</v>
      </c>
      <c r="N2046" s="12">
        <f>IF($J2046=0,0,ROUND(MAX($J2046*1.4*1.5,2190000*(1.580994^(MIN($E2046,123)-117)))*1,0))</f>
        <v>896700</v>
      </c>
      <c r="O2046" s="13">
        <f>$E2046+4</f>
        <v>118</v>
      </c>
      <c r="P2046" s="14">
        <f>IF($J2046=0,0,ROUND(MAX($J2046*1.4*1.5*1.6,3500000*(1.57975^(MIN($E2046,123)-117)))*1,0))</f>
        <v>1434720</v>
      </c>
      <c r="Q2046" s="11">
        <f>$E2046+6</f>
        <v>120</v>
      </c>
      <c r="R2046" s="12">
        <f>IF($J2046=0,0,ROUND(MAX($J2046*1.4*1.5*1.6*1.6,13100000*(1.429962^(MIN($E2046,123)-117)))*1,0))</f>
        <v>4480204</v>
      </c>
      <c r="S2046" s="13">
        <f>$E2046+8</f>
        <v>122</v>
      </c>
      <c r="T2046" s="14">
        <f>IF($J2046=0,0,ROUND(MAX($J2046*1.4*1.5*1.6*1.6*2.2,42600000*(1.576904^(MIN($E2046,123)-117)))*1,0))</f>
        <v>10864102</v>
      </c>
      <c r="U2046" s="11">
        <f>$E2046+11</f>
        <v>125</v>
      </c>
      <c r="V2046" s="12">
        <f>IF($J2046=0,0,ROUND(MAX($J2046*1.4*1.5*1.6*1.6*2.2*2.715,354000000*(1.642074^(MIN($E2046,123)-117)))*1,0))</f>
        <v>79951219</v>
      </c>
      <c r="W2046" s="13">
        <f>$E2046+15</f>
        <v>129</v>
      </c>
      <c r="X2046" s="14">
        <f>IF($J2046=0,0,ROUND(MAX($J2046*1.4*1.5*1.6*1.6*2.2*2.715*2.6,3540000000*(1.579646^(MIN($E2046,123)-117)))*1,0))</f>
        <v>898098448</v>
      </c>
      <c r="Y2046" s="11">
        <f>$E2046+17</f>
        <v>131</v>
      </c>
      <c r="Z2046" s="12">
        <f>IF($J2046=0,0,ROUND(MAX($J2046*1.4*1.5*1.6*1.6*2.2*2.715*2.6*1.4,6020000000*(1.651178^(MIN($E2046,123)-117)))*1,0))</f>
        <v>1337256787</v>
      </c>
      <c r="AA2046" s="13">
        <f>$E2046+19</f>
        <v>133</v>
      </c>
      <c r="AB2046" s="14">
        <f>IF($J2046=0,0,ROUND(MAX($J2046*1.4*1.5*1.6*1.6*2.2*2.715*2.6*1.4*1.4,8430000000*(1.651435^(MIN($E2046,123)-117)))*1,0))</f>
        <v>1871729653</v>
      </c>
      <c r="AC2046" s="11">
        <f>$E2046+21</f>
        <v>135</v>
      </c>
      <c r="AD2046" s="12">
        <f>IF($J2046=0,0,ROUND(MAX($J2046*1.4*1.5*1.6*1.6*2.2*2.715*2.6*1.4*1.4*1.5,12600000000*(1.652953^(MIN($E2046,123)-117)))*1,0))</f>
        <v>2789902525</v>
      </c>
      <c r="AE2046" s="13">
        <f>$E2046+24</f>
        <v>138</v>
      </c>
      <c r="AF2046" s="14">
        <f>IF($J2046=0,0,ROUND(MAX($J2046*1.4*1.5*1.6*1.6*2.2*2.715*2.6*1.4*1.4*1.5*1.5,18900000000*(1.65331^(MIN($E2046,123)-117)))*1,0))</f>
        <v>4182143461</v>
      </c>
      <c r="AG2046" s="11">
        <f>$E2046+27</f>
        <v>141</v>
      </c>
      <c r="AH2046" s="12">
        <f>IF($J2046=0,0,ROUND(MAX($J2046*1.4*1.5*1.6*1.6*2.2*2.715*2.6*1.4*1.4*1.5*1.5*3.2,60500000000*(1.654288^(MIN($E2046,123)-117)))*1,0))</f>
        <v>13363555336</v>
      </c>
    </row>
    <row r="2047" ht="28" customHeight="1" spans="1:34" x14ac:dyDescent="0.25">
      <c r="A2047">
        <v>2057</v>
      </c>
      <c r="B2047" t="s">
        <v>66</v>
      </c>
      <c r="C2047" s="10" t="s">
        <v>1276</v>
      </c>
      <c r="D2047" t="s">
        <v>47</v>
      </c>
      <c r="E2047">
        <v>114</v>
      </c>
      <c r="F2047" t="s">
        <v>62</v>
      </c>
      <c r="G2047" t="s">
        <v>1277</v>
      </c>
      <c r="H2047">
        <v>25</v>
      </c>
      <c r="I2047" s="11">
        <f>$E2047+0</f>
        <v>114</v>
      </c>
      <c r="J2047" s="12">
        <v>417000</v>
      </c>
      <c r="K2047" s="13">
        <f>$E2047+1</f>
        <v>115</v>
      </c>
      <c r="L2047" s="14">
        <f>IF($J2047=0,0,ROUND(MAX($J2047*1.4,1620000*(1.497923^(MIN($E2047,123)-117)))*1,0))</f>
        <v>583800</v>
      </c>
      <c r="M2047" s="11">
        <f>$E2047+2</f>
        <v>116</v>
      </c>
      <c r="N2047" s="12">
        <f>IF($J2047=0,0,ROUND(MAX($J2047*1.4*1.5,2190000*(1.580994^(MIN($E2047,123)-117)))*1,0))</f>
        <v>875700</v>
      </c>
      <c r="O2047" s="13">
        <f>$E2047+4</f>
        <v>118</v>
      </c>
      <c r="P2047" s="14">
        <f>IF($J2047=0,0,ROUND(MAX($J2047*1.4*1.5*1.6,3500000*(1.57975^(MIN($E2047,123)-117)))*1,0))</f>
        <v>1401120</v>
      </c>
      <c r="Q2047" s="11">
        <f>$E2047+6</f>
        <v>120</v>
      </c>
      <c r="R2047" s="12">
        <f>IF($J2047=0,0,ROUND(MAX($J2047*1.4*1.5*1.6*1.6,13100000*(1.429962^(MIN($E2047,123)-117)))*1,0))</f>
        <v>4480204</v>
      </c>
      <c r="S2047" s="13">
        <f>$E2047+8</f>
        <v>122</v>
      </c>
      <c r="T2047" s="14">
        <f>IF($J2047=0,0,ROUND(MAX($J2047*1.4*1.5*1.6*1.6*2.2,42600000*(1.576904^(MIN($E2047,123)-117)))*1,0))</f>
        <v>10864102</v>
      </c>
      <c r="U2047" s="11">
        <f>$E2047+11</f>
        <v>125</v>
      </c>
      <c r="V2047" s="12">
        <f>IF($J2047=0,0,ROUND(MAX($J2047*1.4*1.5*1.6*1.6*2.2*2.715,354000000*(1.642074^(MIN($E2047,123)-117)))*1,0))</f>
        <v>79951219</v>
      </c>
      <c r="W2047" s="13">
        <f>$E2047+15</f>
        <v>129</v>
      </c>
      <c r="X2047" s="14">
        <f>IF($J2047=0,0,ROUND(MAX($J2047*1.4*1.5*1.6*1.6*2.2*2.715*2.6,3540000000*(1.579646^(MIN($E2047,123)-117)))*1,0))</f>
        <v>898098448</v>
      </c>
      <c r="Y2047" s="11">
        <f>$E2047+17</f>
        <v>131</v>
      </c>
      <c r="Z2047" s="12">
        <f>IF($J2047=0,0,ROUND(MAX($J2047*1.4*1.5*1.6*1.6*2.2*2.715*2.6*1.4,6020000000*(1.651178^(MIN($E2047,123)-117)))*1,0))</f>
        <v>1337256787</v>
      </c>
      <c r="AA2047" s="13">
        <f>$E2047+19</f>
        <v>133</v>
      </c>
      <c r="AB2047" s="14">
        <f>IF($J2047=0,0,ROUND(MAX($J2047*1.4*1.5*1.6*1.6*2.2*2.715*2.6*1.4*1.4,8430000000*(1.651435^(MIN($E2047,123)-117)))*1,0))</f>
        <v>1871729653</v>
      </c>
      <c r="AC2047" s="11">
        <f>$E2047+21</f>
        <v>135</v>
      </c>
      <c r="AD2047" s="12">
        <f>IF($J2047=0,0,ROUND(MAX($J2047*1.4*1.5*1.6*1.6*2.2*2.715*2.6*1.4*1.4*1.5,12600000000*(1.652953^(MIN($E2047,123)-117)))*1,0))</f>
        <v>2789902525</v>
      </c>
      <c r="AE2047" s="13">
        <f>$E2047+24</f>
        <v>138</v>
      </c>
      <c r="AF2047" s="14">
        <f>IF($J2047=0,0,ROUND(MAX($J2047*1.4*1.5*1.6*1.6*2.2*2.715*2.6*1.4*1.4*1.5*1.5,18900000000*(1.65331^(MIN($E2047,123)-117)))*1,0))</f>
        <v>4182143461</v>
      </c>
      <c r="AG2047" s="11">
        <f>$E2047+27</f>
        <v>141</v>
      </c>
      <c r="AH2047" s="12">
        <f>IF($J2047=0,0,ROUND(MAX($J2047*1.4*1.5*1.6*1.6*2.2*2.715*2.6*1.4*1.4*1.5*1.5*3.2,60500000000*(1.654288^(MIN($E2047,123)-117)))*1,0))</f>
        <v>13363555336</v>
      </c>
    </row>
    <row r="2048" ht="28" customHeight="1" spans="1:34" x14ac:dyDescent="0.25">
      <c r="A2048">
        <v>2058</v>
      </c>
      <c r="B2048" t="s">
        <v>101</v>
      </c>
      <c r="C2048" s="10" t="s">
        <v>1276</v>
      </c>
      <c r="D2048" t="s">
        <v>102</v>
      </c>
      <c r="E2048">
        <v>113</v>
      </c>
      <c r="F2048" t="s">
        <v>42</v>
      </c>
      <c r="G2048" t="s">
        <v>1277</v>
      </c>
      <c r="H2048">
        <v>28</v>
      </c>
      <c r="I2048" s="11">
        <f>$E2048+0</f>
        <v>113</v>
      </c>
      <c r="J2048" s="12">
        <v>1010000</v>
      </c>
      <c r="K2048" s="13">
        <f>$E2048+1</f>
        <v>114</v>
      </c>
      <c r="L2048" s="14">
        <f>IF($J2048=0,0,ROUND(MAX($J2048*1.4,1620000*(1.497923^(MIN($E2048,123)-117)))*1,0))</f>
        <v>1414000</v>
      </c>
      <c r="M2048" s="11">
        <f>$E2048+2</f>
        <v>115</v>
      </c>
      <c r="N2048" s="12">
        <f>IF($J2048=0,0,ROUND(MAX($J2048*1.4*1.5,2190000*(1.580994^(MIN($E2048,123)-117)))*1,0))</f>
        <v>2121000</v>
      </c>
      <c r="O2048" s="13">
        <f>$E2048+4</f>
        <v>117</v>
      </c>
      <c r="P2048" s="14">
        <f>IF($J2048=0,0,ROUND(MAX($J2048*1.4*1.5*1.6,3500000*(1.57975^(MIN($E2048,123)-117)))*1,0))</f>
        <v>3393600</v>
      </c>
      <c r="Q2048" s="11">
        <f>$E2048+6</f>
        <v>119</v>
      </c>
      <c r="R2048" s="12">
        <f>IF($J2048=0,0,ROUND(MAX($J2048*1.4*1.5*1.6*1.6,13100000*(1.429962^(MIN($E2048,123)-117)))*1,0))</f>
        <v>5429760</v>
      </c>
      <c r="S2048" s="13">
        <f>$E2048+8</f>
        <v>121</v>
      </c>
      <c r="T2048" s="14">
        <f>IF($J2048=0,0,ROUND(MAX($J2048*1.4*1.5*1.6*1.6*2.2,42600000*(1.576904^(MIN($E2048,123)-117)))*1,0))</f>
        <v>11945472</v>
      </c>
      <c r="U2048" s="11">
        <f>$E2048+11</f>
        <v>124</v>
      </c>
      <c r="V2048" s="12">
        <f>IF($J2048=0,0,ROUND(MAX($J2048*1.4*1.5*1.6*1.6*2.2*2.715,354000000*(1.642074^(MIN($E2048,123)-117)))*1,0))</f>
        <v>48689169</v>
      </c>
      <c r="W2048" s="13">
        <f>$E2048+15</f>
        <v>128</v>
      </c>
      <c r="X2048" s="14">
        <f>IF($J2048=0,0,ROUND(MAX($J2048*1.4*1.5*1.6*1.6*2.2*2.715*2.6,3540000000*(1.579646^(MIN($E2048,123)-117)))*1,0))</f>
        <v>568544122</v>
      </c>
      <c r="Y2048" s="11">
        <f>$E2048+17</f>
        <v>130</v>
      </c>
      <c r="Z2048" s="12">
        <f>IF($J2048=0,0,ROUND(MAX($J2048*1.4*1.5*1.6*1.6*2.2*2.715*2.6*1.4,6020000000*(1.651178^(MIN($E2048,123)-117)))*1,0))</f>
        <v>809880453</v>
      </c>
      <c r="AA2048" s="13">
        <f>$E2048+19</f>
        <v>132</v>
      </c>
      <c r="AB2048" s="14">
        <f>IF($J2048=0,0,ROUND(MAX($J2048*1.4*1.5*1.6*1.6*2.2*2.715*2.6*1.4*1.4,8430000000*(1.651435^(MIN($E2048,123)-117)))*1,0))</f>
        <v>1133395897</v>
      </c>
      <c r="AC2048" s="11">
        <f>$E2048+21</f>
        <v>134</v>
      </c>
      <c r="AD2048" s="12">
        <f>IF($J2048=0,0,ROUND(MAX($J2048*1.4*1.5*1.6*1.6*2.2*2.715*2.6*1.4*1.4*1.5,12600000000*(1.652953^(MIN($E2048,123)-117)))*1,0))</f>
        <v>1687829312</v>
      </c>
      <c r="AE2048" s="13">
        <f>$E2048+24</f>
        <v>137</v>
      </c>
      <c r="AF2048" s="14">
        <f>IF($J2048=0,0,ROUND(MAX($J2048*1.4*1.5*1.6*1.6*2.2*2.715*2.6*1.4*1.4*1.5*1.5,18900000000*(1.65331^(MIN($E2048,123)-117)))*1,0))</f>
        <v>2529557954</v>
      </c>
      <c r="AG2048" s="11">
        <f>$E2048+27</f>
        <v>140</v>
      </c>
      <c r="AH2048" s="12">
        <f>IF($J2048=0,0,ROUND(MAX($J2048*1.4*1.5*1.6*1.6*2.2*2.715*2.6*1.4*1.4*1.5*1.5*3.2,60500000000*(1.654288^(MIN($E2048,123)-117)))*1,0))</f>
        <v>8078131097</v>
      </c>
    </row>
    <row r="2049" ht="28" customHeight="1" spans="1:34" x14ac:dyDescent="0.25">
      <c r="A2049">
        <v>2059</v>
      </c>
      <c r="B2049" t="s">
        <v>157</v>
      </c>
      <c r="C2049" s="10" t="s">
        <v>1276</v>
      </c>
      <c r="D2049" t="s">
        <v>29</v>
      </c>
      <c r="E2049">
        <v>113</v>
      </c>
      <c r="F2049" t="s">
        <v>71</v>
      </c>
      <c r="G2049" t="s">
        <v>1277</v>
      </c>
      <c r="H2049">
        <v>28</v>
      </c>
      <c r="I2049" s="11">
        <f>$E2049+0</f>
        <v>113</v>
      </c>
      <c r="J2049" s="12">
        <v>392000</v>
      </c>
      <c r="K2049" s="13">
        <f>$E2049+1</f>
        <v>114</v>
      </c>
      <c r="L2049" s="14">
        <f>IF($J2049=0,0,ROUND(MAX($J2049*1.4,1620000*(1.497923^(MIN($E2049,123)-117)))*1,0))</f>
        <v>548800</v>
      </c>
      <c r="M2049" s="11">
        <f>$E2049+2</f>
        <v>115</v>
      </c>
      <c r="N2049" s="12">
        <f>IF($J2049=0,0,ROUND(MAX($J2049*1.4*1.5,2190000*(1.580994^(MIN($E2049,123)-117)))*1,0))</f>
        <v>823200</v>
      </c>
      <c r="O2049" s="13">
        <f>$E2049+4</f>
        <v>117</v>
      </c>
      <c r="P2049" s="14">
        <f>IF($J2049=0,0,ROUND(MAX($J2049*1.4*1.5*1.6,3500000*(1.57975^(MIN($E2049,123)-117)))*1,0))</f>
        <v>1317120</v>
      </c>
      <c r="Q2049" s="11">
        <f>$E2049+6</f>
        <v>119</v>
      </c>
      <c r="R2049" s="12">
        <f>IF($J2049=0,0,ROUND(MAX($J2049*1.4*1.5*1.6*1.6,13100000*(1.429962^(MIN($E2049,123)-117)))*1,0))</f>
        <v>3133093</v>
      </c>
      <c r="S2049" s="13">
        <f>$E2049+8</f>
        <v>121</v>
      </c>
      <c r="T2049" s="14">
        <f>IF($J2049=0,0,ROUND(MAX($J2049*1.4*1.5*1.6*1.6*2.2,42600000*(1.576904^(MIN($E2049,123)-117)))*1,0))</f>
        <v>6889514</v>
      </c>
      <c r="U2049" s="11">
        <f>$E2049+11</f>
        <v>124</v>
      </c>
      <c r="V2049" s="12">
        <f>IF($J2049=0,0,ROUND(MAX($J2049*1.4*1.5*1.6*1.6*2.2*2.715,354000000*(1.642074^(MIN($E2049,123)-117)))*1,0))</f>
        <v>48689169</v>
      </c>
      <c r="W2049" s="13">
        <f>$E2049+15</f>
        <v>128</v>
      </c>
      <c r="X2049" s="14">
        <f>IF($J2049=0,0,ROUND(MAX($J2049*1.4*1.5*1.6*1.6*2.2*2.715*2.6,3540000000*(1.579646^(MIN($E2049,123)-117)))*1,0))</f>
        <v>568544122</v>
      </c>
      <c r="Y2049" s="11">
        <f>$E2049+17</f>
        <v>130</v>
      </c>
      <c r="Z2049" s="12">
        <f>IF($J2049=0,0,ROUND(MAX($J2049*1.4*1.5*1.6*1.6*2.2*2.715*2.6*1.4,6020000000*(1.651178^(MIN($E2049,123)-117)))*1,0))</f>
        <v>809880453</v>
      </c>
      <c r="AA2049" s="13">
        <f>$E2049+19</f>
        <v>132</v>
      </c>
      <c r="AB2049" s="14">
        <f>IF($J2049=0,0,ROUND(MAX($J2049*1.4*1.5*1.6*1.6*2.2*2.715*2.6*1.4*1.4,8430000000*(1.651435^(MIN($E2049,123)-117)))*1,0))</f>
        <v>1133395897</v>
      </c>
      <c r="AC2049" s="11">
        <f>$E2049+21</f>
        <v>134</v>
      </c>
      <c r="AD2049" s="12">
        <f>IF($J2049=0,0,ROUND(MAX($J2049*1.4*1.5*1.6*1.6*2.2*2.715*2.6*1.4*1.4*1.5,12600000000*(1.652953^(MIN($E2049,123)-117)))*1,0))</f>
        <v>1687829312</v>
      </c>
      <c r="AE2049" s="13">
        <f>$E2049+24</f>
        <v>137</v>
      </c>
      <c r="AF2049" s="14">
        <f>IF($J2049=0,0,ROUND(MAX($J2049*1.4*1.5*1.6*1.6*2.2*2.715*2.6*1.4*1.4*1.5*1.5,18900000000*(1.65331^(MIN($E2049,123)-117)))*1,0))</f>
        <v>2529557954</v>
      </c>
      <c r="AG2049" s="11">
        <f>$E2049+27</f>
        <v>140</v>
      </c>
      <c r="AH2049" s="12">
        <f>IF($J2049=0,0,ROUND(MAX($J2049*1.4*1.5*1.6*1.6*2.2*2.715*2.6*1.4*1.4*1.5*1.5*3.2,60500000000*(1.654288^(MIN($E2049,123)-117)))*1,0))</f>
        <v>8078131097</v>
      </c>
    </row>
    <row r="2050" ht="28" customHeight="1" spans="1:34" x14ac:dyDescent="0.25">
      <c r="A2050">
        <v>2060</v>
      </c>
      <c r="B2050" t="s">
        <v>99</v>
      </c>
      <c r="C2050" s="10" t="s">
        <v>1276</v>
      </c>
      <c r="D2050" t="s">
        <v>29</v>
      </c>
      <c r="E2050">
        <v>113</v>
      </c>
      <c r="F2050" t="s">
        <v>54</v>
      </c>
      <c r="G2050" t="s">
        <v>1277</v>
      </c>
      <c r="H2050">
        <v>28</v>
      </c>
      <c r="I2050" s="11">
        <f>$E2050+0</f>
        <v>113</v>
      </c>
      <c r="J2050" s="12">
        <v>243000</v>
      </c>
      <c r="K2050" s="13">
        <f>$E2050+1</f>
        <v>114</v>
      </c>
      <c r="L2050" s="14">
        <f>IF($J2050=0,0,ROUND(MAX($J2050*1.4,1620000*(1.497923^(MIN($E2050,123)-117)))*1,0))</f>
        <v>340200</v>
      </c>
      <c r="M2050" s="11">
        <f>$E2050+2</f>
        <v>115</v>
      </c>
      <c r="N2050" s="12">
        <f>IF($J2050=0,0,ROUND(MAX($J2050*1.4*1.5,2190000*(1.580994^(MIN($E2050,123)-117)))*1,0))</f>
        <v>510300</v>
      </c>
      <c r="O2050" s="13">
        <f>$E2050+4</f>
        <v>117</v>
      </c>
      <c r="P2050" s="14">
        <f>IF($J2050=0,0,ROUND(MAX($J2050*1.4*1.5*1.6,3500000*(1.57975^(MIN($E2050,123)-117)))*1,0))</f>
        <v>816480</v>
      </c>
      <c r="Q2050" s="11">
        <f>$E2050+6</f>
        <v>119</v>
      </c>
      <c r="R2050" s="12">
        <f>IF($J2050=0,0,ROUND(MAX($J2050*1.4*1.5*1.6*1.6,13100000*(1.429962^(MIN($E2050,123)-117)))*1,0))</f>
        <v>3133093</v>
      </c>
      <c r="S2050" s="13">
        <f>$E2050+8</f>
        <v>121</v>
      </c>
      <c r="T2050" s="14">
        <f>IF($J2050=0,0,ROUND(MAX($J2050*1.4*1.5*1.6*1.6*2.2,42600000*(1.576904^(MIN($E2050,123)-117)))*1,0))</f>
        <v>6889514</v>
      </c>
      <c r="U2050" s="11">
        <f>$E2050+11</f>
        <v>124</v>
      </c>
      <c r="V2050" s="12">
        <f>IF($J2050=0,0,ROUND(MAX($J2050*1.4*1.5*1.6*1.6*2.2*2.715,354000000*(1.642074^(MIN($E2050,123)-117)))*1,0))</f>
        <v>48689169</v>
      </c>
      <c r="W2050" s="13">
        <f>$E2050+15</f>
        <v>128</v>
      </c>
      <c r="X2050" s="14">
        <f>IF($J2050=0,0,ROUND(MAX($J2050*1.4*1.5*1.6*1.6*2.2*2.715*2.6,3540000000*(1.579646^(MIN($E2050,123)-117)))*1,0))</f>
        <v>568544122</v>
      </c>
      <c r="Y2050" s="11">
        <f>$E2050+17</f>
        <v>130</v>
      </c>
      <c r="Z2050" s="12">
        <f>IF($J2050=0,0,ROUND(MAX($J2050*1.4*1.5*1.6*1.6*2.2*2.715*2.6*1.4,6020000000*(1.651178^(MIN($E2050,123)-117)))*1,0))</f>
        <v>809880453</v>
      </c>
      <c r="AA2050" s="13">
        <f>$E2050+19</f>
        <v>132</v>
      </c>
      <c r="AB2050" s="14">
        <f>IF($J2050=0,0,ROUND(MAX($J2050*1.4*1.5*1.6*1.6*2.2*2.715*2.6*1.4*1.4,8430000000*(1.651435^(MIN($E2050,123)-117)))*1,0))</f>
        <v>1133395897</v>
      </c>
      <c r="AC2050" s="11">
        <f>$E2050+21</f>
        <v>134</v>
      </c>
      <c r="AD2050" s="12">
        <f>IF($J2050=0,0,ROUND(MAX($J2050*1.4*1.5*1.6*1.6*2.2*2.715*2.6*1.4*1.4*1.5,12600000000*(1.652953^(MIN($E2050,123)-117)))*1,0))</f>
        <v>1687829312</v>
      </c>
      <c r="AE2050" s="13">
        <f>$E2050+24</f>
        <v>137</v>
      </c>
      <c r="AF2050" s="14">
        <f>IF($J2050=0,0,ROUND(MAX($J2050*1.4*1.5*1.6*1.6*2.2*2.715*2.6*1.4*1.4*1.5*1.5,18900000000*(1.65331^(MIN($E2050,123)-117)))*1,0))</f>
        <v>2529557954</v>
      </c>
      <c r="AG2050" s="11">
        <f>$E2050+27</f>
        <v>140</v>
      </c>
      <c r="AH2050" s="12">
        <f>IF($J2050=0,0,ROUND(MAX($J2050*1.4*1.5*1.6*1.6*2.2*2.715*2.6*1.4*1.4*1.5*1.5*3.2,60500000000*(1.654288^(MIN($E2050,123)-117)))*1,0))</f>
        <v>8078131097</v>
      </c>
    </row>
    <row r="2051" ht="28" customHeight="1" spans="1:34" x14ac:dyDescent="0.25">
      <c r="A2051">
        <v>2061</v>
      </c>
      <c r="B2051" t="s">
        <v>96</v>
      </c>
      <c r="C2051" s="10" t="s">
        <v>1276</v>
      </c>
      <c r="D2051" t="s">
        <v>40</v>
      </c>
      <c r="E2051">
        <v>113</v>
      </c>
      <c r="F2051" t="s">
        <v>97</v>
      </c>
      <c r="G2051" t="s">
        <v>1277</v>
      </c>
      <c r="H2051">
        <v>28</v>
      </c>
      <c r="I2051" s="11">
        <f>$E2051+0</f>
        <v>113</v>
      </c>
      <c r="J2051" s="12">
        <v>760000</v>
      </c>
      <c r="K2051" s="13">
        <f>$E2051+1</f>
        <v>114</v>
      </c>
      <c r="L2051" s="14">
        <f>IF($J2051=0,0,ROUND(MAX($J2051*1.4,1620000*(1.497923^(MIN($E2051,123)-117)))*1,0))</f>
        <v>1064000</v>
      </c>
      <c r="M2051" s="11">
        <f>$E2051+2</f>
        <v>115</v>
      </c>
      <c r="N2051" s="12">
        <f>IF($J2051=0,0,ROUND(MAX($J2051*1.4*1.5,2190000*(1.580994^(MIN($E2051,123)-117)))*1,0))</f>
        <v>1596000</v>
      </c>
      <c r="O2051" s="13">
        <f>$E2051+4</f>
        <v>117</v>
      </c>
      <c r="P2051" s="14">
        <f>IF($J2051=0,0,ROUND(MAX($J2051*1.4*1.5*1.6,3500000*(1.57975^(MIN($E2051,123)-117)))*1,0))</f>
        <v>2553600</v>
      </c>
      <c r="Q2051" s="11">
        <f>$E2051+6</f>
        <v>119</v>
      </c>
      <c r="R2051" s="12">
        <f>IF($J2051=0,0,ROUND(MAX($J2051*1.4*1.5*1.6*1.6,13100000*(1.429962^(MIN($E2051,123)-117)))*1,0))</f>
        <v>4085760</v>
      </c>
      <c r="S2051" s="13">
        <f>$E2051+8</f>
        <v>121</v>
      </c>
      <c r="T2051" s="14">
        <f>IF($J2051=0,0,ROUND(MAX($J2051*1.4*1.5*1.6*1.6*2.2,42600000*(1.576904^(MIN($E2051,123)-117)))*1,0))</f>
        <v>8988672</v>
      </c>
      <c r="U2051" s="11">
        <f>$E2051+11</f>
        <v>124</v>
      </c>
      <c r="V2051" s="12">
        <f>IF($J2051=0,0,ROUND(MAX($J2051*1.4*1.5*1.6*1.6*2.2*2.715,354000000*(1.642074^(MIN($E2051,123)-117)))*1,0))</f>
        <v>48689169</v>
      </c>
      <c r="W2051" s="13">
        <f>$E2051+15</f>
        <v>128</v>
      </c>
      <c r="X2051" s="14">
        <f>IF($J2051=0,0,ROUND(MAX($J2051*1.4*1.5*1.6*1.6*2.2*2.715*2.6,3540000000*(1.579646^(MIN($E2051,123)-117)))*1,0))</f>
        <v>568544122</v>
      </c>
      <c r="Y2051" s="11">
        <f>$E2051+17</f>
        <v>130</v>
      </c>
      <c r="Z2051" s="12">
        <f>IF($J2051=0,0,ROUND(MAX($J2051*1.4*1.5*1.6*1.6*2.2*2.715*2.6*1.4,6020000000*(1.651178^(MIN($E2051,123)-117)))*1,0))</f>
        <v>809880453</v>
      </c>
      <c r="AA2051" s="13">
        <f>$E2051+19</f>
        <v>132</v>
      </c>
      <c r="AB2051" s="14">
        <f>IF($J2051=0,0,ROUND(MAX($J2051*1.4*1.5*1.6*1.6*2.2*2.715*2.6*1.4*1.4,8430000000*(1.651435^(MIN($E2051,123)-117)))*1,0))</f>
        <v>1133395897</v>
      </c>
      <c r="AC2051" s="11">
        <f>$E2051+21</f>
        <v>134</v>
      </c>
      <c r="AD2051" s="12">
        <f>IF($J2051=0,0,ROUND(MAX($J2051*1.4*1.5*1.6*1.6*2.2*2.715*2.6*1.4*1.4*1.5,12600000000*(1.652953^(MIN($E2051,123)-117)))*1,0))</f>
        <v>1687829312</v>
      </c>
      <c r="AE2051" s="13">
        <f>$E2051+24</f>
        <v>137</v>
      </c>
      <c r="AF2051" s="14">
        <f>IF($J2051=0,0,ROUND(MAX($J2051*1.4*1.5*1.6*1.6*2.2*2.715*2.6*1.4*1.4*1.5*1.5,18900000000*(1.65331^(MIN($E2051,123)-117)))*1,0))</f>
        <v>2529557954</v>
      </c>
      <c r="AG2051" s="11">
        <f>$E2051+27</f>
        <v>140</v>
      </c>
      <c r="AH2051" s="12">
        <f>IF($J2051=0,0,ROUND(MAX($J2051*1.4*1.5*1.6*1.6*2.2*2.715*2.6*1.4*1.4*1.5*1.5*3.2,60500000000*(1.654288^(MIN($E2051,123)-117)))*1,0))</f>
        <v>8078131097</v>
      </c>
    </row>
    <row r="2052" ht="28" customHeight="1" spans="1:34" x14ac:dyDescent="0.25">
      <c r="A2052">
        <v>2062</v>
      </c>
      <c r="B2052" t="s">
        <v>153</v>
      </c>
      <c r="C2052" s="10" t="s">
        <v>1276</v>
      </c>
      <c r="D2052" t="s">
        <v>25</v>
      </c>
      <c r="E2052">
        <v>113</v>
      </c>
      <c r="F2052" t="s">
        <v>56</v>
      </c>
      <c r="G2052" t="s">
        <v>1277</v>
      </c>
      <c r="H2052">
        <v>28</v>
      </c>
      <c r="I2052" s="11">
        <f>$E2052+0</f>
        <v>113</v>
      </c>
      <c r="J2052" s="12">
        <v>586000</v>
      </c>
      <c r="K2052" s="13">
        <f>$E2052+1</f>
        <v>114</v>
      </c>
      <c r="L2052" s="14">
        <f>IF($J2052=0,0,ROUND(MAX($J2052*1.4,1620000*(1.497923^(MIN($E2052,123)-117)))*1,0))</f>
        <v>820400</v>
      </c>
      <c r="M2052" s="11">
        <f>$E2052+2</f>
        <v>115</v>
      </c>
      <c r="N2052" s="12">
        <f>IF($J2052=0,0,ROUND(MAX($J2052*1.4*1.5,2190000*(1.580994^(MIN($E2052,123)-117)))*1,0))</f>
        <v>1230600</v>
      </c>
      <c r="O2052" s="13">
        <f>$E2052+4</f>
        <v>117</v>
      </c>
      <c r="P2052" s="14">
        <f>IF($J2052=0,0,ROUND(MAX($J2052*1.4*1.5*1.6,3500000*(1.57975^(MIN($E2052,123)-117)))*1,0))</f>
        <v>1968960</v>
      </c>
      <c r="Q2052" s="11">
        <f>$E2052+6</f>
        <v>119</v>
      </c>
      <c r="R2052" s="12">
        <f>IF($J2052=0,0,ROUND(MAX($J2052*1.4*1.5*1.6*1.6,13100000*(1.429962^(MIN($E2052,123)-117)))*1,0))</f>
        <v>3150336</v>
      </c>
      <c r="S2052" s="13">
        <f>$E2052+8</f>
        <v>121</v>
      </c>
      <c r="T2052" s="14">
        <f>IF($J2052=0,0,ROUND(MAX($J2052*1.4*1.5*1.6*1.6*2.2,42600000*(1.576904^(MIN($E2052,123)-117)))*1,0))</f>
        <v>6930739</v>
      </c>
      <c r="U2052" s="11">
        <f>$E2052+11</f>
        <v>124</v>
      </c>
      <c r="V2052" s="12">
        <f>IF($J2052=0,0,ROUND(MAX($J2052*1.4*1.5*1.6*1.6*2.2*2.715,354000000*(1.642074^(MIN($E2052,123)-117)))*1,0))</f>
        <v>48689169</v>
      </c>
      <c r="W2052" s="13">
        <f>$E2052+15</f>
        <v>128</v>
      </c>
      <c r="X2052" s="14">
        <f>IF($J2052=0,0,ROUND(MAX($J2052*1.4*1.5*1.6*1.6*2.2*2.715*2.6,3540000000*(1.579646^(MIN($E2052,123)-117)))*1,0))</f>
        <v>568544122</v>
      </c>
      <c r="Y2052" s="11">
        <f>$E2052+17</f>
        <v>130</v>
      </c>
      <c r="Z2052" s="12">
        <f>IF($J2052=0,0,ROUND(MAX($J2052*1.4*1.5*1.6*1.6*2.2*2.715*2.6*1.4,6020000000*(1.651178^(MIN($E2052,123)-117)))*1,0))</f>
        <v>809880453</v>
      </c>
      <c r="AA2052" s="13">
        <f>$E2052+19</f>
        <v>132</v>
      </c>
      <c r="AB2052" s="14">
        <f>IF($J2052=0,0,ROUND(MAX($J2052*1.4*1.5*1.6*1.6*2.2*2.715*2.6*1.4*1.4,8430000000*(1.651435^(MIN($E2052,123)-117)))*1,0))</f>
        <v>1133395897</v>
      </c>
      <c r="AC2052" s="11">
        <f>$E2052+21</f>
        <v>134</v>
      </c>
      <c r="AD2052" s="12">
        <f>IF($J2052=0,0,ROUND(MAX($J2052*1.4*1.5*1.6*1.6*2.2*2.715*2.6*1.4*1.4*1.5,12600000000*(1.652953^(MIN($E2052,123)-117)))*1,0))</f>
        <v>1687829312</v>
      </c>
      <c r="AE2052" s="13">
        <f>$E2052+24</f>
        <v>137</v>
      </c>
      <c r="AF2052" s="14">
        <f>IF($J2052=0,0,ROUND(MAX($J2052*1.4*1.5*1.6*1.6*2.2*2.715*2.6*1.4*1.4*1.5*1.5,18900000000*(1.65331^(MIN($E2052,123)-117)))*1,0))</f>
        <v>2529557954</v>
      </c>
      <c r="AG2052" s="11">
        <f>$E2052+27</f>
        <v>140</v>
      </c>
      <c r="AH2052" s="12">
        <f>IF($J2052=0,0,ROUND(MAX($J2052*1.4*1.5*1.6*1.6*2.2*2.715*2.6*1.4*1.4*1.5*1.5*3.2,60500000000*(1.654288^(MIN($E2052,123)-117)))*1,0))</f>
        <v>8078131097</v>
      </c>
    </row>
    <row r="2053" ht="28" customHeight="1" spans="1:34" x14ac:dyDescent="0.25">
      <c r="A2053">
        <v>2063</v>
      </c>
      <c r="B2053" t="s">
        <v>121</v>
      </c>
      <c r="C2053" s="10" t="s">
        <v>1276</v>
      </c>
      <c r="D2053" t="s">
        <v>79</v>
      </c>
      <c r="E2053">
        <v>113</v>
      </c>
      <c r="F2053" t="s">
        <v>62</v>
      </c>
      <c r="G2053" t="s">
        <v>1277</v>
      </c>
      <c r="H2053">
        <v>28</v>
      </c>
      <c r="I2053" s="11">
        <f>$E2053+0</f>
        <v>113</v>
      </c>
      <c r="J2053" s="12">
        <v>772000</v>
      </c>
      <c r="K2053" s="13">
        <f>$E2053+1</f>
        <v>114</v>
      </c>
      <c r="L2053" s="14">
        <f>IF($J2053=0,0,ROUND(MAX($J2053*1.4,1620000*(1.497923^(MIN($E2053,123)-117)))*1,0))</f>
        <v>1080800</v>
      </c>
      <c r="M2053" s="11">
        <f>$E2053+2</f>
        <v>115</v>
      </c>
      <c r="N2053" s="12">
        <f>IF($J2053=0,0,ROUND(MAX($J2053*1.4*1.5,2190000*(1.580994^(MIN($E2053,123)-117)))*1,0))</f>
        <v>1621200</v>
      </c>
      <c r="O2053" s="13">
        <f>$E2053+4</f>
        <v>117</v>
      </c>
      <c r="P2053" s="14">
        <f>IF($J2053=0,0,ROUND(MAX($J2053*1.4*1.5*1.6,3500000*(1.57975^(MIN($E2053,123)-117)))*1,0))</f>
        <v>2593920</v>
      </c>
      <c r="Q2053" s="11">
        <f>$E2053+6</f>
        <v>119</v>
      </c>
      <c r="R2053" s="12">
        <f>IF($J2053=0,0,ROUND(MAX($J2053*1.4*1.5*1.6*1.6,13100000*(1.429962^(MIN($E2053,123)-117)))*1,0))</f>
        <v>4150272</v>
      </c>
      <c r="S2053" s="13">
        <f>$E2053+8</f>
        <v>121</v>
      </c>
      <c r="T2053" s="14">
        <f>IF($J2053=0,0,ROUND(MAX($J2053*1.4*1.5*1.6*1.6*2.2,42600000*(1.576904^(MIN($E2053,123)-117)))*1,0))</f>
        <v>9130598</v>
      </c>
      <c r="U2053" s="11">
        <f>$E2053+11</f>
        <v>124</v>
      </c>
      <c r="V2053" s="12">
        <f>IF($J2053=0,0,ROUND(MAX($J2053*1.4*1.5*1.6*1.6*2.2*2.715,354000000*(1.642074^(MIN($E2053,123)-117)))*1,0))</f>
        <v>48689169</v>
      </c>
      <c r="W2053" s="13">
        <f>$E2053+15</f>
        <v>128</v>
      </c>
      <c r="X2053" s="14">
        <f>IF($J2053=0,0,ROUND(MAX($J2053*1.4*1.5*1.6*1.6*2.2*2.715*2.6,3540000000*(1.579646^(MIN($E2053,123)-117)))*1,0))</f>
        <v>568544122</v>
      </c>
      <c r="Y2053" s="11">
        <f>$E2053+17</f>
        <v>130</v>
      </c>
      <c r="Z2053" s="12">
        <f>IF($J2053=0,0,ROUND(MAX($J2053*1.4*1.5*1.6*1.6*2.2*2.715*2.6*1.4,6020000000*(1.651178^(MIN($E2053,123)-117)))*1,0))</f>
        <v>809880453</v>
      </c>
      <c r="AA2053" s="13">
        <f>$E2053+19</f>
        <v>132</v>
      </c>
      <c r="AB2053" s="14">
        <f>IF($J2053=0,0,ROUND(MAX($J2053*1.4*1.5*1.6*1.6*2.2*2.715*2.6*1.4*1.4,8430000000*(1.651435^(MIN($E2053,123)-117)))*1,0))</f>
        <v>1133395897</v>
      </c>
      <c r="AC2053" s="11">
        <f>$E2053+21</f>
        <v>134</v>
      </c>
      <c r="AD2053" s="12">
        <f>IF($J2053=0,0,ROUND(MAX($J2053*1.4*1.5*1.6*1.6*2.2*2.715*2.6*1.4*1.4*1.5,12600000000*(1.652953^(MIN($E2053,123)-117)))*1,0))</f>
        <v>1687829312</v>
      </c>
      <c r="AE2053" s="13">
        <f>$E2053+24</f>
        <v>137</v>
      </c>
      <c r="AF2053" s="14">
        <f>IF($J2053=0,0,ROUND(MAX($J2053*1.4*1.5*1.6*1.6*2.2*2.715*2.6*1.4*1.4*1.5*1.5,18900000000*(1.65331^(MIN($E2053,123)-117)))*1,0))</f>
        <v>2529557954</v>
      </c>
      <c r="AG2053" s="11">
        <f>$E2053+27</f>
        <v>140</v>
      </c>
      <c r="AH2053" s="12">
        <f>IF($J2053=0,0,ROUND(MAX($J2053*1.4*1.5*1.6*1.6*2.2*2.715*2.6*1.4*1.4*1.5*1.5*3.2,60500000000*(1.654288^(MIN($E2053,123)-117)))*1,0))</f>
        <v>8078131097</v>
      </c>
    </row>
    <row r="2054" ht="28" customHeight="1" spans="1:34" x14ac:dyDescent="0.25">
      <c r="A2054">
        <v>2064</v>
      </c>
      <c r="B2054" t="s">
        <v>211</v>
      </c>
      <c r="C2054" s="10" t="s">
        <v>1276</v>
      </c>
      <c r="D2054" t="s">
        <v>40</v>
      </c>
      <c r="E2054">
        <v>113</v>
      </c>
      <c r="F2054" t="s">
        <v>212</v>
      </c>
      <c r="G2054" t="s">
        <v>1277</v>
      </c>
      <c r="H2054">
        <v>27</v>
      </c>
      <c r="I2054" s="11">
        <f>$E2054+0</f>
        <v>113</v>
      </c>
      <c r="J2054" s="12">
        <v>339000</v>
      </c>
      <c r="K2054" s="13">
        <f>$E2054+1</f>
        <v>114</v>
      </c>
      <c r="L2054" s="14">
        <f>IF($J2054=0,0,ROUND(MAX($J2054*1.4,1620000*(1.497923^(MIN($E2054,123)-117)))*1,0))</f>
        <v>474600</v>
      </c>
      <c r="M2054" s="11">
        <f>$E2054+2</f>
        <v>115</v>
      </c>
      <c r="N2054" s="12">
        <f>IF($J2054=0,0,ROUND(MAX($J2054*1.4*1.5,2190000*(1.580994^(MIN($E2054,123)-117)))*1,0))</f>
        <v>711900</v>
      </c>
      <c r="O2054" s="13">
        <f>$E2054+4</f>
        <v>117</v>
      </c>
      <c r="P2054" s="14">
        <f>IF($J2054=0,0,ROUND(MAX($J2054*1.4*1.5*1.6,3500000*(1.57975^(MIN($E2054,123)-117)))*1,0))</f>
        <v>1139040</v>
      </c>
      <c r="Q2054" s="11">
        <f>$E2054+6</f>
        <v>119</v>
      </c>
      <c r="R2054" s="12">
        <f>IF($J2054=0,0,ROUND(MAX($J2054*1.4*1.5*1.6*1.6,13100000*(1.429962^(MIN($E2054,123)-117)))*1,0))</f>
        <v>3133093</v>
      </c>
      <c r="S2054" s="13">
        <f>$E2054+8</f>
        <v>121</v>
      </c>
      <c r="T2054" s="14">
        <f>IF($J2054=0,0,ROUND(MAX($J2054*1.4*1.5*1.6*1.6*2.2,42600000*(1.576904^(MIN($E2054,123)-117)))*1,0))</f>
        <v>6889514</v>
      </c>
      <c r="U2054" s="11">
        <f>$E2054+11</f>
        <v>124</v>
      </c>
      <c r="V2054" s="12">
        <f>IF($J2054=0,0,ROUND(MAX($J2054*1.4*1.5*1.6*1.6*2.2*2.715,354000000*(1.642074^(MIN($E2054,123)-117)))*1,0))</f>
        <v>48689169</v>
      </c>
      <c r="W2054" s="13">
        <f>$E2054+15</f>
        <v>128</v>
      </c>
      <c r="X2054" s="14">
        <f>IF($J2054=0,0,ROUND(MAX($J2054*1.4*1.5*1.6*1.6*2.2*2.715*2.6,3540000000*(1.579646^(MIN($E2054,123)-117)))*1,0))</f>
        <v>568544122</v>
      </c>
      <c r="Y2054" s="11">
        <f>$E2054+17</f>
        <v>130</v>
      </c>
      <c r="Z2054" s="12">
        <f>IF($J2054=0,0,ROUND(MAX($J2054*1.4*1.5*1.6*1.6*2.2*2.715*2.6*1.4,6020000000*(1.651178^(MIN($E2054,123)-117)))*1,0))</f>
        <v>809880453</v>
      </c>
      <c r="AA2054" s="13">
        <f>$E2054+19</f>
        <v>132</v>
      </c>
      <c r="AB2054" s="14">
        <f>IF($J2054=0,0,ROUND(MAX($J2054*1.4*1.5*1.6*1.6*2.2*2.715*2.6*1.4*1.4,8430000000*(1.651435^(MIN($E2054,123)-117)))*1,0))</f>
        <v>1133395897</v>
      </c>
      <c r="AC2054" s="11">
        <f>$E2054+21</f>
        <v>134</v>
      </c>
      <c r="AD2054" s="12">
        <f>IF($J2054=0,0,ROUND(MAX($J2054*1.4*1.5*1.6*1.6*2.2*2.715*2.6*1.4*1.4*1.5,12600000000*(1.652953^(MIN($E2054,123)-117)))*1,0))</f>
        <v>1687829312</v>
      </c>
      <c r="AE2054" s="13">
        <f>$E2054+24</f>
        <v>137</v>
      </c>
      <c r="AF2054" s="14">
        <f>IF($J2054=0,0,ROUND(MAX($J2054*1.4*1.5*1.6*1.6*2.2*2.715*2.6*1.4*1.4*1.5*1.5,18900000000*(1.65331^(MIN($E2054,123)-117)))*1,0))</f>
        <v>2529557954</v>
      </c>
      <c r="AG2054" s="11">
        <f>$E2054+27</f>
        <v>140</v>
      </c>
      <c r="AH2054" s="12">
        <f>IF($J2054=0,0,ROUND(MAX($J2054*1.4*1.5*1.6*1.6*2.2*2.715*2.6*1.4*1.4*1.5*1.5*3.2,60500000000*(1.654288^(MIN($E2054,123)-117)))*1,0))</f>
        <v>8078131097</v>
      </c>
    </row>
    <row r="2055" ht="28" customHeight="1" spans="1:34" x14ac:dyDescent="0.25">
      <c r="A2055">
        <v>2065</v>
      </c>
      <c r="B2055" t="s">
        <v>205</v>
      </c>
      <c r="C2055" s="10" t="s">
        <v>1276</v>
      </c>
      <c r="D2055" t="s">
        <v>79</v>
      </c>
      <c r="E2055">
        <v>113</v>
      </c>
      <c r="F2055" t="s">
        <v>59</v>
      </c>
      <c r="G2055" t="s">
        <v>1277</v>
      </c>
      <c r="H2055">
        <v>27</v>
      </c>
      <c r="I2055" s="11">
        <f>$E2055+0</f>
        <v>113</v>
      </c>
      <c r="J2055" s="12">
        <v>889000</v>
      </c>
      <c r="K2055" s="13">
        <f>$E2055+1</f>
        <v>114</v>
      </c>
      <c r="L2055" s="14">
        <f>IF($J2055=0,0,ROUND(MAX($J2055*1.4,1620000*(1.497923^(MIN($E2055,123)-117)))*1,0))</f>
        <v>1244600</v>
      </c>
      <c r="M2055" s="11">
        <f>$E2055+2</f>
        <v>115</v>
      </c>
      <c r="N2055" s="12">
        <f>IF($J2055=0,0,ROUND(MAX($J2055*1.4*1.5,2190000*(1.580994^(MIN($E2055,123)-117)))*1,0))</f>
        <v>1866900</v>
      </c>
      <c r="O2055" s="13">
        <f>$E2055+4</f>
        <v>117</v>
      </c>
      <c r="P2055" s="14">
        <f>IF($J2055=0,0,ROUND(MAX($J2055*1.4*1.5*1.6,3500000*(1.57975^(MIN($E2055,123)-117)))*1,0))</f>
        <v>2987040</v>
      </c>
      <c r="Q2055" s="11">
        <f>$E2055+6</f>
        <v>119</v>
      </c>
      <c r="R2055" s="12">
        <f>IF($J2055=0,0,ROUND(MAX($J2055*1.4*1.5*1.6*1.6,13100000*(1.429962^(MIN($E2055,123)-117)))*1,0))</f>
        <v>4779264</v>
      </c>
      <c r="S2055" s="13">
        <f>$E2055+8</f>
        <v>121</v>
      </c>
      <c r="T2055" s="14">
        <f>IF($J2055=0,0,ROUND(MAX($J2055*1.4*1.5*1.6*1.6*2.2,42600000*(1.576904^(MIN($E2055,123)-117)))*1,0))</f>
        <v>10514381</v>
      </c>
      <c r="U2055" s="11">
        <f>$E2055+11</f>
        <v>124</v>
      </c>
      <c r="V2055" s="12">
        <f>IF($J2055=0,0,ROUND(MAX($J2055*1.4*1.5*1.6*1.6*2.2*2.715,354000000*(1.642074^(MIN($E2055,123)-117)))*1,0))</f>
        <v>48689169</v>
      </c>
      <c r="W2055" s="13">
        <f>$E2055+15</f>
        <v>128</v>
      </c>
      <c r="X2055" s="14">
        <f>IF($J2055=0,0,ROUND(MAX($J2055*1.4*1.5*1.6*1.6*2.2*2.715*2.6,3540000000*(1.579646^(MIN($E2055,123)-117)))*1,0))</f>
        <v>568544122</v>
      </c>
      <c r="Y2055" s="11">
        <f>$E2055+17</f>
        <v>130</v>
      </c>
      <c r="Z2055" s="12">
        <f>IF($J2055=0,0,ROUND(MAX($J2055*1.4*1.5*1.6*1.6*2.2*2.715*2.6*1.4,6020000000*(1.651178^(MIN($E2055,123)-117)))*1,0))</f>
        <v>809880453</v>
      </c>
      <c r="AA2055" s="13">
        <f>$E2055+19</f>
        <v>132</v>
      </c>
      <c r="AB2055" s="14">
        <f>IF($J2055=0,0,ROUND(MAX($J2055*1.4*1.5*1.6*1.6*2.2*2.715*2.6*1.4*1.4,8430000000*(1.651435^(MIN($E2055,123)-117)))*1,0))</f>
        <v>1133395897</v>
      </c>
      <c r="AC2055" s="11">
        <f>$E2055+21</f>
        <v>134</v>
      </c>
      <c r="AD2055" s="12">
        <f>IF($J2055=0,0,ROUND(MAX($J2055*1.4*1.5*1.6*1.6*2.2*2.715*2.6*1.4*1.4*1.5,12600000000*(1.652953^(MIN($E2055,123)-117)))*1,0))</f>
        <v>1687829312</v>
      </c>
      <c r="AE2055" s="13">
        <f>$E2055+24</f>
        <v>137</v>
      </c>
      <c r="AF2055" s="14">
        <f>IF($J2055=0,0,ROUND(MAX($J2055*1.4*1.5*1.6*1.6*2.2*2.715*2.6*1.4*1.4*1.5*1.5,18900000000*(1.65331^(MIN($E2055,123)-117)))*1,0))</f>
        <v>2529557954</v>
      </c>
      <c r="AG2055" s="11">
        <f>$E2055+27</f>
        <v>140</v>
      </c>
      <c r="AH2055" s="12">
        <f>IF($J2055=0,0,ROUND(MAX($J2055*1.4*1.5*1.6*1.6*2.2*2.715*2.6*1.4*1.4*1.5*1.5*3.2,60500000000*(1.654288^(MIN($E2055,123)-117)))*1,0))</f>
        <v>8078131097</v>
      </c>
    </row>
    <row r="2056" ht="28" customHeight="1" spans="1:34" x14ac:dyDescent="0.25">
      <c r="A2056">
        <v>2066</v>
      </c>
      <c r="B2056" t="s">
        <v>654</v>
      </c>
      <c r="C2056" s="10" t="s">
        <v>1276</v>
      </c>
      <c r="D2056" t="s">
        <v>25</v>
      </c>
      <c r="E2056">
        <v>113</v>
      </c>
      <c r="F2056" t="s">
        <v>42</v>
      </c>
      <c r="G2056" t="s">
        <v>1277</v>
      </c>
      <c r="H2056">
        <v>27</v>
      </c>
      <c r="I2056" s="11">
        <f>$E2056+0</f>
        <v>113</v>
      </c>
      <c r="J2056" s="12">
        <v>739000</v>
      </c>
      <c r="K2056" s="13">
        <f>$E2056+1</f>
        <v>114</v>
      </c>
      <c r="L2056" s="14">
        <f>IF($J2056=0,0,ROUND(MAX($J2056*1.4,1620000*(1.497923^(MIN($E2056,123)-117)))*1,0))</f>
        <v>1034600</v>
      </c>
      <c r="M2056" s="11">
        <f>$E2056+2</f>
        <v>115</v>
      </c>
      <c r="N2056" s="12">
        <f>IF($J2056=0,0,ROUND(MAX($J2056*1.4*1.5,2190000*(1.580994^(MIN($E2056,123)-117)))*1,0))</f>
        <v>1551900</v>
      </c>
      <c r="O2056" s="13">
        <f>$E2056+4</f>
        <v>117</v>
      </c>
      <c r="P2056" s="14">
        <f>IF($J2056=0,0,ROUND(MAX($J2056*1.4*1.5*1.6,3500000*(1.57975^(MIN($E2056,123)-117)))*1,0))</f>
        <v>2483040</v>
      </c>
      <c r="Q2056" s="11">
        <f>$E2056+6</f>
        <v>119</v>
      </c>
      <c r="R2056" s="12">
        <f>IF($J2056=0,0,ROUND(MAX($J2056*1.4*1.5*1.6*1.6,13100000*(1.429962^(MIN($E2056,123)-117)))*1,0))</f>
        <v>3972864</v>
      </c>
      <c r="S2056" s="13">
        <f>$E2056+8</f>
        <v>121</v>
      </c>
      <c r="T2056" s="14">
        <f>IF($J2056=0,0,ROUND(MAX($J2056*1.4*1.5*1.6*1.6*2.2,42600000*(1.576904^(MIN($E2056,123)-117)))*1,0))</f>
        <v>8740301</v>
      </c>
      <c r="U2056" s="11">
        <f>$E2056+11</f>
        <v>124</v>
      </c>
      <c r="V2056" s="12">
        <f>IF($J2056=0,0,ROUND(MAX($J2056*1.4*1.5*1.6*1.6*2.2*2.715,354000000*(1.642074^(MIN($E2056,123)-117)))*1,0))</f>
        <v>48689169</v>
      </c>
      <c r="W2056" s="13">
        <f>$E2056+15</f>
        <v>128</v>
      </c>
      <c r="X2056" s="14">
        <f>IF($J2056=0,0,ROUND(MAX($J2056*1.4*1.5*1.6*1.6*2.2*2.715*2.6,3540000000*(1.579646^(MIN($E2056,123)-117)))*1,0))</f>
        <v>568544122</v>
      </c>
      <c r="Y2056" s="11">
        <f>$E2056+17</f>
        <v>130</v>
      </c>
      <c r="Z2056" s="12">
        <f>IF($J2056=0,0,ROUND(MAX($J2056*1.4*1.5*1.6*1.6*2.2*2.715*2.6*1.4,6020000000*(1.651178^(MIN($E2056,123)-117)))*1,0))</f>
        <v>809880453</v>
      </c>
      <c r="AA2056" s="13">
        <f>$E2056+19</f>
        <v>132</v>
      </c>
      <c r="AB2056" s="14">
        <f>IF($J2056=0,0,ROUND(MAX($J2056*1.4*1.5*1.6*1.6*2.2*2.715*2.6*1.4*1.4,8430000000*(1.651435^(MIN($E2056,123)-117)))*1,0))</f>
        <v>1133395897</v>
      </c>
      <c r="AC2056" s="11">
        <f>$E2056+21</f>
        <v>134</v>
      </c>
      <c r="AD2056" s="12">
        <f>IF($J2056=0,0,ROUND(MAX($J2056*1.4*1.5*1.6*1.6*2.2*2.715*2.6*1.4*1.4*1.5,12600000000*(1.652953^(MIN($E2056,123)-117)))*1,0))</f>
        <v>1687829312</v>
      </c>
      <c r="AE2056" s="13">
        <f>$E2056+24</f>
        <v>137</v>
      </c>
      <c r="AF2056" s="14">
        <f>IF($J2056=0,0,ROUND(MAX($J2056*1.4*1.5*1.6*1.6*2.2*2.715*2.6*1.4*1.4*1.5*1.5,18900000000*(1.65331^(MIN($E2056,123)-117)))*1,0))</f>
        <v>2529557954</v>
      </c>
      <c r="AG2056" s="11">
        <f>$E2056+27</f>
        <v>140</v>
      </c>
      <c r="AH2056" s="12">
        <f>IF($J2056=0,0,ROUND(MAX($J2056*1.4*1.5*1.6*1.6*2.2*2.715*2.6*1.4*1.4*1.5*1.5*3.2,60500000000*(1.654288^(MIN($E2056,123)-117)))*1,0))</f>
        <v>8078131097</v>
      </c>
    </row>
    <row r="2057" ht="28" customHeight="1" spans="1:34" x14ac:dyDescent="0.25">
      <c r="A2057">
        <v>2067</v>
      </c>
      <c r="B2057" t="s">
        <v>115</v>
      </c>
      <c r="C2057" s="10" t="s">
        <v>1276</v>
      </c>
      <c r="D2057" t="s">
        <v>40</v>
      </c>
      <c r="E2057">
        <v>113</v>
      </c>
      <c r="F2057" t="s">
        <v>116</v>
      </c>
      <c r="G2057" t="s">
        <v>1277</v>
      </c>
      <c r="H2057">
        <v>27</v>
      </c>
      <c r="I2057" s="11">
        <f>$E2057+0</f>
        <v>113</v>
      </c>
      <c r="J2057" s="12">
        <v>848000</v>
      </c>
      <c r="K2057" s="13">
        <f>$E2057+1</f>
        <v>114</v>
      </c>
      <c r="L2057" s="14">
        <f>IF($J2057=0,0,ROUND(MAX($J2057*1.4,1620000*(1.497923^(MIN($E2057,123)-117)))*1,0))</f>
        <v>1187200</v>
      </c>
      <c r="M2057" s="11">
        <f>$E2057+2</f>
        <v>115</v>
      </c>
      <c r="N2057" s="12">
        <f>IF($J2057=0,0,ROUND(MAX($J2057*1.4*1.5,2190000*(1.580994^(MIN($E2057,123)-117)))*1,0))</f>
        <v>1780800</v>
      </c>
      <c r="O2057" s="13">
        <f>$E2057+4</f>
        <v>117</v>
      </c>
      <c r="P2057" s="14">
        <f>IF($J2057=0,0,ROUND(MAX($J2057*1.4*1.5*1.6,3500000*(1.57975^(MIN($E2057,123)-117)))*1,0))</f>
        <v>2849280</v>
      </c>
      <c r="Q2057" s="11">
        <f>$E2057+6</f>
        <v>119</v>
      </c>
      <c r="R2057" s="12">
        <f>IF($J2057=0,0,ROUND(MAX($J2057*1.4*1.5*1.6*1.6,13100000*(1.429962^(MIN($E2057,123)-117)))*1,0))</f>
        <v>4558848</v>
      </c>
      <c r="S2057" s="13">
        <f>$E2057+8</f>
        <v>121</v>
      </c>
      <c r="T2057" s="14">
        <f>IF($J2057=0,0,ROUND(MAX($J2057*1.4*1.5*1.6*1.6*2.2,42600000*(1.576904^(MIN($E2057,123)-117)))*1,0))</f>
        <v>10029466</v>
      </c>
      <c r="U2057" s="11">
        <f>$E2057+11</f>
        <v>124</v>
      </c>
      <c r="V2057" s="12">
        <f>IF($J2057=0,0,ROUND(MAX($J2057*1.4*1.5*1.6*1.6*2.2*2.715,354000000*(1.642074^(MIN($E2057,123)-117)))*1,0))</f>
        <v>48689169</v>
      </c>
      <c r="W2057" s="13">
        <f>$E2057+15</f>
        <v>128</v>
      </c>
      <c r="X2057" s="14">
        <f>IF($J2057=0,0,ROUND(MAX($J2057*1.4*1.5*1.6*1.6*2.2*2.715*2.6,3540000000*(1.579646^(MIN($E2057,123)-117)))*1,0))</f>
        <v>568544122</v>
      </c>
      <c r="Y2057" s="11">
        <f>$E2057+17</f>
        <v>130</v>
      </c>
      <c r="Z2057" s="12">
        <f>IF($J2057=0,0,ROUND(MAX($J2057*1.4*1.5*1.6*1.6*2.2*2.715*2.6*1.4,6020000000*(1.651178^(MIN($E2057,123)-117)))*1,0))</f>
        <v>809880453</v>
      </c>
      <c r="AA2057" s="13">
        <f>$E2057+19</f>
        <v>132</v>
      </c>
      <c r="AB2057" s="14">
        <f>IF($J2057=0,0,ROUND(MAX($J2057*1.4*1.5*1.6*1.6*2.2*2.715*2.6*1.4*1.4,8430000000*(1.651435^(MIN($E2057,123)-117)))*1,0))</f>
        <v>1133395897</v>
      </c>
      <c r="AC2057" s="11">
        <f>$E2057+21</f>
        <v>134</v>
      </c>
      <c r="AD2057" s="12">
        <f>IF($J2057=0,0,ROUND(MAX($J2057*1.4*1.5*1.6*1.6*2.2*2.715*2.6*1.4*1.4*1.5,12600000000*(1.652953^(MIN($E2057,123)-117)))*1,0))</f>
        <v>1687829312</v>
      </c>
      <c r="AE2057" s="13">
        <f>$E2057+24</f>
        <v>137</v>
      </c>
      <c r="AF2057" s="14">
        <f>IF($J2057=0,0,ROUND(MAX($J2057*1.4*1.5*1.6*1.6*2.2*2.715*2.6*1.4*1.4*1.5*1.5,18900000000*(1.65331^(MIN($E2057,123)-117)))*1,0))</f>
        <v>2529557954</v>
      </c>
      <c r="AG2057" s="11">
        <f>$E2057+27</f>
        <v>140</v>
      </c>
      <c r="AH2057" s="12">
        <f>IF($J2057=0,0,ROUND(MAX($J2057*1.4*1.5*1.6*1.6*2.2*2.715*2.6*1.4*1.4*1.5*1.5*3.2,60500000000*(1.654288^(MIN($E2057,123)-117)))*1,0))</f>
        <v>8078131097</v>
      </c>
    </row>
    <row r="2058" ht="28" customHeight="1" spans="1:34" x14ac:dyDescent="0.25">
      <c r="A2058">
        <v>2068</v>
      </c>
      <c r="B2058" t="s">
        <v>85</v>
      </c>
      <c r="C2058" s="10" t="s">
        <v>1276</v>
      </c>
      <c r="D2058" t="s">
        <v>40</v>
      </c>
      <c r="E2058">
        <v>113</v>
      </c>
      <c r="F2058" t="s">
        <v>56</v>
      </c>
      <c r="G2058" t="s">
        <v>1277</v>
      </c>
      <c r="H2058">
        <v>27</v>
      </c>
      <c r="I2058" s="11">
        <f>$E2058+0</f>
        <v>113</v>
      </c>
      <c r="J2058" s="12">
        <v>114000</v>
      </c>
      <c r="K2058" s="13">
        <f>$E2058+1</f>
        <v>114</v>
      </c>
      <c r="L2058" s="14">
        <f>IF($J2058=0,0,ROUND(MAX($J2058*1.4,1620000*(1.497923^(MIN($E2058,123)-117)))*1,0))</f>
        <v>321779</v>
      </c>
      <c r="M2058" s="11">
        <f>$E2058+2</f>
        <v>115</v>
      </c>
      <c r="N2058" s="12">
        <f>IF($J2058=0,0,ROUND(MAX($J2058*1.4*1.5,2190000*(1.580994^(MIN($E2058,123)-117)))*1,0))</f>
        <v>350528</v>
      </c>
      <c r="O2058" s="13">
        <f>$E2058+4</f>
        <v>117</v>
      </c>
      <c r="P2058" s="14">
        <f>IF($J2058=0,0,ROUND(MAX($J2058*1.4*1.5*1.6,3500000*(1.57975^(MIN($E2058,123)-117)))*1,0))</f>
        <v>561972</v>
      </c>
      <c r="Q2058" s="11">
        <f>$E2058+6</f>
        <v>119</v>
      </c>
      <c r="R2058" s="12">
        <f>IF($J2058=0,0,ROUND(MAX($J2058*1.4*1.5*1.6*1.6,13100000*(1.429962^(MIN($E2058,123)-117)))*1,0))</f>
        <v>3133093</v>
      </c>
      <c r="S2058" s="13">
        <f>$E2058+8</f>
        <v>121</v>
      </c>
      <c r="T2058" s="14">
        <f>IF($J2058=0,0,ROUND(MAX($J2058*1.4*1.5*1.6*1.6*2.2,42600000*(1.576904^(MIN($E2058,123)-117)))*1,0))</f>
        <v>6889514</v>
      </c>
      <c r="U2058" s="11">
        <f>$E2058+11</f>
        <v>124</v>
      </c>
      <c r="V2058" s="12">
        <f>IF($J2058=0,0,ROUND(MAX($J2058*1.4*1.5*1.6*1.6*2.2*2.715,354000000*(1.642074^(MIN($E2058,123)-117)))*1,0))</f>
        <v>48689169</v>
      </c>
      <c r="W2058" s="13">
        <f>$E2058+15</f>
        <v>128</v>
      </c>
      <c r="X2058" s="14">
        <f>IF($J2058=0,0,ROUND(MAX($J2058*1.4*1.5*1.6*1.6*2.2*2.715*2.6,3540000000*(1.579646^(MIN($E2058,123)-117)))*1,0))</f>
        <v>568544122</v>
      </c>
      <c r="Y2058" s="11">
        <f>$E2058+17</f>
        <v>130</v>
      </c>
      <c r="Z2058" s="12">
        <f>IF($J2058=0,0,ROUND(MAX($J2058*1.4*1.5*1.6*1.6*2.2*2.715*2.6*1.4,6020000000*(1.651178^(MIN($E2058,123)-117)))*1,0))</f>
        <v>809880453</v>
      </c>
      <c r="AA2058" s="13">
        <f>$E2058+19</f>
        <v>132</v>
      </c>
      <c r="AB2058" s="14">
        <f>IF($J2058=0,0,ROUND(MAX($J2058*1.4*1.5*1.6*1.6*2.2*2.715*2.6*1.4*1.4,8430000000*(1.651435^(MIN($E2058,123)-117)))*1,0))</f>
        <v>1133395897</v>
      </c>
      <c r="AC2058" s="11">
        <f>$E2058+21</f>
        <v>134</v>
      </c>
      <c r="AD2058" s="12">
        <f>IF($J2058=0,0,ROUND(MAX($J2058*1.4*1.5*1.6*1.6*2.2*2.715*2.6*1.4*1.4*1.5,12600000000*(1.652953^(MIN($E2058,123)-117)))*1,0))</f>
        <v>1687829312</v>
      </c>
      <c r="AE2058" s="13">
        <f>$E2058+24</f>
        <v>137</v>
      </c>
      <c r="AF2058" s="14">
        <f>IF($J2058=0,0,ROUND(MAX($J2058*1.4*1.5*1.6*1.6*2.2*2.715*2.6*1.4*1.4*1.5*1.5,18900000000*(1.65331^(MIN($E2058,123)-117)))*1,0))</f>
        <v>2529557954</v>
      </c>
      <c r="AG2058" s="11">
        <f>$E2058+27</f>
        <v>140</v>
      </c>
      <c r="AH2058" s="12">
        <f>IF($J2058=0,0,ROUND(MAX($J2058*1.4*1.5*1.6*1.6*2.2*2.715*2.6*1.4*1.4*1.5*1.5*3.2,60500000000*(1.654288^(MIN($E2058,123)-117)))*1,0))</f>
        <v>8078131097</v>
      </c>
    </row>
    <row r="2059" ht="28" customHeight="1" spans="1:34" x14ac:dyDescent="0.25">
      <c r="A2059">
        <v>2069</v>
      </c>
      <c r="B2059" t="s">
        <v>145</v>
      </c>
      <c r="C2059" s="10" t="s">
        <v>1276</v>
      </c>
      <c r="D2059" t="s">
        <v>47</v>
      </c>
      <c r="E2059">
        <v>113</v>
      </c>
      <c r="F2059" t="s">
        <v>146</v>
      </c>
      <c r="G2059" t="s">
        <v>1277</v>
      </c>
      <c r="H2059">
        <v>25</v>
      </c>
      <c r="I2059" s="11">
        <f>$E2059+0</f>
        <v>113</v>
      </c>
      <c r="J2059" s="12">
        <v>436000</v>
      </c>
      <c r="K2059" s="13">
        <f>$E2059+1</f>
        <v>114</v>
      </c>
      <c r="L2059" s="14">
        <f>IF($J2059=0,0,ROUND(MAX($J2059*1.4,1620000*(1.497923^(MIN($E2059,123)-117)))*1,0))</f>
        <v>610400</v>
      </c>
      <c r="M2059" s="11">
        <f>$E2059+2</f>
        <v>115</v>
      </c>
      <c r="N2059" s="12">
        <f>IF($J2059=0,0,ROUND(MAX($J2059*1.4*1.5,2190000*(1.580994^(MIN($E2059,123)-117)))*1,0))</f>
        <v>915600</v>
      </c>
      <c r="O2059" s="13">
        <f>$E2059+4</f>
        <v>117</v>
      </c>
      <c r="P2059" s="14">
        <f>IF($J2059=0,0,ROUND(MAX($J2059*1.4*1.5*1.6,3500000*(1.57975^(MIN($E2059,123)-117)))*1,0))</f>
        <v>1464960</v>
      </c>
      <c r="Q2059" s="11">
        <f>$E2059+6</f>
        <v>119</v>
      </c>
      <c r="R2059" s="12">
        <f>IF($J2059=0,0,ROUND(MAX($J2059*1.4*1.5*1.6*1.6,13100000*(1.429962^(MIN($E2059,123)-117)))*1,0))</f>
        <v>3133093</v>
      </c>
      <c r="S2059" s="13">
        <f>$E2059+8</f>
        <v>121</v>
      </c>
      <c r="T2059" s="14">
        <f>IF($J2059=0,0,ROUND(MAX($J2059*1.4*1.5*1.6*1.6*2.2,42600000*(1.576904^(MIN($E2059,123)-117)))*1,0))</f>
        <v>6889514</v>
      </c>
      <c r="U2059" s="11">
        <f>$E2059+11</f>
        <v>124</v>
      </c>
      <c r="V2059" s="12">
        <f>IF($J2059=0,0,ROUND(MAX($J2059*1.4*1.5*1.6*1.6*2.2*2.715,354000000*(1.642074^(MIN($E2059,123)-117)))*1,0))</f>
        <v>48689169</v>
      </c>
      <c r="W2059" s="13">
        <f>$E2059+15</f>
        <v>128</v>
      </c>
      <c r="X2059" s="14">
        <f>IF($J2059=0,0,ROUND(MAX($J2059*1.4*1.5*1.6*1.6*2.2*2.715*2.6,3540000000*(1.579646^(MIN($E2059,123)-117)))*1,0))</f>
        <v>568544122</v>
      </c>
      <c r="Y2059" s="11">
        <f>$E2059+17</f>
        <v>130</v>
      </c>
      <c r="Z2059" s="12">
        <f>IF($J2059=0,0,ROUND(MAX($J2059*1.4*1.5*1.6*1.6*2.2*2.715*2.6*1.4,6020000000*(1.651178^(MIN($E2059,123)-117)))*1,0))</f>
        <v>809880453</v>
      </c>
      <c r="AA2059" s="13">
        <f>$E2059+19</f>
        <v>132</v>
      </c>
      <c r="AB2059" s="14">
        <f>IF($J2059=0,0,ROUND(MAX($J2059*1.4*1.5*1.6*1.6*2.2*2.715*2.6*1.4*1.4,8430000000*(1.651435^(MIN($E2059,123)-117)))*1,0))</f>
        <v>1133395897</v>
      </c>
      <c r="AC2059" s="11">
        <f>$E2059+21</f>
        <v>134</v>
      </c>
      <c r="AD2059" s="12">
        <f>IF($J2059=0,0,ROUND(MAX($J2059*1.4*1.5*1.6*1.6*2.2*2.715*2.6*1.4*1.4*1.5,12600000000*(1.652953^(MIN($E2059,123)-117)))*1,0))</f>
        <v>1687829312</v>
      </c>
      <c r="AE2059" s="13">
        <f>$E2059+24</f>
        <v>137</v>
      </c>
      <c r="AF2059" s="14">
        <f>IF($J2059=0,0,ROUND(MAX($J2059*1.4*1.5*1.6*1.6*2.2*2.715*2.6*1.4*1.4*1.5*1.5,18900000000*(1.65331^(MIN($E2059,123)-117)))*1,0))</f>
        <v>2529557954</v>
      </c>
      <c r="AG2059" s="11">
        <f>$E2059+27</f>
        <v>140</v>
      </c>
      <c r="AH2059" s="12">
        <f>IF($J2059=0,0,ROUND(MAX($J2059*1.4*1.5*1.6*1.6*2.2*2.715*2.6*1.4*1.4*1.5*1.5*3.2,60500000000*(1.654288^(MIN($E2059,123)-117)))*1,0))</f>
        <v>8078131097</v>
      </c>
    </row>
    <row r="2060" ht="28" customHeight="1" spans="1:34" x14ac:dyDescent="0.25">
      <c r="A2060">
        <v>2070</v>
      </c>
      <c r="B2060" t="s">
        <v>91</v>
      </c>
      <c r="C2060" s="10" t="s">
        <v>1276</v>
      </c>
      <c r="D2060" t="s">
        <v>47</v>
      </c>
      <c r="E2060">
        <v>113</v>
      </c>
      <c r="F2060" t="s">
        <v>71</v>
      </c>
      <c r="G2060" t="s">
        <v>1277</v>
      </c>
      <c r="H2060">
        <v>23</v>
      </c>
      <c r="I2060" s="11">
        <f>$E2060+0</f>
        <v>113</v>
      </c>
      <c r="J2060" s="12">
        <v>160000</v>
      </c>
      <c r="K2060" s="13">
        <f>$E2060+1</f>
        <v>114</v>
      </c>
      <c r="L2060" s="14">
        <f>IF($J2060=0,0,ROUND(MAX($J2060*1.4,1620000*(1.497923^(MIN($E2060,123)-117)))*1,0))</f>
        <v>321779</v>
      </c>
      <c r="M2060" s="11">
        <f>$E2060+2</f>
        <v>115</v>
      </c>
      <c r="N2060" s="12">
        <f>IF($J2060=0,0,ROUND(MAX($J2060*1.4*1.5,2190000*(1.580994^(MIN($E2060,123)-117)))*1,0))</f>
        <v>350528</v>
      </c>
      <c r="O2060" s="13">
        <f>$E2060+4</f>
        <v>117</v>
      </c>
      <c r="P2060" s="14">
        <f>IF($J2060=0,0,ROUND(MAX($J2060*1.4*1.5*1.6,3500000*(1.57975^(MIN($E2060,123)-117)))*1,0))</f>
        <v>561972</v>
      </c>
      <c r="Q2060" s="11">
        <f>$E2060+6</f>
        <v>119</v>
      </c>
      <c r="R2060" s="12">
        <f>IF($J2060=0,0,ROUND(MAX($J2060*1.4*1.5*1.6*1.6,13100000*(1.429962^(MIN($E2060,123)-117)))*1,0))</f>
        <v>3133093</v>
      </c>
      <c r="S2060" s="13">
        <f>$E2060+8</f>
        <v>121</v>
      </c>
      <c r="T2060" s="14">
        <f>IF($J2060=0,0,ROUND(MAX($J2060*1.4*1.5*1.6*1.6*2.2,42600000*(1.576904^(MIN($E2060,123)-117)))*1,0))</f>
        <v>6889514</v>
      </c>
      <c r="U2060" s="11">
        <f>$E2060+11</f>
        <v>124</v>
      </c>
      <c r="V2060" s="12">
        <f>IF($J2060=0,0,ROUND(MAX($J2060*1.4*1.5*1.6*1.6*2.2*2.715,354000000*(1.642074^(MIN($E2060,123)-117)))*1,0))</f>
        <v>48689169</v>
      </c>
      <c r="W2060" s="13">
        <f>$E2060+15</f>
        <v>128</v>
      </c>
      <c r="X2060" s="14">
        <f>IF($J2060=0,0,ROUND(MAX($J2060*1.4*1.5*1.6*1.6*2.2*2.715*2.6,3540000000*(1.579646^(MIN($E2060,123)-117)))*1,0))</f>
        <v>568544122</v>
      </c>
      <c r="Y2060" s="11">
        <f>$E2060+17</f>
        <v>130</v>
      </c>
      <c r="Z2060" s="12">
        <f>IF($J2060=0,0,ROUND(MAX($J2060*1.4*1.5*1.6*1.6*2.2*2.715*2.6*1.4,6020000000*(1.651178^(MIN($E2060,123)-117)))*1,0))</f>
        <v>809880453</v>
      </c>
      <c r="AA2060" s="13">
        <f>$E2060+19</f>
        <v>132</v>
      </c>
      <c r="AB2060" s="14">
        <f>IF($J2060=0,0,ROUND(MAX($J2060*1.4*1.5*1.6*1.6*2.2*2.715*2.6*1.4*1.4,8430000000*(1.651435^(MIN($E2060,123)-117)))*1,0))</f>
        <v>1133395897</v>
      </c>
      <c r="AC2060" s="11">
        <f>$E2060+21</f>
        <v>134</v>
      </c>
      <c r="AD2060" s="12">
        <f>IF($J2060=0,0,ROUND(MAX($J2060*1.4*1.5*1.6*1.6*2.2*2.715*2.6*1.4*1.4*1.5,12600000000*(1.652953^(MIN($E2060,123)-117)))*1,0))</f>
        <v>1687829312</v>
      </c>
      <c r="AE2060" s="13">
        <f>$E2060+24</f>
        <v>137</v>
      </c>
      <c r="AF2060" s="14">
        <f>IF($J2060=0,0,ROUND(MAX($J2060*1.4*1.5*1.6*1.6*2.2*2.715*2.6*1.4*1.4*1.5*1.5,18900000000*(1.65331^(MIN($E2060,123)-117)))*1,0))</f>
        <v>2529557954</v>
      </c>
      <c r="AG2060" s="11">
        <f>$E2060+27</f>
        <v>140</v>
      </c>
      <c r="AH2060" s="12">
        <f>IF($J2060=0,0,ROUND(MAX($J2060*1.4*1.5*1.6*1.6*2.2*2.715*2.6*1.4*1.4*1.5*1.5*3.2,60500000000*(1.654288^(MIN($E2060,123)-117)))*1,0))</f>
        <v>8078131097</v>
      </c>
    </row>
    <row r="2061" ht="28" customHeight="1" spans="1:34" x14ac:dyDescent="0.25">
      <c r="A2061">
        <v>2071</v>
      </c>
      <c r="B2061" t="s">
        <v>118</v>
      </c>
      <c r="C2061" s="10" t="s">
        <v>1276</v>
      </c>
      <c r="D2061" t="s">
        <v>29</v>
      </c>
      <c r="E2061">
        <v>112</v>
      </c>
      <c r="F2061" t="s">
        <v>56</v>
      </c>
      <c r="G2061" t="s">
        <v>1277</v>
      </c>
      <c r="H2061">
        <v>27</v>
      </c>
      <c r="I2061" s="11">
        <f>$E2061+0</f>
        <v>112</v>
      </c>
      <c r="J2061" s="12">
        <v>362000</v>
      </c>
      <c r="K2061" s="13">
        <f>$E2061+1</f>
        <v>113</v>
      </c>
      <c r="L2061" s="14">
        <f>IF($J2061=0,0,ROUND(MAX($J2061*1.4,1620000*(1.497923^(MIN($E2061,123)-117)))*1,0))</f>
        <v>506800</v>
      </c>
      <c r="M2061" s="11">
        <f>$E2061+2</f>
        <v>114</v>
      </c>
      <c r="N2061" s="12">
        <f>IF($J2061=0,0,ROUND(MAX($J2061*1.4*1.5,2190000*(1.580994^(MIN($E2061,123)-117)))*1,0))</f>
        <v>760200</v>
      </c>
      <c r="O2061" s="13">
        <f>$E2061+4</f>
        <v>116</v>
      </c>
      <c r="P2061" s="14">
        <f>IF($J2061=0,0,ROUND(MAX($J2061*1.4*1.5*1.6,3500000*(1.57975^(MIN($E2061,123)-117)))*1,0))</f>
        <v>1216320</v>
      </c>
      <c r="Q2061" s="11">
        <f>$E2061+6</f>
        <v>118</v>
      </c>
      <c r="R2061" s="12">
        <f>IF($J2061=0,0,ROUND(MAX($J2061*1.4*1.5*1.6*1.6,13100000*(1.429962^(MIN($E2061,123)-117)))*1,0))</f>
        <v>2191032</v>
      </c>
      <c r="S2061" s="13">
        <f>$E2061+8</f>
        <v>120</v>
      </c>
      <c r="T2061" s="14">
        <f>IF($J2061=0,0,ROUND(MAX($J2061*1.4*1.5*1.6*1.6*2.2,42600000*(1.576904^(MIN($E2061,123)-117)))*1,0))</f>
        <v>4369013</v>
      </c>
      <c r="U2061" s="11">
        <f>$E2061+11</f>
        <v>123</v>
      </c>
      <c r="V2061" s="12">
        <f>IF($J2061=0,0,ROUND(MAX($J2061*1.4*1.5*1.6*1.6*2.2*2.715,354000000*(1.642074^(MIN($E2061,123)-117)))*1,0))</f>
        <v>29651020</v>
      </c>
      <c r="W2061" s="13">
        <f>$E2061+15</f>
        <v>127</v>
      </c>
      <c r="X2061" s="14">
        <f>IF($J2061=0,0,ROUND(MAX($J2061*1.4*1.5*1.6*1.6*2.2*2.715*2.6,3540000000*(1.579646^(MIN($E2061,123)-117)))*1,0))</f>
        <v>359918692</v>
      </c>
      <c r="Y2061" s="11">
        <f>$E2061+17</f>
        <v>129</v>
      </c>
      <c r="Z2061" s="12">
        <f>IF($J2061=0,0,ROUND(MAX($J2061*1.4*1.5*1.6*1.6*2.2*2.715*2.6*1.4,6020000000*(1.651178^(MIN($E2061,123)-117)))*1,0))</f>
        <v>490486461</v>
      </c>
      <c r="AA2061" s="13">
        <f>$E2061+19</f>
        <v>131</v>
      </c>
      <c r="AB2061" s="14">
        <f>IF($J2061=0,0,ROUND(MAX($J2061*1.4*1.5*1.6*1.6*2.2*2.715*2.6*1.4*1.4,8430000000*(1.651435^(MIN($E2061,123)-117)))*1,0))</f>
        <v>686309723</v>
      </c>
      <c r="AC2061" s="11">
        <f>$E2061+21</f>
        <v>133</v>
      </c>
      <c r="AD2061" s="12">
        <f>IF($J2061=0,0,ROUND(MAX($J2061*1.4*1.5*1.6*1.6*2.2*2.715*2.6*1.4*1.4*1.5,12600000000*(1.652953^(MIN($E2061,123)-117)))*1,0))</f>
        <v>1021099398</v>
      </c>
      <c r="AE2061" s="13">
        <f>$E2061+24</f>
        <v>136</v>
      </c>
      <c r="AF2061" s="14">
        <f>IF($J2061=0,0,ROUND(MAX($J2061*1.4*1.5*1.6*1.6*2.2*2.715*2.6*1.4*1.4*1.5*1.5,18900000000*(1.65331^(MIN($E2061,123)-117)))*1,0))</f>
        <v>1529996162</v>
      </c>
      <c r="AG2061" s="11">
        <f>$E2061+27</f>
        <v>139</v>
      </c>
      <c r="AH2061" s="12">
        <f>IF($J2061=0,0,ROUND(MAX($J2061*1.4*1.5*1.6*1.6*2.2*2.715*2.6*1.4*1.4*1.5*1.5*3.2,60500000000*(1.654288^(MIN($E2061,123)-117)))*1,0))</f>
        <v>4883146766</v>
      </c>
    </row>
    <row r="2062" ht="28" customHeight="1" spans="1:34" x14ac:dyDescent="0.25">
      <c r="A2062">
        <v>2072</v>
      </c>
      <c r="B2062" t="s">
        <v>163</v>
      </c>
      <c r="C2062" s="10" t="s">
        <v>1276</v>
      </c>
      <c r="D2062" t="s">
        <v>40</v>
      </c>
      <c r="E2062">
        <v>112</v>
      </c>
      <c r="F2062" t="s">
        <v>71</v>
      </c>
      <c r="G2062" t="s">
        <v>1277</v>
      </c>
      <c r="H2062">
        <v>27</v>
      </c>
      <c r="I2062" s="11">
        <f>$E2062+0</f>
        <v>112</v>
      </c>
      <c r="J2062" s="12">
        <v>487000</v>
      </c>
      <c r="K2062" s="13">
        <f>$E2062+1</f>
        <v>113</v>
      </c>
      <c r="L2062" s="14">
        <f>IF($J2062=0,0,ROUND(MAX($J2062*1.4,1620000*(1.497923^(MIN($E2062,123)-117)))*1,0))</f>
        <v>681800</v>
      </c>
      <c r="M2062" s="11">
        <f>$E2062+2</f>
        <v>114</v>
      </c>
      <c r="N2062" s="12">
        <f>IF($J2062=0,0,ROUND(MAX($J2062*1.4*1.5,2190000*(1.580994^(MIN($E2062,123)-117)))*1,0))</f>
        <v>1022700</v>
      </c>
      <c r="O2062" s="13">
        <f>$E2062+4</f>
        <v>116</v>
      </c>
      <c r="P2062" s="14">
        <f>IF($J2062=0,0,ROUND(MAX($J2062*1.4*1.5*1.6,3500000*(1.57975^(MIN($E2062,123)-117)))*1,0))</f>
        <v>1636320</v>
      </c>
      <c r="Q2062" s="11">
        <f>$E2062+6</f>
        <v>118</v>
      </c>
      <c r="R2062" s="12">
        <f>IF($J2062=0,0,ROUND(MAX($J2062*1.4*1.5*1.6*1.6,13100000*(1.429962^(MIN($E2062,123)-117)))*1,0))</f>
        <v>2618112</v>
      </c>
      <c r="S2062" s="13">
        <f>$E2062+8</f>
        <v>120</v>
      </c>
      <c r="T2062" s="14">
        <f>IF($J2062=0,0,ROUND(MAX($J2062*1.4*1.5*1.6*1.6*2.2,42600000*(1.576904^(MIN($E2062,123)-117)))*1,0))</f>
        <v>5759846</v>
      </c>
      <c r="U2062" s="11">
        <f>$E2062+11</f>
        <v>123</v>
      </c>
      <c r="V2062" s="12">
        <f>IF($J2062=0,0,ROUND(MAX($J2062*1.4*1.5*1.6*1.6*2.2*2.715,354000000*(1.642074^(MIN($E2062,123)-117)))*1,0))</f>
        <v>29651020</v>
      </c>
      <c r="W2062" s="13">
        <f>$E2062+15</f>
        <v>127</v>
      </c>
      <c r="X2062" s="14">
        <f>IF($J2062=0,0,ROUND(MAX($J2062*1.4*1.5*1.6*1.6*2.2*2.715*2.6,3540000000*(1.579646^(MIN($E2062,123)-117)))*1,0))</f>
        <v>359918692</v>
      </c>
      <c r="Y2062" s="11">
        <f>$E2062+17</f>
        <v>129</v>
      </c>
      <c r="Z2062" s="12">
        <f>IF($J2062=0,0,ROUND(MAX($J2062*1.4*1.5*1.6*1.6*2.2*2.715*2.6*1.4,6020000000*(1.651178^(MIN($E2062,123)-117)))*1,0))</f>
        <v>490486461</v>
      </c>
      <c r="AA2062" s="13">
        <f>$E2062+19</f>
        <v>131</v>
      </c>
      <c r="AB2062" s="14">
        <f>IF($J2062=0,0,ROUND(MAX($J2062*1.4*1.5*1.6*1.6*2.2*2.715*2.6*1.4*1.4,8430000000*(1.651435^(MIN($E2062,123)-117)))*1,0))</f>
        <v>686309723</v>
      </c>
      <c r="AC2062" s="11">
        <f>$E2062+21</f>
        <v>133</v>
      </c>
      <c r="AD2062" s="12">
        <f>IF($J2062=0,0,ROUND(MAX($J2062*1.4*1.5*1.6*1.6*2.2*2.715*2.6*1.4*1.4*1.5,12600000000*(1.652953^(MIN($E2062,123)-117)))*1,0))</f>
        <v>1021099398</v>
      </c>
      <c r="AE2062" s="13">
        <f>$E2062+24</f>
        <v>136</v>
      </c>
      <c r="AF2062" s="14">
        <f>IF($J2062=0,0,ROUND(MAX($J2062*1.4*1.5*1.6*1.6*2.2*2.715*2.6*1.4*1.4*1.5*1.5,18900000000*(1.65331^(MIN($E2062,123)-117)))*1,0))</f>
        <v>1529996162</v>
      </c>
      <c r="AG2062" s="11">
        <f>$E2062+27</f>
        <v>139</v>
      </c>
      <c r="AH2062" s="12">
        <f>IF($J2062=0,0,ROUND(MAX($J2062*1.4*1.5*1.6*1.6*2.2*2.715*2.6*1.4*1.4*1.5*1.5*3.2,60500000000*(1.654288^(MIN($E2062,123)-117)))*1,0))</f>
        <v>4883146766</v>
      </c>
    </row>
    <row r="2063" ht="28" customHeight="1" spans="1:34" x14ac:dyDescent="0.25">
      <c r="A2063">
        <v>2073</v>
      </c>
      <c r="B2063" t="s">
        <v>84</v>
      </c>
      <c r="C2063" s="10" t="s">
        <v>1276</v>
      </c>
      <c r="D2063" t="s">
        <v>45</v>
      </c>
      <c r="E2063">
        <v>112</v>
      </c>
      <c r="F2063" t="s">
        <v>62</v>
      </c>
      <c r="G2063" t="s">
        <v>1277</v>
      </c>
      <c r="H2063">
        <v>27</v>
      </c>
      <c r="I2063" s="11">
        <f>$E2063+0</f>
        <v>112</v>
      </c>
      <c r="J2063" s="12">
        <v>419000</v>
      </c>
      <c r="K2063" s="13">
        <f>$E2063+1</f>
        <v>113</v>
      </c>
      <c r="L2063" s="14">
        <f>IF($J2063=0,0,ROUND(MAX($J2063*1.4,1620000*(1.497923^(MIN($E2063,123)-117)))*1,0))</f>
        <v>586600</v>
      </c>
      <c r="M2063" s="11">
        <f>$E2063+2</f>
        <v>114</v>
      </c>
      <c r="N2063" s="12">
        <f>IF($J2063=0,0,ROUND(MAX($J2063*1.4*1.5,2190000*(1.580994^(MIN($E2063,123)-117)))*1,0))</f>
        <v>879900</v>
      </c>
      <c r="O2063" s="13">
        <f>$E2063+4</f>
        <v>116</v>
      </c>
      <c r="P2063" s="14">
        <f>IF($J2063=0,0,ROUND(MAX($J2063*1.4*1.5*1.6,3500000*(1.57975^(MIN($E2063,123)-117)))*1,0))</f>
        <v>1407840</v>
      </c>
      <c r="Q2063" s="11">
        <f>$E2063+6</f>
        <v>118</v>
      </c>
      <c r="R2063" s="12">
        <f>IF($J2063=0,0,ROUND(MAX($J2063*1.4*1.5*1.6*1.6,13100000*(1.429962^(MIN($E2063,123)-117)))*1,0))</f>
        <v>2252544</v>
      </c>
      <c r="S2063" s="13">
        <f>$E2063+8</f>
        <v>120</v>
      </c>
      <c r="T2063" s="14">
        <f>IF($J2063=0,0,ROUND(MAX($J2063*1.4*1.5*1.6*1.6*2.2,42600000*(1.576904^(MIN($E2063,123)-117)))*1,0))</f>
        <v>4955597</v>
      </c>
      <c r="U2063" s="11">
        <f>$E2063+11</f>
        <v>123</v>
      </c>
      <c r="V2063" s="12">
        <f>IF($J2063=0,0,ROUND(MAX($J2063*1.4*1.5*1.6*1.6*2.2*2.715,354000000*(1.642074^(MIN($E2063,123)-117)))*1,0))</f>
        <v>29651020</v>
      </c>
      <c r="W2063" s="13">
        <f>$E2063+15</f>
        <v>127</v>
      </c>
      <c r="X2063" s="14">
        <f>IF($J2063=0,0,ROUND(MAX($J2063*1.4*1.5*1.6*1.6*2.2*2.715*2.6,3540000000*(1.579646^(MIN($E2063,123)-117)))*1,0))</f>
        <v>359918692</v>
      </c>
      <c r="Y2063" s="11">
        <f>$E2063+17</f>
        <v>129</v>
      </c>
      <c r="Z2063" s="12">
        <f>IF($J2063=0,0,ROUND(MAX($J2063*1.4*1.5*1.6*1.6*2.2*2.715*2.6*1.4,6020000000*(1.651178^(MIN($E2063,123)-117)))*1,0))</f>
        <v>490486461</v>
      </c>
      <c r="AA2063" s="13">
        <f>$E2063+19</f>
        <v>131</v>
      </c>
      <c r="AB2063" s="14">
        <f>IF($J2063=0,0,ROUND(MAX($J2063*1.4*1.5*1.6*1.6*2.2*2.715*2.6*1.4*1.4,8430000000*(1.651435^(MIN($E2063,123)-117)))*1,0))</f>
        <v>686309723</v>
      </c>
      <c r="AC2063" s="11">
        <f>$E2063+21</f>
        <v>133</v>
      </c>
      <c r="AD2063" s="12">
        <f>IF($J2063=0,0,ROUND(MAX($J2063*1.4*1.5*1.6*1.6*2.2*2.715*2.6*1.4*1.4*1.5,12600000000*(1.652953^(MIN($E2063,123)-117)))*1,0))</f>
        <v>1021099398</v>
      </c>
      <c r="AE2063" s="13">
        <f>$E2063+24</f>
        <v>136</v>
      </c>
      <c r="AF2063" s="14">
        <f>IF($J2063=0,0,ROUND(MAX($J2063*1.4*1.5*1.6*1.6*2.2*2.715*2.6*1.4*1.4*1.5*1.5,18900000000*(1.65331^(MIN($E2063,123)-117)))*1,0))</f>
        <v>1529996162</v>
      </c>
      <c r="AG2063" s="11">
        <f>$E2063+27</f>
        <v>139</v>
      </c>
      <c r="AH2063" s="12">
        <f>IF($J2063=0,0,ROUND(MAX($J2063*1.4*1.5*1.6*1.6*2.2*2.715*2.6*1.4*1.4*1.5*1.5*3.2,60500000000*(1.654288^(MIN($E2063,123)-117)))*1,0))</f>
        <v>4883146766</v>
      </c>
    </row>
    <row r="2064" ht="28" customHeight="1" spans="1:34" x14ac:dyDescent="0.25">
      <c r="A2064">
        <v>2074</v>
      </c>
      <c r="B2064" t="s">
        <v>83</v>
      </c>
      <c r="C2064" s="10" t="s">
        <v>1276</v>
      </c>
      <c r="D2064" t="s">
        <v>33</v>
      </c>
      <c r="E2064">
        <v>112</v>
      </c>
      <c r="F2064" t="s">
        <v>62</v>
      </c>
      <c r="G2064" t="s">
        <v>1277</v>
      </c>
      <c r="H2064">
        <v>27</v>
      </c>
      <c r="I2064" s="11">
        <f>$E2064+0</f>
        <v>112</v>
      </c>
      <c r="J2064" s="12">
        <v>578000</v>
      </c>
      <c r="K2064" s="13">
        <f>$E2064+1</f>
        <v>113</v>
      </c>
      <c r="L2064" s="14">
        <f>IF($J2064=0,0,ROUND(MAX($J2064*1.4,1620000*(1.497923^(MIN($E2064,123)-117)))*1,0))</f>
        <v>809200</v>
      </c>
      <c r="M2064" s="11">
        <f>$E2064+2</f>
        <v>114</v>
      </c>
      <c r="N2064" s="12">
        <f>IF($J2064=0,0,ROUND(MAX($J2064*1.4*1.5,2190000*(1.580994^(MIN($E2064,123)-117)))*1,0))</f>
        <v>1213800</v>
      </c>
      <c r="O2064" s="13">
        <f>$E2064+4</f>
        <v>116</v>
      </c>
      <c r="P2064" s="14">
        <f>IF($J2064=0,0,ROUND(MAX($J2064*1.4*1.5*1.6,3500000*(1.57975^(MIN($E2064,123)-117)))*1,0))</f>
        <v>1942080</v>
      </c>
      <c r="Q2064" s="11">
        <f>$E2064+6</f>
        <v>118</v>
      </c>
      <c r="R2064" s="12">
        <f>IF($J2064=0,0,ROUND(MAX($J2064*1.4*1.5*1.6*1.6,13100000*(1.429962^(MIN($E2064,123)-117)))*1,0))</f>
        <v>3107328</v>
      </c>
      <c r="S2064" s="13">
        <f>$E2064+8</f>
        <v>120</v>
      </c>
      <c r="T2064" s="14">
        <f>IF($J2064=0,0,ROUND(MAX($J2064*1.4*1.5*1.6*1.6*2.2,42600000*(1.576904^(MIN($E2064,123)-117)))*1,0))</f>
        <v>6836122</v>
      </c>
      <c r="U2064" s="11">
        <f>$E2064+11</f>
        <v>123</v>
      </c>
      <c r="V2064" s="12">
        <f>IF($J2064=0,0,ROUND(MAX($J2064*1.4*1.5*1.6*1.6*2.2*2.715,354000000*(1.642074^(MIN($E2064,123)-117)))*1,0))</f>
        <v>29651020</v>
      </c>
      <c r="W2064" s="13">
        <f>$E2064+15</f>
        <v>127</v>
      </c>
      <c r="X2064" s="14">
        <f>IF($J2064=0,0,ROUND(MAX($J2064*1.4*1.5*1.6*1.6*2.2*2.715*2.6,3540000000*(1.579646^(MIN($E2064,123)-117)))*1,0))</f>
        <v>359918692</v>
      </c>
      <c r="Y2064" s="11">
        <f>$E2064+17</f>
        <v>129</v>
      </c>
      <c r="Z2064" s="12">
        <f>IF($J2064=0,0,ROUND(MAX($J2064*1.4*1.5*1.6*1.6*2.2*2.715*2.6*1.4,6020000000*(1.651178^(MIN($E2064,123)-117)))*1,0))</f>
        <v>490486461</v>
      </c>
      <c r="AA2064" s="13">
        <f>$E2064+19</f>
        <v>131</v>
      </c>
      <c r="AB2064" s="14">
        <f>IF($J2064=0,0,ROUND(MAX($J2064*1.4*1.5*1.6*1.6*2.2*2.715*2.6*1.4*1.4,8430000000*(1.651435^(MIN($E2064,123)-117)))*1,0))</f>
        <v>686309723</v>
      </c>
      <c r="AC2064" s="11">
        <f>$E2064+21</f>
        <v>133</v>
      </c>
      <c r="AD2064" s="12">
        <f>IF($J2064=0,0,ROUND(MAX($J2064*1.4*1.5*1.6*1.6*2.2*2.715*2.6*1.4*1.4*1.5,12600000000*(1.652953^(MIN($E2064,123)-117)))*1,0))</f>
        <v>1021099398</v>
      </c>
      <c r="AE2064" s="13">
        <f>$E2064+24</f>
        <v>136</v>
      </c>
      <c r="AF2064" s="14">
        <f>IF($J2064=0,0,ROUND(MAX($J2064*1.4*1.5*1.6*1.6*2.2*2.715*2.6*1.4*1.4*1.5*1.5,18900000000*(1.65331^(MIN($E2064,123)-117)))*1,0))</f>
        <v>1529996162</v>
      </c>
      <c r="AG2064" s="11">
        <f>$E2064+27</f>
        <v>139</v>
      </c>
      <c r="AH2064" s="12">
        <f>IF($J2064=0,0,ROUND(MAX($J2064*1.4*1.5*1.6*1.6*2.2*2.715*2.6*1.4*1.4*1.5*1.5*3.2,60500000000*(1.654288^(MIN($E2064,123)-117)))*1,0))</f>
        <v>4883146766</v>
      </c>
    </row>
    <row r="2065" ht="28" customHeight="1" spans="1:34" x14ac:dyDescent="0.25">
      <c r="A2065">
        <v>2075</v>
      </c>
      <c r="B2065" t="s">
        <v>150</v>
      </c>
      <c r="C2065" s="10" t="s">
        <v>1276</v>
      </c>
      <c r="D2065" t="s">
        <v>33</v>
      </c>
      <c r="E2065">
        <v>112</v>
      </c>
      <c r="F2065" t="s">
        <v>42</v>
      </c>
      <c r="G2065" t="s">
        <v>1277</v>
      </c>
      <c r="H2065">
        <v>26</v>
      </c>
      <c r="I2065" s="11">
        <f>$E2065+0</f>
        <v>112</v>
      </c>
      <c r="J2065" s="12">
        <v>121000</v>
      </c>
      <c r="K2065" s="13">
        <f>$E2065+1</f>
        <v>113</v>
      </c>
      <c r="L2065" s="14">
        <f>IF($J2065=0,0,ROUND(MAX($J2065*1.4,1620000*(1.497923^(MIN($E2065,123)-117)))*1,0))</f>
        <v>214816</v>
      </c>
      <c r="M2065" s="11">
        <f>$E2065+2</f>
        <v>114</v>
      </c>
      <c r="N2065" s="12">
        <f>IF($J2065=0,0,ROUND(MAX($J2065*1.4*1.5,2190000*(1.580994^(MIN($E2065,123)-117)))*1,0))</f>
        <v>254100</v>
      </c>
      <c r="O2065" s="13">
        <f>$E2065+4</f>
        <v>116</v>
      </c>
      <c r="P2065" s="14">
        <f>IF($J2065=0,0,ROUND(MAX($J2065*1.4*1.5*1.6,3500000*(1.57975^(MIN($E2065,123)-117)))*1,0))</f>
        <v>406560</v>
      </c>
      <c r="Q2065" s="11">
        <f>$E2065+6</f>
        <v>118</v>
      </c>
      <c r="R2065" s="12">
        <f>IF($J2065=0,0,ROUND(MAX($J2065*1.4*1.5*1.6*1.6,13100000*(1.429962^(MIN($E2065,123)-117)))*1,0))</f>
        <v>2191032</v>
      </c>
      <c r="S2065" s="13">
        <f>$E2065+8</f>
        <v>120</v>
      </c>
      <c r="T2065" s="14">
        <f>IF($J2065=0,0,ROUND(MAX($J2065*1.4*1.5*1.6*1.6*2.2,42600000*(1.576904^(MIN($E2065,123)-117)))*1,0))</f>
        <v>4369013</v>
      </c>
      <c r="U2065" s="11">
        <f>$E2065+11</f>
        <v>123</v>
      </c>
      <c r="V2065" s="12">
        <f>IF($J2065=0,0,ROUND(MAX($J2065*1.4*1.5*1.6*1.6*2.2*2.715,354000000*(1.642074^(MIN($E2065,123)-117)))*1,0))</f>
        <v>29651020</v>
      </c>
      <c r="W2065" s="13">
        <f>$E2065+15</f>
        <v>127</v>
      </c>
      <c r="X2065" s="14">
        <f>IF($J2065=0,0,ROUND(MAX($J2065*1.4*1.5*1.6*1.6*2.2*2.715*2.6,3540000000*(1.579646^(MIN($E2065,123)-117)))*1,0))</f>
        <v>359918692</v>
      </c>
      <c r="Y2065" s="11">
        <f>$E2065+17</f>
        <v>129</v>
      </c>
      <c r="Z2065" s="12">
        <f>IF($J2065=0,0,ROUND(MAX($J2065*1.4*1.5*1.6*1.6*2.2*2.715*2.6*1.4,6020000000*(1.651178^(MIN($E2065,123)-117)))*1,0))</f>
        <v>490486461</v>
      </c>
      <c r="AA2065" s="13">
        <f>$E2065+19</f>
        <v>131</v>
      </c>
      <c r="AB2065" s="14">
        <f>IF($J2065=0,0,ROUND(MAX($J2065*1.4*1.5*1.6*1.6*2.2*2.715*2.6*1.4*1.4,8430000000*(1.651435^(MIN($E2065,123)-117)))*1,0))</f>
        <v>686309723</v>
      </c>
      <c r="AC2065" s="11">
        <f>$E2065+21</f>
        <v>133</v>
      </c>
      <c r="AD2065" s="12">
        <f>IF($J2065=0,0,ROUND(MAX($J2065*1.4*1.5*1.6*1.6*2.2*2.715*2.6*1.4*1.4*1.5,12600000000*(1.652953^(MIN($E2065,123)-117)))*1,0))</f>
        <v>1021099398</v>
      </c>
      <c r="AE2065" s="13">
        <f>$E2065+24</f>
        <v>136</v>
      </c>
      <c r="AF2065" s="14">
        <f>IF($J2065=0,0,ROUND(MAX($J2065*1.4*1.5*1.6*1.6*2.2*2.715*2.6*1.4*1.4*1.5*1.5,18900000000*(1.65331^(MIN($E2065,123)-117)))*1,0))</f>
        <v>1529996162</v>
      </c>
      <c r="AG2065" s="11">
        <f>$E2065+27</f>
        <v>139</v>
      </c>
      <c r="AH2065" s="12">
        <f>IF($J2065=0,0,ROUND(MAX($J2065*1.4*1.5*1.6*1.6*2.2*2.715*2.6*1.4*1.4*1.5*1.5*3.2,60500000000*(1.654288^(MIN($E2065,123)-117)))*1,0))</f>
        <v>4883146766</v>
      </c>
    </row>
    <row r="2066" ht="28" customHeight="1" spans="1:34" x14ac:dyDescent="0.25">
      <c r="A2066">
        <v>2076</v>
      </c>
      <c r="B2066" t="s">
        <v>203</v>
      </c>
      <c r="C2066" s="10" t="s">
        <v>1276</v>
      </c>
      <c r="D2066" t="s">
        <v>25</v>
      </c>
      <c r="E2066">
        <v>112</v>
      </c>
      <c r="F2066" t="s">
        <v>204</v>
      </c>
      <c r="G2066" t="s">
        <v>1277</v>
      </c>
      <c r="H2066">
        <v>26</v>
      </c>
      <c r="I2066" s="11">
        <f>$E2066+0</f>
        <v>112</v>
      </c>
      <c r="J2066" s="12">
        <v>153000</v>
      </c>
      <c r="K2066" s="13">
        <f>$E2066+1</f>
        <v>113</v>
      </c>
      <c r="L2066" s="14">
        <f>IF($J2066=0,0,ROUND(MAX($J2066*1.4,1620000*(1.497923^(MIN($E2066,123)-117)))*1,0))</f>
        <v>214816</v>
      </c>
      <c r="M2066" s="11">
        <f>$E2066+2</f>
        <v>114</v>
      </c>
      <c r="N2066" s="12">
        <f>IF($J2066=0,0,ROUND(MAX($J2066*1.4*1.5,2190000*(1.580994^(MIN($E2066,123)-117)))*1,0))</f>
        <v>321300</v>
      </c>
      <c r="O2066" s="13">
        <f>$E2066+4</f>
        <v>116</v>
      </c>
      <c r="P2066" s="14">
        <f>IF($J2066=0,0,ROUND(MAX($J2066*1.4*1.5*1.6,3500000*(1.57975^(MIN($E2066,123)-117)))*1,0))</f>
        <v>514080</v>
      </c>
      <c r="Q2066" s="11">
        <f>$E2066+6</f>
        <v>118</v>
      </c>
      <c r="R2066" s="12">
        <f>IF($J2066=0,0,ROUND(MAX($J2066*1.4*1.5*1.6*1.6,13100000*(1.429962^(MIN($E2066,123)-117)))*1,0))</f>
        <v>2191032</v>
      </c>
      <c r="S2066" s="13">
        <f>$E2066+8</f>
        <v>120</v>
      </c>
      <c r="T2066" s="14">
        <f>IF($J2066=0,0,ROUND(MAX($J2066*1.4*1.5*1.6*1.6*2.2,42600000*(1.576904^(MIN($E2066,123)-117)))*1,0))</f>
        <v>4369013</v>
      </c>
      <c r="U2066" s="11">
        <f>$E2066+11</f>
        <v>123</v>
      </c>
      <c r="V2066" s="12">
        <f>IF($J2066=0,0,ROUND(MAX($J2066*1.4*1.5*1.6*1.6*2.2*2.715,354000000*(1.642074^(MIN($E2066,123)-117)))*1,0))</f>
        <v>29651020</v>
      </c>
      <c r="W2066" s="13">
        <f>$E2066+15</f>
        <v>127</v>
      </c>
      <c r="X2066" s="14">
        <f>IF($J2066=0,0,ROUND(MAX($J2066*1.4*1.5*1.6*1.6*2.2*2.715*2.6,3540000000*(1.579646^(MIN($E2066,123)-117)))*1,0))</f>
        <v>359918692</v>
      </c>
      <c r="Y2066" s="11">
        <f>$E2066+17</f>
        <v>129</v>
      </c>
      <c r="Z2066" s="12">
        <f>IF($J2066=0,0,ROUND(MAX($J2066*1.4*1.5*1.6*1.6*2.2*2.715*2.6*1.4,6020000000*(1.651178^(MIN($E2066,123)-117)))*1,0))</f>
        <v>490486461</v>
      </c>
      <c r="AA2066" s="13">
        <f>$E2066+19</f>
        <v>131</v>
      </c>
      <c r="AB2066" s="14">
        <f>IF($J2066=0,0,ROUND(MAX($J2066*1.4*1.5*1.6*1.6*2.2*2.715*2.6*1.4*1.4,8430000000*(1.651435^(MIN($E2066,123)-117)))*1,0))</f>
        <v>686309723</v>
      </c>
      <c r="AC2066" s="11">
        <f>$E2066+21</f>
        <v>133</v>
      </c>
      <c r="AD2066" s="12">
        <f>IF($J2066=0,0,ROUND(MAX($J2066*1.4*1.5*1.6*1.6*2.2*2.715*2.6*1.4*1.4*1.5,12600000000*(1.652953^(MIN($E2066,123)-117)))*1,0))</f>
        <v>1021099398</v>
      </c>
      <c r="AE2066" s="13">
        <f>$E2066+24</f>
        <v>136</v>
      </c>
      <c r="AF2066" s="14">
        <f>IF($J2066=0,0,ROUND(MAX($J2066*1.4*1.5*1.6*1.6*2.2*2.715*2.6*1.4*1.4*1.5*1.5,18900000000*(1.65331^(MIN($E2066,123)-117)))*1,0))</f>
        <v>1529996162</v>
      </c>
      <c r="AG2066" s="11">
        <f>$E2066+27</f>
        <v>139</v>
      </c>
      <c r="AH2066" s="12">
        <f>IF($J2066=0,0,ROUND(MAX($J2066*1.4*1.5*1.6*1.6*2.2*2.715*2.6*1.4*1.4*1.5*1.5*3.2,60500000000*(1.654288^(MIN($E2066,123)-117)))*1,0))</f>
        <v>4883146766</v>
      </c>
    </row>
    <row r="2067" ht="28" customHeight="1" spans="1:34" x14ac:dyDescent="0.25">
      <c r="A2067">
        <v>2077</v>
      </c>
      <c r="B2067" t="s">
        <v>534</v>
      </c>
      <c r="C2067" s="10" t="s">
        <v>1276</v>
      </c>
      <c r="D2067" t="s">
        <v>79</v>
      </c>
      <c r="E2067">
        <v>111</v>
      </c>
      <c r="F2067" t="s">
        <v>310</v>
      </c>
      <c r="G2067" t="s">
        <v>1277</v>
      </c>
      <c r="H2067">
        <v>27</v>
      </c>
      <c r="I2067" s="11">
        <f>$E2067+0</f>
        <v>111</v>
      </c>
      <c r="J2067" s="12">
        <v>120000</v>
      </c>
      <c r="K2067" s="13">
        <f>$E2067+1</f>
        <v>112</v>
      </c>
      <c r="L2067" s="14">
        <f>IF($J2067=0,0,ROUND(MAX($J2067*1.4,1620000*(1.497923^(MIN($E2067,123)-117)))*1,0))</f>
        <v>168000</v>
      </c>
      <c r="M2067" s="11">
        <f>$E2067+2</f>
        <v>113</v>
      </c>
      <c r="N2067" s="12">
        <f>IF($J2067=0,0,ROUND(MAX($J2067*1.4*1.5,2190000*(1.580994^(MIN($E2067,123)-117)))*1,0))</f>
        <v>252000</v>
      </c>
      <c r="O2067" s="13">
        <f>$E2067+4</f>
        <v>115</v>
      </c>
      <c r="P2067" s="14">
        <f>IF($J2067=0,0,ROUND(MAX($J2067*1.4*1.5*1.6,3500000*(1.57975^(MIN($E2067,123)-117)))*1,0))</f>
        <v>403200</v>
      </c>
      <c r="Q2067" s="11">
        <f>$E2067+6</f>
        <v>117</v>
      </c>
      <c r="R2067" s="12">
        <f>IF($J2067=0,0,ROUND(MAX($J2067*1.4*1.5*1.6*1.6,13100000*(1.429962^(MIN($E2067,123)-117)))*1,0))</f>
        <v>1532231</v>
      </c>
      <c r="S2067" s="13">
        <f>$E2067+8</f>
        <v>119</v>
      </c>
      <c r="T2067" s="14">
        <f>IF($J2067=0,0,ROUND(MAX($J2067*1.4*1.5*1.6*1.6*2.2,42600000*(1.576904^(MIN($E2067,123)-117)))*1,0))</f>
        <v>2770627</v>
      </c>
      <c r="U2067" s="11">
        <f>$E2067+11</f>
        <v>122</v>
      </c>
      <c r="V2067" s="12">
        <f>IF($J2067=0,0,ROUND(MAX($J2067*1.4*1.5*1.6*1.6*2.2*2.715,354000000*(1.642074^(MIN($E2067,123)-117)))*1,0))</f>
        <v>18057055</v>
      </c>
      <c r="W2067" s="13">
        <f>$E2067+15</f>
        <v>126</v>
      </c>
      <c r="X2067" s="14">
        <f>IF($J2067=0,0,ROUND(MAX($J2067*1.4*1.5*1.6*1.6*2.2*2.715*2.6,3540000000*(1.579646^(MIN($E2067,123)-117)))*1,0))</f>
        <v>227847690</v>
      </c>
      <c r="Y2067" s="11">
        <f>$E2067+17</f>
        <v>128</v>
      </c>
      <c r="Z2067" s="12">
        <f>IF($J2067=0,0,ROUND(MAX($J2067*1.4*1.5*1.6*1.6*2.2*2.715*2.6*1.4,6020000000*(1.651178^(MIN($E2067,123)-117)))*1,0))</f>
        <v>297052444</v>
      </c>
      <c r="AA2067" s="13">
        <f>$E2067+19</f>
        <v>130</v>
      </c>
      <c r="AB2067" s="14">
        <f>IF($J2067=0,0,ROUND(MAX($J2067*1.4*1.5*1.6*1.6*2.2*2.715*2.6*1.4*1.4,8430000000*(1.651435^(MIN($E2067,123)-117)))*1,0))</f>
        <v>415583854</v>
      </c>
      <c r="AC2067" s="11">
        <f>$E2067+21</f>
        <v>132</v>
      </c>
      <c r="AD2067" s="12">
        <f>IF($J2067=0,0,ROUND(MAX($J2067*1.4*1.5*1.6*1.6*2.2*2.715*2.6*1.4*1.4*1.5,12600000000*(1.652953^(MIN($E2067,123)-117)))*1,0))</f>
        <v>617742548</v>
      </c>
      <c r="AE2067" s="13">
        <f>$E2067+24</f>
        <v>135</v>
      </c>
      <c r="AF2067" s="14">
        <f>IF($J2067=0,0,ROUND(MAX($J2067*1.4*1.5*1.6*1.6*2.2*2.715*2.6*1.4*1.4*1.5*1.5,18900000000*(1.65331^(MIN($E2067,123)-117)))*1,0))</f>
        <v>925413965</v>
      </c>
      <c r="AG2067" s="11">
        <f>$E2067+27</f>
        <v>138</v>
      </c>
      <c r="AH2067" s="12">
        <f>IF($J2067=0,0,ROUND(MAX($J2067*1.4*1.5*1.6*1.6*2.2*2.715*2.6*1.4*1.4*1.5*1.5*3.2,60500000000*(1.654288^(MIN($E2067,123)-117)))*1,0))</f>
        <v>2951811756</v>
      </c>
    </row>
    <row r="2068" ht="28" customHeight="1" spans="1:34" x14ac:dyDescent="0.25">
      <c r="A2068">
        <v>2078</v>
      </c>
      <c r="B2068" t="s">
        <v>164</v>
      </c>
      <c r="C2068" s="10" t="s">
        <v>1276</v>
      </c>
      <c r="D2068" t="s">
        <v>64</v>
      </c>
      <c r="E2068">
        <v>111</v>
      </c>
      <c r="F2068" t="s">
        <v>132</v>
      </c>
      <c r="G2068" t="s">
        <v>1277</v>
      </c>
      <c r="H2068">
        <v>27</v>
      </c>
      <c r="I2068" s="11">
        <f>$E2068+0</f>
        <v>111</v>
      </c>
      <c r="J2068" s="12">
        <v>215000</v>
      </c>
      <c r="K2068" s="13">
        <f>$E2068+1</f>
        <v>112</v>
      </c>
      <c r="L2068" s="14">
        <f>IF($J2068=0,0,ROUND(MAX($J2068*1.4,1620000*(1.497923^(MIN($E2068,123)-117)))*1,0))</f>
        <v>301000</v>
      </c>
      <c r="M2068" s="11">
        <f>$E2068+2</f>
        <v>113</v>
      </c>
      <c r="N2068" s="12">
        <f>IF($J2068=0,0,ROUND(MAX($J2068*1.4*1.5,2190000*(1.580994^(MIN($E2068,123)-117)))*1,0))</f>
        <v>451500</v>
      </c>
      <c r="O2068" s="13">
        <f>$E2068+4</f>
        <v>115</v>
      </c>
      <c r="P2068" s="14">
        <f>IF($J2068=0,0,ROUND(MAX($J2068*1.4*1.5*1.6,3500000*(1.57975^(MIN($E2068,123)-117)))*1,0))</f>
        <v>722400</v>
      </c>
      <c r="Q2068" s="11">
        <f>$E2068+6</f>
        <v>117</v>
      </c>
      <c r="R2068" s="12">
        <f>IF($J2068=0,0,ROUND(MAX($J2068*1.4*1.5*1.6*1.6,13100000*(1.429962^(MIN($E2068,123)-117)))*1,0))</f>
        <v>1532231</v>
      </c>
      <c r="S2068" s="13">
        <f>$E2068+8</f>
        <v>119</v>
      </c>
      <c r="T2068" s="14">
        <f>IF($J2068=0,0,ROUND(MAX($J2068*1.4*1.5*1.6*1.6*2.2,42600000*(1.576904^(MIN($E2068,123)-117)))*1,0))</f>
        <v>2770627</v>
      </c>
      <c r="U2068" s="11">
        <f>$E2068+11</f>
        <v>122</v>
      </c>
      <c r="V2068" s="12">
        <f>IF($J2068=0,0,ROUND(MAX($J2068*1.4*1.5*1.6*1.6*2.2*2.715,354000000*(1.642074^(MIN($E2068,123)-117)))*1,0))</f>
        <v>18057055</v>
      </c>
      <c r="W2068" s="13">
        <f>$E2068+15</f>
        <v>126</v>
      </c>
      <c r="X2068" s="14">
        <f>IF($J2068=0,0,ROUND(MAX($J2068*1.4*1.5*1.6*1.6*2.2*2.715*2.6,3540000000*(1.579646^(MIN($E2068,123)-117)))*1,0))</f>
        <v>227847690</v>
      </c>
      <c r="Y2068" s="11">
        <f>$E2068+17</f>
        <v>128</v>
      </c>
      <c r="Z2068" s="12">
        <f>IF($J2068=0,0,ROUND(MAX($J2068*1.4*1.5*1.6*1.6*2.2*2.715*2.6*1.4,6020000000*(1.651178^(MIN($E2068,123)-117)))*1,0))</f>
        <v>297052444</v>
      </c>
      <c r="AA2068" s="13">
        <f>$E2068+19</f>
        <v>130</v>
      </c>
      <c r="AB2068" s="14">
        <f>IF($J2068=0,0,ROUND(MAX($J2068*1.4*1.5*1.6*1.6*2.2*2.715*2.6*1.4*1.4,8430000000*(1.651435^(MIN($E2068,123)-117)))*1,0))</f>
        <v>415583854</v>
      </c>
      <c r="AC2068" s="11">
        <f>$E2068+21</f>
        <v>132</v>
      </c>
      <c r="AD2068" s="12">
        <f>IF($J2068=0,0,ROUND(MAX($J2068*1.4*1.5*1.6*1.6*2.2*2.715*2.6*1.4*1.4*1.5,12600000000*(1.652953^(MIN($E2068,123)-117)))*1,0))</f>
        <v>617742548</v>
      </c>
      <c r="AE2068" s="13">
        <f>$E2068+24</f>
        <v>135</v>
      </c>
      <c r="AF2068" s="14">
        <f>IF($J2068=0,0,ROUND(MAX($J2068*1.4*1.5*1.6*1.6*2.2*2.715*2.6*1.4*1.4*1.5*1.5,18900000000*(1.65331^(MIN($E2068,123)-117)))*1,0))</f>
        <v>925413965</v>
      </c>
      <c r="AG2068" s="11">
        <f>$E2068+27</f>
        <v>138</v>
      </c>
      <c r="AH2068" s="12">
        <f>IF($J2068=0,0,ROUND(MAX($J2068*1.4*1.5*1.6*1.6*2.2*2.715*2.6*1.4*1.4*1.5*1.5*3.2,60500000000*(1.654288^(MIN($E2068,123)-117)))*1,0))</f>
        <v>2951811756</v>
      </c>
    </row>
    <row r="2069" ht="28" customHeight="1" spans="1:34" x14ac:dyDescent="0.25">
      <c r="A2069">
        <v>2079</v>
      </c>
      <c r="B2069" t="s">
        <v>468</v>
      </c>
      <c r="C2069" s="10" t="s">
        <v>1276</v>
      </c>
      <c r="D2069" t="s">
        <v>40</v>
      </c>
      <c r="E2069">
        <v>111</v>
      </c>
      <c r="F2069" t="s">
        <v>258</v>
      </c>
      <c r="G2069" t="s">
        <v>1277</v>
      </c>
      <c r="H2069">
        <v>27</v>
      </c>
      <c r="I2069" s="11">
        <f>$E2069+0</f>
        <v>111</v>
      </c>
      <c r="J2069" s="12">
        <v>43800</v>
      </c>
      <c r="K2069" s="13">
        <f>$E2069+1</f>
        <v>112</v>
      </c>
      <c r="L2069" s="14">
        <f>IF($J2069=0,0,ROUND(MAX($J2069*1.4,1620000*(1.497923^(MIN($E2069,123)-117)))*1,0))</f>
        <v>143410</v>
      </c>
      <c r="M2069" s="11">
        <f>$E2069+2</f>
        <v>113</v>
      </c>
      <c r="N2069" s="12">
        <f>IF($J2069=0,0,ROUND(MAX($J2069*1.4*1.5,2190000*(1.580994^(MIN($E2069,123)-117)))*1,0))</f>
        <v>140237</v>
      </c>
      <c r="O2069" s="13">
        <f>$E2069+4</f>
        <v>115</v>
      </c>
      <c r="P2069" s="14">
        <f>IF($J2069=0,0,ROUND(MAX($J2069*1.4*1.5*1.6,3500000*(1.57975^(MIN($E2069,123)-117)))*1,0))</f>
        <v>225184</v>
      </c>
      <c r="Q2069" s="11">
        <f>$E2069+6</f>
        <v>117</v>
      </c>
      <c r="R2069" s="12">
        <f>IF($J2069=0,0,ROUND(MAX($J2069*1.4*1.5*1.6*1.6,13100000*(1.429962^(MIN($E2069,123)-117)))*1,0))</f>
        <v>1532231</v>
      </c>
      <c r="S2069" s="13">
        <f>$E2069+8</f>
        <v>119</v>
      </c>
      <c r="T2069" s="14">
        <f>IF($J2069=0,0,ROUND(MAX($J2069*1.4*1.5*1.6*1.6*2.2,42600000*(1.576904^(MIN($E2069,123)-117)))*1,0))</f>
        <v>2770627</v>
      </c>
      <c r="U2069" s="11">
        <f>$E2069+11</f>
        <v>122</v>
      </c>
      <c r="V2069" s="12">
        <f>IF($J2069=0,0,ROUND(MAX($J2069*1.4*1.5*1.6*1.6*2.2*2.715,354000000*(1.642074^(MIN($E2069,123)-117)))*1,0))</f>
        <v>18057055</v>
      </c>
      <c r="W2069" s="13">
        <f>$E2069+15</f>
        <v>126</v>
      </c>
      <c r="X2069" s="14">
        <f>IF($J2069=0,0,ROUND(MAX($J2069*1.4*1.5*1.6*1.6*2.2*2.715*2.6,3540000000*(1.579646^(MIN($E2069,123)-117)))*1,0))</f>
        <v>227847690</v>
      </c>
      <c r="Y2069" s="11">
        <f>$E2069+17</f>
        <v>128</v>
      </c>
      <c r="Z2069" s="12">
        <f>IF($J2069=0,0,ROUND(MAX($J2069*1.4*1.5*1.6*1.6*2.2*2.715*2.6*1.4,6020000000*(1.651178^(MIN($E2069,123)-117)))*1,0))</f>
        <v>297052444</v>
      </c>
      <c r="AA2069" s="13">
        <f>$E2069+19</f>
        <v>130</v>
      </c>
      <c r="AB2069" s="14">
        <f>IF($J2069=0,0,ROUND(MAX($J2069*1.4*1.5*1.6*1.6*2.2*2.715*2.6*1.4*1.4,8430000000*(1.651435^(MIN($E2069,123)-117)))*1,0))</f>
        <v>415583854</v>
      </c>
      <c r="AC2069" s="11">
        <f>$E2069+21</f>
        <v>132</v>
      </c>
      <c r="AD2069" s="12">
        <f>IF($J2069=0,0,ROUND(MAX($J2069*1.4*1.5*1.6*1.6*2.2*2.715*2.6*1.4*1.4*1.5,12600000000*(1.652953^(MIN($E2069,123)-117)))*1,0))</f>
        <v>617742548</v>
      </c>
      <c r="AE2069" s="13">
        <f>$E2069+24</f>
        <v>135</v>
      </c>
      <c r="AF2069" s="14">
        <f>IF($J2069=0,0,ROUND(MAX($J2069*1.4*1.5*1.6*1.6*2.2*2.715*2.6*1.4*1.4*1.5*1.5,18900000000*(1.65331^(MIN($E2069,123)-117)))*1,0))</f>
        <v>925413965</v>
      </c>
      <c r="AG2069" s="11">
        <f>$E2069+27</f>
        <v>138</v>
      </c>
      <c r="AH2069" s="12">
        <f>IF($J2069=0,0,ROUND(MAX($J2069*1.4*1.5*1.6*1.6*2.2*2.715*2.6*1.4*1.4*1.5*1.5*3.2,60500000000*(1.654288^(MIN($E2069,123)-117)))*1,0))</f>
        <v>2951811756</v>
      </c>
    </row>
    <row r="2070" ht="28" customHeight="1" spans="1:34" x14ac:dyDescent="0.25">
      <c r="A2070">
        <v>2080</v>
      </c>
      <c r="B2070" t="s">
        <v>199</v>
      </c>
      <c r="C2070" s="10" t="s">
        <v>1276</v>
      </c>
      <c r="D2070" t="s">
        <v>25</v>
      </c>
      <c r="E2070">
        <v>111</v>
      </c>
      <c r="F2070" t="s">
        <v>26</v>
      </c>
      <c r="G2070" t="s">
        <v>1277</v>
      </c>
      <c r="H2070">
        <v>27</v>
      </c>
      <c r="I2070" s="11">
        <f>$E2070+0</f>
        <v>111</v>
      </c>
      <c r="J2070" s="12">
        <v>81700</v>
      </c>
      <c r="K2070" s="13">
        <f>$E2070+1</f>
        <v>112</v>
      </c>
      <c r="L2070" s="14">
        <f>IF($J2070=0,0,ROUND(MAX($J2070*1.4,1620000*(1.497923^(MIN($E2070,123)-117)))*1,0))</f>
        <v>143410</v>
      </c>
      <c r="M2070" s="11">
        <f>$E2070+2</f>
        <v>113</v>
      </c>
      <c r="N2070" s="12">
        <f>IF($J2070=0,0,ROUND(MAX($J2070*1.4*1.5,2190000*(1.580994^(MIN($E2070,123)-117)))*1,0))</f>
        <v>171570</v>
      </c>
      <c r="O2070" s="13">
        <f>$E2070+4</f>
        <v>115</v>
      </c>
      <c r="P2070" s="14">
        <f>IF($J2070=0,0,ROUND(MAX($J2070*1.4*1.5*1.6,3500000*(1.57975^(MIN($E2070,123)-117)))*1,0))</f>
        <v>274512</v>
      </c>
      <c r="Q2070" s="11">
        <f>$E2070+6</f>
        <v>117</v>
      </c>
      <c r="R2070" s="12">
        <f>IF($J2070=0,0,ROUND(MAX($J2070*1.4*1.5*1.6*1.6,13100000*(1.429962^(MIN($E2070,123)-117)))*1,0))</f>
        <v>1532231</v>
      </c>
      <c r="S2070" s="13">
        <f>$E2070+8</f>
        <v>119</v>
      </c>
      <c r="T2070" s="14">
        <f>IF($J2070=0,0,ROUND(MAX($J2070*1.4*1.5*1.6*1.6*2.2,42600000*(1.576904^(MIN($E2070,123)-117)))*1,0))</f>
        <v>2770627</v>
      </c>
      <c r="U2070" s="11">
        <f>$E2070+11</f>
        <v>122</v>
      </c>
      <c r="V2070" s="12">
        <f>IF($J2070=0,0,ROUND(MAX($J2070*1.4*1.5*1.6*1.6*2.2*2.715,354000000*(1.642074^(MIN($E2070,123)-117)))*1,0))</f>
        <v>18057055</v>
      </c>
      <c r="W2070" s="13">
        <f>$E2070+15</f>
        <v>126</v>
      </c>
      <c r="X2070" s="14">
        <f>IF($J2070=0,0,ROUND(MAX($J2070*1.4*1.5*1.6*1.6*2.2*2.715*2.6,3540000000*(1.579646^(MIN($E2070,123)-117)))*1,0))</f>
        <v>227847690</v>
      </c>
      <c r="Y2070" s="11">
        <f>$E2070+17</f>
        <v>128</v>
      </c>
      <c r="Z2070" s="12">
        <f>IF($J2070=0,0,ROUND(MAX($J2070*1.4*1.5*1.6*1.6*2.2*2.715*2.6*1.4,6020000000*(1.651178^(MIN($E2070,123)-117)))*1,0))</f>
        <v>297052444</v>
      </c>
      <c r="AA2070" s="13">
        <f>$E2070+19</f>
        <v>130</v>
      </c>
      <c r="AB2070" s="14">
        <f>IF($J2070=0,0,ROUND(MAX($J2070*1.4*1.5*1.6*1.6*2.2*2.715*2.6*1.4*1.4,8430000000*(1.651435^(MIN($E2070,123)-117)))*1,0))</f>
        <v>415583854</v>
      </c>
      <c r="AC2070" s="11">
        <f>$E2070+21</f>
        <v>132</v>
      </c>
      <c r="AD2070" s="12">
        <f>IF($J2070=0,0,ROUND(MAX($J2070*1.4*1.5*1.6*1.6*2.2*2.715*2.6*1.4*1.4*1.5,12600000000*(1.652953^(MIN($E2070,123)-117)))*1,0))</f>
        <v>617742548</v>
      </c>
      <c r="AE2070" s="13">
        <f>$E2070+24</f>
        <v>135</v>
      </c>
      <c r="AF2070" s="14">
        <f>IF($J2070=0,0,ROUND(MAX($J2070*1.4*1.5*1.6*1.6*2.2*2.715*2.6*1.4*1.4*1.5*1.5,18900000000*(1.65331^(MIN($E2070,123)-117)))*1,0))</f>
        <v>925413965</v>
      </c>
      <c r="AG2070" s="11">
        <f>$E2070+27</f>
        <v>138</v>
      </c>
      <c r="AH2070" s="12">
        <f>IF($J2070=0,0,ROUND(MAX($J2070*1.4*1.5*1.6*1.6*2.2*2.715*2.6*1.4*1.4*1.5*1.5*3.2,60500000000*(1.654288^(MIN($E2070,123)-117)))*1,0))</f>
        <v>2951811756</v>
      </c>
    </row>
    <row r="2071" ht="28" customHeight="1" spans="1:34" x14ac:dyDescent="0.25">
      <c r="A2071">
        <v>2081</v>
      </c>
      <c r="B2071" t="s">
        <v>195</v>
      </c>
      <c r="C2071" s="10" t="s">
        <v>1276</v>
      </c>
      <c r="D2071" t="s">
        <v>40</v>
      </c>
      <c r="E2071">
        <v>111</v>
      </c>
      <c r="F2071" t="s">
        <v>42</v>
      </c>
      <c r="G2071" t="s">
        <v>1277</v>
      </c>
      <c r="H2071">
        <v>27</v>
      </c>
      <c r="I2071" s="11">
        <f>$E2071+0</f>
        <v>111</v>
      </c>
      <c r="J2071" s="12">
        <v>105000</v>
      </c>
      <c r="K2071" s="13">
        <f>$E2071+1</f>
        <v>112</v>
      </c>
      <c r="L2071" s="14">
        <f>IF($J2071=0,0,ROUND(MAX($J2071*1.4,1620000*(1.497923^(MIN($E2071,123)-117)))*1,0))</f>
        <v>147000</v>
      </c>
      <c r="M2071" s="11">
        <f>$E2071+2</f>
        <v>113</v>
      </c>
      <c r="N2071" s="12">
        <f>IF($J2071=0,0,ROUND(MAX($J2071*1.4*1.5,2190000*(1.580994^(MIN($E2071,123)-117)))*1,0))</f>
        <v>220500</v>
      </c>
      <c r="O2071" s="13">
        <f>$E2071+4</f>
        <v>115</v>
      </c>
      <c r="P2071" s="14">
        <f>IF($J2071=0,0,ROUND(MAX($J2071*1.4*1.5*1.6,3500000*(1.57975^(MIN($E2071,123)-117)))*1,0))</f>
        <v>352800</v>
      </c>
      <c r="Q2071" s="11">
        <f>$E2071+6</f>
        <v>117</v>
      </c>
      <c r="R2071" s="12">
        <f>IF($J2071=0,0,ROUND(MAX($J2071*1.4*1.5*1.6*1.6,13100000*(1.429962^(MIN($E2071,123)-117)))*1,0))</f>
        <v>1532231</v>
      </c>
      <c r="S2071" s="13">
        <f>$E2071+8</f>
        <v>119</v>
      </c>
      <c r="T2071" s="14">
        <f>IF($J2071=0,0,ROUND(MAX($J2071*1.4*1.5*1.6*1.6*2.2,42600000*(1.576904^(MIN($E2071,123)-117)))*1,0))</f>
        <v>2770627</v>
      </c>
      <c r="U2071" s="11">
        <f>$E2071+11</f>
        <v>122</v>
      </c>
      <c r="V2071" s="12">
        <f>IF($J2071=0,0,ROUND(MAX($J2071*1.4*1.5*1.6*1.6*2.2*2.715,354000000*(1.642074^(MIN($E2071,123)-117)))*1,0))</f>
        <v>18057055</v>
      </c>
      <c r="W2071" s="13">
        <f>$E2071+15</f>
        <v>126</v>
      </c>
      <c r="X2071" s="14">
        <f>IF($J2071=0,0,ROUND(MAX($J2071*1.4*1.5*1.6*1.6*2.2*2.715*2.6,3540000000*(1.579646^(MIN($E2071,123)-117)))*1,0))</f>
        <v>227847690</v>
      </c>
      <c r="Y2071" s="11">
        <f>$E2071+17</f>
        <v>128</v>
      </c>
      <c r="Z2071" s="12">
        <f>IF($J2071=0,0,ROUND(MAX($J2071*1.4*1.5*1.6*1.6*2.2*2.715*2.6*1.4,6020000000*(1.651178^(MIN($E2071,123)-117)))*1,0))</f>
        <v>297052444</v>
      </c>
      <c r="AA2071" s="13">
        <f>$E2071+19</f>
        <v>130</v>
      </c>
      <c r="AB2071" s="14">
        <f>IF($J2071=0,0,ROUND(MAX($J2071*1.4*1.5*1.6*1.6*2.2*2.715*2.6*1.4*1.4,8430000000*(1.651435^(MIN($E2071,123)-117)))*1,0))</f>
        <v>415583854</v>
      </c>
      <c r="AC2071" s="11">
        <f>$E2071+21</f>
        <v>132</v>
      </c>
      <c r="AD2071" s="12">
        <f>IF($J2071=0,0,ROUND(MAX($J2071*1.4*1.5*1.6*1.6*2.2*2.715*2.6*1.4*1.4*1.5,12600000000*(1.652953^(MIN($E2071,123)-117)))*1,0))</f>
        <v>617742548</v>
      </c>
      <c r="AE2071" s="13">
        <f>$E2071+24</f>
        <v>135</v>
      </c>
      <c r="AF2071" s="14">
        <f>IF($J2071=0,0,ROUND(MAX($J2071*1.4*1.5*1.6*1.6*2.2*2.715*2.6*1.4*1.4*1.5*1.5,18900000000*(1.65331^(MIN($E2071,123)-117)))*1,0))</f>
        <v>925413965</v>
      </c>
      <c r="AG2071" s="11">
        <f>$E2071+27</f>
        <v>138</v>
      </c>
      <c r="AH2071" s="12">
        <f>IF($J2071=0,0,ROUND(MAX($J2071*1.4*1.5*1.6*1.6*2.2*2.715*2.6*1.4*1.4*1.5*1.5*3.2,60500000000*(1.654288^(MIN($E2071,123)-117)))*1,0))</f>
        <v>2951811756</v>
      </c>
    </row>
    <row r="2072" ht="28" customHeight="1" spans="1:34" x14ac:dyDescent="0.25">
      <c r="A2072">
        <v>2082</v>
      </c>
      <c r="B2072" t="s">
        <v>655</v>
      </c>
      <c r="C2072" s="10" t="s">
        <v>1276</v>
      </c>
      <c r="D2072" t="s">
        <v>64</v>
      </c>
      <c r="E2072">
        <v>111</v>
      </c>
      <c r="F2072" t="s">
        <v>120</v>
      </c>
      <c r="G2072" t="s">
        <v>1277</v>
      </c>
      <c r="H2072">
        <v>26</v>
      </c>
      <c r="I2072" s="11">
        <f>$E2072+0</f>
        <v>111</v>
      </c>
      <c r="J2072" s="12">
        <v>75800</v>
      </c>
      <c r="K2072" s="13">
        <f>$E2072+1</f>
        <v>112</v>
      </c>
      <c r="L2072" s="14">
        <f>IF($J2072=0,0,ROUND(MAX($J2072*1.4,1620000*(1.497923^(MIN($E2072,123)-117)))*1,0))</f>
        <v>143410</v>
      </c>
      <c r="M2072" s="11">
        <f>$E2072+2</f>
        <v>113</v>
      </c>
      <c r="N2072" s="12">
        <f>IF($J2072=0,0,ROUND(MAX($J2072*1.4*1.5,2190000*(1.580994^(MIN($E2072,123)-117)))*1,0))</f>
        <v>159180</v>
      </c>
      <c r="O2072" s="13">
        <f>$E2072+4</f>
        <v>115</v>
      </c>
      <c r="P2072" s="14">
        <f>IF($J2072=0,0,ROUND(MAX($J2072*1.4*1.5*1.6,3500000*(1.57975^(MIN($E2072,123)-117)))*1,0))</f>
        <v>254688</v>
      </c>
      <c r="Q2072" s="11">
        <f>$E2072+6</f>
        <v>117</v>
      </c>
      <c r="R2072" s="12">
        <f>IF($J2072=0,0,ROUND(MAX($J2072*1.4*1.5*1.6*1.6,13100000*(1.429962^(MIN($E2072,123)-117)))*1,0))</f>
        <v>1532231</v>
      </c>
      <c r="S2072" s="13">
        <f>$E2072+8</f>
        <v>119</v>
      </c>
      <c r="T2072" s="14">
        <f>IF($J2072=0,0,ROUND(MAX($J2072*1.4*1.5*1.6*1.6*2.2,42600000*(1.576904^(MIN($E2072,123)-117)))*1,0))</f>
        <v>2770627</v>
      </c>
      <c r="U2072" s="11">
        <f>$E2072+11</f>
        <v>122</v>
      </c>
      <c r="V2072" s="12">
        <f>IF($J2072=0,0,ROUND(MAX($J2072*1.4*1.5*1.6*1.6*2.2*2.715,354000000*(1.642074^(MIN($E2072,123)-117)))*1,0))</f>
        <v>18057055</v>
      </c>
      <c r="W2072" s="13">
        <f>$E2072+15</f>
        <v>126</v>
      </c>
      <c r="X2072" s="14">
        <f>IF($J2072=0,0,ROUND(MAX($J2072*1.4*1.5*1.6*1.6*2.2*2.715*2.6,3540000000*(1.579646^(MIN($E2072,123)-117)))*1,0))</f>
        <v>227847690</v>
      </c>
      <c r="Y2072" s="11">
        <f>$E2072+17</f>
        <v>128</v>
      </c>
      <c r="Z2072" s="12">
        <f>IF($J2072=0,0,ROUND(MAX($J2072*1.4*1.5*1.6*1.6*2.2*2.715*2.6*1.4,6020000000*(1.651178^(MIN($E2072,123)-117)))*1,0))</f>
        <v>297052444</v>
      </c>
      <c r="AA2072" s="13">
        <f>$E2072+19</f>
        <v>130</v>
      </c>
      <c r="AB2072" s="14">
        <f>IF($J2072=0,0,ROUND(MAX($J2072*1.4*1.5*1.6*1.6*2.2*2.715*2.6*1.4*1.4,8430000000*(1.651435^(MIN($E2072,123)-117)))*1,0))</f>
        <v>415583854</v>
      </c>
      <c r="AC2072" s="11">
        <f>$E2072+21</f>
        <v>132</v>
      </c>
      <c r="AD2072" s="12">
        <f>IF($J2072=0,0,ROUND(MAX($J2072*1.4*1.5*1.6*1.6*2.2*2.715*2.6*1.4*1.4*1.5,12600000000*(1.652953^(MIN($E2072,123)-117)))*1,0))</f>
        <v>617742548</v>
      </c>
      <c r="AE2072" s="13">
        <f>$E2072+24</f>
        <v>135</v>
      </c>
      <c r="AF2072" s="14">
        <f>IF($J2072=0,0,ROUND(MAX($J2072*1.4*1.5*1.6*1.6*2.2*2.715*2.6*1.4*1.4*1.5*1.5,18900000000*(1.65331^(MIN($E2072,123)-117)))*1,0))</f>
        <v>925413965</v>
      </c>
      <c r="AG2072" s="11">
        <f>$E2072+27</f>
        <v>138</v>
      </c>
      <c r="AH2072" s="12">
        <f>IF($J2072=0,0,ROUND(MAX($J2072*1.4*1.5*1.6*1.6*2.2*2.715*2.6*1.4*1.4*1.5*1.5*3.2,60500000000*(1.654288^(MIN($E2072,123)-117)))*1,0))</f>
        <v>2951811756</v>
      </c>
    </row>
    <row r="2073" ht="28" customHeight="1" spans="1:34" x14ac:dyDescent="0.25">
      <c r="A2073">
        <v>2083</v>
      </c>
      <c r="B2073" t="s">
        <v>131</v>
      </c>
      <c r="C2073" s="10" t="s">
        <v>1276</v>
      </c>
      <c r="D2073" t="s">
        <v>40</v>
      </c>
      <c r="E2073">
        <v>111</v>
      </c>
      <c r="F2073" t="s">
        <v>132</v>
      </c>
      <c r="G2073" t="s">
        <v>1277</v>
      </c>
      <c r="H2073">
        <v>26</v>
      </c>
      <c r="I2073" s="11">
        <f>$E2073+0</f>
        <v>111</v>
      </c>
      <c r="J2073" s="12">
        <v>58900</v>
      </c>
      <c r="K2073" s="13">
        <f>$E2073+1</f>
        <v>112</v>
      </c>
      <c r="L2073" s="14">
        <f>IF($J2073=0,0,ROUND(MAX($J2073*1.4,1620000*(1.497923^(MIN($E2073,123)-117)))*1,0))</f>
        <v>143410</v>
      </c>
      <c r="M2073" s="11">
        <f>$E2073+2</f>
        <v>113</v>
      </c>
      <c r="N2073" s="12">
        <f>IF($J2073=0,0,ROUND(MAX($J2073*1.4*1.5,2190000*(1.580994^(MIN($E2073,123)-117)))*1,0))</f>
        <v>140237</v>
      </c>
      <c r="O2073" s="13">
        <f>$E2073+4</f>
        <v>115</v>
      </c>
      <c r="P2073" s="14">
        <f>IF($J2073=0,0,ROUND(MAX($J2073*1.4*1.5*1.6,3500000*(1.57975^(MIN($E2073,123)-117)))*1,0))</f>
        <v>225184</v>
      </c>
      <c r="Q2073" s="11">
        <f>$E2073+6</f>
        <v>117</v>
      </c>
      <c r="R2073" s="12">
        <f>IF($J2073=0,0,ROUND(MAX($J2073*1.4*1.5*1.6*1.6,13100000*(1.429962^(MIN($E2073,123)-117)))*1,0))</f>
        <v>1532231</v>
      </c>
      <c r="S2073" s="13">
        <f>$E2073+8</f>
        <v>119</v>
      </c>
      <c r="T2073" s="14">
        <f>IF($J2073=0,0,ROUND(MAX($J2073*1.4*1.5*1.6*1.6*2.2,42600000*(1.576904^(MIN($E2073,123)-117)))*1,0))</f>
        <v>2770627</v>
      </c>
      <c r="U2073" s="11">
        <f>$E2073+11</f>
        <v>122</v>
      </c>
      <c r="V2073" s="12">
        <f>IF($J2073=0,0,ROUND(MAX($J2073*1.4*1.5*1.6*1.6*2.2*2.715,354000000*(1.642074^(MIN($E2073,123)-117)))*1,0))</f>
        <v>18057055</v>
      </c>
      <c r="W2073" s="13">
        <f>$E2073+15</f>
        <v>126</v>
      </c>
      <c r="X2073" s="14">
        <f>IF($J2073=0,0,ROUND(MAX($J2073*1.4*1.5*1.6*1.6*2.2*2.715*2.6,3540000000*(1.579646^(MIN($E2073,123)-117)))*1,0))</f>
        <v>227847690</v>
      </c>
      <c r="Y2073" s="11">
        <f>$E2073+17</f>
        <v>128</v>
      </c>
      <c r="Z2073" s="12">
        <f>IF($J2073=0,0,ROUND(MAX($J2073*1.4*1.5*1.6*1.6*2.2*2.715*2.6*1.4,6020000000*(1.651178^(MIN($E2073,123)-117)))*1,0))</f>
        <v>297052444</v>
      </c>
      <c r="AA2073" s="13">
        <f>$E2073+19</f>
        <v>130</v>
      </c>
      <c r="AB2073" s="14">
        <f>IF($J2073=0,0,ROUND(MAX($J2073*1.4*1.5*1.6*1.6*2.2*2.715*2.6*1.4*1.4,8430000000*(1.651435^(MIN($E2073,123)-117)))*1,0))</f>
        <v>415583854</v>
      </c>
      <c r="AC2073" s="11">
        <f>$E2073+21</f>
        <v>132</v>
      </c>
      <c r="AD2073" s="12">
        <f>IF($J2073=0,0,ROUND(MAX($J2073*1.4*1.5*1.6*1.6*2.2*2.715*2.6*1.4*1.4*1.5,12600000000*(1.652953^(MIN($E2073,123)-117)))*1,0))</f>
        <v>617742548</v>
      </c>
      <c r="AE2073" s="13">
        <f>$E2073+24</f>
        <v>135</v>
      </c>
      <c r="AF2073" s="14">
        <f>IF($J2073=0,0,ROUND(MAX($J2073*1.4*1.5*1.6*1.6*2.2*2.715*2.6*1.4*1.4*1.5*1.5,18900000000*(1.65331^(MIN($E2073,123)-117)))*1,0))</f>
        <v>925413965</v>
      </c>
      <c r="AG2073" s="11">
        <f>$E2073+27</f>
        <v>138</v>
      </c>
      <c r="AH2073" s="12">
        <f>IF($J2073=0,0,ROUND(MAX($J2073*1.4*1.5*1.6*1.6*2.2*2.715*2.6*1.4*1.4*1.5*1.5*3.2,60500000000*(1.654288^(MIN($E2073,123)-117)))*1,0))</f>
        <v>2951811756</v>
      </c>
    </row>
    <row r="2074" ht="28" customHeight="1" spans="1:34" x14ac:dyDescent="0.25">
      <c r="A2074">
        <v>2084</v>
      </c>
      <c r="B2074" t="s">
        <v>142</v>
      </c>
      <c r="C2074" s="10" t="s">
        <v>1276</v>
      </c>
      <c r="D2074" t="s">
        <v>102</v>
      </c>
      <c r="E2074">
        <v>111</v>
      </c>
      <c r="F2074" t="s">
        <v>34</v>
      </c>
      <c r="G2074" t="s">
        <v>1277</v>
      </c>
      <c r="H2074">
        <v>26</v>
      </c>
      <c r="I2074" s="11">
        <f>$E2074+0</f>
        <v>111</v>
      </c>
      <c r="J2074" s="12">
        <v>59200</v>
      </c>
      <c r="K2074" s="13">
        <f>$E2074+1</f>
        <v>112</v>
      </c>
      <c r="L2074" s="14">
        <f>IF($J2074=0,0,ROUND(MAX($J2074*1.4,1620000*(1.497923^(MIN($E2074,123)-117)))*1,0))</f>
        <v>143410</v>
      </c>
      <c r="M2074" s="11">
        <f>$E2074+2</f>
        <v>113</v>
      </c>
      <c r="N2074" s="12">
        <f>IF($J2074=0,0,ROUND(MAX($J2074*1.4*1.5,2190000*(1.580994^(MIN($E2074,123)-117)))*1,0))</f>
        <v>140237</v>
      </c>
      <c r="O2074" s="13">
        <f>$E2074+4</f>
        <v>115</v>
      </c>
      <c r="P2074" s="14">
        <f>IF($J2074=0,0,ROUND(MAX($J2074*1.4*1.5*1.6,3500000*(1.57975^(MIN($E2074,123)-117)))*1,0))</f>
        <v>225184</v>
      </c>
      <c r="Q2074" s="11">
        <f>$E2074+6</f>
        <v>117</v>
      </c>
      <c r="R2074" s="12">
        <f>IF($J2074=0,0,ROUND(MAX($J2074*1.4*1.5*1.6*1.6,13100000*(1.429962^(MIN($E2074,123)-117)))*1,0))</f>
        <v>1532231</v>
      </c>
      <c r="S2074" s="13">
        <f>$E2074+8</f>
        <v>119</v>
      </c>
      <c r="T2074" s="14">
        <f>IF($J2074=0,0,ROUND(MAX($J2074*1.4*1.5*1.6*1.6*2.2,42600000*(1.576904^(MIN($E2074,123)-117)))*1,0))</f>
        <v>2770627</v>
      </c>
      <c r="U2074" s="11">
        <f>$E2074+11</f>
        <v>122</v>
      </c>
      <c r="V2074" s="12">
        <f>IF($J2074=0,0,ROUND(MAX($J2074*1.4*1.5*1.6*1.6*2.2*2.715,354000000*(1.642074^(MIN($E2074,123)-117)))*1,0))</f>
        <v>18057055</v>
      </c>
      <c r="W2074" s="13">
        <f>$E2074+15</f>
        <v>126</v>
      </c>
      <c r="X2074" s="14">
        <f>IF($J2074=0,0,ROUND(MAX($J2074*1.4*1.5*1.6*1.6*2.2*2.715*2.6,3540000000*(1.579646^(MIN($E2074,123)-117)))*1,0))</f>
        <v>227847690</v>
      </c>
      <c r="Y2074" s="11">
        <f>$E2074+17</f>
        <v>128</v>
      </c>
      <c r="Z2074" s="12">
        <f>IF($J2074=0,0,ROUND(MAX($J2074*1.4*1.5*1.6*1.6*2.2*2.715*2.6*1.4,6020000000*(1.651178^(MIN($E2074,123)-117)))*1,0))</f>
        <v>297052444</v>
      </c>
      <c r="AA2074" s="13">
        <f>$E2074+19</f>
        <v>130</v>
      </c>
      <c r="AB2074" s="14">
        <f>IF($J2074=0,0,ROUND(MAX($J2074*1.4*1.5*1.6*1.6*2.2*2.715*2.6*1.4*1.4,8430000000*(1.651435^(MIN($E2074,123)-117)))*1,0))</f>
        <v>415583854</v>
      </c>
      <c r="AC2074" s="11">
        <f>$E2074+21</f>
        <v>132</v>
      </c>
      <c r="AD2074" s="12">
        <f>IF($J2074=0,0,ROUND(MAX($J2074*1.4*1.5*1.6*1.6*2.2*2.715*2.6*1.4*1.4*1.5,12600000000*(1.652953^(MIN($E2074,123)-117)))*1,0))</f>
        <v>617742548</v>
      </c>
      <c r="AE2074" s="13">
        <f>$E2074+24</f>
        <v>135</v>
      </c>
      <c r="AF2074" s="14">
        <f>IF($J2074=0,0,ROUND(MAX($J2074*1.4*1.5*1.6*1.6*2.2*2.715*2.6*1.4*1.4*1.5*1.5,18900000000*(1.65331^(MIN($E2074,123)-117)))*1,0))</f>
        <v>925413965</v>
      </c>
      <c r="AG2074" s="11">
        <f>$E2074+27</f>
        <v>138</v>
      </c>
      <c r="AH2074" s="12">
        <f>IF($J2074=0,0,ROUND(MAX($J2074*1.4*1.5*1.6*1.6*2.2*2.715*2.6*1.4*1.4*1.5*1.5*3.2,60500000000*(1.654288^(MIN($E2074,123)-117)))*1,0))</f>
        <v>2951811756</v>
      </c>
    </row>
    <row r="2075" ht="28" customHeight="1" spans="1:34" x14ac:dyDescent="0.25">
      <c r="A2075">
        <v>2085</v>
      </c>
      <c r="B2075" t="s">
        <v>112</v>
      </c>
      <c r="C2075" s="10" t="s">
        <v>1276</v>
      </c>
      <c r="D2075" t="s">
        <v>40</v>
      </c>
      <c r="E2075">
        <v>111</v>
      </c>
      <c r="F2075" t="s">
        <v>42</v>
      </c>
      <c r="G2075" t="s">
        <v>1277</v>
      </c>
      <c r="H2075">
        <v>26</v>
      </c>
      <c r="I2075" s="11">
        <f>$E2075+0</f>
        <v>111</v>
      </c>
      <c r="J2075" s="12">
        <v>74300</v>
      </c>
      <c r="K2075" s="13">
        <f>$E2075+1</f>
        <v>112</v>
      </c>
      <c r="L2075" s="14">
        <f>IF($J2075=0,0,ROUND(MAX($J2075*1.4,1620000*(1.497923^(MIN($E2075,123)-117)))*1,0))</f>
        <v>143410</v>
      </c>
      <c r="M2075" s="11">
        <f>$E2075+2</f>
        <v>113</v>
      </c>
      <c r="N2075" s="12">
        <f>IF($J2075=0,0,ROUND(MAX($J2075*1.4*1.5,2190000*(1.580994^(MIN($E2075,123)-117)))*1,0))</f>
        <v>156030</v>
      </c>
      <c r="O2075" s="13">
        <f>$E2075+4</f>
        <v>115</v>
      </c>
      <c r="P2075" s="14">
        <f>IF($J2075=0,0,ROUND(MAX($J2075*1.4*1.5*1.6,3500000*(1.57975^(MIN($E2075,123)-117)))*1,0))</f>
        <v>249648</v>
      </c>
      <c r="Q2075" s="11">
        <f>$E2075+6</f>
        <v>117</v>
      </c>
      <c r="R2075" s="12">
        <f>IF($J2075=0,0,ROUND(MAX($J2075*1.4*1.5*1.6*1.6,13100000*(1.429962^(MIN($E2075,123)-117)))*1,0))</f>
        <v>1532231</v>
      </c>
      <c r="S2075" s="13">
        <f>$E2075+8</f>
        <v>119</v>
      </c>
      <c r="T2075" s="14">
        <f>IF($J2075=0,0,ROUND(MAX($J2075*1.4*1.5*1.6*1.6*2.2,42600000*(1.576904^(MIN($E2075,123)-117)))*1,0))</f>
        <v>2770627</v>
      </c>
      <c r="U2075" s="11">
        <f>$E2075+11</f>
        <v>122</v>
      </c>
      <c r="V2075" s="12">
        <f>IF($J2075=0,0,ROUND(MAX($J2075*1.4*1.5*1.6*1.6*2.2*2.715,354000000*(1.642074^(MIN($E2075,123)-117)))*1,0))</f>
        <v>18057055</v>
      </c>
      <c r="W2075" s="13">
        <f>$E2075+15</f>
        <v>126</v>
      </c>
      <c r="X2075" s="14">
        <f>IF($J2075=0,0,ROUND(MAX($J2075*1.4*1.5*1.6*1.6*2.2*2.715*2.6,3540000000*(1.579646^(MIN($E2075,123)-117)))*1,0))</f>
        <v>227847690</v>
      </c>
      <c r="Y2075" s="11">
        <f>$E2075+17</f>
        <v>128</v>
      </c>
      <c r="Z2075" s="12">
        <f>IF($J2075=0,0,ROUND(MAX($J2075*1.4*1.5*1.6*1.6*2.2*2.715*2.6*1.4,6020000000*(1.651178^(MIN($E2075,123)-117)))*1,0))</f>
        <v>297052444</v>
      </c>
      <c r="AA2075" s="13">
        <f>$E2075+19</f>
        <v>130</v>
      </c>
      <c r="AB2075" s="14">
        <f>IF($J2075=0,0,ROUND(MAX($J2075*1.4*1.5*1.6*1.6*2.2*2.715*2.6*1.4*1.4,8430000000*(1.651435^(MIN($E2075,123)-117)))*1,0))</f>
        <v>415583854</v>
      </c>
      <c r="AC2075" s="11">
        <f>$E2075+21</f>
        <v>132</v>
      </c>
      <c r="AD2075" s="12">
        <f>IF($J2075=0,0,ROUND(MAX($J2075*1.4*1.5*1.6*1.6*2.2*2.715*2.6*1.4*1.4*1.5,12600000000*(1.652953^(MIN($E2075,123)-117)))*1,0))</f>
        <v>617742548</v>
      </c>
      <c r="AE2075" s="13">
        <f>$E2075+24</f>
        <v>135</v>
      </c>
      <c r="AF2075" s="14">
        <f>IF($J2075=0,0,ROUND(MAX($J2075*1.4*1.5*1.6*1.6*2.2*2.715*2.6*1.4*1.4*1.5*1.5,18900000000*(1.65331^(MIN($E2075,123)-117)))*1,0))</f>
        <v>925413965</v>
      </c>
      <c r="AG2075" s="11">
        <f>$E2075+27</f>
        <v>138</v>
      </c>
      <c r="AH2075" s="12">
        <f>IF($J2075=0,0,ROUND(MAX($J2075*1.4*1.5*1.6*1.6*2.2*2.715*2.6*1.4*1.4*1.5*1.5*3.2,60500000000*(1.654288^(MIN($E2075,123)-117)))*1,0))</f>
        <v>2951811756</v>
      </c>
    </row>
    <row r="2076" ht="28" customHeight="1" spans="1:34" x14ac:dyDescent="0.25">
      <c r="A2076">
        <v>2086</v>
      </c>
      <c r="B2076" t="s">
        <v>137</v>
      </c>
      <c r="C2076" s="10" t="s">
        <v>1276</v>
      </c>
      <c r="D2076" t="s">
        <v>33</v>
      </c>
      <c r="E2076">
        <v>111</v>
      </c>
      <c r="F2076" t="s">
        <v>54</v>
      </c>
      <c r="G2076" t="s">
        <v>1277</v>
      </c>
      <c r="H2076">
        <v>26</v>
      </c>
      <c r="I2076" s="11">
        <f>$E2076+0</f>
        <v>111</v>
      </c>
      <c r="J2076" s="12">
        <v>217000</v>
      </c>
      <c r="K2076" s="13">
        <f>$E2076+1</f>
        <v>112</v>
      </c>
      <c r="L2076" s="14">
        <f>IF($J2076=0,0,ROUND(MAX($J2076*1.4,1620000*(1.497923^(MIN($E2076,123)-117)))*1,0))</f>
        <v>303800</v>
      </c>
      <c r="M2076" s="11">
        <f>$E2076+2</f>
        <v>113</v>
      </c>
      <c r="N2076" s="12">
        <f>IF($J2076=0,0,ROUND(MAX($J2076*1.4*1.5,2190000*(1.580994^(MIN($E2076,123)-117)))*1,0))</f>
        <v>455700</v>
      </c>
      <c r="O2076" s="13">
        <f>$E2076+4</f>
        <v>115</v>
      </c>
      <c r="P2076" s="14">
        <f>IF($J2076=0,0,ROUND(MAX($J2076*1.4*1.5*1.6,3500000*(1.57975^(MIN($E2076,123)-117)))*1,0))</f>
        <v>729120</v>
      </c>
      <c r="Q2076" s="11">
        <f>$E2076+6</f>
        <v>117</v>
      </c>
      <c r="R2076" s="12">
        <f>IF($J2076=0,0,ROUND(MAX($J2076*1.4*1.5*1.6*1.6,13100000*(1.429962^(MIN($E2076,123)-117)))*1,0))</f>
        <v>1532231</v>
      </c>
      <c r="S2076" s="13">
        <f>$E2076+8</f>
        <v>119</v>
      </c>
      <c r="T2076" s="14">
        <f>IF($J2076=0,0,ROUND(MAX($J2076*1.4*1.5*1.6*1.6*2.2,42600000*(1.576904^(MIN($E2076,123)-117)))*1,0))</f>
        <v>2770627</v>
      </c>
      <c r="U2076" s="11">
        <f>$E2076+11</f>
        <v>122</v>
      </c>
      <c r="V2076" s="12">
        <f>IF($J2076=0,0,ROUND(MAX($J2076*1.4*1.5*1.6*1.6*2.2*2.715,354000000*(1.642074^(MIN($E2076,123)-117)))*1,0))</f>
        <v>18057055</v>
      </c>
      <c r="W2076" s="13">
        <f>$E2076+15</f>
        <v>126</v>
      </c>
      <c r="X2076" s="14">
        <f>IF($J2076=0,0,ROUND(MAX($J2076*1.4*1.5*1.6*1.6*2.2*2.715*2.6,3540000000*(1.579646^(MIN($E2076,123)-117)))*1,0))</f>
        <v>227847690</v>
      </c>
      <c r="Y2076" s="11">
        <f>$E2076+17</f>
        <v>128</v>
      </c>
      <c r="Z2076" s="12">
        <f>IF($J2076=0,0,ROUND(MAX($J2076*1.4*1.5*1.6*1.6*2.2*2.715*2.6*1.4,6020000000*(1.651178^(MIN($E2076,123)-117)))*1,0))</f>
        <v>297052444</v>
      </c>
      <c r="AA2076" s="13">
        <f>$E2076+19</f>
        <v>130</v>
      </c>
      <c r="AB2076" s="14">
        <f>IF($J2076=0,0,ROUND(MAX($J2076*1.4*1.5*1.6*1.6*2.2*2.715*2.6*1.4*1.4,8430000000*(1.651435^(MIN($E2076,123)-117)))*1,0))</f>
        <v>415583854</v>
      </c>
      <c r="AC2076" s="11">
        <f>$E2076+21</f>
        <v>132</v>
      </c>
      <c r="AD2076" s="12">
        <f>IF($J2076=0,0,ROUND(MAX($J2076*1.4*1.5*1.6*1.6*2.2*2.715*2.6*1.4*1.4*1.5,12600000000*(1.652953^(MIN($E2076,123)-117)))*1,0))</f>
        <v>617742548</v>
      </c>
      <c r="AE2076" s="13">
        <f>$E2076+24</f>
        <v>135</v>
      </c>
      <c r="AF2076" s="14">
        <f>IF($J2076=0,0,ROUND(MAX($J2076*1.4*1.5*1.6*1.6*2.2*2.715*2.6*1.4*1.4*1.5*1.5,18900000000*(1.65331^(MIN($E2076,123)-117)))*1,0))</f>
        <v>925413965</v>
      </c>
      <c r="AG2076" s="11">
        <f>$E2076+27</f>
        <v>138</v>
      </c>
      <c r="AH2076" s="12">
        <f>IF($J2076=0,0,ROUND(MAX($J2076*1.4*1.5*1.6*1.6*2.2*2.715*2.6*1.4*1.4*1.5*1.5*3.2,60500000000*(1.654288^(MIN($E2076,123)-117)))*1,0))</f>
        <v>2951811756</v>
      </c>
    </row>
    <row r="2077" ht="28" customHeight="1" spans="1:34" x14ac:dyDescent="0.25">
      <c r="A2077">
        <v>2087</v>
      </c>
      <c r="B2077" t="s">
        <v>214</v>
      </c>
      <c r="C2077" s="10" t="s">
        <v>1276</v>
      </c>
      <c r="D2077" t="s">
        <v>79</v>
      </c>
      <c r="E2077">
        <v>110</v>
      </c>
      <c r="F2077" t="s">
        <v>56</v>
      </c>
      <c r="G2077" t="s">
        <v>1277</v>
      </c>
      <c r="H2077">
        <v>26</v>
      </c>
      <c r="I2077" s="11">
        <f>$E2077+0</f>
        <v>110</v>
      </c>
      <c r="J2077" s="12">
        <v>342000</v>
      </c>
      <c r="K2077" s="13">
        <f>$E2077+1</f>
        <v>111</v>
      </c>
      <c r="L2077" s="14">
        <f>IF($J2077=0,0,ROUND(MAX($J2077*1.4,1620000*(1.497923^(MIN($E2077,123)-117)))*1,0))</f>
        <v>478800</v>
      </c>
      <c r="M2077" s="11">
        <f>$E2077+2</f>
        <v>112</v>
      </c>
      <c r="N2077" s="12">
        <f>IF($J2077=0,0,ROUND(MAX($J2077*1.4*1.5,2190000*(1.580994^(MIN($E2077,123)-117)))*1,0))</f>
        <v>718200</v>
      </c>
      <c r="O2077" s="13">
        <f>$E2077+4</f>
        <v>114</v>
      </c>
      <c r="P2077" s="14">
        <f>IF($J2077=0,0,ROUND(MAX($J2077*1.4*1.5*1.6,3500000*(1.57975^(MIN($E2077,123)-117)))*1,0))</f>
        <v>1149120</v>
      </c>
      <c r="Q2077" s="11">
        <f>$E2077+6</f>
        <v>116</v>
      </c>
      <c r="R2077" s="12">
        <f>IF($J2077=0,0,ROUND(MAX($J2077*1.4*1.5*1.6*1.6,13100000*(1.429962^(MIN($E2077,123)-117)))*1,0))</f>
        <v>1838592</v>
      </c>
      <c r="S2077" s="13">
        <f>$E2077+8</f>
        <v>118</v>
      </c>
      <c r="T2077" s="14">
        <f>IF($J2077=0,0,ROUND(MAX($J2077*1.4*1.5*1.6*1.6*2.2,42600000*(1.576904^(MIN($E2077,123)-117)))*1,0))</f>
        <v>4044902</v>
      </c>
      <c r="U2077" s="11">
        <f>$E2077+11</f>
        <v>121</v>
      </c>
      <c r="V2077" s="12">
        <f>IF($J2077=0,0,ROUND(MAX($J2077*1.4*1.5*1.6*1.6*2.2*2.715,354000000*(1.642074^(MIN($E2077,123)-117)))*1,0))</f>
        <v>10996493</v>
      </c>
      <c r="W2077" s="13">
        <f>$E2077+15</f>
        <v>125</v>
      </c>
      <c r="X2077" s="14">
        <f>IF($J2077=0,0,ROUND(MAX($J2077*1.4*1.5*1.6*1.6*2.2*2.715*2.6,3540000000*(1.579646^(MIN($E2077,123)-117)))*1,0))</f>
        <v>144239716</v>
      </c>
      <c r="Y2077" s="11">
        <f>$E2077+17</f>
        <v>127</v>
      </c>
      <c r="Z2077" s="12">
        <f>IF($J2077=0,0,ROUND(MAX($J2077*1.4*1.5*1.6*1.6*2.2*2.715*2.6*1.4,6020000000*(1.651178^(MIN($E2077,123)-117)))*1,0))</f>
        <v>179903344</v>
      </c>
      <c r="AA2077" s="13">
        <f>$E2077+19</f>
        <v>129</v>
      </c>
      <c r="AB2077" s="14">
        <f>IF($J2077=0,0,ROUND(MAX($J2077*1.4*1.5*1.6*1.6*2.2*2.715*2.6*1.4*1.4,8430000000*(1.651435^(MIN($E2077,123)-117)))*1,0))</f>
        <v>251650143</v>
      </c>
      <c r="AC2077" s="11">
        <f>$E2077+21</f>
        <v>131</v>
      </c>
      <c r="AD2077" s="12">
        <f>IF($J2077=0,0,ROUND(MAX($J2077*1.4*1.5*1.6*1.6*2.2*2.715*2.6*1.4*1.4*1.5,12600000000*(1.652953^(MIN($E2077,123)-117)))*1,0))</f>
        <v>373720576</v>
      </c>
      <c r="AE2077" s="13">
        <f>$E2077+24</f>
        <v>134</v>
      </c>
      <c r="AF2077" s="14">
        <f>IF($J2077=0,0,ROUND(MAX($J2077*1.4*1.5*1.6*1.6*2.2*2.715*2.6*1.4*1.4*1.5*1.5,18900000000*(1.65331^(MIN($E2077,123)-117)))*1,0))</f>
        <v>559734088</v>
      </c>
      <c r="AG2077" s="11">
        <f>$E2077+27</f>
        <v>137</v>
      </c>
      <c r="AH2077" s="12">
        <f>IF($J2077=0,0,ROUND(MAX($J2077*1.4*1.5*1.6*1.6*2.2*2.715*2.6*1.4*1.4*1.5*1.5*3.2,60500000000*(1.654288^(MIN($E2077,123)-117)))*1,0))</f>
        <v>1784339701</v>
      </c>
    </row>
    <row r="2078" ht="28" customHeight="1" spans="1:34" x14ac:dyDescent="0.25">
      <c r="A2078">
        <v>2088</v>
      </c>
      <c r="B2078" t="s">
        <v>658</v>
      </c>
      <c r="C2078" s="10" t="s">
        <v>1276</v>
      </c>
      <c r="D2078" t="s">
        <v>40</v>
      </c>
      <c r="E2078">
        <v>110</v>
      </c>
      <c r="F2078" t="s">
        <v>62</v>
      </c>
      <c r="G2078" t="s">
        <v>1277</v>
      </c>
      <c r="H2078">
        <v>26</v>
      </c>
      <c r="I2078" s="11">
        <f>$E2078+0</f>
        <v>110</v>
      </c>
      <c r="J2078" s="12">
        <v>107000</v>
      </c>
      <c r="K2078" s="13">
        <f>$E2078+1</f>
        <v>111</v>
      </c>
      <c r="L2078" s="14">
        <f>IF($J2078=0,0,ROUND(MAX($J2078*1.4,1620000*(1.497923^(MIN($E2078,123)-117)))*1,0))</f>
        <v>149800</v>
      </c>
      <c r="M2078" s="11">
        <f>$E2078+2</f>
        <v>112</v>
      </c>
      <c r="N2078" s="12">
        <f>IF($J2078=0,0,ROUND(MAX($J2078*1.4*1.5,2190000*(1.580994^(MIN($E2078,123)-117)))*1,0))</f>
        <v>224700</v>
      </c>
      <c r="O2078" s="13">
        <f>$E2078+4</f>
        <v>114</v>
      </c>
      <c r="P2078" s="14">
        <f>IF($J2078=0,0,ROUND(MAX($J2078*1.4*1.5*1.6,3500000*(1.57975^(MIN($E2078,123)-117)))*1,0))</f>
        <v>359520</v>
      </c>
      <c r="Q2078" s="11">
        <f>$E2078+6</f>
        <v>116</v>
      </c>
      <c r="R2078" s="12">
        <f>IF($J2078=0,0,ROUND(MAX($J2078*1.4*1.5*1.6*1.6,13100000*(1.429962^(MIN($E2078,123)-117)))*1,0))</f>
        <v>1071519</v>
      </c>
      <c r="S2078" s="13">
        <f>$E2078+8</f>
        <v>118</v>
      </c>
      <c r="T2078" s="14">
        <f>IF($J2078=0,0,ROUND(MAX($J2078*1.4*1.5*1.6*1.6*2.2,42600000*(1.576904^(MIN($E2078,123)-117)))*1,0))</f>
        <v>1757004</v>
      </c>
      <c r="U2078" s="11">
        <f>$E2078+11</f>
        <v>121</v>
      </c>
      <c r="V2078" s="12">
        <f>IF($J2078=0,0,ROUND(MAX($J2078*1.4*1.5*1.6*1.6*2.2*2.715,354000000*(1.642074^(MIN($E2078,123)-117)))*1,0))</f>
        <v>10996493</v>
      </c>
      <c r="W2078" s="13">
        <f>$E2078+15</f>
        <v>125</v>
      </c>
      <c r="X2078" s="14">
        <f>IF($J2078=0,0,ROUND(MAX($J2078*1.4*1.5*1.6*1.6*2.2*2.715*2.6,3540000000*(1.579646^(MIN($E2078,123)-117)))*1,0))</f>
        <v>144239716</v>
      </c>
      <c r="Y2078" s="11">
        <f>$E2078+17</f>
        <v>127</v>
      </c>
      <c r="Z2078" s="12">
        <f>IF($J2078=0,0,ROUND(MAX($J2078*1.4*1.5*1.6*1.6*2.2*2.715*2.6*1.4,6020000000*(1.651178^(MIN($E2078,123)-117)))*1,0))</f>
        <v>179903344</v>
      </c>
      <c r="AA2078" s="13">
        <f>$E2078+19</f>
        <v>129</v>
      </c>
      <c r="AB2078" s="14">
        <f>IF($J2078=0,0,ROUND(MAX($J2078*1.4*1.5*1.6*1.6*2.2*2.715*2.6*1.4*1.4,8430000000*(1.651435^(MIN($E2078,123)-117)))*1,0))</f>
        <v>251650143</v>
      </c>
      <c r="AC2078" s="11">
        <f>$E2078+21</f>
        <v>131</v>
      </c>
      <c r="AD2078" s="12">
        <f>IF($J2078=0,0,ROUND(MAX($J2078*1.4*1.5*1.6*1.6*2.2*2.715*2.6*1.4*1.4*1.5,12600000000*(1.652953^(MIN($E2078,123)-117)))*1,0))</f>
        <v>373720576</v>
      </c>
      <c r="AE2078" s="13">
        <f>$E2078+24</f>
        <v>134</v>
      </c>
      <c r="AF2078" s="14">
        <f>IF($J2078=0,0,ROUND(MAX($J2078*1.4*1.5*1.6*1.6*2.2*2.715*2.6*1.4*1.4*1.5*1.5,18900000000*(1.65331^(MIN($E2078,123)-117)))*1,0))</f>
        <v>559734088</v>
      </c>
      <c r="AG2078" s="11">
        <f>$E2078+27</f>
        <v>137</v>
      </c>
      <c r="AH2078" s="12">
        <f>IF($J2078=0,0,ROUND(MAX($J2078*1.4*1.5*1.6*1.6*2.2*2.715*2.6*1.4*1.4*1.5*1.5*3.2,60500000000*(1.654288^(MIN($E2078,123)-117)))*1,0))</f>
        <v>1784339701</v>
      </c>
    </row>
    <row r="2079" ht="28" customHeight="1" spans="1:34" x14ac:dyDescent="0.25">
      <c r="A2079">
        <v>2089</v>
      </c>
      <c r="B2079" t="s">
        <v>139</v>
      </c>
      <c r="C2079" s="10" t="s">
        <v>1276</v>
      </c>
      <c r="D2079" t="s">
        <v>40</v>
      </c>
      <c r="E2079">
        <v>110</v>
      </c>
      <c r="F2079" t="s">
        <v>34</v>
      </c>
      <c r="G2079" t="s">
        <v>1277</v>
      </c>
      <c r="H2079">
        <v>26</v>
      </c>
      <c r="I2079" s="11">
        <f>$E2079+0</f>
        <v>110</v>
      </c>
      <c r="J2079" s="12">
        <v>57100</v>
      </c>
      <c r="K2079" s="13">
        <f>$E2079+1</f>
        <v>111</v>
      </c>
      <c r="L2079" s="14">
        <f>IF($J2079=0,0,ROUND(MAX($J2079*1.4,1620000*(1.497923^(MIN($E2079,123)-117)))*1,0))</f>
        <v>95739</v>
      </c>
      <c r="M2079" s="11">
        <f>$E2079+2</f>
        <v>112</v>
      </c>
      <c r="N2079" s="12">
        <f>IF($J2079=0,0,ROUND(MAX($J2079*1.4*1.5,2190000*(1.580994^(MIN($E2079,123)-117)))*1,0))</f>
        <v>119910</v>
      </c>
      <c r="O2079" s="13">
        <f>$E2079+4</f>
        <v>114</v>
      </c>
      <c r="P2079" s="14">
        <f>IF($J2079=0,0,ROUND(MAX($J2079*1.4*1.5*1.6,3500000*(1.57975^(MIN($E2079,123)-117)))*1,0))</f>
        <v>191856</v>
      </c>
      <c r="Q2079" s="11">
        <f>$E2079+6</f>
        <v>116</v>
      </c>
      <c r="R2079" s="12">
        <f>IF($J2079=0,0,ROUND(MAX($J2079*1.4*1.5*1.6*1.6,13100000*(1.429962^(MIN($E2079,123)-117)))*1,0))</f>
        <v>1071519</v>
      </c>
      <c r="S2079" s="13">
        <f>$E2079+8</f>
        <v>118</v>
      </c>
      <c r="T2079" s="14">
        <f>IF($J2079=0,0,ROUND(MAX($J2079*1.4*1.5*1.6*1.6*2.2,42600000*(1.576904^(MIN($E2079,123)-117)))*1,0))</f>
        <v>1757004</v>
      </c>
      <c r="U2079" s="11">
        <f>$E2079+11</f>
        <v>121</v>
      </c>
      <c r="V2079" s="12">
        <f>IF($J2079=0,0,ROUND(MAX($J2079*1.4*1.5*1.6*1.6*2.2*2.715,354000000*(1.642074^(MIN($E2079,123)-117)))*1,0))</f>
        <v>10996493</v>
      </c>
      <c r="W2079" s="13">
        <f>$E2079+15</f>
        <v>125</v>
      </c>
      <c r="X2079" s="14">
        <f>IF($J2079=0,0,ROUND(MAX($J2079*1.4*1.5*1.6*1.6*2.2*2.715*2.6,3540000000*(1.579646^(MIN($E2079,123)-117)))*1,0))</f>
        <v>144239716</v>
      </c>
      <c r="Y2079" s="11">
        <f>$E2079+17</f>
        <v>127</v>
      </c>
      <c r="Z2079" s="12">
        <f>IF($J2079=0,0,ROUND(MAX($J2079*1.4*1.5*1.6*1.6*2.2*2.715*2.6*1.4,6020000000*(1.651178^(MIN($E2079,123)-117)))*1,0))</f>
        <v>179903344</v>
      </c>
      <c r="AA2079" s="13">
        <f>$E2079+19</f>
        <v>129</v>
      </c>
      <c r="AB2079" s="14">
        <f>IF($J2079=0,0,ROUND(MAX($J2079*1.4*1.5*1.6*1.6*2.2*2.715*2.6*1.4*1.4,8430000000*(1.651435^(MIN($E2079,123)-117)))*1,0))</f>
        <v>251650143</v>
      </c>
      <c r="AC2079" s="11">
        <f>$E2079+21</f>
        <v>131</v>
      </c>
      <c r="AD2079" s="12">
        <f>IF($J2079=0,0,ROUND(MAX($J2079*1.4*1.5*1.6*1.6*2.2*2.715*2.6*1.4*1.4*1.5,12600000000*(1.652953^(MIN($E2079,123)-117)))*1,0))</f>
        <v>373720576</v>
      </c>
      <c r="AE2079" s="13">
        <f>$E2079+24</f>
        <v>134</v>
      </c>
      <c r="AF2079" s="14">
        <f>IF($J2079=0,0,ROUND(MAX($J2079*1.4*1.5*1.6*1.6*2.2*2.715*2.6*1.4*1.4*1.5*1.5,18900000000*(1.65331^(MIN($E2079,123)-117)))*1,0))</f>
        <v>559734088</v>
      </c>
      <c r="AG2079" s="11">
        <f>$E2079+27</f>
        <v>137</v>
      </c>
      <c r="AH2079" s="12">
        <f>IF($J2079=0,0,ROUND(MAX($J2079*1.4*1.5*1.6*1.6*2.2*2.715*2.6*1.4*1.4*1.5*1.5*3.2,60500000000*(1.654288^(MIN($E2079,123)-117)))*1,0))</f>
        <v>1784339701</v>
      </c>
    </row>
    <row r="2080" ht="28" customHeight="1" spans="1:34" x14ac:dyDescent="0.25">
      <c r="A2080">
        <v>2090</v>
      </c>
      <c r="B2080" t="s">
        <v>151</v>
      </c>
      <c r="C2080" s="10" t="s">
        <v>1276</v>
      </c>
      <c r="D2080" t="s">
        <v>40</v>
      </c>
      <c r="E2080">
        <v>110</v>
      </c>
      <c r="F2080" t="s">
        <v>42</v>
      </c>
      <c r="G2080" t="s">
        <v>1277</v>
      </c>
      <c r="H2080">
        <v>26</v>
      </c>
      <c r="I2080" s="11">
        <f>$E2080+0</f>
        <v>110</v>
      </c>
      <c r="J2080" s="12">
        <v>364000</v>
      </c>
      <c r="K2080" s="13">
        <f>$E2080+1</f>
        <v>111</v>
      </c>
      <c r="L2080" s="14">
        <f>IF($J2080=0,0,ROUND(MAX($J2080*1.4,1620000*(1.497923^(MIN($E2080,123)-117)))*1,0))</f>
        <v>509600</v>
      </c>
      <c r="M2080" s="11">
        <f>$E2080+2</f>
        <v>112</v>
      </c>
      <c r="N2080" s="12">
        <f>IF($J2080=0,0,ROUND(MAX($J2080*1.4*1.5,2190000*(1.580994^(MIN($E2080,123)-117)))*1,0))</f>
        <v>764400</v>
      </c>
      <c r="O2080" s="13">
        <f>$E2080+4</f>
        <v>114</v>
      </c>
      <c r="P2080" s="14">
        <f>IF($J2080=0,0,ROUND(MAX($J2080*1.4*1.5*1.6,3500000*(1.57975^(MIN($E2080,123)-117)))*1,0))</f>
        <v>1223040</v>
      </c>
      <c r="Q2080" s="11">
        <f>$E2080+6</f>
        <v>116</v>
      </c>
      <c r="R2080" s="12">
        <f>IF($J2080=0,0,ROUND(MAX($J2080*1.4*1.5*1.6*1.6,13100000*(1.429962^(MIN($E2080,123)-117)))*1,0))</f>
        <v>1956864</v>
      </c>
      <c r="S2080" s="13">
        <f>$E2080+8</f>
        <v>118</v>
      </c>
      <c r="T2080" s="14">
        <f>IF($J2080=0,0,ROUND(MAX($J2080*1.4*1.5*1.6*1.6*2.2,42600000*(1.576904^(MIN($E2080,123)-117)))*1,0))</f>
        <v>4305101</v>
      </c>
      <c r="U2080" s="11">
        <f>$E2080+11</f>
        <v>121</v>
      </c>
      <c r="V2080" s="12">
        <f>IF($J2080=0,0,ROUND(MAX($J2080*1.4*1.5*1.6*1.6*2.2*2.715,354000000*(1.642074^(MIN($E2080,123)-117)))*1,0))</f>
        <v>11688349</v>
      </c>
      <c r="W2080" s="13">
        <f>$E2080+15</f>
        <v>125</v>
      </c>
      <c r="X2080" s="14">
        <f>IF($J2080=0,0,ROUND(MAX($J2080*1.4*1.5*1.6*1.6*2.2*2.715*2.6,3540000000*(1.579646^(MIN($E2080,123)-117)))*1,0))</f>
        <v>144239716</v>
      </c>
      <c r="Y2080" s="11">
        <f>$E2080+17</f>
        <v>127</v>
      </c>
      <c r="Z2080" s="12">
        <f>IF($J2080=0,0,ROUND(MAX($J2080*1.4*1.5*1.6*1.6*2.2*2.715*2.6*1.4,6020000000*(1.651178^(MIN($E2080,123)-117)))*1,0))</f>
        <v>179903344</v>
      </c>
      <c r="AA2080" s="13">
        <f>$E2080+19</f>
        <v>129</v>
      </c>
      <c r="AB2080" s="14">
        <f>IF($J2080=0,0,ROUND(MAX($J2080*1.4*1.5*1.6*1.6*2.2*2.715*2.6*1.4*1.4,8430000000*(1.651435^(MIN($E2080,123)-117)))*1,0))</f>
        <v>251650143</v>
      </c>
      <c r="AC2080" s="11">
        <f>$E2080+21</f>
        <v>131</v>
      </c>
      <c r="AD2080" s="12">
        <f>IF($J2080=0,0,ROUND(MAX($J2080*1.4*1.5*1.6*1.6*2.2*2.715*2.6*1.4*1.4*1.5,12600000000*(1.652953^(MIN($E2080,123)-117)))*1,0))</f>
        <v>373720576</v>
      </c>
      <c r="AE2080" s="13">
        <f>$E2080+24</f>
        <v>134</v>
      </c>
      <c r="AF2080" s="14">
        <f>IF($J2080=0,0,ROUND(MAX($J2080*1.4*1.5*1.6*1.6*2.2*2.715*2.6*1.4*1.4*1.5*1.5,18900000000*(1.65331^(MIN($E2080,123)-117)))*1,0))</f>
        <v>559734088</v>
      </c>
      <c r="AG2080" s="11">
        <f>$E2080+27</f>
        <v>137</v>
      </c>
      <c r="AH2080" s="12">
        <f>IF($J2080=0,0,ROUND(MAX($J2080*1.4*1.5*1.6*1.6*2.2*2.715*2.6*1.4*1.4*1.5*1.5*3.2,60500000000*(1.654288^(MIN($E2080,123)-117)))*1,0))</f>
        <v>1784339701</v>
      </c>
    </row>
    <row r="2081" ht="28" customHeight="1" spans="1:34" x14ac:dyDescent="0.25">
      <c r="A2081">
        <v>2091</v>
      </c>
      <c r="B2081" t="s">
        <v>202</v>
      </c>
      <c r="C2081" s="10" t="s">
        <v>1276</v>
      </c>
      <c r="D2081" t="s">
        <v>29</v>
      </c>
      <c r="E2081">
        <v>110</v>
      </c>
      <c r="F2081" t="s">
        <v>62</v>
      </c>
      <c r="G2081" t="s">
        <v>1277</v>
      </c>
      <c r="H2081">
        <v>26</v>
      </c>
      <c r="I2081" s="11">
        <f>$E2081+0</f>
        <v>110</v>
      </c>
      <c r="J2081" s="12">
        <v>76500</v>
      </c>
      <c r="K2081" s="13">
        <f>$E2081+1</f>
        <v>111</v>
      </c>
      <c r="L2081" s="14">
        <f>IF($J2081=0,0,ROUND(MAX($J2081*1.4,1620000*(1.497923^(MIN($E2081,123)-117)))*1,0))</f>
        <v>107100</v>
      </c>
      <c r="M2081" s="11">
        <f>$E2081+2</f>
        <v>112</v>
      </c>
      <c r="N2081" s="12">
        <f>IF($J2081=0,0,ROUND(MAX($J2081*1.4*1.5,2190000*(1.580994^(MIN($E2081,123)-117)))*1,0))</f>
        <v>160650</v>
      </c>
      <c r="O2081" s="13">
        <f>$E2081+4</f>
        <v>114</v>
      </c>
      <c r="P2081" s="14">
        <f>IF($J2081=0,0,ROUND(MAX($J2081*1.4*1.5*1.6,3500000*(1.57975^(MIN($E2081,123)-117)))*1,0))</f>
        <v>257040</v>
      </c>
      <c r="Q2081" s="11">
        <f>$E2081+6</f>
        <v>116</v>
      </c>
      <c r="R2081" s="12">
        <f>IF($J2081=0,0,ROUND(MAX($J2081*1.4*1.5*1.6*1.6,13100000*(1.429962^(MIN($E2081,123)-117)))*1,0))</f>
        <v>1071519</v>
      </c>
      <c r="S2081" s="13">
        <f>$E2081+8</f>
        <v>118</v>
      </c>
      <c r="T2081" s="14">
        <f>IF($J2081=0,0,ROUND(MAX($J2081*1.4*1.5*1.6*1.6*2.2,42600000*(1.576904^(MIN($E2081,123)-117)))*1,0))</f>
        <v>1757004</v>
      </c>
      <c r="U2081" s="11">
        <f>$E2081+11</f>
        <v>121</v>
      </c>
      <c r="V2081" s="12">
        <f>IF($J2081=0,0,ROUND(MAX($J2081*1.4*1.5*1.6*1.6*2.2*2.715,354000000*(1.642074^(MIN($E2081,123)-117)))*1,0))</f>
        <v>10996493</v>
      </c>
      <c r="W2081" s="13">
        <f>$E2081+15</f>
        <v>125</v>
      </c>
      <c r="X2081" s="14">
        <f>IF($J2081=0,0,ROUND(MAX($J2081*1.4*1.5*1.6*1.6*2.2*2.715*2.6,3540000000*(1.579646^(MIN($E2081,123)-117)))*1,0))</f>
        <v>144239716</v>
      </c>
      <c r="Y2081" s="11">
        <f>$E2081+17</f>
        <v>127</v>
      </c>
      <c r="Z2081" s="12">
        <f>IF($J2081=0,0,ROUND(MAX($J2081*1.4*1.5*1.6*1.6*2.2*2.715*2.6*1.4,6020000000*(1.651178^(MIN($E2081,123)-117)))*1,0))</f>
        <v>179903344</v>
      </c>
      <c r="AA2081" s="13">
        <f>$E2081+19</f>
        <v>129</v>
      </c>
      <c r="AB2081" s="14">
        <f>IF($J2081=0,0,ROUND(MAX($J2081*1.4*1.5*1.6*1.6*2.2*2.715*2.6*1.4*1.4,8430000000*(1.651435^(MIN($E2081,123)-117)))*1,0))</f>
        <v>251650143</v>
      </c>
      <c r="AC2081" s="11">
        <f>$E2081+21</f>
        <v>131</v>
      </c>
      <c r="AD2081" s="12">
        <f>IF($J2081=0,0,ROUND(MAX($J2081*1.4*1.5*1.6*1.6*2.2*2.715*2.6*1.4*1.4*1.5,12600000000*(1.652953^(MIN($E2081,123)-117)))*1,0))</f>
        <v>373720576</v>
      </c>
      <c r="AE2081" s="13">
        <f>$E2081+24</f>
        <v>134</v>
      </c>
      <c r="AF2081" s="14">
        <f>IF($J2081=0,0,ROUND(MAX($J2081*1.4*1.5*1.6*1.6*2.2*2.715*2.6*1.4*1.4*1.5*1.5,18900000000*(1.65331^(MIN($E2081,123)-117)))*1,0))</f>
        <v>559734088</v>
      </c>
      <c r="AG2081" s="11">
        <f>$E2081+27</f>
        <v>137</v>
      </c>
      <c r="AH2081" s="12">
        <f>IF($J2081=0,0,ROUND(MAX($J2081*1.4*1.5*1.6*1.6*2.2*2.715*2.6*1.4*1.4*1.5*1.5*3.2,60500000000*(1.654288^(MIN($E2081,123)-117)))*1,0))</f>
        <v>1784339701</v>
      </c>
    </row>
    <row r="2082" ht="28" customHeight="1" spans="1:34" x14ac:dyDescent="0.25">
      <c r="A2082">
        <v>2092</v>
      </c>
      <c r="B2082" t="s">
        <v>155</v>
      </c>
      <c r="C2082" s="10" t="s">
        <v>1276</v>
      </c>
      <c r="D2082" t="s">
        <v>102</v>
      </c>
      <c r="E2082">
        <v>110</v>
      </c>
      <c r="F2082" t="s">
        <v>71</v>
      </c>
      <c r="G2082" t="s">
        <v>1277</v>
      </c>
      <c r="H2082">
        <v>25</v>
      </c>
      <c r="I2082" s="11">
        <f>$E2082+0</f>
        <v>110</v>
      </c>
      <c r="J2082" s="12">
        <v>331000</v>
      </c>
      <c r="K2082" s="13">
        <f>$E2082+1</f>
        <v>111</v>
      </c>
      <c r="L2082" s="14">
        <f>IF($J2082=0,0,ROUND(MAX($J2082*1.4,1620000*(1.497923^(MIN($E2082,123)-117)))*1,0))</f>
        <v>463400</v>
      </c>
      <c r="M2082" s="11">
        <f>$E2082+2</f>
        <v>112</v>
      </c>
      <c r="N2082" s="12">
        <f>IF($J2082=0,0,ROUND(MAX($J2082*1.4*1.5,2190000*(1.580994^(MIN($E2082,123)-117)))*1,0))</f>
        <v>695100</v>
      </c>
      <c r="O2082" s="13">
        <f>$E2082+4</f>
        <v>114</v>
      </c>
      <c r="P2082" s="14">
        <f>IF($J2082=0,0,ROUND(MAX($J2082*1.4*1.5*1.6,3500000*(1.57975^(MIN($E2082,123)-117)))*1,0))</f>
        <v>1112160</v>
      </c>
      <c r="Q2082" s="11">
        <f>$E2082+6</f>
        <v>116</v>
      </c>
      <c r="R2082" s="12">
        <f>IF($J2082=0,0,ROUND(MAX($J2082*1.4*1.5*1.6*1.6,13100000*(1.429962^(MIN($E2082,123)-117)))*1,0))</f>
        <v>1779456</v>
      </c>
      <c r="S2082" s="13">
        <f>$E2082+8</f>
        <v>118</v>
      </c>
      <c r="T2082" s="14">
        <f>IF($J2082=0,0,ROUND(MAX($J2082*1.4*1.5*1.6*1.6*2.2,42600000*(1.576904^(MIN($E2082,123)-117)))*1,0))</f>
        <v>3914803</v>
      </c>
      <c r="U2082" s="11">
        <f>$E2082+11</f>
        <v>121</v>
      </c>
      <c r="V2082" s="12">
        <f>IF($J2082=0,0,ROUND(MAX($J2082*1.4*1.5*1.6*1.6*2.2*2.715,354000000*(1.642074^(MIN($E2082,123)-117)))*1,0))</f>
        <v>10996493</v>
      </c>
      <c r="W2082" s="13">
        <f>$E2082+15</f>
        <v>125</v>
      </c>
      <c r="X2082" s="14">
        <f>IF($J2082=0,0,ROUND(MAX($J2082*1.4*1.5*1.6*1.6*2.2*2.715*2.6,3540000000*(1.579646^(MIN($E2082,123)-117)))*1,0))</f>
        <v>144239716</v>
      </c>
      <c r="Y2082" s="11">
        <f>$E2082+17</f>
        <v>127</v>
      </c>
      <c r="Z2082" s="12">
        <f>IF($J2082=0,0,ROUND(MAX($J2082*1.4*1.5*1.6*1.6*2.2*2.715*2.6*1.4,6020000000*(1.651178^(MIN($E2082,123)-117)))*1,0))</f>
        <v>179903344</v>
      </c>
      <c r="AA2082" s="13">
        <f>$E2082+19</f>
        <v>129</v>
      </c>
      <c r="AB2082" s="14">
        <f>IF($J2082=0,0,ROUND(MAX($J2082*1.4*1.5*1.6*1.6*2.2*2.715*2.6*1.4*1.4,8430000000*(1.651435^(MIN($E2082,123)-117)))*1,0))</f>
        <v>251650143</v>
      </c>
      <c r="AC2082" s="11">
        <f>$E2082+21</f>
        <v>131</v>
      </c>
      <c r="AD2082" s="12">
        <f>IF($J2082=0,0,ROUND(MAX($J2082*1.4*1.5*1.6*1.6*2.2*2.715*2.6*1.4*1.4*1.5,12600000000*(1.652953^(MIN($E2082,123)-117)))*1,0))</f>
        <v>373720576</v>
      </c>
      <c r="AE2082" s="13">
        <f>$E2082+24</f>
        <v>134</v>
      </c>
      <c r="AF2082" s="14">
        <f>IF($J2082=0,0,ROUND(MAX($J2082*1.4*1.5*1.6*1.6*2.2*2.715*2.6*1.4*1.4*1.5*1.5,18900000000*(1.65331^(MIN($E2082,123)-117)))*1,0))</f>
        <v>559734088</v>
      </c>
      <c r="AG2082" s="11">
        <f>$E2082+27</f>
        <v>137</v>
      </c>
      <c r="AH2082" s="12">
        <f>IF($J2082=0,0,ROUND(MAX($J2082*1.4*1.5*1.6*1.6*2.2*2.715*2.6*1.4*1.4*1.5*1.5*3.2,60500000000*(1.654288^(MIN($E2082,123)-117)))*1,0))</f>
        <v>1784339701</v>
      </c>
    </row>
    <row r="2083" ht="28" customHeight="1" spans="1:34" x14ac:dyDescent="0.25">
      <c r="A2083">
        <v>2093</v>
      </c>
      <c r="B2083" t="s">
        <v>182</v>
      </c>
      <c r="C2083" s="10" t="s">
        <v>1276</v>
      </c>
      <c r="D2083" t="s">
        <v>102</v>
      </c>
      <c r="E2083">
        <v>110</v>
      </c>
      <c r="F2083" t="s">
        <v>183</v>
      </c>
      <c r="G2083" t="s">
        <v>1277</v>
      </c>
      <c r="H2083">
        <v>25</v>
      </c>
      <c r="I2083" s="11">
        <f>$E2083+0</f>
        <v>110</v>
      </c>
      <c r="J2083" s="12">
        <v>404000</v>
      </c>
      <c r="K2083" s="13">
        <f>$E2083+1</f>
        <v>111</v>
      </c>
      <c r="L2083" s="14">
        <f>IF($J2083=0,0,ROUND(MAX($J2083*1.4,1620000*(1.497923^(MIN($E2083,123)-117)))*1,0))</f>
        <v>565600</v>
      </c>
      <c r="M2083" s="11">
        <f>$E2083+2</f>
        <v>112</v>
      </c>
      <c r="N2083" s="12">
        <f>IF($J2083=0,0,ROUND(MAX($J2083*1.4*1.5,2190000*(1.580994^(MIN($E2083,123)-117)))*1,0))</f>
        <v>848400</v>
      </c>
      <c r="O2083" s="13">
        <f>$E2083+4</f>
        <v>114</v>
      </c>
      <c r="P2083" s="14">
        <f>IF($J2083=0,0,ROUND(MAX($J2083*1.4*1.5*1.6,3500000*(1.57975^(MIN($E2083,123)-117)))*1,0))</f>
        <v>1357440</v>
      </c>
      <c r="Q2083" s="11">
        <f>$E2083+6</f>
        <v>116</v>
      </c>
      <c r="R2083" s="12">
        <f>IF($J2083=0,0,ROUND(MAX($J2083*1.4*1.5*1.6*1.6,13100000*(1.429962^(MIN($E2083,123)-117)))*1,0))</f>
        <v>2171904</v>
      </c>
      <c r="S2083" s="13">
        <f>$E2083+8</f>
        <v>118</v>
      </c>
      <c r="T2083" s="14">
        <f>IF($J2083=0,0,ROUND(MAX($J2083*1.4*1.5*1.6*1.6*2.2,42600000*(1.576904^(MIN($E2083,123)-117)))*1,0))</f>
        <v>4778189</v>
      </c>
      <c r="U2083" s="11">
        <f>$E2083+11</f>
        <v>121</v>
      </c>
      <c r="V2083" s="12">
        <f>IF($J2083=0,0,ROUND(MAX($J2083*1.4*1.5*1.6*1.6*2.2*2.715,354000000*(1.642074^(MIN($E2083,123)-117)))*1,0))</f>
        <v>12972783</v>
      </c>
      <c r="W2083" s="13">
        <f>$E2083+15</f>
        <v>125</v>
      </c>
      <c r="X2083" s="14">
        <f>IF($J2083=0,0,ROUND(MAX($J2083*1.4*1.5*1.6*1.6*2.2*2.715*2.6,3540000000*(1.579646^(MIN($E2083,123)-117)))*1,0))</f>
        <v>144239716</v>
      </c>
      <c r="Y2083" s="11">
        <f>$E2083+17</f>
        <v>127</v>
      </c>
      <c r="Z2083" s="12">
        <f>IF($J2083=0,0,ROUND(MAX($J2083*1.4*1.5*1.6*1.6*2.2*2.715*2.6*1.4,6020000000*(1.651178^(MIN($E2083,123)-117)))*1,0))</f>
        <v>179903344</v>
      </c>
      <c r="AA2083" s="13">
        <f>$E2083+19</f>
        <v>129</v>
      </c>
      <c r="AB2083" s="14">
        <f>IF($J2083=0,0,ROUND(MAX($J2083*1.4*1.5*1.6*1.6*2.2*2.715*2.6*1.4*1.4,8430000000*(1.651435^(MIN($E2083,123)-117)))*1,0))</f>
        <v>251650143</v>
      </c>
      <c r="AC2083" s="11">
        <f>$E2083+21</f>
        <v>131</v>
      </c>
      <c r="AD2083" s="12">
        <f>IF($J2083=0,0,ROUND(MAX($J2083*1.4*1.5*1.6*1.6*2.2*2.715*2.6*1.4*1.4*1.5,12600000000*(1.652953^(MIN($E2083,123)-117)))*1,0))</f>
        <v>373720576</v>
      </c>
      <c r="AE2083" s="13">
        <f>$E2083+24</f>
        <v>134</v>
      </c>
      <c r="AF2083" s="14">
        <f>IF($J2083=0,0,ROUND(MAX($J2083*1.4*1.5*1.6*1.6*2.2*2.715*2.6*1.4*1.4*1.5*1.5,18900000000*(1.65331^(MIN($E2083,123)-117)))*1,0))</f>
        <v>559734088</v>
      </c>
      <c r="AG2083" s="11">
        <f>$E2083+27</f>
        <v>137</v>
      </c>
      <c r="AH2083" s="12">
        <f>IF($J2083=0,0,ROUND(MAX($J2083*1.4*1.5*1.6*1.6*2.2*2.715*2.6*1.4*1.4*1.5*1.5*3.2,60500000000*(1.654288^(MIN($E2083,123)-117)))*1,0))</f>
        <v>1784339701</v>
      </c>
    </row>
    <row r="2084" ht="28" customHeight="1" spans="1:34" x14ac:dyDescent="0.25">
      <c r="A2084">
        <v>2094</v>
      </c>
      <c r="B2084" t="s">
        <v>184</v>
      </c>
      <c r="C2084" s="10" t="s">
        <v>1276</v>
      </c>
      <c r="D2084" t="s">
        <v>45</v>
      </c>
      <c r="E2084">
        <v>109</v>
      </c>
      <c r="F2084" t="s">
        <v>97</v>
      </c>
      <c r="G2084" t="s">
        <v>1277</v>
      </c>
      <c r="H2084">
        <v>26</v>
      </c>
      <c r="I2084" s="11">
        <f>$E2084+0</f>
        <v>109</v>
      </c>
      <c r="J2084" s="12">
        <v>204000</v>
      </c>
      <c r="K2084" s="13">
        <f>$E2084+1</f>
        <v>110</v>
      </c>
      <c r="L2084" s="14">
        <f>IF($J2084=0,0,ROUND(MAX($J2084*1.4,1620000*(1.497923^(MIN($E2084,123)-117)))*1,0))</f>
        <v>285600</v>
      </c>
      <c r="M2084" s="11">
        <f>$E2084+2</f>
        <v>111</v>
      </c>
      <c r="N2084" s="12">
        <f>IF($J2084=0,0,ROUND(MAX($J2084*1.4*1.5,2190000*(1.580994^(MIN($E2084,123)-117)))*1,0))</f>
        <v>428400</v>
      </c>
      <c r="O2084" s="13">
        <f>$E2084+4</f>
        <v>113</v>
      </c>
      <c r="P2084" s="14">
        <f>IF($J2084=0,0,ROUND(MAX($J2084*1.4*1.5*1.6,3500000*(1.57975^(MIN($E2084,123)-117)))*1,0))</f>
        <v>685440</v>
      </c>
      <c r="Q2084" s="11">
        <f>$E2084+6</f>
        <v>115</v>
      </c>
      <c r="R2084" s="12">
        <f>IF($J2084=0,0,ROUND(MAX($J2084*1.4*1.5*1.6*1.6,13100000*(1.429962^(MIN($E2084,123)-117)))*1,0))</f>
        <v>1096704</v>
      </c>
      <c r="S2084" s="13">
        <f>$E2084+8</f>
        <v>117</v>
      </c>
      <c r="T2084" s="14">
        <f>IF($J2084=0,0,ROUND(MAX($J2084*1.4*1.5*1.6*1.6*2.2,42600000*(1.576904^(MIN($E2084,123)-117)))*1,0))</f>
        <v>2412749</v>
      </c>
      <c r="U2084" s="11">
        <f>$E2084+11</f>
        <v>120</v>
      </c>
      <c r="V2084" s="12">
        <f>IF($J2084=0,0,ROUND(MAX($J2084*1.4*1.5*1.6*1.6*2.2*2.715,354000000*(1.642074^(MIN($E2084,123)-117)))*1,0))</f>
        <v>6696710</v>
      </c>
      <c r="W2084" s="13">
        <f>$E2084+15</f>
        <v>124</v>
      </c>
      <c r="X2084" s="14">
        <f>IF($J2084=0,0,ROUND(MAX($J2084*1.4*1.5*1.6*1.6*2.2*2.715*2.6,3540000000*(1.579646^(MIN($E2084,123)-117)))*1,0))</f>
        <v>91311418</v>
      </c>
      <c r="Y2084" s="11">
        <f>$E2084+17</f>
        <v>126</v>
      </c>
      <c r="Z2084" s="12">
        <f>IF($J2084=0,0,ROUND(MAX($J2084*1.4*1.5*1.6*1.6*2.2*2.715*2.6*1.4,6020000000*(1.651178^(MIN($E2084,123)-117)))*1,0))</f>
        <v>108954543</v>
      </c>
      <c r="AA2084" s="13">
        <f>$E2084+19</f>
        <v>128</v>
      </c>
      <c r="AB2084" s="14">
        <f>IF($J2084=0,0,ROUND(MAX($J2084*1.4*1.5*1.6*1.6*2.2*2.715*2.6*1.4*1.4,8430000000*(1.651435^(MIN($E2084,123)-117)))*1,0))</f>
        <v>152382712</v>
      </c>
      <c r="AC2084" s="11">
        <f>$E2084+21</f>
        <v>130</v>
      </c>
      <c r="AD2084" s="12">
        <f>IF($J2084=0,0,ROUND(MAX($J2084*1.4*1.5*1.6*1.6*2.2*2.715*2.6*1.4*1.4*1.5,12600000000*(1.652953^(MIN($E2084,123)-117)))*1,0))</f>
        <v>226092682</v>
      </c>
      <c r="AE2084" s="13">
        <f>$E2084+24</f>
        <v>133</v>
      </c>
      <c r="AF2084" s="14">
        <f>IF($J2084=0,0,ROUND(MAX($J2084*1.4*1.5*1.6*1.6*2.2*2.715*2.6*1.4*1.4*1.5*1.5,18900000000*(1.65331^(MIN($E2084,123)-117)))*1,0))</f>
        <v>338553621</v>
      </c>
      <c r="AG2084" s="11">
        <f>$E2084+27</f>
        <v>136</v>
      </c>
      <c r="AH2084" s="12">
        <f>IF($J2084=0,0,ROUND(MAX($J2084*1.4*1.5*1.6*1.6*2.2*2.715*2.6*1.4*1.4*1.5*1.5*3.2,60500000000*(1.654288^(MIN($E2084,123)-117)))*1,0))</f>
        <v>1078614909</v>
      </c>
    </row>
    <row r="2085" ht="28" customHeight="1" spans="1:34" x14ac:dyDescent="0.25">
      <c r="A2085">
        <v>2095</v>
      </c>
      <c r="B2085" t="s">
        <v>650</v>
      </c>
      <c r="C2085" s="10" t="s">
        <v>1276</v>
      </c>
      <c r="D2085" t="s">
        <v>33</v>
      </c>
      <c r="E2085">
        <v>109</v>
      </c>
      <c r="F2085" t="s">
        <v>34</v>
      </c>
      <c r="G2085" t="s">
        <v>1277</v>
      </c>
      <c r="H2085">
        <v>25</v>
      </c>
      <c r="I2085" s="11">
        <f>$E2085+0</f>
        <v>109</v>
      </c>
      <c r="J2085" s="12">
        <v>40900</v>
      </c>
      <c r="K2085" s="13">
        <f>$E2085+1</f>
        <v>110</v>
      </c>
      <c r="L2085" s="14">
        <f>IF($J2085=0,0,ROUND(MAX($J2085*1.4,1620000*(1.497923^(MIN($E2085,123)-117)))*1,0))</f>
        <v>63914</v>
      </c>
      <c r="M2085" s="11">
        <f>$E2085+2</f>
        <v>111</v>
      </c>
      <c r="N2085" s="12">
        <f>IF($J2085=0,0,ROUND(MAX($J2085*1.4*1.5,2190000*(1.580994^(MIN($E2085,123)-117)))*1,0))</f>
        <v>85890</v>
      </c>
      <c r="O2085" s="13">
        <f>$E2085+4</f>
        <v>113</v>
      </c>
      <c r="P2085" s="14">
        <f>IF($J2085=0,0,ROUND(MAX($J2085*1.4*1.5*1.6,3500000*(1.57975^(MIN($E2085,123)-117)))*1,0))</f>
        <v>137424</v>
      </c>
      <c r="Q2085" s="11">
        <f>$E2085+6</f>
        <v>115</v>
      </c>
      <c r="R2085" s="12">
        <f>IF($J2085=0,0,ROUND(MAX($J2085*1.4*1.5*1.6*1.6,13100000*(1.429962^(MIN($E2085,123)-117)))*1,0))</f>
        <v>749334</v>
      </c>
      <c r="S2085" s="13">
        <f>$E2085+8</f>
        <v>117</v>
      </c>
      <c r="T2085" s="14">
        <f>IF($J2085=0,0,ROUND(MAX($J2085*1.4*1.5*1.6*1.6*2.2,42600000*(1.576904^(MIN($E2085,123)-117)))*1,0))</f>
        <v>1114211</v>
      </c>
      <c r="U2085" s="11">
        <f>$E2085+11</f>
        <v>120</v>
      </c>
      <c r="V2085" s="12">
        <f>IF($J2085=0,0,ROUND(MAX($J2085*1.4*1.5*1.6*1.6*2.2*2.715,354000000*(1.642074^(MIN($E2085,123)-117)))*1,0))</f>
        <v>6696710</v>
      </c>
      <c r="W2085" s="13">
        <f>$E2085+15</f>
        <v>124</v>
      </c>
      <c r="X2085" s="14">
        <f>IF($J2085=0,0,ROUND(MAX($J2085*1.4*1.5*1.6*1.6*2.2*2.715*2.6,3540000000*(1.579646^(MIN($E2085,123)-117)))*1,0))</f>
        <v>91311418</v>
      </c>
      <c r="Y2085" s="11">
        <f>$E2085+17</f>
        <v>126</v>
      </c>
      <c r="Z2085" s="12">
        <f>IF($J2085=0,0,ROUND(MAX($J2085*1.4*1.5*1.6*1.6*2.2*2.715*2.6*1.4,6020000000*(1.651178^(MIN($E2085,123)-117)))*1,0))</f>
        <v>108954543</v>
      </c>
      <c r="AA2085" s="13">
        <f>$E2085+19</f>
        <v>128</v>
      </c>
      <c r="AB2085" s="14">
        <f>IF($J2085=0,0,ROUND(MAX($J2085*1.4*1.5*1.6*1.6*2.2*2.715*2.6*1.4*1.4,8430000000*(1.651435^(MIN($E2085,123)-117)))*1,0))</f>
        <v>152382712</v>
      </c>
      <c r="AC2085" s="11">
        <f>$E2085+21</f>
        <v>130</v>
      </c>
      <c r="AD2085" s="12">
        <f>IF($J2085=0,0,ROUND(MAX($J2085*1.4*1.5*1.6*1.6*2.2*2.715*2.6*1.4*1.4*1.5,12600000000*(1.652953^(MIN($E2085,123)-117)))*1,0))</f>
        <v>226092682</v>
      </c>
      <c r="AE2085" s="13">
        <f>$E2085+24</f>
        <v>133</v>
      </c>
      <c r="AF2085" s="14">
        <f>IF($J2085=0,0,ROUND(MAX($J2085*1.4*1.5*1.6*1.6*2.2*2.715*2.6*1.4*1.4*1.5*1.5,18900000000*(1.65331^(MIN($E2085,123)-117)))*1,0))</f>
        <v>338553621</v>
      </c>
      <c r="AG2085" s="11">
        <f>$E2085+27</f>
        <v>136</v>
      </c>
      <c r="AH2085" s="12">
        <f>IF($J2085=0,0,ROUND(MAX($J2085*1.4*1.5*1.6*1.6*2.2*2.715*2.6*1.4*1.4*1.5*1.5*3.2,60500000000*(1.654288^(MIN($E2085,123)-117)))*1,0))</f>
        <v>1078614909</v>
      </c>
    </row>
    <row r="2086" ht="28" customHeight="1" spans="1:34" x14ac:dyDescent="0.25">
      <c r="A2086">
        <v>2096</v>
      </c>
      <c r="B2086" t="s">
        <v>653</v>
      </c>
      <c r="C2086" s="10" t="s">
        <v>1276</v>
      </c>
      <c r="D2086" t="s">
        <v>40</v>
      </c>
      <c r="E2086">
        <v>109</v>
      </c>
      <c r="F2086" t="s">
        <v>34</v>
      </c>
      <c r="G2086" t="s">
        <v>1277</v>
      </c>
      <c r="H2086">
        <v>25</v>
      </c>
      <c r="I2086" s="11">
        <f>$E2086+0</f>
        <v>109</v>
      </c>
      <c r="J2086" s="12">
        <v>67800</v>
      </c>
      <c r="K2086" s="13">
        <f>$E2086+1</f>
        <v>110</v>
      </c>
      <c r="L2086" s="14">
        <f>IF($J2086=0,0,ROUND(MAX($J2086*1.4,1620000*(1.497923^(MIN($E2086,123)-117)))*1,0))</f>
        <v>94920</v>
      </c>
      <c r="M2086" s="11">
        <f>$E2086+2</f>
        <v>111</v>
      </c>
      <c r="N2086" s="12">
        <f>IF($J2086=0,0,ROUND(MAX($J2086*1.4*1.5,2190000*(1.580994^(MIN($E2086,123)-117)))*1,0))</f>
        <v>142380</v>
      </c>
      <c r="O2086" s="13">
        <f>$E2086+4</f>
        <v>113</v>
      </c>
      <c r="P2086" s="14">
        <f>IF($J2086=0,0,ROUND(MAX($J2086*1.4*1.5*1.6,3500000*(1.57975^(MIN($E2086,123)-117)))*1,0))</f>
        <v>227808</v>
      </c>
      <c r="Q2086" s="11">
        <f>$E2086+6</f>
        <v>115</v>
      </c>
      <c r="R2086" s="12">
        <f>IF($J2086=0,0,ROUND(MAX($J2086*1.4*1.5*1.6*1.6,13100000*(1.429962^(MIN($E2086,123)-117)))*1,0))</f>
        <v>749334</v>
      </c>
      <c r="S2086" s="13">
        <f>$E2086+8</f>
        <v>117</v>
      </c>
      <c r="T2086" s="14">
        <f>IF($J2086=0,0,ROUND(MAX($J2086*1.4*1.5*1.6*1.6*2.2,42600000*(1.576904^(MIN($E2086,123)-117)))*1,0))</f>
        <v>1114211</v>
      </c>
      <c r="U2086" s="11">
        <f>$E2086+11</f>
        <v>120</v>
      </c>
      <c r="V2086" s="12">
        <f>IF($J2086=0,0,ROUND(MAX($J2086*1.4*1.5*1.6*1.6*2.2*2.715,354000000*(1.642074^(MIN($E2086,123)-117)))*1,0))</f>
        <v>6696710</v>
      </c>
      <c r="W2086" s="13">
        <f>$E2086+15</f>
        <v>124</v>
      </c>
      <c r="X2086" s="14">
        <f>IF($J2086=0,0,ROUND(MAX($J2086*1.4*1.5*1.6*1.6*2.2*2.715*2.6,3540000000*(1.579646^(MIN($E2086,123)-117)))*1,0))</f>
        <v>91311418</v>
      </c>
      <c r="Y2086" s="11">
        <f>$E2086+17</f>
        <v>126</v>
      </c>
      <c r="Z2086" s="12">
        <f>IF($J2086=0,0,ROUND(MAX($J2086*1.4*1.5*1.6*1.6*2.2*2.715*2.6*1.4,6020000000*(1.651178^(MIN($E2086,123)-117)))*1,0))</f>
        <v>108954543</v>
      </c>
      <c r="AA2086" s="13">
        <f>$E2086+19</f>
        <v>128</v>
      </c>
      <c r="AB2086" s="14">
        <f>IF($J2086=0,0,ROUND(MAX($J2086*1.4*1.5*1.6*1.6*2.2*2.715*2.6*1.4*1.4,8430000000*(1.651435^(MIN($E2086,123)-117)))*1,0))</f>
        <v>152382712</v>
      </c>
      <c r="AC2086" s="11">
        <f>$E2086+21</f>
        <v>130</v>
      </c>
      <c r="AD2086" s="12">
        <f>IF($J2086=0,0,ROUND(MAX($J2086*1.4*1.5*1.6*1.6*2.2*2.715*2.6*1.4*1.4*1.5,12600000000*(1.652953^(MIN($E2086,123)-117)))*1,0))</f>
        <v>226092682</v>
      </c>
      <c r="AE2086" s="13">
        <f>$E2086+24</f>
        <v>133</v>
      </c>
      <c r="AF2086" s="14">
        <f>IF($J2086=0,0,ROUND(MAX($J2086*1.4*1.5*1.6*1.6*2.2*2.715*2.6*1.4*1.4*1.5*1.5,18900000000*(1.65331^(MIN($E2086,123)-117)))*1,0))</f>
        <v>338553621</v>
      </c>
      <c r="AG2086" s="11">
        <f>$E2086+27</f>
        <v>136</v>
      </c>
      <c r="AH2086" s="12">
        <f>IF($J2086=0,0,ROUND(MAX($J2086*1.4*1.5*1.6*1.6*2.2*2.715*2.6*1.4*1.4*1.5*1.5*3.2,60500000000*(1.654288^(MIN($E2086,123)-117)))*1,0))</f>
        <v>1078614909</v>
      </c>
    </row>
    <row r="2087" ht="28" customHeight="1" spans="1:34" x14ac:dyDescent="0.25">
      <c r="A2087">
        <v>2097</v>
      </c>
      <c r="B2087" t="s">
        <v>606</v>
      </c>
      <c r="C2087" s="10" t="s">
        <v>1276</v>
      </c>
      <c r="D2087" t="s">
        <v>33</v>
      </c>
      <c r="E2087">
        <v>109</v>
      </c>
      <c r="F2087" t="s">
        <v>59</v>
      </c>
      <c r="G2087" t="s">
        <v>1277</v>
      </c>
      <c r="H2087">
        <v>25</v>
      </c>
      <c r="I2087" s="11">
        <f>$E2087+0</f>
        <v>109</v>
      </c>
      <c r="J2087" s="12">
        <v>74600</v>
      </c>
      <c r="K2087" s="13">
        <f>$E2087+1</f>
        <v>110</v>
      </c>
      <c r="L2087" s="14">
        <f>IF($J2087=0,0,ROUND(MAX($J2087*1.4,1620000*(1.497923^(MIN($E2087,123)-117)))*1,0))</f>
        <v>104440</v>
      </c>
      <c r="M2087" s="11">
        <f>$E2087+2</f>
        <v>111</v>
      </c>
      <c r="N2087" s="12">
        <f>IF($J2087=0,0,ROUND(MAX($J2087*1.4*1.5,2190000*(1.580994^(MIN($E2087,123)-117)))*1,0))</f>
        <v>156660</v>
      </c>
      <c r="O2087" s="13">
        <f>$E2087+4</f>
        <v>113</v>
      </c>
      <c r="P2087" s="14">
        <f>IF($J2087=0,0,ROUND(MAX($J2087*1.4*1.5*1.6,3500000*(1.57975^(MIN($E2087,123)-117)))*1,0))</f>
        <v>250656</v>
      </c>
      <c r="Q2087" s="11">
        <f>$E2087+6</f>
        <v>115</v>
      </c>
      <c r="R2087" s="12">
        <f>IF($J2087=0,0,ROUND(MAX($J2087*1.4*1.5*1.6*1.6,13100000*(1.429962^(MIN($E2087,123)-117)))*1,0))</f>
        <v>749334</v>
      </c>
      <c r="S2087" s="13">
        <f>$E2087+8</f>
        <v>117</v>
      </c>
      <c r="T2087" s="14">
        <f>IF($J2087=0,0,ROUND(MAX($J2087*1.4*1.5*1.6*1.6*2.2,42600000*(1.576904^(MIN($E2087,123)-117)))*1,0))</f>
        <v>1114211</v>
      </c>
      <c r="U2087" s="11">
        <f>$E2087+11</f>
        <v>120</v>
      </c>
      <c r="V2087" s="12">
        <f>IF($J2087=0,0,ROUND(MAX($J2087*1.4*1.5*1.6*1.6*2.2*2.715,354000000*(1.642074^(MIN($E2087,123)-117)))*1,0))</f>
        <v>6696710</v>
      </c>
      <c r="W2087" s="13">
        <f>$E2087+15</f>
        <v>124</v>
      </c>
      <c r="X2087" s="14">
        <f>IF($J2087=0,0,ROUND(MAX($J2087*1.4*1.5*1.6*1.6*2.2*2.715*2.6,3540000000*(1.579646^(MIN($E2087,123)-117)))*1,0))</f>
        <v>91311418</v>
      </c>
      <c r="Y2087" s="11">
        <f>$E2087+17</f>
        <v>126</v>
      </c>
      <c r="Z2087" s="12">
        <f>IF($J2087=0,0,ROUND(MAX($J2087*1.4*1.5*1.6*1.6*2.2*2.715*2.6*1.4,6020000000*(1.651178^(MIN($E2087,123)-117)))*1,0))</f>
        <v>108954543</v>
      </c>
      <c r="AA2087" s="13">
        <f>$E2087+19</f>
        <v>128</v>
      </c>
      <c r="AB2087" s="14">
        <f>IF($J2087=0,0,ROUND(MAX($J2087*1.4*1.5*1.6*1.6*2.2*2.715*2.6*1.4*1.4,8430000000*(1.651435^(MIN($E2087,123)-117)))*1,0))</f>
        <v>152382712</v>
      </c>
      <c r="AC2087" s="11">
        <f>$E2087+21</f>
        <v>130</v>
      </c>
      <c r="AD2087" s="12">
        <f>IF($J2087=0,0,ROUND(MAX($J2087*1.4*1.5*1.6*1.6*2.2*2.715*2.6*1.4*1.4*1.5,12600000000*(1.652953^(MIN($E2087,123)-117)))*1,0))</f>
        <v>226092682</v>
      </c>
      <c r="AE2087" s="13">
        <f>$E2087+24</f>
        <v>133</v>
      </c>
      <c r="AF2087" s="14">
        <f>IF($J2087=0,0,ROUND(MAX($J2087*1.4*1.5*1.6*1.6*2.2*2.715*2.6*1.4*1.4*1.5*1.5,18900000000*(1.65331^(MIN($E2087,123)-117)))*1,0))</f>
        <v>338553621</v>
      </c>
      <c r="AG2087" s="11">
        <f>$E2087+27</f>
        <v>136</v>
      </c>
      <c r="AH2087" s="12">
        <f>IF($J2087=0,0,ROUND(MAX($J2087*1.4*1.5*1.6*1.6*2.2*2.715*2.6*1.4*1.4*1.5*1.5*3.2,60500000000*(1.654288^(MIN($E2087,123)-117)))*1,0))</f>
        <v>1078614909</v>
      </c>
    </row>
    <row r="2088" ht="28" customHeight="1" spans="1:34" x14ac:dyDescent="0.25">
      <c r="A2088">
        <v>2098</v>
      </c>
      <c r="B2088" t="s">
        <v>175</v>
      </c>
      <c r="C2088" s="10" t="s">
        <v>1276</v>
      </c>
      <c r="D2088" t="s">
        <v>33</v>
      </c>
      <c r="E2088">
        <v>108</v>
      </c>
      <c r="F2088" t="s">
        <v>54</v>
      </c>
      <c r="G2088" t="s">
        <v>1277</v>
      </c>
      <c r="H2088">
        <v>25</v>
      </c>
      <c r="I2088" s="11">
        <f>$E2088+0</f>
        <v>108</v>
      </c>
      <c r="J2088" s="12">
        <v>15300</v>
      </c>
      <c r="K2088" s="13">
        <f>$E2088+1</f>
        <v>109</v>
      </c>
      <c r="L2088" s="14">
        <f>IF($J2088=0,0,ROUND(MAX($J2088*1.4,1620000*(1.497923^(MIN($E2088,123)-117)))*1,0))</f>
        <v>42669</v>
      </c>
      <c r="M2088" s="11">
        <f>$E2088+2</f>
        <v>110</v>
      </c>
      <c r="N2088" s="12">
        <f>IF($J2088=0,0,ROUND(MAX($J2088*1.4*1.5,2190000*(1.580994^(MIN($E2088,123)-117)))*1,0))</f>
        <v>35487</v>
      </c>
      <c r="O2088" s="13">
        <f>$E2088+4</f>
        <v>112</v>
      </c>
      <c r="P2088" s="14">
        <f>IF($J2088=0,0,ROUND(MAX($J2088*1.4*1.5*1.6,3500000*(1.57975^(MIN($E2088,123)-117)))*1,0))</f>
        <v>57118</v>
      </c>
      <c r="Q2088" s="11">
        <f>$E2088+6</f>
        <v>114</v>
      </c>
      <c r="R2088" s="12">
        <f>IF($J2088=0,0,ROUND(MAX($J2088*1.4*1.5*1.6*1.6,13100000*(1.429962^(MIN($E2088,123)-117)))*1,0))</f>
        <v>524024</v>
      </c>
      <c r="S2088" s="13">
        <f>$E2088+8</f>
        <v>116</v>
      </c>
      <c r="T2088" s="14">
        <f>IF($J2088=0,0,ROUND(MAX($J2088*1.4*1.5*1.6*1.6*2.2,42600000*(1.576904^(MIN($E2088,123)-117)))*1,0))</f>
        <v>706582</v>
      </c>
      <c r="U2088" s="11">
        <f>$E2088+11</f>
        <v>119</v>
      </c>
      <c r="V2088" s="12">
        <f>IF($J2088=0,0,ROUND(MAX($J2088*1.4*1.5*1.6*1.6*2.2*2.715,354000000*(1.642074^(MIN($E2088,123)-117)))*1,0))</f>
        <v>4078202</v>
      </c>
      <c r="W2088" s="13">
        <f>$E2088+15</f>
        <v>123</v>
      </c>
      <c r="X2088" s="14">
        <f>IF($J2088=0,0,ROUND(MAX($J2088*1.4*1.5*1.6*1.6*2.2*2.715*2.6,3540000000*(1.579646^(MIN($E2088,123)-117)))*1,0))</f>
        <v>57804988</v>
      </c>
      <c r="Y2088" s="11">
        <f>$E2088+17</f>
        <v>125</v>
      </c>
      <c r="Z2088" s="12">
        <f>IF($J2088=0,0,ROUND(MAX($J2088*1.4*1.5*1.6*1.6*2.2*2.715*2.6*1.4,6020000000*(1.651178^(MIN($E2088,123)-117)))*1,0))</f>
        <v>65985946</v>
      </c>
      <c r="AA2088" s="13">
        <f>$E2088+19</f>
        <v>127</v>
      </c>
      <c r="AB2088" s="14">
        <f>IF($J2088=0,0,ROUND(MAX($J2088*1.4*1.5*1.6*1.6*2.2*2.715*2.6*1.4*1.4,8430000000*(1.651435^(MIN($E2088,123)-117)))*1,0))</f>
        <v>92272909</v>
      </c>
      <c r="AC2088" s="11">
        <f>$E2088+21</f>
        <v>129</v>
      </c>
      <c r="AD2088" s="12">
        <f>IF($J2088=0,0,ROUND(MAX($J2088*1.4*1.5*1.6*1.6*2.2*2.715*2.6*1.4*1.4*1.5,12600000000*(1.652953^(MIN($E2088,123)-117)))*1,0))</f>
        <v>136781071</v>
      </c>
      <c r="AE2088" s="13">
        <f>$E2088+24</f>
        <v>132</v>
      </c>
      <c r="AF2088" s="14">
        <f>IF($J2088=0,0,ROUND(MAX($J2088*1.4*1.5*1.6*1.6*2.2*2.715*2.6*1.4*1.4*1.5*1.5,18900000000*(1.65331^(MIN($E2088,123)-117)))*1,0))</f>
        <v>204773225</v>
      </c>
      <c r="AG2088" s="11">
        <f>$E2088+27</f>
        <v>135</v>
      </c>
      <c r="AH2088" s="12">
        <f>IF($J2088=0,0,ROUND(MAX($J2088*1.4*1.5*1.6*1.6*2.2*2.715*2.6*1.4*1.4*1.5*1.5*3.2,60500000000*(1.654288^(MIN($E2088,123)-117)))*1,0))</f>
        <v>652011566</v>
      </c>
    </row>
    <row r="2089" ht="28" customHeight="1" spans="1:34" x14ac:dyDescent="0.25">
      <c r="A2089">
        <v>2099</v>
      </c>
      <c r="B2089" t="s">
        <v>156</v>
      </c>
      <c r="C2089" s="10" t="s">
        <v>1276</v>
      </c>
      <c r="D2089" t="s">
        <v>45</v>
      </c>
      <c r="E2089">
        <v>108</v>
      </c>
      <c r="F2089" t="s">
        <v>34</v>
      </c>
      <c r="G2089" t="s">
        <v>1277</v>
      </c>
      <c r="H2089">
        <v>24</v>
      </c>
      <c r="I2089" s="11">
        <f>$E2089+0</f>
        <v>108</v>
      </c>
      <c r="J2089" s="12">
        <v>54200</v>
      </c>
      <c r="K2089" s="13">
        <f>$E2089+1</f>
        <v>109</v>
      </c>
      <c r="L2089" s="14">
        <f>IF($J2089=0,0,ROUND(MAX($J2089*1.4,1620000*(1.497923^(MIN($E2089,123)-117)))*1,0))</f>
        <v>75880</v>
      </c>
      <c r="M2089" s="11">
        <f>$E2089+2</f>
        <v>110</v>
      </c>
      <c r="N2089" s="12">
        <f>IF($J2089=0,0,ROUND(MAX($J2089*1.4*1.5,2190000*(1.580994^(MIN($E2089,123)-117)))*1,0))</f>
        <v>113820</v>
      </c>
      <c r="O2089" s="13">
        <f>$E2089+4</f>
        <v>112</v>
      </c>
      <c r="P2089" s="14">
        <f>IF($J2089=0,0,ROUND(MAX($J2089*1.4*1.5*1.6,3500000*(1.57975^(MIN($E2089,123)-117)))*1,0))</f>
        <v>182112</v>
      </c>
      <c r="Q2089" s="11">
        <f>$E2089+6</f>
        <v>114</v>
      </c>
      <c r="R2089" s="12">
        <f>IF($J2089=0,0,ROUND(MAX($J2089*1.4*1.5*1.6*1.6,13100000*(1.429962^(MIN($E2089,123)-117)))*1,0))</f>
        <v>524024</v>
      </c>
      <c r="S2089" s="13">
        <f>$E2089+8</f>
        <v>116</v>
      </c>
      <c r="T2089" s="14">
        <f>IF($J2089=0,0,ROUND(MAX($J2089*1.4*1.5*1.6*1.6*2.2,42600000*(1.576904^(MIN($E2089,123)-117)))*1,0))</f>
        <v>706582</v>
      </c>
      <c r="U2089" s="11">
        <f>$E2089+11</f>
        <v>119</v>
      </c>
      <c r="V2089" s="12">
        <f>IF($J2089=0,0,ROUND(MAX($J2089*1.4*1.5*1.6*1.6*2.2*2.715,354000000*(1.642074^(MIN($E2089,123)-117)))*1,0))</f>
        <v>4078202</v>
      </c>
      <c r="W2089" s="13">
        <f>$E2089+15</f>
        <v>123</v>
      </c>
      <c r="X2089" s="14">
        <f>IF($J2089=0,0,ROUND(MAX($J2089*1.4*1.5*1.6*1.6*2.2*2.715*2.6,3540000000*(1.579646^(MIN($E2089,123)-117)))*1,0))</f>
        <v>57804988</v>
      </c>
      <c r="Y2089" s="11">
        <f>$E2089+17</f>
        <v>125</v>
      </c>
      <c r="Z2089" s="12">
        <f>IF($J2089=0,0,ROUND(MAX($J2089*1.4*1.5*1.6*1.6*2.2*2.715*2.6*1.4,6020000000*(1.651178^(MIN($E2089,123)-117)))*1,0))</f>
        <v>65985946</v>
      </c>
      <c r="AA2089" s="13">
        <f>$E2089+19</f>
        <v>127</v>
      </c>
      <c r="AB2089" s="14">
        <f>IF($J2089=0,0,ROUND(MAX($J2089*1.4*1.5*1.6*1.6*2.2*2.715*2.6*1.4*1.4,8430000000*(1.651435^(MIN($E2089,123)-117)))*1,0))</f>
        <v>92272909</v>
      </c>
      <c r="AC2089" s="11">
        <f>$E2089+21</f>
        <v>129</v>
      </c>
      <c r="AD2089" s="12">
        <f>IF($J2089=0,0,ROUND(MAX($J2089*1.4*1.5*1.6*1.6*2.2*2.715*2.6*1.4*1.4*1.5,12600000000*(1.652953^(MIN($E2089,123)-117)))*1,0))</f>
        <v>136781071</v>
      </c>
      <c r="AE2089" s="13">
        <f>$E2089+24</f>
        <v>132</v>
      </c>
      <c r="AF2089" s="14">
        <f>IF($J2089=0,0,ROUND(MAX($J2089*1.4*1.5*1.6*1.6*2.2*2.715*2.6*1.4*1.4*1.5*1.5,18900000000*(1.65331^(MIN($E2089,123)-117)))*1,0))</f>
        <v>204773225</v>
      </c>
      <c r="AG2089" s="11">
        <f>$E2089+27</f>
        <v>135</v>
      </c>
      <c r="AH2089" s="12">
        <f>IF($J2089=0,0,ROUND(MAX($J2089*1.4*1.5*1.6*1.6*2.2*2.715*2.6*1.4*1.4*1.5*1.5*3.2,60500000000*(1.654288^(MIN($E2089,123)-117)))*1,0))</f>
        <v>652011566</v>
      </c>
    </row>
    <row r="2090" ht="28" customHeight="1" spans="1:34" x14ac:dyDescent="0.25">
      <c r="A2090">
        <v>2100</v>
      </c>
      <c r="B2090" t="s">
        <v>172</v>
      </c>
      <c r="C2090" s="10" t="s">
        <v>1276</v>
      </c>
      <c r="D2090" t="s">
        <v>40</v>
      </c>
      <c r="E2090">
        <v>107</v>
      </c>
      <c r="F2090" t="s">
        <v>26</v>
      </c>
      <c r="G2090" t="s">
        <v>1277</v>
      </c>
      <c r="H2090">
        <v>25</v>
      </c>
      <c r="I2090" s="11">
        <f>$E2090+0</f>
        <v>107</v>
      </c>
      <c r="J2090" s="12">
        <v>22100</v>
      </c>
      <c r="K2090" s="13">
        <f>$E2090+1</f>
        <v>108</v>
      </c>
      <c r="L2090" s="14">
        <f>IF($J2090=0,0,ROUND(MAX($J2090*1.4,1620000*(1.497923^(MIN($E2090,123)-117)))*1,0))</f>
        <v>30940</v>
      </c>
      <c r="M2090" s="11">
        <f>$E2090+2</f>
        <v>109</v>
      </c>
      <c r="N2090" s="12">
        <f>IF($J2090=0,0,ROUND(MAX($J2090*1.4*1.5,2190000*(1.580994^(MIN($E2090,123)-117)))*1,0))</f>
        <v>46410</v>
      </c>
      <c r="O2090" s="13">
        <f>$E2090+4</f>
        <v>111</v>
      </c>
      <c r="P2090" s="14">
        <f>IF($J2090=0,0,ROUND(MAX($J2090*1.4*1.5*1.6,3500000*(1.57975^(MIN($E2090,123)-117)))*1,0))</f>
        <v>74256</v>
      </c>
      <c r="Q2090" s="11">
        <f>$E2090+6</f>
        <v>113</v>
      </c>
      <c r="R2090" s="12">
        <f>IF($J2090=0,0,ROUND(MAX($J2090*1.4*1.5*1.6*1.6,13100000*(1.429962^(MIN($E2090,123)-117)))*1,0))</f>
        <v>366460</v>
      </c>
      <c r="S2090" s="13">
        <f>$E2090+8</f>
        <v>115</v>
      </c>
      <c r="T2090" s="14">
        <f>IF($J2090=0,0,ROUND(MAX($J2090*1.4*1.5*1.6*1.6*2.2,42600000*(1.576904^(MIN($E2090,123)-117)))*1,0))</f>
        <v>448082</v>
      </c>
      <c r="U2090" s="11">
        <f>$E2090+11</f>
        <v>118</v>
      </c>
      <c r="V2090" s="12">
        <f>IF($J2090=0,0,ROUND(MAX($J2090*1.4*1.5*1.6*1.6*2.2*2.715,354000000*(1.642074^(MIN($E2090,123)-117)))*1,0))</f>
        <v>2483568</v>
      </c>
      <c r="W2090" s="13">
        <f>$E2090+15</f>
        <v>122</v>
      </c>
      <c r="X2090" s="14">
        <f>IF($J2090=0,0,ROUND(MAX($J2090*1.4*1.5*1.6*1.6*2.2*2.715*2.6,3540000000*(1.579646^(MIN($E2090,123)-117)))*1,0))</f>
        <v>36593634</v>
      </c>
      <c r="Y2090" s="11">
        <f>$E2090+17</f>
        <v>124</v>
      </c>
      <c r="Z2090" s="12">
        <f>IF($J2090=0,0,ROUND(MAX($J2090*1.4*1.5*1.6*1.6*2.2*2.715*2.6*1.4,6020000000*(1.651178^(MIN($E2090,123)-117)))*1,0))</f>
        <v>39962952</v>
      </c>
      <c r="AA2090" s="13">
        <f>$E2090+19</f>
        <v>126</v>
      </c>
      <c r="AB2090" s="14">
        <f>IF($J2090=0,0,ROUND(MAX($J2090*1.4*1.5*1.6*1.6*2.2*2.715*2.6*1.4*1.4,8430000000*(1.651435^(MIN($E2090,123)-117)))*1,0))</f>
        <v>55874381</v>
      </c>
      <c r="AC2090" s="11">
        <f>$E2090+21</f>
        <v>128</v>
      </c>
      <c r="AD2090" s="12">
        <f>IF($J2090=0,0,ROUND(MAX($J2090*1.4*1.5*1.6*1.6*2.2*2.715*2.6*1.4*1.4*1.5,12600000000*(1.652953^(MIN($E2090,123)-117)))*1,0))</f>
        <v>82749522</v>
      </c>
      <c r="AE2090" s="13">
        <f>$E2090+24</f>
        <v>131</v>
      </c>
      <c r="AF2090" s="14">
        <f>IF($J2090=0,0,ROUND(MAX($J2090*1.4*1.5*1.6*1.6*2.2*2.715*2.6*1.4*1.4*1.5*1.5,18900000000*(1.65331^(MIN($E2090,123)-117)))*1,0))</f>
        <v>123856521</v>
      </c>
      <c r="AG2090" s="11">
        <f>$E2090+27</f>
        <v>134</v>
      </c>
      <c r="AH2090" s="12">
        <f>IF($J2090=0,0,ROUND(MAX($J2090*1.4*1.5*1.6*1.6*2.2*2.715*2.6*1.4*1.4*1.5*1.5*3.2,60500000000*(1.654288^(MIN($E2090,123)-117)))*1,0))</f>
        <v>394134254</v>
      </c>
    </row>
    <row r="2091" ht="28" customHeight="1" spans="1:34" x14ac:dyDescent="0.25">
      <c r="A2091">
        <v>2101</v>
      </c>
      <c r="B2091" t="s">
        <v>148</v>
      </c>
      <c r="C2091" s="10" t="s">
        <v>1276</v>
      </c>
      <c r="D2091" t="s">
        <v>102</v>
      </c>
      <c r="E2091">
        <v>107</v>
      </c>
      <c r="F2091" t="s">
        <v>54</v>
      </c>
      <c r="G2091" t="s">
        <v>1277</v>
      </c>
      <c r="H2091">
        <v>25</v>
      </c>
      <c r="I2091" s="11">
        <f>$E2091+0</f>
        <v>107</v>
      </c>
      <c r="J2091" s="12">
        <v>29400</v>
      </c>
      <c r="K2091" s="13">
        <f>$E2091+1</f>
        <v>108</v>
      </c>
      <c r="L2091" s="14">
        <f>IF($J2091=0,0,ROUND(MAX($J2091*1.4,1620000*(1.497923^(MIN($E2091,123)-117)))*1,0))</f>
        <v>41160</v>
      </c>
      <c r="M2091" s="11">
        <f>$E2091+2</f>
        <v>109</v>
      </c>
      <c r="N2091" s="12">
        <f>IF($J2091=0,0,ROUND(MAX($J2091*1.4*1.5,2190000*(1.580994^(MIN($E2091,123)-117)))*1,0))</f>
        <v>61740</v>
      </c>
      <c r="O2091" s="13">
        <f>$E2091+4</f>
        <v>111</v>
      </c>
      <c r="P2091" s="14">
        <f>IF($J2091=0,0,ROUND(MAX($J2091*1.4*1.5*1.6,3500000*(1.57975^(MIN($E2091,123)-117)))*1,0))</f>
        <v>98784</v>
      </c>
      <c r="Q2091" s="11">
        <f>$E2091+6</f>
        <v>113</v>
      </c>
      <c r="R2091" s="12">
        <f>IF($J2091=0,0,ROUND(MAX($J2091*1.4*1.5*1.6*1.6,13100000*(1.429962^(MIN($E2091,123)-117)))*1,0))</f>
        <v>366460</v>
      </c>
      <c r="S2091" s="13">
        <f>$E2091+8</f>
        <v>115</v>
      </c>
      <c r="T2091" s="14">
        <f>IF($J2091=0,0,ROUND(MAX($J2091*1.4*1.5*1.6*1.6*2.2,42600000*(1.576904^(MIN($E2091,123)-117)))*1,0))</f>
        <v>448082</v>
      </c>
      <c r="U2091" s="11">
        <f>$E2091+11</f>
        <v>118</v>
      </c>
      <c r="V2091" s="12">
        <f>IF($J2091=0,0,ROUND(MAX($J2091*1.4*1.5*1.6*1.6*2.2*2.715,354000000*(1.642074^(MIN($E2091,123)-117)))*1,0))</f>
        <v>2483568</v>
      </c>
      <c r="W2091" s="13">
        <f>$E2091+15</f>
        <v>122</v>
      </c>
      <c r="X2091" s="14">
        <f>IF($J2091=0,0,ROUND(MAX($J2091*1.4*1.5*1.6*1.6*2.2*2.715*2.6,3540000000*(1.579646^(MIN($E2091,123)-117)))*1,0))</f>
        <v>36593634</v>
      </c>
      <c r="Y2091" s="11">
        <f>$E2091+17</f>
        <v>124</v>
      </c>
      <c r="Z2091" s="12">
        <f>IF($J2091=0,0,ROUND(MAX($J2091*1.4*1.5*1.6*1.6*2.2*2.715*2.6*1.4,6020000000*(1.651178^(MIN($E2091,123)-117)))*1,0))</f>
        <v>39962952</v>
      </c>
      <c r="AA2091" s="13">
        <f>$E2091+19</f>
        <v>126</v>
      </c>
      <c r="AB2091" s="14">
        <f>IF($J2091=0,0,ROUND(MAX($J2091*1.4*1.5*1.6*1.6*2.2*2.715*2.6*1.4*1.4,8430000000*(1.651435^(MIN($E2091,123)-117)))*1,0))</f>
        <v>55874381</v>
      </c>
      <c r="AC2091" s="11">
        <f>$E2091+21</f>
        <v>128</v>
      </c>
      <c r="AD2091" s="12">
        <f>IF($J2091=0,0,ROUND(MAX($J2091*1.4*1.5*1.6*1.6*2.2*2.715*2.6*1.4*1.4*1.5,12600000000*(1.652953^(MIN($E2091,123)-117)))*1,0))</f>
        <v>82749522</v>
      </c>
      <c r="AE2091" s="13">
        <f>$E2091+24</f>
        <v>131</v>
      </c>
      <c r="AF2091" s="14">
        <f>IF($J2091=0,0,ROUND(MAX($J2091*1.4*1.5*1.6*1.6*2.2*2.715*2.6*1.4*1.4*1.5*1.5,18900000000*(1.65331^(MIN($E2091,123)-117)))*1,0))</f>
        <v>123856521</v>
      </c>
      <c r="AG2091" s="11">
        <f>$E2091+27</f>
        <v>134</v>
      </c>
      <c r="AH2091" s="12">
        <f>IF($J2091=0,0,ROUND(MAX($J2091*1.4*1.5*1.6*1.6*2.2*2.715*2.6*1.4*1.4*1.5*1.5*3.2,60500000000*(1.654288^(MIN($E2091,123)-117)))*1,0))</f>
        <v>394134254</v>
      </c>
    </row>
    <row r="2092" ht="28" customHeight="1" spans="1:34" x14ac:dyDescent="0.25">
      <c r="A2092">
        <v>2102</v>
      </c>
      <c r="B2092" t="s">
        <v>162</v>
      </c>
      <c r="C2092" s="10" t="s">
        <v>1276</v>
      </c>
      <c r="D2092" t="s">
        <v>33</v>
      </c>
      <c r="E2092">
        <v>107</v>
      </c>
      <c r="F2092" t="s">
        <v>71</v>
      </c>
      <c r="G2092" t="s">
        <v>1277</v>
      </c>
      <c r="H2092">
        <v>24</v>
      </c>
      <c r="I2092" s="11">
        <f>$E2092+0</f>
        <v>107</v>
      </c>
      <c r="J2092" s="12">
        <v>27700</v>
      </c>
      <c r="K2092" s="13">
        <f>$E2092+1</f>
        <v>108</v>
      </c>
      <c r="L2092" s="14">
        <f>IF($J2092=0,0,ROUND(MAX($J2092*1.4,1620000*(1.497923^(MIN($E2092,123)-117)))*1,0))</f>
        <v>38780</v>
      </c>
      <c r="M2092" s="11">
        <f>$E2092+2</f>
        <v>109</v>
      </c>
      <c r="N2092" s="12">
        <f>IF($J2092=0,0,ROUND(MAX($J2092*1.4*1.5,2190000*(1.580994^(MIN($E2092,123)-117)))*1,0))</f>
        <v>58170</v>
      </c>
      <c r="O2092" s="13">
        <f>$E2092+4</f>
        <v>111</v>
      </c>
      <c r="P2092" s="14">
        <f>IF($J2092=0,0,ROUND(MAX($J2092*1.4*1.5*1.6,3500000*(1.57975^(MIN($E2092,123)-117)))*1,0))</f>
        <v>93072</v>
      </c>
      <c r="Q2092" s="11">
        <f>$E2092+6</f>
        <v>113</v>
      </c>
      <c r="R2092" s="12">
        <f>IF($J2092=0,0,ROUND(MAX($J2092*1.4*1.5*1.6*1.6,13100000*(1.429962^(MIN($E2092,123)-117)))*1,0))</f>
        <v>366460</v>
      </c>
      <c r="S2092" s="13">
        <f>$E2092+8</f>
        <v>115</v>
      </c>
      <c r="T2092" s="14">
        <f>IF($J2092=0,0,ROUND(MAX($J2092*1.4*1.5*1.6*1.6*2.2,42600000*(1.576904^(MIN($E2092,123)-117)))*1,0))</f>
        <v>448082</v>
      </c>
      <c r="U2092" s="11">
        <f>$E2092+11</f>
        <v>118</v>
      </c>
      <c r="V2092" s="12">
        <f>IF($J2092=0,0,ROUND(MAX($J2092*1.4*1.5*1.6*1.6*2.2*2.715,354000000*(1.642074^(MIN($E2092,123)-117)))*1,0))</f>
        <v>2483568</v>
      </c>
      <c r="W2092" s="13">
        <f>$E2092+15</f>
        <v>122</v>
      </c>
      <c r="X2092" s="14">
        <f>IF($J2092=0,0,ROUND(MAX($J2092*1.4*1.5*1.6*1.6*2.2*2.715*2.6,3540000000*(1.579646^(MIN($E2092,123)-117)))*1,0))</f>
        <v>36593634</v>
      </c>
      <c r="Y2092" s="11">
        <f>$E2092+17</f>
        <v>124</v>
      </c>
      <c r="Z2092" s="12">
        <f>IF($J2092=0,0,ROUND(MAX($J2092*1.4*1.5*1.6*1.6*2.2*2.715*2.6*1.4,6020000000*(1.651178^(MIN($E2092,123)-117)))*1,0))</f>
        <v>39962952</v>
      </c>
      <c r="AA2092" s="13">
        <f>$E2092+19</f>
        <v>126</v>
      </c>
      <c r="AB2092" s="14">
        <f>IF($J2092=0,0,ROUND(MAX($J2092*1.4*1.5*1.6*1.6*2.2*2.715*2.6*1.4*1.4,8430000000*(1.651435^(MIN($E2092,123)-117)))*1,0))</f>
        <v>55874381</v>
      </c>
      <c r="AC2092" s="11">
        <f>$E2092+21</f>
        <v>128</v>
      </c>
      <c r="AD2092" s="12">
        <f>IF($J2092=0,0,ROUND(MAX($J2092*1.4*1.5*1.6*1.6*2.2*2.715*2.6*1.4*1.4*1.5,12600000000*(1.652953^(MIN($E2092,123)-117)))*1,0))</f>
        <v>82749522</v>
      </c>
      <c r="AE2092" s="13">
        <f>$E2092+24</f>
        <v>131</v>
      </c>
      <c r="AF2092" s="14">
        <f>IF($J2092=0,0,ROUND(MAX($J2092*1.4*1.5*1.6*1.6*2.2*2.715*2.6*1.4*1.4*1.5*1.5,18900000000*(1.65331^(MIN($E2092,123)-117)))*1,0))</f>
        <v>123856521</v>
      </c>
      <c r="AG2092" s="11">
        <f>$E2092+27</f>
        <v>134</v>
      </c>
      <c r="AH2092" s="12">
        <f>IF($J2092=0,0,ROUND(MAX($J2092*1.4*1.5*1.6*1.6*2.2*2.715*2.6*1.4*1.4*1.5*1.5*3.2,60500000000*(1.654288^(MIN($E2092,123)-117)))*1,0))</f>
        <v>394134254</v>
      </c>
    </row>
    <row r="2093" ht="28" customHeight="1" spans="1:34" x14ac:dyDescent="0.25">
      <c r="A2093">
        <v>2103</v>
      </c>
      <c r="B2093" t="s">
        <v>596</v>
      </c>
      <c r="C2093" s="10" t="s">
        <v>1276</v>
      </c>
      <c r="D2093" t="s">
        <v>33</v>
      </c>
      <c r="E2093">
        <v>107</v>
      </c>
      <c r="F2093" t="s">
        <v>26</v>
      </c>
      <c r="G2093" t="s">
        <v>1277</v>
      </c>
      <c r="H2093">
        <v>24</v>
      </c>
      <c r="I2093" s="11">
        <f>$E2093+0</f>
        <v>107</v>
      </c>
      <c r="J2093" s="12">
        <v>17500</v>
      </c>
      <c r="K2093" s="13">
        <f>$E2093+1</f>
        <v>108</v>
      </c>
      <c r="L2093" s="14">
        <f>IF($J2093=0,0,ROUND(MAX($J2093*1.4,1620000*(1.497923^(MIN($E2093,123)-117)))*1,0))</f>
        <v>28485</v>
      </c>
      <c r="M2093" s="11">
        <f>$E2093+2</f>
        <v>109</v>
      </c>
      <c r="N2093" s="12">
        <f>IF($J2093=0,0,ROUND(MAX($J2093*1.4*1.5,2190000*(1.580994^(MIN($E2093,123)-117)))*1,0))</f>
        <v>36750</v>
      </c>
      <c r="O2093" s="13">
        <f>$E2093+4</f>
        <v>111</v>
      </c>
      <c r="P2093" s="14">
        <f>IF($J2093=0,0,ROUND(MAX($J2093*1.4*1.5*1.6,3500000*(1.57975^(MIN($E2093,123)-117)))*1,0))</f>
        <v>58800</v>
      </c>
      <c r="Q2093" s="11">
        <f>$E2093+6</f>
        <v>113</v>
      </c>
      <c r="R2093" s="12">
        <f>IF($J2093=0,0,ROUND(MAX($J2093*1.4*1.5*1.6*1.6,13100000*(1.429962^(MIN($E2093,123)-117)))*1,0))</f>
        <v>366460</v>
      </c>
      <c r="S2093" s="13">
        <f>$E2093+8</f>
        <v>115</v>
      </c>
      <c r="T2093" s="14">
        <f>IF($J2093=0,0,ROUND(MAX($J2093*1.4*1.5*1.6*1.6*2.2,42600000*(1.576904^(MIN($E2093,123)-117)))*1,0))</f>
        <v>448082</v>
      </c>
      <c r="U2093" s="11">
        <f>$E2093+11</f>
        <v>118</v>
      </c>
      <c r="V2093" s="12">
        <f>IF($J2093=0,0,ROUND(MAX($J2093*1.4*1.5*1.6*1.6*2.2*2.715,354000000*(1.642074^(MIN($E2093,123)-117)))*1,0))</f>
        <v>2483568</v>
      </c>
      <c r="W2093" s="13">
        <f>$E2093+15</f>
        <v>122</v>
      </c>
      <c r="X2093" s="14">
        <f>IF($J2093=0,0,ROUND(MAX($J2093*1.4*1.5*1.6*1.6*2.2*2.715*2.6,3540000000*(1.579646^(MIN($E2093,123)-117)))*1,0))</f>
        <v>36593634</v>
      </c>
      <c r="Y2093" s="11">
        <f>$E2093+17</f>
        <v>124</v>
      </c>
      <c r="Z2093" s="12">
        <f>IF($J2093=0,0,ROUND(MAX($J2093*1.4*1.5*1.6*1.6*2.2*2.715*2.6*1.4,6020000000*(1.651178^(MIN($E2093,123)-117)))*1,0))</f>
        <v>39962952</v>
      </c>
      <c r="AA2093" s="13">
        <f>$E2093+19</f>
        <v>126</v>
      </c>
      <c r="AB2093" s="14">
        <f>IF($J2093=0,0,ROUND(MAX($J2093*1.4*1.5*1.6*1.6*2.2*2.715*2.6*1.4*1.4,8430000000*(1.651435^(MIN($E2093,123)-117)))*1,0))</f>
        <v>55874381</v>
      </c>
      <c r="AC2093" s="11">
        <f>$E2093+21</f>
        <v>128</v>
      </c>
      <c r="AD2093" s="12">
        <f>IF($J2093=0,0,ROUND(MAX($J2093*1.4*1.5*1.6*1.6*2.2*2.715*2.6*1.4*1.4*1.5,12600000000*(1.652953^(MIN($E2093,123)-117)))*1,0))</f>
        <v>82749522</v>
      </c>
      <c r="AE2093" s="13">
        <f>$E2093+24</f>
        <v>131</v>
      </c>
      <c r="AF2093" s="14">
        <f>IF($J2093=0,0,ROUND(MAX($J2093*1.4*1.5*1.6*1.6*2.2*2.715*2.6*1.4*1.4*1.5*1.5,18900000000*(1.65331^(MIN($E2093,123)-117)))*1,0))</f>
        <v>123856521</v>
      </c>
      <c r="AG2093" s="11">
        <f>$E2093+27</f>
        <v>134</v>
      </c>
      <c r="AH2093" s="12">
        <f>IF($J2093=0,0,ROUND(MAX($J2093*1.4*1.5*1.6*1.6*2.2*2.715*2.6*1.4*1.4*1.5*1.5*3.2,60500000000*(1.654288^(MIN($E2093,123)-117)))*1,0))</f>
        <v>394134254</v>
      </c>
    </row>
    <row r="2094" ht="28" customHeight="1" spans="1:34" x14ac:dyDescent="0.25">
      <c r="A2094">
        <v>2104</v>
      </c>
      <c r="B2094" t="s">
        <v>178</v>
      </c>
      <c r="C2094" s="10" t="s">
        <v>1276</v>
      </c>
      <c r="D2094" t="s">
        <v>33</v>
      </c>
      <c r="E2094">
        <v>107</v>
      </c>
      <c r="F2094" t="s">
        <v>179</v>
      </c>
      <c r="G2094" t="s">
        <v>1277</v>
      </c>
      <c r="H2094">
        <v>24</v>
      </c>
      <c r="I2094" s="11">
        <f>$E2094+0</f>
        <v>107</v>
      </c>
      <c r="J2094" s="12">
        <v>45000</v>
      </c>
      <c r="K2094" s="13">
        <f>$E2094+1</f>
        <v>108</v>
      </c>
      <c r="L2094" s="14">
        <f>IF($J2094=0,0,ROUND(MAX($J2094*1.4,1620000*(1.497923^(MIN($E2094,123)-117)))*1,0))</f>
        <v>63000</v>
      </c>
      <c r="M2094" s="11">
        <f>$E2094+2</f>
        <v>109</v>
      </c>
      <c r="N2094" s="12">
        <f>IF($J2094=0,0,ROUND(MAX($J2094*1.4*1.5,2190000*(1.580994^(MIN($E2094,123)-117)))*1,0))</f>
        <v>94500</v>
      </c>
      <c r="O2094" s="13">
        <f>$E2094+4</f>
        <v>111</v>
      </c>
      <c r="P2094" s="14">
        <f>IF($J2094=0,0,ROUND(MAX($J2094*1.4*1.5*1.6,3500000*(1.57975^(MIN($E2094,123)-117)))*1,0))</f>
        <v>151200</v>
      </c>
      <c r="Q2094" s="11">
        <f>$E2094+6</f>
        <v>113</v>
      </c>
      <c r="R2094" s="12">
        <f>IF($J2094=0,0,ROUND(MAX($J2094*1.4*1.5*1.6*1.6,13100000*(1.429962^(MIN($E2094,123)-117)))*1,0))</f>
        <v>366460</v>
      </c>
      <c r="S2094" s="13">
        <f>$E2094+8</f>
        <v>115</v>
      </c>
      <c r="T2094" s="14">
        <f>IF($J2094=0,0,ROUND(MAX($J2094*1.4*1.5*1.6*1.6*2.2,42600000*(1.576904^(MIN($E2094,123)-117)))*1,0))</f>
        <v>532224</v>
      </c>
      <c r="U2094" s="11">
        <f>$E2094+11</f>
        <v>118</v>
      </c>
      <c r="V2094" s="12">
        <f>IF($J2094=0,0,ROUND(MAX($J2094*1.4*1.5*1.6*1.6*2.2*2.715,354000000*(1.642074^(MIN($E2094,123)-117)))*1,0))</f>
        <v>2483568</v>
      </c>
      <c r="W2094" s="13">
        <f>$E2094+15</f>
        <v>122</v>
      </c>
      <c r="X2094" s="14">
        <f>IF($J2094=0,0,ROUND(MAX($J2094*1.4*1.5*1.6*1.6*2.2*2.715*2.6,3540000000*(1.579646^(MIN($E2094,123)-117)))*1,0))</f>
        <v>36593634</v>
      </c>
      <c r="Y2094" s="11">
        <f>$E2094+17</f>
        <v>124</v>
      </c>
      <c r="Z2094" s="12">
        <f>IF($J2094=0,0,ROUND(MAX($J2094*1.4*1.5*1.6*1.6*2.2*2.715*2.6*1.4,6020000000*(1.651178^(MIN($E2094,123)-117)))*1,0))</f>
        <v>39962952</v>
      </c>
      <c r="AA2094" s="13">
        <f>$E2094+19</f>
        <v>126</v>
      </c>
      <c r="AB2094" s="14">
        <f>IF($J2094=0,0,ROUND(MAX($J2094*1.4*1.5*1.6*1.6*2.2*2.715*2.6*1.4*1.4,8430000000*(1.651435^(MIN($E2094,123)-117)))*1,0))</f>
        <v>55874381</v>
      </c>
      <c r="AC2094" s="11">
        <f>$E2094+21</f>
        <v>128</v>
      </c>
      <c r="AD2094" s="12">
        <f>IF($J2094=0,0,ROUND(MAX($J2094*1.4*1.5*1.6*1.6*2.2*2.715*2.6*1.4*1.4*1.5,12600000000*(1.652953^(MIN($E2094,123)-117)))*1,0))</f>
        <v>82749522</v>
      </c>
      <c r="AE2094" s="13">
        <f>$E2094+24</f>
        <v>131</v>
      </c>
      <c r="AF2094" s="14">
        <f>IF($J2094=0,0,ROUND(MAX($J2094*1.4*1.5*1.6*1.6*2.2*2.715*2.6*1.4*1.4*1.5*1.5,18900000000*(1.65331^(MIN($E2094,123)-117)))*1,0))</f>
        <v>123856521</v>
      </c>
      <c r="AG2094" s="11">
        <f>$E2094+27</f>
        <v>134</v>
      </c>
      <c r="AH2094" s="12">
        <f>IF($J2094=0,0,ROUND(MAX($J2094*1.4*1.5*1.6*1.6*2.2*2.715*2.6*1.4*1.4*1.5*1.5*3.2,60500000000*(1.654288^(MIN($E2094,123)-117)))*1,0))</f>
        <v>394134254</v>
      </c>
    </row>
    <row r="2095" ht="28" customHeight="1" spans="1:34" x14ac:dyDescent="0.25">
      <c r="A2095">
        <v>2105</v>
      </c>
      <c r="B2095" t="s">
        <v>483</v>
      </c>
      <c r="C2095" s="10" t="s">
        <v>1276</v>
      </c>
      <c r="D2095" t="s">
        <v>33</v>
      </c>
      <c r="E2095">
        <v>107</v>
      </c>
      <c r="F2095" t="s">
        <v>30</v>
      </c>
      <c r="G2095" t="s">
        <v>1277</v>
      </c>
      <c r="H2095">
        <v>24</v>
      </c>
      <c r="I2095" s="11">
        <f>$E2095+0</f>
        <v>107</v>
      </c>
      <c r="J2095" s="12">
        <v>44300</v>
      </c>
      <c r="K2095" s="13">
        <f>$E2095+1</f>
        <v>108</v>
      </c>
      <c r="L2095" s="14">
        <f>IF($J2095=0,0,ROUND(MAX($J2095*1.4,1620000*(1.497923^(MIN($E2095,123)-117)))*1,0))</f>
        <v>62020</v>
      </c>
      <c r="M2095" s="11">
        <f>$E2095+2</f>
        <v>109</v>
      </c>
      <c r="N2095" s="12">
        <f>IF($J2095=0,0,ROUND(MAX($J2095*1.4*1.5,2190000*(1.580994^(MIN($E2095,123)-117)))*1,0))</f>
        <v>93030</v>
      </c>
      <c r="O2095" s="13">
        <f>$E2095+4</f>
        <v>111</v>
      </c>
      <c r="P2095" s="14">
        <f>IF($J2095=0,0,ROUND(MAX($J2095*1.4*1.5*1.6,3500000*(1.57975^(MIN($E2095,123)-117)))*1,0))</f>
        <v>148848</v>
      </c>
      <c r="Q2095" s="11">
        <f>$E2095+6</f>
        <v>113</v>
      </c>
      <c r="R2095" s="12">
        <f>IF($J2095=0,0,ROUND(MAX($J2095*1.4*1.5*1.6*1.6,13100000*(1.429962^(MIN($E2095,123)-117)))*1,0))</f>
        <v>366460</v>
      </c>
      <c r="S2095" s="13">
        <f>$E2095+8</f>
        <v>115</v>
      </c>
      <c r="T2095" s="14">
        <f>IF($J2095=0,0,ROUND(MAX($J2095*1.4*1.5*1.6*1.6*2.2,42600000*(1.576904^(MIN($E2095,123)-117)))*1,0))</f>
        <v>523945</v>
      </c>
      <c r="U2095" s="11">
        <f>$E2095+11</f>
        <v>118</v>
      </c>
      <c r="V2095" s="12">
        <f>IF($J2095=0,0,ROUND(MAX($J2095*1.4*1.5*1.6*1.6*2.2*2.715,354000000*(1.642074^(MIN($E2095,123)-117)))*1,0))</f>
        <v>2483568</v>
      </c>
      <c r="W2095" s="13">
        <f>$E2095+15</f>
        <v>122</v>
      </c>
      <c r="X2095" s="14">
        <f>IF($J2095=0,0,ROUND(MAX($J2095*1.4*1.5*1.6*1.6*2.2*2.715*2.6,3540000000*(1.579646^(MIN($E2095,123)-117)))*1,0))</f>
        <v>36593634</v>
      </c>
      <c r="Y2095" s="11">
        <f>$E2095+17</f>
        <v>124</v>
      </c>
      <c r="Z2095" s="12">
        <f>IF($J2095=0,0,ROUND(MAX($J2095*1.4*1.5*1.6*1.6*2.2*2.715*2.6*1.4,6020000000*(1.651178^(MIN($E2095,123)-117)))*1,0))</f>
        <v>39962952</v>
      </c>
      <c r="AA2095" s="13">
        <f>$E2095+19</f>
        <v>126</v>
      </c>
      <c r="AB2095" s="14">
        <f>IF($J2095=0,0,ROUND(MAX($J2095*1.4*1.5*1.6*1.6*2.2*2.715*2.6*1.4*1.4,8430000000*(1.651435^(MIN($E2095,123)-117)))*1,0))</f>
        <v>55874381</v>
      </c>
      <c r="AC2095" s="11">
        <f>$E2095+21</f>
        <v>128</v>
      </c>
      <c r="AD2095" s="12">
        <f>IF($J2095=0,0,ROUND(MAX($J2095*1.4*1.5*1.6*1.6*2.2*2.715*2.6*1.4*1.4*1.5,12600000000*(1.652953^(MIN($E2095,123)-117)))*1,0))</f>
        <v>82749522</v>
      </c>
      <c r="AE2095" s="13">
        <f>$E2095+24</f>
        <v>131</v>
      </c>
      <c r="AF2095" s="14">
        <f>IF($J2095=0,0,ROUND(MAX($J2095*1.4*1.5*1.6*1.6*2.2*2.715*2.6*1.4*1.4*1.5*1.5,18900000000*(1.65331^(MIN($E2095,123)-117)))*1,0))</f>
        <v>123856521</v>
      </c>
      <c r="AG2095" s="11">
        <f>$E2095+27</f>
        <v>134</v>
      </c>
      <c r="AH2095" s="12">
        <f>IF($J2095=0,0,ROUND(MAX($J2095*1.4*1.5*1.6*1.6*2.2*2.715*2.6*1.4*1.4*1.5*1.5*3.2,60500000000*(1.654288^(MIN($E2095,123)-117)))*1,0))</f>
        <v>394134254</v>
      </c>
    </row>
    <row r="2096" ht="28" customHeight="1" spans="1:34" x14ac:dyDescent="0.25">
      <c r="A2096">
        <v>2106</v>
      </c>
      <c r="B2096" t="s">
        <v>191</v>
      </c>
      <c r="C2096" s="10" t="s">
        <v>1276</v>
      </c>
      <c r="D2096" t="s">
        <v>40</v>
      </c>
      <c r="E2096">
        <v>107</v>
      </c>
      <c r="F2096" t="s">
        <v>120</v>
      </c>
      <c r="G2096" t="s">
        <v>1277</v>
      </c>
      <c r="H2096">
        <v>24</v>
      </c>
      <c r="I2096" s="11">
        <f>$E2096+0</f>
        <v>107</v>
      </c>
      <c r="J2096" s="12">
        <v>29800</v>
      </c>
      <c r="K2096" s="13">
        <f>$E2096+1</f>
        <v>108</v>
      </c>
      <c r="L2096" s="14">
        <f>IF($J2096=0,0,ROUND(MAX($J2096*1.4,1620000*(1.497923^(MIN($E2096,123)-117)))*1,0))</f>
        <v>41720</v>
      </c>
      <c r="M2096" s="11">
        <f>$E2096+2</f>
        <v>109</v>
      </c>
      <c r="N2096" s="12">
        <f>IF($J2096=0,0,ROUND(MAX($J2096*1.4*1.5,2190000*(1.580994^(MIN($E2096,123)-117)))*1,0))</f>
        <v>62580</v>
      </c>
      <c r="O2096" s="13">
        <f>$E2096+4</f>
        <v>111</v>
      </c>
      <c r="P2096" s="14">
        <f>IF($J2096=0,0,ROUND(MAX($J2096*1.4*1.5*1.6,3500000*(1.57975^(MIN($E2096,123)-117)))*1,0))</f>
        <v>100128</v>
      </c>
      <c r="Q2096" s="11">
        <f>$E2096+6</f>
        <v>113</v>
      </c>
      <c r="R2096" s="12">
        <f>IF($J2096=0,0,ROUND(MAX($J2096*1.4*1.5*1.6*1.6,13100000*(1.429962^(MIN($E2096,123)-117)))*1,0))</f>
        <v>366460</v>
      </c>
      <c r="S2096" s="13">
        <f>$E2096+8</f>
        <v>115</v>
      </c>
      <c r="T2096" s="14">
        <f>IF($J2096=0,0,ROUND(MAX($J2096*1.4*1.5*1.6*1.6*2.2,42600000*(1.576904^(MIN($E2096,123)-117)))*1,0))</f>
        <v>448082</v>
      </c>
      <c r="U2096" s="11">
        <f>$E2096+11</f>
        <v>118</v>
      </c>
      <c r="V2096" s="12">
        <f>IF($J2096=0,0,ROUND(MAX($J2096*1.4*1.5*1.6*1.6*2.2*2.715,354000000*(1.642074^(MIN($E2096,123)-117)))*1,0))</f>
        <v>2483568</v>
      </c>
      <c r="W2096" s="13">
        <f>$E2096+15</f>
        <v>122</v>
      </c>
      <c r="X2096" s="14">
        <f>IF($J2096=0,0,ROUND(MAX($J2096*1.4*1.5*1.6*1.6*2.2*2.715*2.6,3540000000*(1.579646^(MIN($E2096,123)-117)))*1,0))</f>
        <v>36593634</v>
      </c>
      <c r="Y2096" s="11">
        <f>$E2096+17</f>
        <v>124</v>
      </c>
      <c r="Z2096" s="12">
        <f>IF($J2096=0,0,ROUND(MAX($J2096*1.4*1.5*1.6*1.6*2.2*2.715*2.6*1.4,6020000000*(1.651178^(MIN($E2096,123)-117)))*1,0))</f>
        <v>39962952</v>
      </c>
      <c r="AA2096" s="13">
        <f>$E2096+19</f>
        <v>126</v>
      </c>
      <c r="AB2096" s="14">
        <f>IF($J2096=0,0,ROUND(MAX($J2096*1.4*1.5*1.6*1.6*2.2*2.715*2.6*1.4*1.4,8430000000*(1.651435^(MIN($E2096,123)-117)))*1,0))</f>
        <v>55874381</v>
      </c>
      <c r="AC2096" s="11">
        <f>$E2096+21</f>
        <v>128</v>
      </c>
      <c r="AD2096" s="12">
        <f>IF($J2096=0,0,ROUND(MAX($J2096*1.4*1.5*1.6*1.6*2.2*2.715*2.6*1.4*1.4*1.5,12600000000*(1.652953^(MIN($E2096,123)-117)))*1,0))</f>
        <v>82749522</v>
      </c>
      <c r="AE2096" s="13">
        <f>$E2096+24</f>
        <v>131</v>
      </c>
      <c r="AF2096" s="14">
        <f>IF($J2096=0,0,ROUND(MAX($J2096*1.4*1.5*1.6*1.6*2.2*2.715*2.6*1.4*1.4*1.5*1.5,18900000000*(1.65331^(MIN($E2096,123)-117)))*1,0))</f>
        <v>123856521</v>
      </c>
      <c r="AG2096" s="11">
        <f>$E2096+27</f>
        <v>134</v>
      </c>
      <c r="AH2096" s="12">
        <f>IF($J2096=0,0,ROUND(MAX($J2096*1.4*1.5*1.6*1.6*2.2*2.715*2.6*1.4*1.4*1.5*1.5*3.2,60500000000*(1.654288^(MIN($E2096,123)-117)))*1,0))</f>
        <v>394134254</v>
      </c>
    </row>
    <row r="2097" ht="28" customHeight="1" spans="1:34" x14ac:dyDescent="0.25">
      <c r="A2097">
        <v>2107</v>
      </c>
      <c r="B2097" t="s">
        <v>208</v>
      </c>
      <c r="C2097" s="10" t="s">
        <v>1276</v>
      </c>
      <c r="D2097" t="s">
        <v>25</v>
      </c>
      <c r="E2097">
        <v>107</v>
      </c>
      <c r="F2097" t="s">
        <v>26</v>
      </c>
      <c r="G2097" t="s">
        <v>1277</v>
      </c>
      <c r="H2097">
        <v>24</v>
      </c>
      <c r="I2097" s="11">
        <f>$E2097+0</f>
        <v>107</v>
      </c>
      <c r="J2097" s="12">
        <v>31900</v>
      </c>
      <c r="K2097" s="13">
        <f>$E2097+1</f>
        <v>108</v>
      </c>
      <c r="L2097" s="14">
        <f>IF($J2097=0,0,ROUND(MAX($J2097*1.4,1620000*(1.497923^(MIN($E2097,123)-117)))*1,0))</f>
        <v>44660</v>
      </c>
      <c r="M2097" s="11">
        <f>$E2097+2</f>
        <v>109</v>
      </c>
      <c r="N2097" s="12">
        <f>IF($J2097=0,0,ROUND(MAX($J2097*1.4*1.5,2190000*(1.580994^(MIN($E2097,123)-117)))*1,0))</f>
        <v>66990</v>
      </c>
      <c r="O2097" s="13">
        <f>$E2097+4</f>
        <v>111</v>
      </c>
      <c r="P2097" s="14">
        <f>IF($J2097=0,0,ROUND(MAX($J2097*1.4*1.5*1.6,3500000*(1.57975^(MIN($E2097,123)-117)))*1,0))</f>
        <v>107184</v>
      </c>
      <c r="Q2097" s="11">
        <f>$E2097+6</f>
        <v>113</v>
      </c>
      <c r="R2097" s="12">
        <f>IF($J2097=0,0,ROUND(MAX($J2097*1.4*1.5*1.6*1.6,13100000*(1.429962^(MIN($E2097,123)-117)))*1,0))</f>
        <v>366460</v>
      </c>
      <c r="S2097" s="13">
        <f>$E2097+8</f>
        <v>115</v>
      </c>
      <c r="T2097" s="14">
        <f>IF($J2097=0,0,ROUND(MAX($J2097*1.4*1.5*1.6*1.6*2.2,42600000*(1.576904^(MIN($E2097,123)-117)))*1,0))</f>
        <v>448082</v>
      </c>
      <c r="U2097" s="11">
        <f>$E2097+11</f>
        <v>118</v>
      </c>
      <c r="V2097" s="12">
        <f>IF($J2097=0,0,ROUND(MAX($J2097*1.4*1.5*1.6*1.6*2.2*2.715,354000000*(1.642074^(MIN($E2097,123)-117)))*1,0))</f>
        <v>2483568</v>
      </c>
      <c r="W2097" s="13">
        <f>$E2097+15</f>
        <v>122</v>
      </c>
      <c r="X2097" s="14">
        <f>IF($J2097=0,0,ROUND(MAX($J2097*1.4*1.5*1.6*1.6*2.2*2.715*2.6,3540000000*(1.579646^(MIN($E2097,123)-117)))*1,0))</f>
        <v>36593634</v>
      </c>
      <c r="Y2097" s="11">
        <f>$E2097+17</f>
        <v>124</v>
      </c>
      <c r="Z2097" s="12">
        <f>IF($J2097=0,0,ROUND(MAX($J2097*1.4*1.5*1.6*1.6*2.2*2.715*2.6*1.4,6020000000*(1.651178^(MIN($E2097,123)-117)))*1,0))</f>
        <v>39962952</v>
      </c>
      <c r="AA2097" s="13">
        <f>$E2097+19</f>
        <v>126</v>
      </c>
      <c r="AB2097" s="14">
        <f>IF($J2097=0,0,ROUND(MAX($J2097*1.4*1.5*1.6*1.6*2.2*2.715*2.6*1.4*1.4,8430000000*(1.651435^(MIN($E2097,123)-117)))*1,0))</f>
        <v>55874381</v>
      </c>
      <c r="AC2097" s="11">
        <f>$E2097+21</f>
        <v>128</v>
      </c>
      <c r="AD2097" s="12">
        <f>IF($J2097=0,0,ROUND(MAX($J2097*1.4*1.5*1.6*1.6*2.2*2.715*2.6*1.4*1.4*1.5,12600000000*(1.652953^(MIN($E2097,123)-117)))*1,0))</f>
        <v>82749522</v>
      </c>
      <c r="AE2097" s="13">
        <f>$E2097+24</f>
        <v>131</v>
      </c>
      <c r="AF2097" s="14">
        <f>IF($J2097=0,0,ROUND(MAX($J2097*1.4*1.5*1.6*1.6*2.2*2.715*2.6*1.4*1.4*1.5*1.5,18900000000*(1.65331^(MIN($E2097,123)-117)))*1,0))</f>
        <v>123856521</v>
      </c>
      <c r="AG2097" s="11">
        <f>$E2097+27</f>
        <v>134</v>
      </c>
      <c r="AH2097" s="12">
        <f>IF($J2097=0,0,ROUND(MAX($J2097*1.4*1.5*1.6*1.6*2.2*2.715*2.6*1.4*1.4*1.5*1.5*3.2,60500000000*(1.654288^(MIN($E2097,123)-117)))*1,0))</f>
        <v>394134254</v>
      </c>
    </row>
    <row r="2098" ht="28" customHeight="1" spans="1:34" x14ac:dyDescent="0.25">
      <c r="A2098">
        <v>2108</v>
      </c>
      <c r="B2098" t="s">
        <v>127</v>
      </c>
      <c r="C2098" s="10" t="s">
        <v>1276</v>
      </c>
      <c r="D2098" t="s">
        <v>33</v>
      </c>
      <c r="E2098">
        <v>107</v>
      </c>
      <c r="F2098" t="s">
        <v>71</v>
      </c>
      <c r="G2098" t="s">
        <v>1277</v>
      </c>
      <c r="H2098">
        <v>24</v>
      </c>
      <c r="I2098" s="11">
        <f>$E2098+0</f>
        <v>107</v>
      </c>
      <c r="J2098" s="12">
        <v>39200</v>
      </c>
      <c r="K2098" s="13">
        <f>$E2098+1</f>
        <v>108</v>
      </c>
      <c r="L2098" s="14">
        <f>IF($J2098=0,0,ROUND(MAX($J2098*1.4,1620000*(1.497923^(MIN($E2098,123)-117)))*1,0))</f>
        <v>54880</v>
      </c>
      <c r="M2098" s="11">
        <f>$E2098+2</f>
        <v>109</v>
      </c>
      <c r="N2098" s="12">
        <f>IF($J2098=0,0,ROUND(MAX($J2098*1.4*1.5,2190000*(1.580994^(MIN($E2098,123)-117)))*1,0))</f>
        <v>82320</v>
      </c>
      <c r="O2098" s="13">
        <f>$E2098+4</f>
        <v>111</v>
      </c>
      <c r="P2098" s="14">
        <f>IF($J2098=0,0,ROUND(MAX($J2098*1.4*1.5*1.6,3500000*(1.57975^(MIN($E2098,123)-117)))*1,0))</f>
        <v>131712</v>
      </c>
      <c r="Q2098" s="11">
        <f>$E2098+6</f>
        <v>113</v>
      </c>
      <c r="R2098" s="12">
        <f>IF($J2098=0,0,ROUND(MAX($J2098*1.4*1.5*1.6*1.6,13100000*(1.429962^(MIN($E2098,123)-117)))*1,0))</f>
        <v>366460</v>
      </c>
      <c r="S2098" s="13">
        <f>$E2098+8</f>
        <v>115</v>
      </c>
      <c r="T2098" s="14">
        <f>IF($J2098=0,0,ROUND(MAX($J2098*1.4*1.5*1.6*1.6*2.2,42600000*(1.576904^(MIN($E2098,123)-117)))*1,0))</f>
        <v>463626</v>
      </c>
      <c r="U2098" s="11">
        <f>$E2098+11</f>
        <v>118</v>
      </c>
      <c r="V2098" s="12">
        <f>IF($J2098=0,0,ROUND(MAX($J2098*1.4*1.5*1.6*1.6*2.2*2.715,354000000*(1.642074^(MIN($E2098,123)-117)))*1,0))</f>
        <v>2483568</v>
      </c>
      <c r="W2098" s="13">
        <f>$E2098+15</f>
        <v>122</v>
      </c>
      <c r="X2098" s="14">
        <f>IF($J2098=0,0,ROUND(MAX($J2098*1.4*1.5*1.6*1.6*2.2*2.715*2.6,3540000000*(1.579646^(MIN($E2098,123)-117)))*1,0))</f>
        <v>36593634</v>
      </c>
      <c r="Y2098" s="11">
        <f>$E2098+17</f>
        <v>124</v>
      </c>
      <c r="Z2098" s="12">
        <f>IF($J2098=0,0,ROUND(MAX($J2098*1.4*1.5*1.6*1.6*2.2*2.715*2.6*1.4,6020000000*(1.651178^(MIN($E2098,123)-117)))*1,0))</f>
        <v>39962952</v>
      </c>
      <c r="AA2098" s="13">
        <f>$E2098+19</f>
        <v>126</v>
      </c>
      <c r="AB2098" s="14">
        <f>IF($J2098=0,0,ROUND(MAX($J2098*1.4*1.5*1.6*1.6*2.2*2.715*2.6*1.4*1.4,8430000000*(1.651435^(MIN($E2098,123)-117)))*1,0))</f>
        <v>55874381</v>
      </c>
      <c r="AC2098" s="11">
        <f>$E2098+21</f>
        <v>128</v>
      </c>
      <c r="AD2098" s="12">
        <f>IF($J2098=0,0,ROUND(MAX($J2098*1.4*1.5*1.6*1.6*2.2*2.715*2.6*1.4*1.4*1.5,12600000000*(1.652953^(MIN($E2098,123)-117)))*1,0))</f>
        <v>82749522</v>
      </c>
      <c r="AE2098" s="13">
        <f>$E2098+24</f>
        <v>131</v>
      </c>
      <c r="AF2098" s="14">
        <f>IF($J2098=0,0,ROUND(MAX($J2098*1.4*1.5*1.6*1.6*2.2*2.715*2.6*1.4*1.4*1.5*1.5,18900000000*(1.65331^(MIN($E2098,123)-117)))*1,0))</f>
        <v>123856521</v>
      </c>
      <c r="AG2098" s="11">
        <f>$E2098+27</f>
        <v>134</v>
      </c>
      <c r="AH2098" s="12">
        <f>IF($J2098=0,0,ROUND(MAX($J2098*1.4*1.5*1.6*1.6*2.2*2.715*2.6*1.4*1.4*1.5*1.5*3.2,60500000000*(1.654288^(MIN($E2098,123)-117)))*1,0))</f>
        <v>394134254</v>
      </c>
    </row>
    <row r="2099" ht="28" customHeight="1" spans="1:34" x14ac:dyDescent="0.25">
      <c r="A2099">
        <v>2109</v>
      </c>
      <c r="B2099" t="s">
        <v>484</v>
      </c>
      <c r="C2099" s="10" t="s">
        <v>1276</v>
      </c>
      <c r="D2099" t="s">
        <v>33</v>
      </c>
      <c r="E2099">
        <v>107</v>
      </c>
      <c r="F2099" t="s">
        <v>42</v>
      </c>
      <c r="G2099" t="s">
        <v>1277</v>
      </c>
      <c r="H2099">
        <v>24</v>
      </c>
      <c r="I2099" s="11">
        <f>$E2099+0</f>
        <v>107</v>
      </c>
      <c r="J2099" s="12">
        <v>38800</v>
      </c>
      <c r="K2099" s="13">
        <f>$E2099+1</f>
        <v>108</v>
      </c>
      <c r="L2099" s="14">
        <f>IF($J2099=0,0,ROUND(MAX($J2099*1.4,1620000*(1.497923^(MIN($E2099,123)-117)))*1,0))</f>
        <v>54320</v>
      </c>
      <c r="M2099" s="11">
        <f>$E2099+2</f>
        <v>109</v>
      </c>
      <c r="N2099" s="12">
        <f>IF($J2099=0,0,ROUND(MAX($J2099*1.4*1.5,2190000*(1.580994^(MIN($E2099,123)-117)))*1,0))</f>
        <v>81480</v>
      </c>
      <c r="O2099" s="13">
        <f>$E2099+4</f>
        <v>111</v>
      </c>
      <c r="P2099" s="14">
        <f>IF($J2099=0,0,ROUND(MAX($J2099*1.4*1.5*1.6,3500000*(1.57975^(MIN($E2099,123)-117)))*1,0))</f>
        <v>130368</v>
      </c>
      <c r="Q2099" s="11">
        <f>$E2099+6</f>
        <v>113</v>
      </c>
      <c r="R2099" s="12">
        <f>IF($J2099=0,0,ROUND(MAX($J2099*1.4*1.5*1.6*1.6,13100000*(1.429962^(MIN($E2099,123)-117)))*1,0))</f>
        <v>366460</v>
      </c>
      <c r="S2099" s="13">
        <f>$E2099+8</f>
        <v>115</v>
      </c>
      <c r="T2099" s="14">
        <f>IF($J2099=0,0,ROUND(MAX($J2099*1.4*1.5*1.6*1.6*2.2,42600000*(1.576904^(MIN($E2099,123)-117)))*1,0))</f>
        <v>458895</v>
      </c>
      <c r="U2099" s="11">
        <f>$E2099+11</f>
        <v>118</v>
      </c>
      <c r="V2099" s="12">
        <f>IF($J2099=0,0,ROUND(MAX($J2099*1.4*1.5*1.6*1.6*2.2*2.715,354000000*(1.642074^(MIN($E2099,123)-117)))*1,0))</f>
        <v>2483568</v>
      </c>
      <c r="W2099" s="13">
        <f>$E2099+15</f>
        <v>122</v>
      </c>
      <c r="X2099" s="14">
        <f>IF($J2099=0,0,ROUND(MAX($J2099*1.4*1.5*1.6*1.6*2.2*2.715*2.6,3540000000*(1.579646^(MIN($E2099,123)-117)))*1,0))</f>
        <v>36593634</v>
      </c>
      <c r="Y2099" s="11">
        <f>$E2099+17</f>
        <v>124</v>
      </c>
      <c r="Z2099" s="12">
        <f>IF($J2099=0,0,ROUND(MAX($J2099*1.4*1.5*1.6*1.6*2.2*2.715*2.6*1.4,6020000000*(1.651178^(MIN($E2099,123)-117)))*1,0))</f>
        <v>39962952</v>
      </c>
      <c r="AA2099" s="13">
        <f>$E2099+19</f>
        <v>126</v>
      </c>
      <c r="AB2099" s="14">
        <f>IF($J2099=0,0,ROUND(MAX($J2099*1.4*1.5*1.6*1.6*2.2*2.715*2.6*1.4*1.4,8430000000*(1.651435^(MIN($E2099,123)-117)))*1,0))</f>
        <v>55874381</v>
      </c>
      <c r="AC2099" s="11">
        <f>$E2099+21</f>
        <v>128</v>
      </c>
      <c r="AD2099" s="12">
        <f>IF($J2099=0,0,ROUND(MAX($J2099*1.4*1.5*1.6*1.6*2.2*2.715*2.6*1.4*1.4*1.5,12600000000*(1.652953^(MIN($E2099,123)-117)))*1,0))</f>
        <v>82749522</v>
      </c>
      <c r="AE2099" s="13">
        <f>$E2099+24</f>
        <v>131</v>
      </c>
      <c r="AF2099" s="14">
        <f>IF($J2099=0,0,ROUND(MAX($J2099*1.4*1.5*1.6*1.6*2.2*2.715*2.6*1.4*1.4*1.5*1.5,18900000000*(1.65331^(MIN($E2099,123)-117)))*1,0))</f>
        <v>123856521</v>
      </c>
      <c r="AG2099" s="11">
        <f>$E2099+27</f>
        <v>134</v>
      </c>
      <c r="AH2099" s="12">
        <f>IF($J2099=0,0,ROUND(MAX($J2099*1.4*1.5*1.6*1.6*2.2*2.715*2.6*1.4*1.4*1.5*1.5*3.2,60500000000*(1.654288^(MIN($E2099,123)-117)))*1,0))</f>
        <v>394134254</v>
      </c>
    </row>
    <row r="2100" ht="28" customHeight="1" spans="1:34" x14ac:dyDescent="0.25">
      <c r="A2100">
        <v>2110</v>
      </c>
      <c r="B2100" t="s">
        <v>557</v>
      </c>
      <c r="C2100" s="10" t="s">
        <v>1276</v>
      </c>
      <c r="D2100" t="s">
        <v>40</v>
      </c>
      <c r="E2100">
        <v>107</v>
      </c>
      <c r="F2100" t="s">
        <v>217</v>
      </c>
      <c r="G2100" t="s">
        <v>1277</v>
      </c>
      <c r="H2100">
        <v>24</v>
      </c>
      <c r="I2100" s="11">
        <f>$E2100+0</f>
        <v>107</v>
      </c>
      <c r="J2100" s="12">
        <v>18700</v>
      </c>
      <c r="K2100" s="13">
        <f>$E2100+1</f>
        <v>108</v>
      </c>
      <c r="L2100" s="14">
        <f>IF($J2100=0,0,ROUND(MAX($J2100*1.4,1620000*(1.497923^(MIN($E2100,123)-117)))*1,0))</f>
        <v>28485</v>
      </c>
      <c r="M2100" s="11">
        <f>$E2100+2</f>
        <v>109</v>
      </c>
      <c r="N2100" s="12">
        <f>IF($J2100=0,0,ROUND(MAX($J2100*1.4*1.5,2190000*(1.580994^(MIN($E2100,123)-117)))*1,0))</f>
        <v>39270</v>
      </c>
      <c r="O2100" s="13">
        <f>$E2100+4</f>
        <v>111</v>
      </c>
      <c r="P2100" s="14">
        <f>IF($J2100=0,0,ROUND(MAX($J2100*1.4*1.5*1.6,3500000*(1.57975^(MIN($E2100,123)-117)))*1,0))</f>
        <v>62832</v>
      </c>
      <c r="Q2100" s="11">
        <f>$E2100+6</f>
        <v>113</v>
      </c>
      <c r="R2100" s="12">
        <f>IF($J2100=0,0,ROUND(MAX($J2100*1.4*1.5*1.6*1.6,13100000*(1.429962^(MIN($E2100,123)-117)))*1,0))</f>
        <v>366460</v>
      </c>
      <c r="S2100" s="13">
        <f>$E2100+8</f>
        <v>115</v>
      </c>
      <c r="T2100" s="14">
        <f>IF($J2100=0,0,ROUND(MAX($J2100*1.4*1.5*1.6*1.6*2.2,42600000*(1.576904^(MIN($E2100,123)-117)))*1,0))</f>
        <v>448082</v>
      </c>
      <c r="U2100" s="11">
        <f>$E2100+11</f>
        <v>118</v>
      </c>
      <c r="V2100" s="12">
        <f>IF($J2100=0,0,ROUND(MAX($J2100*1.4*1.5*1.6*1.6*2.2*2.715,354000000*(1.642074^(MIN($E2100,123)-117)))*1,0))</f>
        <v>2483568</v>
      </c>
      <c r="W2100" s="13">
        <f>$E2100+15</f>
        <v>122</v>
      </c>
      <c r="X2100" s="14">
        <f>IF($J2100=0,0,ROUND(MAX($J2100*1.4*1.5*1.6*1.6*2.2*2.715*2.6,3540000000*(1.579646^(MIN($E2100,123)-117)))*1,0))</f>
        <v>36593634</v>
      </c>
      <c r="Y2100" s="11">
        <f>$E2100+17</f>
        <v>124</v>
      </c>
      <c r="Z2100" s="12">
        <f>IF($J2100=0,0,ROUND(MAX($J2100*1.4*1.5*1.6*1.6*2.2*2.715*2.6*1.4,6020000000*(1.651178^(MIN($E2100,123)-117)))*1,0))</f>
        <v>39962952</v>
      </c>
      <c r="AA2100" s="13">
        <f>$E2100+19</f>
        <v>126</v>
      </c>
      <c r="AB2100" s="14">
        <f>IF($J2100=0,0,ROUND(MAX($J2100*1.4*1.5*1.6*1.6*2.2*2.715*2.6*1.4*1.4,8430000000*(1.651435^(MIN($E2100,123)-117)))*1,0))</f>
        <v>55874381</v>
      </c>
      <c r="AC2100" s="11">
        <f>$E2100+21</f>
        <v>128</v>
      </c>
      <c r="AD2100" s="12">
        <f>IF($J2100=0,0,ROUND(MAX($J2100*1.4*1.5*1.6*1.6*2.2*2.715*2.6*1.4*1.4*1.5,12600000000*(1.652953^(MIN($E2100,123)-117)))*1,0))</f>
        <v>82749522</v>
      </c>
      <c r="AE2100" s="13">
        <f>$E2100+24</f>
        <v>131</v>
      </c>
      <c r="AF2100" s="14">
        <f>IF($J2100=0,0,ROUND(MAX($J2100*1.4*1.5*1.6*1.6*2.2*2.715*2.6*1.4*1.4*1.5*1.5,18900000000*(1.65331^(MIN($E2100,123)-117)))*1,0))</f>
        <v>123856521</v>
      </c>
      <c r="AG2100" s="11">
        <f>$E2100+27</f>
        <v>134</v>
      </c>
      <c r="AH2100" s="12">
        <f>IF($J2100=0,0,ROUND(MAX($J2100*1.4*1.5*1.6*1.6*2.2*2.715*2.6*1.4*1.4*1.5*1.5*3.2,60500000000*(1.654288^(MIN($E2100,123)-117)))*1,0))</f>
        <v>394134254</v>
      </c>
    </row>
    <row r="2101" ht="28" customHeight="1" spans="1:34" x14ac:dyDescent="0.25">
      <c r="A2101">
        <v>2111</v>
      </c>
      <c r="B2101" t="s">
        <v>158</v>
      </c>
      <c r="C2101" s="10" t="s">
        <v>1276</v>
      </c>
      <c r="D2101" t="s">
        <v>102</v>
      </c>
      <c r="E2101">
        <v>107</v>
      </c>
      <c r="F2101" t="s">
        <v>54</v>
      </c>
      <c r="G2101" t="s">
        <v>1277</v>
      </c>
      <c r="H2101">
        <v>24</v>
      </c>
      <c r="I2101" s="11">
        <f>$E2101+0</f>
        <v>107</v>
      </c>
      <c r="J2101" s="12">
        <v>26700</v>
      </c>
      <c r="K2101" s="13">
        <f>$E2101+1</f>
        <v>108</v>
      </c>
      <c r="L2101" s="14">
        <f>IF($J2101=0,0,ROUND(MAX($J2101*1.4,1620000*(1.497923^(MIN($E2101,123)-117)))*1,0))</f>
        <v>37380</v>
      </c>
      <c r="M2101" s="11">
        <f>$E2101+2</f>
        <v>109</v>
      </c>
      <c r="N2101" s="12">
        <f>IF($J2101=0,0,ROUND(MAX($J2101*1.4*1.5,2190000*(1.580994^(MIN($E2101,123)-117)))*1,0))</f>
        <v>56070</v>
      </c>
      <c r="O2101" s="13">
        <f>$E2101+4</f>
        <v>111</v>
      </c>
      <c r="P2101" s="14">
        <f>IF($J2101=0,0,ROUND(MAX($J2101*1.4*1.5*1.6,3500000*(1.57975^(MIN($E2101,123)-117)))*1,0))</f>
        <v>89712</v>
      </c>
      <c r="Q2101" s="11">
        <f>$E2101+6</f>
        <v>113</v>
      </c>
      <c r="R2101" s="12">
        <f>IF($J2101=0,0,ROUND(MAX($J2101*1.4*1.5*1.6*1.6,13100000*(1.429962^(MIN($E2101,123)-117)))*1,0))</f>
        <v>366460</v>
      </c>
      <c r="S2101" s="13">
        <f>$E2101+8</f>
        <v>115</v>
      </c>
      <c r="T2101" s="14">
        <f>IF($J2101=0,0,ROUND(MAX($J2101*1.4*1.5*1.6*1.6*2.2,42600000*(1.576904^(MIN($E2101,123)-117)))*1,0))</f>
        <v>448082</v>
      </c>
      <c r="U2101" s="11">
        <f>$E2101+11</f>
        <v>118</v>
      </c>
      <c r="V2101" s="12">
        <f>IF($J2101=0,0,ROUND(MAX($J2101*1.4*1.5*1.6*1.6*2.2*2.715,354000000*(1.642074^(MIN($E2101,123)-117)))*1,0))</f>
        <v>2483568</v>
      </c>
      <c r="W2101" s="13">
        <f>$E2101+15</f>
        <v>122</v>
      </c>
      <c r="X2101" s="14">
        <f>IF($J2101=0,0,ROUND(MAX($J2101*1.4*1.5*1.6*1.6*2.2*2.715*2.6,3540000000*(1.579646^(MIN($E2101,123)-117)))*1,0))</f>
        <v>36593634</v>
      </c>
      <c r="Y2101" s="11">
        <f>$E2101+17</f>
        <v>124</v>
      </c>
      <c r="Z2101" s="12">
        <f>IF($J2101=0,0,ROUND(MAX($J2101*1.4*1.5*1.6*1.6*2.2*2.715*2.6*1.4,6020000000*(1.651178^(MIN($E2101,123)-117)))*1,0))</f>
        <v>39962952</v>
      </c>
      <c r="AA2101" s="13">
        <f>$E2101+19</f>
        <v>126</v>
      </c>
      <c r="AB2101" s="14">
        <f>IF($J2101=0,0,ROUND(MAX($J2101*1.4*1.5*1.6*1.6*2.2*2.715*2.6*1.4*1.4,8430000000*(1.651435^(MIN($E2101,123)-117)))*1,0))</f>
        <v>55874381</v>
      </c>
      <c r="AC2101" s="11">
        <f>$E2101+21</f>
        <v>128</v>
      </c>
      <c r="AD2101" s="12">
        <f>IF($J2101=0,0,ROUND(MAX($J2101*1.4*1.5*1.6*1.6*2.2*2.715*2.6*1.4*1.4*1.5,12600000000*(1.652953^(MIN($E2101,123)-117)))*1,0))</f>
        <v>82749522</v>
      </c>
      <c r="AE2101" s="13">
        <f>$E2101+24</f>
        <v>131</v>
      </c>
      <c r="AF2101" s="14">
        <f>IF($J2101=0,0,ROUND(MAX($J2101*1.4*1.5*1.6*1.6*2.2*2.715*2.6*1.4*1.4*1.5*1.5,18900000000*(1.65331^(MIN($E2101,123)-117)))*1,0))</f>
        <v>123856521</v>
      </c>
      <c r="AG2101" s="11">
        <f>$E2101+27</f>
        <v>134</v>
      </c>
      <c r="AH2101" s="12">
        <f>IF($J2101=0,0,ROUND(MAX($J2101*1.4*1.5*1.6*1.6*2.2*2.715*2.6*1.4*1.4*1.5*1.5*3.2,60500000000*(1.654288^(MIN($E2101,123)-117)))*1,0))</f>
        <v>394134254</v>
      </c>
    </row>
    <row r="2102" ht="28" customHeight="1" spans="1:34" x14ac:dyDescent="0.25">
      <c r="A2102">
        <v>2112</v>
      </c>
      <c r="B2102" t="s">
        <v>187</v>
      </c>
      <c r="C2102" s="10" t="s">
        <v>1276</v>
      </c>
      <c r="D2102" t="s">
        <v>102</v>
      </c>
      <c r="E2102">
        <v>107</v>
      </c>
      <c r="F2102" t="s">
        <v>54</v>
      </c>
      <c r="G2102" t="s">
        <v>1277</v>
      </c>
      <c r="H2102">
        <v>24</v>
      </c>
      <c r="I2102" s="11">
        <f>$E2102+0</f>
        <v>107</v>
      </c>
      <c r="J2102" s="12">
        <v>24100</v>
      </c>
      <c r="K2102" s="13">
        <f>$E2102+1</f>
        <v>108</v>
      </c>
      <c r="L2102" s="14">
        <f>IF($J2102=0,0,ROUND(MAX($J2102*1.4,1620000*(1.497923^(MIN($E2102,123)-117)))*1,0))</f>
        <v>33740</v>
      </c>
      <c r="M2102" s="11">
        <f>$E2102+2</f>
        <v>109</v>
      </c>
      <c r="N2102" s="12">
        <f>IF($J2102=0,0,ROUND(MAX($J2102*1.4*1.5,2190000*(1.580994^(MIN($E2102,123)-117)))*1,0))</f>
        <v>50610</v>
      </c>
      <c r="O2102" s="13">
        <f>$E2102+4</f>
        <v>111</v>
      </c>
      <c r="P2102" s="14">
        <f>IF($J2102=0,0,ROUND(MAX($J2102*1.4*1.5*1.6,3500000*(1.57975^(MIN($E2102,123)-117)))*1,0))</f>
        <v>80976</v>
      </c>
      <c r="Q2102" s="11">
        <f>$E2102+6</f>
        <v>113</v>
      </c>
      <c r="R2102" s="12">
        <f>IF($J2102=0,0,ROUND(MAX($J2102*1.4*1.5*1.6*1.6,13100000*(1.429962^(MIN($E2102,123)-117)))*1,0))</f>
        <v>366460</v>
      </c>
      <c r="S2102" s="13">
        <f>$E2102+8</f>
        <v>115</v>
      </c>
      <c r="T2102" s="14">
        <f>IF($J2102=0,0,ROUND(MAX($J2102*1.4*1.5*1.6*1.6*2.2,42600000*(1.576904^(MIN($E2102,123)-117)))*1,0))</f>
        <v>448082</v>
      </c>
      <c r="U2102" s="11">
        <f>$E2102+11</f>
        <v>118</v>
      </c>
      <c r="V2102" s="12">
        <f>IF($J2102=0,0,ROUND(MAX($J2102*1.4*1.5*1.6*1.6*2.2*2.715,354000000*(1.642074^(MIN($E2102,123)-117)))*1,0))</f>
        <v>2483568</v>
      </c>
      <c r="W2102" s="13">
        <f>$E2102+15</f>
        <v>122</v>
      </c>
      <c r="X2102" s="14">
        <f>IF($J2102=0,0,ROUND(MAX($J2102*1.4*1.5*1.6*1.6*2.2*2.715*2.6,3540000000*(1.579646^(MIN($E2102,123)-117)))*1,0))</f>
        <v>36593634</v>
      </c>
      <c r="Y2102" s="11">
        <f>$E2102+17</f>
        <v>124</v>
      </c>
      <c r="Z2102" s="12">
        <f>IF($J2102=0,0,ROUND(MAX($J2102*1.4*1.5*1.6*1.6*2.2*2.715*2.6*1.4,6020000000*(1.651178^(MIN($E2102,123)-117)))*1,0))</f>
        <v>39962952</v>
      </c>
      <c r="AA2102" s="13">
        <f>$E2102+19</f>
        <v>126</v>
      </c>
      <c r="AB2102" s="14">
        <f>IF($J2102=0,0,ROUND(MAX($J2102*1.4*1.5*1.6*1.6*2.2*2.715*2.6*1.4*1.4,8430000000*(1.651435^(MIN($E2102,123)-117)))*1,0))</f>
        <v>55874381</v>
      </c>
      <c r="AC2102" s="11">
        <f>$E2102+21</f>
        <v>128</v>
      </c>
      <c r="AD2102" s="12">
        <f>IF($J2102=0,0,ROUND(MAX($J2102*1.4*1.5*1.6*1.6*2.2*2.715*2.6*1.4*1.4*1.5,12600000000*(1.652953^(MIN($E2102,123)-117)))*1,0))</f>
        <v>82749522</v>
      </c>
      <c r="AE2102" s="13">
        <f>$E2102+24</f>
        <v>131</v>
      </c>
      <c r="AF2102" s="14">
        <f>IF($J2102=0,0,ROUND(MAX($J2102*1.4*1.5*1.6*1.6*2.2*2.715*2.6*1.4*1.4*1.5*1.5,18900000000*(1.65331^(MIN($E2102,123)-117)))*1,0))</f>
        <v>123856521</v>
      </c>
      <c r="AG2102" s="11">
        <f>$E2102+27</f>
        <v>134</v>
      </c>
      <c r="AH2102" s="12">
        <f>IF($J2102=0,0,ROUND(MAX($J2102*1.4*1.5*1.6*1.6*2.2*2.715*2.6*1.4*1.4*1.5*1.5*3.2,60500000000*(1.654288^(MIN($E2102,123)-117)))*1,0))</f>
        <v>394134254</v>
      </c>
    </row>
    <row r="2103" ht="28" customHeight="1" spans="1:34" x14ac:dyDescent="0.25">
      <c r="A2103">
        <v>2113</v>
      </c>
      <c r="B2103" t="s">
        <v>196</v>
      </c>
      <c r="C2103" s="10" t="s">
        <v>1276</v>
      </c>
      <c r="D2103" t="s">
        <v>25</v>
      </c>
      <c r="E2103">
        <v>107</v>
      </c>
      <c r="F2103" t="s">
        <v>59</v>
      </c>
      <c r="G2103" t="s">
        <v>1277</v>
      </c>
      <c r="H2103">
        <v>24</v>
      </c>
      <c r="I2103" s="11">
        <f>$E2103+0</f>
        <v>107</v>
      </c>
      <c r="J2103" s="12">
        <v>14900</v>
      </c>
      <c r="K2103" s="13">
        <f>$E2103+1</f>
        <v>108</v>
      </c>
      <c r="L2103" s="14">
        <f>IF($J2103=0,0,ROUND(MAX($J2103*1.4,1620000*(1.497923^(MIN($E2103,123)-117)))*1,0))</f>
        <v>28485</v>
      </c>
      <c r="M2103" s="11">
        <f>$E2103+2</f>
        <v>109</v>
      </c>
      <c r="N2103" s="12">
        <f>IF($J2103=0,0,ROUND(MAX($J2103*1.4*1.5,2190000*(1.580994^(MIN($E2103,123)-117)))*1,0))</f>
        <v>31290</v>
      </c>
      <c r="O2103" s="13">
        <f>$E2103+4</f>
        <v>111</v>
      </c>
      <c r="P2103" s="14">
        <f>IF($J2103=0,0,ROUND(MAX($J2103*1.4*1.5*1.6,3500000*(1.57975^(MIN($E2103,123)-117)))*1,0))</f>
        <v>50064</v>
      </c>
      <c r="Q2103" s="11">
        <f>$E2103+6</f>
        <v>113</v>
      </c>
      <c r="R2103" s="12">
        <f>IF($J2103=0,0,ROUND(MAX($J2103*1.4*1.5*1.6*1.6,13100000*(1.429962^(MIN($E2103,123)-117)))*1,0))</f>
        <v>366460</v>
      </c>
      <c r="S2103" s="13">
        <f>$E2103+8</f>
        <v>115</v>
      </c>
      <c r="T2103" s="14">
        <f>IF($J2103=0,0,ROUND(MAX($J2103*1.4*1.5*1.6*1.6*2.2,42600000*(1.576904^(MIN($E2103,123)-117)))*1,0))</f>
        <v>448082</v>
      </c>
      <c r="U2103" s="11">
        <f>$E2103+11</f>
        <v>118</v>
      </c>
      <c r="V2103" s="12">
        <f>IF($J2103=0,0,ROUND(MAX($J2103*1.4*1.5*1.6*1.6*2.2*2.715,354000000*(1.642074^(MIN($E2103,123)-117)))*1,0))</f>
        <v>2483568</v>
      </c>
      <c r="W2103" s="13">
        <f>$E2103+15</f>
        <v>122</v>
      </c>
      <c r="X2103" s="14">
        <f>IF($J2103=0,0,ROUND(MAX($J2103*1.4*1.5*1.6*1.6*2.2*2.715*2.6,3540000000*(1.579646^(MIN($E2103,123)-117)))*1,0))</f>
        <v>36593634</v>
      </c>
      <c r="Y2103" s="11">
        <f>$E2103+17</f>
        <v>124</v>
      </c>
      <c r="Z2103" s="12">
        <f>IF($J2103=0,0,ROUND(MAX($J2103*1.4*1.5*1.6*1.6*2.2*2.715*2.6*1.4,6020000000*(1.651178^(MIN($E2103,123)-117)))*1,0))</f>
        <v>39962952</v>
      </c>
      <c r="AA2103" s="13">
        <f>$E2103+19</f>
        <v>126</v>
      </c>
      <c r="AB2103" s="14">
        <f>IF($J2103=0,0,ROUND(MAX($J2103*1.4*1.5*1.6*1.6*2.2*2.715*2.6*1.4*1.4,8430000000*(1.651435^(MIN($E2103,123)-117)))*1,0))</f>
        <v>55874381</v>
      </c>
      <c r="AC2103" s="11">
        <f>$E2103+21</f>
        <v>128</v>
      </c>
      <c r="AD2103" s="12">
        <f>IF($J2103=0,0,ROUND(MAX($J2103*1.4*1.5*1.6*1.6*2.2*2.715*2.6*1.4*1.4*1.5,12600000000*(1.652953^(MIN($E2103,123)-117)))*1,0))</f>
        <v>82749522</v>
      </c>
      <c r="AE2103" s="13">
        <f>$E2103+24</f>
        <v>131</v>
      </c>
      <c r="AF2103" s="14">
        <f>IF($J2103=0,0,ROUND(MAX($J2103*1.4*1.5*1.6*1.6*2.2*2.715*2.6*1.4*1.4*1.5*1.5,18900000000*(1.65331^(MIN($E2103,123)-117)))*1,0))</f>
        <v>123856521</v>
      </c>
      <c r="AG2103" s="11">
        <f>$E2103+27</f>
        <v>134</v>
      </c>
      <c r="AH2103" s="12">
        <f>IF($J2103=0,0,ROUND(MAX($J2103*1.4*1.5*1.6*1.6*2.2*2.715*2.6*1.4*1.4*1.5*1.5*3.2,60500000000*(1.654288^(MIN($E2103,123)-117)))*1,0))</f>
        <v>394134254</v>
      </c>
    </row>
    <row r="2104" ht="28" customHeight="1" spans="1:34" x14ac:dyDescent="0.25">
      <c r="A2104">
        <v>2114</v>
      </c>
      <c r="B2104" t="s">
        <v>533</v>
      </c>
      <c r="C2104" s="10" t="s">
        <v>1276</v>
      </c>
      <c r="D2104" t="s">
        <v>90</v>
      </c>
      <c r="E2104">
        <v>107</v>
      </c>
      <c r="F2104" t="s">
        <v>30</v>
      </c>
      <c r="G2104" t="s">
        <v>1277</v>
      </c>
      <c r="H2104">
        <v>23</v>
      </c>
      <c r="I2104" s="11">
        <f>$E2104+0</f>
        <v>107</v>
      </c>
      <c r="J2104" s="12">
        <v>90600</v>
      </c>
      <c r="K2104" s="13">
        <f>$E2104+1</f>
        <v>108</v>
      </c>
      <c r="L2104" s="14">
        <f>IF($J2104=0,0,ROUND(MAX($J2104*1.4,1620000*(1.497923^(MIN($E2104,123)-117)))*1,0))</f>
        <v>126840</v>
      </c>
      <c r="M2104" s="11">
        <f>$E2104+2</f>
        <v>109</v>
      </c>
      <c r="N2104" s="12">
        <f>IF($J2104=0,0,ROUND(MAX($J2104*1.4*1.5,2190000*(1.580994^(MIN($E2104,123)-117)))*1,0))</f>
        <v>190260</v>
      </c>
      <c r="O2104" s="13">
        <f>$E2104+4</f>
        <v>111</v>
      </c>
      <c r="P2104" s="14">
        <f>IF($J2104=0,0,ROUND(MAX($J2104*1.4*1.5*1.6,3500000*(1.57975^(MIN($E2104,123)-117)))*1,0))</f>
        <v>304416</v>
      </c>
      <c r="Q2104" s="11">
        <f>$E2104+6</f>
        <v>113</v>
      </c>
      <c r="R2104" s="12">
        <f>IF($J2104=0,0,ROUND(MAX($J2104*1.4*1.5*1.6*1.6,13100000*(1.429962^(MIN($E2104,123)-117)))*1,0))</f>
        <v>487066</v>
      </c>
      <c r="S2104" s="13">
        <f>$E2104+8</f>
        <v>115</v>
      </c>
      <c r="T2104" s="14">
        <f>IF($J2104=0,0,ROUND(MAX($J2104*1.4*1.5*1.6*1.6*2.2,42600000*(1.576904^(MIN($E2104,123)-117)))*1,0))</f>
        <v>1071544</v>
      </c>
      <c r="U2104" s="11">
        <f>$E2104+11</f>
        <v>118</v>
      </c>
      <c r="V2104" s="12">
        <f>IF($J2104=0,0,ROUND(MAX($J2104*1.4*1.5*1.6*1.6*2.2*2.715,354000000*(1.642074^(MIN($E2104,123)-117)))*1,0))</f>
        <v>2909243</v>
      </c>
      <c r="W2104" s="13">
        <f>$E2104+15</f>
        <v>122</v>
      </c>
      <c r="X2104" s="14">
        <f>IF($J2104=0,0,ROUND(MAX($J2104*1.4*1.5*1.6*1.6*2.2*2.715*2.6,3540000000*(1.579646^(MIN($E2104,123)-117)))*1,0))</f>
        <v>36593634</v>
      </c>
      <c r="Y2104" s="11">
        <f>$E2104+17</f>
        <v>124</v>
      </c>
      <c r="Z2104" s="12">
        <f>IF($J2104=0,0,ROUND(MAX($J2104*1.4*1.5*1.6*1.6*2.2*2.715*2.6*1.4,6020000000*(1.651178^(MIN($E2104,123)-117)))*1,0))</f>
        <v>39962952</v>
      </c>
      <c r="AA2104" s="13">
        <f>$E2104+19</f>
        <v>126</v>
      </c>
      <c r="AB2104" s="14">
        <f>IF($J2104=0,0,ROUND(MAX($J2104*1.4*1.5*1.6*1.6*2.2*2.715*2.6*1.4*1.4,8430000000*(1.651435^(MIN($E2104,123)-117)))*1,0))</f>
        <v>55874381</v>
      </c>
      <c r="AC2104" s="11">
        <f>$E2104+21</f>
        <v>128</v>
      </c>
      <c r="AD2104" s="12">
        <f>IF($J2104=0,0,ROUND(MAX($J2104*1.4*1.5*1.6*1.6*2.2*2.715*2.6*1.4*1.4*1.5,12600000000*(1.652953^(MIN($E2104,123)-117)))*1,0))</f>
        <v>82749522</v>
      </c>
      <c r="AE2104" s="13">
        <f>$E2104+24</f>
        <v>131</v>
      </c>
      <c r="AF2104" s="14">
        <f>IF($J2104=0,0,ROUND(MAX($J2104*1.4*1.5*1.6*1.6*2.2*2.715*2.6*1.4*1.4*1.5*1.5,18900000000*(1.65331^(MIN($E2104,123)-117)))*1,0))</f>
        <v>123856521</v>
      </c>
      <c r="AG2104" s="11">
        <f>$E2104+27</f>
        <v>134</v>
      </c>
      <c r="AH2104" s="12">
        <f>IF($J2104=0,0,ROUND(MAX($J2104*1.4*1.5*1.6*1.6*2.2*2.715*2.6*1.4*1.4*1.5*1.5*3.2,60500000000*(1.654288^(MIN($E2104,123)-117)))*1,0))</f>
        <v>394134254</v>
      </c>
    </row>
    <row r="2105" ht="28" customHeight="1" spans="1:34" x14ac:dyDescent="0.25">
      <c r="A2105">
        <v>2115</v>
      </c>
      <c r="B2105" t="s">
        <v>609</v>
      </c>
      <c r="C2105" s="10" t="s">
        <v>1276</v>
      </c>
      <c r="D2105" t="s">
        <v>75</v>
      </c>
      <c r="E2105">
        <v>107</v>
      </c>
      <c r="F2105" t="s">
        <v>54</v>
      </c>
      <c r="G2105" t="s">
        <v>1277</v>
      </c>
      <c r="H2105">
        <v>23</v>
      </c>
      <c r="I2105" s="11">
        <f>$E2105+0</f>
        <v>107</v>
      </c>
      <c r="J2105" s="12">
        <v>51600</v>
      </c>
      <c r="K2105" s="13">
        <f>$E2105+1</f>
        <v>108</v>
      </c>
      <c r="L2105" s="14">
        <f>IF($J2105=0,0,ROUND(MAX($J2105*1.4,1620000*(1.497923^(MIN($E2105,123)-117)))*1,0))</f>
        <v>72240</v>
      </c>
      <c r="M2105" s="11">
        <f>$E2105+2</f>
        <v>109</v>
      </c>
      <c r="N2105" s="12">
        <f>IF($J2105=0,0,ROUND(MAX($J2105*1.4*1.5,2190000*(1.580994^(MIN($E2105,123)-117)))*1,0))</f>
        <v>108360</v>
      </c>
      <c r="O2105" s="13">
        <f>$E2105+4</f>
        <v>111</v>
      </c>
      <c r="P2105" s="14">
        <f>IF($J2105=0,0,ROUND(MAX($J2105*1.4*1.5*1.6,3500000*(1.57975^(MIN($E2105,123)-117)))*1,0))</f>
        <v>173376</v>
      </c>
      <c r="Q2105" s="11">
        <f>$E2105+6</f>
        <v>113</v>
      </c>
      <c r="R2105" s="12">
        <f>IF($J2105=0,0,ROUND(MAX($J2105*1.4*1.5*1.6*1.6,13100000*(1.429962^(MIN($E2105,123)-117)))*1,0))</f>
        <v>366460</v>
      </c>
      <c r="S2105" s="13">
        <f>$E2105+8</f>
        <v>115</v>
      </c>
      <c r="T2105" s="14">
        <f>IF($J2105=0,0,ROUND(MAX($J2105*1.4*1.5*1.6*1.6*2.2,42600000*(1.576904^(MIN($E2105,123)-117)))*1,0))</f>
        <v>610284</v>
      </c>
      <c r="U2105" s="11">
        <f>$E2105+11</f>
        <v>118</v>
      </c>
      <c r="V2105" s="12">
        <f>IF($J2105=0,0,ROUND(MAX($J2105*1.4*1.5*1.6*1.6*2.2*2.715,354000000*(1.642074^(MIN($E2105,123)-117)))*1,0))</f>
        <v>2483568</v>
      </c>
      <c r="W2105" s="13">
        <f>$E2105+15</f>
        <v>122</v>
      </c>
      <c r="X2105" s="14">
        <f>IF($J2105=0,0,ROUND(MAX($J2105*1.4*1.5*1.6*1.6*2.2*2.715*2.6,3540000000*(1.579646^(MIN($E2105,123)-117)))*1,0))</f>
        <v>36593634</v>
      </c>
      <c r="Y2105" s="11">
        <f>$E2105+17</f>
        <v>124</v>
      </c>
      <c r="Z2105" s="12">
        <f>IF($J2105=0,0,ROUND(MAX($J2105*1.4*1.5*1.6*1.6*2.2*2.715*2.6*1.4,6020000000*(1.651178^(MIN($E2105,123)-117)))*1,0))</f>
        <v>39962952</v>
      </c>
      <c r="AA2105" s="13">
        <f>$E2105+19</f>
        <v>126</v>
      </c>
      <c r="AB2105" s="14">
        <f>IF($J2105=0,0,ROUND(MAX($J2105*1.4*1.5*1.6*1.6*2.2*2.715*2.6*1.4*1.4,8430000000*(1.651435^(MIN($E2105,123)-117)))*1,0))</f>
        <v>55874381</v>
      </c>
      <c r="AC2105" s="11">
        <f>$E2105+21</f>
        <v>128</v>
      </c>
      <c r="AD2105" s="12">
        <f>IF($J2105=0,0,ROUND(MAX($J2105*1.4*1.5*1.6*1.6*2.2*2.715*2.6*1.4*1.4*1.5,12600000000*(1.652953^(MIN($E2105,123)-117)))*1,0))</f>
        <v>82749522</v>
      </c>
      <c r="AE2105" s="13">
        <f>$E2105+24</f>
        <v>131</v>
      </c>
      <c r="AF2105" s="14">
        <f>IF($J2105=0,0,ROUND(MAX($J2105*1.4*1.5*1.6*1.6*2.2*2.715*2.6*1.4*1.4*1.5*1.5,18900000000*(1.65331^(MIN($E2105,123)-117)))*1,0))</f>
        <v>123856521</v>
      </c>
      <c r="AG2105" s="11">
        <f>$E2105+27</f>
        <v>134</v>
      </c>
      <c r="AH2105" s="12">
        <f>IF($J2105=0,0,ROUND(MAX($J2105*1.4*1.5*1.6*1.6*2.2*2.715*2.6*1.4*1.4*1.5*1.5*3.2,60500000000*(1.654288^(MIN($E2105,123)-117)))*1,0))</f>
        <v>394134254</v>
      </c>
    </row>
    <row r="2106" ht="28" customHeight="1" spans="1:34" x14ac:dyDescent="0.25">
      <c r="A2106">
        <v>2116</v>
      </c>
      <c r="B2106" t="s">
        <v>189</v>
      </c>
      <c r="C2106" s="10" t="s">
        <v>1276</v>
      </c>
      <c r="D2106" t="s">
        <v>102</v>
      </c>
      <c r="E2106">
        <v>107</v>
      </c>
      <c r="F2106" t="s">
        <v>62</v>
      </c>
      <c r="G2106" t="s">
        <v>1277</v>
      </c>
      <c r="H2106">
        <v>23</v>
      </c>
      <c r="I2106" s="11">
        <f>$E2106+0</f>
        <v>107</v>
      </c>
      <c r="J2106" s="12">
        <v>13400</v>
      </c>
      <c r="K2106" s="13">
        <f>$E2106+1</f>
        <v>108</v>
      </c>
      <c r="L2106" s="14">
        <f>IF($J2106=0,0,ROUND(MAX($J2106*1.4,1620000*(1.497923^(MIN($E2106,123)-117)))*1,0))</f>
        <v>28485</v>
      </c>
      <c r="M2106" s="11">
        <f>$E2106+2</f>
        <v>109</v>
      </c>
      <c r="N2106" s="12">
        <f>IF($J2106=0,0,ROUND(MAX($J2106*1.4*1.5,2190000*(1.580994^(MIN($E2106,123)-117)))*1,0))</f>
        <v>28140</v>
      </c>
      <c r="O2106" s="13">
        <f>$E2106+4</f>
        <v>111</v>
      </c>
      <c r="P2106" s="14">
        <f>IF($J2106=0,0,ROUND(MAX($J2106*1.4*1.5*1.6,3500000*(1.57975^(MIN($E2106,123)-117)))*1,0))</f>
        <v>45024</v>
      </c>
      <c r="Q2106" s="11">
        <f>$E2106+6</f>
        <v>113</v>
      </c>
      <c r="R2106" s="12">
        <f>IF($J2106=0,0,ROUND(MAX($J2106*1.4*1.5*1.6*1.6,13100000*(1.429962^(MIN($E2106,123)-117)))*1,0))</f>
        <v>366460</v>
      </c>
      <c r="S2106" s="13">
        <f>$E2106+8</f>
        <v>115</v>
      </c>
      <c r="T2106" s="14">
        <f>IF($J2106=0,0,ROUND(MAX($J2106*1.4*1.5*1.6*1.6*2.2,42600000*(1.576904^(MIN($E2106,123)-117)))*1,0))</f>
        <v>448082</v>
      </c>
      <c r="U2106" s="11">
        <f>$E2106+11</f>
        <v>118</v>
      </c>
      <c r="V2106" s="12">
        <f>IF($J2106=0,0,ROUND(MAX($J2106*1.4*1.5*1.6*1.6*2.2*2.715,354000000*(1.642074^(MIN($E2106,123)-117)))*1,0))</f>
        <v>2483568</v>
      </c>
      <c r="W2106" s="13">
        <f>$E2106+15</f>
        <v>122</v>
      </c>
      <c r="X2106" s="14">
        <f>IF($J2106=0,0,ROUND(MAX($J2106*1.4*1.5*1.6*1.6*2.2*2.715*2.6,3540000000*(1.579646^(MIN($E2106,123)-117)))*1,0))</f>
        <v>36593634</v>
      </c>
      <c r="Y2106" s="11">
        <f>$E2106+17</f>
        <v>124</v>
      </c>
      <c r="Z2106" s="12">
        <f>IF($J2106=0,0,ROUND(MAX($J2106*1.4*1.5*1.6*1.6*2.2*2.715*2.6*1.4,6020000000*(1.651178^(MIN($E2106,123)-117)))*1,0))</f>
        <v>39962952</v>
      </c>
      <c r="AA2106" s="13">
        <f>$E2106+19</f>
        <v>126</v>
      </c>
      <c r="AB2106" s="14">
        <f>IF($J2106=0,0,ROUND(MAX($J2106*1.4*1.5*1.6*1.6*2.2*2.715*2.6*1.4*1.4,8430000000*(1.651435^(MIN($E2106,123)-117)))*1,0))</f>
        <v>55874381</v>
      </c>
      <c r="AC2106" s="11">
        <f>$E2106+21</f>
        <v>128</v>
      </c>
      <c r="AD2106" s="12">
        <f>IF($J2106=0,0,ROUND(MAX($J2106*1.4*1.5*1.6*1.6*2.2*2.715*2.6*1.4*1.4*1.5,12600000000*(1.652953^(MIN($E2106,123)-117)))*1,0))</f>
        <v>82749522</v>
      </c>
      <c r="AE2106" s="13">
        <f>$E2106+24</f>
        <v>131</v>
      </c>
      <c r="AF2106" s="14">
        <f>IF($J2106=0,0,ROUND(MAX($J2106*1.4*1.5*1.6*1.6*2.2*2.715*2.6*1.4*1.4*1.5*1.5,18900000000*(1.65331^(MIN($E2106,123)-117)))*1,0))</f>
        <v>123856521</v>
      </c>
      <c r="AG2106" s="11">
        <f>$E2106+27</f>
        <v>134</v>
      </c>
      <c r="AH2106" s="12">
        <f>IF($J2106=0,0,ROUND(MAX($J2106*1.4*1.5*1.6*1.6*2.2*2.715*2.6*1.4*1.4*1.5*1.5*3.2,60500000000*(1.654288^(MIN($E2106,123)-117)))*1,0))</f>
        <v>394134254</v>
      </c>
    </row>
    <row r="2107" ht="28" customHeight="1" spans="1:34" x14ac:dyDescent="0.25">
      <c r="A2107">
        <v>2117</v>
      </c>
      <c r="B2107" t="s">
        <v>180</v>
      </c>
      <c r="C2107" s="10" t="s">
        <v>1276</v>
      </c>
      <c r="D2107" t="s">
        <v>47</v>
      </c>
      <c r="E2107">
        <v>107</v>
      </c>
      <c r="F2107" t="s">
        <v>144</v>
      </c>
      <c r="G2107" t="s">
        <v>1277</v>
      </c>
      <c r="H2107">
        <v>21</v>
      </c>
      <c r="I2107" s="11">
        <f>$E2107+0</f>
        <v>107</v>
      </c>
      <c r="J2107" s="12">
        <v>30500</v>
      </c>
      <c r="K2107" s="13">
        <f>$E2107+1</f>
        <v>108</v>
      </c>
      <c r="L2107" s="14">
        <f>IF($J2107=0,0,ROUND(MAX($J2107*1.4,1620000*(1.497923^(MIN($E2107,123)-117)))*1,0))</f>
        <v>42700</v>
      </c>
      <c r="M2107" s="11">
        <f>$E2107+2</f>
        <v>109</v>
      </c>
      <c r="N2107" s="12">
        <f>IF($J2107=0,0,ROUND(MAX($J2107*1.4*1.5,2190000*(1.580994^(MIN($E2107,123)-117)))*1,0))</f>
        <v>64050</v>
      </c>
      <c r="O2107" s="13">
        <f>$E2107+4</f>
        <v>111</v>
      </c>
      <c r="P2107" s="14">
        <f>IF($J2107=0,0,ROUND(MAX($J2107*1.4*1.5*1.6,3500000*(1.57975^(MIN($E2107,123)-117)))*1,0))</f>
        <v>102480</v>
      </c>
      <c r="Q2107" s="11">
        <f>$E2107+6</f>
        <v>113</v>
      </c>
      <c r="R2107" s="12">
        <f>IF($J2107=0,0,ROUND(MAX($J2107*1.4*1.5*1.6*1.6,13100000*(1.429962^(MIN($E2107,123)-117)))*1,0))</f>
        <v>366460</v>
      </c>
      <c r="S2107" s="13">
        <f>$E2107+8</f>
        <v>115</v>
      </c>
      <c r="T2107" s="14">
        <f>IF($J2107=0,0,ROUND(MAX($J2107*1.4*1.5*1.6*1.6*2.2,42600000*(1.576904^(MIN($E2107,123)-117)))*1,0))</f>
        <v>448082</v>
      </c>
      <c r="U2107" s="11">
        <f>$E2107+11</f>
        <v>118</v>
      </c>
      <c r="V2107" s="12">
        <f>IF($J2107=0,0,ROUND(MAX($J2107*1.4*1.5*1.6*1.6*2.2*2.715,354000000*(1.642074^(MIN($E2107,123)-117)))*1,0))</f>
        <v>2483568</v>
      </c>
      <c r="W2107" s="13">
        <f>$E2107+15</f>
        <v>122</v>
      </c>
      <c r="X2107" s="14">
        <f>IF($J2107=0,0,ROUND(MAX($J2107*1.4*1.5*1.6*1.6*2.2*2.715*2.6,3540000000*(1.579646^(MIN($E2107,123)-117)))*1,0))</f>
        <v>36593634</v>
      </c>
      <c r="Y2107" s="11">
        <f>$E2107+17</f>
        <v>124</v>
      </c>
      <c r="Z2107" s="12">
        <f>IF($J2107=0,0,ROUND(MAX($J2107*1.4*1.5*1.6*1.6*2.2*2.715*2.6*1.4,6020000000*(1.651178^(MIN($E2107,123)-117)))*1,0))</f>
        <v>39962952</v>
      </c>
      <c r="AA2107" s="13">
        <f>$E2107+19</f>
        <v>126</v>
      </c>
      <c r="AB2107" s="14">
        <f>IF($J2107=0,0,ROUND(MAX($J2107*1.4*1.5*1.6*1.6*2.2*2.715*2.6*1.4*1.4,8430000000*(1.651435^(MIN($E2107,123)-117)))*1,0))</f>
        <v>55874381</v>
      </c>
      <c r="AC2107" s="11">
        <f>$E2107+21</f>
        <v>128</v>
      </c>
      <c r="AD2107" s="12">
        <f>IF($J2107=0,0,ROUND(MAX($J2107*1.4*1.5*1.6*1.6*2.2*2.715*2.6*1.4*1.4*1.5,12600000000*(1.652953^(MIN($E2107,123)-117)))*1,0))</f>
        <v>82749522</v>
      </c>
      <c r="AE2107" s="13">
        <f>$E2107+24</f>
        <v>131</v>
      </c>
      <c r="AF2107" s="14">
        <f>IF($J2107=0,0,ROUND(MAX($J2107*1.4*1.5*1.6*1.6*2.2*2.715*2.6*1.4*1.4*1.5*1.5,18900000000*(1.65331^(MIN($E2107,123)-117)))*1,0))</f>
        <v>123856521</v>
      </c>
      <c r="AG2107" s="11">
        <f>$E2107+27</f>
        <v>134</v>
      </c>
      <c r="AH2107" s="12">
        <f>IF($J2107=0,0,ROUND(MAX($J2107*1.4*1.5*1.6*1.6*2.2*2.715*2.6*1.4*1.4*1.5*1.5*3.2,60500000000*(1.654288^(MIN($E2107,123)-117)))*1,0))</f>
        <v>394134254</v>
      </c>
    </row>
    <row r="2108" ht="28" customHeight="1" spans="1:34" x14ac:dyDescent="0.25">
      <c r="A2108">
        <v>2118</v>
      </c>
      <c r="B2108" t="s">
        <v>193</v>
      </c>
      <c r="C2108" s="10" t="s">
        <v>1276</v>
      </c>
      <c r="D2108" t="s">
        <v>102</v>
      </c>
      <c r="E2108">
        <v>106</v>
      </c>
      <c r="F2108" t="s">
        <v>194</v>
      </c>
      <c r="G2108" t="s">
        <v>1277</v>
      </c>
      <c r="H2108">
        <v>24</v>
      </c>
      <c r="I2108" s="11">
        <f>$E2108+0</f>
        <v>106</v>
      </c>
      <c r="J2108" s="12">
        <v>50400</v>
      </c>
      <c r="K2108" s="13">
        <f>$E2108+1</f>
        <v>107</v>
      </c>
      <c r="L2108" s="14">
        <f>IF($J2108=0,0,ROUND(MAX($J2108*1.4,1620000*(1.497923^(MIN($E2108,123)-117)))*1,0))</f>
        <v>70560</v>
      </c>
      <c r="M2108" s="11">
        <f>$E2108+2</f>
        <v>108</v>
      </c>
      <c r="N2108" s="12">
        <f>IF($J2108=0,0,ROUND(MAX($J2108*1.4*1.5,2190000*(1.580994^(MIN($E2108,123)-117)))*1,0))</f>
        <v>105840</v>
      </c>
      <c r="O2108" s="13">
        <f>$E2108+4</f>
        <v>110</v>
      </c>
      <c r="P2108" s="14">
        <f>IF($J2108=0,0,ROUND(MAX($J2108*1.4*1.5*1.6,3500000*(1.57975^(MIN($E2108,123)-117)))*1,0))</f>
        <v>169344</v>
      </c>
      <c r="Q2108" s="11">
        <f>$E2108+6</f>
        <v>112</v>
      </c>
      <c r="R2108" s="12">
        <f>IF($J2108=0,0,ROUND(MAX($J2108*1.4*1.5*1.6*1.6,13100000*(1.429962^(MIN($E2108,123)-117)))*1,0))</f>
        <v>270950</v>
      </c>
      <c r="S2108" s="13">
        <f>$E2108+8</f>
        <v>114</v>
      </c>
      <c r="T2108" s="14">
        <f>IF($J2108=0,0,ROUND(MAX($J2108*1.4*1.5*1.6*1.6*2.2,42600000*(1.576904^(MIN($E2108,123)-117)))*1,0))</f>
        <v>596091</v>
      </c>
      <c r="U2108" s="11">
        <f>$E2108+11</f>
        <v>117</v>
      </c>
      <c r="V2108" s="12">
        <f>IF($J2108=0,0,ROUND(MAX($J2108*1.4*1.5*1.6*1.6*2.2*2.715,354000000*(1.642074^(MIN($E2108,123)-117)))*1,0))</f>
        <v>1618387</v>
      </c>
      <c r="W2108" s="13">
        <f>$E2108+15</f>
        <v>121</v>
      </c>
      <c r="X2108" s="14">
        <f>IF($J2108=0,0,ROUND(MAX($J2108*1.4*1.5*1.6*1.6*2.2*2.715*2.6,3540000000*(1.579646^(MIN($E2108,123)-117)))*1,0))</f>
        <v>23165718</v>
      </c>
      <c r="Y2108" s="11">
        <f>$E2108+17</f>
        <v>123</v>
      </c>
      <c r="Z2108" s="12">
        <f>IF($J2108=0,0,ROUND(MAX($J2108*1.4*1.5*1.6*1.6*2.2*2.715*2.6*1.4,6020000000*(1.651178^(MIN($E2108,123)-117)))*1,0))</f>
        <v>24202691</v>
      </c>
      <c r="AA2108" s="13">
        <f>$E2108+19</f>
        <v>125</v>
      </c>
      <c r="AB2108" s="14">
        <f>IF($J2108=0,0,ROUND(MAX($J2108*1.4*1.5*1.6*1.6*2.2*2.715*2.6*1.4*1.4,8430000000*(1.651435^(MIN($E2108,123)-117)))*1,0))</f>
        <v>33833836</v>
      </c>
      <c r="AC2108" s="11">
        <f>$E2108+21</f>
        <v>127</v>
      </c>
      <c r="AD2108" s="12">
        <f>IF($J2108=0,0,ROUND(MAX($J2108*1.4*1.5*1.6*1.6*2.2*2.715*2.6*1.4*1.4*1.5,12600000000*(1.652953^(MIN($E2108,123)-117)))*1,0))</f>
        <v>50061630</v>
      </c>
      <c r="AE2108" s="13">
        <f>$E2108+24</f>
        <v>130</v>
      </c>
      <c r="AF2108" s="14">
        <f>IF($J2108=0,0,ROUND(MAX($J2108*1.4*1.5*1.6*1.6*2.2*2.715*2.6*1.4*1.4*1.5*1.5,18900000000*(1.65331^(MIN($E2108,123)-117)))*1,0))</f>
        <v>74914276</v>
      </c>
      <c r="AG2108" s="11">
        <f>$E2108+27</f>
        <v>133</v>
      </c>
      <c r="AH2108" s="12">
        <f>IF($J2108=0,0,ROUND(MAX($J2108*1.4*1.5*1.6*1.6*2.2*2.715*2.6*1.4*1.4*1.5*1.5*3.2,60500000000*(1.654288^(MIN($E2108,123)-117)))*1,0))</f>
        <v>238250083</v>
      </c>
    </row>
    <row r="2109" ht="28" customHeight="1" spans="1:34" x14ac:dyDescent="0.25">
      <c r="A2109">
        <v>2119</v>
      </c>
      <c r="B2109" t="s">
        <v>149</v>
      </c>
      <c r="C2109" s="10" t="s">
        <v>1276</v>
      </c>
      <c r="D2109" t="s">
        <v>33</v>
      </c>
      <c r="E2109">
        <v>106</v>
      </c>
      <c r="F2109" t="s">
        <v>56</v>
      </c>
      <c r="G2109" t="s">
        <v>1277</v>
      </c>
      <c r="H2109">
        <v>24</v>
      </c>
      <c r="I2109" s="11">
        <f>$E2109+0</f>
        <v>106</v>
      </c>
      <c r="J2109" s="12">
        <v>69700</v>
      </c>
      <c r="K2109" s="13">
        <f>$E2109+1</f>
        <v>107</v>
      </c>
      <c r="L2109" s="14">
        <f>IF($J2109=0,0,ROUND(MAX($J2109*1.4,1620000*(1.497923^(MIN($E2109,123)-117)))*1,0))</f>
        <v>97580</v>
      </c>
      <c r="M2109" s="11">
        <f>$E2109+2</f>
        <v>108</v>
      </c>
      <c r="N2109" s="12">
        <f>IF($J2109=0,0,ROUND(MAX($J2109*1.4*1.5,2190000*(1.580994^(MIN($E2109,123)-117)))*1,0))</f>
        <v>146370</v>
      </c>
      <c r="O2109" s="13">
        <f>$E2109+4</f>
        <v>110</v>
      </c>
      <c r="P2109" s="14">
        <f>IF($J2109=0,0,ROUND(MAX($J2109*1.4*1.5*1.6,3500000*(1.57975^(MIN($E2109,123)-117)))*1,0))</f>
        <v>234192</v>
      </c>
      <c r="Q2109" s="11">
        <f>$E2109+6</f>
        <v>112</v>
      </c>
      <c r="R2109" s="12">
        <f>IF($J2109=0,0,ROUND(MAX($J2109*1.4*1.5*1.6*1.6,13100000*(1.429962^(MIN($E2109,123)-117)))*1,0))</f>
        <v>374707</v>
      </c>
      <c r="S2109" s="13">
        <f>$E2109+8</f>
        <v>114</v>
      </c>
      <c r="T2109" s="14">
        <f>IF($J2109=0,0,ROUND(MAX($J2109*1.4*1.5*1.6*1.6*2.2,42600000*(1.576904^(MIN($E2109,123)-117)))*1,0))</f>
        <v>824356</v>
      </c>
      <c r="U2109" s="11">
        <f>$E2109+11</f>
        <v>117</v>
      </c>
      <c r="V2109" s="12">
        <f>IF($J2109=0,0,ROUND(MAX($J2109*1.4*1.5*1.6*1.6*2.2*2.715,354000000*(1.642074^(MIN($E2109,123)-117)))*1,0))</f>
        <v>2238126</v>
      </c>
      <c r="W2109" s="13">
        <f>$E2109+15</f>
        <v>121</v>
      </c>
      <c r="X2109" s="14">
        <f>IF($J2109=0,0,ROUND(MAX($J2109*1.4*1.5*1.6*1.6*2.2*2.715*2.6,3540000000*(1.579646^(MIN($E2109,123)-117)))*1,0))</f>
        <v>23165718</v>
      </c>
      <c r="Y2109" s="11">
        <f>$E2109+17</f>
        <v>123</v>
      </c>
      <c r="Z2109" s="12">
        <f>IF($J2109=0,0,ROUND(MAX($J2109*1.4*1.5*1.6*1.6*2.2*2.715*2.6*1.4,6020000000*(1.651178^(MIN($E2109,123)-117)))*1,0))</f>
        <v>24202691</v>
      </c>
      <c r="AA2109" s="13">
        <f>$E2109+19</f>
        <v>125</v>
      </c>
      <c r="AB2109" s="14">
        <f>IF($J2109=0,0,ROUND(MAX($J2109*1.4*1.5*1.6*1.6*2.2*2.715*2.6*1.4*1.4,8430000000*(1.651435^(MIN($E2109,123)-117)))*1,0))</f>
        <v>33833836</v>
      </c>
      <c r="AC2109" s="11">
        <f>$E2109+21</f>
        <v>127</v>
      </c>
      <c r="AD2109" s="12">
        <f>IF($J2109=0,0,ROUND(MAX($J2109*1.4*1.5*1.6*1.6*2.2*2.715*2.6*1.4*1.4*1.5,12600000000*(1.652953^(MIN($E2109,123)-117)))*1,0))</f>
        <v>50061630</v>
      </c>
      <c r="AE2109" s="13">
        <f>$E2109+24</f>
        <v>130</v>
      </c>
      <c r="AF2109" s="14">
        <f>IF($J2109=0,0,ROUND(MAX($J2109*1.4*1.5*1.6*1.6*2.2*2.715*2.6*1.4*1.4*1.5*1.5,18900000000*(1.65331^(MIN($E2109,123)-117)))*1,0))</f>
        <v>74914276</v>
      </c>
      <c r="AG2109" s="11">
        <f>$E2109+27</f>
        <v>133</v>
      </c>
      <c r="AH2109" s="12">
        <f>IF($J2109=0,0,ROUND(MAX($J2109*1.4*1.5*1.6*1.6*2.2*2.715*2.6*1.4*1.4*1.5*1.5*3.2,60500000000*(1.654288^(MIN($E2109,123)-117)))*1,0))</f>
        <v>238250083</v>
      </c>
    </row>
    <row r="2110" ht="28" customHeight="1" spans="1:34" x14ac:dyDescent="0.25">
      <c r="A2110">
        <v>2120</v>
      </c>
      <c r="B2110" t="s">
        <v>651</v>
      </c>
      <c r="C2110" s="10" t="s">
        <v>1276</v>
      </c>
      <c r="D2110" t="s">
        <v>40</v>
      </c>
      <c r="E2110">
        <v>106</v>
      </c>
      <c r="F2110" t="s">
        <v>71</v>
      </c>
      <c r="G2110" t="s">
        <v>1277</v>
      </c>
      <c r="H2110">
        <v>24</v>
      </c>
      <c r="I2110" s="11">
        <f>$E2110+0</f>
        <v>106</v>
      </c>
      <c r="J2110" s="12">
        <v>23200</v>
      </c>
      <c r="K2110" s="13">
        <f>$E2110+1</f>
        <v>107</v>
      </c>
      <c r="L2110" s="14">
        <f>IF($J2110=0,0,ROUND(MAX($J2110*1.4,1620000*(1.497923^(MIN($E2110,123)-117)))*1,0))</f>
        <v>32480</v>
      </c>
      <c r="M2110" s="11">
        <f>$E2110+2</f>
        <v>108</v>
      </c>
      <c r="N2110" s="12">
        <f>IF($J2110=0,0,ROUND(MAX($J2110*1.4*1.5,2190000*(1.580994^(MIN($E2110,123)-117)))*1,0))</f>
        <v>48720</v>
      </c>
      <c r="O2110" s="13">
        <f>$E2110+4</f>
        <v>110</v>
      </c>
      <c r="P2110" s="14">
        <f>IF($J2110=0,0,ROUND(MAX($J2110*1.4*1.5*1.6,3500000*(1.57975^(MIN($E2110,123)-117)))*1,0))</f>
        <v>77952</v>
      </c>
      <c r="Q2110" s="11">
        <f>$E2110+6</f>
        <v>112</v>
      </c>
      <c r="R2110" s="12">
        <f>IF($J2110=0,0,ROUND(MAX($J2110*1.4*1.5*1.6*1.6,13100000*(1.429962^(MIN($E2110,123)-117)))*1,0))</f>
        <v>256272</v>
      </c>
      <c r="S2110" s="13">
        <f>$E2110+8</f>
        <v>114</v>
      </c>
      <c r="T2110" s="14">
        <f>IF($J2110=0,0,ROUND(MAX($J2110*1.4*1.5*1.6*1.6*2.2,42600000*(1.576904^(MIN($E2110,123)-117)))*1,0))</f>
        <v>284153</v>
      </c>
      <c r="U2110" s="11">
        <f>$E2110+11</f>
        <v>117</v>
      </c>
      <c r="V2110" s="12">
        <f>IF($J2110=0,0,ROUND(MAX($J2110*1.4*1.5*1.6*1.6*2.2*2.715,354000000*(1.642074^(MIN($E2110,123)-117)))*1,0))</f>
        <v>1512458</v>
      </c>
      <c r="W2110" s="13">
        <f>$E2110+15</f>
        <v>121</v>
      </c>
      <c r="X2110" s="14">
        <f>IF($J2110=0,0,ROUND(MAX($J2110*1.4*1.5*1.6*1.6*2.2*2.715*2.6,3540000000*(1.579646^(MIN($E2110,123)-117)))*1,0))</f>
        <v>23165718</v>
      </c>
      <c r="Y2110" s="11">
        <f>$E2110+17</f>
        <v>123</v>
      </c>
      <c r="Z2110" s="12">
        <f>IF($J2110=0,0,ROUND(MAX($J2110*1.4*1.5*1.6*1.6*2.2*2.715*2.6*1.4,6020000000*(1.651178^(MIN($E2110,123)-117)))*1,0))</f>
        <v>24202691</v>
      </c>
      <c r="AA2110" s="13">
        <f>$E2110+19</f>
        <v>125</v>
      </c>
      <c r="AB2110" s="14">
        <f>IF($J2110=0,0,ROUND(MAX($J2110*1.4*1.5*1.6*1.6*2.2*2.715*2.6*1.4*1.4,8430000000*(1.651435^(MIN($E2110,123)-117)))*1,0))</f>
        <v>33833836</v>
      </c>
      <c r="AC2110" s="11">
        <f>$E2110+21</f>
        <v>127</v>
      </c>
      <c r="AD2110" s="12">
        <f>IF($J2110=0,0,ROUND(MAX($J2110*1.4*1.5*1.6*1.6*2.2*2.715*2.6*1.4*1.4*1.5,12600000000*(1.652953^(MIN($E2110,123)-117)))*1,0))</f>
        <v>50061630</v>
      </c>
      <c r="AE2110" s="13">
        <f>$E2110+24</f>
        <v>130</v>
      </c>
      <c r="AF2110" s="14">
        <f>IF($J2110=0,0,ROUND(MAX($J2110*1.4*1.5*1.6*1.6*2.2*2.715*2.6*1.4*1.4*1.5*1.5,18900000000*(1.65331^(MIN($E2110,123)-117)))*1,0))</f>
        <v>74914276</v>
      </c>
      <c r="AG2110" s="11">
        <f>$E2110+27</f>
        <v>133</v>
      </c>
      <c r="AH2110" s="12">
        <f>IF($J2110=0,0,ROUND(MAX($J2110*1.4*1.5*1.6*1.6*2.2*2.715*2.6*1.4*1.4*1.5*1.5*3.2,60500000000*(1.654288^(MIN($E2110,123)-117)))*1,0))</f>
        <v>238250083</v>
      </c>
    </row>
    <row r="2111" ht="28" customHeight="1" spans="1:34" x14ac:dyDescent="0.25">
      <c r="A2111">
        <v>2121</v>
      </c>
      <c r="B2111" t="s">
        <v>89</v>
      </c>
      <c r="C2111" s="10" t="s">
        <v>1276</v>
      </c>
      <c r="D2111" t="s">
        <v>90</v>
      </c>
      <c r="E2111">
        <v>106</v>
      </c>
      <c r="F2111" t="s">
        <v>30</v>
      </c>
      <c r="G2111" t="s">
        <v>1277</v>
      </c>
      <c r="H2111">
        <v>23</v>
      </c>
      <c r="I2111" s="11">
        <f>$E2111+0</f>
        <v>106</v>
      </c>
      <c r="J2111" s="12">
        <v>119000</v>
      </c>
      <c r="K2111" s="13">
        <f>$E2111+1</f>
        <v>107</v>
      </c>
      <c r="L2111" s="14">
        <f>IF($J2111=0,0,ROUND(MAX($J2111*1.4,1620000*(1.497923^(MIN($E2111,123)-117)))*1,0))</f>
        <v>166600</v>
      </c>
      <c r="M2111" s="11">
        <f>$E2111+2</f>
        <v>108</v>
      </c>
      <c r="N2111" s="12">
        <f>IF($J2111=0,0,ROUND(MAX($J2111*1.4*1.5,2190000*(1.580994^(MIN($E2111,123)-117)))*1,0))</f>
        <v>249900</v>
      </c>
      <c r="O2111" s="13">
        <f>$E2111+4</f>
        <v>110</v>
      </c>
      <c r="P2111" s="14">
        <f>IF($J2111=0,0,ROUND(MAX($J2111*1.4*1.5*1.6,3500000*(1.57975^(MIN($E2111,123)-117)))*1,0))</f>
        <v>399840</v>
      </c>
      <c r="Q2111" s="11">
        <f>$E2111+6</f>
        <v>112</v>
      </c>
      <c r="R2111" s="12">
        <f>IF($J2111=0,0,ROUND(MAX($J2111*1.4*1.5*1.6*1.6,13100000*(1.429962^(MIN($E2111,123)-117)))*1,0))</f>
        <v>639744</v>
      </c>
      <c r="S2111" s="13">
        <f>$E2111+8</f>
        <v>114</v>
      </c>
      <c r="T2111" s="14">
        <f>IF($J2111=0,0,ROUND(MAX($J2111*1.4*1.5*1.6*1.6*2.2,42600000*(1.576904^(MIN($E2111,123)-117)))*1,0))</f>
        <v>1407437</v>
      </c>
      <c r="U2111" s="11">
        <f>$E2111+11</f>
        <v>117</v>
      </c>
      <c r="V2111" s="12">
        <f>IF($J2111=0,0,ROUND(MAX($J2111*1.4*1.5*1.6*1.6*2.2*2.715,354000000*(1.642074^(MIN($E2111,123)-117)))*1,0))</f>
        <v>3821191</v>
      </c>
      <c r="W2111" s="13">
        <f>$E2111+15</f>
        <v>121</v>
      </c>
      <c r="X2111" s="14">
        <f>IF($J2111=0,0,ROUND(MAX($J2111*1.4*1.5*1.6*1.6*2.2*2.715*2.6,3540000000*(1.579646^(MIN($E2111,123)-117)))*1,0))</f>
        <v>23165718</v>
      </c>
      <c r="Y2111" s="11">
        <f>$E2111+17</f>
        <v>123</v>
      </c>
      <c r="Z2111" s="12">
        <f>IF($J2111=0,0,ROUND(MAX($J2111*1.4*1.5*1.6*1.6*2.2*2.715*2.6*1.4,6020000000*(1.651178^(MIN($E2111,123)-117)))*1,0))</f>
        <v>24202691</v>
      </c>
      <c r="AA2111" s="13">
        <f>$E2111+19</f>
        <v>125</v>
      </c>
      <c r="AB2111" s="14">
        <f>IF($J2111=0,0,ROUND(MAX($J2111*1.4*1.5*1.6*1.6*2.2*2.715*2.6*1.4*1.4,8430000000*(1.651435^(MIN($E2111,123)-117)))*1,0))</f>
        <v>33833836</v>
      </c>
      <c r="AC2111" s="11">
        <f>$E2111+21</f>
        <v>127</v>
      </c>
      <c r="AD2111" s="12">
        <f>IF($J2111=0,0,ROUND(MAX($J2111*1.4*1.5*1.6*1.6*2.2*2.715*2.6*1.4*1.4*1.5,12600000000*(1.652953^(MIN($E2111,123)-117)))*1,0))</f>
        <v>50061630</v>
      </c>
      <c r="AE2111" s="13">
        <f>$E2111+24</f>
        <v>130</v>
      </c>
      <c r="AF2111" s="14">
        <f>IF($J2111=0,0,ROUND(MAX($J2111*1.4*1.5*1.6*1.6*2.2*2.715*2.6*1.4*1.4*1.5*1.5,18900000000*(1.65331^(MIN($E2111,123)-117)))*1,0))</f>
        <v>74914276</v>
      </c>
      <c r="AG2111" s="11">
        <f>$E2111+27</f>
        <v>133</v>
      </c>
      <c r="AH2111" s="12">
        <f>IF($J2111=0,0,ROUND(MAX($J2111*1.4*1.5*1.6*1.6*2.2*2.715*2.6*1.4*1.4*1.5*1.5*3.2,60500000000*(1.654288^(MIN($E2111,123)-117)))*1,0))</f>
        <v>238250083</v>
      </c>
    </row>
    <row r="2112" ht="28" customHeight="1" spans="1:34" x14ac:dyDescent="0.25">
      <c r="A2112">
        <v>2122</v>
      </c>
      <c r="B2112" t="s">
        <v>1254</v>
      </c>
      <c r="C2112" s="10" t="s">
        <v>1276</v>
      </c>
      <c r="D2112" t="s">
        <v>79</v>
      </c>
      <c r="E2112">
        <v>104</v>
      </c>
      <c r="F2112" t="s">
        <v>54</v>
      </c>
      <c r="G2112" t="s">
        <v>1277</v>
      </c>
      <c r="H2112">
        <v>23</v>
      </c>
      <c r="I2112" s="11">
        <f>$E2112+0</f>
        <v>104</v>
      </c>
      <c r="J2112" s="12">
        <v>22400</v>
      </c>
      <c r="K2112" s="13">
        <f>$E2112+1</f>
        <v>105</v>
      </c>
      <c r="L2112" s="14">
        <f>IF($J2112=0,0,ROUND(MAX($J2112*1.4,1620000*(1.497923^(MIN($E2112,123)-117)))*1,0))</f>
        <v>31360</v>
      </c>
      <c r="M2112" s="11">
        <f>$E2112+2</f>
        <v>106</v>
      </c>
      <c r="N2112" s="12">
        <f>IF($J2112=0,0,ROUND(MAX($J2112*1.4*1.5,2190000*(1.580994^(MIN($E2112,123)-117)))*1,0))</f>
        <v>47040</v>
      </c>
      <c r="O2112" s="13">
        <f>$E2112+4</f>
        <v>108</v>
      </c>
      <c r="P2112" s="14">
        <f>IF($J2112=0,0,ROUND(MAX($J2112*1.4*1.5*1.6,3500000*(1.57975^(MIN($E2112,123)-117)))*1,0))</f>
        <v>75264</v>
      </c>
      <c r="Q2112" s="11">
        <f>$E2112+6</f>
        <v>110</v>
      </c>
      <c r="R2112" s="12">
        <f>IF($J2112=0,0,ROUND(MAX($J2112*1.4*1.5*1.6*1.6,13100000*(1.429962^(MIN($E2112,123)-117)))*1,0))</f>
        <v>125329</v>
      </c>
      <c r="S2112" s="13">
        <f>$E2112+8</f>
        <v>112</v>
      </c>
      <c r="T2112" s="14">
        <f>IF($J2112=0,0,ROUND(MAX($J2112*1.4*1.5*1.6*1.6*2.2,42600000*(1.576904^(MIN($E2112,123)-117)))*1,0))</f>
        <v>264929</v>
      </c>
      <c r="U2112" s="11">
        <f>$E2112+11</f>
        <v>115</v>
      </c>
      <c r="V2112" s="12">
        <f>IF($J2112=0,0,ROUND(MAX($J2112*1.4*1.5*1.6*1.6*2.2*2.715,354000000*(1.642074^(MIN($E2112,123)-117)))*1,0))</f>
        <v>719283</v>
      </c>
      <c r="W2112" s="13">
        <f>$E2112+15</f>
        <v>119</v>
      </c>
      <c r="X2112" s="14">
        <f>IF($J2112=0,0,ROUND(MAX($J2112*1.4*1.5*1.6*1.6*2.2*2.715*2.6,3540000000*(1.579646^(MIN($E2112,123)-117)))*1,0))</f>
        <v>9283810</v>
      </c>
      <c r="Y2112" s="11">
        <f>$E2112+17</f>
        <v>121</v>
      </c>
      <c r="Z2112" s="12">
        <f>IF($J2112=0,0,ROUND(MAX($J2112*1.4*1.5*1.6*1.6*2.2*2.715*2.6*1.4,6020000000*(1.651178^(MIN($E2112,123)-117)))*1,0))</f>
        <v>8877197</v>
      </c>
      <c r="AA2112" s="13">
        <f>$E2112+19</f>
        <v>123</v>
      </c>
      <c r="AB2112" s="14">
        <f>IF($J2112=0,0,ROUND(MAX($J2112*1.4*1.5*1.6*1.6*2.2*2.715*2.6*1.4*1.4,8430000000*(1.651435^(MIN($E2112,123)-117)))*1,0))</f>
        <v>12405900</v>
      </c>
      <c r="AC2112" s="11">
        <f>$E2112+21</f>
        <v>125</v>
      </c>
      <c r="AD2112" s="12">
        <f>IF($J2112=0,0,ROUND(MAX($J2112*1.4*1.5*1.6*1.6*2.2*2.715*2.6*1.4*1.4*1.5,12600000000*(1.652953^(MIN($E2112,123)-117)))*1,0))</f>
        <v>18322468</v>
      </c>
      <c r="AE2112" s="13">
        <f>$E2112+24</f>
        <v>128</v>
      </c>
      <c r="AF2112" s="14">
        <f>IF($J2112=0,0,ROUND(MAX($J2112*1.4*1.5*1.6*1.6*2.2*2.715*2.6*1.4*1.4*1.5*1.5,18900000000*(1.65331^(MIN($E2112,123)-117)))*1,0))</f>
        <v>27406653</v>
      </c>
      <c r="AG2112" s="11">
        <f>$E2112+27</f>
        <v>131</v>
      </c>
      <c r="AH2112" s="12">
        <f>IF($J2112=0,0,ROUND(MAX($J2112*1.4*1.5*1.6*1.6*2.2*2.715*2.6*1.4*1.4*1.5*1.5*3.2,60500000000*(1.654288^(MIN($E2112,123)-117)))*1,0))</f>
        <v>87058428</v>
      </c>
    </row>
    <row r="2113" ht="28" customHeight="1" spans="1:34" x14ac:dyDescent="0.25">
      <c r="A2113">
        <v>2123</v>
      </c>
      <c r="B2113" t="s">
        <v>190</v>
      </c>
      <c r="C2113" s="10" t="s">
        <v>1276</v>
      </c>
      <c r="D2113" t="s">
        <v>75</v>
      </c>
      <c r="E2113">
        <v>104</v>
      </c>
      <c r="F2113" t="s">
        <v>62</v>
      </c>
      <c r="G2113" t="s">
        <v>1277</v>
      </c>
      <c r="H2113">
        <v>23</v>
      </c>
      <c r="I2113" s="11">
        <f>$E2113+0</f>
        <v>104</v>
      </c>
      <c r="J2113" s="12">
        <v>210000</v>
      </c>
      <c r="K2113" s="13">
        <f>$E2113+1</f>
        <v>105</v>
      </c>
      <c r="L2113" s="14">
        <f>IF($J2113=0,0,ROUND(MAX($J2113*1.4,1620000*(1.497923^(MIN($E2113,123)-117)))*1,0))</f>
        <v>294000</v>
      </c>
      <c r="M2113" s="11">
        <f>$E2113+2</f>
        <v>106</v>
      </c>
      <c r="N2113" s="12">
        <f>IF($J2113=0,0,ROUND(MAX($J2113*1.4*1.5,2190000*(1.580994^(MIN($E2113,123)-117)))*1,0))</f>
        <v>441000</v>
      </c>
      <c r="O2113" s="13">
        <f>$E2113+4</f>
        <v>108</v>
      </c>
      <c r="P2113" s="14">
        <f>IF($J2113=0,0,ROUND(MAX($J2113*1.4*1.5*1.6,3500000*(1.57975^(MIN($E2113,123)-117)))*1,0))</f>
        <v>705600</v>
      </c>
      <c r="Q2113" s="11">
        <f>$E2113+6</f>
        <v>110</v>
      </c>
      <c r="R2113" s="12">
        <f>IF($J2113=0,0,ROUND(MAX($J2113*1.4*1.5*1.6*1.6,13100000*(1.429962^(MIN($E2113,123)-117)))*1,0))</f>
        <v>1128960</v>
      </c>
      <c r="S2113" s="13">
        <f>$E2113+8</f>
        <v>112</v>
      </c>
      <c r="T2113" s="14">
        <f>IF($J2113=0,0,ROUND(MAX($J2113*1.4*1.5*1.6*1.6*2.2,42600000*(1.576904^(MIN($E2113,123)-117)))*1,0))</f>
        <v>2483712</v>
      </c>
      <c r="U2113" s="11">
        <f>$E2113+11</f>
        <v>115</v>
      </c>
      <c r="V2113" s="12">
        <f>IF($J2113=0,0,ROUND(MAX($J2113*1.4*1.5*1.6*1.6*2.2*2.715,354000000*(1.642074^(MIN($E2113,123)-117)))*1,0))</f>
        <v>6743278</v>
      </c>
      <c r="W2113" s="13">
        <f>$E2113+15</f>
        <v>119</v>
      </c>
      <c r="X2113" s="14">
        <f>IF($J2113=0,0,ROUND(MAX($J2113*1.4*1.5*1.6*1.6*2.2*2.715*2.6,3540000000*(1.579646^(MIN($E2113,123)-117)))*1,0))</f>
        <v>17532523</v>
      </c>
      <c r="Y2113" s="11">
        <f>$E2113+17</f>
        <v>121</v>
      </c>
      <c r="Z2113" s="12">
        <f>IF($J2113=0,0,ROUND(MAX($J2113*1.4*1.5*1.6*1.6*2.2*2.715*2.6*1.4,6020000000*(1.651178^(MIN($E2113,123)-117)))*1,0))</f>
        <v>24545532</v>
      </c>
      <c r="AA2113" s="13">
        <f>$E2113+19</f>
        <v>123</v>
      </c>
      <c r="AB2113" s="14">
        <f>IF($J2113=0,0,ROUND(MAX($J2113*1.4*1.5*1.6*1.6*2.2*2.715*2.6*1.4*1.4,8430000000*(1.651435^(MIN($E2113,123)-117)))*1,0))</f>
        <v>34363745</v>
      </c>
      <c r="AC2113" s="11">
        <f>$E2113+21</f>
        <v>125</v>
      </c>
      <c r="AD2113" s="12">
        <f>IF($J2113=0,0,ROUND(MAX($J2113*1.4*1.5*1.6*1.6*2.2*2.715*2.6*1.4*1.4*1.5,12600000000*(1.652953^(MIN($E2113,123)-117)))*1,0))</f>
        <v>51545618</v>
      </c>
      <c r="AE2113" s="13">
        <f>$E2113+24</f>
        <v>128</v>
      </c>
      <c r="AF2113" s="14">
        <f>IF($J2113=0,0,ROUND(MAX($J2113*1.4*1.5*1.6*1.6*2.2*2.715*2.6*1.4*1.4*1.5*1.5,18900000000*(1.65331^(MIN($E2113,123)-117)))*1,0))</f>
        <v>77318426</v>
      </c>
      <c r="AG2113" s="11">
        <f>$E2113+27</f>
        <v>131</v>
      </c>
      <c r="AH2113" s="12">
        <f>IF($J2113=0,0,ROUND(MAX($J2113*1.4*1.5*1.6*1.6*2.2*2.715*2.6*1.4*1.4*1.5*1.5*3.2,60500000000*(1.654288^(MIN($E2113,123)-117)))*1,0))</f>
        <v>247418965</v>
      </c>
    </row>
    <row r="2114" ht="28" customHeight="1" spans="1:34" x14ac:dyDescent="0.25">
      <c r="A2114">
        <v>2124</v>
      </c>
      <c r="B2114" t="s">
        <v>619</v>
      </c>
      <c r="C2114" s="10" t="s">
        <v>1276</v>
      </c>
      <c r="D2114" t="s">
        <v>64</v>
      </c>
      <c r="E2114">
        <v>104</v>
      </c>
      <c r="F2114" t="s">
        <v>54</v>
      </c>
      <c r="G2114" t="s">
        <v>1277</v>
      </c>
      <c r="H2114">
        <v>23</v>
      </c>
      <c r="I2114" s="11">
        <f>$E2114+0</f>
        <v>104</v>
      </c>
      <c r="J2114" s="12">
        <v>13800</v>
      </c>
      <c r="K2114" s="13">
        <f>$E2114+1</f>
        <v>105</v>
      </c>
      <c r="L2114" s="14">
        <f>IF($J2114=0,0,ROUND(MAX($J2114*1.4,1620000*(1.497923^(MIN($E2114,123)-117)))*1,0))</f>
        <v>19320</v>
      </c>
      <c r="M2114" s="11">
        <f>$E2114+2</f>
        <v>106</v>
      </c>
      <c r="N2114" s="12">
        <f>IF($J2114=0,0,ROUND(MAX($J2114*1.4*1.5,2190000*(1.580994^(MIN($E2114,123)-117)))*1,0))</f>
        <v>28980</v>
      </c>
      <c r="O2114" s="13">
        <f>$E2114+4</f>
        <v>108</v>
      </c>
      <c r="P2114" s="14">
        <f>IF($J2114=0,0,ROUND(MAX($J2114*1.4*1.5*1.6,3500000*(1.57975^(MIN($E2114,123)-117)))*1,0))</f>
        <v>46368</v>
      </c>
      <c r="Q2114" s="11">
        <f>$E2114+6</f>
        <v>110</v>
      </c>
      <c r="R2114" s="12">
        <f>IF($J2114=0,0,ROUND(MAX($J2114*1.4*1.5*1.6*1.6,13100000*(1.429962^(MIN($E2114,123)-117)))*1,0))</f>
        <v>125329</v>
      </c>
      <c r="S2114" s="13">
        <f>$E2114+8</f>
        <v>112</v>
      </c>
      <c r="T2114" s="14">
        <f>IF($J2114=0,0,ROUND(MAX($J2114*1.4*1.5*1.6*1.6*2.2,42600000*(1.576904^(MIN($E2114,123)-117)))*1,0))</f>
        <v>163215</v>
      </c>
      <c r="U2114" s="11">
        <f>$E2114+11</f>
        <v>115</v>
      </c>
      <c r="V2114" s="12">
        <f>IF($J2114=0,0,ROUND(MAX($J2114*1.4*1.5*1.6*1.6*2.2*2.715,354000000*(1.642074^(MIN($E2114,123)-117)))*1,0))</f>
        <v>560916</v>
      </c>
      <c r="W2114" s="13">
        <f>$E2114+15</f>
        <v>119</v>
      </c>
      <c r="X2114" s="14">
        <f>IF($J2114=0,0,ROUND(MAX($J2114*1.4*1.5*1.6*1.6*2.2*2.715*2.6,3540000000*(1.579646^(MIN($E2114,123)-117)))*1,0))</f>
        <v>9283810</v>
      </c>
      <c r="Y2114" s="11">
        <f>$E2114+17</f>
        <v>121</v>
      </c>
      <c r="Z2114" s="12">
        <f>IF($J2114=0,0,ROUND(MAX($J2114*1.4*1.5*1.6*1.6*2.2*2.715*2.6*1.4,6020000000*(1.651178^(MIN($E2114,123)-117)))*1,0))</f>
        <v>8877197</v>
      </c>
      <c r="AA2114" s="13">
        <f>$E2114+19</f>
        <v>123</v>
      </c>
      <c r="AB2114" s="14">
        <f>IF($J2114=0,0,ROUND(MAX($J2114*1.4*1.5*1.6*1.6*2.2*2.715*2.6*1.4*1.4,8430000000*(1.651435^(MIN($E2114,123)-117)))*1,0))</f>
        <v>12405900</v>
      </c>
      <c r="AC2114" s="11">
        <f>$E2114+21</f>
        <v>125</v>
      </c>
      <c r="AD2114" s="12">
        <f>IF($J2114=0,0,ROUND(MAX($J2114*1.4*1.5*1.6*1.6*2.2*2.715*2.6*1.4*1.4*1.5,12600000000*(1.652953^(MIN($E2114,123)-117)))*1,0))</f>
        <v>18322468</v>
      </c>
      <c r="AE2114" s="13">
        <f>$E2114+24</f>
        <v>128</v>
      </c>
      <c r="AF2114" s="14">
        <f>IF($J2114=0,0,ROUND(MAX($J2114*1.4*1.5*1.6*1.6*2.2*2.715*2.6*1.4*1.4*1.5*1.5,18900000000*(1.65331^(MIN($E2114,123)-117)))*1,0))</f>
        <v>27406653</v>
      </c>
      <c r="AG2114" s="11">
        <f>$E2114+27</f>
        <v>131</v>
      </c>
      <c r="AH2114" s="12">
        <f>IF($J2114=0,0,ROUND(MAX($J2114*1.4*1.5*1.6*1.6*2.2*2.715*2.6*1.4*1.4*1.5*1.5*3.2,60500000000*(1.654288^(MIN($E2114,123)-117)))*1,0))</f>
        <v>87058428</v>
      </c>
    </row>
    <row r="2115" ht="28" customHeight="1" spans="1:34" x14ac:dyDescent="0.25">
      <c r="A2115">
        <v>2125</v>
      </c>
      <c r="B2115" t="s">
        <v>188</v>
      </c>
      <c r="C2115" s="10" t="s">
        <v>1276</v>
      </c>
      <c r="D2115" t="s">
        <v>47</v>
      </c>
      <c r="E2115">
        <v>104</v>
      </c>
      <c r="F2115" t="s">
        <v>42</v>
      </c>
      <c r="G2115" t="s">
        <v>1277</v>
      </c>
      <c r="H2115">
        <v>20</v>
      </c>
      <c r="I2115" s="11">
        <f>$E2115+0</f>
        <v>104</v>
      </c>
      <c r="J2115" s="12">
        <v>43600</v>
      </c>
      <c r="K2115" s="13">
        <f>$E2115+1</f>
        <v>105</v>
      </c>
      <c r="L2115" s="14">
        <f>IF($J2115=0,0,ROUND(MAX($J2115*1.4,1620000*(1.497923^(MIN($E2115,123)-117)))*1,0))</f>
        <v>61040</v>
      </c>
      <c r="M2115" s="11">
        <f>$E2115+2</f>
        <v>106</v>
      </c>
      <c r="N2115" s="12">
        <f>IF($J2115=0,0,ROUND(MAX($J2115*1.4*1.5,2190000*(1.580994^(MIN($E2115,123)-117)))*1,0))</f>
        <v>91560</v>
      </c>
      <c r="O2115" s="13">
        <f>$E2115+4</f>
        <v>108</v>
      </c>
      <c r="P2115" s="14">
        <f>IF($J2115=0,0,ROUND(MAX($J2115*1.4*1.5*1.6,3500000*(1.57975^(MIN($E2115,123)-117)))*1,0))</f>
        <v>146496</v>
      </c>
      <c r="Q2115" s="11">
        <f>$E2115+6</f>
        <v>110</v>
      </c>
      <c r="R2115" s="12">
        <f>IF($J2115=0,0,ROUND(MAX($J2115*1.4*1.5*1.6*1.6,13100000*(1.429962^(MIN($E2115,123)-117)))*1,0))</f>
        <v>234394</v>
      </c>
      <c r="S2115" s="13">
        <f>$E2115+8</f>
        <v>112</v>
      </c>
      <c r="T2115" s="14">
        <f>IF($J2115=0,0,ROUND(MAX($J2115*1.4*1.5*1.6*1.6*2.2,42600000*(1.576904^(MIN($E2115,123)-117)))*1,0))</f>
        <v>515666</v>
      </c>
      <c r="U2115" s="11">
        <f>$E2115+11</f>
        <v>115</v>
      </c>
      <c r="V2115" s="12">
        <f>IF($J2115=0,0,ROUND(MAX($J2115*1.4*1.5*1.6*1.6*2.2*2.715,354000000*(1.642074^(MIN($E2115,123)-117)))*1,0))</f>
        <v>1400033</v>
      </c>
      <c r="W2115" s="13">
        <f>$E2115+15</f>
        <v>119</v>
      </c>
      <c r="X2115" s="14">
        <f>IF($J2115=0,0,ROUND(MAX($J2115*1.4*1.5*1.6*1.6*2.2*2.715*2.6,3540000000*(1.579646^(MIN($E2115,123)-117)))*1,0))</f>
        <v>9283810</v>
      </c>
      <c r="Y2115" s="11">
        <f>$E2115+17</f>
        <v>121</v>
      </c>
      <c r="Z2115" s="12">
        <f>IF($J2115=0,0,ROUND(MAX($J2115*1.4*1.5*1.6*1.6*2.2*2.715*2.6*1.4,6020000000*(1.651178^(MIN($E2115,123)-117)))*1,0))</f>
        <v>8877197</v>
      </c>
      <c r="AA2115" s="13">
        <f>$E2115+19</f>
        <v>123</v>
      </c>
      <c r="AB2115" s="14">
        <f>IF($J2115=0,0,ROUND(MAX($J2115*1.4*1.5*1.6*1.6*2.2*2.715*2.6*1.4*1.4,8430000000*(1.651435^(MIN($E2115,123)-117)))*1,0))</f>
        <v>12405900</v>
      </c>
      <c r="AC2115" s="11">
        <f>$E2115+21</f>
        <v>125</v>
      </c>
      <c r="AD2115" s="12">
        <f>IF($J2115=0,0,ROUND(MAX($J2115*1.4*1.5*1.6*1.6*2.2*2.715*2.6*1.4*1.4*1.5,12600000000*(1.652953^(MIN($E2115,123)-117)))*1,0))</f>
        <v>18322468</v>
      </c>
      <c r="AE2115" s="13">
        <f>$E2115+24</f>
        <v>128</v>
      </c>
      <c r="AF2115" s="14">
        <f>IF($J2115=0,0,ROUND(MAX($J2115*1.4*1.5*1.6*1.6*2.2*2.715*2.6*1.4*1.4*1.5*1.5,18900000000*(1.65331^(MIN($E2115,123)-117)))*1,0))</f>
        <v>27406653</v>
      </c>
      <c r="AG2115" s="11">
        <f>$E2115+27</f>
        <v>131</v>
      </c>
      <c r="AH2115" s="12">
        <f>IF($J2115=0,0,ROUND(MAX($J2115*1.4*1.5*1.6*1.6*2.2*2.715*2.6*1.4*1.4*1.5*1.5*3.2,60500000000*(1.654288^(MIN($E2115,123)-117)))*1,0))</f>
        <v>87058428</v>
      </c>
    </row>
    <row r="2116" ht="28" customHeight="1" spans="1:34" x14ac:dyDescent="0.25">
      <c r="A2116">
        <v>2126</v>
      </c>
      <c r="B2116" t="s">
        <v>192</v>
      </c>
      <c r="C2116" s="10" t="s">
        <v>1276</v>
      </c>
      <c r="D2116" t="s">
        <v>40</v>
      </c>
      <c r="E2116">
        <v>102</v>
      </c>
      <c r="F2116" t="s">
        <v>56</v>
      </c>
      <c r="G2116" t="s">
        <v>1277</v>
      </c>
      <c r="H2116">
        <v>22</v>
      </c>
      <c r="I2116" s="11">
        <f>$E2116+0</f>
        <v>102</v>
      </c>
      <c r="J2116" s="12">
        <v>10900</v>
      </c>
      <c r="K2116" s="13">
        <f>$E2116+1</f>
        <v>103</v>
      </c>
      <c r="L2116" s="14">
        <f>IF($J2116=0,0,ROUND(MAX($J2116*1.4,1620000*(1.497923^(MIN($E2116,123)-117)))*1,0))</f>
        <v>15260</v>
      </c>
      <c r="M2116" s="11">
        <f>$E2116+2</f>
        <v>104</v>
      </c>
      <c r="N2116" s="12">
        <f>IF($J2116=0,0,ROUND(MAX($J2116*1.4*1.5,2190000*(1.580994^(MIN($E2116,123)-117)))*1,0))</f>
        <v>22890</v>
      </c>
      <c r="O2116" s="13">
        <f>$E2116+4</f>
        <v>106</v>
      </c>
      <c r="P2116" s="14">
        <f>IF($J2116=0,0,ROUND(MAX($J2116*1.4*1.5*1.6,3500000*(1.57975^(MIN($E2116,123)-117)))*1,0))</f>
        <v>36624</v>
      </c>
      <c r="Q2116" s="11">
        <f>$E2116+6</f>
        <v>108</v>
      </c>
      <c r="R2116" s="12">
        <f>IF($J2116=0,0,ROUND(MAX($J2116*1.4*1.5*1.6*1.6,13100000*(1.429962^(MIN($E2116,123)-117)))*1,0))</f>
        <v>61292</v>
      </c>
      <c r="S2116" s="13">
        <f>$E2116+8</f>
        <v>110</v>
      </c>
      <c r="T2116" s="14">
        <f>IF($J2116=0,0,ROUND(MAX($J2116*1.4*1.5*1.6*1.6*2.2,42600000*(1.576904^(MIN($E2116,123)-117)))*1,0))</f>
        <v>128916</v>
      </c>
      <c r="U2116" s="11">
        <f>$E2116+11</f>
        <v>113</v>
      </c>
      <c r="V2116" s="12">
        <f>IF($J2116=0,0,ROUND(MAX($J2116*1.4*1.5*1.6*1.6*2.2*2.715,354000000*(1.642074^(MIN($E2116,123)-117)))*1,0))</f>
        <v>350008</v>
      </c>
      <c r="W2116" s="13">
        <f>$E2116+15</f>
        <v>117</v>
      </c>
      <c r="X2116" s="14">
        <f>IF($J2116=0,0,ROUND(MAX($J2116*1.4*1.5*1.6*1.6*2.2*2.715*2.6,3540000000*(1.579646^(MIN($E2116,123)-117)))*1,0))</f>
        <v>3720546</v>
      </c>
      <c r="Y2116" s="11">
        <f>$E2116+17</f>
        <v>119</v>
      </c>
      <c r="Z2116" s="12">
        <f>IF($J2116=0,0,ROUND(MAX($J2116*1.4*1.5*1.6*1.6*2.2*2.715*2.6*1.4,6020000000*(1.651178^(MIN($E2116,123)-117)))*1,0))</f>
        <v>3256028</v>
      </c>
      <c r="AA2116" s="13">
        <f>$E2116+19</f>
        <v>121</v>
      </c>
      <c r="AB2116" s="14">
        <f>IF($J2116=0,0,ROUND(MAX($J2116*1.4*1.5*1.6*1.6*2.2*2.715*2.6*1.4*1.4,8430000000*(1.651435^(MIN($E2116,123)-117)))*1,0))</f>
        <v>4548889</v>
      </c>
      <c r="AC2116" s="11">
        <f>$E2116+21</f>
        <v>123</v>
      </c>
      <c r="AD2116" s="12">
        <f>IF($J2116=0,0,ROUND(MAX($J2116*1.4*1.5*1.6*1.6*2.2*2.715*2.6*1.4*1.4*1.5,12600000000*(1.652953^(MIN($E2116,123)-117)))*1,0))</f>
        <v>6705991</v>
      </c>
      <c r="AE2116" s="13">
        <f>$E2116+24</f>
        <v>126</v>
      </c>
      <c r="AF2116" s="14">
        <f>IF($J2116=0,0,ROUND(MAX($J2116*1.4*1.5*1.6*1.6*2.2*2.715*2.6*1.4*1.4*1.5*1.5,18900000000*(1.65331^(MIN($E2116,123)-117)))*1,0))</f>
        <v>10026455</v>
      </c>
      <c r="AG2116" s="11">
        <f>$E2116+27</f>
        <v>129</v>
      </c>
      <c r="AH2116" s="12">
        <f>IF($J2116=0,0,ROUND(MAX($J2116*1.4*1.5*1.6*1.6*2.2*2.715*2.6*1.4*1.4*1.5*1.5*3.2,60500000000*(1.654288^(MIN($E2116,123)-117)))*1,0))</f>
        <v>31811825</v>
      </c>
    </row>
    <row r="2117" ht="28" customHeight="1" spans="1:34" x14ac:dyDescent="0.25">
      <c r="A2117">
        <v>2127</v>
      </c>
      <c r="B2117" t="s">
        <v>536</v>
      </c>
      <c r="C2117" s="10" t="s">
        <v>1276</v>
      </c>
      <c r="D2117" t="s">
        <v>40</v>
      </c>
      <c r="E2117">
        <v>102</v>
      </c>
      <c r="F2117" t="s">
        <v>26</v>
      </c>
      <c r="G2117" t="s">
        <v>1277</v>
      </c>
      <c r="H2117">
        <v>22</v>
      </c>
      <c r="I2117" s="11">
        <f>$E2117+0</f>
        <v>102</v>
      </c>
      <c r="J2117" s="12">
        <v>21600</v>
      </c>
      <c r="K2117" s="13">
        <f>$E2117+1</f>
        <v>103</v>
      </c>
      <c r="L2117" s="14">
        <f>IF($J2117=0,0,ROUND(MAX($J2117*1.4,1620000*(1.497923^(MIN($E2117,123)-117)))*1,0))</f>
        <v>30240</v>
      </c>
      <c r="M2117" s="11">
        <f>$E2117+2</f>
        <v>104</v>
      </c>
      <c r="N2117" s="12">
        <f>IF($J2117=0,0,ROUND(MAX($J2117*1.4*1.5,2190000*(1.580994^(MIN($E2117,123)-117)))*1,0))</f>
        <v>45360</v>
      </c>
      <c r="O2117" s="13">
        <f>$E2117+4</f>
        <v>106</v>
      </c>
      <c r="P2117" s="14">
        <f>IF($J2117=0,0,ROUND(MAX($J2117*1.4*1.5*1.6,3500000*(1.57975^(MIN($E2117,123)-117)))*1,0))</f>
        <v>72576</v>
      </c>
      <c r="Q2117" s="11">
        <f>$E2117+6</f>
        <v>108</v>
      </c>
      <c r="R2117" s="12">
        <f>IF($J2117=0,0,ROUND(MAX($J2117*1.4*1.5*1.6*1.6,13100000*(1.429962^(MIN($E2117,123)-117)))*1,0))</f>
        <v>116122</v>
      </c>
      <c r="S2117" s="13">
        <f>$E2117+8</f>
        <v>110</v>
      </c>
      <c r="T2117" s="14">
        <f>IF($J2117=0,0,ROUND(MAX($J2117*1.4*1.5*1.6*1.6*2.2,42600000*(1.576904^(MIN($E2117,123)-117)))*1,0))</f>
        <v>255468</v>
      </c>
      <c r="U2117" s="11">
        <f>$E2117+11</f>
        <v>113</v>
      </c>
      <c r="V2117" s="12">
        <f>IF($J2117=0,0,ROUND(MAX($J2117*1.4*1.5*1.6*1.6*2.2*2.715,354000000*(1.642074^(MIN($E2117,123)-117)))*1,0))</f>
        <v>693594</v>
      </c>
      <c r="W2117" s="13">
        <f>$E2117+15</f>
        <v>117</v>
      </c>
      <c r="X2117" s="14">
        <f>IF($J2117=0,0,ROUND(MAX($J2117*1.4*1.5*1.6*1.6*2.2*2.715*2.6,3540000000*(1.579646^(MIN($E2117,123)-117)))*1,0))</f>
        <v>3720546</v>
      </c>
      <c r="Y2117" s="11">
        <f>$E2117+17</f>
        <v>119</v>
      </c>
      <c r="Z2117" s="12">
        <f>IF($J2117=0,0,ROUND(MAX($J2117*1.4*1.5*1.6*1.6*2.2*2.715*2.6*1.4,6020000000*(1.651178^(MIN($E2117,123)-117)))*1,0))</f>
        <v>3256028</v>
      </c>
      <c r="AA2117" s="13">
        <f>$E2117+19</f>
        <v>121</v>
      </c>
      <c r="AB2117" s="14">
        <f>IF($J2117=0,0,ROUND(MAX($J2117*1.4*1.5*1.6*1.6*2.2*2.715*2.6*1.4*1.4,8430000000*(1.651435^(MIN($E2117,123)-117)))*1,0))</f>
        <v>4548889</v>
      </c>
      <c r="AC2117" s="11">
        <f>$E2117+21</f>
        <v>123</v>
      </c>
      <c r="AD2117" s="12">
        <f>IF($J2117=0,0,ROUND(MAX($J2117*1.4*1.5*1.6*1.6*2.2*2.715*2.6*1.4*1.4*1.5,12600000000*(1.652953^(MIN($E2117,123)-117)))*1,0))</f>
        <v>6705991</v>
      </c>
      <c r="AE2117" s="13">
        <f>$E2117+24</f>
        <v>126</v>
      </c>
      <c r="AF2117" s="14">
        <f>IF($J2117=0,0,ROUND(MAX($J2117*1.4*1.5*1.6*1.6*2.2*2.715*2.6*1.4*1.4*1.5*1.5,18900000000*(1.65331^(MIN($E2117,123)-117)))*1,0))</f>
        <v>10026455</v>
      </c>
      <c r="AG2117" s="11">
        <f>$E2117+27</f>
        <v>129</v>
      </c>
      <c r="AH2117" s="12">
        <f>IF($J2117=0,0,ROUND(MAX($J2117*1.4*1.5*1.6*1.6*2.2*2.715*2.6*1.4*1.4*1.5*1.5*3.2,60500000000*(1.654288^(MIN($E2117,123)-117)))*1,0))</f>
        <v>31811825</v>
      </c>
    </row>
    <row r="2118" ht="28" customHeight="1" spans="1:34" x14ac:dyDescent="0.25">
      <c r="A2118">
        <v>2128</v>
      </c>
      <c r="B2118" t="s">
        <v>839</v>
      </c>
      <c r="C2118" s="10" t="s">
        <v>1276</v>
      </c>
      <c r="D2118" t="s">
        <v>40</v>
      </c>
      <c r="E2118">
        <v>102</v>
      </c>
      <c r="F2118" t="s">
        <v>174</v>
      </c>
      <c r="G2118" t="s">
        <v>1277</v>
      </c>
      <c r="H2118">
        <v>22</v>
      </c>
      <c r="I2118" s="11">
        <f>$E2118+0</f>
        <v>102</v>
      </c>
      <c r="J2118" s="12">
        <v>6680</v>
      </c>
      <c r="K2118" s="13">
        <f>$E2118+1</f>
        <v>103</v>
      </c>
      <c r="L2118" s="14">
        <f>IF($J2118=0,0,ROUND(MAX($J2118*1.4,1620000*(1.497923^(MIN($E2118,123)-117)))*1,0))</f>
        <v>9352</v>
      </c>
      <c r="M2118" s="11">
        <f>$E2118+2</f>
        <v>104</v>
      </c>
      <c r="N2118" s="12">
        <f>IF($J2118=0,0,ROUND(MAX($J2118*1.4*1.5,2190000*(1.580994^(MIN($E2118,123)-117)))*1,0))</f>
        <v>14028</v>
      </c>
      <c r="O2118" s="13">
        <f>$E2118+4</f>
        <v>106</v>
      </c>
      <c r="P2118" s="14">
        <f>IF($J2118=0,0,ROUND(MAX($J2118*1.4*1.5*1.6,3500000*(1.57975^(MIN($E2118,123)-117)))*1,0))</f>
        <v>22445</v>
      </c>
      <c r="Q2118" s="11">
        <f>$E2118+6</f>
        <v>108</v>
      </c>
      <c r="R2118" s="12">
        <f>IF($J2118=0,0,ROUND(MAX($J2118*1.4*1.5*1.6*1.6,13100000*(1.429962^(MIN($E2118,123)-117)))*1,0))</f>
        <v>61292</v>
      </c>
      <c r="S2118" s="13">
        <f>$E2118+8</f>
        <v>110</v>
      </c>
      <c r="T2118" s="14">
        <f>IF($J2118=0,0,ROUND(MAX($J2118*1.4*1.5*1.6*1.6*2.2,42600000*(1.576904^(MIN($E2118,123)-117)))*1,0))</f>
        <v>79006</v>
      </c>
      <c r="U2118" s="11">
        <f>$E2118+11</f>
        <v>113</v>
      </c>
      <c r="V2118" s="12">
        <f>IF($J2118=0,0,ROUND(MAX($J2118*1.4*1.5*1.6*1.6*2.2*2.715,354000000*(1.642074^(MIN($E2118,123)-117)))*1,0))</f>
        <v>214500</v>
      </c>
      <c r="W2118" s="13">
        <f>$E2118+15</f>
        <v>117</v>
      </c>
      <c r="X2118" s="14">
        <f>IF($J2118=0,0,ROUND(MAX($J2118*1.4*1.5*1.6*1.6*2.2*2.715*2.6,3540000000*(1.579646^(MIN($E2118,123)-117)))*1,0))</f>
        <v>3720546</v>
      </c>
      <c r="Y2118" s="11">
        <f>$E2118+17</f>
        <v>119</v>
      </c>
      <c r="Z2118" s="12">
        <f>IF($J2118=0,0,ROUND(MAX($J2118*1.4*1.5*1.6*1.6*2.2*2.715*2.6*1.4,6020000000*(1.651178^(MIN($E2118,123)-117)))*1,0))</f>
        <v>3256028</v>
      </c>
      <c r="AA2118" s="13">
        <f>$E2118+19</f>
        <v>121</v>
      </c>
      <c r="AB2118" s="14">
        <f>IF($J2118=0,0,ROUND(MAX($J2118*1.4*1.5*1.6*1.6*2.2*2.715*2.6*1.4*1.4,8430000000*(1.651435^(MIN($E2118,123)-117)))*1,0))</f>
        <v>4548889</v>
      </c>
      <c r="AC2118" s="11">
        <f>$E2118+21</f>
        <v>123</v>
      </c>
      <c r="AD2118" s="12">
        <f>IF($J2118=0,0,ROUND(MAX($J2118*1.4*1.5*1.6*1.6*2.2*2.715*2.6*1.4*1.4*1.5,12600000000*(1.652953^(MIN($E2118,123)-117)))*1,0))</f>
        <v>6705991</v>
      </c>
      <c r="AE2118" s="13">
        <f>$E2118+24</f>
        <v>126</v>
      </c>
      <c r="AF2118" s="14">
        <f>IF($J2118=0,0,ROUND(MAX($J2118*1.4*1.5*1.6*1.6*2.2*2.715*2.6*1.4*1.4*1.5*1.5,18900000000*(1.65331^(MIN($E2118,123)-117)))*1,0))</f>
        <v>10026455</v>
      </c>
      <c r="AG2118" s="11">
        <f>$E2118+27</f>
        <v>129</v>
      </c>
      <c r="AH2118" s="12">
        <f>IF($J2118=0,0,ROUND(MAX($J2118*1.4*1.5*1.6*1.6*2.2*2.715*2.6*1.4*1.4*1.5*1.5*3.2,60500000000*(1.654288^(MIN($E2118,123)-117)))*1,0))</f>
        <v>31811825</v>
      </c>
    </row>
    <row r="2119" ht="28" customHeight="1" spans="1:34" x14ac:dyDescent="0.25">
      <c r="A2119">
        <v>2129</v>
      </c>
      <c r="B2119" t="s">
        <v>232</v>
      </c>
      <c r="C2119" s="10" t="s">
        <v>1278</v>
      </c>
      <c r="D2119" t="s">
        <v>25</v>
      </c>
      <c r="E2119">
        <v>112</v>
      </c>
      <c r="F2119" t="s">
        <v>59</v>
      </c>
      <c r="G2119" t="s">
        <v>57</v>
      </c>
      <c r="H2119">
        <v>27</v>
      </c>
      <c r="I2119" s="11">
        <f>$E2119+0</f>
        <v>112</v>
      </c>
      <c r="J2119" s="12">
        <v>70000</v>
      </c>
      <c r="K2119" s="13">
        <f>$E2119+1</f>
        <v>113</v>
      </c>
      <c r="L2119" s="14">
        <f>IF($J2119=0,0,ROUND(MAX($J2119*1.4,1620000*(1.497923^(MIN($E2119,123)-117)))*1,0))</f>
        <v>214816</v>
      </c>
      <c r="M2119" s="11">
        <f>$E2119+2</f>
        <v>114</v>
      </c>
      <c r="N2119" s="12">
        <f>IF($J2119=0,0,ROUND(MAX($J2119*1.4*1.5,2190000*(1.580994^(MIN($E2119,123)-117)))*1,0))</f>
        <v>221714</v>
      </c>
      <c r="O2119" s="13">
        <f>$E2119+4</f>
        <v>116</v>
      </c>
      <c r="P2119" s="14">
        <f>IF($J2119=0,0,ROUND(MAX($J2119*1.4*1.5*1.6,3500000*(1.57975^(MIN($E2119,123)-117)))*1,0))</f>
        <v>355735</v>
      </c>
      <c r="Q2119" s="11">
        <f>$E2119+6</f>
        <v>118</v>
      </c>
      <c r="R2119" s="12">
        <f>IF($J2119=0,0,ROUND(MAX($J2119*1.4*1.5*1.6*1.6,13100000*(1.429962^(MIN($E2119,123)-117)))*1,0))</f>
        <v>2191032</v>
      </c>
      <c r="S2119" s="13">
        <f>$E2119+8</f>
        <v>120</v>
      </c>
      <c r="T2119" s="14">
        <f>IF($J2119=0,0,ROUND(MAX($J2119*1.4*1.5*1.6*1.6*2.2,42600000*(1.576904^(MIN($E2119,123)-117)))*1,0))</f>
        <v>4369013</v>
      </c>
      <c r="U2119" s="11">
        <f>$E2119+11</f>
        <v>123</v>
      </c>
      <c r="V2119" s="12">
        <f>IF($J2119=0,0,ROUND(MAX($J2119*1.4*1.5*1.6*1.6*2.2*2.715,354000000*(1.642074^(MIN($E2119,123)-117)))*1,0))</f>
        <v>29651020</v>
      </c>
      <c r="W2119" s="13">
        <f>$E2119+15</f>
        <v>127</v>
      </c>
      <c r="X2119" s="14">
        <f>IF($J2119=0,0,ROUND(MAX($J2119*1.4*1.5*1.6*1.6*2.2*2.715*2.6,3540000000*(1.579646^(MIN($E2119,123)-117)))*1,0))</f>
        <v>359918692</v>
      </c>
      <c r="Y2119" s="11">
        <f>$E2119+17</f>
        <v>129</v>
      </c>
      <c r="Z2119" s="12">
        <f>IF($J2119=0,0,ROUND(MAX($J2119*1.4*1.5*1.6*1.6*2.2*2.715*2.6*1.4,6020000000*(1.651178^(MIN($E2119,123)-117)))*1,0))</f>
        <v>490486461</v>
      </c>
      <c r="AA2119" s="13">
        <f>$E2119+19</f>
        <v>131</v>
      </c>
      <c r="AB2119" s="14">
        <f>IF($J2119=0,0,ROUND(MAX($J2119*1.4*1.5*1.6*1.6*2.2*2.715*2.6*1.4*1.4,8430000000*(1.651435^(MIN($E2119,123)-117)))*1,0))</f>
        <v>686309723</v>
      </c>
      <c r="AC2119" s="11">
        <f>$E2119+21</f>
        <v>133</v>
      </c>
      <c r="AD2119" s="12">
        <f>IF($J2119=0,0,ROUND(MAX($J2119*1.4*1.5*1.6*1.6*2.2*2.715*2.6*1.4*1.4*1.5,12600000000*(1.652953^(MIN($E2119,123)-117)))*1,0))</f>
        <v>1021099398</v>
      </c>
      <c r="AE2119" s="13">
        <f>$E2119+24</f>
        <v>136</v>
      </c>
      <c r="AF2119" s="14">
        <f>IF($J2119=0,0,ROUND(MAX($J2119*1.4*1.5*1.6*1.6*2.2*2.715*2.6*1.4*1.4*1.5*1.5,18900000000*(1.65331^(MIN($E2119,123)-117)))*1,0))</f>
        <v>1529996162</v>
      </c>
      <c r="AG2119" s="11">
        <f>$E2119+27</f>
        <v>139</v>
      </c>
      <c r="AH2119" s="12">
        <f>IF($J2119=0,0,ROUND(MAX($J2119*1.4*1.5*1.6*1.6*2.2*2.715*2.6*1.4*1.4*1.5*1.5*3.2,60500000000*(1.654288^(MIN($E2119,123)-117)))*1,0))</f>
        <v>4883146766</v>
      </c>
    </row>
    <row r="2120" ht="28" customHeight="1" spans="1:34" x14ac:dyDescent="0.25">
      <c r="A2120">
        <v>2130</v>
      </c>
      <c r="B2120" t="s">
        <v>255</v>
      </c>
      <c r="C2120" s="10" t="s">
        <v>1278</v>
      </c>
      <c r="D2120" t="s">
        <v>64</v>
      </c>
      <c r="E2120">
        <v>112</v>
      </c>
      <c r="F2120" t="s">
        <v>37</v>
      </c>
      <c r="G2120" t="s">
        <v>133</v>
      </c>
      <c r="H2120">
        <v>26</v>
      </c>
      <c r="I2120" s="11">
        <f>$E2120+0</f>
        <v>112</v>
      </c>
      <c r="J2120" s="12">
        <v>66000</v>
      </c>
      <c r="K2120" s="13">
        <f>$E2120+1</f>
        <v>113</v>
      </c>
      <c r="L2120" s="14">
        <f>IF($J2120=0,0,ROUND(MAX($J2120*1.4,1620000*(1.497923^(MIN($E2120,123)-117)))*1,0))</f>
        <v>214816</v>
      </c>
      <c r="M2120" s="11">
        <f>$E2120+2</f>
        <v>114</v>
      </c>
      <c r="N2120" s="12">
        <f>IF($J2120=0,0,ROUND(MAX($J2120*1.4*1.5,2190000*(1.580994^(MIN($E2120,123)-117)))*1,0))</f>
        <v>221714</v>
      </c>
      <c r="O2120" s="13">
        <f>$E2120+4</f>
        <v>116</v>
      </c>
      <c r="P2120" s="14">
        <f>IF($J2120=0,0,ROUND(MAX($J2120*1.4*1.5*1.6,3500000*(1.57975^(MIN($E2120,123)-117)))*1,0))</f>
        <v>355735</v>
      </c>
      <c r="Q2120" s="11">
        <f>$E2120+6</f>
        <v>118</v>
      </c>
      <c r="R2120" s="12">
        <f>IF($J2120=0,0,ROUND(MAX($J2120*1.4*1.5*1.6*1.6,13100000*(1.429962^(MIN($E2120,123)-117)))*1,0))</f>
        <v>2191032</v>
      </c>
      <c r="S2120" s="13">
        <f>$E2120+8</f>
        <v>120</v>
      </c>
      <c r="T2120" s="14">
        <f>IF($J2120=0,0,ROUND(MAX($J2120*1.4*1.5*1.6*1.6*2.2,42600000*(1.576904^(MIN($E2120,123)-117)))*1,0))</f>
        <v>4369013</v>
      </c>
      <c r="U2120" s="11">
        <f>$E2120+11</f>
        <v>123</v>
      </c>
      <c r="V2120" s="12">
        <f>IF($J2120=0,0,ROUND(MAX($J2120*1.4*1.5*1.6*1.6*2.2*2.715,354000000*(1.642074^(MIN($E2120,123)-117)))*1,0))</f>
        <v>29651020</v>
      </c>
      <c r="W2120" s="13">
        <f>$E2120+15</f>
        <v>127</v>
      </c>
      <c r="X2120" s="14">
        <f>IF($J2120=0,0,ROUND(MAX($J2120*1.4*1.5*1.6*1.6*2.2*2.715*2.6,3540000000*(1.579646^(MIN($E2120,123)-117)))*1,0))</f>
        <v>359918692</v>
      </c>
      <c r="Y2120" s="11">
        <f>$E2120+17</f>
        <v>129</v>
      </c>
      <c r="Z2120" s="12">
        <f>IF($J2120=0,0,ROUND(MAX($J2120*1.4*1.5*1.6*1.6*2.2*2.715*2.6*1.4,6020000000*(1.651178^(MIN($E2120,123)-117)))*1,0))</f>
        <v>490486461</v>
      </c>
      <c r="AA2120" s="13">
        <f>$E2120+19</f>
        <v>131</v>
      </c>
      <c r="AB2120" s="14">
        <f>IF($J2120=0,0,ROUND(MAX($J2120*1.4*1.5*1.6*1.6*2.2*2.715*2.6*1.4*1.4,8430000000*(1.651435^(MIN($E2120,123)-117)))*1,0))</f>
        <v>686309723</v>
      </c>
      <c r="AC2120" s="11">
        <f>$E2120+21</f>
        <v>133</v>
      </c>
      <c r="AD2120" s="12">
        <f>IF($J2120=0,0,ROUND(MAX($J2120*1.4*1.5*1.6*1.6*2.2*2.715*2.6*1.4*1.4*1.5,12600000000*(1.652953^(MIN($E2120,123)-117)))*1,0))</f>
        <v>1021099398</v>
      </c>
      <c r="AE2120" s="13">
        <f>$E2120+24</f>
        <v>136</v>
      </c>
      <c r="AF2120" s="14">
        <f>IF($J2120=0,0,ROUND(MAX($J2120*1.4*1.5*1.6*1.6*2.2*2.715*2.6*1.4*1.4*1.5*1.5,18900000000*(1.65331^(MIN($E2120,123)-117)))*1,0))</f>
        <v>1529996162</v>
      </c>
      <c r="AG2120" s="11">
        <f>$E2120+27</f>
        <v>139</v>
      </c>
      <c r="AH2120" s="12">
        <f>IF($J2120=0,0,ROUND(MAX($J2120*1.4*1.5*1.6*1.6*2.2*2.715*2.6*1.4*1.4*1.5*1.5*3.2,60500000000*(1.654288^(MIN($E2120,123)-117)))*1,0))</f>
        <v>4883146766</v>
      </c>
    </row>
    <row r="2121" ht="28" customHeight="1" spans="1:34" x14ac:dyDescent="0.25">
      <c r="A2121">
        <v>2131</v>
      </c>
      <c r="B2121" t="s">
        <v>1235</v>
      </c>
      <c r="C2121" s="10" t="s">
        <v>1278</v>
      </c>
      <c r="D2121" t="s">
        <v>64</v>
      </c>
      <c r="E2121">
        <v>111</v>
      </c>
      <c r="F2121" t="s">
        <v>30</v>
      </c>
      <c r="G2121" t="s">
        <v>38</v>
      </c>
      <c r="H2121">
        <v>26</v>
      </c>
      <c r="I2121" s="11">
        <f>$E2121+0</f>
        <v>111</v>
      </c>
      <c r="J2121" s="12">
        <v>40000</v>
      </c>
      <c r="K2121" s="13">
        <f>$E2121+1</f>
        <v>112</v>
      </c>
      <c r="L2121" s="14">
        <f>IF($J2121=0,0,ROUND(MAX($J2121*1.4,1620000*(1.497923^(MIN($E2121,123)-117)))*1,0))</f>
        <v>143410</v>
      </c>
      <c r="M2121" s="11">
        <f>$E2121+2</f>
        <v>113</v>
      </c>
      <c r="N2121" s="12">
        <f>IF($J2121=0,0,ROUND(MAX($J2121*1.4*1.5,2190000*(1.580994^(MIN($E2121,123)-117)))*1,0))</f>
        <v>140237</v>
      </c>
      <c r="O2121" s="13">
        <f>$E2121+4</f>
        <v>115</v>
      </c>
      <c r="P2121" s="14">
        <f>IF($J2121=0,0,ROUND(MAX($J2121*1.4*1.5*1.6,3500000*(1.57975^(MIN($E2121,123)-117)))*1,0))</f>
        <v>225184</v>
      </c>
      <c r="Q2121" s="11">
        <f>$E2121+6</f>
        <v>117</v>
      </c>
      <c r="R2121" s="12">
        <f>IF($J2121=0,0,ROUND(MAX($J2121*1.4*1.5*1.6*1.6,13100000*(1.429962^(MIN($E2121,123)-117)))*1,0))</f>
        <v>1532231</v>
      </c>
      <c r="S2121" s="13">
        <f>$E2121+8</f>
        <v>119</v>
      </c>
      <c r="T2121" s="14">
        <f>IF($J2121=0,0,ROUND(MAX($J2121*1.4*1.5*1.6*1.6*2.2,42600000*(1.576904^(MIN($E2121,123)-117)))*1,0))</f>
        <v>2770627</v>
      </c>
      <c r="U2121" s="11">
        <f>$E2121+11</f>
        <v>122</v>
      </c>
      <c r="V2121" s="12">
        <f>IF($J2121=0,0,ROUND(MAX($J2121*1.4*1.5*1.6*1.6*2.2*2.715,354000000*(1.642074^(MIN($E2121,123)-117)))*1,0))</f>
        <v>18057055</v>
      </c>
      <c r="W2121" s="13">
        <f>$E2121+15</f>
        <v>126</v>
      </c>
      <c r="X2121" s="14">
        <f>IF($J2121=0,0,ROUND(MAX($J2121*1.4*1.5*1.6*1.6*2.2*2.715*2.6,3540000000*(1.579646^(MIN($E2121,123)-117)))*1,0))</f>
        <v>227847690</v>
      </c>
      <c r="Y2121" s="11">
        <f>$E2121+17</f>
        <v>128</v>
      </c>
      <c r="Z2121" s="12">
        <f>IF($J2121=0,0,ROUND(MAX($J2121*1.4*1.5*1.6*1.6*2.2*2.715*2.6*1.4,6020000000*(1.651178^(MIN($E2121,123)-117)))*1,0))</f>
        <v>297052444</v>
      </c>
      <c r="AA2121" s="13">
        <f>$E2121+19</f>
        <v>130</v>
      </c>
      <c r="AB2121" s="14">
        <f>IF($J2121=0,0,ROUND(MAX($J2121*1.4*1.5*1.6*1.6*2.2*2.715*2.6*1.4*1.4,8430000000*(1.651435^(MIN($E2121,123)-117)))*1,0))</f>
        <v>415583854</v>
      </c>
      <c r="AC2121" s="11">
        <f>$E2121+21</f>
        <v>132</v>
      </c>
      <c r="AD2121" s="12">
        <f>IF($J2121=0,0,ROUND(MAX($J2121*1.4*1.5*1.6*1.6*2.2*2.715*2.6*1.4*1.4*1.5,12600000000*(1.652953^(MIN($E2121,123)-117)))*1,0))</f>
        <v>617742548</v>
      </c>
      <c r="AE2121" s="13">
        <f>$E2121+24</f>
        <v>135</v>
      </c>
      <c r="AF2121" s="14">
        <f>IF($J2121=0,0,ROUND(MAX($J2121*1.4*1.5*1.6*1.6*2.2*2.715*2.6*1.4*1.4*1.5*1.5,18900000000*(1.65331^(MIN($E2121,123)-117)))*1,0))</f>
        <v>925413965</v>
      </c>
      <c r="AG2121" s="11">
        <f>$E2121+27</f>
        <v>138</v>
      </c>
      <c r="AH2121" s="12">
        <f>IF($J2121=0,0,ROUND(MAX($J2121*1.4*1.5*1.6*1.6*2.2*2.715*2.6*1.4*1.4*1.5*1.5*3.2,60500000000*(1.654288^(MIN($E2121,123)-117)))*1,0))</f>
        <v>2951811756</v>
      </c>
    </row>
    <row r="2122" ht="28" customHeight="1" spans="1:34" x14ac:dyDescent="0.25">
      <c r="A2122">
        <v>2132</v>
      </c>
      <c r="B2122" t="s">
        <v>1162</v>
      </c>
      <c r="C2122" s="10" t="s">
        <v>1278</v>
      </c>
      <c r="D2122" t="s">
        <v>45</v>
      </c>
      <c r="E2122">
        <v>111</v>
      </c>
      <c r="F2122" t="s">
        <v>42</v>
      </c>
      <c r="G2122" t="s">
        <v>72</v>
      </c>
      <c r="H2122">
        <v>26</v>
      </c>
      <c r="I2122" s="11">
        <f>$E2122+0</f>
        <v>111</v>
      </c>
      <c r="J2122" s="12">
        <v>40000</v>
      </c>
      <c r="K2122" s="13">
        <f>$E2122+1</f>
        <v>112</v>
      </c>
      <c r="L2122" s="14">
        <f>IF($J2122=0,0,ROUND(MAX($J2122*1.4,1620000*(1.497923^(MIN($E2122,123)-117)))*1,0))</f>
        <v>143410</v>
      </c>
      <c r="M2122" s="11">
        <f>$E2122+2</f>
        <v>113</v>
      </c>
      <c r="N2122" s="12">
        <f>IF($J2122=0,0,ROUND(MAX($J2122*1.4*1.5,2190000*(1.580994^(MIN($E2122,123)-117)))*1,0))</f>
        <v>140237</v>
      </c>
      <c r="O2122" s="13">
        <f>$E2122+4</f>
        <v>115</v>
      </c>
      <c r="P2122" s="14">
        <f>IF($J2122=0,0,ROUND(MAX($J2122*1.4*1.5*1.6,3500000*(1.57975^(MIN($E2122,123)-117)))*1,0))</f>
        <v>225184</v>
      </c>
      <c r="Q2122" s="11">
        <f>$E2122+6</f>
        <v>117</v>
      </c>
      <c r="R2122" s="12">
        <f>IF($J2122=0,0,ROUND(MAX($J2122*1.4*1.5*1.6*1.6,13100000*(1.429962^(MIN($E2122,123)-117)))*1,0))</f>
        <v>1532231</v>
      </c>
      <c r="S2122" s="13">
        <f>$E2122+8</f>
        <v>119</v>
      </c>
      <c r="T2122" s="14">
        <f>IF($J2122=0,0,ROUND(MAX($J2122*1.4*1.5*1.6*1.6*2.2,42600000*(1.576904^(MIN($E2122,123)-117)))*1,0))</f>
        <v>2770627</v>
      </c>
      <c r="U2122" s="11">
        <f>$E2122+11</f>
        <v>122</v>
      </c>
      <c r="V2122" s="12">
        <f>IF($J2122=0,0,ROUND(MAX($J2122*1.4*1.5*1.6*1.6*2.2*2.715,354000000*(1.642074^(MIN($E2122,123)-117)))*1,0))</f>
        <v>18057055</v>
      </c>
      <c r="W2122" s="13">
        <f>$E2122+15</f>
        <v>126</v>
      </c>
      <c r="X2122" s="14">
        <f>IF($J2122=0,0,ROUND(MAX($J2122*1.4*1.5*1.6*1.6*2.2*2.715*2.6,3540000000*(1.579646^(MIN($E2122,123)-117)))*1,0))</f>
        <v>227847690</v>
      </c>
      <c r="Y2122" s="11">
        <f>$E2122+17</f>
        <v>128</v>
      </c>
      <c r="Z2122" s="12">
        <f>IF($J2122=0,0,ROUND(MAX($J2122*1.4*1.5*1.6*1.6*2.2*2.715*2.6*1.4,6020000000*(1.651178^(MIN($E2122,123)-117)))*1,0))</f>
        <v>297052444</v>
      </c>
      <c r="AA2122" s="13">
        <f>$E2122+19</f>
        <v>130</v>
      </c>
      <c r="AB2122" s="14">
        <f>IF($J2122=0,0,ROUND(MAX($J2122*1.4*1.5*1.6*1.6*2.2*2.715*2.6*1.4*1.4,8430000000*(1.651435^(MIN($E2122,123)-117)))*1,0))</f>
        <v>415583854</v>
      </c>
      <c r="AC2122" s="11">
        <f>$E2122+21</f>
        <v>132</v>
      </c>
      <c r="AD2122" s="12">
        <f>IF($J2122=0,0,ROUND(MAX($J2122*1.4*1.5*1.6*1.6*2.2*2.715*2.6*1.4*1.4*1.5,12600000000*(1.652953^(MIN($E2122,123)-117)))*1,0))</f>
        <v>617742548</v>
      </c>
      <c r="AE2122" s="13">
        <f>$E2122+24</f>
        <v>135</v>
      </c>
      <c r="AF2122" s="14">
        <f>IF($J2122=0,0,ROUND(MAX($J2122*1.4*1.5*1.6*1.6*2.2*2.715*2.6*1.4*1.4*1.5*1.5,18900000000*(1.65331^(MIN($E2122,123)-117)))*1,0))</f>
        <v>925413965</v>
      </c>
      <c r="AG2122" s="11">
        <f>$E2122+27</f>
        <v>138</v>
      </c>
      <c r="AH2122" s="12">
        <f>IF($J2122=0,0,ROUND(MAX($J2122*1.4*1.5*1.6*1.6*2.2*2.715*2.6*1.4*1.4*1.5*1.5*3.2,60500000000*(1.654288^(MIN($E2122,123)-117)))*1,0))</f>
        <v>2951811756</v>
      </c>
    </row>
    <row r="2123" ht="28" customHeight="1" spans="1:34" x14ac:dyDescent="0.25">
      <c r="A2123">
        <v>2133</v>
      </c>
      <c r="B2123" t="s">
        <v>1247</v>
      </c>
      <c r="C2123" s="10" t="s">
        <v>1278</v>
      </c>
      <c r="D2123" t="s">
        <v>25</v>
      </c>
      <c r="E2123">
        <v>111</v>
      </c>
      <c r="F2123" t="s">
        <v>56</v>
      </c>
      <c r="G2123" t="s">
        <v>171</v>
      </c>
      <c r="H2123">
        <v>26</v>
      </c>
      <c r="I2123" s="11">
        <f>$E2123+0</f>
        <v>111</v>
      </c>
      <c r="J2123" s="12">
        <v>20000</v>
      </c>
      <c r="K2123" s="13">
        <f>$E2123+1</f>
        <v>112</v>
      </c>
      <c r="L2123" s="14">
        <f>IF($J2123=0,0,ROUND(MAX($J2123*1.4,1620000*(1.497923^(MIN($E2123,123)-117)))*1,0))</f>
        <v>143410</v>
      </c>
      <c r="M2123" s="11">
        <f>$E2123+2</f>
        <v>113</v>
      </c>
      <c r="N2123" s="12">
        <f>IF($J2123=0,0,ROUND(MAX($J2123*1.4*1.5,2190000*(1.580994^(MIN($E2123,123)-117)))*1,0))</f>
        <v>140237</v>
      </c>
      <c r="O2123" s="13">
        <f>$E2123+4</f>
        <v>115</v>
      </c>
      <c r="P2123" s="14">
        <f>IF($J2123=0,0,ROUND(MAX($J2123*1.4*1.5*1.6,3500000*(1.57975^(MIN($E2123,123)-117)))*1,0))</f>
        <v>225184</v>
      </c>
      <c r="Q2123" s="11">
        <f>$E2123+6</f>
        <v>117</v>
      </c>
      <c r="R2123" s="12">
        <f>IF($J2123=0,0,ROUND(MAX($J2123*1.4*1.5*1.6*1.6,13100000*(1.429962^(MIN($E2123,123)-117)))*1,0))</f>
        <v>1532231</v>
      </c>
      <c r="S2123" s="13">
        <f>$E2123+8</f>
        <v>119</v>
      </c>
      <c r="T2123" s="14">
        <f>IF($J2123=0,0,ROUND(MAX($J2123*1.4*1.5*1.6*1.6*2.2,42600000*(1.576904^(MIN($E2123,123)-117)))*1,0))</f>
        <v>2770627</v>
      </c>
      <c r="U2123" s="11">
        <f>$E2123+11</f>
        <v>122</v>
      </c>
      <c r="V2123" s="12">
        <f>IF($J2123=0,0,ROUND(MAX($J2123*1.4*1.5*1.6*1.6*2.2*2.715,354000000*(1.642074^(MIN($E2123,123)-117)))*1,0))</f>
        <v>18057055</v>
      </c>
      <c r="W2123" s="13">
        <f>$E2123+15</f>
        <v>126</v>
      </c>
      <c r="X2123" s="14">
        <f>IF($J2123=0,0,ROUND(MAX($J2123*1.4*1.5*1.6*1.6*2.2*2.715*2.6,3540000000*(1.579646^(MIN($E2123,123)-117)))*1,0))</f>
        <v>227847690</v>
      </c>
      <c r="Y2123" s="11">
        <f>$E2123+17</f>
        <v>128</v>
      </c>
      <c r="Z2123" s="12">
        <f>IF($J2123=0,0,ROUND(MAX($J2123*1.4*1.5*1.6*1.6*2.2*2.715*2.6*1.4,6020000000*(1.651178^(MIN($E2123,123)-117)))*1,0))</f>
        <v>297052444</v>
      </c>
      <c r="AA2123" s="13">
        <f>$E2123+19</f>
        <v>130</v>
      </c>
      <c r="AB2123" s="14">
        <f>IF($J2123=0,0,ROUND(MAX($J2123*1.4*1.5*1.6*1.6*2.2*2.715*2.6*1.4*1.4,8430000000*(1.651435^(MIN($E2123,123)-117)))*1,0))</f>
        <v>415583854</v>
      </c>
      <c r="AC2123" s="11">
        <f>$E2123+21</f>
        <v>132</v>
      </c>
      <c r="AD2123" s="12">
        <f>IF($J2123=0,0,ROUND(MAX($J2123*1.4*1.5*1.6*1.6*2.2*2.715*2.6*1.4*1.4*1.5,12600000000*(1.652953^(MIN($E2123,123)-117)))*1,0))</f>
        <v>617742548</v>
      </c>
      <c r="AE2123" s="13">
        <f>$E2123+24</f>
        <v>135</v>
      </c>
      <c r="AF2123" s="14">
        <f>IF($J2123=0,0,ROUND(MAX($J2123*1.4*1.5*1.6*1.6*2.2*2.715*2.6*1.4*1.4*1.5*1.5,18900000000*(1.65331^(MIN($E2123,123)-117)))*1,0))</f>
        <v>925413965</v>
      </c>
      <c r="AG2123" s="11">
        <f>$E2123+27</f>
        <v>138</v>
      </c>
      <c r="AH2123" s="12">
        <f>IF($J2123=0,0,ROUND(MAX($J2123*1.4*1.5*1.6*1.6*2.2*2.715*2.6*1.4*1.4*1.5*1.5*3.2,60500000000*(1.654288^(MIN($E2123,123)-117)))*1,0))</f>
        <v>2951811756</v>
      </c>
    </row>
    <row r="2124" ht="28" customHeight="1" spans="1:34" x14ac:dyDescent="0.25">
      <c r="A2124">
        <v>2134</v>
      </c>
      <c r="B2124" t="s">
        <v>780</v>
      </c>
      <c r="C2124" s="10" t="s">
        <v>1278</v>
      </c>
      <c r="D2124" t="s">
        <v>90</v>
      </c>
      <c r="E2124">
        <v>111</v>
      </c>
      <c r="F2124" t="s">
        <v>56</v>
      </c>
      <c r="G2124" t="s">
        <v>38</v>
      </c>
      <c r="H2124">
        <v>25</v>
      </c>
      <c r="I2124" s="11">
        <f>$E2124+0</f>
        <v>111</v>
      </c>
      <c r="J2124" s="12">
        <v>30000</v>
      </c>
      <c r="K2124" s="13">
        <f>$E2124+1</f>
        <v>112</v>
      </c>
      <c r="L2124" s="14">
        <f>IF($J2124=0,0,ROUND(MAX($J2124*1.4,1620000*(1.497923^(MIN($E2124,123)-117)))*1,0))</f>
        <v>143410</v>
      </c>
      <c r="M2124" s="11">
        <f>$E2124+2</f>
        <v>113</v>
      </c>
      <c r="N2124" s="12">
        <f>IF($J2124=0,0,ROUND(MAX($J2124*1.4*1.5,2190000*(1.580994^(MIN($E2124,123)-117)))*1,0))</f>
        <v>140237</v>
      </c>
      <c r="O2124" s="13">
        <f>$E2124+4</f>
        <v>115</v>
      </c>
      <c r="P2124" s="14">
        <f>IF($J2124=0,0,ROUND(MAX($J2124*1.4*1.5*1.6,3500000*(1.57975^(MIN($E2124,123)-117)))*1,0))</f>
        <v>225184</v>
      </c>
      <c r="Q2124" s="11">
        <f>$E2124+6</f>
        <v>117</v>
      </c>
      <c r="R2124" s="12">
        <f>IF($J2124=0,0,ROUND(MAX($J2124*1.4*1.5*1.6*1.6,13100000*(1.429962^(MIN($E2124,123)-117)))*1,0))</f>
        <v>1532231</v>
      </c>
      <c r="S2124" s="13">
        <f>$E2124+8</f>
        <v>119</v>
      </c>
      <c r="T2124" s="14">
        <f>IF($J2124=0,0,ROUND(MAX($J2124*1.4*1.5*1.6*1.6*2.2,42600000*(1.576904^(MIN($E2124,123)-117)))*1,0))</f>
        <v>2770627</v>
      </c>
      <c r="U2124" s="11">
        <f>$E2124+11</f>
        <v>122</v>
      </c>
      <c r="V2124" s="12">
        <f>IF($J2124=0,0,ROUND(MAX($J2124*1.4*1.5*1.6*1.6*2.2*2.715,354000000*(1.642074^(MIN($E2124,123)-117)))*1,0))</f>
        <v>18057055</v>
      </c>
      <c r="W2124" s="13">
        <f>$E2124+15</f>
        <v>126</v>
      </c>
      <c r="X2124" s="14">
        <f>IF($J2124=0,0,ROUND(MAX($J2124*1.4*1.5*1.6*1.6*2.2*2.715*2.6,3540000000*(1.579646^(MIN($E2124,123)-117)))*1,0))</f>
        <v>227847690</v>
      </c>
      <c r="Y2124" s="11">
        <f>$E2124+17</f>
        <v>128</v>
      </c>
      <c r="Z2124" s="12">
        <f>IF($J2124=0,0,ROUND(MAX($J2124*1.4*1.5*1.6*1.6*2.2*2.715*2.6*1.4,6020000000*(1.651178^(MIN($E2124,123)-117)))*1,0))</f>
        <v>297052444</v>
      </c>
      <c r="AA2124" s="13">
        <f>$E2124+19</f>
        <v>130</v>
      </c>
      <c r="AB2124" s="14">
        <f>IF($J2124=0,0,ROUND(MAX($J2124*1.4*1.5*1.6*1.6*2.2*2.715*2.6*1.4*1.4,8430000000*(1.651435^(MIN($E2124,123)-117)))*1,0))</f>
        <v>415583854</v>
      </c>
      <c r="AC2124" s="11">
        <f>$E2124+21</f>
        <v>132</v>
      </c>
      <c r="AD2124" s="12">
        <f>IF($J2124=0,0,ROUND(MAX($J2124*1.4*1.5*1.6*1.6*2.2*2.715*2.6*1.4*1.4*1.5,12600000000*(1.652953^(MIN($E2124,123)-117)))*1,0))</f>
        <v>617742548</v>
      </c>
      <c r="AE2124" s="13">
        <f>$E2124+24</f>
        <v>135</v>
      </c>
      <c r="AF2124" s="14">
        <f>IF($J2124=0,0,ROUND(MAX($J2124*1.4*1.5*1.6*1.6*2.2*2.715*2.6*1.4*1.4*1.5*1.5,18900000000*(1.65331^(MIN($E2124,123)-117)))*1,0))</f>
        <v>925413965</v>
      </c>
      <c r="AG2124" s="11">
        <f>$E2124+27</f>
        <v>138</v>
      </c>
      <c r="AH2124" s="12">
        <f>IF($J2124=0,0,ROUND(MAX($J2124*1.4*1.5*1.6*1.6*2.2*2.715*2.6*1.4*1.4*1.5*1.5*3.2,60500000000*(1.654288^(MIN($E2124,123)-117)))*1,0))</f>
        <v>2951811756</v>
      </c>
    </row>
    <row r="2125" ht="28" customHeight="1" spans="1:34" x14ac:dyDescent="0.25">
      <c r="A2125">
        <v>2135</v>
      </c>
      <c r="B2125" t="s">
        <v>1279</v>
      </c>
      <c r="C2125" s="10" t="s">
        <v>1278</v>
      </c>
      <c r="D2125" t="s">
        <v>40</v>
      </c>
      <c r="E2125">
        <v>110</v>
      </c>
      <c r="F2125" t="s">
        <v>179</v>
      </c>
      <c r="G2125" t="s">
        <v>374</v>
      </c>
      <c r="H2125">
        <v>26</v>
      </c>
      <c r="I2125" s="11">
        <f>$E2125+0</f>
        <v>110</v>
      </c>
      <c r="J2125" s="12">
        <v>79200</v>
      </c>
      <c r="K2125" s="13">
        <f>$E2125+1</f>
        <v>111</v>
      </c>
      <c r="L2125" s="14">
        <f>IF($J2125=0,0,ROUND(MAX($J2125*1.4,1620000*(1.497923^(MIN($E2125,123)-117)))*1,0))</f>
        <v>110880</v>
      </c>
      <c r="M2125" s="11">
        <f>$E2125+2</f>
        <v>112</v>
      </c>
      <c r="N2125" s="12">
        <f>IF($J2125=0,0,ROUND(MAX($J2125*1.4*1.5,2190000*(1.580994^(MIN($E2125,123)-117)))*1,0))</f>
        <v>166320</v>
      </c>
      <c r="O2125" s="13">
        <f>$E2125+4</f>
        <v>114</v>
      </c>
      <c r="P2125" s="14">
        <f>IF($J2125=0,0,ROUND(MAX($J2125*1.4*1.5*1.6,3500000*(1.57975^(MIN($E2125,123)-117)))*1,0))</f>
        <v>266112</v>
      </c>
      <c r="Q2125" s="11">
        <f>$E2125+6</f>
        <v>116</v>
      </c>
      <c r="R2125" s="12">
        <f>IF($J2125=0,0,ROUND(MAX($J2125*1.4*1.5*1.6*1.6,13100000*(1.429962^(MIN($E2125,123)-117)))*1,0))</f>
        <v>1071519</v>
      </c>
      <c r="S2125" s="13">
        <f>$E2125+8</f>
        <v>118</v>
      </c>
      <c r="T2125" s="14">
        <f>IF($J2125=0,0,ROUND(MAX($J2125*1.4*1.5*1.6*1.6*2.2,42600000*(1.576904^(MIN($E2125,123)-117)))*1,0))</f>
        <v>1757004</v>
      </c>
      <c r="U2125" s="11">
        <f>$E2125+11</f>
        <v>121</v>
      </c>
      <c r="V2125" s="12">
        <f>IF($J2125=0,0,ROUND(MAX($J2125*1.4*1.5*1.6*1.6*2.2*2.715,354000000*(1.642074^(MIN($E2125,123)-117)))*1,0))</f>
        <v>10996493</v>
      </c>
      <c r="W2125" s="13">
        <f>$E2125+15</f>
        <v>125</v>
      </c>
      <c r="X2125" s="14">
        <f>IF($J2125=0,0,ROUND(MAX($J2125*1.4*1.5*1.6*1.6*2.2*2.715*2.6,3540000000*(1.579646^(MIN($E2125,123)-117)))*1,0))</f>
        <v>144239716</v>
      </c>
      <c r="Y2125" s="11">
        <f>$E2125+17</f>
        <v>127</v>
      </c>
      <c r="Z2125" s="12">
        <f>IF($J2125=0,0,ROUND(MAX($J2125*1.4*1.5*1.6*1.6*2.2*2.715*2.6*1.4,6020000000*(1.651178^(MIN($E2125,123)-117)))*1,0))</f>
        <v>179903344</v>
      </c>
      <c r="AA2125" s="13">
        <f>$E2125+19</f>
        <v>129</v>
      </c>
      <c r="AB2125" s="14">
        <f>IF($J2125=0,0,ROUND(MAX($J2125*1.4*1.5*1.6*1.6*2.2*2.715*2.6*1.4*1.4,8430000000*(1.651435^(MIN($E2125,123)-117)))*1,0))</f>
        <v>251650143</v>
      </c>
      <c r="AC2125" s="11">
        <f>$E2125+21</f>
        <v>131</v>
      </c>
      <c r="AD2125" s="12">
        <f>IF($J2125=0,0,ROUND(MAX($J2125*1.4*1.5*1.6*1.6*2.2*2.715*2.6*1.4*1.4*1.5,12600000000*(1.652953^(MIN($E2125,123)-117)))*1,0))</f>
        <v>373720576</v>
      </c>
      <c r="AE2125" s="13">
        <f>$E2125+24</f>
        <v>134</v>
      </c>
      <c r="AF2125" s="14">
        <f>IF($J2125=0,0,ROUND(MAX($J2125*1.4*1.5*1.6*1.6*2.2*2.715*2.6*1.4*1.4*1.5*1.5,18900000000*(1.65331^(MIN($E2125,123)-117)))*1,0))</f>
        <v>559734088</v>
      </c>
      <c r="AG2125" s="11">
        <f>$E2125+27</f>
        <v>137</v>
      </c>
      <c r="AH2125" s="12">
        <f>IF($J2125=0,0,ROUND(MAX($J2125*1.4*1.5*1.6*1.6*2.2*2.715*2.6*1.4*1.4*1.5*1.5*3.2,60500000000*(1.654288^(MIN($E2125,123)-117)))*1,0))</f>
        <v>1784339701</v>
      </c>
    </row>
    <row r="2126" ht="28" customHeight="1" spans="1:34" x14ac:dyDescent="0.25">
      <c r="A2126">
        <v>2136</v>
      </c>
      <c r="B2126" t="s">
        <v>347</v>
      </c>
      <c r="C2126" s="10" t="s">
        <v>1278</v>
      </c>
      <c r="D2126" t="s">
        <v>79</v>
      </c>
      <c r="E2126">
        <v>110</v>
      </c>
      <c r="F2126" t="s">
        <v>123</v>
      </c>
      <c r="G2126" t="s">
        <v>470</v>
      </c>
      <c r="H2126">
        <v>26</v>
      </c>
      <c r="I2126" s="11">
        <f>$E2126+0</f>
        <v>110</v>
      </c>
      <c r="J2126" s="12">
        <v>22000</v>
      </c>
      <c r="K2126" s="13">
        <f>$E2126+1</f>
        <v>111</v>
      </c>
      <c r="L2126" s="14">
        <f>IF($J2126=0,0,ROUND(MAX($J2126*1.4,1620000*(1.497923^(MIN($E2126,123)-117)))*1,0))</f>
        <v>95739</v>
      </c>
      <c r="M2126" s="11">
        <f>$E2126+2</f>
        <v>112</v>
      </c>
      <c r="N2126" s="12">
        <f>IF($J2126=0,0,ROUND(MAX($J2126*1.4*1.5,2190000*(1.580994^(MIN($E2126,123)-117)))*1,0))</f>
        <v>88702</v>
      </c>
      <c r="O2126" s="13">
        <f>$E2126+4</f>
        <v>114</v>
      </c>
      <c r="P2126" s="14">
        <f>IF($J2126=0,0,ROUND(MAX($J2126*1.4*1.5*1.6,3500000*(1.57975^(MIN($E2126,123)-117)))*1,0))</f>
        <v>142544</v>
      </c>
      <c r="Q2126" s="11">
        <f>$E2126+6</f>
        <v>116</v>
      </c>
      <c r="R2126" s="12">
        <f>IF($J2126=0,0,ROUND(MAX($J2126*1.4*1.5*1.6*1.6,13100000*(1.429962^(MIN($E2126,123)-117)))*1,0))</f>
        <v>1071519</v>
      </c>
      <c r="S2126" s="13">
        <f>$E2126+8</f>
        <v>118</v>
      </c>
      <c r="T2126" s="14">
        <f>IF($J2126=0,0,ROUND(MAX($J2126*1.4*1.5*1.6*1.6*2.2,42600000*(1.576904^(MIN($E2126,123)-117)))*1,0))</f>
        <v>1757004</v>
      </c>
      <c r="U2126" s="11">
        <f>$E2126+11</f>
        <v>121</v>
      </c>
      <c r="V2126" s="12">
        <f>IF($J2126=0,0,ROUND(MAX($J2126*1.4*1.5*1.6*1.6*2.2*2.715,354000000*(1.642074^(MIN($E2126,123)-117)))*1,0))</f>
        <v>10996493</v>
      </c>
      <c r="W2126" s="13">
        <f>$E2126+15</f>
        <v>125</v>
      </c>
      <c r="X2126" s="14">
        <f>IF($J2126=0,0,ROUND(MAX($J2126*1.4*1.5*1.6*1.6*2.2*2.715*2.6,3540000000*(1.579646^(MIN($E2126,123)-117)))*1,0))</f>
        <v>144239716</v>
      </c>
      <c r="Y2126" s="11">
        <f>$E2126+17</f>
        <v>127</v>
      </c>
      <c r="Z2126" s="12">
        <f>IF($J2126=0,0,ROUND(MAX($J2126*1.4*1.5*1.6*1.6*2.2*2.715*2.6*1.4,6020000000*(1.651178^(MIN($E2126,123)-117)))*1,0))</f>
        <v>179903344</v>
      </c>
      <c r="AA2126" s="13">
        <f>$E2126+19</f>
        <v>129</v>
      </c>
      <c r="AB2126" s="14">
        <f>IF($J2126=0,0,ROUND(MAX($J2126*1.4*1.5*1.6*1.6*2.2*2.715*2.6*1.4*1.4,8430000000*(1.651435^(MIN($E2126,123)-117)))*1,0))</f>
        <v>251650143</v>
      </c>
      <c r="AC2126" s="11">
        <f>$E2126+21</f>
        <v>131</v>
      </c>
      <c r="AD2126" s="12">
        <f>IF($J2126=0,0,ROUND(MAX($J2126*1.4*1.5*1.6*1.6*2.2*2.715*2.6*1.4*1.4*1.5,12600000000*(1.652953^(MIN($E2126,123)-117)))*1,0))</f>
        <v>373720576</v>
      </c>
      <c r="AE2126" s="13">
        <f>$E2126+24</f>
        <v>134</v>
      </c>
      <c r="AF2126" s="14">
        <f>IF($J2126=0,0,ROUND(MAX($J2126*1.4*1.5*1.6*1.6*2.2*2.715*2.6*1.4*1.4*1.5*1.5,18900000000*(1.65331^(MIN($E2126,123)-117)))*1,0))</f>
        <v>559734088</v>
      </c>
      <c r="AG2126" s="11">
        <f>$E2126+27</f>
        <v>137</v>
      </c>
      <c r="AH2126" s="12">
        <f>IF($J2126=0,0,ROUND(MAX($J2126*1.4*1.5*1.6*1.6*2.2*2.715*2.6*1.4*1.4*1.5*1.5*3.2,60500000000*(1.654288^(MIN($E2126,123)-117)))*1,0))</f>
        <v>1784339701</v>
      </c>
    </row>
    <row r="2127" ht="28" customHeight="1" spans="1:34" x14ac:dyDescent="0.25">
      <c r="A2127">
        <v>2137</v>
      </c>
      <c r="B2127" t="s">
        <v>299</v>
      </c>
      <c r="C2127" s="10" t="s">
        <v>1278</v>
      </c>
      <c r="D2127" t="s">
        <v>45</v>
      </c>
      <c r="E2127">
        <v>110</v>
      </c>
      <c r="F2127" t="s">
        <v>298</v>
      </c>
      <c r="G2127" t="s">
        <v>300</v>
      </c>
      <c r="H2127">
        <v>26</v>
      </c>
      <c r="I2127" s="11">
        <f>$E2127+0</f>
        <v>110</v>
      </c>
      <c r="J2127" s="12">
        <v>9900</v>
      </c>
      <c r="K2127" s="13">
        <f>$E2127+1</f>
        <v>111</v>
      </c>
      <c r="L2127" s="14">
        <f>IF($J2127=0,0,ROUND(MAX($J2127*1.4,1620000*(1.497923^(MIN($E2127,123)-117)))*1,0))</f>
        <v>95739</v>
      </c>
      <c r="M2127" s="11">
        <f>$E2127+2</f>
        <v>112</v>
      </c>
      <c r="N2127" s="12">
        <f>IF($J2127=0,0,ROUND(MAX($J2127*1.4*1.5,2190000*(1.580994^(MIN($E2127,123)-117)))*1,0))</f>
        <v>88702</v>
      </c>
      <c r="O2127" s="13">
        <f>$E2127+4</f>
        <v>114</v>
      </c>
      <c r="P2127" s="14">
        <f>IF($J2127=0,0,ROUND(MAX($J2127*1.4*1.5*1.6,3500000*(1.57975^(MIN($E2127,123)-117)))*1,0))</f>
        <v>142544</v>
      </c>
      <c r="Q2127" s="11">
        <f>$E2127+6</f>
        <v>116</v>
      </c>
      <c r="R2127" s="12">
        <f>IF($J2127=0,0,ROUND(MAX($J2127*1.4*1.5*1.6*1.6,13100000*(1.429962^(MIN($E2127,123)-117)))*1,0))</f>
        <v>1071519</v>
      </c>
      <c r="S2127" s="13">
        <f>$E2127+8</f>
        <v>118</v>
      </c>
      <c r="T2127" s="14">
        <f>IF($J2127=0,0,ROUND(MAX($J2127*1.4*1.5*1.6*1.6*2.2,42600000*(1.576904^(MIN($E2127,123)-117)))*1,0))</f>
        <v>1757004</v>
      </c>
      <c r="U2127" s="11">
        <f>$E2127+11</f>
        <v>121</v>
      </c>
      <c r="V2127" s="12">
        <f>IF($J2127=0,0,ROUND(MAX($J2127*1.4*1.5*1.6*1.6*2.2*2.715,354000000*(1.642074^(MIN($E2127,123)-117)))*1,0))</f>
        <v>10996493</v>
      </c>
      <c r="W2127" s="13">
        <f>$E2127+15</f>
        <v>125</v>
      </c>
      <c r="X2127" s="14">
        <f>IF($J2127=0,0,ROUND(MAX($J2127*1.4*1.5*1.6*1.6*2.2*2.715*2.6,3540000000*(1.579646^(MIN($E2127,123)-117)))*1,0))</f>
        <v>144239716</v>
      </c>
      <c r="Y2127" s="11">
        <f>$E2127+17</f>
        <v>127</v>
      </c>
      <c r="Z2127" s="12">
        <f>IF($J2127=0,0,ROUND(MAX($J2127*1.4*1.5*1.6*1.6*2.2*2.715*2.6*1.4,6020000000*(1.651178^(MIN($E2127,123)-117)))*1,0))</f>
        <v>179903344</v>
      </c>
      <c r="AA2127" s="13">
        <f>$E2127+19</f>
        <v>129</v>
      </c>
      <c r="AB2127" s="14">
        <f>IF($J2127=0,0,ROUND(MAX($J2127*1.4*1.5*1.6*1.6*2.2*2.715*2.6*1.4*1.4,8430000000*(1.651435^(MIN($E2127,123)-117)))*1,0))</f>
        <v>251650143</v>
      </c>
      <c r="AC2127" s="11">
        <f>$E2127+21</f>
        <v>131</v>
      </c>
      <c r="AD2127" s="12">
        <f>IF($J2127=0,0,ROUND(MAX($J2127*1.4*1.5*1.6*1.6*2.2*2.715*2.6*1.4*1.4*1.5,12600000000*(1.652953^(MIN($E2127,123)-117)))*1,0))</f>
        <v>373720576</v>
      </c>
      <c r="AE2127" s="13">
        <f>$E2127+24</f>
        <v>134</v>
      </c>
      <c r="AF2127" s="14">
        <f>IF($J2127=0,0,ROUND(MAX($J2127*1.4*1.5*1.6*1.6*2.2*2.715*2.6*1.4*1.4*1.5*1.5,18900000000*(1.65331^(MIN($E2127,123)-117)))*1,0))</f>
        <v>559734088</v>
      </c>
      <c r="AG2127" s="11">
        <f>$E2127+27</f>
        <v>137</v>
      </c>
      <c r="AH2127" s="12">
        <f>IF($J2127=0,0,ROUND(MAX($J2127*1.4*1.5*1.6*1.6*2.2*2.715*2.6*1.4*1.4*1.5*1.5*3.2,60500000000*(1.654288^(MIN($E2127,123)-117)))*1,0))</f>
        <v>1784339701</v>
      </c>
    </row>
    <row r="2128" ht="28" customHeight="1" spans="1:34" x14ac:dyDescent="0.25">
      <c r="A2128">
        <v>2138</v>
      </c>
      <c r="B2128" t="s">
        <v>1183</v>
      </c>
      <c r="C2128" s="10" t="s">
        <v>1278</v>
      </c>
      <c r="D2128" t="s">
        <v>102</v>
      </c>
      <c r="E2128">
        <v>110</v>
      </c>
      <c r="F2128" t="s">
        <v>385</v>
      </c>
      <c r="G2128" t="s">
        <v>98</v>
      </c>
      <c r="H2128">
        <v>25</v>
      </c>
      <c r="I2128" s="11">
        <f>$E2128+0</f>
        <v>110</v>
      </c>
      <c r="J2128" s="12">
        <v>10000</v>
      </c>
      <c r="K2128" s="13">
        <f>$E2128+1</f>
        <v>111</v>
      </c>
      <c r="L2128" s="14">
        <f>IF($J2128=0,0,ROUND(MAX($J2128*1.4,1620000*(1.497923^(MIN($E2128,123)-117)))*1,0))</f>
        <v>95739</v>
      </c>
      <c r="M2128" s="11">
        <f>$E2128+2</f>
        <v>112</v>
      </c>
      <c r="N2128" s="12">
        <f>IF($J2128=0,0,ROUND(MAX($J2128*1.4*1.5,2190000*(1.580994^(MIN($E2128,123)-117)))*1,0))</f>
        <v>88702</v>
      </c>
      <c r="O2128" s="13">
        <f>$E2128+4</f>
        <v>114</v>
      </c>
      <c r="P2128" s="14">
        <f>IF($J2128=0,0,ROUND(MAX($J2128*1.4*1.5*1.6,3500000*(1.57975^(MIN($E2128,123)-117)))*1,0))</f>
        <v>142544</v>
      </c>
      <c r="Q2128" s="11">
        <f>$E2128+6</f>
        <v>116</v>
      </c>
      <c r="R2128" s="12">
        <f>IF($J2128=0,0,ROUND(MAX($J2128*1.4*1.5*1.6*1.6,13100000*(1.429962^(MIN($E2128,123)-117)))*1,0))</f>
        <v>1071519</v>
      </c>
      <c r="S2128" s="13">
        <f>$E2128+8</f>
        <v>118</v>
      </c>
      <c r="T2128" s="14">
        <f>IF($J2128=0,0,ROUND(MAX($J2128*1.4*1.5*1.6*1.6*2.2,42600000*(1.576904^(MIN($E2128,123)-117)))*1,0))</f>
        <v>1757004</v>
      </c>
      <c r="U2128" s="11">
        <f>$E2128+11</f>
        <v>121</v>
      </c>
      <c r="V2128" s="12">
        <f>IF($J2128=0,0,ROUND(MAX($J2128*1.4*1.5*1.6*1.6*2.2*2.715,354000000*(1.642074^(MIN($E2128,123)-117)))*1,0))</f>
        <v>10996493</v>
      </c>
      <c r="W2128" s="13">
        <f>$E2128+15</f>
        <v>125</v>
      </c>
      <c r="X2128" s="14">
        <f>IF($J2128=0,0,ROUND(MAX($J2128*1.4*1.5*1.6*1.6*2.2*2.715*2.6,3540000000*(1.579646^(MIN($E2128,123)-117)))*1,0))</f>
        <v>144239716</v>
      </c>
      <c r="Y2128" s="11">
        <f>$E2128+17</f>
        <v>127</v>
      </c>
      <c r="Z2128" s="12">
        <f>IF($J2128=0,0,ROUND(MAX($J2128*1.4*1.5*1.6*1.6*2.2*2.715*2.6*1.4,6020000000*(1.651178^(MIN($E2128,123)-117)))*1,0))</f>
        <v>179903344</v>
      </c>
      <c r="AA2128" s="13">
        <f>$E2128+19</f>
        <v>129</v>
      </c>
      <c r="AB2128" s="14">
        <f>IF($J2128=0,0,ROUND(MAX($J2128*1.4*1.5*1.6*1.6*2.2*2.715*2.6*1.4*1.4,8430000000*(1.651435^(MIN($E2128,123)-117)))*1,0))</f>
        <v>251650143</v>
      </c>
      <c r="AC2128" s="11">
        <f>$E2128+21</f>
        <v>131</v>
      </c>
      <c r="AD2128" s="12">
        <f>IF($J2128=0,0,ROUND(MAX($J2128*1.4*1.5*1.6*1.6*2.2*2.715*2.6*1.4*1.4*1.5,12600000000*(1.652953^(MIN($E2128,123)-117)))*1,0))</f>
        <v>373720576</v>
      </c>
      <c r="AE2128" s="13">
        <f>$E2128+24</f>
        <v>134</v>
      </c>
      <c r="AF2128" s="14">
        <f>IF($J2128=0,0,ROUND(MAX($J2128*1.4*1.5*1.6*1.6*2.2*2.715*2.6*1.4*1.4*1.5*1.5,18900000000*(1.65331^(MIN($E2128,123)-117)))*1,0))</f>
        <v>559734088</v>
      </c>
      <c r="AG2128" s="11">
        <f>$E2128+27</f>
        <v>137</v>
      </c>
      <c r="AH2128" s="12">
        <f>IF($J2128=0,0,ROUND(MAX($J2128*1.4*1.5*1.6*1.6*2.2*2.715*2.6*1.4*1.4*1.5*1.5*3.2,60500000000*(1.654288^(MIN($E2128,123)-117)))*1,0))</f>
        <v>1784339701</v>
      </c>
    </row>
    <row r="2129" ht="28" customHeight="1" spans="1:34" x14ac:dyDescent="0.25">
      <c r="A2129">
        <v>2139</v>
      </c>
      <c r="B2129" t="s">
        <v>1280</v>
      </c>
      <c r="C2129" s="10" t="s">
        <v>1278</v>
      </c>
      <c r="D2129" t="s">
        <v>40</v>
      </c>
      <c r="E2129">
        <v>110</v>
      </c>
      <c r="F2129" t="s">
        <v>412</v>
      </c>
      <c r="G2129" t="s">
        <v>200</v>
      </c>
      <c r="H2129">
        <v>25</v>
      </c>
      <c r="I2129" s="11">
        <f>$E2129+0</f>
        <v>110</v>
      </c>
      <c r="J2129" s="12">
        <v>10000</v>
      </c>
      <c r="K2129" s="13">
        <f>$E2129+1</f>
        <v>111</v>
      </c>
      <c r="L2129" s="14">
        <f>IF($J2129=0,0,ROUND(MAX($J2129*1.4,1620000*(1.497923^(MIN($E2129,123)-117)))*1,0))</f>
        <v>95739</v>
      </c>
      <c r="M2129" s="11">
        <f>$E2129+2</f>
        <v>112</v>
      </c>
      <c r="N2129" s="12">
        <f>IF($J2129=0,0,ROUND(MAX($J2129*1.4*1.5,2190000*(1.580994^(MIN($E2129,123)-117)))*1,0))</f>
        <v>88702</v>
      </c>
      <c r="O2129" s="13">
        <f>$E2129+4</f>
        <v>114</v>
      </c>
      <c r="P2129" s="14">
        <f>IF($J2129=0,0,ROUND(MAX($J2129*1.4*1.5*1.6,3500000*(1.57975^(MIN($E2129,123)-117)))*1,0))</f>
        <v>142544</v>
      </c>
      <c r="Q2129" s="11">
        <f>$E2129+6</f>
        <v>116</v>
      </c>
      <c r="R2129" s="12">
        <f>IF($J2129=0,0,ROUND(MAX($J2129*1.4*1.5*1.6*1.6,13100000*(1.429962^(MIN($E2129,123)-117)))*1,0))</f>
        <v>1071519</v>
      </c>
      <c r="S2129" s="13">
        <f>$E2129+8</f>
        <v>118</v>
      </c>
      <c r="T2129" s="14">
        <f>IF($J2129=0,0,ROUND(MAX($J2129*1.4*1.5*1.6*1.6*2.2,42600000*(1.576904^(MIN($E2129,123)-117)))*1,0))</f>
        <v>1757004</v>
      </c>
      <c r="U2129" s="11">
        <f>$E2129+11</f>
        <v>121</v>
      </c>
      <c r="V2129" s="12">
        <f>IF($J2129=0,0,ROUND(MAX($J2129*1.4*1.5*1.6*1.6*2.2*2.715,354000000*(1.642074^(MIN($E2129,123)-117)))*1,0))</f>
        <v>10996493</v>
      </c>
      <c r="W2129" s="13">
        <f>$E2129+15</f>
        <v>125</v>
      </c>
      <c r="X2129" s="14">
        <f>IF($J2129=0,0,ROUND(MAX($J2129*1.4*1.5*1.6*1.6*2.2*2.715*2.6,3540000000*(1.579646^(MIN($E2129,123)-117)))*1,0))</f>
        <v>144239716</v>
      </c>
      <c r="Y2129" s="11">
        <f>$E2129+17</f>
        <v>127</v>
      </c>
      <c r="Z2129" s="12">
        <f>IF($J2129=0,0,ROUND(MAX($J2129*1.4*1.5*1.6*1.6*2.2*2.715*2.6*1.4,6020000000*(1.651178^(MIN($E2129,123)-117)))*1,0))</f>
        <v>179903344</v>
      </c>
      <c r="AA2129" s="13">
        <f>$E2129+19</f>
        <v>129</v>
      </c>
      <c r="AB2129" s="14">
        <f>IF($J2129=0,0,ROUND(MAX($J2129*1.4*1.5*1.6*1.6*2.2*2.715*2.6*1.4*1.4,8430000000*(1.651435^(MIN($E2129,123)-117)))*1,0))</f>
        <v>251650143</v>
      </c>
      <c r="AC2129" s="11">
        <f>$E2129+21</f>
        <v>131</v>
      </c>
      <c r="AD2129" s="12">
        <f>IF($J2129=0,0,ROUND(MAX($J2129*1.4*1.5*1.6*1.6*2.2*2.715*2.6*1.4*1.4*1.5,12600000000*(1.652953^(MIN($E2129,123)-117)))*1,0))</f>
        <v>373720576</v>
      </c>
      <c r="AE2129" s="13">
        <f>$E2129+24</f>
        <v>134</v>
      </c>
      <c r="AF2129" s="14">
        <f>IF($J2129=0,0,ROUND(MAX($J2129*1.4*1.5*1.6*1.6*2.2*2.715*2.6*1.4*1.4*1.5*1.5,18900000000*(1.65331^(MIN($E2129,123)-117)))*1,0))</f>
        <v>559734088</v>
      </c>
      <c r="AG2129" s="11">
        <f>$E2129+27</f>
        <v>137</v>
      </c>
      <c r="AH2129" s="12">
        <f>IF($J2129=0,0,ROUND(MAX($J2129*1.4*1.5*1.6*1.6*2.2*2.715*2.6*1.4*1.4*1.5*1.5*3.2,60500000000*(1.654288^(MIN($E2129,123)-117)))*1,0))</f>
        <v>1784339701</v>
      </c>
    </row>
    <row r="2130" ht="28" customHeight="1" spans="1:34" x14ac:dyDescent="0.25">
      <c r="A2130">
        <v>2140</v>
      </c>
      <c r="B2130" t="s">
        <v>616</v>
      </c>
      <c r="C2130" s="10" t="s">
        <v>1278</v>
      </c>
      <c r="D2130" t="s">
        <v>45</v>
      </c>
      <c r="E2130">
        <v>110</v>
      </c>
      <c r="F2130" t="s">
        <v>26</v>
      </c>
      <c r="G2130" t="s">
        <v>133</v>
      </c>
      <c r="H2130">
        <v>25</v>
      </c>
      <c r="I2130" s="11">
        <f>$E2130+0</f>
        <v>110</v>
      </c>
      <c r="J2130" s="12">
        <v>85300</v>
      </c>
      <c r="K2130" s="13">
        <f>$E2130+1</f>
        <v>111</v>
      </c>
      <c r="L2130" s="14">
        <f>IF($J2130=0,0,ROUND(MAX($J2130*1.4,1620000*(1.497923^(MIN($E2130,123)-117)))*1,0))</f>
        <v>119420</v>
      </c>
      <c r="M2130" s="11">
        <f>$E2130+2</f>
        <v>112</v>
      </c>
      <c r="N2130" s="12">
        <f>IF($J2130=0,0,ROUND(MAX($J2130*1.4*1.5,2190000*(1.580994^(MIN($E2130,123)-117)))*1,0))</f>
        <v>179130</v>
      </c>
      <c r="O2130" s="13">
        <f>$E2130+4</f>
        <v>114</v>
      </c>
      <c r="P2130" s="14">
        <f>IF($J2130=0,0,ROUND(MAX($J2130*1.4*1.5*1.6,3500000*(1.57975^(MIN($E2130,123)-117)))*1,0))</f>
        <v>286608</v>
      </c>
      <c r="Q2130" s="11">
        <f>$E2130+6</f>
        <v>116</v>
      </c>
      <c r="R2130" s="12">
        <f>IF($J2130=0,0,ROUND(MAX($J2130*1.4*1.5*1.6*1.6,13100000*(1.429962^(MIN($E2130,123)-117)))*1,0))</f>
        <v>1071519</v>
      </c>
      <c r="S2130" s="13">
        <f>$E2130+8</f>
        <v>118</v>
      </c>
      <c r="T2130" s="14">
        <f>IF($J2130=0,0,ROUND(MAX($J2130*1.4*1.5*1.6*1.6*2.2,42600000*(1.576904^(MIN($E2130,123)-117)))*1,0))</f>
        <v>1757004</v>
      </c>
      <c r="U2130" s="11">
        <f>$E2130+11</f>
        <v>121</v>
      </c>
      <c r="V2130" s="12">
        <f>IF($J2130=0,0,ROUND(MAX($J2130*1.4*1.5*1.6*1.6*2.2*2.715,354000000*(1.642074^(MIN($E2130,123)-117)))*1,0))</f>
        <v>10996493</v>
      </c>
      <c r="W2130" s="13">
        <f>$E2130+15</f>
        <v>125</v>
      </c>
      <c r="X2130" s="14">
        <f>IF($J2130=0,0,ROUND(MAX($J2130*1.4*1.5*1.6*1.6*2.2*2.715*2.6,3540000000*(1.579646^(MIN($E2130,123)-117)))*1,0))</f>
        <v>144239716</v>
      </c>
      <c r="Y2130" s="11">
        <f>$E2130+17</f>
        <v>127</v>
      </c>
      <c r="Z2130" s="12">
        <f>IF($J2130=0,0,ROUND(MAX($J2130*1.4*1.5*1.6*1.6*2.2*2.715*2.6*1.4,6020000000*(1.651178^(MIN($E2130,123)-117)))*1,0))</f>
        <v>179903344</v>
      </c>
      <c r="AA2130" s="13">
        <f>$E2130+19</f>
        <v>129</v>
      </c>
      <c r="AB2130" s="14">
        <f>IF($J2130=0,0,ROUND(MAX($J2130*1.4*1.5*1.6*1.6*2.2*2.715*2.6*1.4*1.4,8430000000*(1.651435^(MIN($E2130,123)-117)))*1,0))</f>
        <v>251650143</v>
      </c>
      <c r="AC2130" s="11">
        <f>$E2130+21</f>
        <v>131</v>
      </c>
      <c r="AD2130" s="12">
        <f>IF($J2130=0,0,ROUND(MAX($J2130*1.4*1.5*1.6*1.6*2.2*2.715*2.6*1.4*1.4*1.5,12600000000*(1.652953^(MIN($E2130,123)-117)))*1,0))</f>
        <v>373720576</v>
      </c>
      <c r="AE2130" s="13">
        <f>$E2130+24</f>
        <v>134</v>
      </c>
      <c r="AF2130" s="14">
        <f>IF($J2130=0,0,ROUND(MAX($J2130*1.4*1.5*1.6*1.6*2.2*2.715*2.6*1.4*1.4*1.5*1.5,18900000000*(1.65331^(MIN($E2130,123)-117)))*1,0))</f>
        <v>559734088</v>
      </c>
      <c r="AG2130" s="11">
        <f>$E2130+27</f>
        <v>137</v>
      </c>
      <c r="AH2130" s="12">
        <f>IF($J2130=0,0,ROUND(MAX($J2130*1.4*1.5*1.6*1.6*2.2*2.715*2.6*1.4*1.4*1.5*1.5*3.2,60500000000*(1.654288^(MIN($E2130,123)-117)))*1,0))</f>
        <v>1784339701</v>
      </c>
    </row>
    <row r="2131" ht="28" customHeight="1" spans="1:34" x14ac:dyDescent="0.25">
      <c r="A2131">
        <v>2141</v>
      </c>
      <c r="B2131" t="s">
        <v>1281</v>
      </c>
      <c r="C2131" s="10" t="s">
        <v>1278</v>
      </c>
      <c r="D2131" t="s">
        <v>25</v>
      </c>
      <c r="E2131">
        <v>110</v>
      </c>
      <c r="F2131" t="s">
        <v>56</v>
      </c>
      <c r="G2131" t="s">
        <v>95</v>
      </c>
      <c r="H2131">
        <v>25</v>
      </c>
      <c r="I2131" s="11">
        <f>$E2131+0</f>
        <v>110</v>
      </c>
      <c r="J2131" s="12">
        <v>20000</v>
      </c>
      <c r="K2131" s="13">
        <f>$E2131+1</f>
        <v>111</v>
      </c>
      <c r="L2131" s="14">
        <f>IF($J2131=0,0,ROUND(MAX($J2131*1.4,1620000*(1.497923^(MIN($E2131,123)-117)))*1,0))</f>
        <v>95739</v>
      </c>
      <c r="M2131" s="11">
        <f>$E2131+2</f>
        <v>112</v>
      </c>
      <c r="N2131" s="12">
        <f>IF($J2131=0,0,ROUND(MAX($J2131*1.4*1.5,2190000*(1.580994^(MIN($E2131,123)-117)))*1,0))</f>
        <v>88702</v>
      </c>
      <c r="O2131" s="13">
        <f>$E2131+4</f>
        <v>114</v>
      </c>
      <c r="P2131" s="14">
        <f>IF($J2131=0,0,ROUND(MAX($J2131*1.4*1.5*1.6,3500000*(1.57975^(MIN($E2131,123)-117)))*1,0))</f>
        <v>142544</v>
      </c>
      <c r="Q2131" s="11">
        <f>$E2131+6</f>
        <v>116</v>
      </c>
      <c r="R2131" s="12">
        <f>IF($J2131=0,0,ROUND(MAX($J2131*1.4*1.5*1.6*1.6,13100000*(1.429962^(MIN($E2131,123)-117)))*1,0))</f>
        <v>1071519</v>
      </c>
      <c r="S2131" s="13">
        <f>$E2131+8</f>
        <v>118</v>
      </c>
      <c r="T2131" s="14">
        <f>IF($J2131=0,0,ROUND(MAX($J2131*1.4*1.5*1.6*1.6*2.2,42600000*(1.576904^(MIN($E2131,123)-117)))*1,0))</f>
        <v>1757004</v>
      </c>
      <c r="U2131" s="11">
        <f>$E2131+11</f>
        <v>121</v>
      </c>
      <c r="V2131" s="12">
        <f>IF($J2131=0,0,ROUND(MAX($J2131*1.4*1.5*1.6*1.6*2.2*2.715,354000000*(1.642074^(MIN($E2131,123)-117)))*1,0))</f>
        <v>10996493</v>
      </c>
      <c r="W2131" s="13">
        <f>$E2131+15</f>
        <v>125</v>
      </c>
      <c r="X2131" s="14">
        <f>IF($J2131=0,0,ROUND(MAX($J2131*1.4*1.5*1.6*1.6*2.2*2.715*2.6,3540000000*(1.579646^(MIN($E2131,123)-117)))*1,0))</f>
        <v>144239716</v>
      </c>
      <c r="Y2131" s="11">
        <f>$E2131+17</f>
        <v>127</v>
      </c>
      <c r="Z2131" s="12">
        <f>IF($J2131=0,0,ROUND(MAX($J2131*1.4*1.5*1.6*1.6*2.2*2.715*2.6*1.4,6020000000*(1.651178^(MIN($E2131,123)-117)))*1,0))</f>
        <v>179903344</v>
      </c>
      <c r="AA2131" s="13">
        <f>$E2131+19</f>
        <v>129</v>
      </c>
      <c r="AB2131" s="14">
        <f>IF($J2131=0,0,ROUND(MAX($J2131*1.4*1.5*1.6*1.6*2.2*2.715*2.6*1.4*1.4,8430000000*(1.651435^(MIN($E2131,123)-117)))*1,0))</f>
        <v>251650143</v>
      </c>
      <c r="AC2131" s="11">
        <f>$E2131+21</f>
        <v>131</v>
      </c>
      <c r="AD2131" s="12">
        <f>IF($J2131=0,0,ROUND(MAX($J2131*1.4*1.5*1.6*1.6*2.2*2.715*2.6*1.4*1.4*1.5,12600000000*(1.652953^(MIN($E2131,123)-117)))*1,0))</f>
        <v>373720576</v>
      </c>
      <c r="AE2131" s="13">
        <f>$E2131+24</f>
        <v>134</v>
      </c>
      <c r="AF2131" s="14">
        <f>IF($J2131=0,0,ROUND(MAX($J2131*1.4*1.5*1.6*1.6*2.2*2.715*2.6*1.4*1.4*1.5*1.5,18900000000*(1.65331^(MIN($E2131,123)-117)))*1,0))</f>
        <v>559734088</v>
      </c>
      <c r="AG2131" s="11">
        <f>$E2131+27</f>
        <v>137</v>
      </c>
      <c r="AH2131" s="12">
        <f>IF($J2131=0,0,ROUND(MAX($J2131*1.4*1.5*1.6*1.6*2.2*2.715*2.6*1.4*1.4*1.5*1.5*3.2,60500000000*(1.654288^(MIN($E2131,123)-117)))*1,0))</f>
        <v>1784339701</v>
      </c>
    </row>
    <row r="2132" ht="28" customHeight="1" spans="1:34" x14ac:dyDescent="0.25">
      <c r="A2132">
        <v>2142</v>
      </c>
      <c r="B2132" t="s">
        <v>563</v>
      </c>
      <c r="C2132" s="10" t="s">
        <v>1278</v>
      </c>
      <c r="D2132" t="s">
        <v>40</v>
      </c>
      <c r="E2132">
        <v>110</v>
      </c>
      <c r="F2132" t="s">
        <v>30</v>
      </c>
      <c r="G2132" t="s">
        <v>95</v>
      </c>
      <c r="H2132">
        <v>25</v>
      </c>
      <c r="I2132" s="11">
        <f>$E2132+0</f>
        <v>110</v>
      </c>
      <c r="J2132" s="12">
        <v>10000</v>
      </c>
      <c r="K2132" s="13">
        <f>$E2132+1</f>
        <v>111</v>
      </c>
      <c r="L2132" s="14">
        <f>IF($J2132=0,0,ROUND(MAX($J2132*1.4,1620000*(1.497923^(MIN($E2132,123)-117)))*1,0))</f>
        <v>95739</v>
      </c>
      <c r="M2132" s="11">
        <f>$E2132+2</f>
        <v>112</v>
      </c>
      <c r="N2132" s="12">
        <f>IF($J2132=0,0,ROUND(MAX($J2132*1.4*1.5,2190000*(1.580994^(MIN($E2132,123)-117)))*1,0))</f>
        <v>88702</v>
      </c>
      <c r="O2132" s="13">
        <f>$E2132+4</f>
        <v>114</v>
      </c>
      <c r="P2132" s="14">
        <f>IF($J2132=0,0,ROUND(MAX($J2132*1.4*1.5*1.6,3500000*(1.57975^(MIN($E2132,123)-117)))*1,0))</f>
        <v>142544</v>
      </c>
      <c r="Q2132" s="11">
        <f>$E2132+6</f>
        <v>116</v>
      </c>
      <c r="R2132" s="12">
        <f>IF($J2132=0,0,ROUND(MAX($J2132*1.4*1.5*1.6*1.6,13100000*(1.429962^(MIN($E2132,123)-117)))*1,0))</f>
        <v>1071519</v>
      </c>
      <c r="S2132" s="13">
        <f>$E2132+8</f>
        <v>118</v>
      </c>
      <c r="T2132" s="14">
        <f>IF($J2132=0,0,ROUND(MAX($J2132*1.4*1.5*1.6*1.6*2.2,42600000*(1.576904^(MIN($E2132,123)-117)))*1,0))</f>
        <v>1757004</v>
      </c>
      <c r="U2132" s="11">
        <f>$E2132+11</f>
        <v>121</v>
      </c>
      <c r="V2132" s="12">
        <f>IF($J2132=0,0,ROUND(MAX($J2132*1.4*1.5*1.6*1.6*2.2*2.715,354000000*(1.642074^(MIN($E2132,123)-117)))*1,0))</f>
        <v>10996493</v>
      </c>
      <c r="W2132" s="13">
        <f>$E2132+15</f>
        <v>125</v>
      </c>
      <c r="X2132" s="14">
        <f>IF($J2132=0,0,ROUND(MAX($J2132*1.4*1.5*1.6*1.6*2.2*2.715*2.6,3540000000*(1.579646^(MIN($E2132,123)-117)))*1,0))</f>
        <v>144239716</v>
      </c>
      <c r="Y2132" s="11">
        <f>$E2132+17</f>
        <v>127</v>
      </c>
      <c r="Z2132" s="12">
        <f>IF($J2132=0,0,ROUND(MAX($J2132*1.4*1.5*1.6*1.6*2.2*2.715*2.6*1.4,6020000000*(1.651178^(MIN($E2132,123)-117)))*1,0))</f>
        <v>179903344</v>
      </c>
      <c r="AA2132" s="13">
        <f>$E2132+19</f>
        <v>129</v>
      </c>
      <c r="AB2132" s="14">
        <f>IF($J2132=0,0,ROUND(MAX($J2132*1.4*1.5*1.6*1.6*2.2*2.715*2.6*1.4*1.4,8430000000*(1.651435^(MIN($E2132,123)-117)))*1,0))</f>
        <v>251650143</v>
      </c>
      <c r="AC2132" s="11">
        <f>$E2132+21</f>
        <v>131</v>
      </c>
      <c r="AD2132" s="12">
        <f>IF($J2132=0,0,ROUND(MAX($J2132*1.4*1.5*1.6*1.6*2.2*2.715*2.6*1.4*1.4*1.5,12600000000*(1.652953^(MIN($E2132,123)-117)))*1,0))</f>
        <v>373720576</v>
      </c>
      <c r="AE2132" s="13">
        <f>$E2132+24</f>
        <v>134</v>
      </c>
      <c r="AF2132" s="14">
        <f>IF($J2132=0,0,ROUND(MAX($J2132*1.4*1.5*1.6*1.6*2.2*2.715*2.6*1.4*1.4*1.5*1.5,18900000000*(1.65331^(MIN($E2132,123)-117)))*1,0))</f>
        <v>559734088</v>
      </c>
      <c r="AG2132" s="11">
        <f>$E2132+27</f>
        <v>137</v>
      </c>
      <c r="AH2132" s="12">
        <f>IF($J2132=0,0,ROUND(MAX($J2132*1.4*1.5*1.6*1.6*2.2*2.715*2.6*1.4*1.4*1.5*1.5*3.2,60500000000*(1.654288^(MIN($E2132,123)-117)))*1,0))</f>
        <v>1784339701</v>
      </c>
    </row>
    <row r="2133" ht="28" customHeight="1" spans="1:34" x14ac:dyDescent="0.25">
      <c r="A2133">
        <v>2143</v>
      </c>
      <c r="B2133" t="s">
        <v>1282</v>
      </c>
      <c r="C2133" s="10" t="s">
        <v>1278</v>
      </c>
      <c r="D2133" t="s">
        <v>102</v>
      </c>
      <c r="E2133">
        <v>110</v>
      </c>
      <c r="F2133" t="s">
        <v>1283</v>
      </c>
      <c r="G2133" t="s">
        <v>1284</v>
      </c>
      <c r="H2133">
        <v>25</v>
      </c>
      <c r="I2133" s="11">
        <f>$E2133+0</f>
        <v>110</v>
      </c>
      <c r="J2133" s="12">
        <v>80900</v>
      </c>
      <c r="K2133" s="13">
        <f>$E2133+1</f>
        <v>111</v>
      </c>
      <c r="L2133" s="14">
        <f>IF($J2133=0,0,ROUND(MAX($J2133*1.4,1620000*(1.497923^(MIN($E2133,123)-117)))*1,0))</f>
        <v>113260</v>
      </c>
      <c r="M2133" s="11">
        <f>$E2133+2</f>
        <v>112</v>
      </c>
      <c r="N2133" s="12">
        <f>IF($J2133=0,0,ROUND(MAX($J2133*1.4*1.5,2190000*(1.580994^(MIN($E2133,123)-117)))*1,0))</f>
        <v>169890</v>
      </c>
      <c r="O2133" s="13">
        <f>$E2133+4</f>
        <v>114</v>
      </c>
      <c r="P2133" s="14">
        <f>IF($J2133=0,0,ROUND(MAX($J2133*1.4*1.5*1.6,3500000*(1.57975^(MIN($E2133,123)-117)))*1,0))</f>
        <v>271824</v>
      </c>
      <c r="Q2133" s="11">
        <f>$E2133+6</f>
        <v>116</v>
      </c>
      <c r="R2133" s="12">
        <f>IF($J2133=0,0,ROUND(MAX($J2133*1.4*1.5*1.6*1.6,13100000*(1.429962^(MIN($E2133,123)-117)))*1,0))</f>
        <v>1071519</v>
      </c>
      <c r="S2133" s="13">
        <f>$E2133+8</f>
        <v>118</v>
      </c>
      <c r="T2133" s="14">
        <f>IF($J2133=0,0,ROUND(MAX($J2133*1.4*1.5*1.6*1.6*2.2,42600000*(1.576904^(MIN($E2133,123)-117)))*1,0))</f>
        <v>1757004</v>
      </c>
      <c r="U2133" s="11">
        <f>$E2133+11</f>
        <v>121</v>
      </c>
      <c r="V2133" s="12">
        <f>IF($J2133=0,0,ROUND(MAX($J2133*1.4*1.5*1.6*1.6*2.2*2.715,354000000*(1.642074^(MIN($E2133,123)-117)))*1,0))</f>
        <v>10996493</v>
      </c>
      <c r="W2133" s="13">
        <f>$E2133+15</f>
        <v>125</v>
      </c>
      <c r="X2133" s="14">
        <f>IF($J2133=0,0,ROUND(MAX($J2133*1.4*1.5*1.6*1.6*2.2*2.715*2.6,3540000000*(1.579646^(MIN($E2133,123)-117)))*1,0))</f>
        <v>144239716</v>
      </c>
      <c r="Y2133" s="11">
        <f>$E2133+17</f>
        <v>127</v>
      </c>
      <c r="Z2133" s="12">
        <f>IF($J2133=0,0,ROUND(MAX($J2133*1.4*1.5*1.6*1.6*2.2*2.715*2.6*1.4,6020000000*(1.651178^(MIN($E2133,123)-117)))*1,0))</f>
        <v>179903344</v>
      </c>
      <c r="AA2133" s="13">
        <f>$E2133+19</f>
        <v>129</v>
      </c>
      <c r="AB2133" s="14">
        <f>IF($J2133=0,0,ROUND(MAX($J2133*1.4*1.5*1.6*1.6*2.2*2.715*2.6*1.4*1.4,8430000000*(1.651435^(MIN($E2133,123)-117)))*1,0))</f>
        <v>251650143</v>
      </c>
      <c r="AC2133" s="11">
        <f>$E2133+21</f>
        <v>131</v>
      </c>
      <c r="AD2133" s="12">
        <f>IF($J2133=0,0,ROUND(MAX($J2133*1.4*1.5*1.6*1.6*2.2*2.715*2.6*1.4*1.4*1.5,12600000000*(1.652953^(MIN($E2133,123)-117)))*1,0))</f>
        <v>373720576</v>
      </c>
      <c r="AE2133" s="13">
        <f>$E2133+24</f>
        <v>134</v>
      </c>
      <c r="AF2133" s="14">
        <f>IF($J2133=0,0,ROUND(MAX($J2133*1.4*1.5*1.6*1.6*2.2*2.715*2.6*1.4*1.4*1.5*1.5,18900000000*(1.65331^(MIN($E2133,123)-117)))*1,0))</f>
        <v>559734088</v>
      </c>
      <c r="AG2133" s="11">
        <f>$E2133+27</f>
        <v>137</v>
      </c>
      <c r="AH2133" s="12">
        <f>IF($J2133=0,0,ROUND(MAX($J2133*1.4*1.5*1.6*1.6*2.2*2.715*2.6*1.4*1.4*1.5*1.5*3.2,60500000000*(1.654288^(MIN($E2133,123)-117)))*1,0))</f>
        <v>1784339701</v>
      </c>
    </row>
    <row r="2134" ht="28" customHeight="1" spans="1:34" x14ac:dyDescent="0.25">
      <c r="A2134">
        <v>2144</v>
      </c>
      <c r="B2134" t="s">
        <v>728</v>
      </c>
      <c r="C2134" s="10" t="s">
        <v>1278</v>
      </c>
      <c r="D2134" t="s">
        <v>40</v>
      </c>
      <c r="E2134">
        <v>110</v>
      </c>
      <c r="F2134" t="s">
        <v>267</v>
      </c>
      <c r="G2134" t="s">
        <v>729</v>
      </c>
      <c r="H2134">
        <v>25</v>
      </c>
      <c r="I2134" s="11">
        <f>$E2134+0</f>
        <v>110</v>
      </c>
      <c r="J2134" s="12">
        <v>81700</v>
      </c>
      <c r="K2134" s="13">
        <f>$E2134+1</f>
        <v>111</v>
      </c>
      <c r="L2134" s="14">
        <f>IF($J2134=0,0,ROUND(MAX($J2134*1.4,1620000*(1.497923^(MIN($E2134,123)-117)))*1,0))</f>
        <v>114380</v>
      </c>
      <c r="M2134" s="11">
        <f>$E2134+2</f>
        <v>112</v>
      </c>
      <c r="N2134" s="12">
        <f>IF($J2134=0,0,ROUND(MAX($J2134*1.4*1.5,2190000*(1.580994^(MIN($E2134,123)-117)))*1,0))</f>
        <v>171570</v>
      </c>
      <c r="O2134" s="13">
        <f>$E2134+4</f>
        <v>114</v>
      </c>
      <c r="P2134" s="14">
        <f>IF($J2134=0,0,ROUND(MAX($J2134*1.4*1.5*1.6,3500000*(1.57975^(MIN($E2134,123)-117)))*1,0))</f>
        <v>274512</v>
      </c>
      <c r="Q2134" s="11">
        <f>$E2134+6</f>
        <v>116</v>
      </c>
      <c r="R2134" s="12">
        <f>IF($J2134=0,0,ROUND(MAX($J2134*1.4*1.5*1.6*1.6,13100000*(1.429962^(MIN($E2134,123)-117)))*1,0))</f>
        <v>1071519</v>
      </c>
      <c r="S2134" s="13">
        <f>$E2134+8</f>
        <v>118</v>
      </c>
      <c r="T2134" s="14">
        <f>IF($J2134=0,0,ROUND(MAX($J2134*1.4*1.5*1.6*1.6*2.2,42600000*(1.576904^(MIN($E2134,123)-117)))*1,0))</f>
        <v>1757004</v>
      </c>
      <c r="U2134" s="11">
        <f>$E2134+11</f>
        <v>121</v>
      </c>
      <c r="V2134" s="12">
        <f>IF($J2134=0,0,ROUND(MAX($J2134*1.4*1.5*1.6*1.6*2.2*2.715,354000000*(1.642074^(MIN($E2134,123)-117)))*1,0))</f>
        <v>10996493</v>
      </c>
      <c r="W2134" s="13">
        <f>$E2134+15</f>
        <v>125</v>
      </c>
      <c r="X2134" s="14">
        <f>IF($J2134=0,0,ROUND(MAX($J2134*1.4*1.5*1.6*1.6*2.2*2.715*2.6,3540000000*(1.579646^(MIN($E2134,123)-117)))*1,0))</f>
        <v>144239716</v>
      </c>
      <c r="Y2134" s="11">
        <f>$E2134+17</f>
        <v>127</v>
      </c>
      <c r="Z2134" s="12">
        <f>IF($J2134=0,0,ROUND(MAX($J2134*1.4*1.5*1.6*1.6*2.2*2.715*2.6*1.4,6020000000*(1.651178^(MIN($E2134,123)-117)))*1,0))</f>
        <v>179903344</v>
      </c>
      <c r="AA2134" s="13">
        <f>$E2134+19</f>
        <v>129</v>
      </c>
      <c r="AB2134" s="14">
        <f>IF($J2134=0,0,ROUND(MAX($J2134*1.4*1.5*1.6*1.6*2.2*2.715*2.6*1.4*1.4,8430000000*(1.651435^(MIN($E2134,123)-117)))*1,0))</f>
        <v>251650143</v>
      </c>
      <c r="AC2134" s="11">
        <f>$E2134+21</f>
        <v>131</v>
      </c>
      <c r="AD2134" s="12">
        <f>IF($J2134=0,0,ROUND(MAX($J2134*1.4*1.5*1.6*1.6*2.2*2.715*2.6*1.4*1.4*1.5,12600000000*(1.652953^(MIN($E2134,123)-117)))*1,0))</f>
        <v>373720576</v>
      </c>
      <c r="AE2134" s="13">
        <f>$E2134+24</f>
        <v>134</v>
      </c>
      <c r="AF2134" s="14">
        <f>IF($J2134=0,0,ROUND(MAX($J2134*1.4*1.5*1.6*1.6*2.2*2.715*2.6*1.4*1.4*1.5*1.5,18900000000*(1.65331^(MIN($E2134,123)-117)))*1,0))</f>
        <v>559734088</v>
      </c>
      <c r="AG2134" s="11">
        <f>$E2134+27</f>
        <v>137</v>
      </c>
      <c r="AH2134" s="12">
        <f>IF($J2134=0,0,ROUND(MAX($J2134*1.4*1.5*1.6*1.6*2.2*2.715*2.6*1.4*1.4*1.5*1.5*3.2,60500000000*(1.654288^(MIN($E2134,123)-117)))*1,0))</f>
        <v>1784339701</v>
      </c>
    </row>
    <row r="2135" ht="28" customHeight="1" spans="1:34" x14ac:dyDescent="0.25">
      <c r="A2135">
        <v>2145</v>
      </c>
      <c r="B2135" t="s">
        <v>1245</v>
      </c>
      <c r="C2135" s="10" t="s">
        <v>1278</v>
      </c>
      <c r="D2135" t="s">
        <v>33</v>
      </c>
      <c r="E2135">
        <v>110</v>
      </c>
      <c r="F2135" t="s">
        <v>298</v>
      </c>
      <c r="G2135" t="s">
        <v>86</v>
      </c>
      <c r="H2135">
        <v>25</v>
      </c>
      <c r="I2135" s="11">
        <f>$E2135+0</f>
        <v>110</v>
      </c>
      <c r="J2135" s="12">
        <v>74900</v>
      </c>
      <c r="K2135" s="13">
        <f>$E2135+1</f>
        <v>111</v>
      </c>
      <c r="L2135" s="14">
        <f>IF($J2135=0,0,ROUND(MAX($J2135*1.4,1620000*(1.497923^(MIN($E2135,123)-117)))*1,0))</f>
        <v>104860</v>
      </c>
      <c r="M2135" s="11">
        <f>$E2135+2</f>
        <v>112</v>
      </c>
      <c r="N2135" s="12">
        <f>IF($J2135=0,0,ROUND(MAX($J2135*1.4*1.5,2190000*(1.580994^(MIN($E2135,123)-117)))*1,0))</f>
        <v>157290</v>
      </c>
      <c r="O2135" s="13">
        <f>$E2135+4</f>
        <v>114</v>
      </c>
      <c r="P2135" s="14">
        <f>IF($J2135=0,0,ROUND(MAX($J2135*1.4*1.5*1.6,3500000*(1.57975^(MIN($E2135,123)-117)))*1,0))</f>
        <v>251664</v>
      </c>
      <c r="Q2135" s="11">
        <f>$E2135+6</f>
        <v>116</v>
      </c>
      <c r="R2135" s="12">
        <f>IF($J2135=0,0,ROUND(MAX($J2135*1.4*1.5*1.6*1.6,13100000*(1.429962^(MIN($E2135,123)-117)))*1,0))</f>
        <v>1071519</v>
      </c>
      <c r="S2135" s="13">
        <f>$E2135+8</f>
        <v>118</v>
      </c>
      <c r="T2135" s="14">
        <f>IF($J2135=0,0,ROUND(MAX($J2135*1.4*1.5*1.6*1.6*2.2,42600000*(1.576904^(MIN($E2135,123)-117)))*1,0))</f>
        <v>1757004</v>
      </c>
      <c r="U2135" s="11">
        <f>$E2135+11</f>
        <v>121</v>
      </c>
      <c r="V2135" s="12">
        <f>IF($J2135=0,0,ROUND(MAX($J2135*1.4*1.5*1.6*1.6*2.2*2.715,354000000*(1.642074^(MIN($E2135,123)-117)))*1,0))</f>
        <v>10996493</v>
      </c>
      <c r="W2135" s="13">
        <f>$E2135+15</f>
        <v>125</v>
      </c>
      <c r="X2135" s="14">
        <f>IF($J2135=0,0,ROUND(MAX($J2135*1.4*1.5*1.6*1.6*2.2*2.715*2.6,3540000000*(1.579646^(MIN($E2135,123)-117)))*1,0))</f>
        <v>144239716</v>
      </c>
      <c r="Y2135" s="11">
        <f>$E2135+17</f>
        <v>127</v>
      </c>
      <c r="Z2135" s="12">
        <f>IF($J2135=0,0,ROUND(MAX($J2135*1.4*1.5*1.6*1.6*2.2*2.715*2.6*1.4,6020000000*(1.651178^(MIN($E2135,123)-117)))*1,0))</f>
        <v>179903344</v>
      </c>
      <c r="AA2135" s="13">
        <f>$E2135+19</f>
        <v>129</v>
      </c>
      <c r="AB2135" s="14">
        <f>IF($J2135=0,0,ROUND(MAX($J2135*1.4*1.5*1.6*1.6*2.2*2.715*2.6*1.4*1.4,8430000000*(1.651435^(MIN($E2135,123)-117)))*1,0))</f>
        <v>251650143</v>
      </c>
      <c r="AC2135" s="11">
        <f>$E2135+21</f>
        <v>131</v>
      </c>
      <c r="AD2135" s="12">
        <f>IF($J2135=0,0,ROUND(MAX($J2135*1.4*1.5*1.6*1.6*2.2*2.715*2.6*1.4*1.4*1.5,12600000000*(1.652953^(MIN($E2135,123)-117)))*1,0))</f>
        <v>373720576</v>
      </c>
      <c r="AE2135" s="13">
        <f>$E2135+24</f>
        <v>134</v>
      </c>
      <c r="AF2135" s="14">
        <f>IF($J2135=0,0,ROUND(MAX($J2135*1.4*1.5*1.6*1.6*2.2*2.715*2.6*1.4*1.4*1.5*1.5,18900000000*(1.65331^(MIN($E2135,123)-117)))*1,0))</f>
        <v>559734088</v>
      </c>
      <c r="AG2135" s="11">
        <f>$E2135+27</f>
        <v>137</v>
      </c>
      <c r="AH2135" s="12">
        <f>IF($J2135=0,0,ROUND(MAX($J2135*1.4*1.5*1.6*1.6*2.2*2.715*2.6*1.4*1.4*1.5*1.5*3.2,60500000000*(1.654288^(MIN($E2135,123)-117)))*1,0))</f>
        <v>1784339701</v>
      </c>
    </row>
    <row r="2136" ht="28" customHeight="1" spans="1:34" x14ac:dyDescent="0.25">
      <c r="A2136">
        <v>2146</v>
      </c>
      <c r="B2136" t="s">
        <v>1073</v>
      </c>
      <c r="C2136" s="10" t="s">
        <v>1278</v>
      </c>
      <c r="D2136" t="s">
        <v>93</v>
      </c>
      <c r="E2136">
        <v>110</v>
      </c>
      <c r="F2136" t="s">
        <v>56</v>
      </c>
      <c r="G2136" t="s">
        <v>402</v>
      </c>
      <c r="H2136">
        <v>25</v>
      </c>
      <c r="I2136" s="11">
        <f>$E2136+0</f>
        <v>110</v>
      </c>
      <c r="J2136" s="12">
        <v>142000</v>
      </c>
      <c r="K2136" s="13">
        <f>$E2136+1</f>
        <v>111</v>
      </c>
      <c r="L2136" s="14">
        <f>IF($J2136=0,0,ROUND(MAX($J2136*1.4,1620000*(1.497923^(MIN($E2136,123)-117)))*1,0))</f>
        <v>198800</v>
      </c>
      <c r="M2136" s="11">
        <f>$E2136+2</f>
        <v>112</v>
      </c>
      <c r="N2136" s="12">
        <f>IF($J2136=0,0,ROUND(MAX($J2136*1.4*1.5,2190000*(1.580994^(MIN($E2136,123)-117)))*1,0))</f>
        <v>298200</v>
      </c>
      <c r="O2136" s="13">
        <f>$E2136+4</f>
        <v>114</v>
      </c>
      <c r="P2136" s="14">
        <f>IF($J2136=0,0,ROUND(MAX($J2136*1.4*1.5*1.6,3500000*(1.57975^(MIN($E2136,123)-117)))*1,0))</f>
        <v>477120</v>
      </c>
      <c r="Q2136" s="11">
        <f>$E2136+6</f>
        <v>116</v>
      </c>
      <c r="R2136" s="12">
        <f>IF($J2136=0,0,ROUND(MAX($J2136*1.4*1.5*1.6*1.6,13100000*(1.429962^(MIN($E2136,123)-117)))*1,0))</f>
        <v>1071519</v>
      </c>
      <c r="S2136" s="13">
        <f>$E2136+8</f>
        <v>118</v>
      </c>
      <c r="T2136" s="14">
        <f>IF($J2136=0,0,ROUND(MAX($J2136*1.4*1.5*1.6*1.6*2.2,42600000*(1.576904^(MIN($E2136,123)-117)))*1,0))</f>
        <v>1757004</v>
      </c>
      <c r="U2136" s="11">
        <f>$E2136+11</f>
        <v>121</v>
      </c>
      <c r="V2136" s="12">
        <f>IF($J2136=0,0,ROUND(MAX($J2136*1.4*1.5*1.6*1.6*2.2*2.715,354000000*(1.642074^(MIN($E2136,123)-117)))*1,0))</f>
        <v>10996493</v>
      </c>
      <c r="W2136" s="13">
        <f>$E2136+15</f>
        <v>125</v>
      </c>
      <c r="X2136" s="14">
        <f>IF($J2136=0,0,ROUND(MAX($J2136*1.4*1.5*1.6*1.6*2.2*2.715*2.6,3540000000*(1.579646^(MIN($E2136,123)-117)))*1,0))</f>
        <v>144239716</v>
      </c>
      <c r="Y2136" s="11">
        <f>$E2136+17</f>
        <v>127</v>
      </c>
      <c r="Z2136" s="12">
        <f>IF($J2136=0,0,ROUND(MAX($J2136*1.4*1.5*1.6*1.6*2.2*2.715*2.6*1.4,6020000000*(1.651178^(MIN($E2136,123)-117)))*1,0))</f>
        <v>179903344</v>
      </c>
      <c r="AA2136" s="13">
        <f>$E2136+19</f>
        <v>129</v>
      </c>
      <c r="AB2136" s="14">
        <f>IF($J2136=0,0,ROUND(MAX($J2136*1.4*1.5*1.6*1.6*2.2*2.715*2.6*1.4*1.4,8430000000*(1.651435^(MIN($E2136,123)-117)))*1,0))</f>
        <v>251650143</v>
      </c>
      <c r="AC2136" s="11">
        <f>$E2136+21</f>
        <v>131</v>
      </c>
      <c r="AD2136" s="12">
        <f>IF($J2136=0,0,ROUND(MAX($J2136*1.4*1.5*1.6*1.6*2.2*2.715*2.6*1.4*1.4*1.5,12600000000*(1.652953^(MIN($E2136,123)-117)))*1,0))</f>
        <v>373720576</v>
      </c>
      <c r="AE2136" s="13">
        <f>$E2136+24</f>
        <v>134</v>
      </c>
      <c r="AF2136" s="14">
        <f>IF($J2136=0,0,ROUND(MAX($J2136*1.4*1.5*1.6*1.6*2.2*2.715*2.6*1.4*1.4*1.5*1.5,18900000000*(1.65331^(MIN($E2136,123)-117)))*1,0))</f>
        <v>559734088</v>
      </c>
      <c r="AG2136" s="11">
        <f>$E2136+27</f>
        <v>137</v>
      </c>
      <c r="AH2136" s="12">
        <f>IF($J2136=0,0,ROUND(MAX($J2136*1.4*1.5*1.6*1.6*2.2*2.715*2.6*1.4*1.4*1.5*1.5*3.2,60500000000*(1.654288^(MIN($E2136,123)-117)))*1,0))</f>
        <v>1784339701</v>
      </c>
    </row>
    <row r="2137" ht="28" customHeight="1" spans="1:34" x14ac:dyDescent="0.25">
      <c r="A2137">
        <v>2147</v>
      </c>
      <c r="B2137" t="s">
        <v>1285</v>
      </c>
      <c r="C2137" s="10" t="s">
        <v>1278</v>
      </c>
      <c r="D2137" t="s">
        <v>40</v>
      </c>
      <c r="E2137">
        <v>110</v>
      </c>
      <c r="F2137" t="s">
        <v>400</v>
      </c>
      <c r="G2137" t="s">
        <v>1286</v>
      </c>
      <c r="H2137">
        <v>25</v>
      </c>
      <c r="I2137" s="11">
        <f>$E2137+0</f>
        <v>110</v>
      </c>
      <c r="J2137" s="12">
        <v>98900</v>
      </c>
      <c r="K2137" s="13">
        <f>$E2137+1</f>
        <v>111</v>
      </c>
      <c r="L2137" s="14">
        <f>IF($J2137=0,0,ROUND(MAX($J2137*1.4,1620000*(1.497923^(MIN($E2137,123)-117)))*1,0))</f>
        <v>138460</v>
      </c>
      <c r="M2137" s="11">
        <f>$E2137+2</f>
        <v>112</v>
      </c>
      <c r="N2137" s="12">
        <f>IF($J2137=0,0,ROUND(MAX($J2137*1.4*1.5,2190000*(1.580994^(MIN($E2137,123)-117)))*1,0))</f>
        <v>207690</v>
      </c>
      <c r="O2137" s="13">
        <f>$E2137+4</f>
        <v>114</v>
      </c>
      <c r="P2137" s="14">
        <f>IF($J2137=0,0,ROUND(MAX($J2137*1.4*1.5*1.6,3500000*(1.57975^(MIN($E2137,123)-117)))*1,0))</f>
        <v>332304</v>
      </c>
      <c r="Q2137" s="11">
        <f>$E2137+6</f>
        <v>116</v>
      </c>
      <c r="R2137" s="12">
        <f>IF($J2137=0,0,ROUND(MAX($J2137*1.4*1.5*1.6*1.6,13100000*(1.429962^(MIN($E2137,123)-117)))*1,0))</f>
        <v>1071519</v>
      </c>
      <c r="S2137" s="13">
        <f>$E2137+8</f>
        <v>118</v>
      </c>
      <c r="T2137" s="14">
        <f>IF($J2137=0,0,ROUND(MAX($J2137*1.4*1.5*1.6*1.6*2.2,42600000*(1.576904^(MIN($E2137,123)-117)))*1,0))</f>
        <v>1757004</v>
      </c>
      <c r="U2137" s="11">
        <f>$E2137+11</f>
        <v>121</v>
      </c>
      <c r="V2137" s="12">
        <f>IF($J2137=0,0,ROUND(MAX($J2137*1.4*1.5*1.6*1.6*2.2*2.715,354000000*(1.642074^(MIN($E2137,123)-117)))*1,0))</f>
        <v>10996493</v>
      </c>
      <c r="W2137" s="13">
        <f>$E2137+15</f>
        <v>125</v>
      </c>
      <c r="X2137" s="14">
        <f>IF($J2137=0,0,ROUND(MAX($J2137*1.4*1.5*1.6*1.6*2.2*2.715*2.6,3540000000*(1.579646^(MIN($E2137,123)-117)))*1,0))</f>
        <v>144239716</v>
      </c>
      <c r="Y2137" s="11">
        <f>$E2137+17</f>
        <v>127</v>
      </c>
      <c r="Z2137" s="12">
        <f>IF($J2137=0,0,ROUND(MAX($J2137*1.4*1.5*1.6*1.6*2.2*2.715*2.6*1.4,6020000000*(1.651178^(MIN($E2137,123)-117)))*1,0))</f>
        <v>179903344</v>
      </c>
      <c r="AA2137" s="13">
        <f>$E2137+19</f>
        <v>129</v>
      </c>
      <c r="AB2137" s="14">
        <f>IF($J2137=0,0,ROUND(MAX($J2137*1.4*1.5*1.6*1.6*2.2*2.715*2.6*1.4*1.4,8430000000*(1.651435^(MIN($E2137,123)-117)))*1,0))</f>
        <v>251650143</v>
      </c>
      <c r="AC2137" s="11">
        <f>$E2137+21</f>
        <v>131</v>
      </c>
      <c r="AD2137" s="12">
        <f>IF($J2137=0,0,ROUND(MAX($J2137*1.4*1.5*1.6*1.6*2.2*2.715*2.6*1.4*1.4*1.5,12600000000*(1.652953^(MIN($E2137,123)-117)))*1,0))</f>
        <v>373720576</v>
      </c>
      <c r="AE2137" s="13">
        <f>$E2137+24</f>
        <v>134</v>
      </c>
      <c r="AF2137" s="14">
        <f>IF($J2137=0,0,ROUND(MAX($J2137*1.4*1.5*1.6*1.6*2.2*2.715*2.6*1.4*1.4*1.5*1.5,18900000000*(1.65331^(MIN($E2137,123)-117)))*1,0))</f>
        <v>559734088</v>
      </c>
      <c r="AG2137" s="11">
        <f>$E2137+27</f>
        <v>137</v>
      </c>
      <c r="AH2137" s="12">
        <f>IF($J2137=0,0,ROUND(MAX($J2137*1.4*1.5*1.6*1.6*2.2*2.715*2.6*1.4*1.4*1.5*1.5*3.2,60500000000*(1.654288^(MIN($E2137,123)-117)))*1,0))</f>
        <v>1784339701</v>
      </c>
    </row>
    <row r="2138" ht="28" customHeight="1" spans="1:34" x14ac:dyDescent="0.25">
      <c r="A2138">
        <v>2148</v>
      </c>
      <c r="B2138" t="s">
        <v>794</v>
      </c>
      <c r="C2138" s="10" t="s">
        <v>1278</v>
      </c>
      <c r="D2138" t="s">
        <v>33</v>
      </c>
      <c r="E2138">
        <v>110</v>
      </c>
      <c r="F2138" t="s">
        <v>30</v>
      </c>
      <c r="G2138" t="s">
        <v>31</v>
      </c>
      <c r="H2138">
        <v>25</v>
      </c>
      <c r="I2138" s="11">
        <f>$E2138+0</f>
        <v>110</v>
      </c>
      <c r="J2138" s="12">
        <v>388000</v>
      </c>
      <c r="K2138" s="13">
        <f>$E2138+1</f>
        <v>111</v>
      </c>
      <c r="L2138" s="14">
        <f>IF($J2138=0,0,ROUND(MAX($J2138*1.4,1620000*(1.497923^(MIN($E2138,123)-117)))*1,0))</f>
        <v>543200</v>
      </c>
      <c r="M2138" s="11">
        <f>$E2138+2</f>
        <v>112</v>
      </c>
      <c r="N2138" s="12">
        <f>IF($J2138=0,0,ROUND(MAX($J2138*1.4*1.5,2190000*(1.580994^(MIN($E2138,123)-117)))*1,0))</f>
        <v>814800</v>
      </c>
      <c r="O2138" s="13">
        <f>$E2138+4</f>
        <v>114</v>
      </c>
      <c r="P2138" s="14">
        <f>IF($J2138=0,0,ROUND(MAX($J2138*1.4*1.5*1.6,3500000*(1.57975^(MIN($E2138,123)-117)))*1,0))</f>
        <v>1303680</v>
      </c>
      <c r="Q2138" s="11">
        <f>$E2138+6</f>
        <v>116</v>
      </c>
      <c r="R2138" s="12">
        <f>IF($J2138=0,0,ROUND(MAX($J2138*1.4*1.5*1.6*1.6,13100000*(1.429962^(MIN($E2138,123)-117)))*1,0))</f>
        <v>2085888</v>
      </c>
      <c r="S2138" s="13">
        <f>$E2138+8</f>
        <v>118</v>
      </c>
      <c r="T2138" s="14">
        <f>IF($J2138=0,0,ROUND(MAX($J2138*1.4*1.5*1.6*1.6*2.2,42600000*(1.576904^(MIN($E2138,123)-117)))*1,0))</f>
        <v>4588954</v>
      </c>
      <c r="U2138" s="11">
        <f>$E2138+11</f>
        <v>121</v>
      </c>
      <c r="V2138" s="12">
        <f>IF($J2138=0,0,ROUND(MAX($J2138*1.4*1.5*1.6*1.6*2.2*2.715,354000000*(1.642074^(MIN($E2138,123)-117)))*1,0))</f>
        <v>12459009</v>
      </c>
      <c r="W2138" s="13">
        <f>$E2138+15</f>
        <v>125</v>
      </c>
      <c r="X2138" s="14">
        <f>IF($J2138=0,0,ROUND(MAX($J2138*1.4*1.5*1.6*1.6*2.2*2.715*2.6,3540000000*(1.579646^(MIN($E2138,123)-117)))*1,0))</f>
        <v>144239716</v>
      </c>
      <c r="Y2138" s="11">
        <f>$E2138+17</f>
        <v>127</v>
      </c>
      <c r="Z2138" s="12">
        <f>IF($J2138=0,0,ROUND(MAX($J2138*1.4*1.5*1.6*1.6*2.2*2.715*2.6*1.4,6020000000*(1.651178^(MIN($E2138,123)-117)))*1,0))</f>
        <v>179903344</v>
      </c>
      <c r="AA2138" s="13">
        <f>$E2138+19</f>
        <v>129</v>
      </c>
      <c r="AB2138" s="14">
        <f>IF($J2138=0,0,ROUND(MAX($J2138*1.4*1.5*1.6*1.6*2.2*2.715*2.6*1.4*1.4,8430000000*(1.651435^(MIN($E2138,123)-117)))*1,0))</f>
        <v>251650143</v>
      </c>
      <c r="AC2138" s="11">
        <f>$E2138+21</f>
        <v>131</v>
      </c>
      <c r="AD2138" s="12">
        <f>IF($J2138=0,0,ROUND(MAX($J2138*1.4*1.5*1.6*1.6*2.2*2.715*2.6*1.4*1.4*1.5,12600000000*(1.652953^(MIN($E2138,123)-117)))*1,0))</f>
        <v>373720576</v>
      </c>
      <c r="AE2138" s="13">
        <f>$E2138+24</f>
        <v>134</v>
      </c>
      <c r="AF2138" s="14">
        <f>IF($J2138=0,0,ROUND(MAX($J2138*1.4*1.5*1.6*1.6*2.2*2.715*2.6*1.4*1.4*1.5*1.5,18900000000*(1.65331^(MIN($E2138,123)-117)))*1,0))</f>
        <v>559734088</v>
      </c>
      <c r="AG2138" s="11">
        <f>$E2138+27</f>
        <v>137</v>
      </c>
      <c r="AH2138" s="12">
        <f>IF($J2138=0,0,ROUND(MAX($J2138*1.4*1.5*1.6*1.6*2.2*2.715*2.6*1.4*1.4*1.5*1.5*3.2,60500000000*(1.654288^(MIN($E2138,123)-117)))*1,0))</f>
        <v>1784339701</v>
      </c>
    </row>
    <row r="2139" ht="28" customHeight="1" spans="1:34" x14ac:dyDescent="0.25">
      <c r="A2139">
        <v>2149</v>
      </c>
      <c r="B2139" t="s">
        <v>1287</v>
      </c>
      <c r="C2139" s="10" t="s">
        <v>1278</v>
      </c>
      <c r="D2139" t="s">
        <v>40</v>
      </c>
      <c r="E2139">
        <v>110</v>
      </c>
      <c r="F2139" t="s">
        <v>34</v>
      </c>
      <c r="G2139" t="s">
        <v>1288</v>
      </c>
      <c r="H2139">
        <v>25</v>
      </c>
      <c r="I2139" s="11">
        <f>$E2139+0</f>
        <v>110</v>
      </c>
      <c r="J2139" s="12">
        <v>91500</v>
      </c>
      <c r="K2139" s="13">
        <f>$E2139+1</f>
        <v>111</v>
      </c>
      <c r="L2139" s="14">
        <f>IF($J2139=0,0,ROUND(MAX($J2139*1.4,1620000*(1.497923^(MIN($E2139,123)-117)))*1,0))</f>
        <v>128100</v>
      </c>
      <c r="M2139" s="11">
        <f>$E2139+2</f>
        <v>112</v>
      </c>
      <c r="N2139" s="12">
        <f>IF($J2139=0,0,ROUND(MAX($J2139*1.4*1.5,2190000*(1.580994^(MIN($E2139,123)-117)))*1,0))</f>
        <v>192150</v>
      </c>
      <c r="O2139" s="13">
        <f>$E2139+4</f>
        <v>114</v>
      </c>
      <c r="P2139" s="14">
        <f>IF($J2139=0,0,ROUND(MAX($J2139*1.4*1.5*1.6,3500000*(1.57975^(MIN($E2139,123)-117)))*1,0))</f>
        <v>307440</v>
      </c>
      <c r="Q2139" s="11">
        <f>$E2139+6</f>
        <v>116</v>
      </c>
      <c r="R2139" s="12">
        <f>IF($J2139=0,0,ROUND(MAX($J2139*1.4*1.5*1.6*1.6,13100000*(1.429962^(MIN($E2139,123)-117)))*1,0))</f>
        <v>1071519</v>
      </c>
      <c r="S2139" s="13">
        <f>$E2139+8</f>
        <v>118</v>
      </c>
      <c r="T2139" s="14">
        <f>IF($J2139=0,0,ROUND(MAX($J2139*1.4*1.5*1.6*1.6*2.2,42600000*(1.576904^(MIN($E2139,123)-117)))*1,0))</f>
        <v>1757004</v>
      </c>
      <c r="U2139" s="11">
        <f>$E2139+11</f>
        <v>121</v>
      </c>
      <c r="V2139" s="12">
        <f>IF($J2139=0,0,ROUND(MAX($J2139*1.4*1.5*1.6*1.6*2.2*2.715,354000000*(1.642074^(MIN($E2139,123)-117)))*1,0))</f>
        <v>10996493</v>
      </c>
      <c r="W2139" s="13">
        <f>$E2139+15</f>
        <v>125</v>
      </c>
      <c r="X2139" s="14">
        <f>IF($J2139=0,0,ROUND(MAX($J2139*1.4*1.5*1.6*1.6*2.2*2.715*2.6,3540000000*(1.579646^(MIN($E2139,123)-117)))*1,0))</f>
        <v>144239716</v>
      </c>
      <c r="Y2139" s="11">
        <f>$E2139+17</f>
        <v>127</v>
      </c>
      <c r="Z2139" s="12">
        <f>IF($J2139=0,0,ROUND(MAX($J2139*1.4*1.5*1.6*1.6*2.2*2.715*2.6*1.4,6020000000*(1.651178^(MIN($E2139,123)-117)))*1,0))</f>
        <v>179903344</v>
      </c>
      <c r="AA2139" s="13">
        <f>$E2139+19</f>
        <v>129</v>
      </c>
      <c r="AB2139" s="14">
        <f>IF($J2139=0,0,ROUND(MAX($J2139*1.4*1.5*1.6*1.6*2.2*2.715*2.6*1.4*1.4,8430000000*(1.651435^(MIN($E2139,123)-117)))*1,0))</f>
        <v>251650143</v>
      </c>
      <c r="AC2139" s="11">
        <f>$E2139+21</f>
        <v>131</v>
      </c>
      <c r="AD2139" s="12">
        <f>IF($J2139=0,0,ROUND(MAX($J2139*1.4*1.5*1.6*1.6*2.2*2.715*2.6*1.4*1.4*1.5,12600000000*(1.652953^(MIN($E2139,123)-117)))*1,0))</f>
        <v>373720576</v>
      </c>
      <c r="AE2139" s="13">
        <f>$E2139+24</f>
        <v>134</v>
      </c>
      <c r="AF2139" s="14">
        <f>IF($J2139=0,0,ROUND(MAX($J2139*1.4*1.5*1.6*1.6*2.2*2.715*2.6*1.4*1.4*1.5*1.5,18900000000*(1.65331^(MIN($E2139,123)-117)))*1,0))</f>
        <v>559734088</v>
      </c>
      <c r="AG2139" s="11">
        <f>$E2139+27</f>
        <v>137</v>
      </c>
      <c r="AH2139" s="12">
        <f>IF($J2139=0,0,ROUND(MAX($J2139*1.4*1.5*1.6*1.6*2.2*2.715*2.6*1.4*1.4*1.5*1.5*3.2,60500000000*(1.654288^(MIN($E2139,123)-117)))*1,0))</f>
        <v>1784339701</v>
      </c>
    </row>
    <row r="2140" ht="28" customHeight="1" spans="1:34" x14ac:dyDescent="0.25">
      <c r="A2140">
        <v>2150</v>
      </c>
      <c r="B2140" t="s">
        <v>283</v>
      </c>
      <c r="C2140" s="10" t="s">
        <v>1278</v>
      </c>
      <c r="D2140" t="s">
        <v>33</v>
      </c>
      <c r="E2140">
        <v>109</v>
      </c>
      <c r="F2140" t="s">
        <v>42</v>
      </c>
      <c r="G2140" t="s">
        <v>133</v>
      </c>
      <c r="H2140">
        <v>26</v>
      </c>
      <c r="I2140" s="11">
        <f>$E2140+0</f>
        <v>109</v>
      </c>
      <c r="J2140" s="12">
        <v>22000</v>
      </c>
      <c r="K2140" s="13">
        <f>$E2140+1</f>
        <v>110</v>
      </c>
      <c r="L2140" s="14">
        <f>IF($J2140=0,0,ROUND(MAX($J2140*1.4,1620000*(1.497923^(MIN($E2140,123)-117)))*1,0))</f>
        <v>63914</v>
      </c>
      <c r="M2140" s="11">
        <f>$E2140+2</f>
        <v>111</v>
      </c>
      <c r="N2140" s="12">
        <f>IF($J2140=0,0,ROUND(MAX($J2140*1.4*1.5,2190000*(1.580994^(MIN($E2140,123)-117)))*1,0))</f>
        <v>56105</v>
      </c>
      <c r="O2140" s="13">
        <f>$E2140+4</f>
        <v>113</v>
      </c>
      <c r="P2140" s="14">
        <f>IF($J2140=0,0,ROUND(MAX($J2140*1.4*1.5*1.6,3500000*(1.57975^(MIN($E2140,123)-117)))*1,0))</f>
        <v>90232</v>
      </c>
      <c r="Q2140" s="11">
        <f>$E2140+6</f>
        <v>115</v>
      </c>
      <c r="R2140" s="12">
        <f>IF($J2140=0,0,ROUND(MAX($J2140*1.4*1.5*1.6*1.6,13100000*(1.429962^(MIN($E2140,123)-117)))*1,0))</f>
        <v>749334</v>
      </c>
      <c r="S2140" s="13">
        <f>$E2140+8</f>
        <v>117</v>
      </c>
      <c r="T2140" s="14">
        <f>IF($J2140=0,0,ROUND(MAX($J2140*1.4*1.5*1.6*1.6*2.2,42600000*(1.576904^(MIN($E2140,123)-117)))*1,0))</f>
        <v>1114211</v>
      </c>
      <c r="U2140" s="11">
        <f>$E2140+11</f>
        <v>120</v>
      </c>
      <c r="V2140" s="12">
        <f>IF($J2140=0,0,ROUND(MAX($J2140*1.4*1.5*1.6*1.6*2.2*2.715,354000000*(1.642074^(MIN($E2140,123)-117)))*1,0))</f>
        <v>6696710</v>
      </c>
      <c r="W2140" s="13">
        <f>$E2140+15</f>
        <v>124</v>
      </c>
      <c r="X2140" s="14">
        <f>IF($J2140=0,0,ROUND(MAX($J2140*1.4*1.5*1.6*1.6*2.2*2.715*2.6,3540000000*(1.579646^(MIN($E2140,123)-117)))*1,0))</f>
        <v>91311418</v>
      </c>
      <c r="Y2140" s="11">
        <f>$E2140+17</f>
        <v>126</v>
      </c>
      <c r="Z2140" s="12">
        <f>IF($J2140=0,0,ROUND(MAX($J2140*1.4*1.5*1.6*1.6*2.2*2.715*2.6*1.4,6020000000*(1.651178^(MIN($E2140,123)-117)))*1,0))</f>
        <v>108954543</v>
      </c>
      <c r="AA2140" s="13">
        <f>$E2140+19</f>
        <v>128</v>
      </c>
      <c r="AB2140" s="14">
        <f>IF($J2140=0,0,ROUND(MAX($J2140*1.4*1.5*1.6*1.6*2.2*2.715*2.6*1.4*1.4,8430000000*(1.651435^(MIN($E2140,123)-117)))*1,0))</f>
        <v>152382712</v>
      </c>
      <c r="AC2140" s="11">
        <f>$E2140+21</f>
        <v>130</v>
      </c>
      <c r="AD2140" s="12">
        <f>IF($J2140=0,0,ROUND(MAX($J2140*1.4*1.5*1.6*1.6*2.2*2.715*2.6*1.4*1.4*1.5,12600000000*(1.652953^(MIN($E2140,123)-117)))*1,0))</f>
        <v>226092682</v>
      </c>
      <c r="AE2140" s="13">
        <f>$E2140+24</f>
        <v>133</v>
      </c>
      <c r="AF2140" s="14">
        <f>IF($J2140=0,0,ROUND(MAX($J2140*1.4*1.5*1.6*1.6*2.2*2.715*2.6*1.4*1.4*1.5*1.5,18900000000*(1.65331^(MIN($E2140,123)-117)))*1,0))</f>
        <v>338553621</v>
      </c>
      <c r="AG2140" s="11">
        <f>$E2140+27</f>
        <v>136</v>
      </c>
      <c r="AH2140" s="12">
        <f>IF($J2140=0,0,ROUND(MAX($J2140*1.4*1.5*1.6*1.6*2.2*2.715*2.6*1.4*1.4*1.5*1.5*3.2,60500000000*(1.654288^(MIN($E2140,123)-117)))*1,0))</f>
        <v>1078614909</v>
      </c>
    </row>
    <row r="2141" ht="28" customHeight="1" spans="1:34" x14ac:dyDescent="0.25">
      <c r="A2141">
        <v>2151</v>
      </c>
      <c r="B2141" t="s">
        <v>233</v>
      </c>
      <c r="C2141" s="10" t="s">
        <v>1278</v>
      </c>
      <c r="D2141" t="s">
        <v>102</v>
      </c>
      <c r="E2141">
        <v>109</v>
      </c>
      <c r="F2141" t="s">
        <v>56</v>
      </c>
      <c r="G2141" t="s">
        <v>95</v>
      </c>
      <c r="H2141">
        <v>25</v>
      </c>
      <c r="I2141" s="11">
        <f>$E2141+0</f>
        <v>109</v>
      </c>
      <c r="J2141" s="12">
        <v>10000</v>
      </c>
      <c r="K2141" s="13">
        <f>$E2141+1</f>
        <v>110</v>
      </c>
      <c r="L2141" s="14">
        <f>IF($J2141=0,0,ROUND(MAX($J2141*1.4,1620000*(1.497923^(MIN($E2141,123)-117)))*1,0))</f>
        <v>63914</v>
      </c>
      <c r="M2141" s="11">
        <f>$E2141+2</f>
        <v>111</v>
      </c>
      <c r="N2141" s="12">
        <f>IF($J2141=0,0,ROUND(MAX($J2141*1.4*1.5,2190000*(1.580994^(MIN($E2141,123)-117)))*1,0))</f>
        <v>56105</v>
      </c>
      <c r="O2141" s="13">
        <f>$E2141+4</f>
        <v>113</v>
      </c>
      <c r="P2141" s="14">
        <f>IF($J2141=0,0,ROUND(MAX($J2141*1.4*1.5*1.6,3500000*(1.57975^(MIN($E2141,123)-117)))*1,0))</f>
        <v>90232</v>
      </c>
      <c r="Q2141" s="11">
        <f>$E2141+6</f>
        <v>115</v>
      </c>
      <c r="R2141" s="12">
        <f>IF($J2141=0,0,ROUND(MAX($J2141*1.4*1.5*1.6*1.6,13100000*(1.429962^(MIN($E2141,123)-117)))*1,0))</f>
        <v>749334</v>
      </c>
      <c r="S2141" s="13">
        <f>$E2141+8</f>
        <v>117</v>
      </c>
      <c r="T2141" s="14">
        <f>IF($J2141=0,0,ROUND(MAX($J2141*1.4*1.5*1.6*1.6*2.2,42600000*(1.576904^(MIN($E2141,123)-117)))*1,0))</f>
        <v>1114211</v>
      </c>
      <c r="U2141" s="11">
        <f>$E2141+11</f>
        <v>120</v>
      </c>
      <c r="V2141" s="12">
        <f>IF($J2141=0,0,ROUND(MAX($J2141*1.4*1.5*1.6*1.6*2.2*2.715,354000000*(1.642074^(MIN($E2141,123)-117)))*1,0))</f>
        <v>6696710</v>
      </c>
      <c r="W2141" s="13">
        <f>$E2141+15</f>
        <v>124</v>
      </c>
      <c r="X2141" s="14">
        <f>IF($J2141=0,0,ROUND(MAX($J2141*1.4*1.5*1.6*1.6*2.2*2.715*2.6,3540000000*(1.579646^(MIN($E2141,123)-117)))*1,0))</f>
        <v>91311418</v>
      </c>
      <c r="Y2141" s="11">
        <f>$E2141+17</f>
        <v>126</v>
      </c>
      <c r="Z2141" s="12">
        <f>IF($J2141=0,0,ROUND(MAX($J2141*1.4*1.5*1.6*1.6*2.2*2.715*2.6*1.4,6020000000*(1.651178^(MIN($E2141,123)-117)))*1,0))</f>
        <v>108954543</v>
      </c>
      <c r="AA2141" s="13">
        <f>$E2141+19</f>
        <v>128</v>
      </c>
      <c r="AB2141" s="14">
        <f>IF($J2141=0,0,ROUND(MAX($J2141*1.4*1.5*1.6*1.6*2.2*2.715*2.6*1.4*1.4,8430000000*(1.651435^(MIN($E2141,123)-117)))*1,0))</f>
        <v>152382712</v>
      </c>
      <c r="AC2141" s="11">
        <f>$E2141+21</f>
        <v>130</v>
      </c>
      <c r="AD2141" s="12">
        <f>IF($J2141=0,0,ROUND(MAX($J2141*1.4*1.5*1.6*1.6*2.2*2.715*2.6*1.4*1.4*1.5,12600000000*(1.652953^(MIN($E2141,123)-117)))*1,0))</f>
        <v>226092682</v>
      </c>
      <c r="AE2141" s="13">
        <f>$E2141+24</f>
        <v>133</v>
      </c>
      <c r="AF2141" s="14">
        <f>IF($J2141=0,0,ROUND(MAX($J2141*1.4*1.5*1.6*1.6*2.2*2.715*2.6*1.4*1.4*1.5*1.5,18900000000*(1.65331^(MIN($E2141,123)-117)))*1,0))</f>
        <v>338553621</v>
      </c>
      <c r="AG2141" s="11">
        <f>$E2141+27</f>
        <v>136</v>
      </c>
      <c r="AH2141" s="12">
        <f>IF($J2141=0,0,ROUND(MAX($J2141*1.4*1.5*1.6*1.6*2.2*2.715*2.6*1.4*1.4*1.5*1.5*3.2,60500000000*(1.654288^(MIN($E2141,123)-117)))*1,0))</f>
        <v>1078614909</v>
      </c>
    </row>
    <row r="2142" ht="28" customHeight="1" spans="1:34" x14ac:dyDescent="0.25">
      <c r="A2142">
        <v>2152</v>
      </c>
      <c r="B2142" t="s">
        <v>1289</v>
      </c>
      <c r="C2142" s="10" t="s">
        <v>1278</v>
      </c>
      <c r="D2142" t="s">
        <v>33</v>
      </c>
      <c r="E2142">
        <v>109</v>
      </c>
      <c r="F2142" t="s">
        <v>56</v>
      </c>
      <c r="G2142" t="s">
        <v>51</v>
      </c>
      <c r="H2142">
        <v>25</v>
      </c>
      <c r="I2142" s="11">
        <f>$E2142+0</f>
        <v>109</v>
      </c>
      <c r="J2142" s="12">
        <v>30000</v>
      </c>
      <c r="K2142" s="13">
        <f>$E2142+1</f>
        <v>110</v>
      </c>
      <c r="L2142" s="14">
        <f>IF($J2142=0,0,ROUND(MAX($J2142*1.4,1620000*(1.497923^(MIN($E2142,123)-117)))*1,0))</f>
        <v>63914</v>
      </c>
      <c r="M2142" s="11">
        <f>$E2142+2</f>
        <v>111</v>
      </c>
      <c r="N2142" s="12">
        <f>IF($J2142=0,0,ROUND(MAX($J2142*1.4*1.5,2190000*(1.580994^(MIN($E2142,123)-117)))*1,0))</f>
        <v>63000</v>
      </c>
      <c r="O2142" s="13">
        <f>$E2142+4</f>
        <v>113</v>
      </c>
      <c r="P2142" s="14">
        <f>IF($J2142=0,0,ROUND(MAX($J2142*1.4*1.5*1.6,3500000*(1.57975^(MIN($E2142,123)-117)))*1,0))</f>
        <v>100800</v>
      </c>
      <c r="Q2142" s="11">
        <f>$E2142+6</f>
        <v>115</v>
      </c>
      <c r="R2142" s="12">
        <f>IF($J2142=0,0,ROUND(MAX($J2142*1.4*1.5*1.6*1.6,13100000*(1.429962^(MIN($E2142,123)-117)))*1,0))</f>
        <v>749334</v>
      </c>
      <c r="S2142" s="13">
        <f>$E2142+8</f>
        <v>117</v>
      </c>
      <c r="T2142" s="14">
        <f>IF($J2142=0,0,ROUND(MAX($J2142*1.4*1.5*1.6*1.6*2.2,42600000*(1.576904^(MIN($E2142,123)-117)))*1,0))</f>
        <v>1114211</v>
      </c>
      <c r="U2142" s="11">
        <f>$E2142+11</f>
        <v>120</v>
      </c>
      <c r="V2142" s="12">
        <f>IF($J2142=0,0,ROUND(MAX($J2142*1.4*1.5*1.6*1.6*2.2*2.715,354000000*(1.642074^(MIN($E2142,123)-117)))*1,0))</f>
        <v>6696710</v>
      </c>
      <c r="W2142" s="13">
        <f>$E2142+15</f>
        <v>124</v>
      </c>
      <c r="X2142" s="14">
        <f>IF($J2142=0,0,ROUND(MAX($J2142*1.4*1.5*1.6*1.6*2.2*2.715*2.6,3540000000*(1.579646^(MIN($E2142,123)-117)))*1,0))</f>
        <v>91311418</v>
      </c>
      <c r="Y2142" s="11">
        <f>$E2142+17</f>
        <v>126</v>
      </c>
      <c r="Z2142" s="12">
        <f>IF($J2142=0,0,ROUND(MAX($J2142*1.4*1.5*1.6*1.6*2.2*2.715*2.6*1.4,6020000000*(1.651178^(MIN($E2142,123)-117)))*1,0))</f>
        <v>108954543</v>
      </c>
      <c r="AA2142" s="13">
        <f>$E2142+19</f>
        <v>128</v>
      </c>
      <c r="AB2142" s="14">
        <f>IF($J2142=0,0,ROUND(MAX($J2142*1.4*1.5*1.6*1.6*2.2*2.715*2.6*1.4*1.4,8430000000*(1.651435^(MIN($E2142,123)-117)))*1,0))</f>
        <v>152382712</v>
      </c>
      <c r="AC2142" s="11">
        <f>$E2142+21</f>
        <v>130</v>
      </c>
      <c r="AD2142" s="12">
        <f>IF($J2142=0,0,ROUND(MAX($J2142*1.4*1.5*1.6*1.6*2.2*2.715*2.6*1.4*1.4*1.5,12600000000*(1.652953^(MIN($E2142,123)-117)))*1,0))</f>
        <v>226092682</v>
      </c>
      <c r="AE2142" s="13">
        <f>$E2142+24</f>
        <v>133</v>
      </c>
      <c r="AF2142" s="14">
        <f>IF($J2142=0,0,ROUND(MAX($J2142*1.4*1.5*1.6*1.6*2.2*2.715*2.6*1.4*1.4*1.5*1.5,18900000000*(1.65331^(MIN($E2142,123)-117)))*1,0))</f>
        <v>338553621</v>
      </c>
      <c r="AG2142" s="11">
        <f>$E2142+27</f>
        <v>136</v>
      </c>
      <c r="AH2142" s="12">
        <f>IF($J2142=0,0,ROUND(MAX($J2142*1.4*1.5*1.6*1.6*2.2*2.715*2.6*1.4*1.4*1.5*1.5*3.2,60500000000*(1.654288^(MIN($E2142,123)-117)))*1,0))</f>
        <v>1078614909</v>
      </c>
    </row>
    <row r="2143" ht="28" customHeight="1" spans="1:34" x14ac:dyDescent="0.25">
      <c r="A2143">
        <v>2153</v>
      </c>
      <c r="B2143" t="s">
        <v>854</v>
      </c>
      <c r="C2143" s="10" t="s">
        <v>1278</v>
      </c>
      <c r="D2143" t="s">
        <v>64</v>
      </c>
      <c r="E2143">
        <v>109</v>
      </c>
      <c r="F2143" t="s">
        <v>855</v>
      </c>
      <c r="G2143" t="s">
        <v>856</v>
      </c>
      <c r="H2143">
        <v>25</v>
      </c>
      <c r="I2143" s="11">
        <f>$E2143+0</f>
        <v>109</v>
      </c>
      <c r="J2143" s="12">
        <v>66400</v>
      </c>
      <c r="K2143" s="13">
        <f>$E2143+1</f>
        <v>110</v>
      </c>
      <c r="L2143" s="14">
        <f>IF($J2143=0,0,ROUND(MAX($J2143*1.4,1620000*(1.497923^(MIN($E2143,123)-117)))*1,0))</f>
        <v>92960</v>
      </c>
      <c r="M2143" s="11">
        <f>$E2143+2</f>
        <v>111</v>
      </c>
      <c r="N2143" s="12">
        <f>IF($J2143=0,0,ROUND(MAX($J2143*1.4*1.5,2190000*(1.580994^(MIN($E2143,123)-117)))*1,0))</f>
        <v>139440</v>
      </c>
      <c r="O2143" s="13">
        <f>$E2143+4</f>
        <v>113</v>
      </c>
      <c r="P2143" s="14">
        <f>IF($J2143=0,0,ROUND(MAX($J2143*1.4*1.5*1.6,3500000*(1.57975^(MIN($E2143,123)-117)))*1,0))</f>
        <v>223104</v>
      </c>
      <c r="Q2143" s="11">
        <f>$E2143+6</f>
        <v>115</v>
      </c>
      <c r="R2143" s="12">
        <f>IF($J2143=0,0,ROUND(MAX($J2143*1.4*1.5*1.6*1.6,13100000*(1.429962^(MIN($E2143,123)-117)))*1,0))</f>
        <v>749334</v>
      </c>
      <c r="S2143" s="13">
        <f>$E2143+8</f>
        <v>117</v>
      </c>
      <c r="T2143" s="14">
        <f>IF($J2143=0,0,ROUND(MAX($J2143*1.4*1.5*1.6*1.6*2.2,42600000*(1.576904^(MIN($E2143,123)-117)))*1,0))</f>
        <v>1114211</v>
      </c>
      <c r="U2143" s="11">
        <f>$E2143+11</f>
        <v>120</v>
      </c>
      <c r="V2143" s="12">
        <f>IF($J2143=0,0,ROUND(MAX($J2143*1.4*1.5*1.6*1.6*2.2*2.715,354000000*(1.642074^(MIN($E2143,123)-117)))*1,0))</f>
        <v>6696710</v>
      </c>
      <c r="W2143" s="13">
        <f>$E2143+15</f>
        <v>124</v>
      </c>
      <c r="X2143" s="14">
        <f>IF($J2143=0,0,ROUND(MAX($J2143*1.4*1.5*1.6*1.6*2.2*2.715*2.6,3540000000*(1.579646^(MIN($E2143,123)-117)))*1,0))</f>
        <v>91311418</v>
      </c>
      <c r="Y2143" s="11">
        <f>$E2143+17</f>
        <v>126</v>
      </c>
      <c r="Z2143" s="12">
        <f>IF($J2143=0,0,ROUND(MAX($J2143*1.4*1.5*1.6*1.6*2.2*2.715*2.6*1.4,6020000000*(1.651178^(MIN($E2143,123)-117)))*1,0))</f>
        <v>108954543</v>
      </c>
      <c r="AA2143" s="13">
        <f>$E2143+19</f>
        <v>128</v>
      </c>
      <c r="AB2143" s="14">
        <f>IF($J2143=0,0,ROUND(MAX($J2143*1.4*1.5*1.6*1.6*2.2*2.715*2.6*1.4*1.4,8430000000*(1.651435^(MIN($E2143,123)-117)))*1,0))</f>
        <v>152382712</v>
      </c>
      <c r="AC2143" s="11">
        <f>$E2143+21</f>
        <v>130</v>
      </c>
      <c r="AD2143" s="12">
        <f>IF($J2143=0,0,ROUND(MAX($J2143*1.4*1.5*1.6*1.6*2.2*2.715*2.6*1.4*1.4*1.5,12600000000*(1.652953^(MIN($E2143,123)-117)))*1,0))</f>
        <v>226092682</v>
      </c>
      <c r="AE2143" s="13">
        <f>$E2143+24</f>
        <v>133</v>
      </c>
      <c r="AF2143" s="14">
        <f>IF($J2143=0,0,ROUND(MAX($J2143*1.4*1.5*1.6*1.6*2.2*2.715*2.6*1.4*1.4*1.5*1.5,18900000000*(1.65331^(MIN($E2143,123)-117)))*1,0))</f>
        <v>338553621</v>
      </c>
      <c r="AG2143" s="11">
        <f>$E2143+27</f>
        <v>136</v>
      </c>
      <c r="AH2143" s="12">
        <f>IF($J2143=0,0,ROUND(MAX($J2143*1.4*1.5*1.6*1.6*2.2*2.715*2.6*1.4*1.4*1.5*1.5*3.2,60500000000*(1.654288^(MIN($E2143,123)-117)))*1,0))</f>
        <v>1078614909</v>
      </c>
    </row>
    <row r="2144" ht="28" customHeight="1" spans="1:34" x14ac:dyDescent="0.25">
      <c r="A2144">
        <v>2154</v>
      </c>
      <c r="B2144" t="s">
        <v>1290</v>
      </c>
      <c r="C2144" s="10" t="s">
        <v>1278</v>
      </c>
      <c r="D2144" t="s">
        <v>29</v>
      </c>
      <c r="E2144">
        <v>109</v>
      </c>
      <c r="F2144" t="s">
        <v>1038</v>
      </c>
      <c r="G2144" t="s">
        <v>1029</v>
      </c>
      <c r="H2144">
        <v>25</v>
      </c>
      <c r="I2144" s="11">
        <f>$E2144+0</f>
        <v>109</v>
      </c>
      <c r="J2144" s="12">
        <v>68500</v>
      </c>
      <c r="K2144" s="13">
        <f>$E2144+1</f>
        <v>110</v>
      </c>
      <c r="L2144" s="14">
        <f>IF($J2144=0,0,ROUND(MAX($J2144*1.4,1620000*(1.497923^(MIN($E2144,123)-117)))*1,0))</f>
        <v>95900</v>
      </c>
      <c r="M2144" s="11">
        <f>$E2144+2</f>
        <v>111</v>
      </c>
      <c r="N2144" s="12">
        <f>IF($J2144=0,0,ROUND(MAX($J2144*1.4*1.5,2190000*(1.580994^(MIN($E2144,123)-117)))*1,0))</f>
        <v>143850</v>
      </c>
      <c r="O2144" s="13">
        <f>$E2144+4</f>
        <v>113</v>
      </c>
      <c r="P2144" s="14">
        <f>IF($J2144=0,0,ROUND(MAX($J2144*1.4*1.5*1.6,3500000*(1.57975^(MIN($E2144,123)-117)))*1,0))</f>
        <v>230160</v>
      </c>
      <c r="Q2144" s="11">
        <f>$E2144+6</f>
        <v>115</v>
      </c>
      <c r="R2144" s="12">
        <f>IF($J2144=0,0,ROUND(MAX($J2144*1.4*1.5*1.6*1.6,13100000*(1.429962^(MIN($E2144,123)-117)))*1,0))</f>
        <v>749334</v>
      </c>
      <c r="S2144" s="13">
        <f>$E2144+8</f>
        <v>117</v>
      </c>
      <c r="T2144" s="14">
        <f>IF($J2144=0,0,ROUND(MAX($J2144*1.4*1.5*1.6*1.6*2.2,42600000*(1.576904^(MIN($E2144,123)-117)))*1,0))</f>
        <v>1114211</v>
      </c>
      <c r="U2144" s="11">
        <f>$E2144+11</f>
        <v>120</v>
      </c>
      <c r="V2144" s="12">
        <f>IF($J2144=0,0,ROUND(MAX($J2144*1.4*1.5*1.6*1.6*2.2*2.715,354000000*(1.642074^(MIN($E2144,123)-117)))*1,0))</f>
        <v>6696710</v>
      </c>
      <c r="W2144" s="13">
        <f>$E2144+15</f>
        <v>124</v>
      </c>
      <c r="X2144" s="14">
        <f>IF($J2144=0,0,ROUND(MAX($J2144*1.4*1.5*1.6*1.6*2.2*2.715*2.6,3540000000*(1.579646^(MIN($E2144,123)-117)))*1,0))</f>
        <v>91311418</v>
      </c>
      <c r="Y2144" s="11">
        <f>$E2144+17</f>
        <v>126</v>
      </c>
      <c r="Z2144" s="12">
        <f>IF($J2144=0,0,ROUND(MAX($J2144*1.4*1.5*1.6*1.6*2.2*2.715*2.6*1.4,6020000000*(1.651178^(MIN($E2144,123)-117)))*1,0))</f>
        <v>108954543</v>
      </c>
      <c r="AA2144" s="13">
        <f>$E2144+19</f>
        <v>128</v>
      </c>
      <c r="AB2144" s="14">
        <f>IF($J2144=0,0,ROUND(MAX($J2144*1.4*1.5*1.6*1.6*2.2*2.715*2.6*1.4*1.4,8430000000*(1.651435^(MIN($E2144,123)-117)))*1,0))</f>
        <v>152382712</v>
      </c>
      <c r="AC2144" s="11">
        <f>$E2144+21</f>
        <v>130</v>
      </c>
      <c r="AD2144" s="12">
        <f>IF($J2144=0,0,ROUND(MAX($J2144*1.4*1.5*1.6*1.6*2.2*2.715*2.6*1.4*1.4*1.5,12600000000*(1.652953^(MIN($E2144,123)-117)))*1,0))</f>
        <v>226092682</v>
      </c>
      <c r="AE2144" s="13">
        <f>$E2144+24</f>
        <v>133</v>
      </c>
      <c r="AF2144" s="14">
        <f>IF($J2144=0,0,ROUND(MAX($J2144*1.4*1.5*1.6*1.6*2.2*2.715*2.6*1.4*1.4*1.5*1.5,18900000000*(1.65331^(MIN($E2144,123)-117)))*1,0))</f>
        <v>338553621</v>
      </c>
      <c r="AG2144" s="11">
        <f>$E2144+27</f>
        <v>136</v>
      </c>
      <c r="AH2144" s="12">
        <f>IF($J2144=0,0,ROUND(MAX($J2144*1.4*1.5*1.6*1.6*2.2*2.715*2.6*1.4*1.4*1.5*1.5*3.2,60500000000*(1.654288^(MIN($E2144,123)-117)))*1,0))</f>
        <v>1078614909</v>
      </c>
    </row>
    <row r="2145" ht="28" customHeight="1" spans="1:34" x14ac:dyDescent="0.25">
      <c r="A2145">
        <v>2155</v>
      </c>
      <c r="B2145" t="s">
        <v>280</v>
      </c>
      <c r="C2145" s="10" t="s">
        <v>1278</v>
      </c>
      <c r="D2145" t="s">
        <v>40</v>
      </c>
      <c r="E2145">
        <v>109</v>
      </c>
      <c r="F2145" t="s">
        <v>281</v>
      </c>
      <c r="G2145" t="s">
        <v>282</v>
      </c>
      <c r="H2145">
        <v>25</v>
      </c>
      <c r="I2145" s="11">
        <f>$E2145+0</f>
        <v>109</v>
      </c>
      <c r="J2145" s="12">
        <v>75000</v>
      </c>
      <c r="K2145" s="13">
        <f>$E2145+1</f>
        <v>110</v>
      </c>
      <c r="L2145" s="14">
        <f>IF($J2145=0,0,ROUND(MAX($J2145*1.4,1620000*(1.497923^(MIN($E2145,123)-117)))*1,0))</f>
        <v>105000</v>
      </c>
      <c r="M2145" s="11">
        <f>$E2145+2</f>
        <v>111</v>
      </c>
      <c r="N2145" s="12">
        <f>IF($J2145=0,0,ROUND(MAX($J2145*1.4*1.5,2190000*(1.580994^(MIN($E2145,123)-117)))*1,0))</f>
        <v>157500</v>
      </c>
      <c r="O2145" s="13">
        <f>$E2145+4</f>
        <v>113</v>
      </c>
      <c r="P2145" s="14">
        <f>IF($J2145=0,0,ROUND(MAX($J2145*1.4*1.5*1.6,3500000*(1.57975^(MIN($E2145,123)-117)))*1,0))</f>
        <v>252000</v>
      </c>
      <c r="Q2145" s="11">
        <f>$E2145+6</f>
        <v>115</v>
      </c>
      <c r="R2145" s="12">
        <f>IF($J2145=0,0,ROUND(MAX($J2145*1.4*1.5*1.6*1.6,13100000*(1.429962^(MIN($E2145,123)-117)))*1,0))</f>
        <v>749334</v>
      </c>
      <c r="S2145" s="13">
        <f>$E2145+8</f>
        <v>117</v>
      </c>
      <c r="T2145" s="14">
        <f>IF($J2145=0,0,ROUND(MAX($J2145*1.4*1.5*1.6*1.6*2.2,42600000*(1.576904^(MIN($E2145,123)-117)))*1,0))</f>
        <v>1114211</v>
      </c>
      <c r="U2145" s="11">
        <f>$E2145+11</f>
        <v>120</v>
      </c>
      <c r="V2145" s="12">
        <f>IF($J2145=0,0,ROUND(MAX($J2145*1.4*1.5*1.6*1.6*2.2*2.715,354000000*(1.642074^(MIN($E2145,123)-117)))*1,0))</f>
        <v>6696710</v>
      </c>
      <c r="W2145" s="13">
        <f>$E2145+15</f>
        <v>124</v>
      </c>
      <c r="X2145" s="14">
        <f>IF($J2145=0,0,ROUND(MAX($J2145*1.4*1.5*1.6*1.6*2.2*2.715*2.6,3540000000*(1.579646^(MIN($E2145,123)-117)))*1,0))</f>
        <v>91311418</v>
      </c>
      <c r="Y2145" s="11">
        <f>$E2145+17</f>
        <v>126</v>
      </c>
      <c r="Z2145" s="12">
        <f>IF($J2145=0,0,ROUND(MAX($J2145*1.4*1.5*1.6*1.6*2.2*2.715*2.6*1.4,6020000000*(1.651178^(MIN($E2145,123)-117)))*1,0))</f>
        <v>108954543</v>
      </c>
      <c r="AA2145" s="13">
        <f>$E2145+19</f>
        <v>128</v>
      </c>
      <c r="AB2145" s="14">
        <f>IF($J2145=0,0,ROUND(MAX($J2145*1.4*1.5*1.6*1.6*2.2*2.715*2.6*1.4*1.4,8430000000*(1.651435^(MIN($E2145,123)-117)))*1,0))</f>
        <v>152382712</v>
      </c>
      <c r="AC2145" s="11">
        <f>$E2145+21</f>
        <v>130</v>
      </c>
      <c r="AD2145" s="12">
        <f>IF($J2145=0,0,ROUND(MAX($J2145*1.4*1.5*1.6*1.6*2.2*2.715*2.6*1.4*1.4*1.5,12600000000*(1.652953^(MIN($E2145,123)-117)))*1,0))</f>
        <v>226092682</v>
      </c>
      <c r="AE2145" s="13">
        <f>$E2145+24</f>
        <v>133</v>
      </c>
      <c r="AF2145" s="14">
        <f>IF($J2145=0,0,ROUND(MAX($J2145*1.4*1.5*1.6*1.6*2.2*2.715*2.6*1.4*1.4*1.5*1.5,18900000000*(1.65331^(MIN($E2145,123)-117)))*1,0))</f>
        <v>338553621</v>
      </c>
      <c r="AG2145" s="11">
        <f>$E2145+27</f>
        <v>136</v>
      </c>
      <c r="AH2145" s="12">
        <f>IF($J2145=0,0,ROUND(MAX($J2145*1.4*1.5*1.6*1.6*2.2*2.715*2.6*1.4*1.4*1.5*1.5*3.2,60500000000*(1.654288^(MIN($E2145,123)-117)))*1,0))</f>
        <v>1078614909</v>
      </c>
    </row>
    <row r="2146" ht="28" customHeight="1" spans="1:34" x14ac:dyDescent="0.25">
      <c r="A2146">
        <v>2156</v>
      </c>
      <c r="B2146" t="s">
        <v>1250</v>
      </c>
      <c r="C2146" s="10" t="s">
        <v>1278</v>
      </c>
      <c r="D2146" t="s">
        <v>45</v>
      </c>
      <c r="E2146">
        <v>109</v>
      </c>
      <c r="F2146" t="s">
        <v>30</v>
      </c>
      <c r="G2146" t="s">
        <v>86</v>
      </c>
      <c r="H2146">
        <v>25</v>
      </c>
      <c r="I2146" s="11">
        <f>$E2146+0</f>
        <v>109</v>
      </c>
      <c r="J2146" s="12">
        <v>20000</v>
      </c>
      <c r="K2146" s="13">
        <f>$E2146+1</f>
        <v>110</v>
      </c>
      <c r="L2146" s="14">
        <f>IF($J2146=0,0,ROUND(MAX($J2146*1.4,1620000*(1.497923^(MIN($E2146,123)-117)))*1,0))</f>
        <v>63914</v>
      </c>
      <c r="M2146" s="11">
        <f>$E2146+2</f>
        <v>111</v>
      </c>
      <c r="N2146" s="12">
        <f>IF($J2146=0,0,ROUND(MAX($J2146*1.4*1.5,2190000*(1.580994^(MIN($E2146,123)-117)))*1,0))</f>
        <v>56105</v>
      </c>
      <c r="O2146" s="13">
        <f>$E2146+4</f>
        <v>113</v>
      </c>
      <c r="P2146" s="14">
        <f>IF($J2146=0,0,ROUND(MAX($J2146*1.4*1.5*1.6,3500000*(1.57975^(MIN($E2146,123)-117)))*1,0))</f>
        <v>90232</v>
      </c>
      <c r="Q2146" s="11">
        <f>$E2146+6</f>
        <v>115</v>
      </c>
      <c r="R2146" s="12">
        <f>IF($J2146=0,0,ROUND(MAX($J2146*1.4*1.5*1.6*1.6,13100000*(1.429962^(MIN($E2146,123)-117)))*1,0))</f>
        <v>749334</v>
      </c>
      <c r="S2146" s="13">
        <f>$E2146+8</f>
        <v>117</v>
      </c>
      <c r="T2146" s="14">
        <f>IF($J2146=0,0,ROUND(MAX($J2146*1.4*1.5*1.6*1.6*2.2,42600000*(1.576904^(MIN($E2146,123)-117)))*1,0))</f>
        <v>1114211</v>
      </c>
      <c r="U2146" s="11">
        <f>$E2146+11</f>
        <v>120</v>
      </c>
      <c r="V2146" s="12">
        <f>IF($J2146=0,0,ROUND(MAX($J2146*1.4*1.5*1.6*1.6*2.2*2.715,354000000*(1.642074^(MIN($E2146,123)-117)))*1,0))</f>
        <v>6696710</v>
      </c>
      <c r="W2146" s="13">
        <f>$E2146+15</f>
        <v>124</v>
      </c>
      <c r="X2146" s="14">
        <f>IF($J2146=0,0,ROUND(MAX($J2146*1.4*1.5*1.6*1.6*2.2*2.715*2.6,3540000000*(1.579646^(MIN($E2146,123)-117)))*1,0))</f>
        <v>91311418</v>
      </c>
      <c r="Y2146" s="11">
        <f>$E2146+17</f>
        <v>126</v>
      </c>
      <c r="Z2146" s="12">
        <f>IF($J2146=0,0,ROUND(MAX($J2146*1.4*1.5*1.6*1.6*2.2*2.715*2.6*1.4,6020000000*(1.651178^(MIN($E2146,123)-117)))*1,0))</f>
        <v>108954543</v>
      </c>
      <c r="AA2146" s="13">
        <f>$E2146+19</f>
        <v>128</v>
      </c>
      <c r="AB2146" s="14">
        <f>IF($J2146=0,0,ROUND(MAX($J2146*1.4*1.5*1.6*1.6*2.2*2.715*2.6*1.4*1.4,8430000000*(1.651435^(MIN($E2146,123)-117)))*1,0))</f>
        <v>152382712</v>
      </c>
      <c r="AC2146" s="11">
        <f>$E2146+21</f>
        <v>130</v>
      </c>
      <c r="AD2146" s="12">
        <f>IF($J2146=0,0,ROUND(MAX($J2146*1.4*1.5*1.6*1.6*2.2*2.715*2.6*1.4*1.4*1.5,12600000000*(1.652953^(MIN($E2146,123)-117)))*1,0))</f>
        <v>226092682</v>
      </c>
      <c r="AE2146" s="13">
        <f>$E2146+24</f>
        <v>133</v>
      </c>
      <c r="AF2146" s="14">
        <f>IF($J2146=0,0,ROUND(MAX($J2146*1.4*1.5*1.6*1.6*2.2*2.715*2.6*1.4*1.4*1.5*1.5,18900000000*(1.65331^(MIN($E2146,123)-117)))*1,0))</f>
        <v>338553621</v>
      </c>
      <c r="AG2146" s="11">
        <f>$E2146+27</f>
        <v>136</v>
      </c>
      <c r="AH2146" s="12">
        <f>IF($J2146=0,0,ROUND(MAX($J2146*1.4*1.5*1.6*1.6*2.2*2.715*2.6*1.4*1.4*1.5*1.5*3.2,60500000000*(1.654288^(MIN($E2146,123)-117)))*1,0))</f>
        <v>1078614909</v>
      </c>
    </row>
    <row r="2147" ht="28" customHeight="1" spans="1:34" x14ac:dyDescent="0.25">
      <c r="A2147">
        <v>2157</v>
      </c>
      <c r="B2147" t="s">
        <v>1291</v>
      </c>
      <c r="C2147" s="10" t="s">
        <v>1278</v>
      </c>
      <c r="D2147" t="s">
        <v>102</v>
      </c>
      <c r="E2147">
        <v>109</v>
      </c>
      <c r="F2147" t="s">
        <v>146</v>
      </c>
      <c r="G2147" t="s">
        <v>425</v>
      </c>
      <c r="H2147">
        <v>25</v>
      </c>
      <c r="I2147" s="11">
        <f>$E2147+0</f>
        <v>109</v>
      </c>
      <c r="J2147" s="12">
        <v>11000</v>
      </c>
      <c r="K2147" s="13">
        <f>$E2147+1</f>
        <v>110</v>
      </c>
      <c r="L2147" s="14">
        <f>IF($J2147=0,0,ROUND(MAX($J2147*1.4,1620000*(1.497923^(MIN($E2147,123)-117)))*1,0))</f>
        <v>63914</v>
      </c>
      <c r="M2147" s="11">
        <f>$E2147+2</f>
        <v>111</v>
      </c>
      <c r="N2147" s="12">
        <f>IF($J2147=0,0,ROUND(MAX($J2147*1.4*1.5,2190000*(1.580994^(MIN($E2147,123)-117)))*1,0))</f>
        <v>56105</v>
      </c>
      <c r="O2147" s="13">
        <f>$E2147+4</f>
        <v>113</v>
      </c>
      <c r="P2147" s="14">
        <f>IF($J2147=0,0,ROUND(MAX($J2147*1.4*1.5*1.6,3500000*(1.57975^(MIN($E2147,123)-117)))*1,0))</f>
        <v>90232</v>
      </c>
      <c r="Q2147" s="11">
        <f>$E2147+6</f>
        <v>115</v>
      </c>
      <c r="R2147" s="12">
        <f>IF($J2147=0,0,ROUND(MAX($J2147*1.4*1.5*1.6*1.6,13100000*(1.429962^(MIN($E2147,123)-117)))*1,0))</f>
        <v>749334</v>
      </c>
      <c r="S2147" s="13">
        <f>$E2147+8</f>
        <v>117</v>
      </c>
      <c r="T2147" s="14">
        <f>IF($J2147=0,0,ROUND(MAX($J2147*1.4*1.5*1.6*1.6*2.2,42600000*(1.576904^(MIN($E2147,123)-117)))*1,0))</f>
        <v>1114211</v>
      </c>
      <c r="U2147" s="11">
        <f>$E2147+11</f>
        <v>120</v>
      </c>
      <c r="V2147" s="12">
        <f>IF($J2147=0,0,ROUND(MAX($J2147*1.4*1.5*1.6*1.6*2.2*2.715,354000000*(1.642074^(MIN($E2147,123)-117)))*1,0))</f>
        <v>6696710</v>
      </c>
      <c r="W2147" s="13">
        <f>$E2147+15</f>
        <v>124</v>
      </c>
      <c r="X2147" s="14">
        <f>IF($J2147=0,0,ROUND(MAX($J2147*1.4*1.5*1.6*1.6*2.2*2.715*2.6,3540000000*(1.579646^(MIN($E2147,123)-117)))*1,0))</f>
        <v>91311418</v>
      </c>
      <c r="Y2147" s="11">
        <f>$E2147+17</f>
        <v>126</v>
      </c>
      <c r="Z2147" s="12">
        <f>IF($J2147=0,0,ROUND(MAX($J2147*1.4*1.5*1.6*1.6*2.2*2.715*2.6*1.4,6020000000*(1.651178^(MIN($E2147,123)-117)))*1,0))</f>
        <v>108954543</v>
      </c>
      <c r="AA2147" s="13">
        <f>$E2147+19</f>
        <v>128</v>
      </c>
      <c r="AB2147" s="14">
        <f>IF($J2147=0,0,ROUND(MAX($J2147*1.4*1.5*1.6*1.6*2.2*2.715*2.6*1.4*1.4,8430000000*(1.651435^(MIN($E2147,123)-117)))*1,0))</f>
        <v>152382712</v>
      </c>
      <c r="AC2147" s="11">
        <f>$E2147+21</f>
        <v>130</v>
      </c>
      <c r="AD2147" s="12">
        <f>IF($J2147=0,0,ROUND(MAX($J2147*1.4*1.5*1.6*1.6*2.2*2.715*2.6*1.4*1.4*1.5,12600000000*(1.652953^(MIN($E2147,123)-117)))*1,0))</f>
        <v>226092682</v>
      </c>
      <c r="AE2147" s="13">
        <f>$E2147+24</f>
        <v>133</v>
      </c>
      <c r="AF2147" s="14">
        <f>IF($J2147=0,0,ROUND(MAX($J2147*1.4*1.5*1.6*1.6*2.2*2.715*2.6*1.4*1.4*1.5*1.5,18900000000*(1.65331^(MIN($E2147,123)-117)))*1,0))</f>
        <v>338553621</v>
      </c>
      <c r="AG2147" s="11">
        <f>$E2147+27</f>
        <v>136</v>
      </c>
      <c r="AH2147" s="12">
        <f>IF($J2147=0,0,ROUND(MAX($J2147*1.4*1.5*1.6*1.6*2.2*2.715*2.6*1.4*1.4*1.5*1.5*3.2,60500000000*(1.654288^(MIN($E2147,123)-117)))*1,0))</f>
        <v>1078614909</v>
      </c>
    </row>
    <row r="2148" ht="28" customHeight="1" spans="1:34" x14ac:dyDescent="0.25">
      <c r="A2148">
        <v>2158</v>
      </c>
      <c r="B2148" t="s">
        <v>1059</v>
      </c>
      <c r="C2148" s="10" t="s">
        <v>1278</v>
      </c>
      <c r="D2148" t="s">
        <v>45</v>
      </c>
      <c r="E2148">
        <v>109</v>
      </c>
      <c r="F2148" t="s">
        <v>34</v>
      </c>
      <c r="G2148" t="s">
        <v>1013</v>
      </c>
      <c r="H2148">
        <v>25</v>
      </c>
      <c r="I2148" s="11">
        <f>$E2148+0</f>
        <v>109</v>
      </c>
      <c r="J2148" s="12">
        <v>83200</v>
      </c>
      <c r="K2148" s="13">
        <f>$E2148+1</f>
        <v>110</v>
      </c>
      <c r="L2148" s="14">
        <f>IF($J2148=0,0,ROUND(MAX($J2148*1.4,1620000*(1.497923^(MIN($E2148,123)-117)))*1,0))</f>
        <v>116480</v>
      </c>
      <c r="M2148" s="11">
        <f>$E2148+2</f>
        <v>111</v>
      </c>
      <c r="N2148" s="12">
        <f>IF($J2148=0,0,ROUND(MAX($J2148*1.4*1.5,2190000*(1.580994^(MIN($E2148,123)-117)))*1,0))</f>
        <v>174720</v>
      </c>
      <c r="O2148" s="13">
        <f>$E2148+4</f>
        <v>113</v>
      </c>
      <c r="P2148" s="14">
        <f>IF($J2148=0,0,ROUND(MAX($J2148*1.4*1.5*1.6,3500000*(1.57975^(MIN($E2148,123)-117)))*1,0))</f>
        <v>279552</v>
      </c>
      <c r="Q2148" s="11">
        <f>$E2148+6</f>
        <v>115</v>
      </c>
      <c r="R2148" s="12">
        <f>IF($J2148=0,0,ROUND(MAX($J2148*1.4*1.5*1.6*1.6,13100000*(1.429962^(MIN($E2148,123)-117)))*1,0))</f>
        <v>749334</v>
      </c>
      <c r="S2148" s="13">
        <f>$E2148+8</f>
        <v>117</v>
      </c>
      <c r="T2148" s="14">
        <f>IF($J2148=0,0,ROUND(MAX($J2148*1.4*1.5*1.6*1.6*2.2,42600000*(1.576904^(MIN($E2148,123)-117)))*1,0))</f>
        <v>1114211</v>
      </c>
      <c r="U2148" s="11">
        <f>$E2148+11</f>
        <v>120</v>
      </c>
      <c r="V2148" s="12">
        <f>IF($J2148=0,0,ROUND(MAX($J2148*1.4*1.5*1.6*1.6*2.2*2.715,354000000*(1.642074^(MIN($E2148,123)-117)))*1,0))</f>
        <v>6696710</v>
      </c>
      <c r="W2148" s="13">
        <f>$E2148+15</f>
        <v>124</v>
      </c>
      <c r="X2148" s="14">
        <f>IF($J2148=0,0,ROUND(MAX($J2148*1.4*1.5*1.6*1.6*2.2*2.715*2.6,3540000000*(1.579646^(MIN($E2148,123)-117)))*1,0))</f>
        <v>91311418</v>
      </c>
      <c r="Y2148" s="11">
        <f>$E2148+17</f>
        <v>126</v>
      </c>
      <c r="Z2148" s="12">
        <f>IF($J2148=0,0,ROUND(MAX($J2148*1.4*1.5*1.6*1.6*2.2*2.715*2.6*1.4,6020000000*(1.651178^(MIN($E2148,123)-117)))*1,0))</f>
        <v>108954543</v>
      </c>
      <c r="AA2148" s="13">
        <f>$E2148+19</f>
        <v>128</v>
      </c>
      <c r="AB2148" s="14">
        <f>IF($J2148=0,0,ROUND(MAX($J2148*1.4*1.5*1.6*1.6*2.2*2.715*2.6*1.4*1.4,8430000000*(1.651435^(MIN($E2148,123)-117)))*1,0))</f>
        <v>152382712</v>
      </c>
      <c r="AC2148" s="11">
        <f>$E2148+21</f>
        <v>130</v>
      </c>
      <c r="AD2148" s="12">
        <f>IF($J2148=0,0,ROUND(MAX($J2148*1.4*1.5*1.6*1.6*2.2*2.715*2.6*1.4*1.4*1.5,12600000000*(1.652953^(MIN($E2148,123)-117)))*1,0))</f>
        <v>226092682</v>
      </c>
      <c r="AE2148" s="13">
        <f>$E2148+24</f>
        <v>133</v>
      </c>
      <c r="AF2148" s="14">
        <f>IF($J2148=0,0,ROUND(MAX($J2148*1.4*1.5*1.6*1.6*2.2*2.715*2.6*1.4*1.4*1.5*1.5,18900000000*(1.65331^(MIN($E2148,123)-117)))*1,0))</f>
        <v>338553621</v>
      </c>
      <c r="AG2148" s="11">
        <f>$E2148+27</f>
        <v>136</v>
      </c>
      <c r="AH2148" s="12">
        <f>IF($J2148=0,0,ROUND(MAX($J2148*1.4*1.5*1.6*1.6*2.2*2.715*2.6*1.4*1.4*1.5*1.5*3.2,60500000000*(1.654288^(MIN($E2148,123)-117)))*1,0))</f>
        <v>1078614909</v>
      </c>
    </row>
    <row r="2149" ht="28" customHeight="1" spans="1:34" x14ac:dyDescent="0.25">
      <c r="A2149">
        <v>2159</v>
      </c>
      <c r="B2149" t="s">
        <v>1292</v>
      </c>
      <c r="C2149" s="10" t="s">
        <v>1278</v>
      </c>
      <c r="D2149" t="s">
        <v>33</v>
      </c>
      <c r="E2149">
        <v>109</v>
      </c>
      <c r="F2149" t="s">
        <v>37</v>
      </c>
      <c r="G2149" t="s">
        <v>254</v>
      </c>
      <c r="H2149">
        <v>25</v>
      </c>
      <c r="I2149" s="11">
        <f>$E2149+0</f>
        <v>109</v>
      </c>
      <c r="J2149" s="12">
        <v>87600</v>
      </c>
      <c r="K2149" s="13">
        <f>$E2149+1</f>
        <v>110</v>
      </c>
      <c r="L2149" s="14">
        <f>IF($J2149=0,0,ROUND(MAX($J2149*1.4,1620000*(1.497923^(MIN($E2149,123)-117)))*1,0))</f>
        <v>122640</v>
      </c>
      <c r="M2149" s="11">
        <f>$E2149+2</f>
        <v>111</v>
      </c>
      <c r="N2149" s="12">
        <f>IF($J2149=0,0,ROUND(MAX($J2149*1.4*1.5,2190000*(1.580994^(MIN($E2149,123)-117)))*1,0))</f>
        <v>183960</v>
      </c>
      <c r="O2149" s="13">
        <f>$E2149+4</f>
        <v>113</v>
      </c>
      <c r="P2149" s="14">
        <f>IF($J2149=0,0,ROUND(MAX($J2149*1.4*1.5*1.6,3500000*(1.57975^(MIN($E2149,123)-117)))*1,0))</f>
        <v>294336</v>
      </c>
      <c r="Q2149" s="11">
        <f>$E2149+6</f>
        <v>115</v>
      </c>
      <c r="R2149" s="12">
        <f>IF($J2149=0,0,ROUND(MAX($J2149*1.4*1.5*1.6*1.6,13100000*(1.429962^(MIN($E2149,123)-117)))*1,0))</f>
        <v>749334</v>
      </c>
      <c r="S2149" s="13">
        <f>$E2149+8</f>
        <v>117</v>
      </c>
      <c r="T2149" s="14">
        <f>IF($J2149=0,0,ROUND(MAX($J2149*1.4*1.5*1.6*1.6*2.2,42600000*(1.576904^(MIN($E2149,123)-117)))*1,0))</f>
        <v>1114211</v>
      </c>
      <c r="U2149" s="11">
        <f>$E2149+11</f>
        <v>120</v>
      </c>
      <c r="V2149" s="12">
        <f>IF($J2149=0,0,ROUND(MAX($J2149*1.4*1.5*1.6*1.6*2.2*2.715,354000000*(1.642074^(MIN($E2149,123)-117)))*1,0))</f>
        <v>6696710</v>
      </c>
      <c r="W2149" s="13">
        <f>$E2149+15</f>
        <v>124</v>
      </c>
      <c r="X2149" s="14">
        <f>IF($J2149=0,0,ROUND(MAX($J2149*1.4*1.5*1.6*1.6*2.2*2.715*2.6,3540000000*(1.579646^(MIN($E2149,123)-117)))*1,0))</f>
        <v>91311418</v>
      </c>
      <c r="Y2149" s="11">
        <f>$E2149+17</f>
        <v>126</v>
      </c>
      <c r="Z2149" s="12">
        <f>IF($J2149=0,0,ROUND(MAX($J2149*1.4*1.5*1.6*1.6*2.2*2.715*2.6*1.4,6020000000*(1.651178^(MIN($E2149,123)-117)))*1,0))</f>
        <v>108954543</v>
      </c>
      <c r="AA2149" s="13">
        <f>$E2149+19</f>
        <v>128</v>
      </c>
      <c r="AB2149" s="14">
        <f>IF($J2149=0,0,ROUND(MAX($J2149*1.4*1.5*1.6*1.6*2.2*2.715*2.6*1.4*1.4,8430000000*(1.651435^(MIN($E2149,123)-117)))*1,0))</f>
        <v>152382712</v>
      </c>
      <c r="AC2149" s="11">
        <f>$E2149+21</f>
        <v>130</v>
      </c>
      <c r="AD2149" s="12">
        <f>IF($J2149=0,0,ROUND(MAX($J2149*1.4*1.5*1.6*1.6*2.2*2.715*2.6*1.4*1.4*1.5,12600000000*(1.652953^(MIN($E2149,123)-117)))*1,0))</f>
        <v>226092682</v>
      </c>
      <c r="AE2149" s="13">
        <f>$E2149+24</f>
        <v>133</v>
      </c>
      <c r="AF2149" s="14">
        <f>IF($J2149=0,0,ROUND(MAX($J2149*1.4*1.5*1.6*1.6*2.2*2.715*2.6*1.4*1.4*1.5*1.5,18900000000*(1.65331^(MIN($E2149,123)-117)))*1,0))</f>
        <v>338553621</v>
      </c>
      <c r="AG2149" s="11">
        <f>$E2149+27</f>
        <v>136</v>
      </c>
      <c r="AH2149" s="12">
        <f>IF($J2149=0,0,ROUND(MAX($J2149*1.4*1.5*1.6*1.6*2.2*2.715*2.6*1.4*1.4*1.5*1.5*3.2,60500000000*(1.654288^(MIN($E2149,123)-117)))*1,0))</f>
        <v>1078614909</v>
      </c>
    </row>
    <row r="2150" ht="28" customHeight="1" spans="1:34" x14ac:dyDescent="0.25">
      <c r="A2150">
        <v>2160</v>
      </c>
      <c r="B2150" t="s">
        <v>1293</v>
      </c>
      <c r="C2150" s="10" t="s">
        <v>1278</v>
      </c>
      <c r="D2150" t="s">
        <v>45</v>
      </c>
      <c r="E2150">
        <v>109</v>
      </c>
      <c r="F2150" t="s">
        <v>34</v>
      </c>
      <c r="G2150" t="s">
        <v>277</v>
      </c>
      <c r="H2150">
        <v>25</v>
      </c>
      <c r="I2150" s="11">
        <f>$E2150+0</f>
        <v>109</v>
      </c>
      <c r="J2150" s="12">
        <v>11000</v>
      </c>
      <c r="K2150" s="13">
        <f>$E2150+1</f>
        <v>110</v>
      </c>
      <c r="L2150" s="14">
        <f>IF($J2150=0,0,ROUND(MAX($J2150*1.4,1620000*(1.497923^(MIN($E2150,123)-117)))*1,0))</f>
        <v>63914</v>
      </c>
      <c r="M2150" s="11">
        <f>$E2150+2</f>
        <v>111</v>
      </c>
      <c r="N2150" s="12">
        <f>IF($J2150=0,0,ROUND(MAX($J2150*1.4*1.5,2190000*(1.580994^(MIN($E2150,123)-117)))*1,0))</f>
        <v>56105</v>
      </c>
      <c r="O2150" s="13">
        <f>$E2150+4</f>
        <v>113</v>
      </c>
      <c r="P2150" s="14">
        <f>IF($J2150=0,0,ROUND(MAX($J2150*1.4*1.5*1.6,3500000*(1.57975^(MIN($E2150,123)-117)))*1,0))</f>
        <v>90232</v>
      </c>
      <c r="Q2150" s="11">
        <f>$E2150+6</f>
        <v>115</v>
      </c>
      <c r="R2150" s="12">
        <f>IF($J2150=0,0,ROUND(MAX($J2150*1.4*1.5*1.6*1.6,13100000*(1.429962^(MIN($E2150,123)-117)))*1,0))</f>
        <v>749334</v>
      </c>
      <c r="S2150" s="13">
        <f>$E2150+8</f>
        <v>117</v>
      </c>
      <c r="T2150" s="14">
        <f>IF($J2150=0,0,ROUND(MAX($J2150*1.4*1.5*1.6*1.6*2.2,42600000*(1.576904^(MIN($E2150,123)-117)))*1,0))</f>
        <v>1114211</v>
      </c>
      <c r="U2150" s="11">
        <f>$E2150+11</f>
        <v>120</v>
      </c>
      <c r="V2150" s="12">
        <f>IF($J2150=0,0,ROUND(MAX($J2150*1.4*1.5*1.6*1.6*2.2*2.715,354000000*(1.642074^(MIN($E2150,123)-117)))*1,0))</f>
        <v>6696710</v>
      </c>
      <c r="W2150" s="13">
        <f>$E2150+15</f>
        <v>124</v>
      </c>
      <c r="X2150" s="14">
        <f>IF($J2150=0,0,ROUND(MAX($J2150*1.4*1.5*1.6*1.6*2.2*2.715*2.6,3540000000*(1.579646^(MIN($E2150,123)-117)))*1,0))</f>
        <v>91311418</v>
      </c>
      <c r="Y2150" s="11">
        <f>$E2150+17</f>
        <v>126</v>
      </c>
      <c r="Z2150" s="12">
        <f>IF($J2150=0,0,ROUND(MAX($J2150*1.4*1.5*1.6*1.6*2.2*2.715*2.6*1.4,6020000000*(1.651178^(MIN($E2150,123)-117)))*1,0))</f>
        <v>108954543</v>
      </c>
      <c r="AA2150" s="13">
        <f>$E2150+19</f>
        <v>128</v>
      </c>
      <c r="AB2150" s="14">
        <f>IF($J2150=0,0,ROUND(MAX($J2150*1.4*1.5*1.6*1.6*2.2*2.715*2.6*1.4*1.4,8430000000*(1.651435^(MIN($E2150,123)-117)))*1,0))</f>
        <v>152382712</v>
      </c>
      <c r="AC2150" s="11">
        <f>$E2150+21</f>
        <v>130</v>
      </c>
      <c r="AD2150" s="12">
        <f>IF($J2150=0,0,ROUND(MAX($J2150*1.4*1.5*1.6*1.6*2.2*2.715*2.6*1.4*1.4*1.5,12600000000*(1.652953^(MIN($E2150,123)-117)))*1,0))</f>
        <v>226092682</v>
      </c>
      <c r="AE2150" s="13">
        <f>$E2150+24</f>
        <v>133</v>
      </c>
      <c r="AF2150" s="14">
        <f>IF($J2150=0,0,ROUND(MAX($J2150*1.4*1.5*1.6*1.6*2.2*2.715*2.6*1.4*1.4*1.5*1.5,18900000000*(1.65331^(MIN($E2150,123)-117)))*1,0))</f>
        <v>338553621</v>
      </c>
      <c r="AG2150" s="11">
        <f>$E2150+27</f>
        <v>136</v>
      </c>
      <c r="AH2150" s="12">
        <f>IF($J2150=0,0,ROUND(MAX($J2150*1.4*1.5*1.6*1.6*2.2*2.715*2.6*1.4*1.4*1.5*1.5*3.2,60500000000*(1.654288^(MIN($E2150,123)-117)))*1,0))</f>
        <v>1078614909</v>
      </c>
    </row>
    <row r="2151" ht="28" customHeight="1" spans="1:34" x14ac:dyDescent="0.25">
      <c r="A2151">
        <v>2161</v>
      </c>
      <c r="B2151" t="s">
        <v>677</v>
      </c>
      <c r="C2151" s="10" t="s">
        <v>1278</v>
      </c>
      <c r="D2151" t="s">
        <v>45</v>
      </c>
      <c r="E2151">
        <v>109</v>
      </c>
      <c r="F2151" t="s">
        <v>71</v>
      </c>
      <c r="G2151" t="s">
        <v>326</v>
      </c>
      <c r="H2151">
        <v>25</v>
      </c>
      <c r="I2151" s="11">
        <f>$E2151+0</f>
        <v>109</v>
      </c>
      <c r="J2151" s="12">
        <v>81700</v>
      </c>
      <c r="K2151" s="13">
        <f>$E2151+1</f>
        <v>110</v>
      </c>
      <c r="L2151" s="14">
        <f>IF($J2151=0,0,ROUND(MAX($J2151*1.4,1620000*(1.497923^(MIN($E2151,123)-117)))*1,0))</f>
        <v>114380</v>
      </c>
      <c r="M2151" s="11">
        <f>$E2151+2</f>
        <v>111</v>
      </c>
      <c r="N2151" s="12">
        <f>IF($J2151=0,0,ROUND(MAX($J2151*1.4*1.5,2190000*(1.580994^(MIN($E2151,123)-117)))*1,0))</f>
        <v>171570</v>
      </c>
      <c r="O2151" s="13">
        <f>$E2151+4</f>
        <v>113</v>
      </c>
      <c r="P2151" s="14">
        <f>IF($J2151=0,0,ROUND(MAX($J2151*1.4*1.5*1.6,3500000*(1.57975^(MIN($E2151,123)-117)))*1,0))</f>
        <v>274512</v>
      </c>
      <c r="Q2151" s="11">
        <f>$E2151+6</f>
        <v>115</v>
      </c>
      <c r="R2151" s="12">
        <f>IF($J2151=0,0,ROUND(MAX($J2151*1.4*1.5*1.6*1.6,13100000*(1.429962^(MIN($E2151,123)-117)))*1,0))</f>
        <v>749334</v>
      </c>
      <c r="S2151" s="13">
        <f>$E2151+8</f>
        <v>117</v>
      </c>
      <c r="T2151" s="14">
        <f>IF($J2151=0,0,ROUND(MAX($J2151*1.4*1.5*1.6*1.6*2.2,42600000*(1.576904^(MIN($E2151,123)-117)))*1,0))</f>
        <v>1114211</v>
      </c>
      <c r="U2151" s="11">
        <f>$E2151+11</f>
        <v>120</v>
      </c>
      <c r="V2151" s="12">
        <f>IF($J2151=0,0,ROUND(MAX($J2151*1.4*1.5*1.6*1.6*2.2*2.715,354000000*(1.642074^(MIN($E2151,123)-117)))*1,0))</f>
        <v>6696710</v>
      </c>
      <c r="W2151" s="13">
        <f>$E2151+15</f>
        <v>124</v>
      </c>
      <c r="X2151" s="14">
        <f>IF($J2151=0,0,ROUND(MAX($J2151*1.4*1.5*1.6*1.6*2.2*2.715*2.6,3540000000*(1.579646^(MIN($E2151,123)-117)))*1,0))</f>
        <v>91311418</v>
      </c>
      <c r="Y2151" s="11">
        <f>$E2151+17</f>
        <v>126</v>
      </c>
      <c r="Z2151" s="12">
        <f>IF($J2151=0,0,ROUND(MAX($J2151*1.4*1.5*1.6*1.6*2.2*2.715*2.6*1.4,6020000000*(1.651178^(MIN($E2151,123)-117)))*1,0))</f>
        <v>108954543</v>
      </c>
      <c r="AA2151" s="13">
        <f>$E2151+19</f>
        <v>128</v>
      </c>
      <c r="AB2151" s="14">
        <f>IF($J2151=0,0,ROUND(MAX($J2151*1.4*1.5*1.6*1.6*2.2*2.715*2.6*1.4*1.4,8430000000*(1.651435^(MIN($E2151,123)-117)))*1,0))</f>
        <v>152382712</v>
      </c>
      <c r="AC2151" s="11">
        <f>$E2151+21</f>
        <v>130</v>
      </c>
      <c r="AD2151" s="12">
        <f>IF($J2151=0,0,ROUND(MAX($J2151*1.4*1.5*1.6*1.6*2.2*2.715*2.6*1.4*1.4*1.5,12600000000*(1.652953^(MIN($E2151,123)-117)))*1,0))</f>
        <v>226092682</v>
      </c>
      <c r="AE2151" s="13">
        <f>$E2151+24</f>
        <v>133</v>
      </c>
      <c r="AF2151" s="14">
        <f>IF($J2151=0,0,ROUND(MAX($J2151*1.4*1.5*1.6*1.6*2.2*2.715*2.6*1.4*1.4*1.5*1.5,18900000000*(1.65331^(MIN($E2151,123)-117)))*1,0))</f>
        <v>338553621</v>
      </c>
      <c r="AG2151" s="11">
        <f>$E2151+27</f>
        <v>136</v>
      </c>
      <c r="AH2151" s="12">
        <f>IF($J2151=0,0,ROUND(MAX($J2151*1.4*1.5*1.6*1.6*2.2*2.715*2.6*1.4*1.4*1.5*1.5*3.2,60500000000*(1.654288^(MIN($E2151,123)-117)))*1,0))</f>
        <v>1078614909</v>
      </c>
    </row>
    <row r="2152" ht="28" customHeight="1" spans="1:34" x14ac:dyDescent="0.25">
      <c r="A2152">
        <v>2162</v>
      </c>
      <c r="B2152" t="s">
        <v>686</v>
      </c>
      <c r="C2152" s="10" t="s">
        <v>1278</v>
      </c>
      <c r="D2152" t="s">
        <v>40</v>
      </c>
      <c r="E2152">
        <v>109</v>
      </c>
      <c r="F2152" t="s">
        <v>54</v>
      </c>
      <c r="G2152" t="s">
        <v>396</v>
      </c>
      <c r="H2152">
        <v>25</v>
      </c>
      <c r="I2152" s="11">
        <f>$E2152+0</f>
        <v>109</v>
      </c>
      <c r="J2152" s="12">
        <v>74600</v>
      </c>
      <c r="K2152" s="13">
        <f>$E2152+1</f>
        <v>110</v>
      </c>
      <c r="L2152" s="14">
        <f>IF($J2152=0,0,ROUND(MAX($J2152*1.4,1620000*(1.497923^(MIN($E2152,123)-117)))*1,0))</f>
        <v>104440</v>
      </c>
      <c r="M2152" s="11">
        <f>$E2152+2</f>
        <v>111</v>
      </c>
      <c r="N2152" s="12">
        <f>IF($J2152=0,0,ROUND(MAX($J2152*1.4*1.5,2190000*(1.580994^(MIN($E2152,123)-117)))*1,0))</f>
        <v>156660</v>
      </c>
      <c r="O2152" s="13">
        <f>$E2152+4</f>
        <v>113</v>
      </c>
      <c r="P2152" s="14">
        <f>IF($J2152=0,0,ROUND(MAX($J2152*1.4*1.5*1.6,3500000*(1.57975^(MIN($E2152,123)-117)))*1,0))</f>
        <v>250656</v>
      </c>
      <c r="Q2152" s="11">
        <f>$E2152+6</f>
        <v>115</v>
      </c>
      <c r="R2152" s="12">
        <f>IF($J2152=0,0,ROUND(MAX($J2152*1.4*1.5*1.6*1.6,13100000*(1.429962^(MIN($E2152,123)-117)))*1,0))</f>
        <v>749334</v>
      </c>
      <c r="S2152" s="13">
        <f>$E2152+8</f>
        <v>117</v>
      </c>
      <c r="T2152" s="14">
        <f>IF($J2152=0,0,ROUND(MAX($J2152*1.4*1.5*1.6*1.6*2.2,42600000*(1.576904^(MIN($E2152,123)-117)))*1,0))</f>
        <v>1114211</v>
      </c>
      <c r="U2152" s="11">
        <f>$E2152+11</f>
        <v>120</v>
      </c>
      <c r="V2152" s="12">
        <f>IF($J2152=0,0,ROUND(MAX($J2152*1.4*1.5*1.6*1.6*2.2*2.715,354000000*(1.642074^(MIN($E2152,123)-117)))*1,0))</f>
        <v>6696710</v>
      </c>
      <c r="W2152" s="13">
        <f>$E2152+15</f>
        <v>124</v>
      </c>
      <c r="X2152" s="14">
        <f>IF($J2152=0,0,ROUND(MAX($J2152*1.4*1.5*1.6*1.6*2.2*2.715*2.6,3540000000*(1.579646^(MIN($E2152,123)-117)))*1,0))</f>
        <v>91311418</v>
      </c>
      <c r="Y2152" s="11">
        <f>$E2152+17</f>
        <v>126</v>
      </c>
      <c r="Z2152" s="12">
        <f>IF($J2152=0,0,ROUND(MAX($J2152*1.4*1.5*1.6*1.6*2.2*2.715*2.6*1.4,6020000000*(1.651178^(MIN($E2152,123)-117)))*1,0))</f>
        <v>108954543</v>
      </c>
      <c r="AA2152" s="13">
        <f>$E2152+19</f>
        <v>128</v>
      </c>
      <c r="AB2152" s="14">
        <f>IF($J2152=0,0,ROUND(MAX($J2152*1.4*1.5*1.6*1.6*2.2*2.715*2.6*1.4*1.4,8430000000*(1.651435^(MIN($E2152,123)-117)))*1,0))</f>
        <v>152382712</v>
      </c>
      <c r="AC2152" s="11">
        <f>$E2152+21</f>
        <v>130</v>
      </c>
      <c r="AD2152" s="12">
        <f>IF($J2152=0,0,ROUND(MAX($J2152*1.4*1.5*1.6*1.6*2.2*2.715*2.6*1.4*1.4*1.5,12600000000*(1.652953^(MIN($E2152,123)-117)))*1,0))</f>
        <v>226092682</v>
      </c>
      <c r="AE2152" s="13">
        <f>$E2152+24</f>
        <v>133</v>
      </c>
      <c r="AF2152" s="14">
        <f>IF($J2152=0,0,ROUND(MAX($J2152*1.4*1.5*1.6*1.6*2.2*2.715*2.6*1.4*1.4*1.5*1.5,18900000000*(1.65331^(MIN($E2152,123)-117)))*1,0))</f>
        <v>338553621</v>
      </c>
      <c r="AG2152" s="11">
        <f>$E2152+27</f>
        <v>136</v>
      </c>
      <c r="AH2152" s="12">
        <f>IF($J2152=0,0,ROUND(MAX($J2152*1.4*1.5*1.6*1.6*2.2*2.715*2.6*1.4*1.4*1.5*1.5*3.2,60500000000*(1.654288^(MIN($E2152,123)-117)))*1,0))</f>
        <v>1078614909</v>
      </c>
    </row>
    <row r="2153" ht="28" customHeight="1" spans="1:34" x14ac:dyDescent="0.25">
      <c r="A2153">
        <v>2163</v>
      </c>
      <c r="B2153" t="s">
        <v>231</v>
      </c>
      <c r="C2153" s="10" t="s">
        <v>1278</v>
      </c>
      <c r="D2153" t="s">
        <v>64</v>
      </c>
      <c r="E2153">
        <v>109</v>
      </c>
      <c r="F2153" t="s">
        <v>54</v>
      </c>
      <c r="G2153" t="s">
        <v>35</v>
      </c>
      <c r="H2153">
        <v>24</v>
      </c>
      <c r="I2153" s="11">
        <f>$E2153+0</f>
        <v>109</v>
      </c>
      <c r="J2153" s="12">
        <v>11000</v>
      </c>
      <c r="K2153" s="13">
        <f>$E2153+1</f>
        <v>110</v>
      </c>
      <c r="L2153" s="14">
        <f>IF($J2153=0,0,ROUND(MAX($J2153*1.4,1620000*(1.497923^(MIN($E2153,123)-117)))*1,0))</f>
        <v>63914</v>
      </c>
      <c r="M2153" s="11">
        <f>$E2153+2</f>
        <v>111</v>
      </c>
      <c r="N2153" s="12">
        <f>IF($J2153=0,0,ROUND(MAX($J2153*1.4*1.5,2190000*(1.580994^(MIN($E2153,123)-117)))*1,0))</f>
        <v>56105</v>
      </c>
      <c r="O2153" s="13">
        <f>$E2153+4</f>
        <v>113</v>
      </c>
      <c r="P2153" s="14">
        <f>IF($J2153=0,0,ROUND(MAX($J2153*1.4*1.5*1.6,3500000*(1.57975^(MIN($E2153,123)-117)))*1,0))</f>
        <v>90232</v>
      </c>
      <c r="Q2153" s="11">
        <f>$E2153+6</f>
        <v>115</v>
      </c>
      <c r="R2153" s="12">
        <f>IF($J2153=0,0,ROUND(MAX($J2153*1.4*1.5*1.6*1.6,13100000*(1.429962^(MIN($E2153,123)-117)))*1,0))</f>
        <v>749334</v>
      </c>
      <c r="S2153" s="13">
        <f>$E2153+8</f>
        <v>117</v>
      </c>
      <c r="T2153" s="14">
        <f>IF($J2153=0,0,ROUND(MAX($J2153*1.4*1.5*1.6*1.6*2.2,42600000*(1.576904^(MIN($E2153,123)-117)))*1,0))</f>
        <v>1114211</v>
      </c>
      <c r="U2153" s="11">
        <f>$E2153+11</f>
        <v>120</v>
      </c>
      <c r="V2153" s="12">
        <f>IF($J2153=0,0,ROUND(MAX($J2153*1.4*1.5*1.6*1.6*2.2*2.715,354000000*(1.642074^(MIN($E2153,123)-117)))*1,0))</f>
        <v>6696710</v>
      </c>
      <c r="W2153" s="13">
        <f>$E2153+15</f>
        <v>124</v>
      </c>
      <c r="X2153" s="14">
        <f>IF($J2153=0,0,ROUND(MAX($J2153*1.4*1.5*1.6*1.6*2.2*2.715*2.6,3540000000*(1.579646^(MIN($E2153,123)-117)))*1,0))</f>
        <v>91311418</v>
      </c>
      <c r="Y2153" s="11">
        <f>$E2153+17</f>
        <v>126</v>
      </c>
      <c r="Z2153" s="12">
        <f>IF($J2153=0,0,ROUND(MAX($J2153*1.4*1.5*1.6*1.6*2.2*2.715*2.6*1.4,6020000000*(1.651178^(MIN($E2153,123)-117)))*1,0))</f>
        <v>108954543</v>
      </c>
      <c r="AA2153" s="13">
        <f>$E2153+19</f>
        <v>128</v>
      </c>
      <c r="AB2153" s="14">
        <f>IF($J2153=0,0,ROUND(MAX($J2153*1.4*1.5*1.6*1.6*2.2*2.715*2.6*1.4*1.4,8430000000*(1.651435^(MIN($E2153,123)-117)))*1,0))</f>
        <v>152382712</v>
      </c>
      <c r="AC2153" s="11">
        <f>$E2153+21</f>
        <v>130</v>
      </c>
      <c r="AD2153" s="12">
        <f>IF($J2153=0,0,ROUND(MAX($J2153*1.4*1.5*1.6*1.6*2.2*2.715*2.6*1.4*1.4*1.5,12600000000*(1.652953^(MIN($E2153,123)-117)))*1,0))</f>
        <v>226092682</v>
      </c>
      <c r="AE2153" s="13">
        <f>$E2153+24</f>
        <v>133</v>
      </c>
      <c r="AF2153" s="14">
        <f>IF($J2153=0,0,ROUND(MAX($J2153*1.4*1.5*1.6*1.6*2.2*2.715*2.6*1.4*1.4*1.5*1.5,18900000000*(1.65331^(MIN($E2153,123)-117)))*1,0))</f>
        <v>338553621</v>
      </c>
      <c r="AG2153" s="11">
        <f>$E2153+27</f>
        <v>136</v>
      </c>
      <c r="AH2153" s="12">
        <f>IF($J2153=0,0,ROUND(MAX($J2153*1.4*1.5*1.6*1.6*2.2*2.715*2.6*1.4*1.4*1.5*1.5*3.2,60500000000*(1.654288^(MIN($E2153,123)-117)))*1,0))</f>
        <v>1078614909</v>
      </c>
    </row>
    <row r="2154" ht="28" customHeight="1" spans="1:34" x14ac:dyDescent="0.25">
      <c r="A2154">
        <v>2164</v>
      </c>
      <c r="B2154" t="s">
        <v>1294</v>
      </c>
      <c r="C2154" s="10" t="s">
        <v>1278</v>
      </c>
      <c r="D2154" t="s">
        <v>64</v>
      </c>
      <c r="E2154">
        <v>109</v>
      </c>
      <c r="F2154" t="s">
        <v>116</v>
      </c>
      <c r="G2154" t="s">
        <v>57</v>
      </c>
      <c r="H2154">
        <v>24</v>
      </c>
      <c r="I2154" s="11">
        <f>$E2154+0</f>
        <v>109</v>
      </c>
      <c r="J2154" s="12">
        <v>10000</v>
      </c>
      <c r="K2154" s="13">
        <f>$E2154+1</f>
        <v>110</v>
      </c>
      <c r="L2154" s="14">
        <f>IF($J2154=0,0,ROUND(MAX($J2154*1.4,1620000*(1.497923^(MIN($E2154,123)-117)))*1,0))</f>
        <v>63914</v>
      </c>
      <c r="M2154" s="11">
        <f>$E2154+2</f>
        <v>111</v>
      </c>
      <c r="N2154" s="12">
        <f>IF($J2154=0,0,ROUND(MAX($J2154*1.4*1.5,2190000*(1.580994^(MIN($E2154,123)-117)))*1,0))</f>
        <v>56105</v>
      </c>
      <c r="O2154" s="13">
        <f>$E2154+4</f>
        <v>113</v>
      </c>
      <c r="P2154" s="14">
        <f>IF($J2154=0,0,ROUND(MAX($J2154*1.4*1.5*1.6,3500000*(1.57975^(MIN($E2154,123)-117)))*1,0))</f>
        <v>90232</v>
      </c>
      <c r="Q2154" s="11">
        <f>$E2154+6</f>
        <v>115</v>
      </c>
      <c r="R2154" s="12">
        <f>IF($J2154=0,0,ROUND(MAX($J2154*1.4*1.5*1.6*1.6,13100000*(1.429962^(MIN($E2154,123)-117)))*1,0))</f>
        <v>749334</v>
      </c>
      <c r="S2154" s="13">
        <f>$E2154+8</f>
        <v>117</v>
      </c>
      <c r="T2154" s="14">
        <f>IF($J2154=0,0,ROUND(MAX($J2154*1.4*1.5*1.6*1.6*2.2,42600000*(1.576904^(MIN($E2154,123)-117)))*1,0))</f>
        <v>1114211</v>
      </c>
      <c r="U2154" s="11">
        <f>$E2154+11</f>
        <v>120</v>
      </c>
      <c r="V2154" s="12">
        <f>IF($J2154=0,0,ROUND(MAX($J2154*1.4*1.5*1.6*1.6*2.2*2.715,354000000*(1.642074^(MIN($E2154,123)-117)))*1,0))</f>
        <v>6696710</v>
      </c>
      <c r="W2154" s="13">
        <f>$E2154+15</f>
        <v>124</v>
      </c>
      <c r="X2154" s="14">
        <f>IF($J2154=0,0,ROUND(MAX($J2154*1.4*1.5*1.6*1.6*2.2*2.715*2.6,3540000000*(1.579646^(MIN($E2154,123)-117)))*1,0))</f>
        <v>91311418</v>
      </c>
      <c r="Y2154" s="11">
        <f>$E2154+17</f>
        <v>126</v>
      </c>
      <c r="Z2154" s="12">
        <f>IF($J2154=0,0,ROUND(MAX($J2154*1.4*1.5*1.6*1.6*2.2*2.715*2.6*1.4,6020000000*(1.651178^(MIN($E2154,123)-117)))*1,0))</f>
        <v>108954543</v>
      </c>
      <c r="AA2154" s="13">
        <f>$E2154+19</f>
        <v>128</v>
      </c>
      <c r="AB2154" s="14">
        <f>IF($J2154=0,0,ROUND(MAX($J2154*1.4*1.5*1.6*1.6*2.2*2.715*2.6*1.4*1.4,8430000000*(1.651435^(MIN($E2154,123)-117)))*1,0))</f>
        <v>152382712</v>
      </c>
      <c r="AC2154" s="11">
        <f>$E2154+21</f>
        <v>130</v>
      </c>
      <c r="AD2154" s="12">
        <f>IF($J2154=0,0,ROUND(MAX($J2154*1.4*1.5*1.6*1.6*2.2*2.715*2.6*1.4*1.4*1.5,12600000000*(1.652953^(MIN($E2154,123)-117)))*1,0))</f>
        <v>226092682</v>
      </c>
      <c r="AE2154" s="13">
        <f>$E2154+24</f>
        <v>133</v>
      </c>
      <c r="AF2154" s="14">
        <f>IF($J2154=0,0,ROUND(MAX($J2154*1.4*1.5*1.6*1.6*2.2*2.715*2.6*1.4*1.4*1.5*1.5,18900000000*(1.65331^(MIN($E2154,123)-117)))*1,0))</f>
        <v>338553621</v>
      </c>
      <c r="AG2154" s="11">
        <f>$E2154+27</f>
        <v>136</v>
      </c>
      <c r="AH2154" s="12">
        <f>IF($J2154=0,0,ROUND(MAX($J2154*1.4*1.5*1.6*1.6*2.2*2.715*2.6*1.4*1.4*1.5*1.5*3.2,60500000000*(1.654288^(MIN($E2154,123)-117)))*1,0))</f>
        <v>1078614909</v>
      </c>
    </row>
    <row r="2155" ht="28" customHeight="1" spans="1:34" x14ac:dyDescent="0.25">
      <c r="A2155">
        <v>2165</v>
      </c>
      <c r="B2155" t="s">
        <v>1295</v>
      </c>
      <c r="C2155" s="10" t="s">
        <v>1278</v>
      </c>
      <c r="D2155" t="s">
        <v>33</v>
      </c>
      <c r="E2155">
        <v>109</v>
      </c>
      <c r="F2155" t="s">
        <v>1296</v>
      </c>
      <c r="G2155" t="s">
        <v>244</v>
      </c>
      <c r="H2155">
        <v>24</v>
      </c>
      <c r="I2155" s="11">
        <f>$E2155+0</f>
        <v>109</v>
      </c>
      <c r="J2155" s="12">
        <v>56300</v>
      </c>
      <c r="K2155" s="13">
        <f>$E2155+1</f>
        <v>110</v>
      </c>
      <c r="L2155" s="14">
        <f>IF($J2155=0,0,ROUND(MAX($J2155*1.4,1620000*(1.497923^(MIN($E2155,123)-117)))*1,0))</f>
        <v>78820</v>
      </c>
      <c r="M2155" s="11">
        <f>$E2155+2</f>
        <v>111</v>
      </c>
      <c r="N2155" s="12">
        <f>IF($J2155=0,0,ROUND(MAX($J2155*1.4*1.5,2190000*(1.580994^(MIN($E2155,123)-117)))*1,0))</f>
        <v>118230</v>
      </c>
      <c r="O2155" s="13">
        <f>$E2155+4</f>
        <v>113</v>
      </c>
      <c r="P2155" s="14">
        <f>IF($J2155=0,0,ROUND(MAX($J2155*1.4*1.5*1.6,3500000*(1.57975^(MIN($E2155,123)-117)))*1,0))</f>
        <v>189168</v>
      </c>
      <c r="Q2155" s="11">
        <f>$E2155+6</f>
        <v>115</v>
      </c>
      <c r="R2155" s="12">
        <f>IF($J2155=0,0,ROUND(MAX($J2155*1.4*1.5*1.6*1.6,13100000*(1.429962^(MIN($E2155,123)-117)))*1,0))</f>
        <v>749334</v>
      </c>
      <c r="S2155" s="13">
        <f>$E2155+8</f>
        <v>117</v>
      </c>
      <c r="T2155" s="14">
        <f>IF($J2155=0,0,ROUND(MAX($J2155*1.4*1.5*1.6*1.6*2.2,42600000*(1.576904^(MIN($E2155,123)-117)))*1,0))</f>
        <v>1114211</v>
      </c>
      <c r="U2155" s="11">
        <f>$E2155+11</f>
        <v>120</v>
      </c>
      <c r="V2155" s="12">
        <f>IF($J2155=0,0,ROUND(MAX($J2155*1.4*1.5*1.6*1.6*2.2*2.715,354000000*(1.642074^(MIN($E2155,123)-117)))*1,0))</f>
        <v>6696710</v>
      </c>
      <c r="W2155" s="13">
        <f>$E2155+15</f>
        <v>124</v>
      </c>
      <c r="X2155" s="14">
        <f>IF($J2155=0,0,ROUND(MAX($J2155*1.4*1.5*1.6*1.6*2.2*2.715*2.6,3540000000*(1.579646^(MIN($E2155,123)-117)))*1,0))</f>
        <v>91311418</v>
      </c>
      <c r="Y2155" s="11">
        <f>$E2155+17</f>
        <v>126</v>
      </c>
      <c r="Z2155" s="12">
        <f>IF($J2155=0,0,ROUND(MAX($J2155*1.4*1.5*1.6*1.6*2.2*2.715*2.6*1.4,6020000000*(1.651178^(MIN($E2155,123)-117)))*1,0))</f>
        <v>108954543</v>
      </c>
      <c r="AA2155" s="13">
        <f>$E2155+19</f>
        <v>128</v>
      </c>
      <c r="AB2155" s="14">
        <f>IF($J2155=0,0,ROUND(MAX($J2155*1.4*1.5*1.6*1.6*2.2*2.715*2.6*1.4*1.4,8430000000*(1.651435^(MIN($E2155,123)-117)))*1,0))</f>
        <v>152382712</v>
      </c>
      <c r="AC2155" s="11">
        <f>$E2155+21</f>
        <v>130</v>
      </c>
      <c r="AD2155" s="12">
        <f>IF($J2155=0,0,ROUND(MAX($J2155*1.4*1.5*1.6*1.6*2.2*2.715*2.6*1.4*1.4*1.5,12600000000*(1.652953^(MIN($E2155,123)-117)))*1,0))</f>
        <v>226092682</v>
      </c>
      <c r="AE2155" s="13">
        <f>$E2155+24</f>
        <v>133</v>
      </c>
      <c r="AF2155" s="14">
        <f>IF($J2155=0,0,ROUND(MAX($J2155*1.4*1.5*1.6*1.6*2.2*2.715*2.6*1.4*1.4*1.5*1.5,18900000000*(1.65331^(MIN($E2155,123)-117)))*1,0))</f>
        <v>338553621</v>
      </c>
      <c r="AG2155" s="11">
        <f>$E2155+27</f>
        <v>136</v>
      </c>
      <c r="AH2155" s="12">
        <f>IF($J2155=0,0,ROUND(MAX($J2155*1.4*1.5*1.6*1.6*2.2*2.715*2.6*1.4*1.4*1.5*1.5*3.2,60500000000*(1.654288^(MIN($E2155,123)-117)))*1,0))</f>
        <v>1078614909</v>
      </c>
    </row>
    <row r="2156" ht="28" customHeight="1" spans="1:34" x14ac:dyDescent="0.25">
      <c r="A2156">
        <v>2166</v>
      </c>
      <c r="B2156" t="s">
        <v>1201</v>
      </c>
      <c r="C2156" s="10" t="s">
        <v>1278</v>
      </c>
      <c r="D2156" t="s">
        <v>64</v>
      </c>
      <c r="E2156">
        <v>109</v>
      </c>
      <c r="F2156" t="s">
        <v>225</v>
      </c>
      <c r="G2156" t="s">
        <v>319</v>
      </c>
      <c r="H2156">
        <v>24</v>
      </c>
      <c r="I2156" s="11">
        <f>$E2156+0</f>
        <v>109</v>
      </c>
      <c r="J2156" s="12">
        <v>68400</v>
      </c>
      <c r="K2156" s="13">
        <f>$E2156+1</f>
        <v>110</v>
      </c>
      <c r="L2156" s="14">
        <f>IF($J2156=0,0,ROUND(MAX($J2156*1.4,1620000*(1.497923^(MIN($E2156,123)-117)))*1,0))</f>
        <v>95760</v>
      </c>
      <c r="M2156" s="11">
        <f>$E2156+2</f>
        <v>111</v>
      </c>
      <c r="N2156" s="12">
        <f>IF($J2156=0,0,ROUND(MAX($J2156*1.4*1.5,2190000*(1.580994^(MIN($E2156,123)-117)))*1,0))</f>
        <v>143640</v>
      </c>
      <c r="O2156" s="13">
        <f>$E2156+4</f>
        <v>113</v>
      </c>
      <c r="P2156" s="14">
        <f>IF($J2156=0,0,ROUND(MAX($J2156*1.4*1.5*1.6,3500000*(1.57975^(MIN($E2156,123)-117)))*1,0))</f>
        <v>229824</v>
      </c>
      <c r="Q2156" s="11">
        <f>$E2156+6</f>
        <v>115</v>
      </c>
      <c r="R2156" s="12">
        <f>IF($J2156=0,0,ROUND(MAX($J2156*1.4*1.5*1.6*1.6,13100000*(1.429962^(MIN($E2156,123)-117)))*1,0))</f>
        <v>749334</v>
      </c>
      <c r="S2156" s="13">
        <f>$E2156+8</f>
        <v>117</v>
      </c>
      <c r="T2156" s="14">
        <f>IF($J2156=0,0,ROUND(MAX($J2156*1.4*1.5*1.6*1.6*2.2,42600000*(1.576904^(MIN($E2156,123)-117)))*1,0))</f>
        <v>1114211</v>
      </c>
      <c r="U2156" s="11">
        <f>$E2156+11</f>
        <v>120</v>
      </c>
      <c r="V2156" s="12">
        <f>IF($J2156=0,0,ROUND(MAX($J2156*1.4*1.5*1.6*1.6*2.2*2.715,354000000*(1.642074^(MIN($E2156,123)-117)))*1,0))</f>
        <v>6696710</v>
      </c>
      <c r="W2156" s="13">
        <f>$E2156+15</f>
        <v>124</v>
      </c>
      <c r="X2156" s="14">
        <f>IF($J2156=0,0,ROUND(MAX($J2156*1.4*1.5*1.6*1.6*2.2*2.715*2.6,3540000000*(1.579646^(MIN($E2156,123)-117)))*1,0))</f>
        <v>91311418</v>
      </c>
      <c r="Y2156" s="11">
        <f>$E2156+17</f>
        <v>126</v>
      </c>
      <c r="Z2156" s="12">
        <f>IF($J2156=0,0,ROUND(MAX($J2156*1.4*1.5*1.6*1.6*2.2*2.715*2.6*1.4,6020000000*(1.651178^(MIN($E2156,123)-117)))*1,0))</f>
        <v>108954543</v>
      </c>
      <c r="AA2156" s="13">
        <f>$E2156+19</f>
        <v>128</v>
      </c>
      <c r="AB2156" s="14">
        <f>IF($J2156=0,0,ROUND(MAX($J2156*1.4*1.5*1.6*1.6*2.2*2.715*2.6*1.4*1.4,8430000000*(1.651435^(MIN($E2156,123)-117)))*1,0))</f>
        <v>152382712</v>
      </c>
      <c r="AC2156" s="11">
        <f>$E2156+21</f>
        <v>130</v>
      </c>
      <c r="AD2156" s="12">
        <f>IF($J2156=0,0,ROUND(MAX($J2156*1.4*1.5*1.6*1.6*2.2*2.715*2.6*1.4*1.4*1.5,12600000000*(1.652953^(MIN($E2156,123)-117)))*1,0))</f>
        <v>226092682</v>
      </c>
      <c r="AE2156" s="13">
        <f>$E2156+24</f>
        <v>133</v>
      </c>
      <c r="AF2156" s="14">
        <f>IF($J2156=0,0,ROUND(MAX($J2156*1.4*1.5*1.6*1.6*2.2*2.715*2.6*1.4*1.4*1.5*1.5,18900000000*(1.65331^(MIN($E2156,123)-117)))*1,0))</f>
        <v>338553621</v>
      </c>
      <c r="AG2156" s="11">
        <f>$E2156+27</f>
        <v>136</v>
      </c>
      <c r="AH2156" s="12">
        <f>IF($J2156=0,0,ROUND(MAX($J2156*1.4*1.5*1.6*1.6*2.2*2.715*2.6*1.4*1.4*1.5*1.5*3.2,60500000000*(1.654288^(MIN($E2156,123)-117)))*1,0))</f>
        <v>1078614909</v>
      </c>
    </row>
    <row r="2157" ht="28" customHeight="1" spans="1:34" x14ac:dyDescent="0.25">
      <c r="A2157">
        <v>2167</v>
      </c>
      <c r="B2157" t="s">
        <v>1060</v>
      </c>
      <c r="C2157" s="10" t="s">
        <v>1278</v>
      </c>
      <c r="D2157" t="s">
        <v>75</v>
      </c>
      <c r="E2157">
        <v>109</v>
      </c>
      <c r="F2157" t="s">
        <v>56</v>
      </c>
      <c r="G2157" t="s">
        <v>57</v>
      </c>
      <c r="H2157">
        <v>24</v>
      </c>
      <c r="I2157" s="11">
        <f>$E2157+0</f>
        <v>109</v>
      </c>
      <c r="J2157" s="12">
        <v>36300</v>
      </c>
      <c r="K2157" s="13">
        <f>$E2157+1</f>
        <v>110</v>
      </c>
      <c r="L2157" s="14">
        <f>IF($J2157=0,0,ROUND(MAX($J2157*1.4,1620000*(1.497923^(MIN($E2157,123)-117)))*1,0))</f>
        <v>63914</v>
      </c>
      <c r="M2157" s="11">
        <f>$E2157+2</f>
        <v>111</v>
      </c>
      <c r="N2157" s="12">
        <f>IF($J2157=0,0,ROUND(MAX($J2157*1.4*1.5,2190000*(1.580994^(MIN($E2157,123)-117)))*1,0))</f>
        <v>76230</v>
      </c>
      <c r="O2157" s="13">
        <f>$E2157+4</f>
        <v>113</v>
      </c>
      <c r="P2157" s="14">
        <f>IF($J2157=0,0,ROUND(MAX($J2157*1.4*1.5*1.6,3500000*(1.57975^(MIN($E2157,123)-117)))*1,0))</f>
        <v>121968</v>
      </c>
      <c r="Q2157" s="11">
        <f>$E2157+6</f>
        <v>115</v>
      </c>
      <c r="R2157" s="12">
        <f>IF($J2157=0,0,ROUND(MAX($J2157*1.4*1.5*1.6*1.6,13100000*(1.429962^(MIN($E2157,123)-117)))*1,0))</f>
        <v>749334</v>
      </c>
      <c r="S2157" s="13">
        <f>$E2157+8</f>
        <v>117</v>
      </c>
      <c r="T2157" s="14">
        <f>IF($J2157=0,0,ROUND(MAX($J2157*1.4*1.5*1.6*1.6*2.2,42600000*(1.576904^(MIN($E2157,123)-117)))*1,0))</f>
        <v>1114211</v>
      </c>
      <c r="U2157" s="11">
        <f>$E2157+11</f>
        <v>120</v>
      </c>
      <c r="V2157" s="12">
        <f>IF($J2157=0,0,ROUND(MAX($J2157*1.4*1.5*1.6*1.6*2.2*2.715,354000000*(1.642074^(MIN($E2157,123)-117)))*1,0))</f>
        <v>6696710</v>
      </c>
      <c r="W2157" s="13">
        <f>$E2157+15</f>
        <v>124</v>
      </c>
      <c r="X2157" s="14">
        <f>IF($J2157=0,0,ROUND(MAX($J2157*1.4*1.5*1.6*1.6*2.2*2.715*2.6,3540000000*(1.579646^(MIN($E2157,123)-117)))*1,0))</f>
        <v>91311418</v>
      </c>
      <c r="Y2157" s="11">
        <f>$E2157+17</f>
        <v>126</v>
      </c>
      <c r="Z2157" s="12">
        <f>IF($J2157=0,0,ROUND(MAX($J2157*1.4*1.5*1.6*1.6*2.2*2.715*2.6*1.4,6020000000*(1.651178^(MIN($E2157,123)-117)))*1,0))</f>
        <v>108954543</v>
      </c>
      <c r="AA2157" s="13">
        <f>$E2157+19</f>
        <v>128</v>
      </c>
      <c r="AB2157" s="14">
        <f>IF($J2157=0,0,ROUND(MAX($J2157*1.4*1.5*1.6*1.6*2.2*2.715*2.6*1.4*1.4,8430000000*(1.651435^(MIN($E2157,123)-117)))*1,0))</f>
        <v>152382712</v>
      </c>
      <c r="AC2157" s="11">
        <f>$E2157+21</f>
        <v>130</v>
      </c>
      <c r="AD2157" s="12">
        <f>IF($J2157=0,0,ROUND(MAX($J2157*1.4*1.5*1.6*1.6*2.2*2.715*2.6*1.4*1.4*1.5,12600000000*(1.652953^(MIN($E2157,123)-117)))*1,0))</f>
        <v>226092682</v>
      </c>
      <c r="AE2157" s="13">
        <f>$E2157+24</f>
        <v>133</v>
      </c>
      <c r="AF2157" s="14">
        <f>IF($J2157=0,0,ROUND(MAX($J2157*1.4*1.5*1.6*1.6*2.2*2.715*2.6*1.4*1.4*1.5*1.5,18900000000*(1.65331^(MIN($E2157,123)-117)))*1,0))</f>
        <v>338553621</v>
      </c>
      <c r="AG2157" s="11">
        <f>$E2157+27</f>
        <v>136</v>
      </c>
      <c r="AH2157" s="12">
        <f>IF($J2157=0,0,ROUND(MAX($J2157*1.4*1.5*1.6*1.6*2.2*2.715*2.6*1.4*1.4*1.5*1.5*3.2,60500000000*(1.654288^(MIN($E2157,123)-117)))*1,0))</f>
        <v>1078614909</v>
      </c>
    </row>
    <row r="2158" ht="28" customHeight="1" spans="1:34" x14ac:dyDescent="0.25">
      <c r="A2158">
        <v>2168</v>
      </c>
      <c r="B2158" t="s">
        <v>1061</v>
      </c>
      <c r="C2158" s="10" t="s">
        <v>1278</v>
      </c>
      <c r="D2158" t="s">
        <v>45</v>
      </c>
      <c r="E2158">
        <v>109</v>
      </c>
      <c r="F2158" t="s">
        <v>56</v>
      </c>
      <c r="G2158" t="s">
        <v>126</v>
      </c>
      <c r="H2158">
        <v>24</v>
      </c>
      <c r="I2158" s="11">
        <f>$E2158+0</f>
        <v>109</v>
      </c>
      <c r="J2158" s="12">
        <v>73000</v>
      </c>
      <c r="K2158" s="13">
        <f>$E2158+1</f>
        <v>110</v>
      </c>
      <c r="L2158" s="14">
        <f>IF($J2158=0,0,ROUND(MAX($J2158*1.4,1620000*(1.497923^(MIN($E2158,123)-117)))*1,0))</f>
        <v>102200</v>
      </c>
      <c r="M2158" s="11">
        <f>$E2158+2</f>
        <v>111</v>
      </c>
      <c r="N2158" s="12">
        <f>IF($J2158=0,0,ROUND(MAX($J2158*1.4*1.5,2190000*(1.580994^(MIN($E2158,123)-117)))*1,0))</f>
        <v>153300</v>
      </c>
      <c r="O2158" s="13">
        <f>$E2158+4</f>
        <v>113</v>
      </c>
      <c r="P2158" s="14">
        <f>IF($J2158=0,0,ROUND(MAX($J2158*1.4*1.5*1.6,3500000*(1.57975^(MIN($E2158,123)-117)))*1,0))</f>
        <v>245280</v>
      </c>
      <c r="Q2158" s="11">
        <f>$E2158+6</f>
        <v>115</v>
      </c>
      <c r="R2158" s="12">
        <f>IF($J2158=0,0,ROUND(MAX($J2158*1.4*1.5*1.6*1.6,13100000*(1.429962^(MIN($E2158,123)-117)))*1,0))</f>
        <v>749334</v>
      </c>
      <c r="S2158" s="13">
        <f>$E2158+8</f>
        <v>117</v>
      </c>
      <c r="T2158" s="14">
        <f>IF($J2158=0,0,ROUND(MAX($J2158*1.4*1.5*1.6*1.6*2.2,42600000*(1.576904^(MIN($E2158,123)-117)))*1,0))</f>
        <v>1114211</v>
      </c>
      <c r="U2158" s="11">
        <f>$E2158+11</f>
        <v>120</v>
      </c>
      <c r="V2158" s="12">
        <f>IF($J2158=0,0,ROUND(MAX($J2158*1.4*1.5*1.6*1.6*2.2*2.715,354000000*(1.642074^(MIN($E2158,123)-117)))*1,0))</f>
        <v>6696710</v>
      </c>
      <c r="W2158" s="13">
        <f>$E2158+15</f>
        <v>124</v>
      </c>
      <c r="X2158" s="14">
        <f>IF($J2158=0,0,ROUND(MAX($J2158*1.4*1.5*1.6*1.6*2.2*2.715*2.6,3540000000*(1.579646^(MIN($E2158,123)-117)))*1,0))</f>
        <v>91311418</v>
      </c>
      <c r="Y2158" s="11">
        <f>$E2158+17</f>
        <v>126</v>
      </c>
      <c r="Z2158" s="12">
        <f>IF($J2158=0,0,ROUND(MAX($J2158*1.4*1.5*1.6*1.6*2.2*2.715*2.6*1.4,6020000000*(1.651178^(MIN($E2158,123)-117)))*1,0))</f>
        <v>108954543</v>
      </c>
      <c r="AA2158" s="13">
        <f>$E2158+19</f>
        <v>128</v>
      </c>
      <c r="AB2158" s="14">
        <f>IF($J2158=0,0,ROUND(MAX($J2158*1.4*1.5*1.6*1.6*2.2*2.715*2.6*1.4*1.4,8430000000*(1.651435^(MIN($E2158,123)-117)))*1,0))</f>
        <v>152382712</v>
      </c>
      <c r="AC2158" s="11">
        <f>$E2158+21</f>
        <v>130</v>
      </c>
      <c r="AD2158" s="12">
        <f>IF($J2158=0,0,ROUND(MAX($J2158*1.4*1.5*1.6*1.6*2.2*2.715*2.6*1.4*1.4*1.5,12600000000*(1.652953^(MIN($E2158,123)-117)))*1,0))</f>
        <v>226092682</v>
      </c>
      <c r="AE2158" s="13">
        <f>$E2158+24</f>
        <v>133</v>
      </c>
      <c r="AF2158" s="14">
        <f>IF($J2158=0,0,ROUND(MAX($J2158*1.4*1.5*1.6*1.6*2.2*2.715*2.6*1.4*1.4*1.5*1.5,18900000000*(1.65331^(MIN($E2158,123)-117)))*1,0))</f>
        <v>338553621</v>
      </c>
      <c r="AG2158" s="11">
        <f>$E2158+27</f>
        <v>136</v>
      </c>
      <c r="AH2158" s="12">
        <f>IF($J2158=0,0,ROUND(MAX($J2158*1.4*1.5*1.6*1.6*2.2*2.715*2.6*1.4*1.4*1.5*1.5*3.2,60500000000*(1.654288^(MIN($E2158,123)-117)))*1,0))</f>
        <v>1078614909</v>
      </c>
    </row>
    <row r="2159" ht="28" customHeight="1" spans="1:34" x14ac:dyDescent="0.25">
      <c r="A2159">
        <v>2169</v>
      </c>
      <c r="B2159" t="s">
        <v>1297</v>
      </c>
      <c r="C2159" s="10" t="s">
        <v>1278</v>
      </c>
      <c r="D2159" t="s">
        <v>79</v>
      </c>
      <c r="E2159">
        <v>108</v>
      </c>
      <c r="F2159" t="s">
        <v>56</v>
      </c>
      <c r="G2159" t="s">
        <v>86</v>
      </c>
      <c r="H2159">
        <v>25</v>
      </c>
      <c r="I2159" s="11">
        <f>$E2159+0</f>
        <v>108</v>
      </c>
      <c r="J2159" s="12">
        <v>13300</v>
      </c>
      <c r="K2159" s="13">
        <f>$E2159+1</f>
        <v>109</v>
      </c>
      <c r="L2159" s="14">
        <f>IF($J2159=0,0,ROUND(MAX($J2159*1.4,1620000*(1.497923^(MIN($E2159,123)-117)))*1,0))</f>
        <v>42669</v>
      </c>
      <c r="M2159" s="11">
        <f>$E2159+2</f>
        <v>110</v>
      </c>
      <c r="N2159" s="12">
        <f>IF($J2159=0,0,ROUND(MAX($J2159*1.4*1.5,2190000*(1.580994^(MIN($E2159,123)-117)))*1,0))</f>
        <v>35487</v>
      </c>
      <c r="O2159" s="13">
        <f>$E2159+4</f>
        <v>112</v>
      </c>
      <c r="P2159" s="14">
        <f>IF($J2159=0,0,ROUND(MAX($J2159*1.4*1.5*1.6,3500000*(1.57975^(MIN($E2159,123)-117)))*1,0))</f>
        <v>57118</v>
      </c>
      <c r="Q2159" s="11">
        <f>$E2159+6</f>
        <v>114</v>
      </c>
      <c r="R2159" s="12">
        <f>IF($J2159=0,0,ROUND(MAX($J2159*1.4*1.5*1.6*1.6,13100000*(1.429962^(MIN($E2159,123)-117)))*1,0))</f>
        <v>524024</v>
      </c>
      <c r="S2159" s="13">
        <f>$E2159+8</f>
        <v>116</v>
      </c>
      <c r="T2159" s="14">
        <f>IF($J2159=0,0,ROUND(MAX($J2159*1.4*1.5*1.6*1.6*2.2,42600000*(1.576904^(MIN($E2159,123)-117)))*1,0))</f>
        <v>706582</v>
      </c>
      <c r="U2159" s="11">
        <f>$E2159+11</f>
        <v>119</v>
      </c>
      <c r="V2159" s="12">
        <f>IF($J2159=0,0,ROUND(MAX($J2159*1.4*1.5*1.6*1.6*2.2*2.715,354000000*(1.642074^(MIN($E2159,123)-117)))*1,0))</f>
        <v>4078202</v>
      </c>
      <c r="W2159" s="13">
        <f>$E2159+15</f>
        <v>123</v>
      </c>
      <c r="X2159" s="14">
        <f>IF($J2159=0,0,ROUND(MAX($J2159*1.4*1.5*1.6*1.6*2.2*2.715*2.6,3540000000*(1.579646^(MIN($E2159,123)-117)))*1,0))</f>
        <v>57804988</v>
      </c>
      <c r="Y2159" s="11">
        <f>$E2159+17</f>
        <v>125</v>
      </c>
      <c r="Z2159" s="12">
        <f>IF($J2159=0,0,ROUND(MAX($J2159*1.4*1.5*1.6*1.6*2.2*2.715*2.6*1.4,6020000000*(1.651178^(MIN($E2159,123)-117)))*1,0))</f>
        <v>65985946</v>
      </c>
      <c r="AA2159" s="13">
        <f>$E2159+19</f>
        <v>127</v>
      </c>
      <c r="AB2159" s="14">
        <f>IF($J2159=0,0,ROUND(MAX($J2159*1.4*1.5*1.6*1.6*2.2*2.715*2.6*1.4*1.4,8430000000*(1.651435^(MIN($E2159,123)-117)))*1,0))</f>
        <v>92272909</v>
      </c>
      <c r="AC2159" s="11">
        <f>$E2159+21</f>
        <v>129</v>
      </c>
      <c r="AD2159" s="12">
        <f>IF($J2159=0,0,ROUND(MAX($J2159*1.4*1.5*1.6*1.6*2.2*2.715*2.6*1.4*1.4*1.5,12600000000*(1.652953^(MIN($E2159,123)-117)))*1,0))</f>
        <v>136781071</v>
      </c>
      <c r="AE2159" s="13">
        <f>$E2159+24</f>
        <v>132</v>
      </c>
      <c r="AF2159" s="14">
        <f>IF($J2159=0,0,ROUND(MAX($J2159*1.4*1.5*1.6*1.6*2.2*2.715*2.6*1.4*1.4*1.5*1.5,18900000000*(1.65331^(MIN($E2159,123)-117)))*1,0))</f>
        <v>204773225</v>
      </c>
      <c r="AG2159" s="11">
        <f>$E2159+27</f>
        <v>135</v>
      </c>
      <c r="AH2159" s="12">
        <f>IF($J2159=0,0,ROUND(MAX($J2159*1.4*1.5*1.6*1.6*2.2*2.715*2.6*1.4*1.4*1.5*1.5*3.2,60500000000*(1.654288^(MIN($E2159,123)-117)))*1,0))</f>
        <v>652011566</v>
      </c>
    </row>
    <row r="2160" ht="28" customHeight="1" spans="1:34" x14ac:dyDescent="0.25">
      <c r="A2160">
        <v>2170</v>
      </c>
      <c r="B2160" t="s">
        <v>390</v>
      </c>
      <c r="C2160" s="10" t="s">
        <v>1278</v>
      </c>
      <c r="D2160" t="s">
        <v>29</v>
      </c>
      <c r="E2160">
        <v>108</v>
      </c>
      <c r="F2160" t="s">
        <v>212</v>
      </c>
      <c r="G2160" t="s">
        <v>379</v>
      </c>
      <c r="H2160">
        <v>25</v>
      </c>
      <c r="I2160" s="11">
        <f>$E2160+0</f>
        <v>108</v>
      </c>
      <c r="J2160" s="12">
        <v>56300</v>
      </c>
      <c r="K2160" s="13">
        <f>$E2160+1</f>
        <v>109</v>
      </c>
      <c r="L2160" s="14">
        <f>IF($J2160=0,0,ROUND(MAX($J2160*1.4,1620000*(1.497923^(MIN($E2160,123)-117)))*1,0))</f>
        <v>78820</v>
      </c>
      <c r="M2160" s="11">
        <f>$E2160+2</f>
        <v>110</v>
      </c>
      <c r="N2160" s="12">
        <f>IF($J2160=0,0,ROUND(MAX($J2160*1.4*1.5,2190000*(1.580994^(MIN($E2160,123)-117)))*1,0))</f>
        <v>118230</v>
      </c>
      <c r="O2160" s="13">
        <f>$E2160+4</f>
        <v>112</v>
      </c>
      <c r="P2160" s="14">
        <f>IF($J2160=0,0,ROUND(MAX($J2160*1.4*1.5*1.6,3500000*(1.57975^(MIN($E2160,123)-117)))*1,0))</f>
        <v>189168</v>
      </c>
      <c r="Q2160" s="11">
        <f>$E2160+6</f>
        <v>114</v>
      </c>
      <c r="R2160" s="12">
        <f>IF($J2160=0,0,ROUND(MAX($J2160*1.4*1.5*1.6*1.6,13100000*(1.429962^(MIN($E2160,123)-117)))*1,0))</f>
        <v>524024</v>
      </c>
      <c r="S2160" s="13">
        <f>$E2160+8</f>
        <v>116</v>
      </c>
      <c r="T2160" s="14">
        <f>IF($J2160=0,0,ROUND(MAX($J2160*1.4*1.5*1.6*1.6*2.2,42600000*(1.576904^(MIN($E2160,123)-117)))*1,0))</f>
        <v>706582</v>
      </c>
      <c r="U2160" s="11">
        <f>$E2160+11</f>
        <v>119</v>
      </c>
      <c r="V2160" s="12">
        <f>IF($J2160=0,0,ROUND(MAX($J2160*1.4*1.5*1.6*1.6*2.2*2.715,354000000*(1.642074^(MIN($E2160,123)-117)))*1,0))</f>
        <v>4078202</v>
      </c>
      <c r="W2160" s="13">
        <f>$E2160+15</f>
        <v>123</v>
      </c>
      <c r="X2160" s="14">
        <f>IF($J2160=0,0,ROUND(MAX($J2160*1.4*1.5*1.6*1.6*2.2*2.715*2.6,3540000000*(1.579646^(MIN($E2160,123)-117)))*1,0))</f>
        <v>57804988</v>
      </c>
      <c r="Y2160" s="11">
        <f>$E2160+17</f>
        <v>125</v>
      </c>
      <c r="Z2160" s="12">
        <f>IF($J2160=0,0,ROUND(MAX($J2160*1.4*1.5*1.6*1.6*2.2*2.715*2.6*1.4,6020000000*(1.651178^(MIN($E2160,123)-117)))*1,0))</f>
        <v>65985946</v>
      </c>
      <c r="AA2160" s="13">
        <f>$E2160+19</f>
        <v>127</v>
      </c>
      <c r="AB2160" s="14">
        <f>IF($J2160=0,0,ROUND(MAX($J2160*1.4*1.5*1.6*1.6*2.2*2.715*2.6*1.4*1.4,8430000000*(1.651435^(MIN($E2160,123)-117)))*1,0))</f>
        <v>92272909</v>
      </c>
      <c r="AC2160" s="11">
        <f>$E2160+21</f>
        <v>129</v>
      </c>
      <c r="AD2160" s="12">
        <f>IF($J2160=0,0,ROUND(MAX($J2160*1.4*1.5*1.6*1.6*2.2*2.715*2.6*1.4*1.4*1.5,12600000000*(1.652953^(MIN($E2160,123)-117)))*1,0))</f>
        <v>136781071</v>
      </c>
      <c r="AE2160" s="13">
        <f>$E2160+24</f>
        <v>132</v>
      </c>
      <c r="AF2160" s="14">
        <f>IF($J2160=0,0,ROUND(MAX($J2160*1.4*1.5*1.6*1.6*2.2*2.715*2.6*1.4*1.4*1.5*1.5,18900000000*(1.65331^(MIN($E2160,123)-117)))*1,0))</f>
        <v>204773225</v>
      </c>
      <c r="AG2160" s="11">
        <f>$E2160+27</f>
        <v>135</v>
      </c>
      <c r="AH2160" s="12">
        <f>IF($J2160=0,0,ROUND(MAX($J2160*1.4*1.5*1.6*1.6*2.2*2.715*2.6*1.4*1.4*1.5*1.5*3.2,60500000000*(1.654288^(MIN($E2160,123)-117)))*1,0))</f>
        <v>652011566</v>
      </c>
    </row>
    <row r="2161" ht="28" customHeight="1" spans="1:34" x14ac:dyDescent="0.25">
      <c r="A2161">
        <v>2171</v>
      </c>
      <c r="B2161" t="s">
        <v>1218</v>
      </c>
      <c r="C2161" s="10" t="s">
        <v>1278</v>
      </c>
      <c r="D2161" t="s">
        <v>45</v>
      </c>
      <c r="E2161">
        <v>108</v>
      </c>
      <c r="F2161" t="s">
        <v>71</v>
      </c>
      <c r="G2161" t="s">
        <v>72</v>
      </c>
      <c r="H2161">
        <v>24</v>
      </c>
      <c r="I2161" s="11">
        <f>$E2161+0</f>
        <v>108</v>
      </c>
      <c r="J2161" s="12">
        <v>75200</v>
      </c>
      <c r="K2161" s="13">
        <f>$E2161+1</f>
        <v>109</v>
      </c>
      <c r="L2161" s="14">
        <f>IF($J2161=0,0,ROUND(MAX($J2161*1.4,1620000*(1.497923^(MIN($E2161,123)-117)))*1,0))</f>
        <v>105280</v>
      </c>
      <c r="M2161" s="11">
        <f>$E2161+2</f>
        <v>110</v>
      </c>
      <c r="N2161" s="12">
        <f>IF($J2161=0,0,ROUND(MAX($J2161*1.4*1.5,2190000*(1.580994^(MIN($E2161,123)-117)))*1,0))</f>
        <v>157920</v>
      </c>
      <c r="O2161" s="13">
        <f>$E2161+4</f>
        <v>112</v>
      </c>
      <c r="P2161" s="14">
        <f>IF($J2161=0,0,ROUND(MAX($J2161*1.4*1.5*1.6,3500000*(1.57975^(MIN($E2161,123)-117)))*1,0))</f>
        <v>252672</v>
      </c>
      <c r="Q2161" s="11">
        <f>$E2161+6</f>
        <v>114</v>
      </c>
      <c r="R2161" s="12">
        <f>IF($J2161=0,0,ROUND(MAX($J2161*1.4*1.5*1.6*1.6,13100000*(1.429962^(MIN($E2161,123)-117)))*1,0))</f>
        <v>524024</v>
      </c>
      <c r="S2161" s="13">
        <f>$E2161+8</f>
        <v>116</v>
      </c>
      <c r="T2161" s="14">
        <f>IF($J2161=0,0,ROUND(MAX($J2161*1.4*1.5*1.6*1.6*2.2,42600000*(1.576904^(MIN($E2161,123)-117)))*1,0))</f>
        <v>889405</v>
      </c>
      <c r="U2161" s="11">
        <f>$E2161+11</f>
        <v>119</v>
      </c>
      <c r="V2161" s="12">
        <f>IF($J2161=0,0,ROUND(MAX($J2161*1.4*1.5*1.6*1.6*2.2*2.715,354000000*(1.642074^(MIN($E2161,123)-117)))*1,0))</f>
        <v>4078202</v>
      </c>
      <c r="W2161" s="13">
        <f>$E2161+15</f>
        <v>123</v>
      </c>
      <c r="X2161" s="14">
        <f>IF($J2161=0,0,ROUND(MAX($J2161*1.4*1.5*1.6*1.6*2.2*2.715*2.6,3540000000*(1.579646^(MIN($E2161,123)-117)))*1,0))</f>
        <v>57804988</v>
      </c>
      <c r="Y2161" s="11">
        <f>$E2161+17</f>
        <v>125</v>
      </c>
      <c r="Z2161" s="12">
        <f>IF($J2161=0,0,ROUND(MAX($J2161*1.4*1.5*1.6*1.6*2.2*2.715*2.6*1.4,6020000000*(1.651178^(MIN($E2161,123)-117)))*1,0))</f>
        <v>65985946</v>
      </c>
      <c r="AA2161" s="13">
        <f>$E2161+19</f>
        <v>127</v>
      </c>
      <c r="AB2161" s="14">
        <f>IF($J2161=0,0,ROUND(MAX($J2161*1.4*1.5*1.6*1.6*2.2*2.715*2.6*1.4*1.4,8430000000*(1.651435^(MIN($E2161,123)-117)))*1,0))</f>
        <v>92272909</v>
      </c>
      <c r="AC2161" s="11">
        <f>$E2161+21</f>
        <v>129</v>
      </c>
      <c r="AD2161" s="12">
        <f>IF($J2161=0,0,ROUND(MAX($J2161*1.4*1.5*1.6*1.6*2.2*2.715*2.6*1.4*1.4*1.5,12600000000*(1.652953^(MIN($E2161,123)-117)))*1,0))</f>
        <v>136781071</v>
      </c>
      <c r="AE2161" s="13">
        <f>$E2161+24</f>
        <v>132</v>
      </c>
      <c r="AF2161" s="14">
        <f>IF($J2161=0,0,ROUND(MAX($J2161*1.4*1.5*1.6*1.6*2.2*2.715*2.6*1.4*1.4*1.5*1.5,18900000000*(1.65331^(MIN($E2161,123)-117)))*1,0))</f>
        <v>204773225</v>
      </c>
      <c r="AG2161" s="11">
        <f>$E2161+27</f>
        <v>135</v>
      </c>
      <c r="AH2161" s="12">
        <f>IF($J2161=0,0,ROUND(MAX($J2161*1.4*1.5*1.6*1.6*2.2*2.715*2.6*1.4*1.4*1.5*1.5*3.2,60500000000*(1.654288^(MIN($E2161,123)-117)))*1,0))</f>
        <v>652011566</v>
      </c>
    </row>
    <row r="2162" ht="28" customHeight="1" spans="1:34" x14ac:dyDescent="0.25">
      <c r="A2162">
        <v>2172</v>
      </c>
      <c r="B2162" t="s">
        <v>1298</v>
      </c>
      <c r="C2162" s="10" t="s">
        <v>1278</v>
      </c>
      <c r="D2162" t="s">
        <v>79</v>
      </c>
      <c r="E2162">
        <v>108</v>
      </c>
      <c r="F2162" t="s">
        <v>71</v>
      </c>
      <c r="G2162" t="s">
        <v>1007</v>
      </c>
      <c r="H2162">
        <v>24</v>
      </c>
      <c r="I2162" s="11">
        <f>$E2162+0</f>
        <v>108</v>
      </c>
      <c r="J2162" s="12">
        <v>224000</v>
      </c>
      <c r="K2162" s="13">
        <f>$E2162+1</f>
        <v>109</v>
      </c>
      <c r="L2162" s="14">
        <f>IF($J2162=0,0,ROUND(MAX($J2162*1.4,1620000*(1.497923^(MIN($E2162,123)-117)))*1,0))</f>
        <v>313600</v>
      </c>
      <c r="M2162" s="11">
        <f>$E2162+2</f>
        <v>110</v>
      </c>
      <c r="N2162" s="12">
        <f>IF($J2162=0,0,ROUND(MAX($J2162*1.4*1.5,2190000*(1.580994^(MIN($E2162,123)-117)))*1,0))</f>
        <v>470400</v>
      </c>
      <c r="O2162" s="13">
        <f>$E2162+4</f>
        <v>112</v>
      </c>
      <c r="P2162" s="14">
        <f>IF($J2162=0,0,ROUND(MAX($J2162*1.4*1.5*1.6,3500000*(1.57975^(MIN($E2162,123)-117)))*1,0))</f>
        <v>752640</v>
      </c>
      <c r="Q2162" s="11">
        <f>$E2162+6</f>
        <v>114</v>
      </c>
      <c r="R2162" s="12">
        <f>IF($J2162=0,0,ROUND(MAX($J2162*1.4*1.5*1.6*1.6,13100000*(1.429962^(MIN($E2162,123)-117)))*1,0))</f>
        <v>1204224</v>
      </c>
      <c r="S2162" s="13">
        <f>$E2162+8</f>
        <v>116</v>
      </c>
      <c r="T2162" s="14">
        <f>IF($J2162=0,0,ROUND(MAX($J2162*1.4*1.5*1.6*1.6*2.2,42600000*(1.576904^(MIN($E2162,123)-117)))*1,0))</f>
        <v>2649293</v>
      </c>
      <c r="U2162" s="11">
        <f>$E2162+11</f>
        <v>119</v>
      </c>
      <c r="V2162" s="12">
        <f>IF($J2162=0,0,ROUND(MAX($J2162*1.4*1.5*1.6*1.6*2.2*2.715,354000000*(1.642074^(MIN($E2162,123)-117)))*1,0))</f>
        <v>7192830</v>
      </c>
      <c r="W2162" s="13">
        <f>$E2162+15</f>
        <v>123</v>
      </c>
      <c r="X2162" s="14">
        <f>IF($J2162=0,0,ROUND(MAX($J2162*1.4*1.5*1.6*1.6*2.2*2.715*2.6,3540000000*(1.579646^(MIN($E2162,123)-117)))*1,0))</f>
        <v>57804988</v>
      </c>
      <c r="Y2162" s="11">
        <f>$E2162+17</f>
        <v>125</v>
      </c>
      <c r="Z2162" s="12">
        <f>IF($J2162=0,0,ROUND(MAX($J2162*1.4*1.5*1.6*1.6*2.2*2.715*2.6*1.4,6020000000*(1.651178^(MIN($E2162,123)-117)))*1,0))</f>
        <v>65985946</v>
      </c>
      <c r="AA2162" s="13">
        <f>$E2162+19</f>
        <v>127</v>
      </c>
      <c r="AB2162" s="14">
        <f>IF($J2162=0,0,ROUND(MAX($J2162*1.4*1.5*1.6*1.6*2.2*2.715*2.6*1.4*1.4,8430000000*(1.651435^(MIN($E2162,123)-117)))*1,0))</f>
        <v>92272909</v>
      </c>
      <c r="AC2162" s="11">
        <f>$E2162+21</f>
        <v>129</v>
      </c>
      <c r="AD2162" s="12">
        <f>IF($J2162=0,0,ROUND(MAX($J2162*1.4*1.5*1.6*1.6*2.2*2.715*2.6*1.4*1.4*1.5,12600000000*(1.652953^(MIN($E2162,123)-117)))*1,0))</f>
        <v>136781071</v>
      </c>
      <c r="AE2162" s="13">
        <f>$E2162+24</f>
        <v>132</v>
      </c>
      <c r="AF2162" s="14">
        <f>IF($J2162=0,0,ROUND(MAX($J2162*1.4*1.5*1.6*1.6*2.2*2.715*2.6*1.4*1.4*1.5*1.5,18900000000*(1.65331^(MIN($E2162,123)-117)))*1,0))</f>
        <v>204773225</v>
      </c>
      <c r="AG2162" s="11">
        <f>$E2162+27</f>
        <v>135</v>
      </c>
      <c r="AH2162" s="12">
        <f>IF($J2162=0,0,ROUND(MAX($J2162*1.4*1.5*1.6*1.6*2.2*2.715*2.6*1.4*1.4*1.5*1.5*3.2,60500000000*(1.654288^(MIN($E2162,123)-117)))*1,0))</f>
        <v>652011566</v>
      </c>
    </row>
    <row r="2163" ht="28" customHeight="1" spans="1:34" x14ac:dyDescent="0.25">
      <c r="A2163">
        <v>2173</v>
      </c>
      <c r="B2163" t="s">
        <v>1185</v>
      </c>
      <c r="C2163" s="10" t="s">
        <v>1278</v>
      </c>
      <c r="D2163" t="s">
        <v>64</v>
      </c>
      <c r="E2163">
        <v>108</v>
      </c>
      <c r="F2163" t="s">
        <v>71</v>
      </c>
      <c r="G2163" t="s">
        <v>1299</v>
      </c>
      <c r="H2163">
        <v>24</v>
      </c>
      <c r="I2163" s="11">
        <f>$E2163+0</f>
        <v>108</v>
      </c>
      <c r="J2163" s="12">
        <v>10000</v>
      </c>
      <c r="K2163" s="13">
        <f>$E2163+1</f>
        <v>109</v>
      </c>
      <c r="L2163" s="14">
        <f>IF($J2163=0,0,ROUND(MAX($J2163*1.4,1620000*(1.497923^(MIN($E2163,123)-117)))*1,0))</f>
        <v>42669</v>
      </c>
      <c r="M2163" s="11">
        <f>$E2163+2</f>
        <v>110</v>
      </c>
      <c r="N2163" s="12">
        <f>IF($J2163=0,0,ROUND(MAX($J2163*1.4*1.5,2190000*(1.580994^(MIN($E2163,123)-117)))*1,0))</f>
        <v>35487</v>
      </c>
      <c r="O2163" s="13">
        <f>$E2163+4</f>
        <v>112</v>
      </c>
      <c r="P2163" s="14">
        <f>IF($J2163=0,0,ROUND(MAX($J2163*1.4*1.5*1.6,3500000*(1.57975^(MIN($E2163,123)-117)))*1,0))</f>
        <v>57118</v>
      </c>
      <c r="Q2163" s="11">
        <f>$E2163+6</f>
        <v>114</v>
      </c>
      <c r="R2163" s="12">
        <f>IF($J2163=0,0,ROUND(MAX($J2163*1.4*1.5*1.6*1.6,13100000*(1.429962^(MIN($E2163,123)-117)))*1,0))</f>
        <v>524024</v>
      </c>
      <c r="S2163" s="13">
        <f>$E2163+8</f>
        <v>116</v>
      </c>
      <c r="T2163" s="14">
        <f>IF($J2163=0,0,ROUND(MAX($J2163*1.4*1.5*1.6*1.6*2.2,42600000*(1.576904^(MIN($E2163,123)-117)))*1,0))</f>
        <v>706582</v>
      </c>
      <c r="U2163" s="11">
        <f>$E2163+11</f>
        <v>119</v>
      </c>
      <c r="V2163" s="12">
        <f>IF($J2163=0,0,ROUND(MAX($J2163*1.4*1.5*1.6*1.6*2.2*2.715,354000000*(1.642074^(MIN($E2163,123)-117)))*1,0))</f>
        <v>4078202</v>
      </c>
      <c r="W2163" s="13">
        <f>$E2163+15</f>
        <v>123</v>
      </c>
      <c r="X2163" s="14">
        <f>IF($J2163=0,0,ROUND(MAX($J2163*1.4*1.5*1.6*1.6*2.2*2.715*2.6,3540000000*(1.579646^(MIN($E2163,123)-117)))*1,0))</f>
        <v>57804988</v>
      </c>
      <c r="Y2163" s="11">
        <f>$E2163+17</f>
        <v>125</v>
      </c>
      <c r="Z2163" s="12">
        <f>IF($J2163=0,0,ROUND(MAX($J2163*1.4*1.5*1.6*1.6*2.2*2.715*2.6*1.4,6020000000*(1.651178^(MIN($E2163,123)-117)))*1,0))</f>
        <v>65985946</v>
      </c>
      <c r="AA2163" s="13">
        <f>$E2163+19</f>
        <v>127</v>
      </c>
      <c r="AB2163" s="14">
        <f>IF($J2163=0,0,ROUND(MAX($J2163*1.4*1.5*1.6*1.6*2.2*2.715*2.6*1.4*1.4,8430000000*(1.651435^(MIN($E2163,123)-117)))*1,0))</f>
        <v>92272909</v>
      </c>
      <c r="AC2163" s="11">
        <f>$E2163+21</f>
        <v>129</v>
      </c>
      <c r="AD2163" s="12">
        <f>IF($J2163=0,0,ROUND(MAX($J2163*1.4*1.5*1.6*1.6*2.2*2.715*2.6*1.4*1.4*1.5,12600000000*(1.652953^(MIN($E2163,123)-117)))*1,0))</f>
        <v>136781071</v>
      </c>
      <c r="AE2163" s="13">
        <f>$E2163+24</f>
        <v>132</v>
      </c>
      <c r="AF2163" s="14">
        <f>IF($J2163=0,0,ROUND(MAX($J2163*1.4*1.5*1.6*1.6*2.2*2.715*2.6*1.4*1.4*1.5*1.5,18900000000*(1.65331^(MIN($E2163,123)-117)))*1,0))</f>
        <v>204773225</v>
      </c>
      <c r="AG2163" s="11">
        <f>$E2163+27</f>
        <v>135</v>
      </c>
      <c r="AH2163" s="12">
        <f>IF($J2163=0,0,ROUND(MAX($J2163*1.4*1.5*1.6*1.6*2.2*2.715*2.6*1.4*1.4*1.5*1.5*3.2,60500000000*(1.654288^(MIN($E2163,123)-117)))*1,0))</f>
        <v>652011566</v>
      </c>
    </row>
    <row r="2164" ht="28" customHeight="1" spans="1:34" x14ac:dyDescent="0.25">
      <c r="A2164">
        <v>2174</v>
      </c>
      <c r="B2164" t="s">
        <v>1273</v>
      </c>
      <c r="C2164" s="10" t="s">
        <v>1278</v>
      </c>
      <c r="D2164" t="s">
        <v>45</v>
      </c>
      <c r="E2164">
        <v>108</v>
      </c>
      <c r="F2164" t="s">
        <v>54</v>
      </c>
      <c r="G2164" t="s">
        <v>104</v>
      </c>
      <c r="H2164">
        <v>24</v>
      </c>
      <c r="I2164" s="11">
        <f>$E2164+0</f>
        <v>108</v>
      </c>
      <c r="J2164" s="12">
        <v>71000</v>
      </c>
      <c r="K2164" s="13">
        <f>$E2164+1</f>
        <v>109</v>
      </c>
      <c r="L2164" s="14">
        <f>IF($J2164=0,0,ROUND(MAX($J2164*1.4,1620000*(1.497923^(MIN($E2164,123)-117)))*1,0))</f>
        <v>99400</v>
      </c>
      <c r="M2164" s="11">
        <f>$E2164+2</f>
        <v>110</v>
      </c>
      <c r="N2164" s="12">
        <f>IF($J2164=0,0,ROUND(MAX($J2164*1.4*1.5,2190000*(1.580994^(MIN($E2164,123)-117)))*1,0))</f>
        <v>149100</v>
      </c>
      <c r="O2164" s="13">
        <f>$E2164+4</f>
        <v>112</v>
      </c>
      <c r="P2164" s="14">
        <f>IF($J2164=0,0,ROUND(MAX($J2164*1.4*1.5*1.6,3500000*(1.57975^(MIN($E2164,123)-117)))*1,0))</f>
        <v>238560</v>
      </c>
      <c r="Q2164" s="11">
        <f>$E2164+6</f>
        <v>114</v>
      </c>
      <c r="R2164" s="12">
        <f>IF($J2164=0,0,ROUND(MAX($J2164*1.4*1.5*1.6*1.6,13100000*(1.429962^(MIN($E2164,123)-117)))*1,0))</f>
        <v>524024</v>
      </c>
      <c r="S2164" s="13">
        <f>$E2164+8</f>
        <v>116</v>
      </c>
      <c r="T2164" s="14">
        <f>IF($J2164=0,0,ROUND(MAX($J2164*1.4*1.5*1.6*1.6*2.2,42600000*(1.576904^(MIN($E2164,123)-117)))*1,0))</f>
        <v>839731</v>
      </c>
      <c r="U2164" s="11">
        <f>$E2164+11</f>
        <v>119</v>
      </c>
      <c r="V2164" s="12">
        <f>IF($J2164=0,0,ROUND(MAX($J2164*1.4*1.5*1.6*1.6*2.2*2.715,354000000*(1.642074^(MIN($E2164,123)-117)))*1,0))</f>
        <v>4078202</v>
      </c>
      <c r="W2164" s="13">
        <f>$E2164+15</f>
        <v>123</v>
      </c>
      <c r="X2164" s="14">
        <f>IF($J2164=0,0,ROUND(MAX($J2164*1.4*1.5*1.6*1.6*2.2*2.715*2.6,3540000000*(1.579646^(MIN($E2164,123)-117)))*1,0))</f>
        <v>57804988</v>
      </c>
      <c r="Y2164" s="11">
        <f>$E2164+17</f>
        <v>125</v>
      </c>
      <c r="Z2164" s="12">
        <f>IF($J2164=0,0,ROUND(MAX($J2164*1.4*1.5*1.6*1.6*2.2*2.715*2.6*1.4,6020000000*(1.651178^(MIN($E2164,123)-117)))*1,0))</f>
        <v>65985946</v>
      </c>
      <c r="AA2164" s="13">
        <f>$E2164+19</f>
        <v>127</v>
      </c>
      <c r="AB2164" s="14">
        <f>IF($J2164=0,0,ROUND(MAX($J2164*1.4*1.5*1.6*1.6*2.2*2.715*2.6*1.4*1.4,8430000000*(1.651435^(MIN($E2164,123)-117)))*1,0))</f>
        <v>92272909</v>
      </c>
      <c r="AC2164" s="11">
        <f>$E2164+21</f>
        <v>129</v>
      </c>
      <c r="AD2164" s="12">
        <f>IF($J2164=0,0,ROUND(MAX($J2164*1.4*1.5*1.6*1.6*2.2*2.715*2.6*1.4*1.4*1.5,12600000000*(1.652953^(MIN($E2164,123)-117)))*1,0))</f>
        <v>136781071</v>
      </c>
      <c r="AE2164" s="13">
        <f>$E2164+24</f>
        <v>132</v>
      </c>
      <c r="AF2164" s="14">
        <f>IF($J2164=0,0,ROUND(MAX($J2164*1.4*1.5*1.6*1.6*2.2*2.715*2.6*1.4*1.4*1.5*1.5,18900000000*(1.65331^(MIN($E2164,123)-117)))*1,0))</f>
        <v>204773225</v>
      </c>
      <c r="AG2164" s="11">
        <f>$E2164+27</f>
        <v>135</v>
      </c>
      <c r="AH2164" s="12">
        <f>IF($J2164=0,0,ROUND(MAX($J2164*1.4*1.5*1.6*1.6*2.2*2.715*2.6*1.4*1.4*1.5*1.5*3.2,60500000000*(1.654288^(MIN($E2164,123)-117)))*1,0))</f>
        <v>652011566</v>
      </c>
    </row>
    <row r="2165" ht="28" customHeight="1" spans="1:34" x14ac:dyDescent="0.25">
      <c r="A2165">
        <v>2175</v>
      </c>
      <c r="B2165" t="s">
        <v>1241</v>
      </c>
      <c r="C2165" s="10" t="s">
        <v>1278</v>
      </c>
      <c r="D2165" t="s">
        <v>165</v>
      </c>
      <c r="E2165">
        <v>108</v>
      </c>
      <c r="F2165" t="s">
        <v>56</v>
      </c>
      <c r="G2165" t="s">
        <v>86</v>
      </c>
      <c r="H2165">
        <v>24</v>
      </c>
      <c r="I2165" s="11">
        <f>$E2165+0</f>
        <v>108</v>
      </c>
      <c r="J2165" s="12">
        <v>91100</v>
      </c>
      <c r="K2165" s="13">
        <f>$E2165+1</f>
        <v>109</v>
      </c>
      <c r="L2165" s="14">
        <f>IF($J2165=0,0,ROUND(MAX($J2165*1.4,1620000*(1.497923^(MIN($E2165,123)-117)))*1,0))</f>
        <v>127540</v>
      </c>
      <c r="M2165" s="11">
        <f>$E2165+2</f>
        <v>110</v>
      </c>
      <c r="N2165" s="12">
        <f>IF($J2165=0,0,ROUND(MAX($J2165*1.4*1.5,2190000*(1.580994^(MIN($E2165,123)-117)))*1,0))</f>
        <v>191310</v>
      </c>
      <c r="O2165" s="13">
        <f>$E2165+4</f>
        <v>112</v>
      </c>
      <c r="P2165" s="14">
        <f>IF($J2165=0,0,ROUND(MAX($J2165*1.4*1.5*1.6,3500000*(1.57975^(MIN($E2165,123)-117)))*1,0))</f>
        <v>306096</v>
      </c>
      <c r="Q2165" s="11">
        <f>$E2165+6</f>
        <v>114</v>
      </c>
      <c r="R2165" s="12">
        <f>IF($J2165=0,0,ROUND(MAX($J2165*1.4*1.5*1.6*1.6,13100000*(1.429962^(MIN($E2165,123)-117)))*1,0))</f>
        <v>524024</v>
      </c>
      <c r="S2165" s="13">
        <f>$E2165+8</f>
        <v>116</v>
      </c>
      <c r="T2165" s="14">
        <f>IF($J2165=0,0,ROUND(MAX($J2165*1.4*1.5*1.6*1.6*2.2,42600000*(1.576904^(MIN($E2165,123)-117)))*1,0))</f>
        <v>1077458</v>
      </c>
      <c r="U2165" s="11">
        <f>$E2165+11</f>
        <v>119</v>
      </c>
      <c r="V2165" s="12">
        <f>IF($J2165=0,0,ROUND(MAX($J2165*1.4*1.5*1.6*1.6*2.2*2.715,354000000*(1.642074^(MIN($E2165,123)-117)))*1,0))</f>
        <v>4078202</v>
      </c>
      <c r="W2165" s="13">
        <f>$E2165+15</f>
        <v>123</v>
      </c>
      <c r="X2165" s="14">
        <f>IF($J2165=0,0,ROUND(MAX($J2165*1.4*1.5*1.6*1.6*2.2*2.715*2.6,3540000000*(1.579646^(MIN($E2165,123)-117)))*1,0))</f>
        <v>57804988</v>
      </c>
      <c r="Y2165" s="11">
        <f>$E2165+17</f>
        <v>125</v>
      </c>
      <c r="Z2165" s="12">
        <f>IF($J2165=0,0,ROUND(MAX($J2165*1.4*1.5*1.6*1.6*2.2*2.715*2.6*1.4,6020000000*(1.651178^(MIN($E2165,123)-117)))*1,0))</f>
        <v>65985946</v>
      </c>
      <c r="AA2165" s="13">
        <f>$E2165+19</f>
        <v>127</v>
      </c>
      <c r="AB2165" s="14">
        <f>IF($J2165=0,0,ROUND(MAX($J2165*1.4*1.5*1.6*1.6*2.2*2.715*2.6*1.4*1.4,8430000000*(1.651435^(MIN($E2165,123)-117)))*1,0))</f>
        <v>92272909</v>
      </c>
      <c r="AC2165" s="11">
        <f>$E2165+21</f>
        <v>129</v>
      </c>
      <c r="AD2165" s="12">
        <f>IF($J2165=0,0,ROUND(MAX($J2165*1.4*1.5*1.6*1.6*2.2*2.715*2.6*1.4*1.4*1.5,12600000000*(1.652953^(MIN($E2165,123)-117)))*1,0))</f>
        <v>136781071</v>
      </c>
      <c r="AE2165" s="13">
        <f>$E2165+24</f>
        <v>132</v>
      </c>
      <c r="AF2165" s="14">
        <f>IF($J2165=0,0,ROUND(MAX($J2165*1.4*1.5*1.6*1.6*2.2*2.715*2.6*1.4*1.4*1.5*1.5,18900000000*(1.65331^(MIN($E2165,123)-117)))*1,0))</f>
        <v>204773225</v>
      </c>
      <c r="AG2165" s="11">
        <f>$E2165+27</f>
        <v>135</v>
      </c>
      <c r="AH2165" s="12">
        <f>IF($J2165=0,0,ROUND(MAX($J2165*1.4*1.5*1.6*1.6*2.2*2.715*2.6*1.4*1.4*1.5*1.5*3.2,60500000000*(1.654288^(MIN($E2165,123)-117)))*1,0))</f>
        <v>652011566</v>
      </c>
    </row>
    <row r="2166" ht="28" customHeight="1" spans="1:34" x14ac:dyDescent="0.25">
      <c r="A2166">
        <v>2176</v>
      </c>
      <c r="B2166" t="s">
        <v>1300</v>
      </c>
      <c r="C2166" s="10" t="s">
        <v>1278</v>
      </c>
      <c r="D2166" t="s">
        <v>25</v>
      </c>
      <c r="E2166">
        <v>108</v>
      </c>
      <c r="F2166" t="s">
        <v>71</v>
      </c>
      <c r="G2166" t="s">
        <v>1299</v>
      </c>
      <c r="H2166">
        <v>24</v>
      </c>
      <c r="I2166" s="11">
        <f>$E2166+0</f>
        <v>108</v>
      </c>
      <c r="J2166" s="12">
        <v>64400</v>
      </c>
      <c r="K2166" s="13">
        <f>$E2166+1</f>
        <v>109</v>
      </c>
      <c r="L2166" s="14">
        <f>IF($J2166=0,0,ROUND(MAX($J2166*1.4,1620000*(1.497923^(MIN($E2166,123)-117)))*1,0))</f>
        <v>90160</v>
      </c>
      <c r="M2166" s="11">
        <f>$E2166+2</f>
        <v>110</v>
      </c>
      <c r="N2166" s="12">
        <f>IF($J2166=0,0,ROUND(MAX($J2166*1.4*1.5,2190000*(1.580994^(MIN($E2166,123)-117)))*1,0))</f>
        <v>135240</v>
      </c>
      <c r="O2166" s="13">
        <f>$E2166+4</f>
        <v>112</v>
      </c>
      <c r="P2166" s="14">
        <f>IF($J2166=0,0,ROUND(MAX($J2166*1.4*1.5*1.6,3500000*(1.57975^(MIN($E2166,123)-117)))*1,0))</f>
        <v>216384</v>
      </c>
      <c r="Q2166" s="11">
        <f>$E2166+6</f>
        <v>114</v>
      </c>
      <c r="R2166" s="12">
        <f>IF($J2166=0,0,ROUND(MAX($J2166*1.4*1.5*1.6*1.6,13100000*(1.429962^(MIN($E2166,123)-117)))*1,0))</f>
        <v>524024</v>
      </c>
      <c r="S2166" s="13">
        <f>$E2166+8</f>
        <v>116</v>
      </c>
      <c r="T2166" s="14">
        <f>IF($J2166=0,0,ROUND(MAX($J2166*1.4*1.5*1.6*1.6*2.2,42600000*(1.576904^(MIN($E2166,123)-117)))*1,0))</f>
        <v>761672</v>
      </c>
      <c r="U2166" s="11">
        <f>$E2166+11</f>
        <v>119</v>
      </c>
      <c r="V2166" s="12">
        <f>IF($J2166=0,0,ROUND(MAX($J2166*1.4*1.5*1.6*1.6*2.2*2.715,354000000*(1.642074^(MIN($E2166,123)-117)))*1,0))</f>
        <v>4078202</v>
      </c>
      <c r="W2166" s="13">
        <f>$E2166+15</f>
        <v>123</v>
      </c>
      <c r="X2166" s="14">
        <f>IF($J2166=0,0,ROUND(MAX($J2166*1.4*1.5*1.6*1.6*2.2*2.715*2.6,3540000000*(1.579646^(MIN($E2166,123)-117)))*1,0))</f>
        <v>57804988</v>
      </c>
      <c r="Y2166" s="11">
        <f>$E2166+17</f>
        <v>125</v>
      </c>
      <c r="Z2166" s="12">
        <f>IF($J2166=0,0,ROUND(MAX($J2166*1.4*1.5*1.6*1.6*2.2*2.715*2.6*1.4,6020000000*(1.651178^(MIN($E2166,123)-117)))*1,0))</f>
        <v>65985946</v>
      </c>
      <c r="AA2166" s="13">
        <f>$E2166+19</f>
        <v>127</v>
      </c>
      <c r="AB2166" s="14">
        <f>IF($J2166=0,0,ROUND(MAX($J2166*1.4*1.5*1.6*1.6*2.2*2.715*2.6*1.4*1.4,8430000000*(1.651435^(MIN($E2166,123)-117)))*1,0))</f>
        <v>92272909</v>
      </c>
      <c r="AC2166" s="11">
        <f>$E2166+21</f>
        <v>129</v>
      </c>
      <c r="AD2166" s="12">
        <f>IF($J2166=0,0,ROUND(MAX($J2166*1.4*1.5*1.6*1.6*2.2*2.715*2.6*1.4*1.4*1.5,12600000000*(1.652953^(MIN($E2166,123)-117)))*1,0))</f>
        <v>136781071</v>
      </c>
      <c r="AE2166" s="13">
        <f>$E2166+24</f>
        <v>132</v>
      </c>
      <c r="AF2166" s="14">
        <f>IF($J2166=0,0,ROUND(MAX($J2166*1.4*1.5*1.6*1.6*2.2*2.715*2.6*1.4*1.4*1.5*1.5,18900000000*(1.65331^(MIN($E2166,123)-117)))*1,0))</f>
        <v>204773225</v>
      </c>
      <c r="AG2166" s="11">
        <f>$E2166+27</f>
        <v>135</v>
      </c>
      <c r="AH2166" s="12">
        <f>IF($J2166=0,0,ROUND(MAX($J2166*1.4*1.5*1.6*1.6*2.2*2.715*2.6*1.4*1.4*1.5*1.5*3.2,60500000000*(1.654288^(MIN($E2166,123)-117)))*1,0))</f>
        <v>652011566</v>
      </c>
    </row>
    <row r="2167" ht="28" customHeight="1" spans="1:34" x14ac:dyDescent="0.25">
      <c r="A2167">
        <v>2177</v>
      </c>
      <c r="B2167" t="s">
        <v>1301</v>
      </c>
      <c r="C2167" s="10" t="s">
        <v>1278</v>
      </c>
      <c r="D2167" t="s">
        <v>165</v>
      </c>
      <c r="E2167">
        <v>108</v>
      </c>
      <c r="F2167" t="s">
        <v>56</v>
      </c>
      <c r="G2167" t="s">
        <v>586</v>
      </c>
      <c r="H2167">
        <v>24</v>
      </c>
      <c r="I2167" s="11">
        <f>$E2167+0</f>
        <v>108</v>
      </c>
      <c r="J2167" s="12">
        <v>153000</v>
      </c>
      <c r="K2167" s="13">
        <f>$E2167+1</f>
        <v>109</v>
      </c>
      <c r="L2167" s="14">
        <f>IF($J2167=0,0,ROUND(MAX($J2167*1.4,1620000*(1.497923^(MIN($E2167,123)-117)))*1,0))</f>
        <v>214200</v>
      </c>
      <c r="M2167" s="11">
        <f>$E2167+2</f>
        <v>110</v>
      </c>
      <c r="N2167" s="12">
        <f>IF($J2167=0,0,ROUND(MAX($J2167*1.4*1.5,2190000*(1.580994^(MIN($E2167,123)-117)))*1,0))</f>
        <v>321300</v>
      </c>
      <c r="O2167" s="13">
        <f>$E2167+4</f>
        <v>112</v>
      </c>
      <c r="P2167" s="14">
        <f>IF($J2167=0,0,ROUND(MAX($J2167*1.4*1.5*1.6,3500000*(1.57975^(MIN($E2167,123)-117)))*1,0))</f>
        <v>514080</v>
      </c>
      <c r="Q2167" s="11">
        <f>$E2167+6</f>
        <v>114</v>
      </c>
      <c r="R2167" s="12">
        <f>IF($J2167=0,0,ROUND(MAX($J2167*1.4*1.5*1.6*1.6,13100000*(1.429962^(MIN($E2167,123)-117)))*1,0))</f>
        <v>822528</v>
      </c>
      <c r="S2167" s="13">
        <f>$E2167+8</f>
        <v>116</v>
      </c>
      <c r="T2167" s="14">
        <f>IF($J2167=0,0,ROUND(MAX($J2167*1.4*1.5*1.6*1.6*2.2,42600000*(1.576904^(MIN($E2167,123)-117)))*1,0))</f>
        <v>1809562</v>
      </c>
      <c r="U2167" s="11">
        <f>$E2167+11</f>
        <v>119</v>
      </c>
      <c r="V2167" s="12">
        <f>IF($J2167=0,0,ROUND(MAX($J2167*1.4*1.5*1.6*1.6*2.2*2.715,354000000*(1.642074^(MIN($E2167,123)-117)))*1,0))</f>
        <v>4912960</v>
      </c>
      <c r="W2167" s="13">
        <f>$E2167+15</f>
        <v>123</v>
      </c>
      <c r="X2167" s="14">
        <f>IF($J2167=0,0,ROUND(MAX($J2167*1.4*1.5*1.6*1.6*2.2*2.715*2.6,3540000000*(1.579646^(MIN($E2167,123)-117)))*1,0))</f>
        <v>57804988</v>
      </c>
      <c r="Y2167" s="11">
        <f>$E2167+17</f>
        <v>125</v>
      </c>
      <c r="Z2167" s="12">
        <f>IF($J2167=0,0,ROUND(MAX($J2167*1.4*1.5*1.6*1.6*2.2*2.715*2.6*1.4,6020000000*(1.651178^(MIN($E2167,123)-117)))*1,0))</f>
        <v>65985946</v>
      </c>
      <c r="AA2167" s="13">
        <f>$E2167+19</f>
        <v>127</v>
      </c>
      <c r="AB2167" s="14">
        <f>IF($J2167=0,0,ROUND(MAX($J2167*1.4*1.5*1.6*1.6*2.2*2.715*2.6*1.4*1.4,8430000000*(1.651435^(MIN($E2167,123)-117)))*1,0))</f>
        <v>92272909</v>
      </c>
      <c r="AC2167" s="11">
        <f>$E2167+21</f>
        <v>129</v>
      </c>
      <c r="AD2167" s="12">
        <f>IF($J2167=0,0,ROUND(MAX($J2167*1.4*1.5*1.6*1.6*2.2*2.715*2.6*1.4*1.4*1.5,12600000000*(1.652953^(MIN($E2167,123)-117)))*1,0))</f>
        <v>136781071</v>
      </c>
      <c r="AE2167" s="13">
        <f>$E2167+24</f>
        <v>132</v>
      </c>
      <c r="AF2167" s="14">
        <f>IF($J2167=0,0,ROUND(MAX($J2167*1.4*1.5*1.6*1.6*2.2*2.715*2.6*1.4*1.4*1.5*1.5,18900000000*(1.65331^(MIN($E2167,123)-117)))*1,0))</f>
        <v>204773225</v>
      </c>
      <c r="AG2167" s="11">
        <f>$E2167+27</f>
        <v>135</v>
      </c>
      <c r="AH2167" s="12">
        <f>IF($J2167=0,0,ROUND(MAX($J2167*1.4*1.5*1.6*1.6*2.2*2.715*2.6*1.4*1.4*1.5*1.5*3.2,60500000000*(1.654288^(MIN($E2167,123)-117)))*1,0))</f>
        <v>652011566</v>
      </c>
    </row>
    <row r="2168" ht="28" customHeight="1" spans="1:34" x14ac:dyDescent="0.25">
      <c r="A2168">
        <v>2178</v>
      </c>
      <c r="B2168" t="s">
        <v>399</v>
      </c>
      <c r="C2168" s="10" t="s">
        <v>1278</v>
      </c>
      <c r="D2168" t="s">
        <v>25</v>
      </c>
      <c r="E2168">
        <v>108</v>
      </c>
      <c r="F2168" t="s">
        <v>400</v>
      </c>
      <c r="G2168" t="s">
        <v>254</v>
      </c>
      <c r="H2168">
        <v>24</v>
      </c>
      <c r="I2168" s="11">
        <f>$E2168+0</f>
        <v>108</v>
      </c>
      <c r="J2168" s="12">
        <v>69900</v>
      </c>
      <c r="K2168" s="13">
        <f>$E2168+1</f>
        <v>109</v>
      </c>
      <c r="L2168" s="14">
        <f>IF($J2168=0,0,ROUND(MAX($J2168*1.4,1620000*(1.497923^(MIN($E2168,123)-117)))*1,0))</f>
        <v>97860</v>
      </c>
      <c r="M2168" s="11">
        <f>$E2168+2</f>
        <v>110</v>
      </c>
      <c r="N2168" s="12">
        <f>IF($J2168=0,0,ROUND(MAX($J2168*1.4*1.5,2190000*(1.580994^(MIN($E2168,123)-117)))*1,0))</f>
        <v>146790</v>
      </c>
      <c r="O2168" s="13">
        <f>$E2168+4</f>
        <v>112</v>
      </c>
      <c r="P2168" s="14">
        <f>IF($J2168=0,0,ROUND(MAX($J2168*1.4*1.5*1.6,3500000*(1.57975^(MIN($E2168,123)-117)))*1,0))</f>
        <v>234864</v>
      </c>
      <c r="Q2168" s="11">
        <f>$E2168+6</f>
        <v>114</v>
      </c>
      <c r="R2168" s="12">
        <f>IF($J2168=0,0,ROUND(MAX($J2168*1.4*1.5*1.6*1.6,13100000*(1.429962^(MIN($E2168,123)-117)))*1,0))</f>
        <v>524024</v>
      </c>
      <c r="S2168" s="13">
        <f>$E2168+8</f>
        <v>116</v>
      </c>
      <c r="T2168" s="14">
        <f>IF($J2168=0,0,ROUND(MAX($J2168*1.4*1.5*1.6*1.6*2.2,42600000*(1.576904^(MIN($E2168,123)-117)))*1,0))</f>
        <v>826721</v>
      </c>
      <c r="U2168" s="11">
        <f>$E2168+11</f>
        <v>119</v>
      </c>
      <c r="V2168" s="12">
        <f>IF($J2168=0,0,ROUND(MAX($J2168*1.4*1.5*1.6*1.6*2.2*2.715,354000000*(1.642074^(MIN($E2168,123)-117)))*1,0))</f>
        <v>4078202</v>
      </c>
      <c r="W2168" s="13">
        <f>$E2168+15</f>
        <v>123</v>
      </c>
      <c r="X2168" s="14">
        <f>IF($J2168=0,0,ROUND(MAX($J2168*1.4*1.5*1.6*1.6*2.2*2.715*2.6,3540000000*(1.579646^(MIN($E2168,123)-117)))*1,0))</f>
        <v>57804988</v>
      </c>
      <c r="Y2168" s="11">
        <f>$E2168+17</f>
        <v>125</v>
      </c>
      <c r="Z2168" s="12">
        <f>IF($J2168=0,0,ROUND(MAX($J2168*1.4*1.5*1.6*1.6*2.2*2.715*2.6*1.4,6020000000*(1.651178^(MIN($E2168,123)-117)))*1,0))</f>
        <v>65985946</v>
      </c>
      <c r="AA2168" s="13">
        <f>$E2168+19</f>
        <v>127</v>
      </c>
      <c r="AB2168" s="14">
        <f>IF($J2168=0,0,ROUND(MAX($J2168*1.4*1.5*1.6*1.6*2.2*2.715*2.6*1.4*1.4,8430000000*(1.651435^(MIN($E2168,123)-117)))*1,0))</f>
        <v>92272909</v>
      </c>
      <c r="AC2168" s="11">
        <f>$E2168+21</f>
        <v>129</v>
      </c>
      <c r="AD2168" s="12">
        <f>IF($J2168=0,0,ROUND(MAX($J2168*1.4*1.5*1.6*1.6*2.2*2.715*2.6*1.4*1.4*1.5,12600000000*(1.652953^(MIN($E2168,123)-117)))*1,0))</f>
        <v>136781071</v>
      </c>
      <c r="AE2168" s="13">
        <f>$E2168+24</f>
        <v>132</v>
      </c>
      <c r="AF2168" s="14">
        <f>IF($J2168=0,0,ROUND(MAX($J2168*1.4*1.5*1.6*1.6*2.2*2.715*2.6*1.4*1.4*1.5*1.5,18900000000*(1.65331^(MIN($E2168,123)-117)))*1,0))</f>
        <v>204773225</v>
      </c>
      <c r="AG2168" s="11">
        <f>$E2168+27</f>
        <v>135</v>
      </c>
      <c r="AH2168" s="12">
        <f>IF($J2168=0,0,ROUND(MAX($J2168*1.4*1.5*1.6*1.6*2.2*2.715*2.6*1.4*1.4*1.5*1.5*3.2,60500000000*(1.654288^(MIN($E2168,123)-117)))*1,0))</f>
        <v>652011566</v>
      </c>
    </row>
    <row r="2169" ht="28" customHeight="1" spans="1:34" x14ac:dyDescent="0.25">
      <c r="A2169">
        <v>2179</v>
      </c>
      <c r="B2169" t="s">
        <v>1302</v>
      </c>
      <c r="C2169" s="10" t="s">
        <v>1278</v>
      </c>
      <c r="D2169" t="s">
        <v>45</v>
      </c>
      <c r="E2169">
        <v>108</v>
      </c>
      <c r="F2169" t="s">
        <v>62</v>
      </c>
      <c r="G2169" t="s">
        <v>1303</v>
      </c>
      <c r="H2169">
        <v>24</v>
      </c>
      <c r="I2169" s="11">
        <f>$E2169+0</f>
        <v>108</v>
      </c>
      <c r="J2169" s="12">
        <v>83100</v>
      </c>
      <c r="K2169" s="13">
        <f>$E2169+1</f>
        <v>109</v>
      </c>
      <c r="L2169" s="14">
        <f>IF($J2169=0,0,ROUND(MAX($J2169*1.4,1620000*(1.497923^(MIN($E2169,123)-117)))*1,0))</f>
        <v>116340</v>
      </c>
      <c r="M2169" s="11">
        <f>$E2169+2</f>
        <v>110</v>
      </c>
      <c r="N2169" s="12">
        <f>IF($J2169=0,0,ROUND(MAX($J2169*1.4*1.5,2190000*(1.580994^(MIN($E2169,123)-117)))*1,0))</f>
        <v>174510</v>
      </c>
      <c r="O2169" s="13">
        <f>$E2169+4</f>
        <v>112</v>
      </c>
      <c r="P2169" s="14">
        <f>IF($J2169=0,0,ROUND(MAX($J2169*1.4*1.5*1.6,3500000*(1.57975^(MIN($E2169,123)-117)))*1,0))</f>
        <v>279216</v>
      </c>
      <c r="Q2169" s="11">
        <f>$E2169+6</f>
        <v>114</v>
      </c>
      <c r="R2169" s="12">
        <f>IF($J2169=0,0,ROUND(MAX($J2169*1.4*1.5*1.6*1.6,13100000*(1.429962^(MIN($E2169,123)-117)))*1,0))</f>
        <v>524024</v>
      </c>
      <c r="S2169" s="13">
        <f>$E2169+8</f>
        <v>116</v>
      </c>
      <c r="T2169" s="14">
        <f>IF($J2169=0,0,ROUND(MAX($J2169*1.4*1.5*1.6*1.6*2.2,42600000*(1.576904^(MIN($E2169,123)-117)))*1,0))</f>
        <v>982840</v>
      </c>
      <c r="U2169" s="11">
        <f>$E2169+11</f>
        <v>119</v>
      </c>
      <c r="V2169" s="12">
        <f>IF($J2169=0,0,ROUND(MAX($J2169*1.4*1.5*1.6*1.6*2.2*2.715,354000000*(1.642074^(MIN($E2169,123)-117)))*1,0))</f>
        <v>4078202</v>
      </c>
      <c r="W2169" s="13">
        <f>$E2169+15</f>
        <v>123</v>
      </c>
      <c r="X2169" s="14">
        <f>IF($J2169=0,0,ROUND(MAX($J2169*1.4*1.5*1.6*1.6*2.2*2.715*2.6,3540000000*(1.579646^(MIN($E2169,123)-117)))*1,0))</f>
        <v>57804988</v>
      </c>
      <c r="Y2169" s="11">
        <f>$E2169+17</f>
        <v>125</v>
      </c>
      <c r="Z2169" s="12">
        <f>IF($J2169=0,0,ROUND(MAX($J2169*1.4*1.5*1.6*1.6*2.2*2.715*2.6*1.4,6020000000*(1.651178^(MIN($E2169,123)-117)))*1,0))</f>
        <v>65985946</v>
      </c>
      <c r="AA2169" s="13">
        <f>$E2169+19</f>
        <v>127</v>
      </c>
      <c r="AB2169" s="14">
        <f>IF($J2169=0,0,ROUND(MAX($J2169*1.4*1.5*1.6*1.6*2.2*2.715*2.6*1.4*1.4,8430000000*(1.651435^(MIN($E2169,123)-117)))*1,0))</f>
        <v>92272909</v>
      </c>
      <c r="AC2169" s="11">
        <f>$E2169+21</f>
        <v>129</v>
      </c>
      <c r="AD2169" s="12">
        <f>IF($J2169=0,0,ROUND(MAX($J2169*1.4*1.5*1.6*1.6*2.2*2.715*2.6*1.4*1.4*1.5,12600000000*(1.652953^(MIN($E2169,123)-117)))*1,0))</f>
        <v>136781071</v>
      </c>
      <c r="AE2169" s="13">
        <f>$E2169+24</f>
        <v>132</v>
      </c>
      <c r="AF2169" s="14">
        <f>IF($J2169=0,0,ROUND(MAX($J2169*1.4*1.5*1.6*1.6*2.2*2.715*2.6*1.4*1.4*1.5*1.5,18900000000*(1.65331^(MIN($E2169,123)-117)))*1,0))</f>
        <v>204773225</v>
      </c>
      <c r="AG2169" s="11">
        <f>$E2169+27</f>
        <v>135</v>
      </c>
      <c r="AH2169" s="12">
        <f>IF($J2169=0,0,ROUND(MAX($J2169*1.4*1.5*1.6*1.6*2.2*2.715*2.6*1.4*1.4*1.5*1.5*3.2,60500000000*(1.654288^(MIN($E2169,123)-117)))*1,0))</f>
        <v>652011566</v>
      </c>
    </row>
    <row r="2170" ht="28" customHeight="1" spans="1:34" x14ac:dyDescent="0.25">
      <c r="A2170">
        <v>2180</v>
      </c>
      <c r="B2170" t="s">
        <v>1304</v>
      </c>
      <c r="C2170" s="10" t="s">
        <v>1278</v>
      </c>
      <c r="D2170" t="s">
        <v>45</v>
      </c>
      <c r="E2170">
        <v>108</v>
      </c>
      <c r="F2170" t="s">
        <v>56</v>
      </c>
      <c r="G2170" t="s">
        <v>86</v>
      </c>
      <c r="H2170">
        <v>24</v>
      </c>
      <c r="I2170" s="11">
        <f>$E2170+0</f>
        <v>108</v>
      </c>
      <c r="J2170" s="12">
        <v>75200</v>
      </c>
      <c r="K2170" s="13">
        <f>$E2170+1</f>
        <v>109</v>
      </c>
      <c r="L2170" s="14">
        <f>IF($J2170=0,0,ROUND(MAX($J2170*1.4,1620000*(1.497923^(MIN($E2170,123)-117)))*1,0))</f>
        <v>105280</v>
      </c>
      <c r="M2170" s="11">
        <f>$E2170+2</f>
        <v>110</v>
      </c>
      <c r="N2170" s="12">
        <f>IF($J2170=0,0,ROUND(MAX($J2170*1.4*1.5,2190000*(1.580994^(MIN($E2170,123)-117)))*1,0))</f>
        <v>157920</v>
      </c>
      <c r="O2170" s="13">
        <f>$E2170+4</f>
        <v>112</v>
      </c>
      <c r="P2170" s="14">
        <f>IF($J2170=0,0,ROUND(MAX($J2170*1.4*1.5*1.6,3500000*(1.57975^(MIN($E2170,123)-117)))*1,0))</f>
        <v>252672</v>
      </c>
      <c r="Q2170" s="11">
        <f>$E2170+6</f>
        <v>114</v>
      </c>
      <c r="R2170" s="12">
        <f>IF($J2170=0,0,ROUND(MAX($J2170*1.4*1.5*1.6*1.6,13100000*(1.429962^(MIN($E2170,123)-117)))*1,0))</f>
        <v>524024</v>
      </c>
      <c r="S2170" s="13">
        <f>$E2170+8</f>
        <v>116</v>
      </c>
      <c r="T2170" s="14">
        <f>IF($J2170=0,0,ROUND(MAX($J2170*1.4*1.5*1.6*1.6*2.2,42600000*(1.576904^(MIN($E2170,123)-117)))*1,0))</f>
        <v>889405</v>
      </c>
      <c r="U2170" s="11">
        <f>$E2170+11</f>
        <v>119</v>
      </c>
      <c r="V2170" s="12">
        <f>IF($J2170=0,0,ROUND(MAX($J2170*1.4*1.5*1.6*1.6*2.2*2.715,354000000*(1.642074^(MIN($E2170,123)-117)))*1,0))</f>
        <v>4078202</v>
      </c>
      <c r="W2170" s="13">
        <f>$E2170+15</f>
        <v>123</v>
      </c>
      <c r="X2170" s="14">
        <f>IF($J2170=0,0,ROUND(MAX($J2170*1.4*1.5*1.6*1.6*2.2*2.715*2.6,3540000000*(1.579646^(MIN($E2170,123)-117)))*1,0))</f>
        <v>57804988</v>
      </c>
      <c r="Y2170" s="11">
        <f>$E2170+17</f>
        <v>125</v>
      </c>
      <c r="Z2170" s="12">
        <f>IF($J2170=0,0,ROUND(MAX($J2170*1.4*1.5*1.6*1.6*2.2*2.715*2.6*1.4,6020000000*(1.651178^(MIN($E2170,123)-117)))*1,0))</f>
        <v>65985946</v>
      </c>
      <c r="AA2170" s="13">
        <f>$E2170+19</f>
        <v>127</v>
      </c>
      <c r="AB2170" s="14">
        <f>IF($J2170=0,0,ROUND(MAX($J2170*1.4*1.5*1.6*1.6*2.2*2.715*2.6*1.4*1.4,8430000000*(1.651435^(MIN($E2170,123)-117)))*1,0))</f>
        <v>92272909</v>
      </c>
      <c r="AC2170" s="11">
        <f>$E2170+21</f>
        <v>129</v>
      </c>
      <c r="AD2170" s="12">
        <f>IF($J2170=0,0,ROUND(MAX($J2170*1.4*1.5*1.6*1.6*2.2*2.715*2.6*1.4*1.4*1.5,12600000000*(1.652953^(MIN($E2170,123)-117)))*1,0))</f>
        <v>136781071</v>
      </c>
      <c r="AE2170" s="13">
        <f>$E2170+24</f>
        <v>132</v>
      </c>
      <c r="AF2170" s="14">
        <f>IF($J2170=0,0,ROUND(MAX($J2170*1.4*1.5*1.6*1.6*2.2*2.715*2.6*1.4*1.4*1.5*1.5,18900000000*(1.65331^(MIN($E2170,123)-117)))*1,0))</f>
        <v>204773225</v>
      </c>
      <c r="AG2170" s="11">
        <f>$E2170+27</f>
        <v>135</v>
      </c>
      <c r="AH2170" s="12">
        <f>IF($J2170=0,0,ROUND(MAX($J2170*1.4*1.5*1.6*1.6*2.2*2.715*2.6*1.4*1.4*1.5*1.5*3.2,60500000000*(1.654288^(MIN($E2170,123)-117)))*1,0))</f>
        <v>652011566</v>
      </c>
    </row>
    <row r="2171" ht="28" customHeight="1" spans="1:34" x14ac:dyDescent="0.25">
      <c r="A2171">
        <v>2181</v>
      </c>
      <c r="B2171" t="s">
        <v>1305</v>
      </c>
      <c r="C2171" s="10" t="s">
        <v>1278</v>
      </c>
      <c r="D2171" t="s">
        <v>102</v>
      </c>
      <c r="E2171">
        <v>108</v>
      </c>
      <c r="F2171" t="s">
        <v>144</v>
      </c>
      <c r="G2171" t="s">
        <v>126</v>
      </c>
      <c r="H2171">
        <v>24</v>
      </c>
      <c r="I2171" s="11">
        <f>$E2171+0</f>
        <v>108</v>
      </c>
      <c r="J2171" s="12">
        <v>68400</v>
      </c>
      <c r="K2171" s="13">
        <f>$E2171+1</f>
        <v>109</v>
      </c>
      <c r="L2171" s="14">
        <f>IF($J2171=0,0,ROUND(MAX($J2171*1.4,1620000*(1.497923^(MIN($E2171,123)-117)))*1,0))</f>
        <v>95760</v>
      </c>
      <c r="M2171" s="11">
        <f>$E2171+2</f>
        <v>110</v>
      </c>
      <c r="N2171" s="12">
        <f>IF($J2171=0,0,ROUND(MAX($J2171*1.4*1.5,2190000*(1.580994^(MIN($E2171,123)-117)))*1,0))</f>
        <v>143640</v>
      </c>
      <c r="O2171" s="13">
        <f>$E2171+4</f>
        <v>112</v>
      </c>
      <c r="P2171" s="14">
        <f>IF($J2171=0,0,ROUND(MAX($J2171*1.4*1.5*1.6,3500000*(1.57975^(MIN($E2171,123)-117)))*1,0))</f>
        <v>229824</v>
      </c>
      <c r="Q2171" s="11">
        <f>$E2171+6</f>
        <v>114</v>
      </c>
      <c r="R2171" s="12">
        <f>IF($J2171=0,0,ROUND(MAX($J2171*1.4*1.5*1.6*1.6,13100000*(1.429962^(MIN($E2171,123)-117)))*1,0))</f>
        <v>524024</v>
      </c>
      <c r="S2171" s="13">
        <f>$E2171+8</f>
        <v>116</v>
      </c>
      <c r="T2171" s="14">
        <f>IF($J2171=0,0,ROUND(MAX($J2171*1.4*1.5*1.6*1.6*2.2,42600000*(1.576904^(MIN($E2171,123)-117)))*1,0))</f>
        <v>808980</v>
      </c>
      <c r="U2171" s="11">
        <f>$E2171+11</f>
        <v>119</v>
      </c>
      <c r="V2171" s="12">
        <f>IF($J2171=0,0,ROUND(MAX($J2171*1.4*1.5*1.6*1.6*2.2*2.715,354000000*(1.642074^(MIN($E2171,123)-117)))*1,0))</f>
        <v>4078202</v>
      </c>
      <c r="W2171" s="13">
        <f>$E2171+15</f>
        <v>123</v>
      </c>
      <c r="X2171" s="14">
        <f>IF($J2171=0,0,ROUND(MAX($J2171*1.4*1.5*1.6*1.6*2.2*2.715*2.6,3540000000*(1.579646^(MIN($E2171,123)-117)))*1,0))</f>
        <v>57804988</v>
      </c>
      <c r="Y2171" s="11">
        <f>$E2171+17</f>
        <v>125</v>
      </c>
      <c r="Z2171" s="12">
        <f>IF($J2171=0,0,ROUND(MAX($J2171*1.4*1.5*1.6*1.6*2.2*2.715*2.6*1.4,6020000000*(1.651178^(MIN($E2171,123)-117)))*1,0))</f>
        <v>65985946</v>
      </c>
      <c r="AA2171" s="13">
        <f>$E2171+19</f>
        <v>127</v>
      </c>
      <c r="AB2171" s="14">
        <f>IF($J2171=0,0,ROUND(MAX($J2171*1.4*1.5*1.6*1.6*2.2*2.715*2.6*1.4*1.4,8430000000*(1.651435^(MIN($E2171,123)-117)))*1,0))</f>
        <v>92272909</v>
      </c>
      <c r="AC2171" s="11">
        <f>$E2171+21</f>
        <v>129</v>
      </c>
      <c r="AD2171" s="12">
        <f>IF($J2171=0,0,ROUND(MAX($J2171*1.4*1.5*1.6*1.6*2.2*2.715*2.6*1.4*1.4*1.5,12600000000*(1.652953^(MIN($E2171,123)-117)))*1,0))</f>
        <v>136781071</v>
      </c>
      <c r="AE2171" s="13">
        <f>$E2171+24</f>
        <v>132</v>
      </c>
      <c r="AF2171" s="14">
        <f>IF($J2171=0,0,ROUND(MAX($J2171*1.4*1.5*1.6*1.6*2.2*2.715*2.6*1.4*1.4*1.5*1.5,18900000000*(1.65331^(MIN($E2171,123)-117)))*1,0))</f>
        <v>204773225</v>
      </c>
      <c r="AG2171" s="11">
        <f>$E2171+27</f>
        <v>135</v>
      </c>
      <c r="AH2171" s="12">
        <f>IF($J2171=0,0,ROUND(MAX($J2171*1.4*1.5*1.6*1.6*2.2*2.715*2.6*1.4*1.4*1.5*1.5*3.2,60500000000*(1.654288^(MIN($E2171,123)-117)))*1,0))</f>
        <v>652011566</v>
      </c>
    </row>
    <row r="2172" ht="28" customHeight="1" spans="1:34" x14ac:dyDescent="0.25">
      <c r="A2172">
        <v>2182</v>
      </c>
      <c r="B2172" t="s">
        <v>1306</v>
      </c>
      <c r="C2172" s="10" t="s">
        <v>1278</v>
      </c>
      <c r="D2172" t="s">
        <v>45</v>
      </c>
      <c r="E2172">
        <v>108</v>
      </c>
      <c r="F2172" t="s">
        <v>30</v>
      </c>
      <c r="G2172" t="s">
        <v>801</v>
      </c>
      <c r="H2172">
        <v>24</v>
      </c>
      <c r="I2172" s="11">
        <f>$E2172+0</f>
        <v>108</v>
      </c>
      <c r="J2172" s="12">
        <v>66300</v>
      </c>
      <c r="K2172" s="13">
        <f>$E2172+1</f>
        <v>109</v>
      </c>
      <c r="L2172" s="14">
        <f>IF($J2172=0,0,ROUND(MAX($J2172*1.4,1620000*(1.497923^(MIN($E2172,123)-117)))*1,0))</f>
        <v>92820</v>
      </c>
      <c r="M2172" s="11">
        <f>$E2172+2</f>
        <v>110</v>
      </c>
      <c r="N2172" s="12">
        <f>IF($J2172=0,0,ROUND(MAX($J2172*1.4*1.5,2190000*(1.580994^(MIN($E2172,123)-117)))*1,0))</f>
        <v>139230</v>
      </c>
      <c r="O2172" s="13">
        <f>$E2172+4</f>
        <v>112</v>
      </c>
      <c r="P2172" s="14">
        <f>IF($J2172=0,0,ROUND(MAX($J2172*1.4*1.5*1.6,3500000*(1.57975^(MIN($E2172,123)-117)))*1,0))</f>
        <v>222768</v>
      </c>
      <c r="Q2172" s="11">
        <f>$E2172+6</f>
        <v>114</v>
      </c>
      <c r="R2172" s="12">
        <f>IF($J2172=0,0,ROUND(MAX($J2172*1.4*1.5*1.6*1.6,13100000*(1.429962^(MIN($E2172,123)-117)))*1,0))</f>
        <v>524024</v>
      </c>
      <c r="S2172" s="13">
        <f>$E2172+8</f>
        <v>116</v>
      </c>
      <c r="T2172" s="14">
        <f>IF($J2172=0,0,ROUND(MAX($J2172*1.4*1.5*1.6*1.6*2.2,42600000*(1.576904^(MIN($E2172,123)-117)))*1,0))</f>
        <v>784143</v>
      </c>
      <c r="U2172" s="11">
        <f>$E2172+11</f>
        <v>119</v>
      </c>
      <c r="V2172" s="12">
        <f>IF($J2172=0,0,ROUND(MAX($J2172*1.4*1.5*1.6*1.6*2.2*2.715,354000000*(1.642074^(MIN($E2172,123)-117)))*1,0))</f>
        <v>4078202</v>
      </c>
      <c r="W2172" s="13">
        <f>$E2172+15</f>
        <v>123</v>
      </c>
      <c r="X2172" s="14">
        <f>IF($J2172=0,0,ROUND(MAX($J2172*1.4*1.5*1.6*1.6*2.2*2.715*2.6,3540000000*(1.579646^(MIN($E2172,123)-117)))*1,0))</f>
        <v>57804988</v>
      </c>
      <c r="Y2172" s="11">
        <f>$E2172+17</f>
        <v>125</v>
      </c>
      <c r="Z2172" s="12">
        <f>IF($J2172=0,0,ROUND(MAX($J2172*1.4*1.5*1.6*1.6*2.2*2.715*2.6*1.4,6020000000*(1.651178^(MIN($E2172,123)-117)))*1,0))</f>
        <v>65985946</v>
      </c>
      <c r="AA2172" s="13">
        <f>$E2172+19</f>
        <v>127</v>
      </c>
      <c r="AB2172" s="14">
        <f>IF($J2172=0,0,ROUND(MAX($J2172*1.4*1.5*1.6*1.6*2.2*2.715*2.6*1.4*1.4,8430000000*(1.651435^(MIN($E2172,123)-117)))*1,0))</f>
        <v>92272909</v>
      </c>
      <c r="AC2172" s="11">
        <f>$E2172+21</f>
        <v>129</v>
      </c>
      <c r="AD2172" s="12">
        <f>IF($J2172=0,0,ROUND(MAX($J2172*1.4*1.5*1.6*1.6*2.2*2.715*2.6*1.4*1.4*1.5,12600000000*(1.652953^(MIN($E2172,123)-117)))*1,0))</f>
        <v>136781071</v>
      </c>
      <c r="AE2172" s="13">
        <f>$E2172+24</f>
        <v>132</v>
      </c>
      <c r="AF2172" s="14">
        <f>IF($J2172=0,0,ROUND(MAX($J2172*1.4*1.5*1.6*1.6*2.2*2.715*2.6*1.4*1.4*1.5*1.5,18900000000*(1.65331^(MIN($E2172,123)-117)))*1,0))</f>
        <v>204773225</v>
      </c>
      <c r="AG2172" s="11">
        <f>$E2172+27</f>
        <v>135</v>
      </c>
      <c r="AH2172" s="12">
        <f>IF($J2172=0,0,ROUND(MAX($J2172*1.4*1.5*1.6*1.6*2.2*2.715*2.6*1.4*1.4*1.5*1.5*3.2,60500000000*(1.654288^(MIN($E2172,123)-117)))*1,0))</f>
        <v>652011566</v>
      </c>
    </row>
    <row r="2173" ht="28" customHeight="1" spans="1:34" x14ac:dyDescent="0.25">
      <c r="A2173">
        <v>2183</v>
      </c>
      <c r="B2173" t="s">
        <v>1307</v>
      </c>
      <c r="C2173" s="10" t="s">
        <v>1278</v>
      </c>
      <c r="D2173" t="s">
        <v>45</v>
      </c>
      <c r="E2173">
        <v>108</v>
      </c>
      <c r="F2173" t="s">
        <v>71</v>
      </c>
      <c r="G2173" t="s">
        <v>319</v>
      </c>
      <c r="H2173">
        <v>24</v>
      </c>
      <c r="I2173" s="11">
        <f>$E2173+0</f>
        <v>108</v>
      </c>
      <c r="J2173" s="12">
        <v>82100</v>
      </c>
      <c r="K2173" s="13">
        <f>$E2173+1</f>
        <v>109</v>
      </c>
      <c r="L2173" s="14">
        <f>IF($J2173=0,0,ROUND(MAX($J2173*1.4,1620000*(1.497923^(MIN($E2173,123)-117)))*1,0))</f>
        <v>114940</v>
      </c>
      <c r="M2173" s="11">
        <f>$E2173+2</f>
        <v>110</v>
      </c>
      <c r="N2173" s="12">
        <f>IF($J2173=0,0,ROUND(MAX($J2173*1.4*1.5,2190000*(1.580994^(MIN($E2173,123)-117)))*1,0))</f>
        <v>172410</v>
      </c>
      <c r="O2173" s="13">
        <f>$E2173+4</f>
        <v>112</v>
      </c>
      <c r="P2173" s="14">
        <f>IF($J2173=0,0,ROUND(MAX($J2173*1.4*1.5*1.6,3500000*(1.57975^(MIN($E2173,123)-117)))*1,0))</f>
        <v>275856</v>
      </c>
      <c r="Q2173" s="11">
        <f>$E2173+6</f>
        <v>114</v>
      </c>
      <c r="R2173" s="12">
        <f>IF($J2173=0,0,ROUND(MAX($J2173*1.4*1.5*1.6*1.6,13100000*(1.429962^(MIN($E2173,123)-117)))*1,0))</f>
        <v>524024</v>
      </c>
      <c r="S2173" s="13">
        <f>$E2173+8</f>
        <v>116</v>
      </c>
      <c r="T2173" s="14">
        <f>IF($J2173=0,0,ROUND(MAX($J2173*1.4*1.5*1.6*1.6*2.2,42600000*(1.576904^(MIN($E2173,123)-117)))*1,0))</f>
        <v>971013</v>
      </c>
      <c r="U2173" s="11">
        <f>$E2173+11</f>
        <v>119</v>
      </c>
      <c r="V2173" s="12">
        <f>IF($J2173=0,0,ROUND(MAX($J2173*1.4*1.5*1.6*1.6*2.2*2.715,354000000*(1.642074^(MIN($E2173,123)-117)))*1,0))</f>
        <v>4078202</v>
      </c>
      <c r="W2173" s="13">
        <f>$E2173+15</f>
        <v>123</v>
      </c>
      <c r="X2173" s="14">
        <f>IF($J2173=0,0,ROUND(MAX($J2173*1.4*1.5*1.6*1.6*2.2*2.715*2.6,3540000000*(1.579646^(MIN($E2173,123)-117)))*1,0))</f>
        <v>57804988</v>
      </c>
      <c r="Y2173" s="11">
        <f>$E2173+17</f>
        <v>125</v>
      </c>
      <c r="Z2173" s="12">
        <f>IF($J2173=0,0,ROUND(MAX($J2173*1.4*1.5*1.6*1.6*2.2*2.715*2.6*1.4,6020000000*(1.651178^(MIN($E2173,123)-117)))*1,0))</f>
        <v>65985946</v>
      </c>
      <c r="AA2173" s="13">
        <f>$E2173+19</f>
        <v>127</v>
      </c>
      <c r="AB2173" s="14">
        <f>IF($J2173=0,0,ROUND(MAX($J2173*1.4*1.5*1.6*1.6*2.2*2.715*2.6*1.4*1.4,8430000000*(1.651435^(MIN($E2173,123)-117)))*1,0))</f>
        <v>92272909</v>
      </c>
      <c r="AC2173" s="11">
        <f>$E2173+21</f>
        <v>129</v>
      </c>
      <c r="AD2173" s="12">
        <f>IF($J2173=0,0,ROUND(MAX($J2173*1.4*1.5*1.6*1.6*2.2*2.715*2.6*1.4*1.4*1.5,12600000000*(1.652953^(MIN($E2173,123)-117)))*1,0))</f>
        <v>136781071</v>
      </c>
      <c r="AE2173" s="13">
        <f>$E2173+24</f>
        <v>132</v>
      </c>
      <c r="AF2173" s="14">
        <f>IF($J2173=0,0,ROUND(MAX($J2173*1.4*1.5*1.6*1.6*2.2*2.715*2.6*1.4*1.4*1.5*1.5,18900000000*(1.65331^(MIN($E2173,123)-117)))*1,0))</f>
        <v>204773225</v>
      </c>
      <c r="AG2173" s="11">
        <f>$E2173+27</f>
        <v>135</v>
      </c>
      <c r="AH2173" s="12">
        <f>IF($J2173=0,0,ROUND(MAX($J2173*1.4*1.5*1.6*1.6*2.2*2.715*2.6*1.4*1.4*1.5*1.5*3.2,60500000000*(1.654288^(MIN($E2173,123)-117)))*1,0))</f>
        <v>652011566</v>
      </c>
    </row>
    <row r="2174" ht="28" customHeight="1" spans="1:34" x14ac:dyDescent="0.25">
      <c r="A2174">
        <v>2184</v>
      </c>
      <c r="B2174" t="s">
        <v>1308</v>
      </c>
      <c r="C2174" s="10" t="s">
        <v>1278</v>
      </c>
      <c r="D2174" t="s">
        <v>64</v>
      </c>
      <c r="E2174">
        <v>108</v>
      </c>
      <c r="F2174" t="s">
        <v>62</v>
      </c>
      <c r="G2174" t="s">
        <v>565</v>
      </c>
      <c r="H2174">
        <v>24</v>
      </c>
      <c r="I2174" s="11">
        <f>$E2174+0</f>
        <v>108</v>
      </c>
      <c r="J2174" s="12">
        <v>99600</v>
      </c>
      <c r="K2174" s="13">
        <f>$E2174+1</f>
        <v>109</v>
      </c>
      <c r="L2174" s="14">
        <f>IF($J2174=0,0,ROUND(MAX($J2174*1.4,1620000*(1.497923^(MIN($E2174,123)-117)))*1,0))</f>
        <v>139440</v>
      </c>
      <c r="M2174" s="11">
        <f>$E2174+2</f>
        <v>110</v>
      </c>
      <c r="N2174" s="12">
        <f>IF($J2174=0,0,ROUND(MAX($J2174*1.4*1.5,2190000*(1.580994^(MIN($E2174,123)-117)))*1,0))</f>
        <v>209160</v>
      </c>
      <c r="O2174" s="13">
        <f>$E2174+4</f>
        <v>112</v>
      </c>
      <c r="P2174" s="14">
        <f>IF($J2174=0,0,ROUND(MAX($J2174*1.4*1.5*1.6,3500000*(1.57975^(MIN($E2174,123)-117)))*1,0))</f>
        <v>334656</v>
      </c>
      <c r="Q2174" s="11">
        <f>$E2174+6</f>
        <v>114</v>
      </c>
      <c r="R2174" s="12">
        <f>IF($J2174=0,0,ROUND(MAX($J2174*1.4*1.5*1.6*1.6,13100000*(1.429962^(MIN($E2174,123)-117)))*1,0))</f>
        <v>535450</v>
      </c>
      <c r="S2174" s="13">
        <f>$E2174+8</f>
        <v>116</v>
      </c>
      <c r="T2174" s="14">
        <f>IF($J2174=0,0,ROUND(MAX($J2174*1.4*1.5*1.6*1.6*2.2,42600000*(1.576904^(MIN($E2174,123)-117)))*1,0))</f>
        <v>1177989</v>
      </c>
      <c r="U2174" s="11">
        <f>$E2174+11</f>
        <v>119</v>
      </c>
      <c r="V2174" s="12">
        <f>IF($J2174=0,0,ROUND(MAX($J2174*1.4*1.5*1.6*1.6*2.2*2.715,354000000*(1.642074^(MIN($E2174,123)-117)))*1,0))</f>
        <v>4078202</v>
      </c>
      <c r="W2174" s="13">
        <f>$E2174+15</f>
        <v>123</v>
      </c>
      <c r="X2174" s="14">
        <f>IF($J2174=0,0,ROUND(MAX($J2174*1.4*1.5*1.6*1.6*2.2*2.715*2.6,3540000000*(1.579646^(MIN($E2174,123)-117)))*1,0))</f>
        <v>57804988</v>
      </c>
      <c r="Y2174" s="11">
        <f>$E2174+17</f>
        <v>125</v>
      </c>
      <c r="Z2174" s="12">
        <f>IF($J2174=0,0,ROUND(MAX($J2174*1.4*1.5*1.6*1.6*2.2*2.715*2.6*1.4,6020000000*(1.651178^(MIN($E2174,123)-117)))*1,0))</f>
        <v>65985946</v>
      </c>
      <c r="AA2174" s="13">
        <f>$E2174+19</f>
        <v>127</v>
      </c>
      <c r="AB2174" s="14">
        <f>IF($J2174=0,0,ROUND(MAX($J2174*1.4*1.5*1.6*1.6*2.2*2.715*2.6*1.4*1.4,8430000000*(1.651435^(MIN($E2174,123)-117)))*1,0))</f>
        <v>92272909</v>
      </c>
      <c r="AC2174" s="11">
        <f>$E2174+21</f>
        <v>129</v>
      </c>
      <c r="AD2174" s="12">
        <f>IF($J2174=0,0,ROUND(MAX($J2174*1.4*1.5*1.6*1.6*2.2*2.715*2.6*1.4*1.4*1.5,12600000000*(1.652953^(MIN($E2174,123)-117)))*1,0))</f>
        <v>136781071</v>
      </c>
      <c r="AE2174" s="13">
        <f>$E2174+24</f>
        <v>132</v>
      </c>
      <c r="AF2174" s="14">
        <f>IF($J2174=0,0,ROUND(MAX($J2174*1.4*1.5*1.6*1.6*2.2*2.715*2.6*1.4*1.4*1.5*1.5,18900000000*(1.65331^(MIN($E2174,123)-117)))*1,0))</f>
        <v>204773225</v>
      </c>
      <c r="AG2174" s="11">
        <f>$E2174+27</f>
        <v>135</v>
      </c>
      <c r="AH2174" s="12">
        <f>IF($J2174=0,0,ROUND(MAX($J2174*1.4*1.5*1.6*1.6*2.2*2.715*2.6*1.4*1.4*1.5*1.5*3.2,60500000000*(1.654288^(MIN($E2174,123)-117)))*1,0))</f>
        <v>652011566</v>
      </c>
    </row>
    <row r="2175" ht="28" customHeight="1" spans="1:34" x14ac:dyDescent="0.25">
      <c r="A2175">
        <v>2185</v>
      </c>
      <c r="B2175" t="s">
        <v>894</v>
      </c>
      <c r="C2175" s="10" t="s">
        <v>1278</v>
      </c>
      <c r="D2175" t="s">
        <v>64</v>
      </c>
      <c r="E2175">
        <v>108</v>
      </c>
      <c r="F2175" t="s">
        <v>225</v>
      </c>
      <c r="G2175" t="s">
        <v>1284</v>
      </c>
      <c r="H2175">
        <v>24</v>
      </c>
      <c r="I2175" s="11">
        <f>$E2175+0</f>
        <v>108</v>
      </c>
      <c r="J2175" s="12">
        <v>94700</v>
      </c>
      <c r="K2175" s="13">
        <f>$E2175+1</f>
        <v>109</v>
      </c>
      <c r="L2175" s="14">
        <f>IF($J2175=0,0,ROUND(MAX($J2175*1.4,1620000*(1.497923^(MIN($E2175,123)-117)))*1,0))</f>
        <v>132580</v>
      </c>
      <c r="M2175" s="11">
        <f>$E2175+2</f>
        <v>110</v>
      </c>
      <c r="N2175" s="12">
        <f>IF($J2175=0,0,ROUND(MAX($J2175*1.4*1.5,2190000*(1.580994^(MIN($E2175,123)-117)))*1,0))</f>
        <v>198870</v>
      </c>
      <c r="O2175" s="13">
        <f>$E2175+4</f>
        <v>112</v>
      </c>
      <c r="P2175" s="14">
        <f>IF($J2175=0,0,ROUND(MAX($J2175*1.4*1.5*1.6,3500000*(1.57975^(MIN($E2175,123)-117)))*1,0))</f>
        <v>318192</v>
      </c>
      <c r="Q2175" s="11">
        <f>$E2175+6</f>
        <v>114</v>
      </c>
      <c r="R2175" s="12">
        <f>IF($J2175=0,0,ROUND(MAX($J2175*1.4*1.5*1.6*1.6,13100000*(1.429962^(MIN($E2175,123)-117)))*1,0))</f>
        <v>524024</v>
      </c>
      <c r="S2175" s="13">
        <f>$E2175+8</f>
        <v>116</v>
      </c>
      <c r="T2175" s="14">
        <f>IF($J2175=0,0,ROUND(MAX($J2175*1.4*1.5*1.6*1.6*2.2,42600000*(1.576904^(MIN($E2175,123)-117)))*1,0))</f>
        <v>1120036</v>
      </c>
      <c r="U2175" s="11">
        <f>$E2175+11</f>
        <v>119</v>
      </c>
      <c r="V2175" s="12">
        <f>IF($J2175=0,0,ROUND(MAX($J2175*1.4*1.5*1.6*1.6*2.2*2.715,354000000*(1.642074^(MIN($E2175,123)-117)))*1,0))</f>
        <v>4078202</v>
      </c>
      <c r="W2175" s="13">
        <f>$E2175+15</f>
        <v>123</v>
      </c>
      <c r="X2175" s="14">
        <f>IF($J2175=0,0,ROUND(MAX($J2175*1.4*1.5*1.6*1.6*2.2*2.715*2.6,3540000000*(1.579646^(MIN($E2175,123)-117)))*1,0))</f>
        <v>57804988</v>
      </c>
      <c r="Y2175" s="11">
        <f>$E2175+17</f>
        <v>125</v>
      </c>
      <c r="Z2175" s="12">
        <f>IF($J2175=0,0,ROUND(MAX($J2175*1.4*1.5*1.6*1.6*2.2*2.715*2.6*1.4,6020000000*(1.651178^(MIN($E2175,123)-117)))*1,0))</f>
        <v>65985946</v>
      </c>
      <c r="AA2175" s="13">
        <f>$E2175+19</f>
        <v>127</v>
      </c>
      <c r="AB2175" s="14">
        <f>IF($J2175=0,0,ROUND(MAX($J2175*1.4*1.5*1.6*1.6*2.2*2.715*2.6*1.4*1.4,8430000000*(1.651435^(MIN($E2175,123)-117)))*1,0))</f>
        <v>92272909</v>
      </c>
      <c r="AC2175" s="11">
        <f>$E2175+21</f>
        <v>129</v>
      </c>
      <c r="AD2175" s="12">
        <f>IF($J2175=0,0,ROUND(MAX($J2175*1.4*1.5*1.6*1.6*2.2*2.715*2.6*1.4*1.4*1.5,12600000000*(1.652953^(MIN($E2175,123)-117)))*1,0))</f>
        <v>136781071</v>
      </c>
      <c r="AE2175" s="13">
        <f>$E2175+24</f>
        <v>132</v>
      </c>
      <c r="AF2175" s="14">
        <f>IF($J2175=0,0,ROUND(MAX($J2175*1.4*1.5*1.6*1.6*2.2*2.715*2.6*1.4*1.4*1.5*1.5,18900000000*(1.65331^(MIN($E2175,123)-117)))*1,0))</f>
        <v>204773225</v>
      </c>
      <c r="AG2175" s="11">
        <f>$E2175+27</f>
        <v>135</v>
      </c>
      <c r="AH2175" s="12">
        <f>IF($J2175=0,0,ROUND(MAX($J2175*1.4*1.5*1.6*1.6*2.2*2.715*2.6*1.4*1.4*1.5*1.5*3.2,60500000000*(1.654288^(MIN($E2175,123)-117)))*1,0))</f>
        <v>652011566</v>
      </c>
    </row>
    <row r="2176" ht="28" customHeight="1" spans="1:34" x14ac:dyDescent="0.25">
      <c r="A2176">
        <v>2186</v>
      </c>
      <c r="B2176" t="s">
        <v>1267</v>
      </c>
      <c r="C2176" s="10" t="s">
        <v>1278</v>
      </c>
      <c r="D2176" t="s">
        <v>75</v>
      </c>
      <c r="E2176">
        <v>108</v>
      </c>
      <c r="F2176" t="s">
        <v>71</v>
      </c>
      <c r="G2176" t="s">
        <v>206</v>
      </c>
      <c r="H2176">
        <v>24</v>
      </c>
      <c r="I2176" s="11">
        <f>$E2176+0</f>
        <v>108</v>
      </c>
      <c r="J2176" s="12">
        <v>74600</v>
      </c>
      <c r="K2176" s="13">
        <f>$E2176+1</f>
        <v>109</v>
      </c>
      <c r="L2176" s="14">
        <f>IF($J2176=0,0,ROUND(MAX($J2176*1.4,1620000*(1.497923^(MIN($E2176,123)-117)))*1,0))</f>
        <v>104440</v>
      </c>
      <c r="M2176" s="11">
        <f>$E2176+2</f>
        <v>110</v>
      </c>
      <c r="N2176" s="12">
        <f>IF($J2176=0,0,ROUND(MAX($J2176*1.4*1.5,2190000*(1.580994^(MIN($E2176,123)-117)))*1,0))</f>
        <v>156660</v>
      </c>
      <c r="O2176" s="13">
        <f>$E2176+4</f>
        <v>112</v>
      </c>
      <c r="P2176" s="14">
        <f>IF($J2176=0,0,ROUND(MAX($J2176*1.4*1.5*1.6,3500000*(1.57975^(MIN($E2176,123)-117)))*1,0))</f>
        <v>250656</v>
      </c>
      <c r="Q2176" s="11">
        <f>$E2176+6</f>
        <v>114</v>
      </c>
      <c r="R2176" s="12">
        <f>IF($J2176=0,0,ROUND(MAX($J2176*1.4*1.5*1.6*1.6,13100000*(1.429962^(MIN($E2176,123)-117)))*1,0))</f>
        <v>524024</v>
      </c>
      <c r="S2176" s="13">
        <f>$E2176+8</f>
        <v>116</v>
      </c>
      <c r="T2176" s="14">
        <f>IF($J2176=0,0,ROUND(MAX($J2176*1.4*1.5*1.6*1.6*2.2,42600000*(1.576904^(MIN($E2176,123)-117)))*1,0))</f>
        <v>882309</v>
      </c>
      <c r="U2176" s="11">
        <f>$E2176+11</f>
        <v>119</v>
      </c>
      <c r="V2176" s="12">
        <f>IF($J2176=0,0,ROUND(MAX($J2176*1.4*1.5*1.6*1.6*2.2*2.715,354000000*(1.642074^(MIN($E2176,123)-117)))*1,0))</f>
        <v>4078202</v>
      </c>
      <c r="W2176" s="13">
        <f>$E2176+15</f>
        <v>123</v>
      </c>
      <c r="X2176" s="14">
        <f>IF($J2176=0,0,ROUND(MAX($J2176*1.4*1.5*1.6*1.6*2.2*2.715*2.6,3540000000*(1.579646^(MIN($E2176,123)-117)))*1,0))</f>
        <v>57804988</v>
      </c>
      <c r="Y2176" s="11">
        <f>$E2176+17</f>
        <v>125</v>
      </c>
      <c r="Z2176" s="12">
        <f>IF($J2176=0,0,ROUND(MAX($J2176*1.4*1.5*1.6*1.6*2.2*2.715*2.6*1.4,6020000000*(1.651178^(MIN($E2176,123)-117)))*1,0))</f>
        <v>65985946</v>
      </c>
      <c r="AA2176" s="13">
        <f>$E2176+19</f>
        <v>127</v>
      </c>
      <c r="AB2176" s="14">
        <f>IF($J2176=0,0,ROUND(MAX($J2176*1.4*1.5*1.6*1.6*2.2*2.715*2.6*1.4*1.4,8430000000*(1.651435^(MIN($E2176,123)-117)))*1,0))</f>
        <v>92272909</v>
      </c>
      <c r="AC2176" s="11">
        <f>$E2176+21</f>
        <v>129</v>
      </c>
      <c r="AD2176" s="12">
        <f>IF($J2176=0,0,ROUND(MAX($J2176*1.4*1.5*1.6*1.6*2.2*2.715*2.6*1.4*1.4*1.5,12600000000*(1.652953^(MIN($E2176,123)-117)))*1,0))</f>
        <v>136781071</v>
      </c>
      <c r="AE2176" s="13">
        <f>$E2176+24</f>
        <v>132</v>
      </c>
      <c r="AF2176" s="14">
        <f>IF($J2176=0,0,ROUND(MAX($J2176*1.4*1.5*1.6*1.6*2.2*2.715*2.6*1.4*1.4*1.5*1.5,18900000000*(1.65331^(MIN($E2176,123)-117)))*1,0))</f>
        <v>204773225</v>
      </c>
      <c r="AG2176" s="11">
        <f>$E2176+27</f>
        <v>135</v>
      </c>
      <c r="AH2176" s="12">
        <f>IF($J2176=0,0,ROUND(MAX($J2176*1.4*1.5*1.6*1.6*2.2*2.715*2.6*1.4*1.4*1.5*1.5*3.2,60500000000*(1.654288^(MIN($E2176,123)-117)))*1,0))</f>
        <v>652011566</v>
      </c>
    </row>
    <row r="2177" ht="28" customHeight="1" spans="1:34" x14ac:dyDescent="0.25">
      <c r="A2177">
        <v>2187</v>
      </c>
      <c r="B2177" t="s">
        <v>1309</v>
      </c>
      <c r="C2177" s="10" t="s">
        <v>1278</v>
      </c>
      <c r="D2177" t="s">
        <v>40</v>
      </c>
      <c r="E2177">
        <v>108</v>
      </c>
      <c r="F2177" t="s">
        <v>400</v>
      </c>
      <c r="G2177" t="s">
        <v>1310</v>
      </c>
      <c r="H2177">
        <v>24</v>
      </c>
      <c r="I2177" s="11">
        <f>$E2177+0</f>
        <v>108</v>
      </c>
      <c r="J2177" s="12">
        <v>59000</v>
      </c>
      <c r="K2177" s="13">
        <f>$E2177+1</f>
        <v>109</v>
      </c>
      <c r="L2177" s="14">
        <f>IF($J2177=0,0,ROUND(MAX($J2177*1.4,1620000*(1.497923^(MIN($E2177,123)-117)))*1,0))</f>
        <v>82600</v>
      </c>
      <c r="M2177" s="11">
        <f>$E2177+2</f>
        <v>110</v>
      </c>
      <c r="N2177" s="12">
        <f>IF($J2177=0,0,ROUND(MAX($J2177*1.4*1.5,2190000*(1.580994^(MIN($E2177,123)-117)))*1,0))</f>
        <v>123900</v>
      </c>
      <c r="O2177" s="13">
        <f>$E2177+4</f>
        <v>112</v>
      </c>
      <c r="P2177" s="14">
        <f>IF($J2177=0,0,ROUND(MAX($J2177*1.4*1.5*1.6,3500000*(1.57975^(MIN($E2177,123)-117)))*1,0))</f>
        <v>198240</v>
      </c>
      <c r="Q2177" s="11">
        <f>$E2177+6</f>
        <v>114</v>
      </c>
      <c r="R2177" s="12">
        <f>IF($J2177=0,0,ROUND(MAX($J2177*1.4*1.5*1.6*1.6,13100000*(1.429962^(MIN($E2177,123)-117)))*1,0))</f>
        <v>524024</v>
      </c>
      <c r="S2177" s="13">
        <f>$E2177+8</f>
        <v>116</v>
      </c>
      <c r="T2177" s="14">
        <f>IF($J2177=0,0,ROUND(MAX($J2177*1.4*1.5*1.6*1.6*2.2,42600000*(1.576904^(MIN($E2177,123)-117)))*1,0))</f>
        <v>706582</v>
      </c>
      <c r="U2177" s="11">
        <f>$E2177+11</f>
        <v>119</v>
      </c>
      <c r="V2177" s="12">
        <f>IF($J2177=0,0,ROUND(MAX($J2177*1.4*1.5*1.6*1.6*2.2*2.715,354000000*(1.642074^(MIN($E2177,123)-117)))*1,0))</f>
        <v>4078202</v>
      </c>
      <c r="W2177" s="13">
        <f>$E2177+15</f>
        <v>123</v>
      </c>
      <c r="X2177" s="14">
        <f>IF($J2177=0,0,ROUND(MAX($J2177*1.4*1.5*1.6*1.6*2.2*2.715*2.6,3540000000*(1.579646^(MIN($E2177,123)-117)))*1,0))</f>
        <v>57804988</v>
      </c>
      <c r="Y2177" s="11">
        <f>$E2177+17</f>
        <v>125</v>
      </c>
      <c r="Z2177" s="12">
        <f>IF($J2177=0,0,ROUND(MAX($J2177*1.4*1.5*1.6*1.6*2.2*2.715*2.6*1.4,6020000000*(1.651178^(MIN($E2177,123)-117)))*1,0))</f>
        <v>65985946</v>
      </c>
      <c r="AA2177" s="13">
        <f>$E2177+19</f>
        <v>127</v>
      </c>
      <c r="AB2177" s="14">
        <f>IF($J2177=0,0,ROUND(MAX($J2177*1.4*1.5*1.6*1.6*2.2*2.715*2.6*1.4*1.4,8430000000*(1.651435^(MIN($E2177,123)-117)))*1,0))</f>
        <v>92272909</v>
      </c>
      <c r="AC2177" s="11">
        <f>$E2177+21</f>
        <v>129</v>
      </c>
      <c r="AD2177" s="12">
        <f>IF($J2177=0,0,ROUND(MAX($J2177*1.4*1.5*1.6*1.6*2.2*2.715*2.6*1.4*1.4*1.5,12600000000*(1.652953^(MIN($E2177,123)-117)))*1,0))</f>
        <v>136781071</v>
      </c>
      <c r="AE2177" s="13">
        <f>$E2177+24</f>
        <v>132</v>
      </c>
      <c r="AF2177" s="14">
        <f>IF($J2177=0,0,ROUND(MAX($J2177*1.4*1.5*1.6*1.6*2.2*2.715*2.6*1.4*1.4*1.5*1.5,18900000000*(1.65331^(MIN($E2177,123)-117)))*1,0))</f>
        <v>204773225</v>
      </c>
      <c r="AG2177" s="11">
        <f>$E2177+27</f>
        <v>135</v>
      </c>
      <c r="AH2177" s="12">
        <f>IF($J2177=0,0,ROUND(MAX($J2177*1.4*1.5*1.6*1.6*2.2*2.715*2.6*1.4*1.4*1.5*1.5*3.2,60500000000*(1.654288^(MIN($E2177,123)-117)))*1,0))</f>
        <v>652011566</v>
      </c>
    </row>
    <row r="2178" ht="28" customHeight="1" spans="1:34" x14ac:dyDescent="0.25">
      <c r="A2178">
        <v>2188</v>
      </c>
      <c r="B2178" t="s">
        <v>1311</v>
      </c>
      <c r="C2178" s="10" t="s">
        <v>1278</v>
      </c>
      <c r="D2178" t="s">
        <v>40</v>
      </c>
      <c r="E2178">
        <v>108</v>
      </c>
      <c r="F2178" t="s">
        <v>56</v>
      </c>
      <c r="G2178" t="s">
        <v>171</v>
      </c>
      <c r="H2178">
        <v>24</v>
      </c>
      <c r="I2178" s="11">
        <f>$E2178+0</f>
        <v>108</v>
      </c>
      <c r="J2178" s="12">
        <v>88000</v>
      </c>
      <c r="K2178" s="13">
        <f>$E2178+1</f>
        <v>109</v>
      </c>
      <c r="L2178" s="14">
        <f>IF($J2178=0,0,ROUND(MAX($J2178*1.4,1620000*(1.497923^(MIN($E2178,123)-117)))*1,0))</f>
        <v>123200</v>
      </c>
      <c r="M2178" s="11">
        <f>$E2178+2</f>
        <v>110</v>
      </c>
      <c r="N2178" s="12">
        <f>IF($J2178=0,0,ROUND(MAX($J2178*1.4*1.5,2190000*(1.580994^(MIN($E2178,123)-117)))*1,0))</f>
        <v>184800</v>
      </c>
      <c r="O2178" s="13">
        <f>$E2178+4</f>
        <v>112</v>
      </c>
      <c r="P2178" s="14">
        <f>IF($J2178=0,0,ROUND(MAX($J2178*1.4*1.5*1.6,3500000*(1.57975^(MIN($E2178,123)-117)))*1,0))</f>
        <v>295680</v>
      </c>
      <c r="Q2178" s="11">
        <f>$E2178+6</f>
        <v>114</v>
      </c>
      <c r="R2178" s="12">
        <f>IF($J2178=0,0,ROUND(MAX($J2178*1.4*1.5*1.6*1.6,13100000*(1.429962^(MIN($E2178,123)-117)))*1,0))</f>
        <v>524024</v>
      </c>
      <c r="S2178" s="13">
        <f>$E2178+8</f>
        <v>116</v>
      </c>
      <c r="T2178" s="14">
        <f>IF($J2178=0,0,ROUND(MAX($J2178*1.4*1.5*1.6*1.6*2.2,42600000*(1.576904^(MIN($E2178,123)-117)))*1,0))</f>
        <v>1040794</v>
      </c>
      <c r="U2178" s="11">
        <f>$E2178+11</f>
        <v>119</v>
      </c>
      <c r="V2178" s="12">
        <f>IF($J2178=0,0,ROUND(MAX($J2178*1.4*1.5*1.6*1.6*2.2*2.715,354000000*(1.642074^(MIN($E2178,123)-117)))*1,0))</f>
        <v>4078202</v>
      </c>
      <c r="W2178" s="13">
        <f>$E2178+15</f>
        <v>123</v>
      </c>
      <c r="X2178" s="14">
        <f>IF($J2178=0,0,ROUND(MAX($J2178*1.4*1.5*1.6*1.6*2.2*2.715*2.6,3540000000*(1.579646^(MIN($E2178,123)-117)))*1,0))</f>
        <v>57804988</v>
      </c>
      <c r="Y2178" s="11">
        <f>$E2178+17</f>
        <v>125</v>
      </c>
      <c r="Z2178" s="12">
        <f>IF($J2178=0,0,ROUND(MAX($J2178*1.4*1.5*1.6*1.6*2.2*2.715*2.6*1.4,6020000000*(1.651178^(MIN($E2178,123)-117)))*1,0))</f>
        <v>65985946</v>
      </c>
      <c r="AA2178" s="13">
        <f>$E2178+19</f>
        <v>127</v>
      </c>
      <c r="AB2178" s="14">
        <f>IF($J2178=0,0,ROUND(MAX($J2178*1.4*1.5*1.6*1.6*2.2*2.715*2.6*1.4*1.4,8430000000*(1.651435^(MIN($E2178,123)-117)))*1,0))</f>
        <v>92272909</v>
      </c>
      <c r="AC2178" s="11">
        <f>$E2178+21</f>
        <v>129</v>
      </c>
      <c r="AD2178" s="12">
        <f>IF($J2178=0,0,ROUND(MAX($J2178*1.4*1.5*1.6*1.6*2.2*2.715*2.6*1.4*1.4*1.5,12600000000*(1.652953^(MIN($E2178,123)-117)))*1,0))</f>
        <v>136781071</v>
      </c>
      <c r="AE2178" s="13">
        <f>$E2178+24</f>
        <v>132</v>
      </c>
      <c r="AF2178" s="14">
        <f>IF($J2178=0,0,ROUND(MAX($J2178*1.4*1.5*1.6*1.6*2.2*2.715*2.6*1.4*1.4*1.5*1.5,18900000000*(1.65331^(MIN($E2178,123)-117)))*1,0))</f>
        <v>204773225</v>
      </c>
      <c r="AG2178" s="11">
        <f>$E2178+27</f>
        <v>135</v>
      </c>
      <c r="AH2178" s="12">
        <f>IF($J2178=0,0,ROUND(MAX($J2178*1.4*1.5*1.6*1.6*2.2*2.715*2.6*1.4*1.4*1.5*1.5*3.2,60500000000*(1.654288^(MIN($E2178,123)-117)))*1,0))</f>
        <v>652011566</v>
      </c>
    </row>
    <row r="2179" ht="28" customHeight="1" spans="1:34" x14ac:dyDescent="0.25">
      <c r="A2179">
        <v>2189</v>
      </c>
      <c r="B2179" t="s">
        <v>311</v>
      </c>
      <c r="C2179" s="10" t="s">
        <v>1278</v>
      </c>
      <c r="D2179" t="s">
        <v>102</v>
      </c>
      <c r="E2179">
        <v>108</v>
      </c>
      <c r="F2179" t="s">
        <v>62</v>
      </c>
      <c r="G2179" t="s">
        <v>1312</v>
      </c>
      <c r="H2179">
        <v>24</v>
      </c>
      <c r="I2179" s="11">
        <f>$E2179+0</f>
        <v>108</v>
      </c>
      <c r="J2179" s="12">
        <v>12100</v>
      </c>
      <c r="K2179" s="13">
        <f>$E2179+1</f>
        <v>109</v>
      </c>
      <c r="L2179" s="14">
        <f>IF($J2179=0,0,ROUND(MAX($J2179*1.4,1620000*(1.497923^(MIN($E2179,123)-117)))*1,0))</f>
        <v>42669</v>
      </c>
      <c r="M2179" s="11">
        <f>$E2179+2</f>
        <v>110</v>
      </c>
      <c r="N2179" s="12">
        <f>IF($J2179=0,0,ROUND(MAX($J2179*1.4*1.5,2190000*(1.580994^(MIN($E2179,123)-117)))*1,0))</f>
        <v>35487</v>
      </c>
      <c r="O2179" s="13">
        <f>$E2179+4</f>
        <v>112</v>
      </c>
      <c r="P2179" s="14">
        <f>IF($J2179=0,0,ROUND(MAX($J2179*1.4*1.5*1.6,3500000*(1.57975^(MIN($E2179,123)-117)))*1,0))</f>
        <v>57118</v>
      </c>
      <c r="Q2179" s="11">
        <f>$E2179+6</f>
        <v>114</v>
      </c>
      <c r="R2179" s="12">
        <f>IF($J2179=0,0,ROUND(MAX($J2179*1.4*1.5*1.6*1.6,13100000*(1.429962^(MIN($E2179,123)-117)))*1,0))</f>
        <v>524024</v>
      </c>
      <c r="S2179" s="13">
        <f>$E2179+8</f>
        <v>116</v>
      </c>
      <c r="T2179" s="14">
        <f>IF($J2179=0,0,ROUND(MAX($J2179*1.4*1.5*1.6*1.6*2.2,42600000*(1.576904^(MIN($E2179,123)-117)))*1,0))</f>
        <v>706582</v>
      </c>
      <c r="U2179" s="11">
        <f>$E2179+11</f>
        <v>119</v>
      </c>
      <c r="V2179" s="12">
        <f>IF($J2179=0,0,ROUND(MAX($J2179*1.4*1.5*1.6*1.6*2.2*2.715,354000000*(1.642074^(MIN($E2179,123)-117)))*1,0))</f>
        <v>4078202</v>
      </c>
      <c r="W2179" s="13">
        <f>$E2179+15</f>
        <v>123</v>
      </c>
      <c r="X2179" s="14">
        <f>IF($J2179=0,0,ROUND(MAX($J2179*1.4*1.5*1.6*1.6*2.2*2.715*2.6,3540000000*(1.579646^(MIN($E2179,123)-117)))*1,0))</f>
        <v>57804988</v>
      </c>
      <c r="Y2179" s="11">
        <f>$E2179+17</f>
        <v>125</v>
      </c>
      <c r="Z2179" s="12">
        <f>IF($J2179=0,0,ROUND(MAX($J2179*1.4*1.5*1.6*1.6*2.2*2.715*2.6*1.4,6020000000*(1.651178^(MIN($E2179,123)-117)))*1,0))</f>
        <v>65985946</v>
      </c>
      <c r="AA2179" s="13">
        <f>$E2179+19</f>
        <v>127</v>
      </c>
      <c r="AB2179" s="14">
        <f>IF($J2179=0,0,ROUND(MAX($J2179*1.4*1.5*1.6*1.6*2.2*2.715*2.6*1.4*1.4,8430000000*(1.651435^(MIN($E2179,123)-117)))*1,0))</f>
        <v>92272909</v>
      </c>
      <c r="AC2179" s="11">
        <f>$E2179+21</f>
        <v>129</v>
      </c>
      <c r="AD2179" s="12">
        <f>IF($J2179=0,0,ROUND(MAX($J2179*1.4*1.5*1.6*1.6*2.2*2.715*2.6*1.4*1.4*1.5,12600000000*(1.652953^(MIN($E2179,123)-117)))*1,0))</f>
        <v>136781071</v>
      </c>
      <c r="AE2179" s="13">
        <f>$E2179+24</f>
        <v>132</v>
      </c>
      <c r="AF2179" s="14">
        <f>IF($J2179=0,0,ROUND(MAX($J2179*1.4*1.5*1.6*1.6*2.2*2.715*2.6*1.4*1.4*1.5*1.5,18900000000*(1.65331^(MIN($E2179,123)-117)))*1,0))</f>
        <v>204773225</v>
      </c>
      <c r="AG2179" s="11">
        <f>$E2179+27</f>
        <v>135</v>
      </c>
      <c r="AH2179" s="12">
        <f>IF($J2179=0,0,ROUND(MAX($J2179*1.4*1.5*1.6*1.6*2.2*2.715*2.6*1.4*1.4*1.5*1.5*3.2,60500000000*(1.654288^(MIN($E2179,123)-117)))*1,0))</f>
        <v>652011566</v>
      </c>
    </row>
    <row r="2180" ht="28" customHeight="1" spans="1:34" x14ac:dyDescent="0.25">
      <c r="A2180">
        <v>2190</v>
      </c>
      <c r="B2180" t="s">
        <v>1313</v>
      </c>
      <c r="C2180" s="10" t="s">
        <v>1278</v>
      </c>
      <c r="D2180" t="s">
        <v>40</v>
      </c>
      <c r="E2180">
        <v>108</v>
      </c>
      <c r="F2180" t="s">
        <v>855</v>
      </c>
      <c r="G2180" t="s">
        <v>67</v>
      </c>
      <c r="H2180">
        <v>24</v>
      </c>
      <c r="I2180" s="11">
        <f>$E2180+0</f>
        <v>108</v>
      </c>
      <c r="J2180" s="12">
        <v>111000</v>
      </c>
      <c r="K2180" s="13">
        <f>$E2180+1</f>
        <v>109</v>
      </c>
      <c r="L2180" s="14">
        <f>IF($J2180=0,0,ROUND(MAX($J2180*1.4,1620000*(1.497923^(MIN($E2180,123)-117)))*1,0))</f>
        <v>155400</v>
      </c>
      <c r="M2180" s="11">
        <f>$E2180+2</f>
        <v>110</v>
      </c>
      <c r="N2180" s="12">
        <f>IF($J2180=0,0,ROUND(MAX($J2180*1.4*1.5,2190000*(1.580994^(MIN($E2180,123)-117)))*1,0))</f>
        <v>233100</v>
      </c>
      <c r="O2180" s="13">
        <f>$E2180+4</f>
        <v>112</v>
      </c>
      <c r="P2180" s="14">
        <f>IF($J2180=0,0,ROUND(MAX($J2180*1.4*1.5*1.6,3500000*(1.57975^(MIN($E2180,123)-117)))*1,0))</f>
        <v>372960</v>
      </c>
      <c r="Q2180" s="11">
        <f>$E2180+6</f>
        <v>114</v>
      </c>
      <c r="R2180" s="12">
        <f>IF($J2180=0,0,ROUND(MAX($J2180*1.4*1.5*1.6*1.6,13100000*(1.429962^(MIN($E2180,123)-117)))*1,0))</f>
        <v>596736</v>
      </c>
      <c r="S2180" s="13">
        <f>$E2180+8</f>
        <v>116</v>
      </c>
      <c r="T2180" s="14">
        <f>IF($J2180=0,0,ROUND(MAX($J2180*1.4*1.5*1.6*1.6*2.2,42600000*(1.576904^(MIN($E2180,123)-117)))*1,0))</f>
        <v>1312819</v>
      </c>
      <c r="U2180" s="11">
        <f>$E2180+11</f>
        <v>119</v>
      </c>
      <c r="V2180" s="12">
        <f>IF($J2180=0,0,ROUND(MAX($J2180*1.4*1.5*1.6*1.6*2.2*2.715,354000000*(1.642074^(MIN($E2180,123)-117)))*1,0))</f>
        <v>4078202</v>
      </c>
      <c r="W2180" s="13">
        <f>$E2180+15</f>
        <v>123</v>
      </c>
      <c r="X2180" s="14">
        <f>IF($J2180=0,0,ROUND(MAX($J2180*1.4*1.5*1.6*1.6*2.2*2.715*2.6,3540000000*(1.579646^(MIN($E2180,123)-117)))*1,0))</f>
        <v>57804988</v>
      </c>
      <c r="Y2180" s="11">
        <f>$E2180+17</f>
        <v>125</v>
      </c>
      <c r="Z2180" s="12">
        <f>IF($J2180=0,0,ROUND(MAX($J2180*1.4*1.5*1.6*1.6*2.2*2.715*2.6*1.4,6020000000*(1.651178^(MIN($E2180,123)-117)))*1,0))</f>
        <v>65985946</v>
      </c>
      <c r="AA2180" s="13">
        <f>$E2180+19</f>
        <v>127</v>
      </c>
      <c r="AB2180" s="14">
        <f>IF($J2180=0,0,ROUND(MAX($J2180*1.4*1.5*1.6*1.6*2.2*2.715*2.6*1.4*1.4,8430000000*(1.651435^(MIN($E2180,123)-117)))*1,0))</f>
        <v>92272909</v>
      </c>
      <c r="AC2180" s="11">
        <f>$E2180+21</f>
        <v>129</v>
      </c>
      <c r="AD2180" s="12">
        <f>IF($J2180=0,0,ROUND(MAX($J2180*1.4*1.5*1.6*1.6*2.2*2.715*2.6*1.4*1.4*1.5,12600000000*(1.652953^(MIN($E2180,123)-117)))*1,0))</f>
        <v>136781071</v>
      </c>
      <c r="AE2180" s="13">
        <f>$E2180+24</f>
        <v>132</v>
      </c>
      <c r="AF2180" s="14">
        <f>IF($J2180=0,0,ROUND(MAX($J2180*1.4*1.5*1.6*1.6*2.2*2.715*2.6*1.4*1.4*1.5*1.5,18900000000*(1.65331^(MIN($E2180,123)-117)))*1,0))</f>
        <v>204773225</v>
      </c>
      <c r="AG2180" s="11">
        <f>$E2180+27</f>
        <v>135</v>
      </c>
      <c r="AH2180" s="12">
        <f>IF($J2180=0,0,ROUND(MAX($J2180*1.4*1.5*1.6*1.6*2.2*2.715*2.6*1.4*1.4*1.5*1.5*3.2,60500000000*(1.654288^(MIN($E2180,123)-117)))*1,0))</f>
        <v>652011566</v>
      </c>
    </row>
    <row r="2181" ht="28" customHeight="1" spans="1:34" x14ac:dyDescent="0.25">
      <c r="A2181">
        <v>2191</v>
      </c>
      <c r="B2181" t="s">
        <v>1314</v>
      </c>
      <c r="C2181" s="10" t="s">
        <v>1278</v>
      </c>
      <c r="D2181" t="s">
        <v>40</v>
      </c>
      <c r="E2181">
        <v>108</v>
      </c>
      <c r="F2181" t="s">
        <v>223</v>
      </c>
      <c r="G2181" t="s">
        <v>206</v>
      </c>
      <c r="H2181">
        <v>24</v>
      </c>
      <c r="I2181" s="11">
        <f>$E2181+0</f>
        <v>108</v>
      </c>
      <c r="J2181" s="12">
        <v>87300</v>
      </c>
      <c r="K2181" s="13">
        <f>$E2181+1</f>
        <v>109</v>
      </c>
      <c r="L2181" s="14">
        <f>IF($J2181=0,0,ROUND(MAX($J2181*1.4,1620000*(1.497923^(MIN($E2181,123)-117)))*1,0))</f>
        <v>122220</v>
      </c>
      <c r="M2181" s="11">
        <f>$E2181+2</f>
        <v>110</v>
      </c>
      <c r="N2181" s="12">
        <f>IF($J2181=0,0,ROUND(MAX($J2181*1.4*1.5,2190000*(1.580994^(MIN($E2181,123)-117)))*1,0))</f>
        <v>183330</v>
      </c>
      <c r="O2181" s="13">
        <f>$E2181+4</f>
        <v>112</v>
      </c>
      <c r="P2181" s="14">
        <f>IF($J2181=0,0,ROUND(MAX($J2181*1.4*1.5*1.6,3500000*(1.57975^(MIN($E2181,123)-117)))*1,0))</f>
        <v>293328</v>
      </c>
      <c r="Q2181" s="11">
        <f>$E2181+6</f>
        <v>114</v>
      </c>
      <c r="R2181" s="12">
        <f>IF($J2181=0,0,ROUND(MAX($J2181*1.4*1.5*1.6*1.6,13100000*(1.429962^(MIN($E2181,123)-117)))*1,0))</f>
        <v>524024</v>
      </c>
      <c r="S2181" s="13">
        <f>$E2181+8</f>
        <v>116</v>
      </c>
      <c r="T2181" s="14">
        <f>IF($J2181=0,0,ROUND(MAX($J2181*1.4*1.5*1.6*1.6*2.2,42600000*(1.576904^(MIN($E2181,123)-117)))*1,0))</f>
        <v>1032515</v>
      </c>
      <c r="U2181" s="11">
        <f>$E2181+11</f>
        <v>119</v>
      </c>
      <c r="V2181" s="12">
        <f>IF($J2181=0,0,ROUND(MAX($J2181*1.4*1.5*1.6*1.6*2.2*2.715,354000000*(1.642074^(MIN($E2181,123)-117)))*1,0))</f>
        <v>4078202</v>
      </c>
      <c r="W2181" s="13">
        <f>$E2181+15</f>
        <v>123</v>
      </c>
      <c r="X2181" s="14">
        <f>IF($J2181=0,0,ROUND(MAX($J2181*1.4*1.5*1.6*1.6*2.2*2.715*2.6,3540000000*(1.579646^(MIN($E2181,123)-117)))*1,0))</f>
        <v>57804988</v>
      </c>
      <c r="Y2181" s="11">
        <f>$E2181+17</f>
        <v>125</v>
      </c>
      <c r="Z2181" s="12">
        <f>IF($J2181=0,0,ROUND(MAX($J2181*1.4*1.5*1.6*1.6*2.2*2.715*2.6*1.4,6020000000*(1.651178^(MIN($E2181,123)-117)))*1,0))</f>
        <v>65985946</v>
      </c>
      <c r="AA2181" s="13">
        <f>$E2181+19</f>
        <v>127</v>
      </c>
      <c r="AB2181" s="14">
        <f>IF($J2181=0,0,ROUND(MAX($J2181*1.4*1.5*1.6*1.6*2.2*2.715*2.6*1.4*1.4,8430000000*(1.651435^(MIN($E2181,123)-117)))*1,0))</f>
        <v>92272909</v>
      </c>
      <c r="AC2181" s="11">
        <f>$E2181+21</f>
        <v>129</v>
      </c>
      <c r="AD2181" s="12">
        <f>IF($J2181=0,0,ROUND(MAX($J2181*1.4*1.5*1.6*1.6*2.2*2.715*2.6*1.4*1.4*1.5,12600000000*(1.652953^(MIN($E2181,123)-117)))*1,0))</f>
        <v>136781071</v>
      </c>
      <c r="AE2181" s="13">
        <f>$E2181+24</f>
        <v>132</v>
      </c>
      <c r="AF2181" s="14">
        <f>IF($J2181=0,0,ROUND(MAX($J2181*1.4*1.5*1.6*1.6*2.2*2.715*2.6*1.4*1.4*1.5*1.5,18900000000*(1.65331^(MIN($E2181,123)-117)))*1,0))</f>
        <v>204773225</v>
      </c>
      <c r="AG2181" s="11">
        <f>$E2181+27</f>
        <v>135</v>
      </c>
      <c r="AH2181" s="12">
        <f>IF($J2181=0,0,ROUND(MAX($J2181*1.4*1.5*1.6*1.6*2.2*2.715*2.6*1.4*1.4*1.5*1.5*3.2,60500000000*(1.654288^(MIN($E2181,123)-117)))*1,0))</f>
        <v>652011566</v>
      </c>
    </row>
    <row r="2182" ht="28" customHeight="1" spans="1:34" x14ac:dyDescent="0.25">
      <c r="A2182">
        <v>2192</v>
      </c>
      <c r="B2182" t="s">
        <v>628</v>
      </c>
      <c r="C2182" s="10" t="s">
        <v>1278</v>
      </c>
      <c r="D2182" t="s">
        <v>75</v>
      </c>
      <c r="E2182">
        <v>108</v>
      </c>
      <c r="F2182" t="s">
        <v>136</v>
      </c>
      <c r="G2182" t="s">
        <v>133</v>
      </c>
      <c r="H2182">
        <v>24</v>
      </c>
      <c r="I2182" s="11">
        <f>$E2182+0</f>
        <v>108</v>
      </c>
      <c r="J2182" s="12">
        <v>81700</v>
      </c>
      <c r="K2182" s="13">
        <f>$E2182+1</f>
        <v>109</v>
      </c>
      <c r="L2182" s="14">
        <f>IF($J2182=0,0,ROUND(MAX($J2182*1.4,1620000*(1.497923^(MIN($E2182,123)-117)))*1,0))</f>
        <v>114380</v>
      </c>
      <c r="M2182" s="11">
        <f>$E2182+2</f>
        <v>110</v>
      </c>
      <c r="N2182" s="12">
        <f>IF($J2182=0,0,ROUND(MAX($J2182*1.4*1.5,2190000*(1.580994^(MIN($E2182,123)-117)))*1,0))</f>
        <v>171570</v>
      </c>
      <c r="O2182" s="13">
        <f>$E2182+4</f>
        <v>112</v>
      </c>
      <c r="P2182" s="14">
        <f>IF($J2182=0,0,ROUND(MAX($J2182*1.4*1.5*1.6,3500000*(1.57975^(MIN($E2182,123)-117)))*1,0))</f>
        <v>274512</v>
      </c>
      <c r="Q2182" s="11">
        <f>$E2182+6</f>
        <v>114</v>
      </c>
      <c r="R2182" s="12">
        <f>IF($J2182=0,0,ROUND(MAX($J2182*1.4*1.5*1.6*1.6,13100000*(1.429962^(MIN($E2182,123)-117)))*1,0))</f>
        <v>524024</v>
      </c>
      <c r="S2182" s="13">
        <f>$E2182+8</f>
        <v>116</v>
      </c>
      <c r="T2182" s="14">
        <f>IF($J2182=0,0,ROUND(MAX($J2182*1.4*1.5*1.6*1.6*2.2,42600000*(1.576904^(MIN($E2182,123)-117)))*1,0))</f>
        <v>966282</v>
      </c>
      <c r="U2182" s="11">
        <f>$E2182+11</f>
        <v>119</v>
      </c>
      <c r="V2182" s="12">
        <f>IF($J2182=0,0,ROUND(MAX($J2182*1.4*1.5*1.6*1.6*2.2*2.715,354000000*(1.642074^(MIN($E2182,123)-117)))*1,0))</f>
        <v>4078202</v>
      </c>
      <c r="W2182" s="13">
        <f>$E2182+15</f>
        <v>123</v>
      </c>
      <c r="X2182" s="14">
        <f>IF($J2182=0,0,ROUND(MAX($J2182*1.4*1.5*1.6*1.6*2.2*2.715*2.6,3540000000*(1.579646^(MIN($E2182,123)-117)))*1,0))</f>
        <v>57804988</v>
      </c>
      <c r="Y2182" s="11">
        <f>$E2182+17</f>
        <v>125</v>
      </c>
      <c r="Z2182" s="12">
        <f>IF($J2182=0,0,ROUND(MAX($J2182*1.4*1.5*1.6*1.6*2.2*2.715*2.6*1.4,6020000000*(1.651178^(MIN($E2182,123)-117)))*1,0))</f>
        <v>65985946</v>
      </c>
      <c r="AA2182" s="13">
        <f>$E2182+19</f>
        <v>127</v>
      </c>
      <c r="AB2182" s="14">
        <f>IF($J2182=0,0,ROUND(MAX($J2182*1.4*1.5*1.6*1.6*2.2*2.715*2.6*1.4*1.4,8430000000*(1.651435^(MIN($E2182,123)-117)))*1,0))</f>
        <v>92272909</v>
      </c>
      <c r="AC2182" s="11">
        <f>$E2182+21</f>
        <v>129</v>
      </c>
      <c r="AD2182" s="12">
        <f>IF($J2182=0,0,ROUND(MAX($J2182*1.4*1.5*1.6*1.6*2.2*2.715*2.6*1.4*1.4*1.5,12600000000*(1.652953^(MIN($E2182,123)-117)))*1,0))</f>
        <v>136781071</v>
      </c>
      <c r="AE2182" s="13">
        <f>$E2182+24</f>
        <v>132</v>
      </c>
      <c r="AF2182" s="14">
        <f>IF($J2182=0,0,ROUND(MAX($J2182*1.4*1.5*1.6*1.6*2.2*2.715*2.6*1.4*1.4*1.5*1.5,18900000000*(1.65331^(MIN($E2182,123)-117)))*1,0))</f>
        <v>204773225</v>
      </c>
      <c r="AG2182" s="11">
        <f>$E2182+27</f>
        <v>135</v>
      </c>
      <c r="AH2182" s="12">
        <f>IF($J2182=0,0,ROUND(MAX($J2182*1.4*1.5*1.6*1.6*2.2*2.715*2.6*1.4*1.4*1.5*1.5*3.2,60500000000*(1.654288^(MIN($E2182,123)-117)))*1,0))</f>
        <v>652011566</v>
      </c>
    </row>
    <row r="2183" ht="28" customHeight="1" spans="1:34" x14ac:dyDescent="0.25">
      <c r="A2183">
        <v>2193</v>
      </c>
      <c r="B2183" t="s">
        <v>904</v>
      </c>
      <c r="C2183" s="10" t="s">
        <v>1278</v>
      </c>
      <c r="D2183" t="s">
        <v>90</v>
      </c>
      <c r="E2183">
        <v>108</v>
      </c>
      <c r="F2183" t="s">
        <v>42</v>
      </c>
      <c r="G2183" t="s">
        <v>349</v>
      </c>
      <c r="H2183">
        <v>24</v>
      </c>
      <c r="I2183" s="11">
        <f>$E2183+0</f>
        <v>108</v>
      </c>
      <c r="J2183" s="12">
        <v>71600</v>
      </c>
      <c r="K2183" s="13">
        <f>$E2183+1</f>
        <v>109</v>
      </c>
      <c r="L2183" s="14">
        <f>IF($J2183=0,0,ROUND(MAX($J2183*1.4,1620000*(1.497923^(MIN($E2183,123)-117)))*1,0))</f>
        <v>100240</v>
      </c>
      <c r="M2183" s="11">
        <f>$E2183+2</f>
        <v>110</v>
      </c>
      <c r="N2183" s="12">
        <f>IF($J2183=0,0,ROUND(MAX($J2183*1.4*1.5,2190000*(1.580994^(MIN($E2183,123)-117)))*1,0))</f>
        <v>150360</v>
      </c>
      <c r="O2183" s="13">
        <f>$E2183+4</f>
        <v>112</v>
      </c>
      <c r="P2183" s="14">
        <f>IF($J2183=0,0,ROUND(MAX($J2183*1.4*1.5*1.6,3500000*(1.57975^(MIN($E2183,123)-117)))*1,0))</f>
        <v>240576</v>
      </c>
      <c r="Q2183" s="11">
        <f>$E2183+6</f>
        <v>114</v>
      </c>
      <c r="R2183" s="12">
        <f>IF($J2183=0,0,ROUND(MAX($J2183*1.4*1.5*1.6*1.6,13100000*(1.429962^(MIN($E2183,123)-117)))*1,0))</f>
        <v>524024</v>
      </c>
      <c r="S2183" s="13">
        <f>$E2183+8</f>
        <v>116</v>
      </c>
      <c r="T2183" s="14">
        <f>IF($J2183=0,0,ROUND(MAX($J2183*1.4*1.5*1.6*1.6*2.2,42600000*(1.576904^(MIN($E2183,123)-117)))*1,0))</f>
        <v>846828</v>
      </c>
      <c r="U2183" s="11">
        <f>$E2183+11</f>
        <v>119</v>
      </c>
      <c r="V2183" s="12">
        <f>IF($J2183=0,0,ROUND(MAX($J2183*1.4*1.5*1.6*1.6*2.2*2.715,354000000*(1.642074^(MIN($E2183,123)-117)))*1,0))</f>
        <v>4078202</v>
      </c>
      <c r="W2183" s="13">
        <f>$E2183+15</f>
        <v>123</v>
      </c>
      <c r="X2183" s="14">
        <f>IF($J2183=0,0,ROUND(MAX($J2183*1.4*1.5*1.6*1.6*2.2*2.715*2.6,3540000000*(1.579646^(MIN($E2183,123)-117)))*1,0))</f>
        <v>57804988</v>
      </c>
      <c r="Y2183" s="11">
        <f>$E2183+17</f>
        <v>125</v>
      </c>
      <c r="Z2183" s="12">
        <f>IF($J2183=0,0,ROUND(MAX($J2183*1.4*1.5*1.6*1.6*2.2*2.715*2.6*1.4,6020000000*(1.651178^(MIN($E2183,123)-117)))*1,0))</f>
        <v>65985946</v>
      </c>
      <c r="AA2183" s="13">
        <f>$E2183+19</f>
        <v>127</v>
      </c>
      <c r="AB2183" s="14">
        <f>IF($J2183=0,0,ROUND(MAX($J2183*1.4*1.5*1.6*1.6*2.2*2.715*2.6*1.4*1.4,8430000000*(1.651435^(MIN($E2183,123)-117)))*1,0))</f>
        <v>92272909</v>
      </c>
      <c r="AC2183" s="11">
        <f>$E2183+21</f>
        <v>129</v>
      </c>
      <c r="AD2183" s="12">
        <f>IF($J2183=0,0,ROUND(MAX($J2183*1.4*1.5*1.6*1.6*2.2*2.715*2.6*1.4*1.4*1.5,12600000000*(1.652953^(MIN($E2183,123)-117)))*1,0))</f>
        <v>136781071</v>
      </c>
      <c r="AE2183" s="13">
        <f>$E2183+24</f>
        <v>132</v>
      </c>
      <c r="AF2183" s="14">
        <f>IF($J2183=0,0,ROUND(MAX($J2183*1.4*1.5*1.6*1.6*2.2*2.715*2.6*1.4*1.4*1.5*1.5,18900000000*(1.65331^(MIN($E2183,123)-117)))*1,0))</f>
        <v>204773225</v>
      </c>
      <c r="AG2183" s="11">
        <f>$E2183+27</f>
        <v>135</v>
      </c>
      <c r="AH2183" s="12">
        <f>IF($J2183=0,0,ROUND(MAX($J2183*1.4*1.5*1.6*1.6*2.2*2.715*2.6*1.4*1.4*1.5*1.5*3.2,60500000000*(1.654288^(MIN($E2183,123)-117)))*1,0))</f>
        <v>652011566</v>
      </c>
    </row>
    <row r="2184" ht="28" customHeight="1" spans="1:34" x14ac:dyDescent="0.25">
      <c r="A2184">
        <v>2194</v>
      </c>
      <c r="B2184" t="s">
        <v>1056</v>
      </c>
      <c r="C2184" s="10" t="s">
        <v>1278</v>
      </c>
      <c r="D2184" t="s">
        <v>40</v>
      </c>
      <c r="E2184">
        <v>108</v>
      </c>
      <c r="F2184" t="s">
        <v>194</v>
      </c>
      <c r="G2184" t="s">
        <v>1299</v>
      </c>
      <c r="H2184">
        <v>24</v>
      </c>
      <c r="I2184" s="11">
        <f>$E2184+0</f>
        <v>108</v>
      </c>
      <c r="J2184" s="12">
        <v>131000</v>
      </c>
      <c r="K2184" s="13">
        <f>$E2184+1</f>
        <v>109</v>
      </c>
      <c r="L2184" s="14">
        <f>IF($J2184=0,0,ROUND(MAX($J2184*1.4,1620000*(1.497923^(MIN($E2184,123)-117)))*1,0))</f>
        <v>183400</v>
      </c>
      <c r="M2184" s="11">
        <f>$E2184+2</f>
        <v>110</v>
      </c>
      <c r="N2184" s="12">
        <f>IF($J2184=0,0,ROUND(MAX($J2184*1.4*1.5,2190000*(1.580994^(MIN($E2184,123)-117)))*1,0))</f>
        <v>275100</v>
      </c>
      <c r="O2184" s="13">
        <f>$E2184+4</f>
        <v>112</v>
      </c>
      <c r="P2184" s="14">
        <f>IF($J2184=0,0,ROUND(MAX($J2184*1.4*1.5*1.6,3500000*(1.57975^(MIN($E2184,123)-117)))*1,0))</f>
        <v>440160</v>
      </c>
      <c r="Q2184" s="11">
        <f>$E2184+6</f>
        <v>114</v>
      </c>
      <c r="R2184" s="12">
        <f>IF($J2184=0,0,ROUND(MAX($J2184*1.4*1.5*1.6*1.6,13100000*(1.429962^(MIN($E2184,123)-117)))*1,0))</f>
        <v>704256</v>
      </c>
      <c r="S2184" s="13">
        <f>$E2184+8</f>
        <v>116</v>
      </c>
      <c r="T2184" s="14">
        <f>IF($J2184=0,0,ROUND(MAX($J2184*1.4*1.5*1.6*1.6*2.2,42600000*(1.576904^(MIN($E2184,123)-117)))*1,0))</f>
        <v>1549363</v>
      </c>
      <c r="U2184" s="11">
        <f>$E2184+11</f>
        <v>119</v>
      </c>
      <c r="V2184" s="12">
        <f>IF($J2184=0,0,ROUND(MAX($J2184*1.4*1.5*1.6*1.6*2.2*2.715,354000000*(1.642074^(MIN($E2184,123)-117)))*1,0))</f>
        <v>4206521</v>
      </c>
      <c r="W2184" s="13">
        <f>$E2184+15</f>
        <v>123</v>
      </c>
      <c r="X2184" s="14">
        <f>IF($J2184=0,0,ROUND(MAX($J2184*1.4*1.5*1.6*1.6*2.2*2.715*2.6,3540000000*(1.579646^(MIN($E2184,123)-117)))*1,0))</f>
        <v>57804988</v>
      </c>
      <c r="Y2184" s="11">
        <f>$E2184+17</f>
        <v>125</v>
      </c>
      <c r="Z2184" s="12">
        <f>IF($J2184=0,0,ROUND(MAX($J2184*1.4*1.5*1.6*1.6*2.2*2.715*2.6*1.4,6020000000*(1.651178^(MIN($E2184,123)-117)))*1,0))</f>
        <v>65985946</v>
      </c>
      <c r="AA2184" s="13">
        <f>$E2184+19</f>
        <v>127</v>
      </c>
      <c r="AB2184" s="14">
        <f>IF($J2184=0,0,ROUND(MAX($J2184*1.4*1.5*1.6*1.6*2.2*2.715*2.6*1.4*1.4,8430000000*(1.651435^(MIN($E2184,123)-117)))*1,0))</f>
        <v>92272909</v>
      </c>
      <c r="AC2184" s="11">
        <f>$E2184+21</f>
        <v>129</v>
      </c>
      <c r="AD2184" s="12">
        <f>IF($J2184=0,0,ROUND(MAX($J2184*1.4*1.5*1.6*1.6*2.2*2.715*2.6*1.4*1.4*1.5,12600000000*(1.652953^(MIN($E2184,123)-117)))*1,0))</f>
        <v>136781071</v>
      </c>
      <c r="AE2184" s="13">
        <f>$E2184+24</f>
        <v>132</v>
      </c>
      <c r="AF2184" s="14">
        <f>IF($J2184=0,0,ROUND(MAX($J2184*1.4*1.5*1.6*1.6*2.2*2.715*2.6*1.4*1.4*1.5*1.5,18900000000*(1.65331^(MIN($E2184,123)-117)))*1,0))</f>
        <v>204773225</v>
      </c>
      <c r="AG2184" s="11">
        <f>$E2184+27</f>
        <v>135</v>
      </c>
      <c r="AH2184" s="12">
        <f>IF($J2184=0,0,ROUND(MAX($J2184*1.4*1.5*1.6*1.6*2.2*2.715*2.6*1.4*1.4*1.5*1.5*3.2,60500000000*(1.654288^(MIN($E2184,123)-117)))*1,0))</f>
        <v>652011566</v>
      </c>
    </row>
    <row r="2185" ht="28" customHeight="1" spans="1:34" x14ac:dyDescent="0.25">
      <c r="A2185">
        <v>2195</v>
      </c>
      <c r="B2185" t="s">
        <v>1315</v>
      </c>
      <c r="C2185" s="10" t="s">
        <v>1278</v>
      </c>
      <c r="D2185" t="s">
        <v>102</v>
      </c>
      <c r="E2185">
        <v>108</v>
      </c>
      <c r="F2185" t="s">
        <v>34</v>
      </c>
      <c r="G2185" t="s">
        <v>124</v>
      </c>
      <c r="H2185">
        <v>24</v>
      </c>
      <c r="I2185" s="11">
        <f>$E2185+0</f>
        <v>108</v>
      </c>
      <c r="J2185" s="12">
        <v>91700</v>
      </c>
      <c r="K2185" s="13">
        <f>$E2185+1</f>
        <v>109</v>
      </c>
      <c r="L2185" s="14">
        <f>IF($J2185=0,0,ROUND(MAX($J2185*1.4,1620000*(1.497923^(MIN($E2185,123)-117)))*1,0))</f>
        <v>128380</v>
      </c>
      <c r="M2185" s="11">
        <f>$E2185+2</f>
        <v>110</v>
      </c>
      <c r="N2185" s="12">
        <f>IF($J2185=0,0,ROUND(MAX($J2185*1.4*1.5,2190000*(1.580994^(MIN($E2185,123)-117)))*1,0))</f>
        <v>192570</v>
      </c>
      <c r="O2185" s="13">
        <f>$E2185+4</f>
        <v>112</v>
      </c>
      <c r="P2185" s="14">
        <f>IF($J2185=0,0,ROUND(MAX($J2185*1.4*1.5*1.6,3500000*(1.57975^(MIN($E2185,123)-117)))*1,0))</f>
        <v>308112</v>
      </c>
      <c r="Q2185" s="11">
        <f>$E2185+6</f>
        <v>114</v>
      </c>
      <c r="R2185" s="12">
        <f>IF($J2185=0,0,ROUND(MAX($J2185*1.4*1.5*1.6*1.6,13100000*(1.429962^(MIN($E2185,123)-117)))*1,0))</f>
        <v>524024</v>
      </c>
      <c r="S2185" s="13">
        <f>$E2185+8</f>
        <v>116</v>
      </c>
      <c r="T2185" s="14">
        <f>IF($J2185=0,0,ROUND(MAX($J2185*1.4*1.5*1.6*1.6*2.2,42600000*(1.576904^(MIN($E2185,123)-117)))*1,0))</f>
        <v>1084554</v>
      </c>
      <c r="U2185" s="11">
        <f>$E2185+11</f>
        <v>119</v>
      </c>
      <c r="V2185" s="12">
        <f>IF($J2185=0,0,ROUND(MAX($J2185*1.4*1.5*1.6*1.6*2.2*2.715,354000000*(1.642074^(MIN($E2185,123)-117)))*1,0))</f>
        <v>4078202</v>
      </c>
      <c r="W2185" s="13">
        <f>$E2185+15</f>
        <v>123</v>
      </c>
      <c r="X2185" s="14">
        <f>IF($J2185=0,0,ROUND(MAX($J2185*1.4*1.5*1.6*1.6*2.2*2.715*2.6,3540000000*(1.579646^(MIN($E2185,123)-117)))*1,0))</f>
        <v>57804988</v>
      </c>
      <c r="Y2185" s="11">
        <f>$E2185+17</f>
        <v>125</v>
      </c>
      <c r="Z2185" s="12">
        <f>IF($J2185=0,0,ROUND(MAX($J2185*1.4*1.5*1.6*1.6*2.2*2.715*2.6*1.4,6020000000*(1.651178^(MIN($E2185,123)-117)))*1,0))</f>
        <v>65985946</v>
      </c>
      <c r="AA2185" s="13">
        <f>$E2185+19</f>
        <v>127</v>
      </c>
      <c r="AB2185" s="14">
        <f>IF($J2185=0,0,ROUND(MAX($J2185*1.4*1.5*1.6*1.6*2.2*2.715*2.6*1.4*1.4,8430000000*(1.651435^(MIN($E2185,123)-117)))*1,0))</f>
        <v>92272909</v>
      </c>
      <c r="AC2185" s="11">
        <f>$E2185+21</f>
        <v>129</v>
      </c>
      <c r="AD2185" s="12">
        <f>IF($J2185=0,0,ROUND(MAX($J2185*1.4*1.5*1.6*1.6*2.2*2.715*2.6*1.4*1.4*1.5,12600000000*(1.652953^(MIN($E2185,123)-117)))*1,0))</f>
        <v>136781071</v>
      </c>
      <c r="AE2185" s="13">
        <f>$E2185+24</f>
        <v>132</v>
      </c>
      <c r="AF2185" s="14">
        <f>IF($J2185=0,0,ROUND(MAX($J2185*1.4*1.5*1.6*1.6*2.2*2.715*2.6*1.4*1.4*1.5*1.5,18900000000*(1.65331^(MIN($E2185,123)-117)))*1,0))</f>
        <v>204773225</v>
      </c>
      <c r="AG2185" s="11">
        <f>$E2185+27</f>
        <v>135</v>
      </c>
      <c r="AH2185" s="12">
        <f>IF($J2185=0,0,ROUND(MAX($J2185*1.4*1.5*1.6*1.6*2.2*2.715*2.6*1.4*1.4*1.5*1.5*3.2,60500000000*(1.654288^(MIN($E2185,123)-117)))*1,0))</f>
        <v>652011566</v>
      </c>
    </row>
    <row r="2186" ht="28" customHeight="1" spans="1:34" x14ac:dyDescent="0.25">
      <c r="A2186">
        <v>2196</v>
      </c>
      <c r="B2186" t="s">
        <v>1316</v>
      </c>
      <c r="C2186" s="10" t="s">
        <v>1278</v>
      </c>
      <c r="D2186" t="s">
        <v>45</v>
      </c>
      <c r="E2186">
        <v>108</v>
      </c>
      <c r="F2186" t="s">
        <v>136</v>
      </c>
      <c r="G2186" t="s">
        <v>832</v>
      </c>
      <c r="H2186">
        <v>24</v>
      </c>
      <c r="I2186" s="11">
        <f>$E2186+0</f>
        <v>108</v>
      </c>
      <c r="J2186" s="12">
        <v>87600</v>
      </c>
      <c r="K2186" s="13">
        <f>$E2186+1</f>
        <v>109</v>
      </c>
      <c r="L2186" s="14">
        <f>IF($J2186=0,0,ROUND(MAX($J2186*1.4,1620000*(1.497923^(MIN($E2186,123)-117)))*1,0))</f>
        <v>122640</v>
      </c>
      <c r="M2186" s="11">
        <f>$E2186+2</f>
        <v>110</v>
      </c>
      <c r="N2186" s="12">
        <f>IF($J2186=0,0,ROUND(MAX($J2186*1.4*1.5,2190000*(1.580994^(MIN($E2186,123)-117)))*1,0))</f>
        <v>183960</v>
      </c>
      <c r="O2186" s="13">
        <f>$E2186+4</f>
        <v>112</v>
      </c>
      <c r="P2186" s="14">
        <f>IF($J2186=0,0,ROUND(MAX($J2186*1.4*1.5*1.6,3500000*(1.57975^(MIN($E2186,123)-117)))*1,0))</f>
        <v>294336</v>
      </c>
      <c r="Q2186" s="11">
        <f>$E2186+6</f>
        <v>114</v>
      </c>
      <c r="R2186" s="12">
        <f>IF($J2186=0,0,ROUND(MAX($J2186*1.4*1.5*1.6*1.6,13100000*(1.429962^(MIN($E2186,123)-117)))*1,0))</f>
        <v>524024</v>
      </c>
      <c r="S2186" s="13">
        <f>$E2186+8</f>
        <v>116</v>
      </c>
      <c r="T2186" s="14">
        <f>IF($J2186=0,0,ROUND(MAX($J2186*1.4*1.5*1.6*1.6*2.2,42600000*(1.576904^(MIN($E2186,123)-117)))*1,0))</f>
        <v>1036063</v>
      </c>
      <c r="U2186" s="11">
        <f>$E2186+11</f>
        <v>119</v>
      </c>
      <c r="V2186" s="12">
        <f>IF($J2186=0,0,ROUND(MAX($J2186*1.4*1.5*1.6*1.6*2.2*2.715,354000000*(1.642074^(MIN($E2186,123)-117)))*1,0))</f>
        <v>4078202</v>
      </c>
      <c r="W2186" s="13">
        <f>$E2186+15</f>
        <v>123</v>
      </c>
      <c r="X2186" s="14">
        <f>IF($J2186=0,0,ROUND(MAX($J2186*1.4*1.5*1.6*1.6*2.2*2.715*2.6,3540000000*(1.579646^(MIN($E2186,123)-117)))*1,0))</f>
        <v>57804988</v>
      </c>
      <c r="Y2186" s="11">
        <f>$E2186+17</f>
        <v>125</v>
      </c>
      <c r="Z2186" s="12">
        <f>IF($J2186=0,0,ROUND(MAX($J2186*1.4*1.5*1.6*1.6*2.2*2.715*2.6*1.4,6020000000*(1.651178^(MIN($E2186,123)-117)))*1,0))</f>
        <v>65985946</v>
      </c>
      <c r="AA2186" s="13">
        <f>$E2186+19</f>
        <v>127</v>
      </c>
      <c r="AB2186" s="14">
        <f>IF($J2186=0,0,ROUND(MAX($J2186*1.4*1.5*1.6*1.6*2.2*2.715*2.6*1.4*1.4,8430000000*(1.651435^(MIN($E2186,123)-117)))*1,0))</f>
        <v>92272909</v>
      </c>
      <c r="AC2186" s="11">
        <f>$E2186+21</f>
        <v>129</v>
      </c>
      <c r="AD2186" s="12">
        <f>IF($J2186=0,0,ROUND(MAX($J2186*1.4*1.5*1.6*1.6*2.2*2.715*2.6*1.4*1.4*1.5,12600000000*(1.652953^(MIN($E2186,123)-117)))*1,0))</f>
        <v>136781071</v>
      </c>
      <c r="AE2186" s="13">
        <f>$E2186+24</f>
        <v>132</v>
      </c>
      <c r="AF2186" s="14">
        <f>IF($J2186=0,0,ROUND(MAX($J2186*1.4*1.5*1.6*1.6*2.2*2.715*2.6*1.4*1.4*1.5*1.5,18900000000*(1.65331^(MIN($E2186,123)-117)))*1,0))</f>
        <v>204773225</v>
      </c>
      <c r="AG2186" s="11">
        <f>$E2186+27</f>
        <v>135</v>
      </c>
      <c r="AH2186" s="12">
        <f>IF($J2186=0,0,ROUND(MAX($J2186*1.4*1.5*1.6*1.6*2.2*2.715*2.6*1.4*1.4*1.5*1.5*3.2,60500000000*(1.654288^(MIN($E2186,123)-117)))*1,0))</f>
        <v>652011566</v>
      </c>
    </row>
    <row r="2187" ht="28" customHeight="1" spans="1:34" x14ac:dyDescent="0.25">
      <c r="A2187">
        <v>2197</v>
      </c>
      <c r="B2187" t="s">
        <v>1317</v>
      </c>
      <c r="C2187" s="10" t="s">
        <v>1278</v>
      </c>
      <c r="D2187" t="s">
        <v>165</v>
      </c>
      <c r="E2187">
        <v>108</v>
      </c>
      <c r="F2187" t="s">
        <v>179</v>
      </c>
      <c r="G2187" t="s">
        <v>1312</v>
      </c>
      <c r="H2187">
        <v>24</v>
      </c>
      <c r="I2187" s="11">
        <f>$E2187+0</f>
        <v>108</v>
      </c>
      <c r="J2187" s="12">
        <v>87900</v>
      </c>
      <c r="K2187" s="13">
        <f>$E2187+1</f>
        <v>109</v>
      </c>
      <c r="L2187" s="14">
        <f>IF($J2187=0,0,ROUND(MAX($J2187*1.4,1620000*(1.497923^(MIN($E2187,123)-117)))*1,0))</f>
        <v>123060</v>
      </c>
      <c r="M2187" s="11">
        <f>$E2187+2</f>
        <v>110</v>
      </c>
      <c r="N2187" s="12">
        <f>IF($J2187=0,0,ROUND(MAX($J2187*1.4*1.5,2190000*(1.580994^(MIN($E2187,123)-117)))*1,0))</f>
        <v>184590</v>
      </c>
      <c r="O2187" s="13">
        <f>$E2187+4</f>
        <v>112</v>
      </c>
      <c r="P2187" s="14">
        <f>IF($J2187=0,0,ROUND(MAX($J2187*1.4*1.5*1.6,3500000*(1.57975^(MIN($E2187,123)-117)))*1,0))</f>
        <v>295344</v>
      </c>
      <c r="Q2187" s="11">
        <f>$E2187+6</f>
        <v>114</v>
      </c>
      <c r="R2187" s="12">
        <f>IF($J2187=0,0,ROUND(MAX($J2187*1.4*1.5*1.6*1.6,13100000*(1.429962^(MIN($E2187,123)-117)))*1,0))</f>
        <v>524024</v>
      </c>
      <c r="S2187" s="13">
        <f>$E2187+8</f>
        <v>116</v>
      </c>
      <c r="T2187" s="14">
        <f>IF($J2187=0,0,ROUND(MAX($J2187*1.4*1.5*1.6*1.6*2.2,42600000*(1.576904^(MIN($E2187,123)-117)))*1,0))</f>
        <v>1039611</v>
      </c>
      <c r="U2187" s="11">
        <f>$E2187+11</f>
        <v>119</v>
      </c>
      <c r="V2187" s="12">
        <f>IF($J2187=0,0,ROUND(MAX($J2187*1.4*1.5*1.6*1.6*2.2*2.715,354000000*(1.642074^(MIN($E2187,123)-117)))*1,0))</f>
        <v>4078202</v>
      </c>
      <c r="W2187" s="13">
        <f>$E2187+15</f>
        <v>123</v>
      </c>
      <c r="X2187" s="14">
        <f>IF($J2187=0,0,ROUND(MAX($J2187*1.4*1.5*1.6*1.6*2.2*2.715*2.6,3540000000*(1.579646^(MIN($E2187,123)-117)))*1,0))</f>
        <v>57804988</v>
      </c>
      <c r="Y2187" s="11">
        <f>$E2187+17</f>
        <v>125</v>
      </c>
      <c r="Z2187" s="12">
        <f>IF($J2187=0,0,ROUND(MAX($J2187*1.4*1.5*1.6*1.6*2.2*2.715*2.6*1.4,6020000000*(1.651178^(MIN($E2187,123)-117)))*1,0))</f>
        <v>65985946</v>
      </c>
      <c r="AA2187" s="13">
        <f>$E2187+19</f>
        <v>127</v>
      </c>
      <c r="AB2187" s="14">
        <f>IF($J2187=0,0,ROUND(MAX($J2187*1.4*1.5*1.6*1.6*2.2*2.715*2.6*1.4*1.4,8430000000*(1.651435^(MIN($E2187,123)-117)))*1,0))</f>
        <v>92272909</v>
      </c>
      <c r="AC2187" s="11">
        <f>$E2187+21</f>
        <v>129</v>
      </c>
      <c r="AD2187" s="12">
        <f>IF($J2187=0,0,ROUND(MAX($J2187*1.4*1.5*1.6*1.6*2.2*2.715*2.6*1.4*1.4*1.5,12600000000*(1.652953^(MIN($E2187,123)-117)))*1,0))</f>
        <v>136781071</v>
      </c>
      <c r="AE2187" s="13">
        <f>$E2187+24</f>
        <v>132</v>
      </c>
      <c r="AF2187" s="14">
        <f>IF($J2187=0,0,ROUND(MAX($J2187*1.4*1.5*1.6*1.6*2.2*2.715*2.6*1.4*1.4*1.5*1.5,18900000000*(1.65331^(MIN($E2187,123)-117)))*1,0))</f>
        <v>204773225</v>
      </c>
      <c r="AG2187" s="11">
        <f>$E2187+27</f>
        <v>135</v>
      </c>
      <c r="AH2187" s="12">
        <f>IF($J2187=0,0,ROUND(MAX($J2187*1.4*1.5*1.6*1.6*2.2*2.715*2.6*1.4*1.4*1.5*1.5*3.2,60500000000*(1.654288^(MIN($E2187,123)-117)))*1,0))</f>
        <v>652011566</v>
      </c>
    </row>
    <row r="2188" ht="28" customHeight="1" spans="1:34" x14ac:dyDescent="0.25">
      <c r="A2188">
        <v>2198</v>
      </c>
      <c r="B2188" t="s">
        <v>568</v>
      </c>
      <c r="C2188" s="10" t="s">
        <v>1278</v>
      </c>
      <c r="D2188" t="s">
        <v>33</v>
      </c>
      <c r="E2188">
        <v>108</v>
      </c>
      <c r="F2188" t="s">
        <v>34</v>
      </c>
      <c r="G2188" t="s">
        <v>569</v>
      </c>
      <c r="H2188">
        <v>24</v>
      </c>
      <c r="I2188" s="11">
        <f>$E2188+0</f>
        <v>108</v>
      </c>
      <c r="J2188" s="12">
        <v>54700</v>
      </c>
      <c r="K2188" s="13">
        <f>$E2188+1</f>
        <v>109</v>
      </c>
      <c r="L2188" s="14">
        <f>IF($J2188=0,0,ROUND(MAX($J2188*1.4,1620000*(1.497923^(MIN($E2188,123)-117)))*1,0))</f>
        <v>76580</v>
      </c>
      <c r="M2188" s="11">
        <f>$E2188+2</f>
        <v>110</v>
      </c>
      <c r="N2188" s="12">
        <f>IF($J2188=0,0,ROUND(MAX($J2188*1.4*1.5,2190000*(1.580994^(MIN($E2188,123)-117)))*1,0))</f>
        <v>114870</v>
      </c>
      <c r="O2188" s="13">
        <f>$E2188+4</f>
        <v>112</v>
      </c>
      <c r="P2188" s="14">
        <f>IF($J2188=0,0,ROUND(MAX($J2188*1.4*1.5*1.6,3500000*(1.57975^(MIN($E2188,123)-117)))*1,0))</f>
        <v>183792</v>
      </c>
      <c r="Q2188" s="11">
        <f>$E2188+6</f>
        <v>114</v>
      </c>
      <c r="R2188" s="12">
        <f>IF($J2188=0,0,ROUND(MAX($J2188*1.4*1.5*1.6*1.6,13100000*(1.429962^(MIN($E2188,123)-117)))*1,0))</f>
        <v>524024</v>
      </c>
      <c r="S2188" s="13">
        <f>$E2188+8</f>
        <v>116</v>
      </c>
      <c r="T2188" s="14">
        <f>IF($J2188=0,0,ROUND(MAX($J2188*1.4*1.5*1.6*1.6*2.2,42600000*(1.576904^(MIN($E2188,123)-117)))*1,0))</f>
        <v>706582</v>
      </c>
      <c r="U2188" s="11">
        <f>$E2188+11</f>
        <v>119</v>
      </c>
      <c r="V2188" s="12">
        <f>IF($J2188=0,0,ROUND(MAX($J2188*1.4*1.5*1.6*1.6*2.2*2.715,354000000*(1.642074^(MIN($E2188,123)-117)))*1,0))</f>
        <v>4078202</v>
      </c>
      <c r="W2188" s="13">
        <f>$E2188+15</f>
        <v>123</v>
      </c>
      <c r="X2188" s="14">
        <f>IF($J2188=0,0,ROUND(MAX($J2188*1.4*1.5*1.6*1.6*2.2*2.715*2.6,3540000000*(1.579646^(MIN($E2188,123)-117)))*1,0))</f>
        <v>57804988</v>
      </c>
      <c r="Y2188" s="11">
        <f>$E2188+17</f>
        <v>125</v>
      </c>
      <c r="Z2188" s="12">
        <f>IF($J2188=0,0,ROUND(MAX($J2188*1.4*1.5*1.6*1.6*2.2*2.715*2.6*1.4,6020000000*(1.651178^(MIN($E2188,123)-117)))*1,0))</f>
        <v>65985946</v>
      </c>
      <c r="AA2188" s="13">
        <f>$E2188+19</f>
        <v>127</v>
      </c>
      <c r="AB2188" s="14">
        <f>IF($J2188=0,0,ROUND(MAX($J2188*1.4*1.5*1.6*1.6*2.2*2.715*2.6*1.4*1.4,8430000000*(1.651435^(MIN($E2188,123)-117)))*1,0))</f>
        <v>92272909</v>
      </c>
      <c r="AC2188" s="11">
        <f>$E2188+21</f>
        <v>129</v>
      </c>
      <c r="AD2188" s="12">
        <f>IF($J2188=0,0,ROUND(MAX($J2188*1.4*1.5*1.6*1.6*2.2*2.715*2.6*1.4*1.4*1.5,12600000000*(1.652953^(MIN($E2188,123)-117)))*1,0))</f>
        <v>136781071</v>
      </c>
      <c r="AE2188" s="13">
        <f>$E2188+24</f>
        <v>132</v>
      </c>
      <c r="AF2188" s="14">
        <f>IF($J2188=0,0,ROUND(MAX($J2188*1.4*1.5*1.6*1.6*2.2*2.715*2.6*1.4*1.4*1.5*1.5,18900000000*(1.65331^(MIN($E2188,123)-117)))*1,0))</f>
        <v>204773225</v>
      </c>
      <c r="AG2188" s="11">
        <f>$E2188+27</f>
        <v>135</v>
      </c>
      <c r="AH2188" s="12">
        <f>IF($J2188=0,0,ROUND(MAX($J2188*1.4*1.5*1.6*1.6*2.2*2.715*2.6*1.4*1.4*1.5*1.5*3.2,60500000000*(1.654288^(MIN($E2188,123)-117)))*1,0))</f>
        <v>652011566</v>
      </c>
    </row>
    <row r="2189" ht="28" customHeight="1" spans="1:34" x14ac:dyDescent="0.25">
      <c r="A2189">
        <v>2199</v>
      </c>
      <c r="B2189" t="s">
        <v>1318</v>
      </c>
      <c r="C2189" s="10" t="s">
        <v>1278</v>
      </c>
      <c r="D2189" t="s">
        <v>40</v>
      </c>
      <c r="E2189">
        <v>108</v>
      </c>
      <c r="F2189" t="s">
        <v>34</v>
      </c>
      <c r="G2189" t="s">
        <v>1319</v>
      </c>
      <c r="H2189">
        <v>24</v>
      </c>
      <c r="I2189" s="11">
        <f>$E2189+0</f>
        <v>108</v>
      </c>
      <c r="J2189" s="12">
        <v>70900</v>
      </c>
      <c r="K2189" s="13">
        <f>$E2189+1</f>
        <v>109</v>
      </c>
      <c r="L2189" s="14">
        <f>IF($J2189=0,0,ROUND(MAX($J2189*1.4,1620000*(1.497923^(MIN($E2189,123)-117)))*1,0))</f>
        <v>99260</v>
      </c>
      <c r="M2189" s="11">
        <f>$E2189+2</f>
        <v>110</v>
      </c>
      <c r="N2189" s="12">
        <f>IF($J2189=0,0,ROUND(MAX($J2189*1.4*1.5,2190000*(1.580994^(MIN($E2189,123)-117)))*1,0))</f>
        <v>148890</v>
      </c>
      <c r="O2189" s="13">
        <f>$E2189+4</f>
        <v>112</v>
      </c>
      <c r="P2189" s="14">
        <f>IF($J2189=0,0,ROUND(MAX($J2189*1.4*1.5*1.6,3500000*(1.57975^(MIN($E2189,123)-117)))*1,0))</f>
        <v>238224</v>
      </c>
      <c r="Q2189" s="11">
        <f>$E2189+6</f>
        <v>114</v>
      </c>
      <c r="R2189" s="12">
        <f>IF($J2189=0,0,ROUND(MAX($J2189*1.4*1.5*1.6*1.6,13100000*(1.429962^(MIN($E2189,123)-117)))*1,0))</f>
        <v>524024</v>
      </c>
      <c r="S2189" s="13">
        <f>$E2189+8</f>
        <v>116</v>
      </c>
      <c r="T2189" s="14">
        <f>IF($J2189=0,0,ROUND(MAX($J2189*1.4*1.5*1.6*1.6*2.2,42600000*(1.576904^(MIN($E2189,123)-117)))*1,0))</f>
        <v>838548</v>
      </c>
      <c r="U2189" s="11">
        <f>$E2189+11</f>
        <v>119</v>
      </c>
      <c r="V2189" s="12">
        <f>IF($J2189=0,0,ROUND(MAX($J2189*1.4*1.5*1.6*1.6*2.2*2.715,354000000*(1.642074^(MIN($E2189,123)-117)))*1,0))</f>
        <v>4078202</v>
      </c>
      <c r="W2189" s="13">
        <f>$E2189+15</f>
        <v>123</v>
      </c>
      <c r="X2189" s="14">
        <f>IF($J2189=0,0,ROUND(MAX($J2189*1.4*1.5*1.6*1.6*2.2*2.715*2.6,3540000000*(1.579646^(MIN($E2189,123)-117)))*1,0))</f>
        <v>57804988</v>
      </c>
      <c r="Y2189" s="11">
        <f>$E2189+17</f>
        <v>125</v>
      </c>
      <c r="Z2189" s="12">
        <f>IF($J2189=0,0,ROUND(MAX($J2189*1.4*1.5*1.6*1.6*2.2*2.715*2.6*1.4,6020000000*(1.651178^(MIN($E2189,123)-117)))*1,0))</f>
        <v>65985946</v>
      </c>
      <c r="AA2189" s="13">
        <f>$E2189+19</f>
        <v>127</v>
      </c>
      <c r="AB2189" s="14">
        <f>IF($J2189=0,0,ROUND(MAX($J2189*1.4*1.5*1.6*1.6*2.2*2.715*2.6*1.4*1.4,8430000000*(1.651435^(MIN($E2189,123)-117)))*1,0))</f>
        <v>92272909</v>
      </c>
      <c r="AC2189" s="11">
        <f>$E2189+21</f>
        <v>129</v>
      </c>
      <c r="AD2189" s="12">
        <f>IF($J2189=0,0,ROUND(MAX($J2189*1.4*1.5*1.6*1.6*2.2*2.715*2.6*1.4*1.4*1.5,12600000000*(1.652953^(MIN($E2189,123)-117)))*1,0))</f>
        <v>136781071</v>
      </c>
      <c r="AE2189" s="13">
        <f>$E2189+24</f>
        <v>132</v>
      </c>
      <c r="AF2189" s="14">
        <f>IF($J2189=0,0,ROUND(MAX($J2189*1.4*1.5*1.6*1.6*2.2*2.715*2.6*1.4*1.4*1.5*1.5,18900000000*(1.65331^(MIN($E2189,123)-117)))*1,0))</f>
        <v>204773225</v>
      </c>
      <c r="AG2189" s="11">
        <f>$E2189+27</f>
        <v>135</v>
      </c>
      <c r="AH2189" s="12">
        <f>IF($J2189=0,0,ROUND(MAX($J2189*1.4*1.5*1.6*1.6*2.2*2.715*2.6*1.4*1.4*1.5*1.5*3.2,60500000000*(1.654288^(MIN($E2189,123)-117)))*1,0))</f>
        <v>652011566</v>
      </c>
    </row>
    <row r="2190" ht="28" customHeight="1" spans="1:34" x14ac:dyDescent="0.25">
      <c r="A2190">
        <v>2200</v>
      </c>
      <c r="B2190" t="s">
        <v>1320</v>
      </c>
      <c r="C2190" s="10" t="s">
        <v>1278</v>
      </c>
      <c r="D2190" t="s">
        <v>93</v>
      </c>
      <c r="E2190">
        <v>108</v>
      </c>
      <c r="F2190" t="s">
        <v>34</v>
      </c>
      <c r="G2190" t="s">
        <v>1321</v>
      </c>
      <c r="H2190">
        <v>24</v>
      </c>
      <c r="I2190" s="11">
        <f>$E2190+0</f>
        <v>108</v>
      </c>
      <c r="J2190" s="12">
        <v>100000</v>
      </c>
      <c r="K2190" s="13">
        <f>$E2190+1</f>
        <v>109</v>
      </c>
      <c r="L2190" s="14">
        <f>IF($J2190=0,0,ROUND(MAX($J2190*1.4,1620000*(1.497923^(MIN($E2190,123)-117)))*1,0))</f>
        <v>140000</v>
      </c>
      <c r="M2190" s="11">
        <f>$E2190+2</f>
        <v>110</v>
      </c>
      <c r="N2190" s="12">
        <f>IF($J2190=0,0,ROUND(MAX($J2190*1.4*1.5,2190000*(1.580994^(MIN($E2190,123)-117)))*1,0))</f>
        <v>210000</v>
      </c>
      <c r="O2190" s="13">
        <f>$E2190+4</f>
        <v>112</v>
      </c>
      <c r="P2190" s="14">
        <f>IF($J2190=0,0,ROUND(MAX($J2190*1.4*1.5*1.6,3500000*(1.57975^(MIN($E2190,123)-117)))*1,0))</f>
        <v>336000</v>
      </c>
      <c r="Q2190" s="11">
        <f>$E2190+6</f>
        <v>114</v>
      </c>
      <c r="R2190" s="12">
        <f>IF($J2190=0,0,ROUND(MAX($J2190*1.4*1.5*1.6*1.6,13100000*(1.429962^(MIN($E2190,123)-117)))*1,0))</f>
        <v>537600</v>
      </c>
      <c r="S2190" s="13">
        <f>$E2190+8</f>
        <v>116</v>
      </c>
      <c r="T2190" s="14">
        <f>IF($J2190=0,0,ROUND(MAX($J2190*1.4*1.5*1.6*1.6*2.2,42600000*(1.576904^(MIN($E2190,123)-117)))*1,0))</f>
        <v>1182720</v>
      </c>
      <c r="U2190" s="11">
        <f>$E2190+11</f>
        <v>119</v>
      </c>
      <c r="V2190" s="12">
        <f>IF($J2190=0,0,ROUND(MAX($J2190*1.4*1.5*1.6*1.6*2.2*2.715,354000000*(1.642074^(MIN($E2190,123)-117)))*1,0))</f>
        <v>4078202</v>
      </c>
      <c r="W2190" s="13">
        <f>$E2190+15</f>
        <v>123</v>
      </c>
      <c r="X2190" s="14">
        <f>IF($J2190=0,0,ROUND(MAX($J2190*1.4*1.5*1.6*1.6*2.2*2.715*2.6,3540000000*(1.579646^(MIN($E2190,123)-117)))*1,0))</f>
        <v>57804988</v>
      </c>
      <c r="Y2190" s="11">
        <f>$E2190+17</f>
        <v>125</v>
      </c>
      <c r="Z2190" s="12">
        <f>IF($J2190=0,0,ROUND(MAX($J2190*1.4*1.5*1.6*1.6*2.2*2.715*2.6*1.4,6020000000*(1.651178^(MIN($E2190,123)-117)))*1,0))</f>
        <v>65985946</v>
      </c>
      <c r="AA2190" s="13">
        <f>$E2190+19</f>
        <v>127</v>
      </c>
      <c r="AB2190" s="14">
        <f>IF($J2190=0,0,ROUND(MAX($J2190*1.4*1.5*1.6*1.6*2.2*2.715*2.6*1.4*1.4,8430000000*(1.651435^(MIN($E2190,123)-117)))*1,0))</f>
        <v>92272909</v>
      </c>
      <c r="AC2190" s="11">
        <f>$E2190+21</f>
        <v>129</v>
      </c>
      <c r="AD2190" s="12">
        <f>IF($J2190=0,0,ROUND(MAX($J2190*1.4*1.5*1.6*1.6*2.2*2.715*2.6*1.4*1.4*1.5,12600000000*(1.652953^(MIN($E2190,123)-117)))*1,0))</f>
        <v>136781071</v>
      </c>
      <c r="AE2190" s="13">
        <f>$E2190+24</f>
        <v>132</v>
      </c>
      <c r="AF2190" s="14">
        <f>IF($J2190=0,0,ROUND(MAX($J2190*1.4*1.5*1.6*1.6*2.2*2.715*2.6*1.4*1.4*1.5*1.5,18900000000*(1.65331^(MIN($E2190,123)-117)))*1,0))</f>
        <v>204773225</v>
      </c>
      <c r="AG2190" s="11">
        <f>$E2190+27</f>
        <v>135</v>
      </c>
      <c r="AH2190" s="12">
        <f>IF($J2190=0,0,ROUND(MAX($J2190*1.4*1.5*1.6*1.6*2.2*2.715*2.6*1.4*1.4*1.5*1.5*3.2,60500000000*(1.654288^(MIN($E2190,123)-117)))*1,0))</f>
        <v>652011566</v>
      </c>
    </row>
    <row r="2191" ht="28" customHeight="1" spans="1:34" x14ac:dyDescent="0.25">
      <c r="A2191">
        <v>2201</v>
      </c>
      <c r="B2191" t="s">
        <v>1322</v>
      </c>
      <c r="C2191" s="10" t="s">
        <v>1278</v>
      </c>
      <c r="D2191" t="s">
        <v>45</v>
      </c>
      <c r="E2191">
        <v>108</v>
      </c>
      <c r="F2191" t="s">
        <v>400</v>
      </c>
      <c r="G2191" t="s">
        <v>1323</v>
      </c>
      <c r="H2191">
        <v>24</v>
      </c>
      <c r="I2191" s="11">
        <f>$E2191+0</f>
        <v>108</v>
      </c>
      <c r="J2191" s="12">
        <v>147000</v>
      </c>
      <c r="K2191" s="13">
        <f>$E2191+1</f>
        <v>109</v>
      </c>
      <c r="L2191" s="14">
        <f>IF($J2191=0,0,ROUND(MAX($J2191*1.4,1620000*(1.497923^(MIN($E2191,123)-117)))*1,0))</f>
        <v>205800</v>
      </c>
      <c r="M2191" s="11">
        <f>$E2191+2</f>
        <v>110</v>
      </c>
      <c r="N2191" s="12">
        <f>IF($J2191=0,0,ROUND(MAX($J2191*1.4*1.5,2190000*(1.580994^(MIN($E2191,123)-117)))*1,0))</f>
        <v>308700</v>
      </c>
      <c r="O2191" s="13">
        <f>$E2191+4</f>
        <v>112</v>
      </c>
      <c r="P2191" s="14">
        <f>IF($J2191=0,0,ROUND(MAX($J2191*1.4*1.5*1.6,3500000*(1.57975^(MIN($E2191,123)-117)))*1,0))</f>
        <v>493920</v>
      </c>
      <c r="Q2191" s="11">
        <f>$E2191+6</f>
        <v>114</v>
      </c>
      <c r="R2191" s="12">
        <f>IF($J2191=0,0,ROUND(MAX($J2191*1.4*1.5*1.6*1.6,13100000*(1.429962^(MIN($E2191,123)-117)))*1,0))</f>
        <v>790272</v>
      </c>
      <c r="S2191" s="13">
        <f>$E2191+8</f>
        <v>116</v>
      </c>
      <c r="T2191" s="14">
        <f>IF($J2191=0,0,ROUND(MAX($J2191*1.4*1.5*1.6*1.6*2.2,42600000*(1.576904^(MIN($E2191,123)-117)))*1,0))</f>
        <v>1738598</v>
      </c>
      <c r="U2191" s="11">
        <f>$E2191+11</f>
        <v>119</v>
      </c>
      <c r="V2191" s="12">
        <f>IF($J2191=0,0,ROUND(MAX($J2191*1.4*1.5*1.6*1.6*2.2*2.715,354000000*(1.642074^(MIN($E2191,123)-117)))*1,0))</f>
        <v>4720295</v>
      </c>
      <c r="W2191" s="13">
        <f>$E2191+15</f>
        <v>123</v>
      </c>
      <c r="X2191" s="14">
        <f>IF($J2191=0,0,ROUND(MAX($J2191*1.4*1.5*1.6*1.6*2.2*2.715*2.6,3540000000*(1.579646^(MIN($E2191,123)-117)))*1,0))</f>
        <v>57804988</v>
      </c>
      <c r="Y2191" s="11">
        <f>$E2191+17</f>
        <v>125</v>
      </c>
      <c r="Z2191" s="12">
        <f>IF($J2191=0,0,ROUND(MAX($J2191*1.4*1.5*1.6*1.6*2.2*2.715*2.6*1.4,6020000000*(1.651178^(MIN($E2191,123)-117)))*1,0))</f>
        <v>65985946</v>
      </c>
      <c r="AA2191" s="13">
        <f>$E2191+19</f>
        <v>127</v>
      </c>
      <c r="AB2191" s="14">
        <f>IF($J2191=0,0,ROUND(MAX($J2191*1.4*1.5*1.6*1.6*2.2*2.715*2.6*1.4*1.4,8430000000*(1.651435^(MIN($E2191,123)-117)))*1,0))</f>
        <v>92272909</v>
      </c>
      <c r="AC2191" s="11">
        <f>$E2191+21</f>
        <v>129</v>
      </c>
      <c r="AD2191" s="12">
        <f>IF($J2191=0,0,ROUND(MAX($J2191*1.4*1.5*1.6*1.6*2.2*2.715*2.6*1.4*1.4*1.5,12600000000*(1.652953^(MIN($E2191,123)-117)))*1,0))</f>
        <v>136781071</v>
      </c>
      <c r="AE2191" s="13">
        <f>$E2191+24</f>
        <v>132</v>
      </c>
      <c r="AF2191" s="14">
        <f>IF($J2191=0,0,ROUND(MAX($J2191*1.4*1.5*1.6*1.6*2.2*2.715*2.6*1.4*1.4*1.5*1.5,18900000000*(1.65331^(MIN($E2191,123)-117)))*1,0))</f>
        <v>204773225</v>
      </c>
      <c r="AG2191" s="11">
        <f>$E2191+27</f>
        <v>135</v>
      </c>
      <c r="AH2191" s="12">
        <f>IF($J2191=0,0,ROUND(MAX($J2191*1.4*1.5*1.6*1.6*2.2*2.715*2.6*1.4*1.4*1.5*1.5*3.2,60500000000*(1.654288^(MIN($E2191,123)-117)))*1,0))</f>
        <v>652011566</v>
      </c>
    </row>
    <row r="2192" ht="28" customHeight="1" spans="1:34" x14ac:dyDescent="0.25">
      <c r="A2192">
        <v>2202</v>
      </c>
      <c r="B2192" t="s">
        <v>1324</v>
      </c>
      <c r="C2192" s="10" t="s">
        <v>1278</v>
      </c>
      <c r="D2192" t="s">
        <v>33</v>
      </c>
      <c r="E2192">
        <v>108</v>
      </c>
      <c r="F2192" t="s">
        <v>34</v>
      </c>
      <c r="G2192" t="s">
        <v>1325</v>
      </c>
      <c r="H2192">
        <v>24</v>
      </c>
      <c r="I2192" s="11">
        <f>$E2192+0</f>
        <v>108</v>
      </c>
      <c r="J2192" s="12">
        <v>84300</v>
      </c>
      <c r="K2192" s="13">
        <f>$E2192+1</f>
        <v>109</v>
      </c>
      <c r="L2192" s="14">
        <f>IF($J2192=0,0,ROUND(MAX($J2192*1.4,1620000*(1.497923^(MIN($E2192,123)-117)))*1,0))</f>
        <v>118020</v>
      </c>
      <c r="M2192" s="11">
        <f>$E2192+2</f>
        <v>110</v>
      </c>
      <c r="N2192" s="12">
        <f>IF($J2192=0,0,ROUND(MAX($J2192*1.4*1.5,2190000*(1.580994^(MIN($E2192,123)-117)))*1,0))</f>
        <v>177030</v>
      </c>
      <c r="O2192" s="13">
        <f>$E2192+4</f>
        <v>112</v>
      </c>
      <c r="P2192" s="14">
        <f>IF($J2192=0,0,ROUND(MAX($J2192*1.4*1.5*1.6,3500000*(1.57975^(MIN($E2192,123)-117)))*1,0))</f>
        <v>283248</v>
      </c>
      <c r="Q2192" s="11">
        <f>$E2192+6</f>
        <v>114</v>
      </c>
      <c r="R2192" s="12">
        <f>IF($J2192=0,0,ROUND(MAX($J2192*1.4*1.5*1.6*1.6,13100000*(1.429962^(MIN($E2192,123)-117)))*1,0))</f>
        <v>524024</v>
      </c>
      <c r="S2192" s="13">
        <f>$E2192+8</f>
        <v>116</v>
      </c>
      <c r="T2192" s="14">
        <f>IF($J2192=0,0,ROUND(MAX($J2192*1.4*1.5*1.6*1.6*2.2,42600000*(1.576904^(MIN($E2192,123)-117)))*1,0))</f>
        <v>997033</v>
      </c>
      <c r="U2192" s="11">
        <f>$E2192+11</f>
        <v>119</v>
      </c>
      <c r="V2192" s="12">
        <f>IF($J2192=0,0,ROUND(MAX($J2192*1.4*1.5*1.6*1.6*2.2*2.715,354000000*(1.642074^(MIN($E2192,123)-117)))*1,0))</f>
        <v>4078202</v>
      </c>
      <c r="W2192" s="13">
        <f>$E2192+15</f>
        <v>123</v>
      </c>
      <c r="X2192" s="14">
        <f>IF($J2192=0,0,ROUND(MAX($J2192*1.4*1.5*1.6*1.6*2.2*2.715*2.6,3540000000*(1.579646^(MIN($E2192,123)-117)))*1,0))</f>
        <v>57804988</v>
      </c>
      <c r="Y2192" s="11">
        <f>$E2192+17</f>
        <v>125</v>
      </c>
      <c r="Z2192" s="12">
        <f>IF($J2192=0,0,ROUND(MAX($J2192*1.4*1.5*1.6*1.6*2.2*2.715*2.6*1.4,6020000000*(1.651178^(MIN($E2192,123)-117)))*1,0))</f>
        <v>65985946</v>
      </c>
      <c r="AA2192" s="13">
        <f>$E2192+19</f>
        <v>127</v>
      </c>
      <c r="AB2192" s="14">
        <f>IF($J2192=0,0,ROUND(MAX($J2192*1.4*1.5*1.6*1.6*2.2*2.715*2.6*1.4*1.4,8430000000*(1.651435^(MIN($E2192,123)-117)))*1,0))</f>
        <v>92272909</v>
      </c>
      <c r="AC2192" s="11">
        <f>$E2192+21</f>
        <v>129</v>
      </c>
      <c r="AD2192" s="12">
        <f>IF($J2192=0,0,ROUND(MAX($J2192*1.4*1.5*1.6*1.6*2.2*2.715*2.6*1.4*1.4*1.5,12600000000*(1.652953^(MIN($E2192,123)-117)))*1,0))</f>
        <v>136781071</v>
      </c>
      <c r="AE2192" s="13">
        <f>$E2192+24</f>
        <v>132</v>
      </c>
      <c r="AF2192" s="14">
        <f>IF($J2192=0,0,ROUND(MAX($J2192*1.4*1.5*1.6*1.6*2.2*2.715*2.6*1.4*1.4*1.5*1.5,18900000000*(1.65331^(MIN($E2192,123)-117)))*1,0))</f>
        <v>204773225</v>
      </c>
      <c r="AG2192" s="11">
        <f>$E2192+27</f>
        <v>135</v>
      </c>
      <c r="AH2192" s="12">
        <f>IF($J2192=0,0,ROUND(MAX($J2192*1.4*1.5*1.6*1.6*2.2*2.715*2.6*1.4*1.4*1.5*1.5*3.2,60500000000*(1.654288^(MIN($E2192,123)-117)))*1,0))</f>
        <v>652011566</v>
      </c>
    </row>
    <row r="2193" ht="28" customHeight="1" spans="1:34" x14ac:dyDescent="0.25">
      <c r="A2193">
        <v>2203</v>
      </c>
      <c r="B2193" t="s">
        <v>1251</v>
      </c>
      <c r="C2193" s="10" t="s">
        <v>1278</v>
      </c>
      <c r="D2193" t="s">
        <v>33</v>
      </c>
      <c r="E2193">
        <v>108</v>
      </c>
      <c r="F2193" t="s">
        <v>56</v>
      </c>
      <c r="G2193" t="s">
        <v>586</v>
      </c>
      <c r="H2193">
        <v>24</v>
      </c>
      <c r="I2193" s="11">
        <f>$E2193+0</f>
        <v>108</v>
      </c>
      <c r="J2193" s="12">
        <v>59800</v>
      </c>
      <c r="K2193" s="13">
        <f>$E2193+1</f>
        <v>109</v>
      </c>
      <c r="L2193" s="14">
        <f>IF($J2193=0,0,ROUND(MAX($J2193*1.4,1620000*(1.497923^(MIN($E2193,123)-117)))*1,0))</f>
        <v>83720</v>
      </c>
      <c r="M2193" s="11">
        <f>$E2193+2</f>
        <v>110</v>
      </c>
      <c r="N2193" s="12">
        <f>IF($J2193=0,0,ROUND(MAX($J2193*1.4*1.5,2190000*(1.580994^(MIN($E2193,123)-117)))*1,0))</f>
        <v>125580</v>
      </c>
      <c r="O2193" s="13">
        <f>$E2193+4</f>
        <v>112</v>
      </c>
      <c r="P2193" s="14">
        <f>IF($J2193=0,0,ROUND(MAX($J2193*1.4*1.5*1.6,3500000*(1.57975^(MIN($E2193,123)-117)))*1,0))</f>
        <v>200928</v>
      </c>
      <c r="Q2193" s="11">
        <f>$E2193+6</f>
        <v>114</v>
      </c>
      <c r="R2193" s="12">
        <f>IF($J2193=0,0,ROUND(MAX($J2193*1.4*1.5*1.6*1.6,13100000*(1.429962^(MIN($E2193,123)-117)))*1,0))</f>
        <v>524024</v>
      </c>
      <c r="S2193" s="13">
        <f>$E2193+8</f>
        <v>116</v>
      </c>
      <c r="T2193" s="14">
        <f>IF($J2193=0,0,ROUND(MAX($J2193*1.4*1.5*1.6*1.6*2.2,42600000*(1.576904^(MIN($E2193,123)-117)))*1,0))</f>
        <v>707267</v>
      </c>
      <c r="U2193" s="11">
        <f>$E2193+11</f>
        <v>119</v>
      </c>
      <c r="V2193" s="12">
        <f>IF($J2193=0,0,ROUND(MAX($J2193*1.4*1.5*1.6*1.6*2.2*2.715,354000000*(1.642074^(MIN($E2193,123)-117)))*1,0))</f>
        <v>4078202</v>
      </c>
      <c r="W2193" s="13">
        <f>$E2193+15</f>
        <v>123</v>
      </c>
      <c r="X2193" s="14">
        <f>IF($J2193=0,0,ROUND(MAX($J2193*1.4*1.5*1.6*1.6*2.2*2.715*2.6,3540000000*(1.579646^(MIN($E2193,123)-117)))*1,0))</f>
        <v>57804988</v>
      </c>
      <c r="Y2193" s="11">
        <f>$E2193+17</f>
        <v>125</v>
      </c>
      <c r="Z2193" s="12">
        <f>IF($J2193=0,0,ROUND(MAX($J2193*1.4*1.5*1.6*1.6*2.2*2.715*2.6*1.4,6020000000*(1.651178^(MIN($E2193,123)-117)))*1,0))</f>
        <v>65985946</v>
      </c>
      <c r="AA2193" s="13">
        <f>$E2193+19</f>
        <v>127</v>
      </c>
      <c r="AB2193" s="14">
        <f>IF($J2193=0,0,ROUND(MAX($J2193*1.4*1.5*1.6*1.6*2.2*2.715*2.6*1.4*1.4,8430000000*(1.651435^(MIN($E2193,123)-117)))*1,0))</f>
        <v>92272909</v>
      </c>
      <c r="AC2193" s="11">
        <f>$E2193+21</f>
        <v>129</v>
      </c>
      <c r="AD2193" s="12">
        <f>IF($J2193=0,0,ROUND(MAX($J2193*1.4*1.5*1.6*1.6*2.2*2.715*2.6*1.4*1.4*1.5,12600000000*(1.652953^(MIN($E2193,123)-117)))*1,0))</f>
        <v>136781071</v>
      </c>
      <c r="AE2193" s="13">
        <f>$E2193+24</f>
        <v>132</v>
      </c>
      <c r="AF2193" s="14">
        <f>IF($J2193=0,0,ROUND(MAX($J2193*1.4*1.5*1.6*1.6*2.2*2.715*2.6*1.4*1.4*1.5*1.5,18900000000*(1.65331^(MIN($E2193,123)-117)))*1,0))</f>
        <v>204773225</v>
      </c>
      <c r="AG2193" s="11">
        <f>$E2193+27</f>
        <v>135</v>
      </c>
      <c r="AH2193" s="12">
        <f>IF($J2193=0,0,ROUND(MAX($J2193*1.4*1.5*1.6*1.6*2.2*2.715*2.6*1.4*1.4*1.5*1.5*3.2,60500000000*(1.654288^(MIN($E2193,123)-117)))*1,0))</f>
        <v>652011566</v>
      </c>
    </row>
    <row r="2194" ht="28" customHeight="1" spans="1:34" x14ac:dyDescent="0.25">
      <c r="A2194">
        <v>2204</v>
      </c>
      <c r="B2194" t="s">
        <v>1326</v>
      </c>
      <c r="C2194" s="10" t="s">
        <v>1278</v>
      </c>
      <c r="D2194" t="s">
        <v>33</v>
      </c>
      <c r="E2194">
        <v>108</v>
      </c>
      <c r="F2194" t="s">
        <v>56</v>
      </c>
      <c r="G2194" t="s">
        <v>86</v>
      </c>
      <c r="H2194">
        <v>24</v>
      </c>
      <c r="I2194" s="11">
        <f>$E2194+0</f>
        <v>108</v>
      </c>
      <c r="J2194" s="12">
        <v>69200</v>
      </c>
      <c r="K2194" s="13">
        <f>$E2194+1</f>
        <v>109</v>
      </c>
      <c r="L2194" s="14">
        <f>IF($J2194=0,0,ROUND(MAX($J2194*1.4,1620000*(1.497923^(MIN($E2194,123)-117)))*1,0))</f>
        <v>96880</v>
      </c>
      <c r="M2194" s="11">
        <f>$E2194+2</f>
        <v>110</v>
      </c>
      <c r="N2194" s="12">
        <f>IF($J2194=0,0,ROUND(MAX($J2194*1.4*1.5,2190000*(1.580994^(MIN($E2194,123)-117)))*1,0))</f>
        <v>145320</v>
      </c>
      <c r="O2194" s="13">
        <f>$E2194+4</f>
        <v>112</v>
      </c>
      <c r="P2194" s="14">
        <f>IF($J2194=0,0,ROUND(MAX($J2194*1.4*1.5*1.6,3500000*(1.57975^(MIN($E2194,123)-117)))*1,0))</f>
        <v>232512</v>
      </c>
      <c r="Q2194" s="11">
        <f>$E2194+6</f>
        <v>114</v>
      </c>
      <c r="R2194" s="12">
        <f>IF($J2194=0,0,ROUND(MAX($J2194*1.4*1.5*1.6*1.6,13100000*(1.429962^(MIN($E2194,123)-117)))*1,0))</f>
        <v>524024</v>
      </c>
      <c r="S2194" s="13">
        <f>$E2194+8</f>
        <v>116</v>
      </c>
      <c r="T2194" s="14">
        <f>IF($J2194=0,0,ROUND(MAX($J2194*1.4*1.5*1.6*1.6*2.2,42600000*(1.576904^(MIN($E2194,123)-117)))*1,0))</f>
        <v>818442</v>
      </c>
      <c r="U2194" s="11">
        <f>$E2194+11</f>
        <v>119</v>
      </c>
      <c r="V2194" s="12">
        <f>IF($J2194=0,0,ROUND(MAX($J2194*1.4*1.5*1.6*1.6*2.2*2.715,354000000*(1.642074^(MIN($E2194,123)-117)))*1,0))</f>
        <v>4078202</v>
      </c>
      <c r="W2194" s="13">
        <f>$E2194+15</f>
        <v>123</v>
      </c>
      <c r="X2194" s="14">
        <f>IF($J2194=0,0,ROUND(MAX($J2194*1.4*1.5*1.6*1.6*2.2*2.715*2.6,3540000000*(1.579646^(MIN($E2194,123)-117)))*1,0))</f>
        <v>57804988</v>
      </c>
      <c r="Y2194" s="11">
        <f>$E2194+17</f>
        <v>125</v>
      </c>
      <c r="Z2194" s="12">
        <f>IF($J2194=0,0,ROUND(MAX($J2194*1.4*1.5*1.6*1.6*2.2*2.715*2.6*1.4,6020000000*(1.651178^(MIN($E2194,123)-117)))*1,0))</f>
        <v>65985946</v>
      </c>
      <c r="AA2194" s="13">
        <f>$E2194+19</f>
        <v>127</v>
      </c>
      <c r="AB2194" s="14">
        <f>IF($J2194=0,0,ROUND(MAX($J2194*1.4*1.5*1.6*1.6*2.2*2.715*2.6*1.4*1.4,8430000000*(1.651435^(MIN($E2194,123)-117)))*1,0))</f>
        <v>92272909</v>
      </c>
      <c r="AC2194" s="11">
        <f>$E2194+21</f>
        <v>129</v>
      </c>
      <c r="AD2194" s="12">
        <f>IF($J2194=0,0,ROUND(MAX($J2194*1.4*1.5*1.6*1.6*2.2*2.715*2.6*1.4*1.4*1.5,12600000000*(1.652953^(MIN($E2194,123)-117)))*1,0))</f>
        <v>136781071</v>
      </c>
      <c r="AE2194" s="13">
        <f>$E2194+24</f>
        <v>132</v>
      </c>
      <c r="AF2194" s="14">
        <f>IF($J2194=0,0,ROUND(MAX($J2194*1.4*1.5*1.6*1.6*2.2*2.715*2.6*1.4*1.4*1.5*1.5,18900000000*(1.65331^(MIN($E2194,123)-117)))*1,0))</f>
        <v>204773225</v>
      </c>
      <c r="AG2194" s="11">
        <f>$E2194+27</f>
        <v>135</v>
      </c>
      <c r="AH2194" s="12">
        <f>IF($J2194=0,0,ROUND(MAX($J2194*1.4*1.5*1.6*1.6*2.2*2.715*2.6*1.4*1.4*1.5*1.5*3.2,60500000000*(1.654288^(MIN($E2194,123)-117)))*1,0))</f>
        <v>652011566</v>
      </c>
    </row>
    <row r="2195" ht="28" customHeight="1" spans="1:34" x14ac:dyDescent="0.25">
      <c r="A2195">
        <v>2205</v>
      </c>
      <c r="B2195" t="s">
        <v>1083</v>
      </c>
      <c r="C2195" s="10" t="s">
        <v>1278</v>
      </c>
      <c r="D2195" t="s">
        <v>33</v>
      </c>
      <c r="E2195">
        <v>108</v>
      </c>
      <c r="F2195" t="s">
        <v>56</v>
      </c>
      <c r="G2195" t="s">
        <v>1084</v>
      </c>
      <c r="H2195">
        <v>24</v>
      </c>
      <c r="I2195" s="11">
        <f>$E2195+0</f>
        <v>108</v>
      </c>
      <c r="J2195" s="12">
        <v>249000</v>
      </c>
      <c r="K2195" s="13">
        <f>$E2195+1</f>
        <v>109</v>
      </c>
      <c r="L2195" s="14">
        <f>IF($J2195=0,0,ROUND(MAX($J2195*1.4,1620000*(1.497923^(MIN($E2195,123)-117)))*1,0))</f>
        <v>348600</v>
      </c>
      <c r="M2195" s="11">
        <f>$E2195+2</f>
        <v>110</v>
      </c>
      <c r="N2195" s="12">
        <f>IF($J2195=0,0,ROUND(MAX($J2195*1.4*1.5,2190000*(1.580994^(MIN($E2195,123)-117)))*1,0))</f>
        <v>522900</v>
      </c>
      <c r="O2195" s="13">
        <f>$E2195+4</f>
        <v>112</v>
      </c>
      <c r="P2195" s="14">
        <f>IF($J2195=0,0,ROUND(MAX($J2195*1.4*1.5*1.6,3500000*(1.57975^(MIN($E2195,123)-117)))*1,0))</f>
        <v>836640</v>
      </c>
      <c r="Q2195" s="11">
        <f>$E2195+6</f>
        <v>114</v>
      </c>
      <c r="R2195" s="12">
        <f>IF($J2195=0,0,ROUND(MAX($J2195*1.4*1.5*1.6*1.6,13100000*(1.429962^(MIN($E2195,123)-117)))*1,0))</f>
        <v>1338624</v>
      </c>
      <c r="S2195" s="13">
        <f>$E2195+8</f>
        <v>116</v>
      </c>
      <c r="T2195" s="14">
        <f>IF($J2195=0,0,ROUND(MAX($J2195*1.4*1.5*1.6*1.6*2.2,42600000*(1.576904^(MIN($E2195,123)-117)))*1,0))</f>
        <v>2944973</v>
      </c>
      <c r="U2195" s="11">
        <f>$E2195+11</f>
        <v>119</v>
      </c>
      <c r="V2195" s="12">
        <f>IF($J2195=0,0,ROUND(MAX($J2195*1.4*1.5*1.6*1.6*2.2*2.715,354000000*(1.642074^(MIN($E2195,123)-117)))*1,0))</f>
        <v>7995601</v>
      </c>
      <c r="W2195" s="13">
        <f>$E2195+15</f>
        <v>123</v>
      </c>
      <c r="X2195" s="14">
        <f>IF($J2195=0,0,ROUND(MAX($J2195*1.4*1.5*1.6*1.6*2.2*2.715*2.6,3540000000*(1.579646^(MIN($E2195,123)-117)))*1,0))</f>
        <v>57804988</v>
      </c>
      <c r="Y2195" s="11">
        <f>$E2195+17</f>
        <v>125</v>
      </c>
      <c r="Z2195" s="12">
        <f>IF($J2195=0,0,ROUND(MAX($J2195*1.4*1.5*1.6*1.6*2.2*2.715*2.6*1.4,6020000000*(1.651178^(MIN($E2195,123)-117)))*1,0))</f>
        <v>65985946</v>
      </c>
      <c r="AA2195" s="13">
        <f>$E2195+19</f>
        <v>127</v>
      </c>
      <c r="AB2195" s="14">
        <f>IF($J2195=0,0,ROUND(MAX($J2195*1.4*1.5*1.6*1.6*2.2*2.715*2.6*1.4*1.4,8430000000*(1.651435^(MIN($E2195,123)-117)))*1,0))</f>
        <v>92272909</v>
      </c>
      <c r="AC2195" s="11">
        <f>$E2195+21</f>
        <v>129</v>
      </c>
      <c r="AD2195" s="12">
        <f>IF($J2195=0,0,ROUND(MAX($J2195*1.4*1.5*1.6*1.6*2.2*2.715*2.6*1.4*1.4*1.5,12600000000*(1.652953^(MIN($E2195,123)-117)))*1,0))</f>
        <v>136781071</v>
      </c>
      <c r="AE2195" s="13">
        <f>$E2195+24</f>
        <v>132</v>
      </c>
      <c r="AF2195" s="14">
        <f>IF($J2195=0,0,ROUND(MAX($J2195*1.4*1.5*1.6*1.6*2.2*2.715*2.6*1.4*1.4*1.5*1.5,18900000000*(1.65331^(MIN($E2195,123)-117)))*1,0))</f>
        <v>204773225</v>
      </c>
      <c r="AG2195" s="11">
        <f>$E2195+27</f>
        <v>135</v>
      </c>
      <c r="AH2195" s="12">
        <f>IF($J2195=0,0,ROUND(MAX($J2195*1.4*1.5*1.6*1.6*2.2*2.715*2.6*1.4*1.4*1.5*1.5*3.2,60500000000*(1.654288^(MIN($E2195,123)-117)))*1,0))</f>
        <v>652011566</v>
      </c>
    </row>
    <row r="2196" ht="28" customHeight="1" spans="1:34" x14ac:dyDescent="0.25">
      <c r="A2196">
        <v>2206</v>
      </c>
      <c r="B2196" t="s">
        <v>589</v>
      </c>
      <c r="C2196" s="10" t="s">
        <v>1278</v>
      </c>
      <c r="D2196" t="s">
        <v>75</v>
      </c>
      <c r="E2196">
        <v>108</v>
      </c>
      <c r="F2196" t="s">
        <v>30</v>
      </c>
      <c r="G2196" t="s">
        <v>242</v>
      </c>
      <c r="H2196">
        <v>23</v>
      </c>
      <c r="I2196" s="11">
        <f>$E2196+0</f>
        <v>108</v>
      </c>
      <c r="J2196" s="12">
        <v>13300</v>
      </c>
      <c r="K2196" s="13">
        <f>$E2196+1</f>
        <v>109</v>
      </c>
      <c r="L2196" s="14">
        <f>IF($J2196=0,0,ROUND(MAX($J2196*1.4,1620000*(1.497923^(MIN($E2196,123)-117)))*1,0))</f>
        <v>42669</v>
      </c>
      <c r="M2196" s="11">
        <f>$E2196+2</f>
        <v>110</v>
      </c>
      <c r="N2196" s="12">
        <f>IF($J2196=0,0,ROUND(MAX($J2196*1.4*1.5,2190000*(1.580994^(MIN($E2196,123)-117)))*1,0))</f>
        <v>35487</v>
      </c>
      <c r="O2196" s="13">
        <f>$E2196+4</f>
        <v>112</v>
      </c>
      <c r="P2196" s="14">
        <f>IF($J2196=0,0,ROUND(MAX($J2196*1.4*1.5*1.6,3500000*(1.57975^(MIN($E2196,123)-117)))*1,0))</f>
        <v>57118</v>
      </c>
      <c r="Q2196" s="11">
        <f>$E2196+6</f>
        <v>114</v>
      </c>
      <c r="R2196" s="12">
        <f>IF($J2196=0,0,ROUND(MAX($J2196*1.4*1.5*1.6*1.6,13100000*(1.429962^(MIN($E2196,123)-117)))*1,0))</f>
        <v>524024</v>
      </c>
      <c r="S2196" s="13">
        <f>$E2196+8</f>
        <v>116</v>
      </c>
      <c r="T2196" s="14">
        <f>IF($J2196=0,0,ROUND(MAX($J2196*1.4*1.5*1.6*1.6*2.2,42600000*(1.576904^(MIN($E2196,123)-117)))*1,0))</f>
        <v>706582</v>
      </c>
      <c r="U2196" s="11">
        <f>$E2196+11</f>
        <v>119</v>
      </c>
      <c r="V2196" s="12">
        <f>IF($J2196=0,0,ROUND(MAX($J2196*1.4*1.5*1.6*1.6*2.2*2.715,354000000*(1.642074^(MIN($E2196,123)-117)))*1,0))</f>
        <v>4078202</v>
      </c>
      <c r="W2196" s="13">
        <f>$E2196+15</f>
        <v>123</v>
      </c>
      <c r="X2196" s="14">
        <f>IF($J2196=0,0,ROUND(MAX($J2196*1.4*1.5*1.6*1.6*2.2*2.715*2.6,3540000000*(1.579646^(MIN($E2196,123)-117)))*1,0))</f>
        <v>57804988</v>
      </c>
      <c r="Y2196" s="11">
        <f>$E2196+17</f>
        <v>125</v>
      </c>
      <c r="Z2196" s="12">
        <f>IF($J2196=0,0,ROUND(MAX($J2196*1.4*1.5*1.6*1.6*2.2*2.715*2.6*1.4,6020000000*(1.651178^(MIN($E2196,123)-117)))*1,0))</f>
        <v>65985946</v>
      </c>
      <c r="AA2196" s="13">
        <f>$E2196+19</f>
        <v>127</v>
      </c>
      <c r="AB2196" s="14">
        <f>IF($J2196=0,0,ROUND(MAX($J2196*1.4*1.5*1.6*1.6*2.2*2.715*2.6*1.4*1.4,8430000000*(1.651435^(MIN($E2196,123)-117)))*1,0))</f>
        <v>92272909</v>
      </c>
      <c r="AC2196" s="11">
        <f>$E2196+21</f>
        <v>129</v>
      </c>
      <c r="AD2196" s="12">
        <f>IF($J2196=0,0,ROUND(MAX($J2196*1.4*1.5*1.6*1.6*2.2*2.715*2.6*1.4*1.4*1.5,12600000000*(1.652953^(MIN($E2196,123)-117)))*1,0))</f>
        <v>136781071</v>
      </c>
      <c r="AE2196" s="13">
        <f>$E2196+24</f>
        <v>132</v>
      </c>
      <c r="AF2196" s="14">
        <f>IF($J2196=0,0,ROUND(MAX($J2196*1.4*1.5*1.6*1.6*2.2*2.715*2.6*1.4*1.4*1.5*1.5,18900000000*(1.65331^(MIN($E2196,123)-117)))*1,0))</f>
        <v>204773225</v>
      </c>
      <c r="AG2196" s="11">
        <f>$E2196+27</f>
        <v>135</v>
      </c>
      <c r="AH2196" s="12">
        <f>IF($J2196=0,0,ROUND(MAX($J2196*1.4*1.5*1.6*1.6*2.2*2.715*2.6*1.4*1.4*1.5*1.5*3.2,60500000000*(1.654288^(MIN($E2196,123)-117)))*1,0))</f>
        <v>652011566</v>
      </c>
    </row>
    <row r="2197" ht="28" customHeight="1" spans="1:34" x14ac:dyDescent="0.25">
      <c r="A2197">
        <v>2207</v>
      </c>
      <c r="B2197" t="s">
        <v>1327</v>
      </c>
      <c r="C2197" s="10" t="s">
        <v>1278</v>
      </c>
      <c r="D2197" t="s">
        <v>75</v>
      </c>
      <c r="E2197">
        <v>108</v>
      </c>
      <c r="F2197" t="s">
        <v>385</v>
      </c>
      <c r="G2197" t="s">
        <v>51</v>
      </c>
      <c r="H2197">
        <v>23</v>
      </c>
      <c r="I2197" s="11">
        <f>$E2197+0</f>
        <v>108</v>
      </c>
      <c r="J2197" s="12">
        <v>22000</v>
      </c>
      <c r="K2197" s="13">
        <f>$E2197+1</f>
        <v>109</v>
      </c>
      <c r="L2197" s="14">
        <f>IF($J2197=0,0,ROUND(MAX($J2197*1.4,1620000*(1.497923^(MIN($E2197,123)-117)))*1,0))</f>
        <v>42669</v>
      </c>
      <c r="M2197" s="11">
        <f>$E2197+2</f>
        <v>110</v>
      </c>
      <c r="N2197" s="12">
        <f>IF($J2197=0,0,ROUND(MAX($J2197*1.4*1.5,2190000*(1.580994^(MIN($E2197,123)-117)))*1,0))</f>
        <v>46200</v>
      </c>
      <c r="O2197" s="13">
        <f>$E2197+4</f>
        <v>112</v>
      </c>
      <c r="P2197" s="14">
        <f>IF($J2197=0,0,ROUND(MAX($J2197*1.4*1.5*1.6,3500000*(1.57975^(MIN($E2197,123)-117)))*1,0))</f>
        <v>73920</v>
      </c>
      <c r="Q2197" s="11">
        <f>$E2197+6</f>
        <v>114</v>
      </c>
      <c r="R2197" s="12">
        <f>IF($J2197=0,0,ROUND(MAX($J2197*1.4*1.5*1.6*1.6,13100000*(1.429962^(MIN($E2197,123)-117)))*1,0))</f>
        <v>524024</v>
      </c>
      <c r="S2197" s="13">
        <f>$E2197+8</f>
        <v>116</v>
      </c>
      <c r="T2197" s="14">
        <f>IF($J2197=0,0,ROUND(MAX($J2197*1.4*1.5*1.6*1.6*2.2,42600000*(1.576904^(MIN($E2197,123)-117)))*1,0))</f>
        <v>706582</v>
      </c>
      <c r="U2197" s="11">
        <f>$E2197+11</f>
        <v>119</v>
      </c>
      <c r="V2197" s="12">
        <f>IF($J2197=0,0,ROUND(MAX($J2197*1.4*1.5*1.6*1.6*2.2*2.715,354000000*(1.642074^(MIN($E2197,123)-117)))*1,0))</f>
        <v>4078202</v>
      </c>
      <c r="W2197" s="13">
        <f>$E2197+15</f>
        <v>123</v>
      </c>
      <c r="X2197" s="14">
        <f>IF($J2197=0,0,ROUND(MAX($J2197*1.4*1.5*1.6*1.6*2.2*2.715*2.6,3540000000*(1.579646^(MIN($E2197,123)-117)))*1,0))</f>
        <v>57804988</v>
      </c>
      <c r="Y2197" s="11">
        <f>$E2197+17</f>
        <v>125</v>
      </c>
      <c r="Z2197" s="12">
        <f>IF($J2197=0,0,ROUND(MAX($J2197*1.4*1.5*1.6*1.6*2.2*2.715*2.6*1.4,6020000000*(1.651178^(MIN($E2197,123)-117)))*1,0))</f>
        <v>65985946</v>
      </c>
      <c r="AA2197" s="13">
        <f>$E2197+19</f>
        <v>127</v>
      </c>
      <c r="AB2197" s="14">
        <f>IF($J2197=0,0,ROUND(MAX($J2197*1.4*1.5*1.6*1.6*2.2*2.715*2.6*1.4*1.4,8430000000*(1.651435^(MIN($E2197,123)-117)))*1,0))</f>
        <v>92272909</v>
      </c>
      <c r="AC2197" s="11">
        <f>$E2197+21</f>
        <v>129</v>
      </c>
      <c r="AD2197" s="12">
        <f>IF($J2197=0,0,ROUND(MAX($J2197*1.4*1.5*1.6*1.6*2.2*2.715*2.6*1.4*1.4*1.5,12600000000*(1.652953^(MIN($E2197,123)-117)))*1,0))</f>
        <v>136781071</v>
      </c>
      <c r="AE2197" s="13">
        <f>$E2197+24</f>
        <v>132</v>
      </c>
      <c r="AF2197" s="14">
        <f>IF($J2197=0,0,ROUND(MAX($J2197*1.4*1.5*1.6*1.6*2.2*2.715*2.6*1.4*1.4*1.5*1.5,18900000000*(1.65331^(MIN($E2197,123)-117)))*1,0))</f>
        <v>204773225</v>
      </c>
      <c r="AG2197" s="11">
        <f>$E2197+27</f>
        <v>135</v>
      </c>
      <c r="AH2197" s="12">
        <f>IF($J2197=0,0,ROUND(MAX($J2197*1.4*1.5*1.6*1.6*2.2*2.715*2.6*1.4*1.4*1.5*1.5*3.2,60500000000*(1.654288^(MIN($E2197,123)-117)))*1,0))</f>
        <v>652011566</v>
      </c>
    </row>
    <row r="2198" ht="28" customHeight="1" spans="1:34" x14ac:dyDescent="0.25">
      <c r="A2198">
        <v>2208</v>
      </c>
      <c r="B2198" t="s">
        <v>1328</v>
      </c>
      <c r="C2198" s="10" t="s">
        <v>1278</v>
      </c>
      <c r="D2198" t="s">
        <v>102</v>
      </c>
      <c r="E2198">
        <v>108</v>
      </c>
      <c r="F2198" t="s">
        <v>225</v>
      </c>
      <c r="G2198" t="s">
        <v>133</v>
      </c>
      <c r="H2198">
        <v>23</v>
      </c>
      <c r="I2198" s="11">
        <f>$E2198+0</f>
        <v>108</v>
      </c>
      <c r="J2198" s="12">
        <v>10000</v>
      </c>
      <c r="K2198" s="13">
        <f>$E2198+1</f>
        <v>109</v>
      </c>
      <c r="L2198" s="14">
        <f>IF($J2198=0,0,ROUND(MAX($J2198*1.4,1620000*(1.497923^(MIN($E2198,123)-117)))*1,0))</f>
        <v>42669</v>
      </c>
      <c r="M2198" s="11">
        <f>$E2198+2</f>
        <v>110</v>
      </c>
      <c r="N2198" s="12">
        <f>IF($J2198=0,0,ROUND(MAX($J2198*1.4*1.5,2190000*(1.580994^(MIN($E2198,123)-117)))*1,0))</f>
        <v>35487</v>
      </c>
      <c r="O2198" s="13">
        <f>$E2198+4</f>
        <v>112</v>
      </c>
      <c r="P2198" s="14">
        <f>IF($J2198=0,0,ROUND(MAX($J2198*1.4*1.5*1.6,3500000*(1.57975^(MIN($E2198,123)-117)))*1,0))</f>
        <v>57118</v>
      </c>
      <c r="Q2198" s="11">
        <f>$E2198+6</f>
        <v>114</v>
      </c>
      <c r="R2198" s="12">
        <f>IF($J2198=0,0,ROUND(MAX($J2198*1.4*1.5*1.6*1.6,13100000*(1.429962^(MIN($E2198,123)-117)))*1,0))</f>
        <v>524024</v>
      </c>
      <c r="S2198" s="13">
        <f>$E2198+8</f>
        <v>116</v>
      </c>
      <c r="T2198" s="14">
        <f>IF($J2198=0,0,ROUND(MAX($J2198*1.4*1.5*1.6*1.6*2.2,42600000*(1.576904^(MIN($E2198,123)-117)))*1,0))</f>
        <v>706582</v>
      </c>
      <c r="U2198" s="11">
        <f>$E2198+11</f>
        <v>119</v>
      </c>
      <c r="V2198" s="12">
        <f>IF($J2198=0,0,ROUND(MAX($J2198*1.4*1.5*1.6*1.6*2.2*2.715,354000000*(1.642074^(MIN($E2198,123)-117)))*1,0))</f>
        <v>4078202</v>
      </c>
      <c r="W2198" s="13">
        <f>$E2198+15</f>
        <v>123</v>
      </c>
      <c r="X2198" s="14">
        <f>IF($J2198=0,0,ROUND(MAX($J2198*1.4*1.5*1.6*1.6*2.2*2.715*2.6,3540000000*(1.579646^(MIN($E2198,123)-117)))*1,0))</f>
        <v>57804988</v>
      </c>
      <c r="Y2198" s="11">
        <f>$E2198+17</f>
        <v>125</v>
      </c>
      <c r="Z2198" s="12">
        <f>IF($J2198=0,0,ROUND(MAX($J2198*1.4*1.5*1.6*1.6*2.2*2.715*2.6*1.4,6020000000*(1.651178^(MIN($E2198,123)-117)))*1,0))</f>
        <v>65985946</v>
      </c>
      <c r="AA2198" s="13">
        <f>$E2198+19</f>
        <v>127</v>
      </c>
      <c r="AB2198" s="14">
        <f>IF($J2198=0,0,ROUND(MAX($J2198*1.4*1.5*1.6*1.6*2.2*2.715*2.6*1.4*1.4,8430000000*(1.651435^(MIN($E2198,123)-117)))*1,0))</f>
        <v>92272909</v>
      </c>
      <c r="AC2198" s="11">
        <f>$E2198+21</f>
        <v>129</v>
      </c>
      <c r="AD2198" s="12">
        <f>IF($J2198=0,0,ROUND(MAX($J2198*1.4*1.5*1.6*1.6*2.2*2.715*2.6*1.4*1.4*1.5,12600000000*(1.652953^(MIN($E2198,123)-117)))*1,0))</f>
        <v>136781071</v>
      </c>
      <c r="AE2198" s="13">
        <f>$E2198+24</f>
        <v>132</v>
      </c>
      <c r="AF2198" s="14">
        <f>IF($J2198=0,0,ROUND(MAX($J2198*1.4*1.5*1.6*1.6*2.2*2.715*2.6*1.4*1.4*1.5*1.5,18900000000*(1.65331^(MIN($E2198,123)-117)))*1,0))</f>
        <v>204773225</v>
      </c>
      <c r="AG2198" s="11">
        <f>$E2198+27</f>
        <v>135</v>
      </c>
      <c r="AH2198" s="12">
        <f>IF($J2198=0,0,ROUND(MAX($J2198*1.4*1.5*1.6*1.6*2.2*2.715*2.6*1.4*1.4*1.5*1.5*3.2,60500000000*(1.654288^(MIN($E2198,123)-117)))*1,0))</f>
        <v>652011566</v>
      </c>
    </row>
    <row r="2199" ht="28" customHeight="1" spans="1:34" x14ac:dyDescent="0.25">
      <c r="A2199">
        <v>2209</v>
      </c>
      <c r="B2199" t="s">
        <v>847</v>
      </c>
      <c r="C2199" s="10" t="s">
        <v>1278</v>
      </c>
      <c r="D2199" t="s">
        <v>90</v>
      </c>
      <c r="E2199">
        <v>108</v>
      </c>
      <c r="F2199" t="s">
        <v>56</v>
      </c>
      <c r="G2199" t="s">
        <v>95</v>
      </c>
      <c r="H2199">
        <v>23</v>
      </c>
      <c r="I2199" s="11">
        <f>$E2199+0</f>
        <v>108</v>
      </c>
      <c r="J2199" s="12">
        <v>12100</v>
      </c>
      <c r="K2199" s="13">
        <f>$E2199+1</f>
        <v>109</v>
      </c>
      <c r="L2199" s="14">
        <f>IF($J2199=0,0,ROUND(MAX($J2199*1.4,1620000*(1.497923^(MIN($E2199,123)-117)))*1,0))</f>
        <v>42669</v>
      </c>
      <c r="M2199" s="11">
        <f>$E2199+2</f>
        <v>110</v>
      </c>
      <c r="N2199" s="12">
        <f>IF($J2199=0,0,ROUND(MAX($J2199*1.4*1.5,2190000*(1.580994^(MIN($E2199,123)-117)))*1,0))</f>
        <v>35487</v>
      </c>
      <c r="O2199" s="13">
        <f>$E2199+4</f>
        <v>112</v>
      </c>
      <c r="P2199" s="14">
        <f>IF($J2199=0,0,ROUND(MAX($J2199*1.4*1.5*1.6,3500000*(1.57975^(MIN($E2199,123)-117)))*1,0))</f>
        <v>57118</v>
      </c>
      <c r="Q2199" s="11">
        <f>$E2199+6</f>
        <v>114</v>
      </c>
      <c r="R2199" s="12">
        <f>IF($J2199=0,0,ROUND(MAX($J2199*1.4*1.5*1.6*1.6,13100000*(1.429962^(MIN($E2199,123)-117)))*1,0))</f>
        <v>524024</v>
      </c>
      <c r="S2199" s="13">
        <f>$E2199+8</f>
        <v>116</v>
      </c>
      <c r="T2199" s="14">
        <f>IF($J2199=0,0,ROUND(MAX($J2199*1.4*1.5*1.6*1.6*2.2,42600000*(1.576904^(MIN($E2199,123)-117)))*1,0))</f>
        <v>706582</v>
      </c>
      <c r="U2199" s="11">
        <f>$E2199+11</f>
        <v>119</v>
      </c>
      <c r="V2199" s="12">
        <f>IF($J2199=0,0,ROUND(MAX($J2199*1.4*1.5*1.6*1.6*2.2*2.715,354000000*(1.642074^(MIN($E2199,123)-117)))*1,0))</f>
        <v>4078202</v>
      </c>
      <c r="W2199" s="13">
        <f>$E2199+15</f>
        <v>123</v>
      </c>
      <c r="X2199" s="14">
        <f>IF($J2199=0,0,ROUND(MAX($J2199*1.4*1.5*1.6*1.6*2.2*2.715*2.6,3540000000*(1.579646^(MIN($E2199,123)-117)))*1,0))</f>
        <v>57804988</v>
      </c>
      <c r="Y2199" s="11">
        <f>$E2199+17</f>
        <v>125</v>
      </c>
      <c r="Z2199" s="12">
        <f>IF($J2199=0,0,ROUND(MAX($J2199*1.4*1.5*1.6*1.6*2.2*2.715*2.6*1.4,6020000000*(1.651178^(MIN($E2199,123)-117)))*1,0))</f>
        <v>65985946</v>
      </c>
      <c r="AA2199" s="13">
        <f>$E2199+19</f>
        <v>127</v>
      </c>
      <c r="AB2199" s="14">
        <f>IF($J2199=0,0,ROUND(MAX($J2199*1.4*1.5*1.6*1.6*2.2*2.715*2.6*1.4*1.4,8430000000*(1.651435^(MIN($E2199,123)-117)))*1,0))</f>
        <v>92272909</v>
      </c>
      <c r="AC2199" s="11">
        <f>$E2199+21</f>
        <v>129</v>
      </c>
      <c r="AD2199" s="12">
        <f>IF($J2199=0,0,ROUND(MAX($J2199*1.4*1.5*1.6*1.6*2.2*2.715*2.6*1.4*1.4*1.5,12600000000*(1.652953^(MIN($E2199,123)-117)))*1,0))</f>
        <v>136781071</v>
      </c>
      <c r="AE2199" s="13">
        <f>$E2199+24</f>
        <v>132</v>
      </c>
      <c r="AF2199" s="14">
        <f>IF($J2199=0,0,ROUND(MAX($J2199*1.4*1.5*1.6*1.6*2.2*2.715*2.6*1.4*1.4*1.5*1.5,18900000000*(1.65331^(MIN($E2199,123)-117)))*1,0))</f>
        <v>204773225</v>
      </c>
      <c r="AG2199" s="11">
        <f>$E2199+27</f>
        <v>135</v>
      </c>
      <c r="AH2199" s="12">
        <f>IF($J2199=0,0,ROUND(MAX($J2199*1.4*1.5*1.6*1.6*2.2*2.715*2.6*1.4*1.4*1.5*1.5*3.2,60500000000*(1.654288^(MIN($E2199,123)-117)))*1,0))</f>
        <v>652011566</v>
      </c>
    </row>
    <row r="2200" ht="28" customHeight="1" spans="1:34" x14ac:dyDescent="0.25">
      <c r="A2200">
        <v>2210</v>
      </c>
      <c r="B2200" t="s">
        <v>1329</v>
      </c>
      <c r="C2200" s="10" t="s">
        <v>1278</v>
      </c>
      <c r="D2200" t="s">
        <v>45</v>
      </c>
      <c r="E2200">
        <v>108</v>
      </c>
      <c r="F2200" t="s">
        <v>146</v>
      </c>
      <c r="G2200" t="s">
        <v>244</v>
      </c>
      <c r="H2200">
        <v>23</v>
      </c>
      <c r="I2200" s="11">
        <f>$E2200+0</f>
        <v>108</v>
      </c>
      <c r="J2200" s="12">
        <v>75200</v>
      </c>
      <c r="K2200" s="13">
        <f>$E2200+1</f>
        <v>109</v>
      </c>
      <c r="L2200" s="14">
        <f>IF($J2200=0,0,ROUND(MAX($J2200*1.4,1620000*(1.497923^(MIN($E2200,123)-117)))*1,0))</f>
        <v>105280</v>
      </c>
      <c r="M2200" s="11">
        <f>$E2200+2</f>
        <v>110</v>
      </c>
      <c r="N2200" s="12">
        <f>IF($J2200=0,0,ROUND(MAX($J2200*1.4*1.5,2190000*(1.580994^(MIN($E2200,123)-117)))*1,0))</f>
        <v>157920</v>
      </c>
      <c r="O2200" s="13">
        <f>$E2200+4</f>
        <v>112</v>
      </c>
      <c r="P2200" s="14">
        <f>IF($J2200=0,0,ROUND(MAX($J2200*1.4*1.5*1.6,3500000*(1.57975^(MIN($E2200,123)-117)))*1,0))</f>
        <v>252672</v>
      </c>
      <c r="Q2200" s="11">
        <f>$E2200+6</f>
        <v>114</v>
      </c>
      <c r="R2200" s="12">
        <f>IF($J2200=0,0,ROUND(MAX($J2200*1.4*1.5*1.6*1.6,13100000*(1.429962^(MIN($E2200,123)-117)))*1,0))</f>
        <v>524024</v>
      </c>
      <c r="S2200" s="13">
        <f>$E2200+8</f>
        <v>116</v>
      </c>
      <c r="T2200" s="14">
        <f>IF($J2200=0,0,ROUND(MAX($J2200*1.4*1.5*1.6*1.6*2.2,42600000*(1.576904^(MIN($E2200,123)-117)))*1,0))</f>
        <v>889405</v>
      </c>
      <c r="U2200" s="11">
        <f>$E2200+11</f>
        <v>119</v>
      </c>
      <c r="V2200" s="12">
        <f>IF($J2200=0,0,ROUND(MAX($J2200*1.4*1.5*1.6*1.6*2.2*2.715,354000000*(1.642074^(MIN($E2200,123)-117)))*1,0))</f>
        <v>4078202</v>
      </c>
      <c r="W2200" s="13">
        <f>$E2200+15</f>
        <v>123</v>
      </c>
      <c r="X2200" s="14">
        <f>IF($J2200=0,0,ROUND(MAX($J2200*1.4*1.5*1.6*1.6*2.2*2.715*2.6,3540000000*(1.579646^(MIN($E2200,123)-117)))*1,0))</f>
        <v>57804988</v>
      </c>
      <c r="Y2200" s="11">
        <f>$E2200+17</f>
        <v>125</v>
      </c>
      <c r="Z2200" s="12">
        <f>IF($J2200=0,0,ROUND(MAX($J2200*1.4*1.5*1.6*1.6*2.2*2.715*2.6*1.4,6020000000*(1.651178^(MIN($E2200,123)-117)))*1,0))</f>
        <v>65985946</v>
      </c>
      <c r="AA2200" s="13">
        <f>$E2200+19</f>
        <v>127</v>
      </c>
      <c r="AB2200" s="14">
        <f>IF($J2200=0,0,ROUND(MAX($J2200*1.4*1.5*1.6*1.6*2.2*2.715*2.6*1.4*1.4,8430000000*(1.651435^(MIN($E2200,123)-117)))*1,0))</f>
        <v>92272909</v>
      </c>
      <c r="AC2200" s="11">
        <f>$E2200+21</f>
        <v>129</v>
      </c>
      <c r="AD2200" s="12">
        <f>IF($J2200=0,0,ROUND(MAX($J2200*1.4*1.5*1.6*1.6*2.2*2.715*2.6*1.4*1.4*1.5,12600000000*(1.652953^(MIN($E2200,123)-117)))*1,0))</f>
        <v>136781071</v>
      </c>
      <c r="AE2200" s="13">
        <f>$E2200+24</f>
        <v>132</v>
      </c>
      <c r="AF2200" s="14">
        <f>IF($J2200=0,0,ROUND(MAX($J2200*1.4*1.5*1.6*1.6*2.2*2.715*2.6*1.4*1.4*1.5*1.5,18900000000*(1.65331^(MIN($E2200,123)-117)))*1,0))</f>
        <v>204773225</v>
      </c>
      <c r="AG2200" s="11">
        <f>$E2200+27</f>
        <v>135</v>
      </c>
      <c r="AH2200" s="12">
        <f>IF($J2200=0,0,ROUND(MAX($J2200*1.4*1.5*1.6*1.6*2.2*2.715*2.6*1.4*1.4*1.5*1.5*3.2,60500000000*(1.654288^(MIN($E2200,123)-117)))*1,0))</f>
        <v>652011566</v>
      </c>
    </row>
    <row r="2201" ht="28" customHeight="1" spans="1:34" x14ac:dyDescent="0.25">
      <c r="A2201">
        <v>2211</v>
      </c>
      <c r="B2201" t="s">
        <v>1330</v>
      </c>
      <c r="C2201" s="10" t="s">
        <v>1278</v>
      </c>
      <c r="D2201" t="s">
        <v>102</v>
      </c>
      <c r="E2201">
        <v>108</v>
      </c>
      <c r="F2201" t="s">
        <v>26</v>
      </c>
      <c r="G2201" t="s">
        <v>126</v>
      </c>
      <c r="H2201">
        <v>23</v>
      </c>
      <c r="I2201" s="11">
        <f>$E2201+0</f>
        <v>108</v>
      </c>
      <c r="J2201" s="12">
        <v>160000</v>
      </c>
      <c r="K2201" s="13">
        <f>$E2201+1</f>
        <v>109</v>
      </c>
      <c r="L2201" s="14">
        <f>IF($J2201=0,0,ROUND(MAX($J2201*1.4,1620000*(1.497923^(MIN($E2201,123)-117)))*1,0))</f>
        <v>224000</v>
      </c>
      <c r="M2201" s="11">
        <f>$E2201+2</f>
        <v>110</v>
      </c>
      <c r="N2201" s="12">
        <f>IF($J2201=0,0,ROUND(MAX($J2201*1.4*1.5,2190000*(1.580994^(MIN($E2201,123)-117)))*1,0))</f>
        <v>336000</v>
      </c>
      <c r="O2201" s="13">
        <f>$E2201+4</f>
        <v>112</v>
      </c>
      <c r="P2201" s="14">
        <f>IF($J2201=0,0,ROUND(MAX($J2201*1.4*1.5*1.6,3500000*(1.57975^(MIN($E2201,123)-117)))*1,0))</f>
        <v>537600</v>
      </c>
      <c r="Q2201" s="11">
        <f>$E2201+6</f>
        <v>114</v>
      </c>
      <c r="R2201" s="12">
        <f>IF($J2201=0,0,ROUND(MAX($J2201*1.4*1.5*1.6*1.6,13100000*(1.429962^(MIN($E2201,123)-117)))*1,0))</f>
        <v>860160</v>
      </c>
      <c r="S2201" s="13">
        <f>$E2201+8</f>
        <v>116</v>
      </c>
      <c r="T2201" s="14">
        <f>IF($J2201=0,0,ROUND(MAX($J2201*1.4*1.5*1.6*1.6*2.2,42600000*(1.576904^(MIN($E2201,123)-117)))*1,0))</f>
        <v>1892352</v>
      </c>
      <c r="U2201" s="11">
        <f>$E2201+11</f>
        <v>119</v>
      </c>
      <c r="V2201" s="12">
        <f>IF($J2201=0,0,ROUND(MAX($J2201*1.4*1.5*1.6*1.6*2.2*2.715,354000000*(1.642074^(MIN($E2201,123)-117)))*1,0))</f>
        <v>5137736</v>
      </c>
      <c r="W2201" s="13">
        <f>$E2201+15</f>
        <v>123</v>
      </c>
      <c r="X2201" s="14">
        <f>IF($J2201=0,0,ROUND(MAX($J2201*1.4*1.5*1.6*1.6*2.2*2.715*2.6,3540000000*(1.579646^(MIN($E2201,123)-117)))*1,0))</f>
        <v>57804988</v>
      </c>
      <c r="Y2201" s="11">
        <f>$E2201+17</f>
        <v>125</v>
      </c>
      <c r="Z2201" s="12">
        <f>IF($J2201=0,0,ROUND(MAX($J2201*1.4*1.5*1.6*1.6*2.2*2.715*2.6*1.4,6020000000*(1.651178^(MIN($E2201,123)-117)))*1,0))</f>
        <v>65985946</v>
      </c>
      <c r="AA2201" s="13">
        <f>$E2201+19</f>
        <v>127</v>
      </c>
      <c r="AB2201" s="14">
        <f>IF($J2201=0,0,ROUND(MAX($J2201*1.4*1.5*1.6*1.6*2.2*2.715*2.6*1.4*1.4,8430000000*(1.651435^(MIN($E2201,123)-117)))*1,0))</f>
        <v>92272909</v>
      </c>
      <c r="AC2201" s="11">
        <f>$E2201+21</f>
        <v>129</v>
      </c>
      <c r="AD2201" s="12">
        <f>IF($J2201=0,0,ROUND(MAX($J2201*1.4*1.5*1.6*1.6*2.2*2.715*2.6*1.4*1.4*1.5,12600000000*(1.652953^(MIN($E2201,123)-117)))*1,0))</f>
        <v>136781071</v>
      </c>
      <c r="AE2201" s="13">
        <f>$E2201+24</f>
        <v>132</v>
      </c>
      <c r="AF2201" s="14">
        <f>IF($J2201=0,0,ROUND(MAX($J2201*1.4*1.5*1.6*1.6*2.2*2.715*2.6*1.4*1.4*1.5*1.5,18900000000*(1.65331^(MIN($E2201,123)-117)))*1,0))</f>
        <v>204773225</v>
      </c>
      <c r="AG2201" s="11">
        <f>$E2201+27</f>
        <v>135</v>
      </c>
      <c r="AH2201" s="12">
        <f>IF($J2201=0,0,ROUND(MAX($J2201*1.4*1.5*1.6*1.6*2.2*2.715*2.6*1.4*1.4*1.5*1.5*3.2,60500000000*(1.654288^(MIN($E2201,123)-117)))*1,0))</f>
        <v>652011566</v>
      </c>
    </row>
    <row r="2202" ht="28" customHeight="1" spans="1:34" x14ac:dyDescent="0.25">
      <c r="A2202">
        <v>2212</v>
      </c>
      <c r="B2202" t="s">
        <v>1331</v>
      </c>
      <c r="C2202" s="10" t="s">
        <v>1278</v>
      </c>
      <c r="D2202" t="s">
        <v>64</v>
      </c>
      <c r="E2202">
        <v>108</v>
      </c>
      <c r="F2202" t="s">
        <v>56</v>
      </c>
      <c r="G2202" t="s">
        <v>126</v>
      </c>
      <c r="H2202">
        <v>23</v>
      </c>
      <c r="I2202" s="11">
        <f>$E2202+0</f>
        <v>108</v>
      </c>
      <c r="J2202" s="12">
        <v>90500</v>
      </c>
      <c r="K2202" s="13">
        <f>$E2202+1</f>
        <v>109</v>
      </c>
      <c r="L2202" s="14">
        <f>IF($J2202=0,0,ROUND(MAX($J2202*1.4,1620000*(1.497923^(MIN($E2202,123)-117)))*1,0))</f>
        <v>126700</v>
      </c>
      <c r="M2202" s="11">
        <f>$E2202+2</f>
        <v>110</v>
      </c>
      <c r="N2202" s="12">
        <f>IF($J2202=0,0,ROUND(MAX($J2202*1.4*1.5,2190000*(1.580994^(MIN($E2202,123)-117)))*1,0))</f>
        <v>190050</v>
      </c>
      <c r="O2202" s="13">
        <f>$E2202+4</f>
        <v>112</v>
      </c>
      <c r="P2202" s="14">
        <f>IF($J2202=0,0,ROUND(MAX($J2202*1.4*1.5*1.6,3500000*(1.57975^(MIN($E2202,123)-117)))*1,0))</f>
        <v>304080</v>
      </c>
      <c r="Q2202" s="11">
        <f>$E2202+6</f>
        <v>114</v>
      </c>
      <c r="R2202" s="12">
        <f>IF($J2202=0,0,ROUND(MAX($J2202*1.4*1.5*1.6*1.6,13100000*(1.429962^(MIN($E2202,123)-117)))*1,0))</f>
        <v>524024</v>
      </c>
      <c r="S2202" s="13">
        <f>$E2202+8</f>
        <v>116</v>
      </c>
      <c r="T2202" s="14">
        <f>IF($J2202=0,0,ROUND(MAX($J2202*1.4*1.5*1.6*1.6*2.2,42600000*(1.576904^(MIN($E2202,123)-117)))*1,0))</f>
        <v>1070362</v>
      </c>
      <c r="U2202" s="11">
        <f>$E2202+11</f>
        <v>119</v>
      </c>
      <c r="V2202" s="12">
        <f>IF($J2202=0,0,ROUND(MAX($J2202*1.4*1.5*1.6*1.6*2.2*2.715,354000000*(1.642074^(MIN($E2202,123)-117)))*1,0))</f>
        <v>4078202</v>
      </c>
      <c r="W2202" s="13">
        <f>$E2202+15</f>
        <v>123</v>
      </c>
      <c r="X2202" s="14">
        <f>IF($J2202=0,0,ROUND(MAX($J2202*1.4*1.5*1.6*1.6*2.2*2.715*2.6,3540000000*(1.579646^(MIN($E2202,123)-117)))*1,0))</f>
        <v>57804988</v>
      </c>
      <c r="Y2202" s="11">
        <f>$E2202+17</f>
        <v>125</v>
      </c>
      <c r="Z2202" s="12">
        <f>IF($J2202=0,0,ROUND(MAX($J2202*1.4*1.5*1.6*1.6*2.2*2.715*2.6*1.4,6020000000*(1.651178^(MIN($E2202,123)-117)))*1,0))</f>
        <v>65985946</v>
      </c>
      <c r="AA2202" s="13">
        <f>$E2202+19</f>
        <v>127</v>
      </c>
      <c r="AB2202" s="14">
        <f>IF($J2202=0,0,ROUND(MAX($J2202*1.4*1.5*1.6*1.6*2.2*2.715*2.6*1.4*1.4,8430000000*(1.651435^(MIN($E2202,123)-117)))*1,0))</f>
        <v>92272909</v>
      </c>
      <c r="AC2202" s="11">
        <f>$E2202+21</f>
        <v>129</v>
      </c>
      <c r="AD2202" s="12">
        <f>IF($J2202=0,0,ROUND(MAX($J2202*1.4*1.5*1.6*1.6*2.2*2.715*2.6*1.4*1.4*1.5,12600000000*(1.652953^(MIN($E2202,123)-117)))*1,0))</f>
        <v>136781071</v>
      </c>
      <c r="AE2202" s="13">
        <f>$E2202+24</f>
        <v>132</v>
      </c>
      <c r="AF2202" s="14">
        <f>IF($J2202=0,0,ROUND(MAX($J2202*1.4*1.5*1.6*1.6*2.2*2.715*2.6*1.4*1.4*1.5*1.5,18900000000*(1.65331^(MIN($E2202,123)-117)))*1,0))</f>
        <v>204773225</v>
      </c>
      <c r="AG2202" s="11">
        <f>$E2202+27</f>
        <v>135</v>
      </c>
      <c r="AH2202" s="12">
        <f>IF($J2202=0,0,ROUND(MAX($J2202*1.4*1.5*1.6*1.6*2.2*2.715*2.6*1.4*1.4*1.5*1.5*3.2,60500000000*(1.654288^(MIN($E2202,123)-117)))*1,0))</f>
        <v>652011566</v>
      </c>
    </row>
    <row r="2203" ht="28" customHeight="1" spans="1:34" x14ac:dyDescent="0.25">
      <c r="A2203">
        <v>2213</v>
      </c>
      <c r="B2203" t="s">
        <v>1332</v>
      </c>
      <c r="C2203" s="10" t="s">
        <v>1278</v>
      </c>
      <c r="D2203" t="s">
        <v>75</v>
      </c>
      <c r="E2203">
        <v>108</v>
      </c>
      <c r="F2203" t="s">
        <v>479</v>
      </c>
      <c r="G2203" t="s">
        <v>277</v>
      </c>
      <c r="H2203">
        <v>23</v>
      </c>
      <c r="I2203" s="11">
        <f>$E2203+0</f>
        <v>108</v>
      </c>
      <c r="J2203" s="12">
        <v>66500</v>
      </c>
      <c r="K2203" s="13">
        <f>$E2203+1</f>
        <v>109</v>
      </c>
      <c r="L2203" s="14">
        <f>IF($J2203=0,0,ROUND(MAX($J2203*1.4,1620000*(1.497923^(MIN($E2203,123)-117)))*1,0))</f>
        <v>93100</v>
      </c>
      <c r="M2203" s="11">
        <f>$E2203+2</f>
        <v>110</v>
      </c>
      <c r="N2203" s="12">
        <f>IF($J2203=0,0,ROUND(MAX($J2203*1.4*1.5,2190000*(1.580994^(MIN($E2203,123)-117)))*1,0))</f>
        <v>139650</v>
      </c>
      <c r="O2203" s="13">
        <f>$E2203+4</f>
        <v>112</v>
      </c>
      <c r="P2203" s="14">
        <f>IF($J2203=0,0,ROUND(MAX($J2203*1.4*1.5*1.6,3500000*(1.57975^(MIN($E2203,123)-117)))*1,0))</f>
        <v>223440</v>
      </c>
      <c r="Q2203" s="11">
        <f>$E2203+6</f>
        <v>114</v>
      </c>
      <c r="R2203" s="12">
        <f>IF($J2203=0,0,ROUND(MAX($J2203*1.4*1.5*1.6*1.6,13100000*(1.429962^(MIN($E2203,123)-117)))*1,0))</f>
        <v>524024</v>
      </c>
      <c r="S2203" s="13">
        <f>$E2203+8</f>
        <v>116</v>
      </c>
      <c r="T2203" s="14">
        <f>IF($J2203=0,0,ROUND(MAX($J2203*1.4*1.5*1.6*1.6*2.2,42600000*(1.576904^(MIN($E2203,123)-117)))*1,0))</f>
        <v>786509</v>
      </c>
      <c r="U2203" s="11">
        <f>$E2203+11</f>
        <v>119</v>
      </c>
      <c r="V2203" s="12">
        <f>IF($J2203=0,0,ROUND(MAX($J2203*1.4*1.5*1.6*1.6*2.2*2.715,354000000*(1.642074^(MIN($E2203,123)-117)))*1,0))</f>
        <v>4078202</v>
      </c>
      <c r="W2203" s="13">
        <f>$E2203+15</f>
        <v>123</v>
      </c>
      <c r="X2203" s="14">
        <f>IF($J2203=0,0,ROUND(MAX($J2203*1.4*1.5*1.6*1.6*2.2*2.715*2.6,3540000000*(1.579646^(MIN($E2203,123)-117)))*1,0))</f>
        <v>57804988</v>
      </c>
      <c r="Y2203" s="11">
        <f>$E2203+17</f>
        <v>125</v>
      </c>
      <c r="Z2203" s="12">
        <f>IF($J2203=0,0,ROUND(MAX($J2203*1.4*1.5*1.6*1.6*2.2*2.715*2.6*1.4,6020000000*(1.651178^(MIN($E2203,123)-117)))*1,0))</f>
        <v>65985946</v>
      </c>
      <c r="AA2203" s="13">
        <f>$E2203+19</f>
        <v>127</v>
      </c>
      <c r="AB2203" s="14">
        <f>IF($J2203=0,0,ROUND(MAX($J2203*1.4*1.5*1.6*1.6*2.2*2.715*2.6*1.4*1.4,8430000000*(1.651435^(MIN($E2203,123)-117)))*1,0))</f>
        <v>92272909</v>
      </c>
      <c r="AC2203" s="11">
        <f>$E2203+21</f>
        <v>129</v>
      </c>
      <c r="AD2203" s="12">
        <f>IF($J2203=0,0,ROUND(MAX($J2203*1.4*1.5*1.6*1.6*2.2*2.715*2.6*1.4*1.4*1.5,12600000000*(1.652953^(MIN($E2203,123)-117)))*1,0))</f>
        <v>136781071</v>
      </c>
      <c r="AE2203" s="13">
        <f>$E2203+24</f>
        <v>132</v>
      </c>
      <c r="AF2203" s="14">
        <f>IF($J2203=0,0,ROUND(MAX($J2203*1.4*1.5*1.6*1.6*2.2*2.715*2.6*1.4*1.4*1.5*1.5,18900000000*(1.65331^(MIN($E2203,123)-117)))*1,0))</f>
        <v>204773225</v>
      </c>
      <c r="AG2203" s="11">
        <f>$E2203+27</f>
        <v>135</v>
      </c>
      <c r="AH2203" s="12">
        <f>IF($J2203=0,0,ROUND(MAX($J2203*1.4*1.5*1.6*1.6*2.2*2.715*2.6*1.4*1.4*1.5*1.5*3.2,60500000000*(1.654288^(MIN($E2203,123)-117)))*1,0))</f>
        <v>652011566</v>
      </c>
    </row>
    <row r="2204" ht="28" customHeight="1" spans="1:34" x14ac:dyDescent="0.25">
      <c r="A2204">
        <v>2214</v>
      </c>
      <c r="B2204" t="s">
        <v>1333</v>
      </c>
      <c r="C2204" s="10" t="s">
        <v>1278</v>
      </c>
      <c r="D2204" t="s">
        <v>90</v>
      </c>
      <c r="E2204">
        <v>108</v>
      </c>
      <c r="F2204" t="s">
        <v>400</v>
      </c>
      <c r="G2204" t="s">
        <v>247</v>
      </c>
      <c r="H2204">
        <v>23</v>
      </c>
      <c r="I2204" s="11">
        <f>$E2204+0</f>
        <v>108</v>
      </c>
      <c r="J2204" s="12">
        <v>66600</v>
      </c>
      <c r="K2204" s="13">
        <f>$E2204+1</f>
        <v>109</v>
      </c>
      <c r="L2204" s="14">
        <f>IF($J2204=0,0,ROUND(MAX($J2204*1.4,1620000*(1.497923^(MIN($E2204,123)-117)))*1,0))</f>
        <v>93240</v>
      </c>
      <c r="M2204" s="11">
        <f>$E2204+2</f>
        <v>110</v>
      </c>
      <c r="N2204" s="12">
        <f>IF($J2204=0,0,ROUND(MAX($J2204*1.4*1.5,2190000*(1.580994^(MIN($E2204,123)-117)))*1,0))</f>
        <v>139860</v>
      </c>
      <c r="O2204" s="13">
        <f>$E2204+4</f>
        <v>112</v>
      </c>
      <c r="P2204" s="14">
        <f>IF($J2204=0,0,ROUND(MAX($J2204*1.4*1.5*1.6,3500000*(1.57975^(MIN($E2204,123)-117)))*1,0))</f>
        <v>223776</v>
      </c>
      <c r="Q2204" s="11">
        <f>$E2204+6</f>
        <v>114</v>
      </c>
      <c r="R2204" s="12">
        <f>IF($J2204=0,0,ROUND(MAX($J2204*1.4*1.5*1.6*1.6,13100000*(1.429962^(MIN($E2204,123)-117)))*1,0))</f>
        <v>524024</v>
      </c>
      <c r="S2204" s="13">
        <f>$E2204+8</f>
        <v>116</v>
      </c>
      <c r="T2204" s="14">
        <f>IF($J2204=0,0,ROUND(MAX($J2204*1.4*1.5*1.6*1.6*2.2,42600000*(1.576904^(MIN($E2204,123)-117)))*1,0))</f>
        <v>787692</v>
      </c>
      <c r="U2204" s="11">
        <f>$E2204+11</f>
        <v>119</v>
      </c>
      <c r="V2204" s="12">
        <f>IF($J2204=0,0,ROUND(MAX($J2204*1.4*1.5*1.6*1.6*2.2*2.715,354000000*(1.642074^(MIN($E2204,123)-117)))*1,0))</f>
        <v>4078202</v>
      </c>
      <c r="W2204" s="13">
        <f>$E2204+15</f>
        <v>123</v>
      </c>
      <c r="X2204" s="14">
        <f>IF($J2204=0,0,ROUND(MAX($J2204*1.4*1.5*1.6*1.6*2.2*2.715*2.6,3540000000*(1.579646^(MIN($E2204,123)-117)))*1,0))</f>
        <v>57804988</v>
      </c>
      <c r="Y2204" s="11">
        <f>$E2204+17</f>
        <v>125</v>
      </c>
      <c r="Z2204" s="12">
        <f>IF($J2204=0,0,ROUND(MAX($J2204*1.4*1.5*1.6*1.6*2.2*2.715*2.6*1.4,6020000000*(1.651178^(MIN($E2204,123)-117)))*1,0))</f>
        <v>65985946</v>
      </c>
      <c r="AA2204" s="13">
        <f>$E2204+19</f>
        <v>127</v>
      </c>
      <c r="AB2204" s="14">
        <f>IF($J2204=0,0,ROUND(MAX($J2204*1.4*1.5*1.6*1.6*2.2*2.715*2.6*1.4*1.4,8430000000*(1.651435^(MIN($E2204,123)-117)))*1,0))</f>
        <v>92272909</v>
      </c>
      <c r="AC2204" s="11">
        <f>$E2204+21</f>
        <v>129</v>
      </c>
      <c r="AD2204" s="12">
        <f>IF($J2204=0,0,ROUND(MAX($J2204*1.4*1.5*1.6*1.6*2.2*2.715*2.6*1.4*1.4*1.5,12600000000*(1.652953^(MIN($E2204,123)-117)))*1,0))</f>
        <v>136781071</v>
      </c>
      <c r="AE2204" s="13">
        <f>$E2204+24</f>
        <v>132</v>
      </c>
      <c r="AF2204" s="14">
        <f>IF($J2204=0,0,ROUND(MAX($J2204*1.4*1.5*1.6*1.6*2.2*2.715*2.6*1.4*1.4*1.5*1.5,18900000000*(1.65331^(MIN($E2204,123)-117)))*1,0))</f>
        <v>204773225</v>
      </c>
      <c r="AG2204" s="11">
        <f>$E2204+27</f>
        <v>135</v>
      </c>
      <c r="AH2204" s="12">
        <f>IF($J2204=0,0,ROUND(MAX($J2204*1.4*1.5*1.6*1.6*2.2*2.715*2.6*1.4*1.4*1.5*1.5*3.2,60500000000*(1.654288^(MIN($E2204,123)-117)))*1,0))</f>
        <v>652011566</v>
      </c>
    </row>
    <row r="2205" ht="28" customHeight="1" spans="1:34" x14ac:dyDescent="0.25">
      <c r="A2205">
        <v>2215</v>
      </c>
      <c r="B2205" t="s">
        <v>256</v>
      </c>
      <c r="C2205" s="10" t="s">
        <v>1278</v>
      </c>
      <c r="D2205" t="s">
        <v>47</v>
      </c>
      <c r="E2205">
        <v>108</v>
      </c>
      <c r="F2205" t="s">
        <v>71</v>
      </c>
      <c r="G2205" t="s">
        <v>95</v>
      </c>
      <c r="H2205">
        <v>20</v>
      </c>
      <c r="I2205" s="11">
        <f>$E2205+0</f>
        <v>108</v>
      </c>
      <c r="J2205" s="12">
        <v>68400</v>
      </c>
      <c r="K2205" s="13">
        <f>$E2205+1</f>
        <v>109</v>
      </c>
      <c r="L2205" s="14">
        <f>IF($J2205=0,0,ROUND(MAX($J2205*1.4,1620000*(1.497923^(MIN($E2205,123)-117)))*1,0))</f>
        <v>95760</v>
      </c>
      <c r="M2205" s="11">
        <f>$E2205+2</f>
        <v>110</v>
      </c>
      <c r="N2205" s="12">
        <f>IF($J2205=0,0,ROUND(MAX($J2205*1.4*1.5,2190000*(1.580994^(MIN($E2205,123)-117)))*1,0))</f>
        <v>143640</v>
      </c>
      <c r="O2205" s="13">
        <f>$E2205+4</f>
        <v>112</v>
      </c>
      <c r="P2205" s="14">
        <f>IF($J2205=0,0,ROUND(MAX($J2205*1.4*1.5*1.6,3500000*(1.57975^(MIN($E2205,123)-117)))*1,0))</f>
        <v>229824</v>
      </c>
      <c r="Q2205" s="11">
        <f>$E2205+6</f>
        <v>114</v>
      </c>
      <c r="R2205" s="12">
        <f>IF($J2205=0,0,ROUND(MAX($J2205*1.4*1.5*1.6*1.6,13100000*(1.429962^(MIN($E2205,123)-117)))*1,0))</f>
        <v>524024</v>
      </c>
      <c r="S2205" s="13">
        <f>$E2205+8</f>
        <v>116</v>
      </c>
      <c r="T2205" s="14">
        <f>IF($J2205=0,0,ROUND(MAX($J2205*1.4*1.5*1.6*1.6*2.2,42600000*(1.576904^(MIN($E2205,123)-117)))*1,0))</f>
        <v>808980</v>
      </c>
      <c r="U2205" s="11">
        <f>$E2205+11</f>
        <v>119</v>
      </c>
      <c r="V2205" s="12">
        <f>IF($J2205=0,0,ROUND(MAX($J2205*1.4*1.5*1.6*1.6*2.2*2.715,354000000*(1.642074^(MIN($E2205,123)-117)))*1,0))</f>
        <v>4078202</v>
      </c>
      <c r="W2205" s="13">
        <f>$E2205+15</f>
        <v>123</v>
      </c>
      <c r="X2205" s="14">
        <f>IF($J2205=0,0,ROUND(MAX($J2205*1.4*1.5*1.6*1.6*2.2*2.715*2.6,3540000000*(1.579646^(MIN($E2205,123)-117)))*1,0))</f>
        <v>57804988</v>
      </c>
      <c r="Y2205" s="11">
        <f>$E2205+17</f>
        <v>125</v>
      </c>
      <c r="Z2205" s="12">
        <f>IF($J2205=0,0,ROUND(MAX($J2205*1.4*1.5*1.6*1.6*2.2*2.715*2.6*1.4,6020000000*(1.651178^(MIN($E2205,123)-117)))*1,0))</f>
        <v>65985946</v>
      </c>
      <c r="AA2205" s="13">
        <f>$E2205+19</f>
        <v>127</v>
      </c>
      <c r="AB2205" s="14">
        <f>IF($J2205=0,0,ROUND(MAX($J2205*1.4*1.5*1.6*1.6*2.2*2.715*2.6*1.4*1.4,8430000000*(1.651435^(MIN($E2205,123)-117)))*1,0))</f>
        <v>92272909</v>
      </c>
      <c r="AC2205" s="11">
        <f>$E2205+21</f>
        <v>129</v>
      </c>
      <c r="AD2205" s="12">
        <f>IF($J2205=0,0,ROUND(MAX($J2205*1.4*1.5*1.6*1.6*2.2*2.715*2.6*1.4*1.4*1.5,12600000000*(1.652953^(MIN($E2205,123)-117)))*1,0))</f>
        <v>136781071</v>
      </c>
      <c r="AE2205" s="13">
        <f>$E2205+24</f>
        <v>132</v>
      </c>
      <c r="AF2205" s="14">
        <f>IF($J2205=0,0,ROUND(MAX($J2205*1.4*1.5*1.6*1.6*2.2*2.715*2.6*1.4*1.4*1.5*1.5,18900000000*(1.65331^(MIN($E2205,123)-117)))*1,0))</f>
        <v>204773225</v>
      </c>
      <c r="AG2205" s="11">
        <f>$E2205+27</f>
        <v>135</v>
      </c>
      <c r="AH2205" s="12">
        <f>IF($J2205=0,0,ROUND(MAX($J2205*1.4*1.5*1.6*1.6*2.2*2.715*2.6*1.4*1.4*1.5*1.5*3.2,60500000000*(1.654288^(MIN($E2205,123)-117)))*1,0))</f>
        <v>652011566</v>
      </c>
    </row>
    <row r="2206" ht="28" customHeight="1" spans="1:34" x14ac:dyDescent="0.25">
      <c r="A2206">
        <v>2216</v>
      </c>
      <c r="B2206" t="s">
        <v>1334</v>
      </c>
      <c r="C2206" s="10" t="s">
        <v>1278</v>
      </c>
      <c r="D2206" t="s">
        <v>45</v>
      </c>
      <c r="E2206">
        <v>107</v>
      </c>
      <c r="F2206" t="s">
        <v>217</v>
      </c>
      <c r="G2206" t="s">
        <v>349</v>
      </c>
      <c r="H2206">
        <v>24</v>
      </c>
      <c r="I2206" s="11">
        <f>$E2206+0</f>
        <v>107</v>
      </c>
      <c r="J2206" s="12">
        <v>90300</v>
      </c>
      <c r="K2206" s="13">
        <f>$E2206+1</f>
        <v>108</v>
      </c>
      <c r="L2206" s="14">
        <f>IF($J2206=0,0,ROUND(MAX($J2206*1.4,1620000*(1.497923^(MIN($E2206,123)-117)))*1,0))</f>
        <v>126420</v>
      </c>
      <c r="M2206" s="11">
        <f>$E2206+2</f>
        <v>109</v>
      </c>
      <c r="N2206" s="12">
        <f>IF($J2206=0,0,ROUND(MAX($J2206*1.4*1.5,2190000*(1.580994^(MIN($E2206,123)-117)))*1,0))</f>
        <v>189630</v>
      </c>
      <c r="O2206" s="13">
        <f>$E2206+4</f>
        <v>111</v>
      </c>
      <c r="P2206" s="14">
        <f>IF($J2206=0,0,ROUND(MAX($J2206*1.4*1.5*1.6,3500000*(1.57975^(MIN($E2206,123)-117)))*1,0))</f>
        <v>303408</v>
      </c>
      <c r="Q2206" s="11">
        <f>$E2206+6</f>
        <v>113</v>
      </c>
      <c r="R2206" s="12">
        <f>IF($J2206=0,0,ROUND(MAX($J2206*1.4*1.5*1.6*1.6,13100000*(1.429962^(MIN($E2206,123)-117)))*1,0))</f>
        <v>485453</v>
      </c>
      <c r="S2206" s="13">
        <f>$E2206+8</f>
        <v>115</v>
      </c>
      <c r="T2206" s="14">
        <f>IF($J2206=0,0,ROUND(MAX($J2206*1.4*1.5*1.6*1.6*2.2,42600000*(1.576904^(MIN($E2206,123)-117)))*1,0))</f>
        <v>1067996</v>
      </c>
      <c r="U2206" s="11">
        <f>$E2206+11</f>
        <v>118</v>
      </c>
      <c r="V2206" s="12">
        <f>IF($J2206=0,0,ROUND(MAX($J2206*1.4*1.5*1.6*1.6*2.2*2.715,354000000*(1.642074^(MIN($E2206,123)-117)))*1,0))</f>
        <v>2899610</v>
      </c>
      <c r="W2206" s="13">
        <f>$E2206+15</f>
        <v>122</v>
      </c>
      <c r="X2206" s="14">
        <f>IF($J2206=0,0,ROUND(MAX($J2206*1.4*1.5*1.6*1.6*2.2*2.715*2.6,3540000000*(1.579646^(MIN($E2206,123)-117)))*1,0))</f>
        <v>36593634</v>
      </c>
      <c r="Y2206" s="11">
        <f>$E2206+17</f>
        <v>124</v>
      </c>
      <c r="Z2206" s="12">
        <f>IF($J2206=0,0,ROUND(MAX($J2206*1.4*1.5*1.6*1.6*2.2*2.715*2.6*1.4,6020000000*(1.651178^(MIN($E2206,123)-117)))*1,0))</f>
        <v>39962952</v>
      </c>
      <c r="AA2206" s="13">
        <f>$E2206+19</f>
        <v>126</v>
      </c>
      <c r="AB2206" s="14">
        <f>IF($J2206=0,0,ROUND(MAX($J2206*1.4*1.5*1.6*1.6*2.2*2.715*2.6*1.4*1.4,8430000000*(1.651435^(MIN($E2206,123)-117)))*1,0))</f>
        <v>55874381</v>
      </c>
      <c r="AC2206" s="11">
        <f>$E2206+21</f>
        <v>128</v>
      </c>
      <c r="AD2206" s="12">
        <f>IF($J2206=0,0,ROUND(MAX($J2206*1.4*1.5*1.6*1.6*2.2*2.715*2.6*1.4*1.4*1.5,12600000000*(1.652953^(MIN($E2206,123)-117)))*1,0))</f>
        <v>82749522</v>
      </c>
      <c r="AE2206" s="13">
        <f>$E2206+24</f>
        <v>131</v>
      </c>
      <c r="AF2206" s="14">
        <f>IF($J2206=0,0,ROUND(MAX($J2206*1.4*1.5*1.6*1.6*2.2*2.715*2.6*1.4*1.4*1.5*1.5,18900000000*(1.65331^(MIN($E2206,123)-117)))*1,0))</f>
        <v>123856521</v>
      </c>
      <c r="AG2206" s="11">
        <f>$E2206+27</f>
        <v>134</v>
      </c>
      <c r="AH2206" s="12">
        <f>IF($J2206=0,0,ROUND(MAX($J2206*1.4*1.5*1.6*1.6*2.2*2.715*2.6*1.4*1.4*1.5*1.5*3.2,60500000000*(1.654288^(MIN($E2206,123)-117)))*1,0))</f>
        <v>394134254</v>
      </c>
    </row>
    <row r="2207" ht="28" customHeight="1" spans="1:34" x14ac:dyDescent="0.25">
      <c r="A2207">
        <v>2217</v>
      </c>
      <c r="B2207" t="s">
        <v>1335</v>
      </c>
      <c r="C2207" s="10" t="s">
        <v>1278</v>
      </c>
      <c r="D2207" t="s">
        <v>25</v>
      </c>
      <c r="E2207">
        <v>107</v>
      </c>
      <c r="F2207" t="s">
        <v>30</v>
      </c>
      <c r="G2207" t="s">
        <v>1336</v>
      </c>
      <c r="H2207">
        <v>24</v>
      </c>
      <c r="I2207" s="11">
        <f>$E2207+0</f>
        <v>107</v>
      </c>
      <c r="J2207" s="12">
        <v>2530000</v>
      </c>
      <c r="K2207" s="13">
        <f>$E2207+1</f>
        <v>108</v>
      </c>
      <c r="L2207" s="14">
        <f>IF($J2207=0,0,ROUND(MAX($J2207*1.4,1620000*(1.497923^(MIN($E2207,123)-117)))*1,0))</f>
        <v>3542000</v>
      </c>
      <c r="M2207" s="11">
        <f>$E2207+2</f>
        <v>109</v>
      </c>
      <c r="N2207" s="12">
        <f>IF($J2207=0,0,ROUND(MAX($J2207*1.4*1.5,2190000*(1.580994^(MIN($E2207,123)-117)))*1,0))</f>
        <v>5313000</v>
      </c>
      <c r="O2207" s="13">
        <f>$E2207+4</f>
        <v>111</v>
      </c>
      <c r="P2207" s="14">
        <f>IF($J2207=0,0,ROUND(MAX($J2207*1.4*1.5*1.6,3500000*(1.57975^(MIN($E2207,123)-117)))*1,0))</f>
        <v>8500800</v>
      </c>
      <c r="Q2207" s="11">
        <f>$E2207+6</f>
        <v>113</v>
      </c>
      <c r="R2207" s="12">
        <f>IF($J2207=0,0,ROUND(MAX($J2207*1.4*1.5*1.6*1.6,13100000*(1.429962^(MIN($E2207,123)-117)))*1,0))</f>
        <v>13601280</v>
      </c>
      <c r="S2207" s="13">
        <f>$E2207+8</f>
        <v>115</v>
      </c>
      <c r="T2207" s="14">
        <f>IF($J2207=0,0,ROUND(MAX($J2207*1.4*1.5*1.6*1.6*2.2,42600000*(1.576904^(MIN($E2207,123)-117)))*1,0))</f>
        <v>29922816</v>
      </c>
      <c r="U2207" s="11">
        <f>$E2207+11</f>
        <v>118</v>
      </c>
      <c r="V2207" s="12">
        <f>IF($J2207=0,0,ROUND(MAX($J2207*1.4*1.5*1.6*1.6*2.2*2.715,354000000*(1.642074^(MIN($E2207,123)-117)))*1,0))</f>
        <v>81240445</v>
      </c>
      <c r="W2207" s="13">
        <f>$E2207+15</f>
        <v>122</v>
      </c>
      <c r="X2207" s="14">
        <f>IF($J2207=0,0,ROUND(MAX($J2207*1.4*1.5*1.6*1.6*2.2*2.715*2.6,3540000000*(1.579646^(MIN($E2207,123)-117)))*1,0))</f>
        <v>211225158</v>
      </c>
      <c r="Y2207" s="11">
        <f>$E2207+17</f>
        <v>124</v>
      </c>
      <c r="Z2207" s="12">
        <f>IF($J2207=0,0,ROUND(MAX($J2207*1.4*1.5*1.6*1.6*2.2*2.715*2.6*1.4,6020000000*(1.651178^(MIN($E2207,123)-117)))*1,0))</f>
        <v>295715221</v>
      </c>
      <c r="AA2207" s="13">
        <f>$E2207+19</f>
        <v>126</v>
      </c>
      <c r="AB2207" s="14">
        <f>IF($J2207=0,0,ROUND(MAX($J2207*1.4*1.5*1.6*1.6*2.2*2.715*2.6*1.4*1.4,8430000000*(1.651435^(MIN($E2207,123)-117)))*1,0))</f>
        <v>414001310</v>
      </c>
      <c r="AC2207" s="11">
        <f>$E2207+21</f>
        <v>128</v>
      </c>
      <c r="AD2207" s="12">
        <f>IF($J2207=0,0,ROUND(MAX($J2207*1.4*1.5*1.6*1.6*2.2*2.715*2.6*1.4*1.4*1.5,12600000000*(1.652953^(MIN($E2207,123)-117)))*1,0))</f>
        <v>621001965</v>
      </c>
      <c r="AE2207" s="13">
        <f>$E2207+24</f>
        <v>131</v>
      </c>
      <c r="AF2207" s="14">
        <f>IF($J2207=0,0,ROUND(MAX($J2207*1.4*1.5*1.6*1.6*2.2*2.715*2.6*1.4*1.4*1.5*1.5,18900000000*(1.65331^(MIN($E2207,123)-117)))*1,0))</f>
        <v>931502947</v>
      </c>
      <c r="AG2207" s="11">
        <f>$E2207+27</f>
        <v>134</v>
      </c>
      <c r="AH2207" s="12">
        <f>IF($J2207=0,0,ROUND(MAX($J2207*1.4*1.5*1.6*1.6*2.2*2.715*2.6*1.4*1.4*1.5*1.5*3.2,60500000000*(1.654288^(MIN($E2207,123)-117)))*1,0))</f>
        <v>2980809432</v>
      </c>
    </row>
    <row r="2208" ht="28" customHeight="1" spans="1:34" x14ac:dyDescent="0.25">
      <c r="A2208">
        <v>2218</v>
      </c>
      <c r="B2208" t="s">
        <v>1337</v>
      </c>
      <c r="C2208" s="10" t="s">
        <v>1278</v>
      </c>
      <c r="D2208" t="s">
        <v>102</v>
      </c>
      <c r="E2208">
        <v>107</v>
      </c>
      <c r="F2208" t="s">
        <v>59</v>
      </c>
      <c r="G2208" t="s">
        <v>1336</v>
      </c>
      <c r="H2208">
        <v>24</v>
      </c>
      <c r="I2208" s="11">
        <f>$E2208+0</f>
        <v>107</v>
      </c>
      <c r="J2208" s="12">
        <v>4200000</v>
      </c>
      <c r="K2208" s="13">
        <f>$E2208+1</f>
        <v>108</v>
      </c>
      <c r="L2208" s="14">
        <f>IF($J2208=0,0,ROUND(MAX($J2208*1.4,1620000*(1.497923^(MIN($E2208,123)-117)))*1,0))</f>
        <v>5880000</v>
      </c>
      <c r="M2208" s="11">
        <f>$E2208+2</f>
        <v>109</v>
      </c>
      <c r="N2208" s="12">
        <f>IF($J2208=0,0,ROUND(MAX($J2208*1.4*1.5,2190000*(1.580994^(MIN($E2208,123)-117)))*1,0))</f>
        <v>8820000</v>
      </c>
      <c r="O2208" s="13">
        <f>$E2208+4</f>
        <v>111</v>
      </c>
      <c r="P2208" s="14">
        <f>IF($J2208=0,0,ROUND(MAX($J2208*1.4*1.5*1.6,3500000*(1.57975^(MIN($E2208,123)-117)))*1,0))</f>
        <v>14112000</v>
      </c>
      <c r="Q2208" s="11">
        <f>$E2208+6</f>
        <v>113</v>
      </c>
      <c r="R2208" s="12">
        <f>IF($J2208=0,0,ROUND(MAX($J2208*1.4*1.5*1.6*1.6,13100000*(1.429962^(MIN($E2208,123)-117)))*1,0))</f>
        <v>22579200</v>
      </c>
      <c r="S2208" s="13">
        <f>$E2208+8</f>
        <v>115</v>
      </c>
      <c r="T2208" s="14">
        <f>IF($J2208=0,0,ROUND(MAX($J2208*1.4*1.5*1.6*1.6*2.2,42600000*(1.576904^(MIN($E2208,123)-117)))*1,0))</f>
        <v>49674240</v>
      </c>
      <c r="U2208" s="11">
        <f>$E2208+11</f>
        <v>118</v>
      </c>
      <c r="V2208" s="12">
        <f>IF($J2208=0,0,ROUND(MAX($J2208*1.4*1.5*1.6*1.6*2.2*2.715,354000000*(1.642074^(MIN($E2208,123)-117)))*1,0))</f>
        <v>134865562</v>
      </c>
      <c r="W2208" s="13">
        <f>$E2208+15</f>
        <v>122</v>
      </c>
      <c r="X2208" s="14">
        <f>IF($J2208=0,0,ROUND(MAX($J2208*1.4*1.5*1.6*1.6*2.2*2.715*2.6,3540000000*(1.579646^(MIN($E2208,123)-117)))*1,0))</f>
        <v>350650460</v>
      </c>
      <c r="Y2208" s="11">
        <f>$E2208+17</f>
        <v>124</v>
      </c>
      <c r="Z2208" s="12">
        <f>IF($J2208=0,0,ROUND(MAX($J2208*1.4*1.5*1.6*1.6*2.2*2.715*2.6*1.4,6020000000*(1.651178^(MIN($E2208,123)-117)))*1,0))</f>
        <v>490910644</v>
      </c>
      <c r="AA2208" s="13">
        <f>$E2208+19</f>
        <v>126</v>
      </c>
      <c r="AB2208" s="14">
        <f>IF($J2208=0,0,ROUND(MAX($J2208*1.4*1.5*1.6*1.6*2.2*2.715*2.6*1.4*1.4,8430000000*(1.651435^(MIN($E2208,123)-117)))*1,0))</f>
        <v>687274902</v>
      </c>
      <c r="AC2208" s="11">
        <f>$E2208+21</f>
        <v>128</v>
      </c>
      <c r="AD2208" s="12">
        <f>IF($J2208=0,0,ROUND(MAX($J2208*1.4*1.5*1.6*1.6*2.2*2.715*2.6*1.4*1.4*1.5,12600000000*(1.652953^(MIN($E2208,123)-117)))*1,0))</f>
        <v>1030912353</v>
      </c>
      <c r="AE2208" s="13">
        <f>$E2208+24</f>
        <v>131</v>
      </c>
      <c r="AF2208" s="14">
        <f>IF($J2208=0,0,ROUND(MAX($J2208*1.4*1.5*1.6*1.6*2.2*2.715*2.6*1.4*1.4*1.5*1.5,18900000000*(1.65331^(MIN($E2208,123)-117)))*1,0))</f>
        <v>1546368529</v>
      </c>
      <c r="AG2208" s="11">
        <f>$E2208+27</f>
        <v>134</v>
      </c>
      <c r="AH2208" s="12">
        <f>IF($J2208=0,0,ROUND(MAX($J2208*1.4*1.5*1.6*1.6*2.2*2.715*2.6*1.4*1.4*1.5*1.5*3.2,60500000000*(1.654288^(MIN($E2208,123)-117)))*1,0))</f>
        <v>4948379294</v>
      </c>
    </row>
    <row r="2209" ht="28" customHeight="1" spans="1:34" x14ac:dyDescent="0.25">
      <c r="A2209">
        <v>2219</v>
      </c>
      <c r="B2209" t="s">
        <v>1338</v>
      </c>
      <c r="C2209" s="10" t="s">
        <v>1278</v>
      </c>
      <c r="D2209" t="s">
        <v>64</v>
      </c>
      <c r="E2209">
        <v>107</v>
      </c>
      <c r="F2209" t="s">
        <v>194</v>
      </c>
      <c r="G2209" t="s">
        <v>1339</v>
      </c>
      <c r="H2209">
        <v>24</v>
      </c>
      <c r="I2209" s="11">
        <f>$E2209+0</f>
        <v>107</v>
      </c>
      <c r="J2209" s="12">
        <v>63000</v>
      </c>
      <c r="K2209" s="13">
        <f>$E2209+1</f>
        <v>108</v>
      </c>
      <c r="L2209" s="14">
        <f>IF($J2209=0,0,ROUND(MAX($J2209*1.4,1620000*(1.497923^(MIN($E2209,123)-117)))*1,0))</f>
        <v>88200</v>
      </c>
      <c r="M2209" s="11">
        <f>$E2209+2</f>
        <v>109</v>
      </c>
      <c r="N2209" s="12">
        <f>IF($J2209=0,0,ROUND(MAX($J2209*1.4*1.5,2190000*(1.580994^(MIN($E2209,123)-117)))*1,0))</f>
        <v>132300</v>
      </c>
      <c r="O2209" s="13">
        <f>$E2209+4</f>
        <v>111</v>
      </c>
      <c r="P2209" s="14">
        <f>IF($J2209=0,0,ROUND(MAX($J2209*1.4*1.5*1.6,3500000*(1.57975^(MIN($E2209,123)-117)))*1,0))</f>
        <v>211680</v>
      </c>
      <c r="Q2209" s="11">
        <f>$E2209+6</f>
        <v>113</v>
      </c>
      <c r="R2209" s="12">
        <f>IF($J2209=0,0,ROUND(MAX($J2209*1.4*1.5*1.6*1.6,13100000*(1.429962^(MIN($E2209,123)-117)))*1,0))</f>
        <v>366460</v>
      </c>
      <c r="S2209" s="13">
        <f>$E2209+8</f>
        <v>115</v>
      </c>
      <c r="T2209" s="14">
        <f>IF($J2209=0,0,ROUND(MAX($J2209*1.4*1.5*1.6*1.6*2.2,42600000*(1.576904^(MIN($E2209,123)-117)))*1,0))</f>
        <v>745114</v>
      </c>
      <c r="U2209" s="11">
        <f>$E2209+11</f>
        <v>118</v>
      </c>
      <c r="V2209" s="12">
        <f>IF($J2209=0,0,ROUND(MAX($J2209*1.4*1.5*1.6*1.6*2.2*2.715,354000000*(1.642074^(MIN($E2209,123)-117)))*1,0))</f>
        <v>2483568</v>
      </c>
      <c r="W2209" s="13">
        <f>$E2209+15</f>
        <v>122</v>
      </c>
      <c r="X2209" s="14">
        <f>IF($J2209=0,0,ROUND(MAX($J2209*1.4*1.5*1.6*1.6*2.2*2.715*2.6,3540000000*(1.579646^(MIN($E2209,123)-117)))*1,0))</f>
        <v>36593634</v>
      </c>
      <c r="Y2209" s="11">
        <f>$E2209+17</f>
        <v>124</v>
      </c>
      <c r="Z2209" s="12">
        <f>IF($J2209=0,0,ROUND(MAX($J2209*1.4*1.5*1.6*1.6*2.2*2.715*2.6*1.4,6020000000*(1.651178^(MIN($E2209,123)-117)))*1,0))</f>
        <v>39962952</v>
      </c>
      <c r="AA2209" s="13">
        <f>$E2209+19</f>
        <v>126</v>
      </c>
      <c r="AB2209" s="14">
        <f>IF($J2209=0,0,ROUND(MAX($J2209*1.4*1.5*1.6*1.6*2.2*2.715*2.6*1.4*1.4,8430000000*(1.651435^(MIN($E2209,123)-117)))*1,0))</f>
        <v>55874381</v>
      </c>
      <c r="AC2209" s="11">
        <f>$E2209+21</f>
        <v>128</v>
      </c>
      <c r="AD2209" s="12">
        <f>IF($J2209=0,0,ROUND(MAX($J2209*1.4*1.5*1.6*1.6*2.2*2.715*2.6*1.4*1.4*1.5,12600000000*(1.652953^(MIN($E2209,123)-117)))*1,0))</f>
        <v>82749522</v>
      </c>
      <c r="AE2209" s="13">
        <f>$E2209+24</f>
        <v>131</v>
      </c>
      <c r="AF2209" s="14">
        <f>IF($J2209=0,0,ROUND(MAX($J2209*1.4*1.5*1.6*1.6*2.2*2.715*2.6*1.4*1.4*1.5*1.5,18900000000*(1.65331^(MIN($E2209,123)-117)))*1,0))</f>
        <v>123856521</v>
      </c>
      <c r="AG2209" s="11">
        <f>$E2209+27</f>
        <v>134</v>
      </c>
      <c r="AH2209" s="12">
        <f>IF($J2209=0,0,ROUND(MAX($J2209*1.4*1.5*1.6*1.6*2.2*2.715*2.6*1.4*1.4*1.5*1.5*3.2,60500000000*(1.654288^(MIN($E2209,123)-117)))*1,0))</f>
        <v>394134254</v>
      </c>
    </row>
    <row r="2210" ht="28" customHeight="1" spans="1:34" x14ac:dyDescent="0.25">
      <c r="A2210">
        <v>2220</v>
      </c>
      <c r="B2210" t="s">
        <v>1045</v>
      </c>
      <c r="C2210" s="10" t="s">
        <v>1278</v>
      </c>
      <c r="D2210" t="s">
        <v>45</v>
      </c>
      <c r="E2210">
        <v>107</v>
      </c>
      <c r="F2210" t="s">
        <v>71</v>
      </c>
      <c r="G2210" t="s">
        <v>206</v>
      </c>
      <c r="H2210">
        <v>24</v>
      </c>
      <c r="I2210" s="11">
        <f>$E2210+0</f>
        <v>107</v>
      </c>
      <c r="J2210" s="12">
        <v>64800</v>
      </c>
      <c r="K2210" s="13">
        <f>$E2210+1</f>
        <v>108</v>
      </c>
      <c r="L2210" s="14">
        <f>IF($J2210=0,0,ROUND(MAX($J2210*1.4,1620000*(1.497923^(MIN($E2210,123)-117)))*1,0))</f>
        <v>90720</v>
      </c>
      <c r="M2210" s="11">
        <f>$E2210+2</f>
        <v>109</v>
      </c>
      <c r="N2210" s="12">
        <f>IF($J2210=0,0,ROUND(MAX($J2210*1.4*1.5,2190000*(1.580994^(MIN($E2210,123)-117)))*1,0))</f>
        <v>136080</v>
      </c>
      <c r="O2210" s="13">
        <f>$E2210+4</f>
        <v>111</v>
      </c>
      <c r="P2210" s="14">
        <f>IF($J2210=0,0,ROUND(MAX($J2210*1.4*1.5*1.6,3500000*(1.57975^(MIN($E2210,123)-117)))*1,0))</f>
        <v>217728</v>
      </c>
      <c r="Q2210" s="11">
        <f>$E2210+6</f>
        <v>113</v>
      </c>
      <c r="R2210" s="12">
        <f>IF($J2210=0,0,ROUND(MAX($J2210*1.4*1.5*1.6*1.6,13100000*(1.429962^(MIN($E2210,123)-117)))*1,0))</f>
        <v>366460</v>
      </c>
      <c r="S2210" s="13">
        <f>$E2210+8</f>
        <v>115</v>
      </c>
      <c r="T2210" s="14">
        <f>IF($J2210=0,0,ROUND(MAX($J2210*1.4*1.5*1.6*1.6*2.2,42600000*(1.576904^(MIN($E2210,123)-117)))*1,0))</f>
        <v>766403</v>
      </c>
      <c r="U2210" s="11">
        <f>$E2210+11</f>
        <v>118</v>
      </c>
      <c r="V2210" s="12">
        <f>IF($J2210=0,0,ROUND(MAX($J2210*1.4*1.5*1.6*1.6*2.2*2.715,354000000*(1.642074^(MIN($E2210,123)-117)))*1,0))</f>
        <v>2483568</v>
      </c>
      <c r="W2210" s="13">
        <f>$E2210+15</f>
        <v>122</v>
      </c>
      <c r="X2210" s="14">
        <f>IF($J2210=0,0,ROUND(MAX($J2210*1.4*1.5*1.6*1.6*2.2*2.715*2.6,3540000000*(1.579646^(MIN($E2210,123)-117)))*1,0))</f>
        <v>36593634</v>
      </c>
      <c r="Y2210" s="11">
        <f>$E2210+17</f>
        <v>124</v>
      </c>
      <c r="Z2210" s="12">
        <f>IF($J2210=0,0,ROUND(MAX($J2210*1.4*1.5*1.6*1.6*2.2*2.715*2.6*1.4,6020000000*(1.651178^(MIN($E2210,123)-117)))*1,0))</f>
        <v>39962952</v>
      </c>
      <c r="AA2210" s="13">
        <f>$E2210+19</f>
        <v>126</v>
      </c>
      <c r="AB2210" s="14">
        <f>IF($J2210=0,0,ROUND(MAX($J2210*1.4*1.5*1.6*1.6*2.2*2.715*2.6*1.4*1.4,8430000000*(1.651435^(MIN($E2210,123)-117)))*1,0))</f>
        <v>55874381</v>
      </c>
      <c r="AC2210" s="11">
        <f>$E2210+21</f>
        <v>128</v>
      </c>
      <c r="AD2210" s="12">
        <f>IF($J2210=0,0,ROUND(MAX($J2210*1.4*1.5*1.6*1.6*2.2*2.715*2.6*1.4*1.4*1.5,12600000000*(1.652953^(MIN($E2210,123)-117)))*1,0))</f>
        <v>82749522</v>
      </c>
      <c r="AE2210" s="13">
        <f>$E2210+24</f>
        <v>131</v>
      </c>
      <c r="AF2210" s="14">
        <f>IF($J2210=0,0,ROUND(MAX($J2210*1.4*1.5*1.6*1.6*2.2*2.715*2.6*1.4*1.4*1.5*1.5,18900000000*(1.65331^(MIN($E2210,123)-117)))*1,0))</f>
        <v>123856521</v>
      </c>
      <c r="AG2210" s="11">
        <f>$E2210+27</f>
        <v>134</v>
      </c>
      <c r="AH2210" s="12">
        <f>IF($J2210=0,0,ROUND(MAX($J2210*1.4*1.5*1.6*1.6*2.2*2.715*2.6*1.4*1.4*1.5*1.5*3.2,60500000000*(1.654288^(MIN($E2210,123)-117)))*1,0))</f>
        <v>394134254</v>
      </c>
    </row>
    <row r="2211" ht="28" customHeight="1" spans="1:34" x14ac:dyDescent="0.25">
      <c r="A2211">
        <v>2221</v>
      </c>
      <c r="B2211" t="s">
        <v>1340</v>
      </c>
      <c r="C2211" s="10" t="s">
        <v>1278</v>
      </c>
      <c r="D2211" t="s">
        <v>90</v>
      </c>
      <c r="E2211">
        <v>107</v>
      </c>
      <c r="F2211" t="s">
        <v>71</v>
      </c>
      <c r="G2211" t="s">
        <v>748</v>
      </c>
      <c r="H2211">
        <v>23</v>
      </c>
      <c r="I2211" s="11">
        <f>$E2211+0</f>
        <v>107</v>
      </c>
      <c r="J2211" s="12">
        <v>51000</v>
      </c>
      <c r="K2211" s="13">
        <f>$E2211+1</f>
        <v>108</v>
      </c>
      <c r="L2211" s="14">
        <f>IF($J2211=0,0,ROUND(MAX($J2211*1.4,1620000*(1.497923^(MIN($E2211,123)-117)))*1,0))</f>
        <v>71400</v>
      </c>
      <c r="M2211" s="11">
        <f>$E2211+2</f>
        <v>109</v>
      </c>
      <c r="N2211" s="12">
        <f>IF($J2211=0,0,ROUND(MAX($J2211*1.4*1.5,2190000*(1.580994^(MIN($E2211,123)-117)))*1,0))</f>
        <v>107100</v>
      </c>
      <c r="O2211" s="13">
        <f>$E2211+4</f>
        <v>111</v>
      </c>
      <c r="P2211" s="14">
        <f>IF($J2211=0,0,ROUND(MAX($J2211*1.4*1.5*1.6,3500000*(1.57975^(MIN($E2211,123)-117)))*1,0))</f>
        <v>171360</v>
      </c>
      <c r="Q2211" s="11">
        <f>$E2211+6</f>
        <v>113</v>
      </c>
      <c r="R2211" s="12">
        <f>IF($J2211=0,0,ROUND(MAX($J2211*1.4*1.5*1.6*1.6,13100000*(1.429962^(MIN($E2211,123)-117)))*1,0))</f>
        <v>366460</v>
      </c>
      <c r="S2211" s="13">
        <f>$E2211+8</f>
        <v>115</v>
      </c>
      <c r="T2211" s="14">
        <f>IF($J2211=0,0,ROUND(MAX($J2211*1.4*1.5*1.6*1.6*2.2,42600000*(1.576904^(MIN($E2211,123)-117)))*1,0))</f>
        <v>603187</v>
      </c>
      <c r="U2211" s="11">
        <f>$E2211+11</f>
        <v>118</v>
      </c>
      <c r="V2211" s="12">
        <f>IF($J2211=0,0,ROUND(MAX($J2211*1.4*1.5*1.6*1.6*2.2*2.715,354000000*(1.642074^(MIN($E2211,123)-117)))*1,0))</f>
        <v>2483568</v>
      </c>
      <c r="W2211" s="13">
        <f>$E2211+15</f>
        <v>122</v>
      </c>
      <c r="X2211" s="14">
        <f>IF($J2211=0,0,ROUND(MAX($J2211*1.4*1.5*1.6*1.6*2.2*2.715*2.6,3540000000*(1.579646^(MIN($E2211,123)-117)))*1,0))</f>
        <v>36593634</v>
      </c>
      <c r="Y2211" s="11">
        <f>$E2211+17</f>
        <v>124</v>
      </c>
      <c r="Z2211" s="12">
        <f>IF($J2211=0,0,ROUND(MAX($J2211*1.4*1.5*1.6*1.6*2.2*2.715*2.6*1.4,6020000000*(1.651178^(MIN($E2211,123)-117)))*1,0))</f>
        <v>39962952</v>
      </c>
      <c r="AA2211" s="13">
        <f>$E2211+19</f>
        <v>126</v>
      </c>
      <c r="AB2211" s="14">
        <f>IF($J2211=0,0,ROUND(MAX($J2211*1.4*1.5*1.6*1.6*2.2*2.715*2.6*1.4*1.4,8430000000*(1.651435^(MIN($E2211,123)-117)))*1,0))</f>
        <v>55874381</v>
      </c>
      <c r="AC2211" s="11">
        <f>$E2211+21</f>
        <v>128</v>
      </c>
      <c r="AD2211" s="12">
        <f>IF($J2211=0,0,ROUND(MAX($J2211*1.4*1.5*1.6*1.6*2.2*2.715*2.6*1.4*1.4*1.5,12600000000*(1.652953^(MIN($E2211,123)-117)))*1,0))</f>
        <v>82749522</v>
      </c>
      <c r="AE2211" s="13">
        <f>$E2211+24</f>
        <v>131</v>
      </c>
      <c r="AF2211" s="14">
        <f>IF($J2211=0,0,ROUND(MAX($J2211*1.4*1.5*1.6*1.6*2.2*2.715*2.6*1.4*1.4*1.5*1.5,18900000000*(1.65331^(MIN($E2211,123)-117)))*1,0))</f>
        <v>123856521</v>
      </c>
      <c r="AG2211" s="11">
        <f>$E2211+27</f>
        <v>134</v>
      </c>
      <c r="AH2211" s="12">
        <f>IF($J2211=0,0,ROUND(MAX($J2211*1.4*1.5*1.6*1.6*2.2*2.715*2.6*1.4*1.4*1.5*1.5*3.2,60500000000*(1.654288^(MIN($E2211,123)-117)))*1,0))</f>
        <v>394134254</v>
      </c>
    </row>
    <row r="2212" ht="28" customHeight="1" spans="1:34" x14ac:dyDescent="0.25">
      <c r="A2212">
        <v>2222</v>
      </c>
      <c r="B2212" t="s">
        <v>1220</v>
      </c>
      <c r="C2212" s="10" t="s">
        <v>1278</v>
      </c>
      <c r="D2212" t="s">
        <v>165</v>
      </c>
      <c r="E2212">
        <v>107</v>
      </c>
      <c r="F2212" t="s">
        <v>62</v>
      </c>
      <c r="G2212" t="s">
        <v>171</v>
      </c>
      <c r="H2212">
        <v>23</v>
      </c>
      <c r="I2212" s="11">
        <f>$E2212+0</f>
        <v>107</v>
      </c>
      <c r="J2212" s="12">
        <v>43000</v>
      </c>
      <c r="K2212" s="13">
        <f>$E2212+1</f>
        <v>108</v>
      </c>
      <c r="L2212" s="14">
        <f>IF($J2212=0,0,ROUND(MAX($J2212*1.4,1620000*(1.497923^(MIN($E2212,123)-117)))*1,0))</f>
        <v>60200</v>
      </c>
      <c r="M2212" s="11">
        <f>$E2212+2</f>
        <v>109</v>
      </c>
      <c r="N2212" s="12">
        <f>IF($J2212=0,0,ROUND(MAX($J2212*1.4*1.5,2190000*(1.580994^(MIN($E2212,123)-117)))*1,0))</f>
        <v>90300</v>
      </c>
      <c r="O2212" s="13">
        <f>$E2212+4</f>
        <v>111</v>
      </c>
      <c r="P2212" s="14">
        <f>IF($J2212=0,0,ROUND(MAX($J2212*1.4*1.5*1.6,3500000*(1.57975^(MIN($E2212,123)-117)))*1,0))</f>
        <v>144480</v>
      </c>
      <c r="Q2212" s="11">
        <f>$E2212+6</f>
        <v>113</v>
      </c>
      <c r="R2212" s="12">
        <f>IF($J2212=0,0,ROUND(MAX($J2212*1.4*1.5*1.6*1.6,13100000*(1.429962^(MIN($E2212,123)-117)))*1,0))</f>
        <v>366460</v>
      </c>
      <c r="S2212" s="13">
        <f>$E2212+8</f>
        <v>115</v>
      </c>
      <c r="T2212" s="14">
        <f>IF($J2212=0,0,ROUND(MAX($J2212*1.4*1.5*1.6*1.6*2.2,42600000*(1.576904^(MIN($E2212,123)-117)))*1,0))</f>
        <v>508570</v>
      </c>
      <c r="U2212" s="11">
        <f>$E2212+11</f>
        <v>118</v>
      </c>
      <c r="V2212" s="12">
        <f>IF($J2212=0,0,ROUND(MAX($J2212*1.4*1.5*1.6*1.6*2.2*2.715,354000000*(1.642074^(MIN($E2212,123)-117)))*1,0))</f>
        <v>2483568</v>
      </c>
      <c r="W2212" s="13">
        <f>$E2212+15</f>
        <v>122</v>
      </c>
      <c r="X2212" s="14">
        <f>IF($J2212=0,0,ROUND(MAX($J2212*1.4*1.5*1.6*1.6*2.2*2.715*2.6,3540000000*(1.579646^(MIN($E2212,123)-117)))*1,0))</f>
        <v>36593634</v>
      </c>
      <c r="Y2212" s="11">
        <f>$E2212+17</f>
        <v>124</v>
      </c>
      <c r="Z2212" s="12">
        <f>IF($J2212=0,0,ROUND(MAX($J2212*1.4*1.5*1.6*1.6*2.2*2.715*2.6*1.4,6020000000*(1.651178^(MIN($E2212,123)-117)))*1,0))</f>
        <v>39962952</v>
      </c>
      <c r="AA2212" s="13">
        <f>$E2212+19</f>
        <v>126</v>
      </c>
      <c r="AB2212" s="14">
        <f>IF($J2212=0,0,ROUND(MAX($J2212*1.4*1.5*1.6*1.6*2.2*2.715*2.6*1.4*1.4,8430000000*(1.651435^(MIN($E2212,123)-117)))*1,0))</f>
        <v>55874381</v>
      </c>
      <c r="AC2212" s="11">
        <f>$E2212+21</f>
        <v>128</v>
      </c>
      <c r="AD2212" s="12">
        <f>IF($J2212=0,0,ROUND(MAX($J2212*1.4*1.5*1.6*1.6*2.2*2.715*2.6*1.4*1.4*1.5,12600000000*(1.652953^(MIN($E2212,123)-117)))*1,0))</f>
        <v>82749522</v>
      </c>
      <c r="AE2212" s="13">
        <f>$E2212+24</f>
        <v>131</v>
      </c>
      <c r="AF2212" s="14">
        <f>IF($J2212=0,0,ROUND(MAX($J2212*1.4*1.5*1.6*1.6*2.2*2.715*2.6*1.4*1.4*1.5*1.5,18900000000*(1.65331^(MIN($E2212,123)-117)))*1,0))</f>
        <v>123856521</v>
      </c>
      <c r="AG2212" s="11">
        <f>$E2212+27</f>
        <v>134</v>
      </c>
      <c r="AH2212" s="12">
        <f>IF($J2212=0,0,ROUND(MAX($J2212*1.4*1.5*1.6*1.6*2.2*2.715*2.6*1.4*1.4*1.5*1.5*3.2,60500000000*(1.654288^(MIN($E2212,123)-117)))*1,0))</f>
        <v>394134254</v>
      </c>
    </row>
    <row r="2213" ht="28" customHeight="1" spans="1:34" x14ac:dyDescent="0.25">
      <c r="A2213">
        <v>2223</v>
      </c>
      <c r="B2213" t="s">
        <v>1341</v>
      </c>
      <c r="C2213" s="10" t="s">
        <v>1278</v>
      </c>
      <c r="D2213" t="s">
        <v>75</v>
      </c>
      <c r="E2213">
        <v>107</v>
      </c>
      <c r="F2213" t="s">
        <v>62</v>
      </c>
      <c r="G2213" t="s">
        <v>106</v>
      </c>
      <c r="H2213">
        <v>23</v>
      </c>
      <c r="I2213" s="11">
        <f>$E2213+0</f>
        <v>107</v>
      </c>
      <c r="J2213" s="12">
        <v>70800</v>
      </c>
      <c r="K2213" s="13">
        <f>$E2213+1</f>
        <v>108</v>
      </c>
      <c r="L2213" s="14">
        <f>IF($J2213=0,0,ROUND(MAX($J2213*1.4,1620000*(1.497923^(MIN($E2213,123)-117)))*1,0))</f>
        <v>99120</v>
      </c>
      <c r="M2213" s="11">
        <f>$E2213+2</f>
        <v>109</v>
      </c>
      <c r="N2213" s="12">
        <f>IF($J2213=0,0,ROUND(MAX($J2213*1.4*1.5,2190000*(1.580994^(MIN($E2213,123)-117)))*1,0))</f>
        <v>148680</v>
      </c>
      <c r="O2213" s="13">
        <f>$E2213+4</f>
        <v>111</v>
      </c>
      <c r="P2213" s="14">
        <f>IF($J2213=0,0,ROUND(MAX($J2213*1.4*1.5*1.6,3500000*(1.57975^(MIN($E2213,123)-117)))*1,0))</f>
        <v>237888</v>
      </c>
      <c r="Q2213" s="11">
        <f>$E2213+6</f>
        <v>113</v>
      </c>
      <c r="R2213" s="12">
        <f>IF($J2213=0,0,ROUND(MAX($J2213*1.4*1.5*1.6*1.6,13100000*(1.429962^(MIN($E2213,123)-117)))*1,0))</f>
        <v>380621</v>
      </c>
      <c r="S2213" s="13">
        <f>$E2213+8</f>
        <v>115</v>
      </c>
      <c r="T2213" s="14">
        <f>IF($J2213=0,0,ROUND(MAX($J2213*1.4*1.5*1.6*1.6*2.2,42600000*(1.576904^(MIN($E2213,123)-117)))*1,0))</f>
        <v>837366</v>
      </c>
      <c r="U2213" s="11">
        <f>$E2213+11</f>
        <v>118</v>
      </c>
      <c r="V2213" s="12">
        <f>IF($J2213=0,0,ROUND(MAX($J2213*1.4*1.5*1.6*1.6*2.2*2.715,354000000*(1.642074^(MIN($E2213,123)-117)))*1,0))</f>
        <v>2483568</v>
      </c>
      <c r="W2213" s="13">
        <f>$E2213+15</f>
        <v>122</v>
      </c>
      <c r="X2213" s="14">
        <f>IF($J2213=0,0,ROUND(MAX($J2213*1.4*1.5*1.6*1.6*2.2*2.715*2.6,3540000000*(1.579646^(MIN($E2213,123)-117)))*1,0))</f>
        <v>36593634</v>
      </c>
      <c r="Y2213" s="11">
        <f>$E2213+17</f>
        <v>124</v>
      </c>
      <c r="Z2213" s="12">
        <f>IF($J2213=0,0,ROUND(MAX($J2213*1.4*1.5*1.6*1.6*2.2*2.715*2.6*1.4,6020000000*(1.651178^(MIN($E2213,123)-117)))*1,0))</f>
        <v>39962952</v>
      </c>
      <c r="AA2213" s="13">
        <f>$E2213+19</f>
        <v>126</v>
      </c>
      <c r="AB2213" s="14">
        <f>IF($J2213=0,0,ROUND(MAX($J2213*1.4*1.5*1.6*1.6*2.2*2.715*2.6*1.4*1.4,8430000000*(1.651435^(MIN($E2213,123)-117)))*1,0))</f>
        <v>55874381</v>
      </c>
      <c r="AC2213" s="11">
        <f>$E2213+21</f>
        <v>128</v>
      </c>
      <c r="AD2213" s="12">
        <f>IF($J2213=0,0,ROUND(MAX($J2213*1.4*1.5*1.6*1.6*2.2*2.715*2.6*1.4*1.4*1.5,12600000000*(1.652953^(MIN($E2213,123)-117)))*1,0))</f>
        <v>82749522</v>
      </c>
      <c r="AE2213" s="13">
        <f>$E2213+24</f>
        <v>131</v>
      </c>
      <c r="AF2213" s="14">
        <f>IF($J2213=0,0,ROUND(MAX($J2213*1.4*1.5*1.6*1.6*2.2*2.715*2.6*1.4*1.4*1.5*1.5,18900000000*(1.65331^(MIN($E2213,123)-117)))*1,0))</f>
        <v>123856521</v>
      </c>
      <c r="AG2213" s="11">
        <f>$E2213+27</f>
        <v>134</v>
      </c>
      <c r="AH2213" s="12">
        <f>IF($J2213=0,0,ROUND(MAX($J2213*1.4*1.5*1.6*1.6*2.2*2.715*2.6*1.4*1.4*1.5*1.5*3.2,60500000000*(1.654288^(MIN($E2213,123)-117)))*1,0))</f>
        <v>394134254</v>
      </c>
    </row>
    <row r="2214" ht="28" customHeight="1" spans="1:34" x14ac:dyDescent="0.25">
      <c r="A2214">
        <v>2224</v>
      </c>
      <c r="B2214" t="s">
        <v>1342</v>
      </c>
      <c r="C2214" s="10" t="s">
        <v>1278</v>
      </c>
      <c r="D2214" t="s">
        <v>79</v>
      </c>
      <c r="E2214">
        <v>107</v>
      </c>
      <c r="F2214" t="s">
        <v>30</v>
      </c>
      <c r="G2214" t="s">
        <v>1336</v>
      </c>
      <c r="H2214">
        <v>23</v>
      </c>
      <c r="I2214" s="11">
        <f>$E2214+0</f>
        <v>107</v>
      </c>
      <c r="J2214" s="12">
        <v>81500</v>
      </c>
      <c r="K2214" s="13">
        <f>$E2214+1</f>
        <v>108</v>
      </c>
      <c r="L2214" s="14">
        <f>IF($J2214=0,0,ROUND(MAX($J2214*1.4,1620000*(1.497923^(MIN($E2214,123)-117)))*1,0))</f>
        <v>114100</v>
      </c>
      <c r="M2214" s="11">
        <f>$E2214+2</f>
        <v>109</v>
      </c>
      <c r="N2214" s="12">
        <f>IF($J2214=0,0,ROUND(MAX($J2214*1.4*1.5,2190000*(1.580994^(MIN($E2214,123)-117)))*1,0))</f>
        <v>171150</v>
      </c>
      <c r="O2214" s="13">
        <f>$E2214+4</f>
        <v>111</v>
      </c>
      <c r="P2214" s="14">
        <f>IF($J2214=0,0,ROUND(MAX($J2214*1.4*1.5*1.6,3500000*(1.57975^(MIN($E2214,123)-117)))*1,0))</f>
        <v>273840</v>
      </c>
      <c r="Q2214" s="11">
        <f>$E2214+6</f>
        <v>113</v>
      </c>
      <c r="R2214" s="12">
        <f>IF($J2214=0,0,ROUND(MAX($J2214*1.4*1.5*1.6*1.6,13100000*(1.429962^(MIN($E2214,123)-117)))*1,0))</f>
        <v>438144</v>
      </c>
      <c r="S2214" s="13">
        <f>$E2214+8</f>
        <v>115</v>
      </c>
      <c r="T2214" s="14">
        <f>IF($J2214=0,0,ROUND(MAX($J2214*1.4*1.5*1.6*1.6*2.2,42600000*(1.576904^(MIN($E2214,123)-117)))*1,0))</f>
        <v>963917</v>
      </c>
      <c r="U2214" s="11">
        <f>$E2214+11</f>
        <v>118</v>
      </c>
      <c r="V2214" s="12">
        <f>IF($J2214=0,0,ROUND(MAX($J2214*1.4*1.5*1.6*1.6*2.2*2.715,354000000*(1.642074^(MIN($E2214,123)-117)))*1,0))</f>
        <v>2617034</v>
      </c>
      <c r="W2214" s="13">
        <f>$E2214+15</f>
        <v>122</v>
      </c>
      <c r="X2214" s="14">
        <f>IF($J2214=0,0,ROUND(MAX($J2214*1.4*1.5*1.6*1.6*2.2*2.715*2.6,3540000000*(1.579646^(MIN($E2214,123)-117)))*1,0))</f>
        <v>36593634</v>
      </c>
      <c r="Y2214" s="11">
        <f>$E2214+17</f>
        <v>124</v>
      </c>
      <c r="Z2214" s="12">
        <f>IF($J2214=0,0,ROUND(MAX($J2214*1.4*1.5*1.6*1.6*2.2*2.715*2.6*1.4,6020000000*(1.651178^(MIN($E2214,123)-117)))*1,0))</f>
        <v>39962952</v>
      </c>
      <c r="AA2214" s="13">
        <f>$E2214+19</f>
        <v>126</v>
      </c>
      <c r="AB2214" s="14">
        <f>IF($J2214=0,0,ROUND(MAX($J2214*1.4*1.5*1.6*1.6*2.2*2.715*2.6*1.4*1.4,8430000000*(1.651435^(MIN($E2214,123)-117)))*1,0))</f>
        <v>55874381</v>
      </c>
      <c r="AC2214" s="11">
        <f>$E2214+21</f>
        <v>128</v>
      </c>
      <c r="AD2214" s="12">
        <f>IF($J2214=0,0,ROUND(MAX($J2214*1.4*1.5*1.6*1.6*2.2*2.715*2.6*1.4*1.4*1.5,12600000000*(1.652953^(MIN($E2214,123)-117)))*1,0))</f>
        <v>82749522</v>
      </c>
      <c r="AE2214" s="13">
        <f>$E2214+24</f>
        <v>131</v>
      </c>
      <c r="AF2214" s="14">
        <f>IF($J2214=0,0,ROUND(MAX($J2214*1.4*1.5*1.6*1.6*2.2*2.715*2.6*1.4*1.4*1.5*1.5,18900000000*(1.65331^(MIN($E2214,123)-117)))*1,0))</f>
        <v>123856521</v>
      </c>
      <c r="AG2214" s="11">
        <f>$E2214+27</f>
        <v>134</v>
      </c>
      <c r="AH2214" s="12">
        <f>IF($J2214=0,0,ROUND(MAX($J2214*1.4*1.5*1.6*1.6*2.2*2.715*2.6*1.4*1.4*1.5*1.5*3.2,60500000000*(1.654288^(MIN($E2214,123)-117)))*1,0))</f>
        <v>394134254</v>
      </c>
    </row>
    <row r="2215" ht="28" customHeight="1" spans="1:34" x14ac:dyDescent="0.25">
      <c r="A2215">
        <v>2225</v>
      </c>
      <c r="B2215" t="s">
        <v>1343</v>
      </c>
      <c r="C2215" s="10" t="s">
        <v>1278</v>
      </c>
      <c r="D2215" t="s">
        <v>102</v>
      </c>
      <c r="E2215">
        <v>107</v>
      </c>
      <c r="F2215" t="s">
        <v>71</v>
      </c>
      <c r="G2215" t="s">
        <v>95</v>
      </c>
      <c r="H2215">
        <v>23</v>
      </c>
      <c r="I2215" s="11">
        <f>$E2215+0</f>
        <v>107</v>
      </c>
      <c r="J2215" s="12">
        <v>54900</v>
      </c>
      <c r="K2215" s="13">
        <f>$E2215+1</f>
        <v>108</v>
      </c>
      <c r="L2215" s="14">
        <f>IF($J2215=0,0,ROUND(MAX($J2215*1.4,1620000*(1.497923^(MIN($E2215,123)-117)))*1,0))</f>
        <v>76860</v>
      </c>
      <c r="M2215" s="11">
        <f>$E2215+2</f>
        <v>109</v>
      </c>
      <c r="N2215" s="12">
        <f>IF($J2215=0,0,ROUND(MAX($J2215*1.4*1.5,2190000*(1.580994^(MIN($E2215,123)-117)))*1,0))</f>
        <v>115290</v>
      </c>
      <c r="O2215" s="13">
        <f>$E2215+4</f>
        <v>111</v>
      </c>
      <c r="P2215" s="14">
        <f>IF($J2215=0,0,ROUND(MAX($J2215*1.4*1.5*1.6,3500000*(1.57975^(MIN($E2215,123)-117)))*1,0))</f>
        <v>184464</v>
      </c>
      <c r="Q2215" s="11">
        <f>$E2215+6</f>
        <v>113</v>
      </c>
      <c r="R2215" s="12">
        <f>IF($J2215=0,0,ROUND(MAX($J2215*1.4*1.5*1.6*1.6,13100000*(1.429962^(MIN($E2215,123)-117)))*1,0))</f>
        <v>366460</v>
      </c>
      <c r="S2215" s="13">
        <f>$E2215+8</f>
        <v>115</v>
      </c>
      <c r="T2215" s="14">
        <f>IF($J2215=0,0,ROUND(MAX($J2215*1.4*1.5*1.6*1.6*2.2,42600000*(1.576904^(MIN($E2215,123)-117)))*1,0))</f>
        <v>649313</v>
      </c>
      <c r="U2215" s="11">
        <f>$E2215+11</f>
        <v>118</v>
      </c>
      <c r="V2215" s="12">
        <f>IF($J2215=0,0,ROUND(MAX($J2215*1.4*1.5*1.6*1.6*2.2*2.715,354000000*(1.642074^(MIN($E2215,123)-117)))*1,0))</f>
        <v>2483568</v>
      </c>
      <c r="W2215" s="13">
        <f>$E2215+15</f>
        <v>122</v>
      </c>
      <c r="X2215" s="14">
        <f>IF($J2215=0,0,ROUND(MAX($J2215*1.4*1.5*1.6*1.6*2.2*2.715*2.6,3540000000*(1.579646^(MIN($E2215,123)-117)))*1,0))</f>
        <v>36593634</v>
      </c>
      <c r="Y2215" s="11">
        <f>$E2215+17</f>
        <v>124</v>
      </c>
      <c r="Z2215" s="12">
        <f>IF($J2215=0,0,ROUND(MAX($J2215*1.4*1.5*1.6*1.6*2.2*2.715*2.6*1.4,6020000000*(1.651178^(MIN($E2215,123)-117)))*1,0))</f>
        <v>39962952</v>
      </c>
      <c r="AA2215" s="13">
        <f>$E2215+19</f>
        <v>126</v>
      </c>
      <c r="AB2215" s="14">
        <f>IF($J2215=0,0,ROUND(MAX($J2215*1.4*1.5*1.6*1.6*2.2*2.715*2.6*1.4*1.4,8430000000*(1.651435^(MIN($E2215,123)-117)))*1,0))</f>
        <v>55874381</v>
      </c>
      <c r="AC2215" s="11">
        <f>$E2215+21</f>
        <v>128</v>
      </c>
      <c r="AD2215" s="12">
        <f>IF($J2215=0,0,ROUND(MAX($J2215*1.4*1.5*1.6*1.6*2.2*2.715*2.6*1.4*1.4*1.5,12600000000*(1.652953^(MIN($E2215,123)-117)))*1,0))</f>
        <v>82749522</v>
      </c>
      <c r="AE2215" s="13">
        <f>$E2215+24</f>
        <v>131</v>
      </c>
      <c r="AF2215" s="14">
        <f>IF($J2215=0,0,ROUND(MAX($J2215*1.4*1.5*1.6*1.6*2.2*2.715*2.6*1.4*1.4*1.5*1.5,18900000000*(1.65331^(MIN($E2215,123)-117)))*1,0))</f>
        <v>123856521</v>
      </c>
      <c r="AG2215" s="11">
        <f>$E2215+27</f>
        <v>134</v>
      </c>
      <c r="AH2215" s="12">
        <f>IF($J2215=0,0,ROUND(MAX($J2215*1.4*1.5*1.6*1.6*2.2*2.715*2.6*1.4*1.4*1.5*1.5*3.2,60500000000*(1.654288^(MIN($E2215,123)-117)))*1,0))</f>
        <v>394134254</v>
      </c>
    </row>
    <row r="2216" ht="28" customHeight="1" spans="1:34" x14ac:dyDescent="0.25">
      <c r="A2216">
        <v>2226</v>
      </c>
      <c r="B2216" t="s">
        <v>1344</v>
      </c>
      <c r="C2216" s="10" t="s">
        <v>1278</v>
      </c>
      <c r="D2216" t="s">
        <v>45</v>
      </c>
      <c r="E2216">
        <v>107</v>
      </c>
      <c r="F2216" t="s">
        <v>59</v>
      </c>
      <c r="G2216" t="s">
        <v>1058</v>
      </c>
      <c r="H2216">
        <v>23</v>
      </c>
      <c r="I2216" s="11">
        <f>$E2216+0</f>
        <v>107</v>
      </c>
      <c r="J2216" s="12">
        <v>37300</v>
      </c>
      <c r="K2216" s="13">
        <f>$E2216+1</f>
        <v>108</v>
      </c>
      <c r="L2216" s="14">
        <f>IF($J2216=0,0,ROUND(MAX($J2216*1.4,1620000*(1.497923^(MIN($E2216,123)-117)))*1,0))</f>
        <v>52220</v>
      </c>
      <c r="M2216" s="11">
        <f>$E2216+2</f>
        <v>109</v>
      </c>
      <c r="N2216" s="12">
        <f>IF($J2216=0,0,ROUND(MAX($J2216*1.4*1.5,2190000*(1.580994^(MIN($E2216,123)-117)))*1,0))</f>
        <v>78330</v>
      </c>
      <c r="O2216" s="13">
        <f>$E2216+4</f>
        <v>111</v>
      </c>
      <c r="P2216" s="14">
        <f>IF($J2216=0,0,ROUND(MAX($J2216*1.4*1.5*1.6,3500000*(1.57975^(MIN($E2216,123)-117)))*1,0))</f>
        <v>125328</v>
      </c>
      <c r="Q2216" s="11">
        <f>$E2216+6</f>
        <v>113</v>
      </c>
      <c r="R2216" s="12">
        <f>IF($J2216=0,0,ROUND(MAX($J2216*1.4*1.5*1.6*1.6,13100000*(1.429962^(MIN($E2216,123)-117)))*1,0))</f>
        <v>366460</v>
      </c>
      <c r="S2216" s="13">
        <f>$E2216+8</f>
        <v>115</v>
      </c>
      <c r="T2216" s="14">
        <f>IF($J2216=0,0,ROUND(MAX($J2216*1.4*1.5*1.6*1.6*2.2,42600000*(1.576904^(MIN($E2216,123)-117)))*1,0))</f>
        <v>448082</v>
      </c>
      <c r="U2216" s="11">
        <f>$E2216+11</f>
        <v>118</v>
      </c>
      <c r="V2216" s="12">
        <f>IF($J2216=0,0,ROUND(MAX($J2216*1.4*1.5*1.6*1.6*2.2*2.715,354000000*(1.642074^(MIN($E2216,123)-117)))*1,0))</f>
        <v>2483568</v>
      </c>
      <c r="W2216" s="13">
        <f>$E2216+15</f>
        <v>122</v>
      </c>
      <c r="X2216" s="14">
        <f>IF($J2216=0,0,ROUND(MAX($J2216*1.4*1.5*1.6*1.6*2.2*2.715*2.6,3540000000*(1.579646^(MIN($E2216,123)-117)))*1,0))</f>
        <v>36593634</v>
      </c>
      <c r="Y2216" s="11">
        <f>$E2216+17</f>
        <v>124</v>
      </c>
      <c r="Z2216" s="12">
        <f>IF($J2216=0,0,ROUND(MAX($J2216*1.4*1.5*1.6*1.6*2.2*2.715*2.6*1.4,6020000000*(1.651178^(MIN($E2216,123)-117)))*1,0))</f>
        <v>39962952</v>
      </c>
      <c r="AA2216" s="13">
        <f>$E2216+19</f>
        <v>126</v>
      </c>
      <c r="AB2216" s="14">
        <f>IF($J2216=0,0,ROUND(MAX($J2216*1.4*1.5*1.6*1.6*2.2*2.715*2.6*1.4*1.4,8430000000*(1.651435^(MIN($E2216,123)-117)))*1,0))</f>
        <v>55874381</v>
      </c>
      <c r="AC2216" s="11">
        <f>$E2216+21</f>
        <v>128</v>
      </c>
      <c r="AD2216" s="12">
        <f>IF($J2216=0,0,ROUND(MAX($J2216*1.4*1.5*1.6*1.6*2.2*2.715*2.6*1.4*1.4*1.5,12600000000*(1.652953^(MIN($E2216,123)-117)))*1,0))</f>
        <v>82749522</v>
      </c>
      <c r="AE2216" s="13">
        <f>$E2216+24</f>
        <v>131</v>
      </c>
      <c r="AF2216" s="14">
        <f>IF($J2216=0,0,ROUND(MAX($J2216*1.4*1.5*1.6*1.6*2.2*2.715*2.6*1.4*1.4*1.5*1.5,18900000000*(1.65331^(MIN($E2216,123)-117)))*1,0))</f>
        <v>123856521</v>
      </c>
      <c r="AG2216" s="11">
        <f>$E2216+27</f>
        <v>134</v>
      </c>
      <c r="AH2216" s="12">
        <f>IF($J2216=0,0,ROUND(MAX($J2216*1.4*1.5*1.6*1.6*2.2*2.715*2.6*1.4*1.4*1.5*1.5*3.2,60500000000*(1.654288^(MIN($E2216,123)-117)))*1,0))</f>
        <v>394134254</v>
      </c>
    </row>
    <row r="2217" ht="28" customHeight="1" spans="1:34" x14ac:dyDescent="0.25">
      <c r="A2217">
        <v>2227</v>
      </c>
      <c r="B2217" t="s">
        <v>1186</v>
      </c>
      <c r="C2217" s="10" t="s">
        <v>1278</v>
      </c>
      <c r="D2217" t="s">
        <v>64</v>
      </c>
      <c r="E2217">
        <v>107</v>
      </c>
      <c r="F2217" t="s">
        <v>120</v>
      </c>
      <c r="G2217" t="s">
        <v>171</v>
      </c>
      <c r="H2217">
        <v>23</v>
      </c>
      <c r="I2217" s="11">
        <f>$E2217+0</f>
        <v>107</v>
      </c>
      <c r="J2217" s="12">
        <v>34100</v>
      </c>
      <c r="K2217" s="13">
        <f>$E2217+1</f>
        <v>108</v>
      </c>
      <c r="L2217" s="14">
        <f>IF($J2217=0,0,ROUND(MAX($J2217*1.4,1620000*(1.497923^(MIN($E2217,123)-117)))*1,0))</f>
        <v>47740</v>
      </c>
      <c r="M2217" s="11">
        <f>$E2217+2</f>
        <v>109</v>
      </c>
      <c r="N2217" s="12">
        <f>IF($J2217=0,0,ROUND(MAX($J2217*1.4*1.5,2190000*(1.580994^(MIN($E2217,123)-117)))*1,0))</f>
        <v>71610</v>
      </c>
      <c r="O2217" s="13">
        <f>$E2217+4</f>
        <v>111</v>
      </c>
      <c r="P2217" s="14">
        <f>IF($J2217=0,0,ROUND(MAX($J2217*1.4*1.5*1.6,3500000*(1.57975^(MIN($E2217,123)-117)))*1,0))</f>
        <v>114576</v>
      </c>
      <c r="Q2217" s="11">
        <f>$E2217+6</f>
        <v>113</v>
      </c>
      <c r="R2217" s="12">
        <f>IF($J2217=0,0,ROUND(MAX($J2217*1.4*1.5*1.6*1.6,13100000*(1.429962^(MIN($E2217,123)-117)))*1,0))</f>
        <v>366460</v>
      </c>
      <c r="S2217" s="13">
        <f>$E2217+8</f>
        <v>115</v>
      </c>
      <c r="T2217" s="14">
        <f>IF($J2217=0,0,ROUND(MAX($J2217*1.4*1.5*1.6*1.6*2.2,42600000*(1.576904^(MIN($E2217,123)-117)))*1,0))</f>
        <v>448082</v>
      </c>
      <c r="U2217" s="11">
        <f>$E2217+11</f>
        <v>118</v>
      </c>
      <c r="V2217" s="12">
        <f>IF($J2217=0,0,ROUND(MAX($J2217*1.4*1.5*1.6*1.6*2.2*2.715,354000000*(1.642074^(MIN($E2217,123)-117)))*1,0))</f>
        <v>2483568</v>
      </c>
      <c r="W2217" s="13">
        <f>$E2217+15</f>
        <v>122</v>
      </c>
      <c r="X2217" s="14">
        <f>IF($J2217=0,0,ROUND(MAX($J2217*1.4*1.5*1.6*1.6*2.2*2.715*2.6,3540000000*(1.579646^(MIN($E2217,123)-117)))*1,0))</f>
        <v>36593634</v>
      </c>
      <c r="Y2217" s="11">
        <f>$E2217+17</f>
        <v>124</v>
      </c>
      <c r="Z2217" s="12">
        <f>IF($J2217=0,0,ROUND(MAX($J2217*1.4*1.5*1.6*1.6*2.2*2.715*2.6*1.4,6020000000*(1.651178^(MIN($E2217,123)-117)))*1,0))</f>
        <v>39962952</v>
      </c>
      <c r="AA2217" s="13">
        <f>$E2217+19</f>
        <v>126</v>
      </c>
      <c r="AB2217" s="14">
        <f>IF($J2217=0,0,ROUND(MAX($J2217*1.4*1.5*1.6*1.6*2.2*2.715*2.6*1.4*1.4,8430000000*(1.651435^(MIN($E2217,123)-117)))*1,0))</f>
        <v>55874381</v>
      </c>
      <c r="AC2217" s="11">
        <f>$E2217+21</f>
        <v>128</v>
      </c>
      <c r="AD2217" s="12">
        <f>IF($J2217=0,0,ROUND(MAX($J2217*1.4*1.5*1.6*1.6*2.2*2.715*2.6*1.4*1.4*1.5,12600000000*(1.652953^(MIN($E2217,123)-117)))*1,0))</f>
        <v>82749522</v>
      </c>
      <c r="AE2217" s="13">
        <f>$E2217+24</f>
        <v>131</v>
      </c>
      <c r="AF2217" s="14">
        <f>IF($J2217=0,0,ROUND(MAX($J2217*1.4*1.5*1.6*1.6*2.2*2.715*2.6*1.4*1.4*1.5*1.5,18900000000*(1.65331^(MIN($E2217,123)-117)))*1,0))</f>
        <v>123856521</v>
      </c>
      <c r="AG2217" s="11">
        <f>$E2217+27</f>
        <v>134</v>
      </c>
      <c r="AH2217" s="12">
        <f>IF($J2217=0,0,ROUND(MAX($J2217*1.4*1.5*1.6*1.6*2.2*2.715*2.6*1.4*1.4*1.5*1.5*3.2,60500000000*(1.654288^(MIN($E2217,123)-117)))*1,0))</f>
        <v>394134254</v>
      </c>
    </row>
    <row r="2218" ht="28" customHeight="1" spans="1:34" x14ac:dyDescent="0.25">
      <c r="A2218">
        <v>2228</v>
      </c>
      <c r="B2218" t="s">
        <v>1345</v>
      </c>
      <c r="C2218" s="10" t="s">
        <v>1278</v>
      </c>
      <c r="D2218" t="s">
        <v>33</v>
      </c>
      <c r="E2218">
        <v>107</v>
      </c>
      <c r="F2218" t="s">
        <v>345</v>
      </c>
      <c r="G2218" t="s">
        <v>124</v>
      </c>
      <c r="H2218">
        <v>23</v>
      </c>
      <c r="I2218" s="11">
        <f>$E2218+0</f>
        <v>107</v>
      </c>
      <c r="J2218" s="12">
        <v>51900</v>
      </c>
      <c r="K2218" s="13">
        <f>$E2218+1</f>
        <v>108</v>
      </c>
      <c r="L2218" s="14">
        <f>IF($J2218=0,0,ROUND(MAX($J2218*1.4,1620000*(1.497923^(MIN($E2218,123)-117)))*1,0))</f>
        <v>72660</v>
      </c>
      <c r="M2218" s="11">
        <f>$E2218+2</f>
        <v>109</v>
      </c>
      <c r="N2218" s="12">
        <f>IF($J2218=0,0,ROUND(MAX($J2218*1.4*1.5,2190000*(1.580994^(MIN($E2218,123)-117)))*1,0))</f>
        <v>108990</v>
      </c>
      <c r="O2218" s="13">
        <f>$E2218+4</f>
        <v>111</v>
      </c>
      <c r="P2218" s="14">
        <f>IF($J2218=0,0,ROUND(MAX($J2218*1.4*1.5*1.6,3500000*(1.57975^(MIN($E2218,123)-117)))*1,0))</f>
        <v>174384</v>
      </c>
      <c r="Q2218" s="11">
        <f>$E2218+6</f>
        <v>113</v>
      </c>
      <c r="R2218" s="12">
        <f>IF($J2218=0,0,ROUND(MAX($J2218*1.4*1.5*1.6*1.6,13100000*(1.429962^(MIN($E2218,123)-117)))*1,0))</f>
        <v>366460</v>
      </c>
      <c r="S2218" s="13">
        <f>$E2218+8</f>
        <v>115</v>
      </c>
      <c r="T2218" s="14">
        <f>IF($J2218=0,0,ROUND(MAX($J2218*1.4*1.5*1.6*1.6*2.2,42600000*(1.576904^(MIN($E2218,123)-117)))*1,0))</f>
        <v>613832</v>
      </c>
      <c r="U2218" s="11">
        <f>$E2218+11</f>
        <v>118</v>
      </c>
      <c r="V2218" s="12">
        <f>IF($J2218=0,0,ROUND(MAX($J2218*1.4*1.5*1.6*1.6*2.2*2.715,354000000*(1.642074^(MIN($E2218,123)-117)))*1,0))</f>
        <v>2483568</v>
      </c>
      <c r="W2218" s="13">
        <f>$E2218+15</f>
        <v>122</v>
      </c>
      <c r="X2218" s="14">
        <f>IF($J2218=0,0,ROUND(MAX($J2218*1.4*1.5*1.6*1.6*2.2*2.715*2.6,3540000000*(1.579646^(MIN($E2218,123)-117)))*1,0))</f>
        <v>36593634</v>
      </c>
      <c r="Y2218" s="11">
        <f>$E2218+17</f>
        <v>124</v>
      </c>
      <c r="Z2218" s="12">
        <f>IF($J2218=0,0,ROUND(MAX($J2218*1.4*1.5*1.6*1.6*2.2*2.715*2.6*1.4,6020000000*(1.651178^(MIN($E2218,123)-117)))*1,0))</f>
        <v>39962952</v>
      </c>
      <c r="AA2218" s="13">
        <f>$E2218+19</f>
        <v>126</v>
      </c>
      <c r="AB2218" s="14">
        <f>IF($J2218=0,0,ROUND(MAX($J2218*1.4*1.5*1.6*1.6*2.2*2.715*2.6*1.4*1.4,8430000000*(1.651435^(MIN($E2218,123)-117)))*1,0))</f>
        <v>55874381</v>
      </c>
      <c r="AC2218" s="11">
        <f>$E2218+21</f>
        <v>128</v>
      </c>
      <c r="AD2218" s="12">
        <f>IF($J2218=0,0,ROUND(MAX($J2218*1.4*1.5*1.6*1.6*2.2*2.715*2.6*1.4*1.4*1.5,12600000000*(1.652953^(MIN($E2218,123)-117)))*1,0))</f>
        <v>82749522</v>
      </c>
      <c r="AE2218" s="13">
        <f>$E2218+24</f>
        <v>131</v>
      </c>
      <c r="AF2218" s="14">
        <f>IF($J2218=0,0,ROUND(MAX($J2218*1.4*1.5*1.6*1.6*2.2*2.715*2.6*1.4*1.4*1.5*1.5,18900000000*(1.65331^(MIN($E2218,123)-117)))*1,0))</f>
        <v>123856521</v>
      </c>
      <c r="AG2218" s="11">
        <f>$E2218+27</f>
        <v>134</v>
      </c>
      <c r="AH2218" s="12">
        <f>IF($J2218=0,0,ROUND(MAX($J2218*1.4*1.5*1.6*1.6*2.2*2.715*2.6*1.4*1.4*1.5*1.5*3.2,60500000000*(1.654288^(MIN($E2218,123)-117)))*1,0))</f>
        <v>394134254</v>
      </c>
    </row>
    <row r="2219" ht="28" customHeight="1" spans="1:34" x14ac:dyDescent="0.25">
      <c r="A2219">
        <v>2229</v>
      </c>
      <c r="B2219" t="s">
        <v>1346</v>
      </c>
      <c r="C2219" s="10" t="s">
        <v>1278</v>
      </c>
      <c r="D2219" t="s">
        <v>33</v>
      </c>
      <c r="E2219">
        <v>107</v>
      </c>
      <c r="F2219" t="s">
        <v>30</v>
      </c>
      <c r="G2219" t="s">
        <v>1336</v>
      </c>
      <c r="H2219">
        <v>23</v>
      </c>
      <c r="I2219" s="11">
        <f>$E2219+0</f>
        <v>107</v>
      </c>
      <c r="J2219" s="12">
        <v>116000</v>
      </c>
      <c r="K2219" s="13">
        <f>$E2219+1</f>
        <v>108</v>
      </c>
      <c r="L2219" s="14">
        <f>IF($J2219=0,0,ROUND(MAX($J2219*1.4,1620000*(1.497923^(MIN($E2219,123)-117)))*1,0))</f>
        <v>162400</v>
      </c>
      <c r="M2219" s="11">
        <f>$E2219+2</f>
        <v>109</v>
      </c>
      <c r="N2219" s="12">
        <f>IF($J2219=0,0,ROUND(MAX($J2219*1.4*1.5,2190000*(1.580994^(MIN($E2219,123)-117)))*1,0))</f>
        <v>243600</v>
      </c>
      <c r="O2219" s="13">
        <f>$E2219+4</f>
        <v>111</v>
      </c>
      <c r="P2219" s="14">
        <f>IF($J2219=0,0,ROUND(MAX($J2219*1.4*1.5*1.6,3500000*(1.57975^(MIN($E2219,123)-117)))*1,0))</f>
        <v>389760</v>
      </c>
      <c r="Q2219" s="11">
        <f>$E2219+6</f>
        <v>113</v>
      </c>
      <c r="R2219" s="12">
        <f>IF($J2219=0,0,ROUND(MAX($J2219*1.4*1.5*1.6*1.6,13100000*(1.429962^(MIN($E2219,123)-117)))*1,0))</f>
        <v>623616</v>
      </c>
      <c r="S2219" s="13">
        <f>$E2219+8</f>
        <v>115</v>
      </c>
      <c r="T2219" s="14">
        <f>IF($J2219=0,0,ROUND(MAX($J2219*1.4*1.5*1.6*1.6*2.2,42600000*(1.576904^(MIN($E2219,123)-117)))*1,0))</f>
        <v>1371955</v>
      </c>
      <c r="U2219" s="11">
        <f>$E2219+11</f>
        <v>118</v>
      </c>
      <c r="V2219" s="12">
        <f>IF($J2219=0,0,ROUND(MAX($J2219*1.4*1.5*1.6*1.6*2.2*2.715,354000000*(1.642074^(MIN($E2219,123)-117)))*1,0))</f>
        <v>3724858</v>
      </c>
      <c r="W2219" s="13">
        <f>$E2219+15</f>
        <v>122</v>
      </c>
      <c r="X2219" s="14">
        <f>IF($J2219=0,0,ROUND(MAX($J2219*1.4*1.5*1.6*1.6*2.2*2.715*2.6,3540000000*(1.579646^(MIN($E2219,123)-117)))*1,0))</f>
        <v>36593634</v>
      </c>
      <c r="Y2219" s="11">
        <f>$E2219+17</f>
        <v>124</v>
      </c>
      <c r="Z2219" s="12">
        <f>IF($J2219=0,0,ROUND(MAX($J2219*1.4*1.5*1.6*1.6*2.2*2.715*2.6*1.4,6020000000*(1.651178^(MIN($E2219,123)-117)))*1,0))</f>
        <v>39962952</v>
      </c>
      <c r="AA2219" s="13">
        <f>$E2219+19</f>
        <v>126</v>
      </c>
      <c r="AB2219" s="14">
        <f>IF($J2219=0,0,ROUND(MAX($J2219*1.4*1.5*1.6*1.6*2.2*2.715*2.6*1.4*1.4,8430000000*(1.651435^(MIN($E2219,123)-117)))*1,0))</f>
        <v>55874381</v>
      </c>
      <c r="AC2219" s="11">
        <f>$E2219+21</f>
        <v>128</v>
      </c>
      <c r="AD2219" s="12">
        <f>IF($J2219=0,0,ROUND(MAX($J2219*1.4*1.5*1.6*1.6*2.2*2.715*2.6*1.4*1.4*1.5,12600000000*(1.652953^(MIN($E2219,123)-117)))*1,0))</f>
        <v>82749522</v>
      </c>
      <c r="AE2219" s="13">
        <f>$E2219+24</f>
        <v>131</v>
      </c>
      <c r="AF2219" s="14">
        <f>IF($J2219=0,0,ROUND(MAX($J2219*1.4*1.5*1.6*1.6*2.2*2.715*2.6*1.4*1.4*1.5*1.5,18900000000*(1.65331^(MIN($E2219,123)-117)))*1,0))</f>
        <v>123856521</v>
      </c>
      <c r="AG2219" s="11">
        <f>$E2219+27</f>
        <v>134</v>
      </c>
      <c r="AH2219" s="12">
        <f>IF($J2219=0,0,ROUND(MAX($J2219*1.4*1.5*1.6*1.6*2.2*2.715*2.6*1.4*1.4*1.5*1.5*3.2,60500000000*(1.654288^(MIN($E2219,123)-117)))*1,0))</f>
        <v>394134254</v>
      </c>
    </row>
    <row r="2220" ht="28" customHeight="1" spans="1:34" x14ac:dyDescent="0.25">
      <c r="A2220">
        <v>2230</v>
      </c>
      <c r="B2220" t="s">
        <v>1347</v>
      </c>
      <c r="C2220" s="10" t="s">
        <v>1278</v>
      </c>
      <c r="D2220" t="s">
        <v>102</v>
      </c>
      <c r="E2220">
        <v>107</v>
      </c>
      <c r="F2220" t="s">
        <v>146</v>
      </c>
      <c r="G2220" t="s">
        <v>272</v>
      </c>
      <c r="H2220">
        <v>23</v>
      </c>
      <c r="I2220" s="11">
        <f>$E2220+0</f>
        <v>107</v>
      </c>
      <c r="J2220" s="12">
        <v>33700</v>
      </c>
      <c r="K2220" s="13">
        <f>$E2220+1</f>
        <v>108</v>
      </c>
      <c r="L2220" s="14">
        <f>IF($J2220=0,0,ROUND(MAX($J2220*1.4,1620000*(1.497923^(MIN($E2220,123)-117)))*1,0))</f>
        <v>47180</v>
      </c>
      <c r="M2220" s="11">
        <f>$E2220+2</f>
        <v>109</v>
      </c>
      <c r="N2220" s="12">
        <f>IF($J2220=0,0,ROUND(MAX($J2220*1.4*1.5,2190000*(1.580994^(MIN($E2220,123)-117)))*1,0))</f>
        <v>70770</v>
      </c>
      <c r="O2220" s="13">
        <f>$E2220+4</f>
        <v>111</v>
      </c>
      <c r="P2220" s="14">
        <f>IF($J2220=0,0,ROUND(MAX($J2220*1.4*1.5*1.6,3500000*(1.57975^(MIN($E2220,123)-117)))*1,0))</f>
        <v>113232</v>
      </c>
      <c r="Q2220" s="11">
        <f>$E2220+6</f>
        <v>113</v>
      </c>
      <c r="R2220" s="12">
        <f>IF($J2220=0,0,ROUND(MAX($J2220*1.4*1.5*1.6*1.6,13100000*(1.429962^(MIN($E2220,123)-117)))*1,0))</f>
        <v>366460</v>
      </c>
      <c r="S2220" s="13">
        <f>$E2220+8</f>
        <v>115</v>
      </c>
      <c r="T2220" s="14">
        <f>IF($J2220=0,0,ROUND(MAX($J2220*1.4*1.5*1.6*1.6*2.2,42600000*(1.576904^(MIN($E2220,123)-117)))*1,0))</f>
        <v>448082</v>
      </c>
      <c r="U2220" s="11">
        <f>$E2220+11</f>
        <v>118</v>
      </c>
      <c r="V2220" s="12">
        <f>IF($J2220=0,0,ROUND(MAX($J2220*1.4*1.5*1.6*1.6*2.2*2.715,354000000*(1.642074^(MIN($E2220,123)-117)))*1,0))</f>
        <v>2483568</v>
      </c>
      <c r="W2220" s="13">
        <f>$E2220+15</f>
        <v>122</v>
      </c>
      <c r="X2220" s="14">
        <f>IF($J2220=0,0,ROUND(MAX($J2220*1.4*1.5*1.6*1.6*2.2*2.715*2.6,3540000000*(1.579646^(MIN($E2220,123)-117)))*1,0))</f>
        <v>36593634</v>
      </c>
      <c r="Y2220" s="11">
        <f>$E2220+17</f>
        <v>124</v>
      </c>
      <c r="Z2220" s="12">
        <f>IF($J2220=0,0,ROUND(MAX($J2220*1.4*1.5*1.6*1.6*2.2*2.715*2.6*1.4,6020000000*(1.651178^(MIN($E2220,123)-117)))*1,0))</f>
        <v>39962952</v>
      </c>
      <c r="AA2220" s="13">
        <f>$E2220+19</f>
        <v>126</v>
      </c>
      <c r="AB2220" s="14">
        <f>IF($J2220=0,0,ROUND(MAX($J2220*1.4*1.5*1.6*1.6*2.2*2.715*2.6*1.4*1.4,8430000000*(1.651435^(MIN($E2220,123)-117)))*1,0))</f>
        <v>55874381</v>
      </c>
      <c r="AC2220" s="11">
        <f>$E2220+21</f>
        <v>128</v>
      </c>
      <c r="AD2220" s="12">
        <f>IF($J2220=0,0,ROUND(MAX($J2220*1.4*1.5*1.6*1.6*2.2*2.715*2.6*1.4*1.4*1.5,12600000000*(1.652953^(MIN($E2220,123)-117)))*1,0))</f>
        <v>82749522</v>
      </c>
      <c r="AE2220" s="13">
        <f>$E2220+24</f>
        <v>131</v>
      </c>
      <c r="AF2220" s="14">
        <f>IF($J2220=0,0,ROUND(MAX($J2220*1.4*1.5*1.6*1.6*2.2*2.715*2.6*1.4*1.4*1.5*1.5,18900000000*(1.65331^(MIN($E2220,123)-117)))*1,0))</f>
        <v>123856521</v>
      </c>
      <c r="AG2220" s="11">
        <f>$E2220+27</f>
        <v>134</v>
      </c>
      <c r="AH2220" s="12">
        <f>IF($J2220=0,0,ROUND(MAX($J2220*1.4*1.5*1.6*1.6*2.2*2.715*2.6*1.4*1.4*1.5*1.5*3.2,60500000000*(1.654288^(MIN($E2220,123)-117)))*1,0))</f>
        <v>394134254</v>
      </c>
    </row>
    <row r="2221" ht="28" customHeight="1" spans="1:34" x14ac:dyDescent="0.25">
      <c r="A2221">
        <v>2231</v>
      </c>
      <c r="B2221" t="s">
        <v>1348</v>
      </c>
      <c r="C2221" s="10" t="s">
        <v>1278</v>
      </c>
      <c r="D2221" t="s">
        <v>79</v>
      </c>
      <c r="E2221">
        <v>107</v>
      </c>
      <c r="F2221" t="s">
        <v>34</v>
      </c>
      <c r="G2221" t="s">
        <v>976</v>
      </c>
      <c r="H2221">
        <v>23</v>
      </c>
      <c r="I2221" s="11">
        <f>$E2221+0</f>
        <v>107</v>
      </c>
      <c r="J2221" s="12">
        <v>77200</v>
      </c>
      <c r="K2221" s="13">
        <f>$E2221+1</f>
        <v>108</v>
      </c>
      <c r="L2221" s="14">
        <f>IF($J2221=0,0,ROUND(MAX($J2221*1.4,1620000*(1.497923^(MIN($E2221,123)-117)))*1,0))</f>
        <v>108080</v>
      </c>
      <c r="M2221" s="11">
        <f>$E2221+2</f>
        <v>109</v>
      </c>
      <c r="N2221" s="12">
        <f>IF($J2221=0,0,ROUND(MAX($J2221*1.4*1.5,2190000*(1.580994^(MIN($E2221,123)-117)))*1,0))</f>
        <v>162120</v>
      </c>
      <c r="O2221" s="13">
        <f>$E2221+4</f>
        <v>111</v>
      </c>
      <c r="P2221" s="14">
        <f>IF($J2221=0,0,ROUND(MAX($J2221*1.4*1.5*1.6,3500000*(1.57975^(MIN($E2221,123)-117)))*1,0))</f>
        <v>259392</v>
      </c>
      <c r="Q2221" s="11">
        <f>$E2221+6</f>
        <v>113</v>
      </c>
      <c r="R2221" s="12">
        <f>IF($J2221=0,0,ROUND(MAX($J2221*1.4*1.5*1.6*1.6,13100000*(1.429962^(MIN($E2221,123)-117)))*1,0))</f>
        <v>415027</v>
      </c>
      <c r="S2221" s="13">
        <f>$E2221+8</f>
        <v>115</v>
      </c>
      <c r="T2221" s="14">
        <f>IF($J2221=0,0,ROUND(MAX($J2221*1.4*1.5*1.6*1.6*2.2,42600000*(1.576904^(MIN($E2221,123)-117)))*1,0))</f>
        <v>913060</v>
      </c>
      <c r="U2221" s="11">
        <f>$E2221+11</f>
        <v>118</v>
      </c>
      <c r="V2221" s="12">
        <f>IF($J2221=0,0,ROUND(MAX($J2221*1.4*1.5*1.6*1.6*2.2*2.715,354000000*(1.642074^(MIN($E2221,123)-117)))*1,0))</f>
        <v>2483568</v>
      </c>
      <c r="W2221" s="13">
        <f>$E2221+15</f>
        <v>122</v>
      </c>
      <c r="X2221" s="14">
        <f>IF($J2221=0,0,ROUND(MAX($J2221*1.4*1.5*1.6*1.6*2.2*2.715*2.6,3540000000*(1.579646^(MIN($E2221,123)-117)))*1,0))</f>
        <v>36593634</v>
      </c>
      <c r="Y2221" s="11">
        <f>$E2221+17</f>
        <v>124</v>
      </c>
      <c r="Z2221" s="12">
        <f>IF($J2221=0,0,ROUND(MAX($J2221*1.4*1.5*1.6*1.6*2.2*2.715*2.6*1.4,6020000000*(1.651178^(MIN($E2221,123)-117)))*1,0))</f>
        <v>39962952</v>
      </c>
      <c r="AA2221" s="13">
        <f>$E2221+19</f>
        <v>126</v>
      </c>
      <c r="AB2221" s="14">
        <f>IF($J2221=0,0,ROUND(MAX($J2221*1.4*1.5*1.6*1.6*2.2*2.715*2.6*1.4*1.4,8430000000*(1.651435^(MIN($E2221,123)-117)))*1,0))</f>
        <v>55874381</v>
      </c>
      <c r="AC2221" s="11">
        <f>$E2221+21</f>
        <v>128</v>
      </c>
      <c r="AD2221" s="12">
        <f>IF($J2221=0,0,ROUND(MAX($J2221*1.4*1.5*1.6*1.6*2.2*2.715*2.6*1.4*1.4*1.5,12600000000*(1.652953^(MIN($E2221,123)-117)))*1,0))</f>
        <v>82749522</v>
      </c>
      <c r="AE2221" s="13">
        <f>$E2221+24</f>
        <v>131</v>
      </c>
      <c r="AF2221" s="14">
        <f>IF($J2221=0,0,ROUND(MAX($J2221*1.4*1.5*1.6*1.6*2.2*2.715*2.6*1.4*1.4*1.5*1.5,18900000000*(1.65331^(MIN($E2221,123)-117)))*1,0))</f>
        <v>123856521</v>
      </c>
      <c r="AG2221" s="11">
        <f>$E2221+27</f>
        <v>134</v>
      </c>
      <c r="AH2221" s="12">
        <f>IF($J2221=0,0,ROUND(MAX($J2221*1.4*1.5*1.6*1.6*2.2*2.715*2.6*1.4*1.4*1.5*1.5*3.2,60500000000*(1.654288^(MIN($E2221,123)-117)))*1,0))</f>
        <v>394134254</v>
      </c>
    </row>
    <row r="2222" ht="28" customHeight="1" spans="1:34" x14ac:dyDescent="0.25">
      <c r="A2222">
        <v>2232</v>
      </c>
      <c r="B2222" t="s">
        <v>1349</v>
      </c>
      <c r="C2222" s="10" t="s">
        <v>1278</v>
      </c>
      <c r="D2222" t="s">
        <v>33</v>
      </c>
      <c r="E2222">
        <v>107</v>
      </c>
      <c r="F2222" t="s">
        <v>962</v>
      </c>
      <c r="G2222" t="s">
        <v>727</v>
      </c>
      <c r="H2222">
        <v>23</v>
      </c>
      <c r="I2222" s="11">
        <f>$E2222+0</f>
        <v>107</v>
      </c>
      <c r="J2222" s="12">
        <v>48800</v>
      </c>
      <c r="K2222" s="13">
        <f>$E2222+1</f>
        <v>108</v>
      </c>
      <c r="L2222" s="14">
        <f>IF($J2222=0,0,ROUND(MAX($J2222*1.4,1620000*(1.497923^(MIN($E2222,123)-117)))*1,0))</f>
        <v>68320</v>
      </c>
      <c r="M2222" s="11">
        <f>$E2222+2</f>
        <v>109</v>
      </c>
      <c r="N2222" s="12">
        <f>IF($J2222=0,0,ROUND(MAX($J2222*1.4*1.5,2190000*(1.580994^(MIN($E2222,123)-117)))*1,0))</f>
        <v>102480</v>
      </c>
      <c r="O2222" s="13">
        <f>$E2222+4</f>
        <v>111</v>
      </c>
      <c r="P2222" s="14">
        <f>IF($J2222=0,0,ROUND(MAX($J2222*1.4*1.5*1.6,3500000*(1.57975^(MIN($E2222,123)-117)))*1,0))</f>
        <v>163968</v>
      </c>
      <c r="Q2222" s="11">
        <f>$E2222+6</f>
        <v>113</v>
      </c>
      <c r="R2222" s="12">
        <f>IF($J2222=0,0,ROUND(MAX($J2222*1.4*1.5*1.6*1.6,13100000*(1.429962^(MIN($E2222,123)-117)))*1,0))</f>
        <v>366460</v>
      </c>
      <c r="S2222" s="13">
        <f>$E2222+8</f>
        <v>115</v>
      </c>
      <c r="T2222" s="14">
        <f>IF($J2222=0,0,ROUND(MAX($J2222*1.4*1.5*1.6*1.6*2.2,42600000*(1.576904^(MIN($E2222,123)-117)))*1,0))</f>
        <v>577167</v>
      </c>
      <c r="U2222" s="11">
        <f>$E2222+11</f>
        <v>118</v>
      </c>
      <c r="V2222" s="12">
        <f>IF($J2222=0,0,ROUND(MAX($J2222*1.4*1.5*1.6*1.6*2.2*2.715,354000000*(1.642074^(MIN($E2222,123)-117)))*1,0))</f>
        <v>2483568</v>
      </c>
      <c r="W2222" s="13">
        <f>$E2222+15</f>
        <v>122</v>
      </c>
      <c r="X2222" s="14">
        <f>IF($J2222=0,0,ROUND(MAX($J2222*1.4*1.5*1.6*1.6*2.2*2.715*2.6,3540000000*(1.579646^(MIN($E2222,123)-117)))*1,0))</f>
        <v>36593634</v>
      </c>
      <c r="Y2222" s="11">
        <f>$E2222+17</f>
        <v>124</v>
      </c>
      <c r="Z2222" s="12">
        <f>IF($J2222=0,0,ROUND(MAX($J2222*1.4*1.5*1.6*1.6*2.2*2.715*2.6*1.4,6020000000*(1.651178^(MIN($E2222,123)-117)))*1,0))</f>
        <v>39962952</v>
      </c>
      <c r="AA2222" s="13">
        <f>$E2222+19</f>
        <v>126</v>
      </c>
      <c r="AB2222" s="14">
        <f>IF($J2222=0,0,ROUND(MAX($J2222*1.4*1.5*1.6*1.6*2.2*2.715*2.6*1.4*1.4,8430000000*(1.651435^(MIN($E2222,123)-117)))*1,0))</f>
        <v>55874381</v>
      </c>
      <c r="AC2222" s="11">
        <f>$E2222+21</f>
        <v>128</v>
      </c>
      <c r="AD2222" s="12">
        <f>IF($J2222=0,0,ROUND(MAX($J2222*1.4*1.5*1.6*1.6*2.2*2.715*2.6*1.4*1.4*1.5,12600000000*(1.652953^(MIN($E2222,123)-117)))*1,0))</f>
        <v>82749522</v>
      </c>
      <c r="AE2222" s="13">
        <f>$E2222+24</f>
        <v>131</v>
      </c>
      <c r="AF2222" s="14">
        <f>IF($J2222=0,0,ROUND(MAX($J2222*1.4*1.5*1.6*1.6*2.2*2.715*2.6*1.4*1.4*1.5*1.5,18900000000*(1.65331^(MIN($E2222,123)-117)))*1,0))</f>
        <v>123856521</v>
      </c>
      <c r="AG2222" s="11">
        <f>$E2222+27</f>
        <v>134</v>
      </c>
      <c r="AH2222" s="12">
        <f>IF($J2222=0,0,ROUND(MAX($J2222*1.4*1.5*1.6*1.6*2.2*2.715*2.6*1.4*1.4*1.5*1.5*3.2,60500000000*(1.654288^(MIN($E2222,123)-117)))*1,0))</f>
        <v>394134254</v>
      </c>
    </row>
    <row r="2223" ht="28" customHeight="1" spans="1:34" x14ac:dyDescent="0.25">
      <c r="A2223">
        <v>2233</v>
      </c>
      <c r="B2223" t="s">
        <v>1350</v>
      </c>
      <c r="C2223" s="10" t="s">
        <v>1278</v>
      </c>
      <c r="D2223" t="s">
        <v>33</v>
      </c>
      <c r="E2223">
        <v>107</v>
      </c>
      <c r="F2223" t="s">
        <v>62</v>
      </c>
      <c r="G2223" t="s">
        <v>27</v>
      </c>
      <c r="H2223">
        <v>23</v>
      </c>
      <c r="I2223" s="11">
        <f>$E2223+0</f>
        <v>107</v>
      </c>
      <c r="J2223" s="12">
        <v>80000</v>
      </c>
      <c r="K2223" s="13">
        <f>$E2223+1</f>
        <v>108</v>
      </c>
      <c r="L2223" s="14">
        <f>IF($J2223=0,0,ROUND(MAX($J2223*1.4,1620000*(1.497923^(MIN($E2223,123)-117)))*1,0))</f>
        <v>112000</v>
      </c>
      <c r="M2223" s="11">
        <f>$E2223+2</f>
        <v>109</v>
      </c>
      <c r="N2223" s="12">
        <f>IF($J2223=0,0,ROUND(MAX($J2223*1.4*1.5,2190000*(1.580994^(MIN($E2223,123)-117)))*1,0))</f>
        <v>168000</v>
      </c>
      <c r="O2223" s="13">
        <f>$E2223+4</f>
        <v>111</v>
      </c>
      <c r="P2223" s="14">
        <f>IF($J2223=0,0,ROUND(MAX($J2223*1.4*1.5*1.6,3500000*(1.57975^(MIN($E2223,123)-117)))*1,0))</f>
        <v>268800</v>
      </c>
      <c r="Q2223" s="11">
        <f>$E2223+6</f>
        <v>113</v>
      </c>
      <c r="R2223" s="12">
        <f>IF($J2223=0,0,ROUND(MAX($J2223*1.4*1.5*1.6*1.6,13100000*(1.429962^(MIN($E2223,123)-117)))*1,0))</f>
        <v>430080</v>
      </c>
      <c r="S2223" s="13">
        <f>$E2223+8</f>
        <v>115</v>
      </c>
      <c r="T2223" s="14">
        <f>IF($J2223=0,0,ROUND(MAX($J2223*1.4*1.5*1.6*1.6*2.2,42600000*(1.576904^(MIN($E2223,123)-117)))*1,0))</f>
        <v>946176</v>
      </c>
      <c r="U2223" s="11">
        <f>$E2223+11</f>
        <v>118</v>
      </c>
      <c r="V2223" s="12">
        <f>IF($J2223=0,0,ROUND(MAX($J2223*1.4*1.5*1.6*1.6*2.2*2.715,354000000*(1.642074^(MIN($E2223,123)-117)))*1,0))</f>
        <v>2568868</v>
      </c>
      <c r="W2223" s="13">
        <f>$E2223+15</f>
        <v>122</v>
      </c>
      <c r="X2223" s="14">
        <f>IF($J2223=0,0,ROUND(MAX($J2223*1.4*1.5*1.6*1.6*2.2*2.715*2.6,3540000000*(1.579646^(MIN($E2223,123)-117)))*1,0))</f>
        <v>36593634</v>
      </c>
      <c r="Y2223" s="11">
        <f>$E2223+17</f>
        <v>124</v>
      </c>
      <c r="Z2223" s="12">
        <f>IF($J2223=0,0,ROUND(MAX($J2223*1.4*1.5*1.6*1.6*2.2*2.715*2.6*1.4,6020000000*(1.651178^(MIN($E2223,123)-117)))*1,0))</f>
        <v>39962952</v>
      </c>
      <c r="AA2223" s="13">
        <f>$E2223+19</f>
        <v>126</v>
      </c>
      <c r="AB2223" s="14">
        <f>IF($J2223=0,0,ROUND(MAX($J2223*1.4*1.5*1.6*1.6*2.2*2.715*2.6*1.4*1.4,8430000000*(1.651435^(MIN($E2223,123)-117)))*1,0))</f>
        <v>55874381</v>
      </c>
      <c r="AC2223" s="11">
        <f>$E2223+21</f>
        <v>128</v>
      </c>
      <c r="AD2223" s="12">
        <f>IF($J2223=0,0,ROUND(MAX($J2223*1.4*1.5*1.6*1.6*2.2*2.715*2.6*1.4*1.4*1.5,12600000000*(1.652953^(MIN($E2223,123)-117)))*1,0))</f>
        <v>82749522</v>
      </c>
      <c r="AE2223" s="13">
        <f>$E2223+24</f>
        <v>131</v>
      </c>
      <c r="AF2223" s="14">
        <f>IF($J2223=0,0,ROUND(MAX($J2223*1.4*1.5*1.6*1.6*2.2*2.715*2.6*1.4*1.4*1.5*1.5,18900000000*(1.65331^(MIN($E2223,123)-117)))*1,0))</f>
        <v>123856521</v>
      </c>
      <c r="AG2223" s="11">
        <f>$E2223+27</f>
        <v>134</v>
      </c>
      <c r="AH2223" s="12">
        <f>IF($J2223=0,0,ROUND(MAX($J2223*1.4*1.5*1.6*1.6*2.2*2.715*2.6*1.4*1.4*1.5*1.5*3.2,60500000000*(1.654288^(MIN($E2223,123)-117)))*1,0))</f>
        <v>394134254</v>
      </c>
    </row>
    <row r="2224" ht="28" customHeight="1" spans="1:34" x14ac:dyDescent="0.25">
      <c r="A2224">
        <v>2234</v>
      </c>
      <c r="B2224" t="s">
        <v>1270</v>
      </c>
      <c r="C2224" s="10" t="s">
        <v>1278</v>
      </c>
      <c r="D2224" t="s">
        <v>25</v>
      </c>
      <c r="E2224">
        <v>107</v>
      </c>
      <c r="F2224" t="s">
        <v>56</v>
      </c>
      <c r="G2224" t="s">
        <v>801</v>
      </c>
      <c r="H2224">
        <v>23</v>
      </c>
      <c r="I2224" s="11">
        <f>$E2224+0</f>
        <v>107</v>
      </c>
      <c r="J2224" s="12">
        <v>47800</v>
      </c>
      <c r="K2224" s="13">
        <f>$E2224+1</f>
        <v>108</v>
      </c>
      <c r="L2224" s="14">
        <f>IF($J2224=0,0,ROUND(MAX($J2224*1.4,1620000*(1.497923^(MIN($E2224,123)-117)))*1,0))</f>
        <v>66920</v>
      </c>
      <c r="M2224" s="11">
        <f>$E2224+2</f>
        <v>109</v>
      </c>
      <c r="N2224" s="12">
        <f>IF($J2224=0,0,ROUND(MAX($J2224*1.4*1.5,2190000*(1.580994^(MIN($E2224,123)-117)))*1,0))</f>
        <v>100380</v>
      </c>
      <c r="O2224" s="13">
        <f>$E2224+4</f>
        <v>111</v>
      </c>
      <c r="P2224" s="14">
        <f>IF($J2224=0,0,ROUND(MAX($J2224*1.4*1.5*1.6,3500000*(1.57975^(MIN($E2224,123)-117)))*1,0))</f>
        <v>160608</v>
      </c>
      <c r="Q2224" s="11">
        <f>$E2224+6</f>
        <v>113</v>
      </c>
      <c r="R2224" s="12">
        <f>IF($J2224=0,0,ROUND(MAX($J2224*1.4*1.5*1.6*1.6,13100000*(1.429962^(MIN($E2224,123)-117)))*1,0))</f>
        <v>366460</v>
      </c>
      <c r="S2224" s="13">
        <f>$E2224+8</f>
        <v>115</v>
      </c>
      <c r="T2224" s="14">
        <f>IF($J2224=0,0,ROUND(MAX($J2224*1.4*1.5*1.6*1.6*2.2,42600000*(1.576904^(MIN($E2224,123)-117)))*1,0))</f>
        <v>565340</v>
      </c>
      <c r="U2224" s="11">
        <f>$E2224+11</f>
        <v>118</v>
      </c>
      <c r="V2224" s="12">
        <f>IF($J2224=0,0,ROUND(MAX($J2224*1.4*1.5*1.6*1.6*2.2*2.715,354000000*(1.642074^(MIN($E2224,123)-117)))*1,0))</f>
        <v>2483568</v>
      </c>
      <c r="W2224" s="13">
        <f>$E2224+15</f>
        <v>122</v>
      </c>
      <c r="X2224" s="14">
        <f>IF($J2224=0,0,ROUND(MAX($J2224*1.4*1.5*1.6*1.6*2.2*2.715*2.6,3540000000*(1.579646^(MIN($E2224,123)-117)))*1,0))</f>
        <v>36593634</v>
      </c>
      <c r="Y2224" s="11">
        <f>$E2224+17</f>
        <v>124</v>
      </c>
      <c r="Z2224" s="12">
        <f>IF($J2224=0,0,ROUND(MAX($J2224*1.4*1.5*1.6*1.6*2.2*2.715*2.6*1.4,6020000000*(1.651178^(MIN($E2224,123)-117)))*1,0))</f>
        <v>39962952</v>
      </c>
      <c r="AA2224" s="13">
        <f>$E2224+19</f>
        <v>126</v>
      </c>
      <c r="AB2224" s="14">
        <f>IF($J2224=0,0,ROUND(MAX($J2224*1.4*1.5*1.6*1.6*2.2*2.715*2.6*1.4*1.4,8430000000*(1.651435^(MIN($E2224,123)-117)))*1,0))</f>
        <v>55874381</v>
      </c>
      <c r="AC2224" s="11">
        <f>$E2224+21</f>
        <v>128</v>
      </c>
      <c r="AD2224" s="12">
        <f>IF($J2224=0,0,ROUND(MAX($J2224*1.4*1.5*1.6*1.6*2.2*2.715*2.6*1.4*1.4*1.5,12600000000*(1.652953^(MIN($E2224,123)-117)))*1,0))</f>
        <v>82749522</v>
      </c>
      <c r="AE2224" s="13">
        <f>$E2224+24</f>
        <v>131</v>
      </c>
      <c r="AF2224" s="14">
        <f>IF($J2224=0,0,ROUND(MAX($J2224*1.4*1.5*1.6*1.6*2.2*2.715*2.6*1.4*1.4*1.5*1.5,18900000000*(1.65331^(MIN($E2224,123)-117)))*1,0))</f>
        <v>123856521</v>
      </c>
      <c r="AG2224" s="11">
        <f>$E2224+27</f>
        <v>134</v>
      </c>
      <c r="AH2224" s="12">
        <f>IF($J2224=0,0,ROUND(MAX($J2224*1.4*1.5*1.6*1.6*2.2*2.715*2.6*1.4*1.4*1.5*1.5*3.2,60500000000*(1.654288^(MIN($E2224,123)-117)))*1,0))</f>
        <v>394134254</v>
      </c>
    </row>
    <row r="2225" ht="28" customHeight="1" spans="1:34" x14ac:dyDescent="0.25">
      <c r="A2225">
        <v>2235</v>
      </c>
      <c r="B2225" t="s">
        <v>1351</v>
      </c>
      <c r="C2225" s="10" t="s">
        <v>1278</v>
      </c>
      <c r="D2225" t="s">
        <v>45</v>
      </c>
      <c r="E2225">
        <v>107</v>
      </c>
      <c r="F2225" t="s">
        <v>26</v>
      </c>
      <c r="G2225" t="s">
        <v>1352</v>
      </c>
      <c r="H2225">
        <v>23</v>
      </c>
      <c r="I2225" s="11">
        <f>$E2225+0</f>
        <v>107</v>
      </c>
      <c r="J2225" s="12">
        <v>59500</v>
      </c>
      <c r="K2225" s="13">
        <f>$E2225+1</f>
        <v>108</v>
      </c>
      <c r="L2225" s="14">
        <f>IF($J2225=0,0,ROUND(MAX($J2225*1.4,1620000*(1.497923^(MIN($E2225,123)-117)))*1,0))</f>
        <v>83300</v>
      </c>
      <c r="M2225" s="11">
        <f>$E2225+2</f>
        <v>109</v>
      </c>
      <c r="N2225" s="12">
        <f>IF($J2225=0,0,ROUND(MAX($J2225*1.4*1.5,2190000*(1.580994^(MIN($E2225,123)-117)))*1,0))</f>
        <v>124950</v>
      </c>
      <c r="O2225" s="13">
        <f>$E2225+4</f>
        <v>111</v>
      </c>
      <c r="P2225" s="14">
        <f>IF($J2225=0,0,ROUND(MAX($J2225*1.4*1.5*1.6,3500000*(1.57975^(MIN($E2225,123)-117)))*1,0))</f>
        <v>199920</v>
      </c>
      <c r="Q2225" s="11">
        <f>$E2225+6</f>
        <v>113</v>
      </c>
      <c r="R2225" s="12">
        <f>IF($J2225=0,0,ROUND(MAX($J2225*1.4*1.5*1.6*1.6,13100000*(1.429962^(MIN($E2225,123)-117)))*1,0))</f>
        <v>366460</v>
      </c>
      <c r="S2225" s="13">
        <f>$E2225+8</f>
        <v>115</v>
      </c>
      <c r="T2225" s="14">
        <f>IF($J2225=0,0,ROUND(MAX($J2225*1.4*1.5*1.6*1.6*2.2,42600000*(1.576904^(MIN($E2225,123)-117)))*1,0))</f>
        <v>703718</v>
      </c>
      <c r="U2225" s="11">
        <f>$E2225+11</f>
        <v>118</v>
      </c>
      <c r="V2225" s="12">
        <f>IF($J2225=0,0,ROUND(MAX($J2225*1.4*1.5*1.6*1.6*2.2*2.715,354000000*(1.642074^(MIN($E2225,123)-117)))*1,0))</f>
        <v>2483568</v>
      </c>
      <c r="W2225" s="13">
        <f>$E2225+15</f>
        <v>122</v>
      </c>
      <c r="X2225" s="14">
        <f>IF($J2225=0,0,ROUND(MAX($J2225*1.4*1.5*1.6*1.6*2.2*2.715*2.6,3540000000*(1.579646^(MIN($E2225,123)-117)))*1,0))</f>
        <v>36593634</v>
      </c>
      <c r="Y2225" s="11">
        <f>$E2225+17</f>
        <v>124</v>
      </c>
      <c r="Z2225" s="12">
        <f>IF($J2225=0,0,ROUND(MAX($J2225*1.4*1.5*1.6*1.6*2.2*2.715*2.6*1.4,6020000000*(1.651178^(MIN($E2225,123)-117)))*1,0))</f>
        <v>39962952</v>
      </c>
      <c r="AA2225" s="13">
        <f>$E2225+19</f>
        <v>126</v>
      </c>
      <c r="AB2225" s="14">
        <f>IF($J2225=0,0,ROUND(MAX($J2225*1.4*1.5*1.6*1.6*2.2*2.715*2.6*1.4*1.4,8430000000*(1.651435^(MIN($E2225,123)-117)))*1,0))</f>
        <v>55874381</v>
      </c>
      <c r="AC2225" s="11">
        <f>$E2225+21</f>
        <v>128</v>
      </c>
      <c r="AD2225" s="12">
        <f>IF($J2225=0,0,ROUND(MAX($J2225*1.4*1.5*1.6*1.6*2.2*2.715*2.6*1.4*1.4*1.5,12600000000*(1.652953^(MIN($E2225,123)-117)))*1,0))</f>
        <v>82749522</v>
      </c>
      <c r="AE2225" s="13">
        <f>$E2225+24</f>
        <v>131</v>
      </c>
      <c r="AF2225" s="14">
        <f>IF($J2225=0,0,ROUND(MAX($J2225*1.4*1.5*1.6*1.6*2.2*2.715*2.6*1.4*1.4*1.5*1.5,18900000000*(1.65331^(MIN($E2225,123)-117)))*1,0))</f>
        <v>123856521</v>
      </c>
      <c r="AG2225" s="11">
        <f>$E2225+27</f>
        <v>134</v>
      </c>
      <c r="AH2225" s="12">
        <f>IF($J2225=0,0,ROUND(MAX($J2225*1.4*1.5*1.6*1.6*2.2*2.715*2.6*1.4*1.4*1.5*1.5*3.2,60500000000*(1.654288^(MIN($E2225,123)-117)))*1,0))</f>
        <v>394134254</v>
      </c>
    </row>
    <row r="2226" ht="28" customHeight="1" spans="1:34" x14ac:dyDescent="0.25">
      <c r="A2226">
        <v>2236</v>
      </c>
      <c r="B2226" t="s">
        <v>1353</v>
      </c>
      <c r="C2226" s="10" t="s">
        <v>1278</v>
      </c>
      <c r="D2226" t="s">
        <v>33</v>
      </c>
      <c r="E2226">
        <v>107</v>
      </c>
      <c r="F2226" t="s">
        <v>54</v>
      </c>
      <c r="G2226" t="s">
        <v>206</v>
      </c>
      <c r="H2226">
        <v>23</v>
      </c>
      <c r="I2226" s="11">
        <f>$E2226+0</f>
        <v>107</v>
      </c>
      <c r="J2226" s="12">
        <v>70400</v>
      </c>
      <c r="K2226" s="13">
        <f>$E2226+1</f>
        <v>108</v>
      </c>
      <c r="L2226" s="14">
        <f>IF($J2226=0,0,ROUND(MAX($J2226*1.4,1620000*(1.497923^(MIN($E2226,123)-117)))*1,0))</f>
        <v>98560</v>
      </c>
      <c r="M2226" s="11">
        <f>$E2226+2</f>
        <v>109</v>
      </c>
      <c r="N2226" s="12">
        <f>IF($J2226=0,0,ROUND(MAX($J2226*1.4*1.5,2190000*(1.580994^(MIN($E2226,123)-117)))*1,0))</f>
        <v>147840</v>
      </c>
      <c r="O2226" s="13">
        <f>$E2226+4</f>
        <v>111</v>
      </c>
      <c r="P2226" s="14">
        <f>IF($J2226=0,0,ROUND(MAX($J2226*1.4*1.5*1.6,3500000*(1.57975^(MIN($E2226,123)-117)))*1,0))</f>
        <v>236544</v>
      </c>
      <c r="Q2226" s="11">
        <f>$E2226+6</f>
        <v>113</v>
      </c>
      <c r="R2226" s="12">
        <f>IF($J2226=0,0,ROUND(MAX($J2226*1.4*1.5*1.6*1.6,13100000*(1.429962^(MIN($E2226,123)-117)))*1,0))</f>
        <v>378470</v>
      </c>
      <c r="S2226" s="13">
        <f>$E2226+8</f>
        <v>115</v>
      </c>
      <c r="T2226" s="14">
        <f>IF($J2226=0,0,ROUND(MAX($J2226*1.4*1.5*1.6*1.6*2.2,42600000*(1.576904^(MIN($E2226,123)-117)))*1,0))</f>
        <v>832635</v>
      </c>
      <c r="U2226" s="11">
        <f>$E2226+11</f>
        <v>118</v>
      </c>
      <c r="V2226" s="12">
        <f>IF($J2226=0,0,ROUND(MAX($J2226*1.4*1.5*1.6*1.6*2.2*2.715,354000000*(1.642074^(MIN($E2226,123)-117)))*1,0))</f>
        <v>2483568</v>
      </c>
      <c r="W2226" s="13">
        <f>$E2226+15</f>
        <v>122</v>
      </c>
      <c r="X2226" s="14">
        <f>IF($J2226=0,0,ROUND(MAX($J2226*1.4*1.5*1.6*1.6*2.2*2.715*2.6,3540000000*(1.579646^(MIN($E2226,123)-117)))*1,0))</f>
        <v>36593634</v>
      </c>
      <c r="Y2226" s="11">
        <f>$E2226+17</f>
        <v>124</v>
      </c>
      <c r="Z2226" s="12">
        <f>IF($J2226=0,0,ROUND(MAX($J2226*1.4*1.5*1.6*1.6*2.2*2.715*2.6*1.4,6020000000*(1.651178^(MIN($E2226,123)-117)))*1,0))</f>
        <v>39962952</v>
      </c>
      <c r="AA2226" s="13">
        <f>$E2226+19</f>
        <v>126</v>
      </c>
      <c r="AB2226" s="14">
        <f>IF($J2226=0,0,ROUND(MAX($J2226*1.4*1.5*1.6*1.6*2.2*2.715*2.6*1.4*1.4,8430000000*(1.651435^(MIN($E2226,123)-117)))*1,0))</f>
        <v>55874381</v>
      </c>
      <c r="AC2226" s="11">
        <f>$E2226+21</f>
        <v>128</v>
      </c>
      <c r="AD2226" s="12">
        <f>IF($J2226=0,0,ROUND(MAX($J2226*1.4*1.5*1.6*1.6*2.2*2.715*2.6*1.4*1.4*1.5,12600000000*(1.652953^(MIN($E2226,123)-117)))*1,0))</f>
        <v>82749522</v>
      </c>
      <c r="AE2226" s="13">
        <f>$E2226+24</f>
        <v>131</v>
      </c>
      <c r="AF2226" s="14">
        <f>IF($J2226=0,0,ROUND(MAX($J2226*1.4*1.5*1.6*1.6*2.2*2.715*2.6*1.4*1.4*1.5*1.5,18900000000*(1.65331^(MIN($E2226,123)-117)))*1,0))</f>
        <v>123856521</v>
      </c>
      <c r="AG2226" s="11">
        <f>$E2226+27</f>
        <v>134</v>
      </c>
      <c r="AH2226" s="12">
        <f>IF($J2226=0,0,ROUND(MAX($J2226*1.4*1.5*1.6*1.6*2.2*2.715*2.6*1.4*1.4*1.5*1.5*3.2,60500000000*(1.654288^(MIN($E2226,123)-117)))*1,0))</f>
        <v>394134254</v>
      </c>
    </row>
    <row r="2227" ht="28" customHeight="1" spans="1:34" x14ac:dyDescent="0.25">
      <c r="A2227">
        <v>2237</v>
      </c>
      <c r="B2227" t="s">
        <v>1354</v>
      </c>
      <c r="C2227" s="10" t="s">
        <v>1278</v>
      </c>
      <c r="D2227" t="s">
        <v>33</v>
      </c>
      <c r="E2227">
        <v>107</v>
      </c>
      <c r="F2227" t="s">
        <v>71</v>
      </c>
      <c r="G2227" t="s">
        <v>282</v>
      </c>
      <c r="H2227">
        <v>23</v>
      </c>
      <c r="I2227" s="11">
        <f>$E2227+0</f>
        <v>107</v>
      </c>
      <c r="J2227" s="12">
        <v>67700</v>
      </c>
      <c r="K2227" s="13">
        <f>$E2227+1</f>
        <v>108</v>
      </c>
      <c r="L2227" s="14">
        <f>IF($J2227=0,0,ROUND(MAX($J2227*1.4,1620000*(1.497923^(MIN($E2227,123)-117)))*1,0))</f>
        <v>94780</v>
      </c>
      <c r="M2227" s="11">
        <f>$E2227+2</f>
        <v>109</v>
      </c>
      <c r="N2227" s="12">
        <f>IF($J2227=0,0,ROUND(MAX($J2227*1.4*1.5,2190000*(1.580994^(MIN($E2227,123)-117)))*1,0))</f>
        <v>142170</v>
      </c>
      <c r="O2227" s="13">
        <f>$E2227+4</f>
        <v>111</v>
      </c>
      <c r="P2227" s="14">
        <f>IF($J2227=0,0,ROUND(MAX($J2227*1.4*1.5*1.6,3500000*(1.57975^(MIN($E2227,123)-117)))*1,0))</f>
        <v>227472</v>
      </c>
      <c r="Q2227" s="11">
        <f>$E2227+6</f>
        <v>113</v>
      </c>
      <c r="R2227" s="12">
        <f>IF($J2227=0,0,ROUND(MAX($J2227*1.4*1.5*1.6*1.6,13100000*(1.429962^(MIN($E2227,123)-117)))*1,0))</f>
        <v>366460</v>
      </c>
      <c r="S2227" s="13">
        <f>$E2227+8</f>
        <v>115</v>
      </c>
      <c r="T2227" s="14">
        <f>IF($J2227=0,0,ROUND(MAX($J2227*1.4*1.5*1.6*1.6*2.2,42600000*(1.576904^(MIN($E2227,123)-117)))*1,0))</f>
        <v>800701</v>
      </c>
      <c r="U2227" s="11">
        <f>$E2227+11</f>
        <v>118</v>
      </c>
      <c r="V2227" s="12">
        <f>IF($J2227=0,0,ROUND(MAX($J2227*1.4*1.5*1.6*1.6*2.2*2.715,354000000*(1.642074^(MIN($E2227,123)-117)))*1,0))</f>
        <v>2483568</v>
      </c>
      <c r="W2227" s="13">
        <f>$E2227+15</f>
        <v>122</v>
      </c>
      <c r="X2227" s="14">
        <f>IF($J2227=0,0,ROUND(MAX($J2227*1.4*1.5*1.6*1.6*2.2*2.715*2.6,3540000000*(1.579646^(MIN($E2227,123)-117)))*1,0))</f>
        <v>36593634</v>
      </c>
      <c r="Y2227" s="11">
        <f>$E2227+17</f>
        <v>124</v>
      </c>
      <c r="Z2227" s="12">
        <f>IF($J2227=0,0,ROUND(MAX($J2227*1.4*1.5*1.6*1.6*2.2*2.715*2.6*1.4,6020000000*(1.651178^(MIN($E2227,123)-117)))*1,0))</f>
        <v>39962952</v>
      </c>
      <c r="AA2227" s="13">
        <f>$E2227+19</f>
        <v>126</v>
      </c>
      <c r="AB2227" s="14">
        <f>IF($J2227=0,0,ROUND(MAX($J2227*1.4*1.5*1.6*1.6*2.2*2.715*2.6*1.4*1.4,8430000000*(1.651435^(MIN($E2227,123)-117)))*1,0))</f>
        <v>55874381</v>
      </c>
      <c r="AC2227" s="11">
        <f>$E2227+21</f>
        <v>128</v>
      </c>
      <c r="AD2227" s="12">
        <f>IF($J2227=0,0,ROUND(MAX($J2227*1.4*1.5*1.6*1.6*2.2*2.715*2.6*1.4*1.4*1.5,12600000000*(1.652953^(MIN($E2227,123)-117)))*1,0))</f>
        <v>82749522</v>
      </c>
      <c r="AE2227" s="13">
        <f>$E2227+24</f>
        <v>131</v>
      </c>
      <c r="AF2227" s="14">
        <f>IF($J2227=0,0,ROUND(MAX($J2227*1.4*1.5*1.6*1.6*2.2*2.715*2.6*1.4*1.4*1.5*1.5,18900000000*(1.65331^(MIN($E2227,123)-117)))*1,0))</f>
        <v>123856521</v>
      </c>
      <c r="AG2227" s="11">
        <f>$E2227+27</f>
        <v>134</v>
      </c>
      <c r="AH2227" s="12">
        <f>IF($J2227=0,0,ROUND(MAX($J2227*1.4*1.5*1.6*1.6*2.2*2.715*2.6*1.4*1.4*1.5*1.5*3.2,60500000000*(1.654288^(MIN($E2227,123)-117)))*1,0))</f>
        <v>394134254</v>
      </c>
    </row>
    <row r="2228" ht="28" customHeight="1" spans="1:34" x14ac:dyDescent="0.25">
      <c r="A2228">
        <v>2238</v>
      </c>
      <c r="B2228" t="s">
        <v>1355</v>
      </c>
      <c r="C2228" s="10" t="s">
        <v>1278</v>
      </c>
      <c r="D2228" t="s">
        <v>102</v>
      </c>
      <c r="E2228">
        <v>107</v>
      </c>
      <c r="F2228" t="s">
        <v>54</v>
      </c>
      <c r="G2228" t="s">
        <v>1080</v>
      </c>
      <c r="H2228">
        <v>23</v>
      </c>
      <c r="I2228" s="11">
        <f>$E2228+0</f>
        <v>107</v>
      </c>
      <c r="J2228" s="12">
        <v>75600</v>
      </c>
      <c r="K2228" s="13">
        <f>$E2228+1</f>
        <v>108</v>
      </c>
      <c r="L2228" s="14">
        <f>IF($J2228=0,0,ROUND(MAX($J2228*1.4,1620000*(1.497923^(MIN($E2228,123)-117)))*1,0))</f>
        <v>105840</v>
      </c>
      <c r="M2228" s="11">
        <f>$E2228+2</f>
        <v>109</v>
      </c>
      <c r="N2228" s="12">
        <f>IF($J2228=0,0,ROUND(MAX($J2228*1.4*1.5,2190000*(1.580994^(MIN($E2228,123)-117)))*1,0))</f>
        <v>158760</v>
      </c>
      <c r="O2228" s="13">
        <f>$E2228+4</f>
        <v>111</v>
      </c>
      <c r="P2228" s="14">
        <f>IF($J2228=0,0,ROUND(MAX($J2228*1.4*1.5*1.6,3500000*(1.57975^(MIN($E2228,123)-117)))*1,0))</f>
        <v>254016</v>
      </c>
      <c r="Q2228" s="11">
        <f>$E2228+6</f>
        <v>113</v>
      </c>
      <c r="R2228" s="12">
        <f>IF($J2228=0,0,ROUND(MAX($J2228*1.4*1.5*1.6*1.6,13100000*(1.429962^(MIN($E2228,123)-117)))*1,0))</f>
        <v>406426</v>
      </c>
      <c r="S2228" s="13">
        <f>$E2228+8</f>
        <v>115</v>
      </c>
      <c r="T2228" s="14">
        <f>IF($J2228=0,0,ROUND(MAX($J2228*1.4*1.5*1.6*1.6*2.2,42600000*(1.576904^(MIN($E2228,123)-117)))*1,0))</f>
        <v>894136</v>
      </c>
      <c r="U2228" s="11">
        <f>$E2228+11</f>
        <v>118</v>
      </c>
      <c r="V2228" s="12">
        <f>IF($J2228=0,0,ROUND(MAX($J2228*1.4*1.5*1.6*1.6*2.2*2.715,354000000*(1.642074^(MIN($E2228,123)-117)))*1,0))</f>
        <v>2483568</v>
      </c>
      <c r="W2228" s="13">
        <f>$E2228+15</f>
        <v>122</v>
      </c>
      <c r="X2228" s="14">
        <f>IF($J2228=0,0,ROUND(MAX($J2228*1.4*1.5*1.6*1.6*2.2*2.715*2.6,3540000000*(1.579646^(MIN($E2228,123)-117)))*1,0))</f>
        <v>36593634</v>
      </c>
      <c r="Y2228" s="11">
        <f>$E2228+17</f>
        <v>124</v>
      </c>
      <c r="Z2228" s="12">
        <f>IF($J2228=0,0,ROUND(MAX($J2228*1.4*1.5*1.6*1.6*2.2*2.715*2.6*1.4,6020000000*(1.651178^(MIN($E2228,123)-117)))*1,0))</f>
        <v>39962952</v>
      </c>
      <c r="AA2228" s="13">
        <f>$E2228+19</f>
        <v>126</v>
      </c>
      <c r="AB2228" s="14">
        <f>IF($J2228=0,0,ROUND(MAX($J2228*1.4*1.5*1.6*1.6*2.2*2.715*2.6*1.4*1.4,8430000000*(1.651435^(MIN($E2228,123)-117)))*1,0))</f>
        <v>55874381</v>
      </c>
      <c r="AC2228" s="11">
        <f>$E2228+21</f>
        <v>128</v>
      </c>
      <c r="AD2228" s="12">
        <f>IF($J2228=0,0,ROUND(MAX($J2228*1.4*1.5*1.6*1.6*2.2*2.715*2.6*1.4*1.4*1.5,12600000000*(1.652953^(MIN($E2228,123)-117)))*1,0))</f>
        <v>82749522</v>
      </c>
      <c r="AE2228" s="13">
        <f>$E2228+24</f>
        <v>131</v>
      </c>
      <c r="AF2228" s="14">
        <f>IF($J2228=0,0,ROUND(MAX($J2228*1.4*1.5*1.6*1.6*2.2*2.715*2.6*1.4*1.4*1.5*1.5,18900000000*(1.65331^(MIN($E2228,123)-117)))*1,0))</f>
        <v>123856521</v>
      </c>
      <c r="AG2228" s="11">
        <f>$E2228+27</f>
        <v>134</v>
      </c>
      <c r="AH2228" s="12">
        <f>IF($J2228=0,0,ROUND(MAX($J2228*1.4*1.5*1.6*1.6*2.2*2.715*2.6*1.4*1.4*1.5*1.5*3.2,60500000000*(1.654288^(MIN($E2228,123)-117)))*1,0))</f>
        <v>394134254</v>
      </c>
    </row>
    <row r="2229" ht="28" customHeight="1" spans="1:34" x14ac:dyDescent="0.25">
      <c r="A2229">
        <v>2239</v>
      </c>
      <c r="B2229" t="s">
        <v>1356</v>
      </c>
      <c r="C2229" s="10" t="s">
        <v>1278</v>
      </c>
      <c r="D2229" t="s">
        <v>33</v>
      </c>
      <c r="E2229">
        <v>107</v>
      </c>
      <c r="F2229" t="s">
        <v>146</v>
      </c>
      <c r="G2229" t="s">
        <v>349</v>
      </c>
      <c r="H2229">
        <v>23</v>
      </c>
      <c r="I2229" s="11">
        <f>$E2229+0</f>
        <v>107</v>
      </c>
      <c r="J2229" s="12">
        <v>66200</v>
      </c>
      <c r="K2229" s="13">
        <f>$E2229+1</f>
        <v>108</v>
      </c>
      <c r="L2229" s="14">
        <f>IF($J2229=0,0,ROUND(MAX($J2229*1.4,1620000*(1.497923^(MIN($E2229,123)-117)))*1,0))</f>
        <v>92680</v>
      </c>
      <c r="M2229" s="11">
        <f>$E2229+2</f>
        <v>109</v>
      </c>
      <c r="N2229" s="12">
        <f>IF($J2229=0,0,ROUND(MAX($J2229*1.4*1.5,2190000*(1.580994^(MIN($E2229,123)-117)))*1,0))</f>
        <v>139020</v>
      </c>
      <c r="O2229" s="13">
        <f>$E2229+4</f>
        <v>111</v>
      </c>
      <c r="P2229" s="14">
        <f>IF($J2229=0,0,ROUND(MAX($J2229*1.4*1.5*1.6,3500000*(1.57975^(MIN($E2229,123)-117)))*1,0))</f>
        <v>222432</v>
      </c>
      <c r="Q2229" s="11">
        <f>$E2229+6</f>
        <v>113</v>
      </c>
      <c r="R2229" s="12">
        <f>IF($J2229=0,0,ROUND(MAX($J2229*1.4*1.5*1.6*1.6,13100000*(1.429962^(MIN($E2229,123)-117)))*1,0))</f>
        <v>366460</v>
      </c>
      <c r="S2229" s="13">
        <f>$E2229+8</f>
        <v>115</v>
      </c>
      <c r="T2229" s="14">
        <f>IF($J2229=0,0,ROUND(MAX($J2229*1.4*1.5*1.6*1.6*2.2,42600000*(1.576904^(MIN($E2229,123)-117)))*1,0))</f>
        <v>782961</v>
      </c>
      <c r="U2229" s="11">
        <f>$E2229+11</f>
        <v>118</v>
      </c>
      <c r="V2229" s="12">
        <f>IF($J2229=0,0,ROUND(MAX($J2229*1.4*1.5*1.6*1.6*2.2*2.715,354000000*(1.642074^(MIN($E2229,123)-117)))*1,0))</f>
        <v>2483568</v>
      </c>
      <c r="W2229" s="13">
        <f>$E2229+15</f>
        <v>122</v>
      </c>
      <c r="X2229" s="14">
        <f>IF($J2229=0,0,ROUND(MAX($J2229*1.4*1.5*1.6*1.6*2.2*2.715*2.6,3540000000*(1.579646^(MIN($E2229,123)-117)))*1,0))</f>
        <v>36593634</v>
      </c>
      <c r="Y2229" s="11">
        <f>$E2229+17</f>
        <v>124</v>
      </c>
      <c r="Z2229" s="12">
        <f>IF($J2229=0,0,ROUND(MAX($J2229*1.4*1.5*1.6*1.6*2.2*2.715*2.6*1.4,6020000000*(1.651178^(MIN($E2229,123)-117)))*1,0))</f>
        <v>39962952</v>
      </c>
      <c r="AA2229" s="13">
        <f>$E2229+19</f>
        <v>126</v>
      </c>
      <c r="AB2229" s="14">
        <f>IF($J2229=0,0,ROUND(MAX($J2229*1.4*1.5*1.6*1.6*2.2*2.715*2.6*1.4*1.4,8430000000*(1.651435^(MIN($E2229,123)-117)))*1,0))</f>
        <v>55874381</v>
      </c>
      <c r="AC2229" s="11">
        <f>$E2229+21</f>
        <v>128</v>
      </c>
      <c r="AD2229" s="12">
        <f>IF($J2229=0,0,ROUND(MAX($J2229*1.4*1.5*1.6*1.6*2.2*2.715*2.6*1.4*1.4*1.5,12600000000*(1.652953^(MIN($E2229,123)-117)))*1,0))</f>
        <v>82749522</v>
      </c>
      <c r="AE2229" s="13">
        <f>$E2229+24</f>
        <v>131</v>
      </c>
      <c r="AF2229" s="14">
        <f>IF($J2229=0,0,ROUND(MAX($J2229*1.4*1.5*1.6*1.6*2.2*2.715*2.6*1.4*1.4*1.5*1.5,18900000000*(1.65331^(MIN($E2229,123)-117)))*1,0))</f>
        <v>123856521</v>
      </c>
      <c r="AG2229" s="11">
        <f>$E2229+27</f>
        <v>134</v>
      </c>
      <c r="AH2229" s="12">
        <f>IF($J2229=0,0,ROUND(MAX($J2229*1.4*1.5*1.6*1.6*2.2*2.715*2.6*1.4*1.4*1.5*1.5*3.2,60500000000*(1.654288^(MIN($E2229,123)-117)))*1,0))</f>
        <v>394134254</v>
      </c>
    </row>
    <row r="2230" ht="28" customHeight="1" spans="1:34" x14ac:dyDescent="0.25">
      <c r="A2230">
        <v>2240</v>
      </c>
      <c r="B2230" t="s">
        <v>1357</v>
      </c>
      <c r="C2230" s="10" t="s">
        <v>1278</v>
      </c>
      <c r="D2230" t="s">
        <v>90</v>
      </c>
      <c r="E2230">
        <v>107</v>
      </c>
      <c r="F2230" t="s">
        <v>71</v>
      </c>
      <c r="G2230" t="s">
        <v>282</v>
      </c>
      <c r="H2230">
        <v>23</v>
      </c>
      <c r="I2230" s="11">
        <f>$E2230+0</f>
        <v>107</v>
      </c>
      <c r="J2230" s="12">
        <v>77100</v>
      </c>
      <c r="K2230" s="13">
        <f>$E2230+1</f>
        <v>108</v>
      </c>
      <c r="L2230" s="14">
        <f>IF($J2230=0,0,ROUND(MAX($J2230*1.4,1620000*(1.497923^(MIN($E2230,123)-117)))*1,0))</f>
        <v>107940</v>
      </c>
      <c r="M2230" s="11">
        <f>$E2230+2</f>
        <v>109</v>
      </c>
      <c r="N2230" s="12">
        <f>IF($J2230=0,0,ROUND(MAX($J2230*1.4*1.5,2190000*(1.580994^(MIN($E2230,123)-117)))*1,0))</f>
        <v>161910</v>
      </c>
      <c r="O2230" s="13">
        <f>$E2230+4</f>
        <v>111</v>
      </c>
      <c r="P2230" s="14">
        <f>IF($J2230=0,0,ROUND(MAX($J2230*1.4*1.5*1.6,3500000*(1.57975^(MIN($E2230,123)-117)))*1,0))</f>
        <v>259056</v>
      </c>
      <c r="Q2230" s="11">
        <f>$E2230+6</f>
        <v>113</v>
      </c>
      <c r="R2230" s="12">
        <f>IF($J2230=0,0,ROUND(MAX($J2230*1.4*1.5*1.6*1.6,13100000*(1.429962^(MIN($E2230,123)-117)))*1,0))</f>
        <v>414490</v>
      </c>
      <c r="S2230" s="13">
        <f>$E2230+8</f>
        <v>115</v>
      </c>
      <c r="T2230" s="14">
        <f>IF($J2230=0,0,ROUND(MAX($J2230*1.4*1.5*1.6*1.6*2.2,42600000*(1.576904^(MIN($E2230,123)-117)))*1,0))</f>
        <v>911877</v>
      </c>
      <c r="U2230" s="11">
        <f>$E2230+11</f>
        <v>118</v>
      </c>
      <c r="V2230" s="12">
        <f>IF($J2230=0,0,ROUND(MAX($J2230*1.4*1.5*1.6*1.6*2.2*2.715,354000000*(1.642074^(MIN($E2230,123)-117)))*1,0))</f>
        <v>2483568</v>
      </c>
      <c r="W2230" s="13">
        <f>$E2230+15</f>
        <v>122</v>
      </c>
      <c r="X2230" s="14">
        <f>IF($J2230=0,0,ROUND(MAX($J2230*1.4*1.5*1.6*1.6*2.2*2.715*2.6,3540000000*(1.579646^(MIN($E2230,123)-117)))*1,0))</f>
        <v>36593634</v>
      </c>
      <c r="Y2230" s="11">
        <f>$E2230+17</f>
        <v>124</v>
      </c>
      <c r="Z2230" s="12">
        <f>IF($J2230=0,0,ROUND(MAX($J2230*1.4*1.5*1.6*1.6*2.2*2.715*2.6*1.4,6020000000*(1.651178^(MIN($E2230,123)-117)))*1,0))</f>
        <v>39962952</v>
      </c>
      <c r="AA2230" s="13">
        <f>$E2230+19</f>
        <v>126</v>
      </c>
      <c r="AB2230" s="14">
        <f>IF($J2230=0,0,ROUND(MAX($J2230*1.4*1.5*1.6*1.6*2.2*2.715*2.6*1.4*1.4,8430000000*(1.651435^(MIN($E2230,123)-117)))*1,0))</f>
        <v>55874381</v>
      </c>
      <c r="AC2230" s="11">
        <f>$E2230+21</f>
        <v>128</v>
      </c>
      <c r="AD2230" s="12">
        <f>IF($J2230=0,0,ROUND(MAX($J2230*1.4*1.5*1.6*1.6*2.2*2.715*2.6*1.4*1.4*1.5,12600000000*(1.652953^(MIN($E2230,123)-117)))*1,0))</f>
        <v>82749522</v>
      </c>
      <c r="AE2230" s="13">
        <f>$E2230+24</f>
        <v>131</v>
      </c>
      <c r="AF2230" s="14">
        <f>IF($J2230=0,0,ROUND(MAX($J2230*1.4*1.5*1.6*1.6*2.2*2.715*2.6*1.4*1.4*1.5*1.5,18900000000*(1.65331^(MIN($E2230,123)-117)))*1,0))</f>
        <v>123856521</v>
      </c>
      <c r="AG2230" s="11">
        <f>$E2230+27</f>
        <v>134</v>
      </c>
      <c r="AH2230" s="12">
        <f>IF($J2230=0,0,ROUND(MAX($J2230*1.4*1.5*1.6*1.6*2.2*2.715*2.6*1.4*1.4*1.5*1.5*3.2,60500000000*(1.654288^(MIN($E2230,123)-117)))*1,0))</f>
        <v>394134254</v>
      </c>
    </row>
    <row r="2231" ht="28" customHeight="1" spans="1:34" x14ac:dyDescent="0.25">
      <c r="A2231">
        <v>2241</v>
      </c>
      <c r="B2231" t="s">
        <v>1358</v>
      </c>
      <c r="C2231" s="10" t="s">
        <v>1278</v>
      </c>
      <c r="D2231" t="s">
        <v>45</v>
      </c>
      <c r="E2231">
        <v>107</v>
      </c>
      <c r="F2231" t="s">
        <v>146</v>
      </c>
      <c r="G2231" t="s">
        <v>1359</v>
      </c>
      <c r="H2231">
        <v>23</v>
      </c>
      <c r="I2231" s="11">
        <f>$E2231+0</f>
        <v>107</v>
      </c>
      <c r="J2231" s="12">
        <v>81000</v>
      </c>
      <c r="K2231" s="13">
        <f>$E2231+1</f>
        <v>108</v>
      </c>
      <c r="L2231" s="14">
        <f>IF($J2231=0,0,ROUND(MAX($J2231*1.4,1620000*(1.497923^(MIN($E2231,123)-117)))*1,0))</f>
        <v>113400</v>
      </c>
      <c r="M2231" s="11">
        <f>$E2231+2</f>
        <v>109</v>
      </c>
      <c r="N2231" s="12">
        <f>IF($J2231=0,0,ROUND(MAX($J2231*1.4*1.5,2190000*(1.580994^(MIN($E2231,123)-117)))*1,0))</f>
        <v>170100</v>
      </c>
      <c r="O2231" s="13">
        <f>$E2231+4</f>
        <v>111</v>
      </c>
      <c r="P2231" s="14">
        <f>IF($J2231=0,0,ROUND(MAX($J2231*1.4*1.5*1.6,3500000*(1.57975^(MIN($E2231,123)-117)))*1,0))</f>
        <v>272160</v>
      </c>
      <c r="Q2231" s="11">
        <f>$E2231+6</f>
        <v>113</v>
      </c>
      <c r="R2231" s="12">
        <f>IF($J2231=0,0,ROUND(MAX($J2231*1.4*1.5*1.6*1.6,13100000*(1.429962^(MIN($E2231,123)-117)))*1,0))</f>
        <v>435456</v>
      </c>
      <c r="S2231" s="13">
        <f>$E2231+8</f>
        <v>115</v>
      </c>
      <c r="T2231" s="14">
        <f>IF($J2231=0,0,ROUND(MAX($J2231*1.4*1.5*1.6*1.6*2.2,42600000*(1.576904^(MIN($E2231,123)-117)))*1,0))</f>
        <v>958003</v>
      </c>
      <c r="U2231" s="11">
        <f>$E2231+11</f>
        <v>118</v>
      </c>
      <c r="V2231" s="12">
        <f>IF($J2231=0,0,ROUND(MAX($J2231*1.4*1.5*1.6*1.6*2.2*2.715,354000000*(1.642074^(MIN($E2231,123)-117)))*1,0))</f>
        <v>2600979</v>
      </c>
      <c r="W2231" s="13">
        <f>$E2231+15</f>
        <v>122</v>
      </c>
      <c r="X2231" s="14">
        <f>IF($J2231=0,0,ROUND(MAX($J2231*1.4*1.5*1.6*1.6*2.2*2.715*2.6,3540000000*(1.579646^(MIN($E2231,123)-117)))*1,0))</f>
        <v>36593634</v>
      </c>
      <c r="Y2231" s="11">
        <f>$E2231+17</f>
        <v>124</v>
      </c>
      <c r="Z2231" s="12">
        <f>IF($J2231=0,0,ROUND(MAX($J2231*1.4*1.5*1.6*1.6*2.2*2.715*2.6*1.4,6020000000*(1.651178^(MIN($E2231,123)-117)))*1,0))</f>
        <v>39962952</v>
      </c>
      <c r="AA2231" s="13">
        <f>$E2231+19</f>
        <v>126</v>
      </c>
      <c r="AB2231" s="14">
        <f>IF($J2231=0,0,ROUND(MAX($J2231*1.4*1.5*1.6*1.6*2.2*2.715*2.6*1.4*1.4,8430000000*(1.651435^(MIN($E2231,123)-117)))*1,0))</f>
        <v>55874381</v>
      </c>
      <c r="AC2231" s="11">
        <f>$E2231+21</f>
        <v>128</v>
      </c>
      <c r="AD2231" s="12">
        <f>IF($J2231=0,0,ROUND(MAX($J2231*1.4*1.5*1.6*1.6*2.2*2.715*2.6*1.4*1.4*1.5,12600000000*(1.652953^(MIN($E2231,123)-117)))*1,0))</f>
        <v>82749522</v>
      </c>
      <c r="AE2231" s="13">
        <f>$E2231+24</f>
        <v>131</v>
      </c>
      <c r="AF2231" s="14">
        <f>IF($J2231=0,0,ROUND(MAX($J2231*1.4*1.5*1.6*1.6*2.2*2.715*2.6*1.4*1.4*1.5*1.5,18900000000*(1.65331^(MIN($E2231,123)-117)))*1,0))</f>
        <v>123856521</v>
      </c>
      <c r="AG2231" s="11">
        <f>$E2231+27</f>
        <v>134</v>
      </c>
      <c r="AH2231" s="12">
        <f>IF($J2231=0,0,ROUND(MAX($J2231*1.4*1.5*1.6*1.6*2.2*2.715*2.6*1.4*1.4*1.5*1.5*3.2,60500000000*(1.654288^(MIN($E2231,123)-117)))*1,0))</f>
        <v>394134254</v>
      </c>
    </row>
    <row r="2232" ht="28" customHeight="1" spans="1:34" x14ac:dyDescent="0.25">
      <c r="A2232">
        <v>2242</v>
      </c>
      <c r="B2232" t="s">
        <v>1360</v>
      </c>
      <c r="C2232" s="10" t="s">
        <v>1278</v>
      </c>
      <c r="D2232" t="s">
        <v>93</v>
      </c>
      <c r="E2232">
        <v>107</v>
      </c>
      <c r="F2232" t="s">
        <v>62</v>
      </c>
      <c r="G2232" t="s">
        <v>1303</v>
      </c>
      <c r="H2232">
        <v>23</v>
      </c>
      <c r="I2232" s="11">
        <f>$E2232+0</f>
        <v>107</v>
      </c>
      <c r="J2232" s="12">
        <v>74900</v>
      </c>
      <c r="K2232" s="13">
        <f>$E2232+1</f>
        <v>108</v>
      </c>
      <c r="L2232" s="14">
        <f>IF($J2232=0,0,ROUND(MAX($J2232*1.4,1620000*(1.497923^(MIN($E2232,123)-117)))*1,0))</f>
        <v>104860</v>
      </c>
      <c r="M2232" s="11">
        <f>$E2232+2</f>
        <v>109</v>
      </c>
      <c r="N2232" s="12">
        <f>IF($J2232=0,0,ROUND(MAX($J2232*1.4*1.5,2190000*(1.580994^(MIN($E2232,123)-117)))*1,0))</f>
        <v>157290</v>
      </c>
      <c r="O2232" s="13">
        <f>$E2232+4</f>
        <v>111</v>
      </c>
      <c r="P2232" s="14">
        <f>IF($J2232=0,0,ROUND(MAX($J2232*1.4*1.5*1.6,3500000*(1.57975^(MIN($E2232,123)-117)))*1,0))</f>
        <v>251664</v>
      </c>
      <c r="Q2232" s="11">
        <f>$E2232+6</f>
        <v>113</v>
      </c>
      <c r="R2232" s="12">
        <f>IF($J2232=0,0,ROUND(MAX($J2232*1.4*1.5*1.6*1.6,13100000*(1.429962^(MIN($E2232,123)-117)))*1,0))</f>
        <v>402662</v>
      </c>
      <c r="S2232" s="13">
        <f>$E2232+8</f>
        <v>115</v>
      </c>
      <c r="T2232" s="14">
        <f>IF($J2232=0,0,ROUND(MAX($J2232*1.4*1.5*1.6*1.6*2.2,42600000*(1.576904^(MIN($E2232,123)-117)))*1,0))</f>
        <v>885857</v>
      </c>
      <c r="U2232" s="11">
        <f>$E2232+11</f>
        <v>118</v>
      </c>
      <c r="V2232" s="12">
        <f>IF($J2232=0,0,ROUND(MAX($J2232*1.4*1.5*1.6*1.6*2.2*2.715,354000000*(1.642074^(MIN($E2232,123)-117)))*1,0))</f>
        <v>2483568</v>
      </c>
      <c r="W2232" s="13">
        <f>$E2232+15</f>
        <v>122</v>
      </c>
      <c r="X2232" s="14">
        <f>IF($J2232=0,0,ROUND(MAX($J2232*1.4*1.5*1.6*1.6*2.2*2.715*2.6,3540000000*(1.579646^(MIN($E2232,123)-117)))*1,0))</f>
        <v>36593634</v>
      </c>
      <c r="Y2232" s="11">
        <f>$E2232+17</f>
        <v>124</v>
      </c>
      <c r="Z2232" s="12">
        <f>IF($J2232=0,0,ROUND(MAX($J2232*1.4*1.5*1.6*1.6*2.2*2.715*2.6*1.4,6020000000*(1.651178^(MIN($E2232,123)-117)))*1,0))</f>
        <v>39962952</v>
      </c>
      <c r="AA2232" s="13">
        <f>$E2232+19</f>
        <v>126</v>
      </c>
      <c r="AB2232" s="14">
        <f>IF($J2232=0,0,ROUND(MAX($J2232*1.4*1.5*1.6*1.6*2.2*2.715*2.6*1.4*1.4,8430000000*(1.651435^(MIN($E2232,123)-117)))*1,0))</f>
        <v>55874381</v>
      </c>
      <c r="AC2232" s="11">
        <f>$E2232+21</f>
        <v>128</v>
      </c>
      <c r="AD2232" s="12">
        <f>IF($J2232=0,0,ROUND(MAX($J2232*1.4*1.5*1.6*1.6*2.2*2.715*2.6*1.4*1.4*1.5,12600000000*(1.652953^(MIN($E2232,123)-117)))*1,0))</f>
        <v>82749522</v>
      </c>
      <c r="AE2232" s="13">
        <f>$E2232+24</f>
        <v>131</v>
      </c>
      <c r="AF2232" s="14">
        <f>IF($J2232=0,0,ROUND(MAX($J2232*1.4*1.5*1.6*1.6*2.2*2.715*2.6*1.4*1.4*1.5*1.5,18900000000*(1.65331^(MIN($E2232,123)-117)))*1,0))</f>
        <v>123856521</v>
      </c>
      <c r="AG2232" s="11">
        <f>$E2232+27</f>
        <v>134</v>
      </c>
      <c r="AH2232" s="12">
        <f>IF($J2232=0,0,ROUND(MAX($J2232*1.4*1.5*1.6*1.6*2.2*2.715*2.6*1.4*1.4*1.5*1.5*3.2,60500000000*(1.654288^(MIN($E2232,123)-117)))*1,0))</f>
        <v>394134254</v>
      </c>
    </row>
    <row r="2233" ht="28" customHeight="1" spans="1:34" x14ac:dyDescent="0.25">
      <c r="A2233">
        <v>2243</v>
      </c>
      <c r="B2233" t="s">
        <v>1361</v>
      </c>
      <c r="C2233" s="10" t="s">
        <v>1278</v>
      </c>
      <c r="D2233" t="s">
        <v>79</v>
      </c>
      <c r="E2233">
        <v>107</v>
      </c>
      <c r="F2233" t="s">
        <v>71</v>
      </c>
      <c r="G2233" t="s">
        <v>1024</v>
      </c>
      <c r="H2233">
        <v>23</v>
      </c>
      <c r="I2233" s="11">
        <f>$E2233+0</f>
        <v>107</v>
      </c>
      <c r="J2233" s="12">
        <v>57300</v>
      </c>
      <c r="K2233" s="13">
        <f>$E2233+1</f>
        <v>108</v>
      </c>
      <c r="L2233" s="14">
        <f>IF($J2233=0,0,ROUND(MAX($J2233*1.4,1620000*(1.497923^(MIN($E2233,123)-117)))*1,0))</f>
        <v>80220</v>
      </c>
      <c r="M2233" s="11">
        <f>$E2233+2</f>
        <v>109</v>
      </c>
      <c r="N2233" s="12">
        <f>IF($J2233=0,0,ROUND(MAX($J2233*1.4*1.5,2190000*(1.580994^(MIN($E2233,123)-117)))*1,0))</f>
        <v>120330</v>
      </c>
      <c r="O2233" s="13">
        <f>$E2233+4</f>
        <v>111</v>
      </c>
      <c r="P2233" s="14">
        <f>IF($J2233=0,0,ROUND(MAX($J2233*1.4*1.5*1.6,3500000*(1.57975^(MIN($E2233,123)-117)))*1,0))</f>
        <v>192528</v>
      </c>
      <c r="Q2233" s="11">
        <f>$E2233+6</f>
        <v>113</v>
      </c>
      <c r="R2233" s="12">
        <f>IF($J2233=0,0,ROUND(MAX($J2233*1.4*1.5*1.6*1.6,13100000*(1.429962^(MIN($E2233,123)-117)))*1,0))</f>
        <v>366460</v>
      </c>
      <c r="S2233" s="13">
        <f>$E2233+8</f>
        <v>115</v>
      </c>
      <c r="T2233" s="14">
        <f>IF($J2233=0,0,ROUND(MAX($J2233*1.4*1.5*1.6*1.6*2.2,42600000*(1.576904^(MIN($E2233,123)-117)))*1,0))</f>
        <v>677699</v>
      </c>
      <c r="U2233" s="11">
        <f>$E2233+11</f>
        <v>118</v>
      </c>
      <c r="V2233" s="12">
        <f>IF($J2233=0,0,ROUND(MAX($J2233*1.4*1.5*1.6*1.6*2.2*2.715,354000000*(1.642074^(MIN($E2233,123)-117)))*1,0))</f>
        <v>2483568</v>
      </c>
      <c r="W2233" s="13">
        <f>$E2233+15</f>
        <v>122</v>
      </c>
      <c r="X2233" s="14">
        <f>IF($J2233=0,0,ROUND(MAX($J2233*1.4*1.5*1.6*1.6*2.2*2.715*2.6,3540000000*(1.579646^(MIN($E2233,123)-117)))*1,0))</f>
        <v>36593634</v>
      </c>
      <c r="Y2233" s="11">
        <f>$E2233+17</f>
        <v>124</v>
      </c>
      <c r="Z2233" s="12">
        <f>IF($J2233=0,0,ROUND(MAX($J2233*1.4*1.5*1.6*1.6*2.2*2.715*2.6*1.4,6020000000*(1.651178^(MIN($E2233,123)-117)))*1,0))</f>
        <v>39962952</v>
      </c>
      <c r="AA2233" s="13">
        <f>$E2233+19</f>
        <v>126</v>
      </c>
      <c r="AB2233" s="14">
        <f>IF($J2233=0,0,ROUND(MAX($J2233*1.4*1.5*1.6*1.6*2.2*2.715*2.6*1.4*1.4,8430000000*(1.651435^(MIN($E2233,123)-117)))*1,0))</f>
        <v>55874381</v>
      </c>
      <c r="AC2233" s="11">
        <f>$E2233+21</f>
        <v>128</v>
      </c>
      <c r="AD2233" s="12">
        <f>IF($J2233=0,0,ROUND(MAX($J2233*1.4*1.5*1.6*1.6*2.2*2.715*2.6*1.4*1.4*1.5,12600000000*(1.652953^(MIN($E2233,123)-117)))*1,0))</f>
        <v>82749522</v>
      </c>
      <c r="AE2233" s="13">
        <f>$E2233+24</f>
        <v>131</v>
      </c>
      <c r="AF2233" s="14">
        <f>IF($J2233=0,0,ROUND(MAX($J2233*1.4*1.5*1.6*1.6*2.2*2.715*2.6*1.4*1.4*1.5*1.5,18900000000*(1.65331^(MIN($E2233,123)-117)))*1,0))</f>
        <v>123856521</v>
      </c>
      <c r="AG2233" s="11">
        <f>$E2233+27</f>
        <v>134</v>
      </c>
      <c r="AH2233" s="12">
        <f>IF($J2233=0,0,ROUND(MAX($J2233*1.4*1.5*1.6*1.6*2.2*2.715*2.6*1.4*1.4*1.5*1.5*3.2,60500000000*(1.654288^(MIN($E2233,123)-117)))*1,0))</f>
        <v>394134254</v>
      </c>
    </row>
    <row r="2234" ht="28" customHeight="1" spans="1:34" x14ac:dyDescent="0.25">
      <c r="A2234">
        <v>2244</v>
      </c>
      <c r="B2234" t="s">
        <v>1362</v>
      </c>
      <c r="C2234" s="10" t="s">
        <v>1278</v>
      </c>
      <c r="D2234" t="s">
        <v>33</v>
      </c>
      <c r="E2234">
        <v>107</v>
      </c>
      <c r="F2234" t="s">
        <v>56</v>
      </c>
      <c r="G2234" t="s">
        <v>832</v>
      </c>
      <c r="H2234">
        <v>23</v>
      </c>
      <c r="I2234" s="11">
        <f>$E2234+0</f>
        <v>107</v>
      </c>
      <c r="J2234" s="12">
        <v>60900</v>
      </c>
      <c r="K2234" s="13">
        <f>$E2234+1</f>
        <v>108</v>
      </c>
      <c r="L2234" s="14">
        <f>IF($J2234=0,0,ROUND(MAX($J2234*1.4,1620000*(1.497923^(MIN($E2234,123)-117)))*1,0))</f>
        <v>85260</v>
      </c>
      <c r="M2234" s="11">
        <f>$E2234+2</f>
        <v>109</v>
      </c>
      <c r="N2234" s="12">
        <f>IF($J2234=0,0,ROUND(MAX($J2234*1.4*1.5,2190000*(1.580994^(MIN($E2234,123)-117)))*1,0))</f>
        <v>127890</v>
      </c>
      <c r="O2234" s="13">
        <f>$E2234+4</f>
        <v>111</v>
      </c>
      <c r="P2234" s="14">
        <f>IF($J2234=0,0,ROUND(MAX($J2234*1.4*1.5*1.6,3500000*(1.57975^(MIN($E2234,123)-117)))*1,0))</f>
        <v>204624</v>
      </c>
      <c r="Q2234" s="11">
        <f>$E2234+6</f>
        <v>113</v>
      </c>
      <c r="R2234" s="12">
        <f>IF($J2234=0,0,ROUND(MAX($J2234*1.4*1.5*1.6*1.6,13100000*(1.429962^(MIN($E2234,123)-117)))*1,0))</f>
        <v>366460</v>
      </c>
      <c r="S2234" s="13">
        <f>$E2234+8</f>
        <v>115</v>
      </c>
      <c r="T2234" s="14">
        <f>IF($J2234=0,0,ROUND(MAX($J2234*1.4*1.5*1.6*1.6*2.2,42600000*(1.576904^(MIN($E2234,123)-117)))*1,0))</f>
        <v>720276</v>
      </c>
      <c r="U2234" s="11">
        <f>$E2234+11</f>
        <v>118</v>
      </c>
      <c r="V2234" s="12">
        <f>IF($J2234=0,0,ROUND(MAX($J2234*1.4*1.5*1.6*1.6*2.2*2.715,354000000*(1.642074^(MIN($E2234,123)-117)))*1,0))</f>
        <v>2483568</v>
      </c>
      <c r="W2234" s="13">
        <f>$E2234+15</f>
        <v>122</v>
      </c>
      <c r="X2234" s="14">
        <f>IF($J2234=0,0,ROUND(MAX($J2234*1.4*1.5*1.6*1.6*2.2*2.715*2.6,3540000000*(1.579646^(MIN($E2234,123)-117)))*1,0))</f>
        <v>36593634</v>
      </c>
      <c r="Y2234" s="11">
        <f>$E2234+17</f>
        <v>124</v>
      </c>
      <c r="Z2234" s="12">
        <f>IF($J2234=0,0,ROUND(MAX($J2234*1.4*1.5*1.6*1.6*2.2*2.715*2.6*1.4,6020000000*(1.651178^(MIN($E2234,123)-117)))*1,0))</f>
        <v>39962952</v>
      </c>
      <c r="AA2234" s="13">
        <f>$E2234+19</f>
        <v>126</v>
      </c>
      <c r="AB2234" s="14">
        <f>IF($J2234=0,0,ROUND(MAX($J2234*1.4*1.5*1.6*1.6*2.2*2.715*2.6*1.4*1.4,8430000000*(1.651435^(MIN($E2234,123)-117)))*1,0))</f>
        <v>55874381</v>
      </c>
      <c r="AC2234" s="11">
        <f>$E2234+21</f>
        <v>128</v>
      </c>
      <c r="AD2234" s="12">
        <f>IF($J2234=0,0,ROUND(MAX($J2234*1.4*1.5*1.6*1.6*2.2*2.715*2.6*1.4*1.4*1.5,12600000000*(1.652953^(MIN($E2234,123)-117)))*1,0))</f>
        <v>82749522</v>
      </c>
      <c r="AE2234" s="13">
        <f>$E2234+24</f>
        <v>131</v>
      </c>
      <c r="AF2234" s="14">
        <f>IF($J2234=0,0,ROUND(MAX($J2234*1.4*1.5*1.6*1.6*2.2*2.715*2.6*1.4*1.4*1.5*1.5,18900000000*(1.65331^(MIN($E2234,123)-117)))*1,0))</f>
        <v>123856521</v>
      </c>
      <c r="AG2234" s="11">
        <f>$E2234+27</f>
        <v>134</v>
      </c>
      <c r="AH2234" s="12">
        <f>IF($J2234=0,0,ROUND(MAX($J2234*1.4*1.5*1.6*1.6*2.2*2.715*2.6*1.4*1.4*1.5*1.5*3.2,60500000000*(1.654288^(MIN($E2234,123)-117)))*1,0))</f>
        <v>394134254</v>
      </c>
    </row>
    <row r="2235" ht="28" customHeight="1" spans="1:34" x14ac:dyDescent="0.25">
      <c r="A2235">
        <v>2245</v>
      </c>
      <c r="B2235" t="s">
        <v>1077</v>
      </c>
      <c r="C2235" s="10" t="s">
        <v>1278</v>
      </c>
      <c r="D2235" t="s">
        <v>102</v>
      </c>
      <c r="E2235">
        <v>107</v>
      </c>
      <c r="F2235" t="s">
        <v>34</v>
      </c>
      <c r="G2235" t="s">
        <v>569</v>
      </c>
      <c r="H2235">
        <v>23</v>
      </c>
      <c r="I2235" s="11">
        <f>$E2235+0</f>
        <v>107</v>
      </c>
      <c r="J2235" s="12">
        <v>78000</v>
      </c>
      <c r="K2235" s="13">
        <f>$E2235+1</f>
        <v>108</v>
      </c>
      <c r="L2235" s="14">
        <f>IF($J2235=0,0,ROUND(MAX($J2235*1.4,1620000*(1.497923^(MIN($E2235,123)-117)))*1,0))</f>
        <v>109200</v>
      </c>
      <c r="M2235" s="11">
        <f>$E2235+2</f>
        <v>109</v>
      </c>
      <c r="N2235" s="12">
        <f>IF($J2235=0,0,ROUND(MAX($J2235*1.4*1.5,2190000*(1.580994^(MIN($E2235,123)-117)))*1,0))</f>
        <v>163800</v>
      </c>
      <c r="O2235" s="13">
        <f>$E2235+4</f>
        <v>111</v>
      </c>
      <c r="P2235" s="14">
        <f>IF($J2235=0,0,ROUND(MAX($J2235*1.4*1.5*1.6,3500000*(1.57975^(MIN($E2235,123)-117)))*1,0))</f>
        <v>262080</v>
      </c>
      <c r="Q2235" s="11">
        <f>$E2235+6</f>
        <v>113</v>
      </c>
      <c r="R2235" s="12">
        <f>IF($J2235=0,0,ROUND(MAX($J2235*1.4*1.5*1.6*1.6,13100000*(1.429962^(MIN($E2235,123)-117)))*1,0))</f>
        <v>419328</v>
      </c>
      <c r="S2235" s="13">
        <f>$E2235+8</f>
        <v>115</v>
      </c>
      <c r="T2235" s="14">
        <f>IF($J2235=0,0,ROUND(MAX($J2235*1.4*1.5*1.6*1.6*2.2,42600000*(1.576904^(MIN($E2235,123)-117)))*1,0))</f>
        <v>922522</v>
      </c>
      <c r="U2235" s="11">
        <f>$E2235+11</f>
        <v>118</v>
      </c>
      <c r="V2235" s="12">
        <f>IF($J2235=0,0,ROUND(MAX($J2235*1.4*1.5*1.6*1.6*2.2*2.715,354000000*(1.642074^(MIN($E2235,123)-117)))*1,0))</f>
        <v>2504646</v>
      </c>
      <c r="W2235" s="13">
        <f>$E2235+15</f>
        <v>122</v>
      </c>
      <c r="X2235" s="14">
        <f>IF($J2235=0,0,ROUND(MAX($J2235*1.4*1.5*1.6*1.6*2.2*2.715*2.6,3540000000*(1.579646^(MIN($E2235,123)-117)))*1,0))</f>
        <v>36593634</v>
      </c>
      <c r="Y2235" s="11">
        <f>$E2235+17</f>
        <v>124</v>
      </c>
      <c r="Z2235" s="12">
        <f>IF($J2235=0,0,ROUND(MAX($J2235*1.4*1.5*1.6*1.6*2.2*2.715*2.6*1.4,6020000000*(1.651178^(MIN($E2235,123)-117)))*1,0))</f>
        <v>39962952</v>
      </c>
      <c r="AA2235" s="13">
        <f>$E2235+19</f>
        <v>126</v>
      </c>
      <c r="AB2235" s="14">
        <f>IF($J2235=0,0,ROUND(MAX($J2235*1.4*1.5*1.6*1.6*2.2*2.715*2.6*1.4*1.4,8430000000*(1.651435^(MIN($E2235,123)-117)))*1,0))</f>
        <v>55874381</v>
      </c>
      <c r="AC2235" s="11">
        <f>$E2235+21</f>
        <v>128</v>
      </c>
      <c r="AD2235" s="12">
        <f>IF($J2235=0,0,ROUND(MAX($J2235*1.4*1.5*1.6*1.6*2.2*2.715*2.6*1.4*1.4*1.5,12600000000*(1.652953^(MIN($E2235,123)-117)))*1,0))</f>
        <v>82749522</v>
      </c>
      <c r="AE2235" s="13">
        <f>$E2235+24</f>
        <v>131</v>
      </c>
      <c r="AF2235" s="14">
        <f>IF($J2235=0,0,ROUND(MAX($J2235*1.4*1.5*1.6*1.6*2.2*2.715*2.6*1.4*1.4*1.5*1.5,18900000000*(1.65331^(MIN($E2235,123)-117)))*1,0))</f>
        <v>123856521</v>
      </c>
      <c r="AG2235" s="11">
        <f>$E2235+27</f>
        <v>134</v>
      </c>
      <c r="AH2235" s="12">
        <f>IF($J2235=0,0,ROUND(MAX($J2235*1.4*1.5*1.6*1.6*2.2*2.715*2.6*1.4*1.4*1.5*1.5*3.2,60500000000*(1.654288^(MIN($E2235,123)-117)))*1,0))</f>
        <v>394134254</v>
      </c>
    </row>
    <row r="2236" ht="28" customHeight="1" spans="1:34" x14ac:dyDescent="0.25">
      <c r="A2236">
        <v>2246</v>
      </c>
      <c r="B2236" t="s">
        <v>818</v>
      </c>
      <c r="C2236" s="10" t="s">
        <v>1278</v>
      </c>
      <c r="D2236" t="s">
        <v>102</v>
      </c>
      <c r="E2236">
        <v>107</v>
      </c>
      <c r="F2236" t="s">
        <v>71</v>
      </c>
      <c r="G2236" t="s">
        <v>819</v>
      </c>
      <c r="H2236">
        <v>23</v>
      </c>
      <c r="I2236" s="11">
        <f>$E2236+0</f>
        <v>107</v>
      </c>
      <c r="J2236" s="12">
        <v>67800</v>
      </c>
      <c r="K2236" s="13">
        <f>$E2236+1</f>
        <v>108</v>
      </c>
      <c r="L2236" s="14">
        <f>IF($J2236=0,0,ROUND(MAX($J2236*1.4,1620000*(1.497923^(MIN($E2236,123)-117)))*1,0))</f>
        <v>94920</v>
      </c>
      <c r="M2236" s="11">
        <f>$E2236+2</f>
        <v>109</v>
      </c>
      <c r="N2236" s="12">
        <f>IF($J2236=0,0,ROUND(MAX($J2236*1.4*1.5,2190000*(1.580994^(MIN($E2236,123)-117)))*1,0))</f>
        <v>142380</v>
      </c>
      <c r="O2236" s="13">
        <f>$E2236+4</f>
        <v>111</v>
      </c>
      <c r="P2236" s="14">
        <f>IF($J2236=0,0,ROUND(MAX($J2236*1.4*1.5*1.6,3500000*(1.57975^(MIN($E2236,123)-117)))*1,0))</f>
        <v>227808</v>
      </c>
      <c r="Q2236" s="11">
        <f>$E2236+6</f>
        <v>113</v>
      </c>
      <c r="R2236" s="12">
        <f>IF($J2236=0,0,ROUND(MAX($J2236*1.4*1.5*1.6*1.6,13100000*(1.429962^(MIN($E2236,123)-117)))*1,0))</f>
        <v>366460</v>
      </c>
      <c r="S2236" s="13">
        <f>$E2236+8</f>
        <v>115</v>
      </c>
      <c r="T2236" s="14">
        <f>IF($J2236=0,0,ROUND(MAX($J2236*1.4*1.5*1.6*1.6*2.2,42600000*(1.576904^(MIN($E2236,123)-117)))*1,0))</f>
        <v>801884</v>
      </c>
      <c r="U2236" s="11">
        <f>$E2236+11</f>
        <v>118</v>
      </c>
      <c r="V2236" s="12">
        <f>IF($J2236=0,0,ROUND(MAX($J2236*1.4*1.5*1.6*1.6*2.2*2.715,354000000*(1.642074^(MIN($E2236,123)-117)))*1,0))</f>
        <v>2483568</v>
      </c>
      <c r="W2236" s="13">
        <f>$E2236+15</f>
        <v>122</v>
      </c>
      <c r="X2236" s="14">
        <f>IF($J2236=0,0,ROUND(MAX($J2236*1.4*1.5*1.6*1.6*2.2*2.715*2.6,3540000000*(1.579646^(MIN($E2236,123)-117)))*1,0))</f>
        <v>36593634</v>
      </c>
      <c r="Y2236" s="11">
        <f>$E2236+17</f>
        <v>124</v>
      </c>
      <c r="Z2236" s="12">
        <f>IF($J2236=0,0,ROUND(MAX($J2236*1.4*1.5*1.6*1.6*2.2*2.715*2.6*1.4,6020000000*(1.651178^(MIN($E2236,123)-117)))*1,0))</f>
        <v>39962952</v>
      </c>
      <c r="AA2236" s="13">
        <f>$E2236+19</f>
        <v>126</v>
      </c>
      <c r="AB2236" s="14">
        <f>IF($J2236=0,0,ROUND(MAX($J2236*1.4*1.5*1.6*1.6*2.2*2.715*2.6*1.4*1.4,8430000000*(1.651435^(MIN($E2236,123)-117)))*1,0))</f>
        <v>55874381</v>
      </c>
      <c r="AC2236" s="11">
        <f>$E2236+21</f>
        <v>128</v>
      </c>
      <c r="AD2236" s="12">
        <f>IF($J2236=0,0,ROUND(MAX($J2236*1.4*1.5*1.6*1.6*2.2*2.715*2.6*1.4*1.4*1.5,12600000000*(1.652953^(MIN($E2236,123)-117)))*1,0))</f>
        <v>82749522</v>
      </c>
      <c r="AE2236" s="13">
        <f>$E2236+24</f>
        <v>131</v>
      </c>
      <c r="AF2236" s="14">
        <f>IF($J2236=0,0,ROUND(MAX($J2236*1.4*1.5*1.6*1.6*2.2*2.715*2.6*1.4*1.4*1.5*1.5,18900000000*(1.65331^(MIN($E2236,123)-117)))*1,0))</f>
        <v>123856521</v>
      </c>
      <c r="AG2236" s="11">
        <f>$E2236+27</f>
        <v>134</v>
      </c>
      <c r="AH2236" s="12">
        <f>IF($J2236=0,0,ROUND(MAX($J2236*1.4*1.5*1.6*1.6*2.2*2.715*2.6*1.4*1.4*1.5*1.5*3.2,60500000000*(1.654288^(MIN($E2236,123)-117)))*1,0))</f>
        <v>394134254</v>
      </c>
    </row>
    <row r="2237" ht="28" customHeight="1" spans="1:34" x14ac:dyDescent="0.25">
      <c r="A2237">
        <v>2247</v>
      </c>
      <c r="B2237" t="s">
        <v>1097</v>
      </c>
      <c r="C2237" s="10" t="s">
        <v>1278</v>
      </c>
      <c r="D2237" t="s">
        <v>102</v>
      </c>
      <c r="E2237">
        <v>107</v>
      </c>
      <c r="F2237" t="s">
        <v>54</v>
      </c>
      <c r="G2237" t="s">
        <v>1336</v>
      </c>
      <c r="H2237">
        <v>23</v>
      </c>
      <c r="I2237" s="11">
        <f>$E2237+0</f>
        <v>107</v>
      </c>
      <c r="J2237" s="12">
        <v>82700</v>
      </c>
      <c r="K2237" s="13">
        <f>$E2237+1</f>
        <v>108</v>
      </c>
      <c r="L2237" s="14">
        <f>IF($J2237=0,0,ROUND(MAX($J2237*1.4,1620000*(1.497923^(MIN($E2237,123)-117)))*1,0))</f>
        <v>115780</v>
      </c>
      <c r="M2237" s="11">
        <f>$E2237+2</f>
        <v>109</v>
      </c>
      <c r="N2237" s="12">
        <f>IF($J2237=0,0,ROUND(MAX($J2237*1.4*1.5,2190000*(1.580994^(MIN($E2237,123)-117)))*1,0))</f>
        <v>173670</v>
      </c>
      <c r="O2237" s="13">
        <f>$E2237+4</f>
        <v>111</v>
      </c>
      <c r="P2237" s="14">
        <f>IF($J2237=0,0,ROUND(MAX($J2237*1.4*1.5*1.6,3500000*(1.57975^(MIN($E2237,123)-117)))*1,0))</f>
        <v>277872</v>
      </c>
      <c r="Q2237" s="11">
        <f>$E2237+6</f>
        <v>113</v>
      </c>
      <c r="R2237" s="12">
        <f>IF($J2237=0,0,ROUND(MAX($J2237*1.4*1.5*1.6*1.6,13100000*(1.429962^(MIN($E2237,123)-117)))*1,0))</f>
        <v>444595</v>
      </c>
      <c r="S2237" s="13">
        <f>$E2237+8</f>
        <v>115</v>
      </c>
      <c r="T2237" s="14">
        <f>IF($J2237=0,0,ROUND(MAX($J2237*1.4*1.5*1.6*1.6*2.2,42600000*(1.576904^(MIN($E2237,123)-117)))*1,0))</f>
        <v>978109</v>
      </c>
      <c r="U2237" s="11">
        <f>$E2237+11</f>
        <v>118</v>
      </c>
      <c r="V2237" s="12">
        <f>IF($J2237=0,0,ROUND(MAX($J2237*1.4*1.5*1.6*1.6*2.2*2.715,354000000*(1.642074^(MIN($E2237,123)-117)))*1,0))</f>
        <v>2655567</v>
      </c>
      <c r="W2237" s="13">
        <f>$E2237+15</f>
        <v>122</v>
      </c>
      <c r="X2237" s="14">
        <f>IF($J2237=0,0,ROUND(MAX($J2237*1.4*1.5*1.6*1.6*2.2*2.715*2.6,3540000000*(1.579646^(MIN($E2237,123)-117)))*1,0))</f>
        <v>36593634</v>
      </c>
      <c r="Y2237" s="11">
        <f>$E2237+17</f>
        <v>124</v>
      </c>
      <c r="Z2237" s="12">
        <f>IF($J2237=0,0,ROUND(MAX($J2237*1.4*1.5*1.6*1.6*2.2*2.715*2.6*1.4,6020000000*(1.651178^(MIN($E2237,123)-117)))*1,0))</f>
        <v>39962952</v>
      </c>
      <c r="AA2237" s="13">
        <f>$E2237+19</f>
        <v>126</v>
      </c>
      <c r="AB2237" s="14">
        <f>IF($J2237=0,0,ROUND(MAX($J2237*1.4*1.5*1.6*1.6*2.2*2.715*2.6*1.4*1.4,8430000000*(1.651435^(MIN($E2237,123)-117)))*1,0))</f>
        <v>55874381</v>
      </c>
      <c r="AC2237" s="11">
        <f>$E2237+21</f>
        <v>128</v>
      </c>
      <c r="AD2237" s="12">
        <f>IF($J2237=0,0,ROUND(MAX($J2237*1.4*1.5*1.6*1.6*2.2*2.715*2.6*1.4*1.4*1.5,12600000000*(1.652953^(MIN($E2237,123)-117)))*1,0))</f>
        <v>82749522</v>
      </c>
      <c r="AE2237" s="13">
        <f>$E2237+24</f>
        <v>131</v>
      </c>
      <c r="AF2237" s="14">
        <f>IF($J2237=0,0,ROUND(MAX($J2237*1.4*1.5*1.6*1.6*2.2*2.715*2.6*1.4*1.4*1.5*1.5,18900000000*(1.65331^(MIN($E2237,123)-117)))*1,0))</f>
        <v>123856521</v>
      </c>
      <c r="AG2237" s="11">
        <f>$E2237+27</f>
        <v>134</v>
      </c>
      <c r="AH2237" s="12">
        <f>IF($J2237=0,0,ROUND(MAX($J2237*1.4*1.5*1.6*1.6*2.2*2.715*2.6*1.4*1.4*1.5*1.5*3.2,60500000000*(1.654288^(MIN($E2237,123)-117)))*1,0))</f>
        <v>394134254</v>
      </c>
    </row>
    <row r="2238" ht="28" customHeight="1" spans="1:34" x14ac:dyDescent="0.25">
      <c r="A2238">
        <v>2248</v>
      </c>
      <c r="B2238" t="s">
        <v>1009</v>
      </c>
      <c r="C2238" s="10" t="s">
        <v>1278</v>
      </c>
      <c r="D2238" t="s">
        <v>75</v>
      </c>
      <c r="E2238">
        <v>107</v>
      </c>
      <c r="F2238" t="s">
        <v>71</v>
      </c>
      <c r="G2238" t="s">
        <v>1299</v>
      </c>
      <c r="H2238">
        <v>23</v>
      </c>
      <c r="I2238" s="11">
        <f>$E2238+0</f>
        <v>107</v>
      </c>
      <c r="J2238" s="12">
        <v>68000</v>
      </c>
      <c r="K2238" s="13">
        <f>$E2238+1</f>
        <v>108</v>
      </c>
      <c r="L2238" s="14">
        <f>IF($J2238=0,0,ROUND(MAX($J2238*1.4,1620000*(1.497923^(MIN($E2238,123)-117)))*1,0))</f>
        <v>95200</v>
      </c>
      <c r="M2238" s="11">
        <f>$E2238+2</f>
        <v>109</v>
      </c>
      <c r="N2238" s="12">
        <f>IF($J2238=0,0,ROUND(MAX($J2238*1.4*1.5,2190000*(1.580994^(MIN($E2238,123)-117)))*1,0))</f>
        <v>142800</v>
      </c>
      <c r="O2238" s="13">
        <f>$E2238+4</f>
        <v>111</v>
      </c>
      <c r="P2238" s="14">
        <f>IF($J2238=0,0,ROUND(MAX($J2238*1.4*1.5*1.6,3500000*(1.57975^(MIN($E2238,123)-117)))*1,0))</f>
        <v>228480</v>
      </c>
      <c r="Q2238" s="11">
        <f>$E2238+6</f>
        <v>113</v>
      </c>
      <c r="R2238" s="12">
        <f>IF($J2238=0,0,ROUND(MAX($J2238*1.4*1.5*1.6*1.6,13100000*(1.429962^(MIN($E2238,123)-117)))*1,0))</f>
        <v>366460</v>
      </c>
      <c r="S2238" s="13">
        <f>$E2238+8</f>
        <v>115</v>
      </c>
      <c r="T2238" s="14">
        <f>IF($J2238=0,0,ROUND(MAX($J2238*1.4*1.5*1.6*1.6*2.2,42600000*(1.576904^(MIN($E2238,123)-117)))*1,0))</f>
        <v>804250</v>
      </c>
      <c r="U2238" s="11">
        <f>$E2238+11</f>
        <v>118</v>
      </c>
      <c r="V2238" s="12">
        <f>IF($J2238=0,0,ROUND(MAX($J2238*1.4*1.5*1.6*1.6*2.2*2.715,354000000*(1.642074^(MIN($E2238,123)-117)))*1,0))</f>
        <v>2483568</v>
      </c>
      <c r="W2238" s="13">
        <f>$E2238+15</f>
        <v>122</v>
      </c>
      <c r="X2238" s="14">
        <f>IF($J2238=0,0,ROUND(MAX($J2238*1.4*1.5*1.6*1.6*2.2*2.715*2.6,3540000000*(1.579646^(MIN($E2238,123)-117)))*1,0))</f>
        <v>36593634</v>
      </c>
      <c r="Y2238" s="11">
        <f>$E2238+17</f>
        <v>124</v>
      </c>
      <c r="Z2238" s="12">
        <f>IF($J2238=0,0,ROUND(MAX($J2238*1.4*1.5*1.6*1.6*2.2*2.715*2.6*1.4,6020000000*(1.651178^(MIN($E2238,123)-117)))*1,0))</f>
        <v>39962952</v>
      </c>
      <c r="AA2238" s="13">
        <f>$E2238+19</f>
        <v>126</v>
      </c>
      <c r="AB2238" s="14">
        <f>IF($J2238=0,0,ROUND(MAX($J2238*1.4*1.5*1.6*1.6*2.2*2.715*2.6*1.4*1.4,8430000000*(1.651435^(MIN($E2238,123)-117)))*1,0))</f>
        <v>55874381</v>
      </c>
      <c r="AC2238" s="11">
        <f>$E2238+21</f>
        <v>128</v>
      </c>
      <c r="AD2238" s="12">
        <f>IF($J2238=0,0,ROUND(MAX($J2238*1.4*1.5*1.6*1.6*2.2*2.715*2.6*1.4*1.4*1.5,12600000000*(1.652953^(MIN($E2238,123)-117)))*1,0))</f>
        <v>82749522</v>
      </c>
      <c r="AE2238" s="13">
        <f>$E2238+24</f>
        <v>131</v>
      </c>
      <c r="AF2238" s="14">
        <f>IF($J2238=0,0,ROUND(MAX($J2238*1.4*1.5*1.6*1.6*2.2*2.715*2.6*1.4*1.4*1.5*1.5,18900000000*(1.65331^(MIN($E2238,123)-117)))*1,0))</f>
        <v>123856521</v>
      </c>
      <c r="AG2238" s="11">
        <f>$E2238+27</f>
        <v>134</v>
      </c>
      <c r="AH2238" s="12">
        <f>IF($J2238=0,0,ROUND(MAX($J2238*1.4*1.5*1.6*1.6*2.2*2.715*2.6*1.4*1.4*1.5*1.5*3.2,60500000000*(1.654288^(MIN($E2238,123)-117)))*1,0))</f>
        <v>394134254</v>
      </c>
    </row>
    <row r="2239" ht="28" customHeight="1" spans="1:34" x14ac:dyDescent="0.25">
      <c r="A2239">
        <v>2249</v>
      </c>
      <c r="B2239" t="s">
        <v>717</v>
      </c>
      <c r="C2239" s="10" t="s">
        <v>1278</v>
      </c>
      <c r="D2239" t="s">
        <v>47</v>
      </c>
      <c r="E2239">
        <v>107</v>
      </c>
      <c r="F2239" t="s">
        <v>71</v>
      </c>
      <c r="G2239" t="s">
        <v>319</v>
      </c>
      <c r="H2239">
        <v>21</v>
      </c>
      <c r="I2239" s="11">
        <f>$E2239+0</f>
        <v>107</v>
      </c>
      <c r="J2239" s="12">
        <v>50900</v>
      </c>
      <c r="K2239" s="13">
        <f>$E2239+1</f>
        <v>108</v>
      </c>
      <c r="L2239" s="14">
        <f>IF($J2239=0,0,ROUND(MAX($J2239*1.4,1620000*(1.497923^(MIN($E2239,123)-117)))*1,0))</f>
        <v>71260</v>
      </c>
      <c r="M2239" s="11">
        <f>$E2239+2</f>
        <v>109</v>
      </c>
      <c r="N2239" s="12">
        <f>IF($J2239=0,0,ROUND(MAX($J2239*1.4*1.5,2190000*(1.580994^(MIN($E2239,123)-117)))*1,0))</f>
        <v>106890</v>
      </c>
      <c r="O2239" s="13">
        <f>$E2239+4</f>
        <v>111</v>
      </c>
      <c r="P2239" s="14">
        <f>IF($J2239=0,0,ROUND(MAX($J2239*1.4*1.5*1.6,3500000*(1.57975^(MIN($E2239,123)-117)))*1,0))</f>
        <v>171024</v>
      </c>
      <c r="Q2239" s="11">
        <f>$E2239+6</f>
        <v>113</v>
      </c>
      <c r="R2239" s="12">
        <f>IF($J2239=0,0,ROUND(MAX($J2239*1.4*1.5*1.6*1.6,13100000*(1.429962^(MIN($E2239,123)-117)))*1,0))</f>
        <v>366460</v>
      </c>
      <c r="S2239" s="13">
        <f>$E2239+8</f>
        <v>115</v>
      </c>
      <c r="T2239" s="14">
        <f>IF($J2239=0,0,ROUND(MAX($J2239*1.4*1.5*1.6*1.6*2.2,42600000*(1.576904^(MIN($E2239,123)-117)))*1,0))</f>
        <v>602004</v>
      </c>
      <c r="U2239" s="11">
        <f>$E2239+11</f>
        <v>118</v>
      </c>
      <c r="V2239" s="12">
        <f>IF($J2239=0,0,ROUND(MAX($J2239*1.4*1.5*1.6*1.6*2.2*2.715,354000000*(1.642074^(MIN($E2239,123)-117)))*1,0))</f>
        <v>2483568</v>
      </c>
      <c r="W2239" s="13">
        <f>$E2239+15</f>
        <v>122</v>
      </c>
      <c r="X2239" s="14">
        <f>IF($J2239=0,0,ROUND(MAX($J2239*1.4*1.5*1.6*1.6*2.2*2.715*2.6,3540000000*(1.579646^(MIN($E2239,123)-117)))*1,0))</f>
        <v>36593634</v>
      </c>
      <c r="Y2239" s="11">
        <f>$E2239+17</f>
        <v>124</v>
      </c>
      <c r="Z2239" s="12">
        <f>IF($J2239=0,0,ROUND(MAX($J2239*1.4*1.5*1.6*1.6*2.2*2.715*2.6*1.4,6020000000*(1.651178^(MIN($E2239,123)-117)))*1,0))</f>
        <v>39962952</v>
      </c>
      <c r="AA2239" s="13">
        <f>$E2239+19</f>
        <v>126</v>
      </c>
      <c r="AB2239" s="14">
        <f>IF($J2239=0,0,ROUND(MAX($J2239*1.4*1.5*1.6*1.6*2.2*2.715*2.6*1.4*1.4,8430000000*(1.651435^(MIN($E2239,123)-117)))*1,0))</f>
        <v>55874381</v>
      </c>
      <c r="AC2239" s="11">
        <f>$E2239+21</f>
        <v>128</v>
      </c>
      <c r="AD2239" s="12">
        <f>IF($J2239=0,0,ROUND(MAX($J2239*1.4*1.5*1.6*1.6*2.2*2.715*2.6*1.4*1.4*1.5,12600000000*(1.652953^(MIN($E2239,123)-117)))*1,0))</f>
        <v>82749522</v>
      </c>
      <c r="AE2239" s="13">
        <f>$E2239+24</f>
        <v>131</v>
      </c>
      <c r="AF2239" s="14">
        <f>IF($J2239=0,0,ROUND(MAX($J2239*1.4*1.5*1.6*1.6*2.2*2.715*2.6*1.4*1.4*1.5*1.5,18900000000*(1.65331^(MIN($E2239,123)-117)))*1,0))</f>
        <v>123856521</v>
      </c>
      <c r="AG2239" s="11">
        <f>$E2239+27</f>
        <v>134</v>
      </c>
      <c r="AH2239" s="12">
        <f>IF($J2239=0,0,ROUND(MAX($J2239*1.4*1.5*1.6*1.6*2.2*2.715*2.6*1.4*1.4*1.5*1.5*3.2,60500000000*(1.654288^(MIN($E2239,123)-117)))*1,0))</f>
        <v>394134254</v>
      </c>
    </row>
    <row r="2240" ht="28" customHeight="1" spans="1:34" x14ac:dyDescent="0.25">
      <c r="A2240">
        <v>2250</v>
      </c>
      <c r="B2240" t="s">
        <v>1363</v>
      </c>
      <c r="C2240" s="10" t="s">
        <v>1278</v>
      </c>
      <c r="D2240" t="s">
        <v>47</v>
      </c>
      <c r="E2240">
        <v>107</v>
      </c>
      <c r="F2240" t="s">
        <v>71</v>
      </c>
      <c r="G2240" t="s">
        <v>362</v>
      </c>
      <c r="H2240">
        <v>21</v>
      </c>
      <c r="I2240" s="11">
        <f>$E2240+0</f>
        <v>107</v>
      </c>
      <c r="J2240" s="12">
        <v>63100</v>
      </c>
      <c r="K2240" s="13">
        <f>$E2240+1</f>
        <v>108</v>
      </c>
      <c r="L2240" s="14">
        <f>IF($J2240=0,0,ROUND(MAX($J2240*1.4,1620000*(1.497923^(MIN($E2240,123)-117)))*1,0))</f>
        <v>88340</v>
      </c>
      <c r="M2240" s="11">
        <f>$E2240+2</f>
        <v>109</v>
      </c>
      <c r="N2240" s="12">
        <f>IF($J2240=0,0,ROUND(MAX($J2240*1.4*1.5,2190000*(1.580994^(MIN($E2240,123)-117)))*1,0))</f>
        <v>132510</v>
      </c>
      <c r="O2240" s="13">
        <f>$E2240+4</f>
        <v>111</v>
      </c>
      <c r="P2240" s="14">
        <f>IF($J2240=0,0,ROUND(MAX($J2240*1.4*1.5*1.6,3500000*(1.57975^(MIN($E2240,123)-117)))*1,0))</f>
        <v>212016</v>
      </c>
      <c r="Q2240" s="11">
        <f>$E2240+6</f>
        <v>113</v>
      </c>
      <c r="R2240" s="12">
        <f>IF($J2240=0,0,ROUND(MAX($J2240*1.4*1.5*1.6*1.6,13100000*(1.429962^(MIN($E2240,123)-117)))*1,0))</f>
        <v>366460</v>
      </c>
      <c r="S2240" s="13">
        <f>$E2240+8</f>
        <v>115</v>
      </c>
      <c r="T2240" s="14">
        <f>IF($J2240=0,0,ROUND(MAX($J2240*1.4*1.5*1.6*1.6*2.2,42600000*(1.576904^(MIN($E2240,123)-117)))*1,0))</f>
        <v>746296</v>
      </c>
      <c r="U2240" s="11">
        <f>$E2240+11</f>
        <v>118</v>
      </c>
      <c r="V2240" s="12">
        <f>IF($J2240=0,0,ROUND(MAX($J2240*1.4*1.5*1.6*1.6*2.2*2.715,354000000*(1.642074^(MIN($E2240,123)-117)))*1,0))</f>
        <v>2483568</v>
      </c>
      <c r="W2240" s="13">
        <f>$E2240+15</f>
        <v>122</v>
      </c>
      <c r="X2240" s="14">
        <f>IF($J2240=0,0,ROUND(MAX($J2240*1.4*1.5*1.6*1.6*2.2*2.715*2.6,3540000000*(1.579646^(MIN($E2240,123)-117)))*1,0))</f>
        <v>36593634</v>
      </c>
      <c r="Y2240" s="11">
        <f>$E2240+17</f>
        <v>124</v>
      </c>
      <c r="Z2240" s="12">
        <f>IF($J2240=0,0,ROUND(MAX($J2240*1.4*1.5*1.6*1.6*2.2*2.715*2.6*1.4,6020000000*(1.651178^(MIN($E2240,123)-117)))*1,0))</f>
        <v>39962952</v>
      </c>
      <c r="AA2240" s="13">
        <f>$E2240+19</f>
        <v>126</v>
      </c>
      <c r="AB2240" s="14">
        <f>IF($J2240=0,0,ROUND(MAX($J2240*1.4*1.5*1.6*1.6*2.2*2.715*2.6*1.4*1.4,8430000000*(1.651435^(MIN($E2240,123)-117)))*1,0))</f>
        <v>55874381</v>
      </c>
      <c r="AC2240" s="11">
        <f>$E2240+21</f>
        <v>128</v>
      </c>
      <c r="AD2240" s="12">
        <f>IF($J2240=0,0,ROUND(MAX($J2240*1.4*1.5*1.6*1.6*2.2*2.715*2.6*1.4*1.4*1.5,12600000000*(1.652953^(MIN($E2240,123)-117)))*1,0))</f>
        <v>82749522</v>
      </c>
      <c r="AE2240" s="13">
        <f>$E2240+24</f>
        <v>131</v>
      </c>
      <c r="AF2240" s="14">
        <f>IF($J2240=0,0,ROUND(MAX($J2240*1.4*1.5*1.6*1.6*2.2*2.715*2.6*1.4*1.4*1.5*1.5,18900000000*(1.65331^(MIN($E2240,123)-117)))*1,0))</f>
        <v>123856521</v>
      </c>
      <c r="AG2240" s="11">
        <f>$E2240+27</f>
        <v>134</v>
      </c>
      <c r="AH2240" s="12">
        <f>IF($J2240=0,0,ROUND(MAX($J2240*1.4*1.5*1.6*1.6*2.2*2.715*2.6*1.4*1.4*1.5*1.5*3.2,60500000000*(1.654288^(MIN($E2240,123)-117)))*1,0))</f>
        <v>394134254</v>
      </c>
    </row>
    <row r="2241" ht="28" customHeight="1" spans="1:34" x14ac:dyDescent="0.25">
      <c r="A2241">
        <v>2251</v>
      </c>
      <c r="B2241" t="s">
        <v>1364</v>
      </c>
      <c r="C2241" s="10" t="s">
        <v>1278</v>
      </c>
      <c r="D2241" t="s">
        <v>47</v>
      </c>
      <c r="E2241">
        <v>107</v>
      </c>
      <c r="F2241" t="s">
        <v>42</v>
      </c>
      <c r="G2241" t="s">
        <v>124</v>
      </c>
      <c r="H2241">
        <v>21</v>
      </c>
      <c r="I2241" s="11">
        <f>$E2241+0</f>
        <v>107</v>
      </c>
      <c r="J2241" s="12">
        <v>84300</v>
      </c>
      <c r="K2241" s="13">
        <f>$E2241+1</f>
        <v>108</v>
      </c>
      <c r="L2241" s="14">
        <f>IF($J2241=0,0,ROUND(MAX($J2241*1.4,1620000*(1.497923^(MIN($E2241,123)-117)))*1,0))</f>
        <v>118020</v>
      </c>
      <c r="M2241" s="11">
        <f>$E2241+2</f>
        <v>109</v>
      </c>
      <c r="N2241" s="12">
        <f>IF($J2241=0,0,ROUND(MAX($J2241*1.4*1.5,2190000*(1.580994^(MIN($E2241,123)-117)))*1,0))</f>
        <v>177030</v>
      </c>
      <c r="O2241" s="13">
        <f>$E2241+4</f>
        <v>111</v>
      </c>
      <c r="P2241" s="14">
        <f>IF($J2241=0,0,ROUND(MAX($J2241*1.4*1.5*1.6,3500000*(1.57975^(MIN($E2241,123)-117)))*1,0))</f>
        <v>283248</v>
      </c>
      <c r="Q2241" s="11">
        <f>$E2241+6</f>
        <v>113</v>
      </c>
      <c r="R2241" s="12">
        <f>IF($J2241=0,0,ROUND(MAX($J2241*1.4*1.5*1.6*1.6,13100000*(1.429962^(MIN($E2241,123)-117)))*1,0))</f>
        <v>453197</v>
      </c>
      <c r="S2241" s="13">
        <f>$E2241+8</f>
        <v>115</v>
      </c>
      <c r="T2241" s="14">
        <f>IF($J2241=0,0,ROUND(MAX($J2241*1.4*1.5*1.6*1.6*2.2,42600000*(1.576904^(MIN($E2241,123)-117)))*1,0))</f>
        <v>997033</v>
      </c>
      <c r="U2241" s="11">
        <f>$E2241+11</f>
        <v>118</v>
      </c>
      <c r="V2241" s="12">
        <f>IF($J2241=0,0,ROUND(MAX($J2241*1.4*1.5*1.6*1.6*2.2*2.715,354000000*(1.642074^(MIN($E2241,123)-117)))*1,0))</f>
        <v>2706944</v>
      </c>
      <c r="W2241" s="13">
        <f>$E2241+15</f>
        <v>122</v>
      </c>
      <c r="X2241" s="14">
        <f>IF($J2241=0,0,ROUND(MAX($J2241*1.4*1.5*1.6*1.6*2.2*2.715*2.6,3540000000*(1.579646^(MIN($E2241,123)-117)))*1,0))</f>
        <v>36593634</v>
      </c>
      <c r="Y2241" s="11">
        <f>$E2241+17</f>
        <v>124</v>
      </c>
      <c r="Z2241" s="12">
        <f>IF($J2241=0,0,ROUND(MAX($J2241*1.4*1.5*1.6*1.6*2.2*2.715*2.6*1.4,6020000000*(1.651178^(MIN($E2241,123)-117)))*1,0))</f>
        <v>39962952</v>
      </c>
      <c r="AA2241" s="13">
        <f>$E2241+19</f>
        <v>126</v>
      </c>
      <c r="AB2241" s="14">
        <f>IF($J2241=0,0,ROUND(MAX($J2241*1.4*1.5*1.6*1.6*2.2*2.715*2.6*1.4*1.4,8430000000*(1.651435^(MIN($E2241,123)-117)))*1,0))</f>
        <v>55874381</v>
      </c>
      <c r="AC2241" s="11">
        <f>$E2241+21</f>
        <v>128</v>
      </c>
      <c r="AD2241" s="12">
        <f>IF($J2241=0,0,ROUND(MAX($J2241*1.4*1.5*1.6*1.6*2.2*2.715*2.6*1.4*1.4*1.5,12600000000*(1.652953^(MIN($E2241,123)-117)))*1,0))</f>
        <v>82749522</v>
      </c>
      <c r="AE2241" s="13">
        <f>$E2241+24</f>
        <v>131</v>
      </c>
      <c r="AF2241" s="14">
        <f>IF($J2241=0,0,ROUND(MAX($J2241*1.4*1.5*1.6*1.6*2.2*2.715*2.6*1.4*1.4*1.5*1.5,18900000000*(1.65331^(MIN($E2241,123)-117)))*1,0))</f>
        <v>123856521</v>
      </c>
      <c r="AG2241" s="11">
        <f>$E2241+27</f>
        <v>134</v>
      </c>
      <c r="AH2241" s="12">
        <f>IF($J2241=0,0,ROUND(MAX($J2241*1.4*1.5*1.6*1.6*2.2*2.715*2.6*1.4*1.4*1.5*1.5*3.2,60500000000*(1.654288^(MIN($E2241,123)-117)))*1,0))</f>
        <v>394134254</v>
      </c>
    </row>
    <row r="2242" ht="28" customHeight="1" spans="1:34" x14ac:dyDescent="0.25">
      <c r="A2242">
        <v>2252</v>
      </c>
      <c r="B2242" t="s">
        <v>446</v>
      </c>
      <c r="C2242" s="10" t="s">
        <v>1278</v>
      </c>
      <c r="D2242" t="s">
        <v>47</v>
      </c>
      <c r="E2242">
        <v>107</v>
      </c>
      <c r="F2242" t="s">
        <v>34</v>
      </c>
      <c r="G2242" t="s">
        <v>379</v>
      </c>
      <c r="H2242">
        <v>21</v>
      </c>
      <c r="I2242" s="11">
        <f>$E2242+0</f>
        <v>107</v>
      </c>
      <c r="J2242" s="12">
        <v>55400</v>
      </c>
      <c r="K2242" s="13">
        <f>$E2242+1</f>
        <v>108</v>
      </c>
      <c r="L2242" s="14">
        <f>IF($J2242=0,0,ROUND(MAX($J2242*1.4,1620000*(1.497923^(MIN($E2242,123)-117)))*1,0))</f>
        <v>77560</v>
      </c>
      <c r="M2242" s="11">
        <f>$E2242+2</f>
        <v>109</v>
      </c>
      <c r="N2242" s="12">
        <f>IF($J2242=0,0,ROUND(MAX($J2242*1.4*1.5,2190000*(1.580994^(MIN($E2242,123)-117)))*1,0))</f>
        <v>116340</v>
      </c>
      <c r="O2242" s="13">
        <f>$E2242+4</f>
        <v>111</v>
      </c>
      <c r="P2242" s="14">
        <f>IF($J2242=0,0,ROUND(MAX($J2242*1.4*1.5*1.6,3500000*(1.57975^(MIN($E2242,123)-117)))*1,0))</f>
        <v>186144</v>
      </c>
      <c r="Q2242" s="11">
        <f>$E2242+6</f>
        <v>113</v>
      </c>
      <c r="R2242" s="12">
        <f>IF($J2242=0,0,ROUND(MAX($J2242*1.4*1.5*1.6*1.6,13100000*(1.429962^(MIN($E2242,123)-117)))*1,0))</f>
        <v>366460</v>
      </c>
      <c r="S2242" s="13">
        <f>$E2242+8</f>
        <v>115</v>
      </c>
      <c r="T2242" s="14">
        <f>IF($J2242=0,0,ROUND(MAX($J2242*1.4*1.5*1.6*1.6*2.2,42600000*(1.576904^(MIN($E2242,123)-117)))*1,0))</f>
        <v>655227</v>
      </c>
      <c r="U2242" s="11">
        <f>$E2242+11</f>
        <v>118</v>
      </c>
      <c r="V2242" s="12">
        <f>IF($J2242=0,0,ROUND(MAX($J2242*1.4*1.5*1.6*1.6*2.2*2.715,354000000*(1.642074^(MIN($E2242,123)-117)))*1,0))</f>
        <v>2483568</v>
      </c>
      <c r="W2242" s="13">
        <f>$E2242+15</f>
        <v>122</v>
      </c>
      <c r="X2242" s="14">
        <f>IF($J2242=0,0,ROUND(MAX($J2242*1.4*1.5*1.6*1.6*2.2*2.715*2.6,3540000000*(1.579646^(MIN($E2242,123)-117)))*1,0))</f>
        <v>36593634</v>
      </c>
      <c r="Y2242" s="11">
        <f>$E2242+17</f>
        <v>124</v>
      </c>
      <c r="Z2242" s="12">
        <f>IF($J2242=0,0,ROUND(MAX($J2242*1.4*1.5*1.6*1.6*2.2*2.715*2.6*1.4,6020000000*(1.651178^(MIN($E2242,123)-117)))*1,0))</f>
        <v>39962952</v>
      </c>
      <c r="AA2242" s="13">
        <f>$E2242+19</f>
        <v>126</v>
      </c>
      <c r="AB2242" s="14">
        <f>IF($J2242=0,0,ROUND(MAX($J2242*1.4*1.5*1.6*1.6*2.2*2.715*2.6*1.4*1.4,8430000000*(1.651435^(MIN($E2242,123)-117)))*1,0))</f>
        <v>55874381</v>
      </c>
      <c r="AC2242" s="11">
        <f>$E2242+21</f>
        <v>128</v>
      </c>
      <c r="AD2242" s="12">
        <f>IF($J2242=0,0,ROUND(MAX($J2242*1.4*1.5*1.6*1.6*2.2*2.715*2.6*1.4*1.4*1.5,12600000000*(1.652953^(MIN($E2242,123)-117)))*1,0))</f>
        <v>82749522</v>
      </c>
      <c r="AE2242" s="13">
        <f>$E2242+24</f>
        <v>131</v>
      </c>
      <c r="AF2242" s="14">
        <f>IF($J2242=0,0,ROUND(MAX($J2242*1.4*1.5*1.6*1.6*2.2*2.715*2.6*1.4*1.4*1.5*1.5,18900000000*(1.65331^(MIN($E2242,123)-117)))*1,0))</f>
        <v>123856521</v>
      </c>
      <c r="AG2242" s="11">
        <f>$E2242+27</f>
        <v>134</v>
      </c>
      <c r="AH2242" s="12">
        <f>IF($J2242=0,0,ROUND(MAX($J2242*1.4*1.5*1.6*1.6*2.2*2.715*2.6*1.4*1.4*1.5*1.5*3.2,60500000000*(1.654288^(MIN($E2242,123)-117)))*1,0))</f>
        <v>394134254</v>
      </c>
    </row>
    <row r="2243" ht="28" customHeight="1" spans="1:34" x14ac:dyDescent="0.25">
      <c r="A2243">
        <v>2253</v>
      </c>
      <c r="B2243" t="s">
        <v>1365</v>
      </c>
      <c r="C2243" s="10" t="s">
        <v>1278</v>
      </c>
      <c r="D2243" t="s">
        <v>47</v>
      </c>
      <c r="E2243">
        <v>107</v>
      </c>
      <c r="F2243" t="s">
        <v>310</v>
      </c>
      <c r="G2243" t="s">
        <v>358</v>
      </c>
      <c r="H2243">
        <v>20</v>
      </c>
      <c r="I2243" s="11">
        <f>$E2243+0</f>
        <v>107</v>
      </c>
      <c r="J2243" s="12">
        <v>70100</v>
      </c>
      <c r="K2243" s="13">
        <f>$E2243+1</f>
        <v>108</v>
      </c>
      <c r="L2243" s="14">
        <f>IF($J2243=0,0,ROUND(MAX($J2243*1.4,1620000*(1.497923^(MIN($E2243,123)-117)))*1,0))</f>
        <v>98140</v>
      </c>
      <c r="M2243" s="11">
        <f>$E2243+2</f>
        <v>109</v>
      </c>
      <c r="N2243" s="12">
        <f>IF($J2243=0,0,ROUND(MAX($J2243*1.4*1.5,2190000*(1.580994^(MIN($E2243,123)-117)))*1,0))</f>
        <v>147210</v>
      </c>
      <c r="O2243" s="13">
        <f>$E2243+4</f>
        <v>111</v>
      </c>
      <c r="P2243" s="14">
        <f>IF($J2243=0,0,ROUND(MAX($J2243*1.4*1.5*1.6,3500000*(1.57975^(MIN($E2243,123)-117)))*1,0))</f>
        <v>235536</v>
      </c>
      <c r="Q2243" s="11">
        <f>$E2243+6</f>
        <v>113</v>
      </c>
      <c r="R2243" s="12">
        <f>IF($J2243=0,0,ROUND(MAX($J2243*1.4*1.5*1.6*1.6,13100000*(1.429962^(MIN($E2243,123)-117)))*1,0))</f>
        <v>376858</v>
      </c>
      <c r="S2243" s="13">
        <f>$E2243+8</f>
        <v>115</v>
      </c>
      <c r="T2243" s="14">
        <f>IF($J2243=0,0,ROUND(MAX($J2243*1.4*1.5*1.6*1.6*2.2,42600000*(1.576904^(MIN($E2243,123)-117)))*1,0))</f>
        <v>829087</v>
      </c>
      <c r="U2243" s="11">
        <f>$E2243+11</f>
        <v>118</v>
      </c>
      <c r="V2243" s="12">
        <f>IF($J2243=0,0,ROUND(MAX($J2243*1.4*1.5*1.6*1.6*2.2*2.715,354000000*(1.642074^(MIN($E2243,123)-117)))*1,0))</f>
        <v>2483568</v>
      </c>
      <c r="W2243" s="13">
        <f>$E2243+15</f>
        <v>122</v>
      </c>
      <c r="X2243" s="14">
        <f>IF($J2243=0,0,ROUND(MAX($J2243*1.4*1.5*1.6*1.6*2.2*2.715*2.6,3540000000*(1.579646^(MIN($E2243,123)-117)))*1,0))</f>
        <v>36593634</v>
      </c>
      <c r="Y2243" s="11">
        <f>$E2243+17</f>
        <v>124</v>
      </c>
      <c r="Z2243" s="12">
        <f>IF($J2243=0,0,ROUND(MAX($J2243*1.4*1.5*1.6*1.6*2.2*2.715*2.6*1.4,6020000000*(1.651178^(MIN($E2243,123)-117)))*1,0))</f>
        <v>39962952</v>
      </c>
      <c r="AA2243" s="13">
        <f>$E2243+19</f>
        <v>126</v>
      </c>
      <c r="AB2243" s="14">
        <f>IF($J2243=0,0,ROUND(MAX($J2243*1.4*1.5*1.6*1.6*2.2*2.715*2.6*1.4*1.4,8430000000*(1.651435^(MIN($E2243,123)-117)))*1,0))</f>
        <v>55874381</v>
      </c>
      <c r="AC2243" s="11">
        <f>$E2243+21</f>
        <v>128</v>
      </c>
      <c r="AD2243" s="12">
        <f>IF($J2243=0,0,ROUND(MAX($J2243*1.4*1.5*1.6*1.6*2.2*2.715*2.6*1.4*1.4*1.5,12600000000*(1.652953^(MIN($E2243,123)-117)))*1,0))</f>
        <v>82749522</v>
      </c>
      <c r="AE2243" s="13">
        <f>$E2243+24</f>
        <v>131</v>
      </c>
      <c r="AF2243" s="14">
        <f>IF($J2243=0,0,ROUND(MAX($J2243*1.4*1.5*1.6*1.6*2.2*2.715*2.6*1.4*1.4*1.5*1.5,18900000000*(1.65331^(MIN($E2243,123)-117)))*1,0))</f>
        <v>123856521</v>
      </c>
      <c r="AG2243" s="11">
        <f>$E2243+27</f>
        <v>134</v>
      </c>
      <c r="AH2243" s="12">
        <f>IF($J2243=0,0,ROUND(MAX($J2243*1.4*1.5*1.6*1.6*2.2*2.715*2.6*1.4*1.4*1.5*1.5*3.2,60500000000*(1.654288^(MIN($E2243,123)-117)))*1,0))</f>
        <v>394134254</v>
      </c>
    </row>
    <row r="2244" ht="28" customHeight="1" spans="1:34" x14ac:dyDescent="0.25">
      <c r="A2244">
        <v>2254</v>
      </c>
      <c r="B2244" t="s">
        <v>1366</v>
      </c>
      <c r="C2244" s="10" t="s">
        <v>1278</v>
      </c>
      <c r="D2244" t="s">
        <v>33</v>
      </c>
      <c r="E2244">
        <v>106</v>
      </c>
      <c r="F2244" t="s">
        <v>42</v>
      </c>
      <c r="G2244" t="s">
        <v>171</v>
      </c>
      <c r="H2244">
        <v>23</v>
      </c>
      <c r="I2244" s="11">
        <f>$E2244+0</f>
        <v>106</v>
      </c>
      <c r="J2244" s="12">
        <v>38600</v>
      </c>
      <c r="K2244" s="13">
        <f>$E2244+1</f>
        <v>107</v>
      </c>
      <c r="L2244" s="14">
        <f>IF($J2244=0,0,ROUND(MAX($J2244*1.4,1620000*(1.497923^(MIN($E2244,123)-117)))*1,0))</f>
        <v>54040</v>
      </c>
      <c r="M2244" s="11">
        <f>$E2244+2</f>
        <v>108</v>
      </c>
      <c r="N2244" s="12">
        <f>IF($J2244=0,0,ROUND(MAX($J2244*1.4*1.5,2190000*(1.580994^(MIN($E2244,123)-117)))*1,0))</f>
        <v>81060</v>
      </c>
      <c r="O2244" s="13">
        <f>$E2244+4</f>
        <v>110</v>
      </c>
      <c r="P2244" s="14">
        <f>IF($J2244=0,0,ROUND(MAX($J2244*1.4*1.5*1.6,3500000*(1.57975^(MIN($E2244,123)-117)))*1,0))</f>
        <v>129696</v>
      </c>
      <c r="Q2244" s="11">
        <f>$E2244+6</f>
        <v>112</v>
      </c>
      <c r="R2244" s="12">
        <f>IF($J2244=0,0,ROUND(MAX($J2244*1.4*1.5*1.6*1.6,13100000*(1.429962^(MIN($E2244,123)-117)))*1,0))</f>
        <v>256272</v>
      </c>
      <c r="S2244" s="13">
        <f>$E2244+8</f>
        <v>114</v>
      </c>
      <c r="T2244" s="14">
        <f>IF($J2244=0,0,ROUND(MAX($J2244*1.4*1.5*1.6*1.6*2.2,42600000*(1.576904^(MIN($E2244,123)-117)))*1,0))</f>
        <v>456530</v>
      </c>
      <c r="U2244" s="11">
        <f>$E2244+11</f>
        <v>117</v>
      </c>
      <c r="V2244" s="12">
        <f>IF($J2244=0,0,ROUND(MAX($J2244*1.4*1.5*1.6*1.6*2.2*2.715,354000000*(1.642074^(MIN($E2244,123)-117)))*1,0))</f>
        <v>1512458</v>
      </c>
      <c r="W2244" s="13">
        <f>$E2244+15</f>
        <v>121</v>
      </c>
      <c r="X2244" s="14">
        <f>IF($J2244=0,0,ROUND(MAX($J2244*1.4*1.5*1.6*1.6*2.2*2.715*2.6,3540000000*(1.579646^(MIN($E2244,123)-117)))*1,0))</f>
        <v>23165718</v>
      </c>
      <c r="Y2244" s="11">
        <f>$E2244+17</f>
        <v>123</v>
      </c>
      <c r="Z2244" s="12">
        <f>IF($J2244=0,0,ROUND(MAX($J2244*1.4*1.5*1.6*1.6*2.2*2.715*2.6*1.4,6020000000*(1.651178^(MIN($E2244,123)-117)))*1,0))</f>
        <v>24202691</v>
      </c>
      <c r="AA2244" s="13">
        <f>$E2244+19</f>
        <v>125</v>
      </c>
      <c r="AB2244" s="14">
        <f>IF($J2244=0,0,ROUND(MAX($J2244*1.4*1.5*1.6*1.6*2.2*2.715*2.6*1.4*1.4,8430000000*(1.651435^(MIN($E2244,123)-117)))*1,0))</f>
        <v>33833836</v>
      </c>
      <c r="AC2244" s="11">
        <f>$E2244+21</f>
        <v>127</v>
      </c>
      <c r="AD2244" s="12">
        <f>IF($J2244=0,0,ROUND(MAX($J2244*1.4*1.5*1.6*1.6*2.2*2.715*2.6*1.4*1.4*1.5,12600000000*(1.652953^(MIN($E2244,123)-117)))*1,0))</f>
        <v>50061630</v>
      </c>
      <c r="AE2244" s="13">
        <f>$E2244+24</f>
        <v>130</v>
      </c>
      <c r="AF2244" s="14">
        <f>IF($J2244=0,0,ROUND(MAX($J2244*1.4*1.5*1.6*1.6*2.2*2.715*2.6*1.4*1.4*1.5*1.5,18900000000*(1.65331^(MIN($E2244,123)-117)))*1,0))</f>
        <v>74914276</v>
      </c>
      <c r="AG2244" s="11">
        <f>$E2244+27</f>
        <v>133</v>
      </c>
      <c r="AH2244" s="12">
        <f>IF($J2244=0,0,ROUND(MAX($J2244*1.4*1.5*1.6*1.6*2.2*2.715*2.6*1.4*1.4*1.5*1.5*3.2,60500000000*(1.654288^(MIN($E2244,123)-117)))*1,0))</f>
        <v>238250083</v>
      </c>
    </row>
    <row r="2245" ht="28" customHeight="1" spans="1:34" x14ac:dyDescent="0.25">
      <c r="A2245">
        <v>2255</v>
      </c>
      <c r="B2245" t="s">
        <v>885</v>
      </c>
      <c r="C2245" s="10" t="s">
        <v>1278</v>
      </c>
      <c r="D2245" t="s">
        <v>102</v>
      </c>
      <c r="E2245">
        <v>106</v>
      </c>
      <c r="F2245" t="s">
        <v>310</v>
      </c>
      <c r="G2245" t="s">
        <v>832</v>
      </c>
      <c r="H2245">
        <v>23</v>
      </c>
      <c r="I2245" s="11">
        <f>$E2245+0</f>
        <v>106</v>
      </c>
      <c r="J2245" s="12">
        <v>30000</v>
      </c>
      <c r="K2245" s="13">
        <f>$E2245+1</f>
        <v>107</v>
      </c>
      <c r="L2245" s="14">
        <f>IF($J2245=0,0,ROUND(MAX($J2245*1.4,1620000*(1.497923^(MIN($E2245,123)-117)))*1,0))</f>
        <v>42000</v>
      </c>
      <c r="M2245" s="11">
        <f>$E2245+2</f>
        <v>108</v>
      </c>
      <c r="N2245" s="12">
        <f>IF($J2245=0,0,ROUND(MAX($J2245*1.4*1.5,2190000*(1.580994^(MIN($E2245,123)-117)))*1,0))</f>
        <v>63000</v>
      </c>
      <c r="O2245" s="13">
        <f>$E2245+4</f>
        <v>110</v>
      </c>
      <c r="P2245" s="14">
        <f>IF($J2245=0,0,ROUND(MAX($J2245*1.4*1.5*1.6,3500000*(1.57975^(MIN($E2245,123)-117)))*1,0))</f>
        <v>100800</v>
      </c>
      <c r="Q2245" s="11">
        <f>$E2245+6</f>
        <v>112</v>
      </c>
      <c r="R2245" s="12">
        <f>IF($J2245=0,0,ROUND(MAX($J2245*1.4*1.5*1.6*1.6,13100000*(1.429962^(MIN($E2245,123)-117)))*1,0))</f>
        <v>256272</v>
      </c>
      <c r="S2245" s="13">
        <f>$E2245+8</f>
        <v>114</v>
      </c>
      <c r="T2245" s="14">
        <f>IF($J2245=0,0,ROUND(MAX($J2245*1.4*1.5*1.6*1.6*2.2,42600000*(1.576904^(MIN($E2245,123)-117)))*1,0))</f>
        <v>354816</v>
      </c>
      <c r="U2245" s="11">
        <f>$E2245+11</f>
        <v>117</v>
      </c>
      <c r="V2245" s="12">
        <f>IF($J2245=0,0,ROUND(MAX($J2245*1.4*1.5*1.6*1.6*2.2*2.715,354000000*(1.642074^(MIN($E2245,123)-117)))*1,0))</f>
        <v>1512458</v>
      </c>
      <c r="W2245" s="13">
        <f>$E2245+15</f>
        <v>121</v>
      </c>
      <c r="X2245" s="14">
        <f>IF($J2245=0,0,ROUND(MAX($J2245*1.4*1.5*1.6*1.6*2.2*2.715*2.6,3540000000*(1.579646^(MIN($E2245,123)-117)))*1,0))</f>
        <v>23165718</v>
      </c>
      <c r="Y2245" s="11">
        <f>$E2245+17</f>
        <v>123</v>
      </c>
      <c r="Z2245" s="12">
        <f>IF($J2245=0,0,ROUND(MAX($J2245*1.4*1.5*1.6*1.6*2.2*2.715*2.6*1.4,6020000000*(1.651178^(MIN($E2245,123)-117)))*1,0))</f>
        <v>24202691</v>
      </c>
      <c r="AA2245" s="13">
        <f>$E2245+19</f>
        <v>125</v>
      </c>
      <c r="AB2245" s="14">
        <f>IF($J2245=0,0,ROUND(MAX($J2245*1.4*1.5*1.6*1.6*2.2*2.715*2.6*1.4*1.4,8430000000*(1.651435^(MIN($E2245,123)-117)))*1,0))</f>
        <v>33833836</v>
      </c>
      <c r="AC2245" s="11">
        <f>$E2245+21</f>
        <v>127</v>
      </c>
      <c r="AD2245" s="12">
        <f>IF($J2245=0,0,ROUND(MAX($J2245*1.4*1.5*1.6*1.6*2.2*2.715*2.6*1.4*1.4*1.5,12600000000*(1.652953^(MIN($E2245,123)-117)))*1,0))</f>
        <v>50061630</v>
      </c>
      <c r="AE2245" s="13">
        <f>$E2245+24</f>
        <v>130</v>
      </c>
      <c r="AF2245" s="14">
        <f>IF($J2245=0,0,ROUND(MAX($J2245*1.4*1.5*1.6*1.6*2.2*2.715*2.6*1.4*1.4*1.5*1.5,18900000000*(1.65331^(MIN($E2245,123)-117)))*1,0))</f>
        <v>74914276</v>
      </c>
      <c r="AG2245" s="11">
        <f>$E2245+27</f>
        <v>133</v>
      </c>
      <c r="AH2245" s="12">
        <f>IF($J2245=0,0,ROUND(MAX($J2245*1.4*1.5*1.6*1.6*2.2*2.715*2.6*1.4*1.4*1.5*1.5*3.2,60500000000*(1.654288^(MIN($E2245,123)-117)))*1,0))</f>
        <v>238250083</v>
      </c>
    </row>
    <row r="2246" ht="28" customHeight="1" spans="1:34" x14ac:dyDescent="0.25">
      <c r="A2246">
        <v>2256</v>
      </c>
      <c r="B2246" t="s">
        <v>1367</v>
      </c>
      <c r="C2246" s="10" t="s">
        <v>1278</v>
      </c>
      <c r="D2246" t="s">
        <v>102</v>
      </c>
      <c r="E2246">
        <v>106</v>
      </c>
      <c r="F2246" t="s">
        <v>34</v>
      </c>
      <c r="G2246" t="s">
        <v>976</v>
      </c>
      <c r="H2246">
        <v>23</v>
      </c>
      <c r="I2246" s="11">
        <f>$E2246+0</f>
        <v>106</v>
      </c>
      <c r="J2246" s="12">
        <v>30800</v>
      </c>
      <c r="K2246" s="13">
        <f>$E2246+1</f>
        <v>107</v>
      </c>
      <c r="L2246" s="14">
        <f>IF($J2246=0,0,ROUND(MAX($J2246*1.4,1620000*(1.497923^(MIN($E2246,123)-117)))*1,0))</f>
        <v>43120</v>
      </c>
      <c r="M2246" s="11">
        <f>$E2246+2</f>
        <v>108</v>
      </c>
      <c r="N2246" s="12">
        <f>IF($J2246=0,0,ROUND(MAX($J2246*1.4*1.5,2190000*(1.580994^(MIN($E2246,123)-117)))*1,0))</f>
        <v>64680</v>
      </c>
      <c r="O2246" s="13">
        <f>$E2246+4</f>
        <v>110</v>
      </c>
      <c r="P2246" s="14">
        <f>IF($J2246=0,0,ROUND(MAX($J2246*1.4*1.5*1.6,3500000*(1.57975^(MIN($E2246,123)-117)))*1,0))</f>
        <v>103488</v>
      </c>
      <c r="Q2246" s="11">
        <f>$E2246+6</f>
        <v>112</v>
      </c>
      <c r="R2246" s="12">
        <f>IF($J2246=0,0,ROUND(MAX($J2246*1.4*1.5*1.6*1.6,13100000*(1.429962^(MIN($E2246,123)-117)))*1,0))</f>
        <v>256272</v>
      </c>
      <c r="S2246" s="13">
        <f>$E2246+8</f>
        <v>114</v>
      </c>
      <c r="T2246" s="14">
        <f>IF($J2246=0,0,ROUND(MAX($J2246*1.4*1.5*1.6*1.6*2.2,42600000*(1.576904^(MIN($E2246,123)-117)))*1,0))</f>
        <v>364278</v>
      </c>
      <c r="U2246" s="11">
        <f>$E2246+11</f>
        <v>117</v>
      </c>
      <c r="V2246" s="12">
        <f>IF($J2246=0,0,ROUND(MAX($J2246*1.4*1.5*1.6*1.6*2.2*2.715,354000000*(1.642074^(MIN($E2246,123)-117)))*1,0))</f>
        <v>1512458</v>
      </c>
      <c r="W2246" s="13">
        <f>$E2246+15</f>
        <v>121</v>
      </c>
      <c r="X2246" s="14">
        <f>IF($J2246=0,0,ROUND(MAX($J2246*1.4*1.5*1.6*1.6*2.2*2.715*2.6,3540000000*(1.579646^(MIN($E2246,123)-117)))*1,0))</f>
        <v>23165718</v>
      </c>
      <c r="Y2246" s="11">
        <f>$E2246+17</f>
        <v>123</v>
      </c>
      <c r="Z2246" s="12">
        <f>IF($J2246=0,0,ROUND(MAX($J2246*1.4*1.5*1.6*1.6*2.2*2.715*2.6*1.4,6020000000*(1.651178^(MIN($E2246,123)-117)))*1,0))</f>
        <v>24202691</v>
      </c>
      <c r="AA2246" s="13">
        <f>$E2246+19</f>
        <v>125</v>
      </c>
      <c r="AB2246" s="14">
        <f>IF($J2246=0,0,ROUND(MAX($J2246*1.4*1.5*1.6*1.6*2.2*2.715*2.6*1.4*1.4,8430000000*(1.651435^(MIN($E2246,123)-117)))*1,0))</f>
        <v>33833836</v>
      </c>
      <c r="AC2246" s="11">
        <f>$E2246+21</f>
        <v>127</v>
      </c>
      <c r="AD2246" s="12">
        <f>IF($J2246=0,0,ROUND(MAX($J2246*1.4*1.5*1.6*1.6*2.2*2.715*2.6*1.4*1.4*1.5,12600000000*(1.652953^(MIN($E2246,123)-117)))*1,0))</f>
        <v>50061630</v>
      </c>
      <c r="AE2246" s="13">
        <f>$E2246+24</f>
        <v>130</v>
      </c>
      <c r="AF2246" s="14">
        <f>IF($J2246=0,0,ROUND(MAX($J2246*1.4*1.5*1.6*1.6*2.2*2.715*2.6*1.4*1.4*1.5*1.5,18900000000*(1.65331^(MIN($E2246,123)-117)))*1,0))</f>
        <v>74914276</v>
      </c>
      <c r="AG2246" s="11">
        <f>$E2246+27</f>
        <v>133</v>
      </c>
      <c r="AH2246" s="12">
        <f>IF($J2246=0,0,ROUND(MAX($J2246*1.4*1.5*1.6*1.6*2.2*2.715*2.6*1.4*1.4*1.5*1.5*3.2,60500000000*(1.654288^(MIN($E2246,123)-117)))*1,0))</f>
        <v>238250083</v>
      </c>
    </row>
    <row r="2247" ht="28" customHeight="1" spans="1:34" x14ac:dyDescent="0.25">
      <c r="A2247">
        <v>2257</v>
      </c>
      <c r="B2247" t="s">
        <v>1368</v>
      </c>
      <c r="C2247" s="10" t="s">
        <v>1278</v>
      </c>
      <c r="D2247" t="s">
        <v>102</v>
      </c>
      <c r="E2247">
        <v>106</v>
      </c>
      <c r="F2247" t="s">
        <v>313</v>
      </c>
      <c r="G2247" t="s">
        <v>1007</v>
      </c>
      <c r="H2247">
        <v>23</v>
      </c>
      <c r="I2247" s="11">
        <f>$E2247+0</f>
        <v>106</v>
      </c>
      <c r="J2247" s="12">
        <v>22700</v>
      </c>
      <c r="K2247" s="13">
        <f>$E2247+1</f>
        <v>107</v>
      </c>
      <c r="L2247" s="14">
        <f>IF($J2247=0,0,ROUND(MAX($J2247*1.4,1620000*(1.497923^(MIN($E2247,123)-117)))*1,0))</f>
        <v>31780</v>
      </c>
      <c r="M2247" s="11">
        <f>$E2247+2</f>
        <v>108</v>
      </c>
      <c r="N2247" s="12">
        <f>IF($J2247=0,0,ROUND(MAX($J2247*1.4*1.5,2190000*(1.580994^(MIN($E2247,123)-117)))*1,0))</f>
        <v>47670</v>
      </c>
      <c r="O2247" s="13">
        <f>$E2247+4</f>
        <v>110</v>
      </c>
      <c r="P2247" s="14">
        <f>IF($J2247=0,0,ROUND(MAX($J2247*1.4*1.5*1.6,3500000*(1.57975^(MIN($E2247,123)-117)))*1,0))</f>
        <v>76272</v>
      </c>
      <c r="Q2247" s="11">
        <f>$E2247+6</f>
        <v>112</v>
      </c>
      <c r="R2247" s="12">
        <f>IF($J2247=0,0,ROUND(MAX($J2247*1.4*1.5*1.6*1.6,13100000*(1.429962^(MIN($E2247,123)-117)))*1,0))</f>
        <v>256272</v>
      </c>
      <c r="S2247" s="13">
        <f>$E2247+8</f>
        <v>114</v>
      </c>
      <c r="T2247" s="14">
        <f>IF($J2247=0,0,ROUND(MAX($J2247*1.4*1.5*1.6*1.6*2.2,42600000*(1.576904^(MIN($E2247,123)-117)))*1,0))</f>
        <v>284153</v>
      </c>
      <c r="U2247" s="11">
        <f>$E2247+11</f>
        <v>117</v>
      </c>
      <c r="V2247" s="12">
        <f>IF($J2247=0,0,ROUND(MAX($J2247*1.4*1.5*1.6*1.6*2.2*2.715,354000000*(1.642074^(MIN($E2247,123)-117)))*1,0))</f>
        <v>1512458</v>
      </c>
      <c r="W2247" s="13">
        <f>$E2247+15</f>
        <v>121</v>
      </c>
      <c r="X2247" s="14">
        <f>IF($J2247=0,0,ROUND(MAX($J2247*1.4*1.5*1.6*1.6*2.2*2.715*2.6,3540000000*(1.579646^(MIN($E2247,123)-117)))*1,0))</f>
        <v>23165718</v>
      </c>
      <c r="Y2247" s="11">
        <f>$E2247+17</f>
        <v>123</v>
      </c>
      <c r="Z2247" s="12">
        <f>IF($J2247=0,0,ROUND(MAX($J2247*1.4*1.5*1.6*1.6*2.2*2.715*2.6*1.4,6020000000*(1.651178^(MIN($E2247,123)-117)))*1,0))</f>
        <v>24202691</v>
      </c>
      <c r="AA2247" s="13">
        <f>$E2247+19</f>
        <v>125</v>
      </c>
      <c r="AB2247" s="14">
        <f>IF($J2247=0,0,ROUND(MAX($J2247*1.4*1.5*1.6*1.6*2.2*2.715*2.6*1.4*1.4,8430000000*(1.651435^(MIN($E2247,123)-117)))*1,0))</f>
        <v>33833836</v>
      </c>
      <c r="AC2247" s="11">
        <f>$E2247+21</f>
        <v>127</v>
      </c>
      <c r="AD2247" s="12">
        <f>IF($J2247=0,0,ROUND(MAX($J2247*1.4*1.5*1.6*1.6*2.2*2.715*2.6*1.4*1.4*1.5,12600000000*(1.652953^(MIN($E2247,123)-117)))*1,0))</f>
        <v>50061630</v>
      </c>
      <c r="AE2247" s="13">
        <f>$E2247+24</f>
        <v>130</v>
      </c>
      <c r="AF2247" s="14">
        <f>IF($J2247=0,0,ROUND(MAX($J2247*1.4*1.5*1.6*1.6*2.2*2.715*2.6*1.4*1.4*1.5*1.5,18900000000*(1.65331^(MIN($E2247,123)-117)))*1,0))</f>
        <v>74914276</v>
      </c>
      <c r="AG2247" s="11">
        <f>$E2247+27</f>
        <v>133</v>
      </c>
      <c r="AH2247" s="12">
        <f>IF($J2247=0,0,ROUND(MAX($J2247*1.4*1.5*1.6*1.6*2.2*2.715*2.6*1.4*1.4*1.5*1.5*3.2,60500000000*(1.654288^(MIN($E2247,123)-117)))*1,0))</f>
        <v>238250083</v>
      </c>
    </row>
    <row r="2248" ht="28" customHeight="1" spans="1:34" x14ac:dyDescent="0.25">
      <c r="A2248">
        <v>2258</v>
      </c>
      <c r="B2248" t="s">
        <v>1369</v>
      </c>
      <c r="C2248" s="10" t="s">
        <v>1278</v>
      </c>
      <c r="D2248" t="s">
        <v>45</v>
      </c>
      <c r="E2248">
        <v>106</v>
      </c>
      <c r="F2248" t="s">
        <v>62</v>
      </c>
      <c r="G2248" t="s">
        <v>242</v>
      </c>
      <c r="H2248">
        <v>23</v>
      </c>
      <c r="I2248" s="11">
        <f>$E2248+0</f>
        <v>106</v>
      </c>
      <c r="J2248" s="12">
        <v>22800</v>
      </c>
      <c r="K2248" s="13">
        <f>$E2248+1</f>
        <v>107</v>
      </c>
      <c r="L2248" s="14">
        <f>IF($J2248=0,0,ROUND(MAX($J2248*1.4,1620000*(1.497923^(MIN($E2248,123)-117)))*1,0))</f>
        <v>31920</v>
      </c>
      <c r="M2248" s="11">
        <f>$E2248+2</f>
        <v>108</v>
      </c>
      <c r="N2248" s="12">
        <f>IF($J2248=0,0,ROUND(MAX($J2248*1.4*1.5,2190000*(1.580994^(MIN($E2248,123)-117)))*1,0))</f>
        <v>47880</v>
      </c>
      <c r="O2248" s="13">
        <f>$E2248+4</f>
        <v>110</v>
      </c>
      <c r="P2248" s="14">
        <f>IF($J2248=0,0,ROUND(MAX($J2248*1.4*1.5*1.6,3500000*(1.57975^(MIN($E2248,123)-117)))*1,0))</f>
        <v>76608</v>
      </c>
      <c r="Q2248" s="11">
        <f>$E2248+6</f>
        <v>112</v>
      </c>
      <c r="R2248" s="12">
        <f>IF($J2248=0,0,ROUND(MAX($J2248*1.4*1.5*1.6*1.6,13100000*(1.429962^(MIN($E2248,123)-117)))*1,0))</f>
        <v>256272</v>
      </c>
      <c r="S2248" s="13">
        <f>$E2248+8</f>
        <v>114</v>
      </c>
      <c r="T2248" s="14">
        <f>IF($J2248=0,0,ROUND(MAX($J2248*1.4*1.5*1.6*1.6*2.2,42600000*(1.576904^(MIN($E2248,123)-117)))*1,0))</f>
        <v>284153</v>
      </c>
      <c r="U2248" s="11">
        <f>$E2248+11</f>
        <v>117</v>
      </c>
      <c r="V2248" s="12">
        <f>IF($J2248=0,0,ROUND(MAX($J2248*1.4*1.5*1.6*1.6*2.2*2.715,354000000*(1.642074^(MIN($E2248,123)-117)))*1,0))</f>
        <v>1512458</v>
      </c>
      <c r="W2248" s="13">
        <f>$E2248+15</f>
        <v>121</v>
      </c>
      <c r="X2248" s="14">
        <f>IF($J2248=0,0,ROUND(MAX($J2248*1.4*1.5*1.6*1.6*2.2*2.715*2.6,3540000000*(1.579646^(MIN($E2248,123)-117)))*1,0))</f>
        <v>23165718</v>
      </c>
      <c r="Y2248" s="11">
        <f>$E2248+17</f>
        <v>123</v>
      </c>
      <c r="Z2248" s="12">
        <f>IF($J2248=0,0,ROUND(MAX($J2248*1.4*1.5*1.6*1.6*2.2*2.715*2.6*1.4,6020000000*(1.651178^(MIN($E2248,123)-117)))*1,0))</f>
        <v>24202691</v>
      </c>
      <c r="AA2248" s="13">
        <f>$E2248+19</f>
        <v>125</v>
      </c>
      <c r="AB2248" s="14">
        <f>IF($J2248=0,0,ROUND(MAX($J2248*1.4*1.5*1.6*1.6*2.2*2.715*2.6*1.4*1.4,8430000000*(1.651435^(MIN($E2248,123)-117)))*1,0))</f>
        <v>33833836</v>
      </c>
      <c r="AC2248" s="11">
        <f>$E2248+21</f>
        <v>127</v>
      </c>
      <c r="AD2248" s="12">
        <f>IF($J2248=0,0,ROUND(MAX($J2248*1.4*1.5*1.6*1.6*2.2*2.715*2.6*1.4*1.4*1.5,12600000000*(1.652953^(MIN($E2248,123)-117)))*1,0))</f>
        <v>50061630</v>
      </c>
      <c r="AE2248" s="13">
        <f>$E2248+24</f>
        <v>130</v>
      </c>
      <c r="AF2248" s="14">
        <f>IF($J2248=0,0,ROUND(MAX($J2248*1.4*1.5*1.6*1.6*2.2*2.715*2.6*1.4*1.4*1.5*1.5,18900000000*(1.65331^(MIN($E2248,123)-117)))*1,0))</f>
        <v>74914276</v>
      </c>
      <c r="AG2248" s="11">
        <f>$E2248+27</f>
        <v>133</v>
      </c>
      <c r="AH2248" s="12">
        <f>IF($J2248=0,0,ROUND(MAX($J2248*1.4*1.5*1.6*1.6*2.2*2.715*2.6*1.4*1.4*1.5*1.5*3.2,60500000000*(1.654288^(MIN($E2248,123)-117)))*1,0))</f>
        <v>238250083</v>
      </c>
    </row>
    <row r="2249" ht="28" customHeight="1" spans="1:34" x14ac:dyDescent="0.25">
      <c r="A2249">
        <v>2259</v>
      </c>
      <c r="B2249" t="s">
        <v>1370</v>
      </c>
      <c r="C2249" s="10" t="s">
        <v>1278</v>
      </c>
      <c r="D2249" t="s">
        <v>40</v>
      </c>
      <c r="E2249">
        <v>106</v>
      </c>
      <c r="F2249" t="s">
        <v>1093</v>
      </c>
      <c r="G2249" t="s">
        <v>290</v>
      </c>
      <c r="H2249">
        <v>23</v>
      </c>
      <c r="I2249" s="11">
        <f>$E2249+0</f>
        <v>106</v>
      </c>
      <c r="J2249" s="12">
        <v>43200</v>
      </c>
      <c r="K2249" s="13">
        <f>$E2249+1</f>
        <v>107</v>
      </c>
      <c r="L2249" s="14">
        <f>IF($J2249=0,0,ROUND(MAX($J2249*1.4,1620000*(1.497923^(MIN($E2249,123)-117)))*1,0))</f>
        <v>60480</v>
      </c>
      <c r="M2249" s="11">
        <f>$E2249+2</f>
        <v>108</v>
      </c>
      <c r="N2249" s="12">
        <f>IF($J2249=0,0,ROUND(MAX($J2249*1.4*1.5,2190000*(1.580994^(MIN($E2249,123)-117)))*1,0))</f>
        <v>90720</v>
      </c>
      <c r="O2249" s="13">
        <f>$E2249+4</f>
        <v>110</v>
      </c>
      <c r="P2249" s="14">
        <f>IF($J2249=0,0,ROUND(MAX($J2249*1.4*1.5*1.6,3500000*(1.57975^(MIN($E2249,123)-117)))*1,0))</f>
        <v>145152</v>
      </c>
      <c r="Q2249" s="11">
        <f>$E2249+6</f>
        <v>112</v>
      </c>
      <c r="R2249" s="12">
        <f>IF($J2249=0,0,ROUND(MAX($J2249*1.4*1.5*1.6*1.6,13100000*(1.429962^(MIN($E2249,123)-117)))*1,0))</f>
        <v>256272</v>
      </c>
      <c r="S2249" s="13">
        <f>$E2249+8</f>
        <v>114</v>
      </c>
      <c r="T2249" s="14">
        <f>IF($J2249=0,0,ROUND(MAX($J2249*1.4*1.5*1.6*1.6*2.2,42600000*(1.576904^(MIN($E2249,123)-117)))*1,0))</f>
        <v>510935</v>
      </c>
      <c r="U2249" s="11">
        <f>$E2249+11</f>
        <v>117</v>
      </c>
      <c r="V2249" s="12">
        <f>IF($J2249=0,0,ROUND(MAX($J2249*1.4*1.5*1.6*1.6*2.2*2.715,354000000*(1.642074^(MIN($E2249,123)-117)))*1,0))</f>
        <v>1512458</v>
      </c>
      <c r="W2249" s="13">
        <f>$E2249+15</f>
        <v>121</v>
      </c>
      <c r="X2249" s="14">
        <f>IF($J2249=0,0,ROUND(MAX($J2249*1.4*1.5*1.6*1.6*2.2*2.715*2.6,3540000000*(1.579646^(MIN($E2249,123)-117)))*1,0))</f>
        <v>23165718</v>
      </c>
      <c r="Y2249" s="11">
        <f>$E2249+17</f>
        <v>123</v>
      </c>
      <c r="Z2249" s="12">
        <f>IF($J2249=0,0,ROUND(MAX($J2249*1.4*1.5*1.6*1.6*2.2*2.715*2.6*1.4,6020000000*(1.651178^(MIN($E2249,123)-117)))*1,0))</f>
        <v>24202691</v>
      </c>
      <c r="AA2249" s="13">
        <f>$E2249+19</f>
        <v>125</v>
      </c>
      <c r="AB2249" s="14">
        <f>IF($J2249=0,0,ROUND(MAX($J2249*1.4*1.5*1.6*1.6*2.2*2.715*2.6*1.4*1.4,8430000000*(1.651435^(MIN($E2249,123)-117)))*1,0))</f>
        <v>33833836</v>
      </c>
      <c r="AC2249" s="11">
        <f>$E2249+21</f>
        <v>127</v>
      </c>
      <c r="AD2249" s="12">
        <f>IF($J2249=0,0,ROUND(MAX($J2249*1.4*1.5*1.6*1.6*2.2*2.715*2.6*1.4*1.4*1.5,12600000000*(1.652953^(MIN($E2249,123)-117)))*1,0))</f>
        <v>50061630</v>
      </c>
      <c r="AE2249" s="13">
        <f>$E2249+24</f>
        <v>130</v>
      </c>
      <c r="AF2249" s="14">
        <f>IF($J2249=0,0,ROUND(MAX($J2249*1.4*1.5*1.6*1.6*2.2*2.715*2.6*1.4*1.4*1.5*1.5,18900000000*(1.65331^(MIN($E2249,123)-117)))*1,0))</f>
        <v>74914276</v>
      </c>
      <c r="AG2249" s="11">
        <f>$E2249+27</f>
        <v>133</v>
      </c>
      <c r="AH2249" s="12">
        <f>IF($J2249=0,0,ROUND(MAX($J2249*1.4*1.5*1.6*1.6*2.2*2.715*2.6*1.4*1.4*1.5*1.5*3.2,60500000000*(1.654288^(MIN($E2249,123)-117)))*1,0))</f>
        <v>238250083</v>
      </c>
    </row>
    <row r="2250" ht="28" customHeight="1" spans="1:34" x14ac:dyDescent="0.25">
      <c r="A2250">
        <v>2260</v>
      </c>
      <c r="B2250" t="s">
        <v>1371</v>
      </c>
      <c r="C2250" s="10" t="s">
        <v>1278</v>
      </c>
      <c r="D2250" t="s">
        <v>45</v>
      </c>
      <c r="E2250">
        <v>106</v>
      </c>
      <c r="F2250" t="s">
        <v>168</v>
      </c>
      <c r="G2250" t="s">
        <v>828</v>
      </c>
      <c r="H2250">
        <v>23</v>
      </c>
      <c r="I2250" s="11">
        <f>$E2250+0</f>
        <v>106</v>
      </c>
      <c r="J2250" s="12">
        <v>25600</v>
      </c>
      <c r="K2250" s="13">
        <f>$E2250+1</f>
        <v>107</v>
      </c>
      <c r="L2250" s="14">
        <f>IF($J2250=0,0,ROUND(MAX($J2250*1.4,1620000*(1.497923^(MIN($E2250,123)-117)))*1,0))</f>
        <v>35840</v>
      </c>
      <c r="M2250" s="11">
        <f>$E2250+2</f>
        <v>108</v>
      </c>
      <c r="N2250" s="12">
        <f>IF($J2250=0,0,ROUND(MAX($J2250*1.4*1.5,2190000*(1.580994^(MIN($E2250,123)-117)))*1,0))</f>
        <v>53760</v>
      </c>
      <c r="O2250" s="13">
        <f>$E2250+4</f>
        <v>110</v>
      </c>
      <c r="P2250" s="14">
        <f>IF($J2250=0,0,ROUND(MAX($J2250*1.4*1.5*1.6,3500000*(1.57975^(MIN($E2250,123)-117)))*1,0))</f>
        <v>86016</v>
      </c>
      <c r="Q2250" s="11">
        <f>$E2250+6</f>
        <v>112</v>
      </c>
      <c r="R2250" s="12">
        <f>IF($J2250=0,0,ROUND(MAX($J2250*1.4*1.5*1.6*1.6,13100000*(1.429962^(MIN($E2250,123)-117)))*1,0))</f>
        <v>256272</v>
      </c>
      <c r="S2250" s="13">
        <f>$E2250+8</f>
        <v>114</v>
      </c>
      <c r="T2250" s="14">
        <f>IF($J2250=0,0,ROUND(MAX($J2250*1.4*1.5*1.6*1.6*2.2,42600000*(1.576904^(MIN($E2250,123)-117)))*1,0))</f>
        <v>302776</v>
      </c>
      <c r="U2250" s="11">
        <f>$E2250+11</f>
        <v>117</v>
      </c>
      <c r="V2250" s="12">
        <f>IF($J2250=0,0,ROUND(MAX($J2250*1.4*1.5*1.6*1.6*2.2*2.715,354000000*(1.642074^(MIN($E2250,123)-117)))*1,0))</f>
        <v>1512458</v>
      </c>
      <c r="W2250" s="13">
        <f>$E2250+15</f>
        <v>121</v>
      </c>
      <c r="X2250" s="14">
        <f>IF($J2250=0,0,ROUND(MAX($J2250*1.4*1.5*1.6*1.6*2.2*2.715*2.6,3540000000*(1.579646^(MIN($E2250,123)-117)))*1,0))</f>
        <v>23165718</v>
      </c>
      <c r="Y2250" s="11">
        <f>$E2250+17</f>
        <v>123</v>
      </c>
      <c r="Z2250" s="12">
        <f>IF($J2250=0,0,ROUND(MAX($J2250*1.4*1.5*1.6*1.6*2.2*2.715*2.6*1.4,6020000000*(1.651178^(MIN($E2250,123)-117)))*1,0))</f>
        <v>24202691</v>
      </c>
      <c r="AA2250" s="13">
        <f>$E2250+19</f>
        <v>125</v>
      </c>
      <c r="AB2250" s="14">
        <f>IF($J2250=0,0,ROUND(MAX($J2250*1.4*1.5*1.6*1.6*2.2*2.715*2.6*1.4*1.4,8430000000*(1.651435^(MIN($E2250,123)-117)))*1,0))</f>
        <v>33833836</v>
      </c>
      <c r="AC2250" s="11">
        <f>$E2250+21</f>
        <v>127</v>
      </c>
      <c r="AD2250" s="12">
        <f>IF($J2250=0,0,ROUND(MAX($J2250*1.4*1.5*1.6*1.6*2.2*2.715*2.6*1.4*1.4*1.5,12600000000*(1.652953^(MIN($E2250,123)-117)))*1,0))</f>
        <v>50061630</v>
      </c>
      <c r="AE2250" s="13">
        <f>$E2250+24</f>
        <v>130</v>
      </c>
      <c r="AF2250" s="14">
        <f>IF($J2250=0,0,ROUND(MAX($J2250*1.4*1.5*1.6*1.6*2.2*2.715*2.6*1.4*1.4*1.5*1.5,18900000000*(1.65331^(MIN($E2250,123)-117)))*1,0))</f>
        <v>74914276</v>
      </c>
      <c r="AG2250" s="11">
        <f>$E2250+27</f>
        <v>133</v>
      </c>
      <c r="AH2250" s="12">
        <f>IF($J2250=0,0,ROUND(MAX($J2250*1.4*1.5*1.6*1.6*2.2*2.715*2.6*1.4*1.4*1.5*1.5*3.2,60500000000*(1.654288^(MIN($E2250,123)-117)))*1,0))</f>
        <v>238250083</v>
      </c>
    </row>
    <row r="2251" ht="28" customHeight="1" spans="1:34" x14ac:dyDescent="0.25">
      <c r="A2251">
        <v>2261</v>
      </c>
      <c r="B2251" t="s">
        <v>407</v>
      </c>
      <c r="C2251" s="10" t="s">
        <v>1278</v>
      </c>
      <c r="D2251" t="s">
        <v>102</v>
      </c>
      <c r="E2251">
        <v>106</v>
      </c>
      <c r="F2251" t="s">
        <v>42</v>
      </c>
      <c r="G2251" t="s">
        <v>261</v>
      </c>
      <c r="H2251">
        <v>23</v>
      </c>
      <c r="I2251" s="11">
        <f>$E2251+0</f>
        <v>106</v>
      </c>
      <c r="J2251" s="12">
        <v>24800</v>
      </c>
      <c r="K2251" s="13">
        <f>$E2251+1</f>
        <v>107</v>
      </c>
      <c r="L2251" s="14">
        <f>IF($J2251=0,0,ROUND(MAX($J2251*1.4,1620000*(1.497923^(MIN($E2251,123)-117)))*1,0))</f>
        <v>34720</v>
      </c>
      <c r="M2251" s="11">
        <f>$E2251+2</f>
        <v>108</v>
      </c>
      <c r="N2251" s="12">
        <f>IF($J2251=0,0,ROUND(MAX($J2251*1.4*1.5,2190000*(1.580994^(MIN($E2251,123)-117)))*1,0))</f>
        <v>52080</v>
      </c>
      <c r="O2251" s="13">
        <f>$E2251+4</f>
        <v>110</v>
      </c>
      <c r="P2251" s="14">
        <f>IF($J2251=0,0,ROUND(MAX($J2251*1.4*1.5*1.6,3500000*(1.57975^(MIN($E2251,123)-117)))*1,0))</f>
        <v>83328</v>
      </c>
      <c r="Q2251" s="11">
        <f>$E2251+6</f>
        <v>112</v>
      </c>
      <c r="R2251" s="12">
        <f>IF($J2251=0,0,ROUND(MAX($J2251*1.4*1.5*1.6*1.6,13100000*(1.429962^(MIN($E2251,123)-117)))*1,0))</f>
        <v>256272</v>
      </c>
      <c r="S2251" s="13">
        <f>$E2251+8</f>
        <v>114</v>
      </c>
      <c r="T2251" s="14">
        <f>IF($J2251=0,0,ROUND(MAX($J2251*1.4*1.5*1.6*1.6*2.2,42600000*(1.576904^(MIN($E2251,123)-117)))*1,0))</f>
        <v>293315</v>
      </c>
      <c r="U2251" s="11">
        <f>$E2251+11</f>
        <v>117</v>
      </c>
      <c r="V2251" s="12">
        <f>IF($J2251=0,0,ROUND(MAX($J2251*1.4*1.5*1.6*1.6*2.2*2.715,354000000*(1.642074^(MIN($E2251,123)-117)))*1,0))</f>
        <v>1512458</v>
      </c>
      <c r="W2251" s="13">
        <f>$E2251+15</f>
        <v>121</v>
      </c>
      <c r="X2251" s="14">
        <f>IF($J2251=0,0,ROUND(MAX($J2251*1.4*1.5*1.6*1.6*2.2*2.715*2.6,3540000000*(1.579646^(MIN($E2251,123)-117)))*1,0))</f>
        <v>23165718</v>
      </c>
      <c r="Y2251" s="11">
        <f>$E2251+17</f>
        <v>123</v>
      </c>
      <c r="Z2251" s="12">
        <f>IF($J2251=0,0,ROUND(MAX($J2251*1.4*1.5*1.6*1.6*2.2*2.715*2.6*1.4,6020000000*(1.651178^(MIN($E2251,123)-117)))*1,0))</f>
        <v>24202691</v>
      </c>
      <c r="AA2251" s="13">
        <f>$E2251+19</f>
        <v>125</v>
      </c>
      <c r="AB2251" s="14">
        <f>IF($J2251=0,0,ROUND(MAX($J2251*1.4*1.5*1.6*1.6*2.2*2.715*2.6*1.4*1.4,8430000000*(1.651435^(MIN($E2251,123)-117)))*1,0))</f>
        <v>33833836</v>
      </c>
      <c r="AC2251" s="11">
        <f>$E2251+21</f>
        <v>127</v>
      </c>
      <c r="AD2251" s="12">
        <f>IF($J2251=0,0,ROUND(MAX($J2251*1.4*1.5*1.6*1.6*2.2*2.715*2.6*1.4*1.4*1.5,12600000000*(1.652953^(MIN($E2251,123)-117)))*1,0))</f>
        <v>50061630</v>
      </c>
      <c r="AE2251" s="13">
        <f>$E2251+24</f>
        <v>130</v>
      </c>
      <c r="AF2251" s="14">
        <f>IF($J2251=0,0,ROUND(MAX($J2251*1.4*1.5*1.6*1.6*2.2*2.715*2.6*1.4*1.4*1.5*1.5,18900000000*(1.65331^(MIN($E2251,123)-117)))*1,0))</f>
        <v>74914276</v>
      </c>
      <c r="AG2251" s="11">
        <f>$E2251+27</f>
        <v>133</v>
      </c>
      <c r="AH2251" s="12">
        <f>IF($J2251=0,0,ROUND(MAX($J2251*1.4*1.5*1.6*1.6*2.2*2.715*2.6*1.4*1.4*1.5*1.5*3.2,60500000000*(1.654288^(MIN($E2251,123)-117)))*1,0))</f>
        <v>238250083</v>
      </c>
    </row>
    <row r="2252" ht="28" customHeight="1" spans="1:34" x14ac:dyDescent="0.25">
      <c r="A2252">
        <v>2262</v>
      </c>
      <c r="B2252" t="s">
        <v>1372</v>
      </c>
      <c r="C2252" s="10" t="s">
        <v>1278</v>
      </c>
      <c r="D2252" t="s">
        <v>79</v>
      </c>
      <c r="E2252">
        <v>106</v>
      </c>
      <c r="F2252" t="s">
        <v>56</v>
      </c>
      <c r="G2252" t="s">
        <v>727</v>
      </c>
      <c r="H2252">
        <v>23</v>
      </c>
      <c r="I2252" s="11">
        <f>$E2252+0</f>
        <v>106</v>
      </c>
      <c r="J2252" s="12">
        <v>31200</v>
      </c>
      <c r="K2252" s="13">
        <f>$E2252+1</f>
        <v>107</v>
      </c>
      <c r="L2252" s="14">
        <f>IF($J2252=0,0,ROUND(MAX($J2252*1.4,1620000*(1.497923^(MIN($E2252,123)-117)))*1,0))</f>
        <v>43680</v>
      </c>
      <c r="M2252" s="11">
        <f>$E2252+2</f>
        <v>108</v>
      </c>
      <c r="N2252" s="12">
        <f>IF($J2252=0,0,ROUND(MAX($J2252*1.4*1.5,2190000*(1.580994^(MIN($E2252,123)-117)))*1,0))</f>
        <v>65520</v>
      </c>
      <c r="O2252" s="13">
        <f>$E2252+4</f>
        <v>110</v>
      </c>
      <c r="P2252" s="14">
        <f>IF($J2252=0,0,ROUND(MAX($J2252*1.4*1.5*1.6,3500000*(1.57975^(MIN($E2252,123)-117)))*1,0))</f>
        <v>104832</v>
      </c>
      <c r="Q2252" s="11">
        <f>$E2252+6</f>
        <v>112</v>
      </c>
      <c r="R2252" s="12">
        <f>IF($J2252=0,0,ROUND(MAX($J2252*1.4*1.5*1.6*1.6,13100000*(1.429962^(MIN($E2252,123)-117)))*1,0))</f>
        <v>256272</v>
      </c>
      <c r="S2252" s="13">
        <f>$E2252+8</f>
        <v>114</v>
      </c>
      <c r="T2252" s="14">
        <f>IF($J2252=0,0,ROUND(MAX($J2252*1.4*1.5*1.6*1.6*2.2,42600000*(1.576904^(MIN($E2252,123)-117)))*1,0))</f>
        <v>369009</v>
      </c>
      <c r="U2252" s="11">
        <f>$E2252+11</f>
        <v>117</v>
      </c>
      <c r="V2252" s="12">
        <f>IF($J2252=0,0,ROUND(MAX($J2252*1.4*1.5*1.6*1.6*2.2*2.715,354000000*(1.642074^(MIN($E2252,123)-117)))*1,0))</f>
        <v>1512458</v>
      </c>
      <c r="W2252" s="13">
        <f>$E2252+15</f>
        <v>121</v>
      </c>
      <c r="X2252" s="14">
        <f>IF($J2252=0,0,ROUND(MAX($J2252*1.4*1.5*1.6*1.6*2.2*2.715*2.6,3540000000*(1.579646^(MIN($E2252,123)-117)))*1,0))</f>
        <v>23165718</v>
      </c>
      <c r="Y2252" s="11">
        <f>$E2252+17</f>
        <v>123</v>
      </c>
      <c r="Z2252" s="12">
        <f>IF($J2252=0,0,ROUND(MAX($J2252*1.4*1.5*1.6*1.6*2.2*2.715*2.6*1.4,6020000000*(1.651178^(MIN($E2252,123)-117)))*1,0))</f>
        <v>24202691</v>
      </c>
      <c r="AA2252" s="13">
        <f>$E2252+19</f>
        <v>125</v>
      </c>
      <c r="AB2252" s="14">
        <f>IF($J2252=0,0,ROUND(MAX($J2252*1.4*1.5*1.6*1.6*2.2*2.715*2.6*1.4*1.4,8430000000*(1.651435^(MIN($E2252,123)-117)))*1,0))</f>
        <v>33833836</v>
      </c>
      <c r="AC2252" s="11">
        <f>$E2252+21</f>
        <v>127</v>
      </c>
      <c r="AD2252" s="12">
        <f>IF($J2252=0,0,ROUND(MAX($J2252*1.4*1.5*1.6*1.6*2.2*2.715*2.6*1.4*1.4*1.5,12600000000*(1.652953^(MIN($E2252,123)-117)))*1,0))</f>
        <v>50061630</v>
      </c>
      <c r="AE2252" s="13">
        <f>$E2252+24</f>
        <v>130</v>
      </c>
      <c r="AF2252" s="14">
        <f>IF($J2252=0,0,ROUND(MAX($J2252*1.4*1.5*1.6*1.6*2.2*2.715*2.6*1.4*1.4*1.5*1.5,18900000000*(1.65331^(MIN($E2252,123)-117)))*1,0))</f>
        <v>74914276</v>
      </c>
      <c r="AG2252" s="11">
        <f>$E2252+27</f>
        <v>133</v>
      </c>
      <c r="AH2252" s="12">
        <f>IF($J2252=0,0,ROUND(MAX($J2252*1.4*1.5*1.6*1.6*2.2*2.715*2.6*1.4*1.4*1.5*1.5*3.2,60500000000*(1.654288^(MIN($E2252,123)-117)))*1,0))</f>
        <v>238250083</v>
      </c>
    </row>
    <row r="2253" ht="28" customHeight="1" spans="1:34" x14ac:dyDescent="0.25">
      <c r="A2253">
        <v>2263</v>
      </c>
      <c r="B2253" t="s">
        <v>1373</v>
      </c>
      <c r="C2253" s="10" t="s">
        <v>1278</v>
      </c>
      <c r="D2253" t="s">
        <v>102</v>
      </c>
      <c r="E2253">
        <v>106</v>
      </c>
      <c r="F2253" t="s">
        <v>313</v>
      </c>
      <c r="G2253" t="s">
        <v>1374</v>
      </c>
      <c r="H2253">
        <v>23</v>
      </c>
      <c r="I2253" s="11">
        <f>$E2253+0</f>
        <v>106</v>
      </c>
      <c r="J2253" s="12">
        <v>39600</v>
      </c>
      <c r="K2253" s="13">
        <f>$E2253+1</f>
        <v>107</v>
      </c>
      <c r="L2253" s="14">
        <f>IF($J2253=0,0,ROUND(MAX($J2253*1.4,1620000*(1.497923^(MIN($E2253,123)-117)))*1,0))</f>
        <v>55440</v>
      </c>
      <c r="M2253" s="11">
        <f>$E2253+2</f>
        <v>108</v>
      </c>
      <c r="N2253" s="12">
        <f>IF($J2253=0,0,ROUND(MAX($J2253*1.4*1.5,2190000*(1.580994^(MIN($E2253,123)-117)))*1,0))</f>
        <v>83160</v>
      </c>
      <c r="O2253" s="13">
        <f>$E2253+4</f>
        <v>110</v>
      </c>
      <c r="P2253" s="14">
        <f>IF($J2253=0,0,ROUND(MAX($J2253*1.4*1.5*1.6,3500000*(1.57975^(MIN($E2253,123)-117)))*1,0))</f>
        <v>133056</v>
      </c>
      <c r="Q2253" s="11">
        <f>$E2253+6</f>
        <v>112</v>
      </c>
      <c r="R2253" s="12">
        <f>IF($J2253=0,0,ROUND(MAX($J2253*1.4*1.5*1.6*1.6,13100000*(1.429962^(MIN($E2253,123)-117)))*1,0))</f>
        <v>256272</v>
      </c>
      <c r="S2253" s="13">
        <f>$E2253+8</f>
        <v>114</v>
      </c>
      <c r="T2253" s="14">
        <f>IF($J2253=0,0,ROUND(MAX($J2253*1.4*1.5*1.6*1.6*2.2,42600000*(1.576904^(MIN($E2253,123)-117)))*1,0))</f>
        <v>468357</v>
      </c>
      <c r="U2253" s="11">
        <f>$E2253+11</f>
        <v>117</v>
      </c>
      <c r="V2253" s="12">
        <f>IF($J2253=0,0,ROUND(MAX($J2253*1.4*1.5*1.6*1.6*2.2*2.715,354000000*(1.642074^(MIN($E2253,123)-117)))*1,0))</f>
        <v>1512458</v>
      </c>
      <c r="W2253" s="13">
        <f>$E2253+15</f>
        <v>121</v>
      </c>
      <c r="X2253" s="14">
        <f>IF($J2253=0,0,ROUND(MAX($J2253*1.4*1.5*1.6*1.6*2.2*2.715*2.6,3540000000*(1.579646^(MIN($E2253,123)-117)))*1,0))</f>
        <v>23165718</v>
      </c>
      <c r="Y2253" s="11">
        <f>$E2253+17</f>
        <v>123</v>
      </c>
      <c r="Z2253" s="12">
        <f>IF($J2253=0,0,ROUND(MAX($J2253*1.4*1.5*1.6*1.6*2.2*2.715*2.6*1.4,6020000000*(1.651178^(MIN($E2253,123)-117)))*1,0))</f>
        <v>24202691</v>
      </c>
      <c r="AA2253" s="13">
        <f>$E2253+19</f>
        <v>125</v>
      </c>
      <c r="AB2253" s="14">
        <f>IF($J2253=0,0,ROUND(MAX($J2253*1.4*1.5*1.6*1.6*2.2*2.715*2.6*1.4*1.4,8430000000*(1.651435^(MIN($E2253,123)-117)))*1,0))</f>
        <v>33833836</v>
      </c>
      <c r="AC2253" s="11">
        <f>$E2253+21</f>
        <v>127</v>
      </c>
      <c r="AD2253" s="12">
        <f>IF($J2253=0,0,ROUND(MAX($J2253*1.4*1.5*1.6*1.6*2.2*2.715*2.6*1.4*1.4*1.5,12600000000*(1.652953^(MIN($E2253,123)-117)))*1,0))</f>
        <v>50061630</v>
      </c>
      <c r="AE2253" s="13">
        <f>$E2253+24</f>
        <v>130</v>
      </c>
      <c r="AF2253" s="14">
        <f>IF($J2253=0,0,ROUND(MAX($J2253*1.4*1.5*1.6*1.6*2.2*2.715*2.6*1.4*1.4*1.5*1.5,18900000000*(1.65331^(MIN($E2253,123)-117)))*1,0))</f>
        <v>74914276</v>
      </c>
      <c r="AG2253" s="11">
        <f>$E2253+27</f>
        <v>133</v>
      </c>
      <c r="AH2253" s="12">
        <f>IF($J2253=0,0,ROUND(MAX($J2253*1.4*1.5*1.6*1.6*2.2*2.715*2.6*1.4*1.4*1.5*1.5*3.2,60500000000*(1.654288^(MIN($E2253,123)-117)))*1,0))</f>
        <v>238250083</v>
      </c>
    </row>
    <row r="2254" ht="28" customHeight="1" spans="1:34" x14ac:dyDescent="0.25">
      <c r="A2254">
        <v>2264</v>
      </c>
      <c r="B2254" t="s">
        <v>1375</v>
      </c>
      <c r="C2254" s="10" t="s">
        <v>1278</v>
      </c>
      <c r="D2254" t="s">
        <v>45</v>
      </c>
      <c r="E2254">
        <v>106</v>
      </c>
      <c r="F2254" t="s">
        <v>298</v>
      </c>
      <c r="G2254" t="s">
        <v>213</v>
      </c>
      <c r="H2254">
        <v>23</v>
      </c>
      <c r="I2254" s="11">
        <f>$E2254+0</f>
        <v>106</v>
      </c>
      <c r="J2254" s="12">
        <v>53700</v>
      </c>
      <c r="K2254" s="13">
        <f>$E2254+1</f>
        <v>107</v>
      </c>
      <c r="L2254" s="14">
        <f>IF($J2254=0,0,ROUND(MAX($J2254*1.4,1620000*(1.497923^(MIN($E2254,123)-117)))*1,0))</f>
        <v>75180</v>
      </c>
      <c r="M2254" s="11">
        <f>$E2254+2</f>
        <v>108</v>
      </c>
      <c r="N2254" s="12">
        <f>IF($J2254=0,0,ROUND(MAX($J2254*1.4*1.5,2190000*(1.580994^(MIN($E2254,123)-117)))*1,0))</f>
        <v>112770</v>
      </c>
      <c r="O2254" s="13">
        <f>$E2254+4</f>
        <v>110</v>
      </c>
      <c r="P2254" s="14">
        <f>IF($J2254=0,0,ROUND(MAX($J2254*1.4*1.5*1.6,3500000*(1.57975^(MIN($E2254,123)-117)))*1,0))</f>
        <v>180432</v>
      </c>
      <c r="Q2254" s="11">
        <f>$E2254+6</f>
        <v>112</v>
      </c>
      <c r="R2254" s="12">
        <f>IF($J2254=0,0,ROUND(MAX($J2254*1.4*1.5*1.6*1.6,13100000*(1.429962^(MIN($E2254,123)-117)))*1,0))</f>
        <v>288691</v>
      </c>
      <c r="S2254" s="13">
        <f>$E2254+8</f>
        <v>114</v>
      </c>
      <c r="T2254" s="14">
        <f>IF($J2254=0,0,ROUND(MAX($J2254*1.4*1.5*1.6*1.6*2.2,42600000*(1.576904^(MIN($E2254,123)-117)))*1,0))</f>
        <v>635121</v>
      </c>
      <c r="U2254" s="11">
        <f>$E2254+11</f>
        <v>117</v>
      </c>
      <c r="V2254" s="12">
        <f>IF($J2254=0,0,ROUND(MAX($J2254*1.4*1.5*1.6*1.6*2.2*2.715,354000000*(1.642074^(MIN($E2254,123)-117)))*1,0))</f>
        <v>1724353</v>
      </c>
      <c r="W2254" s="13">
        <f>$E2254+15</f>
        <v>121</v>
      </c>
      <c r="X2254" s="14">
        <f>IF($J2254=0,0,ROUND(MAX($J2254*1.4*1.5*1.6*1.6*2.2*2.715*2.6,3540000000*(1.579646^(MIN($E2254,123)-117)))*1,0))</f>
        <v>23165718</v>
      </c>
      <c r="Y2254" s="11">
        <f>$E2254+17</f>
        <v>123</v>
      </c>
      <c r="Z2254" s="12">
        <f>IF($J2254=0,0,ROUND(MAX($J2254*1.4*1.5*1.6*1.6*2.2*2.715*2.6*1.4,6020000000*(1.651178^(MIN($E2254,123)-117)))*1,0))</f>
        <v>24202691</v>
      </c>
      <c r="AA2254" s="13">
        <f>$E2254+19</f>
        <v>125</v>
      </c>
      <c r="AB2254" s="14">
        <f>IF($J2254=0,0,ROUND(MAX($J2254*1.4*1.5*1.6*1.6*2.2*2.715*2.6*1.4*1.4,8430000000*(1.651435^(MIN($E2254,123)-117)))*1,0))</f>
        <v>33833836</v>
      </c>
      <c r="AC2254" s="11">
        <f>$E2254+21</f>
        <v>127</v>
      </c>
      <c r="AD2254" s="12">
        <f>IF($J2254=0,0,ROUND(MAX($J2254*1.4*1.5*1.6*1.6*2.2*2.715*2.6*1.4*1.4*1.5,12600000000*(1.652953^(MIN($E2254,123)-117)))*1,0))</f>
        <v>50061630</v>
      </c>
      <c r="AE2254" s="13">
        <f>$E2254+24</f>
        <v>130</v>
      </c>
      <c r="AF2254" s="14">
        <f>IF($J2254=0,0,ROUND(MAX($J2254*1.4*1.5*1.6*1.6*2.2*2.715*2.6*1.4*1.4*1.5*1.5,18900000000*(1.65331^(MIN($E2254,123)-117)))*1,0))</f>
        <v>74914276</v>
      </c>
      <c r="AG2254" s="11">
        <f>$E2254+27</f>
        <v>133</v>
      </c>
      <c r="AH2254" s="12">
        <f>IF($J2254=0,0,ROUND(MAX($J2254*1.4*1.5*1.6*1.6*2.2*2.715*2.6*1.4*1.4*1.5*1.5*3.2,60500000000*(1.654288^(MIN($E2254,123)-117)))*1,0))</f>
        <v>238250083</v>
      </c>
    </row>
    <row r="2255" ht="28" customHeight="1" spans="1:34" x14ac:dyDescent="0.25">
      <c r="A2255">
        <v>2265</v>
      </c>
      <c r="B2255" t="s">
        <v>1376</v>
      </c>
      <c r="C2255" s="10" t="s">
        <v>1278</v>
      </c>
      <c r="D2255" t="s">
        <v>102</v>
      </c>
      <c r="E2255">
        <v>106</v>
      </c>
      <c r="F2255" t="s">
        <v>34</v>
      </c>
      <c r="G2255" t="s">
        <v>569</v>
      </c>
      <c r="H2255">
        <v>23</v>
      </c>
      <c r="I2255" s="11">
        <f>$E2255+0</f>
        <v>106</v>
      </c>
      <c r="J2255" s="12">
        <v>39100</v>
      </c>
      <c r="K2255" s="13">
        <f>$E2255+1</f>
        <v>107</v>
      </c>
      <c r="L2255" s="14">
        <f>IF($J2255=0,0,ROUND(MAX($J2255*1.4,1620000*(1.497923^(MIN($E2255,123)-117)))*1,0))</f>
        <v>54740</v>
      </c>
      <c r="M2255" s="11">
        <f>$E2255+2</f>
        <v>108</v>
      </c>
      <c r="N2255" s="12">
        <f>IF($J2255=0,0,ROUND(MAX($J2255*1.4*1.5,2190000*(1.580994^(MIN($E2255,123)-117)))*1,0))</f>
        <v>82110</v>
      </c>
      <c r="O2255" s="13">
        <f>$E2255+4</f>
        <v>110</v>
      </c>
      <c r="P2255" s="14">
        <f>IF($J2255=0,0,ROUND(MAX($J2255*1.4*1.5*1.6,3500000*(1.57975^(MIN($E2255,123)-117)))*1,0))</f>
        <v>131376</v>
      </c>
      <c r="Q2255" s="11">
        <f>$E2255+6</f>
        <v>112</v>
      </c>
      <c r="R2255" s="12">
        <f>IF($J2255=0,0,ROUND(MAX($J2255*1.4*1.5*1.6*1.6,13100000*(1.429962^(MIN($E2255,123)-117)))*1,0))</f>
        <v>256272</v>
      </c>
      <c r="S2255" s="13">
        <f>$E2255+8</f>
        <v>114</v>
      </c>
      <c r="T2255" s="14">
        <f>IF($J2255=0,0,ROUND(MAX($J2255*1.4*1.5*1.6*1.6*2.2,42600000*(1.576904^(MIN($E2255,123)-117)))*1,0))</f>
        <v>462444</v>
      </c>
      <c r="U2255" s="11">
        <f>$E2255+11</f>
        <v>117</v>
      </c>
      <c r="V2255" s="12">
        <f>IF($J2255=0,0,ROUND(MAX($J2255*1.4*1.5*1.6*1.6*2.2*2.715,354000000*(1.642074^(MIN($E2255,123)-117)))*1,0))</f>
        <v>1512458</v>
      </c>
      <c r="W2255" s="13">
        <f>$E2255+15</f>
        <v>121</v>
      </c>
      <c r="X2255" s="14">
        <f>IF($J2255=0,0,ROUND(MAX($J2255*1.4*1.5*1.6*1.6*2.2*2.715*2.6,3540000000*(1.579646^(MIN($E2255,123)-117)))*1,0))</f>
        <v>23165718</v>
      </c>
      <c r="Y2255" s="11">
        <f>$E2255+17</f>
        <v>123</v>
      </c>
      <c r="Z2255" s="12">
        <f>IF($J2255=0,0,ROUND(MAX($J2255*1.4*1.5*1.6*1.6*2.2*2.715*2.6*1.4,6020000000*(1.651178^(MIN($E2255,123)-117)))*1,0))</f>
        <v>24202691</v>
      </c>
      <c r="AA2255" s="13">
        <f>$E2255+19</f>
        <v>125</v>
      </c>
      <c r="AB2255" s="14">
        <f>IF($J2255=0,0,ROUND(MAX($J2255*1.4*1.5*1.6*1.6*2.2*2.715*2.6*1.4*1.4,8430000000*(1.651435^(MIN($E2255,123)-117)))*1,0))</f>
        <v>33833836</v>
      </c>
      <c r="AC2255" s="11">
        <f>$E2255+21</f>
        <v>127</v>
      </c>
      <c r="AD2255" s="12">
        <f>IF($J2255=0,0,ROUND(MAX($J2255*1.4*1.5*1.6*1.6*2.2*2.715*2.6*1.4*1.4*1.5,12600000000*(1.652953^(MIN($E2255,123)-117)))*1,0))</f>
        <v>50061630</v>
      </c>
      <c r="AE2255" s="13">
        <f>$E2255+24</f>
        <v>130</v>
      </c>
      <c r="AF2255" s="14">
        <f>IF($J2255=0,0,ROUND(MAX($J2255*1.4*1.5*1.6*1.6*2.2*2.715*2.6*1.4*1.4*1.5*1.5,18900000000*(1.65331^(MIN($E2255,123)-117)))*1,0))</f>
        <v>74914276</v>
      </c>
      <c r="AG2255" s="11">
        <f>$E2255+27</f>
        <v>133</v>
      </c>
      <c r="AH2255" s="12">
        <f>IF($J2255=0,0,ROUND(MAX($J2255*1.4*1.5*1.6*1.6*2.2*2.715*2.6*1.4*1.4*1.5*1.5*3.2,60500000000*(1.654288^(MIN($E2255,123)-117)))*1,0))</f>
        <v>238250083</v>
      </c>
    </row>
    <row r="2256" ht="28" customHeight="1" spans="1:34" x14ac:dyDescent="0.25">
      <c r="A2256">
        <v>2266</v>
      </c>
      <c r="B2256" t="s">
        <v>1377</v>
      </c>
      <c r="C2256" s="10" t="s">
        <v>1278</v>
      </c>
      <c r="D2256" t="s">
        <v>25</v>
      </c>
      <c r="E2256">
        <v>106</v>
      </c>
      <c r="F2256" t="s">
        <v>26</v>
      </c>
      <c r="G2256" t="s">
        <v>832</v>
      </c>
      <c r="H2256">
        <v>23</v>
      </c>
      <c r="I2256" s="11">
        <f>$E2256+0</f>
        <v>106</v>
      </c>
      <c r="J2256" s="12">
        <v>46200</v>
      </c>
      <c r="K2256" s="13">
        <f>$E2256+1</f>
        <v>107</v>
      </c>
      <c r="L2256" s="14">
        <f>IF($J2256=0,0,ROUND(MAX($J2256*1.4,1620000*(1.497923^(MIN($E2256,123)-117)))*1,0))</f>
        <v>64680</v>
      </c>
      <c r="M2256" s="11">
        <f>$E2256+2</f>
        <v>108</v>
      </c>
      <c r="N2256" s="12">
        <f>IF($J2256=0,0,ROUND(MAX($J2256*1.4*1.5,2190000*(1.580994^(MIN($E2256,123)-117)))*1,0))</f>
        <v>97020</v>
      </c>
      <c r="O2256" s="13">
        <f>$E2256+4</f>
        <v>110</v>
      </c>
      <c r="P2256" s="14">
        <f>IF($J2256=0,0,ROUND(MAX($J2256*1.4*1.5*1.6,3500000*(1.57975^(MIN($E2256,123)-117)))*1,0))</f>
        <v>155232</v>
      </c>
      <c r="Q2256" s="11">
        <f>$E2256+6</f>
        <v>112</v>
      </c>
      <c r="R2256" s="12">
        <f>IF($J2256=0,0,ROUND(MAX($J2256*1.4*1.5*1.6*1.6,13100000*(1.429962^(MIN($E2256,123)-117)))*1,0))</f>
        <v>256272</v>
      </c>
      <c r="S2256" s="13">
        <f>$E2256+8</f>
        <v>114</v>
      </c>
      <c r="T2256" s="14">
        <f>IF($J2256=0,0,ROUND(MAX($J2256*1.4*1.5*1.6*1.6*2.2,42600000*(1.576904^(MIN($E2256,123)-117)))*1,0))</f>
        <v>546417</v>
      </c>
      <c r="U2256" s="11">
        <f>$E2256+11</f>
        <v>117</v>
      </c>
      <c r="V2256" s="12">
        <f>IF($J2256=0,0,ROUND(MAX($J2256*1.4*1.5*1.6*1.6*2.2*2.715,354000000*(1.642074^(MIN($E2256,123)-117)))*1,0))</f>
        <v>1512458</v>
      </c>
      <c r="W2256" s="13">
        <f>$E2256+15</f>
        <v>121</v>
      </c>
      <c r="X2256" s="14">
        <f>IF($J2256=0,0,ROUND(MAX($J2256*1.4*1.5*1.6*1.6*2.2*2.715*2.6,3540000000*(1.579646^(MIN($E2256,123)-117)))*1,0))</f>
        <v>23165718</v>
      </c>
      <c r="Y2256" s="11">
        <f>$E2256+17</f>
        <v>123</v>
      </c>
      <c r="Z2256" s="12">
        <f>IF($J2256=0,0,ROUND(MAX($J2256*1.4*1.5*1.6*1.6*2.2*2.715*2.6*1.4,6020000000*(1.651178^(MIN($E2256,123)-117)))*1,0))</f>
        <v>24202691</v>
      </c>
      <c r="AA2256" s="13">
        <f>$E2256+19</f>
        <v>125</v>
      </c>
      <c r="AB2256" s="14">
        <f>IF($J2256=0,0,ROUND(MAX($J2256*1.4*1.5*1.6*1.6*2.2*2.715*2.6*1.4*1.4,8430000000*(1.651435^(MIN($E2256,123)-117)))*1,0))</f>
        <v>33833836</v>
      </c>
      <c r="AC2256" s="11">
        <f>$E2256+21</f>
        <v>127</v>
      </c>
      <c r="AD2256" s="12">
        <f>IF($J2256=0,0,ROUND(MAX($J2256*1.4*1.5*1.6*1.6*2.2*2.715*2.6*1.4*1.4*1.5,12600000000*(1.652953^(MIN($E2256,123)-117)))*1,0))</f>
        <v>50061630</v>
      </c>
      <c r="AE2256" s="13">
        <f>$E2256+24</f>
        <v>130</v>
      </c>
      <c r="AF2256" s="14">
        <f>IF($J2256=0,0,ROUND(MAX($J2256*1.4*1.5*1.6*1.6*2.2*2.715*2.6*1.4*1.4*1.5*1.5,18900000000*(1.65331^(MIN($E2256,123)-117)))*1,0))</f>
        <v>74914276</v>
      </c>
      <c r="AG2256" s="11">
        <f>$E2256+27</f>
        <v>133</v>
      </c>
      <c r="AH2256" s="12">
        <f>IF($J2256=0,0,ROUND(MAX($J2256*1.4*1.5*1.6*1.6*2.2*2.715*2.6*1.4*1.4*1.5*1.5*3.2,60500000000*(1.654288^(MIN($E2256,123)-117)))*1,0))</f>
        <v>238250083</v>
      </c>
    </row>
    <row r="2257" ht="28" customHeight="1" spans="1:34" x14ac:dyDescent="0.25">
      <c r="A2257">
        <v>2267</v>
      </c>
      <c r="B2257" t="s">
        <v>397</v>
      </c>
      <c r="C2257" s="10" t="s">
        <v>1278</v>
      </c>
      <c r="D2257" t="s">
        <v>40</v>
      </c>
      <c r="E2257">
        <v>106</v>
      </c>
      <c r="F2257" t="s">
        <v>71</v>
      </c>
      <c r="G2257" t="s">
        <v>398</v>
      </c>
      <c r="H2257">
        <v>23</v>
      </c>
      <c r="I2257" s="11">
        <f>$E2257+0</f>
        <v>106</v>
      </c>
      <c r="J2257" s="12">
        <v>51700</v>
      </c>
      <c r="K2257" s="13">
        <f>$E2257+1</f>
        <v>107</v>
      </c>
      <c r="L2257" s="14">
        <f>IF($J2257=0,0,ROUND(MAX($J2257*1.4,1620000*(1.497923^(MIN($E2257,123)-117)))*1,0))</f>
        <v>72380</v>
      </c>
      <c r="M2257" s="11">
        <f>$E2257+2</f>
        <v>108</v>
      </c>
      <c r="N2257" s="12">
        <f>IF($J2257=0,0,ROUND(MAX($J2257*1.4*1.5,2190000*(1.580994^(MIN($E2257,123)-117)))*1,0))</f>
        <v>108570</v>
      </c>
      <c r="O2257" s="13">
        <f>$E2257+4</f>
        <v>110</v>
      </c>
      <c r="P2257" s="14">
        <f>IF($J2257=0,0,ROUND(MAX($J2257*1.4*1.5*1.6,3500000*(1.57975^(MIN($E2257,123)-117)))*1,0))</f>
        <v>173712</v>
      </c>
      <c r="Q2257" s="11">
        <f>$E2257+6</f>
        <v>112</v>
      </c>
      <c r="R2257" s="12">
        <f>IF($J2257=0,0,ROUND(MAX($J2257*1.4*1.5*1.6*1.6,13100000*(1.429962^(MIN($E2257,123)-117)))*1,0))</f>
        <v>277939</v>
      </c>
      <c r="S2257" s="13">
        <f>$E2257+8</f>
        <v>114</v>
      </c>
      <c r="T2257" s="14">
        <f>IF($J2257=0,0,ROUND(MAX($J2257*1.4*1.5*1.6*1.6*2.2,42600000*(1.576904^(MIN($E2257,123)-117)))*1,0))</f>
        <v>611466</v>
      </c>
      <c r="U2257" s="11">
        <f>$E2257+11</f>
        <v>117</v>
      </c>
      <c r="V2257" s="12">
        <f>IF($J2257=0,0,ROUND(MAX($J2257*1.4*1.5*1.6*1.6*2.2*2.715,354000000*(1.642074^(MIN($E2257,123)-117)))*1,0))</f>
        <v>1660131</v>
      </c>
      <c r="W2257" s="13">
        <f>$E2257+15</f>
        <v>121</v>
      </c>
      <c r="X2257" s="14">
        <f>IF($J2257=0,0,ROUND(MAX($J2257*1.4*1.5*1.6*1.6*2.2*2.715*2.6,3540000000*(1.579646^(MIN($E2257,123)-117)))*1,0))</f>
        <v>23165718</v>
      </c>
      <c r="Y2257" s="11">
        <f>$E2257+17</f>
        <v>123</v>
      </c>
      <c r="Z2257" s="12">
        <f>IF($J2257=0,0,ROUND(MAX($J2257*1.4*1.5*1.6*1.6*2.2*2.715*2.6*1.4,6020000000*(1.651178^(MIN($E2257,123)-117)))*1,0))</f>
        <v>24202691</v>
      </c>
      <c r="AA2257" s="13">
        <f>$E2257+19</f>
        <v>125</v>
      </c>
      <c r="AB2257" s="14">
        <f>IF($J2257=0,0,ROUND(MAX($J2257*1.4*1.5*1.6*1.6*2.2*2.715*2.6*1.4*1.4,8430000000*(1.651435^(MIN($E2257,123)-117)))*1,0))</f>
        <v>33833836</v>
      </c>
      <c r="AC2257" s="11">
        <f>$E2257+21</f>
        <v>127</v>
      </c>
      <c r="AD2257" s="12">
        <f>IF($J2257=0,0,ROUND(MAX($J2257*1.4*1.5*1.6*1.6*2.2*2.715*2.6*1.4*1.4*1.5,12600000000*(1.652953^(MIN($E2257,123)-117)))*1,0))</f>
        <v>50061630</v>
      </c>
      <c r="AE2257" s="13">
        <f>$E2257+24</f>
        <v>130</v>
      </c>
      <c r="AF2257" s="14">
        <f>IF($J2257=0,0,ROUND(MAX($J2257*1.4*1.5*1.6*1.6*2.2*2.715*2.6*1.4*1.4*1.5*1.5,18900000000*(1.65331^(MIN($E2257,123)-117)))*1,0))</f>
        <v>74914276</v>
      </c>
      <c r="AG2257" s="11">
        <f>$E2257+27</f>
        <v>133</v>
      </c>
      <c r="AH2257" s="12">
        <f>IF($J2257=0,0,ROUND(MAX($J2257*1.4*1.5*1.6*1.6*2.2*2.715*2.6*1.4*1.4*1.5*1.5*3.2,60500000000*(1.654288^(MIN($E2257,123)-117)))*1,0))</f>
        <v>238250083</v>
      </c>
    </row>
    <row r="2258" ht="28" customHeight="1" spans="1:34" x14ac:dyDescent="0.25">
      <c r="A2258">
        <v>2268</v>
      </c>
      <c r="B2258" t="s">
        <v>552</v>
      </c>
      <c r="C2258" s="10" t="s">
        <v>1278</v>
      </c>
      <c r="D2258" t="s">
        <v>102</v>
      </c>
      <c r="E2258">
        <v>106</v>
      </c>
      <c r="F2258" t="s">
        <v>30</v>
      </c>
      <c r="G2258" t="s">
        <v>1336</v>
      </c>
      <c r="H2258">
        <v>23</v>
      </c>
      <c r="I2258" s="11">
        <f>$E2258+0</f>
        <v>106</v>
      </c>
      <c r="J2258" s="12">
        <v>19300</v>
      </c>
      <c r="K2258" s="13">
        <f>$E2258+1</f>
        <v>107</v>
      </c>
      <c r="L2258" s="14">
        <f>IF($J2258=0,0,ROUND(MAX($J2258*1.4,1620000*(1.497923^(MIN($E2258,123)-117)))*1,0))</f>
        <v>27020</v>
      </c>
      <c r="M2258" s="11">
        <f>$E2258+2</f>
        <v>108</v>
      </c>
      <c r="N2258" s="12">
        <f>IF($J2258=0,0,ROUND(MAX($J2258*1.4*1.5,2190000*(1.580994^(MIN($E2258,123)-117)))*1,0))</f>
        <v>40530</v>
      </c>
      <c r="O2258" s="13">
        <f>$E2258+4</f>
        <v>110</v>
      </c>
      <c r="P2258" s="14">
        <f>IF($J2258=0,0,ROUND(MAX($J2258*1.4*1.5*1.6,3500000*(1.57975^(MIN($E2258,123)-117)))*1,0))</f>
        <v>64848</v>
      </c>
      <c r="Q2258" s="11">
        <f>$E2258+6</f>
        <v>112</v>
      </c>
      <c r="R2258" s="12">
        <f>IF($J2258=0,0,ROUND(MAX($J2258*1.4*1.5*1.6*1.6,13100000*(1.429962^(MIN($E2258,123)-117)))*1,0))</f>
        <v>256272</v>
      </c>
      <c r="S2258" s="13">
        <f>$E2258+8</f>
        <v>114</v>
      </c>
      <c r="T2258" s="14">
        <f>IF($J2258=0,0,ROUND(MAX($J2258*1.4*1.5*1.6*1.6*2.2,42600000*(1.576904^(MIN($E2258,123)-117)))*1,0))</f>
        <v>284153</v>
      </c>
      <c r="U2258" s="11">
        <f>$E2258+11</f>
        <v>117</v>
      </c>
      <c r="V2258" s="12">
        <f>IF($J2258=0,0,ROUND(MAX($J2258*1.4*1.5*1.6*1.6*2.2*2.715,354000000*(1.642074^(MIN($E2258,123)-117)))*1,0))</f>
        <v>1512458</v>
      </c>
      <c r="W2258" s="13">
        <f>$E2258+15</f>
        <v>121</v>
      </c>
      <c r="X2258" s="14">
        <f>IF($J2258=0,0,ROUND(MAX($J2258*1.4*1.5*1.6*1.6*2.2*2.715*2.6,3540000000*(1.579646^(MIN($E2258,123)-117)))*1,0))</f>
        <v>23165718</v>
      </c>
      <c r="Y2258" s="11">
        <f>$E2258+17</f>
        <v>123</v>
      </c>
      <c r="Z2258" s="12">
        <f>IF($J2258=0,0,ROUND(MAX($J2258*1.4*1.5*1.6*1.6*2.2*2.715*2.6*1.4,6020000000*(1.651178^(MIN($E2258,123)-117)))*1,0))</f>
        <v>24202691</v>
      </c>
      <c r="AA2258" s="13">
        <f>$E2258+19</f>
        <v>125</v>
      </c>
      <c r="AB2258" s="14">
        <f>IF($J2258=0,0,ROUND(MAX($J2258*1.4*1.5*1.6*1.6*2.2*2.715*2.6*1.4*1.4,8430000000*(1.651435^(MIN($E2258,123)-117)))*1,0))</f>
        <v>33833836</v>
      </c>
      <c r="AC2258" s="11">
        <f>$E2258+21</f>
        <v>127</v>
      </c>
      <c r="AD2258" s="12">
        <f>IF($J2258=0,0,ROUND(MAX($J2258*1.4*1.5*1.6*1.6*2.2*2.715*2.6*1.4*1.4*1.5,12600000000*(1.652953^(MIN($E2258,123)-117)))*1,0))</f>
        <v>50061630</v>
      </c>
      <c r="AE2258" s="13">
        <f>$E2258+24</f>
        <v>130</v>
      </c>
      <c r="AF2258" s="14">
        <f>IF($J2258=0,0,ROUND(MAX($J2258*1.4*1.5*1.6*1.6*2.2*2.715*2.6*1.4*1.4*1.5*1.5,18900000000*(1.65331^(MIN($E2258,123)-117)))*1,0))</f>
        <v>74914276</v>
      </c>
      <c r="AG2258" s="11">
        <f>$E2258+27</f>
        <v>133</v>
      </c>
      <c r="AH2258" s="12">
        <f>IF($J2258=0,0,ROUND(MAX($J2258*1.4*1.5*1.6*1.6*2.2*2.715*2.6*1.4*1.4*1.5*1.5*3.2,60500000000*(1.654288^(MIN($E2258,123)-117)))*1,0))</f>
        <v>238250083</v>
      </c>
    </row>
    <row r="2259" ht="28" customHeight="1" spans="1:34" x14ac:dyDescent="0.25">
      <c r="A2259">
        <v>2269</v>
      </c>
      <c r="B2259" t="s">
        <v>1378</v>
      </c>
      <c r="C2259" s="10" t="s">
        <v>1278</v>
      </c>
      <c r="D2259" t="s">
        <v>102</v>
      </c>
      <c r="E2259">
        <v>106</v>
      </c>
      <c r="F2259" t="s">
        <v>237</v>
      </c>
      <c r="G2259" t="s">
        <v>1007</v>
      </c>
      <c r="H2259">
        <v>23</v>
      </c>
      <c r="I2259" s="11">
        <f>$E2259+0</f>
        <v>106</v>
      </c>
      <c r="J2259" s="12">
        <v>32800</v>
      </c>
      <c r="K2259" s="13">
        <f>$E2259+1</f>
        <v>107</v>
      </c>
      <c r="L2259" s="14">
        <f>IF($J2259=0,0,ROUND(MAX($J2259*1.4,1620000*(1.497923^(MIN($E2259,123)-117)))*1,0))</f>
        <v>45920</v>
      </c>
      <c r="M2259" s="11">
        <f>$E2259+2</f>
        <v>108</v>
      </c>
      <c r="N2259" s="12">
        <f>IF($J2259=0,0,ROUND(MAX($J2259*1.4*1.5,2190000*(1.580994^(MIN($E2259,123)-117)))*1,0))</f>
        <v>68880</v>
      </c>
      <c r="O2259" s="13">
        <f>$E2259+4</f>
        <v>110</v>
      </c>
      <c r="P2259" s="14">
        <f>IF($J2259=0,0,ROUND(MAX($J2259*1.4*1.5*1.6,3500000*(1.57975^(MIN($E2259,123)-117)))*1,0))</f>
        <v>110208</v>
      </c>
      <c r="Q2259" s="11">
        <f>$E2259+6</f>
        <v>112</v>
      </c>
      <c r="R2259" s="12">
        <f>IF($J2259=0,0,ROUND(MAX($J2259*1.4*1.5*1.6*1.6,13100000*(1.429962^(MIN($E2259,123)-117)))*1,0))</f>
        <v>256272</v>
      </c>
      <c r="S2259" s="13">
        <f>$E2259+8</f>
        <v>114</v>
      </c>
      <c r="T2259" s="14">
        <f>IF($J2259=0,0,ROUND(MAX($J2259*1.4*1.5*1.6*1.6*2.2,42600000*(1.576904^(MIN($E2259,123)-117)))*1,0))</f>
        <v>387932</v>
      </c>
      <c r="U2259" s="11">
        <f>$E2259+11</f>
        <v>117</v>
      </c>
      <c r="V2259" s="12">
        <f>IF($J2259=0,0,ROUND(MAX($J2259*1.4*1.5*1.6*1.6*2.2*2.715,354000000*(1.642074^(MIN($E2259,123)-117)))*1,0))</f>
        <v>1512458</v>
      </c>
      <c r="W2259" s="13">
        <f>$E2259+15</f>
        <v>121</v>
      </c>
      <c r="X2259" s="14">
        <f>IF($J2259=0,0,ROUND(MAX($J2259*1.4*1.5*1.6*1.6*2.2*2.715*2.6,3540000000*(1.579646^(MIN($E2259,123)-117)))*1,0))</f>
        <v>23165718</v>
      </c>
      <c r="Y2259" s="11">
        <f>$E2259+17</f>
        <v>123</v>
      </c>
      <c r="Z2259" s="12">
        <f>IF($J2259=0,0,ROUND(MAX($J2259*1.4*1.5*1.6*1.6*2.2*2.715*2.6*1.4,6020000000*(1.651178^(MIN($E2259,123)-117)))*1,0))</f>
        <v>24202691</v>
      </c>
      <c r="AA2259" s="13">
        <f>$E2259+19</f>
        <v>125</v>
      </c>
      <c r="AB2259" s="14">
        <f>IF($J2259=0,0,ROUND(MAX($J2259*1.4*1.5*1.6*1.6*2.2*2.715*2.6*1.4*1.4,8430000000*(1.651435^(MIN($E2259,123)-117)))*1,0))</f>
        <v>33833836</v>
      </c>
      <c r="AC2259" s="11">
        <f>$E2259+21</f>
        <v>127</v>
      </c>
      <c r="AD2259" s="12">
        <f>IF($J2259=0,0,ROUND(MAX($J2259*1.4*1.5*1.6*1.6*2.2*2.715*2.6*1.4*1.4*1.5,12600000000*(1.652953^(MIN($E2259,123)-117)))*1,0))</f>
        <v>50061630</v>
      </c>
      <c r="AE2259" s="13">
        <f>$E2259+24</f>
        <v>130</v>
      </c>
      <c r="AF2259" s="14">
        <f>IF($J2259=0,0,ROUND(MAX($J2259*1.4*1.5*1.6*1.6*2.2*2.715*2.6*1.4*1.4*1.5*1.5,18900000000*(1.65331^(MIN($E2259,123)-117)))*1,0))</f>
        <v>74914276</v>
      </c>
      <c r="AG2259" s="11">
        <f>$E2259+27</f>
        <v>133</v>
      </c>
      <c r="AH2259" s="12">
        <f>IF($J2259=0,0,ROUND(MAX($J2259*1.4*1.5*1.6*1.6*2.2*2.715*2.6*1.4*1.4*1.5*1.5*3.2,60500000000*(1.654288^(MIN($E2259,123)-117)))*1,0))</f>
        <v>238250083</v>
      </c>
    </row>
    <row r="2260" ht="28" customHeight="1" spans="1:34" x14ac:dyDescent="0.25">
      <c r="A2260">
        <v>2270</v>
      </c>
      <c r="B2260" t="s">
        <v>1379</v>
      </c>
      <c r="C2260" s="10" t="s">
        <v>1278</v>
      </c>
      <c r="D2260" t="s">
        <v>102</v>
      </c>
      <c r="E2260">
        <v>106</v>
      </c>
      <c r="F2260" t="s">
        <v>34</v>
      </c>
      <c r="G2260" t="s">
        <v>1080</v>
      </c>
      <c r="H2260">
        <v>23</v>
      </c>
      <c r="I2260" s="11">
        <f>$E2260+0</f>
        <v>106</v>
      </c>
      <c r="J2260" s="12">
        <v>34600</v>
      </c>
      <c r="K2260" s="13">
        <f>$E2260+1</f>
        <v>107</v>
      </c>
      <c r="L2260" s="14">
        <f>IF($J2260=0,0,ROUND(MAX($J2260*1.4,1620000*(1.497923^(MIN($E2260,123)-117)))*1,0))</f>
        <v>48440</v>
      </c>
      <c r="M2260" s="11">
        <f>$E2260+2</f>
        <v>108</v>
      </c>
      <c r="N2260" s="12">
        <f>IF($J2260=0,0,ROUND(MAX($J2260*1.4*1.5,2190000*(1.580994^(MIN($E2260,123)-117)))*1,0))</f>
        <v>72660</v>
      </c>
      <c r="O2260" s="13">
        <f>$E2260+4</f>
        <v>110</v>
      </c>
      <c r="P2260" s="14">
        <f>IF($J2260=0,0,ROUND(MAX($J2260*1.4*1.5*1.6,3500000*(1.57975^(MIN($E2260,123)-117)))*1,0))</f>
        <v>116256</v>
      </c>
      <c r="Q2260" s="11">
        <f>$E2260+6</f>
        <v>112</v>
      </c>
      <c r="R2260" s="12">
        <f>IF($J2260=0,0,ROUND(MAX($J2260*1.4*1.5*1.6*1.6,13100000*(1.429962^(MIN($E2260,123)-117)))*1,0))</f>
        <v>256272</v>
      </c>
      <c r="S2260" s="13">
        <f>$E2260+8</f>
        <v>114</v>
      </c>
      <c r="T2260" s="14">
        <f>IF($J2260=0,0,ROUND(MAX($J2260*1.4*1.5*1.6*1.6*2.2,42600000*(1.576904^(MIN($E2260,123)-117)))*1,0))</f>
        <v>409221</v>
      </c>
      <c r="U2260" s="11">
        <f>$E2260+11</f>
        <v>117</v>
      </c>
      <c r="V2260" s="12">
        <f>IF($J2260=0,0,ROUND(MAX($J2260*1.4*1.5*1.6*1.6*2.2*2.715,354000000*(1.642074^(MIN($E2260,123)-117)))*1,0))</f>
        <v>1512458</v>
      </c>
      <c r="W2260" s="13">
        <f>$E2260+15</f>
        <v>121</v>
      </c>
      <c r="X2260" s="14">
        <f>IF($J2260=0,0,ROUND(MAX($J2260*1.4*1.5*1.6*1.6*2.2*2.715*2.6,3540000000*(1.579646^(MIN($E2260,123)-117)))*1,0))</f>
        <v>23165718</v>
      </c>
      <c r="Y2260" s="11">
        <f>$E2260+17</f>
        <v>123</v>
      </c>
      <c r="Z2260" s="12">
        <f>IF($J2260=0,0,ROUND(MAX($J2260*1.4*1.5*1.6*1.6*2.2*2.715*2.6*1.4,6020000000*(1.651178^(MIN($E2260,123)-117)))*1,0))</f>
        <v>24202691</v>
      </c>
      <c r="AA2260" s="13">
        <f>$E2260+19</f>
        <v>125</v>
      </c>
      <c r="AB2260" s="14">
        <f>IF($J2260=0,0,ROUND(MAX($J2260*1.4*1.5*1.6*1.6*2.2*2.715*2.6*1.4*1.4,8430000000*(1.651435^(MIN($E2260,123)-117)))*1,0))</f>
        <v>33833836</v>
      </c>
      <c r="AC2260" s="11">
        <f>$E2260+21</f>
        <v>127</v>
      </c>
      <c r="AD2260" s="12">
        <f>IF($J2260=0,0,ROUND(MAX($J2260*1.4*1.5*1.6*1.6*2.2*2.715*2.6*1.4*1.4*1.5,12600000000*(1.652953^(MIN($E2260,123)-117)))*1,0))</f>
        <v>50061630</v>
      </c>
      <c r="AE2260" s="13">
        <f>$E2260+24</f>
        <v>130</v>
      </c>
      <c r="AF2260" s="14">
        <f>IF($J2260=0,0,ROUND(MAX($J2260*1.4*1.5*1.6*1.6*2.2*2.715*2.6*1.4*1.4*1.5*1.5,18900000000*(1.65331^(MIN($E2260,123)-117)))*1,0))</f>
        <v>74914276</v>
      </c>
      <c r="AG2260" s="11">
        <f>$E2260+27</f>
        <v>133</v>
      </c>
      <c r="AH2260" s="12">
        <f>IF($J2260=0,0,ROUND(MAX($J2260*1.4*1.5*1.6*1.6*2.2*2.715*2.6*1.4*1.4*1.5*1.5*3.2,60500000000*(1.654288^(MIN($E2260,123)-117)))*1,0))</f>
        <v>238250083</v>
      </c>
    </row>
    <row r="2261" ht="28" customHeight="1" spans="1:34" x14ac:dyDescent="0.25">
      <c r="A2261">
        <v>2271</v>
      </c>
      <c r="B2261" t="s">
        <v>1072</v>
      </c>
      <c r="C2261" s="10" t="s">
        <v>1278</v>
      </c>
      <c r="D2261" t="s">
        <v>241</v>
      </c>
      <c r="E2261">
        <v>106</v>
      </c>
      <c r="F2261" t="s">
        <v>34</v>
      </c>
      <c r="G2261" t="s">
        <v>569</v>
      </c>
      <c r="H2261">
        <v>23</v>
      </c>
      <c r="I2261" s="11">
        <f>$E2261+0</f>
        <v>106</v>
      </c>
      <c r="J2261" s="12">
        <v>31600</v>
      </c>
      <c r="K2261" s="13">
        <f>$E2261+1</f>
        <v>107</v>
      </c>
      <c r="L2261" s="14">
        <f>IF($J2261=0,0,ROUND(MAX($J2261*1.4,1620000*(1.497923^(MIN($E2261,123)-117)))*1,0))</f>
        <v>44240</v>
      </c>
      <c r="M2261" s="11">
        <f>$E2261+2</f>
        <v>108</v>
      </c>
      <c r="N2261" s="12">
        <f>IF($J2261=0,0,ROUND(MAX($J2261*1.4*1.5,2190000*(1.580994^(MIN($E2261,123)-117)))*1,0))</f>
        <v>66360</v>
      </c>
      <c r="O2261" s="13">
        <f>$E2261+4</f>
        <v>110</v>
      </c>
      <c r="P2261" s="14">
        <f>IF($J2261=0,0,ROUND(MAX($J2261*1.4*1.5*1.6,3500000*(1.57975^(MIN($E2261,123)-117)))*1,0))</f>
        <v>106176</v>
      </c>
      <c r="Q2261" s="11">
        <f>$E2261+6</f>
        <v>112</v>
      </c>
      <c r="R2261" s="12">
        <f>IF($J2261=0,0,ROUND(MAX($J2261*1.4*1.5*1.6*1.6,13100000*(1.429962^(MIN($E2261,123)-117)))*1,0))</f>
        <v>256272</v>
      </c>
      <c r="S2261" s="13">
        <f>$E2261+8</f>
        <v>114</v>
      </c>
      <c r="T2261" s="14">
        <f>IF($J2261=0,0,ROUND(MAX($J2261*1.4*1.5*1.6*1.6*2.2,42600000*(1.576904^(MIN($E2261,123)-117)))*1,0))</f>
        <v>373740</v>
      </c>
      <c r="U2261" s="11">
        <f>$E2261+11</f>
        <v>117</v>
      </c>
      <c r="V2261" s="12">
        <f>IF($J2261=0,0,ROUND(MAX($J2261*1.4*1.5*1.6*1.6*2.2*2.715,354000000*(1.642074^(MIN($E2261,123)-117)))*1,0))</f>
        <v>1512458</v>
      </c>
      <c r="W2261" s="13">
        <f>$E2261+15</f>
        <v>121</v>
      </c>
      <c r="X2261" s="14">
        <f>IF($J2261=0,0,ROUND(MAX($J2261*1.4*1.5*1.6*1.6*2.2*2.715*2.6,3540000000*(1.579646^(MIN($E2261,123)-117)))*1,0))</f>
        <v>23165718</v>
      </c>
      <c r="Y2261" s="11">
        <f>$E2261+17</f>
        <v>123</v>
      </c>
      <c r="Z2261" s="12">
        <f>IF($J2261=0,0,ROUND(MAX($J2261*1.4*1.5*1.6*1.6*2.2*2.715*2.6*1.4,6020000000*(1.651178^(MIN($E2261,123)-117)))*1,0))</f>
        <v>24202691</v>
      </c>
      <c r="AA2261" s="13">
        <f>$E2261+19</f>
        <v>125</v>
      </c>
      <c r="AB2261" s="14">
        <f>IF($J2261=0,0,ROUND(MAX($J2261*1.4*1.5*1.6*1.6*2.2*2.715*2.6*1.4*1.4,8430000000*(1.651435^(MIN($E2261,123)-117)))*1,0))</f>
        <v>33833836</v>
      </c>
      <c r="AC2261" s="11">
        <f>$E2261+21</f>
        <v>127</v>
      </c>
      <c r="AD2261" s="12">
        <f>IF($J2261=0,0,ROUND(MAX($J2261*1.4*1.5*1.6*1.6*2.2*2.715*2.6*1.4*1.4*1.5,12600000000*(1.652953^(MIN($E2261,123)-117)))*1,0))</f>
        <v>50061630</v>
      </c>
      <c r="AE2261" s="13">
        <f>$E2261+24</f>
        <v>130</v>
      </c>
      <c r="AF2261" s="14">
        <f>IF($J2261=0,0,ROUND(MAX($J2261*1.4*1.5*1.6*1.6*2.2*2.715*2.6*1.4*1.4*1.5*1.5,18900000000*(1.65331^(MIN($E2261,123)-117)))*1,0))</f>
        <v>74914276</v>
      </c>
      <c r="AG2261" s="11">
        <f>$E2261+27</f>
        <v>133</v>
      </c>
      <c r="AH2261" s="12">
        <f>IF($J2261=0,0,ROUND(MAX($J2261*1.4*1.5*1.6*1.6*2.2*2.715*2.6*1.4*1.4*1.5*1.5*3.2,60500000000*(1.654288^(MIN($E2261,123)-117)))*1,0))</f>
        <v>238250083</v>
      </c>
    </row>
    <row r="2262" ht="28" customHeight="1" spans="1:34" x14ac:dyDescent="0.25">
      <c r="A2262">
        <v>2272</v>
      </c>
      <c r="B2262" t="s">
        <v>707</v>
      </c>
      <c r="C2262" s="10" t="s">
        <v>1278</v>
      </c>
      <c r="D2262" t="s">
        <v>102</v>
      </c>
      <c r="E2262">
        <v>106</v>
      </c>
      <c r="F2262" t="s">
        <v>30</v>
      </c>
      <c r="G2262" t="s">
        <v>472</v>
      </c>
      <c r="H2262">
        <v>23</v>
      </c>
      <c r="I2262" s="11">
        <f>$E2262+0</f>
        <v>106</v>
      </c>
      <c r="J2262" s="12">
        <v>37300</v>
      </c>
      <c r="K2262" s="13">
        <f>$E2262+1</f>
        <v>107</v>
      </c>
      <c r="L2262" s="14">
        <f>IF($J2262=0,0,ROUND(MAX($J2262*1.4,1620000*(1.497923^(MIN($E2262,123)-117)))*1,0))</f>
        <v>52220</v>
      </c>
      <c r="M2262" s="11">
        <f>$E2262+2</f>
        <v>108</v>
      </c>
      <c r="N2262" s="12">
        <f>IF($J2262=0,0,ROUND(MAX($J2262*1.4*1.5,2190000*(1.580994^(MIN($E2262,123)-117)))*1,0))</f>
        <v>78330</v>
      </c>
      <c r="O2262" s="13">
        <f>$E2262+4</f>
        <v>110</v>
      </c>
      <c r="P2262" s="14">
        <f>IF($J2262=0,0,ROUND(MAX($J2262*1.4*1.5*1.6,3500000*(1.57975^(MIN($E2262,123)-117)))*1,0))</f>
        <v>125328</v>
      </c>
      <c r="Q2262" s="11">
        <f>$E2262+6</f>
        <v>112</v>
      </c>
      <c r="R2262" s="12">
        <f>IF($J2262=0,0,ROUND(MAX($J2262*1.4*1.5*1.6*1.6,13100000*(1.429962^(MIN($E2262,123)-117)))*1,0))</f>
        <v>256272</v>
      </c>
      <c r="S2262" s="13">
        <f>$E2262+8</f>
        <v>114</v>
      </c>
      <c r="T2262" s="14">
        <f>IF($J2262=0,0,ROUND(MAX($J2262*1.4*1.5*1.6*1.6*2.2,42600000*(1.576904^(MIN($E2262,123)-117)))*1,0))</f>
        <v>441155</v>
      </c>
      <c r="U2262" s="11">
        <f>$E2262+11</f>
        <v>117</v>
      </c>
      <c r="V2262" s="12">
        <f>IF($J2262=0,0,ROUND(MAX($J2262*1.4*1.5*1.6*1.6*2.2*2.715,354000000*(1.642074^(MIN($E2262,123)-117)))*1,0))</f>
        <v>1512458</v>
      </c>
      <c r="W2262" s="13">
        <f>$E2262+15</f>
        <v>121</v>
      </c>
      <c r="X2262" s="14">
        <f>IF($J2262=0,0,ROUND(MAX($J2262*1.4*1.5*1.6*1.6*2.2*2.715*2.6,3540000000*(1.579646^(MIN($E2262,123)-117)))*1,0))</f>
        <v>23165718</v>
      </c>
      <c r="Y2262" s="11">
        <f>$E2262+17</f>
        <v>123</v>
      </c>
      <c r="Z2262" s="12">
        <f>IF($J2262=0,0,ROUND(MAX($J2262*1.4*1.5*1.6*1.6*2.2*2.715*2.6*1.4,6020000000*(1.651178^(MIN($E2262,123)-117)))*1,0))</f>
        <v>24202691</v>
      </c>
      <c r="AA2262" s="13">
        <f>$E2262+19</f>
        <v>125</v>
      </c>
      <c r="AB2262" s="14">
        <f>IF($J2262=0,0,ROUND(MAX($J2262*1.4*1.5*1.6*1.6*2.2*2.715*2.6*1.4*1.4,8430000000*(1.651435^(MIN($E2262,123)-117)))*1,0))</f>
        <v>33833836</v>
      </c>
      <c r="AC2262" s="11">
        <f>$E2262+21</f>
        <v>127</v>
      </c>
      <c r="AD2262" s="12">
        <f>IF($J2262=0,0,ROUND(MAX($J2262*1.4*1.5*1.6*1.6*2.2*2.715*2.6*1.4*1.4*1.5,12600000000*(1.652953^(MIN($E2262,123)-117)))*1,0))</f>
        <v>50061630</v>
      </c>
      <c r="AE2262" s="13">
        <f>$E2262+24</f>
        <v>130</v>
      </c>
      <c r="AF2262" s="14">
        <f>IF($J2262=0,0,ROUND(MAX($J2262*1.4*1.5*1.6*1.6*2.2*2.715*2.6*1.4*1.4*1.5*1.5,18900000000*(1.65331^(MIN($E2262,123)-117)))*1,0))</f>
        <v>74914276</v>
      </c>
      <c r="AG2262" s="11">
        <f>$E2262+27</f>
        <v>133</v>
      </c>
      <c r="AH2262" s="12">
        <f>IF($J2262=0,0,ROUND(MAX($J2262*1.4*1.5*1.6*1.6*2.2*2.715*2.6*1.4*1.4*1.5*1.5*3.2,60500000000*(1.654288^(MIN($E2262,123)-117)))*1,0))</f>
        <v>238250083</v>
      </c>
    </row>
    <row r="2263" ht="28" customHeight="1" spans="1:34" x14ac:dyDescent="0.25">
      <c r="A2263">
        <v>2273</v>
      </c>
      <c r="B2263" t="s">
        <v>955</v>
      </c>
      <c r="C2263" s="10" t="s">
        <v>1278</v>
      </c>
      <c r="D2263" t="s">
        <v>102</v>
      </c>
      <c r="E2263">
        <v>106</v>
      </c>
      <c r="F2263" t="s">
        <v>71</v>
      </c>
      <c r="G2263" t="s">
        <v>956</v>
      </c>
      <c r="H2263">
        <v>23</v>
      </c>
      <c r="I2263" s="11">
        <f>$E2263+0</f>
        <v>106</v>
      </c>
      <c r="J2263" s="12">
        <v>44400</v>
      </c>
      <c r="K2263" s="13">
        <f>$E2263+1</f>
        <v>107</v>
      </c>
      <c r="L2263" s="14">
        <f>IF($J2263=0,0,ROUND(MAX($J2263*1.4,1620000*(1.497923^(MIN($E2263,123)-117)))*1,0))</f>
        <v>62160</v>
      </c>
      <c r="M2263" s="11">
        <f>$E2263+2</f>
        <v>108</v>
      </c>
      <c r="N2263" s="12">
        <f>IF($J2263=0,0,ROUND(MAX($J2263*1.4*1.5,2190000*(1.580994^(MIN($E2263,123)-117)))*1,0))</f>
        <v>93240</v>
      </c>
      <c r="O2263" s="13">
        <f>$E2263+4</f>
        <v>110</v>
      </c>
      <c r="P2263" s="14">
        <f>IF($J2263=0,0,ROUND(MAX($J2263*1.4*1.5*1.6,3500000*(1.57975^(MIN($E2263,123)-117)))*1,0))</f>
        <v>149184</v>
      </c>
      <c r="Q2263" s="11">
        <f>$E2263+6</f>
        <v>112</v>
      </c>
      <c r="R2263" s="12">
        <f>IF($J2263=0,0,ROUND(MAX($J2263*1.4*1.5*1.6*1.6,13100000*(1.429962^(MIN($E2263,123)-117)))*1,0))</f>
        <v>256272</v>
      </c>
      <c r="S2263" s="13">
        <f>$E2263+8</f>
        <v>114</v>
      </c>
      <c r="T2263" s="14">
        <f>IF($J2263=0,0,ROUND(MAX($J2263*1.4*1.5*1.6*1.6*2.2,42600000*(1.576904^(MIN($E2263,123)-117)))*1,0))</f>
        <v>525128</v>
      </c>
      <c r="U2263" s="11">
        <f>$E2263+11</f>
        <v>117</v>
      </c>
      <c r="V2263" s="12">
        <f>IF($J2263=0,0,ROUND(MAX($J2263*1.4*1.5*1.6*1.6*2.2*2.715,354000000*(1.642074^(MIN($E2263,123)-117)))*1,0))</f>
        <v>1512458</v>
      </c>
      <c r="W2263" s="13">
        <f>$E2263+15</f>
        <v>121</v>
      </c>
      <c r="X2263" s="14">
        <f>IF($J2263=0,0,ROUND(MAX($J2263*1.4*1.5*1.6*1.6*2.2*2.715*2.6,3540000000*(1.579646^(MIN($E2263,123)-117)))*1,0))</f>
        <v>23165718</v>
      </c>
      <c r="Y2263" s="11">
        <f>$E2263+17</f>
        <v>123</v>
      </c>
      <c r="Z2263" s="12">
        <f>IF($J2263=0,0,ROUND(MAX($J2263*1.4*1.5*1.6*1.6*2.2*2.715*2.6*1.4,6020000000*(1.651178^(MIN($E2263,123)-117)))*1,0))</f>
        <v>24202691</v>
      </c>
      <c r="AA2263" s="13">
        <f>$E2263+19</f>
        <v>125</v>
      </c>
      <c r="AB2263" s="14">
        <f>IF($J2263=0,0,ROUND(MAX($J2263*1.4*1.5*1.6*1.6*2.2*2.715*2.6*1.4*1.4,8430000000*(1.651435^(MIN($E2263,123)-117)))*1,0))</f>
        <v>33833836</v>
      </c>
      <c r="AC2263" s="11">
        <f>$E2263+21</f>
        <v>127</v>
      </c>
      <c r="AD2263" s="12">
        <f>IF($J2263=0,0,ROUND(MAX($J2263*1.4*1.5*1.6*1.6*2.2*2.715*2.6*1.4*1.4*1.5,12600000000*(1.652953^(MIN($E2263,123)-117)))*1,0))</f>
        <v>50061630</v>
      </c>
      <c r="AE2263" s="13">
        <f>$E2263+24</f>
        <v>130</v>
      </c>
      <c r="AF2263" s="14">
        <f>IF($J2263=0,0,ROUND(MAX($J2263*1.4*1.5*1.6*1.6*2.2*2.715*2.6*1.4*1.4*1.5*1.5,18900000000*(1.65331^(MIN($E2263,123)-117)))*1,0))</f>
        <v>74914276</v>
      </c>
      <c r="AG2263" s="11">
        <f>$E2263+27</f>
        <v>133</v>
      </c>
      <c r="AH2263" s="12">
        <f>IF($J2263=0,0,ROUND(MAX($J2263*1.4*1.5*1.6*1.6*2.2*2.715*2.6*1.4*1.4*1.5*1.5*3.2,60500000000*(1.654288^(MIN($E2263,123)-117)))*1,0))</f>
        <v>238250083</v>
      </c>
    </row>
    <row r="2264" ht="28" customHeight="1" spans="1:34" x14ac:dyDescent="0.25">
      <c r="A2264">
        <v>2274</v>
      </c>
      <c r="B2264" t="s">
        <v>968</v>
      </c>
      <c r="C2264" s="10" t="s">
        <v>1278</v>
      </c>
      <c r="D2264" t="s">
        <v>25</v>
      </c>
      <c r="E2264">
        <v>106</v>
      </c>
      <c r="F2264" t="s">
        <v>71</v>
      </c>
      <c r="G2264" t="s">
        <v>956</v>
      </c>
      <c r="H2264">
        <v>23</v>
      </c>
      <c r="I2264" s="11">
        <f>$E2264+0</f>
        <v>106</v>
      </c>
      <c r="J2264" s="12">
        <v>38800</v>
      </c>
      <c r="K2264" s="13">
        <f>$E2264+1</f>
        <v>107</v>
      </c>
      <c r="L2264" s="14">
        <f>IF($J2264=0,0,ROUND(MAX($J2264*1.4,1620000*(1.497923^(MIN($E2264,123)-117)))*1,0))</f>
        <v>54320</v>
      </c>
      <c r="M2264" s="11">
        <f>$E2264+2</f>
        <v>108</v>
      </c>
      <c r="N2264" s="12">
        <f>IF($J2264=0,0,ROUND(MAX($J2264*1.4*1.5,2190000*(1.580994^(MIN($E2264,123)-117)))*1,0))</f>
        <v>81480</v>
      </c>
      <c r="O2264" s="13">
        <f>$E2264+4</f>
        <v>110</v>
      </c>
      <c r="P2264" s="14">
        <f>IF($J2264=0,0,ROUND(MAX($J2264*1.4*1.5*1.6,3500000*(1.57975^(MIN($E2264,123)-117)))*1,0))</f>
        <v>130368</v>
      </c>
      <c r="Q2264" s="11">
        <f>$E2264+6</f>
        <v>112</v>
      </c>
      <c r="R2264" s="12">
        <f>IF($J2264=0,0,ROUND(MAX($J2264*1.4*1.5*1.6*1.6,13100000*(1.429962^(MIN($E2264,123)-117)))*1,0))</f>
        <v>256272</v>
      </c>
      <c r="S2264" s="13">
        <f>$E2264+8</f>
        <v>114</v>
      </c>
      <c r="T2264" s="14">
        <f>IF($J2264=0,0,ROUND(MAX($J2264*1.4*1.5*1.6*1.6*2.2,42600000*(1.576904^(MIN($E2264,123)-117)))*1,0))</f>
        <v>458895</v>
      </c>
      <c r="U2264" s="11">
        <f>$E2264+11</f>
        <v>117</v>
      </c>
      <c r="V2264" s="12">
        <f>IF($J2264=0,0,ROUND(MAX($J2264*1.4*1.5*1.6*1.6*2.2*2.715,354000000*(1.642074^(MIN($E2264,123)-117)))*1,0))</f>
        <v>1512458</v>
      </c>
      <c r="W2264" s="13">
        <f>$E2264+15</f>
        <v>121</v>
      </c>
      <c r="X2264" s="14">
        <f>IF($J2264=0,0,ROUND(MAX($J2264*1.4*1.5*1.6*1.6*2.2*2.715*2.6,3540000000*(1.579646^(MIN($E2264,123)-117)))*1,0))</f>
        <v>23165718</v>
      </c>
      <c r="Y2264" s="11">
        <f>$E2264+17</f>
        <v>123</v>
      </c>
      <c r="Z2264" s="12">
        <f>IF($J2264=0,0,ROUND(MAX($J2264*1.4*1.5*1.6*1.6*2.2*2.715*2.6*1.4,6020000000*(1.651178^(MIN($E2264,123)-117)))*1,0))</f>
        <v>24202691</v>
      </c>
      <c r="AA2264" s="13">
        <f>$E2264+19</f>
        <v>125</v>
      </c>
      <c r="AB2264" s="14">
        <f>IF($J2264=0,0,ROUND(MAX($J2264*1.4*1.5*1.6*1.6*2.2*2.715*2.6*1.4*1.4,8430000000*(1.651435^(MIN($E2264,123)-117)))*1,0))</f>
        <v>33833836</v>
      </c>
      <c r="AC2264" s="11">
        <f>$E2264+21</f>
        <v>127</v>
      </c>
      <c r="AD2264" s="12">
        <f>IF($J2264=0,0,ROUND(MAX($J2264*1.4*1.5*1.6*1.6*2.2*2.715*2.6*1.4*1.4*1.5,12600000000*(1.652953^(MIN($E2264,123)-117)))*1,0))</f>
        <v>50061630</v>
      </c>
      <c r="AE2264" s="13">
        <f>$E2264+24</f>
        <v>130</v>
      </c>
      <c r="AF2264" s="14">
        <f>IF($J2264=0,0,ROUND(MAX($J2264*1.4*1.5*1.6*1.6*2.2*2.715*2.6*1.4*1.4*1.5*1.5,18900000000*(1.65331^(MIN($E2264,123)-117)))*1,0))</f>
        <v>74914276</v>
      </c>
      <c r="AG2264" s="11">
        <f>$E2264+27</f>
        <v>133</v>
      </c>
      <c r="AH2264" s="12">
        <f>IF($J2264=0,0,ROUND(MAX($J2264*1.4*1.5*1.6*1.6*2.2*2.715*2.6*1.4*1.4*1.5*1.5*3.2,60500000000*(1.654288^(MIN($E2264,123)-117)))*1,0))</f>
        <v>238250083</v>
      </c>
    </row>
    <row r="2265" ht="28" customHeight="1" spans="1:34" x14ac:dyDescent="0.25">
      <c r="A2265">
        <v>2275</v>
      </c>
      <c r="B2265" t="s">
        <v>1380</v>
      </c>
      <c r="C2265" s="10" t="s">
        <v>1278</v>
      </c>
      <c r="D2265" t="s">
        <v>45</v>
      </c>
      <c r="E2265">
        <v>106</v>
      </c>
      <c r="F2265" t="s">
        <v>71</v>
      </c>
      <c r="G2265" t="s">
        <v>1299</v>
      </c>
      <c r="H2265">
        <v>23</v>
      </c>
      <c r="I2265" s="11">
        <f>$E2265+0</f>
        <v>106</v>
      </c>
      <c r="J2265" s="12">
        <v>33700</v>
      </c>
      <c r="K2265" s="13">
        <f>$E2265+1</f>
        <v>107</v>
      </c>
      <c r="L2265" s="14">
        <f>IF($J2265=0,0,ROUND(MAX($J2265*1.4,1620000*(1.497923^(MIN($E2265,123)-117)))*1,0))</f>
        <v>47180</v>
      </c>
      <c r="M2265" s="11">
        <f>$E2265+2</f>
        <v>108</v>
      </c>
      <c r="N2265" s="12">
        <f>IF($J2265=0,0,ROUND(MAX($J2265*1.4*1.5,2190000*(1.580994^(MIN($E2265,123)-117)))*1,0))</f>
        <v>70770</v>
      </c>
      <c r="O2265" s="13">
        <f>$E2265+4</f>
        <v>110</v>
      </c>
      <c r="P2265" s="14">
        <f>IF($J2265=0,0,ROUND(MAX($J2265*1.4*1.5*1.6,3500000*(1.57975^(MIN($E2265,123)-117)))*1,0))</f>
        <v>113232</v>
      </c>
      <c r="Q2265" s="11">
        <f>$E2265+6</f>
        <v>112</v>
      </c>
      <c r="R2265" s="12">
        <f>IF($J2265=0,0,ROUND(MAX($J2265*1.4*1.5*1.6*1.6,13100000*(1.429962^(MIN($E2265,123)-117)))*1,0))</f>
        <v>256272</v>
      </c>
      <c r="S2265" s="13">
        <f>$E2265+8</f>
        <v>114</v>
      </c>
      <c r="T2265" s="14">
        <f>IF($J2265=0,0,ROUND(MAX($J2265*1.4*1.5*1.6*1.6*2.2,42600000*(1.576904^(MIN($E2265,123)-117)))*1,0))</f>
        <v>398577</v>
      </c>
      <c r="U2265" s="11">
        <f>$E2265+11</f>
        <v>117</v>
      </c>
      <c r="V2265" s="12">
        <f>IF($J2265=0,0,ROUND(MAX($J2265*1.4*1.5*1.6*1.6*2.2*2.715,354000000*(1.642074^(MIN($E2265,123)-117)))*1,0))</f>
        <v>1512458</v>
      </c>
      <c r="W2265" s="13">
        <f>$E2265+15</f>
        <v>121</v>
      </c>
      <c r="X2265" s="14">
        <f>IF($J2265=0,0,ROUND(MAX($J2265*1.4*1.5*1.6*1.6*2.2*2.715*2.6,3540000000*(1.579646^(MIN($E2265,123)-117)))*1,0))</f>
        <v>23165718</v>
      </c>
      <c r="Y2265" s="11">
        <f>$E2265+17</f>
        <v>123</v>
      </c>
      <c r="Z2265" s="12">
        <f>IF($J2265=0,0,ROUND(MAX($J2265*1.4*1.5*1.6*1.6*2.2*2.715*2.6*1.4,6020000000*(1.651178^(MIN($E2265,123)-117)))*1,0))</f>
        <v>24202691</v>
      </c>
      <c r="AA2265" s="13">
        <f>$E2265+19</f>
        <v>125</v>
      </c>
      <c r="AB2265" s="14">
        <f>IF($J2265=0,0,ROUND(MAX($J2265*1.4*1.5*1.6*1.6*2.2*2.715*2.6*1.4*1.4,8430000000*(1.651435^(MIN($E2265,123)-117)))*1,0))</f>
        <v>33833836</v>
      </c>
      <c r="AC2265" s="11">
        <f>$E2265+21</f>
        <v>127</v>
      </c>
      <c r="AD2265" s="12">
        <f>IF($J2265=0,0,ROUND(MAX($J2265*1.4*1.5*1.6*1.6*2.2*2.715*2.6*1.4*1.4*1.5,12600000000*(1.652953^(MIN($E2265,123)-117)))*1,0))</f>
        <v>50061630</v>
      </c>
      <c r="AE2265" s="13">
        <f>$E2265+24</f>
        <v>130</v>
      </c>
      <c r="AF2265" s="14">
        <f>IF($J2265=0,0,ROUND(MAX($J2265*1.4*1.5*1.6*1.6*2.2*2.715*2.6*1.4*1.4*1.5*1.5,18900000000*(1.65331^(MIN($E2265,123)-117)))*1,0))</f>
        <v>74914276</v>
      </c>
      <c r="AG2265" s="11">
        <f>$E2265+27</f>
        <v>133</v>
      </c>
      <c r="AH2265" s="12">
        <f>IF($J2265=0,0,ROUND(MAX($J2265*1.4*1.5*1.6*1.6*2.2*2.715*2.6*1.4*1.4*1.5*1.5*3.2,60500000000*(1.654288^(MIN($E2265,123)-117)))*1,0))</f>
        <v>238250083</v>
      </c>
    </row>
    <row r="2266" ht="28" customHeight="1" spans="1:34" x14ac:dyDescent="0.25">
      <c r="A2266">
        <v>2276</v>
      </c>
      <c r="B2266" t="s">
        <v>1381</v>
      </c>
      <c r="C2266" s="10" t="s">
        <v>1278</v>
      </c>
      <c r="D2266" t="s">
        <v>45</v>
      </c>
      <c r="E2266">
        <v>106</v>
      </c>
      <c r="F2266" t="s">
        <v>194</v>
      </c>
      <c r="G2266" t="s">
        <v>1382</v>
      </c>
      <c r="H2266">
        <v>23</v>
      </c>
      <c r="I2266" s="11">
        <f>$E2266+0</f>
        <v>106</v>
      </c>
      <c r="J2266" s="12">
        <v>38800</v>
      </c>
      <c r="K2266" s="13">
        <f>$E2266+1</f>
        <v>107</v>
      </c>
      <c r="L2266" s="14">
        <f>IF($J2266=0,0,ROUND(MAX($J2266*1.4,1620000*(1.497923^(MIN($E2266,123)-117)))*1,0))</f>
        <v>54320</v>
      </c>
      <c r="M2266" s="11">
        <f>$E2266+2</f>
        <v>108</v>
      </c>
      <c r="N2266" s="12">
        <f>IF($J2266=0,0,ROUND(MAX($J2266*1.4*1.5,2190000*(1.580994^(MIN($E2266,123)-117)))*1,0))</f>
        <v>81480</v>
      </c>
      <c r="O2266" s="13">
        <f>$E2266+4</f>
        <v>110</v>
      </c>
      <c r="P2266" s="14">
        <f>IF($J2266=0,0,ROUND(MAX($J2266*1.4*1.5*1.6,3500000*(1.57975^(MIN($E2266,123)-117)))*1,0))</f>
        <v>130368</v>
      </c>
      <c r="Q2266" s="11">
        <f>$E2266+6</f>
        <v>112</v>
      </c>
      <c r="R2266" s="12">
        <f>IF($J2266=0,0,ROUND(MAX($J2266*1.4*1.5*1.6*1.6,13100000*(1.429962^(MIN($E2266,123)-117)))*1,0))</f>
        <v>256272</v>
      </c>
      <c r="S2266" s="13">
        <f>$E2266+8</f>
        <v>114</v>
      </c>
      <c r="T2266" s="14">
        <f>IF($J2266=0,0,ROUND(MAX($J2266*1.4*1.5*1.6*1.6*2.2,42600000*(1.576904^(MIN($E2266,123)-117)))*1,0))</f>
        <v>458895</v>
      </c>
      <c r="U2266" s="11">
        <f>$E2266+11</f>
        <v>117</v>
      </c>
      <c r="V2266" s="12">
        <f>IF($J2266=0,0,ROUND(MAX($J2266*1.4*1.5*1.6*1.6*2.2*2.715,354000000*(1.642074^(MIN($E2266,123)-117)))*1,0))</f>
        <v>1512458</v>
      </c>
      <c r="W2266" s="13">
        <f>$E2266+15</f>
        <v>121</v>
      </c>
      <c r="X2266" s="14">
        <f>IF($J2266=0,0,ROUND(MAX($J2266*1.4*1.5*1.6*1.6*2.2*2.715*2.6,3540000000*(1.579646^(MIN($E2266,123)-117)))*1,0))</f>
        <v>23165718</v>
      </c>
      <c r="Y2266" s="11">
        <f>$E2266+17</f>
        <v>123</v>
      </c>
      <c r="Z2266" s="12">
        <f>IF($J2266=0,0,ROUND(MAX($J2266*1.4*1.5*1.6*1.6*2.2*2.715*2.6*1.4,6020000000*(1.651178^(MIN($E2266,123)-117)))*1,0))</f>
        <v>24202691</v>
      </c>
      <c r="AA2266" s="13">
        <f>$E2266+19</f>
        <v>125</v>
      </c>
      <c r="AB2266" s="14">
        <f>IF($J2266=0,0,ROUND(MAX($J2266*1.4*1.5*1.6*1.6*2.2*2.715*2.6*1.4*1.4,8430000000*(1.651435^(MIN($E2266,123)-117)))*1,0))</f>
        <v>33833836</v>
      </c>
      <c r="AC2266" s="11">
        <f>$E2266+21</f>
        <v>127</v>
      </c>
      <c r="AD2266" s="12">
        <f>IF($J2266=0,0,ROUND(MAX($J2266*1.4*1.5*1.6*1.6*2.2*2.715*2.6*1.4*1.4*1.5,12600000000*(1.652953^(MIN($E2266,123)-117)))*1,0))</f>
        <v>50061630</v>
      </c>
      <c r="AE2266" s="13">
        <f>$E2266+24</f>
        <v>130</v>
      </c>
      <c r="AF2266" s="14">
        <f>IF($J2266=0,0,ROUND(MAX($J2266*1.4*1.5*1.6*1.6*2.2*2.715*2.6*1.4*1.4*1.5*1.5,18900000000*(1.65331^(MIN($E2266,123)-117)))*1,0))</f>
        <v>74914276</v>
      </c>
      <c r="AG2266" s="11">
        <f>$E2266+27</f>
        <v>133</v>
      </c>
      <c r="AH2266" s="12">
        <f>IF($J2266=0,0,ROUND(MAX($J2266*1.4*1.5*1.6*1.6*2.2*2.715*2.6*1.4*1.4*1.5*1.5*3.2,60500000000*(1.654288^(MIN($E2266,123)-117)))*1,0))</f>
        <v>238250083</v>
      </c>
    </row>
    <row r="2267" ht="28" customHeight="1" spans="1:34" x14ac:dyDescent="0.25">
      <c r="A2267">
        <v>2277</v>
      </c>
      <c r="B2267" t="s">
        <v>899</v>
      </c>
      <c r="C2267" s="10" t="s">
        <v>1278</v>
      </c>
      <c r="D2267" t="s">
        <v>102</v>
      </c>
      <c r="E2267">
        <v>106</v>
      </c>
      <c r="F2267" t="s">
        <v>412</v>
      </c>
      <c r="G2267" t="s">
        <v>586</v>
      </c>
      <c r="H2267">
        <v>23</v>
      </c>
      <c r="I2267" s="11">
        <f>$E2267+0</f>
        <v>106</v>
      </c>
      <c r="J2267" s="12">
        <v>37500</v>
      </c>
      <c r="K2267" s="13">
        <f>$E2267+1</f>
        <v>107</v>
      </c>
      <c r="L2267" s="14">
        <f>IF($J2267=0,0,ROUND(MAX($J2267*1.4,1620000*(1.497923^(MIN($E2267,123)-117)))*1,0))</f>
        <v>52500</v>
      </c>
      <c r="M2267" s="11">
        <f>$E2267+2</f>
        <v>108</v>
      </c>
      <c r="N2267" s="12">
        <f>IF($J2267=0,0,ROUND(MAX($J2267*1.4*1.5,2190000*(1.580994^(MIN($E2267,123)-117)))*1,0))</f>
        <v>78750</v>
      </c>
      <c r="O2267" s="13">
        <f>$E2267+4</f>
        <v>110</v>
      </c>
      <c r="P2267" s="14">
        <f>IF($J2267=0,0,ROUND(MAX($J2267*1.4*1.5*1.6,3500000*(1.57975^(MIN($E2267,123)-117)))*1,0))</f>
        <v>126000</v>
      </c>
      <c r="Q2267" s="11">
        <f>$E2267+6</f>
        <v>112</v>
      </c>
      <c r="R2267" s="12">
        <f>IF($J2267=0,0,ROUND(MAX($J2267*1.4*1.5*1.6*1.6,13100000*(1.429962^(MIN($E2267,123)-117)))*1,0))</f>
        <v>256272</v>
      </c>
      <c r="S2267" s="13">
        <f>$E2267+8</f>
        <v>114</v>
      </c>
      <c r="T2267" s="14">
        <f>IF($J2267=0,0,ROUND(MAX($J2267*1.4*1.5*1.6*1.6*2.2,42600000*(1.576904^(MIN($E2267,123)-117)))*1,0))</f>
        <v>443520</v>
      </c>
      <c r="U2267" s="11">
        <f>$E2267+11</f>
        <v>117</v>
      </c>
      <c r="V2267" s="12">
        <f>IF($J2267=0,0,ROUND(MAX($J2267*1.4*1.5*1.6*1.6*2.2*2.715,354000000*(1.642074^(MIN($E2267,123)-117)))*1,0))</f>
        <v>1512458</v>
      </c>
      <c r="W2267" s="13">
        <f>$E2267+15</f>
        <v>121</v>
      </c>
      <c r="X2267" s="14">
        <f>IF($J2267=0,0,ROUND(MAX($J2267*1.4*1.5*1.6*1.6*2.2*2.715*2.6,3540000000*(1.579646^(MIN($E2267,123)-117)))*1,0))</f>
        <v>23165718</v>
      </c>
      <c r="Y2267" s="11">
        <f>$E2267+17</f>
        <v>123</v>
      </c>
      <c r="Z2267" s="12">
        <f>IF($J2267=0,0,ROUND(MAX($J2267*1.4*1.5*1.6*1.6*2.2*2.715*2.6*1.4,6020000000*(1.651178^(MIN($E2267,123)-117)))*1,0))</f>
        <v>24202691</v>
      </c>
      <c r="AA2267" s="13">
        <f>$E2267+19</f>
        <v>125</v>
      </c>
      <c r="AB2267" s="14">
        <f>IF($J2267=0,0,ROUND(MAX($J2267*1.4*1.5*1.6*1.6*2.2*2.715*2.6*1.4*1.4,8430000000*(1.651435^(MIN($E2267,123)-117)))*1,0))</f>
        <v>33833836</v>
      </c>
      <c r="AC2267" s="11">
        <f>$E2267+21</f>
        <v>127</v>
      </c>
      <c r="AD2267" s="12">
        <f>IF($J2267=0,0,ROUND(MAX($J2267*1.4*1.5*1.6*1.6*2.2*2.715*2.6*1.4*1.4*1.5,12600000000*(1.652953^(MIN($E2267,123)-117)))*1,0))</f>
        <v>50061630</v>
      </c>
      <c r="AE2267" s="13">
        <f>$E2267+24</f>
        <v>130</v>
      </c>
      <c r="AF2267" s="14">
        <f>IF($J2267=0,0,ROUND(MAX($J2267*1.4*1.5*1.6*1.6*2.2*2.715*2.6*1.4*1.4*1.5*1.5,18900000000*(1.65331^(MIN($E2267,123)-117)))*1,0))</f>
        <v>74914276</v>
      </c>
      <c r="AG2267" s="11">
        <f>$E2267+27</f>
        <v>133</v>
      </c>
      <c r="AH2267" s="12">
        <f>IF($J2267=0,0,ROUND(MAX($J2267*1.4*1.5*1.6*1.6*2.2*2.715*2.6*1.4*1.4*1.5*1.5*3.2,60500000000*(1.654288^(MIN($E2267,123)-117)))*1,0))</f>
        <v>238250083</v>
      </c>
    </row>
    <row r="2268" ht="28" customHeight="1" spans="1:34" x14ac:dyDescent="0.25">
      <c r="A2268">
        <v>2278</v>
      </c>
      <c r="B2268" t="s">
        <v>674</v>
      </c>
      <c r="C2268" s="10" t="s">
        <v>1278</v>
      </c>
      <c r="D2268" t="s">
        <v>25</v>
      </c>
      <c r="E2268">
        <v>106</v>
      </c>
      <c r="F2268" t="s">
        <v>34</v>
      </c>
      <c r="G2268" t="s">
        <v>1284</v>
      </c>
      <c r="H2268">
        <v>23</v>
      </c>
      <c r="I2268" s="11">
        <f>$E2268+0</f>
        <v>106</v>
      </c>
      <c r="J2268" s="12">
        <v>35200</v>
      </c>
      <c r="K2268" s="13">
        <f>$E2268+1</f>
        <v>107</v>
      </c>
      <c r="L2268" s="14">
        <f>IF($J2268=0,0,ROUND(MAX($J2268*1.4,1620000*(1.497923^(MIN($E2268,123)-117)))*1,0))</f>
        <v>49280</v>
      </c>
      <c r="M2268" s="11">
        <f>$E2268+2</f>
        <v>108</v>
      </c>
      <c r="N2268" s="12">
        <f>IF($J2268=0,0,ROUND(MAX($J2268*1.4*1.5,2190000*(1.580994^(MIN($E2268,123)-117)))*1,0))</f>
        <v>73920</v>
      </c>
      <c r="O2268" s="13">
        <f>$E2268+4</f>
        <v>110</v>
      </c>
      <c r="P2268" s="14">
        <f>IF($J2268=0,0,ROUND(MAX($J2268*1.4*1.5*1.6,3500000*(1.57975^(MIN($E2268,123)-117)))*1,0))</f>
        <v>118272</v>
      </c>
      <c r="Q2268" s="11">
        <f>$E2268+6</f>
        <v>112</v>
      </c>
      <c r="R2268" s="12">
        <f>IF($J2268=0,0,ROUND(MAX($J2268*1.4*1.5*1.6*1.6,13100000*(1.429962^(MIN($E2268,123)-117)))*1,0))</f>
        <v>256272</v>
      </c>
      <c r="S2268" s="13">
        <f>$E2268+8</f>
        <v>114</v>
      </c>
      <c r="T2268" s="14">
        <f>IF($J2268=0,0,ROUND(MAX($J2268*1.4*1.5*1.6*1.6*2.2,42600000*(1.576904^(MIN($E2268,123)-117)))*1,0))</f>
        <v>416317</v>
      </c>
      <c r="U2268" s="11">
        <f>$E2268+11</f>
        <v>117</v>
      </c>
      <c r="V2268" s="12">
        <f>IF($J2268=0,0,ROUND(MAX($J2268*1.4*1.5*1.6*1.6*2.2*2.715,354000000*(1.642074^(MIN($E2268,123)-117)))*1,0))</f>
        <v>1512458</v>
      </c>
      <c r="W2268" s="13">
        <f>$E2268+15</f>
        <v>121</v>
      </c>
      <c r="X2268" s="14">
        <f>IF($J2268=0,0,ROUND(MAX($J2268*1.4*1.5*1.6*1.6*2.2*2.715*2.6,3540000000*(1.579646^(MIN($E2268,123)-117)))*1,0))</f>
        <v>23165718</v>
      </c>
      <c r="Y2268" s="11">
        <f>$E2268+17</f>
        <v>123</v>
      </c>
      <c r="Z2268" s="12">
        <f>IF($J2268=0,0,ROUND(MAX($J2268*1.4*1.5*1.6*1.6*2.2*2.715*2.6*1.4,6020000000*(1.651178^(MIN($E2268,123)-117)))*1,0))</f>
        <v>24202691</v>
      </c>
      <c r="AA2268" s="13">
        <f>$E2268+19</f>
        <v>125</v>
      </c>
      <c r="AB2268" s="14">
        <f>IF($J2268=0,0,ROUND(MAX($J2268*1.4*1.5*1.6*1.6*2.2*2.715*2.6*1.4*1.4,8430000000*(1.651435^(MIN($E2268,123)-117)))*1,0))</f>
        <v>33833836</v>
      </c>
      <c r="AC2268" s="11">
        <f>$E2268+21</f>
        <v>127</v>
      </c>
      <c r="AD2268" s="12">
        <f>IF($J2268=0,0,ROUND(MAX($J2268*1.4*1.5*1.6*1.6*2.2*2.715*2.6*1.4*1.4*1.5,12600000000*(1.652953^(MIN($E2268,123)-117)))*1,0))</f>
        <v>50061630</v>
      </c>
      <c r="AE2268" s="13">
        <f>$E2268+24</f>
        <v>130</v>
      </c>
      <c r="AF2268" s="14">
        <f>IF($J2268=0,0,ROUND(MAX($J2268*1.4*1.5*1.6*1.6*2.2*2.715*2.6*1.4*1.4*1.5*1.5,18900000000*(1.65331^(MIN($E2268,123)-117)))*1,0))</f>
        <v>74914276</v>
      </c>
      <c r="AG2268" s="11">
        <f>$E2268+27</f>
        <v>133</v>
      </c>
      <c r="AH2268" s="12">
        <f>IF($J2268=0,0,ROUND(MAX($J2268*1.4*1.5*1.6*1.6*2.2*2.715*2.6*1.4*1.4*1.5*1.5*3.2,60500000000*(1.654288^(MIN($E2268,123)-117)))*1,0))</f>
        <v>238250083</v>
      </c>
    </row>
    <row r="2269" ht="28" customHeight="1" spans="1:34" x14ac:dyDescent="0.25">
      <c r="A2269">
        <v>2279</v>
      </c>
      <c r="B2269" t="s">
        <v>1383</v>
      </c>
      <c r="C2269" s="10" t="s">
        <v>1278</v>
      </c>
      <c r="D2269" t="s">
        <v>25</v>
      </c>
      <c r="E2269">
        <v>106</v>
      </c>
      <c r="F2269" t="s">
        <v>62</v>
      </c>
      <c r="G2269" t="s">
        <v>1336</v>
      </c>
      <c r="H2269">
        <v>23</v>
      </c>
      <c r="I2269" s="11">
        <f>$E2269+0</f>
        <v>106</v>
      </c>
      <c r="J2269" s="12">
        <v>37500</v>
      </c>
      <c r="K2269" s="13">
        <f>$E2269+1</f>
        <v>107</v>
      </c>
      <c r="L2269" s="14">
        <f>IF($J2269=0,0,ROUND(MAX($J2269*1.4,1620000*(1.497923^(MIN($E2269,123)-117)))*1,0))</f>
        <v>52500</v>
      </c>
      <c r="M2269" s="11">
        <f>$E2269+2</f>
        <v>108</v>
      </c>
      <c r="N2269" s="12">
        <f>IF($J2269=0,0,ROUND(MAX($J2269*1.4*1.5,2190000*(1.580994^(MIN($E2269,123)-117)))*1,0))</f>
        <v>78750</v>
      </c>
      <c r="O2269" s="13">
        <f>$E2269+4</f>
        <v>110</v>
      </c>
      <c r="P2269" s="14">
        <f>IF($J2269=0,0,ROUND(MAX($J2269*1.4*1.5*1.6,3500000*(1.57975^(MIN($E2269,123)-117)))*1,0))</f>
        <v>126000</v>
      </c>
      <c r="Q2269" s="11">
        <f>$E2269+6</f>
        <v>112</v>
      </c>
      <c r="R2269" s="12">
        <f>IF($J2269=0,0,ROUND(MAX($J2269*1.4*1.5*1.6*1.6,13100000*(1.429962^(MIN($E2269,123)-117)))*1,0))</f>
        <v>256272</v>
      </c>
      <c r="S2269" s="13">
        <f>$E2269+8</f>
        <v>114</v>
      </c>
      <c r="T2269" s="14">
        <f>IF($J2269=0,0,ROUND(MAX($J2269*1.4*1.5*1.6*1.6*2.2,42600000*(1.576904^(MIN($E2269,123)-117)))*1,0))</f>
        <v>443520</v>
      </c>
      <c r="U2269" s="11">
        <f>$E2269+11</f>
        <v>117</v>
      </c>
      <c r="V2269" s="12">
        <f>IF($J2269=0,0,ROUND(MAX($J2269*1.4*1.5*1.6*1.6*2.2*2.715,354000000*(1.642074^(MIN($E2269,123)-117)))*1,0))</f>
        <v>1512458</v>
      </c>
      <c r="W2269" s="13">
        <f>$E2269+15</f>
        <v>121</v>
      </c>
      <c r="X2269" s="14">
        <f>IF($J2269=0,0,ROUND(MAX($J2269*1.4*1.5*1.6*1.6*2.2*2.715*2.6,3540000000*(1.579646^(MIN($E2269,123)-117)))*1,0))</f>
        <v>23165718</v>
      </c>
      <c r="Y2269" s="11">
        <f>$E2269+17</f>
        <v>123</v>
      </c>
      <c r="Z2269" s="12">
        <f>IF($J2269=0,0,ROUND(MAX($J2269*1.4*1.5*1.6*1.6*2.2*2.715*2.6*1.4,6020000000*(1.651178^(MIN($E2269,123)-117)))*1,0))</f>
        <v>24202691</v>
      </c>
      <c r="AA2269" s="13">
        <f>$E2269+19</f>
        <v>125</v>
      </c>
      <c r="AB2269" s="14">
        <f>IF($J2269=0,0,ROUND(MAX($J2269*1.4*1.5*1.6*1.6*2.2*2.715*2.6*1.4*1.4,8430000000*(1.651435^(MIN($E2269,123)-117)))*1,0))</f>
        <v>33833836</v>
      </c>
      <c r="AC2269" s="11">
        <f>$E2269+21</f>
        <v>127</v>
      </c>
      <c r="AD2269" s="12">
        <f>IF($J2269=0,0,ROUND(MAX($J2269*1.4*1.5*1.6*1.6*2.2*2.715*2.6*1.4*1.4*1.5,12600000000*(1.652953^(MIN($E2269,123)-117)))*1,0))</f>
        <v>50061630</v>
      </c>
      <c r="AE2269" s="13">
        <f>$E2269+24</f>
        <v>130</v>
      </c>
      <c r="AF2269" s="14">
        <f>IF($J2269=0,0,ROUND(MAX($J2269*1.4*1.5*1.6*1.6*2.2*2.715*2.6*1.4*1.4*1.5*1.5,18900000000*(1.65331^(MIN($E2269,123)-117)))*1,0))</f>
        <v>74914276</v>
      </c>
      <c r="AG2269" s="11">
        <f>$E2269+27</f>
        <v>133</v>
      </c>
      <c r="AH2269" s="12">
        <f>IF($J2269=0,0,ROUND(MAX($J2269*1.4*1.5*1.6*1.6*2.2*2.715*2.6*1.4*1.4*1.5*1.5*3.2,60500000000*(1.654288^(MIN($E2269,123)-117)))*1,0))</f>
        <v>238250083</v>
      </c>
    </row>
    <row r="2270" ht="28" customHeight="1" spans="1:34" x14ac:dyDescent="0.25">
      <c r="A2270">
        <v>2280</v>
      </c>
      <c r="B2270" t="s">
        <v>1384</v>
      </c>
      <c r="C2270" s="10" t="s">
        <v>1278</v>
      </c>
      <c r="D2270" t="s">
        <v>102</v>
      </c>
      <c r="E2270">
        <v>106</v>
      </c>
      <c r="F2270" t="s">
        <v>71</v>
      </c>
      <c r="G2270" t="s">
        <v>1299</v>
      </c>
      <c r="H2270">
        <v>23</v>
      </c>
      <c r="I2270" s="11">
        <f>$E2270+0</f>
        <v>106</v>
      </c>
      <c r="J2270" s="12">
        <v>34400</v>
      </c>
      <c r="K2270" s="13">
        <f>$E2270+1</f>
        <v>107</v>
      </c>
      <c r="L2270" s="14">
        <f>IF($J2270=0,0,ROUND(MAX($J2270*1.4,1620000*(1.497923^(MIN($E2270,123)-117)))*1,0))</f>
        <v>48160</v>
      </c>
      <c r="M2270" s="11">
        <f>$E2270+2</f>
        <v>108</v>
      </c>
      <c r="N2270" s="12">
        <f>IF($J2270=0,0,ROUND(MAX($J2270*1.4*1.5,2190000*(1.580994^(MIN($E2270,123)-117)))*1,0))</f>
        <v>72240</v>
      </c>
      <c r="O2270" s="13">
        <f>$E2270+4</f>
        <v>110</v>
      </c>
      <c r="P2270" s="14">
        <f>IF($J2270=0,0,ROUND(MAX($J2270*1.4*1.5*1.6,3500000*(1.57975^(MIN($E2270,123)-117)))*1,0))</f>
        <v>115584</v>
      </c>
      <c r="Q2270" s="11">
        <f>$E2270+6</f>
        <v>112</v>
      </c>
      <c r="R2270" s="12">
        <f>IF($J2270=0,0,ROUND(MAX($J2270*1.4*1.5*1.6*1.6,13100000*(1.429962^(MIN($E2270,123)-117)))*1,0))</f>
        <v>256272</v>
      </c>
      <c r="S2270" s="13">
        <f>$E2270+8</f>
        <v>114</v>
      </c>
      <c r="T2270" s="14">
        <f>IF($J2270=0,0,ROUND(MAX($J2270*1.4*1.5*1.6*1.6*2.2,42600000*(1.576904^(MIN($E2270,123)-117)))*1,0))</f>
        <v>406856</v>
      </c>
      <c r="U2270" s="11">
        <f>$E2270+11</f>
        <v>117</v>
      </c>
      <c r="V2270" s="12">
        <f>IF($J2270=0,0,ROUND(MAX($J2270*1.4*1.5*1.6*1.6*2.2*2.715,354000000*(1.642074^(MIN($E2270,123)-117)))*1,0))</f>
        <v>1512458</v>
      </c>
      <c r="W2270" s="13">
        <f>$E2270+15</f>
        <v>121</v>
      </c>
      <c r="X2270" s="14">
        <f>IF($J2270=0,0,ROUND(MAX($J2270*1.4*1.5*1.6*1.6*2.2*2.715*2.6,3540000000*(1.579646^(MIN($E2270,123)-117)))*1,0))</f>
        <v>23165718</v>
      </c>
      <c r="Y2270" s="11">
        <f>$E2270+17</f>
        <v>123</v>
      </c>
      <c r="Z2270" s="12">
        <f>IF($J2270=0,0,ROUND(MAX($J2270*1.4*1.5*1.6*1.6*2.2*2.715*2.6*1.4,6020000000*(1.651178^(MIN($E2270,123)-117)))*1,0))</f>
        <v>24202691</v>
      </c>
      <c r="AA2270" s="13">
        <f>$E2270+19</f>
        <v>125</v>
      </c>
      <c r="AB2270" s="14">
        <f>IF($J2270=0,0,ROUND(MAX($J2270*1.4*1.5*1.6*1.6*2.2*2.715*2.6*1.4*1.4,8430000000*(1.651435^(MIN($E2270,123)-117)))*1,0))</f>
        <v>33833836</v>
      </c>
      <c r="AC2270" s="11">
        <f>$E2270+21</f>
        <v>127</v>
      </c>
      <c r="AD2270" s="12">
        <f>IF($J2270=0,0,ROUND(MAX($J2270*1.4*1.5*1.6*1.6*2.2*2.715*2.6*1.4*1.4*1.5,12600000000*(1.652953^(MIN($E2270,123)-117)))*1,0))</f>
        <v>50061630</v>
      </c>
      <c r="AE2270" s="13">
        <f>$E2270+24</f>
        <v>130</v>
      </c>
      <c r="AF2270" s="14">
        <f>IF($J2270=0,0,ROUND(MAX($J2270*1.4*1.5*1.6*1.6*2.2*2.715*2.6*1.4*1.4*1.5*1.5,18900000000*(1.65331^(MIN($E2270,123)-117)))*1,0))</f>
        <v>74914276</v>
      </c>
      <c r="AG2270" s="11">
        <f>$E2270+27</f>
        <v>133</v>
      </c>
      <c r="AH2270" s="12">
        <f>IF($J2270=0,0,ROUND(MAX($J2270*1.4*1.5*1.6*1.6*2.2*2.715*2.6*1.4*1.4*1.5*1.5*3.2,60500000000*(1.654288^(MIN($E2270,123)-117)))*1,0))</f>
        <v>238250083</v>
      </c>
    </row>
    <row r="2271" ht="28" customHeight="1" spans="1:34" x14ac:dyDescent="0.25">
      <c r="A2271">
        <v>2281</v>
      </c>
      <c r="B2271" t="s">
        <v>1385</v>
      </c>
      <c r="C2271" s="10" t="s">
        <v>1278</v>
      </c>
      <c r="D2271" t="s">
        <v>33</v>
      </c>
      <c r="E2271">
        <v>106</v>
      </c>
      <c r="F2271" t="s">
        <v>62</v>
      </c>
      <c r="G2271" t="s">
        <v>1050</v>
      </c>
      <c r="H2271">
        <v>22</v>
      </c>
      <c r="I2271" s="11">
        <f>$E2271+0</f>
        <v>106</v>
      </c>
      <c r="J2271" s="12">
        <v>32600</v>
      </c>
      <c r="K2271" s="13">
        <f>$E2271+1</f>
        <v>107</v>
      </c>
      <c r="L2271" s="14">
        <f>IF($J2271=0,0,ROUND(MAX($J2271*1.4,1620000*(1.497923^(MIN($E2271,123)-117)))*1,0))</f>
        <v>45640</v>
      </c>
      <c r="M2271" s="11">
        <f>$E2271+2</f>
        <v>108</v>
      </c>
      <c r="N2271" s="12">
        <f>IF($J2271=0,0,ROUND(MAX($J2271*1.4*1.5,2190000*(1.580994^(MIN($E2271,123)-117)))*1,0))</f>
        <v>68460</v>
      </c>
      <c r="O2271" s="13">
        <f>$E2271+4</f>
        <v>110</v>
      </c>
      <c r="P2271" s="14">
        <f>IF($J2271=0,0,ROUND(MAX($J2271*1.4*1.5*1.6,3500000*(1.57975^(MIN($E2271,123)-117)))*1,0))</f>
        <v>109536</v>
      </c>
      <c r="Q2271" s="11">
        <f>$E2271+6</f>
        <v>112</v>
      </c>
      <c r="R2271" s="12">
        <f>IF($J2271=0,0,ROUND(MAX($J2271*1.4*1.5*1.6*1.6,13100000*(1.429962^(MIN($E2271,123)-117)))*1,0))</f>
        <v>256272</v>
      </c>
      <c r="S2271" s="13">
        <f>$E2271+8</f>
        <v>114</v>
      </c>
      <c r="T2271" s="14">
        <f>IF($J2271=0,0,ROUND(MAX($J2271*1.4*1.5*1.6*1.6*2.2,42600000*(1.576904^(MIN($E2271,123)-117)))*1,0))</f>
        <v>385567</v>
      </c>
      <c r="U2271" s="11">
        <f>$E2271+11</f>
        <v>117</v>
      </c>
      <c r="V2271" s="12">
        <f>IF($J2271=0,0,ROUND(MAX($J2271*1.4*1.5*1.6*1.6*2.2*2.715,354000000*(1.642074^(MIN($E2271,123)-117)))*1,0))</f>
        <v>1512458</v>
      </c>
      <c r="W2271" s="13">
        <f>$E2271+15</f>
        <v>121</v>
      </c>
      <c r="X2271" s="14">
        <f>IF($J2271=0,0,ROUND(MAX($J2271*1.4*1.5*1.6*1.6*2.2*2.715*2.6,3540000000*(1.579646^(MIN($E2271,123)-117)))*1,0))</f>
        <v>23165718</v>
      </c>
      <c r="Y2271" s="11">
        <f>$E2271+17</f>
        <v>123</v>
      </c>
      <c r="Z2271" s="12">
        <f>IF($J2271=0,0,ROUND(MAX($J2271*1.4*1.5*1.6*1.6*2.2*2.715*2.6*1.4,6020000000*(1.651178^(MIN($E2271,123)-117)))*1,0))</f>
        <v>24202691</v>
      </c>
      <c r="AA2271" s="13">
        <f>$E2271+19</f>
        <v>125</v>
      </c>
      <c r="AB2271" s="14">
        <f>IF($J2271=0,0,ROUND(MAX($J2271*1.4*1.5*1.6*1.6*2.2*2.715*2.6*1.4*1.4,8430000000*(1.651435^(MIN($E2271,123)-117)))*1,0))</f>
        <v>33833836</v>
      </c>
      <c r="AC2271" s="11">
        <f>$E2271+21</f>
        <v>127</v>
      </c>
      <c r="AD2271" s="12">
        <f>IF($J2271=0,0,ROUND(MAX($J2271*1.4*1.5*1.6*1.6*2.2*2.715*2.6*1.4*1.4*1.5,12600000000*(1.652953^(MIN($E2271,123)-117)))*1,0))</f>
        <v>50061630</v>
      </c>
      <c r="AE2271" s="13">
        <f>$E2271+24</f>
        <v>130</v>
      </c>
      <c r="AF2271" s="14">
        <f>IF($J2271=0,0,ROUND(MAX($J2271*1.4*1.5*1.6*1.6*2.2*2.715*2.6*1.4*1.4*1.5*1.5,18900000000*(1.65331^(MIN($E2271,123)-117)))*1,0))</f>
        <v>74914276</v>
      </c>
      <c r="AG2271" s="11">
        <f>$E2271+27</f>
        <v>133</v>
      </c>
      <c r="AH2271" s="12">
        <f>IF($J2271=0,0,ROUND(MAX($J2271*1.4*1.5*1.6*1.6*2.2*2.715*2.6*1.4*1.4*1.5*1.5*3.2,60500000000*(1.654288^(MIN($E2271,123)-117)))*1,0))</f>
        <v>238250083</v>
      </c>
    </row>
    <row r="2272" ht="28" customHeight="1" spans="1:34" x14ac:dyDescent="0.25">
      <c r="A2272">
        <v>2282</v>
      </c>
      <c r="B2272" t="s">
        <v>1386</v>
      </c>
      <c r="C2272" s="10" t="s">
        <v>1278</v>
      </c>
      <c r="D2272" t="s">
        <v>75</v>
      </c>
      <c r="E2272">
        <v>106</v>
      </c>
      <c r="F2272" t="s">
        <v>71</v>
      </c>
      <c r="G2272" t="s">
        <v>38</v>
      </c>
      <c r="H2272">
        <v>22</v>
      </c>
      <c r="I2272" s="11">
        <f>$E2272+0</f>
        <v>106</v>
      </c>
      <c r="J2272" s="12">
        <v>38300</v>
      </c>
      <c r="K2272" s="13">
        <f>$E2272+1</f>
        <v>107</v>
      </c>
      <c r="L2272" s="14">
        <f>IF($J2272=0,0,ROUND(MAX($J2272*1.4,1620000*(1.497923^(MIN($E2272,123)-117)))*1,0))</f>
        <v>53620</v>
      </c>
      <c r="M2272" s="11">
        <f>$E2272+2</f>
        <v>108</v>
      </c>
      <c r="N2272" s="12">
        <f>IF($J2272=0,0,ROUND(MAX($J2272*1.4*1.5,2190000*(1.580994^(MIN($E2272,123)-117)))*1,0))</f>
        <v>80430</v>
      </c>
      <c r="O2272" s="13">
        <f>$E2272+4</f>
        <v>110</v>
      </c>
      <c r="P2272" s="14">
        <f>IF($J2272=0,0,ROUND(MAX($J2272*1.4*1.5*1.6,3500000*(1.57975^(MIN($E2272,123)-117)))*1,0))</f>
        <v>128688</v>
      </c>
      <c r="Q2272" s="11">
        <f>$E2272+6</f>
        <v>112</v>
      </c>
      <c r="R2272" s="12">
        <f>IF($J2272=0,0,ROUND(MAX($J2272*1.4*1.5*1.6*1.6,13100000*(1.429962^(MIN($E2272,123)-117)))*1,0))</f>
        <v>256272</v>
      </c>
      <c r="S2272" s="13">
        <f>$E2272+8</f>
        <v>114</v>
      </c>
      <c r="T2272" s="14">
        <f>IF($J2272=0,0,ROUND(MAX($J2272*1.4*1.5*1.6*1.6*2.2,42600000*(1.576904^(MIN($E2272,123)-117)))*1,0))</f>
        <v>452982</v>
      </c>
      <c r="U2272" s="11">
        <f>$E2272+11</f>
        <v>117</v>
      </c>
      <c r="V2272" s="12">
        <f>IF($J2272=0,0,ROUND(MAX($J2272*1.4*1.5*1.6*1.6*2.2*2.715,354000000*(1.642074^(MIN($E2272,123)-117)))*1,0))</f>
        <v>1512458</v>
      </c>
      <c r="W2272" s="13">
        <f>$E2272+15</f>
        <v>121</v>
      </c>
      <c r="X2272" s="14">
        <f>IF($J2272=0,0,ROUND(MAX($J2272*1.4*1.5*1.6*1.6*2.2*2.715*2.6,3540000000*(1.579646^(MIN($E2272,123)-117)))*1,0))</f>
        <v>23165718</v>
      </c>
      <c r="Y2272" s="11">
        <f>$E2272+17</f>
        <v>123</v>
      </c>
      <c r="Z2272" s="12">
        <f>IF($J2272=0,0,ROUND(MAX($J2272*1.4*1.5*1.6*1.6*2.2*2.715*2.6*1.4,6020000000*(1.651178^(MIN($E2272,123)-117)))*1,0))</f>
        <v>24202691</v>
      </c>
      <c r="AA2272" s="13">
        <f>$E2272+19</f>
        <v>125</v>
      </c>
      <c r="AB2272" s="14">
        <f>IF($J2272=0,0,ROUND(MAX($J2272*1.4*1.5*1.6*1.6*2.2*2.715*2.6*1.4*1.4,8430000000*(1.651435^(MIN($E2272,123)-117)))*1,0))</f>
        <v>33833836</v>
      </c>
      <c r="AC2272" s="11">
        <f>$E2272+21</f>
        <v>127</v>
      </c>
      <c r="AD2272" s="12">
        <f>IF($J2272=0,0,ROUND(MAX($J2272*1.4*1.5*1.6*1.6*2.2*2.715*2.6*1.4*1.4*1.5,12600000000*(1.652953^(MIN($E2272,123)-117)))*1,0))</f>
        <v>50061630</v>
      </c>
      <c r="AE2272" s="13">
        <f>$E2272+24</f>
        <v>130</v>
      </c>
      <c r="AF2272" s="14">
        <f>IF($J2272=0,0,ROUND(MAX($J2272*1.4*1.5*1.6*1.6*2.2*2.715*2.6*1.4*1.4*1.5*1.5,18900000000*(1.65331^(MIN($E2272,123)-117)))*1,0))</f>
        <v>74914276</v>
      </c>
      <c r="AG2272" s="11">
        <f>$E2272+27</f>
        <v>133</v>
      </c>
      <c r="AH2272" s="12">
        <f>IF($J2272=0,0,ROUND(MAX($J2272*1.4*1.5*1.6*1.6*2.2*2.715*2.6*1.4*1.4*1.5*1.5*3.2,60500000000*(1.654288^(MIN($E2272,123)-117)))*1,0))</f>
        <v>238250083</v>
      </c>
    </row>
    <row r="2273" ht="28" customHeight="1" spans="1:34" x14ac:dyDescent="0.25">
      <c r="A2273">
        <v>2283</v>
      </c>
      <c r="B2273" t="s">
        <v>1387</v>
      </c>
      <c r="C2273" s="10" t="s">
        <v>1278</v>
      </c>
      <c r="D2273" t="s">
        <v>33</v>
      </c>
      <c r="E2273">
        <v>106</v>
      </c>
      <c r="F2273" t="s">
        <v>26</v>
      </c>
      <c r="G2273" t="s">
        <v>354</v>
      </c>
      <c r="H2273">
        <v>22</v>
      </c>
      <c r="I2273" s="11">
        <f>$E2273+0</f>
        <v>106</v>
      </c>
      <c r="J2273" s="12">
        <v>37400</v>
      </c>
      <c r="K2273" s="13">
        <f>$E2273+1</f>
        <v>107</v>
      </c>
      <c r="L2273" s="14">
        <f>IF($J2273=0,0,ROUND(MAX($J2273*1.4,1620000*(1.497923^(MIN($E2273,123)-117)))*1,0))</f>
        <v>52360</v>
      </c>
      <c r="M2273" s="11">
        <f>$E2273+2</f>
        <v>108</v>
      </c>
      <c r="N2273" s="12">
        <f>IF($J2273=0,0,ROUND(MAX($J2273*1.4*1.5,2190000*(1.580994^(MIN($E2273,123)-117)))*1,0))</f>
        <v>78540</v>
      </c>
      <c r="O2273" s="13">
        <f>$E2273+4</f>
        <v>110</v>
      </c>
      <c r="P2273" s="14">
        <f>IF($J2273=0,0,ROUND(MAX($J2273*1.4*1.5*1.6,3500000*(1.57975^(MIN($E2273,123)-117)))*1,0))</f>
        <v>125664</v>
      </c>
      <c r="Q2273" s="11">
        <f>$E2273+6</f>
        <v>112</v>
      </c>
      <c r="R2273" s="12">
        <f>IF($J2273=0,0,ROUND(MAX($J2273*1.4*1.5*1.6*1.6,13100000*(1.429962^(MIN($E2273,123)-117)))*1,0))</f>
        <v>256272</v>
      </c>
      <c r="S2273" s="13">
        <f>$E2273+8</f>
        <v>114</v>
      </c>
      <c r="T2273" s="14">
        <f>IF($J2273=0,0,ROUND(MAX($J2273*1.4*1.5*1.6*1.6*2.2,42600000*(1.576904^(MIN($E2273,123)-117)))*1,0))</f>
        <v>442337</v>
      </c>
      <c r="U2273" s="11">
        <f>$E2273+11</f>
        <v>117</v>
      </c>
      <c r="V2273" s="12">
        <f>IF($J2273=0,0,ROUND(MAX($J2273*1.4*1.5*1.6*1.6*2.2*2.715,354000000*(1.642074^(MIN($E2273,123)-117)))*1,0))</f>
        <v>1512458</v>
      </c>
      <c r="W2273" s="13">
        <f>$E2273+15</f>
        <v>121</v>
      </c>
      <c r="X2273" s="14">
        <f>IF($J2273=0,0,ROUND(MAX($J2273*1.4*1.5*1.6*1.6*2.2*2.715*2.6,3540000000*(1.579646^(MIN($E2273,123)-117)))*1,0))</f>
        <v>23165718</v>
      </c>
      <c r="Y2273" s="11">
        <f>$E2273+17</f>
        <v>123</v>
      </c>
      <c r="Z2273" s="12">
        <f>IF($J2273=0,0,ROUND(MAX($J2273*1.4*1.5*1.6*1.6*2.2*2.715*2.6*1.4,6020000000*(1.651178^(MIN($E2273,123)-117)))*1,0))</f>
        <v>24202691</v>
      </c>
      <c r="AA2273" s="13">
        <f>$E2273+19</f>
        <v>125</v>
      </c>
      <c r="AB2273" s="14">
        <f>IF($J2273=0,0,ROUND(MAX($J2273*1.4*1.5*1.6*1.6*2.2*2.715*2.6*1.4*1.4,8430000000*(1.651435^(MIN($E2273,123)-117)))*1,0))</f>
        <v>33833836</v>
      </c>
      <c r="AC2273" s="11">
        <f>$E2273+21</f>
        <v>127</v>
      </c>
      <c r="AD2273" s="12">
        <f>IF($J2273=0,0,ROUND(MAX($J2273*1.4*1.5*1.6*1.6*2.2*2.715*2.6*1.4*1.4*1.5,12600000000*(1.652953^(MIN($E2273,123)-117)))*1,0))</f>
        <v>50061630</v>
      </c>
      <c r="AE2273" s="13">
        <f>$E2273+24</f>
        <v>130</v>
      </c>
      <c r="AF2273" s="14">
        <f>IF($J2273=0,0,ROUND(MAX($J2273*1.4*1.5*1.6*1.6*2.2*2.715*2.6*1.4*1.4*1.5*1.5,18900000000*(1.65331^(MIN($E2273,123)-117)))*1,0))</f>
        <v>74914276</v>
      </c>
      <c r="AG2273" s="11">
        <f>$E2273+27</f>
        <v>133</v>
      </c>
      <c r="AH2273" s="12">
        <f>IF($J2273=0,0,ROUND(MAX($J2273*1.4*1.5*1.6*1.6*2.2*2.715*2.6*1.4*1.4*1.5*1.5*3.2,60500000000*(1.654288^(MIN($E2273,123)-117)))*1,0))</f>
        <v>238250083</v>
      </c>
    </row>
    <row r="2274" ht="28" customHeight="1" spans="1:34" x14ac:dyDescent="0.25">
      <c r="A2274">
        <v>2284</v>
      </c>
      <c r="B2274" t="s">
        <v>1223</v>
      </c>
      <c r="C2274" s="10" t="s">
        <v>1278</v>
      </c>
      <c r="D2274" t="s">
        <v>33</v>
      </c>
      <c r="E2274">
        <v>106</v>
      </c>
      <c r="F2274" t="s">
        <v>56</v>
      </c>
      <c r="G2274" t="s">
        <v>1007</v>
      </c>
      <c r="H2274">
        <v>22</v>
      </c>
      <c r="I2274" s="11">
        <f>$E2274+0</f>
        <v>106</v>
      </c>
      <c r="J2274" s="12">
        <v>39700</v>
      </c>
      <c r="K2274" s="13">
        <f>$E2274+1</f>
        <v>107</v>
      </c>
      <c r="L2274" s="14">
        <f>IF($J2274=0,0,ROUND(MAX($J2274*1.4,1620000*(1.497923^(MIN($E2274,123)-117)))*1,0))</f>
        <v>55580</v>
      </c>
      <c r="M2274" s="11">
        <f>$E2274+2</f>
        <v>108</v>
      </c>
      <c r="N2274" s="12">
        <f>IF($J2274=0,0,ROUND(MAX($J2274*1.4*1.5,2190000*(1.580994^(MIN($E2274,123)-117)))*1,0))</f>
        <v>83370</v>
      </c>
      <c r="O2274" s="13">
        <f>$E2274+4</f>
        <v>110</v>
      </c>
      <c r="P2274" s="14">
        <f>IF($J2274=0,0,ROUND(MAX($J2274*1.4*1.5*1.6,3500000*(1.57975^(MIN($E2274,123)-117)))*1,0))</f>
        <v>133392</v>
      </c>
      <c r="Q2274" s="11">
        <f>$E2274+6</f>
        <v>112</v>
      </c>
      <c r="R2274" s="12">
        <f>IF($J2274=0,0,ROUND(MAX($J2274*1.4*1.5*1.6*1.6,13100000*(1.429962^(MIN($E2274,123)-117)))*1,0))</f>
        <v>256272</v>
      </c>
      <c r="S2274" s="13">
        <f>$E2274+8</f>
        <v>114</v>
      </c>
      <c r="T2274" s="14">
        <f>IF($J2274=0,0,ROUND(MAX($J2274*1.4*1.5*1.6*1.6*2.2,42600000*(1.576904^(MIN($E2274,123)-117)))*1,0))</f>
        <v>469540</v>
      </c>
      <c r="U2274" s="11">
        <f>$E2274+11</f>
        <v>117</v>
      </c>
      <c r="V2274" s="12">
        <f>IF($J2274=0,0,ROUND(MAX($J2274*1.4*1.5*1.6*1.6*2.2*2.715,354000000*(1.642074^(MIN($E2274,123)-117)))*1,0))</f>
        <v>1512458</v>
      </c>
      <c r="W2274" s="13">
        <f>$E2274+15</f>
        <v>121</v>
      </c>
      <c r="X2274" s="14">
        <f>IF($J2274=0,0,ROUND(MAX($J2274*1.4*1.5*1.6*1.6*2.2*2.715*2.6,3540000000*(1.579646^(MIN($E2274,123)-117)))*1,0))</f>
        <v>23165718</v>
      </c>
      <c r="Y2274" s="11">
        <f>$E2274+17</f>
        <v>123</v>
      </c>
      <c r="Z2274" s="12">
        <f>IF($J2274=0,0,ROUND(MAX($J2274*1.4*1.5*1.6*1.6*2.2*2.715*2.6*1.4,6020000000*(1.651178^(MIN($E2274,123)-117)))*1,0))</f>
        <v>24202691</v>
      </c>
      <c r="AA2274" s="13">
        <f>$E2274+19</f>
        <v>125</v>
      </c>
      <c r="AB2274" s="14">
        <f>IF($J2274=0,0,ROUND(MAX($J2274*1.4*1.5*1.6*1.6*2.2*2.715*2.6*1.4*1.4,8430000000*(1.651435^(MIN($E2274,123)-117)))*1,0))</f>
        <v>33833836</v>
      </c>
      <c r="AC2274" s="11">
        <f>$E2274+21</f>
        <v>127</v>
      </c>
      <c r="AD2274" s="12">
        <f>IF($J2274=0,0,ROUND(MAX($J2274*1.4*1.5*1.6*1.6*2.2*2.715*2.6*1.4*1.4*1.5,12600000000*(1.652953^(MIN($E2274,123)-117)))*1,0))</f>
        <v>50061630</v>
      </c>
      <c r="AE2274" s="13">
        <f>$E2274+24</f>
        <v>130</v>
      </c>
      <c r="AF2274" s="14">
        <f>IF($J2274=0,0,ROUND(MAX($J2274*1.4*1.5*1.6*1.6*2.2*2.715*2.6*1.4*1.4*1.5*1.5,18900000000*(1.65331^(MIN($E2274,123)-117)))*1,0))</f>
        <v>74914276</v>
      </c>
      <c r="AG2274" s="11">
        <f>$E2274+27</f>
        <v>133</v>
      </c>
      <c r="AH2274" s="12">
        <f>IF($J2274=0,0,ROUND(MAX($J2274*1.4*1.5*1.6*1.6*2.2*2.715*2.6*1.4*1.4*1.5*1.5*3.2,60500000000*(1.654288^(MIN($E2274,123)-117)))*1,0))</f>
        <v>238250083</v>
      </c>
    </row>
    <row r="2275" ht="28" customHeight="1" spans="1:34" x14ac:dyDescent="0.25">
      <c r="A2275">
        <v>2285</v>
      </c>
      <c r="B2275" t="s">
        <v>1388</v>
      </c>
      <c r="C2275" s="10" t="s">
        <v>1278</v>
      </c>
      <c r="D2275" t="s">
        <v>33</v>
      </c>
      <c r="E2275">
        <v>106</v>
      </c>
      <c r="F2275" t="s">
        <v>71</v>
      </c>
      <c r="G2275" t="s">
        <v>1389</v>
      </c>
      <c r="H2275">
        <v>22</v>
      </c>
      <c r="I2275" s="11">
        <f>$E2275+0</f>
        <v>106</v>
      </c>
      <c r="J2275" s="12">
        <v>29600</v>
      </c>
      <c r="K2275" s="13">
        <f>$E2275+1</f>
        <v>107</v>
      </c>
      <c r="L2275" s="14">
        <f>IF($J2275=0,0,ROUND(MAX($J2275*1.4,1620000*(1.497923^(MIN($E2275,123)-117)))*1,0))</f>
        <v>41440</v>
      </c>
      <c r="M2275" s="11">
        <f>$E2275+2</f>
        <v>108</v>
      </c>
      <c r="N2275" s="12">
        <f>IF($J2275=0,0,ROUND(MAX($J2275*1.4*1.5,2190000*(1.580994^(MIN($E2275,123)-117)))*1,0))</f>
        <v>62160</v>
      </c>
      <c r="O2275" s="13">
        <f>$E2275+4</f>
        <v>110</v>
      </c>
      <c r="P2275" s="14">
        <f>IF($J2275=0,0,ROUND(MAX($J2275*1.4*1.5*1.6,3500000*(1.57975^(MIN($E2275,123)-117)))*1,0))</f>
        <v>99456</v>
      </c>
      <c r="Q2275" s="11">
        <f>$E2275+6</f>
        <v>112</v>
      </c>
      <c r="R2275" s="12">
        <f>IF($J2275=0,0,ROUND(MAX($J2275*1.4*1.5*1.6*1.6,13100000*(1.429962^(MIN($E2275,123)-117)))*1,0))</f>
        <v>256272</v>
      </c>
      <c r="S2275" s="13">
        <f>$E2275+8</f>
        <v>114</v>
      </c>
      <c r="T2275" s="14">
        <f>IF($J2275=0,0,ROUND(MAX($J2275*1.4*1.5*1.6*1.6*2.2,42600000*(1.576904^(MIN($E2275,123)-117)))*1,0))</f>
        <v>350085</v>
      </c>
      <c r="U2275" s="11">
        <f>$E2275+11</f>
        <v>117</v>
      </c>
      <c r="V2275" s="12">
        <f>IF($J2275=0,0,ROUND(MAX($J2275*1.4*1.5*1.6*1.6*2.2*2.715,354000000*(1.642074^(MIN($E2275,123)-117)))*1,0))</f>
        <v>1512458</v>
      </c>
      <c r="W2275" s="13">
        <f>$E2275+15</f>
        <v>121</v>
      </c>
      <c r="X2275" s="14">
        <f>IF($J2275=0,0,ROUND(MAX($J2275*1.4*1.5*1.6*1.6*2.2*2.715*2.6,3540000000*(1.579646^(MIN($E2275,123)-117)))*1,0))</f>
        <v>23165718</v>
      </c>
      <c r="Y2275" s="11">
        <f>$E2275+17</f>
        <v>123</v>
      </c>
      <c r="Z2275" s="12">
        <f>IF($J2275=0,0,ROUND(MAX($J2275*1.4*1.5*1.6*1.6*2.2*2.715*2.6*1.4,6020000000*(1.651178^(MIN($E2275,123)-117)))*1,0))</f>
        <v>24202691</v>
      </c>
      <c r="AA2275" s="13">
        <f>$E2275+19</f>
        <v>125</v>
      </c>
      <c r="AB2275" s="14">
        <f>IF($J2275=0,0,ROUND(MAX($J2275*1.4*1.5*1.6*1.6*2.2*2.715*2.6*1.4*1.4,8430000000*(1.651435^(MIN($E2275,123)-117)))*1,0))</f>
        <v>33833836</v>
      </c>
      <c r="AC2275" s="11">
        <f>$E2275+21</f>
        <v>127</v>
      </c>
      <c r="AD2275" s="12">
        <f>IF($J2275=0,0,ROUND(MAX($J2275*1.4*1.5*1.6*1.6*2.2*2.715*2.6*1.4*1.4*1.5,12600000000*(1.652953^(MIN($E2275,123)-117)))*1,0))</f>
        <v>50061630</v>
      </c>
      <c r="AE2275" s="13">
        <f>$E2275+24</f>
        <v>130</v>
      </c>
      <c r="AF2275" s="14">
        <f>IF($J2275=0,0,ROUND(MAX($J2275*1.4*1.5*1.6*1.6*2.2*2.715*2.6*1.4*1.4*1.5*1.5,18900000000*(1.65331^(MIN($E2275,123)-117)))*1,0))</f>
        <v>74914276</v>
      </c>
      <c r="AG2275" s="11">
        <f>$E2275+27</f>
        <v>133</v>
      </c>
      <c r="AH2275" s="12">
        <f>IF($J2275=0,0,ROUND(MAX($J2275*1.4*1.5*1.6*1.6*2.2*2.715*2.6*1.4*1.4*1.5*1.5*3.2,60500000000*(1.654288^(MIN($E2275,123)-117)))*1,0))</f>
        <v>238250083</v>
      </c>
    </row>
    <row r="2276" ht="28" customHeight="1" spans="1:34" x14ac:dyDescent="0.25">
      <c r="A2276">
        <v>2286</v>
      </c>
      <c r="B2276" t="s">
        <v>1390</v>
      </c>
      <c r="C2276" s="10" t="s">
        <v>1278</v>
      </c>
      <c r="D2276" t="s">
        <v>33</v>
      </c>
      <c r="E2276">
        <v>106</v>
      </c>
      <c r="F2276" t="s">
        <v>310</v>
      </c>
      <c r="G2276" t="s">
        <v>1339</v>
      </c>
      <c r="H2276">
        <v>22</v>
      </c>
      <c r="I2276" s="11">
        <f>$E2276+0</f>
        <v>106</v>
      </c>
      <c r="J2276" s="12">
        <v>48300</v>
      </c>
      <c r="K2276" s="13">
        <f>$E2276+1</f>
        <v>107</v>
      </c>
      <c r="L2276" s="14">
        <f>IF($J2276=0,0,ROUND(MAX($J2276*1.4,1620000*(1.497923^(MIN($E2276,123)-117)))*1,0))</f>
        <v>67620</v>
      </c>
      <c r="M2276" s="11">
        <f>$E2276+2</f>
        <v>108</v>
      </c>
      <c r="N2276" s="12">
        <f>IF($J2276=0,0,ROUND(MAX($J2276*1.4*1.5,2190000*(1.580994^(MIN($E2276,123)-117)))*1,0))</f>
        <v>101430</v>
      </c>
      <c r="O2276" s="13">
        <f>$E2276+4</f>
        <v>110</v>
      </c>
      <c r="P2276" s="14">
        <f>IF($J2276=0,0,ROUND(MAX($J2276*1.4*1.5*1.6,3500000*(1.57975^(MIN($E2276,123)-117)))*1,0))</f>
        <v>162288</v>
      </c>
      <c r="Q2276" s="11">
        <f>$E2276+6</f>
        <v>112</v>
      </c>
      <c r="R2276" s="12">
        <f>IF($J2276=0,0,ROUND(MAX($J2276*1.4*1.5*1.6*1.6,13100000*(1.429962^(MIN($E2276,123)-117)))*1,0))</f>
        <v>259661</v>
      </c>
      <c r="S2276" s="13">
        <f>$E2276+8</f>
        <v>114</v>
      </c>
      <c r="T2276" s="14">
        <f>IF($J2276=0,0,ROUND(MAX($J2276*1.4*1.5*1.6*1.6*2.2,42600000*(1.576904^(MIN($E2276,123)-117)))*1,0))</f>
        <v>571254</v>
      </c>
      <c r="U2276" s="11">
        <f>$E2276+11</f>
        <v>117</v>
      </c>
      <c r="V2276" s="12">
        <f>IF($J2276=0,0,ROUND(MAX($J2276*1.4*1.5*1.6*1.6*2.2*2.715,354000000*(1.642074^(MIN($E2276,123)-117)))*1,0))</f>
        <v>1550954</v>
      </c>
      <c r="W2276" s="13">
        <f>$E2276+15</f>
        <v>121</v>
      </c>
      <c r="X2276" s="14">
        <f>IF($J2276=0,0,ROUND(MAX($J2276*1.4*1.5*1.6*1.6*2.2*2.715*2.6,3540000000*(1.579646^(MIN($E2276,123)-117)))*1,0))</f>
        <v>23165718</v>
      </c>
      <c r="Y2276" s="11">
        <f>$E2276+17</f>
        <v>123</v>
      </c>
      <c r="Z2276" s="12">
        <f>IF($J2276=0,0,ROUND(MAX($J2276*1.4*1.5*1.6*1.6*2.2*2.715*2.6*1.4,6020000000*(1.651178^(MIN($E2276,123)-117)))*1,0))</f>
        <v>24202691</v>
      </c>
      <c r="AA2276" s="13">
        <f>$E2276+19</f>
        <v>125</v>
      </c>
      <c r="AB2276" s="14">
        <f>IF($J2276=0,0,ROUND(MAX($J2276*1.4*1.5*1.6*1.6*2.2*2.715*2.6*1.4*1.4,8430000000*(1.651435^(MIN($E2276,123)-117)))*1,0))</f>
        <v>33833836</v>
      </c>
      <c r="AC2276" s="11">
        <f>$E2276+21</f>
        <v>127</v>
      </c>
      <c r="AD2276" s="12">
        <f>IF($J2276=0,0,ROUND(MAX($J2276*1.4*1.5*1.6*1.6*2.2*2.715*2.6*1.4*1.4*1.5,12600000000*(1.652953^(MIN($E2276,123)-117)))*1,0))</f>
        <v>50061630</v>
      </c>
      <c r="AE2276" s="13">
        <f>$E2276+24</f>
        <v>130</v>
      </c>
      <c r="AF2276" s="14">
        <f>IF($J2276=0,0,ROUND(MAX($J2276*1.4*1.5*1.6*1.6*2.2*2.715*2.6*1.4*1.4*1.5*1.5,18900000000*(1.65331^(MIN($E2276,123)-117)))*1,0))</f>
        <v>74914276</v>
      </c>
      <c r="AG2276" s="11">
        <f>$E2276+27</f>
        <v>133</v>
      </c>
      <c r="AH2276" s="12">
        <f>IF($J2276=0,0,ROUND(MAX($J2276*1.4*1.5*1.6*1.6*2.2*2.715*2.6*1.4*1.4*1.5*1.5*3.2,60500000000*(1.654288^(MIN($E2276,123)-117)))*1,0))</f>
        <v>238250083</v>
      </c>
    </row>
    <row r="2277" ht="28" customHeight="1" spans="1:34" x14ac:dyDescent="0.25">
      <c r="A2277">
        <v>2287</v>
      </c>
      <c r="B2277" t="s">
        <v>1391</v>
      </c>
      <c r="C2277" s="10" t="s">
        <v>1278</v>
      </c>
      <c r="D2277" t="s">
        <v>33</v>
      </c>
      <c r="E2277">
        <v>106</v>
      </c>
      <c r="F2277" t="s">
        <v>194</v>
      </c>
      <c r="G2277" t="s">
        <v>398</v>
      </c>
      <c r="H2277">
        <v>22</v>
      </c>
      <c r="I2277" s="11">
        <f>$E2277+0</f>
        <v>106</v>
      </c>
      <c r="J2277" s="12">
        <v>37700</v>
      </c>
      <c r="K2277" s="13">
        <f>$E2277+1</f>
        <v>107</v>
      </c>
      <c r="L2277" s="14">
        <f>IF($J2277=0,0,ROUND(MAX($J2277*1.4,1620000*(1.497923^(MIN($E2277,123)-117)))*1,0))</f>
        <v>52780</v>
      </c>
      <c r="M2277" s="11">
        <f>$E2277+2</f>
        <v>108</v>
      </c>
      <c r="N2277" s="12">
        <f>IF($J2277=0,0,ROUND(MAX($J2277*1.4*1.5,2190000*(1.580994^(MIN($E2277,123)-117)))*1,0))</f>
        <v>79170</v>
      </c>
      <c r="O2277" s="13">
        <f>$E2277+4</f>
        <v>110</v>
      </c>
      <c r="P2277" s="14">
        <f>IF($J2277=0,0,ROUND(MAX($J2277*1.4*1.5*1.6,3500000*(1.57975^(MIN($E2277,123)-117)))*1,0))</f>
        <v>126672</v>
      </c>
      <c r="Q2277" s="11">
        <f>$E2277+6</f>
        <v>112</v>
      </c>
      <c r="R2277" s="12">
        <f>IF($J2277=0,0,ROUND(MAX($J2277*1.4*1.5*1.6*1.6,13100000*(1.429962^(MIN($E2277,123)-117)))*1,0))</f>
        <v>256272</v>
      </c>
      <c r="S2277" s="13">
        <f>$E2277+8</f>
        <v>114</v>
      </c>
      <c r="T2277" s="14">
        <f>IF($J2277=0,0,ROUND(MAX($J2277*1.4*1.5*1.6*1.6*2.2,42600000*(1.576904^(MIN($E2277,123)-117)))*1,0))</f>
        <v>445885</v>
      </c>
      <c r="U2277" s="11">
        <f>$E2277+11</f>
        <v>117</v>
      </c>
      <c r="V2277" s="12">
        <f>IF($J2277=0,0,ROUND(MAX($J2277*1.4*1.5*1.6*1.6*2.2*2.715,354000000*(1.642074^(MIN($E2277,123)-117)))*1,0))</f>
        <v>1512458</v>
      </c>
      <c r="W2277" s="13">
        <f>$E2277+15</f>
        <v>121</v>
      </c>
      <c r="X2277" s="14">
        <f>IF($J2277=0,0,ROUND(MAX($J2277*1.4*1.5*1.6*1.6*2.2*2.715*2.6,3540000000*(1.579646^(MIN($E2277,123)-117)))*1,0))</f>
        <v>23165718</v>
      </c>
      <c r="Y2277" s="11">
        <f>$E2277+17</f>
        <v>123</v>
      </c>
      <c r="Z2277" s="12">
        <f>IF($J2277=0,0,ROUND(MAX($J2277*1.4*1.5*1.6*1.6*2.2*2.715*2.6*1.4,6020000000*(1.651178^(MIN($E2277,123)-117)))*1,0))</f>
        <v>24202691</v>
      </c>
      <c r="AA2277" s="13">
        <f>$E2277+19</f>
        <v>125</v>
      </c>
      <c r="AB2277" s="14">
        <f>IF($J2277=0,0,ROUND(MAX($J2277*1.4*1.5*1.6*1.6*2.2*2.715*2.6*1.4*1.4,8430000000*(1.651435^(MIN($E2277,123)-117)))*1,0))</f>
        <v>33833836</v>
      </c>
      <c r="AC2277" s="11">
        <f>$E2277+21</f>
        <v>127</v>
      </c>
      <c r="AD2277" s="12">
        <f>IF($J2277=0,0,ROUND(MAX($J2277*1.4*1.5*1.6*1.6*2.2*2.715*2.6*1.4*1.4*1.5,12600000000*(1.652953^(MIN($E2277,123)-117)))*1,0))</f>
        <v>50061630</v>
      </c>
      <c r="AE2277" s="13">
        <f>$E2277+24</f>
        <v>130</v>
      </c>
      <c r="AF2277" s="14">
        <f>IF($J2277=0,0,ROUND(MAX($J2277*1.4*1.5*1.6*1.6*2.2*2.715*2.6*1.4*1.4*1.5*1.5,18900000000*(1.65331^(MIN($E2277,123)-117)))*1,0))</f>
        <v>74914276</v>
      </c>
      <c r="AG2277" s="11">
        <f>$E2277+27</f>
        <v>133</v>
      </c>
      <c r="AH2277" s="12">
        <f>IF($J2277=0,0,ROUND(MAX($J2277*1.4*1.5*1.6*1.6*2.2*2.715*2.6*1.4*1.4*1.5*1.5*3.2,60500000000*(1.654288^(MIN($E2277,123)-117)))*1,0))</f>
        <v>238250083</v>
      </c>
    </row>
    <row r="2278" ht="28" customHeight="1" spans="1:34" x14ac:dyDescent="0.25">
      <c r="A2278">
        <v>2288</v>
      </c>
      <c r="B2278" t="s">
        <v>1392</v>
      </c>
      <c r="C2278" s="10" t="s">
        <v>1278</v>
      </c>
      <c r="D2278" t="s">
        <v>75</v>
      </c>
      <c r="E2278">
        <v>106</v>
      </c>
      <c r="F2278" t="s">
        <v>383</v>
      </c>
      <c r="G2278" t="s">
        <v>349</v>
      </c>
      <c r="H2278">
        <v>22</v>
      </c>
      <c r="I2278" s="11">
        <f>$E2278+0</f>
        <v>106</v>
      </c>
      <c r="J2278" s="12">
        <v>37600</v>
      </c>
      <c r="K2278" s="13">
        <f>$E2278+1</f>
        <v>107</v>
      </c>
      <c r="L2278" s="14">
        <f>IF($J2278=0,0,ROUND(MAX($J2278*1.4,1620000*(1.497923^(MIN($E2278,123)-117)))*1,0))</f>
        <v>52640</v>
      </c>
      <c r="M2278" s="11">
        <f>$E2278+2</f>
        <v>108</v>
      </c>
      <c r="N2278" s="12">
        <f>IF($J2278=0,0,ROUND(MAX($J2278*1.4*1.5,2190000*(1.580994^(MIN($E2278,123)-117)))*1,0))</f>
        <v>78960</v>
      </c>
      <c r="O2278" s="13">
        <f>$E2278+4</f>
        <v>110</v>
      </c>
      <c r="P2278" s="14">
        <f>IF($J2278=0,0,ROUND(MAX($J2278*1.4*1.5*1.6,3500000*(1.57975^(MIN($E2278,123)-117)))*1,0))</f>
        <v>126336</v>
      </c>
      <c r="Q2278" s="11">
        <f>$E2278+6</f>
        <v>112</v>
      </c>
      <c r="R2278" s="12">
        <f>IF($J2278=0,0,ROUND(MAX($J2278*1.4*1.5*1.6*1.6,13100000*(1.429962^(MIN($E2278,123)-117)))*1,0))</f>
        <v>256272</v>
      </c>
      <c r="S2278" s="13">
        <f>$E2278+8</f>
        <v>114</v>
      </c>
      <c r="T2278" s="14">
        <f>IF($J2278=0,0,ROUND(MAX($J2278*1.4*1.5*1.6*1.6*2.2,42600000*(1.576904^(MIN($E2278,123)-117)))*1,0))</f>
        <v>444703</v>
      </c>
      <c r="U2278" s="11">
        <f>$E2278+11</f>
        <v>117</v>
      </c>
      <c r="V2278" s="12">
        <f>IF($J2278=0,0,ROUND(MAX($J2278*1.4*1.5*1.6*1.6*2.2*2.715,354000000*(1.642074^(MIN($E2278,123)-117)))*1,0))</f>
        <v>1512458</v>
      </c>
      <c r="W2278" s="13">
        <f>$E2278+15</f>
        <v>121</v>
      </c>
      <c r="X2278" s="14">
        <f>IF($J2278=0,0,ROUND(MAX($J2278*1.4*1.5*1.6*1.6*2.2*2.715*2.6,3540000000*(1.579646^(MIN($E2278,123)-117)))*1,0))</f>
        <v>23165718</v>
      </c>
      <c r="Y2278" s="11">
        <f>$E2278+17</f>
        <v>123</v>
      </c>
      <c r="Z2278" s="12">
        <f>IF($J2278=0,0,ROUND(MAX($J2278*1.4*1.5*1.6*1.6*2.2*2.715*2.6*1.4,6020000000*(1.651178^(MIN($E2278,123)-117)))*1,0))</f>
        <v>24202691</v>
      </c>
      <c r="AA2278" s="13">
        <f>$E2278+19</f>
        <v>125</v>
      </c>
      <c r="AB2278" s="14">
        <f>IF($J2278=0,0,ROUND(MAX($J2278*1.4*1.5*1.6*1.6*2.2*2.715*2.6*1.4*1.4,8430000000*(1.651435^(MIN($E2278,123)-117)))*1,0))</f>
        <v>33833836</v>
      </c>
      <c r="AC2278" s="11">
        <f>$E2278+21</f>
        <v>127</v>
      </c>
      <c r="AD2278" s="12">
        <f>IF($J2278=0,0,ROUND(MAX($J2278*1.4*1.5*1.6*1.6*2.2*2.715*2.6*1.4*1.4*1.5,12600000000*(1.652953^(MIN($E2278,123)-117)))*1,0))</f>
        <v>50061630</v>
      </c>
      <c r="AE2278" s="13">
        <f>$E2278+24</f>
        <v>130</v>
      </c>
      <c r="AF2278" s="14">
        <f>IF($J2278=0,0,ROUND(MAX($J2278*1.4*1.5*1.6*1.6*2.2*2.715*2.6*1.4*1.4*1.5*1.5,18900000000*(1.65331^(MIN($E2278,123)-117)))*1,0))</f>
        <v>74914276</v>
      </c>
      <c r="AG2278" s="11">
        <f>$E2278+27</f>
        <v>133</v>
      </c>
      <c r="AH2278" s="12">
        <f>IF($J2278=0,0,ROUND(MAX($J2278*1.4*1.5*1.6*1.6*2.2*2.715*2.6*1.4*1.4*1.5*1.5*3.2,60500000000*(1.654288^(MIN($E2278,123)-117)))*1,0))</f>
        <v>238250083</v>
      </c>
    </row>
    <row r="2279" ht="28" customHeight="1" spans="1:34" x14ac:dyDescent="0.25">
      <c r="A2279">
        <v>2289</v>
      </c>
      <c r="B2279" t="s">
        <v>1393</v>
      </c>
      <c r="C2279" s="10" t="s">
        <v>1278</v>
      </c>
      <c r="D2279" t="s">
        <v>90</v>
      </c>
      <c r="E2279">
        <v>106</v>
      </c>
      <c r="F2279" t="s">
        <v>310</v>
      </c>
      <c r="G2279" t="s">
        <v>349</v>
      </c>
      <c r="H2279">
        <v>22</v>
      </c>
      <c r="I2279" s="11">
        <f>$E2279+0</f>
        <v>106</v>
      </c>
      <c r="J2279" s="12">
        <v>40000</v>
      </c>
      <c r="K2279" s="13">
        <f>$E2279+1</f>
        <v>107</v>
      </c>
      <c r="L2279" s="14">
        <f>IF($J2279=0,0,ROUND(MAX($J2279*1.4,1620000*(1.497923^(MIN($E2279,123)-117)))*1,0))</f>
        <v>56000</v>
      </c>
      <c r="M2279" s="11">
        <f>$E2279+2</f>
        <v>108</v>
      </c>
      <c r="N2279" s="12">
        <f>IF($J2279=0,0,ROUND(MAX($J2279*1.4*1.5,2190000*(1.580994^(MIN($E2279,123)-117)))*1,0))</f>
        <v>84000</v>
      </c>
      <c r="O2279" s="13">
        <f>$E2279+4</f>
        <v>110</v>
      </c>
      <c r="P2279" s="14">
        <f>IF($J2279=0,0,ROUND(MAX($J2279*1.4*1.5*1.6,3500000*(1.57975^(MIN($E2279,123)-117)))*1,0))</f>
        <v>134400</v>
      </c>
      <c r="Q2279" s="11">
        <f>$E2279+6</f>
        <v>112</v>
      </c>
      <c r="R2279" s="12">
        <f>IF($J2279=0,0,ROUND(MAX($J2279*1.4*1.5*1.6*1.6,13100000*(1.429962^(MIN($E2279,123)-117)))*1,0))</f>
        <v>256272</v>
      </c>
      <c r="S2279" s="13">
        <f>$E2279+8</f>
        <v>114</v>
      </c>
      <c r="T2279" s="14">
        <f>IF($J2279=0,0,ROUND(MAX($J2279*1.4*1.5*1.6*1.6*2.2,42600000*(1.576904^(MIN($E2279,123)-117)))*1,0))</f>
        <v>473088</v>
      </c>
      <c r="U2279" s="11">
        <f>$E2279+11</f>
        <v>117</v>
      </c>
      <c r="V2279" s="12">
        <f>IF($J2279=0,0,ROUND(MAX($J2279*1.4*1.5*1.6*1.6*2.2*2.715,354000000*(1.642074^(MIN($E2279,123)-117)))*1,0))</f>
        <v>1512458</v>
      </c>
      <c r="W2279" s="13">
        <f>$E2279+15</f>
        <v>121</v>
      </c>
      <c r="X2279" s="14">
        <f>IF($J2279=0,0,ROUND(MAX($J2279*1.4*1.5*1.6*1.6*2.2*2.715*2.6,3540000000*(1.579646^(MIN($E2279,123)-117)))*1,0))</f>
        <v>23165718</v>
      </c>
      <c r="Y2279" s="11">
        <f>$E2279+17</f>
        <v>123</v>
      </c>
      <c r="Z2279" s="12">
        <f>IF($J2279=0,0,ROUND(MAX($J2279*1.4*1.5*1.6*1.6*2.2*2.715*2.6*1.4,6020000000*(1.651178^(MIN($E2279,123)-117)))*1,0))</f>
        <v>24202691</v>
      </c>
      <c r="AA2279" s="13">
        <f>$E2279+19</f>
        <v>125</v>
      </c>
      <c r="AB2279" s="14">
        <f>IF($J2279=0,0,ROUND(MAX($J2279*1.4*1.5*1.6*1.6*2.2*2.715*2.6*1.4*1.4,8430000000*(1.651435^(MIN($E2279,123)-117)))*1,0))</f>
        <v>33833836</v>
      </c>
      <c r="AC2279" s="11">
        <f>$E2279+21</f>
        <v>127</v>
      </c>
      <c r="AD2279" s="12">
        <f>IF($J2279=0,0,ROUND(MAX($J2279*1.4*1.5*1.6*1.6*2.2*2.715*2.6*1.4*1.4*1.5,12600000000*(1.652953^(MIN($E2279,123)-117)))*1,0))</f>
        <v>50061630</v>
      </c>
      <c r="AE2279" s="13">
        <f>$E2279+24</f>
        <v>130</v>
      </c>
      <c r="AF2279" s="14">
        <f>IF($J2279=0,0,ROUND(MAX($J2279*1.4*1.5*1.6*1.6*2.2*2.715*2.6*1.4*1.4*1.5*1.5,18900000000*(1.65331^(MIN($E2279,123)-117)))*1,0))</f>
        <v>74914276</v>
      </c>
      <c r="AG2279" s="11">
        <f>$E2279+27</f>
        <v>133</v>
      </c>
      <c r="AH2279" s="12">
        <f>IF($J2279=0,0,ROUND(MAX($J2279*1.4*1.5*1.6*1.6*2.2*2.715*2.6*1.4*1.4*1.5*1.5*3.2,60500000000*(1.654288^(MIN($E2279,123)-117)))*1,0))</f>
        <v>238250083</v>
      </c>
    </row>
    <row r="2280" ht="28" customHeight="1" spans="1:34" x14ac:dyDescent="0.25">
      <c r="A2280">
        <v>2290</v>
      </c>
      <c r="B2280" t="s">
        <v>1394</v>
      </c>
      <c r="C2280" s="10" t="s">
        <v>1278</v>
      </c>
      <c r="D2280" t="s">
        <v>33</v>
      </c>
      <c r="E2280">
        <v>106</v>
      </c>
      <c r="F2280" t="s">
        <v>383</v>
      </c>
      <c r="G2280" t="s">
        <v>1395</v>
      </c>
      <c r="H2280">
        <v>22</v>
      </c>
      <c r="I2280" s="11">
        <f>$E2280+0</f>
        <v>106</v>
      </c>
      <c r="J2280" s="12">
        <v>31100</v>
      </c>
      <c r="K2280" s="13">
        <f>$E2280+1</f>
        <v>107</v>
      </c>
      <c r="L2280" s="14">
        <f>IF($J2280=0,0,ROUND(MAX($J2280*1.4,1620000*(1.497923^(MIN($E2280,123)-117)))*1,0))</f>
        <v>43540</v>
      </c>
      <c r="M2280" s="11">
        <f>$E2280+2</f>
        <v>108</v>
      </c>
      <c r="N2280" s="12">
        <f>IF($J2280=0,0,ROUND(MAX($J2280*1.4*1.5,2190000*(1.580994^(MIN($E2280,123)-117)))*1,0))</f>
        <v>65310</v>
      </c>
      <c r="O2280" s="13">
        <f>$E2280+4</f>
        <v>110</v>
      </c>
      <c r="P2280" s="14">
        <f>IF($J2280=0,0,ROUND(MAX($J2280*1.4*1.5*1.6,3500000*(1.57975^(MIN($E2280,123)-117)))*1,0))</f>
        <v>104496</v>
      </c>
      <c r="Q2280" s="11">
        <f>$E2280+6</f>
        <v>112</v>
      </c>
      <c r="R2280" s="12">
        <f>IF($J2280=0,0,ROUND(MAX($J2280*1.4*1.5*1.6*1.6,13100000*(1.429962^(MIN($E2280,123)-117)))*1,0))</f>
        <v>256272</v>
      </c>
      <c r="S2280" s="13">
        <f>$E2280+8</f>
        <v>114</v>
      </c>
      <c r="T2280" s="14">
        <f>IF($J2280=0,0,ROUND(MAX($J2280*1.4*1.5*1.6*1.6*2.2,42600000*(1.576904^(MIN($E2280,123)-117)))*1,0))</f>
        <v>367826</v>
      </c>
      <c r="U2280" s="11">
        <f>$E2280+11</f>
        <v>117</v>
      </c>
      <c r="V2280" s="12">
        <f>IF($J2280=0,0,ROUND(MAX($J2280*1.4*1.5*1.6*1.6*2.2*2.715,354000000*(1.642074^(MIN($E2280,123)-117)))*1,0))</f>
        <v>1512458</v>
      </c>
      <c r="W2280" s="13">
        <f>$E2280+15</f>
        <v>121</v>
      </c>
      <c r="X2280" s="14">
        <f>IF($J2280=0,0,ROUND(MAX($J2280*1.4*1.5*1.6*1.6*2.2*2.715*2.6,3540000000*(1.579646^(MIN($E2280,123)-117)))*1,0))</f>
        <v>23165718</v>
      </c>
      <c r="Y2280" s="11">
        <f>$E2280+17</f>
        <v>123</v>
      </c>
      <c r="Z2280" s="12">
        <f>IF($J2280=0,0,ROUND(MAX($J2280*1.4*1.5*1.6*1.6*2.2*2.715*2.6*1.4,6020000000*(1.651178^(MIN($E2280,123)-117)))*1,0))</f>
        <v>24202691</v>
      </c>
      <c r="AA2280" s="13">
        <f>$E2280+19</f>
        <v>125</v>
      </c>
      <c r="AB2280" s="14">
        <f>IF($J2280=0,0,ROUND(MAX($J2280*1.4*1.5*1.6*1.6*2.2*2.715*2.6*1.4*1.4,8430000000*(1.651435^(MIN($E2280,123)-117)))*1,0))</f>
        <v>33833836</v>
      </c>
      <c r="AC2280" s="11">
        <f>$E2280+21</f>
        <v>127</v>
      </c>
      <c r="AD2280" s="12">
        <f>IF($J2280=0,0,ROUND(MAX($J2280*1.4*1.5*1.6*1.6*2.2*2.715*2.6*1.4*1.4*1.5,12600000000*(1.652953^(MIN($E2280,123)-117)))*1,0))</f>
        <v>50061630</v>
      </c>
      <c r="AE2280" s="13">
        <f>$E2280+24</f>
        <v>130</v>
      </c>
      <c r="AF2280" s="14">
        <f>IF($J2280=0,0,ROUND(MAX($J2280*1.4*1.5*1.6*1.6*2.2*2.715*2.6*1.4*1.4*1.5*1.5,18900000000*(1.65331^(MIN($E2280,123)-117)))*1,0))</f>
        <v>74914276</v>
      </c>
      <c r="AG2280" s="11">
        <f>$E2280+27</f>
        <v>133</v>
      </c>
      <c r="AH2280" s="12">
        <f>IF($J2280=0,0,ROUND(MAX($J2280*1.4*1.5*1.6*1.6*2.2*2.715*2.6*1.4*1.4*1.5*1.5*3.2,60500000000*(1.654288^(MIN($E2280,123)-117)))*1,0))</f>
        <v>238250083</v>
      </c>
    </row>
    <row r="2281" ht="28" customHeight="1" spans="1:34" x14ac:dyDescent="0.25">
      <c r="A2281">
        <v>2291</v>
      </c>
      <c r="B2281" t="s">
        <v>1140</v>
      </c>
      <c r="C2281" s="10" t="s">
        <v>1278</v>
      </c>
      <c r="D2281" t="s">
        <v>33</v>
      </c>
      <c r="E2281">
        <v>106</v>
      </c>
      <c r="F2281" t="s">
        <v>298</v>
      </c>
      <c r="G2281" t="s">
        <v>329</v>
      </c>
      <c r="H2281">
        <v>22</v>
      </c>
      <c r="I2281" s="11">
        <f>$E2281+0</f>
        <v>106</v>
      </c>
      <c r="J2281" s="12">
        <v>29400</v>
      </c>
      <c r="K2281" s="13">
        <f>$E2281+1</f>
        <v>107</v>
      </c>
      <c r="L2281" s="14">
        <f>IF($J2281=0,0,ROUND(MAX($J2281*1.4,1620000*(1.497923^(MIN($E2281,123)-117)))*1,0))</f>
        <v>41160</v>
      </c>
      <c r="M2281" s="11">
        <f>$E2281+2</f>
        <v>108</v>
      </c>
      <c r="N2281" s="12">
        <f>IF($J2281=0,0,ROUND(MAX($J2281*1.4*1.5,2190000*(1.580994^(MIN($E2281,123)-117)))*1,0))</f>
        <v>61740</v>
      </c>
      <c r="O2281" s="13">
        <f>$E2281+4</f>
        <v>110</v>
      </c>
      <c r="P2281" s="14">
        <f>IF($J2281=0,0,ROUND(MAX($J2281*1.4*1.5*1.6,3500000*(1.57975^(MIN($E2281,123)-117)))*1,0))</f>
        <v>98784</v>
      </c>
      <c r="Q2281" s="11">
        <f>$E2281+6</f>
        <v>112</v>
      </c>
      <c r="R2281" s="12">
        <f>IF($J2281=0,0,ROUND(MAX($J2281*1.4*1.5*1.6*1.6,13100000*(1.429962^(MIN($E2281,123)-117)))*1,0))</f>
        <v>256272</v>
      </c>
      <c r="S2281" s="13">
        <f>$E2281+8</f>
        <v>114</v>
      </c>
      <c r="T2281" s="14">
        <f>IF($J2281=0,0,ROUND(MAX($J2281*1.4*1.5*1.6*1.6*2.2,42600000*(1.576904^(MIN($E2281,123)-117)))*1,0))</f>
        <v>347720</v>
      </c>
      <c r="U2281" s="11">
        <f>$E2281+11</f>
        <v>117</v>
      </c>
      <c r="V2281" s="12">
        <f>IF($J2281=0,0,ROUND(MAX($J2281*1.4*1.5*1.6*1.6*2.2*2.715,354000000*(1.642074^(MIN($E2281,123)-117)))*1,0))</f>
        <v>1512458</v>
      </c>
      <c r="W2281" s="13">
        <f>$E2281+15</f>
        <v>121</v>
      </c>
      <c r="X2281" s="14">
        <f>IF($J2281=0,0,ROUND(MAX($J2281*1.4*1.5*1.6*1.6*2.2*2.715*2.6,3540000000*(1.579646^(MIN($E2281,123)-117)))*1,0))</f>
        <v>23165718</v>
      </c>
      <c r="Y2281" s="11">
        <f>$E2281+17</f>
        <v>123</v>
      </c>
      <c r="Z2281" s="12">
        <f>IF($J2281=0,0,ROUND(MAX($J2281*1.4*1.5*1.6*1.6*2.2*2.715*2.6*1.4,6020000000*(1.651178^(MIN($E2281,123)-117)))*1,0))</f>
        <v>24202691</v>
      </c>
      <c r="AA2281" s="13">
        <f>$E2281+19</f>
        <v>125</v>
      </c>
      <c r="AB2281" s="14">
        <f>IF($J2281=0,0,ROUND(MAX($J2281*1.4*1.5*1.6*1.6*2.2*2.715*2.6*1.4*1.4,8430000000*(1.651435^(MIN($E2281,123)-117)))*1,0))</f>
        <v>33833836</v>
      </c>
      <c r="AC2281" s="11">
        <f>$E2281+21</f>
        <v>127</v>
      </c>
      <c r="AD2281" s="12">
        <f>IF($J2281=0,0,ROUND(MAX($J2281*1.4*1.5*1.6*1.6*2.2*2.715*2.6*1.4*1.4*1.5,12600000000*(1.652953^(MIN($E2281,123)-117)))*1,0))</f>
        <v>50061630</v>
      </c>
      <c r="AE2281" s="13">
        <f>$E2281+24</f>
        <v>130</v>
      </c>
      <c r="AF2281" s="14">
        <f>IF($J2281=0,0,ROUND(MAX($J2281*1.4*1.5*1.6*1.6*2.2*2.715*2.6*1.4*1.4*1.5*1.5,18900000000*(1.65331^(MIN($E2281,123)-117)))*1,0))</f>
        <v>74914276</v>
      </c>
      <c r="AG2281" s="11">
        <f>$E2281+27</f>
        <v>133</v>
      </c>
      <c r="AH2281" s="12">
        <f>IF($J2281=0,0,ROUND(MAX($J2281*1.4*1.5*1.6*1.6*2.2*2.715*2.6*1.4*1.4*1.5*1.5*3.2,60500000000*(1.654288^(MIN($E2281,123)-117)))*1,0))</f>
        <v>238250083</v>
      </c>
    </row>
    <row r="2282" ht="28" customHeight="1" spans="1:34" x14ac:dyDescent="0.25">
      <c r="A2282">
        <v>2292</v>
      </c>
      <c r="B2282" t="s">
        <v>844</v>
      </c>
      <c r="C2282" s="10" t="s">
        <v>1278</v>
      </c>
      <c r="D2282" t="s">
        <v>33</v>
      </c>
      <c r="E2282">
        <v>106</v>
      </c>
      <c r="F2282" t="s">
        <v>179</v>
      </c>
      <c r="G2282" t="s">
        <v>213</v>
      </c>
      <c r="H2282">
        <v>22</v>
      </c>
      <c r="I2282" s="11">
        <f>$E2282+0</f>
        <v>106</v>
      </c>
      <c r="J2282" s="12">
        <v>37200</v>
      </c>
      <c r="K2282" s="13">
        <f>$E2282+1</f>
        <v>107</v>
      </c>
      <c r="L2282" s="14">
        <f>IF($J2282=0,0,ROUND(MAX($J2282*1.4,1620000*(1.497923^(MIN($E2282,123)-117)))*1,0))</f>
        <v>52080</v>
      </c>
      <c r="M2282" s="11">
        <f>$E2282+2</f>
        <v>108</v>
      </c>
      <c r="N2282" s="12">
        <f>IF($J2282=0,0,ROUND(MAX($J2282*1.4*1.5,2190000*(1.580994^(MIN($E2282,123)-117)))*1,0))</f>
        <v>78120</v>
      </c>
      <c r="O2282" s="13">
        <f>$E2282+4</f>
        <v>110</v>
      </c>
      <c r="P2282" s="14">
        <f>IF($J2282=0,0,ROUND(MAX($J2282*1.4*1.5*1.6,3500000*(1.57975^(MIN($E2282,123)-117)))*1,0))</f>
        <v>124992</v>
      </c>
      <c r="Q2282" s="11">
        <f>$E2282+6</f>
        <v>112</v>
      </c>
      <c r="R2282" s="12">
        <f>IF($J2282=0,0,ROUND(MAX($J2282*1.4*1.5*1.6*1.6,13100000*(1.429962^(MIN($E2282,123)-117)))*1,0))</f>
        <v>256272</v>
      </c>
      <c r="S2282" s="13">
        <f>$E2282+8</f>
        <v>114</v>
      </c>
      <c r="T2282" s="14">
        <f>IF($J2282=0,0,ROUND(MAX($J2282*1.4*1.5*1.6*1.6*2.2,42600000*(1.576904^(MIN($E2282,123)-117)))*1,0))</f>
        <v>439972</v>
      </c>
      <c r="U2282" s="11">
        <f>$E2282+11</f>
        <v>117</v>
      </c>
      <c r="V2282" s="12">
        <f>IF($J2282=0,0,ROUND(MAX($J2282*1.4*1.5*1.6*1.6*2.2*2.715,354000000*(1.642074^(MIN($E2282,123)-117)))*1,0))</f>
        <v>1512458</v>
      </c>
      <c r="W2282" s="13">
        <f>$E2282+15</f>
        <v>121</v>
      </c>
      <c r="X2282" s="14">
        <f>IF($J2282=0,0,ROUND(MAX($J2282*1.4*1.5*1.6*1.6*2.2*2.715*2.6,3540000000*(1.579646^(MIN($E2282,123)-117)))*1,0))</f>
        <v>23165718</v>
      </c>
      <c r="Y2282" s="11">
        <f>$E2282+17</f>
        <v>123</v>
      </c>
      <c r="Z2282" s="12">
        <f>IF($J2282=0,0,ROUND(MAX($J2282*1.4*1.5*1.6*1.6*2.2*2.715*2.6*1.4,6020000000*(1.651178^(MIN($E2282,123)-117)))*1,0))</f>
        <v>24202691</v>
      </c>
      <c r="AA2282" s="13">
        <f>$E2282+19</f>
        <v>125</v>
      </c>
      <c r="AB2282" s="14">
        <f>IF($J2282=0,0,ROUND(MAX($J2282*1.4*1.5*1.6*1.6*2.2*2.715*2.6*1.4*1.4,8430000000*(1.651435^(MIN($E2282,123)-117)))*1,0))</f>
        <v>33833836</v>
      </c>
      <c r="AC2282" s="11">
        <f>$E2282+21</f>
        <v>127</v>
      </c>
      <c r="AD2282" s="12">
        <f>IF($J2282=0,0,ROUND(MAX($J2282*1.4*1.5*1.6*1.6*2.2*2.715*2.6*1.4*1.4*1.5,12600000000*(1.652953^(MIN($E2282,123)-117)))*1,0))</f>
        <v>50061630</v>
      </c>
      <c r="AE2282" s="13">
        <f>$E2282+24</f>
        <v>130</v>
      </c>
      <c r="AF2282" s="14">
        <f>IF($J2282=0,0,ROUND(MAX($J2282*1.4*1.5*1.6*1.6*2.2*2.715*2.6*1.4*1.4*1.5*1.5,18900000000*(1.65331^(MIN($E2282,123)-117)))*1,0))</f>
        <v>74914276</v>
      </c>
      <c r="AG2282" s="11">
        <f>$E2282+27</f>
        <v>133</v>
      </c>
      <c r="AH2282" s="12">
        <f>IF($J2282=0,0,ROUND(MAX($J2282*1.4*1.5*1.6*1.6*2.2*2.715*2.6*1.4*1.4*1.5*1.5*3.2,60500000000*(1.654288^(MIN($E2282,123)-117)))*1,0))</f>
        <v>238250083</v>
      </c>
    </row>
    <row r="2283" ht="28" customHeight="1" spans="1:34" x14ac:dyDescent="0.25">
      <c r="A2283">
        <v>2293</v>
      </c>
      <c r="B2283" t="s">
        <v>1082</v>
      </c>
      <c r="C2283" s="10" t="s">
        <v>1278</v>
      </c>
      <c r="D2283" t="s">
        <v>90</v>
      </c>
      <c r="E2283">
        <v>106</v>
      </c>
      <c r="F2283" t="s">
        <v>71</v>
      </c>
      <c r="G2283" t="s">
        <v>1336</v>
      </c>
      <c r="H2283">
        <v>22</v>
      </c>
      <c r="I2283" s="11">
        <f>$E2283+0</f>
        <v>106</v>
      </c>
      <c r="J2283" s="12">
        <v>96100</v>
      </c>
      <c r="K2283" s="13">
        <f>$E2283+1</f>
        <v>107</v>
      </c>
      <c r="L2283" s="14">
        <f>IF($J2283=0,0,ROUND(MAX($J2283*1.4,1620000*(1.497923^(MIN($E2283,123)-117)))*1,0))</f>
        <v>134540</v>
      </c>
      <c r="M2283" s="11">
        <f>$E2283+2</f>
        <v>108</v>
      </c>
      <c r="N2283" s="12">
        <f>IF($J2283=0,0,ROUND(MAX($J2283*1.4*1.5,2190000*(1.580994^(MIN($E2283,123)-117)))*1,0))</f>
        <v>201810</v>
      </c>
      <c r="O2283" s="13">
        <f>$E2283+4</f>
        <v>110</v>
      </c>
      <c r="P2283" s="14">
        <f>IF($J2283=0,0,ROUND(MAX($J2283*1.4*1.5*1.6,3500000*(1.57975^(MIN($E2283,123)-117)))*1,0))</f>
        <v>322896</v>
      </c>
      <c r="Q2283" s="11">
        <f>$E2283+6</f>
        <v>112</v>
      </c>
      <c r="R2283" s="12">
        <f>IF($J2283=0,0,ROUND(MAX($J2283*1.4*1.5*1.6*1.6,13100000*(1.429962^(MIN($E2283,123)-117)))*1,0))</f>
        <v>516634</v>
      </c>
      <c r="S2283" s="13">
        <f>$E2283+8</f>
        <v>114</v>
      </c>
      <c r="T2283" s="14">
        <f>IF($J2283=0,0,ROUND(MAX($J2283*1.4*1.5*1.6*1.6*2.2,42600000*(1.576904^(MIN($E2283,123)-117)))*1,0))</f>
        <v>1136594</v>
      </c>
      <c r="U2283" s="11">
        <f>$E2283+11</f>
        <v>117</v>
      </c>
      <c r="V2283" s="12">
        <f>IF($J2283=0,0,ROUND(MAX($J2283*1.4*1.5*1.6*1.6*2.2*2.715,354000000*(1.642074^(MIN($E2283,123)-117)))*1,0))</f>
        <v>3085852</v>
      </c>
      <c r="W2283" s="13">
        <f>$E2283+15</f>
        <v>121</v>
      </c>
      <c r="X2283" s="14">
        <f>IF($J2283=0,0,ROUND(MAX($J2283*1.4*1.5*1.6*1.6*2.2*2.715*2.6,3540000000*(1.579646^(MIN($E2283,123)-117)))*1,0))</f>
        <v>23165718</v>
      </c>
      <c r="Y2283" s="11">
        <f>$E2283+17</f>
        <v>123</v>
      </c>
      <c r="Z2283" s="12">
        <f>IF($J2283=0,0,ROUND(MAX($J2283*1.4*1.5*1.6*1.6*2.2*2.715*2.6*1.4,6020000000*(1.651178^(MIN($E2283,123)-117)))*1,0))</f>
        <v>24202691</v>
      </c>
      <c r="AA2283" s="13">
        <f>$E2283+19</f>
        <v>125</v>
      </c>
      <c r="AB2283" s="14">
        <f>IF($J2283=0,0,ROUND(MAX($J2283*1.4*1.5*1.6*1.6*2.2*2.715*2.6*1.4*1.4,8430000000*(1.651435^(MIN($E2283,123)-117)))*1,0))</f>
        <v>33833836</v>
      </c>
      <c r="AC2283" s="11">
        <f>$E2283+21</f>
        <v>127</v>
      </c>
      <c r="AD2283" s="12">
        <f>IF($J2283=0,0,ROUND(MAX($J2283*1.4*1.5*1.6*1.6*2.2*2.715*2.6*1.4*1.4*1.5,12600000000*(1.652953^(MIN($E2283,123)-117)))*1,0))</f>
        <v>50061630</v>
      </c>
      <c r="AE2283" s="13">
        <f>$E2283+24</f>
        <v>130</v>
      </c>
      <c r="AF2283" s="14">
        <f>IF($J2283=0,0,ROUND(MAX($J2283*1.4*1.5*1.6*1.6*2.2*2.715*2.6*1.4*1.4*1.5*1.5,18900000000*(1.65331^(MIN($E2283,123)-117)))*1,0))</f>
        <v>74914276</v>
      </c>
      <c r="AG2283" s="11">
        <f>$E2283+27</f>
        <v>133</v>
      </c>
      <c r="AH2283" s="12">
        <f>IF($J2283=0,0,ROUND(MAX($J2283*1.4*1.5*1.6*1.6*2.2*2.715*2.6*1.4*1.4*1.5*1.5*3.2,60500000000*(1.654288^(MIN($E2283,123)-117)))*1,0))</f>
        <v>238250083</v>
      </c>
    </row>
    <row r="2284" ht="28" customHeight="1" spans="1:34" x14ac:dyDescent="0.25">
      <c r="A2284">
        <v>2294</v>
      </c>
      <c r="B2284" t="s">
        <v>1396</v>
      </c>
      <c r="C2284" s="10" t="s">
        <v>1278</v>
      </c>
      <c r="D2284" t="s">
        <v>47</v>
      </c>
      <c r="E2284">
        <v>106</v>
      </c>
      <c r="F2284" t="s">
        <v>34</v>
      </c>
      <c r="G2284" t="s">
        <v>1336</v>
      </c>
      <c r="H2284">
        <v>21</v>
      </c>
      <c r="I2284" s="11">
        <f>$E2284+0</f>
        <v>106</v>
      </c>
      <c r="J2284" s="12">
        <v>35200</v>
      </c>
      <c r="K2284" s="13">
        <f>$E2284+1</f>
        <v>107</v>
      </c>
      <c r="L2284" s="14">
        <f>IF($J2284=0,0,ROUND(MAX($J2284*1.4,1620000*(1.497923^(MIN($E2284,123)-117)))*1,0))</f>
        <v>49280</v>
      </c>
      <c r="M2284" s="11">
        <f>$E2284+2</f>
        <v>108</v>
      </c>
      <c r="N2284" s="12">
        <f>IF($J2284=0,0,ROUND(MAX($J2284*1.4*1.5,2190000*(1.580994^(MIN($E2284,123)-117)))*1,0))</f>
        <v>73920</v>
      </c>
      <c r="O2284" s="13">
        <f>$E2284+4</f>
        <v>110</v>
      </c>
      <c r="P2284" s="14">
        <f>IF($J2284=0,0,ROUND(MAX($J2284*1.4*1.5*1.6,3500000*(1.57975^(MIN($E2284,123)-117)))*1,0))</f>
        <v>118272</v>
      </c>
      <c r="Q2284" s="11">
        <f>$E2284+6</f>
        <v>112</v>
      </c>
      <c r="R2284" s="12">
        <f>IF($J2284=0,0,ROUND(MAX($J2284*1.4*1.5*1.6*1.6,13100000*(1.429962^(MIN($E2284,123)-117)))*1,0))</f>
        <v>256272</v>
      </c>
      <c r="S2284" s="13">
        <f>$E2284+8</f>
        <v>114</v>
      </c>
      <c r="T2284" s="14">
        <f>IF($J2284=0,0,ROUND(MAX($J2284*1.4*1.5*1.6*1.6*2.2,42600000*(1.576904^(MIN($E2284,123)-117)))*1,0))</f>
        <v>416317</v>
      </c>
      <c r="U2284" s="11">
        <f>$E2284+11</f>
        <v>117</v>
      </c>
      <c r="V2284" s="12">
        <f>IF($J2284=0,0,ROUND(MAX($J2284*1.4*1.5*1.6*1.6*2.2*2.715,354000000*(1.642074^(MIN($E2284,123)-117)))*1,0))</f>
        <v>1512458</v>
      </c>
      <c r="W2284" s="13">
        <f>$E2284+15</f>
        <v>121</v>
      </c>
      <c r="X2284" s="14">
        <f>IF($J2284=0,0,ROUND(MAX($J2284*1.4*1.5*1.6*1.6*2.2*2.715*2.6,3540000000*(1.579646^(MIN($E2284,123)-117)))*1,0))</f>
        <v>23165718</v>
      </c>
      <c r="Y2284" s="11">
        <f>$E2284+17</f>
        <v>123</v>
      </c>
      <c r="Z2284" s="12">
        <f>IF($J2284=0,0,ROUND(MAX($J2284*1.4*1.5*1.6*1.6*2.2*2.715*2.6*1.4,6020000000*(1.651178^(MIN($E2284,123)-117)))*1,0))</f>
        <v>24202691</v>
      </c>
      <c r="AA2284" s="13">
        <f>$E2284+19</f>
        <v>125</v>
      </c>
      <c r="AB2284" s="14">
        <f>IF($J2284=0,0,ROUND(MAX($J2284*1.4*1.5*1.6*1.6*2.2*2.715*2.6*1.4*1.4,8430000000*(1.651435^(MIN($E2284,123)-117)))*1,0))</f>
        <v>33833836</v>
      </c>
      <c r="AC2284" s="11">
        <f>$E2284+21</f>
        <v>127</v>
      </c>
      <c r="AD2284" s="12">
        <f>IF($J2284=0,0,ROUND(MAX($J2284*1.4*1.5*1.6*1.6*2.2*2.715*2.6*1.4*1.4*1.5,12600000000*(1.652953^(MIN($E2284,123)-117)))*1,0))</f>
        <v>50061630</v>
      </c>
      <c r="AE2284" s="13">
        <f>$E2284+24</f>
        <v>130</v>
      </c>
      <c r="AF2284" s="14">
        <f>IF($J2284=0,0,ROUND(MAX($J2284*1.4*1.5*1.6*1.6*2.2*2.715*2.6*1.4*1.4*1.5*1.5,18900000000*(1.65331^(MIN($E2284,123)-117)))*1,0))</f>
        <v>74914276</v>
      </c>
      <c r="AG2284" s="11">
        <f>$E2284+27</f>
        <v>133</v>
      </c>
      <c r="AH2284" s="12">
        <f>IF($J2284=0,0,ROUND(MAX($J2284*1.4*1.5*1.6*1.6*2.2*2.715*2.6*1.4*1.4*1.5*1.5*3.2,60500000000*(1.654288^(MIN($E2284,123)-117)))*1,0))</f>
        <v>238250083</v>
      </c>
    </row>
    <row r="2285" ht="28" customHeight="1" spans="1:34" x14ac:dyDescent="0.25">
      <c r="A2285">
        <v>2295</v>
      </c>
      <c r="B2285" t="s">
        <v>1397</v>
      </c>
      <c r="C2285" s="10" t="s">
        <v>1278</v>
      </c>
      <c r="D2285" t="s">
        <v>33</v>
      </c>
      <c r="E2285">
        <v>105</v>
      </c>
      <c r="F2285" t="s">
        <v>258</v>
      </c>
      <c r="G2285" t="s">
        <v>1398</v>
      </c>
      <c r="H2285">
        <v>22</v>
      </c>
      <c r="I2285" s="11">
        <f>$E2285+0</f>
        <v>105</v>
      </c>
      <c r="J2285" s="12">
        <v>25000</v>
      </c>
      <c r="K2285" s="13">
        <f>$E2285+1</f>
        <v>106</v>
      </c>
      <c r="L2285" s="14">
        <f>IF($J2285=0,0,ROUND(MAX($J2285*1.4,1620000*(1.497923^(MIN($E2285,123)-117)))*1,0))</f>
        <v>35000</v>
      </c>
      <c r="M2285" s="11">
        <f>$E2285+2</f>
        <v>107</v>
      </c>
      <c r="N2285" s="12">
        <f>IF($J2285=0,0,ROUND(MAX($J2285*1.4*1.5,2190000*(1.580994^(MIN($E2285,123)-117)))*1,0))</f>
        <v>52500</v>
      </c>
      <c r="O2285" s="13">
        <f>$E2285+4</f>
        <v>109</v>
      </c>
      <c r="P2285" s="14">
        <f>IF($J2285=0,0,ROUND(MAX($J2285*1.4*1.5*1.6,3500000*(1.57975^(MIN($E2285,123)-117)))*1,0))</f>
        <v>84000</v>
      </c>
      <c r="Q2285" s="11">
        <f>$E2285+6</f>
        <v>111</v>
      </c>
      <c r="R2285" s="12">
        <f>IF($J2285=0,0,ROUND(MAX($J2285*1.4*1.5*1.6*1.6,13100000*(1.429962^(MIN($E2285,123)-117)))*1,0))</f>
        <v>179216</v>
      </c>
      <c r="S2285" s="13">
        <f>$E2285+8</f>
        <v>113</v>
      </c>
      <c r="T2285" s="14">
        <f>IF($J2285=0,0,ROUND(MAX($J2285*1.4*1.5*1.6*1.6*2.2,42600000*(1.576904^(MIN($E2285,123)-117)))*1,0))</f>
        <v>295680</v>
      </c>
      <c r="U2285" s="11">
        <f>$E2285+11</f>
        <v>116</v>
      </c>
      <c r="V2285" s="12">
        <f>IF($J2285=0,0,ROUND(MAX($J2285*1.4*1.5*1.6*1.6*2.2*2.715,354000000*(1.642074^(MIN($E2285,123)-117)))*1,0))</f>
        <v>921066</v>
      </c>
      <c r="W2285" s="13">
        <f>$E2285+15</f>
        <v>120</v>
      </c>
      <c r="X2285" s="14">
        <f>IF($J2285=0,0,ROUND(MAX($J2285*1.4*1.5*1.6*1.6*2.2*2.715*2.6,3540000000*(1.579646^(MIN($E2285,123)-117)))*1,0))</f>
        <v>14665133</v>
      </c>
      <c r="Y2285" s="11">
        <f>$E2285+17</f>
        <v>122</v>
      </c>
      <c r="Z2285" s="12">
        <f>IF($J2285=0,0,ROUND(MAX($J2285*1.4*1.5*1.6*1.6*2.2*2.715*2.6*1.4,6020000000*(1.651178^(MIN($E2285,123)-117)))*1,0))</f>
        <v>14657833</v>
      </c>
      <c r="AA2285" s="13">
        <f>$E2285+19</f>
        <v>124</v>
      </c>
      <c r="AB2285" s="14">
        <f>IF($J2285=0,0,ROUND(MAX($J2285*1.4*1.5*1.6*1.6*2.2*2.715*2.6*1.4*1.4,8430000000*(1.651435^(MIN($E2285,123)-117)))*1,0))</f>
        <v>20487537</v>
      </c>
      <c r="AC2285" s="11">
        <f>$E2285+21</f>
        <v>126</v>
      </c>
      <c r="AD2285" s="12">
        <f>IF($J2285=0,0,ROUND(MAX($J2285*1.4*1.5*1.6*1.6*2.2*2.715*2.6*1.4*1.4*1.5,12600000000*(1.652953^(MIN($E2285,123)-117)))*1,0))</f>
        <v>30286179</v>
      </c>
      <c r="AE2285" s="13">
        <f>$E2285+24</f>
        <v>129</v>
      </c>
      <c r="AF2285" s="14">
        <f>IF($J2285=0,0,ROUND(MAX($J2285*1.4*1.5*1.6*1.6*2.2*2.715*2.6*1.4*1.4*1.5*1.5,18900000000*(1.65331^(MIN($E2285,123)-117)))*1,0))</f>
        <v>45311693</v>
      </c>
      <c r="AG2285" s="11">
        <f>$E2285+27</f>
        <v>132</v>
      </c>
      <c r="AH2285" s="12">
        <f>IF($J2285=0,0,ROUND(MAX($J2285*1.4*1.5*1.6*1.6*2.2*2.715*2.6*1.4*1.4*1.5*1.5*3.2,60500000000*(1.654288^(MIN($E2285,123)-117)))*1,0))</f>
        <v>144019713</v>
      </c>
    </row>
    <row r="2286" ht="28" customHeight="1" spans="1:34" x14ac:dyDescent="0.25">
      <c r="A2286">
        <v>2296</v>
      </c>
      <c r="B2286" t="s">
        <v>1399</v>
      </c>
      <c r="C2286" s="10" t="s">
        <v>1278</v>
      </c>
      <c r="D2286" t="s">
        <v>45</v>
      </c>
      <c r="E2286">
        <v>105</v>
      </c>
      <c r="F2286" t="s">
        <v>56</v>
      </c>
      <c r="G2286" t="s">
        <v>727</v>
      </c>
      <c r="H2286">
        <v>22</v>
      </c>
      <c r="I2286" s="11">
        <f>$E2286+0</f>
        <v>105</v>
      </c>
      <c r="J2286" s="12">
        <v>24100</v>
      </c>
      <c r="K2286" s="13">
        <f>$E2286+1</f>
        <v>106</v>
      </c>
      <c r="L2286" s="14">
        <f>IF($J2286=0,0,ROUND(MAX($J2286*1.4,1620000*(1.497923^(MIN($E2286,123)-117)))*1,0))</f>
        <v>33740</v>
      </c>
      <c r="M2286" s="11">
        <f>$E2286+2</f>
        <v>107</v>
      </c>
      <c r="N2286" s="12">
        <f>IF($J2286=0,0,ROUND(MAX($J2286*1.4*1.5,2190000*(1.580994^(MIN($E2286,123)-117)))*1,0))</f>
        <v>50610</v>
      </c>
      <c r="O2286" s="13">
        <f>$E2286+4</f>
        <v>109</v>
      </c>
      <c r="P2286" s="14">
        <f>IF($J2286=0,0,ROUND(MAX($J2286*1.4*1.5*1.6,3500000*(1.57975^(MIN($E2286,123)-117)))*1,0))</f>
        <v>80976</v>
      </c>
      <c r="Q2286" s="11">
        <f>$E2286+6</f>
        <v>111</v>
      </c>
      <c r="R2286" s="12">
        <f>IF($J2286=0,0,ROUND(MAX($J2286*1.4*1.5*1.6*1.6,13100000*(1.429962^(MIN($E2286,123)-117)))*1,0))</f>
        <v>179216</v>
      </c>
      <c r="S2286" s="13">
        <f>$E2286+8</f>
        <v>113</v>
      </c>
      <c r="T2286" s="14">
        <f>IF($J2286=0,0,ROUND(MAX($J2286*1.4*1.5*1.6*1.6*2.2,42600000*(1.576904^(MIN($E2286,123)-117)))*1,0))</f>
        <v>285036</v>
      </c>
      <c r="U2286" s="11">
        <f>$E2286+11</f>
        <v>116</v>
      </c>
      <c r="V2286" s="12">
        <f>IF($J2286=0,0,ROUND(MAX($J2286*1.4*1.5*1.6*1.6*2.2*2.715,354000000*(1.642074^(MIN($E2286,123)-117)))*1,0))</f>
        <v>921066</v>
      </c>
      <c r="W2286" s="13">
        <f>$E2286+15</f>
        <v>120</v>
      </c>
      <c r="X2286" s="14">
        <f>IF($J2286=0,0,ROUND(MAX($J2286*1.4*1.5*1.6*1.6*2.2*2.715*2.6,3540000000*(1.579646^(MIN($E2286,123)-117)))*1,0))</f>
        <v>14665133</v>
      </c>
      <c r="Y2286" s="11">
        <f>$E2286+17</f>
        <v>122</v>
      </c>
      <c r="Z2286" s="12">
        <f>IF($J2286=0,0,ROUND(MAX($J2286*1.4*1.5*1.6*1.6*2.2*2.715*2.6*1.4,6020000000*(1.651178^(MIN($E2286,123)-117)))*1,0))</f>
        <v>14657833</v>
      </c>
      <c r="AA2286" s="13">
        <f>$E2286+19</f>
        <v>124</v>
      </c>
      <c r="AB2286" s="14">
        <f>IF($J2286=0,0,ROUND(MAX($J2286*1.4*1.5*1.6*1.6*2.2*2.715*2.6*1.4*1.4,8430000000*(1.651435^(MIN($E2286,123)-117)))*1,0))</f>
        <v>20487537</v>
      </c>
      <c r="AC2286" s="11">
        <f>$E2286+21</f>
        <v>126</v>
      </c>
      <c r="AD2286" s="12">
        <f>IF($J2286=0,0,ROUND(MAX($J2286*1.4*1.5*1.6*1.6*2.2*2.715*2.6*1.4*1.4*1.5,12600000000*(1.652953^(MIN($E2286,123)-117)))*1,0))</f>
        <v>30286179</v>
      </c>
      <c r="AE2286" s="13">
        <f>$E2286+24</f>
        <v>129</v>
      </c>
      <c r="AF2286" s="14">
        <f>IF($J2286=0,0,ROUND(MAX($J2286*1.4*1.5*1.6*1.6*2.2*2.715*2.6*1.4*1.4*1.5*1.5,18900000000*(1.65331^(MIN($E2286,123)-117)))*1,0))</f>
        <v>45311693</v>
      </c>
      <c r="AG2286" s="11">
        <f>$E2286+27</f>
        <v>132</v>
      </c>
      <c r="AH2286" s="12">
        <f>IF($J2286=0,0,ROUND(MAX($J2286*1.4*1.5*1.6*1.6*2.2*2.715*2.6*1.4*1.4*1.5*1.5*3.2,60500000000*(1.654288^(MIN($E2286,123)-117)))*1,0))</f>
        <v>144019713</v>
      </c>
    </row>
    <row r="2287" ht="28" customHeight="1" spans="1:34" x14ac:dyDescent="0.25">
      <c r="A2287">
        <v>2297</v>
      </c>
      <c r="B2287" t="s">
        <v>1400</v>
      </c>
      <c r="C2287" s="10" t="s">
        <v>1278</v>
      </c>
      <c r="D2287" t="s">
        <v>33</v>
      </c>
      <c r="E2287">
        <v>105</v>
      </c>
      <c r="F2287" t="s">
        <v>132</v>
      </c>
      <c r="G2287" t="s">
        <v>727</v>
      </c>
      <c r="H2287">
        <v>22</v>
      </c>
      <c r="I2287" s="11">
        <f>$E2287+0</f>
        <v>105</v>
      </c>
      <c r="J2287" s="12">
        <v>24100</v>
      </c>
      <c r="K2287" s="13">
        <f>$E2287+1</f>
        <v>106</v>
      </c>
      <c r="L2287" s="14">
        <f>IF($J2287=0,0,ROUND(MAX($J2287*1.4,1620000*(1.497923^(MIN($E2287,123)-117)))*1,0))</f>
        <v>33740</v>
      </c>
      <c r="M2287" s="11">
        <f>$E2287+2</f>
        <v>107</v>
      </c>
      <c r="N2287" s="12">
        <f>IF($J2287=0,0,ROUND(MAX($J2287*1.4*1.5,2190000*(1.580994^(MIN($E2287,123)-117)))*1,0))</f>
        <v>50610</v>
      </c>
      <c r="O2287" s="13">
        <f>$E2287+4</f>
        <v>109</v>
      </c>
      <c r="P2287" s="14">
        <f>IF($J2287=0,0,ROUND(MAX($J2287*1.4*1.5*1.6,3500000*(1.57975^(MIN($E2287,123)-117)))*1,0))</f>
        <v>80976</v>
      </c>
      <c r="Q2287" s="11">
        <f>$E2287+6</f>
        <v>111</v>
      </c>
      <c r="R2287" s="12">
        <f>IF($J2287=0,0,ROUND(MAX($J2287*1.4*1.5*1.6*1.6,13100000*(1.429962^(MIN($E2287,123)-117)))*1,0))</f>
        <v>179216</v>
      </c>
      <c r="S2287" s="13">
        <f>$E2287+8</f>
        <v>113</v>
      </c>
      <c r="T2287" s="14">
        <f>IF($J2287=0,0,ROUND(MAX($J2287*1.4*1.5*1.6*1.6*2.2,42600000*(1.576904^(MIN($E2287,123)-117)))*1,0))</f>
        <v>285036</v>
      </c>
      <c r="U2287" s="11">
        <f>$E2287+11</f>
        <v>116</v>
      </c>
      <c r="V2287" s="12">
        <f>IF($J2287=0,0,ROUND(MAX($J2287*1.4*1.5*1.6*1.6*2.2*2.715,354000000*(1.642074^(MIN($E2287,123)-117)))*1,0))</f>
        <v>921066</v>
      </c>
      <c r="W2287" s="13">
        <f>$E2287+15</f>
        <v>120</v>
      </c>
      <c r="X2287" s="14">
        <f>IF($J2287=0,0,ROUND(MAX($J2287*1.4*1.5*1.6*1.6*2.2*2.715*2.6,3540000000*(1.579646^(MIN($E2287,123)-117)))*1,0))</f>
        <v>14665133</v>
      </c>
      <c r="Y2287" s="11">
        <f>$E2287+17</f>
        <v>122</v>
      </c>
      <c r="Z2287" s="12">
        <f>IF($J2287=0,0,ROUND(MAX($J2287*1.4*1.5*1.6*1.6*2.2*2.715*2.6*1.4,6020000000*(1.651178^(MIN($E2287,123)-117)))*1,0))</f>
        <v>14657833</v>
      </c>
      <c r="AA2287" s="13">
        <f>$E2287+19</f>
        <v>124</v>
      </c>
      <c r="AB2287" s="14">
        <f>IF($J2287=0,0,ROUND(MAX($J2287*1.4*1.5*1.6*1.6*2.2*2.715*2.6*1.4*1.4,8430000000*(1.651435^(MIN($E2287,123)-117)))*1,0))</f>
        <v>20487537</v>
      </c>
      <c r="AC2287" s="11">
        <f>$E2287+21</f>
        <v>126</v>
      </c>
      <c r="AD2287" s="12">
        <f>IF($J2287=0,0,ROUND(MAX($J2287*1.4*1.5*1.6*1.6*2.2*2.715*2.6*1.4*1.4*1.5,12600000000*(1.652953^(MIN($E2287,123)-117)))*1,0))</f>
        <v>30286179</v>
      </c>
      <c r="AE2287" s="13">
        <f>$E2287+24</f>
        <v>129</v>
      </c>
      <c r="AF2287" s="14">
        <f>IF($J2287=0,0,ROUND(MAX($J2287*1.4*1.5*1.6*1.6*2.2*2.715*2.6*1.4*1.4*1.5*1.5,18900000000*(1.65331^(MIN($E2287,123)-117)))*1,0))</f>
        <v>45311693</v>
      </c>
      <c r="AG2287" s="11">
        <f>$E2287+27</f>
        <v>132</v>
      </c>
      <c r="AH2287" s="12">
        <f>IF($J2287=0,0,ROUND(MAX($J2287*1.4*1.5*1.6*1.6*2.2*2.715*2.6*1.4*1.4*1.5*1.5*3.2,60500000000*(1.654288^(MIN($E2287,123)-117)))*1,0))</f>
        <v>144019713</v>
      </c>
    </row>
    <row r="2288" ht="28" customHeight="1" spans="1:34" x14ac:dyDescent="0.25">
      <c r="A2288">
        <v>2298</v>
      </c>
      <c r="B2288" t="s">
        <v>1401</v>
      </c>
      <c r="C2288" s="10" t="s">
        <v>1278</v>
      </c>
      <c r="D2288" t="s">
        <v>40</v>
      </c>
      <c r="E2288">
        <v>105</v>
      </c>
      <c r="F2288" t="s">
        <v>217</v>
      </c>
      <c r="G2288" t="s">
        <v>1050</v>
      </c>
      <c r="H2288">
        <v>22</v>
      </c>
      <c r="I2288" s="11">
        <f>$E2288+0</f>
        <v>105</v>
      </c>
      <c r="J2288" s="12">
        <v>26800</v>
      </c>
      <c r="K2288" s="13">
        <f>$E2288+1</f>
        <v>106</v>
      </c>
      <c r="L2288" s="14">
        <f>IF($J2288=0,0,ROUND(MAX($J2288*1.4,1620000*(1.497923^(MIN($E2288,123)-117)))*1,0))</f>
        <v>37520</v>
      </c>
      <c r="M2288" s="11">
        <f>$E2288+2</f>
        <v>107</v>
      </c>
      <c r="N2288" s="12">
        <f>IF($J2288=0,0,ROUND(MAX($J2288*1.4*1.5,2190000*(1.580994^(MIN($E2288,123)-117)))*1,0))</f>
        <v>56280</v>
      </c>
      <c r="O2288" s="13">
        <f>$E2288+4</f>
        <v>109</v>
      </c>
      <c r="P2288" s="14">
        <f>IF($J2288=0,0,ROUND(MAX($J2288*1.4*1.5*1.6,3500000*(1.57975^(MIN($E2288,123)-117)))*1,0))</f>
        <v>90048</v>
      </c>
      <c r="Q2288" s="11">
        <f>$E2288+6</f>
        <v>111</v>
      </c>
      <c r="R2288" s="12">
        <f>IF($J2288=0,0,ROUND(MAX($J2288*1.4*1.5*1.6*1.6,13100000*(1.429962^(MIN($E2288,123)-117)))*1,0))</f>
        <v>179216</v>
      </c>
      <c r="S2288" s="13">
        <f>$E2288+8</f>
        <v>113</v>
      </c>
      <c r="T2288" s="14">
        <f>IF($J2288=0,0,ROUND(MAX($J2288*1.4*1.5*1.6*1.6*2.2,42600000*(1.576904^(MIN($E2288,123)-117)))*1,0))</f>
        <v>316969</v>
      </c>
      <c r="U2288" s="11">
        <f>$E2288+11</f>
        <v>116</v>
      </c>
      <c r="V2288" s="12">
        <f>IF($J2288=0,0,ROUND(MAX($J2288*1.4*1.5*1.6*1.6*2.2*2.715,354000000*(1.642074^(MIN($E2288,123)-117)))*1,0))</f>
        <v>921066</v>
      </c>
      <c r="W2288" s="13">
        <f>$E2288+15</f>
        <v>120</v>
      </c>
      <c r="X2288" s="14">
        <f>IF($J2288=0,0,ROUND(MAX($J2288*1.4*1.5*1.6*1.6*2.2*2.715*2.6,3540000000*(1.579646^(MIN($E2288,123)-117)))*1,0))</f>
        <v>14665133</v>
      </c>
      <c r="Y2288" s="11">
        <f>$E2288+17</f>
        <v>122</v>
      </c>
      <c r="Z2288" s="12">
        <f>IF($J2288=0,0,ROUND(MAX($J2288*1.4*1.5*1.6*1.6*2.2*2.715*2.6*1.4,6020000000*(1.651178^(MIN($E2288,123)-117)))*1,0))</f>
        <v>14657833</v>
      </c>
      <c r="AA2288" s="13">
        <f>$E2288+19</f>
        <v>124</v>
      </c>
      <c r="AB2288" s="14">
        <f>IF($J2288=0,0,ROUND(MAX($J2288*1.4*1.5*1.6*1.6*2.2*2.715*2.6*1.4*1.4,8430000000*(1.651435^(MIN($E2288,123)-117)))*1,0))</f>
        <v>20487537</v>
      </c>
      <c r="AC2288" s="11">
        <f>$E2288+21</f>
        <v>126</v>
      </c>
      <c r="AD2288" s="12">
        <f>IF($J2288=0,0,ROUND(MAX($J2288*1.4*1.5*1.6*1.6*2.2*2.715*2.6*1.4*1.4*1.5,12600000000*(1.652953^(MIN($E2288,123)-117)))*1,0))</f>
        <v>30286179</v>
      </c>
      <c r="AE2288" s="13">
        <f>$E2288+24</f>
        <v>129</v>
      </c>
      <c r="AF2288" s="14">
        <f>IF($J2288=0,0,ROUND(MAX($J2288*1.4*1.5*1.6*1.6*2.2*2.715*2.6*1.4*1.4*1.5*1.5,18900000000*(1.65331^(MIN($E2288,123)-117)))*1,0))</f>
        <v>45311693</v>
      </c>
      <c r="AG2288" s="11">
        <f>$E2288+27</f>
        <v>132</v>
      </c>
      <c r="AH2288" s="12">
        <f>IF($J2288=0,0,ROUND(MAX($J2288*1.4*1.5*1.6*1.6*2.2*2.715*2.6*1.4*1.4*1.5*1.5*3.2,60500000000*(1.654288^(MIN($E2288,123)-117)))*1,0))</f>
        <v>144019713</v>
      </c>
    </row>
    <row r="2289" ht="28" customHeight="1" spans="1:34" x14ac:dyDescent="0.25">
      <c r="A2289">
        <v>2299</v>
      </c>
      <c r="B2289" t="s">
        <v>1402</v>
      </c>
      <c r="C2289" s="10" t="s">
        <v>1278</v>
      </c>
      <c r="D2289" t="s">
        <v>33</v>
      </c>
      <c r="E2289">
        <v>105</v>
      </c>
      <c r="F2289" t="s">
        <v>237</v>
      </c>
      <c r="G2289" t="s">
        <v>565</v>
      </c>
      <c r="H2289">
        <v>22</v>
      </c>
      <c r="I2289" s="11">
        <f>$E2289+0</f>
        <v>105</v>
      </c>
      <c r="J2289" s="12">
        <v>22300</v>
      </c>
      <c r="K2289" s="13">
        <f>$E2289+1</f>
        <v>106</v>
      </c>
      <c r="L2289" s="14">
        <f>IF($J2289=0,0,ROUND(MAX($J2289*1.4,1620000*(1.497923^(MIN($E2289,123)-117)))*1,0))</f>
        <v>31220</v>
      </c>
      <c r="M2289" s="11">
        <f>$E2289+2</f>
        <v>107</v>
      </c>
      <c r="N2289" s="12">
        <f>IF($J2289=0,0,ROUND(MAX($J2289*1.4*1.5,2190000*(1.580994^(MIN($E2289,123)-117)))*1,0))</f>
        <v>46830</v>
      </c>
      <c r="O2289" s="13">
        <f>$E2289+4</f>
        <v>109</v>
      </c>
      <c r="P2289" s="14">
        <f>IF($J2289=0,0,ROUND(MAX($J2289*1.4*1.5*1.6,3500000*(1.57975^(MIN($E2289,123)-117)))*1,0))</f>
        <v>74928</v>
      </c>
      <c r="Q2289" s="11">
        <f>$E2289+6</f>
        <v>111</v>
      </c>
      <c r="R2289" s="12">
        <f>IF($J2289=0,0,ROUND(MAX($J2289*1.4*1.5*1.6*1.6,13100000*(1.429962^(MIN($E2289,123)-117)))*1,0))</f>
        <v>179216</v>
      </c>
      <c r="S2289" s="13">
        <f>$E2289+8</f>
        <v>113</v>
      </c>
      <c r="T2289" s="14">
        <f>IF($J2289=0,0,ROUND(MAX($J2289*1.4*1.5*1.6*1.6*2.2,42600000*(1.576904^(MIN($E2289,123)-117)))*1,0))</f>
        <v>263747</v>
      </c>
      <c r="U2289" s="11">
        <f>$E2289+11</f>
        <v>116</v>
      </c>
      <c r="V2289" s="12">
        <f>IF($J2289=0,0,ROUND(MAX($J2289*1.4*1.5*1.6*1.6*2.2*2.715,354000000*(1.642074^(MIN($E2289,123)-117)))*1,0))</f>
        <v>921066</v>
      </c>
      <c r="W2289" s="13">
        <f>$E2289+15</f>
        <v>120</v>
      </c>
      <c r="X2289" s="14">
        <f>IF($J2289=0,0,ROUND(MAX($J2289*1.4*1.5*1.6*1.6*2.2*2.715*2.6,3540000000*(1.579646^(MIN($E2289,123)-117)))*1,0))</f>
        <v>14665133</v>
      </c>
      <c r="Y2289" s="11">
        <f>$E2289+17</f>
        <v>122</v>
      </c>
      <c r="Z2289" s="12">
        <f>IF($J2289=0,0,ROUND(MAX($J2289*1.4*1.5*1.6*1.6*2.2*2.715*2.6*1.4,6020000000*(1.651178^(MIN($E2289,123)-117)))*1,0))</f>
        <v>14657833</v>
      </c>
      <c r="AA2289" s="13">
        <f>$E2289+19</f>
        <v>124</v>
      </c>
      <c r="AB2289" s="14">
        <f>IF($J2289=0,0,ROUND(MAX($J2289*1.4*1.5*1.6*1.6*2.2*2.715*2.6*1.4*1.4,8430000000*(1.651435^(MIN($E2289,123)-117)))*1,0))</f>
        <v>20487537</v>
      </c>
      <c r="AC2289" s="11">
        <f>$E2289+21</f>
        <v>126</v>
      </c>
      <c r="AD2289" s="12">
        <f>IF($J2289=0,0,ROUND(MAX($J2289*1.4*1.5*1.6*1.6*2.2*2.715*2.6*1.4*1.4*1.5,12600000000*(1.652953^(MIN($E2289,123)-117)))*1,0))</f>
        <v>30286179</v>
      </c>
      <c r="AE2289" s="13">
        <f>$E2289+24</f>
        <v>129</v>
      </c>
      <c r="AF2289" s="14">
        <f>IF($J2289=0,0,ROUND(MAX($J2289*1.4*1.5*1.6*1.6*2.2*2.715*2.6*1.4*1.4*1.5*1.5,18900000000*(1.65331^(MIN($E2289,123)-117)))*1,0))</f>
        <v>45311693</v>
      </c>
      <c r="AG2289" s="11">
        <f>$E2289+27</f>
        <v>132</v>
      </c>
      <c r="AH2289" s="12">
        <f>IF($J2289=0,0,ROUND(MAX($J2289*1.4*1.5*1.6*1.6*2.2*2.715*2.6*1.4*1.4*1.5*1.5*3.2,60500000000*(1.654288^(MIN($E2289,123)-117)))*1,0))</f>
        <v>144019713</v>
      </c>
    </row>
    <row r="2290" ht="28" customHeight="1" spans="1:34" x14ac:dyDescent="0.25">
      <c r="A2290">
        <v>2300</v>
      </c>
      <c r="B2290" t="s">
        <v>825</v>
      </c>
      <c r="C2290" s="10" t="s">
        <v>1278</v>
      </c>
      <c r="D2290" t="s">
        <v>40</v>
      </c>
      <c r="E2290">
        <v>105</v>
      </c>
      <c r="F2290" t="s">
        <v>71</v>
      </c>
      <c r="G2290" t="s">
        <v>362</v>
      </c>
      <c r="H2290">
        <v>22</v>
      </c>
      <c r="I2290" s="11">
        <f>$E2290+0</f>
        <v>105</v>
      </c>
      <c r="J2290" s="12">
        <v>24600</v>
      </c>
      <c r="K2290" s="13">
        <f>$E2290+1</f>
        <v>106</v>
      </c>
      <c r="L2290" s="14">
        <f>IF($J2290=0,0,ROUND(MAX($J2290*1.4,1620000*(1.497923^(MIN($E2290,123)-117)))*1,0))</f>
        <v>34440</v>
      </c>
      <c r="M2290" s="11">
        <f>$E2290+2</f>
        <v>107</v>
      </c>
      <c r="N2290" s="12">
        <f>IF($J2290=0,0,ROUND(MAX($J2290*1.4*1.5,2190000*(1.580994^(MIN($E2290,123)-117)))*1,0))</f>
        <v>51660</v>
      </c>
      <c r="O2290" s="13">
        <f>$E2290+4</f>
        <v>109</v>
      </c>
      <c r="P2290" s="14">
        <f>IF($J2290=0,0,ROUND(MAX($J2290*1.4*1.5*1.6,3500000*(1.57975^(MIN($E2290,123)-117)))*1,0))</f>
        <v>82656</v>
      </c>
      <c r="Q2290" s="11">
        <f>$E2290+6</f>
        <v>111</v>
      </c>
      <c r="R2290" s="12">
        <f>IF($J2290=0,0,ROUND(MAX($J2290*1.4*1.5*1.6*1.6,13100000*(1.429962^(MIN($E2290,123)-117)))*1,0))</f>
        <v>179216</v>
      </c>
      <c r="S2290" s="13">
        <f>$E2290+8</f>
        <v>113</v>
      </c>
      <c r="T2290" s="14">
        <f>IF($J2290=0,0,ROUND(MAX($J2290*1.4*1.5*1.6*1.6*2.2,42600000*(1.576904^(MIN($E2290,123)-117)))*1,0))</f>
        <v>290949</v>
      </c>
      <c r="U2290" s="11">
        <f>$E2290+11</f>
        <v>116</v>
      </c>
      <c r="V2290" s="12">
        <f>IF($J2290=0,0,ROUND(MAX($J2290*1.4*1.5*1.6*1.6*2.2*2.715,354000000*(1.642074^(MIN($E2290,123)-117)))*1,0))</f>
        <v>921066</v>
      </c>
      <c r="W2290" s="13">
        <f>$E2290+15</f>
        <v>120</v>
      </c>
      <c r="X2290" s="14">
        <f>IF($J2290=0,0,ROUND(MAX($J2290*1.4*1.5*1.6*1.6*2.2*2.715*2.6,3540000000*(1.579646^(MIN($E2290,123)-117)))*1,0))</f>
        <v>14665133</v>
      </c>
      <c r="Y2290" s="11">
        <f>$E2290+17</f>
        <v>122</v>
      </c>
      <c r="Z2290" s="12">
        <f>IF($J2290=0,0,ROUND(MAX($J2290*1.4*1.5*1.6*1.6*2.2*2.715*2.6*1.4,6020000000*(1.651178^(MIN($E2290,123)-117)))*1,0))</f>
        <v>14657833</v>
      </c>
      <c r="AA2290" s="13">
        <f>$E2290+19</f>
        <v>124</v>
      </c>
      <c r="AB2290" s="14">
        <f>IF($J2290=0,0,ROUND(MAX($J2290*1.4*1.5*1.6*1.6*2.2*2.715*2.6*1.4*1.4,8430000000*(1.651435^(MIN($E2290,123)-117)))*1,0))</f>
        <v>20487537</v>
      </c>
      <c r="AC2290" s="11">
        <f>$E2290+21</f>
        <v>126</v>
      </c>
      <c r="AD2290" s="12">
        <f>IF($J2290=0,0,ROUND(MAX($J2290*1.4*1.5*1.6*1.6*2.2*2.715*2.6*1.4*1.4*1.5,12600000000*(1.652953^(MIN($E2290,123)-117)))*1,0))</f>
        <v>30286179</v>
      </c>
      <c r="AE2290" s="13">
        <f>$E2290+24</f>
        <v>129</v>
      </c>
      <c r="AF2290" s="14">
        <f>IF($J2290=0,0,ROUND(MAX($J2290*1.4*1.5*1.6*1.6*2.2*2.715*2.6*1.4*1.4*1.5*1.5,18900000000*(1.65331^(MIN($E2290,123)-117)))*1,0))</f>
        <v>45311693</v>
      </c>
      <c r="AG2290" s="11">
        <f>$E2290+27</f>
        <v>132</v>
      </c>
      <c r="AH2290" s="12">
        <f>IF($J2290=0,0,ROUND(MAX($J2290*1.4*1.5*1.6*1.6*2.2*2.715*2.6*1.4*1.4*1.5*1.5*3.2,60500000000*(1.654288^(MIN($E2290,123)-117)))*1,0))</f>
        <v>144019713</v>
      </c>
    </row>
    <row r="2291" ht="28" customHeight="1" spans="1:34" x14ac:dyDescent="0.25">
      <c r="A2291">
        <v>2301</v>
      </c>
      <c r="B2291" t="s">
        <v>1403</v>
      </c>
      <c r="C2291" s="10" t="s">
        <v>1278</v>
      </c>
      <c r="D2291" t="s">
        <v>75</v>
      </c>
      <c r="E2291">
        <v>105</v>
      </c>
      <c r="F2291" t="s">
        <v>56</v>
      </c>
      <c r="G2291" t="s">
        <v>244</v>
      </c>
      <c r="H2291">
        <v>22</v>
      </c>
      <c r="I2291" s="11">
        <f>$E2291+0</f>
        <v>105</v>
      </c>
      <c r="J2291" s="12">
        <v>37600</v>
      </c>
      <c r="K2291" s="13">
        <f>$E2291+1</f>
        <v>106</v>
      </c>
      <c r="L2291" s="14">
        <f>IF($J2291=0,0,ROUND(MAX($J2291*1.4,1620000*(1.497923^(MIN($E2291,123)-117)))*1,0))</f>
        <v>52640</v>
      </c>
      <c r="M2291" s="11">
        <f>$E2291+2</f>
        <v>107</v>
      </c>
      <c r="N2291" s="12">
        <f>IF($J2291=0,0,ROUND(MAX($J2291*1.4*1.5,2190000*(1.580994^(MIN($E2291,123)-117)))*1,0))</f>
        <v>78960</v>
      </c>
      <c r="O2291" s="13">
        <f>$E2291+4</f>
        <v>109</v>
      </c>
      <c r="P2291" s="14">
        <f>IF($J2291=0,0,ROUND(MAX($J2291*1.4*1.5*1.6,3500000*(1.57975^(MIN($E2291,123)-117)))*1,0))</f>
        <v>126336</v>
      </c>
      <c r="Q2291" s="11">
        <f>$E2291+6</f>
        <v>111</v>
      </c>
      <c r="R2291" s="12">
        <f>IF($J2291=0,0,ROUND(MAX($J2291*1.4*1.5*1.6*1.6,13100000*(1.429962^(MIN($E2291,123)-117)))*1,0))</f>
        <v>202138</v>
      </c>
      <c r="S2291" s="13">
        <f>$E2291+8</f>
        <v>113</v>
      </c>
      <c r="T2291" s="14">
        <f>IF($J2291=0,0,ROUND(MAX($J2291*1.4*1.5*1.6*1.6*2.2,42600000*(1.576904^(MIN($E2291,123)-117)))*1,0))</f>
        <v>444703</v>
      </c>
      <c r="U2291" s="11">
        <f>$E2291+11</f>
        <v>116</v>
      </c>
      <c r="V2291" s="12">
        <f>IF($J2291=0,0,ROUND(MAX($J2291*1.4*1.5*1.6*1.6*2.2*2.715,354000000*(1.642074^(MIN($E2291,123)-117)))*1,0))</f>
        <v>1207368</v>
      </c>
      <c r="W2291" s="13">
        <f>$E2291+15</f>
        <v>120</v>
      </c>
      <c r="X2291" s="14">
        <f>IF($J2291=0,0,ROUND(MAX($J2291*1.4*1.5*1.6*1.6*2.2*2.715*2.6,3540000000*(1.579646^(MIN($E2291,123)-117)))*1,0))</f>
        <v>14665133</v>
      </c>
      <c r="Y2291" s="11">
        <f>$E2291+17</f>
        <v>122</v>
      </c>
      <c r="Z2291" s="12">
        <f>IF($J2291=0,0,ROUND(MAX($J2291*1.4*1.5*1.6*1.6*2.2*2.715*2.6*1.4,6020000000*(1.651178^(MIN($E2291,123)-117)))*1,0))</f>
        <v>14657833</v>
      </c>
      <c r="AA2291" s="13">
        <f>$E2291+19</f>
        <v>124</v>
      </c>
      <c r="AB2291" s="14">
        <f>IF($J2291=0,0,ROUND(MAX($J2291*1.4*1.5*1.6*1.6*2.2*2.715*2.6*1.4*1.4,8430000000*(1.651435^(MIN($E2291,123)-117)))*1,0))</f>
        <v>20487537</v>
      </c>
      <c r="AC2291" s="11">
        <f>$E2291+21</f>
        <v>126</v>
      </c>
      <c r="AD2291" s="12">
        <f>IF($J2291=0,0,ROUND(MAX($J2291*1.4*1.5*1.6*1.6*2.2*2.715*2.6*1.4*1.4*1.5,12600000000*(1.652953^(MIN($E2291,123)-117)))*1,0))</f>
        <v>30286179</v>
      </c>
      <c r="AE2291" s="13">
        <f>$E2291+24</f>
        <v>129</v>
      </c>
      <c r="AF2291" s="14">
        <f>IF($J2291=0,0,ROUND(MAX($J2291*1.4*1.5*1.6*1.6*2.2*2.715*2.6*1.4*1.4*1.5*1.5,18900000000*(1.65331^(MIN($E2291,123)-117)))*1,0))</f>
        <v>45311693</v>
      </c>
      <c r="AG2291" s="11">
        <f>$E2291+27</f>
        <v>132</v>
      </c>
      <c r="AH2291" s="12">
        <f>IF($J2291=0,0,ROUND(MAX($J2291*1.4*1.5*1.6*1.6*2.2*2.715*2.6*1.4*1.4*1.5*1.5*3.2,60500000000*(1.654288^(MIN($E2291,123)-117)))*1,0))</f>
        <v>144019713</v>
      </c>
    </row>
    <row r="2292" ht="28" customHeight="1" spans="1:34" x14ac:dyDescent="0.25">
      <c r="A2292">
        <v>2302</v>
      </c>
      <c r="B2292" t="s">
        <v>1404</v>
      </c>
      <c r="C2292" s="10" t="s">
        <v>1278</v>
      </c>
      <c r="D2292" t="s">
        <v>79</v>
      </c>
      <c r="E2292">
        <v>105</v>
      </c>
      <c r="F2292" t="s">
        <v>56</v>
      </c>
      <c r="G2292" t="s">
        <v>1288</v>
      </c>
      <c r="H2292">
        <v>22</v>
      </c>
      <c r="I2292" s="11">
        <f>$E2292+0</f>
        <v>105</v>
      </c>
      <c r="J2292" s="12">
        <v>27100</v>
      </c>
      <c r="K2292" s="13">
        <f>$E2292+1</f>
        <v>106</v>
      </c>
      <c r="L2292" s="14">
        <f>IF($J2292=0,0,ROUND(MAX($J2292*1.4,1620000*(1.497923^(MIN($E2292,123)-117)))*1,0))</f>
        <v>37940</v>
      </c>
      <c r="M2292" s="11">
        <f>$E2292+2</f>
        <v>107</v>
      </c>
      <c r="N2292" s="12">
        <f>IF($J2292=0,0,ROUND(MAX($J2292*1.4*1.5,2190000*(1.580994^(MIN($E2292,123)-117)))*1,0))</f>
        <v>56910</v>
      </c>
      <c r="O2292" s="13">
        <f>$E2292+4</f>
        <v>109</v>
      </c>
      <c r="P2292" s="14">
        <f>IF($J2292=0,0,ROUND(MAX($J2292*1.4*1.5*1.6,3500000*(1.57975^(MIN($E2292,123)-117)))*1,0))</f>
        <v>91056</v>
      </c>
      <c r="Q2292" s="11">
        <f>$E2292+6</f>
        <v>111</v>
      </c>
      <c r="R2292" s="12">
        <f>IF($J2292=0,0,ROUND(MAX($J2292*1.4*1.5*1.6*1.6,13100000*(1.429962^(MIN($E2292,123)-117)))*1,0))</f>
        <v>179216</v>
      </c>
      <c r="S2292" s="13">
        <f>$E2292+8</f>
        <v>113</v>
      </c>
      <c r="T2292" s="14">
        <f>IF($J2292=0,0,ROUND(MAX($J2292*1.4*1.5*1.6*1.6*2.2,42600000*(1.576904^(MIN($E2292,123)-117)))*1,0))</f>
        <v>320517</v>
      </c>
      <c r="U2292" s="11">
        <f>$E2292+11</f>
        <v>116</v>
      </c>
      <c r="V2292" s="12">
        <f>IF($J2292=0,0,ROUND(MAX($J2292*1.4*1.5*1.6*1.6*2.2*2.715,354000000*(1.642074^(MIN($E2292,123)-117)))*1,0))</f>
        <v>921066</v>
      </c>
      <c r="W2292" s="13">
        <f>$E2292+15</f>
        <v>120</v>
      </c>
      <c r="X2292" s="14">
        <f>IF($J2292=0,0,ROUND(MAX($J2292*1.4*1.5*1.6*1.6*2.2*2.715*2.6,3540000000*(1.579646^(MIN($E2292,123)-117)))*1,0))</f>
        <v>14665133</v>
      </c>
      <c r="Y2292" s="11">
        <f>$E2292+17</f>
        <v>122</v>
      </c>
      <c r="Z2292" s="12">
        <f>IF($J2292=0,0,ROUND(MAX($J2292*1.4*1.5*1.6*1.6*2.2*2.715*2.6*1.4,6020000000*(1.651178^(MIN($E2292,123)-117)))*1,0))</f>
        <v>14657833</v>
      </c>
      <c r="AA2292" s="13">
        <f>$E2292+19</f>
        <v>124</v>
      </c>
      <c r="AB2292" s="14">
        <f>IF($J2292=0,0,ROUND(MAX($J2292*1.4*1.5*1.6*1.6*2.2*2.715*2.6*1.4*1.4,8430000000*(1.651435^(MIN($E2292,123)-117)))*1,0))</f>
        <v>20487537</v>
      </c>
      <c r="AC2292" s="11">
        <f>$E2292+21</f>
        <v>126</v>
      </c>
      <c r="AD2292" s="12">
        <f>IF($J2292=0,0,ROUND(MAX($J2292*1.4*1.5*1.6*1.6*2.2*2.715*2.6*1.4*1.4*1.5,12600000000*(1.652953^(MIN($E2292,123)-117)))*1,0))</f>
        <v>30286179</v>
      </c>
      <c r="AE2292" s="13">
        <f>$E2292+24</f>
        <v>129</v>
      </c>
      <c r="AF2292" s="14">
        <f>IF($J2292=0,0,ROUND(MAX($J2292*1.4*1.5*1.6*1.6*2.2*2.715*2.6*1.4*1.4*1.5*1.5,18900000000*(1.65331^(MIN($E2292,123)-117)))*1,0))</f>
        <v>45311693</v>
      </c>
      <c r="AG2292" s="11">
        <f>$E2292+27</f>
        <v>132</v>
      </c>
      <c r="AH2292" s="12">
        <f>IF($J2292=0,0,ROUND(MAX($J2292*1.4*1.5*1.6*1.6*2.2*2.715*2.6*1.4*1.4*1.5*1.5*3.2,60500000000*(1.654288^(MIN($E2292,123)-117)))*1,0))</f>
        <v>144019713</v>
      </c>
    </row>
    <row r="2293" ht="28" customHeight="1" spans="1:34" x14ac:dyDescent="0.25">
      <c r="A2293">
        <v>2303</v>
      </c>
      <c r="B2293" t="s">
        <v>1405</v>
      </c>
      <c r="C2293" s="10" t="s">
        <v>1278</v>
      </c>
      <c r="D2293" t="s">
        <v>33</v>
      </c>
      <c r="E2293">
        <v>105</v>
      </c>
      <c r="F2293" t="s">
        <v>62</v>
      </c>
      <c r="G2293" t="s">
        <v>366</v>
      </c>
      <c r="H2293">
        <v>22</v>
      </c>
      <c r="I2293" s="11">
        <f>$E2293+0</f>
        <v>105</v>
      </c>
      <c r="J2293" s="12">
        <v>26600</v>
      </c>
      <c r="K2293" s="13">
        <f>$E2293+1</f>
        <v>106</v>
      </c>
      <c r="L2293" s="14">
        <f>IF($J2293=0,0,ROUND(MAX($J2293*1.4,1620000*(1.497923^(MIN($E2293,123)-117)))*1,0))</f>
        <v>37240</v>
      </c>
      <c r="M2293" s="11">
        <f>$E2293+2</f>
        <v>107</v>
      </c>
      <c r="N2293" s="12">
        <f>IF($J2293=0,0,ROUND(MAX($J2293*1.4*1.5,2190000*(1.580994^(MIN($E2293,123)-117)))*1,0))</f>
        <v>55860</v>
      </c>
      <c r="O2293" s="13">
        <f>$E2293+4</f>
        <v>109</v>
      </c>
      <c r="P2293" s="14">
        <f>IF($J2293=0,0,ROUND(MAX($J2293*1.4*1.5*1.6,3500000*(1.57975^(MIN($E2293,123)-117)))*1,0))</f>
        <v>89376</v>
      </c>
      <c r="Q2293" s="11">
        <f>$E2293+6</f>
        <v>111</v>
      </c>
      <c r="R2293" s="12">
        <f>IF($J2293=0,0,ROUND(MAX($J2293*1.4*1.5*1.6*1.6,13100000*(1.429962^(MIN($E2293,123)-117)))*1,0))</f>
        <v>179216</v>
      </c>
      <c r="S2293" s="13">
        <f>$E2293+8</f>
        <v>113</v>
      </c>
      <c r="T2293" s="14">
        <f>IF($J2293=0,0,ROUND(MAX($J2293*1.4*1.5*1.6*1.6*2.2,42600000*(1.576904^(MIN($E2293,123)-117)))*1,0))</f>
        <v>314604</v>
      </c>
      <c r="U2293" s="11">
        <f>$E2293+11</f>
        <v>116</v>
      </c>
      <c r="V2293" s="12">
        <f>IF($J2293=0,0,ROUND(MAX($J2293*1.4*1.5*1.6*1.6*2.2*2.715,354000000*(1.642074^(MIN($E2293,123)-117)))*1,0))</f>
        <v>921066</v>
      </c>
      <c r="W2293" s="13">
        <f>$E2293+15</f>
        <v>120</v>
      </c>
      <c r="X2293" s="14">
        <f>IF($J2293=0,0,ROUND(MAX($J2293*1.4*1.5*1.6*1.6*2.2*2.715*2.6,3540000000*(1.579646^(MIN($E2293,123)-117)))*1,0))</f>
        <v>14665133</v>
      </c>
      <c r="Y2293" s="11">
        <f>$E2293+17</f>
        <v>122</v>
      </c>
      <c r="Z2293" s="12">
        <f>IF($J2293=0,0,ROUND(MAX($J2293*1.4*1.5*1.6*1.6*2.2*2.715*2.6*1.4,6020000000*(1.651178^(MIN($E2293,123)-117)))*1,0))</f>
        <v>14657833</v>
      </c>
      <c r="AA2293" s="13">
        <f>$E2293+19</f>
        <v>124</v>
      </c>
      <c r="AB2293" s="14">
        <f>IF($J2293=0,0,ROUND(MAX($J2293*1.4*1.5*1.6*1.6*2.2*2.715*2.6*1.4*1.4,8430000000*(1.651435^(MIN($E2293,123)-117)))*1,0))</f>
        <v>20487537</v>
      </c>
      <c r="AC2293" s="11">
        <f>$E2293+21</f>
        <v>126</v>
      </c>
      <c r="AD2293" s="12">
        <f>IF($J2293=0,0,ROUND(MAX($J2293*1.4*1.5*1.6*1.6*2.2*2.715*2.6*1.4*1.4*1.5,12600000000*(1.652953^(MIN($E2293,123)-117)))*1,0))</f>
        <v>30286179</v>
      </c>
      <c r="AE2293" s="13">
        <f>$E2293+24</f>
        <v>129</v>
      </c>
      <c r="AF2293" s="14">
        <f>IF($J2293=0,0,ROUND(MAX($J2293*1.4*1.5*1.6*1.6*2.2*2.715*2.6*1.4*1.4*1.5*1.5,18900000000*(1.65331^(MIN($E2293,123)-117)))*1,0))</f>
        <v>45311693</v>
      </c>
      <c r="AG2293" s="11">
        <f>$E2293+27</f>
        <v>132</v>
      </c>
      <c r="AH2293" s="12">
        <f>IF($J2293=0,0,ROUND(MAX($J2293*1.4*1.5*1.6*1.6*2.2*2.715*2.6*1.4*1.4*1.5*1.5*3.2,60500000000*(1.654288^(MIN($E2293,123)-117)))*1,0))</f>
        <v>144019713</v>
      </c>
    </row>
    <row r="2294" ht="28" customHeight="1" spans="1:34" x14ac:dyDescent="0.25">
      <c r="A2294">
        <v>2304</v>
      </c>
      <c r="B2294" t="s">
        <v>1258</v>
      </c>
      <c r="C2294" s="10" t="s">
        <v>1278</v>
      </c>
      <c r="D2294" t="s">
        <v>102</v>
      </c>
      <c r="E2294">
        <v>105</v>
      </c>
      <c r="F2294" t="s">
        <v>71</v>
      </c>
      <c r="G2294" t="s">
        <v>282</v>
      </c>
      <c r="H2294">
        <v>22</v>
      </c>
      <c r="I2294" s="11">
        <f>$E2294+0</f>
        <v>105</v>
      </c>
      <c r="J2294" s="12">
        <v>24000</v>
      </c>
      <c r="K2294" s="13">
        <f>$E2294+1</f>
        <v>106</v>
      </c>
      <c r="L2294" s="14">
        <f>IF($J2294=0,0,ROUND(MAX($J2294*1.4,1620000*(1.497923^(MIN($E2294,123)-117)))*1,0))</f>
        <v>33600</v>
      </c>
      <c r="M2294" s="11">
        <f>$E2294+2</f>
        <v>107</v>
      </c>
      <c r="N2294" s="12">
        <f>IF($J2294=0,0,ROUND(MAX($J2294*1.4*1.5,2190000*(1.580994^(MIN($E2294,123)-117)))*1,0))</f>
        <v>50400</v>
      </c>
      <c r="O2294" s="13">
        <f>$E2294+4</f>
        <v>109</v>
      </c>
      <c r="P2294" s="14">
        <f>IF($J2294=0,0,ROUND(MAX($J2294*1.4*1.5*1.6,3500000*(1.57975^(MIN($E2294,123)-117)))*1,0))</f>
        <v>80640</v>
      </c>
      <c r="Q2294" s="11">
        <f>$E2294+6</f>
        <v>111</v>
      </c>
      <c r="R2294" s="12">
        <f>IF($J2294=0,0,ROUND(MAX($J2294*1.4*1.5*1.6*1.6,13100000*(1.429962^(MIN($E2294,123)-117)))*1,0))</f>
        <v>179216</v>
      </c>
      <c r="S2294" s="13">
        <f>$E2294+8</f>
        <v>113</v>
      </c>
      <c r="T2294" s="14">
        <f>IF($J2294=0,0,ROUND(MAX($J2294*1.4*1.5*1.6*1.6*2.2,42600000*(1.576904^(MIN($E2294,123)-117)))*1,0))</f>
        <v>283853</v>
      </c>
      <c r="U2294" s="11">
        <f>$E2294+11</f>
        <v>116</v>
      </c>
      <c r="V2294" s="12">
        <f>IF($J2294=0,0,ROUND(MAX($J2294*1.4*1.5*1.6*1.6*2.2*2.715,354000000*(1.642074^(MIN($E2294,123)-117)))*1,0))</f>
        <v>921066</v>
      </c>
      <c r="W2294" s="13">
        <f>$E2294+15</f>
        <v>120</v>
      </c>
      <c r="X2294" s="14">
        <f>IF($J2294=0,0,ROUND(MAX($J2294*1.4*1.5*1.6*1.6*2.2*2.715*2.6,3540000000*(1.579646^(MIN($E2294,123)-117)))*1,0))</f>
        <v>14665133</v>
      </c>
      <c r="Y2294" s="11">
        <f>$E2294+17</f>
        <v>122</v>
      </c>
      <c r="Z2294" s="12">
        <f>IF($J2294=0,0,ROUND(MAX($J2294*1.4*1.5*1.6*1.6*2.2*2.715*2.6*1.4,6020000000*(1.651178^(MIN($E2294,123)-117)))*1,0))</f>
        <v>14657833</v>
      </c>
      <c r="AA2294" s="13">
        <f>$E2294+19</f>
        <v>124</v>
      </c>
      <c r="AB2294" s="14">
        <f>IF($J2294=0,0,ROUND(MAX($J2294*1.4*1.5*1.6*1.6*2.2*2.715*2.6*1.4*1.4,8430000000*(1.651435^(MIN($E2294,123)-117)))*1,0))</f>
        <v>20487537</v>
      </c>
      <c r="AC2294" s="11">
        <f>$E2294+21</f>
        <v>126</v>
      </c>
      <c r="AD2294" s="12">
        <f>IF($J2294=0,0,ROUND(MAX($J2294*1.4*1.5*1.6*1.6*2.2*2.715*2.6*1.4*1.4*1.5,12600000000*(1.652953^(MIN($E2294,123)-117)))*1,0))</f>
        <v>30286179</v>
      </c>
      <c r="AE2294" s="13">
        <f>$E2294+24</f>
        <v>129</v>
      </c>
      <c r="AF2294" s="14">
        <f>IF($J2294=0,0,ROUND(MAX($J2294*1.4*1.5*1.6*1.6*2.2*2.715*2.6*1.4*1.4*1.5*1.5,18900000000*(1.65331^(MIN($E2294,123)-117)))*1,0))</f>
        <v>45311693</v>
      </c>
      <c r="AG2294" s="11">
        <f>$E2294+27</f>
        <v>132</v>
      </c>
      <c r="AH2294" s="12">
        <f>IF($J2294=0,0,ROUND(MAX($J2294*1.4*1.5*1.6*1.6*2.2*2.715*2.6*1.4*1.4*1.5*1.5*3.2,60500000000*(1.654288^(MIN($E2294,123)-117)))*1,0))</f>
        <v>144019713</v>
      </c>
    </row>
    <row r="2295" ht="28" customHeight="1" spans="1:34" x14ac:dyDescent="0.25">
      <c r="A2295">
        <v>2305</v>
      </c>
      <c r="B2295" t="s">
        <v>1075</v>
      </c>
      <c r="C2295" s="10" t="s">
        <v>1278</v>
      </c>
      <c r="D2295" t="s">
        <v>33</v>
      </c>
      <c r="E2295">
        <v>105</v>
      </c>
      <c r="F2295" t="s">
        <v>56</v>
      </c>
      <c r="G2295" t="s">
        <v>416</v>
      </c>
      <c r="H2295">
        <v>22</v>
      </c>
      <c r="I2295" s="11">
        <f>$E2295+0</f>
        <v>105</v>
      </c>
      <c r="J2295" s="12">
        <v>28200</v>
      </c>
      <c r="K2295" s="13">
        <f>$E2295+1</f>
        <v>106</v>
      </c>
      <c r="L2295" s="14">
        <f>IF($J2295=0,0,ROUND(MAX($J2295*1.4,1620000*(1.497923^(MIN($E2295,123)-117)))*1,0))</f>
        <v>39480</v>
      </c>
      <c r="M2295" s="11">
        <f>$E2295+2</f>
        <v>107</v>
      </c>
      <c r="N2295" s="12">
        <f>IF($J2295=0,0,ROUND(MAX($J2295*1.4*1.5,2190000*(1.580994^(MIN($E2295,123)-117)))*1,0))</f>
        <v>59220</v>
      </c>
      <c r="O2295" s="13">
        <f>$E2295+4</f>
        <v>109</v>
      </c>
      <c r="P2295" s="14">
        <f>IF($J2295=0,0,ROUND(MAX($J2295*1.4*1.5*1.6,3500000*(1.57975^(MIN($E2295,123)-117)))*1,0))</f>
        <v>94752</v>
      </c>
      <c r="Q2295" s="11">
        <f>$E2295+6</f>
        <v>111</v>
      </c>
      <c r="R2295" s="12">
        <f>IF($J2295=0,0,ROUND(MAX($J2295*1.4*1.5*1.6*1.6,13100000*(1.429962^(MIN($E2295,123)-117)))*1,0))</f>
        <v>179216</v>
      </c>
      <c r="S2295" s="13">
        <f>$E2295+8</f>
        <v>113</v>
      </c>
      <c r="T2295" s="14">
        <f>IF($J2295=0,0,ROUND(MAX($J2295*1.4*1.5*1.6*1.6*2.2,42600000*(1.576904^(MIN($E2295,123)-117)))*1,0))</f>
        <v>333527</v>
      </c>
      <c r="U2295" s="11">
        <f>$E2295+11</f>
        <v>116</v>
      </c>
      <c r="V2295" s="12">
        <f>IF($J2295=0,0,ROUND(MAX($J2295*1.4*1.5*1.6*1.6*2.2*2.715,354000000*(1.642074^(MIN($E2295,123)-117)))*1,0))</f>
        <v>921066</v>
      </c>
      <c r="W2295" s="13">
        <f>$E2295+15</f>
        <v>120</v>
      </c>
      <c r="X2295" s="14">
        <f>IF($J2295=0,0,ROUND(MAX($J2295*1.4*1.5*1.6*1.6*2.2*2.715*2.6,3540000000*(1.579646^(MIN($E2295,123)-117)))*1,0))</f>
        <v>14665133</v>
      </c>
      <c r="Y2295" s="11">
        <f>$E2295+17</f>
        <v>122</v>
      </c>
      <c r="Z2295" s="12">
        <f>IF($J2295=0,0,ROUND(MAX($J2295*1.4*1.5*1.6*1.6*2.2*2.715*2.6*1.4,6020000000*(1.651178^(MIN($E2295,123)-117)))*1,0))</f>
        <v>14657833</v>
      </c>
      <c r="AA2295" s="13">
        <f>$E2295+19</f>
        <v>124</v>
      </c>
      <c r="AB2295" s="14">
        <f>IF($J2295=0,0,ROUND(MAX($J2295*1.4*1.5*1.6*1.6*2.2*2.715*2.6*1.4*1.4,8430000000*(1.651435^(MIN($E2295,123)-117)))*1,0))</f>
        <v>20487537</v>
      </c>
      <c r="AC2295" s="11">
        <f>$E2295+21</f>
        <v>126</v>
      </c>
      <c r="AD2295" s="12">
        <f>IF($J2295=0,0,ROUND(MAX($J2295*1.4*1.5*1.6*1.6*2.2*2.715*2.6*1.4*1.4*1.5,12600000000*(1.652953^(MIN($E2295,123)-117)))*1,0))</f>
        <v>30286179</v>
      </c>
      <c r="AE2295" s="13">
        <f>$E2295+24</f>
        <v>129</v>
      </c>
      <c r="AF2295" s="14">
        <f>IF($J2295=0,0,ROUND(MAX($J2295*1.4*1.5*1.6*1.6*2.2*2.715*2.6*1.4*1.4*1.5*1.5,18900000000*(1.65331^(MIN($E2295,123)-117)))*1,0))</f>
        <v>45311693</v>
      </c>
      <c r="AG2295" s="11">
        <f>$E2295+27</f>
        <v>132</v>
      </c>
      <c r="AH2295" s="12">
        <f>IF($J2295=0,0,ROUND(MAX($J2295*1.4*1.5*1.6*1.6*2.2*2.715*2.6*1.4*1.4*1.5*1.5*3.2,60500000000*(1.654288^(MIN($E2295,123)-117)))*1,0))</f>
        <v>144019713</v>
      </c>
    </row>
    <row r="2296" ht="28" customHeight="1" spans="1:34" x14ac:dyDescent="0.25">
      <c r="A2296">
        <v>2306</v>
      </c>
      <c r="B2296" t="s">
        <v>1406</v>
      </c>
      <c r="C2296" s="10" t="s">
        <v>1278</v>
      </c>
      <c r="D2296" t="s">
        <v>33</v>
      </c>
      <c r="E2296">
        <v>105</v>
      </c>
      <c r="F2296" t="s">
        <v>42</v>
      </c>
      <c r="G2296" t="s">
        <v>913</v>
      </c>
      <c r="H2296">
        <v>22</v>
      </c>
      <c r="I2296" s="11">
        <f>$E2296+0</f>
        <v>105</v>
      </c>
      <c r="J2296" s="12">
        <v>23300</v>
      </c>
      <c r="K2296" s="13">
        <f>$E2296+1</f>
        <v>106</v>
      </c>
      <c r="L2296" s="14">
        <f>IF($J2296=0,0,ROUND(MAX($J2296*1.4,1620000*(1.497923^(MIN($E2296,123)-117)))*1,0))</f>
        <v>32620</v>
      </c>
      <c r="M2296" s="11">
        <f>$E2296+2</f>
        <v>107</v>
      </c>
      <c r="N2296" s="12">
        <f>IF($J2296=0,0,ROUND(MAX($J2296*1.4*1.5,2190000*(1.580994^(MIN($E2296,123)-117)))*1,0))</f>
        <v>48930</v>
      </c>
      <c r="O2296" s="13">
        <f>$E2296+4</f>
        <v>109</v>
      </c>
      <c r="P2296" s="14">
        <f>IF($J2296=0,0,ROUND(MAX($J2296*1.4*1.5*1.6,3500000*(1.57975^(MIN($E2296,123)-117)))*1,0))</f>
        <v>78288</v>
      </c>
      <c r="Q2296" s="11">
        <f>$E2296+6</f>
        <v>111</v>
      </c>
      <c r="R2296" s="12">
        <f>IF($J2296=0,0,ROUND(MAX($J2296*1.4*1.5*1.6*1.6,13100000*(1.429962^(MIN($E2296,123)-117)))*1,0))</f>
        <v>179216</v>
      </c>
      <c r="S2296" s="13">
        <f>$E2296+8</f>
        <v>113</v>
      </c>
      <c r="T2296" s="14">
        <f>IF($J2296=0,0,ROUND(MAX($J2296*1.4*1.5*1.6*1.6*2.2,42600000*(1.576904^(MIN($E2296,123)-117)))*1,0))</f>
        <v>275574</v>
      </c>
      <c r="U2296" s="11">
        <f>$E2296+11</f>
        <v>116</v>
      </c>
      <c r="V2296" s="12">
        <f>IF($J2296=0,0,ROUND(MAX($J2296*1.4*1.5*1.6*1.6*2.2*2.715,354000000*(1.642074^(MIN($E2296,123)-117)))*1,0))</f>
        <v>921066</v>
      </c>
      <c r="W2296" s="13">
        <f>$E2296+15</f>
        <v>120</v>
      </c>
      <c r="X2296" s="14">
        <f>IF($J2296=0,0,ROUND(MAX($J2296*1.4*1.5*1.6*1.6*2.2*2.715*2.6,3540000000*(1.579646^(MIN($E2296,123)-117)))*1,0))</f>
        <v>14665133</v>
      </c>
      <c r="Y2296" s="11">
        <f>$E2296+17</f>
        <v>122</v>
      </c>
      <c r="Z2296" s="12">
        <f>IF($J2296=0,0,ROUND(MAX($J2296*1.4*1.5*1.6*1.6*2.2*2.715*2.6*1.4,6020000000*(1.651178^(MIN($E2296,123)-117)))*1,0))</f>
        <v>14657833</v>
      </c>
      <c r="AA2296" s="13">
        <f>$E2296+19</f>
        <v>124</v>
      </c>
      <c r="AB2296" s="14">
        <f>IF($J2296=0,0,ROUND(MAX($J2296*1.4*1.5*1.6*1.6*2.2*2.715*2.6*1.4*1.4,8430000000*(1.651435^(MIN($E2296,123)-117)))*1,0))</f>
        <v>20487537</v>
      </c>
      <c r="AC2296" s="11">
        <f>$E2296+21</f>
        <v>126</v>
      </c>
      <c r="AD2296" s="12">
        <f>IF($J2296=0,0,ROUND(MAX($J2296*1.4*1.5*1.6*1.6*2.2*2.715*2.6*1.4*1.4*1.5,12600000000*(1.652953^(MIN($E2296,123)-117)))*1,0))</f>
        <v>30286179</v>
      </c>
      <c r="AE2296" s="13">
        <f>$E2296+24</f>
        <v>129</v>
      </c>
      <c r="AF2296" s="14">
        <f>IF($J2296=0,0,ROUND(MAX($J2296*1.4*1.5*1.6*1.6*2.2*2.715*2.6*1.4*1.4*1.5*1.5,18900000000*(1.65331^(MIN($E2296,123)-117)))*1,0))</f>
        <v>45311693</v>
      </c>
      <c r="AG2296" s="11">
        <f>$E2296+27</f>
        <v>132</v>
      </c>
      <c r="AH2296" s="12">
        <f>IF($J2296=0,0,ROUND(MAX($J2296*1.4*1.5*1.6*1.6*2.2*2.715*2.6*1.4*1.4*1.5*1.5*3.2,60500000000*(1.654288^(MIN($E2296,123)-117)))*1,0))</f>
        <v>144019713</v>
      </c>
    </row>
    <row r="2297" ht="28" customHeight="1" spans="1:34" x14ac:dyDescent="0.25">
      <c r="A2297">
        <v>2307</v>
      </c>
      <c r="B2297" t="s">
        <v>1076</v>
      </c>
      <c r="C2297" s="10" t="s">
        <v>1278</v>
      </c>
      <c r="D2297" t="s">
        <v>33</v>
      </c>
      <c r="E2297">
        <v>105</v>
      </c>
      <c r="F2297" t="s">
        <v>56</v>
      </c>
      <c r="G2297" t="s">
        <v>402</v>
      </c>
      <c r="H2297">
        <v>22</v>
      </c>
      <c r="I2297" s="11">
        <f>$E2297+0</f>
        <v>105</v>
      </c>
      <c r="J2297" s="12">
        <v>21700</v>
      </c>
      <c r="K2297" s="13">
        <f>$E2297+1</f>
        <v>106</v>
      </c>
      <c r="L2297" s="14">
        <f>IF($J2297=0,0,ROUND(MAX($J2297*1.4,1620000*(1.497923^(MIN($E2297,123)-117)))*1,0))</f>
        <v>30380</v>
      </c>
      <c r="M2297" s="11">
        <f>$E2297+2</f>
        <v>107</v>
      </c>
      <c r="N2297" s="12">
        <f>IF($J2297=0,0,ROUND(MAX($J2297*1.4*1.5,2190000*(1.580994^(MIN($E2297,123)-117)))*1,0))</f>
        <v>45570</v>
      </c>
      <c r="O2297" s="13">
        <f>$E2297+4</f>
        <v>109</v>
      </c>
      <c r="P2297" s="14">
        <f>IF($J2297=0,0,ROUND(MAX($J2297*1.4*1.5*1.6,3500000*(1.57975^(MIN($E2297,123)-117)))*1,0))</f>
        <v>72912</v>
      </c>
      <c r="Q2297" s="11">
        <f>$E2297+6</f>
        <v>111</v>
      </c>
      <c r="R2297" s="12">
        <f>IF($J2297=0,0,ROUND(MAX($J2297*1.4*1.5*1.6*1.6,13100000*(1.429962^(MIN($E2297,123)-117)))*1,0))</f>
        <v>179216</v>
      </c>
      <c r="S2297" s="13">
        <f>$E2297+8</f>
        <v>113</v>
      </c>
      <c r="T2297" s="14">
        <f>IF($J2297=0,0,ROUND(MAX($J2297*1.4*1.5*1.6*1.6*2.2,42600000*(1.576904^(MIN($E2297,123)-117)))*1,0))</f>
        <v>256650</v>
      </c>
      <c r="U2297" s="11">
        <f>$E2297+11</f>
        <v>116</v>
      </c>
      <c r="V2297" s="12">
        <f>IF($J2297=0,0,ROUND(MAX($J2297*1.4*1.5*1.6*1.6*2.2*2.715,354000000*(1.642074^(MIN($E2297,123)-117)))*1,0))</f>
        <v>921066</v>
      </c>
      <c r="W2297" s="13">
        <f>$E2297+15</f>
        <v>120</v>
      </c>
      <c r="X2297" s="14">
        <f>IF($J2297=0,0,ROUND(MAX($J2297*1.4*1.5*1.6*1.6*2.2*2.715*2.6,3540000000*(1.579646^(MIN($E2297,123)-117)))*1,0))</f>
        <v>14665133</v>
      </c>
      <c r="Y2297" s="11">
        <f>$E2297+17</f>
        <v>122</v>
      </c>
      <c r="Z2297" s="12">
        <f>IF($J2297=0,0,ROUND(MAX($J2297*1.4*1.5*1.6*1.6*2.2*2.715*2.6*1.4,6020000000*(1.651178^(MIN($E2297,123)-117)))*1,0))</f>
        <v>14657833</v>
      </c>
      <c r="AA2297" s="13">
        <f>$E2297+19</f>
        <v>124</v>
      </c>
      <c r="AB2297" s="14">
        <f>IF($J2297=0,0,ROUND(MAX($J2297*1.4*1.5*1.6*1.6*2.2*2.715*2.6*1.4*1.4,8430000000*(1.651435^(MIN($E2297,123)-117)))*1,0))</f>
        <v>20487537</v>
      </c>
      <c r="AC2297" s="11">
        <f>$E2297+21</f>
        <v>126</v>
      </c>
      <c r="AD2297" s="12">
        <f>IF($J2297=0,0,ROUND(MAX($J2297*1.4*1.5*1.6*1.6*2.2*2.715*2.6*1.4*1.4*1.5,12600000000*(1.652953^(MIN($E2297,123)-117)))*1,0))</f>
        <v>30286179</v>
      </c>
      <c r="AE2297" s="13">
        <f>$E2297+24</f>
        <v>129</v>
      </c>
      <c r="AF2297" s="14">
        <f>IF($J2297=0,0,ROUND(MAX($J2297*1.4*1.5*1.6*1.6*2.2*2.715*2.6*1.4*1.4*1.5*1.5,18900000000*(1.65331^(MIN($E2297,123)-117)))*1,0))</f>
        <v>45311693</v>
      </c>
      <c r="AG2297" s="11">
        <f>$E2297+27</f>
        <v>132</v>
      </c>
      <c r="AH2297" s="12">
        <f>IF($J2297=0,0,ROUND(MAX($J2297*1.4*1.5*1.6*1.6*2.2*2.715*2.6*1.4*1.4*1.5*1.5*3.2,60500000000*(1.654288^(MIN($E2297,123)-117)))*1,0))</f>
        <v>144019713</v>
      </c>
    </row>
    <row r="2298" ht="28" customHeight="1" spans="1:34" x14ac:dyDescent="0.25">
      <c r="A2298">
        <v>2308</v>
      </c>
      <c r="B2298" t="s">
        <v>988</v>
      </c>
      <c r="C2298" s="10" t="s">
        <v>1278</v>
      </c>
      <c r="D2298" t="s">
        <v>40</v>
      </c>
      <c r="E2298">
        <v>105</v>
      </c>
      <c r="F2298" t="s">
        <v>62</v>
      </c>
      <c r="G2298" t="s">
        <v>1336</v>
      </c>
      <c r="H2298">
        <v>22</v>
      </c>
      <c r="I2298" s="11">
        <f>$E2298+0</f>
        <v>105</v>
      </c>
      <c r="J2298" s="12">
        <v>65500</v>
      </c>
      <c r="K2298" s="13">
        <f>$E2298+1</f>
        <v>106</v>
      </c>
      <c r="L2298" s="14">
        <f>IF($J2298=0,0,ROUND(MAX($J2298*1.4,1620000*(1.497923^(MIN($E2298,123)-117)))*1,0))</f>
        <v>91700</v>
      </c>
      <c r="M2298" s="11">
        <f>$E2298+2</f>
        <v>107</v>
      </c>
      <c r="N2298" s="12">
        <f>IF($J2298=0,0,ROUND(MAX($J2298*1.4*1.5,2190000*(1.580994^(MIN($E2298,123)-117)))*1,0))</f>
        <v>137550</v>
      </c>
      <c r="O2298" s="13">
        <f>$E2298+4</f>
        <v>109</v>
      </c>
      <c r="P2298" s="14">
        <f>IF($J2298=0,0,ROUND(MAX($J2298*1.4*1.5*1.6,3500000*(1.57975^(MIN($E2298,123)-117)))*1,0))</f>
        <v>220080</v>
      </c>
      <c r="Q2298" s="11">
        <f>$E2298+6</f>
        <v>111</v>
      </c>
      <c r="R2298" s="12">
        <f>IF($J2298=0,0,ROUND(MAX($J2298*1.4*1.5*1.6*1.6,13100000*(1.429962^(MIN($E2298,123)-117)))*1,0))</f>
        <v>352128</v>
      </c>
      <c r="S2298" s="13">
        <f>$E2298+8</f>
        <v>113</v>
      </c>
      <c r="T2298" s="14">
        <f>IF($J2298=0,0,ROUND(MAX($J2298*1.4*1.5*1.6*1.6*2.2,42600000*(1.576904^(MIN($E2298,123)-117)))*1,0))</f>
        <v>774682</v>
      </c>
      <c r="U2298" s="11">
        <f>$E2298+11</f>
        <v>116</v>
      </c>
      <c r="V2298" s="12">
        <f>IF($J2298=0,0,ROUND(MAX($J2298*1.4*1.5*1.6*1.6*2.2*2.715,354000000*(1.642074^(MIN($E2298,123)-117)))*1,0))</f>
        <v>2103261</v>
      </c>
      <c r="W2298" s="13">
        <f>$E2298+15</f>
        <v>120</v>
      </c>
      <c r="X2298" s="14">
        <f>IF($J2298=0,0,ROUND(MAX($J2298*1.4*1.5*1.6*1.6*2.2*2.715*2.6,3540000000*(1.579646^(MIN($E2298,123)-117)))*1,0))</f>
        <v>14665133</v>
      </c>
      <c r="Y2298" s="11">
        <f>$E2298+17</f>
        <v>122</v>
      </c>
      <c r="Z2298" s="12">
        <f>IF($J2298=0,0,ROUND(MAX($J2298*1.4*1.5*1.6*1.6*2.2*2.715*2.6*1.4,6020000000*(1.651178^(MIN($E2298,123)-117)))*1,0))</f>
        <v>14657833</v>
      </c>
      <c r="AA2298" s="13">
        <f>$E2298+19</f>
        <v>124</v>
      </c>
      <c r="AB2298" s="14">
        <f>IF($J2298=0,0,ROUND(MAX($J2298*1.4*1.5*1.6*1.6*2.2*2.715*2.6*1.4*1.4,8430000000*(1.651435^(MIN($E2298,123)-117)))*1,0))</f>
        <v>20487537</v>
      </c>
      <c r="AC2298" s="11">
        <f>$E2298+21</f>
        <v>126</v>
      </c>
      <c r="AD2298" s="12">
        <f>IF($J2298=0,0,ROUND(MAX($J2298*1.4*1.5*1.6*1.6*2.2*2.715*2.6*1.4*1.4*1.5,12600000000*(1.652953^(MIN($E2298,123)-117)))*1,0))</f>
        <v>30286179</v>
      </c>
      <c r="AE2298" s="13">
        <f>$E2298+24</f>
        <v>129</v>
      </c>
      <c r="AF2298" s="14">
        <f>IF($J2298=0,0,ROUND(MAX($J2298*1.4*1.5*1.6*1.6*2.2*2.715*2.6*1.4*1.4*1.5*1.5,18900000000*(1.65331^(MIN($E2298,123)-117)))*1,0))</f>
        <v>45311693</v>
      </c>
      <c r="AG2298" s="11">
        <f>$E2298+27</f>
        <v>132</v>
      </c>
      <c r="AH2298" s="12">
        <f>IF($J2298=0,0,ROUND(MAX($J2298*1.4*1.5*1.6*1.6*2.2*2.715*2.6*1.4*1.4*1.5*1.5*3.2,60500000000*(1.654288^(MIN($E2298,123)-117)))*1,0))</f>
        <v>144019713</v>
      </c>
    </row>
    <row r="2299" ht="28" customHeight="1" spans="1:34" x14ac:dyDescent="0.25">
      <c r="A2299">
        <v>2309</v>
      </c>
      <c r="B2299" t="s">
        <v>1407</v>
      </c>
      <c r="C2299" s="10" t="s">
        <v>1278</v>
      </c>
      <c r="D2299" t="s">
        <v>47</v>
      </c>
      <c r="E2299">
        <v>105</v>
      </c>
      <c r="F2299" t="s">
        <v>265</v>
      </c>
      <c r="G2299" t="s">
        <v>133</v>
      </c>
      <c r="H2299">
        <v>19</v>
      </c>
      <c r="I2299" s="11">
        <f>$E2299+0</f>
        <v>105</v>
      </c>
      <c r="J2299" s="12">
        <v>21500</v>
      </c>
      <c r="K2299" s="13">
        <f>$E2299+1</f>
        <v>106</v>
      </c>
      <c r="L2299" s="14">
        <f>IF($J2299=0,0,ROUND(MAX($J2299*1.4,1620000*(1.497923^(MIN($E2299,123)-117)))*1,0))</f>
        <v>30100</v>
      </c>
      <c r="M2299" s="11">
        <f>$E2299+2</f>
        <v>107</v>
      </c>
      <c r="N2299" s="12">
        <f>IF($J2299=0,0,ROUND(MAX($J2299*1.4*1.5,2190000*(1.580994^(MIN($E2299,123)-117)))*1,0))</f>
        <v>45150</v>
      </c>
      <c r="O2299" s="13">
        <f>$E2299+4</f>
        <v>109</v>
      </c>
      <c r="P2299" s="14">
        <f>IF($J2299=0,0,ROUND(MAX($J2299*1.4*1.5*1.6,3500000*(1.57975^(MIN($E2299,123)-117)))*1,0))</f>
        <v>72240</v>
      </c>
      <c r="Q2299" s="11">
        <f>$E2299+6</f>
        <v>111</v>
      </c>
      <c r="R2299" s="12">
        <f>IF($J2299=0,0,ROUND(MAX($J2299*1.4*1.5*1.6*1.6,13100000*(1.429962^(MIN($E2299,123)-117)))*1,0))</f>
        <v>179216</v>
      </c>
      <c r="S2299" s="13">
        <f>$E2299+8</f>
        <v>113</v>
      </c>
      <c r="T2299" s="14">
        <f>IF($J2299=0,0,ROUND(MAX($J2299*1.4*1.5*1.6*1.6*2.2,42600000*(1.576904^(MIN($E2299,123)-117)))*1,0))</f>
        <v>254285</v>
      </c>
      <c r="U2299" s="11">
        <f>$E2299+11</f>
        <v>116</v>
      </c>
      <c r="V2299" s="12">
        <f>IF($J2299=0,0,ROUND(MAX($J2299*1.4*1.5*1.6*1.6*2.2*2.715,354000000*(1.642074^(MIN($E2299,123)-117)))*1,0))</f>
        <v>921066</v>
      </c>
      <c r="W2299" s="13">
        <f>$E2299+15</f>
        <v>120</v>
      </c>
      <c r="X2299" s="14">
        <f>IF($J2299=0,0,ROUND(MAX($J2299*1.4*1.5*1.6*1.6*2.2*2.715*2.6,3540000000*(1.579646^(MIN($E2299,123)-117)))*1,0))</f>
        <v>14665133</v>
      </c>
      <c r="Y2299" s="11">
        <f>$E2299+17</f>
        <v>122</v>
      </c>
      <c r="Z2299" s="12">
        <f>IF($J2299=0,0,ROUND(MAX($J2299*1.4*1.5*1.6*1.6*2.2*2.715*2.6*1.4,6020000000*(1.651178^(MIN($E2299,123)-117)))*1,0))</f>
        <v>14657833</v>
      </c>
      <c r="AA2299" s="13">
        <f>$E2299+19</f>
        <v>124</v>
      </c>
      <c r="AB2299" s="14">
        <f>IF($J2299=0,0,ROUND(MAX($J2299*1.4*1.5*1.6*1.6*2.2*2.715*2.6*1.4*1.4,8430000000*(1.651435^(MIN($E2299,123)-117)))*1,0))</f>
        <v>20487537</v>
      </c>
      <c r="AC2299" s="11">
        <f>$E2299+21</f>
        <v>126</v>
      </c>
      <c r="AD2299" s="12">
        <f>IF($J2299=0,0,ROUND(MAX($J2299*1.4*1.5*1.6*1.6*2.2*2.715*2.6*1.4*1.4*1.5,12600000000*(1.652953^(MIN($E2299,123)-117)))*1,0))</f>
        <v>30286179</v>
      </c>
      <c r="AE2299" s="13">
        <f>$E2299+24</f>
        <v>129</v>
      </c>
      <c r="AF2299" s="14">
        <f>IF($J2299=0,0,ROUND(MAX($J2299*1.4*1.5*1.6*1.6*2.2*2.715*2.6*1.4*1.4*1.5*1.5,18900000000*(1.65331^(MIN($E2299,123)-117)))*1,0))</f>
        <v>45311693</v>
      </c>
      <c r="AG2299" s="11">
        <f>$E2299+27</f>
        <v>132</v>
      </c>
      <c r="AH2299" s="12">
        <f>IF($J2299=0,0,ROUND(MAX($J2299*1.4*1.5*1.6*1.6*2.2*2.715*2.6*1.4*1.4*1.5*1.5*3.2,60500000000*(1.654288^(MIN($E2299,123)-117)))*1,0))</f>
        <v>144019713</v>
      </c>
    </row>
    <row r="2300" ht="28" customHeight="1" spans="1:34" x14ac:dyDescent="0.25">
      <c r="A2300">
        <v>2310</v>
      </c>
      <c r="B2300" t="s">
        <v>1408</v>
      </c>
      <c r="C2300" s="10" t="s">
        <v>1278</v>
      </c>
      <c r="D2300" t="s">
        <v>75</v>
      </c>
      <c r="E2300">
        <v>104</v>
      </c>
      <c r="F2300" t="s">
        <v>56</v>
      </c>
      <c r="G2300" t="s">
        <v>1007</v>
      </c>
      <c r="H2300">
        <v>22</v>
      </c>
      <c r="I2300" s="11">
        <f>$E2300+0</f>
        <v>104</v>
      </c>
      <c r="J2300" s="12">
        <v>17400</v>
      </c>
      <c r="K2300" s="13">
        <f>$E2300+1</f>
        <v>105</v>
      </c>
      <c r="L2300" s="14">
        <f>IF($J2300=0,0,ROUND(MAX($J2300*1.4,1620000*(1.497923^(MIN($E2300,123)-117)))*1,0))</f>
        <v>24360</v>
      </c>
      <c r="M2300" s="11">
        <f>$E2300+2</f>
        <v>106</v>
      </c>
      <c r="N2300" s="12">
        <f>IF($J2300=0,0,ROUND(MAX($J2300*1.4*1.5,2190000*(1.580994^(MIN($E2300,123)-117)))*1,0))</f>
        <v>36540</v>
      </c>
      <c r="O2300" s="13">
        <f>$E2300+4</f>
        <v>108</v>
      </c>
      <c r="P2300" s="14">
        <f>IF($J2300=0,0,ROUND(MAX($J2300*1.4*1.5*1.6,3500000*(1.57975^(MIN($E2300,123)-117)))*1,0))</f>
        <v>58464</v>
      </c>
      <c r="Q2300" s="11">
        <f>$E2300+6</f>
        <v>110</v>
      </c>
      <c r="R2300" s="12">
        <f>IF($J2300=0,0,ROUND(MAX($J2300*1.4*1.5*1.6*1.6,13100000*(1.429962^(MIN($E2300,123)-117)))*1,0))</f>
        <v>125329</v>
      </c>
      <c r="S2300" s="13">
        <f>$E2300+8</f>
        <v>112</v>
      </c>
      <c r="T2300" s="14">
        <f>IF($J2300=0,0,ROUND(MAX($J2300*1.4*1.5*1.6*1.6*2.2,42600000*(1.576904^(MIN($E2300,123)-117)))*1,0))</f>
        <v>205793</v>
      </c>
      <c r="U2300" s="11">
        <f>$E2300+11</f>
        <v>115</v>
      </c>
      <c r="V2300" s="12">
        <f>IF($J2300=0,0,ROUND(MAX($J2300*1.4*1.5*1.6*1.6*2.2*2.715,354000000*(1.642074^(MIN($E2300,123)-117)))*1,0))</f>
        <v>560916</v>
      </c>
      <c r="W2300" s="13">
        <f>$E2300+15</f>
        <v>119</v>
      </c>
      <c r="X2300" s="14">
        <f>IF($J2300=0,0,ROUND(MAX($J2300*1.4*1.5*1.6*1.6*2.2*2.715*2.6,3540000000*(1.579646^(MIN($E2300,123)-117)))*1,0))</f>
        <v>9283810</v>
      </c>
      <c r="Y2300" s="11">
        <f>$E2300+17</f>
        <v>121</v>
      </c>
      <c r="Z2300" s="12">
        <f>IF($J2300=0,0,ROUND(MAX($J2300*1.4*1.5*1.6*1.6*2.2*2.715*2.6*1.4,6020000000*(1.651178^(MIN($E2300,123)-117)))*1,0))</f>
        <v>8877197</v>
      </c>
      <c r="AA2300" s="13">
        <f>$E2300+19</f>
        <v>123</v>
      </c>
      <c r="AB2300" s="14">
        <f>IF($J2300=0,0,ROUND(MAX($J2300*1.4*1.5*1.6*1.6*2.2*2.715*2.6*1.4*1.4,8430000000*(1.651435^(MIN($E2300,123)-117)))*1,0))</f>
        <v>12405900</v>
      </c>
      <c r="AC2300" s="11">
        <f>$E2300+21</f>
        <v>125</v>
      </c>
      <c r="AD2300" s="12">
        <f>IF($J2300=0,0,ROUND(MAX($J2300*1.4*1.5*1.6*1.6*2.2*2.715*2.6*1.4*1.4*1.5,12600000000*(1.652953^(MIN($E2300,123)-117)))*1,0))</f>
        <v>18322468</v>
      </c>
      <c r="AE2300" s="13">
        <f>$E2300+24</f>
        <v>128</v>
      </c>
      <c r="AF2300" s="14">
        <f>IF($J2300=0,0,ROUND(MAX($J2300*1.4*1.5*1.6*1.6*2.2*2.715*2.6*1.4*1.4*1.5*1.5,18900000000*(1.65331^(MIN($E2300,123)-117)))*1,0))</f>
        <v>27406653</v>
      </c>
      <c r="AG2300" s="11">
        <f>$E2300+27</f>
        <v>131</v>
      </c>
      <c r="AH2300" s="12">
        <f>IF($J2300=0,0,ROUND(MAX($J2300*1.4*1.5*1.6*1.6*2.2*2.715*2.6*1.4*1.4*1.5*1.5*3.2,60500000000*(1.654288^(MIN($E2300,123)-117)))*1,0))</f>
        <v>87058428</v>
      </c>
    </row>
    <row r="2301" ht="28" customHeight="1" spans="1:34" x14ac:dyDescent="0.25">
      <c r="A2301">
        <v>2311</v>
      </c>
      <c r="B2301" t="s">
        <v>1409</v>
      </c>
      <c r="C2301" s="10" t="s">
        <v>1278</v>
      </c>
      <c r="D2301" t="s">
        <v>165</v>
      </c>
      <c r="E2301">
        <v>104</v>
      </c>
      <c r="F2301" t="s">
        <v>62</v>
      </c>
      <c r="G2301" t="s">
        <v>1410</v>
      </c>
      <c r="H2301">
        <v>22</v>
      </c>
      <c r="I2301" s="11">
        <f>$E2301+0</f>
        <v>104</v>
      </c>
      <c r="J2301" s="12">
        <v>24900</v>
      </c>
      <c r="K2301" s="13">
        <f>$E2301+1</f>
        <v>105</v>
      </c>
      <c r="L2301" s="14">
        <f>IF($J2301=0,0,ROUND(MAX($J2301*1.4,1620000*(1.497923^(MIN($E2301,123)-117)))*1,0))</f>
        <v>34860</v>
      </c>
      <c r="M2301" s="11">
        <f>$E2301+2</f>
        <v>106</v>
      </c>
      <c r="N2301" s="12">
        <f>IF($J2301=0,0,ROUND(MAX($J2301*1.4*1.5,2190000*(1.580994^(MIN($E2301,123)-117)))*1,0))</f>
        <v>52290</v>
      </c>
      <c r="O2301" s="13">
        <f>$E2301+4</f>
        <v>108</v>
      </c>
      <c r="P2301" s="14">
        <f>IF($J2301=0,0,ROUND(MAX($J2301*1.4*1.5*1.6,3500000*(1.57975^(MIN($E2301,123)-117)))*1,0))</f>
        <v>83664</v>
      </c>
      <c r="Q2301" s="11">
        <f>$E2301+6</f>
        <v>110</v>
      </c>
      <c r="R2301" s="12">
        <f>IF($J2301=0,0,ROUND(MAX($J2301*1.4*1.5*1.6*1.6,13100000*(1.429962^(MIN($E2301,123)-117)))*1,0))</f>
        <v>133862</v>
      </c>
      <c r="S2301" s="13">
        <f>$E2301+8</f>
        <v>112</v>
      </c>
      <c r="T2301" s="14">
        <f>IF($J2301=0,0,ROUND(MAX($J2301*1.4*1.5*1.6*1.6*2.2,42600000*(1.576904^(MIN($E2301,123)-117)))*1,0))</f>
        <v>294497</v>
      </c>
      <c r="U2301" s="11">
        <f>$E2301+11</f>
        <v>115</v>
      </c>
      <c r="V2301" s="12">
        <f>IF($J2301=0,0,ROUND(MAX($J2301*1.4*1.5*1.6*1.6*2.2*2.715,354000000*(1.642074^(MIN($E2301,123)-117)))*1,0))</f>
        <v>799560</v>
      </c>
      <c r="W2301" s="13">
        <f>$E2301+15</f>
        <v>119</v>
      </c>
      <c r="X2301" s="14">
        <f>IF($J2301=0,0,ROUND(MAX($J2301*1.4*1.5*1.6*1.6*2.2*2.715*2.6,3540000000*(1.579646^(MIN($E2301,123)-117)))*1,0))</f>
        <v>9283810</v>
      </c>
      <c r="Y2301" s="11">
        <f>$E2301+17</f>
        <v>121</v>
      </c>
      <c r="Z2301" s="12">
        <f>IF($J2301=0,0,ROUND(MAX($J2301*1.4*1.5*1.6*1.6*2.2*2.715*2.6*1.4,6020000000*(1.651178^(MIN($E2301,123)-117)))*1,0))</f>
        <v>8877197</v>
      </c>
      <c r="AA2301" s="13">
        <f>$E2301+19</f>
        <v>123</v>
      </c>
      <c r="AB2301" s="14">
        <f>IF($J2301=0,0,ROUND(MAX($J2301*1.4*1.5*1.6*1.6*2.2*2.715*2.6*1.4*1.4,8430000000*(1.651435^(MIN($E2301,123)-117)))*1,0))</f>
        <v>12405900</v>
      </c>
      <c r="AC2301" s="11">
        <f>$E2301+21</f>
        <v>125</v>
      </c>
      <c r="AD2301" s="12">
        <f>IF($J2301=0,0,ROUND(MAX($J2301*1.4*1.5*1.6*1.6*2.2*2.715*2.6*1.4*1.4*1.5,12600000000*(1.652953^(MIN($E2301,123)-117)))*1,0))</f>
        <v>18322468</v>
      </c>
      <c r="AE2301" s="13">
        <f>$E2301+24</f>
        <v>128</v>
      </c>
      <c r="AF2301" s="14">
        <f>IF($J2301=0,0,ROUND(MAX($J2301*1.4*1.5*1.6*1.6*2.2*2.715*2.6*1.4*1.4*1.5*1.5,18900000000*(1.65331^(MIN($E2301,123)-117)))*1,0))</f>
        <v>27406653</v>
      </c>
      <c r="AG2301" s="11">
        <f>$E2301+27</f>
        <v>131</v>
      </c>
      <c r="AH2301" s="12">
        <f>IF($J2301=0,0,ROUND(MAX($J2301*1.4*1.5*1.6*1.6*2.2*2.715*2.6*1.4*1.4*1.5*1.5*3.2,60500000000*(1.654288^(MIN($E2301,123)-117)))*1,0))</f>
        <v>87058428</v>
      </c>
    </row>
    <row r="2302" ht="28" customHeight="1" spans="1:34" x14ac:dyDescent="0.25">
      <c r="A2302">
        <v>2312</v>
      </c>
      <c r="B2302" t="s">
        <v>1411</v>
      </c>
      <c r="C2302" s="10" t="s">
        <v>1278</v>
      </c>
      <c r="D2302" t="s">
        <v>33</v>
      </c>
      <c r="E2302">
        <v>104</v>
      </c>
      <c r="F2302" t="s">
        <v>34</v>
      </c>
      <c r="G2302" t="s">
        <v>1284</v>
      </c>
      <c r="H2302">
        <v>22</v>
      </c>
      <c r="I2302" s="11">
        <f>$E2302+0</f>
        <v>104</v>
      </c>
      <c r="J2302" s="12">
        <v>22200</v>
      </c>
      <c r="K2302" s="13">
        <f>$E2302+1</f>
        <v>105</v>
      </c>
      <c r="L2302" s="14">
        <f>IF($J2302=0,0,ROUND(MAX($J2302*1.4,1620000*(1.497923^(MIN($E2302,123)-117)))*1,0))</f>
        <v>31080</v>
      </c>
      <c r="M2302" s="11">
        <f>$E2302+2</f>
        <v>106</v>
      </c>
      <c r="N2302" s="12">
        <f>IF($J2302=0,0,ROUND(MAX($J2302*1.4*1.5,2190000*(1.580994^(MIN($E2302,123)-117)))*1,0))</f>
        <v>46620</v>
      </c>
      <c r="O2302" s="13">
        <f>$E2302+4</f>
        <v>108</v>
      </c>
      <c r="P2302" s="14">
        <f>IF($J2302=0,0,ROUND(MAX($J2302*1.4*1.5*1.6,3500000*(1.57975^(MIN($E2302,123)-117)))*1,0))</f>
        <v>74592</v>
      </c>
      <c r="Q2302" s="11">
        <f>$E2302+6</f>
        <v>110</v>
      </c>
      <c r="R2302" s="12">
        <f>IF($J2302=0,0,ROUND(MAX($J2302*1.4*1.5*1.6*1.6,13100000*(1.429962^(MIN($E2302,123)-117)))*1,0))</f>
        <v>125329</v>
      </c>
      <c r="S2302" s="13">
        <f>$E2302+8</f>
        <v>112</v>
      </c>
      <c r="T2302" s="14">
        <f>IF($J2302=0,0,ROUND(MAX($J2302*1.4*1.5*1.6*1.6*2.2,42600000*(1.576904^(MIN($E2302,123)-117)))*1,0))</f>
        <v>262564</v>
      </c>
      <c r="U2302" s="11">
        <f>$E2302+11</f>
        <v>115</v>
      </c>
      <c r="V2302" s="12">
        <f>IF($J2302=0,0,ROUND(MAX($J2302*1.4*1.5*1.6*1.6*2.2*2.715,354000000*(1.642074^(MIN($E2302,123)-117)))*1,0))</f>
        <v>712861</v>
      </c>
      <c r="W2302" s="13">
        <f>$E2302+15</f>
        <v>119</v>
      </c>
      <c r="X2302" s="14">
        <f>IF($J2302=0,0,ROUND(MAX($J2302*1.4*1.5*1.6*1.6*2.2*2.715*2.6,3540000000*(1.579646^(MIN($E2302,123)-117)))*1,0))</f>
        <v>9283810</v>
      </c>
      <c r="Y2302" s="11">
        <f>$E2302+17</f>
        <v>121</v>
      </c>
      <c r="Z2302" s="12">
        <f>IF($J2302=0,0,ROUND(MAX($J2302*1.4*1.5*1.6*1.6*2.2*2.715*2.6*1.4,6020000000*(1.651178^(MIN($E2302,123)-117)))*1,0))</f>
        <v>8877197</v>
      </c>
      <c r="AA2302" s="13">
        <f>$E2302+19</f>
        <v>123</v>
      </c>
      <c r="AB2302" s="14">
        <f>IF($J2302=0,0,ROUND(MAX($J2302*1.4*1.5*1.6*1.6*2.2*2.715*2.6*1.4*1.4,8430000000*(1.651435^(MIN($E2302,123)-117)))*1,0))</f>
        <v>12405900</v>
      </c>
      <c r="AC2302" s="11">
        <f>$E2302+21</f>
        <v>125</v>
      </c>
      <c r="AD2302" s="12">
        <f>IF($J2302=0,0,ROUND(MAX($J2302*1.4*1.5*1.6*1.6*2.2*2.715*2.6*1.4*1.4*1.5,12600000000*(1.652953^(MIN($E2302,123)-117)))*1,0))</f>
        <v>18322468</v>
      </c>
      <c r="AE2302" s="13">
        <f>$E2302+24</f>
        <v>128</v>
      </c>
      <c r="AF2302" s="14">
        <f>IF($J2302=0,0,ROUND(MAX($J2302*1.4*1.5*1.6*1.6*2.2*2.715*2.6*1.4*1.4*1.5*1.5,18900000000*(1.65331^(MIN($E2302,123)-117)))*1,0))</f>
        <v>27406653</v>
      </c>
      <c r="AG2302" s="11">
        <f>$E2302+27</f>
        <v>131</v>
      </c>
      <c r="AH2302" s="12">
        <f>IF($J2302=0,0,ROUND(MAX($J2302*1.4*1.5*1.6*1.6*2.2*2.715*2.6*1.4*1.4*1.5*1.5*3.2,60500000000*(1.654288^(MIN($E2302,123)-117)))*1,0))</f>
        <v>87058428</v>
      </c>
    </row>
    <row r="2303" ht="28" customHeight="1" spans="1:34" x14ac:dyDescent="0.25">
      <c r="A2303">
        <v>2313</v>
      </c>
      <c r="B2303" t="s">
        <v>1412</v>
      </c>
      <c r="C2303" s="10" t="s">
        <v>1278</v>
      </c>
      <c r="D2303" t="s">
        <v>33</v>
      </c>
      <c r="E2303">
        <v>104</v>
      </c>
      <c r="F2303" t="s">
        <v>34</v>
      </c>
      <c r="G2303" t="s">
        <v>277</v>
      </c>
      <c r="H2303">
        <v>22</v>
      </c>
      <c r="I2303" s="11">
        <f>$E2303+0</f>
        <v>104</v>
      </c>
      <c r="J2303" s="12">
        <v>20700</v>
      </c>
      <c r="K2303" s="13">
        <f>$E2303+1</f>
        <v>105</v>
      </c>
      <c r="L2303" s="14">
        <f>IF($J2303=0,0,ROUND(MAX($J2303*1.4,1620000*(1.497923^(MIN($E2303,123)-117)))*1,0))</f>
        <v>28980</v>
      </c>
      <c r="M2303" s="11">
        <f>$E2303+2</f>
        <v>106</v>
      </c>
      <c r="N2303" s="12">
        <f>IF($J2303=0,0,ROUND(MAX($J2303*1.4*1.5,2190000*(1.580994^(MIN($E2303,123)-117)))*1,0))</f>
        <v>43470</v>
      </c>
      <c r="O2303" s="13">
        <f>$E2303+4</f>
        <v>108</v>
      </c>
      <c r="P2303" s="14">
        <f>IF($J2303=0,0,ROUND(MAX($J2303*1.4*1.5*1.6,3500000*(1.57975^(MIN($E2303,123)-117)))*1,0))</f>
        <v>69552</v>
      </c>
      <c r="Q2303" s="11">
        <f>$E2303+6</f>
        <v>110</v>
      </c>
      <c r="R2303" s="12">
        <f>IF($J2303=0,0,ROUND(MAX($J2303*1.4*1.5*1.6*1.6,13100000*(1.429962^(MIN($E2303,123)-117)))*1,0))</f>
        <v>125329</v>
      </c>
      <c r="S2303" s="13">
        <f>$E2303+8</f>
        <v>112</v>
      </c>
      <c r="T2303" s="14">
        <f>IF($J2303=0,0,ROUND(MAX($J2303*1.4*1.5*1.6*1.6*2.2,42600000*(1.576904^(MIN($E2303,123)-117)))*1,0))</f>
        <v>244823</v>
      </c>
      <c r="U2303" s="11">
        <f>$E2303+11</f>
        <v>115</v>
      </c>
      <c r="V2303" s="12">
        <f>IF($J2303=0,0,ROUND(MAX($J2303*1.4*1.5*1.6*1.6*2.2*2.715,354000000*(1.642074^(MIN($E2303,123)-117)))*1,0))</f>
        <v>664695</v>
      </c>
      <c r="W2303" s="13">
        <f>$E2303+15</f>
        <v>119</v>
      </c>
      <c r="X2303" s="14">
        <f>IF($J2303=0,0,ROUND(MAX($J2303*1.4*1.5*1.6*1.6*2.2*2.715*2.6,3540000000*(1.579646^(MIN($E2303,123)-117)))*1,0))</f>
        <v>9283810</v>
      </c>
      <c r="Y2303" s="11">
        <f>$E2303+17</f>
        <v>121</v>
      </c>
      <c r="Z2303" s="12">
        <f>IF($J2303=0,0,ROUND(MAX($J2303*1.4*1.5*1.6*1.6*2.2*2.715*2.6*1.4,6020000000*(1.651178^(MIN($E2303,123)-117)))*1,0))</f>
        <v>8877197</v>
      </c>
      <c r="AA2303" s="13">
        <f>$E2303+19</f>
        <v>123</v>
      </c>
      <c r="AB2303" s="14">
        <f>IF($J2303=0,0,ROUND(MAX($J2303*1.4*1.5*1.6*1.6*2.2*2.715*2.6*1.4*1.4,8430000000*(1.651435^(MIN($E2303,123)-117)))*1,0))</f>
        <v>12405900</v>
      </c>
      <c r="AC2303" s="11">
        <f>$E2303+21</f>
        <v>125</v>
      </c>
      <c r="AD2303" s="12">
        <f>IF($J2303=0,0,ROUND(MAX($J2303*1.4*1.5*1.6*1.6*2.2*2.715*2.6*1.4*1.4*1.5,12600000000*(1.652953^(MIN($E2303,123)-117)))*1,0))</f>
        <v>18322468</v>
      </c>
      <c r="AE2303" s="13">
        <f>$E2303+24</f>
        <v>128</v>
      </c>
      <c r="AF2303" s="14">
        <f>IF($J2303=0,0,ROUND(MAX($J2303*1.4*1.5*1.6*1.6*2.2*2.715*2.6*1.4*1.4*1.5*1.5,18900000000*(1.65331^(MIN($E2303,123)-117)))*1,0))</f>
        <v>27406653</v>
      </c>
      <c r="AG2303" s="11">
        <f>$E2303+27</f>
        <v>131</v>
      </c>
      <c r="AH2303" s="12">
        <f>IF($J2303=0,0,ROUND(MAX($J2303*1.4*1.5*1.6*1.6*2.2*2.715*2.6*1.4*1.4*1.5*1.5*3.2,60500000000*(1.654288^(MIN($E2303,123)-117)))*1,0))</f>
        <v>87058428</v>
      </c>
    </row>
    <row r="2304" ht="28" customHeight="1" spans="1:34" x14ac:dyDescent="0.25">
      <c r="A2304">
        <v>2314</v>
      </c>
      <c r="B2304" t="s">
        <v>1413</v>
      </c>
      <c r="C2304" s="10" t="s">
        <v>1278</v>
      </c>
      <c r="D2304" t="s">
        <v>241</v>
      </c>
      <c r="E2304">
        <v>104</v>
      </c>
      <c r="F2304" t="s">
        <v>34</v>
      </c>
      <c r="G2304" t="s">
        <v>569</v>
      </c>
      <c r="H2304">
        <v>22</v>
      </c>
      <c r="I2304" s="11">
        <f>$E2304+0</f>
        <v>104</v>
      </c>
      <c r="J2304" s="12">
        <v>26400</v>
      </c>
      <c r="K2304" s="13">
        <f>$E2304+1</f>
        <v>105</v>
      </c>
      <c r="L2304" s="14">
        <f>IF($J2304=0,0,ROUND(MAX($J2304*1.4,1620000*(1.497923^(MIN($E2304,123)-117)))*1,0))</f>
        <v>36960</v>
      </c>
      <c r="M2304" s="11">
        <f>$E2304+2</f>
        <v>106</v>
      </c>
      <c r="N2304" s="12">
        <f>IF($J2304=0,0,ROUND(MAX($J2304*1.4*1.5,2190000*(1.580994^(MIN($E2304,123)-117)))*1,0))</f>
        <v>55440</v>
      </c>
      <c r="O2304" s="13">
        <f>$E2304+4</f>
        <v>108</v>
      </c>
      <c r="P2304" s="14">
        <f>IF($J2304=0,0,ROUND(MAX($J2304*1.4*1.5*1.6,3500000*(1.57975^(MIN($E2304,123)-117)))*1,0))</f>
        <v>88704</v>
      </c>
      <c r="Q2304" s="11">
        <f>$E2304+6</f>
        <v>110</v>
      </c>
      <c r="R2304" s="12">
        <f>IF($J2304=0,0,ROUND(MAX($J2304*1.4*1.5*1.6*1.6,13100000*(1.429962^(MIN($E2304,123)-117)))*1,0))</f>
        <v>141926</v>
      </c>
      <c r="S2304" s="13">
        <f>$E2304+8</f>
        <v>112</v>
      </c>
      <c r="T2304" s="14">
        <f>IF($J2304=0,0,ROUND(MAX($J2304*1.4*1.5*1.6*1.6*2.2,42600000*(1.576904^(MIN($E2304,123)-117)))*1,0))</f>
        <v>312238</v>
      </c>
      <c r="U2304" s="11">
        <f>$E2304+11</f>
        <v>115</v>
      </c>
      <c r="V2304" s="12">
        <f>IF($J2304=0,0,ROUND(MAX($J2304*1.4*1.5*1.6*1.6*2.2*2.715,354000000*(1.642074^(MIN($E2304,123)-117)))*1,0))</f>
        <v>847726</v>
      </c>
      <c r="W2304" s="13">
        <f>$E2304+15</f>
        <v>119</v>
      </c>
      <c r="X2304" s="14">
        <f>IF($J2304=0,0,ROUND(MAX($J2304*1.4*1.5*1.6*1.6*2.2*2.715*2.6,3540000000*(1.579646^(MIN($E2304,123)-117)))*1,0))</f>
        <v>9283810</v>
      </c>
      <c r="Y2304" s="11">
        <f>$E2304+17</f>
        <v>121</v>
      </c>
      <c r="Z2304" s="12">
        <f>IF($J2304=0,0,ROUND(MAX($J2304*1.4*1.5*1.6*1.6*2.2*2.715*2.6*1.4,6020000000*(1.651178^(MIN($E2304,123)-117)))*1,0))</f>
        <v>8877197</v>
      </c>
      <c r="AA2304" s="13">
        <f>$E2304+19</f>
        <v>123</v>
      </c>
      <c r="AB2304" s="14">
        <f>IF($J2304=0,0,ROUND(MAX($J2304*1.4*1.5*1.6*1.6*2.2*2.715*2.6*1.4*1.4,8430000000*(1.651435^(MIN($E2304,123)-117)))*1,0))</f>
        <v>12405900</v>
      </c>
      <c r="AC2304" s="11">
        <f>$E2304+21</f>
        <v>125</v>
      </c>
      <c r="AD2304" s="12">
        <f>IF($J2304=0,0,ROUND(MAX($J2304*1.4*1.5*1.6*1.6*2.2*2.715*2.6*1.4*1.4*1.5,12600000000*(1.652953^(MIN($E2304,123)-117)))*1,0))</f>
        <v>18322468</v>
      </c>
      <c r="AE2304" s="13">
        <f>$E2304+24</f>
        <v>128</v>
      </c>
      <c r="AF2304" s="14">
        <f>IF($J2304=0,0,ROUND(MAX($J2304*1.4*1.5*1.6*1.6*2.2*2.715*2.6*1.4*1.4*1.5*1.5,18900000000*(1.65331^(MIN($E2304,123)-117)))*1,0))</f>
        <v>27406653</v>
      </c>
      <c r="AG2304" s="11">
        <f>$E2304+27</f>
        <v>131</v>
      </c>
      <c r="AH2304" s="12">
        <f>IF($J2304=0,0,ROUND(MAX($J2304*1.4*1.5*1.6*1.6*2.2*2.715*2.6*1.4*1.4*1.5*1.5*3.2,60500000000*(1.654288^(MIN($E2304,123)-117)))*1,0))</f>
        <v>87058428</v>
      </c>
    </row>
    <row r="2305" ht="28" customHeight="1" spans="1:34" x14ac:dyDescent="0.25">
      <c r="A2305">
        <v>2315</v>
      </c>
      <c r="B2305" t="s">
        <v>1414</v>
      </c>
      <c r="C2305" s="10" t="s">
        <v>1278</v>
      </c>
      <c r="D2305" t="s">
        <v>75</v>
      </c>
      <c r="E2305">
        <v>104</v>
      </c>
      <c r="F2305" t="s">
        <v>88</v>
      </c>
      <c r="G2305" t="s">
        <v>586</v>
      </c>
      <c r="H2305">
        <v>21</v>
      </c>
      <c r="I2305" s="11">
        <f>$E2305+0</f>
        <v>104</v>
      </c>
      <c r="J2305" s="12">
        <v>25700</v>
      </c>
      <c r="K2305" s="13">
        <f>$E2305+1</f>
        <v>105</v>
      </c>
      <c r="L2305" s="14">
        <f>IF($J2305=0,0,ROUND(MAX($J2305*1.4,1620000*(1.497923^(MIN($E2305,123)-117)))*1,0))</f>
        <v>35980</v>
      </c>
      <c r="M2305" s="11">
        <f>$E2305+2</f>
        <v>106</v>
      </c>
      <c r="N2305" s="12">
        <f>IF($J2305=0,0,ROUND(MAX($J2305*1.4*1.5,2190000*(1.580994^(MIN($E2305,123)-117)))*1,0))</f>
        <v>53970</v>
      </c>
      <c r="O2305" s="13">
        <f>$E2305+4</f>
        <v>108</v>
      </c>
      <c r="P2305" s="14">
        <f>IF($J2305=0,0,ROUND(MAX($J2305*1.4*1.5*1.6,3500000*(1.57975^(MIN($E2305,123)-117)))*1,0))</f>
        <v>86352</v>
      </c>
      <c r="Q2305" s="11">
        <f>$E2305+6</f>
        <v>110</v>
      </c>
      <c r="R2305" s="12">
        <f>IF($J2305=0,0,ROUND(MAX($J2305*1.4*1.5*1.6*1.6,13100000*(1.429962^(MIN($E2305,123)-117)))*1,0))</f>
        <v>138163</v>
      </c>
      <c r="S2305" s="13">
        <f>$E2305+8</f>
        <v>112</v>
      </c>
      <c r="T2305" s="14">
        <f>IF($J2305=0,0,ROUND(MAX($J2305*1.4*1.5*1.6*1.6*2.2,42600000*(1.576904^(MIN($E2305,123)-117)))*1,0))</f>
        <v>303959</v>
      </c>
      <c r="U2305" s="11">
        <f>$E2305+11</f>
        <v>115</v>
      </c>
      <c r="V2305" s="12">
        <f>IF($J2305=0,0,ROUND(MAX($J2305*1.4*1.5*1.6*1.6*2.2*2.715,354000000*(1.642074^(MIN($E2305,123)-117)))*1,0))</f>
        <v>825249</v>
      </c>
      <c r="W2305" s="13">
        <f>$E2305+15</f>
        <v>119</v>
      </c>
      <c r="X2305" s="14">
        <f>IF($J2305=0,0,ROUND(MAX($J2305*1.4*1.5*1.6*1.6*2.2*2.715*2.6,3540000000*(1.579646^(MIN($E2305,123)-117)))*1,0))</f>
        <v>9283810</v>
      </c>
      <c r="Y2305" s="11">
        <f>$E2305+17</f>
        <v>121</v>
      </c>
      <c r="Z2305" s="12">
        <f>IF($J2305=0,0,ROUND(MAX($J2305*1.4*1.5*1.6*1.6*2.2*2.715*2.6*1.4,6020000000*(1.651178^(MIN($E2305,123)-117)))*1,0))</f>
        <v>8877197</v>
      </c>
      <c r="AA2305" s="13">
        <f>$E2305+19</f>
        <v>123</v>
      </c>
      <c r="AB2305" s="14">
        <f>IF($J2305=0,0,ROUND(MAX($J2305*1.4*1.5*1.6*1.6*2.2*2.715*2.6*1.4*1.4,8430000000*(1.651435^(MIN($E2305,123)-117)))*1,0))</f>
        <v>12405900</v>
      </c>
      <c r="AC2305" s="11">
        <f>$E2305+21</f>
        <v>125</v>
      </c>
      <c r="AD2305" s="12">
        <f>IF($J2305=0,0,ROUND(MAX($J2305*1.4*1.5*1.6*1.6*2.2*2.715*2.6*1.4*1.4*1.5,12600000000*(1.652953^(MIN($E2305,123)-117)))*1,0))</f>
        <v>18322468</v>
      </c>
      <c r="AE2305" s="13">
        <f>$E2305+24</f>
        <v>128</v>
      </c>
      <c r="AF2305" s="14">
        <f>IF($J2305=0,0,ROUND(MAX($J2305*1.4*1.5*1.6*1.6*2.2*2.715*2.6*1.4*1.4*1.5*1.5,18900000000*(1.65331^(MIN($E2305,123)-117)))*1,0))</f>
        <v>27406653</v>
      </c>
      <c r="AG2305" s="11">
        <f>$E2305+27</f>
        <v>131</v>
      </c>
      <c r="AH2305" s="12">
        <f>IF($J2305=0,0,ROUND(MAX($J2305*1.4*1.5*1.6*1.6*2.2*2.715*2.6*1.4*1.4*1.5*1.5*3.2,60500000000*(1.654288^(MIN($E2305,123)-117)))*1,0))</f>
        <v>87058428</v>
      </c>
    </row>
    <row r="2306" ht="28" customHeight="1" spans="1:34" x14ac:dyDescent="0.25">
      <c r="A2306">
        <v>2316</v>
      </c>
      <c r="B2306" t="s">
        <v>1012</v>
      </c>
      <c r="C2306" s="10" t="s">
        <v>1278</v>
      </c>
      <c r="D2306" t="s">
        <v>75</v>
      </c>
      <c r="E2306">
        <v>104</v>
      </c>
      <c r="F2306" t="s">
        <v>30</v>
      </c>
      <c r="G2306" t="s">
        <v>1013</v>
      </c>
      <c r="H2306">
        <v>21</v>
      </c>
      <c r="I2306" s="11">
        <f>$E2306+0</f>
        <v>104</v>
      </c>
      <c r="J2306" s="12">
        <v>24300</v>
      </c>
      <c r="K2306" s="13">
        <f>$E2306+1</f>
        <v>105</v>
      </c>
      <c r="L2306" s="14">
        <f>IF($J2306=0,0,ROUND(MAX($J2306*1.4,1620000*(1.497923^(MIN($E2306,123)-117)))*1,0))</f>
        <v>34020</v>
      </c>
      <c r="M2306" s="11">
        <f>$E2306+2</f>
        <v>106</v>
      </c>
      <c r="N2306" s="12">
        <f>IF($J2306=0,0,ROUND(MAX($J2306*1.4*1.5,2190000*(1.580994^(MIN($E2306,123)-117)))*1,0))</f>
        <v>51030</v>
      </c>
      <c r="O2306" s="13">
        <f>$E2306+4</f>
        <v>108</v>
      </c>
      <c r="P2306" s="14">
        <f>IF($J2306=0,0,ROUND(MAX($J2306*1.4*1.5*1.6,3500000*(1.57975^(MIN($E2306,123)-117)))*1,0))</f>
        <v>81648</v>
      </c>
      <c r="Q2306" s="11">
        <f>$E2306+6</f>
        <v>110</v>
      </c>
      <c r="R2306" s="12">
        <f>IF($J2306=0,0,ROUND(MAX($J2306*1.4*1.5*1.6*1.6,13100000*(1.429962^(MIN($E2306,123)-117)))*1,0))</f>
        <v>130637</v>
      </c>
      <c r="S2306" s="13">
        <f>$E2306+8</f>
        <v>112</v>
      </c>
      <c r="T2306" s="14">
        <f>IF($J2306=0,0,ROUND(MAX($J2306*1.4*1.5*1.6*1.6*2.2,42600000*(1.576904^(MIN($E2306,123)-117)))*1,0))</f>
        <v>287401</v>
      </c>
      <c r="U2306" s="11">
        <f>$E2306+11</f>
        <v>115</v>
      </c>
      <c r="V2306" s="12">
        <f>IF($J2306=0,0,ROUND(MAX($J2306*1.4*1.5*1.6*1.6*2.2*2.715,354000000*(1.642074^(MIN($E2306,123)-117)))*1,0))</f>
        <v>780294</v>
      </c>
      <c r="W2306" s="13">
        <f>$E2306+15</f>
        <v>119</v>
      </c>
      <c r="X2306" s="14">
        <f>IF($J2306=0,0,ROUND(MAX($J2306*1.4*1.5*1.6*1.6*2.2*2.715*2.6,3540000000*(1.579646^(MIN($E2306,123)-117)))*1,0))</f>
        <v>9283810</v>
      </c>
      <c r="Y2306" s="11">
        <f>$E2306+17</f>
        <v>121</v>
      </c>
      <c r="Z2306" s="12">
        <f>IF($J2306=0,0,ROUND(MAX($J2306*1.4*1.5*1.6*1.6*2.2*2.715*2.6*1.4,6020000000*(1.651178^(MIN($E2306,123)-117)))*1,0))</f>
        <v>8877197</v>
      </c>
      <c r="AA2306" s="13">
        <f>$E2306+19</f>
        <v>123</v>
      </c>
      <c r="AB2306" s="14">
        <f>IF($J2306=0,0,ROUND(MAX($J2306*1.4*1.5*1.6*1.6*2.2*2.715*2.6*1.4*1.4,8430000000*(1.651435^(MIN($E2306,123)-117)))*1,0))</f>
        <v>12405900</v>
      </c>
      <c r="AC2306" s="11">
        <f>$E2306+21</f>
        <v>125</v>
      </c>
      <c r="AD2306" s="12">
        <f>IF($J2306=0,0,ROUND(MAX($J2306*1.4*1.5*1.6*1.6*2.2*2.715*2.6*1.4*1.4*1.5,12600000000*(1.652953^(MIN($E2306,123)-117)))*1,0))</f>
        <v>18322468</v>
      </c>
      <c r="AE2306" s="13">
        <f>$E2306+24</f>
        <v>128</v>
      </c>
      <c r="AF2306" s="14">
        <f>IF($J2306=0,0,ROUND(MAX($J2306*1.4*1.5*1.6*1.6*2.2*2.715*2.6*1.4*1.4*1.5*1.5,18900000000*(1.65331^(MIN($E2306,123)-117)))*1,0))</f>
        <v>27406653</v>
      </c>
      <c r="AG2306" s="11">
        <f>$E2306+27</f>
        <v>131</v>
      </c>
      <c r="AH2306" s="12">
        <f>IF($J2306=0,0,ROUND(MAX($J2306*1.4*1.5*1.6*1.6*2.2*2.715*2.6*1.4*1.4*1.5*1.5*3.2,60500000000*(1.654288^(MIN($E2306,123)-117)))*1,0))</f>
        <v>87058428</v>
      </c>
    </row>
    <row r="2307" ht="28" customHeight="1" spans="1:34" x14ac:dyDescent="0.25">
      <c r="A2307">
        <v>2317</v>
      </c>
      <c r="B2307" t="s">
        <v>1415</v>
      </c>
      <c r="C2307" s="10" t="s">
        <v>1278</v>
      </c>
      <c r="D2307" t="s">
        <v>90</v>
      </c>
      <c r="E2307">
        <v>104</v>
      </c>
      <c r="F2307" t="s">
        <v>56</v>
      </c>
      <c r="G2307" t="s">
        <v>126</v>
      </c>
      <c r="H2307">
        <v>21</v>
      </c>
      <c r="I2307" s="11">
        <f>$E2307+0</f>
        <v>104</v>
      </c>
      <c r="J2307" s="12">
        <v>24000</v>
      </c>
      <c r="K2307" s="13">
        <f>$E2307+1</f>
        <v>105</v>
      </c>
      <c r="L2307" s="14">
        <f>IF($J2307=0,0,ROUND(MAX($J2307*1.4,1620000*(1.497923^(MIN($E2307,123)-117)))*1,0))</f>
        <v>33600</v>
      </c>
      <c r="M2307" s="11">
        <f>$E2307+2</f>
        <v>106</v>
      </c>
      <c r="N2307" s="12">
        <f>IF($J2307=0,0,ROUND(MAX($J2307*1.4*1.5,2190000*(1.580994^(MIN($E2307,123)-117)))*1,0))</f>
        <v>50400</v>
      </c>
      <c r="O2307" s="13">
        <f>$E2307+4</f>
        <v>108</v>
      </c>
      <c r="P2307" s="14">
        <f>IF($J2307=0,0,ROUND(MAX($J2307*1.4*1.5*1.6,3500000*(1.57975^(MIN($E2307,123)-117)))*1,0))</f>
        <v>80640</v>
      </c>
      <c r="Q2307" s="11">
        <f>$E2307+6</f>
        <v>110</v>
      </c>
      <c r="R2307" s="12">
        <f>IF($J2307=0,0,ROUND(MAX($J2307*1.4*1.5*1.6*1.6,13100000*(1.429962^(MIN($E2307,123)-117)))*1,0))</f>
        <v>129024</v>
      </c>
      <c r="S2307" s="13">
        <f>$E2307+8</f>
        <v>112</v>
      </c>
      <c r="T2307" s="14">
        <f>IF($J2307=0,0,ROUND(MAX($J2307*1.4*1.5*1.6*1.6*2.2,42600000*(1.576904^(MIN($E2307,123)-117)))*1,0))</f>
        <v>283853</v>
      </c>
      <c r="U2307" s="11">
        <f>$E2307+11</f>
        <v>115</v>
      </c>
      <c r="V2307" s="12">
        <f>IF($J2307=0,0,ROUND(MAX($J2307*1.4*1.5*1.6*1.6*2.2*2.715,354000000*(1.642074^(MIN($E2307,123)-117)))*1,0))</f>
        <v>770660</v>
      </c>
      <c r="W2307" s="13">
        <f>$E2307+15</f>
        <v>119</v>
      </c>
      <c r="X2307" s="14">
        <f>IF($J2307=0,0,ROUND(MAX($J2307*1.4*1.5*1.6*1.6*2.2*2.715*2.6,3540000000*(1.579646^(MIN($E2307,123)-117)))*1,0))</f>
        <v>9283810</v>
      </c>
      <c r="Y2307" s="11">
        <f>$E2307+17</f>
        <v>121</v>
      </c>
      <c r="Z2307" s="12">
        <f>IF($J2307=0,0,ROUND(MAX($J2307*1.4*1.5*1.6*1.6*2.2*2.715*2.6*1.4,6020000000*(1.651178^(MIN($E2307,123)-117)))*1,0))</f>
        <v>8877197</v>
      </c>
      <c r="AA2307" s="13">
        <f>$E2307+19</f>
        <v>123</v>
      </c>
      <c r="AB2307" s="14">
        <f>IF($J2307=0,0,ROUND(MAX($J2307*1.4*1.5*1.6*1.6*2.2*2.715*2.6*1.4*1.4,8430000000*(1.651435^(MIN($E2307,123)-117)))*1,0))</f>
        <v>12405900</v>
      </c>
      <c r="AC2307" s="11">
        <f>$E2307+21</f>
        <v>125</v>
      </c>
      <c r="AD2307" s="12">
        <f>IF($J2307=0,0,ROUND(MAX($J2307*1.4*1.5*1.6*1.6*2.2*2.715*2.6*1.4*1.4*1.5,12600000000*(1.652953^(MIN($E2307,123)-117)))*1,0))</f>
        <v>18322468</v>
      </c>
      <c r="AE2307" s="13">
        <f>$E2307+24</f>
        <v>128</v>
      </c>
      <c r="AF2307" s="14">
        <f>IF($J2307=0,0,ROUND(MAX($J2307*1.4*1.5*1.6*1.6*2.2*2.715*2.6*1.4*1.4*1.5*1.5,18900000000*(1.65331^(MIN($E2307,123)-117)))*1,0))</f>
        <v>27406653</v>
      </c>
      <c r="AG2307" s="11">
        <f>$E2307+27</f>
        <v>131</v>
      </c>
      <c r="AH2307" s="12">
        <f>IF($J2307=0,0,ROUND(MAX($J2307*1.4*1.5*1.6*1.6*2.2*2.715*2.6*1.4*1.4*1.5*1.5*3.2,60500000000*(1.654288^(MIN($E2307,123)-117)))*1,0))</f>
        <v>87058428</v>
      </c>
    </row>
    <row r="2308" ht="28" customHeight="1" spans="1:34" x14ac:dyDescent="0.25">
      <c r="A2308">
        <v>2318</v>
      </c>
      <c r="B2308" t="s">
        <v>1416</v>
      </c>
      <c r="C2308" s="10" t="s">
        <v>1278</v>
      </c>
      <c r="D2308" t="s">
        <v>33</v>
      </c>
      <c r="E2308">
        <v>104</v>
      </c>
      <c r="F2308" t="s">
        <v>56</v>
      </c>
      <c r="G2308" t="s">
        <v>832</v>
      </c>
      <c r="H2308">
        <v>21</v>
      </c>
      <c r="I2308" s="11">
        <f>$E2308+0</f>
        <v>104</v>
      </c>
      <c r="J2308" s="12">
        <v>15800</v>
      </c>
      <c r="K2308" s="13">
        <f>$E2308+1</f>
        <v>105</v>
      </c>
      <c r="L2308" s="14">
        <f>IF($J2308=0,0,ROUND(MAX($J2308*1.4,1620000*(1.497923^(MIN($E2308,123)-117)))*1,0))</f>
        <v>22120</v>
      </c>
      <c r="M2308" s="11">
        <f>$E2308+2</f>
        <v>106</v>
      </c>
      <c r="N2308" s="12">
        <f>IF($J2308=0,0,ROUND(MAX($J2308*1.4*1.5,2190000*(1.580994^(MIN($E2308,123)-117)))*1,0))</f>
        <v>33180</v>
      </c>
      <c r="O2308" s="13">
        <f>$E2308+4</f>
        <v>108</v>
      </c>
      <c r="P2308" s="14">
        <f>IF($J2308=0,0,ROUND(MAX($J2308*1.4*1.5*1.6,3500000*(1.57975^(MIN($E2308,123)-117)))*1,0))</f>
        <v>53088</v>
      </c>
      <c r="Q2308" s="11">
        <f>$E2308+6</f>
        <v>110</v>
      </c>
      <c r="R2308" s="12">
        <f>IF($J2308=0,0,ROUND(MAX($J2308*1.4*1.5*1.6*1.6,13100000*(1.429962^(MIN($E2308,123)-117)))*1,0))</f>
        <v>125329</v>
      </c>
      <c r="S2308" s="13">
        <f>$E2308+8</f>
        <v>112</v>
      </c>
      <c r="T2308" s="14">
        <f>IF($J2308=0,0,ROUND(MAX($J2308*1.4*1.5*1.6*1.6*2.2,42600000*(1.576904^(MIN($E2308,123)-117)))*1,0))</f>
        <v>186870</v>
      </c>
      <c r="U2308" s="11">
        <f>$E2308+11</f>
        <v>115</v>
      </c>
      <c r="V2308" s="12">
        <f>IF($J2308=0,0,ROUND(MAX($J2308*1.4*1.5*1.6*1.6*2.2*2.715,354000000*(1.642074^(MIN($E2308,123)-117)))*1,0))</f>
        <v>560916</v>
      </c>
      <c r="W2308" s="13">
        <f>$E2308+15</f>
        <v>119</v>
      </c>
      <c r="X2308" s="14">
        <f>IF($J2308=0,0,ROUND(MAX($J2308*1.4*1.5*1.6*1.6*2.2*2.715*2.6,3540000000*(1.579646^(MIN($E2308,123)-117)))*1,0))</f>
        <v>9283810</v>
      </c>
      <c r="Y2308" s="11">
        <f>$E2308+17</f>
        <v>121</v>
      </c>
      <c r="Z2308" s="12">
        <f>IF($J2308=0,0,ROUND(MAX($J2308*1.4*1.5*1.6*1.6*2.2*2.715*2.6*1.4,6020000000*(1.651178^(MIN($E2308,123)-117)))*1,0))</f>
        <v>8877197</v>
      </c>
      <c r="AA2308" s="13">
        <f>$E2308+19</f>
        <v>123</v>
      </c>
      <c r="AB2308" s="14">
        <f>IF($J2308=0,0,ROUND(MAX($J2308*1.4*1.5*1.6*1.6*2.2*2.715*2.6*1.4*1.4,8430000000*(1.651435^(MIN($E2308,123)-117)))*1,0))</f>
        <v>12405900</v>
      </c>
      <c r="AC2308" s="11">
        <f>$E2308+21</f>
        <v>125</v>
      </c>
      <c r="AD2308" s="12">
        <f>IF($J2308=0,0,ROUND(MAX($J2308*1.4*1.5*1.6*1.6*2.2*2.715*2.6*1.4*1.4*1.5,12600000000*(1.652953^(MIN($E2308,123)-117)))*1,0))</f>
        <v>18322468</v>
      </c>
      <c r="AE2308" s="13">
        <f>$E2308+24</f>
        <v>128</v>
      </c>
      <c r="AF2308" s="14">
        <f>IF($J2308=0,0,ROUND(MAX($J2308*1.4*1.5*1.6*1.6*2.2*2.715*2.6*1.4*1.4*1.5*1.5,18900000000*(1.65331^(MIN($E2308,123)-117)))*1,0))</f>
        <v>27406653</v>
      </c>
      <c r="AG2308" s="11">
        <f>$E2308+27</f>
        <v>131</v>
      </c>
      <c r="AH2308" s="12">
        <f>IF($J2308=0,0,ROUND(MAX($J2308*1.4*1.5*1.6*1.6*2.2*2.715*2.6*1.4*1.4*1.5*1.5*3.2,60500000000*(1.654288^(MIN($E2308,123)-117)))*1,0))</f>
        <v>87058428</v>
      </c>
    </row>
    <row r="2309" ht="28" customHeight="1" spans="1:34" x14ac:dyDescent="0.25">
      <c r="A2309">
        <v>2319</v>
      </c>
      <c r="B2309" t="s">
        <v>1417</v>
      </c>
      <c r="C2309" s="10" t="s">
        <v>1278</v>
      </c>
      <c r="D2309" t="s">
        <v>45</v>
      </c>
      <c r="E2309">
        <v>103</v>
      </c>
      <c r="F2309" t="s">
        <v>479</v>
      </c>
      <c r="G2309" t="s">
        <v>760</v>
      </c>
      <c r="H2309">
        <v>22</v>
      </c>
      <c r="I2309" s="11">
        <f>$E2309+0</f>
        <v>103</v>
      </c>
      <c r="J2309" s="12">
        <v>20300</v>
      </c>
      <c r="K2309" s="13">
        <f>$E2309+1</f>
        <v>104</v>
      </c>
      <c r="L2309" s="14">
        <f>IF($J2309=0,0,ROUND(MAX($J2309*1.4,1620000*(1.497923^(MIN($E2309,123)-117)))*1,0))</f>
        <v>28420</v>
      </c>
      <c r="M2309" s="11">
        <f>$E2309+2</f>
        <v>105</v>
      </c>
      <c r="N2309" s="12">
        <f>IF($J2309=0,0,ROUND(MAX($J2309*1.4*1.5,2190000*(1.580994^(MIN($E2309,123)-117)))*1,0))</f>
        <v>42630</v>
      </c>
      <c r="O2309" s="13">
        <f>$E2309+4</f>
        <v>107</v>
      </c>
      <c r="P2309" s="14">
        <f>IF($J2309=0,0,ROUND(MAX($J2309*1.4*1.5*1.6,3500000*(1.57975^(MIN($E2309,123)-117)))*1,0))</f>
        <v>68208</v>
      </c>
      <c r="Q2309" s="11">
        <f>$E2309+6</f>
        <v>109</v>
      </c>
      <c r="R2309" s="12">
        <f>IF($J2309=0,0,ROUND(MAX($J2309*1.4*1.5*1.6*1.6,13100000*(1.429962^(MIN($E2309,123)-117)))*1,0))</f>
        <v>109133</v>
      </c>
      <c r="S2309" s="13">
        <f>$E2309+8</f>
        <v>111</v>
      </c>
      <c r="T2309" s="14">
        <f>IF($J2309=0,0,ROUND(MAX($J2309*1.4*1.5*1.6*1.6*2.2,42600000*(1.576904^(MIN($E2309,123)-117)))*1,0))</f>
        <v>240092</v>
      </c>
      <c r="U2309" s="11">
        <f>$E2309+11</f>
        <v>114</v>
      </c>
      <c r="V2309" s="12">
        <f>IF($J2309=0,0,ROUND(MAX($J2309*1.4*1.5*1.6*1.6*2.2*2.715,354000000*(1.642074^(MIN($E2309,123)-117)))*1,0))</f>
        <v>651850</v>
      </c>
      <c r="W2309" s="13">
        <f>$E2309+15</f>
        <v>118</v>
      </c>
      <c r="X2309" s="14">
        <f>IF($J2309=0,0,ROUND(MAX($J2309*1.4*1.5*1.6*1.6*2.2*2.715*2.6,3540000000*(1.579646^(MIN($E2309,123)-117)))*1,0))</f>
        <v>5877146</v>
      </c>
      <c r="Y2309" s="11">
        <f>$E2309+17</f>
        <v>120</v>
      </c>
      <c r="Z2309" s="12">
        <f>IF($J2309=0,0,ROUND(MAX($J2309*1.4*1.5*1.6*1.6*2.2*2.715*2.6*1.4,6020000000*(1.651178^(MIN($E2309,123)-117)))*1,0))</f>
        <v>5376281</v>
      </c>
      <c r="AA2309" s="13">
        <f>$E2309+19</f>
        <v>122</v>
      </c>
      <c r="AB2309" s="14">
        <f>IF($J2309=0,0,ROUND(MAX($J2309*1.4*1.5*1.6*1.6*2.2*2.715*2.6*1.4*1.4,8430000000*(1.651435^(MIN($E2309,123)-117)))*1,0))</f>
        <v>7512194</v>
      </c>
      <c r="AC2309" s="11">
        <f>$E2309+21</f>
        <v>124</v>
      </c>
      <c r="AD2309" s="12">
        <f>IF($J2309=0,0,ROUND(MAX($J2309*1.4*1.5*1.6*1.6*2.2*2.715*2.6*1.4*1.4*1.5,12600000000*(1.652953^(MIN($E2309,123)-117)))*1,0))</f>
        <v>11084688</v>
      </c>
      <c r="AE2309" s="13">
        <f>$E2309+24</f>
        <v>127</v>
      </c>
      <c r="AF2309" s="14">
        <f>IF($J2309=0,0,ROUND(MAX($J2309*1.4*1.5*1.6*1.6*2.2*2.715*2.6*1.4*1.4*1.5*1.5,18900000000*(1.65331^(MIN($E2309,123)-117)))*1,0))</f>
        <v>16576839</v>
      </c>
      <c r="AG2309" s="11">
        <f>$E2309+27</f>
        <v>130</v>
      </c>
      <c r="AH2309" s="12">
        <f>IF($J2309=0,0,ROUND(MAX($J2309*1.4*1.5*1.6*1.6*2.2*2.715*2.6*1.4*1.4*1.5*1.5*3.2,60500000000*(1.654288^(MIN($E2309,123)-117)))*1,0))</f>
        <v>52625920</v>
      </c>
    </row>
    <row r="2310" ht="28" customHeight="1" spans="1:34" x14ac:dyDescent="0.25">
      <c r="A2310">
        <v>2320</v>
      </c>
      <c r="B2310" t="s">
        <v>1418</v>
      </c>
      <c r="C2310" s="10" t="s">
        <v>1278</v>
      </c>
      <c r="D2310" t="s">
        <v>90</v>
      </c>
      <c r="E2310">
        <v>103</v>
      </c>
      <c r="F2310" t="s">
        <v>59</v>
      </c>
      <c r="G2310" t="s">
        <v>784</v>
      </c>
      <c r="H2310">
        <v>21</v>
      </c>
      <c r="I2310" s="11">
        <f>$E2310+0</f>
        <v>103</v>
      </c>
      <c r="J2310" s="12">
        <v>20800</v>
      </c>
      <c r="K2310" s="13">
        <f>$E2310+1</f>
        <v>104</v>
      </c>
      <c r="L2310" s="14">
        <f>IF($J2310=0,0,ROUND(MAX($J2310*1.4,1620000*(1.497923^(MIN($E2310,123)-117)))*1,0))</f>
        <v>29120</v>
      </c>
      <c r="M2310" s="11">
        <f>$E2310+2</f>
        <v>105</v>
      </c>
      <c r="N2310" s="12">
        <f>IF($J2310=0,0,ROUND(MAX($J2310*1.4*1.5,2190000*(1.580994^(MIN($E2310,123)-117)))*1,0))</f>
        <v>43680</v>
      </c>
      <c r="O2310" s="13">
        <f>$E2310+4</f>
        <v>107</v>
      </c>
      <c r="P2310" s="14">
        <f>IF($J2310=0,0,ROUND(MAX($J2310*1.4*1.5*1.6,3500000*(1.57975^(MIN($E2310,123)-117)))*1,0))</f>
        <v>69888</v>
      </c>
      <c r="Q2310" s="11">
        <f>$E2310+6</f>
        <v>109</v>
      </c>
      <c r="R2310" s="12">
        <f>IF($J2310=0,0,ROUND(MAX($J2310*1.4*1.5*1.6*1.6,13100000*(1.429962^(MIN($E2310,123)-117)))*1,0))</f>
        <v>111821</v>
      </c>
      <c r="S2310" s="13">
        <f>$E2310+8</f>
        <v>111</v>
      </c>
      <c r="T2310" s="14">
        <f>IF($J2310=0,0,ROUND(MAX($J2310*1.4*1.5*1.6*1.6*2.2,42600000*(1.576904^(MIN($E2310,123)-117)))*1,0))</f>
        <v>246006</v>
      </c>
      <c r="U2310" s="11">
        <f>$E2310+11</f>
        <v>114</v>
      </c>
      <c r="V2310" s="12">
        <f>IF($J2310=0,0,ROUND(MAX($J2310*1.4*1.5*1.6*1.6*2.2*2.715,354000000*(1.642074^(MIN($E2310,123)-117)))*1,0))</f>
        <v>667906</v>
      </c>
      <c r="W2310" s="13">
        <f>$E2310+15</f>
        <v>118</v>
      </c>
      <c r="X2310" s="14">
        <f>IF($J2310=0,0,ROUND(MAX($J2310*1.4*1.5*1.6*1.6*2.2*2.715*2.6,3540000000*(1.579646^(MIN($E2310,123)-117)))*1,0))</f>
        <v>5877146</v>
      </c>
      <c r="Y2310" s="11">
        <f>$E2310+17</f>
        <v>120</v>
      </c>
      <c r="Z2310" s="12">
        <f>IF($J2310=0,0,ROUND(MAX($J2310*1.4*1.5*1.6*1.6*2.2*2.715*2.6*1.4,6020000000*(1.651178^(MIN($E2310,123)-117)))*1,0))</f>
        <v>5376281</v>
      </c>
      <c r="AA2310" s="13">
        <f>$E2310+19</f>
        <v>122</v>
      </c>
      <c r="AB2310" s="14">
        <f>IF($J2310=0,0,ROUND(MAX($J2310*1.4*1.5*1.6*1.6*2.2*2.715*2.6*1.4*1.4,8430000000*(1.651435^(MIN($E2310,123)-117)))*1,0))</f>
        <v>7512194</v>
      </c>
      <c r="AC2310" s="11">
        <f>$E2310+21</f>
        <v>124</v>
      </c>
      <c r="AD2310" s="12">
        <f>IF($J2310=0,0,ROUND(MAX($J2310*1.4*1.5*1.6*1.6*2.2*2.715*2.6*1.4*1.4*1.5,12600000000*(1.652953^(MIN($E2310,123)-117)))*1,0))</f>
        <v>11084688</v>
      </c>
      <c r="AE2310" s="13">
        <f>$E2310+24</f>
        <v>127</v>
      </c>
      <c r="AF2310" s="14">
        <f>IF($J2310=0,0,ROUND(MAX($J2310*1.4*1.5*1.6*1.6*2.2*2.715*2.6*1.4*1.4*1.5*1.5,18900000000*(1.65331^(MIN($E2310,123)-117)))*1,0))</f>
        <v>16576839</v>
      </c>
      <c r="AG2310" s="11">
        <f>$E2310+27</f>
        <v>130</v>
      </c>
      <c r="AH2310" s="12">
        <f>IF($J2310=0,0,ROUND(MAX($J2310*1.4*1.5*1.6*1.6*2.2*2.715*2.6*1.4*1.4*1.5*1.5*3.2,60500000000*(1.654288^(MIN($E2310,123)-117)))*1,0))</f>
        <v>52625920</v>
      </c>
    </row>
    <row r="2311" ht="28" customHeight="1" spans="1:34" x14ac:dyDescent="0.25">
      <c r="A2311">
        <v>2321</v>
      </c>
      <c r="B2311" t="s">
        <v>1256</v>
      </c>
      <c r="C2311" s="10" t="s">
        <v>1278</v>
      </c>
      <c r="D2311" t="s">
        <v>33</v>
      </c>
      <c r="E2311">
        <v>103</v>
      </c>
      <c r="F2311" t="s">
        <v>1257</v>
      </c>
      <c r="G2311" t="s">
        <v>362</v>
      </c>
      <c r="H2311">
        <v>21</v>
      </c>
      <c r="I2311" s="11">
        <f>$E2311+0</f>
        <v>103</v>
      </c>
      <c r="J2311" s="12">
        <v>25200</v>
      </c>
      <c r="K2311" s="13">
        <f>$E2311+1</f>
        <v>104</v>
      </c>
      <c r="L2311" s="14">
        <f>IF($J2311=0,0,ROUND(MAX($J2311*1.4,1620000*(1.497923^(MIN($E2311,123)-117)))*1,0))</f>
        <v>35280</v>
      </c>
      <c r="M2311" s="11">
        <f>$E2311+2</f>
        <v>105</v>
      </c>
      <c r="N2311" s="12">
        <f>IF($J2311=0,0,ROUND(MAX($J2311*1.4*1.5,2190000*(1.580994^(MIN($E2311,123)-117)))*1,0))</f>
        <v>52920</v>
      </c>
      <c r="O2311" s="13">
        <f>$E2311+4</f>
        <v>107</v>
      </c>
      <c r="P2311" s="14">
        <f>IF($J2311=0,0,ROUND(MAX($J2311*1.4*1.5*1.6,3500000*(1.57975^(MIN($E2311,123)-117)))*1,0))</f>
        <v>84672</v>
      </c>
      <c r="Q2311" s="11">
        <f>$E2311+6</f>
        <v>109</v>
      </c>
      <c r="R2311" s="12">
        <f>IF($J2311=0,0,ROUND(MAX($J2311*1.4*1.5*1.6*1.6,13100000*(1.429962^(MIN($E2311,123)-117)))*1,0))</f>
        <v>135475</v>
      </c>
      <c r="S2311" s="13">
        <f>$E2311+8</f>
        <v>111</v>
      </c>
      <c r="T2311" s="14">
        <f>IF($J2311=0,0,ROUND(MAX($J2311*1.4*1.5*1.6*1.6*2.2,42600000*(1.576904^(MIN($E2311,123)-117)))*1,0))</f>
        <v>298045</v>
      </c>
      <c r="U2311" s="11">
        <f>$E2311+11</f>
        <v>114</v>
      </c>
      <c r="V2311" s="12">
        <f>IF($J2311=0,0,ROUND(MAX($J2311*1.4*1.5*1.6*1.6*2.2*2.715,354000000*(1.642074^(MIN($E2311,123)-117)))*1,0))</f>
        <v>809193</v>
      </c>
      <c r="W2311" s="13">
        <f>$E2311+15</f>
        <v>118</v>
      </c>
      <c r="X2311" s="14">
        <f>IF($J2311=0,0,ROUND(MAX($J2311*1.4*1.5*1.6*1.6*2.2*2.715*2.6,3540000000*(1.579646^(MIN($E2311,123)-117)))*1,0))</f>
        <v>5877146</v>
      </c>
      <c r="Y2311" s="11">
        <f>$E2311+17</f>
        <v>120</v>
      </c>
      <c r="Z2311" s="12">
        <f>IF($J2311=0,0,ROUND(MAX($J2311*1.4*1.5*1.6*1.6*2.2*2.715*2.6*1.4,6020000000*(1.651178^(MIN($E2311,123)-117)))*1,0))</f>
        <v>5376281</v>
      </c>
      <c r="AA2311" s="13">
        <f>$E2311+19</f>
        <v>122</v>
      </c>
      <c r="AB2311" s="14">
        <f>IF($J2311=0,0,ROUND(MAX($J2311*1.4*1.5*1.6*1.6*2.2*2.715*2.6*1.4*1.4,8430000000*(1.651435^(MIN($E2311,123)-117)))*1,0))</f>
        <v>7512194</v>
      </c>
      <c r="AC2311" s="11">
        <f>$E2311+21</f>
        <v>124</v>
      </c>
      <c r="AD2311" s="12">
        <f>IF($J2311=0,0,ROUND(MAX($J2311*1.4*1.5*1.6*1.6*2.2*2.715*2.6*1.4*1.4*1.5,12600000000*(1.652953^(MIN($E2311,123)-117)))*1,0))</f>
        <v>11084688</v>
      </c>
      <c r="AE2311" s="13">
        <f>$E2311+24</f>
        <v>127</v>
      </c>
      <c r="AF2311" s="14">
        <f>IF($J2311=0,0,ROUND(MAX($J2311*1.4*1.5*1.6*1.6*2.2*2.715*2.6*1.4*1.4*1.5*1.5,18900000000*(1.65331^(MIN($E2311,123)-117)))*1,0))</f>
        <v>16576839</v>
      </c>
      <c r="AG2311" s="11">
        <f>$E2311+27</f>
        <v>130</v>
      </c>
      <c r="AH2311" s="12">
        <f>IF($J2311=0,0,ROUND(MAX($J2311*1.4*1.5*1.6*1.6*2.2*2.715*2.6*1.4*1.4*1.5*1.5*3.2,60500000000*(1.654288^(MIN($E2311,123)-117)))*1,0))</f>
        <v>52625920</v>
      </c>
    </row>
    <row r="2312" ht="28" customHeight="1" spans="1:34" x14ac:dyDescent="0.25">
      <c r="A2312">
        <v>2322</v>
      </c>
      <c r="B2312" t="s">
        <v>1419</v>
      </c>
      <c r="C2312" s="10" t="s">
        <v>1278</v>
      </c>
      <c r="D2312" t="s">
        <v>102</v>
      </c>
      <c r="E2312">
        <v>103</v>
      </c>
      <c r="F2312" t="s">
        <v>56</v>
      </c>
      <c r="G2312" t="s">
        <v>349</v>
      </c>
      <c r="H2312">
        <v>21</v>
      </c>
      <c r="I2312" s="11">
        <f>$E2312+0</f>
        <v>103</v>
      </c>
      <c r="J2312" s="12">
        <v>20800</v>
      </c>
      <c r="K2312" s="13">
        <f>$E2312+1</f>
        <v>104</v>
      </c>
      <c r="L2312" s="14">
        <f>IF($J2312=0,0,ROUND(MAX($J2312*1.4,1620000*(1.497923^(MIN($E2312,123)-117)))*1,0))</f>
        <v>29120</v>
      </c>
      <c r="M2312" s="11">
        <f>$E2312+2</f>
        <v>105</v>
      </c>
      <c r="N2312" s="12">
        <f>IF($J2312=0,0,ROUND(MAX($J2312*1.4*1.5,2190000*(1.580994^(MIN($E2312,123)-117)))*1,0))</f>
        <v>43680</v>
      </c>
      <c r="O2312" s="13">
        <f>$E2312+4</f>
        <v>107</v>
      </c>
      <c r="P2312" s="14">
        <f>IF($J2312=0,0,ROUND(MAX($J2312*1.4*1.5*1.6,3500000*(1.57975^(MIN($E2312,123)-117)))*1,0))</f>
        <v>69888</v>
      </c>
      <c r="Q2312" s="11">
        <f>$E2312+6</f>
        <v>109</v>
      </c>
      <c r="R2312" s="12">
        <f>IF($J2312=0,0,ROUND(MAX($J2312*1.4*1.5*1.6*1.6,13100000*(1.429962^(MIN($E2312,123)-117)))*1,0))</f>
        <v>111821</v>
      </c>
      <c r="S2312" s="13">
        <f>$E2312+8</f>
        <v>111</v>
      </c>
      <c r="T2312" s="14">
        <f>IF($J2312=0,0,ROUND(MAX($J2312*1.4*1.5*1.6*1.6*2.2,42600000*(1.576904^(MIN($E2312,123)-117)))*1,0))</f>
        <v>246006</v>
      </c>
      <c r="U2312" s="11">
        <f>$E2312+11</f>
        <v>114</v>
      </c>
      <c r="V2312" s="12">
        <f>IF($J2312=0,0,ROUND(MAX($J2312*1.4*1.5*1.6*1.6*2.2*2.715,354000000*(1.642074^(MIN($E2312,123)-117)))*1,0))</f>
        <v>667906</v>
      </c>
      <c r="W2312" s="13">
        <f>$E2312+15</f>
        <v>118</v>
      </c>
      <c r="X2312" s="14">
        <f>IF($J2312=0,0,ROUND(MAX($J2312*1.4*1.5*1.6*1.6*2.2*2.715*2.6,3540000000*(1.579646^(MIN($E2312,123)-117)))*1,0))</f>
        <v>5877146</v>
      </c>
      <c r="Y2312" s="11">
        <f>$E2312+17</f>
        <v>120</v>
      </c>
      <c r="Z2312" s="12">
        <f>IF($J2312=0,0,ROUND(MAX($J2312*1.4*1.5*1.6*1.6*2.2*2.715*2.6*1.4,6020000000*(1.651178^(MIN($E2312,123)-117)))*1,0))</f>
        <v>5376281</v>
      </c>
      <c r="AA2312" s="13">
        <f>$E2312+19</f>
        <v>122</v>
      </c>
      <c r="AB2312" s="14">
        <f>IF($J2312=0,0,ROUND(MAX($J2312*1.4*1.5*1.6*1.6*2.2*2.715*2.6*1.4*1.4,8430000000*(1.651435^(MIN($E2312,123)-117)))*1,0))</f>
        <v>7512194</v>
      </c>
      <c r="AC2312" s="11">
        <f>$E2312+21</f>
        <v>124</v>
      </c>
      <c r="AD2312" s="12">
        <f>IF($J2312=0,0,ROUND(MAX($J2312*1.4*1.5*1.6*1.6*2.2*2.715*2.6*1.4*1.4*1.5,12600000000*(1.652953^(MIN($E2312,123)-117)))*1,0))</f>
        <v>11084688</v>
      </c>
      <c r="AE2312" s="13">
        <f>$E2312+24</f>
        <v>127</v>
      </c>
      <c r="AF2312" s="14">
        <f>IF($J2312=0,0,ROUND(MAX($J2312*1.4*1.5*1.6*1.6*2.2*2.715*2.6*1.4*1.4*1.5*1.5,18900000000*(1.65331^(MIN($E2312,123)-117)))*1,0))</f>
        <v>16576839</v>
      </c>
      <c r="AG2312" s="11">
        <f>$E2312+27</f>
        <v>130</v>
      </c>
      <c r="AH2312" s="12">
        <f>IF($J2312=0,0,ROUND(MAX($J2312*1.4*1.5*1.6*1.6*2.2*2.715*2.6*1.4*1.4*1.5*1.5*3.2,60500000000*(1.654288^(MIN($E2312,123)-117)))*1,0))</f>
        <v>52625920</v>
      </c>
    </row>
    <row r="2313" ht="28" customHeight="1" spans="1:34" x14ac:dyDescent="0.25">
      <c r="A2313">
        <v>2323</v>
      </c>
      <c r="B2313" t="s">
        <v>1420</v>
      </c>
      <c r="C2313" s="10" t="s">
        <v>1278</v>
      </c>
      <c r="D2313" t="s">
        <v>45</v>
      </c>
      <c r="E2313">
        <v>103</v>
      </c>
      <c r="F2313" t="s">
        <v>303</v>
      </c>
      <c r="G2313" t="s">
        <v>1336</v>
      </c>
      <c r="H2313">
        <v>21</v>
      </c>
      <c r="I2313" s="11">
        <f>$E2313+0</f>
        <v>103</v>
      </c>
      <c r="J2313" s="12">
        <v>1040000</v>
      </c>
      <c r="K2313" s="13">
        <f>$E2313+1</f>
        <v>104</v>
      </c>
      <c r="L2313" s="14">
        <f>IF($J2313=0,0,ROUND(MAX($J2313*1.4,1620000*(1.497923^(MIN($E2313,123)-117)))*1,0))</f>
        <v>1456000</v>
      </c>
      <c r="M2313" s="11">
        <f>$E2313+2</f>
        <v>105</v>
      </c>
      <c r="N2313" s="12">
        <f>IF($J2313=0,0,ROUND(MAX($J2313*1.4*1.5,2190000*(1.580994^(MIN($E2313,123)-117)))*1,0))</f>
        <v>2184000</v>
      </c>
      <c r="O2313" s="13">
        <f>$E2313+4</f>
        <v>107</v>
      </c>
      <c r="P2313" s="14">
        <f>IF($J2313=0,0,ROUND(MAX($J2313*1.4*1.5*1.6,3500000*(1.57975^(MIN($E2313,123)-117)))*1,0))</f>
        <v>3494400</v>
      </c>
      <c r="Q2313" s="11">
        <f>$E2313+6</f>
        <v>109</v>
      </c>
      <c r="R2313" s="12">
        <f>IF($J2313=0,0,ROUND(MAX($J2313*1.4*1.5*1.6*1.6,13100000*(1.429962^(MIN($E2313,123)-117)))*1,0))</f>
        <v>5591040</v>
      </c>
      <c r="S2313" s="13">
        <f>$E2313+8</f>
        <v>111</v>
      </c>
      <c r="T2313" s="14">
        <f>IF($J2313=0,0,ROUND(MAX($J2313*1.4*1.5*1.6*1.6*2.2,42600000*(1.576904^(MIN($E2313,123)-117)))*1,0))</f>
        <v>12300288</v>
      </c>
      <c r="U2313" s="11">
        <f>$E2313+11</f>
        <v>114</v>
      </c>
      <c r="V2313" s="12">
        <f>IF($J2313=0,0,ROUND(MAX($J2313*1.4*1.5*1.6*1.6*2.2*2.715,354000000*(1.642074^(MIN($E2313,123)-117)))*1,0))</f>
        <v>33395282</v>
      </c>
      <c r="W2313" s="13">
        <f>$E2313+15</f>
        <v>118</v>
      </c>
      <c r="X2313" s="14">
        <f>IF($J2313=0,0,ROUND(MAX($J2313*1.4*1.5*1.6*1.6*2.2*2.715*2.6,3540000000*(1.579646^(MIN($E2313,123)-117)))*1,0))</f>
        <v>86827733</v>
      </c>
      <c r="Y2313" s="11">
        <f>$E2313+17</f>
        <v>120</v>
      </c>
      <c r="Z2313" s="12">
        <f>IF($J2313=0,0,ROUND(MAX($J2313*1.4*1.5*1.6*1.6*2.2*2.715*2.6*1.4,6020000000*(1.651178^(MIN($E2313,123)-117)))*1,0))</f>
        <v>121558826</v>
      </c>
      <c r="AA2313" s="13">
        <f>$E2313+19</f>
        <v>122</v>
      </c>
      <c r="AB2313" s="14">
        <f>IF($J2313=0,0,ROUND(MAX($J2313*1.4*1.5*1.6*1.6*2.2*2.715*2.6*1.4*1.4,8430000000*(1.651435^(MIN($E2313,123)-117)))*1,0))</f>
        <v>170182357</v>
      </c>
      <c r="AC2313" s="11">
        <f>$E2313+21</f>
        <v>124</v>
      </c>
      <c r="AD2313" s="12">
        <f>IF($J2313=0,0,ROUND(MAX($J2313*1.4*1.5*1.6*1.6*2.2*2.715*2.6*1.4*1.4*1.5,12600000000*(1.652953^(MIN($E2313,123)-117)))*1,0))</f>
        <v>255273535</v>
      </c>
      <c r="AE2313" s="13">
        <f>$E2313+24</f>
        <v>127</v>
      </c>
      <c r="AF2313" s="14">
        <f>IF($J2313=0,0,ROUND(MAX($J2313*1.4*1.5*1.6*1.6*2.2*2.715*2.6*1.4*1.4*1.5*1.5,18900000000*(1.65331^(MIN($E2313,123)-117)))*1,0))</f>
        <v>382910302</v>
      </c>
      <c r="AG2313" s="11">
        <f>$E2313+27</f>
        <v>130</v>
      </c>
      <c r="AH2313" s="12">
        <f>IF($J2313=0,0,ROUND(MAX($J2313*1.4*1.5*1.6*1.6*2.2*2.715*2.6*1.4*1.4*1.5*1.5*3.2,60500000000*(1.654288^(MIN($E2313,123)-117)))*1,0))</f>
        <v>1225312968</v>
      </c>
    </row>
    <row r="2314" ht="28" customHeight="1" spans="1:34" x14ac:dyDescent="0.25">
      <c r="A2314">
        <v>2324</v>
      </c>
      <c r="B2314" t="s">
        <v>232</v>
      </c>
      <c r="C2314" s="10" t="s">
        <v>1421</v>
      </c>
      <c r="D2314" t="s">
        <v>25</v>
      </c>
      <c r="E2314">
        <v>116</v>
      </c>
      <c r="F2314" t="s">
        <v>59</v>
      </c>
      <c r="G2314" t="s">
        <v>57</v>
      </c>
      <c r="H2314">
        <v>29</v>
      </c>
      <c r="I2314" s="11">
        <v>116</v>
      </c>
      <c r="J2314" s="12">
        <v>812000</v>
      </c>
      <c r="K2314" s="13">
        <f>$E2314+1</f>
        <v>117</v>
      </c>
      <c r="L2314" s="14">
        <f>IF($J2314=0,0,ROUND(MAX($J2314*1.4,1620000*(1.497923^(MIN($E2314,123)-117)))*1,0))</f>
        <v>1136800</v>
      </c>
      <c r="M2314" s="11">
        <f>$E2314+2</f>
        <v>118</v>
      </c>
      <c r="N2314" s="12">
        <f>IF($J2314=0,0,ROUND(MAX($J2314*1.4*1.5,2190000*(1.580994^(MIN($E2314,123)-117)))*1,0))</f>
        <v>1705200</v>
      </c>
      <c r="O2314" s="13">
        <f>$E2314+4</f>
        <v>120</v>
      </c>
      <c r="P2314" s="14">
        <f>IF($J2314=0,0,ROUND(MAX($J2314*1.4*1.5*1.6,3500000*(1.57975^(MIN($E2314,123)-117)))*1,0))</f>
        <v>2728320</v>
      </c>
      <c r="Q2314" s="11">
        <f>$E2314+6</f>
        <v>122</v>
      </c>
      <c r="R2314" s="12">
        <f>IF($J2314=0,0,ROUND(MAX($J2314*1.4*1.5*1.6*1.6,13100000*(1.429962^(MIN($E2314,123)-117)))*1,0))</f>
        <v>9161083</v>
      </c>
      <c r="S2314" s="13">
        <f>$E2314+8</f>
        <v>124</v>
      </c>
      <c r="T2314" s="14">
        <f>IF($J2314=0,0,ROUND(MAX($J2314*1.4*1.5*1.6*1.6*2.2,42600000*(1.576904^(MIN($E2314,123)-117)))*1,0))</f>
        <v>27014961</v>
      </c>
      <c r="U2314" s="11">
        <f>$E2314+11</f>
        <v>127</v>
      </c>
      <c r="V2314" s="12">
        <f>IF($J2314=0,0,ROUND(MAX($J2314*1.4*1.5*1.6*1.6*2.2*2.715,354000000*(1.642074^(MIN($E2314,123)-117)))*1,0))</f>
        <v>215581027</v>
      </c>
      <c r="W2314" s="13">
        <f>$E2314+15</f>
        <v>131</v>
      </c>
      <c r="X2314" s="14">
        <f>IF($J2314=0,0,ROUND(MAX($J2314*1.4*1.5*1.6*1.6*2.2*2.715*2.6,3540000000*(1.579646^(MIN($E2314,123)-117)))*1,0))</f>
        <v>2241008428</v>
      </c>
      <c r="Y2314" s="11">
        <f>$E2314+17</f>
        <v>133</v>
      </c>
      <c r="Z2314" s="12">
        <f>IF($J2314=0,0,ROUND(MAX($J2314*1.4*1.5*1.6*1.6*2.2*2.715*2.6*1.4,6020000000*(1.651178^(MIN($E2314,123)-117)))*1,0))</f>
        <v>3645881910</v>
      </c>
      <c r="AA2314" s="13">
        <f>$E2314+19</f>
        <v>135</v>
      </c>
      <c r="AB2314" s="14">
        <f>IF($J2314=0,0,ROUND(MAX($J2314*1.4*1.5*1.6*1.6*2.2*2.715*2.6*1.4*1.4,8430000000*(1.651435^(MIN($E2314,123)-117)))*1,0))</f>
        <v>5104651409</v>
      </c>
      <c r="AC2314" s="11">
        <f>$E2314+21</f>
        <v>137</v>
      </c>
      <c r="AD2314" s="12">
        <f>IF($J2314=0,0,ROUND(MAX($J2314*1.4*1.5*1.6*1.6*2.2*2.715*2.6*1.4*1.4*1.5,12600000000*(1.652953^(MIN($E2314,123)-117)))*1,0))</f>
        <v>7622721275</v>
      </c>
      <c r="AE2314" s="13">
        <f>$E2314+24</f>
        <v>140</v>
      </c>
      <c r="AF2314" s="14">
        <f>IF($J2314=0,0,ROUND(MAX($J2314*1.4*1.5*1.6*1.6*2.2*2.715*2.6*1.4*1.4*1.5*1.5,18900000000*(1.65331^(MIN($E2314,123)-117)))*1,0))</f>
        <v>11431612946</v>
      </c>
      <c r="AG2314" s="11">
        <f>$E2314+27</f>
        <v>143</v>
      </c>
      <c r="AH2314" s="12">
        <f>IF($J2314=0,0,ROUND(MAX($J2314*1.4*1.5*1.6*1.6*2.2*2.715*2.6*1.4*1.4*1.5*1.5*3.2,60500000000*(1.654288^(MIN($E2314,123)-117)))*1,0))</f>
        <v>36571624772</v>
      </c>
    </row>
    <row r="2315" ht="28" customHeight="1" spans="1:34" x14ac:dyDescent="0.25">
      <c r="A2315">
        <v>2325</v>
      </c>
      <c r="B2315" t="s">
        <v>250</v>
      </c>
      <c r="C2315" s="10" t="s">
        <v>1421</v>
      </c>
      <c r="D2315" t="s">
        <v>45</v>
      </c>
      <c r="E2315">
        <v>116</v>
      </c>
      <c r="F2315" t="s">
        <v>30</v>
      </c>
      <c r="G2315" t="s">
        <v>86</v>
      </c>
      <c r="H2315">
        <v>28</v>
      </c>
      <c r="I2315" s="11">
        <v>116</v>
      </c>
      <c r="J2315" s="12">
        <v>773000</v>
      </c>
      <c r="K2315" s="13">
        <f>$E2315+1</f>
        <v>117</v>
      </c>
      <c r="L2315" s="14">
        <f>IF($J2315=0,0,ROUND(MAX($J2315*1.4,1620000*(1.497923^(MIN($E2315,123)-117)))*1,0))</f>
        <v>1082200</v>
      </c>
      <c r="M2315" s="11">
        <f>$E2315+2</f>
        <v>118</v>
      </c>
      <c r="N2315" s="12">
        <f>IF($J2315=0,0,ROUND(MAX($J2315*1.4*1.5,2190000*(1.580994^(MIN($E2315,123)-117)))*1,0))</f>
        <v>1623300</v>
      </c>
      <c r="O2315" s="13">
        <f>$E2315+4</f>
        <v>120</v>
      </c>
      <c r="P2315" s="14">
        <f>IF($J2315=0,0,ROUND(MAX($J2315*1.4*1.5*1.6,3500000*(1.57975^(MIN($E2315,123)-117)))*1,0))</f>
        <v>2597280</v>
      </c>
      <c r="Q2315" s="11">
        <f>$E2315+6</f>
        <v>122</v>
      </c>
      <c r="R2315" s="12">
        <f>IF($J2315=0,0,ROUND(MAX($J2315*1.4*1.5*1.6*1.6,13100000*(1.429962^(MIN($E2315,123)-117)))*1,0))</f>
        <v>9161083</v>
      </c>
      <c r="S2315" s="13">
        <f>$E2315+8</f>
        <v>124</v>
      </c>
      <c r="T2315" s="14">
        <f>IF($J2315=0,0,ROUND(MAX($J2315*1.4*1.5*1.6*1.6*2.2,42600000*(1.576904^(MIN($E2315,123)-117)))*1,0))</f>
        <v>27014961</v>
      </c>
      <c r="U2315" s="11">
        <f>$E2315+11</f>
        <v>127</v>
      </c>
      <c r="V2315" s="12">
        <f>IF($J2315=0,0,ROUND(MAX($J2315*1.4*1.5*1.6*1.6*2.2*2.715,354000000*(1.642074^(MIN($E2315,123)-117)))*1,0))</f>
        <v>215581027</v>
      </c>
      <c r="W2315" s="13">
        <f>$E2315+15</f>
        <v>131</v>
      </c>
      <c r="X2315" s="14">
        <f>IF($J2315=0,0,ROUND(MAX($J2315*1.4*1.5*1.6*1.6*2.2*2.715*2.6,3540000000*(1.579646^(MIN($E2315,123)-117)))*1,0))</f>
        <v>2241008428</v>
      </c>
      <c r="Y2315" s="11">
        <f>$E2315+17</f>
        <v>133</v>
      </c>
      <c r="Z2315" s="12">
        <f>IF($J2315=0,0,ROUND(MAX($J2315*1.4*1.5*1.6*1.6*2.2*2.715*2.6*1.4,6020000000*(1.651178^(MIN($E2315,123)-117)))*1,0))</f>
        <v>3645881910</v>
      </c>
      <c r="AA2315" s="13">
        <f>$E2315+19</f>
        <v>135</v>
      </c>
      <c r="AB2315" s="14">
        <f>IF($J2315=0,0,ROUND(MAX($J2315*1.4*1.5*1.6*1.6*2.2*2.715*2.6*1.4*1.4,8430000000*(1.651435^(MIN($E2315,123)-117)))*1,0))</f>
        <v>5104651409</v>
      </c>
      <c r="AC2315" s="11">
        <f>$E2315+21</f>
        <v>137</v>
      </c>
      <c r="AD2315" s="12">
        <f>IF($J2315=0,0,ROUND(MAX($J2315*1.4*1.5*1.6*1.6*2.2*2.715*2.6*1.4*1.4*1.5,12600000000*(1.652953^(MIN($E2315,123)-117)))*1,0))</f>
        <v>7622721275</v>
      </c>
      <c r="AE2315" s="13">
        <f>$E2315+24</f>
        <v>140</v>
      </c>
      <c r="AF2315" s="14">
        <f>IF($J2315=0,0,ROUND(MAX($J2315*1.4*1.5*1.6*1.6*2.2*2.715*2.6*1.4*1.4*1.5*1.5,18900000000*(1.65331^(MIN($E2315,123)-117)))*1,0))</f>
        <v>11431612946</v>
      </c>
      <c r="AG2315" s="11">
        <f>$E2315+27</f>
        <v>143</v>
      </c>
      <c r="AH2315" s="12">
        <f>IF($J2315=0,0,ROUND(MAX($J2315*1.4*1.5*1.6*1.6*2.2*2.715*2.6*1.4*1.4*1.5*1.5*3.2,60500000000*(1.654288^(MIN($E2315,123)-117)))*1,0))</f>
        <v>36571624772</v>
      </c>
    </row>
    <row r="2316" ht="28" customHeight="1" spans="1:34" x14ac:dyDescent="0.25">
      <c r="A2316">
        <v>2326</v>
      </c>
      <c r="B2316" t="s">
        <v>264</v>
      </c>
      <c r="C2316" s="10" t="s">
        <v>1421</v>
      </c>
      <c r="D2316" t="s">
        <v>79</v>
      </c>
      <c r="E2316">
        <v>116</v>
      </c>
      <c r="F2316" t="s">
        <v>265</v>
      </c>
      <c r="G2316" t="s">
        <v>218</v>
      </c>
      <c r="H2316">
        <v>28</v>
      </c>
      <c r="I2316" s="11">
        <v>116</v>
      </c>
      <c r="J2316" s="12">
        <v>523000</v>
      </c>
      <c r="K2316" s="13">
        <f>$E2316+1</f>
        <v>117</v>
      </c>
      <c r="L2316" s="14">
        <f>IF($J2316=0,0,ROUND(MAX($J2316*1.4,1620000*(1.497923^(MIN($E2316,123)-117)))*1,0))</f>
        <v>1081498</v>
      </c>
      <c r="M2316" s="11">
        <f>$E2316+2</f>
        <v>118</v>
      </c>
      <c r="N2316" s="12">
        <f>IF($J2316=0,0,ROUND(MAX($J2316*1.4*1.5,2190000*(1.580994^(MIN($E2316,123)-117)))*1,0))</f>
        <v>1385204</v>
      </c>
      <c r="O2316" s="13">
        <f>$E2316+4</f>
        <v>120</v>
      </c>
      <c r="P2316" s="14">
        <f>IF($J2316=0,0,ROUND(MAX($J2316*1.4*1.5*1.6,3500000*(1.57975^(MIN($E2316,123)-117)))*1,0))</f>
        <v>2215540</v>
      </c>
      <c r="Q2316" s="11">
        <f>$E2316+6</f>
        <v>122</v>
      </c>
      <c r="R2316" s="12">
        <f>IF($J2316=0,0,ROUND(MAX($J2316*1.4*1.5*1.6*1.6,13100000*(1.429962^(MIN($E2316,123)-117)))*1,0))</f>
        <v>9161083</v>
      </c>
      <c r="S2316" s="13">
        <f>$E2316+8</f>
        <v>124</v>
      </c>
      <c r="T2316" s="14">
        <f>IF($J2316=0,0,ROUND(MAX($J2316*1.4*1.5*1.6*1.6*2.2,42600000*(1.576904^(MIN($E2316,123)-117)))*1,0))</f>
        <v>27014961</v>
      </c>
      <c r="U2316" s="11">
        <f>$E2316+11</f>
        <v>127</v>
      </c>
      <c r="V2316" s="12">
        <f>IF($J2316=0,0,ROUND(MAX($J2316*1.4*1.5*1.6*1.6*2.2*2.715,354000000*(1.642074^(MIN($E2316,123)-117)))*1,0))</f>
        <v>215581027</v>
      </c>
      <c r="W2316" s="13">
        <f>$E2316+15</f>
        <v>131</v>
      </c>
      <c r="X2316" s="14">
        <f>IF($J2316=0,0,ROUND(MAX($J2316*1.4*1.5*1.6*1.6*2.2*2.715*2.6,3540000000*(1.579646^(MIN($E2316,123)-117)))*1,0))</f>
        <v>2241008428</v>
      </c>
      <c r="Y2316" s="11">
        <f>$E2316+17</f>
        <v>133</v>
      </c>
      <c r="Z2316" s="12">
        <f>IF($J2316=0,0,ROUND(MAX($J2316*1.4*1.5*1.6*1.6*2.2*2.715*2.6*1.4,6020000000*(1.651178^(MIN($E2316,123)-117)))*1,0))</f>
        <v>3645881910</v>
      </c>
      <c r="AA2316" s="13">
        <f>$E2316+19</f>
        <v>135</v>
      </c>
      <c r="AB2316" s="14">
        <f>IF($J2316=0,0,ROUND(MAX($J2316*1.4*1.5*1.6*1.6*2.2*2.715*2.6*1.4*1.4,8430000000*(1.651435^(MIN($E2316,123)-117)))*1,0))</f>
        <v>5104651409</v>
      </c>
      <c r="AC2316" s="11">
        <f>$E2316+21</f>
        <v>137</v>
      </c>
      <c r="AD2316" s="12">
        <f>IF($J2316=0,0,ROUND(MAX($J2316*1.4*1.5*1.6*1.6*2.2*2.715*2.6*1.4*1.4*1.5,12600000000*(1.652953^(MIN($E2316,123)-117)))*1,0))</f>
        <v>7622721275</v>
      </c>
      <c r="AE2316" s="13">
        <f>$E2316+24</f>
        <v>140</v>
      </c>
      <c r="AF2316" s="14">
        <f>IF($J2316=0,0,ROUND(MAX($J2316*1.4*1.5*1.6*1.6*2.2*2.715*2.6*1.4*1.4*1.5*1.5,18900000000*(1.65331^(MIN($E2316,123)-117)))*1,0))</f>
        <v>11431612946</v>
      </c>
      <c r="AG2316" s="11">
        <f>$E2316+27</f>
        <v>143</v>
      </c>
      <c r="AH2316" s="12">
        <f>IF($J2316=0,0,ROUND(MAX($J2316*1.4*1.5*1.6*1.6*2.2*2.715*2.6*1.4*1.4*1.5*1.5*3.2,60500000000*(1.654288^(MIN($E2316,123)-117)))*1,0))</f>
        <v>36571624772</v>
      </c>
    </row>
    <row r="2317" ht="28" customHeight="1" spans="1:34" x14ac:dyDescent="0.25">
      <c r="A2317">
        <v>2327</v>
      </c>
      <c r="B2317" t="s">
        <v>1235</v>
      </c>
      <c r="C2317" s="10" t="s">
        <v>1421</v>
      </c>
      <c r="D2317" t="s">
        <v>29</v>
      </c>
      <c r="E2317">
        <v>115</v>
      </c>
      <c r="F2317" t="s">
        <v>30</v>
      </c>
      <c r="G2317" t="s">
        <v>38</v>
      </c>
      <c r="H2317">
        <v>28</v>
      </c>
      <c r="I2317" s="11">
        <v>115</v>
      </c>
      <c r="J2317" s="12">
        <v>907000</v>
      </c>
      <c r="K2317" s="13">
        <f>$E2317+1</f>
        <v>116</v>
      </c>
      <c r="L2317" s="14">
        <f>IF($J2317=0,0,ROUND(MAX($J2317*1.4,1620000*(1.497923^(MIN($E2317,123)-117)))*1,0))</f>
        <v>1269800</v>
      </c>
      <c r="M2317" s="11">
        <f>$E2317+2</f>
        <v>117</v>
      </c>
      <c r="N2317" s="12">
        <f>IF($J2317=0,0,ROUND(MAX($J2317*1.4*1.5,2190000*(1.580994^(MIN($E2317,123)-117)))*1,0))</f>
        <v>1904700</v>
      </c>
      <c r="O2317" s="13">
        <f>$E2317+4</f>
        <v>119</v>
      </c>
      <c r="P2317" s="14">
        <f>IF($J2317=0,0,ROUND(MAX($J2317*1.4*1.5*1.6,3500000*(1.57975^(MIN($E2317,123)-117)))*1,0))</f>
        <v>3047520</v>
      </c>
      <c r="Q2317" s="11">
        <f>$E2317+6</f>
        <v>121</v>
      </c>
      <c r="R2317" s="12">
        <f>IF($J2317=0,0,ROUND(MAX($J2317*1.4*1.5*1.6*1.6,13100000*(1.429962^(MIN($E2317,123)-117)))*1,0))</f>
        <v>6406522</v>
      </c>
      <c r="S2317" s="13">
        <f>$E2317+8</f>
        <v>123</v>
      </c>
      <c r="T2317" s="14">
        <f>IF($J2317=0,0,ROUND(MAX($J2317*1.4*1.5*1.6*1.6*2.2,42600000*(1.576904^(MIN($E2317,123)-117)))*1,0))</f>
        <v>17131646</v>
      </c>
      <c r="U2317" s="11">
        <f>$E2317+11</f>
        <v>126</v>
      </c>
      <c r="V2317" s="12">
        <f>IF($J2317=0,0,ROUND(MAX($J2317*1.4*1.5*1.6*1.6*2.2*2.715,354000000*(1.642074^(MIN($E2317,123)-117)))*1,0))</f>
        <v>131285817</v>
      </c>
      <c r="W2317" s="13">
        <f>$E2317+15</f>
        <v>130</v>
      </c>
      <c r="X2317" s="14">
        <f>IF($J2317=0,0,ROUND(MAX($J2317*1.4*1.5*1.6*1.6*2.2*2.715*2.6,3540000000*(1.579646^(MIN($E2317,123)-117)))*1,0))</f>
        <v>1418677620</v>
      </c>
      <c r="Y2317" s="11">
        <f>$E2317+17</f>
        <v>132</v>
      </c>
      <c r="Z2317" s="12">
        <f>IF($J2317=0,0,ROUND(MAX($J2317*1.4*1.5*1.6*1.6*2.2*2.715*2.6*1.4,6020000000*(1.651178^(MIN($E2317,123)-117)))*1,0))</f>
        <v>2208048987</v>
      </c>
      <c r="AA2317" s="13">
        <f>$E2317+19</f>
        <v>134</v>
      </c>
      <c r="AB2317" s="14">
        <f>IF($J2317=0,0,ROUND(MAX($J2317*1.4*1.5*1.6*1.6*2.2*2.715*2.6*1.4*1.4,8430000000*(1.651435^(MIN($E2317,123)-117)))*1,0))</f>
        <v>3091039859</v>
      </c>
      <c r="AC2317" s="11">
        <f>$E2317+21</f>
        <v>136</v>
      </c>
      <c r="AD2317" s="12">
        <f>IF($J2317=0,0,ROUND(MAX($J2317*1.4*1.5*1.6*1.6*2.2*2.715*2.6*1.4*1.4*1.5,12600000000*(1.652953^(MIN($E2317,123)-117)))*1,0))</f>
        <v>4611577749</v>
      </c>
      <c r="AE2317" s="13">
        <f>$E2317+24</f>
        <v>139</v>
      </c>
      <c r="AF2317" s="14">
        <f>IF($J2317=0,0,ROUND(MAX($J2317*1.4*1.5*1.6*1.6*2.2*2.715*2.6*1.4*1.4*1.5*1.5,18900000000*(1.65331^(MIN($E2317,123)-117)))*1,0))</f>
        <v>6914379606</v>
      </c>
      <c r="AG2317" s="11">
        <f>$E2317+27</f>
        <v>142</v>
      </c>
      <c r="AH2317" s="12">
        <f>IF($J2317=0,0,ROUND(MAX($J2317*1.4*1.5*1.6*1.6*2.2*2.715*2.6*1.4*1.4*1.5*1.5*3.2,60500000000*(1.654288^(MIN($E2317,123)-117)))*1,0))</f>
        <v>22107169230</v>
      </c>
    </row>
    <row r="2318" ht="28" customHeight="1" spans="1:34" x14ac:dyDescent="0.25">
      <c r="A2318">
        <v>2328</v>
      </c>
      <c r="B2318" t="s">
        <v>1281</v>
      </c>
      <c r="C2318" s="10" t="s">
        <v>1421</v>
      </c>
      <c r="D2318" t="s">
        <v>79</v>
      </c>
      <c r="E2318">
        <v>115</v>
      </c>
      <c r="F2318" t="s">
        <v>56</v>
      </c>
      <c r="G2318" t="s">
        <v>95</v>
      </c>
      <c r="H2318">
        <v>28</v>
      </c>
      <c r="I2318" s="11">
        <v>115</v>
      </c>
      <c r="J2318" s="12">
        <v>406000</v>
      </c>
      <c r="K2318" s="13">
        <f>$E2318+1</f>
        <v>116</v>
      </c>
      <c r="L2318" s="14">
        <f>IF($J2318=0,0,ROUND(MAX($J2318*1.4,1620000*(1.497923^(MIN($E2318,123)-117)))*1,0))</f>
        <v>721998</v>
      </c>
      <c r="M2318" s="11">
        <f>$E2318+2</f>
        <v>117</v>
      </c>
      <c r="N2318" s="12">
        <f>IF($J2318=0,0,ROUND(MAX($J2318*1.4*1.5,2190000*(1.580994^(MIN($E2318,123)-117)))*1,0))</f>
        <v>876161</v>
      </c>
      <c r="O2318" s="13">
        <f>$E2318+4</f>
        <v>119</v>
      </c>
      <c r="P2318" s="14">
        <f>IF($J2318=0,0,ROUND(MAX($J2318*1.4*1.5*1.6,3500000*(1.57975^(MIN($E2318,123)-117)))*1,0))</f>
        <v>1402463</v>
      </c>
      <c r="Q2318" s="11">
        <f>$E2318+6</f>
        <v>121</v>
      </c>
      <c r="R2318" s="12">
        <f>IF($J2318=0,0,ROUND(MAX($J2318*1.4*1.5*1.6*1.6,13100000*(1.429962^(MIN($E2318,123)-117)))*1,0))</f>
        <v>6406522</v>
      </c>
      <c r="S2318" s="13">
        <f>$E2318+8</f>
        <v>123</v>
      </c>
      <c r="T2318" s="14">
        <f>IF($J2318=0,0,ROUND(MAX($J2318*1.4*1.5*1.6*1.6*2.2,42600000*(1.576904^(MIN($E2318,123)-117)))*1,0))</f>
        <v>17131646</v>
      </c>
      <c r="U2318" s="11">
        <f>$E2318+11</f>
        <v>126</v>
      </c>
      <c r="V2318" s="12">
        <f>IF($J2318=0,0,ROUND(MAX($J2318*1.4*1.5*1.6*1.6*2.2*2.715,354000000*(1.642074^(MIN($E2318,123)-117)))*1,0))</f>
        <v>131285817</v>
      </c>
      <c r="W2318" s="13">
        <f>$E2318+15</f>
        <v>130</v>
      </c>
      <c r="X2318" s="14">
        <f>IF($J2318=0,0,ROUND(MAX($J2318*1.4*1.5*1.6*1.6*2.2*2.715*2.6,3540000000*(1.579646^(MIN($E2318,123)-117)))*1,0))</f>
        <v>1418677620</v>
      </c>
      <c r="Y2318" s="11">
        <f>$E2318+17</f>
        <v>132</v>
      </c>
      <c r="Z2318" s="12">
        <f>IF($J2318=0,0,ROUND(MAX($J2318*1.4*1.5*1.6*1.6*2.2*2.715*2.6*1.4,6020000000*(1.651178^(MIN($E2318,123)-117)))*1,0))</f>
        <v>2208048987</v>
      </c>
      <c r="AA2318" s="13">
        <f>$E2318+19</f>
        <v>134</v>
      </c>
      <c r="AB2318" s="14">
        <f>IF($J2318=0,0,ROUND(MAX($J2318*1.4*1.5*1.6*1.6*2.2*2.715*2.6*1.4*1.4,8430000000*(1.651435^(MIN($E2318,123)-117)))*1,0))</f>
        <v>3091039859</v>
      </c>
      <c r="AC2318" s="11">
        <f>$E2318+21</f>
        <v>136</v>
      </c>
      <c r="AD2318" s="12">
        <f>IF($J2318=0,0,ROUND(MAX($J2318*1.4*1.5*1.6*1.6*2.2*2.715*2.6*1.4*1.4*1.5,12600000000*(1.652953^(MIN($E2318,123)-117)))*1,0))</f>
        <v>4611577749</v>
      </c>
      <c r="AE2318" s="13">
        <f>$E2318+24</f>
        <v>139</v>
      </c>
      <c r="AF2318" s="14">
        <f>IF($J2318=0,0,ROUND(MAX($J2318*1.4*1.5*1.6*1.6*2.2*2.715*2.6*1.4*1.4*1.5*1.5,18900000000*(1.65331^(MIN($E2318,123)-117)))*1,0))</f>
        <v>6914379606</v>
      </c>
      <c r="AG2318" s="11">
        <f>$E2318+27</f>
        <v>142</v>
      </c>
      <c r="AH2318" s="12">
        <f>IF($J2318=0,0,ROUND(MAX($J2318*1.4*1.5*1.6*1.6*2.2*2.715*2.6*1.4*1.4*1.5*1.5*3.2,60500000000*(1.654288^(MIN($E2318,123)-117)))*1,0))</f>
        <v>22107169230</v>
      </c>
    </row>
    <row r="2319" ht="28" customHeight="1" spans="1:34" x14ac:dyDescent="0.25">
      <c r="A2319">
        <v>2329</v>
      </c>
      <c r="B2319" t="s">
        <v>1188</v>
      </c>
      <c r="C2319" s="10" t="s">
        <v>1421</v>
      </c>
      <c r="D2319" t="s">
        <v>40</v>
      </c>
      <c r="E2319">
        <v>115</v>
      </c>
      <c r="F2319" t="s">
        <v>120</v>
      </c>
      <c r="G2319" t="s">
        <v>133</v>
      </c>
      <c r="H2319">
        <v>28</v>
      </c>
      <c r="I2319" s="11">
        <v>115</v>
      </c>
      <c r="J2319" s="12">
        <v>408000</v>
      </c>
      <c r="K2319" s="13">
        <f>$E2319+1</f>
        <v>116</v>
      </c>
      <c r="L2319" s="14">
        <f>IF($J2319=0,0,ROUND(MAX($J2319*1.4,1620000*(1.497923^(MIN($E2319,123)-117)))*1,0))</f>
        <v>721998</v>
      </c>
      <c r="M2319" s="11">
        <f>$E2319+2</f>
        <v>117</v>
      </c>
      <c r="N2319" s="12">
        <f>IF($J2319=0,0,ROUND(MAX($J2319*1.4*1.5,2190000*(1.580994^(MIN($E2319,123)-117)))*1,0))</f>
        <v>876161</v>
      </c>
      <c r="O2319" s="13">
        <f>$E2319+4</f>
        <v>119</v>
      </c>
      <c r="P2319" s="14">
        <f>IF($J2319=0,0,ROUND(MAX($J2319*1.4*1.5*1.6,3500000*(1.57975^(MIN($E2319,123)-117)))*1,0))</f>
        <v>1402463</v>
      </c>
      <c r="Q2319" s="11">
        <f>$E2319+6</f>
        <v>121</v>
      </c>
      <c r="R2319" s="12">
        <f>IF($J2319=0,0,ROUND(MAX($J2319*1.4*1.5*1.6*1.6,13100000*(1.429962^(MIN($E2319,123)-117)))*1,0))</f>
        <v>6406522</v>
      </c>
      <c r="S2319" s="13">
        <f>$E2319+8</f>
        <v>123</v>
      </c>
      <c r="T2319" s="14">
        <f>IF($J2319=0,0,ROUND(MAX($J2319*1.4*1.5*1.6*1.6*2.2,42600000*(1.576904^(MIN($E2319,123)-117)))*1,0))</f>
        <v>17131646</v>
      </c>
      <c r="U2319" s="11">
        <f>$E2319+11</f>
        <v>126</v>
      </c>
      <c r="V2319" s="12">
        <f>IF($J2319=0,0,ROUND(MAX($J2319*1.4*1.5*1.6*1.6*2.2*2.715,354000000*(1.642074^(MIN($E2319,123)-117)))*1,0))</f>
        <v>131285817</v>
      </c>
      <c r="W2319" s="13">
        <f>$E2319+15</f>
        <v>130</v>
      </c>
      <c r="X2319" s="14">
        <f>IF($J2319=0,0,ROUND(MAX($J2319*1.4*1.5*1.6*1.6*2.2*2.715*2.6,3540000000*(1.579646^(MIN($E2319,123)-117)))*1,0))</f>
        <v>1418677620</v>
      </c>
      <c r="Y2319" s="11">
        <f>$E2319+17</f>
        <v>132</v>
      </c>
      <c r="Z2319" s="12">
        <f>IF($J2319=0,0,ROUND(MAX($J2319*1.4*1.5*1.6*1.6*2.2*2.715*2.6*1.4,6020000000*(1.651178^(MIN($E2319,123)-117)))*1,0))</f>
        <v>2208048987</v>
      </c>
      <c r="AA2319" s="13">
        <f>$E2319+19</f>
        <v>134</v>
      </c>
      <c r="AB2319" s="14">
        <f>IF($J2319=0,0,ROUND(MAX($J2319*1.4*1.5*1.6*1.6*2.2*2.715*2.6*1.4*1.4,8430000000*(1.651435^(MIN($E2319,123)-117)))*1,0))</f>
        <v>3091039859</v>
      </c>
      <c r="AC2319" s="11">
        <f>$E2319+21</f>
        <v>136</v>
      </c>
      <c r="AD2319" s="12">
        <f>IF($J2319=0,0,ROUND(MAX($J2319*1.4*1.5*1.6*1.6*2.2*2.715*2.6*1.4*1.4*1.5,12600000000*(1.652953^(MIN($E2319,123)-117)))*1,0))</f>
        <v>4611577749</v>
      </c>
      <c r="AE2319" s="13">
        <f>$E2319+24</f>
        <v>139</v>
      </c>
      <c r="AF2319" s="14">
        <f>IF($J2319=0,0,ROUND(MAX($J2319*1.4*1.5*1.6*1.6*2.2*2.715*2.6*1.4*1.4*1.5*1.5,18900000000*(1.65331^(MIN($E2319,123)-117)))*1,0))</f>
        <v>6914379606</v>
      </c>
      <c r="AG2319" s="11">
        <f>$E2319+27</f>
        <v>142</v>
      </c>
      <c r="AH2319" s="12">
        <f>IF($J2319=0,0,ROUND(MAX($J2319*1.4*1.5*1.6*1.6*2.2*2.715*2.6*1.4*1.4*1.5*1.5*3.2,60500000000*(1.654288^(MIN($E2319,123)-117)))*1,0))</f>
        <v>22107169230</v>
      </c>
    </row>
    <row r="2320" ht="28" customHeight="1" spans="1:34" x14ac:dyDescent="0.25">
      <c r="A2320">
        <v>2330</v>
      </c>
      <c r="B2320" t="s">
        <v>259</v>
      </c>
      <c r="C2320" s="10" t="s">
        <v>1421</v>
      </c>
      <c r="D2320" t="s">
        <v>102</v>
      </c>
      <c r="E2320">
        <v>115</v>
      </c>
      <c r="F2320" t="s">
        <v>34</v>
      </c>
      <c r="G2320" t="s">
        <v>35</v>
      </c>
      <c r="H2320">
        <v>28</v>
      </c>
      <c r="I2320" s="11">
        <v>115</v>
      </c>
      <c r="J2320" s="12">
        <v>425000</v>
      </c>
      <c r="K2320" s="13">
        <f>$E2320+1</f>
        <v>116</v>
      </c>
      <c r="L2320" s="14">
        <f>IF($J2320=0,0,ROUND(MAX($J2320*1.4,1620000*(1.497923^(MIN($E2320,123)-117)))*1,0))</f>
        <v>721998</v>
      </c>
      <c r="M2320" s="11">
        <f>$E2320+2</f>
        <v>117</v>
      </c>
      <c r="N2320" s="12">
        <f>IF($J2320=0,0,ROUND(MAX($J2320*1.4*1.5,2190000*(1.580994^(MIN($E2320,123)-117)))*1,0))</f>
        <v>892500</v>
      </c>
      <c r="O2320" s="13">
        <f>$E2320+4</f>
        <v>119</v>
      </c>
      <c r="P2320" s="14">
        <f>IF($J2320=0,0,ROUND(MAX($J2320*1.4*1.5*1.6,3500000*(1.57975^(MIN($E2320,123)-117)))*1,0))</f>
        <v>1428000</v>
      </c>
      <c r="Q2320" s="11">
        <f>$E2320+6</f>
        <v>121</v>
      </c>
      <c r="R2320" s="12">
        <f>IF($J2320=0,0,ROUND(MAX($J2320*1.4*1.5*1.6*1.6,13100000*(1.429962^(MIN($E2320,123)-117)))*1,0))</f>
        <v>6406522</v>
      </c>
      <c r="S2320" s="13">
        <f>$E2320+8</f>
        <v>123</v>
      </c>
      <c r="T2320" s="14">
        <f>IF($J2320=0,0,ROUND(MAX($J2320*1.4*1.5*1.6*1.6*2.2,42600000*(1.576904^(MIN($E2320,123)-117)))*1,0))</f>
        <v>17131646</v>
      </c>
      <c r="U2320" s="11">
        <f>$E2320+11</f>
        <v>126</v>
      </c>
      <c r="V2320" s="12">
        <f>IF($J2320=0,0,ROUND(MAX($J2320*1.4*1.5*1.6*1.6*2.2*2.715,354000000*(1.642074^(MIN($E2320,123)-117)))*1,0))</f>
        <v>131285817</v>
      </c>
      <c r="W2320" s="13">
        <f>$E2320+15</f>
        <v>130</v>
      </c>
      <c r="X2320" s="14">
        <f>IF($J2320=0,0,ROUND(MAX($J2320*1.4*1.5*1.6*1.6*2.2*2.715*2.6,3540000000*(1.579646^(MIN($E2320,123)-117)))*1,0))</f>
        <v>1418677620</v>
      </c>
      <c r="Y2320" s="11">
        <f>$E2320+17</f>
        <v>132</v>
      </c>
      <c r="Z2320" s="12">
        <f>IF($J2320=0,0,ROUND(MAX($J2320*1.4*1.5*1.6*1.6*2.2*2.715*2.6*1.4,6020000000*(1.651178^(MIN($E2320,123)-117)))*1,0))</f>
        <v>2208048987</v>
      </c>
      <c r="AA2320" s="13">
        <f>$E2320+19</f>
        <v>134</v>
      </c>
      <c r="AB2320" s="14">
        <f>IF($J2320=0,0,ROUND(MAX($J2320*1.4*1.5*1.6*1.6*2.2*2.715*2.6*1.4*1.4,8430000000*(1.651435^(MIN($E2320,123)-117)))*1,0))</f>
        <v>3091039859</v>
      </c>
      <c r="AC2320" s="11">
        <f>$E2320+21</f>
        <v>136</v>
      </c>
      <c r="AD2320" s="12">
        <f>IF($J2320=0,0,ROUND(MAX($J2320*1.4*1.5*1.6*1.6*2.2*2.715*2.6*1.4*1.4*1.5,12600000000*(1.652953^(MIN($E2320,123)-117)))*1,0))</f>
        <v>4611577749</v>
      </c>
      <c r="AE2320" s="13">
        <f>$E2320+24</f>
        <v>139</v>
      </c>
      <c r="AF2320" s="14">
        <f>IF($J2320=0,0,ROUND(MAX($J2320*1.4*1.5*1.6*1.6*2.2*2.715*2.6*1.4*1.4*1.5*1.5,18900000000*(1.65331^(MIN($E2320,123)-117)))*1,0))</f>
        <v>6914379606</v>
      </c>
      <c r="AG2320" s="11">
        <f>$E2320+27</f>
        <v>142</v>
      </c>
      <c r="AH2320" s="12">
        <f>IF($J2320=0,0,ROUND(MAX($J2320*1.4*1.5*1.6*1.6*2.2*2.715*2.6*1.4*1.4*1.5*1.5*3.2,60500000000*(1.654288^(MIN($E2320,123)-117)))*1,0))</f>
        <v>22107169230</v>
      </c>
    </row>
    <row r="2321" ht="28" customHeight="1" spans="1:34" x14ac:dyDescent="0.25">
      <c r="A2321">
        <v>2331</v>
      </c>
      <c r="B2321" t="s">
        <v>1185</v>
      </c>
      <c r="C2321" s="10" t="s">
        <v>1421</v>
      </c>
      <c r="D2321" t="s">
        <v>79</v>
      </c>
      <c r="E2321">
        <v>115</v>
      </c>
      <c r="F2321" t="s">
        <v>71</v>
      </c>
      <c r="G2321" t="s">
        <v>684</v>
      </c>
      <c r="H2321">
        <v>27</v>
      </c>
      <c r="I2321" s="11">
        <v>115</v>
      </c>
      <c r="J2321" s="12">
        <v>384000</v>
      </c>
      <c r="K2321" s="13">
        <f>$E2321+1</f>
        <v>116</v>
      </c>
      <c r="L2321" s="14">
        <f>IF($J2321=0,0,ROUND(MAX($J2321*1.4,1620000*(1.497923^(MIN($E2321,123)-117)))*1,0))</f>
        <v>721998</v>
      </c>
      <c r="M2321" s="11">
        <f>$E2321+2</f>
        <v>117</v>
      </c>
      <c r="N2321" s="12">
        <f>IF($J2321=0,0,ROUND(MAX($J2321*1.4*1.5,2190000*(1.580994^(MIN($E2321,123)-117)))*1,0))</f>
        <v>876161</v>
      </c>
      <c r="O2321" s="13">
        <f>$E2321+4</f>
        <v>119</v>
      </c>
      <c r="P2321" s="14">
        <f>IF($J2321=0,0,ROUND(MAX($J2321*1.4*1.5*1.6,3500000*(1.57975^(MIN($E2321,123)-117)))*1,0))</f>
        <v>1402463</v>
      </c>
      <c r="Q2321" s="11">
        <f>$E2321+6</f>
        <v>121</v>
      </c>
      <c r="R2321" s="12">
        <f>IF($J2321=0,0,ROUND(MAX($J2321*1.4*1.5*1.6*1.6,13100000*(1.429962^(MIN($E2321,123)-117)))*1,0))</f>
        <v>6406522</v>
      </c>
      <c r="S2321" s="13">
        <f>$E2321+8</f>
        <v>123</v>
      </c>
      <c r="T2321" s="14">
        <f>IF($J2321=0,0,ROUND(MAX($J2321*1.4*1.5*1.6*1.6*2.2,42600000*(1.576904^(MIN($E2321,123)-117)))*1,0))</f>
        <v>17131646</v>
      </c>
      <c r="U2321" s="11">
        <f>$E2321+11</f>
        <v>126</v>
      </c>
      <c r="V2321" s="12">
        <f>IF($J2321=0,0,ROUND(MAX($J2321*1.4*1.5*1.6*1.6*2.2*2.715,354000000*(1.642074^(MIN($E2321,123)-117)))*1,0))</f>
        <v>131285817</v>
      </c>
      <c r="W2321" s="13">
        <f>$E2321+15</f>
        <v>130</v>
      </c>
      <c r="X2321" s="14">
        <f>IF($J2321=0,0,ROUND(MAX($J2321*1.4*1.5*1.6*1.6*2.2*2.715*2.6,3540000000*(1.579646^(MIN($E2321,123)-117)))*1,0))</f>
        <v>1418677620</v>
      </c>
      <c r="Y2321" s="11">
        <f>$E2321+17</f>
        <v>132</v>
      </c>
      <c r="Z2321" s="12">
        <f>IF($J2321=0,0,ROUND(MAX($J2321*1.4*1.5*1.6*1.6*2.2*2.715*2.6*1.4,6020000000*(1.651178^(MIN($E2321,123)-117)))*1,0))</f>
        <v>2208048987</v>
      </c>
      <c r="AA2321" s="13">
        <f>$E2321+19</f>
        <v>134</v>
      </c>
      <c r="AB2321" s="14">
        <f>IF($J2321=0,0,ROUND(MAX($J2321*1.4*1.5*1.6*1.6*2.2*2.715*2.6*1.4*1.4,8430000000*(1.651435^(MIN($E2321,123)-117)))*1,0))</f>
        <v>3091039859</v>
      </c>
      <c r="AC2321" s="11">
        <f>$E2321+21</f>
        <v>136</v>
      </c>
      <c r="AD2321" s="12">
        <f>IF($J2321=0,0,ROUND(MAX($J2321*1.4*1.5*1.6*1.6*2.2*2.715*2.6*1.4*1.4*1.5,12600000000*(1.652953^(MIN($E2321,123)-117)))*1,0))</f>
        <v>4611577749</v>
      </c>
      <c r="AE2321" s="13">
        <f>$E2321+24</f>
        <v>139</v>
      </c>
      <c r="AF2321" s="14">
        <f>IF($J2321=0,0,ROUND(MAX($J2321*1.4*1.5*1.6*1.6*2.2*2.715*2.6*1.4*1.4*1.5*1.5,18900000000*(1.65331^(MIN($E2321,123)-117)))*1,0))</f>
        <v>6914379606</v>
      </c>
      <c r="AG2321" s="11">
        <f>$E2321+27</f>
        <v>142</v>
      </c>
      <c r="AH2321" s="12">
        <f>IF($J2321=0,0,ROUND(MAX($J2321*1.4*1.5*1.6*1.6*2.2*2.715*2.6*1.4*1.4*1.5*1.5*3.2,60500000000*(1.654288^(MIN($E2321,123)-117)))*1,0))</f>
        <v>22107169230</v>
      </c>
    </row>
    <row r="2322" ht="28" customHeight="1" spans="1:34" x14ac:dyDescent="0.25">
      <c r="A2322">
        <v>2332</v>
      </c>
      <c r="B2322" t="s">
        <v>1221</v>
      </c>
      <c r="C2322" s="10" t="s">
        <v>1421</v>
      </c>
      <c r="D2322" t="s">
        <v>79</v>
      </c>
      <c r="E2322">
        <v>115</v>
      </c>
      <c r="F2322" t="s">
        <v>56</v>
      </c>
      <c r="G2322" t="s">
        <v>86</v>
      </c>
      <c r="H2322">
        <v>27</v>
      </c>
      <c r="I2322" s="11">
        <v>115</v>
      </c>
      <c r="J2322" s="12">
        <v>611000</v>
      </c>
      <c r="K2322" s="13">
        <f>$E2322+1</f>
        <v>116</v>
      </c>
      <c r="L2322" s="14">
        <f>IF($J2322=0,0,ROUND(MAX($J2322*1.4,1620000*(1.497923^(MIN($E2322,123)-117)))*1,0))</f>
        <v>855400</v>
      </c>
      <c r="M2322" s="11">
        <f>$E2322+2</f>
        <v>117</v>
      </c>
      <c r="N2322" s="12">
        <f>IF($J2322=0,0,ROUND(MAX($J2322*1.4*1.5,2190000*(1.580994^(MIN($E2322,123)-117)))*1,0))</f>
        <v>1283100</v>
      </c>
      <c r="O2322" s="13">
        <f>$E2322+4</f>
        <v>119</v>
      </c>
      <c r="P2322" s="14">
        <f>IF($J2322=0,0,ROUND(MAX($J2322*1.4*1.5*1.6,3500000*(1.57975^(MIN($E2322,123)-117)))*1,0))</f>
        <v>2052960</v>
      </c>
      <c r="Q2322" s="11">
        <f>$E2322+6</f>
        <v>121</v>
      </c>
      <c r="R2322" s="12">
        <f>IF($J2322=0,0,ROUND(MAX($J2322*1.4*1.5*1.6*1.6,13100000*(1.429962^(MIN($E2322,123)-117)))*1,0))</f>
        <v>6406522</v>
      </c>
      <c r="S2322" s="13">
        <f>$E2322+8</f>
        <v>123</v>
      </c>
      <c r="T2322" s="14">
        <f>IF($J2322=0,0,ROUND(MAX($J2322*1.4*1.5*1.6*1.6*2.2,42600000*(1.576904^(MIN($E2322,123)-117)))*1,0))</f>
        <v>17131646</v>
      </c>
      <c r="U2322" s="11">
        <f>$E2322+11</f>
        <v>126</v>
      </c>
      <c r="V2322" s="12">
        <f>IF($J2322=0,0,ROUND(MAX($J2322*1.4*1.5*1.6*1.6*2.2*2.715,354000000*(1.642074^(MIN($E2322,123)-117)))*1,0))</f>
        <v>131285817</v>
      </c>
      <c r="W2322" s="13">
        <f>$E2322+15</f>
        <v>130</v>
      </c>
      <c r="X2322" s="14">
        <f>IF($J2322=0,0,ROUND(MAX($J2322*1.4*1.5*1.6*1.6*2.2*2.715*2.6,3540000000*(1.579646^(MIN($E2322,123)-117)))*1,0))</f>
        <v>1418677620</v>
      </c>
      <c r="Y2322" s="11">
        <f>$E2322+17</f>
        <v>132</v>
      </c>
      <c r="Z2322" s="12">
        <f>IF($J2322=0,0,ROUND(MAX($J2322*1.4*1.5*1.6*1.6*2.2*2.715*2.6*1.4,6020000000*(1.651178^(MIN($E2322,123)-117)))*1,0))</f>
        <v>2208048987</v>
      </c>
      <c r="AA2322" s="13">
        <f>$E2322+19</f>
        <v>134</v>
      </c>
      <c r="AB2322" s="14">
        <f>IF($J2322=0,0,ROUND(MAX($J2322*1.4*1.5*1.6*1.6*2.2*2.715*2.6*1.4*1.4,8430000000*(1.651435^(MIN($E2322,123)-117)))*1,0))</f>
        <v>3091039859</v>
      </c>
      <c r="AC2322" s="11">
        <f>$E2322+21</f>
        <v>136</v>
      </c>
      <c r="AD2322" s="12">
        <f>IF($J2322=0,0,ROUND(MAX($J2322*1.4*1.5*1.6*1.6*2.2*2.715*2.6*1.4*1.4*1.5,12600000000*(1.652953^(MIN($E2322,123)-117)))*1,0))</f>
        <v>4611577749</v>
      </c>
      <c r="AE2322" s="13">
        <f>$E2322+24</f>
        <v>139</v>
      </c>
      <c r="AF2322" s="14">
        <f>IF($J2322=0,0,ROUND(MAX($J2322*1.4*1.5*1.6*1.6*2.2*2.715*2.6*1.4*1.4*1.5*1.5,18900000000*(1.65331^(MIN($E2322,123)-117)))*1,0))</f>
        <v>6914379606</v>
      </c>
      <c r="AG2322" s="11">
        <f>$E2322+27</f>
        <v>142</v>
      </c>
      <c r="AH2322" s="12">
        <f>IF($J2322=0,0,ROUND(MAX($J2322*1.4*1.5*1.6*1.6*2.2*2.715*2.6*1.4*1.4*1.5*1.5*3.2,60500000000*(1.654288^(MIN($E2322,123)-117)))*1,0))</f>
        <v>22107169230</v>
      </c>
    </row>
    <row r="2323" ht="28" customHeight="1" spans="1:34" x14ac:dyDescent="0.25">
      <c r="A2323">
        <v>2333</v>
      </c>
      <c r="B2323" t="s">
        <v>691</v>
      </c>
      <c r="C2323" s="10" t="s">
        <v>1421</v>
      </c>
      <c r="D2323" t="s">
        <v>29</v>
      </c>
      <c r="E2323">
        <v>114</v>
      </c>
      <c r="F2323" t="s">
        <v>34</v>
      </c>
      <c r="G2323" t="s">
        <v>95</v>
      </c>
      <c r="H2323">
        <v>28</v>
      </c>
      <c r="I2323" s="11">
        <v>114</v>
      </c>
      <c r="J2323" s="12">
        <v>306000</v>
      </c>
      <c r="K2323" s="13">
        <f>$E2323+1</f>
        <v>115</v>
      </c>
      <c r="L2323" s="14">
        <f>IF($J2323=0,0,ROUND(MAX($J2323*1.4,1620000*(1.497923^(MIN($E2323,123)-117)))*1,0))</f>
        <v>481999</v>
      </c>
      <c r="M2323" s="11">
        <f>$E2323+2</f>
        <v>116</v>
      </c>
      <c r="N2323" s="12">
        <f>IF($J2323=0,0,ROUND(MAX($J2323*1.4*1.5,2190000*(1.580994^(MIN($E2323,123)-117)))*1,0))</f>
        <v>642600</v>
      </c>
      <c r="O2323" s="13">
        <f>$E2323+4</f>
        <v>118</v>
      </c>
      <c r="P2323" s="14">
        <f>IF($J2323=0,0,ROUND(MAX($J2323*1.4*1.5*1.6,3500000*(1.57975^(MIN($E2323,123)-117)))*1,0))</f>
        <v>1028160</v>
      </c>
      <c r="Q2323" s="11">
        <f>$E2323+6</f>
        <v>120</v>
      </c>
      <c r="R2323" s="12">
        <f>IF($J2323=0,0,ROUND(MAX($J2323*1.4*1.5*1.6*1.6,13100000*(1.429962^(MIN($E2323,123)-117)))*1,0))</f>
        <v>4480204</v>
      </c>
      <c r="S2323" s="13">
        <f>$E2323+8</f>
        <v>122</v>
      </c>
      <c r="T2323" s="14">
        <f>IF($J2323=0,0,ROUND(MAX($J2323*1.4*1.5*1.6*1.6*2.2,42600000*(1.576904^(MIN($E2323,123)-117)))*1,0))</f>
        <v>10864102</v>
      </c>
      <c r="U2323" s="11">
        <f>$E2323+11</f>
        <v>125</v>
      </c>
      <c r="V2323" s="12">
        <f>IF($J2323=0,0,ROUND(MAX($J2323*1.4*1.5*1.6*1.6*2.2*2.715,354000000*(1.642074^(MIN($E2323,123)-117)))*1,0))</f>
        <v>79951219</v>
      </c>
      <c r="W2323" s="13">
        <f>$E2323+15</f>
        <v>129</v>
      </c>
      <c r="X2323" s="14">
        <f>IF($J2323=0,0,ROUND(MAX($J2323*1.4*1.5*1.6*1.6*2.2*2.715*2.6,3540000000*(1.579646^(MIN($E2323,123)-117)))*1,0))</f>
        <v>898098448</v>
      </c>
      <c r="Y2323" s="11">
        <f>$E2323+17</f>
        <v>131</v>
      </c>
      <c r="Z2323" s="12">
        <f>IF($J2323=0,0,ROUND(MAX($J2323*1.4*1.5*1.6*1.6*2.2*2.715*2.6*1.4,6020000000*(1.651178^(MIN($E2323,123)-117)))*1,0))</f>
        <v>1337256787</v>
      </c>
      <c r="AA2323" s="13">
        <f>$E2323+19</f>
        <v>133</v>
      </c>
      <c r="AB2323" s="14">
        <f>IF($J2323=0,0,ROUND(MAX($J2323*1.4*1.5*1.6*1.6*2.2*2.715*2.6*1.4*1.4,8430000000*(1.651435^(MIN($E2323,123)-117)))*1,0))</f>
        <v>1871729653</v>
      </c>
      <c r="AC2323" s="11">
        <f>$E2323+21</f>
        <v>135</v>
      </c>
      <c r="AD2323" s="12">
        <f>IF($J2323=0,0,ROUND(MAX($J2323*1.4*1.5*1.6*1.6*2.2*2.715*2.6*1.4*1.4*1.5,12600000000*(1.652953^(MIN($E2323,123)-117)))*1,0))</f>
        <v>2789902525</v>
      </c>
      <c r="AE2323" s="13">
        <f>$E2323+24</f>
        <v>138</v>
      </c>
      <c r="AF2323" s="14">
        <f>IF($J2323=0,0,ROUND(MAX($J2323*1.4*1.5*1.6*1.6*2.2*2.715*2.6*1.4*1.4*1.5*1.5,18900000000*(1.65331^(MIN($E2323,123)-117)))*1,0))</f>
        <v>4182143461</v>
      </c>
      <c r="AG2323" s="11">
        <f>$E2323+27</f>
        <v>141</v>
      </c>
      <c r="AH2323" s="12">
        <f>IF($J2323=0,0,ROUND(MAX($J2323*1.4*1.5*1.6*1.6*2.2*2.715*2.6*1.4*1.4*1.5*1.5*3.2,60500000000*(1.654288^(MIN($E2323,123)-117)))*1,0))</f>
        <v>13363555336</v>
      </c>
    </row>
    <row r="2324" ht="28" customHeight="1" spans="1:34" x14ac:dyDescent="0.25">
      <c r="A2324">
        <v>2334</v>
      </c>
      <c r="B2324" t="s">
        <v>1161</v>
      </c>
      <c r="C2324" s="10" t="s">
        <v>1421</v>
      </c>
      <c r="D2324" t="s">
        <v>64</v>
      </c>
      <c r="E2324">
        <v>114</v>
      </c>
      <c r="F2324" t="s">
        <v>59</v>
      </c>
      <c r="G2324" t="s">
        <v>185</v>
      </c>
      <c r="H2324">
        <v>28</v>
      </c>
      <c r="I2324" s="11">
        <v>114</v>
      </c>
      <c r="J2324" s="12">
        <v>218000</v>
      </c>
      <c r="K2324" s="13">
        <f>$E2324+1</f>
        <v>115</v>
      </c>
      <c r="L2324" s="14">
        <f>IF($J2324=0,0,ROUND(MAX($J2324*1.4,1620000*(1.497923^(MIN($E2324,123)-117)))*1,0))</f>
        <v>481999</v>
      </c>
      <c r="M2324" s="11">
        <f>$E2324+2</f>
        <v>116</v>
      </c>
      <c r="N2324" s="12">
        <f>IF($J2324=0,0,ROUND(MAX($J2324*1.4*1.5,2190000*(1.580994^(MIN($E2324,123)-117)))*1,0))</f>
        <v>554183</v>
      </c>
      <c r="O2324" s="13">
        <f>$E2324+4</f>
        <v>118</v>
      </c>
      <c r="P2324" s="14">
        <f>IF($J2324=0,0,ROUND(MAX($J2324*1.4*1.5*1.6,3500000*(1.57975^(MIN($E2324,123)-117)))*1,0))</f>
        <v>887775</v>
      </c>
      <c r="Q2324" s="11">
        <f>$E2324+6</f>
        <v>120</v>
      </c>
      <c r="R2324" s="12">
        <f>IF($J2324=0,0,ROUND(MAX($J2324*1.4*1.5*1.6*1.6,13100000*(1.429962^(MIN($E2324,123)-117)))*1,0))</f>
        <v>4480204</v>
      </c>
      <c r="S2324" s="13">
        <f>$E2324+8</f>
        <v>122</v>
      </c>
      <c r="T2324" s="14">
        <f>IF($J2324=0,0,ROUND(MAX($J2324*1.4*1.5*1.6*1.6*2.2,42600000*(1.576904^(MIN($E2324,123)-117)))*1,0))</f>
        <v>10864102</v>
      </c>
      <c r="U2324" s="11">
        <f>$E2324+11</f>
        <v>125</v>
      </c>
      <c r="V2324" s="12">
        <f>IF($J2324=0,0,ROUND(MAX($J2324*1.4*1.5*1.6*1.6*2.2*2.715,354000000*(1.642074^(MIN($E2324,123)-117)))*1,0))</f>
        <v>79951219</v>
      </c>
      <c r="W2324" s="13">
        <f>$E2324+15</f>
        <v>129</v>
      </c>
      <c r="X2324" s="14">
        <f>IF($J2324=0,0,ROUND(MAX($J2324*1.4*1.5*1.6*1.6*2.2*2.715*2.6,3540000000*(1.579646^(MIN($E2324,123)-117)))*1,0))</f>
        <v>898098448</v>
      </c>
      <c r="Y2324" s="11">
        <f>$E2324+17</f>
        <v>131</v>
      </c>
      <c r="Z2324" s="12">
        <f>IF($J2324=0,0,ROUND(MAX($J2324*1.4*1.5*1.6*1.6*2.2*2.715*2.6*1.4,6020000000*(1.651178^(MIN($E2324,123)-117)))*1,0))</f>
        <v>1337256787</v>
      </c>
      <c r="AA2324" s="13">
        <f>$E2324+19</f>
        <v>133</v>
      </c>
      <c r="AB2324" s="14">
        <f>IF($J2324=0,0,ROUND(MAX($J2324*1.4*1.5*1.6*1.6*2.2*2.715*2.6*1.4*1.4,8430000000*(1.651435^(MIN($E2324,123)-117)))*1,0))</f>
        <v>1871729653</v>
      </c>
      <c r="AC2324" s="11">
        <f>$E2324+21</f>
        <v>135</v>
      </c>
      <c r="AD2324" s="12">
        <f>IF($J2324=0,0,ROUND(MAX($J2324*1.4*1.5*1.6*1.6*2.2*2.715*2.6*1.4*1.4*1.5,12600000000*(1.652953^(MIN($E2324,123)-117)))*1,0))</f>
        <v>2789902525</v>
      </c>
      <c r="AE2324" s="13">
        <f>$E2324+24</f>
        <v>138</v>
      </c>
      <c r="AF2324" s="14">
        <f>IF($J2324=0,0,ROUND(MAX($J2324*1.4*1.5*1.6*1.6*2.2*2.715*2.6*1.4*1.4*1.5*1.5,18900000000*(1.65331^(MIN($E2324,123)-117)))*1,0))</f>
        <v>4182143461</v>
      </c>
      <c r="AG2324" s="11">
        <f>$E2324+27</f>
        <v>141</v>
      </c>
      <c r="AH2324" s="12">
        <f>IF($J2324=0,0,ROUND(MAX($J2324*1.4*1.5*1.6*1.6*2.2*2.715*2.6*1.4*1.4*1.5*1.5*3.2,60500000000*(1.654288^(MIN($E2324,123)-117)))*1,0))</f>
        <v>13363555336</v>
      </c>
    </row>
    <row r="2325" ht="28" customHeight="1" spans="1:34" x14ac:dyDescent="0.25">
      <c r="A2325">
        <v>2335</v>
      </c>
      <c r="B2325" t="s">
        <v>390</v>
      </c>
      <c r="C2325" s="10" t="s">
        <v>1421</v>
      </c>
      <c r="D2325" t="s">
        <v>25</v>
      </c>
      <c r="E2325">
        <v>114</v>
      </c>
      <c r="F2325" t="s">
        <v>212</v>
      </c>
      <c r="G2325" t="s">
        <v>379</v>
      </c>
      <c r="H2325">
        <v>28</v>
      </c>
      <c r="I2325" s="11">
        <v>114</v>
      </c>
      <c r="J2325" s="12">
        <v>268000</v>
      </c>
      <c r="K2325" s="13">
        <f>$E2325+1</f>
        <v>115</v>
      </c>
      <c r="L2325" s="14">
        <f>IF($J2325=0,0,ROUND(MAX($J2325*1.4,1620000*(1.497923^(MIN($E2325,123)-117)))*1,0))</f>
        <v>481999</v>
      </c>
      <c r="M2325" s="11">
        <f>$E2325+2</f>
        <v>116</v>
      </c>
      <c r="N2325" s="12">
        <f>IF($J2325=0,0,ROUND(MAX($J2325*1.4*1.5,2190000*(1.580994^(MIN($E2325,123)-117)))*1,0))</f>
        <v>562800</v>
      </c>
      <c r="O2325" s="13">
        <f>$E2325+4</f>
        <v>118</v>
      </c>
      <c r="P2325" s="14">
        <f>IF($J2325=0,0,ROUND(MAX($J2325*1.4*1.5*1.6,3500000*(1.57975^(MIN($E2325,123)-117)))*1,0))</f>
        <v>900480</v>
      </c>
      <c r="Q2325" s="11">
        <f>$E2325+6</f>
        <v>120</v>
      </c>
      <c r="R2325" s="12">
        <f>IF($J2325=0,0,ROUND(MAX($J2325*1.4*1.5*1.6*1.6,13100000*(1.429962^(MIN($E2325,123)-117)))*1,0))</f>
        <v>4480204</v>
      </c>
      <c r="S2325" s="13">
        <f>$E2325+8</f>
        <v>122</v>
      </c>
      <c r="T2325" s="14">
        <f>IF($J2325=0,0,ROUND(MAX($J2325*1.4*1.5*1.6*1.6*2.2,42600000*(1.576904^(MIN($E2325,123)-117)))*1,0))</f>
        <v>10864102</v>
      </c>
      <c r="U2325" s="11">
        <f>$E2325+11</f>
        <v>125</v>
      </c>
      <c r="V2325" s="12">
        <f>IF($J2325=0,0,ROUND(MAX($J2325*1.4*1.5*1.6*1.6*2.2*2.715,354000000*(1.642074^(MIN($E2325,123)-117)))*1,0))</f>
        <v>79951219</v>
      </c>
      <c r="W2325" s="13">
        <f>$E2325+15</f>
        <v>129</v>
      </c>
      <c r="X2325" s="14">
        <f>IF($J2325=0,0,ROUND(MAX($J2325*1.4*1.5*1.6*1.6*2.2*2.715*2.6,3540000000*(1.579646^(MIN($E2325,123)-117)))*1,0))</f>
        <v>898098448</v>
      </c>
      <c r="Y2325" s="11">
        <f>$E2325+17</f>
        <v>131</v>
      </c>
      <c r="Z2325" s="12">
        <f>IF($J2325=0,0,ROUND(MAX($J2325*1.4*1.5*1.6*1.6*2.2*2.715*2.6*1.4,6020000000*(1.651178^(MIN($E2325,123)-117)))*1,0))</f>
        <v>1337256787</v>
      </c>
      <c r="AA2325" s="13">
        <f>$E2325+19</f>
        <v>133</v>
      </c>
      <c r="AB2325" s="14">
        <f>IF($J2325=0,0,ROUND(MAX($J2325*1.4*1.5*1.6*1.6*2.2*2.715*2.6*1.4*1.4,8430000000*(1.651435^(MIN($E2325,123)-117)))*1,0))</f>
        <v>1871729653</v>
      </c>
      <c r="AC2325" s="11">
        <f>$E2325+21</f>
        <v>135</v>
      </c>
      <c r="AD2325" s="12">
        <f>IF($J2325=0,0,ROUND(MAX($J2325*1.4*1.5*1.6*1.6*2.2*2.715*2.6*1.4*1.4*1.5,12600000000*(1.652953^(MIN($E2325,123)-117)))*1,0))</f>
        <v>2789902525</v>
      </c>
      <c r="AE2325" s="13">
        <f>$E2325+24</f>
        <v>138</v>
      </c>
      <c r="AF2325" s="14">
        <f>IF($J2325=0,0,ROUND(MAX($J2325*1.4*1.5*1.6*1.6*2.2*2.715*2.6*1.4*1.4*1.5*1.5,18900000000*(1.65331^(MIN($E2325,123)-117)))*1,0))</f>
        <v>4182143461</v>
      </c>
      <c r="AG2325" s="11">
        <f>$E2325+27</f>
        <v>141</v>
      </c>
      <c r="AH2325" s="12">
        <f>IF($J2325=0,0,ROUND(MAX($J2325*1.4*1.5*1.6*1.6*2.2*2.715*2.6*1.4*1.4*1.5*1.5*3.2,60500000000*(1.654288^(MIN($E2325,123)-117)))*1,0))</f>
        <v>13363555336</v>
      </c>
    </row>
    <row r="2326" ht="28" customHeight="1" spans="1:34" x14ac:dyDescent="0.25">
      <c r="A2326">
        <v>2336</v>
      </c>
      <c r="B2326" t="s">
        <v>545</v>
      </c>
      <c r="C2326" s="10" t="s">
        <v>1421</v>
      </c>
      <c r="D2326" t="s">
        <v>25</v>
      </c>
      <c r="E2326">
        <v>114</v>
      </c>
      <c r="F2326" t="s">
        <v>34</v>
      </c>
      <c r="G2326" t="s">
        <v>277</v>
      </c>
      <c r="H2326">
        <v>28</v>
      </c>
      <c r="I2326" s="11">
        <v>114</v>
      </c>
      <c r="J2326" s="12">
        <v>205000</v>
      </c>
      <c r="K2326" s="13">
        <f>$E2326+1</f>
        <v>115</v>
      </c>
      <c r="L2326" s="14">
        <f>IF($J2326=0,0,ROUND(MAX($J2326*1.4,1620000*(1.497923^(MIN($E2326,123)-117)))*1,0))</f>
        <v>481999</v>
      </c>
      <c r="M2326" s="11">
        <f>$E2326+2</f>
        <v>116</v>
      </c>
      <c r="N2326" s="12">
        <f>IF($J2326=0,0,ROUND(MAX($J2326*1.4*1.5,2190000*(1.580994^(MIN($E2326,123)-117)))*1,0))</f>
        <v>554183</v>
      </c>
      <c r="O2326" s="13">
        <f>$E2326+4</f>
        <v>118</v>
      </c>
      <c r="P2326" s="14">
        <f>IF($J2326=0,0,ROUND(MAX($J2326*1.4*1.5*1.6,3500000*(1.57975^(MIN($E2326,123)-117)))*1,0))</f>
        <v>887775</v>
      </c>
      <c r="Q2326" s="11">
        <f>$E2326+6</f>
        <v>120</v>
      </c>
      <c r="R2326" s="12">
        <f>IF($J2326=0,0,ROUND(MAX($J2326*1.4*1.5*1.6*1.6,13100000*(1.429962^(MIN($E2326,123)-117)))*1,0))</f>
        <v>4480204</v>
      </c>
      <c r="S2326" s="13">
        <f>$E2326+8</f>
        <v>122</v>
      </c>
      <c r="T2326" s="14">
        <f>IF($J2326=0,0,ROUND(MAX($J2326*1.4*1.5*1.6*1.6*2.2,42600000*(1.576904^(MIN($E2326,123)-117)))*1,0))</f>
        <v>10864102</v>
      </c>
      <c r="U2326" s="11">
        <f>$E2326+11</f>
        <v>125</v>
      </c>
      <c r="V2326" s="12">
        <f>IF($J2326=0,0,ROUND(MAX($J2326*1.4*1.5*1.6*1.6*2.2*2.715,354000000*(1.642074^(MIN($E2326,123)-117)))*1,0))</f>
        <v>79951219</v>
      </c>
      <c r="W2326" s="13">
        <f>$E2326+15</f>
        <v>129</v>
      </c>
      <c r="X2326" s="14">
        <f>IF($J2326=0,0,ROUND(MAX($J2326*1.4*1.5*1.6*1.6*2.2*2.715*2.6,3540000000*(1.579646^(MIN($E2326,123)-117)))*1,0))</f>
        <v>898098448</v>
      </c>
      <c r="Y2326" s="11">
        <f>$E2326+17</f>
        <v>131</v>
      </c>
      <c r="Z2326" s="12">
        <f>IF($J2326=0,0,ROUND(MAX($J2326*1.4*1.5*1.6*1.6*2.2*2.715*2.6*1.4,6020000000*(1.651178^(MIN($E2326,123)-117)))*1,0))</f>
        <v>1337256787</v>
      </c>
      <c r="AA2326" s="13">
        <f>$E2326+19</f>
        <v>133</v>
      </c>
      <c r="AB2326" s="14">
        <f>IF($J2326=0,0,ROUND(MAX($J2326*1.4*1.5*1.6*1.6*2.2*2.715*2.6*1.4*1.4,8430000000*(1.651435^(MIN($E2326,123)-117)))*1,0))</f>
        <v>1871729653</v>
      </c>
      <c r="AC2326" s="11">
        <f>$E2326+21</f>
        <v>135</v>
      </c>
      <c r="AD2326" s="12">
        <f>IF($J2326=0,0,ROUND(MAX($J2326*1.4*1.5*1.6*1.6*2.2*2.715*2.6*1.4*1.4*1.5,12600000000*(1.652953^(MIN($E2326,123)-117)))*1,0))</f>
        <v>2789902525</v>
      </c>
      <c r="AE2326" s="13">
        <f>$E2326+24</f>
        <v>138</v>
      </c>
      <c r="AF2326" s="14">
        <f>IF($J2326=0,0,ROUND(MAX($J2326*1.4*1.5*1.6*1.6*2.2*2.715*2.6*1.4*1.4*1.5*1.5,18900000000*(1.65331^(MIN($E2326,123)-117)))*1,0))</f>
        <v>4182143461</v>
      </c>
      <c r="AG2326" s="11">
        <f>$E2326+27</f>
        <v>141</v>
      </c>
      <c r="AH2326" s="12">
        <f>IF($J2326=0,0,ROUND(MAX($J2326*1.4*1.5*1.6*1.6*2.2*2.715*2.6*1.4*1.4*1.5*1.5*3.2,60500000000*(1.654288^(MIN($E2326,123)-117)))*1,0))</f>
        <v>13363555336</v>
      </c>
    </row>
    <row r="2327" ht="28" customHeight="1" spans="1:34" x14ac:dyDescent="0.25">
      <c r="A2327">
        <v>2337</v>
      </c>
      <c r="B2327" t="s">
        <v>676</v>
      </c>
      <c r="C2327" s="10" t="s">
        <v>1421</v>
      </c>
      <c r="D2327" t="s">
        <v>64</v>
      </c>
      <c r="E2327">
        <v>114</v>
      </c>
      <c r="F2327" t="s">
        <v>34</v>
      </c>
      <c r="G2327" t="s">
        <v>124</v>
      </c>
      <c r="H2327">
        <v>28</v>
      </c>
      <c r="I2327" s="11">
        <v>114</v>
      </c>
      <c r="J2327" s="12">
        <v>274000</v>
      </c>
      <c r="K2327" s="13">
        <f>$E2327+1</f>
        <v>115</v>
      </c>
      <c r="L2327" s="14">
        <f>IF($J2327=0,0,ROUND(MAX($J2327*1.4,1620000*(1.497923^(MIN($E2327,123)-117)))*1,0))</f>
        <v>481999</v>
      </c>
      <c r="M2327" s="11">
        <f>$E2327+2</f>
        <v>116</v>
      </c>
      <c r="N2327" s="12">
        <f>IF($J2327=0,0,ROUND(MAX($J2327*1.4*1.5,2190000*(1.580994^(MIN($E2327,123)-117)))*1,0))</f>
        <v>575400</v>
      </c>
      <c r="O2327" s="13">
        <f>$E2327+4</f>
        <v>118</v>
      </c>
      <c r="P2327" s="14">
        <f>IF($J2327=0,0,ROUND(MAX($J2327*1.4*1.5*1.6,3500000*(1.57975^(MIN($E2327,123)-117)))*1,0))</f>
        <v>920640</v>
      </c>
      <c r="Q2327" s="11">
        <f>$E2327+6</f>
        <v>120</v>
      </c>
      <c r="R2327" s="12">
        <f>IF($J2327=0,0,ROUND(MAX($J2327*1.4*1.5*1.6*1.6,13100000*(1.429962^(MIN($E2327,123)-117)))*1,0))</f>
        <v>4480204</v>
      </c>
      <c r="S2327" s="13">
        <f>$E2327+8</f>
        <v>122</v>
      </c>
      <c r="T2327" s="14">
        <f>IF($J2327=0,0,ROUND(MAX($J2327*1.4*1.5*1.6*1.6*2.2,42600000*(1.576904^(MIN($E2327,123)-117)))*1,0))</f>
        <v>10864102</v>
      </c>
      <c r="U2327" s="11">
        <f>$E2327+11</f>
        <v>125</v>
      </c>
      <c r="V2327" s="12">
        <f>IF($J2327=0,0,ROUND(MAX($J2327*1.4*1.5*1.6*1.6*2.2*2.715,354000000*(1.642074^(MIN($E2327,123)-117)))*1,0))</f>
        <v>79951219</v>
      </c>
      <c r="W2327" s="13">
        <f>$E2327+15</f>
        <v>129</v>
      </c>
      <c r="X2327" s="14">
        <f>IF($J2327=0,0,ROUND(MAX($J2327*1.4*1.5*1.6*1.6*2.2*2.715*2.6,3540000000*(1.579646^(MIN($E2327,123)-117)))*1,0))</f>
        <v>898098448</v>
      </c>
      <c r="Y2327" s="11">
        <f>$E2327+17</f>
        <v>131</v>
      </c>
      <c r="Z2327" s="12">
        <f>IF($J2327=0,0,ROUND(MAX($J2327*1.4*1.5*1.6*1.6*2.2*2.715*2.6*1.4,6020000000*(1.651178^(MIN($E2327,123)-117)))*1,0))</f>
        <v>1337256787</v>
      </c>
      <c r="AA2327" s="13">
        <f>$E2327+19</f>
        <v>133</v>
      </c>
      <c r="AB2327" s="14">
        <f>IF($J2327=0,0,ROUND(MAX($J2327*1.4*1.5*1.6*1.6*2.2*2.715*2.6*1.4*1.4,8430000000*(1.651435^(MIN($E2327,123)-117)))*1,0))</f>
        <v>1871729653</v>
      </c>
      <c r="AC2327" s="11">
        <f>$E2327+21</f>
        <v>135</v>
      </c>
      <c r="AD2327" s="12">
        <f>IF($J2327=0,0,ROUND(MAX($J2327*1.4*1.5*1.6*1.6*2.2*2.715*2.6*1.4*1.4*1.5,12600000000*(1.652953^(MIN($E2327,123)-117)))*1,0))</f>
        <v>2789902525</v>
      </c>
      <c r="AE2327" s="13">
        <f>$E2327+24</f>
        <v>138</v>
      </c>
      <c r="AF2327" s="14">
        <f>IF($J2327=0,0,ROUND(MAX($J2327*1.4*1.5*1.6*1.6*2.2*2.715*2.6*1.4*1.4*1.5*1.5,18900000000*(1.65331^(MIN($E2327,123)-117)))*1,0))</f>
        <v>4182143461</v>
      </c>
      <c r="AG2327" s="11">
        <f>$E2327+27</f>
        <v>141</v>
      </c>
      <c r="AH2327" s="12">
        <f>IF($J2327=0,0,ROUND(MAX($J2327*1.4*1.5*1.6*1.6*2.2*2.715*2.6*1.4*1.4*1.5*1.5*3.2,60500000000*(1.654288^(MIN($E2327,123)-117)))*1,0))</f>
        <v>13363555336</v>
      </c>
    </row>
    <row r="2328" ht="28" customHeight="1" spans="1:34" x14ac:dyDescent="0.25">
      <c r="A2328">
        <v>2338</v>
      </c>
      <c r="B2328" t="s">
        <v>1181</v>
      </c>
      <c r="C2328" s="10" t="s">
        <v>1421</v>
      </c>
      <c r="D2328" t="s">
        <v>45</v>
      </c>
      <c r="E2328">
        <v>114</v>
      </c>
      <c r="F2328" t="s">
        <v>34</v>
      </c>
      <c r="G2328" t="s">
        <v>35</v>
      </c>
      <c r="H2328">
        <v>28</v>
      </c>
      <c r="I2328" s="11">
        <v>114</v>
      </c>
      <c r="J2328" s="12">
        <v>275000</v>
      </c>
      <c r="K2328" s="13">
        <f>$E2328+1</f>
        <v>115</v>
      </c>
      <c r="L2328" s="14">
        <f>IF($J2328=0,0,ROUND(MAX($J2328*1.4,1620000*(1.497923^(MIN($E2328,123)-117)))*1,0))</f>
        <v>481999</v>
      </c>
      <c r="M2328" s="11">
        <f>$E2328+2</f>
        <v>116</v>
      </c>
      <c r="N2328" s="12">
        <f>IF($J2328=0,0,ROUND(MAX($J2328*1.4*1.5,2190000*(1.580994^(MIN($E2328,123)-117)))*1,0))</f>
        <v>577500</v>
      </c>
      <c r="O2328" s="13">
        <f>$E2328+4</f>
        <v>118</v>
      </c>
      <c r="P2328" s="14">
        <f>IF($J2328=0,0,ROUND(MAX($J2328*1.4*1.5*1.6,3500000*(1.57975^(MIN($E2328,123)-117)))*1,0))</f>
        <v>924000</v>
      </c>
      <c r="Q2328" s="11">
        <f>$E2328+6</f>
        <v>120</v>
      </c>
      <c r="R2328" s="12">
        <f>IF($J2328=0,0,ROUND(MAX($J2328*1.4*1.5*1.6*1.6,13100000*(1.429962^(MIN($E2328,123)-117)))*1,0))</f>
        <v>4480204</v>
      </c>
      <c r="S2328" s="13">
        <f>$E2328+8</f>
        <v>122</v>
      </c>
      <c r="T2328" s="14">
        <f>IF($J2328=0,0,ROUND(MAX($J2328*1.4*1.5*1.6*1.6*2.2,42600000*(1.576904^(MIN($E2328,123)-117)))*1,0))</f>
        <v>10864102</v>
      </c>
      <c r="U2328" s="11">
        <f>$E2328+11</f>
        <v>125</v>
      </c>
      <c r="V2328" s="12">
        <f>IF($J2328=0,0,ROUND(MAX($J2328*1.4*1.5*1.6*1.6*2.2*2.715,354000000*(1.642074^(MIN($E2328,123)-117)))*1,0))</f>
        <v>79951219</v>
      </c>
      <c r="W2328" s="13">
        <f>$E2328+15</f>
        <v>129</v>
      </c>
      <c r="X2328" s="14">
        <f>IF($J2328=0,0,ROUND(MAX($J2328*1.4*1.5*1.6*1.6*2.2*2.715*2.6,3540000000*(1.579646^(MIN($E2328,123)-117)))*1,0))</f>
        <v>898098448</v>
      </c>
      <c r="Y2328" s="11">
        <f>$E2328+17</f>
        <v>131</v>
      </c>
      <c r="Z2328" s="12">
        <f>IF($J2328=0,0,ROUND(MAX($J2328*1.4*1.5*1.6*1.6*2.2*2.715*2.6*1.4,6020000000*(1.651178^(MIN($E2328,123)-117)))*1,0))</f>
        <v>1337256787</v>
      </c>
      <c r="AA2328" s="13">
        <f>$E2328+19</f>
        <v>133</v>
      </c>
      <c r="AB2328" s="14">
        <f>IF($J2328=0,0,ROUND(MAX($J2328*1.4*1.5*1.6*1.6*2.2*2.715*2.6*1.4*1.4,8430000000*(1.651435^(MIN($E2328,123)-117)))*1,0))</f>
        <v>1871729653</v>
      </c>
      <c r="AC2328" s="11">
        <f>$E2328+21</f>
        <v>135</v>
      </c>
      <c r="AD2328" s="12">
        <f>IF($J2328=0,0,ROUND(MAX($J2328*1.4*1.5*1.6*1.6*2.2*2.715*2.6*1.4*1.4*1.5,12600000000*(1.652953^(MIN($E2328,123)-117)))*1,0))</f>
        <v>2789902525</v>
      </c>
      <c r="AE2328" s="13">
        <f>$E2328+24</f>
        <v>138</v>
      </c>
      <c r="AF2328" s="14">
        <f>IF($J2328=0,0,ROUND(MAX($J2328*1.4*1.5*1.6*1.6*2.2*2.715*2.6*1.4*1.4*1.5*1.5,18900000000*(1.65331^(MIN($E2328,123)-117)))*1,0))</f>
        <v>4182143461</v>
      </c>
      <c r="AG2328" s="11">
        <f>$E2328+27</f>
        <v>141</v>
      </c>
      <c r="AH2328" s="12">
        <f>IF($J2328=0,0,ROUND(MAX($J2328*1.4*1.5*1.6*1.6*2.2*2.715*2.6*1.4*1.4*1.5*1.5*3.2,60500000000*(1.654288^(MIN($E2328,123)-117)))*1,0))</f>
        <v>13363555336</v>
      </c>
    </row>
    <row r="2329" ht="28" customHeight="1" spans="1:34" x14ac:dyDescent="0.25">
      <c r="A2329">
        <v>2339</v>
      </c>
      <c r="B2329" t="s">
        <v>1191</v>
      </c>
      <c r="C2329" s="10" t="s">
        <v>1421</v>
      </c>
      <c r="D2329" t="s">
        <v>29</v>
      </c>
      <c r="E2329">
        <v>114</v>
      </c>
      <c r="F2329" t="s">
        <v>310</v>
      </c>
      <c r="G2329" t="s">
        <v>595</v>
      </c>
      <c r="H2329">
        <v>27</v>
      </c>
      <c r="I2329" s="11">
        <v>114</v>
      </c>
      <c r="J2329" s="12">
        <v>260000</v>
      </c>
      <c r="K2329" s="13">
        <f>$E2329+1</f>
        <v>115</v>
      </c>
      <c r="L2329" s="14">
        <f>IF($J2329=0,0,ROUND(MAX($J2329*1.4,1620000*(1.497923^(MIN($E2329,123)-117)))*1,0))</f>
        <v>481999</v>
      </c>
      <c r="M2329" s="11">
        <f>$E2329+2</f>
        <v>116</v>
      </c>
      <c r="N2329" s="12">
        <f>IF($J2329=0,0,ROUND(MAX($J2329*1.4*1.5,2190000*(1.580994^(MIN($E2329,123)-117)))*1,0))</f>
        <v>554183</v>
      </c>
      <c r="O2329" s="13">
        <f>$E2329+4</f>
        <v>118</v>
      </c>
      <c r="P2329" s="14">
        <f>IF($J2329=0,0,ROUND(MAX($J2329*1.4*1.5*1.6,3500000*(1.57975^(MIN($E2329,123)-117)))*1,0))</f>
        <v>887775</v>
      </c>
      <c r="Q2329" s="11">
        <f>$E2329+6</f>
        <v>120</v>
      </c>
      <c r="R2329" s="12">
        <f>IF($J2329=0,0,ROUND(MAX($J2329*1.4*1.5*1.6*1.6,13100000*(1.429962^(MIN($E2329,123)-117)))*1,0))</f>
        <v>4480204</v>
      </c>
      <c r="S2329" s="13">
        <f>$E2329+8</f>
        <v>122</v>
      </c>
      <c r="T2329" s="14">
        <f>IF($J2329=0,0,ROUND(MAX($J2329*1.4*1.5*1.6*1.6*2.2,42600000*(1.576904^(MIN($E2329,123)-117)))*1,0))</f>
        <v>10864102</v>
      </c>
      <c r="U2329" s="11">
        <f>$E2329+11</f>
        <v>125</v>
      </c>
      <c r="V2329" s="12">
        <f>IF($J2329=0,0,ROUND(MAX($J2329*1.4*1.5*1.6*1.6*2.2*2.715,354000000*(1.642074^(MIN($E2329,123)-117)))*1,0))</f>
        <v>79951219</v>
      </c>
      <c r="W2329" s="13">
        <f>$E2329+15</f>
        <v>129</v>
      </c>
      <c r="X2329" s="14">
        <f>IF($J2329=0,0,ROUND(MAX($J2329*1.4*1.5*1.6*1.6*2.2*2.715*2.6,3540000000*(1.579646^(MIN($E2329,123)-117)))*1,0))</f>
        <v>898098448</v>
      </c>
      <c r="Y2329" s="11">
        <f>$E2329+17</f>
        <v>131</v>
      </c>
      <c r="Z2329" s="12">
        <f>IF($J2329=0,0,ROUND(MAX($J2329*1.4*1.5*1.6*1.6*2.2*2.715*2.6*1.4,6020000000*(1.651178^(MIN($E2329,123)-117)))*1,0))</f>
        <v>1337256787</v>
      </c>
      <c r="AA2329" s="13">
        <f>$E2329+19</f>
        <v>133</v>
      </c>
      <c r="AB2329" s="14">
        <f>IF($J2329=0,0,ROUND(MAX($J2329*1.4*1.5*1.6*1.6*2.2*2.715*2.6*1.4*1.4,8430000000*(1.651435^(MIN($E2329,123)-117)))*1,0))</f>
        <v>1871729653</v>
      </c>
      <c r="AC2329" s="11">
        <f>$E2329+21</f>
        <v>135</v>
      </c>
      <c r="AD2329" s="12">
        <f>IF($J2329=0,0,ROUND(MAX($J2329*1.4*1.5*1.6*1.6*2.2*2.715*2.6*1.4*1.4*1.5,12600000000*(1.652953^(MIN($E2329,123)-117)))*1,0))</f>
        <v>2789902525</v>
      </c>
      <c r="AE2329" s="13">
        <f>$E2329+24</f>
        <v>138</v>
      </c>
      <c r="AF2329" s="14">
        <f>IF($J2329=0,0,ROUND(MAX($J2329*1.4*1.5*1.6*1.6*2.2*2.715*2.6*1.4*1.4*1.5*1.5,18900000000*(1.65331^(MIN($E2329,123)-117)))*1,0))</f>
        <v>4182143461</v>
      </c>
      <c r="AG2329" s="11">
        <f>$E2329+27</f>
        <v>141</v>
      </c>
      <c r="AH2329" s="12">
        <f>IF($J2329=0,0,ROUND(MAX($J2329*1.4*1.5*1.6*1.6*2.2*2.715*2.6*1.4*1.4*1.5*1.5*3.2,60500000000*(1.654288^(MIN($E2329,123)-117)))*1,0))</f>
        <v>13363555336</v>
      </c>
    </row>
    <row r="2330" ht="28" customHeight="1" spans="1:34" x14ac:dyDescent="0.25">
      <c r="A2330">
        <v>2340</v>
      </c>
      <c r="B2330" t="s">
        <v>1422</v>
      </c>
      <c r="C2330" s="10" t="s">
        <v>1421</v>
      </c>
      <c r="D2330" t="s">
        <v>64</v>
      </c>
      <c r="E2330">
        <v>114</v>
      </c>
      <c r="F2330" t="s">
        <v>194</v>
      </c>
      <c r="G2330" t="s">
        <v>171</v>
      </c>
      <c r="H2330">
        <v>27</v>
      </c>
      <c r="I2330" s="11">
        <v>114</v>
      </c>
      <c r="J2330" s="12">
        <v>261000</v>
      </c>
      <c r="K2330" s="13">
        <f>$E2330+1</f>
        <v>115</v>
      </c>
      <c r="L2330" s="14">
        <f>IF($J2330=0,0,ROUND(MAX($J2330*1.4,1620000*(1.497923^(MIN($E2330,123)-117)))*1,0))</f>
        <v>481999</v>
      </c>
      <c r="M2330" s="11">
        <f>$E2330+2</f>
        <v>116</v>
      </c>
      <c r="N2330" s="12">
        <f>IF($J2330=0,0,ROUND(MAX($J2330*1.4*1.5,2190000*(1.580994^(MIN($E2330,123)-117)))*1,0))</f>
        <v>554183</v>
      </c>
      <c r="O2330" s="13">
        <f>$E2330+4</f>
        <v>118</v>
      </c>
      <c r="P2330" s="14">
        <f>IF($J2330=0,0,ROUND(MAX($J2330*1.4*1.5*1.6,3500000*(1.57975^(MIN($E2330,123)-117)))*1,0))</f>
        <v>887775</v>
      </c>
      <c r="Q2330" s="11">
        <f>$E2330+6</f>
        <v>120</v>
      </c>
      <c r="R2330" s="12">
        <f>IF($J2330=0,0,ROUND(MAX($J2330*1.4*1.5*1.6*1.6,13100000*(1.429962^(MIN($E2330,123)-117)))*1,0))</f>
        <v>4480204</v>
      </c>
      <c r="S2330" s="13">
        <f>$E2330+8</f>
        <v>122</v>
      </c>
      <c r="T2330" s="14">
        <f>IF($J2330=0,0,ROUND(MAX($J2330*1.4*1.5*1.6*1.6*2.2,42600000*(1.576904^(MIN($E2330,123)-117)))*1,0))</f>
        <v>10864102</v>
      </c>
      <c r="U2330" s="11">
        <f>$E2330+11</f>
        <v>125</v>
      </c>
      <c r="V2330" s="12">
        <f>IF($J2330=0,0,ROUND(MAX($J2330*1.4*1.5*1.6*1.6*2.2*2.715,354000000*(1.642074^(MIN($E2330,123)-117)))*1,0))</f>
        <v>79951219</v>
      </c>
      <c r="W2330" s="13">
        <f>$E2330+15</f>
        <v>129</v>
      </c>
      <c r="X2330" s="14">
        <f>IF($J2330=0,0,ROUND(MAX($J2330*1.4*1.5*1.6*1.6*2.2*2.715*2.6,3540000000*(1.579646^(MIN($E2330,123)-117)))*1,0))</f>
        <v>898098448</v>
      </c>
      <c r="Y2330" s="11">
        <f>$E2330+17</f>
        <v>131</v>
      </c>
      <c r="Z2330" s="12">
        <f>IF($J2330=0,0,ROUND(MAX($J2330*1.4*1.5*1.6*1.6*2.2*2.715*2.6*1.4,6020000000*(1.651178^(MIN($E2330,123)-117)))*1,0))</f>
        <v>1337256787</v>
      </c>
      <c r="AA2330" s="13">
        <f>$E2330+19</f>
        <v>133</v>
      </c>
      <c r="AB2330" s="14">
        <f>IF($J2330=0,0,ROUND(MAX($J2330*1.4*1.5*1.6*1.6*2.2*2.715*2.6*1.4*1.4,8430000000*(1.651435^(MIN($E2330,123)-117)))*1,0))</f>
        <v>1871729653</v>
      </c>
      <c r="AC2330" s="11">
        <f>$E2330+21</f>
        <v>135</v>
      </c>
      <c r="AD2330" s="12">
        <f>IF($J2330=0,0,ROUND(MAX($J2330*1.4*1.5*1.6*1.6*2.2*2.715*2.6*1.4*1.4*1.5,12600000000*(1.652953^(MIN($E2330,123)-117)))*1,0))</f>
        <v>2789902525</v>
      </c>
      <c r="AE2330" s="13">
        <f>$E2330+24</f>
        <v>138</v>
      </c>
      <c r="AF2330" s="14">
        <f>IF($J2330=0,0,ROUND(MAX($J2330*1.4*1.5*1.6*1.6*2.2*2.715*2.6*1.4*1.4*1.5*1.5,18900000000*(1.65331^(MIN($E2330,123)-117)))*1,0))</f>
        <v>4182143461</v>
      </c>
      <c r="AG2330" s="11">
        <f>$E2330+27</f>
        <v>141</v>
      </c>
      <c r="AH2330" s="12">
        <f>IF($J2330=0,0,ROUND(MAX($J2330*1.4*1.5*1.6*1.6*2.2*2.715*2.6*1.4*1.4*1.5*1.5*3.2,60500000000*(1.654288^(MIN($E2330,123)-117)))*1,0))</f>
        <v>13363555336</v>
      </c>
    </row>
    <row r="2331" ht="28" customHeight="1" spans="1:34" x14ac:dyDescent="0.25">
      <c r="A2331">
        <v>2341</v>
      </c>
      <c r="B2331" t="s">
        <v>1423</v>
      </c>
      <c r="C2331" s="10" t="s">
        <v>1421</v>
      </c>
      <c r="D2331" t="s">
        <v>79</v>
      </c>
      <c r="E2331">
        <v>114</v>
      </c>
      <c r="F2331" t="s">
        <v>34</v>
      </c>
      <c r="G2331" t="s">
        <v>290</v>
      </c>
      <c r="H2331">
        <v>27</v>
      </c>
      <c r="I2331" s="11">
        <v>114</v>
      </c>
      <c r="J2331" s="12">
        <v>210000</v>
      </c>
      <c r="K2331" s="13">
        <f>$E2331+1</f>
        <v>115</v>
      </c>
      <c r="L2331" s="14">
        <f>IF($J2331=0,0,ROUND(MAX($J2331*1.4,1620000*(1.497923^(MIN($E2331,123)-117)))*1,0))</f>
        <v>481999</v>
      </c>
      <c r="M2331" s="11">
        <f>$E2331+2</f>
        <v>116</v>
      </c>
      <c r="N2331" s="12">
        <f>IF($J2331=0,0,ROUND(MAX($J2331*1.4*1.5,2190000*(1.580994^(MIN($E2331,123)-117)))*1,0))</f>
        <v>554183</v>
      </c>
      <c r="O2331" s="13">
        <f>$E2331+4</f>
        <v>118</v>
      </c>
      <c r="P2331" s="14">
        <f>IF($J2331=0,0,ROUND(MAX($J2331*1.4*1.5*1.6,3500000*(1.57975^(MIN($E2331,123)-117)))*1,0))</f>
        <v>887775</v>
      </c>
      <c r="Q2331" s="11">
        <f>$E2331+6</f>
        <v>120</v>
      </c>
      <c r="R2331" s="12">
        <f>IF($J2331=0,0,ROUND(MAX($J2331*1.4*1.5*1.6*1.6,13100000*(1.429962^(MIN($E2331,123)-117)))*1,0))</f>
        <v>4480204</v>
      </c>
      <c r="S2331" s="13">
        <f>$E2331+8</f>
        <v>122</v>
      </c>
      <c r="T2331" s="14">
        <f>IF($J2331=0,0,ROUND(MAX($J2331*1.4*1.5*1.6*1.6*2.2,42600000*(1.576904^(MIN($E2331,123)-117)))*1,0))</f>
        <v>10864102</v>
      </c>
      <c r="U2331" s="11">
        <f>$E2331+11</f>
        <v>125</v>
      </c>
      <c r="V2331" s="12">
        <f>IF($J2331=0,0,ROUND(MAX($J2331*1.4*1.5*1.6*1.6*2.2*2.715,354000000*(1.642074^(MIN($E2331,123)-117)))*1,0))</f>
        <v>79951219</v>
      </c>
      <c r="W2331" s="13">
        <f>$E2331+15</f>
        <v>129</v>
      </c>
      <c r="X2331" s="14">
        <f>IF($J2331=0,0,ROUND(MAX($J2331*1.4*1.5*1.6*1.6*2.2*2.715*2.6,3540000000*(1.579646^(MIN($E2331,123)-117)))*1,0))</f>
        <v>898098448</v>
      </c>
      <c r="Y2331" s="11">
        <f>$E2331+17</f>
        <v>131</v>
      </c>
      <c r="Z2331" s="12">
        <f>IF($J2331=0,0,ROUND(MAX($J2331*1.4*1.5*1.6*1.6*2.2*2.715*2.6*1.4,6020000000*(1.651178^(MIN($E2331,123)-117)))*1,0))</f>
        <v>1337256787</v>
      </c>
      <c r="AA2331" s="13">
        <f>$E2331+19</f>
        <v>133</v>
      </c>
      <c r="AB2331" s="14">
        <f>IF($J2331=0,0,ROUND(MAX($J2331*1.4*1.5*1.6*1.6*2.2*2.715*2.6*1.4*1.4,8430000000*(1.651435^(MIN($E2331,123)-117)))*1,0))</f>
        <v>1871729653</v>
      </c>
      <c r="AC2331" s="11">
        <f>$E2331+21</f>
        <v>135</v>
      </c>
      <c r="AD2331" s="12">
        <f>IF($J2331=0,0,ROUND(MAX($J2331*1.4*1.5*1.6*1.6*2.2*2.715*2.6*1.4*1.4*1.5,12600000000*(1.652953^(MIN($E2331,123)-117)))*1,0))</f>
        <v>2789902525</v>
      </c>
      <c r="AE2331" s="13">
        <f>$E2331+24</f>
        <v>138</v>
      </c>
      <c r="AF2331" s="14">
        <f>IF($J2331=0,0,ROUND(MAX($J2331*1.4*1.5*1.6*1.6*2.2*2.715*2.6*1.4*1.4*1.5*1.5,18900000000*(1.65331^(MIN($E2331,123)-117)))*1,0))</f>
        <v>4182143461</v>
      </c>
      <c r="AG2331" s="11">
        <f>$E2331+27</f>
        <v>141</v>
      </c>
      <c r="AH2331" s="12">
        <f>IF($J2331=0,0,ROUND(MAX($J2331*1.4*1.5*1.6*1.6*2.2*2.715*2.6*1.4*1.4*1.5*1.5*3.2,60500000000*(1.654288^(MIN($E2331,123)-117)))*1,0))</f>
        <v>13363555336</v>
      </c>
    </row>
    <row r="2332" ht="28" customHeight="1" spans="1:34" x14ac:dyDescent="0.25">
      <c r="A2332">
        <v>2342</v>
      </c>
      <c r="B2332" t="s">
        <v>1192</v>
      </c>
      <c r="C2332" s="10" t="s">
        <v>1421</v>
      </c>
      <c r="D2332" t="s">
        <v>45</v>
      </c>
      <c r="E2332">
        <v>114</v>
      </c>
      <c r="F2332" t="s">
        <v>56</v>
      </c>
      <c r="G2332" t="s">
        <v>206</v>
      </c>
      <c r="H2332">
        <v>27</v>
      </c>
      <c r="I2332" s="11">
        <v>114</v>
      </c>
      <c r="J2332" s="12">
        <v>198000</v>
      </c>
      <c r="K2332" s="13">
        <f>$E2332+1</f>
        <v>115</v>
      </c>
      <c r="L2332" s="14">
        <f>IF($J2332=0,0,ROUND(MAX($J2332*1.4,1620000*(1.497923^(MIN($E2332,123)-117)))*1,0))</f>
        <v>481999</v>
      </c>
      <c r="M2332" s="11">
        <f>$E2332+2</f>
        <v>116</v>
      </c>
      <c r="N2332" s="12">
        <f>IF($J2332=0,0,ROUND(MAX($J2332*1.4*1.5,2190000*(1.580994^(MIN($E2332,123)-117)))*1,0))</f>
        <v>554183</v>
      </c>
      <c r="O2332" s="13">
        <f>$E2332+4</f>
        <v>118</v>
      </c>
      <c r="P2332" s="14">
        <f>IF($J2332=0,0,ROUND(MAX($J2332*1.4*1.5*1.6,3500000*(1.57975^(MIN($E2332,123)-117)))*1,0))</f>
        <v>887775</v>
      </c>
      <c r="Q2332" s="11">
        <f>$E2332+6</f>
        <v>120</v>
      </c>
      <c r="R2332" s="12">
        <f>IF($J2332=0,0,ROUND(MAX($J2332*1.4*1.5*1.6*1.6,13100000*(1.429962^(MIN($E2332,123)-117)))*1,0))</f>
        <v>4480204</v>
      </c>
      <c r="S2332" s="13">
        <f>$E2332+8</f>
        <v>122</v>
      </c>
      <c r="T2332" s="14">
        <f>IF($J2332=0,0,ROUND(MAX($J2332*1.4*1.5*1.6*1.6*2.2,42600000*(1.576904^(MIN($E2332,123)-117)))*1,0))</f>
        <v>10864102</v>
      </c>
      <c r="U2332" s="11">
        <f>$E2332+11</f>
        <v>125</v>
      </c>
      <c r="V2332" s="12">
        <f>IF($J2332=0,0,ROUND(MAX($J2332*1.4*1.5*1.6*1.6*2.2*2.715,354000000*(1.642074^(MIN($E2332,123)-117)))*1,0))</f>
        <v>79951219</v>
      </c>
      <c r="W2332" s="13">
        <f>$E2332+15</f>
        <v>129</v>
      </c>
      <c r="X2332" s="14">
        <f>IF($J2332=0,0,ROUND(MAX($J2332*1.4*1.5*1.6*1.6*2.2*2.715*2.6,3540000000*(1.579646^(MIN($E2332,123)-117)))*1,0))</f>
        <v>898098448</v>
      </c>
      <c r="Y2332" s="11">
        <f>$E2332+17</f>
        <v>131</v>
      </c>
      <c r="Z2332" s="12">
        <f>IF($J2332=0,0,ROUND(MAX($J2332*1.4*1.5*1.6*1.6*2.2*2.715*2.6*1.4,6020000000*(1.651178^(MIN($E2332,123)-117)))*1,0))</f>
        <v>1337256787</v>
      </c>
      <c r="AA2332" s="13">
        <f>$E2332+19</f>
        <v>133</v>
      </c>
      <c r="AB2332" s="14">
        <f>IF($J2332=0,0,ROUND(MAX($J2332*1.4*1.5*1.6*1.6*2.2*2.715*2.6*1.4*1.4,8430000000*(1.651435^(MIN($E2332,123)-117)))*1,0))</f>
        <v>1871729653</v>
      </c>
      <c r="AC2332" s="11">
        <f>$E2332+21</f>
        <v>135</v>
      </c>
      <c r="AD2332" s="12">
        <f>IF($J2332=0,0,ROUND(MAX($J2332*1.4*1.5*1.6*1.6*2.2*2.715*2.6*1.4*1.4*1.5,12600000000*(1.652953^(MIN($E2332,123)-117)))*1,0))</f>
        <v>2789902525</v>
      </c>
      <c r="AE2332" s="13">
        <f>$E2332+24</f>
        <v>138</v>
      </c>
      <c r="AF2332" s="14">
        <f>IF($J2332=0,0,ROUND(MAX($J2332*1.4*1.5*1.6*1.6*2.2*2.715*2.6*1.4*1.4*1.5*1.5,18900000000*(1.65331^(MIN($E2332,123)-117)))*1,0))</f>
        <v>4182143461</v>
      </c>
      <c r="AG2332" s="11">
        <f>$E2332+27</f>
        <v>141</v>
      </c>
      <c r="AH2332" s="12">
        <f>IF($J2332=0,0,ROUND(MAX($J2332*1.4*1.5*1.6*1.6*2.2*2.715*2.6*1.4*1.4*1.5*1.5*3.2,60500000000*(1.654288^(MIN($E2332,123)-117)))*1,0))</f>
        <v>13363555336</v>
      </c>
    </row>
    <row r="2333" ht="28" customHeight="1" spans="1:34" x14ac:dyDescent="0.25">
      <c r="A2333">
        <v>2343</v>
      </c>
      <c r="B2333" t="s">
        <v>253</v>
      </c>
      <c r="C2333" s="10" t="s">
        <v>1421</v>
      </c>
      <c r="D2333" t="s">
        <v>241</v>
      </c>
      <c r="E2333">
        <v>114</v>
      </c>
      <c r="F2333" t="s">
        <v>34</v>
      </c>
      <c r="G2333" t="s">
        <v>254</v>
      </c>
      <c r="H2333">
        <v>27</v>
      </c>
      <c r="I2333" s="11">
        <v>114</v>
      </c>
      <c r="J2333" s="12">
        <v>253000</v>
      </c>
      <c r="K2333" s="13">
        <f>$E2333+1</f>
        <v>115</v>
      </c>
      <c r="L2333" s="14">
        <f>IF($J2333=0,0,ROUND(MAX($J2333*1.4,1620000*(1.497923^(MIN($E2333,123)-117)))*1,0))</f>
        <v>481999</v>
      </c>
      <c r="M2333" s="11">
        <f>$E2333+2</f>
        <v>116</v>
      </c>
      <c r="N2333" s="12">
        <f>IF($J2333=0,0,ROUND(MAX($J2333*1.4*1.5,2190000*(1.580994^(MIN($E2333,123)-117)))*1,0))</f>
        <v>554183</v>
      </c>
      <c r="O2333" s="13">
        <f>$E2333+4</f>
        <v>118</v>
      </c>
      <c r="P2333" s="14">
        <f>IF($J2333=0,0,ROUND(MAX($J2333*1.4*1.5*1.6,3500000*(1.57975^(MIN($E2333,123)-117)))*1,0))</f>
        <v>887775</v>
      </c>
      <c r="Q2333" s="11">
        <f>$E2333+6</f>
        <v>120</v>
      </c>
      <c r="R2333" s="12">
        <f>IF($J2333=0,0,ROUND(MAX($J2333*1.4*1.5*1.6*1.6,13100000*(1.429962^(MIN($E2333,123)-117)))*1,0))</f>
        <v>4480204</v>
      </c>
      <c r="S2333" s="13">
        <f>$E2333+8</f>
        <v>122</v>
      </c>
      <c r="T2333" s="14">
        <f>IF($J2333=0,0,ROUND(MAX($J2333*1.4*1.5*1.6*1.6*2.2,42600000*(1.576904^(MIN($E2333,123)-117)))*1,0))</f>
        <v>10864102</v>
      </c>
      <c r="U2333" s="11">
        <f>$E2333+11</f>
        <v>125</v>
      </c>
      <c r="V2333" s="12">
        <f>IF($J2333=0,0,ROUND(MAX($J2333*1.4*1.5*1.6*1.6*2.2*2.715,354000000*(1.642074^(MIN($E2333,123)-117)))*1,0))</f>
        <v>79951219</v>
      </c>
      <c r="W2333" s="13">
        <f>$E2333+15</f>
        <v>129</v>
      </c>
      <c r="X2333" s="14">
        <f>IF($J2333=0,0,ROUND(MAX($J2333*1.4*1.5*1.6*1.6*2.2*2.715*2.6,3540000000*(1.579646^(MIN($E2333,123)-117)))*1,0))</f>
        <v>898098448</v>
      </c>
      <c r="Y2333" s="11">
        <f>$E2333+17</f>
        <v>131</v>
      </c>
      <c r="Z2333" s="12">
        <f>IF($J2333=0,0,ROUND(MAX($J2333*1.4*1.5*1.6*1.6*2.2*2.715*2.6*1.4,6020000000*(1.651178^(MIN($E2333,123)-117)))*1,0))</f>
        <v>1337256787</v>
      </c>
      <c r="AA2333" s="13">
        <f>$E2333+19</f>
        <v>133</v>
      </c>
      <c r="AB2333" s="14">
        <f>IF($J2333=0,0,ROUND(MAX($J2333*1.4*1.5*1.6*1.6*2.2*2.715*2.6*1.4*1.4,8430000000*(1.651435^(MIN($E2333,123)-117)))*1,0))</f>
        <v>1871729653</v>
      </c>
      <c r="AC2333" s="11">
        <f>$E2333+21</f>
        <v>135</v>
      </c>
      <c r="AD2333" s="12">
        <f>IF($J2333=0,0,ROUND(MAX($J2333*1.4*1.5*1.6*1.6*2.2*2.715*2.6*1.4*1.4*1.5,12600000000*(1.652953^(MIN($E2333,123)-117)))*1,0))</f>
        <v>2789902525</v>
      </c>
      <c r="AE2333" s="13">
        <f>$E2333+24</f>
        <v>138</v>
      </c>
      <c r="AF2333" s="14">
        <f>IF($J2333=0,0,ROUND(MAX($J2333*1.4*1.5*1.6*1.6*2.2*2.715*2.6*1.4*1.4*1.5*1.5,18900000000*(1.65331^(MIN($E2333,123)-117)))*1,0))</f>
        <v>4182143461</v>
      </c>
      <c r="AG2333" s="11">
        <f>$E2333+27</f>
        <v>141</v>
      </c>
      <c r="AH2333" s="12">
        <f>IF($J2333=0,0,ROUND(MAX($J2333*1.4*1.5*1.6*1.6*2.2*2.715*2.6*1.4*1.4*1.5*1.5*3.2,60500000000*(1.654288^(MIN($E2333,123)-117)))*1,0))</f>
        <v>13363555336</v>
      </c>
    </row>
    <row r="2334" ht="28" customHeight="1" spans="1:34" x14ac:dyDescent="0.25">
      <c r="A2334">
        <v>2344</v>
      </c>
      <c r="B2334" t="s">
        <v>1249</v>
      </c>
      <c r="C2334" s="10" t="s">
        <v>1421</v>
      </c>
      <c r="D2334" t="s">
        <v>33</v>
      </c>
      <c r="E2334">
        <v>114</v>
      </c>
      <c r="F2334" t="s">
        <v>26</v>
      </c>
      <c r="G2334" t="s">
        <v>171</v>
      </c>
      <c r="H2334">
        <v>27</v>
      </c>
      <c r="I2334" s="11">
        <v>114</v>
      </c>
      <c r="J2334" s="12">
        <v>228000</v>
      </c>
      <c r="K2334" s="13">
        <f>$E2334+1</f>
        <v>115</v>
      </c>
      <c r="L2334" s="14">
        <f>IF($J2334=0,0,ROUND(MAX($J2334*1.4,1620000*(1.497923^(MIN($E2334,123)-117)))*1,0))</f>
        <v>481999</v>
      </c>
      <c r="M2334" s="11">
        <f>$E2334+2</f>
        <v>116</v>
      </c>
      <c r="N2334" s="12">
        <f>IF($J2334=0,0,ROUND(MAX($J2334*1.4*1.5,2190000*(1.580994^(MIN($E2334,123)-117)))*1,0))</f>
        <v>554183</v>
      </c>
      <c r="O2334" s="13">
        <f>$E2334+4</f>
        <v>118</v>
      </c>
      <c r="P2334" s="14">
        <f>IF($J2334=0,0,ROUND(MAX($J2334*1.4*1.5*1.6,3500000*(1.57975^(MIN($E2334,123)-117)))*1,0))</f>
        <v>887775</v>
      </c>
      <c r="Q2334" s="11">
        <f>$E2334+6</f>
        <v>120</v>
      </c>
      <c r="R2334" s="12">
        <f>IF($J2334=0,0,ROUND(MAX($J2334*1.4*1.5*1.6*1.6,13100000*(1.429962^(MIN($E2334,123)-117)))*1,0))</f>
        <v>4480204</v>
      </c>
      <c r="S2334" s="13">
        <f>$E2334+8</f>
        <v>122</v>
      </c>
      <c r="T2334" s="14">
        <f>IF($J2334=0,0,ROUND(MAX($J2334*1.4*1.5*1.6*1.6*2.2,42600000*(1.576904^(MIN($E2334,123)-117)))*1,0))</f>
        <v>10864102</v>
      </c>
      <c r="U2334" s="11">
        <f>$E2334+11</f>
        <v>125</v>
      </c>
      <c r="V2334" s="12">
        <f>IF($J2334=0,0,ROUND(MAX($J2334*1.4*1.5*1.6*1.6*2.2*2.715,354000000*(1.642074^(MIN($E2334,123)-117)))*1,0))</f>
        <v>79951219</v>
      </c>
      <c r="W2334" s="13">
        <f>$E2334+15</f>
        <v>129</v>
      </c>
      <c r="X2334" s="14">
        <f>IF($J2334=0,0,ROUND(MAX($J2334*1.4*1.5*1.6*1.6*2.2*2.715*2.6,3540000000*(1.579646^(MIN($E2334,123)-117)))*1,0))</f>
        <v>898098448</v>
      </c>
      <c r="Y2334" s="11">
        <f>$E2334+17</f>
        <v>131</v>
      </c>
      <c r="Z2334" s="12">
        <f>IF($J2334=0,0,ROUND(MAX($J2334*1.4*1.5*1.6*1.6*2.2*2.715*2.6*1.4,6020000000*(1.651178^(MIN($E2334,123)-117)))*1,0))</f>
        <v>1337256787</v>
      </c>
      <c r="AA2334" s="13">
        <f>$E2334+19</f>
        <v>133</v>
      </c>
      <c r="AB2334" s="14">
        <f>IF($J2334=0,0,ROUND(MAX($J2334*1.4*1.5*1.6*1.6*2.2*2.715*2.6*1.4*1.4,8430000000*(1.651435^(MIN($E2334,123)-117)))*1,0))</f>
        <v>1871729653</v>
      </c>
      <c r="AC2334" s="11">
        <f>$E2334+21</f>
        <v>135</v>
      </c>
      <c r="AD2334" s="12">
        <f>IF($J2334=0,0,ROUND(MAX($J2334*1.4*1.5*1.6*1.6*2.2*2.715*2.6*1.4*1.4*1.5,12600000000*(1.652953^(MIN($E2334,123)-117)))*1,0))</f>
        <v>2789902525</v>
      </c>
      <c r="AE2334" s="13">
        <f>$E2334+24</f>
        <v>138</v>
      </c>
      <c r="AF2334" s="14">
        <f>IF($J2334=0,0,ROUND(MAX($J2334*1.4*1.5*1.6*1.6*2.2*2.715*2.6*1.4*1.4*1.5*1.5,18900000000*(1.65331^(MIN($E2334,123)-117)))*1,0))</f>
        <v>4182143461</v>
      </c>
      <c r="AG2334" s="11">
        <f>$E2334+27</f>
        <v>141</v>
      </c>
      <c r="AH2334" s="12">
        <f>IF($J2334=0,0,ROUND(MAX($J2334*1.4*1.5*1.6*1.6*2.2*2.715*2.6*1.4*1.4*1.5*1.5*3.2,60500000000*(1.654288^(MIN($E2334,123)-117)))*1,0))</f>
        <v>13363555336</v>
      </c>
    </row>
    <row r="2335" ht="28" customHeight="1" spans="1:34" x14ac:dyDescent="0.25">
      <c r="A2335">
        <v>2345</v>
      </c>
      <c r="B2335" t="s">
        <v>1424</v>
      </c>
      <c r="C2335" s="10" t="s">
        <v>1421</v>
      </c>
      <c r="D2335" t="s">
        <v>40</v>
      </c>
      <c r="E2335">
        <v>114</v>
      </c>
      <c r="F2335" t="s">
        <v>71</v>
      </c>
      <c r="G2335" t="s">
        <v>684</v>
      </c>
      <c r="H2335">
        <v>27</v>
      </c>
      <c r="I2335" s="11">
        <v>114</v>
      </c>
      <c r="J2335" s="12">
        <v>873000</v>
      </c>
      <c r="K2335" s="13">
        <f>$E2335+1</f>
        <v>115</v>
      </c>
      <c r="L2335" s="14">
        <f>IF($J2335=0,0,ROUND(MAX($J2335*1.4,1620000*(1.497923^(MIN($E2335,123)-117)))*1,0))</f>
        <v>1222200</v>
      </c>
      <c r="M2335" s="11">
        <f>$E2335+2</f>
        <v>116</v>
      </c>
      <c r="N2335" s="12">
        <f>IF($J2335=0,0,ROUND(MAX($J2335*1.4*1.5,2190000*(1.580994^(MIN($E2335,123)-117)))*1,0))</f>
        <v>1833300</v>
      </c>
      <c r="O2335" s="13">
        <f>$E2335+4</f>
        <v>118</v>
      </c>
      <c r="P2335" s="14">
        <f>IF($J2335=0,0,ROUND(MAX($J2335*1.4*1.5*1.6,3500000*(1.57975^(MIN($E2335,123)-117)))*1,0))</f>
        <v>2933280</v>
      </c>
      <c r="Q2335" s="11">
        <f>$E2335+6</f>
        <v>120</v>
      </c>
      <c r="R2335" s="12">
        <f>IF($J2335=0,0,ROUND(MAX($J2335*1.4*1.5*1.6*1.6,13100000*(1.429962^(MIN($E2335,123)-117)))*1,0))</f>
        <v>4693248</v>
      </c>
      <c r="S2335" s="13">
        <f>$E2335+8</f>
        <v>122</v>
      </c>
      <c r="T2335" s="14">
        <f>IF($J2335=0,0,ROUND(MAX($J2335*1.4*1.5*1.6*1.6*2.2,42600000*(1.576904^(MIN($E2335,123)-117)))*1,0))</f>
        <v>10864102</v>
      </c>
      <c r="U2335" s="11">
        <f>$E2335+11</f>
        <v>125</v>
      </c>
      <c r="V2335" s="12">
        <f>IF($J2335=0,0,ROUND(MAX($J2335*1.4*1.5*1.6*1.6*2.2*2.715,354000000*(1.642074^(MIN($E2335,123)-117)))*1,0))</f>
        <v>79951219</v>
      </c>
      <c r="W2335" s="13">
        <f>$E2335+15</f>
        <v>129</v>
      </c>
      <c r="X2335" s="14">
        <f>IF($J2335=0,0,ROUND(MAX($J2335*1.4*1.5*1.6*1.6*2.2*2.715*2.6,3540000000*(1.579646^(MIN($E2335,123)-117)))*1,0))</f>
        <v>898098448</v>
      </c>
      <c r="Y2335" s="11">
        <f>$E2335+17</f>
        <v>131</v>
      </c>
      <c r="Z2335" s="12">
        <f>IF($J2335=0,0,ROUND(MAX($J2335*1.4*1.5*1.6*1.6*2.2*2.715*2.6*1.4,6020000000*(1.651178^(MIN($E2335,123)-117)))*1,0))</f>
        <v>1337256787</v>
      </c>
      <c r="AA2335" s="13">
        <f>$E2335+19</f>
        <v>133</v>
      </c>
      <c r="AB2335" s="14">
        <f>IF($J2335=0,0,ROUND(MAX($J2335*1.4*1.5*1.6*1.6*2.2*2.715*2.6*1.4*1.4,8430000000*(1.651435^(MIN($E2335,123)-117)))*1,0))</f>
        <v>1871729653</v>
      </c>
      <c r="AC2335" s="11">
        <f>$E2335+21</f>
        <v>135</v>
      </c>
      <c r="AD2335" s="12">
        <f>IF($J2335=0,0,ROUND(MAX($J2335*1.4*1.5*1.6*1.6*2.2*2.715*2.6*1.4*1.4*1.5,12600000000*(1.652953^(MIN($E2335,123)-117)))*1,0))</f>
        <v>2789902525</v>
      </c>
      <c r="AE2335" s="13">
        <f>$E2335+24</f>
        <v>138</v>
      </c>
      <c r="AF2335" s="14">
        <f>IF($J2335=0,0,ROUND(MAX($J2335*1.4*1.5*1.6*1.6*2.2*2.715*2.6*1.4*1.4*1.5*1.5,18900000000*(1.65331^(MIN($E2335,123)-117)))*1,0))</f>
        <v>4182143461</v>
      </c>
      <c r="AG2335" s="11">
        <f>$E2335+27</f>
        <v>141</v>
      </c>
      <c r="AH2335" s="12">
        <f>IF($J2335=0,0,ROUND(MAX($J2335*1.4*1.5*1.6*1.6*2.2*2.715*2.6*1.4*1.4*1.5*1.5*3.2,60500000000*(1.654288^(MIN($E2335,123)-117)))*1,0))</f>
        <v>13363555336</v>
      </c>
    </row>
    <row r="2336" ht="28" customHeight="1" spans="1:34" x14ac:dyDescent="0.25">
      <c r="A2336">
        <v>2346</v>
      </c>
      <c r="B2336" t="s">
        <v>1263</v>
      </c>
      <c r="C2336" s="10" t="s">
        <v>1421</v>
      </c>
      <c r="D2336" t="s">
        <v>102</v>
      </c>
      <c r="E2336">
        <v>114</v>
      </c>
      <c r="F2336" t="s">
        <v>59</v>
      </c>
      <c r="G2336" t="s">
        <v>171</v>
      </c>
      <c r="H2336">
        <v>27</v>
      </c>
      <c r="I2336" s="11">
        <v>114</v>
      </c>
      <c r="J2336" s="12">
        <v>193000</v>
      </c>
      <c r="K2336" s="13">
        <f>$E2336+1</f>
        <v>115</v>
      </c>
      <c r="L2336" s="14">
        <f>IF($J2336=0,0,ROUND(MAX($J2336*1.4,1620000*(1.497923^(MIN($E2336,123)-117)))*1,0))</f>
        <v>481999</v>
      </c>
      <c r="M2336" s="11">
        <f>$E2336+2</f>
        <v>116</v>
      </c>
      <c r="N2336" s="12">
        <f>IF($J2336=0,0,ROUND(MAX($J2336*1.4*1.5,2190000*(1.580994^(MIN($E2336,123)-117)))*1,0))</f>
        <v>554183</v>
      </c>
      <c r="O2336" s="13">
        <f>$E2336+4</f>
        <v>118</v>
      </c>
      <c r="P2336" s="14">
        <f>IF($J2336=0,0,ROUND(MAX($J2336*1.4*1.5*1.6,3500000*(1.57975^(MIN($E2336,123)-117)))*1,0))</f>
        <v>887775</v>
      </c>
      <c r="Q2336" s="11">
        <f>$E2336+6</f>
        <v>120</v>
      </c>
      <c r="R2336" s="12">
        <f>IF($J2336=0,0,ROUND(MAX($J2336*1.4*1.5*1.6*1.6,13100000*(1.429962^(MIN($E2336,123)-117)))*1,0))</f>
        <v>4480204</v>
      </c>
      <c r="S2336" s="13">
        <f>$E2336+8</f>
        <v>122</v>
      </c>
      <c r="T2336" s="14">
        <f>IF($J2336=0,0,ROUND(MAX($J2336*1.4*1.5*1.6*1.6*2.2,42600000*(1.576904^(MIN($E2336,123)-117)))*1,0))</f>
        <v>10864102</v>
      </c>
      <c r="U2336" s="11">
        <f>$E2336+11</f>
        <v>125</v>
      </c>
      <c r="V2336" s="12">
        <f>IF($J2336=0,0,ROUND(MAX($J2336*1.4*1.5*1.6*1.6*2.2*2.715,354000000*(1.642074^(MIN($E2336,123)-117)))*1,0))</f>
        <v>79951219</v>
      </c>
      <c r="W2336" s="13">
        <f>$E2336+15</f>
        <v>129</v>
      </c>
      <c r="X2336" s="14">
        <f>IF($J2336=0,0,ROUND(MAX($J2336*1.4*1.5*1.6*1.6*2.2*2.715*2.6,3540000000*(1.579646^(MIN($E2336,123)-117)))*1,0))</f>
        <v>898098448</v>
      </c>
      <c r="Y2336" s="11">
        <f>$E2336+17</f>
        <v>131</v>
      </c>
      <c r="Z2336" s="12">
        <f>IF($J2336=0,0,ROUND(MAX($J2336*1.4*1.5*1.6*1.6*2.2*2.715*2.6*1.4,6020000000*(1.651178^(MIN($E2336,123)-117)))*1,0))</f>
        <v>1337256787</v>
      </c>
      <c r="AA2336" s="13">
        <f>$E2336+19</f>
        <v>133</v>
      </c>
      <c r="AB2336" s="14">
        <f>IF($J2336=0,0,ROUND(MAX($J2336*1.4*1.5*1.6*1.6*2.2*2.715*2.6*1.4*1.4,8430000000*(1.651435^(MIN($E2336,123)-117)))*1,0))</f>
        <v>1871729653</v>
      </c>
      <c r="AC2336" s="11">
        <f>$E2336+21</f>
        <v>135</v>
      </c>
      <c r="AD2336" s="12">
        <f>IF($J2336=0,0,ROUND(MAX($J2336*1.4*1.5*1.6*1.6*2.2*2.715*2.6*1.4*1.4*1.5,12600000000*(1.652953^(MIN($E2336,123)-117)))*1,0))</f>
        <v>2789902525</v>
      </c>
      <c r="AE2336" s="13">
        <f>$E2336+24</f>
        <v>138</v>
      </c>
      <c r="AF2336" s="14">
        <f>IF($J2336=0,0,ROUND(MAX($J2336*1.4*1.5*1.6*1.6*2.2*2.715*2.6*1.4*1.4*1.5*1.5,18900000000*(1.65331^(MIN($E2336,123)-117)))*1,0))</f>
        <v>4182143461</v>
      </c>
      <c r="AG2336" s="11">
        <f>$E2336+27</f>
        <v>141</v>
      </c>
      <c r="AH2336" s="12">
        <f>IF($J2336=0,0,ROUND(MAX($J2336*1.4*1.5*1.6*1.6*2.2*2.715*2.6*1.4*1.4*1.5*1.5*3.2,60500000000*(1.654288^(MIN($E2336,123)-117)))*1,0))</f>
        <v>13363555336</v>
      </c>
    </row>
    <row r="2337" ht="28" customHeight="1" spans="1:34" x14ac:dyDescent="0.25">
      <c r="A2337">
        <v>2347</v>
      </c>
      <c r="B2337" t="s">
        <v>1311</v>
      </c>
      <c r="C2337" s="10" t="s">
        <v>1421</v>
      </c>
      <c r="D2337" t="s">
        <v>40</v>
      </c>
      <c r="E2337">
        <v>114</v>
      </c>
      <c r="F2337" t="s">
        <v>56</v>
      </c>
      <c r="G2337" t="s">
        <v>171</v>
      </c>
      <c r="H2337">
        <v>27</v>
      </c>
      <c r="I2337" s="11">
        <v>114</v>
      </c>
      <c r="J2337" s="12">
        <v>176000</v>
      </c>
      <c r="K2337" s="13">
        <f>$E2337+1</f>
        <v>115</v>
      </c>
      <c r="L2337" s="14">
        <f>IF($J2337=0,0,ROUND(MAX($J2337*1.4,1620000*(1.497923^(MIN($E2337,123)-117)))*1,0))</f>
        <v>481999</v>
      </c>
      <c r="M2337" s="11">
        <f>$E2337+2</f>
        <v>116</v>
      </c>
      <c r="N2337" s="12">
        <f>IF($J2337=0,0,ROUND(MAX($J2337*1.4*1.5,2190000*(1.580994^(MIN($E2337,123)-117)))*1,0))</f>
        <v>554183</v>
      </c>
      <c r="O2337" s="13">
        <f>$E2337+4</f>
        <v>118</v>
      </c>
      <c r="P2337" s="14">
        <f>IF($J2337=0,0,ROUND(MAX($J2337*1.4*1.5*1.6,3500000*(1.57975^(MIN($E2337,123)-117)))*1,0))</f>
        <v>887775</v>
      </c>
      <c r="Q2337" s="11">
        <f>$E2337+6</f>
        <v>120</v>
      </c>
      <c r="R2337" s="12">
        <f>IF($J2337=0,0,ROUND(MAX($J2337*1.4*1.5*1.6*1.6,13100000*(1.429962^(MIN($E2337,123)-117)))*1,0))</f>
        <v>4480204</v>
      </c>
      <c r="S2337" s="13">
        <f>$E2337+8</f>
        <v>122</v>
      </c>
      <c r="T2337" s="14">
        <f>IF($J2337=0,0,ROUND(MAX($J2337*1.4*1.5*1.6*1.6*2.2,42600000*(1.576904^(MIN($E2337,123)-117)))*1,0))</f>
        <v>10864102</v>
      </c>
      <c r="U2337" s="11">
        <f>$E2337+11</f>
        <v>125</v>
      </c>
      <c r="V2337" s="12">
        <f>IF($J2337=0,0,ROUND(MAX($J2337*1.4*1.5*1.6*1.6*2.2*2.715,354000000*(1.642074^(MIN($E2337,123)-117)))*1,0))</f>
        <v>79951219</v>
      </c>
      <c r="W2337" s="13">
        <f>$E2337+15</f>
        <v>129</v>
      </c>
      <c r="X2337" s="14">
        <f>IF($J2337=0,0,ROUND(MAX($J2337*1.4*1.5*1.6*1.6*2.2*2.715*2.6,3540000000*(1.579646^(MIN($E2337,123)-117)))*1,0))</f>
        <v>898098448</v>
      </c>
      <c r="Y2337" s="11">
        <f>$E2337+17</f>
        <v>131</v>
      </c>
      <c r="Z2337" s="12">
        <f>IF($J2337=0,0,ROUND(MAX($J2337*1.4*1.5*1.6*1.6*2.2*2.715*2.6*1.4,6020000000*(1.651178^(MIN($E2337,123)-117)))*1,0))</f>
        <v>1337256787</v>
      </c>
      <c r="AA2337" s="13">
        <f>$E2337+19</f>
        <v>133</v>
      </c>
      <c r="AB2337" s="14">
        <f>IF($J2337=0,0,ROUND(MAX($J2337*1.4*1.5*1.6*1.6*2.2*2.715*2.6*1.4*1.4,8430000000*(1.651435^(MIN($E2337,123)-117)))*1,0))</f>
        <v>1871729653</v>
      </c>
      <c r="AC2337" s="11">
        <f>$E2337+21</f>
        <v>135</v>
      </c>
      <c r="AD2337" s="12">
        <f>IF($J2337=0,0,ROUND(MAX($J2337*1.4*1.5*1.6*1.6*2.2*2.715*2.6*1.4*1.4*1.5,12600000000*(1.652953^(MIN($E2337,123)-117)))*1,0))</f>
        <v>2789902525</v>
      </c>
      <c r="AE2337" s="13">
        <f>$E2337+24</f>
        <v>138</v>
      </c>
      <c r="AF2337" s="14">
        <f>IF($J2337=0,0,ROUND(MAX($J2337*1.4*1.5*1.6*1.6*2.2*2.715*2.6*1.4*1.4*1.5*1.5,18900000000*(1.65331^(MIN($E2337,123)-117)))*1,0))</f>
        <v>4182143461</v>
      </c>
      <c r="AG2337" s="11">
        <f>$E2337+27</f>
        <v>141</v>
      </c>
      <c r="AH2337" s="12">
        <f>IF($J2337=0,0,ROUND(MAX($J2337*1.4*1.5*1.6*1.6*2.2*2.715*2.6*1.4*1.4*1.5*1.5*3.2,60500000000*(1.654288^(MIN($E2337,123)-117)))*1,0))</f>
        <v>13363555336</v>
      </c>
    </row>
    <row r="2338" ht="28" customHeight="1" spans="1:34" x14ac:dyDescent="0.25">
      <c r="A2338">
        <v>2348</v>
      </c>
      <c r="B2338" t="s">
        <v>1246</v>
      </c>
      <c r="C2338" s="10" t="s">
        <v>1421</v>
      </c>
      <c r="D2338" t="s">
        <v>45</v>
      </c>
      <c r="E2338">
        <v>114</v>
      </c>
      <c r="F2338" t="s">
        <v>71</v>
      </c>
      <c r="G2338" t="s">
        <v>95</v>
      </c>
      <c r="H2338">
        <v>27</v>
      </c>
      <c r="I2338" s="11">
        <v>114</v>
      </c>
      <c r="J2338" s="12">
        <v>231000</v>
      </c>
      <c r="K2338" s="13">
        <f>$E2338+1</f>
        <v>115</v>
      </c>
      <c r="L2338" s="14">
        <f>IF($J2338=0,0,ROUND(MAX($J2338*1.4,1620000*(1.497923^(MIN($E2338,123)-117)))*1,0))</f>
        <v>481999</v>
      </c>
      <c r="M2338" s="11">
        <f>$E2338+2</f>
        <v>116</v>
      </c>
      <c r="N2338" s="12">
        <f>IF($J2338=0,0,ROUND(MAX($J2338*1.4*1.5,2190000*(1.580994^(MIN($E2338,123)-117)))*1,0))</f>
        <v>554183</v>
      </c>
      <c r="O2338" s="13">
        <f>$E2338+4</f>
        <v>118</v>
      </c>
      <c r="P2338" s="14">
        <f>IF($J2338=0,0,ROUND(MAX($J2338*1.4*1.5*1.6,3500000*(1.57975^(MIN($E2338,123)-117)))*1,0))</f>
        <v>887775</v>
      </c>
      <c r="Q2338" s="11">
        <f>$E2338+6</f>
        <v>120</v>
      </c>
      <c r="R2338" s="12">
        <f>IF($J2338=0,0,ROUND(MAX($J2338*1.4*1.5*1.6*1.6,13100000*(1.429962^(MIN($E2338,123)-117)))*1,0))</f>
        <v>4480204</v>
      </c>
      <c r="S2338" s="13">
        <f>$E2338+8</f>
        <v>122</v>
      </c>
      <c r="T2338" s="14">
        <f>IF($J2338=0,0,ROUND(MAX($J2338*1.4*1.5*1.6*1.6*2.2,42600000*(1.576904^(MIN($E2338,123)-117)))*1,0))</f>
        <v>10864102</v>
      </c>
      <c r="U2338" s="11">
        <f>$E2338+11</f>
        <v>125</v>
      </c>
      <c r="V2338" s="12">
        <f>IF($J2338=0,0,ROUND(MAX($J2338*1.4*1.5*1.6*1.6*2.2*2.715,354000000*(1.642074^(MIN($E2338,123)-117)))*1,0))</f>
        <v>79951219</v>
      </c>
      <c r="W2338" s="13">
        <f>$E2338+15</f>
        <v>129</v>
      </c>
      <c r="X2338" s="14">
        <f>IF($J2338=0,0,ROUND(MAX($J2338*1.4*1.5*1.6*1.6*2.2*2.715*2.6,3540000000*(1.579646^(MIN($E2338,123)-117)))*1,0))</f>
        <v>898098448</v>
      </c>
      <c r="Y2338" s="11">
        <f>$E2338+17</f>
        <v>131</v>
      </c>
      <c r="Z2338" s="12">
        <f>IF($J2338=0,0,ROUND(MAX($J2338*1.4*1.5*1.6*1.6*2.2*2.715*2.6*1.4,6020000000*(1.651178^(MIN($E2338,123)-117)))*1,0))</f>
        <v>1337256787</v>
      </c>
      <c r="AA2338" s="13">
        <f>$E2338+19</f>
        <v>133</v>
      </c>
      <c r="AB2338" s="14">
        <f>IF($J2338=0,0,ROUND(MAX($J2338*1.4*1.5*1.6*1.6*2.2*2.715*2.6*1.4*1.4,8430000000*(1.651435^(MIN($E2338,123)-117)))*1,0))</f>
        <v>1871729653</v>
      </c>
      <c r="AC2338" s="11">
        <f>$E2338+21</f>
        <v>135</v>
      </c>
      <c r="AD2338" s="12">
        <f>IF($J2338=0,0,ROUND(MAX($J2338*1.4*1.5*1.6*1.6*2.2*2.715*2.6*1.4*1.4*1.5,12600000000*(1.652953^(MIN($E2338,123)-117)))*1,0))</f>
        <v>2789902525</v>
      </c>
      <c r="AE2338" s="13">
        <f>$E2338+24</f>
        <v>138</v>
      </c>
      <c r="AF2338" s="14">
        <f>IF($J2338=0,0,ROUND(MAX($J2338*1.4*1.5*1.6*1.6*2.2*2.715*2.6*1.4*1.4*1.5*1.5,18900000000*(1.65331^(MIN($E2338,123)-117)))*1,0))</f>
        <v>4182143461</v>
      </c>
      <c r="AG2338" s="11">
        <f>$E2338+27</f>
        <v>141</v>
      </c>
      <c r="AH2338" s="12">
        <f>IF($J2338=0,0,ROUND(MAX($J2338*1.4*1.5*1.6*1.6*2.2*2.715*2.6*1.4*1.4*1.5*1.5*3.2,60500000000*(1.654288^(MIN($E2338,123)-117)))*1,0))</f>
        <v>13363555336</v>
      </c>
    </row>
    <row r="2339" ht="28" customHeight="1" spans="1:34" x14ac:dyDescent="0.25">
      <c r="A2339">
        <v>2349</v>
      </c>
      <c r="B2339" t="s">
        <v>1322</v>
      </c>
      <c r="C2339" s="10" t="s">
        <v>1421</v>
      </c>
      <c r="D2339" t="s">
        <v>25</v>
      </c>
      <c r="E2339">
        <v>114</v>
      </c>
      <c r="F2339" t="s">
        <v>400</v>
      </c>
      <c r="G2339" t="s">
        <v>762</v>
      </c>
      <c r="H2339">
        <v>27</v>
      </c>
      <c r="I2339" s="11">
        <v>114</v>
      </c>
      <c r="J2339" s="12">
        <v>249000</v>
      </c>
      <c r="K2339" s="13">
        <f>$E2339+1</f>
        <v>115</v>
      </c>
      <c r="L2339" s="14">
        <f>IF($J2339=0,0,ROUND(MAX($J2339*1.4,1620000*(1.497923^(MIN($E2339,123)-117)))*1,0))</f>
        <v>481999</v>
      </c>
      <c r="M2339" s="11">
        <f>$E2339+2</f>
        <v>116</v>
      </c>
      <c r="N2339" s="12">
        <f>IF($J2339=0,0,ROUND(MAX($J2339*1.4*1.5,2190000*(1.580994^(MIN($E2339,123)-117)))*1,0))</f>
        <v>554183</v>
      </c>
      <c r="O2339" s="13">
        <f>$E2339+4</f>
        <v>118</v>
      </c>
      <c r="P2339" s="14">
        <f>IF($J2339=0,0,ROUND(MAX($J2339*1.4*1.5*1.6,3500000*(1.57975^(MIN($E2339,123)-117)))*1,0))</f>
        <v>887775</v>
      </c>
      <c r="Q2339" s="11">
        <f>$E2339+6</f>
        <v>120</v>
      </c>
      <c r="R2339" s="12">
        <f>IF($J2339=0,0,ROUND(MAX($J2339*1.4*1.5*1.6*1.6,13100000*(1.429962^(MIN($E2339,123)-117)))*1,0))</f>
        <v>4480204</v>
      </c>
      <c r="S2339" s="13">
        <f>$E2339+8</f>
        <v>122</v>
      </c>
      <c r="T2339" s="14">
        <f>IF($J2339=0,0,ROUND(MAX($J2339*1.4*1.5*1.6*1.6*2.2,42600000*(1.576904^(MIN($E2339,123)-117)))*1,0))</f>
        <v>10864102</v>
      </c>
      <c r="U2339" s="11">
        <f>$E2339+11</f>
        <v>125</v>
      </c>
      <c r="V2339" s="12">
        <f>IF($J2339=0,0,ROUND(MAX($J2339*1.4*1.5*1.6*1.6*2.2*2.715,354000000*(1.642074^(MIN($E2339,123)-117)))*1,0))</f>
        <v>79951219</v>
      </c>
      <c r="W2339" s="13">
        <f>$E2339+15</f>
        <v>129</v>
      </c>
      <c r="X2339" s="14">
        <f>IF($J2339=0,0,ROUND(MAX($J2339*1.4*1.5*1.6*1.6*2.2*2.715*2.6,3540000000*(1.579646^(MIN($E2339,123)-117)))*1,0))</f>
        <v>898098448</v>
      </c>
      <c r="Y2339" s="11">
        <f>$E2339+17</f>
        <v>131</v>
      </c>
      <c r="Z2339" s="12">
        <f>IF($J2339=0,0,ROUND(MAX($J2339*1.4*1.5*1.6*1.6*2.2*2.715*2.6*1.4,6020000000*(1.651178^(MIN($E2339,123)-117)))*1,0))</f>
        <v>1337256787</v>
      </c>
      <c r="AA2339" s="13">
        <f>$E2339+19</f>
        <v>133</v>
      </c>
      <c r="AB2339" s="14">
        <f>IF($J2339=0,0,ROUND(MAX($J2339*1.4*1.5*1.6*1.6*2.2*2.715*2.6*1.4*1.4,8430000000*(1.651435^(MIN($E2339,123)-117)))*1,0))</f>
        <v>1871729653</v>
      </c>
      <c r="AC2339" s="11">
        <f>$E2339+21</f>
        <v>135</v>
      </c>
      <c r="AD2339" s="12">
        <f>IF($J2339=0,0,ROUND(MAX($J2339*1.4*1.5*1.6*1.6*2.2*2.715*2.6*1.4*1.4*1.5,12600000000*(1.652953^(MIN($E2339,123)-117)))*1,0))</f>
        <v>2789902525</v>
      </c>
      <c r="AE2339" s="13">
        <f>$E2339+24</f>
        <v>138</v>
      </c>
      <c r="AF2339" s="14">
        <f>IF($J2339=0,0,ROUND(MAX($J2339*1.4*1.5*1.6*1.6*2.2*2.715*2.6*1.4*1.4*1.5*1.5,18900000000*(1.65331^(MIN($E2339,123)-117)))*1,0))</f>
        <v>4182143461</v>
      </c>
      <c r="AG2339" s="11">
        <f>$E2339+27</f>
        <v>141</v>
      </c>
      <c r="AH2339" s="12">
        <f>IF($J2339=0,0,ROUND(MAX($J2339*1.4*1.5*1.6*1.6*2.2*2.715*2.6*1.4*1.4*1.5*1.5*3.2,60500000000*(1.654288^(MIN($E2339,123)-117)))*1,0))</f>
        <v>13363555336</v>
      </c>
    </row>
    <row r="2340" ht="28" customHeight="1" spans="1:34" x14ac:dyDescent="0.25">
      <c r="A2340">
        <v>2350</v>
      </c>
      <c r="B2340" t="s">
        <v>1293</v>
      </c>
      <c r="C2340" s="10" t="s">
        <v>1421</v>
      </c>
      <c r="D2340" t="s">
        <v>45</v>
      </c>
      <c r="E2340">
        <v>114</v>
      </c>
      <c r="F2340" t="s">
        <v>34</v>
      </c>
      <c r="G2340" t="s">
        <v>277</v>
      </c>
      <c r="H2340">
        <v>27</v>
      </c>
      <c r="I2340" s="11">
        <v>114</v>
      </c>
      <c r="J2340" s="12">
        <v>232000</v>
      </c>
      <c r="K2340" s="13">
        <f>$E2340+1</f>
        <v>115</v>
      </c>
      <c r="L2340" s="14">
        <f>IF($J2340=0,0,ROUND(MAX($J2340*1.4,1620000*(1.497923^(MIN($E2340,123)-117)))*1,0))</f>
        <v>481999</v>
      </c>
      <c r="M2340" s="11">
        <f>$E2340+2</f>
        <v>116</v>
      </c>
      <c r="N2340" s="12">
        <f>IF($J2340=0,0,ROUND(MAX($J2340*1.4*1.5,2190000*(1.580994^(MIN($E2340,123)-117)))*1,0))</f>
        <v>554183</v>
      </c>
      <c r="O2340" s="13">
        <f>$E2340+4</f>
        <v>118</v>
      </c>
      <c r="P2340" s="14">
        <f>IF($J2340=0,0,ROUND(MAX($J2340*1.4*1.5*1.6,3500000*(1.57975^(MIN($E2340,123)-117)))*1,0))</f>
        <v>887775</v>
      </c>
      <c r="Q2340" s="11">
        <f>$E2340+6</f>
        <v>120</v>
      </c>
      <c r="R2340" s="12">
        <f>IF($J2340=0,0,ROUND(MAX($J2340*1.4*1.5*1.6*1.6,13100000*(1.429962^(MIN($E2340,123)-117)))*1,0))</f>
        <v>4480204</v>
      </c>
      <c r="S2340" s="13">
        <f>$E2340+8</f>
        <v>122</v>
      </c>
      <c r="T2340" s="14">
        <f>IF($J2340=0,0,ROUND(MAX($J2340*1.4*1.5*1.6*1.6*2.2,42600000*(1.576904^(MIN($E2340,123)-117)))*1,0))</f>
        <v>10864102</v>
      </c>
      <c r="U2340" s="11">
        <f>$E2340+11</f>
        <v>125</v>
      </c>
      <c r="V2340" s="12">
        <f>IF($J2340=0,0,ROUND(MAX($J2340*1.4*1.5*1.6*1.6*2.2*2.715,354000000*(1.642074^(MIN($E2340,123)-117)))*1,0))</f>
        <v>79951219</v>
      </c>
      <c r="W2340" s="13">
        <f>$E2340+15</f>
        <v>129</v>
      </c>
      <c r="X2340" s="14">
        <f>IF($J2340=0,0,ROUND(MAX($J2340*1.4*1.5*1.6*1.6*2.2*2.715*2.6,3540000000*(1.579646^(MIN($E2340,123)-117)))*1,0))</f>
        <v>898098448</v>
      </c>
      <c r="Y2340" s="11">
        <f>$E2340+17</f>
        <v>131</v>
      </c>
      <c r="Z2340" s="12">
        <f>IF($J2340=0,0,ROUND(MAX($J2340*1.4*1.5*1.6*1.6*2.2*2.715*2.6*1.4,6020000000*(1.651178^(MIN($E2340,123)-117)))*1,0))</f>
        <v>1337256787</v>
      </c>
      <c r="AA2340" s="13">
        <f>$E2340+19</f>
        <v>133</v>
      </c>
      <c r="AB2340" s="14">
        <f>IF($J2340=0,0,ROUND(MAX($J2340*1.4*1.5*1.6*1.6*2.2*2.715*2.6*1.4*1.4,8430000000*(1.651435^(MIN($E2340,123)-117)))*1,0))</f>
        <v>1871729653</v>
      </c>
      <c r="AC2340" s="11">
        <f>$E2340+21</f>
        <v>135</v>
      </c>
      <c r="AD2340" s="12">
        <f>IF($J2340=0,0,ROUND(MAX($J2340*1.4*1.5*1.6*1.6*2.2*2.715*2.6*1.4*1.4*1.5,12600000000*(1.652953^(MIN($E2340,123)-117)))*1,0))</f>
        <v>2789902525</v>
      </c>
      <c r="AE2340" s="13">
        <f>$E2340+24</f>
        <v>138</v>
      </c>
      <c r="AF2340" s="14">
        <f>IF($J2340=0,0,ROUND(MAX($J2340*1.4*1.5*1.6*1.6*2.2*2.715*2.6*1.4*1.4*1.5*1.5,18900000000*(1.65331^(MIN($E2340,123)-117)))*1,0))</f>
        <v>4182143461</v>
      </c>
      <c r="AG2340" s="11">
        <f>$E2340+27</f>
        <v>141</v>
      </c>
      <c r="AH2340" s="12">
        <f>IF($J2340=0,0,ROUND(MAX($J2340*1.4*1.5*1.6*1.6*2.2*2.715*2.6*1.4*1.4*1.5*1.5*3.2,60500000000*(1.654288^(MIN($E2340,123)-117)))*1,0))</f>
        <v>13363555336</v>
      </c>
    </row>
    <row r="2341" ht="28" customHeight="1" spans="1:34" x14ac:dyDescent="0.25">
      <c r="A2341">
        <v>2351</v>
      </c>
      <c r="B2341" t="s">
        <v>537</v>
      </c>
      <c r="C2341" s="10" t="s">
        <v>1421</v>
      </c>
      <c r="D2341" t="s">
        <v>75</v>
      </c>
      <c r="E2341">
        <v>114</v>
      </c>
      <c r="F2341" t="s">
        <v>59</v>
      </c>
      <c r="G2341" t="s">
        <v>374</v>
      </c>
      <c r="H2341">
        <v>26</v>
      </c>
      <c r="I2341" s="11">
        <v>114</v>
      </c>
      <c r="J2341" s="12">
        <v>595000</v>
      </c>
      <c r="K2341" s="13">
        <f>$E2341+1</f>
        <v>115</v>
      </c>
      <c r="L2341" s="14">
        <f>IF($J2341=0,0,ROUND(MAX($J2341*1.4,1620000*(1.497923^(MIN($E2341,123)-117)))*1,0))</f>
        <v>833000</v>
      </c>
      <c r="M2341" s="11">
        <f>$E2341+2</f>
        <v>116</v>
      </c>
      <c r="N2341" s="12">
        <f>IF($J2341=0,0,ROUND(MAX($J2341*1.4*1.5,2190000*(1.580994^(MIN($E2341,123)-117)))*1,0))</f>
        <v>1249500</v>
      </c>
      <c r="O2341" s="13">
        <f>$E2341+4</f>
        <v>118</v>
      </c>
      <c r="P2341" s="14">
        <f>IF($J2341=0,0,ROUND(MAX($J2341*1.4*1.5*1.6,3500000*(1.57975^(MIN($E2341,123)-117)))*1,0))</f>
        <v>1999200</v>
      </c>
      <c r="Q2341" s="11">
        <f>$E2341+6</f>
        <v>120</v>
      </c>
      <c r="R2341" s="12">
        <f>IF($J2341=0,0,ROUND(MAX($J2341*1.4*1.5*1.6*1.6,13100000*(1.429962^(MIN($E2341,123)-117)))*1,0))</f>
        <v>4480204</v>
      </c>
      <c r="S2341" s="13">
        <f>$E2341+8</f>
        <v>122</v>
      </c>
      <c r="T2341" s="14">
        <f>IF($J2341=0,0,ROUND(MAX($J2341*1.4*1.5*1.6*1.6*2.2,42600000*(1.576904^(MIN($E2341,123)-117)))*1,0))</f>
        <v>10864102</v>
      </c>
      <c r="U2341" s="11">
        <f>$E2341+11</f>
        <v>125</v>
      </c>
      <c r="V2341" s="12">
        <f>IF($J2341=0,0,ROUND(MAX($J2341*1.4*1.5*1.6*1.6*2.2*2.715,354000000*(1.642074^(MIN($E2341,123)-117)))*1,0))</f>
        <v>79951219</v>
      </c>
      <c r="W2341" s="13">
        <f>$E2341+15</f>
        <v>129</v>
      </c>
      <c r="X2341" s="14">
        <f>IF($J2341=0,0,ROUND(MAX($J2341*1.4*1.5*1.6*1.6*2.2*2.715*2.6,3540000000*(1.579646^(MIN($E2341,123)-117)))*1,0))</f>
        <v>898098448</v>
      </c>
      <c r="Y2341" s="11">
        <f>$E2341+17</f>
        <v>131</v>
      </c>
      <c r="Z2341" s="12">
        <f>IF($J2341=0,0,ROUND(MAX($J2341*1.4*1.5*1.6*1.6*2.2*2.715*2.6*1.4,6020000000*(1.651178^(MIN($E2341,123)-117)))*1,0))</f>
        <v>1337256787</v>
      </c>
      <c r="AA2341" s="13">
        <f>$E2341+19</f>
        <v>133</v>
      </c>
      <c r="AB2341" s="14">
        <f>IF($J2341=0,0,ROUND(MAX($J2341*1.4*1.5*1.6*1.6*2.2*2.715*2.6*1.4*1.4,8430000000*(1.651435^(MIN($E2341,123)-117)))*1,0))</f>
        <v>1871729653</v>
      </c>
      <c r="AC2341" s="11">
        <f>$E2341+21</f>
        <v>135</v>
      </c>
      <c r="AD2341" s="12">
        <f>IF($J2341=0,0,ROUND(MAX($J2341*1.4*1.5*1.6*1.6*2.2*2.715*2.6*1.4*1.4*1.5,12600000000*(1.652953^(MIN($E2341,123)-117)))*1,0))</f>
        <v>2789902525</v>
      </c>
      <c r="AE2341" s="13">
        <f>$E2341+24</f>
        <v>138</v>
      </c>
      <c r="AF2341" s="14">
        <f>IF($J2341=0,0,ROUND(MAX($J2341*1.4*1.5*1.6*1.6*2.2*2.715*2.6*1.4*1.4*1.5*1.5,18900000000*(1.65331^(MIN($E2341,123)-117)))*1,0))</f>
        <v>4182143461</v>
      </c>
      <c r="AG2341" s="11">
        <f>$E2341+27</f>
        <v>141</v>
      </c>
      <c r="AH2341" s="12">
        <f>IF($J2341=0,0,ROUND(MAX($J2341*1.4*1.5*1.6*1.6*2.2*2.715*2.6*1.4*1.4*1.5*1.5*3.2,60500000000*(1.654288^(MIN($E2341,123)-117)))*1,0))</f>
        <v>13363555336</v>
      </c>
    </row>
    <row r="2342" ht="28" customHeight="1" spans="1:34" x14ac:dyDescent="0.25">
      <c r="A2342">
        <v>2352</v>
      </c>
      <c r="B2342" t="s">
        <v>1214</v>
      </c>
      <c r="C2342" s="10" t="s">
        <v>1421</v>
      </c>
      <c r="D2342" t="s">
        <v>40</v>
      </c>
      <c r="E2342">
        <v>113</v>
      </c>
      <c r="F2342" t="s">
        <v>412</v>
      </c>
      <c r="G2342" t="s">
        <v>35</v>
      </c>
      <c r="H2342">
        <v>27</v>
      </c>
      <c r="I2342" s="11">
        <v>113</v>
      </c>
      <c r="J2342" s="12">
        <v>151000</v>
      </c>
      <c r="K2342" s="13">
        <f>$E2342+1</f>
        <v>114</v>
      </c>
      <c r="L2342" s="14">
        <f>IF($J2342=0,0,ROUND(MAX($J2342*1.4,1620000*(1.497923^(MIN($E2342,123)-117)))*1,0))</f>
        <v>321779</v>
      </c>
      <c r="M2342" s="11">
        <f>$E2342+2</f>
        <v>115</v>
      </c>
      <c r="N2342" s="12">
        <f>IF($J2342=0,0,ROUND(MAX($J2342*1.4*1.5,2190000*(1.580994^(MIN($E2342,123)-117)))*1,0))</f>
        <v>350528</v>
      </c>
      <c r="O2342" s="13">
        <f>$E2342+4</f>
        <v>117</v>
      </c>
      <c r="P2342" s="14">
        <f>IF($J2342=0,0,ROUND(MAX($J2342*1.4*1.5*1.6,3500000*(1.57975^(MIN($E2342,123)-117)))*1,0))</f>
        <v>561972</v>
      </c>
      <c r="Q2342" s="11">
        <f>$E2342+6</f>
        <v>119</v>
      </c>
      <c r="R2342" s="12">
        <f>IF($J2342=0,0,ROUND(MAX($J2342*1.4*1.5*1.6*1.6,13100000*(1.429962^(MIN($E2342,123)-117)))*1,0))</f>
        <v>3133093</v>
      </c>
      <c r="S2342" s="13">
        <f>$E2342+8</f>
        <v>121</v>
      </c>
      <c r="T2342" s="14">
        <f>IF($J2342=0,0,ROUND(MAX($J2342*1.4*1.5*1.6*1.6*2.2,42600000*(1.576904^(MIN($E2342,123)-117)))*1,0))</f>
        <v>6889514</v>
      </c>
      <c r="U2342" s="11">
        <f>$E2342+11</f>
        <v>124</v>
      </c>
      <c r="V2342" s="12">
        <f>IF($J2342=0,0,ROUND(MAX($J2342*1.4*1.5*1.6*1.6*2.2*2.715,354000000*(1.642074^(MIN($E2342,123)-117)))*1,0))</f>
        <v>48689169</v>
      </c>
      <c r="W2342" s="13">
        <f>$E2342+15</f>
        <v>128</v>
      </c>
      <c r="X2342" s="14">
        <f>IF($J2342=0,0,ROUND(MAX($J2342*1.4*1.5*1.6*1.6*2.2*2.715*2.6,3540000000*(1.579646^(MIN($E2342,123)-117)))*1,0))</f>
        <v>568544122</v>
      </c>
      <c r="Y2342" s="11">
        <f>$E2342+17</f>
        <v>130</v>
      </c>
      <c r="Z2342" s="12">
        <f>IF($J2342=0,0,ROUND(MAX($J2342*1.4*1.5*1.6*1.6*2.2*2.715*2.6*1.4,6020000000*(1.651178^(MIN($E2342,123)-117)))*1,0))</f>
        <v>809880453</v>
      </c>
      <c r="AA2342" s="13">
        <f>$E2342+19</f>
        <v>132</v>
      </c>
      <c r="AB2342" s="14">
        <f>IF($J2342=0,0,ROUND(MAX($J2342*1.4*1.5*1.6*1.6*2.2*2.715*2.6*1.4*1.4,8430000000*(1.651435^(MIN($E2342,123)-117)))*1,0))</f>
        <v>1133395897</v>
      </c>
      <c r="AC2342" s="11">
        <f>$E2342+21</f>
        <v>134</v>
      </c>
      <c r="AD2342" s="12">
        <f>IF($J2342=0,0,ROUND(MAX($J2342*1.4*1.5*1.6*1.6*2.2*2.715*2.6*1.4*1.4*1.5,12600000000*(1.652953^(MIN($E2342,123)-117)))*1,0))</f>
        <v>1687829312</v>
      </c>
      <c r="AE2342" s="13">
        <f>$E2342+24</f>
        <v>137</v>
      </c>
      <c r="AF2342" s="14">
        <f>IF($J2342=0,0,ROUND(MAX($J2342*1.4*1.5*1.6*1.6*2.2*2.715*2.6*1.4*1.4*1.5*1.5,18900000000*(1.65331^(MIN($E2342,123)-117)))*1,0))</f>
        <v>2529557954</v>
      </c>
      <c r="AG2342" s="11">
        <f>$E2342+27</f>
        <v>140</v>
      </c>
      <c r="AH2342" s="12">
        <f>IF($J2342=0,0,ROUND(MAX($J2342*1.4*1.5*1.6*1.6*2.2*2.715*2.6*1.4*1.4*1.5*1.5*3.2,60500000000*(1.654288^(MIN($E2342,123)-117)))*1,0))</f>
        <v>8078131097</v>
      </c>
    </row>
    <row r="2343" ht="28" customHeight="1" spans="1:34" x14ac:dyDescent="0.25">
      <c r="A2343">
        <v>2353</v>
      </c>
      <c r="B2343" t="s">
        <v>1425</v>
      </c>
      <c r="C2343" s="10" t="s">
        <v>1421</v>
      </c>
      <c r="D2343" t="s">
        <v>64</v>
      </c>
      <c r="E2343">
        <v>113</v>
      </c>
      <c r="F2343" t="s">
        <v>88</v>
      </c>
      <c r="G2343" t="s">
        <v>748</v>
      </c>
      <c r="H2343">
        <v>27</v>
      </c>
      <c r="I2343" s="11">
        <v>113</v>
      </c>
      <c r="J2343" s="12">
        <v>193000</v>
      </c>
      <c r="K2343" s="13">
        <f>$E2343+1</f>
        <v>114</v>
      </c>
      <c r="L2343" s="14">
        <f>IF($J2343=0,0,ROUND(MAX($J2343*1.4,1620000*(1.497923^(MIN($E2343,123)-117)))*1,0))</f>
        <v>321779</v>
      </c>
      <c r="M2343" s="11">
        <f>$E2343+2</f>
        <v>115</v>
      </c>
      <c r="N2343" s="12">
        <f>IF($J2343=0,0,ROUND(MAX($J2343*1.4*1.5,2190000*(1.580994^(MIN($E2343,123)-117)))*1,0))</f>
        <v>405300</v>
      </c>
      <c r="O2343" s="13">
        <f>$E2343+4</f>
        <v>117</v>
      </c>
      <c r="P2343" s="14">
        <f>IF($J2343=0,0,ROUND(MAX($J2343*1.4*1.5*1.6,3500000*(1.57975^(MIN($E2343,123)-117)))*1,0))</f>
        <v>648480</v>
      </c>
      <c r="Q2343" s="11">
        <f>$E2343+6</f>
        <v>119</v>
      </c>
      <c r="R2343" s="12">
        <f>IF($J2343=0,0,ROUND(MAX($J2343*1.4*1.5*1.6*1.6,13100000*(1.429962^(MIN($E2343,123)-117)))*1,0))</f>
        <v>3133093</v>
      </c>
      <c r="S2343" s="13">
        <f>$E2343+8</f>
        <v>121</v>
      </c>
      <c r="T2343" s="14">
        <f>IF($J2343=0,0,ROUND(MAX($J2343*1.4*1.5*1.6*1.6*2.2,42600000*(1.576904^(MIN($E2343,123)-117)))*1,0))</f>
        <v>6889514</v>
      </c>
      <c r="U2343" s="11">
        <f>$E2343+11</f>
        <v>124</v>
      </c>
      <c r="V2343" s="12">
        <f>IF($J2343=0,0,ROUND(MAX($J2343*1.4*1.5*1.6*1.6*2.2*2.715,354000000*(1.642074^(MIN($E2343,123)-117)))*1,0))</f>
        <v>48689169</v>
      </c>
      <c r="W2343" s="13">
        <f>$E2343+15</f>
        <v>128</v>
      </c>
      <c r="X2343" s="14">
        <f>IF($J2343=0,0,ROUND(MAX($J2343*1.4*1.5*1.6*1.6*2.2*2.715*2.6,3540000000*(1.579646^(MIN($E2343,123)-117)))*1,0))</f>
        <v>568544122</v>
      </c>
      <c r="Y2343" s="11">
        <f>$E2343+17</f>
        <v>130</v>
      </c>
      <c r="Z2343" s="12">
        <f>IF($J2343=0,0,ROUND(MAX($J2343*1.4*1.5*1.6*1.6*2.2*2.715*2.6*1.4,6020000000*(1.651178^(MIN($E2343,123)-117)))*1,0))</f>
        <v>809880453</v>
      </c>
      <c r="AA2343" s="13">
        <f>$E2343+19</f>
        <v>132</v>
      </c>
      <c r="AB2343" s="14">
        <f>IF($J2343=0,0,ROUND(MAX($J2343*1.4*1.5*1.6*1.6*2.2*2.715*2.6*1.4*1.4,8430000000*(1.651435^(MIN($E2343,123)-117)))*1,0))</f>
        <v>1133395897</v>
      </c>
      <c r="AC2343" s="11">
        <f>$E2343+21</f>
        <v>134</v>
      </c>
      <c r="AD2343" s="12">
        <f>IF($J2343=0,0,ROUND(MAX($J2343*1.4*1.5*1.6*1.6*2.2*2.715*2.6*1.4*1.4*1.5,12600000000*(1.652953^(MIN($E2343,123)-117)))*1,0))</f>
        <v>1687829312</v>
      </c>
      <c r="AE2343" s="13">
        <f>$E2343+24</f>
        <v>137</v>
      </c>
      <c r="AF2343" s="14">
        <f>IF($J2343=0,0,ROUND(MAX($J2343*1.4*1.5*1.6*1.6*2.2*2.715*2.6*1.4*1.4*1.5*1.5,18900000000*(1.65331^(MIN($E2343,123)-117)))*1,0))</f>
        <v>2529557954</v>
      </c>
      <c r="AG2343" s="11">
        <f>$E2343+27</f>
        <v>140</v>
      </c>
      <c r="AH2343" s="12">
        <f>IF($J2343=0,0,ROUND(MAX($J2343*1.4*1.5*1.6*1.6*2.2*2.715*2.6*1.4*1.4*1.5*1.5*3.2,60500000000*(1.654288^(MIN($E2343,123)-117)))*1,0))</f>
        <v>8078131097</v>
      </c>
    </row>
    <row r="2344" ht="28" customHeight="1" spans="1:34" x14ac:dyDescent="0.25">
      <c r="A2344">
        <v>2354</v>
      </c>
      <c r="B2344" t="s">
        <v>1426</v>
      </c>
      <c r="C2344" s="10" t="s">
        <v>1421</v>
      </c>
      <c r="D2344" t="s">
        <v>40</v>
      </c>
      <c r="E2344">
        <v>113</v>
      </c>
      <c r="F2344" t="s">
        <v>146</v>
      </c>
      <c r="G2344" t="s">
        <v>1013</v>
      </c>
      <c r="H2344">
        <v>27</v>
      </c>
      <c r="I2344" s="11">
        <v>113</v>
      </c>
      <c r="J2344" s="12">
        <v>125000</v>
      </c>
      <c r="K2344" s="13">
        <f>$E2344+1</f>
        <v>114</v>
      </c>
      <c r="L2344" s="14">
        <f>IF($J2344=0,0,ROUND(MAX($J2344*1.4,1620000*(1.497923^(MIN($E2344,123)-117)))*1,0))</f>
        <v>321779</v>
      </c>
      <c r="M2344" s="11">
        <f>$E2344+2</f>
        <v>115</v>
      </c>
      <c r="N2344" s="12">
        <f>IF($J2344=0,0,ROUND(MAX($J2344*1.4*1.5,2190000*(1.580994^(MIN($E2344,123)-117)))*1,0))</f>
        <v>350528</v>
      </c>
      <c r="O2344" s="13">
        <f>$E2344+4</f>
        <v>117</v>
      </c>
      <c r="P2344" s="14">
        <f>IF($J2344=0,0,ROUND(MAX($J2344*1.4*1.5*1.6,3500000*(1.57975^(MIN($E2344,123)-117)))*1,0))</f>
        <v>561972</v>
      </c>
      <c r="Q2344" s="11">
        <f>$E2344+6</f>
        <v>119</v>
      </c>
      <c r="R2344" s="12">
        <f>IF($J2344=0,0,ROUND(MAX($J2344*1.4*1.5*1.6*1.6,13100000*(1.429962^(MIN($E2344,123)-117)))*1,0))</f>
        <v>3133093</v>
      </c>
      <c r="S2344" s="13">
        <f>$E2344+8</f>
        <v>121</v>
      </c>
      <c r="T2344" s="14">
        <f>IF($J2344=0,0,ROUND(MAX($J2344*1.4*1.5*1.6*1.6*2.2,42600000*(1.576904^(MIN($E2344,123)-117)))*1,0))</f>
        <v>6889514</v>
      </c>
      <c r="U2344" s="11">
        <f>$E2344+11</f>
        <v>124</v>
      </c>
      <c r="V2344" s="12">
        <f>IF($J2344=0,0,ROUND(MAX($J2344*1.4*1.5*1.6*1.6*2.2*2.715,354000000*(1.642074^(MIN($E2344,123)-117)))*1,0))</f>
        <v>48689169</v>
      </c>
      <c r="W2344" s="13">
        <f>$E2344+15</f>
        <v>128</v>
      </c>
      <c r="X2344" s="14">
        <f>IF($J2344=0,0,ROUND(MAX($J2344*1.4*1.5*1.6*1.6*2.2*2.715*2.6,3540000000*(1.579646^(MIN($E2344,123)-117)))*1,0))</f>
        <v>568544122</v>
      </c>
      <c r="Y2344" s="11">
        <f>$E2344+17</f>
        <v>130</v>
      </c>
      <c r="Z2344" s="12">
        <f>IF($J2344=0,0,ROUND(MAX($J2344*1.4*1.5*1.6*1.6*2.2*2.715*2.6*1.4,6020000000*(1.651178^(MIN($E2344,123)-117)))*1,0))</f>
        <v>809880453</v>
      </c>
      <c r="AA2344" s="13">
        <f>$E2344+19</f>
        <v>132</v>
      </c>
      <c r="AB2344" s="14">
        <f>IF($J2344=0,0,ROUND(MAX($J2344*1.4*1.5*1.6*1.6*2.2*2.715*2.6*1.4*1.4,8430000000*(1.651435^(MIN($E2344,123)-117)))*1,0))</f>
        <v>1133395897</v>
      </c>
      <c r="AC2344" s="11">
        <f>$E2344+21</f>
        <v>134</v>
      </c>
      <c r="AD2344" s="12">
        <f>IF($J2344=0,0,ROUND(MAX($J2344*1.4*1.5*1.6*1.6*2.2*2.715*2.6*1.4*1.4*1.5,12600000000*(1.652953^(MIN($E2344,123)-117)))*1,0))</f>
        <v>1687829312</v>
      </c>
      <c r="AE2344" s="13">
        <f>$E2344+24</f>
        <v>137</v>
      </c>
      <c r="AF2344" s="14">
        <f>IF($J2344=0,0,ROUND(MAX($J2344*1.4*1.5*1.6*1.6*2.2*2.715*2.6*1.4*1.4*1.5*1.5,18900000000*(1.65331^(MIN($E2344,123)-117)))*1,0))</f>
        <v>2529557954</v>
      </c>
      <c r="AG2344" s="11">
        <f>$E2344+27</f>
        <v>140</v>
      </c>
      <c r="AH2344" s="12">
        <f>IF($J2344=0,0,ROUND(MAX($J2344*1.4*1.5*1.6*1.6*2.2*2.715*2.6*1.4*1.4*1.5*1.5*3.2,60500000000*(1.654288^(MIN($E2344,123)-117)))*1,0))</f>
        <v>8078131097</v>
      </c>
    </row>
    <row r="2345" ht="28" customHeight="1" spans="1:34" x14ac:dyDescent="0.25">
      <c r="A2345">
        <v>2355</v>
      </c>
      <c r="B2345" t="s">
        <v>1427</v>
      </c>
      <c r="C2345" s="10" t="s">
        <v>1421</v>
      </c>
      <c r="D2345" t="s">
        <v>64</v>
      </c>
      <c r="E2345">
        <v>113</v>
      </c>
      <c r="F2345" t="s">
        <v>1296</v>
      </c>
      <c r="G2345" t="s">
        <v>104</v>
      </c>
      <c r="H2345">
        <v>27</v>
      </c>
      <c r="I2345" s="11">
        <v>113</v>
      </c>
      <c r="J2345" s="12">
        <v>156000</v>
      </c>
      <c r="K2345" s="13">
        <f>$E2345+1</f>
        <v>114</v>
      </c>
      <c r="L2345" s="14">
        <f>IF($J2345=0,0,ROUND(MAX($J2345*1.4,1620000*(1.497923^(MIN($E2345,123)-117)))*1,0))</f>
        <v>321779</v>
      </c>
      <c r="M2345" s="11">
        <f>$E2345+2</f>
        <v>115</v>
      </c>
      <c r="N2345" s="12">
        <f>IF($J2345=0,0,ROUND(MAX($J2345*1.4*1.5,2190000*(1.580994^(MIN($E2345,123)-117)))*1,0))</f>
        <v>350528</v>
      </c>
      <c r="O2345" s="13">
        <f>$E2345+4</f>
        <v>117</v>
      </c>
      <c r="P2345" s="14">
        <f>IF($J2345=0,0,ROUND(MAX($J2345*1.4*1.5*1.6,3500000*(1.57975^(MIN($E2345,123)-117)))*1,0))</f>
        <v>561972</v>
      </c>
      <c r="Q2345" s="11">
        <f>$E2345+6</f>
        <v>119</v>
      </c>
      <c r="R2345" s="12">
        <f>IF($J2345=0,0,ROUND(MAX($J2345*1.4*1.5*1.6*1.6,13100000*(1.429962^(MIN($E2345,123)-117)))*1,0))</f>
        <v>3133093</v>
      </c>
      <c r="S2345" s="13">
        <f>$E2345+8</f>
        <v>121</v>
      </c>
      <c r="T2345" s="14">
        <f>IF($J2345=0,0,ROUND(MAX($J2345*1.4*1.5*1.6*1.6*2.2,42600000*(1.576904^(MIN($E2345,123)-117)))*1,0))</f>
        <v>6889514</v>
      </c>
      <c r="U2345" s="11">
        <f>$E2345+11</f>
        <v>124</v>
      </c>
      <c r="V2345" s="12">
        <f>IF($J2345=0,0,ROUND(MAX($J2345*1.4*1.5*1.6*1.6*2.2*2.715,354000000*(1.642074^(MIN($E2345,123)-117)))*1,0))</f>
        <v>48689169</v>
      </c>
      <c r="W2345" s="13">
        <f>$E2345+15</f>
        <v>128</v>
      </c>
      <c r="X2345" s="14">
        <f>IF($J2345=0,0,ROUND(MAX($J2345*1.4*1.5*1.6*1.6*2.2*2.715*2.6,3540000000*(1.579646^(MIN($E2345,123)-117)))*1,0))</f>
        <v>568544122</v>
      </c>
      <c r="Y2345" s="11">
        <f>$E2345+17</f>
        <v>130</v>
      </c>
      <c r="Z2345" s="12">
        <f>IF($J2345=0,0,ROUND(MAX($J2345*1.4*1.5*1.6*1.6*2.2*2.715*2.6*1.4,6020000000*(1.651178^(MIN($E2345,123)-117)))*1,0))</f>
        <v>809880453</v>
      </c>
      <c r="AA2345" s="13">
        <f>$E2345+19</f>
        <v>132</v>
      </c>
      <c r="AB2345" s="14">
        <f>IF($J2345=0,0,ROUND(MAX($J2345*1.4*1.5*1.6*1.6*2.2*2.715*2.6*1.4*1.4,8430000000*(1.651435^(MIN($E2345,123)-117)))*1,0))</f>
        <v>1133395897</v>
      </c>
      <c r="AC2345" s="11">
        <f>$E2345+21</f>
        <v>134</v>
      </c>
      <c r="AD2345" s="12">
        <f>IF($J2345=0,0,ROUND(MAX($J2345*1.4*1.5*1.6*1.6*2.2*2.715*2.6*1.4*1.4*1.5,12600000000*(1.652953^(MIN($E2345,123)-117)))*1,0))</f>
        <v>1687829312</v>
      </c>
      <c r="AE2345" s="13">
        <f>$E2345+24</f>
        <v>137</v>
      </c>
      <c r="AF2345" s="14">
        <f>IF($J2345=0,0,ROUND(MAX($J2345*1.4*1.5*1.6*1.6*2.2*2.715*2.6*1.4*1.4*1.5*1.5,18900000000*(1.65331^(MIN($E2345,123)-117)))*1,0))</f>
        <v>2529557954</v>
      </c>
      <c r="AG2345" s="11">
        <f>$E2345+27</f>
        <v>140</v>
      </c>
      <c r="AH2345" s="12">
        <f>IF($J2345=0,0,ROUND(MAX($J2345*1.4*1.5*1.6*1.6*2.2*2.715*2.6*1.4*1.4*1.5*1.5*3.2,60500000000*(1.654288^(MIN($E2345,123)-117)))*1,0))</f>
        <v>8078131097</v>
      </c>
    </row>
    <row r="2346" ht="28" customHeight="1" spans="1:34" x14ac:dyDescent="0.25">
      <c r="A2346">
        <v>2356</v>
      </c>
      <c r="B2346" t="s">
        <v>1428</v>
      </c>
      <c r="C2346" s="10" t="s">
        <v>1421</v>
      </c>
      <c r="D2346" t="s">
        <v>40</v>
      </c>
      <c r="E2346">
        <v>113</v>
      </c>
      <c r="F2346" t="s">
        <v>34</v>
      </c>
      <c r="G2346" t="s">
        <v>762</v>
      </c>
      <c r="H2346">
        <v>27</v>
      </c>
      <c r="I2346" s="11">
        <v>113</v>
      </c>
      <c r="J2346" s="12">
        <v>119000</v>
      </c>
      <c r="K2346" s="13">
        <f>$E2346+1</f>
        <v>114</v>
      </c>
      <c r="L2346" s="14">
        <f>IF($J2346=0,0,ROUND(MAX($J2346*1.4,1620000*(1.497923^(MIN($E2346,123)-117)))*1,0))</f>
        <v>321779</v>
      </c>
      <c r="M2346" s="11">
        <f>$E2346+2</f>
        <v>115</v>
      </c>
      <c r="N2346" s="12">
        <f>IF($J2346=0,0,ROUND(MAX($J2346*1.4*1.5,2190000*(1.580994^(MIN($E2346,123)-117)))*1,0))</f>
        <v>350528</v>
      </c>
      <c r="O2346" s="13">
        <f>$E2346+4</f>
        <v>117</v>
      </c>
      <c r="P2346" s="14">
        <f>IF($J2346=0,0,ROUND(MAX($J2346*1.4*1.5*1.6,3500000*(1.57975^(MIN($E2346,123)-117)))*1,0))</f>
        <v>561972</v>
      </c>
      <c r="Q2346" s="11">
        <f>$E2346+6</f>
        <v>119</v>
      </c>
      <c r="R2346" s="12">
        <f>IF($J2346=0,0,ROUND(MAX($J2346*1.4*1.5*1.6*1.6,13100000*(1.429962^(MIN($E2346,123)-117)))*1,0))</f>
        <v>3133093</v>
      </c>
      <c r="S2346" s="13">
        <f>$E2346+8</f>
        <v>121</v>
      </c>
      <c r="T2346" s="14">
        <f>IF($J2346=0,0,ROUND(MAX($J2346*1.4*1.5*1.6*1.6*2.2,42600000*(1.576904^(MIN($E2346,123)-117)))*1,0))</f>
        <v>6889514</v>
      </c>
      <c r="U2346" s="11">
        <f>$E2346+11</f>
        <v>124</v>
      </c>
      <c r="V2346" s="12">
        <f>IF($J2346=0,0,ROUND(MAX($J2346*1.4*1.5*1.6*1.6*2.2*2.715,354000000*(1.642074^(MIN($E2346,123)-117)))*1,0))</f>
        <v>48689169</v>
      </c>
      <c r="W2346" s="13">
        <f>$E2346+15</f>
        <v>128</v>
      </c>
      <c r="X2346" s="14">
        <f>IF($J2346=0,0,ROUND(MAX($J2346*1.4*1.5*1.6*1.6*2.2*2.715*2.6,3540000000*(1.579646^(MIN($E2346,123)-117)))*1,0))</f>
        <v>568544122</v>
      </c>
      <c r="Y2346" s="11">
        <f>$E2346+17</f>
        <v>130</v>
      </c>
      <c r="Z2346" s="12">
        <f>IF($J2346=0,0,ROUND(MAX($J2346*1.4*1.5*1.6*1.6*2.2*2.715*2.6*1.4,6020000000*(1.651178^(MIN($E2346,123)-117)))*1,0))</f>
        <v>809880453</v>
      </c>
      <c r="AA2346" s="13">
        <f>$E2346+19</f>
        <v>132</v>
      </c>
      <c r="AB2346" s="14">
        <f>IF($J2346=0,0,ROUND(MAX($J2346*1.4*1.5*1.6*1.6*2.2*2.715*2.6*1.4*1.4,8430000000*(1.651435^(MIN($E2346,123)-117)))*1,0))</f>
        <v>1133395897</v>
      </c>
      <c r="AC2346" s="11">
        <f>$E2346+21</f>
        <v>134</v>
      </c>
      <c r="AD2346" s="12">
        <f>IF($J2346=0,0,ROUND(MAX($J2346*1.4*1.5*1.6*1.6*2.2*2.715*2.6*1.4*1.4*1.5,12600000000*(1.652953^(MIN($E2346,123)-117)))*1,0))</f>
        <v>1687829312</v>
      </c>
      <c r="AE2346" s="13">
        <f>$E2346+24</f>
        <v>137</v>
      </c>
      <c r="AF2346" s="14">
        <f>IF($J2346=0,0,ROUND(MAX($J2346*1.4*1.5*1.6*1.6*2.2*2.715*2.6*1.4*1.4*1.5*1.5,18900000000*(1.65331^(MIN($E2346,123)-117)))*1,0))</f>
        <v>2529557954</v>
      </c>
      <c r="AG2346" s="11">
        <f>$E2346+27</f>
        <v>140</v>
      </c>
      <c r="AH2346" s="12">
        <f>IF($J2346=0,0,ROUND(MAX($J2346*1.4*1.5*1.6*1.6*2.2*2.715*2.6*1.4*1.4*1.5*1.5*3.2,60500000000*(1.654288^(MIN($E2346,123)-117)))*1,0))</f>
        <v>8078131097</v>
      </c>
    </row>
    <row r="2347" ht="28" customHeight="1" spans="1:34" x14ac:dyDescent="0.25">
      <c r="A2347">
        <v>2357</v>
      </c>
      <c r="B2347" t="s">
        <v>923</v>
      </c>
      <c r="C2347" s="10" t="s">
        <v>1421</v>
      </c>
      <c r="D2347" t="s">
        <v>40</v>
      </c>
      <c r="E2347">
        <v>113</v>
      </c>
      <c r="F2347" t="s">
        <v>71</v>
      </c>
      <c r="G2347" t="s">
        <v>326</v>
      </c>
      <c r="H2347">
        <v>27</v>
      </c>
      <c r="I2347" s="11">
        <v>113</v>
      </c>
      <c r="J2347" s="12">
        <v>117000</v>
      </c>
      <c r="K2347" s="13">
        <f>$E2347+1</f>
        <v>114</v>
      </c>
      <c r="L2347" s="14">
        <f>IF($J2347=0,0,ROUND(MAX($J2347*1.4,1620000*(1.497923^(MIN($E2347,123)-117)))*1,0))</f>
        <v>321779</v>
      </c>
      <c r="M2347" s="11">
        <f>$E2347+2</f>
        <v>115</v>
      </c>
      <c r="N2347" s="12">
        <f>IF($J2347=0,0,ROUND(MAX($J2347*1.4*1.5,2190000*(1.580994^(MIN($E2347,123)-117)))*1,0))</f>
        <v>350528</v>
      </c>
      <c r="O2347" s="13">
        <f>$E2347+4</f>
        <v>117</v>
      </c>
      <c r="P2347" s="14">
        <f>IF($J2347=0,0,ROUND(MAX($J2347*1.4*1.5*1.6,3500000*(1.57975^(MIN($E2347,123)-117)))*1,0))</f>
        <v>561972</v>
      </c>
      <c r="Q2347" s="11">
        <f>$E2347+6</f>
        <v>119</v>
      </c>
      <c r="R2347" s="12">
        <f>IF($J2347=0,0,ROUND(MAX($J2347*1.4*1.5*1.6*1.6,13100000*(1.429962^(MIN($E2347,123)-117)))*1,0))</f>
        <v>3133093</v>
      </c>
      <c r="S2347" s="13">
        <f>$E2347+8</f>
        <v>121</v>
      </c>
      <c r="T2347" s="14">
        <f>IF($J2347=0,0,ROUND(MAX($J2347*1.4*1.5*1.6*1.6*2.2,42600000*(1.576904^(MIN($E2347,123)-117)))*1,0))</f>
        <v>6889514</v>
      </c>
      <c r="U2347" s="11">
        <f>$E2347+11</f>
        <v>124</v>
      </c>
      <c r="V2347" s="12">
        <f>IF($J2347=0,0,ROUND(MAX($J2347*1.4*1.5*1.6*1.6*2.2*2.715,354000000*(1.642074^(MIN($E2347,123)-117)))*1,0))</f>
        <v>48689169</v>
      </c>
      <c r="W2347" s="13">
        <f>$E2347+15</f>
        <v>128</v>
      </c>
      <c r="X2347" s="14">
        <f>IF($J2347=0,0,ROUND(MAX($J2347*1.4*1.5*1.6*1.6*2.2*2.715*2.6,3540000000*(1.579646^(MIN($E2347,123)-117)))*1,0))</f>
        <v>568544122</v>
      </c>
      <c r="Y2347" s="11">
        <f>$E2347+17</f>
        <v>130</v>
      </c>
      <c r="Z2347" s="12">
        <f>IF($J2347=0,0,ROUND(MAX($J2347*1.4*1.5*1.6*1.6*2.2*2.715*2.6*1.4,6020000000*(1.651178^(MIN($E2347,123)-117)))*1,0))</f>
        <v>809880453</v>
      </c>
      <c r="AA2347" s="13">
        <f>$E2347+19</f>
        <v>132</v>
      </c>
      <c r="AB2347" s="14">
        <f>IF($J2347=0,0,ROUND(MAX($J2347*1.4*1.5*1.6*1.6*2.2*2.715*2.6*1.4*1.4,8430000000*(1.651435^(MIN($E2347,123)-117)))*1,0))</f>
        <v>1133395897</v>
      </c>
      <c r="AC2347" s="11">
        <f>$E2347+21</f>
        <v>134</v>
      </c>
      <c r="AD2347" s="12">
        <f>IF($J2347=0,0,ROUND(MAX($J2347*1.4*1.5*1.6*1.6*2.2*2.715*2.6*1.4*1.4*1.5,12600000000*(1.652953^(MIN($E2347,123)-117)))*1,0))</f>
        <v>1687829312</v>
      </c>
      <c r="AE2347" s="13">
        <f>$E2347+24</f>
        <v>137</v>
      </c>
      <c r="AF2347" s="14">
        <f>IF($J2347=0,0,ROUND(MAX($J2347*1.4*1.5*1.6*1.6*2.2*2.715*2.6*1.4*1.4*1.5*1.5,18900000000*(1.65331^(MIN($E2347,123)-117)))*1,0))</f>
        <v>2529557954</v>
      </c>
      <c r="AG2347" s="11">
        <f>$E2347+27</f>
        <v>140</v>
      </c>
      <c r="AH2347" s="12">
        <f>IF($J2347=0,0,ROUND(MAX($J2347*1.4*1.5*1.6*1.6*2.2*2.715*2.6*1.4*1.4*1.5*1.5*3.2,60500000000*(1.654288^(MIN($E2347,123)-117)))*1,0))</f>
        <v>8078131097</v>
      </c>
    </row>
    <row r="2348" ht="28" customHeight="1" spans="1:34" x14ac:dyDescent="0.25">
      <c r="A2348">
        <v>2358</v>
      </c>
      <c r="B2348" t="s">
        <v>1021</v>
      </c>
      <c r="C2348" s="10" t="s">
        <v>1421</v>
      </c>
      <c r="D2348" t="s">
        <v>40</v>
      </c>
      <c r="E2348">
        <v>113</v>
      </c>
      <c r="F2348" t="s">
        <v>34</v>
      </c>
      <c r="G2348" t="s">
        <v>126</v>
      </c>
      <c r="H2348">
        <v>27</v>
      </c>
      <c r="I2348" s="11">
        <v>113</v>
      </c>
      <c r="J2348" s="12">
        <v>182000</v>
      </c>
      <c r="K2348" s="13">
        <f>$E2348+1</f>
        <v>114</v>
      </c>
      <c r="L2348" s="14">
        <f>IF($J2348=0,0,ROUND(MAX($J2348*1.4,1620000*(1.497923^(MIN($E2348,123)-117)))*1,0))</f>
        <v>321779</v>
      </c>
      <c r="M2348" s="11">
        <f>$E2348+2</f>
        <v>115</v>
      </c>
      <c r="N2348" s="12">
        <f>IF($J2348=0,0,ROUND(MAX($J2348*1.4*1.5,2190000*(1.580994^(MIN($E2348,123)-117)))*1,0))</f>
        <v>382200</v>
      </c>
      <c r="O2348" s="13">
        <f>$E2348+4</f>
        <v>117</v>
      </c>
      <c r="P2348" s="14">
        <f>IF($J2348=0,0,ROUND(MAX($J2348*1.4*1.5*1.6,3500000*(1.57975^(MIN($E2348,123)-117)))*1,0))</f>
        <v>611520</v>
      </c>
      <c r="Q2348" s="11">
        <f>$E2348+6</f>
        <v>119</v>
      </c>
      <c r="R2348" s="12">
        <f>IF($J2348=0,0,ROUND(MAX($J2348*1.4*1.5*1.6*1.6,13100000*(1.429962^(MIN($E2348,123)-117)))*1,0))</f>
        <v>3133093</v>
      </c>
      <c r="S2348" s="13">
        <f>$E2348+8</f>
        <v>121</v>
      </c>
      <c r="T2348" s="14">
        <f>IF($J2348=0,0,ROUND(MAX($J2348*1.4*1.5*1.6*1.6*2.2,42600000*(1.576904^(MIN($E2348,123)-117)))*1,0))</f>
        <v>6889514</v>
      </c>
      <c r="U2348" s="11">
        <f>$E2348+11</f>
        <v>124</v>
      </c>
      <c r="V2348" s="12">
        <f>IF($J2348=0,0,ROUND(MAX($J2348*1.4*1.5*1.6*1.6*2.2*2.715,354000000*(1.642074^(MIN($E2348,123)-117)))*1,0))</f>
        <v>48689169</v>
      </c>
      <c r="W2348" s="13">
        <f>$E2348+15</f>
        <v>128</v>
      </c>
      <c r="X2348" s="14">
        <f>IF($J2348=0,0,ROUND(MAX($J2348*1.4*1.5*1.6*1.6*2.2*2.715*2.6,3540000000*(1.579646^(MIN($E2348,123)-117)))*1,0))</f>
        <v>568544122</v>
      </c>
      <c r="Y2348" s="11">
        <f>$E2348+17</f>
        <v>130</v>
      </c>
      <c r="Z2348" s="12">
        <f>IF($J2348=0,0,ROUND(MAX($J2348*1.4*1.5*1.6*1.6*2.2*2.715*2.6*1.4,6020000000*(1.651178^(MIN($E2348,123)-117)))*1,0))</f>
        <v>809880453</v>
      </c>
      <c r="AA2348" s="13">
        <f>$E2348+19</f>
        <v>132</v>
      </c>
      <c r="AB2348" s="14">
        <f>IF($J2348=0,0,ROUND(MAX($J2348*1.4*1.5*1.6*1.6*2.2*2.715*2.6*1.4*1.4,8430000000*(1.651435^(MIN($E2348,123)-117)))*1,0))</f>
        <v>1133395897</v>
      </c>
      <c r="AC2348" s="11">
        <f>$E2348+21</f>
        <v>134</v>
      </c>
      <c r="AD2348" s="12">
        <f>IF($J2348=0,0,ROUND(MAX($J2348*1.4*1.5*1.6*1.6*2.2*2.715*2.6*1.4*1.4*1.5,12600000000*(1.652953^(MIN($E2348,123)-117)))*1,0))</f>
        <v>1687829312</v>
      </c>
      <c r="AE2348" s="13">
        <f>$E2348+24</f>
        <v>137</v>
      </c>
      <c r="AF2348" s="14">
        <f>IF($J2348=0,0,ROUND(MAX($J2348*1.4*1.5*1.6*1.6*2.2*2.715*2.6*1.4*1.4*1.5*1.5,18900000000*(1.65331^(MIN($E2348,123)-117)))*1,0))</f>
        <v>2529557954</v>
      </c>
      <c r="AG2348" s="11">
        <f>$E2348+27</f>
        <v>140</v>
      </c>
      <c r="AH2348" s="12">
        <f>IF($J2348=0,0,ROUND(MAX($J2348*1.4*1.5*1.6*1.6*2.2*2.715*2.6*1.4*1.4*1.5*1.5*3.2,60500000000*(1.654288^(MIN($E2348,123)-117)))*1,0))</f>
        <v>8078131097</v>
      </c>
    </row>
    <row r="2349" ht="28" customHeight="1" spans="1:34" x14ac:dyDescent="0.25">
      <c r="A2349">
        <v>2359</v>
      </c>
      <c r="B2349" t="s">
        <v>926</v>
      </c>
      <c r="C2349" s="10" t="s">
        <v>1421</v>
      </c>
      <c r="D2349" t="s">
        <v>29</v>
      </c>
      <c r="E2349">
        <v>113</v>
      </c>
      <c r="F2349" t="s">
        <v>71</v>
      </c>
      <c r="G2349" t="s">
        <v>398</v>
      </c>
      <c r="H2349">
        <v>27</v>
      </c>
      <c r="I2349" s="11">
        <v>113</v>
      </c>
      <c r="J2349" s="12">
        <v>162000</v>
      </c>
      <c r="K2349" s="13">
        <f>$E2349+1</f>
        <v>114</v>
      </c>
      <c r="L2349" s="14">
        <f>IF($J2349=0,0,ROUND(MAX($J2349*1.4,1620000*(1.497923^(MIN($E2349,123)-117)))*1,0))</f>
        <v>321779</v>
      </c>
      <c r="M2349" s="11">
        <f>$E2349+2</f>
        <v>115</v>
      </c>
      <c r="N2349" s="12">
        <f>IF($J2349=0,0,ROUND(MAX($J2349*1.4*1.5,2190000*(1.580994^(MIN($E2349,123)-117)))*1,0))</f>
        <v>350528</v>
      </c>
      <c r="O2349" s="13">
        <f>$E2349+4</f>
        <v>117</v>
      </c>
      <c r="P2349" s="14">
        <f>IF($J2349=0,0,ROUND(MAX($J2349*1.4*1.5*1.6,3500000*(1.57975^(MIN($E2349,123)-117)))*1,0))</f>
        <v>561972</v>
      </c>
      <c r="Q2349" s="11">
        <f>$E2349+6</f>
        <v>119</v>
      </c>
      <c r="R2349" s="12">
        <f>IF($J2349=0,0,ROUND(MAX($J2349*1.4*1.5*1.6*1.6,13100000*(1.429962^(MIN($E2349,123)-117)))*1,0))</f>
        <v>3133093</v>
      </c>
      <c r="S2349" s="13">
        <f>$E2349+8</f>
        <v>121</v>
      </c>
      <c r="T2349" s="14">
        <f>IF($J2349=0,0,ROUND(MAX($J2349*1.4*1.5*1.6*1.6*2.2,42600000*(1.576904^(MIN($E2349,123)-117)))*1,0))</f>
        <v>6889514</v>
      </c>
      <c r="U2349" s="11">
        <f>$E2349+11</f>
        <v>124</v>
      </c>
      <c r="V2349" s="12">
        <f>IF($J2349=0,0,ROUND(MAX($J2349*1.4*1.5*1.6*1.6*2.2*2.715,354000000*(1.642074^(MIN($E2349,123)-117)))*1,0))</f>
        <v>48689169</v>
      </c>
      <c r="W2349" s="13">
        <f>$E2349+15</f>
        <v>128</v>
      </c>
      <c r="X2349" s="14">
        <f>IF($J2349=0,0,ROUND(MAX($J2349*1.4*1.5*1.6*1.6*2.2*2.715*2.6,3540000000*(1.579646^(MIN($E2349,123)-117)))*1,0))</f>
        <v>568544122</v>
      </c>
      <c r="Y2349" s="11">
        <f>$E2349+17</f>
        <v>130</v>
      </c>
      <c r="Z2349" s="12">
        <f>IF($J2349=0,0,ROUND(MAX($J2349*1.4*1.5*1.6*1.6*2.2*2.715*2.6*1.4,6020000000*(1.651178^(MIN($E2349,123)-117)))*1,0))</f>
        <v>809880453</v>
      </c>
      <c r="AA2349" s="13">
        <f>$E2349+19</f>
        <v>132</v>
      </c>
      <c r="AB2349" s="14">
        <f>IF($J2349=0,0,ROUND(MAX($J2349*1.4*1.5*1.6*1.6*2.2*2.715*2.6*1.4*1.4,8430000000*(1.651435^(MIN($E2349,123)-117)))*1,0))</f>
        <v>1133395897</v>
      </c>
      <c r="AC2349" s="11">
        <f>$E2349+21</f>
        <v>134</v>
      </c>
      <c r="AD2349" s="12">
        <f>IF($J2349=0,0,ROUND(MAX($J2349*1.4*1.5*1.6*1.6*2.2*2.715*2.6*1.4*1.4*1.5,12600000000*(1.652953^(MIN($E2349,123)-117)))*1,0))</f>
        <v>1687829312</v>
      </c>
      <c r="AE2349" s="13">
        <f>$E2349+24</f>
        <v>137</v>
      </c>
      <c r="AF2349" s="14">
        <f>IF($J2349=0,0,ROUND(MAX($J2349*1.4*1.5*1.6*1.6*2.2*2.715*2.6*1.4*1.4*1.5*1.5,18900000000*(1.65331^(MIN($E2349,123)-117)))*1,0))</f>
        <v>2529557954</v>
      </c>
      <c r="AG2349" s="11">
        <f>$E2349+27</f>
        <v>140</v>
      </c>
      <c r="AH2349" s="12">
        <f>IF($J2349=0,0,ROUND(MAX($J2349*1.4*1.5*1.6*1.6*2.2*2.715*2.6*1.4*1.4*1.5*1.5*3.2,60500000000*(1.654288^(MIN($E2349,123)-117)))*1,0))</f>
        <v>8078131097</v>
      </c>
    </row>
    <row r="2350" ht="28" customHeight="1" spans="1:34" x14ac:dyDescent="0.25">
      <c r="A2350">
        <v>2360</v>
      </c>
      <c r="B2350" t="s">
        <v>230</v>
      </c>
      <c r="C2350" s="10" t="s">
        <v>1421</v>
      </c>
      <c r="D2350" t="s">
        <v>64</v>
      </c>
      <c r="E2350">
        <v>113</v>
      </c>
      <c r="F2350" t="s">
        <v>71</v>
      </c>
      <c r="G2350" t="s">
        <v>72</v>
      </c>
      <c r="H2350">
        <v>26</v>
      </c>
      <c r="I2350" s="11">
        <v>113</v>
      </c>
      <c r="J2350" s="12">
        <v>117000</v>
      </c>
      <c r="K2350" s="13">
        <f>$E2350+1</f>
        <v>114</v>
      </c>
      <c r="L2350" s="14">
        <f>IF($J2350=0,0,ROUND(MAX($J2350*1.4,1620000*(1.497923^(MIN($E2350,123)-117)))*1,0))</f>
        <v>321779</v>
      </c>
      <c r="M2350" s="11">
        <f>$E2350+2</f>
        <v>115</v>
      </c>
      <c r="N2350" s="12">
        <f>IF($J2350=0,0,ROUND(MAX($J2350*1.4*1.5,2190000*(1.580994^(MIN($E2350,123)-117)))*1,0))</f>
        <v>350528</v>
      </c>
      <c r="O2350" s="13">
        <f>$E2350+4</f>
        <v>117</v>
      </c>
      <c r="P2350" s="14">
        <f>IF($J2350=0,0,ROUND(MAX($J2350*1.4*1.5*1.6,3500000*(1.57975^(MIN($E2350,123)-117)))*1,0))</f>
        <v>561972</v>
      </c>
      <c r="Q2350" s="11">
        <f>$E2350+6</f>
        <v>119</v>
      </c>
      <c r="R2350" s="12">
        <f>IF($J2350=0,0,ROUND(MAX($J2350*1.4*1.5*1.6*1.6,13100000*(1.429962^(MIN($E2350,123)-117)))*1,0))</f>
        <v>3133093</v>
      </c>
      <c r="S2350" s="13">
        <f>$E2350+8</f>
        <v>121</v>
      </c>
      <c r="T2350" s="14">
        <f>IF($J2350=0,0,ROUND(MAX($J2350*1.4*1.5*1.6*1.6*2.2,42600000*(1.576904^(MIN($E2350,123)-117)))*1,0))</f>
        <v>6889514</v>
      </c>
      <c r="U2350" s="11">
        <f>$E2350+11</f>
        <v>124</v>
      </c>
      <c r="V2350" s="12">
        <f>IF($J2350=0,0,ROUND(MAX($J2350*1.4*1.5*1.6*1.6*2.2*2.715,354000000*(1.642074^(MIN($E2350,123)-117)))*1,0))</f>
        <v>48689169</v>
      </c>
      <c r="W2350" s="13">
        <f>$E2350+15</f>
        <v>128</v>
      </c>
      <c r="X2350" s="14">
        <f>IF($J2350=0,0,ROUND(MAX($J2350*1.4*1.5*1.6*1.6*2.2*2.715*2.6,3540000000*(1.579646^(MIN($E2350,123)-117)))*1,0))</f>
        <v>568544122</v>
      </c>
      <c r="Y2350" s="11">
        <f>$E2350+17</f>
        <v>130</v>
      </c>
      <c r="Z2350" s="12">
        <f>IF($J2350=0,0,ROUND(MAX($J2350*1.4*1.5*1.6*1.6*2.2*2.715*2.6*1.4,6020000000*(1.651178^(MIN($E2350,123)-117)))*1,0))</f>
        <v>809880453</v>
      </c>
      <c r="AA2350" s="13">
        <f>$E2350+19</f>
        <v>132</v>
      </c>
      <c r="AB2350" s="14">
        <f>IF($J2350=0,0,ROUND(MAX($J2350*1.4*1.5*1.6*1.6*2.2*2.715*2.6*1.4*1.4,8430000000*(1.651435^(MIN($E2350,123)-117)))*1,0))</f>
        <v>1133395897</v>
      </c>
      <c r="AC2350" s="11">
        <f>$E2350+21</f>
        <v>134</v>
      </c>
      <c r="AD2350" s="12">
        <f>IF($J2350=0,0,ROUND(MAX($J2350*1.4*1.5*1.6*1.6*2.2*2.715*2.6*1.4*1.4*1.5,12600000000*(1.652953^(MIN($E2350,123)-117)))*1,0))</f>
        <v>1687829312</v>
      </c>
      <c r="AE2350" s="13">
        <f>$E2350+24</f>
        <v>137</v>
      </c>
      <c r="AF2350" s="14">
        <f>IF($J2350=0,0,ROUND(MAX($J2350*1.4*1.5*1.6*1.6*2.2*2.715*2.6*1.4*1.4*1.5*1.5,18900000000*(1.65331^(MIN($E2350,123)-117)))*1,0))</f>
        <v>2529557954</v>
      </c>
      <c r="AG2350" s="11">
        <f>$E2350+27</f>
        <v>140</v>
      </c>
      <c r="AH2350" s="12">
        <f>IF($J2350=0,0,ROUND(MAX($J2350*1.4*1.5*1.6*1.6*2.2*2.715*2.6*1.4*1.4*1.5*1.5*3.2,60500000000*(1.654288^(MIN($E2350,123)-117)))*1,0))</f>
        <v>8078131097</v>
      </c>
    </row>
    <row r="2351" ht="28" customHeight="1" spans="1:34" x14ac:dyDescent="0.25">
      <c r="A2351">
        <v>2361</v>
      </c>
      <c r="B2351" t="s">
        <v>1248</v>
      </c>
      <c r="C2351" s="10" t="s">
        <v>1421</v>
      </c>
      <c r="D2351" t="s">
        <v>79</v>
      </c>
      <c r="E2351">
        <v>113</v>
      </c>
      <c r="F2351" t="s">
        <v>71</v>
      </c>
      <c r="G2351" t="s">
        <v>206</v>
      </c>
      <c r="H2351">
        <v>26</v>
      </c>
      <c r="I2351" s="11">
        <v>113</v>
      </c>
      <c r="J2351" s="12">
        <v>215000</v>
      </c>
      <c r="K2351" s="13">
        <f>$E2351+1</f>
        <v>114</v>
      </c>
      <c r="L2351" s="14">
        <f>IF($J2351=0,0,ROUND(MAX($J2351*1.4,1620000*(1.497923^(MIN($E2351,123)-117)))*1,0))</f>
        <v>321779</v>
      </c>
      <c r="M2351" s="11">
        <f>$E2351+2</f>
        <v>115</v>
      </c>
      <c r="N2351" s="12">
        <f>IF($J2351=0,0,ROUND(MAX($J2351*1.4*1.5,2190000*(1.580994^(MIN($E2351,123)-117)))*1,0))</f>
        <v>451500</v>
      </c>
      <c r="O2351" s="13">
        <f>$E2351+4</f>
        <v>117</v>
      </c>
      <c r="P2351" s="14">
        <f>IF($J2351=0,0,ROUND(MAX($J2351*1.4*1.5*1.6,3500000*(1.57975^(MIN($E2351,123)-117)))*1,0))</f>
        <v>722400</v>
      </c>
      <c r="Q2351" s="11">
        <f>$E2351+6</f>
        <v>119</v>
      </c>
      <c r="R2351" s="12">
        <f>IF($J2351=0,0,ROUND(MAX($J2351*1.4*1.5*1.6*1.6,13100000*(1.429962^(MIN($E2351,123)-117)))*1,0))</f>
        <v>3133093</v>
      </c>
      <c r="S2351" s="13">
        <f>$E2351+8</f>
        <v>121</v>
      </c>
      <c r="T2351" s="14">
        <f>IF($J2351=0,0,ROUND(MAX($J2351*1.4*1.5*1.6*1.6*2.2,42600000*(1.576904^(MIN($E2351,123)-117)))*1,0))</f>
        <v>6889514</v>
      </c>
      <c r="U2351" s="11">
        <f>$E2351+11</f>
        <v>124</v>
      </c>
      <c r="V2351" s="12">
        <f>IF($J2351=0,0,ROUND(MAX($J2351*1.4*1.5*1.6*1.6*2.2*2.715,354000000*(1.642074^(MIN($E2351,123)-117)))*1,0))</f>
        <v>48689169</v>
      </c>
      <c r="W2351" s="13">
        <f>$E2351+15</f>
        <v>128</v>
      </c>
      <c r="X2351" s="14">
        <f>IF($J2351=0,0,ROUND(MAX($J2351*1.4*1.5*1.6*1.6*2.2*2.715*2.6,3540000000*(1.579646^(MIN($E2351,123)-117)))*1,0))</f>
        <v>568544122</v>
      </c>
      <c r="Y2351" s="11">
        <f>$E2351+17</f>
        <v>130</v>
      </c>
      <c r="Z2351" s="12">
        <f>IF($J2351=0,0,ROUND(MAX($J2351*1.4*1.5*1.6*1.6*2.2*2.715*2.6*1.4,6020000000*(1.651178^(MIN($E2351,123)-117)))*1,0))</f>
        <v>809880453</v>
      </c>
      <c r="AA2351" s="13">
        <f>$E2351+19</f>
        <v>132</v>
      </c>
      <c r="AB2351" s="14">
        <f>IF($J2351=0,0,ROUND(MAX($J2351*1.4*1.5*1.6*1.6*2.2*2.715*2.6*1.4*1.4,8430000000*(1.651435^(MIN($E2351,123)-117)))*1,0))</f>
        <v>1133395897</v>
      </c>
      <c r="AC2351" s="11">
        <f>$E2351+21</f>
        <v>134</v>
      </c>
      <c r="AD2351" s="12">
        <f>IF($J2351=0,0,ROUND(MAX($J2351*1.4*1.5*1.6*1.6*2.2*2.715*2.6*1.4*1.4*1.5,12600000000*(1.652953^(MIN($E2351,123)-117)))*1,0))</f>
        <v>1687829312</v>
      </c>
      <c r="AE2351" s="13">
        <f>$E2351+24</f>
        <v>137</v>
      </c>
      <c r="AF2351" s="14">
        <f>IF($J2351=0,0,ROUND(MAX($J2351*1.4*1.5*1.6*1.6*2.2*2.715*2.6*1.4*1.4*1.5*1.5,18900000000*(1.65331^(MIN($E2351,123)-117)))*1,0))</f>
        <v>2529557954</v>
      </c>
      <c r="AG2351" s="11">
        <f>$E2351+27</f>
        <v>140</v>
      </c>
      <c r="AH2351" s="12">
        <f>IF($J2351=0,0,ROUND(MAX($J2351*1.4*1.5*1.6*1.6*2.2*2.715*2.6*1.4*1.4*1.5*1.5*3.2,60500000000*(1.654288^(MIN($E2351,123)-117)))*1,0))</f>
        <v>8078131097</v>
      </c>
    </row>
    <row r="2352" ht="28" customHeight="1" spans="1:34" x14ac:dyDescent="0.25">
      <c r="A2352">
        <v>2362</v>
      </c>
      <c r="B2352" t="s">
        <v>1211</v>
      </c>
      <c r="C2352" s="10" t="s">
        <v>1421</v>
      </c>
      <c r="D2352" t="s">
        <v>40</v>
      </c>
      <c r="E2352">
        <v>113</v>
      </c>
      <c r="F2352" t="s">
        <v>34</v>
      </c>
      <c r="G2352" t="s">
        <v>277</v>
      </c>
      <c r="H2352">
        <v>26</v>
      </c>
      <c r="I2352" s="11">
        <v>113</v>
      </c>
      <c r="J2352" s="12">
        <v>265000</v>
      </c>
      <c r="K2352" s="13">
        <f>$E2352+1</f>
        <v>114</v>
      </c>
      <c r="L2352" s="14">
        <f>IF($J2352=0,0,ROUND(MAX($J2352*1.4,1620000*(1.497923^(MIN($E2352,123)-117)))*1,0))</f>
        <v>371000</v>
      </c>
      <c r="M2352" s="11">
        <f>$E2352+2</f>
        <v>115</v>
      </c>
      <c r="N2352" s="12">
        <f>IF($J2352=0,0,ROUND(MAX($J2352*1.4*1.5,2190000*(1.580994^(MIN($E2352,123)-117)))*1,0))</f>
        <v>556500</v>
      </c>
      <c r="O2352" s="13">
        <f>$E2352+4</f>
        <v>117</v>
      </c>
      <c r="P2352" s="14">
        <f>IF($J2352=0,0,ROUND(MAX($J2352*1.4*1.5*1.6,3500000*(1.57975^(MIN($E2352,123)-117)))*1,0))</f>
        <v>890400</v>
      </c>
      <c r="Q2352" s="11">
        <f>$E2352+6</f>
        <v>119</v>
      </c>
      <c r="R2352" s="12">
        <f>IF($J2352=0,0,ROUND(MAX($J2352*1.4*1.5*1.6*1.6,13100000*(1.429962^(MIN($E2352,123)-117)))*1,0))</f>
        <v>3133093</v>
      </c>
      <c r="S2352" s="13">
        <f>$E2352+8</f>
        <v>121</v>
      </c>
      <c r="T2352" s="14">
        <f>IF($J2352=0,0,ROUND(MAX($J2352*1.4*1.5*1.6*1.6*2.2,42600000*(1.576904^(MIN($E2352,123)-117)))*1,0))</f>
        <v>6889514</v>
      </c>
      <c r="U2352" s="11">
        <f>$E2352+11</f>
        <v>124</v>
      </c>
      <c r="V2352" s="12">
        <f>IF($J2352=0,0,ROUND(MAX($J2352*1.4*1.5*1.6*1.6*2.2*2.715,354000000*(1.642074^(MIN($E2352,123)-117)))*1,0))</f>
        <v>48689169</v>
      </c>
      <c r="W2352" s="13">
        <f>$E2352+15</f>
        <v>128</v>
      </c>
      <c r="X2352" s="14">
        <f>IF($J2352=0,0,ROUND(MAX($J2352*1.4*1.5*1.6*1.6*2.2*2.715*2.6,3540000000*(1.579646^(MIN($E2352,123)-117)))*1,0))</f>
        <v>568544122</v>
      </c>
      <c r="Y2352" s="11">
        <f>$E2352+17</f>
        <v>130</v>
      </c>
      <c r="Z2352" s="12">
        <f>IF($J2352=0,0,ROUND(MAX($J2352*1.4*1.5*1.6*1.6*2.2*2.715*2.6*1.4,6020000000*(1.651178^(MIN($E2352,123)-117)))*1,0))</f>
        <v>809880453</v>
      </c>
      <c r="AA2352" s="13">
        <f>$E2352+19</f>
        <v>132</v>
      </c>
      <c r="AB2352" s="14">
        <f>IF($J2352=0,0,ROUND(MAX($J2352*1.4*1.5*1.6*1.6*2.2*2.715*2.6*1.4*1.4,8430000000*(1.651435^(MIN($E2352,123)-117)))*1,0))</f>
        <v>1133395897</v>
      </c>
      <c r="AC2352" s="11">
        <f>$E2352+21</f>
        <v>134</v>
      </c>
      <c r="AD2352" s="12">
        <f>IF($J2352=0,0,ROUND(MAX($J2352*1.4*1.5*1.6*1.6*2.2*2.715*2.6*1.4*1.4*1.5,12600000000*(1.652953^(MIN($E2352,123)-117)))*1,0))</f>
        <v>1687829312</v>
      </c>
      <c r="AE2352" s="13">
        <f>$E2352+24</f>
        <v>137</v>
      </c>
      <c r="AF2352" s="14">
        <f>IF($J2352=0,0,ROUND(MAX($J2352*1.4*1.5*1.6*1.6*2.2*2.715*2.6*1.4*1.4*1.5*1.5,18900000000*(1.65331^(MIN($E2352,123)-117)))*1,0))</f>
        <v>2529557954</v>
      </c>
      <c r="AG2352" s="11">
        <f>$E2352+27</f>
        <v>140</v>
      </c>
      <c r="AH2352" s="12">
        <f>IF($J2352=0,0,ROUND(MAX($J2352*1.4*1.5*1.6*1.6*2.2*2.715*2.6*1.4*1.4*1.5*1.5*3.2,60500000000*(1.654288^(MIN($E2352,123)-117)))*1,0))</f>
        <v>8078131097</v>
      </c>
    </row>
    <row r="2353" ht="28" customHeight="1" spans="1:34" x14ac:dyDescent="0.25">
      <c r="A2353">
        <v>2363</v>
      </c>
      <c r="B2353" t="s">
        <v>1429</v>
      </c>
      <c r="C2353" s="10" t="s">
        <v>1421</v>
      </c>
      <c r="D2353" t="s">
        <v>90</v>
      </c>
      <c r="E2353">
        <v>113</v>
      </c>
      <c r="F2353" t="s">
        <v>71</v>
      </c>
      <c r="G2353" t="s">
        <v>171</v>
      </c>
      <c r="H2353">
        <v>26</v>
      </c>
      <c r="I2353" s="11">
        <v>113</v>
      </c>
      <c r="J2353" s="12">
        <v>194000</v>
      </c>
      <c r="K2353" s="13">
        <f>$E2353+1</f>
        <v>114</v>
      </c>
      <c r="L2353" s="14">
        <f>IF($J2353=0,0,ROUND(MAX($J2353*1.4,1620000*(1.497923^(MIN($E2353,123)-117)))*1,0))</f>
        <v>321779</v>
      </c>
      <c r="M2353" s="11">
        <f>$E2353+2</f>
        <v>115</v>
      </c>
      <c r="N2353" s="12">
        <f>IF($J2353=0,0,ROUND(MAX($J2353*1.4*1.5,2190000*(1.580994^(MIN($E2353,123)-117)))*1,0))</f>
        <v>407400</v>
      </c>
      <c r="O2353" s="13">
        <f>$E2353+4</f>
        <v>117</v>
      </c>
      <c r="P2353" s="14">
        <f>IF($J2353=0,0,ROUND(MAX($J2353*1.4*1.5*1.6,3500000*(1.57975^(MIN($E2353,123)-117)))*1,0))</f>
        <v>651840</v>
      </c>
      <c r="Q2353" s="11">
        <f>$E2353+6</f>
        <v>119</v>
      </c>
      <c r="R2353" s="12">
        <f>IF($J2353=0,0,ROUND(MAX($J2353*1.4*1.5*1.6*1.6,13100000*(1.429962^(MIN($E2353,123)-117)))*1,0))</f>
        <v>3133093</v>
      </c>
      <c r="S2353" s="13">
        <f>$E2353+8</f>
        <v>121</v>
      </c>
      <c r="T2353" s="14">
        <f>IF($J2353=0,0,ROUND(MAX($J2353*1.4*1.5*1.6*1.6*2.2,42600000*(1.576904^(MIN($E2353,123)-117)))*1,0))</f>
        <v>6889514</v>
      </c>
      <c r="U2353" s="11">
        <f>$E2353+11</f>
        <v>124</v>
      </c>
      <c r="V2353" s="12">
        <f>IF($J2353=0,0,ROUND(MAX($J2353*1.4*1.5*1.6*1.6*2.2*2.715,354000000*(1.642074^(MIN($E2353,123)-117)))*1,0))</f>
        <v>48689169</v>
      </c>
      <c r="W2353" s="13">
        <f>$E2353+15</f>
        <v>128</v>
      </c>
      <c r="X2353" s="14">
        <f>IF($J2353=0,0,ROUND(MAX($J2353*1.4*1.5*1.6*1.6*2.2*2.715*2.6,3540000000*(1.579646^(MIN($E2353,123)-117)))*1,0))</f>
        <v>568544122</v>
      </c>
      <c r="Y2353" s="11">
        <f>$E2353+17</f>
        <v>130</v>
      </c>
      <c r="Z2353" s="12">
        <f>IF($J2353=0,0,ROUND(MAX($J2353*1.4*1.5*1.6*1.6*2.2*2.715*2.6*1.4,6020000000*(1.651178^(MIN($E2353,123)-117)))*1,0))</f>
        <v>809880453</v>
      </c>
      <c r="AA2353" s="13">
        <f>$E2353+19</f>
        <v>132</v>
      </c>
      <c r="AB2353" s="14">
        <f>IF($J2353=0,0,ROUND(MAX($J2353*1.4*1.5*1.6*1.6*2.2*2.715*2.6*1.4*1.4,8430000000*(1.651435^(MIN($E2353,123)-117)))*1,0))</f>
        <v>1133395897</v>
      </c>
      <c r="AC2353" s="11">
        <f>$E2353+21</f>
        <v>134</v>
      </c>
      <c r="AD2353" s="12">
        <f>IF($J2353=0,0,ROUND(MAX($J2353*1.4*1.5*1.6*1.6*2.2*2.715*2.6*1.4*1.4*1.5,12600000000*(1.652953^(MIN($E2353,123)-117)))*1,0))</f>
        <v>1687829312</v>
      </c>
      <c r="AE2353" s="13">
        <f>$E2353+24</f>
        <v>137</v>
      </c>
      <c r="AF2353" s="14">
        <f>IF($J2353=0,0,ROUND(MAX($J2353*1.4*1.5*1.6*1.6*2.2*2.715*2.6*1.4*1.4*1.5*1.5,18900000000*(1.65331^(MIN($E2353,123)-117)))*1,0))</f>
        <v>2529557954</v>
      </c>
      <c r="AG2353" s="11">
        <f>$E2353+27</f>
        <v>140</v>
      </c>
      <c r="AH2353" s="12">
        <f>IF($J2353=0,0,ROUND(MAX($J2353*1.4*1.5*1.6*1.6*2.2*2.715*2.6*1.4*1.4*1.5*1.5*3.2,60500000000*(1.654288^(MIN($E2353,123)-117)))*1,0))</f>
        <v>8078131097</v>
      </c>
    </row>
    <row r="2354" ht="28" customHeight="1" spans="1:34" x14ac:dyDescent="0.25">
      <c r="A2354">
        <v>2364</v>
      </c>
      <c r="B2354" t="s">
        <v>236</v>
      </c>
      <c r="C2354" s="10" t="s">
        <v>1421</v>
      </c>
      <c r="D2354" t="s">
        <v>79</v>
      </c>
      <c r="E2354">
        <v>113</v>
      </c>
      <c r="F2354" t="s">
        <v>237</v>
      </c>
      <c r="G2354" t="s">
        <v>35</v>
      </c>
      <c r="H2354">
        <v>26</v>
      </c>
      <c r="I2354" s="11">
        <v>113</v>
      </c>
      <c r="J2354" s="12">
        <v>108000</v>
      </c>
      <c r="K2354" s="13">
        <f>$E2354+1</f>
        <v>114</v>
      </c>
      <c r="L2354" s="14">
        <f>IF($J2354=0,0,ROUND(MAX($J2354*1.4,1620000*(1.497923^(MIN($E2354,123)-117)))*1,0))</f>
        <v>321779</v>
      </c>
      <c r="M2354" s="11">
        <f>$E2354+2</f>
        <v>115</v>
      </c>
      <c r="N2354" s="12">
        <f>IF($J2354=0,0,ROUND(MAX($J2354*1.4*1.5,2190000*(1.580994^(MIN($E2354,123)-117)))*1,0))</f>
        <v>350528</v>
      </c>
      <c r="O2354" s="13">
        <f>$E2354+4</f>
        <v>117</v>
      </c>
      <c r="P2354" s="14">
        <f>IF($J2354=0,0,ROUND(MAX($J2354*1.4*1.5*1.6,3500000*(1.57975^(MIN($E2354,123)-117)))*1,0))</f>
        <v>561972</v>
      </c>
      <c r="Q2354" s="11">
        <f>$E2354+6</f>
        <v>119</v>
      </c>
      <c r="R2354" s="12">
        <f>IF($J2354=0,0,ROUND(MAX($J2354*1.4*1.5*1.6*1.6,13100000*(1.429962^(MIN($E2354,123)-117)))*1,0))</f>
        <v>3133093</v>
      </c>
      <c r="S2354" s="13">
        <f>$E2354+8</f>
        <v>121</v>
      </c>
      <c r="T2354" s="14">
        <f>IF($J2354=0,0,ROUND(MAX($J2354*1.4*1.5*1.6*1.6*2.2,42600000*(1.576904^(MIN($E2354,123)-117)))*1,0))</f>
        <v>6889514</v>
      </c>
      <c r="U2354" s="11">
        <f>$E2354+11</f>
        <v>124</v>
      </c>
      <c r="V2354" s="12">
        <f>IF($J2354=0,0,ROUND(MAX($J2354*1.4*1.5*1.6*1.6*2.2*2.715,354000000*(1.642074^(MIN($E2354,123)-117)))*1,0))</f>
        <v>48689169</v>
      </c>
      <c r="W2354" s="13">
        <f>$E2354+15</f>
        <v>128</v>
      </c>
      <c r="X2354" s="14">
        <f>IF($J2354=0,0,ROUND(MAX($J2354*1.4*1.5*1.6*1.6*2.2*2.715*2.6,3540000000*(1.579646^(MIN($E2354,123)-117)))*1,0))</f>
        <v>568544122</v>
      </c>
      <c r="Y2354" s="11">
        <f>$E2354+17</f>
        <v>130</v>
      </c>
      <c r="Z2354" s="12">
        <f>IF($J2354=0,0,ROUND(MAX($J2354*1.4*1.5*1.6*1.6*2.2*2.715*2.6*1.4,6020000000*(1.651178^(MIN($E2354,123)-117)))*1,0))</f>
        <v>809880453</v>
      </c>
      <c r="AA2354" s="13">
        <f>$E2354+19</f>
        <v>132</v>
      </c>
      <c r="AB2354" s="14">
        <f>IF($J2354=0,0,ROUND(MAX($J2354*1.4*1.5*1.6*1.6*2.2*2.715*2.6*1.4*1.4,8430000000*(1.651435^(MIN($E2354,123)-117)))*1,0))</f>
        <v>1133395897</v>
      </c>
      <c r="AC2354" s="11">
        <f>$E2354+21</f>
        <v>134</v>
      </c>
      <c r="AD2354" s="12">
        <f>IF($J2354=0,0,ROUND(MAX($J2354*1.4*1.5*1.6*1.6*2.2*2.715*2.6*1.4*1.4*1.5,12600000000*(1.652953^(MIN($E2354,123)-117)))*1,0))</f>
        <v>1687829312</v>
      </c>
      <c r="AE2354" s="13">
        <f>$E2354+24</f>
        <v>137</v>
      </c>
      <c r="AF2354" s="14">
        <f>IF($J2354=0,0,ROUND(MAX($J2354*1.4*1.5*1.6*1.6*2.2*2.715*2.6*1.4*1.4*1.5*1.5,18900000000*(1.65331^(MIN($E2354,123)-117)))*1,0))</f>
        <v>2529557954</v>
      </c>
      <c r="AG2354" s="11">
        <f>$E2354+27</f>
        <v>140</v>
      </c>
      <c r="AH2354" s="12">
        <f>IF($J2354=0,0,ROUND(MAX($J2354*1.4*1.5*1.6*1.6*2.2*2.715*2.6*1.4*1.4*1.5*1.5*3.2,60500000000*(1.654288^(MIN($E2354,123)-117)))*1,0))</f>
        <v>8078131097</v>
      </c>
    </row>
    <row r="2355" ht="28" customHeight="1" spans="1:34" x14ac:dyDescent="0.25">
      <c r="A2355">
        <v>2365</v>
      </c>
      <c r="B2355" t="s">
        <v>548</v>
      </c>
      <c r="C2355" s="10" t="s">
        <v>1421</v>
      </c>
      <c r="D2355" t="s">
        <v>29</v>
      </c>
      <c r="E2355">
        <v>113</v>
      </c>
      <c r="F2355" t="s">
        <v>30</v>
      </c>
      <c r="G2355" t="s">
        <v>57</v>
      </c>
      <c r="H2355">
        <v>26</v>
      </c>
      <c r="I2355" s="11">
        <v>113</v>
      </c>
      <c r="J2355" s="12">
        <v>144000</v>
      </c>
      <c r="K2355" s="13">
        <f>$E2355+1</f>
        <v>114</v>
      </c>
      <c r="L2355" s="14">
        <f>IF($J2355=0,0,ROUND(MAX($J2355*1.4,1620000*(1.497923^(MIN($E2355,123)-117)))*1,0))</f>
        <v>321779</v>
      </c>
      <c r="M2355" s="11">
        <f>$E2355+2</f>
        <v>115</v>
      </c>
      <c r="N2355" s="12">
        <f>IF($J2355=0,0,ROUND(MAX($J2355*1.4*1.5,2190000*(1.580994^(MIN($E2355,123)-117)))*1,0))</f>
        <v>350528</v>
      </c>
      <c r="O2355" s="13">
        <f>$E2355+4</f>
        <v>117</v>
      </c>
      <c r="P2355" s="14">
        <f>IF($J2355=0,0,ROUND(MAX($J2355*1.4*1.5*1.6,3500000*(1.57975^(MIN($E2355,123)-117)))*1,0))</f>
        <v>561972</v>
      </c>
      <c r="Q2355" s="11">
        <f>$E2355+6</f>
        <v>119</v>
      </c>
      <c r="R2355" s="12">
        <f>IF($J2355=0,0,ROUND(MAX($J2355*1.4*1.5*1.6*1.6,13100000*(1.429962^(MIN($E2355,123)-117)))*1,0))</f>
        <v>3133093</v>
      </c>
      <c r="S2355" s="13">
        <f>$E2355+8</f>
        <v>121</v>
      </c>
      <c r="T2355" s="14">
        <f>IF($J2355=0,0,ROUND(MAX($J2355*1.4*1.5*1.6*1.6*2.2,42600000*(1.576904^(MIN($E2355,123)-117)))*1,0))</f>
        <v>6889514</v>
      </c>
      <c r="U2355" s="11">
        <f>$E2355+11</f>
        <v>124</v>
      </c>
      <c r="V2355" s="12">
        <f>IF($J2355=0,0,ROUND(MAX($J2355*1.4*1.5*1.6*1.6*2.2*2.715,354000000*(1.642074^(MIN($E2355,123)-117)))*1,0))</f>
        <v>48689169</v>
      </c>
      <c r="W2355" s="13">
        <f>$E2355+15</f>
        <v>128</v>
      </c>
      <c r="X2355" s="14">
        <f>IF($J2355=0,0,ROUND(MAX($J2355*1.4*1.5*1.6*1.6*2.2*2.715*2.6,3540000000*(1.579646^(MIN($E2355,123)-117)))*1,0))</f>
        <v>568544122</v>
      </c>
      <c r="Y2355" s="11">
        <f>$E2355+17</f>
        <v>130</v>
      </c>
      <c r="Z2355" s="12">
        <f>IF($J2355=0,0,ROUND(MAX($J2355*1.4*1.5*1.6*1.6*2.2*2.715*2.6*1.4,6020000000*(1.651178^(MIN($E2355,123)-117)))*1,0))</f>
        <v>809880453</v>
      </c>
      <c r="AA2355" s="13">
        <f>$E2355+19</f>
        <v>132</v>
      </c>
      <c r="AB2355" s="14">
        <f>IF($J2355=0,0,ROUND(MAX($J2355*1.4*1.5*1.6*1.6*2.2*2.715*2.6*1.4*1.4,8430000000*(1.651435^(MIN($E2355,123)-117)))*1,0))</f>
        <v>1133395897</v>
      </c>
      <c r="AC2355" s="11">
        <f>$E2355+21</f>
        <v>134</v>
      </c>
      <c r="AD2355" s="12">
        <f>IF($J2355=0,0,ROUND(MAX($J2355*1.4*1.5*1.6*1.6*2.2*2.715*2.6*1.4*1.4*1.5,12600000000*(1.652953^(MIN($E2355,123)-117)))*1,0))</f>
        <v>1687829312</v>
      </c>
      <c r="AE2355" s="13">
        <f>$E2355+24</f>
        <v>137</v>
      </c>
      <c r="AF2355" s="14">
        <f>IF($J2355=0,0,ROUND(MAX($J2355*1.4*1.5*1.6*1.6*2.2*2.715*2.6*1.4*1.4*1.5*1.5,18900000000*(1.65331^(MIN($E2355,123)-117)))*1,0))</f>
        <v>2529557954</v>
      </c>
      <c r="AG2355" s="11">
        <f>$E2355+27</f>
        <v>140</v>
      </c>
      <c r="AH2355" s="12">
        <f>IF($J2355=0,0,ROUND(MAX($J2355*1.4*1.5*1.6*1.6*2.2*2.715*2.6*1.4*1.4*1.5*1.5*3.2,60500000000*(1.654288^(MIN($E2355,123)-117)))*1,0))</f>
        <v>8078131097</v>
      </c>
    </row>
    <row r="2356" ht="28" customHeight="1" spans="1:34" x14ac:dyDescent="0.25">
      <c r="A2356">
        <v>2366</v>
      </c>
      <c r="B2356" t="s">
        <v>1270</v>
      </c>
      <c r="C2356" s="10" t="s">
        <v>1421</v>
      </c>
      <c r="D2356" t="s">
        <v>25</v>
      </c>
      <c r="E2356">
        <v>113</v>
      </c>
      <c r="F2356" t="s">
        <v>56</v>
      </c>
      <c r="G2356" t="s">
        <v>801</v>
      </c>
      <c r="H2356">
        <v>26</v>
      </c>
      <c r="I2356" s="11">
        <v>113</v>
      </c>
      <c r="J2356" s="12">
        <v>112000</v>
      </c>
      <c r="K2356" s="13">
        <f>$E2356+1</f>
        <v>114</v>
      </c>
      <c r="L2356" s="14">
        <f>IF($J2356=0,0,ROUND(MAX($J2356*1.4,1620000*(1.497923^(MIN($E2356,123)-117)))*1,0))</f>
        <v>321779</v>
      </c>
      <c r="M2356" s="11">
        <f>$E2356+2</f>
        <v>115</v>
      </c>
      <c r="N2356" s="12">
        <f>IF($J2356=0,0,ROUND(MAX($J2356*1.4*1.5,2190000*(1.580994^(MIN($E2356,123)-117)))*1,0))</f>
        <v>350528</v>
      </c>
      <c r="O2356" s="13">
        <f>$E2356+4</f>
        <v>117</v>
      </c>
      <c r="P2356" s="14">
        <f>IF($J2356=0,0,ROUND(MAX($J2356*1.4*1.5*1.6,3500000*(1.57975^(MIN($E2356,123)-117)))*1,0))</f>
        <v>561972</v>
      </c>
      <c r="Q2356" s="11">
        <f>$E2356+6</f>
        <v>119</v>
      </c>
      <c r="R2356" s="12">
        <f>IF($J2356=0,0,ROUND(MAX($J2356*1.4*1.5*1.6*1.6,13100000*(1.429962^(MIN($E2356,123)-117)))*1,0))</f>
        <v>3133093</v>
      </c>
      <c r="S2356" s="13">
        <f>$E2356+8</f>
        <v>121</v>
      </c>
      <c r="T2356" s="14">
        <f>IF($J2356=0,0,ROUND(MAX($J2356*1.4*1.5*1.6*1.6*2.2,42600000*(1.576904^(MIN($E2356,123)-117)))*1,0))</f>
        <v>6889514</v>
      </c>
      <c r="U2356" s="11">
        <f>$E2356+11</f>
        <v>124</v>
      </c>
      <c r="V2356" s="12">
        <f>IF($J2356=0,0,ROUND(MAX($J2356*1.4*1.5*1.6*1.6*2.2*2.715,354000000*(1.642074^(MIN($E2356,123)-117)))*1,0))</f>
        <v>48689169</v>
      </c>
      <c r="W2356" s="13">
        <f>$E2356+15</f>
        <v>128</v>
      </c>
      <c r="X2356" s="14">
        <f>IF($J2356=0,0,ROUND(MAX($J2356*1.4*1.5*1.6*1.6*2.2*2.715*2.6,3540000000*(1.579646^(MIN($E2356,123)-117)))*1,0))</f>
        <v>568544122</v>
      </c>
      <c r="Y2356" s="11">
        <f>$E2356+17</f>
        <v>130</v>
      </c>
      <c r="Z2356" s="12">
        <f>IF($J2356=0,0,ROUND(MAX($J2356*1.4*1.5*1.6*1.6*2.2*2.715*2.6*1.4,6020000000*(1.651178^(MIN($E2356,123)-117)))*1,0))</f>
        <v>809880453</v>
      </c>
      <c r="AA2356" s="13">
        <f>$E2356+19</f>
        <v>132</v>
      </c>
      <c r="AB2356" s="14">
        <f>IF($J2356=0,0,ROUND(MAX($J2356*1.4*1.5*1.6*1.6*2.2*2.715*2.6*1.4*1.4,8430000000*(1.651435^(MIN($E2356,123)-117)))*1,0))</f>
        <v>1133395897</v>
      </c>
      <c r="AC2356" s="11">
        <f>$E2356+21</f>
        <v>134</v>
      </c>
      <c r="AD2356" s="12">
        <f>IF($J2356=0,0,ROUND(MAX($J2356*1.4*1.5*1.6*1.6*2.2*2.715*2.6*1.4*1.4*1.5,12600000000*(1.652953^(MIN($E2356,123)-117)))*1,0))</f>
        <v>1687829312</v>
      </c>
      <c r="AE2356" s="13">
        <f>$E2356+24</f>
        <v>137</v>
      </c>
      <c r="AF2356" s="14">
        <f>IF($J2356=0,0,ROUND(MAX($J2356*1.4*1.5*1.6*1.6*2.2*2.715*2.6*1.4*1.4*1.5*1.5,18900000000*(1.65331^(MIN($E2356,123)-117)))*1,0))</f>
        <v>2529557954</v>
      </c>
      <c r="AG2356" s="11">
        <f>$E2356+27</f>
        <v>140</v>
      </c>
      <c r="AH2356" s="12">
        <f>IF($J2356=0,0,ROUND(MAX($J2356*1.4*1.5*1.6*1.6*2.2*2.715*2.6*1.4*1.4*1.5*1.5*3.2,60500000000*(1.654288^(MIN($E2356,123)-117)))*1,0))</f>
        <v>8078131097</v>
      </c>
    </row>
    <row r="2357" ht="28" customHeight="1" spans="1:34" x14ac:dyDescent="0.25">
      <c r="A2357">
        <v>2367</v>
      </c>
      <c r="B2357" t="s">
        <v>1430</v>
      </c>
      <c r="C2357" s="10" t="s">
        <v>1421</v>
      </c>
      <c r="D2357" t="s">
        <v>64</v>
      </c>
      <c r="E2357">
        <v>113</v>
      </c>
      <c r="F2357" t="s">
        <v>54</v>
      </c>
      <c r="G2357" t="s">
        <v>762</v>
      </c>
      <c r="H2357">
        <v>26</v>
      </c>
      <c r="I2357" s="11">
        <v>113</v>
      </c>
      <c r="J2357" s="12">
        <v>132000</v>
      </c>
      <c r="K2357" s="13">
        <f>$E2357+1</f>
        <v>114</v>
      </c>
      <c r="L2357" s="14">
        <f>IF($J2357=0,0,ROUND(MAX($J2357*1.4,1620000*(1.497923^(MIN($E2357,123)-117)))*1,0))</f>
        <v>321779</v>
      </c>
      <c r="M2357" s="11">
        <f>$E2357+2</f>
        <v>115</v>
      </c>
      <c r="N2357" s="12">
        <f>IF($J2357=0,0,ROUND(MAX($J2357*1.4*1.5,2190000*(1.580994^(MIN($E2357,123)-117)))*1,0))</f>
        <v>350528</v>
      </c>
      <c r="O2357" s="13">
        <f>$E2357+4</f>
        <v>117</v>
      </c>
      <c r="P2357" s="14">
        <f>IF($J2357=0,0,ROUND(MAX($J2357*1.4*1.5*1.6,3500000*(1.57975^(MIN($E2357,123)-117)))*1,0))</f>
        <v>561972</v>
      </c>
      <c r="Q2357" s="11">
        <f>$E2357+6</f>
        <v>119</v>
      </c>
      <c r="R2357" s="12">
        <f>IF($J2357=0,0,ROUND(MAX($J2357*1.4*1.5*1.6*1.6,13100000*(1.429962^(MIN($E2357,123)-117)))*1,0))</f>
        <v>3133093</v>
      </c>
      <c r="S2357" s="13">
        <f>$E2357+8</f>
        <v>121</v>
      </c>
      <c r="T2357" s="14">
        <f>IF($J2357=0,0,ROUND(MAX($J2357*1.4*1.5*1.6*1.6*2.2,42600000*(1.576904^(MIN($E2357,123)-117)))*1,0))</f>
        <v>6889514</v>
      </c>
      <c r="U2357" s="11">
        <f>$E2357+11</f>
        <v>124</v>
      </c>
      <c r="V2357" s="12">
        <f>IF($J2357=0,0,ROUND(MAX($J2357*1.4*1.5*1.6*1.6*2.2*2.715,354000000*(1.642074^(MIN($E2357,123)-117)))*1,0))</f>
        <v>48689169</v>
      </c>
      <c r="W2357" s="13">
        <f>$E2357+15</f>
        <v>128</v>
      </c>
      <c r="X2357" s="14">
        <f>IF($J2357=0,0,ROUND(MAX($J2357*1.4*1.5*1.6*1.6*2.2*2.715*2.6,3540000000*(1.579646^(MIN($E2357,123)-117)))*1,0))</f>
        <v>568544122</v>
      </c>
      <c r="Y2357" s="11">
        <f>$E2357+17</f>
        <v>130</v>
      </c>
      <c r="Z2357" s="12">
        <f>IF($J2357=0,0,ROUND(MAX($J2357*1.4*1.5*1.6*1.6*2.2*2.715*2.6*1.4,6020000000*(1.651178^(MIN($E2357,123)-117)))*1,0))</f>
        <v>809880453</v>
      </c>
      <c r="AA2357" s="13">
        <f>$E2357+19</f>
        <v>132</v>
      </c>
      <c r="AB2357" s="14">
        <f>IF($J2357=0,0,ROUND(MAX($J2357*1.4*1.5*1.6*1.6*2.2*2.715*2.6*1.4*1.4,8430000000*(1.651435^(MIN($E2357,123)-117)))*1,0))</f>
        <v>1133395897</v>
      </c>
      <c r="AC2357" s="11">
        <f>$E2357+21</f>
        <v>134</v>
      </c>
      <c r="AD2357" s="12">
        <f>IF($J2357=0,0,ROUND(MAX($J2357*1.4*1.5*1.6*1.6*2.2*2.715*2.6*1.4*1.4*1.5,12600000000*(1.652953^(MIN($E2357,123)-117)))*1,0))</f>
        <v>1687829312</v>
      </c>
      <c r="AE2357" s="13">
        <f>$E2357+24</f>
        <v>137</v>
      </c>
      <c r="AF2357" s="14">
        <f>IF($J2357=0,0,ROUND(MAX($J2357*1.4*1.5*1.6*1.6*2.2*2.715*2.6*1.4*1.4*1.5*1.5,18900000000*(1.65331^(MIN($E2357,123)-117)))*1,0))</f>
        <v>2529557954</v>
      </c>
      <c r="AG2357" s="11">
        <f>$E2357+27</f>
        <v>140</v>
      </c>
      <c r="AH2357" s="12">
        <f>IF($J2357=0,0,ROUND(MAX($J2357*1.4*1.5*1.6*1.6*2.2*2.715*2.6*1.4*1.4*1.5*1.5*3.2,60500000000*(1.654288^(MIN($E2357,123)-117)))*1,0))</f>
        <v>8078131097</v>
      </c>
    </row>
    <row r="2358" ht="28" customHeight="1" spans="1:34" x14ac:dyDescent="0.25">
      <c r="A2358">
        <v>2368</v>
      </c>
      <c r="B2358" t="s">
        <v>1431</v>
      </c>
      <c r="C2358" s="10" t="s">
        <v>1421</v>
      </c>
      <c r="D2358" t="s">
        <v>79</v>
      </c>
      <c r="E2358">
        <v>113</v>
      </c>
      <c r="F2358" t="s">
        <v>71</v>
      </c>
      <c r="G2358" t="s">
        <v>326</v>
      </c>
      <c r="H2358">
        <v>26</v>
      </c>
      <c r="I2358" s="11">
        <v>113</v>
      </c>
      <c r="J2358" s="12">
        <v>239000</v>
      </c>
      <c r="K2358" s="13">
        <f>$E2358+1</f>
        <v>114</v>
      </c>
      <c r="L2358" s="14">
        <f>IF($J2358=0,0,ROUND(MAX($J2358*1.4,1620000*(1.497923^(MIN($E2358,123)-117)))*1,0))</f>
        <v>334600</v>
      </c>
      <c r="M2358" s="11">
        <f>$E2358+2</f>
        <v>115</v>
      </c>
      <c r="N2358" s="12">
        <f>IF($J2358=0,0,ROUND(MAX($J2358*1.4*1.5,2190000*(1.580994^(MIN($E2358,123)-117)))*1,0))</f>
        <v>501900</v>
      </c>
      <c r="O2358" s="13">
        <f>$E2358+4</f>
        <v>117</v>
      </c>
      <c r="P2358" s="14">
        <f>IF($J2358=0,0,ROUND(MAX($J2358*1.4*1.5*1.6,3500000*(1.57975^(MIN($E2358,123)-117)))*1,0))</f>
        <v>803040</v>
      </c>
      <c r="Q2358" s="11">
        <f>$E2358+6</f>
        <v>119</v>
      </c>
      <c r="R2358" s="12">
        <f>IF($J2358=0,0,ROUND(MAX($J2358*1.4*1.5*1.6*1.6,13100000*(1.429962^(MIN($E2358,123)-117)))*1,0))</f>
        <v>3133093</v>
      </c>
      <c r="S2358" s="13">
        <f>$E2358+8</f>
        <v>121</v>
      </c>
      <c r="T2358" s="14">
        <f>IF($J2358=0,0,ROUND(MAX($J2358*1.4*1.5*1.6*1.6*2.2,42600000*(1.576904^(MIN($E2358,123)-117)))*1,0))</f>
        <v>6889514</v>
      </c>
      <c r="U2358" s="11">
        <f>$E2358+11</f>
        <v>124</v>
      </c>
      <c r="V2358" s="12">
        <f>IF($J2358=0,0,ROUND(MAX($J2358*1.4*1.5*1.6*1.6*2.2*2.715,354000000*(1.642074^(MIN($E2358,123)-117)))*1,0))</f>
        <v>48689169</v>
      </c>
      <c r="W2358" s="13">
        <f>$E2358+15</f>
        <v>128</v>
      </c>
      <c r="X2358" s="14">
        <f>IF($J2358=0,0,ROUND(MAX($J2358*1.4*1.5*1.6*1.6*2.2*2.715*2.6,3540000000*(1.579646^(MIN($E2358,123)-117)))*1,0))</f>
        <v>568544122</v>
      </c>
      <c r="Y2358" s="11">
        <f>$E2358+17</f>
        <v>130</v>
      </c>
      <c r="Z2358" s="12">
        <f>IF($J2358=0,0,ROUND(MAX($J2358*1.4*1.5*1.6*1.6*2.2*2.715*2.6*1.4,6020000000*(1.651178^(MIN($E2358,123)-117)))*1,0))</f>
        <v>809880453</v>
      </c>
      <c r="AA2358" s="13">
        <f>$E2358+19</f>
        <v>132</v>
      </c>
      <c r="AB2358" s="14">
        <f>IF($J2358=0,0,ROUND(MAX($J2358*1.4*1.5*1.6*1.6*2.2*2.715*2.6*1.4*1.4,8430000000*(1.651435^(MIN($E2358,123)-117)))*1,0))</f>
        <v>1133395897</v>
      </c>
      <c r="AC2358" s="11">
        <f>$E2358+21</f>
        <v>134</v>
      </c>
      <c r="AD2358" s="12">
        <f>IF($J2358=0,0,ROUND(MAX($J2358*1.4*1.5*1.6*1.6*2.2*2.715*2.6*1.4*1.4*1.5,12600000000*(1.652953^(MIN($E2358,123)-117)))*1,0))</f>
        <v>1687829312</v>
      </c>
      <c r="AE2358" s="13">
        <f>$E2358+24</f>
        <v>137</v>
      </c>
      <c r="AF2358" s="14">
        <f>IF($J2358=0,0,ROUND(MAX($J2358*1.4*1.5*1.6*1.6*2.2*2.715*2.6*1.4*1.4*1.5*1.5,18900000000*(1.65331^(MIN($E2358,123)-117)))*1,0))</f>
        <v>2529557954</v>
      </c>
      <c r="AG2358" s="11">
        <f>$E2358+27</f>
        <v>140</v>
      </c>
      <c r="AH2358" s="12">
        <f>IF($J2358=0,0,ROUND(MAX($J2358*1.4*1.5*1.6*1.6*2.2*2.715*2.6*1.4*1.4*1.5*1.5*3.2,60500000000*(1.654288^(MIN($E2358,123)-117)))*1,0))</f>
        <v>8078131097</v>
      </c>
    </row>
    <row r="2359" ht="28" customHeight="1" spans="1:34" x14ac:dyDescent="0.25">
      <c r="A2359">
        <v>2369</v>
      </c>
      <c r="B2359" t="s">
        <v>1320</v>
      </c>
      <c r="C2359" s="10" t="s">
        <v>1421</v>
      </c>
      <c r="D2359" t="s">
        <v>331</v>
      </c>
      <c r="E2359">
        <v>113</v>
      </c>
      <c r="F2359" t="s">
        <v>34</v>
      </c>
      <c r="G2359" t="s">
        <v>1321</v>
      </c>
      <c r="H2359">
        <v>26</v>
      </c>
      <c r="I2359" s="11">
        <v>113</v>
      </c>
      <c r="J2359" s="12">
        <v>167000</v>
      </c>
      <c r="K2359" s="13">
        <f>$E2359+1</f>
        <v>114</v>
      </c>
      <c r="L2359" s="14">
        <f>IF($J2359=0,0,ROUND(MAX($J2359*1.4,1620000*(1.497923^(MIN($E2359,123)-117)))*1,0))</f>
        <v>321779</v>
      </c>
      <c r="M2359" s="11">
        <f>$E2359+2</f>
        <v>115</v>
      </c>
      <c r="N2359" s="12">
        <f>IF($J2359=0,0,ROUND(MAX($J2359*1.4*1.5,2190000*(1.580994^(MIN($E2359,123)-117)))*1,0))</f>
        <v>350700</v>
      </c>
      <c r="O2359" s="13">
        <f>$E2359+4</f>
        <v>117</v>
      </c>
      <c r="P2359" s="14">
        <f>IF($J2359=0,0,ROUND(MAX($J2359*1.4*1.5*1.6,3500000*(1.57975^(MIN($E2359,123)-117)))*1,0))</f>
        <v>561972</v>
      </c>
      <c r="Q2359" s="11">
        <f>$E2359+6</f>
        <v>119</v>
      </c>
      <c r="R2359" s="12">
        <f>IF($J2359=0,0,ROUND(MAX($J2359*1.4*1.5*1.6*1.6,13100000*(1.429962^(MIN($E2359,123)-117)))*1,0))</f>
        <v>3133093</v>
      </c>
      <c r="S2359" s="13">
        <f>$E2359+8</f>
        <v>121</v>
      </c>
      <c r="T2359" s="14">
        <f>IF($J2359=0,0,ROUND(MAX($J2359*1.4*1.5*1.6*1.6*2.2,42600000*(1.576904^(MIN($E2359,123)-117)))*1,0))</f>
        <v>6889514</v>
      </c>
      <c r="U2359" s="11">
        <f>$E2359+11</f>
        <v>124</v>
      </c>
      <c r="V2359" s="12">
        <f>IF($J2359=0,0,ROUND(MAX($J2359*1.4*1.5*1.6*1.6*2.2*2.715,354000000*(1.642074^(MIN($E2359,123)-117)))*1,0))</f>
        <v>48689169</v>
      </c>
      <c r="W2359" s="13">
        <f>$E2359+15</f>
        <v>128</v>
      </c>
      <c r="X2359" s="14">
        <f>IF($J2359=0,0,ROUND(MAX($J2359*1.4*1.5*1.6*1.6*2.2*2.715*2.6,3540000000*(1.579646^(MIN($E2359,123)-117)))*1,0))</f>
        <v>568544122</v>
      </c>
      <c r="Y2359" s="11">
        <f>$E2359+17</f>
        <v>130</v>
      </c>
      <c r="Z2359" s="12">
        <f>IF($J2359=0,0,ROUND(MAX($J2359*1.4*1.5*1.6*1.6*2.2*2.715*2.6*1.4,6020000000*(1.651178^(MIN($E2359,123)-117)))*1,0))</f>
        <v>809880453</v>
      </c>
      <c r="AA2359" s="13">
        <f>$E2359+19</f>
        <v>132</v>
      </c>
      <c r="AB2359" s="14">
        <f>IF($J2359=0,0,ROUND(MAX($J2359*1.4*1.5*1.6*1.6*2.2*2.715*2.6*1.4*1.4,8430000000*(1.651435^(MIN($E2359,123)-117)))*1,0))</f>
        <v>1133395897</v>
      </c>
      <c r="AC2359" s="11">
        <f>$E2359+21</f>
        <v>134</v>
      </c>
      <c r="AD2359" s="12">
        <f>IF($J2359=0,0,ROUND(MAX($J2359*1.4*1.5*1.6*1.6*2.2*2.715*2.6*1.4*1.4*1.5,12600000000*(1.652953^(MIN($E2359,123)-117)))*1,0))</f>
        <v>1687829312</v>
      </c>
      <c r="AE2359" s="13">
        <f>$E2359+24</f>
        <v>137</v>
      </c>
      <c r="AF2359" s="14">
        <f>IF($J2359=0,0,ROUND(MAX($J2359*1.4*1.5*1.6*1.6*2.2*2.715*2.6*1.4*1.4*1.5*1.5,18900000000*(1.65331^(MIN($E2359,123)-117)))*1,0))</f>
        <v>2529557954</v>
      </c>
      <c r="AG2359" s="11">
        <f>$E2359+27</f>
        <v>140</v>
      </c>
      <c r="AH2359" s="12">
        <f>IF($J2359=0,0,ROUND(MAX($J2359*1.4*1.5*1.6*1.6*2.2*2.715*2.6*1.4*1.4*1.5*1.5*3.2,60500000000*(1.654288^(MIN($E2359,123)-117)))*1,0))</f>
        <v>8078131097</v>
      </c>
    </row>
    <row r="2360" ht="28" customHeight="1" spans="1:34" x14ac:dyDescent="0.25">
      <c r="A2360">
        <v>2370</v>
      </c>
      <c r="B2360" t="s">
        <v>1251</v>
      </c>
      <c r="C2360" s="10" t="s">
        <v>1421</v>
      </c>
      <c r="D2360" t="s">
        <v>33</v>
      </c>
      <c r="E2360">
        <v>113</v>
      </c>
      <c r="F2360" t="s">
        <v>56</v>
      </c>
      <c r="G2360" t="s">
        <v>586</v>
      </c>
      <c r="H2360">
        <v>26</v>
      </c>
      <c r="I2360" s="11">
        <v>113</v>
      </c>
      <c r="J2360" s="12">
        <v>162000</v>
      </c>
      <c r="K2360" s="13">
        <f>$E2360+1</f>
        <v>114</v>
      </c>
      <c r="L2360" s="14">
        <f>IF($J2360=0,0,ROUND(MAX($J2360*1.4,1620000*(1.497923^(MIN($E2360,123)-117)))*1,0))</f>
        <v>321779</v>
      </c>
      <c r="M2360" s="11">
        <f>$E2360+2</f>
        <v>115</v>
      </c>
      <c r="N2360" s="12">
        <f>IF($J2360=0,0,ROUND(MAX($J2360*1.4*1.5,2190000*(1.580994^(MIN($E2360,123)-117)))*1,0))</f>
        <v>350528</v>
      </c>
      <c r="O2360" s="13">
        <f>$E2360+4</f>
        <v>117</v>
      </c>
      <c r="P2360" s="14">
        <f>IF($J2360=0,0,ROUND(MAX($J2360*1.4*1.5*1.6,3500000*(1.57975^(MIN($E2360,123)-117)))*1,0))</f>
        <v>561972</v>
      </c>
      <c r="Q2360" s="11">
        <f>$E2360+6</f>
        <v>119</v>
      </c>
      <c r="R2360" s="12">
        <f>IF($J2360=0,0,ROUND(MAX($J2360*1.4*1.5*1.6*1.6,13100000*(1.429962^(MIN($E2360,123)-117)))*1,0))</f>
        <v>3133093</v>
      </c>
      <c r="S2360" s="13">
        <f>$E2360+8</f>
        <v>121</v>
      </c>
      <c r="T2360" s="14">
        <f>IF($J2360=0,0,ROUND(MAX($J2360*1.4*1.5*1.6*1.6*2.2,42600000*(1.576904^(MIN($E2360,123)-117)))*1,0))</f>
        <v>6889514</v>
      </c>
      <c r="U2360" s="11">
        <f>$E2360+11</f>
        <v>124</v>
      </c>
      <c r="V2360" s="12">
        <f>IF($J2360=0,0,ROUND(MAX($J2360*1.4*1.5*1.6*1.6*2.2*2.715,354000000*(1.642074^(MIN($E2360,123)-117)))*1,0))</f>
        <v>48689169</v>
      </c>
      <c r="W2360" s="13">
        <f>$E2360+15</f>
        <v>128</v>
      </c>
      <c r="X2360" s="14">
        <f>IF($J2360=0,0,ROUND(MAX($J2360*1.4*1.5*1.6*1.6*2.2*2.715*2.6,3540000000*(1.579646^(MIN($E2360,123)-117)))*1,0))</f>
        <v>568544122</v>
      </c>
      <c r="Y2360" s="11">
        <f>$E2360+17</f>
        <v>130</v>
      </c>
      <c r="Z2360" s="12">
        <f>IF($J2360=0,0,ROUND(MAX($J2360*1.4*1.5*1.6*1.6*2.2*2.715*2.6*1.4,6020000000*(1.651178^(MIN($E2360,123)-117)))*1,0))</f>
        <v>809880453</v>
      </c>
      <c r="AA2360" s="13">
        <f>$E2360+19</f>
        <v>132</v>
      </c>
      <c r="AB2360" s="14">
        <f>IF($J2360=0,0,ROUND(MAX($J2360*1.4*1.5*1.6*1.6*2.2*2.715*2.6*1.4*1.4,8430000000*(1.651435^(MIN($E2360,123)-117)))*1,0))</f>
        <v>1133395897</v>
      </c>
      <c r="AC2360" s="11">
        <f>$E2360+21</f>
        <v>134</v>
      </c>
      <c r="AD2360" s="12">
        <f>IF($J2360=0,0,ROUND(MAX($J2360*1.4*1.5*1.6*1.6*2.2*2.715*2.6*1.4*1.4*1.5,12600000000*(1.652953^(MIN($E2360,123)-117)))*1,0))</f>
        <v>1687829312</v>
      </c>
      <c r="AE2360" s="13">
        <f>$E2360+24</f>
        <v>137</v>
      </c>
      <c r="AF2360" s="14">
        <f>IF($J2360=0,0,ROUND(MAX($J2360*1.4*1.5*1.6*1.6*2.2*2.715*2.6*1.4*1.4*1.5*1.5,18900000000*(1.65331^(MIN($E2360,123)-117)))*1,0))</f>
        <v>2529557954</v>
      </c>
      <c r="AG2360" s="11">
        <f>$E2360+27</f>
        <v>140</v>
      </c>
      <c r="AH2360" s="12">
        <f>IF($J2360=0,0,ROUND(MAX($J2360*1.4*1.5*1.6*1.6*2.2*2.715*2.6*1.4*1.4*1.5*1.5*3.2,60500000000*(1.654288^(MIN($E2360,123)-117)))*1,0))</f>
        <v>8078131097</v>
      </c>
    </row>
    <row r="2361" ht="28" customHeight="1" spans="1:34" x14ac:dyDescent="0.25">
      <c r="A2361">
        <v>2371</v>
      </c>
      <c r="B2361" t="s">
        <v>1287</v>
      </c>
      <c r="C2361" s="10" t="s">
        <v>1421</v>
      </c>
      <c r="D2361" t="s">
        <v>29</v>
      </c>
      <c r="E2361">
        <v>113</v>
      </c>
      <c r="F2361" t="s">
        <v>34</v>
      </c>
      <c r="G2361" t="s">
        <v>1288</v>
      </c>
      <c r="H2361">
        <v>26</v>
      </c>
      <c r="I2361" s="11">
        <v>113</v>
      </c>
      <c r="J2361" s="12">
        <v>111000</v>
      </c>
      <c r="K2361" s="13">
        <f>$E2361+1</f>
        <v>114</v>
      </c>
      <c r="L2361" s="14">
        <f>IF($J2361=0,0,ROUND(MAX($J2361*1.4,1620000*(1.497923^(MIN($E2361,123)-117)))*1,0))</f>
        <v>321779</v>
      </c>
      <c r="M2361" s="11">
        <f>$E2361+2</f>
        <v>115</v>
      </c>
      <c r="N2361" s="12">
        <f>IF($J2361=0,0,ROUND(MAX($J2361*1.4*1.5,2190000*(1.580994^(MIN($E2361,123)-117)))*1,0))</f>
        <v>350528</v>
      </c>
      <c r="O2361" s="13">
        <f>$E2361+4</f>
        <v>117</v>
      </c>
      <c r="P2361" s="14">
        <f>IF($J2361=0,0,ROUND(MAX($J2361*1.4*1.5*1.6,3500000*(1.57975^(MIN($E2361,123)-117)))*1,0))</f>
        <v>561972</v>
      </c>
      <c r="Q2361" s="11">
        <f>$E2361+6</f>
        <v>119</v>
      </c>
      <c r="R2361" s="12">
        <f>IF($J2361=0,0,ROUND(MAX($J2361*1.4*1.5*1.6*1.6,13100000*(1.429962^(MIN($E2361,123)-117)))*1,0))</f>
        <v>3133093</v>
      </c>
      <c r="S2361" s="13">
        <f>$E2361+8</f>
        <v>121</v>
      </c>
      <c r="T2361" s="14">
        <f>IF($J2361=0,0,ROUND(MAX($J2361*1.4*1.5*1.6*1.6*2.2,42600000*(1.576904^(MIN($E2361,123)-117)))*1,0))</f>
        <v>6889514</v>
      </c>
      <c r="U2361" s="11">
        <f>$E2361+11</f>
        <v>124</v>
      </c>
      <c r="V2361" s="12">
        <f>IF($J2361=0,0,ROUND(MAX($J2361*1.4*1.5*1.6*1.6*2.2*2.715,354000000*(1.642074^(MIN($E2361,123)-117)))*1,0))</f>
        <v>48689169</v>
      </c>
      <c r="W2361" s="13">
        <f>$E2361+15</f>
        <v>128</v>
      </c>
      <c r="X2361" s="14">
        <f>IF($J2361=0,0,ROUND(MAX($J2361*1.4*1.5*1.6*1.6*2.2*2.715*2.6,3540000000*(1.579646^(MIN($E2361,123)-117)))*1,0))</f>
        <v>568544122</v>
      </c>
      <c r="Y2361" s="11">
        <f>$E2361+17</f>
        <v>130</v>
      </c>
      <c r="Z2361" s="12">
        <f>IF($J2361=0,0,ROUND(MAX($J2361*1.4*1.5*1.6*1.6*2.2*2.715*2.6*1.4,6020000000*(1.651178^(MIN($E2361,123)-117)))*1,0))</f>
        <v>809880453</v>
      </c>
      <c r="AA2361" s="13">
        <f>$E2361+19</f>
        <v>132</v>
      </c>
      <c r="AB2361" s="14">
        <f>IF($J2361=0,0,ROUND(MAX($J2361*1.4*1.5*1.6*1.6*2.2*2.715*2.6*1.4*1.4,8430000000*(1.651435^(MIN($E2361,123)-117)))*1,0))</f>
        <v>1133395897</v>
      </c>
      <c r="AC2361" s="11">
        <f>$E2361+21</f>
        <v>134</v>
      </c>
      <c r="AD2361" s="12">
        <f>IF($J2361=0,0,ROUND(MAX($J2361*1.4*1.5*1.6*1.6*2.2*2.715*2.6*1.4*1.4*1.5,12600000000*(1.652953^(MIN($E2361,123)-117)))*1,0))</f>
        <v>1687829312</v>
      </c>
      <c r="AE2361" s="13">
        <f>$E2361+24</f>
        <v>137</v>
      </c>
      <c r="AF2361" s="14">
        <f>IF($J2361=0,0,ROUND(MAX($J2361*1.4*1.5*1.6*1.6*2.2*2.715*2.6*1.4*1.4*1.5*1.5,18900000000*(1.65331^(MIN($E2361,123)-117)))*1,0))</f>
        <v>2529557954</v>
      </c>
      <c r="AG2361" s="11">
        <f>$E2361+27</f>
        <v>140</v>
      </c>
      <c r="AH2361" s="12">
        <f>IF($J2361=0,0,ROUND(MAX($J2361*1.4*1.5*1.6*1.6*2.2*2.715*2.6*1.4*1.4*1.5*1.5*3.2,60500000000*(1.654288^(MIN($E2361,123)-117)))*1,0))</f>
        <v>8078131097</v>
      </c>
    </row>
    <row r="2362" ht="28" customHeight="1" spans="1:34" x14ac:dyDescent="0.25">
      <c r="A2362">
        <v>2372</v>
      </c>
      <c r="B2362" t="s">
        <v>1432</v>
      </c>
      <c r="C2362" s="10" t="s">
        <v>1421</v>
      </c>
      <c r="D2362" t="s">
        <v>47</v>
      </c>
      <c r="E2362">
        <v>113</v>
      </c>
      <c r="F2362" t="s">
        <v>26</v>
      </c>
      <c r="G2362" t="s">
        <v>748</v>
      </c>
      <c r="H2362">
        <v>24</v>
      </c>
      <c r="I2362" s="11">
        <v>113</v>
      </c>
      <c r="J2362" s="12">
        <v>99100</v>
      </c>
      <c r="K2362" s="13">
        <f>$E2362+1</f>
        <v>114</v>
      </c>
      <c r="L2362" s="14">
        <f>IF($J2362=0,0,ROUND(MAX($J2362*1.4,1620000*(1.497923^(MIN($E2362,123)-117)))*1,0))</f>
        <v>321779</v>
      </c>
      <c r="M2362" s="11">
        <f>$E2362+2</f>
        <v>115</v>
      </c>
      <c r="N2362" s="12">
        <f>IF($J2362=0,0,ROUND(MAX($J2362*1.4*1.5,2190000*(1.580994^(MIN($E2362,123)-117)))*1,0))</f>
        <v>350528</v>
      </c>
      <c r="O2362" s="13">
        <f>$E2362+4</f>
        <v>117</v>
      </c>
      <c r="P2362" s="14">
        <f>IF($J2362=0,0,ROUND(MAX($J2362*1.4*1.5*1.6,3500000*(1.57975^(MIN($E2362,123)-117)))*1,0))</f>
        <v>561972</v>
      </c>
      <c r="Q2362" s="11">
        <f>$E2362+6</f>
        <v>119</v>
      </c>
      <c r="R2362" s="12">
        <f>IF($J2362=0,0,ROUND(MAX($J2362*1.4*1.5*1.6*1.6,13100000*(1.429962^(MIN($E2362,123)-117)))*1,0))</f>
        <v>3133093</v>
      </c>
      <c r="S2362" s="13">
        <f>$E2362+8</f>
        <v>121</v>
      </c>
      <c r="T2362" s="14">
        <f>IF($J2362=0,0,ROUND(MAX($J2362*1.4*1.5*1.6*1.6*2.2,42600000*(1.576904^(MIN($E2362,123)-117)))*1,0))</f>
        <v>6889514</v>
      </c>
      <c r="U2362" s="11">
        <f>$E2362+11</f>
        <v>124</v>
      </c>
      <c r="V2362" s="12">
        <f>IF($J2362=0,0,ROUND(MAX($J2362*1.4*1.5*1.6*1.6*2.2*2.715,354000000*(1.642074^(MIN($E2362,123)-117)))*1,0))</f>
        <v>48689169</v>
      </c>
      <c r="W2362" s="13">
        <f>$E2362+15</f>
        <v>128</v>
      </c>
      <c r="X2362" s="14">
        <f>IF($J2362=0,0,ROUND(MAX($J2362*1.4*1.5*1.6*1.6*2.2*2.715*2.6,3540000000*(1.579646^(MIN($E2362,123)-117)))*1,0))</f>
        <v>568544122</v>
      </c>
      <c r="Y2362" s="11">
        <f>$E2362+17</f>
        <v>130</v>
      </c>
      <c r="Z2362" s="12">
        <f>IF($J2362=0,0,ROUND(MAX($J2362*1.4*1.5*1.6*1.6*2.2*2.715*2.6*1.4,6020000000*(1.651178^(MIN($E2362,123)-117)))*1,0))</f>
        <v>809880453</v>
      </c>
      <c r="AA2362" s="13">
        <f>$E2362+19</f>
        <v>132</v>
      </c>
      <c r="AB2362" s="14">
        <f>IF($J2362=0,0,ROUND(MAX($J2362*1.4*1.5*1.6*1.6*2.2*2.715*2.6*1.4*1.4,8430000000*(1.651435^(MIN($E2362,123)-117)))*1,0))</f>
        <v>1133395897</v>
      </c>
      <c r="AC2362" s="11">
        <f>$E2362+21</f>
        <v>134</v>
      </c>
      <c r="AD2362" s="12">
        <f>IF($J2362=0,0,ROUND(MAX($J2362*1.4*1.5*1.6*1.6*2.2*2.715*2.6*1.4*1.4*1.5,12600000000*(1.652953^(MIN($E2362,123)-117)))*1,0))</f>
        <v>1687829312</v>
      </c>
      <c r="AE2362" s="13">
        <f>$E2362+24</f>
        <v>137</v>
      </c>
      <c r="AF2362" s="14">
        <f>IF($J2362=0,0,ROUND(MAX($J2362*1.4*1.5*1.6*1.6*2.2*2.715*2.6*1.4*1.4*1.5*1.5,18900000000*(1.65331^(MIN($E2362,123)-117)))*1,0))</f>
        <v>2529557954</v>
      </c>
      <c r="AG2362" s="11">
        <f>$E2362+27</f>
        <v>140</v>
      </c>
      <c r="AH2362" s="12">
        <f>IF($J2362=0,0,ROUND(MAX($J2362*1.4*1.5*1.6*1.6*2.2*2.715*2.6*1.4*1.4*1.5*1.5*3.2,60500000000*(1.654288^(MIN($E2362,123)-117)))*1,0))</f>
        <v>8078131097</v>
      </c>
    </row>
    <row r="2363" ht="28" customHeight="1" spans="1:34" x14ac:dyDescent="0.25">
      <c r="A2363">
        <v>2373</v>
      </c>
      <c r="B2363" t="s">
        <v>446</v>
      </c>
      <c r="C2363" s="10" t="s">
        <v>1421</v>
      </c>
      <c r="D2363" t="s">
        <v>47</v>
      </c>
      <c r="E2363">
        <v>113</v>
      </c>
      <c r="F2363" t="s">
        <v>34</v>
      </c>
      <c r="G2363" t="s">
        <v>379</v>
      </c>
      <c r="H2363">
        <v>24</v>
      </c>
      <c r="I2363" s="11">
        <v>113</v>
      </c>
      <c r="J2363" s="12">
        <v>135000</v>
      </c>
      <c r="K2363" s="13">
        <f>$E2363+1</f>
        <v>114</v>
      </c>
      <c r="L2363" s="14">
        <f>IF($J2363=0,0,ROUND(MAX($J2363*1.4,1620000*(1.497923^(MIN($E2363,123)-117)))*1,0))</f>
        <v>321779</v>
      </c>
      <c r="M2363" s="11">
        <f>$E2363+2</f>
        <v>115</v>
      </c>
      <c r="N2363" s="12">
        <f>IF($J2363=0,0,ROUND(MAX($J2363*1.4*1.5,2190000*(1.580994^(MIN($E2363,123)-117)))*1,0))</f>
        <v>350528</v>
      </c>
      <c r="O2363" s="13">
        <f>$E2363+4</f>
        <v>117</v>
      </c>
      <c r="P2363" s="14">
        <f>IF($J2363=0,0,ROUND(MAX($J2363*1.4*1.5*1.6,3500000*(1.57975^(MIN($E2363,123)-117)))*1,0))</f>
        <v>561972</v>
      </c>
      <c r="Q2363" s="11">
        <f>$E2363+6</f>
        <v>119</v>
      </c>
      <c r="R2363" s="12">
        <f>IF($J2363=0,0,ROUND(MAX($J2363*1.4*1.5*1.6*1.6,13100000*(1.429962^(MIN($E2363,123)-117)))*1,0))</f>
        <v>3133093</v>
      </c>
      <c r="S2363" s="13">
        <f>$E2363+8</f>
        <v>121</v>
      </c>
      <c r="T2363" s="14">
        <f>IF($J2363=0,0,ROUND(MAX($J2363*1.4*1.5*1.6*1.6*2.2,42600000*(1.576904^(MIN($E2363,123)-117)))*1,0))</f>
        <v>6889514</v>
      </c>
      <c r="U2363" s="11">
        <f>$E2363+11</f>
        <v>124</v>
      </c>
      <c r="V2363" s="12">
        <f>IF($J2363=0,0,ROUND(MAX($J2363*1.4*1.5*1.6*1.6*2.2*2.715,354000000*(1.642074^(MIN($E2363,123)-117)))*1,0))</f>
        <v>48689169</v>
      </c>
      <c r="W2363" s="13">
        <f>$E2363+15</f>
        <v>128</v>
      </c>
      <c r="X2363" s="14">
        <f>IF($J2363=0,0,ROUND(MAX($J2363*1.4*1.5*1.6*1.6*2.2*2.715*2.6,3540000000*(1.579646^(MIN($E2363,123)-117)))*1,0))</f>
        <v>568544122</v>
      </c>
      <c r="Y2363" s="11">
        <f>$E2363+17</f>
        <v>130</v>
      </c>
      <c r="Z2363" s="12">
        <f>IF($J2363=0,0,ROUND(MAX($J2363*1.4*1.5*1.6*1.6*2.2*2.715*2.6*1.4,6020000000*(1.651178^(MIN($E2363,123)-117)))*1,0))</f>
        <v>809880453</v>
      </c>
      <c r="AA2363" s="13">
        <f>$E2363+19</f>
        <v>132</v>
      </c>
      <c r="AB2363" s="14">
        <f>IF($J2363=0,0,ROUND(MAX($J2363*1.4*1.5*1.6*1.6*2.2*2.715*2.6*1.4*1.4,8430000000*(1.651435^(MIN($E2363,123)-117)))*1,0))</f>
        <v>1133395897</v>
      </c>
      <c r="AC2363" s="11">
        <f>$E2363+21</f>
        <v>134</v>
      </c>
      <c r="AD2363" s="12">
        <f>IF($J2363=0,0,ROUND(MAX($J2363*1.4*1.5*1.6*1.6*2.2*2.715*2.6*1.4*1.4*1.5,12600000000*(1.652953^(MIN($E2363,123)-117)))*1,0))</f>
        <v>1687829312</v>
      </c>
      <c r="AE2363" s="13">
        <f>$E2363+24</f>
        <v>137</v>
      </c>
      <c r="AF2363" s="14">
        <f>IF($J2363=0,0,ROUND(MAX($J2363*1.4*1.5*1.6*1.6*2.2*2.715*2.6*1.4*1.4*1.5*1.5,18900000000*(1.65331^(MIN($E2363,123)-117)))*1,0))</f>
        <v>2529557954</v>
      </c>
      <c r="AG2363" s="11">
        <f>$E2363+27</f>
        <v>140</v>
      </c>
      <c r="AH2363" s="12">
        <f>IF($J2363=0,0,ROUND(MAX($J2363*1.4*1.5*1.6*1.6*2.2*2.715*2.6*1.4*1.4*1.5*1.5*3.2,60500000000*(1.654288^(MIN($E2363,123)-117)))*1,0))</f>
        <v>8078131097</v>
      </c>
    </row>
    <row r="2364" ht="28" customHeight="1" spans="1:34" x14ac:dyDescent="0.25">
      <c r="A2364">
        <v>2374</v>
      </c>
      <c r="B2364" t="s">
        <v>584</v>
      </c>
      <c r="C2364" s="10" t="s">
        <v>1421</v>
      </c>
      <c r="D2364" t="s">
        <v>79</v>
      </c>
      <c r="E2364">
        <v>112</v>
      </c>
      <c r="F2364" t="s">
        <v>62</v>
      </c>
      <c r="G2364" t="s">
        <v>133</v>
      </c>
      <c r="H2364">
        <v>27</v>
      </c>
      <c r="I2364" s="11">
        <v>112</v>
      </c>
      <c r="J2364" s="12">
        <v>102000</v>
      </c>
      <c r="K2364" s="13">
        <f>$E2364+1</f>
        <v>113</v>
      </c>
      <c r="L2364" s="14">
        <f>IF($J2364=0,0,ROUND(MAX($J2364*1.4,1620000*(1.497923^(MIN($E2364,123)-117)))*1,0))</f>
        <v>214816</v>
      </c>
      <c r="M2364" s="11">
        <f>$E2364+2</f>
        <v>114</v>
      </c>
      <c r="N2364" s="12">
        <f>IF($J2364=0,0,ROUND(MAX($J2364*1.4*1.5,2190000*(1.580994^(MIN($E2364,123)-117)))*1,0))</f>
        <v>221714</v>
      </c>
      <c r="O2364" s="13">
        <f>$E2364+4</f>
        <v>116</v>
      </c>
      <c r="P2364" s="14">
        <f>IF($J2364=0,0,ROUND(MAX($J2364*1.4*1.5*1.6,3500000*(1.57975^(MIN($E2364,123)-117)))*1,0))</f>
        <v>355735</v>
      </c>
      <c r="Q2364" s="11">
        <f>$E2364+6</f>
        <v>118</v>
      </c>
      <c r="R2364" s="12">
        <f>IF($J2364=0,0,ROUND(MAX($J2364*1.4*1.5*1.6*1.6,13100000*(1.429962^(MIN($E2364,123)-117)))*1,0))</f>
        <v>2191032</v>
      </c>
      <c r="S2364" s="13">
        <f>$E2364+8</f>
        <v>120</v>
      </c>
      <c r="T2364" s="14">
        <f>IF($J2364=0,0,ROUND(MAX($J2364*1.4*1.5*1.6*1.6*2.2,42600000*(1.576904^(MIN($E2364,123)-117)))*1,0))</f>
        <v>4369013</v>
      </c>
      <c r="U2364" s="11">
        <f>$E2364+11</f>
        <v>123</v>
      </c>
      <c r="V2364" s="12">
        <f>IF($J2364=0,0,ROUND(MAX($J2364*1.4*1.5*1.6*1.6*2.2*2.715,354000000*(1.642074^(MIN($E2364,123)-117)))*1,0))</f>
        <v>29651020</v>
      </c>
      <c r="W2364" s="13">
        <f>$E2364+15</f>
        <v>127</v>
      </c>
      <c r="X2364" s="14">
        <f>IF($J2364=0,0,ROUND(MAX($J2364*1.4*1.5*1.6*1.6*2.2*2.715*2.6,3540000000*(1.579646^(MIN($E2364,123)-117)))*1,0))</f>
        <v>359918692</v>
      </c>
      <c r="Y2364" s="11">
        <f>$E2364+17</f>
        <v>129</v>
      </c>
      <c r="Z2364" s="12">
        <f>IF($J2364=0,0,ROUND(MAX($J2364*1.4*1.5*1.6*1.6*2.2*2.715*2.6*1.4,6020000000*(1.651178^(MIN($E2364,123)-117)))*1,0))</f>
        <v>490486461</v>
      </c>
      <c r="AA2364" s="13">
        <f>$E2364+19</f>
        <v>131</v>
      </c>
      <c r="AB2364" s="14">
        <f>IF($J2364=0,0,ROUND(MAX($J2364*1.4*1.5*1.6*1.6*2.2*2.715*2.6*1.4*1.4,8430000000*(1.651435^(MIN($E2364,123)-117)))*1,0))</f>
        <v>686309723</v>
      </c>
      <c r="AC2364" s="11">
        <f>$E2364+21</f>
        <v>133</v>
      </c>
      <c r="AD2364" s="12">
        <f>IF($J2364=0,0,ROUND(MAX($J2364*1.4*1.5*1.6*1.6*2.2*2.715*2.6*1.4*1.4*1.5,12600000000*(1.652953^(MIN($E2364,123)-117)))*1,0))</f>
        <v>1021099398</v>
      </c>
      <c r="AE2364" s="13">
        <f>$E2364+24</f>
        <v>136</v>
      </c>
      <c r="AF2364" s="14">
        <f>IF($J2364=0,0,ROUND(MAX($J2364*1.4*1.5*1.6*1.6*2.2*2.715*2.6*1.4*1.4*1.5*1.5,18900000000*(1.65331^(MIN($E2364,123)-117)))*1,0))</f>
        <v>1529996162</v>
      </c>
      <c r="AG2364" s="11">
        <f>$E2364+27</f>
        <v>139</v>
      </c>
      <c r="AH2364" s="12">
        <f>IF($J2364=0,0,ROUND(MAX($J2364*1.4*1.5*1.6*1.6*2.2*2.715*2.6*1.4*1.4*1.5*1.5*3.2,60500000000*(1.654288^(MIN($E2364,123)-117)))*1,0))</f>
        <v>4883146766</v>
      </c>
    </row>
    <row r="2365" ht="28" customHeight="1" spans="1:34" x14ac:dyDescent="0.25">
      <c r="A2365">
        <v>2375</v>
      </c>
      <c r="B2365" t="s">
        <v>1433</v>
      </c>
      <c r="C2365" s="10" t="s">
        <v>1421</v>
      </c>
      <c r="D2365" t="s">
        <v>64</v>
      </c>
      <c r="E2365">
        <v>112</v>
      </c>
      <c r="F2365" t="s">
        <v>34</v>
      </c>
      <c r="G2365" t="s">
        <v>569</v>
      </c>
      <c r="H2365">
        <v>26</v>
      </c>
      <c r="I2365" s="11">
        <v>112</v>
      </c>
      <c r="J2365" s="12">
        <v>66700</v>
      </c>
      <c r="K2365" s="13">
        <f>$E2365+1</f>
        <v>113</v>
      </c>
      <c r="L2365" s="14">
        <f>IF($J2365=0,0,ROUND(MAX($J2365*1.4,1620000*(1.497923^(MIN($E2365,123)-117)))*1,0))</f>
        <v>214816</v>
      </c>
      <c r="M2365" s="11">
        <f>$E2365+2</f>
        <v>114</v>
      </c>
      <c r="N2365" s="12">
        <f>IF($J2365=0,0,ROUND(MAX($J2365*1.4*1.5,2190000*(1.580994^(MIN($E2365,123)-117)))*1,0))</f>
        <v>221714</v>
      </c>
      <c r="O2365" s="13">
        <f>$E2365+4</f>
        <v>116</v>
      </c>
      <c r="P2365" s="14">
        <f>IF($J2365=0,0,ROUND(MAX($J2365*1.4*1.5*1.6,3500000*(1.57975^(MIN($E2365,123)-117)))*1,0))</f>
        <v>355735</v>
      </c>
      <c r="Q2365" s="11">
        <f>$E2365+6</f>
        <v>118</v>
      </c>
      <c r="R2365" s="12">
        <f>IF($J2365=0,0,ROUND(MAX($J2365*1.4*1.5*1.6*1.6,13100000*(1.429962^(MIN($E2365,123)-117)))*1,0))</f>
        <v>2191032</v>
      </c>
      <c r="S2365" s="13">
        <f>$E2365+8</f>
        <v>120</v>
      </c>
      <c r="T2365" s="14">
        <f>IF($J2365=0,0,ROUND(MAX($J2365*1.4*1.5*1.6*1.6*2.2,42600000*(1.576904^(MIN($E2365,123)-117)))*1,0))</f>
        <v>4369013</v>
      </c>
      <c r="U2365" s="11">
        <f>$E2365+11</f>
        <v>123</v>
      </c>
      <c r="V2365" s="12">
        <f>IF($J2365=0,0,ROUND(MAX($J2365*1.4*1.5*1.6*1.6*2.2*2.715,354000000*(1.642074^(MIN($E2365,123)-117)))*1,0))</f>
        <v>29651020</v>
      </c>
      <c r="W2365" s="13">
        <f>$E2365+15</f>
        <v>127</v>
      </c>
      <c r="X2365" s="14">
        <f>IF($J2365=0,0,ROUND(MAX($J2365*1.4*1.5*1.6*1.6*2.2*2.715*2.6,3540000000*(1.579646^(MIN($E2365,123)-117)))*1,0))</f>
        <v>359918692</v>
      </c>
      <c r="Y2365" s="11">
        <f>$E2365+17</f>
        <v>129</v>
      </c>
      <c r="Z2365" s="12">
        <f>IF($J2365=0,0,ROUND(MAX($J2365*1.4*1.5*1.6*1.6*2.2*2.715*2.6*1.4,6020000000*(1.651178^(MIN($E2365,123)-117)))*1,0))</f>
        <v>490486461</v>
      </c>
      <c r="AA2365" s="13">
        <f>$E2365+19</f>
        <v>131</v>
      </c>
      <c r="AB2365" s="14">
        <f>IF($J2365=0,0,ROUND(MAX($J2365*1.4*1.5*1.6*1.6*2.2*2.715*2.6*1.4*1.4,8430000000*(1.651435^(MIN($E2365,123)-117)))*1,0))</f>
        <v>686309723</v>
      </c>
      <c r="AC2365" s="11">
        <f>$E2365+21</f>
        <v>133</v>
      </c>
      <c r="AD2365" s="12">
        <f>IF($J2365=0,0,ROUND(MAX($J2365*1.4*1.5*1.6*1.6*2.2*2.715*2.6*1.4*1.4*1.5,12600000000*(1.652953^(MIN($E2365,123)-117)))*1,0))</f>
        <v>1021099398</v>
      </c>
      <c r="AE2365" s="13">
        <f>$E2365+24</f>
        <v>136</v>
      </c>
      <c r="AF2365" s="14">
        <f>IF($J2365=0,0,ROUND(MAX($J2365*1.4*1.5*1.6*1.6*2.2*2.715*2.6*1.4*1.4*1.5*1.5,18900000000*(1.65331^(MIN($E2365,123)-117)))*1,0))</f>
        <v>1529996162</v>
      </c>
      <c r="AG2365" s="11">
        <f>$E2365+27</f>
        <v>139</v>
      </c>
      <c r="AH2365" s="12">
        <f>IF($J2365=0,0,ROUND(MAX($J2365*1.4*1.5*1.6*1.6*2.2*2.715*2.6*1.4*1.4*1.5*1.5*3.2,60500000000*(1.654288^(MIN($E2365,123)-117)))*1,0))</f>
        <v>4883146766</v>
      </c>
    </row>
    <row r="2366" ht="28" customHeight="1" spans="1:34" x14ac:dyDescent="0.25">
      <c r="A2366">
        <v>2376</v>
      </c>
      <c r="B2366" t="s">
        <v>1434</v>
      </c>
      <c r="C2366" s="10" t="s">
        <v>1421</v>
      </c>
      <c r="D2366" t="s">
        <v>102</v>
      </c>
      <c r="E2366">
        <v>112</v>
      </c>
      <c r="F2366" t="s">
        <v>34</v>
      </c>
      <c r="G2366" t="s">
        <v>727</v>
      </c>
      <c r="H2366">
        <v>26</v>
      </c>
      <c r="I2366" s="11">
        <v>112</v>
      </c>
      <c r="J2366" s="12">
        <v>60700</v>
      </c>
      <c r="K2366" s="13">
        <f>$E2366+1</f>
        <v>113</v>
      </c>
      <c r="L2366" s="14">
        <f>IF($J2366=0,0,ROUND(MAX($J2366*1.4,1620000*(1.497923^(MIN($E2366,123)-117)))*1,0))</f>
        <v>214816</v>
      </c>
      <c r="M2366" s="11">
        <f>$E2366+2</f>
        <v>114</v>
      </c>
      <c r="N2366" s="12">
        <f>IF($J2366=0,0,ROUND(MAX($J2366*1.4*1.5,2190000*(1.580994^(MIN($E2366,123)-117)))*1,0))</f>
        <v>221714</v>
      </c>
      <c r="O2366" s="13">
        <f>$E2366+4</f>
        <v>116</v>
      </c>
      <c r="P2366" s="14">
        <f>IF($J2366=0,0,ROUND(MAX($J2366*1.4*1.5*1.6,3500000*(1.57975^(MIN($E2366,123)-117)))*1,0))</f>
        <v>355735</v>
      </c>
      <c r="Q2366" s="11">
        <f>$E2366+6</f>
        <v>118</v>
      </c>
      <c r="R2366" s="12">
        <f>IF($J2366=0,0,ROUND(MAX($J2366*1.4*1.5*1.6*1.6,13100000*(1.429962^(MIN($E2366,123)-117)))*1,0))</f>
        <v>2191032</v>
      </c>
      <c r="S2366" s="13">
        <f>$E2366+8</f>
        <v>120</v>
      </c>
      <c r="T2366" s="14">
        <f>IF($J2366=0,0,ROUND(MAX($J2366*1.4*1.5*1.6*1.6*2.2,42600000*(1.576904^(MIN($E2366,123)-117)))*1,0))</f>
        <v>4369013</v>
      </c>
      <c r="U2366" s="11">
        <f>$E2366+11</f>
        <v>123</v>
      </c>
      <c r="V2366" s="12">
        <f>IF($J2366=0,0,ROUND(MAX($J2366*1.4*1.5*1.6*1.6*2.2*2.715,354000000*(1.642074^(MIN($E2366,123)-117)))*1,0))</f>
        <v>29651020</v>
      </c>
      <c r="W2366" s="13">
        <f>$E2366+15</f>
        <v>127</v>
      </c>
      <c r="X2366" s="14">
        <f>IF($J2366=0,0,ROUND(MAX($J2366*1.4*1.5*1.6*1.6*2.2*2.715*2.6,3540000000*(1.579646^(MIN($E2366,123)-117)))*1,0))</f>
        <v>359918692</v>
      </c>
      <c r="Y2366" s="11">
        <f>$E2366+17</f>
        <v>129</v>
      </c>
      <c r="Z2366" s="12">
        <f>IF($J2366=0,0,ROUND(MAX($J2366*1.4*1.5*1.6*1.6*2.2*2.715*2.6*1.4,6020000000*(1.651178^(MIN($E2366,123)-117)))*1,0))</f>
        <v>490486461</v>
      </c>
      <c r="AA2366" s="13">
        <f>$E2366+19</f>
        <v>131</v>
      </c>
      <c r="AB2366" s="14">
        <f>IF($J2366=0,0,ROUND(MAX($J2366*1.4*1.5*1.6*1.6*2.2*2.715*2.6*1.4*1.4,8430000000*(1.651435^(MIN($E2366,123)-117)))*1,0))</f>
        <v>686309723</v>
      </c>
      <c r="AC2366" s="11">
        <f>$E2366+21</f>
        <v>133</v>
      </c>
      <c r="AD2366" s="12">
        <f>IF($J2366=0,0,ROUND(MAX($J2366*1.4*1.5*1.6*1.6*2.2*2.715*2.6*1.4*1.4*1.5,12600000000*(1.652953^(MIN($E2366,123)-117)))*1,0))</f>
        <v>1021099398</v>
      </c>
      <c r="AE2366" s="13">
        <f>$E2366+24</f>
        <v>136</v>
      </c>
      <c r="AF2366" s="14">
        <f>IF($J2366=0,0,ROUND(MAX($J2366*1.4*1.5*1.6*1.6*2.2*2.715*2.6*1.4*1.4*1.5*1.5,18900000000*(1.65331^(MIN($E2366,123)-117)))*1,0))</f>
        <v>1529996162</v>
      </c>
      <c r="AG2366" s="11">
        <f>$E2366+27</f>
        <v>139</v>
      </c>
      <c r="AH2366" s="12">
        <f>IF($J2366=0,0,ROUND(MAX($J2366*1.4*1.5*1.6*1.6*2.2*2.715*2.6*1.4*1.4*1.5*1.5*3.2,60500000000*(1.654288^(MIN($E2366,123)-117)))*1,0))</f>
        <v>4883146766</v>
      </c>
    </row>
    <row r="2367" ht="28" customHeight="1" spans="1:34" x14ac:dyDescent="0.25">
      <c r="A2367">
        <v>2377</v>
      </c>
      <c r="B2367" t="s">
        <v>1266</v>
      </c>
      <c r="C2367" s="10" t="s">
        <v>1421</v>
      </c>
      <c r="D2367" t="s">
        <v>33</v>
      </c>
      <c r="E2367">
        <v>112</v>
      </c>
      <c r="F2367" t="s">
        <v>42</v>
      </c>
      <c r="G2367" t="s">
        <v>244</v>
      </c>
      <c r="H2367">
        <v>26</v>
      </c>
      <c r="I2367" s="11">
        <v>112</v>
      </c>
      <c r="J2367" s="12">
        <v>278000</v>
      </c>
      <c r="K2367" s="13">
        <f>$E2367+1</f>
        <v>113</v>
      </c>
      <c r="L2367" s="14">
        <f>IF($J2367=0,0,ROUND(MAX($J2367*1.4,1620000*(1.497923^(MIN($E2367,123)-117)))*1,0))</f>
        <v>389200</v>
      </c>
      <c r="M2367" s="11">
        <f>$E2367+2</f>
        <v>114</v>
      </c>
      <c r="N2367" s="12">
        <f>IF($J2367=0,0,ROUND(MAX($J2367*1.4*1.5,2190000*(1.580994^(MIN($E2367,123)-117)))*1,0))</f>
        <v>583800</v>
      </c>
      <c r="O2367" s="13">
        <f>$E2367+4</f>
        <v>116</v>
      </c>
      <c r="P2367" s="14">
        <f>IF($J2367=0,0,ROUND(MAX($J2367*1.4*1.5*1.6,3500000*(1.57975^(MIN($E2367,123)-117)))*1,0))</f>
        <v>934080</v>
      </c>
      <c r="Q2367" s="11">
        <f>$E2367+6</f>
        <v>118</v>
      </c>
      <c r="R2367" s="12">
        <f>IF($J2367=0,0,ROUND(MAX($J2367*1.4*1.5*1.6*1.6,13100000*(1.429962^(MIN($E2367,123)-117)))*1,0))</f>
        <v>2191032</v>
      </c>
      <c r="S2367" s="13">
        <f>$E2367+8</f>
        <v>120</v>
      </c>
      <c r="T2367" s="14">
        <f>IF($J2367=0,0,ROUND(MAX($J2367*1.4*1.5*1.6*1.6*2.2,42600000*(1.576904^(MIN($E2367,123)-117)))*1,0))</f>
        <v>4369013</v>
      </c>
      <c r="U2367" s="11">
        <f>$E2367+11</f>
        <v>123</v>
      </c>
      <c r="V2367" s="12">
        <f>IF($J2367=0,0,ROUND(MAX($J2367*1.4*1.5*1.6*1.6*2.2*2.715,354000000*(1.642074^(MIN($E2367,123)-117)))*1,0))</f>
        <v>29651020</v>
      </c>
      <c r="W2367" s="13">
        <f>$E2367+15</f>
        <v>127</v>
      </c>
      <c r="X2367" s="14">
        <f>IF($J2367=0,0,ROUND(MAX($J2367*1.4*1.5*1.6*1.6*2.2*2.715*2.6,3540000000*(1.579646^(MIN($E2367,123)-117)))*1,0))</f>
        <v>359918692</v>
      </c>
      <c r="Y2367" s="11">
        <f>$E2367+17</f>
        <v>129</v>
      </c>
      <c r="Z2367" s="12">
        <f>IF($J2367=0,0,ROUND(MAX($J2367*1.4*1.5*1.6*1.6*2.2*2.715*2.6*1.4,6020000000*(1.651178^(MIN($E2367,123)-117)))*1,0))</f>
        <v>490486461</v>
      </c>
      <c r="AA2367" s="13">
        <f>$E2367+19</f>
        <v>131</v>
      </c>
      <c r="AB2367" s="14">
        <f>IF($J2367=0,0,ROUND(MAX($J2367*1.4*1.5*1.6*1.6*2.2*2.715*2.6*1.4*1.4,8430000000*(1.651435^(MIN($E2367,123)-117)))*1,0))</f>
        <v>686309723</v>
      </c>
      <c r="AC2367" s="11">
        <f>$E2367+21</f>
        <v>133</v>
      </c>
      <c r="AD2367" s="12">
        <f>IF($J2367=0,0,ROUND(MAX($J2367*1.4*1.5*1.6*1.6*2.2*2.715*2.6*1.4*1.4*1.5,12600000000*(1.652953^(MIN($E2367,123)-117)))*1,0))</f>
        <v>1021099398</v>
      </c>
      <c r="AE2367" s="13">
        <f>$E2367+24</f>
        <v>136</v>
      </c>
      <c r="AF2367" s="14">
        <f>IF($J2367=0,0,ROUND(MAX($J2367*1.4*1.5*1.6*1.6*2.2*2.715*2.6*1.4*1.4*1.5*1.5,18900000000*(1.65331^(MIN($E2367,123)-117)))*1,0))</f>
        <v>1529996162</v>
      </c>
      <c r="AG2367" s="11">
        <f>$E2367+27</f>
        <v>139</v>
      </c>
      <c r="AH2367" s="12">
        <f>IF($J2367=0,0,ROUND(MAX($J2367*1.4*1.5*1.6*1.6*2.2*2.715*2.6*1.4*1.4*1.5*1.5*3.2,60500000000*(1.654288^(MIN($E2367,123)-117)))*1,0))</f>
        <v>4883146766</v>
      </c>
    </row>
    <row r="2368" ht="28" customHeight="1" spans="1:34" x14ac:dyDescent="0.25">
      <c r="A2368">
        <v>2378</v>
      </c>
      <c r="B2368" t="s">
        <v>1435</v>
      </c>
      <c r="C2368" s="10" t="s">
        <v>1421</v>
      </c>
      <c r="D2368" t="s">
        <v>45</v>
      </c>
      <c r="E2368">
        <v>112</v>
      </c>
      <c r="F2368" t="s">
        <v>42</v>
      </c>
      <c r="G2368" t="s">
        <v>185</v>
      </c>
      <c r="H2368">
        <v>26</v>
      </c>
      <c r="I2368" s="11">
        <v>112</v>
      </c>
      <c r="J2368" s="12">
        <v>189000</v>
      </c>
      <c r="K2368" s="13">
        <f>$E2368+1</f>
        <v>113</v>
      </c>
      <c r="L2368" s="14">
        <f>IF($J2368=0,0,ROUND(MAX($J2368*1.4,1620000*(1.497923^(MIN($E2368,123)-117)))*1,0))</f>
        <v>264600</v>
      </c>
      <c r="M2368" s="11">
        <f>$E2368+2</f>
        <v>114</v>
      </c>
      <c r="N2368" s="12">
        <f>IF($J2368=0,0,ROUND(MAX($J2368*1.4*1.5,2190000*(1.580994^(MIN($E2368,123)-117)))*1,0))</f>
        <v>396900</v>
      </c>
      <c r="O2368" s="13">
        <f>$E2368+4</f>
        <v>116</v>
      </c>
      <c r="P2368" s="14">
        <f>IF($J2368=0,0,ROUND(MAX($J2368*1.4*1.5*1.6,3500000*(1.57975^(MIN($E2368,123)-117)))*1,0))</f>
        <v>635040</v>
      </c>
      <c r="Q2368" s="11">
        <f>$E2368+6</f>
        <v>118</v>
      </c>
      <c r="R2368" s="12">
        <f>IF($J2368=0,0,ROUND(MAX($J2368*1.4*1.5*1.6*1.6,13100000*(1.429962^(MIN($E2368,123)-117)))*1,0))</f>
        <v>2191032</v>
      </c>
      <c r="S2368" s="13">
        <f>$E2368+8</f>
        <v>120</v>
      </c>
      <c r="T2368" s="14">
        <f>IF($J2368=0,0,ROUND(MAX($J2368*1.4*1.5*1.6*1.6*2.2,42600000*(1.576904^(MIN($E2368,123)-117)))*1,0))</f>
        <v>4369013</v>
      </c>
      <c r="U2368" s="11">
        <f>$E2368+11</f>
        <v>123</v>
      </c>
      <c r="V2368" s="12">
        <f>IF($J2368=0,0,ROUND(MAX($J2368*1.4*1.5*1.6*1.6*2.2*2.715,354000000*(1.642074^(MIN($E2368,123)-117)))*1,0))</f>
        <v>29651020</v>
      </c>
      <c r="W2368" s="13">
        <f>$E2368+15</f>
        <v>127</v>
      </c>
      <c r="X2368" s="14">
        <f>IF($J2368=0,0,ROUND(MAX($J2368*1.4*1.5*1.6*1.6*2.2*2.715*2.6,3540000000*(1.579646^(MIN($E2368,123)-117)))*1,0))</f>
        <v>359918692</v>
      </c>
      <c r="Y2368" s="11">
        <f>$E2368+17</f>
        <v>129</v>
      </c>
      <c r="Z2368" s="12">
        <f>IF($J2368=0,0,ROUND(MAX($J2368*1.4*1.5*1.6*1.6*2.2*2.715*2.6*1.4,6020000000*(1.651178^(MIN($E2368,123)-117)))*1,0))</f>
        <v>490486461</v>
      </c>
      <c r="AA2368" s="13">
        <f>$E2368+19</f>
        <v>131</v>
      </c>
      <c r="AB2368" s="14">
        <f>IF($J2368=0,0,ROUND(MAX($J2368*1.4*1.5*1.6*1.6*2.2*2.715*2.6*1.4*1.4,8430000000*(1.651435^(MIN($E2368,123)-117)))*1,0))</f>
        <v>686309723</v>
      </c>
      <c r="AC2368" s="11">
        <f>$E2368+21</f>
        <v>133</v>
      </c>
      <c r="AD2368" s="12">
        <f>IF($J2368=0,0,ROUND(MAX($J2368*1.4*1.5*1.6*1.6*2.2*2.715*2.6*1.4*1.4*1.5,12600000000*(1.652953^(MIN($E2368,123)-117)))*1,0))</f>
        <v>1021099398</v>
      </c>
      <c r="AE2368" s="13">
        <f>$E2368+24</f>
        <v>136</v>
      </c>
      <c r="AF2368" s="14">
        <f>IF($J2368=0,0,ROUND(MAX($J2368*1.4*1.5*1.6*1.6*2.2*2.715*2.6*1.4*1.4*1.5*1.5,18900000000*(1.65331^(MIN($E2368,123)-117)))*1,0))</f>
        <v>1529996162</v>
      </c>
      <c r="AG2368" s="11">
        <f>$E2368+27</f>
        <v>139</v>
      </c>
      <c r="AH2368" s="12">
        <f>IF($J2368=0,0,ROUND(MAX($J2368*1.4*1.5*1.6*1.6*2.2*2.715*2.6*1.4*1.4*1.5*1.5*3.2,60500000000*(1.654288^(MIN($E2368,123)-117)))*1,0))</f>
        <v>4883146766</v>
      </c>
    </row>
    <row r="2369" ht="28" customHeight="1" spans="1:34" x14ac:dyDescent="0.25">
      <c r="A2369">
        <v>2379</v>
      </c>
      <c r="B2369" t="s">
        <v>1436</v>
      </c>
      <c r="C2369" s="10" t="s">
        <v>1421</v>
      </c>
      <c r="D2369" t="s">
        <v>40</v>
      </c>
      <c r="E2369">
        <v>112</v>
      </c>
      <c r="F2369" t="s">
        <v>54</v>
      </c>
      <c r="G2369" t="s">
        <v>1007</v>
      </c>
      <c r="H2369">
        <v>26</v>
      </c>
      <c r="I2369" s="11">
        <v>112</v>
      </c>
      <c r="J2369" s="12">
        <v>198000</v>
      </c>
      <c r="K2369" s="13">
        <f>$E2369+1</f>
        <v>113</v>
      </c>
      <c r="L2369" s="14">
        <f>IF($J2369=0,0,ROUND(MAX($J2369*1.4,1620000*(1.497923^(MIN($E2369,123)-117)))*1,0))</f>
        <v>277200</v>
      </c>
      <c r="M2369" s="11">
        <f>$E2369+2</f>
        <v>114</v>
      </c>
      <c r="N2369" s="12">
        <f>IF($J2369=0,0,ROUND(MAX($J2369*1.4*1.5,2190000*(1.580994^(MIN($E2369,123)-117)))*1,0))</f>
        <v>415800</v>
      </c>
      <c r="O2369" s="13">
        <f>$E2369+4</f>
        <v>116</v>
      </c>
      <c r="P2369" s="14">
        <f>IF($J2369=0,0,ROUND(MAX($J2369*1.4*1.5*1.6,3500000*(1.57975^(MIN($E2369,123)-117)))*1,0))</f>
        <v>665280</v>
      </c>
      <c r="Q2369" s="11">
        <f>$E2369+6</f>
        <v>118</v>
      </c>
      <c r="R2369" s="12">
        <f>IF($J2369=0,0,ROUND(MAX($J2369*1.4*1.5*1.6*1.6,13100000*(1.429962^(MIN($E2369,123)-117)))*1,0))</f>
        <v>2191032</v>
      </c>
      <c r="S2369" s="13">
        <f>$E2369+8</f>
        <v>120</v>
      </c>
      <c r="T2369" s="14">
        <f>IF($J2369=0,0,ROUND(MAX($J2369*1.4*1.5*1.6*1.6*2.2,42600000*(1.576904^(MIN($E2369,123)-117)))*1,0))</f>
        <v>4369013</v>
      </c>
      <c r="U2369" s="11">
        <f>$E2369+11</f>
        <v>123</v>
      </c>
      <c r="V2369" s="12">
        <f>IF($J2369=0,0,ROUND(MAX($J2369*1.4*1.5*1.6*1.6*2.2*2.715,354000000*(1.642074^(MIN($E2369,123)-117)))*1,0))</f>
        <v>29651020</v>
      </c>
      <c r="W2369" s="13">
        <f>$E2369+15</f>
        <v>127</v>
      </c>
      <c r="X2369" s="14">
        <f>IF($J2369=0,0,ROUND(MAX($J2369*1.4*1.5*1.6*1.6*2.2*2.715*2.6,3540000000*(1.579646^(MIN($E2369,123)-117)))*1,0))</f>
        <v>359918692</v>
      </c>
      <c r="Y2369" s="11">
        <f>$E2369+17</f>
        <v>129</v>
      </c>
      <c r="Z2369" s="12">
        <f>IF($J2369=0,0,ROUND(MAX($J2369*1.4*1.5*1.6*1.6*2.2*2.715*2.6*1.4,6020000000*(1.651178^(MIN($E2369,123)-117)))*1,0))</f>
        <v>490486461</v>
      </c>
      <c r="AA2369" s="13">
        <f>$E2369+19</f>
        <v>131</v>
      </c>
      <c r="AB2369" s="14">
        <f>IF($J2369=0,0,ROUND(MAX($J2369*1.4*1.5*1.6*1.6*2.2*2.715*2.6*1.4*1.4,8430000000*(1.651435^(MIN($E2369,123)-117)))*1,0))</f>
        <v>686309723</v>
      </c>
      <c r="AC2369" s="11">
        <f>$E2369+21</f>
        <v>133</v>
      </c>
      <c r="AD2369" s="12">
        <f>IF($J2369=0,0,ROUND(MAX($J2369*1.4*1.5*1.6*1.6*2.2*2.715*2.6*1.4*1.4*1.5,12600000000*(1.652953^(MIN($E2369,123)-117)))*1,0))</f>
        <v>1021099398</v>
      </c>
      <c r="AE2369" s="13">
        <f>$E2369+24</f>
        <v>136</v>
      </c>
      <c r="AF2369" s="14">
        <f>IF($J2369=0,0,ROUND(MAX($J2369*1.4*1.5*1.6*1.6*2.2*2.715*2.6*1.4*1.4*1.5*1.5,18900000000*(1.65331^(MIN($E2369,123)-117)))*1,0))</f>
        <v>1529996162</v>
      </c>
      <c r="AG2369" s="11">
        <f>$E2369+27</f>
        <v>139</v>
      </c>
      <c r="AH2369" s="12">
        <f>IF($J2369=0,0,ROUND(MAX($J2369*1.4*1.5*1.6*1.6*2.2*2.715*2.6*1.4*1.4*1.5*1.5*3.2,60500000000*(1.654288^(MIN($E2369,123)-117)))*1,0))</f>
        <v>4883146766</v>
      </c>
    </row>
    <row r="2370" ht="28" customHeight="1" spans="1:34" x14ac:dyDescent="0.25">
      <c r="A2370">
        <v>2380</v>
      </c>
      <c r="B2370" t="s">
        <v>1437</v>
      </c>
      <c r="C2370" s="10" t="s">
        <v>1421</v>
      </c>
      <c r="D2370" t="s">
        <v>331</v>
      </c>
      <c r="E2370">
        <v>112</v>
      </c>
      <c r="F2370" t="s">
        <v>34</v>
      </c>
      <c r="G2370" t="s">
        <v>254</v>
      </c>
      <c r="H2370">
        <v>26</v>
      </c>
      <c r="I2370" s="11">
        <v>112</v>
      </c>
      <c r="J2370" s="12">
        <v>69300</v>
      </c>
      <c r="K2370" s="13">
        <f>$E2370+1</f>
        <v>113</v>
      </c>
      <c r="L2370" s="14">
        <f>IF($J2370=0,0,ROUND(MAX($J2370*1.4,1620000*(1.497923^(MIN($E2370,123)-117)))*1,0))</f>
        <v>214816</v>
      </c>
      <c r="M2370" s="11">
        <f>$E2370+2</f>
        <v>114</v>
      </c>
      <c r="N2370" s="12">
        <f>IF($J2370=0,0,ROUND(MAX($J2370*1.4*1.5,2190000*(1.580994^(MIN($E2370,123)-117)))*1,0))</f>
        <v>221714</v>
      </c>
      <c r="O2370" s="13">
        <f>$E2370+4</f>
        <v>116</v>
      </c>
      <c r="P2370" s="14">
        <f>IF($J2370=0,0,ROUND(MAX($J2370*1.4*1.5*1.6,3500000*(1.57975^(MIN($E2370,123)-117)))*1,0))</f>
        <v>355735</v>
      </c>
      <c r="Q2370" s="11">
        <f>$E2370+6</f>
        <v>118</v>
      </c>
      <c r="R2370" s="12">
        <f>IF($J2370=0,0,ROUND(MAX($J2370*1.4*1.5*1.6*1.6,13100000*(1.429962^(MIN($E2370,123)-117)))*1,0))</f>
        <v>2191032</v>
      </c>
      <c r="S2370" s="13">
        <f>$E2370+8</f>
        <v>120</v>
      </c>
      <c r="T2370" s="14">
        <f>IF($J2370=0,0,ROUND(MAX($J2370*1.4*1.5*1.6*1.6*2.2,42600000*(1.576904^(MIN($E2370,123)-117)))*1,0))</f>
        <v>4369013</v>
      </c>
      <c r="U2370" s="11">
        <f>$E2370+11</f>
        <v>123</v>
      </c>
      <c r="V2370" s="12">
        <f>IF($J2370=0,0,ROUND(MAX($J2370*1.4*1.5*1.6*1.6*2.2*2.715,354000000*(1.642074^(MIN($E2370,123)-117)))*1,0))</f>
        <v>29651020</v>
      </c>
      <c r="W2370" s="13">
        <f>$E2370+15</f>
        <v>127</v>
      </c>
      <c r="X2370" s="14">
        <f>IF($J2370=0,0,ROUND(MAX($J2370*1.4*1.5*1.6*1.6*2.2*2.715*2.6,3540000000*(1.579646^(MIN($E2370,123)-117)))*1,0))</f>
        <v>359918692</v>
      </c>
      <c r="Y2370" s="11">
        <f>$E2370+17</f>
        <v>129</v>
      </c>
      <c r="Z2370" s="12">
        <f>IF($J2370=0,0,ROUND(MAX($J2370*1.4*1.5*1.6*1.6*2.2*2.715*2.6*1.4,6020000000*(1.651178^(MIN($E2370,123)-117)))*1,0))</f>
        <v>490486461</v>
      </c>
      <c r="AA2370" s="13">
        <f>$E2370+19</f>
        <v>131</v>
      </c>
      <c r="AB2370" s="14">
        <f>IF($J2370=0,0,ROUND(MAX($J2370*1.4*1.5*1.6*1.6*2.2*2.715*2.6*1.4*1.4,8430000000*(1.651435^(MIN($E2370,123)-117)))*1,0))</f>
        <v>686309723</v>
      </c>
      <c r="AC2370" s="11">
        <f>$E2370+21</f>
        <v>133</v>
      </c>
      <c r="AD2370" s="12">
        <f>IF($J2370=0,0,ROUND(MAX($J2370*1.4*1.5*1.6*1.6*2.2*2.715*2.6*1.4*1.4*1.5,12600000000*(1.652953^(MIN($E2370,123)-117)))*1,0))</f>
        <v>1021099398</v>
      </c>
      <c r="AE2370" s="13">
        <f>$E2370+24</f>
        <v>136</v>
      </c>
      <c r="AF2370" s="14">
        <f>IF($J2370=0,0,ROUND(MAX($J2370*1.4*1.5*1.6*1.6*2.2*2.715*2.6*1.4*1.4*1.5*1.5,18900000000*(1.65331^(MIN($E2370,123)-117)))*1,0))</f>
        <v>1529996162</v>
      </c>
      <c r="AG2370" s="11">
        <f>$E2370+27</f>
        <v>139</v>
      </c>
      <c r="AH2370" s="12">
        <f>IF($J2370=0,0,ROUND(MAX($J2370*1.4*1.5*1.6*1.6*2.2*2.715*2.6*1.4*1.4*1.5*1.5*3.2,60500000000*(1.654288^(MIN($E2370,123)-117)))*1,0))</f>
        <v>4883146766</v>
      </c>
    </row>
    <row r="2371" ht="28" customHeight="1" spans="1:34" x14ac:dyDescent="0.25">
      <c r="A2371">
        <v>2381</v>
      </c>
      <c r="B2371" t="s">
        <v>621</v>
      </c>
      <c r="C2371" s="10" t="s">
        <v>1421</v>
      </c>
      <c r="D2371" t="s">
        <v>45</v>
      </c>
      <c r="E2371">
        <v>112</v>
      </c>
      <c r="F2371" t="s">
        <v>62</v>
      </c>
      <c r="G2371" t="s">
        <v>242</v>
      </c>
      <c r="H2371">
        <v>26</v>
      </c>
      <c r="I2371" s="11">
        <v>112</v>
      </c>
      <c r="J2371" s="12">
        <v>80200</v>
      </c>
      <c r="K2371" s="13">
        <f>$E2371+1</f>
        <v>113</v>
      </c>
      <c r="L2371" s="14">
        <f>IF($J2371=0,0,ROUND(MAX($J2371*1.4,1620000*(1.497923^(MIN($E2371,123)-117)))*1,0))</f>
        <v>214816</v>
      </c>
      <c r="M2371" s="11">
        <f>$E2371+2</f>
        <v>114</v>
      </c>
      <c r="N2371" s="12">
        <f>IF($J2371=0,0,ROUND(MAX($J2371*1.4*1.5,2190000*(1.580994^(MIN($E2371,123)-117)))*1,0))</f>
        <v>221714</v>
      </c>
      <c r="O2371" s="13">
        <f>$E2371+4</f>
        <v>116</v>
      </c>
      <c r="P2371" s="14">
        <f>IF($J2371=0,0,ROUND(MAX($J2371*1.4*1.5*1.6,3500000*(1.57975^(MIN($E2371,123)-117)))*1,0))</f>
        <v>355735</v>
      </c>
      <c r="Q2371" s="11">
        <f>$E2371+6</f>
        <v>118</v>
      </c>
      <c r="R2371" s="12">
        <f>IF($J2371=0,0,ROUND(MAX($J2371*1.4*1.5*1.6*1.6,13100000*(1.429962^(MIN($E2371,123)-117)))*1,0))</f>
        <v>2191032</v>
      </c>
      <c r="S2371" s="13">
        <f>$E2371+8</f>
        <v>120</v>
      </c>
      <c r="T2371" s="14">
        <f>IF($J2371=0,0,ROUND(MAX($J2371*1.4*1.5*1.6*1.6*2.2,42600000*(1.576904^(MIN($E2371,123)-117)))*1,0))</f>
        <v>4369013</v>
      </c>
      <c r="U2371" s="11">
        <f>$E2371+11</f>
        <v>123</v>
      </c>
      <c r="V2371" s="12">
        <f>IF($J2371=0,0,ROUND(MAX($J2371*1.4*1.5*1.6*1.6*2.2*2.715,354000000*(1.642074^(MIN($E2371,123)-117)))*1,0))</f>
        <v>29651020</v>
      </c>
      <c r="W2371" s="13">
        <f>$E2371+15</f>
        <v>127</v>
      </c>
      <c r="X2371" s="14">
        <f>IF($J2371=0,0,ROUND(MAX($J2371*1.4*1.5*1.6*1.6*2.2*2.715*2.6,3540000000*(1.579646^(MIN($E2371,123)-117)))*1,0))</f>
        <v>359918692</v>
      </c>
      <c r="Y2371" s="11">
        <f>$E2371+17</f>
        <v>129</v>
      </c>
      <c r="Z2371" s="12">
        <f>IF($J2371=0,0,ROUND(MAX($J2371*1.4*1.5*1.6*1.6*2.2*2.715*2.6*1.4,6020000000*(1.651178^(MIN($E2371,123)-117)))*1,0))</f>
        <v>490486461</v>
      </c>
      <c r="AA2371" s="13">
        <f>$E2371+19</f>
        <v>131</v>
      </c>
      <c r="AB2371" s="14">
        <f>IF($J2371=0,0,ROUND(MAX($J2371*1.4*1.5*1.6*1.6*2.2*2.715*2.6*1.4*1.4,8430000000*(1.651435^(MIN($E2371,123)-117)))*1,0))</f>
        <v>686309723</v>
      </c>
      <c r="AC2371" s="11">
        <f>$E2371+21</f>
        <v>133</v>
      </c>
      <c r="AD2371" s="12">
        <f>IF($J2371=0,0,ROUND(MAX($J2371*1.4*1.5*1.6*1.6*2.2*2.715*2.6*1.4*1.4*1.5,12600000000*(1.652953^(MIN($E2371,123)-117)))*1,0))</f>
        <v>1021099398</v>
      </c>
      <c r="AE2371" s="13">
        <f>$E2371+24</f>
        <v>136</v>
      </c>
      <c r="AF2371" s="14">
        <f>IF($J2371=0,0,ROUND(MAX($J2371*1.4*1.5*1.6*1.6*2.2*2.715*2.6*1.4*1.4*1.5*1.5,18900000000*(1.65331^(MIN($E2371,123)-117)))*1,0))</f>
        <v>1529996162</v>
      </c>
      <c r="AG2371" s="11">
        <f>$E2371+27</f>
        <v>139</v>
      </c>
      <c r="AH2371" s="12">
        <f>IF($J2371=0,0,ROUND(MAX($J2371*1.4*1.5*1.6*1.6*2.2*2.715*2.6*1.4*1.4*1.5*1.5*3.2,60500000000*(1.654288^(MIN($E2371,123)-117)))*1,0))</f>
        <v>4883146766</v>
      </c>
    </row>
    <row r="2372" ht="28" customHeight="1" spans="1:34" x14ac:dyDescent="0.25">
      <c r="A2372">
        <v>2382</v>
      </c>
      <c r="B2372" t="s">
        <v>311</v>
      </c>
      <c r="C2372" s="10" t="s">
        <v>1421</v>
      </c>
      <c r="D2372" t="s">
        <v>102</v>
      </c>
      <c r="E2372">
        <v>112</v>
      </c>
      <c r="F2372" t="s">
        <v>62</v>
      </c>
      <c r="G2372" t="s">
        <v>1312</v>
      </c>
      <c r="H2372">
        <v>26</v>
      </c>
      <c r="I2372" s="11">
        <v>112</v>
      </c>
      <c r="J2372" s="12">
        <v>84000</v>
      </c>
      <c r="K2372" s="13">
        <f>$E2372+1</f>
        <v>113</v>
      </c>
      <c r="L2372" s="14">
        <f>IF($J2372=0,0,ROUND(MAX($J2372*1.4,1620000*(1.497923^(MIN($E2372,123)-117)))*1,0))</f>
        <v>214816</v>
      </c>
      <c r="M2372" s="11">
        <f>$E2372+2</f>
        <v>114</v>
      </c>
      <c r="N2372" s="12">
        <f>IF($J2372=0,0,ROUND(MAX($J2372*1.4*1.5,2190000*(1.580994^(MIN($E2372,123)-117)))*1,0))</f>
        <v>221714</v>
      </c>
      <c r="O2372" s="13">
        <f>$E2372+4</f>
        <v>116</v>
      </c>
      <c r="P2372" s="14">
        <f>IF($J2372=0,0,ROUND(MAX($J2372*1.4*1.5*1.6,3500000*(1.57975^(MIN($E2372,123)-117)))*1,0))</f>
        <v>355735</v>
      </c>
      <c r="Q2372" s="11">
        <f>$E2372+6</f>
        <v>118</v>
      </c>
      <c r="R2372" s="12">
        <f>IF($J2372=0,0,ROUND(MAX($J2372*1.4*1.5*1.6*1.6,13100000*(1.429962^(MIN($E2372,123)-117)))*1,0))</f>
        <v>2191032</v>
      </c>
      <c r="S2372" s="13">
        <f>$E2372+8</f>
        <v>120</v>
      </c>
      <c r="T2372" s="14">
        <f>IF($J2372=0,0,ROUND(MAX($J2372*1.4*1.5*1.6*1.6*2.2,42600000*(1.576904^(MIN($E2372,123)-117)))*1,0))</f>
        <v>4369013</v>
      </c>
      <c r="U2372" s="11">
        <f>$E2372+11</f>
        <v>123</v>
      </c>
      <c r="V2372" s="12">
        <f>IF($J2372=0,0,ROUND(MAX($J2372*1.4*1.5*1.6*1.6*2.2*2.715,354000000*(1.642074^(MIN($E2372,123)-117)))*1,0))</f>
        <v>29651020</v>
      </c>
      <c r="W2372" s="13">
        <f>$E2372+15</f>
        <v>127</v>
      </c>
      <c r="X2372" s="14">
        <f>IF($J2372=0,0,ROUND(MAX($J2372*1.4*1.5*1.6*1.6*2.2*2.715*2.6,3540000000*(1.579646^(MIN($E2372,123)-117)))*1,0))</f>
        <v>359918692</v>
      </c>
      <c r="Y2372" s="11">
        <f>$E2372+17</f>
        <v>129</v>
      </c>
      <c r="Z2372" s="12">
        <f>IF($J2372=0,0,ROUND(MAX($J2372*1.4*1.5*1.6*1.6*2.2*2.715*2.6*1.4,6020000000*(1.651178^(MIN($E2372,123)-117)))*1,0))</f>
        <v>490486461</v>
      </c>
      <c r="AA2372" s="13">
        <f>$E2372+19</f>
        <v>131</v>
      </c>
      <c r="AB2372" s="14">
        <f>IF($J2372=0,0,ROUND(MAX($J2372*1.4*1.5*1.6*1.6*2.2*2.715*2.6*1.4*1.4,8430000000*(1.651435^(MIN($E2372,123)-117)))*1,0))</f>
        <v>686309723</v>
      </c>
      <c r="AC2372" s="11">
        <f>$E2372+21</f>
        <v>133</v>
      </c>
      <c r="AD2372" s="12">
        <f>IF($J2372=0,0,ROUND(MAX($J2372*1.4*1.5*1.6*1.6*2.2*2.715*2.6*1.4*1.4*1.5,12600000000*(1.652953^(MIN($E2372,123)-117)))*1,0))</f>
        <v>1021099398</v>
      </c>
      <c r="AE2372" s="13">
        <f>$E2372+24</f>
        <v>136</v>
      </c>
      <c r="AF2372" s="14">
        <f>IF($J2372=0,0,ROUND(MAX($J2372*1.4*1.5*1.6*1.6*2.2*2.715*2.6*1.4*1.4*1.5*1.5,18900000000*(1.65331^(MIN($E2372,123)-117)))*1,0))</f>
        <v>1529996162</v>
      </c>
      <c r="AG2372" s="11">
        <f>$E2372+27</f>
        <v>139</v>
      </c>
      <c r="AH2372" s="12">
        <f>IF($J2372=0,0,ROUND(MAX($J2372*1.4*1.5*1.6*1.6*2.2*2.715*2.6*1.4*1.4*1.5*1.5*3.2,60500000000*(1.654288^(MIN($E2372,123)-117)))*1,0))</f>
        <v>4883146766</v>
      </c>
    </row>
    <row r="2373" ht="28" customHeight="1" spans="1:34" x14ac:dyDescent="0.25">
      <c r="A2373">
        <v>2383</v>
      </c>
      <c r="B2373" t="s">
        <v>1438</v>
      </c>
      <c r="C2373" s="10" t="s">
        <v>1421</v>
      </c>
      <c r="D2373" t="s">
        <v>33</v>
      </c>
      <c r="E2373">
        <v>112</v>
      </c>
      <c r="F2373" t="s">
        <v>34</v>
      </c>
      <c r="G2373" t="s">
        <v>1439</v>
      </c>
      <c r="H2373">
        <v>26</v>
      </c>
      <c r="I2373" s="11">
        <v>112</v>
      </c>
      <c r="J2373" s="12">
        <v>69400</v>
      </c>
      <c r="K2373" s="13">
        <f>$E2373+1</f>
        <v>113</v>
      </c>
      <c r="L2373" s="14">
        <f>IF($J2373=0,0,ROUND(MAX($J2373*1.4,1620000*(1.497923^(MIN($E2373,123)-117)))*1,0))</f>
        <v>214816</v>
      </c>
      <c r="M2373" s="11">
        <f>$E2373+2</f>
        <v>114</v>
      </c>
      <c r="N2373" s="12">
        <f>IF($J2373=0,0,ROUND(MAX($J2373*1.4*1.5,2190000*(1.580994^(MIN($E2373,123)-117)))*1,0))</f>
        <v>221714</v>
      </c>
      <c r="O2373" s="13">
        <f>$E2373+4</f>
        <v>116</v>
      </c>
      <c r="P2373" s="14">
        <f>IF($J2373=0,0,ROUND(MAX($J2373*1.4*1.5*1.6,3500000*(1.57975^(MIN($E2373,123)-117)))*1,0))</f>
        <v>355735</v>
      </c>
      <c r="Q2373" s="11">
        <f>$E2373+6</f>
        <v>118</v>
      </c>
      <c r="R2373" s="12">
        <f>IF($J2373=0,0,ROUND(MAX($J2373*1.4*1.5*1.6*1.6,13100000*(1.429962^(MIN($E2373,123)-117)))*1,0))</f>
        <v>2191032</v>
      </c>
      <c r="S2373" s="13">
        <f>$E2373+8</f>
        <v>120</v>
      </c>
      <c r="T2373" s="14">
        <f>IF($J2373=0,0,ROUND(MAX($J2373*1.4*1.5*1.6*1.6*2.2,42600000*(1.576904^(MIN($E2373,123)-117)))*1,0))</f>
        <v>4369013</v>
      </c>
      <c r="U2373" s="11">
        <f>$E2373+11</f>
        <v>123</v>
      </c>
      <c r="V2373" s="12">
        <f>IF($J2373=0,0,ROUND(MAX($J2373*1.4*1.5*1.6*1.6*2.2*2.715,354000000*(1.642074^(MIN($E2373,123)-117)))*1,0))</f>
        <v>29651020</v>
      </c>
      <c r="W2373" s="13">
        <f>$E2373+15</f>
        <v>127</v>
      </c>
      <c r="X2373" s="14">
        <f>IF($J2373=0,0,ROUND(MAX($J2373*1.4*1.5*1.6*1.6*2.2*2.715*2.6,3540000000*(1.579646^(MIN($E2373,123)-117)))*1,0))</f>
        <v>359918692</v>
      </c>
      <c r="Y2373" s="11">
        <f>$E2373+17</f>
        <v>129</v>
      </c>
      <c r="Z2373" s="12">
        <f>IF($J2373=0,0,ROUND(MAX($J2373*1.4*1.5*1.6*1.6*2.2*2.715*2.6*1.4,6020000000*(1.651178^(MIN($E2373,123)-117)))*1,0))</f>
        <v>490486461</v>
      </c>
      <c r="AA2373" s="13">
        <f>$E2373+19</f>
        <v>131</v>
      </c>
      <c r="AB2373" s="14">
        <f>IF($J2373=0,0,ROUND(MAX($J2373*1.4*1.5*1.6*1.6*2.2*2.715*2.6*1.4*1.4,8430000000*(1.651435^(MIN($E2373,123)-117)))*1,0))</f>
        <v>686309723</v>
      </c>
      <c r="AC2373" s="11">
        <f>$E2373+21</f>
        <v>133</v>
      </c>
      <c r="AD2373" s="12">
        <f>IF($J2373=0,0,ROUND(MAX($J2373*1.4*1.5*1.6*1.6*2.2*2.715*2.6*1.4*1.4*1.5,12600000000*(1.652953^(MIN($E2373,123)-117)))*1,0))</f>
        <v>1021099398</v>
      </c>
      <c r="AE2373" s="13">
        <f>$E2373+24</f>
        <v>136</v>
      </c>
      <c r="AF2373" s="14">
        <f>IF($J2373=0,0,ROUND(MAX($J2373*1.4*1.5*1.6*1.6*2.2*2.715*2.6*1.4*1.4*1.5*1.5,18900000000*(1.65331^(MIN($E2373,123)-117)))*1,0))</f>
        <v>1529996162</v>
      </c>
      <c r="AG2373" s="11">
        <f>$E2373+27</f>
        <v>139</v>
      </c>
      <c r="AH2373" s="12">
        <f>IF($J2373=0,0,ROUND(MAX($J2373*1.4*1.5*1.6*1.6*2.2*2.715*2.6*1.4*1.4*1.5*1.5*3.2,60500000000*(1.654288^(MIN($E2373,123)-117)))*1,0))</f>
        <v>4883146766</v>
      </c>
    </row>
    <row r="2374" ht="28" customHeight="1" spans="1:34" x14ac:dyDescent="0.25">
      <c r="A2374">
        <v>2384</v>
      </c>
      <c r="B2374" t="s">
        <v>1440</v>
      </c>
      <c r="C2374" s="10" t="s">
        <v>1421</v>
      </c>
      <c r="D2374" t="s">
        <v>40</v>
      </c>
      <c r="E2374">
        <v>112</v>
      </c>
      <c r="F2374" t="s">
        <v>237</v>
      </c>
      <c r="G2374" t="s">
        <v>423</v>
      </c>
      <c r="H2374">
        <v>26</v>
      </c>
      <c r="I2374" s="11">
        <v>112</v>
      </c>
      <c r="J2374" s="12">
        <v>72000</v>
      </c>
      <c r="K2374" s="13">
        <f>$E2374+1</f>
        <v>113</v>
      </c>
      <c r="L2374" s="14">
        <f>IF($J2374=0,0,ROUND(MAX($J2374*1.4,1620000*(1.497923^(MIN($E2374,123)-117)))*1,0))</f>
        <v>214816</v>
      </c>
      <c r="M2374" s="11">
        <f>$E2374+2</f>
        <v>114</v>
      </c>
      <c r="N2374" s="12">
        <f>IF($J2374=0,0,ROUND(MAX($J2374*1.4*1.5,2190000*(1.580994^(MIN($E2374,123)-117)))*1,0))</f>
        <v>221714</v>
      </c>
      <c r="O2374" s="13">
        <f>$E2374+4</f>
        <v>116</v>
      </c>
      <c r="P2374" s="14">
        <f>IF($J2374=0,0,ROUND(MAX($J2374*1.4*1.5*1.6,3500000*(1.57975^(MIN($E2374,123)-117)))*1,0))</f>
        <v>355735</v>
      </c>
      <c r="Q2374" s="11">
        <f>$E2374+6</f>
        <v>118</v>
      </c>
      <c r="R2374" s="12">
        <f>IF($J2374=0,0,ROUND(MAX($J2374*1.4*1.5*1.6*1.6,13100000*(1.429962^(MIN($E2374,123)-117)))*1,0))</f>
        <v>2191032</v>
      </c>
      <c r="S2374" s="13">
        <f>$E2374+8</f>
        <v>120</v>
      </c>
      <c r="T2374" s="14">
        <f>IF($J2374=0,0,ROUND(MAX($J2374*1.4*1.5*1.6*1.6*2.2,42600000*(1.576904^(MIN($E2374,123)-117)))*1,0))</f>
        <v>4369013</v>
      </c>
      <c r="U2374" s="11">
        <f>$E2374+11</f>
        <v>123</v>
      </c>
      <c r="V2374" s="12">
        <f>IF($J2374=0,0,ROUND(MAX($J2374*1.4*1.5*1.6*1.6*2.2*2.715,354000000*(1.642074^(MIN($E2374,123)-117)))*1,0))</f>
        <v>29651020</v>
      </c>
      <c r="W2374" s="13">
        <f>$E2374+15</f>
        <v>127</v>
      </c>
      <c r="X2374" s="14">
        <f>IF($J2374=0,0,ROUND(MAX($J2374*1.4*1.5*1.6*1.6*2.2*2.715*2.6,3540000000*(1.579646^(MIN($E2374,123)-117)))*1,0))</f>
        <v>359918692</v>
      </c>
      <c r="Y2374" s="11">
        <f>$E2374+17</f>
        <v>129</v>
      </c>
      <c r="Z2374" s="12">
        <f>IF($J2374=0,0,ROUND(MAX($J2374*1.4*1.5*1.6*1.6*2.2*2.715*2.6*1.4,6020000000*(1.651178^(MIN($E2374,123)-117)))*1,0))</f>
        <v>490486461</v>
      </c>
      <c r="AA2374" s="13">
        <f>$E2374+19</f>
        <v>131</v>
      </c>
      <c r="AB2374" s="14">
        <f>IF($J2374=0,0,ROUND(MAX($J2374*1.4*1.5*1.6*1.6*2.2*2.715*2.6*1.4*1.4,8430000000*(1.651435^(MIN($E2374,123)-117)))*1,0))</f>
        <v>686309723</v>
      </c>
      <c r="AC2374" s="11">
        <f>$E2374+21</f>
        <v>133</v>
      </c>
      <c r="AD2374" s="12">
        <f>IF($J2374=0,0,ROUND(MAX($J2374*1.4*1.5*1.6*1.6*2.2*2.715*2.6*1.4*1.4*1.5,12600000000*(1.652953^(MIN($E2374,123)-117)))*1,0))</f>
        <v>1021099398</v>
      </c>
      <c r="AE2374" s="13">
        <f>$E2374+24</f>
        <v>136</v>
      </c>
      <c r="AF2374" s="14">
        <f>IF($J2374=0,0,ROUND(MAX($J2374*1.4*1.5*1.6*1.6*2.2*2.715*2.6*1.4*1.4*1.5*1.5,18900000000*(1.65331^(MIN($E2374,123)-117)))*1,0))</f>
        <v>1529996162</v>
      </c>
      <c r="AG2374" s="11">
        <f>$E2374+27</f>
        <v>139</v>
      </c>
      <c r="AH2374" s="12">
        <f>IF($J2374=0,0,ROUND(MAX($J2374*1.4*1.5*1.6*1.6*2.2*2.715*2.6*1.4*1.4*1.5*1.5*3.2,60500000000*(1.654288^(MIN($E2374,123)-117)))*1,0))</f>
        <v>4883146766</v>
      </c>
    </row>
    <row r="2375" ht="28" customHeight="1" spans="1:34" x14ac:dyDescent="0.25">
      <c r="A2375">
        <v>2385</v>
      </c>
      <c r="B2375" t="s">
        <v>954</v>
      </c>
      <c r="C2375" s="10" t="s">
        <v>1421</v>
      </c>
      <c r="D2375" t="s">
        <v>79</v>
      </c>
      <c r="E2375">
        <v>112</v>
      </c>
      <c r="F2375" t="s">
        <v>62</v>
      </c>
      <c r="G2375" t="s">
        <v>569</v>
      </c>
      <c r="H2375">
        <v>26</v>
      </c>
      <c r="I2375" s="11">
        <v>112</v>
      </c>
      <c r="J2375" s="12">
        <v>112000</v>
      </c>
      <c r="K2375" s="13">
        <f>$E2375+1</f>
        <v>113</v>
      </c>
      <c r="L2375" s="14">
        <f>IF($J2375=0,0,ROUND(MAX($J2375*1.4,1620000*(1.497923^(MIN($E2375,123)-117)))*1,0))</f>
        <v>214816</v>
      </c>
      <c r="M2375" s="11">
        <f>$E2375+2</f>
        <v>114</v>
      </c>
      <c r="N2375" s="12">
        <f>IF($J2375=0,0,ROUND(MAX($J2375*1.4*1.5,2190000*(1.580994^(MIN($E2375,123)-117)))*1,0))</f>
        <v>235200</v>
      </c>
      <c r="O2375" s="13">
        <f>$E2375+4</f>
        <v>116</v>
      </c>
      <c r="P2375" s="14">
        <f>IF($J2375=0,0,ROUND(MAX($J2375*1.4*1.5*1.6,3500000*(1.57975^(MIN($E2375,123)-117)))*1,0))</f>
        <v>376320</v>
      </c>
      <c r="Q2375" s="11">
        <f>$E2375+6</f>
        <v>118</v>
      </c>
      <c r="R2375" s="12">
        <f>IF($J2375=0,0,ROUND(MAX($J2375*1.4*1.5*1.6*1.6,13100000*(1.429962^(MIN($E2375,123)-117)))*1,0))</f>
        <v>2191032</v>
      </c>
      <c r="S2375" s="13">
        <f>$E2375+8</f>
        <v>120</v>
      </c>
      <c r="T2375" s="14">
        <f>IF($J2375=0,0,ROUND(MAX($J2375*1.4*1.5*1.6*1.6*2.2,42600000*(1.576904^(MIN($E2375,123)-117)))*1,0))</f>
        <v>4369013</v>
      </c>
      <c r="U2375" s="11">
        <f>$E2375+11</f>
        <v>123</v>
      </c>
      <c r="V2375" s="12">
        <f>IF($J2375=0,0,ROUND(MAX($J2375*1.4*1.5*1.6*1.6*2.2*2.715,354000000*(1.642074^(MIN($E2375,123)-117)))*1,0))</f>
        <v>29651020</v>
      </c>
      <c r="W2375" s="13">
        <f>$E2375+15</f>
        <v>127</v>
      </c>
      <c r="X2375" s="14">
        <f>IF($J2375=0,0,ROUND(MAX($J2375*1.4*1.5*1.6*1.6*2.2*2.715*2.6,3540000000*(1.579646^(MIN($E2375,123)-117)))*1,0))</f>
        <v>359918692</v>
      </c>
      <c r="Y2375" s="11">
        <f>$E2375+17</f>
        <v>129</v>
      </c>
      <c r="Z2375" s="12">
        <f>IF($J2375=0,0,ROUND(MAX($J2375*1.4*1.5*1.6*1.6*2.2*2.715*2.6*1.4,6020000000*(1.651178^(MIN($E2375,123)-117)))*1,0))</f>
        <v>490486461</v>
      </c>
      <c r="AA2375" s="13">
        <f>$E2375+19</f>
        <v>131</v>
      </c>
      <c r="AB2375" s="14">
        <f>IF($J2375=0,0,ROUND(MAX($J2375*1.4*1.5*1.6*1.6*2.2*2.715*2.6*1.4*1.4,8430000000*(1.651435^(MIN($E2375,123)-117)))*1,0))</f>
        <v>686309723</v>
      </c>
      <c r="AC2375" s="11">
        <f>$E2375+21</f>
        <v>133</v>
      </c>
      <c r="AD2375" s="12">
        <f>IF($J2375=0,0,ROUND(MAX($J2375*1.4*1.5*1.6*1.6*2.2*2.715*2.6*1.4*1.4*1.5,12600000000*(1.652953^(MIN($E2375,123)-117)))*1,0))</f>
        <v>1021099398</v>
      </c>
      <c r="AE2375" s="13">
        <f>$E2375+24</f>
        <v>136</v>
      </c>
      <c r="AF2375" s="14">
        <f>IF($J2375=0,0,ROUND(MAX($J2375*1.4*1.5*1.6*1.6*2.2*2.715*2.6*1.4*1.4*1.5*1.5,18900000000*(1.65331^(MIN($E2375,123)-117)))*1,0))</f>
        <v>1529996162</v>
      </c>
      <c r="AG2375" s="11">
        <f>$E2375+27</f>
        <v>139</v>
      </c>
      <c r="AH2375" s="12">
        <f>IF($J2375=0,0,ROUND(MAX($J2375*1.4*1.5*1.6*1.6*2.2*2.715*2.6*1.4*1.4*1.5*1.5*3.2,60500000000*(1.654288^(MIN($E2375,123)-117)))*1,0))</f>
        <v>4883146766</v>
      </c>
    </row>
    <row r="2376" ht="28" customHeight="1" spans="1:34" x14ac:dyDescent="0.25">
      <c r="A2376">
        <v>2386</v>
      </c>
      <c r="B2376" t="s">
        <v>1316</v>
      </c>
      <c r="C2376" s="10" t="s">
        <v>1421</v>
      </c>
      <c r="D2376" t="s">
        <v>45</v>
      </c>
      <c r="E2376">
        <v>112</v>
      </c>
      <c r="F2376" t="s">
        <v>136</v>
      </c>
      <c r="G2376" t="s">
        <v>832</v>
      </c>
      <c r="H2376">
        <v>26</v>
      </c>
      <c r="I2376" s="11">
        <v>112</v>
      </c>
      <c r="J2376" s="12">
        <v>163000</v>
      </c>
      <c r="K2376" s="13">
        <f>$E2376+1</f>
        <v>113</v>
      </c>
      <c r="L2376" s="14">
        <f>IF($J2376=0,0,ROUND(MAX($J2376*1.4,1620000*(1.497923^(MIN($E2376,123)-117)))*1,0))</f>
        <v>228200</v>
      </c>
      <c r="M2376" s="11">
        <f>$E2376+2</f>
        <v>114</v>
      </c>
      <c r="N2376" s="12">
        <f>IF($J2376=0,0,ROUND(MAX($J2376*1.4*1.5,2190000*(1.580994^(MIN($E2376,123)-117)))*1,0))</f>
        <v>342300</v>
      </c>
      <c r="O2376" s="13">
        <f>$E2376+4</f>
        <v>116</v>
      </c>
      <c r="P2376" s="14">
        <f>IF($J2376=0,0,ROUND(MAX($J2376*1.4*1.5*1.6,3500000*(1.57975^(MIN($E2376,123)-117)))*1,0))</f>
        <v>547680</v>
      </c>
      <c r="Q2376" s="11">
        <f>$E2376+6</f>
        <v>118</v>
      </c>
      <c r="R2376" s="12">
        <f>IF($J2376=0,0,ROUND(MAX($J2376*1.4*1.5*1.6*1.6,13100000*(1.429962^(MIN($E2376,123)-117)))*1,0))</f>
        <v>2191032</v>
      </c>
      <c r="S2376" s="13">
        <f>$E2376+8</f>
        <v>120</v>
      </c>
      <c r="T2376" s="14">
        <f>IF($J2376=0,0,ROUND(MAX($J2376*1.4*1.5*1.6*1.6*2.2,42600000*(1.576904^(MIN($E2376,123)-117)))*1,0))</f>
        <v>4369013</v>
      </c>
      <c r="U2376" s="11">
        <f>$E2376+11</f>
        <v>123</v>
      </c>
      <c r="V2376" s="12">
        <f>IF($J2376=0,0,ROUND(MAX($J2376*1.4*1.5*1.6*1.6*2.2*2.715,354000000*(1.642074^(MIN($E2376,123)-117)))*1,0))</f>
        <v>29651020</v>
      </c>
      <c r="W2376" s="13">
        <f>$E2376+15</f>
        <v>127</v>
      </c>
      <c r="X2376" s="14">
        <f>IF($J2376=0,0,ROUND(MAX($J2376*1.4*1.5*1.6*1.6*2.2*2.715*2.6,3540000000*(1.579646^(MIN($E2376,123)-117)))*1,0))</f>
        <v>359918692</v>
      </c>
      <c r="Y2376" s="11">
        <f>$E2376+17</f>
        <v>129</v>
      </c>
      <c r="Z2376" s="12">
        <f>IF($J2376=0,0,ROUND(MAX($J2376*1.4*1.5*1.6*1.6*2.2*2.715*2.6*1.4,6020000000*(1.651178^(MIN($E2376,123)-117)))*1,0))</f>
        <v>490486461</v>
      </c>
      <c r="AA2376" s="13">
        <f>$E2376+19</f>
        <v>131</v>
      </c>
      <c r="AB2376" s="14">
        <f>IF($J2376=0,0,ROUND(MAX($J2376*1.4*1.5*1.6*1.6*2.2*2.715*2.6*1.4*1.4,8430000000*(1.651435^(MIN($E2376,123)-117)))*1,0))</f>
        <v>686309723</v>
      </c>
      <c r="AC2376" s="11">
        <f>$E2376+21</f>
        <v>133</v>
      </c>
      <c r="AD2376" s="12">
        <f>IF($J2376=0,0,ROUND(MAX($J2376*1.4*1.5*1.6*1.6*2.2*2.715*2.6*1.4*1.4*1.5,12600000000*(1.652953^(MIN($E2376,123)-117)))*1,0))</f>
        <v>1021099398</v>
      </c>
      <c r="AE2376" s="13">
        <f>$E2376+24</f>
        <v>136</v>
      </c>
      <c r="AF2376" s="14">
        <f>IF($J2376=0,0,ROUND(MAX($J2376*1.4*1.5*1.6*1.6*2.2*2.715*2.6*1.4*1.4*1.5*1.5,18900000000*(1.65331^(MIN($E2376,123)-117)))*1,0))</f>
        <v>1529996162</v>
      </c>
      <c r="AG2376" s="11">
        <f>$E2376+27</f>
        <v>139</v>
      </c>
      <c r="AH2376" s="12">
        <f>IF($J2376=0,0,ROUND(MAX($J2376*1.4*1.5*1.6*1.6*2.2*2.715*2.6*1.4*1.4*1.5*1.5*3.2,60500000000*(1.654288^(MIN($E2376,123)-117)))*1,0))</f>
        <v>4883146766</v>
      </c>
    </row>
    <row r="2377" ht="28" customHeight="1" spans="1:34" x14ac:dyDescent="0.25">
      <c r="A2377">
        <v>2387</v>
      </c>
      <c r="B2377" t="s">
        <v>945</v>
      </c>
      <c r="C2377" s="10" t="s">
        <v>1421</v>
      </c>
      <c r="D2377" t="s">
        <v>102</v>
      </c>
      <c r="E2377">
        <v>112</v>
      </c>
      <c r="F2377" t="s">
        <v>42</v>
      </c>
      <c r="G2377" t="s">
        <v>595</v>
      </c>
      <c r="H2377">
        <v>26</v>
      </c>
      <c r="I2377" s="11">
        <v>112</v>
      </c>
      <c r="J2377" s="12">
        <v>90000</v>
      </c>
      <c r="K2377" s="13">
        <f>$E2377+1</f>
        <v>113</v>
      </c>
      <c r="L2377" s="14">
        <f>IF($J2377=0,0,ROUND(MAX($J2377*1.4,1620000*(1.497923^(MIN($E2377,123)-117)))*1,0))</f>
        <v>214816</v>
      </c>
      <c r="M2377" s="11">
        <f>$E2377+2</f>
        <v>114</v>
      </c>
      <c r="N2377" s="12">
        <f>IF($J2377=0,0,ROUND(MAX($J2377*1.4*1.5,2190000*(1.580994^(MIN($E2377,123)-117)))*1,0))</f>
        <v>221714</v>
      </c>
      <c r="O2377" s="13">
        <f>$E2377+4</f>
        <v>116</v>
      </c>
      <c r="P2377" s="14">
        <f>IF($J2377=0,0,ROUND(MAX($J2377*1.4*1.5*1.6,3500000*(1.57975^(MIN($E2377,123)-117)))*1,0))</f>
        <v>355735</v>
      </c>
      <c r="Q2377" s="11">
        <f>$E2377+6</f>
        <v>118</v>
      </c>
      <c r="R2377" s="12">
        <f>IF($J2377=0,0,ROUND(MAX($J2377*1.4*1.5*1.6*1.6,13100000*(1.429962^(MIN($E2377,123)-117)))*1,0))</f>
        <v>2191032</v>
      </c>
      <c r="S2377" s="13">
        <f>$E2377+8</f>
        <v>120</v>
      </c>
      <c r="T2377" s="14">
        <f>IF($J2377=0,0,ROUND(MAX($J2377*1.4*1.5*1.6*1.6*2.2,42600000*(1.576904^(MIN($E2377,123)-117)))*1,0))</f>
        <v>4369013</v>
      </c>
      <c r="U2377" s="11">
        <f>$E2377+11</f>
        <v>123</v>
      </c>
      <c r="V2377" s="12">
        <f>IF($J2377=0,0,ROUND(MAX($J2377*1.4*1.5*1.6*1.6*2.2*2.715,354000000*(1.642074^(MIN($E2377,123)-117)))*1,0))</f>
        <v>29651020</v>
      </c>
      <c r="W2377" s="13">
        <f>$E2377+15</f>
        <v>127</v>
      </c>
      <c r="X2377" s="14">
        <f>IF($J2377=0,0,ROUND(MAX($J2377*1.4*1.5*1.6*1.6*2.2*2.715*2.6,3540000000*(1.579646^(MIN($E2377,123)-117)))*1,0))</f>
        <v>359918692</v>
      </c>
      <c r="Y2377" s="11">
        <f>$E2377+17</f>
        <v>129</v>
      </c>
      <c r="Z2377" s="12">
        <f>IF($J2377=0,0,ROUND(MAX($J2377*1.4*1.5*1.6*1.6*2.2*2.715*2.6*1.4,6020000000*(1.651178^(MIN($E2377,123)-117)))*1,0))</f>
        <v>490486461</v>
      </c>
      <c r="AA2377" s="13">
        <f>$E2377+19</f>
        <v>131</v>
      </c>
      <c r="AB2377" s="14">
        <f>IF($J2377=0,0,ROUND(MAX($J2377*1.4*1.5*1.6*1.6*2.2*2.715*2.6*1.4*1.4,8430000000*(1.651435^(MIN($E2377,123)-117)))*1,0))</f>
        <v>686309723</v>
      </c>
      <c r="AC2377" s="11">
        <f>$E2377+21</f>
        <v>133</v>
      </c>
      <c r="AD2377" s="12">
        <f>IF($J2377=0,0,ROUND(MAX($J2377*1.4*1.5*1.6*1.6*2.2*2.715*2.6*1.4*1.4*1.5,12600000000*(1.652953^(MIN($E2377,123)-117)))*1,0))</f>
        <v>1021099398</v>
      </c>
      <c r="AE2377" s="13">
        <f>$E2377+24</f>
        <v>136</v>
      </c>
      <c r="AF2377" s="14">
        <f>IF($J2377=0,0,ROUND(MAX($J2377*1.4*1.5*1.6*1.6*2.2*2.715*2.6*1.4*1.4*1.5*1.5,18900000000*(1.65331^(MIN($E2377,123)-117)))*1,0))</f>
        <v>1529996162</v>
      </c>
      <c r="AG2377" s="11">
        <f>$E2377+27</f>
        <v>139</v>
      </c>
      <c r="AH2377" s="12">
        <f>IF($J2377=0,0,ROUND(MAX($J2377*1.4*1.5*1.6*1.6*2.2*2.715*2.6*1.4*1.4*1.5*1.5*3.2,60500000000*(1.654288^(MIN($E2377,123)-117)))*1,0))</f>
        <v>4883146766</v>
      </c>
    </row>
    <row r="2378" ht="28" customHeight="1" spans="1:34" x14ac:dyDescent="0.25">
      <c r="A2378">
        <v>2388</v>
      </c>
      <c r="B2378" t="s">
        <v>1441</v>
      </c>
      <c r="C2378" s="10" t="s">
        <v>1421</v>
      </c>
      <c r="D2378" t="s">
        <v>102</v>
      </c>
      <c r="E2378">
        <v>112</v>
      </c>
      <c r="F2378" t="s">
        <v>62</v>
      </c>
      <c r="G2378" t="s">
        <v>104</v>
      </c>
      <c r="H2378">
        <v>26</v>
      </c>
      <c r="I2378" s="11">
        <v>112</v>
      </c>
      <c r="J2378" s="12">
        <v>118000</v>
      </c>
      <c r="K2378" s="13">
        <f>$E2378+1</f>
        <v>113</v>
      </c>
      <c r="L2378" s="14">
        <f>IF($J2378=0,0,ROUND(MAX($J2378*1.4,1620000*(1.497923^(MIN($E2378,123)-117)))*1,0))</f>
        <v>214816</v>
      </c>
      <c r="M2378" s="11">
        <f>$E2378+2</f>
        <v>114</v>
      </c>
      <c r="N2378" s="12">
        <f>IF($J2378=0,0,ROUND(MAX($J2378*1.4*1.5,2190000*(1.580994^(MIN($E2378,123)-117)))*1,0))</f>
        <v>247800</v>
      </c>
      <c r="O2378" s="13">
        <f>$E2378+4</f>
        <v>116</v>
      </c>
      <c r="P2378" s="14">
        <f>IF($J2378=0,0,ROUND(MAX($J2378*1.4*1.5*1.6,3500000*(1.57975^(MIN($E2378,123)-117)))*1,0))</f>
        <v>396480</v>
      </c>
      <c r="Q2378" s="11">
        <f>$E2378+6</f>
        <v>118</v>
      </c>
      <c r="R2378" s="12">
        <f>IF($J2378=0,0,ROUND(MAX($J2378*1.4*1.5*1.6*1.6,13100000*(1.429962^(MIN($E2378,123)-117)))*1,0))</f>
        <v>2191032</v>
      </c>
      <c r="S2378" s="13">
        <f>$E2378+8</f>
        <v>120</v>
      </c>
      <c r="T2378" s="14">
        <f>IF($J2378=0,0,ROUND(MAX($J2378*1.4*1.5*1.6*1.6*2.2,42600000*(1.576904^(MIN($E2378,123)-117)))*1,0))</f>
        <v>4369013</v>
      </c>
      <c r="U2378" s="11">
        <f>$E2378+11</f>
        <v>123</v>
      </c>
      <c r="V2378" s="12">
        <f>IF($J2378=0,0,ROUND(MAX($J2378*1.4*1.5*1.6*1.6*2.2*2.715,354000000*(1.642074^(MIN($E2378,123)-117)))*1,0))</f>
        <v>29651020</v>
      </c>
      <c r="W2378" s="13">
        <f>$E2378+15</f>
        <v>127</v>
      </c>
      <c r="X2378" s="14">
        <f>IF($J2378=0,0,ROUND(MAX($J2378*1.4*1.5*1.6*1.6*2.2*2.715*2.6,3540000000*(1.579646^(MIN($E2378,123)-117)))*1,0))</f>
        <v>359918692</v>
      </c>
      <c r="Y2378" s="11">
        <f>$E2378+17</f>
        <v>129</v>
      </c>
      <c r="Z2378" s="12">
        <f>IF($J2378=0,0,ROUND(MAX($J2378*1.4*1.5*1.6*1.6*2.2*2.715*2.6*1.4,6020000000*(1.651178^(MIN($E2378,123)-117)))*1,0))</f>
        <v>490486461</v>
      </c>
      <c r="AA2378" s="13">
        <f>$E2378+19</f>
        <v>131</v>
      </c>
      <c r="AB2378" s="14">
        <f>IF($J2378=0,0,ROUND(MAX($J2378*1.4*1.5*1.6*1.6*2.2*2.715*2.6*1.4*1.4,8430000000*(1.651435^(MIN($E2378,123)-117)))*1,0))</f>
        <v>686309723</v>
      </c>
      <c r="AC2378" s="11">
        <f>$E2378+21</f>
        <v>133</v>
      </c>
      <c r="AD2378" s="12">
        <f>IF($J2378=0,0,ROUND(MAX($J2378*1.4*1.5*1.6*1.6*2.2*2.715*2.6*1.4*1.4*1.5,12600000000*(1.652953^(MIN($E2378,123)-117)))*1,0))</f>
        <v>1021099398</v>
      </c>
      <c r="AE2378" s="13">
        <f>$E2378+24</f>
        <v>136</v>
      </c>
      <c r="AF2378" s="14">
        <f>IF($J2378=0,0,ROUND(MAX($J2378*1.4*1.5*1.6*1.6*2.2*2.715*2.6*1.4*1.4*1.5*1.5,18900000000*(1.65331^(MIN($E2378,123)-117)))*1,0))</f>
        <v>1529996162</v>
      </c>
      <c r="AG2378" s="11">
        <f>$E2378+27</f>
        <v>139</v>
      </c>
      <c r="AH2378" s="12">
        <f>IF($J2378=0,0,ROUND(MAX($J2378*1.4*1.5*1.6*1.6*2.2*2.715*2.6*1.4*1.4*1.5*1.5*3.2,60500000000*(1.654288^(MIN($E2378,123)-117)))*1,0))</f>
        <v>4883146766</v>
      </c>
    </row>
    <row r="2379" ht="28" customHeight="1" spans="1:34" x14ac:dyDescent="0.25">
      <c r="A2379">
        <v>2389</v>
      </c>
      <c r="B2379" t="s">
        <v>1061</v>
      </c>
      <c r="C2379" s="10" t="s">
        <v>1421</v>
      </c>
      <c r="D2379" t="s">
        <v>45</v>
      </c>
      <c r="E2379">
        <v>112</v>
      </c>
      <c r="F2379" t="s">
        <v>56</v>
      </c>
      <c r="G2379" t="s">
        <v>126</v>
      </c>
      <c r="H2379">
        <v>26</v>
      </c>
      <c r="I2379" s="11">
        <v>112</v>
      </c>
      <c r="J2379" s="12">
        <v>161000</v>
      </c>
      <c r="K2379" s="13">
        <f>$E2379+1</f>
        <v>113</v>
      </c>
      <c r="L2379" s="14">
        <f>IF($J2379=0,0,ROUND(MAX($J2379*1.4,1620000*(1.497923^(MIN($E2379,123)-117)))*1,0))</f>
        <v>225400</v>
      </c>
      <c r="M2379" s="11">
        <f>$E2379+2</f>
        <v>114</v>
      </c>
      <c r="N2379" s="12">
        <f>IF($J2379=0,0,ROUND(MAX($J2379*1.4*1.5,2190000*(1.580994^(MIN($E2379,123)-117)))*1,0))</f>
        <v>338100</v>
      </c>
      <c r="O2379" s="13">
        <f>$E2379+4</f>
        <v>116</v>
      </c>
      <c r="P2379" s="14">
        <f>IF($J2379=0,0,ROUND(MAX($J2379*1.4*1.5*1.6,3500000*(1.57975^(MIN($E2379,123)-117)))*1,0))</f>
        <v>540960</v>
      </c>
      <c r="Q2379" s="11">
        <f>$E2379+6</f>
        <v>118</v>
      </c>
      <c r="R2379" s="12">
        <f>IF($J2379=0,0,ROUND(MAX($J2379*1.4*1.5*1.6*1.6,13100000*(1.429962^(MIN($E2379,123)-117)))*1,0))</f>
        <v>2191032</v>
      </c>
      <c r="S2379" s="13">
        <f>$E2379+8</f>
        <v>120</v>
      </c>
      <c r="T2379" s="14">
        <f>IF($J2379=0,0,ROUND(MAX($J2379*1.4*1.5*1.6*1.6*2.2,42600000*(1.576904^(MIN($E2379,123)-117)))*1,0))</f>
        <v>4369013</v>
      </c>
      <c r="U2379" s="11">
        <f>$E2379+11</f>
        <v>123</v>
      </c>
      <c r="V2379" s="12">
        <f>IF($J2379=0,0,ROUND(MAX($J2379*1.4*1.5*1.6*1.6*2.2*2.715,354000000*(1.642074^(MIN($E2379,123)-117)))*1,0))</f>
        <v>29651020</v>
      </c>
      <c r="W2379" s="13">
        <f>$E2379+15</f>
        <v>127</v>
      </c>
      <c r="X2379" s="14">
        <f>IF($J2379=0,0,ROUND(MAX($J2379*1.4*1.5*1.6*1.6*2.2*2.715*2.6,3540000000*(1.579646^(MIN($E2379,123)-117)))*1,0))</f>
        <v>359918692</v>
      </c>
      <c r="Y2379" s="11">
        <f>$E2379+17</f>
        <v>129</v>
      </c>
      <c r="Z2379" s="12">
        <f>IF($J2379=0,0,ROUND(MAX($J2379*1.4*1.5*1.6*1.6*2.2*2.715*2.6*1.4,6020000000*(1.651178^(MIN($E2379,123)-117)))*1,0))</f>
        <v>490486461</v>
      </c>
      <c r="AA2379" s="13">
        <f>$E2379+19</f>
        <v>131</v>
      </c>
      <c r="AB2379" s="14">
        <f>IF($J2379=0,0,ROUND(MAX($J2379*1.4*1.5*1.6*1.6*2.2*2.715*2.6*1.4*1.4,8430000000*(1.651435^(MIN($E2379,123)-117)))*1,0))</f>
        <v>686309723</v>
      </c>
      <c r="AC2379" s="11">
        <f>$E2379+21</f>
        <v>133</v>
      </c>
      <c r="AD2379" s="12">
        <f>IF($J2379=0,0,ROUND(MAX($J2379*1.4*1.5*1.6*1.6*2.2*2.715*2.6*1.4*1.4*1.5,12600000000*(1.652953^(MIN($E2379,123)-117)))*1,0))</f>
        <v>1021099398</v>
      </c>
      <c r="AE2379" s="13">
        <f>$E2379+24</f>
        <v>136</v>
      </c>
      <c r="AF2379" s="14">
        <f>IF($J2379=0,0,ROUND(MAX($J2379*1.4*1.5*1.6*1.6*2.2*2.715*2.6*1.4*1.4*1.5*1.5,18900000000*(1.65331^(MIN($E2379,123)-117)))*1,0))</f>
        <v>1529996162</v>
      </c>
      <c r="AG2379" s="11">
        <f>$E2379+27</f>
        <v>139</v>
      </c>
      <c r="AH2379" s="12">
        <f>IF($J2379=0,0,ROUND(MAX($J2379*1.4*1.5*1.6*1.6*2.2*2.715*2.6*1.4*1.4*1.5*1.5*3.2,60500000000*(1.654288^(MIN($E2379,123)-117)))*1,0))</f>
        <v>4883146766</v>
      </c>
    </row>
    <row r="2380" ht="28" customHeight="1" spans="1:34" x14ac:dyDescent="0.25">
      <c r="A2380">
        <v>2390</v>
      </c>
      <c r="B2380" t="s">
        <v>1442</v>
      </c>
      <c r="C2380" s="10" t="s">
        <v>1421</v>
      </c>
      <c r="D2380" t="s">
        <v>45</v>
      </c>
      <c r="E2380">
        <v>112</v>
      </c>
      <c r="F2380" t="s">
        <v>56</v>
      </c>
      <c r="G2380" t="s">
        <v>832</v>
      </c>
      <c r="H2380">
        <v>26</v>
      </c>
      <c r="I2380" s="11">
        <v>112</v>
      </c>
      <c r="J2380" s="12">
        <v>136000</v>
      </c>
      <c r="K2380" s="13">
        <f>$E2380+1</f>
        <v>113</v>
      </c>
      <c r="L2380" s="14">
        <f>IF($J2380=0,0,ROUND(MAX($J2380*1.4,1620000*(1.497923^(MIN($E2380,123)-117)))*1,0))</f>
        <v>214816</v>
      </c>
      <c r="M2380" s="11">
        <f>$E2380+2</f>
        <v>114</v>
      </c>
      <c r="N2380" s="12">
        <f>IF($J2380=0,0,ROUND(MAX($J2380*1.4*1.5,2190000*(1.580994^(MIN($E2380,123)-117)))*1,0))</f>
        <v>285600</v>
      </c>
      <c r="O2380" s="13">
        <f>$E2380+4</f>
        <v>116</v>
      </c>
      <c r="P2380" s="14">
        <f>IF($J2380=0,0,ROUND(MAX($J2380*1.4*1.5*1.6,3500000*(1.57975^(MIN($E2380,123)-117)))*1,0))</f>
        <v>456960</v>
      </c>
      <c r="Q2380" s="11">
        <f>$E2380+6</f>
        <v>118</v>
      </c>
      <c r="R2380" s="12">
        <f>IF($J2380=0,0,ROUND(MAX($J2380*1.4*1.5*1.6*1.6,13100000*(1.429962^(MIN($E2380,123)-117)))*1,0))</f>
        <v>2191032</v>
      </c>
      <c r="S2380" s="13">
        <f>$E2380+8</f>
        <v>120</v>
      </c>
      <c r="T2380" s="14">
        <f>IF($J2380=0,0,ROUND(MAX($J2380*1.4*1.5*1.6*1.6*2.2,42600000*(1.576904^(MIN($E2380,123)-117)))*1,0))</f>
        <v>4369013</v>
      </c>
      <c r="U2380" s="11">
        <f>$E2380+11</f>
        <v>123</v>
      </c>
      <c r="V2380" s="12">
        <f>IF($J2380=0,0,ROUND(MAX($J2380*1.4*1.5*1.6*1.6*2.2*2.715,354000000*(1.642074^(MIN($E2380,123)-117)))*1,0))</f>
        <v>29651020</v>
      </c>
      <c r="W2380" s="13">
        <f>$E2380+15</f>
        <v>127</v>
      </c>
      <c r="X2380" s="14">
        <f>IF($J2380=0,0,ROUND(MAX($J2380*1.4*1.5*1.6*1.6*2.2*2.715*2.6,3540000000*(1.579646^(MIN($E2380,123)-117)))*1,0))</f>
        <v>359918692</v>
      </c>
      <c r="Y2380" s="11">
        <f>$E2380+17</f>
        <v>129</v>
      </c>
      <c r="Z2380" s="12">
        <f>IF($J2380=0,0,ROUND(MAX($J2380*1.4*1.5*1.6*1.6*2.2*2.715*2.6*1.4,6020000000*(1.651178^(MIN($E2380,123)-117)))*1,0))</f>
        <v>490486461</v>
      </c>
      <c r="AA2380" s="13">
        <f>$E2380+19</f>
        <v>131</v>
      </c>
      <c r="AB2380" s="14">
        <f>IF($J2380=0,0,ROUND(MAX($J2380*1.4*1.5*1.6*1.6*2.2*2.715*2.6*1.4*1.4,8430000000*(1.651435^(MIN($E2380,123)-117)))*1,0))</f>
        <v>686309723</v>
      </c>
      <c r="AC2380" s="11">
        <f>$E2380+21</f>
        <v>133</v>
      </c>
      <c r="AD2380" s="12">
        <f>IF($J2380=0,0,ROUND(MAX($J2380*1.4*1.5*1.6*1.6*2.2*2.715*2.6*1.4*1.4*1.5,12600000000*(1.652953^(MIN($E2380,123)-117)))*1,0))</f>
        <v>1021099398</v>
      </c>
      <c r="AE2380" s="13">
        <f>$E2380+24</f>
        <v>136</v>
      </c>
      <c r="AF2380" s="14">
        <f>IF($J2380=0,0,ROUND(MAX($J2380*1.4*1.5*1.6*1.6*2.2*2.715*2.6*1.4*1.4*1.5*1.5,18900000000*(1.65331^(MIN($E2380,123)-117)))*1,0))</f>
        <v>1529996162</v>
      </c>
      <c r="AG2380" s="11">
        <f>$E2380+27</f>
        <v>139</v>
      </c>
      <c r="AH2380" s="12">
        <f>IF($J2380=0,0,ROUND(MAX($J2380*1.4*1.5*1.6*1.6*2.2*2.715*2.6*1.4*1.4*1.5*1.5*3.2,60500000000*(1.654288^(MIN($E2380,123)-117)))*1,0))</f>
        <v>4883146766</v>
      </c>
    </row>
    <row r="2381" ht="28" customHeight="1" spans="1:34" x14ac:dyDescent="0.25">
      <c r="A2381">
        <v>2391</v>
      </c>
      <c r="B2381" t="s">
        <v>815</v>
      </c>
      <c r="C2381" s="10" t="s">
        <v>1421</v>
      </c>
      <c r="D2381" t="s">
        <v>90</v>
      </c>
      <c r="E2381">
        <v>112</v>
      </c>
      <c r="F2381" t="s">
        <v>56</v>
      </c>
      <c r="G2381" t="s">
        <v>816</v>
      </c>
      <c r="H2381">
        <v>26</v>
      </c>
      <c r="I2381" s="11">
        <v>112</v>
      </c>
      <c r="J2381" s="12">
        <v>125000</v>
      </c>
      <c r="K2381" s="13">
        <f>$E2381+1</f>
        <v>113</v>
      </c>
      <c r="L2381" s="14">
        <f>IF($J2381=0,0,ROUND(MAX($J2381*1.4,1620000*(1.497923^(MIN($E2381,123)-117)))*1,0))</f>
        <v>214816</v>
      </c>
      <c r="M2381" s="11">
        <f>$E2381+2</f>
        <v>114</v>
      </c>
      <c r="N2381" s="12">
        <f>IF($J2381=0,0,ROUND(MAX($J2381*1.4*1.5,2190000*(1.580994^(MIN($E2381,123)-117)))*1,0))</f>
        <v>262500</v>
      </c>
      <c r="O2381" s="13">
        <f>$E2381+4</f>
        <v>116</v>
      </c>
      <c r="P2381" s="14">
        <f>IF($J2381=0,0,ROUND(MAX($J2381*1.4*1.5*1.6,3500000*(1.57975^(MIN($E2381,123)-117)))*1,0))</f>
        <v>420000</v>
      </c>
      <c r="Q2381" s="11">
        <f>$E2381+6</f>
        <v>118</v>
      </c>
      <c r="R2381" s="12">
        <f>IF($J2381=0,0,ROUND(MAX($J2381*1.4*1.5*1.6*1.6,13100000*(1.429962^(MIN($E2381,123)-117)))*1,0))</f>
        <v>2191032</v>
      </c>
      <c r="S2381" s="13">
        <f>$E2381+8</f>
        <v>120</v>
      </c>
      <c r="T2381" s="14">
        <f>IF($J2381=0,0,ROUND(MAX($J2381*1.4*1.5*1.6*1.6*2.2,42600000*(1.576904^(MIN($E2381,123)-117)))*1,0))</f>
        <v>4369013</v>
      </c>
      <c r="U2381" s="11">
        <f>$E2381+11</f>
        <v>123</v>
      </c>
      <c r="V2381" s="12">
        <f>IF($J2381=0,0,ROUND(MAX($J2381*1.4*1.5*1.6*1.6*2.2*2.715,354000000*(1.642074^(MIN($E2381,123)-117)))*1,0))</f>
        <v>29651020</v>
      </c>
      <c r="W2381" s="13">
        <f>$E2381+15</f>
        <v>127</v>
      </c>
      <c r="X2381" s="14">
        <f>IF($J2381=0,0,ROUND(MAX($J2381*1.4*1.5*1.6*1.6*2.2*2.715*2.6,3540000000*(1.579646^(MIN($E2381,123)-117)))*1,0))</f>
        <v>359918692</v>
      </c>
      <c r="Y2381" s="11">
        <f>$E2381+17</f>
        <v>129</v>
      </c>
      <c r="Z2381" s="12">
        <f>IF($J2381=0,0,ROUND(MAX($J2381*1.4*1.5*1.6*1.6*2.2*2.715*2.6*1.4,6020000000*(1.651178^(MIN($E2381,123)-117)))*1,0))</f>
        <v>490486461</v>
      </c>
      <c r="AA2381" s="13">
        <f>$E2381+19</f>
        <v>131</v>
      </c>
      <c r="AB2381" s="14">
        <f>IF($J2381=0,0,ROUND(MAX($J2381*1.4*1.5*1.6*1.6*2.2*2.715*2.6*1.4*1.4,8430000000*(1.651435^(MIN($E2381,123)-117)))*1,0))</f>
        <v>686309723</v>
      </c>
      <c r="AC2381" s="11">
        <f>$E2381+21</f>
        <v>133</v>
      </c>
      <c r="AD2381" s="12">
        <f>IF($J2381=0,0,ROUND(MAX($J2381*1.4*1.5*1.6*1.6*2.2*2.715*2.6*1.4*1.4*1.5,12600000000*(1.652953^(MIN($E2381,123)-117)))*1,0))</f>
        <v>1021099398</v>
      </c>
      <c r="AE2381" s="13">
        <f>$E2381+24</f>
        <v>136</v>
      </c>
      <c r="AF2381" s="14">
        <f>IF($J2381=0,0,ROUND(MAX($J2381*1.4*1.5*1.6*1.6*2.2*2.715*2.6*1.4*1.4*1.5*1.5,18900000000*(1.65331^(MIN($E2381,123)-117)))*1,0))</f>
        <v>1529996162</v>
      </c>
      <c r="AG2381" s="11">
        <f>$E2381+27</f>
        <v>139</v>
      </c>
      <c r="AH2381" s="12">
        <f>IF($J2381=0,0,ROUND(MAX($J2381*1.4*1.5*1.6*1.6*2.2*2.715*2.6*1.4*1.4*1.5*1.5*3.2,60500000000*(1.654288^(MIN($E2381,123)-117)))*1,0))</f>
        <v>4883146766</v>
      </c>
    </row>
    <row r="2382" ht="28" customHeight="1" spans="1:34" x14ac:dyDescent="0.25">
      <c r="A2382">
        <v>2392</v>
      </c>
      <c r="B2382" t="s">
        <v>1443</v>
      </c>
      <c r="C2382" s="10" t="s">
        <v>1421</v>
      </c>
      <c r="D2382" t="s">
        <v>45</v>
      </c>
      <c r="E2382">
        <v>112</v>
      </c>
      <c r="F2382" t="s">
        <v>30</v>
      </c>
      <c r="G2382" t="s">
        <v>595</v>
      </c>
      <c r="H2382">
        <v>25</v>
      </c>
      <c r="I2382" s="11">
        <v>112</v>
      </c>
      <c r="J2382" s="12">
        <v>144000</v>
      </c>
      <c r="K2382" s="13">
        <f>$E2382+1</f>
        <v>113</v>
      </c>
      <c r="L2382" s="14">
        <f>IF($J2382=0,0,ROUND(MAX($J2382*1.4,1620000*(1.497923^(MIN($E2382,123)-117)))*1,0))</f>
        <v>214816</v>
      </c>
      <c r="M2382" s="11">
        <f>$E2382+2</f>
        <v>114</v>
      </c>
      <c r="N2382" s="12">
        <f>IF($J2382=0,0,ROUND(MAX($J2382*1.4*1.5,2190000*(1.580994^(MIN($E2382,123)-117)))*1,0))</f>
        <v>302400</v>
      </c>
      <c r="O2382" s="13">
        <f>$E2382+4</f>
        <v>116</v>
      </c>
      <c r="P2382" s="14">
        <f>IF($J2382=0,0,ROUND(MAX($J2382*1.4*1.5*1.6,3500000*(1.57975^(MIN($E2382,123)-117)))*1,0))</f>
        <v>483840</v>
      </c>
      <c r="Q2382" s="11">
        <f>$E2382+6</f>
        <v>118</v>
      </c>
      <c r="R2382" s="12">
        <f>IF($J2382=0,0,ROUND(MAX($J2382*1.4*1.5*1.6*1.6,13100000*(1.429962^(MIN($E2382,123)-117)))*1,0))</f>
        <v>2191032</v>
      </c>
      <c r="S2382" s="13">
        <f>$E2382+8</f>
        <v>120</v>
      </c>
      <c r="T2382" s="14">
        <f>IF($J2382=0,0,ROUND(MAX($J2382*1.4*1.5*1.6*1.6*2.2,42600000*(1.576904^(MIN($E2382,123)-117)))*1,0))</f>
        <v>4369013</v>
      </c>
      <c r="U2382" s="11">
        <f>$E2382+11</f>
        <v>123</v>
      </c>
      <c r="V2382" s="12">
        <f>IF($J2382=0,0,ROUND(MAX($J2382*1.4*1.5*1.6*1.6*2.2*2.715,354000000*(1.642074^(MIN($E2382,123)-117)))*1,0))</f>
        <v>29651020</v>
      </c>
      <c r="W2382" s="13">
        <f>$E2382+15</f>
        <v>127</v>
      </c>
      <c r="X2382" s="14">
        <f>IF($J2382=0,0,ROUND(MAX($J2382*1.4*1.5*1.6*1.6*2.2*2.715*2.6,3540000000*(1.579646^(MIN($E2382,123)-117)))*1,0))</f>
        <v>359918692</v>
      </c>
      <c r="Y2382" s="11">
        <f>$E2382+17</f>
        <v>129</v>
      </c>
      <c r="Z2382" s="12">
        <f>IF($J2382=0,0,ROUND(MAX($J2382*1.4*1.5*1.6*1.6*2.2*2.715*2.6*1.4,6020000000*(1.651178^(MIN($E2382,123)-117)))*1,0))</f>
        <v>490486461</v>
      </c>
      <c r="AA2382" s="13">
        <f>$E2382+19</f>
        <v>131</v>
      </c>
      <c r="AB2382" s="14">
        <f>IF($J2382=0,0,ROUND(MAX($J2382*1.4*1.5*1.6*1.6*2.2*2.715*2.6*1.4*1.4,8430000000*(1.651435^(MIN($E2382,123)-117)))*1,0))</f>
        <v>686309723</v>
      </c>
      <c r="AC2382" s="11">
        <f>$E2382+21</f>
        <v>133</v>
      </c>
      <c r="AD2382" s="12">
        <f>IF($J2382=0,0,ROUND(MAX($J2382*1.4*1.5*1.6*1.6*2.2*2.715*2.6*1.4*1.4*1.5,12600000000*(1.652953^(MIN($E2382,123)-117)))*1,0))</f>
        <v>1021099398</v>
      </c>
      <c r="AE2382" s="13">
        <f>$E2382+24</f>
        <v>136</v>
      </c>
      <c r="AF2382" s="14">
        <f>IF($J2382=0,0,ROUND(MAX($J2382*1.4*1.5*1.6*1.6*2.2*2.715*2.6*1.4*1.4*1.5*1.5,18900000000*(1.65331^(MIN($E2382,123)-117)))*1,0))</f>
        <v>1529996162</v>
      </c>
      <c r="AG2382" s="11">
        <f>$E2382+27</f>
        <v>139</v>
      </c>
      <c r="AH2382" s="12">
        <f>IF($J2382=0,0,ROUND(MAX($J2382*1.4*1.5*1.6*1.6*2.2*2.715*2.6*1.4*1.4*1.5*1.5*3.2,60500000000*(1.654288^(MIN($E2382,123)-117)))*1,0))</f>
        <v>4883146766</v>
      </c>
    </row>
    <row r="2383" ht="28" customHeight="1" spans="1:34" x14ac:dyDescent="0.25">
      <c r="A2383">
        <v>2393</v>
      </c>
      <c r="B2383" t="s">
        <v>332</v>
      </c>
      <c r="C2383" s="10" t="s">
        <v>1421</v>
      </c>
      <c r="D2383" t="s">
        <v>102</v>
      </c>
      <c r="E2383">
        <v>112</v>
      </c>
      <c r="F2383" t="s">
        <v>34</v>
      </c>
      <c r="G2383" t="s">
        <v>290</v>
      </c>
      <c r="H2383">
        <v>25</v>
      </c>
      <c r="I2383" s="11">
        <v>112</v>
      </c>
      <c r="J2383" s="12">
        <v>96000</v>
      </c>
      <c r="K2383" s="13">
        <f>$E2383+1</f>
        <v>113</v>
      </c>
      <c r="L2383" s="14">
        <f>IF($J2383=0,0,ROUND(MAX($J2383*1.4,1620000*(1.497923^(MIN($E2383,123)-117)))*1,0))</f>
        <v>214816</v>
      </c>
      <c r="M2383" s="11">
        <f>$E2383+2</f>
        <v>114</v>
      </c>
      <c r="N2383" s="12">
        <f>IF($J2383=0,0,ROUND(MAX($J2383*1.4*1.5,2190000*(1.580994^(MIN($E2383,123)-117)))*1,0))</f>
        <v>221714</v>
      </c>
      <c r="O2383" s="13">
        <f>$E2383+4</f>
        <v>116</v>
      </c>
      <c r="P2383" s="14">
        <f>IF($J2383=0,0,ROUND(MAX($J2383*1.4*1.5*1.6,3500000*(1.57975^(MIN($E2383,123)-117)))*1,0))</f>
        <v>355735</v>
      </c>
      <c r="Q2383" s="11">
        <f>$E2383+6</f>
        <v>118</v>
      </c>
      <c r="R2383" s="12">
        <f>IF($J2383=0,0,ROUND(MAX($J2383*1.4*1.5*1.6*1.6,13100000*(1.429962^(MIN($E2383,123)-117)))*1,0))</f>
        <v>2191032</v>
      </c>
      <c r="S2383" s="13">
        <f>$E2383+8</f>
        <v>120</v>
      </c>
      <c r="T2383" s="14">
        <f>IF($J2383=0,0,ROUND(MAX($J2383*1.4*1.5*1.6*1.6*2.2,42600000*(1.576904^(MIN($E2383,123)-117)))*1,0))</f>
        <v>4369013</v>
      </c>
      <c r="U2383" s="11">
        <f>$E2383+11</f>
        <v>123</v>
      </c>
      <c r="V2383" s="12">
        <f>IF($J2383=0,0,ROUND(MAX($J2383*1.4*1.5*1.6*1.6*2.2*2.715,354000000*(1.642074^(MIN($E2383,123)-117)))*1,0))</f>
        <v>29651020</v>
      </c>
      <c r="W2383" s="13">
        <f>$E2383+15</f>
        <v>127</v>
      </c>
      <c r="X2383" s="14">
        <f>IF($J2383=0,0,ROUND(MAX($J2383*1.4*1.5*1.6*1.6*2.2*2.715*2.6,3540000000*(1.579646^(MIN($E2383,123)-117)))*1,0))</f>
        <v>359918692</v>
      </c>
      <c r="Y2383" s="11">
        <f>$E2383+17</f>
        <v>129</v>
      </c>
      <c r="Z2383" s="12">
        <f>IF($J2383=0,0,ROUND(MAX($J2383*1.4*1.5*1.6*1.6*2.2*2.715*2.6*1.4,6020000000*(1.651178^(MIN($E2383,123)-117)))*1,0))</f>
        <v>490486461</v>
      </c>
      <c r="AA2383" s="13">
        <f>$E2383+19</f>
        <v>131</v>
      </c>
      <c r="AB2383" s="14">
        <f>IF($J2383=0,0,ROUND(MAX($J2383*1.4*1.5*1.6*1.6*2.2*2.715*2.6*1.4*1.4,8430000000*(1.651435^(MIN($E2383,123)-117)))*1,0))</f>
        <v>686309723</v>
      </c>
      <c r="AC2383" s="11">
        <f>$E2383+21</f>
        <v>133</v>
      </c>
      <c r="AD2383" s="12">
        <f>IF($J2383=0,0,ROUND(MAX($J2383*1.4*1.5*1.6*1.6*2.2*2.715*2.6*1.4*1.4*1.5,12600000000*(1.652953^(MIN($E2383,123)-117)))*1,0))</f>
        <v>1021099398</v>
      </c>
      <c r="AE2383" s="13">
        <f>$E2383+24</f>
        <v>136</v>
      </c>
      <c r="AF2383" s="14">
        <f>IF($J2383=0,0,ROUND(MAX($J2383*1.4*1.5*1.6*1.6*2.2*2.715*2.6*1.4*1.4*1.5*1.5,18900000000*(1.65331^(MIN($E2383,123)-117)))*1,0))</f>
        <v>1529996162</v>
      </c>
      <c r="AG2383" s="11">
        <f>$E2383+27</f>
        <v>139</v>
      </c>
      <c r="AH2383" s="12">
        <f>IF($J2383=0,0,ROUND(MAX($J2383*1.4*1.5*1.6*1.6*2.2*2.715*2.6*1.4*1.4*1.5*1.5*3.2,60500000000*(1.654288^(MIN($E2383,123)-117)))*1,0))</f>
        <v>4883146766</v>
      </c>
    </row>
    <row r="2384" ht="28" customHeight="1" spans="1:34" x14ac:dyDescent="0.25">
      <c r="A2384">
        <v>2394</v>
      </c>
      <c r="B2384" t="s">
        <v>1444</v>
      </c>
      <c r="C2384" s="10" t="s">
        <v>1421</v>
      </c>
      <c r="D2384" t="s">
        <v>102</v>
      </c>
      <c r="E2384">
        <v>112</v>
      </c>
      <c r="F2384" t="s">
        <v>71</v>
      </c>
      <c r="G2384" t="s">
        <v>1058</v>
      </c>
      <c r="H2384">
        <v>25</v>
      </c>
      <c r="I2384" s="11">
        <v>112</v>
      </c>
      <c r="J2384" s="12">
        <v>142000</v>
      </c>
      <c r="K2384" s="13">
        <f>$E2384+1</f>
        <v>113</v>
      </c>
      <c r="L2384" s="14">
        <f>IF($J2384=0,0,ROUND(MAX($J2384*1.4,1620000*(1.497923^(MIN($E2384,123)-117)))*1,0))</f>
        <v>214816</v>
      </c>
      <c r="M2384" s="11">
        <f>$E2384+2</f>
        <v>114</v>
      </c>
      <c r="N2384" s="12">
        <f>IF($J2384=0,0,ROUND(MAX($J2384*1.4*1.5,2190000*(1.580994^(MIN($E2384,123)-117)))*1,0))</f>
        <v>298200</v>
      </c>
      <c r="O2384" s="13">
        <f>$E2384+4</f>
        <v>116</v>
      </c>
      <c r="P2384" s="14">
        <f>IF($J2384=0,0,ROUND(MAX($J2384*1.4*1.5*1.6,3500000*(1.57975^(MIN($E2384,123)-117)))*1,0))</f>
        <v>477120</v>
      </c>
      <c r="Q2384" s="11">
        <f>$E2384+6</f>
        <v>118</v>
      </c>
      <c r="R2384" s="12">
        <f>IF($J2384=0,0,ROUND(MAX($J2384*1.4*1.5*1.6*1.6,13100000*(1.429962^(MIN($E2384,123)-117)))*1,0))</f>
        <v>2191032</v>
      </c>
      <c r="S2384" s="13">
        <f>$E2384+8</f>
        <v>120</v>
      </c>
      <c r="T2384" s="14">
        <f>IF($J2384=0,0,ROUND(MAX($J2384*1.4*1.5*1.6*1.6*2.2,42600000*(1.576904^(MIN($E2384,123)-117)))*1,0))</f>
        <v>4369013</v>
      </c>
      <c r="U2384" s="11">
        <f>$E2384+11</f>
        <v>123</v>
      </c>
      <c r="V2384" s="12">
        <f>IF($J2384=0,0,ROUND(MAX($J2384*1.4*1.5*1.6*1.6*2.2*2.715,354000000*(1.642074^(MIN($E2384,123)-117)))*1,0))</f>
        <v>29651020</v>
      </c>
      <c r="W2384" s="13">
        <f>$E2384+15</f>
        <v>127</v>
      </c>
      <c r="X2384" s="14">
        <f>IF($J2384=0,0,ROUND(MAX($J2384*1.4*1.5*1.6*1.6*2.2*2.715*2.6,3540000000*(1.579646^(MIN($E2384,123)-117)))*1,0))</f>
        <v>359918692</v>
      </c>
      <c r="Y2384" s="11">
        <f>$E2384+17</f>
        <v>129</v>
      </c>
      <c r="Z2384" s="12">
        <f>IF($J2384=0,0,ROUND(MAX($J2384*1.4*1.5*1.6*1.6*2.2*2.715*2.6*1.4,6020000000*(1.651178^(MIN($E2384,123)-117)))*1,0))</f>
        <v>490486461</v>
      </c>
      <c r="AA2384" s="13">
        <f>$E2384+19</f>
        <v>131</v>
      </c>
      <c r="AB2384" s="14">
        <f>IF($J2384=0,0,ROUND(MAX($J2384*1.4*1.5*1.6*1.6*2.2*2.715*2.6*1.4*1.4,8430000000*(1.651435^(MIN($E2384,123)-117)))*1,0))</f>
        <v>686309723</v>
      </c>
      <c r="AC2384" s="11">
        <f>$E2384+21</f>
        <v>133</v>
      </c>
      <c r="AD2384" s="12">
        <f>IF($J2384=0,0,ROUND(MAX($J2384*1.4*1.5*1.6*1.6*2.2*2.715*2.6*1.4*1.4*1.5,12600000000*(1.652953^(MIN($E2384,123)-117)))*1,0))</f>
        <v>1021099398</v>
      </c>
      <c r="AE2384" s="13">
        <f>$E2384+24</f>
        <v>136</v>
      </c>
      <c r="AF2384" s="14">
        <f>IF($J2384=0,0,ROUND(MAX($J2384*1.4*1.5*1.6*1.6*2.2*2.715*2.6*1.4*1.4*1.5*1.5,18900000000*(1.65331^(MIN($E2384,123)-117)))*1,0))</f>
        <v>1529996162</v>
      </c>
      <c r="AG2384" s="11">
        <f>$E2384+27</f>
        <v>139</v>
      </c>
      <c r="AH2384" s="12">
        <f>IF($J2384=0,0,ROUND(MAX($J2384*1.4*1.5*1.6*1.6*2.2*2.715*2.6*1.4*1.4*1.5*1.5*3.2,60500000000*(1.654288^(MIN($E2384,123)-117)))*1,0))</f>
        <v>4883146766</v>
      </c>
    </row>
    <row r="2385" ht="28" customHeight="1" spans="1:34" x14ac:dyDescent="0.25">
      <c r="A2385">
        <v>2395</v>
      </c>
      <c r="B2385" t="s">
        <v>635</v>
      </c>
      <c r="C2385" s="10" t="s">
        <v>1421</v>
      </c>
      <c r="D2385" t="s">
        <v>40</v>
      </c>
      <c r="E2385">
        <v>111</v>
      </c>
      <c r="F2385" t="s">
        <v>310</v>
      </c>
      <c r="G2385" t="s">
        <v>27</v>
      </c>
      <c r="H2385">
        <v>27</v>
      </c>
      <c r="I2385" s="11">
        <v>111</v>
      </c>
      <c r="J2385" s="12">
        <v>88700</v>
      </c>
      <c r="K2385" s="13">
        <f>$E2385+1</f>
        <v>112</v>
      </c>
      <c r="L2385" s="14">
        <f>IF($J2385=0,0,ROUND(MAX($J2385*1.4,1620000*(1.497923^(MIN($E2385,123)-117)))*1,0))</f>
        <v>143410</v>
      </c>
      <c r="M2385" s="11">
        <f>$E2385+2</f>
        <v>113</v>
      </c>
      <c r="N2385" s="12">
        <f>IF($J2385=0,0,ROUND(MAX($J2385*1.4*1.5,2190000*(1.580994^(MIN($E2385,123)-117)))*1,0))</f>
        <v>186270</v>
      </c>
      <c r="O2385" s="13">
        <f>$E2385+4</f>
        <v>115</v>
      </c>
      <c r="P2385" s="14">
        <f>IF($J2385=0,0,ROUND(MAX($J2385*1.4*1.5*1.6,3500000*(1.57975^(MIN($E2385,123)-117)))*1,0))</f>
        <v>298032</v>
      </c>
      <c r="Q2385" s="11">
        <f>$E2385+6</f>
        <v>117</v>
      </c>
      <c r="R2385" s="12">
        <f>IF($J2385=0,0,ROUND(MAX($J2385*1.4*1.5*1.6*1.6,13100000*(1.429962^(MIN($E2385,123)-117)))*1,0))</f>
        <v>1532231</v>
      </c>
      <c r="S2385" s="13">
        <f>$E2385+8</f>
        <v>119</v>
      </c>
      <c r="T2385" s="14">
        <f>IF($J2385=0,0,ROUND(MAX($J2385*1.4*1.5*1.6*1.6*2.2,42600000*(1.576904^(MIN($E2385,123)-117)))*1,0))</f>
        <v>2770627</v>
      </c>
      <c r="U2385" s="11">
        <f>$E2385+11</f>
        <v>122</v>
      </c>
      <c r="V2385" s="12">
        <f>IF($J2385=0,0,ROUND(MAX($J2385*1.4*1.5*1.6*1.6*2.2*2.715,354000000*(1.642074^(MIN($E2385,123)-117)))*1,0))</f>
        <v>18057055</v>
      </c>
      <c r="W2385" s="13">
        <f>$E2385+15</f>
        <v>126</v>
      </c>
      <c r="X2385" s="14">
        <f>IF($J2385=0,0,ROUND(MAX($J2385*1.4*1.5*1.6*1.6*2.2*2.715*2.6,3540000000*(1.579646^(MIN($E2385,123)-117)))*1,0))</f>
        <v>227847690</v>
      </c>
      <c r="Y2385" s="11">
        <f>$E2385+17</f>
        <v>128</v>
      </c>
      <c r="Z2385" s="12">
        <f>IF($J2385=0,0,ROUND(MAX($J2385*1.4*1.5*1.6*1.6*2.2*2.715*2.6*1.4,6020000000*(1.651178^(MIN($E2385,123)-117)))*1,0))</f>
        <v>297052444</v>
      </c>
      <c r="AA2385" s="13">
        <f>$E2385+19</f>
        <v>130</v>
      </c>
      <c r="AB2385" s="14">
        <f>IF($J2385=0,0,ROUND(MAX($J2385*1.4*1.5*1.6*1.6*2.2*2.715*2.6*1.4*1.4,8430000000*(1.651435^(MIN($E2385,123)-117)))*1,0))</f>
        <v>415583854</v>
      </c>
      <c r="AC2385" s="11">
        <f>$E2385+21</f>
        <v>132</v>
      </c>
      <c r="AD2385" s="12">
        <f>IF($J2385=0,0,ROUND(MAX($J2385*1.4*1.5*1.6*1.6*2.2*2.715*2.6*1.4*1.4*1.5,12600000000*(1.652953^(MIN($E2385,123)-117)))*1,0))</f>
        <v>617742548</v>
      </c>
      <c r="AE2385" s="13">
        <f>$E2385+24</f>
        <v>135</v>
      </c>
      <c r="AF2385" s="14">
        <f>IF($J2385=0,0,ROUND(MAX($J2385*1.4*1.5*1.6*1.6*2.2*2.715*2.6*1.4*1.4*1.5*1.5,18900000000*(1.65331^(MIN($E2385,123)-117)))*1,0))</f>
        <v>925413965</v>
      </c>
      <c r="AG2385" s="11">
        <f>$E2385+27</f>
        <v>138</v>
      </c>
      <c r="AH2385" s="12">
        <f>IF($J2385=0,0,ROUND(MAX($J2385*1.4*1.5*1.6*1.6*2.2*2.715*2.6*1.4*1.4*1.5*1.5*3.2,60500000000*(1.654288^(MIN($E2385,123)-117)))*1,0))</f>
        <v>2951811756</v>
      </c>
    </row>
    <row r="2386" ht="28" customHeight="1" spans="1:34" x14ac:dyDescent="0.25">
      <c r="A2386">
        <v>2396</v>
      </c>
      <c r="B2386" t="s">
        <v>894</v>
      </c>
      <c r="C2386" s="10" t="s">
        <v>1421</v>
      </c>
      <c r="D2386" t="s">
        <v>64</v>
      </c>
      <c r="E2386">
        <v>111</v>
      </c>
      <c r="F2386" t="s">
        <v>225</v>
      </c>
      <c r="G2386" t="s">
        <v>675</v>
      </c>
      <c r="H2386">
        <v>26</v>
      </c>
      <c r="I2386" s="11">
        <v>111</v>
      </c>
      <c r="J2386" s="12">
        <v>439000</v>
      </c>
      <c r="K2386" s="13">
        <f>$E2386+1</f>
        <v>112</v>
      </c>
      <c r="L2386" s="14">
        <f>IF($J2386=0,0,ROUND(MAX($J2386*1.4,1620000*(1.497923^(MIN($E2386,123)-117)))*1,0))</f>
        <v>614600</v>
      </c>
      <c r="M2386" s="11">
        <f>$E2386+2</f>
        <v>113</v>
      </c>
      <c r="N2386" s="12">
        <f>IF($J2386=0,0,ROUND(MAX($J2386*1.4*1.5,2190000*(1.580994^(MIN($E2386,123)-117)))*1,0))</f>
        <v>921900</v>
      </c>
      <c r="O2386" s="13">
        <f>$E2386+4</f>
        <v>115</v>
      </c>
      <c r="P2386" s="14">
        <f>IF($J2386=0,0,ROUND(MAX($J2386*1.4*1.5*1.6,3500000*(1.57975^(MIN($E2386,123)-117)))*1,0))</f>
        <v>1475040</v>
      </c>
      <c r="Q2386" s="11">
        <f>$E2386+6</f>
        <v>117</v>
      </c>
      <c r="R2386" s="12">
        <f>IF($J2386=0,0,ROUND(MAX($J2386*1.4*1.5*1.6*1.6,13100000*(1.429962^(MIN($E2386,123)-117)))*1,0))</f>
        <v>2360064</v>
      </c>
      <c r="S2386" s="13">
        <f>$E2386+8</f>
        <v>119</v>
      </c>
      <c r="T2386" s="14">
        <f>IF($J2386=0,0,ROUND(MAX($J2386*1.4*1.5*1.6*1.6*2.2,42600000*(1.576904^(MIN($E2386,123)-117)))*1,0))</f>
        <v>5192141</v>
      </c>
      <c r="U2386" s="11">
        <f>$E2386+11</f>
        <v>122</v>
      </c>
      <c r="V2386" s="12">
        <f>IF($J2386=0,0,ROUND(MAX($J2386*1.4*1.5*1.6*1.6*2.2*2.715,354000000*(1.642074^(MIN($E2386,123)-117)))*1,0))</f>
        <v>18057055</v>
      </c>
      <c r="W2386" s="13">
        <f>$E2386+15</f>
        <v>126</v>
      </c>
      <c r="X2386" s="14">
        <f>IF($J2386=0,0,ROUND(MAX($J2386*1.4*1.5*1.6*1.6*2.2*2.715*2.6,3540000000*(1.579646^(MIN($E2386,123)-117)))*1,0))</f>
        <v>227847690</v>
      </c>
      <c r="Y2386" s="11">
        <f>$E2386+17</f>
        <v>128</v>
      </c>
      <c r="Z2386" s="12">
        <f>IF($J2386=0,0,ROUND(MAX($J2386*1.4*1.5*1.6*1.6*2.2*2.715*2.6*1.4,6020000000*(1.651178^(MIN($E2386,123)-117)))*1,0))</f>
        <v>297052444</v>
      </c>
      <c r="AA2386" s="13">
        <f>$E2386+19</f>
        <v>130</v>
      </c>
      <c r="AB2386" s="14">
        <f>IF($J2386=0,0,ROUND(MAX($J2386*1.4*1.5*1.6*1.6*2.2*2.715*2.6*1.4*1.4,8430000000*(1.651435^(MIN($E2386,123)-117)))*1,0))</f>
        <v>415583854</v>
      </c>
      <c r="AC2386" s="11">
        <f>$E2386+21</f>
        <v>132</v>
      </c>
      <c r="AD2386" s="12">
        <f>IF($J2386=0,0,ROUND(MAX($J2386*1.4*1.5*1.6*1.6*2.2*2.715*2.6*1.4*1.4*1.5,12600000000*(1.652953^(MIN($E2386,123)-117)))*1,0))</f>
        <v>617742548</v>
      </c>
      <c r="AE2386" s="13">
        <f>$E2386+24</f>
        <v>135</v>
      </c>
      <c r="AF2386" s="14">
        <f>IF($J2386=0,0,ROUND(MAX($J2386*1.4*1.5*1.6*1.6*2.2*2.715*2.6*1.4*1.4*1.5*1.5,18900000000*(1.65331^(MIN($E2386,123)-117)))*1,0))</f>
        <v>925413965</v>
      </c>
      <c r="AG2386" s="11">
        <f>$E2386+27</f>
        <v>138</v>
      </c>
      <c r="AH2386" s="12">
        <f>IF($J2386=0,0,ROUND(MAX($J2386*1.4*1.5*1.6*1.6*2.2*2.715*2.6*1.4*1.4*1.5*1.5*3.2,60500000000*(1.654288^(MIN($E2386,123)-117)))*1,0))</f>
        <v>2951811756</v>
      </c>
    </row>
    <row r="2387" ht="28" customHeight="1" spans="1:34" x14ac:dyDescent="0.25">
      <c r="A2387">
        <v>2397</v>
      </c>
      <c r="B2387" t="s">
        <v>1445</v>
      </c>
      <c r="C2387" s="10" t="s">
        <v>1421</v>
      </c>
      <c r="D2387" t="s">
        <v>64</v>
      </c>
      <c r="E2387">
        <v>111</v>
      </c>
      <c r="F2387" t="s">
        <v>62</v>
      </c>
      <c r="G2387" t="s">
        <v>27</v>
      </c>
      <c r="H2387">
        <v>26</v>
      </c>
      <c r="I2387" s="11">
        <v>111</v>
      </c>
      <c r="J2387" s="12">
        <v>116000</v>
      </c>
      <c r="K2387" s="13">
        <f>$E2387+1</f>
        <v>112</v>
      </c>
      <c r="L2387" s="14">
        <f>IF($J2387=0,0,ROUND(MAX($J2387*1.4,1620000*(1.497923^(MIN($E2387,123)-117)))*1,0))</f>
        <v>162400</v>
      </c>
      <c r="M2387" s="11">
        <f>$E2387+2</f>
        <v>113</v>
      </c>
      <c r="N2387" s="12">
        <f>IF($J2387=0,0,ROUND(MAX($J2387*1.4*1.5,2190000*(1.580994^(MIN($E2387,123)-117)))*1,0))</f>
        <v>243600</v>
      </c>
      <c r="O2387" s="13">
        <f>$E2387+4</f>
        <v>115</v>
      </c>
      <c r="P2387" s="14">
        <f>IF($J2387=0,0,ROUND(MAX($J2387*1.4*1.5*1.6,3500000*(1.57975^(MIN($E2387,123)-117)))*1,0))</f>
        <v>389760</v>
      </c>
      <c r="Q2387" s="11">
        <f>$E2387+6</f>
        <v>117</v>
      </c>
      <c r="R2387" s="12">
        <f>IF($J2387=0,0,ROUND(MAX($J2387*1.4*1.5*1.6*1.6,13100000*(1.429962^(MIN($E2387,123)-117)))*1,0))</f>
        <v>1532231</v>
      </c>
      <c r="S2387" s="13">
        <f>$E2387+8</f>
        <v>119</v>
      </c>
      <c r="T2387" s="14">
        <f>IF($J2387=0,0,ROUND(MAX($J2387*1.4*1.5*1.6*1.6*2.2,42600000*(1.576904^(MIN($E2387,123)-117)))*1,0))</f>
        <v>2770627</v>
      </c>
      <c r="U2387" s="11">
        <f>$E2387+11</f>
        <v>122</v>
      </c>
      <c r="V2387" s="12">
        <f>IF($J2387=0,0,ROUND(MAX($J2387*1.4*1.5*1.6*1.6*2.2*2.715,354000000*(1.642074^(MIN($E2387,123)-117)))*1,0))</f>
        <v>18057055</v>
      </c>
      <c r="W2387" s="13">
        <f>$E2387+15</f>
        <v>126</v>
      </c>
      <c r="X2387" s="14">
        <f>IF($J2387=0,0,ROUND(MAX($J2387*1.4*1.5*1.6*1.6*2.2*2.715*2.6,3540000000*(1.579646^(MIN($E2387,123)-117)))*1,0))</f>
        <v>227847690</v>
      </c>
      <c r="Y2387" s="11">
        <f>$E2387+17</f>
        <v>128</v>
      </c>
      <c r="Z2387" s="12">
        <f>IF($J2387=0,0,ROUND(MAX($J2387*1.4*1.5*1.6*1.6*2.2*2.715*2.6*1.4,6020000000*(1.651178^(MIN($E2387,123)-117)))*1,0))</f>
        <v>297052444</v>
      </c>
      <c r="AA2387" s="13">
        <f>$E2387+19</f>
        <v>130</v>
      </c>
      <c r="AB2387" s="14">
        <f>IF($J2387=0,0,ROUND(MAX($J2387*1.4*1.5*1.6*1.6*2.2*2.715*2.6*1.4*1.4,8430000000*(1.651435^(MIN($E2387,123)-117)))*1,0))</f>
        <v>415583854</v>
      </c>
      <c r="AC2387" s="11">
        <f>$E2387+21</f>
        <v>132</v>
      </c>
      <c r="AD2387" s="12">
        <f>IF($J2387=0,0,ROUND(MAX($J2387*1.4*1.5*1.6*1.6*2.2*2.715*2.6*1.4*1.4*1.5,12600000000*(1.652953^(MIN($E2387,123)-117)))*1,0))</f>
        <v>617742548</v>
      </c>
      <c r="AE2387" s="13">
        <f>$E2387+24</f>
        <v>135</v>
      </c>
      <c r="AF2387" s="14">
        <f>IF($J2387=0,0,ROUND(MAX($J2387*1.4*1.5*1.6*1.6*2.2*2.715*2.6*1.4*1.4*1.5*1.5,18900000000*(1.65331^(MIN($E2387,123)-117)))*1,0))</f>
        <v>925413965</v>
      </c>
      <c r="AG2387" s="11">
        <f>$E2387+27</f>
        <v>138</v>
      </c>
      <c r="AH2387" s="12">
        <f>IF($J2387=0,0,ROUND(MAX($J2387*1.4*1.5*1.6*1.6*2.2*2.715*2.6*1.4*1.4*1.5*1.5*3.2,60500000000*(1.654288^(MIN($E2387,123)-117)))*1,0))</f>
        <v>2951811756</v>
      </c>
    </row>
    <row r="2388" ht="28" customHeight="1" spans="1:34" x14ac:dyDescent="0.25">
      <c r="A2388">
        <v>2398</v>
      </c>
      <c r="B2388" t="s">
        <v>1446</v>
      </c>
      <c r="C2388" s="10" t="s">
        <v>1421</v>
      </c>
      <c r="D2388" t="s">
        <v>79</v>
      </c>
      <c r="E2388">
        <v>111</v>
      </c>
      <c r="F2388" t="s">
        <v>26</v>
      </c>
      <c r="G2388" t="s">
        <v>1447</v>
      </c>
      <c r="H2388">
        <v>26</v>
      </c>
      <c r="I2388" s="11">
        <v>111</v>
      </c>
      <c r="J2388" s="12">
        <v>427000</v>
      </c>
      <c r="K2388" s="13">
        <f>$E2388+1</f>
        <v>112</v>
      </c>
      <c r="L2388" s="14">
        <f>IF($J2388=0,0,ROUND(MAX($J2388*1.4,1620000*(1.497923^(MIN($E2388,123)-117)))*1,0))</f>
        <v>597800</v>
      </c>
      <c r="M2388" s="11">
        <f>$E2388+2</f>
        <v>113</v>
      </c>
      <c r="N2388" s="12">
        <f>IF($J2388=0,0,ROUND(MAX($J2388*1.4*1.5,2190000*(1.580994^(MIN($E2388,123)-117)))*1,0))</f>
        <v>896700</v>
      </c>
      <c r="O2388" s="13">
        <f>$E2388+4</f>
        <v>115</v>
      </c>
      <c r="P2388" s="14">
        <f>IF($J2388=0,0,ROUND(MAX($J2388*1.4*1.5*1.6,3500000*(1.57975^(MIN($E2388,123)-117)))*1,0))</f>
        <v>1434720</v>
      </c>
      <c r="Q2388" s="11">
        <f>$E2388+6</f>
        <v>117</v>
      </c>
      <c r="R2388" s="12">
        <f>IF($J2388=0,0,ROUND(MAX($J2388*1.4*1.5*1.6*1.6,13100000*(1.429962^(MIN($E2388,123)-117)))*1,0))</f>
        <v>2295552</v>
      </c>
      <c r="S2388" s="13">
        <f>$E2388+8</f>
        <v>119</v>
      </c>
      <c r="T2388" s="14">
        <f>IF($J2388=0,0,ROUND(MAX($J2388*1.4*1.5*1.6*1.6*2.2,42600000*(1.576904^(MIN($E2388,123)-117)))*1,0))</f>
        <v>5050214</v>
      </c>
      <c r="U2388" s="11">
        <f>$E2388+11</f>
        <v>122</v>
      </c>
      <c r="V2388" s="12">
        <f>IF($J2388=0,0,ROUND(MAX($J2388*1.4*1.5*1.6*1.6*2.2*2.715,354000000*(1.642074^(MIN($E2388,123)-117)))*1,0))</f>
        <v>18057055</v>
      </c>
      <c r="W2388" s="13">
        <f>$E2388+15</f>
        <v>126</v>
      </c>
      <c r="X2388" s="14">
        <f>IF($J2388=0,0,ROUND(MAX($J2388*1.4*1.5*1.6*1.6*2.2*2.715*2.6,3540000000*(1.579646^(MIN($E2388,123)-117)))*1,0))</f>
        <v>227847690</v>
      </c>
      <c r="Y2388" s="11">
        <f>$E2388+17</f>
        <v>128</v>
      </c>
      <c r="Z2388" s="12">
        <f>IF($J2388=0,0,ROUND(MAX($J2388*1.4*1.5*1.6*1.6*2.2*2.715*2.6*1.4,6020000000*(1.651178^(MIN($E2388,123)-117)))*1,0))</f>
        <v>297052444</v>
      </c>
      <c r="AA2388" s="13">
        <f>$E2388+19</f>
        <v>130</v>
      </c>
      <c r="AB2388" s="14">
        <f>IF($J2388=0,0,ROUND(MAX($J2388*1.4*1.5*1.6*1.6*2.2*2.715*2.6*1.4*1.4,8430000000*(1.651435^(MIN($E2388,123)-117)))*1,0))</f>
        <v>415583854</v>
      </c>
      <c r="AC2388" s="11">
        <f>$E2388+21</f>
        <v>132</v>
      </c>
      <c r="AD2388" s="12">
        <f>IF($J2388=0,0,ROUND(MAX($J2388*1.4*1.5*1.6*1.6*2.2*2.715*2.6*1.4*1.4*1.5,12600000000*(1.652953^(MIN($E2388,123)-117)))*1,0))</f>
        <v>617742548</v>
      </c>
      <c r="AE2388" s="13">
        <f>$E2388+24</f>
        <v>135</v>
      </c>
      <c r="AF2388" s="14">
        <f>IF($J2388=0,0,ROUND(MAX($J2388*1.4*1.5*1.6*1.6*2.2*2.715*2.6*1.4*1.4*1.5*1.5,18900000000*(1.65331^(MIN($E2388,123)-117)))*1,0))</f>
        <v>925413965</v>
      </c>
      <c r="AG2388" s="11">
        <f>$E2388+27</f>
        <v>138</v>
      </c>
      <c r="AH2388" s="12">
        <f>IF($J2388=0,0,ROUND(MAX($J2388*1.4*1.5*1.6*1.6*2.2*2.715*2.6*1.4*1.4*1.5*1.5*3.2,60500000000*(1.654288^(MIN($E2388,123)-117)))*1,0))</f>
        <v>2951811756</v>
      </c>
    </row>
    <row r="2389" ht="28" customHeight="1" spans="1:34" x14ac:dyDescent="0.25">
      <c r="A2389">
        <v>2399</v>
      </c>
      <c r="B2389" t="s">
        <v>932</v>
      </c>
      <c r="C2389" s="10" t="s">
        <v>1421</v>
      </c>
      <c r="D2389" t="s">
        <v>33</v>
      </c>
      <c r="E2389">
        <v>111</v>
      </c>
      <c r="F2389" t="s">
        <v>42</v>
      </c>
      <c r="G2389" t="s">
        <v>748</v>
      </c>
      <c r="H2389">
        <v>26</v>
      </c>
      <c r="I2389" s="11">
        <v>111</v>
      </c>
      <c r="J2389" s="12">
        <v>78900</v>
      </c>
      <c r="K2389" s="13">
        <f>$E2389+1</f>
        <v>112</v>
      </c>
      <c r="L2389" s="14">
        <f>IF($J2389=0,0,ROUND(MAX($J2389*1.4,1620000*(1.497923^(MIN($E2389,123)-117)))*1,0))</f>
        <v>143410</v>
      </c>
      <c r="M2389" s="11">
        <f>$E2389+2</f>
        <v>113</v>
      </c>
      <c r="N2389" s="12">
        <f>IF($J2389=0,0,ROUND(MAX($J2389*1.4*1.5,2190000*(1.580994^(MIN($E2389,123)-117)))*1,0))</f>
        <v>165690</v>
      </c>
      <c r="O2389" s="13">
        <f>$E2389+4</f>
        <v>115</v>
      </c>
      <c r="P2389" s="14">
        <f>IF($J2389=0,0,ROUND(MAX($J2389*1.4*1.5*1.6,3500000*(1.57975^(MIN($E2389,123)-117)))*1,0))</f>
        <v>265104</v>
      </c>
      <c r="Q2389" s="11">
        <f>$E2389+6</f>
        <v>117</v>
      </c>
      <c r="R2389" s="12">
        <f>IF($J2389=0,0,ROUND(MAX($J2389*1.4*1.5*1.6*1.6,13100000*(1.429962^(MIN($E2389,123)-117)))*1,0))</f>
        <v>1532231</v>
      </c>
      <c r="S2389" s="13">
        <f>$E2389+8</f>
        <v>119</v>
      </c>
      <c r="T2389" s="14">
        <f>IF($J2389=0,0,ROUND(MAX($J2389*1.4*1.5*1.6*1.6*2.2,42600000*(1.576904^(MIN($E2389,123)-117)))*1,0))</f>
        <v>2770627</v>
      </c>
      <c r="U2389" s="11">
        <f>$E2389+11</f>
        <v>122</v>
      </c>
      <c r="V2389" s="12">
        <f>IF($J2389=0,0,ROUND(MAX($J2389*1.4*1.5*1.6*1.6*2.2*2.715,354000000*(1.642074^(MIN($E2389,123)-117)))*1,0))</f>
        <v>18057055</v>
      </c>
      <c r="W2389" s="13">
        <f>$E2389+15</f>
        <v>126</v>
      </c>
      <c r="X2389" s="14">
        <f>IF($J2389=0,0,ROUND(MAX($J2389*1.4*1.5*1.6*1.6*2.2*2.715*2.6,3540000000*(1.579646^(MIN($E2389,123)-117)))*1,0))</f>
        <v>227847690</v>
      </c>
      <c r="Y2389" s="11">
        <f>$E2389+17</f>
        <v>128</v>
      </c>
      <c r="Z2389" s="12">
        <f>IF($J2389=0,0,ROUND(MAX($J2389*1.4*1.5*1.6*1.6*2.2*2.715*2.6*1.4,6020000000*(1.651178^(MIN($E2389,123)-117)))*1,0))</f>
        <v>297052444</v>
      </c>
      <c r="AA2389" s="13">
        <f>$E2389+19</f>
        <v>130</v>
      </c>
      <c r="AB2389" s="14">
        <f>IF($J2389=0,0,ROUND(MAX($J2389*1.4*1.5*1.6*1.6*2.2*2.715*2.6*1.4*1.4,8430000000*(1.651435^(MIN($E2389,123)-117)))*1,0))</f>
        <v>415583854</v>
      </c>
      <c r="AC2389" s="11">
        <f>$E2389+21</f>
        <v>132</v>
      </c>
      <c r="AD2389" s="12">
        <f>IF($J2389=0,0,ROUND(MAX($J2389*1.4*1.5*1.6*1.6*2.2*2.715*2.6*1.4*1.4*1.5,12600000000*(1.652953^(MIN($E2389,123)-117)))*1,0))</f>
        <v>617742548</v>
      </c>
      <c r="AE2389" s="13">
        <f>$E2389+24</f>
        <v>135</v>
      </c>
      <c r="AF2389" s="14">
        <f>IF($J2389=0,0,ROUND(MAX($J2389*1.4*1.5*1.6*1.6*2.2*2.715*2.6*1.4*1.4*1.5*1.5,18900000000*(1.65331^(MIN($E2389,123)-117)))*1,0))</f>
        <v>925413965</v>
      </c>
      <c r="AG2389" s="11">
        <f>$E2389+27</f>
        <v>138</v>
      </c>
      <c r="AH2389" s="12">
        <f>IF($J2389=0,0,ROUND(MAX($J2389*1.4*1.5*1.6*1.6*2.2*2.715*2.6*1.4*1.4*1.5*1.5*3.2,60500000000*(1.654288^(MIN($E2389,123)-117)))*1,0))</f>
        <v>2951811756</v>
      </c>
    </row>
    <row r="2390" ht="28" customHeight="1" spans="1:34" x14ac:dyDescent="0.25">
      <c r="A2390">
        <v>2400</v>
      </c>
      <c r="B2390" t="s">
        <v>677</v>
      </c>
      <c r="C2390" s="10" t="s">
        <v>1421</v>
      </c>
      <c r="D2390" t="s">
        <v>45</v>
      </c>
      <c r="E2390">
        <v>111</v>
      </c>
      <c r="F2390" t="s">
        <v>71</v>
      </c>
      <c r="G2390" t="s">
        <v>326</v>
      </c>
      <c r="H2390">
        <v>26</v>
      </c>
      <c r="I2390" s="11">
        <v>111</v>
      </c>
      <c r="J2390" s="12">
        <v>96700</v>
      </c>
      <c r="K2390" s="13">
        <f>$E2390+1</f>
        <v>112</v>
      </c>
      <c r="L2390" s="14">
        <f>IF($J2390=0,0,ROUND(MAX($J2390*1.4,1620000*(1.497923^(MIN($E2390,123)-117)))*1,0))</f>
        <v>143410</v>
      </c>
      <c r="M2390" s="11">
        <f>$E2390+2</f>
        <v>113</v>
      </c>
      <c r="N2390" s="12">
        <f>IF($J2390=0,0,ROUND(MAX($J2390*1.4*1.5,2190000*(1.580994^(MIN($E2390,123)-117)))*1,0))</f>
        <v>203070</v>
      </c>
      <c r="O2390" s="13">
        <f>$E2390+4</f>
        <v>115</v>
      </c>
      <c r="P2390" s="14">
        <f>IF($J2390=0,0,ROUND(MAX($J2390*1.4*1.5*1.6,3500000*(1.57975^(MIN($E2390,123)-117)))*1,0))</f>
        <v>324912</v>
      </c>
      <c r="Q2390" s="11">
        <f>$E2390+6</f>
        <v>117</v>
      </c>
      <c r="R2390" s="12">
        <f>IF($J2390=0,0,ROUND(MAX($J2390*1.4*1.5*1.6*1.6,13100000*(1.429962^(MIN($E2390,123)-117)))*1,0))</f>
        <v>1532231</v>
      </c>
      <c r="S2390" s="13">
        <f>$E2390+8</f>
        <v>119</v>
      </c>
      <c r="T2390" s="14">
        <f>IF($J2390=0,0,ROUND(MAX($J2390*1.4*1.5*1.6*1.6*2.2,42600000*(1.576904^(MIN($E2390,123)-117)))*1,0))</f>
        <v>2770627</v>
      </c>
      <c r="U2390" s="11">
        <f>$E2390+11</f>
        <v>122</v>
      </c>
      <c r="V2390" s="12">
        <f>IF($J2390=0,0,ROUND(MAX($J2390*1.4*1.5*1.6*1.6*2.2*2.715,354000000*(1.642074^(MIN($E2390,123)-117)))*1,0))</f>
        <v>18057055</v>
      </c>
      <c r="W2390" s="13">
        <f>$E2390+15</f>
        <v>126</v>
      </c>
      <c r="X2390" s="14">
        <f>IF($J2390=0,0,ROUND(MAX($J2390*1.4*1.5*1.6*1.6*2.2*2.715*2.6,3540000000*(1.579646^(MIN($E2390,123)-117)))*1,0))</f>
        <v>227847690</v>
      </c>
      <c r="Y2390" s="11">
        <f>$E2390+17</f>
        <v>128</v>
      </c>
      <c r="Z2390" s="12">
        <f>IF($J2390=0,0,ROUND(MAX($J2390*1.4*1.5*1.6*1.6*2.2*2.715*2.6*1.4,6020000000*(1.651178^(MIN($E2390,123)-117)))*1,0))</f>
        <v>297052444</v>
      </c>
      <c r="AA2390" s="13">
        <f>$E2390+19</f>
        <v>130</v>
      </c>
      <c r="AB2390" s="14">
        <f>IF($J2390=0,0,ROUND(MAX($J2390*1.4*1.5*1.6*1.6*2.2*2.715*2.6*1.4*1.4,8430000000*(1.651435^(MIN($E2390,123)-117)))*1,0))</f>
        <v>415583854</v>
      </c>
      <c r="AC2390" s="11">
        <f>$E2390+21</f>
        <v>132</v>
      </c>
      <c r="AD2390" s="12">
        <f>IF($J2390=0,0,ROUND(MAX($J2390*1.4*1.5*1.6*1.6*2.2*2.715*2.6*1.4*1.4*1.5,12600000000*(1.652953^(MIN($E2390,123)-117)))*1,0))</f>
        <v>617742548</v>
      </c>
      <c r="AE2390" s="13">
        <f>$E2390+24</f>
        <v>135</v>
      </c>
      <c r="AF2390" s="14">
        <f>IF($J2390=0,0,ROUND(MAX($J2390*1.4*1.5*1.6*1.6*2.2*2.715*2.6*1.4*1.4*1.5*1.5,18900000000*(1.65331^(MIN($E2390,123)-117)))*1,0))</f>
        <v>925413965</v>
      </c>
      <c r="AG2390" s="11">
        <f>$E2390+27</f>
        <v>138</v>
      </c>
      <c r="AH2390" s="12">
        <f>IF($J2390=0,0,ROUND(MAX($J2390*1.4*1.5*1.6*1.6*2.2*2.715*2.6*1.4*1.4*1.5*1.5*3.2,60500000000*(1.654288^(MIN($E2390,123)-117)))*1,0))</f>
        <v>2951811756</v>
      </c>
    </row>
    <row r="2391" ht="28" customHeight="1" spans="1:34" x14ac:dyDescent="0.25">
      <c r="A2391">
        <v>2401</v>
      </c>
      <c r="B2391" t="s">
        <v>747</v>
      </c>
      <c r="C2391" s="10" t="s">
        <v>1421</v>
      </c>
      <c r="D2391" t="s">
        <v>33</v>
      </c>
      <c r="E2391">
        <v>111</v>
      </c>
      <c r="F2391" t="s">
        <v>310</v>
      </c>
      <c r="G2391" t="s">
        <v>748</v>
      </c>
      <c r="H2391">
        <v>26</v>
      </c>
      <c r="I2391" s="11">
        <v>111</v>
      </c>
      <c r="J2391" s="12">
        <v>223000</v>
      </c>
      <c r="K2391" s="13">
        <f>$E2391+1</f>
        <v>112</v>
      </c>
      <c r="L2391" s="14">
        <f>IF($J2391=0,0,ROUND(MAX($J2391*1.4,1620000*(1.497923^(MIN($E2391,123)-117)))*1,0))</f>
        <v>312200</v>
      </c>
      <c r="M2391" s="11">
        <f>$E2391+2</f>
        <v>113</v>
      </c>
      <c r="N2391" s="12">
        <f>IF($J2391=0,0,ROUND(MAX($J2391*1.4*1.5,2190000*(1.580994^(MIN($E2391,123)-117)))*1,0))</f>
        <v>468300</v>
      </c>
      <c r="O2391" s="13">
        <f>$E2391+4</f>
        <v>115</v>
      </c>
      <c r="P2391" s="14">
        <f>IF($J2391=0,0,ROUND(MAX($J2391*1.4*1.5*1.6,3500000*(1.57975^(MIN($E2391,123)-117)))*1,0))</f>
        <v>749280</v>
      </c>
      <c r="Q2391" s="11">
        <f>$E2391+6</f>
        <v>117</v>
      </c>
      <c r="R2391" s="12">
        <f>IF($J2391=0,0,ROUND(MAX($J2391*1.4*1.5*1.6*1.6,13100000*(1.429962^(MIN($E2391,123)-117)))*1,0))</f>
        <v>1532231</v>
      </c>
      <c r="S2391" s="13">
        <f>$E2391+8</f>
        <v>119</v>
      </c>
      <c r="T2391" s="14">
        <f>IF($J2391=0,0,ROUND(MAX($J2391*1.4*1.5*1.6*1.6*2.2,42600000*(1.576904^(MIN($E2391,123)-117)))*1,0))</f>
        <v>2770627</v>
      </c>
      <c r="U2391" s="11">
        <f>$E2391+11</f>
        <v>122</v>
      </c>
      <c r="V2391" s="12">
        <f>IF($J2391=0,0,ROUND(MAX($J2391*1.4*1.5*1.6*1.6*2.2*2.715,354000000*(1.642074^(MIN($E2391,123)-117)))*1,0))</f>
        <v>18057055</v>
      </c>
      <c r="W2391" s="13">
        <f>$E2391+15</f>
        <v>126</v>
      </c>
      <c r="X2391" s="14">
        <f>IF($J2391=0,0,ROUND(MAX($J2391*1.4*1.5*1.6*1.6*2.2*2.715*2.6,3540000000*(1.579646^(MIN($E2391,123)-117)))*1,0))</f>
        <v>227847690</v>
      </c>
      <c r="Y2391" s="11">
        <f>$E2391+17</f>
        <v>128</v>
      </c>
      <c r="Z2391" s="12">
        <f>IF($J2391=0,0,ROUND(MAX($J2391*1.4*1.5*1.6*1.6*2.2*2.715*2.6*1.4,6020000000*(1.651178^(MIN($E2391,123)-117)))*1,0))</f>
        <v>297052444</v>
      </c>
      <c r="AA2391" s="13">
        <f>$E2391+19</f>
        <v>130</v>
      </c>
      <c r="AB2391" s="14">
        <f>IF($J2391=0,0,ROUND(MAX($J2391*1.4*1.5*1.6*1.6*2.2*2.715*2.6*1.4*1.4,8430000000*(1.651435^(MIN($E2391,123)-117)))*1,0))</f>
        <v>415583854</v>
      </c>
      <c r="AC2391" s="11">
        <f>$E2391+21</f>
        <v>132</v>
      </c>
      <c r="AD2391" s="12">
        <f>IF($J2391=0,0,ROUND(MAX($J2391*1.4*1.5*1.6*1.6*2.2*2.715*2.6*1.4*1.4*1.5,12600000000*(1.652953^(MIN($E2391,123)-117)))*1,0))</f>
        <v>617742548</v>
      </c>
      <c r="AE2391" s="13">
        <f>$E2391+24</f>
        <v>135</v>
      </c>
      <c r="AF2391" s="14">
        <f>IF($J2391=0,0,ROUND(MAX($J2391*1.4*1.5*1.6*1.6*2.2*2.715*2.6*1.4*1.4*1.5*1.5,18900000000*(1.65331^(MIN($E2391,123)-117)))*1,0))</f>
        <v>925413965</v>
      </c>
      <c r="AG2391" s="11">
        <f>$E2391+27</f>
        <v>138</v>
      </c>
      <c r="AH2391" s="12">
        <f>IF($J2391=0,0,ROUND(MAX($J2391*1.4*1.5*1.6*1.6*2.2*2.715*2.6*1.4*1.4*1.5*1.5*3.2,60500000000*(1.654288^(MIN($E2391,123)-117)))*1,0))</f>
        <v>2951811756</v>
      </c>
    </row>
    <row r="2392" ht="28" customHeight="1" spans="1:34" x14ac:dyDescent="0.25">
      <c r="A2392">
        <v>2402</v>
      </c>
      <c r="B2392" t="s">
        <v>1170</v>
      </c>
      <c r="C2392" s="10" t="s">
        <v>1421</v>
      </c>
      <c r="D2392" t="s">
        <v>40</v>
      </c>
      <c r="E2392">
        <v>111</v>
      </c>
      <c r="F2392" t="s">
        <v>258</v>
      </c>
      <c r="G2392" t="s">
        <v>374</v>
      </c>
      <c r="H2392">
        <v>25</v>
      </c>
      <c r="I2392" s="11">
        <v>111</v>
      </c>
      <c r="J2392" s="12">
        <v>61200</v>
      </c>
      <c r="K2392" s="13">
        <f>$E2392+1</f>
        <v>112</v>
      </c>
      <c r="L2392" s="14">
        <f>IF($J2392=0,0,ROUND(MAX($J2392*1.4,1620000*(1.497923^(MIN($E2392,123)-117)))*1,0))</f>
        <v>143410</v>
      </c>
      <c r="M2392" s="11">
        <f>$E2392+2</f>
        <v>113</v>
      </c>
      <c r="N2392" s="12">
        <f>IF($J2392=0,0,ROUND(MAX($J2392*1.4*1.5,2190000*(1.580994^(MIN($E2392,123)-117)))*1,0))</f>
        <v>140237</v>
      </c>
      <c r="O2392" s="13">
        <f>$E2392+4</f>
        <v>115</v>
      </c>
      <c r="P2392" s="14">
        <f>IF($J2392=0,0,ROUND(MAX($J2392*1.4*1.5*1.6,3500000*(1.57975^(MIN($E2392,123)-117)))*1,0))</f>
        <v>225184</v>
      </c>
      <c r="Q2392" s="11">
        <f>$E2392+6</f>
        <v>117</v>
      </c>
      <c r="R2392" s="12">
        <f>IF($J2392=0,0,ROUND(MAX($J2392*1.4*1.5*1.6*1.6,13100000*(1.429962^(MIN($E2392,123)-117)))*1,0))</f>
        <v>1532231</v>
      </c>
      <c r="S2392" s="13">
        <f>$E2392+8</f>
        <v>119</v>
      </c>
      <c r="T2392" s="14">
        <f>IF($J2392=0,0,ROUND(MAX($J2392*1.4*1.5*1.6*1.6*2.2,42600000*(1.576904^(MIN($E2392,123)-117)))*1,0))</f>
        <v>2770627</v>
      </c>
      <c r="U2392" s="11">
        <f>$E2392+11</f>
        <v>122</v>
      </c>
      <c r="V2392" s="12">
        <f>IF($J2392=0,0,ROUND(MAX($J2392*1.4*1.5*1.6*1.6*2.2*2.715,354000000*(1.642074^(MIN($E2392,123)-117)))*1,0))</f>
        <v>18057055</v>
      </c>
      <c r="W2392" s="13">
        <f>$E2392+15</f>
        <v>126</v>
      </c>
      <c r="X2392" s="14">
        <f>IF($J2392=0,0,ROUND(MAX($J2392*1.4*1.5*1.6*1.6*2.2*2.715*2.6,3540000000*(1.579646^(MIN($E2392,123)-117)))*1,0))</f>
        <v>227847690</v>
      </c>
      <c r="Y2392" s="11">
        <f>$E2392+17</f>
        <v>128</v>
      </c>
      <c r="Z2392" s="12">
        <f>IF($J2392=0,0,ROUND(MAX($J2392*1.4*1.5*1.6*1.6*2.2*2.715*2.6*1.4,6020000000*(1.651178^(MIN($E2392,123)-117)))*1,0))</f>
        <v>297052444</v>
      </c>
      <c r="AA2392" s="13">
        <f>$E2392+19</f>
        <v>130</v>
      </c>
      <c r="AB2392" s="14">
        <f>IF($J2392=0,0,ROUND(MAX($J2392*1.4*1.5*1.6*1.6*2.2*2.715*2.6*1.4*1.4,8430000000*(1.651435^(MIN($E2392,123)-117)))*1,0))</f>
        <v>415583854</v>
      </c>
      <c r="AC2392" s="11">
        <f>$E2392+21</f>
        <v>132</v>
      </c>
      <c r="AD2392" s="12">
        <f>IF($J2392=0,0,ROUND(MAX($J2392*1.4*1.5*1.6*1.6*2.2*2.715*2.6*1.4*1.4*1.5,12600000000*(1.652953^(MIN($E2392,123)-117)))*1,0))</f>
        <v>617742548</v>
      </c>
      <c r="AE2392" s="13">
        <f>$E2392+24</f>
        <v>135</v>
      </c>
      <c r="AF2392" s="14">
        <f>IF($J2392=0,0,ROUND(MAX($J2392*1.4*1.5*1.6*1.6*2.2*2.715*2.6*1.4*1.4*1.5*1.5,18900000000*(1.65331^(MIN($E2392,123)-117)))*1,0))</f>
        <v>925413965</v>
      </c>
      <c r="AG2392" s="11">
        <f>$E2392+27</f>
        <v>138</v>
      </c>
      <c r="AH2392" s="12">
        <f>IF($J2392=0,0,ROUND(MAX($J2392*1.4*1.5*1.6*1.6*2.2*2.715*2.6*1.4*1.4*1.5*1.5*3.2,60500000000*(1.654288^(MIN($E2392,123)-117)))*1,0))</f>
        <v>2951811756</v>
      </c>
    </row>
    <row r="2393" ht="28" customHeight="1" spans="1:34" x14ac:dyDescent="0.25">
      <c r="A2393">
        <v>2403</v>
      </c>
      <c r="B2393" t="s">
        <v>1198</v>
      </c>
      <c r="C2393" s="10" t="s">
        <v>1421</v>
      </c>
      <c r="D2393" t="s">
        <v>25</v>
      </c>
      <c r="E2393">
        <v>111</v>
      </c>
      <c r="F2393" t="s">
        <v>54</v>
      </c>
      <c r="G2393" t="s">
        <v>351</v>
      </c>
      <c r="H2393">
        <v>25</v>
      </c>
      <c r="I2393" s="11">
        <v>111</v>
      </c>
      <c r="J2393" s="12">
        <v>63400</v>
      </c>
      <c r="K2393" s="13">
        <f>$E2393+1</f>
        <v>112</v>
      </c>
      <c r="L2393" s="14">
        <f>IF($J2393=0,0,ROUND(MAX($J2393*1.4,1620000*(1.497923^(MIN($E2393,123)-117)))*1,0))</f>
        <v>143410</v>
      </c>
      <c r="M2393" s="11">
        <f>$E2393+2</f>
        <v>113</v>
      </c>
      <c r="N2393" s="12">
        <f>IF($J2393=0,0,ROUND(MAX($J2393*1.4*1.5,2190000*(1.580994^(MIN($E2393,123)-117)))*1,0))</f>
        <v>140237</v>
      </c>
      <c r="O2393" s="13">
        <f>$E2393+4</f>
        <v>115</v>
      </c>
      <c r="P2393" s="14">
        <f>IF($J2393=0,0,ROUND(MAX($J2393*1.4*1.5*1.6,3500000*(1.57975^(MIN($E2393,123)-117)))*1,0))</f>
        <v>225184</v>
      </c>
      <c r="Q2393" s="11">
        <f>$E2393+6</f>
        <v>117</v>
      </c>
      <c r="R2393" s="12">
        <f>IF($J2393=0,0,ROUND(MAX($J2393*1.4*1.5*1.6*1.6,13100000*(1.429962^(MIN($E2393,123)-117)))*1,0))</f>
        <v>1532231</v>
      </c>
      <c r="S2393" s="13">
        <f>$E2393+8</f>
        <v>119</v>
      </c>
      <c r="T2393" s="14">
        <f>IF($J2393=0,0,ROUND(MAX($J2393*1.4*1.5*1.6*1.6*2.2,42600000*(1.576904^(MIN($E2393,123)-117)))*1,0))</f>
        <v>2770627</v>
      </c>
      <c r="U2393" s="11">
        <f>$E2393+11</f>
        <v>122</v>
      </c>
      <c r="V2393" s="12">
        <f>IF($J2393=0,0,ROUND(MAX($J2393*1.4*1.5*1.6*1.6*2.2*2.715,354000000*(1.642074^(MIN($E2393,123)-117)))*1,0))</f>
        <v>18057055</v>
      </c>
      <c r="W2393" s="13">
        <f>$E2393+15</f>
        <v>126</v>
      </c>
      <c r="X2393" s="14">
        <f>IF($J2393=0,0,ROUND(MAX($J2393*1.4*1.5*1.6*1.6*2.2*2.715*2.6,3540000000*(1.579646^(MIN($E2393,123)-117)))*1,0))</f>
        <v>227847690</v>
      </c>
      <c r="Y2393" s="11">
        <f>$E2393+17</f>
        <v>128</v>
      </c>
      <c r="Z2393" s="12">
        <f>IF($J2393=0,0,ROUND(MAX($J2393*1.4*1.5*1.6*1.6*2.2*2.715*2.6*1.4,6020000000*(1.651178^(MIN($E2393,123)-117)))*1,0))</f>
        <v>297052444</v>
      </c>
      <c r="AA2393" s="13">
        <f>$E2393+19</f>
        <v>130</v>
      </c>
      <c r="AB2393" s="14">
        <f>IF($J2393=0,0,ROUND(MAX($J2393*1.4*1.5*1.6*1.6*2.2*2.715*2.6*1.4*1.4,8430000000*(1.651435^(MIN($E2393,123)-117)))*1,0))</f>
        <v>415583854</v>
      </c>
      <c r="AC2393" s="11">
        <f>$E2393+21</f>
        <v>132</v>
      </c>
      <c r="AD2393" s="12">
        <f>IF($J2393=0,0,ROUND(MAX($J2393*1.4*1.5*1.6*1.6*2.2*2.715*2.6*1.4*1.4*1.5,12600000000*(1.652953^(MIN($E2393,123)-117)))*1,0))</f>
        <v>617742548</v>
      </c>
      <c r="AE2393" s="13">
        <f>$E2393+24</f>
        <v>135</v>
      </c>
      <c r="AF2393" s="14">
        <f>IF($J2393=0,0,ROUND(MAX($J2393*1.4*1.5*1.6*1.6*2.2*2.715*2.6*1.4*1.4*1.5*1.5,18900000000*(1.65331^(MIN($E2393,123)-117)))*1,0))</f>
        <v>925413965</v>
      </c>
      <c r="AG2393" s="11">
        <f>$E2393+27</f>
        <v>138</v>
      </c>
      <c r="AH2393" s="12">
        <f>IF($J2393=0,0,ROUND(MAX($J2393*1.4*1.5*1.6*1.6*2.2*2.715*2.6*1.4*1.4*1.5*1.5*3.2,60500000000*(1.654288^(MIN($E2393,123)-117)))*1,0))</f>
        <v>2951811756</v>
      </c>
    </row>
    <row r="2394" ht="28" customHeight="1" spans="1:34" x14ac:dyDescent="0.25">
      <c r="A2394">
        <v>2404</v>
      </c>
      <c r="B2394" t="s">
        <v>1200</v>
      </c>
      <c r="C2394" s="10" t="s">
        <v>1421</v>
      </c>
      <c r="D2394" t="s">
        <v>33</v>
      </c>
      <c r="E2394">
        <v>111</v>
      </c>
      <c r="F2394" t="s">
        <v>56</v>
      </c>
      <c r="G2394" t="s">
        <v>586</v>
      </c>
      <c r="H2394">
        <v>25</v>
      </c>
      <c r="I2394" s="11">
        <v>111</v>
      </c>
      <c r="J2394" s="12">
        <v>86400</v>
      </c>
      <c r="K2394" s="13">
        <f>$E2394+1</f>
        <v>112</v>
      </c>
      <c r="L2394" s="14">
        <f>IF($J2394=0,0,ROUND(MAX($J2394*1.4,1620000*(1.497923^(MIN($E2394,123)-117)))*1,0))</f>
        <v>143410</v>
      </c>
      <c r="M2394" s="11">
        <f>$E2394+2</f>
        <v>113</v>
      </c>
      <c r="N2394" s="12">
        <f>IF($J2394=0,0,ROUND(MAX($J2394*1.4*1.5,2190000*(1.580994^(MIN($E2394,123)-117)))*1,0))</f>
        <v>181440</v>
      </c>
      <c r="O2394" s="13">
        <f>$E2394+4</f>
        <v>115</v>
      </c>
      <c r="P2394" s="14">
        <f>IF($J2394=0,0,ROUND(MAX($J2394*1.4*1.5*1.6,3500000*(1.57975^(MIN($E2394,123)-117)))*1,0))</f>
        <v>290304</v>
      </c>
      <c r="Q2394" s="11">
        <f>$E2394+6</f>
        <v>117</v>
      </c>
      <c r="R2394" s="12">
        <f>IF($J2394=0,0,ROUND(MAX($J2394*1.4*1.5*1.6*1.6,13100000*(1.429962^(MIN($E2394,123)-117)))*1,0))</f>
        <v>1532231</v>
      </c>
      <c r="S2394" s="13">
        <f>$E2394+8</f>
        <v>119</v>
      </c>
      <c r="T2394" s="14">
        <f>IF($J2394=0,0,ROUND(MAX($J2394*1.4*1.5*1.6*1.6*2.2,42600000*(1.576904^(MIN($E2394,123)-117)))*1,0))</f>
        <v>2770627</v>
      </c>
      <c r="U2394" s="11">
        <f>$E2394+11</f>
        <v>122</v>
      </c>
      <c r="V2394" s="12">
        <f>IF($J2394=0,0,ROUND(MAX($J2394*1.4*1.5*1.6*1.6*2.2*2.715,354000000*(1.642074^(MIN($E2394,123)-117)))*1,0))</f>
        <v>18057055</v>
      </c>
      <c r="W2394" s="13">
        <f>$E2394+15</f>
        <v>126</v>
      </c>
      <c r="X2394" s="14">
        <f>IF($J2394=0,0,ROUND(MAX($J2394*1.4*1.5*1.6*1.6*2.2*2.715*2.6,3540000000*(1.579646^(MIN($E2394,123)-117)))*1,0))</f>
        <v>227847690</v>
      </c>
      <c r="Y2394" s="11">
        <f>$E2394+17</f>
        <v>128</v>
      </c>
      <c r="Z2394" s="12">
        <f>IF($J2394=0,0,ROUND(MAX($J2394*1.4*1.5*1.6*1.6*2.2*2.715*2.6*1.4,6020000000*(1.651178^(MIN($E2394,123)-117)))*1,0))</f>
        <v>297052444</v>
      </c>
      <c r="AA2394" s="13">
        <f>$E2394+19</f>
        <v>130</v>
      </c>
      <c r="AB2394" s="14">
        <f>IF($J2394=0,0,ROUND(MAX($J2394*1.4*1.5*1.6*1.6*2.2*2.715*2.6*1.4*1.4,8430000000*(1.651435^(MIN($E2394,123)-117)))*1,0))</f>
        <v>415583854</v>
      </c>
      <c r="AC2394" s="11">
        <f>$E2394+21</f>
        <v>132</v>
      </c>
      <c r="AD2394" s="12">
        <f>IF($J2394=0,0,ROUND(MAX($J2394*1.4*1.5*1.6*1.6*2.2*2.715*2.6*1.4*1.4*1.5,12600000000*(1.652953^(MIN($E2394,123)-117)))*1,0))</f>
        <v>617742548</v>
      </c>
      <c r="AE2394" s="13">
        <f>$E2394+24</f>
        <v>135</v>
      </c>
      <c r="AF2394" s="14">
        <f>IF($J2394=0,0,ROUND(MAX($J2394*1.4*1.5*1.6*1.6*2.2*2.715*2.6*1.4*1.4*1.5*1.5,18900000000*(1.65331^(MIN($E2394,123)-117)))*1,0))</f>
        <v>925413965</v>
      </c>
      <c r="AG2394" s="11">
        <f>$E2394+27</f>
        <v>138</v>
      </c>
      <c r="AH2394" s="12">
        <f>IF($J2394=0,0,ROUND(MAX($J2394*1.4*1.5*1.6*1.6*2.2*2.715*2.6*1.4*1.4*1.5*1.5*3.2,60500000000*(1.654288^(MIN($E2394,123)-117)))*1,0))</f>
        <v>2951811756</v>
      </c>
    </row>
    <row r="2395" ht="28" customHeight="1" spans="1:34" x14ac:dyDescent="0.25">
      <c r="A2395">
        <v>2405</v>
      </c>
      <c r="B2395" t="s">
        <v>1448</v>
      </c>
      <c r="C2395" s="10" t="s">
        <v>1421</v>
      </c>
      <c r="D2395" t="s">
        <v>40</v>
      </c>
      <c r="E2395">
        <v>111</v>
      </c>
      <c r="F2395" t="s">
        <v>71</v>
      </c>
      <c r="G2395" t="s">
        <v>1058</v>
      </c>
      <c r="H2395">
        <v>25</v>
      </c>
      <c r="I2395" s="11">
        <v>111</v>
      </c>
      <c r="J2395" s="12">
        <v>76700</v>
      </c>
      <c r="K2395" s="13">
        <f>$E2395+1</f>
        <v>112</v>
      </c>
      <c r="L2395" s="14">
        <f>IF($J2395=0,0,ROUND(MAX($J2395*1.4,1620000*(1.497923^(MIN($E2395,123)-117)))*1,0))</f>
        <v>143410</v>
      </c>
      <c r="M2395" s="11">
        <f>$E2395+2</f>
        <v>113</v>
      </c>
      <c r="N2395" s="12">
        <f>IF($J2395=0,0,ROUND(MAX($J2395*1.4*1.5,2190000*(1.580994^(MIN($E2395,123)-117)))*1,0))</f>
        <v>161070</v>
      </c>
      <c r="O2395" s="13">
        <f>$E2395+4</f>
        <v>115</v>
      </c>
      <c r="P2395" s="14">
        <f>IF($J2395=0,0,ROUND(MAX($J2395*1.4*1.5*1.6,3500000*(1.57975^(MIN($E2395,123)-117)))*1,0))</f>
        <v>257712</v>
      </c>
      <c r="Q2395" s="11">
        <f>$E2395+6</f>
        <v>117</v>
      </c>
      <c r="R2395" s="12">
        <f>IF($J2395=0,0,ROUND(MAX($J2395*1.4*1.5*1.6*1.6,13100000*(1.429962^(MIN($E2395,123)-117)))*1,0))</f>
        <v>1532231</v>
      </c>
      <c r="S2395" s="13">
        <f>$E2395+8</f>
        <v>119</v>
      </c>
      <c r="T2395" s="14">
        <f>IF($J2395=0,0,ROUND(MAX($J2395*1.4*1.5*1.6*1.6*2.2,42600000*(1.576904^(MIN($E2395,123)-117)))*1,0))</f>
        <v>2770627</v>
      </c>
      <c r="U2395" s="11">
        <f>$E2395+11</f>
        <v>122</v>
      </c>
      <c r="V2395" s="12">
        <f>IF($J2395=0,0,ROUND(MAX($J2395*1.4*1.5*1.6*1.6*2.2*2.715,354000000*(1.642074^(MIN($E2395,123)-117)))*1,0))</f>
        <v>18057055</v>
      </c>
      <c r="W2395" s="13">
        <f>$E2395+15</f>
        <v>126</v>
      </c>
      <c r="X2395" s="14">
        <f>IF($J2395=0,0,ROUND(MAX($J2395*1.4*1.5*1.6*1.6*2.2*2.715*2.6,3540000000*(1.579646^(MIN($E2395,123)-117)))*1,0))</f>
        <v>227847690</v>
      </c>
      <c r="Y2395" s="11">
        <f>$E2395+17</f>
        <v>128</v>
      </c>
      <c r="Z2395" s="12">
        <f>IF($J2395=0,0,ROUND(MAX($J2395*1.4*1.5*1.6*1.6*2.2*2.715*2.6*1.4,6020000000*(1.651178^(MIN($E2395,123)-117)))*1,0))</f>
        <v>297052444</v>
      </c>
      <c r="AA2395" s="13">
        <f>$E2395+19</f>
        <v>130</v>
      </c>
      <c r="AB2395" s="14">
        <f>IF($J2395=0,0,ROUND(MAX($J2395*1.4*1.5*1.6*1.6*2.2*2.715*2.6*1.4*1.4,8430000000*(1.651435^(MIN($E2395,123)-117)))*1,0))</f>
        <v>415583854</v>
      </c>
      <c r="AC2395" s="11">
        <f>$E2395+21</f>
        <v>132</v>
      </c>
      <c r="AD2395" s="12">
        <f>IF($J2395=0,0,ROUND(MAX($J2395*1.4*1.5*1.6*1.6*2.2*2.715*2.6*1.4*1.4*1.5,12600000000*(1.652953^(MIN($E2395,123)-117)))*1,0))</f>
        <v>617742548</v>
      </c>
      <c r="AE2395" s="13">
        <f>$E2395+24</f>
        <v>135</v>
      </c>
      <c r="AF2395" s="14">
        <f>IF($J2395=0,0,ROUND(MAX($J2395*1.4*1.5*1.6*1.6*2.2*2.715*2.6*1.4*1.4*1.5*1.5,18900000000*(1.65331^(MIN($E2395,123)-117)))*1,0))</f>
        <v>925413965</v>
      </c>
      <c r="AG2395" s="11">
        <f>$E2395+27</f>
        <v>138</v>
      </c>
      <c r="AH2395" s="12">
        <f>IF($J2395=0,0,ROUND(MAX($J2395*1.4*1.5*1.6*1.6*2.2*2.715*2.6*1.4*1.4*1.5*1.5*3.2,60500000000*(1.654288^(MIN($E2395,123)-117)))*1,0))</f>
        <v>2951811756</v>
      </c>
    </row>
    <row r="2396" ht="28" customHeight="1" spans="1:34" x14ac:dyDescent="0.25">
      <c r="A2396">
        <v>2406</v>
      </c>
      <c r="B2396" t="s">
        <v>1449</v>
      </c>
      <c r="C2396" s="10" t="s">
        <v>1421</v>
      </c>
      <c r="D2396" t="s">
        <v>40</v>
      </c>
      <c r="E2396">
        <v>111</v>
      </c>
      <c r="F2396" t="s">
        <v>223</v>
      </c>
      <c r="G2396" t="s">
        <v>1398</v>
      </c>
      <c r="H2396">
        <v>25</v>
      </c>
      <c r="I2396" s="11">
        <v>111</v>
      </c>
      <c r="J2396" s="12">
        <v>78800</v>
      </c>
      <c r="K2396" s="13">
        <f>$E2396+1</f>
        <v>112</v>
      </c>
      <c r="L2396" s="14">
        <f>IF($J2396=0,0,ROUND(MAX($J2396*1.4,1620000*(1.497923^(MIN($E2396,123)-117)))*1,0))</f>
        <v>143410</v>
      </c>
      <c r="M2396" s="11">
        <f>$E2396+2</f>
        <v>113</v>
      </c>
      <c r="N2396" s="12">
        <f>IF($J2396=0,0,ROUND(MAX($J2396*1.4*1.5,2190000*(1.580994^(MIN($E2396,123)-117)))*1,0))</f>
        <v>165480</v>
      </c>
      <c r="O2396" s="13">
        <f>$E2396+4</f>
        <v>115</v>
      </c>
      <c r="P2396" s="14">
        <f>IF($J2396=0,0,ROUND(MAX($J2396*1.4*1.5*1.6,3500000*(1.57975^(MIN($E2396,123)-117)))*1,0))</f>
        <v>264768</v>
      </c>
      <c r="Q2396" s="11">
        <f>$E2396+6</f>
        <v>117</v>
      </c>
      <c r="R2396" s="12">
        <f>IF($J2396=0,0,ROUND(MAX($J2396*1.4*1.5*1.6*1.6,13100000*(1.429962^(MIN($E2396,123)-117)))*1,0))</f>
        <v>1532231</v>
      </c>
      <c r="S2396" s="13">
        <f>$E2396+8</f>
        <v>119</v>
      </c>
      <c r="T2396" s="14">
        <f>IF($J2396=0,0,ROUND(MAX($J2396*1.4*1.5*1.6*1.6*2.2,42600000*(1.576904^(MIN($E2396,123)-117)))*1,0))</f>
        <v>2770627</v>
      </c>
      <c r="U2396" s="11">
        <f>$E2396+11</f>
        <v>122</v>
      </c>
      <c r="V2396" s="12">
        <f>IF($J2396=0,0,ROUND(MAX($J2396*1.4*1.5*1.6*1.6*2.2*2.715,354000000*(1.642074^(MIN($E2396,123)-117)))*1,0))</f>
        <v>18057055</v>
      </c>
      <c r="W2396" s="13">
        <f>$E2396+15</f>
        <v>126</v>
      </c>
      <c r="X2396" s="14">
        <f>IF($J2396=0,0,ROUND(MAX($J2396*1.4*1.5*1.6*1.6*2.2*2.715*2.6,3540000000*(1.579646^(MIN($E2396,123)-117)))*1,0))</f>
        <v>227847690</v>
      </c>
      <c r="Y2396" s="11">
        <f>$E2396+17</f>
        <v>128</v>
      </c>
      <c r="Z2396" s="12">
        <f>IF($J2396=0,0,ROUND(MAX($J2396*1.4*1.5*1.6*1.6*2.2*2.715*2.6*1.4,6020000000*(1.651178^(MIN($E2396,123)-117)))*1,0))</f>
        <v>297052444</v>
      </c>
      <c r="AA2396" s="13">
        <f>$E2396+19</f>
        <v>130</v>
      </c>
      <c r="AB2396" s="14">
        <f>IF($J2396=0,0,ROUND(MAX($J2396*1.4*1.5*1.6*1.6*2.2*2.715*2.6*1.4*1.4,8430000000*(1.651435^(MIN($E2396,123)-117)))*1,0))</f>
        <v>415583854</v>
      </c>
      <c r="AC2396" s="11">
        <f>$E2396+21</f>
        <v>132</v>
      </c>
      <c r="AD2396" s="12">
        <f>IF($J2396=0,0,ROUND(MAX($J2396*1.4*1.5*1.6*1.6*2.2*2.715*2.6*1.4*1.4*1.5,12600000000*(1.652953^(MIN($E2396,123)-117)))*1,0))</f>
        <v>617742548</v>
      </c>
      <c r="AE2396" s="13">
        <f>$E2396+24</f>
        <v>135</v>
      </c>
      <c r="AF2396" s="14">
        <f>IF($J2396=0,0,ROUND(MAX($J2396*1.4*1.5*1.6*1.6*2.2*2.715*2.6*1.4*1.4*1.5*1.5,18900000000*(1.65331^(MIN($E2396,123)-117)))*1,0))</f>
        <v>925413965</v>
      </c>
      <c r="AG2396" s="11">
        <f>$E2396+27</f>
        <v>138</v>
      </c>
      <c r="AH2396" s="12">
        <f>IF($J2396=0,0,ROUND(MAX($J2396*1.4*1.5*1.6*1.6*2.2*2.715*2.6*1.4*1.4*1.5*1.5*3.2,60500000000*(1.654288^(MIN($E2396,123)-117)))*1,0))</f>
        <v>2951811756</v>
      </c>
    </row>
    <row r="2397" ht="28" customHeight="1" spans="1:34" x14ac:dyDescent="0.25">
      <c r="A2397">
        <v>2407</v>
      </c>
      <c r="B2397" t="s">
        <v>1307</v>
      </c>
      <c r="C2397" s="10" t="s">
        <v>1421</v>
      </c>
      <c r="D2397" t="s">
        <v>25</v>
      </c>
      <c r="E2397">
        <v>111</v>
      </c>
      <c r="F2397" t="s">
        <v>71</v>
      </c>
      <c r="G2397" t="s">
        <v>319</v>
      </c>
      <c r="H2397">
        <v>25</v>
      </c>
      <c r="I2397" s="11">
        <v>111</v>
      </c>
      <c r="J2397" s="12">
        <v>65000</v>
      </c>
      <c r="K2397" s="13">
        <f>$E2397+1</f>
        <v>112</v>
      </c>
      <c r="L2397" s="14">
        <f>IF($J2397=0,0,ROUND(MAX($J2397*1.4,1620000*(1.497923^(MIN($E2397,123)-117)))*1,0))</f>
        <v>143410</v>
      </c>
      <c r="M2397" s="11">
        <f>$E2397+2</f>
        <v>113</v>
      </c>
      <c r="N2397" s="12">
        <f>IF($J2397=0,0,ROUND(MAX($J2397*1.4*1.5,2190000*(1.580994^(MIN($E2397,123)-117)))*1,0))</f>
        <v>140237</v>
      </c>
      <c r="O2397" s="13">
        <f>$E2397+4</f>
        <v>115</v>
      </c>
      <c r="P2397" s="14">
        <f>IF($J2397=0,0,ROUND(MAX($J2397*1.4*1.5*1.6,3500000*(1.57975^(MIN($E2397,123)-117)))*1,0))</f>
        <v>225184</v>
      </c>
      <c r="Q2397" s="11">
        <f>$E2397+6</f>
        <v>117</v>
      </c>
      <c r="R2397" s="12">
        <f>IF($J2397=0,0,ROUND(MAX($J2397*1.4*1.5*1.6*1.6,13100000*(1.429962^(MIN($E2397,123)-117)))*1,0))</f>
        <v>1532231</v>
      </c>
      <c r="S2397" s="13">
        <f>$E2397+8</f>
        <v>119</v>
      </c>
      <c r="T2397" s="14">
        <f>IF($J2397=0,0,ROUND(MAX($J2397*1.4*1.5*1.6*1.6*2.2,42600000*(1.576904^(MIN($E2397,123)-117)))*1,0))</f>
        <v>2770627</v>
      </c>
      <c r="U2397" s="11">
        <f>$E2397+11</f>
        <v>122</v>
      </c>
      <c r="V2397" s="12">
        <f>IF($J2397=0,0,ROUND(MAX($J2397*1.4*1.5*1.6*1.6*2.2*2.715,354000000*(1.642074^(MIN($E2397,123)-117)))*1,0))</f>
        <v>18057055</v>
      </c>
      <c r="W2397" s="13">
        <f>$E2397+15</f>
        <v>126</v>
      </c>
      <c r="X2397" s="14">
        <f>IF($J2397=0,0,ROUND(MAX($J2397*1.4*1.5*1.6*1.6*2.2*2.715*2.6,3540000000*(1.579646^(MIN($E2397,123)-117)))*1,0))</f>
        <v>227847690</v>
      </c>
      <c r="Y2397" s="11">
        <f>$E2397+17</f>
        <v>128</v>
      </c>
      <c r="Z2397" s="12">
        <f>IF($J2397=0,0,ROUND(MAX($J2397*1.4*1.5*1.6*1.6*2.2*2.715*2.6*1.4,6020000000*(1.651178^(MIN($E2397,123)-117)))*1,0))</f>
        <v>297052444</v>
      </c>
      <c r="AA2397" s="13">
        <f>$E2397+19</f>
        <v>130</v>
      </c>
      <c r="AB2397" s="14">
        <f>IF($J2397=0,0,ROUND(MAX($J2397*1.4*1.5*1.6*1.6*2.2*2.715*2.6*1.4*1.4,8430000000*(1.651435^(MIN($E2397,123)-117)))*1,0))</f>
        <v>415583854</v>
      </c>
      <c r="AC2397" s="11">
        <f>$E2397+21</f>
        <v>132</v>
      </c>
      <c r="AD2397" s="12">
        <f>IF($J2397=0,0,ROUND(MAX($J2397*1.4*1.5*1.6*1.6*2.2*2.715*2.6*1.4*1.4*1.5,12600000000*(1.652953^(MIN($E2397,123)-117)))*1,0))</f>
        <v>617742548</v>
      </c>
      <c r="AE2397" s="13">
        <f>$E2397+24</f>
        <v>135</v>
      </c>
      <c r="AF2397" s="14">
        <f>IF($J2397=0,0,ROUND(MAX($J2397*1.4*1.5*1.6*1.6*2.2*2.715*2.6*1.4*1.4*1.5*1.5,18900000000*(1.65331^(MIN($E2397,123)-117)))*1,0))</f>
        <v>925413965</v>
      </c>
      <c r="AG2397" s="11">
        <f>$E2397+27</f>
        <v>138</v>
      </c>
      <c r="AH2397" s="12">
        <f>IF($J2397=0,0,ROUND(MAX($J2397*1.4*1.5*1.6*1.6*2.2*2.715*2.6*1.4*1.4*1.5*1.5*3.2,60500000000*(1.654288^(MIN($E2397,123)-117)))*1,0))</f>
        <v>2951811756</v>
      </c>
    </row>
    <row r="2398" ht="28" customHeight="1" spans="1:34" x14ac:dyDescent="0.25">
      <c r="A2398">
        <v>2408</v>
      </c>
      <c r="B2398" t="s">
        <v>1450</v>
      </c>
      <c r="C2398" s="10" t="s">
        <v>1421</v>
      </c>
      <c r="D2398" t="s">
        <v>40</v>
      </c>
      <c r="E2398">
        <v>111</v>
      </c>
      <c r="F2398" t="s">
        <v>1451</v>
      </c>
      <c r="G2398" t="s">
        <v>86</v>
      </c>
      <c r="H2398">
        <v>25</v>
      </c>
      <c r="I2398" s="11">
        <v>111</v>
      </c>
      <c r="J2398" s="12">
        <v>131000</v>
      </c>
      <c r="K2398" s="13">
        <f>$E2398+1</f>
        <v>112</v>
      </c>
      <c r="L2398" s="14">
        <f>IF($J2398=0,0,ROUND(MAX($J2398*1.4,1620000*(1.497923^(MIN($E2398,123)-117)))*1,0))</f>
        <v>183400</v>
      </c>
      <c r="M2398" s="11">
        <f>$E2398+2</f>
        <v>113</v>
      </c>
      <c r="N2398" s="12">
        <f>IF($J2398=0,0,ROUND(MAX($J2398*1.4*1.5,2190000*(1.580994^(MIN($E2398,123)-117)))*1,0))</f>
        <v>275100</v>
      </c>
      <c r="O2398" s="13">
        <f>$E2398+4</f>
        <v>115</v>
      </c>
      <c r="P2398" s="14">
        <f>IF($J2398=0,0,ROUND(MAX($J2398*1.4*1.5*1.6,3500000*(1.57975^(MIN($E2398,123)-117)))*1,0))</f>
        <v>440160</v>
      </c>
      <c r="Q2398" s="11">
        <f>$E2398+6</f>
        <v>117</v>
      </c>
      <c r="R2398" s="12">
        <f>IF($J2398=0,0,ROUND(MAX($J2398*1.4*1.5*1.6*1.6,13100000*(1.429962^(MIN($E2398,123)-117)))*1,0))</f>
        <v>1532231</v>
      </c>
      <c r="S2398" s="13">
        <f>$E2398+8</f>
        <v>119</v>
      </c>
      <c r="T2398" s="14">
        <f>IF($J2398=0,0,ROUND(MAX($J2398*1.4*1.5*1.6*1.6*2.2,42600000*(1.576904^(MIN($E2398,123)-117)))*1,0))</f>
        <v>2770627</v>
      </c>
      <c r="U2398" s="11">
        <f>$E2398+11</f>
        <v>122</v>
      </c>
      <c r="V2398" s="12">
        <f>IF($J2398=0,0,ROUND(MAX($J2398*1.4*1.5*1.6*1.6*2.2*2.715,354000000*(1.642074^(MIN($E2398,123)-117)))*1,0))</f>
        <v>18057055</v>
      </c>
      <c r="W2398" s="13">
        <f>$E2398+15</f>
        <v>126</v>
      </c>
      <c r="X2398" s="14">
        <f>IF($J2398=0,0,ROUND(MAX($J2398*1.4*1.5*1.6*1.6*2.2*2.715*2.6,3540000000*(1.579646^(MIN($E2398,123)-117)))*1,0))</f>
        <v>227847690</v>
      </c>
      <c r="Y2398" s="11">
        <f>$E2398+17</f>
        <v>128</v>
      </c>
      <c r="Z2398" s="12">
        <f>IF($J2398=0,0,ROUND(MAX($J2398*1.4*1.5*1.6*1.6*2.2*2.715*2.6*1.4,6020000000*(1.651178^(MIN($E2398,123)-117)))*1,0))</f>
        <v>297052444</v>
      </c>
      <c r="AA2398" s="13">
        <f>$E2398+19</f>
        <v>130</v>
      </c>
      <c r="AB2398" s="14">
        <f>IF($J2398=0,0,ROUND(MAX($J2398*1.4*1.5*1.6*1.6*2.2*2.715*2.6*1.4*1.4,8430000000*(1.651435^(MIN($E2398,123)-117)))*1,0))</f>
        <v>415583854</v>
      </c>
      <c r="AC2398" s="11">
        <f>$E2398+21</f>
        <v>132</v>
      </c>
      <c r="AD2398" s="12">
        <f>IF($J2398=0,0,ROUND(MAX($J2398*1.4*1.5*1.6*1.6*2.2*2.715*2.6*1.4*1.4*1.5,12600000000*(1.652953^(MIN($E2398,123)-117)))*1,0))</f>
        <v>617742548</v>
      </c>
      <c r="AE2398" s="13">
        <f>$E2398+24</f>
        <v>135</v>
      </c>
      <c r="AF2398" s="14">
        <f>IF($J2398=0,0,ROUND(MAX($J2398*1.4*1.5*1.6*1.6*2.2*2.715*2.6*1.4*1.4*1.5*1.5,18900000000*(1.65331^(MIN($E2398,123)-117)))*1,0))</f>
        <v>925413965</v>
      </c>
      <c r="AG2398" s="11">
        <f>$E2398+27</f>
        <v>138</v>
      </c>
      <c r="AH2398" s="12">
        <f>IF($J2398=0,0,ROUND(MAX($J2398*1.4*1.5*1.6*1.6*2.2*2.715*2.6*1.4*1.4*1.5*1.5*3.2,60500000000*(1.654288^(MIN($E2398,123)-117)))*1,0))</f>
        <v>2951811756</v>
      </c>
    </row>
    <row r="2399" ht="28" customHeight="1" spans="1:34" x14ac:dyDescent="0.25">
      <c r="A2399">
        <v>2409</v>
      </c>
      <c r="B2399" t="s">
        <v>1452</v>
      </c>
      <c r="C2399" s="10" t="s">
        <v>1421</v>
      </c>
      <c r="D2399" t="s">
        <v>102</v>
      </c>
      <c r="E2399">
        <v>111</v>
      </c>
      <c r="F2399" t="s">
        <v>400</v>
      </c>
      <c r="G2399" t="s">
        <v>254</v>
      </c>
      <c r="H2399">
        <v>25</v>
      </c>
      <c r="I2399" s="11">
        <v>111</v>
      </c>
      <c r="J2399" s="12">
        <v>54600</v>
      </c>
      <c r="K2399" s="13">
        <f>$E2399+1</f>
        <v>112</v>
      </c>
      <c r="L2399" s="14">
        <f>IF($J2399=0,0,ROUND(MAX($J2399*1.4,1620000*(1.497923^(MIN($E2399,123)-117)))*1,0))</f>
        <v>143410</v>
      </c>
      <c r="M2399" s="11">
        <f>$E2399+2</f>
        <v>113</v>
      </c>
      <c r="N2399" s="12">
        <f>IF($J2399=0,0,ROUND(MAX($J2399*1.4*1.5,2190000*(1.580994^(MIN($E2399,123)-117)))*1,0))</f>
        <v>140237</v>
      </c>
      <c r="O2399" s="13">
        <f>$E2399+4</f>
        <v>115</v>
      </c>
      <c r="P2399" s="14">
        <f>IF($J2399=0,0,ROUND(MAX($J2399*1.4*1.5*1.6,3500000*(1.57975^(MIN($E2399,123)-117)))*1,0))</f>
        <v>225184</v>
      </c>
      <c r="Q2399" s="11">
        <f>$E2399+6</f>
        <v>117</v>
      </c>
      <c r="R2399" s="12">
        <f>IF($J2399=0,0,ROUND(MAX($J2399*1.4*1.5*1.6*1.6,13100000*(1.429962^(MIN($E2399,123)-117)))*1,0))</f>
        <v>1532231</v>
      </c>
      <c r="S2399" s="13">
        <f>$E2399+8</f>
        <v>119</v>
      </c>
      <c r="T2399" s="14">
        <f>IF($J2399=0,0,ROUND(MAX($J2399*1.4*1.5*1.6*1.6*2.2,42600000*(1.576904^(MIN($E2399,123)-117)))*1,0))</f>
        <v>2770627</v>
      </c>
      <c r="U2399" s="11">
        <f>$E2399+11</f>
        <v>122</v>
      </c>
      <c r="V2399" s="12">
        <f>IF($J2399=0,0,ROUND(MAX($J2399*1.4*1.5*1.6*1.6*2.2*2.715,354000000*(1.642074^(MIN($E2399,123)-117)))*1,0))</f>
        <v>18057055</v>
      </c>
      <c r="W2399" s="13">
        <f>$E2399+15</f>
        <v>126</v>
      </c>
      <c r="X2399" s="14">
        <f>IF($J2399=0,0,ROUND(MAX($J2399*1.4*1.5*1.6*1.6*2.2*2.715*2.6,3540000000*(1.579646^(MIN($E2399,123)-117)))*1,0))</f>
        <v>227847690</v>
      </c>
      <c r="Y2399" s="11">
        <f>$E2399+17</f>
        <v>128</v>
      </c>
      <c r="Z2399" s="12">
        <f>IF($J2399=0,0,ROUND(MAX($J2399*1.4*1.5*1.6*1.6*2.2*2.715*2.6*1.4,6020000000*(1.651178^(MIN($E2399,123)-117)))*1,0))</f>
        <v>297052444</v>
      </c>
      <c r="AA2399" s="13">
        <f>$E2399+19</f>
        <v>130</v>
      </c>
      <c r="AB2399" s="14">
        <f>IF($J2399=0,0,ROUND(MAX($J2399*1.4*1.5*1.6*1.6*2.2*2.715*2.6*1.4*1.4,8430000000*(1.651435^(MIN($E2399,123)-117)))*1,0))</f>
        <v>415583854</v>
      </c>
      <c r="AC2399" s="11">
        <f>$E2399+21</f>
        <v>132</v>
      </c>
      <c r="AD2399" s="12">
        <f>IF($J2399=0,0,ROUND(MAX($J2399*1.4*1.5*1.6*1.6*2.2*2.715*2.6*1.4*1.4*1.5,12600000000*(1.652953^(MIN($E2399,123)-117)))*1,0))</f>
        <v>617742548</v>
      </c>
      <c r="AE2399" s="13">
        <f>$E2399+24</f>
        <v>135</v>
      </c>
      <c r="AF2399" s="14">
        <f>IF($J2399=0,0,ROUND(MAX($J2399*1.4*1.5*1.6*1.6*2.2*2.715*2.6*1.4*1.4*1.5*1.5,18900000000*(1.65331^(MIN($E2399,123)-117)))*1,0))</f>
        <v>925413965</v>
      </c>
      <c r="AG2399" s="11">
        <f>$E2399+27</f>
        <v>138</v>
      </c>
      <c r="AH2399" s="12">
        <f>IF($J2399=0,0,ROUND(MAX($J2399*1.4*1.5*1.6*1.6*2.2*2.715*2.6*1.4*1.4*1.5*1.5*3.2,60500000000*(1.654288^(MIN($E2399,123)-117)))*1,0))</f>
        <v>2951811756</v>
      </c>
    </row>
    <row r="2400" ht="28" customHeight="1" spans="1:34" x14ac:dyDescent="0.25">
      <c r="A2400">
        <v>2410</v>
      </c>
      <c r="B2400" t="s">
        <v>825</v>
      </c>
      <c r="C2400" s="10" t="s">
        <v>1421</v>
      </c>
      <c r="D2400" t="s">
        <v>40</v>
      </c>
      <c r="E2400">
        <v>111</v>
      </c>
      <c r="F2400" t="s">
        <v>71</v>
      </c>
      <c r="G2400" t="s">
        <v>362</v>
      </c>
      <c r="H2400">
        <v>25</v>
      </c>
      <c r="I2400" s="11">
        <v>111</v>
      </c>
      <c r="J2400" s="12">
        <v>63700</v>
      </c>
      <c r="K2400" s="13">
        <f>$E2400+1</f>
        <v>112</v>
      </c>
      <c r="L2400" s="14">
        <f>IF($J2400=0,0,ROUND(MAX($J2400*1.4,1620000*(1.497923^(MIN($E2400,123)-117)))*1,0))</f>
        <v>143410</v>
      </c>
      <c r="M2400" s="11">
        <f>$E2400+2</f>
        <v>113</v>
      </c>
      <c r="N2400" s="12">
        <f>IF($J2400=0,0,ROUND(MAX($J2400*1.4*1.5,2190000*(1.580994^(MIN($E2400,123)-117)))*1,0))</f>
        <v>140237</v>
      </c>
      <c r="O2400" s="13">
        <f>$E2400+4</f>
        <v>115</v>
      </c>
      <c r="P2400" s="14">
        <f>IF($J2400=0,0,ROUND(MAX($J2400*1.4*1.5*1.6,3500000*(1.57975^(MIN($E2400,123)-117)))*1,0))</f>
        <v>225184</v>
      </c>
      <c r="Q2400" s="11">
        <f>$E2400+6</f>
        <v>117</v>
      </c>
      <c r="R2400" s="12">
        <f>IF($J2400=0,0,ROUND(MAX($J2400*1.4*1.5*1.6*1.6,13100000*(1.429962^(MIN($E2400,123)-117)))*1,0))</f>
        <v>1532231</v>
      </c>
      <c r="S2400" s="13">
        <f>$E2400+8</f>
        <v>119</v>
      </c>
      <c r="T2400" s="14">
        <f>IF($J2400=0,0,ROUND(MAX($J2400*1.4*1.5*1.6*1.6*2.2,42600000*(1.576904^(MIN($E2400,123)-117)))*1,0))</f>
        <v>2770627</v>
      </c>
      <c r="U2400" s="11">
        <f>$E2400+11</f>
        <v>122</v>
      </c>
      <c r="V2400" s="12">
        <f>IF($J2400=0,0,ROUND(MAX($J2400*1.4*1.5*1.6*1.6*2.2*2.715,354000000*(1.642074^(MIN($E2400,123)-117)))*1,0))</f>
        <v>18057055</v>
      </c>
      <c r="W2400" s="13">
        <f>$E2400+15</f>
        <v>126</v>
      </c>
      <c r="X2400" s="14">
        <f>IF($J2400=0,0,ROUND(MAX($J2400*1.4*1.5*1.6*1.6*2.2*2.715*2.6,3540000000*(1.579646^(MIN($E2400,123)-117)))*1,0))</f>
        <v>227847690</v>
      </c>
      <c r="Y2400" s="11">
        <f>$E2400+17</f>
        <v>128</v>
      </c>
      <c r="Z2400" s="12">
        <f>IF($J2400=0,0,ROUND(MAX($J2400*1.4*1.5*1.6*1.6*2.2*2.715*2.6*1.4,6020000000*(1.651178^(MIN($E2400,123)-117)))*1,0))</f>
        <v>297052444</v>
      </c>
      <c r="AA2400" s="13">
        <f>$E2400+19</f>
        <v>130</v>
      </c>
      <c r="AB2400" s="14">
        <f>IF($J2400=0,0,ROUND(MAX($J2400*1.4*1.5*1.6*1.6*2.2*2.715*2.6*1.4*1.4,8430000000*(1.651435^(MIN($E2400,123)-117)))*1,0))</f>
        <v>415583854</v>
      </c>
      <c r="AC2400" s="11">
        <f>$E2400+21</f>
        <v>132</v>
      </c>
      <c r="AD2400" s="12">
        <f>IF($J2400=0,0,ROUND(MAX($J2400*1.4*1.5*1.6*1.6*2.2*2.715*2.6*1.4*1.4*1.5,12600000000*(1.652953^(MIN($E2400,123)-117)))*1,0))</f>
        <v>617742548</v>
      </c>
      <c r="AE2400" s="13">
        <f>$E2400+24</f>
        <v>135</v>
      </c>
      <c r="AF2400" s="14">
        <f>IF($J2400=0,0,ROUND(MAX($J2400*1.4*1.5*1.6*1.6*2.2*2.715*2.6*1.4*1.4*1.5*1.5,18900000000*(1.65331^(MIN($E2400,123)-117)))*1,0))</f>
        <v>925413965</v>
      </c>
      <c r="AG2400" s="11">
        <f>$E2400+27</f>
        <v>138</v>
      </c>
      <c r="AH2400" s="12">
        <f>IF($J2400=0,0,ROUND(MAX($J2400*1.4*1.5*1.6*1.6*2.2*2.715*2.6*1.4*1.4*1.5*1.5*3.2,60500000000*(1.654288^(MIN($E2400,123)-117)))*1,0))</f>
        <v>2951811756</v>
      </c>
    </row>
    <row r="2401" ht="28" customHeight="1" spans="1:34" x14ac:dyDescent="0.25">
      <c r="A2401">
        <v>2411</v>
      </c>
      <c r="B2401" t="s">
        <v>1356</v>
      </c>
      <c r="C2401" s="10" t="s">
        <v>1421</v>
      </c>
      <c r="D2401" t="s">
        <v>33</v>
      </c>
      <c r="E2401">
        <v>111</v>
      </c>
      <c r="F2401" t="s">
        <v>146</v>
      </c>
      <c r="G2401" t="s">
        <v>349</v>
      </c>
      <c r="H2401">
        <v>25</v>
      </c>
      <c r="I2401" s="11">
        <v>111</v>
      </c>
      <c r="J2401" s="12">
        <v>121000</v>
      </c>
      <c r="K2401" s="13">
        <f>$E2401+1</f>
        <v>112</v>
      </c>
      <c r="L2401" s="14">
        <f>IF($J2401=0,0,ROUND(MAX($J2401*1.4,1620000*(1.497923^(MIN($E2401,123)-117)))*1,0))</f>
        <v>169400</v>
      </c>
      <c r="M2401" s="11">
        <f>$E2401+2</f>
        <v>113</v>
      </c>
      <c r="N2401" s="12">
        <f>IF($J2401=0,0,ROUND(MAX($J2401*1.4*1.5,2190000*(1.580994^(MIN($E2401,123)-117)))*1,0))</f>
        <v>254100</v>
      </c>
      <c r="O2401" s="13">
        <f>$E2401+4</f>
        <v>115</v>
      </c>
      <c r="P2401" s="14">
        <f>IF($J2401=0,0,ROUND(MAX($J2401*1.4*1.5*1.6,3500000*(1.57975^(MIN($E2401,123)-117)))*1,0))</f>
        <v>406560</v>
      </c>
      <c r="Q2401" s="11">
        <f>$E2401+6</f>
        <v>117</v>
      </c>
      <c r="R2401" s="12">
        <f>IF($J2401=0,0,ROUND(MAX($J2401*1.4*1.5*1.6*1.6,13100000*(1.429962^(MIN($E2401,123)-117)))*1,0))</f>
        <v>1532231</v>
      </c>
      <c r="S2401" s="13">
        <f>$E2401+8</f>
        <v>119</v>
      </c>
      <c r="T2401" s="14">
        <f>IF($J2401=0,0,ROUND(MAX($J2401*1.4*1.5*1.6*1.6*2.2,42600000*(1.576904^(MIN($E2401,123)-117)))*1,0))</f>
        <v>2770627</v>
      </c>
      <c r="U2401" s="11">
        <f>$E2401+11</f>
        <v>122</v>
      </c>
      <c r="V2401" s="12">
        <f>IF($J2401=0,0,ROUND(MAX($J2401*1.4*1.5*1.6*1.6*2.2*2.715,354000000*(1.642074^(MIN($E2401,123)-117)))*1,0))</f>
        <v>18057055</v>
      </c>
      <c r="W2401" s="13">
        <f>$E2401+15</f>
        <v>126</v>
      </c>
      <c r="X2401" s="14">
        <f>IF($J2401=0,0,ROUND(MAX($J2401*1.4*1.5*1.6*1.6*2.2*2.715*2.6,3540000000*(1.579646^(MIN($E2401,123)-117)))*1,0))</f>
        <v>227847690</v>
      </c>
      <c r="Y2401" s="11">
        <f>$E2401+17</f>
        <v>128</v>
      </c>
      <c r="Z2401" s="12">
        <f>IF($J2401=0,0,ROUND(MAX($J2401*1.4*1.5*1.6*1.6*2.2*2.715*2.6*1.4,6020000000*(1.651178^(MIN($E2401,123)-117)))*1,0))</f>
        <v>297052444</v>
      </c>
      <c r="AA2401" s="13">
        <f>$E2401+19</f>
        <v>130</v>
      </c>
      <c r="AB2401" s="14">
        <f>IF($J2401=0,0,ROUND(MAX($J2401*1.4*1.5*1.6*1.6*2.2*2.715*2.6*1.4*1.4,8430000000*(1.651435^(MIN($E2401,123)-117)))*1,0))</f>
        <v>415583854</v>
      </c>
      <c r="AC2401" s="11">
        <f>$E2401+21</f>
        <v>132</v>
      </c>
      <c r="AD2401" s="12">
        <f>IF($J2401=0,0,ROUND(MAX($J2401*1.4*1.5*1.6*1.6*2.2*2.715*2.6*1.4*1.4*1.5,12600000000*(1.652953^(MIN($E2401,123)-117)))*1,0))</f>
        <v>617742548</v>
      </c>
      <c r="AE2401" s="13">
        <f>$E2401+24</f>
        <v>135</v>
      </c>
      <c r="AF2401" s="14">
        <f>IF($J2401=0,0,ROUND(MAX($J2401*1.4*1.5*1.6*1.6*2.2*2.715*2.6*1.4*1.4*1.5*1.5,18900000000*(1.65331^(MIN($E2401,123)-117)))*1,0))</f>
        <v>925413965</v>
      </c>
      <c r="AG2401" s="11">
        <f>$E2401+27</f>
        <v>138</v>
      </c>
      <c r="AH2401" s="12">
        <f>IF($J2401=0,0,ROUND(MAX($J2401*1.4*1.5*1.6*1.6*2.2*2.715*2.6*1.4*1.4*1.5*1.5*3.2,60500000000*(1.654288^(MIN($E2401,123)-117)))*1,0))</f>
        <v>2951811756</v>
      </c>
    </row>
    <row r="2402" ht="28" customHeight="1" spans="1:34" x14ac:dyDescent="0.25">
      <c r="A2402">
        <v>2412</v>
      </c>
      <c r="B2402" t="s">
        <v>1453</v>
      </c>
      <c r="C2402" s="10" t="s">
        <v>1421</v>
      </c>
      <c r="D2402" t="s">
        <v>331</v>
      </c>
      <c r="E2402">
        <v>111</v>
      </c>
      <c r="F2402" t="s">
        <v>144</v>
      </c>
      <c r="G2402" t="s">
        <v>1454</v>
      </c>
      <c r="H2402">
        <v>25</v>
      </c>
      <c r="I2402" s="11">
        <v>111</v>
      </c>
      <c r="J2402" s="12">
        <v>63400</v>
      </c>
      <c r="K2402" s="13">
        <f>$E2402+1</f>
        <v>112</v>
      </c>
      <c r="L2402" s="14">
        <f>IF($J2402=0,0,ROUND(MAX($J2402*1.4,1620000*(1.497923^(MIN($E2402,123)-117)))*1,0))</f>
        <v>143410</v>
      </c>
      <c r="M2402" s="11">
        <f>$E2402+2</f>
        <v>113</v>
      </c>
      <c r="N2402" s="12">
        <f>IF($J2402=0,0,ROUND(MAX($J2402*1.4*1.5,2190000*(1.580994^(MIN($E2402,123)-117)))*1,0))</f>
        <v>140237</v>
      </c>
      <c r="O2402" s="13">
        <f>$E2402+4</f>
        <v>115</v>
      </c>
      <c r="P2402" s="14">
        <f>IF($J2402=0,0,ROUND(MAX($J2402*1.4*1.5*1.6,3500000*(1.57975^(MIN($E2402,123)-117)))*1,0))</f>
        <v>225184</v>
      </c>
      <c r="Q2402" s="11">
        <f>$E2402+6</f>
        <v>117</v>
      </c>
      <c r="R2402" s="12">
        <f>IF($J2402=0,0,ROUND(MAX($J2402*1.4*1.5*1.6*1.6,13100000*(1.429962^(MIN($E2402,123)-117)))*1,0))</f>
        <v>1532231</v>
      </c>
      <c r="S2402" s="13">
        <f>$E2402+8</f>
        <v>119</v>
      </c>
      <c r="T2402" s="14">
        <f>IF($J2402=0,0,ROUND(MAX($J2402*1.4*1.5*1.6*1.6*2.2,42600000*(1.576904^(MIN($E2402,123)-117)))*1,0))</f>
        <v>2770627</v>
      </c>
      <c r="U2402" s="11">
        <f>$E2402+11</f>
        <v>122</v>
      </c>
      <c r="V2402" s="12">
        <f>IF($J2402=0,0,ROUND(MAX($J2402*1.4*1.5*1.6*1.6*2.2*2.715,354000000*(1.642074^(MIN($E2402,123)-117)))*1,0))</f>
        <v>18057055</v>
      </c>
      <c r="W2402" s="13">
        <f>$E2402+15</f>
        <v>126</v>
      </c>
      <c r="X2402" s="14">
        <f>IF($J2402=0,0,ROUND(MAX($J2402*1.4*1.5*1.6*1.6*2.2*2.715*2.6,3540000000*(1.579646^(MIN($E2402,123)-117)))*1,0))</f>
        <v>227847690</v>
      </c>
      <c r="Y2402" s="11">
        <f>$E2402+17</f>
        <v>128</v>
      </c>
      <c r="Z2402" s="12">
        <f>IF($J2402=0,0,ROUND(MAX($J2402*1.4*1.5*1.6*1.6*2.2*2.715*2.6*1.4,6020000000*(1.651178^(MIN($E2402,123)-117)))*1,0))</f>
        <v>297052444</v>
      </c>
      <c r="AA2402" s="13">
        <f>$E2402+19</f>
        <v>130</v>
      </c>
      <c r="AB2402" s="14">
        <f>IF($J2402=0,0,ROUND(MAX($J2402*1.4*1.5*1.6*1.6*2.2*2.715*2.6*1.4*1.4,8430000000*(1.651435^(MIN($E2402,123)-117)))*1,0))</f>
        <v>415583854</v>
      </c>
      <c r="AC2402" s="11">
        <f>$E2402+21</f>
        <v>132</v>
      </c>
      <c r="AD2402" s="12">
        <f>IF($J2402=0,0,ROUND(MAX($J2402*1.4*1.5*1.6*1.6*2.2*2.715*2.6*1.4*1.4*1.5,12600000000*(1.652953^(MIN($E2402,123)-117)))*1,0))</f>
        <v>617742548</v>
      </c>
      <c r="AE2402" s="13">
        <f>$E2402+24</f>
        <v>135</v>
      </c>
      <c r="AF2402" s="14">
        <f>IF($J2402=0,0,ROUND(MAX($J2402*1.4*1.5*1.6*1.6*2.2*2.715*2.6*1.4*1.4*1.5*1.5,18900000000*(1.65331^(MIN($E2402,123)-117)))*1,0))</f>
        <v>925413965</v>
      </c>
      <c r="AG2402" s="11">
        <f>$E2402+27</f>
        <v>138</v>
      </c>
      <c r="AH2402" s="12">
        <f>IF($J2402=0,0,ROUND(MAX($J2402*1.4*1.5*1.6*1.6*2.2*2.715*2.6*1.4*1.4*1.5*1.5*3.2,60500000000*(1.654288^(MIN($E2402,123)-117)))*1,0))</f>
        <v>2951811756</v>
      </c>
    </row>
    <row r="2403" ht="28" customHeight="1" spans="1:34" x14ac:dyDescent="0.25">
      <c r="A2403">
        <v>2413</v>
      </c>
      <c r="B2403" t="s">
        <v>885</v>
      </c>
      <c r="C2403" s="10" t="s">
        <v>1421</v>
      </c>
      <c r="D2403" t="s">
        <v>47</v>
      </c>
      <c r="E2403">
        <v>111</v>
      </c>
      <c r="F2403" t="s">
        <v>116</v>
      </c>
      <c r="G2403" t="s">
        <v>57</v>
      </c>
      <c r="H2403">
        <v>23</v>
      </c>
      <c r="I2403" s="11">
        <v>111</v>
      </c>
      <c r="J2403" s="12">
        <v>70400</v>
      </c>
      <c r="K2403" s="13">
        <f>$E2403+1</f>
        <v>112</v>
      </c>
      <c r="L2403" s="14">
        <f>IF($J2403=0,0,ROUND(MAX($J2403*1.4,1620000*(1.497923^(MIN($E2403,123)-117)))*1,0))</f>
        <v>143410</v>
      </c>
      <c r="M2403" s="11">
        <f>$E2403+2</f>
        <v>113</v>
      </c>
      <c r="N2403" s="12">
        <f>IF($J2403=0,0,ROUND(MAX($J2403*1.4*1.5,2190000*(1.580994^(MIN($E2403,123)-117)))*1,0))</f>
        <v>147840</v>
      </c>
      <c r="O2403" s="13">
        <f>$E2403+4</f>
        <v>115</v>
      </c>
      <c r="P2403" s="14">
        <f>IF($J2403=0,0,ROUND(MAX($J2403*1.4*1.5*1.6,3500000*(1.57975^(MIN($E2403,123)-117)))*1,0))</f>
        <v>236544</v>
      </c>
      <c r="Q2403" s="11">
        <f>$E2403+6</f>
        <v>117</v>
      </c>
      <c r="R2403" s="12">
        <f>IF($J2403=0,0,ROUND(MAX($J2403*1.4*1.5*1.6*1.6,13100000*(1.429962^(MIN($E2403,123)-117)))*1,0))</f>
        <v>1532231</v>
      </c>
      <c r="S2403" s="13">
        <f>$E2403+8</f>
        <v>119</v>
      </c>
      <c r="T2403" s="14">
        <f>IF($J2403=0,0,ROUND(MAX($J2403*1.4*1.5*1.6*1.6*2.2,42600000*(1.576904^(MIN($E2403,123)-117)))*1,0))</f>
        <v>2770627</v>
      </c>
      <c r="U2403" s="11">
        <f>$E2403+11</f>
        <v>122</v>
      </c>
      <c r="V2403" s="12">
        <f>IF($J2403=0,0,ROUND(MAX($J2403*1.4*1.5*1.6*1.6*2.2*2.715,354000000*(1.642074^(MIN($E2403,123)-117)))*1,0))</f>
        <v>18057055</v>
      </c>
      <c r="W2403" s="13">
        <f>$E2403+15</f>
        <v>126</v>
      </c>
      <c r="X2403" s="14">
        <f>IF($J2403=0,0,ROUND(MAX($J2403*1.4*1.5*1.6*1.6*2.2*2.715*2.6,3540000000*(1.579646^(MIN($E2403,123)-117)))*1,0))</f>
        <v>227847690</v>
      </c>
      <c r="Y2403" s="11">
        <f>$E2403+17</f>
        <v>128</v>
      </c>
      <c r="Z2403" s="12">
        <f>IF($J2403=0,0,ROUND(MAX($J2403*1.4*1.5*1.6*1.6*2.2*2.715*2.6*1.4,6020000000*(1.651178^(MIN($E2403,123)-117)))*1,0))</f>
        <v>297052444</v>
      </c>
      <c r="AA2403" s="13">
        <f>$E2403+19</f>
        <v>130</v>
      </c>
      <c r="AB2403" s="14">
        <f>IF($J2403=0,0,ROUND(MAX($J2403*1.4*1.5*1.6*1.6*2.2*2.715*2.6*1.4*1.4,8430000000*(1.651435^(MIN($E2403,123)-117)))*1,0))</f>
        <v>415583854</v>
      </c>
      <c r="AC2403" s="11">
        <f>$E2403+21</f>
        <v>132</v>
      </c>
      <c r="AD2403" s="12">
        <f>IF($J2403=0,0,ROUND(MAX($J2403*1.4*1.5*1.6*1.6*2.2*2.715*2.6*1.4*1.4*1.5,12600000000*(1.652953^(MIN($E2403,123)-117)))*1,0))</f>
        <v>617742548</v>
      </c>
      <c r="AE2403" s="13">
        <f>$E2403+24</f>
        <v>135</v>
      </c>
      <c r="AF2403" s="14">
        <f>IF($J2403=0,0,ROUND(MAX($J2403*1.4*1.5*1.6*1.6*2.2*2.715*2.6*1.4*1.4*1.5*1.5,18900000000*(1.65331^(MIN($E2403,123)-117)))*1,0))</f>
        <v>925413965</v>
      </c>
      <c r="AG2403" s="11">
        <f>$E2403+27</f>
        <v>138</v>
      </c>
      <c r="AH2403" s="12">
        <f>IF($J2403=0,0,ROUND(MAX($J2403*1.4*1.5*1.6*1.6*2.2*2.715*2.6*1.4*1.4*1.5*1.5*3.2,60500000000*(1.654288^(MIN($E2403,123)-117)))*1,0))</f>
        <v>2951811756</v>
      </c>
    </row>
    <row r="2404" ht="28" customHeight="1" spans="1:34" x14ac:dyDescent="0.25">
      <c r="A2404">
        <v>2414</v>
      </c>
      <c r="B2404" t="s">
        <v>275</v>
      </c>
      <c r="C2404" s="10" t="s">
        <v>1421</v>
      </c>
      <c r="D2404" t="s">
        <v>93</v>
      </c>
      <c r="E2404">
        <v>110</v>
      </c>
      <c r="F2404" t="s">
        <v>71</v>
      </c>
      <c r="G2404" t="s">
        <v>206</v>
      </c>
      <c r="H2404">
        <v>26</v>
      </c>
      <c r="I2404" s="11">
        <v>110</v>
      </c>
      <c r="J2404" s="12">
        <v>66100</v>
      </c>
      <c r="K2404" s="13">
        <f>$E2404+1</f>
        <v>111</v>
      </c>
      <c r="L2404" s="14">
        <f>IF($J2404=0,0,ROUND(MAX($J2404*1.4,1620000*(1.497923^(MIN($E2404,123)-117)))*1,0))</f>
        <v>95739</v>
      </c>
      <c r="M2404" s="11">
        <f>$E2404+2</f>
        <v>112</v>
      </c>
      <c r="N2404" s="12">
        <f>IF($J2404=0,0,ROUND(MAX($J2404*1.4*1.5,2190000*(1.580994^(MIN($E2404,123)-117)))*1,0))</f>
        <v>138810</v>
      </c>
      <c r="O2404" s="13">
        <f>$E2404+4</f>
        <v>114</v>
      </c>
      <c r="P2404" s="14">
        <f>IF($J2404=0,0,ROUND(MAX($J2404*1.4*1.5*1.6,3500000*(1.57975^(MIN($E2404,123)-117)))*1,0))</f>
        <v>222096</v>
      </c>
      <c r="Q2404" s="11">
        <f>$E2404+6</f>
        <v>116</v>
      </c>
      <c r="R2404" s="12">
        <f>IF($J2404=0,0,ROUND(MAX($J2404*1.4*1.5*1.6*1.6,13100000*(1.429962^(MIN($E2404,123)-117)))*1,0))</f>
        <v>1071519</v>
      </c>
      <c r="S2404" s="13">
        <f>$E2404+8</f>
        <v>118</v>
      </c>
      <c r="T2404" s="14">
        <f>IF($J2404=0,0,ROUND(MAX($J2404*1.4*1.5*1.6*1.6*2.2,42600000*(1.576904^(MIN($E2404,123)-117)))*1,0))</f>
        <v>1757004</v>
      </c>
      <c r="U2404" s="11">
        <f>$E2404+11</f>
        <v>121</v>
      </c>
      <c r="V2404" s="12">
        <f>IF($J2404=0,0,ROUND(MAX($J2404*1.4*1.5*1.6*1.6*2.2*2.715,354000000*(1.642074^(MIN($E2404,123)-117)))*1,0))</f>
        <v>10996493</v>
      </c>
      <c r="W2404" s="13">
        <f>$E2404+15</f>
        <v>125</v>
      </c>
      <c r="X2404" s="14">
        <f>IF($J2404=0,0,ROUND(MAX($J2404*1.4*1.5*1.6*1.6*2.2*2.715*2.6,3540000000*(1.579646^(MIN($E2404,123)-117)))*1,0))</f>
        <v>144239716</v>
      </c>
      <c r="Y2404" s="11">
        <f>$E2404+17</f>
        <v>127</v>
      </c>
      <c r="Z2404" s="12">
        <f>IF($J2404=0,0,ROUND(MAX($J2404*1.4*1.5*1.6*1.6*2.2*2.715*2.6*1.4,6020000000*(1.651178^(MIN($E2404,123)-117)))*1,0))</f>
        <v>179903344</v>
      </c>
      <c r="AA2404" s="13">
        <f>$E2404+19</f>
        <v>129</v>
      </c>
      <c r="AB2404" s="14">
        <f>IF($J2404=0,0,ROUND(MAX($J2404*1.4*1.5*1.6*1.6*2.2*2.715*2.6*1.4*1.4,8430000000*(1.651435^(MIN($E2404,123)-117)))*1,0))</f>
        <v>251650143</v>
      </c>
      <c r="AC2404" s="11">
        <f>$E2404+21</f>
        <v>131</v>
      </c>
      <c r="AD2404" s="12">
        <f>IF($J2404=0,0,ROUND(MAX($J2404*1.4*1.5*1.6*1.6*2.2*2.715*2.6*1.4*1.4*1.5,12600000000*(1.652953^(MIN($E2404,123)-117)))*1,0))</f>
        <v>373720576</v>
      </c>
      <c r="AE2404" s="13">
        <f>$E2404+24</f>
        <v>134</v>
      </c>
      <c r="AF2404" s="14">
        <f>IF($J2404=0,0,ROUND(MAX($J2404*1.4*1.5*1.6*1.6*2.2*2.715*2.6*1.4*1.4*1.5*1.5,18900000000*(1.65331^(MIN($E2404,123)-117)))*1,0))</f>
        <v>559734088</v>
      </c>
      <c r="AG2404" s="11">
        <f>$E2404+27</f>
        <v>137</v>
      </c>
      <c r="AH2404" s="12">
        <f>IF($J2404=0,0,ROUND(MAX($J2404*1.4*1.5*1.6*1.6*2.2*2.715*2.6*1.4*1.4*1.5*1.5*3.2,60500000000*(1.654288^(MIN($E2404,123)-117)))*1,0))</f>
        <v>1784339701</v>
      </c>
    </row>
    <row r="2405" ht="28" customHeight="1" spans="1:34" x14ac:dyDescent="0.25">
      <c r="A2405">
        <v>2415</v>
      </c>
      <c r="B2405" t="s">
        <v>1455</v>
      </c>
      <c r="C2405" s="10" t="s">
        <v>1421</v>
      </c>
      <c r="D2405" t="s">
        <v>33</v>
      </c>
      <c r="E2405">
        <v>110</v>
      </c>
      <c r="F2405" t="s">
        <v>1456</v>
      </c>
      <c r="G2405" t="s">
        <v>595</v>
      </c>
      <c r="H2405">
        <v>26</v>
      </c>
      <c r="I2405" s="11">
        <v>110</v>
      </c>
      <c r="J2405" s="12">
        <v>62900</v>
      </c>
      <c r="K2405" s="13">
        <f>$E2405+1</f>
        <v>111</v>
      </c>
      <c r="L2405" s="14">
        <f>IF($J2405=0,0,ROUND(MAX($J2405*1.4,1620000*(1.497923^(MIN($E2405,123)-117)))*1,0))</f>
        <v>95739</v>
      </c>
      <c r="M2405" s="11">
        <f>$E2405+2</f>
        <v>112</v>
      </c>
      <c r="N2405" s="12">
        <f>IF($J2405=0,0,ROUND(MAX($J2405*1.4*1.5,2190000*(1.580994^(MIN($E2405,123)-117)))*1,0))</f>
        <v>132090</v>
      </c>
      <c r="O2405" s="13">
        <f>$E2405+4</f>
        <v>114</v>
      </c>
      <c r="P2405" s="14">
        <f>IF($J2405=0,0,ROUND(MAX($J2405*1.4*1.5*1.6,3500000*(1.57975^(MIN($E2405,123)-117)))*1,0))</f>
        <v>211344</v>
      </c>
      <c r="Q2405" s="11">
        <f>$E2405+6</f>
        <v>116</v>
      </c>
      <c r="R2405" s="12">
        <f>IF($J2405=0,0,ROUND(MAX($J2405*1.4*1.5*1.6*1.6,13100000*(1.429962^(MIN($E2405,123)-117)))*1,0))</f>
        <v>1071519</v>
      </c>
      <c r="S2405" s="13">
        <f>$E2405+8</f>
        <v>118</v>
      </c>
      <c r="T2405" s="14">
        <f>IF($J2405=0,0,ROUND(MAX($J2405*1.4*1.5*1.6*1.6*2.2,42600000*(1.576904^(MIN($E2405,123)-117)))*1,0))</f>
        <v>1757004</v>
      </c>
      <c r="U2405" s="11">
        <f>$E2405+11</f>
        <v>121</v>
      </c>
      <c r="V2405" s="12">
        <f>IF($J2405=0,0,ROUND(MAX($J2405*1.4*1.5*1.6*1.6*2.2*2.715,354000000*(1.642074^(MIN($E2405,123)-117)))*1,0))</f>
        <v>10996493</v>
      </c>
      <c r="W2405" s="13">
        <f>$E2405+15</f>
        <v>125</v>
      </c>
      <c r="X2405" s="14">
        <f>IF($J2405=0,0,ROUND(MAX($J2405*1.4*1.5*1.6*1.6*2.2*2.715*2.6,3540000000*(1.579646^(MIN($E2405,123)-117)))*1,0))</f>
        <v>144239716</v>
      </c>
      <c r="Y2405" s="11">
        <f>$E2405+17</f>
        <v>127</v>
      </c>
      <c r="Z2405" s="12">
        <f>IF($J2405=0,0,ROUND(MAX($J2405*1.4*1.5*1.6*1.6*2.2*2.715*2.6*1.4,6020000000*(1.651178^(MIN($E2405,123)-117)))*1,0))</f>
        <v>179903344</v>
      </c>
      <c r="AA2405" s="13">
        <f>$E2405+19</f>
        <v>129</v>
      </c>
      <c r="AB2405" s="14">
        <f>IF($J2405=0,0,ROUND(MAX($J2405*1.4*1.5*1.6*1.6*2.2*2.715*2.6*1.4*1.4,8430000000*(1.651435^(MIN($E2405,123)-117)))*1,0))</f>
        <v>251650143</v>
      </c>
      <c r="AC2405" s="11">
        <f>$E2405+21</f>
        <v>131</v>
      </c>
      <c r="AD2405" s="12">
        <f>IF($J2405=0,0,ROUND(MAX($J2405*1.4*1.5*1.6*1.6*2.2*2.715*2.6*1.4*1.4*1.5,12600000000*(1.652953^(MIN($E2405,123)-117)))*1,0))</f>
        <v>373720576</v>
      </c>
      <c r="AE2405" s="13">
        <f>$E2405+24</f>
        <v>134</v>
      </c>
      <c r="AF2405" s="14">
        <f>IF($J2405=0,0,ROUND(MAX($J2405*1.4*1.5*1.6*1.6*2.2*2.715*2.6*1.4*1.4*1.5*1.5,18900000000*(1.65331^(MIN($E2405,123)-117)))*1,0))</f>
        <v>559734088</v>
      </c>
      <c r="AG2405" s="11">
        <f>$E2405+27</f>
        <v>137</v>
      </c>
      <c r="AH2405" s="12">
        <f>IF($J2405=0,0,ROUND(MAX($J2405*1.4*1.5*1.6*1.6*2.2*2.715*2.6*1.4*1.4*1.5*1.5*3.2,60500000000*(1.654288^(MIN($E2405,123)-117)))*1,0))</f>
        <v>1784339701</v>
      </c>
    </row>
    <row r="2406" ht="28" customHeight="1" spans="1:34" x14ac:dyDescent="0.25">
      <c r="A2406">
        <v>2416</v>
      </c>
      <c r="B2406" t="s">
        <v>1457</v>
      </c>
      <c r="C2406" s="10" t="s">
        <v>1421</v>
      </c>
      <c r="D2406" t="s">
        <v>45</v>
      </c>
      <c r="E2406">
        <v>110</v>
      </c>
      <c r="F2406" t="s">
        <v>26</v>
      </c>
      <c r="G2406" t="s">
        <v>209</v>
      </c>
      <c r="H2406">
        <v>26</v>
      </c>
      <c r="I2406" s="11">
        <v>110</v>
      </c>
      <c r="J2406" s="12">
        <v>290000</v>
      </c>
      <c r="K2406" s="13">
        <f>$E2406+1</f>
        <v>111</v>
      </c>
      <c r="L2406" s="14">
        <f>IF($J2406=0,0,ROUND(MAX($J2406*1.4,1620000*(1.497923^(MIN($E2406,123)-117)))*1,0))</f>
        <v>406000</v>
      </c>
      <c r="M2406" s="11">
        <f>$E2406+2</f>
        <v>112</v>
      </c>
      <c r="N2406" s="12">
        <f>IF($J2406=0,0,ROUND(MAX($J2406*1.4*1.5,2190000*(1.580994^(MIN($E2406,123)-117)))*1,0))</f>
        <v>609000</v>
      </c>
      <c r="O2406" s="13">
        <f>$E2406+4</f>
        <v>114</v>
      </c>
      <c r="P2406" s="14">
        <f>IF($J2406=0,0,ROUND(MAX($J2406*1.4*1.5*1.6,3500000*(1.57975^(MIN($E2406,123)-117)))*1,0))</f>
        <v>974400</v>
      </c>
      <c r="Q2406" s="11">
        <f>$E2406+6</f>
        <v>116</v>
      </c>
      <c r="R2406" s="12">
        <f>IF($J2406=0,0,ROUND(MAX($J2406*1.4*1.5*1.6*1.6,13100000*(1.429962^(MIN($E2406,123)-117)))*1,0))</f>
        <v>1559040</v>
      </c>
      <c r="S2406" s="13">
        <f>$E2406+8</f>
        <v>118</v>
      </c>
      <c r="T2406" s="14">
        <f>IF($J2406=0,0,ROUND(MAX($J2406*1.4*1.5*1.6*1.6*2.2,42600000*(1.576904^(MIN($E2406,123)-117)))*1,0))</f>
        <v>3429888</v>
      </c>
      <c r="U2406" s="11">
        <f>$E2406+11</f>
        <v>121</v>
      </c>
      <c r="V2406" s="12">
        <f>IF($J2406=0,0,ROUND(MAX($J2406*1.4*1.5*1.6*1.6*2.2*2.715,354000000*(1.642074^(MIN($E2406,123)-117)))*1,0))</f>
        <v>10996493</v>
      </c>
      <c r="W2406" s="13">
        <f>$E2406+15</f>
        <v>125</v>
      </c>
      <c r="X2406" s="14">
        <f>IF($J2406=0,0,ROUND(MAX($J2406*1.4*1.5*1.6*1.6*2.2*2.715*2.6,3540000000*(1.579646^(MIN($E2406,123)-117)))*1,0))</f>
        <v>144239716</v>
      </c>
      <c r="Y2406" s="11">
        <f>$E2406+17</f>
        <v>127</v>
      </c>
      <c r="Z2406" s="12">
        <f>IF($J2406=0,0,ROUND(MAX($J2406*1.4*1.5*1.6*1.6*2.2*2.715*2.6*1.4,6020000000*(1.651178^(MIN($E2406,123)-117)))*1,0))</f>
        <v>179903344</v>
      </c>
      <c r="AA2406" s="13">
        <f>$E2406+19</f>
        <v>129</v>
      </c>
      <c r="AB2406" s="14">
        <f>IF($J2406=0,0,ROUND(MAX($J2406*1.4*1.5*1.6*1.6*2.2*2.715*2.6*1.4*1.4,8430000000*(1.651435^(MIN($E2406,123)-117)))*1,0))</f>
        <v>251650143</v>
      </c>
      <c r="AC2406" s="11">
        <f>$E2406+21</f>
        <v>131</v>
      </c>
      <c r="AD2406" s="12">
        <f>IF($J2406=0,0,ROUND(MAX($J2406*1.4*1.5*1.6*1.6*2.2*2.715*2.6*1.4*1.4*1.5,12600000000*(1.652953^(MIN($E2406,123)-117)))*1,0))</f>
        <v>373720576</v>
      </c>
      <c r="AE2406" s="13">
        <f>$E2406+24</f>
        <v>134</v>
      </c>
      <c r="AF2406" s="14">
        <f>IF($J2406=0,0,ROUND(MAX($J2406*1.4*1.5*1.6*1.6*2.2*2.715*2.6*1.4*1.4*1.5*1.5,18900000000*(1.65331^(MIN($E2406,123)-117)))*1,0))</f>
        <v>559734088</v>
      </c>
      <c r="AG2406" s="11">
        <f>$E2406+27</f>
        <v>137</v>
      </c>
      <c r="AH2406" s="12">
        <f>IF($J2406=0,0,ROUND(MAX($J2406*1.4*1.5*1.6*1.6*2.2*2.715*2.6*1.4*1.4*1.5*1.5*3.2,60500000000*(1.654288^(MIN($E2406,123)-117)))*1,0))</f>
        <v>1784339701</v>
      </c>
    </row>
    <row r="2407" ht="28" customHeight="1" spans="1:34" x14ac:dyDescent="0.25">
      <c r="A2407">
        <v>2417</v>
      </c>
      <c r="B2407" t="s">
        <v>1458</v>
      </c>
      <c r="C2407" s="10" t="s">
        <v>1421</v>
      </c>
      <c r="D2407" t="s">
        <v>102</v>
      </c>
      <c r="E2407">
        <v>110</v>
      </c>
      <c r="F2407" t="s">
        <v>298</v>
      </c>
      <c r="G2407" t="s">
        <v>565</v>
      </c>
      <c r="H2407">
        <v>26</v>
      </c>
      <c r="I2407" s="11">
        <v>110</v>
      </c>
      <c r="J2407" s="12">
        <v>218000</v>
      </c>
      <c r="K2407" s="13">
        <f>$E2407+1</f>
        <v>111</v>
      </c>
      <c r="L2407" s="14">
        <f>IF($J2407=0,0,ROUND(MAX($J2407*1.4,1620000*(1.497923^(MIN($E2407,123)-117)))*1,0))</f>
        <v>305200</v>
      </c>
      <c r="M2407" s="11">
        <f>$E2407+2</f>
        <v>112</v>
      </c>
      <c r="N2407" s="12">
        <f>IF($J2407=0,0,ROUND(MAX($J2407*1.4*1.5,2190000*(1.580994^(MIN($E2407,123)-117)))*1,0))</f>
        <v>457800</v>
      </c>
      <c r="O2407" s="13">
        <f>$E2407+4</f>
        <v>114</v>
      </c>
      <c r="P2407" s="14">
        <f>IF($J2407=0,0,ROUND(MAX($J2407*1.4*1.5*1.6,3500000*(1.57975^(MIN($E2407,123)-117)))*1,0))</f>
        <v>732480</v>
      </c>
      <c r="Q2407" s="11">
        <f>$E2407+6</f>
        <v>116</v>
      </c>
      <c r="R2407" s="12">
        <f>IF($J2407=0,0,ROUND(MAX($J2407*1.4*1.5*1.6*1.6,13100000*(1.429962^(MIN($E2407,123)-117)))*1,0))</f>
        <v>1171968</v>
      </c>
      <c r="S2407" s="13">
        <f>$E2407+8</f>
        <v>118</v>
      </c>
      <c r="T2407" s="14">
        <f>IF($J2407=0,0,ROUND(MAX($J2407*1.4*1.5*1.6*1.6*2.2,42600000*(1.576904^(MIN($E2407,123)-117)))*1,0))</f>
        <v>2578330</v>
      </c>
      <c r="U2407" s="11">
        <f>$E2407+11</f>
        <v>121</v>
      </c>
      <c r="V2407" s="12">
        <f>IF($J2407=0,0,ROUND(MAX($J2407*1.4*1.5*1.6*1.6*2.2*2.715,354000000*(1.642074^(MIN($E2407,123)-117)))*1,0))</f>
        <v>10996493</v>
      </c>
      <c r="W2407" s="13">
        <f>$E2407+15</f>
        <v>125</v>
      </c>
      <c r="X2407" s="14">
        <f>IF($J2407=0,0,ROUND(MAX($J2407*1.4*1.5*1.6*1.6*2.2*2.715*2.6,3540000000*(1.579646^(MIN($E2407,123)-117)))*1,0))</f>
        <v>144239716</v>
      </c>
      <c r="Y2407" s="11">
        <f>$E2407+17</f>
        <v>127</v>
      </c>
      <c r="Z2407" s="12">
        <f>IF($J2407=0,0,ROUND(MAX($J2407*1.4*1.5*1.6*1.6*2.2*2.715*2.6*1.4,6020000000*(1.651178^(MIN($E2407,123)-117)))*1,0))</f>
        <v>179903344</v>
      </c>
      <c r="AA2407" s="13">
        <f>$E2407+19</f>
        <v>129</v>
      </c>
      <c r="AB2407" s="14">
        <f>IF($J2407=0,0,ROUND(MAX($J2407*1.4*1.5*1.6*1.6*2.2*2.715*2.6*1.4*1.4,8430000000*(1.651435^(MIN($E2407,123)-117)))*1,0))</f>
        <v>251650143</v>
      </c>
      <c r="AC2407" s="11">
        <f>$E2407+21</f>
        <v>131</v>
      </c>
      <c r="AD2407" s="12">
        <f>IF($J2407=0,0,ROUND(MAX($J2407*1.4*1.5*1.6*1.6*2.2*2.715*2.6*1.4*1.4*1.5,12600000000*(1.652953^(MIN($E2407,123)-117)))*1,0))</f>
        <v>373720576</v>
      </c>
      <c r="AE2407" s="13">
        <f>$E2407+24</f>
        <v>134</v>
      </c>
      <c r="AF2407" s="14">
        <f>IF($J2407=0,0,ROUND(MAX($J2407*1.4*1.5*1.6*1.6*2.2*2.715*2.6*1.4*1.4*1.5*1.5,18900000000*(1.65331^(MIN($E2407,123)-117)))*1,0))</f>
        <v>559734088</v>
      </c>
      <c r="AG2407" s="11">
        <f>$E2407+27</f>
        <v>137</v>
      </c>
      <c r="AH2407" s="12">
        <f>IF($J2407=0,0,ROUND(MAX($J2407*1.4*1.5*1.6*1.6*2.2*2.715*2.6*1.4*1.4*1.5*1.5*3.2,60500000000*(1.654288^(MIN($E2407,123)-117)))*1,0))</f>
        <v>1784339701</v>
      </c>
    </row>
    <row r="2408" ht="28" customHeight="1" spans="1:34" x14ac:dyDescent="0.25">
      <c r="A2408">
        <v>2418</v>
      </c>
      <c r="B2408" t="s">
        <v>1229</v>
      </c>
      <c r="C2408" s="10" t="s">
        <v>1421</v>
      </c>
      <c r="D2408" t="s">
        <v>79</v>
      </c>
      <c r="E2408">
        <v>110</v>
      </c>
      <c r="F2408" t="s">
        <v>26</v>
      </c>
      <c r="G2408" t="s">
        <v>98</v>
      </c>
      <c r="H2408">
        <v>25</v>
      </c>
      <c r="I2408" s="11">
        <v>110</v>
      </c>
      <c r="J2408" s="12">
        <v>49900</v>
      </c>
      <c r="K2408" s="13">
        <f>$E2408+1</f>
        <v>111</v>
      </c>
      <c r="L2408" s="14">
        <f>IF($J2408=0,0,ROUND(MAX($J2408*1.4,1620000*(1.497923^(MIN($E2408,123)-117)))*1,0))</f>
        <v>95739</v>
      </c>
      <c r="M2408" s="11">
        <f>$E2408+2</f>
        <v>112</v>
      </c>
      <c r="N2408" s="12">
        <f>IF($J2408=0,0,ROUND(MAX($J2408*1.4*1.5,2190000*(1.580994^(MIN($E2408,123)-117)))*1,0))</f>
        <v>104790</v>
      </c>
      <c r="O2408" s="13">
        <f>$E2408+4</f>
        <v>114</v>
      </c>
      <c r="P2408" s="14">
        <f>IF($J2408=0,0,ROUND(MAX($J2408*1.4*1.5*1.6,3500000*(1.57975^(MIN($E2408,123)-117)))*1,0))</f>
        <v>167664</v>
      </c>
      <c r="Q2408" s="11">
        <f>$E2408+6</f>
        <v>116</v>
      </c>
      <c r="R2408" s="12">
        <f>IF($J2408=0,0,ROUND(MAX($J2408*1.4*1.5*1.6*1.6,13100000*(1.429962^(MIN($E2408,123)-117)))*1,0))</f>
        <v>1071519</v>
      </c>
      <c r="S2408" s="13">
        <f>$E2408+8</f>
        <v>118</v>
      </c>
      <c r="T2408" s="14">
        <f>IF($J2408=0,0,ROUND(MAX($J2408*1.4*1.5*1.6*1.6*2.2,42600000*(1.576904^(MIN($E2408,123)-117)))*1,0))</f>
        <v>1757004</v>
      </c>
      <c r="U2408" s="11">
        <f>$E2408+11</f>
        <v>121</v>
      </c>
      <c r="V2408" s="12">
        <f>IF($J2408=0,0,ROUND(MAX($J2408*1.4*1.5*1.6*1.6*2.2*2.715,354000000*(1.642074^(MIN($E2408,123)-117)))*1,0))</f>
        <v>10996493</v>
      </c>
      <c r="W2408" s="13">
        <f>$E2408+15</f>
        <v>125</v>
      </c>
      <c r="X2408" s="14">
        <f>IF($J2408=0,0,ROUND(MAX($J2408*1.4*1.5*1.6*1.6*2.2*2.715*2.6,3540000000*(1.579646^(MIN($E2408,123)-117)))*1,0))</f>
        <v>144239716</v>
      </c>
      <c r="Y2408" s="11">
        <f>$E2408+17</f>
        <v>127</v>
      </c>
      <c r="Z2408" s="12">
        <f>IF($J2408=0,0,ROUND(MAX($J2408*1.4*1.5*1.6*1.6*2.2*2.715*2.6*1.4,6020000000*(1.651178^(MIN($E2408,123)-117)))*1,0))</f>
        <v>179903344</v>
      </c>
      <c r="AA2408" s="13">
        <f>$E2408+19</f>
        <v>129</v>
      </c>
      <c r="AB2408" s="14">
        <f>IF($J2408=0,0,ROUND(MAX($J2408*1.4*1.5*1.6*1.6*2.2*2.715*2.6*1.4*1.4,8430000000*(1.651435^(MIN($E2408,123)-117)))*1,0))</f>
        <v>251650143</v>
      </c>
      <c r="AC2408" s="11">
        <f>$E2408+21</f>
        <v>131</v>
      </c>
      <c r="AD2408" s="12">
        <f>IF($J2408=0,0,ROUND(MAX($J2408*1.4*1.5*1.6*1.6*2.2*2.715*2.6*1.4*1.4*1.5,12600000000*(1.652953^(MIN($E2408,123)-117)))*1,0))</f>
        <v>373720576</v>
      </c>
      <c r="AE2408" s="13">
        <f>$E2408+24</f>
        <v>134</v>
      </c>
      <c r="AF2408" s="14">
        <f>IF($J2408=0,0,ROUND(MAX($J2408*1.4*1.5*1.6*1.6*2.2*2.715*2.6*1.4*1.4*1.5*1.5,18900000000*(1.65331^(MIN($E2408,123)-117)))*1,0))</f>
        <v>559734088</v>
      </c>
      <c r="AG2408" s="11">
        <f>$E2408+27</f>
        <v>137</v>
      </c>
      <c r="AH2408" s="12">
        <f>IF($J2408=0,0,ROUND(MAX($J2408*1.4*1.5*1.6*1.6*2.2*2.715*2.6*1.4*1.4*1.5*1.5*3.2,60500000000*(1.654288^(MIN($E2408,123)-117)))*1,0))</f>
        <v>1784339701</v>
      </c>
    </row>
    <row r="2409" ht="28" customHeight="1" spans="1:34" x14ac:dyDescent="0.25">
      <c r="A2409">
        <v>2419</v>
      </c>
      <c r="B2409" t="s">
        <v>427</v>
      </c>
      <c r="C2409" s="10" t="s">
        <v>1421</v>
      </c>
      <c r="D2409" t="s">
        <v>40</v>
      </c>
      <c r="E2409">
        <v>110</v>
      </c>
      <c r="F2409" t="s">
        <v>146</v>
      </c>
      <c r="G2409" t="s">
        <v>27</v>
      </c>
      <c r="H2409">
        <v>25</v>
      </c>
      <c r="I2409" s="11">
        <v>110</v>
      </c>
      <c r="J2409" s="12">
        <v>67800</v>
      </c>
      <c r="K2409" s="13">
        <f>$E2409+1</f>
        <v>111</v>
      </c>
      <c r="L2409" s="14">
        <f>IF($J2409=0,0,ROUND(MAX($J2409*1.4,1620000*(1.497923^(MIN($E2409,123)-117)))*1,0))</f>
        <v>95739</v>
      </c>
      <c r="M2409" s="11">
        <f>$E2409+2</f>
        <v>112</v>
      </c>
      <c r="N2409" s="12">
        <f>IF($J2409=0,0,ROUND(MAX($J2409*1.4*1.5,2190000*(1.580994^(MIN($E2409,123)-117)))*1,0))</f>
        <v>142380</v>
      </c>
      <c r="O2409" s="13">
        <f>$E2409+4</f>
        <v>114</v>
      </c>
      <c r="P2409" s="14">
        <f>IF($J2409=0,0,ROUND(MAX($J2409*1.4*1.5*1.6,3500000*(1.57975^(MIN($E2409,123)-117)))*1,0))</f>
        <v>227808</v>
      </c>
      <c r="Q2409" s="11">
        <f>$E2409+6</f>
        <v>116</v>
      </c>
      <c r="R2409" s="12">
        <f>IF($J2409=0,0,ROUND(MAX($J2409*1.4*1.5*1.6*1.6,13100000*(1.429962^(MIN($E2409,123)-117)))*1,0))</f>
        <v>1071519</v>
      </c>
      <c r="S2409" s="13">
        <f>$E2409+8</f>
        <v>118</v>
      </c>
      <c r="T2409" s="14">
        <f>IF($J2409=0,0,ROUND(MAX($J2409*1.4*1.5*1.6*1.6*2.2,42600000*(1.576904^(MIN($E2409,123)-117)))*1,0))</f>
        <v>1757004</v>
      </c>
      <c r="U2409" s="11">
        <f>$E2409+11</f>
        <v>121</v>
      </c>
      <c r="V2409" s="12">
        <f>IF($J2409=0,0,ROUND(MAX($J2409*1.4*1.5*1.6*1.6*2.2*2.715,354000000*(1.642074^(MIN($E2409,123)-117)))*1,0))</f>
        <v>10996493</v>
      </c>
      <c r="W2409" s="13">
        <f>$E2409+15</f>
        <v>125</v>
      </c>
      <c r="X2409" s="14">
        <f>IF($J2409=0,0,ROUND(MAX($J2409*1.4*1.5*1.6*1.6*2.2*2.715*2.6,3540000000*(1.579646^(MIN($E2409,123)-117)))*1,0))</f>
        <v>144239716</v>
      </c>
      <c r="Y2409" s="11">
        <f>$E2409+17</f>
        <v>127</v>
      </c>
      <c r="Z2409" s="12">
        <f>IF($J2409=0,0,ROUND(MAX($J2409*1.4*1.5*1.6*1.6*2.2*2.715*2.6*1.4,6020000000*(1.651178^(MIN($E2409,123)-117)))*1,0))</f>
        <v>179903344</v>
      </c>
      <c r="AA2409" s="13">
        <f>$E2409+19</f>
        <v>129</v>
      </c>
      <c r="AB2409" s="14">
        <f>IF($J2409=0,0,ROUND(MAX($J2409*1.4*1.5*1.6*1.6*2.2*2.715*2.6*1.4*1.4,8430000000*(1.651435^(MIN($E2409,123)-117)))*1,0))</f>
        <v>251650143</v>
      </c>
      <c r="AC2409" s="11">
        <f>$E2409+21</f>
        <v>131</v>
      </c>
      <c r="AD2409" s="12">
        <f>IF($J2409=0,0,ROUND(MAX($J2409*1.4*1.5*1.6*1.6*2.2*2.715*2.6*1.4*1.4*1.5,12600000000*(1.652953^(MIN($E2409,123)-117)))*1,0))</f>
        <v>373720576</v>
      </c>
      <c r="AE2409" s="13">
        <f>$E2409+24</f>
        <v>134</v>
      </c>
      <c r="AF2409" s="14">
        <f>IF($J2409=0,0,ROUND(MAX($J2409*1.4*1.5*1.6*1.6*2.2*2.715*2.6*1.4*1.4*1.5*1.5,18900000000*(1.65331^(MIN($E2409,123)-117)))*1,0))</f>
        <v>559734088</v>
      </c>
      <c r="AG2409" s="11">
        <f>$E2409+27</f>
        <v>137</v>
      </c>
      <c r="AH2409" s="12">
        <f>IF($J2409=0,0,ROUND(MAX($J2409*1.4*1.5*1.6*1.6*2.2*2.715*2.6*1.4*1.4*1.5*1.5*3.2,60500000000*(1.654288^(MIN($E2409,123)-117)))*1,0))</f>
        <v>1784339701</v>
      </c>
    </row>
    <row r="2410" ht="28" customHeight="1" spans="1:34" x14ac:dyDescent="0.25">
      <c r="A2410">
        <v>2420</v>
      </c>
      <c r="B2410" t="s">
        <v>1459</v>
      </c>
      <c r="C2410" s="10" t="s">
        <v>1421</v>
      </c>
      <c r="D2410" t="s">
        <v>64</v>
      </c>
      <c r="E2410">
        <v>110</v>
      </c>
      <c r="F2410" t="s">
        <v>120</v>
      </c>
      <c r="G2410" t="s">
        <v>86</v>
      </c>
      <c r="H2410">
        <v>25</v>
      </c>
      <c r="I2410" s="11">
        <v>110</v>
      </c>
      <c r="J2410" s="12">
        <v>68500</v>
      </c>
      <c r="K2410" s="13">
        <f>$E2410+1</f>
        <v>111</v>
      </c>
      <c r="L2410" s="14">
        <f>IF($J2410=0,0,ROUND(MAX($J2410*1.4,1620000*(1.497923^(MIN($E2410,123)-117)))*1,0))</f>
        <v>95900</v>
      </c>
      <c r="M2410" s="11">
        <f>$E2410+2</f>
        <v>112</v>
      </c>
      <c r="N2410" s="12">
        <f>IF($J2410=0,0,ROUND(MAX($J2410*1.4*1.5,2190000*(1.580994^(MIN($E2410,123)-117)))*1,0))</f>
        <v>143850</v>
      </c>
      <c r="O2410" s="13">
        <f>$E2410+4</f>
        <v>114</v>
      </c>
      <c r="P2410" s="14">
        <f>IF($J2410=0,0,ROUND(MAX($J2410*1.4*1.5*1.6,3500000*(1.57975^(MIN($E2410,123)-117)))*1,0))</f>
        <v>230160</v>
      </c>
      <c r="Q2410" s="11">
        <f>$E2410+6</f>
        <v>116</v>
      </c>
      <c r="R2410" s="12">
        <f>IF($J2410=0,0,ROUND(MAX($J2410*1.4*1.5*1.6*1.6,13100000*(1.429962^(MIN($E2410,123)-117)))*1,0))</f>
        <v>1071519</v>
      </c>
      <c r="S2410" s="13">
        <f>$E2410+8</f>
        <v>118</v>
      </c>
      <c r="T2410" s="14">
        <f>IF($J2410=0,0,ROUND(MAX($J2410*1.4*1.5*1.6*1.6*2.2,42600000*(1.576904^(MIN($E2410,123)-117)))*1,0))</f>
        <v>1757004</v>
      </c>
      <c r="U2410" s="11">
        <f>$E2410+11</f>
        <v>121</v>
      </c>
      <c r="V2410" s="12">
        <f>IF($J2410=0,0,ROUND(MAX($J2410*1.4*1.5*1.6*1.6*2.2*2.715,354000000*(1.642074^(MIN($E2410,123)-117)))*1,0))</f>
        <v>10996493</v>
      </c>
      <c r="W2410" s="13">
        <f>$E2410+15</f>
        <v>125</v>
      </c>
      <c r="X2410" s="14">
        <f>IF($J2410=0,0,ROUND(MAX($J2410*1.4*1.5*1.6*1.6*2.2*2.715*2.6,3540000000*(1.579646^(MIN($E2410,123)-117)))*1,0))</f>
        <v>144239716</v>
      </c>
      <c r="Y2410" s="11">
        <f>$E2410+17</f>
        <v>127</v>
      </c>
      <c r="Z2410" s="12">
        <f>IF($J2410=0,0,ROUND(MAX($J2410*1.4*1.5*1.6*1.6*2.2*2.715*2.6*1.4,6020000000*(1.651178^(MIN($E2410,123)-117)))*1,0))</f>
        <v>179903344</v>
      </c>
      <c r="AA2410" s="13">
        <f>$E2410+19</f>
        <v>129</v>
      </c>
      <c r="AB2410" s="14">
        <f>IF($J2410=0,0,ROUND(MAX($J2410*1.4*1.5*1.6*1.6*2.2*2.715*2.6*1.4*1.4,8430000000*(1.651435^(MIN($E2410,123)-117)))*1,0))</f>
        <v>251650143</v>
      </c>
      <c r="AC2410" s="11">
        <f>$E2410+21</f>
        <v>131</v>
      </c>
      <c r="AD2410" s="12">
        <f>IF($J2410=0,0,ROUND(MAX($J2410*1.4*1.5*1.6*1.6*2.2*2.715*2.6*1.4*1.4*1.5,12600000000*(1.652953^(MIN($E2410,123)-117)))*1,0))</f>
        <v>373720576</v>
      </c>
      <c r="AE2410" s="13">
        <f>$E2410+24</f>
        <v>134</v>
      </c>
      <c r="AF2410" s="14">
        <f>IF($J2410=0,0,ROUND(MAX($J2410*1.4*1.5*1.6*1.6*2.2*2.715*2.6*1.4*1.4*1.5*1.5,18900000000*(1.65331^(MIN($E2410,123)-117)))*1,0))</f>
        <v>559734088</v>
      </c>
      <c r="AG2410" s="11">
        <f>$E2410+27</f>
        <v>137</v>
      </c>
      <c r="AH2410" s="12">
        <f>IF($J2410=0,0,ROUND(MAX($J2410*1.4*1.5*1.6*1.6*2.2*2.715*2.6*1.4*1.4*1.5*1.5*3.2,60500000000*(1.654288^(MIN($E2410,123)-117)))*1,0))</f>
        <v>1784339701</v>
      </c>
    </row>
    <row r="2411" ht="28" customHeight="1" spans="1:34" x14ac:dyDescent="0.25">
      <c r="A2411">
        <v>2421</v>
      </c>
      <c r="B2411" t="s">
        <v>1183</v>
      </c>
      <c r="C2411" s="10" t="s">
        <v>1421</v>
      </c>
      <c r="D2411" t="s">
        <v>102</v>
      </c>
      <c r="E2411">
        <v>110</v>
      </c>
      <c r="F2411" t="s">
        <v>385</v>
      </c>
      <c r="G2411" t="s">
        <v>98</v>
      </c>
      <c r="H2411">
        <v>25</v>
      </c>
      <c r="I2411" s="11">
        <v>110</v>
      </c>
      <c r="J2411" s="12">
        <v>101000</v>
      </c>
      <c r="K2411" s="13">
        <f>$E2411+1</f>
        <v>111</v>
      </c>
      <c r="L2411" s="14">
        <f>IF($J2411=0,0,ROUND(MAX($J2411*1.4,1620000*(1.497923^(MIN($E2411,123)-117)))*1,0))</f>
        <v>141400</v>
      </c>
      <c r="M2411" s="11">
        <f>$E2411+2</f>
        <v>112</v>
      </c>
      <c r="N2411" s="12">
        <f>IF($J2411=0,0,ROUND(MAX($J2411*1.4*1.5,2190000*(1.580994^(MIN($E2411,123)-117)))*1,0))</f>
        <v>212100</v>
      </c>
      <c r="O2411" s="13">
        <f>$E2411+4</f>
        <v>114</v>
      </c>
      <c r="P2411" s="14">
        <f>IF($J2411=0,0,ROUND(MAX($J2411*1.4*1.5*1.6,3500000*(1.57975^(MIN($E2411,123)-117)))*1,0))</f>
        <v>339360</v>
      </c>
      <c r="Q2411" s="11">
        <f>$E2411+6</f>
        <v>116</v>
      </c>
      <c r="R2411" s="12">
        <f>IF($J2411=0,0,ROUND(MAX($J2411*1.4*1.5*1.6*1.6,13100000*(1.429962^(MIN($E2411,123)-117)))*1,0))</f>
        <v>1071519</v>
      </c>
      <c r="S2411" s="13">
        <f>$E2411+8</f>
        <v>118</v>
      </c>
      <c r="T2411" s="14">
        <f>IF($J2411=0,0,ROUND(MAX($J2411*1.4*1.5*1.6*1.6*2.2,42600000*(1.576904^(MIN($E2411,123)-117)))*1,0))</f>
        <v>1757004</v>
      </c>
      <c r="U2411" s="11">
        <f>$E2411+11</f>
        <v>121</v>
      </c>
      <c r="V2411" s="12">
        <f>IF($J2411=0,0,ROUND(MAX($J2411*1.4*1.5*1.6*1.6*2.2*2.715,354000000*(1.642074^(MIN($E2411,123)-117)))*1,0))</f>
        <v>10996493</v>
      </c>
      <c r="W2411" s="13">
        <f>$E2411+15</f>
        <v>125</v>
      </c>
      <c r="X2411" s="14">
        <f>IF($J2411=0,0,ROUND(MAX($J2411*1.4*1.5*1.6*1.6*2.2*2.715*2.6,3540000000*(1.579646^(MIN($E2411,123)-117)))*1,0))</f>
        <v>144239716</v>
      </c>
      <c r="Y2411" s="11">
        <f>$E2411+17</f>
        <v>127</v>
      </c>
      <c r="Z2411" s="12">
        <f>IF($J2411=0,0,ROUND(MAX($J2411*1.4*1.5*1.6*1.6*2.2*2.715*2.6*1.4,6020000000*(1.651178^(MIN($E2411,123)-117)))*1,0))</f>
        <v>179903344</v>
      </c>
      <c r="AA2411" s="13">
        <f>$E2411+19</f>
        <v>129</v>
      </c>
      <c r="AB2411" s="14">
        <f>IF($J2411=0,0,ROUND(MAX($J2411*1.4*1.5*1.6*1.6*2.2*2.715*2.6*1.4*1.4,8430000000*(1.651435^(MIN($E2411,123)-117)))*1,0))</f>
        <v>251650143</v>
      </c>
      <c r="AC2411" s="11">
        <f>$E2411+21</f>
        <v>131</v>
      </c>
      <c r="AD2411" s="12">
        <f>IF($J2411=0,0,ROUND(MAX($J2411*1.4*1.5*1.6*1.6*2.2*2.715*2.6*1.4*1.4*1.5,12600000000*(1.652953^(MIN($E2411,123)-117)))*1,0))</f>
        <v>373720576</v>
      </c>
      <c r="AE2411" s="13">
        <f>$E2411+24</f>
        <v>134</v>
      </c>
      <c r="AF2411" s="14">
        <f>IF($J2411=0,0,ROUND(MAX($J2411*1.4*1.5*1.6*1.6*2.2*2.715*2.6*1.4*1.4*1.5*1.5,18900000000*(1.65331^(MIN($E2411,123)-117)))*1,0))</f>
        <v>559734088</v>
      </c>
      <c r="AG2411" s="11">
        <f>$E2411+27</f>
        <v>137</v>
      </c>
      <c r="AH2411" s="12">
        <f>IF($J2411=0,0,ROUND(MAX($J2411*1.4*1.5*1.6*1.6*2.2*2.715*2.6*1.4*1.4*1.5*1.5*3.2,60500000000*(1.654288^(MIN($E2411,123)-117)))*1,0))</f>
        <v>1784339701</v>
      </c>
    </row>
    <row r="2412" ht="28" customHeight="1" spans="1:34" x14ac:dyDescent="0.25">
      <c r="A2412">
        <v>2422</v>
      </c>
      <c r="B2412" t="s">
        <v>1460</v>
      </c>
      <c r="C2412" s="10" t="s">
        <v>1421</v>
      </c>
      <c r="D2412" t="s">
        <v>165</v>
      </c>
      <c r="E2412">
        <v>110</v>
      </c>
      <c r="F2412" t="s">
        <v>56</v>
      </c>
      <c r="G2412" t="s">
        <v>1461</v>
      </c>
      <c r="H2412">
        <v>25</v>
      </c>
      <c r="I2412" s="11">
        <v>110</v>
      </c>
      <c r="J2412" s="12">
        <v>72200</v>
      </c>
      <c r="K2412" s="13">
        <f>$E2412+1</f>
        <v>111</v>
      </c>
      <c r="L2412" s="14">
        <f>IF($J2412=0,0,ROUND(MAX($J2412*1.4,1620000*(1.497923^(MIN($E2412,123)-117)))*1,0))</f>
        <v>101080</v>
      </c>
      <c r="M2412" s="11">
        <f>$E2412+2</f>
        <v>112</v>
      </c>
      <c r="N2412" s="12">
        <f>IF($J2412=0,0,ROUND(MAX($J2412*1.4*1.5,2190000*(1.580994^(MIN($E2412,123)-117)))*1,0))</f>
        <v>151620</v>
      </c>
      <c r="O2412" s="13">
        <f>$E2412+4</f>
        <v>114</v>
      </c>
      <c r="P2412" s="14">
        <f>IF($J2412=0,0,ROUND(MAX($J2412*1.4*1.5*1.6,3500000*(1.57975^(MIN($E2412,123)-117)))*1,0))</f>
        <v>242592</v>
      </c>
      <c r="Q2412" s="11">
        <f>$E2412+6</f>
        <v>116</v>
      </c>
      <c r="R2412" s="12">
        <f>IF($J2412=0,0,ROUND(MAX($J2412*1.4*1.5*1.6*1.6,13100000*(1.429962^(MIN($E2412,123)-117)))*1,0))</f>
        <v>1071519</v>
      </c>
      <c r="S2412" s="13">
        <f>$E2412+8</f>
        <v>118</v>
      </c>
      <c r="T2412" s="14">
        <f>IF($J2412=0,0,ROUND(MAX($J2412*1.4*1.5*1.6*1.6*2.2,42600000*(1.576904^(MIN($E2412,123)-117)))*1,0))</f>
        <v>1757004</v>
      </c>
      <c r="U2412" s="11">
        <f>$E2412+11</f>
        <v>121</v>
      </c>
      <c r="V2412" s="12">
        <f>IF($J2412=0,0,ROUND(MAX($J2412*1.4*1.5*1.6*1.6*2.2*2.715,354000000*(1.642074^(MIN($E2412,123)-117)))*1,0))</f>
        <v>10996493</v>
      </c>
      <c r="W2412" s="13">
        <f>$E2412+15</f>
        <v>125</v>
      </c>
      <c r="X2412" s="14">
        <f>IF($J2412=0,0,ROUND(MAX($J2412*1.4*1.5*1.6*1.6*2.2*2.715*2.6,3540000000*(1.579646^(MIN($E2412,123)-117)))*1,0))</f>
        <v>144239716</v>
      </c>
      <c r="Y2412" s="11">
        <f>$E2412+17</f>
        <v>127</v>
      </c>
      <c r="Z2412" s="12">
        <f>IF($J2412=0,0,ROUND(MAX($J2412*1.4*1.5*1.6*1.6*2.2*2.715*2.6*1.4,6020000000*(1.651178^(MIN($E2412,123)-117)))*1,0))</f>
        <v>179903344</v>
      </c>
      <c r="AA2412" s="13">
        <f>$E2412+19</f>
        <v>129</v>
      </c>
      <c r="AB2412" s="14">
        <f>IF($J2412=0,0,ROUND(MAX($J2412*1.4*1.5*1.6*1.6*2.2*2.715*2.6*1.4*1.4,8430000000*(1.651435^(MIN($E2412,123)-117)))*1,0))</f>
        <v>251650143</v>
      </c>
      <c r="AC2412" s="11">
        <f>$E2412+21</f>
        <v>131</v>
      </c>
      <c r="AD2412" s="12">
        <f>IF($J2412=0,0,ROUND(MAX($J2412*1.4*1.5*1.6*1.6*2.2*2.715*2.6*1.4*1.4*1.5,12600000000*(1.652953^(MIN($E2412,123)-117)))*1,0))</f>
        <v>373720576</v>
      </c>
      <c r="AE2412" s="13">
        <f>$E2412+24</f>
        <v>134</v>
      </c>
      <c r="AF2412" s="14">
        <f>IF($J2412=0,0,ROUND(MAX($J2412*1.4*1.5*1.6*1.6*2.2*2.715*2.6*1.4*1.4*1.5*1.5,18900000000*(1.65331^(MIN($E2412,123)-117)))*1,0))</f>
        <v>559734088</v>
      </c>
      <c r="AG2412" s="11">
        <f>$E2412+27</f>
        <v>137</v>
      </c>
      <c r="AH2412" s="12">
        <f>IF($J2412=0,0,ROUND(MAX($J2412*1.4*1.5*1.6*1.6*2.2*2.715*2.6*1.4*1.4*1.5*1.5*3.2,60500000000*(1.654288^(MIN($E2412,123)-117)))*1,0))</f>
        <v>1784339701</v>
      </c>
    </row>
    <row r="2413" ht="28" customHeight="1" spans="1:34" x14ac:dyDescent="0.25">
      <c r="A2413">
        <v>2423</v>
      </c>
      <c r="B2413" t="s">
        <v>263</v>
      </c>
      <c r="C2413" s="10" t="s">
        <v>1421</v>
      </c>
      <c r="D2413" t="s">
        <v>40</v>
      </c>
      <c r="E2413">
        <v>110</v>
      </c>
      <c r="F2413" t="s">
        <v>30</v>
      </c>
      <c r="G2413" t="s">
        <v>98</v>
      </c>
      <c r="H2413">
        <v>25</v>
      </c>
      <c r="I2413" s="11">
        <v>110</v>
      </c>
      <c r="J2413" s="12">
        <v>58300</v>
      </c>
      <c r="K2413" s="13">
        <f>$E2413+1</f>
        <v>111</v>
      </c>
      <c r="L2413" s="14">
        <f>IF($J2413=0,0,ROUND(MAX($J2413*1.4,1620000*(1.497923^(MIN($E2413,123)-117)))*1,0))</f>
        <v>95739</v>
      </c>
      <c r="M2413" s="11">
        <f>$E2413+2</f>
        <v>112</v>
      </c>
      <c r="N2413" s="12">
        <f>IF($J2413=0,0,ROUND(MAX($J2413*1.4*1.5,2190000*(1.580994^(MIN($E2413,123)-117)))*1,0))</f>
        <v>122430</v>
      </c>
      <c r="O2413" s="13">
        <f>$E2413+4</f>
        <v>114</v>
      </c>
      <c r="P2413" s="14">
        <f>IF($J2413=0,0,ROUND(MAX($J2413*1.4*1.5*1.6,3500000*(1.57975^(MIN($E2413,123)-117)))*1,0))</f>
        <v>195888</v>
      </c>
      <c r="Q2413" s="11">
        <f>$E2413+6</f>
        <v>116</v>
      </c>
      <c r="R2413" s="12">
        <f>IF($J2413=0,0,ROUND(MAX($J2413*1.4*1.5*1.6*1.6,13100000*(1.429962^(MIN($E2413,123)-117)))*1,0))</f>
        <v>1071519</v>
      </c>
      <c r="S2413" s="13">
        <f>$E2413+8</f>
        <v>118</v>
      </c>
      <c r="T2413" s="14">
        <f>IF($J2413=0,0,ROUND(MAX($J2413*1.4*1.5*1.6*1.6*2.2,42600000*(1.576904^(MIN($E2413,123)-117)))*1,0))</f>
        <v>1757004</v>
      </c>
      <c r="U2413" s="11">
        <f>$E2413+11</f>
        <v>121</v>
      </c>
      <c r="V2413" s="12">
        <f>IF($J2413=0,0,ROUND(MAX($J2413*1.4*1.5*1.6*1.6*2.2*2.715,354000000*(1.642074^(MIN($E2413,123)-117)))*1,0))</f>
        <v>10996493</v>
      </c>
      <c r="W2413" s="13">
        <f>$E2413+15</f>
        <v>125</v>
      </c>
      <c r="X2413" s="14">
        <f>IF($J2413=0,0,ROUND(MAX($J2413*1.4*1.5*1.6*1.6*2.2*2.715*2.6,3540000000*(1.579646^(MIN($E2413,123)-117)))*1,0))</f>
        <v>144239716</v>
      </c>
      <c r="Y2413" s="11">
        <f>$E2413+17</f>
        <v>127</v>
      </c>
      <c r="Z2413" s="12">
        <f>IF($J2413=0,0,ROUND(MAX($J2413*1.4*1.5*1.6*1.6*2.2*2.715*2.6*1.4,6020000000*(1.651178^(MIN($E2413,123)-117)))*1,0))</f>
        <v>179903344</v>
      </c>
      <c r="AA2413" s="13">
        <f>$E2413+19</f>
        <v>129</v>
      </c>
      <c r="AB2413" s="14">
        <f>IF($J2413=0,0,ROUND(MAX($J2413*1.4*1.5*1.6*1.6*2.2*2.715*2.6*1.4*1.4,8430000000*(1.651435^(MIN($E2413,123)-117)))*1,0))</f>
        <v>251650143</v>
      </c>
      <c r="AC2413" s="11">
        <f>$E2413+21</f>
        <v>131</v>
      </c>
      <c r="AD2413" s="12">
        <f>IF($J2413=0,0,ROUND(MAX($J2413*1.4*1.5*1.6*1.6*2.2*2.715*2.6*1.4*1.4*1.5,12600000000*(1.652953^(MIN($E2413,123)-117)))*1,0))</f>
        <v>373720576</v>
      </c>
      <c r="AE2413" s="13">
        <f>$E2413+24</f>
        <v>134</v>
      </c>
      <c r="AF2413" s="14">
        <f>IF($J2413=0,0,ROUND(MAX($J2413*1.4*1.5*1.6*1.6*2.2*2.715*2.6*1.4*1.4*1.5*1.5,18900000000*(1.65331^(MIN($E2413,123)-117)))*1,0))</f>
        <v>559734088</v>
      </c>
      <c r="AG2413" s="11">
        <f>$E2413+27</f>
        <v>137</v>
      </c>
      <c r="AH2413" s="12">
        <f>IF($J2413=0,0,ROUND(MAX($J2413*1.4*1.5*1.6*1.6*2.2*2.715*2.6*1.4*1.4*1.5*1.5*3.2,60500000000*(1.654288^(MIN($E2413,123)-117)))*1,0))</f>
        <v>1784339701</v>
      </c>
    </row>
    <row r="2414" ht="28" customHeight="1" spans="1:34" x14ac:dyDescent="0.25">
      <c r="A2414">
        <v>2424</v>
      </c>
      <c r="B2414" t="s">
        <v>1234</v>
      </c>
      <c r="C2414" s="10" t="s">
        <v>1421</v>
      </c>
      <c r="D2414" t="s">
        <v>64</v>
      </c>
      <c r="E2414">
        <v>110</v>
      </c>
      <c r="F2414" t="s">
        <v>132</v>
      </c>
      <c r="G2414" t="s">
        <v>171</v>
      </c>
      <c r="H2414">
        <v>25</v>
      </c>
      <c r="I2414" s="11">
        <v>110</v>
      </c>
      <c r="J2414" s="12">
        <v>48800</v>
      </c>
      <c r="K2414" s="13">
        <f>$E2414+1</f>
        <v>111</v>
      </c>
      <c r="L2414" s="14">
        <f>IF($J2414=0,0,ROUND(MAX($J2414*1.4,1620000*(1.497923^(MIN($E2414,123)-117)))*1,0))</f>
        <v>95739</v>
      </c>
      <c r="M2414" s="11">
        <f>$E2414+2</f>
        <v>112</v>
      </c>
      <c r="N2414" s="12">
        <f>IF($J2414=0,0,ROUND(MAX($J2414*1.4*1.5,2190000*(1.580994^(MIN($E2414,123)-117)))*1,0))</f>
        <v>102480</v>
      </c>
      <c r="O2414" s="13">
        <f>$E2414+4</f>
        <v>114</v>
      </c>
      <c r="P2414" s="14">
        <f>IF($J2414=0,0,ROUND(MAX($J2414*1.4*1.5*1.6,3500000*(1.57975^(MIN($E2414,123)-117)))*1,0))</f>
        <v>163968</v>
      </c>
      <c r="Q2414" s="11">
        <f>$E2414+6</f>
        <v>116</v>
      </c>
      <c r="R2414" s="12">
        <f>IF($J2414=0,0,ROUND(MAX($J2414*1.4*1.5*1.6*1.6,13100000*(1.429962^(MIN($E2414,123)-117)))*1,0))</f>
        <v>1071519</v>
      </c>
      <c r="S2414" s="13">
        <f>$E2414+8</f>
        <v>118</v>
      </c>
      <c r="T2414" s="14">
        <f>IF($J2414=0,0,ROUND(MAX($J2414*1.4*1.5*1.6*1.6*2.2,42600000*(1.576904^(MIN($E2414,123)-117)))*1,0))</f>
        <v>1757004</v>
      </c>
      <c r="U2414" s="11">
        <f>$E2414+11</f>
        <v>121</v>
      </c>
      <c r="V2414" s="12">
        <f>IF($J2414=0,0,ROUND(MAX($J2414*1.4*1.5*1.6*1.6*2.2*2.715,354000000*(1.642074^(MIN($E2414,123)-117)))*1,0))</f>
        <v>10996493</v>
      </c>
      <c r="W2414" s="13">
        <f>$E2414+15</f>
        <v>125</v>
      </c>
      <c r="X2414" s="14">
        <f>IF($J2414=0,0,ROUND(MAX($J2414*1.4*1.5*1.6*1.6*2.2*2.715*2.6,3540000000*(1.579646^(MIN($E2414,123)-117)))*1,0))</f>
        <v>144239716</v>
      </c>
      <c r="Y2414" s="11">
        <f>$E2414+17</f>
        <v>127</v>
      </c>
      <c r="Z2414" s="12">
        <f>IF($J2414=0,0,ROUND(MAX($J2414*1.4*1.5*1.6*1.6*2.2*2.715*2.6*1.4,6020000000*(1.651178^(MIN($E2414,123)-117)))*1,0))</f>
        <v>179903344</v>
      </c>
      <c r="AA2414" s="13">
        <f>$E2414+19</f>
        <v>129</v>
      </c>
      <c r="AB2414" s="14">
        <f>IF($J2414=0,0,ROUND(MAX($J2414*1.4*1.5*1.6*1.6*2.2*2.715*2.6*1.4*1.4,8430000000*(1.651435^(MIN($E2414,123)-117)))*1,0))</f>
        <v>251650143</v>
      </c>
      <c r="AC2414" s="11">
        <f>$E2414+21</f>
        <v>131</v>
      </c>
      <c r="AD2414" s="12">
        <f>IF($J2414=0,0,ROUND(MAX($J2414*1.4*1.5*1.6*1.6*2.2*2.715*2.6*1.4*1.4*1.5,12600000000*(1.652953^(MIN($E2414,123)-117)))*1,0))</f>
        <v>373720576</v>
      </c>
      <c r="AE2414" s="13">
        <f>$E2414+24</f>
        <v>134</v>
      </c>
      <c r="AF2414" s="14">
        <f>IF($J2414=0,0,ROUND(MAX($J2414*1.4*1.5*1.6*1.6*2.2*2.715*2.6*1.4*1.4*1.5*1.5,18900000000*(1.65331^(MIN($E2414,123)-117)))*1,0))</f>
        <v>559734088</v>
      </c>
      <c r="AG2414" s="11">
        <f>$E2414+27</f>
        <v>137</v>
      </c>
      <c r="AH2414" s="12">
        <f>IF($J2414=0,0,ROUND(MAX($J2414*1.4*1.5*1.6*1.6*2.2*2.715*2.6*1.4*1.4*1.5*1.5*3.2,60500000000*(1.654288^(MIN($E2414,123)-117)))*1,0))</f>
        <v>1784339701</v>
      </c>
    </row>
    <row r="2415" ht="28" customHeight="1" spans="1:34" x14ac:dyDescent="0.25">
      <c r="A2415">
        <v>2425</v>
      </c>
      <c r="B2415" t="s">
        <v>1343</v>
      </c>
      <c r="C2415" s="10" t="s">
        <v>1421</v>
      </c>
      <c r="D2415" t="s">
        <v>102</v>
      </c>
      <c r="E2415">
        <v>110</v>
      </c>
      <c r="F2415" t="s">
        <v>71</v>
      </c>
      <c r="G2415" t="s">
        <v>95</v>
      </c>
      <c r="H2415">
        <v>25</v>
      </c>
      <c r="I2415" s="11">
        <v>110</v>
      </c>
      <c r="J2415" s="12">
        <v>41000</v>
      </c>
      <c r="K2415" s="13">
        <f>$E2415+1</f>
        <v>111</v>
      </c>
      <c r="L2415" s="14">
        <f>IF($J2415=0,0,ROUND(MAX($J2415*1.4,1620000*(1.497923^(MIN($E2415,123)-117)))*1,0))</f>
        <v>95739</v>
      </c>
      <c r="M2415" s="11">
        <f>$E2415+2</f>
        <v>112</v>
      </c>
      <c r="N2415" s="12">
        <f>IF($J2415=0,0,ROUND(MAX($J2415*1.4*1.5,2190000*(1.580994^(MIN($E2415,123)-117)))*1,0))</f>
        <v>88702</v>
      </c>
      <c r="O2415" s="13">
        <f>$E2415+4</f>
        <v>114</v>
      </c>
      <c r="P2415" s="14">
        <f>IF($J2415=0,0,ROUND(MAX($J2415*1.4*1.5*1.6,3500000*(1.57975^(MIN($E2415,123)-117)))*1,0))</f>
        <v>142544</v>
      </c>
      <c r="Q2415" s="11">
        <f>$E2415+6</f>
        <v>116</v>
      </c>
      <c r="R2415" s="12">
        <f>IF($J2415=0,0,ROUND(MAX($J2415*1.4*1.5*1.6*1.6,13100000*(1.429962^(MIN($E2415,123)-117)))*1,0))</f>
        <v>1071519</v>
      </c>
      <c r="S2415" s="13">
        <f>$E2415+8</f>
        <v>118</v>
      </c>
      <c r="T2415" s="14">
        <f>IF($J2415=0,0,ROUND(MAX($J2415*1.4*1.5*1.6*1.6*2.2,42600000*(1.576904^(MIN($E2415,123)-117)))*1,0))</f>
        <v>1757004</v>
      </c>
      <c r="U2415" s="11">
        <f>$E2415+11</f>
        <v>121</v>
      </c>
      <c r="V2415" s="12">
        <f>IF($J2415=0,0,ROUND(MAX($J2415*1.4*1.5*1.6*1.6*2.2*2.715,354000000*(1.642074^(MIN($E2415,123)-117)))*1,0))</f>
        <v>10996493</v>
      </c>
      <c r="W2415" s="13">
        <f>$E2415+15</f>
        <v>125</v>
      </c>
      <c r="X2415" s="14">
        <f>IF($J2415=0,0,ROUND(MAX($J2415*1.4*1.5*1.6*1.6*2.2*2.715*2.6,3540000000*(1.579646^(MIN($E2415,123)-117)))*1,0))</f>
        <v>144239716</v>
      </c>
      <c r="Y2415" s="11">
        <f>$E2415+17</f>
        <v>127</v>
      </c>
      <c r="Z2415" s="12">
        <f>IF($J2415=0,0,ROUND(MAX($J2415*1.4*1.5*1.6*1.6*2.2*2.715*2.6*1.4,6020000000*(1.651178^(MIN($E2415,123)-117)))*1,0))</f>
        <v>179903344</v>
      </c>
      <c r="AA2415" s="13">
        <f>$E2415+19</f>
        <v>129</v>
      </c>
      <c r="AB2415" s="14">
        <f>IF($J2415=0,0,ROUND(MAX($J2415*1.4*1.5*1.6*1.6*2.2*2.715*2.6*1.4*1.4,8430000000*(1.651435^(MIN($E2415,123)-117)))*1,0))</f>
        <v>251650143</v>
      </c>
      <c r="AC2415" s="11">
        <f>$E2415+21</f>
        <v>131</v>
      </c>
      <c r="AD2415" s="12">
        <f>IF($J2415=0,0,ROUND(MAX($J2415*1.4*1.5*1.6*1.6*2.2*2.715*2.6*1.4*1.4*1.5,12600000000*(1.652953^(MIN($E2415,123)-117)))*1,0))</f>
        <v>373720576</v>
      </c>
      <c r="AE2415" s="13">
        <f>$E2415+24</f>
        <v>134</v>
      </c>
      <c r="AF2415" s="14">
        <f>IF($J2415=0,0,ROUND(MAX($J2415*1.4*1.5*1.6*1.6*2.2*2.715*2.6*1.4*1.4*1.5*1.5,18900000000*(1.65331^(MIN($E2415,123)-117)))*1,0))</f>
        <v>559734088</v>
      </c>
      <c r="AG2415" s="11">
        <f>$E2415+27</f>
        <v>137</v>
      </c>
      <c r="AH2415" s="12">
        <f>IF($J2415=0,0,ROUND(MAX($J2415*1.4*1.5*1.6*1.6*2.2*2.715*2.6*1.4*1.4*1.5*1.5*3.2,60500000000*(1.654288^(MIN($E2415,123)-117)))*1,0))</f>
        <v>1784339701</v>
      </c>
    </row>
    <row r="2416" ht="28" customHeight="1" spans="1:34" x14ac:dyDescent="0.25">
      <c r="A2416">
        <v>2426</v>
      </c>
      <c r="B2416" t="s">
        <v>1186</v>
      </c>
      <c r="C2416" s="10" t="s">
        <v>1421</v>
      </c>
      <c r="D2416" t="s">
        <v>64</v>
      </c>
      <c r="E2416">
        <v>110</v>
      </c>
      <c r="F2416" t="s">
        <v>120</v>
      </c>
      <c r="G2416" t="s">
        <v>171</v>
      </c>
      <c r="H2416">
        <v>25</v>
      </c>
      <c r="I2416" s="11">
        <v>110</v>
      </c>
      <c r="J2416" s="12">
        <v>44300</v>
      </c>
      <c r="K2416" s="13">
        <f>$E2416+1</f>
        <v>111</v>
      </c>
      <c r="L2416" s="14">
        <f>IF($J2416=0,0,ROUND(MAX($J2416*1.4,1620000*(1.497923^(MIN($E2416,123)-117)))*1,0))</f>
        <v>95739</v>
      </c>
      <c r="M2416" s="11">
        <f>$E2416+2</f>
        <v>112</v>
      </c>
      <c r="N2416" s="12">
        <f>IF($J2416=0,0,ROUND(MAX($J2416*1.4*1.5,2190000*(1.580994^(MIN($E2416,123)-117)))*1,0))</f>
        <v>93030</v>
      </c>
      <c r="O2416" s="13">
        <f>$E2416+4</f>
        <v>114</v>
      </c>
      <c r="P2416" s="14">
        <f>IF($J2416=0,0,ROUND(MAX($J2416*1.4*1.5*1.6,3500000*(1.57975^(MIN($E2416,123)-117)))*1,0))</f>
        <v>148848</v>
      </c>
      <c r="Q2416" s="11">
        <f>$E2416+6</f>
        <v>116</v>
      </c>
      <c r="R2416" s="12">
        <f>IF($J2416=0,0,ROUND(MAX($J2416*1.4*1.5*1.6*1.6,13100000*(1.429962^(MIN($E2416,123)-117)))*1,0))</f>
        <v>1071519</v>
      </c>
      <c r="S2416" s="13">
        <f>$E2416+8</f>
        <v>118</v>
      </c>
      <c r="T2416" s="14">
        <f>IF($J2416=0,0,ROUND(MAX($J2416*1.4*1.5*1.6*1.6*2.2,42600000*(1.576904^(MIN($E2416,123)-117)))*1,0))</f>
        <v>1757004</v>
      </c>
      <c r="U2416" s="11">
        <f>$E2416+11</f>
        <v>121</v>
      </c>
      <c r="V2416" s="12">
        <f>IF($J2416=0,0,ROUND(MAX($J2416*1.4*1.5*1.6*1.6*2.2*2.715,354000000*(1.642074^(MIN($E2416,123)-117)))*1,0))</f>
        <v>10996493</v>
      </c>
      <c r="W2416" s="13">
        <f>$E2416+15</f>
        <v>125</v>
      </c>
      <c r="X2416" s="14">
        <f>IF($J2416=0,0,ROUND(MAX($J2416*1.4*1.5*1.6*1.6*2.2*2.715*2.6,3540000000*(1.579646^(MIN($E2416,123)-117)))*1,0))</f>
        <v>144239716</v>
      </c>
      <c r="Y2416" s="11">
        <f>$E2416+17</f>
        <v>127</v>
      </c>
      <c r="Z2416" s="12">
        <f>IF($J2416=0,0,ROUND(MAX($J2416*1.4*1.5*1.6*1.6*2.2*2.715*2.6*1.4,6020000000*(1.651178^(MIN($E2416,123)-117)))*1,0))</f>
        <v>179903344</v>
      </c>
      <c r="AA2416" s="13">
        <f>$E2416+19</f>
        <v>129</v>
      </c>
      <c r="AB2416" s="14">
        <f>IF($J2416=0,0,ROUND(MAX($J2416*1.4*1.5*1.6*1.6*2.2*2.715*2.6*1.4*1.4,8430000000*(1.651435^(MIN($E2416,123)-117)))*1,0))</f>
        <v>251650143</v>
      </c>
      <c r="AC2416" s="11">
        <f>$E2416+21</f>
        <v>131</v>
      </c>
      <c r="AD2416" s="12">
        <f>IF($J2416=0,0,ROUND(MAX($J2416*1.4*1.5*1.6*1.6*2.2*2.715*2.6*1.4*1.4*1.5,12600000000*(1.652953^(MIN($E2416,123)-117)))*1,0))</f>
        <v>373720576</v>
      </c>
      <c r="AE2416" s="13">
        <f>$E2416+24</f>
        <v>134</v>
      </c>
      <c r="AF2416" s="14">
        <f>IF($J2416=0,0,ROUND(MAX($J2416*1.4*1.5*1.6*1.6*2.2*2.715*2.6*1.4*1.4*1.5*1.5,18900000000*(1.65331^(MIN($E2416,123)-117)))*1,0))</f>
        <v>559734088</v>
      </c>
      <c r="AG2416" s="11">
        <f>$E2416+27</f>
        <v>137</v>
      </c>
      <c r="AH2416" s="12">
        <f>IF($J2416=0,0,ROUND(MAX($J2416*1.4*1.5*1.6*1.6*2.2*2.715*2.6*1.4*1.4*1.5*1.5*3.2,60500000000*(1.654288^(MIN($E2416,123)-117)))*1,0))</f>
        <v>1784339701</v>
      </c>
    </row>
    <row r="2417" ht="28" customHeight="1" spans="1:34" x14ac:dyDescent="0.25">
      <c r="A2417">
        <v>2427</v>
      </c>
      <c r="B2417" t="s">
        <v>1462</v>
      </c>
      <c r="C2417" s="10" t="s">
        <v>1421</v>
      </c>
      <c r="D2417" t="s">
        <v>25</v>
      </c>
      <c r="E2417">
        <v>110</v>
      </c>
      <c r="F2417" t="s">
        <v>71</v>
      </c>
      <c r="G2417" t="s">
        <v>748</v>
      </c>
      <c r="H2417">
        <v>25</v>
      </c>
      <c r="I2417" s="11">
        <v>110</v>
      </c>
      <c r="J2417" s="12">
        <v>50300</v>
      </c>
      <c r="K2417" s="13">
        <f>$E2417+1</f>
        <v>111</v>
      </c>
      <c r="L2417" s="14">
        <f>IF($J2417=0,0,ROUND(MAX($J2417*1.4,1620000*(1.497923^(MIN($E2417,123)-117)))*1,0))</f>
        <v>95739</v>
      </c>
      <c r="M2417" s="11">
        <f>$E2417+2</f>
        <v>112</v>
      </c>
      <c r="N2417" s="12">
        <f>IF($J2417=0,0,ROUND(MAX($J2417*1.4*1.5,2190000*(1.580994^(MIN($E2417,123)-117)))*1,0))</f>
        <v>105630</v>
      </c>
      <c r="O2417" s="13">
        <f>$E2417+4</f>
        <v>114</v>
      </c>
      <c r="P2417" s="14">
        <f>IF($J2417=0,0,ROUND(MAX($J2417*1.4*1.5*1.6,3500000*(1.57975^(MIN($E2417,123)-117)))*1,0))</f>
        <v>169008</v>
      </c>
      <c r="Q2417" s="11">
        <f>$E2417+6</f>
        <v>116</v>
      </c>
      <c r="R2417" s="12">
        <f>IF($J2417=0,0,ROUND(MAX($J2417*1.4*1.5*1.6*1.6,13100000*(1.429962^(MIN($E2417,123)-117)))*1,0))</f>
        <v>1071519</v>
      </c>
      <c r="S2417" s="13">
        <f>$E2417+8</f>
        <v>118</v>
      </c>
      <c r="T2417" s="14">
        <f>IF($J2417=0,0,ROUND(MAX($J2417*1.4*1.5*1.6*1.6*2.2,42600000*(1.576904^(MIN($E2417,123)-117)))*1,0))</f>
        <v>1757004</v>
      </c>
      <c r="U2417" s="11">
        <f>$E2417+11</f>
        <v>121</v>
      </c>
      <c r="V2417" s="12">
        <f>IF($J2417=0,0,ROUND(MAX($J2417*1.4*1.5*1.6*1.6*2.2*2.715,354000000*(1.642074^(MIN($E2417,123)-117)))*1,0))</f>
        <v>10996493</v>
      </c>
      <c r="W2417" s="13">
        <f>$E2417+15</f>
        <v>125</v>
      </c>
      <c r="X2417" s="14">
        <f>IF($J2417=0,0,ROUND(MAX($J2417*1.4*1.5*1.6*1.6*2.2*2.715*2.6,3540000000*(1.579646^(MIN($E2417,123)-117)))*1,0))</f>
        <v>144239716</v>
      </c>
      <c r="Y2417" s="11">
        <f>$E2417+17</f>
        <v>127</v>
      </c>
      <c r="Z2417" s="12">
        <f>IF($J2417=0,0,ROUND(MAX($J2417*1.4*1.5*1.6*1.6*2.2*2.715*2.6*1.4,6020000000*(1.651178^(MIN($E2417,123)-117)))*1,0))</f>
        <v>179903344</v>
      </c>
      <c r="AA2417" s="13">
        <f>$E2417+19</f>
        <v>129</v>
      </c>
      <c r="AB2417" s="14">
        <f>IF($J2417=0,0,ROUND(MAX($J2417*1.4*1.5*1.6*1.6*2.2*2.715*2.6*1.4*1.4,8430000000*(1.651435^(MIN($E2417,123)-117)))*1,0))</f>
        <v>251650143</v>
      </c>
      <c r="AC2417" s="11">
        <f>$E2417+21</f>
        <v>131</v>
      </c>
      <c r="AD2417" s="12">
        <f>IF($J2417=0,0,ROUND(MAX($J2417*1.4*1.5*1.6*1.6*2.2*2.715*2.6*1.4*1.4*1.5,12600000000*(1.652953^(MIN($E2417,123)-117)))*1,0))</f>
        <v>373720576</v>
      </c>
      <c r="AE2417" s="13">
        <f>$E2417+24</f>
        <v>134</v>
      </c>
      <c r="AF2417" s="14">
        <f>IF($J2417=0,0,ROUND(MAX($J2417*1.4*1.5*1.6*1.6*2.2*2.715*2.6*1.4*1.4*1.5*1.5,18900000000*(1.65331^(MIN($E2417,123)-117)))*1,0))</f>
        <v>559734088</v>
      </c>
      <c r="AG2417" s="11">
        <f>$E2417+27</f>
        <v>137</v>
      </c>
      <c r="AH2417" s="12">
        <f>IF($J2417=0,0,ROUND(MAX($J2417*1.4*1.5*1.6*1.6*2.2*2.715*2.6*1.4*1.4*1.5*1.5*3.2,60500000000*(1.654288^(MIN($E2417,123)-117)))*1,0))</f>
        <v>1784339701</v>
      </c>
    </row>
    <row r="2418" ht="28" customHeight="1" spans="1:34" x14ac:dyDescent="0.25">
      <c r="A2418">
        <v>2428</v>
      </c>
      <c r="B2418" t="s">
        <v>1463</v>
      </c>
      <c r="C2418" s="10" t="s">
        <v>1421</v>
      </c>
      <c r="D2418" t="s">
        <v>45</v>
      </c>
      <c r="E2418">
        <v>110</v>
      </c>
      <c r="F2418" t="s">
        <v>56</v>
      </c>
      <c r="G2418" t="s">
        <v>586</v>
      </c>
      <c r="H2418">
        <v>25</v>
      </c>
      <c r="I2418" s="11">
        <v>110</v>
      </c>
      <c r="J2418" s="12">
        <v>60200</v>
      </c>
      <c r="K2418" s="13">
        <f>$E2418+1</f>
        <v>111</v>
      </c>
      <c r="L2418" s="14">
        <f>IF($J2418=0,0,ROUND(MAX($J2418*1.4,1620000*(1.497923^(MIN($E2418,123)-117)))*1,0))</f>
        <v>95739</v>
      </c>
      <c r="M2418" s="11">
        <f>$E2418+2</f>
        <v>112</v>
      </c>
      <c r="N2418" s="12">
        <f>IF($J2418=0,0,ROUND(MAX($J2418*1.4*1.5,2190000*(1.580994^(MIN($E2418,123)-117)))*1,0))</f>
        <v>126420</v>
      </c>
      <c r="O2418" s="13">
        <f>$E2418+4</f>
        <v>114</v>
      </c>
      <c r="P2418" s="14">
        <f>IF($J2418=0,0,ROUND(MAX($J2418*1.4*1.5*1.6,3500000*(1.57975^(MIN($E2418,123)-117)))*1,0))</f>
        <v>202272</v>
      </c>
      <c r="Q2418" s="11">
        <f>$E2418+6</f>
        <v>116</v>
      </c>
      <c r="R2418" s="12">
        <f>IF($J2418=0,0,ROUND(MAX($J2418*1.4*1.5*1.6*1.6,13100000*(1.429962^(MIN($E2418,123)-117)))*1,0))</f>
        <v>1071519</v>
      </c>
      <c r="S2418" s="13">
        <f>$E2418+8</f>
        <v>118</v>
      </c>
      <c r="T2418" s="14">
        <f>IF($J2418=0,0,ROUND(MAX($J2418*1.4*1.5*1.6*1.6*2.2,42600000*(1.576904^(MIN($E2418,123)-117)))*1,0))</f>
        <v>1757004</v>
      </c>
      <c r="U2418" s="11">
        <f>$E2418+11</f>
        <v>121</v>
      </c>
      <c r="V2418" s="12">
        <f>IF($J2418=0,0,ROUND(MAX($J2418*1.4*1.5*1.6*1.6*2.2*2.715,354000000*(1.642074^(MIN($E2418,123)-117)))*1,0))</f>
        <v>10996493</v>
      </c>
      <c r="W2418" s="13">
        <f>$E2418+15</f>
        <v>125</v>
      </c>
      <c r="X2418" s="14">
        <f>IF($J2418=0,0,ROUND(MAX($J2418*1.4*1.5*1.6*1.6*2.2*2.715*2.6,3540000000*(1.579646^(MIN($E2418,123)-117)))*1,0))</f>
        <v>144239716</v>
      </c>
      <c r="Y2418" s="11">
        <f>$E2418+17</f>
        <v>127</v>
      </c>
      <c r="Z2418" s="12">
        <f>IF($J2418=0,0,ROUND(MAX($J2418*1.4*1.5*1.6*1.6*2.2*2.715*2.6*1.4,6020000000*(1.651178^(MIN($E2418,123)-117)))*1,0))</f>
        <v>179903344</v>
      </c>
      <c r="AA2418" s="13">
        <f>$E2418+19</f>
        <v>129</v>
      </c>
      <c r="AB2418" s="14">
        <f>IF($J2418=0,0,ROUND(MAX($J2418*1.4*1.5*1.6*1.6*2.2*2.715*2.6*1.4*1.4,8430000000*(1.651435^(MIN($E2418,123)-117)))*1,0))</f>
        <v>251650143</v>
      </c>
      <c r="AC2418" s="11">
        <f>$E2418+21</f>
        <v>131</v>
      </c>
      <c r="AD2418" s="12">
        <f>IF($J2418=0,0,ROUND(MAX($J2418*1.4*1.5*1.6*1.6*2.2*2.715*2.6*1.4*1.4*1.5,12600000000*(1.652953^(MIN($E2418,123)-117)))*1,0))</f>
        <v>373720576</v>
      </c>
      <c r="AE2418" s="13">
        <f>$E2418+24</f>
        <v>134</v>
      </c>
      <c r="AF2418" s="14">
        <f>IF($J2418=0,0,ROUND(MAX($J2418*1.4*1.5*1.6*1.6*2.2*2.715*2.6*1.4*1.4*1.5*1.5,18900000000*(1.65331^(MIN($E2418,123)-117)))*1,0))</f>
        <v>559734088</v>
      </c>
      <c r="AG2418" s="11">
        <f>$E2418+27</f>
        <v>137</v>
      </c>
      <c r="AH2418" s="12">
        <f>IF($J2418=0,0,ROUND(MAX($J2418*1.4*1.5*1.6*1.6*2.2*2.715*2.6*1.4*1.4*1.5*1.5*3.2,60500000000*(1.654288^(MIN($E2418,123)-117)))*1,0))</f>
        <v>1784339701</v>
      </c>
    </row>
    <row r="2419" ht="28" customHeight="1" spans="1:34" x14ac:dyDescent="0.25">
      <c r="A2419">
        <v>2429</v>
      </c>
      <c r="B2419" t="s">
        <v>1301</v>
      </c>
      <c r="C2419" s="10" t="s">
        <v>1421</v>
      </c>
      <c r="D2419" t="s">
        <v>79</v>
      </c>
      <c r="E2419">
        <v>110</v>
      </c>
      <c r="F2419" t="s">
        <v>56</v>
      </c>
      <c r="G2419" t="s">
        <v>586</v>
      </c>
      <c r="H2419">
        <v>25</v>
      </c>
      <c r="I2419" s="11">
        <v>110</v>
      </c>
      <c r="J2419" s="12">
        <v>53900</v>
      </c>
      <c r="K2419" s="13">
        <f>$E2419+1</f>
        <v>111</v>
      </c>
      <c r="L2419" s="14">
        <f>IF($J2419=0,0,ROUND(MAX($J2419*1.4,1620000*(1.497923^(MIN($E2419,123)-117)))*1,0))</f>
        <v>95739</v>
      </c>
      <c r="M2419" s="11">
        <f>$E2419+2</f>
        <v>112</v>
      </c>
      <c r="N2419" s="12">
        <f>IF($J2419=0,0,ROUND(MAX($J2419*1.4*1.5,2190000*(1.580994^(MIN($E2419,123)-117)))*1,0))</f>
        <v>113190</v>
      </c>
      <c r="O2419" s="13">
        <f>$E2419+4</f>
        <v>114</v>
      </c>
      <c r="P2419" s="14">
        <f>IF($J2419=0,0,ROUND(MAX($J2419*1.4*1.5*1.6,3500000*(1.57975^(MIN($E2419,123)-117)))*1,0))</f>
        <v>181104</v>
      </c>
      <c r="Q2419" s="11">
        <f>$E2419+6</f>
        <v>116</v>
      </c>
      <c r="R2419" s="12">
        <f>IF($J2419=0,0,ROUND(MAX($J2419*1.4*1.5*1.6*1.6,13100000*(1.429962^(MIN($E2419,123)-117)))*1,0))</f>
        <v>1071519</v>
      </c>
      <c r="S2419" s="13">
        <f>$E2419+8</f>
        <v>118</v>
      </c>
      <c r="T2419" s="14">
        <f>IF($J2419=0,0,ROUND(MAX($J2419*1.4*1.5*1.6*1.6*2.2,42600000*(1.576904^(MIN($E2419,123)-117)))*1,0))</f>
        <v>1757004</v>
      </c>
      <c r="U2419" s="11">
        <f>$E2419+11</f>
        <v>121</v>
      </c>
      <c r="V2419" s="12">
        <f>IF($J2419=0,0,ROUND(MAX($J2419*1.4*1.5*1.6*1.6*2.2*2.715,354000000*(1.642074^(MIN($E2419,123)-117)))*1,0))</f>
        <v>10996493</v>
      </c>
      <c r="W2419" s="13">
        <f>$E2419+15</f>
        <v>125</v>
      </c>
      <c r="X2419" s="14">
        <f>IF($J2419=0,0,ROUND(MAX($J2419*1.4*1.5*1.6*1.6*2.2*2.715*2.6,3540000000*(1.579646^(MIN($E2419,123)-117)))*1,0))</f>
        <v>144239716</v>
      </c>
      <c r="Y2419" s="11">
        <f>$E2419+17</f>
        <v>127</v>
      </c>
      <c r="Z2419" s="12">
        <f>IF($J2419=0,0,ROUND(MAX($J2419*1.4*1.5*1.6*1.6*2.2*2.715*2.6*1.4,6020000000*(1.651178^(MIN($E2419,123)-117)))*1,0))</f>
        <v>179903344</v>
      </c>
      <c r="AA2419" s="13">
        <f>$E2419+19</f>
        <v>129</v>
      </c>
      <c r="AB2419" s="14">
        <f>IF($J2419=0,0,ROUND(MAX($J2419*1.4*1.5*1.6*1.6*2.2*2.715*2.6*1.4*1.4,8430000000*(1.651435^(MIN($E2419,123)-117)))*1,0))</f>
        <v>251650143</v>
      </c>
      <c r="AC2419" s="11">
        <f>$E2419+21</f>
        <v>131</v>
      </c>
      <c r="AD2419" s="12">
        <f>IF($J2419=0,0,ROUND(MAX($J2419*1.4*1.5*1.6*1.6*2.2*2.715*2.6*1.4*1.4*1.5,12600000000*(1.652953^(MIN($E2419,123)-117)))*1,0))</f>
        <v>373720576</v>
      </c>
      <c r="AE2419" s="13">
        <f>$E2419+24</f>
        <v>134</v>
      </c>
      <c r="AF2419" s="14">
        <f>IF($J2419=0,0,ROUND(MAX($J2419*1.4*1.5*1.6*1.6*2.2*2.715*2.6*1.4*1.4*1.5*1.5,18900000000*(1.65331^(MIN($E2419,123)-117)))*1,0))</f>
        <v>559734088</v>
      </c>
      <c r="AG2419" s="11">
        <f>$E2419+27</f>
        <v>137</v>
      </c>
      <c r="AH2419" s="12">
        <f>IF($J2419=0,0,ROUND(MAX($J2419*1.4*1.5*1.6*1.6*2.2*2.715*2.6*1.4*1.4*1.5*1.5*3.2,60500000000*(1.654288^(MIN($E2419,123)-117)))*1,0))</f>
        <v>1784339701</v>
      </c>
    </row>
    <row r="2420" ht="28" customHeight="1" spans="1:34" x14ac:dyDescent="0.25">
      <c r="A2420">
        <v>2430</v>
      </c>
      <c r="B2420" t="s">
        <v>249</v>
      </c>
      <c r="C2420" s="10" t="s">
        <v>1421</v>
      </c>
      <c r="D2420" t="s">
        <v>64</v>
      </c>
      <c r="E2420">
        <v>110</v>
      </c>
      <c r="F2420" t="s">
        <v>194</v>
      </c>
      <c r="G2420" t="s">
        <v>729</v>
      </c>
      <c r="H2420">
        <v>25</v>
      </c>
      <c r="I2420" s="11">
        <v>110</v>
      </c>
      <c r="J2420" s="12">
        <v>76300</v>
      </c>
      <c r="K2420" s="13">
        <f>$E2420+1</f>
        <v>111</v>
      </c>
      <c r="L2420" s="14">
        <f>IF($J2420=0,0,ROUND(MAX($J2420*1.4,1620000*(1.497923^(MIN($E2420,123)-117)))*1,0))</f>
        <v>106820</v>
      </c>
      <c r="M2420" s="11">
        <f>$E2420+2</f>
        <v>112</v>
      </c>
      <c r="N2420" s="12">
        <f>IF($J2420=0,0,ROUND(MAX($J2420*1.4*1.5,2190000*(1.580994^(MIN($E2420,123)-117)))*1,0))</f>
        <v>160230</v>
      </c>
      <c r="O2420" s="13">
        <f>$E2420+4</f>
        <v>114</v>
      </c>
      <c r="P2420" s="14">
        <f>IF($J2420=0,0,ROUND(MAX($J2420*1.4*1.5*1.6,3500000*(1.57975^(MIN($E2420,123)-117)))*1,0))</f>
        <v>256368</v>
      </c>
      <c r="Q2420" s="11">
        <f>$E2420+6</f>
        <v>116</v>
      </c>
      <c r="R2420" s="12">
        <f>IF($J2420=0,0,ROUND(MAX($J2420*1.4*1.5*1.6*1.6,13100000*(1.429962^(MIN($E2420,123)-117)))*1,0))</f>
        <v>1071519</v>
      </c>
      <c r="S2420" s="13">
        <f>$E2420+8</f>
        <v>118</v>
      </c>
      <c r="T2420" s="14">
        <f>IF($J2420=0,0,ROUND(MAX($J2420*1.4*1.5*1.6*1.6*2.2,42600000*(1.576904^(MIN($E2420,123)-117)))*1,0))</f>
        <v>1757004</v>
      </c>
      <c r="U2420" s="11">
        <f>$E2420+11</f>
        <v>121</v>
      </c>
      <c r="V2420" s="12">
        <f>IF($J2420=0,0,ROUND(MAX($J2420*1.4*1.5*1.6*1.6*2.2*2.715,354000000*(1.642074^(MIN($E2420,123)-117)))*1,0))</f>
        <v>10996493</v>
      </c>
      <c r="W2420" s="13">
        <f>$E2420+15</f>
        <v>125</v>
      </c>
      <c r="X2420" s="14">
        <f>IF($J2420=0,0,ROUND(MAX($J2420*1.4*1.5*1.6*1.6*2.2*2.715*2.6,3540000000*(1.579646^(MIN($E2420,123)-117)))*1,0))</f>
        <v>144239716</v>
      </c>
      <c r="Y2420" s="11">
        <f>$E2420+17</f>
        <v>127</v>
      </c>
      <c r="Z2420" s="12">
        <f>IF($J2420=0,0,ROUND(MAX($J2420*1.4*1.5*1.6*1.6*2.2*2.715*2.6*1.4,6020000000*(1.651178^(MIN($E2420,123)-117)))*1,0))</f>
        <v>179903344</v>
      </c>
      <c r="AA2420" s="13">
        <f>$E2420+19</f>
        <v>129</v>
      </c>
      <c r="AB2420" s="14">
        <f>IF($J2420=0,0,ROUND(MAX($J2420*1.4*1.5*1.6*1.6*2.2*2.715*2.6*1.4*1.4,8430000000*(1.651435^(MIN($E2420,123)-117)))*1,0))</f>
        <v>251650143</v>
      </c>
      <c r="AC2420" s="11">
        <f>$E2420+21</f>
        <v>131</v>
      </c>
      <c r="AD2420" s="12">
        <f>IF($J2420=0,0,ROUND(MAX($J2420*1.4*1.5*1.6*1.6*2.2*2.715*2.6*1.4*1.4*1.5,12600000000*(1.652953^(MIN($E2420,123)-117)))*1,0))</f>
        <v>373720576</v>
      </c>
      <c r="AE2420" s="13">
        <f>$E2420+24</f>
        <v>134</v>
      </c>
      <c r="AF2420" s="14">
        <f>IF($J2420=0,0,ROUND(MAX($J2420*1.4*1.5*1.6*1.6*2.2*2.715*2.6*1.4*1.4*1.5*1.5,18900000000*(1.65331^(MIN($E2420,123)-117)))*1,0))</f>
        <v>559734088</v>
      </c>
      <c r="AG2420" s="11">
        <f>$E2420+27</f>
        <v>137</v>
      </c>
      <c r="AH2420" s="12">
        <f>IF($J2420=0,0,ROUND(MAX($J2420*1.4*1.5*1.6*1.6*2.2*2.715*2.6*1.4*1.4*1.5*1.5*3.2,60500000000*(1.654288^(MIN($E2420,123)-117)))*1,0))</f>
        <v>1784339701</v>
      </c>
    </row>
    <row r="2421" ht="28" customHeight="1" spans="1:34" x14ac:dyDescent="0.25">
      <c r="A2421">
        <v>2431</v>
      </c>
      <c r="B2421" t="s">
        <v>1408</v>
      </c>
      <c r="C2421" s="10" t="s">
        <v>1421</v>
      </c>
      <c r="D2421" t="s">
        <v>75</v>
      </c>
      <c r="E2421">
        <v>110</v>
      </c>
      <c r="F2421" t="s">
        <v>56</v>
      </c>
      <c r="G2421" t="s">
        <v>1007</v>
      </c>
      <c r="H2421">
        <v>25</v>
      </c>
      <c r="I2421" s="11">
        <v>110</v>
      </c>
      <c r="J2421" s="12">
        <v>160000</v>
      </c>
      <c r="K2421" s="13">
        <f>$E2421+1</f>
        <v>111</v>
      </c>
      <c r="L2421" s="14">
        <f>IF($J2421=0,0,ROUND(MAX($J2421*1.4,1620000*(1.497923^(MIN($E2421,123)-117)))*1,0))</f>
        <v>224000</v>
      </c>
      <c r="M2421" s="11">
        <f>$E2421+2</f>
        <v>112</v>
      </c>
      <c r="N2421" s="12">
        <f>IF($J2421=0,0,ROUND(MAX($J2421*1.4*1.5,2190000*(1.580994^(MIN($E2421,123)-117)))*1,0))</f>
        <v>336000</v>
      </c>
      <c r="O2421" s="13">
        <f>$E2421+4</f>
        <v>114</v>
      </c>
      <c r="P2421" s="14">
        <f>IF($J2421=0,0,ROUND(MAX($J2421*1.4*1.5*1.6,3500000*(1.57975^(MIN($E2421,123)-117)))*1,0))</f>
        <v>537600</v>
      </c>
      <c r="Q2421" s="11">
        <f>$E2421+6</f>
        <v>116</v>
      </c>
      <c r="R2421" s="12">
        <f>IF($J2421=0,0,ROUND(MAX($J2421*1.4*1.5*1.6*1.6,13100000*(1.429962^(MIN($E2421,123)-117)))*1,0))</f>
        <v>1071519</v>
      </c>
      <c r="S2421" s="13">
        <f>$E2421+8</f>
        <v>118</v>
      </c>
      <c r="T2421" s="14">
        <f>IF($J2421=0,0,ROUND(MAX($J2421*1.4*1.5*1.6*1.6*2.2,42600000*(1.576904^(MIN($E2421,123)-117)))*1,0))</f>
        <v>1892352</v>
      </c>
      <c r="U2421" s="11">
        <f>$E2421+11</f>
        <v>121</v>
      </c>
      <c r="V2421" s="12">
        <f>IF($J2421=0,0,ROUND(MAX($J2421*1.4*1.5*1.6*1.6*2.2*2.715,354000000*(1.642074^(MIN($E2421,123)-117)))*1,0))</f>
        <v>10996493</v>
      </c>
      <c r="W2421" s="13">
        <f>$E2421+15</f>
        <v>125</v>
      </c>
      <c r="X2421" s="14">
        <f>IF($J2421=0,0,ROUND(MAX($J2421*1.4*1.5*1.6*1.6*2.2*2.715*2.6,3540000000*(1.579646^(MIN($E2421,123)-117)))*1,0))</f>
        <v>144239716</v>
      </c>
      <c r="Y2421" s="11">
        <f>$E2421+17</f>
        <v>127</v>
      </c>
      <c r="Z2421" s="12">
        <f>IF($J2421=0,0,ROUND(MAX($J2421*1.4*1.5*1.6*1.6*2.2*2.715*2.6*1.4,6020000000*(1.651178^(MIN($E2421,123)-117)))*1,0))</f>
        <v>179903344</v>
      </c>
      <c r="AA2421" s="13">
        <f>$E2421+19</f>
        <v>129</v>
      </c>
      <c r="AB2421" s="14">
        <f>IF($J2421=0,0,ROUND(MAX($J2421*1.4*1.5*1.6*1.6*2.2*2.715*2.6*1.4*1.4,8430000000*(1.651435^(MIN($E2421,123)-117)))*1,0))</f>
        <v>251650143</v>
      </c>
      <c r="AC2421" s="11">
        <f>$E2421+21</f>
        <v>131</v>
      </c>
      <c r="AD2421" s="12">
        <f>IF($J2421=0,0,ROUND(MAX($J2421*1.4*1.5*1.6*1.6*2.2*2.715*2.6*1.4*1.4*1.5,12600000000*(1.652953^(MIN($E2421,123)-117)))*1,0))</f>
        <v>373720576</v>
      </c>
      <c r="AE2421" s="13">
        <f>$E2421+24</f>
        <v>134</v>
      </c>
      <c r="AF2421" s="14">
        <f>IF($J2421=0,0,ROUND(MAX($J2421*1.4*1.5*1.6*1.6*2.2*2.715*2.6*1.4*1.4*1.5*1.5,18900000000*(1.65331^(MIN($E2421,123)-117)))*1,0))</f>
        <v>559734088</v>
      </c>
      <c r="AG2421" s="11">
        <f>$E2421+27</f>
        <v>137</v>
      </c>
      <c r="AH2421" s="12">
        <f>IF($J2421=0,0,ROUND(MAX($J2421*1.4*1.5*1.6*1.6*2.2*2.715*2.6*1.4*1.4*1.5*1.5*3.2,60500000000*(1.654288^(MIN($E2421,123)-117)))*1,0))</f>
        <v>1784339701</v>
      </c>
    </row>
    <row r="2422" ht="28" customHeight="1" spans="1:34" x14ac:dyDescent="0.25">
      <c r="A2422">
        <v>2432</v>
      </c>
      <c r="B2422" t="s">
        <v>1464</v>
      </c>
      <c r="C2422" s="10" t="s">
        <v>1421</v>
      </c>
      <c r="D2422" t="s">
        <v>25</v>
      </c>
      <c r="E2422">
        <v>110</v>
      </c>
      <c r="F2422" t="s">
        <v>400</v>
      </c>
      <c r="G2422" t="s">
        <v>1321</v>
      </c>
      <c r="H2422">
        <v>25</v>
      </c>
      <c r="I2422" s="11">
        <v>110</v>
      </c>
      <c r="J2422" s="12">
        <v>77700</v>
      </c>
      <c r="K2422" s="13">
        <f>$E2422+1</f>
        <v>111</v>
      </c>
      <c r="L2422" s="14">
        <f>IF($J2422=0,0,ROUND(MAX($J2422*1.4,1620000*(1.497923^(MIN($E2422,123)-117)))*1,0))</f>
        <v>108780</v>
      </c>
      <c r="M2422" s="11">
        <f>$E2422+2</f>
        <v>112</v>
      </c>
      <c r="N2422" s="12">
        <f>IF($J2422=0,0,ROUND(MAX($J2422*1.4*1.5,2190000*(1.580994^(MIN($E2422,123)-117)))*1,0))</f>
        <v>163170</v>
      </c>
      <c r="O2422" s="13">
        <f>$E2422+4</f>
        <v>114</v>
      </c>
      <c r="P2422" s="14">
        <f>IF($J2422=0,0,ROUND(MAX($J2422*1.4*1.5*1.6,3500000*(1.57975^(MIN($E2422,123)-117)))*1,0))</f>
        <v>261072</v>
      </c>
      <c r="Q2422" s="11">
        <f>$E2422+6</f>
        <v>116</v>
      </c>
      <c r="R2422" s="12">
        <f>IF($J2422=0,0,ROUND(MAX($J2422*1.4*1.5*1.6*1.6,13100000*(1.429962^(MIN($E2422,123)-117)))*1,0))</f>
        <v>1071519</v>
      </c>
      <c r="S2422" s="13">
        <f>$E2422+8</f>
        <v>118</v>
      </c>
      <c r="T2422" s="14">
        <f>IF($J2422=0,0,ROUND(MAX($J2422*1.4*1.5*1.6*1.6*2.2,42600000*(1.576904^(MIN($E2422,123)-117)))*1,0))</f>
        <v>1757004</v>
      </c>
      <c r="U2422" s="11">
        <f>$E2422+11</f>
        <v>121</v>
      </c>
      <c r="V2422" s="12">
        <f>IF($J2422=0,0,ROUND(MAX($J2422*1.4*1.5*1.6*1.6*2.2*2.715,354000000*(1.642074^(MIN($E2422,123)-117)))*1,0))</f>
        <v>10996493</v>
      </c>
      <c r="W2422" s="13">
        <f>$E2422+15</f>
        <v>125</v>
      </c>
      <c r="X2422" s="14">
        <f>IF($J2422=0,0,ROUND(MAX($J2422*1.4*1.5*1.6*1.6*2.2*2.715*2.6,3540000000*(1.579646^(MIN($E2422,123)-117)))*1,0))</f>
        <v>144239716</v>
      </c>
      <c r="Y2422" s="11">
        <f>$E2422+17</f>
        <v>127</v>
      </c>
      <c r="Z2422" s="12">
        <f>IF($J2422=0,0,ROUND(MAX($J2422*1.4*1.5*1.6*1.6*2.2*2.715*2.6*1.4,6020000000*(1.651178^(MIN($E2422,123)-117)))*1,0))</f>
        <v>179903344</v>
      </c>
      <c r="AA2422" s="13">
        <f>$E2422+19</f>
        <v>129</v>
      </c>
      <c r="AB2422" s="14">
        <f>IF($J2422=0,0,ROUND(MAX($J2422*1.4*1.5*1.6*1.6*2.2*2.715*2.6*1.4*1.4,8430000000*(1.651435^(MIN($E2422,123)-117)))*1,0))</f>
        <v>251650143</v>
      </c>
      <c r="AC2422" s="11">
        <f>$E2422+21</f>
        <v>131</v>
      </c>
      <c r="AD2422" s="12">
        <f>IF($J2422=0,0,ROUND(MAX($J2422*1.4*1.5*1.6*1.6*2.2*2.715*2.6*1.4*1.4*1.5,12600000000*(1.652953^(MIN($E2422,123)-117)))*1,0))</f>
        <v>373720576</v>
      </c>
      <c r="AE2422" s="13">
        <f>$E2422+24</f>
        <v>134</v>
      </c>
      <c r="AF2422" s="14">
        <f>IF($J2422=0,0,ROUND(MAX($J2422*1.4*1.5*1.6*1.6*2.2*2.715*2.6*1.4*1.4*1.5*1.5,18900000000*(1.65331^(MIN($E2422,123)-117)))*1,0))</f>
        <v>559734088</v>
      </c>
      <c r="AG2422" s="11">
        <f>$E2422+27</f>
        <v>137</v>
      </c>
      <c r="AH2422" s="12">
        <f>IF($J2422=0,0,ROUND(MAX($J2422*1.4*1.5*1.6*1.6*2.2*2.715*2.6*1.4*1.4*1.5*1.5*3.2,60500000000*(1.654288^(MIN($E2422,123)-117)))*1,0))</f>
        <v>1784339701</v>
      </c>
    </row>
    <row r="2423" ht="28" customHeight="1" spans="1:34" x14ac:dyDescent="0.25">
      <c r="A2423">
        <v>2433</v>
      </c>
      <c r="B2423" t="s">
        <v>382</v>
      </c>
      <c r="C2423" s="10" t="s">
        <v>1421</v>
      </c>
      <c r="D2423" t="s">
        <v>45</v>
      </c>
      <c r="E2423">
        <v>110</v>
      </c>
      <c r="F2423" t="s">
        <v>383</v>
      </c>
      <c r="G2423" t="s">
        <v>1312</v>
      </c>
      <c r="H2423">
        <v>25</v>
      </c>
      <c r="I2423" s="11">
        <v>110</v>
      </c>
      <c r="J2423" s="12">
        <v>48400</v>
      </c>
      <c r="K2423" s="13">
        <f>$E2423+1</f>
        <v>111</v>
      </c>
      <c r="L2423" s="14">
        <f>IF($J2423=0,0,ROUND(MAX($J2423*1.4,1620000*(1.497923^(MIN($E2423,123)-117)))*1,0))</f>
        <v>95739</v>
      </c>
      <c r="M2423" s="11">
        <f>$E2423+2</f>
        <v>112</v>
      </c>
      <c r="N2423" s="12">
        <f>IF($J2423=0,0,ROUND(MAX($J2423*1.4*1.5,2190000*(1.580994^(MIN($E2423,123)-117)))*1,0))</f>
        <v>101640</v>
      </c>
      <c r="O2423" s="13">
        <f>$E2423+4</f>
        <v>114</v>
      </c>
      <c r="P2423" s="14">
        <f>IF($J2423=0,0,ROUND(MAX($J2423*1.4*1.5*1.6,3500000*(1.57975^(MIN($E2423,123)-117)))*1,0))</f>
        <v>162624</v>
      </c>
      <c r="Q2423" s="11">
        <f>$E2423+6</f>
        <v>116</v>
      </c>
      <c r="R2423" s="12">
        <f>IF($J2423=0,0,ROUND(MAX($J2423*1.4*1.5*1.6*1.6,13100000*(1.429962^(MIN($E2423,123)-117)))*1,0))</f>
        <v>1071519</v>
      </c>
      <c r="S2423" s="13">
        <f>$E2423+8</f>
        <v>118</v>
      </c>
      <c r="T2423" s="14">
        <f>IF($J2423=0,0,ROUND(MAX($J2423*1.4*1.5*1.6*1.6*2.2,42600000*(1.576904^(MIN($E2423,123)-117)))*1,0))</f>
        <v>1757004</v>
      </c>
      <c r="U2423" s="11">
        <f>$E2423+11</f>
        <v>121</v>
      </c>
      <c r="V2423" s="12">
        <f>IF($J2423=0,0,ROUND(MAX($J2423*1.4*1.5*1.6*1.6*2.2*2.715,354000000*(1.642074^(MIN($E2423,123)-117)))*1,0))</f>
        <v>10996493</v>
      </c>
      <c r="W2423" s="13">
        <f>$E2423+15</f>
        <v>125</v>
      </c>
      <c r="X2423" s="14">
        <f>IF($J2423=0,0,ROUND(MAX($J2423*1.4*1.5*1.6*1.6*2.2*2.715*2.6,3540000000*(1.579646^(MIN($E2423,123)-117)))*1,0))</f>
        <v>144239716</v>
      </c>
      <c r="Y2423" s="11">
        <f>$E2423+17</f>
        <v>127</v>
      </c>
      <c r="Z2423" s="12">
        <f>IF($J2423=0,0,ROUND(MAX($J2423*1.4*1.5*1.6*1.6*2.2*2.715*2.6*1.4,6020000000*(1.651178^(MIN($E2423,123)-117)))*1,0))</f>
        <v>179903344</v>
      </c>
      <c r="AA2423" s="13">
        <f>$E2423+19</f>
        <v>129</v>
      </c>
      <c r="AB2423" s="14">
        <f>IF($J2423=0,0,ROUND(MAX($J2423*1.4*1.5*1.6*1.6*2.2*2.715*2.6*1.4*1.4,8430000000*(1.651435^(MIN($E2423,123)-117)))*1,0))</f>
        <v>251650143</v>
      </c>
      <c r="AC2423" s="11">
        <f>$E2423+21</f>
        <v>131</v>
      </c>
      <c r="AD2423" s="12">
        <f>IF($J2423=0,0,ROUND(MAX($J2423*1.4*1.5*1.6*1.6*2.2*2.715*2.6*1.4*1.4*1.5,12600000000*(1.652953^(MIN($E2423,123)-117)))*1,0))</f>
        <v>373720576</v>
      </c>
      <c r="AE2423" s="13">
        <f>$E2423+24</f>
        <v>134</v>
      </c>
      <c r="AF2423" s="14">
        <f>IF($J2423=0,0,ROUND(MAX($J2423*1.4*1.5*1.6*1.6*2.2*2.715*2.6*1.4*1.4*1.5*1.5,18900000000*(1.65331^(MIN($E2423,123)-117)))*1,0))</f>
        <v>559734088</v>
      </c>
      <c r="AG2423" s="11">
        <f>$E2423+27</f>
        <v>137</v>
      </c>
      <c r="AH2423" s="12">
        <f>IF($J2423=0,0,ROUND(MAX($J2423*1.4*1.5*1.6*1.6*2.2*2.715*2.6*1.4*1.4*1.5*1.5*3.2,60500000000*(1.654288^(MIN($E2423,123)-117)))*1,0))</f>
        <v>1784339701</v>
      </c>
    </row>
    <row r="2424" ht="28" customHeight="1" spans="1:34" x14ac:dyDescent="0.25">
      <c r="A2424">
        <v>2434</v>
      </c>
      <c r="B2424" t="s">
        <v>1305</v>
      </c>
      <c r="C2424" s="10" t="s">
        <v>1421</v>
      </c>
      <c r="D2424" t="s">
        <v>102</v>
      </c>
      <c r="E2424">
        <v>110</v>
      </c>
      <c r="F2424" t="s">
        <v>144</v>
      </c>
      <c r="G2424" t="s">
        <v>126</v>
      </c>
      <c r="H2424">
        <v>25</v>
      </c>
      <c r="I2424" s="11">
        <v>110</v>
      </c>
      <c r="J2424" s="12">
        <v>94700</v>
      </c>
      <c r="K2424" s="13">
        <f>$E2424+1</f>
        <v>111</v>
      </c>
      <c r="L2424" s="14">
        <f>IF($J2424=0,0,ROUND(MAX($J2424*1.4,1620000*(1.497923^(MIN($E2424,123)-117)))*1,0))</f>
        <v>132580</v>
      </c>
      <c r="M2424" s="11">
        <f>$E2424+2</f>
        <v>112</v>
      </c>
      <c r="N2424" s="12">
        <f>IF($J2424=0,0,ROUND(MAX($J2424*1.4*1.5,2190000*(1.580994^(MIN($E2424,123)-117)))*1,0))</f>
        <v>198870</v>
      </c>
      <c r="O2424" s="13">
        <f>$E2424+4</f>
        <v>114</v>
      </c>
      <c r="P2424" s="14">
        <f>IF($J2424=0,0,ROUND(MAX($J2424*1.4*1.5*1.6,3500000*(1.57975^(MIN($E2424,123)-117)))*1,0))</f>
        <v>318192</v>
      </c>
      <c r="Q2424" s="11">
        <f>$E2424+6</f>
        <v>116</v>
      </c>
      <c r="R2424" s="12">
        <f>IF($J2424=0,0,ROUND(MAX($J2424*1.4*1.5*1.6*1.6,13100000*(1.429962^(MIN($E2424,123)-117)))*1,0))</f>
        <v>1071519</v>
      </c>
      <c r="S2424" s="13">
        <f>$E2424+8</f>
        <v>118</v>
      </c>
      <c r="T2424" s="14">
        <f>IF($J2424=0,0,ROUND(MAX($J2424*1.4*1.5*1.6*1.6*2.2,42600000*(1.576904^(MIN($E2424,123)-117)))*1,0))</f>
        <v>1757004</v>
      </c>
      <c r="U2424" s="11">
        <f>$E2424+11</f>
        <v>121</v>
      </c>
      <c r="V2424" s="12">
        <f>IF($J2424=0,0,ROUND(MAX($J2424*1.4*1.5*1.6*1.6*2.2*2.715,354000000*(1.642074^(MIN($E2424,123)-117)))*1,0))</f>
        <v>10996493</v>
      </c>
      <c r="W2424" s="13">
        <f>$E2424+15</f>
        <v>125</v>
      </c>
      <c r="X2424" s="14">
        <f>IF($J2424=0,0,ROUND(MAX($J2424*1.4*1.5*1.6*1.6*2.2*2.715*2.6,3540000000*(1.579646^(MIN($E2424,123)-117)))*1,0))</f>
        <v>144239716</v>
      </c>
      <c r="Y2424" s="11">
        <f>$E2424+17</f>
        <v>127</v>
      </c>
      <c r="Z2424" s="12">
        <f>IF($J2424=0,0,ROUND(MAX($J2424*1.4*1.5*1.6*1.6*2.2*2.715*2.6*1.4,6020000000*(1.651178^(MIN($E2424,123)-117)))*1,0))</f>
        <v>179903344</v>
      </c>
      <c r="AA2424" s="13">
        <f>$E2424+19</f>
        <v>129</v>
      </c>
      <c r="AB2424" s="14">
        <f>IF($J2424=0,0,ROUND(MAX($J2424*1.4*1.5*1.6*1.6*2.2*2.715*2.6*1.4*1.4,8430000000*(1.651435^(MIN($E2424,123)-117)))*1,0))</f>
        <v>251650143</v>
      </c>
      <c r="AC2424" s="11">
        <f>$E2424+21</f>
        <v>131</v>
      </c>
      <c r="AD2424" s="12">
        <f>IF($J2424=0,0,ROUND(MAX($J2424*1.4*1.5*1.6*1.6*2.2*2.715*2.6*1.4*1.4*1.5,12600000000*(1.652953^(MIN($E2424,123)-117)))*1,0))</f>
        <v>373720576</v>
      </c>
      <c r="AE2424" s="13">
        <f>$E2424+24</f>
        <v>134</v>
      </c>
      <c r="AF2424" s="14">
        <f>IF($J2424=0,0,ROUND(MAX($J2424*1.4*1.5*1.6*1.6*2.2*2.715*2.6*1.4*1.4*1.5*1.5,18900000000*(1.65331^(MIN($E2424,123)-117)))*1,0))</f>
        <v>559734088</v>
      </c>
      <c r="AG2424" s="11">
        <f>$E2424+27</f>
        <v>137</v>
      </c>
      <c r="AH2424" s="12">
        <f>IF($J2424=0,0,ROUND(MAX($J2424*1.4*1.5*1.6*1.6*2.2*2.715*2.6*1.4*1.4*1.5*1.5*3.2,60500000000*(1.654288^(MIN($E2424,123)-117)))*1,0))</f>
        <v>1784339701</v>
      </c>
    </row>
    <row r="2425" ht="28" customHeight="1" spans="1:34" x14ac:dyDescent="0.25">
      <c r="A2425">
        <v>2435</v>
      </c>
      <c r="B2425" t="s">
        <v>1465</v>
      </c>
      <c r="C2425" s="10" t="s">
        <v>1421</v>
      </c>
      <c r="D2425" t="s">
        <v>33</v>
      </c>
      <c r="E2425">
        <v>110</v>
      </c>
      <c r="F2425" t="s">
        <v>183</v>
      </c>
      <c r="G2425" t="s">
        <v>876</v>
      </c>
      <c r="H2425">
        <v>25</v>
      </c>
      <c r="I2425" s="11">
        <v>110</v>
      </c>
      <c r="J2425" s="12">
        <v>88300</v>
      </c>
      <c r="K2425" s="13">
        <f>$E2425+1</f>
        <v>111</v>
      </c>
      <c r="L2425" s="14">
        <f>IF($J2425=0,0,ROUND(MAX($J2425*1.4,1620000*(1.497923^(MIN($E2425,123)-117)))*1,0))</f>
        <v>123620</v>
      </c>
      <c r="M2425" s="11">
        <f>$E2425+2</f>
        <v>112</v>
      </c>
      <c r="N2425" s="12">
        <f>IF($J2425=0,0,ROUND(MAX($J2425*1.4*1.5,2190000*(1.580994^(MIN($E2425,123)-117)))*1,0))</f>
        <v>185430</v>
      </c>
      <c r="O2425" s="13">
        <f>$E2425+4</f>
        <v>114</v>
      </c>
      <c r="P2425" s="14">
        <f>IF($J2425=0,0,ROUND(MAX($J2425*1.4*1.5*1.6,3500000*(1.57975^(MIN($E2425,123)-117)))*1,0))</f>
        <v>296688</v>
      </c>
      <c r="Q2425" s="11">
        <f>$E2425+6</f>
        <v>116</v>
      </c>
      <c r="R2425" s="12">
        <f>IF($J2425=0,0,ROUND(MAX($J2425*1.4*1.5*1.6*1.6,13100000*(1.429962^(MIN($E2425,123)-117)))*1,0))</f>
        <v>1071519</v>
      </c>
      <c r="S2425" s="13">
        <f>$E2425+8</f>
        <v>118</v>
      </c>
      <c r="T2425" s="14">
        <f>IF($J2425=0,0,ROUND(MAX($J2425*1.4*1.5*1.6*1.6*2.2,42600000*(1.576904^(MIN($E2425,123)-117)))*1,0))</f>
        <v>1757004</v>
      </c>
      <c r="U2425" s="11">
        <f>$E2425+11</f>
        <v>121</v>
      </c>
      <c r="V2425" s="12">
        <f>IF($J2425=0,0,ROUND(MAX($J2425*1.4*1.5*1.6*1.6*2.2*2.715,354000000*(1.642074^(MIN($E2425,123)-117)))*1,0))</f>
        <v>10996493</v>
      </c>
      <c r="W2425" s="13">
        <f>$E2425+15</f>
        <v>125</v>
      </c>
      <c r="X2425" s="14">
        <f>IF($J2425=0,0,ROUND(MAX($J2425*1.4*1.5*1.6*1.6*2.2*2.715*2.6,3540000000*(1.579646^(MIN($E2425,123)-117)))*1,0))</f>
        <v>144239716</v>
      </c>
      <c r="Y2425" s="11">
        <f>$E2425+17</f>
        <v>127</v>
      </c>
      <c r="Z2425" s="12">
        <f>IF($J2425=0,0,ROUND(MAX($J2425*1.4*1.5*1.6*1.6*2.2*2.715*2.6*1.4,6020000000*(1.651178^(MIN($E2425,123)-117)))*1,0))</f>
        <v>179903344</v>
      </c>
      <c r="AA2425" s="13">
        <f>$E2425+19</f>
        <v>129</v>
      </c>
      <c r="AB2425" s="14">
        <f>IF($J2425=0,0,ROUND(MAX($J2425*1.4*1.5*1.6*1.6*2.2*2.715*2.6*1.4*1.4,8430000000*(1.651435^(MIN($E2425,123)-117)))*1,0))</f>
        <v>251650143</v>
      </c>
      <c r="AC2425" s="11">
        <f>$E2425+21</f>
        <v>131</v>
      </c>
      <c r="AD2425" s="12">
        <f>IF($J2425=0,0,ROUND(MAX($J2425*1.4*1.5*1.6*1.6*2.2*2.715*2.6*1.4*1.4*1.5,12600000000*(1.652953^(MIN($E2425,123)-117)))*1,0))</f>
        <v>373720576</v>
      </c>
      <c r="AE2425" s="13">
        <f>$E2425+24</f>
        <v>134</v>
      </c>
      <c r="AF2425" s="14">
        <f>IF($J2425=0,0,ROUND(MAX($J2425*1.4*1.5*1.6*1.6*2.2*2.715*2.6*1.4*1.4*1.5*1.5,18900000000*(1.65331^(MIN($E2425,123)-117)))*1,0))</f>
        <v>559734088</v>
      </c>
      <c r="AG2425" s="11">
        <f>$E2425+27</f>
        <v>137</v>
      </c>
      <c r="AH2425" s="12">
        <f>IF($J2425=0,0,ROUND(MAX($J2425*1.4*1.5*1.6*1.6*2.2*2.715*2.6*1.4*1.4*1.5*1.5*3.2,60500000000*(1.654288^(MIN($E2425,123)-117)))*1,0))</f>
        <v>1784339701</v>
      </c>
    </row>
    <row r="2426" ht="28" customHeight="1" spans="1:34" x14ac:dyDescent="0.25">
      <c r="A2426">
        <v>2436</v>
      </c>
      <c r="B2426" t="s">
        <v>1466</v>
      </c>
      <c r="C2426" s="10" t="s">
        <v>1421</v>
      </c>
      <c r="D2426" t="s">
        <v>90</v>
      </c>
      <c r="E2426">
        <v>110</v>
      </c>
      <c r="F2426" t="s">
        <v>59</v>
      </c>
      <c r="G2426" t="s">
        <v>57</v>
      </c>
      <c r="H2426">
        <v>25</v>
      </c>
      <c r="I2426" s="11">
        <v>110</v>
      </c>
      <c r="J2426" s="12">
        <v>147000</v>
      </c>
      <c r="K2426" s="13">
        <f>$E2426+1</f>
        <v>111</v>
      </c>
      <c r="L2426" s="14">
        <f>IF($J2426=0,0,ROUND(MAX($J2426*1.4,1620000*(1.497923^(MIN($E2426,123)-117)))*1,0))</f>
        <v>205800</v>
      </c>
      <c r="M2426" s="11">
        <f>$E2426+2</f>
        <v>112</v>
      </c>
      <c r="N2426" s="12">
        <f>IF($J2426=0,0,ROUND(MAX($J2426*1.4*1.5,2190000*(1.580994^(MIN($E2426,123)-117)))*1,0))</f>
        <v>308700</v>
      </c>
      <c r="O2426" s="13">
        <f>$E2426+4</f>
        <v>114</v>
      </c>
      <c r="P2426" s="14">
        <f>IF($J2426=0,0,ROUND(MAX($J2426*1.4*1.5*1.6,3500000*(1.57975^(MIN($E2426,123)-117)))*1,0))</f>
        <v>493920</v>
      </c>
      <c r="Q2426" s="11">
        <f>$E2426+6</f>
        <v>116</v>
      </c>
      <c r="R2426" s="12">
        <f>IF($J2426=0,0,ROUND(MAX($J2426*1.4*1.5*1.6*1.6,13100000*(1.429962^(MIN($E2426,123)-117)))*1,0))</f>
        <v>1071519</v>
      </c>
      <c r="S2426" s="13">
        <f>$E2426+8</f>
        <v>118</v>
      </c>
      <c r="T2426" s="14">
        <f>IF($J2426=0,0,ROUND(MAX($J2426*1.4*1.5*1.6*1.6*2.2,42600000*(1.576904^(MIN($E2426,123)-117)))*1,0))</f>
        <v>1757004</v>
      </c>
      <c r="U2426" s="11">
        <f>$E2426+11</f>
        <v>121</v>
      </c>
      <c r="V2426" s="12">
        <f>IF($J2426=0,0,ROUND(MAX($J2426*1.4*1.5*1.6*1.6*2.2*2.715,354000000*(1.642074^(MIN($E2426,123)-117)))*1,0))</f>
        <v>10996493</v>
      </c>
      <c r="W2426" s="13">
        <f>$E2426+15</f>
        <v>125</v>
      </c>
      <c r="X2426" s="14">
        <f>IF($J2426=0,0,ROUND(MAX($J2426*1.4*1.5*1.6*1.6*2.2*2.715*2.6,3540000000*(1.579646^(MIN($E2426,123)-117)))*1,0))</f>
        <v>144239716</v>
      </c>
      <c r="Y2426" s="11">
        <f>$E2426+17</f>
        <v>127</v>
      </c>
      <c r="Z2426" s="12">
        <f>IF($J2426=0,0,ROUND(MAX($J2426*1.4*1.5*1.6*1.6*2.2*2.715*2.6*1.4,6020000000*(1.651178^(MIN($E2426,123)-117)))*1,0))</f>
        <v>179903344</v>
      </c>
      <c r="AA2426" s="13">
        <f>$E2426+19</f>
        <v>129</v>
      </c>
      <c r="AB2426" s="14">
        <f>IF($J2426=0,0,ROUND(MAX($J2426*1.4*1.5*1.6*1.6*2.2*2.715*2.6*1.4*1.4,8430000000*(1.651435^(MIN($E2426,123)-117)))*1,0))</f>
        <v>251650143</v>
      </c>
      <c r="AC2426" s="11">
        <f>$E2426+21</f>
        <v>131</v>
      </c>
      <c r="AD2426" s="12">
        <f>IF($J2426=0,0,ROUND(MAX($J2426*1.4*1.5*1.6*1.6*2.2*2.715*2.6*1.4*1.4*1.5,12600000000*(1.652953^(MIN($E2426,123)-117)))*1,0))</f>
        <v>373720576</v>
      </c>
      <c r="AE2426" s="13">
        <f>$E2426+24</f>
        <v>134</v>
      </c>
      <c r="AF2426" s="14">
        <f>IF($J2426=0,0,ROUND(MAX($J2426*1.4*1.5*1.6*1.6*2.2*2.715*2.6*1.4*1.4*1.5*1.5,18900000000*(1.65331^(MIN($E2426,123)-117)))*1,0))</f>
        <v>559734088</v>
      </c>
      <c r="AG2426" s="11">
        <f>$E2426+27</f>
        <v>137</v>
      </c>
      <c r="AH2426" s="12">
        <f>IF($J2426=0,0,ROUND(MAX($J2426*1.4*1.5*1.6*1.6*2.2*2.715*2.6*1.4*1.4*1.5*1.5*3.2,60500000000*(1.654288^(MIN($E2426,123)-117)))*1,0))</f>
        <v>1784339701</v>
      </c>
    </row>
    <row r="2427" ht="28" customHeight="1" spans="1:34" x14ac:dyDescent="0.25">
      <c r="A2427">
        <v>2437</v>
      </c>
      <c r="B2427" t="s">
        <v>1467</v>
      </c>
      <c r="C2427" s="10" t="s">
        <v>1421</v>
      </c>
      <c r="D2427" t="s">
        <v>102</v>
      </c>
      <c r="E2427">
        <v>110</v>
      </c>
      <c r="F2427" t="s">
        <v>400</v>
      </c>
      <c r="G2427" t="s">
        <v>429</v>
      </c>
      <c r="H2427">
        <v>25</v>
      </c>
      <c r="I2427" s="11">
        <v>110</v>
      </c>
      <c r="J2427" s="12">
        <v>89400</v>
      </c>
      <c r="K2427" s="13">
        <f>$E2427+1</f>
        <v>111</v>
      </c>
      <c r="L2427" s="14">
        <f>IF($J2427=0,0,ROUND(MAX($J2427*1.4,1620000*(1.497923^(MIN($E2427,123)-117)))*1,0))</f>
        <v>125160</v>
      </c>
      <c r="M2427" s="11">
        <f>$E2427+2</f>
        <v>112</v>
      </c>
      <c r="N2427" s="12">
        <f>IF($J2427=0,0,ROUND(MAX($J2427*1.4*1.5,2190000*(1.580994^(MIN($E2427,123)-117)))*1,0))</f>
        <v>187740</v>
      </c>
      <c r="O2427" s="13">
        <f>$E2427+4</f>
        <v>114</v>
      </c>
      <c r="P2427" s="14">
        <f>IF($J2427=0,0,ROUND(MAX($J2427*1.4*1.5*1.6,3500000*(1.57975^(MIN($E2427,123)-117)))*1,0))</f>
        <v>300384</v>
      </c>
      <c r="Q2427" s="11">
        <f>$E2427+6</f>
        <v>116</v>
      </c>
      <c r="R2427" s="12">
        <f>IF($J2427=0,0,ROUND(MAX($J2427*1.4*1.5*1.6*1.6,13100000*(1.429962^(MIN($E2427,123)-117)))*1,0))</f>
        <v>1071519</v>
      </c>
      <c r="S2427" s="13">
        <f>$E2427+8</f>
        <v>118</v>
      </c>
      <c r="T2427" s="14">
        <f>IF($J2427=0,0,ROUND(MAX($J2427*1.4*1.5*1.6*1.6*2.2,42600000*(1.576904^(MIN($E2427,123)-117)))*1,0))</f>
        <v>1757004</v>
      </c>
      <c r="U2427" s="11">
        <f>$E2427+11</f>
        <v>121</v>
      </c>
      <c r="V2427" s="12">
        <f>IF($J2427=0,0,ROUND(MAX($J2427*1.4*1.5*1.6*1.6*2.2*2.715,354000000*(1.642074^(MIN($E2427,123)-117)))*1,0))</f>
        <v>10996493</v>
      </c>
      <c r="W2427" s="13">
        <f>$E2427+15</f>
        <v>125</v>
      </c>
      <c r="X2427" s="14">
        <f>IF($J2427=0,0,ROUND(MAX($J2427*1.4*1.5*1.6*1.6*2.2*2.715*2.6,3540000000*(1.579646^(MIN($E2427,123)-117)))*1,0))</f>
        <v>144239716</v>
      </c>
      <c r="Y2427" s="11">
        <f>$E2427+17</f>
        <v>127</v>
      </c>
      <c r="Z2427" s="12">
        <f>IF($J2427=0,0,ROUND(MAX($J2427*1.4*1.5*1.6*1.6*2.2*2.715*2.6*1.4,6020000000*(1.651178^(MIN($E2427,123)-117)))*1,0))</f>
        <v>179903344</v>
      </c>
      <c r="AA2427" s="13">
        <f>$E2427+19</f>
        <v>129</v>
      </c>
      <c r="AB2427" s="14">
        <f>IF($J2427=0,0,ROUND(MAX($J2427*1.4*1.5*1.6*1.6*2.2*2.715*2.6*1.4*1.4,8430000000*(1.651435^(MIN($E2427,123)-117)))*1,0))</f>
        <v>251650143</v>
      </c>
      <c r="AC2427" s="11">
        <f>$E2427+21</f>
        <v>131</v>
      </c>
      <c r="AD2427" s="12">
        <f>IF($J2427=0,0,ROUND(MAX($J2427*1.4*1.5*1.6*1.6*2.2*2.715*2.6*1.4*1.4*1.5,12600000000*(1.652953^(MIN($E2427,123)-117)))*1,0))</f>
        <v>373720576</v>
      </c>
      <c r="AE2427" s="13">
        <f>$E2427+24</f>
        <v>134</v>
      </c>
      <c r="AF2427" s="14">
        <f>IF($J2427=0,0,ROUND(MAX($J2427*1.4*1.5*1.6*1.6*2.2*2.715*2.6*1.4*1.4*1.5*1.5,18900000000*(1.65331^(MIN($E2427,123)-117)))*1,0))</f>
        <v>559734088</v>
      </c>
      <c r="AG2427" s="11">
        <f>$E2427+27</f>
        <v>137</v>
      </c>
      <c r="AH2427" s="12">
        <f>IF($J2427=0,0,ROUND(MAX($J2427*1.4*1.5*1.6*1.6*2.2*2.715*2.6*1.4*1.4*1.5*1.5*3.2,60500000000*(1.654288^(MIN($E2427,123)-117)))*1,0))</f>
        <v>1784339701</v>
      </c>
    </row>
    <row r="2428" ht="28" customHeight="1" spans="1:34" x14ac:dyDescent="0.25">
      <c r="A2428">
        <v>2438</v>
      </c>
      <c r="B2428" t="s">
        <v>1468</v>
      </c>
      <c r="C2428" s="10" t="s">
        <v>1421</v>
      </c>
      <c r="D2428" t="s">
        <v>40</v>
      </c>
      <c r="E2428">
        <v>110</v>
      </c>
      <c r="F2428" t="s">
        <v>123</v>
      </c>
      <c r="G2428" t="s">
        <v>1398</v>
      </c>
      <c r="H2428">
        <v>25</v>
      </c>
      <c r="I2428" s="11">
        <v>110</v>
      </c>
      <c r="J2428" s="12">
        <v>56100</v>
      </c>
      <c r="K2428" s="13">
        <f>$E2428+1</f>
        <v>111</v>
      </c>
      <c r="L2428" s="14">
        <f>IF($J2428=0,0,ROUND(MAX($J2428*1.4,1620000*(1.497923^(MIN($E2428,123)-117)))*1,0))</f>
        <v>95739</v>
      </c>
      <c r="M2428" s="11">
        <f>$E2428+2</f>
        <v>112</v>
      </c>
      <c r="N2428" s="12">
        <f>IF($J2428=0,0,ROUND(MAX($J2428*1.4*1.5,2190000*(1.580994^(MIN($E2428,123)-117)))*1,0))</f>
        <v>117810</v>
      </c>
      <c r="O2428" s="13">
        <f>$E2428+4</f>
        <v>114</v>
      </c>
      <c r="P2428" s="14">
        <f>IF($J2428=0,0,ROUND(MAX($J2428*1.4*1.5*1.6,3500000*(1.57975^(MIN($E2428,123)-117)))*1,0))</f>
        <v>188496</v>
      </c>
      <c r="Q2428" s="11">
        <f>$E2428+6</f>
        <v>116</v>
      </c>
      <c r="R2428" s="12">
        <f>IF($J2428=0,0,ROUND(MAX($J2428*1.4*1.5*1.6*1.6,13100000*(1.429962^(MIN($E2428,123)-117)))*1,0))</f>
        <v>1071519</v>
      </c>
      <c r="S2428" s="13">
        <f>$E2428+8</f>
        <v>118</v>
      </c>
      <c r="T2428" s="14">
        <f>IF($J2428=0,0,ROUND(MAX($J2428*1.4*1.5*1.6*1.6*2.2,42600000*(1.576904^(MIN($E2428,123)-117)))*1,0))</f>
        <v>1757004</v>
      </c>
      <c r="U2428" s="11">
        <f>$E2428+11</f>
        <v>121</v>
      </c>
      <c r="V2428" s="12">
        <f>IF($J2428=0,0,ROUND(MAX($J2428*1.4*1.5*1.6*1.6*2.2*2.715,354000000*(1.642074^(MIN($E2428,123)-117)))*1,0))</f>
        <v>10996493</v>
      </c>
      <c r="W2428" s="13">
        <f>$E2428+15</f>
        <v>125</v>
      </c>
      <c r="X2428" s="14">
        <f>IF($J2428=0,0,ROUND(MAX($J2428*1.4*1.5*1.6*1.6*2.2*2.715*2.6,3540000000*(1.579646^(MIN($E2428,123)-117)))*1,0))</f>
        <v>144239716</v>
      </c>
      <c r="Y2428" s="11">
        <f>$E2428+17</f>
        <v>127</v>
      </c>
      <c r="Z2428" s="12">
        <f>IF($J2428=0,0,ROUND(MAX($J2428*1.4*1.5*1.6*1.6*2.2*2.715*2.6*1.4,6020000000*(1.651178^(MIN($E2428,123)-117)))*1,0))</f>
        <v>179903344</v>
      </c>
      <c r="AA2428" s="13">
        <f>$E2428+19</f>
        <v>129</v>
      </c>
      <c r="AB2428" s="14">
        <f>IF($J2428=0,0,ROUND(MAX($J2428*1.4*1.5*1.6*1.6*2.2*2.715*2.6*1.4*1.4,8430000000*(1.651435^(MIN($E2428,123)-117)))*1,0))</f>
        <v>251650143</v>
      </c>
      <c r="AC2428" s="11">
        <f>$E2428+21</f>
        <v>131</v>
      </c>
      <c r="AD2428" s="12">
        <f>IF($J2428=0,0,ROUND(MAX($J2428*1.4*1.5*1.6*1.6*2.2*2.715*2.6*1.4*1.4*1.5,12600000000*(1.652953^(MIN($E2428,123)-117)))*1,0))</f>
        <v>373720576</v>
      </c>
      <c r="AE2428" s="13">
        <f>$E2428+24</f>
        <v>134</v>
      </c>
      <c r="AF2428" s="14">
        <f>IF($J2428=0,0,ROUND(MAX($J2428*1.4*1.5*1.6*1.6*2.2*2.715*2.6*1.4*1.4*1.5*1.5,18900000000*(1.65331^(MIN($E2428,123)-117)))*1,0))</f>
        <v>559734088</v>
      </c>
      <c r="AG2428" s="11">
        <f>$E2428+27</f>
        <v>137</v>
      </c>
      <c r="AH2428" s="12">
        <f>IF($J2428=0,0,ROUND(MAX($J2428*1.4*1.5*1.6*1.6*2.2*2.715*2.6*1.4*1.4*1.5*1.5*3.2,60500000000*(1.654288^(MIN($E2428,123)-117)))*1,0))</f>
        <v>1784339701</v>
      </c>
    </row>
    <row r="2429" ht="28" customHeight="1" spans="1:34" x14ac:dyDescent="0.25">
      <c r="A2429">
        <v>2439</v>
      </c>
      <c r="B2429" t="s">
        <v>1469</v>
      </c>
      <c r="C2429" s="10" t="s">
        <v>1421</v>
      </c>
      <c r="D2429" t="s">
        <v>102</v>
      </c>
      <c r="E2429">
        <v>110</v>
      </c>
      <c r="F2429" t="s">
        <v>56</v>
      </c>
      <c r="G2429" t="s">
        <v>729</v>
      </c>
      <c r="H2429">
        <v>25</v>
      </c>
      <c r="I2429" s="11">
        <v>110</v>
      </c>
      <c r="J2429" s="12">
        <v>78900</v>
      </c>
      <c r="K2429" s="13">
        <f>$E2429+1</f>
        <v>111</v>
      </c>
      <c r="L2429" s="14">
        <f>IF($J2429=0,0,ROUND(MAX($J2429*1.4,1620000*(1.497923^(MIN($E2429,123)-117)))*1,0))</f>
        <v>110460</v>
      </c>
      <c r="M2429" s="11">
        <f>$E2429+2</f>
        <v>112</v>
      </c>
      <c r="N2429" s="12">
        <f>IF($J2429=0,0,ROUND(MAX($J2429*1.4*1.5,2190000*(1.580994^(MIN($E2429,123)-117)))*1,0))</f>
        <v>165690</v>
      </c>
      <c r="O2429" s="13">
        <f>$E2429+4</f>
        <v>114</v>
      </c>
      <c r="P2429" s="14">
        <f>IF($J2429=0,0,ROUND(MAX($J2429*1.4*1.5*1.6,3500000*(1.57975^(MIN($E2429,123)-117)))*1,0))</f>
        <v>265104</v>
      </c>
      <c r="Q2429" s="11">
        <f>$E2429+6</f>
        <v>116</v>
      </c>
      <c r="R2429" s="12">
        <f>IF($J2429=0,0,ROUND(MAX($J2429*1.4*1.5*1.6*1.6,13100000*(1.429962^(MIN($E2429,123)-117)))*1,0))</f>
        <v>1071519</v>
      </c>
      <c r="S2429" s="13">
        <f>$E2429+8</f>
        <v>118</v>
      </c>
      <c r="T2429" s="14">
        <f>IF($J2429=0,0,ROUND(MAX($J2429*1.4*1.5*1.6*1.6*2.2,42600000*(1.576904^(MIN($E2429,123)-117)))*1,0))</f>
        <v>1757004</v>
      </c>
      <c r="U2429" s="11">
        <f>$E2429+11</f>
        <v>121</v>
      </c>
      <c r="V2429" s="12">
        <f>IF($J2429=0,0,ROUND(MAX($J2429*1.4*1.5*1.6*1.6*2.2*2.715,354000000*(1.642074^(MIN($E2429,123)-117)))*1,0))</f>
        <v>10996493</v>
      </c>
      <c r="W2429" s="13">
        <f>$E2429+15</f>
        <v>125</v>
      </c>
      <c r="X2429" s="14">
        <f>IF($J2429=0,0,ROUND(MAX($J2429*1.4*1.5*1.6*1.6*2.2*2.715*2.6,3540000000*(1.579646^(MIN($E2429,123)-117)))*1,0))</f>
        <v>144239716</v>
      </c>
      <c r="Y2429" s="11">
        <f>$E2429+17</f>
        <v>127</v>
      </c>
      <c r="Z2429" s="12">
        <f>IF($J2429=0,0,ROUND(MAX($J2429*1.4*1.5*1.6*1.6*2.2*2.715*2.6*1.4,6020000000*(1.651178^(MIN($E2429,123)-117)))*1,0))</f>
        <v>179903344</v>
      </c>
      <c r="AA2429" s="13">
        <f>$E2429+19</f>
        <v>129</v>
      </c>
      <c r="AB2429" s="14">
        <f>IF($J2429=0,0,ROUND(MAX($J2429*1.4*1.5*1.6*1.6*2.2*2.715*2.6*1.4*1.4,8430000000*(1.651435^(MIN($E2429,123)-117)))*1,0))</f>
        <v>251650143</v>
      </c>
      <c r="AC2429" s="11">
        <f>$E2429+21</f>
        <v>131</v>
      </c>
      <c r="AD2429" s="12">
        <f>IF($J2429=0,0,ROUND(MAX($J2429*1.4*1.5*1.6*1.6*2.2*2.715*2.6*1.4*1.4*1.5,12600000000*(1.652953^(MIN($E2429,123)-117)))*1,0))</f>
        <v>373720576</v>
      </c>
      <c r="AE2429" s="13">
        <f>$E2429+24</f>
        <v>134</v>
      </c>
      <c r="AF2429" s="14">
        <f>IF($J2429=0,0,ROUND(MAX($J2429*1.4*1.5*1.6*1.6*2.2*2.715*2.6*1.4*1.4*1.5*1.5,18900000000*(1.65331^(MIN($E2429,123)-117)))*1,0))</f>
        <v>559734088</v>
      </c>
      <c r="AG2429" s="11">
        <f>$E2429+27</f>
        <v>137</v>
      </c>
      <c r="AH2429" s="12">
        <f>IF($J2429=0,0,ROUND(MAX($J2429*1.4*1.5*1.6*1.6*2.2*2.715*2.6*1.4*1.4*1.5*1.5*3.2,60500000000*(1.654288^(MIN($E2429,123)-117)))*1,0))</f>
        <v>1784339701</v>
      </c>
    </row>
    <row r="2430" ht="28" customHeight="1" spans="1:34" x14ac:dyDescent="0.25">
      <c r="A2430">
        <v>2440</v>
      </c>
      <c r="B2430" t="s">
        <v>1470</v>
      </c>
      <c r="C2430" s="10" t="s">
        <v>1421</v>
      </c>
      <c r="D2430" t="s">
        <v>241</v>
      </c>
      <c r="E2430">
        <v>110</v>
      </c>
      <c r="F2430" t="s">
        <v>34</v>
      </c>
      <c r="G2430" t="s">
        <v>106</v>
      </c>
      <c r="H2430">
        <v>25</v>
      </c>
      <c r="I2430" s="11">
        <v>110</v>
      </c>
      <c r="J2430" s="12">
        <v>97100</v>
      </c>
      <c r="K2430" s="13">
        <f>$E2430+1</f>
        <v>111</v>
      </c>
      <c r="L2430" s="14">
        <f>IF($J2430=0,0,ROUND(MAX($J2430*1.4,1620000*(1.497923^(MIN($E2430,123)-117)))*1,0))</f>
        <v>135940</v>
      </c>
      <c r="M2430" s="11">
        <f>$E2430+2</f>
        <v>112</v>
      </c>
      <c r="N2430" s="12">
        <f>IF($J2430=0,0,ROUND(MAX($J2430*1.4*1.5,2190000*(1.580994^(MIN($E2430,123)-117)))*1,0))</f>
        <v>203910</v>
      </c>
      <c r="O2430" s="13">
        <f>$E2430+4</f>
        <v>114</v>
      </c>
      <c r="P2430" s="14">
        <f>IF($J2430=0,0,ROUND(MAX($J2430*1.4*1.5*1.6,3500000*(1.57975^(MIN($E2430,123)-117)))*1,0))</f>
        <v>326256</v>
      </c>
      <c r="Q2430" s="11">
        <f>$E2430+6</f>
        <v>116</v>
      </c>
      <c r="R2430" s="12">
        <f>IF($J2430=0,0,ROUND(MAX($J2430*1.4*1.5*1.6*1.6,13100000*(1.429962^(MIN($E2430,123)-117)))*1,0))</f>
        <v>1071519</v>
      </c>
      <c r="S2430" s="13">
        <f>$E2430+8</f>
        <v>118</v>
      </c>
      <c r="T2430" s="14">
        <f>IF($J2430=0,0,ROUND(MAX($J2430*1.4*1.5*1.6*1.6*2.2,42600000*(1.576904^(MIN($E2430,123)-117)))*1,0))</f>
        <v>1757004</v>
      </c>
      <c r="U2430" s="11">
        <f>$E2430+11</f>
        <v>121</v>
      </c>
      <c r="V2430" s="12">
        <f>IF($J2430=0,0,ROUND(MAX($J2430*1.4*1.5*1.6*1.6*2.2*2.715,354000000*(1.642074^(MIN($E2430,123)-117)))*1,0))</f>
        <v>10996493</v>
      </c>
      <c r="W2430" s="13">
        <f>$E2430+15</f>
        <v>125</v>
      </c>
      <c r="X2430" s="14">
        <f>IF($J2430=0,0,ROUND(MAX($J2430*1.4*1.5*1.6*1.6*2.2*2.715*2.6,3540000000*(1.579646^(MIN($E2430,123)-117)))*1,0))</f>
        <v>144239716</v>
      </c>
      <c r="Y2430" s="11">
        <f>$E2430+17</f>
        <v>127</v>
      </c>
      <c r="Z2430" s="12">
        <f>IF($J2430=0,0,ROUND(MAX($J2430*1.4*1.5*1.6*1.6*2.2*2.715*2.6*1.4,6020000000*(1.651178^(MIN($E2430,123)-117)))*1,0))</f>
        <v>179903344</v>
      </c>
      <c r="AA2430" s="13">
        <f>$E2430+19</f>
        <v>129</v>
      </c>
      <c r="AB2430" s="14">
        <f>IF($J2430=0,0,ROUND(MAX($J2430*1.4*1.5*1.6*1.6*2.2*2.715*2.6*1.4*1.4,8430000000*(1.651435^(MIN($E2430,123)-117)))*1,0))</f>
        <v>251650143</v>
      </c>
      <c r="AC2430" s="11">
        <f>$E2430+21</f>
        <v>131</v>
      </c>
      <c r="AD2430" s="12">
        <f>IF($J2430=0,0,ROUND(MAX($J2430*1.4*1.5*1.6*1.6*2.2*2.715*2.6*1.4*1.4*1.5,12600000000*(1.652953^(MIN($E2430,123)-117)))*1,0))</f>
        <v>373720576</v>
      </c>
      <c r="AE2430" s="13">
        <f>$E2430+24</f>
        <v>134</v>
      </c>
      <c r="AF2430" s="14">
        <f>IF($J2430=0,0,ROUND(MAX($J2430*1.4*1.5*1.6*1.6*2.2*2.715*2.6*1.4*1.4*1.5*1.5,18900000000*(1.65331^(MIN($E2430,123)-117)))*1,0))</f>
        <v>559734088</v>
      </c>
      <c r="AG2430" s="11">
        <f>$E2430+27</f>
        <v>137</v>
      </c>
      <c r="AH2430" s="12">
        <f>IF($J2430=0,0,ROUND(MAX($J2430*1.4*1.5*1.6*1.6*2.2*2.715*2.6*1.4*1.4*1.5*1.5*3.2,60500000000*(1.654288^(MIN($E2430,123)-117)))*1,0))</f>
        <v>1784339701</v>
      </c>
    </row>
    <row r="2431" ht="28" customHeight="1" spans="1:34" x14ac:dyDescent="0.25">
      <c r="A2431">
        <v>2441</v>
      </c>
      <c r="B2431" t="s">
        <v>1471</v>
      </c>
      <c r="C2431" s="10" t="s">
        <v>1421</v>
      </c>
      <c r="D2431" t="s">
        <v>45</v>
      </c>
      <c r="E2431">
        <v>110</v>
      </c>
      <c r="F2431" t="s">
        <v>136</v>
      </c>
      <c r="G2431" t="s">
        <v>729</v>
      </c>
      <c r="H2431">
        <v>25</v>
      </c>
      <c r="I2431" s="11">
        <v>110</v>
      </c>
      <c r="J2431" s="12">
        <v>65700</v>
      </c>
      <c r="K2431" s="13">
        <f>$E2431+1</f>
        <v>111</v>
      </c>
      <c r="L2431" s="14">
        <f>IF($J2431=0,0,ROUND(MAX($J2431*1.4,1620000*(1.497923^(MIN($E2431,123)-117)))*1,0))</f>
        <v>95739</v>
      </c>
      <c r="M2431" s="11">
        <f>$E2431+2</f>
        <v>112</v>
      </c>
      <c r="N2431" s="12">
        <f>IF($J2431=0,0,ROUND(MAX($J2431*1.4*1.5,2190000*(1.580994^(MIN($E2431,123)-117)))*1,0))</f>
        <v>137970</v>
      </c>
      <c r="O2431" s="13">
        <f>$E2431+4</f>
        <v>114</v>
      </c>
      <c r="P2431" s="14">
        <f>IF($J2431=0,0,ROUND(MAX($J2431*1.4*1.5*1.6,3500000*(1.57975^(MIN($E2431,123)-117)))*1,0))</f>
        <v>220752</v>
      </c>
      <c r="Q2431" s="11">
        <f>$E2431+6</f>
        <v>116</v>
      </c>
      <c r="R2431" s="12">
        <f>IF($J2431=0,0,ROUND(MAX($J2431*1.4*1.5*1.6*1.6,13100000*(1.429962^(MIN($E2431,123)-117)))*1,0))</f>
        <v>1071519</v>
      </c>
      <c r="S2431" s="13">
        <f>$E2431+8</f>
        <v>118</v>
      </c>
      <c r="T2431" s="14">
        <f>IF($J2431=0,0,ROUND(MAX($J2431*1.4*1.5*1.6*1.6*2.2,42600000*(1.576904^(MIN($E2431,123)-117)))*1,0))</f>
        <v>1757004</v>
      </c>
      <c r="U2431" s="11">
        <f>$E2431+11</f>
        <v>121</v>
      </c>
      <c r="V2431" s="12">
        <f>IF($J2431=0,0,ROUND(MAX($J2431*1.4*1.5*1.6*1.6*2.2*2.715,354000000*(1.642074^(MIN($E2431,123)-117)))*1,0))</f>
        <v>10996493</v>
      </c>
      <c r="W2431" s="13">
        <f>$E2431+15</f>
        <v>125</v>
      </c>
      <c r="X2431" s="14">
        <f>IF($J2431=0,0,ROUND(MAX($J2431*1.4*1.5*1.6*1.6*2.2*2.715*2.6,3540000000*(1.579646^(MIN($E2431,123)-117)))*1,0))</f>
        <v>144239716</v>
      </c>
      <c r="Y2431" s="11">
        <f>$E2431+17</f>
        <v>127</v>
      </c>
      <c r="Z2431" s="12">
        <f>IF($J2431=0,0,ROUND(MAX($J2431*1.4*1.5*1.6*1.6*2.2*2.715*2.6*1.4,6020000000*(1.651178^(MIN($E2431,123)-117)))*1,0))</f>
        <v>179903344</v>
      </c>
      <c r="AA2431" s="13">
        <f>$E2431+19</f>
        <v>129</v>
      </c>
      <c r="AB2431" s="14">
        <f>IF($J2431=0,0,ROUND(MAX($J2431*1.4*1.5*1.6*1.6*2.2*2.715*2.6*1.4*1.4,8430000000*(1.651435^(MIN($E2431,123)-117)))*1,0))</f>
        <v>251650143</v>
      </c>
      <c r="AC2431" s="11">
        <f>$E2431+21</f>
        <v>131</v>
      </c>
      <c r="AD2431" s="12">
        <f>IF($J2431=0,0,ROUND(MAX($J2431*1.4*1.5*1.6*1.6*2.2*2.715*2.6*1.4*1.4*1.5,12600000000*(1.652953^(MIN($E2431,123)-117)))*1,0))</f>
        <v>373720576</v>
      </c>
      <c r="AE2431" s="13">
        <f>$E2431+24</f>
        <v>134</v>
      </c>
      <c r="AF2431" s="14">
        <f>IF($J2431=0,0,ROUND(MAX($J2431*1.4*1.5*1.6*1.6*2.2*2.715*2.6*1.4*1.4*1.5*1.5,18900000000*(1.65331^(MIN($E2431,123)-117)))*1,0))</f>
        <v>559734088</v>
      </c>
      <c r="AG2431" s="11">
        <f>$E2431+27</f>
        <v>137</v>
      </c>
      <c r="AH2431" s="12">
        <f>IF($J2431=0,0,ROUND(MAX($J2431*1.4*1.5*1.6*1.6*2.2*2.715*2.6*1.4*1.4*1.5*1.5*3.2,60500000000*(1.654288^(MIN($E2431,123)-117)))*1,0))</f>
        <v>1784339701</v>
      </c>
    </row>
    <row r="2432" ht="28" customHeight="1" spans="1:34" x14ac:dyDescent="0.25">
      <c r="A2432">
        <v>2442</v>
      </c>
      <c r="B2432" t="s">
        <v>1472</v>
      </c>
      <c r="C2432" s="10" t="s">
        <v>1421</v>
      </c>
      <c r="D2432" t="s">
        <v>102</v>
      </c>
      <c r="E2432">
        <v>110</v>
      </c>
      <c r="F2432" t="s">
        <v>146</v>
      </c>
      <c r="G2432" t="s">
        <v>95</v>
      </c>
      <c r="H2432">
        <v>25</v>
      </c>
      <c r="I2432" s="11">
        <v>110</v>
      </c>
      <c r="J2432" s="12">
        <v>161000</v>
      </c>
      <c r="K2432" s="13">
        <f>$E2432+1</f>
        <v>111</v>
      </c>
      <c r="L2432" s="14">
        <f>IF($J2432=0,0,ROUND(MAX($J2432*1.4,1620000*(1.497923^(MIN($E2432,123)-117)))*1,0))</f>
        <v>225400</v>
      </c>
      <c r="M2432" s="11">
        <f>$E2432+2</f>
        <v>112</v>
      </c>
      <c r="N2432" s="12">
        <f>IF($J2432=0,0,ROUND(MAX($J2432*1.4*1.5,2190000*(1.580994^(MIN($E2432,123)-117)))*1,0))</f>
        <v>338100</v>
      </c>
      <c r="O2432" s="13">
        <f>$E2432+4</f>
        <v>114</v>
      </c>
      <c r="P2432" s="14">
        <f>IF($J2432=0,0,ROUND(MAX($J2432*1.4*1.5*1.6,3500000*(1.57975^(MIN($E2432,123)-117)))*1,0))</f>
        <v>540960</v>
      </c>
      <c r="Q2432" s="11">
        <f>$E2432+6</f>
        <v>116</v>
      </c>
      <c r="R2432" s="12">
        <f>IF($J2432=0,0,ROUND(MAX($J2432*1.4*1.5*1.6*1.6,13100000*(1.429962^(MIN($E2432,123)-117)))*1,0))</f>
        <v>1071519</v>
      </c>
      <c r="S2432" s="13">
        <f>$E2432+8</f>
        <v>118</v>
      </c>
      <c r="T2432" s="14">
        <f>IF($J2432=0,0,ROUND(MAX($J2432*1.4*1.5*1.6*1.6*2.2,42600000*(1.576904^(MIN($E2432,123)-117)))*1,0))</f>
        <v>1904179</v>
      </c>
      <c r="U2432" s="11">
        <f>$E2432+11</f>
        <v>121</v>
      </c>
      <c r="V2432" s="12">
        <f>IF($J2432=0,0,ROUND(MAX($J2432*1.4*1.5*1.6*1.6*2.2*2.715,354000000*(1.642074^(MIN($E2432,123)-117)))*1,0))</f>
        <v>10996493</v>
      </c>
      <c r="W2432" s="13">
        <f>$E2432+15</f>
        <v>125</v>
      </c>
      <c r="X2432" s="14">
        <f>IF($J2432=0,0,ROUND(MAX($J2432*1.4*1.5*1.6*1.6*2.2*2.715*2.6,3540000000*(1.579646^(MIN($E2432,123)-117)))*1,0))</f>
        <v>144239716</v>
      </c>
      <c r="Y2432" s="11">
        <f>$E2432+17</f>
        <v>127</v>
      </c>
      <c r="Z2432" s="12">
        <f>IF($J2432=0,0,ROUND(MAX($J2432*1.4*1.5*1.6*1.6*2.2*2.715*2.6*1.4,6020000000*(1.651178^(MIN($E2432,123)-117)))*1,0))</f>
        <v>179903344</v>
      </c>
      <c r="AA2432" s="13">
        <f>$E2432+19</f>
        <v>129</v>
      </c>
      <c r="AB2432" s="14">
        <f>IF($J2432=0,0,ROUND(MAX($J2432*1.4*1.5*1.6*1.6*2.2*2.715*2.6*1.4*1.4,8430000000*(1.651435^(MIN($E2432,123)-117)))*1,0))</f>
        <v>251650143</v>
      </c>
      <c r="AC2432" s="11">
        <f>$E2432+21</f>
        <v>131</v>
      </c>
      <c r="AD2432" s="12">
        <f>IF($J2432=0,0,ROUND(MAX($J2432*1.4*1.5*1.6*1.6*2.2*2.715*2.6*1.4*1.4*1.5,12600000000*(1.652953^(MIN($E2432,123)-117)))*1,0))</f>
        <v>373720576</v>
      </c>
      <c r="AE2432" s="13">
        <f>$E2432+24</f>
        <v>134</v>
      </c>
      <c r="AF2432" s="14">
        <f>IF($J2432=0,0,ROUND(MAX($J2432*1.4*1.5*1.6*1.6*2.2*2.715*2.6*1.4*1.4*1.5*1.5,18900000000*(1.65331^(MIN($E2432,123)-117)))*1,0))</f>
        <v>559734088</v>
      </c>
      <c r="AG2432" s="11">
        <f>$E2432+27</f>
        <v>137</v>
      </c>
      <c r="AH2432" s="12">
        <f>IF($J2432=0,0,ROUND(MAX($J2432*1.4*1.5*1.6*1.6*2.2*2.715*2.6*1.4*1.4*1.5*1.5*3.2,60500000000*(1.654288^(MIN($E2432,123)-117)))*1,0))</f>
        <v>1784339701</v>
      </c>
    </row>
    <row r="2433" ht="28" customHeight="1" spans="1:34" x14ac:dyDescent="0.25">
      <c r="A2433">
        <v>2443</v>
      </c>
      <c r="B2433" t="s">
        <v>1245</v>
      </c>
      <c r="C2433" s="10" t="s">
        <v>1421</v>
      </c>
      <c r="D2433" t="s">
        <v>33</v>
      </c>
      <c r="E2433">
        <v>110</v>
      </c>
      <c r="F2433" t="s">
        <v>298</v>
      </c>
      <c r="G2433" t="s">
        <v>86</v>
      </c>
      <c r="H2433">
        <v>25</v>
      </c>
      <c r="I2433" s="11">
        <v>110</v>
      </c>
      <c r="J2433" s="12">
        <v>274000</v>
      </c>
      <c r="K2433" s="13">
        <f>$E2433+1</f>
        <v>111</v>
      </c>
      <c r="L2433" s="14">
        <f>IF($J2433=0,0,ROUND(MAX($J2433*1.4,1620000*(1.497923^(MIN($E2433,123)-117)))*1,0))</f>
        <v>383600</v>
      </c>
      <c r="M2433" s="11">
        <f>$E2433+2</f>
        <v>112</v>
      </c>
      <c r="N2433" s="12">
        <f>IF($J2433=0,0,ROUND(MAX($J2433*1.4*1.5,2190000*(1.580994^(MIN($E2433,123)-117)))*1,0))</f>
        <v>575400</v>
      </c>
      <c r="O2433" s="13">
        <f>$E2433+4</f>
        <v>114</v>
      </c>
      <c r="P2433" s="14">
        <f>IF($J2433=0,0,ROUND(MAX($J2433*1.4*1.5*1.6,3500000*(1.57975^(MIN($E2433,123)-117)))*1,0))</f>
        <v>920640</v>
      </c>
      <c r="Q2433" s="11">
        <f>$E2433+6</f>
        <v>116</v>
      </c>
      <c r="R2433" s="12">
        <f>IF($J2433=0,0,ROUND(MAX($J2433*1.4*1.5*1.6*1.6,13100000*(1.429962^(MIN($E2433,123)-117)))*1,0))</f>
        <v>1473024</v>
      </c>
      <c r="S2433" s="13">
        <f>$E2433+8</f>
        <v>118</v>
      </c>
      <c r="T2433" s="14">
        <f>IF($J2433=0,0,ROUND(MAX($J2433*1.4*1.5*1.6*1.6*2.2,42600000*(1.576904^(MIN($E2433,123)-117)))*1,0))</f>
        <v>3240653</v>
      </c>
      <c r="U2433" s="11">
        <f>$E2433+11</f>
        <v>121</v>
      </c>
      <c r="V2433" s="12">
        <f>IF($J2433=0,0,ROUND(MAX($J2433*1.4*1.5*1.6*1.6*2.2*2.715,354000000*(1.642074^(MIN($E2433,123)-117)))*1,0))</f>
        <v>10996493</v>
      </c>
      <c r="W2433" s="13">
        <f>$E2433+15</f>
        <v>125</v>
      </c>
      <c r="X2433" s="14">
        <f>IF($J2433=0,0,ROUND(MAX($J2433*1.4*1.5*1.6*1.6*2.2*2.715*2.6,3540000000*(1.579646^(MIN($E2433,123)-117)))*1,0))</f>
        <v>144239716</v>
      </c>
      <c r="Y2433" s="11">
        <f>$E2433+17</f>
        <v>127</v>
      </c>
      <c r="Z2433" s="12">
        <f>IF($J2433=0,0,ROUND(MAX($J2433*1.4*1.5*1.6*1.6*2.2*2.715*2.6*1.4,6020000000*(1.651178^(MIN($E2433,123)-117)))*1,0))</f>
        <v>179903344</v>
      </c>
      <c r="AA2433" s="13">
        <f>$E2433+19</f>
        <v>129</v>
      </c>
      <c r="AB2433" s="14">
        <f>IF($J2433=0,0,ROUND(MAX($J2433*1.4*1.5*1.6*1.6*2.2*2.715*2.6*1.4*1.4,8430000000*(1.651435^(MIN($E2433,123)-117)))*1,0))</f>
        <v>251650143</v>
      </c>
      <c r="AC2433" s="11">
        <f>$E2433+21</f>
        <v>131</v>
      </c>
      <c r="AD2433" s="12">
        <f>IF($J2433=0,0,ROUND(MAX($J2433*1.4*1.5*1.6*1.6*2.2*2.715*2.6*1.4*1.4*1.5,12600000000*(1.652953^(MIN($E2433,123)-117)))*1,0))</f>
        <v>373720576</v>
      </c>
      <c r="AE2433" s="13">
        <f>$E2433+24</f>
        <v>134</v>
      </c>
      <c r="AF2433" s="14">
        <f>IF($J2433=0,0,ROUND(MAX($J2433*1.4*1.5*1.6*1.6*2.2*2.715*2.6*1.4*1.4*1.5*1.5,18900000000*(1.65331^(MIN($E2433,123)-117)))*1,0))</f>
        <v>559734088</v>
      </c>
      <c r="AG2433" s="11">
        <f>$E2433+27</f>
        <v>137</v>
      </c>
      <c r="AH2433" s="12">
        <f>IF($J2433=0,0,ROUND(MAX($J2433*1.4*1.5*1.6*1.6*2.2*2.715*2.6*1.4*1.4*1.5*1.5*3.2,60500000000*(1.654288^(MIN($E2433,123)-117)))*1,0))</f>
        <v>1784339701</v>
      </c>
    </row>
    <row r="2434" ht="28" customHeight="1" spans="1:34" x14ac:dyDescent="0.25">
      <c r="A2434">
        <v>2444</v>
      </c>
      <c r="B2434" t="s">
        <v>1335</v>
      </c>
      <c r="C2434" s="10" t="s">
        <v>1421</v>
      </c>
      <c r="D2434" t="s">
        <v>25</v>
      </c>
      <c r="E2434">
        <v>110</v>
      </c>
      <c r="F2434" t="s">
        <v>30</v>
      </c>
      <c r="G2434" t="s">
        <v>1473</v>
      </c>
      <c r="H2434">
        <v>25</v>
      </c>
      <c r="I2434" s="11">
        <v>110</v>
      </c>
      <c r="J2434" s="12">
        <v>946000</v>
      </c>
      <c r="K2434" s="13">
        <f>$E2434+1</f>
        <v>111</v>
      </c>
      <c r="L2434" s="14">
        <f>IF($J2434=0,0,ROUND(MAX($J2434*1.4,1620000*(1.497923^(MIN($E2434,123)-117)))*1,0))</f>
        <v>1324400</v>
      </c>
      <c r="M2434" s="11">
        <f>$E2434+2</f>
        <v>112</v>
      </c>
      <c r="N2434" s="12">
        <f>IF($J2434=0,0,ROUND(MAX($J2434*1.4*1.5,2190000*(1.580994^(MIN($E2434,123)-117)))*1,0))</f>
        <v>1986600</v>
      </c>
      <c r="O2434" s="13">
        <f>$E2434+4</f>
        <v>114</v>
      </c>
      <c r="P2434" s="14">
        <f>IF($J2434=0,0,ROUND(MAX($J2434*1.4*1.5*1.6,3500000*(1.57975^(MIN($E2434,123)-117)))*1,0))</f>
        <v>3178560</v>
      </c>
      <c r="Q2434" s="11">
        <f>$E2434+6</f>
        <v>116</v>
      </c>
      <c r="R2434" s="12">
        <f>IF($J2434=0,0,ROUND(MAX($J2434*1.4*1.5*1.6*1.6,13100000*(1.429962^(MIN($E2434,123)-117)))*1,0))</f>
        <v>5085696</v>
      </c>
      <c r="S2434" s="13">
        <f>$E2434+8</f>
        <v>118</v>
      </c>
      <c r="T2434" s="14">
        <f>IF($J2434=0,0,ROUND(MAX($J2434*1.4*1.5*1.6*1.6*2.2,42600000*(1.576904^(MIN($E2434,123)-117)))*1,0))</f>
        <v>11188531</v>
      </c>
      <c r="U2434" s="11">
        <f>$E2434+11</f>
        <v>121</v>
      </c>
      <c r="V2434" s="12">
        <f>IF($J2434=0,0,ROUND(MAX($J2434*1.4*1.5*1.6*1.6*2.2*2.715,354000000*(1.642074^(MIN($E2434,123)-117)))*1,0))</f>
        <v>30376862</v>
      </c>
      <c r="W2434" s="13">
        <f>$E2434+15</f>
        <v>125</v>
      </c>
      <c r="X2434" s="14">
        <f>IF($J2434=0,0,ROUND(MAX($J2434*1.4*1.5*1.6*1.6*2.2*2.715*2.6,3540000000*(1.579646^(MIN($E2434,123)-117)))*1,0))</f>
        <v>144239716</v>
      </c>
      <c r="Y2434" s="11">
        <f>$E2434+17</f>
        <v>127</v>
      </c>
      <c r="Z2434" s="12">
        <f>IF($J2434=0,0,ROUND(MAX($J2434*1.4*1.5*1.6*1.6*2.2*2.715*2.6*1.4,6020000000*(1.651178^(MIN($E2434,123)-117)))*1,0))</f>
        <v>179903344</v>
      </c>
      <c r="AA2434" s="13">
        <f>$E2434+19</f>
        <v>129</v>
      </c>
      <c r="AB2434" s="14">
        <f>IF($J2434=0,0,ROUND(MAX($J2434*1.4*1.5*1.6*1.6*2.2*2.715*2.6*1.4*1.4,8430000000*(1.651435^(MIN($E2434,123)-117)))*1,0))</f>
        <v>251650143</v>
      </c>
      <c r="AC2434" s="11">
        <f>$E2434+21</f>
        <v>131</v>
      </c>
      <c r="AD2434" s="12">
        <f>IF($J2434=0,0,ROUND(MAX($J2434*1.4*1.5*1.6*1.6*2.2*2.715*2.6*1.4*1.4*1.5,12600000000*(1.652953^(MIN($E2434,123)-117)))*1,0))</f>
        <v>373720576</v>
      </c>
      <c r="AE2434" s="13">
        <f>$E2434+24</f>
        <v>134</v>
      </c>
      <c r="AF2434" s="14">
        <f>IF($J2434=0,0,ROUND(MAX($J2434*1.4*1.5*1.6*1.6*2.2*2.715*2.6*1.4*1.4*1.5*1.5,18900000000*(1.65331^(MIN($E2434,123)-117)))*1,0))</f>
        <v>559734088</v>
      </c>
      <c r="AG2434" s="11">
        <f>$E2434+27</f>
        <v>137</v>
      </c>
      <c r="AH2434" s="12">
        <f>IF($J2434=0,0,ROUND(MAX($J2434*1.4*1.5*1.6*1.6*2.2*2.715*2.6*1.4*1.4*1.5*1.5*3.2,60500000000*(1.654288^(MIN($E2434,123)-117)))*1,0))</f>
        <v>1784339701</v>
      </c>
    </row>
    <row r="2435" ht="28" customHeight="1" spans="1:34" x14ac:dyDescent="0.25">
      <c r="A2435">
        <v>2445</v>
      </c>
      <c r="B2435" t="s">
        <v>1275</v>
      </c>
      <c r="C2435" s="10" t="s">
        <v>1421</v>
      </c>
      <c r="D2435" t="s">
        <v>45</v>
      </c>
      <c r="E2435">
        <v>110</v>
      </c>
      <c r="F2435" t="s">
        <v>313</v>
      </c>
      <c r="G2435" t="s">
        <v>930</v>
      </c>
      <c r="H2435">
        <v>25</v>
      </c>
      <c r="I2435" s="11">
        <v>110</v>
      </c>
      <c r="J2435" s="12">
        <v>57900</v>
      </c>
      <c r="K2435" s="13">
        <f>$E2435+1</f>
        <v>111</v>
      </c>
      <c r="L2435" s="14">
        <f>IF($J2435=0,0,ROUND(MAX($J2435*1.4,1620000*(1.497923^(MIN($E2435,123)-117)))*1,0))</f>
        <v>95739</v>
      </c>
      <c r="M2435" s="11">
        <f>$E2435+2</f>
        <v>112</v>
      </c>
      <c r="N2435" s="12">
        <f>IF($J2435=0,0,ROUND(MAX($J2435*1.4*1.5,2190000*(1.580994^(MIN($E2435,123)-117)))*1,0))</f>
        <v>121590</v>
      </c>
      <c r="O2435" s="13">
        <f>$E2435+4</f>
        <v>114</v>
      </c>
      <c r="P2435" s="14">
        <f>IF($J2435=0,0,ROUND(MAX($J2435*1.4*1.5*1.6,3500000*(1.57975^(MIN($E2435,123)-117)))*1,0))</f>
        <v>194544</v>
      </c>
      <c r="Q2435" s="11">
        <f>$E2435+6</f>
        <v>116</v>
      </c>
      <c r="R2435" s="12">
        <f>IF($J2435=0,0,ROUND(MAX($J2435*1.4*1.5*1.6*1.6,13100000*(1.429962^(MIN($E2435,123)-117)))*1,0))</f>
        <v>1071519</v>
      </c>
      <c r="S2435" s="13">
        <f>$E2435+8</f>
        <v>118</v>
      </c>
      <c r="T2435" s="14">
        <f>IF($J2435=0,0,ROUND(MAX($J2435*1.4*1.5*1.6*1.6*2.2,42600000*(1.576904^(MIN($E2435,123)-117)))*1,0))</f>
        <v>1757004</v>
      </c>
      <c r="U2435" s="11">
        <f>$E2435+11</f>
        <v>121</v>
      </c>
      <c r="V2435" s="12">
        <f>IF($J2435=0,0,ROUND(MAX($J2435*1.4*1.5*1.6*1.6*2.2*2.715,354000000*(1.642074^(MIN($E2435,123)-117)))*1,0))</f>
        <v>10996493</v>
      </c>
      <c r="W2435" s="13">
        <f>$E2435+15</f>
        <v>125</v>
      </c>
      <c r="X2435" s="14">
        <f>IF($J2435=0,0,ROUND(MAX($J2435*1.4*1.5*1.6*1.6*2.2*2.715*2.6,3540000000*(1.579646^(MIN($E2435,123)-117)))*1,0))</f>
        <v>144239716</v>
      </c>
      <c r="Y2435" s="11">
        <f>$E2435+17</f>
        <v>127</v>
      </c>
      <c r="Z2435" s="12">
        <f>IF($J2435=0,0,ROUND(MAX($J2435*1.4*1.5*1.6*1.6*2.2*2.715*2.6*1.4,6020000000*(1.651178^(MIN($E2435,123)-117)))*1,0))</f>
        <v>179903344</v>
      </c>
      <c r="AA2435" s="13">
        <f>$E2435+19</f>
        <v>129</v>
      </c>
      <c r="AB2435" s="14">
        <f>IF($J2435=0,0,ROUND(MAX($J2435*1.4*1.5*1.6*1.6*2.2*2.715*2.6*1.4*1.4,8430000000*(1.651435^(MIN($E2435,123)-117)))*1,0))</f>
        <v>251650143</v>
      </c>
      <c r="AC2435" s="11">
        <f>$E2435+21</f>
        <v>131</v>
      </c>
      <c r="AD2435" s="12">
        <f>IF($J2435=0,0,ROUND(MAX($J2435*1.4*1.5*1.6*1.6*2.2*2.715*2.6*1.4*1.4*1.5,12600000000*(1.652953^(MIN($E2435,123)-117)))*1,0))</f>
        <v>373720576</v>
      </c>
      <c r="AE2435" s="13">
        <f>$E2435+24</f>
        <v>134</v>
      </c>
      <c r="AF2435" s="14">
        <f>IF($J2435=0,0,ROUND(MAX($J2435*1.4*1.5*1.6*1.6*2.2*2.715*2.6*1.4*1.4*1.5*1.5,18900000000*(1.65331^(MIN($E2435,123)-117)))*1,0))</f>
        <v>559734088</v>
      </c>
      <c r="AG2435" s="11">
        <f>$E2435+27</f>
        <v>137</v>
      </c>
      <c r="AH2435" s="12">
        <f>IF($J2435=0,0,ROUND(MAX($J2435*1.4*1.5*1.6*1.6*2.2*2.715*2.6*1.4*1.4*1.5*1.5*3.2,60500000000*(1.654288^(MIN($E2435,123)-117)))*1,0))</f>
        <v>1784339701</v>
      </c>
    </row>
    <row r="2436" ht="28" customHeight="1" spans="1:34" x14ac:dyDescent="0.25">
      <c r="A2436">
        <v>2446</v>
      </c>
      <c r="B2436" t="s">
        <v>1076</v>
      </c>
      <c r="C2436" s="10" t="s">
        <v>1421</v>
      </c>
      <c r="D2436" t="s">
        <v>33</v>
      </c>
      <c r="E2436">
        <v>110</v>
      </c>
      <c r="F2436" t="s">
        <v>56</v>
      </c>
      <c r="G2436" t="s">
        <v>402</v>
      </c>
      <c r="H2436">
        <v>25</v>
      </c>
      <c r="I2436" s="11">
        <v>110</v>
      </c>
      <c r="J2436" s="12">
        <v>88900</v>
      </c>
      <c r="K2436" s="13">
        <f>$E2436+1</f>
        <v>111</v>
      </c>
      <c r="L2436" s="14">
        <f>IF($J2436=0,0,ROUND(MAX($J2436*1.4,1620000*(1.497923^(MIN($E2436,123)-117)))*1,0))</f>
        <v>124460</v>
      </c>
      <c r="M2436" s="11">
        <f>$E2436+2</f>
        <v>112</v>
      </c>
      <c r="N2436" s="12">
        <f>IF($J2436=0,0,ROUND(MAX($J2436*1.4*1.5,2190000*(1.580994^(MIN($E2436,123)-117)))*1,0))</f>
        <v>186690</v>
      </c>
      <c r="O2436" s="13">
        <f>$E2436+4</f>
        <v>114</v>
      </c>
      <c r="P2436" s="14">
        <f>IF($J2436=0,0,ROUND(MAX($J2436*1.4*1.5*1.6,3500000*(1.57975^(MIN($E2436,123)-117)))*1,0))</f>
        <v>298704</v>
      </c>
      <c r="Q2436" s="11">
        <f>$E2436+6</f>
        <v>116</v>
      </c>
      <c r="R2436" s="12">
        <f>IF($J2436=0,0,ROUND(MAX($J2436*1.4*1.5*1.6*1.6,13100000*(1.429962^(MIN($E2436,123)-117)))*1,0))</f>
        <v>1071519</v>
      </c>
      <c r="S2436" s="13">
        <f>$E2436+8</f>
        <v>118</v>
      </c>
      <c r="T2436" s="14">
        <f>IF($J2436=0,0,ROUND(MAX($J2436*1.4*1.5*1.6*1.6*2.2,42600000*(1.576904^(MIN($E2436,123)-117)))*1,0))</f>
        <v>1757004</v>
      </c>
      <c r="U2436" s="11">
        <f>$E2436+11</f>
        <v>121</v>
      </c>
      <c r="V2436" s="12">
        <f>IF($J2436=0,0,ROUND(MAX($J2436*1.4*1.5*1.6*1.6*2.2*2.715,354000000*(1.642074^(MIN($E2436,123)-117)))*1,0))</f>
        <v>10996493</v>
      </c>
      <c r="W2436" s="13">
        <f>$E2436+15</f>
        <v>125</v>
      </c>
      <c r="X2436" s="14">
        <f>IF($J2436=0,0,ROUND(MAX($J2436*1.4*1.5*1.6*1.6*2.2*2.715*2.6,3540000000*(1.579646^(MIN($E2436,123)-117)))*1,0))</f>
        <v>144239716</v>
      </c>
      <c r="Y2436" s="11">
        <f>$E2436+17</f>
        <v>127</v>
      </c>
      <c r="Z2436" s="12">
        <f>IF($J2436=0,0,ROUND(MAX($J2436*1.4*1.5*1.6*1.6*2.2*2.715*2.6*1.4,6020000000*(1.651178^(MIN($E2436,123)-117)))*1,0))</f>
        <v>179903344</v>
      </c>
      <c r="AA2436" s="13">
        <f>$E2436+19</f>
        <v>129</v>
      </c>
      <c r="AB2436" s="14">
        <f>IF($J2436=0,0,ROUND(MAX($J2436*1.4*1.5*1.6*1.6*2.2*2.715*2.6*1.4*1.4,8430000000*(1.651435^(MIN($E2436,123)-117)))*1,0))</f>
        <v>251650143</v>
      </c>
      <c r="AC2436" s="11">
        <f>$E2436+21</f>
        <v>131</v>
      </c>
      <c r="AD2436" s="12">
        <f>IF($J2436=0,0,ROUND(MAX($J2436*1.4*1.5*1.6*1.6*2.2*2.715*2.6*1.4*1.4*1.5,12600000000*(1.652953^(MIN($E2436,123)-117)))*1,0))</f>
        <v>373720576</v>
      </c>
      <c r="AE2436" s="13">
        <f>$E2436+24</f>
        <v>134</v>
      </c>
      <c r="AF2436" s="14">
        <f>IF($J2436=0,0,ROUND(MAX($J2436*1.4*1.5*1.6*1.6*2.2*2.715*2.6*1.4*1.4*1.5*1.5,18900000000*(1.65331^(MIN($E2436,123)-117)))*1,0))</f>
        <v>559734088</v>
      </c>
      <c r="AG2436" s="11">
        <f>$E2436+27</f>
        <v>137</v>
      </c>
      <c r="AH2436" s="12">
        <f>IF($J2436=0,0,ROUND(MAX($J2436*1.4*1.5*1.6*1.6*2.2*2.715*2.6*1.4*1.4*1.5*1.5*3.2,60500000000*(1.654288^(MIN($E2436,123)-117)))*1,0))</f>
        <v>1784339701</v>
      </c>
    </row>
    <row r="2437" ht="28" customHeight="1" spans="1:34" x14ac:dyDescent="0.25">
      <c r="A2437">
        <v>2447</v>
      </c>
      <c r="B2437" t="s">
        <v>1338</v>
      </c>
      <c r="C2437" s="10" t="s">
        <v>1421</v>
      </c>
      <c r="D2437" t="s">
        <v>64</v>
      </c>
      <c r="E2437">
        <v>110</v>
      </c>
      <c r="F2437" t="s">
        <v>194</v>
      </c>
      <c r="G2437" t="s">
        <v>1339</v>
      </c>
      <c r="H2437">
        <v>25</v>
      </c>
      <c r="I2437" s="11">
        <v>110</v>
      </c>
      <c r="J2437" s="12">
        <v>138000</v>
      </c>
      <c r="K2437" s="13">
        <f>$E2437+1</f>
        <v>111</v>
      </c>
      <c r="L2437" s="14">
        <f>IF($J2437=0,0,ROUND(MAX($J2437*1.4,1620000*(1.497923^(MIN($E2437,123)-117)))*1,0))</f>
        <v>193200</v>
      </c>
      <c r="M2437" s="11">
        <f>$E2437+2</f>
        <v>112</v>
      </c>
      <c r="N2437" s="12">
        <f>IF($J2437=0,0,ROUND(MAX($J2437*1.4*1.5,2190000*(1.580994^(MIN($E2437,123)-117)))*1,0))</f>
        <v>289800</v>
      </c>
      <c r="O2437" s="13">
        <f>$E2437+4</f>
        <v>114</v>
      </c>
      <c r="P2437" s="14">
        <f>IF($J2437=0,0,ROUND(MAX($J2437*1.4*1.5*1.6,3500000*(1.57975^(MIN($E2437,123)-117)))*1,0))</f>
        <v>463680</v>
      </c>
      <c r="Q2437" s="11">
        <f>$E2437+6</f>
        <v>116</v>
      </c>
      <c r="R2437" s="12">
        <f>IF($J2437=0,0,ROUND(MAX($J2437*1.4*1.5*1.6*1.6,13100000*(1.429962^(MIN($E2437,123)-117)))*1,0))</f>
        <v>1071519</v>
      </c>
      <c r="S2437" s="13">
        <f>$E2437+8</f>
        <v>118</v>
      </c>
      <c r="T2437" s="14">
        <f>IF($J2437=0,0,ROUND(MAX($J2437*1.4*1.5*1.6*1.6*2.2,42600000*(1.576904^(MIN($E2437,123)-117)))*1,0))</f>
        <v>1757004</v>
      </c>
      <c r="U2437" s="11">
        <f>$E2437+11</f>
        <v>121</v>
      </c>
      <c r="V2437" s="12">
        <f>IF($J2437=0,0,ROUND(MAX($J2437*1.4*1.5*1.6*1.6*2.2*2.715,354000000*(1.642074^(MIN($E2437,123)-117)))*1,0))</f>
        <v>10996493</v>
      </c>
      <c r="W2437" s="13">
        <f>$E2437+15</f>
        <v>125</v>
      </c>
      <c r="X2437" s="14">
        <f>IF($J2437=0,0,ROUND(MAX($J2437*1.4*1.5*1.6*1.6*2.2*2.715*2.6,3540000000*(1.579646^(MIN($E2437,123)-117)))*1,0))</f>
        <v>144239716</v>
      </c>
      <c r="Y2437" s="11">
        <f>$E2437+17</f>
        <v>127</v>
      </c>
      <c r="Z2437" s="12">
        <f>IF($J2437=0,0,ROUND(MAX($J2437*1.4*1.5*1.6*1.6*2.2*2.715*2.6*1.4,6020000000*(1.651178^(MIN($E2437,123)-117)))*1,0))</f>
        <v>179903344</v>
      </c>
      <c r="AA2437" s="13">
        <f>$E2437+19</f>
        <v>129</v>
      </c>
      <c r="AB2437" s="14">
        <f>IF($J2437=0,0,ROUND(MAX($J2437*1.4*1.5*1.6*1.6*2.2*2.715*2.6*1.4*1.4,8430000000*(1.651435^(MIN($E2437,123)-117)))*1,0))</f>
        <v>251650143</v>
      </c>
      <c r="AC2437" s="11">
        <f>$E2437+21</f>
        <v>131</v>
      </c>
      <c r="AD2437" s="12">
        <f>IF($J2437=0,0,ROUND(MAX($J2437*1.4*1.5*1.6*1.6*2.2*2.715*2.6*1.4*1.4*1.5,12600000000*(1.652953^(MIN($E2437,123)-117)))*1,0))</f>
        <v>373720576</v>
      </c>
      <c r="AE2437" s="13">
        <f>$E2437+24</f>
        <v>134</v>
      </c>
      <c r="AF2437" s="14">
        <f>IF($J2437=0,0,ROUND(MAX($J2437*1.4*1.5*1.6*1.6*2.2*2.715*2.6*1.4*1.4*1.5*1.5,18900000000*(1.65331^(MIN($E2437,123)-117)))*1,0))</f>
        <v>559734088</v>
      </c>
      <c r="AG2437" s="11">
        <f>$E2437+27</f>
        <v>137</v>
      </c>
      <c r="AH2437" s="12">
        <f>IF($J2437=0,0,ROUND(MAX($J2437*1.4*1.5*1.6*1.6*2.2*2.715*2.6*1.4*1.4*1.5*1.5*3.2,60500000000*(1.654288^(MIN($E2437,123)-117)))*1,0))</f>
        <v>1784339701</v>
      </c>
    </row>
    <row r="2438" ht="28" customHeight="1" spans="1:34" x14ac:dyDescent="0.25">
      <c r="A2438">
        <v>2448</v>
      </c>
      <c r="B2438" t="s">
        <v>1474</v>
      </c>
      <c r="C2438" s="10" t="s">
        <v>1421</v>
      </c>
      <c r="D2438" t="s">
        <v>331</v>
      </c>
      <c r="E2438">
        <v>110</v>
      </c>
      <c r="F2438" t="s">
        <v>62</v>
      </c>
      <c r="G2438" t="s">
        <v>595</v>
      </c>
      <c r="H2438">
        <v>24</v>
      </c>
      <c r="I2438" s="11">
        <v>110</v>
      </c>
      <c r="J2438" s="12">
        <v>208000</v>
      </c>
      <c r="K2438" s="13">
        <f>$E2438+1</f>
        <v>111</v>
      </c>
      <c r="L2438" s="14">
        <f>IF($J2438=0,0,ROUND(MAX($J2438*1.4,1620000*(1.497923^(MIN($E2438,123)-117)))*1,0))</f>
        <v>291200</v>
      </c>
      <c r="M2438" s="11">
        <f>$E2438+2</f>
        <v>112</v>
      </c>
      <c r="N2438" s="12">
        <f>IF($J2438=0,0,ROUND(MAX($J2438*1.4*1.5,2190000*(1.580994^(MIN($E2438,123)-117)))*1,0))</f>
        <v>436800</v>
      </c>
      <c r="O2438" s="13">
        <f>$E2438+4</f>
        <v>114</v>
      </c>
      <c r="P2438" s="14">
        <f>IF($J2438=0,0,ROUND(MAX($J2438*1.4*1.5*1.6,3500000*(1.57975^(MIN($E2438,123)-117)))*1,0))</f>
        <v>698880</v>
      </c>
      <c r="Q2438" s="11">
        <f>$E2438+6</f>
        <v>116</v>
      </c>
      <c r="R2438" s="12">
        <f>IF($J2438=0,0,ROUND(MAX($J2438*1.4*1.5*1.6*1.6,13100000*(1.429962^(MIN($E2438,123)-117)))*1,0))</f>
        <v>1118208</v>
      </c>
      <c r="S2438" s="13">
        <f>$E2438+8</f>
        <v>118</v>
      </c>
      <c r="T2438" s="14">
        <f>IF($J2438=0,0,ROUND(MAX($J2438*1.4*1.5*1.6*1.6*2.2,42600000*(1.576904^(MIN($E2438,123)-117)))*1,0))</f>
        <v>2460058</v>
      </c>
      <c r="U2438" s="11">
        <f>$E2438+11</f>
        <v>121</v>
      </c>
      <c r="V2438" s="12">
        <f>IF($J2438=0,0,ROUND(MAX($J2438*1.4*1.5*1.6*1.6*2.2*2.715,354000000*(1.642074^(MIN($E2438,123)-117)))*1,0))</f>
        <v>10996493</v>
      </c>
      <c r="W2438" s="13">
        <f>$E2438+15</f>
        <v>125</v>
      </c>
      <c r="X2438" s="14">
        <f>IF($J2438=0,0,ROUND(MAX($J2438*1.4*1.5*1.6*1.6*2.2*2.715*2.6,3540000000*(1.579646^(MIN($E2438,123)-117)))*1,0))</f>
        <v>144239716</v>
      </c>
      <c r="Y2438" s="11">
        <f>$E2438+17</f>
        <v>127</v>
      </c>
      <c r="Z2438" s="12">
        <f>IF($J2438=0,0,ROUND(MAX($J2438*1.4*1.5*1.6*1.6*2.2*2.715*2.6*1.4,6020000000*(1.651178^(MIN($E2438,123)-117)))*1,0))</f>
        <v>179903344</v>
      </c>
      <c r="AA2438" s="13">
        <f>$E2438+19</f>
        <v>129</v>
      </c>
      <c r="AB2438" s="14">
        <f>IF($J2438=0,0,ROUND(MAX($J2438*1.4*1.5*1.6*1.6*2.2*2.715*2.6*1.4*1.4,8430000000*(1.651435^(MIN($E2438,123)-117)))*1,0))</f>
        <v>251650143</v>
      </c>
      <c r="AC2438" s="11">
        <f>$E2438+21</f>
        <v>131</v>
      </c>
      <c r="AD2438" s="12">
        <f>IF($J2438=0,0,ROUND(MAX($J2438*1.4*1.5*1.6*1.6*2.2*2.715*2.6*1.4*1.4*1.5,12600000000*(1.652953^(MIN($E2438,123)-117)))*1,0))</f>
        <v>373720576</v>
      </c>
      <c r="AE2438" s="13">
        <f>$E2438+24</f>
        <v>134</v>
      </c>
      <c r="AF2438" s="14">
        <f>IF($J2438=0,0,ROUND(MAX($J2438*1.4*1.5*1.6*1.6*2.2*2.715*2.6*1.4*1.4*1.5*1.5,18900000000*(1.65331^(MIN($E2438,123)-117)))*1,0))</f>
        <v>559734088</v>
      </c>
      <c r="AG2438" s="11">
        <f>$E2438+27</f>
        <v>137</v>
      </c>
      <c r="AH2438" s="12">
        <f>IF($J2438=0,0,ROUND(MAX($J2438*1.4*1.5*1.6*1.6*2.2*2.715*2.6*1.4*1.4*1.5*1.5*3.2,60500000000*(1.654288^(MIN($E2438,123)-117)))*1,0))</f>
        <v>1784339701</v>
      </c>
    </row>
    <row r="2439" ht="28" customHeight="1" spans="1:34" x14ac:dyDescent="0.25">
      <c r="A2439">
        <v>2449</v>
      </c>
      <c r="B2439" t="s">
        <v>1414</v>
      </c>
      <c r="C2439" s="10" t="s">
        <v>1421</v>
      </c>
      <c r="D2439" t="s">
        <v>75</v>
      </c>
      <c r="E2439">
        <v>110</v>
      </c>
      <c r="F2439" t="s">
        <v>88</v>
      </c>
      <c r="G2439" t="s">
        <v>586</v>
      </c>
      <c r="H2439">
        <v>24</v>
      </c>
      <c r="I2439" s="11">
        <v>110</v>
      </c>
      <c r="J2439" s="12">
        <v>42400</v>
      </c>
      <c r="K2439" s="13">
        <f>$E2439+1</f>
        <v>111</v>
      </c>
      <c r="L2439" s="14">
        <f>IF($J2439=0,0,ROUND(MAX($J2439*1.4,1620000*(1.497923^(MIN($E2439,123)-117)))*1,0))</f>
        <v>95739</v>
      </c>
      <c r="M2439" s="11">
        <f>$E2439+2</f>
        <v>112</v>
      </c>
      <c r="N2439" s="12">
        <f>IF($J2439=0,0,ROUND(MAX($J2439*1.4*1.5,2190000*(1.580994^(MIN($E2439,123)-117)))*1,0))</f>
        <v>89040</v>
      </c>
      <c r="O2439" s="13">
        <f>$E2439+4</f>
        <v>114</v>
      </c>
      <c r="P2439" s="14">
        <f>IF($J2439=0,0,ROUND(MAX($J2439*1.4*1.5*1.6,3500000*(1.57975^(MIN($E2439,123)-117)))*1,0))</f>
        <v>142544</v>
      </c>
      <c r="Q2439" s="11">
        <f>$E2439+6</f>
        <v>116</v>
      </c>
      <c r="R2439" s="12">
        <f>IF($J2439=0,0,ROUND(MAX($J2439*1.4*1.5*1.6*1.6,13100000*(1.429962^(MIN($E2439,123)-117)))*1,0))</f>
        <v>1071519</v>
      </c>
      <c r="S2439" s="13">
        <f>$E2439+8</f>
        <v>118</v>
      </c>
      <c r="T2439" s="14">
        <f>IF($J2439=0,0,ROUND(MAX($J2439*1.4*1.5*1.6*1.6*2.2,42600000*(1.576904^(MIN($E2439,123)-117)))*1,0))</f>
        <v>1757004</v>
      </c>
      <c r="U2439" s="11">
        <f>$E2439+11</f>
        <v>121</v>
      </c>
      <c r="V2439" s="12">
        <f>IF($J2439=0,0,ROUND(MAX($J2439*1.4*1.5*1.6*1.6*2.2*2.715,354000000*(1.642074^(MIN($E2439,123)-117)))*1,0))</f>
        <v>10996493</v>
      </c>
      <c r="W2439" s="13">
        <f>$E2439+15</f>
        <v>125</v>
      </c>
      <c r="X2439" s="14">
        <f>IF($J2439=0,0,ROUND(MAX($J2439*1.4*1.5*1.6*1.6*2.2*2.715*2.6,3540000000*(1.579646^(MIN($E2439,123)-117)))*1,0))</f>
        <v>144239716</v>
      </c>
      <c r="Y2439" s="11">
        <f>$E2439+17</f>
        <v>127</v>
      </c>
      <c r="Z2439" s="12">
        <f>IF($J2439=0,0,ROUND(MAX($J2439*1.4*1.5*1.6*1.6*2.2*2.715*2.6*1.4,6020000000*(1.651178^(MIN($E2439,123)-117)))*1,0))</f>
        <v>179903344</v>
      </c>
      <c r="AA2439" s="13">
        <f>$E2439+19</f>
        <v>129</v>
      </c>
      <c r="AB2439" s="14">
        <f>IF($J2439=0,0,ROUND(MAX($J2439*1.4*1.5*1.6*1.6*2.2*2.715*2.6*1.4*1.4,8430000000*(1.651435^(MIN($E2439,123)-117)))*1,0))</f>
        <v>251650143</v>
      </c>
      <c r="AC2439" s="11">
        <f>$E2439+21</f>
        <v>131</v>
      </c>
      <c r="AD2439" s="12">
        <f>IF($J2439=0,0,ROUND(MAX($J2439*1.4*1.5*1.6*1.6*2.2*2.715*2.6*1.4*1.4*1.5,12600000000*(1.652953^(MIN($E2439,123)-117)))*1,0))</f>
        <v>373720576</v>
      </c>
      <c r="AE2439" s="13">
        <f>$E2439+24</f>
        <v>134</v>
      </c>
      <c r="AF2439" s="14">
        <f>IF($J2439=0,0,ROUND(MAX($J2439*1.4*1.5*1.6*1.6*2.2*2.715*2.6*1.4*1.4*1.5*1.5,18900000000*(1.65331^(MIN($E2439,123)-117)))*1,0))</f>
        <v>559734088</v>
      </c>
      <c r="AG2439" s="11">
        <f>$E2439+27</f>
        <v>137</v>
      </c>
      <c r="AH2439" s="12">
        <f>IF($J2439=0,0,ROUND(MAX($J2439*1.4*1.5*1.6*1.6*2.2*2.715*2.6*1.4*1.4*1.5*1.5*3.2,60500000000*(1.654288^(MIN($E2439,123)-117)))*1,0))</f>
        <v>1784339701</v>
      </c>
    </row>
    <row r="2440" ht="28" customHeight="1" spans="1:34" x14ac:dyDescent="0.25">
      <c r="A2440">
        <v>2450</v>
      </c>
      <c r="B2440" t="s">
        <v>1475</v>
      </c>
      <c r="C2440" s="10" t="s">
        <v>1421</v>
      </c>
      <c r="D2440" t="s">
        <v>102</v>
      </c>
      <c r="E2440">
        <v>110</v>
      </c>
      <c r="F2440" t="s">
        <v>34</v>
      </c>
      <c r="G2440" t="s">
        <v>244</v>
      </c>
      <c r="H2440">
        <v>24</v>
      </c>
      <c r="I2440" s="11">
        <v>110</v>
      </c>
      <c r="J2440" s="12">
        <v>56900</v>
      </c>
      <c r="K2440" s="13">
        <f>$E2440+1</f>
        <v>111</v>
      </c>
      <c r="L2440" s="14">
        <f>IF($J2440=0,0,ROUND(MAX($J2440*1.4,1620000*(1.497923^(MIN($E2440,123)-117)))*1,0))</f>
        <v>95739</v>
      </c>
      <c r="M2440" s="11">
        <f>$E2440+2</f>
        <v>112</v>
      </c>
      <c r="N2440" s="12">
        <f>IF($J2440=0,0,ROUND(MAX($J2440*1.4*1.5,2190000*(1.580994^(MIN($E2440,123)-117)))*1,0))</f>
        <v>119490</v>
      </c>
      <c r="O2440" s="13">
        <f>$E2440+4</f>
        <v>114</v>
      </c>
      <c r="P2440" s="14">
        <f>IF($J2440=0,0,ROUND(MAX($J2440*1.4*1.5*1.6,3500000*(1.57975^(MIN($E2440,123)-117)))*1,0))</f>
        <v>191184</v>
      </c>
      <c r="Q2440" s="11">
        <f>$E2440+6</f>
        <v>116</v>
      </c>
      <c r="R2440" s="12">
        <f>IF($J2440=0,0,ROUND(MAX($J2440*1.4*1.5*1.6*1.6,13100000*(1.429962^(MIN($E2440,123)-117)))*1,0))</f>
        <v>1071519</v>
      </c>
      <c r="S2440" s="13">
        <f>$E2440+8</f>
        <v>118</v>
      </c>
      <c r="T2440" s="14">
        <f>IF($J2440=0,0,ROUND(MAX($J2440*1.4*1.5*1.6*1.6*2.2,42600000*(1.576904^(MIN($E2440,123)-117)))*1,0))</f>
        <v>1757004</v>
      </c>
      <c r="U2440" s="11">
        <f>$E2440+11</f>
        <v>121</v>
      </c>
      <c r="V2440" s="12">
        <f>IF($J2440=0,0,ROUND(MAX($J2440*1.4*1.5*1.6*1.6*2.2*2.715,354000000*(1.642074^(MIN($E2440,123)-117)))*1,0))</f>
        <v>10996493</v>
      </c>
      <c r="W2440" s="13">
        <f>$E2440+15</f>
        <v>125</v>
      </c>
      <c r="X2440" s="14">
        <f>IF($J2440=0,0,ROUND(MAX($J2440*1.4*1.5*1.6*1.6*2.2*2.715*2.6,3540000000*(1.579646^(MIN($E2440,123)-117)))*1,0))</f>
        <v>144239716</v>
      </c>
      <c r="Y2440" s="11">
        <f>$E2440+17</f>
        <v>127</v>
      </c>
      <c r="Z2440" s="12">
        <f>IF($J2440=0,0,ROUND(MAX($J2440*1.4*1.5*1.6*1.6*2.2*2.715*2.6*1.4,6020000000*(1.651178^(MIN($E2440,123)-117)))*1,0))</f>
        <v>179903344</v>
      </c>
      <c r="AA2440" s="13">
        <f>$E2440+19</f>
        <v>129</v>
      </c>
      <c r="AB2440" s="14">
        <f>IF($J2440=0,0,ROUND(MAX($J2440*1.4*1.5*1.6*1.6*2.2*2.715*2.6*1.4*1.4,8430000000*(1.651435^(MIN($E2440,123)-117)))*1,0))</f>
        <v>251650143</v>
      </c>
      <c r="AC2440" s="11">
        <f>$E2440+21</f>
        <v>131</v>
      </c>
      <c r="AD2440" s="12">
        <f>IF($J2440=0,0,ROUND(MAX($J2440*1.4*1.5*1.6*1.6*2.2*2.715*2.6*1.4*1.4*1.5,12600000000*(1.652953^(MIN($E2440,123)-117)))*1,0))</f>
        <v>373720576</v>
      </c>
      <c r="AE2440" s="13">
        <f>$E2440+24</f>
        <v>134</v>
      </c>
      <c r="AF2440" s="14">
        <f>IF($J2440=0,0,ROUND(MAX($J2440*1.4*1.5*1.6*1.6*2.2*2.715*2.6*1.4*1.4*1.5*1.5,18900000000*(1.65331^(MIN($E2440,123)-117)))*1,0))</f>
        <v>559734088</v>
      </c>
      <c r="AG2440" s="11">
        <f>$E2440+27</f>
        <v>137</v>
      </c>
      <c r="AH2440" s="12">
        <f>IF($J2440=0,0,ROUND(MAX($J2440*1.4*1.5*1.6*1.6*2.2*2.715*2.6*1.4*1.4*1.5*1.5*3.2,60500000000*(1.654288^(MIN($E2440,123)-117)))*1,0))</f>
        <v>1784339701</v>
      </c>
    </row>
    <row r="2441" ht="28" customHeight="1" spans="1:34" x14ac:dyDescent="0.25">
      <c r="A2441">
        <v>2451</v>
      </c>
      <c r="B2441" t="s">
        <v>1476</v>
      </c>
      <c r="C2441" s="10" t="s">
        <v>1421</v>
      </c>
      <c r="D2441" t="s">
        <v>33</v>
      </c>
      <c r="E2441">
        <v>110</v>
      </c>
      <c r="F2441" t="s">
        <v>30</v>
      </c>
      <c r="G2441" t="s">
        <v>379</v>
      </c>
      <c r="H2441">
        <v>24</v>
      </c>
      <c r="I2441" s="11">
        <v>110</v>
      </c>
      <c r="J2441" s="12">
        <v>57800</v>
      </c>
      <c r="K2441" s="13">
        <f>$E2441+1</f>
        <v>111</v>
      </c>
      <c r="L2441" s="14">
        <f>IF($J2441=0,0,ROUND(MAX($J2441*1.4,1620000*(1.497923^(MIN($E2441,123)-117)))*1,0))</f>
        <v>95739</v>
      </c>
      <c r="M2441" s="11">
        <f>$E2441+2</f>
        <v>112</v>
      </c>
      <c r="N2441" s="12">
        <f>IF($J2441=0,0,ROUND(MAX($J2441*1.4*1.5,2190000*(1.580994^(MIN($E2441,123)-117)))*1,0))</f>
        <v>121380</v>
      </c>
      <c r="O2441" s="13">
        <f>$E2441+4</f>
        <v>114</v>
      </c>
      <c r="P2441" s="14">
        <f>IF($J2441=0,0,ROUND(MAX($J2441*1.4*1.5*1.6,3500000*(1.57975^(MIN($E2441,123)-117)))*1,0))</f>
        <v>194208</v>
      </c>
      <c r="Q2441" s="11">
        <f>$E2441+6</f>
        <v>116</v>
      </c>
      <c r="R2441" s="12">
        <f>IF($J2441=0,0,ROUND(MAX($J2441*1.4*1.5*1.6*1.6,13100000*(1.429962^(MIN($E2441,123)-117)))*1,0))</f>
        <v>1071519</v>
      </c>
      <c r="S2441" s="13">
        <f>$E2441+8</f>
        <v>118</v>
      </c>
      <c r="T2441" s="14">
        <f>IF($J2441=0,0,ROUND(MAX($J2441*1.4*1.5*1.6*1.6*2.2,42600000*(1.576904^(MIN($E2441,123)-117)))*1,0))</f>
        <v>1757004</v>
      </c>
      <c r="U2441" s="11">
        <f>$E2441+11</f>
        <v>121</v>
      </c>
      <c r="V2441" s="12">
        <f>IF($J2441=0,0,ROUND(MAX($J2441*1.4*1.5*1.6*1.6*2.2*2.715,354000000*(1.642074^(MIN($E2441,123)-117)))*1,0))</f>
        <v>10996493</v>
      </c>
      <c r="W2441" s="13">
        <f>$E2441+15</f>
        <v>125</v>
      </c>
      <c r="X2441" s="14">
        <f>IF($J2441=0,0,ROUND(MAX($J2441*1.4*1.5*1.6*1.6*2.2*2.715*2.6,3540000000*(1.579646^(MIN($E2441,123)-117)))*1,0))</f>
        <v>144239716</v>
      </c>
      <c r="Y2441" s="11">
        <f>$E2441+17</f>
        <v>127</v>
      </c>
      <c r="Z2441" s="12">
        <f>IF($J2441=0,0,ROUND(MAX($J2441*1.4*1.5*1.6*1.6*2.2*2.715*2.6*1.4,6020000000*(1.651178^(MIN($E2441,123)-117)))*1,0))</f>
        <v>179903344</v>
      </c>
      <c r="AA2441" s="13">
        <f>$E2441+19</f>
        <v>129</v>
      </c>
      <c r="AB2441" s="14">
        <f>IF($J2441=0,0,ROUND(MAX($J2441*1.4*1.5*1.6*1.6*2.2*2.715*2.6*1.4*1.4,8430000000*(1.651435^(MIN($E2441,123)-117)))*1,0))</f>
        <v>251650143</v>
      </c>
      <c r="AC2441" s="11">
        <f>$E2441+21</f>
        <v>131</v>
      </c>
      <c r="AD2441" s="12">
        <f>IF($J2441=0,0,ROUND(MAX($J2441*1.4*1.5*1.6*1.6*2.2*2.715*2.6*1.4*1.4*1.5,12600000000*(1.652953^(MIN($E2441,123)-117)))*1,0))</f>
        <v>373720576</v>
      </c>
      <c r="AE2441" s="13">
        <f>$E2441+24</f>
        <v>134</v>
      </c>
      <c r="AF2441" s="14">
        <f>IF($J2441=0,0,ROUND(MAX($J2441*1.4*1.5*1.6*1.6*2.2*2.715*2.6*1.4*1.4*1.5*1.5,18900000000*(1.65331^(MIN($E2441,123)-117)))*1,0))</f>
        <v>559734088</v>
      </c>
      <c r="AG2441" s="11">
        <f>$E2441+27</f>
        <v>137</v>
      </c>
      <c r="AH2441" s="12">
        <f>IF($J2441=0,0,ROUND(MAX($J2441*1.4*1.5*1.6*1.6*2.2*2.715*2.6*1.4*1.4*1.5*1.5*3.2,60500000000*(1.654288^(MIN($E2441,123)-117)))*1,0))</f>
        <v>1784339701</v>
      </c>
    </row>
    <row r="2442" ht="28" customHeight="1" spans="1:34" x14ac:dyDescent="0.25">
      <c r="A2442">
        <v>2452</v>
      </c>
      <c r="B2442" t="s">
        <v>1392</v>
      </c>
      <c r="C2442" s="10" t="s">
        <v>1421</v>
      </c>
      <c r="D2442" t="s">
        <v>75</v>
      </c>
      <c r="E2442">
        <v>110</v>
      </c>
      <c r="F2442" t="s">
        <v>383</v>
      </c>
      <c r="G2442" t="s">
        <v>349</v>
      </c>
      <c r="H2442">
        <v>24</v>
      </c>
      <c r="I2442" s="11">
        <v>110</v>
      </c>
      <c r="J2442" s="12">
        <v>162000</v>
      </c>
      <c r="K2442" s="13">
        <f>$E2442+1</f>
        <v>111</v>
      </c>
      <c r="L2442" s="14">
        <f>IF($J2442=0,0,ROUND(MAX($J2442*1.4,1620000*(1.497923^(MIN($E2442,123)-117)))*1,0))</f>
        <v>226800</v>
      </c>
      <c r="M2442" s="11">
        <f>$E2442+2</f>
        <v>112</v>
      </c>
      <c r="N2442" s="12">
        <f>IF($J2442=0,0,ROUND(MAX($J2442*1.4*1.5,2190000*(1.580994^(MIN($E2442,123)-117)))*1,0))</f>
        <v>340200</v>
      </c>
      <c r="O2442" s="13">
        <f>$E2442+4</f>
        <v>114</v>
      </c>
      <c r="P2442" s="14">
        <f>IF($J2442=0,0,ROUND(MAX($J2442*1.4*1.5*1.6,3500000*(1.57975^(MIN($E2442,123)-117)))*1,0))</f>
        <v>544320</v>
      </c>
      <c r="Q2442" s="11">
        <f>$E2442+6</f>
        <v>116</v>
      </c>
      <c r="R2442" s="12">
        <f>IF($J2442=0,0,ROUND(MAX($J2442*1.4*1.5*1.6*1.6,13100000*(1.429962^(MIN($E2442,123)-117)))*1,0))</f>
        <v>1071519</v>
      </c>
      <c r="S2442" s="13">
        <f>$E2442+8</f>
        <v>118</v>
      </c>
      <c r="T2442" s="14">
        <f>IF($J2442=0,0,ROUND(MAX($J2442*1.4*1.5*1.6*1.6*2.2,42600000*(1.576904^(MIN($E2442,123)-117)))*1,0))</f>
        <v>1916006</v>
      </c>
      <c r="U2442" s="11">
        <f>$E2442+11</f>
        <v>121</v>
      </c>
      <c r="V2442" s="12">
        <f>IF($J2442=0,0,ROUND(MAX($J2442*1.4*1.5*1.6*1.6*2.2*2.715,354000000*(1.642074^(MIN($E2442,123)-117)))*1,0))</f>
        <v>10996493</v>
      </c>
      <c r="W2442" s="13">
        <f>$E2442+15</f>
        <v>125</v>
      </c>
      <c r="X2442" s="14">
        <f>IF($J2442=0,0,ROUND(MAX($J2442*1.4*1.5*1.6*1.6*2.2*2.715*2.6,3540000000*(1.579646^(MIN($E2442,123)-117)))*1,0))</f>
        <v>144239716</v>
      </c>
      <c r="Y2442" s="11">
        <f>$E2442+17</f>
        <v>127</v>
      </c>
      <c r="Z2442" s="12">
        <f>IF($J2442=0,0,ROUND(MAX($J2442*1.4*1.5*1.6*1.6*2.2*2.715*2.6*1.4,6020000000*(1.651178^(MIN($E2442,123)-117)))*1,0))</f>
        <v>179903344</v>
      </c>
      <c r="AA2442" s="13">
        <f>$E2442+19</f>
        <v>129</v>
      </c>
      <c r="AB2442" s="14">
        <f>IF($J2442=0,0,ROUND(MAX($J2442*1.4*1.5*1.6*1.6*2.2*2.715*2.6*1.4*1.4,8430000000*(1.651435^(MIN($E2442,123)-117)))*1,0))</f>
        <v>251650143</v>
      </c>
      <c r="AC2442" s="11">
        <f>$E2442+21</f>
        <v>131</v>
      </c>
      <c r="AD2442" s="12">
        <f>IF($J2442=0,0,ROUND(MAX($J2442*1.4*1.5*1.6*1.6*2.2*2.715*2.6*1.4*1.4*1.5,12600000000*(1.652953^(MIN($E2442,123)-117)))*1,0))</f>
        <v>373720576</v>
      </c>
      <c r="AE2442" s="13">
        <f>$E2442+24</f>
        <v>134</v>
      </c>
      <c r="AF2442" s="14">
        <f>IF($J2442=0,0,ROUND(MAX($J2442*1.4*1.5*1.6*1.6*2.2*2.715*2.6*1.4*1.4*1.5*1.5,18900000000*(1.65331^(MIN($E2442,123)-117)))*1,0))</f>
        <v>559734088</v>
      </c>
      <c r="AG2442" s="11">
        <f>$E2442+27</f>
        <v>137</v>
      </c>
      <c r="AH2442" s="12">
        <f>IF($J2442=0,0,ROUND(MAX($J2442*1.4*1.5*1.6*1.6*2.2*2.715*2.6*1.4*1.4*1.5*1.5*3.2,60500000000*(1.654288^(MIN($E2442,123)-117)))*1,0))</f>
        <v>1784339701</v>
      </c>
    </row>
    <row r="2443" ht="28" customHeight="1" spans="1:34" x14ac:dyDescent="0.25">
      <c r="A2443">
        <v>2453</v>
      </c>
      <c r="B2443" t="s">
        <v>1477</v>
      </c>
      <c r="C2443" s="10" t="s">
        <v>1421</v>
      </c>
      <c r="D2443" t="s">
        <v>47</v>
      </c>
      <c r="E2443">
        <v>110</v>
      </c>
      <c r="F2443" t="s">
        <v>56</v>
      </c>
      <c r="G2443" t="s">
        <v>586</v>
      </c>
      <c r="H2443">
        <v>23</v>
      </c>
      <c r="I2443" s="11">
        <v>110</v>
      </c>
      <c r="J2443" s="12">
        <v>190000</v>
      </c>
      <c r="K2443" s="13">
        <f>$E2443+1</f>
        <v>111</v>
      </c>
      <c r="L2443" s="14">
        <f>IF($J2443=0,0,ROUND(MAX($J2443*1.4,1620000*(1.497923^(MIN($E2443,123)-117)))*1,0))</f>
        <v>266000</v>
      </c>
      <c r="M2443" s="11">
        <f>$E2443+2</f>
        <v>112</v>
      </c>
      <c r="N2443" s="12">
        <f>IF($J2443=0,0,ROUND(MAX($J2443*1.4*1.5,2190000*(1.580994^(MIN($E2443,123)-117)))*1,0))</f>
        <v>399000</v>
      </c>
      <c r="O2443" s="13">
        <f>$E2443+4</f>
        <v>114</v>
      </c>
      <c r="P2443" s="14">
        <f>IF($J2443=0,0,ROUND(MAX($J2443*1.4*1.5*1.6,3500000*(1.57975^(MIN($E2443,123)-117)))*1,0))</f>
        <v>638400</v>
      </c>
      <c r="Q2443" s="11">
        <f>$E2443+6</f>
        <v>116</v>
      </c>
      <c r="R2443" s="12">
        <f>IF($J2443=0,0,ROUND(MAX($J2443*1.4*1.5*1.6*1.6,13100000*(1.429962^(MIN($E2443,123)-117)))*1,0))</f>
        <v>1071519</v>
      </c>
      <c r="S2443" s="13">
        <f>$E2443+8</f>
        <v>118</v>
      </c>
      <c r="T2443" s="14">
        <f>IF($J2443=0,0,ROUND(MAX($J2443*1.4*1.5*1.6*1.6*2.2,42600000*(1.576904^(MIN($E2443,123)-117)))*1,0))</f>
        <v>2247168</v>
      </c>
      <c r="U2443" s="11">
        <f>$E2443+11</f>
        <v>121</v>
      </c>
      <c r="V2443" s="12">
        <f>IF($J2443=0,0,ROUND(MAX($J2443*1.4*1.5*1.6*1.6*2.2*2.715,354000000*(1.642074^(MIN($E2443,123)-117)))*1,0))</f>
        <v>10996493</v>
      </c>
      <c r="W2443" s="13">
        <f>$E2443+15</f>
        <v>125</v>
      </c>
      <c r="X2443" s="14">
        <f>IF($J2443=0,0,ROUND(MAX($J2443*1.4*1.5*1.6*1.6*2.2*2.715*2.6,3540000000*(1.579646^(MIN($E2443,123)-117)))*1,0))</f>
        <v>144239716</v>
      </c>
      <c r="Y2443" s="11">
        <f>$E2443+17</f>
        <v>127</v>
      </c>
      <c r="Z2443" s="12">
        <f>IF($J2443=0,0,ROUND(MAX($J2443*1.4*1.5*1.6*1.6*2.2*2.715*2.6*1.4,6020000000*(1.651178^(MIN($E2443,123)-117)))*1,0))</f>
        <v>179903344</v>
      </c>
      <c r="AA2443" s="13">
        <f>$E2443+19</f>
        <v>129</v>
      </c>
      <c r="AB2443" s="14">
        <f>IF($J2443=0,0,ROUND(MAX($J2443*1.4*1.5*1.6*1.6*2.2*2.715*2.6*1.4*1.4,8430000000*(1.651435^(MIN($E2443,123)-117)))*1,0))</f>
        <v>251650143</v>
      </c>
      <c r="AC2443" s="11">
        <f>$E2443+21</f>
        <v>131</v>
      </c>
      <c r="AD2443" s="12">
        <f>IF($J2443=0,0,ROUND(MAX($J2443*1.4*1.5*1.6*1.6*2.2*2.715*2.6*1.4*1.4*1.5,12600000000*(1.652953^(MIN($E2443,123)-117)))*1,0))</f>
        <v>373720576</v>
      </c>
      <c r="AE2443" s="13">
        <f>$E2443+24</f>
        <v>134</v>
      </c>
      <c r="AF2443" s="14">
        <f>IF($J2443=0,0,ROUND(MAX($J2443*1.4*1.5*1.6*1.6*2.2*2.715*2.6*1.4*1.4*1.5*1.5,18900000000*(1.65331^(MIN($E2443,123)-117)))*1,0))</f>
        <v>559734088</v>
      </c>
      <c r="AG2443" s="11">
        <f>$E2443+27</f>
        <v>137</v>
      </c>
      <c r="AH2443" s="12">
        <f>IF($J2443=0,0,ROUND(MAX($J2443*1.4*1.5*1.6*1.6*2.2*2.715*2.6*1.4*1.4*1.5*1.5*3.2,60500000000*(1.654288^(MIN($E2443,123)-117)))*1,0))</f>
        <v>1784339701</v>
      </c>
    </row>
    <row r="2444" ht="28" customHeight="1" spans="1:34" x14ac:dyDescent="0.25">
      <c r="A2444">
        <v>2454</v>
      </c>
      <c r="B2444" t="s">
        <v>1044</v>
      </c>
      <c r="C2444" s="10" t="s">
        <v>1421</v>
      </c>
      <c r="D2444" t="s">
        <v>47</v>
      </c>
      <c r="E2444">
        <v>110</v>
      </c>
      <c r="F2444" t="s">
        <v>962</v>
      </c>
      <c r="G2444" t="s">
        <v>206</v>
      </c>
      <c r="H2444">
        <v>22</v>
      </c>
      <c r="I2444" s="11">
        <v>110</v>
      </c>
      <c r="J2444" s="12">
        <v>322000</v>
      </c>
      <c r="K2444" s="13">
        <f>$E2444+1</f>
        <v>111</v>
      </c>
      <c r="L2444" s="14">
        <f>IF($J2444=0,0,ROUND(MAX($J2444*1.4,1620000*(1.497923^(MIN($E2444,123)-117)))*1,0))</f>
        <v>450800</v>
      </c>
      <c r="M2444" s="11">
        <f>$E2444+2</f>
        <v>112</v>
      </c>
      <c r="N2444" s="12">
        <f>IF($J2444=0,0,ROUND(MAX($J2444*1.4*1.5,2190000*(1.580994^(MIN($E2444,123)-117)))*1,0))</f>
        <v>676200</v>
      </c>
      <c r="O2444" s="13">
        <f>$E2444+4</f>
        <v>114</v>
      </c>
      <c r="P2444" s="14">
        <f>IF($J2444=0,0,ROUND(MAX($J2444*1.4*1.5*1.6,3500000*(1.57975^(MIN($E2444,123)-117)))*1,0))</f>
        <v>1081920</v>
      </c>
      <c r="Q2444" s="11">
        <f>$E2444+6</f>
        <v>116</v>
      </c>
      <c r="R2444" s="12">
        <f>IF($J2444=0,0,ROUND(MAX($J2444*1.4*1.5*1.6*1.6,13100000*(1.429962^(MIN($E2444,123)-117)))*1,0))</f>
        <v>1731072</v>
      </c>
      <c r="S2444" s="13">
        <f>$E2444+8</f>
        <v>118</v>
      </c>
      <c r="T2444" s="14">
        <f>IF($J2444=0,0,ROUND(MAX($J2444*1.4*1.5*1.6*1.6*2.2,42600000*(1.576904^(MIN($E2444,123)-117)))*1,0))</f>
        <v>3808358</v>
      </c>
      <c r="U2444" s="11">
        <f>$E2444+11</f>
        <v>121</v>
      </c>
      <c r="V2444" s="12">
        <f>IF($J2444=0,0,ROUND(MAX($J2444*1.4*1.5*1.6*1.6*2.2*2.715,354000000*(1.642074^(MIN($E2444,123)-117)))*1,0))</f>
        <v>10996493</v>
      </c>
      <c r="W2444" s="13">
        <f>$E2444+15</f>
        <v>125</v>
      </c>
      <c r="X2444" s="14">
        <f>IF($J2444=0,0,ROUND(MAX($J2444*1.4*1.5*1.6*1.6*2.2*2.715*2.6,3540000000*(1.579646^(MIN($E2444,123)-117)))*1,0))</f>
        <v>144239716</v>
      </c>
      <c r="Y2444" s="11">
        <f>$E2444+17</f>
        <v>127</v>
      </c>
      <c r="Z2444" s="12">
        <f>IF($J2444=0,0,ROUND(MAX($J2444*1.4*1.5*1.6*1.6*2.2*2.715*2.6*1.4,6020000000*(1.651178^(MIN($E2444,123)-117)))*1,0))</f>
        <v>179903344</v>
      </c>
      <c r="AA2444" s="13">
        <f>$E2444+19</f>
        <v>129</v>
      </c>
      <c r="AB2444" s="14">
        <f>IF($J2444=0,0,ROUND(MAX($J2444*1.4*1.5*1.6*1.6*2.2*2.715*2.6*1.4*1.4,8430000000*(1.651435^(MIN($E2444,123)-117)))*1,0))</f>
        <v>251650143</v>
      </c>
      <c r="AC2444" s="11">
        <f>$E2444+21</f>
        <v>131</v>
      </c>
      <c r="AD2444" s="12">
        <f>IF($J2444=0,0,ROUND(MAX($J2444*1.4*1.5*1.6*1.6*2.2*2.715*2.6*1.4*1.4*1.5,12600000000*(1.652953^(MIN($E2444,123)-117)))*1,0))</f>
        <v>373720576</v>
      </c>
      <c r="AE2444" s="13">
        <f>$E2444+24</f>
        <v>134</v>
      </c>
      <c r="AF2444" s="14">
        <f>IF($J2444=0,0,ROUND(MAX($J2444*1.4*1.5*1.6*1.6*2.2*2.715*2.6*1.4*1.4*1.5*1.5,18900000000*(1.65331^(MIN($E2444,123)-117)))*1,0))</f>
        <v>559734088</v>
      </c>
      <c r="AG2444" s="11">
        <f>$E2444+27</f>
        <v>137</v>
      </c>
      <c r="AH2444" s="12">
        <f>IF($J2444=0,0,ROUND(MAX($J2444*1.4*1.5*1.6*1.6*2.2*2.715*2.6*1.4*1.4*1.5*1.5*3.2,60500000000*(1.654288^(MIN($E2444,123)-117)))*1,0))</f>
        <v>1784339701</v>
      </c>
    </row>
    <row r="2445" ht="28" customHeight="1" spans="1:34" x14ac:dyDescent="0.25">
      <c r="A2445">
        <v>2455</v>
      </c>
      <c r="B2445" t="s">
        <v>1478</v>
      </c>
      <c r="C2445" s="10" t="s">
        <v>1421</v>
      </c>
      <c r="D2445" t="s">
        <v>47</v>
      </c>
      <c r="E2445">
        <v>110</v>
      </c>
      <c r="F2445" t="s">
        <v>34</v>
      </c>
      <c r="G2445" t="s">
        <v>349</v>
      </c>
      <c r="H2445">
        <v>22</v>
      </c>
      <c r="I2445" s="11">
        <v>110</v>
      </c>
      <c r="J2445" s="12">
        <v>253000</v>
      </c>
      <c r="K2445" s="13">
        <f>$E2445+1</f>
        <v>111</v>
      </c>
      <c r="L2445" s="14">
        <f>IF($J2445=0,0,ROUND(MAX($J2445*1.4,1620000*(1.497923^(MIN($E2445,123)-117)))*1,0))</f>
        <v>354200</v>
      </c>
      <c r="M2445" s="11">
        <f>$E2445+2</f>
        <v>112</v>
      </c>
      <c r="N2445" s="12">
        <f>IF($J2445=0,0,ROUND(MAX($J2445*1.4*1.5,2190000*(1.580994^(MIN($E2445,123)-117)))*1,0))</f>
        <v>531300</v>
      </c>
      <c r="O2445" s="13">
        <f>$E2445+4</f>
        <v>114</v>
      </c>
      <c r="P2445" s="14">
        <f>IF($J2445=0,0,ROUND(MAX($J2445*1.4*1.5*1.6,3500000*(1.57975^(MIN($E2445,123)-117)))*1,0))</f>
        <v>850080</v>
      </c>
      <c r="Q2445" s="11">
        <f>$E2445+6</f>
        <v>116</v>
      </c>
      <c r="R2445" s="12">
        <f>IF($J2445=0,0,ROUND(MAX($J2445*1.4*1.5*1.6*1.6,13100000*(1.429962^(MIN($E2445,123)-117)))*1,0))</f>
        <v>1360128</v>
      </c>
      <c r="S2445" s="13">
        <f>$E2445+8</f>
        <v>118</v>
      </c>
      <c r="T2445" s="14">
        <f>IF($J2445=0,0,ROUND(MAX($J2445*1.4*1.5*1.6*1.6*2.2,42600000*(1.576904^(MIN($E2445,123)-117)))*1,0))</f>
        <v>2992282</v>
      </c>
      <c r="U2445" s="11">
        <f>$E2445+11</f>
        <v>121</v>
      </c>
      <c r="V2445" s="12">
        <f>IF($J2445=0,0,ROUND(MAX($J2445*1.4*1.5*1.6*1.6*2.2*2.715,354000000*(1.642074^(MIN($E2445,123)-117)))*1,0))</f>
        <v>10996493</v>
      </c>
      <c r="W2445" s="13">
        <f>$E2445+15</f>
        <v>125</v>
      </c>
      <c r="X2445" s="14">
        <f>IF($J2445=0,0,ROUND(MAX($J2445*1.4*1.5*1.6*1.6*2.2*2.715*2.6,3540000000*(1.579646^(MIN($E2445,123)-117)))*1,0))</f>
        <v>144239716</v>
      </c>
      <c r="Y2445" s="11">
        <f>$E2445+17</f>
        <v>127</v>
      </c>
      <c r="Z2445" s="12">
        <f>IF($J2445=0,0,ROUND(MAX($J2445*1.4*1.5*1.6*1.6*2.2*2.715*2.6*1.4,6020000000*(1.651178^(MIN($E2445,123)-117)))*1,0))</f>
        <v>179903344</v>
      </c>
      <c r="AA2445" s="13">
        <f>$E2445+19</f>
        <v>129</v>
      </c>
      <c r="AB2445" s="14">
        <f>IF($J2445=0,0,ROUND(MAX($J2445*1.4*1.5*1.6*1.6*2.2*2.715*2.6*1.4*1.4,8430000000*(1.651435^(MIN($E2445,123)-117)))*1,0))</f>
        <v>251650143</v>
      </c>
      <c r="AC2445" s="11">
        <f>$E2445+21</f>
        <v>131</v>
      </c>
      <c r="AD2445" s="12">
        <f>IF($J2445=0,0,ROUND(MAX($J2445*1.4*1.5*1.6*1.6*2.2*2.715*2.6*1.4*1.4*1.5,12600000000*(1.652953^(MIN($E2445,123)-117)))*1,0))</f>
        <v>373720576</v>
      </c>
      <c r="AE2445" s="13">
        <f>$E2445+24</f>
        <v>134</v>
      </c>
      <c r="AF2445" s="14">
        <f>IF($J2445=0,0,ROUND(MAX($J2445*1.4*1.5*1.6*1.6*2.2*2.715*2.6*1.4*1.4*1.5*1.5,18900000000*(1.65331^(MIN($E2445,123)-117)))*1,0))</f>
        <v>559734088</v>
      </c>
      <c r="AG2445" s="11">
        <f>$E2445+27</f>
        <v>137</v>
      </c>
      <c r="AH2445" s="12">
        <f>IF($J2445=0,0,ROUND(MAX($J2445*1.4*1.5*1.6*1.6*2.2*2.715*2.6*1.4*1.4*1.5*1.5*3.2,60500000000*(1.654288^(MIN($E2445,123)-117)))*1,0))</f>
        <v>1784339701</v>
      </c>
    </row>
    <row r="2446" ht="28" customHeight="1" spans="1:34" x14ac:dyDescent="0.25">
      <c r="A2446">
        <v>2456</v>
      </c>
      <c r="B2446" t="s">
        <v>1189</v>
      </c>
      <c r="C2446" s="10" t="s">
        <v>1421</v>
      </c>
      <c r="D2446" t="s">
        <v>79</v>
      </c>
      <c r="E2446">
        <v>109</v>
      </c>
      <c r="F2446" t="s">
        <v>56</v>
      </c>
      <c r="G2446" t="s">
        <v>72</v>
      </c>
      <c r="H2446">
        <v>26</v>
      </c>
      <c r="I2446" s="11">
        <v>109</v>
      </c>
      <c r="J2446" s="12">
        <v>216000</v>
      </c>
      <c r="K2446" s="13">
        <f>$E2446+1</f>
        <v>110</v>
      </c>
      <c r="L2446" s="14">
        <f>IF($J2446=0,0,ROUND(MAX($J2446*1.4,1620000*(1.497923^(MIN($E2446,123)-117)))*1,0))</f>
        <v>302400</v>
      </c>
      <c r="M2446" s="11">
        <f>$E2446+2</f>
        <v>111</v>
      </c>
      <c r="N2446" s="12">
        <f>IF($J2446=0,0,ROUND(MAX($J2446*1.4*1.5,2190000*(1.580994^(MIN($E2446,123)-117)))*1,0))</f>
        <v>453600</v>
      </c>
      <c r="O2446" s="13">
        <f>$E2446+4</f>
        <v>113</v>
      </c>
      <c r="P2446" s="14">
        <f>IF($J2446=0,0,ROUND(MAX($J2446*1.4*1.5*1.6,3500000*(1.57975^(MIN($E2446,123)-117)))*1,0))</f>
        <v>725760</v>
      </c>
      <c r="Q2446" s="11">
        <f>$E2446+6</f>
        <v>115</v>
      </c>
      <c r="R2446" s="12">
        <f>IF($J2446=0,0,ROUND(MAX($J2446*1.4*1.5*1.6*1.6,13100000*(1.429962^(MIN($E2446,123)-117)))*1,0))</f>
        <v>1161216</v>
      </c>
      <c r="S2446" s="13">
        <f>$E2446+8</f>
        <v>117</v>
      </c>
      <c r="T2446" s="14">
        <f>IF($J2446=0,0,ROUND(MAX($J2446*1.4*1.5*1.6*1.6*2.2,42600000*(1.576904^(MIN($E2446,123)-117)))*1,0))</f>
        <v>2554675</v>
      </c>
      <c r="U2446" s="11">
        <f>$E2446+11</f>
        <v>120</v>
      </c>
      <c r="V2446" s="12">
        <f>IF($J2446=0,0,ROUND(MAX($J2446*1.4*1.5*1.6*1.6*2.2*2.715,354000000*(1.642074^(MIN($E2446,123)-117)))*1,0))</f>
        <v>6935943</v>
      </c>
      <c r="W2446" s="13">
        <f>$E2446+15</f>
        <v>124</v>
      </c>
      <c r="X2446" s="14">
        <f>IF($J2446=0,0,ROUND(MAX($J2446*1.4*1.5*1.6*1.6*2.2*2.715*2.6,3540000000*(1.579646^(MIN($E2446,123)-117)))*1,0))</f>
        <v>91311418</v>
      </c>
      <c r="Y2446" s="11">
        <f>$E2446+17</f>
        <v>126</v>
      </c>
      <c r="Z2446" s="12">
        <f>IF($J2446=0,0,ROUND(MAX($J2446*1.4*1.5*1.6*1.6*2.2*2.715*2.6*1.4,6020000000*(1.651178^(MIN($E2446,123)-117)))*1,0))</f>
        <v>108954543</v>
      </c>
      <c r="AA2446" s="13">
        <f>$E2446+19</f>
        <v>128</v>
      </c>
      <c r="AB2446" s="14">
        <f>IF($J2446=0,0,ROUND(MAX($J2446*1.4*1.5*1.6*1.6*2.2*2.715*2.6*1.4*1.4,8430000000*(1.651435^(MIN($E2446,123)-117)))*1,0))</f>
        <v>152382712</v>
      </c>
      <c r="AC2446" s="11">
        <f>$E2446+21</f>
        <v>130</v>
      </c>
      <c r="AD2446" s="12">
        <f>IF($J2446=0,0,ROUND(MAX($J2446*1.4*1.5*1.6*1.6*2.2*2.715*2.6*1.4*1.4*1.5,12600000000*(1.652953^(MIN($E2446,123)-117)))*1,0))</f>
        <v>226092682</v>
      </c>
      <c r="AE2446" s="13">
        <f>$E2446+24</f>
        <v>133</v>
      </c>
      <c r="AF2446" s="14">
        <f>IF($J2446=0,0,ROUND(MAX($J2446*1.4*1.5*1.6*1.6*2.2*2.715*2.6*1.4*1.4*1.5*1.5,18900000000*(1.65331^(MIN($E2446,123)-117)))*1,0))</f>
        <v>338553621</v>
      </c>
      <c r="AG2446" s="11">
        <f>$E2446+27</f>
        <v>136</v>
      </c>
      <c r="AH2446" s="12">
        <f>IF($J2446=0,0,ROUND(MAX($J2446*1.4*1.5*1.6*1.6*2.2*2.715*2.6*1.4*1.4*1.5*1.5*3.2,60500000000*(1.654288^(MIN($E2446,123)-117)))*1,0))</f>
        <v>1078614909</v>
      </c>
    </row>
    <row r="2447" ht="28" customHeight="1" spans="1:34" x14ac:dyDescent="0.25">
      <c r="A2447">
        <v>2457</v>
      </c>
      <c r="B2447" t="s">
        <v>1479</v>
      </c>
      <c r="C2447" s="10" t="s">
        <v>1421</v>
      </c>
      <c r="D2447" t="s">
        <v>40</v>
      </c>
      <c r="E2447">
        <v>109</v>
      </c>
      <c r="F2447" t="s">
        <v>34</v>
      </c>
      <c r="G2447" t="s">
        <v>913</v>
      </c>
      <c r="H2447">
        <v>25</v>
      </c>
      <c r="I2447" s="11">
        <v>109</v>
      </c>
      <c r="J2447" s="12">
        <v>103000</v>
      </c>
      <c r="K2447" s="13">
        <f>$E2447+1</f>
        <v>110</v>
      </c>
      <c r="L2447" s="14">
        <f>IF($J2447=0,0,ROUND(MAX($J2447*1.4,1620000*(1.497923^(MIN($E2447,123)-117)))*1,0))</f>
        <v>144200</v>
      </c>
      <c r="M2447" s="11">
        <f>$E2447+2</f>
        <v>111</v>
      </c>
      <c r="N2447" s="12">
        <f>IF($J2447=0,0,ROUND(MAX($J2447*1.4*1.5,2190000*(1.580994^(MIN($E2447,123)-117)))*1,0))</f>
        <v>216300</v>
      </c>
      <c r="O2447" s="13">
        <f>$E2447+4</f>
        <v>113</v>
      </c>
      <c r="P2447" s="14">
        <f>IF($J2447=0,0,ROUND(MAX($J2447*1.4*1.5*1.6,3500000*(1.57975^(MIN($E2447,123)-117)))*1,0))</f>
        <v>346080</v>
      </c>
      <c r="Q2447" s="11">
        <f>$E2447+6</f>
        <v>115</v>
      </c>
      <c r="R2447" s="12">
        <f>IF($J2447=0,0,ROUND(MAX($J2447*1.4*1.5*1.6*1.6,13100000*(1.429962^(MIN($E2447,123)-117)))*1,0))</f>
        <v>749334</v>
      </c>
      <c r="S2447" s="13">
        <f>$E2447+8</f>
        <v>117</v>
      </c>
      <c r="T2447" s="14">
        <f>IF($J2447=0,0,ROUND(MAX($J2447*1.4*1.5*1.6*1.6*2.2,42600000*(1.576904^(MIN($E2447,123)-117)))*1,0))</f>
        <v>1218202</v>
      </c>
      <c r="U2447" s="11">
        <f>$E2447+11</f>
        <v>120</v>
      </c>
      <c r="V2447" s="12">
        <f>IF($J2447=0,0,ROUND(MAX($J2447*1.4*1.5*1.6*1.6*2.2*2.715,354000000*(1.642074^(MIN($E2447,123)-117)))*1,0))</f>
        <v>6696710</v>
      </c>
      <c r="W2447" s="13">
        <f>$E2447+15</f>
        <v>124</v>
      </c>
      <c r="X2447" s="14">
        <f>IF($J2447=0,0,ROUND(MAX($J2447*1.4*1.5*1.6*1.6*2.2*2.715*2.6,3540000000*(1.579646^(MIN($E2447,123)-117)))*1,0))</f>
        <v>91311418</v>
      </c>
      <c r="Y2447" s="11">
        <f>$E2447+17</f>
        <v>126</v>
      </c>
      <c r="Z2447" s="12">
        <f>IF($J2447=0,0,ROUND(MAX($J2447*1.4*1.5*1.6*1.6*2.2*2.715*2.6*1.4,6020000000*(1.651178^(MIN($E2447,123)-117)))*1,0))</f>
        <v>108954543</v>
      </c>
      <c r="AA2447" s="13">
        <f>$E2447+19</f>
        <v>128</v>
      </c>
      <c r="AB2447" s="14">
        <f>IF($J2447=0,0,ROUND(MAX($J2447*1.4*1.5*1.6*1.6*2.2*2.715*2.6*1.4*1.4,8430000000*(1.651435^(MIN($E2447,123)-117)))*1,0))</f>
        <v>152382712</v>
      </c>
      <c r="AC2447" s="11">
        <f>$E2447+21</f>
        <v>130</v>
      </c>
      <c r="AD2447" s="12">
        <f>IF($J2447=0,0,ROUND(MAX($J2447*1.4*1.5*1.6*1.6*2.2*2.715*2.6*1.4*1.4*1.5,12600000000*(1.652953^(MIN($E2447,123)-117)))*1,0))</f>
        <v>226092682</v>
      </c>
      <c r="AE2447" s="13">
        <f>$E2447+24</f>
        <v>133</v>
      </c>
      <c r="AF2447" s="14">
        <f>IF($J2447=0,0,ROUND(MAX($J2447*1.4*1.5*1.6*1.6*2.2*2.715*2.6*1.4*1.4*1.5*1.5,18900000000*(1.65331^(MIN($E2447,123)-117)))*1,0))</f>
        <v>338553621</v>
      </c>
      <c r="AG2447" s="11">
        <f>$E2447+27</f>
        <v>136</v>
      </c>
      <c r="AH2447" s="12">
        <f>IF($J2447=0,0,ROUND(MAX($J2447*1.4*1.5*1.6*1.6*2.2*2.715*2.6*1.4*1.4*1.5*1.5*3.2,60500000000*(1.654288^(MIN($E2447,123)-117)))*1,0))</f>
        <v>1078614909</v>
      </c>
    </row>
    <row r="2448" ht="28" customHeight="1" spans="1:34" x14ac:dyDescent="0.25">
      <c r="A2448">
        <v>2458</v>
      </c>
      <c r="B2448" t="s">
        <v>1480</v>
      </c>
      <c r="C2448" s="10" t="s">
        <v>1421</v>
      </c>
      <c r="D2448" t="s">
        <v>40</v>
      </c>
      <c r="E2448">
        <v>109</v>
      </c>
      <c r="F2448" t="s">
        <v>42</v>
      </c>
      <c r="G2448" t="s">
        <v>43</v>
      </c>
      <c r="H2448">
        <v>25</v>
      </c>
      <c r="I2448" s="11">
        <v>109</v>
      </c>
      <c r="J2448" s="12">
        <v>97000</v>
      </c>
      <c r="K2448" s="13">
        <f>$E2448+1</f>
        <v>110</v>
      </c>
      <c r="L2448" s="14">
        <f>IF($J2448=0,0,ROUND(MAX($J2448*1.4,1620000*(1.497923^(MIN($E2448,123)-117)))*1,0))</f>
        <v>135800</v>
      </c>
      <c r="M2448" s="11">
        <f>$E2448+2</f>
        <v>111</v>
      </c>
      <c r="N2448" s="12">
        <f>IF($J2448=0,0,ROUND(MAX($J2448*1.4*1.5,2190000*(1.580994^(MIN($E2448,123)-117)))*1,0))</f>
        <v>203700</v>
      </c>
      <c r="O2448" s="13">
        <f>$E2448+4</f>
        <v>113</v>
      </c>
      <c r="P2448" s="14">
        <f>IF($J2448=0,0,ROUND(MAX($J2448*1.4*1.5*1.6,3500000*(1.57975^(MIN($E2448,123)-117)))*1,0))</f>
        <v>325920</v>
      </c>
      <c r="Q2448" s="11">
        <f>$E2448+6</f>
        <v>115</v>
      </c>
      <c r="R2448" s="12">
        <f>IF($J2448=0,0,ROUND(MAX($J2448*1.4*1.5*1.6*1.6,13100000*(1.429962^(MIN($E2448,123)-117)))*1,0))</f>
        <v>749334</v>
      </c>
      <c r="S2448" s="13">
        <f>$E2448+8</f>
        <v>117</v>
      </c>
      <c r="T2448" s="14">
        <f>IF($J2448=0,0,ROUND(MAX($J2448*1.4*1.5*1.6*1.6*2.2,42600000*(1.576904^(MIN($E2448,123)-117)))*1,0))</f>
        <v>1147238</v>
      </c>
      <c r="U2448" s="11">
        <f>$E2448+11</f>
        <v>120</v>
      </c>
      <c r="V2448" s="12">
        <f>IF($J2448=0,0,ROUND(MAX($J2448*1.4*1.5*1.6*1.6*2.2*2.715,354000000*(1.642074^(MIN($E2448,123)-117)))*1,0))</f>
        <v>6696710</v>
      </c>
      <c r="W2448" s="13">
        <f>$E2448+15</f>
        <v>124</v>
      </c>
      <c r="X2448" s="14">
        <f>IF($J2448=0,0,ROUND(MAX($J2448*1.4*1.5*1.6*1.6*2.2*2.715*2.6,3540000000*(1.579646^(MIN($E2448,123)-117)))*1,0))</f>
        <v>91311418</v>
      </c>
      <c r="Y2448" s="11">
        <f>$E2448+17</f>
        <v>126</v>
      </c>
      <c r="Z2448" s="12">
        <f>IF($J2448=0,0,ROUND(MAX($J2448*1.4*1.5*1.6*1.6*2.2*2.715*2.6*1.4,6020000000*(1.651178^(MIN($E2448,123)-117)))*1,0))</f>
        <v>108954543</v>
      </c>
      <c r="AA2448" s="13">
        <f>$E2448+19</f>
        <v>128</v>
      </c>
      <c r="AB2448" s="14">
        <f>IF($J2448=0,0,ROUND(MAX($J2448*1.4*1.5*1.6*1.6*2.2*2.715*2.6*1.4*1.4,8430000000*(1.651435^(MIN($E2448,123)-117)))*1,0))</f>
        <v>152382712</v>
      </c>
      <c r="AC2448" s="11">
        <f>$E2448+21</f>
        <v>130</v>
      </c>
      <c r="AD2448" s="12">
        <f>IF($J2448=0,0,ROUND(MAX($J2448*1.4*1.5*1.6*1.6*2.2*2.715*2.6*1.4*1.4*1.5,12600000000*(1.652953^(MIN($E2448,123)-117)))*1,0))</f>
        <v>226092682</v>
      </c>
      <c r="AE2448" s="13">
        <f>$E2448+24</f>
        <v>133</v>
      </c>
      <c r="AF2448" s="14">
        <f>IF($J2448=0,0,ROUND(MAX($J2448*1.4*1.5*1.6*1.6*2.2*2.715*2.6*1.4*1.4*1.5*1.5,18900000000*(1.65331^(MIN($E2448,123)-117)))*1,0))</f>
        <v>338553621</v>
      </c>
      <c r="AG2448" s="11">
        <f>$E2448+27</f>
        <v>136</v>
      </c>
      <c r="AH2448" s="12">
        <f>IF($J2448=0,0,ROUND(MAX($J2448*1.4*1.5*1.6*1.6*2.2*2.715*2.6*1.4*1.4*1.5*1.5*3.2,60500000000*(1.654288^(MIN($E2448,123)-117)))*1,0))</f>
        <v>1078614909</v>
      </c>
    </row>
    <row r="2449" ht="28" customHeight="1" spans="1:34" x14ac:dyDescent="0.25">
      <c r="A2449">
        <v>2459</v>
      </c>
      <c r="B2449" t="s">
        <v>1481</v>
      </c>
      <c r="C2449" s="10" t="s">
        <v>1421</v>
      </c>
      <c r="D2449" t="s">
        <v>25</v>
      </c>
      <c r="E2449">
        <v>109</v>
      </c>
      <c r="F2449" t="s">
        <v>123</v>
      </c>
      <c r="G2449" t="s">
        <v>1029</v>
      </c>
      <c r="H2449">
        <v>25</v>
      </c>
      <c r="I2449" s="11">
        <v>109</v>
      </c>
      <c r="J2449" s="12">
        <v>78900</v>
      </c>
      <c r="K2449" s="13">
        <f>$E2449+1</f>
        <v>110</v>
      </c>
      <c r="L2449" s="14">
        <f>IF($J2449=0,0,ROUND(MAX($J2449*1.4,1620000*(1.497923^(MIN($E2449,123)-117)))*1,0))</f>
        <v>110460</v>
      </c>
      <c r="M2449" s="11">
        <f>$E2449+2</f>
        <v>111</v>
      </c>
      <c r="N2449" s="12">
        <f>IF($J2449=0,0,ROUND(MAX($J2449*1.4*1.5,2190000*(1.580994^(MIN($E2449,123)-117)))*1,0))</f>
        <v>165690</v>
      </c>
      <c r="O2449" s="13">
        <f>$E2449+4</f>
        <v>113</v>
      </c>
      <c r="P2449" s="14">
        <f>IF($J2449=0,0,ROUND(MAX($J2449*1.4*1.5*1.6,3500000*(1.57975^(MIN($E2449,123)-117)))*1,0))</f>
        <v>265104</v>
      </c>
      <c r="Q2449" s="11">
        <f>$E2449+6</f>
        <v>115</v>
      </c>
      <c r="R2449" s="12">
        <f>IF($J2449=0,0,ROUND(MAX($J2449*1.4*1.5*1.6*1.6,13100000*(1.429962^(MIN($E2449,123)-117)))*1,0))</f>
        <v>749334</v>
      </c>
      <c r="S2449" s="13">
        <f>$E2449+8</f>
        <v>117</v>
      </c>
      <c r="T2449" s="14">
        <f>IF($J2449=0,0,ROUND(MAX($J2449*1.4*1.5*1.6*1.6*2.2,42600000*(1.576904^(MIN($E2449,123)-117)))*1,0))</f>
        <v>1114211</v>
      </c>
      <c r="U2449" s="11">
        <f>$E2449+11</f>
        <v>120</v>
      </c>
      <c r="V2449" s="12">
        <f>IF($J2449=0,0,ROUND(MAX($J2449*1.4*1.5*1.6*1.6*2.2*2.715,354000000*(1.642074^(MIN($E2449,123)-117)))*1,0))</f>
        <v>6696710</v>
      </c>
      <c r="W2449" s="13">
        <f>$E2449+15</f>
        <v>124</v>
      </c>
      <c r="X2449" s="14">
        <f>IF($J2449=0,0,ROUND(MAX($J2449*1.4*1.5*1.6*1.6*2.2*2.715*2.6,3540000000*(1.579646^(MIN($E2449,123)-117)))*1,0))</f>
        <v>91311418</v>
      </c>
      <c r="Y2449" s="11">
        <f>$E2449+17</f>
        <v>126</v>
      </c>
      <c r="Z2449" s="12">
        <f>IF($J2449=0,0,ROUND(MAX($J2449*1.4*1.5*1.6*1.6*2.2*2.715*2.6*1.4,6020000000*(1.651178^(MIN($E2449,123)-117)))*1,0))</f>
        <v>108954543</v>
      </c>
      <c r="AA2449" s="13">
        <f>$E2449+19</f>
        <v>128</v>
      </c>
      <c r="AB2449" s="14">
        <f>IF($J2449=0,0,ROUND(MAX($J2449*1.4*1.5*1.6*1.6*2.2*2.715*2.6*1.4*1.4,8430000000*(1.651435^(MIN($E2449,123)-117)))*1,0))</f>
        <v>152382712</v>
      </c>
      <c r="AC2449" s="11">
        <f>$E2449+21</f>
        <v>130</v>
      </c>
      <c r="AD2449" s="12">
        <f>IF($J2449=0,0,ROUND(MAX($J2449*1.4*1.5*1.6*1.6*2.2*2.715*2.6*1.4*1.4*1.5,12600000000*(1.652953^(MIN($E2449,123)-117)))*1,0))</f>
        <v>226092682</v>
      </c>
      <c r="AE2449" s="13">
        <f>$E2449+24</f>
        <v>133</v>
      </c>
      <c r="AF2449" s="14">
        <f>IF($J2449=0,0,ROUND(MAX($J2449*1.4*1.5*1.6*1.6*2.2*2.715*2.6*1.4*1.4*1.5*1.5,18900000000*(1.65331^(MIN($E2449,123)-117)))*1,0))</f>
        <v>338553621</v>
      </c>
      <c r="AG2449" s="11">
        <f>$E2449+27</f>
        <v>136</v>
      </c>
      <c r="AH2449" s="12">
        <f>IF($J2449=0,0,ROUND(MAX($J2449*1.4*1.5*1.6*1.6*2.2*2.715*2.6*1.4*1.4*1.5*1.5*3.2,60500000000*(1.654288^(MIN($E2449,123)-117)))*1,0))</f>
        <v>1078614909</v>
      </c>
    </row>
    <row r="2450" ht="28" customHeight="1" spans="1:34" x14ac:dyDescent="0.25">
      <c r="A2450">
        <v>2460</v>
      </c>
      <c r="B2450" t="s">
        <v>1482</v>
      </c>
      <c r="C2450" s="10" t="s">
        <v>1421</v>
      </c>
      <c r="D2450" t="s">
        <v>33</v>
      </c>
      <c r="E2450">
        <v>109</v>
      </c>
      <c r="F2450" t="s">
        <v>298</v>
      </c>
      <c r="G2450" t="s">
        <v>762</v>
      </c>
      <c r="H2450">
        <v>25</v>
      </c>
      <c r="I2450" s="11">
        <v>109</v>
      </c>
      <c r="J2450" s="12">
        <v>338000</v>
      </c>
      <c r="K2450" s="13">
        <f>$E2450+1</f>
        <v>110</v>
      </c>
      <c r="L2450" s="14">
        <f>IF($J2450=0,0,ROUND(MAX($J2450*1.4,1620000*(1.497923^(MIN($E2450,123)-117)))*1,0))</f>
        <v>473200</v>
      </c>
      <c r="M2450" s="11">
        <f>$E2450+2</f>
        <v>111</v>
      </c>
      <c r="N2450" s="12">
        <f>IF($J2450=0,0,ROUND(MAX($J2450*1.4*1.5,2190000*(1.580994^(MIN($E2450,123)-117)))*1,0))</f>
        <v>709800</v>
      </c>
      <c r="O2450" s="13">
        <f>$E2450+4</f>
        <v>113</v>
      </c>
      <c r="P2450" s="14">
        <f>IF($J2450=0,0,ROUND(MAX($J2450*1.4*1.5*1.6,3500000*(1.57975^(MIN($E2450,123)-117)))*1,0))</f>
        <v>1135680</v>
      </c>
      <c r="Q2450" s="11">
        <f>$E2450+6</f>
        <v>115</v>
      </c>
      <c r="R2450" s="12">
        <f>IF($J2450=0,0,ROUND(MAX($J2450*1.4*1.5*1.6*1.6,13100000*(1.429962^(MIN($E2450,123)-117)))*1,0))</f>
        <v>1817088</v>
      </c>
      <c r="S2450" s="13">
        <f>$E2450+8</f>
        <v>117</v>
      </c>
      <c r="T2450" s="14">
        <f>IF($J2450=0,0,ROUND(MAX($J2450*1.4*1.5*1.6*1.6*2.2,42600000*(1.576904^(MIN($E2450,123)-117)))*1,0))</f>
        <v>3997594</v>
      </c>
      <c r="U2450" s="11">
        <f>$E2450+11</f>
        <v>120</v>
      </c>
      <c r="V2450" s="12">
        <f>IF($J2450=0,0,ROUND(MAX($J2450*1.4*1.5*1.6*1.6*2.2*2.715,354000000*(1.642074^(MIN($E2450,123)-117)))*1,0))</f>
        <v>10853467</v>
      </c>
      <c r="W2450" s="13">
        <f>$E2450+15</f>
        <v>124</v>
      </c>
      <c r="X2450" s="14">
        <f>IF($J2450=0,0,ROUND(MAX($J2450*1.4*1.5*1.6*1.6*2.2*2.715*2.6,3540000000*(1.579646^(MIN($E2450,123)-117)))*1,0))</f>
        <v>91311418</v>
      </c>
      <c r="Y2450" s="11">
        <f>$E2450+17</f>
        <v>126</v>
      </c>
      <c r="Z2450" s="12">
        <f>IF($J2450=0,0,ROUND(MAX($J2450*1.4*1.5*1.6*1.6*2.2*2.715*2.6*1.4,6020000000*(1.651178^(MIN($E2450,123)-117)))*1,0))</f>
        <v>108954543</v>
      </c>
      <c r="AA2450" s="13">
        <f>$E2450+19</f>
        <v>128</v>
      </c>
      <c r="AB2450" s="14">
        <f>IF($J2450=0,0,ROUND(MAX($J2450*1.4*1.5*1.6*1.6*2.2*2.715*2.6*1.4*1.4,8430000000*(1.651435^(MIN($E2450,123)-117)))*1,0))</f>
        <v>152382712</v>
      </c>
      <c r="AC2450" s="11">
        <f>$E2450+21</f>
        <v>130</v>
      </c>
      <c r="AD2450" s="12">
        <f>IF($J2450=0,0,ROUND(MAX($J2450*1.4*1.5*1.6*1.6*2.2*2.715*2.6*1.4*1.4*1.5,12600000000*(1.652953^(MIN($E2450,123)-117)))*1,0))</f>
        <v>226092682</v>
      </c>
      <c r="AE2450" s="13">
        <f>$E2450+24</f>
        <v>133</v>
      </c>
      <c r="AF2450" s="14">
        <f>IF($J2450=0,0,ROUND(MAX($J2450*1.4*1.5*1.6*1.6*2.2*2.715*2.6*1.4*1.4*1.5*1.5,18900000000*(1.65331^(MIN($E2450,123)-117)))*1,0))</f>
        <v>338553621</v>
      </c>
      <c r="AG2450" s="11">
        <f>$E2450+27</f>
        <v>136</v>
      </c>
      <c r="AH2450" s="12">
        <f>IF($J2450=0,0,ROUND(MAX($J2450*1.4*1.5*1.6*1.6*2.2*2.715*2.6*1.4*1.4*1.5*1.5*3.2,60500000000*(1.654288^(MIN($E2450,123)-117)))*1,0))</f>
        <v>1078614909</v>
      </c>
    </row>
    <row r="2451" ht="28" customHeight="1" spans="1:34" x14ac:dyDescent="0.25">
      <c r="A2451">
        <v>2461</v>
      </c>
      <c r="B2451" t="s">
        <v>1483</v>
      </c>
      <c r="C2451" s="10" t="s">
        <v>1421</v>
      </c>
      <c r="D2451" t="s">
        <v>102</v>
      </c>
      <c r="E2451">
        <v>109</v>
      </c>
      <c r="F2451" t="s">
        <v>341</v>
      </c>
      <c r="G2451" t="s">
        <v>169</v>
      </c>
      <c r="H2451">
        <v>25</v>
      </c>
      <c r="I2451" s="11">
        <v>109</v>
      </c>
      <c r="J2451" s="12">
        <v>83600</v>
      </c>
      <c r="K2451" s="13">
        <f>$E2451+1</f>
        <v>110</v>
      </c>
      <c r="L2451" s="14">
        <f>IF($J2451=0,0,ROUND(MAX($J2451*1.4,1620000*(1.497923^(MIN($E2451,123)-117)))*1,0))</f>
        <v>117040</v>
      </c>
      <c r="M2451" s="11">
        <f>$E2451+2</f>
        <v>111</v>
      </c>
      <c r="N2451" s="12">
        <f>IF($J2451=0,0,ROUND(MAX($J2451*1.4*1.5,2190000*(1.580994^(MIN($E2451,123)-117)))*1,0))</f>
        <v>175560</v>
      </c>
      <c r="O2451" s="13">
        <f>$E2451+4</f>
        <v>113</v>
      </c>
      <c r="P2451" s="14">
        <f>IF($J2451=0,0,ROUND(MAX($J2451*1.4*1.5*1.6,3500000*(1.57975^(MIN($E2451,123)-117)))*1,0))</f>
        <v>280896</v>
      </c>
      <c r="Q2451" s="11">
        <f>$E2451+6</f>
        <v>115</v>
      </c>
      <c r="R2451" s="12">
        <f>IF($J2451=0,0,ROUND(MAX($J2451*1.4*1.5*1.6*1.6,13100000*(1.429962^(MIN($E2451,123)-117)))*1,0))</f>
        <v>749334</v>
      </c>
      <c r="S2451" s="13">
        <f>$E2451+8</f>
        <v>117</v>
      </c>
      <c r="T2451" s="14">
        <f>IF($J2451=0,0,ROUND(MAX($J2451*1.4*1.5*1.6*1.6*2.2,42600000*(1.576904^(MIN($E2451,123)-117)))*1,0))</f>
        <v>1114211</v>
      </c>
      <c r="U2451" s="11">
        <f>$E2451+11</f>
        <v>120</v>
      </c>
      <c r="V2451" s="12">
        <f>IF($J2451=0,0,ROUND(MAX($J2451*1.4*1.5*1.6*1.6*2.2*2.715,354000000*(1.642074^(MIN($E2451,123)-117)))*1,0))</f>
        <v>6696710</v>
      </c>
      <c r="W2451" s="13">
        <f>$E2451+15</f>
        <v>124</v>
      </c>
      <c r="X2451" s="14">
        <f>IF($J2451=0,0,ROUND(MAX($J2451*1.4*1.5*1.6*1.6*2.2*2.715*2.6,3540000000*(1.579646^(MIN($E2451,123)-117)))*1,0))</f>
        <v>91311418</v>
      </c>
      <c r="Y2451" s="11">
        <f>$E2451+17</f>
        <v>126</v>
      </c>
      <c r="Z2451" s="12">
        <f>IF($J2451=0,0,ROUND(MAX($J2451*1.4*1.5*1.6*1.6*2.2*2.715*2.6*1.4,6020000000*(1.651178^(MIN($E2451,123)-117)))*1,0))</f>
        <v>108954543</v>
      </c>
      <c r="AA2451" s="13">
        <f>$E2451+19</f>
        <v>128</v>
      </c>
      <c r="AB2451" s="14">
        <f>IF($J2451=0,0,ROUND(MAX($J2451*1.4*1.5*1.6*1.6*2.2*2.715*2.6*1.4*1.4,8430000000*(1.651435^(MIN($E2451,123)-117)))*1,0))</f>
        <v>152382712</v>
      </c>
      <c r="AC2451" s="11">
        <f>$E2451+21</f>
        <v>130</v>
      </c>
      <c r="AD2451" s="12">
        <f>IF($J2451=0,0,ROUND(MAX($J2451*1.4*1.5*1.6*1.6*2.2*2.715*2.6*1.4*1.4*1.5,12600000000*(1.652953^(MIN($E2451,123)-117)))*1,0))</f>
        <v>226092682</v>
      </c>
      <c r="AE2451" s="13">
        <f>$E2451+24</f>
        <v>133</v>
      </c>
      <c r="AF2451" s="14">
        <f>IF($J2451=0,0,ROUND(MAX($J2451*1.4*1.5*1.6*1.6*2.2*2.715*2.6*1.4*1.4*1.5*1.5,18900000000*(1.65331^(MIN($E2451,123)-117)))*1,0))</f>
        <v>338553621</v>
      </c>
      <c r="AG2451" s="11">
        <f>$E2451+27</f>
        <v>136</v>
      </c>
      <c r="AH2451" s="12">
        <f>IF($J2451=0,0,ROUND(MAX($J2451*1.4*1.5*1.6*1.6*2.2*2.715*2.6*1.4*1.4*1.5*1.5*3.2,60500000000*(1.654288^(MIN($E2451,123)-117)))*1,0))</f>
        <v>1078614909</v>
      </c>
    </row>
    <row r="2452" ht="28" customHeight="1" spans="1:34" x14ac:dyDescent="0.25">
      <c r="A2452">
        <v>2462</v>
      </c>
      <c r="B2452" t="s">
        <v>1059</v>
      </c>
      <c r="C2452" s="10" t="s">
        <v>1421</v>
      </c>
      <c r="D2452" t="s">
        <v>45</v>
      </c>
      <c r="E2452">
        <v>109</v>
      </c>
      <c r="F2452" t="s">
        <v>34</v>
      </c>
      <c r="G2452" t="s">
        <v>1013</v>
      </c>
      <c r="H2452">
        <v>25</v>
      </c>
      <c r="I2452" s="11">
        <v>109</v>
      </c>
      <c r="J2452" s="12">
        <v>73400</v>
      </c>
      <c r="K2452" s="13">
        <f>$E2452+1</f>
        <v>110</v>
      </c>
      <c r="L2452" s="14">
        <f>IF($J2452=0,0,ROUND(MAX($J2452*1.4,1620000*(1.497923^(MIN($E2452,123)-117)))*1,0))</f>
        <v>102760</v>
      </c>
      <c r="M2452" s="11">
        <f>$E2452+2</f>
        <v>111</v>
      </c>
      <c r="N2452" s="12">
        <f>IF($J2452=0,0,ROUND(MAX($J2452*1.4*1.5,2190000*(1.580994^(MIN($E2452,123)-117)))*1,0))</f>
        <v>154140</v>
      </c>
      <c r="O2452" s="13">
        <f>$E2452+4</f>
        <v>113</v>
      </c>
      <c r="P2452" s="14">
        <f>IF($J2452=0,0,ROUND(MAX($J2452*1.4*1.5*1.6,3500000*(1.57975^(MIN($E2452,123)-117)))*1,0))</f>
        <v>246624</v>
      </c>
      <c r="Q2452" s="11">
        <f>$E2452+6</f>
        <v>115</v>
      </c>
      <c r="R2452" s="12">
        <f>IF($J2452=0,0,ROUND(MAX($J2452*1.4*1.5*1.6*1.6,13100000*(1.429962^(MIN($E2452,123)-117)))*1,0))</f>
        <v>749334</v>
      </c>
      <c r="S2452" s="13">
        <f>$E2452+8</f>
        <v>117</v>
      </c>
      <c r="T2452" s="14">
        <f>IF($J2452=0,0,ROUND(MAX($J2452*1.4*1.5*1.6*1.6*2.2,42600000*(1.576904^(MIN($E2452,123)-117)))*1,0))</f>
        <v>1114211</v>
      </c>
      <c r="U2452" s="11">
        <f>$E2452+11</f>
        <v>120</v>
      </c>
      <c r="V2452" s="12">
        <f>IF($J2452=0,0,ROUND(MAX($J2452*1.4*1.5*1.6*1.6*2.2*2.715,354000000*(1.642074^(MIN($E2452,123)-117)))*1,0))</f>
        <v>6696710</v>
      </c>
      <c r="W2452" s="13">
        <f>$E2452+15</f>
        <v>124</v>
      </c>
      <c r="X2452" s="14">
        <f>IF($J2452=0,0,ROUND(MAX($J2452*1.4*1.5*1.6*1.6*2.2*2.715*2.6,3540000000*(1.579646^(MIN($E2452,123)-117)))*1,0))</f>
        <v>91311418</v>
      </c>
      <c r="Y2452" s="11">
        <f>$E2452+17</f>
        <v>126</v>
      </c>
      <c r="Z2452" s="12">
        <f>IF($J2452=0,0,ROUND(MAX($J2452*1.4*1.5*1.6*1.6*2.2*2.715*2.6*1.4,6020000000*(1.651178^(MIN($E2452,123)-117)))*1,0))</f>
        <v>108954543</v>
      </c>
      <c r="AA2452" s="13">
        <f>$E2452+19</f>
        <v>128</v>
      </c>
      <c r="AB2452" s="14">
        <f>IF($J2452=0,0,ROUND(MAX($J2452*1.4*1.5*1.6*1.6*2.2*2.715*2.6*1.4*1.4,8430000000*(1.651435^(MIN($E2452,123)-117)))*1,0))</f>
        <v>152382712</v>
      </c>
      <c r="AC2452" s="11">
        <f>$E2452+21</f>
        <v>130</v>
      </c>
      <c r="AD2452" s="12">
        <f>IF($J2452=0,0,ROUND(MAX($J2452*1.4*1.5*1.6*1.6*2.2*2.715*2.6*1.4*1.4*1.5,12600000000*(1.652953^(MIN($E2452,123)-117)))*1,0))</f>
        <v>226092682</v>
      </c>
      <c r="AE2452" s="13">
        <f>$E2452+24</f>
        <v>133</v>
      </c>
      <c r="AF2452" s="14">
        <f>IF($J2452=0,0,ROUND(MAX($J2452*1.4*1.5*1.6*1.6*2.2*2.715*2.6*1.4*1.4*1.5*1.5,18900000000*(1.65331^(MIN($E2452,123)-117)))*1,0))</f>
        <v>338553621</v>
      </c>
      <c r="AG2452" s="11">
        <f>$E2452+27</f>
        <v>136</v>
      </c>
      <c r="AH2452" s="12">
        <f>IF($J2452=0,0,ROUND(MAX($J2452*1.4*1.5*1.6*1.6*2.2*2.715*2.6*1.4*1.4*1.5*1.5*3.2,60500000000*(1.654288^(MIN($E2452,123)-117)))*1,0))</f>
        <v>1078614909</v>
      </c>
    </row>
    <row r="2453" ht="28" customHeight="1" spans="1:34" x14ac:dyDescent="0.25">
      <c r="A2453">
        <v>2463</v>
      </c>
      <c r="B2453" t="s">
        <v>1045</v>
      </c>
      <c r="C2453" s="10" t="s">
        <v>1421</v>
      </c>
      <c r="D2453" t="s">
        <v>102</v>
      </c>
      <c r="E2453">
        <v>109</v>
      </c>
      <c r="F2453" t="s">
        <v>71</v>
      </c>
      <c r="G2453" t="s">
        <v>206</v>
      </c>
      <c r="H2453">
        <v>25</v>
      </c>
      <c r="I2453" s="11">
        <v>109</v>
      </c>
      <c r="J2453" s="12">
        <v>57300</v>
      </c>
      <c r="K2453" s="13">
        <f>$E2453+1</f>
        <v>110</v>
      </c>
      <c r="L2453" s="14">
        <f>IF($J2453=0,0,ROUND(MAX($J2453*1.4,1620000*(1.497923^(MIN($E2453,123)-117)))*1,0))</f>
        <v>80220</v>
      </c>
      <c r="M2453" s="11">
        <f>$E2453+2</f>
        <v>111</v>
      </c>
      <c r="N2453" s="12">
        <f>IF($J2453=0,0,ROUND(MAX($J2453*1.4*1.5,2190000*(1.580994^(MIN($E2453,123)-117)))*1,0))</f>
        <v>120330</v>
      </c>
      <c r="O2453" s="13">
        <f>$E2453+4</f>
        <v>113</v>
      </c>
      <c r="P2453" s="14">
        <f>IF($J2453=0,0,ROUND(MAX($J2453*1.4*1.5*1.6,3500000*(1.57975^(MIN($E2453,123)-117)))*1,0))</f>
        <v>192528</v>
      </c>
      <c r="Q2453" s="11">
        <f>$E2453+6</f>
        <v>115</v>
      </c>
      <c r="R2453" s="12">
        <f>IF($J2453=0,0,ROUND(MAX($J2453*1.4*1.5*1.6*1.6,13100000*(1.429962^(MIN($E2453,123)-117)))*1,0))</f>
        <v>749334</v>
      </c>
      <c r="S2453" s="13">
        <f>$E2453+8</f>
        <v>117</v>
      </c>
      <c r="T2453" s="14">
        <f>IF($J2453=0,0,ROUND(MAX($J2453*1.4*1.5*1.6*1.6*2.2,42600000*(1.576904^(MIN($E2453,123)-117)))*1,0))</f>
        <v>1114211</v>
      </c>
      <c r="U2453" s="11">
        <f>$E2453+11</f>
        <v>120</v>
      </c>
      <c r="V2453" s="12">
        <f>IF($J2453=0,0,ROUND(MAX($J2453*1.4*1.5*1.6*1.6*2.2*2.715,354000000*(1.642074^(MIN($E2453,123)-117)))*1,0))</f>
        <v>6696710</v>
      </c>
      <c r="W2453" s="13">
        <f>$E2453+15</f>
        <v>124</v>
      </c>
      <c r="X2453" s="14">
        <f>IF($J2453=0,0,ROUND(MAX($J2453*1.4*1.5*1.6*1.6*2.2*2.715*2.6,3540000000*(1.579646^(MIN($E2453,123)-117)))*1,0))</f>
        <v>91311418</v>
      </c>
      <c r="Y2453" s="11">
        <f>$E2453+17</f>
        <v>126</v>
      </c>
      <c r="Z2453" s="12">
        <f>IF($J2453=0,0,ROUND(MAX($J2453*1.4*1.5*1.6*1.6*2.2*2.715*2.6*1.4,6020000000*(1.651178^(MIN($E2453,123)-117)))*1,0))</f>
        <v>108954543</v>
      </c>
      <c r="AA2453" s="13">
        <f>$E2453+19</f>
        <v>128</v>
      </c>
      <c r="AB2453" s="14">
        <f>IF($J2453=0,0,ROUND(MAX($J2453*1.4*1.5*1.6*1.6*2.2*2.715*2.6*1.4*1.4,8430000000*(1.651435^(MIN($E2453,123)-117)))*1,0))</f>
        <v>152382712</v>
      </c>
      <c r="AC2453" s="11">
        <f>$E2453+21</f>
        <v>130</v>
      </c>
      <c r="AD2453" s="12">
        <f>IF($J2453=0,0,ROUND(MAX($J2453*1.4*1.5*1.6*1.6*2.2*2.715*2.6*1.4*1.4*1.5,12600000000*(1.652953^(MIN($E2453,123)-117)))*1,0))</f>
        <v>226092682</v>
      </c>
      <c r="AE2453" s="13">
        <f>$E2453+24</f>
        <v>133</v>
      </c>
      <c r="AF2453" s="14">
        <f>IF($J2453=0,0,ROUND(MAX($J2453*1.4*1.5*1.6*1.6*2.2*2.715*2.6*1.4*1.4*1.5*1.5,18900000000*(1.65331^(MIN($E2453,123)-117)))*1,0))</f>
        <v>338553621</v>
      </c>
      <c r="AG2453" s="11">
        <f>$E2453+27</f>
        <v>136</v>
      </c>
      <c r="AH2453" s="12">
        <f>IF($J2453=0,0,ROUND(MAX($J2453*1.4*1.5*1.6*1.6*2.2*2.715*2.6*1.4*1.4*1.5*1.5*3.2,60500000000*(1.654288^(MIN($E2453,123)-117)))*1,0))</f>
        <v>1078614909</v>
      </c>
    </row>
    <row r="2454" ht="28" customHeight="1" spans="1:34" x14ac:dyDescent="0.25">
      <c r="A2454">
        <v>2464</v>
      </c>
      <c r="B2454" t="s">
        <v>1484</v>
      </c>
      <c r="C2454" s="10" t="s">
        <v>1421</v>
      </c>
      <c r="D2454" t="s">
        <v>33</v>
      </c>
      <c r="E2454">
        <v>109</v>
      </c>
      <c r="F2454" t="s">
        <v>30</v>
      </c>
      <c r="G2454" t="s">
        <v>801</v>
      </c>
      <c r="H2454">
        <v>24</v>
      </c>
      <c r="I2454" s="11">
        <v>109</v>
      </c>
      <c r="J2454" s="12">
        <v>47900</v>
      </c>
      <c r="K2454" s="13">
        <f>$E2454+1</f>
        <v>110</v>
      </c>
      <c r="L2454" s="14">
        <f>IF($J2454=0,0,ROUND(MAX($J2454*1.4,1620000*(1.497923^(MIN($E2454,123)-117)))*1,0))</f>
        <v>67060</v>
      </c>
      <c r="M2454" s="11">
        <f>$E2454+2</f>
        <v>111</v>
      </c>
      <c r="N2454" s="12">
        <f>IF($J2454=0,0,ROUND(MAX($J2454*1.4*1.5,2190000*(1.580994^(MIN($E2454,123)-117)))*1,0))</f>
        <v>100590</v>
      </c>
      <c r="O2454" s="13">
        <f>$E2454+4</f>
        <v>113</v>
      </c>
      <c r="P2454" s="14">
        <f>IF($J2454=0,0,ROUND(MAX($J2454*1.4*1.5*1.6,3500000*(1.57975^(MIN($E2454,123)-117)))*1,0))</f>
        <v>160944</v>
      </c>
      <c r="Q2454" s="11">
        <f>$E2454+6</f>
        <v>115</v>
      </c>
      <c r="R2454" s="12">
        <f>IF($J2454=0,0,ROUND(MAX($J2454*1.4*1.5*1.6*1.6,13100000*(1.429962^(MIN($E2454,123)-117)))*1,0))</f>
        <v>749334</v>
      </c>
      <c r="S2454" s="13">
        <f>$E2454+8</f>
        <v>117</v>
      </c>
      <c r="T2454" s="14">
        <f>IF($J2454=0,0,ROUND(MAX($J2454*1.4*1.5*1.6*1.6*2.2,42600000*(1.576904^(MIN($E2454,123)-117)))*1,0))</f>
        <v>1114211</v>
      </c>
      <c r="U2454" s="11">
        <f>$E2454+11</f>
        <v>120</v>
      </c>
      <c r="V2454" s="12">
        <f>IF($J2454=0,0,ROUND(MAX($J2454*1.4*1.5*1.6*1.6*2.2*2.715,354000000*(1.642074^(MIN($E2454,123)-117)))*1,0))</f>
        <v>6696710</v>
      </c>
      <c r="W2454" s="13">
        <f>$E2454+15</f>
        <v>124</v>
      </c>
      <c r="X2454" s="14">
        <f>IF($J2454=0,0,ROUND(MAX($J2454*1.4*1.5*1.6*1.6*2.2*2.715*2.6,3540000000*(1.579646^(MIN($E2454,123)-117)))*1,0))</f>
        <v>91311418</v>
      </c>
      <c r="Y2454" s="11">
        <f>$E2454+17</f>
        <v>126</v>
      </c>
      <c r="Z2454" s="12">
        <f>IF($J2454=0,0,ROUND(MAX($J2454*1.4*1.5*1.6*1.6*2.2*2.715*2.6*1.4,6020000000*(1.651178^(MIN($E2454,123)-117)))*1,0))</f>
        <v>108954543</v>
      </c>
      <c r="AA2454" s="13">
        <f>$E2454+19</f>
        <v>128</v>
      </c>
      <c r="AB2454" s="14">
        <f>IF($J2454=0,0,ROUND(MAX($J2454*1.4*1.5*1.6*1.6*2.2*2.715*2.6*1.4*1.4,8430000000*(1.651435^(MIN($E2454,123)-117)))*1,0))</f>
        <v>152382712</v>
      </c>
      <c r="AC2454" s="11">
        <f>$E2454+21</f>
        <v>130</v>
      </c>
      <c r="AD2454" s="12">
        <f>IF($J2454=0,0,ROUND(MAX($J2454*1.4*1.5*1.6*1.6*2.2*2.715*2.6*1.4*1.4*1.5,12600000000*(1.652953^(MIN($E2454,123)-117)))*1,0))</f>
        <v>226092682</v>
      </c>
      <c r="AE2454" s="13">
        <f>$E2454+24</f>
        <v>133</v>
      </c>
      <c r="AF2454" s="14">
        <f>IF($J2454=0,0,ROUND(MAX($J2454*1.4*1.5*1.6*1.6*2.2*2.715*2.6*1.4*1.4*1.5*1.5,18900000000*(1.65331^(MIN($E2454,123)-117)))*1,0))</f>
        <v>338553621</v>
      </c>
      <c r="AG2454" s="11">
        <f>$E2454+27</f>
        <v>136</v>
      </c>
      <c r="AH2454" s="12">
        <f>IF($J2454=0,0,ROUND(MAX($J2454*1.4*1.5*1.6*1.6*2.2*2.715*2.6*1.4*1.4*1.5*1.5*3.2,60500000000*(1.654288^(MIN($E2454,123)-117)))*1,0))</f>
        <v>1078614909</v>
      </c>
    </row>
    <row r="2455" ht="28" customHeight="1" spans="1:34" x14ac:dyDescent="0.25">
      <c r="A2455">
        <v>2465</v>
      </c>
      <c r="B2455" t="s">
        <v>1485</v>
      </c>
      <c r="C2455" s="10" t="s">
        <v>1421</v>
      </c>
      <c r="D2455" t="s">
        <v>102</v>
      </c>
      <c r="E2455">
        <v>109</v>
      </c>
      <c r="F2455" t="s">
        <v>30</v>
      </c>
      <c r="G2455" t="s">
        <v>1398</v>
      </c>
      <c r="H2455">
        <v>24</v>
      </c>
      <c r="I2455" s="11">
        <v>109</v>
      </c>
      <c r="J2455" s="12">
        <v>84300</v>
      </c>
      <c r="K2455" s="13">
        <f>$E2455+1</f>
        <v>110</v>
      </c>
      <c r="L2455" s="14">
        <f>IF($J2455=0,0,ROUND(MAX($J2455*1.4,1620000*(1.497923^(MIN($E2455,123)-117)))*1,0))</f>
        <v>118020</v>
      </c>
      <c r="M2455" s="11">
        <f>$E2455+2</f>
        <v>111</v>
      </c>
      <c r="N2455" s="12">
        <f>IF($J2455=0,0,ROUND(MAX($J2455*1.4*1.5,2190000*(1.580994^(MIN($E2455,123)-117)))*1,0))</f>
        <v>177030</v>
      </c>
      <c r="O2455" s="13">
        <f>$E2455+4</f>
        <v>113</v>
      </c>
      <c r="P2455" s="14">
        <f>IF($J2455=0,0,ROUND(MAX($J2455*1.4*1.5*1.6,3500000*(1.57975^(MIN($E2455,123)-117)))*1,0))</f>
        <v>283248</v>
      </c>
      <c r="Q2455" s="11">
        <f>$E2455+6</f>
        <v>115</v>
      </c>
      <c r="R2455" s="12">
        <f>IF($J2455=0,0,ROUND(MAX($J2455*1.4*1.5*1.6*1.6,13100000*(1.429962^(MIN($E2455,123)-117)))*1,0))</f>
        <v>749334</v>
      </c>
      <c r="S2455" s="13">
        <f>$E2455+8</f>
        <v>117</v>
      </c>
      <c r="T2455" s="14">
        <f>IF($J2455=0,0,ROUND(MAX($J2455*1.4*1.5*1.6*1.6*2.2,42600000*(1.576904^(MIN($E2455,123)-117)))*1,0))</f>
        <v>1114211</v>
      </c>
      <c r="U2455" s="11">
        <f>$E2455+11</f>
        <v>120</v>
      </c>
      <c r="V2455" s="12">
        <f>IF($J2455=0,0,ROUND(MAX($J2455*1.4*1.5*1.6*1.6*2.2*2.715,354000000*(1.642074^(MIN($E2455,123)-117)))*1,0))</f>
        <v>6696710</v>
      </c>
      <c r="W2455" s="13">
        <f>$E2455+15</f>
        <v>124</v>
      </c>
      <c r="X2455" s="14">
        <f>IF($J2455=0,0,ROUND(MAX($J2455*1.4*1.5*1.6*1.6*2.2*2.715*2.6,3540000000*(1.579646^(MIN($E2455,123)-117)))*1,0))</f>
        <v>91311418</v>
      </c>
      <c r="Y2455" s="11">
        <f>$E2455+17</f>
        <v>126</v>
      </c>
      <c r="Z2455" s="12">
        <f>IF($J2455=0,0,ROUND(MAX($J2455*1.4*1.5*1.6*1.6*2.2*2.715*2.6*1.4,6020000000*(1.651178^(MIN($E2455,123)-117)))*1,0))</f>
        <v>108954543</v>
      </c>
      <c r="AA2455" s="13">
        <f>$E2455+19</f>
        <v>128</v>
      </c>
      <c r="AB2455" s="14">
        <f>IF($J2455=0,0,ROUND(MAX($J2455*1.4*1.5*1.6*1.6*2.2*2.715*2.6*1.4*1.4,8430000000*(1.651435^(MIN($E2455,123)-117)))*1,0))</f>
        <v>152382712</v>
      </c>
      <c r="AC2455" s="11">
        <f>$E2455+21</f>
        <v>130</v>
      </c>
      <c r="AD2455" s="12">
        <f>IF($J2455=0,0,ROUND(MAX($J2455*1.4*1.5*1.6*1.6*2.2*2.715*2.6*1.4*1.4*1.5,12600000000*(1.652953^(MIN($E2455,123)-117)))*1,0))</f>
        <v>226092682</v>
      </c>
      <c r="AE2455" s="13">
        <f>$E2455+24</f>
        <v>133</v>
      </c>
      <c r="AF2455" s="14">
        <f>IF($J2455=0,0,ROUND(MAX($J2455*1.4*1.5*1.6*1.6*2.2*2.715*2.6*1.4*1.4*1.5*1.5,18900000000*(1.65331^(MIN($E2455,123)-117)))*1,0))</f>
        <v>338553621</v>
      </c>
      <c r="AG2455" s="11">
        <f>$E2455+27</f>
        <v>136</v>
      </c>
      <c r="AH2455" s="12">
        <f>IF($J2455=0,0,ROUND(MAX($J2455*1.4*1.5*1.6*1.6*2.2*2.715*2.6*1.4*1.4*1.5*1.5*3.2,60500000000*(1.654288^(MIN($E2455,123)-117)))*1,0))</f>
        <v>1078614909</v>
      </c>
    </row>
    <row r="2456" ht="28" customHeight="1" spans="1:34" x14ac:dyDescent="0.25">
      <c r="A2456">
        <v>2466</v>
      </c>
      <c r="B2456" t="s">
        <v>1032</v>
      </c>
      <c r="C2456" s="10" t="s">
        <v>1421</v>
      </c>
      <c r="D2456" t="s">
        <v>79</v>
      </c>
      <c r="E2456">
        <v>109</v>
      </c>
      <c r="F2456" t="s">
        <v>71</v>
      </c>
      <c r="G2456" t="s">
        <v>1058</v>
      </c>
      <c r="H2456">
        <v>24</v>
      </c>
      <c r="I2456" s="11">
        <v>109</v>
      </c>
      <c r="J2456" s="12">
        <v>48800</v>
      </c>
      <c r="K2456" s="13">
        <f>$E2456+1</f>
        <v>110</v>
      </c>
      <c r="L2456" s="14">
        <f>IF($J2456=0,0,ROUND(MAX($J2456*1.4,1620000*(1.497923^(MIN($E2456,123)-117)))*1,0))</f>
        <v>68320</v>
      </c>
      <c r="M2456" s="11">
        <f>$E2456+2</f>
        <v>111</v>
      </c>
      <c r="N2456" s="12">
        <f>IF($J2456=0,0,ROUND(MAX($J2456*1.4*1.5,2190000*(1.580994^(MIN($E2456,123)-117)))*1,0))</f>
        <v>102480</v>
      </c>
      <c r="O2456" s="13">
        <f>$E2456+4</f>
        <v>113</v>
      </c>
      <c r="P2456" s="14">
        <f>IF($J2456=0,0,ROUND(MAX($J2456*1.4*1.5*1.6,3500000*(1.57975^(MIN($E2456,123)-117)))*1,0))</f>
        <v>163968</v>
      </c>
      <c r="Q2456" s="11">
        <f>$E2456+6</f>
        <v>115</v>
      </c>
      <c r="R2456" s="12">
        <f>IF($J2456=0,0,ROUND(MAX($J2456*1.4*1.5*1.6*1.6,13100000*(1.429962^(MIN($E2456,123)-117)))*1,0))</f>
        <v>749334</v>
      </c>
      <c r="S2456" s="13">
        <f>$E2456+8</f>
        <v>117</v>
      </c>
      <c r="T2456" s="14">
        <f>IF($J2456=0,0,ROUND(MAX($J2456*1.4*1.5*1.6*1.6*2.2,42600000*(1.576904^(MIN($E2456,123)-117)))*1,0))</f>
        <v>1114211</v>
      </c>
      <c r="U2456" s="11">
        <f>$E2456+11</f>
        <v>120</v>
      </c>
      <c r="V2456" s="12">
        <f>IF($J2456=0,0,ROUND(MAX($J2456*1.4*1.5*1.6*1.6*2.2*2.715,354000000*(1.642074^(MIN($E2456,123)-117)))*1,0))</f>
        <v>6696710</v>
      </c>
      <c r="W2456" s="13">
        <f>$E2456+15</f>
        <v>124</v>
      </c>
      <c r="X2456" s="14">
        <f>IF($J2456=0,0,ROUND(MAX($J2456*1.4*1.5*1.6*1.6*2.2*2.715*2.6,3540000000*(1.579646^(MIN($E2456,123)-117)))*1,0))</f>
        <v>91311418</v>
      </c>
      <c r="Y2456" s="11">
        <f>$E2456+17</f>
        <v>126</v>
      </c>
      <c r="Z2456" s="12">
        <f>IF($J2456=0,0,ROUND(MAX($J2456*1.4*1.5*1.6*1.6*2.2*2.715*2.6*1.4,6020000000*(1.651178^(MIN($E2456,123)-117)))*1,0))</f>
        <v>108954543</v>
      </c>
      <c r="AA2456" s="13">
        <f>$E2456+19</f>
        <v>128</v>
      </c>
      <c r="AB2456" s="14">
        <f>IF($J2456=0,0,ROUND(MAX($J2456*1.4*1.5*1.6*1.6*2.2*2.715*2.6*1.4*1.4,8430000000*(1.651435^(MIN($E2456,123)-117)))*1,0))</f>
        <v>152382712</v>
      </c>
      <c r="AC2456" s="11">
        <f>$E2456+21</f>
        <v>130</v>
      </c>
      <c r="AD2456" s="12">
        <f>IF($J2456=0,0,ROUND(MAX($J2456*1.4*1.5*1.6*1.6*2.2*2.715*2.6*1.4*1.4*1.5,12600000000*(1.652953^(MIN($E2456,123)-117)))*1,0))</f>
        <v>226092682</v>
      </c>
      <c r="AE2456" s="13">
        <f>$E2456+24</f>
        <v>133</v>
      </c>
      <c r="AF2456" s="14">
        <f>IF($J2456=0,0,ROUND(MAX($J2456*1.4*1.5*1.6*1.6*2.2*2.715*2.6*1.4*1.4*1.5*1.5,18900000000*(1.65331^(MIN($E2456,123)-117)))*1,0))</f>
        <v>338553621</v>
      </c>
      <c r="AG2456" s="11">
        <f>$E2456+27</f>
        <v>136</v>
      </c>
      <c r="AH2456" s="12">
        <f>IF($J2456=0,0,ROUND(MAX($J2456*1.4*1.5*1.6*1.6*2.2*2.715*2.6*1.4*1.4*1.5*1.5*3.2,60500000000*(1.654288^(MIN($E2456,123)-117)))*1,0))</f>
        <v>1078614909</v>
      </c>
    </row>
    <row r="2457" ht="28" customHeight="1" spans="1:34" x14ac:dyDescent="0.25">
      <c r="A2457">
        <v>2467</v>
      </c>
      <c r="B2457" t="s">
        <v>1486</v>
      </c>
      <c r="C2457" s="10" t="s">
        <v>1421</v>
      </c>
      <c r="D2457" t="s">
        <v>102</v>
      </c>
      <c r="E2457">
        <v>109</v>
      </c>
      <c r="F2457" t="s">
        <v>30</v>
      </c>
      <c r="G2457" t="s">
        <v>1013</v>
      </c>
      <c r="H2457">
        <v>24</v>
      </c>
      <c r="I2457" s="11">
        <v>109</v>
      </c>
      <c r="J2457" s="12">
        <v>62900</v>
      </c>
      <c r="K2457" s="13">
        <f>$E2457+1</f>
        <v>110</v>
      </c>
      <c r="L2457" s="14">
        <f>IF($J2457=0,0,ROUND(MAX($J2457*1.4,1620000*(1.497923^(MIN($E2457,123)-117)))*1,0))</f>
        <v>88060</v>
      </c>
      <c r="M2457" s="11">
        <f>$E2457+2</f>
        <v>111</v>
      </c>
      <c r="N2457" s="12">
        <f>IF($J2457=0,0,ROUND(MAX($J2457*1.4*1.5,2190000*(1.580994^(MIN($E2457,123)-117)))*1,0))</f>
        <v>132090</v>
      </c>
      <c r="O2457" s="13">
        <f>$E2457+4</f>
        <v>113</v>
      </c>
      <c r="P2457" s="14">
        <f>IF($J2457=0,0,ROUND(MAX($J2457*1.4*1.5*1.6,3500000*(1.57975^(MIN($E2457,123)-117)))*1,0))</f>
        <v>211344</v>
      </c>
      <c r="Q2457" s="11">
        <f>$E2457+6</f>
        <v>115</v>
      </c>
      <c r="R2457" s="12">
        <f>IF($J2457=0,0,ROUND(MAX($J2457*1.4*1.5*1.6*1.6,13100000*(1.429962^(MIN($E2457,123)-117)))*1,0))</f>
        <v>749334</v>
      </c>
      <c r="S2457" s="13">
        <f>$E2457+8</f>
        <v>117</v>
      </c>
      <c r="T2457" s="14">
        <f>IF($J2457=0,0,ROUND(MAX($J2457*1.4*1.5*1.6*1.6*2.2,42600000*(1.576904^(MIN($E2457,123)-117)))*1,0))</f>
        <v>1114211</v>
      </c>
      <c r="U2457" s="11">
        <f>$E2457+11</f>
        <v>120</v>
      </c>
      <c r="V2457" s="12">
        <f>IF($J2457=0,0,ROUND(MAX($J2457*1.4*1.5*1.6*1.6*2.2*2.715,354000000*(1.642074^(MIN($E2457,123)-117)))*1,0))</f>
        <v>6696710</v>
      </c>
      <c r="W2457" s="13">
        <f>$E2457+15</f>
        <v>124</v>
      </c>
      <c r="X2457" s="14">
        <f>IF($J2457=0,0,ROUND(MAX($J2457*1.4*1.5*1.6*1.6*2.2*2.715*2.6,3540000000*(1.579646^(MIN($E2457,123)-117)))*1,0))</f>
        <v>91311418</v>
      </c>
      <c r="Y2457" s="11">
        <f>$E2457+17</f>
        <v>126</v>
      </c>
      <c r="Z2457" s="12">
        <f>IF($J2457=0,0,ROUND(MAX($J2457*1.4*1.5*1.6*1.6*2.2*2.715*2.6*1.4,6020000000*(1.651178^(MIN($E2457,123)-117)))*1,0))</f>
        <v>108954543</v>
      </c>
      <c r="AA2457" s="13">
        <f>$E2457+19</f>
        <v>128</v>
      </c>
      <c r="AB2457" s="14">
        <f>IF($J2457=0,0,ROUND(MAX($J2457*1.4*1.5*1.6*1.6*2.2*2.715*2.6*1.4*1.4,8430000000*(1.651435^(MIN($E2457,123)-117)))*1,0))</f>
        <v>152382712</v>
      </c>
      <c r="AC2457" s="11">
        <f>$E2457+21</f>
        <v>130</v>
      </c>
      <c r="AD2457" s="12">
        <f>IF($J2457=0,0,ROUND(MAX($J2457*1.4*1.5*1.6*1.6*2.2*2.715*2.6*1.4*1.4*1.5,12600000000*(1.652953^(MIN($E2457,123)-117)))*1,0))</f>
        <v>226092682</v>
      </c>
      <c r="AE2457" s="13">
        <f>$E2457+24</f>
        <v>133</v>
      </c>
      <c r="AF2457" s="14">
        <f>IF($J2457=0,0,ROUND(MAX($J2457*1.4*1.5*1.6*1.6*2.2*2.715*2.6*1.4*1.4*1.5*1.5,18900000000*(1.65331^(MIN($E2457,123)-117)))*1,0))</f>
        <v>338553621</v>
      </c>
      <c r="AG2457" s="11">
        <f>$E2457+27</f>
        <v>136</v>
      </c>
      <c r="AH2457" s="12">
        <f>IF($J2457=0,0,ROUND(MAX($J2457*1.4*1.5*1.6*1.6*2.2*2.715*2.6*1.4*1.4*1.5*1.5*3.2,60500000000*(1.654288^(MIN($E2457,123)-117)))*1,0))</f>
        <v>1078614909</v>
      </c>
    </row>
    <row r="2458" ht="28" customHeight="1" spans="1:34" x14ac:dyDescent="0.25">
      <c r="A2458">
        <v>2468</v>
      </c>
      <c r="B2458" t="s">
        <v>1487</v>
      </c>
      <c r="C2458" s="10" t="s">
        <v>1421</v>
      </c>
      <c r="D2458" t="s">
        <v>93</v>
      </c>
      <c r="E2458">
        <v>109</v>
      </c>
      <c r="F2458" t="s">
        <v>62</v>
      </c>
      <c r="G2458" t="s">
        <v>1312</v>
      </c>
      <c r="H2458">
        <v>24</v>
      </c>
      <c r="I2458" s="11">
        <v>109</v>
      </c>
      <c r="J2458" s="12">
        <v>44500</v>
      </c>
      <c r="K2458" s="13">
        <f>$E2458+1</f>
        <v>110</v>
      </c>
      <c r="L2458" s="14">
        <f>IF($J2458=0,0,ROUND(MAX($J2458*1.4,1620000*(1.497923^(MIN($E2458,123)-117)))*1,0))</f>
        <v>63914</v>
      </c>
      <c r="M2458" s="11">
        <f>$E2458+2</f>
        <v>111</v>
      </c>
      <c r="N2458" s="12">
        <f>IF($J2458=0,0,ROUND(MAX($J2458*1.4*1.5,2190000*(1.580994^(MIN($E2458,123)-117)))*1,0))</f>
        <v>93450</v>
      </c>
      <c r="O2458" s="13">
        <f>$E2458+4</f>
        <v>113</v>
      </c>
      <c r="P2458" s="14">
        <f>IF($J2458=0,0,ROUND(MAX($J2458*1.4*1.5*1.6,3500000*(1.57975^(MIN($E2458,123)-117)))*1,0))</f>
        <v>149520</v>
      </c>
      <c r="Q2458" s="11">
        <f>$E2458+6</f>
        <v>115</v>
      </c>
      <c r="R2458" s="12">
        <f>IF($J2458=0,0,ROUND(MAX($J2458*1.4*1.5*1.6*1.6,13100000*(1.429962^(MIN($E2458,123)-117)))*1,0))</f>
        <v>749334</v>
      </c>
      <c r="S2458" s="13">
        <f>$E2458+8</f>
        <v>117</v>
      </c>
      <c r="T2458" s="14">
        <f>IF($J2458=0,0,ROUND(MAX($J2458*1.4*1.5*1.6*1.6*2.2,42600000*(1.576904^(MIN($E2458,123)-117)))*1,0))</f>
        <v>1114211</v>
      </c>
      <c r="U2458" s="11">
        <f>$E2458+11</f>
        <v>120</v>
      </c>
      <c r="V2458" s="12">
        <f>IF($J2458=0,0,ROUND(MAX($J2458*1.4*1.5*1.6*1.6*2.2*2.715,354000000*(1.642074^(MIN($E2458,123)-117)))*1,0))</f>
        <v>6696710</v>
      </c>
      <c r="W2458" s="13">
        <f>$E2458+15</f>
        <v>124</v>
      </c>
      <c r="X2458" s="14">
        <f>IF($J2458=0,0,ROUND(MAX($J2458*1.4*1.5*1.6*1.6*2.2*2.715*2.6,3540000000*(1.579646^(MIN($E2458,123)-117)))*1,0))</f>
        <v>91311418</v>
      </c>
      <c r="Y2458" s="11">
        <f>$E2458+17</f>
        <v>126</v>
      </c>
      <c r="Z2458" s="12">
        <f>IF($J2458=0,0,ROUND(MAX($J2458*1.4*1.5*1.6*1.6*2.2*2.715*2.6*1.4,6020000000*(1.651178^(MIN($E2458,123)-117)))*1,0))</f>
        <v>108954543</v>
      </c>
      <c r="AA2458" s="13">
        <f>$E2458+19</f>
        <v>128</v>
      </c>
      <c r="AB2458" s="14">
        <f>IF($J2458=0,0,ROUND(MAX($J2458*1.4*1.5*1.6*1.6*2.2*2.715*2.6*1.4*1.4,8430000000*(1.651435^(MIN($E2458,123)-117)))*1,0))</f>
        <v>152382712</v>
      </c>
      <c r="AC2458" s="11">
        <f>$E2458+21</f>
        <v>130</v>
      </c>
      <c r="AD2458" s="12">
        <f>IF($J2458=0,0,ROUND(MAX($J2458*1.4*1.5*1.6*1.6*2.2*2.715*2.6*1.4*1.4*1.5,12600000000*(1.652953^(MIN($E2458,123)-117)))*1,0))</f>
        <v>226092682</v>
      </c>
      <c r="AE2458" s="13">
        <f>$E2458+24</f>
        <v>133</v>
      </c>
      <c r="AF2458" s="14">
        <f>IF($J2458=0,0,ROUND(MAX($J2458*1.4*1.5*1.6*1.6*2.2*2.715*2.6*1.4*1.4*1.5*1.5,18900000000*(1.65331^(MIN($E2458,123)-117)))*1,0))</f>
        <v>338553621</v>
      </c>
      <c r="AG2458" s="11">
        <f>$E2458+27</f>
        <v>136</v>
      </c>
      <c r="AH2458" s="12">
        <f>IF($J2458=0,0,ROUND(MAX($J2458*1.4*1.5*1.6*1.6*2.2*2.715*2.6*1.4*1.4*1.5*1.5*3.2,60500000000*(1.654288^(MIN($E2458,123)-117)))*1,0))</f>
        <v>1078614909</v>
      </c>
    </row>
    <row r="2459" ht="28" customHeight="1" spans="1:34" x14ac:dyDescent="0.25">
      <c r="A2459">
        <v>2469</v>
      </c>
      <c r="B2459" t="s">
        <v>1488</v>
      </c>
      <c r="C2459" s="10" t="s">
        <v>1421</v>
      </c>
      <c r="D2459" t="s">
        <v>25</v>
      </c>
      <c r="E2459">
        <v>109</v>
      </c>
      <c r="F2459" t="s">
        <v>179</v>
      </c>
      <c r="G2459" t="s">
        <v>595</v>
      </c>
      <c r="H2459">
        <v>24</v>
      </c>
      <c r="I2459" s="11">
        <v>109</v>
      </c>
      <c r="J2459" s="12">
        <v>67700</v>
      </c>
      <c r="K2459" s="13">
        <f>$E2459+1</f>
        <v>110</v>
      </c>
      <c r="L2459" s="14">
        <f>IF($J2459=0,0,ROUND(MAX($J2459*1.4,1620000*(1.497923^(MIN($E2459,123)-117)))*1,0))</f>
        <v>94780</v>
      </c>
      <c r="M2459" s="11">
        <f>$E2459+2</f>
        <v>111</v>
      </c>
      <c r="N2459" s="12">
        <f>IF($J2459=0,0,ROUND(MAX($J2459*1.4*1.5,2190000*(1.580994^(MIN($E2459,123)-117)))*1,0))</f>
        <v>142170</v>
      </c>
      <c r="O2459" s="13">
        <f>$E2459+4</f>
        <v>113</v>
      </c>
      <c r="P2459" s="14">
        <f>IF($J2459=0,0,ROUND(MAX($J2459*1.4*1.5*1.6,3500000*(1.57975^(MIN($E2459,123)-117)))*1,0))</f>
        <v>227472</v>
      </c>
      <c r="Q2459" s="11">
        <f>$E2459+6</f>
        <v>115</v>
      </c>
      <c r="R2459" s="12">
        <f>IF($J2459=0,0,ROUND(MAX($J2459*1.4*1.5*1.6*1.6,13100000*(1.429962^(MIN($E2459,123)-117)))*1,0))</f>
        <v>749334</v>
      </c>
      <c r="S2459" s="13">
        <f>$E2459+8</f>
        <v>117</v>
      </c>
      <c r="T2459" s="14">
        <f>IF($J2459=0,0,ROUND(MAX($J2459*1.4*1.5*1.6*1.6*2.2,42600000*(1.576904^(MIN($E2459,123)-117)))*1,0))</f>
        <v>1114211</v>
      </c>
      <c r="U2459" s="11">
        <f>$E2459+11</f>
        <v>120</v>
      </c>
      <c r="V2459" s="12">
        <f>IF($J2459=0,0,ROUND(MAX($J2459*1.4*1.5*1.6*1.6*2.2*2.715,354000000*(1.642074^(MIN($E2459,123)-117)))*1,0))</f>
        <v>6696710</v>
      </c>
      <c r="W2459" s="13">
        <f>$E2459+15</f>
        <v>124</v>
      </c>
      <c r="X2459" s="14">
        <f>IF($J2459=0,0,ROUND(MAX($J2459*1.4*1.5*1.6*1.6*2.2*2.715*2.6,3540000000*(1.579646^(MIN($E2459,123)-117)))*1,0))</f>
        <v>91311418</v>
      </c>
      <c r="Y2459" s="11">
        <f>$E2459+17</f>
        <v>126</v>
      </c>
      <c r="Z2459" s="12">
        <f>IF($J2459=0,0,ROUND(MAX($J2459*1.4*1.5*1.6*1.6*2.2*2.715*2.6*1.4,6020000000*(1.651178^(MIN($E2459,123)-117)))*1,0))</f>
        <v>108954543</v>
      </c>
      <c r="AA2459" s="13">
        <f>$E2459+19</f>
        <v>128</v>
      </c>
      <c r="AB2459" s="14">
        <f>IF($J2459=0,0,ROUND(MAX($J2459*1.4*1.5*1.6*1.6*2.2*2.715*2.6*1.4*1.4,8430000000*(1.651435^(MIN($E2459,123)-117)))*1,0))</f>
        <v>152382712</v>
      </c>
      <c r="AC2459" s="11">
        <f>$E2459+21</f>
        <v>130</v>
      </c>
      <c r="AD2459" s="12">
        <f>IF($J2459=0,0,ROUND(MAX($J2459*1.4*1.5*1.6*1.6*2.2*2.715*2.6*1.4*1.4*1.5,12600000000*(1.652953^(MIN($E2459,123)-117)))*1,0))</f>
        <v>226092682</v>
      </c>
      <c r="AE2459" s="13">
        <f>$E2459+24</f>
        <v>133</v>
      </c>
      <c r="AF2459" s="14">
        <f>IF($J2459=0,0,ROUND(MAX($J2459*1.4*1.5*1.6*1.6*2.2*2.715*2.6*1.4*1.4*1.5*1.5,18900000000*(1.65331^(MIN($E2459,123)-117)))*1,0))</f>
        <v>338553621</v>
      </c>
      <c r="AG2459" s="11">
        <f>$E2459+27</f>
        <v>136</v>
      </c>
      <c r="AH2459" s="12">
        <f>IF($J2459=0,0,ROUND(MAX($J2459*1.4*1.5*1.6*1.6*2.2*2.715*2.6*1.4*1.4*1.5*1.5*3.2,60500000000*(1.654288^(MIN($E2459,123)-117)))*1,0))</f>
        <v>1078614909</v>
      </c>
    </row>
    <row r="2460" ht="28" customHeight="1" spans="1:34" x14ac:dyDescent="0.25">
      <c r="A2460">
        <v>2470</v>
      </c>
      <c r="B2460" t="s">
        <v>1489</v>
      </c>
      <c r="C2460" s="10" t="s">
        <v>1421</v>
      </c>
      <c r="D2460" t="s">
        <v>25</v>
      </c>
      <c r="E2460">
        <v>109</v>
      </c>
      <c r="F2460" t="s">
        <v>62</v>
      </c>
      <c r="G2460" t="s">
        <v>1303</v>
      </c>
      <c r="H2460">
        <v>24</v>
      </c>
      <c r="I2460" s="11">
        <v>109</v>
      </c>
      <c r="J2460" s="12">
        <v>68300</v>
      </c>
      <c r="K2460" s="13">
        <f>$E2460+1</f>
        <v>110</v>
      </c>
      <c r="L2460" s="14">
        <f>IF($J2460=0,0,ROUND(MAX($J2460*1.4,1620000*(1.497923^(MIN($E2460,123)-117)))*1,0))</f>
        <v>95620</v>
      </c>
      <c r="M2460" s="11">
        <f>$E2460+2</f>
        <v>111</v>
      </c>
      <c r="N2460" s="12">
        <f>IF($J2460=0,0,ROUND(MAX($J2460*1.4*1.5,2190000*(1.580994^(MIN($E2460,123)-117)))*1,0))</f>
        <v>143430</v>
      </c>
      <c r="O2460" s="13">
        <f>$E2460+4</f>
        <v>113</v>
      </c>
      <c r="P2460" s="14">
        <f>IF($J2460=0,0,ROUND(MAX($J2460*1.4*1.5*1.6,3500000*(1.57975^(MIN($E2460,123)-117)))*1,0))</f>
        <v>229488</v>
      </c>
      <c r="Q2460" s="11">
        <f>$E2460+6</f>
        <v>115</v>
      </c>
      <c r="R2460" s="12">
        <f>IF($J2460=0,0,ROUND(MAX($J2460*1.4*1.5*1.6*1.6,13100000*(1.429962^(MIN($E2460,123)-117)))*1,0))</f>
        <v>749334</v>
      </c>
      <c r="S2460" s="13">
        <f>$E2460+8</f>
        <v>117</v>
      </c>
      <c r="T2460" s="14">
        <f>IF($J2460=0,0,ROUND(MAX($J2460*1.4*1.5*1.6*1.6*2.2,42600000*(1.576904^(MIN($E2460,123)-117)))*1,0))</f>
        <v>1114211</v>
      </c>
      <c r="U2460" s="11">
        <f>$E2460+11</f>
        <v>120</v>
      </c>
      <c r="V2460" s="12">
        <f>IF($J2460=0,0,ROUND(MAX($J2460*1.4*1.5*1.6*1.6*2.2*2.715,354000000*(1.642074^(MIN($E2460,123)-117)))*1,0))</f>
        <v>6696710</v>
      </c>
      <c r="W2460" s="13">
        <f>$E2460+15</f>
        <v>124</v>
      </c>
      <c r="X2460" s="14">
        <f>IF($J2460=0,0,ROUND(MAX($J2460*1.4*1.5*1.6*1.6*2.2*2.715*2.6,3540000000*(1.579646^(MIN($E2460,123)-117)))*1,0))</f>
        <v>91311418</v>
      </c>
      <c r="Y2460" s="11">
        <f>$E2460+17</f>
        <v>126</v>
      </c>
      <c r="Z2460" s="12">
        <f>IF($J2460=0,0,ROUND(MAX($J2460*1.4*1.5*1.6*1.6*2.2*2.715*2.6*1.4,6020000000*(1.651178^(MIN($E2460,123)-117)))*1,0))</f>
        <v>108954543</v>
      </c>
      <c r="AA2460" s="13">
        <f>$E2460+19</f>
        <v>128</v>
      </c>
      <c r="AB2460" s="14">
        <f>IF($J2460=0,0,ROUND(MAX($J2460*1.4*1.5*1.6*1.6*2.2*2.715*2.6*1.4*1.4,8430000000*(1.651435^(MIN($E2460,123)-117)))*1,0))</f>
        <v>152382712</v>
      </c>
      <c r="AC2460" s="11">
        <f>$E2460+21</f>
        <v>130</v>
      </c>
      <c r="AD2460" s="12">
        <f>IF($J2460=0,0,ROUND(MAX($J2460*1.4*1.5*1.6*1.6*2.2*2.715*2.6*1.4*1.4*1.5,12600000000*(1.652953^(MIN($E2460,123)-117)))*1,0))</f>
        <v>226092682</v>
      </c>
      <c r="AE2460" s="13">
        <f>$E2460+24</f>
        <v>133</v>
      </c>
      <c r="AF2460" s="14">
        <f>IF($J2460=0,0,ROUND(MAX($J2460*1.4*1.5*1.6*1.6*2.2*2.715*2.6*1.4*1.4*1.5*1.5,18900000000*(1.65331^(MIN($E2460,123)-117)))*1,0))</f>
        <v>338553621</v>
      </c>
      <c r="AG2460" s="11">
        <f>$E2460+27</f>
        <v>136</v>
      </c>
      <c r="AH2460" s="12">
        <f>IF($J2460=0,0,ROUND(MAX($J2460*1.4*1.5*1.6*1.6*2.2*2.715*2.6*1.4*1.4*1.5*1.5*3.2,60500000000*(1.654288^(MIN($E2460,123)-117)))*1,0))</f>
        <v>1078614909</v>
      </c>
    </row>
    <row r="2461" ht="28" customHeight="1" spans="1:34" x14ac:dyDescent="0.25">
      <c r="A2461">
        <v>2471</v>
      </c>
      <c r="B2461" t="s">
        <v>1346</v>
      </c>
      <c r="C2461" s="10" t="s">
        <v>1421</v>
      </c>
      <c r="D2461" t="s">
        <v>33</v>
      </c>
      <c r="E2461">
        <v>109</v>
      </c>
      <c r="F2461" t="s">
        <v>30</v>
      </c>
      <c r="G2461" t="s">
        <v>1473</v>
      </c>
      <c r="H2461">
        <v>24</v>
      </c>
      <c r="I2461" s="11">
        <v>109</v>
      </c>
      <c r="J2461" s="12">
        <v>685000</v>
      </c>
      <c r="K2461" s="13">
        <f>$E2461+1</f>
        <v>110</v>
      </c>
      <c r="L2461" s="14">
        <f>IF($J2461=0,0,ROUND(MAX($J2461*1.4,1620000*(1.497923^(MIN($E2461,123)-117)))*1,0))</f>
        <v>959000</v>
      </c>
      <c r="M2461" s="11">
        <f>$E2461+2</f>
        <v>111</v>
      </c>
      <c r="N2461" s="12">
        <f>IF($J2461=0,0,ROUND(MAX($J2461*1.4*1.5,2190000*(1.580994^(MIN($E2461,123)-117)))*1,0))</f>
        <v>1438500</v>
      </c>
      <c r="O2461" s="13">
        <f>$E2461+4</f>
        <v>113</v>
      </c>
      <c r="P2461" s="14">
        <f>IF($J2461=0,0,ROUND(MAX($J2461*1.4*1.5*1.6,3500000*(1.57975^(MIN($E2461,123)-117)))*1,0))</f>
        <v>2301600</v>
      </c>
      <c r="Q2461" s="11">
        <f>$E2461+6</f>
        <v>115</v>
      </c>
      <c r="R2461" s="12">
        <f>IF($J2461=0,0,ROUND(MAX($J2461*1.4*1.5*1.6*1.6,13100000*(1.429962^(MIN($E2461,123)-117)))*1,0))</f>
        <v>3682560</v>
      </c>
      <c r="S2461" s="13">
        <f>$E2461+8</f>
        <v>117</v>
      </c>
      <c r="T2461" s="14">
        <f>IF($J2461=0,0,ROUND(MAX($J2461*1.4*1.5*1.6*1.6*2.2,42600000*(1.576904^(MIN($E2461,123)-117)))*1,0))</f>
        <v>8101632</v>
      </c>
      <c r="U2461" s="11">
        <f>$E2461+11</f>
        <v>120</v>
      </c>
      <c r="V2461" s="12">
        <f>IF($J2461=0,0,ROUND(MAX($J2461*1.4*1.5*1.6*1.6*2.2*2.715,354000000*(1.642074^(MIN($E2461,123)-117)))*1,0))</f>
        <v>21995931</v>
      </c>
      <c r="W2461" s="13">
        <f>$E2461+15</f>
        <v>124</v>
      </c>
      <c r="X2461" s="14">
        <f>IF($J2461=0,0,ROUND(MAX($J2461*1.4*1.5*1.6*1.6*2.2*2.715*2.6,3540000000*(1.579646^(MIN($E2461,123)-117)))*1,0))</f>
        <v>91311418</v>
      </c>
      <c r="Y2461" s="11">
        <f>$E2461+17</f>
        <v>126</v>
      </c>
      <c r="Z2461" s="12">
        <f>IF($J2461=0,0,ROUND(MAX($J2461*1.4*1.5*1.6*1.6*2.2*2.715*2.6*1.4,6020000000*(1.651178^(MIN($E2461,123)-117)))*1,0))</f>
        <v>108954543</v>
      </c>
      <c r="AA2461" s="13">
        <f>$E2461+19</f>
        <v>128</v>
      </c>
      <c r="AB2461" s="14">
        <f>IF($J2461=0,0,ROUND(MAX($J2461*1.4*1.5*1.6*1.6*2.2*2.715*2.6*1.4*1.4,8430000000*(1.651435^(MIN($E2461,123)-117)))*1,0))</f>
        <v>152382712</v>
      </c>
      <c r="AC2461" s="11">
        <f>$E2461+21</f>
        <v>130</v>
      </c>
      <c r="AD2461" s="12">
        <f>IF($J2461=0,0,ROUND(MAX($J2461*1.4*1.5*1.6*1.6*2.2*2.715*2.6*1.4*1.4*1.5,12600000000*(1.652953^(MIN($E2461,123)-117)))*1,0))</f>
        <v>226092682</v>
      </c>
      <c r="AE2461" s="13">
        <f>$E2461+24</f>
        <v>133</v>
      </c>
      <c r="AF2461" s="14">
        <f>IF($J2461=0,0,ROUND(MAX($J2461*1.4*1.5*1.6*1.6*2.2*2.715*2.6*1.4*1.4*1.5*1.5,18900000000*(1.65331^(MIN($E2461,123)-117)))*1,0))</f>
        <v>338553621</v>
      </c>
      <c r="AG2461" s="11">
        <f>$E2461+27</f>
        <v>136</v>
      </c>
      <c r="AH2461" s="12">
        <f>IF($J2461=0,0,ROUND(MAX($J2461*1.4*1.5*1.6*1.6*2.2*2.715*2.6*1.4*1.4*1.5*1.5*3.2,60500000000*(1.654288^(MIN($E2461,123)-117)))*1,0))</f>
        <v>1078614909</v>
      </c>
    </row>
    <row r="2462" ht="28" customHeight="1" spans="1:34" x14ac:dyDescent="0.25">
      <c r="A2462">
        <v>2472</v>
      </c>
      <c r="B2462" t="s">
        <v>1490</v>
      </c>
      <c r="C2462" s="10" t="s">
        <v>1421</v>
      </c>
      <c r="D2462" t="s">
        <v>33</v>
      </c>
      <c r="E2462">
        <v>109</v>
      </c>
      <c r="F2462" t="s">
        <v>56</v>
      </c>
      <c r="G2462" t="s">
        <v>126</v>
      </c>
      <c r="H2462">
        <v>24</v>
      </c>
      <c r="I2462" s="11">
        <v>109</v>
      </c>
      <c r="J2462" s="12">
        <v>82500</v>
      </c>
      <c r="K2462" s="13">
        <f>$E2462+1</f>
        <v>110</v>
      </c>
      <c r="L2462" s="14">
        <f>IF($J2462=0,0,ROUND(MAX($J2462*1.4,1620000*(1.497923^(MIN($E2462,123)-117)))*1,0))</f>
        <v>115500</v>
      </c>
      <c r="M2462" s="11">
        <f>$E2462+2</f>
        <v>111</v>
      </c>
      <c r="N2462" s="12">
        <f>IF($J2462=0,0,ROUND(MAX($J2462*1.4*1.5,2190000*(1.580994^(MIN($E2462,123)-117)))*1,0))</f>
        <v>173250</v>
      </c>
      <c r="O2462" s="13">
        <f>$E2462+4</f>
        <v>113</v>
      </c>
      <c r="P2462" s="14">
        <f>IF($J2462=0,0,ROUND(MAX($J2462*1.4*1.5*1.6,3500000*(1.57975^(MIN($E2462,123)-117)))*1,0))</f>
        <v>277200</v>
      </c>
      <c r="Q2462" s="11">
        <f>$E2462+6</f>
        <v>115</v>
      </c>
      <c r="R2462" s="12">
        <f>IF($J2462=0,0,ROUND(MAX($J2462*1.4*1.5*1.6*1.6,13100000*(1.429962^(MIN($E2462,123)-117)))*1,0))</f>
        <v>749334</v>
      </c>
      <c r="S2462" s="13">
        <f>$E2462+8</f>
        <v>117</v>
      </c>
      <c r="T2462" s="14">
        <f>IF($J2462=0,0,ROUND(MAX($J2462*1.4*1.5*1.6*1.6*2.2,42600000*(1.576904^(MIN($E2462,123)-117)))*1,0))</f>
        <v>1114211</v>
      </c>
      <c r="U2462" s="11">
        <f>$E2462+11</f>
        <v>120</v>
      </c>
      <c r="V2462" s="12">
        <f>IF($J2462=0,0,ROUND(MAX($J2462*1.4*1.5*1.6*1.6*2.2*2.715,354000000*(1.642074^(MIN($E2462,123)-117)))*1,0))</f>
        <v>6696710</v>
      </c>
      <c r="W2462" s="13">
        <f>$E2462+15</f>
        <v>124</v>
      </c>
      <c r="X2462" s="14">
        <f>IF($J2462=0,0,ROUND(MAX($J2462*1.4*1.5*1.6*1.6*2.2*2.715*2.6,3540000000*(1.579646^(MIN($E2462,123)-117)))*1,0))</f>
        <v>91311418</v>
      </c>
      <c r="Y2462" s="11">
        <f>$E2462+17</f>
        <v>126</v>
      </c>
      <c r="Z2462" s="12">
        <f>IF($J2462=0,0,ROUND(MAX($J2462*1.4*1.5*1.6*1.6*2.2*2.715*2.6*1.4,6020000000*(1.651178^(MIN($E2462,123)-117)))*1,0))</f>
        <v>108954543</v>
      </c>
      <c r="AA2462" s="13">
        <f>$E2462+19</f>
        <v>128</v>
      </c>
      <c r="AB2462" s="14">
        <f>IF($J2462=0,0,ROUND(MAX($J2462*1.4*1.5*1.6*1.6*2.2*2.715*2.6*1.4*1.4,8430000000*(1.651435^(MIN($E2462,123)-117)))*1,0))</f>
        <v>152382712</v>
      </c>
      <c r="AC2462" s="11">
        <f>$E2462+21</f>
        <v>130</v>
      </c>
      <c r="AD2462" s="12">
        <f>IF($J2462=0,0,ROUND(MAX($J2462*1.4*1.5*1.6*1.6*2.2*2.715*2.6*1.4*1.4*1.5,12600000000*(1.652953^(MIN($E2462,123)-117)))*1,0))</f>
        <v>226092682</v>
      </c>
      <c r="AE2462" s="13">
        <f>$E2462+24</f>
        <v>133</v>
      </c>
      <c r="AF2462" s="14">
        <f>IF($J2462=0,0,ROUND(MAX($J2462*1.4*1.5*1.6*1.6*2.2*2.715*2.6*1.4*1.4*1.5*1.5,18900000000*(1.65331^(MIN($E2462,123)-117)))*1,0))</f>
        <v>338553621</v>
      </c>
      <c r="AG2462" s="11">
        <f>$E2462+27</f>
        <v>136</v>
      </c>
      <c r="AH2462" s="12">
        <f>IF($J2462=0,0,ROUND(MAX($J2462*1.4*1.5*1.6*1.6*2.2*2.715*2.6*1.4*1.4*1.5*1.5*3.2,60500000000*(1.654288^(MIN($E2462,123)-117)))*1,0))</f>
        <v>1078614909</v>
      </c>
    </row>
    <row r="2463" ht="28" customHeight="1" spans="1:34" x14ac:dyDescent="0.25">
      <c r="A2463">
        <v>2473</v>
      </c>
      <c r="B2463" t="s">
        <v>579</v>
      </c>
      <c r="C2463" s="10" t="s">
        <v>1421</v>
      </c>
      <c r="D2463" t="s">
        <v>33</v>
      </c>
      <c r="E2463">
        <v>109</v>
      </c>
      <c r="F2463" t="s">
        <v>108</v>
      </c>
      <c r="G2463" t="s">
        <v>580</v>
      </c>
      <c r="H2463">
        <v>24</v>
      </c>
      <c r="I2463" s="11">
        <v>109</v>
      </c>
      <c r="J2463" s="12">
        <v>77800</v>
      </c>
      <c r="K2463" s="13">
        <f>$E2463+1</f>
        <v>110</v>
      </c>
      <c r="L2463" s="14">
        <f>IF($J2463=0,0,ROUND(MAX($J2463*1.4,1620000*(1.497923^(MIN($E2463,123)-117)))*1,0))</f>
        <v>108920</v>
      </c>
      <c r="M2463" s="11">
        <f>$E2463+2</f>
        <v>111</v>
      </c>
      <c r="N2463" s="12">
        <f>IF($J2463=0,0,ROUND(MAX($J2463*1.4*1.5,2190000*(1.580994^(MIN($E2463,123)-117)))*1,0))</f>
        <v>163380</v>
      </c>
      <c r="O2463" s="13">
        <f>$E2463+4</f>
        <v>113</v>
      </c>
      <c r="P2463" s="14">
        <f>IF($J2463=0,0,ROUND(MAX($J2463*1.4*1.5*1.6,3500000*(1.57975^(MIN($E2463,123)-117)))*1,0))</f>
        <v>261408</v>
      </c>
      <c r="Q2463" s="11">
        <f>$E2463+6</f>
        <v>115</v>
      </c>
      <c r="R2463" s="12">
        <f>IF($J2463=0,0,ROUND(MAX($J2463*1.4*1.5*1.6*1.6,13100000*(1.429962^(MIN($E2463,123)-117)))*1,0))</f>
        <v>749334</v>
      </c>
      <c r="S2463" s="13">
        <f>$E2463+8</f>
        <v>117</v>
      </c>
      <c r="T2463" s="14">
        <f>IF($J2463=0,0,ROUND(MAX($J2463*1.4*1.5*1.6*1.6*2.2,42600000*(1.576904^(MIN($E2463,123)-117)))*1,0))</f>
        <v>1114211</v>
      </c>
      <c r="U2463" s="11">
        <f>$E2463+11</f>
        <v>120</v>
      </c>
      <c r="V2463" s="12">
        <f>IF($J2463=0,0,ROUND(MAX($J2463*1.4*1.5*1.6*1.6*2.2*2.715,354000000*(1.642074^(MIN($E2463,123)-117)))*1,0))</f>
        <v>6696710</v>
      </c>
      <c r="W2463" s="13">
        <f>$E2463+15</f>
        <v>124</v>
      </c>
      <c r="X2463" s="14">
        <f>IF($J2463=0,0,ROUND(MAX($J2463*1.4*1.5*1.6*1.6*2.2*2.715*2.6,3540000000*(1.579646^(MIN($E2463,123)-117)))*1,0))</f>
        <v>91311418</v>
      </c>
      <c r="Y2463" s="11">
        <f>$E2463+17</f>
        <v>126</v>
      </c>
      <c r="Z2463" s="12">
        <f>IF($J2463=0,0,ROUND(MAX($J2463*1.4*1.5*1.6*1.6*2.2*2.715*2.6*1.4,6020000000*(1.651178^(MIN($E2463,123)-117)))*1,0))</f>
        <v>108954543</v>
      </c>
      <c r="AA2463" s="13">
        <f>$E2463+19</f>
        <v>128</v>
      </c>
      <c r="AB2463" s="14">
        <f>IF($J2463=0,0,ROUND(MAX($J2463*1.4*1.5*1.6*1.6*2.2*2.715*2.6*1.4*1.4,8430000000*(1.651435^(MIN($E2463,123)-117)))*1,0))</f>
        <v>152382712</v>
      </c>
      <c r="AC2463" s="11">
        <f>$E2463+21</f>
        <v>130</v>
      </c>
      <c r="AD2463" s="12">
        <f>IF($J2463=0,0,ROUND(MAX($J2463*1.4*1.5*1.6*1.6*2.2*2.715*2.6*1.4*1.4*1.5,12600000000*(1.652953^(MIN($E2463,123)-117)))*1,0))</f>
        <v>226092682</v>
      </c>
      <c r="AE2463" s="13">
        <f>$E2463+24</f>
        <v>133</v>
      </c>
      <c r="AF2463" s="14">
        <f>IF($J2463=0,0,ROUND(MAX($J2463*1.4*1.5*1.6*1.6*2.2*2.715*2.6*1.4*1.4*1.5*1.5,18900000000*(1.65331^(MIN($E2463,123)-117)))*1,0))</f>
        <v>338553621</v>
      </c>
      <c r="AG2463" s="11">
        <f>$E2463+27</f>
        <v>136</v>
      </c>
      <c r="AH2463" s="12">
        <f>IF($J2463=0,0,ROUND(MAX($J2463*1.4*1.5*1.6*1.6*2.2*2.715*2.6*1.4*1.4*1.5*1.5*3.2,60500000000*(1.654288^(MIN($E2463,123)-117)))*1,0))</f>
        <v>1078614909</v>
      </c>
    </row>
    <row r="2464" ht="28" customHeight="1" spans="1:34" x14ac:dyDescent="0.25">
      <c r="A2464">
        <v>2474</v>
      </c>
      <c r="B2464" t="s">
        <v>1387</v>
      </c>
      <c r="C2464" s="10" t="s">
        <v>1421</v>
      </c>
      <c r="D2464" t="s">
        <v>33</v>
      </c>
      <c r="E2464">
        <v>109</v>
      </c>
      <c r="F2464" t="s">
        <v>26</v>
      </c>
      <c r="G2464" t="s">
        <v>354</v>
      </c>
      <c r="H2464">
        <v>24</v>
      </c>
      <c r="I2464" s="11">
        <v>109</v>
      </c>
      <c r="J2464" s="12">
        <v>62400</v>
      </c>
      <c r="K2464" s="13">
        <f>$E2464+1</f>
        <v>110</v>
      </c>
      <c r="L2464" s="14">
        <f>IF($J2464=0,0,ROUND(MAX($J2464*1.4,1620000*(1.497923^(MIN($E2464,123)-117)))*1,0))</f>
        <v>87360</v>
      </c>
      <c r="M2464" s="11">
        <f>$E2464+2</f>
        <v>111</v>
      </c>
      <c r="N2464" s="12">
        <f>IF($J2464=0,0,ROUND(MAX($J2464*1.4*1.5,2190000*(1.580994^(MIN($E2464,123)-117)))*1,0))</f>
        <v>131040</v>
      </c>
      <c r="O2464" s="13">
        <f>$E2464+4</f>
        <v>113</v>
      </c>
      <c r="P2464" s="14">
        <f>IF($J2464=0,0,ROUND(MAX($J2464*1.4*1.5*1.6,3500000*(1.57975^(MIN($E2464,123)-117)))*1,0))</f>
        <v>209664</v>
      </c>
      <c r="Q2464" s="11">
        <f>$E2464+6</f>
        <v>115</v>
      </c>
      <c r="R2464" s="12">
        <f>IF($J2464=0,0,ROUND(MAX($J2464*1.4*1.5*1.6*1.6,13100000*(1.429962^(MIN($E2464,123)-117)))*1,0))</f>
        <v>749334</v>
      </c>
      <c r="S2464" s="13">
        <f>$E2464+8</f>
        <v>117</v>
      </c>
      <c r="T2464" s="14">
        <f>IF($J2464=0,0,ROUND(MAX($J2464*1.4*1.5*1.6*1.6*2.2,42600000*(1.576904^(MIN($E2464,123)-117)))*1,0))</f>
        <v>1114211</v>
      </c>
      <c r="U2464" s="11">
        <f>$E2464+11</f>
        <v>120</v>
      </c>
      <c r="V2464" s="12">
        <f>IF($J2464=0,0,ROUND(MAX($J2464*1.4*1.5*1.6*1.6*2.2*2.715,354000000*(1.642074^(MIN($E2464,123)-117)))*1,0))</f>
        <v>6696710</v>
      </c>
      <c r="W2464" s="13">
        <f>$E2464+15</f>
        <v>124</v>
      </c>
      <c r="X2464" s="14">
        <f>IF($J2464=0,0,ROUND(MAX($J2464*1.4*1.5*1.6*1.6*2.2*2.715*2.6,3540000000*(1.579646^(MIN($E2464,123)-117)))*1,0))</f>
        <v>91311418</v>
      </c>
      <c r="Y2464" s="11">
        <f>$E2464+17</f>
        <v>126</v>
      </c>
      <c r="Z2464" s="12">
        <f>IF($J2464=0,0,ROUND(MAX($J2464*1.4*1.5*1.6*1.6*2.2*2.715*2.6*1.4,6020000000*(1.651178^(MIN($E2464,123)-117)))*1,0))</f>
        <v>108954543</v>
      </c>
      <c r="AA2464" s="13">
        <f>$E2464+19</f>
        <v>128</v>
      </c>
      <c r="AB2464" s="14">
        <f>IF($J2464=0,0,ROUND(MAX($J2464*1.4*1.5*1.6*1.6*2.2*2.715*2.6*1.4*1.4,8430000000*(1.651435^(MIN($E2464,123)-117)))*1,0))</f>
        <v>152382712</v>
      </c>
      <c r="AC2464" s="11">
        <f>$E2464+21</f>
        <v>130</v>
      </c>
      <c r="AD2464" s="12">
        <f>IF($J2464=0,0,ROUND(MAX($J2464*1.4*1.5*1.6*1.6*2.2*2.715*2.6*1.4*1.4*1.5,12600000000*(1.652953^(MIN($E2464,123)-117)))*1,0))</f>
        <v>226092682</v>
      </c>
      <c r="AE2464" s="13">
        <f>$E2464+24</f>
        <v>133</v>
      </c>
      <c r="AF2464" s="14">
        <f>IF($J2464=0,0,ROUND(MAX($J2464*1.4*1.5*1.6*1.6*2.2*2.715*2.6*1.4*1.4*1.5*1.5,18900000000*(1.65331^(MIN($E2464,123)-117)))*1,0))</f>
        <v>338553621</v>
      </c>
      <c r="AG2464" s="11">
        <f>$E2464+27</f>
        <v>136</v>
      </c>
      <c r="AH2464" s="12">
        <f>IF($J2464=0,0,ROUND(MAX($J2464*1.4*1.5*1.6*1.6*2.2*2.715*2.6*1.4*1.4*1.5*1.5*3.2,60500000000*(1.654288^(MIN($E2464,123)-117)))*1,0))</f>
        <v>1078614909</v>
      </c>
    </row>
    <row r="2465" ht="28" customHeight="1" spans="1:34" x14ac:dyDescent="0.25">
      <c r="A2465">
        <v>2475</v>
      </c>
      <c r="B2465" t="s">
        <v>1491</v>
      </c>
      <c r="C2465" s="10" t="s">
        <v>1421</v>
      </c>
      <c r="D2465" t="s">
        <v>33</v>
      </c>
      <c r="E2465">
        <v>109</v>
      </c>
      <c r="F2465" t="s">
        <v>62</v>
      </c>
      <c r="G2465" t="s">
        <v>366</v>
      </c>
      <c r="H2465">
        <v>24</v>
      </c>
      <c r="I2465" s="11">
        <v>109</v>
      </c>
      <c r="J2465" s="12">
        <v>84200</v>
      </c>
      <c r="K2465" s="13">
        <f>$E2465+1</f>
        <v>110</v>
      </c>
      <c r="L2465" s="14">
        <f>IF($J2465=0,0,ROUND(MAX($J2465*1.4,1620000*(1.497923^(MIN($E2465,123)-117)))*1,0))</f>
        <v>117880</v>
      </c>
      <c r="M2465" s="11">
        <f>$E2465+2</f>
        <v>111</v>
      </c>
      <c r="N2465" s="12">
        <f>IF($J2465=0,0,ROUND(MAX($J2465*1.4*1.5,2190000*(1.580994^(MIN($E2465,123)-117)))*1,0))</f>
        <v>176820</v>
      </c>
      <c r="O2465" s="13">
        <f>$E2465+4</f>
        <v>113</v>
      </c>
      <c r="P2465" s="14">
        <f>IF($J2465=0,0,ROUND(MAX($J2465*1.4*1.5*1.6,3500000*(1.57975^(MIN($E2465,123)-117)))*1,0))</f>
        <v>282912</v>
      </c>
      <c r="Q2465" s="11">
        <f>$E2465+6</f>
        <v>115</v>
      </c>
      <c r="R2465" s="12">
        <f>IF($J2465=0,0,ROUND(MAX($J2465*1.4*1.5*1.6*1.6,13100000*(1.429962^(MIN($E2465,123)-117)))*1,0))</f>
        <v>749334</v>
      </c>
      <c r="S2465" s="13">
        <f>$E2465+8</f>
        <v>117</v>
      </c>
      <c r="T2465" s="14">
        <f>IF($J2465=0,0,ROUND(MAX($J2465*1.4*1.5*1.6*1.6*2.2,42600000*(1.576904^(MIN($E2465,123)-117)))*1,0))</f>
        <v>1114211</v>
      </c>
      <c r="U2465" s="11">
        <f>$E2465+11</f>
        <v>120</v>
      </c>
      <c r="V2465" s="12">
        <f>IF($J2465=0,0,ROUND(MAX($J2465*1.4*1.5*1.6*1.6*2.2*2.715,354000000*(1.642074^(MIN($E2465,123)-117)))*1,0))</f>
        <v>6696710</v>
      </c>
      <c r="W2465" s="13">
        <f>$E2465+15</f>
        <v>124</v>
      </c>
      <c r="X2465" s="14">
        <f>IF($J2465=0,0,ROUND(MAX($J2465*1.4*1.5*1.6*1.6*2.2*2.715*2.6,3540000000*(1.579646^(MIN($E2465,123)-117)))*1,0))</f>
        <v>91311418</v>
      </c>
      <c r="Y2465" s="11">
        <f>$E2465+17</f>
        <v>126</v>
      </c>
      <c r="Z2465" s="12">
        <f>IF($J2465=0,0,ROUND(MAX($J2465*1.4*1.5*1.6*1.6*2.2*2.715*2.6*1.4,6020000000*(1.651178^(MIN($E2465,123)-117)))*1,0))</f>
        <v>108954543</v>
      </c>
      <c r="AA2465" s="13">
        <f>$E2465+19</f>
        <v>128</v>
      </c>
      <c r="AB2465" s="14">
        <f>IF($J2465=0,0,ROUND(MAX($J2465*1.4*1.5*1.6*1.6*2.2*2.715*2.6*1.4*1.4,8430000000*(1.651435^(MIN($E2465,123)-117)))*1,0))</f>
        <v>152382712</v>
      </c>
      <c r="AC2465" s="11">
        <f>$E2465+21</f>
        <v>130</v>
      </c>
      <c r="AD2465" s="12">
        <f>IF($J2465=0,0,ROUND(MAX($J2465*1.4*1.5*1.6*1.6*2.2*2.715*2.6*1.4*1.4*1.5,12600000000*(1.652953^(MIN($E2465,123)-117)))*1,0))</f>
        <v>226092682</v>
      </c>
      <c r="AE2465" s="13">
        <f>$E2465+24</f>
        <v>133</v>
      </c>
      <c r="AF2465" s="14">
        <f>IF($J2465=0,0,ROUND(MAX($J2465*1.4*1.5*1.6*1.6*2.2*2.715*2.6*1.4*1.4*1.5*1.5,18900000000*(1.65331^(MIN($E2465,123)-117)))*1,0))</f>
        <v>338553621</v>
      </c>
      <c r="AG2465" s="11">
        <f>$E2465+27</f>
        <v>136</v>
      </c>
      <c r="AH2465" s="12">
        <f>IF($J2465=0,0,ROUND(MAX($J2465*1.4*1.5*1.6*1.6*2.2*2.715*2.6*1.4*1.4*1.5*1.5*3.2,60500000000*(1.654288^(MIN($E2465,123)-117)))*1,0))</f>
        <v>1078614909</v>
      </c>
    </row>
    <row r="2466" ht="28" customHeight="1" spans="1:34" x14ac:dyDescent="0.25">
      <c r="A2466">
        <v>2476</v>
      </c>
      <c r="B2466" t="s">
        <v>1399</v>
      </c>
      <c r="C2466" s="10" t="s">
        <v>1421</v>
      </c>
      <c r="D2466" t="s">
        <v>45</v>
      </c>
      <c r="E2466">
        <v>109</v>
      </c>
      <c r="F2466" t="s">
        <v>56</v>
      </c>
      <c r="G2466" t="s">
        <v>727</v>
      </c>
      <c r="H2466">
        <v>24</v>
      </c>
      <c r="I2466" s="11">
        <v>109</v>
      </c>
      <c r="J2466" s="12">
        <v>70300</v>
      </c>
      <c r="K2466" s="13">
        <f>$E2466+1</f>
        <v>110</v>
      </c>
      <c r="L2466" s="14">
        <f>IF($J2466=0,0,ROUND(MAX($J2466*1.4,1620000*(1.497923^(MIN($E2466,123)-117)))*1,0))</f>
        <v>98420</v>
      </c>
      <c r="M2466" s="11">
        <f>$E2466+2</f>
        <v>111</v>
      </c>
      <c r="N2466" s="12">
        <f>IF($J2466=0,0,ROUND(MAX($J2466*1.4*1.5,2190000*(1.580994^(MIN($E2466,123)-117)))*1,0))</f>
        <v>147630</v>
      </c>
      <c r="O2466" s="13">
        <f>$E2466+4</f>
        <v>113</v>
      </c>
      <c r="P2466" s="14">
        <f>IF($J2466=0,0,ROUND(MAX($J2466*1.4*1.5*1.6,3500000*(1.57975^(MIN($E2466,123)-117)))*1,0))</f>
        <v>236208</v>
      </c>
      <c r="Q2466" s="11">
        <f>$E2466+6</f>
        <v>115</v>
      </c>
      <c r="R2466" s="12">
        <f>IF($J2466=0,0,ROUND(MAX($J2466*1.4*1.5*1.6*1.6,13100000*(1.429962^(MIN($E2466,123)-117)))*1,0))</f>
        <v>749334</v>
      </c>
      <c r="S2466" s="13">
        <f>$E2466+8</f>
        <v>117</v>
      </c>
      <c r="T2466" s="14">
        <f>IF($J2466=0,0,ROUND(MAX($J2466*1.4*1.5*1.6*1.6*2.2,42600000*(1.576904^(MIN($E2466,123)-117)))*1,0))</f>
        <v>1114211</v>
      </c>
      <c r="U2466" s="11">
        <f>$E2466+11</f>
        <v>120</v>
      </c>
      <c r="V2466" s="12">
        <f>IF($J2466=0,0,ROUND(MAX($J2466*1.4*1.5*1.6*1.6*2.2*2.715,354000000*(1.642074^(MIN($E2466,123)-117)))*1,0))</f>
        <v>6696710</v>
      </c>
      <c r="W2466" s="13">
        <f>$E2466+15</f>
        <v>124</v>
      </c>
      <c r="X2466" s="14">
        <f>IF($J2466=0,0,ROUND(MAX($J2466*1.4*1.5*1.6*1.6*2.2*2.715*2.6,3540000000*(1.579646^(MIN($E2466,123)-117)))*1,0))</f>
        <v>91311418</v>
      </c>
      <c r="Y2466" s="11">
        <f>$E2466+17</f>
        <v>126</v>
      </c>
      <c r="Z2466" s="12">
        <f>IF($J2466=0,0,ROUND(MAX($J2466*1.4*1.5*1.6*1.6*2.2*2.715*2.6*1.4,6020000000*(1.651178^(MIN($E2466,123)-117)))*1,0))</f>
        <v>108954543</v>
      </c>
      <c r="AA2466" s="13">
        <f>$E2466+19</f>
        <v>128</v>
      </c>
      <c r="AB2466" s="14">
        <f>IF($J2466=0,0,ROUND(MAX($J2466*1.4*1.5*1.6*1.6*2.2*2.715*2.6*1.4*1.4,8430000000*(1.651435^(MIN($E2466,123)-117)))*1,0))</f>
        <v>152382712</v>
      </c>
      <c r="AC2466" s="11">
        <f>$E2466+21</f>
        <v>130</v>
      </c>
      <c r="AD2466" s="12">
        <f>IF($J2466=0,0,ROUND(MAX($J2466*1.4*1.5*1.6*1.6*2.2*2.715*2.6*1.4*1.4*1.5,12600000000*(1.652953^(MIN($E2466,123)-117)))*1,0))</f>
        <v>226092682</v>
      </c>
      <c r="AE2466" s="13">
        <f>$E2466+24</f>
        <v>133</v>
      </c>
      <c r="AF2466" s="14">
        <f>IF($J2466=0,0,ROUND(MAX($J2466*1.4*1.5*1.6*1.6*2.2*2.715*2.6*1.4*1.4*1.5*1.5,18900000000*(1.65331^(MIN($E2466,123)-117)))*1,0))</f>
        <v>338553621</v>
      </c>
      <c r="AG2466" s="11">
        <f>$E2466+27</f>
        <v>136</v>
      </c>
      <c r="AH2466" s="12">
        <f>IF($J2466=0,0,ROUND(MAX($J2466*1.4*1.5*1.6*1.6*2.2*2.715*2.6*1.4*1.4*1.5*1.5*3.2,60500000000*(1.654288^(MIN($E2466,123)-117)))*1,0))</f>
        <v>1078614909</v>
      </c>
    </row>
    <row r="2467" ht="28" customHeight="1" spans="1:34" x14ac:dyDescent="0.25">
      <c r="A2467">
        <v>2477</v>
      </c>
      <c r="B2467" t="s">
        <v>1492</v>
      </c>
      <c r="C2467" s="10" t="s">
        <v>1421</v>
      </c>
      <c r="D2467" t="s">
        <v>241</v>
      </c>
      <c r="E2467">
        <v>109</v>
      </c>
      <c r="F2467" t="s">
        <v>54</v>
      </c>
      <c r="G2467" t="s">
        <v>1029</v>
      </c>
      <c r="H2467">
        <v>24</v>
      </c>
      <c r="I2467" s="11">
        <v>109</v>
      </c>
      <c r="J2467" s="12">
        <v>70300</v>
      </c>
      <c r="K2467" s="13">
        <f>$E2467+1</f>
        <v>110</v>
      </c>
      <c r="L2467" s="14">
        <f>IF($J2467=0,0,ROUND(MAX($J2467*1.4,1620000*(1.497923^(MIN($E2467,123)-117)))*1,0))</f>
        <v>98420</v>
      </c>
      <c r="M2467" s="11">
        <f>$E2467+2</f>
        <v>111</v>
      </c>
      <c r="N2467" s="12">
        <f>IF($J2467=0,0,ROUND(MAX($J2467*1.4*1.5,2190000*(1.580994^(MIN($E2467,123)-117)))*1,0))</f>
        <v>147630</v>
      </c>
      <c r="O2467" s="13">
        <f>$E2467+4</f>
        <v>113</v>
      </c>
      <c r="P2467" s="14">
        <f>IF($J2467=0,0,ROUND(MAX($J2467*1.4*1.5*1.6,3500000*(1.57975^(MIN($E2467,123)-117)))*1,0))</f>
        <v>236208</v>
      </c>
      <c r="Q2467" s="11">
        <f>$E2467+6</f>
        <v>115</v>
      </c>
      <c r="R2467" s="12">
        <f>IF($J2467=0,0,ROUND(MAX($J2467*1.4*1.5*1.6*1.6,13100000*(1.429962^(MIN($E2467,123)-117)))*1,0))</f>
        <v>749334</v>
      </c>
      <c r="S2467" s="13">
        <f>$E2467+8</f>
        <v>117</v>
      </c>
      <c r="T2467" s="14">
        <f>IF($J2467=0,0,ROUND(MAX($J2467*1.4*1.5*1.6*1.6*2.2,42600000*(1.576904^(MIN($E2467,123)-117)))*1,0))</f>
        <v>1114211</v>
      </c>
      <c r="U2467" s="11">
        <f>$E2467+11</f>
        <v>120</v>
      </c>
      <c r="V2467" s="12">
        <f>IF($J2467=0,0,ROUND(MAX($J2467*1.4*1.5*1.6*1.6*2.2*2.715,354000000*(1.642074^(MIN($E2467,123)-117)))*1,0))</f>
        <v>6696710</v>
      </c>
      <c r="W2467" s="13">
        <f>$E2467+15</f>
        <v>124</v>
      </c>
      <c r="X2467" s="14">
        <f>IF($J2467=0,0,ROUND(MAX($J2467*1.4*1.5*1.6*1.6*2.2*2.715*2.6,3540000000*(1.579646^(MIN($E2467,123)-117)))*1,0))</f>
        <v>91311418</v>
      </c>
      <c r="Y2467" s="11">
        <f>$E2467+17</f>
        <v>126</v>
      </c>
      <c r="Z2467" s="12">
        <f>IF($J2467=0,0,ROUND(MAX($J2467*1.4*1.5*1.6*1.6*2.2*2.715*2.6*1.4,6020000000*(1.651178^(MIN($E2467,123)-117)))*1,0))</f>
        <v>108954543</v>
      </c>
      <c r="AA2467" s="13">
        <f>$E2467+19</f>
        <v>128</v>
      </c>
      <c r="AB2467" s="14">
        <f>IF($J2467=0,0,ROUND(MAX($J2467*1.4*1.5*1.6*1.6*2.2*2.715*2.6*1.4*1.4,8430000000*(1.651435^(MIN($E2467,123)-117)))*1,0))</f>
        <v>152382712</v>
      </c>
      <c r="AC2467" s="11">
        <f>$E2467+21</f>
        <v>130</v>
      </c>
      <c r="AD2467" s="12">
        <f>IF($J2467=0,0,ROUND(MAX($J2467*1.4*1.5*1.6*1.6*2.2*2.715*2.6*1.4*1.4*1.5,12600000000*(1.652953^(MIN($E2467,123)-117)))*1,0))</f>
        <v>226092682</v>
      </c>
      <c r="AE2467" s="13">
        <f>$E2467+24</f>
        <v>133</v>
      </c>
      <c r="AF2467" s="14">
        <f>IF($J2467=0,0,ROUND(MAX($J2467*1.4*1.5*1.6*1.6*2.2*2.715*2.6*1.4*1.4*1.5*1.5,18900000000*(1.65331^(MIN($E2467,123)-117)))*1,0))</f>
        <v>338553621</v>
      </c>
      <c r="AG2467" s="11">
        <f>$E2467+27</f>
        <v>136</v>
      </c>
      <c r="AH2467" s="12">
        <f>IF($J2467=0,0,ROUND(MAX($J2467*1.4*1.5*1.6*1.6*2.2*2.715*2.6*1.4*1.4*1.5*1.5*3.2,60500000000*(1.654288^(MIN($E2467,123)-117)))*1,0))</f>
        <v>1078614909</v>
      </c>
    </row>
    <row r="2468" ht="28" customHeight="1" spans="1:34" x14ac:dyDescent="0.25">
      <c r="A2468">
        <v>2478</v>
      </c>
      <c r="B2468" t="s">
        <v>1411</v>
      </c>
      <c r="C2468" s="10" t="s">
        <v>1421</v>
      </c>
      <c r="D2468" t="s">
        <v>33</v>
      </c>
      <c r="E2468">
        <v>109</v>
      </c>
      <c r="F2468" t="s">
        <v>34</v>
      </c>
      <c r="G2468" t="s">
        <v>675</v>
      </c>
      <c r="H2468">
        <v>24</v>
      </c>
      <c r="I2468" s="11">
        <v>109</v>
      </c>
      <c r="J2468" s="12">
        <v>54200</v>
      </c>
      <c r="K2468" s="13">
        <f>$E2468+1</f>
        <v>110</v>
      </c>
      <c r="L2468" s="14">
        <f>IF($J2468=0,0,ROUND(MAX($J2468*1.4,1620000*(1.497923^(MIN($E2468,123)-117)))*1,0))</f>
        <v>75880</v>
      </c>
      <c r="M2468" s="11">
        <f>$E2468+2</f>
        <v>111</v>
      </c>
      <c r="N2468" s="12">
        <f>IF($J2468=0,0,ROUND(MAX($J2468*1.4*1.5,2190000*(1.580994^(MIN($E2468,123)-117)))*1,0))</f>
        <v>113820</v>
      </c>
      <c r="O2468" s="13">
        <f>$E2468+4</f>
        <v>113</v>
      </c>
      <c r="P2468" s="14">
        <f>IF($J2468=0,0,ROUND(MAX($J2468*1.4*1.5*1.6,3500000*(1.57975^(MIN($E2468,123)-117)))*1,0))</f>
        <v>182112</v>
      </c>
      <c r="Q2468" s="11">
        <f>$E2468+6</f>
        <v>115</v>
      </c>
      <c r="R2468" s="12">
        <f>IF($J2468=0,0,ROUND(MAX($J2468*1.4*1.5*1.6*1.6,13100000*(1.429962^(MIN($E2468,123)-117)))*1,0))</f>
        <v>749334</v>
      </c>
      <c r="S2468" s="13">
        <f>$E2468+8</f>
        <v>117</v>
      </c>
      <c r="T2468" s="14">
        <f>IF($J2468=0,0,ROUND(MAX($J2468*1.4*1.5*1.6*1.6*2.2,42600000*(1.576904^(MIN($E2468,123)-117)))*1,0))</f>
        <v>1114211</v>
      </c>
      <c r="U2468" s="11">
        <f>$E2468+11</f>
        <v>120</v>
      </c>
      <c r="V2468" s="12">
        <f>IF($J2468=0,0,ROUND(MAX($J2468*1.4*1.5*1.6*1.6*2.2*2.715,354000000*(1.642074^(MIN($E2468,123)-117)))*1,0))</f>
        <v>6696710</v>
      </c>
      <c r="W2468" s="13">
        <f>$E2468+15</f>
        <v>124</v>
      </c>
      <c r="X2468" s="14">
        <f>IF($J2468=0,0,ROUND(MAX($J2468*1.4*1.5*1.6*1.6*2.2*2.715*2.6,3540000000*(1.579646^(MIN($E2468,123)-117)))*1,0))</f>
        <v>91311418</v>
      </c>
      <c r="Y2468" s="11">
        <f>$E2468+17</f>
        <v>126</v>
      </c>
      <c r="Z2468" s="12">
        <f>IF($J2468=0,0,ROUND(MAX($J2468*1.4*1.5*1.6*1.6*2.2*2.715*2.6*1.4,6020000000*(1.651178^(MIN($E2468,123)-117)))*1,0))</f>
        <v>108954543</v>
      </c>
      <c r="AA2468" s="13">
        <f>$E2468+19</f>
        <v>128</v>
      </c>
      <c r="AB2468" s="14">
        <f>IF($J2468=0,0,ROUND(MAX($J2468*1.4*1.5*1.6*1.6*2.2*2.715*2.6*1.4*1.4,8430000000*(1.651435^(MIN($E2468,123)-117)))*1,0))</f>
        <v>152382712</v>
      </c>
      <c r="AC2468" s="11">
        <f>$E2468+21</f>
        <v>130</v>
      </c>
      <c r="AD2468" s="12">
        <f>IF($J2468=0,0,ROUND(MAX($J2468*1.4*1.5*1.6*1.6*2.2*2.715*2.6*1.4*1.4*1.5,12600000000*(1.652953^(MIN($E2468,123)-117)))*1,0))</f>
        <v>226092682</v>
      </c>
      <c r="AE2468" s="13">
        <f>$E2468+24</f>
        <v>133</v>
      </c>
      <c r="AF2468" s="14">
        <f>IF($J2468=0,0,ROUND(MAX($J2468*1.4*1.5*1.6*1.6*2.2*2.715*2.6*1.4*1.4*1.5*1.5,18900000000*(1.65331^(MIN($E2468,123)-117)))*1,0))</f>
        <v>338553621</v>
      </c>
      <c r="AG2468" s="11">
        <f>$E2468+27</f>
        <v>136</v>
      </c>
      <c r="AH2468" s="12">
        <f>IF($J2468=0,0,ROUND(MAX($J2468*1.4*1.5*1.6*1.6*2.2*2.715*2.6*1.4*1.4*1.5*1.5*3.2,60500000000*(1.654288^(MIN($E2468,123)-117)))*1,0))</f>
        <v>1078614909</v>
      </c>
    </row>
    <row r="2469" ht="28" customHeight="1" spans="1:34" x14ac:dyDescent="0.25">
      <c r="A2469">
        <v>2479</v>
      </c>
      <c r="B2469" t="s">
        <v>1493</v>
      </c>
      <c r="C2469" s="10" t="s">
        <v>1421</v>
      </c>
      <c r="D2469" t="s">
        <v>40</v>
      </c>
      <c r="E2469">
        <v>109</v>
      </c>
      <c r="F2469" t="s">
        <v>34</v>
      </c>
      <c r="G2469" t="s">
        <v>569</v>
      </c>
      <c r="H2469">
        <v>24</v>
      </c>
      <c r="I2469" s="11">
        <v>109</v>
      </c>
      <c r="J2469" s="12">
        <v>123000</v>
      </c>
      <c r="K2469" s="13">
        <f>$E2469+1</f>
        <v>110</v>
      </c>
      <c r="L2469" s="14">
        <f>IF($J2469=0,0,ROUND(MAX($J2469*1.4,1620000*(1.497923^(MIN($E2469,123)-117)))*1,0))</f>
        <v>172200</v>
      </c>
      <c r="M2469" s="11">
        <f>$E2469+2</f>
        <v>111</v>
      </c>
      <c r="N2469" s="12">
        <f>IF($J2469=0,0,ROUND(MAX($J2469*1.4*1.5,2190000*(1.580994^(MIN($E2469,123)-117)))*1,0))</f>
        <v>258300</v>
      </c>
      <c r="O2469" s="13">
        <f>$E2469+4</f>
        <v>113</v>
      </c>
      <c r="P2469" s="14">
        <f>IF($J2469=0,0,ROUND(MAX($J2469*1.4*1.5*1.6,3500000*(1.57975^(MIN($E2469,123)-117)))*1,0))</f>
        <v>413280</v>
      </c>
      <c r="Q2469" s="11">
        <f>$E2469+6</f>
        <v>115</v>
      </c>
      <c r="R2469" s="12">
        <f>IF($J2469=0,0,ROUND(MAX($J2469*1.4*1.5*1.6*1.6,13100000*(1.429962^(MIN($E2469,123)-117)))*1,0))</f>
        <v>749334</v>
      </c>
      <c r="S2469" s="13">
        <f>$E2469+8</f>
        <v>117</v>
      </c>
      <c r="T2469" s="14">
        <f>IF($J2469=0,0,ROUND(MAX($J2469*1.4*1.5*1.6*1.6*2.2,42600000*(1.576904^(MIN($E2469,123)-117)))*1,0))</f>
        <v>1454746</v>
      </c>
      <c r="U2469" s="11">
        <f>$E2469+11</f>
        <v>120</v>
      </c>
      <c r="V2469" s="12">
        <f>IF($J2469=0,0,ROUND(MAX($J2469*1.4*1.5*1.6*1.6*2.2*2.715,354000000*(1.642074^(MIN($E2469,123)-117)))*1,0))</f>
        <v>6696710</v>
      </c>
      <c r="W2469" s="13">
        <f>$E2469+15</f>
        <v>124</v>
      </c>
      <c r="X2469" s="14">
        <f>IF($J2469=0,0,ROUND(MAX($J2469*1.4*1.5*1.6*1.6*2.2*2.715*2.6,3540000000*(1.579646^(MIN($E2469,123)-117)))*1,0))</f>
        <v>91311418</v>
      </c>
      <c r="Y2469" s="11">
        <f>$E2469+17</f>
        <v>126</v>
      </c>
      <c r="Z2469" s="12">
        <f>IF($J2469=0,0,ROUND(MAX($J2469*1.4*1.5*1.6*1.6*2.2*2.715*2.6*1.4,6020000000*(1.651178^(MIN($E2469,123)-117)))*1,0))</f>
        <v>108954543</v>
      </c>
      <c r="AA2469" s="13">
        <f>$E2469+19</f>
        <v>128</v>
      </c>
      <c r="AB2469" s="14">
        <f>IF($J2469=0,0,ROUND(MAX($J2469*1.4*1.5*1.6*1.6*2.2*2.715*2.6*1.4*1.4,8430000000*(1.651435^(MIN($E2469,123)-117)))*1,0))</f>
        <v>152382712</v>
      </c>
      <c r="AC2469" s="11">
        <f>$E2469+21</f>
        <v>130</v>
      </c>
      <c r="AD2469" s="12">
        <f>IF($J2469=0,0,ROUND(MAX($J2469*1.4*1.5*1.6*1.6*2.2*2.715*2.6*1.4*1.4*1.5,12600000000*(1.652953^(MIN($E2469,123)-117)))*1,0))</f>
        <v>226092682</v>
      </c>
      <c r="AE2469" s="13">
        <f>$E2469+24</f>
        <v>133</v>
      </c>
      <c r="AF2469" s="14">
        <f>IF($J2469=0,0,ROUND(MAX($J2469*1.4*1.5*1.6*1.6*2.2*2.715*2.6*1.4*1.4*1.5*1.5,18900000000*(1.65331^(MIN($E2469,123)-117)))*1,0))</f>
        <v>338553621</v>
      </c>
      <c r="AG2469" s="11">
        <f>$E2469+27</f>
        <v>136</v>
      </c>
      <c r="AH2469" s="12">
        <f>IF($J2469=0,0,ROUND(MAX($J2469*1.4*1.5*1.6*1.6*2.2*2.715*2.6*1.4*1.4*1.5*1.5*3.2,60500000000*(1.654288^(MIN($E2469,123)-117)))*1,0))</f>
        <v>1078614909</v>
      </c>
    </row>
    <row r="2470" ht="28" customHeight="1" spans="1:34" x14ac:dyDescent="0.25">
      <c r="A2470">
        <v>2480</v>
      </c>
      <c r="B2470" t="s">
        <v>1494</v>
      </c>
      <c r="C2470" s="10" t="s">
        <v>1421</v>
      </c>
      <c r="D2470" t="s">
        <v>90</v>
      </c>
      <c r="E2470">
        <v>109</v>
      </c>
      <c r="F2470" t="s">
        <v>146</v>
      </c>
      <c r="G2470" t="s">
        <v>1013</v>
      </c>
      <c r="H2470">
        <v>24</v>
      </c>
      <c r="I2470" s="11">
        <v>109</v>
      </c>
      <c r="J2470" s="12">
        <v>62800</v>
      </c>
      <c r="K2470" s="13">
        <f>$E2470+1</f>
        <v>110</v>
      </c>
      <c r="L2470" s="14">
        <f>IF($J2470=0,0,ROUND(MAX($J2470*1.4,1620000*(1.497923^(MIN($E2470,123)-117)))*1,0))</f>
        <v>87920</v>
      </c>
      <c r="M2470" s="11">
        <f>$E2470+2</f>
        <v>111</v>
      </c>
      <c r="N2470" s="12">
        <f>IF($J2470=0,0,ROUND(MAX($J2470*1.4*1.5,2190000*(1.580994^(MIN($E2470,123)-117)))*1,0))</f>
        <v>131880</v>
      </c>
      <c r="O2470" s="13">
        <f>$E2470+4</f>
        <v>113</v>
      </c>
      <c r="P2470" s="14">
        <f>IF($J2470=0,0,ROUND(MAX($J2470*1.4*1.5*1.6,3500000*(1.57975^(MIN($E2470,123)-117)))*1,0))</f>
        <v>211008</v>
      </c>
      <c r="Q2470" s="11">
        <f>$E2470+6</f>
        <v>115</v>
      </c>
      <c r="R2470" s="12">
        <f>IF($J2470=0,0,ROUND(MAX($J2470*1.4*1.5*1.6*1.6,13100000*(1.429962^(MIN($E2470,123)-117)))*1,0))</f>
        <v>749334</v>
      </c>
      <c r="S2470" s="13">
        <f>$E2470+8</f>
        <v>117</v>
      </c>
      <c r="T2470" s="14">
        <f>IF($J2470=0,0,ROUND(MAX($J2470*1.4*1.5*1.6*1.6*2.2,42600000*(1.576904^(MIN($E2470,123)-117)))*1,0))</f>
        <v>1114211</v>
      </c>
      <c r="U2470" s="11">
        <f>$E2470+11</f>
        <v>120</v>
      </c>
      <c r="V2470" s="12">
        <f>IF($J2470=0,0,ROUND(MAX($J2470*1.4*1.5*1.6*1.6*2.2*2.715,354000000*(1.642074^(MIN($E2470,123)-117)))*1,0))</f>
        <v>6696710</v>
      </c>
      <c r="W2470" s="13">
        <f>$E2470+15</f>
        <v>124</v>
      </c>
      <c r="X2470" s="14">
        <f>IF($J2470=0,0,ROUND(MAX($J2470*1.4*1.5*1.6*1.6*2.2*2.715*2.6,3540000000*(1.579646^(MIN($E2470,123)-117)))*1,0))</f>
        <v>91311418</v>
      </c>
      <c r="Y2470" s="11">
        <f>$E2470+17</f>
        <v>126</v>
      </c>
      <c r="Z2470" s="12">
        <f>IF($J2470=0,0,ROUND(MAX($J2470*1.4*1.5*1.6*1.6*2.2*2.715*2.6*1.4,6020000000*(1.651178^(MIN($E2470,123)-117)))*1,0))</f>
        <v>108954543</v>
      </c>
      <c r="AA2470" s="13">
        <f>$E2470+19</f>
        <v>128</v>
      </c>
      <c r="AB2470" s="14">
        <f>IF($J2470=0,0,ROUND(MAX($J2470*1.4*1.5*1.6*1.6*2.2*2.715*2.6*1.4*1.4,8430000000*(1.651435^(MIN($E2470,123)-117)))*1,0))</f>
        <v>152382712</v>
      </c>
      <c r="AC2470" s="11">
        <f>$E2470+21</f>
        <v>130</v>
      </c>
      <c r="AD2470" s="12">
        <f>IF($J2470=0,0,ROUND(MAX($J2470*1.4*1.5*1.6*1.6*2.2*2.715*2.6*1.4*1.4*1.5,12600000000*(1.652953^(MIN($E2470,123)-117)))*1,0))</f>
        <v>226092682</v>
      </c>
      <c r="AE2470" s="13">
        <f>$E2470+24</f>
        <v>133</v>
      </c>
      <c r="AF2470" s="14">
        <f>IF($J2470=0,0,ROUND(MAX($J2470*1.4*1.5*1.6*1.6*2.2*2.715*2.6*1.4*1.4*1.5*1.5,18900000000*(1.65331^(MIN($E2470,123)-117)))*1,0))</f>
        <v>338553621</v>
      </c>
      <c r="AG2470" s="11">
        <f>$E2470+27</f>
        <v>136</v>
      </c>
      <c r="AH2470" s="12">
        <f>IF($J2470=0,0,ROUND(MAX($J2470*1.4*1.5*1.6*1.6*2.2*2.715*2.6*1.4*1.4*1.5*1.5*3.2,60500000000*(1.654288^(MIN($E2470,123)-117)))*1,0))</f>
        <v>1078614909</v>
      </c>
    </row>
    <row r="2471" ht="28" customHeight="1" spans="1:34" x14ac:dyDescent="0.25">
      <c r="A2471">
        <v>2481</v>
      </c>
      <c r="B2471" t="s">
        <v>1495</v>
      </c>
      <c r="C2471" s="10" t="s">
        <v>1421</v>
      </c>
      <c r="D2471" t="s">
        <v>45</v>
      </c>
      <c r="E2471">
        <v>109</v>
      </c>
      <c r="F2471" t="s">
        <v>146</v>
      </c>
      <c r="G2471" t="s">
        <v>1321</v>
      </c>
      <c r="H2471">
        <v>24</v>
      </c>
      <c r="I2471" s="11">
        <v>109</v>
      </c>
      <c r="J2471" s="12">
        <v>78400</v>
      </c>
      <c r="K2471" s="13">
        <f>$E2471+1</f>
        <v>110</v>
      </c>
      <c r="L2471" s="14">
        <f>IF($J2471=0,0,ROUND(MAX($J2471*1.4,1620000*(1.497923^(MIN($E2471,123)-117)))*1,0))</f>
        <v>109760</v>
      </c>
      <c r="M2471" s="11">
        <f>$E2471+2</f>
        <v>111</v>
      </c>
      <c r="N2471" s="12">
        <f>IF($J2471=0,0,ROUND(MAX($J2471*1.4*1.5,2190000*(1.580994^(MIN($E2471,123)-117)))*1,0))</f>
        <v>164640</v>
      </c>
      <c r="O2471" s="13">
        <f>$E2471+4</f>
        <v>113</v>
      </c>
      <c r="P2471" s="14">
        <f>IF($J2471=0,0,ROUND(MAX($J2471*1.4*1.5*1.6,3500000*(1.57975^(MIN($E2471,123)-117)))*1,0))</f>
        <v>263424</v>
      </c>
      <c r="Q2471" s="11">
        <f>$E2471+6</f>
        <v>115</v>
      </c>
      <c r="R2471" s="12">
        <f>IF($J2471=0,0,ROUND(MAX($J2471*1.4*1.5*1.6*1.6,13100000*(1.429962^(MIN($E2471,123)-117)))*1,0))</f>
        <v>749334</v>
      </c>
      <c r="S2471" s="13">
        <f>$E2471+8</f>
        <v>117</v>
      </c>
      <c r="T2471" s="14">
        <f>IF($J2471=0,0,ROUND(MAX($J2471*1.4*1.5*1.6*1.6*2.2,42600000*(1.576904^(MIN($E2471,123)-117)))*1,0))</f>
        <v>1114211</v>
      </c>
      <c r="U2471" s="11">
        <f>$E2471+11</f>
        <v>120</v>
      </c>
      <c r="V2471" s="12">
        <f>IF($J2471=0,0,ROUND(MAX($J2471*1.4*1.5*1.6*1.6*2.2*2.715,354000000*(1.642074^(MIN($E2471,123)-117)))*1,0))</f>
        <v>6696710</v>
      </c>
      <c r="W2471" s="13">
        <f>$E2471+15</f>
        <v>124</v>
      </c>
      <c r="X2471" s="14">
        <f>IF($J2471=0,0,ROUND(MAX($J2471*1.4*1.5*1.6*1.6*2.2*2.715*2.6,3540000000*(1.579646^(MIN($E2471,123)-117)))*1,0))</f>
        <v>91311418</v>
      </c>
      <c r="Y2471" s="11">
        <f>$E2471+17</f>
        <v>126</v>
      </c>
      <c r="Z2471" s="12">
        <f>IF($J2471=0,0,ROUND(MAX($J2471*1.4*1.5*1.6*1.6*2.2*2.715*2.6*1.4,6020000000*(1.651178^(MIN($E2471,123)-117)))*1,0))</f>
        <v>108954543</v>
      </c>
      <c r="AA2471" s="13">
        <f>$E2471+19</f>
        <v>128</v>
      </c>
      <c r="AB2471" s="14">
        <f>IF($J2471=0,0,ROUND(MAX($J2471*1.4*1.5*1.6*1.6*2.2*2.715*2.6*1.4*1.4,8430000000*(1.651435^(MIN($E2471,123)-117)))*1,0))</f>
        <v>152382712</v>
      </c>
      <c r="AC2471" s="11">
        <f>$E2471+21</f>
        <v>130</v>
      </c>
      <c r="AD2471" s="12">
        <f>IF($J2471=0,0,ROUND(MAX($J2471*1.4*1.5*1.6*1.6*2.2*2.715*2.6*1.4*1.4*1.5,12600000000*(1.652953^(MIN($E2471,123)-117)))*1,0))</f>
        <v>226092682</v>
      </c>
      <c r="AE2471" s="13">
        <f>$E2471+24</f>
        <v>133</v>
      </c>
      <c r="AF2471" s="14">
        <f>IF($J2471=0,0,ROUND(MAX($J2471*1.4*1.5*1.6*1.6*2.2*2.715*2.6*1.4*1.4*1.5*1.5,18900000000*(1.65331^(MIN($E2471,123)-117)))*1,0))</f>
        <v>338553621</v>
      </c>
      <c r="AG2471" s="11">
        <f>$E2471+27</f>
        <v>136</v>
      </c>
      <c r="AH2471" s="12">
        <f>IF($J2471=0,0,ROUND(MAX($J2471*1.4*1.5*1.6*1.6*2.2*2.715*2.6*1.4*1.4*1.5*1.5*3.2,60500000000*(1.654288^(MIN($E2471,123)-117)))*1,0))</f>
        <v>1078614909</v>
      </c>
    </row>
    <row r="2472" ht="28" customHeight="1" spans="1:34" x14ac:dyDescent="0.25">
      <c r="A2472">
        <v>2482</v>
      </c>
      <c r="B2472" t="s">
        <v>1496</v>
      </c>
      <c r="C2472" s="10" t="s">
        <v>1421</v>
      </c>
      <c r="D2472" t="s">
        <v>33</v>
      </c>
      <c r="E2472">
        <v>109</v>
      </c>
      <c r="F2472" t="s">
        <v>34</v>
      </c>
      <c r="G2472" t="s">
        <v>813</v>
      </c>
      <c r="H2472">
        <v>24</v>
      </c>
      <c r="I2472" s="11">
        <v>109</v>
      </c>
      <c r="J2472" s="12">
        <v>86900</v>
      </c>
      <c r="K2472" s="13">
        <f>$E2472+1</f>
        <v>110</v>
      </c>
      <c r="L2472" s="14">
        <f>IF($J2472=0,0,ROUND(MAX($J2472*1.4,1620000*(1.497923^(MIN($E2472,123)-117)))*1,0))</f>
        <v>121660</v>
      </c>
      <c r="M2472" s="11">
        <f>$E2472+2</f>
        <v>111</v>
      </c>
      <c r="N2472" s="12">
        <f>IF($J2472=0,0,ROUND(MAX($J2472*1.4*1.5,2190000*(1.580994^(MIN($E2472,123)-117)))*1,0))</f>
        <v>182490</v>
      </c>
      <c r="O2472" s="13">
        <f>$E2472+4</f>
        <v>113</v>
      </c>
      <c r="P2472" s="14">
        <f>IF($J2472=0,0,ROUND(MAX($J2472*1.4*1.5*1.6,3500000*(1.57975^(MIN($E2472,123)-117)))*1,0))</f>
        <v>291984</v>
      </c>
      <c r="Q2472" s="11">
        <f>$E2472+6</f>
        <v>115</v>
      </c>
      <c r="R2472" s="12">
        <f>IF($J2472=0,0,ROUND(MAX($J2472*1.4*1.5*1.6*1.6,13100000*(1.429962^(MIN($E2472,123)-117)))*1,0))</f>
        <v>749334</v>
      </c>
      <c r="S2472" s="13">
        <f>$E2472+8</f>
        <v>117</v>
      </c>
      <c r="T2472" s="14">
        <f>IF($J2472=0,0,ROUND(MAX($J2472*1.4*1.5*1.6*1.6*2.2,42600000*(1.576904^(MIN($E2472,123)-117)))*1,0))</f>
        <v>1114211</v>
      </c>
      <c r="U2472" s="11">
        <f>$E2472+11</f>
        <v>120</v>
      </c>
      <c r="V2472" s="12">
        <f>IF($J2472=0,0,ROUND(MAX($J2472*1.4*1.5*1.6*1.6*2.2*2.715,354000000*(1.642074^(MIN($E2472,123)-117)))*1,0))</f>
        <v>6696710</v>
      </c>
      <c r="W2472" s="13">
        <f>$E2472+15</f>
        <v>124</v>
      </c>
      <c r="X2472" s="14">
        <f>IF($J2472=0,0,ROUND(MAX($J2472*1.4*1.5*1.6*1.6*2.2*2.715*2.6,3540000000*(1.579646^(MIN($E2472,123)-117)))*1,0))</f>
        <v>91311418</v>
      </c>
      <c r="Y2472" s="11">
        <f>$E2472+17</f>
        <v>126</v>
      </c>
      <c r="Z2472" s="12">
        <f>IF($J2472=0,0,ROUND(MAX($J2472*1.4*1.5*1.6*1.6*2.2*2.715*2.6*1.4,6020000000*(1.651178^(MIN($E2472,123)-117)))*1,0))</f>
        <v>108954543</v>
      </c>
      <c r="AA2472" s="13">
        <f>$E2472+19</f>
        <v>128</v>
      </c>
      <c r="AB2472" s="14">
        <f>IF($J2472=0,0,ROUND(MAX($J2472*1.4*1.5*1.6*1.6*2.2*2.715*2.6*1.4*1.4,8430000000*(1.651435^(MIN($E2472,123)-117)))*1,0))</f>
        <v>152382712</v>
      </c>
      <c r="AC2472" s="11">
        <f>$E2472+21</f>
        <v>130</v>
      </c>
      <c r="AD2472" s="12">
        <f>IF($J2472=0,0,ROUND(MAX($J2472*1.4*1.5*1.6*1.6*2.2*2.715*2.6*1.4*1.4*1.5,12600000000*(1.652953^(MIN($E2472,123)-117)))*1,0))</f>
        <v>226092682</v>
      </c>
      <c r="AE2472" s="13">
        <f>$E2472+24</f>
        <v>133</v>
      </c>
      <c r="AF2472" s="14">
        <f>IF($J2472=0,0,ROUND(MAX($J2472*1.4*1.5*1.6*1.6*2.2*2.715*2.6*1.4*1.4*1.5*1.5,18900000000*(1.65331^(MIN($E2472,123)-117)))*1,0))</f>
        <v>338553621</v>
      </c>
      <c r="AG2472" s="11">
        <f>$E2472+27</f>
        <v>136</v>
      </c>
      <c r="AH2472" s="12">
        <f>IF($J2472=0,0,ROUND(MAX($J2472*1.4*1.5*1.6*1.6*2.2*2.715*2.6*1.4*1.4*1.5*1.5*3.2,60500000000*(1.654288^(MIN($E2472,123)-117)))*1,0))</f>
        <v>1078614909</v>
      </c>
    </row>
    <row r="2473" ht="28" customHeight="1" spans="1:34" x14ac:dyDescent="0.25">
      <c r="A2473">
        <v>2483</v>
      </c>
      <c r="B2473" t="s">
        <v>1372</v>
      </c>
      <c r="C2473" s="10" t="s">
        <v>1421</v>
      </c>
      <c r="D2473" t="s">
        <v>79</v>
      </c>
      <c r="E2473">
        <v>109</v>
      </c>
      <c r="F2473" t="s">
        <v>56</v>
      </c>
      <c r="G2473" t="s">
        <v>727</v>
      </c>
      <c r="H2473">
        <v>24</v>
      </c>
      <c r="I2473" s="11">
        <v>109</v>
      </c>
      <c r="J2473" s="12">
        <v>70000</v>
      </c>
      <c r="K2473" s="13">
        <f>$E2473+1</f>
        <v>110</v>
      </c>
      <c r="L2473" s="14">
        <f>IF($J2473=0,0,ROUND(MAX($J2473*1.4,1620000*(1.497923^(MIN($E2473,123)-117)))*1,0))</f>
        <v>98000</v>
      </c>
      <c r="M2473" s="11">
        <f>$E2473+2</f>
        <v>111</v>
      </c>
      <c r="N2473" s="12">
        <f>IF($J2473=0,0,ROUND(MAX($J2473*1.4*1.5,2190000*(1.580994^(MIN($E2473,123)-117)))*1,0))</f>
        <v>147000</v>
      </c>
      <c r="O2473" s="13">
        <f>$E2473+4</f>
        <v>113</v>
      </c>
      <c r="P2473" s="14">
        <f>IF($J2473=0,0,ROUND(MAX($J2473*1.4*1.5*1.6,3500000*(1.57975^(MIN($E2473,123)-117)))*1,0))</f>
        <v>235200</v>
      </c>
      <c r="Q2473" s="11">
        <f>$E2473+6</f>
        <v>115</v>
      </c>
      <c r="R2473" s="12">
        <f>IF($J2473=0,0,ROUND(MAX($J2473*1.4*1.5*1.6*1.6,13100000*(1.429962^(MIN($E2473,123)-117)))*1,0))</f>
        <v>749334</v>
      </c>
      <c r="S2473" s="13">
        <f>$E2473+8</f>
        <v>117</v>
      </c>
      <c r="T2473" s="14">
        <f>IF($J2473=0,0,ROUND(MAX($J2473*1.4*1.5*1.6*1.6*2.2,42600000*(1.576904^(MIN($E2473,123)-117)))*1,0))</f>
        <v>1114211</v>
      </c>
      <c r="U2473" s="11">
        <f>$E2473+11</f>
        <v>120</v>
      </c>
      <c r="V2473" s="12">
        <f>IF($J2473=0,0,ROUND(MAX($J2473*1.4*1.5*1.6*1.6*2.2*2.715,354000000*(1.642074^(MIN($E2473,123)-117)))*1,0))</f>
        <v>6696710</v>
      </c>
      <c r="W2473" s="13">
        <f>$E2473+15</f>
        <v>124</v>
      </c>
      <c r="X2473" s="14">
        <f>IF($J2473=0,0,ROUND(MAX($J2473*1.4*1.5*1.6*1.6*2.2*2.715*2.6,3540000000*(1.579646^(MIN($E2473,123)-117)))*1,0))</f>
        <v>91311418</v>
      </c>
      <c r="Y2473" s="11">
        <f>$E2473+17</f>
        <v>126</v>
      </c>
      <c r="Z2473" s="12">
        <f>IF($J2473=0,0,ROUND(MAX($J2473*1.4*1.5*1.6*1.6*2.2*2.715*2.6*1.4,6020000000*(1.651178^(MIN($E2473,123)-117)))*1,0))</f>
        <v>108954543</v>
      </c>
      <c r="AA2473" s="13">
        <f>$E2473+19</f>
        <v>128</v>
      </c>
      <c r="AB2473" s="14">
        <f>IF($J2473=0,0,ROUND(MAX($J2473*1.4*1.5*1.6*1.6*2.2*2.715*2.6*1.4*1.4,8430000000*(1.651435^(MIN($E2473,123)-117)))*1,0))</f>
        <v>152382712</v>
      </c>
      <c r="AC2473" s="11">
        <f>$E2473+21</f>
        <v>130</v>
      </c>
      <c r="AD2473" s="12">
        <f>IF($J2473=0,0,ROUND(MAX($J2473*1.4*1.5*1.6*1.6*2.2*2.715*2.6*1.4*1.4*1.5,12600000000*(1.652953^(MIN($E2473,123)-117)))*1,0))</f>
        <v>226092682</v>
      </c>
      <c r="AE2473" s="13">
        <f>$E2473+24</f>
        <v>133</v>
      </c>
      <c r="AF2473" s="14">
        <f>IF($J2473=0,0,ROUND(MAX($J2473*1.4*1.5*1.6*1.6*2.2*2.715*2.6*1.4*1.4*1.5*1.5,18900000000*(1.65331^(MIN($E2473,123)-117)))*1,0))</f>
        <v>338553621</v>
      </c>
      <c r="AG2473" s="11">
        <f>$E2473+27</f>
        <v>136</v>
      </c>
      <c r="AH2473" s="12">
        <f>IF($J2473=0,0,ROUND(MAX($J2473*1.4*1.5*1.6*1.6*2.2*2.715*2.6*1.4*1.4*1.5*1.5*3.2,60500000000*(1.654288^(MIN($E2473,123)-117)))*1,0))</f>
        <v>1078614909</v>
      </c>
    </row>
    <row r="2474" ht="28" customHeight="1" spans="1:34" x14ac:dyDescent="0.25">
      <c r="A2474">
        <v>2484</v>
      </c>
      <c r="B2474" t="s">
        <v>1416</v>
      </c>
      <c r="C2474" s="10" t="s">
        <v>1421</v>
      </c>
      <c r="D2474" t="s">
        <v>33</v>
      </c>
      <c r="E2474">
        <v>109</v>
      </c>
      <c r="F2474" t="s">
        <v>56</v>
      </c>
      <c r="G2474" t="s">
        <v>832</v>
      </c>
      <c r="H2474">
        <v>24</v>
      </c>
      <c r="I2474" s="11">
        <v>109</v>
      </c>
      <c r="J2474" s="12">
        <v>63500</v>
      </c>
      <c r="K2474" s="13">
        <f>$E2474+1</f>
        <v>110</v>
      </c>
      <c r="L2474" s="14">
        <f>IF($J2474=0,0,ROUND(MAX($J2474*1.4,1620000*(1.497923^(MIN($E2474,123)-117)))*1,0))</f>
        <v>88900</v>
      </c>
      <c r="M2474" s="11">
        <f>$E2474+2</f>
        <v>111</v>
      </c>
      <c r="N2474" s="12">
        <f>IF($J2474=0,0,ROUND(MAX($J2474*1.4*1.5,2190000*(1.580994^(MIN($E2474,123)-117)))*1,0))</f>
        <v>133350</v>
      </c>
      <c r="O2474" s="13">
        <f>$E2474+4</f>
        <v>113</v>
      </c>
      <c r="P2474" s="14">
        <f>IF($J2474=0,0,ROUND(MAX($J2474*1.4*1.5*1.6,3500000*(1.57975^(MIN($E2474,123)-117)))*1,0))</f>
        <v>213360</v>
      </c>
      <c r="Q2474" s="11">
        <f>$E2474+6</f>
        <v>115</v>
      </c>
      <c r="R2474" s="12">
        <f>IF($J2474=0,0,ROUND(MAX($J2474*1.4*1.5*1.6*1.6,13100000*(1.429962^(MIN($E2474,123)-117)))*1,0))</f>
        <v>749334</v>
      </c>
      <c r="S2474" s="13">
        <f>$E2474+8</f>
        <v>117</v>
      </c>
      <c r="T2474" s="14">
        <f>IF($J2474=0,0,ROUND(MAX($J2474*1.4*1.5*1.6*1.6*2.2,42600000*(1.576904^(MIN($E2474,123)-117)))*1,0))</f>
        <v>1114211</v>
      </c>
      <c r="U2474" s="11">
        <f>$E2474+11</f>
        <v>120</v>
      </c>
      <c r="V2474" s="12">
        <f>IF($J2474=0,0,ROUND(MAX($J2474*1.4*1.5*1.6*1.6*2.2*2.715,354000000*(1.642074^(MIN($E2474,123)-117)))*1,0))</f>
        <v>6696710</v>
      </c>
      <c r="W2474" s="13">
        <f>$E2474+15</f>
        <v>124</v>
      </c>
      <c r="X2474" s="14">
        <f>IF($J2474=0,0,ROUND(MAX($J2474*1.4*1.5*1.6*1.6*2.2*2.715*2.6,3540000000*(1.579646^(MIN($E2474,123)-117)))*1,0))</f>
        <v>91311418</v>
      </c>
      <c r="Y2474" s="11">
        <f>$E2474+17</f>
        <v>126</v>
      </c>
      <c r="Z2474" s="12">
        <f>IF($J2474=0,0,ROUND(MAX($J2474*1.4*1.5*1.6*1.6*2.2*2.715*2.6*1.4,6020000000*(1.651178^(MIN($E2474,123)-117)))*1,0))</f>
        <v>108954543</v>
      </c>
      <c r="AA2474" s="13">
        <f>$E2474+19</f>
        <v>128</v>
      </c>
      <c r="AB2474" s="14">
        <f>IF($J2474=0,0,ROUND(MAX($J2474*1.4*1.5*1.6*1.6*2.2*2.715*2.6*1.4*1.4,8430000000*(1.651435^(MIN($E2474,123)-117)))*1,0))</f>
        <v>152382712</v>
      </c>
      <c r="AC2474" s="11">
        <f>$E2474+21</f>
        <v>130</v>
      </c>
      <c r="AD2474" s="12">
        <f>IF($J2474=0,0,ROUND(MAX($J2474*1.4*1.5*1.6*1.6*2.2*2.715*2.6*1.4*1.4*1.5,12600000000*(1.652953^(MIN($E2474,123)-117)))*1,0))</f>
        <v>226092682</v>
      </c>
      <c r="AE2474" s="13">
        <f>$E2474+24</f>
        <v>133</v>
      </c>
      <c r="AF2474" s="14">
        <f>IF($J2474=0,0,ROUND(MAX($J2474*1.4*1.5*1.6*1.6*2.2*2.715*2.6*1.4*1.4*1.5*1.5,18900000000*(1.65331^(MIN($E2474,123)-117)))*1,0))</f>
        <v>338553621</v>
      </c>
      <c r="AG2474" s="11">
        <f>$E2474+27</f>
        <v>136</v>
      </c>
      <c r="AH2474" s="12">
        <f>IF($J2474=0,0,ROUND(MAX($J2474*1.4*1.5*1.6*1.6*2.2*2.715*2.6*1.4*1.4*1.5*1.5*3.2,60500000000*(1.654288^(MIN($E2474,123)-117)))*1,0))</f>
        <v>1078614909</v>
      </c>
    </row>
    <row r="2475" ht="28" customHeight="1" spans="1:34" x14ac:dyDescent="0.25">
      <c r="A2475">
        <v>2485</v>
      </c>
      <c r="B2475" t="s">
        <v>611</v>
      </c>
      <c r="C2475" s="10" t="s">
        <v>1421</v>
      </c>
      <c r="D2475" t="s">
        <v>45</v>
      </c>
      <c r="E2475">
        <v>109</v>
      </c>
      <c r="F2475" t="s">
        <v>116</v>
      </c>
      <c r="G2475" t="s">
        <v>27</v>
      </c>
      <c r="H2475">
        <v>24</v>
      </c>
      <c r="I2475" s="11">
        <v>109</v>
      </c>
      <c r="J2475" s="12">
        <v>98500</v>
      </c>
      <c r="K2475" s="13">
        <f>$E2475+1</f>
        <v>110</v>
      </c>
      <c r="L2475" s="14">
        <f>IF($J2475=0,0,ROUND(MAX($J2475*1.4,1620000*(1.497923^(MIN($E2475,123)-117)))*1,0))</f>
        <v>137900</v>
      </c>
      <c r="M2475" s="11">
        <f>$E2475+2</f>
        <v>111</v>
      </c>
      <c r="N2475" s="12">
        <f>IF($J2475=0,0,ROUND(MAX($J2475*1.4*1.5,2190000*(1.580994^(MIN($E2475,123)-117)))*1,0))</f>
        <v>206850</v>
      </c>
      <c r="O2475" s="13">
        <f>$E2475+4</f>
        <v>113</v>
      </c>
      <c r="P2475" s="14">
        <f>IF($J2475=0,0,ROUND(MAX($J2475*1.4*1.5*1.6,3500000*(1.57975^(MIN($E2475,123)-117)))*1,0))</f>
        <v>330960</v>
      </c>
      <c r="Q2475" s="11">
        <f>$E2475+6</f>
        <v>115</v>
      </c>
      <c r="R2475" s="12">
        <f>IF($J2475=0,0,ROUND(MAX($J2475*1.4*1.5*1.6*1.6,13100000*(1.429962^(MIN($E2475,123)-117)))*1,0))</f>
        <v>749334</v>
      </c>
      <c r="S2475" s="13">
        <f>$E2475+8</f>
        <v>117</v>
      </c>
      <c r="T2475" s="14">
        <f>IF($J2475=0,0,ROUND(MAX($J2475*1.4*1.5*1.6*1.6*2.2,42600000*(1.576904^(MIN($E2475,123)-117)))*1,0))</f>
        <v>1164979</v>
      </c>
      <c r="U2475" s="11">
        <f>$E2475+11</f>
        <v>120</v>
      </c>
      <c r="V2475" s="12">
        <f>IF($J2475=0,0,ROUND(MAX($J2475*1.4*1.5*1.6*1.6*2.2*2.715,354000000*(1.642074^(MIN($E2475,123)-117)))*1,0))</f>
        <v>6696710</v>
      </c>
      <c r="W2475" s="13">
        <f>$E2475+15</f>
        <v>124</v>
      </c>
      <c r="X2475" s="14">
        <f>IF($J2475=0,0,ROUND(MAX($J2475*1.4*1.5*1.6*1.6*2.2*2.715*2.6,3540000000*(1.579646^(MIN($E2475,123)-117)))*1,0))</f>
        <v>91311418</v>
      </c>
      <c r="Y2475" s="11">
        <f>$E2475+17</f>
        <v>126</v>
      </c>
      <c r="Z2475" s="12">
        <f>IF($J2475=0,0,ROUND(MAX($J2475*1.4*1.5*1.6*1.6*2.2*2.715*2.6*1.4,6020000000*(1.651178^(MIN($E2475,123)-117)))*1,0))</f>
        <v>108954543</v>
      </c>
      <c r="AA2475" s="13">
        <f>$E2475+19</f>
        <v>128</v>
      </c>
      <c r="AB2475" s="14">
        <f>IF($J2475=0,0,ROUND(MAX($J2475*1.4*1.5*1.6*1.6*2.2*2.715*2.6*1.4*1.4,8430000000*(1.651435^(MIN($E2475,123)-117)))*1,0))</f>
        <v>152382712</v>
      </c>
      <c r="AC2475" s="11">
        <f>$E2475+21</f>
        <v>130</v>
      </c>
      <c r="AD2475" s="12">
        <f>IF($J2475=0,0,ROUND(MAX($J2475*1.4*1.5*1.6*1.6*2.2*2.715*2.6*1.4*1.4*1.5,12600000000*(1.652953^(MIN($E2475,123)-117)))*1,0))</f>
        <v>226092682</v>
      </c>
      <c r="AE2475" s="13">
        <f>$E2475+24</f>
        <v>133</v>
      </c>
      <c r="AF2475" s="14">
        <f>IF($J2475=0,0,ROUND(MAX($J2475*1.4*1.5*1.6*1.6*2.2*2.715*2.6*1.4*1.4*1.5*1.5,18900000000*(1.65331^(MIN($E2475,123)-117)))*1,0))</f>
        <v>338553621</v>
      </c>
      <c r="AG2475" s="11">
        <f>$E2475+27</f>
        <v>136</v>
      </c>
      <c r="AH2475" s="12">
        <f>IF($J2475=0,0,ROUND(MAX($J2475*1.4*1.5*1.6*1.6*2.2*2.715*2.6*1.4*1.4*1.5*1.5*3.2,60500000000*(1.654288^(MIN($E2475,123)-117)))*1,0))</f>
        <v>1078614909</v>
      </c>
    </row>
    <row r="2476" ht="28" customHeight="1" spans="1:34" x14ac:dyDescent="0.25">
      <c r="A2476">
        <v>2486</v>
      </c>
      <c r="B2476" t="s">
        <v>1333</v>
      </c>
      <c r="C2476" s="10" t="s">
        <v>1421</v>
      </c>
      <c r="D2476" t="s">
        <v>90</v>
      </c>
      <c r="E2476">
        <v>109</v>
      </c>
      <c r="F2476" t="s">
        <v>400</v>
      </c>
      <c r="G2476" t="s">
        <v>247</v>
      </c>
      <c r="H2476">
        <v>24</v>
      </c>
      <c r="I2476" s="11">
        <v>109</v>
      </c>
      <c r="J2476" s="12">
        <v>190000</v>
      </c>
      <c r="K2476" s="13">
        <f>$E2476+1</f>
        <v>110</v>
      </c>
      <c r="L2476" s="14">
        <f>IF($J2476=0,0,ROUND(MAX($J2476*1.4,1620000*(1.497923^(MIN($E2476,123)-117)))*1,0))</f>
        <v>266000</v>
      </c>
      <c r="M2476" s="11">
        <f>$E2476+2</f>
        <v>111</v>
      </c>
      <c r="N2476" s="12">
        <f>IF($J2476=0,0,ROUND(MAX($J2476*1.4*1.5,2190000*(1.580994^(MIN($E2476,123)-117)))*1,0))</f>
        <v>399000</v>
      </c>
      <c r="O2476" s="13">
        <f>$E2476+4</f>
        <v>113</v>
      </c>
      <c r="P2476" s="14">
        <f>IF($J2476=0,0,ROUND(MAX($J2476*1.4*1.5*1.6,3500000*(1.57975^(MIN($E2476,123)-117)))*1,0))</f>
        <v>638400</v>
      </c>
      <c r="Q2476" s="11">
        <f>$E2476+6</f>
        <v>115</v>
      </c>
      <c r="R2476" s="12">
        <f>IF($J2476=0,0,ROUND(MAX($J2476*1.4*1.5*1.6*1.6,13100000*(1.429962^(MIN($E2476,123)-117)))*1,0))</f>
        <v>1021440</v>
      </c>
      <c r="S2476" s="13">
        <f>$E2476+8</f>
        <v>117</v>
      </c>
      <c r="T2476" s="14">
        <f>IF($J2476=0,0,ROUND(MAX($J2476*1.4*1.5*1.6*1.6*2.2,42600000*(1.576904^(MIN($E2476,123)-117)))*1,0))</f>
        <v>2247168</v>
      </c>
      <c r="U2476" s="11">
        <f>$E2476+11</f>
        <v>120</v>
      </c>
      <c r="V2476" s="12">
        <f>IF($J2476=0,0,ROUND(MAX($J2476*1.4*1.5*1.6*1.6*2.2*2.715,354000000*(1.642074^(MIN($E2476,123)-117)))*1,0))</f>
        <v>6696710</v>
      </c>
      <c r="W2476" s="13">
        <f>$E2476+15</f>
        <v>124</v>
      </c>
      <c r="X2476" s="14">
        <f>IF($J2476=0,0,ROUND(MAX($J2476*1.4*1.5*1.6*1.6*2.2*2.715*2.6,3540000000*(1.579646^(MIN($E2476,123)-117)))*1,0))</f>
        <v>91311418</v>
      </c>
      <c r="Y2476" s="11">
        <f>$E2476+17</f>
        <v>126</v>
      </c>
      <c r="Z2476" s="12">
        <f>IF($J2476=0,0,ROUND(MAX($J2476*1.4*1.5*1.6*1.6*2.2*2.715*2.6*1.4,6020000000*(1.651178^(MIN($E2476,123)-117)))*1,0))</f>
        <v>108954543</v>
      </c>
      <c r="AA2476" s="13">
        <f>$E2476+19</f>
        <v>128</v>
      </c>
      <c r="AB2476" s="14">
        <f>IF($J2476=0,0,ROUND(MAX($J2476*1.4*1.5*1.6*1.6*2.2*2.715*2.6*1.4*1.4,8430000000*(1.651435^(MIN($E2476,123)-117)))*1,0))</f>
        <v>152382712</v>
      </c>
      <c r="AC2476" s="11">
        <f>$E2476+21</f>
        <v>130</v>
      </c>
      <c r="AD2476" s="12">
        <f>IF($J2476=0,0,ROUND(MAX($J2476*1.4*1.5*1.6*1.6*2.2*2.715*2.6*1.4*1.4*1.5,12600000000*(1.652953^(MIN($E2476,123)-117)))*1,0))</f>
        <v>226092682</v>
      </c>
      <c r="AE2476" s="13">
        <f>$E2476+24</f>
        <v>133</v>
      </c>
      <c r="AF2476" s="14">
        <f>IF($J2476=0,0,ROUND(MAX($J2476*1.4*1.5*1.6*1.6*2.2*2.715*2.6*1.4*1.4*1.5*1.5,18900000000*(1.65331^(MIN($E2476,123)-117)))*1,0))</f>
        <v>338553621</v>
      </c>
      <c r="AG2476" s="11">
        <f>$E2476+27</f>
        <v>136</v>
      </c>
      <c r="AH2476" s="12">
        <f>IF($J2476=0,0,ROUND(MAX($J2476*1.4*1.5*1.6*1.6*2.2*2.715*2.6*1.4*1.4*1.5*1.5*3.2,60500000000*(1.654288^(MIN($E2476,123)-117)))*1,0))</f>
        <v>1078614909</v>
      </c>
    </row>
    <row r="2477" ht="28" customHeight="1" spans="1:34" x14ac:dyDescent="0.25">
      <c r="A2477">
        <v>2487</v>
      </c>
      <c r="B2477" t="s">
        <v>1393</v>
      </c>
      <c r="C2477" s="10" t="s">
        <v>1421</v>
      </c>
      <c r="D2477" t="s">
        <v>90</v>
      </c>
      <c r="E2477">
        <v>109</v>
      </c>
      <c r="F2477" t="s">
        <v>310</v>
      </c>
      <c r="G2477" t="s">
        <v>349</v>
      </c>
      <c r="H2477">
        <v>24</v>
      </c>
      <c r="I2477" s="11">
        <v>109</v>
      </c>
      <c r="J2477" s="12">
        <v>61600</v>
      </c>
      <c r="K2477" s="13">
        <f>$E2477+1</f>
        <v>110</v>
      </c>
      <c r="L2477" s="14">
        <f>IF($J2477=0,0,ROUND(MAX($J2477*1.4,1620000*(1.497923^(MIN($E2477,123)-117)))*1,0))</f>
        <v>86240</v>
      </c>
      <c r="M2477" s="11">
        <f>$E2477+2</f>
        <v>111</v>
      </c>
      <c r="N2477" s="12">
        <f>IF($J2477=0,0,ROUND(MAX($J2477*1.4*1.5,2190000*(1.580994^(MIN($E2477,123)-117)))*1,0))</f>
        <v>129360</v>
      </c>
      <c r="O2477" s="13">
        <f>$E2477+4</f>
        <v>113</v>
      </c>
      <c r="P2477" s="14">
        <f>IF($J2477=0,0,ROUND(MAX($J2477*1.4*1.5*1.6,3500000*(1.57975^(MIN($E2477,123)-117)))*1,0))</f>
        <v>206976</v>
      </c>
      <c r="Q2477" s="11">
        <f>$E2477+6</f>
        <v>115</v>
      </c>
      <c r="R2477" s="12">
        <f>IF($J2477=0,0,ROUND(MAX($J2477*1.4*1.5*1.6*1.6,13100000*(1.429962^(MIN($E2477,123)-117)))*1,0))</f>
        <v>749334</v>
      </c>
      <c r="S2477" s="13">
        <f>$E2477+8</f>
        <v>117</v>
      </c>
      <c r="T2477" s="14">
        <f>IF($J2477=0,0,ROUND(MAX($J2477*1.4*1.5*1.6*1.6*2.2,42600000*(1.576904^(MIN($E2477,123)-117)))*1,0))</f>
        <v>1114211</v>
      </c>
      <c r="U2477" s="11">
        <f>$E2477+11</f>
        <v>120</v>
      </c>
      <c r="V2477" s="12">
        <f>IF($J2477=0,0,ROUND(MAX($J2477*1.4*1.5*1.6*1.6*2.2*2.715,354000000*(1.642074^(MIN($E2477,123)-117)))*1,0))</f>
        <v>6696710</v>
      </c>
      <c r="W2477" s="13">
        <f>$E2477+15</f>
        <v>124</v>
      </c>
      <c r="X2477" s="14">
        <f>IF($J2477=0,0,ROUND(MAX($J2477*1.4*1.5*1.6*1.6*2.2*2.715*2.6,3540000000*(1.579646^(MIN($E2477,123)-117)))*1,0))</f>
        <v>91311418</v>
      </c>
      <c r="Y2477" s="11">
        <f>$E2477+17</f>
        <v>126</v>
      </c>
      <c r="Z2477" s="12">
        <f>IF($J2477=0,0,ROUND(MAX($J2477*1.4*1.5*1.6*1.6*2.2*2.715*2.6*1.4,6020000000*(1.651178^(MIN($E2477,123)-117)))*1,0))</f>
        <v>108954543</v>
      </c>
      <c r="AA2477" s="13">
        <f>$E2477+19</f>
        <v>128</v>
      </c>
      <c r="AB2477" s="14">
        <f>IF($J2477=0,0,ROUND(MAX($J2477*1.4*1.5*1.6*1.6*2.2*2.715*2.6*1.4*1.4,8430000000*(1.651435^(MIN($E2477,123)-117)))*1,0))</f>
        <v>152382712</v>
      </c>
      <c r="AC2477" s="11">
        <f>$E2477+21</f>
        <v>130</v>
      </c>
      <c r="AD2477" s="12">
        <f>IF($J2477=0,0,ROUND(MAX($J2477*1.4*1.5*1.6*1.6*2.2*2.715*2.6*1.4*1.4*1.5,12600000000*(1.652953^(MIN($E2477,123)-117)))*1,0))</f>
        <v>226092682</v>
      </c>
      <c r="AE2477" s="13">
        <f>$E2477+24</f>
        <v>133</v>
      </c>
      <c r="AF2477" s="14">
        <f>IF($J2477=0,0,ROUND(MAX($J2477*1.4*1.5*1.6*1.6*2.2*2.715*2.6*1.4*1.4*1.5*1.5,18900000000*(1.65331^(MIN($E2477,123)-117)))*1,0))</f>
        <v>338553621</v>
      </c>
      <c r="AG2477" s="11">
        <f>$E2477+27</f>
        <v>136</v>
      </c>
      <c r="AH2477" s="12">
        <f>IF($J2477=0,0,ROUND(MAX($J2477*1.4*1.5*1.6*1.6*2.2*2.715*2.6*1.4*1.4*1.5*1.5*3.2,60500000000*(1.654288^(MIN($E2477,123)-117)))*1,0))</f>
        <v>1078614909</v>
      </c>
    </row>
    <row r="2478" ht="28" customHeight="1" spans="1:34" x14ac:dyDescent="0.25">
      <c r="A2478">
        <v>2488</v>
      </c>
      <c r="B2478" t="s">
        <v>1497</v>
      </c>
      <c r="C2478" s="10" t="s">
        <v>1421</v>
      </c>
      <c r="D2478" t="s">
        <v>102</v>
      </c>
      <c r="E2478">
        <v>109</v>
      </c>
      <c r="F2478" t="s">
        <v>34</v>
      </c>
      <c r="G2478" t="s">
        <v>358</v>
      </c>
      <c r="H2478">
        <v>24</v>
      </c>
      <c r="I2478" s="11">
        <v>109</v>
      </c>
      <c r="J2478" s="12">
        <v>79000</v>
      </c>
      <c r="K2478" s="13">
        <f>$E2478+1</f>
        <v>110</v>
      </c>
      <c r="L2478" s="14">
        <f>IF($J2478=0,0,ROUND(MAX($J2478*1.4,1620000*(1.497923^(MIN($E2478,123)-117)))*1,0))</f>
        <v>110600</v>
      </c>
      <c r="M2478" s="11">
        <f>$E2478+2</f>
        <v>111</v>
      </c>
      <c r="N2478" s="12">
        <f>IF($J2478=0,0,ROUND(MAX($J2478*1.4*1.5,2190000*(1.580994^(MIN($E2478,123)-117)))*1,0))</f>
        <v>165900</v>
      </c>
      <c r="O2478" s="13">
        <f>$E2478+4</f>
        <v>113</v>
      </c>
      <c r="P2478" s="14">
        <f>IF($J2478=0,0,ROUND(MAX($J2478*1.4*1.5*1.6,3500000*(1.57975^(MIN($E2478,123)-117)))*1,0))</f>
        <v>265440</v>
      </c>
      <c r="Q2478" s="11">
        <f>$E2478+6</f>
        <v>115</v>
      </c>
      <c r="R2478" s="12">
        <f>IF($J2478=0,0,ROUND(MAX($J2478*1.4*1.5*1.6*1.6,13100000*(1.429962^(MIN($E2478,123)-117)))*1,0))</f>
        <v>749334</v>
      </c>
      <c r="S2478" s="13">
        <f>$E2478+8</f>
        <v>117</v>
      </c>
      <c r="T2478" s="14">
        <f>IF($J2478=0,0,ROUND(MAX($J2478*1.4*1.5*1.6*1.6*2.2,42600000*(1.576904^(MIN($E2478,123)-117)))*1,0))</f>
        <v>1114211</v>
      </c>
      <c r="U2478" s="11">
        <f>$E2478+11</f>
        <v>120</v>
      </c>
      <c r="V2478" s="12">
        <f>IF($J2478=0,0,ROUND(MAX($J2478*1.4*1.5*1.6*1.6*2.2*2.715,354000000*(1.642074^(MIN($E2478,123)-117)))*1,0))</f>
        <v>6696710</v>
      </c>
      <c r="W2478" s="13">
        <f>$E2478+15</f>
        <v>124</v>
      </c>
      <c r="X2478" s="14">
        <f>IF($J2478=0,0,ROUND(MAX($J2478*1.4*1.5*1.6*1.6*2.2*2.715*2.6,3540000000*(1.579646^(MIN($E2478,123)-117)))*1,0))</f>
        <v>91311418</v>
      </c>
      <c r="Y2478" s="11">
        <f>$E2478+17</f>
        <v>126</v>
      </c>
      <c r="Z2478" s="12">
        <f>IF($J2478=0,0,ROUND(MAX($J2478*1.4*1.5*1.6*1.6*2.2*2.715*2.6*1.4,6020000000*(1.651178^(MIN($E2478,123)-117)))*1,0))</f>
        <v>108954543</v>
      </c>
      <c r="AA2478" s="13">
        <f>$E2478+19</f>
        <v>128</v>
      </c>
      <c r="AB2478" s="14">
        <f>IF($J2478=0,0,ROUND(MAX($J2478*1.4*1.5*1.6*1.6*2.2*2.715*2.6*1.4*1.4,8430000000*(1.651435^(MIN($E2478,123)-117)))*1,0))</f>
        <v>152382712</v>
      </c>
      <c r="AC2478" s="11">
        <f>$E2478+21</f>
        <v>130</v>
      </c>
      <c r="AD2478" s="12">
        <f>IF($J2478=0,0,ROUND(MAX($J2478*1.4*1.5*1.6*1.6*2.2*2.715*2.6*1.4*1.4*1.5,12600000000*(1.652953^(MIN($E2478,123)-117)))*1,0))</f>
        <v>226092682</v>
      </c>
      <c r="AE2478" s="13">
        <f>$E2478+24</f>
        <v>133</v>
      </c>
      <c r="AF2478" s="14">
        <f>IF($J2478=0,0,ROUND(MAX($J2478*1.4*1.5*1.6*1.6*2.2*2.715*2.6*1.4*1.4*1.5*1.5,18900000000*(1.65331^(MIN($E2478,123)-117)))*1,0))</f>
        <v>338553621</v>
      </c>
      <c r="AG2478" s="11">
        <f>$E2478+27</f>
        <v>136</v>
      </c>
      <c r="AH2478" s="12">
        <f>IF($J2478=0,0,ROUND(MAX($J2478*1.4*1.5*1.6*1.6*2.2*2.715*2.6*1.4*1.4*1.5*1.5*3.2,60500000000*(1.654288^(MIN($E2478,123)-117)))*1,0))</f>
        <v>1078614909</v>
      </c>
    </row>
    <row r="2479" ht="28" customHeight="1" spans="1:34" x14ac:dyDescent="0.25">
      <c r="A2479">
        <v>2489</v>
      </c>
      <c r="B2479" t="s">
        <v>1498</v>
      </c>
      <c r="C2479" s="10" t="s">
        <v>1421</v>
      </c>
      <c r="D2479" t="s">
        <v>40</v>
      </c>
      <c r="E2479">
        <v>109</v>
      </c>
      <c r="F2479" t="s">
        <v>56</v>
      </c>
      <c r="G2479" t="s">
        <v>727</v>
      </c>
      <c r="H2479">
        <v>24</v>
      </c>
      <c r="I2479" s="11">
        <v>109</v>
      </c>
      <c r="J2479" s="12">
        <v>74500</v>
      </c>
      <c r="K2479" s="13">
        <f>$E2479+1</f>
        <v>110</v>
      </c>
      <c r="L2479" s="14">
        <f>IF($J2479=0,0,ROUND(MAX($J2479*1.4,1620000*(1.497923^(MIN($E2479,123)-117)))*1,0))</f>
        <v>104300</v>
      </c>
      <c r="M2479" s="11">
        <f>$E2479+2</f>
        <v>111</v>
      </c>
      <c r="N2479" s="12">
        <f>IF($J2479=0,0,ROUND(MAX($J2479*1.4*1.5,2190000*(1.580994^(MIN($E2479,123)-117)))*1,0))</f>
        <v>156450</v>
      </c>
      <c r="O2479" s="13">
        <f>$E2479+4</f>
        <v>113</v>
      </c>
      <c r="P2479" s="14">
        <f>IF($J2479=0,0,ROUND(MAX($J2479*1.4*1.5*1.6,3500000*(1.57975^(MIN($E2479,123)-117)))*1,0))</f>
        <v>250320</v>
      </c>
      <c r="Q2479" s="11">
        <f>$E2479+6</f>
        <v>115</v>
      </c>
      <c r="R2479" s="12">
        <f>IF($J2479=0,0,ROUND(MAX($J2479*1.4*1.5*1.6*1.6,13100000*(1.429962^(MIN($E2479,123)-117)))*1,0))</f>
        <v>749334</v>
      </c>
      <c r="S2479" s="13">
        <f>$E2479+8</f>
        <v>117</v>
      </c>
      <c r="T2479" s="14">
        <f>IF($J2479=0,0,ROUND(MAX($J2479*1.4*1.5*1.6*1.6*2.2,42600000*(1.576904^(MIN($E2479,123)-117)))*1,0))</f>
        <v>1114211</v>
      </c>
      <c r="U2479" s="11">
        <f>$E2479+11</f>
        <v>120</v>
      </c>
      <c r="V2479" s="12">
        <f>IF($J2479=0,0,ROUND(MAX($J2479*1.4*1.5*1.6*1.6*2.2*2.715,354000000*(1.642074^(MIN($E2479,123)-117)))*1,0))</f>
        <v>6696710</v>
      </c>
      <c r="W2479" s="13">
        <f>$E2479+15</f>
        <v>124</v>
      </c>
      <c r="X2479" s="14">
        <f>IF($J2479=0,0,ROUND(MAX($J2479*1.4*1.5*1.6*1.6*2.2*2.715*2.6,3540000000*(1.579646^(MIN($E2479,123)-117)))*1,0))</f>
        <v>91311418</v>
      </c>
      <c r="Y2479" s="11">
        <f>$E2479+17</f>
        <v>126</v>
      </c>
      <c r="Z2479" s="12">
        <f>IF($J2479=0,0,ROUND(MAX($J2479*1.4*1.5*1.6*1.6*2.2*2.715*2.6*1.4,6020000000*(1.651178^(MIN($E2479,123)-117)))*1,0))</f>
        <v>108954543</v>
      </c>
      <c r="AA2479" s="13">
        <f>$E2479+19</f>
        <v>128</v>
      </c>
      <c r="AB2479" s="14">
        <f>IF($J2479=0,0,ROUND(MAX($J2479*1.4*1.5*1.6*1.6*2.2*2.715*2.6*1.4*1.4,8430000000*(1.651435^(MIN($E2479,123)-117)))*1,0))</f>
        <v>152382712</v>
      </c>
      <c r="AC2479" s="11">
        <f>$E2479+21</f>
        <v>130</v>
      </c>
      <c r="AD2479" s="12">
        <f>IF($J2479=0,0,ROUND(MAX($J2479*1.4*1.5*1.6*1.6*2.2*2.715*2.6*1.4*1.4*1.5,12600000000*(1.652953^(MIN($E2479,123)-117)))*1,0))</f>
        <v>226092682</v>
      </c>
      <c r="AE2479" s="13">
        <f>$E2479+24</f>
        <v>133</v>
      </c>
      <c r="AF2479" s="14">
        <f>IF($J2479=0,0,ROUND(MAX($J2479*1.4*1.5*1.6*1.6*2.2*2.715*2.6*1.4*1.4*1.5*1.5,18900000000*(1.65331^(MIN($E2479,123)-117)))*1,0))</f>
        <v>338553621</v>
      </c>
      <c r="AG2479" s="11">
        <f>$E2479+27</f>
        <v>136</v>
      </c>
      <c r="AH2479" s="12">
        <f>IF($J2479=0,0,ROUND(MAX($J2479*1.4*1.5*1.6*1.6*2.2*2.715*2.6*1.4*1.4*1.5*1.5*3.2,60500000000*(1.654288^(MIN($E2479,123)-117)))*1,0))</f>
        <v>1078614909</v>
      </c>
    </row>
    <row r="2480" ht="28" customHeight="1" spans="1:34" x14ac:dyDescent="0.25">
      <c r="A2480">
        <v>2490</v>
      </c>
      <c r="B2480" t="s">
        <v>629</v>
      </c>
      <c r="C2480" s="10" t="s">
        <v>1421</v>
      </c>
      <c r="D2480" t="s">
        <v>90</v>
      </c>
      <c r="E2480">
        <v>109</v>
      </c>
      <c r="F2480" t="s">
        <v>62</v>
      </c>
      <c r="G2480" t="s">
        <v>27</v>
      </c>
      <c r="H2480">
        <v>24</v>
      </c>
      <c r="I2480" s="11">
        <v>109</v>
      </c>
      <c r="J2480" s="12">
        <v>98200</v>
      </c>
      <c r="K2480" s="13">
        <f>$E2480+1</f>
        <v>110</v>
      </c>
      <c r="L2480" s="14">
        <f>IF($J2480=0,0,ROUND(MAX($J2480*1.4,1620000*(1.497923^(MIN($E2480,123)-117)))*1,0))</f>
        <v>137480</v>
      </c>
      <c r="M2480" s="11">
        <f>$E2480+2</f>
        <v>111</v>
      </c>
      <c r="N2480" s="12">
        <f>IF($J2480=0,0,ROUND(MAX($J2480*1.4*1.5,2190000*(1.580994^(MIN($E2480,123)-117)))*1,0))</f>
        <v>206220</v>
      </c>
      <c r="O2480" s="13">
        <f>$E2480+4</f>
        <v>113</v>
      </c>
      <c r="P2480" s="14">
        <f>IF($J2480=0,0,ROUND(MAX($J2480*1.4*1.5*1.6,3500000*(1.57975^(MIN($E2480,123)-117)))*1,0))</f>
        <v>329952</v>
      </c>
      <c r="Q2480" s="11">
        <f>$E2480+6</f>
        <v>115</v>
      </c>
      <c r="R2480" s="12">
        <f>IF($J2480=0,0,ROUND(MAX($J2480*1.4*1.5*1.6*1.6,13100000*(1.429962^(MIN($E2480,123)-117)))*1,0))</f>
        <v>749334</v>
      </c>
      <c r="S2480" s="13">
        <f>$E2480+8</f>
        <v>117</v>
      </c>
      <c r="T2480" s="14">
        <f>IF($J2480=0,0,ROUND(MAX($J2480*1.4*1.5*1.6*1.6*2.2,42600000*(1.576904^(MIN($E2480,123)-117)))*1,0))</f>
        <v>1161431</v>
      </c>
      <c r="U2480" s="11">
        <f>$E2480+11</f>
        <v>120</v>
      </c>
      <c r="V2480" s="12">
        <f>IF($J2480=0,0,ROUND(MAX($J2480*1.4*1.5*1.6*1.6*2.2*2.715,354000000*(1.642074^(MIN($E2480,123)-117)))*1,0))</f>
        <v>6696710</v>
      </c>
      <c r="W2480" s="13">
        <f>$E2480+15</f>
        <v>124</v>
      </c>
      <c r="X2480" s="14">
        <f>IF($J2480=0,0,ROUND(MAX($J2480*1.4*1.5*1.6*1.6*2.2*2.715*2.6,3540000000*(1.579646^(MIN($E2480,123)-117)))*1,0))</f>
        <v>91311418</v>
      </c>
      <c r="Y2480" s="11">
        <f>$E2480+17</f>
        <v>126</v>
      </c>
      <c r="Z2480" s="12">
        <f>IF($J2480=0,0,ROUND(MAX($J2480*1.4*1.5*1.6*1.6*2.2*2.715*2.6*1.4,6020000000*(1.651178^(MIN($E2480,123)-117)))*1,0))</f>
        <v>108954543</v>
      </c>
      <c r="AA2480" s="13">
        <f>$E2480+19</f>
        <v>128</v>
      </c>
      <c r="AB2480" s="14">
        <f>IF($J2480=0,0,ROUND(MAX($J2480*1.4*1.5*1.6*1.6*2.2*2.715*2.6*1.4*1.4,8430000000*(1.651435^(MIN($E2480,123)-117)))*1,0))</f>
        <v>152382712</v>
      </c>
      <c r="AC2480" s="11">
        <f>$E2480+21</f>
        <v>130</v>
      </c>
      <c r="AD2480" s="12">
        <f>IF($J2480=0,0,ROUND(MAX($J2480*1.4*1.5*1.6*1.6*2.2*2.715*2.6*1.4*1.4*1.5,12600000000*(1.652953^(MIN($E2480,123)-117)))*1,0))</f>
        <v>226092682</v>
      </c>
      <c r="AE2480" s="13">
        <f>$E2480+24</f>
        <v>133</v>
      </c>
      <c r="AF2480" s="14">
        <f>IF($J2480=0,0,ROUND(MAX($J2480*1.4*1.5*1.6*1.6*2.2*2.715*2.6*1.4*1.4*1.5*1.5,18900000000*(1.65331^(MIN($E2480,123)-117)))*1,0))</f>
        <v>338553621</v>
      </c>
      <c r="AG2480" s="11">
        <f>$E2480+27</f>
        <v>136</v>
      </c>
      <c r="AH2480" s="12">
        <f>IF($J2480=0,0,ROUND(MAX($J2480*1.4*1.5*1.6*1.6*2.2*2.715*2.6*1.4*1.4*1.5*1.5*3.2,60500000000*(1.654288^(MIN($E2480,123)-117)))*1,0))</f>
        <v>1078614909</v>
      </c>
    </row>
    <row r="2481" ht="28" customHeight="1" spans="1:34" x14ac:dyDescent="0.25">
      <c r="A2481">
        <v>2491</v>
      </c>
      <c r="B2481" t="s">
        <v>1499</v>
      </c>
      <c r="C2481" s="10" t="s">
        <v>1421</v>
      </c>
      <c r="D2481" t="s">
        <v>40</v>
      </c>
      <c r="E2481">
        <v>109</v>
      </c>
      <c r="F2481" t="s">
        <v>56</v>
      </c>
      <c r="G2481" t="s">
        <v>1500</v>
      </c>
      <c r="H2481">
        <v>24</v>
      </c>
      <c r="I2481" s="11">
        <v>109</v>
      </c>
      <c r="J2481" s="12">
        <v>262000</v>
      </c>
      <c r="K2481" s="13">
        <f>$E2481+1</f>
        <v>110</v>
      </c>
      <c r="L2481" s="14">
        <f>IF($J2481=0,0,ROUND(MAX($J2481*1.4,1620000*(1.497923^(MIN($E2481,123)-117)))*1,0))</f>
        <v>366800</v>
      </c>
      <c r="M2481" s="11">
        <f>$E2481+2</f>
        <v>111</v>
      </c>
      <c r="N2481" s="12">
        <f>IF($J2481=0,0,ROUND(MAX($J2481*1.4*1.5,2190000*(1.580994^(MIN($E2481,123)-117)))*1,0))</f>
        <v>550200</v>
      </c>
      <c r="O2481" s="13">
        <f>$E2481+4</f>
        <v>113</v>
      </c>
      <c r="P2481" s="14">
        <f>IF($J2481=0,0,ROUND(MAX($J2481*1.4*1.5*1.6,3500000*(1.57975^(MIN($E2481,123)-117)))*1,0))</f>
        <v>880320</v>
      </c>
      <c r="Q2481" s="11">
        <f>$E2481+6</f>
        <v>115</v>
      </c>
      <c r="R2481" s="12">
        <f>IF($J2481=0,0,ROUND(MAX($J2481*1.4*1.5*1.6*1.6,13100000*(1.429962^(MIN($E2481,123)-117)))*1,0))</f>
        <v>1408512</v>
      </c>
      <c r="S2481" s="13">
        <f>$E2481+8</f>
        <v>117</v>
      </c>
      <c r="T2481" s="14">
        <f>IF($J2481=0,0,ROUND(MAX($J2481*1.4*1.5*1.6*1.6*2.2,42600000*(1.576904^(MIN($E2481,123)-117)))*1,0))</f>
        <v>3098726</v>
      </c>
      <c r="U2481" s="11">
        <f>$E2481+11</f>
        <v>120</v>
      </c>
      <c r="V2481" s="12">
        <f>IF($J2481=0,0,ROUND(MAX($J2481*1.4*1.5*1.6*1.6*2.2*2.715,354000000*(1.642074^(MIN($E2481,123)-117)))*1,0))</f>
        <v>8413042</v>
      </c>
      <c r="W2481" s="13">
        <f>$E2481+15</f>
        <v>124</v>
      </c>
      <c r="X2481" s="14">
        <f>IF($J2481=0,0,ROUND(MAX($J2481*1.4*1.5*1.6*1.6*2.2*2.715*2.6,3540000000*(1.579646^(MIN($E2481,123)-117)))*1,0))</f>
        <v>91311418</v>
      </c>
      <c r="Y2481" s="11">
        <f>$E2481+17</f>
        <v>126</v>
      </c>
      <c r="Z2481" s="12">
        <f>IF($J2481=0,0,ROUND(MAX($J2481*1.4*1.5*1.6*1.6*2.2*2.715*2.6*1.4,6020000000*(1.651178^(MIN($E2481,123)-117)))*1,0))</f>
        <v>108954543</v>
      </c>
      <c r="AA2481" s="13">
        <f>$E2481+19</f>
        <v>128</v>
      </c>
      <c r="AB2481" s="14">
        <f>IF($J2481=0,0,ROUND(MAX($J2481*1.4*1.5*1.6*1.6*2.2*2.715*2.6*1.4*1.4,8430000000*(1.651435^(MIN($E2481,123)-117)))*1,0))</f>
        <v>152382712</v>
      </c>
      <c r="AC2481" s="11">
        <f>$E2481+21</f>
        <v>130</v>
      </c>
      <c r="AD2481" s="12">
        <f>IF($J2481=0,0,ROUND(MAX($J2481*1.4*1.5*1.6*1.6*2.2*2.715*2.6*1.4*1.4*1.5,12600000000*(1.652953^(MIN($E2481,123)-117)))*1,0))</f>
        <v>226092682</v>
      </c>
      <c r="AE2481" s="13">
        <f>$E2481+24</f>
        <v>133</v>
      </c>
      <c r="AF2481" s="14">
        <f>IF($J2481=0,0,ROUND(MAX($J2481*1.4*1.5*1.6*1.6*2.2*2.715*2.6*1.4*1.4*1.5*1.5,18900000000*(1.65331^(MIN($E2481,123)-117)))*1,0))</f>
        <v>338553621</v>
      </c>
      <c r="AG2481" s="11">
        <f>$E2481+27</f>
        <v>136</v>
      </c>
      <c r="AH2481" s="12">
        <f>IF($J2481=0,0,ROUND(MAX($J2481*1.4*1.5*1.6*1.6*2.2*2.715*2.6*1.4*1.4*1.5*1.5*3.2,60500000000*(1.654288^(MIN($E2481,123)-117)))*1,0))</f>
        <v>1078614909</v>
      </c>
    </row>
    <row r="2482" ht="28" customHeight="1" spans="1:34" x14ac:dyDescent="0.25">
      <c r="A2482">
        <v>2492</v>
      </c>
      <c r="B2482" t="s">
        <v>806</v>
      </c>
      <c r="C2482" s="10" t="s">
        <v>1421</v>
      </c>
      <c r="D2482" t="s">
        <v>75</v>
      </c>
      <c r="E2482">
        <v>109</v>
      </c>
      <c r="F2482" t="s">
        <v>62</v>
      </c>
      <c r="G2482" t="s">
        <v>425</v>
      </c>
      <c r="H2482">
        <v>24</v>
      </c>
      <c r="I2482" s="11">
        <v>109</v>
      </c>
      <c r="J2482" s="12">
        <v>147000</v>
      </c>
      <c r="K2482" s="13">
        <f>$E2482+1</f>
        <v>110</v>
      </c>
      <c r="L2482" s="14">
        <f>IF($J2482=0,0,ROUND(MAX($J2482*1.4,1620000*(1.497923^(MIN($E2482,123)-117)))*1,0))</f>
        <v>205800</v>
      </c>
      <c r="M2482" s="11">
        <f>$E2482+2</f>
        <v>111</v>
      </c>
      <c r="N2482" s="12">
        <f>IF($J2482=0,0,ROUND(MAX($J2482*1.4*1.5,2190000*(1.580994^(MIN($E2482,123)-117)))*1,0))</f>
        <v>308700</v>
      </c>
      <c r="O2482" s="13">
        <f>$E2482+4</f>
        <v>113</v>
      </c>
      <c r="P2482" s="14">
        <f>IF($J2482=0,0,ROUND(MAX($J2482*1.4*1.5*1.6,3500000*(1.57975^(MIN($E2482,123)-117)))*1,0))</f>
        <v>493920</v>
      </c>
      <c r="Q2482" s="11">
        <f>$E2482+6</f>
        <v>115</v>
      </c>
      <c r="R2482" s="12">
        <f>IF($J2482=0,0,ROUND(MAX($J2482*1.4*1.5*1.6*1.6,13100000*(1.429962^(MIN($E2482,123)-117)))*1,0))</f>
        <v>790272</v>
      </c>
      <c r="S2482" s="13">
        <f>$E2482+8</f>
        <v>117</v>
      </c>
      <c r="T2482" s="14">
        <f>IF($J2482=0,0,ROUND(MAX($J2482*1.4*1.5*1.6*1.6*2.2,42600000*(1.576904^(MIN($E2482,123)-117)))*1,0))</f>
        <v>1738598</v>
      </c>
      <c r="U2482" s="11">
        <f>$E2482+11</f>
        <v>120</v>
      </c>
      <c r="V2482" s="12">
        <f>IF($J2482=0,0,ROUND(MAX($J2482*1.4*1.5*1.6*1.6*2.2*2.715,354000000*(1.642074^(MIN($E2482,123)-117)))*1,0))</f>
        <v>6696710</v>
      </c>
      <c r="W2482" s="13">
        <f>$E2482+15</f>
        <v>124</v>
      </c>
      <c r="X2482" s="14">
        <f>IF($J2482=0,0,ROUND(MAX($J2482*1.4*1.5*1.6*1.6*2.2*2.715*2.6,3540000000*(1.579646^(MIN($E2482,123)-117)))*1,0))</f>
        <v>91311418</v>
      </c>
      <c r="Y2482" s="11">
        <f>$E2482+17</f>
        <v>126</v>
      </c>
      <c r="Z2482" s="12">
        <f>IF($J2482=0,0,ROUND(MAX($J2482*1.4*1.5*1.6*1.6*2.2*2.715*2.6*1.4,6020000000*(1.651178^(MIN($E2482,123)-117)))*1,0))</f>
        <v>108954543</v>
      </c>
      <c r="AA2482" s="13">
        <f>$E2482+19</f>
        <v>128</v>
      </c>
      <c r="AB2482" s="14">
        <f>IF($J2482=0,0,ROUND(MAX($J2482*1.4*1.5*1.6*1.6*2.2*2.715*2.6*1.4*1.4,8430000000*(1.651435^(MIN($E2482,123)-117)))*1,0))</f>
        <v>152382712</v>
      </c>
      <c r="AC2482" s="11">
        <f>$E2482+21</f>
        <v>130</v>
      </c>
      <c r="AD2482" s="12">
        <f>IF($J2482=0,0,ROUND(MAX($J2482*1.4*1.5*1.6*1.6*2.2*2.715*2.6*1.4*1.4*1.5,12600000000*(1.652953^(MIN($E2482,123)-117)))*1,0))</f>
        <v>226092682</v>
      </c>
      <c r="AE2482" s="13">
        <f>$E2482+24</f>
        <v>133</v>
      </c>
      <c r="AF2482" s="14">
        <f>IF($J2482=0,0,ROUND(MAX($J2482*1.4*1.5*1.6*1.6*2.2*2.715*2.6*1.4*1.4*1.5*1.5,18900000000*(1.65331^(MIN($E2482,123)-117)))*1,0))</f>
        <v>338553621</v>
      </c>
      <c r="AG2482" s="11">
        <f>$E2482+27</f>
        <v>136</v>
      </c>
      <c r="AH2482" s="12">
        <f>IF($J2482=0,0,ROUND(MAX($J2482*1.4*1.5*1.6*1.6*2.2*2.715*2.6*1.4*1.4*1.5*1.5*3.2,60500000000*(1.654288^(MIN($E2482,123)-117)))*1,0))</f>
        <v>1078614909</v>
      </c>
    </row>
    <row r="2483" ht="28" customHeight="1" spans="1:34" x14ac:dyDescent="0.25">
      <c r="A2483">
        <v>2493</v>
      </c>
      <c r="B2483" t="s">
        <v>1406</v>
      </c>
      <c r="C2483" s="10" t="s">
        <v>1421</v>
      </c>
      <c r="D2483" t="s">
        <v>33</v>
      </c>
      <c r="E2483">
        <v>109</v>
      </c>
      <c r="F2483" t="s">
        <v>42</v>
      </c>
      <c r="G2483" t="s">
        <v>913</v>
      </c>
      <c r="H2483">
        <v>24</v>
      </c>
      <c r="I2483" s="11">
        <v>109</v>
      </c>
      <c r="J2483" s="12">
        <v>237000</v>
      </c>
      <c r="K2483" s="13">
        <f>$E2483+1</f>
        <v>110</v>
      </c>
      <c r="L2483" s="14">
        <f>IF($J2483=0,0,ROUND(MAX($J2483*1.4,1620000*(1.497923^(MIN($E2483,123)-117)))*1,0))</f>
        <v>331800</v>
      </c>
      <c r="M2483" s="11">
        <f>$E2483+2</f>
        <v>111</v>
      </c>
      <c r="N2483" s="12">
        <f>IF($J2483=0,0,ROUND(MAX($J2483*1.4*1.5,2190000*(1.580994^(MIN($E2483,123)-117)))*1,0))</f>
        <v>497700</v>
      </c>
      <c r="O2483" s="13">
        <f>$E2483+4</f>
        <v>113</v>
      </c>
      <c r="P2483" s="14">
        <f>IF($J2483=0,0,ROUND(MAX($J2483*1.4*1.5*1.6,3500000*(1.57975^(MIN($E2483,123)-117)))*1,0))</f>
        <v>796320</v>
      </c>
      <c r="Q2483" s="11">
        <f>$E2483+6</f>
        <v>115</v>
      </c>
      <c r="R2483" s="12">
        <f>IF($J2483=0,0,ROUND(MAX($J2483*1.4*1.5*1.6*1.6,13100000*(1.429962^(MIN($E2483,123)-117)))*1,0))</f>
        <v>1274112</v>
      </c>
      <c r="S2483" s="13">
        <f>$E2483+8</f>
        <v>117</v>
      </c>
      <c r="T2483" s="14">
        <f>IF($J2483=0,0,ROUND(MAX($J2483*1.4*1.5*1.6*1.6*2.2,42600000*(1.576904^(MIN($E2483,123)-117)))*1,0))</f>
        <v>2803046</v>
      </c>
      <c r="U2483" s="11">
        <f>$E2483+11</f>
        <v>120</v>
      </c>
      <c r="V2483" s="12">
        <f>IF($J2483=0,0,ROUND(MAX($J2483*1.4*1.5*1.6*1.6*2.2*2.715,354000000*(1.642074^(MIN($E2483,123)-117)))*1,0))</f>
        <v>7610271</v>
      </c>
      <c r="W2483" s="13">
        <f>$E2483+15</f>
        <v>124</v>
      </c>
      <c r="X2483" s="14">
        <f>IF($J2483=0,0,ROUND(MAX($J2483*1.4*1.5*1.6*1.6*2.2*2.715*2.6,3540000000*(1.579646^(MIN($E2483,123)-117)))*1,0))</f>
        <v>91311418</v>
      </c>
      <c r="Y2483" s="11">
        <f>$E2483+17</f>
        <v>126</v>
      </c>
      <c r="Z2483" s="12">
        <f>IF($J2483=0,0,ROUND(MAX($J2483*1.4*1.5*1.6*1.6*2.2*2.715*2.6*1.4,6020000000*(1.651178^(MIN($E2483,123)-117)))*1,0))</f>
        <v>108954543</v>
      </c>
      <c r="AA2483" s="13">
        <f>$E2483+19</f>
        <v>128</v>
      </c>
      <c r="AB2483" s="14">
        <f>IF($J2483=0,0,ROUND(MAX($J2483*1.4*1.5*1.6*1.6*2.2*2.715*2.6*1.4*1.4,8430000000*(1.651435^(MIN($E2483,123)-117)))*1,0))</f>
        <v>152382712</v>
      </c>
      <c r="AC2483" s="11">
        <f>$E2483+21</f>
        <v>130</v>
      </c>
      <c r="AD2483" s="12">
        <f>IF($J2483=0,0,ROUND(MAX($J2483*1.4*1.5*1.6*1.6*2.2*2.715*2.6*1.4*1.4*1.5,12600000000*(1.652953^(MIN($E2483,123)-117)))*1,0))</f>
        <v>226092682</v>
      </c>
      <c r="AE2483" s="13">
        <f>$E2483+24</f>
        <v>133</v>
      </c>
      <c r="AF2483" s="14">
        <f>IF($J2483=0,0,ROUND(MAX($J2483*1.4*1.5*1.6*1.6*2.2*2.715*2.6*1.4*1.4*1.5*1.5,18900000000*(1.65331^(MIN($E2483,123)-117)))*1,0))</f>
        <v>338553621</v>
      </c>
      <c r="AG2483" s="11">
        <f>$E2483+27</f>
        <v>136</v>
      </c>
      <c r="AH2483" s="12">
        <f>IF($J2483=0,0,ROUND(MAX($J2483*1.4*1.5*1.6*1.6*2.2*2.715*2.6*1.4*1.4*1.5*1.5*3.2,60500000000*(1.654288^(MIN($E2483,123)-117)))*1,0))</f>
        <v>1078614909</v>
      </c>
    </row>
    <row r="2484" ht="28" customHeight="1" spans="1:34" x14ac:dyDescent="0.25">
      <c r="A2484">
        <v>2494</v>
      </c>
      <c r="B2484" t="s">
        <v>1501</v>
      </c>
      <c r="C2484" s="10" t="s">
        <v>1421</v>
      </c>
      <c r="D2484" t="s">
        <v>75</v>
      </c>
      <c r="E2484">
        <v>109</v>
      </c>
      <c r="F2484" t="s">
        <v>54</v>
      </c>
      <c r="G2484" t="s">
        <v>832</v>
      </c>
      <c r="H2484">
        <v>24</v>
      </c>
      <c r="I2484" s="11">
        <v>109</v>
      </c>
      <c r="J2484" s="12">
        <v>48400</v>
      </c>
      <c r="K2484" s="13">
        <f>$E2484+1</f>
        <v>110</v>
      </c>
      <c r="L2484" s="14">
        <f>IF($J2484=0,0,ROUND(MAX($J2484*1.4,1620000*(1.497923^(MIN($E2484,123)-117)))*1,0))</f>
        <v>67760</v>
      </c>
      <c r="M2484" s="11">
        <f>$E2484+2</f>
        <v>111</v>
      </c>
      <c r="N2484" s="12">
        <f>IF($J2484=0,0,ROUND(MAX($J2484*1.4*1.5,2190000*(1.580994^(MIN($E2484,123)-117)))*1,0))</f>
        <v>101640</v>
      </c>
      <c r="O2484" s="13">
        <f>$E2484+4</f>
        <v>113</v>
      </c>
      <c r="P2484" s="14">
        <f>IF($J2484=0,0,ROUND(MAX($J2484*1.4*1.5*1.6,3500000*(1.57975^(MIN($E2484,123)-117)))*1,0))</f>
        <v>162624</v>
      </c>
      <c r="Q2484" s="11">
        <f>$E2484+6</f>
        <v>115</v>
      </c>
      <c r="R2484" s="12">
        <f>IF($J2484=0,0,ROUND(MAX($J2484*1.4*1.5*1.6*1.6,13100000*(1.429962^(MIN($E2484,123)-117)))*1,0))</f>
        <v>749334</v>
      </c>
      <c r="S2484" s="13">
        <f>$E2484+8</f>
        <v>117</v>
      </c>
      <c r="T2484" s="14">
        <f>IF($J2484=0,0,ROUND(MAX($J2484*1.4*1.5*1.6*1.6*2.2,42600000*(1.576904^(MIN($E2484,123)-117)))*1,0))</f>
        <v>1114211</v>
      </c>
      <c r="U2484" s="11">
        <f>$E2484+11</f>
        <v>120</v>
      </c>
      <c r="V2484" s="12">
        <f>IF($J2484=0,0,ROUND(MAX($J2484*1.4*1.5*1.6*1.6*2.2*2.715,354000000*(1.642074^(MIN($E2484,123)-117)))*1,0))</f>
        <v>6696710</v>
      </c>
      <c r="W2484" s="13">
        <f>$E2484+15</f>
        <v>124</v>
      </c>
      <c r="X2484" s="14">
        <f>IF($J2484=0,0,ROUND(MAX($J2484*1.4*1.5*1.6*1.6*2.2*2.715*2.6,3540000000*(1.579646^(MIN($E2484,123)-117)))*1,0))</f>
        <v>91311418</v>
      </c>
      <c r="Y2484" s="11">
        <f>$E2484+17</f>
        <v>126</v>
      </c>
      <c r="Z2484" s="12">
        <f>IF($J2484=0,0,ROUND(MAX($J2484*1.4*1.5*1.6*1.6*2.2*2.715*2.6*1.4,6020000000*(1.651178^(MIN($E2484,123)-117)))*1,0))</f>
        <v>108954543</v>
      </c>
      <c r="AA2484" s="13">
        <f>$E2484+19</f>
        <v>128</v>
      </c>
      <c r="AB2484" s="14">
        <f>IF($J2484=0,0,ROUND(MAX($J2484*1.4*1.5*1.6*1.6*2.2*2.715*2.6*1.4*1.4,8430000000*(1.651435^(MIN($E2484,123)-117)))*1,0))</f>
        <v>152382712</v>
      </c>
      <c r="AC2484" s="11">
        <f>$E2484+21</f>
        <v>130</v>
      </c>
      <c r="AD2484" s="12">
        <f>IF($J2484=0,0,ROUND(MAX($J2484*1.4*1.5*1.6*1.6*2.2*2.715*2.6*1.4*1.4*1.5,12600000000*(1.652953^(MIN($E2484,123)-117)))*1,0))</f>
        <v>226092682</v>
      </c>
      <c r="AE2484" s="13">
        <f>$E2484+24</f>
        <v>133</v>
      </c>
      <c r="AF2484" s="14">
        <f>IF($J2484=0,0,ROUND(MAX($J2484*1.4*1.5*1.6*1.6*2.2*2.715*2.6*1.4*1.4*1.5*1.5,18900000000*(1.65331^(MIN($E2484,123)-117)))*1,0))</f>
        <v>338553621</v>
      </c>
      <c r="AG2484" s="11">
        <f>$E2484+27</f>
        <v>136</v>
      </c>
      <c r="AH2484" s="12">
        <f>IF($J2484=0,0,ROUND(MAX($J2484*1.4*1.5*1.6*1.6*2.2*2.715*2.6*1.4*1.4*1.5*1.5*3.2,60500000000*(1.654288^(MIN($E2484,123)-117)))*1,0))</f>
        <v>1078614909</v>
      </c>
    </row>
    <row r="2485" ht="28" customHeight="1" spans="1:34" x14ac:dyDescent="0.25">
      <c r="A2485">
        <v>2495</v>
      </c>
      <c r="B2485" t="s">
        <v>1077</v>
      </c>
      <c r="C2485" s="10" t="s">
        <v>1421</v>
      </c>
      <c r="D2485" t="s">
        <v>102</v>
      </c>
      <c r="E2485">
        <v>109</v>
      </c>
      <c r="F2485" t="s">
        <v>34</v>
      </c>
      <c r="G2485" t="s">
        <v>569</v>
      </c>
      <c r="H2485">
        <v>24</v>
      </c>
      <c r="I2485" s="11">
        <v>109</v>
      </c>
      <c r="J2485" s="12">
        <v>84400</v>
      </c>
      <c r="K2485" s="13">
        <f>$E2485+1</f>
        <v>110</v>
      </c>
      <c r="L2485" s="14">
        <f>IF($J2485=0,0,ROUND(MAX($J2485*1.4,1620000*(1.497923^(MIN($E2485,123)-117)))*1,0))</f>
        <v>118160</v>
      </c>
      <c r="M2485" s="11">
        <f>$E2485+2</f>
        <v>111</v>
      </c>
      <c r="N2485" s="12">
        <f>IF($J2485=0,0,ROUND(MAX($J2485*1.4*1.5,2190000*(1.580994^(MIN($E2485,123)-117)))*1,0))</f>
        <v>177240</v>
      </c>
      <c r="O2485" s="13">
        <f>$E2485+4</f>
        <v>113</v>
      </c>
      <c r="P2485" s="14">
        <f>IF($J2485=0,0,ROUND(MAX($J2485*1.4*1.5*1.6,3500000*(1.57975^(MIN($E2485,123)-117)))*1,0))</f>
        <v>283584</v>
      </c>
      <c r="Q2485" s="11">
        <f>$E2485+6</f>
        <v>115</v>
      </c>
      <c r="R2485" s="12">
        <f>IF($J2485=0,0,ROUND(MAX($J2485*1.4*1.5*1.6*1.6,13100000*(1.429962^(MIN($E2485,123)-117)))*1,0))</f>
        <v>749334</v>
      </c>
      <c r="S2485" s="13">
        <f>$E2485+8</f>
        <v>117</v>
      </c>
      <c r="T2485" s="14">
        <f>IF($J2485=0,0,ROUND(MAX($J2485*1.4*1.5*1.6*1.6*2.2,42600000*(1.576904^(MIN($E2485,123)-117)))*1,0))</f>
        <v>1114211</v>
      </c>
      <c r="U2485" s="11">
        <f>$E2485+11</f>
        <v>120</v>
      </c>
      <c r="V2485" s="12">
        <f>IF($J2485=0,0,ROUND(MAX($J2485*1.4*1.5*1.6*1.6*2.2*2.715,354000000*(1.642074^(MIN($E2485,123)-117)))*1,0))</f>
        <v>6696710</v>
      </c>
      <c r="W2485" s="13">
        <f>$E2485+15</f>
        <v>124</v>
      </c>
      <c r="X2485" s="14">
        <f>IF($J2485=0,0,ROUND(MAX($J2485*1.4*1.5*1.6*1.6*2.2*2.715*2.6,3540000000*(1.579646^(MIN($E2485,123)-117)))*1,0))</f>
        <v>91311418</v>
      </c>
      <c r="Y2485" s="11">
        <f>$E2485+17</f>
        <v>126</v>
      </c>
      <c r="Z2485" s="12">
        <f>IF($J2485=0,0,ROUND(MAX($J2485*1.4*1.5*1.6*1.6*2.2*2.715*2.6*1.4,6020000000*(1.651178^(MIN($E2485,123)-117)))*1,0))</f>
        <v>108954543</v>
      </c>
      <c r="AA2485" s="13">
        <f>$E2485+19</f>
        <v>128</v>
      </c>
      <c r="AB2485" s="14">
        <f>IF($J2485=0,0,ROUND(MAX($J2485*1.4*1.5*1.6*1.6*2.2*2.715*2.6*1.4*1.4,8430000000*(1.651435^(MIN($E2485,123)-117)))*1,0))</f>
        <v>152382712</v>
      </c>
      <c r="AC2485" s="11">
        <f>$E2485+21</f>
        <v>130</v>
      </c>
      <c r="AD2485" s="12">
        <f>IF($J2485=0,0,ROUND(MAX($J2485*1.4*1.5*1.6*1.6*2.2*2.715*2.6*1.4*1.4*1.5,12600000000*(1.652953^(MIN($E2485,123)-117)))*1,0))</f>
        <v>226092682</v>
      </c>
      <c r="AE2485" s="13">
        <f>$E2485+24</f>
        <v>133</v>
      </c>
      <c r="AF2485" s="14">
        <f>IF($J2485=0,0,ROUND(MAX($J2485*1.4*1.5*1.6*1.6*2.2*2.715*2.6*1.4*1.4*1.5*1.5,18900000000*(1.65331^(MIN($E2485,123)-117)))*1,0))</f>
        <v>338553621</v>
      </c>
      <c r="AG2485" s="11">
        <f>$E2485+27</f>
        <v>136</v>
      </c>
      <c r="AH2485" s="12">
        <f>IF($J2485=0,0,ROUND(MAX($J2485*1.4*1.5*1.6*1.6*2.2*2.715*2.6*1.4*1.4*1.5*1.5*3.2,60500000000*(1.654288^(MIN($E2485,123)-117)))*1,0))</f>
        <v>1078614909</v>
      </c>
    </row>
    <row r="2486" ht="28" customHeight="1" spans="1:34" x14ac:dyDescent="0.25">
      <c r="A2486">
        <v>2496</v>
      </c>
      <c r="B2486" t="s">
        <v>914</v>
      </c>
      <c r="C2486" s="10" t="s">
        <v>1421</v>
      </c>
      <c r="D2486" t="s">
        <v>331</v>
      </c>
      <c r="E2486">
        <v>109</v>
      </c>
      <c r="F2486" t="s">
        <v>62</v>
      </c>
      <c r="G2486" t="s">
        <v>242</v>
      </c>
      <c r="H2486">
        <v>24</v>
      </c>
      <c r="I2486" s="11">
        <v>109</v>
      </c>
      <c r="J2486" s="12">
        <v>261000</v>
      </c>
      <c r="K2486" s="13">
        <f>$E2486+1</f>
        <v>110</v>
      </c>
      <c r="L2486" s="14">
        <f>IF($J2486=0,0,ROUND(MAX($J2486*1.4,1620000*(1.497923^(MIN($E2486,123)-117)))*1,0))</f>
        <v>365400</v>
      </c>
      <c r="M2486" s="11">
        <f>$E2486+2</f>
        <v>111</v>
      </c>
      <c r="N2486" s="12">
        <f>IF($J2486=0,0,ROUND(MAX($J2486*1.4*1.5,2190000*(1.580994^(MIN($E2486,123)-117)))*1,0))</f>
        <v>548100</v>
      </c>
      <c r="O2486" s="13">
        <f>$E2486+4</f>
        <v>113</v>
      </c>
      <c r="P2486" s="14">
        <f>IF($J2486=0,0,ROUND(MAX($J2486*1.4*1.5*1.6,3500000*(1.57975^(MIN($E2486,123)-117)))*1,0))</f>
        <v>876960</v>
      </c>
      <c r="Q2486" s="11">
        <f>$E2486+6</f>
        <v>115</v>
      </c>
      <c r="R2486" s="12">
        <f>IF($J2486=0,0,ROUND(MAX($J2486*1.4*1.5*1.6*1.6,13100000*(1.429962^(MIN($E2486,123)-117)))*1,0))</f>
        <v>1403136</v>
      </c>
      <c r="S2486" s="13">
        <f>$E2486+8</f>
        <v>117</v>
      </c>
      <c r="T2486" s="14">
        <f>IF($J2486=0,0,ROUND(MAX($J2486*1.4*1.5*1.6*1.6*2.2,42600000*(1.576904^(MIN($E2486,123)-117)))*1,0))</f>
        <v>3086899</v>
      </c>
      <c r="U2486" s="11">
        <f>$E2486+11</f>
        <v>120</v>
      </c>
      <c r="V2486" s="12">
        <f>IF($J2486=0,0,ROUND(MAX($J2486*1.4*1.5*1.6*1.6*2.2*2.715,354000000*(1.642074^(MIN($E2486,123)-117)))*1,0))</f>
        <v>8380931</v>
      </c>
      <c r="W2486" s="13">
        <f>$E2486+15</f>
        <v>124</v>
      </c>
      <c r="X2486" s="14">
        <f>IF($J2486=0,0,ROUND(MAX($J2486*1.4*1.5*1.6*1.6*2.2*2.715*2.6,3540000000*(1.579646^(MIN($E2486,123)-117)))*1,0))</f>
        <v>91311418</v>
      </c>
      <c r="Y2486" s="11">
        <f>$E2486+17</f>
        <v>126</v>
      </c>
      <c r="Z2486" s="12">
        <f>IF($J2486=0,0,ROUND(MAX($J2486*1.4*1.5*1.6*1.6*2.2*2.715*2.6*1.4,6020000000*(1.651178^(MIN($E2486,123)-117)))*1,0))</f>
        <v>108954543</v>
      </c>
      <c r="AA2486" s="13">
        <f>$E2486+19</f>
        <v>128</v>
      </c>
      <c r="AB2486" s="14">
        <f>IF($J2486=0,0,ROUND(MAX($J2486*1.4*1.5*1.6*1.6*2.2*2.715*2.6*1.4*1.4,8430000000*(1.651435^(MIN($E2486,123)-117)))*1,0))</f>
        <v>152382712</v>
      </c>
      <c r="AC2486" s="11">
        <f>$E2486+21</f>
        <v>130</v>
      </c>
      <c r="AD2486" s="12">
        <f>IF($J2486=0,0,ROUND(MAX($J2486*1.4*1.5*1.6*1.6*2.2*2.715*2.6*1.4*1.4*1.5,12600000000*(1.652953^(MIN($E2486,123)-117)))*1,0))</f>
        <v>226092682</v>
      </c>
      <c r="AE2486" s="13">
        <f>$E2486+24</f>
        <v>133</v>
      </c>
      <c r="AF2486" s="14">
        <f>IF($J2486=0,0,ROUND(MAX($J2486*1.4*1.5*1.6*1.6*2.2*2.715*2.6*1.4*1.4*1.5*1.5,18900000000*(1.65331^(MIN($E2486,123)-117)))*1,0))</f>
        <v>338553621</v>
      </c>
      <c r="AG2486" s="11">
        <f>$E2486+27</f>
        <v>136</v>
      </c>
      <c r="AH2486" s="12">
        <f>IF($J2486=0,0,ROUND(MAX($J2486*1.4*1.5*1.6*1.6*2.2*2.715*2.6*1.4*1.4*1.5*1.5*3.2,60500000000*(1.654288^(MIN($E2486,123)-117)))*1,0))</f>
        <v>1078614909</v>
      </c>
    </row>
    <row r="2487" ht="28" customHeight="1" spans="1:34" x14ac:dyDescent="0.25">
      <c r="A2487">
        <v>2497</v>
      </c>
      <c r="B2487" t="s">
        <v>1502</v>
      </c>
      <c r="C2487" s="10" t="s">
        <v>1421</v>
      </c>
      <c r="D2487" t="s">
        <v>241</v>
      </c>
      <c r="E2487">
        <v>109</v>
      </c>
      <c r="F2487" t="s">
        <v>62</v>
      </c>
      <c r="G2487" t="s">
        <v>206</v>
      </c>
      <c r="H2487">
        <v>23</v>
      </c>
      <c r="I2487" s="11">
        <v>109</v>
      </c>
      <c r="J2487" s="12">
        <v>30800</v>
      </c>
      <c r="K2487" s="13">
        <f>$E2487+1</f>
        <v>110</v>
      </c>
      <c r="L2487" s="14">
        <f>IF($J2487=0,0,ROUND(MAX($J2487*1.4,1620000*(1.497923^(MIN($E2487,123)-117)))*1,0))</f>
        <v>63914</v>
      </c>
      <c r="M2487" s="11">
        <f>$E2487+2</f>
        <v>111</v>
      </c>
      <c r="N2487" s="12">
        <f>IF($J2487=0,0,ROUND(MAX($J2487*1.4*1.5,2190000*(1.580994^(MIN($E2487,123)-117)))*1,0))</f>
        <v>64680</v>
      </c>
      <c r="O2487" s="13">
        <f>$E2487+4</f>
        <v>113</v>
      </c>
      <c r="P2487" s="14">
        <f>IF($J2487=0,0,ROUND(MAX($J2487*1.4*1.5*1.6,3500000*(1.57975^(MIN($E2487,123)-117)))*1,0))</f>
        <v>103488</v>
      </c>
      <c r="Q2487" s="11">
        <f>$E2487+6</f>
        <v>115</v>
      </c>
      <c r="R2487" s="12">
        <f>IF($J2487=0,0,ROUND(MAX($J2487*1.4*1.5*1.6*1.6,13100000*(1.429962^(MIN($E2487,123)-117)))*1,0))</f>
        <v>749334</v>
      </c>
      <c r="S2487" s="13">
        <f>$E2487+8</f>
        <v>117</v>
      </c>
      <c r="T2487" s="14">
        <f>IF($J2487=0,0,ROUND(MAX($J2487*1.4*1.5*1.6*1.6*2.2,42600000*(1.576904^(MIN($E2487,123)-117)))*1,0))</f>
        <v>1114211</v>
      </c>
      <c r="U2487" s="11">
        <f>$E2487+11</f>
        <v>120</v>
      </c>
      <c r="V2487" s="12">
        <f>IF($J2487=0,0,ROUND(MAX($J2487*1.4*1.5*1.6*1.6*2.2*2.715,354000000*(1.642074^(MIN($E2487,123)-117)))*1,0))</f>
        <v>6696710</v>
      </c>
      <c r="W2487" s="13">
        <f>$E2487+15</f>
        <v>124</v>
      </c>
      <c r="X2487" s="14">
        <f>IF($J2487=0,0,ROUND(MAX($J2487*1.4*1.5*1.6*1.6*2.2*2.715*2.6,3540000000*(1.579646^(MIN($E2487,123)-117)))*1,0))</f>
        <v>91311418</v>
      </c>
      <c r="Y2487" s="11">
        <f>$E2487+17</f>
        <v>126</v>
      </c>
      <c r="Z2487" s="12">
        <f>IF($J2487=0,0,ROUND(MAX($J2487*1.4*1.5*1.6*1.6*2.2*2.715*2.6*1.4,6020000000*(1.651178^(MIN($E2487,123)-117)))*1,0))</f>
        <v>108954543</v>
      </c>
      <c r="AA2487" s="13">
        <f>$E2487+19</f>
        <v>128</v>
      </c>
      <c r="AB2487" s="14">
        <f>IF($J2487=0,0,ROUND(MAX($J2487*1.4*1.5*1.6*1.6*2.2*2.715*2.6*1.4*1.4,8430000000*(1.651435^(MIN($E2487,123)-117)))*1,0))</f>
        <v>152382712</v>
      </c>
      <c r="AC2487" s="11">
        <f>$E2487+21</f>
        <v>130</v>
      </c>
      <c r="AD2487" s="12">
        <f>IF($J2487=0,0,ROUND(MAX($J2487*1.4*1.5*1.6*1.6*2.2*2.715*2.6*1.4*1.4*1.5,12600000000*(1.652953^(MIN($E2487,123)-117)))*1,0))</f>
        <v>226092682</v>
      </c>
      <c r="AE2487" s="13">
        <f>$E2487+24</f>
        <v>133</v>
      </c>
      <c r="AF2487" s="14">
        <f>IF($J2487=0,0,ROUND(MAX($J2487*1.4*1.5*1.6*1.6*2.2*2.715*2.6*1.4*1.4*1.5*1.5,18900000000*(1.65331^(MIN($E2487,123)-117)))*1,0))</f>
        <v>338553621</v>
      </c>
      <c r="AG2487" s="11">
        <f>$E2487+27</f>
        <v>136</v>
      </c>
      <c r="AH2487" s="12">
        <f>IF($J2487=0,0,ROUND(MAX($J2487*1.4*1.5*1.6*1.6*2.2*2.715*2.6*1.4*1.4*1.5*1.5*3.2,60500000000*(1.654288^(MIN($E2487,123)-117)))*1,0))</f>
        <v>1078614909</v>
      </c>
    </row>
    <row r="2488" ht="28" customHeight="1" spans="1:34" x14ac:dyDescent="0.25">
      <c r="A2488">
        <v>2498</v>
      </c>
      <c r="B2488" t="s">
        <v>1503</v>
      </c>
      <c r="C2488" s="10" t="s">
        <v>1421</v>
      </c>
      <c r="D2488" t="s">
        <v>47</v>
      </c>
      <c r="E2488">
        <v>109</v>
      </c>
      <c r="F2488" t="s">
        <v>62</v>
      </c>
      <c r="G2488" t="s">
        <v>1374</v>
      </c>
      <c r="H2488">
        <v>21</v>
      </c>
      <c r="I2488" s="11">
        <v>109</v>
      </c>
      <c r="J2488" s="12">
        <v>85900</v>
      </c>
      <c r="K2488" s="13">
        <f>$E2488+1</f>
        <v>110</v>
      </c>
      <c r="L2488" s="14">
        <f>IF($J2488=0,0,ROUND(MAX($J2488*1.4,1620000*(1.497923^(MIN($E2488,123)-117)))*1,0))</f>
        <v>120260</v>
      </c>
      <c r="M2488" s="11">
        <f>$E2488+2</f>
        <v>111</v>
      </c>
      <c r="N2488" s="12">
        <f>IF($J2488=0,0,ROUND(MAX($J2488*1.4*1.5,2190000*(1.580994^(MIN($E2488,123)-117)))*1,0))</f>
        <v>180390</v>
      </c>
      <c r="O2488" s="13">
        <f>$E2488+4</f>
        <v>113</v>
      </c>
      <c r="P2488" s="14">
        <f>IF($J2488=0,0,ROUND(MAX($J2488*1.4*1.5*1.6,3500000*(1.57975^(MIN($E2488,123)-117)))*1,0))</f>
        <v>288624</v>
      </c>
      <c r="Q2488" s="11">
        <f>$E2488+6</f>
        <v>115</v>
      </c>
      <c r="R2488" s="12">
        <f>IF($J2488=0,0,ROUND(MAX($J2488*1.4*1.5*1.6*1.6,13100000*(1.429962^(MIN($E2488,123)-117)))*1,0))</f>
        <v>749334</v>
      </c>
      <c r="S2488" s="13">
        <f>$E2488+8</f>
        <v>117</v>
      </c>
      <c r="T2488" s="14">
        <f>IF($J2488=0,0,ROUND(MAX($J2488*1.4*1.5*1.6*1.6*2.2,42600000*(1.576904^(MIN($E2488,123)-117)))*1,0))</f>
        <v>1114211</v>
      </c>
      <c r="U2488" s="11">
        <f>$E2488+11</f>
        <v>120</v>
      </c>
      <c r="V2488" s="12">
        <f>IF($J2488=0,0,ROUND(MAX($J2488*1.4*1.5*1.6*1.6*2.2*2.715,354000000*(1.642074^(MIN($E2488,123)-117)))*1,0))</f>
        <v>6696710</v>
      </c>
      <c r="W2488" s="13">
        <f>$E2488+15</f>
        <v>124</v>
      </c>
      <c r="X2488" s="14">
        <f>IF($J2488=0,0,ROUND(MAX($J2488*1.4*1.5*1.6*1.6*2.2*2.715*2.6,3540000000*(1.579646^(MIN($E2488,123)-117)))*1,0))</f>
        <v>91311418</v>
      </c>
      <c r="Y2488" s="11">
        <f>$E2488+17</f>
        <v>126</v>
      </c>
      <c r="Z2488" s="12">
        <f>IF($J2488=0,0,ROUND(MAX($J2488*1.4*1.5*1.6*1.6*2.2*2.715*2.6*1.4,6020000000*(1.651178^(MIN($E2488,123)-117)))*1,0))</f>
        <v>108954543</v>
      </c>
      <c r="AA2488" s="13">
        <f>$E2488+19</f>
        <v>128</v>
      </c>
      <c r="AB2488" s="14">
        <f>IF($J2488=0,0,ROUND(MAX($J2488*1.4*1.5*1.6*1.6*2.2*2.715*2.6*1.4*1.4,8430000000*(1.651435^(MIN($E2488,123)-117)))*1,0))</f>
        <v>152382712</v>
      </c>
      <c r="AC2488" s="11">
        <f>$E2488+21</f>
        <v>130</v>
      </c>
      <c r="AD2488" s="12">
        <f>IF($J2488=0,0,ROUND(MAX($J2488*1.4*1.5*1.6*1.6*2.2*2.715*2.6*1.4*1.4*1.5,12600000000*(1.652953^(MIN($E2488,123)-117)))*1,0))</f>
        <v>226092682</v>
      </c>
      <c r="AE2488" s="13">
        <f>$E2488+24</f>
        <v>133</v>
      </c>
      <c r="AF2488" s="14">
        <f>IF($J2488=0,0,ROUND(MAX($J2488*1.4*1.5*1.6*1.6*2.2*2.715*2.6*1.4*1.4*1.5*1.5,18900000000*(1.65331^(MIN($E2488,123)-117)))*1,0))</f>
        <v>338553621</v>
      </c>
      <c r="AG2488" s="11">
        <f>$E2488+27</f>
        <v>136</v>
      </c>
      <c r="AH2488" s="12">
        <f>IF($J2488=0,0,ROUND(MAX($J2488*1.4*1.5*1.6*1.6*2.2*2.715*2.6*1.4*1.4*1.5*1.5*3.2,60500000000*(1.654288^(MIN($E2488,123)-117)))*1,0))</f>
        <v>1078614909</v>
      </c>
    </row>
    <row r="2489" ht="28" customHeight="1" spans="1:34" x14ac:dyDescent="0.25">
      <c r="A2489">
        <v>2499</v>
      </c>
      <c r="B2489" t="s">
        <v>1504</v>
      </c>
      <c r="C2489" s="10" t="s">
        <v>1421</v>
      </c>
      <c r="D2489" t="s">
        <v>47</v>
      </c>
      <c r="E2489">
        <v>109</v>
      </c>
      <c r="F2489" t="s">
        <v>34</v>
      </c>
      <c r="G2489" t="s">
        <v>1505</v>
      </c>
      <c r="H2489">
        <v>21</v>
      </c>
      <c r="I2489" s="11">
        <v>109</v>
      </c>
      <c r="J2489" s="12">
        <v>252000</v>
      </c>
      <c r="K2489" s="13">
        <f>$E2489+1</f>
        <v>110</v>
      </c>
      <c r="L2489" s="14">
        <f>IF($J2489=0,0,ROUND(MAX($J2489*1.4,1620000*(1.497923^(MIN($E2489,123)-117)))*1,0))</f>
        <v>352800</v>
      </c>
      <c r="M2489" s="11">
        <f>$E2489+2</f>
        <v>111</v>
      </c>
      <c r="N2489" s="12">
        <f>IF($J2489=0,0,ROUND(MAX($J2489*1.4*1.5,2190000*(1.580994^(MIN($E2489,123)-117)))*1,0))</f>
        <v>529200</v>
      </c>
      <c r="O2489" s="13">
        <f>$E2489+4</f>
        <v>113</v>
      </c>
      <c r="P2489" s="14">
        <f>IF($J2489=0,0,ROUND(MAX($J2489*1.4*1.5*1.6,3500000*(1.57975^(MIN($E2489,123)-117)))*1,0))</f>
        <v>846720</v>
      </c>
      <c r="Q2489" s="11">
        <f>$E2489+6</f>
        <v>115</v>
      </c>
      <c r="R2489" s="12">
        <f>IF($J2489=0,0,ROUND(MAX($J2489*1.4*1.5*1.6*1.6,13100000*(1.429962^(MIN($E2489,123)-117)))*1,0))</f>
        <v>1354752</v>
      </c>
      <c r="S2489" s="13">
        <f>$E2489+8</f>
        <v>117</v>
      </c>
      <c r="T2489" s="14">
        <f>IF($J2489=0,0,ROUND(MAX($J2489*1.4*1.5*1.6*1.6*2.2,42600000*(1.576904^(MIN($E2489,123)-117)))*1,0))</f>
        <v>2980454</v>
      </c>
      <c r="U2489" s="11">
        <f>$E2489+11</f>
        <v>120</v>
      </c>
      <c r="V2489" s="12">
        <f>IF($J2489=0,0,ROUND(MAX($J2489*1.4*1.5*1.6*1.6*2.2*2.715,354000000*(1.642074^(MIN($E2489,123)-117)))*1,0))</f>
        <v>8091934</v>
      </c>
      <c r="W2489" s="13">
        <f>$E2489+15</f>
        <v>124</v>
      </c>
      <c r="X2489" s="14">
        <f>IF($J2489=0,0,ROUND(MAX($J2489*1.4*1.5*1.6*1.6*2.2*2.715*2.6,3540000000*(1.579646^(MIN($E2489,123)-117)))*1,0))</f>
        <v>91311418</v>
      </c>
      <c r="Y2489" s="11">
        <f>$E2489+17</f>
        <v>126</v>
      </c>
      <c r="Z2489" s="12">
        <f>IF($J2489=0,0,ROUND(MAX($J2489*1.4*1.5*1.6*1.6*2.2*2.715*2.6*1.4,6020000000*(1.651178^(MIN($E2489,123)-117)))*1,0))</f>
        <v>108954543</v>
      </c>
      <c r="AA2489" s="13">
        <f>$E2489+19</f>
        <v>128</v>
      </c>
      <c r="AB2489" s="14">
        <f>IF($J2489=0,0,ROUND(MAX($J2489*1.4*1.5*1.6*1.6*2.2*2.715*2.6*1.4*1.4,8430000000*(1.651435^(MIN($E2489,123)-117)))*1,0))</f>
        <v>152382712</v>
      </c>
      <c r="AC2489" s="11">
        <f>$E2489+21</f>
        <v>130</v>
      </c>
      <c r="AD2489" s="12">
        <f>IF($J2489=0,0,ROUND(MAX($J2489*1.4*1.5*1.6*1.6*2.2*2.715*2.6*1.4*1.4*1.5,12600000000*(1.652953^(MIN($E2489,123)-117)))*1,0))</f>
        <v>226092682</v>
      </c>
      <c r="AE2489" s="13">
        <f>$E2489+24</f>
        <v>133</v>
      </c>
      <c r="AF2489" s="14">
        <f>IF($J2489=0,0,ROUND(MAX($J2489*1.4*1.5*1.6*1.6*2.2*2.715*2.6*1.4*1.4*1.5*1.5,18900000000*(1.65331^(MIN($E2489,123)-117)))*1,0))</f>
        <v>338553621</v>
      </c>
      <c r="AG2489" s="11">
        <f>$E2489+27</f>
        <v>136</v>
      </c>
      <c r="AH2489" s="12">
        <f>IF($J2489=0,0,ROUND(MAX($J2489*1.4*1.5*1.6*1.6*2.2*2.715*2.6*1.4*1.4*1.5*1.5*3.2,60500000000*(1.654288^(MIN($E2489,123)-117)))*1,0))</f>
        <v>1078614909</v>
      </c>
    </row>
    <row r="2490" ht="28" customHeight="1" spans="1:34" x14ac:dyDescent="0.25">
      <c r="A2490">
        <v>2500</v>
      </c>
      <c r="B2490" t="s">
        <v>1506</v>
      </c>
      <c r="C2490" s="10" t="s">
        <v>1421</v>
      </c>
      <c r="D2490" t="s">
        <v>64</v>
      </c>
      <c r="E2490">
        <v>108</v>
      </c>
      <c r="F2490" t="s">
        <v>71</v>
      </c>
      <c r="G2490" t="s">
        <v>1024</v>
      </c>
      <c r="H2490">
        <v>24</v>
      </c>
      <c r="I2490" s="11">
        <v>108</v>
      </c>
      <c r="J2490" s="12">
        <v>110000</v>
      </c>
      <c r="K2490" s="13">
        <f>$E2490+1</f>
        <v>109</v>
      </c>
      <c r="L2490" s="14">
        <f>IF($J2490=0,0,ROUND(MAX($J2490*1.4,1620000*(1.497923^(MIN($E2490,123)-117)))*1,0))</f>
        <v>154000</v>
      </c>
      <c r="M2490" s="11">
        <f>$E2490+2</f>
        <v>110</v>
      </c>
      <c r="N2490" s="12">
        <f>IF($J2490=0,0,ROUND(MAX($J2490*1.4*1.5,2190000*(1.580994^(MIN($E2490,123)-117)))*1,0))</f>
        <v>231000</v>
      </c>
      <c r="O2490" s="13">
        <f>$E2490+4</f>
        <v>112</v>
      </c>
      <c r="P2490" s="14">
        <f>IF($J2490=0,0,ROUND(MAX($J2490*1.4*1.5*1.6,3500000*(1.57975^(MIN($E2490,123)-117)))*1,0))</f>
        <v>369600</v>
      </c>
      <c r="Q2490" s="11">
        <f>$E2490+6</f>
        <v>114</v>
      </c>
      <c r="R2490" s="12">
        <f>IF($J2490=0,0,ROUND(MAX($J2490*1.4*1.5*1.6*1.6,13100000*(1.429962^(MIN($E2490,123)-117)))*1,0))</f>
        <v>591360</v>
      </c>
      <c r="S2490" s="13">
        <f>$E2490+8</f>
        <v>116</v>
      </c>
      <c r="T2490" s="14">
        <f>IF($J2490=0,0,ROUND(MAX($J2490*1.4*1.5*1.6*1.6*2.2,42600000*(1.576904^(MIN($E2490,123)-117)))*1,0))</f>
        <v>1300992</v>
      </c>
      <c r="U2490" s="11">
        <f>$E2490+11</f>
        <v>119</v>
      </c>
      <c r="V2490" s="12">
        <f>IF($J2490=0,0,ROUND(MAX($J2490*1.4*1.5*1.6*1.6*2.2*2.715,354000000*(1.642074^(MIN($E2490,123)-117)))*1,0))</f>
        <v>4078202</v>
      </c>
      <c r="W2490" s="13">
        <f>$E2490+15</f>
        <v>123</v>
      </c>
      <c r="X2490" s="14">
        <f>IF($J2490=0,0,ROUND(MAX($J2490*1.4*1.5*1.6*1.6*2.2*2.715*2.6,3540000000*(1.579646^(MIN($E2490,123)-117)))*1,0))</f>
        <v>57804988</v>
      </c>
      <c r="Y2490" s="11">
        <f>$E2490+17</f>
        <v>125</v>
      </c>
      <c r="Z2490" s="12">
        <f>IF($J2490=0,0,ROUND(MAX($J2490*1.4*1.5*1.6*1.6*2.2*2.715*2.6*1.4,6020000000*(1.651178^(MIN($E2490,123)-117)))*1,0))</f>
        <v>65985946</v>
      </c>
      <c r="AA2490" s="13">
        <f>$E2490+19</f>
        <v>127</v>
      </c>
      <c r="AB2490" s="14">
        <f>IF($J2490=0,0,ROUND(MAX($J2490*1.4*1.5*1.6*1.6*2.2*2.715*2.6*1.4*1.4,8430000000*(1.651435^(MIN($E2490,123)-117)))*1,0))</f>
        <v>92272909</v>
      </c>
      <c r="AC2490" s="11">
        <f>$E2490+21</f>
        <v>129</v>
      </c>
      <c r="AD2490" s="12">
        <f>IF($J2490=0,0,ROUND(MAX($J2490*1.4*1.5*1.6*1.6*2.2*2.715*2.6*1.4*1.4*1.5,12600000000*(1.652953^(MIN($E2490,123)-117)))*1,0))</f>
        <v>136781071</v>
      </c>
      <c r="AE2490" s="13">
        <f>$E2490+24</f>
        <v>132</v>
      </c>
      <c r="AF2490" s="14">
        <f>IF($J2490=0,0,ROUND(MAX($J2490*1.4*1.5*1.6*1.6*2.2*2.715*2.6*1.4*1.4*1.5*1.5,18900000000*(1.65331^(MIN($E2490,123)-117)))*1,0))</f>
        <v>204773225</v>
      </c>
      <c r="AG2490" s="11">
        <f>$E2490+27</f>
        <v>135</v>
      </c>
      <c r="AH2490" s="12">
        <f>IF($J2490=0,0,ROUND(MAX($J2490*1.4*1.5*1.6*1.6*2.2*2.715*2.6*1.4*1.4*1.5*1.5*3.2,60500000000*(1.654288^(MIN($E2490,123)-117)))*1,0))</f>
        <v>652011566</v>
      </c>
    </row>
    <row r="2491" ht="28" customHeight="1" spans="1:34" x14ac:dyDescent="0.25">
      <c r="A2491">
        <v>2501</v>
      </c>
      <c r="B2491" t="s">
        <v>1507</v>
      </c>
      <c r="C2491" s="10" t="s">
        <v>1421</v>
      </c>
      <c r="D2491" t="s">
        <v>29</v>
      </c>
      <c r="E2491">
        <v>108</v>
      </c>
      <c r="F2491" t="s">
        <v>34</v>
      </c>
      <c r="G2491" t="s">
        <v>1080</v>
      </c>
      <c r="H2491">
        <v>24</v>
      </c>
      <c r="I2491" s="11">
        <v>108</v>
      </c>
      <c r="J2491" s="12">
        <v>71100</v>
      </c>
      <c r="K2491" s="13">
        <f>$E2491+1</f>
        <v>109</v>
      </c>
      <c r="L2491" s="14">
        <f>IF($J2491=0,0,ROUND(MAX($J2491*1.4,1620000*(1.497923^(MIN($E2491,123)-117)))*1,0))</f>
        <v>99540</v>
      </c>
      <c r="M2491" s="11">
        <f>$E2491+2</f>
        <v>110</v>
      </c>
      <c r="N2491" s="12">
        <f>IF($J2491=0,0,ROUND(MAX($J2491*1.4*1.5,2190000*(1.580994^(MIN($E2491,123)-117)))*1,0))</f>
        <v>149310</v>
      </c>
      <c r="O2491" s="13">
        <f>$E2491+4</f>
        <v>112</v>
      </c>
      <c r="P2491" s="14">
        <f>IF($J2491=0,0,ROUND(MAX($J2491*1.4*1.5*1.6,3500000*(1.57975^(MIN($E2491,123)-117)))*1,0))</f>
        <v>238896</v>
      </c>
      <c r="Q2491" s="11">
        <f>$E2491+6</f>
        <v>114</v>
      </c>
      <c r="R2491" s="12">
        <f>IF($J2491=0,0,ROUND(MAX($J2491*1.4*1.5*1.6*1.6,13100000*(1.429962^(MIN($E2491,123)-117)))*1,0))</f>
        <v>524024</v>
      </c>
      <c r="S2491" s="13">
        <f>$E2491+8</f>
        <v>116</v>
      </c>
      <c r="T2491" s="14">
        <f>IF($J2491=0,0,ROUND(MAX($J2491*1.4*1.5*1.6*1.6*2.2,42600000*(1.576904^(MIN($E2491,123)-117)))*1,0))</f>
        <v>840914</v>
      </c>
      <c r="U2491" s="11">
        <f>$E2491+11</f>
        <v>119</v>
      </c>
      <c r="V2491" s="12">
        <f>IF($J2491=0,0,ROUND(MAX($J2491*1.4*1.5*1.6*1.6*2.2*2.715,354000000*(1.642074^(MIN($E2491,123)-117)))*1,0))</f>
        <v>4078202</v>
      </c>
      <c r="W2491" s="13">
        <f>$E2491+15</f>
        <v>123</v>
      </c>
      <c r="X2491" s="14">
        <f>IF($J2491=0,0,ROUND(MAX($J2491*1.4*1.5*1.6*1.6*2.2*2.715*2.6,3540000000*(1.579646^(MIN($E2491,123)-117)))*1,0))</f>
        <v>57804988</v>
      </c>
      <c r="Y2491" s="11">
        <f>$E2491+17</f>
        <v>125</v>
      </c>
      <c r="Z2491" s="12">
        <f>IF($J2491=0,0,ROUND(MAX($J2491*1.4*1.5*1.6*1.6*2.2*2.715*2.6*1.4,6020000000*(1.651178^(MIN($E2491,123)-117)))*1,0))</f>
        <v>65985946</v>
      </c>
      <c r="AA2491" s="13">
        <f>$E2491+19</f>
        <v>127</v>
      </c>
      <c r="AB2491" s="14">
        <f>IF($J2491=0,0,ROUND(MAX($J2491*1.4*1.5*1.6*1.6*2.2*2.715*2.6*1.4*1.4,8430000000*(1.651435^(MIN($E2491,123)-117)))*1,0))</f>
        <v>92272909</v>
      </c>
      <c r="AC2491" s="11">
        <f>$E2491+21</f>
        <v>129</v>
      </c>
      <c r="AD2491" s="12">
        <f>IF($J2491=0,0,ROUND(MAX($J2491*1.4*1.5*1.6*1.6*2.2*2.715*2.6*1.4*1.4*1.5,12600000000*(1.652953^(MIN($E2491,123)-117)))*1,0))</f>
        <v>136781071</v>
      </c>
      <c r="AE2491" s="13">
        <f>$E2491+24</f>
        <v>132</v>
      </c>
      <c r="AF2491" s="14">
        <f>IF($J2491=0,0,ROUND(MAX($J2491*1.4*1.5*1.6*1.6*2.2*2.715*2.6*1.4*1.4*1.5*1.5,18900000000*(1.65331^(MIN($E2491,123)-117)))*1,0))</f>
        <v>204773225</v>
      </c>
      <c r="AG2491" s="11">
        <f>$E2491+27</f>
        <v>135</v>
      </c>
      <c r="AH2491" s="12">
        <f>IF($J2491=0,0,ROUND(MAX($J2491*1.4*1.5*1.6*1.6*2.2*2.715*2.6*1.4*1.4*1.5*1.5*3.2,60500000000*(1.654288^(MIN($E2491,123)-117)))*1,0))</f>
        <v>652011566</v>
      </c>
    </row>
    <row r="2492" ht="28" customHeight="1" spans="1:34" x14ac:dyDescent="0.25">
      <c r="A2492">
        <v>2502</v>
      </c>
      <c r="B2492" t="s">
        <v>1418</v>
      </c>
      <c r="C2492" s="10" t="s">
        <v>1421</v>
      </c>
      <c r="D2492" t="s">
        <v>90</v>
      </c>
      <c r="E2492">
        <v>108</v>
      </c>
      <c r="F2492" t="s">
        <v>59</v>
      </c>
      <c r="G2492" t="s">
        <v>784</v>
      </c>
      <c r="H2492">
        <v>24</v>
      </c>
      <c r="I2492" s="11">
        <v>108</v>
      </c>
      <c r="J2492" s="12">
        <v>156000</v>
      </c>
      <c r="K2492" s="13">
        <f>$E2492+1</f>
        <v>109</v>
      </c>
      <c r="L2492" s="14">
        <f>IF($J2492=0,0,ROUND(MAX($J2492*1.4,1620000*(1.497923^(MIN($E2492,123)-117)))*1,0))</f>
        <v>218400</v>
      </c>
      <c r="M2492" s="11">
        <f>$E2492+2</f>
        <v>110</v>
      </c>
      <c r="N2492" s="12">
        <f>IF($J2492=0,0,ROUND(MAX($J2492*1.4*1.5,2190000*(1.580994^(MIN($E2492,123)-117)))*1,0))</f>
        <v>327600</v>
      </c>
      <c r="O2492" s="13">
        <f>$E2492+4</f>
        <v>112</v>
      </c>
      <c r="P2492" s="14">
        <f>IF($J2492=0,0,ROUND(MAX($J2492*1.4*1.5*1.6,3500000*(1.57975^(MIN($E2492,123)-117)))*1,0))</f>
        <v>524160</v>
      </c>
      <c r="Q2492" s="11">
        <f>$E2492+6</f>
        <v>114</v>
      </c>
      <c r="R2492" s="12">
        <f>IF($J2492=0,0,ROUND(MAX($J2492*1.4*1.5*1.6*1.6,13100000*(1.429962^(MIN($E2492,123)-117)))*1,0))</f>
        <v>838656</v>
      </c>
      <c r="S2492" s="13">
        <f>$E2492+8</f>
        <v>116</v>
      </c>
      <c r="T2492" s="14">
        <f>IF($J2492=0,0,ROUND(MAX($J2492*1.4*1.5*1.6*1.6*2.2,42600000*(1.576904^(MIN($E2492,123)-117)))*1,0))</f>
        <v>1845043</v>
      </c>
      <c r="U2492" s="11">
        <f>$E2492+11</f>
        <v>119</v>
      </c>
      <c r="V2492" s="12">
        <f>IF($J2492=0,0,ROUND(MAX($J2492*1.4*1.5*1.6*1.6*2.2*2.715,354000000*(1.642074^(MIN($E2492,123)-117)))*1,0))</f>
        <v>5009292</v>
      </c>
      <c r="W2492" s="13">
        <f>$E2492+15</f>
        <v>123</v>
      </c>
      <c r="X2492" s="14">
        <f>IF($J2492=0,0,ROUND(MAX($J2492*1.4*1.5*1.6*1.6*2.2*2.715*2.6,3540000000*(1.579646^(MIN($E2492,123)-117)))*1,0))</f>
        <v>57804988</v>
      </c>
      <c r="Y2492" s="11">
        <f>$E2492+17</f>
        <v>125</v>
      </c>
      <c r="Z2492" s="12">
        <f>IF($J2492=0,0,ROUND(MAX($J2492*1.4*1.5*1.6*1.6*2.2*2.715*2.6*1.4,6020000000*(1.651178^(MIN($E2492,123)-117)))*1,0))</f>
        <v>65985946</v>
      </c>
      <c r="AA2492" s="13">
        <f>$E2492+19</f>
        <v>127</v>
      </c>
      <c r="AB2492" s="14">
        <f>IF($J2492=0,0,ROUND(MAX($J2492*1.4*1.5*1.6*1.6*2.2*2.715*2.6*1.4*1.4,8430000000*(1.651435^(MIN($E2492,123)-117)))*1,0))</f>
        <v>92272909</v>
      </c>
      <c r="AC2492" s="11">
        <f>$E2492+21</f>
        <v>129</v>
      </c>
      <c r="AD2492" s="12">
        <f>IF($J2492=0,0,ROUND(MAX($J2492*1.4*1.5*1.6*1.6*2.2*2.715*2.6*1.4*1.4*1.5,12600000000*(1.652953^(MIN($E2492,123)-117)))*1,0))</f>
        <v>136781071</v>
      </c>
      <c r="AE2492" s="13">
        <f>$E2492+24</f>
        <v>132</v>
      </c>
      <c r="AF2492" s="14">
        <f>IF($J2492=0,0,ROUND(MAX($J2492*1.4*1.5*1.6*1.6*2.2*2.715*2.6*1.4*1.4*1.5*1.5,18900000000*(1.65331^(MIN($E2492,123)-117)))*1,0))</f>
        <v>204773225</v>
      </c>
      <c r="AG2492" s="11">
        <f>$E2492+27</f>
        <v>135</v>
      </c>
      <c r="AH2492" s="12">
        <f>IF($J2492=0,0,ROUND(MAX($J2492*1.4*1.5*1.6*1.6*2.2*2.715*2.6*1.4*1.4*1.5*1.5*3.2,60500000000*(1.654288^(MIN($E2492,123)-117)))*1,0))</f>
        <v>652011566</v>
      </c>
    </row>
    <row r="2493" ht="28" customHeight="1" spans="1:34" x14ac:dyDescent="0.25">
      <c r="A2493">
        <v>2503</v>
      </c>
      <c r="B2493" t="s">
        <v>1376</v>
      </c>
      <c r="C2493" s="10" t="s">
        <v>1421</v>
      </c>
      <c r="D2493" t="s">
        <v>102</v>
      </c>
      <c r="E2493">
        <v>108</v>
      </c>
      <c r="F2493" t="s">
        <v>34</v>
      </c>
      <c r="G2493" t="s">
        <v>569</v>
      </c>
      <c r="H2493">
        <v>24</v>
      </c>
      <c r="I2493" s="11">
        <v>108</v>
      </c>
      <c r="J2493" s="12">
        <v>208000</v>
      </c>
      <c r="K2493" s="13">
        <f>$E2493+1</f>
        <v>109</v>
      </c>
      <c r="L2493" s="14">
        <f>IF($J2493=0,0,ROUND(MAX($J2493*1.4,1620000*(1.497923^(MIN($E2493,123)-117)))*1,0))</f>
        <v>291200</v>
      </c>
      <c r="M2493" s="11">
        <f>$E2493+2</f>
        <v>110</v>
      </c>
      <c r="N2493" s="12">
        <f>IF($J2493=0,0,ROUND(MAX($J2493*1.4*1.5,2190000*(1.580994^(MIN($E2493,123)-117)))*1,0))</f>
        <v>436800</v>
      </c>
      <c r="O2493" s="13">
        <f>$E2493+4</f>
        <v>112</v>
      </c>
      <c r="P2493" s="14">
        <f>IF($J2493=0,0,ROUND(MAX($J2493*1.4*1.5*1.6,3500000*(1.57975^(MIN($E2493,123)-117)))*1,0))</f>
        <v>698880</v>
      </c>
      <c r="Q2493" s="11">
        <f>$E2493+6</f>
        <v>114</v>
      </c>
      <c r="R2493" s="12">
        <f>IF($J2493=0,0,ROUND(MAX($J2493*1.4*1.5*1.6*1.6,13100000*(1.429962^(MIN($E2493,123)-117)))*1,0))</f>
        <v>1118208</v>
      </c>
      <c r="S2493" s="13">
        <f>$E2493+8</f>
        <v>116</v>
      </c>
      <c r="T2493" s="14">
        <f>IF($J2493=0,0,ROUND(MAX($J2493*1.4*1.5*1.6*1.6*2.2,42600000*(1.576904^(MIN($E2493,123)-117)))*1,0))</f>
        <v>2460058</v>
      </c>
      <c r="U2493" s="11">
        <f>$E2493+11</f>
        <v>119</v>
      </c>
      <c r="V2493" s="12">
        <f>IF($J2493=0,0,ROUND(MAX($J2493*1.4*1.5*1.6*1.6*2.2*2.715,354000000*(1.642074^(MIN($E2493,123)-117)))*1,0))</f>
        <v>6679056</v>
      </c>
      <c r="W2493" s="13">
        <f>$E2493+15</f>
        <v>123</v>
      </c>
      <c r="X2493" s="14">
        <f>IF($J2493=0,0,ROUND(MAX($J2493*1.4*1.5*1.6*1.6*2.2*2.715*2.6,3540000000*(1.579646^(MIN($E2493,123)-117)))*1,0))</f>
        <v>57804988</v>
      </c>
      <c r="Y2493" s="11">
        <f>$E2493+17</f>
        <v>125</v>
      </c>
      <c r="Z2493" s="12">
        <f>IF($J2493=0,0,ROUND(MAX($J2493*1.4*1.5*1.6*1.6*2.2*2.715*2.6*1.4,6020000000*(1.651178^(MIN($E2493,123)-117)))*1,0))</f>
        <v>65985946</v>
      </c>
      <c r="AA2493" s="13">
        <f>$E2493+19</f>
        <v>127</v>
      </c>
      <c r="AB2493" s="14">
        <f>IF($J2493=0,0,ROUND(MAX($J2493*1.4*1.5*1.6*1.6*2.2*2.715*2.6*1.4*1.4,8430000000*(1.651435^(MIN($E2493,123)-117)))*1,0))</f>
        <v>92272909</v>
      </c>
      <c r="AC2493" s="11">
        <f>$E2493+21</f>
        <v>129</v>
      </c>
      <c r="AD2493" s="12">
        <f>IF($J2493=0,0,ROUND(MAX($J2493*1.4*1.5*1.6*1.6*2.2*2.715*2.6*1.4*1.4*1.5,12600000000*(1.652953^(MIN($E2493,123)-117)))*1,0))</f>
        <v>136781071</v>
      </c>
      <c r="AE2493" s="13">
        <f>$E2493+24</f>
        <v>132</v>
      </c>
      <c r="AF2493" s="14">
        <f>IF($J2493=0,0,ROUND(MAX($J2493*1.4*1.5*1.6*1.6*2.2*2.715*2.6*1.4*1.4*1.5*1.5,18900000000*(1.65331^(MIN($E2493,123)-117)))*1,0))</f>
        <v>204773225</v>
      </c>
      <c r="AG2493" s="11">
        <f>$E2493+27</f>
        <v>135</v>
      </c>
      <c r="AH2493" s="12">
        <f>IF($J2493=0,0,ROUND(MAX($J2493*1.4*1.5*1.6*1.6*2.2*2.715*2.6*1.4*1.4*1.5*1.5*3.2,60500000000*(1.654288^(MIN($E2493,123)-117)))*1,0))</f>
        <v>652011566</v>
      </c>
    </row>
    <row r="2494" ht="28" customHeight="1" spans="1:34" x14ac:dyDescent="0.25">
      <c r="A2494">
        <v>2504</v>
      </c>
      <c r="B2494" t="s">
        <v>1508</v>
      </c>
      <c r="C2494" s="10" t="s">
        <v>1421</v>
      </c>
      <c r="D2494" t="s">
        <v>79</v>
      </c>
      <c r="E2494">
        <v>108</v>
      </c>
      <c r="F2494" t="s">
        <v>71</v>
      </c>
      <c r="G2494" t="s">
        <v>1058</v>
      </c>
      <c r="H2494">
        <v>24</v>
      </c>
      <c r="I2494" s="11">
        <v>108</v>
      </c>
      <c r="J2494" s="12">
        <v>194000</v>
      </c>
      <c r="K2494" s="13">
        <f>$E2494+1</f>
        <v>109</v>
      </c>
      <c r="L2494" s="14">
        <f>IF($J2494=0,0,ROUND(MAX($J2494*1.4,1620000*(1.497923^(MIN($E2494,123)-117)))*1,0))</f>
        <v>271600</v>
      </c>
      <c r="M2494" s="11">
        <f>$E2494+2</f>
        <v>110</v>
      </c>
      <c r="N2494" s="12">
        <f>IF($J2494=0,0,ROUND(MAX($J2494*1.4*1.5,2190000*(1.580994^(MIN($E2494,123)-117)))*1,0))</f>
        <v>407400</v>
      </c>
      <c r="O2494" s="13">
        <f>$E2494+4</f>
        <v>112</v>
      </c>
      <c r="P2494" s="14">
        <f>IF($J2494=0,0,ROUND(MAX($J2494*1.4*1.5*1.6,3500000*(1.57975^(MIN($E2494,123)-117)))*1,0))</f>
        <v>651840</v>
      </c>
      <c r="Q2494" s="11">
        <f>$E2494+6</f>
        <v>114</v>
      </c>
      <c r="R2494" s="12">
        <f>IF($J2494=0,0,ROUND(MAX($J2494*1.4*1.5*1.6*1.6,13100000*(1.429962^(MIN($E2494,123)-117)))*1,0))</f>
        <v>1042944</v>
      </c>
      <c r="S2494" s="13">
        <f>$E2494+8</f>
        <v>116</v>
      </c>
      <c r="T2494" s="14">
        <f>IF($J2494=0,0,ROUND(MAX($J2494*1.4*1.5*1.6*1.6*2.2,42600000*(1.576904^(MIN($E2494,123)-117)))*1,0))</f>
        <v>2294477</v>
      </c>
      <c r="U2494" s="11">
        <f>$E2494+11</f>
        <v>119</v>
      </c>
      <c r="V2494" s="12">
        <f>IF($J2494=0,0,ROUND(MAX($J2494*1.4*1.5*1.6*1.6*2.2*2.715,354000000*(1.642074^(MIN($E2494,123)-117)))*1,0))</f>
        <v>6229505</v>
      </c>
      <c r="W2494" s="13">
        <f>$E2494+15</f>
        <v>123</v>
      </c>
      <c r="X2494" s="14">
        <f>IF($J2494=0,0,ROUND(MAX($J2494*1.4*1.5*1.6*1.6*2.2*2.715*2.6,3540000000*(1.579646^(MIN($E2494,123)-117)))*1,0))</f>
        <v>57804988</v>
      </c>
      <c r="Y2494" s="11">
        <f>$E2494+17</f>
        <v>125</v>
      </c>
      <c r="Z2494" s="12">
        <f>IF($J2494=0,0,ROUND(MAX($J2494*1.4*1.5*1.6*1.6*2.2*2.715*2.6*1.4,6020000000*(1.651178^(MIN($E2494,123)-117)))*1,0))</f>
        <v>65985946</v>
      </c>
      <c r="AA2494" s="13">
        <f>$E2494+19</f>
        <v>127</v>
      </c>
      <c r="AB2494" s="14">
        <f>IF($J2494=0,0,ROUND(MAX($J2494*1.4*1.5*1.6*1.6*2.2*2.715*2.6*1.4*1.4,8430000000*(1.651435^(MIN($E2494,123)-117)))*1,0))</f>
        <v>92272909</v>
      </c>
      <c r="AC2494" s="11">
        <f>$E2494+21</f>
        <v>129</v>
      </c>
      <c r="AD2494" s="12">
        <f>IF($J2494=0,0,ROUND(MAX($J2494*1.4*1.5*1.6*1.6*2.2*2.715*2.6*1.4*1.4*1.5,12600000000*(1.652953^(MIN($E2494,123)-117)))*1,0))</f>
        <v>136781071</v>
      </c>
      <c r="AE2494" s="13">
        <f>$E2494+24</f>
        <v>132</v>
      </c>
      <c r="AF2494" s="14">
        <f>IF($J2494=0,0,ROUND(MAX($J2494*1.4*1.5*1.6*1.6*2.2*2.715*2.6*1.4*1.4*1.5*1.5,18900000000*(1.65331^(MIN($E2494,123)-117)))*1,0))</f>
        <v>204773225</v>
      </c>
      <c r="AG2494" s="11">
        <f>$E2494+27</f>
        <v>135</v>
      </c>
      <c r="AH2494" s="12">
        <f>IF($J2494=0,0,ROUND(MAX($J2494*1.4*1.5*1.6*1.6*2.2*2.715*2.6*1.4*1.4*1.5*1.5*3.2,60500000000*(1.654288^(MIN($E2494,123)-117)))*1,0))</f>
        <v>652011566</v>
      </c>
    </row>
    <row r="2495" ht="28" customHeight="1" spans="1:34" x14ac:dyDescent="0.25">
      <c r="A2495">
        <v>2505</v>
      </c>
      <c r="B2495" t="s">
        <v>1509</v>
      </c>
      <c r="C2495" s="10" t="s">
        <v>1421</v>
      </c>
      <c r="D2495" t="s">
        <v>45</v>
      </c>
      <c r="E2495">
        <v>108</v>
      </c>
      <c r="F2495" t="s">
        <v>1206</v>
      </c>
      <c r="G2495" t="s">
        <v>797</v>
      </c>
      <c r="H2495">
        <v>24</v>
      </c>
      <c r="I2495" s="11">
        <v>108</v>
      </c>
      <c r="J2495" s="12">
        <v>216000</v>
      </c>
      <c r="K2495" s="13">
        <f>$E2495+1</f>
        <v>109</v>
      </c>
      <c r="L2495" s="14">
        <f>IF($J2495=0,0,ROUND(MAX($J2495*1.4,1620000*(1.497923^(MIN($E2495,123)-117)))*1,0))</f>
        <v>302400</v>
      </c>
      <c r="M2495" s="11">
        <f>$E2495+2</f>
        <v>110</v>
      </c>
      <c r="N2495" s="12">
        <f>IF($J2495=0,0,ROUND(MAX($J2495*1.4*1.5,2190000*(1.580994^(MIN($E2495,123)-117)))*1,0))</f>
        <v>453600</v>
      </c>
      <c r="O2495" s="13">
        <f>$E2495+4</f>
        <v>112</v>
      </c>
      <c r="P2495" s="14">
        <f>IF($J2495=0,0,ROUND(MAX($J2495*1.4*1.5*1.6,3500000*(1.57975^(MIN($E2495,123)-117)))*1,0))</f>
        <v>725760</v>
      </c>
      <c r="Q2495" s="11">
        <f>$E2495+6</f>
        <v>114</v>
      </c>
      <c r="R2495" s="12">
        <f>IF($J2495=0,0,ROUND(MAX($J2495*1.4*1.5*1.6*1.6,13100000*(1.429962^(MIN($E2495,123)-117)))*1,0))</f>
        <v>1161216</v>
      </c>
      <c r="S2495" s="13">
        <f>$E2495+8</f>
        <v>116</v>
      </c>
      <c r="T2495" s="14">
        <f>IF($J2495=0,0,ROUND(MAX($J2495*1.4*1.5*1.6*1.6*2.2,42600000*(1.576904^(MIN($E2495,123)-117)))*1,0))</f>
        <v>2554675</v>
      </c>
      <c r="U2495" s="11">
        <f>$E2495+11</f>
        <v>119</v>
      </c>
      <c r="V2495" s="12">
        <f>IF($J2495=0,0,ROUND(MAX($J2495*1.4*1.5*1.6*1.6*2.2*2.715,354000000*(1.642074^(MIN($E2495,123)-117)))*1,0))</f>
        <v>6935943</v>
      </c>
      <c r="W2495" s="13">
        <f>$E2495+15</f>
        <v>123</v>
      </c>
      <c r="X2495" s="14">
        <f>IF($J2495=0,0,ROUND(MAX($J2495*1.4*1.5*1.6*1.6*2.2*2.715*2.6,3540000000*(1.579646^(MIN($E2495,123)-117)))*1,0))</f>
        <v>57804988</v>
      </c>
      <c r="Y2495" s="11">
        <f>$E2495+17</f>
        <v>125</v>
      </c>
      <c r="Z2495" s="12">
        <f>IF($J2495=0,0,ROUND(MAX($J2495*1.4*1.5*1.6*1.6*2.2*2.715*2.6*1.4,6020000000*(1.651178^(MIN($E2495,123)-117)))*1,0))</f>
        <v>65985946</v>
      </c>
      <c r="AA2495" s="13">
        <f>$E2495+19</f>
        <v>127</v>
      </c>
      <c r="AB2495" s="14">
        <f>IF($J2495=0,0,ROUND(MAX($J2495*1.4*1.5*1.6*1.6*2.2*2.715*2.6*1.4*1.4,8430000000*(1.651435^(MIN($E2495,123)-117)))*1,0))</f>
        <v>92272909</v>
      </c>
      <c r="AC2495" s="11">
        <f>$E2495+21</f>
        <v>129</v>
      </c>
      <c r="AD2495" s="12">
        <f>IF($J2495=0,0,ROUND(MAX($J2495*1.4*1.5*1.6*1.6*2.2*2.715*2.6*1.4*1.4*1.5,12600000000*(1.652953^(MIN($E2495,123)-117)))*1,0))</f>
        <v>136781071</v>
      </c>
      <c r="AE2495" s="13">
        <f>$E2495+24</f>
        <v>132</v>
      </c>
      <c r="AF2495" s="14">
        <f>IF($J2495=0,0,ROUND(MAX($J2495*1.4*1.5*1.6*1.6*2.2*2.715*2.6*1.4*1.4*1.5*1.5,18900000000*(1.65331^(MIN($E2495,123)-117)))*1,0))</f>
        <v>204773225</v>
      </c>
      <c r="AG2495" s="11">
        <f>$E2495+27</f>
        <v>135</v>
      </c>
      <c r="AH2495" s="12">
        <f>IF($J2495=0,0,ROUND(MAX($J2495*1.4*1.5*1.6*1.6*2.2*2.715*2.6*1.4*1.4*1.5*1.5*3.2,60500000000*(1.654288^(MIN($E2495,123)-117)))*1,0))</f>
        <v>652011566</v>
      </c>
    </row>
    <row r="2496" ht="28" customHeight="1" spans="1:34" x14ac:dyDescent="0.25">
      <c r="A2496">
        <v>2506</v>
      </c>
      <c r="B2496" t="s">
        <v>1510</v>
      </c>
      <c r="C2496" s="10" t="s">
        <v>1421</v>
      </c>
      <c r="D2496" t="s">
        <v>79</v>
      </c>
      <c r="E2496">
        <v>108</v>
      </c>
      <c r="F2496" t="s">
        <v>71</v>
      </c>
      <c r="G2496" t="s">
        <v>1511</v>
      </c>
      <c r="H2496">
        <v>24</v>
      </c>
      <c r="I2496" s="11">
        <v>108</v>
      </c>
      <c r="J2496" s="12">
        <v>73000</v>
      </c>
      <c r="K2496" s="13">
        <f>$E2496+1</f>
        <v>109</v>
      </c>
      <c r="L2496" s="14">
        <f>IF($J2496=0,0,ROUND(MAX($J2496*1.4,1620000*(1.497923^(MIN($E2496,123)-117)))*1,0))</f>
        <v>102200</v>
      </c>
      <c r="M2496" s="11">
        <f>$E2496+2</f>
        <v>110</v>
      </c>
      <c r="N2496" s="12">
        <f>IF($J2496=0,0,ROUND(MAX($J2496*1.4*1.5,2190000*(1.580994^(MIN($E2496,123)-117)))*1,0))</f>
        <v>153300</v>
      </c>
      <c r="O2496" s="13">
        <f>$E2496+4</f>
        <v>112</v>
      </c>
      <c r="P2496" s="14">
        <f>IF($J2496=0,0,ROUND(MAX($J2496*1.4*1.5*1.6,3500000*(1.57975^(MIN($E2496,123)-117)))*1,0))</f>
        <v>245280</v>
      </c>
      <c r="Q2496" s="11">
        <f>$E2496+6</f>
        <v>114</v>
      </c>
      <c r="R2496" s="12">
        <f>IF($J2496=0,0,ROUND(MAX($J2496*1.4*1.5*1.6*1.6,13100000*(1.429962^(MIN($E2496,123)-117)))*1,0))</f>
        <v>524024</v>
      </c>
      <c r="S2496" s="13">
        <f>$E2496+8</f>
        <v>116</v>
      </c>
      <c r="T2496" s="14">
        <f>IF($J2496=0,0,ROUND(MAX($J2496*1.4*1.5*1.6*1.6*2.2,42600000*(1.576904^(MIN($E2496,123)-117)))*1,0))</f>
        <v>863386</v>
      </c>
      <c r="U2496" s="11">
        <f>$E2496+11</f>
        <v>119</v>
      </c>
      <c r="V2496" s="12">
        <f>IF($J2496=0,0,ROUND(MAX($J2496*1.4*1.5*1.6*1.6*2.2*2.715,354000000*(1.642074^(MIN($E2496,123)-117)))*1,0))</f>
        <v>4078202</v>
      </c>
      <c r="W2496" s="13">
        <f>$E2496+15</f>
        <v>123</v>
      </c>
      <c r="X2496" s="14">
        <f>IF($J2496=0,0,ROUND(MAX($J2496*1.4*1.5*1.6*1.6*2.2*2.715*2.6,3540000000*(1.579646^(MIN($E2496,123)-117)))*1,0))</f>
        <v>57804988</v>
      </c>
      <c r="Y2496" s="11">
        <f>$E2496+17</f>
        <v>125</v>
      </c>
      <c r="Z2496" s="12">
        <f>IF($J2496=0,0,ROUND(MAX($J2496*1.4*1.5*1.6*1.6*2.2*2.715*2.6*1.4,6020000000*(1.651178^(MIN($E2496,123)-117)))*1,0))</f>
        <v>65985946</v>
      </c>
      <c r="AA2496" s="13">
        <f>$E2496+19</f>
        <v>127</v>
      </c>
      <c r="AB2496" s="14">
        <f>IF($J2496=0,0,ROUND(MAX($J2496*1.4*1.5*1.6*1.6*2.2*2.715*2.6*1.4*1.4,8430000000*(1.651435^(MIN($E2496,123)-117)))*1,0))</f>
        <v>92272909</v>
      </c>
      <c r="AC2496" s="11">
        <f>$E2496+21</f>
        <v>129</v>
      </c>
      <c r="AD2496" s="12">
        <f>IF($J2496=0,0,ROUND(MAX($J2496*1.4*1.5*1.6*1.6*2.2*2.715*2.6*1.4*1.4*1.5,12600000000*(1.652953^(MIN($E2496,123)-117)))*1,0))</f>
        <v>136781071</v>
      </c>
      <c r="AE2496" s="13">
        <f>$E2496+24</f>
        <v>132</v>
      </c>
      <c r="AF2496" s="14">
        <f>IF($J2496=0,0,ROUND(MAX($J2496*1.4*1.5*1.6*1.6*2.2*2.715*2.6*1.4*1.4*1.5*1.5,18900000000*(1.65331^(MIN($E2496,123)-117)))*1,0))</f>
        <v>204773225</v>
      </c>
      <c r="AG2496" s="11">
        <f>$E2496+27</f>
        <v>135</v>
      </c>
      <c r="AH2496" s="12">
        <f>IF($J2496=0,0,ROUND(MAX($J2496*1.4*1.5*1.6*1.6*2.2*2.715*2.6*1.4*1.4*1.5*1.5*3.2,60500000000*(1.654288^(MIN($E2496,123)-117)))*1,0))</f>
        <v>652011566</v>
      </c>
    </row>
    <row r="2497" ht="28" customHeight="1" spans="1:34" x14ac:dyDescent="0.25">
      <c r="A2497">
        <v>2507</v>
      </c>
      <c r="B2497" t="s">
        <v>1512</v>
      </c>
      <c r="C2497" s="10" t="s">
        <v>1421</v>
      </c>
      <c r="D2497" t="s">
        <v>45</v>
      </c>
      <c r="E2497">
        <v>108</v>
      </c>
      <c r="F2497" t="s">
        <v>1206</v>
      </c>
      <c r="G2497" t="s">
        <v>27</v>
      </c>
      <c r="H2497">
        <v>24</v>
      </c>
      <c r="I2497" s="11">
        <v>108</v>
      </c>
      <c r="J2497" s="12">
        <v>70200</v>
      </c>
      <c r="K2497" s="13">
        <f>$E2497+1</f>
        <v>109</v>
      </c>
      <c r="L2497" s="14">
        <f>IF($J2497=0,0,ROUND(MAX($J2497*1.4,1620000*(1.497923^(MIN($E2497,123)-117)))*1,0))</f>
        <v>98280</v>
      </c>
      <c r="M2497" s="11">
        <f>$E2497+2</f>
        <v>110</v>
      </c>
      <c r="N2497" s="12">
        <f>IF($J2497=0,0,ROUND(MAX($J2497*1.4*1.5,2190000*(1.580994^(MIN($E2497,123)-117)))*1,0))</f>
        <v>147420</v>
      </c>
      <c r="O2497" s="13">
        <f>$E2497+4</f>
        <v>112</v>
      </c>
      <c r="P2497" s="14">
        <f>IF($J2497=0,0,ROUND(MAX($J2497*1.4*1.5*1.6,3500000*(1.57975^(MIN($E2497,123)-117)))*1,0))</f>
        <v>235872</v>
      </c>
      <c r="Q2497" s="11">
        <f>$E2497+6</f>
        <v>114</v>
      </c>
      <c r="R2497" s="12">
        <f>IF($J2497=0,0,ROUND(MAX($J2497*1.4*1.5*1.6*1.6,13100000*(1.429962^(MIN($E2497,123)-117)))*1,0))</f>
        <v>524024</v>
      </c>
      <c r="S2497" s="13">
        <f>$E2497+8</f>
        <v>116</v>
      </c>
      <c r="T2497" s="14">
        <f>IF($J2497=0,0,ROUND(MAX($J2497*1.4*1.5*1.6*1.6*2.2,42600000*(1.576904^(MIN($E2497,123)-117)))*1,0))</f>
        <v>830269</v>
      </c>
      <c r="U2497" s="11">
        <f>$E2497+11</f>
        <v>119</v>
      </c>
      <c r="V2497" s="12">
        <f>IF($J2497=0,0,ROUND(MAX($J2497*1.4*1.5*1.6*1.6*2.2*2.715,354000000*(1.642074^(MIN($E2497,123)-117)))*1,0))</f>
        <v>4078202</v>
      </c>
      <c r="W2497" s="13">
        <f>$E2497+15</f>
        <v>123</v>
      </c>
      <c r="X2497" s="14">
        <f>IF($J2497=0,0,ROUND(MAX($J2497*1.4*1.5*1.6*1.6*2.2*2.715*2.6,3540000000*(1.579646^(MIN($E2497,123)-117)))*1,0))</f>
        <v>57804988</v>
      </c>
      <c r="Y2497" s="11">
        <f>$E2497+17</f>
        <v>125</v>
      </c>
      <c r="Z2497" s="12">
        <f>IF($J2497=0,0,ROUND(MAX($J2497*1.4*1.5*1.6*1.6*2.2*2.715*2.6*1.4,6020000000*(1.651178^(MIN($E2497,123)-117)))*1,0))</f>
        <v>65985946</v>
      </c>
      <c r="AA2497" s="13">
        <f>$E2497+19</f>
        <v>127</v>
      </c>
      <c r="AB2497" s="14">
        <f>IF($J2497=0,0,ROUND(MAX($J2497*1.4*1.5*1.6*1.6*2.2*2.715*2.6*1.4*1.4,8430000000*(1.651435^(MIN($E2497,123)-117)))*1,0))</f>
        <v>92272909</v>
      </c>
      <c r="AC2497" s="11">
        <f>$E2497+21</f>
        <v>129</v>
      </c>
      <c r="AD2497" s="12">
        <f>IF($J2497=0,0,ROUND(MAX($J2497*1.4*1.5*1.6*1.6*2.2*2.715*2.6*1.4*1.4*1.5,12600000000*(1.652953^(MIN($E2497,123)-117)))*1,0))</f>
        <v>136781071</v>
      </c>
      <c r="AE2497" s="13">
        <f>$E2497+24</f>
        <v>132</v>
      </c>
      <c r="AF2497" s="14">
        <f>IF($J2497=0,0,ROUND(MAX($J2497*1.4*1.5*1.6*1.6*2.2*2.715*2.6*1.4*1.4*1.5*1.5,18900000000*(1.65331^(MIN($E2497,123)-117)))*1,0))</f>
        <v>204773225</v>
      </c>
      <c r="AG2497" s="11">
        <f>$E2497+27</f>
        <v>135</v>
      </c>
      <c r="AH2497" s="12">
        <f>IF($J2497=0,0,ROUND(MAX($J2497*1.4*1.5*1.6*1.6*2.2*2.715*2.6*1.4*1.4*1.5*1.5*3.2,60500000000*(1.654288^(MIN($E2497,123)-117)))*1,0))</f>
        <v>652011566</v>
      </c>
    </row>
    <row r="2498" ht="28" customHeight="1" spans="1:34" x14ac:dyDescent="0.25">
      <c r="A2498">
        <v>2508</v>
      </c>
      <c r="B2498" t="s">
        <v>1513</v>
      </c>
      <c r="C2498" s="10" t="s">
        <v>1421</v>
      </c>
      <c r="D2498" t="s">
        <v>102</v>
      </c>
      <c r="E2498">
        <v>108</v>
      </c>
      <c r="F2498" t="s">
        <v>212</v>
      </c>
      <c r="G2498" t="s">
        <v>1473</v>
      </c>
      <c r="H2498">
        <v>24</v>
      </c>
      <c r="I2498" s="11">
        <v>108</v>
      </c>
      <c r="J2498" s="12">
        <v>153000</v>
      </c>
      <c r="K2498" s="13">
        <f>$E2498+1</f>
        <v>109</v>
      </c>
      <c r="L2498" s="14">
        <f>IF($J2498=0,0,ROUND(MAX($J2498*1.4,1620000*(1.497923^(MIN($E2498,123)-117)))*1,0))</f>
        <v>214200</v>
      </c>
      <c r="M2498" s="11">
        <f>$E2498+2</f>
        <v>110</v>
      </c>
      <c r="N2498" s="12">
        <f>IF($J2498=0,0,ROUND(MAX($J2498*1.4*1.5,2190000*(1.580994^(MIN($E2498,123)-117)))*1,0))</f>
        <v>321300</v>
      </c>
      <c r="O2498" s="13">
        <f>$E2498+4</f>
        <v>112</v>
      </c>
      <c r="P2498" s="14">
        <f>IF($J2498=0,0,ROUND(MAX($J2498*1.4*1.5*1.6,3500000*(1.57975^(MIN($E2498,123)-117)))*1,0))</f>
        <v>514080</v>
      </c>
      <c r="Q2498" s="11">
        <f>$E2498+6</f>
        <v>114</v>
      </c>
      <c r="R2498" s="12">
        <f>IF($J2498=0,0,ROUND(MAX($J2498*1.4*1.5*1.6*1.6,13100000*(1.429962^(MIN($E2498,123)-117)))*1,0))</f>
        <v>822528</v>
      </c>
      <c r="S2498" s="13">
        <f>$E2498+8</f>
        <v>116</v>
      </c>
      <c r="T2498" s="14">
        <f>IF($J2498=0,0,ROUND(MAX($J2498*1.4*1.5*1.6*1.6*2.2,42600000*(1.576904^(MIN($E2498,123)-117)))*1,0))</f>
        <v>1809562</v>
      </c>
      <c r="U2498" s="11">
        <f>$E2498+11</f>
        <v>119</v>
      </c>
      <c r="V2498" s="12">
        <f>IF($J2498=0,0,ROUND(MAX($J2498*1.4*1.5*1.6*1.6*2.2*2.715,354000000*(1.642074^(MIN($E2498,123)-117)))*1,0))</f>
        <v>4912960</v>
      </c>
      <c r="W2498" s="13">
        <f>$E2498+15</f>
        <v>123</v>
      </c>
      <c r="X2498" s="14">
        <f>IF($J2498=0,0,ROUND(MAX($J2498*1.4*1.5*1.6*1.6*2.2*2.715*2.6,3540000000*(1.579646^(MIN($E2498,123)-117)))*1,0))</f>
        <v>57804988</v>
      </c>
      <c r="Y2498" s="11">
        <f>$E2498+17</f>
        <v>125</v>
      </c>
      <c r="Z2498" s="12">
        <f>IF($J2498=0,0,ROUND(MAX($J2498*1.4*1.5*1.6*1.6*2.2*2.715*2.6*1.4,6020000000*(1.651178^(MIN($E2498,123)-117)))*1,0))</f>
        <v>65985946</v>
      </c>
      <c r="AA2498" s="13">
        <f>$E2498+19</f>
        <v>127</v>
      </c>
      <c r="AB2498" s="14">
        <f>IF($J2498=0,0,ROUND(MAX($J2498*1.4*1.5*1.6*1.6*2.2*2.715*2.6*1.4*1.4,8430000000*(1.651435^(MIN($E2498,123)-117)))*1,0))</f>
        <v>92272909</v>
      </c>
      <c r="AC2498" s="11">
        <f>$E2498+21</f>
        <v>129</v>
      </c>
      <c r="AD2498" s="12">
        <f>IF($J2498=0,0,ROUND(MAX($J2498*1.4*1.5*1.6*1.6*2.2*2.715*2.6*1.4*1.4*1.5,12600000000*(1.652953^(MIN($E2498,123)-117)))*1,0))</f>
        <v>136781071</v>
      </c>
      <c r="AE2498" s="13">
        <f>$E2498+24</f>
        <v>132</v>
      </c>
      <c r="AF2498" s="14">
        <f>IF($J2498=0,0,ROUND(MAX($J2498*1.4*1.5*1.6*1.6*2.2*2.715*2.6*1.4*1.4*1.5*1.5,18900000000*(1.65331^(MIN($E2498,123)-117)))*1,0))</f>
        <v>204773225</v>
      </c>
      <c r="AG2498" s="11">
        <f>$E2498+27</f>
        <v>135</v>
      </c>
      <c r="AH2498" s="12">
        <f>IF($J2498=0,0,ROUND(MAX($J2498*1.4*1.5*1.6*1.6*2.2*2.715*2.6*1.4*1.4*1.5*1.5*3.2,60500000000*(1.654288^(MIN($E2498,123)-117)))*1,0))</f>
        <v>652011566</v>
      </c>
    </row>
    <row r="2499" ht="28" customHeight="1" spans="1:34" x14ac:dyDescent="0.25">
      <c r="A2499">
        <v>2509</v>
      </c>
      <c r="B2499" t="s">
        <v>1514</v>
      </c>
      <c r="C2499" s="10" t="s">
        <v>1421</v>
      </c>
      <c r="D2499" t="s">
        <v>33</v>
      </c>
      <c r="E2499">
        <v>108</v>
      </c>
      <c r="F2499" t="s">
        <v>54</v>
      </c>
      <c r="G2499" t="s">
        <v>1024</v>
      </c>
      <c r="H2499">
        <v>24</v>
      </c>
      <c r="I2499" s="11">
        <v>108</v>
      </c>
      <c r="J2499" s="12">
        <v>252000</v>
      </c>
      <c r="K2499" s="13">
        <f>$E2499+1</f>
        <v>109</v>
      </c>
      <c r="L2499" s="14">
        <f>IF($J2499=0,0,ROUND(MAX($J2499*1.4,1620000*(1.497923^(MIN($E2499,123)-117)))*1,0))</f>
        <v>352800</v>
      </c>
      <c r="M2499" s="11">
        <f>$E2499+2</f>
        <v>110</v>
      </c>
      <c r="N2499" s="12">
        <f>IF($J2499=0,0,ROUND(MAX($J2499*1.4*1.5,2190000*(1.580994^(MIN($E2499,123)-117)))*1,0))</f>
        <v>529200</v>
      </c>
      <c r="O2499" s="13">
        <f>$E2499+4</f>
        <v>112</v>
      </c>
      <c r="P2499" s="14">
        <f>IF($J2499=0,0,ROUND(MAX($J2499*1.4*1.5*1.6,3500000*(1.57975^(MIN($E2499,123)-117)))*1,0))</f>
        <v>846720</v>
      </c>
      <c r="Q2499" s="11">
        <f>$E2499+6</f>
        <v>114</v>
      </c>
      <c r="R2499" s="12">
        <f>IF($J2499=0,0,ROUND(MAX($J2499*1.4*1.5*1.6*1.6,13100000*(1.429962^(MIN($E2499,123)-117)))*1,0))</f>
        <v>1354752</v>
      </c>
      <c r="S2499" s="13">
        <f>$E2499+8</f>
        <v>116</v>
      </c>
      <c r="T2499" s="14">
        <f>IF($J2499=0,0,ROUND(MAX($J2499*1.4*1.5*1.6*1.6*2.2,42600000*(1.576904^(MIN($E2499,123)-117)))*1,0))</f>
        <v>2980454</v>
      </c>
      <c r="U2499" s="11">
        <f>$E2499+11</f>
        <v>119</v>
      </c>
      <c r="V2499" s="12">
        <f>IF($J2499=0,0,ROUND(MAX($J2499*1.4*1.5*1.6*1.6*2.2*2.715,354000000*(1.642074^(MIN($E2499,123)-117)))*1,0))</f>
        <v>8091934</v>
      </c>
      <c r="W2499" s="13">
        <f>$E2499+15</f>
        <v>123</v>
      </c>
      <c r="X2499" s="14">
        <f>IF($J2499=0,0,ROUND(MAX($J2499*1.4*1.5*1.6*1.6*2.2*2.715*2.6,3540000000*(1.579646^(MIN($E2499,123)-117)))*1,0))</f>
        <v>57804988</v>
      </c>
      <c r="Y2499" s="11">
        <f>$E2499+17</f>
        <v>125</v>
      </c>
      <c r="Z2499" s="12">
        <f>IF($J2499=0,0,ROUND(MAX($J2499*1.4*1.5*1.6*1.6*2.2*2.715*2.6*1.4,6020000000*(1.651178^(MIN($E2499,123)-117)))*1,0))</f>
        <v>65985946</v>
      </c>
      <c r="AA2499" s="13">
        <f>$E2499+19</f>
        <v>127</v>
      </c>
      <c r="AB2499" s="14">
        <f>IF($J2499=0,0,ROUND(MAX($J2499*1.4*1.5*1.6*1.6*2.2*2.715*2.6*1.4*1.4,8430000000*(1.651435^(MIN($E2499,123)-117)))*1,0))</f>
        <v>92272909</v>
      </c>
      <c r="AC2499" s="11">
        <f>$E2499+21</f>
        <v>129</v>
      </c>
      <c r="AD2499" s="12">
        <f>IF($J2499=0,0,ROUND(MAX($J2499*1.4*1.5*1.6*1.6*2.2*2.715*2.6*1.4*1.4*1.5,12600000000*(1.652953^(MIN($E2499,123)-117)))*1,0))</f>
        <v>136781071</v>
      </c>
      <c r="AE2499" s="13">
        <f>$E2499+24</f>
        <v>132</v>
      </c>
      <c r="AF2499" s="14">
        <f>IF($J2499=0,0,ROUND(MAX($J2499*1.4*1.5*1.6*1.6*2.2*2.715*2.6*1.4*1.4*1.5*1.5,18900000000*(1.65331^(MIN($E2499,123)-117)))*1,0))</f>
        <v>204773225</v>
      </c>
      <c r="AG2499" s="11">
        <f>$E2499+27</f>
        <v>135</v>
      </c>
      <c r="AH2499" s="12">
        <f>IF($J2499=0,0,ROUND(MAX($J2499*1.4*1.5*1.6*1.6*2.2*2.715*2.6*1.4*1.4*1.5*1.5*3.2,60500000000*(1.654288^(MIN($E2499,123)-117)))*1,0))</f>
        <v>652011566</v>
      </c>
    </row>
    <row r="2500" ht="28" customHeight="1" spans="1:34" x14ac:dyDescent="0.25">
      <c r="A2500">
        <v>2510</v>
      </c>
      <c r="B2500" t="s">
        <v>1515</v>
      </c>
      <c r="C2500" s="10" t="s">
        <v>1421</v>
      </c>
      <c r="D2500" t="s">
        <v>45</v>
      </c>
      <c r="E2500">
        <v>108</v>
      </c>
      <c r="F2500" t="s">
        <v>62</v>
      </c>
      <c r="G2500" t="s">
        <v>366</v>
      </c>
      <c r="H2500">
        <v>23</v>
      </c>
      <c r="I2500" s="11">
        <v>108</v>
      </c>
      <c r="J2500" s="12">
        <v>57500</v>
      </c>
      <c r="K2500" s="13">
        <f>$E2500+1</f>
        <v>109</v>
      </c>
      <c r="L2500" s="14">
        <f>IF($J2500=0,0,ROUND(MAX($J2500*1.4,1620000*(1.497923^(MIN($E2500,123)-117)))*1,0))</f>
        <v>80500</v>
      </c>
      <c r="M2500" s="11">
        <f>$E2500+2</f>
        <v>110</v>
      </c>
      <c r="N2500" s="12">
        <f>IF($J2500=0,0,ROUND(MAX($J2500*1.4*1.5,2190000*(1.580994^(MIN($E2500,123)-117)))*1,0))</f>
        <v>120750</v>
      </c>
      <c r="O2500" s="13">
        <f>$E2500+4</f>
        <v>112</v>
      </c>
      <c r="P2500" s="14">
        <f>IF($J2500=0,0,ROUND(MAX($J2500*1.4*1.5*1.6,3500000*(1.57975^(MIN($E2500,123)-117)))*1,0))</f>
        <v>193200</v>
      </c>
      <c r="Q2500" s="11">
        <f>$E2500+6</f>
        <v>114</v>
      </c>
      <c r="R2500" s="12">
        <f>IF($J2500=0,0,ROUND(MAX($J2500*1.4*1.5*1.6*1.6,13100000*(1.429962^(MIN($E2500,123)-117)))*1,0))</f>
        <v>524024</v>
      </c>
      <c r="S2500" s="13">
        <f>$E2500+8</f>
        <v>116</v>
      </c>
      <c r="T2500" s="14">
        <f>IF($J2500=0,0,ROUND(MAX($J2500*1.4*1.5*1.6*1.6*2.2,42600000*(1.576904^(MIN($E2500,123)-117)))*1,0))</f>
        <v>706582</v>
      </c>
      <c r="U2500" s="11">
        <f>$E2500+11</f>
        <v>119</v>
      </c>
      <c r="V2500" s="12">
        <f>IF($J2500=0,0,ROUND(MAX($J2500*1.4*1.5*1.6*1.6*2.2*2.715,354000000*(1.642074^(MIN($E2500,123)-117)))*1,0))</f>
        <v>4078202</v>
      </c>
      <c r="W2500" s="13">
        <f>$E2500+15</f>
        <v>123</v>
      </c>
      <c r="X2500" s="14">
        <f>IF($J2500=0,0,ROUND(MAX($J2500*1.4*1.5*1.6*1.6*2.2*2.715*2.6,3540000000*(1.579646^(MIN($E2500,123)-117)))*1,0))</f>
        <v>57804988</v>
      </c>
      <c r="Y2500" s="11">
        <f>$E2500+17</f>
        <v>125</v>
      </c>
      <c r="Z2500" s="12">
        <f>IF($J2500=0,0,ROUND(MAX($J2500*1.4*1.5*1.6*1.6*2.2*2.715*2.6*1.4,6020000000*(1.651178^(MIN($E2500,123)-117)))*1,0))</f>
        <v>65985946</v>
      </c>
      <c r="AA2500" s="13">
        <f>$E2500+19</f>
        <v>127</v>
      </c>
      <c r="AB2500" s="14">
        <f>IF($J2500=0,0,ROUND(MAX($J2500*1.4*1.5*1.6*1.6*2.2*2.715*2.6*1.4*1.4,8430000000*(1.651435^(MIN($E2500,123)-117)))*1,0))</f>
        <v>92272909</v>
      </c>
      <c r="AC2500" s="11">
        <f>$E2500+21</f>
        <v>129</v>
      </c>
      <c r="AD2500" s="12">
        <f>IF($J2500=0,0,ROUND(MAX($J2500*1.4*1.5*1.6*1.6*2.2*2.715*2.6*1.4*1.4*1.5,12600000000*(1.652953^(MIN($E2500,123)-117)))*1,0))</f>
        <v>136781071</v>
      </c>
      <c r="AE2500" s="13">
        <f>$E2500+24</f>
        <v>132</v>
      </c>
      <c r="AF2500" s="14">
        <f>IF($J2500=0,0,ROUND(MAX($J2500*1.4*1.5*1.6*1.6*2.2*2.715*2.6*1.4*1.4*1.5*1.5,18900000000*(1.65331^(MIN($E2500,123)-117)))*1,0))</f>
        <v>204773225</v>
      </c>
      <c r="AG2500" s="11">
        <f>$E2500+27</f>
        <v>135</v>
      </c>
      <c r="AH2500" s="12">
        <f>IF($J2500=0,0,ROUND(MAX($J2500*1.4*1.5*1.6*1.6*2.2*2.715*2.6*1.4*1.4*1.5*1.5*3.2,60500000000*(1.654288^(MIN($E2500,123)-117)))*1,0))</f>
        <v>652011566</v>
      </c>
    </row>
    <row r="2501" ht="28" customHeight="1" spans="1:34" x14ac:dyDescent="0.25">
      <c r="A2501">
        <v>2511</v>
      </c>
      <c r="B2501" t="s">
        <v>1516</v>
      </c>
      <c r="C2501" s="10" t="s">
        <v>1421</v>
      </c>
      <c r="D2501" t="s">
        <v>33</v>
      </c>
      <c r="E2501">
        <v>108</v>
      </c>
      <c r="F2501" t="s">
        <v>71</v>
      </c>
      <c r="G2501" t="s">
        <v>1517</v>
      </c>
      <c r="H2501">
        <v>23</v>
      </c>
      <c r="I2501" s="11">
        <v>108</v>
      </c>
      <c r="J2501" s="12">
        <v>91100</v>
      </c>
      <c r="K2501" s="13">
        <f>$E2501+1</f>
        <v>109</v>
      </c>
      <c r="L2501" s="14">
        <f>IF($J2501=0,0,ROUND(MAX($J2501*1.4,1620000*(1.497923^(MIN($E2501,123)-117)))*1,0))</f>
        <v>127540</v>
      </c>
      <c r="M2501" s="11">
        <f>$E2501+2</f>
        <v>110</v>
      </c>
      <c r="N2501" s="12">
        <f>IF($J2501=0,0,ROUND(MAX($J2501*1.4*1.5,2190000*(1.580994^(MIN($E2501,123)-117)))*1,0))</f>
        <v>191310</v>
      </c>
      <c r="O2501" s="13">
        <f>$E2501+4</f>
        <v>112</v>
      </c>
      <c r="P2501" s="14">
        <f>IF($J2501=0,0,ROUND(MAX($J2501*1.4*1.5*1.6,3500000*(1.57975^(MIN($E2501,123)-117)))*1,0))</f>
        <v>306096</v>
      </c>
      <c r="Q2501" s="11">
        <f>$E2501+6</f>
        <v>114</v>
      </c>
      <c r="R2501" s="12">
        <f>IF($J2501=0,0,ROUND(MAX($J2501*1.4*1.5*1.6*1.6,13100000*(1.429962^(MIN($E2501,123)-117)))*1,0))</f>
        <v>524024</v>
      </c>
      <c r="S2501" s="13">
        <f>$E2501+8</f>
        <v>116</v>
      </c>
      <c r="T2501" s="14">
        <f>IF($J2501=0,0,ROUND(MAX($J2501*1.4*1.5*1.6*1.6*2.2,42600000*(1.576904^(MIN($E2501,123)-117)))*1,0))</f>
        <v>1077458</v>
      </c>
      <c r="U2501" s="11">
        <f>$E2501+11</f>
        <v>119</v>
      </c>
      <c r="V2501" s="12">
        <f>IF($J2501=0,0,ROUND(MAX($J2501*1.4*1.5*1.6*1.6*2.2*2.715,354000000*(1.642074^(MIN($E2501,123)-117)))*1,0))</f>
        <v>4078202</v>
      </c>
      <c r="W2501" s="13">
        <f>$E2501+15</f>
        <v>123</v>
      </c>
      <c r="X2501" s="14">
        <f>IF($J2501=0,0,ROUND(MAX($J2501*1.4*1.5*1.6*1.6*2.2*2.715*2.6,3540000000*(1.579646^(MIN($E2501,123)-117)))*1,0))</f>
        <v>57804988</v>
      </c>
      <c r="Y2501" s="11">
        <f>$E2501+17</f>
        <v>125</v>
      </c>
      <c r="Z2501" s="12">
        <f>IF($J2501=0,0,ROUND(MAX($J2501*1.4*1.5*1.6*1.6*2.2*2.715*2.6*1.4,6020000000*(1.651178^(MIN($E2501,123)-117)))*1,0))</f>
        <v>65985946</v>
      </c>
      <c r="AA2501" s="13">
        <f>$E2501+19</f>
        <v>127</v>
      </c>
      <c r="AB2501" s="14">
        <f>IF($J2501=0,0,ROUND(MAX($J2501*1.4*1.5*1.6*1.6*2.2*2.715*2.6*1.4*1.4,8430000000*(1.651435^(MIN($E2501,123)-117)))*1,0))</f>
        <v>92272909</v>
      </c>
      <c r="AC2501" s="11">
        <f>$E2501+21</f>
        <v>129</v>
      </c>
      <c r="AD2501" s="12">
        <f>IF($J2501=0,0,ROUND(MAX($J2501*1.4*1.5*1.6*1.6*2.2*2.715*2.6*1.4*1.4*1.5,12600000000*(1.652953^(MIN($E2501,123)-117)))*1,0))</f>
        <v>136781071</v>
      </c>
      <c r="AE2501" s="13">
        <f>$E2501+24</f>
        <v>132</v>
      </c>
      <c r="AF2501" s="14">
        <f>IF($J2501=0,0,ROUND(MAX($J2501*1.4*1.5*1.6*1.6*2.2*2.715*2.6*1.4*1.4*1.5*1.5,18900000000*(1.65331^(MIN($E2501,123)-117)))*1,0))</f>
        <v>204773225</v>
      </c>
      <c r="AG2501" s="11">
        <f>$E2501+27</f>
        <v>135</v>
      </c>
      <c r="AH2501" s="12">
        <f>IF($J2501=0,0,ROUND(MAX($J2501*1.4*1.5*1.6*1.6*2.2*2.715*2.6*1.4*1.4*1.5*1.5*3.2,60500000000*(1.654288^(MIN($E2501,123)-117)))*1,0))</f>
        <v>652011566</v>
      </c>
    </row>
    <row r="2502" ht="28" customHeight="1" spans="1:34" x14ac:dyDescent="0.25">
      <c r="A2502">
        <v>2512</v>
      </c>
      <c r="B2502" t="s">
        <v>1518</v>
      </c>
      <c r="C2502" s="10" t="s">
        <v>1421</v>
      </c>
      <c r="D2502" t="s">
        <v>33</v>
      </c>
      <c r="E2502">
        <v>108</v>
      </c>
      <c r="F2502" t="s">
        <v>71</v>
      </c>
      <c r="G2502" t="s">
        <v>95</v>
      </c>
      <c r="H2502">
        <v>23</v>
      </c>
      <c r="I2502" s="11">
        <v>108</v>
      </c>
      <c r="J2502" s="12">
        <v>60600</v>
      </c>
      <c r="K2502" s="13">
        <f>$E2502+1</f>
        <v>109</v>
      </c>
      <c r="L2502" s="14">
        <f>IF($J2502=0,0,ROUND(MAX($J2502*1.4,1620000*(1.497923^(MIN($E2502,123)-117)))*1,0))</f>
        <v>84840</v>
      </c>
      <c r="M2502" s="11">
        <f>$E2502+2</f>
        <v>110</v>
      </c>
      <c r="N2502" s="12">
        <f>IF($J2502=0,0,ROUND(MAX($J2502*1.4*1.5,2190000*(1.580994^(MIN($E2502,123)-117)))*1,0))</f>
        <v>127260</v>
      </c>
      <c r="O2502" s="13">
        <f>$E2502+4</f>
        <v>112</v>
      </c>
      <c r="P2502" s="14">
        <f>IF($J2502=0,0,ROUND(MAX($J2502*1.4*1.5*1.6,3500000*(1.57975^(MIN($E2502,123)-117)))*1,0))</f>
        <v>203616</v>
      </c>
      <c r="Q2502" s="11">
        <f>$E2502+6</f>
        <v>114</v>
      </c>
      <c r="R2502" s="12">
        <f>IF($J2502=0,0,ROUND(MAX($J2502*1.4*1.5*1.6*1.6,13100000*(1.429962^(MIN($E2502,123)-117)))*1,0))</f>
        <v>524024</v>
      </c>
      <c r="S2502" s="13">
        <f>$E2502+8</f>
        <v>116</v>
      </c>
      <c r="T2502" s="14">
        <f>IF($J2502=0,0,ROUND(MAX($J2502*1.4*1.5*1.6*1.6*2.2,42600000*(1.576904^(MIN($E2502,123)-117)))*1,0))</f>
        <v>716728</v>
      </c>
      <c r="U2502" s="11">
        <f>$E2502+11</f>
        <v>119</v>
      </c>
      <c r="V2502" s="12">
        <f>IF($J2502=0,0,ROUND(MAX($J2502*1.4*1.5*1.6*1.6*2.2*2.715,354000000*(1.642074^(MIN($E2502,123)-117)))*1,0))</f>
        <v>4078202</v>
      </c>
      <c r="W2502" s="13">
        <f>$E2502+15</f>
        <v>123</v>
      </c>
      <c r="X2502" s="14">
        <f>IF($J2502=0,0,ROUND(MAX($J2502*1.4*1.5*1.6*1.6*2.2*2.715*2.6,3540000000*(1.579646^(MIN($E2502,123)-117)))*1,0))</f>
        <v>57804988</v>
      </c>
      <c r="Y2502" s="11">
        <f>$E2502+17</f>
        <v>125</v>
      </c>
      <c r="Z2502" s="12">
        <f>IF($J2502=0,0,ROUND(MAX($J2502*1.4*1.5*1.6*1.6*2.2*2.715*2.6*1.4,6020000000*(1.651178^(MIN($E2502,123)-117)))*1,0))</f>
        <v>65985946</v>
      </c>
      <c r="AA2502" s="13">
        <f>$E2502+19</f>
        <v>127</v>
      </c>
      <c r="AB2502" s="14">
        <f>IF($J2502=0,0,ROUND(MAX($J2502*1.4*1.5*1.6*1.6*2.2*2.715*2.6*1.4*1.4,8430000000*(1.651435^(MIN($E2502,123)-117)))*1,0))</f>
        <v>92272909</v>
      </c>
      <c r="AC2502" s="11">
        <f>$E2502+21</f>
        <v>129</v>
      </c>
      <c r="AD2502" s="12">
        <f>IF($J2502=0,0,ROUND(MAX($J2502*1.4*1.5*1.6*1.6*2.2*2.715*2.6*1.4*1.4*1.5,12600000000*(1.652953^(MIN($E2502,123)-117)))*1,0))</f>
        <v>136781071</v>
      </c>
      <c r="AE2502" s="13">
        <f>$E2502+24</f>
        <v>132</v>
      </c>
      <c r="AF2502" s="14">
        <f>IF($J2502=0,0,ROUND(MAX($J2502*1.4*1.5*1.6*1.6*2.2*2.715*2.6*1.4*1.4*1.5*1.5,18900000000*(1.65331^(MIN($E2502,123)-117)))*1,0))</f>
        <v>204773225</v>
      </c>
      <c r="AG2502" s="11">
        <f>$E2502+27</f>
        <v>135</v>
      </c>
      <c r="AH2502" s="12">
        <f>IF($J2502=0,0,ROUND(MAX($J2502*1.4*1.5*1.6*1.6*2.2*2.715*2.6*1.4*1.4*1.5*1.5*3.2,60500000000*(1.654288^(MIN($E2502,123)-117)))*1,0))</f>
        <v>652011566</v>
      </c>
    </row>
    <row r="2503" ht="28" customHeight="1" spans="1:34" x14ac:dyDescent="0.25">
      <c r="A2503">
        <v>2513</v>
      </c>
      <c r="B2503" t="s">
        <v>1519</v>
      </c>
      <c r="C2503" s="10" t="s">
        <v>1421</v>
      </c>
      <c r="D2503" t="s">
        <v>75</v>
      </c>
      <c r="E2503">
        <v>108</v>
      </c>
      <c r="F2503" t="s">
        <v>71</v>
      </c>
      <c r="G2503" t="s">
        <v>326</v>
      </c>
      <c r="H2503">
        <v>23</v>
      </c>
      <c r="I2503" s="11">
        <v>108</v>
      </c>
      <c r="J2503" s="12">
        <v>38100</v>
      </c>
      <c r="K2503" s="13">
        <f>$E2503+1</f>
        <v>109</v>
      </c>
      <c r="L2503" s="14">
        <f>IF($J2503=0,0,ROUND(MAX($J2503*1.4,1620000*(1.497923^(MIN($E2503,123)-117)))*1,0))</f>
        <v>53340</v>
      </c>
      <c r="M2503" s="11">
        <f>$E2503+2</f>
        <v>110</v>
      </c>
      <c r="N2503" s="12">
        <f>IF($J2503=0,0,ROUND(MAX($J2503*1.4*1.5,2190000*(1.580994^(MIN($E2503,123)-117)))*1,0))</f>
        <v>80010</v>
      </c>
      <c r="O2503" s="13">
        <f>$E2503+4</f>
        <v>112</v>
      </c>
      <c r="P2503" s="14">
        <f>IF($J2503=0,0,ROUND(MAX($J2503*1.4*1.5*1.6,3500000*(1.57975^(MIN($E2503,123)-117)))*1,0))</f>
        <v>128016</v>
      </c>
      <c r="Q2503" s="11">
        <f>$E2503+6</f>
        <v>114</v>
      </c>
      <c r="R2503" s="12">
        <f>IF($J2503=0,0,ROUND(MAX($J2503*1.4*1.5*1.6*1.6,13100000*(1.429962^(MIN($E2503,123)-117)))*1,0))</f>
        <v>524024</v>
      </c>
      <c r="S2503" s="13">
        <f>$E2503+8</f>
        <v>116</v>
      </c>
      <c r="T2503" s="14">
        <f>IF($J2503=0,0,ROUND(MAX($J2503*1.4*1.5*1.6*1.6*2.2,42600000*(1.576904^(MIN($E2503,123)-117)))*1,0))</f>
        <v>706582</v>
      </c>
      <c r="U2503" s="11">
        <f>$E2503+11</f>
        <v>119</v>
      </c>
      <c r="V2503" s="12">
        <f>IF($J2503=0,0,ROUND(MAX($J2503*1.4*1.5*1.6*1.6*2.2*2.715,354000000*(1.642074^(MIN($E2503,123)-117)))*1,0))</f>
        <v>4078202</v>
      </c>
      <c r="W2503" s="13">
        <f>$E2503+15</f>
        <v>123</v>
      </c>
      <c r="X2503" s="14">
        <f>IF($J2503=0,0,ROUND(MAX($J2503*1.4*1.5*1.6*1.6*2.2*2.715*2.6,3540000000*(1.579646^(MIN($E2503,123)-117)))*1,0))</f>
        <v>57804988</v>
      </c>
      <c r="Y2503" s="11">
        <f>$E2503+17</f>
        <v>125</v>
      </c>
      <c r="Z2503" s="12">
        <f>IF($J2503=0,0,ROUND(MAX($J2503*1.4*1.5*1.6*1.6*2.2*2.715*2.6*1.4,6020000000*(1.651178^(MIN($E2503,123)-117)))*1,0))</f>
        <v>65985946</v>
      </c>
      <c r="AA2503" s="13">
        <f>$E2503+19</f>
        <v>127</v>
      </c>
      <c r="AB2503" s="14">
        <f>IF($J2503=0,0,ROUND(MAX($J2503*1.4*1.5*1.6*1.6*2.2*2.715*2.6*1.4*1.4,8430000000*(1.651435^(MIN($E2503,123)-117)))*1,0))</f>
        <v>92272909</v>
      </c>
      <c r="AC2503" s="11">
        <f>$E2503+21</f>
        <v>129</v>
      </c>
      <c r="AD2503" s="12">
        <f>IF($J2503=0,0,ROUND(MAX($J2503*1.4*1.5*1.6*1.6*2.2*2.715*2.6*1.4*1.4*1.5,12600000000*(1.652953^(MIN($E2503,123)-117)))*1,0))</f>
        <v>136781071</v>
      </c>
      <c r="AE2503" s="13">
        <f>$E2503+24</f>
        <v>132</v>
      </c>
      <c r="AF2503" s="14">
        <f>IF($J2503=0,0,ROUND(MAX($J2503*1.4*1.5*1.6*1.6*2.2*2.715*2.6*1.4*1.4*1.5*1.5,18900000000*(1.65331^(MIN($E2503,123)-117)))*1,0))</f>
        <v>204773225</v>
      </c>
      <c r="AG2503" s="11">
        <f>$E2503+27</f>
        <v>135</v>
      </c>
      <c r="AH2503" s="12">
        <f>IF($J2503=0,0,ROUND(MAX($J2503*1.4*1.5*1.6*1.6*2.2*2.715*2.6*1.4*1.4*1.5*1.5*3.2,60500000000*(1.654288^(MIN($E2503,123)-117)))*1,0))</f>
        <v>652011566</v>
      </c>
    </row>
    <row r="2504" ht="28" customHeight="1" spans="1:34" x14ac:dyDescent="0.25">
      <c r="A2504">
        <v>2514</v>
      </c>
      <c r="B2504" t="s">
        <v>1520</v>
      </c>
      <c r="C2504" s="10" t="s">
        <v>1421</v>
      </c>
      <c r="D2504" t="s">
        <v>90</v>
      </c>
      <c r="E2504">
        <v>108</v>
      </c>
      <c r="F2504" t="s">
        <v>71</v>
      </c>
      <c r="G2504" t="s">
        <v>398</v>
      </c>
      <c r="H2504">
        <v>23</v>
      </c>
      <c r="I2504" s="11">
        <v>108</v>
      </c>
      <c r="J2504" s="12">
        <v>60200</v>
      </c>
      <c r="K2504" s="13">
        <f>$E2504+1</f>
        <v>109</v>
      </c>
      <c r="L2504" s="14">
        <f>IF($J2504=0,0,ROUND(MAX($J2504*1.4,1620000*(1.497923^(MIN($E2504,123)-117)))*1,0))</f>
        <v>84280</v>
      </c>
      <c r="M2504" s="11">
        <f>$E2504+2</f>
        <v>110</v>
      </c>
      <c r="N2504" s="12">
        <f>IF($J2504=0,0,ROUND(MAX($J2504*1.4*1.5,2190000*(1.580994^(MIN($E2504,123)-117)))*1,0))</f>
        <v>126420</v>
      </c>
      <c r="O2504" s="13">
        <f>$E2504+4</f>
        <v>112</v>
      </c>
      <c r="P2504" s="14">
        <f>IF($J2504=0,0,ROUND(MAX($J2504*1.4*1.5*1.6,3500000*(1.57975^(MIN($E2504,123)-117)))*1,0))</f>
        <v>202272</v>
      </c>
      <c r="Q2504" s="11">
        <f>$E2504+6</f>
        <v>114</v>
      </c>
      <c r="R2504" s="12">
        <f>IF($J2504=0,0,ROUND(MAX($J2504*1.4*1.5*1.6*1.6,13100000*(1.429962^(MIN($E2504,123)-117)))*1,0))</f>
        <v>524024</v>
      </c>
      <c r="S2504" s="13">
        <f>$E2504+8</f>
        <v>116</v>
      </c>
      <c r="T2504" s="14">
        <f>IF($J2504=0,0,ROUND(MAX($J2504*1.4*1.5*1.6*1.6*2.2,42600000*(1.576904^(MIN($E2504,123)-117)))*1,0))</f>
        <v>711997</v>
      </c>
      <c r="U2504" s="11">
        <f>$E2504+11</f>
        <v>119</v>
      </c>
      <c r="V2504" s="12">
        <f>IF($J2504=0,0,ROUND(MAX($J2504*1.4*1.5*1.6*1.6*2.2*2.715,354000000*(1.642074^(MIN($E2504,123)-117)))*1,0))</f>
        <v>4078202</v>
      </c>
      <c r="W2504" s="13">
        <f>$E2504+15</f>
        <v>123</v>
      </c>
      <c r="X2504" s="14">
        <f>IF($J2504=0,0,ROUND(MAX($J2504*1.4*1.5*1.6*1.6*2.2*2.715*2.6,3540000000*(1.579646^(MIN($E2504,123)-117)))*1,0))</f>
        <v>57804988</v>
      </c>
      <c r="Y2504" s="11">
        <f>$E2504+17</f>
        <v>125</v>
      </c>
      <c r="Z2504" s="12">
        <f>IF($J2504=0,0,ROUND(MAX($J2504*1.4*1.5*1.6*1.6*2.2*2.715*2.6*1.4,6020000000*(1.651178^(MIN($E2504,123)-117)))*1,0))</f>
        <v>65985946</v>
      </c>
      <c r="AA2504" s="13">
        <f>$E2504+19</f>
        <v>127</v>
      </c>
      <c r="AB2504" s="14">
        <f>IF($J2504=0,0,ROUND(MAX($J2504*1.4*1.5*1.6*1.6*2.2*2.715*2.6*1.4*1.4,8430000000*(1.651435^(MIN($E2504,123)-117)))*1,0))</f>
        <v>92272909</v>
      </c>
      <c r="AC2504" s="11">
        <f>$E2504+21</f>
        <v>129</v>
      </c>
      <c r="AD2504" s="12">
        <f>IF($J2504=0,0,ROUND(MAX($J2504*1.4*1.5*1.6*1.6*2.2*2.715*2.6*1.4*1.4*1.5,12600000000*(1.652953^(MIN($E2504,123)-117)))*1,0))</f>
        <v>136781071</v>
      </c>
      <c r="AE2504" s="13">
        <f>$E2504+24</f>
        <v>132</v>
      </c>
      <c r="AF2504" s="14">
        <f>IF($J2504=0,0,ROUND(MAX($J2504*1.4*1.5*1.6*1.6*2.2*2.715*2.6*1.4*1.4*1.5*1.5,18900000000*(1.65331^(MIN($E2504,123)-117)))*1,0))</f>
        <v>204773225</v>
      </c>
      <c r="AG2504" s="11">
        <f>$E2504+27</f>
        <v>135</v>
      </c>
      <c r="AH2504" s="12">
        <f>IF($J2504=0,0,ROUND(MAX($J2504*1.4*1.5*1.6*1.6*2.2*2.715*2.6*1.4*1.4*1.5*1.5*3.2,60500000000*(1.654288^(MIN($E2504,123)-117)))*1,0))</f>
        <v>652011566</v>
      </c>
    </row>
    <row r="2505" ht="28" customHeight="1" spans="1:34" x14ac:dyDescent="0.25">
      <c r="A2505">
        <v>2515</v>
      </c>
      <c r="B2505" t="s">
        <v>1521</v>
      </c>
      <c r="C2505" s="10" t="s">
        <v>1421</v>
      </c>
      <c r="D2505" t="s">
        <v>33</v>
      </c>
      <c r="E2505">
        <v>108</v>
      </c>
      <c r="F2505" t="s">
        <v>71</v>
      </c>
      <c r="G2505" t="s">
        <v>684</v>
      </c>
      <c r="H2505">
        <v>23</v>
      </c>
      <c r="I2505" s="11">
        <v>108</v>
      </c>
      <c r="J2505" s="12">
        <v>40200</v>
      </c>
      <c r="K2505" s="13">
        <f>$E2505+1</f>
        <v>109</v>
      </c>
      <c r="L2505" s="14">
        <f>IF($J2505=0,0,ROUND(MAX($J2505*1.4,1620000*(1.497923^(MIN($E2505,123)-117)))*1,0))</f>
        <v>56280</v>
      </c>
      <c r="M2505" s="11">
        <f>$E2505+2</f>
        <v>110</v>
      </c>
      <c r="N2505" s="12">
        <f>IF($J2505=0,0,ROUND(MAX($J2505*1.4*1.5,2190000*(1.580994^(MIN($E2505,123)-117)))*1,0))</f>
        <v>84420</v>
      </c>
      <c r="O2505" s="13">
        <f>$E2505+4</f>
        <v>112</v>
      </c>
      <c r="P2505" s="14">
        <f>IF($J2505=0,0,ROUND(MAX($J2505*1.4*1.5*1.6,3500000*(1.57975^(MIN($E2505,123)-117)))*1,0))</f>
        <v>135072</v>
      </c>
      <c r="Q2505" s="11">
        <f>$E2505+6</f>
        <v>114</v>
      </c>
      <c r="R2505" s="12">
        <f>IF($J2505=0,0,ROUND(MAX($J2505*1.4*1.5*1.6*1.6,13100000*(1.429962^(MIN($E2505,123)-117)))*1,0))</f>
        <v>524024</v>
      </c>
      <c r="S2505" s="13">
        <f>$E2505+8</f>
        <v>116</v>
      </c>
      <c r="T2505" s="14">
        <f>IF($J2505=0,0,ROUND(MAX($J2505*1.4*1.5*1.6*1.6*2.2,42600000*(1.576904^(MIN($E2505,123)-117)))*1,0))</f>
        <v>706582</v>
      </c>
      <c r="U2505" s="11">
        <f>$E2505+11</f>
        <v>119</v>
      </c>
      <c r="V2505" s="12">
        <f>IF($J2505=0,0,ROUND(MAX($J2505*1.4*1.5*1.6*1.6*2.2*2.715,354000000*(1.642074^(MIN($E2505,123)-117)))*1,0))</f>
        <v>4078202</v>
      </c>
      <c r="W2505" s="13">
        <f>$E2505+15</f>
        <v>123</v>
      </c>
      <c r="X2505" s="14">
        <f>IF($J2505=0,0,ROUND(MAX($J2505*1.4*1.5*1.6*1.6*2.2*2.715*2.6,3540000000*(1.579646^(MIN($E2505,123)-117)))*1,0))</f>
        <v>57804988</v>
      </c>
      <c r="Y2505" s="11">
        <f>$E2505+17</f>
        <v>125</v>
      </c>
      <c r="Z2505" s="12">
        <f>IF($J2505=0,0,ROUND(MAX($J2505*1.4*1.5*1.6*1.6*2.2*2.715*2.6*1.4,6020000000*(1.651178^(MIN($E2505,123)-117)))*1,0))</f>
        <v>65985946</v>
      </c>
      <c r="AA2505" s="13">
        <f>$E2505+19</f>
        <v>127</v>
      </c>
      <c r="AB2505" s="14">
        <f>IF($J2505=0,0,ROUND(MAX($J2505*1.4*1.5*1.6*1.6*2.2*2.715*2.6*1.4*1.4,8430000000*(1.651435^(MIN($E2505,123)-117)))*1,0))</f>
        <v>92272909</v>
      </c>
      <c r="AC2505" s="11">
        <f>$E2505+21</f>
        <v>129</v>
      </c>
      <c r="AD2505" s="12">
        <f>IF($J2505=0,0,ROUND(MAX($J2505*1.4*1.5*1.6*1.6*2.2*2.715*2.6*1.4*1.4*1.5,12600000000*(1.652953^(MIN($E2505,123)-117)))*1,0))</f>
        <v>136781071</v>
      </c>
      <c r="AE2505" s="13">
        <f>$E2505+24</f>
        <v>132</v>
      </c>
      <c r="AF2505" s="14">
        <f>IF($J2505=0,0,ROUND(MAX($J2505*1.4*1.5*1.6*1.6*2.2*2.715*2.6*1.4*1.4*1.5*1.5,18900000000*(1.65331^(MIN($E2505,123)-117)))*1,0))</f>
        <v>204773225</v>
      </c>
      <c r="AG2505" s="11">
        <f>$E2505+27</f>
        <v>135</v>
      </c>
      <c r="AH2505" s="12">
        <f>IF($J2505=0,0,ROUND(MAX($J2505*1.4*1.5*1.6*1.6*2.2*2.715*2.6*1.4*1.4*1.5*1.5*3.2,60500000000*(1.654288^(MIN($E2505,123)-117)))*1,0))</f>
        <v>652011566</v>
      </c>
    </row>
    <row r="2506" ht="28" customHeight="1" spans="1:34" x14ac:dyDescent="0.25">
      <c r="A2506">
        <v>2516</v>
      </c>
      <c r="B2506" t="s">
        <v>1522</v>
      </c>
      <c r="C2506" s="10" t="s">
        <v>1421</v>
      </c>
      <c r="D2506" t="s">
        <v>90</v>
      </c>
      <c r="E2506">
        <v>108</v>
      </c>
      <c r="F2506" t="s">
        <v>54</v>
      </c>
      <c r="G2506" t="s">
        <v>379</v>
      </c>
      <c r="H2506">
        <v>23</v>
      </c>
      <c r="I2506" s="11">
        <v>108</v>
      </c>
      <c r="J2506" s="12">
        <v>49600</v>
      </c>
      <c r="K2506" s="13">
        <f>$E2506+1</f>
        <v>109</v>
      </c>
      <c r="L2506" s="14">
        <f>IF($J2506=0,0,ROUND(MAX($J2506*1.4,1620000*(1.497923^(MIN($E2506,123)-117)))*1,0))</f>
        <v>69440</v>
      </c>
      <c r="M2506" s="11">
        <f>$E2506+2</f>
        <v>110</v>
      </c>
      <c r="N2506" s="12">
        <f>IF($J2506=0,0,ROUND(MAX($J2506*1.4*1.5,2190000*(1.580994^(MIN($E2506,123)-117)))*1,0))</f>
        <v>104160</v>
      </c>
      <c r="O2506" s="13">
        <f>$E2506+4</f>
        <v>112</v>
      </c>
      <c r="P2506" s="14">
        <f>IF($J2506=0,0,ROUND(MAX($J2506*1.4*1.5*1.6,3500000*(1.57975^(MIN($E2506,123)-117)))*1,0))</f>
        <v>166656</v>
      </c>
      <c r="Q2506" s="11">
        <f>$E2506+6</f>
        <v>114</v>
      </c>
      <c r="R2506" s="12">
        <f>IF($J2506=0,0,ROUND(MAX($J2506*1.4*1.5*1.6*1.6,13100000*(1.429962^(MIN($E2506,123)-117)))*1,0))</f>
        <v>524024</v>
      </c>
      <c r="S2506" s="13">
        <f>$E2506+8</f>
        <v>116</v>
      </c>
      <c r="T2506" s="14">
        <f>IF($J2506=0,0,ROUND(MAX($J2506*1.4*1.5*1.6*1.6*2.2,42600000*(1.576904^(MIN($E2506,123)-117)))*1,0))</f>
        <v>706582</v>
      </c>
      <c r="U2506" s="11">
        <f>$E2506+11</f>
        <v>119</v>
      </c>
      <c r="V2506" s="12">
        <f>IF($J2506=0,0,ROUND(MAX($J2506*1.4*1.5*1.6*1.6*2.2*2.715,354000000*(1.642074^(MIN($E2506,123)-117)))*1,0))</f>
        <v>4078202</v>
      </c>
      <c r="W2506" s="13">
        <f>$E2506+15</f>
        <v>123</v>
      </c>
      <c r="X2506" s="14">
        <f>IF($J2506=0,0,ROUND(MAX($J2506*1.4*1.5*1.6*1.6*2.2*2.715*2.6,3540000000*(1.579646^(MIN($E2506,123)-117)))*1,0))</f>
        <v>57804988</v>
      </c>
      <c r="Y2506" s="11">
        <f>$E2506+17</f>
        <v>125</v>
      </c>
      <c r="Z2506" s="12">
        <f>IF($J2506=0,0,ROUND(MAX($J2506*1.4*1.5*1.6*1.6*2.2*2.715*2.6*1.4,6020000000*(1.651178^(MIN($E2506,123)-117)))*1,0))</f>
        <v>65985946</v>
      </c>
      <c r="AA2506" s="13">
        <f>$E2506+19</f>
        <v>127</v>
      </c>
      <c r="AB2506" s="14">
        <f>IF($J2506=0,0,ROUND(MAX($J2506*1.4*1.5*1.6*1.6*2.2*2.715*2.6*1.4*1.4,8430000000*(1.651435^(MIN($E2506,123)-117)))*1,0))</f>
        <v>92272909</v>
      </c>
      <c r="AC2506" s="11">
        <f>$E2506+21</f>
        <v>129</v>
      </c>
      <c r="AD2506" s="12">
        <f>IF($J2506=0,0,ROUND(MAX($J2506*1.4*1.5*1.6*1.6*2.2*2.715*2.6*1.4*1.4*1.5,12600000000*(1.652953^(MIN($E2506,123)-117)))*1,0))</f>
        <v>136781071</v>
      </c>
      <c r="AE2506" s="13">
        <f>$E2506+24</f>
        <v>132</v>
      </c>
      <c r="AF2506" s="14">
        <f>IF($J2506=0,0,ROUND(MAX($J2506*1.4*1.5*1.6*1.6*2.2*2.715*2.6*1.4*1.4*1.5*1.5,18900000000*(1.65331^(MIN($E2506,123)-117)))*1,0))</f>
        <v>204773225</v>
      </c>
      <c r="AG2506" s="11">
        <f>$E2506+27</f>
        <v>135</v>
      </c>
      <c r="AH2506" s="12">
        <f>IF($J2506=0,0,ROUND(MAX($J2506*1.4*1.5*1.6*1.6*2.2*2.715*2.6*1.4*1.4*1.5*1.5*3.2,60500000000*(1.654288^(MIN($E2506,123)-117)))*1,0))</f>
        <v>652011566</v>
      </c>
    </row>
    <row r="2507" ht="28" customHeight="1" spans="1:34" x14ac:dyDescent="0.25">
      <c r="A2507">
        <v>2517</v>
      </c>
      <c r="B2507" t="s">
        <v>1523</v>
      </c>
      <c r="C2507" s="10" t="s">
        <v>1421</v>
      </c>
      <c r="D2507" t="s">
        <v>102</v>
      </c>
      <c r="E2507">
        <v>108</v>
      </c>
      <c r="F2507" t="s">
        <v>71</v>
      </c>
      <c r="G2507" t="s">
        <v>1024</v>
      </c>
      <c r="H2507">
        <v>23</v>
      </c>
      <c r="I2507" s="11">
        <v>108</v>
      </c>
      <c r="J2507" s="12">
        <v>65100</v>
      </c>
      <c r="K2507" s="13">
        <f>$E2507+1</f>
        <v>109</v>
      </c>
      <c r="L2507" s="14">
        <f>IF($J2507=0,0,ROUND(MAX($J2507*1.4,1620000*(1.497923^(MIN($E2507,123)-117)))*1,0))</f>
        <v>91140</v>
      </c>
      <c r="M2507" s="11">
        <f>$E2507+2</f>
        <v>110</v>
      </c>
      <c r="N2507" s="12">
        <f>IF($J2507=0,0,ROUND(MAX($J2507*1.4*1.5,2190000*(1.580994^(MIN($E2507,123)-117)))*1,0))</f>
        <v>136710</v>
      </c>
      <c r="O2507" s="13">
        <f>$E2507+4</f>
        <v>112</v>
      </c>
      <c r="P2507" s="14">
        <f>IF($J2507=0,0,ROUND(MAX($J2507*1.4*1.5*1.6,3500000*(1.57975^(MIN($E2507,123)-117)))*1,0))</f>
        <v>218736</v>
      </c>
      <c r="Q2507" s="11">
        <f>$E2507+6</f>
        <v>114</v>
      </c>
      <c r="R2507" s="12">
        <f>IF($J2507=0,0,ROUND(MAX($J2507*1.4*1.5*1.6*1.6,13100000*(1.429962^(MIN($E2507,123)-117)))*1,0))</f>
        <v>524024</v>
      </c>
      <c r="S2507" s="13">
        <f>$E2507+8</f>
        <v>116</v>
      </c>
      <c r="T2507" s="14">
        <f>IF($J2507=0,0,ROUND(MAX($J2507*1.4*1.5*1.6*1.6*2.2,42600000*(1.576904^(MIN($E2507,123)-117)))*1,0))</f>
        <v>769951</v>
      </c>
      <c r="U2507" s="11">
        <f>$E2507+11</f>
        <v>119</v>
      </c>
      <c r="V2507" s="12">
        <f>IF($J2507=0,0,ROUND(MAX($J2507*1.4*1.5*1.6*1.6*2.2*2.715,354000000*(1.642074^(MIN($E2507,123)-117)))*1,0))</f>
        <v>4078202</v>
      </c>
      <c r="W2507" s="13">
        <f>$E2507+15</f>
        <v>123</v>
      </c>
      <c r="X2507" s="14">
        <f>IF($J2507=0,0,ROUND(MAX($J2507*1.4*1.5*1.6*1.6*2.2*2.715*2.6,3540000000*(1.579646^(MIN($E2507,123)-117)))*1,0))</f>
        <v>57804988</v>
      </c>
      <c r="Y2507" s="11">
        <f>$E2507+17</f>
        <v>125</v>
      </c>
      <c r="Z2507" s="12">
        <f>IF($J2507=0,0,ROUND(MAX($J2507*1.4*1.5*1.6*1.6*2.2*2.715*2.6*1.4,6020000000*(1.651178^(MIN($E2507,123)-117)))*1,0))</f>
        <v>65985946</v>
      </c>
      <c r="AA2507" s="13">
        <f>$E2507+19</f>
        <v>127</v>
      </c>
      <c r="AB2507" s="14">
        <f>IF($J2507=0,0,ROUND(MAX($J2507*1.4*1.5*1.6*1.6*2.2*2.715*2.6*1.4*1.4,8430000000*(1.651435^(MIN($E2507,123)-117)))*1,0))</f>
        <v>92272909</v>
      </c>
      <c r="AC2507" s="11">
        <f>$E2507+21</f>
        <v>129</v>
      </c>
      <c r="AD2507" s="12">
        <f>IF($J2507=0,0,ROUND(MAX($J2507*1.4*1.5*1.6*1.6*2.2*2.715*2.6*1.4*1.4*1.5,12600000000*(1.652953^(MIN($E2507,123)-117)))*1,0))</f>
        <v>136781071</v>
      </c>
      <c r="AE2507" s="13">
        <f>$E2507+24</f>
        <v>132</v>
      </c>
      <c r="AF2507" s="14">
        <f>IF($J2507=0,0,ROUND(MAX($J2507*1.4*1.5*1.6*1.6*2.2*2.715*2.6*1.4*1.4*1.5*1.5,18900000000*(1.65331^(MIN($E2507,123)-117)))*1,0))</f>
        <v>204773225</v>
      </c>
      <c r="AG2507" s="11">
        <f>$E2507+27</f>
        <v>135</v>
      </c>
      <c r="AH2507" s="12">
        <f>IF($J2507=0,0,ROUND(MAX($J2507*1.4*1.5*1.6*1.6*2.2*2.715*2.6*1.4*1.4*1.5*1.5*3.2,60500000000*(1.654288^(MIN($E2507,123)-117)))*1,0))</f>
        <v>652011566</v>
      </c>
    </row>
    <row r="2508" ht="28" customHeight="1" spans="1:34" x14ac:dyDescent="0.25">
      <c r="A2508">
        <v>2518</v>
      </c>
      <c r="B2508" t="s">
        <v>1388</v>
      </c>
      <c r="C2508" s="10" t="s">
        <v>1421</v>
      </c>
      <c r="D2508" t="s">
        <v>33</v>
      </c>
      <c r="E2508">
        <v>108</v>
      </c>
      <c r="F2508" t="s">
        <v>71</v>
      </c>
      <c r="G2508" t="s">
        <v>880</v>
      </c>
      <c r="H2508">
        <v>23</v>
      </c>
      <c r="I2508" s="11">
        <v>108</v>
      </c>
      <c r="J2508" s="12">
        <v>243000</v>
      </c>
      <c r="K2508" s="13">
        <f>$E2508+1</f>
        <v>109</v>
      </c>
      <c r="L2508" s="14">
        <f>IF($J2508=0,0,ROUND(MAX($J2508*1.4,1620000*(1.497923^(MIN($E2508,123)-117)))*1,0))</f>
        <v>340200</v>
      </c>
      <c r="M2508" s="11">
        <f>$E2508+2</f>
        <v>110</v>
      </c>
      <c r="N2508" s="12">
        <f>IF($J2508=0,0,ROUND(MAX($J2508*1.4*1.5,2190000*(1.580994^(MIN($E2508,123)-117)))*1,0))</f>
        <v>510300</v>
      </c>
      <c r="O2508" s="13">
        <f>$E2508+4</f>
        <v>112</v>
      </c>
      <c r="P2508" s="14">
        <f>IF($J2508=0,0,ROUND(MAX($J2508*1.4*1.5*1.6,3500000*(1.57975^(MIN($E2508,123)-117)))*1,0))</f>
        <v>816480</v>
      </c>
      <c r="Q2508" s="11">
        <f>$E2508+6</f>
        <v>114</v>
      </c>
      <c r="R2508" s="12">
        <f>IF($J2508=0,0,ROUND(MAX($J2508*1.4*1.5*1.6*1.6,13100000*(1.429962^(MIN($E2508,123)-117)))*1,0))</f>
        <v>1306368</v>
      </c>
      <c r="S2508" s="13">
        <f>$E2508+8</f>
        <v>116</v>
      </c>
      <c r="T2508" s="14">
        <f>IF($J2508=0,0,ROUND(MAX($J2508*1.4*1.5*1.6*1.6*2.2,42600000*(1.576904^(MIN($E2508,123)-117)))*1,0))</f>
        <v>2874010</v>
      </c>
      <c r="U2508" s="11">
        <f>$E2508+11</f>
        <v>119</v>
      </c>
      <c r="V2508" s="12">
        <f>IF($J2508=0,0,ROUND(MAX($J2508*1.4*1.5*1.6*1.6*2.2*2.715,354000000*(1.642074^(MIN($E2508,123)-117)))*1,0))</f>
        <v>7802936</v>
      </c>
      <c r="W2508" s="13">
        <f>$E2508+15</f>
        <v>123</v>
      </c>
      <c r="X2508" s="14">
        <f>IF($J2508=0,0,ROUND(MAX($J2508*1.4*1.5*1.6*1.6*2.2*2.715*2.6,3540000000*(1.579646^(MIN($E2508,123)-117)))*1,0))</f>
        <v>57804988</v>
      </c>
      <c r="Y2508" s="11">
        <f>$E2508+17</f>
        <v>125</v>
      </c>
      <c r="Z2508" s="12">
        <f>IF($J2508=0,0,ROUND(MAX($J2508*1.4*1.5*1.6*1.6*2.2*2.715*2.6*1.4,6020000000*(1.651178^(MIN($E2508,123)-117)))*1,0))</f>
        <v>65985946</v>
      </c>
      <c r="AA2508" s="13">
        <f>$E2508+19</f>
        <v>127</v>
      </c>
      <c r="AB2508" s="14">
        <f>IF($J2508=0,0,ROUND(MAX($J2508*1.4*1.5*1.6*1.6*2.2*2.715*2.6*1.4*1.4,8430000000*(1.651435^(MIN($E2508,123)-117)))*1,0))</f>
        <v>92272909</v>
      </c>
      <c r="AC2508" s="11">
        <f>$E2508+21</f>
        <v>129</v>
      </c>
      <c r="AD2508" s="12">
        <f>IF($J2508=0,0,ROUND(MAX($J2508*1.4*1.5*1.6*1.6*2.2*2.715*2.6*1.4*1.4*1.5,12600000000*(1.652953^(MIN($E2508,123)-117)))*1,0))</f>
        <v>136781071</v>
      </c>
      <c r="AE2508" s="13">
        <f>$E2508+24</f>
        <v>132</v>
      </c>
      <c r="AF2508" s="14">
        <f>IF($J2508=0,0,ROUND(MAX($J2508*1.4*1.5*1.6*1.6*2.2*2.715*2.6*1.4*1.4*1.5*1.5,18900000000*(1.65331^(MIN($E2508,123)-117)))*1,0))</f>
        <v>204773225</v>
      </c>
      <c r="AG2508" s="11">
        <f>$E2508+27</f>
        <v>135</v>
      </c>
      <c r="AH2508" s="12">
        <f>IF($J2508=0,0,ROUND(MAX($J2508*1.4*1.5*1.6*1.6*2.2*2.715*2.6*1.4*1.4*1.5*1.5*3.2,60500000000*(1.654288^(MIN($E2508,123)-117)))*1,0))</f>
        <v>652011566</v>
      </c>
    </row>
    <row r="2509" ht="28" customHeight="1" spans="1:34" x14ac:dyDescent="0.25">
      <c r="A2509">
        <v>2519</v>
      </c>
      <c r="B2509" t="s">
        <v>1524</v>
      </c>
      <c r="C2509" s="10" t="s">
        <v>1421</v>
      </c>
      <c r="D2509" t="s">
        <v>90</v>
      </c>
      <c r="E2509">
        <v>108</v>
      </c>
      <c r="F2509" t="s">
        <v>71</v>
      </c>
      <c r="G2509" t="s">
        <v>684</v>
      </c>
      <c r="H2509">
        <v>23</v>
      </c>
      <c r="I2509" s="11">
        <v>108</v>
      </c>
      <c r="J2509" s="12">
        <v>113000</v>
      </c>
      <c r="K2509" s="13">
        <f>$E2509+1</f>
        <v>109</v>
      </c>
      <c r="L2509" s="14">
        <f>IF($J2509=0,0,ROUND(MAX($J2509*1.4,1620000*(1.497923^(MIN($E2509,123)-117)))*1,0))</f>
        <v>158200</v>
      </c>
      <c r="M2509" s="11">
        <f>$E2509+2</f>
        <v>110</v>
      </c>
      <c r="N2509" s="12">
        <f>IF($J2509=0,0,ROUND(MAX($J2509*1.4*1.5,2190000*(1.580994^(MIN($E2509,123)-117)))*1,0))</f>
        <v>237300</v>
      </c>
      <c r="O2509" s="13">
        <f>$E2509+4</f>
        <v>112</v>
      </c>
      <c r="P2509" s="14">
        <f>IF($J2509=0,0,ROUND(MAX($J2509*1.4*1.5*1.6,3500000*(1.57975^(MIN($E2509,123)-117)))*1,0))</f>
        <v>379680</v>
      </c>
      <c r="Q2509" s="11">
        <f>$E2509+6</f>
        <v>114</v>
      </c>
      <c r="R2509" s="12">
        <f>IF($J2509=0,0,ROUND(MAX($J2509*1.4*1.5*1.6*1.6,13100000*(1.429962^(MIN($E2509,123)-117)))*1,0))</f>
        <v>607488</v>
      </c>
      <c r="S2509" s="13">
        <f>$E2509+8</f>
        <v>116</v>
      </c>
      <c r="T2509" s="14">
        <f>IF($J2509=0,0,ROUND(MAX($J2509*1.4*1.5*1.6*1.6*2.2,42600000*(1.576904^(MIN($E2509,123)-117)))*1,0))</f>
        <v>1336474</v>
      </c>
      <c r="U2509" s="11">
        <f>$E2509+11</f>
        <v>119</v>
      </c>
      <c r="V2509" s="12">
        <f>IF($J2509=0,0,ROUND(MAX($J2509*1.4*1.5*1.6*1.6*2.2*2.715,354000000*(1.642074^(MIN($E2509,123)-117)))*1,0))</f>
        <v>4078202</v>
      </c>
      <c r="W2509" s="13">
        <f>$E2509+15</f>
        <v>123</v>
      </c>
      <c r="X2509" s="14">
        <f>IF($J2509=0,0,ROUND(MAX($J2509*1.4*1.5*1.6*1.6*2.2*2.715*2.6,3540000000*(1.579646^(MIN($E2509,123)-117)))*1,0))</f>
        <v>57804988</v>
      </c>
      <c r="Y2509" s="11">
        <f>$E2509+17</f>
        <v>125</v>
      </c>
      <c r="Z2509" s="12">
        <f>IF($J2509=0,0,ROUND(MAX($J2509*1.4*1.5*1.6*1.6*2.2*2.715*2.6*1.4,6020000000*(1.651178^(MIN($E2509,123)-117)))*1,0))</f>
        <v>65985946</v>
      </c>
      <c r="AA2509" s="13">
        <f>$E2509+19</f>
        <v>127</v>
      </c>
      <c r="AB2509" s="14">
        <f>IF($J2509=0,0,ROUND(MAX($J2509*1.4*1.5*1.6*1.6*2.2*2.715*2.6*1.4*1.4,8430000000*(1.651435^(MIN($E2509,123)-117)))*1,0))</f>
        <v>92272909</v>
      </c>
      <c r="AC2509" s="11">
        <f>$E2509+21</f>
        <v>129</v>
      </c>
      <c r="AD2509" s="12">
        <f>IF($J2509=0,0,ROUND(MAX($J2509*1.4*1.5*1.6*1.6*2.2*2.715*2.6*1.4*1.4*1.5,12600000000*(1.652953^(MIN($E2509,123)-117)))*1,0))</f>
        <v>136781071</v>
      </c>
      <c r="AE2509" s="13">
        <f>$E2509+24</f>
        <v>132</v>
      </c>
      <c r="AF2509" s="14">
        <f>IF($J2509=0,0,ROUND(MAX($J2509*1.4*1.5*1.6*1.6*2.2*2.715*2.6*1.4*1.4*1.5*1.5,18900000000*(1.65331^(MIN($E2509,123)-117)))*1,0))</f>
        <v>204773225</v>
      </c>
      <c r="AG2509" s="11">
        <f>$E2509+27</f>
        <v>135</v>
      </c>
      <c r="AH2509" s="12">
        <f>IF($J2509=0,0,ROUND(MAX($J2509*1.4*1.5*1.6*1.6*2.2*2.715*2.6*1.4*1.4*1.5*1.5*3.2,60500000000*(1.654288^(MIN($E2509,123)-117)))*1,0))</f>
        <v>652011566</v>
      </c>
    </row>
    <row r="2510" ht="28" customHeight="1" spans="1:34" x14ac:dyDescent="0.25">
      <c r="A2510">
        <v>2520</v>
      </c>
      <c r="B2510" t="s">
        <v>1525</v>
      </c>
      <c r="C2510" s="10" t="s">
        <v>1421</v>
      </c>
      <c r="D2510" t="s">
        <v>33</v>
      </c>
      <c r="E2510">
        <v>108</v>
      </c>
      <c r="F2510" t="s">
        <v>34</v>
      </c>
      <c r="G2510" t="s">
        <v>290</v>
      </c>
      <c r="H2510">
        <v>23</v>
      </c>
      <c r="I2510" s="11">
        <v>108</v>
      </c>
      <c r="J2510" s="12">
        <v>79800</v>
      </c>
      <c r="K2510" s="13">
        <f>$E2510+1</f>
        <v>109</v>
      </c>
      <c r="L2510" s="14">
        <f>IF($J2510=0,0,ROUND(MAX($J2510*1.4,1620000*(1.497923^(MIN($E2510,123)-117)))*1,0))</f>
        <v>111720</v>
      </c>
      <c r="M2510" s="11">
        <f>$E2510+2</f>
        <v>110</v>
      </c>
      <c r="N2510" s="12">
        <f>IF($J2510=0,0,ROUND(MAX($J2510*1.4*1.5,2190000*(1.580994^(MIN($E2510,123)-117)))*1,0))</f>
        <v>167580</v>
      </c>
      <c r="O2510" s="13">
        <f>$E2510+4</f>
        <v>112</v>
      </c>
      <c r="P2510" s="14">
        <f>IF($J2510=0,0,ROUND(MAX($J2510*1.4*1.5*1.6,3500000*(1.57975^(MIN($E2510,123)-117)))*1,0))</f>
        <v>268128</v>
      </c>
      <c r="Q2510" s="11">
        <f>$E2510+6</f>
        <v>114</v>
      </c>
      <c r="R2510" s="12">
        <f>IF($J2510=0,0,ROUND(MAX($J2510*1.4*1.5*1.6*1.6,13100000*(1.429962^(MIN($E2510,123)-117)))*1,0))</f>
        <v>524024</v>
      </c>
      <c r="S2510" s="13">
        <f>$E2510+8</f>
        <v>116</v>
      </c>
      <c r="T2510" s="14">
        <f>IF($J2510=0,0,ROUND(MAX($J2510*1.4*1.5*1.6*1.6*2.2,42600000*(1.576904^(MIN($E2510,123)-117)))*1,0))</f>
        <v>943811</v>
      </c>
      <c r="U2510" s="11">
        <f>$E2510+11</f>
        <v>119</v>
      </c>
      <c r="V2510" s="12">
        <f>IF($J2510=0,0,ROUND(MAX($J2510*1.4*1.5*1.6*1.6*2.2*2.715,354000000*(1.642074^(MIN($E2510,123)-117)))*1,0))</f>
        <v>4078202</v>
      </c>
      <c r="W2510" s="13">
        <f>$E2510+15</f>
        <v>123</v>
      </c>
      <c r="X2510" s="14">
        <f>IF($J2510=0,0,ROUND(MAX($J2510*1.4*1.5*1.6*1.6*2.2*2.715*2.6,3540000000*(1.579646^(MIN($E2510,123)-117)))*1,0))</f>
        <v>57804988</v>
      </c>
      <c r="Y2510" s="11">
        <f>$E2510+17</f>
        <v>125</v>
      </c>
      <c r="Z2510" s="12">
        <f>IF($J2510=0,0,ROUND(MAX($J2510*1.4*1.5*1.6*1.6*2.2*2.715*2.6*1.4,6020000000*(1.651178^(MIN($E2510,123)-117)))*1,0))</f>
        <v>65985946</v>
      </c>
      <c r="AA2510" s="13">
        <f>$E2510+19</f>
        <v>127</v>
      </c>
      <c r="AB2510" s="14">
        <f>IF($J2510=0,0,ROUND(MAX($J2510*1.4*1.5*1.6*1.6*2.2*2.715*2.6*1.4*1.4,8430000000*(1.651435^(MIN($E2510,123)-117)))*1,0))</f>
        <v>92272909</v>
      </c>
      <c r="AC2510" s="11">
        <f>$E2510+21</f>
        <v>129</v>
      </c>
      <c r="AD2510" s="12">
        <f>IF($J2510=0,0,ROUND(MAX($J2510*1.4*1.5*1.6*1.6*2.2*2.715*2.6*1.4*1.4*1.5,12600000000*(1.652953^(MIN($E2510,123)-117)))*1,0))</f>
        <v>136781071</v>
      </c>
      <c r="AE2510" s="13">
        <f>$E2510+24</f>
        <v>132</v>
      </c>
      <c r="AF2510" s="14">
        <f>IF($J2510=0,0,ROUND(MAX($J2510*1.4*1.5*1.6*1.6*2.2*2.715*2.6*1.4*1.4*1.5*1.5,18900000000*(1.65331^(MIN($E2510,123)-117)))*1,0))</f>
        <v>204773225</v>
      </c>
      <c r="AG2510" s="11">
        <f>$E2510+27</f>
        <v>135</v>
      </c>
      <c r="AH2510" s="12">
        <f>IF($J2510=0,0,ROUND(MAX($J2510*1.4*1.5*1.6*1.6*2.2*2.715*2.6*1.4*1.4*1.5*1.5*3.2,60500000000*(1.654288^(MIN($E2510,123)-117)))*1,0))</f>
        <v>652011566</v>
      </c>
    </row>
    <row r="2511" ht="28" customHeight="1" spans="1:34" x14ac:dyDescent="0.25">
      <c r="A2511">
        <v>2521</v>
      </c>
      <c r="B2511" t="s">
        <v>1140</v>
      </c>
      <c r="C2511" s="10" t="s">
        <v>1421</v>
      </c>
      <c r="D2511" t="s">
        <v>33</v>
      </c>
      <c r="E2511">
        <v>108</v>
      </c>
      <c r="F2511" t="s">
        <v>298</v>
      </c>
      <c r="G2511" t="s">
        <v>329</v>
      </c>
      <c r="H2511">
        <v>23</v>
      </c>
      <c r="I2511" s="11">
        <v>108</v>
      </c>
      <c r="J2511" s="12">
        <v>72400</v>
      </c>
      <c r="K2511" s="13">
        <f>$E2511+1</f>
        <v>109</v>
      </c>
      <c r="L2511" s="14">
        <f>IF($J2511=0,0,ROUND(MAX($J2511*1.4,1620000*(1.497923^(MIN($E2511,123)-117)))*1,0))</f>
        <v>101360</v>
      </c>
      <c r="M2511" s="11">
        <f>$E2511+2</f>
        <v>110</v>
      </c>
      <c r="N2511" s="12">
        <f>IF($J2511=0,0,ROUND(MAX($J2511*1.4*1.5,2190000*(1.580994^(MIN($E2511,123)-117)))*1,0))</f>
        <v>152040</v>
      </c>
      <c r="O2511" s="13">
        <f>$E2511+4</f>
        <v>112</v>
      </c>
      <c r="P2511" s="14">
        <f>IF($J2511=0,0,ROUND(MAX($J2511*1.4*1.5*1.6,3500000*(1.57975^(MIN($E2511,123)-117)))*1,0))</f>
        <v>243264</v>
      </c>
      <c r="Q2511" s="11">
        <f>$E2511+6</f>
        <v>114</v>
      </c>
      <c r="R2511" s="12">
        <f>IF($J2511=0,0,ROUND(MAX($J2511*1.4*1.5*1.6*1.6,13100000*(1.429962^(MIN($E2511,123)-117)))*1,0))</f>
        <v>524024</v>
      </c>
      <c r="S2511" s="13">
        <f>$E2511+8</f>
        <v>116</v>
      </c>
      <c r="T2511" s="14">
        <f>IF($J2511=0,0,ROUND(MAX($J2511*1.4*1.5*1.6*1.6*2.2,42600000*(1.576904^(MIN($E2511,123)-117)))*1,0))</f>
        <v>856289</v>
      </c>
      <c r="U2511" s="11">
        <f>$E2511+11</f>
        <v>119</v>
      </c>
      <c r="V2511" s="12">
        <f>IF($J2511=0,0,ROUND(MAX($J2511*1.4*1.5*1.6*1.6*2.2*2.715,354000000*(1.642074^(MIN($E2511,123)-117)))*1,0))</f>
        <v>4078202</v>
      </c>
      <c r="W2511" s="13">
        <f>$E2511+15</f>
        <v>123</v>
      </c>
      <c r="X2511" s="14">
        <f>IF($J2511=0,0,ROUND(MAX($J2511*1.4*1.5*1.6*1.6*2.2*2.715*2.6,3540000000*(1.579646^(MIN($E2511,123)-117)))*1,0))</f>
        <v>57804988</v>
      </c>
      <c r="Y2511" s="11">
        <f>$E2511+17</f>
        <v>125</v>
      </c>
      <c r="Z2511" s="12">
        <f>IF($J2511=0,0,ROUND(MAX($J2511*1.4*1.5*1.6*1.6*2.2*2.715*2.6*1.4,6020000000*(1.651178^(MIN($E2511,123)-117)))*1,0))</f>
        <v>65985946</v>
      </c>
      <c r="AA2511" s="13">
        <f>$E2511+19</f>
        <v>127</v>
      </c>
      <c r="AB2511" s="14">
        <f>IF($J2511=0,0,ROUND(MAX($J2511*1.4*1.5*1.6*1.6*2.2*2.715*2.6*1.4*1.4,8430000000*(1.651435^(MIN($E2511,123)-117)))*1,0))</f>
        <v>92272909</v>
      </c>
      <c r="AC2511" s="11">
        <f>$E2511+21</f>
        <v>129</v>
      </c>
      <c r="AD2511" s="12">
        <f>IF($J2511=0,0,ROUND(MAX($J2511*1.4*1.5*1.6*1.6*2.2*2.715*2.6*1.4*1.4*1.5,12600000000*(1.652953^(MIN($E2511,123)-117)))*1,0))</f>
        <v>136781071</v>
      </c>
      <c r="AE2511" s="13">
        <f>$E2511+24</f>
        <v>132</v>
      </c>
      <c r="AF2511" s="14">
        <f>IF($J2511=0,0,ROUND(MAX($J2511*1.4*1.5*1.6*1.6*2.2*2.715*2.6*1.4*1.4*1.5*1.5,18900000000*(1.65331^(MIN($E2511,123)-117)))*1,0))</f>
        <v>204773225</v>
      </c>
      <c r="AG2511" s="11">
        <f>$E2511+27</f>
        <v>135</v>
      </c>
      <c r="AH2511" s="12">
        <f>IF($J2511=0,0,ROUND(MAX($J2511*1.4*1.5*1.6*1.6*2.2*2.715*2.6*1.4*1.4*1.5*1.5*3.2,60500000000*(1.654288^(MIN($E2511,123)-117)))*1,0))</f>
        <v>652011566</v>
      </c>
    </row>
    <row r="2512" ht="28" customHeight="1" spans="1:34" x14ac:dyDescent="0.25">
      <c r="A2512">
        <v>2522</v>
      </c>
      <c r="B2512" t="s">
        <v>280</v>
      </c>
      <c r="C2512" s="10" t="s">
        <v>1421</v>
      </c>
      <c r="D2512" t="s">
        <v>40</v>
      </c>
      <c r="E2512">
        <v>107</v>
      </c>
      <c r="F2512" t="s">
        <v>281</v>
      </c>
      <c r="G2512" t="s">
        <v>282</v>
      </c>
      <c r="H2512">
        <v>24</v>
      </c>
      <c r="I2512" s="11">
        <v>107</v>
      </c>
      <c r="J2512" s="12">
        <v>205000</v>
      </c>
      <c r="K2512" s="13">
        <f>$E2512+1</f>
        <v>108</v>
      </c>
      <c r="L2512" s="14">
        <f>IF($J2512=0,0,ROUND(MAX($J2512*1.4,1620000*(1.497923^(MIN($E2512,123)-117)))*1,0))</f>
        <v>287000</v>
      </c>
      <c r="M2512" s="11">
        <f>$E2512+2</f>
        <v>109</v>
      </c>
      <c r="N2512" s="12">
        <f>IF($J2512=0,0,ROUND(MAX($J2512*1.4*1.5,2190000*(1.580994^(MIN($E2512,123)-117)))*1,0))</f>
        <v>430500</v>
      </c>
      <c r="O2512" s="13">
        <f>$E2512+4</f>
        <v>111</v>
      </c>
      <c r="P2512" s="14">
        <f>IF($J2512=0,0,ROUND(MAX($J2512*1.4*1.5*1.6,3500000*(1.57975^(MIN($E2512,123)-117)))*1,0))</f>
        <v>688800</v>
      </c>
      <c r="Q2512" s="11">
        <f>$E2512+6</f>
        <v>113</v>
      </c>
      <c r="R2512" s="12">
        <f>IF($J2512=0,0,ROUND(MAX($J2512*1.4*1.5*1.6*1.6,13100000*(1.429962^(MIN($E2512,123)-117)))*1,0))</f>
        <v>1102080</v>
      </c>
      <c r="S2512" s="13">
        <f>$E2512+8</f>
        <v>115</v>
      </c>
      <c r="T2512" s="14">
        <f>IF($J2512=0,0,ROUND(MAX($J2512*1.4*1.5*1.6*1.6*2.2,42600000*(1.576904^(MIN($E2512,123)-117)))*1,0))</f>
        <v>2424576</v>
      </c>
      <c r="U2512" s="11">
        <f>$E2512+11</f>
        <v>118</v>
      </c>
      <c r="V2512" s="12">
        <f>IF($J2512=0,0,ROUND(MAX($J2512*1.4*1.5*1.6*1.6*2.2*2.715,354000000*(1.642074^(MIN($E2512,123)-117)))*1,0))</f>
        <v>6582724</v>
      </c>
      <c r="W2512" s="13">
        <f>$E2512+15</f>
        <v>122</v>
      </c>
      <c r="X2512" s="14">
        <f>IF($J2512=0,0,ROUND(MAX($J2512*1.4*1.5*1.6*1.6*2.2*2.715*2.6,3540000000*(1.579646^(MIN($E2512,123)-117)))*1,0))</f>
        <v>36593634</v>
      </c>
      <c r="Y2512" s="11">
        <f>$E2512+17</f>
        <v>124</v>
      </c>
      <c r="Z2512" s="12">
        <f>IF($J2512=0,0,ROUND(MAX($J2512*1.4*1.5*1.6*1.6*2.2*2.715*2.6*1.4,6020000000*(1.651178^(MIN($E2512,123)-117)))*1,0))</f>
        <v>39962952</v>
      </c>
      <c r="AA2512" s="13">
        <f>$E2512+19</f>
        <v>126</v>
      </c>
      <c r="AB2512" s="14">
        <f>IF($J2512=0,0,ROUND(MAX($J2512*1.4*1.5*1.6*1.6*2.2*2.715*2.6*1.4*1.4,8430000000*(1.651435^(MIN($E2512,123)-117)))*1,0))</f>
        <v>55874381</v>
      </c>
      <c r="AC2512" s="11">
        <f>$E2512+21</f>
        <v>128</v>
      </c>
      <c r="AD2512" s="12">
        <f>IF($J2512=0,0,ROUND(MAX($J2512*1.4*1.5*1.6*1.6*2.2*2.715*2.6*1.4*1.4*1.5,12600000000*(1.652953^(MIN($E2512,123)-117)))*1,0))</f>
        <v>82749522</v>
      </c>
      <c r="AE2512" s="13">
        <f>$E2512+24</f>
        <v>131</v>
      </c>
      <c r="AF2512" s="14">
        <f>IF($J2512=0,0,ROUND(MAX($J2512*1.4*1.5*1.6*1.6*2.2*2.715*2.6*1.4*1.4*1.5*1.5,18900000000*(1.65331^(MIN($E2512,123)-117)))*1,0))</f>
        <v>123856521</v>
      </c>
      <c r="AG2512" s="11">
        <f>$E2512+27</f>
        <v>134</v>
      </c>
      <c r="AH2512" s="12">
        <f>IF($J2512=0,0,ROUND(MAX($J2512*1.4*1.5*1.6*1.6*2.2*2.715*2.6*1.4*1.4*1.5*1.5*3.2,60500000000*(1.654288^(MIN($E2512,123)-117)))*1,0))</f>
        <v>394134254</v>
      </c>
    </row>
    <row r="2513" ht="28" customHeight="1" spans="1:34" x14ac:dyDescent="0.25">
      <c r="A2513">
        <v>2523</v>
      </c>
      <c r="B2513" t="s">
        <v>1526</v>
      </c>
      <c r="C2513" s="10" t="s">
        <v>1421</v>
      </c>
      <c r="D2513" t="s">
        <v>75</v>
      </c>
      <c r="E2513">
        <v>107</v>
      </c>
      <c r="F2513" t="s">
        <v>34</v>
      </c>
      <c r="G2513" t="s">
        <v>762</v>
      </c>
      <c r="H2513">
        <v>23</v>
      </c>
      <c r="I2513" s="11">
        <v>107</v>
      </c>
      <c r="J2513" s="12">
        <v>82200</v>
      </c>
      <c r="K2513" s="13">
        <f>$E2513+1</f>
        <v>108</v>
      </c>
      <c r="L2513" s="14">
        <f>IF($J2513=0,0,ROUND(MAX($J2513*1.4,1620000*(1.497923^(MIN($E2513,123)-117)))*1,0))</f>
        <v>115080</v>
      </c>
      <c r="M2513" s="11">
        <f>$E2513+2</f>
        <v>109</v>
      </c>
      <c r="N2513" s="12">
        <f>IF($J2513=0,0,ROUND(MAX($J2513*1.4*1.5,2190000*(1.580994^(MIN($E2513,123)-117)))*1,0))</f>
        <v>172620</v>
      </c>
      <c r="O2513" s="13">
        <f>$E2513+4</f>
        <v>111</v>
      </c>
      <c r="P2513" s="14">
        <f>IF($J2513=0,0,ROUND(MAX($J2513*1.4*1.5*1.6,3500000*(1.57975^(MIN($E2513,123)-117)))*1,0))</f>
        <v>276192</v>
      </c>
      <c r="Q2513" s="11">
        <f>$E2513+6</f>
        <v>113</v>
      </c>
      <c r="R2513" s="12">
        <f>IF($J2513=0,0,ROUND(MAX($J2513*1.4*1.5*1.6*1.6,13100000*(1.429962^(MIN($E2513,123)-117)))*1,0))</f>
        <v>441907</v>
      </c>
      <c r="S2513" s="13">
        <f>$E2513+8</f>
        <v>115</v>
      </c>
      <c r="T2513" s="14">
        <f>IF($J2513=0,0,ROUND(MAX($J2513*1.4*1.5*1.6*1.6*2.2,42600000*(1.576904^(MIN($E2513,123)-117)))*1,0))</f>
        <v>972196</v>
      </c>
      <c r="U2513" s="11">
        <f>$E2513+11</f>
        <v>118</v>
      </c>
      <c r="V2513" s="12">
        <f>IF($J2513=0,0,ROUND(MAX($J2513*1.4*1.5*1.6*1.6*2.2*2.715,354000000*(1.642074^(MIN($E2513,123)-117)))*1,0))</f>
        <v>2639512</v>
      </c>
      <c r="W2513" s="13">
        <f>$E2513+15</f>
        <v>122</v>
      </c>
      <c r="X2513" s="14">
        <f>IF($J2513=0,0,ROUND(MAX($J2513*1.4*1.5*1.6*1.6*2.2*2.715*2.6,3540000000*(1.579646^(MIN($E2513,123)-117)))*1,0))</f>
        <v>36593634</v>
      </c>
      <c r="Y2513" s="11">
        <f>$E2513+17</f>
        <v>124</v>
      </c>
      <c r="Z2513" s="12">
        <f>IF($J2513=0,0,ROUND(MAX($J2513*1.4*1.5*1.6*1.6*2.2*2.715*2.6*1.4,6020000000*(1.651178^(MIN($E2513,123)-117)))*1,0))</f>
        <v>39962952</v>
      </c>
      <c r="AA2513" s="13">
        <f>$E2513+19</f>
        <v>126</v>
      </c>
      <c r="AB2513" s="14">
        <f>IF($J2513=0,0,ROUND(MAX($J2513*1.4*1.5*1.6*1.6*2.2*2.715*2.6*1.4*1.4,8430000000*(1.651435^(MIN($E2513,123)-117)))*1,0))</f>
        <v>55874381</v>
      </c>
      <c r="AC2513" s="11">
        <f>$E2513+21</f>
        <v>128</v>
      </c>
      <c r="AD2513" s="12">
        <f>IF($J2513=0,0,ROUND(MAX($J2513*1.4*1.5*1.6*1.6*2.2*2.715*2.6*1.4*1.4*1.5,12600000000*(1.652953^(MIN($E2513,123)-117)))*1,0))</f>
        <v>82749522</v>
      </c>
      <c r="AE2513" s="13">
        <f>$E2513+24</f>
        <v>131</v>
      </c>
      <c r="AF2513" s="14">
        <f>IF($J2513=0,0,ROUND(MAX($J2513*1.4*1.5*1.6*1.6*2.2*2.715*2.6*1.4*1.4*1.5*1.5,18900000000*(1.65331^(MIN($E2513,123)-117)))*1,0))</f>
        <v>123856521</v>
      </c>
      <c r="AG2513" s="11">
        <f>$E2513+27</f>
        <v>134</v>
      </c>
      <c r="AH2513" s="12">
        <f>IF($J2513=0,0,ROUND(MAX($J2513*1.4*1.5*1.6*1.6*2.2*2.715*2.6*1.4*1.4*1.5*1.5*3.2,60500000000*(1.654288^(MIN($E2513,123)-117)))*1,0))</f>
        <v>394134254</v>
      </c>
    </row>
    <row r="2514" ht="28" customHeight="1" spans="1:34" x14ac:dyDescent="0.25">
      <c r="A2514">
        <v>2524</v>
      </c>
      <c r="B2514" t="s">
        <v>1527</v>
      </c>
      <c r="C2514" s="10" t="s">
        <v>1421</v>
      </c>
      <c r="D2514" t="s">
        <v>90</v>
      </c>
      <c r="E2514">
        <v>107</v>
      </c>
      <c r="F2514" t="s">
        <v>71</v>
      </c>
      <c r="G2514" t="s">
        <v>684</v>
      </c>
      <c r="H2514">
        <v>23</v>
      </c>
      <c r="I2514" s="11">
        <v>107</v>
      </c>
      <c r="J2514" s="12">
        <v>145000</v>
      </c>
      <c r="K2514" s="13">
        <f>$E2514+1</f>
        <v>108</v>
      </c>
      <c r="L2514" s="14">
        <f>IF($J2514=0,0,ROUND(MAX($J2514*1.4,1620000*(1.497923^(MIN($E2514,123)-117)))*1,0))</f>
        <v>203000</v>
      </c>
      <c r="M2514" s="11">
        <f>$E2514+2</f>
        <v>109</v>
      </c>
      <c r="N2514" s="12">
        <f>IF($J2514=0,0,ROUND(MAX($J2514*1.4*1.5,2190000*(1.580994^(MIN($E2514,123)-117)))*1,0))</f>
        <v>304500</v>
      </c>
      <c r="O2514" s="13">
        <f>$E2514+4</f>
        <v>111</v>
      </c>
      <c r="P2514" s="14">
        <f>IF($J2514=0,0,ROUND(MAX($J2514*1.4*1.5*1.6,3500000*(1.57975^(MIN($E2514,123)-117)))*1,0))</f>
        <v>487200</v>
      </c>
      <c r="Q2514" s="11">
        <f>$E2514+6</f>
        <v>113</v>
      </c>
      <c r="R2514" s="12">
        <f>IF($J2514=0,0,ROUND(MAX($J2514*1.4*1.5*1.6*1.6,13100000*(1.429962^(MIN($E2514,123)-117)))*1,0))</f>
        <v>779520</v>
      </c>
      <c r="S2514" s="13">
        <f>$E2514+8</f>
        <v>115</v>
      </c>
      <c r="T2514" s="14">
        <f>IF($J2514=0,0,ROUND(MAX($J2514*1.4*1.5*1.6*1.6*2.2,42600000*(1.576904^(MIN($E2514,123)-117)))*1,0))</f>
        <v>1714944</v>
      </c>
      <c r="U2514" s="11">
        <f>$E2514+11</f>
        <v>118</v>
      </c>
      <c r="V2514" s="12">
        <f>IF($J2514=0,0,ROUND(MAX($J2514*1.4*1.5*1.6*1.6*2.2*2.715,354000000*(1.642074^(MIN($E2514,123)-117)))*1,0))</f>
        <v>4656073</v>
      </c>
      <c r="W2514" s="13">
        <f>$E2514+15</f>
        <v>122</v>
      </c>
      <c r="X2514" s="14">
        <f>IF($J2514=0,0,ROUND(MAX($J2514*1.4*1.5*1.6*1.6*2.2*2.715*2.6,3540000000*(1.579646^(MIN($E2514,123)-117)))*1,0))</f>
        <v>36593634</v>
      </c>
      <c r="Y2514" s="11">
        <f>$E2514+17</f>
        <v>124</v>
      </c>
      <c r="Z2514" s="12">
        <f>IF($J2514=0,0,ROUND(MAX($J2514*1.4*1.5*1.6*1.6*2.2*2.715*2.6*1.4,6020000000*(1.651178^(MIN($E2514,123)-117)))*1,0))</f>
        <v>39962952</v>
      </c>
      <c r="AA2514" s="13">
        <f>$E2514+19</f>
        <v>126</v>
      </c>
      <c r="AB2514" s="14">
        <f>IF($J2514=0,0,ROUND(MAX($J2514*1.4*1.5*1.6*1.6*2.2*2.715*2.6*1.4*1.4,8430000000*(1.651435^(MIN($E2514,123)-117)))*1,0))</f>
        <v>55874381</v>
      </c>
      <c r="AC2514" s="11">
        <f>$E2514+21</f>
        <v>128</v>
      </c>
      <c r="AD2514" s="12">
        <f>IF($J2514=0,0,ROUND(MAX($J2514*1.4*1.5*1.6*1.6*2.2*2.715*2.6*1.4*1.4*1.5,12600000000*(1.652953^(MIN($E2514,123)-117)))*1,0))</f>
        <v>82749522</v>
      </c>
      <c r="AE2514" s="13">
        <f>$E2514+24</f>
        <v>131</v>
      </c>
      <c r="AF2514" s="14">
        <f>IF($J2514=0,0,ROUND(MAX($J2514*1.4*1.5*1.6*1.6*2.2*2.715*2.6*1.4*1.4*1.5*1.5,18900000000*(1.65331^(MIN($E2514,123)-117)))*1,0))</f>
        <v>123856521</v>
      </c>
      <c r="AG2514" s="11">
        <f>$E2514+27</f>
        <v>134</v>
      </c>
      <c r="AH2514" s="12">
        <f>IF($J2514=0,0,ROUND(MAX($J2514*1.4*1.5*1.6*1.6*2.2*2.715*2.6*1.4*1.4*1.5*1.5*3.2,60500000000*(1.654288^(MIN($E2514,123)-117)))*1,0))</f>
        <v>394134254</v>
      </c>
    </row>
    <row r="2515" ht="28" customHeight="1" spans="1:34" x14ac:dyDescent="0.25">
      <c r="A2515">
        <v>2525</v>
      </c>
      <c r="B2515" t="s">
        <v>1302</v>
      </c>
      <c r="C2515" s="10" t="s">
        <v>1421</v>
      </c>
      <c r="D2515" t="s">
        <v>45</v>
      </c>
      <c r="E2515">
        <v>107</v>
      </c>
      <c r="F2515" t="s">
        <v>62</v>
      </c>
      <c r="G2515" t="s">
        <v>1303</v>
      </c>
      <c r="H2515">
        <v>23</v>
      </c>
      <c r="I2515" s="11">
        <v>107</v>
      </c>
      <c r="J2515" s="12">
        <v>120000</v>
      </c>
      <c r="K2515" s="13">
        <f>$E2515+1</f>
        <v>108</v>
      </c>
      <c r="L2515" s="14">
        <f>IF($J2515=0,0,ROUND(MAX($J2515*1.4,1620000*(1.497923^(MIN($E2515,123)-117)))*1,0))</f>
        <v>168000</v>
      </c>
      <c r="M2515" s="11">
        <f>$E2515+2</f>
        <v>109</v>
      </c>
      <c r="N2515" s="12">
        <f>IF($J2515=0,0,ROUND(MAX($J2515*1.4*1.5,2190000*(1.580994^(MIN($E2515,123)-117)))*1,0))</f>
        <v>252000</v>
      </c>
      <c r="O2515" s="13">
        <f>$E2515+4</f>
        <v>111</v>
      </c>
      <c r="P2515" s="14">
        <f>IF($J2515=0,0,ROUND(MAX($J2515*1.4*1.5*1.6,3500000*(1.57975^(MIN($E2515,123)-117)))*1,0))</f>
        <v>403200</v>
      </c>
      <c r="Q2515" s="11">
        <f>$E2515+6</f>
        <v>113</v>
      </c>
      <c r="R2515" s="12">
        <f>IF($J2515=0,0,ROUND(MAX($J2515*1.4*1.5*1.6*1.6,13100000*(1.429962^(MIN($E2515,123)-117)))*1,0))</f>
        <v>645120</v>
      </c>
      <c r="S2515" s="13">
        <f>$E2515+8</f>
        <v>115</v>
      </c>
      <c r="T2515" s="14">
        <f>IF($J2515=0,0,ROUND(MAX($J2515*1.4*1.5*1.6*1.6*2.2,42600000*(1.576904^(MIN($E2515,123)-117)))*1,0))</f>
        <v>1419264</v>
      </c>
      <c r="U2515" s="11">
        <f>$E2515+11</f>
        <v>118</v>
      </c>
      <c r="V2515" s="12">
        <f>IF($J2515=0,0,ROUND(MAX($J2515*1.4*1.5*1.6*1.6*2.2*2.715,354000000*(1.642074^(MIN($E2515,123)-117)))*1,0))</f>
        <v>3853302</v>
      </c>
      <c r="W2515" s="13">
        <f>$E2515+15</f>
        <v>122</v>
      </c>
      <c r="X2515" s="14">
        <f>IF($J2515=0,0,ROUND(MAX($J2515*1.4*1.5*1.6*1.6*2.2*2.715*2.6,3540000000*(1.579646^(MIN($E2515,123)-117)))*1,0))</f>
        <v>36593634</v>
      </c>
      <c r="Y2515" s="11">
        <f>$E2515+17</f>
        <v>124</v>
      </c>
      <c r="Z2515" s="12">
        <f>IF($J2515=0,0,ROUND(MAX($J2515*1.4*1.5*1.6*1.6*2.2*2.715*2.6*1.4,6020000000*(1.651178^(MIN($E2515,123)-117)))*1,0))</f>
        <v>39962952</v>
      </c>
      <c r="AA2515" s="13">
        <f>$E2515+19</f>
        <v>126</v>
      </c>
      <c r="AB2515" s="14">
        <f>IF($J2515=0,0,ROUND(MAX($J2515*1.4*1.5*1.6*1.6*2.2*2.715*2.6*1.4*1.4,8430000000*(1.651435^(MIN($E2515,123)-117)))*1,0))</f>
        <v>55874381</v>
      </c>
      <c r="AC2515" s="11">
        <f>$E2515+21</f>
        <v>128</v>
      </c>
      <c r="AD2515" s="12">
        <f>IF($J2515=0,0,ROUND(MAX($J2515*1.4*1.5*1.6*1.6*2.2*2.715*2.6*1.4*1.4*1.5,12600000000*(1.652953^(MIN($E2515,123)-117)))*1,0))</f>
        <v>82749522</v>
      </c>
      <c r="AE2515" s="13">
        <f>$E2515+24</f>
        <v>131</v>
      </c>
      <c r="AF2515" s="14">
        <f>IF($J2515=0,0,ROUND(MAX($J2515*1.4*1.5*1.6*1.6*2.2*2.715*2.6*1.4*1.4*1.5*1.5,18900000000*(1.65331^(MIN($E2515,123)-117)))*1,0))</f>
        <v>123856521</v>
      </c>
      <c r="AG2515" s="11">
        <f>$E2515+27</f>
        <v>134</v>
      </c>
      <c r="AH2515" s="12">
        <f>IF($J2515=0,0,ROUND(MAX($J2515*1.4*1.5*1.6*1.6*2.2*2.715*2.6*1.4*1.4*1.5*1.5*3.2,60500000000*(1.654288^(MIN($E2515,123)-117)))*1,0))</f>
        <v>394134254</v>
      </c>
    </row>
    <row r="2516" ht="28" customHeight="1" spans="1:34" x14ac:dyDescent="0.25">
      <c r="A2516">
        <v>2526</v>
      </c>
      <c r="B2516" t="s">
        <v>1528</v>
      </c>
      <c r="C2516" s="10" t="s">
        <v>1421</v>
      </c>
      <c r="D2516" t="s">
        <v>25</v>
      </c>
      <c r="E2516">
        <v>107</v>
      </c>
      <c r="F2516" t="s">
        <v>71</v>
      </c>
      <c r="G2516" t="s">
        <v>982</v>
      </c>
      <c r="H2516">
        <v>23</v>
      </c>
      <c r="I2516" s="11">
        <v>107</v>
      </c>
      <c r="J2516" s="12">
        <v>105000</v>
      </c>
      <c r="K2516" s="13">
        <f>$E2516+1</f>
        <v>108</v>
      </c>
      <c r="L2516" s="14">
        <f>IF($J2516=0,0,ROUND(MAX($J2516*1.4,1620000*(1.497923^(MIN($E2516,123)-117)))*1,0))</f>
        <v>147000</v>
      </c>
      <c r="M2516" s="11">
        <f>$E2516+2</f>
        <v>109</v>
      </c>
      <c r="N2516" s="12">
        <f>IF($J2516=0,0,ROUND(MAX($J2516*1.4*1.5,2190000*(1.580994^(MIN($E2516,123)-117)))*1,0))</f>
        <v>220500</v>
      </c>
      <c r="O2516" s="13">
        <f>$E2516+4</f>
        <v>111</v>
      </c>
      <c r="P2516" s="14">
        <f>IF($J2516=0,0,ROUND(MAX($J2516*1.4*1.5*1.6,3500000*(1.57975^(MIN($E2516,123)-117)))*1,0))</f>
        <v>352800</v>
      </c>
      <c r="Q2516" s="11">
        <f>$E2516+6</f>
        <v>113</v>
      </c>
      <c r="R2516" s="12">
        <f>IF($J2516=0,0,ROUND(MAX($J2516*1.4*1.5*1.6*1.6,13100000*(1.429962^(MIN($E2516,123)-117)))*1,0))</f>
        <v>564480</v>
      </c>
      <c r="S2516" s="13">
        <f>$E2516+8</f>
        <v>115</v>
      </c>
      <c r="T2516" s="14">
        <f>IF($J2516=0,0,ROUND(MAX($J2516*1.4*1.5*1.6*1.6*2.2,42600000*(1.576904^(MIN($E2516,123)-117)))*1,0))</f>
        <v>1241856</v>
      </c>
      <c r="U2516" s="11">
        <f>$E2516+11</f>
        <v>118</v>
      </c>
      <c r="V2516" s="12">
        <f>IF($J2516=0,0,ROUND(MAX($J2516*1.4*1.5*1.6*1.6*2.2*2.715,354000000*(1.642074^(MIN($E2516,123)-117)))*1,0))</f>
        <v>3371639</v>
      </c>
      <c r="W2516" s="13">
        <f>$E2516+15</f>
        <v>122</v>
      </c>
      <c r="X2516" s="14">
        <f>IF($J2516=0,0,ROUND(MAX($J2516*1.4*1.5*1.6*1.6*2.2*2.715*2.6,3540000000*(1.579646^(MIN($E2516,123)-117)))*1,0))</f>
        <v>36593634</v>
      </c>
      <c r="Y2516" s="11">
        <f>$E2516+17</f>
        <v>124</v>
      </c>
      <c r="Z2516" s="12">
        <f>IF($J2516=0,0,ROUND(MAX($J2516*1.4*1.5*1.6*1.6*2.2*2.715*2.6*1.4,6020000000*(1.651178^(MIN($E2516,123)-117)))*1,0))</f>
        <v>39962952</v>
      </c>
      <c r="AA2516" s="13">
        <f>$E2516+19</f>
        <v>126</v>
      </c>
      <c r="AB2516" s="14">
        <f>IF($J2516=0,0,ROUND(MAX($J2516*1.4*1.5*1.6*1.6*2.2*2.715*2.6*1.4*1.4,8430000000*(1.651435^(MIN($E2516,123)-117)))*1,0))</f>
        <v>55874381</v>
      </c>
      <c r="AC2516" s="11">
        <f>$E2516+21</f>
        <v>128</v>
      </c>
      <c r="AD2516" s="12">
        <f>IF($J2516=0,0,ROUND(MAX($J2516*1.4*1.5*1.6*1.6*2.2*2.715*2.6*1.4*1.4*1.5,12600000000*(1.652953^(MIN($E2516,123)-117)))*1,0))</f>
        <v>82749522</v>
      </c>
      <c r="AE2516" s="13">
        <f>$E2516+24</f>
        <v>131</v>
      </c>
      <c r="AF2516" s="14">
        <f>IF($J2516=0,0,ROUND(MAX($J2516*1.4*1.5*1.6*1.6*2.2*2.715*2.6*1.4*1.4*1.5*1.5,18900000000*(1.65331^(MIN($E2516,123)-117)))*1,0))</f>
        <v>123856521</v>
      </c>
      <c r="AG2516" s="11">
        <f>$E2516+27</f>
        <v>134</v>
      </c>
      <c r="AH2516" s="12">
        <f>IF($J2516=0,0,ROUND(MAX($J2516*1.4*1.5*1.6*1.6*2.2*2.715*2.6*1.4*1.4*1.5*1.5*3.2,60500000000*(1.654288^(MIN($E2516,123)-117)))*1,0))</f>
        <v>394134254</v>
      </c>
    </row>
    <row r="2517" ht="28" customHeight="1" spans="1:34" x14ac:dyDescent="0.25">
      <c r="A2517">
        <v>2527</v>
      </c>
      <c r="B2517" t="s">
        <v>1529</v>
      </c>
      <c r="C2517" s="10" t="s">
        <v>1421</v>
      </c>
      <c r="D2517" t="s">
        <v>33</v>
      </c>
      <c r="E2517">
        <v>107</v>
      </c>
      <c r="F2517" t="s">
        <v>59</v>
      </c>
      <c r="G2517" t="s">
        <v>1080</v>
      </c>
      <c r="H2517">
        <v>23</v>
      </c>
      <c r="I2517" s="11">
        <v>107</v>
      </c>
      <c r="J2517" s="12">
        <v>228000</v>
      </c>
      <c r="K2517" s="13">
        <f>$E2517+1</f>
        <v>108</v>
      </c>
      <c r="L2517" s="14">
        <f>IF($J2517=0,0,ROUND(MAX($J2517*1.4,1620000*(1.497923^(MIN($E2517,123)-117)))*1,0))</f>
        <v>319200</v>
      </c>
      <c r="M2517" s="11">
        <f>$E2517+2</f>
        <v>109</v>
      </c>
      <c r="N2517" s="12">
        <f>IF($J2517=0,0,ROUND(MAX($J2517*1.4*1.5,2190000*(1.580994^(MIN($E2517,123)-117)))*1,0))</f>
        <v>478800</v>
      </c>
      <c r="O2517" s="13">
        <f>$E2517+4</f>
        <v>111</v>
      </c>
      <c r="P2517" s="14">
        <f>IF($J2517=0,0,ROUND(MAX($J2517*1.4*1.5*1.6,3500000*(1.57975^(MIN($E2517,123)-117)))*1,0))</f>
        <v>766080</v>
      </c>
      <c r="Q2517" s="11">
        <f>$E2517+6</f>
        <v>113</v>
      </c>
      <c r="R2517" s="12">
        <f>IF($J2517=0,0,ROUND(MAX($J2517*1.4*1.5*1.6*1.6,13100000*(1.429962^(MIN($E2517,123)-117)))*1,0))</f>
        <v>1225728</v>
      </c>
      <c r="S2517" s="13">
        <f>$E2517+8</f>
        <v>115</v>
      </c>
      <c r="T2517" s="14">
        <f>IF($J2517=0,0,ROUND(MAX($J2517*1.4*1.5*1.6*1.6*2.2,42600000*(1.576904^(MIN($E2517,123)-117)))*1,0))</f>
        <v>2696602</v>
      </c>
      <c r="U2517" s="11">
        <f>$E2517+11</f>
        <v>118</v>
      </c>
      <c r="V2517" s="12">
        <f>IF($J2517=0,0,ROUND(MAX($J2517*1.4*1.5*1.6*1.6*2.2*2.715,354000000*(1.642074^(MIN($E2517,123)-117)))*1,0))</f>
        <v>7321273</v>
      </c>
      <c r="W2517" s="13">
        <f>$E2517+15</f>
        <v>122</v>
      </c>
      <c r="X2517" s="14">
        <f>IF($J2517=0,0,ROUND(MAX($J2517*1.4*1.5*1.6*1.6*2.2*2.715*2.6,3540000000*(1.579646^(MIN($E2517,123)-117)))*1,0))</f>
        <v>36593634</v>
      </c>
      <c r="Y2517" s="11">
        <f>$E2517+17</f>
        <v>124</v>
      </c>
      <c r="Z2517" s="12">
        <f>IF($J2517=0,0,ROUND(MAX($J2517*1.4*1.5*1.6*1.6*2.2*2.715*2.6*1.4,6020000000*(1.651178^(MIN($E2517,123)-117)))*1,0))</f>
        <v>39962952</v>
      </c>
      <c r="AA2517" s="13">
        <f>$E2517+19</f>
        <v>126</v>
      </c>
      <c r="AB2517" s="14">
        <f>IF($J2517=0,0,ROUND(MAX($J2517*1.4*1.5*1.6*1.6*2.2*2.715*2.6*1.4*1.4,8430000000*(1.651435^(MIN($E2517,123)-117)))*1,0))</f>
        <v>55874381</v>
      </c>
      <c r="AC2517" s="11">
        <f>$E2517+21</f>
        <v>128</v>
      </c>
      <c r="AD2517" s="12">
        <f>IF($J2517=0,0,ROUND(MAX($J2517*1.4*1.5*1.6*1.6*2.2*2.715*2.6*1.4*1.4*1.5,12600000000*(1.652953^(MIN($E2517,123)-117)))*1,0))</f>
        <v>82749522</v>
      </c>
      <c r="AE2517" s="13">
        <f>$E2517+24</f>
        <v>131</v>
      </c>
      <c r="AF2517" s="14">
        <f>IF($J2517=0,0,ROUND(MAX($J2517*1.4*1.5*1.6*1.6*2.2*2.715*2.6*1.4*1.4*1.5*1.5,18900000000*(1.65331^(MIN($E2517,123)-117)))*1,0))</f>
        <v>123856521</v>
      </c>
      <c r="AG2517" s="11">
        <f>$E2517+27</f>
        <v>134</v>
      </c>
      <c r="AH2517" s="12">
        <f>IF($J2517=0,0,ROUND(MAX($J2517*1.4*1.5*1.6*1.6*2.2*2.715*2.6*1.4*1.4*1.5*1.5*3.2,60500000000*(1.654288^(MIN($E2517,123)-117)))*1,0))</f>
        <v>394134254</v>
      </c>
    </row>
    <row r="2518" ht="28" customHeight="1" spans="1:34" x14ac:dyDescent="0.25">
      <c r="A2518">
        <v>2528</v>
      </c>
      <c r="B2518" t="s">
        <v>1361</v>
      </c>
      <c r="C2518" s="10" t="s">
        <v>1421</v>
      </c>
      <c r="D2518" t="s">
        <v>79</v>
      </c>
      <c r="E2518">
        <v>107</v>
      </c>
      <c r="F2518" t="s">
        <v>71</v>
      </c>
      <c r="G2518" t="s">
        <v>1024</v>
      </c>
      <c r="H2518">
        <v>23</v>
      </c>
      <c r="I2518" s="11">
        <v>107</v>
      </c>
      <c r="J2518" s="12">
        <v>173000</v>
      </c>
      <c r="K2518" s="13">
        <f>$E2518+1</f>
        <v>108</v>
      </c>
      <c r="L2518" s="14">
        <f>IF($J2518=0,0,ROUND(MAX($J2518*1.4,1620000*(1.497923^(MIN($E2518,123)-117)))*1,0))</f>
        <v>242200</v>
      </c>
      <c r="M2518" s="11">
        <f>$E2518+2</f>
        <v>109</v>
      </c>
      <c r="N2518" s="12">
        <f>IF($J2518=0,0,ROUND(MAX($J2518*1.4*1.5,2190000*(1.580994^(MIN($E2518,123)-117)))*1,0))</f>
        <v>363300</v>
      </c>
      <c r="O2518" s="13">
        <f>$E2518+4</f>
        <v>111</v>
      </c>
      <c r="P2518" s="14">
        <f>IF($J2518=0,0,ROUND(MAX($J2518*1.4*1.5*1.6,3500000*(1.57975^(MIN($E2518,123)-117)))*1,0))</f>
        <v>581280</v>
      </c>
      <c r="Q2518" s="11">
        <f>$E2518+6</f>
        <v>113</v>
      </c>
      <c r="R2518" s="12">
        <f>IF($J2518=0,0,ROUND(MAX($J2518*1.4*1.5*1.6*1.6,13100000*(1.429962^(MIN($E2518,123)-117)))*1,0))</f>
        <v>930048</v>
      </c>
      <c r="S2518" s="13">
        <f>$E2518+8</f>
        <v>115</v>
      </c>
      <c r="T2518" s="14">
        <f>IF($J2518=0,0,ROUND(MAX($J2518*1.4*1.5*1.6*1.6*2.2,42600000*(1.576904^(MIN($E2518,123)-117)))*1,0))</f>
        <v>2046106</v>
      </c>
      <c r="U2518" s="11">
        <f>$E2518+11</f>
        <v>118</v>
      </c>
      <c r="V2518" s="12">
        <f>IF($J2518=0,0,ROUND(MAX($J2518*1.4*1.5*1.6*1.6*2.2*2.715,354000000*(1.642074^(MIN($E2518,123)-117)))*1,0))</f>
        <v>5555177</v>
      </c>
      <c r="W2518" s="13">
        <f>$E2518+15</f>
        <v>122</v>
      </c>
      <c r="X2518" s="14">
        <f>IF($J2518=0,0,ROUND(MAX($J2518*1.4*1.5*1.6*1.6*2.2*2.715*2.6,3540000000*(1.579646^(MIN($E2518,123)-117)))*1,0))</f>
        <v>36593634</v>
      </c>
      <c r="Y2518" s="11">
        <f>$E2518+17</f>
        <v>124</v>
      </c>
      <c r="Z2518" s="12">
        <f>IF($J2518=0,0,ROUND(MAX($J2518*1.4*1.5*1.6*1.6*2.2*2.715*2.6*1.4,6020000000*(1.651178^(MIN($E2518,123)-117)))*1,0))</f>
        <v>39962952</v>
      </c>
      <c r="AA2518" s="13">
        <f>$E2518+19</f>
        <v>126</v>
      </c>
      <c r="AB2518" s="14">
        <f>IF($J2518=0,0,ROUND(MAX($J2518*1.4*1.5*1.6*1.6*2.2*2.715*2.6*1.4*1.4,8430000000*(1.651435^(MIN($E2518,123)-117)))*1,0))</f>
        <v>55874381</v>
      </c>
      <c r="AC2518" s="11">
        <f>$E2518+21</f>
        <v>128</v>
      </c>
      <c r="AD2518" s="12">
        <f>IF($J2518=0,0,ROUND(MAX($J2518*1.4*1.5*1.6*1.6*2.2*2.715*2.6*1.4*1.4*1.5,12600000000*(1.652953^(MIN($E2518,123)-117)))*1,0))</f>
        <v>82749522</v>
      </c>
      <c r="AE2518" s="13">
        <f>$E2518+24</f>
        <v>131</v>
      </c>
      <c r="AF2518" s="14">
        <f>IF($J2518=0,0,ROUND(MAX($J2518*1.4*1.5*1.6*1.6*2.2*2.715*2.6*1.4*1.4*1.5*1.5,18900000000*(1.65331^(MIN($E2518,123)-117)))*1,0))</f>
        <v>123856521</v>
      </c>
      <c r="AG2518" s="11">
        <f>$E2518+27</f>
        <v>134</v>
      </c>
      <c r="AH2518" s="12">
        <f>IF($J2518=0,0,ROUND(MAX($J2518*1.4*1.5*1.6*1.6*2.2*2.715*2.6*1.4*1.4*1.5*1.5*3.2,60500000000*(1.654288^(MIN($E2518,123)-117)))*1,0))</f>
        <v>394134254</v>
      </c>
    </row>
    <row r="2519" ht="28" customHeight="1" spans="1:34" x14ac:dyDescent="0.25">
      <c r="A2519">
        <v>2529</v>
      </c>
      <c r="B2519" t="s">
        <v>1097</v>
      </c>
      <c r="C2519" s="10" t="s">
        <v>1421</v>
      </c>
      <c r="D2519" t="s">
        <v>102</v>
      </c>
      <c r="E2519">
        <v>107</v>
      </c>
      <c r="F2519" t="s">
        <v>54</v>
      </c>
      <c r="G2519" t="s">
        <v>1473</v>
      </c>
      <c r="H2519">
        <v>23</v>
      </c>
      <c r="I2519" s="11">
        <v>107</v>
      </c>
      <c r="J2519" s="12">
        <v>166000</v>
      </c>
      <c r="K2519" s="13">
        <f>$E2519+1</f>
        <v>108</v>
      </c>
      <c r="L2519" s="14">
        <f>IF($J2519=0,0,ROUND(MAX($J2519*1.4,1620000*(1.497923^(MIN($E2519,123)-117)))*1,0))</f>
        <v>232400</v>
      </c>
      <c r="M2519" s="11">
        <f>$E2519+2</f>
        <v>109</v>
      </c>
      <c r="N2519" s="12">
        <f>IF($J2519=0,0,ROUND(MAX($J2519*1.4*1.5,2190000*(1.580994^(MIN($E2519,123)-117)))*1,0))</f>
        <v>348600</v>
      </c>
      <c r="O2519" s="13">
        <f>$E2519+4</f>
        <v>111</v>
      </c>
      <c r="P2519" s="14">
        <f>IF($J2519=0,0,ROUND(MAX($J2519*1.4*1.5*1.6,3500000*(1.57975^(MIN($E2519,123)-117)))*1,0))</f>
        <v>557760</v>
      </c>
      <c r="Q2519" s="11">
        <f>$E2519+6</f>
        <v>113</v>
      </c>
      <c r="R2519" s="12">
        <f>IF($J2519=0,0,ROUND(MAX($J2519*1.4*1.5*1.6*1.6,13100000*(1.429962^(MIN($E2519,123)-117)))*1,0))</f>
        <v>892416</v>
      </c>
      <c r="S2519" s="13">
        <f>$E2519+8</f>
        <v>115</v>
      </c>
      <c r="T2519" s="14">
        <f>IF($J2519=0,0,ROUND(MAX($J2519*1.4*1.5*1.6*1.6*2.2,42600000*(1.576904^(MIN($E2519,123)-117)))*1,0))</f>
        <v>1963315</v>
      </c>
      <c r="U2519" s="11">
        <f>$E2519+11</f>
        <v>118</v>
      </c>
      <c r="V2519" s="12">
        <f>IF($J2519=0,0,ROUND(MAX($J2519*1.4*1.5*1.6*1.6*2.2*2.715,354000000*(1.642074^(MIN($E2519,123)-117)))*1,0))</f>
        <v>5330401</v>
      </c>
      <c r="W2519" s="13">
        <f>$E2519+15</f>
        <v>122</v>
      </c>
      <c r="X2519" s="14">
        <f>IF($J2519=0,0,ROUND(MAX($J2519*1.4*1.5*1.6*1.6*2.2*2.715*2.6,3540000000*(1.579646^(MIN($E2519,123)-117)))*1,0))</f>
        <v>36593634</v>
      </c>
      <c r="Y2519" s="11">
        <f>$E2519+17</f>
        <v>124</v>
      </c>
      <c r="Z2519" s="12">
        <f>IF($J2519=0,0,ROUND(MAX($J2519*1.4*1.5*1.6*1.6*2.2*2.715*2.6*1.4,6020000000*(1.651178^(MIN($E2519,123)-117)))*1,0))</f>
        <v>39962952</v>
      </c>
      <c r="AA2519" s="13">
        <f>$E2519+19</f>
        <v>126</v>
      </c>
      <c r="AB2519" s="14">
        <f>IF($J2519=0,0,ROUND(MAX($J2519*1.4*1.5*1.6*1.6*2.2*2.715*2.6*1.4*1.4,8430000000*(1.651435^(MIN($E2519,123)-117)))*1,0))</f>
        <v>55874381</v>
      </c>
      <c r="AC2519" s="11">
        <f>$E2519+21</f>
        <v>128</v>
      </c>
      <c r="AD2519" s="12">
        <f>IF($J2519=0,0,ROUND(MAX($J2519*1.4*1.5*1.6*1.6*2.2*2.715*2.6*1.4*1.4*1.5,12600000000*(1.652953^(MIN($E2519,123)-117)))*1,0))</f>
        <v>82749522</v>
      </c>
      <c r="AE2519" s="13">
        <f>$E2519+24</f>
        <v>131</v>
      </c>
      <c r="AF2519" s="14">
        <f>IF($J2519=0,0,ROUND(MAX($J2519*1.4*1.5*1.6*1.6*2.2*2.715*2.6*1.4*1.4*1.5*1.5,18900000000*(1.65331^(MIN($E2519,123)-117)))*1,0))</f>
        <v>123856521</v>
      </c>
      <c r="AG2519" s="11">
        <f>$E2519+27</f>
        <v>134</v>
      </c>
      <c r="AH2519" s="12">
        <f>IF($J2519=0,0,ROUND(MAX($J2519*1.4*1.5*1.6*1.6*2.2*2.715*2.6*1.4*1.4*1.5*1.5*3.2,60500000000*(1.654288^(MIN($E2519,123)-117)))*1,0))</f>
        <v>394134254</v>
      </c>
    </row>
    <row r="2520" ht="28" customHeight="1" spans="1:34" x14ac:dyDescent="0.25">
      <c r="A2520">
        <v>2530</v>
      </c>
      <c r="B2520" t="s">
        <v>1530</v>
      </c>
      <c r="C2520" s="10" t="s">
        <v>1421</v>
      </c>
      <c r="D2520" t="s">
        <v>25</v>
      </c>
      <c r="E2520">
        <v>107</v>
      </c>
      <c r="F2520" t="s">
        <v>71</v>
      </c>
      <c r="G2520" t="s">
        <v>1531</v>
      </c>
      <c r="H2520">
        <v>23</v>
      </c>
      <c r="I2520" s="11">
        <v>107</v>
      </c>
      <c r="J2520" s="12">
        <v>150000</v>
      </c>
      <c r="K2520" s="13">
        <f>$E2520+1</f>
        <v>108</v>
      </c>
      <c r="L2520" s="14">
        <f>IF($J2520=0,0,ROUND(MAX($J2520*1.4,1620000*(1.497923^(MIN($E2520,123)-117)))*1,0))</f>
        <v>210000</v>
      </c>
      <c r="M2520" s="11">
        <f>$E2520+2</f>
        <v>109</v>
      </c>
      <c r="N2520" s="12">
        <f>IF($J2520=0,0,ROUND(MAX($J2520*1.4*1.5,2190000*(1.580994^(MIN($E2520,123)-117)))*1,0))</f>
        <v>315000</v>
      </c>
      <c r="O2520" s="13">
        <f>$E2520+4</f>
        <v>111</v>
      </c>
      <c r="P2520" s="14">
        <f>IF($J2520=0,0,ROUND(MAX($J2520*1.4*1.5*1.6,3500000*(1.57975^(MIN($E2520,123)-117)))*1,0))</f>
        <v>504000</v>
      </c>
      <c r="Q2520" s="11">
        <f>$E2520+6</f>
        <v>113</v>
      </c>
      <c r="R2520" s="12">
        <f>IF($J2520=0,0,ROUND(MAX($J2520*1.4*1.5*1.6*1.6,13100000*(1.429962^(MIN($E2520,123)-117)))*1,0))</f>
        <v>806400</v>
      </c>
      <c r="S2520" s="13">
        <f>$E2520+8</f>
        <v>115</v>
      </c>
      <c r="T2520" s="14">
        <f>IF($J2520=0,0,ROUND(MAX($J2520*1.4*1.5*1.6*1.6*2.2,42600000*(1.576904^(MIN($E2520,123)-117)))*1,0))</f>
        <v>1774080</v>
      </c>
      <c r="U2520" s="11">
        <f>$E2520+11</f>
        <v>118</v>
      </c>
      <c r="V2520" s="12">
        <f>IF($J2520=0,0,ROUND(MAX($J2520*1.4*1.5*1.6*1.6*2.2*2.715,354000000*(1.642074^(MIN($E2520,123)-117)))*1,0))</f>
        <v>4816627</v>
      </c>
      <c r="W2520" s="13">
        <f>$E2520+15</f>
        <v>122</v>
      </c>
      <c r="X2520" s="14">
        <f>IF($J2520=0,0,ROUND(MAX($J2520*1.4*1.5*1.6*1.6*2.2*2.715*2.6,3540000000*(1.579646^(MIN($E2520,123)-117)))*1,0))</f>
        <v>36593634</v>
      </c>
      <c r="Y2520" s="11">
        <f>$E2520+17</f>
        <v>124</v>
      </c>
      <c r="Z2520" s="12">
        <f>IF($J2520=0,0,ROUND(MAX($J2520*1.4*1.5*1.6*1.6*2.2*2.715*2.6*1.4,6020000000*(1.651178^(MIN($E2520,123)-117)))*1,0))</f>
        <v>39962952</v>
      </c>
      <c r="AA2520" s="13">
        <f>$E2520+19</f>
        <v>126</v>
      </c>
      <c r="AB2520" s="14">
        <f>IF($J2520=0,0,ROUND(MAX($J2520*1.4*1.5*1.6*1.6*2.2*2.715*2.6*1.4*1.4,8430000000*(1.651435^(MIN($E2520,123)-117)))*1,0))</f>
        <v>55874381</v>
      </c>
      <c r="AC2520" s="11">
        <f>$E2520+21</f>
        <v>128</v>
      </c>
      <c r="AD2520" s="12">
        <f>IF($J2520=0,0,ROUND(MAX($J2520*1.4*1.5*1.6*1.6*2.2*2.715*2.6*1.4*1.4*1.5,12600000000*(1.652953^(MIN($E2520,123)-117)))*1,0))</f>
        <v>82749522</v>
      </c>
      <c r="AE2520" s="13">
        <f>$E2520+24</f>
        <v>131</v>
      </c>
      <c r="AF2520" s="14">
        <f>IF($J2520=0,0,ROUND(MAX($J2520*1.4*1.5*1.6*1.6*2.2*2.715*2.6*1.4*1.4*1.5*1.5,18900000000*(1.65331^(MIN($E2520,123)-117)))*1,0))</f>
        <v>123856521</v>
      </c>
      <c r="AG2520" s="11">
        <f>$E2520+27</f>
        <v>134</v>
      </c>
      <c r="AH2520" s="12">
        <f>IF($J2520=0,0,ROUND(MAX($J2520*1.4*1.5*1.6*1.6*2.2*2.715*2.6*1.4*1.4*1.5*1.5*3.2,60500000000*(1.654288^(MIN($E2520,123)-117)))*1,0))</f>
        <v>394134254</v>
      </c>
    </row>
    <row r="2521" ht="28" customHeight="1" spans="1:34" x14ac:dyDescent="0.25">
      <c r="A2521">
        <v>2531</v>
      </c>
      <c r="B2521" t="s">
        <v>1532</v>
      </c>
      <c r="C2521" s="10" t="s">
        <v>1421</v>
      </c>
      <c r="D2521" t="s">
        <v>47</v>
      </c>
      <c r="E2521">
        <v>107</v>
      </c>
      <c r="F2521" t="s">
        <v>34</v>
      </c>
      <c r="G2521" t="s">
        <v>569</v>
      </c>
      <c r="H2521">
        <v>21</v>
      </c>
      <c r="I2521" s="11">
        <v>107</v>
      </c>
      <c r="J2521" s="12">
        <v>44100</v>
      </c>
      <c r="K2521" s="13">
        <f>$E2521+1</f>
        <v>108</v>
      </c>
      <c r="L2521" s="14">
        <f>IF($J2521=0,0,ROUND(MAX($J2521*1.4,1620000*(1.497923^(MIN($E2521,123)-117)))*1,0))</f>
        <v>61740</v>
      </c>
      <c r="M2521" s="11">
        <f>$E2521+2</f>
        <v>109</v>
      </c>
      <c r="N2521" s="12">
        <f>IF($J2521=0,0,ROUND(MAX($J2521*1.4*1.5,2190000*(1.580994^(MIN($E2521,123)-117)))*1,0))</f>
        <v>92610</v>
      </c>
      <c r="O2521" s="13">
        <f>$E2521+4</f>
        <v>111</v>
      </c>
      <c r="P2521" s="14">
        <f>IF($J2521=0,0,ROUND(MAX($J2521*1.4*1.5*1.6,3500000*(1.57975^(MIN($E2521,123)-117)))*1,0))</f>
        <v>148176</v>
      </c>
      <c r="Q2521" s="11">
        <f>$E2521+6</f>
        <v>113</v>
      </c>
      <c r="R2521" s="12">
        <f>IF($J2521=0,0,ROUND(MAX($J2521*1.4*1.5*1.6*1.6,13100000*(1.429962^(MIN($E2521,123)-117)))*1,0))</f>
        <v>366460</v>
      </c>
      <c r="S2521" s="13">
        <f>$E2521+8</f>
        <v>115</v>
      </c>
      <c r="T2521" s="14">
        <f>IF($J2521=0,0,ROUND(MAX($J2521*1.4*1.5*1.6*1.6*2.2,42600000*(1.576904^(MIN($E2521,123)-117)))*1,0))</f>
        <v>521580</v>
      </c>
      <c r="U2521" s="11">
        <f>$E2521+11</f>
        <v>118</v>
      </c>
      <c r="V2521" s="12">
        <f>IF($J2521=0,0,ROUND(MAX($J2521*1.4*1.5*1.6*1.6*2.2*2.715,354000000*(1.642074^(MIN($E2521,123)-117)))*1,0))</f>
        <v>2483568</v>
      </c>
      <c r="W2521" s="13">
        <f>$E2521+15</f>
        <v>122</v>
      </c>
      <c r="X2521" s="14">
        <f>IF($J2521=0,0,ROUND(MAX($J2521*1.4*1.5*1.6*1.6*2.2*2.715*2.6,3540000000*(1.579646^(MIN($E2521,123)-117)))*1,0))</f>
        <v>36593634</v>
      </c>
      <c r="Y2521" s="11">
        <f>$E2521+17</f>
        <v>124</v>
      </c>
      <c r="Z2521" s="12">
        <f>IF($J2521=0,0,ROUND(MAX($J2521*1.4*1.5*1.6*1.6*2.2*2.715*2.6*1.4,6020000000*(1.651178^(MIN($E2521,123)-117)))*1,0))</f>
        <v>39962952</v>
      </c>
      <c r="AA2521" s="13">
        <f>$E2521+19</f>
        <v>126</v>
      </c>
      <c r="AB2521" s="14">
        <f>IF($J2521=0,0,ROUND(MAX($J2521*1.4*1.5*1.6*1.6*2.2*2.715*2.6*1.4*1.4,8430000000*(1.651435^(MIN($E2521,123)-117)))*1,0))</f>
        <v>55874381</v>
      </c>
      <c r="AC2521" s="11">
        <f>$E2521+21</f>
        <v>128</v>
      </c>
      <c r="AD2521" s="12">
        <f>IF($J2521=0,0,ROUND(MAX($J2521*1.4*1.5*1.6*1.6*2.2*2.715*2.6*1.4*1.4*1.5,12600000000*(1.652953^(MIN($E2521,123)-117)))*1,0))</f>
        <v>82749522</v>
      </c>
      <c r="AE2521" s="13">
        <f>$E2521+24</f>
        <v>131</v>
      </c>
      <c r="AF2521" s="14">
        <f>IF($J2521=0,0,ROUND(MAX($J2521*1.4*1.5*1.6*1.6*2.2*2.715*2.6*1.4*1.4*1.5*1.5,18900000000*(1.65331^(MIN($E2521,123)-117)))*1,0))</f>
        <v>123856521</v>
      </c>
      <c r="AG2521" s="11">
        <f>$E2521+27</f>
        <v>134</v>
      </c>
      <c r="AH2521" s="12">
        <f>IF($J2521=0,0,ROUND(MAX($J2521*1.4*1.5*1.6*1.6*2.2*2.715*2.6*1.4*1.4*1.5*1.5*3.2,60500000000*(1.654288^(MIN($E2521,123)-117)))*1,0))</f>
        <v>394134254</v>
      </c>
    </row>
    <row r="2522" ht="28" customHeight="1" spans="1:34" x14ac:dyDescent="0.25">
      <c r="A2522">
        <v>2532</v>
      </c>
      <c r="B2522" t="s">
        <v>227</v>
      </c>
      <c r="C2522" s="10" t="s">
        <v>1533</v>
      </c>
      <c r="D2522" t="s">
        <v>40</v>
      </c>
      <c r="E2522">
        <v>123</v>
      </c>
      <c r="F2522" t="s">
        <v>56</v>
      </c>
      <c r="G2522" t="s">
        <v>35</v>
      </c>
      <c r="H2522">
        <v>31</v>
      </c>
      <c r="I2522" s="11">
        <v>123</v>
      </c>
      <c r="J2522" s="12">
        <v>12200000</v>
      </c>
      <c r="K2522" s="13">
        <f>$E2522+1</f>
        <v>124</v>
      </c>
      <c r="L2522" s="14">
        <f>IF($J2522=0,0,ROUND(MAX($J2522*1.4,1620000*(1.497923^(MIN($E2522,123)-117)))*1,0))</f>
        <v>18300036</v>
      </c>
      <c r="M2522" s="11">
        <f>$E2522+2</f>
        <v>125</v>
      </c>
      <c r="N2522" s="12">
        <f>IF($J2522=0,0,ROUND(MAX($J2522*1.4*1.5,2190000*(1.580994^(MIN($E2522,123)-117)))*1,0))</f>
        <v>34199948</v>
      </c>
      <c r="O2522" s="13">
        <f>$E2522+4</f>
        <v>127</v>
      </c>
      <c r="P2522" s="14">
        <f>IF($J2522=0,0,ROUND(MAX($J2522*1.4*1.5*1.6,3500000*(1.57975^(MIN($E2522,123)-117)))*1,0))</f>
        <v>54399916</v>
      </c>
      <c r="Q2522" s="11">
        <f>$E2522+6</f>
        <v>129</v>
      </c>
      <c r="R2522" s="12">
        <f>IF($J2522=0,0,ROUND(MAX($J2522*1.4*1.5*1.6*1.6,13100000*(1.429962^(MIN($E2522,123)-117)))*1,0))</f>
        <v>112000065</v>
      </c>
      <c r="S2522" s="13">
        <f>$E2522+8</f>
        <v>131</v>
      </c>
      <c r="T2522" s="14">
        <f>IF($J2522=0,0,ROUND(MAX($J2522*1.4*1.5*1.6*1.6*2.2,42600000*(1.576904^(MIN($E2522,123)-117)))*1,0))</f>
        <v>654999741</v>
      </c>
      <c r="U2522" s="11">
        <f>$E2522+11</f>
        <v>134</v>
      </c>
      <c r="V2522" s="12">
        <f>IF($J2522=0,0,ROUND(MAX($J2522*1.4*1.5*1.6*1.6*2.2*2.715,354000000*(1.642074^(MIN($E2522,123)-117)))*1,0))</f>
        <v>6940002232</v>
      </c>
      <c r="W2522" s="13">
        <f>$E2522+15</f>
        <v>138</v>
      </c>
      <c r="X2522" s="14">
        <f>IF($J2522=0,0,ROUND(MAX($J2522*1.4*1.5*1.6*1.6*2.2*2.715*2.6,3540000000*(1.579646^(MIN($E2522,123)-117)))*1,0))</f>
        <v>54999899335</v>
      </c>
      <c r="Y2522" s="11">
        <f>$E2522+17</f>
        <v>140</v>
      </c>
      <c r="Z2522" s="12">
        <f>IF($J2522=0,0,ROUND(MAX($J2522*1.4*1.5*1.6*1.6*2.2*2.715*2.6*1.4,6020000000*(1.651178^(MIN($E2522,123)-117)))*1,0))</f>
        <v>122000006103</v>
      </c>
      <c r="AA2522" s="13">
        <f>$E2522+19</f>
        <v>142</v>
      </c>
      <c r="AB2522" s="14">
        <f>IF($J2522=0,0,ROUND(MAX($J2522*1.4*1.5*1.6*1.6*2.2*2.715*2.6*1.4*1.4,8430000000*(1.651435^(MIN($E2522,123)-117)))*1,0))</f>
        <v>171000146547</v>
      </c>
      <c r="AC2522" s="11">
        <f>$E2522+21</f>
        <v>144</v>
      </c>
      <c r="AD2522" s="12">
        <f>IF($J2522=0,0,ROUND(MAX($J2522*1.4*1.5*1.6*1.6*2.2*2.715*2.6*1.4*1.4*1.5,12600000000*(1.652953^(MIN($E2522,123)-117)))*1,0))</f>
        <v>257000267475</v>
      </c>
      <c r="AE2522" s="13">
        <f>$E2522+24</f>
        <v>147</v>
      </c>
      <c r="AF2522" s="14">
        <f>IF($J2522=0,0,ROUND(MAX($J2522*1.4*1.5*1.6*1.6*2.2*2.715*2.6*1.4*1.4*1.5*1.5,18900000000*(1.65331^(MIN($E2522,123)-117)))*1,0))</f>
        <v>386000226581</v>
      </c>
      <c r="AG2522" s="11">
        <f>$E2522+27</f>
        <v>150</v>
      </c>
      <c r="AH2522" s="12">
        <f>IF($J2522=0,0,ROUND(MAX($J2522*1.4*1.5*1.6*1.6*2.2*2.715*2.6*1.4*1.4*1.5*1.5*3.2,60500000000*(1.654288^(MIN($E2522,123)-117)))*1,0))</f>
        <v>1240001159555</v>
      </c>
    </row>
    <row r="2523" ht="28" customHeight="1" spans="1:34" x14ac:dyDescent="0.25">
      <c r="A2523">
        <v>2533</v>
      </c>
      <c r="B2523" t="s">
        <v>238</v>
      </c>
      <c r="C2523" s="10" t="s">
        <v>1533</v>
      </c>
      <c r="D2523" t="s">
        <v>45</v>
      </c>
      <c r="E2523">
        <v>123</v>
      </c>
      <c r="F2523" t="s">
        <v>71</v>
      </c>
      <c r="G2523" t="s">
        <v>72</v>
      </c>
      <c r="H2523">
        <v>29</v>
      </c>
      <c r="I2523" s="11">
        <v>123</v>
      </c>
      <c r="J2523" s="12">
        <v>13000000</v>
      </c>
      <c r="K2523" s="13">
        <f>$E2523+1</f>
        <v>124</v>
      </c>
      <c r="L2523" s="14">
        <f>IF($J2523=0,0,ROUND(MAX($J2523*1.4,1620000*(1.497923^(MIN($E2523,123)-117)))*1,0))</f>
        <v>18300036</v>
      </c>
      <c r="M2523" s="11">
        <f>$E2523+2</f>
        <v>125</v>
      </c>
      <c r="N2523" s="12">
        <f>IF($J2523=0,0,ROUND(MAX($J2523*1.4*1.5,2190000*(1.580994^(MIN($E2523,123)-117)))*1,0))</f>
        <v>34199948</v>
      </c>
      <c r="O2523" s="13">
        <f>$E2523+4</f>
        <v>127</v>
      </c>
      <c r="P2523" s="14">
        <f>IF($J2523=0,0,ROUND(MAX($J2523*1.4*1.5*1.6,3500000*(1.57975^(MIN($E2523,123)-117)))*1,0))</f>
        <v>54399916</v>
      </c>
      <c r="Q2523" s="11">
        <f>$E2523+6</f>
        <v>129</v>
      </c>
      <c r="R2523" s="12">
        <f>IF($J2523=0,0,ROUND(MAX($J2523*1.4*1.5*1.6*1.6,13100000*(1.429962^(MIN($E2523,123)-117)))*1,0))</f>
        <v>112000065</v>
      </c>
      <c r="S2523" s="13">
        <f>$E2523+8</f>
        <v>131</v>
      </c>
      <c r="T2523" s="14">
        <f>IF($J2523=0,0,ROUND(MAX($J2523*1.4*1.5*1.6*1.6*2.2,42600000*(1.576904^(MIN($E2523,123)-117)))*1,0))</f>
        <v>654999741</v>
      </c>
      <c r="U2523" s="11">
        <f>$E2523+11</f>
        <v>134</v>
      </c>
      <c r="V2523" s="12">
        <f>IF($J2523=0,0,ROUND(MAX($J2523*1.4*1.5*1.6*1.6*2.2*2.715,354000000*(1.642074^(MIN($E2523,123)-117)))*1,0))</f>
        <v>6940002232</v>
      </c>
      <c r="W2523" s="13">
        <f>$E2523+15</f>
        <v>138</v>
      </c>
      <c r="X2523" s="14">
        <f>IF($J2523=0,0,ROUND(MAX($J2523*1.4*1.5*1.6*1.6*2.2*2.715*2.6,3540000000*(1.579646^(MIN($E2523,123)-117)))*1,0))</f>
        <v>54999899335</v>
      </c>
      <c r="Y2523" s="11">
        <f>$E2523+17</f>
        <v>140</v>
      </c>
      <c r="Z2523" s="12">
        <f>IF($J2523=0,0,ROUND(MAX($J2523*1.4*1.5*1.6*1.6*2.2*2.715*2.6*1.4,6020000000*(1.651178^(MIN($E2523,123)-117)))*1,0))</f>
        <v>122000006103</v>
      </c>
      <c r="AA2523" s="13">
        <f>$E2523+19</f>
        <v>142</v>
      </c>
      <c r="AB2523" s="14">
        <f>IF($J2523=0,0,ROUND(MAX($J2523*1.4*1.5*1.6*1.6*2.2*2.715*2.6*1.4*1.4,8430000000*(1.651435^(MIN($E2523,123)-117)))*1,0))</f>
        <v>171000146547</v>
      </c>
      <c r="AC2523" s="11">
        <f>$E2523+21</f>
        <v>144</v>
      </c>
      <c r="AD2523" s="12">
        <f>IF($J2523=0,0,ROUND(MAX($J2523*1.4*1.5*1.6*1.6*2.2*2.715*2.6*1.4*1.4*1.5,12600000000*(1.652953^(MIN($E2523,123)-117)))*1,0))</f>
        <v>257000267475</v>
      </c>
      <c r="AE2523" s="13">
        <f>$E2523+24</f>
        <v>147</v>
      </c>
      <c r="AF2523" s="14">
        <f>IF($J2523=0,0,ROUND(MAX($J2523*1.4*1.5*1.6*1.6*2.2*2.715*2.6*1.4*1.4*1.5*1.5,18900000000*(1.65331^(MIN($E2523,123)-117)))*1,0))</f>
        <v>386000226581</v>
      </c>
      <c r="AG2523" s="11">
        <f>$E2523+27</f>
        <v>150</v>
      </c>
      <c r="AH2523" s="12">
        <f>IF($J2523=0,0,ROUND(MAX($J2523*1.4*1.5*1.6*1.6*2.2*2.715*2.6*1.4*1.4*1.5*1.5*3.2,60500000000*(1.654288^(MIN($E2523,123)-117)))*1,0))</f>
        <v>1240001159555</v>
      </c>
    </row>
    <row r="2524" ht="28" customHeight="1" spans="1:34" x14ac:dyDescent="0.25">
      <c r="A2524">
        <v>2534</v>
      </c>
      <c r="B2524" t="s">
        <v>318</v>
      </c>
      <c r="C2524" s="10" t="s">
        <v>1533</v>
      </c>
      <c r="D2524" t="s">
        <v>29</v>
      </c>
      <c r="E2524">
        <v>123</v>
      </c>
      <c r="F2524" t="s">
        <v>71</v>
      </c>
      <c r="G2524" t="s">
        <v>319</v>
      </c>
      <c r="H2524">
        <v>29</v>
      </c>
      <c r="I2524" s="11">
        <v>123</v>
      </c>
      <c r="J2524" s="12">
        <v>12000000</v>
      </c>
      <c r="K2524" s="13">
        <f>$E2524+1</f>
        <v>124</v>
      </c>
      <c r="L2524" s="14">
        <f>IF($J2524=0,0,ROUND(MAX($J2524*1.4,1620000*(1.497923^(MIN($E2524,123)-117)))*1,0))</f>
        <v>18300036</v>
      </c>
      <c r="M2524" s="11">
        <f>$E2524+2</f>
        <v>125</v>
      </c>
      <c r="N2524" s="12">
        <f>IF($J2524=0,0,ROUND(MAX($J2524*1.4*1.5,2190000*(1.580994^(MIN($E2524,123)-117)))*1,0))</f>
        <v>34199948</v>
      </c>
      <c r="O2524" s="13">
        <f>$E2524+4</f>
        <v>127</v>
      </c>
      <c r="P2524" s="14">
        <f>IF($J2524=0,0,ROUND(MAX($J2524*1.4*1.5*1.6,3500000*(1.57975^(MIN($E2524,123)-117)))*1,0))</f>
        <v>54399916</v>
      </c>
      <c r="Q2524" s="11">
        <f>$E2524+6</f>
        <v>129</v>
      </c>
      <c r="R2524" s="12">
        <f>IF($J2524=0,0,ROUND(MAX($J2524*1.4*1.5*1.6*1.6,13100000*(1.429962^(MIN($E2524,123)-117)))*1,0))</f>
        <v>112000065</v>
      </c>
      <c r="S2524" s="13">
        <f>$E2524+8</f>
        <v>131</v>
      </c>
      <c r="T2524" s="14">
        <f>IF($J2524=0,0,ROUND(MAX($J2524*1.4*1.5*1.6*1.6*2.2,42600000*(1.576904^(MIN($E2524,123)-117)))*1,0))</f>
        <v>654999741</v>
      </c>
      <c r="U2524" s="11">
        <f>$E2524+11</f>
        <v>134</v>
      </c>
      <c r="V2524" s="12">
        <f>IF($J2524=0,0,ROUND(MAX($J2524*1.4*1.5*1.6*1.6*2.2*2.715,354000000*(1.642074^(MIN($E2524,123)-117)))*1,0))</f>
        <v>6940002232</v>
      </c>
      <c r="W2524" s="13">
        <f>$E2524+15</f>
        <v>138</v>
      </c>
      <c r="X2524" s="14">
        <f>IF($J2524=0,0,ROUND(MAX($J2524*1.4*1.5*1.6*1.6*2.2*2.715*2.6,3540000000*(1.579646^(MIN($E2524,123)-117)))*1,0))</f>
        <v>54999899335</v>
      </c>
      <c r="Y2524" s="11">
        <f>$E2524+17</f>
        <v>140</v>
      </c>
      <c r="Z2524" s="12">
        <f>IF($J2524=0,0,ROUND(MAX($J2524*1.4*1.5*1.6*1.6*2.2*2.715*2.6*1.4,6020000000*(1.651178^(MIN($E2524,123)-117)))*1,0))</f>
        <v>122000006103</v>
      </c>
      <c r="AA2524" s="13">
        <f>$E2524+19</f>
        <v>142</v>
      </c>
      <c r="AB2524" s="14">
        <f>IF($J2524=0,0,ROUND(MAX($J2524*1.4*1.5*1.6*1.6*2.2*2.715*2.6*1.4*1.4,8430000000*(1.651435^(MIN($E2524,123)-117)))*1,0))</f>
        <v>171000146547</v>
      </c>
      <c r="AC2524" s="11">
        <f>$E2524+21</f>
        <v>144</v>
      </c>
      <c r="AD2524" s="12">
        <f>IF($J2524=0,0,ROUND(MAX($J2524*1.4*1.5*1.6*1.6*2.2*2.715*2.6*1.4*1.4*1.5,12600000000*(1.652953^(MIN($E2524,123)-117)))*1,0))</f>
        <v>257000267475</v>
      </c>
      <c r="AE2524" s="13">
        <f>$E2524+24</f>
        <v>147</v>
      </c>
      <c r="AF2524" s="14">
        <f>IF($J2524=0,0,ROUND(MAX($J2524*1.4*1.5*1.6*1.6*2.2*2.715*2.6*1.4*1.4*1.5*1.5,18900000000*(1.65331^(MIN($E2524,123)-117)))*1,0))</f>
        <v>386000226581</v>
      </c>
      <c r="AG2524" s="11">
        <f>$E2524+27</f>
        <v>150</v>
      </c>
      <c r="AH2524" s="12">
        <f>IF($J2524=0,0,ROUND(MAX($J2524*1.4*1.5*1.6*1.6*2.2*2.715*2.6*1.4*1.4*1.5*1.5*3.2,60500000000*(1.654288^(MIN($E2524,123)-117)))*1,0))</f>
        <v>1240001159555</v>
      </c>
    </row>
    <row r="2525" ht="28" customHeight="1" spans="1:34" x14ac:dyDescent="0.25">
      <c r="A2525">
        <v>2535</v>
      </c>
      <c r="B2525" t="s">
        <v>234</v>
      </c>
      <c r="C2525" s="10" t="s">
        <v>1533</v>
      </c>
      <c r="D2525" t="s">
        <v>40</v>
      </c>
      <c r="E2525">
        <v>122</v>
      </c>
      <c r="F2525" t="s">
        <v>223</v>
      </c>
      <c r="G2525" t="s">
        <v>185</v>
      </c>
      <c r="H2525">
        <v>31</v>
      </c>
      <c r="I2525" s="11">
        <v>122</v>
      </c>
      <c r="J2525" s="12">
        <v>3240000</v>
      </c>
      <c r="K2525" s="13">
        <f>$E2525+1</f>
        <v>123</v>
      </c>
      <c r="L2525" s="14">
        <f>IF($J2525=0,0,ROUND(MAX($J2525*1.4,1620000*(1.497923^(MIN($E2525,123)-117)))*1,0))</f>
        <v>12216941</v>
      </c>
      <c r="M2525" s="11">
        <f>$E2525+2</f>
        <v>124</v>
      </c>
      <c r="N2525" s="12">
        <f>IF($J2525=0,0,ROUND(MAX($J2525*1.4*1.5,2190000*(1.580994^(MIN($E2525,123)-117)))*1,0))</f>
        <v>21631928</v>
      </c>
      <c r="O2525" s="13">
        <f>$E2525+4</f>
        <v>126</v>
      </c>
      <c r="P2525" s="14">
        <f>IF($J2525=0,0,ROUND(MAX($J2525*1.4*1.5*1.6,3500000*(1.57975^(MIN($E2525,123)-117)))*1,0))</f>
        <v>34435775</v>
      </c>
      <c r="Q2525" s="11">
        <f>$E2525+6</f>
        <v>128</v>
      </c>
      <c r="R2525" s="12">
        <f>IF($J2525=0,0,ROUND(MAX($J2525*1.4*1.5*1.6*1.6,13100000*(1.429962^(MIN($E2525,123)-117)))*1,0))</f>
        <v>78323805</v>
      </c>
      <c r="S2525" s="13">
        <f>$E2525+8</f>
        <v>130</v>
      </c>
      <c r="T2525" s="14">
        <f>IF($J2525=0,0,ROUND(MAX($J2525*1.4*1.5*1.6*1.6*2.2,42600000*(1.576904^(MIN($E2525,123)-117)))*1,0))</f>
        <v>415370714</v>
      </c>
      <c r="U2525" s="11">
        <f>$E2525+11</f>
        <v>133</v>
      </c>
      <c r="V2525" s="12">
        <f>IF($J2525=0,0,ROUND(MAX($J2525*1.4*1.5*1.6*1.6*2.2*2.715,354000000*(1.642074^(MIN($E2525,123)-117)))*1,0))</f>
        <v>4226363874</v>
      </c>
      <c r="W2525" s="13">
        <f>$E2525+15</f>
        <v>137</v>
      </c>
      <c r="X2525" s="14">
        <f>IF($J2525=0,0,ROUND(MAX($J2525*1.4*1.5*1.6*1.6*2.2*2.715*2.6,3540000000*(1.579646^(MIN($E2525,123)-117)))*1,0))</f>
        <v>34817863835</v>
      </c>
      <c r="Y2525" s="11">
        <f>$E2525+17</f>
        <v>139</v>
      </c>
      <c r="Z2525" s="12">
        <f>IF($J2525=0,0,ROUND(MAX($J2525*1.4*1.5*1.6*1.6*2.2*2.715*2.6*1.4,6020000000*(1.651178^(MIN($E2525,123)-117)))*1,0))</f>
        <v>73886647050</v>
      </c>
      <c r="AA2525" s="13">
        <f>$E2525+19</f>
        <v>141</v>
      </c>
      <c r="AB2525" s="14">
        <f>IF($J2525=0,0,ROUND(MAX($J2525*1.4*1.5*1.6*1.6*2.2*2.715*2.6*1.4*1.4,8430000000*(1.651435^(MIN($E2525,123)-117)))*1,0))</f>
        <v>103546398464</v>
      </c>
      <c r="AC2525" s="11">
        <f>$E2525+21</f>
        <v>143</v>
      </c>
      <c r="AD2525" s="12">
        <f>IF($J2525=0,0,ROUND(MAX($J2525*1.4*1.5*1.6*1.6*2.2*2.715*2.6*1.4*1.4*1.5,12600000000*(1.652953^(MIN($E2525,123)-117)))*1,0))</f>
        <v>155479476715</v>
      </c>
      <c r="AE2525" s="13">
        <f>$E2525+24</f>
        <v>146</v>
      </c>
      <c r="AF2525" s="14">
        <f>IF($J2525=0,0,ROUND(MAX($J2525*1.4*1.5*1.6*1.6*2.2*2.715*2.6*1.4*1.4*1.5*1.5,18900000000*(1.65331^(MIN($E2525,123)-117)))*1,0))</f>
        <v>233471173936</v>
      </c>
      <c r="AG2525" s="11">
        <f>$E2525+27</f>
        <v>149</v>
      </c>
      <c r="AH2525" s="12">
        <f>IF($J2525=0,0,ROUND(MAX($J2525*1.4*1.5*1.6*1.6*2.2*2.715*2.6*1.4*1.4*1.5*1.5*3.2,60500000000*(1.654288^(MIN($E2525,123)-117)))*1,0))</f>
        <v>749567886338</v>
      </c>
    </row>
    <row r="2526" ht="28" customHeight="1" spans="1:34" x14ac:dyDescent="0.25">
      <c r="A2526">
        <v>2536</v>
      </c>
      <c r="B2526" t="s">
        <v>229</v>
      </c>
      <c r="C2526" s="10" t="s">
        <v>1533</v>
      </c>
      <c r="D2526" t="s">
        <v>40</v>
      </c>
      <c r="E2526">
        <v>122</v>
      </c>
      <c r="F2526" t="s">
        <v>54</v>
      </c>
      <c r="G2526" t="s">
        <v>38</v>
      </c>
      <c r="H2526">
        <v>31</v>
      </c>
      <c r="I2526" s="11">
        <v>122</v>
      </c>
      <c r="J2526" s="12">
        <v>3590000</v>
      </c>
      <c r="K2526" s="13">
        <f>$E2526+1</f>
        <v>123</v>
      </c>
      <c r="L2526" s="14">
        <f>IF($J2526=0,0,ROUND(MAX($J2526*1.4,1620000*(1.497923^(MIN($E2526,123)-117)))*1,0))</f>
        <v>12216941</v>
      </c>
      <c r="M2526" s="11">
        <f>$E2526+2</f>
        <v>124</v>
      </c>
      <c r="N2526" s="12">
        <f>IF($J2526=0,0,ROUND(MAX($J2526*1.4*1.5,2190000*(1.580994^(MIN($E2526,123)-117)))*1,0))</f>
        <v>21631928</v>
      </c>
      <c r="O2526" s="13">
        <f>$E2526+4</f>
        <v>126</v>
      </c>
      <c r="P2526" s="14">
        <f>IF($J2526=0,0,ROUND(MAX($J2526*1.4*1.5*1.6,3500000*(1.57975^(MIN($E2526,123)-117)))*1,0))</f>
        <v>34435775</v>
      </c>
      <c r="Q2526" s="11">
        <f>$E2526+6</f>
        <v>128</v>
      </c>
      <c r="R2526" s="12">
        <f>IF($J2526=0,0,ROUND(MAX($J2526*1.4*1.5*1.6*1.6,13100000*(1.429962^(MIN($E2526,123)-117)))*1,0))</f>
        <v>78323805</v>
      </c>
      <c r="S2526" s="13">
        <f>$E2526+8</f>
        <v>130</v>
      </c>
      <c r="T2526" s="14">
        <f>IF($J2526=0,0,ROUND(MAX($J2526*1.4*1.5*1.6*1.6*2.2,42600000*(1.576904^(MIN($E2526,123)-117)))*1,0))</f>
        <v>415370714</v>
      </c>
      <c r="U2526" s="11">
        <f>$E2526+11</f>
        <v>133</v>
      </c>
      <c r="V2526" s="12">
        <f>IF($J2526=0,0,ROUND(MAX($J2526*1.4*1.5*1.6*1.6*2.2*2.715,354000000*(1.642074^(MIN($E2526,123)-117)))*1,0))</f>
        <v>4226363874</v>
      </c>
      <c r="W2526" s="13">
        <f>$E2526+15</f>
        <v>137</v>
      </c>
      <c r="X2526" s="14">
        <f>IF($J2526=0,0,ROUND(MAX($J2526*1.4*1.5*1.6*1.6*2.2*2.715*2.6,3540000000*(1.579646^(MIN($E2526,123)-117)))*1,0))</f>
        <v>34817863835</v>
      </c>
      <c r="Y2526" s="11">
        <f>$E2526+17</f>
        <v>139</v>
      </c>
      <c r="Z2526" s="12">
        <f>IF($J2526=0,0,ROUND(MAX($J2526*1.4*1.5*1.6*1.6*2.2*2.715*2.6*1.4,6020000000*(1.651178^(MIN($E2526,123)-117)))*1,0))</f>
        <v>73886647050</v>
      </c>
      <c r="AA2526" s="13">
        <f>$E2526+19</f>
        <v>141</v>
      </c>
      <c r="AB2526" s="14">
        <f>IF($J2526=0,0,ROUND(MAX($J2526*1.4*1.5*1.6*1.6*2.2*2.715*2.6*1.4*1.4,8430000000*(1.651435^(MIN($E2526,123)-117)))*1,0))</f>
        <v>103546398464</v>
      </c>
      <c r="AC2526" s="11">
        <f>$E2526+21</f>
        <v>143</v>
      </c>
      <c r="AD2526" s="12">
        <f>IF($J2526=0,0,ROUND(MAX($J2526*1.4*1.5*1.6*1.6*2.2*2.715*2.6*1.4*1.4*1.5,12600000000*(1.652953^(MIN($E2526,123)-117)))*1,0))</f>
        <v>155479476715</v>
      </c>
      <c r="AE2526" s="13">
        <f>$E2526+24</f>
        <v>146</v>
      </c>
      <c r="AF2526" s="14">
        <f>IF($J2526=0,0,ROUND(MAX($J2526*1.4*1.5*1.6*1.6*2.2*2.715*2.6*1.4*1.4*1.5*1.5,18900000000*(1.65331^(MIN($E2526,123)-117)))*1,0))</f>
        <v>233471173936</v>
      </c>
      <c r="AG2526" s="11">
        <f>$E2526+27</f>
        <v>149</v>
      </c>
      <c r="AH2526" s="12">
        <f>IF($J2526=0,0,ROUND(MAX($J2526*1.4*1.5*1.6*1.6*2.2*2.715*2.6*1.4*1.4*1.5*1.5*3.2,60500000000*(1.654288^(MIN($E2526,123)-117)))*1,0))</f>
        <v>749567886338</v>
      </c>
    </row>
    <row r="2527" ht="28" customHeight="1" spans="1:34" x14ac:dyDescent="0.25">
      <c r="A2527">
        <v>2537</v>
      </c>
      <c r="B2527" t="s">
        <v>269</v>
      </c>
      <c r="C2527" s="10" t="s">
        <v>1533</v>
      </c>
      <c r="D2527" t="s">
        <v>64</v>
      </c>
      <c r="E2527">
        <v>122</v>
      </c>
      <c r="F2527" t="s">
        <v>26</v>
      </c>
      <c r="G2527" t="s">
        <v>270</v>
      </c>
      <c r="H2527">
        <v>31</v>
      </c>
      <c r="I2527" s="11">
        <v>122</v>
      </c>
      <c r="J2527" s="12">
        <v>3880000</v>
      </c>
      <c r="K2527" s="13">
        <f>$E2527+1</f>
        <v>123</v>
      </c>
      <c r="L2527" s="14">
        <f>IF($J2527=0,0,ROUND(MAX($J2527*1.4,1620000*(1.497923^(MIN($E2527,123)-117)))*1,0))</f>
        <v>12216941</v>
      </c>
      <c r="M2527" s="11">
        <f>$E2527+2</f>
        <v>124</v>
      </c>
      <c r="N2527" s="12">
        <f>IF($J2527=0,0,ROUND(MAX($J2527*1.4*1.5,2190000*(1.580994^(MIN($E2527,123)-117)))*1,0))</f>
        <v>21631928</v>
      </c>
      <c r="O2527" s="13">
        <f>$E2527+4</f>
        <v>126</v>
      </c>
      <c r="P2527" s="14">
        <f>IF($J2527=0,0,ROUND(MAX($J2527*1.4*1.5*1.6,3500000*(1.57975^(MIN($E2527,123)-117)))*1,0))</f>
        <v>34435775</v>
      </c>
      <c r="Q2527" s="11">
        <f>$E2527+6</f>
        <v>128</v>
      </c>
      <c r="R2527" s="12">
        <f>IF($J2527=0,0,ROUND(MAX($J2527*1.4*1.5*1.6*1.6,13100000*(1.429962^(MIN($E2527,123)-117)))*1,0))</f>
        <v>78323805</v>
      </c>
      <c r="S2527" s="13">
        <f>$E2527+8</f>
        <v>130</v>
      </c>
      <c r="T2527" s="14">
        <f>IF($J2527=0,0,ROUND(MAX($J2527*1.4*1.5*1.6*1.6*2.2,42600000*(1.576904^(MIN($E2527,123)-117)))*1,0))</f>
        <v>415370714</v>
      </c>
      <c r="U2527" s="11">
        <f>$E2527+11</f>
        <v>133</v>
      </c>
      <c r="V2527" s="12">
        <f>IF($J2527=0,0,ROUND(MAX($J2527*1.4*1.5*1.6*1.6*2.2*2.715,354000000*(1.642074^(MIN($E2527,123)-117)))*1,0))</f>
        <v>4226363874</v>
      </c>
      <c r="W2527" s="13">
        <f>$E2527+15</f>
        <v>137</v>
      </c>
      <c r="X2527" s="14">
        <f>IF($J2527=0,0,ROUND(MAX($J2527*1.4*1.5*1.6*1.6*2.2*2.715*2.6,3540000000*(1.579646^(MIN($E2527,123)-117)))*1,0))</f>
        <v>34817863835</v>
      </c>
      <c r="Y2527" s="11">
        <f>$E2527+17</f>
        <v>139</v>
      </c>
      <c r="Z2527" s="12">
        <f>IF($J2527=0,0,ROUND(MAX($J2527*1.4*1.5*1.6*1.6*2.2*2.715*2.6*1.4,6020000000*(1.651178^(MIN($E2527,123)-117)))*1,0))</f>
        <v>73886647050</v>
      </c>
      <c r="AA2527" s="13">
        <f>$E2527+19</f>
        <v>141</v>
      </c>
      <c r="AB2527" s="14">
        <f>IF($J2527=0,0,ROUND(MAX($J2527*1.4*1.5*1.6*1.6*2.2*2.715*2.6*1.4*1.4,8430000000*(1.651435^(MIN($E2527,123)-117)))*1,0))</f>
        <v>103546398464</v>
      </c>
      <c r="AC2527" s="11">
        <f>$E2527+21</f>
        <v>143</v>
      </c>
      <c r="AD2527" s="12">
        <f>IF($J2527=0,0,ROUND(MAX($J2527*1.4*1.5*1.6*1.6*2.2*2.715*2.6*1.4*1.4*1.5,12600000000*(1.652953^(MIN($E2527,123)-117)))*1,0))</f>
        <v>155479476715</v>
      </c>
      <c r="AE2527" s="13">
        <f>$E2527+24</f>
        <v>146</v>
      </c>
      <c r="AF2527" s="14">
        <f>IF($J2527=0,0,ROUND(MAX($J2527*1.4*1.5*1.6*1.6*2.2*2.715*2.6*1.4*1.4*1.5*1.5,18900000000*(1.65331^(MIN($E2527,123)-117)))*1,0))</f>
        <v>233471173936</v>
      </c>
      <c r="AG2527" s="11">
        <f>$E2527+27</f>
        <v>149</v>
      </c>
      <c r="AH2527" s="12">
        <f>IF($J2527=0,0,ROUND(MAX($J2527*1.4*1.5*1.6*1.6*2.2*2.715*2.6*1.4*1.4*1.5*1.5*3.2,60500000000*(1.654288^(MIN($E2527,123)-117)))*1,0))</f>
        <v>749567886338</v>
      </c>
    </row>
    <row r="2528" ht="28" customHeight="1" spans="1:34" x14ac:dyDescent="0.25">
      <c r="A2528">
        <v>2538</v>
      </c>
      <c r="B2528" t="s">
        <v>1249</v>
      </c>
      <c r="C2528" s="10" t="s">
        <v>1533</v>
      </c>
      <c r="D2528" t="s">
        <v>33</v>
      </c>
      <c r="E2528">
        <v>122</v>
      </c>
      <c r="F2528" t="s">
        <v>26</v>
      </c>
      <c r="G2528" t="s">
        <v>171</v>
      </c>
      <c r="H2528">
        <v>29</v>
      </c>
      <c r="I2528" s="11">
        <v>122</v>
      </c>
      <c r="J2528" s="12">
        <v>3380000</v>
      </c>
      <c r="K2528" s="13">
        <f>$E2528+1</f>
        <v>123</v>
      </c>
      <c r="L2528" s="14">
        <f>IF($J2528=0,0,ROUND(MAX($J2528*1.4,1620000*(1.497923^(MIN($E2528,123)-117)))*1,0))</f>
        <v>12216941</v>
      </c>
      <c r="M2528" s="11">
        <f>$E2528+2</f>
        <v>124</v>
      </c>
      <c r="N2528" s="12">
        <f>IF($J2528=0,0,ROUND(MAX($J2528*1.4*1.5,2190000*(1.580994^(MIN($E2528,123)-117)))*1,0))</f>
        <v>21631928</v>
      </c>
      <c r="O2528" s="13">
        <f>$E2528+4</f>
        <v>126</v>
      </c>
      <c r="P2528" s="14">
        <f>IF($J2528=0,0,ROUND(MAX($J2528*1.4*1.5*1.6,3500000*(1.57975^(MIN($E2528,123)-117)))*1,0))</f>
        <v>34435775</v>
      </c>
      <c r="Q2528" s="11">
        <f>$E2528+6</f>
        <v>128</v>
      </c>
      <c r="R2528" s="12">
        <f>IF($J2528=0,0,ROUND(MAX($J2528*1.4*1.5*1.6*1.6,13100000*(1.429962^(MIN($E2528,123)-117)))*1,0))</f>
        <v>78323805</v>
      </c>
      <c r="S2528" s="13">
        <f>$E2528+8</f>
        <v>130</v>
      </c>
      <c r="T2528" s="14">
        <f>IF($J2528=0,0,ROUND(MAX($J2528*1.4*1.5*1.6*1.6*2.2,42600000*(1.576904^(MIN($E2528,123)-117)))*1,0))</f>
        <v>415370714</v>
      </c>
      <c r="U2528" s="11">
        <f>$E2528+11</f>
        <v>133</v>
      </c>
      <c r="V2528" s="12">
        <f>IF($J2528=0,0,ROUND(MAX($J2528*1.4*1.5*1.6*1.6*2.2*2.715,354000000*(1.642074^(MIN($E2528,123)-117)))*1,0))</f>
        <v>4226363874</v>
      </c>
      <c r="W2528" s="13">
        <f>$E2528+15</f>
        <v>137</v>
      </c>
      <c r="X2528" s="14">
        <f>IF($J2528=0,0,ROUND(MAX($J2528*1.4*1.5*1.6*1.6*2.2*2.715*2.6,3540000000*(1.579646^(MIN($E2528,123)-117)))*1,0))</f>
        <v>34817863835</v>
      </c>
      <c r="Y2528" s="11">
        <f>$E2528+17</f>
        <v>139</v>
      </c>
      <c r="Z2528" s="12">
        <f>IF($J2528=0,0,ROUND(MAX($J2528*1.4*1.5*1.6*1.6*2.2*2.715*2.6*1.4,6020000000*(1.651178^(MIN($E2528,123)-117)))*1,0))</f>
        <v>73886647050</v>
      </c>
      <c r="AA2528" s="13">
        <f>$E2528+19</f>
        <v>141</v>
      </c>
      <c r="AB2528" s="14">
        <f>IF($J2528=0,0,ROUND(MAX($J2528*1.4*1.5*1.6*1.6*2.2*2.715*2.6*1.4*1.4,8430000000*(1.651435^(MIN($E2528,123)-117)))*1,0))</f>
        <v>103546398464</v>
      </c>
      <c r="AC2528" s="11">
        <f>$E2528+21</f>
        <v>143</v>
      </c>
      <c r="AD2528" s="12">
        <f>IF($J2528=0,0,ROUND(MAX($J2528*1.4*1.5*1.6*1.6*2.2*2.715*2.6*1.4*1.4*1.5,12600000000*(1.652953^(MIN($E2528,123)-117)))*1,0))</f>
        <v>155479476715</v>
      </c>
      <c r="AE2528" s="13">
        <f>$E2528+24</f>
        <v>146</v>
      </c>
      <c r="AF2528" s="14">
        <f>IF($J2528=0,0,ROUND(MAX($J2528*1.4*1.5*1.6*1.6*2.2*2.715*2.6*1.4*1.4*1.5*1.5,18900000000*(1.65331^(MIN($E2528,123)-117)))*1,0))</f>
        <v>233471173936</v>
      </c>
      <c r="AG2528" s="11">
        <f>$E2528+27</f>
        <v>149</v>
      </c>
      <c r="AH2528" s="12">
        <f>IF($J2528=0,0,ROUND(MAX($J2528*1.4*1.5*1.6*1.6*2.2*2.715*2.6*1.4*1.4*1.5*1.5*3.2,60500000000*(1.654288^(MIN($E2528,123)-117)))*1,0))</f>
        <v>749567886338</v>
      </c>
    </row>
    <row r="2529" ht="28" customHeight="1" spans="1:34" x14ac:dyDescent="0.25">
      <c r="A2529">
        <v>2539</v>
      </c>
      <c r="B2529" t="s">
        <v>231</v>
      </c>
      <c r="C2529" s="10" t="s">
        <v>1533</v>
      </c>
      <c r="D2529" t="s">
        <v>25</v>
      </c>
      <c r="E2529">
        <v>121</v>
      </c>
      <c r="F2529" t="s">
        <v>54</v>
      </c>
      <c r="G2529" t="s">
        <v>35</v>
      </c>
      <c r="H2529">
        <v>29</v>
      </c>
      <c r="I2529" s="11">
        <v>121</v>
      </c>
      <c r="J2529" s="12">
        <v>1970000</v>
      </c>
      <c r="K2529" s="13">
        <f>$E2529+1</f>
        <v>122</v>
      </c>
      <c r="L2529" s="14">
        <f>IF($J2529=0,0,ROUND(MAX($J2529*1.4,1620000*(1.497923^(MIN($E2529,123)-117)))*1,0))</f>
        <v>8155920</v>
      </c>
      <c r="M2529" s="11">
        <f>$E2529+2</f>
        <v>123</v>
      </c>
      <c r="N2529" s="12">
        <f>IF($J2529=0,0,ROUND(MAX($J2529*1.4*1.5,2190000*(1.580994^(MIN($E2529,123)-117)))*1,0))</f>
        <v>13682486</v>
      </c>
      <c r="O2529" s="13">
        <f>$E2529+4</f>
        <v>125</v>
      </c>
      <c r="P2529" s="14">
        <f>IF($J2529=0,0,ROUND(MAX($J2529*1.4*1.5*1.6,3500000*(1.57975^(MIN($E2529,123)-117)))*1,0))</f>
        <v>21798244</v>
      </c>
      <c r="Q2529" s="11">
        <f>$E2529+6</f>
        <v>127</v>
      </c>
      <c r="R2529" s="12">
        <f>IF($J2529=0,0,ROUND(MAX($J2529*1.4*1.5*1.6*1.6,13100000*(1.429962^(MIN($E2529,123)-117)))*1,0))</f>
        <v>54773347</v>
      </c>
      <c r="S2529" s="13">
        <f>$E2529+8</f>
        <v>129</v>
      </c>
      <c r="T2529" s="14">
        <f>IF($J2529=0,0,ROUND(MAX($J2529*1.4*1.5*1.6*1.6*2.2,42600000*(1.576904^(MIN($E2529,123)-117)))*1,0))</f>
        <v>263409005</v>
      </c>
      <c r="U2529" s="11">
        <f>$E2529+11</f>
        <v>132</v>
      </c>
      <c r="V2529" s="12">
        <f>IF($J2529=0,0,ROUND(MAX($J2529*1.4*1.5*1.6*1.6*2.2*2.715,354000000*(1.642074^(MIN($E2529,123)-117)))*1,0))</f>
        <v>2573796232</v>
      </c>
      <c r="W2529" s="13">
        <f>$E2529+15</f>
        <v>136</v>
      </c>
      <c r="X2529" s="14">
        <f>IF($J2529=0,0,ROUND(MAX($J2529*1.4*1.5*1.6*1.6*2.2*2.715*2.6,3540000000*(1.579646^(MIN($E2529,123)-117)))*1,0))</f>
        <v>22041561106</v>
      </c>
      <c r="Y2529" s="11">
        <f>$E2529+17</f>
        <v>138</v>
      </c>
      <c r="Z2529" s="12">
        <f>IF($J2529=0,0,ROUND(MAX($J2529*1.4*1.5*1.6*1.6*2.2*2.715*2.6*1.4,6020000000*(1.651178^(MIN($E2529,123)-117)))*1,0))</f>
        <v>44747838846</v>
      </c>
      <c r="AA2529" s="13">
        <f>$E2529+19</f>
        <v>140</v>
      </c>
      <c r="AB2529" s="14">
        <f>IF($J2529=0,0,ROUND(MAX($J2529*1.4*1.5*1.6*1.6*2.2*2.715*2.6*1.4*1.4,8430000000*(1.651435^(MIN($E2529,123)-117)))*1,0))</f>
        <v>62700862258</v>
      </c>
      <c r="AC2529" s="11">
        <f>$E2529+21</f>
        <v>142</v>
      </c>
      <c r="AD2529" s="12">
        <f>IF($J2529=0,0,ROUND(MAX($J2529*1.4*1.5*1.6*1.6*2.2*2.715*2.6*1.4*1.4*1.5,12600000000*(1.652953^(MIN($E2529,123)-117)))*1,0))</f>
        <v>94061644049</v>
      </c>
      <c r="AE2529" s="13">
        <f>$E2529+24</f>
        <v>145</v>
      </c>
      <c r="AF2529" s="14">
        <f>IF($J2529=0,0,ROUND(MAX($J2529*1.4*1.5*1.6*1.6*2.2*2.715*2.6*1.4*1.4*1.5*1.5,18900000000*(1.65331^(MIN($E2529,123)-117)))*1,0))</f>
        <v>141214396536</v>
      </c>
      <c r="AG2529" s="11">
        <f>$E2529+27</f>
        <v>148</v>
      </c>
      <c r="AH2529" s="12">
        <f>IF($J2529=0,0,ROUND(MAX($J2529*1.4*1.5*1.6*1.6*2.2*2.715*2.6*1.4*1.4*1.5*1.5*3.2,60500000000*(1.654288^(MIN($E2529,123)-117)))*1,0))</f>
        <v>453106040991</v>
      </c>
    </row>
    <row r="2530" ht="28" customHeight="1" spans="1:34" x14ac:dyDescent="0.25">
      <c r="A2530">
        <v>2540</v>
      </c>
      <c r="B2530" t="s">
        <v>1534</v>
      </c>
      <c r="C2530" s="10" t="s">
        <v>1533</v>
      </c>
      <c r="D2530" t="s">
        <v>64</v>
      </c>
      <c r="E2530">
        <v>121</v>
      </c>
      <c r="F2530" t="s">
        <v>310</v>
      </c>
      <c r="G2530" t="s">
        <v>185</v>
      </c>
      <c r="H2530">
        <v>29</v>
      </c>
      <c r="I2530" s="11">
        <v>121</v>
      </c>
      <c r="J2530" s="12">
        <v>2070000</v>
      </c>
      <c r="K2530" s="13">
        <f>$E2530+1</f>
        <v>122</v>
      </c>
      <c r="L2530" s="14">
        <f>IF($J2530=0,0,ROUND(MAX($J2530*1.4,1620000*(1.497923^(MIN($E2530,123)-117)))*1,0))</f>
        <v>8155920</v>
      </c>
      <c r="M2530" s="11">
        <f>$E2530+2</f>
        <v>123</v>
      </c>
      <c r="N2530" s="12">
        <f>IF($J2530=0,0,ROUND(MAX($J2530*1.4*1.5,2190000*(1.580994^(MIN($E2530,123)-117)))*1,0))</f>
        <v>13682486</v>
      </c>
      <c r="O2530" s="13">
        <f>$E2530+4</f>
        <v>125</v>
      </c>
      <c r="P2530" s="14">
        <f>IF($J2530=0,0,ROUND(MAX($J2530*1.4*1.5*1.6,3500000*(1.57975^(MIN($E2530,123)-117)))*1,0))</f>
        <v>21798244</v>
      </c>
      <c r="Q2530" s="11">
        <f>$E2530+6</f>
        <v>127</v>
      </c>
      <c r="R2530" s="12">
        <f>IF($J2530=0,0,ROUND(MAX($J2530*1.4*1.5*1.6*1.6,13100000*(1.429962^(MIN($E2530,123)-117)))*1,0))</f>
        <v>54773347</v>
      </c>
      <c r="S2530" s="13">
        <f>$E2530+8</f>
        <v>129</v>
      </c>
      <c r="T2530" s="14">
        <f>IF($J2530=0,0,ROUND(MAX($J2530*1.4*1.5*1.6*1.6*2.2,42600000*(1.576904^(MIN($E2530,123)-117)))*1,0))</f>
        <v>263409005</v>
      </c>
      <c r="U2530" s="11">
        <f>$E2530+11</f>
        <v>132</v>
      </c>
      <c r="V2530" s="12">
        <f>IF($J2530=0,0,ROUND(MAX($J2530*1.4*1.5*1.6*1.6*2.2*2.715,354000000*(1.642074^(MIN($E2530,123)-117)))*1,0))</f>
        <v>2573796232</v>
      </c>
      <c r="W2530" s="13">
        <f>$E2530+15</f>
        <v>136</v>
      </c>
      <c r="X2530" s="14">
        <f>IF($J2530=0,0,ROUND(MAX($J2530*1.4*1.5*1.6*1.6*2.2*2.715*2.6,3540000000*(1.579646^(MIN($E2530,123)-117)))*1,0))</f>
        <v>22041561106</v>
      </c>
      <c r="Y2530" s="11">
        <f>$E2530+17</f>
        <v>138</v>
      </c>
      <c r="Z2530" s="12">
        <f>IF($J2530=0,0,ROUND(MAX($J2530*1.4*1.5*1.6*1.6*2.2*2.715*2.6*1.4,6020000000*(1.651178^(MIN($E2530,123)-117)))*1,0))</f>
        <v>44747838846</v>
      </c>
      <c r="AA2530" s="13">
        <f>$E2530+19</f>
        <v>140</v>
      </c>
      <c r="AB2530" s="14">
        <f>IF($J2530=0,0,ROUND(MAX($J2530*1.4*1.5*1.6*1.6*2.2*2.715*2.6*1.4*1.4,8430000000*(1.651435^(MIN($E2530,123)-117)))*1,0))</f>
        <v>62700862258</v>
      </c>
      <c r="AC2530" s="11">
        <f>$E2530+21</f>
        <v>142</v>
      </c>
      <c r="AD2530" s="12">
        <f>IF($J2530=0,0,ROUND(MAX($J2530*1.4*1.5*1.6*1.6*2.2*2.715*2.6*1.4*1.4*1.5,12600000000*(1.652953^(MIN($E2530,123)-117)))*1,0))</f>
        <v>94061644049</v>
      </c>
      <c r="AE2530" s="13">
        <f>$E2530+24</f>
        <v>145</v>
      </c>
      <c r="AF2530" s="14">
        <f>IF($J2530=0,0,ROUND(MAX($J2530*1.4*1.5*1.6*1.6*2.2*2.715*2.6*1.4*1.4*1.5*1.5,18900000000*(1.65331^(MIN($E2530,123)-117)))*1,0))</f>
        <v>141214396536</v>
      </c>
      <c r="AG2530" s="11">
        <f>$E2530+27</f>
        <v>148</v>
      </c>
      <c r="AH2530" s="12">
        <f>IF($J2530=0,0,ROUND(MAX($J2530*1.4*1.5*1.6*1.6*2.2*2.715*2.6*1.4*1.4*1.5*1.5*3.2,60500000000*(1.654288^(MIN($E2530,123)-117)))*1,0))</f>
        <v>453106040991</v>
      </c>
    </row>
    <row r="2531" ht="28" customHeight="1" spans="1:34" x14ac:dyDescent="0.25">
      <c r="A2531">
        <v>2541</v>
      </c>
      <c r="B2531" t="s">
        <v>233</v>
      </c>
      <c r="C2531" s="10" t="s">
        <v>1533</v>
      </c>
      <c r="D2531" t="s">
        <v>45</v>
      </c>
      <c r="E2531">
        <v>121</v>
      </c>
      <c r="F2531" t="s">
        <v>56</v>
      </c>
      <c r="G2531" t="s">
        <v>95</v>
      </c>
      <c r="H2531">
        <v>29</v>
      </c>
      <c r="I2531" s="11">
        <v>121</v>
      </c>
      <c r="J2531" s="12">
        <v>1920000</v>
      </c>
      <c r="K2531" s="13">
        <f>$E2531+1</f>
        <v>122</v>
      </c>
      <c r="L2531" s="14">
        <f>IF($J2531=0,0,ROUND(MAX($J2531*1.4,1620000*(1.497923^(MIN($E2531,123)-117)))*1,0))</f>
        <v>8155920</v>
      </c>
      <c r="M2531" s="11">
        <f>$E2531+2</f>
        <v>123</v>
      </c>
      <c r="N2531" s="12">
        <f>IF($J2531=0,0,ROUND(MAX($J2531*1.4*1.5,2190000*(1.580994^(MIN($E2531,123)-117)))*1,0))</f>
        <v>13682486</v>
      </c>
      <c r="O2531" s="13">
        <f>$E2531+4</f>
        <v>125</v>
      </c>
      <c r="P2531" s="14">
        <f>IF($J2531=0,0,ROUND(MAX($J2531*1.4*1.5*1.6,3500000*(1.57975^(MIN($E2531,123)-117)))*1,0))</f>
        <v>21798244</v>
      </c>
      <c r="Q2531" s="11">
        <f>$E2531+6</f>
        <v>127</v>
      </c>
      <c r="R2531" s="12">
        <f>IF($J2531=0,0,ROUND(MAX($J2531*1.4*1.5*1.6*1.6,13100000*(1.429962^(MIN($E2531,123)-117)))*1,0))</f>
        <v>54773347</v>
      </c>
      <c r="S2531" s="13">
        <f>$E2531+8</f>
        <v>129</v>
      </c>
      <c r="T2531" s="14">
        <f>IF($J2531=0,0,ROUND(MAX($J2531*1.4*1.5*1.6*1.6*2.2,42600000*(1.576904^(MIN($E2531,123)-117)))*1,0))</f>
        <v>263409005</v>
      </c>
      <c r="U2531" s="11">
        <f>$E2531+11</f>
        <v>132</v>
      </c>
      <c r="V2531" s="12">
        <f>IF($J2531=0,0,ROUND(MAX($J2531*1.4*1.5*1.6*1.6*2.2*2.715,354000000*(1.642074^(MIN($E2531,123)-117)))*1,0))</f>
        <v>2573796232</v>
      </c>
      <c r="W2531" s="13">
        <f>$E2531+15</f>
        <v>136</v>
      </c>
      <c r="X2531" s="14">
        <f>IF($J2531=0,0,ROUND(MAX($J2531*1.4*1.5*1.6*1.6*2.2*2.715*2.6,3540000000*(1.579646^(MIN($E2531,123)-117)))*1,0))</f>
        <v>22041561106</v>
      </c>
      <c r="Y2531" s="11">
        <f>$E2531+17</f>
        <v>138</v>
      </c>
      <c r="Z2531" s="12">
        <f>IF($J2531=0,0,ROUND(MAX($J2531*1.4*1.5*1.6*1.6*2.2*2.715*2.6*1.4,6020000000*(1.651178^(MIN($E2531,123)-117)))*1,0))</f>
        <v>44747838846</v>
      </c>
      <c r="AA2531" s="13">
        <f>$E2531+19</f>
        <v>140</v>
      </c>
      <c r="AB2531" s="14">
        <f>IF($J2531=0,0,ROUND(MAX($J2531*1.4*1.5*1.6*1.6*2.2*2.715*2.6*1.4*1.4,8430000000*(1.651435^(MIN($E2531,123)-117)))*1,0))</f>
        <v>62700862258</v>
      </c>
      <c r="AC2531" s="11">
        <f>$E2531+21</f>
        <v>142</v>
      </c>
      <c r="AD2531" s="12">
        <f>IF($J2531=0,0,ROUND(MAX($J2531*1.4*1.5*1.6*1.6*2.2*2.715*2.6*1.4*1.4*1.5,12600000000*(1.652953^(MIN($E2531,123)-117)))*1,0))</f>
        <v>94061644049</v>
      </c>
      <c r="AE2531" s="13">
        <f>$E2531+24</f>
        <v>145</v>
      </c>
      <c r="AF2531" s="14">
        <f>IF($J2531=0,0,ROUND(MAX($J2531*1.4*1.5*1.6*1.6*2.2*2.715*2.6*1.4*1.4*1.5*1.5,18900000000*(1.65331^(MIN($E2531,123)-117)))*1,0))</f>
        <v>141214396536</v>
      </c>
      <c r="AG2531" s="11">
        <f>$E2531+27</f>
        <v>148</v>
      </c>
      <c r="AH2531" s="12">
        <f>IF($J2531=0,0,ROUND(MAX($J2531*1.4*1.5*1.6*1.6*2.2*2.715*2.6*1.4*1.4*1.5*1.5*3.2,60500000000*(1.654288^(MIN($E2531,123)-117)))*1,0))</f>
        <v>453106040991</v>
      </c>
    </row>
    <row r="2532" ht="28" customHeight="1" spans="1:34" x14ac:dyDescent="0.25">
      <c r="A2532">
        <v>2542</v>
      </c>
      <c r="B2532" t="s">
        <v>1343</v>
      </c>
      <c r="C2532" s="10" t="s">
        <v>1533</v>
      </c>
      <c r="D2532" t="s">
        <v>102</v>
      </c>
      <c r="E2532">
        <v>121</v>
      </c>
      <c r="F2532" t="s">
        <v>71</v>
      </c>
      <c r="G2532" t="s">
        <v>95</v>
      </c>
      <c r="H2532">
        <v>28</v>
      </c>
      <c r="I2532" s="11">
        <v>121</v>
      </c>
      <c r="J2532" s="12">
        <v>2080000</v>
      </c>
      <c r="K2532" s="13">
        <f>$E2532+1</f>
        <v>122</v>
      </c>
      <c r="L2532" s="14">
        <f>IF($J2532=0,0,ROUND(MAX($J2532*1.4,1620000*(1.497923^(MIN($E2532,123)-117)))*1,0))</f>
        <v>8155920</v>
      </c>
      <c r="M2532" s="11">
        <f>$E2532+2</f>
        <v>123</v>
      </c>
      <c r="N2532" s="12">
        <f>IF($J2532=0,0,ROUND(MAX($J2532*1.4*1.5,2190000*(1.580994^(MIN($E2532,123)-117)))*1,0))</f>
        <v>13682486</v>
      </c>
      <c r="O2532" s="13">
        <f>$E2532+4</f>
        <v>125</v>
      </c>
      <c r="P2532" s="14">
        <f>IF($J2532=0,0,ROUND(MAX($J2532*1.4*1.5*1.6,3500000*(1.57975^(MIN($E2532,123)-117)))*1,0))</f>
        <v>21798244</v>
      </c>
      <c r="Q2532" s="11">
        <f>$E2532+6</f>
        <v>127</v>
      </c>
      <c r="R2532" s="12">
        <f>IF($J2532=0,0,ROUND(MAX($J2532*1.4*1.5*1.6*1.6,13100000*(1.429962^(MIN($E2532,123)-117)))*1,0))</f>
        <v>54773347</v>
      </c>
      <c r="S2532" s="13">
        <f>$E2532+8</f>
        <v>129</v>
      </c>
      <c r="T2532" s="14">
        <f>IF($J2532=0,0,ROUND(MAX($J2532*1.4*1.5*1.6*1.6*2.2,42600000*(1.576904^(MIN($E2532,123)-117)))*1,0))</f>
        <v>263409005</v>
      </c>
      <c r="U2532" s="11">
        <f>$E2532+11</f>
        <v>132</v>
      </c>
      <c r="V2532" s="12">
        <f>IF($J2532=0,0,ROUND(MAX($J2532*1.4*1.5*1.6*1.6*2.2*2.715,354000000*(1.642074^(MIN($E2532,123)-117)))*1,0))</f>
        <v>2573796232</v>
      </c>
      <c r="W2532" s="13">
        <f>$E2532+15</f>
        <v>136</v>
      </c>
      <c r="X2532" s="14">
        <f>IF($J2532=0,0,ROUND(MAX($J2532*1.4*1.5*1.6*1.6*2.2*2.715*2.6,3540000000*(1.579646^(MIN($E2532,123)-117)))*1,0))</f>
        <v>22041561106</v>
      </c>
      <c r="Y2532" s="11">
        <f>$E2532+17</f>
        <v>138</v>
      </c>
      <c r="Z2532" s="12">
        <f>IF($J2532=0,0,ROUND(MAX($J2532*1.4*1.5*1.6*1.6*2.2*2.715*2.6*1.4,6020000000*(1.651178^(MIN($E2532,123)-117)))*1,0))</f>
        <v>44747838846</v>
      </c>
      <c r="AA2532" s="13">
        <f>$E2532+19</f>
        <v>140</v>
      </c>
      <c r="AB2532" s="14">
        <f>IF($J2532=0,0,ROUND(MAX($J2532*1.4*1.5*1.6*1.6*2.2*2.715*2.6*1.4*1.4,8430000000*(1.651435^(MIN($E2532,123)-117)))*1,0))</f>
        <v>62700862258</v>
      </c>
      <c r="AC2532" s="11">
        <f>$E2532+21</f>
        <v>142</v>
      </c>
      <c r="AD2532" s="12">
        <f>IF($J2532=0,0,ROUND(MAX($J2532*1.4*1.5*1.6*1.6*2.2*2.715*2.6*1.4*1.4*1.5,12600000000*(1.652953^(MIN($E2532,123)-117)))*1,0))</f>
        <v>94061644049</v>
      </c>
      <c r="AE2532" s="13">
        <f>$E2532+24</f>
        <v>145</v>
      </c>
      <c r="AF2532" s="14">
        <f>IF($J2532=0,0,ROUND(MAX($J2532*1.4*1.5*1.6*1.6*2.2*2.715*2.6*1.4*1.4*1.5*1.5,18900000000*(1.65331^(MIN($E2532,123)-117)))*1,0))</f>
        <v>141214396536</v>
      </c>
      <c r="AG2532" s="11">
        <f>$E2532+27</f>
        <v>148</v>
      </c>
      <c r="AH2532" s="12">
        <f>IF($J2532=0,0,ROUND(MAX($J2532*1.4*1.5*1.6*1.6*2.2*2.715*2.6*1.4*1.4*1.5*1.5*3.2,60500000000*(1.654288^(MIN($E2532,123)-117)))*1,0))</f>
        <v>453106040991</v>
      </c>
    </row>
    <row r="2533" ht="28" customHeight="1" spans="1:34" x14ac:dyDescent="0.25">
      <c r="A2533">
        <v>2543</v>
      </c>
      <c r="B2533" t="s">
        <v>1246</v>
      </c>
      <c r="C2533" s="10" t="s">
        <v>1533</v>
      </c>
      <c r="D2533" t="s">
        <v>45</v>
      </c>
      <c r="E2533">
        <v>121</v>
      </c>
      <c r="F2533" t="s">
        <v>71</v>
      </c>
      <c r="G2533" t="s">
        <v>95</v>
      </c>
      <c r="H2533">
        <v>28</v>
      </c>
      <c r="I2533" s="11">
        <v>121</v>
      </c>
      <c r="J2533" s="12">
        <v>2070000</v>
      </c>
      <c r="K2533" s="13">
        <f>$E2533+1</f>
        <v>122</v>
      </c>
      <c r="L2533" s="14">
        <f>IF($J2533=0,0,ROUND(MAX($J2533*1.4,1620000*(1.497923^(MIN($E2533,123)-117)))*1,0))</f>
        <v>8155920</v>
      </c>
      <c r="M2533" s="11">
        <f>$E2533+2</f>
        <v>123</v>
      </c>
      <c r="N2533" s="12">
        <f>IF($J2533=0,0,ROUND(MAX($J2533*1.4*1.5,2190000*(1.580994^(MIN($E2533,123)-117)))*1,0))</f>
        <v>13682486</v>
      </c>
      <c r="O2533" s="13">
        <f>$E2533+4</f>
        <v>125</v>
      </c>
      <c r="P2533" s="14">
        <f>IF($J2533=0,0,ROUND(MAX($J2533*1.4*1.5*1.6,3500000*(1.57975^(MIN($E2533,123)-117)))*1,0))</f>
        <v>21798244</v>
      </c>
      <c r="Q2533" s="11">
        <f>$E2533+6</f>
        <v>127</v>
      </c>
      <c r="R2533" s="12">
        <f>IF($J2533=0,0,ROUND(MAX($J2533*1.4*1.5*1.6*1.6,13100000*(1.429962^(MIN($E2533,123)-117)))*1,0))</f>
        <v>54773347</v>
      </c>
      <c r="S2533" s="13">
        <f>$E2533+8</f>
        <v>129</v>
      </c>
      <c r="T2533" s="14">
        <f>IF($J2533=0,0,ROUND(MAX($J2533*1.4*1.5*1.6*1.6*2.2,42600000*(1.576904^(MIN($E2533,123)-117)))*1,0))</f>
        <v>263409005</v>
      </c>
      <c r="U2533" s="11">
        <f>$E2533+11</f>
        <v>132</v>
      </c>
      <c r="V2533" s="12">
        <f>IF($J2533=0,0,ROUND(MAX($J2533*1.4*1.5*1.6*1.6*2.2*2.715,354000000*(1.642074^(MIN($E2533,123)-117)))*1,0))</f>
        <v>2573796232</v>
      </c>
      <c r="W2533" s="13">
        <f>$E2533+15</f>
        <v>136</v>
      </c>
      <c r="X2533" s="14">
        <f>IF($J2533=0,0,ROUND(MAX($J2533*1.4*1.5*1.6*1.6*2.2*2.715*2.6,3540000000*(1.579646^(MIN($E2533,123)-117)))*1,0))</f>
        <v>22041561106</v>
      </c>
      <c r="Y2533" s="11">
        <f>$E2533+17</f>
        <v>138</v>
      </c>
      <c r="Z2533" s="12">
        <f>IF($J2533=0,0,ROUND(MAX($J2533*1.4*1.5*1.6*1.6*2.2*2.715*2.6*1.4,6020000000*(1.651178^(MIN($E2533,123)-117)))*1,0))</f>
        <v>44747838846</v>
      </c>
      <c r="AA2533" s="13">
        <f>$E2533+19</f>
        <v>140</v>
      </c>
      <c r="AB2533" s="14">
        <f>IF($J2533=0,0,ROUND(MAX($J2533*1.4*1.5*1.6*1.6*2.2*2.715*2.6*1.4*1.4,8430000000*(1.651435^(MIN($E2533,123)-117)))*1,0))</f>
        <v>62700862258</v>
      </c>
      <c r="AC2533" s="11">
        <f>$E2533+21</f>
        <v>142</v>
      </c>
      <c r="AD2533" s="12">
        <f>IF($J2533=0,0,ROUND(MAX($J2533*1.4*1.5*1.6*1.6*2.2*2.715*2.6*1.4*1.4*1.5,12600000000*(1.652953^(MIN($E2533,123)-117)))*1,0))</f>
        <v>94061644049</v>
      </c>
      <c r="AE2533" s="13">
        <f>$E2533+24</f>
        <v>145</v>
      </c>
      <c r="AF2533" s="14">
        <f>IF($J2533=0,0,ROUND(MAX($J2533*1.4*1.5*1.6*1.6*2.2*2.715*2.6*1.4*1.4*1.5*1.5,18900000000*(1.65331^(MIN($E2533,123)-117)))*1,0))</f>
        <v>141214396536</v>
      </c>
      <c r="AG2533" s="11">
        <f>$E2533+27</f>
        <v>148</v>
      </c>
      <c r="AH2533" s="12">
        <f>IF($J2533=0,0,ROUND(MAX($J2533*1.4*1.5*1.6*1.6*2.2*2.715*2.6*1.4*1.4*1.5*1.5*3.2,60500000000*(1.654288^(MIN($E2533,123)-117)))*1,0))</f>
        <v>453106040991</v>
      </c>
    </row>
    <row r="2534" ht="28" customHeight="1" spans="1:34" x14ac:dyDescent="0.25">
      <c r="A2534">
        <v>2544</v>
      </c>
      <c r="B2534" t="s">
        <v>1535</v>
      </c>
      <c r="C2534" s="10" t="s">
        <v>1533</v>
      </c>
      <c r="D2534" t="s">
        <v>33</v>
      </c>
      <c r="E2534">
        <v>121</v>
      </c>
      <c r="F2534" t="s">
        <v>26</v>
      </c>
      <c r="G2534" t="s">
        <v>60</v>
      </c>
      <c r="H2534">
        <v>28</v>
      </c>
      <c r="I2534" s="11">
        <v>121</v>
      </c>
      <c r="J2534" s="12">
        <v>2080000</v>
      </c>
      <c r="K2534" s="13">
        <f>$E2534+1</f>
        <v>122</v>
      </c>
      <c r="L2534" s="14">
        <f>IF($J2534=0,0,ROUND(MAX($J2534*1.4,1620000*(1.497923^(MIN($E2534,123)-117)))*1,0))</f>
        <v>8155920</v>
      </c>
      <c r="M2534" s="11">
        <f>$E2534+2</f>
        <v>123</v>
      </c>
      <c r="N2534" s="12">
        <f>IF($J2534=0,0,ROUND(MAX($J2534*1.4*1.5,2190000*(1.580994^(MIN($E2534,123)-117)))*1,0))</f>
        <v>13682486</v>
      </c>
      <c r="O2534" s="13">
        <f>$E2534+4</f>
        <v>125</v>
      </c>
      <c r="P2534" s="14">
        <f>IF($J2534=0,0,ROUND(MAX($J2534*1.4*1.5*1.6,3500000*(1.57975^(MIN($E2534,123)-117)))*1,0))</f>
        <v>21798244</v>
      </c>
      <c r="Q2534" s="11">
        <f>$E2534+6</f>
        <v>127</v>
      </c>
      <c r="R2534" s="12">
        <f>IF($J2534=0,0,ROUND(MAX($J2534*1.4*1.5*1.6*1.6,13100000*(1.429962^(MIN($E2534,123)-117)))*1,0))</f>
        <v>54773347</v>
      </c>
      <c r="S2534" s="13">
        <f>$E2534+8</f>
        <v>129</v>
      </c>
      <c r="T2534" s="14">
        <f>IF($J2534=0,0,ROUND(MAX($J2534*1.4*1.5*1.6*1.6*2.2,42600000*(1.576904^(MIN($E2534,123)-117)))*1,0))</f>
        <v>263409005</v>
      </c>
      <c r="U2534" s="11">
        <f>$E2534+11</f>
        <v>132</v>
      </c>
      <c r="V2534" s="12">
        <f>IF($J2534=0,0,ROUND(MAX($J2534*1.4*1.5*1.6*1.6*2.2*2.715,354000000*(1.642074^(MIN($E2534,123)-117)))*1,0))</f>
        <v>2573796232</v>
      </c>
      <c r="W2534" s="13">
        <f>$E2534+15</f>
        <v>136</v>
      </c>
      <c r="X2534" s="14">
        <f>IF($J2534=0,0,ROUND(MAX($J2534*1.4*1.5*1.6*1.6*2.2*2.715*2.6,3540000000*(1.579646^(MIN($E2534,123)-117)))*1,0))</f>
        <v>22041561106</v>
      </c>
      <c r="Y2534" s="11">
        <f>$E2534+17</f>
        <v>138</v>
      </c>
      <c r="Z2534" s="12">
        <f>IF($J2534=0,0,ROUND(MAX($J2534*1.4*1.5*1.6*1.6*2.2*2.715*2.6*1.4,6020000000*(1.651178^(MIN($E2534,123)-117)))*1,0))</f>
        <v>44747838846</v>
      </c>
      <c r="AA2534" s="13">
        <f>$E2534+19</f>
        <v>140</v>
      </c>
      <c r="AB2534" s="14">
        <f>IF($J2534=0,0,ROUND(MAX($J2534*1.4*1.5*1.6*1.6*2.2*2.715*2.6*1.4*1.4,8430000000*(1.651435^(MIN($E2534,123)-117)))*1,0))</f>
        <v>62700862258</v>
      </c>
      <c r="AC2534" s="11">
        <f>$E2534+21</f>
        <v>142</v>
      </c>
      <c r="AD2534" s="12">
        <f>IF($J2534=0,0,ROUND(MAX($J2534*1.4*1.5*1.6*1.6*2.2*2.715*2.6*1.4*1.4*1.5,12600000000*(1.652953^(MIN($E2534,123)-117)))*1,0))</f>
        <v>94061644049</v>
      </c>
      <c r="AE2534" s="13">
        <f>$E2534+24</f>
        <v>145</v>
      </c>
      <c r="AF2534" s="14">
        <f>IF($J2534=0,0,ROUND(MAX($J2534*1.4*1.5*1.6*1.6*2.2*2.715*2.6*1.4*1.4*1.5*1.5,18900000000*(1.65331^(MIN($E2534,123)-117)))*1,0))</f>
        <v>141214396536</v>
      </c>
      <c r="AG2534" s="11">
        <f>$E2534+27</f>
        <v>148</v>
      </c>
      <c r="AH2534" s="12">
        <f>IF($J2534=0,0,ROUND(MAX($J2534*1.4*1.5*1.6*1.6*2.2*2.715*2.6*1.4*1.4*1.5*1.5*3.2,60500000000*(1.654288^(MIN($E2534,123)-117)))*1,0))</f>
        <v>453106040991</v>
      </c>
    </row>
    <row r="2535" ht="28" customHeight="1" spans="1:34" x14ac:dyDescent="0.25">
      <c r="A2535">
        <v>2545</v>
      </c>
      <c r="B2535" t="s">
        <v>1536</v>
      </c>
      <c r="C2535" s="10" t="s">
        <v>1533</v>
      </c>
      <c r="D2535" t="s">
        <v>47</v>
      </c>
      <c r="E2535">
        <v>121</v>
      </c>
      <c r="F2535" t="s">
        <v>71</v>
      </c>
      <c r="G2535" t="s">
        <v>684</v>
      </c>
      <c r="H2535">
        <v>26</v>
      </c>
      <c r="I2535" s="11">
        <v>121</v>
      </c>
      <c r="J2535" s="12">
        <v>2010000</v>
      </c>
      <c r="K2535" s="13">
        <f>$E2535+1</f>
        <v>122</v>
      </c>
      <c r="L2535" s="14">
        <f>IF($J2535=0,0,ROUND(MAX($J2535*1.4,1620000*(1.497923^(MIN($E2535,123)-117)))*1,0))</f>
        <v>8155920</v>
      </c>
      <c r="M2535" s="11">
        <f>$E2535+2</f>
        <v>123</v>
      </c>
      <c r="N2535" s="12">
        <f>IF($J2535=0,0,ROUND(MAX($J2535*1.4*1.5,2190000*(1.580994^(MIN($E2535,123)-117)))*1,0))</f>
        <v>13682486</v>
      </c>
      <c r="O2535" s="13">
        <f>$E2535+4</f>
        <v>125</v>
      </c>
      <c r="P2535" s="14">
        <f>IF($J2535=0,0,ROUND(MAX($J2535*1.4*1.5*1.6,3500000*(1.57975^(MIN($E2535,123)-117)))*1,0))</f>
        <v>21798244</v>
      </c>
      <c r="Q2535" s="11">
        <f>$E2535+6</f>
        <v>127</v>
      </c>
      <c r="R2535" s="12">
        <f>IF($J2535=0,0,ROUND(MAX($J2535*1.4*1.5*1.6*1.6,13100000*(1.429962^(MIN($E2535,123)-117)))*1,0))</f>
        <v>54773347</v>
      </c>
      <c r="S2535" s="13">
        <f>$E2535+8</f>
        <v>129</v>
      </c>
      <c r="T2535" s="14">
        <f>IF($J2535=0,0,ROUND(MAX($J2535*1.4*1.5*1.6*1.6*2.2,42600000*(1.576904^(MIN($E2535,123)-117)))*1,0))</f>
        <v>263409005</v>
      </c>
      <c r="U2535" s="11">
        <f>$E2535+11</f>
        <v>132</v>
      </c>
      <c r="V2535" s="12">
        <f>IF($J2535=0,0,ROUND(MAX($J2535*1.4*1.5*1.6*1.6*2.2*2.715,354000000*(1.642074^(MIN($E2535,123)-117)))*1,0))</f>
        <v>2573796232</v>
      </c>
      <c r="W2535" s="13">
        <f>$E2535+15</f>
        <v>136</v>
      </c>
      <c r="X2535" s="14">
        <f>IF($J2535=0,0,ROUND(MAX($J2535*1.4*1.5*1.6*1.6*2.2*2.715*2.6,3540000000*(1.579646^(MIN($E2535,123)-117)))*1,0))</f>
        <v>22041561106</v>
      </c>
      <c r="Y2535" s="11">
        <f>$E2535+17</f>
        <v>138</v>
      </c>
      <c r="Z2535" s="12">
        <f>IF($J2535=0,0,ROUND(MAX($J2535*1.4*1.5*1.6*1.6*2.2*2.715*2.6*1.4,6020000000*(1.651178^(MIN($E2535,123)-117)))*1,0))</f>
        <v>44747838846</v>
      </c>
      <c r="AA2535" s="13">
        <f>$E2535+19</f>
        <v>140</v>
      </c>
      <c r="AB2535" s="14">
        <f>IF($J2535=0,0,ROUND(MAX($J2535*1.4*1.5*1.6*1.6*2.2*2.715*2.6*1.4*1.4,8430000000*(1.651435^(MIN($E2535,123)-117)))*1,0))</f>
        <v>62700862258</v>
      </c>
      <c r="AC2535" s="11">
        <f>$E2535+21</f>
        <v>142</v>
      </c>
      <c r="AD2535" s="12">
        <f>IF($J2535=0,0,ROUND(MAX($J2535*1.4*1.5*1.6*1.6*2.2*2.715*2.6*1.4*1.4*1.5,12600000000*(1.652953^(MIN($E2535,123)-117)))*1,0))</f>
        <v>94061644049</v>
      </c>
      <c r="AE2535" s="13">
        <f>$E2535+24</f>
        <v>145</v>
      </c>
      <c r="AF2535" s="14">
        <f>IF($J2535=0,0,ROUND(MAX($J2535*1.4*1.5*1.6*1.6*2.2*2.715*2.6*1.4*1.4*1.5*1.5,18900000000*(1.65331^(MIN($E2535,123)-117)))*1,0))</f>
        <v>141214396536</v>
      </c>
      <c r="AG2535" s="11">
        <f>$E2535+27</f>
        <v>148</v>
      </c>
      <c r="AH2535" s="12">
        <f>IF($J2535=0,0,ROUND(MAX($J2535*1.4*1.5*1.6*1.6*2.2*2.715*2.6*1.4*1.4*1.5*1.5*3.2,60500000000*(1.654288^(MIN($E2535,123)-117)))*1,0))</f>
        <v>453106040991</v>
      </c>
    </row>
    <row r="2536" ht="28" customHeight="1" spans="1:34" x14ac:dyDescent="0.25">
      <c r="A2536">
        <v>2546</v>
      </c>
      <c r="B2536" t="s">
        <v>772</v>
      </c>
      <c r="C2536" s="10" t="s">
        <v>1533</v>
      </c>
      <c r="D2536" t="s">
        <v>64</v>
      </c>
      <c r="E2536">
        <v>120</v>
      </c>
      <c r="F2536" t="s">
        <v>773</v>
      </c>
      <c r="G2536" t="s">
        <v>133</v>
      </c>
      <c r="H2536">
        <v>31</v>
      </c>
      <c r="I2536" s="11">
        <v>120</v>
      </c>
      <c r="J2536" s="12">
        <v>1340000</v>
      </c>
      <c r="K2536" s="13">
        <f>$E2536+1</f>
        <v>121</v>
      </c>
      <c r="L2536" s="14">
        <f>IF($J2536=0,0,ROUND(MAX($J2536*1.4,1620000*(1.497923^(MIN($E2536,123)-117)))*1,0))</f>
        <v>5444819</v>
      </c>
      <c r="M2536" s="11">
        <f>$E2536+2</f>
        <v>122</v>
      </c>
      <c r="N2536" s="12">
        <f>IF($J2536=0,0,ROUND(MAX($J2536*1.4*1.5,2190000*(1.580994^(MIN($E2536,123)-117)))*1,0))</f>
        <v>8654356</v>
      </c>
      <c r="O2536" s="13">
        <f>$E2536+4</f>
        <v>124</v>
      </c>
      <c r="P2536" s="14">
        <f>IF($J2536=0,0,ROUND(MAX($J2536*1.4*1.5*1.6,3500000*(1.57975^(MIN($E2536,123)-117)))*1,0))</f>
        <v>13798540</v>
      </c>
      <c r="Q2536" s="11">
        <f>$E2536+6</f>
        <v>126</v>
      </c>
      <c r="R2536" s="12">
        <f>IF($J2536=0,0,ROUND(MAX($J2536*1.4*1.5*1.6*1.6,13100000*(1.429962^(MIN($E2536,123)-117)))*1,0))</f>
        <v>38304058</v>
      </c>
      <c r="S2536" s="13">
        <f>$E2536+8</f>
        <v>128</v>
      </c>
      <c r="T2536" s="14">
        <f>IF($J2536=0,0,ROUND(MAX($J2536*1.4*1.5*1.6*1.6*2.2,42600000*(1.576904^(MIN($E2536,123)-117)))*1,0))</f>
        <v>167041878</v>
      </c>
      <c r="U2536" s="11">
        <f>$E2536+11</f>
        <v>131</v>
      </c>
      <c r="V2536" s="12">
        <f>IF($J2536=0,0,ROUND(MAX($J2536*1.4*1.5*1.6*1.6*2.2*2.715,354000000*(1.642074^(MIN($E2536,123)-117)))*1,0))</f>
        <v>1567405752</v>
      </c>
      <c r="W2536" s="13">
        <f>$E2536+15</f>
        <v>135</v>
      </c>
      <c r="X2536" s="14">
        <f>IF($J2536=0,0,ROUND(MAX($J2536*1.4*1.5*1.6*1.6*2.2*2.715*2.6,3540000000*(1.579646^(MIN($E2536,123)-117)))*1,0))</f>
        <v>13953481417</v>
      </c>
      <c r="Y2536" s="11">
        <f>$E2536+17</f>
        <v>137</v>
      </c>
      <c r="Z2536" s="12">
        <f>IF($J2536=0,0,ROUND(MAX($J2536*1.4*1.5*1.6*1.6*2.2*2.715*2.6*1.4,6020000000*(1.651178^(MIN($E2536,123)-117)))*1,0))</f>
        <v>27100554178</v>
      </c>
      <c r="AA2536" s="13">
        <f>$E2536+19</f>
        <v>139</v>
      </c>
      <c r="AB2536" s="14">
        <f>IF($J2536=0,0,ROUND(MAX($J2536*1.4*1.5*1.6*1.6*2.2*2.715*2.6*1.4*1.4,8430000000*(1.651435^(MIN($E2536,123)-117)))*1,0))</f>
        <v>37967502359</v>
      </c>
      <c r="AC2536" s="11">
        <f>$E2536+21</f>
        <v>141</v>
      </c>
      <c r="AD2536" s="12">
        <f>IF($J2536=0,0,ROUND(MAX($J2536*1.4*1.5*1.6*1.6*2.2*2.715*2.6*1.4*1.4*1.5,12600000000*(1.652953^(MIN($E2536,123)-117)))*1,0))</f>
        <v>56905213910</v>
      </c>
      <c r="AE2536" s="13">
        <f>$E2536+24</f>
        <v>144</v>
      </c>
      <c r="AF2536" s="14">
        <f>IF($J2536=0,0,ROUND(MAX($J2536*1.4*1.5*1.6*1.6*2.2*2.715*2.6*1.4*1.4*1.5*1.5,18900000000*(1.65331^(MIN($E2536,123)-117)))*1,0))</f>
        <v>85413138816</v>
      </c>
      <c r="AG2536" s="11">
        <f>$E2536+27</f>
        <v>147</v>
      </c>
      <c r="AH2536" s="12">
        <f>IF($J2536=0,0,ROUND(MAX($J2536*1.4*1.5*1.6*1.6*2.2*2.715*2.6*1.4*1.4*1.5*1.5*3.2,60500000000*(1.654288^(MIN($E2536,123)-117)))*1,0))</f>
        <v>273897919220</v>
      </c>
    </row>
    <row r="2537" ht="28" customHeight="1" spans="1:34" x14ac:dyDescent="0.25">
      <c r="A2537">
        <v>2547</v>
      </c>
      <c r="B2537" t="s">
        <v>1537</v>
      </c>
      <c r="C2537" s="10" t="s">
        <v>1533</v>
      </c>
      <c r="D2537" t="s">
        <v>40</v>
      </c>
      <c r="E2537">
        <v>120</v>
      </c>
      <c r="F2537" t="s">
        <v>42</v>
      </c>
      <c r="G2537" t="s">
        <v>562</v>
      </c>
      <c r="H2537">
        <v>31</v>
      </c>
      <c r="I2537" s="11">
        <v>120</v>
      </c>
      <c r="J2537" s="12">
        <v>1330000</v>
      </c>
      <c r="K2537" s="13">
        <f>$E2537+1</f>
        <v>121</v>
      </c>
      <c r="L2537" s="14">
        <f>IF($J2537=0,0,ROUND(MAX($J2537*1.4,1620000*(1.497923^(MIN($E2537,123)-117)))*1,0))</f>
        <v>5444819</v>
      </c>
      <c r="M2537" s="11">
        <f>$E2537+2</f>
        <v>122</v>
      </c>
      <c r="N2537" s="12">
        <f>IF($J2537=0,0,ROUND(MAX($J2537*1.4*1.5,2190000*(1.580994^(MIN($E2537,123)-117)))*1,0))</f>
        <v>8654356</v>
      </c>
      <c r="O2537" s="13">
        <f>$E2537+4</f>
        <v>124</v>
      </c>
      <c r="P2537" s="14">
        <f>IF($J2537=0,0,ROUND(MAX($J2537*1.4*1.5*1.6,3500000*(1.57975^(MIN($E2537,123)-117)))*1,0))</f>
        <v>13798540</v>
      </c>
      <c r="Q2537" s="11">
        <f>$E2537+6</f>
        <v>126</v>
      </c>
      <c r="R2537" s="12">
        <f>IF($J2537=0,0,ROUND(MAX($J2537*1.4*1.5*1.6*1.6,13100000*(1.429962^(MIN($E2537,123)-117)))*1,0))</f>
        <v>38304058</v>
      </c>
      <c r="S2537" s="13">
        <f>$E2537+8</f>
        <v>128</v>
      </c>
      <c r="T2537" s="14">
        <f>IF($J2537=0,0,ROUND(MAX($J2537*1.4*1.5*1.6*1.6*2.2,42600000*(1.576904^(MIN($E2537,123)-117)))*1,0))</f>
        <v>167041878</v>
      </c>
      <c r="U2537" s="11">
        <f>$E2537+11</f>
        <v>131</v>
      </c>
      <c r="V2537" s="12">
        <f>IF($J2537=0,0,ROUND(MAX($J2537*1.4*1.5*1.6*1.6*2.2*2.715,354000000*(1.642074^(MIN($E2537,123)-117)))*1,0))</f>
        <v>1567405752</v>
      </c>
      <c r="W2537" s="13">
        <f>$E2537+15</f>
        <v>135</v>
      </c>
      <c r="X2537" s="14">
        <f>IF($J2537=0,0,ROUND(MAX($J2537*1.4*1.5*1.6*1.6*2.2*2.715*2.6,3540000000*(1.579646^(MIN($E2537,123)-117)))*1,0))</f>
        <v>13953481417</v>
      </c>
      <c r="Y2537" s="11">
        <f>$E2537+17</f>
        <v>137</v>
      </c>
      <c r="Z2537" s="12">
        <f>IF($J2537=0,0,ROUND(MAX($J2537*1.4*1.5*1.6*1.6*2.2*2.715*2.6*1.4,6020000000*(1.651178^(MIN($E2537,123)-117)))*1,0))</f>
        <v>27100554178</v>
      </c>
      <c r="AA2537" s="13">
        <f>$E2537+19</f>
        <v>139</v>
      </c>
      <c r="AB2537" s="14">
        <f>IF($J2537=0,0,ROUND(MAX($J2537*1.4*1.5*1.6*1.6*2.2*2.715*2.6*1.4*1.4,8430000000*(1.651435^(MIN($E2537,123)-117)))*1,0))</f>
        <v>37967502359</v>
      </c>
      <c r="AC2537" s="11">
        <f>$E2537+21</f>
        <v>141</v>
      </c>
      <c r="AD2537" s="12">
        <f>IF($J2537=0,0,ROUND(MAX($J2537*1.4*1.5*1.6*1.6*2.2*2.715*2.6*1.4*1.4*1.5,12600000000*(1.652953^(MIN($E2537,123)-117)))*1,0))</f>
        <v>56905213910</v>
      </c>
      <c r="AE2537" s="13">
        <f>$E2537+24</f>
        <v>144</v>
      </c>
      <c r="AF2537" s="14">
        <f>IF($J2537=0,0,ROUND(MAX($J2537*1.4*1.5*1.6*1.6*2.2*2.715*2.6*1.4*1.4*1.5*1.5,18900000000*(1.65331^(MIN($E2537,123)-117)))*1,0))</f>
        <v>85413138816</v>
      </c>
      <c r="AG2537" s="11">
        <f>$E2537+27</f>
        <v>147</v>
      </c>
      <c r="AH2537" s="12">
        <f>IF($J2537=0,0,ROUND(MAX($J2537*1.4*1.5*1.6*1.6*2.2*2.715*2.6*1.4*1.4*1.5*1.5*3.2,60500000000*(1.654288^(MIN($E2537,123)-117)))*1,0))</f>
        <v>273897919220</v>
      </c>
    </row>
    <row r="2538" ht="28" customHeight="1" spans="1:34" x14ac:dyDescent="0.25">
      <c r="A2538">
        <v>2548</v>
      </c>
      <c r="B2538" t="s">
        <v>638</v>
      </c>
      <c r="C2538" s="10" t="s">
        <v>1533</v>
      </c>
      <c r="D2538" t="s">
        <v>25</v>
      </c>
      <c r="E2538">
        <v>120</v>
      </c>
      <c r="F2538" t="s">
        <v>310</v>
      </c>
      <c r="G2538" t="s">
        <v>27</v>
      </c>
      <c r="H2538">
        <v>31</v>
      </c>
      <c r="I2538" s="11">
        <v>120</v>
      </c>
      <c r="J2538" s="12">
        <v>1340000</v>
      </c>
      <c r="K2538" s="13">
        <f>$E2538+1</f>
        <v>121</v>
      </c>
      <c r="L2538" s="14">
        <f>IF($J2538=0,0,ROUND(MAX($J2538*1.4,1620000*(1.497923^(MIN($E2538,123)-117)))*1,0))</f>
        <v>5444819</v>
      </c>
      <c r="M2538" s="11">
        <f>$E2538+2</f>
        <v>122</v>
      </c>
      <c r="N2538" s="12">
        <f>IF($J2538=0,0,ROUND(MAX($J2538*1.4*1.5,2190000*(1.580994^(MIN($E2538,123)-117)))*1,0))</f>
        <v>8654356</v>
      </c>
      <c r="O2538" s="13">
        <f>$E2538+4</f>
        <v>124</v>
      </c>
      <c r="P2538" s="14">
        <f>IF($J2538=0,0,ROUND(MAX($J2538*1.4*1.5*1.6,3500000*(1.57975^(MIN($E2538,123)-117)))*1,0))</f>
        <v>13798540</v>
      </c>
      <c r="Q2538" s="11">
        <f>$E2538+6</f>
        <v>126</v>
      </c>
      <c r="R2538" s="12">
        <f>IF($J2538=0,0,ROUND(MAX($J2538*1.4*1.5*1.6*1.6,13100000*(1.429962^(MIN($E2538,123)-117)))*1,0))</f>
        <v>38304058</v>
      </c>
      <c r="S2538" s="13">
        <f>$E2538+8</f>
        <v>128</v>
      </c>
      <c r="T2538" s="14">
        <f>IF($J2538=0,0,ROUND(MAX($J2538*1.4*1.5*1.6*1.6*2.2,42600000*(1.576904^(MIN($E2538,123)-117)))*1,0))</f>
        <v>167041878</v>
      </c>
      <c r="U2538" s="11">
        <f>$E2538+11</f>
        <v>131</v>
      </c>
      <c r="V2538" s="12">
        <f>IF($J2538=0,0,ROUND(MAX($J2538*1.4*1.5*1.6*1.6*2.2*2.715,354000000*(1.642074^(MIN($E2538,123)-117)))*1,0))</f>
        <v>1567405752</v>
      </c>
      <c r="W2538" s="13">
        <f>$E2538+15</f>
        <v>135</v>
      </c>
      <c r="X2538" s="14">
        <f>IF($J2538=0,0,ROUND(MAX($J2538*1.4*1.5*1.6*1.6*2.2*2.715*2.6,3540000000*(1.579646^(MIN($E2538,123)-117)))*1,0))</f>
        <v>13953481417</v>
      </c>
      <c r="Y2538" s="11">
        <f>$E2538+17</f>
        <v>137</v>
      </c>
      <c r="Z2538" s="12">
        <f>IF($J2538=0,0,ROUND(MAX($J2538*1.4*1.5*1.6*1.6*2.2*2.715*2.6*1.4,6020000000*(1.651178^(MIN($E2538,123)-117)))*1,0))</f>
        <v>27100554178</v>
      </c>
      <c r="AA2538" s="13">
        <f>$E2538+19</f>
        <v>139</v>
      </c>
      <c r="AB2538" s="14">
        <f>IF($J2538=0,0,ROUND(MAX($J2538*1.4*1.5*1.6*1.6*2.2*2.715*2.6*1.4*1.4,8430000000*(1.651435^(MIN($E2538,123)-117)))*1,0))</f>
        <v>37967502359</v>
      </c>
      <c r="AC2538" s="11">
        <f>$E2538+21</f>
        <v>141</v>
      </c>
      <c r="AD2538" s="12">
        <f>IF($J2538=0,0,ROUND(MAX($J2538*1.4*1.5*1.6*1.6*2.2*2.715*2.6*1.4*1.4*1.5,12600000000*(1.652953^(MIN($E2538,123)-117)))*1,0))</f>
        <v>56905213910</v>
      </c>
      <c r="AE2538" s="13">
        <f>$E2538+24</f>
        <v>144</v>
      </c>
      <c r="AF2538" s="14">
        <f>IF($J2538=0,0,ROUND(MAX($J2538*1.4*1.5*1.6*1.6*2.2*2.715*2.6*1.4*1.4*1.5*1.5,18900000000*(1.65331^(MIN($E2538,123)-117)))*1,0))</f>
        <v>85413138816</v>
      </c>
      <c r="AG2538" s="11">
        <f>$E2538+27</f>
        <v>147</v>
      </c>
      <c r="AH2538" s="12">
        <f>IF($J2538=0,0,ROUND(MAX($J2538*1.4*1.5*1.6*1.6*2.2*2.715*2.6*1.4*1.4*1.5*1.5*3.2,60500000000*(1.654288^(MIN($E2538,123)-117)))*1,0))</f>
        <v>273897919220</v>
      </c>
    </row>
    <row r="2539" ht="28" customHeight="1" spans="1:34" x14ac:dyDescent="0.25">
      <c r="A2539">
        <v>2549</v>
      </c>
      <c r="B2539" t="s">
        <v>304</v>
      </c>
      <c r="C2539" s="10" t="s">
        <v>1533</v>
      </c>
      <c r="D2539" t="s">
        <v>29</v>
      </c>
      <c r="E2539">
        <v>120</v>
      </c>
      <c r="F2539" t="s">
        <v>26</v>
      </c>
      <c r="G2539" t="s">
        <v>206</v>
      </c>
      <c r="H2539">
        <v>29</v>
      </c>
      <c r="I2539" s="11">
        <v>120</v>
      </c>
      <c r="J2539" s="12">
        <v>1350000</v>
      </c>
      <c r="K2539" s="13">
        <f>$E2539+1</f>
        <v>121</v>
      </c>
      <c r="L2539" s="14">
        <f>IF($J2539=0,0,ROUND(MAX($J2539*1.4,1620000*(1.497923^(MIN($E2539,123)-117)))*1,0))</f>
        <v>5444819</v>
      </c>
      <c r="M2539" s="11">
        <f>$E2539+2</f>
        <v>122</v>
      </c>
      <c r="N2539" s="12">
        <f>IF($J2539=0,0,ROUND(MAX($J2539*1.4*1.5,2190000*(1.580994^(MIN($E2539,123)-117)))*1,0))</f>
        <v>8654356</v>
      </c>
      <c r="O2539" s="13">
        <f>$E2539+4</f>
        <v>124</v>
      </c>
      <c r="P2539" s="14">
        <f>IF($J2539=0,0,ROUND(MAX($J2539*1.4*1.5*1.6,3500000*(1.57975^(MIN($E2539,123)-117)))*1,0))</f>
        <v>13798540</v>
      </c>
      <c r="Q2539" s="11">
        <f>$E2539+6</f>
        <v>126</v>
      </c>
      <c r="R2539" s="12">
        <f>IF($J2539=0,0,ROUND(MAX($J2539*1.4*1.5*1.6*1.6,13100000*(1.429962^(MIN($E2539,123)-117)))*1,0))</f>
        <v>38304058</v>
      </c>
      <c r="S2539" s="13">
        <f>$E2539+8</f>
        <v>128</v>
      </c>
      <c r="T2539" s="14">
        <f>IF($J2539=0,0,ROUND(MAX($J2539*1.4*1.5*1.6*1.6*2.2,42600000*(1.576904^(MIN($E2539,123)-117)))*1,0))</f>
        <v>167041878</v>
      </c>
      <c r="U2539" s="11">
        <f>$E2539+11</f>
        <v>131</v>
      </c>
      <c r="V2539" s="12">
        <f>IF($J2539=0,0,ROUND(MAX($J2539*1.4*1.5*1.6*1.6*2.2*2.715,354000000*(1.642074^(MIN($E2539,123)-117)))*1,0))</f>
        <v>1567405752</v>
      </c>
      <c r="W2539" s="13">
        <f>$E2539+15</f>
        <v>135</v>
      </c>
      <c r="X2539" s="14">
        <f>IF($J2539=0,0,ROUND(MAX($J2539*1.4*1.5*1.6*1.6*2.2*2.715*2.6,3540000000*(1.579646^(MIN($E2539,123)-117)))*1,0))</f>
        <v>13953481417</v>
      </c>
      <c r="Y2539" s="11">
        <f>$E2539+17</f>
        <v>137</v>
      </c>
      <c r="Z2539" s="12">
        <f>IF($J2539=0,0,ROUND(MAX($J2539*1.4*1.5*1.6*1.6*2.2*2.715*2.6*1.4,6020000000*(1.651178^(MIN($E2539,123)-117)))*1,0))</f>
        <v>27100554178</v>
      </c>
      <c r="AA2539" s="13">
        <f>$E2539+19</f>
        <v>139</v>
      </c>
      <c r="AB2539" s="14">
        <f>IF($J2539=0,0,ROUND(MAX($J2539*1.4*1.5*1.6*1.6*2.2*2.715*2.6*1.4*1.4,8430000000*(1.651435^(MIN($E2539,123)-117)))*1,0))</f>
        <v>37967502359</v>
      </c>
      <c r="AC2539" s="11">
        <f>$E2539+21</f>
        <v>141</v>
      </c>
      <c r="AD2539" s="12">
        <f>IF($J2539=0,0,ROUND(MAX($J2539*1.4*1.5*1.6*1.6*2.2*2.715*2.6*1.4*1.4*1.5,12600000000*(1.652953^(MIN($E2539,123)-117)))*1,0))</f>
        <v>56905213910</v>
      </c>
      <c r="AE2539" s="13">
        <f>$E2539+24</f>
        <v>144</v>
      </c>
      <c r="AF2539" s="14">
        <f>IF($J2539=0,0,ROUND(MAX($J2539*1.4*1.5*1.6*1.6*2.2*2.715*2.6*1.4*1.4*1.5*1.5,18900000000*(1.65331^(MIN($E2539,123)-117)))*1,0))</f>
        <v>85413138816</v>
      </c>
      <c r="AG2539" s="11">
        <f>$E2539+27</f>
        <v>147</v>
      </c>
      <c r="AH2539" s="12">
        <f>IF($J2539=0,0,ROUND(MAX($J2539*1.4*1.5*1.6*1.6*2.2*2.715*2.6*1.4*1.4*1.5*1.5*3.2,60500000000*(1.654288^(MIN($E2539,123)-117)))*1,0))</f>
        <v>273897919220</v>
      </c>
    </row>
    <row r="2540" ht="28" customHeight="1" spans="1:34" x14ac:dyDescent="0.25">
      <c r="A2540">
        <v>2550</v>
      </c>
      <c r="B2540" t="s">
        <v>292</v>
      </c>
      <c r="C2540" s="10" t="s">
        <v>1533</v>
      </c>
      <c r="D2540" t="s">
        <v>45</v>
      </c>
      <c r="E2540">
        <v>120</v>
      </c>
      <c r="F2540" t="s">
        <v>26</v>
      </c>
      <c r="G2540" t="s">
        <v>98</v>
      </c>
      <c r="H2540">
        <v>28</v>
      </c>
      <c r="I2540" s="11">
        <v>120</v>
      </c>
      <c r="J2540" s="12">
        <v>1400000</v>
      </c>
      <c r="K2540" s="13">
        <f>$E2540+1</f>
        <v>121</v>
      </c>
      <c r="L2540" s="14">
        <f>IF($J2540=0,0,ROUND(MAX($J2540*1.4,1620000*(1.497923^(MIN($E2540,123)-117)))*1,0))</f>
        <v>5444819</v>
      </c>
      <c r="M2540" s="11">
        <f>$E2540+2</f>
        <v>122</v>
      </c>
      <c r="N2540" s="12">
        <f>IF($J2540=0,0,ROUND(MAX($J2540*1.4*1.5,2190000*(1.580994^(MIN($E2540,123)-117)))*1,0))</f>
        <v>8654356</v>
      </c>
      <c r="O2540" s="13">
        <f>$E2540+4</f>
        <v>124</v>
      </c>
      <c r="P2540" s="14">
        <f>IF($J2540=0,0,ROUND(MAX($J2540*1.4*1.5*1.6,3500000*(1.57975^(MIN($E2540,123)-117)))*1,0))</f>
        <v>13798540</v>
      </c>
      <c r="Q2540" s="11">
        <f>$E2540+6</f>
        <v>126</v>
      </c>
      <c r="R2540" s="12">
        <f>IF($J2540=0,0,ROUND(MAX($J2540*1.4*1.5*1.6*1.6,13100000*(1.429962^(MIN($E2540,123)-117)))*1,0))</f>
        <v>38304058</v>
      </c>
      <c r="S2540" s="13">
        <f>$E2540+8</f>
        <v>128</v>
      </c>
      <c r="T2540" s="14">
        <f>IF($J2540=0,0,ROUND(MAX($J2540*1.4*1.5*1.6*1.6*2.2,42600000*(1.576904^(MIN($E2540,123)-117)))*1,0))</f>
        <v>167041878</v>
      </c>
      <c r="U2540" s="11">
        <f>$E2540+11</f>
        <v>131</v>
      </c>
      <c r="V2540" s="12">
        <f>IF($J2540=0,0,ROUND(MAX($J2540*1.4*1.5*1.6*1.6*2.2*2.715,354000000*(1.642074^(MIN($E2540,123)-117)))*1,0))</f>
        <v>1567405752</v>
      </c>
      <c r="W2540" s="13">
        <f>$E2540+15</f>
        <v>135</v>
      </c>
      <c r="X2540" s="14">
        <f>IF($J2540=0,0,ROUND(MAX($J2540*1.4*1.5*1.6*1.6*2.2*2.715*2.6,3540000000*(1.579646^(MIN($E2540,123)-117)))*1,0))</f>
        <v>13953481417</v>
      </c>
      <c r="Y2540" s="11">
        <f>$E2540+17</f>
        <v>137</v>
      </c>
      <c r="Z2540" s="12">
        <f>IF($J2540=0,0,ROUND(MAX($J2540*1.4*1.5*1.6*1.6*2.2*2.715*2.6*1.4,6020000000*(1.651178^(MIN($E2540,123)-117)))*1,0))</f>
        <v>27100554178</v>
      </c>
      <c r="AA2540" s="13">
        <f>$E2540+19</f>
        <v>139</v>
      </c>
      <c r="AB2540" s="14">
        <f>IF($J2540=0,0,ROUND(MAX($J2540*1.4*1.5*1.6*1.6*2.2*2.715*2.6*1.4*1.4,8430000000*(1.651435^(MIN($E2540,123)-117)))*1,0))</f>
        <v>37967502359</v>
      </c>
      <c r="AC2540" s="11">
        <f>$E2540+21</f>
        <v>141</v>
      </c>
      <c r="AD2540" s="12">
        <f>IF($J2540=0,0,ROUND(MAX($J2540*1.4*1.5*1.6*1.6*2.2*2.715*2.6*1.4*1.4*1.5,12600000000*(1.652953^(MIN($E2540,123)-117)))*1,0))</f>
        <v>56905213910</v>
      </c>
      <c r="AE2540" s="13">
        <f>$E2540+24</f>
        <v>144</v>
      </c>
      <c r="AF2540" s="14">
        <f>IF($J2540=0,0,ROUND(MAX($J2540*1.4*1.5*1.6*1.6*2.2*2.715*2.6*1.4*1.4*1.5*1.5,18900000000*(1.65331^(MIN($E2540,123)-117)))*1,0))</f>
        <v>85413138816</v>
      </c>
      <c r="AG2540" s="11">
        <f>$E2540+27</f>
        <v>147</v>
      </c>
      <c r="AH2540" s="12">
        <f>IF($J2540=0,0,ROUND(MAX($J2540*1.4*1.5*1.6*1.6*2.2*2.715*2.6*1.4*1.4*1.5*1.5*3.2,60500000000*(1.654288^(MIN($E2540,123)-117)))*1,0))</f>
        <v>273897919220</v>
      </c>
    </row>
    <row r="2541" ht="28" customHeight="1" spans="1:34" x14ac:dyDescent="0.25">
      <c r="A2541">
        <v>2551</v>
      </c>
      <c r="B2541" t="s">
        <v>230</v>
      </c>
      <c r="C2541" s="10" t="s">
        <v>1533</v>
      </c>
      <c r="D2541" t="s">
        <v>64</v>
      </c>
      <c r="E2541">
        <v>120</v>
      </c>
      <c r="F2541" t="s">
        <v>71</v>
      </c>
      <c r="G2541" t="s">
        <v>72</v>
      </c>
      <c r="H2541">
        <v>27</v>
      </c>
      <c r="I2541" s="11">
        <v>120</v>
      </c>
      <c r="J2541" s="12">
        <v>1450000</v>
      </c>
      <c r="K2541" s="13">
        <f>$E2541+1</f>
        <v>121</v>
      </c>
      <c r="L2541" s="14">
        <f>IF($J2541=0,0,ROUND(MAX($J2541*1.4,1620000*(1.497923^(MIN($E2541,123)-117)))*1,0))</f>
        <v>5444819</v>
      </c>
      <c r="M2541" s="11">
        <f>$E2541+2</f>
        <v>122</v>
      </c>
      <c r="N2541" s="12">
        <f>IF($J2541=0,0,ROUND(MAX($J2541*1.4*1.5,2190000*(1.580994^(MIN($E2541,123)-117)))*1,0))</f>
        <v>8654356</v>
      </c>
      <c r="O2541" s="13">
        <f>$E2541+4</f>
        <v>124</v>
      </c>
      <c r="P2541" s="14">
        <f>IF($J2541=0,0,ROUND(MAX($J2541*1.4*1.5*1.6,3500000*(1.57975^(MIN($E2541,123)-117)))*1,0))</f>
        <v>13798540</v>
      </c>
      <c r="Q2541" s="11">
        <f>$E2541+6</f>
        <v>126</v>
      </c>
      <c r="R2541" s="12">
        <f>IF($J2541=0,0,ROUND(MAX($J2541*1.4*1.5*1.6*1.6,13100000*(1.429962^(MIN($E2541,123)-117)))*1,0))</f>
        <v>38304058</v>
      </c>
      <c r="S2541" s="13">
        <f>$E2541+8</f>
        <v>128</v>
      </c>
      <c r="T2541" s="14">
        <f>IF($J2541=0,0,ROUND(MAX($J2541*1.4*1.5*1.6*1.6*2.2,42600000*(1.576904^(MIN($E2541,123)-117)))*1,0))</f>
        <v>167041878</v>
      </c>
      <c r="U2541" s="11">
        <f>$E2541+11</f>
        <v>131</v>
      </c>
      <c r="V2541" s="12">
        <f>IF($J2541=0,0,ROUND(MAX($J2541*1.4*1.5*1.6*1.6*2.2*2.715,354000000*(1.642074^(MIN($E2541,123)-117)))*1,0))</f>
        <v>1567405752</v>
      </c>
      <c r="W2541" s="13">
        <f>$E2541+15</f>
        <v>135</v>
      </c>
      <c r="X2541" s="14">
        <f>IF($J2541=0,0,ROUND(MAX($J2541*1.4*1.5*1.6*1.6*2.2*2.715*2.6,3540000000*(1.579646^(MIN($E2541,123)-117)))*1,0))</f>
        <v>13953481417</v>
      </c>
      <c r="Y2541" s="11">
        <f>$E2541+17</f>
        <v>137</v>
      </c>
      <c r="Z2541" s="12">
        <f>IF($J2541=0,0,ROUND(MAX($J2541*1.4*1.5*1.6*1.6*2.2*2.715*2.6*1.4,6020000000*(1.651178^(MIN($E2541,123)-117)))*1,0))</f>
        <v>27100554178</v>
      </c>
      <c r="AA2541" s="13">
        <f>$E2541+19</f>
        <v>139</v>
      </c>
      <c r="AB2541" s="14">
        <f>IF($J2541=0,0,ROUND(MAX($J2541*1.4*1.5*1.6*1.6*2.2*2.715*2.6*1.4*1.4,8430000000*(1.651435^(MIN($E2541,123)-117)))*1,0))</f>
        <v>37967502359</v>
      </c>
      <c r="AC2541" s="11">
        <f>$E2541+21</f>
        <v>141</v>
      </c>
      <c r="AD2541" s="12">
        <f>IF($J2541=0,0,ROUND(MAX($J2541*1.4*1.5*1.6*1.6*2.2*2.715*2.6*1.4*1.4*1.5,12600000000*(1.652953^(MIN($E2541,123)-117)))*1,0))</f>
        <v>56905213910</v>
      </c>
      <c r="AE2541" s="13">
        <f>$E2541+24</f>
        <v>144</v>
      </c>
      <c r="AF2541" s="14">
        <f>IF($J2541=0,0,ROUND(MAX($J2541*1.4*1.5*1.6*1.6*2.2*2.715*2.6*1.4*1.4*1.5*1.5,18900000000*(1.65331^(MIN($E2541,123)-117)))*1,0))</f>
        <v>85413138816</v>
      </c>
      <c r="AG2541" s="11">
        <f>$E2541+27</f>
        <v>147</v>
      </c>
      <c r="AH2541" s="12">
        <f>IF($J2541=0,0,ROUND(MAX($J2541*1.4*1.5*1.6*1.6*2.2*2.715*2.6*1.4*1.4*1.5*1.5*3.2,60500000000*(1.654288^(MIN($E2541,123)-117)))*1,0))</f>
        <v>273897919220</v>
      </c>
    </row>
    <row r="2542" ht="28" customHeight="1" spans="1:34" x14ac:dyDescent="0.25">
      <c r="A2542">
        <v>2552</v>
      </c>
      <c r="B2542" t="s">
        <v>239</v>
      </c>
      <c r="C2542" s="10" t="s">
        <v>1533</v>
      </c>
      <c r="D2542" t="s">
        <v>45</v>
      </c>
      <c r="E2542">
        <v>119</v>
      </c>
      <c r="F2542" t="s">
        <v>59</v>
      </c>
      <c r="G2542" t="s">
        <v>218</v>
      </c>
      <c r="H2542">
        <v>29</v>
      </c>
      <c r="I2542" s="11">
        <v>119</v>
      </c>
      <c r="J2542" s="12">
        <v>1220000</v>
      </c>
      <c r="K2542" s="13">
        <f>$E2542+1</f>
        <v>120</v>
      </c>
      <c r="L2542" s="14">
        <f>IF($J2542=0,0,ROUND(MAX($J2542*1.4,1620000*(1.497923^(MIN($E2542,123)-117)))*1,0))</f>
        <v>3634913</v>
      </c>
      <c r="M2542" s="11">
        <f>$E2542+2</f>
        <v>121</v>
      </c>
      <c r="N2542" s="12">
        <f>IF($J2542=0,0,ROUND(MAX($J2542*1.4*1.5,2190000*(1.580994^(MIN($E2542,123)-117)))*1,0))</f>
        <v>5473997</v>
      </c>
      <c r="O2542" s="13">
        <f>$E2542+4</f>
        <v>123</v>
      </c>
      <c r="P2542" s="14">
        <f>IF($J2542=0,0,ROUND(MAX($J2542*1.4*1.5*1.6,3500000*(1.57975^(MIN($E2542,123)-117)))*1,0))</f>
        <v>8734635</v>
      </c>
      <c r="Q2542" s="11">
        <f>$E2542+6</f>
        <v>125</v>
      </c>
      <c r="R2542" s="12">
        <f>IF($J2542=0,0,ROUND(MAX($J2542*1.4*1.5*1.6*1.6,13100000*(1.429962^(MIN($E2542,123)-117)))*1,0))</f>
        <v>26786766</v>
      </c>
      <c r="S2542" s="13">
        <f>$E2542+8</f>
        <v>127</v>
      </c>
      <c r="T2542" s="14">
        <f>IF($J2542=0,0,ROUND(MAX($J2542*1.4*1.5*1.6*1.6*2.2,42600000*(1.576904^(MIN($E2542,123)-117)))*1,0))</f>
        <v>105930277</v>
      </c>
      <c r="U2542" s="11">
        <f>$E2542+11</f>
        <v>130</v>
      </c>
      <c r="V2542" s="12">
        <f>IF($J2542=0,0,ROUND(MAX($J2542*1.4*1.5*1.6*1.6*2.2*2.715,354000000*(1.642074^(MIN($E2542,123)-117)))*1,0))</f>
        <v>954528086</v>
      </c>
      <c r="W2542" s="13">
        <f>$E2542+15</f>
        <v>134</v>
      </c>
      <c r="X2542" s="14">
        <f>IF($J2542=0,0,ROUND(MAX($J2542*1.4*1.5*1.6*1.6*2.2*2.715*2.6,3540000000*(1.579646^(MIN($E2542,123)-117)))*1,0))</f>
        <v>8833296458</v>
      </c>
      <c r="Y2542" s="11">
        <f>$E2542+17</f>
        <v>136</v>
      </c>
      <c r="Z2542" s="12">
        <f>IF($J2542=0,0,ROUND(MAX($J2542*1.4*1.5*1.6*1.6*2.2*2.715*2.6*1.4,6020000000*(1.651178^(MIN($E2542,123)-117)))*1,0))</f>
        <v>16412860502</v>
      </c>
      <c r="AA2542" s="13">
        <f>$E2542+19</f>
        <v>138</v>
      </c>
      <c r="AB2542" s="14">
        <f>IF($J2542=0,0,ROUND(MAX($J2542*1.4*1.5*1.6*1.6*2.2*2.715*2.6*1.4*1.4,8430000000*(1.651435^(MIN($E2542,123)-117)))*1,0))</f>
        <v>22990612624</v>
      </c>
      <c r="AC2542" s="11">
        <f>$E2542+21</f>
        <v>140</v>
      </c>
      <c r="AD2542" s="12">
        <f>IF($J2542=0,0,ROUND(MAX($J2542*1.4*1.5*1.6*1.6*2.2*2.715*2.6*1.4*1.4*1.5,12600000000*(1.652953^(MIN($E2542,123)-117)))*1,0))</f>
        <v>34426395615</v>
      </c>
      <c r="AE2542" s="13">
        <f>$E2542+24</f>
        <v>143</v>
      </c>
      <c r="AF2542" s="14">
        <f>IF($J2542=0,0,ROUND(MAX($J2542*1.4*1.5*1.6*1.6*2.2*2.715*2.6*1.4*1.4*1.5*1.5,18900000000*(1.65331^(MIN($E2542,123)-117)))*1,0))</f>
        <v>51661901770</v>
      </c>
      <c r="AG2542" s="11">
        <f>$E2542+27</f>
        <v>146</v>
      </c>
      <c r="AH2542" s="12">
        <f>IF($J2542=0,0,ROUND(MAX($J2542*1.4*1.5*1.6*1.6*2.2*2.715*2.6*1.4*1.4*1.5*1.5*3.2,60500000000*(1.654288^(MIN($E2542,123)-117)))*1,0))</f>
        <v>165568461610</v>
      </c>
    </row>
    <row r="2543" ht="28" customHeight="1" spans="1:34" x14ac:dyDescent="0.25">
      <c r="A2543">
        <v>2553</v>
      </c>
      <c r="B2543" t="s">
        <v>250</v>
      </c>
      <c r="C2543" s="10" t="s">
        <v>1533</v>
      </c>
      <c r="D2543" t="s">
        <v>102</v>
      </c>
      <c r="E2543">
        <v>119</v>
      </c>
      <c r="F2543" t="s">
        <v>30</v>
      </c>
      <c r="G2543" t="s">
        <v>86</v>
      </c>
      <c r="H2543">
        <v>29</v>
      </c>
      <c r="I2543" s="11">
        <v>119</v>
      </c>
      <c r="J2543" s="12">
        <v>1090000</v>
      </c>
      <c r="K2543" s="13">
        <f>$E2543+1</f>
        <v>120</v>
      </c>
      <c r="L2543" s="14">
        <f>IF($J2543=0,0,ROUND(MAX($J2543*1.4,1620000*(1.497923^(MIN($E2543,123)-117)))*1,0))</f>
        <v>3634913</v>
      </c>
      <c r="M2543" s="11">
        <f>$E2543+2</f>
        <v>121</v>
      </c>
      <c r="N2543" s="12">
        <f>IF($J2543=0,0,ROUND(MAX($J2543*1.4*1.5,2190000*(1.580994^(MIN($E2543,123)-117)))*1,0))</f>
        <v>5473997</v>
      </c>
      <c r="O2543" s="13">
        <f>$E2543+4</f>
        <v>123</v>
      </c>
      <c r="P2543" s="14">
        <f>IF($J2543=0,0,ROUND(MAX($J2543*1.4*1.5*1.6,3500000*(1.57975^(MIN($E2543,123)-117)))*1,0))</f>
        <v>8734635</v>
      </c>
      <c r="Q2543" s="11">
        <f>$E2543+6</f>
        <v>125</v>
      </c>
      <c r="R2543" s="12">
        <f>IF($J2543=0,0,ROUND(MAX($J2543*1.4*1.5*1.6*1.6,13100000*(1.429962^(MIN($E2543,123)-117)))*1,0))</f>
        <v>26786766</v>
      </c>
      <c r="S2543" s="13">
        <f>$E2543+8</f>
        <v>127</v>
      </c>
      <c r="T2543" s="14">
        <f>IF($J2543=0,0,ROUND(MAX($J2543*1.4*1.5*1.6*1.6*2.2,42600000*(1.576904^(MIN($E2543,123)-117)))*1,0))</f>
        <v>105930277</v>
      </c>
      <c r="U2543" s="11">
        <f>$E2543+11</f>
        <v>130</v>
      </c>
      <c r="V2543" s="12">
        <f>IF($J2543=0,0,ROUND(MAX($J2543*1.4*1.5*1.6*1.6*2.2*2.715,354000000*(1.642074^(MIN($E2543,123)-117)))*1,0))</f>
        <v>954528086</v>
      </c>
      <c r="W2543" s="13">
        <f>$E2543+15</f>
        <v>134</v>
      </c>
      <c r="X2543" s="14">
        <f>IF($J2543=0,0,ROUND(MAX($J2543*1.4*1.5*1.6*1.6*2.2*2.715*2.6,3540000000*(1.579646^(MIN($E2543,123)-117)))*1,0))</f>
        <v>8833296458</v>
      </c>
      <c r="Y2543" s="11">
        <f>$E2543+17</f>
        <v>136</v>
      </c>
      <c r="Z2543" s="12">
        <f>IF($J2543=0,0,ROUND(MAX($J2543*1.4*1.5*1.6*1.6*2.2*2.715*2.6*1.4,6020000000*(1.651178^(MIN($E2543,123)-117)))*1,0))</f>
        <v>16412860502</v>
      </c>
      <c r="AA2543" s="13">
        <f>$E2543+19</f>
        <v>138</v>
      </c>
      <c r="AB2543" s="14">
        <f>IF($J2543=0,0,ROUND(MAX($J2543*1.4*1.5*1.6*1.6*2.2*2.715*2.6*1.4*1.4,8430000000*(1.651435^(MIN($E2543,123)-117)))*1,0))</f>
        <v>22990612624</v>
      </c>
      <c r="AC2543" s="11">
        <f>$E2543+21</f>
        <v>140</v>
      </c>
      <c r="AD2543" s="12">
        <f>IF($J2543=0,0,ROUND(MAX($J2543*1.4*1.5*1.6*1.6*2.2*2.715*2.6*1.4*1.4*1.5,12600000000*(1.652953^(MIN($E2543,123)-117)))*1,0))</f>
        <v>34426395615</v>
      </c>
      <c r="AE2543" s="13">
        <f>$E2543+24</f>
        <v>143</v>
      </c>
      <c r="AF2543" s="14">
        <f>IF($J2543=0,0,ROUND(MAX($J2543*1.4*1.5*1.6*1.6*2.2*2.715*2.6*1.4*1.4*1.5*1.5,18900000000*(1.65331^(MIN($E2543,123)-117)))*1,0))</f>
        <v>51661901770</v>
      </c>
      <c r="AG2543" s="11">
        <f>$E2543+27</f>
        <v>146</v>
      </c>
      <c r="AH2543" s="12">
        <f>IF($J2543=0,0,ROUND(MAX($J2543*1.4*1.5*1.6*1.6*2.2*2.715*2.6*1.4*1.4*1.5*1.5*3.2,60500000000*(1.654288^(MIN($E2543,123)-117)))*1,0))</f>
        <v>165568461610</v>
      </c>
    </row>
    <row r="2544" ht="28" customHeight="1" spans="1:34" x14ac:dyDescent="0.25">
      <c r="A2544">
        <v>2554</v>
      </c>
      <c r="B2544" t="s">
        <v>236</v>
      </c>
      <c r="C2544" s="10" t="s">
        <v>1533</v>
      </c>
      <c r="D2544" t="s">
        <v>79</v>
      </c>
      <c r="E2544">
        <v>119</v>
      </c>
      <c r="F2544" t="s">
        <v>237</v>
      </c>
      <c r="G2544" t="s">
        <v>35</v>
      </c>
      <c r="H2544">
        <v>29</v>
      </c>
      <c r="I2544" s="11">
        <v>119</v>
      </c>
      <c r="J2544" s="12">
        <v>1030000</v>
      </c>
      <c r="K2544" s="13">
        <f>$E2544+1</f>
        <v>120</v>
      </c>
      <c r="L2544" s="14">
        <f>IF($J2544=0,0,ROUND(MAX($J2544*1.4,1620000*(1.497923^(MIN($E2544,123)-117)))*1,0))</f>
        <v>3634913</v>
      </c>
      <c r="M2544" s="11">
        <f>$E2544+2</f>
        <v>121</v>
      </c>
      <c r="N2544" s="12">
        <f>IF($J2544=0,0,ROUND(MAX($J2544*1.4*1.5,2190000*(1.580994^(MIN($E2544,123)-117)))*1,0))</f>
        <v>5473997</v>
      </c>
      <c r="O2544" s="13">
        <f>$E2544+4</f>
        <v>123</v>
      </c>
      <c r="P2544" s="14">
        <f>IF($J2544=0,0,ROUND(MAX($J2544*1.4*1.5*1.6,3500000*(1.57975^(MIN($E2544,123)-117)))*1,0))</f>
        <v>8734635</v>
      </c>
      <c r="Q2544" s="11">
        <f>$E2544+6</f>
        <v>125</v>
      </c>
      <c r="R2544" s="12">
        <f>IF($J2544=0,0,ROUND(MAX($J2544*1.4*1.5*1.6*1.6,13100000*(1.429962^(MIN($E2544,123)-117)))*1,0))</f>
        <v>26786766</v>
      </c>
      <c r="S2544" s="13">
        <f>$E2544+8</f>
        <v>127</v>
      </c>
      <c r="T2544" s="14">
        <f>IF($J2544=0,0,ROUND(MAX($J2544*1.4*1.5*1.6*1.6*2.2,42600000*(1.576904^(MIN($E2544,123)-117)))*1,0))</f>
        <v>105930277</v>
      </c>
      <c r="U2544" s="11">
        <f>$E2544+11</f>
        <v>130</v>
      </c>
      <c r="V2544" s="12">
        <f>IF($J2544=0,0,ROUND(MAX($J2544*1.4*1.5*1.6*1.6*2.2*2.715,354000000*(1.642074^(MIN($E2544,123)-117)))*1,0))</f>
        <v>954528086</v>
      </c>
      <c r="W2544" s="13">
        <f>$E2544+15</f>
        <v>134</v>
      </c>
      <c r="X2544" s="14">
        <f>IF($J2544=0,0,ROUND(MAX($J2544*1.4*1.5*1.6*1.6*2.2*2.715*2.6,3540000000*(1.579646^(MIN($E2544,123)-117)))*1,0))</f>
        <v>8833296458</v>
      </c>
      <c r="Y2544" s="11">
        <f>$E2544+17</f>
        <v>136</v>
      </c>
      <c r="Z2544" s="12">
        <f>IF($J2544=0,0,ROUND(MAX($J2544*1.4*1.5*1.6*1.6*2.2*2.715*2.6*1.4,6020000000*(1.651178^(MIN($E2544,123)-117)))*1,0))</f>
        <v>16412860502</v>
      </c>
      <c r="AA2544" s="13">
        <f>$E2544+19</f>
        <v>138</v>
      </c>
      <c r="AB2544" s="14">
        <f>IF($J2544=0,0,ROUND(MAX($J2544*1.4*1.5*1.6*1.6*2.2*2.715*2.6*1.4*1.4,8430000000*(1.651435^(MIN($E2544,123)-117)))*1,0))</f>
        <v>22990612624</v>
      </c>
      <c r="AC2544" s="11">
        <f>$E2544+21</f>
        <v>140</v>
      </c>
      <c r="AD2544" s="12">
        <f>IF($J2544=0,0,ROUND(MAX($J2544*1.4*1.5*1.6*1.6*2.2*2.715*2.6*1.4*1.4*1.5,12600000000*(1.652953^(MIN($E2544,123)-117)))*1,0))</f>
        <v>34426395615</v>
      </c>
      <c r="AE2544" s="13">
        <f>$E2544+24</f>
        <v>143</v>
      </c>
      <c r="AF2544" s="14">
        <f>IF($J2544=0,0,ROUND(MAX($J2544*1.4*1.5*1.6*1.6*2.2*2.715*2.6*1.4*1.4*1.5*1.5,18900000000*(1.65331^(MIN($E2544,123)-117)))*1,0))</f>
        <v>51661901770</v>
      </c>
      <c r="AG2544" s="11">
        <f>$E2544+27</f>
        <v>146</v>
      </c>
      <c r="AH2544" s="12">
        <f>IF($J2544=0,0,ROUND(MAX($J2544*1.4*1.5*1.6*1.6*2.2*2.715*2.6*1.4*1.4*1.5*1.5*3.2,60500000000*(1.654288^(MIN($E2544,123)-117)))*1,0))</f>
        <v>165568461610</v>
      </c>
    </row>
    <row r="2545" ht="28" customHeight="1" spans="1:34" x14ac:dyDescent="0.25">
      <c r="A2545">
        <v>2555</v>
      </c>
      <c r="B2545" t="s">
        <v>833</v>
      </c>
      <c r="C2545" s="10" t="s">
        <v>1533</v>
      </c>
      <c r="D2545" t="s">
        <v>25</v>
      </c>
      <c r="E2545">
        <v>119</v>
      </c>
      <c r="F2545" t="s">
        <v>223</v>
      </c>
      <c r="G2545" t="s">
        <v>95</v>
      </c>
      <c r="H2545">
        <v>29</v>
      </c>
      <c r="I2545" s="11">
        <v>119</v>
      </c>
      <c r="J2545" s="12">
        <v>1018000</v>
      </c>
      <c r="K2545" s="13">
        <f>$E2545+1</f>
        <v>120</v>
      </c>
      <c r="L2545" s="14">
        <f>IF($J2545=0,0,ROUND(MAX($J2545*1.4,1620000*(1.497923^(MIN($E2545,123)-117)))*1,0))</f>
        <v>3634913</v>
      </c>
      <c r="M2545" s="11">
        <f>$E2545+2</f>
        <v>121</v>
      </c>
      <c r="N2545" s="12">
        <f>IF($J2545=0,0,ROUND(MAX($J2545*1.4*1.5,2190000*(1.580994^(MIN($E2545,123)-117)))*1,0))</f>
        <v>5473997</v>
      </c>
      <c r="O2545" s="13">
        <f>$E2545+4</f>
        <v>123</v>
      </c>
      <c r="P2545" s="14">
        <f>IF($J2545=0,0,ROUND(MAX($J2545*1.4*1.5*1.6,3500000*(1.57975^(MIN($E2545,123)-117)))*1,0))</f>
        <v>8734635</v>
      </c>
      <c r="Q2545" s="11">
        <f>$E2545+6</f>
        <v>125</v>
      </c>
      <c r="R2545" s="12">
        <f>IF($J2545=0,0,ROUND(MAX($J2545*1.4*1.5*1.6*1.6,13100000*(1.429962^(MIN($E2545,123)-117)))*1,0))</f>
        <v>26786766</v>
      </c>
      <c r="S2545" s="13">
        <f>$E2545+8</f>
        <v>127</v>
      </c>
      <c r="T2545" s="14">
        <f>IF($J2545=0,0,ROUND(MAX($J2545*1.4*1.5*1.6*1.6*2.2,42600000*(1.576904^(MIN($E2545,123)-117)))*1,0))</f>
        <v>105930277</v>
      </c>
      <c r="U2545" s="11">
        <f>$E2545+11</f>
        <v>130</v>
      </c>
      <c r="V2545" s="12">
        <f>IF($J2545=0,0,ROUND(MAX($J2545*1.4*1.5*1.6*1.6*2.2*2.715,354000000*(1.642074^(MIN($E2545,123)-117)))*1,0))</f>
        <v>954528086</v>
      </c>
      <c r="W2545" s="13">
        <f>$E2545+15</f>
        <v>134</v>
      </c>
      <c r="X2545" s="14">
        <f>IF($J2545=0,0,ROUND(MAX($J2545*1.4*1.5*1.6*1.6*2.2*2.715*2.6,3540000000*(1.579646^(MIN($E2545,123)-117)))*1,0))</f>
        <v>8833296458</v>
      </c>
      <c r="Y2545" s="11">
        <f>$E2545+17</f>
        <v>136</v>
      </c>
      <c r="Z2545" s="12">
        <f>IF($J2545=0,0,ROUND(MAX($J2545*1.4*1.5*1.6*1.6*2.2*2.715*2.6*1.4,6020000000*(1.651178^(MIN($E2545,123)-117)))*1,0))</f>
        <v>16412860502</v>
      </c>
      <c r="AA2545" s="13">
        <f>$E2545+19</f>
        <v>138</v>
      </c>
      <c r="AB2545" s="14">
        <f>IF($J2545=0,0,ROUND(MAX($J2545*1.4*1.5*1.6*1.6*2.2*2.715*2.6*1.4*1.4,8430000000*(1.651435^(MIN($E2545,123)-117)))*1,0))</f>
        <v>22990612624</v>
      </c>
      <c r="AC2545" s="11">
        <f>$E2545+21</f>
        <v>140</v>
      </c>
      <c r="AD2545" s="12">
        <f>IF($J2545=0,0,ROUND(MAX($J2545*1.4*1.5*1.6*1.6*2.2*2.715*2.6*1.4*1.4*1.5,12600000000*(1.652953^(MIN($E2545,123)-117)))*1,0))</f>
        <v>34426395615</v>
      </c>
      <c r="AE2545" s="13">
        <f>$E2545+24</f>
        <v>143</v>
      </c>
      <c r="AF2545" s="14">
        <f>IF($J2545=0,0,ROUND(MAX($J2545*1.4*1.5*1.6*1.6*2.2*2.715*2.6*1.4*1.4*1.5*1.5,18900000000*(1.65331^(MIN($E2545,123)-117)))*1,0))</f>
        <v>51661901770</v>
      </c>
      <c r="AG2545" s="11">
        <f>$E2545+27</f>
        <v>146</v>
      </c>
      <c r="AH2545" s="12">
        <f>IF($J2545=0,0,ROUND(MAX($J2545*1.4*1.5*1.6*1.6*2.2*2.715*2.6*1.4*1.4*1.5*1.5*3.2,60500000000*(1.654288^(MIN($E2545,123)-117)))*1,0))</f>
        <v>165568461610</v>
      </c>
    </row>
    <row r="2546" ht="28" customHeight="1" spans="1:34" x14ac:dyDescent="0.25">
      <c r="A2546">
        <v>2556</v>
      </c>
      <c r="B2546" t="s">
        <v>1538</v>
      </c>
      <c r="C2546" s="10" t="s">
        <v>1533</v>
      </c>
      <c r="D2546" t="s">
        <v>45</v>
      </c>
      <c r="E2546">
        <v>119</v>
      </c>
      <c r="F2546" t="s">
        <v>26</v>
      </c>
      <c r="G2546" t="s">
        <v>270</v>
      </c>
      <c r="H2546">
        <v>28</v>
      </c>
      <c r="I2546" s="11">
        <v>119</v>
      </c>
      <c r="J2546" s="12">
        <v>1049000</v>
      </c>
      <c r="K2546" s="13">
        <f>$E2546+1</f>
        <v>120</v>
      </c>
      <c r="L2546" s="14">
        <f>IF($J2546=0,0,ROUND(MAX($J2546*1.4,1620000*(1.497923^(MIN($E2546,123)-117)))*1,0))</f>
        <v>3634913</v>
      </c>
      <c r="M2546" s="11">
        <f>$E2546+2</f>
        <v>121</v>
      </c>
      <c r="N2546" s="12">
        <f>IF($J2546=0,0,ROUND(MAX($J2546*1.4*1.5,2190000*(1.580994^(MIN($E2546,123)-117)))*1,0))</f>
        <v>5473997</v>
      </c>
      <c r="O2546" s="13">
        <f>$E2546+4</f>
        <v>123</v>
      </c>
      <c r="P2546" s="14">
        <f>IF($J2546=0,0,ROUND(MAX($J2546*1.4*1.5*1.6,3500000*(1.57975^(MIN($E2546,123)-117)))*1,0))</f>
        <v>8734635</v>
      </c>
      <c r="Q2546" s="11">
        <f>$E2546+6</f>
        <v>125</v>
      </c>
      <c r="R2546" s="12">
        <f>IF($J2546=0,0,ROUND(MAX($J2546*1.4*1.5*1.6*1.6,13100000*(1.429962^(MIN($E2546,123)-117)))*1,0))</f>
        <v>26786766</v>
      </c>
      <c r="S2546" s="13">
        <f>$E2546+8</f>
        <v>127</v>
      </c>
      <c r="T2546" s="14">
        <f>IF($J2546=0,0,ROUND(MAX($J2546*1.4*1.5*1.6*1.6*2.2,42600000*(1.576904^(MIN($E2546,123)-117)))*1,0))</f>
        <v>105930277</v>
      </c>
      <c r="U2546" s="11">
        <f>$E2546+11</f>
        <v>130</v>
      </c>
      <c r="V2546" s="12">
        <f>IF($J2546=0,0,ROUND(MAX($J2546*1.4*1.5*1.6*1.6*2.2*2.715,354000000*(1.642074^(MIN($E2546,123)-117)))*1,0))</f>
        <v>954528086</v>
      </c>
      <c r="W2546" s="13">
        <f>$E2546+15</f>
        <v>134</v>
      </c>
      <c r="X2546" s="14">
        <f>IF($J2546=0,0,ROUND(MAX($J2546*1.4*1.5*1.6*1.6*2.2*2.715*2.6,3540000000*(1.579646^(MIN($E2546,123)-117)))*1,0))</f>
        <v>8833296458</v>
      </c>
      <c r="Y2546" s="11">
        <f>$E2546+17</f>
        <v>136</v>
      </c>
      <c r="Z2546" s="12">
        <f>IF($J2546=0,0,ROUND(MAX($J2546*1.4*1.5*1.6*1.6*2.2*2.715*2.6*1.4,6020000000*(1.651178^(MIN($E2546,123)-117)))*1,0))</f>
        <v>16412860502</v>
      </c>
      <c r="AA2546" s="13">
        <f>$E2546+19</f>
        <v>138</v>
      </c>
      <c r="AB2546" s="14">
        <f>IF($J2546=0,0,ROUND(MAX($J2546*1.4*1.5*1.6*1.6*2.2*2.715*2.6*1.4*1.4,8430000000*(1.651435^(MIN($E2546,123)-117)))*1,0))</f>
        <v>22990612624</v>
      </c>
      <c r="AC2546" s="11">
        <f>$E2546+21</f>
        <v>140</v>
      </c>
      <c r="AD2546" s="12">
        <f>IF($J2546=0,0,ROUND(MAX($J2546*1.4*1.5*1.6*1.6*2.2*2.715*2.6*1.4*1.4*1.5,12600000000*(1.652953^(MIN($E2546,123)-117)))*1,0))</f>
        <v>34426395615</v>
      </c>
      <c r="AE2546" s="13">
        <f>$E2546+24</f>
        <v>143</v>
      </c>
      <c r="AF2546" s="14">
        <f>IF($J2546=0,0,ROUND(MAX($J2546*1.4*1.5*1.6*1.6*2.2*2.715*2.6*1.4*1.4*1.5*1.5,18900000000*(1.65331^(MIN($E2546,123)-117)))*1,0))</f>
        <v>51661901770</v>
      </c>
      <c r="AG2546" s="11">
        <f>$E2546+27</f>
        <v>146</v>
      </c>
      <c r="AH2546" s="12">
        <f>IF($J2546=0,0,ROUND(MAX($J2546*1.4*1.5*1.6*1.6*2.2*2.715*2.6*1.4*1.4*1.5*1.5*3.2,60500000000*(1.654288^(MIN($E2546,123)-117)))*1,0))</f>
        <v>165568461610</v>
      </c>
    </row>
    <row r="2547" ht="28" customHeight="1" spans="1:34" x14ac:dyDescent="0.25">
      <c r="A2547">
        <v>2557</v>
      </c>
      <c r="B2547" t="s">
        <v>321</v>
      </c>
      <c r="C2547" s="10" t="s">
        <v>1533</v>
      </c>
      <c r="D2547" t="s">
        <v>90</v>
      </c>
      <c r="E2547">
        <v>119</v>
      </c>
      <c r="F2547" t="s">
        <v>56</v>
      </c>
      <c r="G2547" t="s">
        <v>98</v>
      </c>
      <c r="H2547">
        <v>27</v>
      </c>
      <c r="I2547" s="11">
        <v>119</v>
      </c>
      <c r="J2547" s="12">
        <v>1020000</v>
      </c>
      <c r="K2547" s="13">
        <f>$E2547+1</f>
        <v>120</v>
      </c>
      <c r="L2547" s="14">
        <f>IF($J2547=0,0,ROUND(MAX($J2547*1.4,1620000*(1.497923^(MIN($E2547,123)-117)))*1,0))</f>
        <v>3634913</v>
      </c>
      <c r="M2547" s="11">
        <f>$E2547+2</f>
        <v>121</v>
      </c>
      <c r="N2547" s="12">
        <f>IF($J2547=0,0,ROUND(MAX($J2547*1.4*1.5,2190000*(1.580994^(MIN($E2547,123)-117)))*1,0))</f>
        <v>5473997</v>
      </c>
      <c r="O2547" s="13">
        <f>$E2547+4</f>
        <v>123</v>
      </c>
      <c r="P2547" s="14">
        <f>IF($J2547=0,0,ROUND(MAX($J2547*1.4*1.5*1.6,3500000*(1.57975^(MIN($E2547,123)-117)))*1,0))</f>
        <v>8734635</v>
      </c>
      <c r="Q2547" s="11">
        <f>$E2547+6</f>
        <v>125</v>
      </c>
      <c r="R2547" s="12">
        <f>IF($J2547=0,0,ROUND(MAX($J2547*1.4*1.5*1.6*1.6,13100000*(1.429962^(MIN($E2547,123)-117)))*1,0))</f>
        <v>26786766</v>
      </c>
      <c r="S2547" s="13">
        <f>$E2547+8</f>
        <v>127</v>
      </c>
      <c r="T2547" s="14">
        <f>IF($J2547=0,0,ROUND(MAX($J2547*1.4*1.5*1.6*1.6*2.2,42600000*(1.576904^(MIN($E2547,123)-117)))*1,0))</f>
        <v>105930277</v>
      </c>
      <c r="U2547" s="11">
        <f>$E2547+11</f>
        <v>130</v>
      </c>
      <c r="V2547" s="12">
        <f>IF($J2547=0,0,ROUND(MAX($J2547*1.4*1.5*1.6*1.6*2.2*2.715,354000000*(1.642074^(MIN($E2547,123)-117)))*1,0))</f>
        <v>954528086</v>
      </c>
      <c r="W2547" s="13">
        <f>$E2547+15</f>
        <v>134</v>
      </c>
      <c r="X2547" s="14">
        <f>IF($J2547=0,0,ROUND(MAX($J2547*1.4*1.5*1.6*1.6*2.2*2.715*2.6,3540000000*(1.579646^(MIN($E2547,123)-117)))*1,0))</f>
        <v>8833296458</v>
      </c>
      <c r="Y2547" s="11">
        <f>$E2547+17</f>
        <v>136</v>
      </c>
      <c r="Z2547" s="12">
        <f>IF($J2547=0,0,ROUND(MAX($J2547*1.4*1.5*1.6*1.6*2.2*2.715*2.6*1.4,6020000000*(1.651178^(MIN($E2547,123)-117)))*1,0))</f>
        <v>16412860502</v>
      </c>
      <c r="AA2547" s="13">
        <f>$E2547+19</f>
        <v>138</v>
      </c>
      <c r="AB2547" s="14">
        <f>IF($J2547=0,0,ROUND(MAX($J2547*1.4*1.5*1.6*1.6*2.2*2.715*2.6*1.4*1.4,8430000000*(1.651435^(MIN($E2547,123)-117)))*1,0))</f>
        <v>22990612624</v>
      </c>
      <c r="AC2547" s="11">
        <f>$E2547+21</f>
        <v>140</v>
      </c>
      <c r="AD2547" s="12">
        <f>IF($J2547=0,0,ROUND(MAX($J2547*1.4*1.5*1.6*1.6*2.2*2.715*2.6*1.4*1.4*1.5,12600000000*(1.652953^(MIN($E2547,123)-117)))*1,0))</f>
        <v>34426395615</v>
      </c>
      <c r="AE2547" s="13">
        <f>$E2547+24</f>
        <v>143</v>
      </c>
      <c r="AF2547" s="14">
        <f>IF($J2547=0,0,ROUND(MAX($J2547*1.4*1.5*1.6*1.6*2.2*2.715*2.6*1.4*1.4*1.5*1.5,18900000000*(1.65331^(MIN($E2547,123)-117)))*1,0))</f>
        <v>51661901770</v>
      </c>
      <c r="AG2547" s="11">
        <f>$E2547+27</f>
        <v>146</v>
      </c>
      <c r="AH2547" s="12">
        <f>IF($J2547=0,0,ROUND(MAX($J2547*1.4*1.5*1.6*1.6*2.2*2.715*2.6*1.4*1.4*1.5*1.5*3.2,60500000000*(1.654288^(MIN($E2547,123)-117)))*1,0))</f>
        <v>165568461610</v>
      </c>
    </row>
    <row r="2548" ht="28" customHeight="1" spans="1:34" x14ac:dyDescent="0.25">
      <c r="A2548">
        <v>2558</v>
      </c>
      <c r="B2548" t="s">
        <v>1416</v>
      </c>
      <c r="C2548" s="10" t="s">
        <v>1533</v>
      </c>
      <c r="D2548" t="s">
        <v>33</v>
      </c>
      <c r="E2548">
        <v>119</v>
      </c>
      <c r="F2548" t="s">
        <v>56</v>
      </c>
      <c r="G2548" t="s">
        <v>832</v>
      </c>
      <c r="H2548">
        <v>27</v>
      </c>
      <c r="I2548" s="11">
        <v>119</v>
      </c>
      <c r="J2548" s="12">
        <v>1029000</v>
      </c>
      <c r="K2548" s="13">
        <f>$E2548+1</f>
        <v>120</v>
      </c>
      <c r="L2548" s="14">
        <f>IF($J2548=0,0,ROUND(MAX($J2548*1.4,1620000*(1.497923^(MIN($E2548,123)-117)))*1,0))</f>
        <v>3634913</v>
      </c>
      <c r="M2548" s="11">
        <f>$E2548+2</f>
        <v>121</v>
      </c>
      <c r="N2548" s="12">
        <f>IF($J2548=0,0,ROUND(MAX($J2548*1.4*1.5,2190000*(1.580994^(MIN($E2548,123)-117)))*1,0))</f>
        <v>5473997</v>
      </c>
      <c r="O2548" s="13">
        <f>$E2548+4</f>
        <v>123</v>
      </c>
      <c r="P2548" s="14">
        <f>IF($J2548=0,0,ROUND(MAX($J2548*1.4*1.5*1.6,3500000*(1.57975^(MIN($E2548,123)-117)))*1,0))</f>
        <v>8734635</v>
      </c>
      <c r="Q2548" s="11">
        <f>$E2548+6</f>
        <v>125</v>
      </c>
      <c r="R2548" s="12">
        <f>IF($J2548=0,0,ROUND(MAX($J2548*1.4*1.5*1.6*1.6,13100000*(1.429962^(MIN($E2548,123)-117)))*1,0))</f>
        <v>26786766</v>
      </c>
      <c r="S2548" s="13">
        <f>$E2548+8</f>
        <v>127</v>
      </c>
      <c r="T2548" s="14">
        <f>IF($J2548=0,0,ROUND(MAX($J2548*1.4*1.5*1.6*1.6*2.2,42600000*(1.576904^(MIN($E2548,123)-117)))*1,0))</f>
        <v>105930277</v>
      </c>
      <c r="U2548" s="11">
        <f>$E2548+11</f>
        <v>130</v>
      </c>
      <c r="V2548" s="12">
        <f>IF($J2548=0,0,ROUND(MAX($J2548*1.4*1.5*1.6*1.6*2.2*2.715,354000000*(1.642074^(MIN($E2548,123)-117)))*1,0))</f>
        <v>954528086</v>
      </c>
      <c r="W2548" s="13">
        <f>$E2548+15</f>
        <v>134</v>
      </c>
      <c r="X2548" s="14">
        <f>IF($J2548=0,0,ROUND(MAX($J2548*1.4*1.5*1.6*1.6*2.2*2.715*2.6,3540000000*(1.579646^(MIN($E2548,123)-117)))*1,0))</f>
        <v>8833296458</v>
      </c>
      <c r="Y2548" s="11">
        <f>$E2548+17</f>
        <v>136</v>
      </c>
      <c r="Z2548" s="12">
        <f>IF($J2548=0,0,ROUND(MAX($J2548*1.4*1.5*1.6*1.6*2.2*2.715*2.6*1.4,6020000000*(1.651178^(MIN($E2548,123)-117)))*1,0))</f>
        <v>16412860502</v>
      </c>
      <c r="AA2548" s="13">
        <f>$E2548+19</f>
        <v>138</v>
      </c>
      <c r="AB2548" s="14">
        <f>IF($J2548=0,0,ROUND(MAX($J2548*1.4*1.5*1.6*1.6*2.2*2.715*2.6*1.4*1.4,8430000000*(1.651435^(MIN($E2548,123)-117)))*1,0))</f>
        <v>22990612624</v>
      </c>
      <c r="AC2548" s="11">
        <f>$E2548+21</f>
        <v>140</v>
      </c>
      <c r="AD2548" s="12">
        <f>IF($J2548=0,0,ROUND(MAX($J2548*1.4*1.5*1.6*1.6*2.2*2.715*2.6*1.4*1.4*1.5,12600000000*(1.652953^(MIN($E2548,123)-117)))*1,0))</f>
        <v>34426395615</v>
      </c>
      <c r="AE2548" s="13">
        <f>$E2548+24</f>
        <v>143</v>
      </c>
      <c r="AF2548" s="14">
        <f>IF($J2548=0,0,ROUND(MAX($J2548*1.4*1.5*1.6*1.6*2.2*2.715*2.6*1.4*1.4*1.5*1.5,18900000000*(1.65331^(MIN($E2548,123)-117)))*1,0))</f>
        <v>51661901770</v>
      </c>
      <c r="AG2548" s="11">
        <f>$E2548+27</f>
        <v>146</v>
      </c>
      <c r="AH2548" s="12">
        <f>IF($J2548=0,0,ROUND(MAX($J2548*1.4*1.5*1.6*1.6*2.2*2.715*2.6*1.4*1.4*1.5*1.5*3.2,60500000000*(1.654288^(MIN($E2548,123)-117)))*1,0))</f>
        <v>165568461610</v>
      </c>
    </row>
    <row r="2549" ht="28" customHeight="1" spans="1:34" x14ac:dyDescent="0.25">
      <c r="A2549">
        <v>2559</v>
      </c>
      <c r="B2549" t="s">
        <v>368</v>
      </c>
      <c r="C2549" s="10" t="s">
        <v>1533</v>
      </c>
      <c r="D2549" t="s">
        <v>75</v>
      </c>
      <c r="E2549">
        <v>119</v>
      </c>
      <c r="F2549" t="s">
        <v>71</v>
      </c>
      <c r="G2549" t="s">
        <v>98</v>
      </c>
      <c r="H2549">
        <v>26</v>
      </c>
      <c r="I2549" s="11">
        <v>119</v>
      </c>
      <c r="J2549" s="12">
        <v>1020000</v>
      </c>
      <c r="K2549" s="13">
        <f>$E2549+1</f>
        <v>120</v>
      </c>
      <c r="L2549" s="14">
        <f>IF($J2549=0,0,ROUND(MAX($J2549*1.4,1620000*(1.497923^(MIN($E2549,123)-117)))*1,0))</f>
        <v>3634913</v>
      </c>
      <c r="M2549" s="11">
        <f>$E2549+2</f>
        <v>121</v>
      </c>
      <c r="N2549" s="12">
        <f>IF($J2549=0,0,ROUND(MAX($J2549*1.4*1.5,2190000*(1.580994^(MIN($E2549,123)-117)))*1,0))</f>
        <v>5473997</v>
      </c>
      <c r="O2549" s="13">
        <f>$E2549+4</f>
        <v>123</v>
      </c>
      <c r="P2549" s="14">
        <f>IF($J2549=0,0,ROUND(MAX($J2549*1.4*1.5*1.6,3500000*(1.57975^(MIN($E2549,123)-117)))*1,0))</f>
        <v>8734635</v>
      </c>
      <c r="Q2549" s="11">
        <f>$E2549+6</f>
        <v>125</v>
      </c>
      <c r="R2549" s="12">
        <f>IF($J2549=0,0,ROUND(MAX($J2549*1.4*1.5*1.6*1.6,13100000*(1.429962^(MIN($E2549,123)-117)))*1,0))</f>
        <v>26786766</v>
      </c>
      <c r="S2549" s="13">
        <f>$E2549+8</f>
        <v>127</v>
      </c>
      <c r="T2549" s="14">
        <f>IF($J2549=0,0,ROUND(MAX($J2549*1.4*1.5*1.6*1.6*2.2,42600000*(1.576904^(MIN($E2549,123)-117)))*1,0))</f>
        <v>105930277</v>
      </c>
      <c r="U2549" s="11">
        <f>$E2549+11</f>
        <v>130</v>
      </c>
      <c r="V2549" s="12">
        <f>IF($J2549=0,0,ROUND(MAX($J2549*1.4*1.5*1.6*1.6*2.2*2.715,354000000*(1.642074^(MIN($E2549,123)-117)))*1,0))</f>
        <v>954528086</v>
      </c>
      <c r="W2549" s="13">
        <f>$E2549+15</f>
        <v>134</v>
      </c>
      <c r="X2549" s="14">
        <f>IF($J2549=0,0,ROUND(MAX($J2549*1.4*1.5*1.6*1.6*2.2*2.715*2.6,3540000000*(1.579646^(MIN($E2549,123)-117)))*1,0))</f>
        <v>8833296458</v>
      </c>
      <c r="Y2549" s="11">
        <f>$E2549+17</f>
        <v>136</v>
      </c>
      <c r="Z2549" s="12">
        <f>IF($J2549=0,0,ROUND(MAX($J2549*1.4*1.5*1.6*1.6*2.2*2.715*2.6*1.4,6020000000*(1.651178^(MIN($E2549,123)-117)))*1,0))</f>
        <v>16412860502</v>
      </c>
      <c r="AA2549" s="13">
        <f>$E2549+19</f>
        <v>138</v>
      </c>
      <c r="AB2549" s="14">
        <f>IF($J2549=0,0,ROUND(MAX($J2549*1.4*1.5*1.6*1.6*2.2*2.715*2.6*1.4*1.4,8430000000*(1.651435^(MIN($E2549,123)-117)))*1,0))</f>
        <v>22990612624</v>
      </c>
      <c r="AC2549" s="11">
        <f>$E2549+21</f>
        <v>140</v>
      </c>
      <c r="AD2549" s="12">
        <f>IF($J2549=0,0,ROUND(MAX($J2549*1.4*1.5*1.6*1.6*2.2*2.715*2.6*1.4*1.4*1.5,12600000000*(1.652953^(MIN($E2549,123)-117)))*1,0))</f>
        <v>34426395615</v>
      </c>
      <c r="AE2549" s="13">
        <f>$E2549+24</f>
        <v>143</v>
      </c>
      <c r="AF2549" s="14">
        <f>IF($J2549=0,0,ROUND(MAX($J2549*1.4*1.5*1.6*1.6*2.2*2.715*2.6*1.4*1.4*1.5*1.5,18900000000*(1.65331^(MIN($E2549,123)-117)))*1,0))</f>
        <v>51661901770</v>
      </c>
      <c r="AG2549" s="11">
        <f>$E2549+27</f>
        <v>146</v>
      </c>
      <c r="AH2549" s="12">
        <f>IF($J2549=0,0,ROUND(MAX($J2549*1.4*1.5*1.6*1.6*2.2*2.715*2.6*1.4*1.4*1.5*1.5*3.2,60500000000*(1.654288^(MIN($E2549,123)-117)))*1,0))</f>
        <v>165568461610</v>
      </c>
    </row>
    <row r="2550" ht="28" customHeight="1" spans="1:34" x14ac:dyDescent="0.25">
      <c r="A2550">
        <v>2560</v>
      </c>
      <c r="B2550" t="s">
        <v>251</v>
      </c>
      <c r="C2550" s="10" t="s">
        <v>1533</v>
      </c>
      <c r="D2550" t="s">
        <v>40</v>
      </c>
      <c r="E2550">
        <v>118</v>
      </c>
      <c r="F2550" t="s">
        <v>59</v>
      </c>
      <c r="G2550" t="s">
        <v>252</v>
      </c>
      <c r="H2550">
        <v>31</v>
      </c>
      <c r="I2550" s="11">
        <v>118</v>
      </c>
      <c r="J2550" s="12">
        <v>784000</v>
      </c>
      <c r="K2550" s="13">
        <f>$E2550+1</f>
        <v>119</v>
      </c>
      <c r="L2550" s="14">
        <f>IF($J2550=0,0,ROUND(MAX($J2550*1.4,1620000*(1.497923^(MIN($E2550,123)-117)))*1,0))</f>
        <v>2426635</v>
      </c>
      <c r="M2550" s="11">
        <f>$E2550+2</f>
        <v>120</v>
      </c>
      <c r="N2550" s="12">
        <f>IF($J2550=0,0,ROUND(MAX($J2550*1.4*1.5,2190000*(1.580994^(MIN($E2550,123)-117)))*1,0))</f>
        <v>3462377</v>
      </c>
      <c r="O2550" s="13">
        <f>$E2550+4</f>
        <v>122</v>
      </c>
      <c r="P2550" s="14">
        <f>IF($J2550=0,0,ROUND(MAX($J2550*1.4*1.5*1.6,3500000*(1.57975^(MIN($E2550,123)-117)))*1,0))</f>
        <v>5529125</v>
      </c>
      <c r="Q2550" s="11">
        <f>$E2550+6</f>
        <v>124</v>
      </c>
      <c r="R2550" s="12">
        <f>IF($J2550=0,0,ROUND(MAX($J2550*1.4*1.5*1.6*1.6,13100000*(1.429962^(MIN($E2550,123)-117)))*1,0))</f>
        <v>18732502</v>
      </c>
      <c r="S2550" s="13">
        <f>$E2550+8</f>
        <v>126</v>
      </c>
      <c r="T2550" s="14">
        <f>IF($J2550=0,0,ROUND(MAX($J2550*1.4*1.5*1.6*1.6*2.2,42600000*(1.576904^(MIN($E2550,123)-117)))*1,0))</f>
        <v>67176110</v>
      </c>
      <c r="U2550" s="11">
        <f>$E2550+11</f>
        <v>129</v>
      </c>
      <c r="V2550" s="12">
        <f>IF($J2550=0,0,ROUND(MAX($J2550*1.4*1.5*1.6*1.6*2.2*2.715,354000000*(1.642074^(MIN($E2550,123)-117)))*1,0))</f>
        <v>581294196</v>
      </c>
      <c r="W2550" s="13">
        <f>$E2550+15</f>
        <v>133</v>
      </c>
      <c r="X2550" s="14">
        <f>IF($J2550=0,0,ROUND(MAX($J2550*1.4*1.5*1.6*1.6*2.2*2.715*2.6,3540000000*(1.579646^(MIN($E2550,123)-117)))*1,0))</f>
        <v>5591946840</v>
      </c>
      <c r="Y2550" s="11">
        <f>$E2550+17</f>
        <v>135</v>
      </c>
      <c r="Z2550" s="12">
        <f>IF($J2550=0,0,ROUND(MAX($J2550*1.4*1.5*1.6*1.6*2.2*2.715*2.6*1.4,6020000000*(1.651178^(MIN($E2550,123)-117)))*1,0))</f>
        <v>9940091560</v>
      </c>
      <c r="AA2550" s="13">
        <f>$E2550+19</f>
        <v>137</v>
      </c>
      <c r="AB2550" s="14">
        <f>IF($J2550=0,0,ROUND(MAX($J2550*1.4*1.5*1.6*1.6*2.2*2.715*2.6*1.4*1.4,8430000000*(1.651435^(MIN($E2550,123)-117)))*1,0))</f>
        <v>13921597050</v>
      </c>
      <c r="AC2550" s="11">
        <f>$E2550+21</f>
        <v>139</v>
      </c>
      <c r="AD2550" s="12">
        <f>IF($J2550=0,0,ROUND(MAX($J2550*1.4*1.5*1.6*1.6*2.2*2.715*2.6*1.4*1.4*1.5,12600000000*(1.652953^(MIN($E2550,123)-117)))*1,0))</f>
        <v>20827207800</v>
      </c>
      <c r="AE2550" s="13">
        <f>$E2550+24</f>
        <v>142</v>
      </c>
      <c r="AF2550" s="14">
        <f>IF($J2550=0,0,ROUND(MAX($J2550*1.4*1.5*1.6*1.6*2.2*2.715*2.6*1.4*1.4*1.5*1.5,18900000000*(1.65331^(MIN($E2550,123)-117)))*1,0))</f>
        <v>31247559000</v>
      </c>
      <c r="AG2550" s="11">
        <f>$E2550+27</f>
        <v>145</v>
      </c>
      <c r="AH2550" s="12">
        <f>IF($J2550=0,0,ROUND(MAX($J2550*1.4*1.5*1.6*1.6*2.2*2.715*2.6*1.4*1.4*1.5*1.5*3.2,60500000000*(1.654288^(MIN($E2550,123)-117)))*1,0))</f>
        <v>100084424000</v>
      </c>
    </row>
    <row r="2551" ht="28" customHeight="1" spans="1:34" x14ac:dyDescent="0.25">
      <c r="A2551">
        <v>2561</v>
      </c>
      <c r="B2551" t="s">
        <v>232</v>
      </c>
      <c r="C2551" s="10" t="s">
        <v>1533</v>
      </c>
      <c r="D2551" t="s">
        <v>25</v>
      </c>
      <c r="E2551">
        <v>118</v>
      </c>
      <c r="F2551" t="s">
        <v>59</v>
      </c>
      <c r="G2551" t="s">
        <v>57</v>
      </c>
      <c r="H2551">
        <v>30</v>
      </c>
      <c r="I2551" s="11">
        <v>118</v>
      </c>
      <c r="J2551" s="12">
        <v>762000</v>
      </c>
      <c r="K2551" s="13">
        <f>$E2551+1</f>
        <v>119</v>
      </c>
      <c r="L2551" s="14">
        <f>IF($J2551=0,0,ROUND(MAX($J2551*1.4,1620000*(1.497923^(MIN($E2551,123)-117)))*1,0))</f>
        <v>2426635</v>
      </c>
      <c r="M2551" s="11">
        <f>$E2551+2</f>
        <v>120</v>
      </c>
      <c r="N2551" s="12">
        <f>IF($J2551=0,0,ROUND(MAX($J2551*1.4*1.5,2190000*(1.580994^(MIN($E2551,123)-117)))*1,0))</f>
        <v>3462377</v>
      </c>
      <c r="O2551" s="13">
        <f>$E2551+4</f>
        <v>122</v>
      </c>
      <c r="P2551" s="14">
        <f>IF($J2551=0,0,ROUND(MAX($J2551*1.4*1.5*1.6,3500000*(1.57975^(MIN($E2551,123)-117)))*1,0))</f>
        <v>5529125</v>
      </c>
      <c r="Q2551" s="11">
        <f>$E2551+6</f>
        <v>124</v>
      </c>
      <c r="R2551" s="12">
        <f>IF($J2551=0,0,ROUND(MAX($J2551*1.4*1.5*1.6*1.6,13100000*(1.429962^(MIN($E2551,123)-117)))*1,0))</f>
        <v>18732502</v>
      </c>
      <c r="S2551" s="13">
        <f>$E2551+8</f>
        <v>126</v>
      </c>
      <c r="T2551" s="14">
        <f>IF($J2551=0,0,ROUND(MAX($J2551*1.4*1.5*1.6*1.6*2.2,42600000*(1.576904^(MIN($E2551,123)-117)))*1,0))</f>
        <v>67176110</v>
      </c>
      <c r="U2551" s="11">
        <f>$E2551+11</f>
        <v>129</v>
      </c>
      <c r="V2551" s="12">
        <f>IF($J2551=0,0,ROUND(MAX($J2551*1.4*1.5*1.6*1.6*2.2*2.715,354000000*(1.642074^(MIN($E2551,123)-117)))*1,0))</f>
        <v>581294196</v>
      </c>
      <c r="W2551" s="13">
        <f>$E2551+15</f>
        <v>133</v>
      </c>
      <c r="X2551" s="14">
        <f>IF($J2551=0,0,ROUND(MAX($J2551*1.4*1.5*1.6*1.6*2.2*2.715*2.6,3540000000*(1.579646^(MIN($E2551,123)-117)))*1,0))</f>
        <v>5591946840</v>
      </c>
      <c r="Y2551" s="11">
        <f>$E2551+17</f>
        <v>135</v>
      </c>
      <c r="Z2551" s="12">
        <f>IF($J2551=0,0,ROUND(MAX($J2551*1.4*1.5*1.6*1.6*2.2*2.715*2.6*1.4,6020000000*(1.651178^(MIN($E2551,123)-117)))*1,0))</f>
        <v>9940091560</v>
      </c>
      <c r="AA2551" s="13">
        <f>$E2551+19</f>
        <v>137</v>
      </c>
      <c r="AB2551" s="14">
        <f>IF($J2551=0,0,ROUND(MAX($J2551*1.4*1.5*1.6*1.6*2.2*2.715*2.6*1.4*1.4,8430000000*(1.651435^(MIN($E2551,123)-117)))*1,0))</f>
        <v>13921597050</v>
      </c>
      <c r="AC2551" s="11">
        <f>$E2551+21</f>
        <v>139</v>
      </c>
      <c r="AD2551" s="12">
        <f>IF($J2551=0,0,ROUND(MAX($J2551*1.4*1.5*1.6*1.6*2.2*2.715*2.6*1.4*1.4*1.5,12600000000*(1.652953^(MIN($E2551,123)-117)))*1,0))</f>
        <v>20827207800</v>
      </c>
      <c r="AE2551" s="13">
        <f>$E2551+24</f>
        <v>142</v>
      </c>
      <c r="AF2551" s="14">
        <f>IF($J2551=0,0,ROUND(MAX($J2551*1.4*1.5*1.6*1.6*2.2*2.715*2.6*1.4*1.4*1.5*1.5,18900000000*(1.65331^(MIN($E2551,123)-117)))*1,0))</f>
        <v>31247559000</v>
      </c>
      <c r="AG2551" s="11">
        <f>$E2551+27</f>
        <v>145</v>
      </c>
      <c r="AH2551" s="12">
        <f>IF($J2551=0,0,ROUND(MAX($J2551*1.4*1.5*1.6*1.6*2.2*2.715*2.6*1.4*1.4*1.5*1.5*3.2,60500000000*(1.654288^(MIN($E2551,123)-117)))*1,0))</f>
        <v>100084424000</v>
      </c>
    </row>
    <row r="2552" ht="28" customHeight="1" spans="1:34" x14ac:dyDescent="0.25">
      <c r="A2552">
        <v>2562</v>
      </c>
      <c r="B2552" t="s">
        <v>1539</v>
      </c>
      <c r="C2552" s="10" t="s">
        <v>1533</v>
      </c>
      <c r="D2552" t="s">
        <v>79</v>
      </c>
      <c r="E2552">
        <v>118</v>
      </c>
      <c r="F2552" t="s">
        <v>479</v>
      </c>
      <c r="G2552" t="s">
        <v>1013</v>
      </c>
      <c r="H2552">
        <v>29</v>
      </c>
      <c r="I2552" s="11">
        <v>118</v>
      </c>
      <c r="J2552" s="12">
        <v>715000</v>
      </c>
      <c r="K2552" s="13">
        <f>$E2552+1</f>
        <v>119</v>
      </c>
      <c r="L2552" s="14">
        <f>IF($J2552=0,0,ROUND(MAX($J2552*1.4,1620000*(1.497923^(MIN($E2552,123)-117)))*1,0))</f>
        <v>2426635</v>
      </c>
      <c r="M2552" s="11">
        <f>$E2552+2</f>
        <v>120</v>
      </c>
      <c r="N2552" s="12">
        <f>IF($J2552=0,0,ROUND(MAX($J2552*1.4*1.5,2190000*(1.580994^(MIN($E2552,123)-117)))*1,0))</f>
        <v>3462377</v>
      </c>
      <c r="O2552" s="13">
        <f>$E2552+4</f>
        <v>122</v>
      </c>
      <c r="P2552" s="14">
        <f>IF($J2552=0,0,ROUND(MAX($J2552*1.4*1.5*1.6,3500000*(1.57975^(MIN($E2552,123)-117)))*1,0))</f>
        <v>5529125</v>
      </c>
      <c r="Q2552" s="11">
        <f>$E2552+6</f>
        <v>124</v>
      </c>
      <c r="R2552" s="12">
        <f>IF($J2552=0,0,ROUND(MAX($J2552*1.4*1.5*1.6*1.6,13100000*(1.429962^(MIN($E2552,123)-117)))*1,0))</f>
        <v>18732502</v>
      </c>
      <c r="S2552" s="13">
        <f>$E2552+8</f>
        <v>126</v>
      </c>
      <c r="T2552" s="14">
        <f>IF($J2552=0,0,ROUND(MAX($J2552*1.4*1.5*1.6*1.6*2.2,42600000*(1.576904^(MIN($E2552,123)-117)))*1,0))</f>
        <v>67176110</v>
      </c>
      <c r="U2552" s="11">
        <f>$E2552+11</f>
        <v>129</v>
      </c>
      <c r="V2552" s="12">
        <f>IF($J2552=0,0,ROUND(MAX($J2552*1.4*1.5*1.6*1.6*2.2*2.715,354000000*(1.642074^(MIN($E2552,123)-117)))*1,0))</f>
        <v>581294196</v>
      </c>
      <c r="W2552" s="13">
        <f>$E2552+15</f>
        <v>133</v>
      </c>
      <c r="X2552" s="14">
        <f>IF($J2552=0,0,ROUND(MAX($J2552*1.4*1.5*1.6*1.6*2.2*2.715*2.6,3540000000*(1.579646^(MIN($E2552,123)-117)))*1,0))</f>
        <v>5591946840</v>
      </c>
      <c r="Y2552" s="11">
        <f>$E2552+17</f>
        <v>135</v>
      </c>
      <c r="Z2552" s="12">
        <f>IF($J2552=0,0,ROUND(MAX($J2552*1.4*1.5*1.6*1.6*2.2*2.715*2.6*1.4,6020000000*(1.651178^(MIN($E2552,123)-117)))*1,0))</f>
        <v>9940091560</v>
      </c>
      <c r="AA2552" s="13">
        <f>$E2552+19</f>
        <v>137</v>
      </c>
      <c r="AB2552" s="14">
        <f>IF($J2552=0,0,ROUND(MAX($J2552*1.4*1.5*1.6*1.6*2.2*2.715*2.6*1.4*1.4,8430000000*(1.651435^(MIN($E2552,123)-117)))*1,0))</f>
        <v>13921597050</v>
      </c>
      <c r="AC2552" s="11">
        <f>$E2552+21</f>
        <v>139</v>
      </c>
      <c r="AD2552" s="12">
        <f>IF($J2552=0,0,ROUND(MAX($J2552*1.4*1.5*1.6*1.6*2.2*2.715*2.6*1.4*1.4*1.5,12600000000*(1.652953^(MIN($E2552,123)-117)))*1,0))</f>
        <v>20827207800</v>
      </c>
      <c r="AE2552" s="13">
        <f>$E2552+24</f>
        <v>142</v>
      </c>
      <c r="AF2552" s="14">
        <f>IF($J2552=0,0,ROUND(MAX($J2552*1.4*1.5*1.6*1.6*2.2*2.715*2.6*1.4*1.4*1.5*1.5,18900000000*(1.65331^(MIN($E2552,123)-117)))*1,0))</f>
        <v>31247559000</v>
      </c>
      <c r="AG2552" s="11">
        <f>$E2552+27</f>
        <v>145</v>
      </c>
      <c r="AH2552" s="12">
        <f>IF($J2552=0,0,ROUND(MAX($J2552*1.4*1.5*1.6*1.6*2.2*2.715*2.6*1.4*1.4*1.5*1.5*3.2,60500000000*(1.654288^(MIN($E2552,123)-117)))*1,0))</f>
        <v>100084424000</v>
      </c>
    </row>
    <row r="2553" ht="28" customHeight="1" spans="1:34" x14ac:dyDescent="0.25">
      <c r="A2553">
        <v>2563</v>
      </c>
      <c r="B2553" t="s">
        <v>636</v>
      </c>
      <c r="C2553" s="10" t="s">
        <v>1533</v>
      </c>
      <c r="D2553" t="s">
        <v>79</v>
      </c>
      <c r="E2553">
        <v>118</v>
      </c>
      <c r="F2553" t="s">
        <v>34</v>
      </c>
      <c r="G2553" t="s">
        <v>133</v>
      </c>
      <c r="H2553">
        <v>29</v>
      </c>
      <c r="I2553" s="11">
        <v>118</v>
      </c>
      <c r="J2553" s="12">
        <v>787000</v>
      </c>
      <c r="K2553" s="13">
        <f>$E2553+1</f>
        <v>119</v>
      </c>
      <c r="L2553" s="14">
        <f>IF($J2553=0,0,ROUND(MAX($J2553*1.4,1620000*(1.497923^(MIN($E2553,123)-117)))*1,0))</f>
        <v>2426635</v>
      </c>
      <c r="M2553" s="11">
        <f>$E2553+2</f>
        <v>120</v>
      </c>
      <c r="N2553" s="12">
        <f>IF($J2553=0,0,ROUND(MAX($J2553*1.4*1.5,2190000*(1.580994^(MIN($E2553,123)-117)))*1,0))</f>
        <v>3462377</v>
      </c>
      <c r="O2553" s="13">
        <f>$E2553+4</f>
        <v>122</v>
      </c>
      <c r="P2553" s="14">
        <f>IF($J2553=0,0,ROUND(MAX($J2553*1.4*1.5*1.6,3500000*(1.57975^(MIN($E2553,123)-117)))*1,0))</f>
        <v>5529125</v>
      </c>
      <c r="Q2553" s="11">
        <f>$E2553+6</f>
        <v>124</v>
      </c>
      <c r="R2553" s="12">
        <f>IF($J2553=0,0,ROUND(MAX($J2553*1.4*1.5*1.6*1.6,13100000*(1.429962^(MIN($E2553,123)-117)))*1,0))</f>
        <v>18732502</v>
      </c>
      <c r="S2553" s="13">
        <f>$E2553+8</f>
        <v>126</v>
      </c>
      <c r="T2553" s="14">
        <f>IF($J2553=0,0,ROUND(MAX($J2553*1.4*1.5*1.6*1.6*2.2,42600000*(1.576904^(MIN($E2553,123)-117)))*1,0))</f>
        <v>67176110</v>
      </c>
      <c r="U2553" s="11">
        <f>$E2553+11</f>
        <v>129</v>
      </c>
      <c r="V2553" s="12">
        <f>IF($J2553=0,0,ROUND(MAX($J2553*1.4*1.5*1.6*1.6*2.2*2.715,354000000*(1.642074^(MIN($E2553,123)-117)))*1,0))</f>
        <v>581294196</v>
      </c>
      <c r="W2553" s="13">
        <f>$E2553+15</f>
        <v>133</v>
      </c>
      <c r="X2553" s="14">
        <f>IF($J2553=0,0,ROUND(MAX($J2553*1.4*1.5*1.6*1.6*2.2*2.715*2.6,3540000000*(1.579646^(MIN($E2553,123)-117)))*1,0))</f>
        <v>5591946840</v>
      </c>
      <c r="Y2553" s="11">
        <f>$E2553+17</f>
        <v>135</v>
      </c>
      <c r="Z2553" s="12">
        <f>IF($J2553=0,0,ROUND(MAX($J2553*1.4*1.5*1.6*1.6*2.2*2.715*2.6*1.4,6020000000*(1.651178^(MIN($E2553,123)-117)))*1,0))</f>
        <v>9940091560</v>
      </c>
      <c r="AA2553" s="13">
        <f>$E2553+19</f>
        <v>137</v>
      </c>
      <c r="AB2553" s="14">
        <f>IF($J2553=0,0,ROUND(MAX($J2553*1.4*1.5*1.6*1.6*2.2*2.715*2.6*1.4*1.4,8430000000*(1.651435^(MIN($E2553,123)-117)))*1,0))</f>
        <v>13921597050</v>
      </c>
      <c r="AC2553" s="11">
        <f>$E2553+21</f>
        <v>139</v>
      </c>
      <c r="AD2553" s="12">
        <f>IF($J2553=0,0,ROUND(MAX($J2553*1.4*1.5*1.6*1.6*2.2*2.715*2.6*1.4*1.4*1.5,12600000000*(1.652953^(MIN($E2553,123)-117)))*1,0))</f>
        <v>20827207800</v>
      </c>
      <c r="AE2553" s="13">
        <f>$E2553+24</f>
        <v>142</v>
      </c>
      <c r="AF2553" s="14">
        <f>IF($J2553=0,0,ROUND(MAX($J2553*1.4*1.5*1.6*1.6*2.2*2.715*2.6*1.4*1.4*1.5*1.5,18900000000*(1.65331^(MIN($E2553,123)-117)))*1,0))</f>
        <v>31247559000</v>
      </c>
      <c r="AG2553" s="11">
        <f>$E2553+27</f>
        <v>145</v>
      </c>
      <c r="AH2553" s="12">
        <f>IF($J2553=0,0,ROUND(MAX($J2553*1.4*1.5*1.6*1.6*2.2*2.715*2.6*1.4*1.4*1.5*1.5*3.2,60500000000*(1.654288^(MIN($E2553,123)-117)))*1,0))</f>
        <v>100084424000</v>
      </c>
    </row>
    <row r="2554" ht="28" customHeight="1" spans="1:34" x14ac:dyDescent="0.25">
      <c r="A2554">
        <v>2564</v>
      </c>
      <c r="B2554" t="s">
        <v>1183</v>
      </c>
      <c r="C2554" s="10" t="s">
        <v>1533</v>
      </c>
      <c r="D2554" t="s">
        <v>102</v>
      </c>
      <c r="E2554">
        <v>118</v>
      </c>
      <c r="F2554" t="s">
        <v>385</v>
      </c>
      <c r="G2554" t="s">
        <v>98</v>
      </c>
      <c r="H2554">
        <v>29</v>
      </c>
      <c r="I2554" s="11">
        <v>118</v>
      </c>
      <c r="J2554" s="12">
        <v>798000</v>
      </c>
      <c r="K2554" s="13">
        <f>$E2554+1</f>
        <v>119</v>
      </c>
      <c r="L2554" s="14">
        <f>IF($J2554=0,0,ROUND(MAX($J2554*1.4,1620000*(1.497923^(MIN($E2554,123)-117)))*1,0))</f>
        <v>2426635</v>
      </c>
      <c r="M2554" s="11">
        <f>$E2554+2</f>
        <v>120</v>
      </c>
      <c r="N2554" s="12">
        <f>IF($J2554=0,0,ROUND(MAX($J2554*1.4*1.5,2190000*(1.580994^(MIN($E2554,123)-117)))*1,0))</f>
        <v>3462377</v>
      </c>
      <c r="O2554" s="13">
        <f>$E2554+4</f>
        <v>122</v>
      </c>
      <c r="P2554" s="14">
        <f>IF($J2554=0,0,ROUND(MAX($J2554*1.4*1.5*1.6,3500000*(1.57975^(MIN($E2554,123)-117)))*1,0))</f>
        <v>5529125</v>
      </c>
      <c r="Q2554" s="11">
        <f>$E2554+6</f>
        <v>124</v>
      </c>
      <c r="R2554" s="12">
        <f>IF($J2554=0,0,ROUND(MAX($J2554*1.4*1.5*1.6*1.6,13100000*(1.429962^(MIN($E2554,123)-117)))*1,0))</f>
        <v>18732502</v>
      </c>
      <c r="S2554" s="13">
        <f>$E2554+8</f>
        <v>126</v>
      </c>
      <c r="T2554" s="14">
        <f>IF($J2554=0,0,ROUND(MAX($J2554*1.4*1.5*1.6*1.6*2.2,42600000*(1.576904^(MIN($E2554,123)-117)))*1,0))</f>
        <v>67176110</v>
      </c>
      <c r="U2554" s="11">
        <f>$E2554+11</f>
        <v>129</v>
      </c>
      <c r="V2554" s="12">
        <f>IF($J2554=0,0,ROUND(MAX($J2554*1.4*1.5*1.6*1.6*2.2*2.715,354000000*(1.642074^(MIN($E2554,123)-117)))*1,0))</f>
        <v>581294196</v>
      </c>
      <c r="W2554" s="13">
        <f>$E2554+15</f>
        <v>133</v>
      </c>
      <c r="X2554" s="14">
        <f>IF($J2554=0,0,ROUND(MAX($J2554*1.4*1.5*1.6*1.6*2.2*2.715*2.6,3540000000*(1.579646^(MIN($E2554,123)-117)))*1,0))</f>
        <v>5591946840</v>
      </c>
      <c r="Y2554" s="11">
        <f>$E2554+17</f>
        <v>135</v>
      </c>
      <c r="Z2554" s="12">
        <f>IF($J2554=0,0,ROUND(MAX($J2554*1.4*1.5*1.6*1.6*2.2*2.715*2.6*1.4,6020000000*(1.651178^(MIN($E2554,123)-117)))*1,0))</f>
        <v>9940091560</v>
      </c>
      <c r="AA2554" s="13">
        <f>$E2554+19</f>
        <v>137</v>
      </c>
      <c r="AB2554" s="14">
        <f>IF($J2554=0,0,ROUND(MAX($J2554*1.4*1.5*1.6*1.6*2.2*2.715*2.6*1.4*1.4,8430000000*(1.651435^(MIN($E2554,123)-117)))*1,0))</f>
        <v>13921597050</v>
      </c>
      <c r="AC2554" s="11">
        <f>$E2554+21</f>
        <v>139</v>
      </c>
      <c r="AD2554" s="12">
        <f>IF($J2554=0,0,ROUND(MAX($J2554*1.4*1.5*1.6*1.6*2.2*2.715*2.6*1.4*1.4*1.5,12600000000*(1.652953^(MIN($E2554,123)-117)))*1,0))</f>
        <v>20827207800</v>
      </c>
      <c r="AE2554" s="13">
        <f>$E2554+24</f>
        <v>142</v>
      </c>
      <c r="AF2554" s="14">
        <f>IF($J2554=0,0,ROUND(MAX($J2554*1.4*1.5*1.6*1.6*2.2*2.715*2.6*1.4*1.4*1.5*1.5,18900000000*(1.65331^(MIN($E2554,123)-117)))*1,0))</f>
        <v>31247559000</v>
      </c>
      <c r="AG2554" s="11">
        <f>$E2554+27</f>
        <v>145</v>
      </c>
      <c r="AH2554" s="12">
        <f>IF($J2554=0,0,ROUND(MAX($J2554*1.4*1.5*1.6*1.6*2.2*2.715*2.6*1.4*1.4*1.5*1.5*3.2,60500000000*(1.654288^(MIN($E2554,123)-117)))*1,0))</f>
        <v>100084424000</v>
      </c>
    </row>
    <row r="2555" ht="28" customHeight="1" spans="1:34" x14ac:dyDescent="0.25">
      <c r="A2555">
        <v>2565</v>
      </c>
      <c r="B2555" t="s">
        <v>802</v>
      </c>
      <c r="C2555" s="10" t="s">
        <v>1533</v>
      </c>
      <c r="D2555" t="s">
        <v>64</v>
      </c>
      <c r="E2555">
        <v>118</v>
      </c>
      <c r="F2555" t="s">
        <v>303</v>
      </c>
      <c r="G2555" t="s">
        <v>38</v>
      </c>
      <c r="H2555">
        <v>29</v>
      </c>
      <c r="I2555" s="11">
        <v>118</v>
      </c>
      <c r="J2555" s="12">
        <v>755000</v>
      </c>
      <c r="K2555" s="13">
        <f>$E2555+1</f>
        <v>119</v>
      </c>
      <c r="L2555" s="14">
        <f>IF($J2555=0,0,ROUND(MAX($J2555*1.4,1620000*(1.497923^(MIN($E2555,123)-117)))*1,0))</f>
        <v>2426635</v>
      </c>
      <c r="M2555" s="11">
        <f>$E2555+2</f>
        <v>120</v>
      </c>
      <c r="N2555" s="12">
        <f>IF($J2555=0,0,ROUND(MAX($J2555*1.4*1.5,2190000*(1.580994^(MIN($E2555,123)-117)))*1,0))</f>
        <v>3462377</v>
      </c>
      <c r="O2555" s="13">
        <f>$E2555+4</f>
        <v>122</v>
      </c>
      <c r="P2555" s="14">
        <f>IF($J2555=0,0,ROUND(MAX($J2555*1.4*1.5*1.6,3500000*(1.57975^(MIN($E2555,123)-117)))*1,0))</f>
        <v>5529125</v>
      </c>
      <c r="Q2555" s="11">
        <f>$E2555+6</f>
        <v>124</v>
      </c>
      <c r="R2555" s="12">
        <f>IF($J2555=0,0,ROUND(MAX($J2555*1.4*1.5*1.6*1.6,13100000*(1.429962^(MIN($E2555,123)-117)))*1,0))</f>
        <v>18732502</v>
      </c>
      <c r="S2555" s="13">
        <f>$E2555+8</f>
        <v>126</v>
      </c>
      <c r="T2555" s="14">
        <f>IF($J2555=0,0,ROUND(MAX($J2555*1.4*1.5*1.6*1.6*2.2,42600000*(1.576904^(MIN($E2555,123)-117)))*1,0))</f>
        <v>67176110</v>
      </c>
      <c r="U2555" s="11">
        <f>$E2555+11</f>
        <v>129</v>
      </c>
      <c r="V2555" s="12">
        <f>IF($J2555=0,0,ROUND(MAX($J2555*1.4*1.5*1.6*1.6*2.2*2.715,354000000*(1.642074^(MIN($E2555,123)-117)))*1,0))</f>
        <v>581294196</v>
      </c>
      <c r="W2555" s="13">
        <f>$E2555+15</f>
        <v>133</v>
      </c>
      <c r="X2555" s="14">
        <f>IF($J2555=0,0,ROUND(MAX($J2555*1.4*1.5*1.6*1.6*2.2*2.715*2.6,3540000000*(1.579646^(MIN($E2555,123)-117)))*1,0))</f>
        <v>5591946840</v>
      </c>
      <c r="Y2555" s="11">
        <f>$E2555+17</f>
        <v>135</v>
      </c>
      <c r="Z2555" s="12">
        <f>IF($J2555=0,0,ROUND(MAX($J2555*1.4*1.5*1.6*1.6*2.2*2.715*2.6*1.4,6020000000*(1.651178^(MIN($E2555,123)-117)))*1,0))</f>
        <v>9940091560</v>
      </c>
      <c r="AA2555" s="13">
        <f>$E2555+19</f>
        <v>137</v>
      </c>
      <c r="AB2555" s="14">
        <f>IF($J2555=0,0,ROUND(MAX($J2555*1.4*1.5*1.6*1.6*2.2*2.715*2.6*1.4*1.4,8430000000*(1.651435^(MIN($E2555,123)-117)))*1,0))</f>
        <v>13921597050</v>
      </c>
      <c r="AC2555" s="11">
        <f>$E2555+21</f>
        <v>139</v>
      </c>
      <c r="AD2555" s="12">
        <f>IF($J2555=0,0,ROUND(MAX($J2555*1.4*1.5*1.6*1.6*2.2*2.715*2.6*1.4*1.4*1.5,12600000000*(1.652953^(MIN($E2555,123)-117)))*1,0))</f>
        <v>20827207800</v>
      </c>
      <c r="AE2555" s="13">
        <f>$E2555+24</f>
        <v>142</v>
      </c>
      <c r="AF2555" s="14">
        <f>IF($J2555=0,0,ROUND(MAX($J2555*1.4*1.5*1.6*1.6*2.2*2.715*2.6*1.4*1.4*1.5*1.5,18900000000*(1.65331^(MIN($E2555,123)-117)))*1,0))</f>
        <v>31247559000</v>
      </c>
      <c r="AG2555" s="11">
        <f>$E2555+27</f>
        <v>145</v>
      </c>
      <c r="AH2555" s="12">
        <f>IF($J2555=0,0,ROUND(MAX($J2555*1.4*1.5*1.6*1.6*2.2*2.715*2.6*1.4*1.4*1.5*1.5*3.2,60500000000*(1.654288^(MIN($E2555,123)-117)))*1,0))</f>
        <v>100084424000</v>
      </c>
    </row>
    <row r="2556" ht="28" customHeight="1" spans="1:34" x14ac:dyDescent="0.25">
      <c r="A2556">
        <v>2566</v>
      </c>
      <c r="B2556" t="s">
        <v>1540</v>
      </c>
      <c r="C2556" s="10" t="s">
        <v>1533</v>
      </c>
      <c r="D2556" t="s">
        <v>45</v>
      </c>
      <c r="E2556">
        <v>118</v>
      </c>
      <c r="F2556" t="s">
        <v>310</v>
      </c>
      <c r="G2556" t="s">
        <v>832</v>
      </c>
      <c r="H2556">
        <v>29</v>
      </c>
      <c r="I2556" s="11">
        <v>118</v>
      </c>
      <c r="J2556" s="12">
        <v>760000</v>
      </c>
      <c r="K2556" s="13">
        <f>$E2556+1</f>
        <v>119</v>
      </c>
      <c r="L2556" s="14">
        <f>IF($J2556=0,0,ROUND(MAX($J2556*1.4,1620000*(1.497923^(MIN($E2556,123)-117)))*1,0))</f>
        <v>2426635</v>
      </c>
      <c r="M2556" s="11">
        <f>$E2556+2</f>
        <v>120</v>
      </c>
      <c r="N2556" s="12">
        <f>IF($J2556=0,0,ROUND(MAX($J2556*1.4*1.5,2190000*(1.580994^(MIN($E2556,123)-117)))*1,0))</f>
        <v>3462377</v>
      </c>
      <c r="O2556" s="13">
        <f>$E2556+4</f>
        <v>122</v>
      </c>
      <c r="P2556" s="14">
        <f>IF($J2556=0,0,ROUND(MAX($J2556*1.4*1.5*1.6,3500000*(1.57975^(MIN($E2556,123)-117)))*1,0))</f>
        <v>5529125</v>
      </c>
      <c r="Q2556" s="11">
        <f>$E2556+6</f>
        <v>124</v>
      </c>
      <c r="R2556" s="12">
        <f>IF($J2556=0,0,ROUND(MAX($J2556*1.4*1.5*1.6*1.6,13100000*(1.429962^(MIN($E2556,123)-117)))*1,0))</f>
        <v>18732502</v>
      </c>
      <c r="S2556" s="13">
        <f>$E2556+8</f>
        <v>126</v>
      </c>
      <c r="T2556" s="14">
        <f>IF($J2556=0,0,ROUND(MAX($J2556*1.4*1.5*1.6*1.6*2.2,42600000*(1.576904^(MIN($E2556,123)-117)))*1,0))</f>
        <v>67176110</v>
      </c>
      <c r="U2556" s="11">
        <f>$E2556+11</f>
        <v>129</v>
      </c>
      <c r="V2556" s="12">
        <f>IF($J2556=0,0,ROUND(MAX($J2556*1.4*1.5*1.6*1.6*2.2*2.715,354000000*(1.642074^(MIN($E2556,123)-117)))*1,0))</f>
        <v>581294196</v>
      </c>
      <c r="W2556" s="13">
        <f>$E2556+15</f>
        <v>133</v>
      </c>
      <c r="X2556" s="14">
        <f>IF($J2556=0,0,ROUND(MAX($J2556*1.4*1.5*1.6*1.6*2.2*2.715*2.6,3540000000*(1.579646^(MIN($E2556,123)-117)))*1,0))</f>
        <v>5591946840</v>
      </c>
      <c r="Y2556" s="11">
        <f>$E2556+17</f>
        <v>135</v>
      </c>
      <c r="Z2556" s="12">
        <f>IF($J2556=0,0,ROUND(MAX($J2556*1.4*1.5*1.6*1.6*2.2*2.715*2.6*1.4,6020000000*(1.651178^(MIN($E2556,123)-117)))*1,0))</f>
        <v>9940091560</v>
      </c>
      <c r="AA2556" s="13">
        <f>$E2556+19</f>
        <v>137</v>
      </c>
      <c r="AB2556" s="14">
        <f>IF($J2556=0,0,ROUND(MAX($J2556*1.4*1.5*1.6*1.6*2.2*2.715*2.6*1.4*1.4,8430000000*(1.651435^(MIN($E2556,123)-117)))*1,0))</f>
        <v>13921597050</v>
      </c>
      <c r="AC2556" s="11">
        <f>$E2556+21</f>
        <v>139</v>
      </c>
      <c r="AD2556" s="12">
        <f>IF($J2556=0,0,ROUND(MAX($J2556*1.4*1.5*1.6*1.6*2.2*2.715*2.6*1.4*1.4*1.5,12600000000*(1.652953^(MIN($E2556,123)-117)))*1,0))</f>
        <v>20827207800</v>
      </c>
      <c r="AE2556" s="13">
        <f>$E2556+24</f>
        <v>142</v>
      </c>
      <c r="AF2556" s="14">
        <f>IF($J2556=0,0,ROUND(MAX($J2556*1.4*1.5*1.6*1.6*2.2*2.715*2.6*1.4*1.4*1.5*1.5,18900000000*(1.65331^(MIN($E2556,123)-117)))*1,0))</f>
        <v>31247559000</v>
      </c>
      <c r="AG2556" s="11">
        <f>$E2556+27</f>
        <v>145</v>
      </c>
      <c r="AH2556" s="12">
        <f>IF($J2556=0,0,ROUND(MAX($J2556*1.4*1.5*1.6*1.6*2.2*2.715*2.6*1.4*1.4*1.5*1.5*3.2,60500000000*(1.654288^(MIN($E2556,123)-117)))*1,0))</f>
        <v>100084424000</v>
      </c>
    </row>
    <row r="2557" ht="28" customHeight="1" spans="1:34" x14ac:dyDescent="0.25">
      <c r="A2557">
        <v>2567</v>
      </c>
      <c r="B2557" t="s">
        <v>1231</v>
      </c>
      <c r="C2557" s="10" t="s">
        <v>1533</v>
      </c>
      <c r="D2557" t="s">
        <v>79</v>
      </c>
      <c r="E2557">
        <v>118</v>
      </c>
      <c r="F2557" t="s">
        <v>223</v>
      </c>
      <c r="G2557" t="s">
        <v>254</v>
      </c>
      <c r="H2557">
        <v>28</v>
      </c>
      <c r="I2557" s="11">
        <v>118</v>
      </c>
      <c r="J2557" s="12">
        <v>709000</v>
      </c>
      <c r="K2557" s="13">
        <f>$E2557+1</f>
        <v>119</v>
      </c>
      <c r="L2557" s="14">
        <f>IF($J2557=0,0,ROUND(MAX($J2557*1.4,1620000*(1.497923^(MIN($E2557,123)-117)))*1,0))</f>
        <v>2426635</v>
      </c>
      <c r="M2557" s="11">
        <f>$E2557+2</f>
        <v>120</v>
      </c>
      <c r="N2557" s="12">
        <f>IF($J2557=0,0,ROUND(MAX($J2557*1.4*1.5,2190000*(1.580994^(MIN($E2557,123)-117)))*1,0))</f>
        <v>3462377</v>
      </c>
      <c r="O2557" s="13">
        <f>$E2557+4</f>
        <v>122</v>
      </c>
      <c r="P2557" s="14">
        <f>IF($J2557=0,0,ROUND(MAX($J2557*1.4*1.5*1.6,3500000*(1.57975^(MIN($E2557,123)-117)))*1,0))</f>
        <v>5529125</v>
      </c>
      <c r="Q2557" s="11">
        <f>$E2557+6</f>
        <v>124</v>
      </c>
      <c r="R2557" s="12">
        <f>IF($J2557=0,0,ROUND(MAX($J2557*1.4*1.5*1.6*1.6,13100000*(1.429962^(MIN($E2557,123)-117)))*1,0))</f>
        <v>18732502</v>
      </c>
      <c r="S2557" s="13">
        <f>$E2557+8</f>
        <v>126</v>
      </c>
      <c r="T2557" s="14">
        <f>IF($J2557=0,0,ROUND(MAX($J2557*1.4*1.5*1.6*1.6*2.2,42600000*(1.576904^(MIN($E2557,123)-117)))*1,0))</f>
        <v>67176110</v>
      </c>
      <c r="U2557" s="11">
        <f>$E2557+11</f>
        <v>129</v>
      </c>
      <c r="V2557" s="12">
        <f>IF($J2557=0,0,ROUND(MAX($J2557*1.4*1.5*1.6*1.6*2.2*2.715,354000000*(1.642074^(MIN($E2557,123)-117)))*1,0))</f>
        <v>581294196</v>
      </c>
      <c r="W2557" s="13">
        <f>$E2557+15</f>
        <v>133</v>
      </c>
      <c r="X2557" s="14">
        <f>IF($J2557=0,0,ROUND(MAX($J2557*1.4*1.5*1.6*1.6*2.2*2.715*2.6,3540000000*(1.579646^(MIN($E2557,123)-117)))*1,0))</f>
        <v>5591946840</v>
      </c>
      <c r="Y2557" s="11">
        <f>$E2557+17</f>
        <v>135</v>
      </c>
      <c r="Z2557" s="12">
        <f>IF($J2557=0,0,ROUND(MAX($J2557*1.4*1.5*1.6*1.6*2.2*2.715*2.6*1.4,6020000000*(1.651178^(MIN($E2557,123)-117)))*1,0))</f>
        <v>9940091560</v>
      </c>
      <c r="AA2557" s="13">
        <f>$E2557+19</f>
        <v>137</v>
      </c>
      <c r="AB2557" s="14">
        <f>IF($J2557=0,0,ROUND(MAX($J2557*1.4*1.5*1.6*1.6*2.2*2.715*2.6*1.4*1.4,8430000000*(1.651435^(MIN($E2557,123)-117)))*1,0))</f>
        <v>13921597050</v>
      </c>
      <c r="AC2557" s="11">
        <f>$E2557+21</f>
        <v>139</v>
      </c>
      <c r="AD2557" s="12">
        <f>IF($J2557=0,0,ROUND(MAX($J2557*1.4*1.5*1.6*1.6*2.2*2.715*2.6*1.4*1.4*1.5,12600000000*(1.652953^(MIN($E2557,123)-117)))*1,0))</f>
        <v>20827207800</v>
      </c>
      <c r="AE2557" s="13">
        <f>$E2557+24</f>
        <v>142</v>
      </c>
      <c r="AF2557" s="14">
        <f>IF($J2557=0,0,ROUND(MAX($J2557*1.4*1.5*1.6*1.6*2.2*2.715*2.6*1.4*1.4*1.5*1.5,18900000000*(1.65331^(MIN($E2557,123)-117)))*1,0))</f>
        <v>31247559000</v>
      </c>
      <c r="AG2557" s="11">
        <f>$E2557+27</f>
        <v>145</v>
      </c>
      <c r="AH2557" s="12">
        <f>IF($J2557=0,0,ROUND(MAX($J2557*1.4*1.5*1.6*1.6*2.2*2.715*2.6*1.4*1.4*1.5*1.5*3.2,60500000000*(1.654288^(MIN($E2557,123)-117)))*1,0))</f>
        <v>100084424000</v>
      </c>
    </row>
    <row r="2558" ht="28" customHeight="1" spans="1:34" x14ac:dyDescent="0.25">
      <c r="A2558">
        <v>2568</v>
      </c>
      <c r="B2558" t="s">
        <v>1541</v>
      </c>
      <c r="C2558" s="10" t="s">
        <v>1533</v>
      </c>
      <c r="D2558" t="s">
        <v>25</v>
      </c>
      <c r="E2558">
        <v>118</v>
      </c>
      <c r="F2558" t="s">
        <v>56</v>
      </c>
      <c r="G2558" t="s">
        <v>832</v>
      </c>
      <c r="H2558">
        <v>28</v>
      </c>
      <c r="I2558" s="11">
        <v>118</v>
      </c>
      <c r="J2558" s="12">
        <v>707000</v>
      </c>
      <c r="K2558" s="13">
        <f>$E2558+1</f>
        <v>119</v>
      </c>
      <c r="L2558" s="14">
        <f>IF($J2558=0,0,ROUND(MAX($J2558*1.4,1620000*(1.497923^(MIN($E2558,123)-117)))*1,0))</f>
        <v>2426635</v>
      </c>
      <c r="M2558" s="11">
        <f>$E2558+2</f>
        <v>120</v>
      </c>
      <c r="N2558" s="12">
        <f>IF($J2558=0,0,ROUND(MAX($J2558*1.4*1.5,2190000*(1.580994^(MIN($E2558,123)-117)))*1,0))</f>
        <v>3462377</v>
      </c>
      <c r="O2558" s="13">
        <f>$E2558+4</f>
        <v>122</v>
      </c>
      <c r="P2558" s="14">
        <f>IF($J2558=0,0,ROUND(MAX($J2558*1.4*1.5*1.6,3500000*(1.57975^(MIN($E2558,123)-117)))*1,0))</f>
        <v>5529125</v>
      </c>
      <c r="Q2558" s="11">
        <f>$E2558+6</f>
        <v>124</v>
      </c>
      <c r="R2558" s="12">
        <f>IF($J2558=0,0,ROUND(MAX($J2558*1.4*1.5*1.6*1.6,13100000*(1.429962^(MIN($E2558,123)-117)))*1,0))</f>
        <v>18732502</v>
      </c>
      <c r="S2558" s="13">
        <f>$E2558+8</f>
        <v>126</v>
      </c>
      <c r="T2558" s="14">
        <f>IF($J2558=0,0,ROUND(MAX($J2558*1.4*1.5*1.6*1.6*2.2,42600000*(1.576904^(MIN($E2558,123)-117)))*1,0))</f>
        <v>67176110</v>
      </c>
      <c r="U2558" s="11">
        <f>$E2558+11</f>
        <v>129</v>
      </c>
      <c r="V2558" s="12">
        <f>IF($J2558=0,0,ROUND(MAX($J2558*1.4*1.5*1.6*1.6*2.2*2.715,354000000*(1.642074^(MIN($E2558,123)-117)))*1,0))</f>
        <v>581294196</v>
      </c>
      <c r="W2558" s="13">
        <f>$E2558+15</f>
        <v>133</v>
      </c>
      <c r="X2558" s="14">
        <f>IF($J2558=0,0,ROUND(MAX($J2558*1.4*1.5*1.6*1.6*2.2*2.715*2.6,3540000000*(1.579646^(MIN($E2558,123)-117)))*1,0))</f>
        <v>5591946840</v>
      </c>
      <c r="Y2558" s="11">
        <f>$E2558+17</f>
        <v>135</v>
      </c>
      <c r="Z2558" s="12">
        <f>IF($J2558=0,0,ROUND(MAX($J2558*1.4*1.5*1.6*1.6*2.2*2.715*2.6*1.4,6020000000*(1.651178^(MIN($E2558,123)-117)))*1,0))</f>
        <v>9940091560</v>
      </c>
      <c r="AA2558" s="13">
        <f>$E2558+19</f>
        <v>137</v>
      </c>
      <c r="AB2558" s="14">
        <f>IF($J2558=0,0,ROUND(MAX($J2558*1.4*1.5*1.6*1.6*2.2*2.715*2.6*1.4*1.4,8430000000*(1.651435^(MIN($E2558,123)-117)))*1,0))</f>
        <v>13921597050</v>
      </c>
      <c r="AC2558" s="11">
        <f>$E2558+21</f>
        <v>139</v>
      </c>
      <c r="AD2558" s="12">
        <f>IF($J2558=0,0,ROUND(MAX($J2558*1.4*1.5*1.6*1.6*2.2*2.715*2.6*1.4*1.4*1.5,12600000000*(1.652953^(MIN($E2558,123)-117)))*1,0))</f>
        <v>20827207800</v>
      </c>
      <c r="AE2558" s="13">
        <f>$E2558+24</f>
        <v>142</v>
      </c>
      <c r="AF2558" s="14">
        <f>IF($J2558=0,0,ROUND(MAX($J2558*1.4*1.5*1.6*1.6*2.2*2.715*2.6*1.4*1.4*1.5*1.5,18900000000*(1.65331^(MIN($E2558,123)-117)))*1,0))</f>
        <v>31247559000</v>
      </c>
      <c r="AG2558" s="11">
        <f>$E2558+27</f>
        <v>145</v>
      </c>
      <c r="AH2558" s="12">
        <f>IF($J2558=0,0,ROUND(MAX($J2558*1.4*1.5*1.6*1.6*2.2*2.715*2.6*1.4*1.4*1.5*1.5*3.2,60500000000*(1.654288^(MIN($E2558,123)-117)))*1,0))</f>
        <v>100084424000</v>
      </c>
    </row>
    <row r="2559" ht="28" customHeight="1" spans="1:34" x14ac:dyDescent="0.25">
      <c r="A2559">
        <v>2569</v>
      </c>
      <c r="B2559" t="s">
        <v>1542</v>
      </c>
      <c r="C2559" s="10" t="s">
        <v>1533</v>
      </c>
      <c r="D2559" t="s">
        <v>165</v>
      </c>
      <c r="E2559">
        <v>118</v>
      </c>
      <c r="F2559" t="s">
        <v>298</v>
      </c>
      <c r="G2559" t="s">
        <v>801</v>
      </c>
      <c r="H2559">
        <v>28</v>
      </c>
      <c r="I2559" s="11">
        <v>118</v>
      </c>
      <c r="J2559" s="12">
        <v>699000</v>
      </c>
      <c r="K2559" s="13">
        <f>$E2559+1</f>
        <v>119</v>
      </c>
      <c r="L2559" s="14">
        <f>IF($J2559=0,0,ROUND(MAX($J2559*1.4,1620000*(1.497923^(MIN($E2559,123)-117)))*1,0))</f>
        <v>2426635</v>
      </c>
      <c r="M2559" s="11">
        <f>$E2559+2</f>
        <v>120</v>
      </c>
      <c r="N2559" s="12">
        <f>IF($J2559=0,0,ROUND(MAX($J2559*1.4*1.5,2190000*(1.580994^(MIN($E2559,123)-117)))*1,0))</f>
        <v>3462377</v>
      </c>
      <c r="O2559" s="13">
        <f>$E2559+4</f>
        <v>122</v>
      </c>
      <c r="P2559" s="14">
        <f>IF($J2559=0,0,ROUND(MAX($J2559*1.4*1.5*1.6,3500000*(1.57975^(MIN($E2559,123)-117)))*1,0))</f>
        <v>5529125</v>
      </c>
      <c r="Q2559" s="11">
        <f>$E2559+6</f>
        <v>124</v>
      </c>
      <c r="R2559" s="12">
        <f>IF($J2559=0,0,ROUND(MAX($J2559*1.4*1.5*1.6*1.6,13100000*(1.429962^(MIN($E2559,123)-117)))*1,0))</f>
        <v>18732502</v>
      </c>
      <c r="S2559" s="13">
        <f>$E2559+8</f>
        <v>126</v>
      </c>
      <c r="T2559" s="14">
        <f>IF($J2559=0,0,ROUND(MAX($J2559*1.4*1.5*1.6*1.6*2.2,42600000*(1.576904^(MIN($E2559,123)-117)))*1,0))</f>
        <v>67176110</v>
      </c>
      <c r="U2559" s="11">
        <f>$E2559+11</f>
        <v>129</v>
      </c>
      <c r="V2559" s="12">
        <f>IF($J2559=0,0,ROUND(MAX($J2559*1.4*1.5*1.6*1.6*2.2*2.715,354000000*(1.642074^(MIN($E2559,123)-117)))*1,0))</f>
        <v>581294196</v>
      </c>
      <c r="W2559" s="13">
        <f>$E2559+15</f>
        <v>133</v>
      </c>
      <c r="X2559" s="14">
        <f>IF($J2559=0,0,ROUND(MAX($J2559*1.4*1.5*1.6*1.6*2.2*2.715*2.6,3540000000*(1.579646^(MIN($E2559,123)-117)))*1,0))</f>
        <v>5591946840</v>
      </c>
      <c r="Y2559" s="11">
        <f>$E2559+17</f>
        <v>135</v>
      </c>
      <c r="Z2559" s="12">
        <f>IF($J2559=0,0,ROUND(MAX($J2559*1.4*1.5*1.6*1.6*2.2*2.715*2.6*1.4,6020000000*(1.651178^(MIN($E2559,123)-117)))*1,0))</f>
        <v>9940091560</v>
      </c>
      <c r="AA2559" s="13">
        <f>$E2559+19</f>
        <v>137</v>
      </c>
      <c r="AB2559" s="14">
        <f>IF($J2559=0,0,ROUND(MAX($J2559*1.4*1.5*1.6*1.6*2.2*2.715*2.6*1.4*1.4,8430000000*(1.651435^(MIN($E2559,123)-117)))*1,0))</f>
        <v>13921597050</v>
      </c>
      <c r="AC2559" s="11">
        <f>$E2559+21</f>
        <v>139</v>
      </c>
      <c r="AD2559" s="12">
        <f>IF($J2559=0,0,ROUND(MAX($J2559*1.4*1.5*1.6*1.6*2.2*2.715*2.6*1.4*1.4*1.5,12600000000*(1.652953^(MIN($E2559,123)-117)))*1,0))</f>
        <v>20827207800</v>
      </c>
      <c r="AE2559" s="13">
        <f>$E2559+24</f>
        <v>142</v>
      </c>
      <c r="AF2559" s="14">
        <f>IF($J2559=0,0,ROUND(MAX($J2559*1.4*1.5*1.6*1.6*2.2*2.715*2.6*1.4*1.4*1.5*1.5,18900000000*(1.65331^(MIN($E2559,123)-117)))*1,0))</f>
        <v>31247559000</v>
      </c>
      <c r="AG2559" s="11">
        <f>$E2559+27</f>
        <v>145</v>
      </c>
      <c r="AH2559" s="12">
        <f>IF($J2559=0,0,ROUND(MAX($J2559*1.4*1.5*1.6*1.6*2.2*2.715*2.6*1.4*1.4*1.5*1.5*3.2,60500000000*(1.654288^(MIN($E2559,123)-117)))*1,0))</f>
        <v>100084424000</v>
      </c>
    </row>
    <row r="2560" ht="28" customHeight="1" spans="1:34" x14ac:dyDescent="0.25">
      <c r="A2560">
        <v>2570</v>
      </c>
      <c r="B2560" t="s">
        <v>322</v>
      </c>
      <c r="C2560" s="10" t="s">
        <v>1533</v>
      </c>
      <c r="D2560" t="s">
        <v>64</v>
      </c>
      <c r="E2560">
        <v>118</v>
      </c>
      <c r="F2560" t="s">
        <v>30</v>
      </c>
      <c r="G2560" t="s">
        <v>72</v>
      </c>
      <c r="H2560">
        <v>28</v>
      </c>
      <c r="I2560" s="11">
        <v>118</v>
      </c>
      <c r="J2560" s="12">
        <v>760000</v>
      </c>
      <c r="K2560" s="13">
        <f>$E2560+1</f>
        <v>119</v>
      </c>
      <c r="L2560" s="14">
        <f>IF($J2560=0,0,ROUND(MAX($J2560*1.4,1620000*(1.497923^(MIN($E2560,123)-117)))*1,0))</f>
        <v>2426635</v>
      </c>
      <c r="M2560" s="11">
        <f>$E2560+2</f>
        <v>120</v>
      </c>
      <c r="N2560" s="12">
        <f>IF($J2560=0,0,ROUND(MAX($J2560*1.4*1.5,2190000*(1.580994^(MIN($E2560,123)-117)))*1,0))</f>
        <v>3462377</v>
      </c>
      <c r="O2560" s="13">
        <f>$E2560+4</f>
        <v>122</v>
      </c>
      <c r="P2560" s="14">
        <f>IF($J2560=0,0,ROUND(MAX($J2560*1.4*1.5*1.6,3500000*(1.57975^(MIN($E2560,123)-117)))*1,0))</f>
        <v>5529125</v>
      </c>
      <c r="Q2560" s="11">
        <f>$E2560+6</f>
        <v>124</v>
      </c>
      <c r="R2560" s="12">
        <f>IF($J2560=0,0,ROUND(MAX($J2560*1.4*1.5*1.6*1.6,13100000*(1.429962^(MIN($E2560,123)-117)))*1,0))</f>
        <v>18732502</v>
      </c>
      <c r="S2560" s="13">
        <f>$E2560+8</f>
        <v>126</v>
      </c>
      <c r="T2560" s="14">
        <f>IF($J2560=0,0,ROUND(MAX($J2560*1.4*1.5*1.6*1.6*2.2,42600000*(1.576904^(MIN($E2560,123)-117)))*1,0))</f>
        <v>67176110</v>
      </c>
      <c r="U2560" s="11">
        <f>$E2560+11</f>
        <v>129</v>
      </c>
      <c r="V2560" s="12">
        <f>IF($J2560=0,0,ROUND(MAX($J2560*1.4*1.5*1.6*1.6*2.2*2.715,354000000*(1.642074^(MIN($E2560,123)-117)))*1,0))</f>
        <v>581294196</v>
      </c>
      <c r="W2560" s="13">
        <f>$E2560+15</f>
        <v>133</v>
      </c>
      <c r="X2560" s="14">
        <f>IF($J2560=0,0,ROUND(MAX($J2560*1.4*1.5*1.6*1.6*2.2*2.715*2.6,3540000000*(1.579646^(MIN($E2560,123)-117)))*1,0))</f>
        <v>5591946840</v>
      </c>
      <c r="Y2560" s="11">
        <f>$E2560+17</f>
        <v>135</v>
      </c>
      <c r="Z2560" s="12">
        <f>IF($J2560=0,0,ROUND(MAX($J2560*1.4*1.5*1.6*1.6*2.2*2.715*2.6*1.4,6020000000*(1.651178^(MIN($E2560,123)-117)))*1,0))</f>
        <v>9940091560</v>
      </c>
      <c r="AA2560" s="13">
        <f>$E2560+19</f>
        <v>137</v>
      </c>
      <c r="AB2560" s="14">
        <f>IF($J2560=0,0,ROUND(MAX($J2560*1.4*1.5*1.6*1.6*2.2*2.715*2.6*1.4*1.4,8430000000*(1.651435^(MIN($E2560,123)-117)))*1,0))</f>
        <v>13921597050</v>
      </c>
      <c r="AC2560" s="11">
        <f>$E2560+21</f>
        <v>139</v>
      </c>
      <c r="AD2560" s="12">
        <f>IF($J2560=0,0,ROUND(MAX($J2560*1.4*1.5*1.6*1.6*2.2*2.715*2.6*1.4*1.4*1.5,12600000000*(1.652953^(MIN($E2560,123)-117)))*1,0))</f>
        <v>20827207800</v>
      </c>
      <c r="AE2560" s="13">
        <f>$E2560+24</f>
        <v>142</v>
      </c>
      <c r="AF2560" s="14">
        <f>IF($J2560=0,0,ROUND(MAX($J2560*1.4*1.5*1.6*1.6*2.2*2.715*2.6*1.4*1.4*1.5*1.5,18900000000*(1.65331^(MIN($E2560,123)-117)))*1,0))</f>
        <v>31247559000</v>
      </c>
      <c r="AG2560" s="11">
        <f>$E2560+27</f>
        <v>145</v>
      </c>
      <c r="AH2560" s="12">
        <f>IF($J2560=0,0,ROUND(MAX($J2560*1.4*1.5*1.6*1.6*2.2*2.715*2.6*1.4*1.4*1.5*1.5*3.2,60500000000*(1.654288^(MIN($E2560,123)-117)))*1,0))</f>
        <v>100084424000</v>
      </c>
    </row>
    <row r="2561" ht="28" customHeight="1" spans="1:34" x14ac:dyDescent="0.25">
      <c r="A2561">
        <v>2571</v>
      </c>
      <c r="B2561" t="s">
        <v>1543</v>
      </c>
      <c r="C2561" s="10" t="s">
        <v>1533</v>
      </c>
      <c r="D2561" t="s">
        <v>102</v>
      </c>
      <c r="E2561">
        <v>118</v>
      </c>
      <c r="F2561" t="s">
        <v>223</v>
      </c>
      <c r="G2561" t="s">
        <v>349</v>
      </c>
      <c r="H2561">
        <v>28</v>
      </c>
      <c r="I2561" s="11">
        <v>118</v>
      </c>
      <c r="J2561" s="12">
        <v>765000</v>
      </c>
      <c r="K2561" s="13">
        <f>$E2561+1</f>
        <v>119</v>
      </c>
      <c r="L2561" s="14">
        <f>IF($J2561=0,0,ROUND(MAX($J2561*1.4,1620000*(1.497923^(MIN($E2561,123)-117)))*1,0))</f>
        <v>2426635</v>
      </c>
      <c r="M2561" s="11">
        <f>$E2561+2</f>
        <v>120</v>
      </c>
      <c r="N2561" s="12">
        <f>IF($J2561=0,0,ROUND(MAX($J2561*1.4*1.5,2190000*(1.580994^(MIN($E2561,123)-117)))*1,0))</f>
        <v>3462377</v>
      </c>
      <c r="O2561" s="13">
        <f>$E2561+4</f>
        <v>122</v>
      </c>
      <c r="P2561" s="14">
        <f>IF($J2561=0,0,ROUND(MAX($J2561*1.4*1.5*1.6,3500000*(1.57975^(MIN($E2561,123)-117)))*1,0))</f>
        <v>5529125</v>
      </c>
      <c r="Q2561" s="11">
        <f>$E2561+6</f>
        <v>124</v>
      </c>
      <c r="R2561" s="12">
        <f>IF($J2561=0,0,ROUND(MAX($J2561*1.4*1.5*1.6*1.6,13100000*(1.429962^(MIN($E2561,123)-117)))*1,0))</f>
        <v>18732502</v>
      </c>
      <c r="S2561" s="13">
        <f>$E2561+8</f>
        <v>126</v>
      </c>
      <c r="T2561" s="14">
        <f>IF($J2561=0,0,ROUND(MAX($J2561*1.4*1.5*1.6*1.6*2.2,42600000*(1.576904^(MIN($E2561,123)-117)))*1,0))</f>
        <v>67176110</v>
      </c>
      <c r="U2561" s="11">
        <f>$E2561+11</f>
        <v>129</v>
      </c>
      <c r="V2561" s="12">
        <f>IF($J2561=0,0,ROUND(MAX($J2561*1.4*1.5*1.6*1.6*2.2*2.715,354000000*(1.642074^(MIN($E2561,123)-117)))*1,0))</f>
        <v>581294196</v>
      </c>
      <c r="W2561" s="13">
        <f>$E2561+15</f>
        <v>133</v>
      </c>
      <c r="X2561" s="14">
        <f>IF($J2561=0,0,ROUND(MAX($J2561*1.4*1.5*1.6*1.6*2.2*2.715*2.6,3540000000*(1.579646^(MIN($E2561,123)-117)))*1,0))</f>
        <v>5591946840</v>
      </c>
      <c r="Y2561" s="11">
        <f>$E2561+17</f>
        <v>135</v>
      </c>
      <c r="Z2561" s="12">
        <f>IF($J2561=0,0,ROUND(MAX($J2561*1.4*1.5*1.6*1.6*2.2*2.715*2.6*1.4,6020000000*(1.651178^(MIN($E2561,123)-117)))*1,0))</f>
        <v>9940091560</v>
      </c>
      <c r="AA2561" s="13">
        <f>$E2561+19</f>
        <v>137</v>
      </c>
      <c r="AB2561" s="14">
        <f>IF($J2561=0,0,ROUND(MAX($J2561*1.4*1.5*1.6*1.6*2.2*2.715*2.6*1.4*1.4,8430000000*(1.651435^(MIN($E2561,123)-117)))*1,0))</f>
        <v>13921597050</v>
      </c>
      <c r="AC2561" s="11">
        <f>$E2561+21</f>
        <v>139</v>
      </c>
      <c r="AD2561" s="12">
        <f>IF($J2561=0,0,ROUND(MAX($J2561*1.4*1.5*1.6*1.6*2.2*2.715*2.6*1.4*1.4*1.5,12600000000*(1.652953^(MIN($E2561,123)-117)))*1,0))</f>
        <v>20827207800</v>
      </c>
      <c r="AE2561" s="13">
        <f>$E2561+24</f>
        <v>142</v>
      </c>
      <c r="AF2561" s="14">
        <f>IF($J2561=0,0,ROUND(MAX($J2561*1.4*1.5*1.6*1.6*2.2*2.715*2.6*1.4*1.4*1.5*1.5,18900000000*(1.65331^(MIN($E2561,123)-117)))*1,0))</f>
        <v>31247559000</v>
      </c>
      <c r="AG2561" s="11">
        <f>$E2561+27</f>
        <v>145</v>
      </c>
      <c r="AH2561" s="12">
        <f>IF($J2561=0,0,ROUND(MAX($J2561*1.4*1.5*1.6*1.6*2.2*2.715*2.6*1.4*1.4*1.5*1.5*3.2,60500000000*(1.654288^(MIN($E2561,123)-117)))*1,0))</f>
        <v>100084424000</v>
      </c>
    </row>
    <row r="2562" ht="28" customHeight="1" spans="1:34" x14ac:dyDescent="0.25">
      <c r="A2562">
        <v>2572</v>
      </c>
      <c r="B2562" t="s">
        <v>1314</v>
      </c>
      <c r="C2562" s="10" t="s">
        <v>1533</v>
      </c>
      <c r="D2562" t="s">
        <v>40</v>
      </c>
      <c r="E2562">
        <v>118</v>
      </c>
      <c r="F2562" t="s">
        <v>223</v>
      </c>
      <c r="G2562" t="s">
        <v>206</v>
      </c>
      <c r="H2562">
        <v>28</v>
      </c>
      <c r="I2562" s="11">
        <v>118</v>
      </c>
      <c r="J2562" s="12">
        <v>775000</v>
      </c>
      <c r="K2562" s="13">
        <f>$E2562+1</f>
        <v>119</v>
      </c>
      <c r="L2562" s="14">
        <f>IF($J2562=0,0,ROUND(MAX($J2562*1.4,1620000*(1.497923^(MIN($E2562,123)-117)))*1,0))</f>
        <v>2426635</v>
      </c>
      <c r="M2562" s="11">
        <f>$E2562+2</f>
        <v>120</v>
      </c>
      <c r="N2562" s="12">
        <f>IF($J2562=0,0,ROUND(MAX($J2562*1.4*1.5,2190000*(1.580994^(MIN($E2562,123)-117)))*1,0))</f>
        <v>3462377</v>
      </c>
      <c r="O2562" s="13">
        <f>$E2562+4</f>
        <v>122</v>
      </c>
      <c r="P2562" s="14">
        <f>IF($J2562=0,0,ROUND(MAX($J2562*1.4*1.5*1.6,3500000*(1.57975^(MIN($E2562,123)-117)))*1,0))</f>
        <v>5529125</v>
      </c>
      <c r="Q2562" s="11">
        <f>$E2562+6</f>
        <v>124</v>
      </c>
      <c r="R2562" s="12">
        <f>IF($J2562=0,0,ROUND(MAX($J2562*1.4*1.5*1.6*1.6,13100000*(1.429962^(MIN($E2562,123)-117)))*1,0))</f>
        <v>18732502</v>
      </c>
      <c r="S2562" s="13">
        <f>$E2562+8</f>
        <v>126</v>
      </c>
      <c r="T2562" s="14">
        <f>IF($J2562=0,0,ROUND(MAX($J2562*1.4*1.5*1.6*1.6*2.2,42600000*(1.576904^(MIN($E2562,123)-117)))*1,0))</f>
        <v>67176110</v>
      </c>
      <c r="U2562" s="11">
        <f>$E2562+11</f>
        <v>129</v>
      </c>
      <c r="V2562" s="12">
        <f>IF($J2562=0,0,ROUND(MAX($J2562*1.4*1.5*1.6*1.6*2.2*2.715,354000000*(1.642074^(MIN($E2562,123)-117)))*1,0))</f>
        <v>581294196</v>
      </c>
      <c r="W2562" s="13">
        <f>$E2562+15</f>
        <v>133</v>
      </c>
      <c r="X2562" s="14">
        <f>IF($J2562=0,0,ROUND(MAX($J2562*1.4*1.5*1.6*1.6*2.2*2.715*2.6,3540000000*(1.579646^(MIN($E2562,123)-117)))*1,0))</f>
        <v>5591946840</v>
      </c>
      <c r="Y2562" s="11">
        <f>$E2562+17</f>
        <v>135</v>
      </c>
      <c r="Z2562" s="12">
        <f>IF($J2562=0,0,ROUND(MAX($J2562*1.4*1.5*1.6*1.6*2.2*2.715*2.6*1.4,6020000000*(1.651178^(MIN($E2562,123)-117)))*1,0))</f>
        <v>9940091560</v>
      </c>
      <c r="AA2562" s="13">
        <f>$E2562+19</f>
        <v>137</v>
      </c>
      <c r="AB2562" s="14">
        <f>IF($J2562=0,0,ROUND(MAX($J2562*1.4*1.5*1.6*1.6*2.2*2.715*2.6*1.4*1.4,8430000000*(1.651435^(MIN($E2562,123)-117)))*1,0))</f>
        <v>13921597050</v>
      </c>
      <c r="AC2562" s="11">
        <f>$E2562+21</f>
        <v>139</v>
      </c>
      <c r="AD2562" s="12">
        <f>IF($J2562=0,0,ROUND(MAX($J2562*1.4*1.5*1.6*1.6*2.2*2.715*2.6*1.4*1.4*1.5,12600000000*(1.652953^(MIN($E2562,123)-117)))*1,0))</f>
        <v>20827207800</v>
      </c>
      <c r="AE2562" s="13">
        <f>$E2562+24</f>
        <v>142</v>
      </c>
      <c r="AF2562" s="14">
        <f>IF($J2562=0,0,ROUND(MAX($J2562*1.4*1.5*1.6*1.6*2.2*2.715*2.6*1.4*1.4*1.5*1.5,18900000000*(1.65331^(MIN($E2562,123)-117)))*1,0))</f>
        <v>31247559000</v>
      </c>
      <c r="AG2562" s="11">
        <f>$E2562+27</f>
        <v>145</v>
      </c>
      <c r="AH2562" s="12">
        <f>IF($J2562=0,0,ROUND(MAX($J2562*1.4*1.5*1.6*1.6*2.2*2.715*2.6*1.4*1.4*1.5*1.5*3.2,60500000000*(1.654288^(MIN($E2562,123)-117)))*1,0))</f>
        <v>100084424000</v>
      </c>
    </row>
    <row r="2563" ht="28" customHeight="1" spans="1:34" x14ac:dyDescent="0.25">
      <c r="A2563">
        <v>2573</v>
      </c>
      <c r="B2563" t="s">
        <v>616</v>
      </c>
      <c r="C2563" s="10" t="s">
        <v>1533</v>
      </c>
      <c r="D2563" t="s">
        <v>45</v>
      </c>
      <c r="E2563">
        <v>118</v>
      </c>
      <c r="F2563" t="s">
        <v>26</v>
      </c>
      <c r="G2563" t="s">
        <v>133</v>
      </c>
      <c r="H2563">
        <v>27</v>
      </c>
      <c r="I2563" s="11">
        <v>118</v>
      </c>
      <c r="J2563" s="12">
        <v>765000</v>
      </c>
      <c r="K2563" s="13">
        <f>$E2563+1</f>
        <v>119</v>
      </c>
      <c r="L2563" s="14">
        <f>IF($J2563=0,0,ROUND(MAX($J2563*1.4,1620000*(1.497923^(MIN($E2563,123)-117)))*1,0))</f>
        <v>2426635</v>
      </c>
      <c r="M2563" s="11">
        <f>$E2563+2</f>
        <v>120</v>
      </c>
      <c r="N2563" s="12">
        <f>IF($J2563=0,0,ROUND(MAX($J2563*1.4*1.5,2190000*(1.580994^(MIN($E2563,123)-117)))*1,0))</f>
        <v>3462377</v>
      </c>
      <c r="O2563" s="13">
        <f>$E2563+4</f>
        <v>122</v>
      </c>
      <c r="P2563" s="14">
        <f>IF($J2563=0,0,ROUND(MAX($J2563*1.4*1.5*1.6,3500000*(1.57975^(MIN($E2563,123)-117)))*1,0))</f>
        <v>5529125</v>
      </c>
      <c r="Q2563" s="11">
        <f>$E2563+6</f>
        <v>124</v>
      </c>
      <c r="R2563" s="12">
        <f>IF($J2563=0,0,ROUND(MAX($J2563*1.4*1.5*1.6*1.6,13100000*(1.429962^(MIN($E2563,123)-117)))*1,0))</f>
        <v>18732502</v>
      </c>
      <c r="S2563" s="13">
        <f>$E2563+8</f>
        <v>126</v>
      </c>
      <c r="T2563" s="14">
        <f>IF($J2563=0,0,ROUND(MAX($J2563*1.4*1.5*1.6*1.6*2.2,42600000*(1.576904^(MIN($E2563,123)-117)))*1,0))</f>
        <v>67176110</v>
      </c>
      <c r="U2563" s="11">
        <f>$E2563+11</f>
        <v>129</v>
      </c>
      <c r="V2563" s="12">
        <f>IF($J2563=0,0,ROUND(MAX($J2563*1.4*1.5*1.6*1.6*2.2*2.715,354000000*(1.642074^(MIN($E2563,123)-117)))*1,0))</f>
        <v>581294196</v>
      </c>
      <c r="W2563" s="13">
        <f>$E2563+15</f>
        <v>133</v>
      </c>
      <c r="X2563" s="14">
        <f>IF($J2563=0,0,ROUND(MAX($J2563*1.4*1.5*1.6*1.6*2.2*2.715*2.6,3540000000*(1.579646^(MIN($E2563,123)-117)))*1,0))</f>
        <v>5591946840</v>
      </c>
      <c r="Y2563" s="11">
        <f>$E2563+17</f>
        <v>135</v>
      </c>
      <c r="Z2563" s="12">
        <f>IF($J2563=0,0,ROUND(MAX($J2563*1.4*1.5*1.6*1.6*2.2*2.715*2.6*1.4,6020000000*(1.651178^(MIN($E2563,123)-117)))*1,0))</f>
        <v>9940091560</v>
      </c>
      <c r="AA2563" s="13">
        <f>$E2563+19</f>
        <v>137</v>
      </c>
      <c r="AB2563" s="14">
        <f>IF($J2563=0,0,ROUND(MAX($J2563*1.4*1.5*1.6*1.6*2.2*2.715*2.6*1.4*1.4,8430000000*(1.651435^(MIN($E2563,123)-117)))*1,0))</f>
        <v>13921597050</v>
      </c>
      <c r="AC2563" s="11">
        <f>$E2563+21</f>
        <v>139</v>
      </c>
      <c r="AD2563" s="12">
        <f>IF($J2563=0,0,ROUND(MAX($J2563*1.4*1.5*1.6*1.6*2.2*2.715*2.6*1.4*1.4*1.5,12600000000*(1.652953^(MIN($E2563,123)-117)))*1,0))</f>
        <v>20827207800</v>
      </c>
      <c r="AE2563" s="13">
        <f>$E2563+24</f>
        <v>142</v>
      </c>
      <c r="AF2563" s="14">
        <f>IF($J2563=0,0,ROUND(MAX($J2563*1.4*1.5*1.6*1.6*2.2*2.715*2.6*1.4*1.4*1.5*1.5,18900000000*(1.65331^(MIN($E2563,123)-117)))*1,0))</f>
        <v>31247559000</v>
      </c>
      <c r="AG2563" s="11">
        <f>$E2563+27</f>
        <v>145</v>
      </c>
      <c r="AH2563" s="12">
        <f>IF($J2563=0,0,ROUND(MAX($J2563*1.4*1.5*1.6*1.6*2.2*2.715*2.6*1.4*1.4*1.5*1.5*3.2,60500000000*(1.654288^(MIN($E2563,123)-117)))*1,0))</f>
        <v>100084424000</v>
      </c>
    </row>
    <row r="2564" ht="28" customHeight="1" spans="1:34" x14ac:dyDescent="0.25">
      <c r="A2564">
        <v>2574</v>
      </c>
      <c r="B2564" t="s">
        <v>291</v>
      </c>
      <c r="C2564" s="10" t="s">
        <v>1533</v>
      </c>
      <c r="D2564" t="s">
        <v>33</v>
      </c>
      <c r="E2564">
        <v>118</v>
      </c>
      <c r="F2564" t="s">
        <v>54</v>
      </c>
      <c r="G2564" t="s">
        <v>35</v>
      </c>
      <c r="H2564">
        <v>27</v>
      </c>
      <c r="I2564" s="11">
        <v>118</v>
      </c>
      <c r="J2564" s="12">
        <v>765000</v>
      </c>
      <c r="K2564" s="13">
        <f>$E2564+1</f>
        <v>119</v>
      </c>
      <c r="L2564" s="14">
        <f>IF($J2564=0,0,ROUND(MAX($J2564*1.4,1620000*(1.497923^(MIN($E2564,123)-117)))*1,0))</f>
        <v>2426635</v>
      </c>
      <c r="M2564" s="11">
        <f>$E2564+2</f>
        <v>120</v>
      </c>
      <c r="N2564" s="12">
        <f>IF($J2564=0,0,ROUND(MAX($J2564*1.4*1.5,2190000*(1.580994^(MIN($E2564,123)-117)))*1,0))</f>
        <v>3462377</v>
      </c>
      <c r="O2564" s="13">
        <f>$E2564+4</f>
        <v>122</v>
      </c>
      <c r="P2564" s="14">
        <f>IF($J2564=0,0,ROUND(MAX($J2564*1.4*1.5*1.6,3500000*(1.57975^(MIN($E2564,123)-117)))*1,0))</f>
        <v>5529125</v>
      </c>
      <c r="Q2564" s="11">
        <f>$E2564+6</f>
        <v>124</v>
      </c>
      <c r="R2564" s="12">
        <f>IF($J2564=0,0,ROUND(MAX($J2564*1.4*1.5*1.6*1.6,13100000*(1.429962^(MIN($E2564,123)-117)))*1,0))</f>
        <v>18732502</v>
      </c>
      <c r="S2564" s="13">
        <f>$E2564+8</f>
        <v>126</v>
      </c>
      <c r="T2564" s="14">
        <f>IF($J2564=0,0,ROUND(MAX($J2564*1.4*1.5*1.6*1.6*2.2,42600000*(1.576904^(MIN($E2564,123)-117)))*1,0))</f>
        <v>67176110</v>
      </c>
      <c r="U2564" s="11">
        <f>$E2564+11</f>
        <v>129</v>
      </c>
      <c r="V2564" s="12">
        <f>IF($J2564=0,0,ROUND(MAX($J2564*1.4*1.5*1.6*1.6*2.2*2.715,354000000*(1.642074^(MIN($E2564,123)-117)))*1,0))</f>
        <v>581294196</v>
      </c>
      <c r="W2564" s="13">
        <f>$E2564+15</f>
        <v>133</v>
      </c>
      <c r="X2564" s="14">
        <f>IF($J2564=0,0,ROUND(MAX($J2564*1.4*1.5*1.6*1.6*2.2*2.715*2.6,3540000000*(1.579646^(MIN($E2564,123)-117)))*1,0))</f>
        <v>5591946840</v>
      </c>
      <c r="Y2564" s="11">
        <f>$E2564+17</f>
        <v>135</v>
      </c>
      <c r="Z2564" s="12">
        <f>IF($J2564=0,0,ROUND(MAX($J2564*1.4*1.5*1.6*1.6*2.2*2.715*2.6*1.4,6020000000*(1.651178^(MIN($E2564,123)-117)))*1,0))</f>
        <v>9940091560</v>
      </c>
      <c r="AA2564" s="13">
        <f>$E2564+19</f>
        <v>137</v>
      </c>
      <c r="AB2564" s="14">
        <f>IF($J2564=0,0,ROUND(MAX($J2564*1.4*1.5*1.6*1.6*2.2*2.715*2.6*1.4*1.4,8430000000*(1.651435^(MIN($E2564,123)-117)))*1,0))</f>
        <v>13921597050</v>
      </c>
      <c r="AC2564" s="11">
        <f>$E2564+21</f>
        <v>139</v>
      </c>
      <c r="AD2564" s="12">
        <f>IF($J2564=0,0,ROUND(MAX($J2564*1.4*1.5*1.6*1.6*2.2*2.715*2.6*1.4*1.4*1.5,12600000000*(1.652953^(MIN($E2564,123)-117)))*1,0))</f>
        <v>20827207800</v>
      </c>
      <c r="AE2564" s="13">
        <f>$E2564+24</f>
        <v>142</v>
      </c>
      <c r="AF2564" s="14">
        <f>IF($J2564=0,0,ROUND(MAX($J2564*1.4*1.5*1.6*1.6*2.2*2.715*2.6*1.4*1.4*1.5*1.5,18900000000*(1.65331^(MIN($E2564,123)-117)))*1,0))</f>
        <v>31247559000</v>
      </c>
      <c r="AG2564" s="11">
        <f>$E2564+27</f>
        <v>145</v>
      </c>
      <c r="AH2564" s="12">
        <f>IF($J2564=0,0,ROUND(MAX($J2564*1.4*1.5*1.6*1.6*2.2*2.715*2.6*1.4*1.4*1.5*1.5*3.2,60500000000*(1.654288^(MIN($E2564,123)-117)))*1,0))</f>
        <v>100084424000</v>
      </c>
    </row>
    <row r="2565" ht="28" customHeight="1" spans="1:34" x14ac:dyDescent="0.25">
      <c r="A2565">
        <v>2575</v>
      </c>
      <c r="B2565" t="s">
        <v>1326</v>
      </c>
      <c r="C2565" s="10" t="s">
        <v>1533</v>
      </c>
      <c r="D2565" t="s">
        <v>33</v>
      </c>
      <c r="E2565">
        <v>118</v>
      </c>
      <c r="F2565" t="s">
        <v>56</v>
      </c>
      <c r="G2565" t="s">
        <v>86</v>
      </c>
      <c r="H2565">
        <v>27</v>
      </c>
      <c r="I2565" s="11">
        <v>118</v>
      </c>
      <c r="J2565" s="12">
        <v>771000</v>
      </c>
      <c r="K2565" s="13">
        <f>$E2565+1</f>
        <v>119</v>
      </c>
      <c r="L2565" s="14">
        <f>IF($J2565=0,0,ROUND(MAX($J2565*1.4,1620000*(1.497923^(MIN($E2565,123)-117)))*1,0))</f>
        <v>2426635</v>
      </c>
      <c r="M2565" s="11">
        <f>$E2565+2</f>
        <v>120</v>
      </c>
      <c r="N2565" s="12">
        <f>IF($J2565=0,0,ROUND(MAX($J2565*1.4*1.5,2190000*(1.580994^(MIN($E2565,123)-117)))*1,0))</f>
        <v>3462377</v>
      </c>
      <c r="O2565" s="13">
        <f>$E2565+4</f>
        <v>122</v>
      </c>
      <c r="P2565" s="14">
        <f>IF($J2565=0,0,ROUND(MAX($J2565*1.4*1.5*1.6,3500000*(1.57975^(MIN($E2565,123)-117)))*1,0))</f>
        <v>5529125</v>
      </c>
      <c r="Q2565" s="11">
        <f>$E2565+6</f>
        <v>124</v>
      </c>
      <c r="R2565" s="12">
        <f>IF($J2565=0,0,ROUND(MAX($J2565*1.4*1.5*1.6*1.6,13100000*(1.429962^(MIN($E2565,123)-117)))*1,0))</f>
        <v>18732502</v>
      </c>
      <c r="S2565" s="13">
        <f>$E2565+8</f>
        <v>126</v>
      </c>
      <c r="T2565" s="14">
        <f>IF($J2565=0,0,ROUND(MAX($J2565*1.4*1.5*1.6*1.6*2.2,42600000*(1.576904^(MIN($E2565,123)-117)))*1,0))</f>
        <v>67176110</v>
      </c>
      <c r="U2565" s="11">
        <f>$E2565+11</f>
        <v>129</v>
      </c>
      <c r="V2565" s="12">
        <f>IF($J2565=0,0,ROUND(MAX($J2565*1.4*1.5*1.6*1.6*2.2*2.715,354000000*(1.642074^(MIN($E2565,123)-117)))*1,0))</f>
        <v>581294196</v>
      </c>
      <c r="W2565" s="13">
        <f>$E2565+15</f>
        <v>133</v>
      </c>
      <c r="X2565" s="14">
        <f>IF($J2565=0,0,ROUND(MAX($J2565*1.4*1.5*1.6*1.6*2.2*2.715*2.6,3540000000*(1.579646^(MIN($E2565,123)-117)))*1,0))</f>
        <v>5591946840</v>
      </c>
      <c r="Y2565" s="11">
        <f>$E2565+17</f>
        <v>135</v>
      </c>
      <c r="Z2565" s="12">
        <f>IF($J2565=0,0,ROUND(MAX($J2565*1.4*1.5*1.6*1.6*2.2*2.715*2.6*1.4,6020000000*(1.651178^(MIN($E2565,123)-117)))*1,0))</f>
        <v>9940091560</v>
      </c>
      <c r="AA2565" s="13">
        <f>$E2565+19</f>
        <v>137</v>
      </c>
      <c r="AB2565" s="14">
        <f>IF($J2565=0,0,ROUND(MAX($J2565*1.4*1.5*1.6*1.6*2.2*2.715*2.6*1.4*1.4,8430000000*(1.651435^(MIN($E2565,123)-117)))*1,0))</f>
        <v>13921597050</v>
      </c>
      <c r="AC2565" s="11">
        <f>$E2565+21</f>
        <v>139</v>
      </c>
      <c r="AD2565" s="12">
        <f>IF($J2565=0,0,ROUND(MAX($J2565*1.4*1.5*1.6*1.6*2.2*2.715*2.6*1.4*1.4*1.5,12600000000*(1.652953^(MIN($E2565,123)-117)))*1,0))</f>
        <v>20827207800</v>
      </c>
      <c r="AE2565" s="13">
        <f>$E2565+24</f>
        <v>142</v>
      </c>
      <c r="AF2565" s="14">
        <f>IF($J2565=0,0,ROUND(MAX($J2565*1.4*1.5*1.6*1.6*2.2*2.715*2.6*1.4*1.4*1.5*1.5,18900000000*(1.65331^(MIN($E2565,123)-117)))*1,0))</f>
        <v>31247559000</v>
      </c>
      <c r="AG2565" s="11">
        <f>$E2565+27</f>
        <v>145</v>
      </c>
      <c r="AH2565" s="12">
        <f>IF($J2565=0,0,ROUND(MAX($J2565*1.4*1.5*1.6*1.6*2.2*2.715*2.6*1.4*1.4*1.5*1.5*3.2,60500000000*(1.654288^(MIN($E2565,123)-117)))*1,0))</f>
        <v>100084424000</v>
      </c>
    </row>
    <row r="2566" ht="28" customHeight="1" spans="1:34" x14ac:dyDescent="0.25">
      <c r="A2566">
        <v>2576</v>
      </c>
      <c r="B2566" t="s">
        <v>371</v>
      </c>
      <c r="C2566" s="10" t="s">
        <v>1533</v>
      </c>
      <c r="D2566" t="s">
        <v>33</v>
      </c>
      <c r="E2566">
        <v>118</v>
      </c>
      <c r="F2566" t="s">
        <v>71</v>
      </c>
      <c r="G2566" t="s">
        <v>72</v>
      </c>
      <c r="H2566">
        <v>26</v>
      </c>
      <c r="I2566" s="11">
        <v>118</v>
      </c>
      <c r="J2566" s="12">
        <v>711000</v>
      </c>
      <c r="K2566" s="13">
        <f>$E2566+1</f>
        <v>119</v>
      </c>
      <c r="L2566" s="14">
        <f>IF($J2566=0,0,ROUND(MAX($J2566*1.4,1620000*(1.497923^(MIN($E2566,123)-117)))*1,0))</f>
        <v>2426635</v>
      </c>
      <c r="M2566" s="11">
        <f>$E2566+2</f>
        <v>120</v>
      </c>
      <c r="N2566" s="12">
        <f>IF($J2566=0,0,ROUND(MAX($J2566*1.4*1.5,2190000*(1.580994^(MIN($E2566,123)-117)))*1,0))</f>
        <v>3462377</v>
      </c>
      <c r="O2566" s="13">
        <f>$E2566+4</f>
        <v>122</v>
      </c>
      <c r="P2566" s="14">
        <f>IF($J2566=0,0,ROUND(MAX($J2566*1.4*1.5*1.6,3500000*(1.57975^(MIN($E2566,123)-117)))*1,0))</f>
        <v>5529125</v>
      </c>
      <c r="Q2566" s="11">
        <f>$E2566+6</f>
        <v>124</v>
      </c>
      <c r="R2566" s="12">
        <f>IF($J2566=0,0,ROUND(MAX($J2566*1.4*1.5*1.6*1.6,13100000*(1.429962^(MIN($E2566,123)-117)))*1,0))</f>
        <v>18732502</v>
      </c>
      <c r="S2566" s="13">
        <f>$E2566+8</f>
        <v>126</v>
      </c>
      <c r="T2566" s="14">
        <f>IF($J2566=0,0,ROUND(MAX($J2566*1.4*1.5*1.6*1.6*2.2,42600000*(1.576904^(MIN($E2566,123)-117)))*1,0))</f>
        <v>67176110</v>
      </c>
      <c r="U2566" s="11">
        <f>$E2566+11</f>
        <v>129</v>
      </c>
      <c r="V2566" s="12">
        <f>IF($J2566=0,0,ROUND(MAX($J2566*1.4*1.5*1.6*1.6*2.2*2.715,354000000*(1.642074^(MIN($E2566,123)-117)))*1,0))</f>
        <v>581294196</v>
      </c>
      <c r="W2566" s="13">
        <f>$E2566+15</f>
        <v>133</v>
      </c>
      <c r="X2566" s="14">
        <f>IF($J2566=0,0,ROUND(MAX($J2566*1.4*1.5*1.6*1.6*2.2*2.715*2.6,3540000000*(1.579646^(MIN($E2566,123)-117)))*1,0))</f>
        <v>5591946840</v>
      </c>
      <c r="Y2566" s="11">
        <f>$E2566+17</f>
        <v>135</v>
      </c>
      <c r="Z2566" s="12">
        <f>IF($J2566=0,0,ROUND(MAX($J2566*1.4*1.5*1.6*1.6*2.2*2.715*2.6*1.4,6020000000*(1.651178^(MIN($E2566,123)-117)))*1,0))</f>
        <v>9940091560</v>
      </c>
      <c r="AA2566" s="13">
        <f>$E2566+19</f>
        <v>137</v>
      </c>
      <c r="AB2566" s="14">
        <f>IF($J2566=0,0,ROUND(MAX($J2566*1.4*1.5*1.6*1.6*2.2*2.715*2.6*1.4*1.4,8430000000*(1.651435^(MIN($E2566,123)-117)))*1,0))</f>
        <v>13921597050</v>
      </c>
      <c r="AC2566" s="11">
        <f>$E2566+21</f>
        <v>139</v>
      </c>
      <c r="AD2566" s="12">
        <f>IF($J2566=0,0,ROUND(MAX($J2566*1.4*1.5*1.6*1.6*2.2*2.715*2.6*1.4*1.4*1.5,12600000000*(1.652953^(MIN($E2566,123)-117)))*1,0))</f>
        <v>20827207800</v>
      </c>
      <c r="AE2566" s="13">
        <f>$E2566+24</f>
        <v>142</v>
      </c>
      <c r="AF2566" s="14">
        <f>IF($J2566=0,0,ROUND(MAX($J2566*1.4*1.5*1.6*1.6*2.2*2.715*2.6*1.4*1.4*1.5*1.5,18900000000*(1.65331^(MIN($E2566,123)-117)))*1,0))</f>
        <v>31247559000</v>
      </c>
      <c r="AG2566" s="11">
        <f>$E2566+27</f>
        <v>145</v>
      </c>
      <c r="AH2566" s="12">
        <f>IF($J2566=0,0,ROUND(MAX($J2566*1.4*1.5*1.6*1.6*2.2*2.715*2.6*1.4*1.4*1.5*1.5*3.2,60500000000*(1.654288^(MIN($E2566,123)-117)))*1,0))</f>
        <v>100084424000</v>
      </c>
    </row>
    <row r="2567" ht="28" customHeight="1" spans="1:34" x14ac:dyDescent="0.25">
      <c r="A2567">
        <v>2577</v>
      </c>
      <c r="B2567" t="s">
        <v>1429</v>
      </c>
      <c r="C2567" s="10" t="s">
        <v>1533</v>
      </c>
      <c r="D2567" t="s">
        <v>90</v>
      </c>
      <c r="E2567">
        <v>118</v>
      </c>
      <c r="F2567" t="s">
        <v>71</v>
      </c>
      <c r="G2567" t="s">
        <v>171</v>
      </c>
      <c r="H2567">
        <v>26</v>
      </c>
      <c r="I2567" s="11">
        <v>118</v>
      </c>
      <c r="J2567" s="12">
        <v>789000</v>
      </c>
      <c r="K2567" s="13">
        <f>$E2567+1</f>
        <v>119</v>
      </c>
      <c r="L2567" s="14">
        <f>IF($J2567=0,0,ROUND(MAX($J2567*1.4,1620000*(1.497923^(MIN($E2567,123)-117)))*1,0))</f>
        <v>2426635</v>
      </c>
      <c r="M2567" s="11">
        <f>$E2567+2</f>
        <v>120</v>
      </c>
      <c r="N2567" s="12">
        <f>IF($J2567=0,0,ROUND(MAX($J2567*1.4*1.5,2190000*(1.580994^(MIN($E2567,123)-117)))*1,0))</f>
        <v>3462377</v>
      </c>
      <c r="O2567" s="13">
        <f>$E2567+4</f>
        <v>122</v>
      </c>
      <c r="P2567" s="14">
        <f>IF($J2567=0,0,ROUND(MAX($J2567*1.4*1.5*1.6,3500000*(1.57975^(MIN($E2567,123)-117)))*1,0))</f>
        <v>5529125</v>
      </c>
      <c r="Q2567" s="11">
        <f>$E2567+6</f>
        <v>124</v>
      </c>
      <c r="R2567" s="12">
        <f>IF($J2567=0,0,ROUND(MAX($J2567*1.4*1.5*1.6*1.6,13100000*(1.429962^(MIN($E2567,123)-117)))*1,0))</f>
        <v>18732502</v>
      </c>
      <c r="S2567" s="13">
        <f>$E2567+8</f>
        <v>126</v>
      </c>
      <c r="T2567" s="14">
        <f>IF($J2567=0,0,ROUND(MAX($J2567*1.4*1.5*1.6*1.6*2.2,42600000*(1.576904^(MIN($E2567,123)-117)))*1,0))</f>
        <v>67176110</v>
      </c>
      <c r="U2567" s="11">
        <f>$E2567+11</f>
        <v>129</v>
      </c>
      <c r="V2567" s="12">
        <f>IF($J2567=0,0,ROUND(MAX($J2567*1.4*1.5*1.6*1.6*2.2*2.715,354000000*(1.642074^(MIN($E2567,123)-117)))*1,0))</f>
        <v>581294196</v>
      </c>
      <c r="W2567" s="13">
        <f>$E2567+15</f>
        <v>133</v>
      </c>
      <c r="X2567" s="14">
        <f>IF($J2567=0,0,ROUND(MAX($J2567*1.4*1.5*1.6*1.6*2.2*2.715*2.6,3540000000*(1.579646^(MIN($E2567,123)-117)))*1,0))</f>
        <v>5591946840</v>
      </c>
      <c r="Y2567" s="11">
        <f>$E2567+17</f>
        <v>135</v>
      </c>
      <c r="Z2567" s="12">
        <f>IF($J2567=0,0,ROUND(MAX($J2567*1.4*1.5*1.6*1.6*2.2*2.715*2.6*1.4,6020000000*(1.651178^(MIN($E2567,123)-117)))*1,0))</f>
        <v>9940091560</v>
      </c>
      <c r="AA2567" s="13">
        <f>$E2567+19</f>
        <v>137</v>
      </c>
      <c r="AB2567" s="14">
        <f>IF($J2567=0,0,ROUND(MAX($J2567*1.4*1.5*1.6*1.6*2.2*2.715*2.6*1.4*1.4,8430000000*(1.651435^(MIN($E2567,123)-117)))*1,0))</f>
        <v>13921597050</v>
      </c>
      <c r="AC2567" s="11">
        <f>$E2567+21</f>
        <v>139</v>
      </c>
      <c r="AD2567" s="12">
        <f>IF($J2567=0,0,ROUND(MAX($J2567*1.4*1.5*1.6*1.6*2.2*2.715*2.6*1.4*1.4*1.5,12600000000*(1.652953^(MIN($E2567,123)-117)))*1,0))</f>
        <v>20827207800</v>
      </c>
      <c r="AE2567" s="13">
        <f>$E2567+24</f>
        <v>142</v>
      </c>
      <c r="AF2567" s="14">
        <f>IF($J2567=0,0,ROUND(MAX($J2567*1.4*1.5*1.6*1.6*2.2*2.715*2.6*1.4*1.4*1.5*1.5,18900000000*(1.65331^(MIN($E2567,123)-117)))*1,0))</f>
        <v>31247559000</v>
      </c>
      <c r="AG2567" s="11">
        <f>$E2567+27</f>
        <v>145</v>
      </c>
      <c r="AH2567" s="12">
        <f>IF($J2567=0,0,ROUND(MAX($J2567*1.4*1.5*1.6*1.6*2.2*2.715*2.6*1.4*1.4*1.5*1.5*3.2,60500000000*(1.654288^(MIN($E2567,123)-117)))*1,0))</f>
        <v>100084424000</v>
      </c>
    </row>
    <row r="2568" ht="28" customHeight="1" spans="1:34" x14ac:dyDescent="0.25">
      <c r="A2568">
        <v>2578</v>
      </c>
      <c r="B2568" t="s">
        <v>1353</v>
      </c>
      <c r="C2568" s="10" t="s">
        <v>1533</v>
      </c>
      <c r="D2568" t="s">
        <v>33</v>
      </c>
      <c r="E2568">
        <v>118</v>
      </c>
      <c r="F2568" t="s">
        <v>71</v>
      </c>
      <c r="G2568" t="s">
        <v>206</v>
      </c>
      <c r="H2568">
        <v>26</v>
      </c>
      <c r="I2568" s="11">
        <v>118</v>
      </c>
      <c r="J2568" s="12">
        <v>773000</v>
      </c>
      <c r="K2568" s="13">
        <f>$E2568+1</f>
        <v>119</v>
      </c>
      <c r="L2568" s="14">
        <f>IF($J2568=0,0,ROUND(MAX($J2568*1.4,1620000*(1.497923^(MIN($E2568,123)-117)))*1,0))</f>
        <v>2426635</v>
      </c>
      <c r="M2568" s="11">
        <f>$E2568+2</f>
        <v>120</v>
      </c>
      <c r="N2568" s="12">
        <f>IF($J2568=0,0,ROUND(MAX($J2568*1.4*1.5,2190000*(1.580994^(MIN($E2568,123)-117)))*1,0))</f>
        <v>3462377</v>
      </c>
      <c r="O2568" s="13">
        <f>$E2568+4</f>
        <v>122</v>
      </c>
      <c r="P2568" s="14">
        <f>IF($J2568=0,0,ROUND(MAX($J2568*1.4*1.5*1.6,3500000*(1.57975^(MIN($E2568,123)-117)))*1,0))</f>
        <v>5529125</v>
      </c>
      <c r="Q2568" s="11">
        <f>$E2568+6</f>
        <v>124</v>
      </c>
      <c r="R2568" s="12">
        <f>IF($J2568=0,0,ROUND(MAX($J2568*1.4*1.5*1.6*1.6,13100000*(1.429962^(MIN($E2568,123)-117)))*1,0))</f>
        <v>18732502</v>
      </c>
      <c r="S2568" s="13">
        <f>$E2568+8</f>
        <v>126</v>
      </c>
      <c r="T2568" s="14">
        <f>IF($J2568=0,0,ROUND(MAX($J2568*1.4*1.5*1.6*1.6*2.2,42600000*(1.576904^(MIN($E2568,123)-117)))*1,0))</f>
        <v>67176110</v>
      </c>
      <c r="U2568" s="11">
        <f>$E2568+11</f>
        <v>129</v>
      </c>
      <c r="V2568" s="12">
        <f>IF($J2568=0,0,ROUND(MAX($J2568*1.4*1.5*1.6*1.6*2.2*2.715,354000000*(1.642074^(MIN($E2568,123)-117)))*1,0))</f>
        <v>581294196</v>
      </c>
      <c r="W2568" s="13">
        <f>$E2568+15</f>
        <v>133</v>
      </c>
      <c r="X2568" s="14">
        <f>IF($J2568=0,0,ROUND(MAX($J2568*1.4*1.5*1.6*1.6*2.2*2.715*2.6,3540000000*(1.579646^(MIN($E2568,123)-117)))*1,0))</f>
        <v>5591946840</v>
      </c>
      <c r="Y2568" s="11">
        <f>$E2568+17</f>
        <v>135</v>
      </c>
      <c r="Z2568" s="12">
        <f>IF($J2568=0,0,ROUND(MAX($J2568*1.4*1.5*1.6*1.6*2.2*2.715*2.6*1.4,6020000000*(1.651178^(MIN($E2568,123)-117)))*1,0))</f>
        <v>9940091560</v>
      </c>
      <c r="AA2568" s="13">
        <f>$E2568+19</f>
        <v>137</v>
      </c>
      <c r="AB2568" s="14">
        <f>IF($J2568=0,0,ROUND(MAX($J2568*1.4*1.5*1.6*1.6*2.2*2.715*2.6*1.4*1.4,8430000000*(1.651435^(MIN($E2568,123)-117)))*1,0))</f>
        <v>13921597050</v>
      </c>
      <c r="AC2568" s="11">
        <f>$E2568+21</f>
        <v>139</v>
      </c>
      <c r="AD2568" s="12">
        <f>IF($J2568=0,0,ROUND(MAX($J2568*1.4*1.5*1.6*1.6*2.2*2.715*2.6*1.4*1.4*1.5,12600000000*(1.652953^(MIN($E2568,123)-117)))*1,0))</f>
        <v>20827207800</v>
      </c>
      <c r="AE2568" s="13">
        <f>$E2568+24</f>
        <v>142</v>
      </c>
      <c r="AF2568" s="14">
        <f>IF($J2568=0,0,ROUND(MAX($J2568*1.4*1.5*1.6*1.6*2.2*2.715*2.6*1.4*1.4*1.5*1.5,18900000000*(1.65331^(MIN($E2568,123)-117)))*1,0))</f>
        <v>31247559000</v>
      </c>
      <c r="AG2568" s="11">
        <f>$E2568+27</f>
        <v>145</v>
      </c>
      <c r="AH2568" s="12">
        <f>IF($J2568=0,0,ROUND(MAX($J2568*1.4*1.5*1.6*1.6*2.2*2.715*2.6*1.4*1.4*1.5*1.5*3.2,60500000000*(1.654288^(MIN($E2568,123)-117)))*1,0))</f>
        <v>100084424000</v>
      </c>
    </row>
    <row r="2569" ht="28" customHeight="1" spans="1:34" x14ac:dyDescent="0.25">
      <c r="A2569">
        <v>2579</v>
      </c>
      <c r="B2569" t="s">
        <v>297</v>
      </c>
      <c r="C2569" s="10" t="s">
        <v>1533</v>
      </c>
      <c r="D2569" t="s">
        <v>47</v>
      </c>
      <c r="E2569">
        <v>118</v>
      </c>
      <c r="F2569" t="s">
        <v>298</v>
      </c>
      <c r="G2569" t="s">
        <v>277</v>
      </c>
      <c r="H2569">
        <v>25</v>
      </c>
      <c r="I2569" s="11">
        <v>118</v>
      </c>
      <c r="J2569" s="12">
        <v>761000</v>
      </c>
      <c r="K2569" s="13">
        <f>$E2569+1</f>
        <v>119</v>
      </c>
      <c r="L2569" s="14">
        <f>IF($J2569=0,0,ROUND(MAX($J2569*1.4,1620000*(1.497923^(MIN($E2569,123)-117)))*1,0))</f>
        <v>2426635</v>
      </c>
      <c r="M2569" s="11">
        <f>$E2569+2</f>
        <v>120</v>
      </c>
      <c r="N2569" s="12">
        <f>IF($J2569=0,0,ROUND(MAX($J2569*1.4*1.5,2190000*(1.580994^(MIN($E2569,123)-117)))*1,0))</f>
        <v>3462377</v>
      </c>
      <c r="O2569" s="13">
        <f>$E2569+4</f>
        <v>122</v>
      </c>
      <c r="P2569" s="14">
        <f>IF($J2569=0,0,ROUND(MAX($J2569*1.4*1.5*1.6,3500000*(1.57975^(MIN($E2569,123)-117)))*1,0))</f>
        <v>5529125</v>
      </c>
      <c r="Q2569" s="11">
        <f>$E2569+6</f>
        <v>124</v>
      </c>
      <c r="R2569" s="12">
        <f>IF($J2569=0,0,ROUND(MAX($J2569*1.4*1.5*1.6*1.6,13100000*(1.429962^(MIN($E2569,123)-117)))*1,0))</f>
        <v>18732502</v>
      </c>
      <c r="S2569" s="13">
        <f>$E2569+8</f>
        <v>126</v>
      </c>
      <c r="T2569" s="14">
        <f>IF($J2569=0,0,ROUND(MAX($J2569*1.4*1.5*1.6*1.6*2.2,42600000*(1.576904^(MIN($E2569,123)-117)))*1,0))</f>
        <v>67176110</v>
      </c>
      <c r="U2569" s="11">
        <f>$E2569+11</f>
        <v>129</v>
      </c>
      <c r="V2569" s="12">
        <f>IF($J2569=0,0,ROUND(MAX($J2569*1.4*1.5*1.6*1.6*2.2*2.715,354000000*(1.642074^(MIN($E2569,123)-117)))*1,0))</f>
        <v>581294196</v>
      </c>
      <c r="W2569" s="13">
        <f>$E2569+15</f>
        <v>133</v>
      </c>
      <c r="X2569" s="14">
        <f>IF($J2569=0,0,ROUND(MAX($J2569*1.4*1.5*1.6*1.6*2.2*2.715*2.6,3540000000*(1.579646^(MIN($E2569,123)-117)))*1,0))</f>
        <v>5591946840</v>
      </c>
      <c r="Y2569" s="11">
        <f>$E2569+17</f>
        <v>135</v>
      </c>
      <c r="Z2569" s="12">
        <f>IF($J2569=0,0,ROUND(MAX($J2569*1.4*1.5*1.6*1.6*2.2*2.715*2.6*1.4,6020000000*(1.651178^(MIN($E2569,123)-117)))*1,0))</f>
        <v>9940091560</v>
      </c>
      <c r="AA2569" s="13">
        <f>$E2569+19</f>
        <v>137</v>
      </c>
      <c r="AB2569" s="14">
        <f>IF($J2569=0,0,ROUND(MAX($J2569*1.4*1.5*1.6*1.6*2.2*2.715*2.6*1.4*1.4,8430000000*(1.651435^(MIN($E2569,123)-117)))*1,0))</f>
        <v>13921597050</v>
      </c>
      <c r="AC2569" s="11">
        <f>$E2569+21</f>
        <v>139</v>
      </c>
      <c r="AD2569" s="12">
        <f>IF($J2569=0,0,ROUND(MAX($J2569*1.4*1.5*1.6*1.6*2.2*2.715*2.6*1.4*1.4*1.5,12600000000*(1.652953^(MIN($E2569,123)-117)))*1,0))</f>
        <v>20827207800</v>
      </c>
      <c r="AE2569" s="13">
        <f>$E2569+24</f>
        <v>142</v>
      </c>
      <c r="AF2569" s="14">
        <f>IF($J2569=0,0,ROUND(MAX($J2569*1.4*1.5*1.6*1.6*2.2*2.715*2.6*1.4*1.4*1.5*1.5,18900000000*(1.65331^(MIN($E2569,123)-117)))*1,0))</f>
        <v>31247559000</v>
      </c>
      <c r="AG2569" s="11">
        <f>$E2569+27</f>
        <v>145</v>
      </c>
      <c r="AH2569" s="12">
        <f>IF($J2569=0,0,ROUND(MAX($J2569*1.4*1.5*1.6*1.6*2.2*2.715*2.6*1.4*1.4*1.5*1.5*3.2,60500000000*(1.654288^(MIN($E2569,123)-117)))*1,0))</f>
        <v>100084424000</v>
      </c>
    </row>
    <row r="2570" ht="28" customHeight="1" spans="1:34" x14ac:dyDescent="0.25">
      <c r="A2570">
        <v>2580</v>
      </c>
      <c r="B2570" t="s">
        <v>283</v>
      </c>
      <c r="C2570" s="10" t="s">
        <v>1533</v>
      </c>
      <c r="D2570" t="s">
        <v>33</v>
      </c>
      <c r="E2570">
        <v>117</v>
      </c>
      <c r="F2570" t="s">
        <v>42</v>
      </c>
      <c r="G2570" t="s">
        <v>133</v>
      </c>
      <c r="H2570">
        <v>30</v>
      </c>
      <c r="I2570" s="11">
        <v>117</v>
      </c>
      <c r="J2570" s="12">
        <v>658000</v>
      </c>
      <c r="K2570" s="13">
        <f>$E2570+1</f>
        <v>118</v>
      </c>
      <c r="L2570" s="14">
        <f>IF($J2570=0,0,ROUND(MAX($J2570*1.4,1620000*(1.497923^(MIN($E2570,123)-117)))*1,0))</f>
        <v>1620000</v>
      </c>
      <c r="M2570" s="11">
        <f>$E2570+2</f>
        <v>119</v>
      </c>
      <c r="N2570" s="12">
        <f>IF($J2570=0,0,ROUND(MAX($J2570*1.4*1.5,2190000*(1.580994^(MIN($E2570,123)-117)))*1,0))</f>
        <v>2190000</v>
      </c>
      <c r="O2570" s="13">
        <f>$E2570+4</f>
        <v>121</v>
      </c>
      <c r="P2570" s="14">
        <f>IF($J2570=0,0,ROUND(MAX($J2570*1.4*1.5*1.6,3500000*(1.57975^(MIN($E2570,123)-117)))*1,0))</f>
        <v>3500000</v>
      </c>
      <c r="Q2570" s="11">
        <f>$E2570+6</f>
        <v>123</v>
      </c>
      <c r="R2570" s="12">
        <f>IF($J2570=0,0,ROUND(MAX($J2570*1.4*1.5*1.6*1.6,13100000*(1.429962^(MIN($E2570,123)-117)))*1,0))</f>
        <v>13100000</v>
      </c>
      <c r="S2570" s="13">
        <f>$E2570+8</f>
        <v>125</v>
      </c>
      <c r="T2570" s="14">
        <f>IF($J2570=0,0,ROUND(MAX($J2570*1.4*1.5*1.6*1.6*2.2,42600000*(1.576904^(MIN($E2570,123)-117)))*1,0))</f>
        <v>42600000</v>
      </c>
      <c r="U2570" s="11">
        <f>$E2570+11</f>
        <v>128</v>
      </c>
      <c r="V2570" s="12">
        <f>IF($J2570=0,0,ROUND(MAX($J2570*1.4*1.5*1.6*1.6*2.2*2.715,354000000*(1.642074^(MIN($E2570,123)-117)))*1,0))</f>
        <v>354000000</v>
      </c>
      <c r="W2570" s="13">
        <f>$E2570+15</f>
        <v>132</v>
      </c>
      <c r="X2570" s="14">
        <f>IF($J2570=0,0,ROUND(MAX($J2570*1.4*1.5*1.6*1.6*2.2*2.715*2.6,3540000000*(1.579646^(MIN($E2570,123)-117)))*1,0))</f>
        <v>3540000000</v>
      </c>
      <c r="Y2570" s="11">
        <f>$E2570+17</f>
        <v>134</v>
      </c>
      <c r="Z2570" s="12">
        <f>IF($J2570=0,0,ROUND(MAX($J2570*1.4*1.5*1.6*1.6*2.2*2.715*2.6*1.4,6020000000*(1.651178^(MIN($E2570,123)-117)))*1,0))</f>
        <v>6020000000</v>
      </c>
      <c r="AA2570" s="13">
        <f>$E2570+19</f>
        <v>136</v>
      </c>
      <c r="AB2570" s="14">
        <f>IF($J2570=0,0,ROUND(MAX($J2570*1.4*1.5*1.6*1.6*2.2*2.715*2.6*1.4*1.4,8430000000*(1.651435^(MIN($E2570,123)-117)))*1,0))</f>
        <v>8430000000</v>
      </c>
      <c r="AC2570" s="11">
        <f>$E2570+21</f>
        <v>138</v>
      </c>
      <c r="AD2570" s="12">
        <f>IF($J2570=0,0,ROUND(MAX($J2570*1.4*1.5*1.6*1.6*2.2*2.715*2.6*1.4*1.4*1.5,12600000000*(1.652953^(MIN($E2570,123)-117)))*1,0))</f>
        <v>12600000000</v>
      </c>
      <c r="AE2570" s="13">
        <f>$E2570+24</f>
        <v>141</v>
      </c>
      <c r="AF2570" s="14">
        <f>IF($J2570=0,0,ROUND(MAX($J2570*1.4*1.5*1.6*1.6*2.2*2.715*2.6*1.4*1.4*1.5*1.5,18900000000*(1.65331^(MIN($E2570,123)-117)))*1,0))</f>
        <v>18900000000</v>
      </c>
      <c r="AG2570" s="11">
        <f>$E2570+27</f>
        <v>144</v>
      </c>
      <c r="AH2570" s="12">
        <f>IF($J2570=0,0,ROUND(MAX($J2570*1.4*1.5*1.6*1.6*2.2*2.715*2.6*1.4*1.4*1.5*1.5*3.2,60500000000*(1.654288^(MIN($E2570,123)-117)))*1,0))</f>
        <v>60500000000</v>
      </c>
    </row>
    <row r="2571" ht="28" customHeight="1" spans="1:34" x14ac:dyDescent="0.25">
      <c r="A2571">
        <v>2581</v>
      </c>
      <c r="B2571" t="s">
        <v>347</v>
      </c>
      <c r="C2571" s="10" t="s">
        <v>1533</v>
      </c>
      <c r="D2571" t="s">
        <v>79</v>
      </c>
      <c r="E2571">
        <v>117</v>
      </c>
      <c r="F2571" t="s">
        <v>123</v>
      </c>
      <c r="G2571" t="s">
        <v>342</v>
      </c>
      <c r="H2571">
        <v>30</v>
      </c>
      <c r="I2571" s="11">
        <v>117</v>
      </c>
      <c r="J2571" s="12">
        <v>639000</v>
      </c>
      <c r="K2571" s="13">
        <f>$E2571+1</f>
        <v>118</v>
      </c>
      <c r="L2571" s="14">
        <f>IF($J2571=0,0,ROUND(MAX($J2571*1.4,1620000*(1.497923^(MIN($E2571,123)-117)))*1,0))</f>
        <v>1620000</v>
      </c>
      <c r="M2571" s="11">
        <f>$E2571+2</f>
        <v>119</v>
      </c>
      <c r="N2571" s="12">
        <f>IF($J2571=0,0,ROUND(MAX($J2571*1.4*1.5,2190000*(1.580994^(MIN($E2571,123)-117)))*1,0))</f>
        <v>2190000</v>
      </c>
      <c r="O2571" s="13">
        <f>$E2571+4</f>
        <v>121</v>
      </c>
      <c r="P2571" s="14">
        <f>IF($J2571=0,0,ROUND(MAX($J2571*1.4*1.5*1.6,3500000*(1.57975^(MIN($E2571,123)-117)))*1,0))</f>
        <v>3500000</v>
      </c>
      <c r="Q2571" s="11">
        <f>$E2571+6</f>
        <v>123</v>
      </c>
      <c r="R2571" s="12">
        <f>IF($J2571=0,0,ROUND(MAX($J2571*1.4*1.5*1.6*1.6,13100000*(1.429962^(MIN($E2571,123)-117)))*1,0))</f>
        <v>13100000</v>
      </c>
      <c r="S2571" s="13">
        <f>$E2571+8</f>
        <v>125</v>
      </c>
      <c r="T2571" s="14">
        <f>IF($J2571=0,0,ROUND(MAX($J2571*1.4*1.5*1.6*1.6*2.2,42600000*(1.576904^(MIN($E2571,123)-117)))*1,0))</f>
        <v>42600000</v>
      </c>
      <c r="U2571" s="11">
        <f>$E2571+11</f>
        <v>128</v>
      </c>
      <c r="V2571" s="12">
        <f>IF($J2571=0,0,ROUND(MAX($J2571*1.4*1.5*1.6*1.6*2.2*2.715,354000000*(1.642074^(MIN($E2571,123)-117)))*1,0))</f>
        <v>354000000</v>
      </c>
      <c r="W2571" s="13">
        <f>$E2571+15</f>
        <v>132</v>
      </c>
      <c r="X2571" s="14">
        <f>IF($J2571=0,0,ROUND(MAX($J2571*1.4*1.5*1.6*1.6*2.2*2.715*2.6,3540000000*(1.579646^(MIN($E2571,123)-117)))*1,0))</f>
        <v>3540000000</v>
      </c>
      <c r="Y2571" s="11">
        <f>$E2571+17</f>
        <v>134</v>
      </c>
      <c r="Z2571" s="12">
        <f>IF($J2571=0,0,ROUND(MAX($J2571*1.4*1.5*1.6*1.6*2.2*2.715*2.6*1.4,6020000000*(1.651178^(MIN($E2571,123)-117)))*1,0))</f>
        <v>6020000000</v>
      </c>
      <c r="AA2571" s="13">
        <f>$E2571+19</f>
        <v>136</v>
      </c>
      <c r="AB2571" s="14">
        <f>IF($J2571=0,0,ROUND(MAX($J2571*1.4*1.5*1.6*1.6*2.2*2.715*2.6*1.4*1.4,8430000000*(1.651435^(MIN($E2571,123)-117)))*1,0))</f>
        <v>8430000000</v>
      </c>
      <c r="AC2571" s="11">
        <f>$E2571+21</f>
        <v>138</v>
      </c>
      <c r="AD2571" s="12">
        <f>IF($J2571=0,0,ROUND(MAX($J2571*1.4*1.5*1.6*1.6*2.2*2.715*2.6*1.4*1.4*1.5,12600000000*(1.652953^(MIN($E2571,123)-117)))*1,0))</f>
        <v>12600000000</v>
      </c>
      <c r="AE2571" s="13">
        <f>$E2571+24</f>
        <v>141</v>
      </c>
      <c r="AF2571" s="14">
        <f>IF($J2571=0,0,ROUND(MAX($J2571*1.4*1.5*1.6*1.6*2.2*2.715*2.6*1.4*1.4*1.5*1.5,18900000000*(1.65331^(MIN($E2571,123)-117)))*1,0))</f>
        <v>18900000000</v>
      </c>
      <c r="AG2571" s="11">
        <f>$E2571+27</f>
        <v>144</v>
      </c>
      <c r="AH2571" s="12">
        <f>IF($J2571=0,0,ROUND(MAX($J2571*1.4*1.5*1.6*1.6*2.2*2.715*2.6*1.4*1.4*1.5*1.5*3.2,60500000000*(1.654288^(MIN($E2571,123)-117)))*1,0))</f>
        <v>60500000000</v>
      </c>
    </row>
    <row r="2572" ht="28" customHeight="1" spans="1:34" x14ac:dyDescent="0.25">
      <c r="A2572">
        <v>2582</v>
      </c>
      <c r="B2572" t="s">
        <v>720</v>
      </c>
      <c r="C2572" s="10" t="s">
        <v>1533</v>
      </c>
      <c r="D2572" t="s">
        <v>40</v>
      </c>
      <c r="E2572">
        <v>117</v>
      </c>
      <c r="F2572" t="s">
        <v>400</v>
      </c>
      <c r="G2572" t="s">
        <v>562</v>
      </c>
      <c r="H2572">
        <v>30</v>
      </c>
      <c r="I2572" s="11">
        <v>117</v>
      </c>
      <c r="J2572" s="12">
        <v>642000</v>
      </c>
      <c r="K2572" s="13">
        <f>$E2572+1</f>
        <v>118</v>
      </c>
      <c r="L2572" s="14">
        <f>IF($J2572=0,0,ROUND(MAX($J2572*1.4,1620000*(1.497923^(MIN($E2572,123)-117)))*1,0))</f>
        <v>1620000</v>
      </c>
      <c r="M2572" s="11">
        <f>$E2572+2</f>
        <v>119</v>
      </c>
      <c r="N2572" s="12">
        <f>IF($J2572=0,0,ROUND(MAX($J2572*1.4*1.5,2190000*(1.580994^(MIN($E2572,123)-117)))*1,0))</f>
        <v>2190000</v>
      </c>
      <c r="O2572" s="13">
        <f>$E2572+4</f>
        <v>121</v>
      </c>
      <c r="P2572" s="14">
        <f>IF($J2572=0,0,ROUND(MAX($J2572*1.4*1.5*1.6,3500000*(1.57975^(MIN($E2572,123)-117)))*1,0))</f>
        <v>3500000</v>
      </c>
      <c r="Q2572" s="11">
        <f>$E2572+6</f>
        <v>123</v>
      </c>
      <c r="R2572" s="12">
        <f>IF($J2572=0,0,ROUND(MAX($J2572*1.4*1.5*1.6*1.6,13100000*(1.429962^(MIN($E2572,123)-117)))*1,0))</f>
        <v>13100000</v>
      </c>
      <c r="S2572" s="13">
        <f>$E2572+8</f>
        <v>125</v>
      </c>
      <c r="T2572" s="14">
        <f>IF($J2572=0,0,ROUND(MAX($J2572*1.4*1.5*1.6*1.6*2.2,42600000*(1.576904^(MIN($E2572,123)-117)))*1,0))</f>
        <v>42600000</v>
      </c>
      <c r="U2572" s="11">
        <f>$E2572+11</f>
        <v>128</v>
      </c>
      <c r="V2572" s="12">
        <f>IF($J2572=0,0,ROUND(MAX($J2572*1.4*1.5*1.6*1.6*2.2*2.715,354000000*(1.642074^(MIN($E2572,123)-117)))*1,0))</f>
        <v>354000000</v>
      </c>
      <c r="W2572" s="13">
        <f>$E2572+15</f>
        <v>132</v>
      </c>
      <c r="X2572" s="14">
        <f>IF($J2572=0,0,ROUND(MAX($J2572*1.4*1.5*1.6*1.6*2.2*2.715*2.6,3540000000*(1.579646^(MIN($E2572,123)-117)))*1,0))</f>
        <v>3540000000</v>
      </c>
      <c r="Y2572" s="11">
        <f>$E2572+17</f>
        <v>134</v>
      </c>
      <c r="Z2572" s="12">
        <f>IF($J2572=0,0,ROUND(MAX($J2572*1.4*1.5*1.6*1.6*2.2*2.715*2.6*1.4,6020000000*(1.651178^(MIN($E2572,123)-117)))*1,0))</f>
        <v>6020000000</v>
      </c>
      <c r="AA2572" s="13">
        <f>$E2572+19</f>
        <v>136</v>
      </c>
      <c r="AB2572" s="14">
        <f>IF($J2572=0,0,ROUND(MAX($J2572*1.4*1.5*1.6*1.6*2.2*2.715*2.6*1.4*1.4,8430000000*(1.651435^(MIN($E2572,123)-117)))*1,0))</f>
        <v>8430000000</v>
      </c>
      <c r="AC2572" s="11">
        <f>$E2572+21</f>
        <v>138</v>
      </c>
      <c r="AD2572" s="12">
        <f>IF($J2572=0,0,ROUND(MAX($J2572*1.4*1.5*1.6*1.6*2.2*2.715*2.6*1.4*1.4*1.5,12600000000*(1.652953^(MIN($E2572,123)-117)))*1,0))</f>
        <v>12600000000</v>
      </c>
      <c r="AE2572" s="13">
        <f>$E2572+24</f>
        <v>141</v>
      </c>
      <c r="AF2572" s="14">
        <f>IF($J2572=0,0,ROUND(MAX($J2572*1.4*1.5*1.6*1.6*2.2*2.715*2.6*1.4*1.4*1.5*1.5,18900000000*(1.65331^(MIN($E2572,123)-117)))*1,0))</f>
        <v>18900000000</v>
      </c>
      <c r="AG2572" s="11">
        <f>$E2572+27</f>
        <v>144</v>
      </c>
      <c r="AH2572" s="12">
        <f>IF($J2572=0,0,ROUND(MAX($J2572*1.4*1.5*1.6*1.6*2.2*2.715*2.6*1.4*1.4*1.5*1.5*3.2,60500000000*(1.654288^(MIN($E2572,123)-117)))*1,0))</f>
        <v>60500000000</v>
      </c>
    </row>
    <row r="2573" ht="28" customHeight="1" spans="1:34" x14ac:dyDescent="0.25">
      <c r="A2573">
        <v>2583</v>
      </c>
      <c r="B2573" t="s">
        <v>1122</v>
      </c>
      <c r="C2573" s="10" t="s">
        <v>1533</v>
      </c>
      <c r="D2573" t="s">
        <v>79</v>
      </c>
      <c r="E2573">
        <v>117</v>
      </c>
      <c r="F2573" t="s">
        <v>212</v>
      </c>
      <c r="G2573" t="s">
        <v>261</v>
      </c>
      <c r="H2573">
        <v>30</v>
      </c>
      <c r="I2573" s="11">
        <v>117</v>
      </c>
      <c r="J2573" s="12">
        <v>651000</v>
      </c>
      <c r="K2573" s="13">
        <f>$E2573+1</f>
        <v>118</v>
      </c>
      <c r="L2573" s="14">
        <f>IF($J2573=0,0,ROUND(MAX($J2573*1.4,1620000*(1.497923^(MIN($E2573,123)-117)))*1,0))</f>
        <v>1620000</v>
      </c>
      <c r="M2573" s="11">
        <f>$E2573+2</f>
        <v>119</v>
      </c>
      <c r="N2573" s="12">
        <f>IF($J2573=0,0,ROUND(MAX($J2573*1.4*1.5,2190000*(1.580994^(MIN($E2573,123)-117)))*1,0))</f>
        <v>2190000</v>
      </c>
      <c r="O2573" s="13">
        <f>$E2573+4</f>
        <v>121</v>
      </c>
      <c r="P2573" s="14">
        <f>IF($J2573=0,0,ROUND(MAX($J2573*1.4*1.5*1.6,3500000*(1.57975^(MIN($E2573,123)-117)))*1,0))</f>
        <v>3500000</v>
      </c>
      <c r="Q2573" s="11">
        <f>$E2573+6</f>
        <v>123</v>
      </c>
      <c r="R2573" s="12">
        <f>IF($J2573=0,0,ROUND(MAX($J2573*1.4*1.5*1.6*1.6,13100000*(1.429962^(MIN($E2573,123)-117)))*1,0))</f>
        <v>13100000</v>
      </c>
      <c r="S2573" s="13">
        <f>$E2573+8</f>
        <v>125</v>
      </c>
      <c r="T2573" s="14">
        <f>IF($J2573=0,0,ROUND(MAX($J2573*1.4*1.5*1.6*1.6*2.2,42600000*(1.576904^(MIN($E2573,123)-117)))*1,0))</f>
        <v>42600000</v>
      </c>
      <c r="U2573" s="11">
        <f>$E2573+11</f>
        <v>128</v>
      </c>
      <c r="V2573" s="12">
        <f>IF($J2573=0,0,ROUND(MAX($J2573*1.4*1.5*1.6*1.6*2.2*2.715,354000000*(1.642074^(MIN($E2573,123)-117)))*1,0))</f>
        <v>354000000</v>
      </c>
      <c r="W2573" s="13">
        <f>$E2573+15</f>
        <v>132</v>
      </c>
      <c r="X2573" s="14">
        <f>IF($J2573=0,0,ROUND(MAX($J2573*1.4*1.5*1.6*1.6*2.2*2.715*2.6,3540000000*(1.579646^(MIN($E2573,123)-117)))*1,0))</f>
        <v>3540000000</v>
      </c>
      <c r="Y2573" s="11">
        <f>$E2573+17</f>
        <v>134</v>
      </c>
      <c r="Z2573" s="12">
        <f>IF($J2573=0,0,ROUND(MAX($J2573*1.4*1.5*1.6*1.6*2.2*2.715*2.6*1.4,6020000000*(1.651178^(MIN($E2573,123)-117)))*1,0))</f>
        <v>6020000000</v>
      </c>
      <c r="AA2573" s="13">
        <f>$E2573+19</f>
        <v>136</v>
      </c>
      <c r="AB2573" s="14">
        <f>IF($J2573=0,0,ROUND(MAX($J2573*1.4*1.5*1.6*1.6*2.2*2.715*2.6*1.4*1.4,8430000000*(1.651435^(MIN($E2573,123)-117)))*1,0))</f>
        <v>8430000000</v>
      </c>
      <c r="AC2573" s="11">
        <f>$E2573+21</f>
        <v>138</v>
      </c>
      <c r="AD2573" s="12">
        <f>IF($J2573=0,0,ROUND(MAX($J2573*1.4*1.5*1.6*1.6*2.2*2.715*2.6*1.4*1.4*1.5,12600000000*(1.652953^(MIN($E2573,123)-117)))*1,0))</f>
        <v>12600000000</v>
      </c>
      <c r="AE2573" s="13">
        <f>$E2573+24</f>
        <v>141</v>
      </c>
      <c r="AF2573" s="14">
        <f>IF($J2573=0,0,ROUND(MAX($J2573*1.4*1.5*1.6*1.6*2.2*2.715*2.6*1.4*1.4*1.5*1.5,18900000000*(1.65331^(MIN($E2573,123)-117)))*1,0))</f>
        <v>18900000000</v>
      </c>
      <c r="AG2573" s="11">
        <f>$E2573+27</f>
        <v>144</v>
      </c>
      <c r="AH2573" s="12">
        <f>IF($J2573=0,0,ROUND(MAX($J2573*1.4*1.5*1.6*1.6*2.2*2.715*2.6*1.4*1.4*1.5*1.5*3.2,60500000000*(1.654288^(MIN($E2573,123)-117)))*1,0))</f>
        <v>60500000000</v>
      </c>
    </row>
    <row r="2574" ht="28" customHeight="1" spans="1:34" x14ac:dyDescent="0.25">
      <c r="A2574">
        <v>2584</v>
      </c>
      <c r="B2574" t="s">
        <v>1544</v>
      </c>
      <c r="C2574" s="10" t="s">
        <v>1533</v>
      </c>
      <c r="D2574" t="s">
        <v>40</v>
      </c>
      <c r="E2574">
        <v>117</v>
      </c>
      <c r="F2574" t="s">
        <v>1153</v>
      </c>
      <c r="G2574" t="s">
        <v>1545</v>
      </c>
      <c r="H2574">
        <v>29</v>
      </c>
      <c r="I2574" s="11">
        <v>117</v>
      </c>
      <c r="J2574" s="12">
        <v>682000</v>
      </c>
      <c r="K2574" s="13">
        <f>$E2574+1</f>
        <v>118</v>
      </c>
      <c r="L2574" s="14">
        <f>IF($J2574=0,0,ROUND(MAX($J2574*1.4,1620000*(1.497923^(MIN($E2574,123)-117)))*1,0))</f>
        <v>1620000</v>
      </c>
      <c r="M2574" s="11">
        <f>$E2574+2</f>
        <v>119</v>
      </c>
      <c r="N2574" s="12">
        <f>IF($J2574=0,0,ROUND(MAX($J2574*1.4*1.5,2190000*(1.580994^(MIN($E2574,123)-117)))*1,0))</f>
        <v>2190000</v>
      </c>
      <c r="O2574" s="13">
        <f>$E2574+4</f>
        <v>121</v>
      </c>
      <c r="P2574" s="14">
        <f>IF($J2574=0,0,ROUND(MAX($J2574*1.4*1.5*1.6,3500000*(1.57975^(MIN($E2574,123)-117)))*1,0))</f>
        <v>3500000</v>
      </c>
      <c r="Q2574" s="11">
        <f>$E2574+6</f>
        <v>123</v>
      </c>
      <c r="R2574" s="12">
        <f>IF($J2574=0,0,ROUND(MAX($J2574*1.4*1.5*1.6*1.6,13100000*(1.429962^(MIN($E2574,123)-117)))*1,0))</f>
        <v>13100000</v>
      </c>
      <c r="S2574" s="13">
        <f>$E2574+8</f>
        <v>125</v>
      </c>
      <c r="T2574" s="14">
        <f>IF($J2574=0,0,ROUND(MAX($J2574*1.4*1.5*1.6*1.6*2.2,42600000*(1.576904^(MIN($E2574,123)-117)))*1,0))</f>
        <v>42600000</v>
      </c>
      <c r="U2574" s="11">
        <f>$E2574+11</f>
        <v>128</v>
      </c>
      <c r="V2574" s="12">
        <f>IF($J2574=0,0,ROUND(MAX($J2574*1.4*1.5*1.6*1.6*2.2*2.715,354000000*(1.642074^(MIN($E2574,123)-117)))*1,0))</f>
        <v>354000000</v>
      </c>
      <c r="W2574" s="13">
        <f>$E2574+15</f>
        <v>132</v>
      </c>
      <c r="X2574" s="14">
        <f>IF($J2574=0,0,ROUND(MAX($J2574*1.4*1.5*1.6*1.6*2.2*2.715*2.6,3540000000*(1.579646^(MIN($E2574,123)-117)))*1,0))</f>
        <v>3540000000</v>
      </c>
      <c r="Y2574" s="11">
        <f>$E2574+17</f>
        <v>134</v>
      </c>
      <c r="Z2574" s="12">
        <f>IF($J2574=0,0,ROUND(MAX($J2574*1.4*1.5*1.6*1.6*2.2*2.715*2.6*1.4,6020000000*(1.651178^(MIN($E2574,123)-117)))*1,0))</f>
        <v>6020000000</v>
      </c>
      <c r="AA2574" s="13">
        <f>$E2574+19</f>
        <v>136</v>
      </c>
      <c r="AB2574" s="14">
        <f>IF($J2574=0,0,ROUND(MAX($J2574*1.4*1.5*1.6*1.6*2.2*2.715*2.6*1.4*1.4,8430000000*(1.651435^(MIN($E2574,123)-117)))*1,0))</f>
        <v>8430000000</v>
      </c>
      <c r="AC2574" s="11">
        <f>$E2574+21</f>
        <v>138</v>
      </c>
      <c r="AD2574" s="12">
        <f>IF($J2574=0,0,ROUND(MAX($J2574*1.4*1.5*1.6*1.6*2.2*2.715*2.6*1.4*1.4*1.5,12600000000*(1.652953^(MIN($E2574,123)-117)))*1,0))</f>
        <v>12600000000</v>
      </c>
      <c r="AE2574" s="13">
        <f>$E2574+24</f>
        <v>141</v>
      </c>
      <c r="AF2574" s="14">
        <f>IF($J2574=0,0,ROUND(MAX($J2574*1.4*1.5*1.6*1.6*2.2*2.715*2.6*1.4*1.4*1.5*1.5,18900000000*(1.65331^(MIN($E2574,123)-117)))*1,0))</f>
        <v>18900000000</v>
      </c>
      <c r="AG2574" s="11">
        <f>$E2574+27</f>
        <v>144</v>
      </c>
      <c r="AH2574" s="12">
        <f>IF($J2574=0,0,ROUND(MAX($J2574*1.4*1.5*1.6*1.6*2.2*2.715*2.6*1.4*1.4*1.5*1.5*3.2,60500000000*(1.654288^(MIN($E2574,123)-117)))*1,0))</f>
        <v>60500000000</v>
      </c>
    </row>
    <row r="2575" ht="28" customHeight="1" spans="1:34" x14ac:dyDescent="0.25">
      <c r="A2575">
        <v>2585</v>
      </c>
      <c r="B2575" t="s">
        <v>634</v>
      </c>
      <c r="C2575" s="10" t="s">
        <v>1533</v>
      </c>
      <c r="D2575" t="s">
        <v>33</v>
      </c>
      <c r="E2575">
        <v>117</v>
      </c>
      <c r="F2575" t="s">
        <v>59</v>
      </c>
      <c r="G2575" t="s">
        <v>185</v>
      </c>
      <c r="H2575">
        <v>29</v>
      </c>
      <c r="I2575" s="11">
        <v>117</v>
      </c>
      <c r="J2575" s="12">
        <v>657000</v>
      </c>
      <c r="K2575" s="13">
        <f>$E2575+1</f>
        <v>118</v>
      </c>
      <c r="L2575" s="14">
        <f>IF($J2575=0,0,ROUND(MAX($J2575*1.4,1620000*(1.497923^(MIN($E2575,123)-117)))*1,0))</f>
        <v>1620000</v>
      </c>
      <c r="M2575" s="11">
        <f>$E2575+2</f>
        <v>119</v>
      </c>
      <c r="N2575" s="12">
        <f>IF($J2575=0,0,ROUND(MAX($J2575*1.4*1.5,2190000*(1.580994^(MIN($E2575,123)-117)))*1,0))</f>
        <v>2190000</v>
      </c>
      <c r="O2575" s="13">
        <f>$E2575+4</f>
        <v>121</v>
      </c>
      <c r="P2575" s="14">
        <f>IF($J2575=0,0,ROUND(MAX($J2575*1.4*1.5*1.6,3500000*(1.57975^(MIN($E2575,123)-117)))*1,0))</f>
        <v>3500000</v>
      </c>
      <c r="Q2575" s="11">
        <f>$E2575+6</f>
        <v>123</v>
      </c>
      <c r="R2575" s="12">
        <f>IF($J2575=0,0,ROUND(MAX($J2575*1.4*1.5*1.6*1.6,13100000*(1.429962^(MIN($E2575,123)-117)))*1,0))</f>
        <v>13100000</v>
      </c>
      <c r="S2575" s="13">
        <f>$E2575+8</f>
        <v>125</v>
      </c>
      <c r="T2575" s="14">
        <f>IF($J2575=0,0,ROUND(MAX($J2575*1.4*1.5*1.6*1.6*2.2,42600000*(1.576904^(MIN($E2575,123)-117)))*1,0))</f>
        <v>42600000</v>
      </c>
      <c r="U2575" s="11">
        <f>$E2575+11</f>
        <v>128</v>
      </c>
      <c r="V2575" s="12">
        <f>IF($J2575=0,0,ROUND(MAX($J2575*1.4*1.5*1.6*1.6*2.2*2.715,354000000*(1.642074^(MIN($E2575,123)-117)))*1,0))</f>
        <v>354000000</v>
      </c>
      <c r="W2575" s="13">
        <f>$E2575+15</f>
        <v>132</v>
      </c>
      <c r="X2575" s="14">
        <f>IF($J2575=0,0,ROUND(MAX($J2575*1.4*1.5*1.6*1.6*2.2*2.715*2.6,3540000000*(1.579646^(MIN($E2575,123)-117)))*1,0))</f>
        <v>3540000000</v>
      </c>
      <c r="Y2575" s="11">
        <f>$E2575+17</f>
        <v>134</v>
      </c>
      <c r="Z2575" s="12">
        <f>IF($J2575=0,0,ROUND(MAX($J2575*1.4*1.5*1.6*1.6*2.2*2.715*2.6*1.4,6020000000*(1.651178^(MIN($E2575,123)-117)))*1,0))</f>
        <v>6020000000</v>
      </c>
      <c r="AA2575" s="13">
        <f>$E2575+19</f>
        <v>136</v>
      </c>
      <c r="AB2575" s="14">
        <f>IF($J2575=0,0,ROUND(MAX($J2575*1.4*1.5*1.6*1.6*2.2*2.715*2.6*1.4*1.4,8430000000*(1.651435^(MIN($E2575,123)-117)))*1,0))</f>
        <v>8430000000</v>
      </c>
      <c r="AC2575" s="11">
        <f>$E2575+21</f>
        <v>138</v>
      </c>
      <c r="AD2575" s="12">
        <f>IF($J2575=0,0,ROUND(MAX($J2575*1.4*1.5*1.6*1.6*2.2*2.715*2.6*1.4*1.4*1.5,12600000000*(1.652953^(MIN($E2575,123)-117)))*1,0))</f>
        <v>12600000000</v>
      </c>
      <c r="AE2575" s="13">
        <f>$E2575+24</f>
        <v>141</v>
      </c>
      <c r="AF2575" s="14">
        <f>IF($J2575=0,0,ROUND(MAX($J2575*1.4*1.5*1.6*1.6*2.2*2.715*2.6*1.4*1.4*1.5*1.5,18900000000*(1.65331^(MIN($E2575,123)-117)))*1,0))</f>
        <v>18900000000</v>
      </c>
      <c r="AG2575" s="11">
        <f>$E2575+27</f>
        <v>144</v>
      </c>
      <c r="AH2575" s="12">
        <f>IF($J2575=0,0,ROUND(MAX($J2575*1.4*1.5*1.6*1.6*2.2*2.715*2.6*1.4*1.4*1.5*1.5*3.2,60500000000*(1.654288^(MIN($E2575,123)-117)))*1,0))</f>
        <v>60500000000</v>
      </c>
    </row>
    <row r="2576" ht="28" customHeight="1" spans="1:34" x14ac:dyDescent="0.25">
      <c r="A2576">
        <v>2586</v>
      </c>
      <c r="B2576" t="s">
        <v>1162</v>
      </c>
      <c r="C2576" s="10" t="s">
        <v>1533</v>
      </c>
      <c r="D2576" t="s">
        <v>45</v>
      </c>
      <c r="E2576">
        <v>117</v>
      </c>
      <c r="F2576" t="s">
        <v>42</v>
      </c>
      <c r="G2576" t="s">
        <v>72</v>
      </c>
      <c r="H2576">
        <v>29</v>
      </c>
      <c r="I2576" s="11">
        <v>117</v>
      </c>
      <c r="J2576" s="12">
        <v>636000</v>
      </c>
      <c r="K2576" s="13">
        <f>$E2576+1</f>
        <v>118</v>
      </c>
      <c r="L2576" s="14">
        <f>IF($J2576=0,0,ROUND(MAX($J2576*1.4,1620000*(1.497923^(MIN($E2576,123)-117)))*1,0))</f>
        <v>1620000</v>
      </c>
      <c r="M2576" s="11">
        <f>$E2576+2</f>
        <v>119</v>
      </c>
      <c r="N2576" s="12">
        <f>IF($J2576=0,0,ROUND(MAX($J2576*1.4*1.5,2190000*(1.580994^(MIN($E2576,123)-117)))*1,0))</f>
        <v>2190000</v>
      </c>
      <c r="O2576" s="13">
        <f>$E2576+4</f>
        <v>121</v>
      </c>
      <c r="P2576" s="14">
        <f>IF($J2576=0,0,ROUND(MAX($J2576*1.4*1.5*1.6,3500000*(1.57975^(MIN($E2576,123)-117)))*1,0))</f>
        <v>3500000</v>
      </c>
      <c r="Q2576" s="11">
        <f>$E2576+6</f>
        <v>123</v>
      </c>
      <c r="R2576" s="12">
        <f>IF($J2576=0,0,ROUND(MAX($J2576*1.4*1.5*1.6*1.6,13100000*(1.429962^(MIN($E2576,123)-117)))*1,0))</f>
        <v>13100000</v>
      </c>
      <c r="S2576" s="13">
        <f>$E2576+8</f>
        <v>125</v>
      </c>
      <c r="T2576" s="14">
        <f>IF($J2576=0,0,ROUND(MAX($J2576*1.4*1.5*1.6*1.6*2.2,42600000*(1.576904^(MIN($E2576,123)-117)))*1,0))</f>
        <v>42600000</v>
      </c>
      <c r="U2576" s="11">
        <f>$E2576+11</f>
        <v>128</v>
      </c>
      <c r="V2576" s="12">
        <f>IF($J2576=0,0,ROUND(MAX($J2576*1.4*1.5*1.6*1.6*2.2*2.715,354000000*(1.642074^(MIN($E2576,123)-117)))*1,0))</f>
        <v>354000000</v>
      </c>
      <c r="W2576" s="13">
        <f>$E2576+15</f>
        <v>132</v>
      </c>
      <c r="X2576" s="14">
        <f>IF($J2576=0,0,ROUND(MAX($J2576*1.4*1.5*1.6*1.6*2.2*2.715*2.6,3540000000*(1.579646^(MIN($E2576,123)-117)))*1,0))</f>
        <v>3540000000</v>
      </c>
      <c r="Y2576" s="11">
        <f>$E2576+17</f>
        <v>134</v>
      </c>
      <c r="Z2576" s="12">
        <f>IF($J2576=0,0,ROUND(MAX($J2576*1.4*1.5*1.6*1.6*2.2*2.715*2.6*1.4,6020000000*(1.651178^(MIN($E2576,123)-117)))*1,0))</f>
        <v>6020000000</v>
      </c>
      <c r="AA2576" s="13">
        <f>$E2576+19</f>
        <v>136</v>
      </c>
      <c r="AB2576" s="14">
        <f>IF($J2576=0,0,ROUND(MAX($J2576*1.4*1.5*1.6*1.6*2.2*2.715*2.6*1.4*1.4,8430000000*(1.651435^(MIN($E2576,123)-117)))*1,0))</f>
        <v>8430000000</v>
      </c>
      <c r="AC2576" s="11">
        <f>$E2576+21</f>
        <v>138</v>
      </c>
      <c r="AD2576" s="12">
        <f>IF($J2576=0,0,ROUND(MAX($J2576*1.4*1.5*1.6*1.6*2.2*2.715*2.6*1.4*1.4*1.5,12600000000*(1.652953^(MIN($E2576,123)-117)))*1,0))</f>
        <v>12600000000</v>
      </c>
      <c r="AE2576" s="13">
        <f>$E2576+24</f>
        <v>141</v>
      </c>
      <c r="AF2576" s="14">
        <f>IF($J2576=0,0,ROUND(MAX($J2576*1.4*1.5*1.6*1.6*2.2*2.715*2.6*1.4*1.4*1.5*1.5,18900000000*(1.65331^(MIN($E2576,123)-117)))*1,0))</f>
        <v>18900000000</v>
      </c>
      <c r="AG2576" s="11">
        <f>$E2576+27</f>
        <v>144</v>
      </c>
      <c r="AH2576" s="12">
        <f>IF($J2576=0,0,ROUND(MAX($J2576*1.4*1.5*1.6*1.6*2.2*2.715*2.6*1.4*1.4*1.5*1.5*3.2,60500000000*(1.654288^(MIN($E2576,123)-117)))*1,0))</f>
        <v>60500000000</v>
      </c>
    </row>
    <row r="2577" ht="28" customHeight="1" spans="1:34" x14ac:dyDescent="0.25">
      <c r="A2577">
        <v>2587</v>
      </c>
      <c r="B2577" t="s">
        <v>485</v>
      </c>
      <c r="C2577" s="10" t="s">
        <v>1533</v>
      </c>
      <c r="D2577" t="s">
        <v>33</v>
      </c>
      <c r="E2577">
        <v>117</v>
      </c>
      <c r="F2577" t="s">
        <v>30</v>
      </c>
      <c r="G2577" t="s">
        <v>218</v>
      </c>
      <c r="H2577">
        <v>29</v>
      </c>
      <c r="I2577" s="11">
        <v>117</v>
      </c>
      <c r="J2577" s="12">
        <v>630000</v>
      </c>
      <c r="K2577" s="13">
        <f>$E2577+1</f>
        <v>118</v>
      </c>
      <c r="L2577" s="14">
        <f>IF($J2577=0,0,ROUND(MAX($J2577*1.4,1620000*(1.497923^(MIN($E2577,123)-117)))*1,0))</f>
        <v>1620000</v>
      </c>
      <c r="M2577" s="11">
        <f>$E2577+2</f>
        <v>119</v>
      </c>
      <c r="N2577" s="12">
        <f>IF($J2577=0,0,ROUND(MAX($J2577*1.4*1.5,2190000*(1.580994^(MIN($E2577,123)-117)))*1,0))</f>
        <v>2190000</v>
      </c>
      <c r="O2577" s="13">
        <f>$E2577+4</f>
        <v>121</v>
      </c>
      <c r="P2577" s="14">
        <f>IF($J2577=0,0,ROUND(MAX($J2577*1.4*1.5*1.6,3500000*(1.57975^(MIN($E2577,123)-117)))*1,0))</f>
        <v>3500000</v>
      </c>
      <c r="Q2577" s="11">
        <f>$E2577+6</f>
        <v>123</v>
      </c>
      <c r="R2577" s="12">
        <f>IF($J2577=0,0,ROUND(MAX($J2577*1.4*1.5*1.6*1.6,13100000*(1.429962^(MIN($E2577,123)-117)))*1,0))</f>
        <v>13100000</v>
      </c>
      <c r="S2577" s="13">
        <f>$E2577+8</f>
        <v>125</v>
      </c>
      <c r="T2577" s="14">
        <f>IF($J2577=0,0,ROUND(MAX($J2577*1.4*1.5*1.6*1.6*2.2,42600000*(1.576904^(MIN($E2577,123)-117)))*1,0))</f>
        <v>42600000</v>
      </c>
      <c r="U2577" s="11">
        <f>$E2577+11</f>
        <v>128</v>
      </c>
      <c r="V2577" s="12">
        <f>IF($J2577=0,0,ROUND(MAX($J2577*1.4*1.5*1.6*1.6*2.2*2.715,354000000*(1.642074^(MIN($E2577,123)-117)))*1,0))</f>
        <v>354000000</v>
      </c>
      <c r="W2577" s="13">
        <f>$E2577+15</f>
        <v>132</v>
      </c>
      <c r="X2577" s="14">
        <f>IF($J2577=0,0,ROUND(MAX($J2577*1.4*1.5*1.6*1.6*2.2*2.715*2.6,3540000000*(1.579646^(MIN($E2577,123)-117)))*1,0))</f>
        <v>3540000000</v>
      </c>
      <c r="Y2577" s="11">
        <f>$E2577+17</f>
        <v>134</v>
      </c>
      <c r="Z2577" s="12">
        <f>IF($J2577=0,0,ROUND(MAX($J2577*1.4*1.5*1.6*1.6*2.2*2.715*2.6*1.4,6020000000*(1.651178^(MIN($E2577,123)-117)))*1,0))</f>
        <v>6020000000</v>
      </c>
      <c r="AA2577" s="13">
        <f>$E2577+19</f>
        <v>136</v>
      </c>
      <c r="AB2577" s="14">
        <f>IF($J2577=0,0,ROUND(MAX($J2577*1.4*1.5*1.6*1.6*2.2*2.715*2.6*1.4*1.4,8430000000*(1.651435^(MIN($E2577,123)-117)))*1,0))</f>
        <v>8430000000</v>
      </c>
      <c r="AC2577" s="11">
        <f>$E2577+21</f>
        <v>138</v>
      </c>
      <c r="AD2577" s="12">
        <f>IF($J2577=0,0,ROUND(MAX($J2577*1.4*1.5*1.6*1.6*2.2*2.715*2.6*1.4*1.4*1.5,12600000000*(1.652953^(MIN($E2577,123)-117)))*1,0))</f>
        <v>12600000000</v>
      </c>
      <c r="AE2577" s="13">
        <f>$E2577+24</f>
        <v>141</v>
      </c>
      <c r="AF2577" s="14">
        <f>IF($J2577=0,0,ROUND(MAX($J2577*1.4*1.5*1.6*1.6*2.2*2.715*2.6*1.4*1.4*1.5*1.5,18900000000*(1.65331^(MIN($E2577,123)-117)))*1,0))</f>
        <v>18900000000</v>
      </c>
      <c r="AG2577" s="11">
        <f>$E2577+27</f>
        <v>144</v>
      </c>
      <c r="AH2577" s="12">
        <f>IF($J2577=0,0,ROUND(MAX($J2577*1.4*1.5*1.6*1.6*2.2*2.715*2.6*1.4*1.4*1.5*1.5*3.2,60500000000*(1.654288^(MIN($E2577,123)-117)))*1,0))</f>
        <v>60500000000</v>
      </c>
    </row>
    <row r="2578" ht="28" customHeight="1" spans="1:34" x14ac:dyDescent="0.25">
      <c r="A2578">
        <v>2588</v>
      </c>
      <c r="B2578" t="s">
        <v>1546</v>
      </c>
      <c r="C2578" s="10" t="s">
        <v>1533</v>
      </c>
      <c r="D2578" t="s">
        <v>25</v>
      </c>
      <c r="E2578">
        <v>117</v>
      </c>
      <c r="F2578" t="s">
        <v>237</v>
      </c>
      <c r="G2578" t="s">
        <v>1547</v>
      </c>
      <c r="H2578">
        <v>29</v>
      </c>
      <c r="I2578" s="11">
        <v>117</v>
      </c>
      <c r="J2578" s="12">
        <v>661000</v>
      </c>
      <c r="K2578" s="13">
        <f>$E2578+1</f>
        <v>118</v>
      </c>
      <c r="L2578" s="14">
        <f>IF($J2578=0,0,ROUND(MAX($J2578*1.4,1620000*(1.497923^(MIN($E2578,123)-117)))*1,0))</f>
        <v>1620000</v>
      </c>
      <c r="M2578" s="11">
        <f>$E2578+2</f>
        <v>119</v>
      </c>
      <c r="N2578" s="12">
        <f>IF($J2578=0,0,ROUND(MAX($J2578*1.4*1.5,2190000*(1.580994^(MIN($E2578,123)-117)))*1,0))</f>
        <v>2190000</v>
      </c>
      <c r="O2578" s="13">
        <f>$E2578+4</f>
        <v>121</v>
      </c>
      <c r="P2578" s="14">
        <f>IF($J2578=0,0,ROUND(MAX($J2578*1.4*1.5*1.6,3500000*(1.57975^(MIN($E2578,123)-117)))*1,0))</f>
        <v>3500000</v>
      </c>
      <c r="Q2578" s="11">
        <f>$E2578+6</f>
        <v>123</v>
      </c>
      <c r="R2578" s="12">
        <f>IF($J2578=0,0,ROUND(MAX($J2578*1.4*1.5*1.6*1.6,13100000*(1.429962^(MIN($E2578,123)-117)))*1,0))</f>
        <v>13100000</v>
      </c>
      <c r="S2578" s="13">
        <f>$E2578+8</f>
        <v>125</v>
      </c>
      <c r="T2578" s="14">
        <f>IF($J2578=0,0,ROUND(MAX($J2578*1.4*1.5*1.6*1.6*2.2,42600000*(1.576904^(MIN($E2578,123)-117)))*1,0))</f>
        <v>42600000</v>
      </c>
      <c r="U2578" s="11">
        <f>$E2578+11</f>
        <v>128</v>
      </c>
      <c r="V2578" s="12">
        <f>IF($J2578=0,0,ROUND(MAX($J2578*1.4*1.5*1.6*1.6*2.2*2.715,354000000*(1.642074^(MIN($E2578,123)-117)))*1,0))</f>
        <v>354000000</v>
      </c>
      <c r="W2578" s="13">
        <f>$E2578+15</f>
        <v>132</v>
      </c>
      <c r="X2578" s="14">
        <f>IF($J2578=0,0,ROUND(MAX($J2578*1.4*1.5*1.6*1.6*2.2*2.715*2.6,3540000000*(1.579646^(MIN($E2578,123)-117)))*1,0))</f>
        <v>3540000000</v>
      </c>
      <c r="Y2578" s="11">
        <f>$E2578+17</f>
        <v>134</v>
      </c>
      <c r="Z2578" s="12">
        <f>IF($J2578=0,0,ROUND(MAX($J2578*1.4*1.5*1.6*1.6*2.2*2.715*2.6*1.4,6020000000*(1.651178^(MIN($E2578,123)-117)))*1,0))</f>
        <v>6020000000</v>
      </c>
      <c r="AA2578" s="13">
        <f>$E2578+19</f>
        <v>136</v>
      </c>
      <c r="AB2578" s="14">
        <f>IF($J2578=0,0,ROUND(MAX($J2578*1.4*1.5*1.6*1.6*2.2*2.715*2.6*1.4*1.4,8430000000*(1.651435^(MIN($E2578,123)-117)))*1,0))</f>
        <v>8430000000</v>
      </c>
      <c r="AC2578" s="11">
        <f>$E2578+21</f>
        <v>138</v>
      </c>
      <c r="AD2578" s="12">
        <f>IF($J2578=0,0,ROUND(MAX($J2578*1.4*1.5*1.6*1.6*2.2*2.715*2.6*1.4*1.4*1.5,12600000000*(1.652953^(MIN($E2578,123)-117)))*1,0))</f>
        <v>12600000000</v>
      </c>
      <c r="AE2578" s="13">
        <f>$E2578+24</f>
        <v>141</v>
      </c>
      <c r="AF2578" s="14">
        <f>IF($J2578=0,0,ROUND(MAX($J2578*1.4*1.5*1.6*1.6*2.2*2.715*2.6*1.4*1.4*1.5*1.5,18900000000*(1.65331^(MIN($E2578,123)-117)))*1,0))</f>
        <v>18900000000</v>
      </c>
      <c r="AG2578" s="11">
        <f>$E2578+27</f>
        <v>144</v>
      </c>
      <c r="AH2578" s="12">
        <f>IF($J2578=0,0,ROUND(MAX($J2578*1.4*1.5*1.6*1.6*2.2*2.715*2.6*1.4*1.4*1.5*1.5*3.2,60500000000*(1.654288^(MIN($E2578,123)-117)))*1,0))</f>
        <v>60500000000</v>
      </c>
    </row>
    <row r="2579" ht="28" customHeight="1" spans="1:34" x14ac:dyDescent="0.25">
      <c r="A2579">
        <v>2589</v>
      </c>
      <c r="B2579" t="s">
        <v>1338</v>
      </c>
      <c r="C2579" s="10" t="s">
        <v>1533</v>
      </c>
      <c r="D2579" t="s">
        <v>29</v>
      </c>
      <c r="E2579">
        <v>117</v>
      </c>
      <c r="F2579" t="s">
        <v>194</v>
      </c>
      <c r="G2579" t="s">
        <v>1339</v>
      </c>
      <c r="H2579">
        <v>29</v>
      </c>
      <c r="I2579" s="11">
        <v>117</v>
      </c>
      <c r="J2579" s="12">
        <v>649000</v>
      </c>
      <c r="K2579" s="13">
        <f>$E2579+1</f>
        <v>118</v>
      </c>
      <c r="L2579" s="14">
        <f>IF($J2579=0,0,ROUND(MAX($J2579*1.4,1620000*(1.497923^(MIN($E2579,123)-117)))*1,0))</f>
        <v>1620000</v>
      </c>
      <c r="M2579" s="11">
        <f>$E2579+2</f>
        <v>119</v>
      </c>
      <c r="N2579" s="12">
        <f>IF($J2579=0,0,ROUND(MAX($J2579*1.4*1.5,2190000*(1.580994^(MIN($E2579,123)-117)))*1,0))</f>
        <v>2190000</v>
      </c>
      <c r="O2579" s="13">
        <f>$E2579+4</f>
        <v>121</v>
      </c>
      <c r="P2579" s="14">
        <f>IF($J2579=0,0,ROUND(MAX($J2579*1.4*1.5*1.6,3500000*(1.57975^(MIN($E2579,123)-117)))*1,0))</f>
        <v>3500000</v>
      </c>
      <c r="Q2579" s="11">
        <f>$E2579+6</f>
        <v>123</v>
      </c>
      <c r="R2579" s="12">
        <f>IF($J2579=0,0,ROUND(MAX($J2579*1.4*1.5*1.6*1.6,13100000*(1.429962^(MIN($E2579,123)-117)))*1,0))</f>
        <v>13100000</v>
      </c>
      <c r="S2579" s="13">
        <f>$E2579+8</f>
        <v>125</v>
      </c>
      <c r="T2579" s="14">
        <f>IF($J2579=0,0,ROUND(MAX($J2579*1.4*1.5*1.6*1.6*2.2,42600000*(1.576904^(MIN($E2579,123)-117)))*1,0))</f>
        <v>42600000</v>
      </c>
      <c r="U2579" s="11">
        <f>$E2579+11</f>
        <v>128</v>
      </c>
      <c r="V2579" s="12">
        <f>IF($J2579=0,0,ROUND(MAX($J2579*1.4*1.5*1.6*1.6*2.2*2.715,354000000*(1.642074^(MIN($E2579,123)-117)))*1,0))</f>
        <v>354000000</v>
      </c>
      <c r="W2579" s="13">
        <f>$E2579+15</f>
        <v>132</v>
      </c>
      <c r="X2579" s="14">
        <f>IF($J2579=0,0,ROUND(MAX($J2579*1.4*1.5*1.6*1.6*2.2*2.715*2.6,3540000000*(1.579646^(MIN($E2579,123)-117)))*1,0))</f>
        <v>3540000000</v>
      </c>
      <c r="Y2579" s="11">
        <f>$E2579+17</f>
        <v>134</v>
      </c>
      <c r="Z2579" s="12">
        <f>IF($J2579=0,0,ROUND(MAX($J2579*1.4*1.5*1.6*1.6*2.2*2.715*2.6*1.4,6020000000*(1.651178^(MIN($E2579,123)-117)))*1,0))</f>
        <v>6020000000</v>
      </c>
      <c r="AA2579" s="13">
        <f>$E2579+19</f>
        <v>136</v>
      </c>
      <c r="AB2579" s="14">
        <f>IF($J2579=0,0,ROUND(MAX($J2579*1.4*1.5*1.6*1.6*2.2*2.715*2.6*1.4*1.4,8430000000*(1.651435^(MIN($E2579,123)-117)))*1,0))</f>
        <v>8430000000</v>
      </c>
      <c r="AC2579" s="11">
        <f>$E2579+21</f>
        <v>138</v>
      </c>
      <c r="AD2579" s="12">
        <f>IF($J2579=0,0,ROUND(MAX($J2579*1.4*1.5*1.6*1.6*2.2*2.715*2.6*1.4*1.4*1.5,12600000000*(1.652953^(MIN($E2579,123)-117)))*1,0))</f>
        <v>12600000000</v>
      </c>
      <c r="AE2579" s="13">
        <f>$E2579+24</f>
        <v>141</v>
      </c>
      <c r="AF2579" s="14">
        <f>IF($J2579=0,0,ROUND(MAX($J2579*1.4*1.5*1.6*1.6*2.2*2.715*2.6*1.4*1.4*1.5*1.5,18900000000*(1.65331^(MIN($E2579,123)-117)))*1,0))</f>
        <v>18900000000</v>
      </c>
      <c r="AG2579" s="11">
        <f>$E2579+27</f>
        <v>144</v>
      </c>
      <c r="AH2579" s="12">
        <f>IF($J2579=0,0,ROUND(MAX($J2579*1.4*1.5*1.6*1.6*2.2*2.715*2.6*1.4*1.4*1.5*1.5*3.2,60500000000*(1.654288^(MIN($E2579,123)-117)))*1,0))</f>
        <v>60500000000</v>
      </c>
    </row>
    <row r="2580" ht="28" customHeight="1" spans="1:34" x14ac:dyDescent="0.25">
      <c r="A2580">
        <v>2590</v>
      </c>
      <c r="B2580" t="s">
        <v>588</v>
      </c>
      <c r="C2580" s="10" t="s">
        <v>1533</v>
      </c>
      <c r="D2580" t="s">
        <v>45</v>
      </c>
      <c r="E2580">
        <v>117</v>
      </c>
      <c r="F2580" t="s">
        <v>56</v>
      </c>
      <c r="G2580" t="s">
        <v>38</v>
      </c>
      <c r="H2580">
        <v>28</v>
      </c>
      <c r="I2580" s="11">
        <v>117</v>
      </c>
      <c r="J2580" s="12">
        <v>680000</v>
      </c>
      <c r="K2580" s="13">
        <f>$E2580+1</f>
        <v>118</v>
      </c>
      <c r="L2580" s="14">
        <f>IF($J2580=0,0,ROUND(MAX($J2580*1.4,1620000*(1.497923^(MIN($E2580,123)-117)))*1,0))</f>
        <v>1620000</v>
      </c>
      <c r="M2580" s="11">
        <f>$E2580+2</f>
        <v>119</v>
      </c>
      <c r="N2580" s="12">
        <f>IF($J2580=0,0,ROUND(MAX($J2580*1.4*1.5,2190000*(1.580994^(MIN($E2580,123)-117)))*1,0))</f>
        <v>2190000</v>
      </c>
      <c r="O2580" s="13">
        <f>$E2580+4</f>
        <v>121</v>
      </c>
      <c r="P2580" s="14">
        <f>IF($J2580=0,0,ROUND(MAX($J2580*1.4*1.5*1.6,3500000*(1.57975^(MIN($E2580,123)-117)))*1,0))</f>
        <v>3500000</v>
      </c>
      <c r="Q2580" s="11">
        <f>$E2580+6</f>
        <v>123</v>
      </c>
      <c r="R2580" s="12">
        <f>IF($J2580=0,0,ROUND(MAX($J2580*1.4*1.5*1.6*1.6,13100000*(1.429962^(MIN($E2580,123)-117)))*1,0))</f>
        <v>13100000</v>
      </c>
      <c r="S2580" s="13">
        <f>$E2580+8</f>
        <v>125</v>
      </c>
      <c r="T2580" s="14">
        <f>IF($J2580=0,0,ROUND(MAX($J2580*1.4*1.5*1.6*1.6*2.2,42600000*(1.576904^(MIN($E2580,123)-117)))*1,0))</f>
        <v>42600000</v>
      </c>
      <c r="U2580" s="11">
        <f>$E2580+11</f>
        <v>128</v>
      </c>
      <c r="V2580" s="12">
        <f>IF($J2580=0,0,ROUND(MAX($J2580*1.4*1.5*1.6*1.6*2.2*2.715,354000000*(1.642074^(MIN($E2580,123)-117)))*1,0))</f>
        <v>354000000</v>
      </c>
      <c r="W2580" s="13">
        <f>$E2580+15</f>
        <v>132</v>
      </c>
      <c r="X2580" s="14">
        <f>IF($J2580=0,0,ROUND(MAX($J2580*1.4*1.5*1.6*1.6*2.2*2.715*2.6,3540000000*(1.579646^(MIN($E2580,123)-117)))*1,0))</f>
        <v>3540000000</v>
      </c>
      <c r="Y2580" s="11">
        <f>$E2580+17</f>
        <v>134</v>
      </c>
      <c r="Z2580" s="12">
        <f>IF($J2580=0,0,ROUND(MAX($J2580*1.4*1.5*1.6*1.6*2.2*2.715*2.6*1.4,6020000000*(1.651178^(MIN($E2580,123)-117)))*1,0))</f>
        <v>6020000000</v>
      </c>
      <c r="AA2580" s="13">
        <f>$E2580+19</f>
        <v>136</v>
      </c>
      <c r="AB2580" s="14">
        <f>IF($J2580=0,0,ROUND(MAX($J2580*1.4*1.5*1.6*1.6*2.2*2.715*2.6*1.4*1.4,8430000000*(1.651435^(MIN($E2580,123)-117)))*1,0))</f>
        <v>8430000000</v>
      </c>
      <c r="AC2580" s="11">
        <f>$E2580+21</f>
        <v>138</v>
      </c>
      <c r="AD2580" s="12">
        <f>IF($J2580=0,0,ROUND(MAX($J2580*1.4*1.5*1.6*1.6*2.2*2.715*2.6*1.4*1.4*1.5,12600000000*(1.652953^(MIN($E2580,123)-117)))*1,0))</f>
        <v>12600000000</v>
      </c>
      <c r="AE2580" s="13">
        <f>$E2580+24</f>
        <v>141</v>
      </c>
      <c r="AF2580" s="14">
        <f>IF($J2580=0,0,ROUND(MAX($J2580*1.4*1.5*1.6*1.6*2.2*2.715*2.6*1.4*1.4*1.5*1.5,18900000000*(1.65331^(MIN($E2580,123)-117)))*1,0))</f>
        <v>18900000000</v>
      </c>
      <c r="AG2580" s="11">
        <f>$E2580+27</f>
        <v>144</v>
      </c>
      <c r="AH2580" s="12">
        <f>IF($J2580=0,0,ROUND(MAX($J2580*1.4*1.5*1.6*1.6*2.2*2.715*2.6*1.4*1.4*1.5*1.5*3.2,60500000000*(1.654288^(MIN($E2580,123)-117)))*1,0))</f>
        <v>60500000000</v>
      </c>
    </row>
    <row r="2581" ht="28" customHeight="1" spans="1:34" x14ac:dyDescent="0.25">
      <c r="A2581">
        <v>2591</v>
      </c>
      <c r="B2581" t="s">
        <v>836</v>
      </c>
      <c r="C2581" s="10" t="s">
        <v>1533</v>
      </c>
      <c r="D2581" t="s">
        <v>79</v>
      </c>
      <c r="E2581">
        <v>117</v>
      </c>
      <c r="F2581" t="s">
        <v>42</v>
      </c>
      <c r="G2581" t="s">
        <v>133</v>
      </c>
      <c r="H2581">
        <v>28</v>
      </c>
      <c r="I2581" s="11">
        <v>117</v>
      </c>
      <c r="J2581" s="12">
        <v>675000</v>
      </c>
      <c r="K2581" s="13">
        <f>$E2581+1</f>
        <v>118</v>
      </c>
      <c r="L2581" s="14">
        <f>IF($J2581=0,0,ROUND(MAX($J2581*1.4,1620000*(1.497923^(MIN($E2581,123)-117)))*1,0))</f>
        <v>1620000</v>
      </c>
      <c r="M2581" s="11">
        <f>$E2581+2</f>
        <v>119</v>
      </c>
      <c r="N2581" s="12">
        <f>IF($J2581=0,0,ROUND(MAX($J2581*1.4*1.5,2190000*(1.580994^(MIN($E2581,123)-117)))*1,0))</f>
        <v>2190000</v>
      </c>
      <c r="O2581" s="13">
        <f>$E2581+4</f>
        <v>121</v>
      </c>
      <c r="P2581" s="14">
        <f>IF($J2581=0,0,ROUND(MAX($J2581*1.4*1.5*1.6,3500000*(1.57975^(MIN($E2581,123)-117)))*1,0))</f>
        <v>3500000</v>
      </c>
      <c r="Q2581" s="11">
        <f>$E2581+6</f>
        <v>123</v>
      </c>
      <c r="R2581" s="12">
        <f>IF($J2581=0,0,ROUND(MAX($J2581*1.4*1.5*1.6*1.6,13100000*(1.429962^(MIN($E2581,123)-117)))*1,0))</f>
        <v>13100000</v>
      </c>
      <c r="S2581" s="13">
        <f>$E2581+8</f>
        <v>125</v>
      </c>
      <c r="T2581" s="14">
        <f>IF($J2581=0,0,ROUND(MAX($J2581*1.4*1.5*1.6*1.6*2.2,42600000*(1.576904^(MIN($E2581,123)-117)))*1,0))</f>
        <v>42600000</v>
      </c>
      <c r="U2581" s="11">
        <f>$E2581+11</f>
        <v>128</v>
      </c>
      <c r="V2581" s="12">
        <f>IF($J2581=0,0,ROUND(MAX($J2581*1.4*1.5*1.6*1.6*2.2*2.715,354000000*(1.642074^(MIN($E2581,123)-117)))*1,0))</f>
        <v>354000000</v>
      </c>
      <c r="W2581" s="13">
        <f>$E2581+15</f>
        <v>132</v>
      </c>
      <c r="X2581" s="14">
        <f>IF($J2581=0,0,ROUND(MAX($J2581*1.4*1.5*1.6*1.6*2.2*2.715*2.6,3540000000*(1.579646^(MIN($E2581,123)-117)))*1,0))</f>
        <v>3540000000</v>
      </c>
      <c r="Y2581" s="11">
        <f>$E2581+17</f>
        <v>134</v>
      </c>
      <c r="Z2581" s="12">
        <f>IF($J2581=0,0,ROUND(MAX($J2581*1.4*1.5*1.6*1.6*2.2*2.715*2.6*1.4,6020000000*(1.651178^(MIN($E2581,123)-117)))*1,0))</f>
        <v>6020000000</v>
      </c>
      <c r="AA2581" s="13">
        <f>$E2581+19</f>
        <v>136</v>
      </c>
      <c r="AB2581" s="14">
        <f>IF($J2581=0,0,ROUND(MAX($J2581*1.4*1.5*1.6*1.6*2.2*2.715*2.6*1.4*1.4,8430000000*(1.651435^(MIN($E2581,123)-117)))*1,0))</f>
        <v>8430000000</v>
      </c>
      <c r="AC2581" s="11">
        <f>$E2581+21</f>
        <v>138</v>
      </c>
      <c r="AD2581" s="12">
        <f>IF($J2581=0,0,ROUND(MAX($J2581*1.4*1.5*1.6*1.6*2.2*2.715*2.6*1.4*1.4*1.5,12600000000*(1.652953^(MIN($E2581,123)-117)))*1,0))</f>
        <v>12600000000</v>
      </c>
      <c r="AE2581" s="13">
        <f>$E2581+24</f>
        <v>141</v>
      </c>
      <c r="AF2581" s="14">
        <f>IF($J2581=0,0,ROUND(MAX($J2581*1.4*1.5*1.6*1.6*2.2*2.715*2.6*1.4*1.4*1.5*1.5,18900000000*(1.65331^(MIN($E2581,123)-117)))*1,0))</f>
        <v>18900000000</v>
      </c>
      <c r="AG2581" s="11">
        <f>$E2581+27</f>
        <v>144</v>
      </c>
      <c r="AH2581" s="12">
        <f>IF($J2581=0,0,ROUND(MAX($J2581*1.4*1.5*1.6*1.6*2.2*2.715*2.6*1.4*1.4*1.5*1.5*3.2,60500000000*(1.654288^(MIN($E2581,123)-117)))*1,0))</f>
        <v>60500000000</v>
      </c>
    </row>
    <row r="2582" ht="28" customHeight="1" spans="1:34" x14ac:dyDescent="0.25">
      <c r="A2582">
        <v>2592</v>
      </c>
      <c r="B2582" t="s">
        <v>877</v>
      </c>
      <c r="C2582" s="10" t="s">
        <v>1533</v>
      </c>
      <c r="D2582" t="s">
        <v>90</v>
      </c>
      <c r="E2582">
        <v>117</v>
      </c>
      <c r="F2582" t="s">
        <v>42</v>
      </c>
      <c r="G2582" t="s">
        <v>242</v>
      </c>
      <c r="H2582">
        <v>28</v>
      </c>
      <c r="I2582" s="11">
        <v>117</v>
      </c>
      <c r="J2582" s="12">
        <v>632000</v>
      </c>
      <c r="K2582" s="13">
        <f>$E2582+1</f>
        <v>118</v>
      </c>
      <c r="L2582" s="14">
        <f>IF($J2582=0,0,ROUND(MAX($J2582*1.4,1620000*(1.497923^(MIN($E2582,123)-117)))*1,0))</f>
        <v>1620000</v>
      </c>
      <c r="M2582" s="11">
        <f>$E2582+2</f>
        <v>119</v>
      </c>
      <c r="N2582" s="12">
        <f>IF($J2582=0,0,ROUND(MAX($J2582*1.4*1.5,2190000*(1.580994^(MIN($E2582,123)-117)))*1,0))</f>
        <v>2190000</v>
      </c>
      <c r="O2582" s="13">
        <f>$E2582+4</f>
        <v>121</v>
      </c>
      <c r="P2582" s="14">
        <f>IF($J2582=0,0,ROUND(MAX($J2582*1.4*1.5*1.6,3500000*(1.57975^(MIN($E2582,123)-117)))*1,0))</f>
        <v>3500000</v>
      </c>
      <c r="Q2582" s="11">
        <f>$E2582+6</f>
        <v>123</v>
      </c>
      <c r="R2582" s="12">
        <f>IF($J2582=0,0,ROUND(MAX($J2582*1.4*1.5*1.6*1.6,13100000*(1.429962^(MIN($E2582,123)-117)))*1,0))</f>
        <v>13100000</v>
      </c>
      <c r="S2582" s="13">
        <f>$E2582+8</f>
        <v>125</v>
      </c>
      <c r="T2582" s="14">
        <f>IF($J2582=0,0,ROUND(MAX($J2582*1.4*1.5*1.6*1.6*2.2,42600000*(1.576904^(MIN($E2582,123)-117)))*1,0))</f>
        <v>42600000</v>
      </c>
      <c r="U2582" s="11">
        <f>$E2582+11</f>
        <v>128</v>
      </c>
      <c r="V2582" s="12">
        <f>IF($J2582=0,0,ROUND(MAX($J2582*1.4*1.5*1.6*1.6*2.2*2.715,354000000*(1.642074^(MIN($E2582,123)-117)))*1,0))</f>
        <v>354000000</v>
      </c>
      <c r="W2582" s="13">
        <f>$E2582+15</f>
        <v>132</v>
      </c>
      <c r="X2582" s="14">
        <f>IF($J2582=0,0,ROUND(MAX($J2582*1.4*1.5*1.6*1.6*2.2*2.715*2.6,3540000000*(1.579646^(MIN($E2582,123)-117)))*1,0))</f>
        <v>3540000000</v>
      </c>
      <c r="Y2582" s="11">
        <f>$E2582+17</f>
        <v>134</v>
      </c>
      <c r="Z2582" s="12">
        <f>IF($J2582=0,0,ROUND(MAX($J2582*1.4*1.5*1.6*1.6*2.2*2.715*2.6*1.4,6020000000*(1.651178^(MIN($E2582,123)-117)))*1,0))</f>
        <v>6020000000</v>
      </c>
      <c r="AA2582" s="13">
        <f>$E2582+19</f>
        <v>136</v>
      </c>
      <c r="AB2582" s="14">
        <f>IF($J2582=0,0,ROUND(MAX($J2582*1.4*1.5*1.6*1.6*2.2*2.715*2.6*1.4*1.4,8430000000*(1.651435^(MIN($E2582,123)-117)))*1,0))</f>
        <v>8430000000</v>
      </c>
      <c r="AC2582" s="11">
        <f>$E2582+21</f>
        <v>138</v>
      </c>
      <c r="AD2582" s="12">
        <f>IF($J2582=0,0,ROUND(MAX($J2582*1.4*1.5*1.6*1.6*2.2*2.715*2.6*1.4*1.4*1.5,12600000000*(1.652953^(MIN($E2582,123)-117)))*1,0))</f>
        <v>12600000000</v>
      </c>
      <c r="AE2582" s="13">
        <f>$E2582+24</f>
        <v>141</v>
      </c>
      <c r="AF2582" s="14">
        <f>IF($J2582=0,0,ROUND(MAX($J2582*1.4*1.5*1.6*1.6*2.2*2.715*2.6*1.4*1.4*1.5*1.5,18900000000*(1.65331^(MIN($E2582,123)-117)))*1,0))</f>
        <v>18900000000</v>
      </c>
      <c r="AG2582" s="11">
        <f>$E2582+27</f>
        <v>144</v>
      </c>
      <c r="AH2582" s="12">
        <f>IF($J2582=0,0,ROUND(MAX($J2582*1.4*1.5*1.6*1.6*2.2*2.715*2.6*1.4*1.4*1.5*1.5*3.2,60500000000*(1.654288^(MIN($E2582,123)-117)))*1,0))</f>
        <v>60500000000</v>
      </c>
    </row>
    <row r="2583" ht="28" customHeight="1" spans="1:34" x14ac:dyDescent="0.25">
      <c r="A2583">
        <v>2593</v>
      </c>
      <c r="B2583" t="s">
        <v>235</v>
      </c>
      <c r="C2583" s="10" t="s">
        <v>1533</v>
      </c>
      <c r="D2583" t="s">
        <v>33</v>
      </c>
      <c r="E2583">
        <v>117</v>
      </c>
      <c r="F2583" t="s">
        <v>30</v>
      </c>
      <c r="G2583" t="s">
        <v>95</v>
      </c>
      <c r="H2583">
        <v>28</v>
      </c>
      <c r="I2583" s="11">
        <v>117</v>
      </c>
      <c r="J2583" s="12">
        <v>642000</v>
      </c>
      <c r="K2583" s="13">
        <f>$E2583+1</f>
        <v>118</v>
      </c>
      <c r="L2583" s="14">
        <f>IF($J2583=0,0,ROUND(MAX($J2583*1.4,1620000*(1.497923^(MIN($E2583,123)-117)))*1,0))</f>
        <v>1620000</v>
      </c>
      <c r="M2583" s="11">
        <f>$E2583+2</f>
        <v>119</v>
      </c>
      <c r="N2583" s="12">
        <f>IF($J2583=0,0,ROUND(MAX($J2583*1.4*1.5,2190000*(1.580994^(MIN($E2583,123)-117)))*1,0))</f>
        <v>2190000</v>
      </c>
      <c r="O2583" s="13">
        <f>$E2583+4</f>
        <v>121</v>
      </c>
      <c r="P2583" s="14">
        <f>IF($J2583=0,0,ROUND(MAX($J2583*1.4*1.5*1.6,3500000*(1.57975^(MIN($E2583,123)-117)))*1,0))</f>
        <v>3500000</v>
      </c>
      <c r="Q2583" s="11">
        <f>$E2583+6</f>
        <v>123</v>
      </c>
      <c r="R2583" s="12">
        <f>IF($J2583=0,0,ROUND(MAX($J2583*1.4*1.5*1.6*1.6,13100000*(1.429962^(MIN($E2583,123)-117)))*1,0))</f>
        <v>13100000</v>
      </c>
      <c r="S2583" s="13">
        <f>$E2583+8</f>
        <v>125</v>
      </c>
      <c r="T2583" s="14">
        <f>IF($J2583=0,0,ROUND(MAX($J2583*1.4*1.5*1.6*1.6*2.2,42600000*(1.576904^(MIN($E2583,123)-117)))*1,0))</f>
        <v>42600000</v>
      </c>
      <c r="U2583" s="11">
        <f>$E2583+11</f>
        <v>128</v>
      </c>
      <c r="V2583" s="12">
        <f>IF($J2583=0,0,ROUND(MAX($J2583*1.4*1.5*1.6*1.6*2.2*2.715,354000000*(1.642074^(MIN($E2583,123)-117)))*1,0))</f>
        <v>354000000</v>
      </c>
      <c r="W2583" s="13">
        <f>$E2583+15</f>
        <v>132</v>
      </c>
      <c r="X2583" s="14">
        <f>IF($J2583=0,0,ROUND(MAX($J2583*1.4*1.5*1.6*1.6*2.2*2.715*2.6,3540000000*(1.579646^(MIN($E2583,123)-117)))*1,0))</f>
        <v>3540000000</v>
      </c>
      <c r="Y2583" s="11">
        <f>$E2583+17</f>
        <v>134</v>
      </c>
      <c r="Z2583" s="12">
        <f>IF($J2583=0,0,ROUND(MAX($J2583*1.4*1.5*1.6*1.6*2.2*2.715*2.6*1.4,6020000000*(1.651178^(MIN($E2583,123)-117)))*1,0))</f>
        <v>6020000000</v>
      </c>
      <c r="AA2583" s="13">
        <f>$E2583+19</f>
        <v>136</v>
      </c>
      <c r="AB2583" s="14">
        <f>IF($J2583=0,0,ROUND(MAX($J2583*1.4*1.5*1.6*1.6*2.2*2.715*2.6*1.4*1.4,8430000000*(1.651435^(MIN($E2583,123)-117)))*1,0))</f>
        <v>8430000000</v>
      </c>
      <c r="AC2583" s="11">
        <f>$E2583+21</f>
        <v>138</v>
      </c>
      <c r="AD2583" s="12">
        <f>IF($J2583=0,0,ROUND(MAX($J2583*1.4*1.5*1.6*1.6*2.2*2.715*2.6*1.4*1.4*1.5,12600000000*(1.652953^(MIN($E2583,123)-117)))*1,0))</f>
        <v>12600000000</v>
      </c>
      <c r="AE2583" s="13">
        <f>$E2583+24</f>
        <v>141</v>
      </c>
      <c r="AF2583" s="14">
        <f>IF($J2583=0,0,ROUND(MAX($J2583*1.4*1.5*1.6*1.6*2.2*2.715*2.6*1.4*1.4*1.5*1.5,18900000000*(1.65331^(MIN($E2583,123)-117)))*1,0))</f>
        <v>18900000000</v>
      </c>
      <c r="AG2583" s="11">
        <f>$E2583+27</f>
        <v>144</v>
      </c>
      <c r="AH2583" s="12">
        <f>IF($J2583=0,0,ROUND(MAX($J2583*1.4*1.5*1.6*1.6*2.2*2.715*2.6*1.4*1.4*1.5*1.5*3.2,60500000000*(1.654288^(MIN($E2583,123)-117)))*1,0))</f>
        <v>60500000000</v>
      </c>
    </row>
    <row r="2584" ht="28" customHeight="1" spans="1:34" x14ac:dyDescent="0.25">
      <c r="A2584">
        <v>2594</v>
      </c>
      <c r="B2584" t="s">
        <v>1548</v>
      </c>
      <c r="C2584" s="10" t="s">
        <v>1533</v>
      </c>
      <c r="D2584" t="s">
        <v>40</v>
      </c>
      <c r="E2584">
        <v>117</v>
      </c>
      <c r="F2584" t="s">
        <v>298</v>
      </c>
      <c r="G2584" t="s">
        <v>381</v>
      </c>
      <c r="H2584">
        <v>28</v>
      </c>
      <c r="I2584" s="11">
        <v>117</v>
      </c>
      <c r="J2584" s="12">
        <v>650000</v>
      </c>
      <c r="K2584" s="13">
        <f>$E2584+1</f>
        <v>118</v>
      </c>
      <c r="L2584" s="14">
        <f>IF($J2584=0,0,ROUND(MAX($J2584*1.4,1620000*(1.497923^(MIN($E2584,123)-117)))*1,0))</f>
        <v>1620000</v>
      </c>
      <c r="M2584" s="11">
        <f>$E2584+2</f>
        <v>119</v>
      </c>
      <c r="N2584" s="12">
        <f>IF($J2584=0,0,ROUND(MAX($J2584*1.4*1.5,2190000*(1.580994^(MIN($E2584,123)-117)))*1,0))</f>
        <v>2190000</v>
      </c>
      <c r="O2584" s="13">
        <f>$E2584+4</f>
        <v>121</v>
      </c>
      <c r="P2584" s="14">
        <f>IF($J2584=0,0,ROUND(MAX($J2584*1.4*1.5*1.6,3500000*(1.57975^(MIN($E2584,123)-117)))*1,0))</f>
        <v>3500000</v>
      </c>
      <c r="Q2584" s="11">
        <f>$E2584+6</f>
        <v>123</v>
      </c>
      <c r="R2584" s="12">
        <f>IF($J2584=0,0,ROUND(MAX($J2584*1.4*1.5*1.6*1.6,13100000*(1.429962^(MIN($E2584,123)-117)))*1,0))</f>
        <v>13100000</v>
      </c>
      <c r="S2584" s="13">
        <f>$E2584+8</f>
        <v>125</v>
      </c>
      <c r="T2584" s="14">
        <f>IF($J2584=0,0,ROUND(MAX($J2584*1.4*1.5*1.6*1.6*2.2,42600000*(1.576904^(MIN($E2584,123)-117)))*1,0))</f>
        <v>42600000</v>
      </c>
      <c r="U2584" s="11">
        <f>$E2584+11</f>
        <v>128</v>
      </c>
      <c r="V2584" s="12">
        <f>IF($J2584=0,0,ROUND(MAX($J2584*1.4*1.5*1.6*1.6*2.2*2.715,354000000*(1.642074^(MIN($E2584,123)-117)))*1,0))</f>
        <v>354000000</v>
      </c>
      <c r="W2584" s="13">
        <f>$E2584+15</f>
        <v>132</v>
      </c>
      <c r="X2584" s="14">
        <f>IF($J2584=0,0,ROUND(MAX($J2584*1.4*1.5*1.6*1.6*2.2*2.715*2.6,3540000000*(1.579646^(MIN($E2584,123)-117)))*1,0))</f>
        <v>3540000000</v>
      </c>
      <c r="Y2584" s="11">
        <f>$E2584+17</f>
        <v>134</v>
      </c>
      <c r="Z2584" s="12">
        <f>IF($J2584=0,0,ROUND(MAX($J2584*1.4*1.5*1.6*1.6*2.2*2.715*2.6*1.4,6020000000*(1.651178^(MIN($E2584,123)-117)))*1,0))</f>
        <v>6020000000</v>
      </c>
      <c r="AA2584" s="13">
        <f>$E2584+19</f>
        <v>136</v>
      </c>
      <c r="AB2584" s="14">
        <f>IF($J2584=0,0,ROUND(MAX($J2584*1.4*1.5*1.6*1.6*2.2*2.715*2.6*1.4*1.4,8430000000*(1.651435^(MIN($E2584,123)-117)))*1,0))</f>
        <v>8430000000</v>
      </c>
      <c r="AC2584" s="11">
        <f>$E2584+21</f>
        <v>138</v>
      </c>
      <c r="AD2584" s="12">
        <f>IF($J2584=0,0,ROUND(MAX($J2584*1.4*1.5*1.6*1.6*2.2*2.715*2.6*1.4*1.4*1.5,12600000000*(1.652953^(MIN($E2584,123)-117)))*1,0))</f>
        <v>12600000000</v>
      </c>
      <c r="AE2584" s="13">
        <f>$E2584+24</f>
        <v>141</v>
      </c>
      <c r="AF2584" s="14">
        <f>IF($J2584=0,0,ROUND(MAX($J2584*1.4*1.5*1.6*1.6*2.2*2.715*2.6*1.4*1.4*1.5*1.5,18900000000*(1.65331^(MIN($E2584,123)-117)))*1,0))</f>
        <v>18900000000</v>
      </c>
      <c r="AG2584" s="11">
        <f>$E2584+27</f>
        <v>144</v>
      </c>
      <c r="AH2584" s="12">
        <f>IF($J2584=0,0,ROUND(MAX($J2584*1.4*1.5*1.6*1.6*2.2*2.715*2.6*1.4*1.4*1.5*1.5*3.2,60500000000*(1.654288^(MIN($E2584,123)-117)))*1,0))</f>
        <v>60500000000</v>
      </c>
    </row>
    <row r="2585" ht="28" customHeight="1" spans="1:34" x14ac:dyDescent="0.25">
      <c r="A2585">
        <v>2595</v>
      </c>
      <c r="B2585" t="s">
        <v>1549</v>
      </c>
      <c r="C2585" s="10" t="s">
        <v>1533</v>
      </c>
      <c r="D2585" t="s">
        <v>25</v>
      </c>
      <c r="E2585">
        <v>117</v>
      </c>
      <c r="F2585" t="s">
        <v>310</v>
      </c>
      <c r="G2585" t="s">
        <v>1550</v>
      </c>
      <c r="H2585">
        <v>28</v>
      </c>
      <c r="I2585" s="11">
        <v>117</v>
      </c>
      <c r="J2585" s="12">
        <v>640000</v>
      </c>
      <c r="K2585" s="13">
        <f>$E2585+1</f>
        <v>118</v>
      </c>
      <c r="L2585" s="14">
        <f>IF($J2585=0,0,ROUND(MAX($J2585*1.4,1620000*(1.497923^(MIN($E2585,123)-117)))*1,0))</f>
        <v>1620000</v>
      </c>
      <c r="M2585" s="11">
        <f>$E2585+2</f>
        <v>119</v>
      </c>
      <c r="N2585" s="12">
        <f>IF($J2585=0,0,ROUND(MAX($J2585*1.4*1.5,2190000*(1.580994^(MIN($E2585,123)-117)))*1,0))</f>
        <v>2190000</v>
      </c>
      <c r="O2585" s="13">
        <f>$E2585+4</f>
        <v>121</v>
      </c>
      <c r="P2585" s="14">
        <f>IF($J2585=0,0,ROUND(MAX($J2585*1.4*1.5*1.6,3500000*(1.57975^(MIN($E2585,123)-117)))*1,0))</f>
        <v>3500000</v>
      </c>
      <c r="Q2585" s="11">
        <f>$E2585+6</f>
        <v>123</v>
      </c>
      <c r="R2585" s="12">
        <f>IF($J2585=0,0,ROUND(MAX($J2585*1.4*1.5*1.6*1.6,13100000*(1.429962^(MIN($E2585,123)-117)))*1,0))</f>
        <v>13100000</v>
      </c>
      <c r="S2585" s="13">
        <f>$E2585+8</f>
        <v>125</v>
      </c>
      <c r="T2585" s="14">
        <f>IF($J2585=0,0,ROUND(MAX($J2585*1.4*1.5*1.6*1.6*2.2,42600000*(1.576904^(MIN($E2585,123)-117)))*1,0))</f>
        <v>42600000</v>
      </c>
      <c r="U2585" s="11">
        <f>$E2585+11</f>
        <v>128</v>
      </c>
      <c r="V2585" s="12">
        <f>IF($J2585=0,0,ROUND(MAX($J2585*1.4*1.5*1.6*1.6*2.2*2.715,354000000*(1.642074^(MIN($E2585,123)-117)))*1,0))</f>
        <v>354000000</v>
      </c>
      <c r="W2585" s="13">
        <f>$E2585+15</f>
        <v>132</v>
      </c>
      <c r="X2585" s="14">
        <f>IF($J2585=0,0,ROUND(MAX($J2585*1.4*1.5*1.6*1.6*2.2*2.715*2.6,3540000000*(1.579646^(MIN($E2585,123)-117)))*1,0))</f>
        <v>3540000000</v>
      </c>
      <c r="Y2585" s="11">
        <f>$E2585+17</f>
        <v>134</v>
      </c>
      <c r="Z2585" s="12">
        <f>IF($J2585=0,0,ROUND(MAX($J2585*1.4*1.5*1.6*1.6*2.2*2.715*2.6*1.4,6020000000*(1.651178^(MIN($E2585,123)-117)))*1,0))</f>
        <v>6020000000</v>
      </c>
      <c r="AA2585" s="13">
        <f>$E2585+19</f>
        <v>136</v>
      </c>
      <c r="AB2585" s="14">
        <f>IF($J2585=0,0,ROUND(MAX($J2585*1.4*1.5*1.6*1.6*2.2*2.715*2.6*1.4*1.4,8430000000*(1.651435^(MIN($E2585,123)-117)))*1,0))</f>
        <v>8430000000</v>
      </c>
      <c r="AC2585" s="11">
        <f>$E2585+21</f>
        <v>138</v>
      </c>
      <c r="AD2585" s="12">
        <f>IF($J2585=0,0,ROUND(MAX($J2585*1.4*1.5*1.6*1.6*2.2*2.715*2.6*1.4*1.4*1.5,12600000000*(1.652953^(MIN($E2585,123)-117)))*1,0))</f>
        <v>12600000000</v>
      </c>
      <c r="AE2585" s="13">
        <f>$E2585+24</f>
        <v>141</v>
      </c>
      <c r="AF2585" s="14">
        <f>IF($J2585=0,0,ROUND(MAX($J2585*1.4*1.5*1.6*1.6*2.2*2.715*2.6*1.4*1.4*1.5*1.5,18900000000*(1.65331^(MIN($E2585,123)-117)))*1,0))</f>
        <v>18900000000</v>
      </c>
      <c r="AG2585" s="11">
        <f>$E2585+27</f>
        <v>144</v>
      </c>
      <c r="AH2585" s="12">
        <f>IF($J2585=0,0,ROUND(MAX($J2585*1.4*1.5*1.6*1.6*2.2*2.715*2.6*1.4*1.4*1.5*1.5*3.2,60500000000*(1.654288^(MIN($E2585,123)-117)))*1,0))</f>
        <v>60500000000</v>
      </c>
    </row>
    <row r="2586" ht="28" customHeight="1" spans="1:34" x14ac:dyDescent="0.25">
      <c r="A2586">
        <v>2596</v>
      </c>
      <c r="B2586" t="s">
        <v>299</v>
      </c>
      <c r="C2586" s="10" t="s">
        <v>1533</v>
      </c>
      <c r="D2586" t="s">
        <v>102</v>
      </c>
      <c r="E2586">
        <v>117</v>
      </c>
      <c r="F2586" t="s">
        <v>298</v>
      </c>
      <c r="G2586" t="s">
        <v>300</v>
      </c>
      <c r="H2586">
        <v>28</v>
      </c>
      <c r="I2586" s="11">
        <v>117</v>
      </c>
      <c r="J2586" s="12">
        <v>637000</v>
      </c>
      <c r="K2586" s="13">
        <f>$E2586+1</f>
        <v>118</v>
      </c>
      <c r="L2586" s="14">
        <f>IF($J2586=0,0,ROUND(MAX($J2586*1.4,1620000*(1.497923^(MIN($E2586,123)-117)))*1,0))</f>
        <v>1620000</v>
      </c>
      <c r="M2586" s="11">
        <f>$E2586+2</f>
        <v>119</v>
      </c>
      <c r="N2586" s="12">
        <f>IF($J2586=0,0,ROUND(MAX($J2586*1.4*1.5,2190000*(1.580994^(MIN($E2586,123)-117)))*1,0))</f>
        <v>2190000</v>
      </c>
      <c r="O2586" s="13">
        <f>$E2586+4</f>
        <v>121</v>
      </c>
      <c r="P2586" s="14">
        <f>IF($J2586=0,0,ROUND(MAX($J2586*1.4*1.5*1.6,3500000*(1.57975^(MIN($E2586,123)-117)))*1,0))</f>
        <v>3500000</v>
      </c>
      <c r="Q2586" s="11">
        <f>$E2586+6</f>
        <v>123</v>
      </c>
      <c r="R2586" s="12">
        <f>IF($J2586=0,0,ROUND(MAX($J2586*1.4*1.5*1.6*1.6,13100000*(1.429962^(MIN($E2586,123)-117)))*1,0))</f>
        <v>13100000</v>
      </c>
      <c r="S2586" s="13">
        <f>$E2586+8</f>
        <v>125</v>
      </c>
      <c r="T2586" s="14">
        <f>IF($J2586=0,0,ROUND(MAX($J2586*1.4*1.5*1.6*1.6*2.2,42600000*(1.576904^(MIN($E2586,123)-117)))*1,0))</f>
        <v>42600000</v>
      </c>
      <c r="U2586" s="11">
        <f>$E2586+11</f>
        <v>128</v>
      </c>
      <c r="V2586" s="12">
        <f>IF($J2586=0,0,ROUND(MAX($J2586*1.4*1.5*1.6*1.6*2.2*2.715,354000000*(1.642074^(MIN($E2586,123)-117)))*1,0))</f>
        <v>354000000</v>
      </c>
      <c r="W2586" s="13">
        <f>$E2586+15</f>
        <v>132</v>
      </c>
      <c r="X2586" s="14">
        <f>IF($J2586=0,0,ROUND(MAX($J2586*1.4*1.5*1.6*1.6*2.2*2.715*2.6,3540000000*(1.579646^(MIN($E2586,123)-117)))*1,0))</f>
        <v>3540000000</v>
      </c>
      <c r="Y2586" s="11">
        <f>$E2586+17</f>
        <v>134</v>
      </c>
      <c r="Z2586" s="12">
        <f>IF($J2586=0,0,ROUND(MAX($J2586*1.4*1.5*1.6*1.6*2.2*2.715*2.6*1.4,6020000000*(1.651178^(MIN($E2586,123)-117)))*1,0))</f>
        <v>6020000000</v>
      </c>
      <c r="AA2586" s="13">
        <f>$E2586+19</f>
        <v>136</v>
      </c>
      <c r="AB2586" s="14">
        <f>IF($J2586=0,0,ROUND(MAX($J2586*1.4*1.5*1.6*1.6*2.2*2.715*2.6*1.4*1.4,8430000000*(1.651435^(MIN($E2586,123)-117)))*1,0))</f>
        <v>8430000000</v>
      </c>
      <c r="AC2586" s="11">
        <f>$E2586+21</f>
        <v>138</v>
      </c>
      <c r="AD2586" s="12">
        <f>IF($J2586=0,0,ROUND(MAX($J2586*1.4*1.5*1.6*1.6*2.2*2.715*2.6*1.4*1.4*1.5,12600000000*(1.652953^(MIN($E2586,123)-117)))*1,0))</f>
        <v>12600000000</v>
      </c>
      <c r="AE2586" s="13">
        <f>$E2586+24</f>
        <v>141</v>
      </c>
      <c r="AF2586" s="14">
        <f>IF($J2586=0,0,ROUND(MAX($J2586*1.4*1.5*1.6*1.6*2.2*2.715*2.6*1.4*1.4*1.5*1.5,18900000000*(1.65331^(MIN($E2586,123)-117)))*1,0))</f>
        <v>18900000000</v>
      </c>
      <c r="AG2586" s="11">
        <f>$E2586+27</f>
        <v>144</v>
      </c>
      <c r="AH2586" s="12">
        <f>IF($J2586=0,0,ROUND(MAX($J2586*1.4*1.5*1.6*1.6*2.2*2.715*2.6*1.4*1.4*1.5*1.5*3.2,60500000000*(1.654288^(MIN($E2586,123)-117)))*1,0))</f>
        <v>60500000000</v>
      </c>
    </row>
    <row r="2587" ht="28" customHeight="1" spans="1:34" x14ac:dyDescent="0.25">
      <c r="A2587">
        <v>2597</v>
      </c>
      <c r="B2587" t="s">
        <v>384</v>
      </c>
      <c r="C2587" s="10" t="s">
        <v>1533</v>
      </c>
      <c r="D2587" t="s">
        <v>33</v>
      </c>
      <c r="E2587">
        <v>117</v>
      </c>
      <c r="F2587" t="s">
        <v>385</v>
      </c>
      <c r="G2587" t="s">
        <v>218</v>
      </c>
      <c r="H2587">
        <v>27</v>
      </c>
      <c r="I2587" s="11">
        <v>117</v>
      </c>
      <c r="J2587" s="12">
        <v>668000</v>
      </c>
      <c r="K2587" s="13">
        <f>$E2587+1</f>
        <v>118</v>
      </c>
      <c r="L2587" s="14">
        <f>IF($J2587=0,0,ROUND(MAX($J2587*1.4,1620000*(1.497923^(MIN($E2587,123)-117)))*1,0))</f>
        <v>1620000</v>
      </c>
      <c r="M2587" s="11">
        <f>$E2587+2</f>
        <v>119</v>
      </c>
      <c r="N2587" s="12">
        <f>IF($J2587=0,0,ROUND(MAX($J2587*1.4*1.5,2190000*(1.580994^(MIN($E2587,123)-117)))*1,0))</f>
        <v>2190000</v>
      </c>
      <c r="O2587" s="13">
        <f>$E2587+4</f>
        <v>121</v>
      </c>
      <c r="P2587" s="14">
        <f>IF($J2587=0,0,ROUND(MAX($J2587*1.4*1.5*1.6,3500000*(1.57975^(MIN($E2587,123)-117)))*1,0))</f>
        <v>3500000</v>
      </c>
      <c r="Q2587" s="11">
        <f>$E2587+6</f>
        <v>123</v>
      </c>
      <c r="R2587" s="12">
        <f>IF($J2587=0,0,ROUND(MAX($J2587*1.4*1.5*1.6*1.6,13100000*(1.429962^(MIN($E2587,123)-117)))*1,0))</f>
        <v>13100000</v>
      </c>
      <c r="S2587" s="13">
        <f>$E2587+8</f>
        <v>125</v>
      </c>
      <c r="T2587" s="14">
        <f>IF($J2587=0,0,ROUND(MAX($J2587*1.4*1.5*1.6*1.6*2.2,42600000*(1.576904^(MIN($E2587,123)-117)))*1,0))</f>
        <v>42600000</v>
      </c>
      <c r="U2587" s="11">
        <f>$E2587+11</f>
        <v>128</v>
      </c>
      <c r="V2587" s="12">
        <f>IF($J2587=0,0,ROUND(MAX($J2587*1.4*1.5*1.6*1.6*2.2*2.715,354000000*(1.642074^(MIN($E2587,123)-117)))*1,0))</f>
        <v>354000000</v>
      </c>
      <c r="W2587" s="13">
        <f>$E2587+15</f>
        <v>132</v>
      </c>
      <c r="X2587" s="14">
        <f>IF($J2587=0,0,ROUND(MAX($J2587*1.4*1.5*1.6*1.6*2.2*2.715*2.6,3540000000*(1.579646^(MIN($E2587,123)-117)))*1,0))</f>
        <v>3540000000</v>
      </c>
      <c r="Y2587" s="11">
        <f>$E2587+17</f>
        <v>134</v>
      </c>
      <c r="Z2587" s="12">
        <f>IF($J2587=0,0,ROUND(MAX($J2587*1.4*1.5*1.6*1.6*2.2*2.715*2.6*1.4,6020000000*(1.651178^(MIN($E2587,123)-117)))*1,0))</f>
        <v>6020000000</v>
      </c>
      <c r="AA2587" s="13">
        <f>$E2587+19</f>
        <v>136</v>
      </c>
      <c r="AB2587" s="14">
        <f>IF($J2587=0,0,ROUND(MAX($J2587*1.4*1.5*1.6*1.6*2.2*2.715*2.6*1.4*1.4,8430000000*(1.651435^(MIN($E2587,123)-117)))*1,0))</f>
        <v>8430000000</v>
      </c>
      <c r="AC2587" s="11">
        <f>$E2587+21</f>
        <v>138</v>
      </c>
      <c r="AD2587" s="12">
        <f>IF($J2587=0,0,ROUND(MAX($J2587*1.4*1.5*1.6*1.6*2.2*2.715*2.6*1.4*1.4*1.5,12600000000*(1.652953^(MIN($E2587,123)-117)))*1,0))</f>
        <v>12600000000</v>
      </c>
      <c r="AE2587" s="13">
        <f>$E2587+24</f>
        <v>141</v>
      </c>
      <c r="AF2587" s="14">
        <f>IF($J2587=0,0,ROUND(MAX($J2587*1.4*1.5*1.6*1.6*2.2*2.715*2.6*1.4*1.4*1.5*1.5,18900000000*(1.65331^(MIN($E2587,123)-117)))*1,0))</f>
        <v>18900000000</v>
      </c>
      <c r="AG2587" s="11">
        <f>$E2587+27</f>
        <v>144</v>
      </c>
      <c r="AH2587" s="12">
        <f>IF($J2587=0,0,ROUND(MAX($J2587*1.4*1.5*1.6*1.6*2.2*2.715*2.6*1.4*1.4*1.5*1.5*3.2,60500000000*(1.654288^(MIN($E2587,123)-117)))*1,0))</f>
        <v>60500000000</v>
      </c>
    </row>
    <row r="2588" ht="28" customHeight="1" spans="1:34" x14ac:dyDescent="0.25">
      <c r="A2588">
        <v>2598</v>
      </c>
      <c r="B2588" t="s">
        <v>1551</v>
      </c>
      <c r="C2588" s="10" t="s">
        <v>1533</v>
      </c>
      <c r="D2588" t="s">
        <v>45</v>
      </c>
      <c r="E2588">
        <v>117</v>
      </c>
      <c r="F2588" t="s">
        <v>56</v>
      </c>
      <c r="G2588" t="s">
        <v>801</v>
      </c>
      <c r="H2588">
        <v>27</v>
      </c>
      <c r="I2588" s="11">
        <v>117</v>
      </c>
      <c r="J2588" s="12">
        <v>643000</v>
      </c>
      <c r="K2588" s="13">
        <f>$E2588+1</f>
        <v>118</v>
      </c>
      <c r="L2588" s="14">
        <f>IF($J2588=0,0,ROUND(MAX($J2588*1.4,1620000*(1.497923^(MIN($E2588,123)-117)))*1,0))</f>
        <v>1620000</v>
      </c>
      <c r="M2588" s="11">
        <f>$E2588+2</f>
        <v>119</v>
      </c>
      <c r="N2588" s="12">
        <f>IF($J2588=0,0,ROUND(MAX($J2588*1.4*1.5,2190000*(1.580994^(MIN($E2588,123)-117)))*1,0))</f>
        <v>2190000</v>
      </c>
      <c r="O2588" s="13">
        <f>$E2588+4</f>
        <v>121</v>
      </c>
      <c r="P2588" s="14">
        <f>IF($J2588=0,0,ROUND(MAX($J2588*1.4*1.5*1.6,3500000*(1.57975^(MIN($E2588,123)-117)))*1,0))</f>
        <v>3500000</v>
      </c>
      <c r="Q2588" s="11">
        <f>$E2588+6</f>
        <v>123</v>
      </c>
      <c r="R2588" s="12">
        <f>IF($J2588=0,0,ROUND(MAX($J2588*1.4*1.5*1.6*1.6,13100000*(1.429962^(MIN($E2588,123)-117)))*1,0))</f>
        <v>13100000</v>
      </c>
      <c r="S2588" s="13">
        <f>$E2588+8</f>
        <v>125</v>
      </c>
      <c r="T2588" s="14">
        <f>IF($J2588=0,0,ROUND(MAX($J2588*1.4*1.5*1.6*1.6*2.2,42600000*(1.576904^(MIN($E2588,123)-117)))*1,0))</f>
        <v>42600000</v>
      </c>
      <c r="U2588" s="11">
        <f>$E2588+11</f>
        <v>128</v>
      </c>
      <c r="V2588" s="12">
        <f>IF($J2588=0,0,ROUND(MAX($J2588*1.4*1.5*1.6*1.6*2.2*2.715,354000000*(1.642074^(MIN($E2588,123)-117)))*1,0))</f>
        <v>354000000</v>
      </c>
      <c r="W2588" s="13">
        <f>$E2588+15</f>
        <v>132</v>
      </c>
      <c r="X2588" s="14">
        <f>IF($J2588=0,0,ROUND(MAX($J2588*1.4*1.5*1.6*1.6*2.2*2.715*2.6,3540000000*(1.579646^(MIN($E2588,123)-117)))*1,0))</f>
        <v>3540000000</v>
      </c>
      <c r="Y2588" s="11">
        <f>$E2588+17</f>
        <v>134</v>
      </c>
      <c r="Z2588" s="12">
        <f>IF($J2588=0,0,ROUND(MAX($J2588*1.4*1.5*1.6*1.6*2.2*2.715*2.6*1.4,6020000000*(1.651178^(MIN($E2588,123)-117)))*1,0))</f>
        <v>6020000000</v>
      </c>
      <c r="AA2588" s="13">
        <f>$E2588+19</f>
        <v>136</v>
      </c>
      <c r="AB2588" s="14">
        <f>IF($J2588=0,0,ROUND(MAX($J2588*1.4*1.5*1.6*1.6*2.2*2.715*2.6*1.4*1.4,8430000000*(1.651435^(MIN($E2588,123)-117)))*1,0))</f>
        <v>8430000000</v>
      </c>
      <c r="AC2588" s="11">
        <f>$E2588+21</f>
        <v>138</v>
      </c>
      <c r="AD2588" s="12">
        <f>IF($J2588=0,0,ROUND(MAX($J2588*1.4*1.5*1.6*1.6*2.2*2.715*2.6*1.4*1.4*1.5,12600000000*(1.652953^(MIN($E2588,123)-117)))*1,0))</f>
        <v>12600000000</v>
      </c>
      <c r="AE2588" s="13">
        <f>$E2588+24</f>
        <v>141</v>
      </c>
      <c r="AF2588" s="14">
        <f>IF($J2588=0,0,ROUND(MAX($J2588*1.4*1.5*1.6*1.6*2.2*2.715*2.6*1.4*1.4*1.5*1.5,18900000000*(1.65331^(MIN($E2588,123)-117)))*1,0))</f>
        <v>18900000000</v>
      </c>
      <c r="AG2588" s="11">
        <f>$E2588+27</f>
        <v>144</v>
      </c>
      <c r="AH2588" s="12">
        <f>IF($J2588=0,0,ROUND(MAX($J2588*1.4*1.5*1.6*1.6*2.2*2.715*2.6*1.4*1.4*1.5*1.5*3.2,60500000000*(1.654288^(MIN($E2588,123)-117)))*1,0))</f>
        <v>60500000000</v>
      </c>
    </row>
    <row r="2589" ht="28" customHeight="1" spans="1:34" x14ac:dyDescent="0.25">
      <c r="A2589">
        <v>2599</v>
      </c>
      <c r="B2589" t="s">
        <v>278</v>
      </c>
      <c r="C2589" s="10" t="s">
        <v>1533</v>
      </c>
      <c r="D2589" t="s">
        <v>75</v>
      </c>
      <c r="E2589">
        <v>117</v>
      </c>
      <c r="F2589" t="s">
        <v>59</v>
      </c>
      <c r="G2589" t="s">
        <v>218</v>
      </c>
      <c r="H2589">
        <v>27</v>
      </c>
      <c r="I2589" s="11">
        <v>117</v>
      </c>
      <c r="J2589" s="12">
        <v>628000</v>
      </c>
      <c r="K2589" s="13">
        <f>$E2589+1</f>
        <v>118</v>
      </c>
      <c r="L2589" s="14">
        <f>IF($J2589=0,0,ROUND(MAX($J2589*1.4,1620000*(1.497923^(MIN($E2589,123)-117)))*1,0))</f>
        <v>1620000</v>
      </c>
      <c r="M2589" s="11">
        <f>$E2589+2</f>
        <v>119</v>
      </c>
      <c r="N2589" s="12">
        <f>IF($J2589=0,0,ROUND(MAX($J2589*1.4*1.5,2190000*(1.580994^(MIN($E2589,123)-117)))*1,0))</f>
        <v>2190000</v>
      </c>
      <c r="O2589" s="13">
        <f>$E2589+4</f>
        <v>121</v>
      </c>
      <c r="P2589" s="14">
        <f>IF($J2589=0,0,ROUND(MAX($J2589*1.4*1.5*1.6,3500000*(1.57975^(MIN($E2589,123)-117)))*1,0))</f>
        <v>3500000</v>
      </c>
      <c r="Q2589" s="11">
        <f>$E2589+6</f>
        <v>123</v>
      </c>
      <c r="R2589" s="12">
        <f>IF($J2589=0,0,ROUND(MAX($J2589*1.4*1.5*1.6*1.6,13100000*(1.429962^(MIN($E2589,123)-117)))*1,0))</f>
        <v>13100000</v>
      </c>
      <c r="S2589" s="13">
        <f>$E2589+8</f>
        <v>125</v>
      </c>
      <c r="T2589" s="14">
        <f>IF($J2589=0,0,ROUND(MAX($J2589*1.4*1.5*1.6*1.6*2.2,42600000*(1.576904^(MIN($E2589,123)-117)))*1,0))</f>
        <v>42600000</v>
      </c>
      <c r="U2589" s="11">
        <f>$E2589+11</f>
        <v>128</v>
      </c>
      <c r="V2589" s="12">
        <f>IF($J2589=0,0,ROUND(MAX($J2589*1.4*1.5*1.6*1.6*2.2*2.715,354000000*(1.642074^(MIN($E2589,123)-117)))*1,0))</f>
        <v>354000000</v>
      </c>
      <c r="W2589" s="13">
        <f>$E2589+15</f>
        <v>132</v>
      </c>
      <c r="X2589" s="14">
        <f>IF($J2589=0,0,ROUND(MAX($J2589*1.4*1.5*1.6*1.6*2.2*2.715*2.6,3540000000*(1.579646^(MIN($E2589,123)-117)))*1,0))</f>
        <v>3540000000</v>
      </c>
      <c r="Y2589" s="11">
        <f>$E2589+17</f>
        <v>134</v>
      </c>
      <c r="Z2589" s="12">
        <f>IF($J2589=0,0,ROUND(MAX($J2589*1.4*1.5*1.6*1.6*2.2*2.715*2.6*1.4,6020000000*(1.651178^(MIN($E2589,123)-117)))*1,0))</f>
        <v>6020000000</v>
      </c>
      <c r="AA2589" s="13">
        <f>$E2589+19</f>
        <v>136</v>
      </c>
      <c r="AB2589" s="14">
        <f>IF($J2589=0,0,ROUND(MAX($J2589*1.4*1.5*1.6*1.6*2.2*2.715*2.6*1.4*1.4,8430000000*(1.651435^(MIN($E2589,123)-117)))*1,0))</f>
        <v>8430000000</v>
      </c>
      <c r="AC2589" s="11">
        <f>$E2589+21</f>
        <v>138</v>
      </c>
      <c r="AD2589" s="12">
        <f>IF($J2589=0,0,ROUND(MAX($J2589*1.4*1.5*1.6*1.6*2.2*2.715*2.6*1.4*1.4*1.5,12600000000*(1.652953^(MIN($E2589,123)-117)))*1,0))</f>
        <v>12600000000</v>
      </c>
      <c r="AE2589" s="13">
        <f>$E2589+24</f>
        <v>141</v>
      </c>
      <c r="AF2589" s="14">
        <f>IF($J2589=0,0,ROUND(MAX($J2589*1.4*1.5*1.6*1.6*2.2*2.715*2.6*1.4*1.4*1.5*1.5,18900000000*(1.65331^(MIN($E2589,123)-117)))*1,0))</f>
        <v>18900000000</v>
      </c>
      <c r="AG2589" s="11">
        <f>$E2589+27</f>
        <v>144</v>
      </c>
      <c r="AH2589" s="12">
        <f>IF($J2589=0,0,ROUND(MAX($J2589*1.4*1.5*1.6*1.6*2.2*2.715*2.6*1.4*1.4*1.5*1.5*3.2,60500000000*(1.654288^(MIN($E2589,123)-117)))*1,0))</f>
        <v>60500000000</v>
      </c>
    </row>
    <row r="2590" ht="28" customHeight="1" spans="1:34" x14ac:dyDescent="0.25">
      <c r="A2590">
        <v>2600</v>
      </c>
      <c r="B2590" t="s">
        <v>1552</v>
      </c>
      <c r="C2590" s="10" t="s">
        <v>1533</v>
      </c>
      <c r="D2590" t="s">
        <v>75</v>
      </c>
      <c r="E2590">
        <v>117</v>
      </c>
      <c r="F2590" t="s">
        <v>310</v>
      </c>
      <c r="G2590" t="s">
        <v>402</v>
      </c>
      <c r="H2590">
        <v>27</v>
      </c>
      <c r="I2590" s="11">
        <v>117</v>
      </c>
      <c r="J2590" s="12">
        <v>671000</v>
      </c>
      <c r="K2590" s="13">
        <f>$E2590+1</f>
        <v>118</v>
      </c>
      <c r="L2590" s="14">
        <f>IF($J2590=0,0,ROUND(MAX($J2590*1.4,1620000*(1.497923^(MIN($E2590,123)-117)))*1,0))</f>
        <v>1620000</v>
      </c>
      <c r="M2590" s="11">
        <f>$E2590+2</f>
        <v>119</v>
      </c>
      <c r="N2590" s="12">
        <f>IF($J2590=0,0,ROUND(MAX($J2590*1.4*1.5,2190000*(1.580994^(MIN($E2590,123)-117)))*1,0))</f>
        <v>2190000</v>
      </c>
      <c r="O2590" s="13">
        <f>$E2590+4</f>
        <v>121</v>
      </c>
      <c r="P2590" s="14">
        <f>IF($J2590=0,0,ROUND(MAX($J2590*1.4*1.5*1.6,3500000*(1.57975^(MIN($E2590,123)-117)))*1,0))</f>
        <v>3500000</v>
      </c>
      <c r="Q2590" s="11">
        <f>$E2590+6</f>
        <v>123</v>
      </c>
      <c r="R2590" s="12">
        <f>IF($J2590=0,0,ROUND(MAX($J2590*1.4*1.5*1.6*1.6,13100000*(1.429962^(MIN($E2590,123)-117)))*1,0))</f>
        <v>13100000</v>
      </c>
      <c r="S2590" s="13">
        <f>$E2590+8</f>
        <v>125</v>
      </c>
      <c r="T2590" s="14">
        <f>IF($J2590=0,0,ROUND(MAX($J2590*1.4*1.5*1.6*1.6*2.2,42600000*(1.576904^(MIN($E2590,123)-117)))*1,0))</f>
        <v>42600000</v>
      </c>
      <c r="U2590" s="11">
        <f>$E2590+11</f>
        <v>128</v>
      </c>
      <c r="V2590" s="12">
        <f>IF($J2590=0,0,ROUND(MAX($J2590*1.4*1.5*1.6*1.6*2.2*2.715,354000000*(1.642074^(MIN($E2590,123)-117)))*1,0))</f>
        <v>354000000</v>
      </c>
      <c r="W2590" s="13">
        <f>$E2590+15</f>
        <v>132</v>
      </c>
      <c r="X2590" s="14">
        <f>IF($J2590=0,0,ROUND(MAX($J2590*1.4*1.5*1.6*1.6*2.2*2.715*2.6,3540000000*(1.579646^(MIN($E2590,123)-117)))*1,0))</f>
        <v>3540000000</v>
      </c>
      <c r="Y2590" s="11">
        <f>$E2590+17</f>
        <v>134</v>
      </c>
      <c r="Z2590" s="12">
        <f>IF($J2590=0,0,ROUND(MAX($J2590*1.4*1.5*1.6*1.6*2.2*2.715*2.6*1.4,6020000000*(1.651178^(MIN($E2590,123)-117)))*1,0))</f>
        <v>6020000000</v>
      </c>
      <c r="AA2590" s="13">
        <f>$E2590+19</f>
        <v>136</v>
      </c>
      <c r="AB2590" s="14">
        <f>IF($J2590=0,0,ROUND(MAX($J2590*1.4*1.5*1.6*1.6*2.2*2.715*2.6*1.4*1.4,8430000000*(1.651435^(MIN($E2590,123)-117)))*1,0))</f>
        <v>8430000000</v>
      </c>
      <c r="AC2590" s="11">
        <f>$E2590+21</f>
        <v>138</v>
      </c>
      <c r="AD2590" s="12">
        <f>IF($J2590=0,0,ROUND(MAX($J2590*1.4*1.5*1.6*1.6*2.2*2.715*2.6*1.4*1.4*1.5,12600000000*(1.652953^(MIN($E2590,123)-117)))*1,0))</f>
        <v>12600000000</v>
      </c>
      <c r="AE2590" s="13">
        <f>$E2590+24</f>
        <v>141</v>
      </c>
      <c r="AF2590" s="14">
        <f>IF($J2590=0,0,ROUND(MAX($J2590*1.4*1.5*1.6*1.6*2.2*2.715*2.6*1.4*1.4*1.5*1.5,18900000000*(1.65331^(MIN($E2590,123)-117)))*1,0))</f>
        <v>18900000000</v>
      </c>
      <c r="AG2590" s="11">
        <f>$E2590+27</f>
        <v>144</v>
      </c>
      <c r="AH2590" s="12">
        <f>IF($J2590=0,0,ROUND(MAX($J2590*1.4*1.5*1.6*1.6*2.2*2.715*2.6*1.4*1.4*1.5*1.5*3.2,60500000000*(1.654288^(MIN($E2590,123)-117)))*1,0))</f>
        <v>60500000000</v>
      </c>
    </row>
    <row r="2591" ht="28" customHeight="1" spans="1:34" x14ac:dyDescent="0.25">
      <c r="A2591">
        <v>2601</v>
      </c>
      <c r="B2591" t="s">
        <v>1553</v>
      </c>
      <c r="C2591" s="10" t="s">
        <v>1533</v>
      </c>
      <c r="D2591" t="s">
        <v>64</v>
      </c>
      <c r="E2591">
        <v>117</v>
      </c>
      <c r="F2591" t="s">
        <v>71</v>
      </c>
      <c r="G2591" t="s">
        <v>72</v>
      </c>
      <c r="H2591">
        <v>27</v>
      </c>
      <c r="I2591" s="11">
        <v>117</v>
      </c>
      <c r="J2591" s="12">
        <v>635000</v>
      </c>
      <c r="K2591" s="13">
        <f>$E2591+1</f>
        <v>118</v>
      </c>
      <c r="L2591" s="14">
        <f>IF($J2591=0,0,ROUND(MAX($J2591*1.4,1620000*(1.497923^(MIN($E2591,123)-117)))*1,0))</f>
        <v>1620000</v>
      </c>
      <c r="M2591" s="11">
        <f>$E2591+2</f>
        <v>119</v>
      </c>
      <c r="N2591" s="12">
        <f>IF($J2591=0,0,ROUND(MAX($J2591*1.4*1.5,2190000*(1.580994^(MIN($E2591,123)-117)))*1,0))</f>
        <v>2190000</v>
      </c>
      <c r="O2591" s="13">
        <f>$E2591+4</f>
        <v>121</v>
      </c>
      <c r="P2591" s="14">
        <f>IF($J2591=0,0,ROUND(MAX($J2591*1.4*1.5*1.6,3500000*(1.57975^(MIN($E2591,123)-117)))*1,0))</f>
        <v>3500000</v>
      </c>
      <c r="Q2591" s="11">
        <f>$E2591+6</f>
        <v>123</v>
      </c>
      <c r="R2591" s="12">
        <f>IF($J2591=0,0,ROUND(MAX($J2591*1.4*1.5*1.6*1.6,13100000*(1.429962^(MIN($E2591,123)-117)))*1,0))</f>
        <v>13100000</v>
      </c>
      <c r="S2591" s="13">
        <f>$E2591+8</f>
        <v>125</v>
      </c>
      <c r="T2591" s="14">
        <f>IF($J2591=0,0,ROUND(MAX($J2591*1.4*1.5*1.6*1.6*2.2,42600000*(1.576904^(MIN($E2591,123)-117)))*1,0))</f>
        <v>42600000</v>
      </c>
      <c r="U2591" s="11">
        <f>$E2591+11</f>
        <v>128</v>
      </c>
      <c r="V2591" s="12">
        <f>IF($J2591=0,0,ROUND(MAX($J2591*1.4*1.5*1.6*1.6*2.2*2.715,354000000*(1.642074^(MIN($E2591,123)-117)))*1,0))</f>
        <v>354000000</v>
      </c>
      <c r="W2591" s="13">
        <f>$E2591+15</f>
        <v>132</v>
      </c>
      <c r="X2591" s="14">
        <f>IF($J2591=0,0,ROUND(MAX($J2591*1.4*1.5*1.6*1.6*2.2*2.715*2.6,3540000000*(1.579646^(MIN($E2591,123)-117)))*1,0))</f>
        <v>3540000000</v>
      </c>
      <c r="Y2591" s="11">
        <f>$E2591+17</f>
        <v>134</v>
      </c>
      <c r="Z2591" s="12">
        <f>IF($J2591=0,0,ROUND(MAX($J2591*1.4*1.5*1.6*1.6*2.2*2.715*2.6*1.4,6020000000*(1.651178^(MIN($E2591,123)-117)))*1,0))</f>
        <v>6020000000</v>
      </c>
      <c r="AA2591" s="13">
        <f>$E2591+19</f>
        <v>136</v>
      </c>
      <c r="AB2591" s="14">
        <f>IF($J2591=0,0,ROUND(MAX($J2591*1.4*1.5*1.6*1.6*2.2*2.715*2.6*1.4*1.4,8430000000*(1.651435^(MIN($E2591,123)-117)))*1,0))</f>
        <v>8430000000</v>
      </c>
      <c r="AC2591" s="11">
        <f>$E2591+21</f>
        <v>138</v>
      </c>
      <c r="AD2591" s="12">
        <f>IF($J2591=0,0,ROUND(MAX($J2591*1.4*1.5*1.6*1.6*2.2*2.715*2.6*1.4*1.4*1.5,12600000000*(1.652953^(MIN($E2591,123)-117)))*1,0))</f>
        <v>12600000000</v>
      </c>
      <c r="AE2591" s="13">
        <f>$E2591+24</f>
        <v>141</v>
      </c>
      <c r="AF2591" s="14">
        <f>IF($J2591=0,0,ROUND(MAX($J2591*1.4*1.5*1.6*1.6*2.2*2.715*2.6*1.4*1.4*1.5*1.5,18900000000*(1.65331^(MIN($E2591,123)-117)))*1,0))</f>
        <v>18900000000</v>
      </c>
      <c r="AG2591" s="11">
        <f>$E2591+27</f>
        <v>144</v>
      </c>
      <c r="AH2591" s="12">
        <f>IF($J2591=0,0,ROUND(MAX($J2591*1.4*1.5*1.6*1.6*2.2*2.715*2.6*1.4*1.4*1.5*1.5*3.2,60500000000*(1.654288^(MIN($E2591,123)-117)))*1,0))</f>
        <v>60500000000</v>
      </c>
    </row>
    <row r="2592" ht="28" customHeight="1" spans="1:34" x14ac:dyDescent="0.25">
      <c r="A2592">
        <v>2602</v>
      </c>
      <c r="B2592" t="s">
        <v>268</v>
      </c>
      <c r="C2592" s="10" t="s">
        <v>1533</v>
      </c>
      <c r="D2592" t="s">
        <v>40</v>
      </c>
      <c r="E2592">
        <v>117</v>
      </c>
      <c r="F2592" t="s">
        <v>26</v>
      </c>
      <c r="G2592" t="s">
        <v>242</v>
      </c>
      <c r="H2592">
        <v>27</v>
      </c>
      <c r="I2592" s="11">
        <v>117</v>
      </c>
      <c r="J2592" s="12">
        <v>629000</v>
      </c>
      <c r="K2592" s="13">
        <f>$E2592+1</f>
        <v>118</v>
      </c>
      <c r="L2592" s="14">
        <f>IF($J2592=0,0,ROUND(MAX($J2592*1.4,1620000*(1.497923^(MIN($E2592,123)-117)))*1,0))</f>
        <v>1620000</v>
      </c>
      <c r="M2592" s="11">
        <f>$E2592+2</f>
        <v>119</v>
      </c>
      <c r="N2592" s="12">
        <f>IF($J2592=0,0,ROUND(MAX($J2592*1.4*1.5,2190000*(1.580994^(MIN($E2592,123)-117)))*1,0))</f>
        <v>2190000</v>
      </c>
      <c r="O2592" s="13">
        <f>$E2592+4</f>
        <v>121</v>
      </c>
      <c r="P2592" s="14">
        <f>IF($J2592=0,0,ROUND(MAX($J2592*1.4*1.5*1.6,3500000*(1.57975^(MIN($E2592,123)-117)))*1,0))</f>
        <v>3500000</v>
      </c>
      <c r="Q2592" s="11">
        <f>$E2592+6</f>
        <v>123</v>
      </c>
      <c r="R2592" s="12">
        <f>IF($J2592=0,0,ROUND(MAX($J2592*1.4*1.5*1.6*1.6,13100000*(1.429962^(MIN($E2592,123)-117)))*1,0))</f>
        <v>13100000</v>
      </c>
      <c r="S2592" s="13">
        <f>$E2592+8</f>
        <v>125</v>
      </c>
      <c r="T2592" s="14">
        <f>IF($J2592=0,0,ROUND(MAX($J2592*1.4*1.5*1.6*1.6*2.2,42600000*(1.576904^(MIN($E2592,123)-117)))*1,0))</f>
        <v>42600000</v>
      </c>
      <c r="U2592" s="11">
        <f>$E2592+11</f>
        <v>128</v>
      </c>
      <c r="V2592" s="12">
        <f>IF($J2592=0,0,ROUND(MAX($J2592*1.4*1.5*1.6*1.6*2.2*2.715,354000000*(1.642074^(MIN($E2592,123)-117)))*1,0))</f>
        <v>354000000</v>
      </c>
      <c r="W2592" s="13">
        <f>$E2592+15</f>
        <v>132</v>
      </c>
      <c r="X2592" s="14">
        <f>IF($J2592=0,0,ROUND(MAX($J2592*1.4*1.5*1.6*1.6*2.2*2.715*2.6,3540000000*(1.579646^(MIN($E2592,123)-117)))*1,0))</f>
        <v>3540000000</v>
      </c>
      <c r="Y2592" s="11">
        <f>$E2592+17</f>
        <v>134</v>
      </c>
      <c r="Z2592" s="12">
        <f>IF($J2592=0,0,ROUND(MAX($J2592*1.4*1.5*1.6*1.6*2.2*2.715*2.6*1.4,6020000000*(1.651178^(MIN($E2592,123)-117)))*1,0))</f>
        <v>6020000000</v>
      </c>
      <c r="AA2592" s="13">
        <f>$E2592+19</f>
        <v>136</v>
      </c>
      <c r="AB2592" s="14">
        <f>IF($J2592=0,0,ROUND(MAX($J2592*1.4*1.5*1.6*1.6*2.2*2.715*2.6*1.4*1.4,8430000000*(1.651435^(MIN($E2592,123)-117)))*1,0))</f>
        <v>8430000000</v>
      </c>
      <c r="AC2592" s="11">
        <f>$E2592+21</f>
        <v>138</v>
      </c>
      <c r="AD2592" s="12">
        <f>IF($J2592=0,0,ROUND(MAX($J2592*1.4*1.5*1.6*1.6*2.2*2.715*2.6*1.4*1.4*1.5,12600000000*(1.652953^(MIN($E2592,123)-117)))*1,0))</f>
        <v>12600000000</v>
      </c>
      <c r="AE2592" s="13">
        <f>$E2592+24</f>
        <v>141</v>
      </c>
      <c r="AF2592" s="14">
        <f>IF($J2592=0,0,ROUND(MAX($J2592*1.4*1.5*1.6*1.6*2.2*2.715*2.6*1.4*1.4*1.5*1.5,18900000000*(1.65331^(MIN($E2592,123)-117)))*1,0))</f>
        <v>18900000000</v>
      </c>
      <c r="AG2592" s="11">
        <f>$E2592+27</f>
        <v>144</v>
      </c>
      <c r="AH2592" s="12">
        <f>IF($J2592=0,0,ROUND(MAX($J2592*1.4*1.5*1.6*1.6*2.2*2.715*2.6*1.4*1.4*1.5*1.5*3.2,60500000000*(1.654288^(MIN($E2592,123)-117)))*1,0))</f>
        <v>60500000000</v>
      </c>
    </row>
    <row r="2593" ht="28" customHeight="1" spans="1:34" x14ac:dyDescent="0.25">
      <c r="A2593">
        <v>2603</v>
      </c>
      <c r="B2593" t="s">
        <v>359</v>
      </c>
      <c r="C2593" s="10" t="s">
        <v>1533</v>
      </c>
      <c r="D2593" t="s">
        <v>90</v>
      </c>
      <c r="E2593">
        <v>117</v>
      </c>
      <c r="F2593" t="s">
        <v>223</v>
      </c>
      <c r="G2593" t="s">
        <v>277</v>
      </c>
      <c r="H2593">
        <v>27</v>
      </c>
      <c r="I2593" s="11">
        <v>117</v>
      </c>
      <c r="J2593" s="12">
        <v>636000</v>
      </c>
      <c r="K2593" s="13">
        <f>$E2593+1</f>
        <v>118</v>
      </c>
      <c r="L2593" s="14">
        <f>IF($J2593=0,0,ROUND(MAX($J2593*1.4,1620000*(1.497923^(MIN($E2593,123)-117)))*1,0))</f>
        <v>1620000</v>
      </c>
      <c r="M2593" s="11">
        <f>$E2593+2</f>
        <v>119</v>
      </c>
      <c r="N2593" s="12">
        <f>IF($J2593=0,0,ROUND(MAX($J2593*1.4*1.5,2190000*(1.580994^(MIN($E2593,123)-117)))*1,0))</f>
        <v>2190000</v>
      </c>
      <c r="O2593" s="13">
        <f>$E2593+4</f>
        <v>121</v>
      </c>
      <c r="P2593" s="14">
        <f>IF($J2593=0,0,ROUND(MAX($J2593*1.4*1.5*1.6,3500000*(1.57975^(MIN($E2593,123)-117)))*1,0))</f>
        <v>3500000</v>
      </c>
      <c r="Q2593" s="11">
        <f>$E2593+6</f>
        <v>123</v>
      </c>
      <c r="R2593" s="12">
        <f>IF($J2593=0,0,ROUND(MAX($J2593*1.4*1.5*1.6*1.6,13100000*(1.429962^(MIN($E2593,123)-117)))*1,0))</f>
        <v>13100000</v>
      </c>
      <c r="S2593" s="13">
        <f>$E2593+8</f>
        <v>125</v>
      </c>
      <c r="T2593" s="14">
        <f>IF($J2593=0,0,ROUND(MAX($J2593*1.4*1.5*1.6*1.6*2.2,42600000*(1.576904^(MIN($E2593,123)-117)))*1,0))</f>
        <v>42600000</v>
      </c>
      <c r="U2593" s="11">
        <f>$E2593+11</f>
        <v>128</v>
      </c>
      <c r="V2593" s="12">
        <f>IF($J2593=0,0,ROUND(MAX($J2593*1.4*1.5*1.6*1.6*2.2*2.715,354000000*(1.642074^(MIN($E2593,123)-117)))*1,0))</f>
        <v>354000000</v>
      </c>
      <c r="W2593" s="13">
        <f>$E2593+15</f>
        <v>132</v>
      </c>
      <c r="X2593" s="14">
        <f>IF($J2593=0,0,ROUND(MAX($J2593*1.4*1.5*1.6*1.6*2.2*2.715*2.6,3540000000*(1.579646^(MIN($E2593,123)-117)))*1,0))</f>
        <v>3540000000</v>
      </c>
      <c r="Y2593" s="11">
        <f>$E2593+17</f>
        <v>134</v>
      </c>
      <c r="Z2593" s="12">
        <f>IF($J2593=0,0,ROUND(MAX($J2593*1.4*1.5*1.6*1.6*2.2*2.715*2.6*1.4,6020000000*(1.651178^(MIN($E2593,123)-117)))*1,0))</f>
        <v>6020000000</v>
      </c>
      <c r="AA2593" s="13">
        <f>$E2593+19</f>
        <v>136</v>
      </c>
      <c r="AB2593" s="14">
        <f>IF($J2593=0,0,ROUND(MAX($J2593*1.4*1.5*1.6*1.6*2.2*2.715*2.6*1.4*1.4,8430000000*(1.651435^(MIN($E2593,123)-117)))*1,0))</f>
        <v>8430000000</v>
      </c>
      <c r="AC2593" s="11">
        <f>$E2593+21</f>
        <v>138</v>
      </c>
      <c r="AD2593" s="12">
        <f>IF($J2593=0,0,ROUND(MAX($J2593*1.4*1.5*1.6*1.6*2.2*2.715*2.6*1.4*1.4*1.5,12600000000*(1.652953^(MIN($E2593,123)-117)))*1,0))</f>
        <v>12600000000</v>
      </c>
      <c r="AE2593" s="13">
        <f>$E2593+24</f>
        <v>141</v>
      </c>
      <c r="AF2593" s="14">
        <f>IF($J2593=0,0,ROUND(MAX($J2593*1.4*1.5*1.6*1.6*2.2*2.715*2.6*1.4*1.4*1.5*1.5,18900000000*(1.65331^(MIN($E2593,123)-117)))*1,0))</f>
        <v>18900000000</v>
      </c>
      <c r="AG2593" s="11">
        <f>$E2593+27</f>
        <v>144</v>
      </c>
      <c r="AH2593" s="12">
        <f>IF($J2593=0,0,ROUND(MAX($J2593*1.4*1.5*1.6*1.6*2.2*2.715*2.6*1.4*1.4*1.5*1.5*3.2,60500000000*(1.654288^(MIN($E2593,123)-117)))*1,0))</f>
        <v>60500000000</v>
      </c>
    </row>
    <row r="2594" ht="28" customHeight="1" spans="1:34" x14ac:dyDescent="0.25">
      <c r="A2594">
        <v>2604</v>
      </c>
      <c r="B2594" t="s">
        <v>363</v>
      </c>
      <c r="C2594" s="10" t="s">
        <v>1533</v>
      </c>
      <c r="D2594" t="s">
        <v>33</v>
      </c>
      <c r="E2594">
        <v>117</v>
      </c>
      <c r="F2594" t="s">
        <v>298</v>
      </c>
      <c r="G2594" t="s">
        <v>242</v>
      </c>
      <c r="H2594">
        <v>27</v>
      </c>
      <c r="I2594" s="11">
        <v>117</v>
      </c>
      <c r="J2594" s="12">
        <v>633000</v>
      </c>
      <c r="K2594" s="13">
        <f>$E2594+1</f>
        <v>118</v>
      </c>
      <c r="L2594" s="14">
        <f>IF($J2594=0,0,ROUND(MAX($J2594*1.4,1620000*(1.497923^(MIN($E2594,123)-117)))*1,0))</f>
        <v>1620000</v>
      </c>
      <c r="M2594" s="11">
        <f>$E2594+2</f>
        <v>119</v>
      </c>
      <c r="N2594" s="12">
        <f>IF($J2594=0,0,ROUND(MAX($J2594*1.4*1.5,2190000*(1.580994^(MIN($E2594,123)-117)))*1,0))</f>
        <v>2190000</v>
      </c>
      <c r="O2594" s="13">
        <f>$E2594+4</f>
        <v>121</v>
      </c>
      <c r="P2594" s="14">
        <f>IF($J2594=0,0,ROUND(MAX($J2594*1.4*1.5*1.6,3500000*(1.57975^(MIN($E2594,123)-117)))*1,0))</f>
        <v>3500000</v>
      </c>
      <c r="Q2594" s="11">
        <f>$E2594+6</f>
        <v>123</v>
      </c>
      <c r="R2594" s="12">
        <f>IF($J2594=0,0,ROUND(MAX($J2594*1.4*1.5*1.6*1.6,13100000*(1.429962^(MIN($E2594,123)-117)))*1,0))</f>
        <v>13100000</v>
      </c>
      <c r="S2594" s="13">
        <f>$E2594+8</f>
        <v>125</v>
      </c>
      <c r="T2594" s="14">
        <f>IF($J2594=0,0,ROUND(MAX($J2594*1.4*1.5*1.6*1.6*2.2,42600000*(1.576904^(MIN($E2594,123)-117)))*1,0))</f>
        <v>42600000</v>
      </c>
      <c r="U2594" s="11">
        <f>$E2594+11</f>
        <v>128</v>
      </c>
      <c r="V2594" s="12">
        <f>IF($J2594=0,0,ROUND(MAX($J2594*1.4*1.5*1.6*1.6*2.2*2.715,354000000*(1.642074^(MIN($E2594,123)-117)))*1,0))</f>
        <v>354000000</v>
      </c>
      <c r="W2594" s="13">
        <f>$E2594+15</f>
        <v>132</v>
      </c>
      <c r="X2594" s="14">
        <f>IF($J2594=0,0,ROUND(MAX($J2594*1.4*1.5*1.6*1.6*2.2*2.715*2.6,3540000000*(1.579646^(MIN($E2594,123)-117)))*1,0))</f>
        <v>3540000000</v>
      </c>
      <c r="Y2594" s="11">
        <f>$E2594+17</f>
        <v>134</v>
      </c>
      <c r="Z2594" s="12">
        <f>IF($J2594=0,0,ROUND(MAX($J2594*1.4*1.5*1.6*1.6*2.2*2.715*2.6*1.4,6020000000*(1.651178^(MIN($E2594,123)-117)))*1,0))</f>
        <v>6020000000</v>
      </c>
      <c r="AA2594" s="13">
        <f>$E2594+19</f>
        <v>136</v>
      </c>
      <c r="AB2594" s="14">
        <f>IF($J2594=0,0,ROUND(MAX($J2594*1.4*1.5*1.6*1.6*2.2*2.715*2.6*1.4*1.4,8430000000*(1.651435^(MIN($E2594,123)-117)))*1,0))</f>
        <v>8430000000</v>
      </c>
      <c r="AC2594" s="11">
        <f>$E2594+21</f>
        <v>138</v>
      </c>
      <c r="AD2594" s="12">
        <f>IF($J2594=0,0,ROUND(MAX($J2594*1.4*1.5*1.6*1.6*2.2*2.715*2.6*1.4*1.4*1.5,12600000000*(1.652953^(MIN($E2594,123)-117)))*1,0))</f>
        <v>12600000000</v>
      </c>
      <c r="AE2594" s="13">
        <f>$E2594+24</f>
        <v>141</v>
      </c>
      <c r="AF2594" s="14">
        <f>IF($J2594=0,0,ROUND(MAX($J2594*1.4*1.5*1.6*1.6*2.2*2.715*2.6*1.4*1.4*1.5*1.5,18900000000*(1.65331^(MIN($E2594,123)-117)))*1,0))</f>
        <v>18900000000</v>
      </c>
      <c r="AG2594" s="11">
        <f>$E2594+27</f>
        <v>144</v>
      </c>
      <c r="AH2594" s="12">
        <f>IF($J2594=0,0,ROUND(MAX($J2594*1.4*1.5*1.6*1.6*2.2*2.715*2.6*1.4*1.4*1.5*1.5*3.2,60500000000*(1.654288^(MIN($E2594,123)-117)))*1,0))</f>
        <v>60500000000</v>
      </c>
    </row>
    <row r="2595" ht="28" customHeight="1" spans="1:34" x14ac:dyDescent="0.25">
      <c r="A2595">
        <v>2605</v>
      </c>
      <c r="B2595" t="s">
        <v>537</v>
      </c>
      <c r="C2595" s="10" t="s">
        <v>1533</v>
      </c>
      <c r="D2595" t="s">
        <v>90</v>
      </c>
      <c r="E2595">
        <v>117</v>
      </c>
      <c r="F2595" t="s">
        <v>59</v>
      </c>
      <c r="G2595" t="s">
        <v>72</v>
      </c>
      <c r="H2595">
        <v>27</v>
      </c>
      <c r="I2595" s="11">
        <v>117</v>
      </c>
      <c r="J2595" s="12">
        <v>645000</v>
      </c>
      <c r="K2595" s="13">
        <f>$E2595+1</f>
        <v>118</v>
      </c>
      <c r="L2595" s="14">
        <f>IF($J2595=0,0,ROUND(MAX($J2595*1.4,1620000*(1.497923^(MIN($E2595,123)-117)))*1,0))</f>
        <v>1620000</v>
      </c>
      <c r="M2595" s="11">
        <f>$E2595+2</f>
        <v>119</v>
      </c>
      <c r="N2595" s="12">
        <f>IF($J2595=0,0,ROUND(MAX($J2595*1.4*1.5,2190000*(1.580994^(MIN($E2595,123)-117)))*1,0))</f>
        <v>2190000</v>
      </c>
      <c r="O2595" s="13">
        <f>$E2595+4</f>
        <v>121</v>
      </c>
      <c r="P2595" s="14">
        <f>IF($J2595=0,0,ROUND(MAX($J2595*1.4*1.5*1.6,3500000*(1.57975^(MIN($E2595,123)-117)))*1,0))</f>
        <v>3500000</v>
      </c>
      <c r="Q2595" s="11">
        <f>$E2595+6</f>
        <v>123</v>
      </c>
      <c r="R2595" s="12">
        <f>IF($J2595=0,0,ROUND(MAX($J2595*1.4*1.5*1.6*1.6,13100000*(1.429962^(MIN($E2595,123)-117)))*1,0))</f>
        <v>13100000</v>
      </c>
      <c r="S2595" s="13">
        <f>$E2595+8</f>
        <v>125</v>
      </c>
      <c r="T2595" s="14">
        <f>IF($J2595=0,0,ROUND(MAX($J2595*1.4*1.5*1.6*1.6*2.2,42600000*(1.576904^(MIN($E2595,123)-117)))*1,0))</f>
        <v>42600000</v>
      </c>
      <c r="U2595" s="11">
        <f>$E2595+11</f>
        <v>128</v>
      </c>
      <c r="V2595" s="12">
        <f>IF($J2595=0,0,ROUND(MAX($J2595*1.4*1.5*1.6*1.6*2.2*2.715,354000000*(1.642074^(MIN($E2595,123)-117)))*1,0))</f>
        <v>354000000</v>
      </c>
      <c r="W2595" s="13">
        <f>$E2595+15</f>
        <v>132</v>
      </c>
      <c r="X2595" s="14">
        <f>IF($J2595=0,0,ROUND(MAX($J2595*1.4*1.5*1.6*1.6*2.2*2.715*2.6,3540000000*(1.579646^(MIN($E2595,123)-117)))*1,0))</f>
        <v>3540000000</v>
      </c>
      <c r="Y2595" s="11">
        <f>$E2595+17</f>
        <v>134</v>
      </c>
      <c r="Z2595" s="12">
        <f>IF($J2595=0,0,ROUND(MAX($J2595*1.4*1.5*1.6*1.6*2.2*2.715*2.6*1.4,6020000000*(1.651178^(MIN($E2595,123)-117)))*1,0))</f>
        <v>6020000000</v>
      </c>
      <c r="AA2595" s="13">
        <f>$E2595+19</f>
        <v>136</v>
      </c>
      <c r="AB2595" s="14">
        <f>IF($J2595=0,0,ROUND(MAX($J2595*1.4*1.5*1.6*1.6*2.2*2.715*2.6*1.4*1.4,8430000000*(1.651435^(MIN($E2595,123)-117)))*1,0))</f>
        <v>8430000000</v>
      </c>
      <c r="AC2595" s="11">
        <f>$E2595+21</f>
        <v>138</v>
      </c>
      <c r="AD2595" s="12">
        <f>IF($J2595=0,0,ROUND(MAX($J2595*1.4*1.5*1.6*1.6*2.2*2.715*2.6*1.4*1.4*1.5,12600000000*(1.652953^(MIN($E2595,123)-117)))*1,0))</f>
        <v>12600000000</v>
      </c>
      <c r="AE2595" s="13">
        <f>$E2595+24</f>
        <v>141</v>
      </c>
      <c r="AF2595" s="14">
        <f>IF($J2595=0,0,ROUND(MAX($J2595*1.4*1.5*1.6*1.6*2.2*2.715*2.6*1.4*1.4*1.5*1.5,18900000000*(1.65331^(MIN($E2595,123)-117)))*1,0))</f>
        <v>18900000000</v>
      </c>
      <c r="AG2595" s="11">
        <f>$E2595+27</f>
        <v>144</v>
      </c>
      <c r="AH2595" s="12">
        <f>IF($J2595=0,0,ROUND(MAX($J2595*1.4*1.5*1.6*1.6*2.2*2.715*2.6*1.4*1.4*1.5*1.5*3.2,60500000000*(1.654288^(MIN($E2595,123)-117)))*1,0))</f>
        <v>60500000000</v>
      </c>
    </row>
    <row r="2596" ht="28" customHeight="1" spans="1:34" x14ac:dyDescent="0.25">
      <c r="A2596">
        <v>2606</v>
      </c>
      <c r="B2596" t="s">
        <v>1554</v>
      </c>
      <c r="C2596" s="10" t="s">
        <v>1533</v>
      </c>
      <c r="D2596" t="s">
        <v>79</v>
      </c>
      <c r="E2596">
        <v>117</v>
      </c>
      <c r="F2596" t="s">
        <v>26</v>
      </c>
      <c r="G2596" t="s">
        <v>206</v>
      </c>
      <c r="H2596">
        <v>26</v>
      </c>
      <c r="I2596" s="11">
        <v>117</v>
      </c>
      <c r="J2596" s="12">
        <v>633000</v>
      </c>
      <c r="K2596" s="13">
        <f>$E2596+1</f>
        <v>118</v>
      </c>
      <c r="L2596" s="14">
        <f>IF($J2596=0,0,ROUND(MAX($J2596*1.4,1620000*(1.497923^(MIN($E2596,123)-117)))*1,0))</f>
        <v>1620000</v>
      </c>
      <c r="M2596" s="11">
        <f>$E2596+2</f>
        <v>119</v>
      </c>
      <c r="N2596" s="12">
        <f>IF($J2596=0,0,ROUND(MAX($J2596*1.4*1.5,2190000*(1.580994^(MIN($E2596,123)-117)))*1,0))</f>
        <v>2190000</v>
      </c>
      <c r="O2596" s="13">
        <f>$E2596+4</f>
        <v>121</v>
      </c>
      <c r="P2596" s="14">
        <f>IF($J2596=0,0,ROUND(MAX($J2596*1.4*1.5*1.6,3500000*(1.57975^(MIN($E2596,123)-117)))*1,0))</f>
        <v>3500000</v>
      </c>
      <c r="Q2596" s="11">
        <f>$E2596+6</f>
        <v>123</v>
      </c>
      <c r="R2596" s="12">
        <f>IF($J2596=0,0,ROUND(MAX($J2596*1.4*1.5*1.6*1.6,13100000*(1.429962^(MIN($E2596,123)-117)))*1,0))</f>
        <v>13100000</v>
      </c>
      <c r="S2596" s="13">
        <f>$E2596+8</f>
        <v>125</v>
      </c>
      <c r="T2596" s="14">
        <f>IF($J2596=0,0,ROUND(MAX($J2596*1.4*1.5*1.6*1.6*2.2,42600000*(1.576904^(MIN($E2596,123)-117)))*1,0))</f>
        <v>42600000</v>
      </c>
      <c r="U2596" s="11">
        <f>$E2596+11</f>
        <v>128</v>
      </c>
      <c r="V2596" s="12">
        <f>IF($J2596=0,0,ROUND(MAX($J2596*1.4*1.5*1.6*1.6*2.2*2.715,354000000*(1.642074^(MIN($E2596,123)-117)))*1,0))</f>
        <v>354000000</v>
      </c>
      <c r="W2596" s="13">
        <f>$E2596+15</f>
        <v>132</v>
      </c>
      <c r="X2596" s="14">
        <f>IF($J2596=0,0,ROUND(MAX($J2596*1.4*1.5*1.6*1.6*2.2*2.715*2.6,3540000000*(1.579646^(MIN($E2596,123)-117)))*1,0))</f>
        <v>3540000000</v>
      </c>
      <c r="Y2596" s="11">
        <f>$E2596+17</f>
        <v>134</v>
      </c>
      <c r="Z2596" s="12">
        <f>IF($J2596=0,0,ROUND(MAX($J2596*1.4*1.5*1.6*1.6*2.2*2.715*2.6*1.4,6020000000*(1.651178^(MIN($E2596,123)-117)))*1,0))</f>
        <v>6020000000</v>
      </c>
      <c r="AA2596" s="13">
        <f>$E2596+19</f>
        <v>136</v>
      </c>
      <c r="AB2596" s="14">
        <f>IF($J2596=0,0,ROUND(MAX($J2596*1.4*1.5*1.6*1.6*2.2*2.715*2.6*1.4*1.4,8430000000*(1.651435^(MIN($E2596,123)-117)))*1,0))</f>
        <v>8430000000</v>
      </c>
      <c r="AC2596" s="11">
        <f>$E2596+21</f>
        <v>138</v>
      </c>
      <c r="AD2596" s="12">
        <f>IF($J2596=0,0,ROUND(MAX($J2596*1.4*1.5*1.6*1.6*2.2*2.715*2.6*1.4*1.4*1.5,12600000000*(1.652953^(MIN($E2596,123)-117)))*1,0))</f>
        <v>12600000000</v>
      </c>
      <c r="AE2596" s="13">
        <f>$E2596+24</f>
        <v>141</v>
      </c>
      <c r="AF2596" s="14">
        <f>IF($J2596=0,0,ROUND(MAX($J2596*1.4*1.5*1.6*1.6*2.2*2.715*2.6*1.4*1.4*1.5*1.5,18900000000*(1.65331^(MIN($E2596,123)-117)))*1,0))</f>
        <v>18900000000</v>
      </c>
      <c r="AG2596" s="11">
        <f>$E2596+27</f>
        <v>144</v>
      </c>
      <c r="AH2596" s="12">
        <f>IF($J2596=0,0,ROUND(MAX($J2596*1.4*1.5*1.6*1.6*2.2*2.715*2.6*1.4*1.4*1.5*1.5*3.2,60500000000*(1.654288^(MIN($E2596,123)-117)))*1,0))</f>
        <v>60500000000</v>
      </c>
    </row>
    <row r="2597" ht="28" customHeight="1" spans="1:34" x14ac:dyDescent="0.25">
      <c r="A2597">
        <v>2607</v>
      </c>
      <c r="B2597" t="s">
        <v>1555</v>
      </c>
      <c r="C2597" s="10" t="s">
        <v>1533</v>
      </c>
      <c r="D2597" t="s">
        <v>90</v>
      </c>
      <c r="E2597">
        <v>117</v>
      </c>
      <c r="F2597" t="s">
        <v>26</v>
      </c>
      <c r="G2597" t="s">
        <v>206</v>
      </c>
      <c r="H2597">
        <v>26</v>
      </c>
      <c r="I2597" s="11">
        <v>117</v>
      </c>
      <c r="J2597" s="12">
        <v>631000</v>
      </c>
      <c r="K2597" s="13">
        <f>$E2597+1</f>
        <v>118</v>
      </c>
      <c r="L2597" s="14">
        <f>IF($J2597=0,0,ROUND(MAX($J2597*1.4,1620000*(1.497923^(MIN($E2597,123)-117)))*1,0))</f>
        <v>1620000</v>
      </c>
      <c r="M2597" s="11">
        <f>$E2597+2</f>
        <v>119</v>
      </c>
      <c r="N2597" s="12">
        <f>IF($J2597=0,0,ROUND(MAX($J2597*1.4*1.5,2190000*(1.580994^(MIN($E2597,123)-117)))*1,0))</f>
        <v>2190000</v>
      </c>
      <c r="O2597" s="13">
        <f>$E2597+4</f>
        <v>121</v>
      </c>
      <c r="P2597" s="14">
        <f>IF($J2597=0,0,ROUND(MAX($J2597*1.4*1.5*1.6,3500000*(1.57975^(MIN($E2597,123)-117)))*1,0))</f>
        <v>3500000</v>
      </c>
      <c r="Q2597" s="11">
        <f>$E2597+6</f>
        <v>123</v>
      </c>
      <c r="R2597" s="12">
        <f>IF($J2597=0,0,ROUND(MAX($J2597*1.4*1.5*1.6*1.6,13100000*(1.429962^(MIN($E2597,123)-117)))*1,0))</f>
        <v>13100000</v>
      </c>
      <c r="S2597" s="13">
        <f>$E2597+8</f>
        <v>125</v>
      </c>
      <c r="T2597" s="14">
        <f>IF($J2597=0,0,ROUND(MAX($J2597*1.4*1.5*1.6*1.6*2.2,42600000*(1.576904^(MIN($E2597,123)-117)))*1,0))</f>
        <v>42600000</v>
      </c>
      <c r="U2597" s="11">
        <f>$E2597+11</f>
        <v>128</v>
      </c>
      <c r="V2597" s="12">
        <f>IF($J2597=0,0,ROUND(MAX($J2597*1.4*1.5*1.6*1.6*2.2*2.715,354000000*(1.642074^(MIN($E2597,123)-117)))*1,0))</f>
        <v>354000000</v>
      </c>
      <c r="W2597" s="13">
        <f>$E2597+15</f>
        <v>132</v>
      </c>
      <c r="X2597" s="14">
        <f>IF($J2597=0,0,ROUND(MAX($J2597*1.4*1.5*1.6*1.6*2.2*2.715*2.6,3540000000*(1.579646^(MIN($E2597,123)-117)))*1,0))</f>
        <v>3540000000</v>
      </c>
      <c r="Y2597" s="11">
        <f>$E2597+17</f>
        <v>134</v>
      </c>
      <c r="Z2597" s="12">
        <f>IF($J2597=0,0,ROUND(MAX($J2597*1.4*1.5*1.6*1.6*2.2*2.715*2.6*1.4,6020000000*(1.651178^(MIN($E2597,123)-117)))*1,0))</f>
        <v>6020000000</v>
      </c>
      <c r="AA2597" s="13">
        <f>$E2597+19</f>
        <v>136</v>
      </c>
      <c r="AB2597" s="14">
        <f>IF($J2597=0,0,ROUND(MAX($J2597*1.4*1.5*1.6*1.6*2.2*2.715*2.6*1.4*1.4,8430000000*(1.651435^(MIN($E2597,123)-117)))*1,0))</f>
        <v>8430000000</v>
      </c>
      <c r="AC2597" s="11">
        <f>$E2597+21</f>
        <v>138</v>
      </c>
      <c r="AD2597" s="12">
        <f>IF($J2597=0,0,ROUND(MAX($J2597*1.4*1.5*1.6*1.6*2.2*2.715*2.6*1.4*1.4*1.5,12600000000*(1.652953^(MIN($E2597,123)-117)))*1,0))</f>
        <v>12600000000</v>
      </c>
      <c r="AE2597" s="13">
        <f>$E2597+24</f>
        <v>141</v>
      </c>
      <c r="AF2597" s="14">
        <f>IF($J2597=0,0,ROUND(MAX($J2597*1.4*1.5*1.6*1.6*2.2*2.715*2.6*1.4*1.4*1.5*1.5,18900000000*(1.65331^(MIN($E2597,123)-117)))*1,0))</f>
        <v>18900000000</v>
      </c>
      <c r="AG2597" s="11">
        <f>$E2597+27</f>
        <v>144</v>
      </c>
      <c r="AH2597" s="12">
        <f>IF($J2597=0,0,ROUND(MAX($J2597*1.4*1.5*1.6*1.6*2.2*2.715*2.6*1.4*1.4*1.5*1.5*3.2,60500000000*(1.654288^(MIN($E2597,123)-117)))*1,0))</f>
        <v>60500000000</v>
      </c>
    </row>
    <row r="2598" ht="28" customHeight="1" spans="1:34" x14ac:dyDescent="0.25">
      <c r="A2598">
        <v>2608</v>
      </c>
      <c r="B2598" t="s">
        <v>683</v>
      </c>
      <c r="C2598" s="10" t="s">
        <v>1533</v>
      </c>
      <c r="D2598" t="s">
        <v>33</v>
      </c>
      <c r="E2598">
        <v>117</v>
      </c>
      <c r="F2598" t="s">
        <v>71</v>
      </c>
      <c r="G2598" t="s">
        <v>684</v>
      </c>
      <c r="H2598">
        <v>26</v>
      </c>
      <c r="I2598" s="11">
        <v>117</v>
      </c>
      <c r="J2598" s="12">
        <v>650000</v>
      </c>
      <c r="K2598" s="13">
        <f>$E2598+1</f>
        <v>118</v>
      </c>
      <c r="L2598" s="14">
        <f>IF($J2598=0,0,ROUND(MAX($J2598*1.4,1620000*(1.497923^(MIN($E2598,123)-117)))*1,0))</f>
        <v>1620000</v>
      </c>
      <c r="M2598" s="11">
        <f>$E2598+2</f>
        <v>119</v>
      </c>
      <c r="N2598" s="12">
        <f>IF($J2598=0,0,ROUND(MAX($J2598*1.4*1.5,2190000*(1.580994^(MIN($E2598,123)-117)))*1,0))</f>
        <v>2190000</v>
      </c>
      <c r="O2598" s="13">
        <f>$E2598+4</f>
        <v>121</v>
      </c>
      <c r="P2598" s="14">
        <f>IF($J2598=0,0,ROUND(MAX($J2598*1.4*1.5*1.6,3500000*(1.57975^(MIN($E2598,123)-117)))*1,0))</f>
        <v>3500000</v>
      </c>
      <c r="Q2598" s="11">
        <f>$E2598+6</f>
        <v>123</v>
      </c>
      <c r="R2598" s="12">
        <f>IF($J2598=0,0,ROUND(MAX($J2598*1.4*1.5*1.6*1.6,13100000*(1.429962^(MIN($E2598,123)-117)))*1,0))</f>
        <v>13100000</v>
      </c>
      <c r="S2598" s="13">
        <f>$E2598+8</f>
        <v>125</v>
      </c>
      <c r="T2598" s="14">
        <f>IF($J2598=0,0,ROUND(MAX($J2598*1.4*1.5*1.6*1.6*2.2,42600000*(1.576904^(MIN($E2598,123)-117)))*1,0))</f>
        <v>42600000</v>
      </c>
      <c r="U2598" s="11">
        <f>$E2598+11</f>
        <v>128</v>
      </c>
      <c r="V2598" s="12">
        <f>IF($J2598=0,0,ROUND(MAX($J2598*1.4*1.5*1.6*1.6*2.2*2.715,354000000*(1.642074^(MIN($E2598,123)-117)))*1,0))</f>
        <v>354000000</v>
      </c>
      <c r="W2598" s="13">
        <f>$E2598+15</f>
        <v>132</v>
      </c>
      <c r="X2598" s="14">
        <f>IF($J2598=0,0,ROUND(MAX($J2598*1.4*1.5*1.6*1.6*2.2*2.715*2.6,3540000000*(1.579646^(MIN($E2598,123)-117)))*1,0))</f>
        <v>3540000000</v>
      </c>
      <c r="Y2598" s="11">
        <f>$E2598+17</f>
        <v>134</v>
      </c>
      <c r="Z2598" s="12">
        <f>IF($J2598=0,0,ROUND(MAX($J2598*1.4*1.5*1.6*1.6*2.2*2.715*2.6*1.4,6020000000*(1.651178^(MIN($E2598,123)-117)))*1,0))</f>
        <v>6020000000</v>
      </c>
      <c r="AA2598" s="13">
        <f>$E2598+19</f>
        <v>136</v>
      </c>
      <c r="AB2598" s="14">
        <f>IF($J2598=0,0,ROUND(MAX($J2598*1.4*1.5*1.6*1.6*2.2*2.715*2.6*1.4*1.4,8430000000*(1.651435^(MIN($E2598,123)-117)))*1,0))</f>
        <v>8430000000</v>
      </c>
      <c r="AC2598" s="11">
        <f>$E2598+21</f>
        <v>138</v>
      </c>
      <c r="AD2598" s="12">
        <f>IF($J2598=0,0,ROUND(MAX($J2598*1.4*1.5*1.6*1.6*2.2*2.715*2.6*1.4*1.4*1.5,12600000000*(1.652953^(MIN($E2598,123)-117)))*1,0))</f>
        <v>12600000000</v>
      </c>
      <c r="AE2598" s="13">
        <f>$E2598+24</f>
        <v>141</v>
      </c>
      <c r="AF2598" s="14">
        <f>IF($J2598=0,0,ROUND(MAX($J2598*1.4*1.5*1.6*1.6*2.2*2.715*2.6*1.4*1.4*1.5*1.5,18900000000*(1.65331^(MIN($E2598,123)-117)))*1,0))</f>
        <v>18900000000</v>
      </c>
      <c r="AG2598" s="11">
        <f>$E2598+27</f>
        <v>144</v>
      </c>
      <c r="AH2598" s="12">
        <f>IF($J2598=0,0,ROUND(MAX($J2598*1.4*1.5*1.6*1.6*2.2*2.715*2.6*1.4*1.4*1.5*1.5*3.2,60500000000*(1.654288^(MIN($E2598,123)-117)))*1,0))</f>
        <v>60500000000</v>
      </c>
    </row>
    <row r="2599" ht="28" customHeight="1" spans="1:34" x14ac:dyDescent="0.25">
      <c r="A2599">
        <v>2609</v>
      </c>
      <c r="B2599" t="s">
        <v>1556</v>
      </c>
      <c r="C2599" s="10" t="s">
        <v>1533</v>
      </c>
      <c r="D2599" t="s">
        <v>75</v>
      </c>
      <c r="E2599">
        <v>117</v>
      </c>
      <c r="F2599" t="s">
        <v>26</v>
      </c>
      <c r="G2599" t="s">
        <v>337</v>
      </c>
      <c r="H2599">
        <v>26</v>
      </c>
      <c r="I2599" s="11">
        <v>117</v>
      </c>
      <c r="J2599" s="12">
        <v>638000</v>
      </c>
      <c r="K2599" s="13">
        <f>$E2599+1</f>
        <v>118</v>
      </c>
      <c r="L2599" s="14">
        <f>IF($J2599=0,0,ROUND(MAX($J2599*1.4,1620000*(1.497923^(MIN($E2599,123)-117)))*1,0))</f>
        <v>1620000</v>
      </c>
      <c r="M2599" s="11">
        <f>$E2599+2</f>
        <v>119</v>
      </c>
      <c r="N2599" s="12">
        <f>IF($J2599=0,0,ROUND(MAX($J2599*1.4*1.5,2190000*(1.580994^(MIN($E2599,123)-117)))*1,0))</f>
        <v>2190000</v>
      </c>
      <c r="O2599" s="13">
        <f>$E2599+4</f>
        <v>121</v>
      </c>
      <c r="P2599" s="14">
        <f>IF($J2599=0,0,ROUND(MAX($J2599*1.4*1.5*1.6,3500000*(1.57975^(MIN($E2599,123)-117)))*1,0))</f>
        <v>3500000</v>
      </c>
      <c r="Q2599" s="11">
        <f>$E2599+6</f>
        <v>123</v>
      </c>
      <c r="R2599" s="12">
        <f>IF($J2599=0,0,ROUND(MAX($J2599*1.4*1.5*1.6*1.6,13100000*(1.429962^(MIN($E2599,123)-117)))*1,0))</f>
        <v>13100000</v>
      </c>
      <c r="S2599" s="13">
        <f>$E2599+8</f>
        <v>125</v>
      </c>
      <c r="T2599" s="14">
        <f>IF($J2599=0,0,ROUND(MAX($J2599*1.4*1.5*1.6*1.6*2.2,42600000*(1.576904^(MIN($E2599,123)-117)))*1,0))</f>
        <v>42600000</v>
      </c>
      <c r="U2599" s="11">
        <f>$E2599+11</f>
        <v>128</v>
      </c>
      <c r="V2599" s="12">
        <f>IF($J2599=0,0,ROUND(MAX($J2599*1.4*1.5*1.6*1.6*2.2*2.715,354000000*(1.642074^(MIN($E2599,123)-117)))*1,0))</f>
        <v>354000000</v>
      </c>
      <c r="W2599" s="13">
        <f>$E2599+15</f>
        <v>132</v>
      </c>
      <c r="X2599" s="14">
        <f>IF($J2599=0,0,ROUND(MAX($J2599*1.4*1.5*1.6*1.6*2.2*2.715*2.6,3540000000*(1.579646^(MIN($E2599,123)-117)))*1,0))</f>
        <v>3540000000</v>
      </c>
      <c r="Y2599" s="11">
        <f>$E2599+17</f>
        <v>134</v>
      </c>
      <c r="Z2599" s="12">
        <f>IF($J2599=0,0,ROUND(MAX($J2599*1.4*1.5*1.6*1.6*2.2*2.715*2.6*1.4,6020000000*(1.651178^(MIN($E2599,123)-117)))*1,0))</f>
        <v>6020000000</v>
      </c>
      <c r="AA2599" s="13">
        <f>$E2599+19</f>
        <v>136</v>
      </c>
      <c r="AB2599" s="14">
        <f>IF($J2599=0,0,ROUND(MAX($J2599*1.4*1.5*1.6*1.6*2.2*2.715*2.6*1.4*1.4,8430000000*(1.651435^(MIN($E2599,123)-117)))*1,0))</f>
        <v>8430000000</v>
      </c>
      <c r="AC2599" s="11">
        <f>$E2599+21</f>
        <v>138</v>
      </c>
      <c r="AD2599" s="12">
        <f>IF($J2599=0,0,ROUND(MAX($J2599*1.4*1.5*1.6*1.6*2.2*2.715*2.6*1.4*1.4*1.5,12600000000*(1.652953^(MIN($E2599,123)-117)))*1,0))</f>
        <v>12600000000</v>
      </c>
      <c r="AE2599" s="13">
        <f>$E2599+24</f>
        <v>141</v>
      </c>
      <c r="AF2599" s="14">
        <f>IF($J2599=0,0,ROUND(MAX($J2599*1.4*1.5*1.6*1.6*2.2*2.715*2.6*1.4*1.4*1.5*1.5,18900000000*(1.65331^(MIN($E2599,123)-117)))*1,0))</f>
        <v>18900000000</v>
      </c>
      <c r="AG2599" s="11">
        <f>$E2599+27</f>
        <v>144</v>
      </c>
      <c r="AH2599" s="12">
        <f>IF($J2599=0,0,ROUND(MAX($J2599*1.4*1.5*1.6*1.6*2.2*2.715*2.6*1.4*1.4*1.5*1.5*3.2,60500000000*(1.654288^(MIN($E2599,123)-117)))*1,0))</f>
        <v>60500000000</v>
      </c>
    </row>
    <row r="2600" ht="28" customHeight="1" spans="1:34" x14ac:dyDescent="0.25">
      <c r="A2600">
        <v>2610</v>
      </c>
      <c r="B2600" t="s">
        <v>1477</v>
      </c>
      <c r="C2600" s="10" t="s">
        <v>1533</v>
      </c>
      <c r="D2600" t="s">
        <v>47</v>
      </c>
      <c r="E2600">
        <v>117</v>
      </c>
      <c r="F2600" t="s">
        <v>56</v>
      </c>
      <c r="G2600" t="s">
        <v>586</v>
      </c>
      <c r="H2600">
        <v>25</v>
      </c>
      <c r="I2600" s="11">
        <v>117</v>
      </c>
      <c r="J2600" s="12">
        <v>638000</v>
      </c>
      <c r="K2600" s="13">
        <f>$E2600+1</f>
        <v>118</v>
      </c>
      <c r="L2600" s="14">
        <f>IF($J2600=0,0,ROUND(MAX($J2600*1.4,1620000*(1.497923^(MIN($E2600,123)-117)))*1,0))</f>
        <v>1620000</v>
      </c>
      <c r="M2600" s="11">
        <f>$E2600+2</f>
        <v>119</v>
      </c>
      <c r="N2600" s="12">
        <f>IF($J2600=0,0,ROUND(MAX($J2600*1.4*1.5,2190000*(1.580994^(MIN($E2600,123)-117)))*1,0))</f>
        <v>2190000</v>
      </c>
      <c r="O2600" s="13">
        <f>$E2600+4</f>
        <v>121</v>
      </c>
      <c r="P2600" s="14">
        <f>IF($J2600=0,0,ROUND(MAX($J2600*1.4*1.5*1.6,3500000*(1.57975^(MIN($E2600,123)-117)))*1,0))</f>
        <v>3500000</v>
      </c>
      <c r="Q2600" s="11">
        <f>$E2600+6</f>
        <v>123</v>
      </c>
      <c r="R2600" s="12">
        <f>IF($J2600=0,0,ROUND(MAX($J2600*1.4*1.5*1.6*1.6,13100000*(1.429962^(MIN($E2600,123)-117)))*1,0))</f>
        <v>13100000</v>
      </c>
      <c r="S2600" s="13">
        <f>$E2600+8</f>
        <v>125</v>
      </c>
      <c r="T2600" s="14">
        <f>IF($J2600=0,0,ROUND(MAX($J2600*1.4*1.5*1.6*1.6*2.2,42600000*(1.576904^(MIN($E2600,123)-117)))*1,0))</f>
        <v>42600000</v>
      </c>
      <c r="U2600" s="11">
        <f>$E2600+11</f>
        <v>128</v>
      </c>
      <c r="V2600" s="12">
        <f>IF($J2600=0,0,ROUND(MAX($J2600*1.4*1.5*1.6*1.6*2.2*2.715,354000000*(1.642074^(MIN($E2600,123)-117)))*1,0))</f>
        <v>354000000</v>
      </c>
      <c r="W2600" s="13">
        <f>$E2600+15</f>
        <v>132</v>
      </c>
      <c r="X2600" s="14">
        <f>IF($J2600=0,0,ROUND(MAX($J2600*1.4*1.5*1.6*1.6*2.2*2.715*2.6,3540000000*(1.579646^(MIN($E2600,123)-117)))*1,0))</f>
        <v>3540000000</v>
      </c>
      <c r="Y2600" s="11">
        <f>$E2600+17</f>
        <v>134</v>
      </c>
      <c r="Z2600" s="12">
        <f>IF($J2600=0,0,ROUND(MAX($J2600*1.4*1.5*1.6*1.6*2.2*2.715*2.6*1.4,6020000000*(1.651178^(MIN($E2600,123)-117)))*1,0))</f>
        <v>6020000000</v>
      </c>
      <c r="AA2600" s="13">
        <f>$E2600+19</f>
        <v>136</v>
      </c>
      <c r="AB2600" s="14">
        <f>IF($J2600=0,0,ROUND(MAX($J2600*1.4*1.5*1.6*1.6*2.2*2.715*2.6*1.4*1.4,8430000000*(1.651435^(MIN($E2600,123)-117)))*1,0))</f>
        <v>8430000000</v>
      </c>
      <c r="AC2600" s="11">
        <f>$E2600+21</f>
        <v>138</v>
      </c>
      <c r="AD2600" s="12">
        <f>IF($J2600=0,0,ROUND(MAX($J2600*1.4*1.5*1.6*1.6*2.2*2.715*2.6*1.4*1.4*1.5,12600000000*(1.652953^(MIN($E2600,123)-117)))*1,0))</f>
        <v>12600000000</v>
      </c>
      <c r="AE2600" s="13">
        <f>$E2600+24</f>
        <v>141</v>
      </c>
      <c r="AF2600" s="14">
        <f>IF($J2600=0,0,ROUND(MAX($J2600*1.4*1.5*1.6*1.6*2.2*2.715*2.6*1.4*1.4*1.5*1.5,18900000000*(1.65331^(MIN($E2600,123)-117)))*1,0))</f>
        <v>18900000000</v>
      </c>
      <c r="AG2600" s="11">
        <f>$E2600+27</f>
        <v>144</v>
      </c>
      <c r="AH2600" s="12">
        <f>IF($J2600=0,0,ROUND(MAX($J2600*1.4*1.5*1.6*1.6*2.2*2.715*2.6*1.4*1.4*1.5*1.5*3.2,60500000000*(1.654288^(MIN($E2600,123)-117)))*1,0))</f>
        <v>60500000000</v>
      </c>
    </row>
    <row r="2601" ht="28" customHeight="1" spans="1:34" x14ac:dyDescent="0.25">
      <c r="A2601">
        <v>2611</v>
      </c>
      <c r="B2601" t="s">
        <v>1557</v>
      </c>
      <c r="C2601" s="10" t="s">
        <v>1533</v>
      </c>
      <c r="D2601" t="s">
        <v>47</v>
      </c>
      <c r="E2601">
        <v>117</v>
      </c>
      <c r="F2601" t="s">
        <v>223</v>
      </c>
      <c r="G2601" t="s">
        <v>213</v>
      </c>
      <c r="H2601">
        <v>25</v>
      </c>
      <c r="I2601" s="11">
        <v>117</v>
      </c>
      <c r="J2601" s="12">
        <v>642000</v>
      </c>
      <c r="K2601" s="13">
        <f>$E2601+1</f>
        <v>118</v>
      </c>
      <c r="L2601" s="14">
        <f>IF($J2601=0,0,ROUND(MAX($J2601*1.4,1620000*(1.497923^(MIN($E2601,123)-117)))*1,0))</f>
        <v>1620000</v>
      </c>
      <c r="M2601" s="11">
        <f>$E2601+2</f>
        <v>119</v>
      </c>
      <c r="N2601" s="12">
        <f>IF($J2601=0,0,ROUND(MAX($J2601*1.4*1.5,2190000*(1.580994^(MIN($E2601,123)-117)))*1,0))</f>
        <v>2190000</v>
      </c>
      <c r="O2601" s="13">
        <f>$E2601+4</f>
        <v>121</v>
      </c>
      <c r="P2601" s="14">
        <f>IF($J2601=0,0,ROUND(MAX($J2601*1.4*1.5*1.6,3500000*(1.57975^(MIN($E2601,123)-117)))*1,0))</f>
        <v>3500000</v>
      </c>
      <c r="Q2601" s="11">
        <f>$E2601+6</f>
        <v>123</v>
      </c>
      <c r="R2601" s="12">
        <f>IF($J2601=0,0,ROUND(MAX($J2601*1.4*1.5*1.6*1.6,13100000*(1.429962^(MIN($E2601,123)-117)))*1,0))</f>
        <v>13100000</v>
      </c>
      <c r="S2601" s="13">
        <f>$E2601+8</f>
        <v>125</v>
      </c>
      <c r="T2601" s="14">
        <f>IF($J2601=0,0,ROUND(MAX($J2601*1.4*1.5*1.6*1.6*2.2,42600000*(1.576904^(MIN($E2601,123)-117)))*1,0))</f>
        <v>42600000</v>
      </c>
      <c r="U2601" s="11">
        <f>$E2601+11</f>
        <v>128</v>
      </c>
      <c r="V2601" s="12">
        <f>IF($J2601=0,0,ROUND(MAX($J2601*1.4*1.5*1.6*1.6*2.2*2.715,354000000*(1.642074^(MIN($E2601,123)-117)))*1,0))</f>
        <v>354000000</v>
      </c>
      <c r="W2601" s="13">
        <f>$E2601+15</f>
        <v>132</v>
      </c>
      <c r="X2601" s="14">
        <f>IF($J2601=0,0,ROUND(MAX($J2601*1.4*1.5*1.6*1.6*2.2*2.715*2.6,3540000000*(1.579646^(MIN($E2601,123)-117)))*1,0))</f>
        <v>3540000000</v>
      </c>
      <c r="Y2601" s="11">
        <f>$E2601+17</f>
        <v>134</v>
      </c>
      <c r="Z2601" s="12">
        <f>IF($J2601=0,0,ROUND(MAX($J2601*1.4*1.5*1.6*1.6*2.2*2.715*2.6*1.4,6020000000*(1.651178^(MIN($E2601,123)-117)))*1,0))</f>
        <v>6020000000</v>
      </c>
      <c r="AA2601" s="13">
        <f>$E2601+19</f>
        <v>136</v>
      </c>
      <c r="AB2601" s="14">
        <f>IF($J2601=0,0,ROUND(MAX($J2601*1.4*1.5*1.6*1.6*2.2*2.715*2.6*1.4*1.4,8430000000*(1.651435^(MIN($E2601,123)-117)))*1,0))</f>
        <v>8430000000</v>
      </c>
      <c r="AC2601" s="11">
        <f>$E2601+21</f>
        <v>138</v>
      </c>
      <c r="AD2601" s="12">
        <f>IF($J2601=0,0,ROUND(MAX($J2601*1.4*1.5*1.6*1.6*2.2*2.715*2.6*1.4*1.4*1.5,12600000000*(1.652953^(MIN($E2601,123)-117)))*1,0))</f>
        <v>12600000000</v>
      </c>
      <c r="AE2601" s="13">
        <f>$E2601+24</f>
        <v>141</v>
      </c>
      <c r="AF2601" s="14">
        <f>IF($J2601=0,0,ROUND(MAX($J2601*1.4*1.5*1.6*1.6*2.2*2.715*2.6*1.4*1.4*1.5*1.5,18900000000*(1.65331^(MIN($E2601,123)-117)))*1,0))</f>
        <v>18900000000</v>
      </c>
      <c r="AG2601" s="11">
        <f>$E2601+27</f>
        <v>144</v>
      </c>
      <c r="AH2601" s="12">
        <f>IF($J2601=0,0,ROUND(MAX($J2601*1.4*1.5*1.6*1.6*2.2*2.715*2.6*1.4*1.4*1.5*1.5*3.2,60500000000*(1.654288^(MIN($E2601,123)-117)))*1,0))</f>
        <v>60500000000</v>
      </c>
    </row>
    <row r="2602" ht="28" customHeight="1" spans="1:34" x14ac:dyDescent="0.25">
      <c r="A2602">
        <v>2612</v>
      </c>
      <c r="B2602" t="s">
        <v>1165</v>
      </c>
      <c r="C2602" s="10" t="s">
        <v>1533</v>
      </c>
      <c r="D2602" t="s">
        <v>47</v>
      </c>
      <c r="E2602">
        <v>117</v>
      </c>
      <c r="F2602" t="s">
        <v>303</v>
      </c>
      <c r="G2602" t="s">
        <v>374</v>
      </c>
      <c r="H2602">
        <v>24</v>
      </c>
      <c r="I2602" s="11">
        <v>117</v>
      </c>
      <c r="J2602" s="12">
        <v>646000</v>
      </c>
      <c r="K2602" s="13">
        <f>$E2602+1</f>
        <v>118</v>
      </c>
      <c r="L2602" s="14">
        <f>IF($J2602=0,0,ROUND(MAX($J2602*1.4,1620000*(1.497923^(MIN($E2602,123)-117)))*1,0))</f>
        <v>1620000</v>
      </c>
      <c r="M2602" s="11">
        <f>$E2602+2</f>
        <v>119</v>
      </c>
      <c r="N2602" s="12">
        <f>IF($J2602=0,0,ROUND(MAX($J2602*1.4*1.5,2190000*(1.580994^(MIN($E2602,123)-117)))*1,0))</f>
        <v>2190000</v>
      </c>
      <c r="O2602" s="13">
        <f>$E2602+4</f>
        <v>121</v>
      </c>
      <c r="P2602" s="14">
        <f>IF($J2602=0,0,ROUND(MAX($J2602*1.4*1.5*1.6,3500000*(1.57975^(MIN($E2602,123)-117)))*1,0))</f>
        <v>3500000</v>
      </c>
      <c r="Q2602" s="11">
        <f>$E2602+6</f>
        <v>123</v>
      </c>
      <c r="R2602" s="12">
        <f>IF($J2602=0,0,ROUND(MAX($J2602*1.4*1.5*1.6*1.6,13100000*(1.429962^(MIN($E2602,123)-117)))*1,0))</f>
        <v>13100000</v>
      </c>
      <c r="S2602" s="13">
        <f>$E2602+8</f>
        <v>125</v>
      </c>
      <c r="T2602" s="14">
        <f>IF($J2602=0,0,ROUND(MAX($J2602*1.4*1.5*1.6*1.6*2.2,42600000*(1.576904^(MIN($E2602,123)-117)))*1,0))</f>
        <v>42600000</v>
      </c>
      <c r="U2602" s="11">
        <f>$E2602+11</f>
        <v>128</v>
      </c>
      <c r="V2602" s="12">
        <f>IF($J2602=0,0,ROUND(MAX($J2602*1.4*1.5*1.6*1.6*2.2*2.715,354000000*(1.642074^(MIN($E2602,123)-117)))*1,0))</f>
        <v>354000000</v>
      </c>
      <c r="W2602" s="13">
        <f>$E2602+15</f>
        <v>132</v>
      </c>
      <c r="X2602" s="14">
        <f>IF($J2602=0,0,ROUND(MAX($J2602*1.4*1.5*1.6*1.6*2.2*2.715*2.6,3540000000*(1.579646^(MIN($E2602,123)-117)))*1,0))</f>
        <v>3540000000</v>
      </c>
      <c r="Y2602" s="11">
        <f>$E2602+17</f>
        <v>134</v>
      </c>
      <c r="Z2602" s="12">
        <f>IF($J2602=0,0,ROUND(MAX($J2602*1.4*1.5*1.6*1.6*2.2*2.715*2.6*1.4,6020000000*(1.651178^(MIN($E2602,123)-117)))*1,0))</f>
        <v>6020000000</v>
      </c>
      <c r="AA2602" s="13">
        <f>$E2602+19</f>
        <v>136</v>
      </c>
      <c r="AB2602" s="14">
        <f>IF($J2602=0,0,ROUND(MAX($J2602*1.4*1.5*1.6*1.6*2.2*2.715*2.6*1.4*1.4,8430000000*(1.651435^(MIN($E2602,123)-117)))*1,0))</f>
        <v>8430000000</v>
      </c>
      <c r="AC2602" s="11">
        <f>$E2602+21</f>
        <v>138</v>
      </c>
      <c r="AD2602" s="12">
        <f>IF($J2602=0,0,ROUND(MAX($J2602*1.4*1.5*1.6*1.6*2.2*2.715*2.6*1.4*1.4*1.5,12600000000*(1.652953^(MIN($E2602,123)-117)))*1,0))</f>
        <v>12600000000</v>
      </c>
      <c r="AE2602" s="13">
        <f>$E2602+24</f>
        <v>141</v>
      </c>
      <c r="AF2602" s="14">
        <f>IF($J2602=0,0,ROUND(MAX($J2602*1.4*1.5*1.6*1.6*2.2*2.715*2.6*1.4*1.4*1.5*1.5,18900000000*(1.65331^(MIN($E2602,123)-117)))*1,0))</f>
        <v>18900000000</v>
      </c>
      <c r="AG2602" s="11">
        <f>$E2602+27</f>
        <v>144</v>
      </c>
      <c r="AH2602" s="12">
        <f>IF($J2602=0,0,ROUND(MAX($J2602*1.4*1.5*1.6*1.6*2.2*2.715*2.6*1.4*1.4*1.5*1.5*3.2,60500000000*(1.654288^(MIN($E2602,123)-117)))*1,0))</f>
        <v>60500000000</v>
      </c>
    </row>
    <row r="2603" ht="28" customHeight="1" spans="1:34" x14ac:dyDescent="0.25">
      <c r="A2603">
        <v>2613</v>
      </c>
      <c r="B2603" t="s">
        <v>1167</v>
      </c>
      <c r="C2603" s="10" t="s">
        <v>1533</v>
      </c>
      <c r="D2603" t="s">
        <v>47</v>
      </c>
      <c r="E2603">
        <v>117</v>
      </c>
      <c r="F2603" t="s">
        <v>26</v>
      </c>
      <c r="G2603" t="s">
        <v>832</v>
      </c>
      <c r="H2603">
        <v>24</v>
      </c>
      <c r="I2603" s="11">
        <v>117</v>
      </c>
      <c r="J2603" s="12">
        <v>648000</v>
      </c>
      <c r="K2603" s="13">
        <f>$E2603+1</f>
        <v>118</v>
      </c>
      <c r="L2603" s="14">
        <f>IF($J2603=0,0,ROUND(MAX($J2603*1.4,1620000*(1.497923^(MIN($E2603,123)-117)))*1,0))</f>
        <v>1620000</v>
      </c>
      <c r="M2603" s="11">
        <f>$E2603+2</f>
        <v>119</v>
      </c>
      <c r="N2603" s="12">
        <f>IF($J2603=0,0,ROUND(MAX($J2603*1.4*1.5,2190000*(1.580994^(MIN($E2603,123)-117)))*1,0))</f>
        <v>2190000</v>
      </c>
      <c r="O2603" s="13">
        <f>$E2603+4</f>
        <v>121</v>
      </c>
      <c r="P2603" s="14">
        <f>IF($J2603=0,0,ROUND(MAX($J2603*1.4*1.5*1.6,3500000*(1.57975^(MIN($E2603,123)-117)))*1,0))</f>
        <v>3500000</v>
      </c>
      <c r="Q2603" s="11">
        <f>$E2603+6</f>
        <v>123</v>
      </c>
      <c r="R2603" s="12">
        <f>IF($J2603=0,0,ROUND(MAX($J2603*1.4*1.5*1.6*1.6,13100000*(1.429962^(MIN($E2603,123)-117)))*1,0))</f>
        <v>13100000</v>
      </c>
      <c r="S2603" s="13">
        <f>$E2603+8</f>
        <v>125</v>
      </c>
      <c r="T2603" s="14">
        <f>IF($J2603=0,0,ROUND(MAX($J2603*1.4*1.5*1.6*1.6*2.2,42600000*(1.576904^(MIN($E2603,123)-117)))*1,0))</f>
        <v>42600000</v>
      </c>
      <c r="U2603" s="11">
        <f>$E2603+11</f>
        <v>128</v>
      </c>
      <c r="V2603" s="12">
        <f>IF($J2603=0,0,ROUND(MAX($J2603*1.4*1.5*1.6*1.6*2.2*2.715,354000000*(1.642074^(MIN($E2603,123)-117)))*1,0))</f>
        <v>354000000</v>
      </c>
      <c r="W2603" s="13">
        <f>$E2603+15</f>
        <v>132</v>
      </c>
      <c r="X2603" s="14">
        <f>IF($J2603=0,0,ROUND(MAX($J2603*1.4*1.5*1.6*1.6*2.2*2.715*2.6,3540000000*(1.579646^(MIN($E2603,123)-117)))*1,0))</f>
        <v>3540000000</v>
      </c>
      <c r="Y2603" s="11">
        <f>$E2603+17</f>
        <v>134</v>
      </c>
      <c r="Z2603" s="12">
        <f>IF($J2603=0,0,ROUND(MAX($J2603*1.4*1.5*1.6*1.6*2.2*2.715*2.6*1.4,6020000000*(1.651178^(MIN($E2603,123)-117)))*1,0))</f>
        <v>6020000000</v>
      </c>
      <c r="AA2603" s="13">
        <f>$E2603+19</f>
        <v>136</v>
      </c>
      <c r="AB2603" s="14">
        <f>IF($J2603=0,0,ROUND(MAX($J2603*1.4*1.5*1.6*1.6*2.2*2.715*2.6*1.4*1.4,8430000000*(1.651435^(MIN($E2603,123)-117)))*1,0))</f>
        <v>8430000000</v>
      </c>
      <c r="AC2603" s="11">
        <f>$E2603+21</f>
        <v>138</v>
      </c>
      <c r="AD2603" s="12">
        <f>IF($J2603=0,0,ROUND(MAX($J2603*1.4*1.5*1.6*1.6*2.2*2.715*2.6*1.4*1.4*1.5,12600000000*(1.652953^(MIN($E2603,123)-117)))*1,0))</f>
        <v>12600000000</v>
      </c>
      <c r="AE2603" s="13">
        <f>$E2603+24</f>
        <v>141</v>
      </c>
      <c r="AF2603" s="14">
        <f>IF($J2603=0,0,ROUND(MAX($J2603*1.4*1.5*1.6*1.6*2.2*2.715*2.6*1.4*1.4*1.5*1.5,18900000000*(1.65331^(MIN($E2603,123)-117)))*1,0))</f>
        <v>18900000000</v>
      </c>
      <c r="AG2603" s="11">
        <f>$E2603+27</f>
        <v>144</v>
      </c>
      <c r="AH2603" s="12">
        <f>IF($J2603=0,0,ROUND(MAX($J2603*1.4*1.5*1.6*1.6*2.2*2.715*2.6*1.4*1.4*1.5*1.5*3.2,60500000000*(1.654288^(MIN($E2603,123)-117)))*1,0))</f>
        <v>60500000000</v>
      </c>
    </row>
    <row r="2604" ht="28" customHeight="1" spans="1:34" x14ac:dyDescent="0.25">
      <c r="A2604">
        <v>2614</v>
      </c>
      <c r="B2604" t="s">
        <v>540</v>
      </c>
      <c r="C2604" s="10" t="s">
        <v>1533</v>
      </c>
      <c r="D2604" t="s">
        <v>79</v>
      </c>
      <c r="E2604">
        <v>116</v>
      </c>
      <c r="F2604" t="s">
        <v>412</v>
      </c>
      <c r="G2604" t="s">
        <v>252</v>
      </c>
      <c r="H2604">
        <v>30</v>
      </c>
      <c r="I2604" s="11">
        <v>116</v>
      </c>
      <c r="J2604" s="12">
        <v>569000</v>
      </c>
      <c r="K2604" s="13">
        <f>$E2604+1</f>
        <v>117</v>
      </c>
      <c r="L2604" s="14">
        <f>IF($J2604=0,0,ROUND(MAX($J2604*1.4,1620000*(1.497923^(MIN($E2604,123)-117)))*1,0))</f>
        <v>1081498</v>
      </c>
      <c r="M2604" s="11">
        <f>$E2604+2</f>
        <v>118</v>
      </c>
      <c r="N2604" s="12">
        <f>IF($J2604=0,0,ROUND(MAX($J2604*1.4*1.5,2190000*(1.580994^(MIN($E2604,123)-117)))*1,0))</f>
        <v>1385204</v>
      </c>
      <c r="O2604" s="13">
        <f>$E2604+4</f>
        <v>120</v>
      </c>
      <c r="P2604" s="14">
        <f>IF($J2604=0,0,ROUND(MAX($J2604*1.4*1.5*1.6,3500000*(1.57975^(MIN($E2604,123)-117)))*1,0))</f>
        <v>2215540</v>
      </c>
      <c r="Q2604" s="11">
        <f>$E2604+6</f>
        <v>122</v>
      </c>
      <c r="R2604" s="12">
        <f>IF($J2604=0,0,ROUND(MAX($J2604*1.4*1.5*1.6*1.6,13100000*(1.429962^(MIN($E2604,123)-117)))*1,0))</f>
        <v>9161083</v>
      </c>
      <c r="S2604" s="13">
        <f>$E2604+8</f>
        <v>124</v>
      </c>
      <c r="T2604" s="14">
        <f>IF($J2604=0,0,ROUND(MAX($J2604*1.4*1.5*1.6*1.6*2.2,42600000*(1.576904^(MIN($E2604,123)-117)))*1,0))</f>
        <v>27014961</v>
      </c>
      <c r="U2604" s="11">
        <f>$E2604+11</f>
        <v>127</v>
      </c>
      <c r="V2604" s="12">
        <f>IF($J2604=0,0,ROUND(MAX($J2604*1.4*1.5*1.6*1.6*2.2*2.715,354000000*(1.642074^(MIN($E2604,123)-117)))*1,0))</f>
        <v>215581027</v>
      </c>
      <c r="W2604" s="13">
        <f>$E2604+15</f>
        <v>131</v>
      </c>
      <c r="X2604" s="14">
        <f>IF($J2604=0,0,ROUND(MAX($J2604*1.4*1.5*1.6*1.6*2.2*2.715*2.6,3540000000*(1.579646^(MIN($E2604,123)-117)))*1,0))</f>
        <v>2241008428</v>
      </c>
      <c r="Y2604" s="11">
        <f>$E2604+17</f>
        <v>133</v>
      </c>
      <c r="Z2604" s="12">
        <f>IF($J2604=0,0,ROUND(MAX($J2604*1.4*1.5*1.6*1.6*2.2*2.715*2.6*1.4,6020000000*(1.651178^(MIN($E2604,123)-117)))*1,0))</f>
        <v>3645881910</v>
      </c>
      <c r="AA2604" s="13">
        <f>$E2604+19</f>
        <v>135</v>
      </c>
      <c r="AB2604" s="14">
        <f>IF($J2604=0,0,ROUND(MAX($J2604*1.4*1.5*1.6*1.6*2.2*2.715*2.6*1.4*1.4,8430000000*(1.651435^(MIN($E2604,123)-117)))*1,0))</f>
        <v>5104651409</v>
      </c>
      <c r="AC2604" s="11">
        <f>$E2604+21</f>
        <v>137</v>
      </c>
      <c r="AD2604" s="12">
        <f>IF($J2604=0,0,ROUND(MAX($J2604*1.4*1.5*1.6*1.6*2.2*2.715*2.6*1.4*1.4*1.5,12600000000*(1.652953^(MIN($E2604,123)-117)))*1,0))</f>
        <v>7622721275</v>
      </c>
      <c r="AE2604" s="13">
        <f>$E2604+24</f>
        <v>140</v>
      </c>
      <c r="AF2604" s="14">
        <f>IF($J2604=0,0,ROUND(MAX($J2604*1.4*1.5*1.6*1.6*2.2*2.715*2.6*1.4*1.4*1.5*1.5,18900000000*(1.65331^(MIN($E2604,123)-117)))*1,0))</f>
        <v>11431612946</v>
      </c>
      <c r="AG2604" s="11">
        <f>$E2604+27</f>
        <v>143</v>
      </c>
      <c r="AH2604" s="12">
        <f>IF($J2604=0,0,ROUND(MAX($J2604*1.4*1.5*1.6*1.6*2.2*2.715*2.6*1.4*1.4*1.5*1.5*3.2,60500000000*(1.654288^(MIN($E2604,123)-117)))*1,0))</f>
        <v>36571624772</v>
      </c>
    </row>
    <row r="2605" ht="28" customHeight="1" spans="1:34" x14ac:dyDescent="0.25">
      <c r="A2605">
        <v>2615</v>
      </c>
      <c r="B2605" t="s">
        <v>390</v>
      </c>
      <c r="C2605" s="10" t="s">
        <v>1533</v>
      </c>
      <c r="D2605" t="s">
        <v>25</v>
      </c>
      <c r="E2605">
        <v>116</v>
      </c>
      <c r="F2605" t="s">
        <v>212</v>
      </c>
      <c r="G2605" t="s">
        <v>379</v>
      </c>
      <c r="H2605">
        <v>29</v>
      </c>
      <c r="I2605" s="11">
        <v>116</v>
      </c>
      <c r="J2605" s="12">
        <v>582000</v>
      </c>
      <c r="K2605" s="13">
        <f>$E2605+1</f>
        <v>117</v>
      </c>
      <c r="L2605" s="14">
        <f>IF($J2605=0,0,ROUND(MAX($J2605*1.4,1620000*(1.497923^(MIN($E2605,123)-117)))*1,0))</f>
        <v>1081498</v>
      </c>
      <c r="M2605" s="11">
        <f>$E2605+2</f>
        <v>118</v>
      </c>
      <c r="N2605" s="12">
        <f>IF($J2605=0,0,ROUND(MAX($J2605*1.4*1.5,2190000*(1.580994^(MIN($E2605,123)-117)))*1,0))</f>
        <v>1385204</v>
      </c>
      <c r="O2605" s="13">
        <f>$E2605+4</f>
        <v>120</v>
      </c>
      <c r="P2605" s="14">
        <f>IF($J2605=0,0,ROUND(MAX($J2605*1.4*1.5*1.6,3500000*(1.57975^(MIN($E2605,123)-117)))*1,0))</f>
        <v>2215540</v>
      </c>
      <c r="Q2605" s="11">
        <f>$E2605+6</f>
        <v>122</v>
      </c>
      <c r="R2605" s="12">
        <f>IF($J2605=0,0,ROUND(MAX($J2605*1.4*1.5*1.6*1.6,13100000*(1.429962^(MIN($E2605,123)-117)))*1,0))</f>
        <v>9161083</v>
      </c>
      <c r="S2605" s="13">
        <f>$E2605+8</f>
        <v>124</v>
      </c>
      <c r="T2605" s="14">
        <f>IF($J2605=0,0,ROUND(MAX($J2605*1.4*1.5*1.6*1.6*2.2,42600000*(1.576904^(MIN($E2605,123)-117)))*1,0))</f>
        <v>27014961</v>
      </c>
      <c r="U2605" s="11">
        <f>$E2605+11</f>
        <v>127</v>
      </c>
      <c r="V2605" s="12">
        <f>IF($J2605=0,0,ROUND(MAX($J2605*1.4*1.5*1.6*1.6*2.2*2.715,354000000*(1.642074^(MIN($E2605,123)-117)))*1,0))</f>
        <v>215581027</v>
      </c>
      <c r="W2605" s="13">
        <f>$E2605+15</f>
        <v>131</v>
      </c>
      <c r="X2605" s="14">
        <f>IF($J2605=0,0,ROUND(MAX($J2605*1.4*1.5*1.6*1.6*2.2*2.715*2.6,3540000000*(1.579646^(MIN($E2605,123)-117)))*1,0))</f>
        <v>2241008428</v>
      </c>
      <c r="Y2605" s="11">
        <f>$E2605+17</f>
        <v>133</v>
      </c>
      <c r="Z2605" s="12">
        <f>IF($J2605=0,0,ROUND(MAX($J2605*1.4*1.5*1.6*1.6*2.2*2.715*2.6*1.4,6020000000*(1.651178^(MIN($E2605,123)-117)))*1,0))</f>
        <v>3645881910</v>
      </c>
      <c r="AA2605" s="13">
        <f>$E2605+19</f>
        <v>135</v>
      </c>
      <c r="AB2605" s="14">
        <f>IF($J2605=0,0,ROUND(MAX($J2605*1.4*1.5*1.6*1.6*2.2*2.715*2.6*1.4*1.4,8430000000*(1.651435^(MIN($E2605,123)-117)))*1,0))</f>
        <v>5104651409</v>
      </c>
      <c r="AC2605" s="11">
        <f>$E2605+21</f>
        <v>137</v>
      </c>
      <c r="AD2605" s="12">
        <f>IF($J2605=0,0,ROUND(MAX($J2605*1.4*1.5*1.6*1.6*2.2*2.715*2.6*1.4*1.4*1.5,12600000000*(1.652953^(MIN($E2605,123)-117)))*1,0))</f>
        <v>7622721275</v>
      </c>
      <c r="AE2605" s="13">
        <f>$E2605+24</f>
        <v>140</v>
      </c>
      <c r="AF2605" s="14">
        <f>IF($J2605=0,0,ROUND(MAX($J2605*1.4*1.5*1.6*1.6*2.2*2.715*2.6*1.4*1.4*1.5*1.5,18900000000*(1.65331^(MIN($E2605,123)-117)))*1,0))</f>
        <v>11431612946</v>
      </c>
      <c r="AG2605" s="11">
        <f>$E2605+27</f>
        <v>143</v>
      </c>
      <c r="AH2605" s="12">
        <f>IF($J2605=0,0,ROUND(MAX($J2605*1.4*1.5*1.6*1.6*2.2*2.715*2.6*1.4*1.4*1.5*1.5*3.2,60500000000*(1.654288^(MIN($E2605,123)-117)))*1,0))</f>
        <v>36571624772</v>
      </c>
    </row>
    <row r="2606" ht="28" customHeight="1" spans="1:34" x14ac:dyDescent="0.25">
      <c r="A2606">
        <v>2616</v>
      </c>
      <c r="B2606" t="s">
        <v>411</v>
      </c>
      <c r="C2606" s="10" t="s">
        <v>1533</v>
      </c>
      <c r="D2606" t="s">
        <v>33</v>
      </c>
      <c r="E2606">
        <v>116</v>
      </c>
      <c r="F2606" t="s">
        <v>412</v>
      </c>
      <c r="G2606" t="s">
        <v>374</v>
      </c>
      <c r="H2606">
        <v>29</v>
      </c>
      <c r="I2606" s="11">
        <v>116</v>
      </c>
      <c r="J2606" s="12">
        <v>627000</v>
      </c>
      <c r="K2606" s="13">
        <f>$E2606+1</f>
        <v>117</v>
      </c>
      <c r="L2606" s="14">
        <f>IF($J2606=0,0,ROUND(MAX($J2606*1.4,1620000*(1.497923^(MIN($E2606,123)-117)))*1,0))</f>
        <v>1081498</v>
      </c>
      <c r="M2606" s="11">
        <f>$E2606+2</f>
        <v>118</v>
      </c>
      <c r="N2606" s="12">
        <f>IF($J2606=0,0,ROUND(MAX($J2606*1.4*1.5,2190000*(1.580994^(MIN($E2606,123)-117)))*1,0))</f>
        <v>1385204</v>
      </c>
      <c r="O2606" s="13">
        <f>$E2606+4</f>
        <v>120</v>
      </c>
      <c r="P2606" s="14">
        <f>IF($J2606=0,0,ROUND(MAX($J2606*1.4*1.5*1.6,3500000*(1.57975^(MIN($E2606,123)-117)))*1,0))</f>
        <v>2215540</v>
      </c>
      <c r="Q2606" s="11">
        <f>$E2606+6</f>
        <v>122</v>
      </c>
      <c r="R2606" s="12">
        <f>IF($J2606=0,0,ROUND(MAX($J2606*1.4*1.5*1.6*1.6,13100000*(1.429962^(MIN($E2606,123)-117)))*1,0))</f>
        <v>9161083</v>
      </c>
      <c r="S2606" s="13">
        <f>$E2606+8</f>
        <v>124</v>
      </c>
      <c r="T2606" s="14">
        <f>IF($J2606=0,0,ROUND(MAX($J2606*1.4*1.5*1.6*1.6*2.2,42600000*(1.576904^(MIN($E2606,123)-117)))*1,0))</f>
        <v>27014961</v>
      </c>
      <c r="U2606" s="11">
        <f>$E2606+11</f>
        <v>127</v>
      </c>
      <c r="V2606" s="12">
        <f>IF($J2606=0,0,ROUND(MAX($J2606*1.4*1.5*1.6*1.6*2.2*2.715,354000000*(1.642074^(MIN($E2606,123)-117)))*1,0))</f>
        <v>215581027</v>
      </c>
      <c r="W2606" s="13">
        <f>$E2606+15</f>
        <v>131</v>
      </c>
      <c r="X2606" s="14">
        <f>IF($J2606=0,0,ROUND(MAX($J2606*1.4*1.5*1.6*1.6*2.2*2.715*2.6,3540000000*(1.579646^(MIN($E2606,123)-117)))*1,0))</f>
        <v>2241008428</v>
      </c>
      <c r="Y2606" s="11">
        <f>$E2606+17</f>
        <v>133</v>
      </c>
      <c r="Z2606" s="12">
        <f>IF($J2606=0,0,ROUND(MAX($J2606*1.4*1.5*1.6*1.6*2.2*2.715*2.6*1.4,6020000000*(1.651178^(MIN($E2606,123)-117)))*1,0))</f>
        <v>3645881910</v>
      </c>
      <c r="AA2606" s="13">
        <f>$E2606+19</f>
        <v>135</v>
      </c>
      <c r="AB2606" s="14">
        <f>IF($J2606=0,0,ROUND(MAX($J2606*1.4*1.5*1.6*1.6*2.2*2.715*2.6*1.4*1.4,8430000000*(1.651435^(MIN($E2606,123)-117)))*1,0))</f>
        <v>5104651409</v>
      </c>
      <c r="AC2606" s="11">
        <f>$E2606+21</f>
        <v>137</v>
      </c>
      <c r="AD2606" s="12">
        <f>IF($J2606=0,0,ROUND(MAX($J2606*1.4*1.5*1.6*1.6*2.2*2.715*2.6*1.4*1.4*1.5,12600000000*(1.652953^(MIN($E2606,123)-117)))*1,0))</f>
        <v>7622721275</v>
      </c>
      <c r="AE2606" s="13">
        <f>$E2606+24</f>
        <v>140</v>
      </c>
      <c r="AF2606" s="14">
        <f>IF($J2606=0,0,ROUND(MAX($J2606*1.4*1.5*1.6*1.6*2.2*2.715*2.6*1.4*1.4*1.5*1.5,18900000000*(1.65331^(MIN($E2606,123)-117)))*1,0))</f>
        <v>11431612946</v>
      </c>
      <c r="AG2606" s="11">
        <f>$E2606+27</f>
        <v>143</v>
      </c>
      <c r="AH2606" s="12">
        <f>IF($J2606=0,0,ROUND(MAX($J2606*1.4*1.5*1.6*1.6*2.2*2.715*2.6*1.4*1.4*1.5*1.5*3.2,60500000000*(1.654288^(MIN($E2606,123)-117)))*1,0))</f>
        <v>36571624772</v>
      </c>
    </row>
    <row r="2607" ht="28" customHeight="1" spans="1:34" x14ac:dyDescent="0.25">
      <c r="A2607">
        <v>2617</v>
      </c>
      <c r="B2607" t="s">
        <v>1129</v>
      </c>
      <c r="C2607" s="10" t="s">
        <v>1533</v>
      </c>
      <c r="D2607" t="s">
        <v>40</v>
      </c>
      <c r="E2607">
        <v>116</v>
      </c>
      <c r="F2607" t="s">
        <v>1093</v>
      </c>
      <c r="G2607" t="s">
        <v>1505</v>
      </c>
      <c r="H2607">
        <v>29</v>
      </c>
      <c r="I2607" s="11">
        <v>116</v>
      </c>
      <c r="J2607" s="12">
        <v>585000</v>
      </c>
      <c r="K2607" s="13">
        <f>$E2607+1</f>
        <v>117</v>
      </c>
      <c r="L2607" s="14">
        <f>IF($J2607=0,0,ROUND(MAX($J2607*1.4,1620000*(1.497923^(MIN($E2607,123)-117)))*1,0))</f>
        <v>1081498</v>
      </c>
      <c r="M2607" s="11">
        <f>$E2607+2</f>
        <v>118</v>
      </c>
      <c r="N2607" s="12">
        <f>IF($J2607=0,0,ROUND(MAX($J2607*1.4*1.5,2190000*(1.580994^(MIN($E2607,123)-117)))*1,0))</f>
        <v>1385204</v>
      </c>
      <c r="O2607" s="13">
        <f>$E2607+4</f>
        <v>120</v>
      </c>
      <c r="P2607" s="14">
        <f>IF($J2607=0,0,ROUND(MAX($J2607*1.4*1.5*1.6,3500000*(1.57975^(MIN($E2607,123)-117)))*1,0))</f>
        <v>2215540</v>
      </c>
      <c r="Q2607" s="11">
        <f>$E2607+6</f>
        <v>122</v>
      </c>
      <c r="R2607" s="12">
        <f>IF($J2607=0,0,ROUND(MAX($J2607*1.4*1.5*1.6*1.6,13100000*(1.429962^(MIN($E2607,123)-117)))*1,0))</f>
        <v>9161083</v>
      </c>
      <c r="S2607" s="13">
        <f>$E2607+8</f>
        <v>124</v>
      </c>
      <c r="T2607" s="14">
        <f>IF($J2607=0,0,ROUND(MAX($J2607*1.4*1.5*1.6*1.6*2.2,42600000*(1.576904^(MIN($E2607,123)-117)))*1,0))</f>
        <v>27014961</v>
      </c>
      <c r="U2607" s="11">
        <f>$E2607+11</f>
        <v>127</v>
      </c>
      <c r="V2607" s="12">
        <f>IF($J2607=0,0,ROUND(MAX($J2607*1.4*1.5*1.6*1.6*2.2*2.715,354000000*(1.642074^(MIN($E2607,123)-117)))*1,0))</f>
        <v>215581027</v>
      </c>
      <c r="W2607" s="13">
        <f>$E2607+15</f>
        <v>131</v>
      </c>
      <c r="X2607" s="14">
        <f>IF($J2607=0,0,ROUND(MAX($J2607*1.4*1.5*1.6*1.6*2.2*2.715*2.6,3540000000*(1.579646^(MIN($E2607,123)-117)))*1,0))</f>
        <v>2241008428</v>
      </c>
      <c r="Y2607" s="11">
        <f>$E2607+17</f>
        <v>133</v>
      </c>
      <c r="Z2607" s="12">
        <f>IF($J2607=0,0,ROUND(MAX($J2607*1.4*1.5*1.6*1.6*2.2*2.715*2.6*1.4,6020000000*(1.651178^(MIN($E2607,123)-117)))*1,0))</f>
        <v>3645881910</v>
      </c>
      <c r="AA2607" s="13">
        <f>$E2607+19</f>
        <v>135</v>
      </c>
      <c r="AB2607" s="14">
        <f>IF($J2607=0,0,ROUND(MAX($J2607*1.4*1.5*1.6*1.6*2.2*2.715*2.6*1.4*1.4,8430000000*(1.651435^(MIN($E2607,123)-117)))*1,0))</f>
        <v>5104651409</v>
      </c>
      <c r="AC2607" s="11">
        <f>$E2607+21</f>
        <v>137</v>
      </c>
      <c r="AD2607" s="12">
        <f>IF($J2607=0,0,ROUND(MAX($J2607*1.4*1.5*1.6*1.6*2.2*2.715*2.6*1.4*1.4*1.5,12600000000*(1.652953^(MIN($E2607,123)-117)))*1,0))</f>
        <v>7622721275</v>
      </c>
      <c r="AE2607" s="13">
        <f>$E2607+24</f>
        <v>140</v>
      </c>
      <c r="AF2607" s="14">
        <f>IF($J2607=0,0,ROUND(MAX($J2607*1.4*1.5*1.6*1.6*2.2*2.715*2.6*1.4*1.4*1.5*1.5,18900000000*(1.65331^(MIN($E2607,123)-117)))*1,0))</f>
        <v>11431612946</v>
      </c>
      <c r="AG2607" s="11">
        <f>$E2607+27</f>
        <v>143</v>
      </c>
      <c r="AH2607" s="12">
        <f>IF($J2607=0,0,ROUND(MAX($J2607*1.4*1.5*1.6*1.6*2.2*2.715*2.6*1.4*1.4*1.5*1.5*3.2,60500000000*(1.654288^(MIN($E2607,123)-117)))*1,0))</f>
        <v>36571624772</v>
      </c>
    </row>
    <row r="2608" ht="28" customHeight="1" spans="1:34" x14ac:dyDescent="0.25">
      <c r="A2608">
        <v>2618</v>
      </c>
      <c r="B2608" t="s">
        <v>1201</v>
      </c>
      <c r="C2608" s="10" t="s">
        <v>1533</v>
      </c>
      <c r="D2608" t="s">
        <v>25</v>
      </c>
      <c r="E2608">
        <v>116</v>
      </c>
      <c r="F2608" t="s">
        <v>225</v>
      </c>
      <c r="G2608" t="s">
        <v>319</v>
      </c>
      <c r="H2608">
        <v>28</v>
      </c>
      <c r="I2608" s="11">
        <v>116</v>
      </c>
      <c r="J2608" s="12">
        <v>571000</v>
      </c>
      <c r="K2608" s="13">
        <f>$E2608+1</f>
        <v>117</v>
      </c>
      <c r="L2608" s="14">
        <f>IF($J2608=0,0,ROUND(MAX($J2608*1.4,1620000*(1.497923^(MIN($E2608,123)-117)))*1,0))</f>
        <v>1081498</v>
      </c>
      <c r="M2608" s="11">
        <f>$E2608+2</f>
        <v>118</v>
      </c>
      <c r="N2608" s="12">
        <f>IF($J2608=0,0,ROUND(MAX($J2608*1.4*1.5,2190000*(1.580994^(MIN($E2608,123)-117)))*1,0))</f>
        <v>1385204</v>
      </c>
      <c r="O2608" s="13">
        <f>$E2608+4</f>
        <v>120</v>
      </c>
      <c r="P2608" s="14">
        <f>IF($J2608=0,0,ROUND(MAX($J2608*1.4*1.5*1.6,3500000*(1.57975^(MIN($E2608,123)-117)))*1,0))</f>
        <v>2215540</v>
      </c>
      <c r="Q2608" s="11">
        <f>$E2608+6</f>
        <v>122</v>
      </c>
      <c r="R2608" s="12">
        <f>IF($J2608=0,0,ROUND(MAX($J2608*1.4*1.5*1.6*1.6,13100000*(1.429962^(MIN($E2608,123)-117)))*1,0))</f>
        <v>9161083</v>
      </c>
      <c r="S2608" s="13">
        <f>$E2608+8</f>
        <v>124</v>
      </c>
      <c r="T2608" s="14">
        <f>IF($J2608=0,0,ROUND(MAX($J2608*1.4*1.5*1.6*1.6*2.2,42600000*(1.576904^(MIN($E2608,123)-117)))*1,0))</f>
        <v>27014961</v>
      </c>
      <c r="U2608" s="11">
        <f>$E2608+11</f>
        <v>127</v>
      </c>
      <c r="V2608" s="12">
        <f>IF($J2608=0,0,ROUND(MAX($J2608*1.4*1.5*1.6*1.6*2.2*2.715,354000000*(1.642074^(MIN($E2608,123)-117)))*1,0))</f>
        <v>215581027</v>
      </c>
      <c r="W2608" s="13">
        <f>$E2608+15</f>
        <v>131</v>
      </c>
      <c r="X2608" s="14">
        <f>IF($J2608=0,0,ROUND(MAX($J2608*1.4*1.5*1.6*1.6*2.2*2.715*2.6,3540000000*(1.579646^(MIN($E2608,123)-117)))*1,0))</f>
        <v>2241008428</v>
      </c>
      <c r="Y2608" s="11">
        <f>$E2608+17</f>
        <v>133</v>
      </c>
      <c r="Z2608" s="12">
        <f>IF($J2608=0,0,ROUND(MAX($J2608*1.4*1.5*1.6*1.6*2.2*2.715*2.6*1.4,6020000000*(1.651178^(MIN($E2608,123)-117)))*1,0))</f>
        <v>3645881910</v>
      </c>
      <c r="AA2608" s="13">
        <f>$E2608+19</f>
        <v>135</v>
      </c>
      <c r="AB2608" s="14">
        <f>IF($J2608=0,0,ROUND(MAX($J2608*1.4*1.5*1.6*1.6*2.2*2.715*2.6*1.4*1.4,8430000000*(1.651435^(MIN($E2608,123)-117)))*1,0))</f>
        <v>5104651409</v>
      </c>
      <c r="AC2608" s="11">
        <f>$E2608+21</f>
        <v>137</v>
      </c>
      <c r="AD2608" s="12">
        <f>IF($J2608=0,0,ROUND(MAX($J2608*1.4*1.5*1.6*1.6*2.2*2.715*2.6*1.4*1.4*1.5,12600000000*(1.652953^(MIN($E2608,123)-117)))*1,0))</f>
        <v>7622721275</v>
      </c>
      <c r="AE2608" s="13">
        <f>$E2608+24</f>
        <v>140</v>
      </c>
      <c r="AF2608" s="14">
        <f>IF($J2608=0,0,ROUND(MAX($J2608*1.4*1.5*1.6*1.6*2.2*2.715*2.6*1.4*1.4*1.5*1.5,18900000000*(1.65331^(MIN($E2608,123)-117)))*1,0))</f>
        <v>11431612946</v>
      </c>
      <c r="AG2608" s="11">
        <f>$E2608+27</f>
        <v>143</v>
      </c>
      <c r="AH2608" s="12">
        <f>IF($J2608=0,0,ROUND(MAX($J2608*1.4*1.5*1.6*1.6*2.2*2.715*2.6*1.4*1.4*1.5*1.5*3.2,60500000000*(1.654288^(MIN($E2608,123)-117)))*1,0))</f>
        <v>36571624772</v>
      </c>
    </row>
    <row r="2609" ht="28" customHeight="1" spans="1:34" x14ac:dyDescent="0.25">
      <c r="A2609">
        <v>2619</v>
      </c>
      <c r="B2609" t="s">
        <v>253</v>
      </c>
      <c r="C2609" s="10" t="s">
        <v>1533</v>
      </c>
      <c r="D2609" t="s">
        <v>75</v>
      </c>
      <c r="E2609">
        <v>116</v>
      </c>
      <c r="F2609" t="s">
        <v>34</v>
      </c>
      <c r="G2609" t="s">
        <v>254</v>
      </c>
      <c r="H2609">
        <v>28</v>
      </c>
      <c r="I2609" s="11">
        <v>116</v>
      </c>
      <c r="J2609" s="12">
        <v>609000</v>
      </c>
      <c r="K2609" s="13">
        <f>$E2609+1</f>
        <v>117</v>
      </c>
      <c r="L2609" s="14">
        <f>IF($J2609=0,0,ROUND(MAX($J2609*1.4,1620000*(1.497923^(MIN($E2609,123)-117)))*1,0))</f>
        <v>1081498</v>
      </c>
      <c r="M2609" s="11">
        <f>$E2609+2</f>
        <v>118</v>
      </c>
      <c r="N2609" s="12">
        <f>IF($J2609=0,0,ROUND(MAX($J2609*1.4*1.5,2190000*(1.580994^(MIN($E2609,123)-117)))*1,0))</f>
        <v>1385204</v>
      </c>
      <c r="O2609" s="13">
        <f>$E2609+4</f>
        <v>120</v>
      </c>
      <c r="P2609" s="14">
        <f>IF($J2609=0,0,ROUND(MAX($J2609*1.4*1.5*1.6,3500000*(1.57975^(MIN($E2609,123)-117)))*1,0))</f>
        <v>2215540</v>
      </c>
      <c r="Q2609" s="11">
        <f>$E2609+6</f>
        <v>122</v>
      </c>
      <c r="R2609" s="12">
        <f>IF($J2609=0,0,ROUND(MAX($J2609*1.4*1.5*1.6*1.6,13100000*(1.429962^(MIN($E2609,123)-117)))*1,0))</f>
        <v>9161083</v>
      </c>
      <c r="S2609" s="13">
        <f>$E2609+8</f>
        <v>124</v>
      </c>
      <c r="T2609" s="14">
        <f>IF($J2609=0,0,ROUND(MAX($J2609*1.4*1.5*1.6*1.6*2.2,42600000*(1.576904^(MIN($E2609,123)-117)))*1,0))</f>
        <v>27014961</v>
      </c>
      <c r="U2609" s="11">
        <f>$E2609+11</f>
        <v>127</v>
      </c>
      <c r="V2609" s="12">
        <f>IF($J2609=0,0,ROUND(MAX($J2609*1.4*1.5*1.6*1.6*2.2*2.715,354000000*(1.642074^(MIN($E2609,123)-117)))*1,0))</f>
        <v>215581027</v>
      </c>
      <c r="W2609" s="13">
        <f>$E2609+15</f>
        <v>131</v>
      </c>
      <c r="X2609" s="14">
        <f>IF($J2609=0,0,ROUND(MAX($J2609*1.4*1.5*1.6*1.6*2.2*2.715*2.6,3540000000*(1.579646^(MIN($E2609,123)-117)))*1,0))</f>
        <v>2241008428</v>
      </c>
      <c r="Y2609" s="11">
        <f>$E2609+17</f>
        <v>133</v>
      </c>
      <c r="Z2609" s="12">
        <f>IF($J2609=0,0,ROUND(MAX($J2609*1.4*1.5*1.6*1.6*2.2*2.715*2.6*1.4,6020000000*(1.651178^(MIN($E2609,123)-117)))*1,0))</f>
        <v>3645881910</v>
      </c>
      <c r="AA2609" s="13">
        <f>$E2609+19</f>
        <v>135</v>
      </c>
      <c r="AB2609" s="14">
        <f>IF($J2609=0,0,ROUND(MAX($J2609*1.4*1.5*1.6*1.6*2.2*2.715*2.6*1.4*1.4,8430000000*(1.651435^(MIN($E2609,123)-117)))*1,0))</f>
        <v>5104651409</v>
      </c>
      <c r="AC2609" s="11">
        <f>$E2609+21</f>
        <v>137</v>
      </c>
      <c r="AD2609" s="12">
        <f>IF($J2609=0,0,ROUND(MAX($J2609*1.4*1.5*1.6*1.6*2.2*2.715*2.6*1.4*1.4*1.5,12600000000*(1.652953^(MIN($E2609,123)-117)))*1,0))</f>
        <v>7622721275</v>
      </c>
      <c r="AE2609" s="13">
        <f>$E2609+24</f>
        <v>140</v>
      </c>
      <c r="AF2609" s="14">
        <f>IF($J2609=0,0,ROUND(MAX($J2609*1.4*1.5*1.6*1.6*2.2*2.715*2.6*1.4*1.4*1.5*1.5,18900000000*(1.65331^(MIN($E2609,123)-117)))*1,0))</f>
        <v>11431612946</v>
      </c>
      <c r="AG2609" s="11">
        <f>$E2609+27</f>
        <v>143</v>
      </c>
      <c r="AH2609" s="12">
        <f>IF($J2609=0,0,ROUND(MAX($J2609*1.4*1.5*1.6*1.6*2.2*2.715*2.6*1.4*1.4*1.5*1.5*3.2,60500000000*(1.654288^(MIN($E2609,123)-117)))*1,0))</f>
        <v>36571624772</v>
      </c>
    </row>
    <row r="2610" ht="28" customHeight="1" spans="1:34" x14ac:dyDescent="0.25">
      <c r="A2610">
        <v>2620</v>
      </c>
      <c r="B2610" t="s">
        <v>343</v>
      </c>
      <c r="C2610" s="10" t="s">
        <v>1533</v>
      </c>
      <c r="D2610" t="s">
        <v>33</v>
      </c>
      <c r="E2610">
        <v>116</v>
      </c>
      <c r="F2610" t="s">
        <v>97</v>
      </c>
      <c r="G2610" t="s">
        <v>104</v>
      </c>
      <c r="H2610">
        <v>28</v>
      </c>
      <c r="I2610" s="11">
        <v>116</v>
      </c>
      <c r="J2610" s="12">
        <v>525000</v>
      </c>
      <c r="K2610" s="13">
        <f>$E2610+1</f>
        <v>117</v>
      </c>
      <c r="L2610" s="14">
        <f>IF($J2610=0,0,ROUND(MAX($J2610*1.4,1620000*(1.497923^(MIN($E2610,123)-117)))*1,0))</f>
        <v>1081498</v>
      </c>
      <c r="M2610" s="11">
        <f>$E2610+2</f>
        <v>118</v>
      </c>
      <c r="N2610" s="12">
        <f>IF($J2610=0,0,ROUND(MAX($J2610*1.4*1.5,2190000*(1.580994^(MIN($E2610,123)-117)))*1,0))</f>
        <v>1385204</v>
      </c>
      <c r="O2610" s="13">
        <f>$E2610+4</f>
        <v>120</v>
      </c>
      <c r="P2610" s="14">
        <f>IF($J2610=0,0,ROUND(MAX($J2610*1.4*1.5*1.6,3500000*(1.57975^(MIN($E2610,123)-117)))*1,0))</f>
        <v>2215540</v>
      </c>
      <c r="Q2610" s="11">
        <f>$E2610+6</f>
        <v>122</v>
      </c>
      <c r="R2610" s="12">
        <f>IF($J2610=0,0,ROUND(MAX($J2610*1.4*1.5*1.6*1.6,13100000*(1.429962^(MIN($E2610,123)-117)))*1,0))</f>
        <v>9161083</v>
      </c>
      <c r="S2610" s="13">
        <f>$E2610+8</f>
        <v>124</v>
      </c>
      <c r="T2610" s="14">
        <f>IF($J2610=0,0,ROUND(MAX($J2610*1.4*1.5*1.6*1.6*2.2,42600000*(1.576904^(MIN($E2610,123)-117)))*1,0))</f>
        <v>27014961</v>
      </c>
      <c r="U2610" s="11">
        <f>$E2610+11</f>
        <v>127</v>
      </c>
      <c r="V2610" s="12">
        <f>IF($J2610=0,0,ROUND(MAX($J2610*1.4*1.5*1.6*1.6*2.2*2.715,354000000*(1.642074^(MIN($E2610,123)-117)))*1,0))</f>
        <v>215581027</v>
      </c>
      <c r="W2610" s="13">
        <f>$E2610+15</f>
        <v>131</v>
      </c>
      <c r="X2610" s="14">
        <f>IF($J2610=0,0,ROUND(MAX($J2610*1.4*1.5*1.6*1.6*2.2*2.715*2.6,3540000000*(1.579646^(MIN($E2610,123)-117)))*1,0))</f>
        <v>2241008428</v>
      </c>
      <c r="Y2610" s="11">
        <f>$E2610+17</f>
        <v>133</v>
      </c>
      <c r="Z2610" s="12">
        <f>IF($J2610=0,0,ROUND(MAX($J2610*1.4*1.5*1.6*1.6*2.2*2.715*2.6*1.4,6020000000*(1.651178^(MIN($E2610,123)-117)))*1,0))</f>
        <v>3645881910</v>
      </c>
      <c r="AA2610" s="13">
        <f>$E2610+19</f>
        <v>135</v>
      </c>
      <c r="AB2610" s="14">
        <f>IF($J2610=0,0,ROUND(MAX($J2610*1.4*1.5*1.6*1.6*2.2*2.715*2.6*1.4*1.4,8430000000*(1.651435^(MIN($E2610,123)-117)))*1,0))</f>
        <v>5104651409</v>
      </c>
      <c r="AC2610" s="11">
        <f>$E2610+21</f>
        <v>137</v>
      </c>
      <c r="AD2610" s="12">
        <f>IF($J2610=0,0,ROUND(MAX($J2610*1.4*1.5*1.6*1.6*2.2*2.715*2.6*1.4*1.4*1.5,12600000000*(1.652953^(MIN($E2610,123)-117)))*1,0))</f>
        <v>7622721275</v>
      </c>
      <c r="AE2610" s="13">
        <f>$E2610+24</f>
        <v>140</v>
      </c>
      <c r="AF2610" s="14">
        <f>IF($J2610=0,0,ROUND(MAX($J2610*1.4*1.5*1.6*1.6*2.2*2.715*2.6*1.4*1.4*1.5*1.5,18900000000*(1.65331^(MIN($E2610,123)-117)))*1,0))</f>
        <v>11431612946</v>
      </c>
      <c r="AG2610" s="11">
        <f>$E2610+27</f>
        <v>143</v>
      </c>
      <c r="AH2610" s="12">
        <f>IF($J2610=0,0,ROUND(MAX($J2610*1.4*1.5*1.6*1.6*2.2*2.715*2.6*1.4*1.4*1.5*1.5*3.2,60500000000*(1.654288^(MIN($E2610,123)-117)))*1,0))</f>
        <v>36571624772</v>
      </c>
    </row>
    <row r="2611" ht="28" customHeight="1" spans="1:34" x14ac:dyDescent="0.25">
      <c r="A2611">
        <v>2621</v>
      </c>
      <c r="B2611" t="s">
        <v>1189</v>
      </c>
      <c r="C2611" s="10" t="s">
        <v>1533</v>
      </c>
      <c r="D2611" t="s">
        <v>79</v>
      </c>
      <c r="E2611">
        <v>116</v>
      </c>
      <c r="F2611" t="s">
        <v>56</v>
      </c>
      <c r="G2611" t="s">
        <v>72</v>
      </c>
      <c r="H2611">
        <v>28</v>
      </c>
      <c r="I2611" s="11">
        <v>116</v>
      </c>
      <c r="J2611" s="12">
        <v>580000</v>
      </c>
      <c r="K2611" s="13">
        <f>$E2611+1</f>
        <v>117</v>
      </c>
      <c r="L2611" s="14">
        <f>IF($J2611=0,0,ROUND(MAX($J2611*1.4,1620000*(1.497923^(MIN($E2611,123)-117)))*1,0))</f>
        <v>1081498</v>
      </c>
      <c r="M2611" s="11">
        <f>$E2611+2</f>
        <v>118</v>
      </c>
      <c r="N2611" s="12">
        <f>IF($J2611=0,0,ROUND(MAX($J2611*1.4*1.5,2190000*(1.580994^(MIN($E2611,123)-117)))*1,0))</f>
        <v>1385204</v>
      </c>
      <c r="O2611" s="13">
        <f>$E2611+4</f>
        <v>120</v>
      </c>
      <c r="P2611" s="14">
        <f>IF($J2611=0,0,ROUND(MAX($J2611*1.4*1.5*1.6,3500000*(1.57975^(MIN($E2611,123)-117)))*1,0))</f>
        <v>2215540</v>
      </c>
      <c r="Q2611" s="11">
        <f>$E2611+6</f>
        <v>122</v>
      </c>
      <c r="R2611" s="12">
        <f>IF($J2611=0,0,ROUND(MAX($J2611*1.4*1.5*1.6*1.6,13100000*(1.429962^(MIN($E2611,123)-117)))*1,0))</f>
        <v>9161083</v>
      </c>
      <c r="S2611" s="13">
        <f>$E2611+8</f>
        <v>124</v>
      </c>
      <c r="T2611" s="14">
        <f>IF($J2611=0,0,ROUND(MAX($J2611*1.4*1.5*1.6*1.6*2.2,42600000*(1.576904^(MIN($E2611,123)-117)))*1,0))</f>
        <v>27014961</v>
      </c>
      <c r="U2611" s="11">
        <f>$E2611+11</f>
        <v>127</v>
      </c>
      <c r="V2611" s="12">
        <f>IF($J2611=0,0,ROUND(MAX($J2611*1.4*1.5*1.6*1.6*2.2*2.715,354000000*(1.642074^(MIN($E2611,123)-117)))*1,0))</f>
        <v>215581027</v>
      </c>
      <c r="W2611" s="13">
        <f>$E2611+15</f>
        <v>131</v>
      </c>
      <c r="X2611" s="14">
        <f>IF($J2611=0,0,ROUND(MAX($J2611*1.4*1.5*1.6*1.6*2.2*2.715*2.6,3540000000*(1.579646^(MIN($E2611,123)-117)))*1,0))</f>
        <v>2241008428</v>
      </c>
      <c r="Y2611" s="11">
        <f>$E2611+17</f>
        <v>133</v>
      </c>
      <c r="Z2611" s="12">
        <f>IF($J2611=0,0,ROUND(MAX($J2611*1.4*1.5*1.6*1.6*2.2*2.715*2.6*1.4,6020000000*(1.651178^(MIN($E2611,123)-117)))*1,0))</f>
        <v>3645881910</v>
      </c>
      <c r="AA2611" s="13">
        <f>$E2611+19</f>
        <v>135</v>
      </c>
      <c r="AB2611" s="14">
        <f>IF($J2611=0,0,ROUND(MAX($J2611*1.4*1.5*1.6*1.6*2.2*2.715*2.6*1.4*1.4,8430000000*(1.651435^(MIN($E2611,123)-117)))*1,0))</f>
        <v>5104651409</v>
      </c>
      <c r="AC2611" s="11">
        <f>$E2611+21</f>
        <v>137</v>
      </c>
      <c r="AD2611" s="12">
        <f>IF($J2611=0,0,ROUND(MAX($J2611*1.4*1.5*1.6*1.6*2.2*2.715*2.6*1.4*1.4*1.5,12600000000*(1.652953^(MIN($E2611,123)-117)))*1,0))</f>
        <v>7622721275</v>
      </c>
      <c r="AE2611" s="13">
        <f>$E2611+24</f>
        <v>140</v>
      </c>
      <c r="AF2611" s="14">
        <f>IF($J2611=0,0,ROUND(MAX($J2611*1.4*1.5*1.6*1.6*2.2*2.715*2.6*1.4*1.4*1.5*1.5,18900000000*(1.65331^(MIN($E2611,123)-117)))*1,0))</f>
        <v>11431612946</v>
      </c>
      <c r="AG2611" s="11">
        <f>$E2611+27</f>
        <v>143</v>
      </c>
      <c r="AH2611" s="12">
        <f>IF($J2611=0,0,ROUND(MAX($J2611*1.4*1.5*1.6*1.6*2.2*2.715*2.6*1.4*1.4*1.5*1.5*3.2,60500000000*(1.654288^(MIN($E2611,123)-117)))*1,0))</f>
        <v>36571624772</v>
      </c>
    </row>
    <row r="2612" ht="28" customHeight="1" spans="1:34" x14ac:dyDescent="0.25">
      <c r="A2612">
        <v>2622</v>
      </c>
      <c r="B2612" t="s">
        <v>259</v>
      </c>
      <c r="C2612" s="10" t="s">
        <v>1533</v>
      </c>
      <c r="D2612" t="s">
        <v>102</v>
      </c>
      <c r="E2612">
        <v>116</v>
      </c>
      <c r="F2612" t="s">
        <v>34</v>
      </c>
      <c r="G2612" t="s">
        <v>35</v>
      </c>
      <c r="H2612">
        <v>28</v>
      </c>
      <c r="I2612" s="11">
        <v>116</v>
      </c>
      <c r="J2612" s="12">
        <v>549000</v>
      </c>
      <c r="K2612" s="13">
        <f>$E2612+1</f>
        <v>117</v>
      </c>
      <c r="L2612" s="14">
        <f>IF($J2612=0,0,ROUND(MAX($J2612*1.4,1620000*(1.497923^(MIN($E2612,123)-117)))*1,0))</f>
        <v>1081498</v>
      </c>
      <c r="M2612" s="11">
        <f>$E2612+2</f>
        <v>118</v>
      </c>
      <c r="N2612" s="12">
        <f>IF($J2612=0,0,ROUND(MAX($J2612*1.4*1.5,2190000*(1.580994^(MIN($E2612,123)-117)))*1,0))</f>
        <v>1385204</v>
      </c>
      <c r="O2612" s="13">
        <f>$E2612+4</f>
        <v>120</v>
      </c>
      <c r="P2612" s="14">
        <f>IF($J2612=0,0,ROUND(MAX($J2612*1.4*1.5*1.6,3500000*(1.57975^(MIN($E2612,123)-117)))*1,0))</f>
        <v>2215540</v>
      </c>
      <c r="Q2612" s="11">
        <f>$E2612+6</f>
        <v>122</v>
      </c>
      <c r="R2612" s="12">
        <f>IF($J2612=0,0,ROUND(MAX($J2612*1.4*1.5*1.6*1.6,13100000*(1.429962^(MIN($E2612,123)-117)))*1,0))</f>
        <v>9161083</v>
      </c>
      <c r="S2612" s="13">
        <f>$E2612+8</f>
        <v>124</v>
      </c>
      <c r="T2612" s="14">
        <f>IF($J2612=0,0,ROUND(MAX($J2612*1.4*1.5*1.6*1.6*2.2,42600000*(1.576904^(MIN($E2612,123)-117)))*1,0))</f>
        <v>27014961</v>
      </c>
      <c r="U2612" s="11">
        <f>$E2612+11</f>
        <v>127</v>
      </c>
      <c r="V2612" s="12">
        <f>IF($J2612=0,0,ROUND(MAX($J2612*1.4*1.5*1.6*1.6*2.2*2.715,354000000*(1.642074^(MIN($E2612,123)-117)))*1,0))</f>
        <v>215581027</v>
      </c>
      <c r="W2612" s="13">
        <f>$E2612+15</f>
        <v>131</v>
      </c>
      <c r="X2612" s="14">
        <f>IF($J2612=0,0,ROUND(MAX($J2612*1.4*1.5*1.6*1.6*2.2*2.715*2.6,3540000000*(1.579646^(MIN($E2612,123)-117)))*1,0))</f>
        <v>2241008428</v>
      </c>
      <c r="Y2612" s="11">
        <f>$E2612+17</f>
        <v>133</v>
      </c>
      <c r="Z2612" s="12">
        <f>IF($J2612=0,0,ROUND(MAX($J2612*1.4*1.5*1.6*1.6*2.2*2.715*2.6*1.4,6020000000*(1.651178^(MIN($E2612,123)-117)))*1,0))</f>
        <v>3645881910</v>
      </c>
      <c r="AA2612" s="13">
        <f>$E2612+19</f>
        <v>135</v>
      </c>
      <c r="AB2612" s="14">
        <f>IF($J2612=0,0,ROUND(MAX($J2612*1.4*1.5*1.6*1.6*2.2*2.715*2.6*1.4*1.4,8430000000*(1.651435^(MIN($E2612,123)-117)))*1,0))</f>
        <v>5104651409</v>
      </c>
      <c r="AC2612" s="11">
        <f>$E2612+21</f>
        <v>137</v>
      </c>
      <c r="AD2612" s="12">
        <f>IF($J2612=0,0,ROUND(MAX($J2612*1.4*1.5*1.6*1.6*2.2*2.715*2.6*1.4*1.4*1.5,12600000000*(1.652953^(MIN($E2612,123)-117)))*1,0))</f>
        <v>7622721275</v>
      </c>
      <c r="AE2612" s="13">
        <f>$E2612+24</f>
        <v>140</v>
      </c>
      <c r="AF2612" s="14">
        <f>IF($J2612=0,0,ROUND(MAX($J2612*1.4*1.5*1.6*1.6*2.2*2.715*2.6*1.4*1.4*1.5*1.5,18900000000*(1.65331^(MIN($E2612,123)-117)))*1,0))</f>
        <v>11431612946</v>
      </c>
      <c r="AG2612" s="11">
        <f>$E2612+27</f>
        <v>143</v>
      </c>
      <c r="AH2612" s="12">
        <f>IF($J2612=0,0,ROUND(MAX($J2612*1.4*1.5*1.6*1.6*2.2*2.715*2.6*1.4*1.4*1.5*1.5*3.2,60500000000*(1.654288^(MIN($E2612,123)-117)))*1,0))</f>
        <v>36571624772</v>
      </c>
    </row>
    <row r="2613" ht="28" customHeight="1" spans="1:34" x14ac:dyDescent="0.25">
      <c r="A2613">
        <v>2623</v>
      </c>
      <c r="B2613" t="s">
        <v>633</v>
      </c>
      <c r="C2613" s="10" t="s">
        <v>1533</v>
      </c>
      <c r="D2613" t="s">
        <v>102</v>
      </c>
      <c r="E2613">
        <v>116</v>
      </c>
      <c r="F2613" t="s">
        <v>267</v>
      </c>
      <c r="G2613" t="s">
        <v>242</v>
      </c>
      <c r="H2613">
        <v>28</v>
      </c>
      <c r="I2613" s="11">
        <v>116</v>
      </c>
      <c r="J2613" s="12">
        <v>520000</v>
      </c>
      <c r="K2613" s="13">
        <f>$E2613+1</f>
        <v>117</v>
      </c>
      <c r="L2613" s="14">
        <f>IF($J2613=0,0,ROUND(MAX($J2613*1.4,1620000*(1.497923^(MIN($E2613,123)-117)))*1,0))</f>
        <v>1081498</v>
      </c>
      <c r="M2613" s="11">
        <f>$E2613+2</f>
        <v>118</v>
      </c>
      <c r="N2613" s="12">
        <f>IF($J2613=0,0,ROUND(MAX($J2613*1.4*1.5,2190000*(1.580994^(MIN($E2613,123)-117)))*1,0))</f>
        <v>1385204</v>
      </c>
      <c r="O2613" s="13">
        <f>$E2613+4</f>
        <v>120</v>
      </c>
      <c r="P2613" s="14">
        <f>IF($J2613=0,0,ROUND(MAX($J2613*1.4*1.5*1.6,3500000*(1.57975^(MIN($E2613,123)-117)))*1,0))</f>
        <v>2215540</v>
      </c>
      <c r="Q2613" s="11">
        <f>$E2613+6</f>
        <v>122</v>
      </c>
      <c r="R2613" s="12">
        <f>IF($J2613=0,0,ROUND(MAX($J2613*1.4*1.5*1.6*1.6,13100000*(1.429962^(MIN($E2613,123)-117)))*1,0))</f>
        <v>9161083</v>
      </c>
      <c r="S2613" s="13">
        <f>$E2613+8</f>
        <v>124</v>
      </c>
      <c r="T2613" s="14">
        <f>IF($J2613=0,0,ROUND(MAX($J2613*1.4*1.5*1.6*1.6*2.2,42600000*(1.576904^(MIN($E2613,123)-117)))*1,0))</f>
        <v>27014961</v>
      </c>
      <c r="U2613" s="11">
        <f>$E2613+11</f>
        <v>127</v>
      </c>
      <c r="V2613" s="12">
        <f>IF($J2613=0,0,ROUND(MAX($J2613*1.4*1.5*1.6*1.6*2.2*2.715,354000000*(1.642074^(MIN($E2613,123)-117)))*1,0))</f>
        <v>215581027</v>
      </c>
      <c r="W2613" s="13">
        <f>$E2613+15</f>
        <v>131</v>
      </c>
      <c r="X2613" s="14">
        <f>IF($J2613=0,0,ROUND(MAX($J2613*1.4*1.5*1.6*1.6*2.2*2.715*2.6,3540000000*(1.579646^(MIN($E2613,123)-117)))*1,0))</f>
        <v>2241008428</v>
      </c>
      <c r="Y2613" s="11">
        <f>$E2613+17</f>
        <v>133</v>
      </c>
      <c r="Z2613" s="12">
        <f>IF($J2613=0,0,ROUND(MAX($J2613*1.4*1.5*1.6*1.6*2.2*2.715*2.6*1.4,6020000000*(1.651178^(MIN($E2613,123)-117)))*1,0))</f>
        <v>3645881910</v>
      </c>
      <c r="AA2613" s="13">
        <f>$E2613+19</f>
        <v>135</v>
      </c>
      <c r="AB2613" s="14">
        <f>IF($J2613=0,0,ROUND(MAX($J2613*1.4*1.5*1.6*1.6*2.2*2.715*2.6*1.4*1.4,8430000000*(1.651435^(MIN($E2613,123)-117)))*1,0))</f>
        <v>5104651409</v>
      </c>
      <c r="AC2613" s="11">
        <f>$E2613+21</f>
        <v>137</v>
      </c>
      <c r="AD2613" s="12">
        <f>IF($J2613=0,0,ROUND(MAX($J2613*1.4*1.5*1.6*1.6*2.2*2.715*2.6*1.4*1.4*1.5,12600000000*(1.652953^(MIN($E2613,123)-117)))*1,0))</f>
        <v>7622721275</v>
      </c>
      <c r="AE2613" s="13">
        <f>$E2613+24</f>
        <v>140</v>
      </c>
      <c r="AF2613" s="14">
        <f>IF($J2613=0,0,ROUND(MAX($J2613*1.4*1.5*1.6*1.6*2.2*2.715*2.6*1.4*1.4*1.5*1.5,18900000000*(1.65331^(MIN($E2613,123)-117)))*1,0))</f>
        <v>11431612946</v>
      </c>
      <c r="AG2613" s="11">
        <f>$E2613+27</f>
        <v>143</v>
      </c>
      <c r="AH2613" s="12">
        <f>IF($J2613=0,0,ROUND(MAX($J2613*1.4*1.5*1.6*1.6*2.2*2.715*2.6*1.4*1.4*1.5*1.5*3.2,60500000000*(1.654288^(MIN($E2613,123)-117)))*1,0))</f>
        <v>36571624772</v>
      </c>
    </row>
    <row r="2614" ht="28" customHeight="1" spans="1:34" x14ac:dyDescent="0.25">
      <c r="A2614">
        <v>2624</v>
      </c>
      <c r="B2614" t="s">
        <v>708</v>
      </c>
      <c r="C2614" s="10" t="s">
        <v>1533</v>
      </c>
      <c r="D2614" t="s">
        <v>165</v>
      </c>
      <c r="E2614">
        <v>116</v>
      </c>
      <c r="F2614" t="s">
        <v>400</v>
      </c>
      <c r="G2614" t="s">
        <v>277</v>
      </c>
      <c r="H2614">
        <v>28</v>
      </c>
      <c r="I2614" s="11">
        <v>116</v>
      </c>
      <c r="J2614" s="12">
        <v>529000</v>
      </c>
      <c r="K2614" s="13">
        <f>$E2614+1</f>
        <v>117</v>
      </c>
      <c r="L2614" s="14">
        <f>IF($J2614=0,0,ROUND(MAX($J2614*1.4,1620000*(1.497923^(MIN($E2614,123)-117)))*1,0))</f>
        <v>1081498</v>
      </c>
      <c r="M2614" s="11">
        <f>$E2614+2</f>
        <v>118</v>
      </c>
      <c r="N2614" s="12">
        <f>IF($J2614=0,0,ROUND(MAX($J2614*1.4*1.5,2190000*(1.580994^(MIN($E2614,123)-117)))*1,0))</f>
        <v>1385204</v>
      </c>
      <c r="O2614" s="13">
        <f>$E2614+4</f>
        <v>120</v>
      </c>
      <c r="P2614" s="14">
        <f>IF($J2614=0,0,ROUND(MAX($J2614*1.4*1.5*1.6,3500000*(1.57975^(MIN($E2614,123)-117)))*1,0))</f>
        <v>2215540</v>
      </c>
      <c r="Q2614" s="11">
        <f>$E2614+6</f>
        <v>122</v>
      </c>
      <c r="R2614" s="12">
        <f>IF($J2614=0,0,ROUND(MAX($J2614*1.4*1.5*1.6*1.6,13100000*(1.429962^(MIN($E2614,123)-117)))*1,0))</f>
        <v>9161083</v>
      </c>
      <c r="S2614" s="13">
        <f>$E2614+8</f>
        <v>124</v>
      </c>
      <c r="T2614" s="14">
        <f>IF($J2614=0,0,ROUND(MAX($J2614*1.4*1.5*1.6*1.6*2.2,42600000*(1.576904^(MIN($E2614,123)-117)))*1,0))</f>
        <v>27014961</v>
      </c>
      <c r="U2614" s="11">
        <f>$E2614+11</f>
        <v>127</v>
      </c>
      <c r="V2614" s="12">
        <f>IF($J2614=0,0,ROUND(MAX($J2614*1.4*1.5*1.6*1.6*2.2*2.715,354000000*(1.642074^(MIN($E2614,123)-117)))*1,0))</f>
        <v>215581027</v>
      </c>
      <c r="W2614" s="13">
        <f>$E2614+15</f>
        <v>131</v>
      </c>
      <c r="X2614" s="14">
        <f>IF($J2614=0,0,ROUND(MAX($J2614*1.4*1.5*1.6*1.6*2.2*2.715*2.6,3540000000*(1.579646^(MIN($E2614,123)-117)))*1,0))</f>
        <v>2241008428</v>
      </c>
      <c r="Y2614" s="11">
        <f>$E2614+17</f>
        <v>133</v>
      </c>
      <c r="Z2614" s="12">
        <f>IF($J2614=0,0,ROUND(MAX($J2614*1.4*1.5*1.6*1.6*2.2*2.715*2.6*1.4,6020000000*(1.651178^(MIN($E2614,123)-117)))*1,0))</f>
        <v>3645881910</v>
      </c>
      <c r="AA2614" s="13">
        <f>$E2614+19</f>
        <v>135</v>
      </c>
      <c r="AB2614" s="14">
        <f>IF($J2614=0,0,ROUND(MAX($J2614*1.4*1.5*1.6*1.6*2.2*2.715*2.6*1.4*1.4,8430000000*(1.651435^(MIN($E2614,123)-117)))*1,0))</f>
        <v>5104651409</v>
      </c>
      <c r="AC2614" s="11">
        <f>$E2614+21</f>
        <v>137</v>
      </c>
      <c r="AD2614" s="12">
        <f>IF($J2614=0,0,ROUND(MAX($J2614*1.4*1.5*1.6*1.6*2.2*2.715*2.6*1.4*1.4*1.5,12600000000*(1.652953^(MIN($E2614,123)-117)))*1,0))</f>
        <v>7622721275</v>
      </c>
      <c r="AE2614" s="13">
        <f>$E2614+24</f>
        <v>140</v>
      </c>
      <c r="AF2614" s="14">
        <f>IF($J2614=0,0,ROUND(MAX($J2614*1.4*1.5*1.6*1.6*2.2*2.715*2.6*1.4*1.4*1.5*1.5,18900000000*(1.65331^(MIN($E2614,123)-117)))*1,0))</f>
        <v>11431612946</v>
      </c>
      <c r="AG2614" s="11">
        <f>$E2614+27</f>
        <v>143</v>
      </c>
      <c r="AH2614" s="12">
        <f>IF($J2614=0,0,ROUND(MAX($J2614*1.4*1.5*1.6*1.6*2.2*2.715*2.6*1.4*1.4*1.5*1.5*3.2,60500000000*(1.654288^(MIN($E2614,123)-117)))*1,0))</f>
        <v>36571624772</v>
      </c>
    </row>
    <row r="2615" ht="28" customHeight="1" spans="1:34" x14ac:dyDescent="0.25">
      <c r="A2615">
        <v>2625</v>
      </c>
      <c r="B2615" t="s">
        <v>1558</v>
      </c>
      <c r="C2615" s="10" t="s">
        <v>1533</v>
      </c>
      <c r="D2615" t="s">
        <v>33</v>
      </c>
      <c r="E2615">
        <v>116</v>
      </c>
      <c r="F2615" t="s">
        <v>310</v>
      </c>
      <c r="G2615" t="s">
        <v>675</v>
      </c>
      <c r="H2615">
        <v>27</v>
      </c>
      <c r="I2615" s="11">
        <v>116</v>
      </c>
      <c r="J2615" s="12">
        <v>643000</v>
      </c>
      <c r="K2615" s="13">
        <f>$E2615+1</f>
        <v>117</v>
      </c>
      <c r="L2615" s="14">
        <f>IF($J2615=0,0,ROUND(MAX($J2615*1.4,1620000*(1.497923^(MIN($E2615,123)-117)))*1,0))</f>
        <v>1081498</v>
      </c>
      <c r="M2615" s="11">
        <f>$E2615+2</f>
        <v>118</v>
      </c>
      <c r="N2615" s="12">
        <f>IF($J2615=0,0,ROUND(MAX($J2615*1.4*1.5,2190000*(1.580994^(MIN($E2615,123)-117)))*1,0))</f>
        <v>1385204</v>
      </c>
      <c r="O2615" s="13">
        <f>$E2615+4</f>
        <v>120</v>
      </c>
      <c r="P2615" s="14">
        <f>IF($J2615=0,0,ROUND(MAX($J2615*1.4*1.5*1.6,3500000*(1.57975^(MIN($E2615,123)-117)))*1,0))</f>
        <v>2215540</v>
      </c>
      <c r="Q2615" s="11">
        <f>$E2615+6</f>
        <v>122</v>
      </c>
      <c r="R2615" s="12">
        <f>IF($J2615=0,0,ROUND(MAX($J2615*1.4*1.5*1.6*1.6,13100000*(1.429962^(MIN($E2615,123)-117)))*1,0))</f>
        <v>9161083</v>
      </c>
      <c r="S2615" s="13">
        <f>$E2615+8</f>
        <v>124</v>
      </c>
      <c r="T2615" s="14">
        <f>IF($J2615=0,0,ROUND(MAX($J2615*1.4*1.5*1.6*1.6*2.2,42600000*(1.576904^(MIN($E2615,123)-117)))*1,0))</f>
        <v>27014961</v>
      </c>
      <c r="U2615" s="11">
        <f>$E2615+11</f>
        <v>127</v>
      </c>
      <c r="V2615" s="12">
        <f>IF($J2615=0,0,ROUND(MAX($J2615*1.4*1.5*1.6*1.6*2.2*2.715,354000000*(1.642074^(MIN($E2615,123)-117)))*1,0))</f>
        <v>215581027</v>
      </c>
      <c r="W2615" s="13">
        <f>$E2615+15</f>
        <v>131</v>
      </c>
      <c r="X2615" s="14">
        <f>IF($J2615=0,0,ROUND(MAX($J2615*1.4*1.5*1.6*1.6*2.2*2.715*2.6,3540000000*(1.579646^(MIN($E2615,123)-117)))*1,0))</f>
        <v>2241008428</v>
      </c>
      <c r="Y2615" s="11">
        <f>$E2615+17</f>
        <v>133</v>
      </c>
      <c r="Z2615" s="12">
        <f>IF($J2615=0,0,ROUND(MAX($J2615*1.4*1.5*1.6*1.6*2.2*2.715*2.6*1.4,6020000000*(1.651178^(MIN($E2615,123)-117)))*1,0))</f>
        <v>3645881910</v>
      </c>
      <c r="AA2615" s="13">
        <f>$E2615+19</f>
        <v>135</v>
      </c>
      <c r="AB2615" s="14">
        <f>IF($J2615=0,0,ROUND(MAX($J2615*1.4*1.5*1.6*1.6*2.2*2.715*2.6*1.4*1.4,8430000000*(1.651435^(MIN($E2615,123)-117)))*1,0))</f>
        <v>5104651409</v>
      </c>
      <c r="AC2615" s="11">
        <f>$E2615+21</f>
        <v>137</v>
      </c>
      <c r="AD2615" s="12">
        <f>IF($J2615=0,0,ROUND(MAX($J2615*1.4*1.5*1.6*1.6*2.2*2.715*2.6*1.4*1.4*1.5,12600000000*(1.652953^(MIN($E2615,123)-117)))*1,0))</f>
        <v>7622721275</v>
      </c>
      <c r="AE2615" s="13">
        <f>$E2615+24</f>
        <v>140</v>
      </c>
      <c r="AF2615" s="14">
        <f>IF($J2615=0,0,ROUND(MAX($J2615*1.4*1.5*1.6*1.6*2.2*2.715*2.6*1.4*1.4*1.5*1.5,18900000000*(1.65331^(MIN($E2615,123)-117)))*1,0))</f>
        <v>11431612946</v>
      </c>
      <c r="AG2615" s="11">
        <f>$E2615+27</f>
        <v>143</v>
      </c>
      <c r="AH2615" s="12">
        <f>IF($J2615=0,0,ROUND(MAX($J2615*1.4*1.5*1.6*1.6*2.2*2.715*2.6*1.4*1.4*1.5*1.5*3.2,60500000000*(1.654288^(MIN($E2615,123)-117)))*1,0))</f>
        <v>36571624772</v>
      </c>
    </row>
    <row r="2616" ht="28" customHeight="1" spans="1:34" x14ac:dyDescent="0.25">
      <c r="A2616">
        <v>2626</v>
      </c>
      <c r="B2616" t="s">
        <v>1559</v>
      </c>
      <c r="C2616" s="10" t="s">
        <v>1533</v>
      </c>
      <c r="D2616" t="s">
        <v>33</v>
      </c>
      <c r="E2616">
        <v>116</v>
      </c>
      <c r="F2616" t="s">
        <v>385</v>
      </c>
      <c r="G2616" t="s">
        <v>95</v>
      </c>
      <c r="H2616">
        <v>27</v>
      </c>
      <c r="I2616" s="11">
        <v>116</v>
      </c>
      <c r="J2616" s="12">
        <v>628000</v>
      </c>
      <c r="K2616" s="13">
        <f>$E2616+1</f>
        <v>117</v>
      </c>
      <c r="L2616" s="14">
        <f>IF($J2616=0,0,ROUND(MAX($J2616*1.4,1620000*(1.497923^(MIN($E2616,123)-117)))*1,0))</f>
        <v>1081498</v>
      </c>
      <c r="M2616" s="11">
        <f>$E2616+2</f>
        <v>118</v>
      </c>
      <c r="N2616" s="12">
        <f>IF($J2616=0,0,ROUND(MAX($J2616*1.4*1.5,2190000*(1.580994^(MIN($E2616,123)-117)))*1,0))</f>
        <v>1385204</v>
      </c>
      <c r="O2616" s="13">
        <f>$E2616+4</f>
        <v>120</v>
      </c>
      <c r="P2616" s="14">
        <f>IF($J2616=0,0,ROUND(MAX($J2616*1.4*1.5*1.6,3500000*(1.57975^(MIN($E2616,123)-117)))*1,0))</f>
        <v>2215540</v>
      </c>
      <c r="Q2616" s="11">
        <f>$E2616+6</f>
        <v>122</v>
      </c>
      <c r="R2616" s="12">
        <f>IF($J2616=0,0,ROUND(MAX($J2616*1.4*1.5*1.6*1.6,13100000*(1.429962^(MIN($E2616,123)-117)))*1,0))</f>
        <v>9161083</v>
      </c>
      <c r="S2616" s="13">
        <f>$E2616+8</f>
        <v>124</v>
      </c>
      <c r="T2616" s="14">
        <f>IF($J2616=0,0,ROUND(MAX($J2616*1.4*1.5*1.6*1.6*2.2,42600000*(1.576904^(MIN($E2616,123)-117)))*1,0))</f>
        <v>27014961</v>
      </c>
      <c r="U2616" s="11">
        <f>$E2616+11</f>
        <v>127</v>
      </c>
      <c r="V2616" s="12">
        <f>IF($J2616=0,0,ROUND(MAX($J2616*1.4*1.5*1.6*1.6*2.2*2.715,354000000*(1.642074^(MIN($E2616,123)-117)))*1,0))</f>
        <v>215581027</v>
      </c>
      <c r="W2616" s="13">
        <f>$E2616+15</f>
        <v>131</v>
      </c>
      <c r="X2616" s="14">
        <f>IF($J2616=0,0,ROUND(MAX($J2616*1.4*1.5*1.6*1.6*2.2*2.715*2.6,3540000000*(1.579646^(MIN($E2616,123)-117)))*1,0))</f>
        <v>2241008428</v>
      </c>
      <c r="Y2616" s="11">
        <f>$E2616+17</f>
        <v>133</v>
      </c>
      <c r="Z2616" s="12">
        <f>IF($J2616=0,0,ROUND(MAX($J2616*1.4*1.5*1.6*1.6*2.2*2.715*2.6*1.4,6020000000*(1.651178^(MIN($E2616,123)-117)))*1,0))</f>
        <v>3645881910</v>
      </c>
      <c r="AA2616" s="13">
        <f>$E2616+19</f>
        <v>135</v>
      </c>
      <c r="AB2616" s="14">
        <f>IF($J2616=0,0,ROUND(MAX($J2616*1.4*1.5*1.6*1.6*2.2*2.715*2.6*1.4*1.4,8430000000*(1.651435^(MIN($E2616,123)-117)))*1,0))</f>
        <v>5104651409</v>
      </c>
      <c r="AC2616" s="11">
        <f>$E2616+21</f>
        <v>137</v>
      </c>
      <c r="AD2616" s="12">
        <f>IF($J2616=0,0,ROUND(MAX($J2616*1.4*1.5*1.6*1.6*2.2*2.715*2.6*1.4*1.4*1.5,12600000000*(1.652953^(MIN($E2616,123)-117)))*1,0))</f>
        <v>7622721275</v>
      </c>
      <c r="AE2616" s="13">
        <f>$E2616+24</f>
        <v>140</v>
      </c>
      <c r="AF2616" s="14">
        <f>IF($J2616=0,0,ROUND(MAX($J2616*1.4*1.5*1.6*1.6*2.2*2.715*2.6*1.4*1.4*1.5*1.5,18900000000*(1.65331^(MIN($E2616,123)-117)))*1,0))</f>
        <v>11431612946</v>
      </c>
      <c r="AG2616" s="11">
        <f>$E2616+27</f>
        <v>143</v>
      </c>
      <c r="AH2616" s="12">
        <f>IF($J2616=0,0,ROUND(MAX($J2616*1.4*1.5*1.6*1.6*2.2*2.715*2.6*1.4*1.4*1.5*1.5*3.2,60500000000*(1.654288^(MIN($E2616,123)-117)))*1,0))</f>
        <v>36571624772</v>
      </c>
    </row>
    <row r="2617" ht="28" customHeight="1" spans="1:34" x14ac:dyDescent="0.25">
      <c r="A2617">
        <v>2627</v>
      </c>
      <c r="B2617" t="s">
        <v>1191</v>
      </c>
      <c r="C2617" s="10" t="s">
        <v>1533</v>
      </c>
      <c r="D2617" t="s">
        <v>40</v>
      </c>
      <c r="E2617">
        <v>116</v>
      </c>
      <c r="F2617" t="s">
        <v>310</v>
      </c>
      <c r="G2617" t="s">
        <v>595</v>
      </c>
      <c r="H2617">
        <v>27</v>
      </c>
      <c r="I2617" s="11">
        <v>116</v>
      </c>
      <c r="J2617" s="12">
        <v>602000</v>
      </c>
      <c r="K2617" s="13">
        <f>$E2617+1</f>
        <v>117</v>
      </c>
      <c r="L2617" s="14">
        <f>IF($J2617=0,0,ROUND(MAX($J2617*1.4,1620000*(1.497923^(MIN($E2617,123)-117)))*1,0))</f>
        <v>1081498</v>
      </c>
      <c r="M2617" s="11">
        <f>$E2617+2</f>
        <v>118</v>
      </c>
      <c r="N2617" s="12">
        <f>IF($J2617=0,0,ROUND(MAX($J2617*1.4*1.5,2190000*(1.580994^(MIN($E2617,123)-117)))*1,0))</f>
        <v>1385204</v>
      </c>
      <c r="O2617" s="13">
        <f>$E2617+4</f>
        <v>120</v>
      </c>
      <c r="P2617" s="14">
        <f>IF($J2617=0,0,ROUND(MAX($J2617*1.4*1.5*1.6,3500000*(1.57975^(MIN($E2617,123)-117)))*1,0))</f>
        <v>2215540</v>
      </c>
      <c r="Q2617" s="11">
        <f>$E2617+6</f>
        <v>122</v>
      </c>
      <c r="R2617" s="12">
        <f>IF($J2617=0,0,ROUND(MAX($J2617*1.4*1.5*1.6*1.6,13100000*(1.429962^(MIN($E2617,123)-117)))*1,0))</f>
        <v>9161083</v>
      </c>
      <c r="S2617" s="13">
        <f>$E2617+8</f>
        <v>124</v>
      </c>
      <c r="T2617" s="14">
        <f>IF($J2617=0,0,ROUND(MAX($J2617*1.4*1.5*1.6*1.6*2.2,42600000*(1.576904^(MIN($E2617,123)-117)))*1,0))</f>
        <v>27014961</v>
      </c>
      <c r="U2617" s="11">
        <f>$E2617+11</f>
        <v>127</v>
      </c>
      <c r="V2617" s="12">
        <f>IF($J2617=0,0,ROUND(MAX($J2617*1.4*1.5*1.6*1.6*2.2*2.715,354000000*(1.642074^(MIN($E2617,123)-117)))*1,0))</f>
        <v>215581027</v>
      </c>
      <c r="W2617" s="13">
        <f>$E2617+15</f>
        <v>131</v>
      </c>
      <c r="X2617" s="14">
        <f>IF($J2617=0,0,ROUND(MAX($J2617*1.4*1.5*1.6*1.6*2.2*2.715*2.6,3540000000*(1.579646^(MIN($E2617,123)-117)))*1,0))</f>
        <v>2241008428</v>
      </c>
      <c r="Y2617" s="11">
        <f>$E2617+17</f>
        <v>133</v>
      </c>
      <c r="Z2617" s="12">
        <f>IF($J2617=0,0,ROUND(MAX($J2617*1.4*1.5*1.6*1.6*2.2*2.715*2.6*1.4,6020000000*(1.651178^(MIN($E2617,123)-117)))*1,0))</f>
        <v>3645881910</v>
      </c>
      <c r="AA2617" s="13">
        <f>$E2617+19</f>
        <v>135</v>
      </c>
      <c r="AB2617" s="14">
        <f>IF($J2617=0,0,ROUND(MAX($J2617*1.4*1.5*1.6*1.6*2.2*2.715*2.6*1.4*1.4,8430000000*(1.651435^(MIN($E2617,123)-117)))*1,0))</f>
        <v>5104651409</v>
      </c>
      <c r="AC2617" s="11">
        <f>$E2617+21</f>
        <v>137</v>
      </c>
      <c r="AD2617" s="12">
        <f>IF($J2617=0,0,ROUND(MAX($J2617*1.4*1.5*1.6*1.6*2.2*2.715*2.6*1.4*1.4*1.5,12600000000*(1.652953^(MIN($E2617,123)-117)))*1,0))</f>
        <v>7622721275</v>
      </c>
      <c r="AE2617" s="13">
        <f>$E2617+24</f>
        <v>140</v>
      </c>
      <c r="AF2617" s="14">
        <f>IF($J2617=0,0,ROUND(MAX($J2617*1.4*1.5*1.6*1.6*2.2*2.715*2.6*1.4*1.4*1.5*1.5,18900000000*(1.65331^(MIN($E2617,123)-117)))*1,0))</f>
        <v>11431612946</v>
      </c>
      <c r="AG2617" s="11">
        <f>$E2617+27</f>
        <v>143</v>
      </c>
      <c r="AH2617" s="12">
        <f>IF($J2617=0,0,ROUND(MAX($J2617*1.4*1.5*1.6*1.6*2.2*2.715*2.6*1.4*1.4*1.5*1.5*3.2,60500000000*(1.654288^(MIN($E2617,123)-117)))*1,0))</f>
        <v>36571624772</v>
      </c>
    </row>
    <row r="2618" ht="28" customHeight="1" spans="1:34" x14ac:dyDescent="0.25">
      <c r="A2618">
        <v>2628</v>
      </c>
      <c r="B2618" t="s">
        <v>1273</v>
      </c>
      <c r="C2618" s="10" t="s">
        <v>1533</v>
      </c>
      <c r="D2618" t="s">
        <v>45</v>
      </c>
      <c r="E2618">
        <v>116</v>
      </c>
      <c r="F2618" t="s">
        <v>54</v>
      </c>
      <c r="G2618" t="s">
        <v>104</v>
      </c>
      <c r="H2618">
        <v>27</v>
      </c>
      <c r="I2618" s="11">
        <v>116</v>
      </c>
      <c r="J2618" s="12">
        <v>677000</v>
      </c>
      <c r="K2618" s="13">
        <f>$E2618+1</f>
        <v>117</v>
      </c>
      <c r="L2618" s="14">
        <f>IF($J2618=0,0,ROUND(MAX($J2618*1.4,1620000*(1.497923^(MIN($E2618,123)-117)))*1,0))</f>
        <v>1081498</v>
      </c>
      <c r="M2618" s="11">
        <f>$E2618+2</f>
        <v>118</v>
      </c>
      <c r="N2618" s="12">
        <f>IF($J2618=0,0,ROUND(MAX($J2618*1.4*1.5,2190000*(1.580994^(MIN($E2618,123)-117)))*1,0))</f>
        <v>1421700</v>
      </c>
      <c r="O2618" s="13">
        <f>$E2618+4</f>
        <v>120</v>
      </c>
      <c r="P2618" s="14">
        <f>IF($J2618=0,0,ROUND(MAX($J2618*1.4*1.5*1.6,3500000*(1.57975^(MIN($E2618,123)-117)))*1,0))</f>
        <v>2274720</v>
      </c>
      <c r="Q2618" s="11">
        <f>$E2618+6</f>
        <v>122</v>
      </c>
      <c r="R2618" s="12">
        <f>IF($J2618=0,0,ROUND(MAX($J2618*1.4*1.5*1.6*1.6,13100000*(1.429962^(MIN($E2618,123)-117)))*1,0))</f>
        <v>9161083</v>
      </c>
      <c r="S2618" s="13">
        <f>$E2618+8</f>
        <v>124</v>
      </c>
      <c r="T2618" s="14">
        <f>IF($J2618=0,0,ROUND(MAX($J2618*1.4*1.5*1.6*1.6*2.2,42600000*(1.576904^(MIN($E2618,123)-117)))*1,0))</f>
        <v>27014961</v>
      </c>
      <c r="U2618" s="11">
        <f>$E2618+11</f>
        <v>127</v>
      </c>
      <c r="V2618" s="12">
        <f>IF($J2618=0,0,ROUND(MAX($J2618*1.4*1.5*1.6*1.6*2.2*2.715,354000000*(1.642074^(MIN($E2618,123)-117)))*1,0))</f>
        <v>215581027</v>
      </c>
      <c r="W2618" s="13">
        <f>$E2618+15</f>
        <v>131</v>
      </c>
      <c r="X2618" s="14">
        <f>IF($J2618=0,0,ROUND(MAX($J2618*1.4*1.5*1.6*1.6*2.2*2.715*2.6,3540000000*(1.579646^(MIN($E2618,123)-117)))*1,0))</f>
        <v>2241008428</v>
      </c>
      <c r="Y2618" s="11">
        <f>$E2618+17</f>
        <v>133</v>
      </c>
      <c r="Z2618" s="12">
        <f>IF($J2618=0,0,ROUND(MAX($J2618*1.4*1.5*1.6*1.6*2.2*2.715*2.6*1.4,6020000000*(1.651178^(MIN($E2618,123)-117)))*1,0))</f>
        <v>3645881910</v>
      </c>
      <c r="AA2618" s="13">
        <f>$E2618+19</f>
        <v>135</v>
      </c>
      <c r="AB2618" s="14">
        <f>IF($J2618=0,0,ROUND(MAX($J2618*1.4*1.5*1.6*1.6*2.2*2.715*2.6*1.4*1.4,8430000000*(1.651435^(MIN($E2618,123)-117)))*1,0))</f>
        <v>5104651409</v>
      </c>
      <c r="AC2618" s="11">
        <f>$E2618+21</f>
        <v>137</v>
      </c>
      <c r="AD2618" s="12">
        <f>IF($J2618=0,0,ROUND(MAX($J2618*1.4*1.5*1.6*1.6*2.2*2.715*2.6*1.4*1.4*1.5,12600000000*(1.652953^(MIN($E2618,123)-117)))*1,0))</f>
        <v>7622721275</v>
      </c>
      <c r="AE2618" s="13">
        <f>$E2618+24</f>
        <v>140</v>
      </c>
      <c r="AF2618" s="14">
        <f>IF($J2618=0,0,ROUND(MAX($J2618*1.4*1.5*1.6*1.6*2.2*2.715*2.6*1.4*1.4*1.5*1.5,18900000000*(1.65331^(MIN($E2618,123)-117)))*1,0))</f>
        <v>11431612946</v>
      </c>
      <c r="AG2618" s="11">
        <f>$E2618+27</f>
        <v>143</v>
      </c>
      <c r="AH2618" s="12">
        <f>IF($J2618=0,0,ROUND(MAX($J2618*1.4*1.5*1.6*1.6*2.2*2.715*2.6*1.4*1.4*1.5*1.5*3.2,60500000000*(1.654288^(MIN($E2618,123)-117)))*1,0))</f>
        <v>36571624772</v>
      </c>
    </row>
    <row r="2619" ht="28" customHeight="1" spans="1:34" x14ac:dyDescent="0.25">
      <c r="A2619">
        <v>2629</v>
      </c>
      <c r="B2619" t="s">
        <v>467</v>
      </c>
      <c r="C2619" s="10" t="s">
        <v>1533</v>
      </c>
      <c r="D2619" t="s">
        <v>64</v>
      </c>
      <c r="E2619">
        <v>116</v>
      </c>
      <c r="F2619" t="s">
        <v>56</v>
      </c>
      <c r="G2619" t="s">
        <v>95</v>
      </c>
      <c r="H2619">
        <v>27</v>
      </c>
      <c r="I2619" s="11">
        <v>116</v>
      </c>
      <c r="J2619" s="12">
        <v>509000</v>
      </c>
      <c r="K2619" s="13">
        <f>$E2619+1</f>
        <v>117</v>
      </c>
      <c r="L2619" s="14">
        <f>IF($J2619=0,0,ROUND(MAX($J2619*1.4,1620000*(1.497923^(MIN($E2619,123)-117)))*1,0))</f>
        <v>1081498</v>
      </c>
      <c r="M2619" s="11">
        <f>$E2619+2</f>
        <v>118</v>
      </c>
      <c r="N2619" s="12">
        <f>IF($J2619=0,0,ROUND(MAX($J2619*1.4*1.5,2190000*(1.580994^(MIN($E2619,123)-117)))*1,0))</f>
        <v>1385204</v>
      </c>
      <c r="O2619" s="13">
        <f>$E2619+4</f>
        <v>120</v>
      </c>
      <c r="P2619" s="14">
        <f>IF($J2619=0,0,ROUND(MAX($J2619*1.4*1.5*1.6,3500000*(1.57975^(MIN($E2619,123)-117)))*1,0))</f>
        <v>2215540</v>
      </c>
      <c r="Q2619" s="11">
        <f>$E2619+6</f>
        <v>122</v>
      </c>
      <c r="R2619" s="12">
        <f>IF($J2619=0,0,ROUND(MAX($J2619*1.4*1.5*1.6*1.6,13100000*(1.429962^(MIN($E2619,123)-117)))*1,0))</f>
        <v>9161083</v>
      </c>
      <c r="S2619" s="13">
        <f>$E2619+8</f>
        <v>124</v>
      </c>
      <c r="T2619" s="14">
        <f>IF($J2619=0,0,ROUND(MAX($J2619*1.4*1.5*1.6*1.6*2.2,42600000*(1.576904^(MIN($E2619,123)-117)))*1,0))</f>
        <v>27014961</v>
      </c>
      <c r="U2619" s="11">
        <f>$E2619+11</f>
        <v>127</v>
      </c>
      <c r="V2619" s="12">
        <f>IF($J2619=0,0,ROUND(MAX($J2619*1.4*1.5*1.6*1.6*2.2*2.715,354000000*(1.642074^(MIN($E2619,123)-117)))*1,0))</f>
        <v>215581027</v>
      </c>
      <c r="W2619" s="13">
        <f>$E2619+15</f>
        <v>131</v>
      </c>
      <c r="X2619" s="14">
        <f>IF($J2619=0,0,ROUND(MAX($J2619*1.4*1.5*1.6*1.6*2.2*2.715*2.6,3540000000*(1.579646^(MIN($E2619,123)-117)))*1,0))</f>
        <v>2241008428</v>
      </c>
      <c r="Y2619" s="11">
        <f>$E2619+17</f>
        <v>133</v>
      </c>
      <c r="Z2619" s="12">
        <f>IF($J2619=0,0,ROUND(MAX($J2619*1.4*1.5*1.6*1.6*2.2*2.715*2.6*1.4,6020000000*(1.651178^(MIN($E2619,123)-117)))*1,0))</f>
        <v>3645881910</v>
      </c>
      <c r="AA2619" s="13">
        <f>$E2619+19</f>
        <v>135</v>
      </c>
      <c r="AB2619" s="14">
        <f>IF($J2619=0,0,ROUND(MAX($J2619*1.4*1.5*1.6*1.6*2.2*2.715*2.6*1.4*1.4,8430000000*(1.651435^(MIN($E2619,123)-117)))*1,0))</f>
        <v>5104651409</v>
      </c>
      <c r="AC2619" s="11">
        <f>$E2619+21</f>
        <v>137</v>
      </c>
      <c r="AD2619" s="12">
        <f>IF($J2619=0,0,ROUND(MAX($J2619*1.4*1.5*1.6*1.6*2.2*2.715*2.6*1.4*1.4*1.5,12600000000*(1.652953^(MIN($E2619,123)-117)))*1,0))</f>
        <v>7622721275</v>
      </c>
      <c r="AE2619" s="13">
        <f>$E2619+24</f>
        <v>140</v>
      </c>
      <c r="AF2619" s="14">
        <f>IF($J2619=0,0,ROUND(MAX($J2619*1.4*1.5*1.6*1.6*2.2*2.715*2.6*1.4*1.4*1.5*1.5,18900000000*(1.65331^(MIN($E2619,123)-117)))*1,0))</f>
        <v>11431612946</v>
      </c>
      <c r="AG2619" s="11">
        <f>$E2619+27</f>
        <v>143</v>
      </c>
      <c r="AH2619" s="12">
        <f>IF($J2619=0,0,ROUND(MAX($J2619*1.4*1.5*1.6*1.6*2.2*2.715*2.6*1.4*1.4*1.5*1.5*3.2,60500000000*(1.654288^(MIN($E2619,123)-117)))*1,0))</f>
        <v>36571624772</v>
      </c>
    </row>
    <row r="2620" ht="28" customHeight="1" spans="1:34" x14ac:dyDescent="0.25">
      <c r="A2620">
        <v>2630</v>
      </c>
      <c r="B2620" t="s">
        <v>1560</v>
      </c>
      <c r="C2620" s="10" t="s">
        <v>1533</v>
      </c>
      <c r="D2620" t="s">
        <v>33</v>
      </c>
      <c r="E2620">
        <v>116</v>
      </c>
      <c r="F2620" t="s">
        <v>303</v>
      </c>
      <c r="G2620" t="s">
        <v>425</v>
      </c>
      <c r="H2620">
        <v>27</v>
      </c>
      <c r="I2620" s="11">
        <v>116</v>
      </c>
      <c r="J2620" s="12">
        <v>499000</v>
      </c>
      <c r="K2620" s="13">
        <f>$E2620+1</f>
        <v>117</v>
      </c>
      <c r="L2620" s="14">
        <f>IF($J2620=0,0,ROUND(MAX($J2620*1.4,1620000*(1.497923^(MIN($E2620,123)-117)))*1,0))</f>
        <v>1081498</v>
      </c>
      <c r="M2620" s="11">
        <f>$E2620+2</f>
        <v>118</v>
      </c>
      <c r="N2620" s="12">
        <f>IF($J2620=0,0,ROUND(MAX($J2620*1.4*1.5,2190000*(1.580994^(MIN($E2620,123)-117)))*1,0))</f>
        <v>1385204</v>
      </c>
      <c r="O2620" s="13">
        <f>$E2620+4</f>
        <v>120</v>
      </c>
      <c r="P2620" s="14">
        <f>IF($J2620=0,0,ROUND(MAX($J2620*1.4*1.5*1.6,3500000*(1.57975^(MIN($E2620,123)-117)))*1,0))</f>
        <v>2215540</v>
      </c>
      <c r="Q2620" s="11">
        <f>$E2620+6</f>
        <v>122</v>
      </c>
      <c r="R2620" s="12">
        <f>IF($J2620=0,0,ROUND(MAX($J2620*1.4*1.5*1.6*1.6,13100000*(1.429962^(MIN($E2620,123)-117)))*1,0))</f>
        <v>9161083</v>
      </c>
      <c r="S2620" s="13">
        <f>$E2620+8</f>
        <v>124</v>
      </c>
      <c r="T2620" s="14">
        <f>IF($J2620=0,0,ROUND(MAX($J2620*1.4*1.5*1.6*1.6*2.2,42600000*(1.576904^(MIN($E2620,123)-117)))*1,0))</f>
        <v>27014961</v>
      </c>
      <c r="U2620" s="11">
        <f>$E2620+11</f>
        <v>127</v>
      </c>
      <c r="V2620" s="12">
        <f>IF($J2620=0,0,ROUND(MAX($J2620*1.4*1.5*1.6*1.6*2.2*2.715,354000000*(1.642074^(MIN($E2620,123)-117)))*1,0))</f>
        <v>215581027</v>
      </c>
      <c r="W2620" s="13">
        <f>$E2620+15</f>
        <v>131</v>
      </c>
      <c r="X2620" s="14">
        <f>IF($J2620=0,0,ROUND(MAX($J2620*1.4*1.5*1.6*1.6*2.2*2.715*2.6,3540000000*(1.579646^(MIN($E2620,123)-117)))*1,0))</f>
        <v>2241008428</v>
      </c>
      <c r="Y2620" s="11">
        <f>$E2620+17</f>
        <v>133</v>
      </c>
      <c r="Z2620" s="12">
        <f>IF($J2620=0,0,ROUND(MAX($J2620*1.4*1.5*1.6*1.6*2.2*2.715*2.6*1.4,6020000000*(1.651178^(MIN($E2620,123)-117)))*1,0))</f>
        <v>3645881910</v>
      </c>
      <c r="AA2620" s="13">
        <f>$E2620+19</f>
        <v>135</v>
      </c>
      <c r="AB2620" s="14">
        <f>IF($J2620=0,0,ROUND(MAX($J2620*1.4*1.5*1.6*1.6*2.2*2.715*2.6*1.4*1.4,8430000000*(1.651435^(MIN($E2620,123)-117)))*1,0))</f>
        <v>5104651409</v>
      </c>
      <c r="AC2620" s="11">
        <f>$E2620+21</f>
        <v>137</v>
      </c>
      <c r="AD2620" s="12">
        <f>IF($J2620=0,0,ROUND(MAX($J2620*1.4*1.5*1.6*1.6*2.2*2.715*2.6*1.4*1.4*1.5,12600000000*(1.652953^(MIN($E2620,123)-117)))*1,0))</f>
        <v>7622721275</v>
      </c>
      <c r="AE2620" s="13">
        <f>$E2620+24</f>
        <v>140</v>
      </c>
      <c r="AF2620" s="14">
        <f>IF($J2620=0,0,ROUND(MAX($J2620*1.4*1.5*1.6*1.6*2.2*2.715*2.6*1.4*1.4*1.5*1.5,18900000000*(1.65331^(MIN($E2620,123)-117)))*1,0))</f>
        <v>11431612946</v>
      </c>
      <c r="AG2620" s="11">
        <f>$E2620+27</f>
        <v>143</v>
      </c>
      <c r="AH2620" s="12">
        <f>IF($J2620=0,0,ROUND(MAX($J2620*1.4*1.5*1.6*1.6*2.2*2.715*2.6*1.4*1.4*1.5*1.5*3.2,60500000000*(1.654288^(MIN($E2620,123)-117)))*1,0))</f>
        <v>36571624772</v>
      </c>
    </row>
    <row r="2621" ht="28" customHeight="1" spans="1:34" x14ac:dyDescent="0.25">
      <c r="A2621">
        <v>2631</v>
      </c>
      <c r="B2621" t="s">
        <v>1561</v>
      </c>
      <c r="C2621" s="10" t="s">
        <v>1533</v>
      </c>
      <c r="D2621" t="s">
        <v>90</v>
      </c>
      <c r="E2621">
        <v>116</v>
      </c>
      <c r="F2621" t="s">
        <v>54</v>
      </c>
      <c r="G2621" t="s">
        <v>72</v>
      </c>
      <c r="H2621">
        <v>27</v>
      </c>
      <c r="I2621" s="11">
        <v>116</v>
      </c>
      <c r="J2621" s="12">
        <v>608000</v>
      </c>
      <c r="K2621" s="13">
        <f>$E2621+1</f>
        <v>117</v>
      </c>
      <c r="L2621" s="14">
        <f>IF($J2621=0,0,ROUND(MAX($J2621*1.4,1620000*(1.497923^(MIN($E2621,123)-117)))*1,0))</f>
        <v>1081498</v>
      </c>
      <c r="M2621" s="11">
        <f>$E2621+2</f>
        <v>118</v>
      </c>
      <c r="N2621" s="12">
        <f>IF($J2621=0,0,ROUND(MAX($J2621*1.4*1.5,2190000*(1.580994^(MIN($E2621,123)-117)))*1,0))</f>
        <v>1385204</v>
      </c>
      <c r="O2621" s="13">
        <f>$E2621+4</f>
        <v>120</v>
      </c>
      <c r="P2621" s="14">
        <f>IF($J2621=0,0,ROUND(MAX($J2621*1.4*1.5*1.6,3500000*(1.57975^(MIN($E2621,123)-117)))*1,0))</f>
        <v>2215540</v>
      </c>
      <c r="Q2621" s="11">
        <f>$E2621+6</f>
        <v>122</v>
      </c>
      <c r="R2621" s="12">
        <f>IF($J2621=0,0,ROUND(MAX($J2621*1.4*1.5*1.6*1.6,13100000*(1.429962^(MIN($E2621,123)-117)))*1,0))</f>
        <v>9161083</v>
      </c>
      <c r="S2621" s="13">
        <f>$E2621+8</f>
        <v>124</v>
      </c>
      <c r="T2621" s="14">
        <f>IF($J2621=0,0,ROUND(MAX($J2621*1.4*1.5*1.6*1.6*2.2,42600000*(1.576904^(MIN($E2621,123)-117)))*1,0))</f>
        <v>27014961</v>
      </c>
      <c r="U2621" s="11">
        <f>$E2621+11</f>
        <v>127</v>
      </c>
      <c r="V2621" s="12">
        <f>IF($J2621=0,0,ROUND(MAX($J2621*1.4*1.5*1.6*1.6*2.2*2.715,354000000*(1.642074^(MIN($E2621,123)-117)))*1,0))</f>
        <v>215581027</v>
      </c>
      <c r="W2621" s="13">
        <f>$E2621+15</f>
        <v>131</v>
      </c>
      <c r="X2621" s="14">
        <f>IF($J2621=0,0,ROUND(MAX($J2621*1.4*1.5*1.6*1.6*2.2*2.715*2.6,3540000000*(1.579646^(MIN($E2621,123)-117)))*1,0))</f>
        <v>2241008428</v>
      </c>
      <c r="Y2621" s="11">
        <f>$E2621+17</f>
        <v>133</v>
      </c>
      <c r="Z2621" s="12">
        <f>IF($J2621=0,0,ROUND(MAX($J2621*1.4*1.5*1.6*1.6*2.2*2.715*2.6*1.4,6020000000*(1.651178^(MIN($E2621,123)-117)))*1,0))</f>
        <v>3645881910</v>
      </c>
      <c r="AA2621" s="13">
        <f>$E2621+19</f>
        <v>135</v>
      </c>
      <c r="AB2621" s="14">
        <f>IF($J2621=0,0,ROUND(MAX($J2621*1.4*1.5*1.6*1.6*2.2*2.715*2.6*1.4*1.4,8430000000*(1.651435^(MIN($E2621,123)-117)))*1,0))</f>
        <v>5104651409</v>
      </c>
      <c r="AC2621" s="11">
        <f>$E2621+21</f>
        <v>137</v>
      </c>
      <c r="AD2621" s="12">
        <f>IF($J2621=0,0,ROUND(MAX($J2621*1.4*1.5*1.6*1.6*2.2*2.715*2.6*1.4*1.4*1.5,12600000000*(1.652953^(MIN($E2621,123)-117)))*1,0))</f>
        <v>7622721275</v>
      </c>
      <c r="AE2621" s="13">
        <f>$E2621+24</f>
        <v>140</v>
      </c>
      <c r="AF2621" s="14">
        <f>IF($J2621=0,0,ROUND(MAX($J2621*1.4*1.5*1.6*1.6*2.2*2.715*2.6*1.4*1.4*1.5*1.5,18900000000*(1.65331^(MIN($E2621,123)-117)))*1,0))</f>
        <v>11431612946</v>
      </c>
      <c r="AG2621" s="11">
        <f>$E2621+27</f>
        <v>143</v>
      </c>
      <c r="AH2621" s="12">
        <f>IF($J2621=0,0,ROUND(MAX($J2621*1.4*1.5*1.6*1.6*2.2*2.715*2.6*1.4*1.4*1.5*1.5*3.2,60500000000*(1.654288^(MIN($E2621,123)-117)))*1,0))</f>
        <v>36571624772</v>
      </c>
    </row>
    <row r="2622" ht="28" customHeight="1" spans="1:34" x14ac:dyDescent="0.25">
      <c r="A2622">
        <v>2632</v>
      </c>
      <c r="B2622" t="s">
        <v>1562</v>
      </c>
      <c r="C2622" s="10" t="s">
        <v>1533</v>
      </c>
      <c r="D2622" t="s">
        <v>93</v>
      </c>
      <c r="E2622">
        <v>116</v>
      </c>
      <c r="F2622" t="s">
        <v>298</v>
      </c>
      <c r="G2622" t="s">
        <v>213</v>
      </c>
      <c r="H2622">
        <v>27</v>
      </c>
      <c r="I2622" s="11">
        <v>116</v>
      </c>
      <c r="J2622" s="12">
        <v>517000</v>
      </c>
      <c r="K2622" s="13">
        <f>$E2622+1</f>
        <v>117</v>
      </c>
      <c r="L2622" s="14">
        <f>IF($J2622=0,0,ROUND(MAX($J2622*1.4,1620000*(1.497923^(MIN($E2622,123)-117)))*1,0))</f>
        <v>1081498</v>
      </c>
      <c r="M2622" s="11">
        <f>$E2622+2</f>
        <v>118</v>
      </c>
      <c r="N2622" s="12">
        <f>IF($J2622=0,0,ROUND(MAX($J2622*1.4*1.5,2190000*(1.580994^(MIN($E2622,123)-117)))*1,0))</f>
        <v>1385204</v>
      </c>
      <c r="O2622" s="13">
        <f>$E2622+4</f>
        <v>120</v>
      </c>
      <c r="P2622" s="14">
        <f>IF($J2622=0,0,ROUND(MAX($J2622*1.4*1.5*1.6,3500000*(1.57975^(MIN($E2622,123)-117)))*1,0))</f>
        <v>2215540</v>
      </c>
      <c r="Q2622" s="11">
        <f>$E2622+6</f>
        <v>122</v>
      </c>
      <c r="R2622" s="12">
        <f>IF($J2622=0,0,ROUND(MAX($J2622*1.4*1.5*1.6*1.6,13100000*(1.429962^(MIN($E2622,123)-117)))*1,0))</f>
        <v>9161083</v>
      </c>
      <c r="S2622" s="13">
        <f>$E2622+8</f>
        <v>124</v>
      </c>
      <c r="T2622" s="14">
        <f>IF($J2622=0,0,ROUND(MAX($J2622*1.4*1.5*1.6*1.6*2.2,42600000*(1.576904^(MIN($E2622,123)-117)))*1,0))</f>
        <v>27014961</v>
      </c>
      <c r="U2622" s="11">
        <f>$E2622+11</f>
        <v>127</v>
      </c>
      <c r="V2622" s="12">
        <f>IF($J2622=0,0,ROUND(MAX($J2622*1.4*1.5*1.6*1.6*2.2*2.715,354000000*(1.642074^(MIN($E2622,123)-117)))*1,0))</f>
        <v>215581027</v>
      </c>
      <c r="W2622" s="13">
        <f>$E2622+15</f>
        <v>131</v>
      </c>
      <c r="X2622" s="14">
        <f>IF($J2622=0,0,ROUND(MAX($J2622*1.4*1.5*1.6*1.6*2.2*2.715*2.6,3540000000*(1.579646^(MIN($E2622,123)-117)))*1,0))</f>
        <v>2241008428</v>
      </c>
      <c r="Y2622" s="11">
        <f>$E2622+17</f>
        <v>133</v>
      </c>
      <c r="Z2622" s="12">
        <f>IF($J2622=0,0,ROUND(MAX($J2622*1.4*1.5*1.6*1.6*2.2*2.715*2.6*1.4,6020000000*(1.651178^(MIN($E2622,123)-117)))*1,0))</f>
        <v>3645881910</v>
      </c>
      <c r="AA2622" s="13">
        <f>$E2622+19</f>
        <v>135</v>
      </c>
      <c r="AB2622" s="14">
        <f>IF($J2622=0,0,ROUND(MAX($J2622*1.4*1.5*1.6*1.6*2.2*2.715*2.6*1.4*1.4,8430000000*(1.651435^(MIN($E2622,123)-117)))*1,0))</f>
        <v>5104651409</v>
      </c>
      <c r="AC2622" s="11">
        <f>$E2622+21</f>
        <v>137</v>
      </c>
      <c r="AD2622" s="12">
        <f>IF($J2622=0,0,ROUND(MAX($J2622*1.4*1.5*1.6*1.6*2.2*2.715*2.6*1.4*1.4*1.5,12600000000*(1.652953^(MIN($E2622,123)-117)))*1,0))</f>
        <v>7622721275</v>
      </c>
      <c r="AE2622" s="13">
        <f>$E2622+24</f>
        <v>140</v>
      </c>
      <c r="AF2622" s="14">
        <f>IF($J2622=0,0,ROUND(MAX($J2622*1.4*1.5*1.6*1.6*2.2*2.715*2.6*1.4*1.4*1.5*1.5,18900000000*(1.65331^(MIN($E2622,123)-117)))*1,0))</f>
        <v>11431612946</v>
      </c>
      <c r="AG2622" s="11">
        <f>$E2622+27</f>
        <v>143</v>
      </c>
      <c r="AH2622" s="12">
        <f>IF($J2622=0,0,ROUND(MAX($J2622*1.4*1.5*1.6*1.6*2.2*2.715*2.6*1.4*1.4*1.5*1.5*3.2,60500000000*(1.654288^(MIN($E2622,123)-117)))*1,0))</f>
        <v>36571624772</v>
      </c>
    </row>
    <row r="2623" ht="28" customHeight="1" spans="1:34" x14ac:dyDescent="0.25">
      <c r="A2623">
        <v>2633</v>
      </c>
      <c r="B2623" t="s">
        <v>1281</v>
      </c>
      <c r="C2623" s="10" t="s">
        <v>1533</v>
      </c>
      <c r="D2623" t="s">
        <v>25</v>
      </c>
      <c r="E2623">
        <v>116</v>
      </c>
      <c r="F2623" t="s">
        <v>56</v>
      </c>
      <c r="G2623" t="s">
        <v>95</v>
      </c>
      <c r="H2623">
        <v>27</v>
      </c>
      <c r="I2623" s="11">
        <v>116</v>
      </c>
      <c r="J2623" s="12">
        <v>519000</v>
      </c>
      <c r="K2623" s="13">
        <f>$E2623+1</f>
        <v>117</v>
      </c>
      <c r="L2623" s="14">
        <f>IF($J2623=0,0,ROUND(MAX($J2623*1.4,1620000*(1.497923^(MIN($E2623,123)-117)))*1,0))</f>
        <v>1081498</v>
      </c>
      <c r="M2623" s="11">
        <f>$E2623+2</f>
        <v>118</v>
      </c>
      <c r="N2623" s="12">
        <f>IF($J2623=0,0,ROUND(MAX($J2623*1.4*1.5,2190000*(1.580994^(MIN($E2623,123)-117)))*1,0))</f>
        <v>1385204</v>
      </c>
      <c r="O2623" s="13">
        <f>$E2623+4</f>
        <v>120</v>
      </c>
      <c r="P2623" s="14">
        <f>IF($J2623=0,0,ROUND(MAX($J2623*1.4*1.5*1.6,3500000*(1.57975^(MIN($E2623,123)-117)))*1,0))</f>
        <v>2215540</v>
      </c>
      <c r="Q2623" s="11">
        <f>$E2623+6</f>
        <v>122</v>
      </c>
      <c r="R2623" s="12">
        <f>IF($J2623=0,0,ROUND(MAX($J2623*1.4*1.5*1.6*1.6,13100000*(1.429962^(MIN($E2623,123)-117)))*1,0))</f>
        <v>9161083</v>
      </c>
      <c r="S2623" s="13">
        <f>$E2623+8</f>
        <v>124</v>
      </c>
      <c r="T2623" s="14">
        <f>IF($J2623=0,0,ROUND(MAX($J2623*1.4*1.5*1.6*1.6*2.2,42600000*(1.576904^(MIN($E2623,123)-117)))*1,0))</f>
        <v>27014961</v>
      </c>
      <c r="U2623" s="11">
        <f>$E2623+11</f>
        <v>127</v>
      </c>
      <c r="V2623" s="12">
        <f>IF($J2623=0,0,ROUND(MAX($J2623*1.4*1.5*1.6*1.6*2.2*2.715,354000000*(1.642074^(MIN($E2623,123)-117)))*1,0))</f>
        <v>215581027</v>
      </c>
      <c r="W2623" s="13">
        <f>$E2623+15</f>
        <v>131</v>
      </c>
      <c r="X2623" s="14">
        <f>IF($J2623=0,0,ROUND(MAX($J2623*1.4*1.5*1.6*1.6*2.2*2.715*2.6,3540000000*(1.579646^(MIN($E2623,123)-117)))*1,0))</f>
        <v>2241008428</v>
      </c>
      <c r="Y2623" s="11">
        <f>$E2623+17</f>
        <v>133</v>
      </c>
      <c r="Z2623" s="12">
        <f>IF($J2623=0,0,ROUND(MAX($J2623*1.4*1.5*1.6*1.6*2.2*2.715*2.6*1.4,6020000000*(1.651178^(MIN($E2623,123)-117)))*1,0))</f>
        <v>3645881910</v>
      </c>
      <c r="AA2623" s="13">
        <f>$E2623+19</f>
        <v>135</v>
      </c>
      <c r="AB2623" s="14">
        <f>IF($J2623=0,0,ROUND(MAX($J2623*1.4*1.5*1.6*1.6*2.2*2.715*2.6*1.4*1.4,8430000000*(1.651435^(MIN($E2623,123)-117)))*1,0))</f>
        <v>5104651409</v>
      </c>
      <c r="AC2623" s="11">
        <f>$E2623+21</f>
        <v>137</v>
      </c>
      <c r="AD2623" s="12">
        <f>IF($J2623=0,0,ROUND(MAX($J2623*1.4*1.5*1.6*1.6*2.2*2.715*2.6*1.4*1.4*1.5,12600000000*(1.652953^(MIN($E2623,123)-117)))*1,0))</f>
        <v>7622721275</v>
      </c>
      <c r="AE2623" s="13">
        <f>$E2623+24</f>
        <v>140</v>
      </c>
      <c r="AF2623" s="14">
        <f>IF($J2623=0,0,ROUND(MAX($J2623*1.4*1.5*1.6*1.6*2.2*2.715*2.6*1.4*1.4*1.5*1.5,18900000000*(1.65331^(MIN($E2623,123)-117)))*1,0))</f>
        <v>11431612946</v>
      </c>
      <c r="AG2623" s="11">
        <f>$E2623+27</f>
        <v>143</v>
      </c>
      <c r="AH2623" s="12">
        <f>IF($J2623=0,0,ROUND(MAX($J2623*1.4*1.5*1.6*1.6*2.2*2.715*2.6*1.4*1.4*1.5*1.5*3.2,60500000000*(1.654288^(MIN($E2623,123)-117)))*1,0))</f>
        <v>36571624772</v>
      </c>
    </row>
    <row r="2624" ht="28" customHeight="1" spans="1:34" x14ac:dyDescent="0.25">
      <c r="A2624">
        <v>2634</v>
      </c>
      <c r="B2624" t="s">
        <v>725</v>
      </c>
      <c r="C2624" s="10" t="s">
        <v>1533</v>
      </c>
      <c r="D2624" t="s">
        <v>75</v>
      </c>
      <c r="E2624">
        <v>116</v>
      </c>
      <c r="F2624" t="s">
        <v>54</v>
      </c>
      <c r="G2624" t="s">
        <v>374</v>
      </c>
      <c r="H2624">
        <v>27</v>
      </c>
      <c r="I2624" s="11">
        <v>116</v>
      </c>
      <c r="J2624" s="12">
        <v>602000</v>
      </c>
      <c r="K2624" s="13">
        <f>$E2624+1</f>
        <v>117</v>
      </c>
      <c r="L2624" s="14">
        <f>IF($J2624=0,0,ROUND(MAX($J2624*1.4,1620000*(1.497923^(MIN($E2624,123)-117)))*1,0))</f>
        <v>1081498</v>
      </c>
      <c r="M2624" s="11">
        <f>$E2624+2</f>
        <v>118</v>
      </c>
      <c r="N2624" s="12">
        <f>IF($J2624=0,0,ROUND(MAX($J2624*1.4*1.5,2190000*(1.580994^(MIN($E2624,123)-117)))*1,0))</f>
        <v>1385204</v>
      </c>
      <c r="O2624" s="13">
        <f>$E2624+4</f>
        <v>120</v>
      </c>
      <c r="P2624" s="14">
        <f>IF($J2624=0,0,ROUND(MAX($J2624*1.4*1.5*1.6,3500000*(1.57975^(MIN($E2624,123)-117)))*1,0))</f>
        <v>2215540</v>
      </c>
      <c r="Q2624" s="11">
        <f>$E2624+6</f>
        <v>122</v>
      </c>
      <c r="R2624" s="12">
        <f>IF($J2624=0,0,ROUND(MAX($J2624*1.4*1.5*1.6*1.6,13100000*(1.429962^(MIN($E2624,123)-117)))*1,0))</f>
        <v>9161083</v>
      </c>
      <c r="S2624" s="13">
        <f>$E2624+8</f>
        <v>124</v>
      </c>
      <c r="T2624" s="14">
        <f>IF($J2624=0,0,ROUND(MAX($J2624*1.4*1.5*1.6*1.6*2.2,42600000*(1.576904^(MIN($E2624,123)-117)))*1,0))</f>
        <v>27014961</v>
      </c>
      <c r="U2624" s="11">
        <f>$E2624+11</f>
        <v>127</v>
      </c>
      <c r="V2624" s="12">
        <f>IF($J2624=0,0,ROUND(MAX($J2624*1.4*1.5*1.6*1.6*2.2*2.715,354000000*(1.642074^(MIN($E2624,123)-117)))*1,0))</f>
        <v>215581027</v>
      </c>
      <c r="W2624" s="13">
        <f>$E2624+15</f>
        <v>131</v>
      </c>
      <c r="X2624" s="14">
        <f>IF($J2624=0,0,ROUND(MAX($J2624*1.4*1.5*1.6*1.6*2.2*2.715*2.6,3540000000*(1.579646^(MIN($E2624,123)-117)))*1,0))</f>
        <v>2241008428</v>
      </c>
      <c r="Y2624" s="11">
        <f>$E2624+17</f>
        <v>133</v>
      </c>
      <c r="Z2624" s="12">
        <f>IF($J2624=0,0,ROUND(MAX($J2624*1.4*1.5*1.6*1.6*2.2*2.715*2.6*1.4,6020000000*(1.651178^(MIN($E2624,123)-117)))*1,0))</f>
        <v>3645881910</v>
      </c>
      <c r="AA2624" s="13">
        <f>$E2624+19</f>
        <v>135</v>
      </c>
      <c r="AB2624" s="14">
        <f>IF($J2624=0,0,ROUND(MAX($J2624*1.4*1.5*1.6*1.6*2.2*2.715*2.6*1.4*1.4,8430000000*(1.651435^(MIN($E2624,123)-117)))*1,0))</f>
        <v>5104651409</v>
      </c>
      <c r="AC2624" s="11">
        <f>$E2624+21</f>
        <v>137</v>
      </c>
      <c r="AD2624" s="12">
        <f>IF($J2624=0,0,ROUND(MAX($J2624*1.4*1.5*1.6*1.6*2.2*2.715*2.6*1.4*1.4*1.5,12600000000*(1.652953^(MIN($E2624,123)-117)))*1,0))</f>
        <v>7622721275</v>
      </c>
      <c r="AE2624" s="13">
        <f>$E2624+24</f>
        <v>140</v>
      </c>
      <c r="AF2624" s="14">
        <f>IF($J2624=0,0,ROUND(MAX($J2624*1.4*1.5*1.6*1.6*2.2*2.715*2.6*1.4*1.4*1.5*1.5,18900000000*(1.65331^(MIN($E2624,123)-117)))*1,0))</f>
        <v>11431612946</v>
      </c>
      <c r="AG2624" s="11">
        <f>$E2624+27</f>
        <v>143</v>
      </c>
      <c r="AH2624" s="12">
        <f>IF($J2624=0,0,ROUND(MAX($J2624*1.4*1.5*1.6*1.6*2.2*2.715*2.6*1.4*1.4*1.5*1.5*3.2,60500000000*(1.654288^(MIN($E2624,123)-117)))*1,0))</f>
        <v>36571624772</v>
      </c>
    </row>
    <row r="2625" ht="28" customHeight="1" spans="1:34" x14ac:dyDescent="0.25">
      <c r="A2625">
        <v>2635</v>
      </c>
      <c r="B2625" t="s">
        <v>1563</v>
      </c>
      <c r="C2625" s="10" t="s">
        <v>1533</v>
      </c>
      <c r="D2625" t="s">
        <v>33</v>
      </c>
      <c r="E2625">
        <v>116</v>
      </c>
      <c r="F2625" t="s">
        <v>223</v>
      </c>
      <c r="G2625" t="s">
        <v>244</v>
      </c>
      <c r="H2625">
        <v>27</v>
      </c>
      <c r="I2625" s="11">
        <v>116</v>
      </c>
      <c r="J2625" s="12">
        <v>524000</v>
      </c>
      <c r="K2625" s="13">
        <f>$E2625+1</f>
        <v>117</v>
      </c>
      <c r="L2625" s="14">
        <f>IF($J2625=0,0,ROUND(MAX($J2625*1.4,1620000*(1.497923^(MIN($E2625,123)-117)))*1,0))</f>
        <v>1081498</v>
      </c>
      <c r="M2625" s="11">
        <f>$E2625+2</f>
        <v>118</v>
      </c>
      <c r="N2625" s="12">
        <f>IF($J2625=0,0,ROUND(MAX($J2625*1.4*1.5,2190000*(1.580994^(MIN($E2625,123)-117)))*1,0))</f>
        <v>1385204</v>
      </c>
      <c r="O2625" s="13">
        <f>$E2625+4</f>
        <v>120</v>
      </c>
      <c r="P2625" s="14">
        <f>IF($J2625=0,0,ROUND(MAX($J2625*1.4*1.5*1.6,3500000*(1.57975^(MIN($E2625,123)-117)))*1,0))</f>
        <v>2215540</v>
      </c>
      <c r="Q2625" s="11">
        <f>$E2625+6</f>
        <v>122</v>
      </c>
      <c r="R2625" s="12">
        <f>IF($J2625=0,0,ROUND(MAX($J2625*1.4*1.5*1.6*1.6,13100000*(1.429962^(MIN($E2625,123)-117)))*1,0))</f>
        <v>9161083</v>
      </c>
      <c r="S2625" s="13">
        <f>$E2625+8</f>
        <v>124</v>
      </c>
      <c r="T2625" s="14">
        <f>IF($J2625=0,0,ROUND(MAX($J2625*1.4*1.5*1.6*1.6*2.2,42600000*(1.576904^(MIN($E2625,123)-117)))*1,0))</f>
        <v>27014961</v>
      </c>
      <c r="U2625" s="11">
        <f>$E2625+11</f>
        <v>127</v>
      </c>
      <c r="V2625" s="12">
        <f>IF($J2625=0,0,ROUND(MAX($J2625*1.4*1.5*1.6*1.6*2.2*2.715,354000000*(1.642074^(MIN($E2625,123)-117)))*1,0))</f>
        <v>215581027</v>
      </c>
      <c r="W2625" s="13">
        <f>$E2625+15</f>
        <v>131</v>
      </c>
      <c r="X2625" s="14">
        <f>IF($J2625=0,0,ROUND(MAX($J2625*1.4*1.5*1.6*1.6*2.2*2.715*2.6,3540000000*(1.579646^(MIN($E2625,123)-117)))*1,0))</f>
        <v>2241008428</v>
      </c>
      <c r="Y2625" s="11">
        <f>$E2625+17</f>
        <v>133</v>
      </c>
      <c r="Z2625" s="12">
        <f>IF($J2625=0,0,ROUND(MAX($J2625*1.4*1.5*1.6*1.6*2.2*2.715*2.6*1.4,6020000000*(1.651178^(MIN($E2625,123)-117)))*1,0))</f>
        <v>3645881910</v>
      </c>
      <c r="AA2625" s="13">
        <f>$E2625+19</f>
        <v>135</v>
      </c>
      <c r="AB2625" s="14">
        <f>IF($J2625=0,0,ROUND(MAX($J2625*1.4*1.5*1.6*1.6*2.2*2.715*2.6*1.4*1.4,8430000000*(1.651435^(MIN($E2625,123)-117)))*1,0))</f>
        <v>5104651409</v>
      </c>
      <c r="AC2625" s="11">
        <f>$E2625+21</f>
        <v>137</v>
      </c>
      <c r="AD2625" s="12">
        <f>IF($J2625=0,0,ROUND(MAX($J2625*1.4*1.5*1.6*1.6*2.2*2.715*2.6*1.4*1.4*1.5,12600000000*(1.652953^(MIN($E2625,123)-117)))*1,0))</f>
        <v>7622721275</v>
      </c>
      <c r="AE2625" s="13">
        <f>$E2625+24</f>
        <v>140</v>
      </c>
      <c r="AF2625" s="14">
        <f>IF($J2625=0,0,ROUND(MAX($J2625*1.4*1.5*1.6*1.6*2.2*2.715*2.6*1.4*1.4*1.5*1.5,18900000000*(1.65331^(MIN($E2625,123)-117)))*1,0))</f>
        <v>11431612946</v>
      </c>
      <c r="AG2625" s="11">
        <f>$E2625+27</f>
        <v>143</v>
      </c>
      <c r="AH2625" s="12">
        <f>IF($J2625=0,0,ROUND(MAX($J2625*1.4*1.5*1.6*1.6*2.2*2.715*2.6*1.4*1.4*1.5*1.5*3.2,60500000000*(1.654288^(MIN($E2625,123)-117)))*1,0))</f>
        <v>36571624772</v>
      </c>
    </row>
    <row r="2626" ht="28" customHeight="1" spans="1:34" x14ac:dyDescent="0.25">
      <c r="A2626">
        <v>2636</v>
      </c>
      <c r="B2626" t="s">
        <v>1564</v>
      </c>
      <c r="C2626" s="10" t="s">
        <v>1533</v>
      </c>
      <c r="D2626" t="s">
        <v>102</v>
      </c>
      <c r="E2626">
        <v>116</v>
      </c>
      <c r="F2626" t="s">
        <v>303</v>
      </c>
      <c r="G2626" t="s">
        <v>329</v>
      </c>
      <c r="H2626">
        <v>27</v>
      </c>
      <c r="I2626" s="11">
        <v>116</v>
      </c>
      <c r="J2626" s="12">
        <v>523000</v>
      </c>
      <c r="K2626" s="13">
        <f>$E2626+1</f>
        <v>117</v>
      </c>
      <c r="L2626" s="14">
        <f>IF($J2626=0,0,ROUND(MAX($J2626*1.4,1620000*(1.497923^(MIN($E2626,123)-117)))*1,0))</f>
        <v>1081498</v>
      </c>
      <c r="M2626" s="11">
        <f>$E2626+2</f>
        <v>118</v>
      </c>
      <c r="N2626" s="12">
        <f>IF($J2626=0,0,ROUND(MAX($J2626*1.4*1.5,2190000*(1.580994^(MIN($E2626,123)-117)))*1,0))</f>
        <v>1385204</v>
      </c>
      <c r="O2626" s="13">
        <f>$E2626+4</f>
        <v>120</v>
      </c>
      <c r="P2626" s="14">
        <f>IF($J2626=0,0,ROUND(MAX($J2626*1.4*1.5*1.6,3500000*(1.57975^(MIN($E2626,123)-117)))*1,0))</f>
        <v>2215540</v>
      </c>
      <c r="Q2626" s="11">
        <f>$E2626+6</f>
        <v>122</v>
      </c>
      <c r="R2626" s="12">
        <f>IF($J2626=0,0,ROUND(MAX($J2626*1.4*1.5*1.6*1.6,13100000*(1.429962^(MIN($E2626,123)-117)))*1,0))</f>
        <v>9161083</v>
      </c>
      <c r="S2626" s="13">
        <f>$E2626+8</f>
        <v>124</v>
      </c>
      <c r="T2626" s="14">
        <f>IF($J2626=0,0,ROUND(MAX($J2626*1.4*1.5*1.6*1.6*2.2,42600000*(1.576904^(MIN($E2626,123)-117)))*1,0))</f>
        <v>27014961</v>
      </c>
      <c r="U2626" s="11">
        <f>$E2626+11</f>
        <v>127</v>
      </c>
      <c r="V2626" s="12">
        <f>IF($J2626=0,0,ROUND(MAX($J2626*1.4*1.5*1.6*1.6*2.2*2.715,354000000*(1.642074^(MIN($E2626,123)-117)))*1,0))</f>
        <v>215581027</v>
      </c>
      <c r="W2626" s="13">
        <f>$E2626+15</f>
        <v>131</v>
      </c>
      <c r="X2626" s="14">
        <f>IF($J2626=0,0,ROUND(MAX($J2626*1.4*1.5*1.6*1.6*2.2*2.715*2.6,3540000000*(1.579646^(MIN($E2626,123)-117)))*1,0))</f>
        <v>2241008428</v>
      </c>
      <c r="Y2626" s="11">
        <f>$E2626+17</f>
        <v>133</v>
      </c>
      <c r="Z2626" s="12">
        <f>IF($J2626=0,0,ROUND(MAX($J2626*1.4*1.5*1.6*1.6*2.2*2.715*2.6*1.4,6020000000*(1.651178^(MIN($E2626,123)-117)))*1,0))</f>
        <v>3645881910</v>
      </c>
      <c r="AA2626" s="13">
        <f>$E2626+19</f>
        <v>135</v>
      </c>
      <c r="AB2626" s="14">
        <f>IF($J2626=0,0,ROUND(MAX($J2626*1.4*1.5*1.6*1.6*2.2*2.715*2.6*1.4*1.4,8430000000*(1.651435^(MIN($E2626,123)-117)))*1,0))</f>
        <v>5104651409</v>
      </c>
      <c r="AC2626" s="11">
        <f>$E2626+21</f>
        <v>137</v>
      </c>
      <c r="AD2626" s="12">
        <f>IF($J2626=0,0,ROUND(MAX($J2626*1.4*1.5*1.6*1.6*2.2*2.715*2.6*1.4*1.4*1.5,12600000000*(1.652953^(MIN($E2626,123)-117)))*1,0))</f>
        <v>7622721275</v>
      </c>
      <c r="AE2626" s="13">
        <f>$E2626+24</f>
        <v>140</v>
      </c>
      <c r="AF2626" s="14">
        <f>IF($J2626=0,0,ROUND(MAX($J2626*1.4*1.5*1.6*1.6*2.2*2.715*2.6*1.4*1.4*1.5*1.5,18900000000*(1.65331^(MIN($E2626,123)-117)))*1,0))</f>
        <v>11431612946</v>
      </c>
      <c r="AG2626" s="11">
        <f>$E2626+27</f>
        <v>143</v>
      </c>
      <c r="AH2626" s="12">
        <f>IF($J2626=0,0,ROUND(MAX($J2626*1.4*1.5*1.6*1.6*2.2*2.715*2.6*1.4*1.4*1.5*1.5*3.2,60500000000*(1.654288^(MIN($E2626,123)-117)))*1,0))</f>
        <v>36571624772</v>
      </c>
    </row>
    <row r="2627" ht="28" customHeight="1" spans="1:34" x14ac:dyDescent="0.25">
      <c r="A2627">
        <v>2637</v>
      </c>
      <c r="B2627" t="s">
        <v>1482</v>
      </c>
      <c r="C2627" s="10" t="s">
        <v>1533</v>
      </c>
      <c r="D2627" t="s">
        <v>33</v>
      </c>
      <c r="E2627">
        <v>116</v>
      </c>
      <c r="F2627" t="s">
        <v>298</v>
      </c>
      <c r="G2627" t="s">
        <v>762</v>
      </c>
      <c r="H2627">
        <v>27</v>
      </c>
      <c r="I2627" s="11">
        <v>116</v>
      </c>
      <c r="J2627" s="12">
        <v>530000</v>
      </c>
      <c r="K2627" s="13">
        <f>$E2627+1</f>
        <v>117</v>
      </c>
      <c r="L2627" s="14">
        <f>IF($J2627=0,0,ROUND(MAX($J2627*1.4,1620000*(1.497923^(MIN($E2627,123)-117)))*1,0))</f>
        <v>1081498</v>
      </c>
      <c r="M2627" s="11">
        <f>$E2627+2</f>
        <v>118</v>
      </c>
      <c r="N2627" s="12">
        <f>IF($J2627=0,0,ROUND(MAX($J2627*1.4*1.5,2190000*(1.580994^(MIN($E2627,123)-117)))*1,0))</f>
        <v>1385204</v>
      </c>
      <c r="O2627" s="13">
        <f>$E2627+4</f>
        <v>120</v>
      </c>
      <c r="P2627" s="14">
        <f>IF($J2627=0,0,ROUND(MAX($J2627*1.4*1.5*1.6,3500000*(1.57975^(MIN($E2627,123)-117)))*1,0))</f>
        <v>2215540</v>
      </c>
      <c r="Q2627" s="11">
        <f>$E2627+6</f>
        <v>122</v>
      </c>
      <c r="R2627" s="12">
        <f>IF($J2627=0,0,ROUND(MAX($J2627*1.4*1.5*1.6*1.6,13100000*(1.429962^(MIN($E2627,123)-117)))*1,0))</f>
        <v>9161083</v>
      </c>
      <c r="S2627" s="13">
        <f>$E2627+8</f>
        <v>124</v>
      </c>
      <c r="T2627" s="14">
        <f>IF($J2627=0,0,ROUND(MAX($J2627*1.4*1.5*1.6*1.6*2.2,42600000*(1.576904^(MIN($E2627,123)-117)))*1,0))</f>
        <v>27014961</v>
      </c>
      <c r="U2627" s="11">
        <f>$E2627+11</f>
        <v>127</v>
      </c>
      <c r="V2627" s="12">
        <f>IF($J2627=0,0,ROUND(MAX($J2627*1.4*1.5*1.6*1.6*2.2*2.715,354000000*(1.642074^(MIN($E2627,123)-117)))*1,0))</f>
        <v>215581027</v>
      </c>
      <c r="W2627" s="13">
        <f>$E2627+15</f>
        <v>131</v>
      </c>
      <c r="X2627" s="14">
        <f>IF($J2627=0,0,ROUND(MAX($J2627*1.4*1.5*1.6*1.6*2.2*2.715*2.6,3540000000*(1.579646^(MIN($E2627,123)-117)))*1,0))</f>
        <v>2241008428</v>
      </c>
      <c r="Y2627" s="11">
        <f>$E2627+17</f>
        <v>133</v>
      </c>
      <c r="Z2627" s="12">
        <f>IF($J2627=0,0,ROUND(MAX($J2627*1.4*1.5*1.6*1.6*2.2*2.715*2.6*1.4,6020000000*(1.651178^(MIN($E2627,123)-117)))*1,0))</f>
        <v>3645881910</v>
      </c>
      <c r="AA2627" s="13">
        <f>$E2627+19</f>
        <v>135</v>
      </c>
      <c r="AB2627" s="14">
        <f>IF($J2627=0,0,ROUND(MAX($J2627*1.4*1.5*1.6*1.6*2.2*2.715*2.6*1.4*1.4,8430000000*(1.651435^(MIN($E2627,123)-117)))*1,0))</f>
        <v>5104651409</v>
      </c>
      <c r="AC2627" s="11">
        <f>$E2627+21</f>
        <v>137</v>
      </c>
      <c r="AD2627" s="12">
        <f>IF($J2627=0,0,ROUND(MAX($J2627*1.4*1.5*1.6*1.6*2.2*2.715*2.6*1.4*1.4*1.5,12600000000*(1.652953^(MIN($E2627,123)-117)))*1,0))</f>
        <v>7622721275</v>
      </c>
      <c r="AE2627" s="13">
        <f>$E2627+24</f>
        <v>140</v>
      </c>
      <c r="AF2627" s="14">
        <f>IF($J2627=0,0,ROUND(MAX($J2627*1.4*1.5*1.6*1.6*2.2*2.715*2.6*1.4*1.4*1.5*1.5,18900000000*(1.65331^(MIN($E2627,123)-117)))*1,0))</f>
        <v>11431612946</v>
      </c>
      <c r="AG2627" s="11">
        <f>$E2627+27</f>
        <v>143</v>
      </c>
      <c r="AH2627" s="12">
        <f>IF($J2627=0,0,ROUND(MAX($J2627*1.4*1.5*1.6*1.6*2.2*2.715*2.6*1.4*1.4*1.5*1.5*3.2,60500000000*(1.654288^(MIN($E2627,123)-117)))*1,0))</f>
        <v>36571624772</v>
      </c>
    </row>
    <row r="2628" ht="28" customHeight="1" spans="1:34" x14ac:dyDescent="0.25">
      <c r="A2628">
        <v>2638</v>
      </c>
      <c r="B2628" t="s">
        <v>335</v>
      </c>
      <c r="C2628" s="10" t="s">
        <v>1533</v>
      </c>
      <c r="D2628" t="s">
        <v>79</v>
      </c>
      <c r="E2628">
        <v>116</v>
      </c>
      <c r="F2628" t="s">
        <v>54</v>
      </c>
      <c r="G2628" t="s">
        <v>218</v>
      </c>
      <c r="H2628">
        <v>26</v>
      </c>
      <c r="I2628" s="11">
        <v>116</v>
      </c>
      <c r="J2628" s="12">
        <v>587000</v>
      </c>
      <c r="K2628" s="13">
        <f>$E2628+1</f>
        <v>117</v>
      </c>
      <c r="L2628" s="14">
        <f>IF($J2628=0,0,ROUND(MAX($J2628*1.4,1620000*(1.497923^(MIN($E2628,123)-117)))*1,0))</f>
        <v>1081498</v>
      </c>
      <c r="M2628" s="11">
        <f>$E2628+2</f>
        <v>118</v>
      </c>
      <c r="N2628" s="12">
        <f>IF($J2628=0,0,ROUND(MAX($J2628*1.4*1.5,2190000*(1.580994^(MIN($E2628,123)-117)))*1,0))</f>
        <v>1385204</v>
      </c>
      <c r="O2628" s="13">
        <f>$E2628+4</f>
        <v>120</v>
      </c>
      <c r="P2628" s="14">
        <f>IF($J2628=0,0,ROUND(MAX($J2628*1.4*1.5*1.6,3500000*(1.57975^(MIN($E2628,123)-117)))*1,0))</f>
        <v>2215540</v>
      </c>
      <c r="Q2628" s="11">
        <f>$E2628+6</f>
        <v>122</v>
      </c>
      <c r="R2628" s="12">
        <f>IF($J2628=0,0,ROUND(MAX($J2628*1.4*1.5*1.6*1.6,13100000*(1.429962^(MIN($E2628,123)-117)))*1,0))</f>
        <v>9161083</v>
      </c>
      <c r="S2628" s="13">
        <f>$E2628+8</f>
        <v>124</v>
      </c>
      <c r="T2628" s="14">
        <f>IF($J2628=0,0,ROUND(MAX($J2628*1.4*1.5*1.6*1.6*2.2,42600000*(1.576904^(MIN($E2628,123)-117)))*1,0))</f>
        <v>27014961</v>
      </c>
      <c r="U2628" s="11">
        <f>$E2628+11</f>
        <v>127</v>
      </c>
      <c r="V2628" s="12">
        <f>IF($J2628=0,0,ROUND(MAX($J2628*1.4*1.5*1.6*1.6*2.2*2.715,354000000*(1.642074^(MIN($E2628,123)-117)))*1,0))</f>
        <v>215581027</v>
      </c>
      <c r="W2628" s="13">
        <f>$E2628+15</f>
        <v>131</v>
      </c>
      <c r="X2628" s="14">
        <f>IF($J2628=0,0,ROUND(MAX($J2628*1.4*1.5*1.6*1.6*2.2*2.715*2.6,3540000000*(1.579646^(MIN($E2628,123)-117)))*1,0))</f>
        <v>2241008428</v>
      </c>
      <c r="Y2628" s="11">
        <f>$E2628+17</f>
        <v>133</v>
      </c>
      <c r="Z2628" s="12">
        <f>IF($J2628=0,0,ROUND(MAX($J2628*1.4*1.5*1.6*1.6*2.2*2.715*2.6*1.4,6020000000*(1.651178^(MIN($E2628,123)-117)))*1,0))</f>
        <v>3645881910</v>
      </c>
      <c r="AA2628" s="13">
        <f>$E2628+19</f>
        <v>135</v>
      </c>
      <c r="AB2628" s="14">
        <f>IF($J2628=0,0,ROUND(MAX($J2628*1.4*1.5*1.6*1.6*2.2*2.715*2.6*1.4*1.4,8430000000*(1.651435^(MIN($E2628,123)-117)))*1,0))</f>
        <v>5104651409</v>
      </c>
      <c r="AC2628" s="11">
        <f>$E2628+21</f>
        <v>137</v>
      </c>
      <c r="AD2628" s="12">
        <f>IF($J2628=0,0,ROUND(MAX($J2628*1.4*1.5*1.6*1.6*2.2*2.715*2.6*1.4*1.4*1.5,12600000000*(1.652953^(MIN($E2628,123)-117)))*1,0))</f>
        <v>7622721275</v>
      </c>
      <c r="AE2628" s="13">
        <f>$E2628+24</f>
        <v>140</v>
      </c>
      <c r="AF2628" s="14">
        <f>IF($J2628=0,0,ROUND(MAX($J2628*1.4*1.5*1.6*1.6*2.2*2.715*2.6*1.4*1.4*1.5*1.5,18900000000*(1.65331^(MIN($E2628,123)-117)))*1,0))</f>
        <v>11431612946</v>
      </c>
      <c r="AG2628" s="11">
        <f>$E2628+27</f>
        <v>143</v>
      </c>
      <c r="AH2628" s="12">
        <f>IF($J2628=0,0,ROUND(MAX($J2628*1.4*1.5*1.6*1.6*2.2*2.715*2.6*1.4*1.4*1.5*1.5*3.2,60500000000*(1.654288^(MIN($E2628,123)-117)))*1,0))</f>
        <v>36571624772</v>
      </c>
    </row>
    <row r="2629" ht="28" customHeight="1" spans="1:34" x14ac:dyDescent="0.25">
      <c r="A2629">
        <v>2639</v>
      </c>
      <c r="B2629" t="s">
        <v>1565</v>
      </c>
      <c r="C2629" s="10" t="s">
        <v>1533</v>
      </c>
      <c r="D2629" t="s">
        <v>40</v>
      </c>
      <c r="E2629">
        <v>116</v>
      </c>
      <c r="F2629" t="s">
        <v>54</v>
      </c>
      <c r="G2629" t="s">
        <v>133</v>
      </c>
      <c r="H2629">
        <v>26</v>
      </c>
      <c r="I2629" s="11">
        <v>116</v>
      </c>
      <c r="J2629" s="12">
        <v>567000</v>
      </c>
      <c r="K2629" s="13">
        <f>$E2629+1</f>
        <v>117</v>
      </c>
      <c r="L2629" s="14">
        <f>IF($J2629=0,0,ROUND(MAX($J2629*1.4,1620000*(1.497923^(MIN($E2629,123)-117)))*1,0))</f>
        <v>1081498</v>
      </c>
      <c r="M2629" s="11">
        <f>$E2629+2</f>
        <v>118</v>
      </c>
      <c r="N2629" s="12">
        <f>IF($J2629=0,0,ROUND(MAX($J2629*1.4*1.5,2190000*(1.580994^(MIN($E2629,123)-117)))*1,0))</f>
        <v>1385204</v>
      </c>
      <c r="O2629" s="13">
        <f>$E2629+4</f>
        <v>120</v>
      </c>
      <c r="P2629" s="14">
        <f>IF($J2629=0,0,ROUND(MAX($J2629*1.4*1.5*1.6,3500000*(1.57975^(MIN($E2629,123)-117)))*1,0))</f>
        <v>2215540</v>
      </c>
      <c r="Q2629" s="11">
        <f>$E2629+6</f>
        <v>122</v>
      </c>
      <c r="R2629" s="12">
        <f>IF($J2629=0,0,ROUND(MAX($J2629*1.4*1.5*1.6*1.6,13100000*(1.429962^(MIN($E2629,123)-117)))*1,0))</f>
        <v>9161083</v>
      </c>
      <c r="S2629" s="13">
        <f>$E2629+8</f>
        <v>124</v>
      </c>
      <c r="T2629" s="14">
        <f>IF($J2629=0,0,ROUND(MAX($J2629*1.4*1.5*1.6*1.6*2.2,42600000*(1.576904^(MIN($E2629,123)-117)))*1,0))</f>
        <v>27014961</v>
      </c>
      <c r="U2629" s="11">
        <f>$E2629+11</f>
        <v>127</v>
      </c>
      <c r="V2629" s="12">
        <f>IF($J2629=0,0,ROUND(MAX($J2629*1.4*1.5*1.6*1.6*2.2*2.715,354000000*(1.642074^(MIN($E2629,123)-117)))*1,0))</f>
        <v>215581027</v>
      </c>
      <c r="W2629" s="13">
        <f>$E2629+15</f>
        <v>131</v>
      </c>
      <c r="X2629" s="14">
        <f>IF($J2629=0,0,ROUND(MAX($J2629*1.4*1.5*1.6*1.6*2.2*2.715*2.6,3540000000*(1.579646^(MIN($E2629,123)-117)))*1,0))</f>
        <v>2241008428</v>
      </c>
      <c r="Y2629" s="11">
        <f>$E2629+17</f>
        <v>133</v>
      </c>
      <c r="Z2629" s="12">
        <f>IF($J2629=0,0,ROUND(MAX($J2629*1.4*1.5*1.6*1.6*2.2*2.715*2.6*1.4,6020000000*(1.651178^(MIN($E2629,123)-117)))*1,0))</f>
        <v>3645881910</v>
      </c>
      <c r="AA2629" s="13">
        <f>$E2629+19</f>
        <v>135</v>
      </c>
      <c r="AB2629" s="14">
        <f>IF($J2629=0,0,ROUND(MAX($J2629*1.4*1.5*1.6*1.6*2.2*2.715*2.6*1.4*1.4,8430000000*(1.651435^(MIN($E2629,123)-117)))*1,0))</f>
        <v>5104651409</v>
      </c>
      <c r="AC2629" s="11">
        <f>$E2629+21</f>
        <v>137</v>
      </c>
      <c r="AD2629" s="12">
        <f>IF($J2629=0,0,ROUND(MAX($J2629*1.4*1.5*1.6*1.6*2.2*2.715*2.6*1.4*1.4*1.5,12600000000*(1.652953^(MIN($E2629,123)-117)))*1,0))</f>
        <v>7622721275</v>
      </c>
      <c r="AE2629" s="13">
        <f>$E2629+24</f>
        <v>140</v>
      </c>
      <c r="AF2629" s="14">
        <f>IF($J2629=0,0,ROUND(MAX($J2629*1.4*1.5*1.6*1.6*2.2*2.715*2.6*1.4*1.4*1.5*1.5,18900000000*(1.65331^(MIN($E2629,123)-117)))*1,0))</f>
        <v>11431612946</v>
      </c>
      <c r="AG2629" s="11">
        <f>$E2629+27</f>
        <v>143</v>
      </c>
      <c r="AH2629" s="12">
        <f>IF($J2629=0,0,ROUND(MAX($J2629*1.4*1.5*1.6*1.6*2.2*2.715*2.6*1.4*1.4*1.5*1.5*3.2,60500000000*(1.654288^(MIN($E2629,123)-117)))*1,0))</f>
        <v>36571624772</v>
      </c>
    </row>
    <row r="2630" ht="28" customHeight="1" spans="1:34" x14ac:dyDescent="0.25">
      <c r="A2630">
        <v>2640</v>
      </c>
      <c r="B2630" t="s">
        <v>1566</v>
      </c>
      <c r="C2630" s="10" t="s">
        <v>1533</v>
      </c>
      <c r="D2630" t="s">
        <v>47</v>
      </c>
      <c r="E2630">
        <v>116</v>
      </c>
      <c r="F2630" t="s">
        <v>385</v>
      </c>
      <c r="G2630" t="s">
        <v>1567</v>
      </c>
      <c r="H2630">
        <v>26</v>
      </c>
      <c r="I2630" s="11">
        <v>116</v>
      </c>
      <c r="J2630" s="12">
        <v>596000</v>
      </c>
      <c r="K2630" s="13">
        <f>$E2630+1</f>
        <v>117</v>
      </c>
      <c r="L2630" s="14">
        <f>IF($J2630=0,0,ROUND(MAX($J2630*1.4,1620000*(1.497923^(MIN($E2630,123)-117)))*1,0))</f>
        <v>1081498</v>
      </c>
      <c r="M2630" s="11">
        <f>$E2630+2</f>
        <v>118</v>
      </c>
      <c r="N2630" s="12">
        <f>IF($J2630=0,0,ROUND(MAX($J2630*1.4*1.5,2190000*(1.580994^(MIN($E2630,123)-117)))*1,0))</f>
        <v>1385204</v>
      </c>
      <c r="O2630" s="13">
        <f>$E2630+4</f>
        <v>120</v>
      </c>
      <c r="P2630" s="14">
        <f>IF($J2630=0,0,ROUND(MAX($J2630*1.4*1.5*1.6,3500000*(1.57975^(MIN($E2630,123)-117)))*1,0))</f>
        <v>2215540</v>
      </c>
      <c r="Q2630" s="11">
        <f>$E2630+6</f>
        <v>122</v>
      </c>
      <c r="R2630" s="12">
        <f>IF($J2630=0,0,ROUND(MAX($J2630*1.4*1.5*1.6*1.6,13100000*(1.429962^(MIN($E2630,123)-117)))*1,0))</f>
        <v>9161083</v>
      </c>
      <c r="S2630" s="13">
        <f>$E2630+8</f>
        <v>124</v>
      </c>
      <c r="T2630" s="14">
        <f>IF($J2630=0,0,ROUND(MAX($J2630*1.4*1.5*1.6*1.6*2.2,42600000*(1.576904^(MIN($E2630,123)-117)))*1,0))</f>
        <v>27014961</v>
      </c>
      <c r="U2630" s="11">
        <f>$E2630+11</f>
        <v>127</v>
      </c>
      <c r="V2630" s="12">
        <f>IF($J2630=0,0,ROUND(MAX($J2630*1.4*1.5*1.6*1.6*2.2*2.715,354000000*(1.642074^(MIN($E2630,123)-117)))*1,0))</f>
        <v>215581027</v>
      </c>
      <c r="W2630" s="13">
        <f>$E2630+15</f>
        <v>131</v>
      </c>
      <c r="X2630" s="14">
        <f>IF($J2630=0,0,ROUND(MAX($J2630*1.4*1.5*1.6*1.6*2.2*2.715*2.6,3540000000*(1.579646^(MIN($E2630,123)-117)))*1,0))</f>
        <v>2241008428</v>
      </c>
      <c r="Y2630" s="11">
        <f>$E2630+17</f>
        <v>133</v>
      </c>
      <c r="Z2630" s="12">
        <f>IF($J2630=0,0,ROUND(MAX($J2630*1.4*1.5*1.6*1.6*2.2*2.715*2.6*1.4,6020000000*(1.651178^(MIN($E2630,123)-117)))*1,0))</f>
        <v>3645881910</v>
      </c>
      <c r="AA2630" s="13">
        <f>$E2630+19</f>
        <v>135</v>
      </c>
      <c r="AB2630" s="14">
        <f>IF($J2630=0,0,ROUND(MAX($J2630*1.4*1.5*1.6*1.6*2.2*2.715*2.6*1.4*1.4,8430000000*(1.651435^(MIN($E2630,123)-117)))*1,0))</f>
        <v>5104651409</v>
      </c>
      <c r="AC2630" s="11">
        <f>$E2630+21</f>
        <v>137</v>
      </c>
      <c r="AD2630" s="12">
        <f>IF($J2630=0,0,ROUND(MAX($J2630*1.4*1.5*1.6*1.6*2.2*2.715*2.6*1.4*1.4*1.5,12600000000*(1.652953^(MIN($E2630,123)-117)))*1,0))</f>
        <v>7622721275</v>
      </c>
      <c r="AE2630" s="13">
        <f>$E2630+24</f>
        <v>140</v>
      </c>
      <c r="AF2630" s="14">
        <f>IF($J2630=0,0,ROUND(MAX($J2630*1.4*1.5*1.6*1.6*2.2*2.715*2.6*1.4*1.4*1.5*1.5,18900000000*(1.65331^(MIN($E2630,123)-117)))*1,0))</f>
        <v>11431612946</v>
      </c>
      <c r="AG2630" s="11">
        <f>$E2630+27</f>
        <v>143</v>
      </c>
      <c r="AH2630" s="12">
        <f>IF($J2630=0,0,ROUND(MAX($J2630*1.4*1.5*1.6*1.6*2.2*2.715*2.6*1.4*1.4*1.5*1.5*3.2,60500000000*(1.654288^(MIN($E2630,123)-117)))*1,0))</f>
        <v>36571624772</v>
      </c>
    </row>
    <row r="2631" ht="28" customHeight="1" spans="1:34" x14ac:dyDescent="0.25">
      <c r="A2631">
        <v>2641</v>
      </c>
      <c r="B2631" t="s">
        <v>1568</v>
      </c>
      <c r="C2631" s="10" t="s">
        <v>1533</v>
      </c>
      <c r="D2631" t="s">
        <v>79</v>
      </c>
      <c r="E2631">
        <v>116</v>
      </c>
      <c r="F2631" t="s">
        <v>26</v>
      </c>
      <c r="G2631" t="s">
        <v>206</v>
      </c>
      <c r="H2631">
        <v>26</v>
      </c>
      <c r="I2631" s="11">
        <v>116</v>
      </c>
      <c r="J2631" s="12">
        <v>644000</v>
      </c>
      <c r="K2631" s="13">
        <f>$E2631+1</f>
        <v>117</v>
      </c>
      <c r="L2631" s="14">
        <f>IF($J2631=0,0,ROUND(MAX($J2631*1.4,1620000*(1.497923^(MIN($E2631,123)-117)))*1,0))</f>
        <v>1081498</v>
      </c>
      <c r="M2631" s="11">
        <f>$E2631+2</f>
        <v>118</v>
      </c>
      <c r="N2631" s="12">
        <f>IF($J2631=0,0,ROUND(MAX($J2631*1.4*1.5,2190000*(1.580994^(MIN($E2631,123)-117)))*1,0))</f>
        <v>1385204</v>
      </c>
      <c r="O2631" s="13">
        <f>$E2631+4</f>
        <v>120</v>
      </c>
      <c r="P2631" s="14">
        <f>IF($J2631=0,0,ROUND(MAX($J2631*1.4*1.5*1.6,3500000*(1.57975^(MIN($E2631,123)-117)))*1,0))</f>
        <v>2215540</v>
      </c>
      <c r="Q2631" s="11">
        <f>$E2631+6</f>
        <v>122</v>
      </c>
      <c r="R2631" s="12">
        <f>IF($J2631=0,0,ROUND(MAX($J2631*1.4*1.5*1.6*1.6,13100000*(1.429962^(MIN($E2631,123)-117)))*1,0))</f>
        <v>9161083</v>
      </c>
      <c r="S2631" s="13">
        <f>$E2631+8</f>
        <v>124</v>
      </c>
      <c r="T2631" s="14">
        <f>IF($J2631=0,0,ROUND(MAX($J2631*1.4*1.5*1.6*1.6*2.2,42600000*(1.576904^(MIN($E2631,123)-117)))*1,0))</f>
        <v>27014961</v>
      </c>
      <c r="U2631" s="11">
        <f>$E2631+11</f>
        <v>127</v>
      </c>
      <c r="V2631" s="12">
        <f>IF($J2631=0,0,ROUND(MAX($J2631*1.4*1.5*1.6*1.6*2.2*2.715,354000000*(1.642074^(MIN($E2631,123)-117)))*1,0))</f>
        <v>215581027</v>
      </c>
      <c r="W2631" s="13">
        <f>$E2631+15</f>
        <v>131</v>
      </c>
      <c r="X2631" s="14">
        <f>IF($J2631=0,0,ROUND(MAX($J2631*1.4*1.5*1.6*1.6*2.2*2.715*2.6,3540000000*(1.579646^(MIN($E2631,123)-117)))*1,0))</f>
        <v>2241008428</v>
      </c>
      <c r="Y2631" s="11">
        <f>$E2631+17</f>
        <v>133</v>
      </c>
      <c r="Z2631" s="12">
        <f>IF($J2631=0,0,ROUND(MAX($J2631*1.4*1.5*1.6*1.6*2.2*2.715*2.6*1.4,6020000000*(1.651178^(MIN($E2631,123)-117)))*1,0))</f>
        <v>3645881910</v>
      </c>
      <c r="AA2631" s="13">
        <f>$E2631+19</f>
        <v>135</v>
      </c>
      <c r="AB2631" s="14">
        <f>IF($J2631=0,0,ROUND(MAX($J2631*1.4*1.5*1.6*1.6*2.2*2.715*2.6*1.4*1.4,8430000000*(1.651435^(MIN($E2631,123)-117)))*1,0))</f>
        <v>5104651409</v>
      </c>
      <c r="AC2631" s="11">
        <f>$E2631+21</f>
        <v>137</v>
      </c>
      <c r="AD2631" s="12">
        <f>IF($J2631=0,0,ROUND(MAX($J2631*1.4*1.5*1.6*1.6*2.2*2.715*2.6*1.4*1.4*1.5,12600000000*(1.652953^(MIN($E2631,123)-117)))*1,0))</f>
        <v>7622721275</v>
      </c>
      <c r="AE2631" s="13">
        <f>$E2631+24</f>
        <v>140</v>
      </c>
      <c r="AF2631" s="14">
        <f>IF($J2631=0,0,ROUND(MAX($J2631*1.4*1.5*1.6*1.6*2.2*2.715*2.6*1.4*1.4*1.5*1.5,18900000000*(1.65331^(MIN($E2631,123)-117)))*1,0))</f>
        <v>11431612946</v>
      </c>
      <c r="AG2631" s="11">
        <f>$E2631+27</f>
        <v>143</v>
      </c>
      <c r="AH2631" s="12">
        <f>IF($J2631=0,0,ROUND(MAX($J2631*1.4*1.5*1.6*1.6*2.2*2.715*2.6*1.4*1.4*1.5*1.5*3.2,60500000000*(1.654288^(MIN($E2631,123)-117)))*1,0))</f>
        <v>36571624772</v>
      </c>
    </row>
    <row r="2632" ht="28" customHeight="1" spans="1:34" x14ac:dyDescent="0.25">
      <c r="A2632">
        <v>2642</v>
      </c>
      <c r="B2632" t="s">
        <v>248</v>
      </c>
      <c r="C2632" s="10" t="s">
        <v>1533</v>
      </c>
      <c r="D2632" t="s">
        <v>33</v>
      </c>
      <c r="E2632">
        <v>116</v>
      </c>
      <c r="F2632" t="s">
        <v>54</v>
      </c>
      <c r="G2632" t="s">
        <v>95</v>
      </c>
      <c r="H2632">
        <v>26</v>
      </c>
      <c r="I2632" s="11">
        <v>116</v>
      </c>
      <c r="J2632" s="12">
        <v>513000</v>
      </c>
      <c r="K2632" s="13">
        <f>$E2632+1</f>
        <v>117</v>
      </c>
      <c r="L2632" s="14">
        <f>IF($J2632=0,0,ROUND(MAX($J2632*1.4,1620000*(1.497923^(MIN($E2632,123)-117)))*1,0))</f>
        <v>1081498</v>
      </c>
      <c r="M2632" s="11">
        <f>$E2632+2</f>
        <v>118</v>
      </c>
      <c r="N2632" s="12">
        <f>IF($J2632=0,0,ROUND(MAX($J2632*1.4*1.5,2190000*(1.580994^(MIN($E2632,123)-117)))*1,0))</f>
        <v>1385204</v>
      </c>
      <c r="O2632" s="13">
        <f>$E2632+4</f>
        <v>120</v>
      </c>
      <c r="P2632" s="14">
        <f>IF($J2632=0,0,ROUND(MAX($J2632*1.4*1.5*1.6,3500000*(1.57975^(MIN($E2632,123)-117)))*1,0))</f>
        <v>2215540</v>
      </c>
      <c r="Q2632" s="11">
        <f>$E2632+6</f>
        <v>122</v>
      </c>
      <c r="R2632" s="12">
        <f>IF($J2632=0,0,ROUND(MAX($J2632*1.4*1.5*1.6*1.6,13100000*(1.429962^(MIN($E2632,123)-117)))*1,0))</f>
        <v>9161083</v>
      </c>
      <c r="S2632" s="13">
        <f>$E2632+8</f>
        <v>124</v>
      </c>
      <c r="T2632" s="14">
        <f>IF($J2632=0,0,ROUND(MAX($J2632*1.4*1.5*1.6*1.6*2.2,42600000*(1.576904^(MIN($E2632,123)-117)))*1,0))</f>
        <v>27014961</v>
      </c>
      <c r="U2632" s="11">
        <f>$E2632+11</f>
        <v>127</v>
      </c>
      <c r="V2632" s="12">
        <f>IF($J2632=0,0,ROUND(MAX($J2632*1.4*1.5*1.6*1.6*2.2*2.715,354000000*(1.642074^(MIN($E2632,123)-117)))*1,0))</f>
        <v>215581027</v>
      </c>
      <c r="W2632" s="13">
        <f>$E2632+15</f>
        <v>131</v>
      </c>
      <c r="X2632" s="14">
        <f>IF($J2632=0,0,ROUND(MAX($J2632*1.4*1.5*1.6*1.6*2.2*2.715*2.6,3540000000*(1.579646^(MIN($E2632,123)-117)))*1,0))</f>
        <v>2241008428</v>
      </c>
      <c r="Y2632" s="11">
        <f>$E2632+17</f>
        <v>133</v>
      </c>
      <c r="Z2632" s="12">
        <f>IF($J2632=0,0,ROUND(MAX($J2632*1.4*1.5*1.6*1.6*2.2*2.715*2.6*1.4,6020000000*(1.651178^(MIN($E2632,123)-117)))*1,0))</f>
        <v>3645881910</v>
      </c>
      <c r="AA2632" s="13">
        <f>$E2632+19</f>
        <v>135</v>
      </c>
      <c r="AB2632" s="14">
        <f>IF($J2632=0,0,ROUND(MAX($J2632*1.4*1.5*1.6*1.6*2.2*2.715*2.6*1.4*1.4,8430000000*(1.651435^(MIN($E2632,123)-117)))*1,0))</f>
        <v>5104651409</v>
      </c>
      <c r="AC2632" s="11">
        <f>$E2632+21</f>
        <v>137</v>
      </c>
      <c r="AD2632" s="12">
        <f>IF($J2632=0,0,ROUND(MAX($J2632*1.4*1.5*1.6*1.6*2.2*2.715*2.6*1.4*1.4*1.5,12600000000*(1.652953^(MIN($E2632,123)-117)))*1,0))</f>
        <v>7622721275</v>
      </c>
      <c r="AE2632" s="13">
        <f>$E2632+24</f>
        <v>140</v>
      </c>
      <c r="AF2632" s="14">
        <f>IF($J2632=0,0,ROUND(MAX($J2632*1.4*1.5*1.6*1.6*2.2*2.715*2.6*1.4*1.4*1.5*1.5,18900000000*(1.65331^(MIN($E2632,123)-117)))*1,0))</f>
        <v>11431612946</v>
      </c>
      <c r="AG2632" s="11">
        <f>$E2632+27</f>
        <v>143</v>
      </c>
      <c r="AH2632" s="12">
        <f>IF($J2632=0,0,ROUND(MAX($J2632*1.4*1.5*1.6*1.6*2.2*2.715*2.6*1.4*1.4*1.5*1.5*3.2,60500000000*(1.654288^(MIN($E2632,123)-117)))*1,0))</f>
        <v>36571624772</v>
      </c>
    </row>
    <row r="2633" ht="28" customHeight="1" spans="1:34" x14ac:dyDescent="0.25">
      <c r="A2633">
        <v>2643</v>
      </c>
      <c r="B2633" t="s">
        <v>1569</v>
      </c>
      <c r="C2633" s="10" t="s">
        <v>1533</v>
      </c>
      <c r="D2633" t="s">
        <v>47</v>
      </c>
      <c r="E2633">
        <v>116</v>
      </c>
      <c r="F2633" t="s">
        <v>212</v>
      </c>
      <c r="G2633" t="s">
        <v>1570</v>
      </c>
      <c r="H2633">
        <v>26</v>
      </c>
      <c r="I2633" s="11">
        <v>116</v>
      </c>
      <c r="J2633" s="12">
        <v>681000</v>
      </c>
      <c r="K2633" s="13">
        <f>$E2633+1</f>
        <v>117</v>
      </c>
      <c r="L2633" s="14">
        <f>IF($J2633=0,0,ROUND(MAX($J2633*1.4,1620000*(1.497923^(MIN($E2633,123)-117)))*1,0))</f>
        <v>1081498</v>
      </c>
      <c r="M2633" s="11">
        <f>$E2633+2</f>
        <v>118</v>
      </c>
      <c r="N2633" s="12">
        <f>IF($J2633=0,0,ROUND(MAX($J2633*1.4*1.5,2190000*(1.580994^(MIN($E2633,123)-117)))*1,0))</f>
        <v>1430100</v>
      </c>
      <c r="O2633" s="13">
        <f>$E2633+4</f>
        <v>120</v>
      </c>
      <c r="P2633" s="14">
        <f>IF($J2633=0,0,ROUND(MAX($J2633*1.4*1.5*1.6,3500000*(1.57975^(MIN($E2633,123)-117)))*1,0))</f>
        <v>2288160</v>
      </c>
      <c r="Q2633" s="11">
        <f>$E2633+6</f>
        <v>122</v>
      </c>
      <c r="R2633" s="12">
        <f>IF($J2633=0,0,ROUND(MAX($J2633*1.4*1.5*1.6*1.6,13100000*(1.429962^(MIN($E2633,123)-117)))*1,0))</f>
        <v>9161083</v>
      </c>
      <c r="S2633" s="13">
        <f>$E2633+8</f>
        <v>124</v>
      </c>
      <c r="T2633" s="14">
        <f>IF($J2633=0,0,ROUND(MAX($J2633*1.4*1.5*1.6*1.6*2.2,42600000*(1.576904^(MIN($E2633,123)-117)))*1,0))</f>
        <v>27014961</v>
      </c>
      <c r="U2633" s="11">
        <f>$E2633+11</f>
        <v>127</v>
      </c>
      <c r="V2633" s="12">
        <f>IF($J2633=0,0,ROUND(MAX($J2633*1.4*1.5*1.6*1.6*2.2*2.715,354000000*(1.642074^(MIN($E2633,123)-117)))*1,0))</f>
        <v>215581027</v>
      </c>
      <c r="W2633" s="13">
        <f>$E2633+15</f>
        <v>131</v>
      </c>
      <c r="X2633" s="14">
        <f>IF($J2633=0,0,ROUND(MAX($J2633*1.4*1.5*1.6*1.6*2.2*2.715*2.6,3540000000*(1.579646^(MIN($E2633,123)-117)))*1,0))</f>
        <v>2241008428</v>
      </c>
      <c r="Y2633" s="11">
        <f>$E2633+17</f>
        <v>133</v>
      </c>
      <c r="Z2633" s="12">
        <f>IF($J2633=0,0,ROUND(MAX($J2633*1.4*1.5*1.6*1.6*2.2*2.715*2.6*1.4,6020000000*(1.651178^(MIN($E2633,123)-117)))*1,0))</f>
        <v>3645881910</v>
      </c>
      <c r="AA2633" s="13">
        <f>$E2633+19</f>
        <v>135</v>
      </c>
      <c r="AB2633" s="14">
        <f>IF($J2633=0,0,ROUND(MAX($J2633*1.4*1.5*1.6*1.6*2.2*2.715*2.6*1.4*1.4,8430000000*(1.651435^(MIN($E2633,123)-117)))*1,0))</f>
        <v>5104651409</v>
      </c>
      <c r="AC2633" s="11">
        <f>$E2633+21</f>
        <v>137</v>
      </c>
      <c r="AD2633" s="12">
        <f>IF($J2633=0,0,ROUND(MAX($J2633*1.4*1.5*1.6*1.6*2.2*2.715*2.6*1.4*1.4*1.5,12600000000*(1.652953^(MIN($E2633,123)-117)))*1,0))</f>
        <v>7622721275</v>
      </c>
      <c r="AE2633" s="13">
        <f>$E2633+24</f>
        <v>140</v>
      </c>
      <c r="AF2633" s="14">
        <f>IF($J2633=0,0,ROUND(MAX($J2633*1.4*1.5*1.6*1.6*2.2*2.715*2.6*1.4*1.4*1.5*1.5,18900000000*(1.65331^(MIN($E2633,123)-117)))*1,0))</f>
        <v>11431612946</v>
      </c>
      <c r="AG2633" s="11">
        <f>$E2633+27</f>
        <v>143</v>
      </c>
      <c r="AH2633" s="12">
        <f>IF($J2633=0,0,ROUND(MAX($J2633*1.4*1.5*1.6*1.6*2.2*2.715*2.6*1.4*1.4*1.5*1.5*3.2,60500000000*(1.654288^(MIN($E2633,123)-117)))*1,0))</f>
        <v>36571624772</v>
      </c>
    </row>
    <row r="2634" ht="28" customHeight="1" spans="1:34" x14ac:dyDescent="0.25">
      <c r="A2634">
        <v>2644</v>
      </c>
      <c r="B2634" t="s">
        <v>1223</v>
      </c>
      <c r="C2634" s="10" t="s">
        <v>1533</v>
      </c>
      <c r="D2634" t="s">
        <v>33</v>
      </c>
      <c r="E2634">
        <v>116</v>
      </c>
      <c r="F2634" t="s">
        <v>56</v>
      </c>
      <c r="G2634" t="s">
        <v>185</v>
      </c>
      <c r="H2634">
        <v>26</v>
      </c>
      <c r="I2634" s="11">
        <v>116</v>
      </c>
      <c r="J2634" s="12">
        <v>516000</v>
      </c>
      <c r="K2634" s="13">
        <f>$E2634+1</f>
        <v>117</v>
      </c>
      <c r="L2634" s="14">
        <f>IF($J2634=0,0,ROUND(MAX($J2634*1.4,1620000*(1.497923^(MIN($E2634,123)-117)))*1,0))</f>
        <v>1081498</v>
      </c>
      <c r="M2634" s="11">
        <f>$E2634+2</f>
        <v>118</v>
      </c>
      <c r="N2634" s="12">
        <f>IF($J2634=0,0,ROUND(MAX($J2634*1.4*1.5,2190000*(1.580994^(MIN($E2634,123)-117)))*1,0))</f>
        <v>1385204</v>
      </c>
      <c r="O2634" s="13">
        <f>$E2634+4</f>
        <v>120</v>
      </c>
      <c r="P2634" s="14">
        <f>IF($J2634=0,0,ROUND(MAX($J2634*1.4*1.5*1.6,3500000*(1.57975^(MIN($E2634,123)-117)))*1,0))</f>
        <v>2215540</v>
      </c>
      <c r="Q2634" s="11">
        <f>$E2634+6</f>
        <v>122</v>
      </c>
      <c r="R2634" s="12">
        <f>IF($J2634=0,0,ROUND(MAX($J2634*1.4*1.5*1.6*1.6,13100000*(1.429962^(MIN($E2634,123)-117)))*1,0))</f>
        <v>9161083</v>
      </c>
      <c r="S2634" s="13">
        <f>$E2634+8</f>
        <v>124</v>
      </c>
      <c r="T2634" s="14">
        <f>IF($J2634=0,0,ROUND(MAX($J2634*1.4*1.5*1.6*1.6*2.2,42600000*(1.576904^(MIN($E2634,123)-117)))*1,0))</f>
        <v>27014961</v>
      </c>
      <c r="U2634" s="11">
        <f>$E2634+11</f>
        <v>127</v>
      </c>
      <c r="V2634" s="12">
        <f>IF($J2634=0,0,ROUND(MAX($J2634*1.4*1.5*1.6*1.6*2.2*2.715,354000000*(1.642074^(MIN($E2634,123)-117)))*1,0))</f>
        <v>215581027</v>
      </c>
      <c r="W2634" s="13">
        <f>$E2634+15</f>
        <v>131</v>
      </c>
      <c r="X2634" s="14">
        <f>IF($J2634=0,0,ROUND(MAX($J2634*1.4*1.5*1.6*1.6*2.2*2.715*2.6,3540000000*(1.579646^(MIN($E2634,123)-117)))*1,0))</f>
        <v>2241008428</v>
      </c>
      <c r="Y2634" s="11">
        <f>$E2634+17</f>
        <v>133</v>
      </c>
      <c r="Z2634" s="12">
        <f>IF($J2634=0,0,ROUND(MAX($J2634*1.4*1.5*1.6*1.6*2.2*2.715*2.6*1.4,6020000000*(1.651178^(MIN($E2634,123)-117)))*1,0))</f>
        <v>3645881910</v>
      </c>
      <c r="AA2634" s="13">
        <f>$E2634+19</f>
        <v>135</v>
      </c>
      <c r="AB2634" s="14">
        <f>IF($J2634=0,0,ROUND(MAX($J2634*1.4*1.5*1.6*1.6*2.2*2.715*2.6*1.4*1.4,8430000000*(1.651435^(MIN($E2634,123)-117)))*1,0))</f>
        <v>5104651409</v>
      </c>
      <c r="AC2634" s="11">
        <f>$E2634+21</f>
        <v>137</v>
      </c>
      <c r="AD2634" s="12">
        <f>IF($J2634=0,0,ROUND(MAX($J2634*1.4*1.5*1.6*1.6*2.2*2.715*2.6*1.4*1.4*1.5,12600000000*(1.652953^(MIN($E2634,123)-117)))*1,0))</f>
        <v>7622721275</v>
      </c>
      <c r="AE2634" s="13">
        <f>$E2634+24</f>
        <v>140</v>
      </c>
      <c r="AF2634" s="14">
        <f>IF($J2634=0,0,ROUND(MAX($J2634*1.4*1.5*1.6*1.6*2.2*2.715*2.6*1.4*1.4*1.5*1.5,18900000000*(1.65331^(MIN($E2634,123)-117)))*1,0))</f>
        <v>11431612946</v>
      </c>
      <c r="AG2634" s="11">
        <f>$E2634+27</f>
        <v>143</v>
      </c>
      <c r="AH2634" s="12">
        <f>IF($J2634=0,0,ROUND(MAX($J2634*1.4*1.5*1.6*1.6*2.2*2.715*2.6*1.4*1.4*1.5*1.5*3.2,60500000000*(1.654288^(MIN($E2634,123)-117)))*1,0))</f>
        <v>36571624772</v>
      </c>
    </row>
    <row r="2635" ht="28" customHeight="1" spans="1:34" x14ac:dyDescent="0.25">
      <c r="A2635">
        <v>2645</v>
      </c>
      <c r="B2635" t="s">
        <v>364</v>
      </c>
      <c r="C2635" s="10" t="s">
        <v>1533</v>
      </c>
      <c r="D2635" t="s">
        <v>47</v>
      </c>
      <c r="E2635">
        <v>116</v>
      </c>
      <c r="F2635" t="s">
        <v>54</v>
      </c>
      <c r="G2635" t="s">
        <v>51</v>
      </c>
      <c r="H2635">
        <v>24</v>
      </c>
      <c r="I2635" s="11">
        <v>116</v>
      </c>
      <c r="J2635" s="12">
        <v>602000</v>
      </c>
      <c r="K2635" s="13">
        <f>$E2635+1</f>
        <v>117</v>
      </c>
      <c r="L2635" s="14">
        <f>IF($J2635=0,0,ROUND(MAX($J2635*1.4,1620000*(1.497923^(MIN($E2635,123)-117)))*1,0))</f>
        <v>1081498</v>
      </c>
      <c r="M2635" s="11">
        <f>$E2635+2</f>
        <v>118</v>
      </c>
      <c r="N2635" s="12">
        <f>IF($J2635=0,0,ROUND(MAX($J2635*1.4*1.5,2190000*(1.580994^(MIN($E2635,123)-117)))*1,0))</f>
        <v>1385204</v>
      </c>
      <c r="O2635" s="13">
        <f>$E2635+4</f>
        <v>120</v>
      </c>
      <c r="P2635" s="14">
        <f>IF($J2635=0,0,ROUND(MAX($J2635*1.4*1.5*1.6,3500000*(1.57975^(MIN($E2635,123)-117)))*1,0))</f>
        <v>2215540</v>
      </c>
      <c r="Q2635" s="11">
        <f>$E2635+6</f>
        <v>122</v>
      </c>
      <c r="R2635" s="12">
        <f>IF($J2635=0,0,ROUND(MAX($J2635*1.4*1.5*1.6*1.6,13100000*(1.429962^(MIN($E2635,123)-117)))*1,0))</f>
        <v>9161083</v>
      </c>
      <c r="S2635" s="13">
        <f>$E2635+8</f>
        <v>124</v>
      </c>
      <c r="T2635" s="14">
        <f>IF($J2635=0,0,ROUND(MAX($J2635*1.4*1.5*1.6*1.6*2.2,42600000*(1.576904^(MIN($E2635,123)-117)))*1,0))</f>
        <v>27014961</v>
      </c>
      <c r="U2635" s="11">
        <f>$E2635+11</f>
        <v>127</v>
      </c>
      <c r="V2635" s="12">
        <f>IF($J2635=0,0,ROUND(MAX($J2635*1.4*1.5*1.6*1.6*2.2*2.715,354000000*(1.642074^(MIN($E2635,123)-117)))*1,0))</f>
        <v>215581027</v>
      </c>
      <c r="W2635" s="13">
        <f>$E2635+15</f>
        <v>131</v>
      </c>
      <c r="X2635" s="14">
        <f>IF($J2635=0,0,ROUND(MAX($J2635*1.4*1.5*1.6*1.6*2.2*2.715*2.6,3540000000*(1.579646^(MIN($E2635,123)-117)))*1,0))</f>
        <v>2241008428</v>
      </c>
      <c r="Y2635" s="11">
        <f>$E2635+17</f>
        <v>133</v>
      </c>
      <c r="Z2635" s="12">
        <f>IF($J2635=0,0,ROUND(MAX($J2635*1.4*1.5*1.6*1.6*2.2*2.715*2.6*1.4,6020000000*(1.651178^(MIN($E2635,123)-117)))*1,0))</f>
        <v>3645881910</v>
      </c>
      <c r="AA2635" s="13">
        <f>$E2635+19</f>
        <v>135</v>
      </c>
      <c r="AB2635" s="14">
        <f>IF($J2635=0,0,ROUND(MAX($J2635*1.4*1.5*1.6*1.6*2.2*2.715*2.6*1.4*1.4,8430000000*(1.651435^(MIN($E2635,123)-117)))*1,0))</f>
        <v>5104651409</v>
      </c>
      <c r="AC2635" s="11">
        <f>$E2635+21</f>
        <v>137</v>
      </c>
      <c r="AD2635" s="12">
        <f>IF($J2635=0,0,ROUND(MAX($J2635*1.4*1.5*1.6*1.6*2.2*2.715*2.6*1.4*1.4*1.5,12600000000*(1.652953^(MIN($E2635,123)-117)))*1,0))</f>
        <v>7622721275</v>
      </c>
      <c r="AE2635" s="13">
        <f>$E2635+24</f>
        <v>140</v>
      </c>
      <c r="AF2635" s="14">
        <f>IF($J2635=0,0,ROUND(MAX($J2635*1.4*1.5*1.6*1.6*2.2*2.715*2.6*1.4*1.4*1.5*1.5,18900000000*(1.65331^(MIN($E2635,123)-117)))*1,0))</f>
        <v>11431612946</v>
      </c>
      <c r="AG2635" s="11">
        <f>$E2635+27</f>
        <v>143</v>
      </c>
      <c r="AH2635" s="12">
        <f>IF($J2635=0,0,ROUND(MAX($J2635*1.4*1.5*1.6*1.6*2.2*2.715*2.6*1.4*1.4*1.5*1.5*3.2,60500000000*(1.654288^(MIN($E2635,123)-117)))*1,0))</f>
        <v>36571624772</v>
      </c>
    </row>
    <row r="2636" ht="28" customHeight="1" spans="1:34" x14ac:dyDescent="0.25">
      <c r="A2636">
        <v>2646</v>
      </c>
      <c r="B2636" t="s">
        <v>1571</v>
      </c>
      <c r="C2636" s="10" t="s">
        <v>1533</v>
      </c>
      <c r="D2636" t="s">
        <v>64</v>
      </c>
      <c r="E2636">
        <v>115</v>
      </c>
      <c r="F2636" t="s">
        <v>1572</v>
      </c>
      <c r="G2636" t="s">
        <v>381</v>
      </c>
      <c r="H2636">
        <v>28</v>
      </c>
      <c r="I2636" s="11">
        <v>115</v>
      </c>
      <c r="J2636" s="12">
        <v>644000</v>
      </c>
      <c r="K2636" s="13">
        <f>$E2636+1</f>
        <v>116</v>
      </c>
      <c r="L2636" s="14">
        <f>IF($J2636=0,0,ROUND(MAX($J2636*1.4,1620000*(1.497923^(MIN($E2636,123)-117)))*1,0))</f>
        <v>901600</v>
      </c>
      <c r="M2636" s="11">
        <f>$E2636+2</f>
        <v>117</v>
      </c>
      <c r="N2636" s="12">
        <f>IF($J2636=0,0,ROUND(MAX($J2636*1.4*1.5,2190000*(1.580994^(MIN($E2636,123)-117)))*1,0))</f>
        <v>1352400</v>
      </c>
      <c r="O2636" s="13">
        <f>$E2636+4</f>
        <v>119</v>
      </c>
      <c r="P2636" s="14">
        <f>IF($J2636=0,0,ROUND(MAX($J2636*1.4*1.5*1.6,3500000*(1.57975^(MIN($E2636,123)-117)))*1,0))</f>
        <v>2163840</v>
      </c>
      <c r="Q2636" s="11">
        <f>$E2636+6</f>
        <v>121</v>
      </c>
      <c r="R2636" s="12">
        <f>IF($J2636=0,0,ROUND(MAX($J2636*1.4*1.5*1.6*1.6,13100000*(1.429962^(MIN($E2636,123)-117)))*1,0))</f>
        <v>6406522</v>
      </c>
      <c r="S2636" s="13">
        <f>$E2636+8</f>
        <v>123</v>
      </c>
      <c r="T2636" s="14">
        <f>IF($J2636=0,0,ROUND(MAX($J2636*1.4*1.5*1.6*1.6*2.2,42600000*(1.576904^(MIN($E2636,123)-117)))*1,0))</f>
        <v>17131646</v>
      </c>
      <c r="U2636" s="11">
        <f>$E2636+11</f>
        <v>126</v>
      </c>
      <c r="V2636" s="12">
        <f>IF($J2636=0,0,ROUND(MAX($J2636*1.4*1.5*1.6*1.6*2.2*2.715,354000000*(1.642074^(MIN($E2636,123)-117)))*1,0))</f>
        <v>131285817</v>
      </c>
      <c r="W2636" s="13">
        <f>$E2636+15</f>
        <v>130</v>
      </c>
      <c r="X2636" s="14">
        <f>IF($J2636=0,0,ROUND(MAX($J2636*1.4*1.5*1.6*1.6*2.2*2.715*2.6,3540000000*(1.579646^(MIN($E2636,123)-117)))*1,0))</f>
        <v>1418677620</v>
      </c>
      <c r="Y2636" s="11">
        <f>$E2636+17</f>
        <v>132</v>
      </c>
      <c r="Z2636" s="12">
        <f>IF($J2636=0,0,ROUND(MAX($J2636*1.4*1.5*1.6*1.6*2.2*2.715*2.6*1.4,6020000000*(1.651178^(MIN($E2636,123)-117)))*1,0))</f>
        <v>2208048987</v>
      </c>
      <c r="AA2636" s="13">
        <f>$E2636+19</f>
        <v>134</v>
      </c>
      <c r="AB2636" s="14">
        <f>IF($J2636=0,0,ROUND(MAX($J2636*1.4*1.5*1.6*1.6*2.2*2.715*2.6*1.4*1.4,8430000000*(1.651435^(MIN($E2636,123)-117)))*1,0))</f>
        <v>3091039859</v>
      </c>
      <c r="AC2636" s="11">
        <f>$E2636+21</f>
        <v>136</v>
      </c>
      <c r="AD2636" s="12">
        <f>IF($J2636=0,0,ROUND(MAX($J2636*1.4*1.5*1.6*1.6*2.2*2.715*2.6*1.4*1.4*1.5,12600000000*(1.652953^(MIN($E2636,123)-117)))*1,0))</f>
        <v>4611577749</v>
      </c>
      <c r="AE2636" s="13">
        <f>$E2636+24</f>
        <v>139</v>
      </c>
      <c r="AF2636" s="14">
        <f>IF($J2636=0,0,ROUND(MAX($J2636*1.4*1.5*1.6*1.6*2.2*2.715*2.6*1.4*1.4*1.5*1.5,18900000000*(1.65331^(MIN($E2636,123)-117)))*1,0))</f>
        <v>6914379606</v>
      </c>
      <c r="AG2636" s="11">
        <f>$E2636+27</f>
        <v>142</v>
      </c>
      <c r="AH2636" s="12">
        <f>IF($J2636=0,0,ROUND(MAX($J2636*1.4*1.5*1.6*1.6*2.2*2.715*2.6*1.4*1.4*1.5*1.5*3.2,60500000000*(1.654288^(MIN($E2636,123)-117)))*1,0))</f>
        <v>22107169230</v>
      </c>
    </row>
    <row r="2637" ht="28" customHeight="1" spans="1:34" x14ac:dyDescent="0.25">
      <c r="A2637">
        <v>2647</v>
      </c>
      <c r="B2637" t="s">
        <v>587</v>
      </c>
      <c r="C2637" s="10" t="s">
        <v>1533</v>
      </c>
      <c r="D2637" t="s">
        <v>79</v>
      </c>
      <c r="E2637">
        <v>115</v>
      </c>
      <c r="F2637" t="s">
        <v>30</v>
      </c>
      <c r="G2637" t="s">
        <v>38</v>
      </c>
      <c r="H2637">
        <v>28</v>
      </c>
      <c r="I2637" s="11">
        <v>115</v>
      </c>
      <c r="J2637" s="12">
        <v>525000</v>
      </c>
      <c r="K2637" s="13">
        <f>$E2637+1</f>
        <v>116</v>
      </c>
      <c r="L2637" s="14">
        <f>IF($J2637=0,0,ROUND(MAX($J2637*1.4,1620000*(1.497923^(MIN($E2637,123)-117)))*1,0))</f>
        <v>735000</v>
      </c>
      <c r="M2637" s="11">
        <f>$E2637+2</f>
        <v>117</v>
      </c>
      <c r="N2637" s="12">
        <f>IF($J2637=0,0,ROUND(MAX($J2637*1.4*1.5,2190000*(1.580994^(MIN($E2637,123)-117)))*1,0))</f>
        <v>1102500</v>
      </c>
      <c r="O2637" s="13">
        <f>$E2637+4</f>
        <v>119</v>
      </c>
      <c r="P2637" s="14">
        <f>IF($J2637=0,0,ROUND(MAX($J2637*1.4*1.5*1.6,3500000*(1.57975^(MIN($E2637,123)-117)))*1,0))</f>
        <v>1764000</v>
      </c>
      <c r="Q2637" s="11">
        <f>$E2637+6</f>
        <v>121</v>
      </c>
      <c r="R2637" s="12">
        <f>IF($J2637=0,0,ROUND(MAX($J2637*1.4*1.5*1.6*1.6,13100000*(1.429962^(MIN($E2637,123)-117)))*1,0))</f>
        <v>6406522</v>
      </c>
      <c r="S2637" s="13">
        <f>$E2637+8</f>
        <v>123</v>
      </c>
      <c r="T2637" s="14">
        <f>IF($J2637=0,0,ROUND(MAX($J2637*1.4*1.5*1.6*1.6*2.2,42600000*(1.576904^(MIN($E2637,123)-117)))*1,0))</f>
        <v>17131646</v>
      </c>
      <c r="U2637" s="11">
        <f>$E2637+11</f>
        <v>126</v>
      </c>
      <c r="V2637" s="12">
        <f>IF($J2637=0,0,ROUND(MAX($J2637*1.4*1.5*1.6*1.6*2.2*2.715,354000000*(1.642074^(MIN($E2637,123)-117)))*1,0))</f>
        <v>131285817</v>
      </c>
      <c r="W2637" s="13">
        <f>$E2637+15</f>
        <v>130</v>
      </c>
      <c r="X2637" s="14">
        <f>IF($J2637=0,0,ROUND(MAX($J2637*1.4*1.5*1.6*1.6*2.2*2.715*2.6,3540000000*(1.579646^(MIN($E2637,123)-117)))*1,0))</f>
        <v>1418677620</v>
      </c>
      <c r="Y2637" s="11">
        <f>$E2637+17</f>
        <v>132</v>
      </c>
      <c r="Z2637" s="12">
        <f>IF($J2637=0,0,ROUND(MAX($J2637*1.4*1.5*1.6*1.6*2.2*2.715*2.6*1.4,6020000000*(1.651178^(MIN($E2637,123)-117)))*1,0))</f>
        <v>2208048987</v>
      </c>
      <c r="AA2637" s="13">
        <f>$E2637+19</f>
        <v>134</v>
      </c>
      <c r="AB2637" s="14">
        <f>IF($J2637=0,0,ROUND(MAX($J2637*1.4*1.5*1.6*1.6*2.2*2.715*2.6*1.4*1.4,8430000000*(1.651435^(MIN($E2637,123)-117)))*1,0))</f>
        <v>3091039859</v>
      </c>
      <c r="AC2637" s="11">
        <f>$E2637+21</f>
        <v>136</v>
      </c>
      <c r="AD2637" s="12">
        <f>IF($J2637=0,0,ROUND(MAX($J2637*1.4*1.5*1.6*1.6*2.2*2.715*2.6*1.4*1.4*1.5,12600000000*(1.652953^(MIN($E2637,123)-117)))*1,0))</f>
        <v>4611577749</v>
      </c>
      <c r="AE2637" s="13">
        <f>$E2637+24</f>
        <v>139</v>
      </c>
      <c r="AF2637" s="14">
        <f>IF($J2637=0,0,ROUND(MAX($J2637*1.4*1.5*1.6*1.6*2.2*2.715*2.6*1.4*1.4*1.5*1.5,18900000000*(1.65331^(MIN($E2637,123)-117)))*1,0))</f>
        <v>6914379606</v>
      </c>
      <c r="AG2637" s="11">
        <f>$E2637+27</f>
        <v>142</v>
      </c>
      <c r="AH2637" s="12">
        <f>IF($J2637=0,0,ROUND(MAX($J2637*1.4*1.5*1.6*1.6*2.2*2.715*2.6*1.4*1.4*1.5*1.5*3.2,60500000000*(1.654288^(MIN($E2637,123)-117)))*1,0))</f>
        <v>22107169230</v>
      </c>
    </row>
    <row r="2638" ht="28" customHeight="1" spans="1:34" x14ac:dyDescent="0.25">
      <c r="A2638">
        <v>2648</v>
      </c>
      <c r="B2638" t="s">
        <v>324</v>
      </c>
      <c r="C2638" s="10" t="s">
        <v>1533</v>
      </c>
      <c r="D2638" t="s">
        <v>45</v>
      </c>
      <c r="E2638">
        <v>115</v>
      </c>
      <c r="F2638" t="s">
        <v>136</v>
      </c>
      <c r="G2638" t="s">
        <v>27</v>
      </c>
      <c r="H2638">
        <v>28</v>
      </c>
      <c r="I2638" s="11">
        <v>115</v>
      </c>
      <c r="J2638" s="12">
        <v>496000</v>
      </c>
      <c r="K2638" s="13">
        <f>$E2638+1</f>
        <v>116</v>
      </c>
      <c r="L2638" s="14">
        <f>IF($J2638=0,0,ROUND(MAX($J2638*1.4,1620000*(1.497923^(MIN($E2638,123)-117)))*1,0))</f>
        <v>721998</v>
      </c>
      <c r="M2638" s="11">
        <f>$E2638+2</f>
        <v>117</v>
      </c>
      <c r="N2638" s="12">
        <f>IF($J2638=0,0,ROUND(MAX($J2638*1.4*1.5,2190000*(1.580994^(MIN($E2638,123)-117)))*1,0))</f>
        <v>1041600</v>
      </c>
      <c r="O2638" s="13">
        <f>$E2638+4</f>
        <v>119</v>
      </c>
      <c r="P2638" s="14">
        <f>IF($J2638=0,0,ROUND(MAX($J2638*1.4*1.5*1.6,3500000*(1.57975^(MIN($E2638,123)-117)))*1,0))</f>
        <v>1666560</v>
      </c>
      <c r="Q2638" s="11">
        <f>$E2638+6</f>
        <v>121</v>
      </c>
      <c r="R2638" s="12">
        <f>IF($J2638=0,0,ROUND(MAX($J2638*1.4*1.5*1.6*1.6,13100000*(1.429962^(MIN($E2638,123)-117)))*1,0))</f>
        <v>6406522</v>
      </c>
      <c r="S2638" s="13">
        <f>$E2638+8</f>
        <v>123</v>
      </c>
      <c r="T2638" s="14">
        <f>IF($J2638=0,0,ROUND(MAX($J2638*1.4*1.5*1.6*1.6*2.2,42600000*(1.576904^(MIN($E2638,123)-117)))*1,0))</f>
        <v>17131646</v>
      </c>
      <c r="U2638" s="11">
        <f>$E2638+11</f>
        <v>126</v>
      </c>
      <c r="V2638" s="12">
        <f>IF($J2638=0,0,ROUND(MAX($J2638*1.4*1.5*1.6*1.6*2.2*2.715,354000000*(1.642074^(MIN($E2638,123)-117)))*1,0))</f>
        <v>131285817</v>
      </c>
      <c r="W2638" s="13">
        <f>$E2638+15</f>
        <v>130</v>
      </c>
      <c r="X2638" s="14">
        <f>IF($J2638=0,0,ROUND(MAX($J2638*1.4*1.5*1.6*1.6*2.2*2.715*2.6,3540000000*(1.579646^(MIN($E2638,123)-117)))*1,0))</f>
        <v>1418677620</v>
      </c>
      <c r="Y2638" s="11">
        <f>$E2638+17</f>
        <v>132</v>
      </c>
      <c r="Z2638" s="12">
        <f>IF($J2638=0,0,ROUND(MAX($J2638*1.4*1.5*1.6*1.6*2.2*2.715*2.6*1.4,6020000000*(1.651178^(MIN($E2638,123)-117)))*1,0))</f>
        <v>2208048987</v>
      </c>
      <c r="AA2638" s="13">
        <f>$E2638+19</f>
        <v>134</v>
      </c>
      <c r="AB2638" s="14">
        <f>IF($J2638=0,0,ROUND(MAX($J2638*1.4*1.5*1.6*1.6*2.2*2.715*2.6*1.4*1.4,8430000000*(1.651435^(MIN($E2638,123)-117)))*1,0))</f>
        <v>3091039859</v>
      </c>
      <c r="AC2638" s="11">
        <f>$E2638+21</f>
        <v>136</v>
      </c>
      <c r="AD2638" s="12">
        <f>IF($J2638=0,0,ROUND(MAX($J2638*1.4*1.5*1.6*1.6*2.2*2.715*2.6*1.4*1.4*1.5,12600000000*(1.652953^(MIN($E2638,123)-117)))*1,0))</f>
        <v>4611577749</v>
      </c>
      <c r="AE2638" s="13">
        <f>$E2638+24</f>
        <v>139</v>
      </c>
      <c r="AF2638" s="14">
        <f>IF($J2638=0,0,ROUND(MAX($J2638*1.4*1.5*1.6*1.6*2.2*2.715*2.6*1.4*1.4*1.5*1.5,18900000000*(1.65331^(MIN($E2638,123)-117)))*1,0))</f>
        <v>6914379606</v>
      </c>
      <c r="AG2638" s="11">
        <f>$E2638+27</f>
        <v>142</v>
      </c>
      <c r="AH2638" s="12">
        <f>IF($J2638=0,0,ROUND(MAX($J2638*1.4*1.5*1.6*1.6*2.2*2.715*2.6*1.4*1.4*1.5*1.5*3.2,60500000000*(1.654288^(MIN($E2638,123)-117)))*1,0))</f>
        <v>22107169230</v>
      </c>
    </row>
    <row r="2639" ht="28" customHeight="1" spans="1:34" x14ac:dyDescent="0.25">
      <c r="A2639">
        <v>2649</v>
      </c>
      <c r="B2639" t="s">
        <v>679</v>
      </c>
      <c r="C2639" s="10" t="s">
        <v>1533</v>
      </c>
      <c r="D2639" t="s">
        <v>33</v>
      </c>
      <c r="E2639">
        <v>115</v>
      </c>
      <c r="F2639" t="s">
        <v>123</v>
      </c>
      <c r="G2639" t="s">
        <v>35</v>
      </c>
      <c r="H2639">
        <v>28</v>
      </c>
      <c r="I2639" s="11">
        <v>115</v>
      </c>
      <c r="J2639" s="12">
        <v>555000</v>
      </c>
      <c r="K2639" s="13">
        <f>$E2639+1</f>
        <v>116</v>
      </c>
      <c r="L2639" s="14">
        <f>IF($J2639=0,0,ROUND(MAX($J2639*1.4,1620000*(1.497923^(MIN($E2639,123)-117)))*1,0))</f>
        <v>777000</v>
      </c>
      <c r="M2639" s="11">
        <f>$E2639+2</f>
        <v>117</v>
      </c>
      <c r="N2639" s="12">
        <f>IF($J2639=0,0,ROUND(MAX($J2639*1.4*1.5,2190000*(1.580994^(MIN($E2639,123)-117)))*1,0))</f>
        <v>1165500</v>
      </c>
      <c r="O2639" s="13">
        <f>$E2639+4</f>
        <v>119</v>
      </c>
      <c r="P2639" s="14">
        <f>IF($J2639=0,0,ROUND(MAX($J2639*1.4*1.5*1.6,3500000*(1.57975^(MIN($E2639,123)-117)))*1,0))</f>
        <v>1864800</v>
      </c>
      <c r="Q2639" s="11">
        <f>$E2639+6</f>
        <v>121</v>
      </c>
      <c r="R2639" s="12">
        <f>IF($J2639=0,0,ROUND(MAX($J2639*1.4*1.5*1.6*1.6,13100000*(1.429962^(MIN($E2639,123)-117)))*1,0))</f>
        <v>6406522</v>
      </c>
      <c r="S2639" s="13">
        <f>$E2639+8</f>
        <v>123</v>
      </c>
      <c r="T2639" s="14">
        <f>IF($J2639=0,0,ROUND(MAX($J2639*1.4*1.5*1.6*1.6*2.2,42600000*(1.576904^(MIN($E2639,123)-117)))*1,0))</f>
        <v>17131646</v>
      </c>
      <c r="U2639" s="11">
        <f>$E2639+11</f>
        <v>126</v>
      </c>
      <c r="V2639" s="12">
        <f>IF($J2639=0,0,ROUND(MAX($J2639*1.4*1.5*1.6*1.6*2.2*2.715,354000000*(1.642074^(MIN($E2639,123)-117)))*1,0))</f>
        <v>131285817</v>
      </c>
      <c r="W2639" s="13">
        <f>$E2639+15</f>
        <v>130</v>
      </c>
      <c r="X2639" s="14">
        <f>IF($J2639=0,0,ROUND(MAX($J2639*1.4*1.5*1.6*1.6*2.2*2.715*2.6,3540000000*(1.579646^(MIN($E2639,123)-117)))*1,0))</f>
        <v>1418677620</v>
      </c>
      <c r="Y2639" s="11">
        <f>$E2639+17</f>
        <v>132</v>
      </c>
      <c r="Z2639" s="12">
        <f>IF($J2639=0,0,ROUND(MAX($J2639*1.4*1.5*1.6*1.6*2.2*2.715*2.6*1.4,6020000000*(1.651178^(MIN($E2639,123)-117)))*1,0))</f>
        <v>2208048987</v>
      </c>
      <c r="AA2639" s="13">
        <f>$E2639+19</f>
        <v>134</v>
      </c>
      <c r="AB2639" s="14">
        <f>IF($J2639=0,0,ROUND(MAX($J2639*1.4*1.5*1.6*1.6*2.2*2.715*2.6*1.4*1.4,8430000000*(1.651435^(MIN($E2639,123)-117)))*1,0))</f>
        <v>3091039859</v>
      </c>
      <c r="AC2639" s="11">
        <f>$E2639+21</f>
        <v>136</v>
      </c>
      <c r="AD2639" s="12">
        <f>IF($J2639=0,0,ROUND(MAX($J2639*1.4*1.5*1.6*1.6*2.2*2.715*2.6*1.4*1.4*1.5,12600000000*(1.652953^(MIN($E2639,123)-117)))*1,0))</f>
        <v>4611577749</v>
      </c>
      <c r="AE2639" s="13">
        <f>$E2639+24</f>
        <v>139</v>
      </c>
      <c r="AF2639" s="14">
        <f>IF($J2639=0,0,ROUND(MAX($J2639*1.4*1.5*1.6*1.6*2.2*2.715*2.6*1.4*1.4*1.5*1.5,18900000000*(1.65331^(MIN($E2639,123)-117)))*1,0))</f>
        <v>6914379606</v>
      </c>
      <c r="AG2639" s="11">
        <f>$E2639+27</f>
        <v>142</v>
      </c>
      <c r="AH2639" s="12">
        <f>IF($J2639=0,0,ROUND(MAX($J2639*1.4*1.5*1.6*1.6*2.2*2.715*2.6*1.4*1.4*1.5*1.5*3.2,60500000000*(1.654288^(MIN($E2639,123)-117)))*1,0))</f>
        <v>22107169230</v>
      </c>
    </row>
    <row r="2640" ht="28" customHeight="1" spans="1:34" x14ac:dyDescent="0.25">
      <c r="A2640">
        <v>2650</v>
      </c>
      <c r="B2640" t="s">
        <v>1573</v>
      </c>
      <c r="C2640" s="10" t="s">
        <v>1533</v>
      </c>
      <c r="D2640" t="s">
        <v>93</v>
      </c>
      <c r="E2640">
        <v>115</v>
      </c>
      <c r="F2640" t="s">
        <v>225</v>
      </c>
      <c r="G2640" t="s">
        <v>1574</v>
      </c>
      <c r="H2640">
        <v>28</v>
      </c>
      <c r="I2640" s="11">
        <v>115</v>
      </c>
      <c r="J2640" s="12">
        <v>564000</v>
      </c>
      <c r="K2640" s="13">
        <f>$E2640+1</f>
        <v>116</v>
      </c>
      <c r="L2640" s="14">
        <f>IF($J2640=0,0,ROUND(MAX($J2640*1.4,1620000*(1.497923^(MIN($E2640,123)-117)))*1,0))</f>
        <v>789600</v>
      </c>
      <c r="M2640" s="11">
        <f>$E2640+2</f>
        <v>117</v>
      </c>
      <c r="N2640" s="12">
        <f>IF($J2640=0,0,ROUND(MAX($J2640*1.4*1.5,2190000*(1.580994^(MIN($E2640,123)-117)))*1,0))</f>
        <v>1184400</v>
      </c>
      <c r="O2640" s="13">
        <f>$E2640+4</f>
        <v>119</v>
      </c>
      <c r="P2640" s="14">
        <f>IF($J2640=0,0,ROUND(MAX($J2640*1.4*1.5*1.6,3500000*(1.57975^(MIN($E2640,123)-117)))*1,0))</f>
        <v>1895040</v>
      </c>
      <c r="Q2640" s="11">
        <f>$E2640+6</f>
        <v>121</v>
      </c>
      <c r="R2640" s="12">
        <f>IF($J2640=0,0,ROUND(MAX($J2640*1.4*1.5*1.6*1.6,13100000*(1.429962^(MIN($E2640,123)-117)))*1,0))</f>
        <v>6406522</v>
      </c>
      <c r="S2640" s="13">
        <f>$E2640+8</f>
        <v>123</v>
      </c>
      <c r="T2640" s="14">
        <f>IF($J2640=0,0,ROUND(MAX($J2640*1.4*1.5*1.6*1.6*2.2,42600000*(1.576904^(MIN($E2640,123)-117)))*1,0))</f>
        <v>17131646</v>
      </c>
      <c r="U2640" s="11">
        <f>$E2640+11</f>
        <v>126</v>
      </c>
      <c r="V2640" s="12">
        <f>IF($J2640=0,0,ROUND(MAX($J2640*1.4*1.5*1.6*1.6*2.2*2.715,354000000*(1.642074^(MIN($E2640,123)-117)))*1,0))</f>
        <v>131285817</v>
      </c>
      <c r="W2640" s="13">
        <f>$E2640+15</f>
        <v>130</v>
      </c>
      <c r="X2640" s="14">
        <f>IF($J2640=0,0,ROUND(MAX($J2640*1.4*1.5*1.6*1.6*2.2*2.715*2.6,3540000000*(1.579646^(MIN($E2640,123)-117)))*1,0))</f>
        <v>1418677620</v>
      </c>
      <c r="Y2640" s="11">
        <f>$E2640+17</f>
        <v>132</v>
      </c>
      <c r="Z2640" s="12">
        <f>IF($J2640=0,0,ROUND(MAX($J2640*1.4*1.5*1.6*1.6*2.2*2.715*2.6*1.4,6020000000*(1.651178^(MIN($E2640,123)-117)))*1,0))</f>
        <v>2208048987</v>
      </c>
      <c r="AA2640" s="13">
        <f>$E2640+19</f>
        <v>134</v>
      </c>
      <c r="AB2640" s="14">
        <f>IF($J2640=0,0,ROUND(MAX($J2640*1.4*1.5*1.6*1.6*2.2*2.715*2.6*1.4*1.4,8430000000*(1.651435^(MIN($E2640,123)-117)))*1,0))</f>
        <v>3091039859</v>
      </c>
      <c r="AC2640" s="11">
        <f>$E2640+21</f>
        <v>136</v>
      </c>
      <c r="AD2640" s="12">
        <f>IF($J2640=0,0,ROUND(MAX($J2640*1.4*1.5*1.6*1.6*2.2*2.715*2.6*1.4*1.4*1.5,12600000000*(1.652953^(MIN($E2640,123)-117)))*1,0))</f>
        <v>4611577749</v>
      </c>
      <c r="AE2640" s="13">
        <f>$E2640+24</f>
        <v>139</v>
      </c>
      <c r="AF2640" s="14">
        <f>IF($J2640=0,0,ROUND(MAX($J2640*1.4*1.5*1.6*1.6*2.2*2.715*2.6*1.4*1.4*1.5*1.5,18900000000*(1.65331^(MIN($E2640,123)-117)))*1,0))</f>
        <v>6914379606</v>
      </c>
      <c r="AG2640" s="11">
        <f>$E2640+27</f>
        <v>142</v>
      </c>
      <c r="AH2640" s="12">
        <f>IF($J2640=0,0,ROUND(MAX($J2640*1.4*1.5*1.6*1.6*2.2*2.715*2.6*1.4*1.4*1.5*1.5*3.2,60500000000*(1.654288^(MIN($E2640,123)-117)))*1,0))</f>
        <v>22107169230</v>
      </c>
    </row>
    <row r="2641" ht="28" customHeight="1" spans="1:34" x14ac:dyDescent="0.25">
      <c r="A2641">
        <v>2651</v>
      </c>
      <c r="B2641" t="s">
        <v>1161</v>
      </c>
      <c r="C2641" s="10" t="s">
        <v>1533</v>
      </c>
      <c r="D2641" t="s">
        <v>64</v>
      </c>
      <c r="E2641">
        <v>115</v>
      </c>
      <c r="F2641" t="s">
        <v>59</v>
      </c>
      <c r="G2641" t="s">
        <v>185</v>
      </c>
      <c r="H2641">
        <v>28</v>
      </c>
      <c r="I2641" s="11">
        <v>115</v>
      </c>
      <c r="J2641" s="12">
        <v>585000</v>
      </c>
      <c r="K2641" s="13">
        <f>$E2641+1</f>
        <v>116</v>
      </c>
      <c r="L2641" s="14">
        <f>IF($J2641=0,0,ROUND(MAX($J2641*1.4,1620000*(1.497923^(MIN($E2641,123)-117)))*1,0))</f>
        <v>819000</v>
      </c>
      <c r="M2641" s="11">
        <f>$E2641+2</f>
        <v>117</v>
      </c>
      <c r="N2641" s="12">
        <f>IF($J2641=0,0,ROUND(MAX($J2641*1.4*1.5,2190000*(1.580994^(MIN($E2641,123)-117)))*1,0))</f>
        <v>1228500</v>
      </c>
      <c r="O2641" s="13">
        <f>$E2641+4</f>
        <v>119</v>
      </c>
      <c r="P2641" s="14">
        <f>IF($J2641=0,0,ROUND(MAX($J2641*1.4*1.5*1.6,3500000*(1.57975^(MIN($E2641,123)-117)))*1,0))</f>
        <v>1965600</v>
      </c>
      <c r="Q2641" s="11">
        <f>$E2641+6</f>
        <v>121</v>
      </c>
      <c r="R2641" s="12">
        <f>IF($J2641=0,0,ROUND(MAX($J2641*1.4*1.5*1.6*1.6,13100000*(1.429962^(MIN($E2641,123)-117)))*1,0))</f>
        <v>6406522</v>
      </c>
      <c r="S2641" s="13">
        <f>$E2641+8</f>
        <v>123</v>
      </c>
      <c r="T2641" s="14">
        <f>IF($J2641=0,0,ROUND(MAX($J2641*1.4*1.5*1.6*1.6*2.2,42600000*(1.576904^(MIN($E2641,123)-117)))*1,0))</f>
        <v>17131646</v>
      </c>
      <c r="U2641" s="11">
        <f>$E2641+11</f>
        <v>126</v>
      </c>
      <c r="V2641" s="12">
        <f>IF($J2641=0,0,ROUND(MAX($J2641*1.4*1.5*1.6*1.6*2.2*2.715,354000000*(1.642074^(MIN($E2641,123)-117)))*1,0))</f>
        <v>131285817</v>
      </c>
      <c r="W2641" s="13">
        <f>$E2641+15</f>
        <v>130</v>
      </c>
      <c r="X2641" s="14">
        <f>IF($J2641=0,0,ROUND(MAX($J2641*1.4*1.5*1.6*1.6*2.2*2.715*2.6,3540000000*(1.579646^(MIN($E2641,123)-117)))*1,0))</f>
        <v>1418677620</v>
      </c>
      <c r="Y2641" s="11">
        <f>$E2641+17</f>
        <v>132</v>
      </c>
      <c r="Z2641" s="12">
        <f>IF($J2641=0,0,ROUND(MAX($J2641*1.4*1.5*1.6*1.6*2.2*2.715*2.6*1.4,6020000000*(1.651178^(MIN($E2641,123)-117)))*1,0))</f>
        <v>2208048987</v>
      </c>
      <c r="AA2641" s="13">
        <f>$E2641+19</f>
        <v>134</v>
      </c>
      <c r="AB2641" s="14">
        <f>IF($J2641=0,0,ROUND(MAX($J2641*1.4*1.5*1.6*1.6*2.2*2.715*2.6*1.4*1.4,8430000000*(1.651435^(MIN($E2641,123)-117)))*1,0))</f>
        <v>3091039859</v>
      </c>
      <c r="AC2641" s="11">
        <f>$E2641+21</f>
        <v>136</v>
      </c>
      <c r="AD2641" s="12">
        <f>IF($J2641=0,0,ROUND(MAX($J2641*1.4*1.5*1.6*1.6*2.2*2.715*2.6*1.4*1.4*1.5,12600000000*(1.652953^(MIN($E2641,123)-117)))*1,0))</f>
        <v>4611577749</v>
      </c>
      <c r="AE2641" s="13">
        <f>$E2641+24</f>
        <v>139</v>
      </c>
      <c r="AF2641" s="14">
        <f>IF($J2641=0,0,ROUND(MAX($J2641*1.4*1.5*1.6*1.6*2.2*2.715*2.6*1.4*1.4*1.5*1.5,18900000000*(1.65331^(MIN($E2641,123)-117)))*1,0))</f>
        <v>6914379606</v>
      </c>
      <c r="AG2641" s="11">
        <f>$E2641+27</f>
        <v>142</v>
      </c>
      <c r="AH2641" s="12">
        <f>IF($J2641=0,0,ROUND(MAX($J2641*1.4*1.5*1.6*1.6*2.2*2.715*2.6*1.4*1.4*1.5*1.5*3.2,60500000000*(1.654288^(MIN($E2641,123)-117)))*1,0))</f>
        <v>22107169230</v>
      </c>
    </row>
    <row r="2642" ht="28" customHeight="1" spans="1:34" x14ac:dyDescent="0.25">
      <c r="A2642">
        <v>2652</v>
      </c>
      <c r="B2642" t="s">
        <v>859</v>
      </c>
      <c r="C2642" s="10" t="s">
        <v>1533</v>
      </c>
      <c r="D2642" t="s">
        <v>45</v>
      </c>
      <c r="E2642">
        <v>115</v>
      </c>
      <c r="F2642" t="s">
        <v>97</v>
      </c>
      <c r="G2642" t="s">
        <v>354</v>
      </c>
      <c r="H2642">
        <v>28</v>
      </c>
      <c r="I2642" s="11">
        <v>115</v>
      </c>
      <c r="J2642" s="12">
        <v>592000</v>
      </c>
      <c r="K2642" s="13">
        <f>$E2642+1</f>
        <v>116</v>
      </c>
      <c r="L2642" s="14">
        <f>IF($J2642=0,0,ROUND(MAX($J2642*1.4,1620000*(1.497923^(MIN($E2642,123)-117)))*1,0))</f>
        <v>828800</v>
      </c>
      <c r="M2642" s="11">
        <f>$E2642+2</f>
        <v>117</v>
      </c>
      <c r="N2642" s="12">
        <f>IF($J2642=0,0,ROUND(MAX($J2642*1.4*1.5,2190000*(1.580994^(MIN($E2642,123)-117)))*1,0))</f>
        <v>1243200</v>
      </c>
      <c r="O2642" s="13">
        <f>$E2642+4</f>
        <v>119</v>
      </c>
      <c r="P2642" s="14">
        <f>IF($J2642=0,0,ROUND(MAX($J2642*1.4*1.5*1.6,3500000*(1.57975^(MIN($E2642,123)-117)))*1,0))</f>
        <v>1989120</v>
      </c>
      <c r="Q2642" s="11">
        <f>$E2642+6</f>
        <v>121</v>
      </c>
      <c r="R2642" s="12">
        <f>IF($J2642=0,0,ROUND(MAX($J2642*1.4*1.5*1.6*1.6,13100000*(1.429962^(MIN($E2642,123)-117)))*1,0))</f>
        <v>6406522</v>
      </c>
      <c r="S2642" s="13">
        <f>$E2642+8</f>
        <v>123</v>
      </c>
      <c r="T2642" s="14">
        <f>IF($J2642=0,0,ROUND(MAX($J2642*1.4*1.5*1.6*1.6*2.2,42600000*(1.576904^(MIN($E2642,123)-117)))*1,0))</f>
        <v>17131646</v>
      </c>
      <c r="U2642" s="11">
        <f>$E2642+11</f>
        <v>126</v>
      </c>
      <c r="V2642" s="12">
        <f>IF($J2642=0,0,ROUND(MAX($J2642*1.4*1.5*1.6*1.6*2.2*2.715,354000000*(1.642074^(MIN($E2642,123)-117)))*1,0))</f>
        <v>131285817</v>
      </c>
      <c r="W2642" s="13">
        <f>$E2642+15</f>
        <v>130</v>
      </c>
      <c r="X2642" s="14">
        <f>IF($J2642=0,0,ROUND(MAX($J2642*1.4*1.5*1.6*1.6*2.2*2.715*2.6,3540000000*(1.579646^(MIN($E2642,123)-117)))*1,0))</f>
        <v>1418677620</v>
      </c>
      <c r="Y2642" s="11">
        <f>$E2642+17</f>
        <v>132</v>
      </c>
      <c r="Z2642" s="12">
        <f>IF($J2642=0,0,ROUND(MAX($J2642*1.4*1.5*1.6*1.6*2.2*2.715*2.6*1.4,6020000000*(1.651178^(MIN($E2642,123)-117)))*1,0))</f>
        <v>2208048987</v>
      </c>
      <c r="AA2642" s="13">
        <f>$E2642+19</f>
        <v>134</v>
      </c>
      <c r="AB2642" s="14">
        <f>IF($J2642=0,0,ROUND(MAX($J2642*1.4*1.5*1.6*1.6*2.2*2.715*2.6*1.4*1.4,8430000000*(1.651435^(MIN($E2642,123)-117)))*1,0))</f>
        <v>3091039859</v>
      </c>
      <c r="AC2642" s="11">
        <f>$E2642+21</f>
        <v>136</v>
      </c>
      <c r="AD2642" s="12">
        <f>IF($J2642=0,0,ROUND(MAX($J2642*1.4*1.5*1.6*1.6*2.2*2.715*2.6*1.4*1.4*1.5,12600000000*(1.652953^(MIN($E2642,123)-117)))*1,0))</f>
        <v>4611577749</v>
      </c>
      <c r="AE2642" s="13">
        <f>$E2642+24</f>
        <v>139</v>
      </c>
      <c r="AF2642" s="14">
        <f>IF($J2642=0,0,ROUND(MAX($J2642*1.4*1.5*1.6*1.6*2.2*2.715*2.6*1.4*1.4*1.5*1.5,18900000000*(1.65331^(MIN($E2642,123)-117)))*1,0))</f>
        <v>6914379606</v>
      </c>
      <c r="AG2642" s="11">
        <f>$E2642+27</f>
        <v>142</v>
      </c>
      <c r="AH2642" s="12">
        <f>IF($J2642=0,0,ROUND(MAX($J2642*1.4*1.5*1.6*1.6*2.2*2.715*2.6*1.4*1.4*1.5*1.5*3.2,60500000000*(1.654288^(MIN($E2642,123)-117)))*1,0))</f>
        <v>22107169230</v>
      </c>
    </row>
    <row r="2643" ht="28" customHeight="1" spans="1:34" x14ac:dyDescent="0.25">
      <c r="A2643">
        <v>2653</v>
      </c>
      <c r="B2643" t="s">
        <v>305</v>
      </c>
      <c r="C2643" s="10" t="s">
        <v>1533</v>
      </c>
      <c r="D2643" t="s">
        <v>33</v>
      </c>
      <c r="E2643">
        <v>115</v>
      </c>
      <c r="F2643" t="s">
        <v>34</v>
      </c>
      <c r="G2643" t="s">
        <v>35</v>
      </c>
      <c r="H2643">
        <v>28</v>
      </c>
      <c r="I2643" s="11">
        <v>115</v>
      </c>
      <c r="J2643" s="12">
        <v>569000</v>
      </c>
      <c r="K2643" s="13">
        <f>$E2643+1</f>
        <v>116</v>
      </c>
      <c r="L2643" s="14">
        <f>IF($J2643=0,0,ROUND(MAX($J2643*1.4,1620000*(1.497923^(MIN($E2643,123)-117)))*1,0))</f>
        <v>796600</v>
      </c>
      <c r="M2643" s="11">
        <f>$E2643+2</f>
        <v>117</v>
      </c>
      <c r="N2643" s="12">
        <f>IF($J2643=0,0,ROUND(MAX($J2643*1.4*1.5,2190000*(1.580994^(MIN($E2643,123)-117)))*1,0))</f>
        <v>1194900</v>
      </c>
      <c r="O2643" s="13">
        <f>$E2643+4</f>
        <v>119</v>
      </c>
      <c r="P2643" s="14">
        <f>IF($J2643=0,0,ROUND(MAX($J2643*1.4*1.5*1.6,3500000*(1.57975^(MIN($E2643,123)-117)))*1,0))</f>
        <v>1911840</v>
      </c>
      <c r="Q2643" s="11">
        <f>$E2643+6</f>
        <v>121</v>
      </c>
      <c r="R2643" s="12">
        <f>IF($J2643=0,0,ROUND(MAX($J2643*1.4*1.5*1.6*1.6,13100000*(1.429962^(MIN($E2643,123)-117)))*1,0))</f>
        <v>6406522</v>
      </c>
      <c r="S2643" s="13">
        <f>$E2643+8</f>
        <v>123</v>
      </c>
      <c r="T2643" s="14">
        <f>IF($J2643=0,0,ROUND(MAX($J2643*1.4*1.5*1.6*1.6*2.2,42600000*(1.576904^(MIN($E2643,123)-117)))*1,0))</f>
        <v>17131646</v>
      </c>
      <c r="U2643" s="11">
        <f>$E2643+11</f>
        <v>126</v>
      </c>
      <c r="V2643" s="12">
        <f>IF($J2643=0,0,ROUND(MAX($J2643*1.4*1.5*1.6*1.6*2.2*2.715,354000000*(1.642074^(MIN($E2643,123)-117)))*1,0))</f>
        <v>131285817</v>
      </c>
      <c r="W2643" s="13">
        <f>$E2643+15</f>
        <v>130</v>
      </c>
      <c r="X2643" s="14">
        <f>IF($J2643=0,0,ROUND(MAX($J2643*1.4*1.5*1.6*1.6*2.2*2.715*2.6,3540000000*(1.579646^(MIN($E2643,123)-117)))*1,0))</f>
        <v>1418677620</v>
      </c>
      <c r="Y2643" s="11">
        <f>$E2643+17</f>
        <v>132</v>
      </c>
      <c r="Z2643" s="12">
        <f>IF($J2643=0,0,ROUND(MAX($J2643*1.4*1.5*1.6*1.6*2.2*2.715*2.6*1.4,6020000000*(1.651178^(MIN($E2643,123)-117)))*1,0))</f>
        <v>2208048987</v>
      </c>
      <c r="AA2643" s="13">
        <f>$E2643+19</f>
        <v>134</v>
      </c>
      <c r="AB2643" s="14">
        <f>IF($J2643=0,0,ROUND(MAX($J2643*1.4*1.5*1.6*1.6*2.2*2.715*2.6*1.4*1.4,8430000000*(1.651435^(MIN($E2643,123)-117)))*1,0))</f>
        <v>3091039859</v>
      </c>
      <c r="AC2643" s="11">
        <f>$E2643+21</f>
        <v>136</v>
      </c>
      <c r="AD2643" s="12">
        <f>IF($J2643=0,0,ROUND(MAX($J2643*1.4*1.5*1.6*1.6*2.2*2.715*2.6*1.4*1.4*1.5,12600000000*(1.652953^(MIN($E2643,123)-117)))*1,0))</f>
        <v>4611577749</v>
      </c>
      <c r="AE2643" s="13">
        <f>$E2643+24</f>
        <v>139</v>
      </c>
      <c r="AF2643" s="14">
        <f>IF($J2643=0,0,ROUND(MAX($J2643*1.4*1.5*1.6*1.6*2.2*2.715*2.6*1.4*1.4*1.5*1.5,18900000000*(1.65331^(MIN($E2643,123)-117)))*1,0))</f>
        <v>6914379606</v>
      </c>
      <c r="AG2643" s="11">
        <f>$E2643+27</f>
        <v>142</v>
      </c>
      <c r="AH2643" s="12">
        <f>IF($J2643=0,0,ROUND(MAX($J2643*1.4*1.5*1.6*1.6*2.2*2.715*2.6*1.4*1.4*1.5*1.5*3.2,60500000000*(1.654288^(MIN($E2643,123)-117)))*1,0))</f>
        <v>22107169230</v>
      </c>
    </row>
    <row r="2644" ht="28" customHeight="1" spans="1:34" x14ac:dyDescent="0.25">
      <c r="A2644">
        <v>2654</v>
      </c>
      <c r="B2644" t="s">
        <v>323</v>
      </c>
      <c r="C2644" s="10" t="s">
        <v>1533</v>
      </c>
      <c r="D2644" t="s">
        <v>29</v>
      </c>
      <c r="E2644">
        <v>115</v>
      </c>
      <c r="F2644" t="s">
        <v>34</v>
      </c>
      <c r="G2644" t="s">
        <v>35</v>
      </c>
      <c r="H2644">
        <v>28</v>
      </c>
      <c r="I2644" s="11">
        <v>115</v>
      </c>
      <c r="J2644" s="12">
        <v>612000</v>
      </c>
      <c r="K2644" s="13">
        <f>$E2644+1</f>
        <v>116</v>
      </c>
      <c r="L2644" s="14">
        <f>IF($J2644=0,0,ROUND(MAX($J2644*1.4,1620000*(1.497923^(MIN($E2644,123)-117)))*1,0))</f>
        <v>856800</v>
      </c>
      <c r="M2644" s="11">
        <f>$E2644+2</f>
        <v>117</v>
      </c>
      <c r="N2644" s="12">
        <f>IF($J2644=0,0,ROUND(MAX($J2644*1.4*1.5,2190000*(1.580994^(MIN($E2644,123)-117)))*1,0))</f>
        <v>1285200</v>
      </c>
      <c r="O2644" s="13">
        <f>$E2644+4</f>
        <v>119</v>
      </c>
      <c r="P2644" s="14">
        <f>IF($J2644=0,0,ROUND(MAX($J2644*1.4*1.5*1.6,3500000*(1.57975^(MIN($E2644,123)-117)))*1,0))</f>
        <v>2056320</v>
      </c>
      <c r="Q2644" s="11">
        <f>$E2644+6</f>
        <v>121</v>
      </c>
      <c r="R2644" s="12">
        <f>IF($J2644=0,0,ROUND(MAX($J2644*1.4*1.5*1.6*1.6,13100000*(1.429962^(MIN($E2644,123)-117)))*1,0))</f>
        <v>6406522</v>
      </c>
      <c r="S2644" s="13">
        <f>$E2644+8</f>
        <v>123</v>
      </c>
      <c r="T2644" s="14">
        <f>IF($J2644=0,0,ROUND(MAX($J2644*1.4*1.5*1.6*1.6*2.2,42600000*(1.576904^(MIN($E2644,123)-117)))*1,0))</f>
        <v>17131646</v>
      </c>
      <c r="U2644" s="11">
        <f>$E2644+11</f>
        <v>126</v>
      </c>
      <c r="V2644" s="12">
        <f>IF($J2644=0,0,ROUND(MAX($J2644*1.4*1.5*1.6*1.6*2.2*2.715,354000000*(1.642074^(MIN($E2644,123)-117)))*1,0))</f>
        <v>131285817</v>
      </c>
      <c r="W2644" s="13">
        <f>$E2644+15</f>
        <v>130</v>
      </c>
      <c r="X2644" s="14">
        <f>IF($J2644=0,0,ROUND(MAX($J2644*1.4*1.5*1.6*1.6*2.2*2.715*2.6,3540000000*(1.579646^(MIN($E2644,123)-117)))*1,0))</f>
        <v>1418677620</v>
      </c>
      <c r="Y2644" s="11">
        <f>$E2644+17</f>
        <v>132</v>
      </c>
      <c r="Z2644" s="12">
        <f>IF($J2644=0,0,ROUND(MAX($J2644*1.4*1.5*1.6*1.6*2.2*2.715*2.6*1.4,6020000000*(1.651178^(MIN($E2644,123)-117)))*1,0))</f>
        <v>2208048987</v>
      </c>
      <c r="AA2644" s="13">
        <f>$E2644+19</f>
        <v>134</v>
      </c>
      <c r="AB2644" s="14">
        <f>IF($J2644=0,0,ROUND(MAX($J2644*1.4*1.5*1.6*1.6*2.2*2.715*2.6*1.4*1.4,8430000000*(1.651435^(MIN($E2644,123)-117)))*1,0))</f>
        <v>3091039859</v>
      </c>
      <c r="AC2644" s="11">
        <f>$E2644+21</f>
        <v>136</v>
      </c>
      <c r="AD2644" s="12">
        <f>IF($J2644=0,0,ROUND(MAX($J2644*1.4*1.5*1.6*1.6*2.2*2.715*2.6*1.4*1.4*1.5,12600000000*(1.652953^(MIN($E2644,123)-117)))*1,0))</f>
        <v>4611577749</v>
      </c>
      <c r="AE2644" s="13">
        <f>$E2644+24</f>
        <v>139</v>
      </c>
      <c r="AF2644" s="14">
        <f>IF($J2644=0,0,ROUND(MAX($J2644*1.4*1.5*1.6*1.6*2.2*2.715*2.6*1.4*1.4*1.5*1.5,18900000000*(1.65331^(MIN($E2644,123)-117)))*1,0))</f>
        <v>6914379606</v>
      </c>
      <c r="AG2644" s="11">
        <f>$E2644+27</f>
        <v>142</v>
      </c>
      <c r="AH2644" s="12">
        <f>IF($J2644=0,0,ROUND(MAX($J2644*1.4*1.5*1.6*1.6*2.2*2.715*2.6*1.4*1.4*1.5*1.5*3.2,60500000000*(1.654288^(MIN($E2644,123)-117)))*1,0))</f>
        <v>22107169230</v>
      </c>
    </row>
    <row r="2645" ht="28" customHeight="1" spans="1:34" x14ac:dyDescent="0.25">
      <c r="A2645">
        <v>2655</v>
      </c>
      <c r="B2645" t="s">
        <v>245</v>
      </c>
      <c r="C2645" s="10" t="s">
        <v>1533</v>
      </c>
      <c r="D2645" t="s">
        <v>45</v>
      </c>
      <c r="E2645">
        <v>115</v>
      </c>
      <c r="F2645" t="s">
        <v>212</v>
      </c>
      <c r="G2645" t="s">
        <v>51</v>
      </c>
      <c r="H2645">
        <v>28</v>
      </c>
      <c r="I2645" s="11">
        <v>115</v>
      </c>
      <c r="J2645" s="12">
        <v>524000</v>
      </c>
      <c r="K2645" s="13">
        <f>$E2645+1</f>
        <v>116</v>
      </c>
      <c r="L2645" s="14">
        <f>IF($J2645=0,0,ROUND(MAX($J2645*1.4,1620000*(1.497923^(MIN($E2645,123)-117)))*1,0))</f>
        <v>733600</v>
      </c>
      <c r="M2645" s="11">
        <f>$E2645+2</f>
        <v>117</v>
      </c>
      <c r="N2645" s="12">
        <f>IF($J2645=0,0,ROUND(MAX($J2645*1.4*1.5,2190000*(1.580994^(MIN($E2645,123)-117)))*1,0))</f>
        <v>1100400</v>
      </c>
      <c r="O2645" s="13">
        <f>$E2645+4</f>
        <v>119</v>
      </c>
      <c r="P2645" s="14">
        <f>IF($J2645=0,0,ROUND(MAX($J2645*1.4*1.5*1.6,3500000*(1.57975^(MIN($E2645,123)-117)))*1,0))</f>
        <v>1760640</v>
      </c>
      <c r="Q2645" s="11">
        <f>$E2645+6</f>
        <v>121</v>
      </c>
      <c r="R2645" s="12">
        <f>IF($J2645=0,0,ROUND(MAX($J2645*1.4*1.5*1.6*1.6,13100000*(1.429962^(MIN($E2645,123)-117)))*1,0))</f>
        <v>6406522</v>
      </c>
      <c r="S2645" s="13">
        <f>$E2645+8</f>
        <v>123</v>
      </c>
      <c r="T2645" s="14">
        <f>IF($J2645=0,0,ROUND(MAX($J2645*1.4*1.5*1.6*1.6*2.2,42600000*(1.576904^(MIN($E2645,123)-117)))*1,0))</f>
        <v>17131646</v>
      </c>
      <c r="U2645" s="11">
        <f>$E2645+11</f>
        <v>126</v>
      </c>
      <c r="V2645" s="12">
        <f>IF($J2645=0,0,ROUND(MAX($J2645*1.4*1.5*1.6*1.6*2.2*2.715,354000000*(1.642074^(MIN($E2645,123)-117)))*1,0))</f>
        <v>131285817</v>
      </c>
      <c r="W2645" s="13">
        <f>$E2645+15</f>
        <v>130</v>
      </c>
      <c r="X2645" s="14">
        <f>IF($J2645=0,0,ROUND(MAX($J2645*1.4*1.5*1.6*1.6*2.2*2.715*2.6,3540000000*(1.579646^(MIN($E2645,123)-117)))*1,0))</f>
        <v>1418677620</v>
      </c>
      <c r="Y2645" s="11">
        <f>$E2645+17</f>
        <v>132</v>
      </c>
      <c r="Z2645" s="12">
        <f>IF($J2645=0,0,ROUND(MAX($J2645*1.4*1.5*1.6*1.6*2.2*2.715*2.6*1.4,6020000000*(1.651178^(MIN($E2645,123)-117)))*1,0))</f>
        <v>2208048987</v>
      </c>
      <c r="AA2645" s="13">
        <f>$E2645+19</f>
        <v>134</v>
      </c>
      <c r="AB2645" s="14">
        <f>IF($J2645=0,0,ROUND(MAX($J2645*1.4*1.5*1.6*1.6*2.2*2.715*2.6*1.4*1.4,8430000000*(1.651435^(MIN($E2645,123)-117)))*1,0))</f>
        <v>3091039859</v>
      </c>
      <c r="AC2645" s="11">
        <f>$E2645+21</f>
        <v>136</v>
      </c>
      <c r="AD2645" s="12">
        <f>IF($J2645=0,0,ROUND(MAX($J2645*1.4*1.5*1.6*1.6*2.2*2.715*2.6*1.4*1.4*1.5,12600000000*(1.652953^(MIN($E2645,123)-117)))*1,0))</f>
        <v>4611577749</v>
      </c>
      <c r="AE2645" s="13">
        <f>$E2645+24</f>
        <v>139</v>
      </c>
      <c r="AF2645" s="14">
        <f>IF($J2645=0,0,ROUND(MAX($J2645*1.4*1.5*1.6*1.6*2.2*2.715*2.6*1.4*1.4*1.5*1.5,18900000000*(1.65331^(MIN($E2645,123)-117)))*1,0))</f>
        <v>6914379606</v>
      </c>
      <c r="AG2645" s="11">
        <f>$E2645+27</f>
        <v>142</v>
      </c>
      <c r="AH2645" s="12">
        <f>IF($J2645=0,0,ROUND(MAX($J2645*1.4*1.5*1.6*1.6*2.2*2.715*2.6*1.4*1.4*1.5*1.5*3.2,60500000000*(1.654288^(MIN($E2645,123)-117)))*1,0))</f>
        <v>22107169230</v>
      </c>
    </row>
    <row r="2646" ht="28" customHeight="1" spans="1:34" x14ac:dyDescent="0.25">
      <c r="A2646">
        <v>2656</v>
      </c>
      <c r="B2646" t="s">
        <v>1575</v>
      </c>
      <c r="C2646" s="10" t="s">
        <v>1533</v>
      </c>
      <c r="D2646" t="s">
        <v>25</v>
      </c>
      <c r="E2646">
        <v>115</v>
      </c>
      <c r="F2646" t="s">
        <v>267</v>
      </c>
      <c r="G2646" t="s">
        <v>38</v>
      </c>
      <c r="H2646">
        <v>27</v>
      </c>
      <c r="I2646" s="11">
        <v>115</v>
      </c>
      <c r="J2646" s="12">
        <v>562000</v>
      </c>
      <c r="K2646" s="13">
        <f>$E2646+1</f>
        <v>116</v>
      </c>
      <c r="L2646" s="14">
        <f>IF($J2646=0,0,ROUND(MAX($J2646*1.4,1620000*(1.497923^(MIN($E2646,123)-117)))*1,0))</f>
        <v>786800</v>
      </c>
      <c r="M2646" s="11">
        <f>$E2646+2</f>
        <v>117</v>
      </c>
      <c r="N2646" s="12">
        <f>IF($J2646=0,0,ROUND(MAX($J2646*1.4*1.5,2190000*(1.580994^(MIN($E2646,123)-117)))*1,0))</f>
        <v>1180200</v>
      </c>
      <c r="O2646" s="13">
        <f>$E2646+4</f>
        <v>119</v>
      </c>
      <c r="P2646" s="14">
        <f>IF($J2646=0,0,ROUND(MAX($J2646*1.4*1.5*1.6,3500000*(1.57975^(MIN($E2646,123)-117)))*1,0))</f>
        <v>1888320</v>
      </c>
      <c r="Q2646" s="11">
        <f>$E2646+6</f>
        <v>121</v>
      </c>
      <c r="R2646" s="12">
        <f>IF($J2646=0,0,ROUND(MAX($J2646*1.4*1.5*1.6*1.6,13100000*(1.429962^(MIN($E2646,123)-117)))*1,0))</f>
        <v>6406522</v>
      </c>
      <c r="S2646" s="13">
        <f>$E2646+8</f>
        <v>123</v>
      </c>
      <c r="T2646" s="14">
        <f>IF($J2646=0,0,ROUND(MAX($J2646*1.4*1.5*1.6*1.6*2.2,42600000*(1.576904^(MIN($E2646,123)-117)))*1,0))</f>
        <v>17131646</v>
      </c>
      <c r="U2646" s="11">
        <f>$E2646+11</f>
        <v>126</v>
      </c>
      <c r="V2646" s="12">
        <f>IF($J2646=0,0,ROUND(MAX($J2646*1.4*1.5*1.6*1.6*2.2*2.715,354000000*(1.642074^(MIN($E2646,123)-117)))*1,0))</f>
        <v>131285817</v>
      </c>
      <c r="W2646" s="13">
        <f>$E2646+15</f>
        <v>130</v>
      </c>
      <c r="X2646" s="14">
        <f>IF($J2646=0,0,ROUND(MAX($J2646*1.4*1.5*1.6*1.6*2.2*2.715*2.6,3540000000*(1.579646^(MIN($E2646,123)-117)))*1,0))</f>
        <v>1418677620</v>
      </c>
      <c r="Y2646" s="11">
        <f>$E2646+17</f>
        <v>132</v>
      </c>
      <c r="Z2646" s="12">
        <f>IF($J2646=0,0,ROUND(MAX($J2646*1.4*1.5*1.6*1.6*2.2*2.715*2.6*1.4,6020000000*(1.651178^(MIN($E2646,123)-117)))*1,0))</f>
        <v>2208048987</v>
      </c>
      <c r="AA2646" s="13">
        <f>$E2646+19</f>
        <v>134</v>
      </c>
      <c r="AB2646" s="14">
        <f>IF($J2646=0,0,ROUND(MAX($J2646*1.4*1.5*1.6*1.6*2.2*2.715*2.6*1.4*1.4,8430000000*(1.651435^(MIN($E2646,123)-117)))*1,0))</f>
        <v>3091039859</v>
      </c>
      <c r="AC2646" s="11">
        <f>$E2646+21</f>
        <v>136</v>
      </c>
      <c r="AD2646" s="12">
        <f>IF($J2646=0,0,ROUND(MAX($J2646*1.4*1.5*1.6*1.6*2.2*2.715*2.6*1.4*1.4*1.5,12600000000*(1.652953^(MIN($E2646,123)-117)))*1,0))</f>
        <v>4611577749</v>
      </c>
      <c r="AE2646" s="13">
        <f>$E2646+24</f>
        <v>139</v>
      </c>
      <c r="AF2646" s="14">
        <f>IF($J2646=0,0,ROUND(MAX($J2646*1.4*1.5*1.6*1.6*2.2*2.715*2.6*1.4*1.4*1.5*1.5,18900000000*(1.65331^(MIN($E2646,123)-117)))*1,0))</f>
        <v>6914379606</v>
      </c>
      <c r="AG2646" s="11">
        <f>$E2646+27</f>
        <v>142</v>
      </c>
      <c r="AH2646" s="12">
        <f>IF($J2646=0,0,ROUND(MAX($J2646*1.4*1.5*1.6*1.6*2.2*2.715*2.6*1.4*1.4*1.5*1.5*3.2,60500000000*(1.654288^(MIN($E2646,123)-117)))*1,0))</f>
        <v>22107169230</v>
      </c>
    </row>
    <row r="2647" ht="28" customHeight="1" spans="1:34" x14ac:dyDescent="0.25">
      <c r="A2647">
        <v>2657</v>
      </c>
      <c r="B2647" t="s">
        <v>1576</v>
      </c>
      <c r="C2647" s="10" t="s">
        <v>1533</v>
      </c>
      <c r="D2647" t="s">
        <v>79</v>
      </c>
      <c r="E2647">
        <v>115</v>
      </c>
      <c r="F2647" t="s">
        <v>97</v>
      </c>
      <c r="G2647" t="s">
        <v>416</v>
      </c>
      <c r="H2647">
        <v>27</v>
      </c>
      <c r="I2647" s="11">
        <v>115</v>
      </c>
      <c r="J2647" s="12">
        <v>511000</v>
      </c>
      <c r="K2647" s="13">
        <f>$E2647+1</f>
        <v>116</v>
      </c>
      <c r="L2647" s="14">
        <f>IF($J2647=0,0,ROUND(MAX($J2647*1.4,1620000*(1.497923^(MIN($E2647,123)-117)))*1,0))</f>
        <v>721998</v>
      </c>
      <c r="M2647" s="11">
        <f>$E2647+2</f>
        <v>117</v>
      </c>
      <c r="N2647" s="12">
        <f>IF($J2647=0,0,ROUND(MAX($J2647*1.4*1.5,2190000*(1.580994^(MIN($E2647,123)-117)))*1,0))</f>
        <v>1073100</v>
      </c>
      <c r="O2647" s="13">
        <f>$E2647+4</f>
        <v>119</v>
      </c>
      <c r="P2647" s="14">
        <f>IF($J2647=0,0,ROUND(MAX($J2647*1.4*1.5*1.6,3500000*(1.57975^(MIN($E2647,123)-117)))*1,0))</f>
        <v>1716960</v>
      </c>
      <c r="Q2647" s="11">
        <f>$E2647+6</f>
        <v>121</v>
      </c>
      <c r="R2647" s="12">
        <f>IF($J2647=0,0,ROUND(MAX($J2647*1.4*1.5*1.6*1.6,13100000*(1.429962^(MIN($E2647,123)-117)))*1,0))</f>
        <v>6406522</v>
      </c>
      <c r="S2647" s="13">
        <f>$E2647+8</f>
        <v>123</v>
      </c>
      <c r="T2647" s="14">
        <f>IF($J2647=0,0,ROUND(MAX($J2647*1.4*1.5*1.6*1.6*2.2,42600000*(1.576904^(MIN($E2647,123)-117)))*1,0))</f>
        <v>17131646</v>
      </c>
      <c r="U2647" s="11">
        <f>$E2647+11</f>
        <v>126</v>
      </c>
      <c r="V2647" s="12">
        <f>IF($J2647=0,0,ROUND(MAX($J2647*1.4*1.5*1.6*1.6*2.2*2.715,354000000*(1.642074^(MIN($E2647,123)-117)))*1,0))</f>
        <v>131285817</v>
      </c>
      <c r="W2647" s="13">
        <f>$E2647+15</f>
        <v>130</v>
      </c>
      <c r="X2647" s="14">
        <f>IF($J2647=0,0,ROUND(MAX($J2647*1.4*1.5*1.6*1.6*2.2*2.715*2.6,3540000000*(1.579646^(MIN($E2647,123)-117)))*1,0))</f>
        <v>1418677620</v>
      </c>
      <c r="Y2647" s="11">
        <f>$E2647+17</f>
        <v>132</v>
      </c>
      <c r="Z2647" s="12">
        <f>IF($J2647=0,0,ROUND(MAX($J2647*1.4*1.5*1.6*1.6*2.2*2.715*2.6*1.4,6020000000*(1.651178^(MIN($E2647,123)-117)))*1,0))</f>
        <v>2208048987</v>
      </c>
      <c r="AA2647" s="13">
        <f>$E2647+19</f>
        <v>134</v>
      </c>
      <c r="AB2647" s="14">
        <f>IF($J2647=0,0,ROUND(MAX($J2647*1.4*1.5*1.6*1.6*2.2*2.715*2.6*1.4*1.4,8430000000*(1.651435^(MIN($E2647,123)-117)))*1,0))</f>
        <v>3091039859</v>
      </c>
      <c r="AC2647" s="11">
        <f>$E2647+21</f>
        <v>136</v>
      </c>
      <c r="AD2647" s="12">
        <f>IF($J2647=0,0,ROUND(MAX($J2647*1.4*1.5*1.6*1.6*2.2*2.715*2.6*1.4*1.4*1.5,12600000000*(1.652953^(MIN($E2647,123)-117)))*1,0))</f>
        <v>4611577749</v>
      </c>
      <c r="AE2647" s="13">
        <f>$E2647+24</f>
        <v>139</v>
      </c>
      <c r="AF2647" s="14">
        <f>IF($J2647=0,0,ROUND(MAX($J2647*1.4*1.5*1.6*1.6*2.2*2.715*2.6*1.4*1.4*1.5*1.5,18900000000*(1.65331^(MIN($E2647,123)-117)))*1,0))</f>
        <v>6914379606</v>
      </c>
      <c r="AG2647" s="11">
        <f>$E2647+27</f>
        <v>142</v>
      </c>
      <c r="AH2647" s="12">
        <f>IF($J2647=0,0,ROUND(MAX($J2647*1.4*1.5*1.6*1.6*2.2*2.715*2.6*1.4*1.4*1.5*1.5*3.2,60500000000*(1.654288^(MIN($E2647,123)-117)))*1,0))</f>
        <v>22107169230</v>
      </c>
    </row>
    <row r="2648" ht="28" customHeight="1" spans="1:34" x14ac:dyDescent="0.25">
      <c r="A2648">
        <v>2658</v>
      </c>
      <c r="B2648" t="s">
        <v>1239</v>
      </c>
      <c r="C2648" s="10" t="s">
        <v>1533</v>
      </c>
      <c r="D2648" t="s">
        <v>45</v>
      </c>
      <c r="E2648">
        <v>115</v>
      </c>
      <c r="F2648" t="s">
        <v>412</v>
      </c>
      <c r="G2648" t="s">
        <v>171</v>
      </c>
      <c r="H2648">
        <v>27</v>
      </c>
      <c r="I2648" s="11">
        <v>115</v>
      </c>
      <c r="J2648" s="12">
        <v>511000</v>
      </c>
      <c r="K2648" s="13">
        <f>$E2648+1</f>
        <v>116</v>
      </c>
      <c r="L2648" s="14">
        <f>IF($J2648=0,0,ROUND(MAX($J2648*1.4,1620000*(1.497923^(MIN($E2648,123)-117)))*1,0))</f>
        <v>721998</v>
      </c>
      <c r="M2648" s="11">
        <f>$E2648+2</f>
        <v>117</v>
      </c>
      <c r="N2648" s="12">
        <f>IF($J2648=0,0,ROUND(MAX($J2648*1.4*1.5,2190000*(1.580994^(MIN($E2648,123)-117)))*1,0))</f>
        <v>1073100</v>
      </c>
      <c r="O2648" s="13">
        <f>$E2648+4</f>
        <v>119</v>
      </c>
      <c r="P2648" s="14">
        <f>IF($J2648=0,0,ROUND(MAX($J2648*1.4*1.5*1.6,3500000*(1.57975^(MIN($E2648,123)-117)))*1,0))</f>
        <v>1716960</v>
      </c>
      <c r="Q2648" s="11">
        <f>$E2648+6</f>
        <v>121</v>
      </c>
      <c r="R2648" s="12">
        <f>IF($J2648=0,0,ROUND(MAX($J2648*1.4*1.5*1.6*1.6,13100000*(1.429962^(MIN($E2648,123)-117)))*1,0))</f>
        <v>6406522</v>
      </c>
      <c r="S2648" s="13">
        <f>$E2648+8</f>
        <v>123</v>
      </c>
      <c r="T2648" s="14">
        <f>IF($J2648=0,0,ROUND(MAX($J2648*1.4*1.5*1.6*1.6*2.2,42600000*(1.576904^(MIN($E2648,123)-117)))*1,0))</f>
        <v>17131646</v>
      </c>
      <c r="U2648" s="11">
        <f>$E2648+11</f>
        <v>126</v>
      </c>
      <c r="V2648" s="12">
        <f>IF($J2648=0,0,ROUND(MAX($J2648*1.4*1.5*1.6*1.6*2.2*2.715,354000000*(1.642074^(MIN($E2648,123)-117)))*1,0))</f>
        <v>131285817</v>
      </c>
      <c r="W2648" s="13">
        <f>$E2648+15</f>
        <v>130</v>
      </c>
      <c r="X2648" s="14">
        <f>IF($J2648=0,0,ROUND(MAX($J2648*1.4*1.5*1.6*1.6*2.2*2.715*2.6,3540000000*(1.579646^(MIN($E2648,123)-117)))*1,0))</f>
        <v>1418677620</v>
      </c>
      <c r="Y2648" s="11">
        <f>$E2648+17</f>
        <v>132</v>
      </c>
      <c r="Z2648" s="12">
        <f>IF($J2648=0,0,ROUND(MAX($J2648*1.4*1.5*1.6*1.6*2.2*2.715*2.6*1.4,6020000000*(1.651178^(MIN($E2648,123)-117)))*1,0))</f>
        <v>2208048987</v>
      </c>
      <c r="AA2648" s="13">
        <f>$E2648+19</f>
        <v>134</v>
      </c>
      <c r="AB2648" s="14">
        <f>IF($J2648=0,0,ROUND(MAX($J2648*1.4*1.5*1.6*1.6*2.2*2.715*2.6*1.4*1.4,8430000000*(1.651435^(MIN($E2648,123)-117)))*1,0))</f>
        <v>3091039859</v>
      </c>
      <c r="AC2648" s="11">
        <f>$E2648+21</f>
        <v>136</v>
      </c>
      <c r="AD2648" s="12">
        <f>IF($J2648=0,0,ROUND(MAX($J2648*1.4*1.5*1.6*1.6*2.2*2.715*2.6*1.4*1.4*1.5,12600000000*(1.652953^(MIN($E2648,123)-117)))*1,0))</f>
        <v>4611577749</v>
      </c>
      <c r="AE2648" s="13">
        <f>$E2648+24</f>
        <v>139</v>
      </c>
      <c r="AF2648" s="14">
        <f>IF($J2648=0,0,ROUND(MAX($J2648*1.4*1.5*1.6*1.6*2.2*2.715*2.6*1.4*1.4*1.5*1.5,18900000000*(1.65331^(MIN($E2648,123)-117)))*1,0))</f>
        <v>6914379606</v>
      </c>
      <c r="AG2648" s="11">
        <f>$E2648+27</f>
        <v>142</v>
      </c>
      <c r="AH2648" s="12">
        <f>IF($J2648=0,0,ROUND(MAX($J2648*1.4*1.5*1.6*1.6*2.2*2.715*2.6*1.4*1.4*1.5*1.5*3.2,60500000000*(1.654288^(MIN($E2648,123)-117)))*1,0))</f>
        <v>22107169230</v>
      </c>
    </row>
    <row r="2649" ht="28" customHeight="1" spans="1:34" x14ac:dyDescent="0.25">
      <c r="A2649">
        <v>2659</v>
      </c>
      <c r="B2649" t="s">
        <v>1577</v>
      </c>
      <c r="C2649" s="10" t="s">
        <v>1533</v>
      </c>
      <c r="D2649" t="s">
        <v>102</v>
      </c>
      <c r="E2649">
        <v>115</v>
      </c>
      <c r="F2649" t="s">
        <v>400</v>
      </c>
      <c r="G2649" t="s">
        <v>254</v>
      </c>
      <c r="H2649">
        <v>27</v>
      </c>
      <c r="I2649" s="11">
        <v>115</v>
      </c>
      <c r="J2649" s="12">
        <v>661000</v>
      </c>
      <c r="K2649" s="13">
        <f>$E2649+1</f>
        <v>116</v>
      </c>
      <c r="L2649" s="14">
        <f>IF($J2649=0,0,ROUND(MAX($J2649*1.4,1620000*(1.497923^(MIN($E2649,123)-117)))*1,0))</f>
        <v>925400</v>
      </c>
      <c r="M2649" s="11">
        <f>$E2649+2</f>
        <v>117</v>
      </c>
      <c r="N2649" s="12">
        <f>IF($J2649=0,0,ROUND(MAX($J2649*1.4*1.5,2190000*(1.580994^(MIN($E2649,123)-117)))*1,0))</f>
        <v>1388100</v>
      </c>
      <c r="O2649" s="13">
        <f>$E2649+4</f>
        <v>119</v>
      </c>
      <c r="P2649" s="14">
        <f>IF($J2649=0,0,ROUND(MAX($J2649*1.4*1.5*1.6,3500000*(1.57975^(MIN($E2649,123)-117)))*1,0))</f>
        <v>2220960</v>
      </c>
      <c r="Q2649" s="11">
        <f>$E2649+6</f>
        <v>121</v>
      </c>
      <c r="R2649" s="12">
        <f>IF($J2649=0,0,ROUND(MAX($J2649*1.4*1.5*1.6*1.6,13100000*(1.429962^(MIN($E2649,123)-117)))*1,0))</f>
        <v>6406522</v>
      </c>
      <c r="S2649" s="13">
        <f>$E2649+8</f>
        <v>123</v>
      </c>
      <c r="T2649" s="14">
        <f>IF($J2649=0,0,ROUND(MAX($J2649*1.4*1.5*1.6*1.6*2.2,42600000*(1.576904^(MIN($E2649,123)-117)))*1,0))</f>
        <v>17131646</v>
      </c>
      <c r="U2649" s="11">
        <f>$E2649+11</f>
        <v>126</v>
      </c>
      <c r="V2649" s="12">
        <f>IF($J2649=0,0,ROUND(MAX($J2649*1.4*1.5*1.6*1.6*2.2*2.715,354000000*(1.642074^(MIN($E2649,123)-117)))*1,0))</f>
        <v>131285817</v>
      </c>
      <c r="W2649" s="13">
        <f>$E2649+15</f>
        <v>130</v>
      </c>
      <c r="X2649" s="14">
        <f>IF($J2649=0,0,ROUND(MAX($J2649*1.4*1.5*1.6*1.6*2.2*2.715*2.6,3540000000*(1.579646^(MIN($E2649,123)-117)))*1,0))</f>
        <v>1418677620</v>
      </c>
      <c r="Y2649" s="11">
        <f>$E2649+17</f>
        <v>132</v>
      </c>
      <c r="Z2649" s="12">
        <f>IF($J2649=0,0,ROUND(MAX($J2649*1.4*1.5*1.6*1.6*2.2*2.715*2.6*1.4,6020000000*(1.651178^(MIN($E2649,123)-117)))*1,0))</f>
        <v>2208048987</v>
      </c>
      <c r="AA2649" s="13">
        <f>$E2649+19</f>
        <v>134</v>
      </c>
      <c r="AB2649" s="14">
        <f>IF($J2649=0,0,ROUND(MAX($J2649*1.4*1.5*1.6*1.6*2.2*2.715*2.6*1.4*1.4,8430000000*(1.651435^(MIN($E2649,123)-117)))*1,0))</f>
        <v>3091039859</v>
      </c>
      <c r="AC2649" s="11">
        <f>$E2649+21</f>
        <v>136</v>
      </c>
      <c r="AD2649" s="12">
        <f>IF($J2649=0,0,ROUND(MAX($J2649*1.4*1.5*1.6*1.6*2.2*2.715*2.6*1.4*1.4*1.5,12600000000*(1.652953^(MIN($E2649,123)-117)))*1,0))</f>
        <v>4611577749</v>
      </c>
      <c r="AE2649" s="13">
        <f>$E2649+24</f>
        <v>139</v>
      </c>
      <c r="AF2649" s="14">
        <f>IF($J2649=0,0,ROUND(MAX($J2649*1.4*1.5*1.6*1.6*2.2*2.715*2.6*1.4*1.4*1.5*1.5,18900000000*(1.65331^(MIN($E2649,123)-117)))*1,0))</f>
        <v>6914379606</v>
      </c>
      <c r="AG2649" s="11">
        <f>$E2649+27</f>
        <v>142</v>
      </c>
      <c r="AH2649" s="12">
        <f>IF($J2649=0,0,ROUND(MAX($J2649*1.4*1.5*1.6*1.6*2.2*2.715*2.6*1.4*1.4*1.5*1.5*3.2,60500000000*(1.654288^(MIN($E2649,123)-117)))*1,0))</f>
        <v>22107169230</v>
      </c>
    </row>
    <row r="2650" ht="28" customHeight="1" spans="1:34" x14ac:dyDescent="0.25">
      <c r="A2650">
        <v>2660</v>
      </c>
      <c r="B2650" t="s">
        <v>1170</v>
      </c>
      <c r="C2650" s="10" t="s">
        <v>1533</v>
      </c>
      <c r="D2650" t="s">
        <v>40</v>
      </c>
      <c r="E2650">
        <v>115</v>
      </c>
      <c r="F2650" t="s">
        <v>258</v>
      </c>
      <c r="G2650" t="s">
        <v>374</v>
      </c>
      <c r="H2650">
        <v>27</v>
      </c>
      <c r="I2650" s="11">
        <v>115</v>
      </c>
      <c r="J2650" s="12">
        <v>660000</v>
      </c>
      <c r="K2650" s="13">
        <f>$E2650+1</f>
        <v>116</v>
      </c>
      <c r="L2650" s="14">
        <f>IF($J2650=0,0,ROUND(MAX($J2650*1.4,1620000*(1.497923^(MIN($E2650,123)-117)))*1,0))</f>
        <v>924000</v>
      </c>
      <c r="M2650" s="11">
        <f>$E2650+2</f>
        <v>117</v>
      </c>
      <c r="N2650" s="12">
        <f>IF($J2650=0,0,ROUND(MAX($J2650*1.4*1.5,2190000*(1.580994^(MIN($E2650,123)-117)))*1,0))</f>
        <v>1386000</v>
      </c>
      <c r="O2650" s="13">
        <f>$E2650+4</f>
        <v>119</v>
      </c>
      <c r="P2650" s="14">
        <f>IF($J2650=0,0,ROUND(MAX($J2650*1.4*1.5*1.6,3500000*(1.57975^(MIN($E2650,123)-117)))*1,0))</f>
        <v>2217600</v>
      </c>
      <c r="Q2650" s="11">
        <f>$E2650+6</f>
        <v>121</v>
      </c>
      <c r="R2650" s="12">
        <f>IF($J2650=0,0,ROUND(MAX($J2650*1.4*1.5*1.6*1.6,13100000*(1.429962^(MIN($E2650,123)-117)))*1,0))</f>
        <v>6406522</v>
      </c>
      <c r="S2650" s="13">
        <f>$E2650+8</f>
        <v>123</v>
      </c>
      <c r="T2650" s="14">
        <f>IF($J2650=0,0,ROUND(MAX($J2650*1.4*1.5*1.6*1.6*2.2,42600000*(1.576904^(MIN($E2650,123)-117)))*1,0))</f>
        <v>17131646</v>
      </c>
      <c r="U2650" s="11">
        <f>$E2650+11</f>
        <v>126</v>
      </c>
      <c r="V2650" s="12">
        <f>IF($J2650=0,0,ROUND(MAX($J2650*1.4*1.5*1.6*1.6*2.2*2.715,354000000*(1.642074^(MIN($E2650,123)-117)))*1,0))</f>
        <v>131285817</v>
      </c>
      <c r="W2650" s="13">
        <f>$E2650+15</f>
        <v>130</v>
      </c>
      <c r="X2650" s="14">
        <f>IF($J2650=0,0,ROUND(MAX($J2650*1.4*1.5*1.6*1.6*2.2*2.715*2.6,3540000000*(1.579646^(MIN($E2650,123)-117)))*1,0))</f>
        <v>1418677620</v>
      </c>
      <c r="Y2650" s="11">
        <f>$E2650+17</f>
        <v>132</v>
      </c>
      <c r="Z2650" s="12">
        <f>IF($J2650=0,0,ROUND(MAX($J2650*1.4*1.5*1.6*1.6*2.2*2.715*2.6*1.4,6020000000*(1.651178^(MIN($E2650,123)-117)))*1,0))</f>
        <v>2208048987</v>
      </c>
      <c r="AA2650" s="13">
        <f>$E2650+19</f>
        <v>134</v>
      </c>
      <c r="AB2650" s="14">
        <f>IF($J2650=0,0,ROUND(MAX($J2650*1.4*1.5*1.6*1.6*2.2*2.715*2.6*1.4*1.4,8430000000*(1.651435^(MIN($E2650,123)-117)))*1,0))</f>
        <v>3091039859</v>
      </c>
      <c r="AC2650" s="11">
        <f>$E2650+21</f>
        <v>136</v>
      </c>
      <c r="AD2650" s="12">
        <f>IF($J2650=0,0,ROUND(MAX($J2650*1.4*1.5*1.6*1.6*2.2*2.715*2.6*1.4*1.4*1.5,12600000000*(1.652953^(MIN($E2650,123)-117)))*1,0))</f>
        <v>4611577749</v>
      </c>
      <c r="AE2650" s="13">
        <f>$E2650+24</f>
        <v>139</v>
      </c>
      <c r="AF2650" s="14">
        <f>IF($J2650=0,0,ROUND(MAX($J2650*1.4*1.5*1.6*1.6*2.2*2.715*2.6*1.4*1.4*1.5*1.5,18900000000*(1.65331^(MIN($E2650,123)-117)))*1,0))</f>
        <v>6914379606</v>
      </c>
      <c r="AG2650" s="11">
        <f>$E2650+27</f>
        <v>142</v>
      </c>
      <c r="AH2650" s="12">
        <f>IF($J2650=0,0,ROUND(MAX($J2650*1.4*1.5*1.6*1.6*2.2*2.715*2.6*1.4*1.4*1.5*1.5*3.2,60500000000*(1.654288^(MIN($E2650,123)-117)))*1,0))</f>
        <v>22107169230</v>
      </c>
    </row>
    <row r="2651" ht="28" customHeight="1" spans="1:34" x14ac:dyDescent="0.25">
      <c r="A2651">
        <v>2661</v>
      </c>
      <c r="B2651" t="s">
        <v>1578</v>
      </c>
      <c r="C2651" s="10" t="s">
        <v>1533</v>
      </c>
      <c r="D2651" t="s">
        <v>33</v>
      </c>
      <c r="E2651">
        <v>115</v>
      </c>
      <c r="F2651" t="s">
        <v>144</v>
      </c>
      <c r="G2651" t="s">
        <v>1398</v>
      </c>
      <c r="H2651">
        <v>27</v>
      </c>
      <c r="I2651" s="11">
        <v>115</v>
      </c>
      <c r="J2651" s="12">
        <v>626000</v>
      </c>
      <c r="K2651" s="13">
        <f>$E2651+1</f>
        <v>116</v>
      </c>
      <c r="L2651" s="14">
        <f>IF($J2651=0,0,ROUND(MAX($J2651*1.4,1620000*(1.497923^(MIN($E2651,123)-117)))*1,0))</f>
        <v>876400</v>
      </c>
      <c r="M2651" s="11">
        <f>$E2651+2</f>
        <v>117</v>
      </c>
      <c r="N2651" s="12">
        <f>IF($J2651=0,0,ROUND(MAX($J2651*1.4*1.5,2190000*(1.580994^(MIN($E2651,123)-117)))*1,0))</f>
        <v>1314600</v>
      </c>
      <c r="O2651" s="13">
        <f>$E2651+4</f>
        <v>119</v>
      </c>
      <c r="P2651" s="14">
        <f>IF($J2651=0,0,ROUND(MAX($J2651*1.4*1.5*1.6,3500000*(1.57975^(MIN($E2651,123)-117)))*1,0))</f>
        <v>2103360</v>
      </c>
      <c r="Q2651" s="11">
        <f>$E2651+6</f>
        <v>121</v>
      </c>
      <c r="R2651" s="12">
        <f>IF($J2651=0,0,ROUND(MAX($J2651*1.4*1.5*1.6*1.6,13100000*(1.429962^(MIN($E2651,123)-117)))*1,0))</f>
        <v>6406522</v>
      </c>
      <c r="S2651" s="13">
        <f>$E2651+8</f>
        <v>123</v>
      </c>
      <c r="T2651" s="14">
        <f>IF($J2651=0,0,ROUND(MAX($J2651*1.4*1.5*1.6*1.6*2.2,42600000*(1.576904^(MIN($E2651,123)-117)))*1,0))</f>
        <v>17131646</v>
      </c>
      <c r="U2651" s="11">
        <f>$E2651+11</f>
        <v>126</v>
      </c>
      <c r="V2651" s="12">
        <f>IF($J2651=0,0,ROUND(MAX($J2651*1.4*1.5*1.6*1.6*2.2*2.715,354000000*(1.642074^(MIN($E2651,123)-117)))*1,0))</f>
        <v>131285817</v>
      </c>
      <c r="W2651" s="13">
        <f>$E2651+15</f>
        <v>130</v>
      </c>
      <c r="X2651" s="14">
        <f>IF($J2651=0,0,ROUND(MAX($J2651*1.4*1.5*1.6*1.6*2.2*2.715*2.6,3540000000*(1.579646^(MIN($E2651,123)-117)))*1,0))</f>
        <v>1418677620</v>
      </c>
      <c r="Y2651" s="11">
        <f>$E2651+17</f>
        <v>132</v>
      </c>
      <c r="Z2651" s="12">
        <f>IF($J2651=0,0,ROUND(MAX($J2651*1.4*1.5*1.6*1.6*2.2*2.715*2.6*1.4,6020000000*(1.651178^(MIN($E2651,123)-117)))*1,0))</f>
        <v>2208048987</v>
      </c>
      <c r="AA2651" s="13">
        <f>$E2651+19</f>
        <v>134</v>
      </c>
      <c r="AB2651" s="14">
        <f>IF($J2651=0,0,ROUND(MAX($J2651*1.4*1.5*1.6*1.6*2.2*2.715*2.6*1.4*1.4,8430000000*(1.651435^(MIN($E2651,123)-117)))*1,0))</f>
        <v>3091039859</v>
      </c>
      <c r="AC2651" s="11">
        <f>$E2651+21</f>
        <v>136</v>
      </c>
      <c r="AD2651" s="12">
        <f>IF($J2651=0,0,ROUND(MAX($J2651*1.4*1.5*1.6*1.6*2.2*2.715*2.6*1.4*1.4*1.5,12600000000*(1.652953^(MIN($E2651,123)-117)))*1,0))</f>
        <v>4611577749</v>
      </c>
      <c r="AE2651" s="13">
        <f>$E2651+24</f>
        <v>139</v>
      </c>
      <c r="AF2651" s="14">
        <f>IF($J2651=0,0,ROUND(MAX($J2651*1.4*1.5*1.6*1.6*2.2*2.715*2.6*1.4*1.4*1.5*1.5,18900000000*(1.65331^(MIN($E2651,123)-117)))*1,0))</f>
        <v>6914379606</v>
      </c>
      <c r="AG2651" s="11">
        <f>$E2651+27</f>
        <v>142</v>
      </c>
      <c r="AH2651" s="12">
        <f>IF($J2651=0,0,ROUND(MAX($J2651*1.4*1.5*1.6*1.6*2.2*2.715*2.6*1.4*1.4*1.5*1.5*3.2,60500000000*(1.654288^(MIN($E2651,123)-117)))*1,0))</f>
        <v>22107169230</v>
      </c>
    </row>
    <row r="2652" ht="28" customHeight="1" spans="1:34" x14ac:dyDescent="0.25">
      <c r="A2652">
        <v>2662</v>
      </c>
      <c r="B2652" t="s">
        <v>1173</v>
      </c>
      <c r="C2652" s="10" t="s">
        <v>1533</v>
      </c>
      <c r="D2652" t="s">
        <v>75</v>
      </c>
      <c r="E2652">
        <v>115</v>
      </c>
      <c r="F2652" t="s">
        <v>212</v>
      </c>
      <c r="G2652" t="s">
        <v>185</v>
      </c>
      <c r="H2652">
        <v>27</v>
      </c>
      <c r="I2652" s="11">
        <v>115</v>
      </c>
      <c r="J2652" s="12">
        <v>593000</v>
      </c>
      <c r="K2652" s="13">
        <f>$E2652+1</f>
        <v>116</v>
      </c>
      <c r="L2652" s="14">
        <f>IF($J2652=0,0,ROUND(MAX($J2652*1.4,1620000*(1.497923^(MIN($E2652,123)-117)))*1,0))</f>
        <v>830200</v>
      </c>
      <c r="M2652" s="11">
        <f>$E2652+2</f>
        <v>117</v>
      </c>
      <c r="N2652" s="12">
        <f>IF($J2652=0,0,ROUND(MAX($J2652*1.4*1.5,2190000*(1.580994^(MIN($E2652,123)-117)))*1,0))</f>
        <v>1245300</v>
      </c>
      <c r="O2652" s="13">
        <f>$E2652+4</f>
        <v>119</v>
      </c>
      <c r="P2652" s="14">
        <f>IF($J2652=0,0,ROUND(MAX($J2652*1.4*1.5*1.6,3500000*(1.57975^(MIN($E2652,123)-117)))*1,0))</f>
        <v>1992480</v>
      </c>
      <c r="Q2652" s="11">
        <f>$E2652+6</f>
        <v>121</v>
      </c>
      <c r="R2652" s="12">
        <f>IF($J2652=0,0,ROUND(MAX($J2652*1.4*1.5*1.6*1.6,13100000*(1.429962^(MIN($E2652,123)-117)))*1,0))</f>
        <v>6406522</v>
      </c>
      <c r="S2652" s="13">
        <f>$E2652+8</f>
        <v>123</v>
      </c>
      <c r="T2652" s="14">
        <f>IF($J2652=0,0,ROUND(MAX($J2652*1.4*1.5*1.6*1.6*2.2,42600000*(1.576904^(MIN($E2652,123)-117)))*1,0))</f>
        <v>17131646</v>
      </c>
      <c r="U2652" s="11">
        <f>$E2652+11</f>
        <v>126</v>
      </c>
      <c r="V2652" s="12">
        <f>IF($J2652=0,0,ROUND(MAX($J2652*1.4*1.5*1.6*1.6*2.2*2.715,354000000*(1.642074^(MIN($E2652,123)-117)))*1,0))</f>
        <v>131285817</v>
      </c>
      <c r="W2652" s="13">
        <f>$E2652+15</f>
        <v>130</v>
      </c>
      <c r="X2652" s="14">
        <f>IF($J2652=0,0,ROUND(MAX($J2652*1.4*1.5*1.6*1.6*2.2*2.715*2.6,3540000000*(1.579646^(MIN($E2652,123)-117)))*1,0))</f>
        <v>1418677620</v>
      </c>
      <c r="Y2652" s="11">
        <f>$E2652+17</f>
        <v>132</v>
      </c>
      <c r="Z2652" s="12">
        <f>IF($J2652=0,0,ROUND(MAX($J2652*1.4*1.5*1.6*1.6*2.2*2.715*2.6*1.4,6020000000*(1.651178^(MIN($E2652,123)-117)))*1,0))</f>
        <v>2208048987</v>
      </c>
      <c r="AA2652" s="13">
        <f>$E2652+19</f>
        <v>134</v>
      </c>
      <c r="AB2652" s="14">
        <f>IF($J2652=0,0,ROUND(MAX($J2652*1.4*1.5*1.6*1.6*2.2*2.715*2.6*1.4*1.4,8430000000*(1.651435^(MIN($E2652,123)-117)))*1,0))</f>
        <v>3091039859</v>
      </c>
      <c r="AC2652" s="11">
        <f>$E2652+21</f>
        <v>136</v>
      </c>
      <c r="AD2652" s="12">
        <f>IF($J2652=0,0,ROUND(MAX($J2652*1.4*1.5*1.6*1.6*2.2*2.715*2.6*1.4*1.4*1.5,12600000000*(1.652953^(MIN($E2652,123)-117)))*1,0))</f>
        <v>4611577749</v>
      </c>
      <c r="AE2652" s="13">
        <f>$E2652+24</f>
        <v>139</v>
      </c>
      <c r="AF2652" s="14">
        <f>IF($J2652=0,0,ROUND(MAX($J2652*1.4*1.5*1.6*1.6*2.2*2.715*2.6*1.4*1.4*1.5*1.5,18900000000*(1.65331^(MIN($E2652,123)-117)))*1,0))</f>
        <v>6914379606</v>
      </c>
      <c r="AG2652" s="11">
        <f>$E2652+27</f>
        <v>142</v>
      </c>
      <c r="AH2652" s="12">
        <f>IF($J2652=0,0,ROUND(MAX($J2652*1.4*1.5*1.6*1.6*2.2*2.715*2.6*1.4*1.4*1.5*1.5*3.2,60500000000*(1.654288^(MIN($E2652,123)-117)))*1,0))</f>
        <v>22107169230</v>
      </c>
    </row>
    <row r="2653" ht="28" customHeight="1" spans="1:34" x14ac:dyDescent="0.25">
      <c r="A2653">
        <v>2663</v>
      </c>
      <c r="B2653" t="s">
        <v>690</v>
      </c>
      <c r="C2653" s="10" t="s">
        <v>1533</v>
      </c>
      <c r="D2653" t="s">
        <v>45</v>
      </c>
      <c r="E2653">
        <v>115</v>
      </c>
      <c r="F2653" t="s">
        <v>54</v>
      </c>
      <c r="G2653" t="s">
        <v>1312</v>
      </c>
      <c r="H2653">
        <v>27</v>
      </c>
      <c r="I2653" s="11">
        <v>115</v>
      </c>
      <c r="J2653" s="12">
        <v>514000</v>
      </c>
      <c r="K2653" s="13">
        <f>$E2653+1</f>
        <v>116</v>
      </c>
      <c r="L2653" s="14">
        <f>IF($J2653=0,0,ROUND(MAX($J2653*1.4,1620000*(1.497923^(MIN($E2653,123)-117)))*1,0))</f>
        <v>721998</v>
      </c>
      <c r="M2653" s="11">
        <f>$E2653+2</f>
        <v>117</v>
      </c>
      <c r="N2653" s="12">
        <f>IF($J2653=0,0,ROUND(MAX($J2653*1.4*1.5,2190000*(1.580994^(MIN($E2653,123)-117)))*1,0))</f>
        <v>1079400</v>
      </c>
      <c r="O2653" s="13">
        <f>$E2653+4</f>
        <v>119</v>
      </c>
      <c r="P2653" s="14">
        <f>IF($J2653=0,0,ROUND(MAX($J2653*1.4*1.5*1.6,3500000*(1.57975^(MIN($E2653,123)-117)))*1,0))</f>
        <v>1727040</v>
      </c>
      <c r="Q2653" s="11">
        <f>$E2653+6</f>
        <v>121</v>
      </c>
      <c r="R2653" s="12">
        <f>IF($J2653=0,0,ROUND(MAX($J2653*1.4*1.5*1.6*1.6,13100000*(1.429962^(MIN($E2653,123)-117)))*1,0))</f>
        <v>6406522</v>
      </c>
      <c r="S2653" s="13">
        <f>$E2653+8</f>
        <v>123</v>
      </c>
      <c r="T2653" s="14">
        <f>IF($J2653=0,0,ROUND(MAX($J2653*1.4*1.5*1.6*1.6*2.2,42600000*(1.576904^(MIN($E2653,123)-117)))*1,0))</f>
        <v>17131646</v>
      </c>
      <c r="U2653" s="11">
        <f>$E2653+11</f>
        <v>126</v>
      </c>
      <c r="V2653" s="12">
        <f>IF($J2653=0,0,ROUND(MAX($J2653*1.4*1.5*1.6*1.6*2.2*2.715,354000000*(1.642074^(MIN($E2653,123)-117)))*1,0))</f>
        <v>131285817</v>
      </c>
      <c r="W2653" s="13">
        <f>$E2653+15</f>
        <v>130</v>
      </c>
      <c r="X2653" s="14">
        <f>IF($J2653=0,0,ROUND(MAX($J2653*1.4*1.5*1.6*1.6*2.2*2.715*2.6,3540000000*(1.579646^(MIN($E2653,123)-117)))*1,0))</f>
        <v>1418677620</v>
      </c>
      <c r="Y2653" s="11">
        <f>$E2653+17</f>
        <v>132</v>
      </c>
      <c r="Z2653" s="12">
        <f>IF($J2653=0,0,ROUND(MAX($J2653*1.4*1.5*1.6*1.6*2.2*2.715*2.6*1.4,6020000000*(1.651178^(MIN($E2653,123)-117)))*1,0))</f>
        <v>2208048987</v>
      </c>
      <c r="AA2653" s="13">
        <f>$E2653+19</f>
        <v>134</v>
      </c>
      <c r="AB2653" s="14">
        <f>IF($J2653=0,0,ROUND(MAX($J2653*1.4*1.5*1.6*1.6*2.2*2.715*2.6*1.4*1.4,8430000000*(1.651435^(MIN($E2653,123)-117)))*1,0))</f>
        <v>3091039859</v>
      </c>
      <c r="AC2653" s="11">
        <f>$E2653+21</f>
        <v>136</v>
      </c>
      <c r="AD2653" s="12">
        <f>IF($J2653=0,0,ROUND(MAX($J2653*1.4*1.5*1.6*1.6*2.2*2.715*2.6*1.4*1.4*1.5,12600000000*(1.652953^(MIN($E2653,123)-117)))*1,0))</f>
        <v>4611577749</v>
      </c>
      <c r="AE2653" s="13">
        <f>$E2653+24</f>
        <v>139</v>
      </c>
      <c r="AF2653" s="14">
        <f>IF($J2653=0,0,ROUND(MAX($J2653*1.4*1.5*1.6*1.6*2.2*2.715*2.6*1.4*1.4*1.5*1.5,18900000000*(1.65331^(MIN($E2653,123)-117)))*1,0))</f>
        <v>6914379606</v>
      </c>
      <c r="AG2653" s="11">
        <f>$E2653+27</f>
        <v>142</v>
      </c>
      <c r="AH2653" s="12">
        <f>IF($J2653=0,0,ROUND(MAX($J2653*1.4*1.5*1.6*1.6*2.2*2.715*2.6*1.4*1.4*1.5*1.5*3.2,60500000000*(1.654288^(MIN($E2653,123)-117)))*1,0))</f>
        <v>22107169230</v>
      </c>
    </row>
    <row r="2654" ht="28" customHeight="1" spans="1:34" x14ac:dyDescent="0.25">
      <c r="A2654">
        <v>2664</v>
      </c>
      <c r="B2654" t="s">
        <v>1235</v>
      </c>
      <c r="C2654" s="10" t="s">
        <v>1533</v>
      </c>
      <c r="D2654" t="s">
        <v>79</v>
      </c>
      <c r="E2654">
        <v>115</v>
      </c>
      <c r="F2654" t="s">
        <v>30</v>
      </c>
      <c r="G2654" t="s">
        <v>38</v>
      </c>
      <c r="H2654">
        <v>27</v>
      </c>
      <c r="I2654" s="11">
        <v>115</v>
      </c>
      <c r="J2654" s="12">
        <v>643000</v>
      </c>
      <c r="K2654" s="13">
        <f>$E2654+1</f>
        <v>116</v>
      </c>
      <c r="L2654" s="14">
        <f>IF($J2654=0,0,ROUND(MAX($J2654*1.4,1620000*(1.497923^(MIN($E2654,123)-117)))*1,0))</f>
        <v>900200</v>
      </c>
      <c r="M2654" s="11">
        <f>$E2654+2</f>
        <v>117</v>
      </c>
      <c r="N2654" s="12">
        <f>IF($J2654=0,0,ROUND(MAX($J2654*1.4*1.5,2190000*(1.580994^(MIN($E2654,123)-117)))*1,0))</f>
        <v>1350300</v>
      </c>
      <c r="O2654" s="13">
        <f>$E2654+4</f>
        <v>119</v>
      </c>
      <c r="P2654" s="14">
        <f>IF($J2654=0,0,ROUND(MAX($J2654*1.4*1.5*1.6,3500000*(1.57975^(MIN($E2654,123)-117)))*1,0))</f>
        <v>2160480</v>
      </c>
      <c r="Q2654" s="11">
        <f>$E2654+6</f>
        <v>121</v>
      </c>
      <c r="R2654" s="12">
        <f>IF($J2654=0,0,ROUND(MAX($J2654*1.4*1.5*1.6*1.6,13100000*(1.429962^(MIN($E2654,123)-117)))*1,0))</f>
        <v>6406522</v>
      </c>
      <c r="S2654" s="13">
        <f>$E2654+8</f>
        <v>123</v>
      </c>
      <c r="T2654" s="14">
        <f>IF($J2654=0,0,ROUND(MAX($J2654*1.4*1.5*1.6*1.6*2.2,42600000*(1.576904^(MIN($E2654,123)-117)))*1,0))</f>
        <v>17131646</v>
      </c>
      <c r="U2654" s="11">
        <f>$E2654+11</f>
        <v>126</v>
      </c>
      <c r="V2654" s="12">
        <f>IF($J2654=0,0,ROUND(MAX($J2654*1.4*1.5*1.6*1.6*2.2*2.715,354000000*(1.642074^(MIN($E2654,123)-117)))*1,0))</f>
        <v>131285817</v>
      </c>
      <c r="W2654" s="13">
        <f>$E2654+15</f>
        <v>130</v>
      </c>
      <c r="X2654" s="14">
        <f>IF($J2654=0,0,ROUND(MAX($J2654*1.4*1.5*1.6*1.6*2.2*2.715*2.6,3540000000*(1.579646^(MIN($E2654,123)-117)))*1,0))</f>
        <v>1418677620</v>
      </c>
      <c r="Y2654" s="11">
        <f>$E2654+17</f>
        <v>132</v>
      </c>
      <c r="Z2654" s="12">
        <f>IF($J2654=0,0,ROUND(MAX($J2654*1.4*1.5*1.6*1.6*2.2*2.715*2.6*1.4,6020000000*(1.651178^(MIN($E2654,123)-117)))*1,0))</f>
        <v>2208048987</v>
      </c>
      <c r="AA2654" s="13">
        <f>$E2654+19</f>
        <v>134</v>
      </c>
      <c r="AB2654" s="14">
        <f>IF($J2654=0,0,ROUND(MAX($J2654*1.4*1.5*1.6*1.6*2.2*2.715*2.6*1.4*1.4,8430000000*(1.651435^(MIN($E2654,123)-117)))*1,0))</f>
        <v>3091039859</v>
      </c>
      <c r="AC2654" s="11">
        <f>$E2654+21</f>
        <v>136</v>
      </c>
      <c r="AD2654" s="12">
        <f>IF($J2654=0,0,ROUND(MAX($J2654*1.4*1.5*1.6*1.6*2.2*2.715*2.6*1.4*1.4*1.5,12600000000*(1.652953^(MIN($E2654,123)-117)))*1,0))</f>
        <v>4611577749</v>
      </c>
      <c r="AE2654" s="13">
        <f>$E2654+24</f>
        <v>139</v>
      </c>
      <c r="AF2654" s="14">
        <f>IF($J2654=0,0,ROUND(MAX($J2654*1.4*1.5*1.6*1.6*2.2*2.715*2.6*1.4*1.4*1.5*1.5,18900000000*(1.65331^(MIN($E2654,123)-117)))*1,0))</f>
        <v>6914379606</v>
      </c>
      <c r="AG2654" s="11">
        <f>$E2654+27</f>
        <v>142</v>
      </c>
      <c r="AH2654" s="12">
        <f>IF($J2654=0,0,ROUND(MAX($J2654*1.4*1.5*1.6*1.6*2.2*2.715*2.6*1.4*1.4*1.5*1.5*3.2,60500000000*(1.654288^(MIN($E2654,123)-117)))*1,0))</f>
        <v>22107169230</v>
      </c>
    </row>
    <row r="2655" ht="28" customHeight="1" spans="1:34" x14ac:dyDescent="0.25">
      <c r="A2655">
        <v>2665</v>
      </c>
      <c r="B2655" t="s">
        <v>330</v>
      </c>
      <c r="C2655" s="10" t="s">
        <v>1533</v>
      </c>
      <c r="D2655" t="s">
        <v>64</v>
      </c>
      <c r="E2655">
        <v>115</v>
      </c>
      <c r="F2655" t="s">
        <v>310</v>
      </c>
      <c r="G2655" t="s">
        <v>51</v>
      </c>
      <c r="H2655">
        <v>27</v>
      </c>
      <c r="I2655" s="11">
        <v>115</v>
      </c>
      <c r="J2655" s="12">
        <v>488000</v>
      </c>
      <c r="K2655" s="13">
        <f>$E2655+1</f>
        <v>116</v>
      </c>
      <c r="L2655" s="14">
        <f>IF($J2655=0,0,ROUND(MAX($J2655*1.4,1620000*(1.497923^(MIN($E2655,123)-117)))*1,0))</f>
        <v>721998</v>
      </c>
      <c r="M2655" s="11">
        <f>$E2655+2</f>
        <v>117</v>
      </c>
      <c r="N2655" s="12">
        <f>IF($J2655=0,0,ROUND(MAX($J2655*1.4*1.5,2190000*(1.580994^(MIN($E2655,123)-117)))*1,0))</f>
        <v>1024800</v>
      </c>
      <c r="O2655" s="13">
        <f>$E2655+4</f>
        <v>119</v>
      </c>
      <c r="P2655" s="14">
        <f>IF($J2655=0,0,ROUND(MAX($J2655*1.4*1.5*1.6,3500000*(1.57975^(MIN($E2655,123)-117)))*1,0))</f>
        <v>1639680</v>
      </c>
      <c r="Q2655" s="11">
        <f>$E2655+6</f>
        <v>121</v>
      </c>
      <c r="R2655" s="12">
        <f>IF($J2655=0,0,ROUND(MAX($J2655*1.4*1.5*1.6*1.6,13100000*(1.429962^(MIN($E2655,123)-117)))*1,0))</f>
        <v>6406522</v>
      </c>
      <c r="S2655" s="13">
        <f>$E2655+8</f>
        <v>123</v>
      </c>
      <c r="T2655" s="14">
        <f>IF($J2655=0,0,ROUND(MAX($J2655*1.4*1.5*1.6*1.6*2.2,42600000*(1.576904^(MIN($E2655,123)-117)))*1,0))</f>
        <v>17131646</v>
      </c>
      <c r="U2655" s="11">
        <f>$E2655+11</f>
        <v>126</v>
      </c>
      <c r="V2655" s="12">
        <f>IF($J2655=0,0,ROUND(MAX($J2655*1.4*1.5*1.6*1.6*2.2*2.715,354000000*(1.642074^(MIN($E2655,123)-117)))*1,0))</f>
        <v>131285817</v>
      </c>
      <c r="W2655" s="13">
        <f>$E2655+15</f>
        <v>130</v>
      </c>
      <c r="X2655" s="14">
        <f>IF($J2655=0,0,ROUND(MAX($J2655*1.4*1.5*1.6*1.6*2.2*2.715*2.6,3540000000*(1.579646^(MIN($E2655,123)-117)))*1,0))</f>
        <v>1418677620</v>
      </c>
      <c r="Y2655" s="11">
        <f>$E2655+17</f>
        <v>132</v>
      </c>
      <c r="Z2655" s="12">
        <f>IF($J2655=0,0,ROUND(MAX($J2655*1.4*1.5*1.6*1.6*2.2*2.715*2.6*1.4,6020000000*(1.651178^(MIN($E2655,123)-117)))*1,0))</f>
        <v>2208048987</v>
      </c>
      <c r="AA2655" s="13">
        <f>$E2655+19</f>
        <v>134</v>
      </c>
      <c r="AB2655" s="14">
        <f>IF($J2655=0,0,ROUND(MAX($J2655*1.4*1.5*1.6*1.6*2.2*2.715*2.6*1.4*1.4,8430000000*(1.651435^(MIN($E2655,123)-117)))*1,0))</f>
        <v>3091039859</v>
      </c>
      <c r="AC2655" s="11">
        <f>$E2655+21</f>
        <v>136</v>
      </c>
      <c r="AD2655" s="12">
        <f>IF($J2655=0,0,ROUND(MAX($J2655*1.4*1.5*1.6*1.6*2.2*2.715*2.6*1.4*1.4*1.5,12600000000*(1.652953^(MIN($E2655,123)-117)))*1,0))</f>
        <v>4611577749</v>
      </c>
      <c r="AE2655" s="13">
        <f>$E2655+24</f>
        <v>139</v>
      </c>
      <c r="AF2655" s="14">
        <f>IF($J2655=0,0,ROUND(MAX($J2655*1.4*1.5*1.6*1.6*2.2*2.715*2.6*1.4*1.4*1.5*1.5,18900000000*(1.65331^(MIN($E2655,123)-117)))*1,0))</f>
        <v>6914379606</v>
      </c>
      <c r="AG2655" s="11">
        <f>$E2655+27</f>
        <v>142</v>
      </c>
      <c r="AH2655" s="12">
        <f>IF($J2655=0,0,ROUND(MAX($J2655*1.4*1.5*1.6*1.6*2.2*2.715*2.6*1.4*1.4*1.5*1.5*3.2,60500000000*(1.654288^(MIN($E2655,123)-117)))*1,0))</f>
        <v>22107169230</v>
      </c>
    </row>
    <row r="2656" ht="28" customHeight="1" spans="1:34" x14ac:dyDescent="0.25">
      <c r="A2656">
        <v>2666</v>
      </c>
      <c r="B2656" t="s">
        <v>1579</v>
      </c>
      <c r="C2656" s="10" t="s">
        <v>1533</v>
      </c>
      <c r="D2656" t="s">
        <v>64</v>
      </c>
      <c r="E2656">
        <v>115</v>
      </c>
      <c r="F2656" t="s">
        <v>237</v>
      </c>
      <c r="G2656" t="s">
        <v>562</v>
      </c>
      <c r="H2656">
        <v>27</v>
      </c>
      <c r="I2656" s="11">
        <v>115</v>
      </c>
      <c r="J2656" s="12">
        <v>491000</v>
      </c>
      <c r="K2656" s="13">
        <f>$E2656+1</f>
        <v>116</v>
      </c>
      <c r="L2656" s="14">
        <f>IF($J2656=0,0,ROUND(MAX($J2656*1.4,1620000*(1.497923^(MIN($E2656,123)-117)))*1,0))</f>
        <v>721998</v>
      </c>
      <c r="M2656" s="11">
        <f>$E2656+2</f>
        <v>117</v>
      </c>
      <c r="N2656" s="12">
        <f>IF($J2656=0,0,ROUND(MAX($J2656*1.4*1.5,2190000*(1.580994^(MIN($E2656,123)-117)))*1,0))</f>
        <v>1031100</v>
      </c>
      <c r="O2656" s="13">
        <f>$E2656+4</f>
        <v>119</v>
      </c>
      <c r="P2656" s="14">
        <f>IF($J2656=0,0,ROUND(MAX($J2656*1.4*1.5*1.6,3500000*(1.57975^(MIN($E2656,123)-117)))*1,0))</f>
        <v>1649760</v>
      </c>
      <c r="Q2656" s="11">
        <f>$E2656+6</f>
        <v>121</v>
      </c>
      <c r="R2656" s="12">
        <f>IF($J2656=0,0,ROUND(MAX($J2656*1.4*1.5*1.6*1.6,13100000*(1.429962^(MIN($E2656,123)-117)))*1,0))</f>
        <v>6406522</v>
      </c>
      <c r="S2656" s="13">
        <f>$E2656+8</f>
        <v>123</v>
      </c>
      <c r="T2656" s="14">
        <f>IF($J2656=0,0,ROUND(MAX($J2656*1.4*1.5*1.6*1.6*2.2,42600000*(1.576904^(MIN($E2656,123)-117)))*1,0))</f>
        <v>17131646</v>
      </c>
      <c r="U2656" s="11">
        <f>$E2656+11</f>
        <v>126</v>
      </c>
      <c r="V2656" s="12">
        <f>IF($J2656=0,0,ROUND(MAX($J2656*1.4*1.5*1.6*1.6*2.2*2.715,354000000*(1.642074^(MIN($E2656,123)-117)))*1,0))</f>
        <v>131285817</v>
      </c>
      <c r="W2656" s="13">
        <f>$E2656+15</f>
        <v>130</v>
      </c>
      <c r="X2656" s="14">
        <f>IF($J2656=0,0,ROUND(MAX($J2656*1.4*1.5*1.6*1.6*2.2*2.715*2.6,3540000000*(1.579646^(MIN($E2656,123)-117)))*1,0))</f>
        <v>1418677620</v>
      </c>
      <c r="Y2656" s="11">
        <f>$E2656+17</f>
        <v>132</v>
      </c>
      <c r="Z2656" s="12">
        <f>IF($J2656=0,0,ROUND(MAX($J2656*1.4*1.5*1.6*1.6*2.2*2.715*2.6*1.4,6020000000*(1.651178^(MIN($E2656,123)-117)))*1,0))</f>
        <v>2208048987</v>
      </c>
      <c r="AA2656" s="13">
        <f>$E2656+19</f>
        <v>134</v>
      </c>
      <c r="AB2656" s="14">
        <f>IF($J2656=0,0,ROUND(MAX($J2656*1.4*1.5*1.6*1.6*2.2*2.715*2.6*1.4*1.4,8430000000*(1.651435^(MIN($E2656,123)-117)))*1,0))</f>
        <v>3091039859</v>
      </c>
      <c r="AC2656" s="11">
        <f>$E2656+21</f>
        <v>136</v>
      </c>
      <c r="AD2656" s="12">
        <f>IF($J2656=0,0,ROUND(MAX($J2656*1.4*1.5*1.6*1.6*2.2*2.715*2.6*1.4*1.4*1.5,12600000000*(1.652953^(MIN($E2656,123)-117)))*1,0))</f>
        <v>4611577749</v>
      </c>
      <c r="AE2656" s="13">
        <f>$E2656+24</f>
        <v>139</v>
      </c>
      <c r="AF2656" s="14">
        <f>IF($J2656=0,0,ROUND(MAX($J2656*1.4*1.5*1.6*1.6*2.2*2.715*2.6*1.4*1.4*1.5*1.5,18900000000*(1.65331^(MIN($E2656,123)-117)))*1,0))</f>
        <v>6914379606</v>
      </c>
      <c r="AG2656" s="11">
        <f>$E2656+27</f>
        <v>142</v>
      </c>
      <c r="AH2656" s="12">
        <f>IF($J2656=0,0,ROUND(MAX($J2656*1.4*1.5*1.6*1.6*2.2*2.715*2.6*1.4*1.4*1.5*1.5*3.2,60500000000*(1.654288^(MIN($E2656,123)-117)))*1,0))</f>
        <v>22107169230</v>
      </c>
    </row>
    <row r="2657" ht="28" customHeight="1" spans="1:34" x14ac:dyDescent="0.25">
      <c r="A2657">
        <v>2667</v>
      </c>
      <c r="B2657" t="s">
        <v>1580</v>
      </c>
      <c r="C2657" s="10" t="s">
        <v>1533</v>
      </c>
      <c r="D2657" t="s">
        <v>102</v>
      </c>
      <c r="E2657">
        <v>115</v>
      </c>
      <c r="F2657" t="s">
        <v>108</v>
      </c>
      <c r="G2657" t="s">
        <v>784</v>
      </c>
      <c r="H2657">
        <v>27</v>
      </c>
      <c r="I2657" s="11">
        <v>115</v>
      </c>
      <c r="J2657" s="12">
        <v>520000</v>
      </c>
      <c r="K2657" s="13">
        <f>$E2657+1</f>
        <v>116</v>
      </c>
      <c r="L2657" s="14">
        <f>IF($J2657=0,0,ROUND(MAX($J2657*1.4,1620000*(1.497923^(MIN($E2657,123)-117)))*1,0))</f>
        <v>728000</v>
      </c>
      <c r="M2657" s="11">
        <f>$E2657+2</f>
        <v>117</v>
      </c>
      <c r="N2657" s="12">
        <f>IF($J2657=0,0,ROUND(MAX($J2657*1.4*1.5,2190000*(1.580994^(MIN($E2657,123)-117)))*1,0))</f>
        <v>1092000</v>
      </c>
      <c r="O2657" s="13">
        <f>$E2657+4</f>
        <v>119</v>
      </c>
      <c r="P2657" s="14">
        <f>IF($J2657=0,0,ROUND(MAX($J2657*1.4*1.5*1.6,3500000*(1.57975^(MIN($E2657,123)-117)))*1,0))</f>
        <v>1747200</v>
      </c>
      <c r="Q2657" s="11">
        <f>$E2657+6</f>
        <v>121</v>
      </c>
      <c r="R2657" s="12">
        <f>IF($J2657=0,0,ROUND(MAX($J2657*1.4*1.5*1.6*1.6,13100000*(1.429962^(MIN($E2657,123)-117)))*1,0))</f>
        <v>6406522</v>
      </c>
      <c r="S2657" s="13">
        <f>$E2657+8</f>
        <v>123</v>
      </c>
      <c r="T2657" s="14">
        <f>IF($J2657=0,0,ROUND(MAX($J2657*1.4*1.5*1.6*1.6*2.2,42600000*(1.576904^(MIN($E2657,123)-117)))*1,0))</f>
        <v>17131646</v>
      </c>
      <c r="U2657" s="11">
        <f>$E2657+11</f>
        <v>126</v>
      </c>
      <c r="V2657" s="12">
        <f>IF($J2657=0,0,ROUND(MAX($J2657*1.4*1.5*1.6*1.6*2.2*2.715,354000000*(1.642074^(MIN($E2657,123)-117)))*1,0))</f>
        <v>131285817</v>
      </c>
      <c r="W2657" s="13">
        <f>$E2657+15</f>
        <v>130</v>
      </c>
      <c r="X2657" s="14">
        <f>IF($J2657=0,0,ROUND(MAX($J2657*1.4*1.5*1.6*1.6*2.2*2.715*2.6,3540000000*(1.579646^(MIN($E2657,123)-117)))*1,0))</f>
        <v>1418677620</v>
      </c>
      <c r="Y2657" s="11">
        <f>$E2657+17</f>
        <v>132</v>
      </c>
      <c r="Z2657" s="12">
        <f>IF($J2657=0,0,ROUND(MAX($J2657*1.4*1.5*1.6*1.6*2.2*2.715*2.6*1.4,6020000000*(1.651178^(MIN($E2657,123)-117)))*1,0))</f>
        <v>2208048987</v>
      </c>
      <c r="AA2657" s="13">
        <f>$E2657+19</f>
        <v>134</v>
      </c>
      <c r="AB2657" s="14">
        <f>IF($J2657=0,0,ROUND(MAX($J2657*1.4*1.5*1.6*1.6*2.2*2.715*2.6*1.4*1.4,8430000000*(1.651435^(MIN($E2657,123)-117)))*1,0))</f>
        <v>3091039859</v>
      </c>
      <c r="AC2657" s="11">
        <f>$E2657+21</f>
        <v>136</v>
      </c>
      <c r="AD2657" s="12">
        <f>IF($J2657=0,0,ROUND(MAX($J2657*1.4*1.5*1.6*1.6*2.2*2.715*2.6*1.4*1.4*1.5,12600000000*(1.652953^(MIN($E2657,123)-117)))*1,0))</f>
        <v>4611577749</v>
      </c>
      <c r="AE2657" s="13">
        <f>$E2657+24</f>
        <v>139</v>
      </c>
      <c r="AF2657" s="14">
        <f>IF($J2657=0,0,ROUND(MAX($J2657*1.4*1.5*1.6*1.6*2.2*2.715*2.6*1.4*1.4*1.5*1.5,18900000000*(1.65331^(MIN($E2657,123)-117)))*1,0))</f>
        <v>6914379606</v>
      </c>
      <c r="AG2657" s="11">
        <f>$E2657+27</f>
        <v>142</v>
      </c>
      <c r="AH2657" s="12">
        <f>IF($J2657=0,0,ROUND(MAX($J2657*1.4*1.5*1.6*1.6*2.2*2.715*2.6*1.4*1.4*1.5*1.5*3.2,60500000000*(1.654288^(MIN($E2657,123)-117)))*1,0))</f>
        <v>22107169230</v>
      </c>
    </row>
    <row r="2658" ht="28" customHeight="1" spans="1:34" x14ac:dyDescent="0.25">
      <c r="A2658">
        <v>2668</v>
      </c>
      <c r="B2658" t="s">
        <v>1402</v>
      </c>
      <c r="C2658" s="10" t="s">
        <v>1533</v>
      </c>
      <c r="D2658" t="s">
        <v>33</v>
      </c>
      <c r="E2658">
        <v>115</v>
      </c>
      <c r="F2658" t="s">
        <v>237</v>
      </c>
      <c r="G2658" t="s">
        <v>565</v>
      </c>
      <c r="H2658">
        <v>27</v>
      </c>
      <c r="I2658" s="11">
        <v>115</v>
      </c>
      <c r="J2658" s="12">
        <v>554000</v>
      </c>
      <c r="K2658" s="13">
        <f>$E2658+1</f>
        <v>116</v>
      </c>
      <c r="L2658" s="14">
        <f>IF($J2658=0,0,ROUND(MAX($J2658*1.4,1620000*(1.497923^(MIN($E2658,123)-117)))*1,0))</f>
        <v>775600</v>
      </c>
      <c r="M2658" s="11">
        <f>$E2658+2</f>
        <v>117</v>
      </c>
      <c r="N2658" s="12">
        <f>IF($J2658=0,0,ROUND(MAX($J2658*1.4*1.5,2190000*(1.580994^(MIN($E2658,123)-117)))*1,0))</f>
        <v>1163400</v>
      </c>
      <c r="O2658" s="13">
        <f>$E2658+4</f>
        <v>119</v>
      </c>
      <c r="P2658" s="14">
        <f>IF($J2658=0,0,ROUND(MAX($J2658*1.4*1.5*1.6,3500000*(1.57975^(MIN($E2658,123)-117)))*1,0))</f>
        <v>1861440</v>
      </c>
      <c r="Q2658" s="11">
        <f>$E2658+6</f>
        <v>121</v>
      </c>
      <c r="R2658" s="12">
        <f>IF($J2658=0,0,ROUND(MAX($J2658*1.4*1.5*1.6*1.6,13100000*(1.429962^(MIN($E2658,123)-117)))*1,0))</f>
        <v>6406522</v>
      </c>
      <c r="S2658" s="13">
        <f>$E2658+8</f>
        <v>123</v>
      </c>
      <c r="T2658" s="14">
        <f>IF($J2658=0,0,ROUND(MAX($J2658*1.4*1.5*1.6*1.6*2.2,42600000*(1.576904^(MIN($E2658,123)-117)))*1,0))</f>
        <v>17131646</v>
      </c>
      <c r="U2658" s="11">
        <f>$E2658+11</f>
        <v>126</v>
      </c>
      <c r="V2658" s="12">
        <f>IF($J2658=0,0,ROUND(MAX($J2658*1.4*1.5*1.6*1.6*2.2*2.715,354000000*(1.642074^(MIN($E2658,123)-117)))*1,0))</f>
        <v>131285817</v>
      </c>
      <c r="W2658" s="13">
        <f>$E2658+15</f>
        <v>130</v>
      </c>
      <c r="X2658" s="14">
        <f>IF($J2658=0,0,ROUND(MAX($J2658*1.4*1.5*1.6*1.6*2.2*2.715*2.6,3540000000*(1.579646^(MIN($E2658,123)-117)))*1,0))</f>
        <v>1418677620</v>
      </c>
      <c r="Y2658" s="11">
        <f>$E2658+17</f>
        <v>132</v>
      </c>
      <c r="Z2658" s="12">
        <f>IF($J2658=0,0,ROUND(MAX($J2658*1.4*1.5*1.6*1.6*2.2*2.715*2.6*1.4,6020000000*(1.651178^(MIN($E2658,123)-117)))*1,0))</f>
        <v>2208048987</v>
      </c>
      <c r="AA2658" s="13">
        <f>$E2658+19</f>
        <v>134</v>
      </c>
      <c r="AB2658" s="14">
        <f>IF($J2658=0,0,ROUND(MAX($J2658*1.4*1.5*1.6*1.6*2.2*2.715*2.6*1.4*1.4,8430000000*(1.651435^(MIN($E2658,123)-117)))*1,0))</f>
        <v>3091039859</v>
      </c>
      <c r="AC2658" s="11">
        <f>$E2658+21</f>
        <v>136</v>
      </c>
      <c r="AD2658" s="12">
        <f>IF($J2658=0,0,ROUND(MAX($J2658*1.4*1.5*1.6*1.6*2.2*2.715*2.6*1.4*1.4*1.5,12600000000*(1.652953^(MIN($E2658,123)-117)))*1,0))</f>
        <v>4611577749</v>
      </c>
      <c r="AE2658" s="13">
        <f>$E2658+24</f>
        <v>139</v>
      </c>
      <c r="AF2658" s="14">
        <f>IF($J2658=0,0,ROUND(MAX($J2658*1.4*1.5*1.6*1.6*2.2*2.715*2.6*1.4*1.4*1.5*1.5,18900000000*(1.65331^(MIN($E2658,123)-117)))*1,0))</f>
        <v>6914379606</v>
      </c>
      <c r="AG2658" s="11">
        <f>$E2658+27</f>
        <v>142</v>
      </c>
      <c r="AH2658" s="12">
        <f>IF($J2658=0,0,ROUND(MAX($J2658*1.4*1.5*1.6*1.6*2.2*2.715*2.6*1.4*1.4*1.5*1.5*3.2,60500000000*(1.654288^(MIN($E2658,123)-117)))*1,0))</f>
        <v>22107169230</v>
      </c>
    </row>
    <row r="2659" ht="28" customHeight="1" spans="1:34" x14ac:dyDescent="0.25">
      <c r="A2659">
        <v>2669</v>
      </c>
      <c r="B2659" t="s">
        <v>702</v>
      </c>
      <c r="C2659" s="10" t="s">
        <v>1533</v>
      </c>
      <c r="D2659" t="s">
        <v>45</v>
      </c>
      <c r="E2659">
        <v>115</v>
      </c>
      <c r="F2659" t="s">
        <v>97</v>
      </c>
      <c r="G2659" t="s">
        <v>351</v>
      </c>
      <c r="H2659">
        <v>27</v>
      </c>
      <c r="I2659" s="11">
        <v>115</v>
      </c>
      <c r="J2659" s="12">
        <v>502000</v>
      </c>
      <c r="K2659" s="13">
        <f>$E2659+1</f>
        <v>116</v>
      </c>
      <c r="L2659" s="14">
        <f>IF($J2659=0,0,ROUND(MAX($J2659*1.4,1620000*(1.497923^(MIN($E2659,123)-117)))*1,0))</f>
        <v>721998</v>
      </c>
      <c r="M2659" s="11">
        <f>$E2659+2</f>
        <v>117</v>
      </c>
      <c r="N2659" s="12">
        <f>IF($J2659=0,0,ROUND(MAX($J2659*1.4*1.5,2190000*(1.580994^(MIN($E2659,123)-117)))*1,0))</f>
        <v>1054200</v>
      </c>
      <c r="O2659" s="13">
        <f>$E2659+4</f>
        <v>119</v>
      </c>
      <c r="P2659" s="14">
        <f>IF($J2659=0,0,ROUND(MAX($J2659*1.4*1.5*1.6,3500000*(1.57975^(MIN($E2659,123)-117)))*1,0))</f>
        <v>1686720</v>
      </c>
      <c r="Q2659" s="11">
        <f>$E2659+6</f>
        <v>121</v>
      </c>
      <c r="R2659" s="12">
        <f>IF($J2659=0,0,ROUND(MAX($J2659*1.4*1.5*1.6*1.6,13100000*(1.429962^(MIN($E2659,123)-117)))*1,0))</f>
        <v>6406522</v>
      </c>
      <c r="S2659" s="13">
        <f>$E2659+8</f>
        <v>123</v>
      </c>
      <c r="T2659" s="14">
        <f>IF($J2659=0,0,ROUND(MAX($J2659*1.4*1.5*1.6*1.6*2.2,42600000*(1.576904^(MIN($E2659,123)-117)))*1,0))</f>
        <v>17131646</v>
      </c>
      <c r="U2659" s="11">
        <f>$E2659+11</f>
        <v>126</v>
      </c>
      <c r="V2659" s="12">
        <f>IF($J2659=0,0,ROUND(MAX($J2659*1.4*1.5*1.6*1.6*2.2*2.715,354000000*(1.642074^(MIN($E2659,123)-117)))*1,0))</f>
        <v>131285817</v>
      </c>
      <c r="W2659" s="13">
        <f>$E2659+15</f>
        <v>130</v>
      </c>
      <c r="X2659" s="14">
        <f>IF($J2659=0,0,ROUND(MAX($J2659*1.4*1.5*1.6*1.6*2.2*2.715*2.6,3540000000*(1.579646^(MIN($E2659,123)-117)))*1,0))</f>
        <v>1418677620</v>
      </c>
      <c r="Y2659" s="11">
        <f>$E2659+17</f>
        <v>132</v>
      </c>
      <c r="Z2659" s="12">
        <f>IF($J2659=0,0,ROUND(MAX($J2659*1.4*1.5*1.6*1.6*2.2*2.715*2.6*1.4,6020000000*(1.651178^(MIN($E2659,123)-117)))*1,0))</f>
        <v>2208048987</v>
      </c>
      <c r="AA2659" s="13">
        <f>$E2659+19</f>
        <v>134</v>
      </c>
      <c r="AB2659" s="14">
        <f>IF($J2659=0,0,ROUND(MAX($J2659*1.4*1.5*1.6*1.6*2.2*2.715*2.6*1.4*1.4,8430000000*(1.651435^(MIN($E2659,123)-117)))*1,0))</f>
        <v>3091039859</v>
      </c>
      <c r="AC2659" s="11">
        <f>$E2659+21</f>
        <v>136</v>
      </c>
      <c r="AD2659" s="12">
        <f>IF($J2659=0,0,ROUND(MAX($J2659*1.4*1.5*1.6*1.6*2.2*2.715*2.6*1.4*1.4*1.5,12600000000*(1.652953^(MIN($E2659,123)-117)))*1,0))</f>
        <v>4611577749</v>
      </c>
      <c r="AE2659" s="13">
        <f>$E2659+24</f>
        <v>139</v>
      </c>
      <c r="AF2659" s="14">
        <f>IF($J2659=0,0,ROUND(MAX($J2659*1.4*1.5*1.6*1.6*2.2*2.715*2.6*1.4*1.4*1.5*1.5,18900000000*(1.65331^(MIN($E2659,123)-117)))*1,0))</f>
        <v>6914379606</v>
      </c>
      <c r="AG2659" s="11">
        <f>$E2659+27</f>
        <v>142</v>
      </c>
      <c r="AH2659" s="12">
        <f>IF($J2659=0,0,ROUND(MAX($J2659*1.4*1.5*1.6*1.6*2.2*2.715*2.6*1.4*1.4*1.5*1.5*3.2,60500000000*(1.654288^(MIN($E2659,123)-117)))*1,0))</f>
        <v>22107169230</v>
      </c>
    </row>
    <row r="2660" ht="28" customHeight="1" spans="1:34" x14ac:dyDescent="0.25">
      <c r="A2660">
        <v>2670</v>
      </c>
      <c r="B2660" t="s">
        <v>566</v>
      </c>
      <c r="C2660" s="10" t="s">
        <v>1533</v>
      </c>
      <c r="D2660" t="s">
        <v>33</v>
      </c>
      <c r="E2660">
        <v>115</v>
      </c>
      <c r="F2660" t="s">
        <v>108</v>
      </c>
      <c r="G2660" t="s">
        <v>562</v>
      </c>
      <c r="H2660">
        <v>27</v>
      </c>
      <c r="I2660" s="11">
        <v>115</v>
      </c>
      <c r="J2660" s="12">
        <v>515000</v>
      </c>
      <c r="K2660" s="13">
        <f>$E2660+1</f>
        <v>116</v>
      </c>
      <c r="L2660" s="14">
        <f>IF($J2660=0,0,ROUND(MAX($J2660*1.4,1620000*(1.497923^(MIN($E2660,123)-117)))*1,0))</f>
        <v>721998</v>
      </c>
      <c r="M2660" s="11">
        <f>$E2660+2</f>
        <v>117</v>
      </c>
      <c r="N2660" s="12">
        <f>IF($J2660=0,0,ROUND(MAX($J2660*1.4*1.5,2190000*(1.580994^(MIN($E2660,123)-117)))*1,0))</f>
        <v>1081500</v>
      </c>
      <c r="O2660" s="13">
        <f>$E2660+4</f>
        <v>119</v>
      </c>
      <c r="P2660" s="14">
        <f>IF($J2660=0,0,ROUND(MAX($J2660*1.4*1.5*1.6,3500000*(1.57975^(MIN($E2660,123)-117)))*1,0))</f>
        <v>1730400</v>
      </c>
      <c r="Q2660" s="11">
        <f>$E2660+6</f>
        <v>121</v>
      </c>
      <c r="R2660" s="12">
        <f>IF($J2660=0,0,ROUND(MAX($J2660*1.4*1.5*1.6*1.6,13100000*(1.429962^(MIN($E2660,123)-117)))*1,0))</f>
        <v>6406522</v>
      </c>
      <c r="S2660" s="13">
        <f>$E2660+8</f>
        <v>123</v>
      </c>
      <c r="T2660" s="14">
        <f>IF($J2660=0,0,ROUND(MAX($J2660*1.4*1.5*1.6*1.6*2.2,42600000*(1.576904^(MIN($E2660,123)-117)))*1,0))</f>
        <v>17131646</v>
      </c>
      <c r="U2660" s="11">
        <f>$E2660+11</f>
        <v>126</v>
      </c>
      <c r="V2660" s="12">
        <f>IF($J2660=0,0,ROUND(MAX($J2660*1.4*1.5*1.6*1.6*2.2*2.715,354000000*(1.642074^(MIN($E2660,123)-117)))*1,0))</f>
        <v>131285817</v>
      </c>
      <c r="W2660" s="13">
        <f>$E2660+15</f>
        <v>130</v>
      </c>
      <c r="X2660" s="14">
        <f>IF($J2660=0,0,ROUND(MAX($J2660*1.4*1.5*1.6*1.6*2.2*2.715*2.6,3540000000*(1.579646^(MIN($E2660,123)-117)))*1,0))</f>
        <v>1418677620</v>
      </c>
      <c r="Y2660" s="11">
        <f>$E2660+17</f>
        <v>132</v>
      </c>
      <c r="Z2660" s="12">
        <f>IF($J2660=0,0,ROUND(MAX($J2660*1.4*1.5*1.6*1.6*2.2*2.715*2.6*1.4,6020000000*(1.651178^(MIN($E2660,123)-117)))*1,0))</f>
        <v>2208048987</v>
      </c>
      <c r="AA2660" s="13">
        <f>$E2660+19</f>
        <v>134</v>
      </c>
      <c r="AB2660" s="14">
        <f>IF($J2660=0,0,ROUND(MAX($J2660*1.4*1.5*1.6*1.6*2.2*2.715*2.6*1.4*1.4,8430000000*(1.651435^(MIN($E2660,123)-117)))*1,0))</f>
        <v>3091039859</v>
      </c>
      <c r="AC2660" s="11">
        <f>$E2660+21</f>
        <v>136</v>
      </c>
      <c r="AD2660" s="12">
        <f>IF($J2660=0,0,ROUND(MAX($J2660*1.4*1.5*1.6*1.6*2.2*2.715*2.6*1.4*1.4*1.5,12600000000*(1.652953^(MIN($E2660,123)-117)))*1,0))</f>
        <v>4611577749</v>
      </c>
      <c r="AE2660" s="13">
        <f>$E2660+24</f>
        <v>139</v>
      </c>
      <c r="AF2660" s="14">
        <f>IF($J2660=0,0,ROUND(MAX($J2660*1.4*1.5*1.6*1.6*2.2*2.715*2.6*1.4*1.4*1.5*1.5,18900000000*(1.65331^(MIN($E2660,123)-117)))*1,0))</f>
        <v>6914379606</v>
      </c>
      <c r="AG2660" s="11">
        <f>$E2660+27</f>
        <v>142</v>
      </c>
      <c r="AH2660" s="12">
        <f>IF($J2660=0,0,ROUND(MAX($J2660*1.4*1.5*1.6*1.6*2.2*2.715*2.6*1.4*1.4*1.5*1.5*3.2,60500000000*(1.654288^(MIN($E2660,123)-117)))*1,0))</f>
        <v>22107169230</v>
      </c>
    </row>
    <row r="2661" ht="28" customHeight="1" spans="1:34" x14ac:dyDescent="0.25">
      <c r="A2661">
        <v>2671</v>
      </c>
      <c r="B2661" t="s">
        <v>1581</v>
      </c>
      <c r="C2661" s="10" t="s">
        <v>1533</v>
      </c>
      <c r="D2661" t="s">
        <v>90</v>
      </c>
      <c r="E2661">
        <v>115</v>
      </c>
      <c r="F2661" t="s">
        <v>400</v>
      </c>
      <c r="G2661" t="s">
        <v>35</v>
      </c>
      <c r="H2661">
        <v>27</v>
      </c>
      <c r="I2661" s="11">
        <v>115</v>
      </c>
      <c r="J2661" s="12">
        <v>504000</v>
      </c>
      <c r="K2661" s="13">
        <f>$E2661+1</f>
        <v>116</v>
      </c>
      <c r="L2661" s="14">
        <f>IF($J2661=0,0,ROUND(MAX($J2661*1.4,1620000*(1.497923^(MIN($E2661,123)-117)))*1,0))</f>
        <v>721998</v>
      </c>
      <c r="M2661" s="11">
        <f>$E2661+2</f>
        <v>117</v>
      </c>
      <c r="N2661" s="12">
        <f>IF($J2661=0,0,ROUND(MAX($J2661*1.4*1.5,2190000*(1.580994^(MIN($E2661,123)-117)))*1,0))</f>
        <v>1058400</v>
      </c>
      <c r="O2661" s="13">
        <f>$E2661+4</f>
        <v>119</v>
      </c>
      <c r="P2661" s="14">
        <f>IF($J2661=0,0,ROUND(MAX($J2661*1.4*1.5*1.6,3500000*(1.57975^(MIN($E2661,123)-117)))*1,0))</f>
        <v>1693440</v>
      </c>
      <c r="Q2661" s="11">
        <f>$E2661+6</f>
        <v>121</v>
      </c>
      <c r="R2661" s="12">
        <f>IF($J2661=0,0,ROUND(MAX($J2661*1.4*1.5*1.6*1.6,13100000*(1.429962^(MIN($E2661,123)-117)))*1,0))</f>
        <v>6406522</v>
      </c>
      <c r="S2661" s="13">
        <f>$E2661+8</f>
        <v>123</v>
      </c>
      <c r="T2661" s="14">
        <f>IF($J2661=0,0,ROUND(MAX($J2661*1.4*1.5*1.6*1.6*2.2,42600000*(1.576904^(MIN($E2661,123)-117)))*1,0))</f>
        <v>17131646</v>
      </c>
      <c r="U2661" s="11">
        <f>$E2661+11</f>
        <v>126</v>
      </c>
      <c r="V2661" s="12">
        <f>IF($J2661=0,0,ROUND(MAX($J2661*1.4*1.5*1.6*1.6*2.2*2.715,354000000*(1.642074^(MIN($E2661,123)-117)))*1,0))</f>
        <v>131285817</v>
      </c>
      <c r="W2661" s="13">
        <f>$E2661+15</f>
        <v>130</v>
      </c>
      <c r="X2661" s="14">
        <f>IF($J2661=0,0,ROUND(MAX($J2661*1.4*1.5*1.6*1.6*2.2*2.715*2.6,3540000000*(1.579646^(MIN($E2661,123)-117)))*1,0))</f>
        <v>1418677620</v>
      </c>
      <c r="Y2661" s="11">
        <f>$E2661+17</f>
        <v>132</v>
      </c>
      <c r="Z2661" s="12">
        <f>IF($J2661=0,0,ROUND(MAX($J2661*1.4*1.5*1.6*1.6*2.2*2.715*2.6*1.4,6020000000*(1.651178^(MIN($E2661,123)-117)))*1,0))</f>
        <v>2208048987</v>
      </c>
      <c r="AA2661" s="13">
        <f>$E2661+19</f>
        <v>134</v>
      </c>
      <c r="AB2661" s="14">
        <f>IF($J2661=0,0,ROUND(MAX($J2661*1.4*1.5*1.6*1.6*2.2*2.715*2.6*1.4*1.4,8430000000*(1.651435^(MIN($E2661,123)-117)))*1,0))</f>
        <v>3091039859</v>
      </c>
      <c r="AC2661" s="11">
        <f>$E2661+21</f>
        <v>136</v>
      </c>
      <c r="AD2661" s="12">
        <f>IF($J2661=0,0,ROUND(MAX($J2661*1.4*1.5*1.6*1.6*2.2*2.715*2.6*1.4*1.4*1.5,12600000000*(1.652953^(MIN($E2661,123)-117)))*1,0))</f>
        <v>4611577749</v>
      </c>
      <c r="AE2661" s="13">
        <f>$E2661+24</f>
        <v>139</v>
      </c>
      <c r="AF2661" s="14">
        <f>IF($J2661=0,0,ROUND(MAX($J2661*1.4*1.5*1.6*1.6*2.2*2.715*2.6*1.4*1.4*1.5*1.5,18900000000*(1.65331^(MIN($E2661,123)-117)))*1,0))</f>
        <v>6914379606</v>
      </c>
      <c r="AG2661" s="11">
        <f>$E2661+27</f>
        <v>142</v>
      </c>
      <c r="AH2661" s="12">
        <f>IF($J2661=0,0,ROUND(MAX($J2661*1.4*1.5*1.6*1.6*2.2*2.715*2.6*1.4*1.4*1.5*1.5*3.2,60500000000*(1.654288^(MIN($E2661,123)-117)))*1,0))</f>
        <v>22107169230</v>
      </c>
    </row>
    <row r="2662" ht="28" customHeight="1" spans="1:34" x14ac:dyDescent="0.25">
      <c r="A2662">
        <v>2672</v>
      </c>
      <c r="B2662" t="s">
        <v>1582</v>
      </c>
      <c r="C2662" s="10" t="s">
        <v>1533</v>
      </c>
      <c r="D2662" t="s">
        <v>33</v>
      </c>
      <c r="E2662">
        <v>115</v>
      </c>
      <c r="F2662" t="s">
        <v>1451</v>
      </c>
      <c r="G2662" t="s">
        <v>396</v>
      </c>
      <c r="H2662">
        <v>27</v>
      </c>
      <c r="I2662" s="11">
        <v>115</v>
      </c>
      <c r="J2662" s="12">
        <v>506000</v>
      </c>
      <c r="K2662" s="13">
        <f>$E2662+1</f>
        <v>116</v>
      </c>
      <c r="L2662" s="14">
        <f>IF($J2662=0,0,ROUND(MAX($J2662*1.4,1620000*(1.497923^(MIN($E2662,123)-117)))*1,0))</f>
        <v>721998</v>
      </c>
      <c r="M2662" s="11">
        <f>$E2662+2</f>
        <v>117</v>
      </c>
      <c r="N2662" s="12">
        <f>IF($J2662=0,0,ROUND(MAX($J2662*1.4*1.5,2190000*(1.580994^(MIN($E2662,123)-117)))*1,0))</f>
        <v>1062600</v>
      </c>
      <c r="O2662" s="13">
        <f>$E2662+4</f>
        <v>119</v>
      </c>
      <c r="P2662" s="14">
        <f>IF($J2662=0,0,ROUND(MAX($J2662*1.4*1.5*1.6,3500000*(1.57975^(MIN($E2662,123)-117)))*1,0))</f>
        <v>1700160</v>
      </c>
      <c r="Q2662" s="11">
        <f>$E2662+6</f>
        <v>121</v>
      </c>
      <c r="R2662" s="12">
        <f>IF($J2662=0,0,ROUND(MAX($J2662*1.4*1.5*1.6*1.6,13100000*(1.429962^(MIN($E2662,123)-117)))*1,0))</f>
        <v>6406522</v>
      </c>
      <c r="S2662" s="13">
        <f>$E2662+8</f>
        <v>123</v>
      </c>
      <c r="T2662" s="14">
        <f>IF($J2662=0,0,ROUND(MAX($J2662*1.4*1.5*1.6*1.6*2.2,42600000*(1.576904^(MIN($E2662,123)-117)))*1,0))</f>
        <v>17131646</v>
      </c>
      <c r="U2662" s="11">
        <f>$E2662+11</f>
        <v>126</v>
      </c>
      <c r="V2662" s="12">
        <f>IF($J2662=0,0,ROUND(MAX($J2662*1.4*1.5*1.6*1.6*2.2*2.715,354000000*(1.642074^(MIN($E2662,123)-117)))*1,0))</f>
        <v>131285817</v>
      </c>
      <c r="W2662" s="13">
        <f>$E2662+15</f>
        <v>130</v>
      </c>
      <c r="X2662" s="14">
        <f>IF($J2662=0,0,ROUND(MAX($J2662*1.4*1.5*1.6*1.6*2.2*2.715*2.6,3540000000*(1.579646^(MIN($E2662,123)-117)))*1,0))</f>
        <v>1418677620</v>
      </c>
      <c r="Y2662" s="11">
        <f>$E2662+17</f>
        <v>132</v>
      </c>
      <c r="Z2662" s="12">
        <f>IF($J2662=0,0,ROUND(MAX($J2662*1.4*1.5*1.6*1.6*2.2*2.715*2.6*1.4,6020000000*(1.651178^(MIN($E2662,123)-117)))*1,0))</f>
        <v>2208048987</v>
      </c>
      <c r="AA2662" s="13">
        <f>$E2662+19</f>
        <v>134</v>
      </c>
      <c r="AB2662" s="14">
        <f>IF($J2662=0,0,ROUND(MAX($J2662*1.4*1.5*1.6*1.6*2.2*2.715*2.6*1.4*1.4,8430000000*(1.651435^(MIN($E2662,123)-117)))*1,0))</f>
        <v>3091039859</v>
      </c>
      <c r="AC2662" s="11">
        <f>$E2662+21</f>
        <v>136</v>
      </c>
      <c r="AD2662" s="12">
        <f>IF($J2662=0,0,ROUND(MAX($J2662*1.4*1.5*1.6*1.6*2.2*2.715*2.6*1.4*1.4*1.5,12600000000*(1.652953^(MIN($E2662,123)-117)))*1,0))</f>
        <v>4611577749</v>
      </c>
      <c r="AE2662" s="13">
        <f>$E2662+24</f>
        <v>139</v>
      </c>
      <c r="AF2662" s="14">
        <f>IF($J2662=0,0,ROUND(MAX($J2662*1.4*1.5*1.6*1.6*2.2*2.715*2.6*1.4*1.4*1.5*1.5,18900000000*(1.65331^(MIN($E2662,123)-117)))*1,0))</f>
        <v>6914379606</v>
      </c>
      <c r="AG2662" s="11">
        <f>$E2662+27</f>
        <v>142</v>
      </c>
      <c r="AH2662" s="12">
        <f>IF($J2662=0,0,ROUND(MAX($J2662*1.4*1.5*1.6*1.6*2.2*2.715*2.6*1.4*1.4*1.5*1.5*3.2,60500000000*(1.654288^(MIN($E2662,123)-117)))*1,0))</f>
        <v>22107169230</v>
      </c>
    </row>
    <row r="2663" ht="28" customHeight="1" spans="1:34" x14ac:dyDescent="0.25">
      <c r="A2663">
        <v>2673</v>
      </c>
      <c r="B2663" t="s">
        <v>1583</v>
      </c>
      <c r="C2663" s="10" t="s">
        <v>1533</v>
      </c>
      <c r="D2663" t="s">
        <v>90</v>
      </c>
      <c r="E2663">
        <v>115</v>
      </c>
      <c r="F2663" t="s">
        <v>310</v>
      </c>
      <c r="G2663" t="s">
        <v>396</v>
      </c>
      <c r="H2663">
        <v>27</v>
      </c>
      <c r="I2663" s="11">
        <v>115</v>
      </c>
      <c r="J2663" s="12">
        <v>626000</v>
      </c>
      <c r="K2663" s="13">
        <f>$E2663+1</f>
        <v>116</v>
      </c>
      <c r="L2663" s="14">
        <f>IF($J2663=0,0,ROUND(MAX($J2663*1.4,1620000*(1.497923^(MIN($E2663,123)-117)))*1,0))</f>
        <v>876400</v>
      </c>
      <c r="M2663" s="11">
        <f>$E2663+2</f>
        <v>117</v>
      </c>
      <c r="N2663" s="12">
        <f>IF($J2663=0,0,ROUND(MAX($J2663*1.4*1.5,2190000*(1.580994^(MIN($E2663,123)-117)))*1,0))</f>
        <v>1314600</v>
      </c>
      <c r="O2663" s="13">
        <f>$E2663+4</f>
        <v>119</v>
      </c>
      <c r="P2663" s="14">
        <f>IF($J2663=0,0,ROUND(MAX($J2663*1.4*1.5*1.6,3500000*(1.57975^(MIN($E2663,123)-117)))*1,0))</f>
        <v>2103360</v>
      </c>
      <c r="Q2663" s="11">
        <f>$E2663+6</f>
        <v>121</v>
      </c>
      <c r="R2663" s="12">
        <f>IF($J2663=0,0,ROUND(MAX($J2663*1.4*1.5*1.6*1.6,13100000*(1.429962^(MIN($E2663,123)-117)))*1,0))</f>
        <v>6406522</v>
      </c>
      <c r="S2663" s="13">
        <f>$E2663+8</f>
        <v>123</v>
      </c>
      <c r="T2663" s="14">
        <f>IF($J2663=0,0,ROUND(MAX($J2663*1.4*1.5*1.6*1.6*2.2,42600000*(1.576904^(MIN($E2663,123)-117)))*1,0))</f>
        <v>17131646</v>
      </c>
      <c r="U2663" s="11">
        <f>$E2663+11</f>
        <v>126</v>
      </c>
      <c r="V2663" s="12">
        <f>IF($J2663=0,0,ROUND(MAX($J2663*1.4*1.5*1.6*1.6*2.2*2.715,354000000*(1.642074^(MIN($E2663,123)-117)))*1,0))</f>
        <v>131285817</v>
      </c>
      <c r="W2663" s="13">
        <f>$E2663+15</f>
        <v>130</v>
      </c>
      <c r="X2663" s="14">
        <f>IF($J2663=0,0,ROUND(MAX($J2663*1.4*1.5*1.6*1.6*2.2*2.715*2.6,3540000000*(1.579646^(MIN($E2663,123)-117)))*1,0))</f>
        <v>1418677620</v>
      </c>
      <c r="Y2663" s="11">
        <f>$E2663+17</f>
        <v>132</v>
      </c>
      <c r="Z2663" s="12">
        <f>IF($J2663=0,0,ROUND(MAX($J2663*1.4*1.5*1.6*1.6*2.2*2.715*2.6*1.4,6020000000*(1.651178^(MIN($E2663,123)-117)))*1,0))</f>
        <v>2208048987</v>
      </c>
      <c r="AA2663" s="13">
        <f>$E2663+19</f>
        <v>134</v>
      </c>
      <c r="AB2663" s="14">
        <f>IF($J2663=0,0,ROUND(MAX($J2663*1.4*1.5*1.6*1.6*2.2*2.715*2.6*1.4*1.4,8430000000*(1.651435^(MIN($E2663,123)-117)))*1,0))</f>
        <v>3091039859</v>
      </c>
      <c r="AC2663" s="11">
        <f>$E2663+21</f>
        <v>136</v>
      </c>
      <c r="AD2663" s="12">
        <f>IF($J2663=0,0,ROUND(MAX($J2663*1.4*1.5*1.6*1.6*2.2*2.715*2.6*1.4*1.4*1.5,12600000000*(1.652953^(MIN($E2663,123)-117)))*1,0))</f>
        <v>4611577749</v>
      </c>
      <c r="AE2663" s="13">
        <f>$E2663+24</f>
        <v>139</v>
      </c>
      <c r="AF2663" s="14">
        <f>IF($J2663=0,0,ROUND(MAX($J2663*1.4*1.5*1.6*1.6*2.2*2.715*2.6*1.4*1.4*1.5*1.5,18900000000*(1.65331^(MIN($E2663,123)-117)))*1,0))</f>
        <v>6914379606</v>
      </c>
      <c r="AG2663" s="11">
        <f>$E2663+27</f>
        <v>142</v>
      </c>
      <c r="AH2663" s="12">
        <f>IF($J2663=0,0,ROUND(MAX($J2663*1.4*1.5*1.6*1.6*2.2*2.715*2.6*1.4*1.4*1.5*1.5*3.2,60500000000*(1.654288^(MIN($E2663,123)-117)))*1,0))</f>
        <v>22107169230</v>
      </c>
    </row>
    <row r="2664" ht="28" customHeight="1" spans="1:34" x14ac:dyDescent="0.25">
      <c r="A2664">
        <v>2674</v>
      </c>
      <c r="B2664" t="s">
        <v>1584</v>
      </c>
      <c r="C2664" s="10" t="s">
        <v>1533</v>
      </c>
      <c r="D2664" t="s">
        <v>33</v>
      </c>
      <c r="E2664">
        <v>115</v>
      </c>
      <c r="F2664" t="s">
        <v>479</v>
      </c>
      <c r="G2664" t="s">
        <v>396</v>
      </c>
      <c r="H2664">
        <v>27</v>
      </c>
      <c r="I2664" s="11">
        <v>115</v>
      </c>
      <c r="J2664" s="12">
        <v>481000</v>
      </c>
      <c r="K2664" s="13">
        <f>$E2664+1</f>
        <v>116</v>
      </c>
      <c r="L2664" s="14">
        <f>IF($J2664=0,0,ROUND(MAX($J2664*1.4,1620000*(1.497923^(MIN($E2664,123)-117)))*1,0))</f>
        <v>721998</v>
      </c>
      <c r="M2664" s="11">
        <f>$E2664+2</f>
        <v>117</v>
      </c>
      <c r="N2664" s="12">
        <f>IF($J2664=0,0,ROUND(MAX($J2664*1.4*1.5,2190000*(1.580994^(MIN($E2664,123)-117)))*1,0))</f>
        <v>1010100</v>
      </c>
      <c r="O2664" s="13">
        <f>$E2664+4</f>
        <v>119</v>
      </c>
      <c r="P2664" s="14">
        <f>IF($J2664=0,0,ROUND(MAX($J2664*1.4*1.5*1.6,3500000*(1.57975^(MIN($E2664,123)-117)))*1,0))</f>
        <v>1616160</v>
      </c>
      <c r="Q2664" s="11">
        <f>$E2664+6</f>
        <v>121</v>
      </c>
      <c r="R2664" s="12">
        <f>IF($J2664=0,0,ROUND(MAX($J2664*1.4*1.5*1.6*1.6,13100000*(1.429962^(MIN($E2664,123)-117)))*1,0))</f>
        <v>6406522</v>
      </c>
      <c r="S2664" s="13">
        <f>$E2664+8</f>
        <v>123</v>
      </c>
      <c r="T2664" s="14">
        <f>IF($J2664=0,0,ROUND(MAX($J2664*1.4*1.5*1.6*1.6*2.2,42600000*(1.576904^(MIN($E2664,123)-117)))*1,0))</f>
        <v>17131646</v>
      </c>
      <c r="U2664" s="11">
        <f>$E2664+11</f>
        <v>126</v>
      </c>
      <c r="V2664" s="12">
        <f>IF($J2664=0,0,ROUND(MAX($J2664*1.4*1.5*1.6*1.6*2.2*2.715,354000000*(1.642074^(MIN($E2664,123)-117)))*1,0))</f>
        <v>131285817</v>
      </c>
      <c r="W2664" s="13">
        <f>$E2664+15</f>
        <v>130</v>
      </c>
      <c r="X2664" s="14">
        <f>IF($J2664=0,0,ROUND(MAX($J2664*1.4*1.5*1.6*1.6*2.2*2.715*2.6,3540000000*(1.579646^(MIN($E2664,123)-117)))*1,0))</f>
        <v>1418677620</v>
      </c>
      <c r="Y2664" s="11">
        <f>$E2664+17</f>
        <v>132</v>
      </c>
      <c r="Z2664" s="12">
        <f>IF($J2664=0,0,ROUND(MAX($J2664*1.4*1.5*1.6*1.6*2.2*2.715*2.6*1.4,6020000000*(1.651178^(MIN($E2664,123)-117)))*1,0))</f>
        <v>2208048987</v>
      </c>
      <c r="AA2664" s="13">
        <f>$E2664+19</f>
        <v>134</v>
      </c>
      <c r="AB2664" s="14">
        <f>IF($J2664=0,0,ROUND(MAX($J2664*1.4*1.5*1.6*1.6*2.2*2.715*2.6*1.4*1.4,8430000000*(1.651435^(MIN($E2664,123)-117)))*1,0))</f>
        <v>3091039859</v>
      </c>
      <c r="AC2664" s="11">
        <f>$E2664+21</f>
        <v>136</v>
      </c>
      <c r="AD2664" s="12">
        <f>IF($J2664=0,0,ROUND(MAX($J2664*1.4*1.5*1.6*1.6*2.2*2.715*2.6*1.4*1.4*1.5,12600000000*(1.652953^(MIN($E2664,123)-117)))*1,0))</f>
        <v>4611577749</v>
      </c>
      <c r="AE2664" s="13">
        <f>$E2664+24</f>
        <v>139</v>
      </c>
      <c r="AF2664" s="14">
        <f>IF($J2664=0,0,ROUND(MAX($J2664*1.4*1.5*1.6*1.6*2.2*2.715*2.6*1.4*1.4*1.5*1.5,18900000000*(1.65331^(MIN($E2664,123)-117)))*1,0))</f>
        <v>6914379606</v>
      </c>
      <c r="AG2664" s="11">
        <f>$E2664+27</f>
        <v>142</v>
      </c>
      <c r="AH2664" s="12">
        <f>IF($J2664=0,0,ROUND(MAX($J2664*1.4*1.5*1.6*1.6*2.2*2.715*2.6*1.4*1.4*1.5*1.5*3.2,60500000000*(1.654288^(MIN($E2664,123)-117)))*1,0))</f>
        <v>22107169230</v>
      </c>
    </row>
    <row r="2665" ht="28" customHeight="1" spans="1:34" x14ac:dyDescent="0.25">
      <c r="A2665">
        <v>2675</v>
      </c>
      <c r="B2665" t="s">
        <v>1585</v>
      </c>
      <c r="C2665" s="10" t="s">
        <v>1533</v>
      </c>
      <c r="D2665" t="s">
        <v>33</v>
      </c>
      <c r="E2665">
        <v>115</v>
      </c>
      <c r="F2665" t="s">
        <v>310</v>
      </c>
      <c r="G2665" t="s">
        <v>272</v>
      </c>
      <c r="H2665">
        <v>26</v>
      </c>
      <c r="I2665" s="11">
        <v>115</v>
      </c>
      <c r="J2665" s="12">
        <v>564000</v>
      </c>
      <c r="K2665" s="13">
        <f>$E2665+1</f>
        <v>116</v>
      </c>
      <c r="L2665" s="14">
        <f>IF($J2665=0,0,ROUND(MAX($J2665*1.4,1620000*(1.497923^(MIN($E2665,123)-117)))*1,0))</f>
        <v>789600</v>
      </c>
      <c r="M2665" s="11">
        <f>$E2665+2</f>
        <v>117</v>
      </c>
      <c r="N2665" s="12">
        <f>IF($J2665=0,0,ROUND(MAX($J2665*1.4*1.5,2190000*(1.580994^(MIN($E2665,123)-117)))*1,0))</f>
        <v>1184400</v>
      </c>
      <c r="O2665" s="13">
        <f>$E2665+4</f>
        <v>119</v>
      </c>
      <c r="P2665" s="14">
        <f>IF($J2665=0,0,ROUND(MAX($J2665*1.4*1.5*1.6,3500000*(1.57975^(MIN($E2665,123)-117)))*1,0))</f>
        <v>1895040</v>
      </c>
      <c r="Q2665" s="11">
        <f>$E2665+6</f>
        <v>121</v>
      </c>
      <c r="R2665" s="12">
        <f>IF($J2665=0,0,ROUND(MAX($J2665*1.4*1.5*1.6*1.6,13100000*(1.429962^(MIN($E2665,123)-117)))*1,0))</f>
        <v>6406522</v>
      </c>
      <c r="S2665" s="13">
        <f>$E2665+8</f>
        <v>123</v>
      </c>
      <c r="T2665" s="14">
        <f>IF($J2665=0,0,ROUND(MAX($J2665*1.4*1.5*1.6*1.6*2.2,42600000*(1.576904^(MIN($E2665,123)-117)))*1,0))</f>
        <v>17131646</v>
      </c>
      <c r="U2665" s="11">
        <f>$E2665+11</f>
        <v>126</v>
      </c>
      <c r="V2665" s="12">
        <f>IF($J2665=0,0,ROUND(MAX($J2665*1.4*1.5*1.6*1.6*2.2*2.715,354000000*(1.642074^(MIN($E2665,123)-117)))*1,0))</f>
        <v>131285817</v>
      </c>
      <c r="W2665" s="13">
        <f>$E2665+15</f>
        <v>130</v>
      </c>
      <c r="X2665" s="14">
        <f>IF($J2665=0,0,ROUND(MAX($J2665*1.4*1.5*1.6*1.6*2.2*2.715*2.6,3540000000*(1.579646^(MIN($E2665,123)-117)))*1,0))</f>
        <v>1418677620</v>
      </c>
      <c r="Y2665" s="11">
        <f>$E2665+17</f>
        <v>132</v>
      </c>
      <c r="Z2665" s="12">
        <f>IF($J2665=0,0,ROUND(MAX($J2665*1.4*1.5*1.6*1.6*2.2*2.715*2.6*1.4,6020000000*(1.651178^(MIN($E2665,123)-117)))*1,0))</f>
        <v>2208048987</v>
      </c>
      <c r="AA2665" s="13">
        <f>$E2665+19</f>
        <v>134</v>
      </c>
      <c r="AB2665" s="14">
        <f>IF($J2665=0,0,ROUND(MAX($J2665*1.4*1.5*1.6*1.6*2.2*2.715*2.6*1.4*1.4,8430000000*(1.651435^(MIN($E2665,123)-117)))*1,0))</f>
        <v>3091039859</v>
      </c>
      <c r="AC2665" s="11">
        <f>$E2665+21</f>
        <v>136</v>
      </c>
      <c r="AD2665" s="12">
        <f>IF($J2665=0,0,ROUND(MAX($J2665*1.4*1.5*1.6*1.6*2.2*2.715*2.6*1.4*1.4*1.5,12600000000*(1.652953^(MIN($E2665,123)-117)))*1,0))</f>
        <v>4611577749</v>
      </c>
      <c r="AE2665" s="13">
        <f>$E2665+24</f>
        <v>139</v>
      </c>
      <c r="AF2665" s="14">
        <f>IF($J2665=0,0,ROUND(MAX($J2665*1.4*1.5*1.6*1.6*2.2*2.715*2.6*1.4*1.4*1.5*1.5,18900000000*(1.65331^(MIN($E2665,123)-117)))*1,0))</f>
        <v>6914379606</v>
      </c>
      <c r="AG2665" s="11">
        <f>$E2665+27</f>
        <v>142</v>
      </c>
      <c r="AH2665" s="12">
        <f>IF($J2665=0,0,ROUND(MAX($J2665*1.4*1.5*1.6*1.6*2.2*2.715*2.6*1.4*1.4*1.5*1.5*3.2,60500000000*(1.654288^(MIN($E2665,123)-117)))*1,0))</f>
        <v>22107169230</v>
      </c>
    </row>
    <row r="2666" ht="28" customHeight="1" spans="1:34" x14ac:dyDescent="0.25">
      <c r="A2666">
        <v>2676</v>
      </c>
      <c r="B2666" t="s">
        <v>286</v>
      </c>
      <c r="C2666" s="10" t="s">
        <v>1533</v>
      </c>
      <c r="D2666" t="s">
        <v>102</v>
      </c>
      <c r="E2666">
        <v>115</v>
      </c>
      <c r="F2666" t="s">
        <v>54</v>
      </c>
      <c r="G2666" t="s">
        <v>38</v>
      </c>
      <c r="H2666">
        <v>26</v>
      </c>
      <c r="I2666" s="11">
        <v>115</v>
      </c>
      <c r="J2666" s="12">
        <v>477000</v>
      </c>
      <c r="K2666" s="13">
        <f>$E2666+1</f>
        <v>116</v>
      </c>
      <c r="L2666" s="14">
        <f>IF($J2666=0,0,ROUND(MAX($J2666*1.4,1620000*(1.497923^(MIN($E2666,123)-117)))*1,0))</f>
        <v>721998</v>
      </c>
      <c r="M2666" s="11">
        <f>$E2666+2</f>
        <v>117</v>
      </c>
      <c r="N2666" s="12">
        <f>IF($J2666=0,0,ROUND(MAX($J2666*1.4*1.5,2190000*(1.580994^(MIN($E2666,123)-117)))*1,0))</f>
        <v>1001700</v>
      </c>
      <c r="O2666" s="13">
        <f>$E2666+4</f>
        <v>119</v>
      </c>
      <c r="P2666" s="14">
        <f>IF($J2666=0,0,ROUND(MAX($J2666*1.4*1.5*1.6,3500000*(1.57975^(MIN($E2666,123)-117)))*1,0))</f>
        <v>1602720</v>
      </c>
      <c r="Q2666" s="11">
        <f>$E2666+6</f>
        <v>121</v>
      </c>
      <c r="R2666" s="12">
        <f>IF($J2666=0,0,ROUND(MAX($J2666*1.4*1.5*1.6*1.6,13100000*(1.429962^(MIN($E2666,123)-117)))*1,0))</f>
        <v>6406522</v>
      </c>
      <c r="S2666" s="13">
        <f>$E2666+8</f>
        <v>123</v>
      </c>
      <c r="T2666" s="14">
        <f>IF($J2666=0,0,ROUND(MAX($J2666*1.4*1.5*1.6*1.6*2.2,42600000*(1.576904^(MIN($E2666,123)-117)))*1,0))</f>
        <v>17131646</v>
      </c>
      <c r="U2666" s="11">
        <f>$E2666+11</f>
        <v>126</v>
      </c>
      <c r="V2666" s="12">
        <f>IF($J2666=0,0,ROUND(MAX($J2666*1.4*1.5*1.6*1.6*2.2*2.715,354000000*(1.642074^(MIN($E2666,123)-117)))*1,0))</f>
        <v>131285817</v>
      </c>
      <c r="W2666" s="13">
        <f>$E2666+15</f>
        <v>130</v>
      </c>
      <c r="X2666" s="14">
        <f>IF($J2666=0,0,ROUND(MAX($J2666*1.4*1.5*1.6*1.6*2.2*2.715*2.6,3540000000*(1.579646^(MIN($E2666,123)-117)))*1,0))</f>
        <v>1418677620</v>
      </c>
      <c r="Y2666" s="11">
        <f>$E2666+17</f>
        <v>132</v>
      </c>
      <c r="Z2666" s="12">
        <f>IF($J2666=0,0,ROUND(MAX($J2666*1.4*1.5*1.6*1.6*2.2*2.715*2.6*1.4,6020000000*(1.651178^(MIN($E2666,123)-117)))*1,0))</f>
        <v>2208048987</v>
      </c>
      <c r="AA2666" s="13">
        <f>$E2666+19</f>
        <v>134</v>
      </c>
      <c r="AB2666" s="14">
        <f>IF($J2666=0,0,ROUND(MAX($J2666*1.4*1.5*1.6*1.6*2.2*2.715*2.6*1.4*1.4,8430000000*(1.651435^(MIN($E2666,123)-117)))*1,0))</f>
        <v>3091039859</v>
      </c>
      <c r="AC2666" s="11">
        <f>$E2666+21</f>
        <v>136</v>
      </c>
      <c r="AD2666" s="12">
        <f>IF($J2666=0,0,ROUND(MAX($J2666*1.4*1.5*1.6*1.6*2.2*2.715*2.6*1.4*1.4*1.5,12600000000*(1.652953^(MIN($E2666,123)-117)))*1,0))</f>
        <v>4611577749</v>
      </c>
      <c r="AE2666" s="13">
        <f>$E2666+24</f>
        <v>139</v>
      </c>
      <c r="AF2666" s="14">
        <f>IF($J2666=0,0,ROUND(MAX($J2666*1.4*1.5*1.6*1.6*2.2*2.715*2.6*1.4*1.4*1.5*1.5,18900000000*(1.65331^(MIN($E2666,123)-117)))*1,0))</f>
        <v>6914379606</v>
      </c>
      <c r="AG2666" s="11">
        <f>$E2666+27</f>
        <v>142</v>
      </c>
      <c r="AH2666" s="12">
        <f>IF($J2666=0,0,ROUND(MAX($J2666*1.4*1.5*1.6*1.6*2.2*2.715*2.6*1.4*1.4*1.5*1.5*3.2,60500000000*(1.654288^(MIN($E2666,123)-117)))*1,0))</f>
        <v>22107169230</v>
      </c>
    </row>
    <row r="2667" ht="28" customHeight="1" spans="1:34" x14ac:dyDescent="0.25">
      <c r="A2667">
        <v>2677</v>
      </c>
      <c r="B2667" t="s">
        <v>1187</v>
      </c>
      <c r="C2667" s="10" t="s">
        <v>1533</v>
      </c>
      <c r="D2667" t="s">
        <v>33</v>
      </c>
      <c r="E2667">
        <v>115</v>
      </c>
      <c r="F2667" t="s">
        <v>54</v>
      </c>
      <c r="G2667" t="s">
        <v>133</v>
      </c>
      <c r="H2667">
        <v>26</v>
      </c>
      <c r="I2667" s="11">
        <v>115</v>
      </c>
      <c r="J2667" s="12">
        <v>497000</v>
      </c>
      <c r="K2667" s="13">
        <f>$E2667+1</f>
        <v>116</v>
      </c>
      <c r="L2667" s="14">
        <f>IF($J2667=0,0,ROUND(MAX($J2667*1.4,1620000*(1.497923^(MIN($E2667,123)-117)))*1,0))</f>
        <v>721998</v>
      </c>
      <c r="M2667" s="11">
        <f>$E2667+2</f>
        <v>117</v>
      </c>
      <c r="N2667" s="12">
        <f>IF($J2667=0,0,ROUND(MAX($J2667*1.4*1.5,2190000*(1.580994^(MIN($E2667,123)-117)))*1,0))</f>
        <v>1043700</v>
      </c>
      <c r="O2667" s="13">
        <f>$E2667+4</f>
        <v>119</v>
      </c>
      <c r="P2667" s="14">
        <f>IF($J2667=0,0,ROUND(MAX($J2667*1.4*1.5*1.6,3500000*(1.57975^(MIN($E2667,123)-117)))*1,0))</f>
        <v>1669920</v>
      </c>
      <c r="Q2667" s="11">
        <f>$E2667+6</f>
        <v>121</v>
      </c>
      <c r="R2667" s="12">
        <f>IF($J2667=0,0,ROUND(MAX($J2667*1.4*1.5*1.6*1.6,13100000*(1.429962^(MIN($E2667,123)-117)))*1,0))</f>
        <v>6406522</v>
      </c>
      <c r="S2667" s="13">
        <f>$E2667+8</f>
        <v>123</v>
      </c>
      <c r="T2667" s="14">
        <f>IF($J2667=0,0,ROUND(MAX($J2667*1.4*1.5*1.6*1.6*2.2,42600000*(1.576904^(MIN($E2667,123)-117)))*1,0))</f>
        <v>17131646</v>
      </c>
      <c r="U2667" s="11">
        <f>$E2667+11</f>
        <v>126</v>
      </c>
      <c r="V2667" s="12">
        <f>IF($J2667=0,0,ROUND(MAX($J2667*1.4*1.5*1.6*1.6*2.2*2.715,354000000*(1.642074^(MIN($E2667,123)-117)))*1,0))</f>
        <v>131285817</v>
      </c>
      <c r="W2667" s="13">
        <f>$E2667+15</f>
        <v>130</v>
      </c>
      <c r="X2667" s="14">
        <f>IF($J2667=0,0,ROUND(MAX($J2667*1.4*1.5*1.6*1.6*2.2*2.715*2.6,3540000000*(1.579646^(MIN($E2667,123)-117)))*1,0))</f>
        <v>1418677620</v>
      </c>
      <c r="Y2667" s="11">
        <f>$E2667+17</f>
        <v>132</v>
      </c>
      <c r="Z2667" s="12">
        <f>IF($J2667=0,0,ROUND(MAX($J2667*1.4*1.5*1.6*1.6*2.2*2.715*2.6*1.4,6020000000*(1.651178^(MIN($E2667,123)-117)))*1,0))</f>
        <v>2208048987</v>
      </c>
      <c r="AA2667" s="13">
        <f>$E2667+19</f>
        <v>134</v>
      </c>
      <c r="AB2667" s="14">
        <f>IF($J2667=0,0,ROUND(MAX($J2667*1.4*1.5*1.6*1.6*2.2*2.715*2.6*1.4*1.4,8430000000*(1.651435^(MIN($E2667,123)-117)))*1,0))</f>
        <v>3091039859</v>
      </c>
      <c r="AC2667" s="11">
        <f>$E2667+21</f>
        <v>136</v>
      </c>
      <c r="AD2667" s="12">
        <f>IF($J2667=0,0,ROUND(MAX($J2667*1.4*1.5*1.6*1.6*2.2*2.715*2.6*1.4*1.4*1.5,12600000000*(1.652953^(MIN($E2667,123)-117)))*1,0))</f>
        <v>4611577749</v>
      </c>
      <c r="AE2667" s="13">
        <f>$E2667+24</f>
        <v>139</v>
      </c>
      <c r="AF2667" s="14">
        <f>IF($J2667=0,0,ROUND(MAX($J2667*1.4*1.5*1.6*1.6*2.2*2.715*2.6*1.4*1.4*1.5*1.5,18900000000*(1.65331^(MIN($E2667,123)-117)))*1,0))</f>
        <v>6914379606</v>
      </c>
      <c r="AG2667" s="11">
        <f>$E2667+27</f>
        <v>142</v>
      </c>
      <c r="AH2667" s="12">
        <f>IF($J2667=0,0,ROUND(MAX($J2667*1.4*1.5*1.6*1.6*2.2*2.715*2.6*1.4*1.4*1.5*1.5*3.2,60500000000*(1.654288^(MIN($E2667,123)-117)))*1,0))</f>
        <v>22107169230</v>
      </c>
    </row>
    <row r="2668" ht="28" customHeight="1" spans="1:34" x14ac:dyDescent="0.25">
      <c r="A2668">
        <v>2678</v>
      </c>
      <c r="B2668" t="s">
        <v>1436</v>
      </c>
      <c r="C2668" s="10" t="s">
        <v>1533</v>
      </c>
      <c r="D2668" t="s">
        <v>40</v>
      </c>
      <c r="E2668">
        <v>115</v>
      </c>
      <c r="F2668" t="s">
        <v>54</v>
      </c>
      <c r="G2668" t="s">
        <v>1007</v>
      </c>
      <c r="H2668">
        <v>26</v>
      </c>
      <c r="I2668" s="11">
        <v>115</v>
      </c>
      <c r="J2668" s="12">
        <v>560000</v>
      </c>
      <c r="K2668" s="13">
        <f>$E2668+1</f>
        <v>116</v>
      </c>
      <c r="L2668" s="14">
        <f>IF($J2668=0,0,ROUND(MAX($J2668*1.4,1620000*(1.497923^(MIN($E2668,123)-117)))*1,0))</f>
        <v>784000</v>
      </c>
      <c r="M2668" s="11">
        <f>$E2668+2</f>
        <v>117</v>
      </c>
      <c r="N2668" s="12">
        <f>IF($J2668=0,0,ROUND(MAX($J2668*1.4*1.5,2190000*(1.580994^(MIN($E2668,123)-117)))*1,0))</f>
        <v>1176000</v>
      </c>
      <c r="O2668" s="13">
        <f>$E2668+4</f>
        <v>119</v>
      </c>
      <c r="P2668" s="14">
        <f>IF($J2668=0,0,ROUND(MAX($J2668*1.4*1.5*1.6,3500000*(1.57975^(MIN($E2668,123)-117)))*1,0))</f>
        <v>1881600</v>
      </c>
      <c r="Q2668" s="11">
        <f>$E2668+6</f>
        <v>121</v>
      </c>
      <c r="R2668" s="12">
        <f>IF($J2668=0,0,ROUND(MAX($J2668*1.4*1.5*1.6*1.6,13100000*(1.429962^(MIN($E2668,123)-117)))*1,0))</f>
        <v>6406522</v>
      </c>
      <c r="S2668" s="13">
        <f>$E2668+8</f>
        <v>123</v>
      </c>
      <c r="T2668" s="14">
        <f>IF($J2668=0,0,ROUND(MAX($J2668*1.4*1.5*1.6*1.6*2.2,42600000*(1.576904^(MIN($E2668,123)-117)))*1,0))</f>
        <v>17131646</v>
      </c>
      <c r="U2668" s="11">
        <f>$E2668+11</f>
        <v>126</v>
      </c>
      <c r="V2668" s="12">
        <f>IF($J2668=0,0,ROUND(MAX($J2668*1.4*1.5*1.6*1.6*2.2*2.715,354000000*(1.642074^(MIN($E2668,123)-117)))*1,0))</f>
        <v>131285817</v>
      </c>
      <c r="W2668" s="13">
        <f>$E2668+15</f>
        <v>130</v>
      </c>
      <c r="X2668" s="14">
        <f>IF($J2668=0,0,ROUND(MAX($J2668*1.4*1.5*1.6*1.6*2.2*2.715*2.6,3540000000*(1.579646^(MIN($E2668,123)-117)))*1,0))</f>
        <v>1418677620</v>
      </c>
      <c r="Y2668" s="11">
        <f>$E2668+17</f>
        <v>132</v>
      </c>
      <c r="Z2668" s="12">
        <f>IF($J2668=0,0,ROUND(MAX($J2668*1.4*1.5*1.6*1.6*2.2*2.715*2.6*1.4,6020000000*(1.651178^(MIN($E2668,123)-117)))*1,0))</f>
        <v>2208048987</v>
      </c>
      <c r="AA2668" s="13">
        <f>$E2668+19</f>
        <v>134</v>
      </c>
      <c r="AB2668" s="14">
        <f>IF($J2668=0,0,ROUND(MAX($J2668*1.4*1.5*1.6*1.6*2.2*2.715*2.6*1.4*1.4,8430000000*(1.651435^(MIN($E2668,123)-117)))*1,0))</f>
        <v>3091039859</v>
      </c>
      <c r="AC2668" s="11">
        <f>$E2668+21</f>
        <v>136</v>
      </c>
      <c r="AD2668" s="12">
        <f>IF($J2668=0,0,ROUND(MAX($J2668*1.4*1.5*1.6*1.6*2.2*2.715*2.6*1.4*1.4*1.5,12600000000*(1.652953^(MIN($E2668,123)-117)))*1,0))</f>
        <v>4611577749</v>
      </c>
      <c r="AE2668" s="13">
        <f>$E2668+24</f>
        <v>139</v>
      </c>
      <c r="AF2668" s="14">
        <f>IF($J2668=0,0,ROUND(MAX($J2668*1.4*1.5*1.6*1.6*2.2*2.715*2.6*1.4*1.4*1.5*1.5,18900000000*(1.65331^(MIN($E2668,123)-117)))*1,0))</f>
        <v>6914379606</v>
      </c>
      <c r="AG2668" s="11">
        <f>$E2668+27</f>
        <v>142</v>
      </c>
      <c r="AH2668" s="12">
        <f>IF($J2668=0,0,ROUND(MAX($J2668*1.4*1.5*1.6*1.6*2.2*2.715*2.6*1.4*1.4*1.5*1.5*3.2,60500000000*(1.654288^(MIN($E2668,123)-117)))*1,0))</f>
        <v>22107169230</v>
      </c>
    </row>
    <row r="2669" ht="28" customHeight="1" spans="1:34" x14ac:dyDescent="0.25">
      <c r="A2669">
        <v>2679</v>
      </c>
      <c r="B2669" t="s">
        <v>1586</v>
      </c>
      <c r="C2669" s="10" t="s">
        <v>1533</v>
      </c>
      <c r="D2669" t="s">
        <v>40</v>
      </c>
      <c r="E2669">
        <v>115</v>
      </c>
      <c r="F2669" t="s">
        <v>303</v>
      </c>
      <c r="G2669" t="s">
        <v>472</v>
      </c>
      <c r="H2669">
        <v>26</v>
      </c>
      <c r="I2669" s="11">
        <v>115</v>
      </c>
      <c r="J2669" s="12">
        <v>499000</v>
      </c>
      <c r="K2669" s="13">
        <f>$E2669+1</f>
        <v>116</v>
      </c>
      <c r="L2669" s="14">
        <f>IF($J2669=0,0,ROUND(MAX($J2669*1.4,1620000*(1.497923^(MIN($E2669,123)-117)))*1,0))</f>
        <v>721998</v>
      </c>
      <c r="M2669" s="11">
        <f>$E2669+2</f>
        <v>117</v>
      </c>
      <c r="N2669" s="12">
        <f>IF($J2669=0,0,ROUND(MAX($J2669*1.4*1.5,2190000*(1.580994^(MIN($E2669,123)-117)))*1,0))</f>
        <v>1047900</v>
      </c>
      <c r="O2669" s="13">
        <f>$E2669+4</f>
        <v>119</v>
      </c>
      <c r="P2669" s="14">
        <f>IF($J2669=0,0,ROUND(MAX($J2669*1.4*1.5*1.6,3500000*(1.57975^(MIN($E2669,123)-117)))*1,0))</f>
        <v>1676640</v>
      </c>
      <c r="Q2669" s="11">
        <f>$E2669+6</f>
        <v>121</v>
      </c>
      <c r="R2669" s="12">
        <f>IF($J2669=0,0,ROUND(MAX($J2669*1.4*1.5*1.6*1.6,13100000*(1.429962^(MIN($E2669,123)-117)))*1,0))</f>
        <v>6406522</v>
      </c>
      <c r="S2669" s="13">
        <f>$E2669+8</f>
        <v>123</v>
      </c>
      <c r="T2669" s="14">
        <f>IF($J2669=0,0,ROUND(MAX($J2669*1.4*1.5*1.6*1.6*2.2,42600000*(1.576904^(MIN($E2669,123)-117)))*1,0))</f>
        <v>17131646</v>
      </c>
      <c r="U2669" s="11">
        <f>$E2669+11</f>
        <v>126</v>
      </c>
      <c r="V2669" s="12">
        <f>IF($J2669=0,0,ROUND(MAX($J2669*1.4*1.5*1.6*1.6*2.2*2.715,354000000*(1.642074^(MIN($E2669,123)-117)))*1,0))</f>
        <v>131285817</v>
      </c>
      <c r="W2669" s="13">
        <f>$E2669+15</f>
        <v>130</v>
      </c>
      <c r="X2669" s="14">
        <f>IF($J2669=0,0,ROUND(MAX($J2669*1.4*1.5*1.6*1.6*2.2*2.715*2.6,3540000000*(1.579646^(MIN($E2669,123)-117)))*1,0))</f>
        <v>1418677620</v>
      </c>
      <c r="Y2669" s="11">
        <f>$E2669+17</f>
        <v>132</v>
      </c>
      <c r="Z2669" s="12">
        <f>IF($J2669=0,0,ROUND(MAX($J2669*1.4*1.5*1.6*1.6*2.2*2.715*2.6*1.4,6020000000*(1.651178^(MIN($E2669,123)-117)))*1,0))</f>
        <v>2208048987</v>
      </c>
      <c r="AA2669" s="13">
        <f>$E2669+19</f>
        <v>134</v>
      </c>
      <c r="AB2669" s="14">
        <f>IF($J2669=0,0,ROUND(MAX($J2669*1.4*1.5*1.6*1.6*2.2*2.715*2.6*1.4*1.4,8430000000*(1.651435^(MIN($E2669,123)-117)))*1,0))</f>
        <v>3091039859</v>
      </c>
      <c r="AC2669" s="11">
        <f>$E2669+21</f>
        <v>136</v>
      </c>
      <c r="AD2669" s="12">
        <f>IF($J2669=0,0,ROUND(MAX($J2669*1.4*1.5*1.6*1.6*2.2*2.715*2.6*1.4*1.4*1.5,12600000000*(1.652953^(MIN($E2669,123)-117)))*1,0))</f>
        <v>4611577749</v>
      </c>
      <c r="AE2669" s="13">
        <f>$E2669+24</f>
        <v>139</v>
      </c>
      <c r="AF2669" s="14">
        <f>IF($J2669=0,0,ROUND(MAX($J2669*1.4*1.5*1.6*1.6*2.2*2.715*2.6*1.4*1.4*1.5*1.5,18900000000*(1.65331^(MIN($E2669,123)-117)))*1,0))</f>
        <v>6914379606</v>
      </c>
      <c r="AG2669" s="11">
        <f>$E2669+27</f>
        <v>142</v>
      </c>
      <c r="AH2669" s="12">
        <f>IF($J2669=0,0,ROUND(MAX($J2669*1.4*1.5*1.6*1.6*2.2*2.715*2.6*1.4*1.4*1.5*1.5*3.2,60500000000*(1.654288^(MIN($E2669,123)-117)))*1,0))</f>
        <v>22107169230</v>
      </c>
    </row>
    <row r="2670" ht="28" customHeight="1" spans="1:34" x14ac:dyDescent="0.25">
      <c r="A2670">
        <v>2680</v>
      </c>
      <c r="B2670" t="s">
        <v>1393</v>
      </c>
      <c r="C2670" s="10" t="s">
        <v>1533</v>
      </c>
      <c r="D2670" t="s">
        <v>90</v>
      </c>
      <c r="E2670">
        <v>115</v>
      </c>
      <c r="F2670" t="s">
        <v>310</v>
      </c>
      <c r="G2670" t="s">
        <v>349</v>
      </c>
      <c r="H2670">
        <v>26</v>
      </c>
      <c r="I2670" s="11">
        <v>115</v>
      </c>
      <c r="J2670" s="12">
        <v>512000</v>
      </c>
      <c r="K2670" s="13">
        <f>$E2670+1</f>
        <v>116</v>
      </c>
      <c r="L2670" s="14">
        <f>IF($J2670=0,0,ROUND(MAX($J2670*1.4,1620000*(1.497923^(MIN($E2670,123)-117)))*1,0))</f>
        <v>721998</v>
      </c>
      <c r="M2670" s="11">
        <f>$E2670+2</f>
        <v>117</v>
      </c>
      <c r="N2670" s="12">
        <f>IF($J2670=0,0,ROUND(MAX($J2670*1.4*1.5,2190000*(1.580994^(MIN($E2670,123)-117)))*1,0))</f>
        <v>1075200</v>
      </c>
      <c r="O2670" s="13">
        <f>$E2670+4</f>
        <v>119</v>
      </c>
      <c r="P2670" s="14">
        <f>IF($J2670=0,0,ROUND(MAX($J2670*1.4*1.5*1.6,3500000*(1.57975^(MIN($E2670,123)-117)))*1,0))</f>
        <v>1720320</v>
      </c>
      <c r="Q2670" s="11">
        <f>$E2670+6</f>
        <v>121</v>
      </c>
      <c r="R2670" s="12">
        <f>IF($J2670=0,0,ROUND(MAX($J2670*1.4*1.5*1.6*1.6,13100000*(1.429962^(MIN($E2670,123)-117)))*1,0))</f>
        <v>6406522</v>
      </c>
      <c r="S2670" s="13">
        <f>$E2670+8</f>
        <v>123</v>
      </c>
      <c r="T2670" s="14">
        <f>IF($J2670=0,0,ROUND(MAX($J2670*1.4*1.5*1.6*1.6*2.2,42600000*(1.576904^(MIN($E2670,123)-117)))*1,0))</f>
        <v>17131646</v>
      </c>
      <c r="U2670" s="11">
        <f>$E2670+11</f>
        <v>126</v>
      </c>
      <c r="V2670" s="12">
        <f>IF($J2670=0,0,ROUND(MAX($J2670*1.4*1.5*1.6*1.6*2.2*2.715,354000000*(1.642074^(MIN($E2670,123)-117)))*1,0))</f>
        <v>131285817</v>
      </c>
      <c r="W2670" s="13">
        <f>$E2670+15</f>
        <v>130</v>
      </c>
      <c r="X2670" s="14">
        <f>IF($J2670=0,0,ROUND(MAX($J2670*1.4*1.5*1.6*1.6*2.2*2.715*2.6,3540000000*(1.579646^(MIN($E2670,123)-117)))*1,0))</f>
        <v>1418677620</v>
      </c>
      <c r="Y2670" s="11">
        <f>$E2670+17</f>
        <v>132</v>
      </c>
      <c r="Z2670" s="12">
        <f>IF($J2670=0,0,ROUND(MAX($J2670*1.4*1.5*1.6*1.6*2.2*2.715*2.6*1.4,6020000000*(1.651178^(MIN($E2670,123)-117)))*1,0))</f>
        <v>2208048987</v>
      </c>
      <c r="AA2670" s="13">
        <f>$E2670+19</f>
        <v>134</v>
      </c>
      <c r="AB2670" s="14">
        <f>IF($J2670=0,0,ROUND(MAX($J2670*1.4*1.5*1.6*1.6*2.2*2.715*2.6*1.4*1.4,8430000000*(1.651435^(MIN($E2670,123)-117)))*1,0))</f>
        <v>3091039859</v>
      </c>
      <c r="AC2670" s="11">
        <f>$E2670+21</f>
        <v>136</v>
      </c>
      <c r="AD2670" s="12">
        <f>IF($J2670=0,0,ROUND(MAX($J2670*1.4*1.5*1.6*1.6*2.2*2.715*2.6*1.4*1.4*1.5,12600000000*(1.652953^(MIN($E2670,123)-117)))*1,0))</f>
        <v>4611577749</v>
      </c>
      <c r="AE2670" s="13">
        <f>$E2670+24</f>
        <v>139</v>
      </c>
      <c r="AF2670" s="14">
        <f>IF($J2670=0,0,ROUND(MAX($J2670*1.4*1.5*1.6*1.6*2.2*2.715*2.6*1.4*1.4*1.5*1.5,18900000000*(1.65331^(MIN($E2670,123)-117)))*1,0))</f>
        <v>6914379606</v>
      </c>
      <c r="AG2670" s="11">
        <f>$E2670+27</f>
        <v>142</v>
      </c>
      <c r="AH2670" s="12">
        <f>IF($J2670=0,0,ROUND(MAX($J2670*1.4*1.5*1.6*1.6*2.2*2.715*2.6*1.4*1.4*1.5*1.5*3.2,60500000000*(1.654288^(MIN($E2670,123)-117)))*1,0))</f>
        <v>22107169230</v>
      </c>
    </row>
    <row r="2671" ht="28" customHeight="1" spans="1:34" x14ac:dyDescent="0.25">
      <c r="A2671">
        <v>2681</v>
      </c>
      <c r="B2671" t="s">
        <v>1587</v>
      </c>
      <c r="C2671" s="10" t="s">
        <v>1533</v>
      </c>
      <c r="D2671" t="s">
        <v>90</v>
      </c>
      <c r="E2671">
        <v>115</v>
      </c>
      <c r="F2671" t="s">
        <v>298</v>
      </c>
      <c r="G2671" t="s">
        <v>1029</v>
      </c>
      <c r="H2671">
        <v>26</v>
      </c>
      <c r="I2671" s="11">
        <v>115</v>
      </c>
      <c r="J2671" s="12">
        <v>507000</v>
      </c>
      <c r="K2671" s="13">
        <f>$E2671+1</f>
        <v>116</v>
      </c>
      <c r="L2671" s="14">
        <f>IF($J2671=0,0,ROUND(MAX($J2671*1.4,1620000*(1.497923^(MIN($E2671,123)-117)))*1,0))</f>
        <v>721998</v>
      </c>
      <c r="M2671" s="11">
        <f>$E2671+2</f>
        <v>117</v>
      </c>
      <c r="N2671" s="12">
        <f>IF($J2671=0,0,ROUND(MAX($J2671*1.4*1.5,2190000*(1.580994^(MIN($E2671,123)-117)))*1,0))</f>
        <v>1064700</v>
      </c>
      <c r="O2671" s="13">
        <f>$E2671+4</f>
        <v>119</v>
      </c>
      <c r="P2671" s="14">
        <f>IF($J2671=0,0,ROUND(MAX($J2671*1.4*1.5*1.6,3500000*(1.57975^(MIN($E2671,123)-117)))*1,0))</f>
        <v>1703520</v>
      </c>
      <c r="Q2671" s="11">
        <f>$E2671+6</f>
        <v>121</v>
      </c>
      <c r="R2671" s="12">
        <f>IF($J2671=0,0,ROUND(MAX($J2671*1.4*1.5*1.6*1.6,13100000*(1.429962^(MIN($E2671,123)-117)))*1,0))</f>
        <v>6406522</v>
      </c>
      <c r="S2671" s="13">
        <f>$E2671+8</f>
        <v>123</v>
      </c>
      <c r="T2671" s="14">
        <f>IF($J2671=0,0,ROUND(MAX($J2671*1.4*1.5*1.6*1.6*2.2,42600000*(1.576904^(MIN($E2671,123)-117)))*1,0))</f>
        <v>17131646</v>
      </c>
      <c r="U2671" s="11">
        <f>$E2671+11</f>
        <v>126</v>
      </c>
      <c r="V2671" s="12">
        <f>IF($J2671=0,0,ROUND(MAX($J2671*1.4*1.5*1.6*1.6*2.2*2.715,354000000*(1.642074^(MIN($E2671,123)-117)))*1,0))</f>
        <v>131285817</v>
      </c>
      <c r="W2671" s="13">
        <f>$E2671+15</f>
        <v>130</v>
      </c>
      <c r="X2671" s="14">
        <f>IF($J2671=0,0,ROUND(MAX($J2671*1.4*1.5*1.6*1.6*2.2*2.715*2.6,3540000000*(1.579646^(MIN($E2671,123)-117)))*1,0))</f>
        <v>1418677620</v>
      </c>
      <c r="Y2671" s="11">
        <f>$E2671+17</f>
        <v>132</v>
      </c>
      <c r="Z2671" s="12">
        <f>IF($J2671=0,0,ROUND(MAX($J2671*1.4*1.5*1.6*1.6*2.2*2.715*2.6*1.4,6020000000*(1.651178^(MIN($E2671,123)-117)))*1,0))</f>
        <v>2208048987</v>
      </c>
      <c r="AA2671" s="13">
        <f>$E2671+19</f>
        <v>134</v>
      </c>
      <c r="AB2671" s="14">
        <f>IF($J2671=0,0,ROUND(MAX($J2671*1.4*1.5*1.6*1.6*2.2*2.715*2.6*1.4*1.4,8430000000*(1.651435^(MIN($E2671,123)-117)))*1,0))</f>
        <v>3091039859</v>
      </c>
      <c r="AC2671" s="11">
        <f>$E2671+21</f>
        <v>136</v>
      </c>
      <c r="AD2671" s="12">
        <f>IF($J2671=0,0,ROUND(MAX($J2671*1.4*1.5*1.6*1.6*2.2*2.715*2.6*1.4*1.4*1.5,12600000000*(1.652953^(MIN($E2671,123)-117)))*1,0))</f>
        <v>4611577749</v>
      </c>
      <c r="AE2671" s="13">
        <f>$E2671+24</f>
        <v>139</v>
      </c>
      <c r="AF2671" s="14">
        <f>IF($J2671=0,0,ROUND(MAX($J2671*1.4*1.5*1.6*1.6*2.2*2.715*2.6*1.4*1.4*1.5*1.5,18900000000*(1.65331^(MIN($E2671,123)-117)))*1,0))</f>
        <v>6914379606</v>
      </c>
      <c r="AG2671" s="11">
        <f>$E2671+27</f>
        <v>142</v>
      </c>
      <c r="AH2671" s="12">
        <f>IF($J2671=0,0,ROUND(MAX($J2671*1.4*1.5*1.6*1.6*2.2*2.715*2.6*1.4*1.4*1.5*1.5*3.2,60500000000*(1.654288^(MIN($E2671,123)-117)))*1,0))</f>
        <v>22107169230</v>
      </c>
    </row>
    <row r="2672" ht="28" customHeight="1" spans="1:34" x14ac:dyDescent="0.25">
      <c r="A2672">
        <v>2682</v>
      </c>
      <c r="B2672" t="s">
        <v>1501</v>
      </c>
      <c r="C2672" s="10" t="s">
        <v>1533</v>
      </c>
      <c r="D2672" t="s">
        <v>75</v>
      </c>
      <c r="E2672">
        <v>115</v>
      </c>
      <c r="F2672" t="s">
        <v>54</v>
      </c>
      <c r="G2672" t="s">
        <v>832</v>
      </c>
      <c r="H2672">
        <v>26</v>
      </c>
      <c r="I2672" s="11">
        <v>115</v>
      </c>
      <c r="J2672" s="12">
        <v>510000</v>
      </c>
      <c r="K2672" s="13">
        <f>$E2672+1</f>
        <v>116</v>
      </c>
      <c r="L2672" s="14">
        <f>IF($J2672=0,0,ROUND(MAX($J2672*1.4,1620000*(1.497923^(MIN($E2672,123)-117)))*1,0))</f>
        <v>721998</v>
      </c>
      <c r="M2672" s="11">
        <f>$E2672+2</f>
        <v>117</v>
      </c>
      <c r="N2672" s="12">
        <f>IF($J2672=0,0,ROUND(MAX($J2672*1.4*1.5,2190000*(1.580994^(MIN($E2672,123)-117)))*1,0))</f>
        <v>1071000</v>
      </c>
      <c r="O2672" s="13">
        <f>$E2672+4</f>
        <v>119</v>
      </c>
      <c r="P2672" s="14">
        <f>IF($J2672=0,0,ROUND(MAX($J2672*1.4*1.5*1.6,3500000*(1.57975^(MIN($E2672,123)-117)))*1,0))</f>
        <v>1713600</v>
      </c>
      <c r="Q2672" s="11">
        <f>$E2672+6</f>
        <v>121</v>
      </c>
      <c r="R2672" s="12">
        <f>IF($J2672=0,0,ROUND(MAX($J2672*1.4*1.5*1.6*1.6,13100000*(1.429962^(MIN($E2672,123)-117)))*1,0))</f>
        <v>6406522</v>
      </c>
      <c r="S2672" s="13">
        <f>$E2672+8</f>
        <v>123</v>
      </c>
      <c r="T2672" s="14">
        <f>IF($J2672=0,0,ROUND(MAX($J2672*1.4*1.5*1.6*1.6*2.2,42600000*(1.576904^(MIN($E2672,123)-117)))*1,0))</f>
        <v>17131646</v>
      </c>
      <c r="U2672" s="11">
        <f>$E2672+11</f>
        <v>126</v>
      </c>
      <c r="V2672" s="12">
        <f>IF($J2672=0,0,ROUND(MAX($J2672*1.4*1.5*1.6*1.6*2.2*2.715,354000000*(1.642074^(MIN($E2672,123)-117)))*1,0))</f>
        <v>131285817</v>
      </c>
      <c r="W2672" s="13">
        <f>$E2672+15</f>
        <v>130</v>
      </c>
      <c r="X2672" s="14">
        <f>IF($J2672=0,0,ROUND(MAX($J2672*1.4*1.5*1.6*1.6*2.2*2.715*2.6,3540000000*(1.579646^(MIN($E2672,123)-117)))*1,0))</f>
        <v>1418677620</v>
      </c>
      <c r="Y2672" s="11">
        <f>$E2672+17</f>
        <v>132</v>
      </c>
      <c r="Z2672" s="12">
        <f>IF($J2672=0,0,ROUND(MAX($J2672*1.4*1.5*1.6*1.6*2.2*2.715*2.6*1.4,6020000000*(1.651178^(MIN($E2672,123)-117)))*1,0))</f>
        <v>2208048987</v>
      </c>
      <c r="AA2672" s="13">
        <f>$E2672+19</f>
        <v>134</v>
      </c>
      <c r="AB2672" s="14">
        <f>IF($J2672=0,0,ROUND(MAX($J2672*1.4*1.5*1.6*1.6*2.2*2.715*2.6*1.4*1.4,8430000000*(1.651435^(MIN($E2672,123)-117)))*1,0))</f>
        <v>3091039859</v>
      </c>
      <c r="AC2672" s="11">
        <f>$E2672+21</f>
        <v>136</v>
      </c>
      <c r="AD2672" s="12">
        <f>IF($J2672=0,0,ROUND(MAX($J2672*1.4*1.5*1.6*1.6*2.2*2.715*2.6*1.4*1.4*1.5,12600000000*(1.652953^(MIN($E2672,123)-117)))*1,0))</f>
        <v>4611577749</v>
      </c>
      <c r="AE2672" s="13">
        <f>$E2672+24</f>
        <v>139</v>
      </c>
      <c r="AF2672" s="14">
        <f>IF($J2672=0,0,ROUND(MAX($J2672*1.4*1.5*1.6*1.6*2.2*2.715*2.6*1.4*1.4*1.5*1.5,18900000000*(1.65331^(MIN($E2672,123)-117)))*1,0))</f>
        <v>6914379606</v>
      </c>
      <c r="AG2672" s="11">
        <f>$E2672+27</f>
        <v>142</v>
      </c>
      <c r="AH2672" s="12">
        <f>IF($J2672=0,0,ROUND(MAX($J2672*1.4*1.5*1.6*1.6*2.2*2.715*2.6*1.4*1.4*1.5*1.5*3.2,60500000000*(1.654288^(MIN($E2672,123)-117)))*1,0))</f>
        <v>22107169230</v>
      </c>
    </row>
    <row r="2673" ht="28" customHeight="1" spans="1:34" x14ac:dyDescent="0.25">
      <c r="A2673">
        <v>2683</v>
      </c>
      <c r="B2673" t="s">
        <v>1140</v>
      </c>
      <c r="C2673" s="10" t="s">
        <v>1533</v>
      </c>
      <c r="D2673" t="s">
        <v>75</v>
      </c>
      <c r="E2673">
        <v>115</v>
      </c>
      <c r="F2673" t="s">
        <v>298</v>
      </c>
      <c r="G2673" t="s">
        <v>329</v>
      </c>
      <c r="H2673">
        <v>26</v>
      </c>
      <c r="I2673" s="11">
        <v>115</v>
      </c>
      <c r="J2673" s="12">
        <v>506000</v>
      </c>
      <c r="K2673" s="13">
        <f>$E2673+1</f>
        <v>116</v>
      </c>
      <c r="L2673" s="14">
        <f>IF($J2673=0,0,ROUND(MAX($J2673*1.4,1620000*(1.497923^(MIN($E2673,123)-117)))*1,0))</f>
        <v>721998</v>
      </c>
      <c r="M2673" s="11">
        <f>$E2673+2</f>
        <v>117</v>
      </c>
      <c r="N2673" s="12">
        <f>IF($J2673=0,0,ROUND(MAX($J2673*1.4*1.5,2190000*(1.580994^(MIN($E2673,123)-117)))*1,0))</f>
        <v>1062600</v>
      </c>
      <c r="O2673" s="13">
        <f>$E2673+4</f>
        <v>119</v>
      </c>
      <c r="P2673" s="14">
        <f>IF($J2673=0,0,ROUND(MAX($J2673*1.4*1.5*1.6,3500000*(1.57975^(MIN($E2673,123)-117)))*1,0))</f>
        <v>1700160</v>
      </c>
      <c r="Q2673" s="11">
        <f>$E2673+6</f>
        <v>121</v>
      </c>
      <c r="R2673" s="12">
        <f>IF($J2673=0,0,ROUND(MAX($J2673*1.4*1.5*1.6*1.6,13100000*(1.429962^(MIN($E2673,123)-117)))*1,0))</f>
        <v>6406522</v>
      </c>
      <c r="S2673" s="13">
        <f>$E2673+8</f>
        <v>123</v>
      </c>
      <c r="T2673" s="14">
        <f>IF($J2673=0,0,ROUND(MAX($J2673*1.4*1.5*1.6*1.6*2.2,42600000*(1.576904^(MIN($E2673,123)-117)))*1,0))</f>
        <v>17131646</v>
      </c>
      <c r="U2673" s="11">
        <f>$E2673+11</f>
        <v>126</v>
      </c>
      <c r="V2673" s="12">
        <f>IF($J2673=0,0,ROUND(MAX($J2673*1.4*1.5*1.6*1.6*2.2*2.715,354000000*(1.642074^(MIN($E2673,123)-117)))*1,0))</f>
        <v>131285817</v>
      </c>
      <c r="W2673" s="13">
        <f>$E2673+15</f>
        <v>130</v>
      </c>
      <c r="X2673" s="14">
        <f>IF($J2673=0,0,ROUND(MAX($J2673*1.4*1.5*1.6*1.6*2.2*2.715*2.6,3540000000*(1.579646^(MIN($E2673,123)-117)))*1,0))</f>
        <v>1418677620</v>
      </c>
      <c r="Y2673" s="11">
        <f>$E2673+17</f>
        <v>132</v>
      </c>
      <c r="Z2673" s="12">
        <f>IF($J2673=0,0,ROUND(MAX($J2673*1.4*1.5*1.6*1.6*2.2*2.715*2.6*1.4,6020000000*(1.651178^(MIN($E2673,123)-117)))*1,0))</f>
        <v>2208048987</v>
      </c>
      <c r="AA2673" s="13">
        <f>$E2673+19</f>
        <v>134</v>
      </c>
      <c r="AB2673" s="14">
        <f>IF($J2673=0,0,ROUND(MAX($J2673*1.4*1.5*1.6*1.6*2.2*2.715*2.6*1.4*1.4,8430000000*(1.651435^(MIN($E2673,123)-117)))*1,0))</f>
        <v>3091039859</v>
      </c>
      <c r="AC2673" s="11">
        <f>$E2673+21</f>
        <v>136</v>
      </c>
      <c r="AD2673" s="12">
        <f>IF($J2673=0,0,ROUND(MAX($J2673*1.4*1.5*1.6*1.6*2.2*2.715*2.6*1.4*1.4*1.5,12600000000*(1.652953^(MIN($E2673,123)-117)))*1,0))</f>
        <v>4611577749</v>
      </c>
      <c r="AE2673" s="13">
        <f>$E2673+24</f>
        <v>139</v>
      </c>
      <c r="AF2673" s="14">
        <f>IF($J2673=0,0,ROUND(MAX($J2673*1.4*1.5*1.6*1.6*2.2*2.715*2.6*1.4*1.4*1.5*1.5,18900000000*(1.65331^(MIN($E2673,123)-117)))*1,0))</f>
        <v>6914379606</v>
      </c>
      <c r="AG2673" s="11">
        <f>$E2673+27</f>
        <v>142</v>
      </c>
      <c r="AH2673" s="12">
        <f>IF($J2673=0,0,ROUND(MAX($J2673*1.4*1.5*1.6*1.6*2.2*2.715*2.6*1.4*1.4*1.5*1.5*3.2,60500000000*(1.654288^(MIN($E2673,123)-117)))*1,0))</f>
        <v>22107169230</v>
      </c>
    </row>
    <row r="2674" ht="28" customHeight="1" spans="1:34" x14ac:dyDescent="0.25">
      <c r="A2674">
        <v>2684</v>
      </c>
      <c r="B2674" t="s">
        <v>1588</v>
      </c>
      <c r="C2674" s="10" t="s">
        <v>1533</v>
      </c>
      <c r="D2674" t="s">
        <v>75</v>
      </c>
      <c r="E2674">
        <v>115</v>
      </c>
      <c r="F2674" t="s">
        <v>56</v>
      </c>
      <c r="G2674" t="s">
        <v>95</v>
      </c>
      <c r="H2674">
        <v>25</v>
      </c>
      <c r="I2674" s="11">
        <v>115</v>
      </c>
      <c r="J2674" s="12">
        <v>546000</v>
      </c>
      <c r="K2674" s="13">
        <f>$E2674+1</f>
        <v>116</v>
      </c>
      <c r="L2674" s="14">
        <f>IF($J2674=0,0,ROUND(MAX($J2674*1.4,1620000*(1.497923^(MIN($E2674,123)-117)))*1,0))</f>
        <v>764400</v>
      </c>
      <c r="M2674" s="11">
        <f>$E2674+2</f>
        <v>117</v>
      </c>
      <c r="N2674" s="12">
        <f>IF($J2674=0,0,ROUND(MAX($J2674*1.4*1.5,2190000*(1.580994^(MIN($E2674,123)-117)))*1,0))</f>
        <v>1146600</v>
      </c>
      <c r="O2674" s="13">
        <f>$E2674+4</f>
        <v>119</v>
      </c>
      <c r="P2674" s="14">
        <f>IF($J2674=0,0,ROUND(MAX($J2674*1.4*1.5*1.6,3500000*(1.57975^(MIN($E2674,123)-117)))*1,0))</f>
        <v>1834560</v>
      </c>
      <c r="Q2674" s="11">
        <f>$E2674+6</f>
        <v>121</v>
      </c>
      <c r="R2674" s="12">
        <f>IF($J2674=0,0,ROUND(MAX($J2674*1.4*1.5*1.6*1.6,13100000*(1.429962^(MIN($E2674,123)-117)))*1,0))</f>
        <v>6406522</v>
      </c>
      <c r="S2674" s="13">
        <f>$E2674+8</f>
        <v>123</v>
      </c>
      <c r="T2674" s="14">
        <f>IF($J2674=0,0,ROUND(MAX($J2674*1.4*1.5*1.6*1.6*2.2,42600000*(1.576904^(MIN($E2674,123)-117)))*1,0))</f>
        <v>17131646</v>
      </c>
      <c r="U2674" s="11">
        <f>$E2674+11</f>
        <v>126</v>
      </c>
      <c r="V2674" s="12">
        <f>IF($J2674=0,0,ROUND(MAX($J2674*1.4*1.5*1.6*1.6*2.2*2.715,354000000*(1.642074^(MIN($E2674,123)-117)))*1,0))</f>
        <v>131285817</v>
      </c>
      <c r="W2674" s="13">
        <f>$E2674+15</f>
        <v>130</v>
      </c>
      <c r="X2674" s="14">
        <f>IF($J2674=0,0,ROUND(MAX($J2674*1.4*1.5*1.6*1.6*2.2*2.715*2.6,3540000000*(1.579646^(MIN($E2674,123)-117)))*1,0))</f>
        <v>1418677620</v>
      </c>
      <c r="Y2674" s="11">
        <f>$E2674+17</f>
        <v>132</v>
      </c>
      <c r="Z2674" s="12">
        <f>IF($J2674=0,0,ROUND(MAX($J2674*1.4*1.5*1.6*1.6*2.2*2.715*2.6*1.4,6020000000*(1.651178^(MIN($E2674,123)-117)))*1,0))</f>
        <v>2208048987</v>
      </c>
      <c r="AA2674" s="13">
        <f>$E2674+19</f>
        <v>134</v>
      </c>
      <c r="AB2674" s="14">
        <f>IF($J2674=0,0,ROUND(MAX($J2674*1.4*1.5*1.6*1.6*2.2*2.715*2.6*1.4*1.4,8430000000*(1.651435^(MIN($E2674,123)-117)))*1,0))</f>
        <v>3091039859</v>
      </c>
      <c r="AC2674" s="11">
        <f>$E2674+21</f>
        <v>136</v>
      </c>
      <c r="AD2674" s="12">
        <f>IF($J2674=0,0,ROUND(MAX($J2674*1.4*1.5*1.6*1.6*2.2*2.715*2.6*1.4*1.4*1.5,12600000000*(1.652953^(MIN($E2674,123)-117)))*1,0))</f>
        <v>4611577749</v>
      </c>
      <c r="AE2674" s="13">
        <f>$E2674+24</f>
        <v>139</v>
      </c>
      <c r="AF2674" s="14">
        <f>IF($J2674=0,0,ROUND(MAX($J2674*1.4*1.5*1.6*1.6*2.2*2.715*2.6*1.4*1.4*1.5*1.5,18900000000*(1.65331^(MIN($E2674,123)-117)))*1,0))</f>
        <v>6914379606</v>
      </c>
      <c r="AG2674" s="11">
        <f>$E2674+27</f>
        <v>142</v>
      </c>
      <c r="AH2674" s="12">
        <f>IF($J2674=0,0,ROUND(MAX($J2674*1.4*1.5*1.6*1.6*2.2*2.715*2.6*1.4*1.4*1.5*1.5*3.2,60500000000*(1.654288^(MIN($E2674,123)-117)))*1,0))</f>
        <v>22107169230</v>
      </c>
    </row>
    <row r="2675" ht="28" customHeight="1" spans="1:34" x14ac:dyDescent="0.25">
      <c r="A2675">
        <v>2685</v>
      </c>
      <c r="B2675" t="s">
        <v>1589</v>
      </c>
      <c r="C2675" s="10" t="s">
        <v>1533</v>
      </c>
      <c r="D2675" t="s">
        <v>90</v>
      </c>
      <c r="E2675">
        <v>115</v>
      </c>
      <c r="F2675" t="s">
        <v>54</v>
      </c>
      <c r="G2675" t="s">
        <v>98</v>
      </c>
      <c r="H2675">
        <v>25</v>
      </c>
      <c r="I2675" s="11">
        <v>115</v>
      </c>
      <c r="J2675" s="12">
        <v>524000</v>
      </c>
      <c r="K2675" s="13">
        <f>$E2675+1</f>
        <v>116</v>
      </c>
      <c r="L2675" s="14">
        <f>IF($J2675=0,0,ROUND(MAX($J2675*1.4,1620000*(1.497923^(MIN($E2675,123)-117)))*1,0))</f>
        <v>733600</v>
      </c>
      <c r="M2675" s="11">
        <f>$E2675+2</f>
        <v>117</v>
      </c>
      <c r="N2675" s="12">
        <f>IF($J2675=0,0,ROUND(MAX($J2675*1.4*1.5,2190000*(1.580994^(MIN($E2675,123)-117)))*1,0))</f>
        <v>1100400</v>
      </c>
      <c r="O2675" s="13">
        <f>$E2675+4</f>
        <v>119</v>
      </c>
      <c r="P2675" s="14">
        <f>IF($J2675=0,0,ROUND(MAX($J2675*1.4*1.5*1.6,3500000*(1.57975^(MIN($E2675,123)-117)))*1,0))</f>
        <v>1760640</v>
      </c>
      <c r="Q2675" s="11">
        <f>$E2675+6</f>
        <v>121</v>
      </c>
      <c r="R2675" s="12">
        <f>IF($J2675=0,0,ROUND(MAX($J2675*1.4*1.5*1.6*1.6,13100000*(1.429962^(MIN($E2675,123)-117)))*1,0))</f>
        <v>6406522</v>
      </c>
      <c r="S2675" s="13">
        <f>$E2675+8</f>
        <v>123</v>
      </c>
      <c r="T2675" s="14">
        <f>IF($J2675=0,0,ROUND(MAX($J2675*1.4*1.5*1.6*1.6*2.2,42600000*(1.576904^(MIN($E2675,123)-117)))*1,0))</f>
        <v>17131646</v>
      </c>
      <c r="U2675" s="11">
        <f>$E2675+11</f>
        <v>126</v>
      </c>
      <c r="V2675" s="12">
        <f>IF($J2675=0,0,ROUND(MAX($J2675*1.4*1.5*1.6*1.6*2.2*2.715,354000000*(1.642074^(MIN($E2675,123)-117)))*1,0))</f>
        <v>131285817</v>
      </c>
      <c r="W2675" s="13">
        <f>$E2675+15</f>
        <v>130</v>
      </c>
      <c r="X2675" s="14">
        <f>IF($J2675=0,0,ROUND(MAX($J2675*1.4*1.5*1.6*1.6*2.2*2.715*2.6,3540000000*(1.579646^(MIN($E2675,123)-117)))*1,0))</f>
        <v>1418677620</v>
      </c>
      <c r="Y2675" s="11">
        <f>$E2675+17</f>
        <v>132</v>
      </c>
      <c r="Z2675" s="12">
        <f>IF($J2675=0,0,ROUND(MAX($J2675*1.4*1.5*1.6*1.6*2.2*2.715*2.6*1.4,6020000000*(1.651178^(MIN($E2675,123)-117)))*1,0))</f>
        <v>2208048987</v>
      </c>
      <c r="AA2675" s="13">
        <f>$E2675+19</f>
        <v>134</v>
      </c>
      <c r="AB2675" s="14">
        <f>IF($J2675=0,0,ROUND(MAX($J2675*1.4*1.5*1.6*1.6*2.2*2.715*2.6*1.4*1.4,8430000000*(1.651435^(MIN($E2675,123)-117)))*1,0))</f>
        <v>3091039859</v>
      </c>
      <c r="AC2675" s="11">
        <f>$E2675+21</f>
        <v>136</v>
      </c>
      <c r="AD2675" s="12">
        <f>IF($J2675=0,0,ROUND(MAX($J2675*1.4*1.5*1.6*1.6*2.2*2.715*2.6*1.4*1.4*1.5,12600000000*(1.652953^(MIN($E2675,123)-117)))*1,0))</f>
        <v>4611577749</v>
      </c>
      <c r="AE2675" s="13">
        <f>$E2675+24</f>
        <v>139</v>
      </c>
      <c r="AF2675" s="14">
        <f>IF($J2675=0,0,ROUND(MAX($J2675*1.4*1.5*1.6*1.6*2.2*2.715*2.6*1.4*1.4*1.5*1.5,18900000000*(1.65331^(MIN($E2675,123)-117)))*1,0))</f>
        <v>6914379606</v>
      </c>
      <c r="AG2675" s="11">
        <f>$E2675+27</f>
        <v>142</v>
      </c>
      <c r="AH2675" s="12">
        <f>IF($J2675=0,0,ROUND(MAX($J2675*1.4*1.5*1.6*1.6*2.2*2.715*2.6*1.4*1.4*1.5*1.5*3.2,60500000000*(1.654288^(MIN($E2675,123)-117)))*1,0))</f>
        <v>22107169230</v>
      </c>
    </row>
    <row r="2676" ht="28" customHeight="1" spans="1:34" x14ac:dyDescent="0.25">
      <c r="A2676">
        <v>2686</v>
      </c>
      <c r="B2676" t="s">
        <v>744</v>
      </c>
      <c r="C2676" s="10" t="s">
        <v>1533</v>
      </c>
      <c r="D2676" t="s">
        <v>47</v>
      </c>
      <c r="E2676">
        <v>115</v>
      </c>
      <c r="F2676" t="s">
        <v>412</v>
      </c>
      <c r="G2676" t="s">
        <v>351</v>
      </c>
      <c r="H2676">
        <v>25</v>
      </c>
      <c r="I2676" s="11">
        <v>115</v>
      </c>
      <c r="J2676" s="12">
        <v>552000</v>
      </c>
      <c r="K2676" s="13">
        <f>$E2676+1</f>
        <v>116</v>
      </c>
      <c r="L2676" s="14">
        <f>IF($J2676=0,0,ROUND(MAX($J2676*1.4,1620000*(1.497923^(MIN($E2676,123)-117)))*1,0))</f>
        <v>772800</v>
      </c>
      <c r="M2676" s="11">
        <f>$E2676+2</f>
        <v>117</v>
      </c>
      <c r="N2676" s="12">
        <f>IF($J2676=0,0,ROUND(MAX($J2676*1.4*1.5,2190000*(1.580994^(MIN($E2676,123)-117)))*1,0))</f>
        <v>1159200</v>
      </c>
      <c r="O2676" s="13">
        <f>$E2676+4</f>
        <v>119</v>
      </c>
      <c r="P2676" s="14">
        <f>IF($J2676=0,0,ROUND(MAX($J2676*1.4*1.5*1.6,3500000*(1.57975^(MIN($E2676,123)-117)))*1,0))</f>
        <v>1854720</v>
      </c>
      <c r="Q2676" s="11">
        <f>$E2676+6</f>
        <v>121</v>
      </c>
      <c r="R2676" s="12">
        <f>IF($J2676=0,0,ROUND(MAX($J2676*1.4*1.5*1.6*1.6,13100000*(1.429962^(MIN($E2676,123)-117)))*1,0))</f>
        <v>6406522</v>
      </c>
      <c r="S2676" s="13">
        <f>$E2676+8</f>
        <v>123</v>
      </c>
      <c r="T2676" s="14">
        <f>IF($J2676=0,0,ROUND(MAX($J2676*1.4*1.5*1.6*1.6*2.2,42600000*(1.576904^(MIN($E2676,123)-117)))*1,0))</f>
        <v>17131646</v>
      </c>
      <c r="U2676" s="11">
        <f>$E2676+11</f>
        <v>126</v>
      </c>
      <c r="V2676" s="12">
        <f>IF($J2676=0,0,ROUND(MAX($J2676*1.4*1.5*1.6*1.6*2.2*2.715,354000000*(1.642074^(MIN($E2676,123)-117)))*1,0))</f>
        <v>131285817</v>
      </c>
      <c r="W2676" s="13">
        <f>$E2676+15</f>
        <v>130</v>
      </c>
      <c r="X2676" s="14">
        <f>IF($J2676=0,0,ROUND(MAX($J2676*1.4*1.5*1.6*1.6*2.2*2.715*2.6,3540000000*(1.579646^(MIN($E2676,123)-117)))*1,0))</f>
        <v>1418677620</v>
      </c>
      <c r="Y2676" s="11">
        <f>$E2676+17</f>
        <v>132</v>
      </c>
      <c r="Z2676" s="12">
        <f>IF($J2676=0,0,ROUND(MAX($J2676*1.4*1.5*1.6*1.6*2.2*2.715*2.6*1.4,6020000000*(1.651178^(MIN($E2676,123)-117)))*1,0))</f>
        <v>2208048987</v>
      </c>
      <c r="AA2676" s="13">
        <f>$E2676+19</f>
        <v>134</v>
      </c>
      <c r="AB2676" s="14">
        <f>IF($J2676=0,0,ROUND(MAX($J2676*1.4*1.5*1.6*1.6*2.2*2.715*2.6*1.4*1.4,8430000000*(1.651435^(MIN($E2676,123)-117)))*1,0))</f>
        <v>3091039859</v>
      </c>
      <c r="AC2676" s="11">
        <f>$E2676+21</f>
        <v>136</v>
      </c>
      <c r="AD2676" s="12">
        <f>IF($J2676=0,0,ROUND(MAX($J2676*1.4*1.5*1.6*1.6*2.2*2.715*2.6*1.4*1.4*1.5,12600000000*(1.652953^(MIN($E2676,123)-117)))*1,0))</f>
        <v>4611577749</v>
      </c>
      <c r="AE2676" s="13">
        <f>$E2676+24</f>
        <v>139</v>
      </c>
      <c r="AF2676" s="14">
        <f>IF($J2676=0,0,ROUND(MAX($J2676*1.4*1.5*1.6*1.6*2.2*2.715*2.6*1.4*1.4*1.5*1.5,18900000000*(1.65331^(MIN($E2676,123)-117)))*1,0))</f>
        <v>6914379606</v>
      </c>
      <c r="AG2676" s="11">
        <f>$E2676+27</f>
        <v>142</v>
      </c>
      <c r="AH2676" s="12">
        <f>IF($J2676=0,0,ROUND(MAX($J2676*1.4*1.5*1.6*1.6*2.2*2.715*2.6*1.4*1.4*1.5*1.5*3.2,60500000000*(1.654288^(MIN($E2676,123)-117)))*1,0))</f>
        <v>22107169230</v>
      </c>
    </row>
    <row r="2677" ht="28" customHeight="1" spans="1:34" x14ac:dyDescent="0.25">
      <c r="A2677">
        <v>2687</v>
      </c>
      <c r="B2677" t="s">
        <v>625</v>
      </c>
      <c r="C2677" s="10" t="s">
        <v>1533</v>
      </c>
      <c r="D2677" t="s">
        <v>47</v>
      </c>
      <c r="E2677">
        <v>115</v>
      </c>
      <c r="F2677" t="s">
        <v>30</v>
      </c>
      <c r="G2677" t="s">
        <v>133</v>
      </c>
      <c r="H2677">
        <v>25</v>
      </c>
      <c r="I2677" s="11">
        <v>115</v>
      </c>
      <c r="J2677" s="12">
        <v>489000</v>
      </c>
      <c r="K2677" s="13">
        <f>$E2677+1</f>
        <v>116</v>
      </c>
      <c r="L2677" s="14">
        <f>IF($J2677=0,0,ROUND(MAX($J2677*1.4,1620000*(1.497923^(MIN($E2677,123)-117)))*1,0))</f>
        <v>721998</v>
      </c>
      <c r="M2677" s="11">
        <f>$E2677+2</f>
        <v>117</v>
      </c>
      <c r="N2677" s="12">
        <f>IF($J2677=0,0,ROUND(MAX($J2677*1.4*1.5,2190000*(1.580994^(MIN($E2677,123)-117)))*1,0))</f>
        <v>1026900</v>
      </c>
      <c r="O2677" s="13">
        <f>$E2677+4</f>
        <v>119</v>
      </c>
      <c r="P2677" s="14">
        <f>IF($J2677=0,0,ROUND(MAX($J2677*1.4*1.5*1.6,3500000*(1.57975^(MIN($E2677,123)-117)))*1,0))</f>
        <v>1643040</v>
      </c>
      <c r="Q2677" s="11">
        <f>$E2677+6</f>
        <v>121</v>
      </c>
      <c r="R2677" s="12">
        <f>IF($J2677=0,0,ROUND(MAX($J2677*1.4*1.5*1.6*1.6,13100000*(1.429962^(MIN($E2677,123)-117)))*1,0))</f>
        <v>6406522</v>
      </c>
      <c r="S2677" s="13">
        <f>$E2677+8</f>
        <v>123</v>
      </c>
      <c r="T2677" s="14">
        <f>IF($J2677=0,0,ROUND(MAX($J2677*1.4*1.5*1.6*1.6*2.2,42600000*(1.576904^(MIN($E2677,123)-117)))*1,0))</f>
        <v>17131646</v>
      </c>
      <c r="U2677" s="11">
        <f>$E2677+11</f>
        <v>126</v>
      </c>
      <c r="V2677" s="12">
        <f>IF($J2677=0,0,ROUND(MAX($J2677*1.4*1.5*1.6*1.6*2.2*2.715,354000000*(1.642074^(MIN($E2677,123)-117)))*1,0))</f>
        <v>131285817</v>
      </c>
      <c r="W2677" s="13">
        <f>$E2677+15</f>
        <v>130</v>
      </c>
      <c r="X2677" s="14">
        <f>IF($J2677=0,0,ROUND(MAX($J2677*1.4*1.5*1.6*1.6*2.2*2.715*2.6,3540000000*(1.579646^(MIN($E2677,123)-117)))*1,0))</f>
        <v>1418677620</v>
      </c>
      <c r="Y2677" s="11">
        <f>$E2677+17</f>
        <v>132</v>
      </c>
      <c r="Z2677" s="12">
        <f>IF($J2677=0,0,ROUND(MAX($J2677*1.4*1.5*1.6*1.6*2.2*2.715*2.6*1.4,6020000000*(1.651178^(MIN($E2677,123)-117)))*1,0))</f>
        <v>2208048987</v>
      </c>
      <c r="AA2677" s="13">
        <f>$E2677+19</f>
        <v>134</v>
      </c>
      <c r="AB2677" s="14">
        <f>IF($J2677=0,0,ROUND(MAX($J2677*1.4*1.5*1.6*1.6*2.2*2.715*2.6*1.4*1.4,8430000000*(1.651435^(MIN($E2677,123)-117)))*1,0))</f>
        <v>3091039859</v>
      </c>
      <c r="AC2677" s="11">
        <f>$E2677+21</f>
        <v>136</v>
      </c>
      <c r="AD2677" s="12">
        <f>IF($J2677=0,0,ROUND(MAX($J2677*1.4*1.5*1.6*1.6*2.2*2.715*2.6*1.4*1.4*1.5,12600000000*(1.652953^(MIN($E2677,123)-117)))*1,0))</f>
        <v>4611577749</v>
      </c>
      <c r="AE2677" s="13">
        <f>$E2677+24</f>
        <v>139</v>
      </c>
      <c r="AF2677" s="14">
        <f>IF($J2677=0,0,ROUND(MAX($J2677*1.4*1.5*1.6*1.6*2.2*2.715*2.6*1.4*1.4*1.5*1.5,18900000000*(1.65331^(MIN($E2677,123)-117)))*1,0))</f>
        <v>6914379606</v>
      </c>
      <c r="AG2677" s="11">
        <f>$E2677+27</f>
        <v>142</v>
      </c>
      <c r="AH2677" s="12">
        <f>IF($J2677=0,0,ROUND(MAX($J2677*1.4*1.5*1.6*1.6*2.2*2.715*2.6*1.4*1.4*1.5*1.5*3.2,60500000000*(1.654288^(MIN($E2677,123)-117)))*1,0))</f>
        <v>22107169230</v>
      </c>
    </row>
    <row r="2678" ht="28" customHeight="1" spans="1:34" x14ac:dyDescent="0.25">
      <c r="A2678">
        <v>2688</v>
      </c>
      <c r="B2678" t="s">
        <v>446</v>
      </c>
      <c r="C2678" s="10" t="s">
        <v>1533</v>
      </c>
      <c r="D2678" t="s">
        <v>47</v>
      </c>
      <c r="E2678">
        <v>115</v>
      </c>
      <c r="F2678" t="s">
        <v>34</v>
      </c>
      <c r="G2678" t="s">
        <v>379</v>
      </c>
      <c r="H2678">
        <v>25</v>
      </c>
      <c r="I2678" s="11">
        <v>115</v>
      </c>
      <c r="J2678" s="12">
        <v>523000</v>
      </c>
      <c r="K2678" s="13">
        <f>$E2678+1</f>
        <v>116</v>
      </c>
      <c r="L2678" s="14">
        <f>IF($J2678=0,0,ROUND(MAX($J2678*1.4,1620000*(1.497923^(MIN($E2678,123)-117)))*1,0))</f>
        <v>732200</v>
      </c>
      <c r="M2678" s="11">
        <f>$E2678+2</f>
        <v>117</v>
      </c>
      <c r="N2678" s="12">
        <f>IF($J2678=0,0,ROUND(MAX($J2678*1.4*1.5,2190000*(1.580994^(MIN($E2678,123)-117)))*1,0))</f>
        <v>1098300</v>
      </c>
      <c r="O2678" s="13">
        <f>$E2678+4</f>
        <v>119</v>
      </c>
      <c r="P2678" s="14">
        <f>IF($J2678=0,0,ROUND(MAX($J2678*1.4*1.5*1.6,3500000*(1.57975^(MIN($E2678,123)-117)))*1,0))</f>
        <v>1757280</v>
      </c>
      <c r="Q2678" s="11">
        <f>$E2678+6</f>
        <v>121</v>
      </c>
      <c r="R2678" s="12">
        <f>IF($J2678=0,0,ROUND(MAX($J2678*1.4*1.5*1.6*1.6,13100000*(1.429962^(MIN($E2678,123)-117)))*1,0))</f>
        <v>6406522</v>
      </c>
      <c r="S2678" s="13">
        <f>$E2678+8</f>
        <v>123</v>
      </c>
      <c r="T2678" s="14">
        <f>IF($J2678=0,0,ROUND(MAX($J2678*1.4*1.5*1.6*1.6*2.2,42600000*(1.576904^(MIN($E2678,123)-117)))*1,0))</f>
        <v>17131646</v>
      </c>
      <c r="U2678" s="11">
        <f>$E2678+11</f>
        <v>126</v>
      </c>
      <c r="V2678" s="12">
        <f>IF($J2678=0,0,ROUND(MAX($J2678*1.4*1.5*1.6*1.6*2.2*2.715,354000000*(1.642074^(MIN($E2678,123)-117)))*1,0))</f>
        <v>131285817</v>
      </c>
      <c r="W2678" s="13">
        <f>$E2678+15</f>
        <v>130</v>
      </c>
      <c r="X2678" s="14">
        <f>IF($J2678=0,0,ROUND(MAX($J2678*1.4*1.5*1.6*1.6*2.2*2.715*2.6,3540000000*(1.579646^(MIN($E2678,123)-117)))*1,0))</f>
        <v>1418677620</v>
      </c>
      <c r="Y2678" s="11">
        <f>$E2678+17</f>
        <v>132</v>
      </c>
      <c r="Z2678" s="12">
        <f>IF($J2678=0,0,ROUND(MAX($J2678*1.4*1.5*1.6*1.6*2.2*2.715*2.6*1.4,6020000000*(1.651178^(MIN($E2678,123)-117)))*1,0))</f>
        <v>2208048987</v>
      </c>
      <c r="AA2678" s="13">
        <f>$E2678+19</f>
        <v>134</v>
      </c>
      <c r="AB2678" s="14">
        <f>IF($J2678=0,0,ROUND(MAX($J2678*1.4*1.5*1.6*1.6*2.2*2.715*2.6*1.4*1.4,8430000000*(1.651435^(MIN($E2678,123)-117)))*1,0))</f>
        <v>3091039859</v>
      </c>
      <c r="AC2678" s="11">
        <f>$E2678+21</f>
        <v>136</v>
      </c>
      <c r="AD2678" s="12">
        <f>IF($J2678=0,0,ROUND(MAX($J2678*1.4*1.5*1.6*1.6*2.2*2.715*2.6*1.4*1.4*1.5,12600000000*(1.652953^(MIN($E2678,123)-117)))*1,0))</f>
        <v>4611577749</v>
      </c>
      <c r="AE2678" s="13">
        <f>$E2678+24</f>
        <v>139</v>
      </c>
      <c r="AF2678" s="14">
        <f>IF($J2678=0,0,ROUND(MAX($J2678*1.4*1.5*1.6*1.6*2.2*2.715*2.6*1.4*1.4*1.5*1.5,18900000000*(1.65331^(MIN($E2678,123)-117)))*1,0))</f>
        <v>6914379606</v>
      </c>
      <c r="AG2678" s="11">
        <f>$E2678+27</f>
        <v>142</v>
      </c>
      <c r="AH2678" s="12">
        <f>IF($J2678=0,0,ROUND(MAX($J2678*1.4*1.5*1.6*1.6*2.2*2.715*2.6*1.4*1.4*1.5*1.5*3.2,60500000000*(1.654288^(MIN($E2678,123)-117)))*1,0))</f>
        <v>22107169230</v>
      </c>
    </row>
    <row r="2679" ht="28" customHeight="1" spans="1:34" x14ac:dyDescent="0.25">
      <c r="A2679">
        <v>2689</v>
      </c>
      <c r="B2679" t="s">
        <v>1590</v>
      </c>
      <c r="C2679" s="10" t="s">
        <v>1533</v>
      </c>
      <c r="D2679" t="s">
        <v>47</v>
      </c>
      <c r="E2679">
        <v>115</v>
      </c>
      <c r="F2679" t="s">
        <v>97</v>
      </c>
      <c r="G2679" t="s">
        <v>1591</v>
      </c>
      <c r="H2679">
        <v>24</v>
      </c>
      <c r="I2679" s="11">
        <v>115</v>
      </c>
      <c r="J2679" s="12">
        <v>669000</v>
      </c>
      <c r="K2679" s="13">
        <f>$E2679+1</f>
        <v>116</v>
      </c>
      <c r="L2679" s="14">
        <f>IF($J2679=0,0,ROUND(MAX($J2679*1.4,1620000*(1.497923^(MIN($E2679,123)-117)))*1,0))</f>
        <v>936600</v>
      </c>
      <c r="M2679" s="11">
        <f>$E2679+2</f>
        <v>117</v>
      </c>
      <c r="N2679" s="12">
        <f>IF($J2679=0,0,ROUND(MAX($J2679*1.4*1.5,2190000*(1.580994^(MIN($E2679,123)-117)))*1,0))</f>
        <v>1404900</v>
      </c>
      <c r="O2679" s="13">
        <f>$E2679+4</f>
        <v>119</v>
      </c>
      <c r="P2679" s="14">
        <f>IF($J2679=0,0,ROUND(MAX($J2679*1.4*1.5*1.6,3500000*(1.57975^(MIN($E2679,123)-117)))*1,0))</f>
        <v>2247840</v>
      </c>
      <c r="Q2679" s="11">
        <f>$E2679+6</f>
        <v>121</v>
      </c>
      <c r="R2679" s="12">
        <f>IF($J2679=0,0,ROUND(MAX($J2679*1.4*1.5*1.6*1.6,13100000*(1.429962^(MIN($E2679,123)-117)))*1,0))</f>
        <v>6406522</v>
      </c>
      <c r="S2679" s="13">
        <f>$E2679+8</f>
        <v>123</v>
      </c>
      <c r="T2679" s="14">
        <f>IF($J2679=0,0,ROUND(MAX($J2679*1.4*1.5*1.6*1.6*2.2,42600000*(1.576904^(MIN($E2679,123)-117)))*1,0))</f>
        <v>17131646</v>
      </c>
      <c r="U2679" s="11">
        <f>$E2679+11</f>
        <v>126</v>
      </c>
      <c r="V2679" s="12">
        <f>IF($J2679=0,0,ROUND(MAX($J2679*1.4*1.5*1.6*1.6*2.2*2.715,354000000*(1.642074^(MIN($E2679,123)-117)))*1,0))</f>
        <v>131285817</v>
      </c>
      <c r="W2679" s="13">
        <f>$E2679+15</f>
        <v>130</v>
      </c>
      <c r="X2679" s="14">
        <f>IF($J2679=0,0,ROUND(MAX($J2679*1.4*1.5*1.6*1.6*2.2*2.715*2.6,3540000000*(1.579646^(MIN($E2679,123)-117)))*1,0))</f>
        <v>1418677620</v>
      </c>
      <c r="Y2679" s="11">
        <f>$E2679+17</f>
        <v>132</v>
      </c>
      <c r="Z2679" s="12">
        <f>IF($J2679=0,0,ROUND(MAX($J2679*1.4*1.5*1.6*1.6*2.2*2.715*2.6*1.4,6020000000*(1.651178^(MIN($E2679,123)-117)))*1,0))</f>
        <v>2208048987</v>
      </c>
      <c r="AA2679" s="13">
        <f>$E2679+19</f>
        <v>134</v>
      </c>
      <c r="AB2679" s="14">
        <f>IF($J2679=0,0,ROUND(MAX($J2679*1.4*1.5*1.6*1.6*2.2*2.715*2.6*1.4*1.4,8430000000*(1.651435^(MIN($E2679,123)-117)))*1,0))</f>
        <v>3091039859</v>
      </c>
      <c r="AC2679" s="11">
        <f>$E2679+21</f>
        <v>136</v>
      </c>
      <c r="AD2679" s="12">
        <f>IF($J2679=0,0,ROUND(MAX($J2679*1.4*1.5*1.6*1.6*2.2*2.715*2.6*1.4*1.4*1.5,12600000000*(1.652953^(MIN($E2679,123)-117)))*1,0))</f>
        <v>4611577749</v>
      </c>
      <c r="AE2679" s="13">
        <f>$E2679+24</f>
        <v>139</v>
      </c>
      <c r="AF2679" s="14">
        <f>IF($J2679=0,0,ROUND(MAX($J2679*1.4*1.5*1.6*1.6*2.2*2.715*2.6*1.4*1.4*1.5*1.5,18900000000*(1.65331^(MIN($E2679,123)-117)))*1,0))</f>
        <v>6914379606</v>
      </c>
      <c r="AG2679" s="11">
        <f>$E2679+27</f>
        <v>142</v>
      </c>
      <c r="AH2679" s="12">
        <f>IF($J2679=0,0,ROUND(MAX($J2679*1.4*1.5*1.6*1.6*2.2*2.715*2.6*1.4*1.4*1.5*1.5*3.2,60500000000*(1.654288^(MIN($E2679,123)-117)))*1,0))</f>
        <v>22107169230</v>
      </c>
    </row>
    <row r="2680" ht="28" customHeight="1" spans="1:34" x14ac:dyDescent="0.25">
      <c r="A2680">
        <v>2690</v>
      </c>
      <c r="B2680" t="s">
        <v>327</v>
      </c>
      <c r="C2680" s="10" t="s">
        <v>1533</v>
      </c>
      <c r="D2680" t="s">
        <v>47</v>
      </c>
      <c r="E2680">
        <v>115</v>
      </c>
      <c r="F2680" t="s">
        <v>310</v>
      </c>
      <c r="G2680" t="s">
        <v>38</v>
      </c>
      <c r="H2680">
        <v>24</v>
      </c>
      <c r="I2680" s="11">
        <v>115</v>
      </c>
      <c r="J2680" s="12">
        <v>566000</v>
      </c>
      <c r="K2680" s="13">
        <f>$E2680+1</f>
        <v>116</v>
      </c>
      <c r="L2680" s="14">
        <f>IF($J2680=0,0,ROUND(MAX($J2680*1.4,1620000*(1.497923^(MIN($E2680,123)-117)))*1,0))</f>
        <v>792400</v>
      </c>
      <c r="M2680" s="11">
        <f>$E2680+2</f>
        <v>117</v>
      </c>
      <c r="N2680" s="12">
        <f>IF($J2680=0,0,ROUND(MAX($J2680*1.4*1.5,2190000*(1.580994^(MIN($E2680,123)-117)))*1,0))</f>
        <v>1188600</v>
      </c>
      <c r="O2680" s="13">
        <f>$E2680+4</f>
        <v>119</v>
      </c>
      <c r="P2680" s="14">
        <f>IF($J2680=0,0,ROUND(MAX($J2680*1.4*1.5*1.6,3500000*(1.57975^(MIN($E2680,123)-117)))*1,0))</f>
        <v>1901760</v>
      </c>
      <c r="Q2680" s="11">
        <f>$E2680+6</f>
        <v>121</v>
      </c>
      <c r="R2680" s="12">
        <f>IF($J2680=0,0,ROUND(MAX($J2680*1.4*1.5*1.6*1.6,13100000*(1.429962^(MIN($E2680,123)-117)))*1,0))</f>
        <v>6406522</v>
      </c>
      <c r="S2680" s="13">
        <f>$E2680+8</f>
        <v>123</v>
      </c>
      <c r="T2680" s="14">
        <f>IF($J2680=0,0,ROUND(MAX($J2680*1.4*1.5*1.6*1.6*2.2,42600000*(1.576904^(MIN($E2680,123)-117)))*1,0))</f>
        <v>17131646</v>
      </c>
      <c r="U2680" s="11">
        <f>$E2680+11</f>
        <v>126</v>
      </c>
      <c r="V2680" s="12">
        <f>IF($J2680=0,0,ROUND(MAX($J2680*1.4*1.5*1.6*1.6*2.2*2.715,354000000*(1.642074^(MIN($E2680,123)-117)))*1,0))</f>
        <v>131285817</v>
      </c>
      <c r="W2680" s="13">
        <f>$E2680+15</f>
        <v>130</v>
      </c>
      <c r="X2680" s="14">
        <f>IF($J2680=0,0,ROUND(MAX($J2680*1.4*1.5*1.6*1.6*2.2*2.715*2.6,3540000000*(1.579646^(MIN($E2680,123)-117)))*1,0))</f>
        <v>1418677620</v>
      </c>
      <c r="Y2680" s="11">
        <f>$E2680+17</f>
        <v>132</v>
      </c>
      <c r="Z2680" s="12">
        <f>IF($J2680=0,0,ROUND(MAX($J2680*1.4*1.5*1.6*1.6*2.2*2.715*2.6*1.4,6020000000*(1.651178^(MIN($E2680,123)-117)))*1,0))</f>
        <v>2208048987</v>
      </c>
      <c r="AA2680" s="13">
        <f>$E2680+19</f>
        <v>134</v>
      </c>
      <c r="AB2680" s="14">
        <f>IF($J2680=0,0,ROUND(MAX($J2680*1.4*1.5*1.6*1.6*2.2*2.715*2.6*1.4*1.4,8430000000*(1.651435^(MIN($E2680,123)-117)))*1,0))</f>
        <v>3091039859</v>
      </c>
      <c r="AC2680" s="11">
        <f>$E2680+21</f>
        <v>136</v>
      </c>
      <c r="AD2680" s="12">
        <f>IF($J2680=0,0,ROUND(MAX($J2680*1.4*1.5*1.6*1.6*2.2*2.715*2.6*1.4*1.4*1.5,12600000000*(1.652953^(MIN($E2680,123)-117)))*1,0))</f>
        <v>4611577749</v>
      </c>
      <c r="AE2680" s="13">
        <f>$E2680+24</f>
        <v>139</v>
      </c>
      <c r="AF2680" s="14">
        <f>IF($J2680=0,0,ROUND(MAX($J2680*1.4*1.5*1.6*1.6*2.2*2.715*2.6*1.4*1.4*1.5*1.5,18900000000*(1.65331^(MIN($E2680,123)-117)))*1,0))</f>
        <v>6914379606</v>
      </c>
      <c r="AG2680" s="11">
        <f>$E2680+27</f>
        <v>142</v>
      </c>
      <c r="AH2680" s="12">
        <f>IF($J2680=0,0,ROUND(MAX($J2680*1.4*1.5*1.6*1.6*2.2*2.715*2.6*1.4*1.4*1.5*1.5*3.2,60500000000*(1.654288^(MIN($E2680,123)-117)))*1,0))</f>
        <v>22107169230</v>
      </c>
    </row>
    <row r="2681" ht="28" customHeight="1" spans="1:34" x14ac:dyDescent="0.25">
      <c r="A2681">
        <v>2691</v>
      </c>
      <c r="B2681" t="s">
        <v>1181</v>
      </c>
      <c r="C2681" s="10" t="s">
        <v>1533</v>
      </c>
      <c r="D2681" t="s">
        <v>45</v>
      </c>
      <c r="E2681">
        <v>114</v>
      </c>
      <c r="F2681" t="s">
        <v>34</v>
      </c>
      <c r="G2681" t="s">
        <v>35</v>
      </c>
      <c r="H2681">
        <v>28</v>
      </c>
      <c r="I2681" s="11">
        <v>114</v>
      </c>
      <c r="J2681" s="12">
        <v>509000</v>
      </c>
      <c r="K2681" s="13">
        <f>$E2681+1</f>
        <v>115</v>
      </c>
      <c r="L2681" s="14">
        <f>IF($J2681=0,0,ROUND(MAX($J2681*1.4,1620000*(1.497923^(MIN($E2681,123)-117)))*1,0))</f>
        <v>712600</v>
      </c>
      <c r="M2681" s="11">
        <f>$E2681+2</f>
        <v>116</v>
      </c>
      <c r="N2681" s="12">
        <f>IF($J2681=0,0,ROUND(MAX($J2681*1.4*1.5,2190000*(1.580994^(MIN($E2681,123)-117)))*1,0))</f>
        <v>1068900</v>
      </c>
      <c r="O2681" s="13">
        <f>$E2681+4</f>
        <v>118</v>
      </c>
      <c r="P2681" s="14">
        <f>IF($J2681=0,0,ROUND(MAX($J2681*1.4*1.5*1.6,3500000*(1.57975^(MIN($E2681,123)-117)))*1,0))</f>
        <v>1710240</v>
      </c>
      <c r="Q2681" s="11">
        <f>$E2681+6</f>
        <v>120</v>
      </c>
      <c r="R2681" s="12">
        <f>IF($J2681=0,0,ROUND(MAX($J2681*1.4*1.5*1.6*1.6,13100000*(1.429962^(MIN($E2681,123)-117)))*1,0))</f>
        <v>4480204</v>
      </c>
      <c r="S2681" s="13">
        <f>$E2681+8</f>
        <v>122</v>
      </c>
      <c r="T2681" s="14">
        <f>IF($J2681=0,0,ROUND(MAX($J2681*1.4*1.5*1.6*1.6*2.2,42600000*(1.576904^(MIN($E2681,123)-117)))*1,0))</f>
        <v>10864102</v>
      </c>
      <c r="U2681" s="11">
        <f>$E2681+11</f>
        <v>125</v>
      </c>
      <c r="V2681" s="12">
        <f>IF($J2681=0,0,ROUND(MAX($J2681*1.4*1.5*1.6*1.6*2.2*2.715,354000000*(1.642074^(MIN($E2681,123)-117)))*1,0))</f>
        <v>79951219</v>
      </c>
      <c r="W2681" s="13">
        <f>$E2681+15</f>
        <v>129</v>
      </c>
      <c r="X2681" s="14">
        <f>IF($J2681=0,0,ROUND(MAX($J2681*1.4*1.5*1.6*1.6*2.2*2.715*2.6,3540000000*(1.579646^(MIN($E2681,123)-117)))*1,0))</f>
        <v>898098448</v>
      </c>
      <c r="Y2681" s="11">
        <f>$E2681+17</f>
        <v>131</v>
      </c>
      <c r="Z2681" s="12">
        <f>IF($J2681=0,0,ROUND(MAX($J2681*1.4*1.5*1.6*1.6*2.2*2.715*2.6*1.4,6020000000*(1.651178^(MIN($E2681,123)-117)))*1,0))</f>
        <v>1337256787</v>
      </c>
      <c r="AA2681" s="13">
        <f>$E2681+19</f>
        <v>133</v>
      </c>
      <c r="AB2681" s="14">
        <f>IF($J2681=0,0,ROUND(MAX($J2681*1.4*1.5*1.6*1.6*2.2*2.715*2.6*1.4*1.4,8430000000*(1.651435^(MIN($E2681,123)-117)))*1,0))</f>
        <v>1871729653</v>
      </c>
      <c r="AC2681" s="11">
        <f>$E2681+21</f>
        <v>135</v>
      </c>
      <c r="AD2681" s="12">
        <f>IF($J2681=0,0,ROUND(MAX($J2681*1.4*1.5*1.6*1.6*2.2*2.715*2.6*1.4*1.4*1.5,12600000000*(1.652953^(MIN($E2681,123)-117)))*1,0))</f>
        <v>2789902525</v>
      </c>
      <c r="AE2681" s="13">
        <f>$E2681+24</f>
        <v>138</v>
      </c>
      <c r="AF2681" s="14">
        <f>IF($J2681=0,0,ROUND(MAX($J2681*1.4*1.5*1.6*1.6*2.2*2.715*2.6*1.4*1.4*1.5*1.5,18900000000*(1.65331^(MIN($E2681,123)-117)))*1,0))</f>
        <v>4182143461</v>
      </c>
      <c r="AG2681" s="11">
        <f>$E2681+27</f>
        <v>141</v>
      </c>
      <c r="AH2681" s="12">
        <f>IF($J2681=0,0,ROUND(MAX($J2681*1.4*1.5*1.6*1.6*2.2*2.715*2.6*1.4*1.4*1.5*1.5*3.2,60500000000*(1.654288^(MIN($E2681,123)-117)))*1,0))</f>
        <v>13363555336</v>
      </c>
    </row>
    <row r="2682" ht="28" customHeight="1" spans="1:34" x14ac:dyDescent="0.25">
      <c r="A2682">
        <v>2692</v>
      </c>
      <c r="B2682" t="s">
        <v>478</v>
      </c>
      <c r="C2682" s="10" t="s">
        <v>1533</v>
      </c>
      <c r="D2682" t="s">
        <v>64</v>
      </c>
      <c r="E2682">
        <v>114</v>
      </c>
      <c r="F2682" t="s">
        <v>479</v>
      </c>
      <c r="G2682" t="s">
        <v>351</v>
      </c>
      <c r="H2682">
        <v>28</v>
      </c>
      <c r="I2682" s="11">
        <v>114</v>
      </c>
      <c r="J2682" s="12">
        <v>468000</v>
      </c>
      <c r="K2682" s="13">
        <f>$E2682+1</f>
        <v>115</v>
      </c>
      <c r="L2682" s="14">
        <f>IF($J2682=0,0,ROUND(MAX($J2682*1.4,1620000*(1.497923^(MIN($E2682,123)-117)))*1,0))</f>
        <v>655200</v>
      </c>
      <c r="M2682" s="11">
        <f>$E2682+2</f>
        <v>116</v>
      </c>
      <c r="N2682" s="12">
        <f>IF($J2682=0,0,ROUND(MAX($J2682*1.4*1.5,2190000*(1.580994^(MIN($E2682,123)-117)))*1,0))</f>
        <v>982800</v>
      </c>
      <c r="O2682" s="13">
        <f>$E2682+4</f>
        <v>118</v>
      </c>
      <c r="P2682" s="14">
        <f>IF($J2682=0,0,ROUND(MAX($J2682*1.4*1.5*1.6,3500000*(1.57975^(MIN($E2682,123)-117)))*1,0))</f>
        <v>1572480</v>
      </c>
      <c r="Q2682" s="11">
        <f>$E2682+6</f>
        <v>120</v>
      </c>
      <c r="R2682" s="12">
        <f>IF($J2682=0,0,ROUND(MAX($J2682*1.4*1.5*1.6*1.6,13100000*(1.429962^(MIN($E2682,123)-117)))*1,0))</f>
        <v>4480204</v>
      </c>
      <c r="S2682" s="13">
        <f>$E2682+8</f>
        <v>122</v>
      </c>
      <c r="T2682" s="14">
        <f>IF($J2682=0,0,ROUND(MAX($J2682*1.4*1.5*1.6*1.6*2.2,42600000*(1.576904^(MIN($E2682,123)-117)))*1,0))</f>
        <v>10864102</v>
      </c>
      <c r="U2682" s="11">
        <f>$E2682+11</f>
        <v>125</v>
      </c>
      <c r="V2682" s="12">
        <f>IF($J2682=0,0,ROUND(MAX($J2682*1.4*1.5*1.6*1.6*2.2*2.715,354000000*(1.642074^(MIN($E2682,123)-117)))*1,0))</f>
        <v>79951219</v>
      </c>
      <c r="W2682" s="13">
        <f>$E2682+15</f>
        <v>129</v>
      </c>
      <c r="X2682" s="14">
        <f>IF($J2682=0,0,ROUND(MAX($J2682*1.4*1.5*1.6*1.6*2.2*2.715*2.6,3540000000*(1.579646^(MIN($E2682,123)-117)))*1,0))</f>
        <v>898098448</v>
      </c>
      <c r="Y2682" s="11">
        <f>$E2682+17</f>
        <v>131</v>
      </c>
      <c r="Z2682" s="12">
        <f>IF($J2682=0,0,ROUND(MAX($J2682*1.4*1.5*1.6*1.6*2.2*2.715*2.6*1.4,6020000000*(1.651178^(MIN($E2682,123)-117)))*1,0))</f>
        <v>1337256787</v>
      </c>
      <c r="AA2682" s="13">
        <f>$E2682+19</f>
        <v>133</v>
      </c>
      <c r="AB2682" s="14">
        <f>IF($J2682=0,0,ROUND(MAX($J2682*1.4*1.5*1.6*1.6*2.2*2.715*2.6*1.4*1.4,8430000000*(1.651435^(MIN($E2682,123)-117)))*1,0))</f>
        <v>1871729653</v>
      </c>
      <c r="AC2682" s="11">
        <f>$E2682+21</f>
        <v>135</v>
      </c>
      <c r="AD2682" s="12">
        <f>IF($J2682=0,0,ROUND(MAX($J2682*1.4*1.5*1.6*1.6*2.2*2.715*2.6*1.4*1.4*1.5,12600000000*(1.652953^(MIN($E2682,123)-117)))*1,0))</f>
        <v>2789902525</v>
      </c>
      <c r="AE2682" s="13">
        <f>$E2682+24</f>
        <v>138</v>
      </c>
      <c r="AF2682" s="14">
        <f>IF($J2682=0,0,ROUND(MAX($J2682*1.4*1.5*1.6*1.6*2.2*2.715*2.6*1.4*1.4*1.5*1.5,18900000000*(1.65331^(MIN($E2682,123)-117)))*1,0))</f>
        <v>4182143461</v>
      </c>
      <c r="AG2682" s="11">
        <f>$E2682+27</f>
        <v>141</v>
      </c>
      <c r="AH2682" s="12">
        <f>IF($J2682=0,0,ROUND(MAX($J2682*1.4*1.5*1.6*1.6*2.2*2.715*2.6*1.4*1.4*1.5*1.5*3.2,60500000000*(1.654288^(MIN($E2682,123)-117)))*1,0))</f>
        <v>13363555336</v>
      </c>
    </row>
    <row r="2683" ht="28" customHeight="1" spans="1:34" x14ac:dyDescent="0.25">
      <c r="A2683">
        <v>2693</v>
      </c>
      <c r="B2683" t="s">
        <v>1592</v>
      </c>
      <c r="C2683" s="10" t="s">
        <v>1533</v>
      </c>
      <c r="D2683" t="s">
        <v>40</v>
      </c>
      <c r="E2683">
        <v>114</v>
      </c>
      <c r="F2683" t="s">
        <v>1451</v>
      </c>
      <c r="G2683" t="s">
        <v>329</v>
      </c>
      <c r="H2683">
        <v>28</v>
      </c>
      <c r="I2683" s="11">
        <v>114</v>
      </c>
      <c r="J2683" s="12">
        <v>565000</v>
      </c>
      <c r="K2683" s="13">
        <f>$E2683+1</f>
        <v>115</v>
      </c>
      <c r="L2683" s="14">
        <f>IF($J2683=0,0,ROUND(MAX($J2683*1.4,1620000*(1.497923^(MIN($E2683,123)-117)))*1,0))</f>
        <v>791000</v>
      </c>
      <c r="M2683" s="11">
        <f>$E2683+2</f>
        <v>116</v>
      </c>
      <c r="N2683" s="12">
        <f>IF($J2683=0,0,ROUND(MAX($J2683*1.4*1.5,2190000*(1.580994^(MIN($E2683,123)-117)))*1,0))</f>
        <v>1186500</v>
      </c>
      <c r="O2683" s="13">
        <f>$E2683+4</f>
        <v>118</v>
      </c>
      <c r="P2683" s="14">
        <f>IF($J2683=0,0,ROUND(MAX($J2683*1.4*1.5*1.6,3500000*(1.57975^(MIN($E2683,123)-117)))*1,0))</f>
        <v>1898400</v>
      </c>
      <c r="Q2683" s="11">
        <f>$E2683+6</f>
        <v>120</v>
      </c>
      <c r="R2683" s="12">
        <f>IF($J2683=0,0,ROUND(MAX($J2683*1.4*1.5*1.6*1.6,13100000*(1.429962^(MIN($E2683,123)-117)))*1,0))</f>
        <v>4480204</v>
      </c>
      <c r="S2683" s="13">
        <f>$E2683+8</f>
        <v>122</v>
      </c>
      <c r="T2683" s="14">
        <f>IF($J2683=0,0,ROUND(MAX($J2683*1.4*1.5*1.6*1.6*2.2,42600000*(1.576904^(MIN($E2683,123)-117)))*1,0))</f>
        <v>10864102</v>
      </c>
      <c r="U2683" s="11">
        <f>$E2683+11</f>
        <v>125</v>
      </c>
      <c r="V2683" s="12">
        <f>IF($J2683=0,0,ROUND(MAX($J2683*1.4*1.5*1.6*1.6*2.2*2.715,354000000*(1.642074^(MIN($E2683,123)-117)))*1,0))</f>
        <v>79951219</v>
      </c>
      <c r="W2683" s="13">
        <f>$E2683+15</f>
        <v>129</v>
      </c>
      <c r="X2683" s="14">
        <f>IF($J2683=0,0,ROUND(MAX($J2683*1.4*1.5*1.6*1.6*2.2*2.715*2.6,3540000000*(1.579646^(MIN($E2683,123)-117)))*1,0))</f>
        <v>898098448</v>
      </c>
      <c r="Y2683" s="11">
        <f>$E2683+17</f>
        <v>131</v>
      </c>
      <c r="Z2683" s="12">
        <f>IF($J2683=0,0,ROUND(MAX($J2683*1.4*1.5*1.6*1.6*2.2*2.715*2.6*1.4,6020000000*(1.651178^(MIN($E2683,123)-117)))*1,0))</f>
        <v>1337256787</v>
      </c>
      <c r="AA2683" s="13">
        <f>$E2683+19</f>
        <v>133</v>
      </c>
      <c r="AB2683" s="14">
        <f>IF($J2683=0,0,ROUND(MAX($J2683*1.4*1.5*1.6*1.6*2.2*2.715*2.6*1.4*1.4,8430000000*(1.651435^(MIN($E2683,123)-117)))*1,0))</f>
        <v>1871729653</v>
      </c>
      <c r="AC2683" s="11">
        <f>$E2683+21</f>
        <v>135</v>
      </c>
      <c r="AD2683" s="12">
        <f>IF($J2683=0,0,ROUND(MAX($J2683*1.4*1.5*1.6*1.6*2.2*2.715*2.6*1.4*1.4*1.5,12600000000*(1.652953^(MIN($E2683,123)-117)))*1,0))</f>
        <v>2789902525</v>
      </c>
      <c r="AE2683" s="13">
        <f>$E2683+24</f>
        <v>138</v>
      </c>
      <c r="AF2683" s="14">
        <f>IF($J2683=0,0,ROUND(MAX($J2683*1.4*1.5*1.6*1.6*2.2*2.715*2.6*1.4*1.4*1.5*1.5,18900000000*(1.65331^(MIN($E2683,123)-117)))*1,0))</f>
        <v>4182143461</v>
      </c>
      <c r="AG2683" s="11">
        <f>$E2683+27</f>
        <v>141</v>
      </c>
      <c r="AH2683" s="12">
        <f>IF($J2683=0,0,ROUND(MAX($J2683*1.4*1.5*1.6*1.6*2.2*2.715*2.6*1.4*1.4*1.5*1.5*3.2,60500000000*(1.654288^(MIN($E2683,123)-117)))*1,0))</f>
        <v>13363555336</v>
      </c>
    </row>
    <row r="2684" ht="28" customHeight="1" spans="1:34" x14ac:dyDescent="0.25">
      <c r="A2684">
        <v>2694</v>
      </c>
      <c r="B2684" t="s">
        <v>489</v>
      </c>
      <c r="C2684" s="10" t="s">
        <v>1533</v>
      </c>
      <c r="D2684" t="s">
        <v>25</v>
      </c>
      <c r="E2684">
        <v>114</v>
      </c>
      <c r="F2684" t="s">
        <v>30</v>
      </c>
      <c r="G2684" t="s">
        <v>562</v>
      </c>
      <c r="H2684">
        <v>28</v>
      </c>
      <c r="I2684" s="11">
        <v>114</v>
      </c>
      <c r="J2684" s="12">
        <v>589000</v>
      </c>
      <c r="K2684" s="13">
        <f>$E2684+1</f>
        <v>115</v>
      </c>
      <c r="L2684" s="14">
        <f>IF($J2684=0,0,ROUND(MAX($J2684*1.4,1620000*(1.497923^(MIN($E2684,123)-117)))*1,0))</f>
        <v>824600</v>
      </c>
      <c r="M2684" s="11">
        <f>$E2684+2</f>
        <v>116</v>
      </c>
      <c r="N2684" s="12">
        <f>IF($J2684=0,0,ROUND(MAX($J2684*1.4*1.5,2190000*(1.580994^(MIN($E2684,123)-117)))*1,0))</f>
        <v>1236900</v>
      </c>
      <c r="O2684" s="13">
        <f>$E2684+4</f>
        <v>118</v>
      </c>
      <c r="P2684" s="14">
        <f>IF($J2684=0,0,ROUND(MAX($J2684*1.4*1.5*1.6,3500000*(1.57975^(MIN($E2684,123)-117)))*1,0))</f>
        <v>1979040</v>
      </c>
      <c r="Q2684" s="11">
        <f>$E2684+6</f>
        <v>120</v>
      </c>
      <c r="R2684" s="12">
        <f>IF($J2684=0,0,ROUND(MAX($J2684*1.4*1.5*1.6*1.6,13100000*(1.429962^(MIN($E2684,123)-117)))*1,0))</f>
        <v>4480204</v>
      </c>
      <c r="S2684" s="13">
        <f>$E2684+8</f>
        <v>122</v>
      </c>
      <c r="T2684" s="14">
        <f>IF($J2684=0,0,ROUND(MAX($J2684*1.4*1.5*1.6*1.6*2.2,42600000*(1.576904^(MIN($E2684,123)-117)))*1,0))</f>
        <v>10864102</v>
      </c>
      <c r="U2684" s="11">
        <f>$E2684+11</f>
        <v>125</v>
      </c>
      <c r="V2684" s="12">
        <f>IF($J2684=0,0,ROUND(MAX($J2684*1.4*1.5*1.6*1.6*2.2*2.715,354000000*(1.642074^(MIN($E2684,123)-117)))*1,0))</f>
        <v>79951219</v>
      </c>
      <c r="W2684" s="13">
        <f>$E2684+15</f>
        <v>129</v>
      </c>
      <c r="X2684" s="14">
        <f>IF($J2684=0,0,ROUND(MAX($J2684*1.4*1.5*1.6*1.6*2.2*2.715*2.6,3540000000*(1.579646^(MIN($E2684,123)-117)))*1,0))</f>
        <v>898098448</v>
      </c>
      <c r="Y2684" s="11">
        <f>$E2684+17</f>
        <v>131</v>
      </c>
      <c r="Z2684" s="12">
        <f>IF($J2684=0,0,ROUND(MAX($J2684*1.4*1.5*1.6*1.6*2.2*2.715*2.6*1.4,6020000000*(1.651178^(MIN($E2684,123)-117)))*1,0))</f>
        <v>1337256787</v>
      </c>
      <c r="AA2684" s="13">
        <f>$E2684+19</f>
        <v>133</v>
      </c>
      <c r="AB2684" s="14">
        <f>IF($J2684=0,0,ROUND(MAX($J2684*1.4*1.5*1.6*1.6*2.2*2.715*2.6*1.4*1.4,8430000000*(1.651435^(MIN($E2684,123)-117)))*1,0))</f>
        <v>1871729653</v>
      </c>
      <c r="AC2684" s="11">
        <f>$E2684+21</f>
        <v>135</v>
      </c>
      <c r="AD2684" s="12">
        <f>IF($J2684=0,0,ROUND(MAX($J2684*1.4*1.5*1.6*1.6*2.2*2.715*2.6*1.4*1.4*1.5,12600000000*(1.652953^(MIN($E2684,123)-117)))*1,0))</f>
        <v>2789902525</v>
      </c>
      <c r="AE2684" s="13">
        <f>$E2684+24</f>
        <v>138</v>
      </c>
      <c r="AF2684" s="14">
        <f>IF($J2684=0,0,ROUND(MAX($J2684*1.4*1.5*1.6*1.6*2.2*2.715*2.6*1.4*1.4*1.5*1.5,18900000000*(1.65331^(MIN($E2684,123)-117)))*1,0))</f>
        <v>4182143461</v>
      </c>
      <c r="AG2684" s="11">
        <f>$E2684+27</f>
        <v>141</v>
      </c>
      <c r="AH2684" s="12">
        <f>IF($J2684=0,0,ROUND(MAX($J2684*1.4*1.5*1.6*1.6*2.2*2.715*2.6*1.4*1.4*1.5*1.5*3.2,60500000000*(1.654288^(MIN($E2684,123)-117)))*1,0))</f>
        <v>13363555336</v>
      </c>
    </row>
    <row r="2685" ht="28" customHeight="1" spans="1:34" x14ac:dyDescent="0.25">
      <c r="A2685">
        <v>2695</v>
      </c>
      <c r="B2685" t="s">
        <v>854</v>
      </c>
      <c r="C2685" s="10" t="s">
        <v>1533</v>
      </c>
      <c r="D2685" t="s">
        <v>64</v>
      </c>
      <c r="E2685">
        <v>114</v>
      </c>
      <c r="F2685" t="s">
        <v>855</v>
      </c>
      <c r="G2685" t="s">
        <v>856</v>
      </c>
      <c r="H2685">
        <v>27</v>
      </c>
      <c r="I2685" s="11">
        <v>114</v>
      </c>
      <c r="J2685" s="12">
        <v>413000</v>
      </c>
      <c r="K2685" s="13">
        <f>$E2685+1</f>
        <v>115</v>
      </c>
      <c r="L2685" s="14">
        <f>IF($J2685=0,0,ROUND(MAX($J2685*1.4,1620000*(1.497923^(MIN($E2685,123)-117)))*1,0))</f>
        <v>578200</v>
      </c>
      <c r="M2685" s="11">
        <f>$E2685+2</f>
        <v>116</v>
      </c>
      <c r="N2685" s="12">
        <f>IF($J2685=0,0,ROUND(MAX($J2685*1.4*1.5,2190000*(1.580994^(MIN($E2685,123)-117)))*1,0))</f>
        <v>867300</v>
      </c>
      <c r="O2685" s="13">
        <f>$E2685+4</f>
        <v>118</v>
      </c>
      <c r="P2685" s="14">
        <f>IF($J2685=0,0,ROUND(MAX($J2685*1.4*1.5*1.6,3500000*(1.57975^(MIN($E2685,123)-117)))*1,0))</f>
        <v>1387680</v>
      </c>
      <c r="Q2685" s="11">
        <f>$E2685+6</f>
        <v>120</v>
      </c>
      <c r="R2685" s="12">
        <f>IF($J2685=0,0,ROUND(MAX($J2685*1.4*1.5*1.6*1.6,13100000*(1.429962^(MIN($E2685,123)-117)))*1,0))</f>
        <v>4480204</v>
      </c>
      <c r="S2685" s="13">
        <f>$E2685+8</f>
        <v>122</v>
      </c>
      <c r="T2685" s="14">
        <f>IF($J2685=0,0,ROUND(MAX($J2685*1.4*1.5*1.6*1.6*2.2,42600000*(1.576904^(MIN($E2685,123)-117)))*1,0))</f>
        <v>10864102</v>
      </c>
      <c r="U2685" s="11">
        <f>$E2685+11</f>
        <v>125</v>
      </c>
      <c r="V2685" s="12">
        <f>IF($J2685=0,0,ROUND(MAX($J2685*1.4*1.5*1.6*1.6*2.2*2.715,354000000*(1.642074^(MIN($E2685,123)-117)))*1,0))</f>
        <v>79951219</v>
      </c>
      <c r="W2685" s="13">
        <f>$E2685+15</f>
        <v>129</v>
      </c>
      <c r="X2685" s="14">
        <f>IF($J2685=0,0,ROUND(MAX($J2685*1.4*1.5*1.6*1.6*2.2*2.715*2.6,3540000000*(1.579646^(MIN($E2685,123)-117)))*1,0))</f>
        <v>898098448</v>
      </c>
      <c r="Y2685" s="11">
        <f>$E2685+17</f>
        <v>131</v>
      </c>
      <c r="Z2685" s="12">
        <f>IF($J2685=0,0,ROUND(MAX($J2685*1.4*1.5*1.6*1.6*2.2*2.715*2.6*1.4,6020000000*(1.651178^(MIN($E2685,123)-117)))*1,0))</f>
        <v>1337256787</v>
      </c>
      <c r="AA2685" s="13">
        <f>$E2685+19</f>
        <v>133</v>
      </c>
      <c r="AB2685" s="14">
        <f>IF($J2685=0,0,ROUND(MAX($J2685*1.4*1.5*1.6*1.6*2.2*2.715*2.6*1.4*1.4,8430000000*(1.651435^(MIN($E2685,123)-117)))*1,0))</f>
        <v>1871729653</v>
      </c>
      <c r="AC2685" s="11">
        <f>$E2685+21</f>
        <v>135</v>
      </c>
      <c r="AD2685" s="12">
        <f>IF($J2685=0,0,ROUND(MAX($J2685*1.4*1.5*1.6*1.6*2.2*2.715*2.6*1.4*1.4*1.5,12600000000*(1.652953^(MIN($E2685,123)-117)))*1,0))</f>
        <v>2789902525</v>
      </c>
      <c r="AE2685" s="13">
        <f>$E2685+24</f>
        <v>138</v>
      </c>
      <c r="AF2685" s="14">
        <f>IF($J2685=0,0,ROUND(MAX($J2685*1.4*1.5*1.6*1.6*2.2*2.715*2.6*1.4*1.4*1.5*1.5,18900000000*(1.65331^(MIN($E2685,123)-117)))*1,0))</f>
        <v>4182143461</v>
      </c>
      <c r="AG2685" s="11">
        <f>$E2685+27</f>
        <v>141</v>
      </c>
      <c r="AH2685" s="12">
        <f>IF($J2685=0,0,ROUND(MAX($J2685*1.4*1.5*1.6*1.6*2.2*2.715*2.6*1.4*1.4*1.5*1.5*3.2,60500000000*(1.654288^(MIN($E2685,123)-117)))*1,0))</f>
        <v>13363555336</v>
      </c>
    </row>
    <row r="2686" ht="28" customHeight="1" spans="1:34" x14ac:dyDescent="0.25">
      <c r="A2686">
        <v>2696</v>
      </c>
      <c r="B2686" t="s">
        <v>803</v>
      </c>
      <c r="C2686" s="10" t="s">
        <v>1533</v>
      </c>
      <c r="D2686" t="s">
        <v>79</v>
      </c>
      <c r="E2686">
        <v>114</v>
      </c>
      <c r="F2686" t="s">
        <v>383</v>
      </c>
      <c r="G2686" t="s">
        <v>51</v>
      </c>
      <c r="H2686">
        <v>27</v>
      </c>
      <c r="I2686" s="11">
        <v>114</v>
      </c>
      <c r="J2686" s="12">
        <v>496000</v>
      </c>
      <c r="K2686" s="13">
        <f>$E2686+1</f>
        <v>115</v>
      </c>
      <c r="L2686" s="14">
        <f>IF($J2686=0,0,ROUND(MAX($J2686*1.4,1620000*(1.497923^(MIN($E2686,123)-117)))*1,0))</f>
        <v>694400</v>
      </c>
      <c r="M2686" s="11">
        <f>$E2686+2</f>
        <v>116</v>
      </c>
      <c r="N2686" s="12">
        <f>IF($J2686=0,0,ROUND(MAX($J2686*1.4*1.5,2190000*(1.580994^(MIN($E2686,123)-117)))*1,0))</f>
        <v>1041600</v>
      </c>
      <c r="O2686" s="13">
        <f>$E2686+4</f>
        <v>118</v>
      </c>
      <c r="P2686" s="14">
        <f>IF($J2686=0,0,ROUND(MAX($J2686*1.4*1.5*1.6,3500000*(1.57975^(MIN($E2686,123)-117)))*1,0))</f>
        <v>1666560</v>
      </c>
      <c r="Q2686" s="11">
        <f>$E2686+6</f>
        <v>120</v>
      </c>
      <c r="R2686" s="12">
        <f>IF($J2686=0,0,ROUND(MAX($J2686*1.4*1.5*1.6*1.6,13100000*(1.429962^(MIN($E2686,123)-117)))*1,0))</f>
        <v>4480204</v>
      </c>
      <c r="S2686" s="13">
        <f>$E2686+8</f>
        <v>122</v>
      </c>
      <c r="T2686" s="14">
        <f>IF($J2686=0,0,ROUND(MAX($J2686*1.4*1.5*1.6*1.6*2.2,42600000*(1.576904^(MIN($E2686,123)-117)))*1,0))</f>
        <v>10864102</v>
      </c>
      <c r="U2686" s="11">
        <f>$E2686+11</f>
        <v>125</v>
      </c>
      <c r="V2686" s="12">
        <f>IF($J2686=0,0,ROUND(MAX($J2686*1.4*1.5*1.6*1.6*2.2*2.715,354000000*(1.642074^(MIN($E2686,123)-117)))*1,0))</f>
        <v>79951219</v>
      </c>
      <c r="W2686" s="13">
        <f>$E2686+15</f>
        <v>129</v>
      </c>
      <c r="X2686" s="14">
        <f>IF($J2686=0,0,ROUND(MAX($J2686*1.4*1.5*1.6*1.6*2.2*2.715*2.6,3540000000*(1.579646^(MIN($E2686,123)-117)))*1,0))</f>
        <v>898098448</v>
      </c>
      <c r="Y2686" s="11">
        <f>$E2686+17</f>
        <v>131</v>
      </c>
      <c r="Z2686" s="12">
        <f>IF($J2686=0,0,ROUND(MAX($J2686*1.4*1.5*1.6*1.6*2.2*2.715*2.6*1.4,6020000000*(1.651178^(MIN($E2686,123)-117)))*1,0))</f>
        <v>1337256787</v>
      </c>
      <c r="AA2686" s="13">
        <f>$E2686+19</f>
        <v>133</v>
      </c>
      <c r="AB2686" s="14">
        <f>IF($J2686=0,0,ROUND(MAX($J2686*1.4*1.5*1.6*1.6*2.2*2.715*2.6*1.4*1.4,8430000000*(1.651435^(MIN($E2686,123)-117)))*1,0))</f>
        <v>1871729653</v>
      </c>
      <c r="AC2686" s="11">
        <f>$E2686+21</f>
        <v>135</v>
      </c>
      <c r="AD2686" s="12">
        <f>IF($J2686=0,0,ROUND(MAX($J2686*1.4*1.5*1.6*1.6*2.2*2.715*2.6*1.4*1.4*1.5,12600000000*(1.652953^(MIN($E2686,123)-117)))*1,0))</f>
        <v>2789902525</v>
      </c>
      <c r="AE2686" s="13">
        <f>$E2686+24</f>
        <v>138</v>
      </c>
      <c r="AF2686" s="14">
        <f>IF($J2686=0,0,ROUND(MAX($J2686*1.4*1.5*1.6*1.6*2.2*2.715*2.6*1.4*1.4*1.5*1.5,18900000000*(1.65331^(MIN($E2686,123)-117)))*1,0))</f>
        <v>4182143461</v>
      </c>
      <c r="AG2686" s="11">
        <f>$E2686+27</f>
        <v>141</v>
      </c>
      <c r="AH2686" s="12">
        <f>IF($J2686=0,0,ROUND(MAX($J2686*1.4*1.5*1.6*1.6*2.2*2.715*2.6*1.4*1.4*1.5*1.5*3.2,60500000000*(1.654288^(MIN($E2686,123)-117)))*1,0))</f>
        <v>13363555336</v>
      </c>
    </row>
    <row r="2687" ht="28" customHeight="1" spans="1:34" x14ac:dyDescent="0.25">
      <c r="A2687">
        <v>2697</v>
      </c>
      <c r="B2687" t="s">
        <v>1121</v>
      </c>
      <c r="C2687" s="10" t="s">
        <v>1593</v>
      </c>
      <c r="D2687" t="s">
        <v>29</v>
      </c>
      <c r="E2687">
        <v>119</v>
      </c>
      <c r="F2687" t="s">
        <v>54</v>
      </c>
      <c r="G2687" t="s">
        <v>206</v>
      </c>
      <c r="H2687">
        <v>31</v>
      </c>
      <c r="I2687" s="11">
        <f>$E2687+0</f>
        <v>119</v>
      </c>
      <c r="J2687" s="12">
        <v>1110000</v>
      </c>
      <c r="K2687" s="13">
        <f>$E2687+1</f>
        <v>120</v>
      </c>
      <c r="L2687" s="14">
        <f>IF($J2687=0,0,ROUND(MAX($J2687*1.4,1620000*(1.497923^(MIN($E2687,123)-117)))*1,0))</f>
        <v>3634913</v>
      </c>
      <c r="M2687" s="11">
        <f>$E2687+2</f>
        <v>121</v>
      </c>
      <c r="N2687" s="12">
        <f>IF($J2687=0,0,ROUND(MAX($J2687*1.4*1.5,2190000*(1.580994^(MIN($E2687,123)-117)))*1,0))</f>
        <v>5473997</v>
      </c>
      <c r="O2687" s="13">
        <f>$E2687+4</f>
        <v>123</v>
      </c>
      <c r="P2687" s="14">
        <f>IF($J2687=0,0,ROUND(MAX($J2687*1.4*1.5*1.6,3500000*(1.57975^(MIN($E2687,123)-117)))*1,0))</f>
        <v>8734635</v>
      </c>
      <c r="Q2687" s="11">
        <f>$E2687+6</f>
        <v>125</v>
      </c>
      <c r="R2687" s="12">
        <f>IF($J2687=0,0,ROUND(MAX($J2687*1.4*1.5*1.6*1.6,13100000*(1.429962^(MIN($E2687,123)-117)))*1,0))</f>
        <v>26786766</v>
      </c>
      <c r="S2687" s="13">
        <f>$E2687+8</f>
        <v>127</v>
      </c>
      <c r="T2687" s="14">
        <f>IF($J2687=0,0,ROUND(MAX($J2687*1.4*1.5*1.6*1.6*2.2,42600000*(1.576904^(MIN($E2687,123)-117)))*1,0))</f>
        <v>105930277</v>
      </c>
      <c r="U2687" s="11">
        <f>$E2687+11</f>
        <v>130</v>
      </c>
      <c r="V2687" s="12">
        <f>IF($J2687=0,0,ROUND(MAX($J2687*1.4*1.5*1.6*1.6*2.2*2.715,354000000*(1.642074^(MIN($E2687,123)-117)))*1,0))</f>
        <v>954528086</v>
      </c>
      <c r="W2687" s="13">
        <f>$E2687+15</f>
        <v>134</v>
      </c>
      <c r="X2687" s="14">
        <f>IF($J2687=0,0,ROUND(MAX($J2687*1.4*1.5*1.6*1.6*2.2*2.715*2.6,3540000000*(1.579646^(MIN($E2687,123)-117)))*1,0))</f>
        <v>8833296458</v>
      </c>
      <c r="Y2687" s="11">
        <f>$E2687+17</f>
        <v>136</v>
      </c>
      <c r="Z2687" s="12">
        <f>IF($J2687=0,0,ROUND(MAX($J2687*1.4*1.5*1.6*1.6*2.2*2.715*2.6*1.4,6020000000*(1.651178^(MIN($E2687,123)-117)))*1,0))</f>
        <v>16412860502</v>
      </c>
      <c r="AA2687" s="13">
        <f>$E2687+19</f>
        <v>138</v>
      </c>
      <c r="AB2687" s="14">
        <f>IF($J2687=0,0,ROUND(MAX($J2687*1.4*1.5*1.6*1.6*2.2*2.715*2.6*1.4*1.4,8430000000*(1.651435^(MIN($E2687,123)-117)))*1,0))</f>
        <v>22990612624</v>
      </c>
      <c r="AC2687" s="11">
        <f>$E2687+21</f>
        <v>140</v>
      </c>
      <c r="AD2687" s="12">
        <f>IF($J2687=0,0,ROUND(MAX($J2687*1.4*1.5*1.6*1.6*2.2*2.715*2.6*1.4*1.4*1.5,12600000000*(1.652953^(MIN($E2687,123)-117)))*1,0))</f>
        <v>34426395615</v>
      </c>
      <c r="AE2687" s="13">
        <f>$E2687+24</f>
        <v>143</v>
      </c>
      <c r="AF2687" s="14">
        <f>IF($J2687=0,0,ROUND(MAX($J2687*1.4*1.5*1.6*1.6*2.2*2.715*2.6*1.4*1.4*1.5*1.5,18900000000*(1.65331^(MIN($E2687,123)-117)))*1,0))</f>
        <v>51661901770</v>
      </c>
      <c r="AG2687" s="11">
        <f>$E2687+27</f>
        <v>146</v>
      </c>
      <c r="AH2687" s="12">
        <f>IF($J2687=0,0,ROUND(MAX($J2687*1.4*1.5*1.6*1.6*2.2*2.715*2.6*1.4*1.4*1.5*1.5*3.2,60500000000*(1.654288^(MIN($E2687,123)-117)))*1,0))</f>
        <v>165568461610</v>
      </c>
    </row>
    <row r="2688" ht="28" customHeight="1" spans="1:34" x14ac:dyDescent="0.25">
      <c r="A2688">
        <v>2698</v>
      </c>
      <c r="B2688" t="s">
        <v>44</v>
      </c>
      <c r="C2688" s="10" t="s">
        <v>1593</v>
      </c>
      <c r="D2688" t="s">
        <v>45</v>
      </c>
      <c r="E2688">
        <v>119</v>
      </c>
      <c r="F2688" t="s">
        <v>34</v>
      </c>
      <c r="G2688" t="s">
        <v>562</v>
      </c>
      <c r="H2688">
        <v>31</v>
      </c>
      <c r="I2688" s="11">
        <f>$E2688+0</f>
        <v>119</v>
      </c>
      <c r="J2688" s="12">
        <v>3820000</v>
      </c>
      <c r="K2688" s="13">
        <f>$E2688+1</f>
        <v>120</v>
      </c>
      <c r="L2688" s="14">
        <f>IF($J2688=0,0,ROUND(MAX($J2688*1.4,1620000*(1.497923^(MIN($E2688,123)-117)))*1,0))</f>
        <v>5348000</v>
      </c>
      <c r="M2688" s="11">
        <f>$E2688+2</f>
        <v>121</v>
      </c>
      <c r="N2688" s="12">
        <f>IF($J2688=0,0,ROUND(MAX($J2688*1.4*1.5,2190000*(1.580994^(MIN($E2688,123)-117)))*1,0))</f>
        <v>8022000</v>
      </c>
      <c r="O2688" s="13">
        <f>$E2688+4</f>
        <v>123</v>
      </c>
      <c r="P2688" s="14">
        <f>IF($J2688=0,0,ROUND(MAX($J2688*1.4*1.5*1.6,3500000*(1.57975^(MIN($E2688,123)-117)))*1,0))</f>
        <v>12835200</v>
      </c>
      <c r="Q2688" s="11">
        <f>$E2688+6</f>
        <v>125</v>
      </c>
      <c r="R2688" s="12">
        <f>IF($J2688=0,0,ROUND(MAX($J2688*1.4*1.5*1.6*1.6,13100000*(1.429962^(MIN($E2688,123)-117)))*1,0))</f>
        <v>26786766</v>
      </c>
      <c r="S2688" s="13">
        <f>$E2688+8</f>
        <v>127</v>
      </c>
      <c r="T2688" s="14">
        <f>IF($J2688=0,0,ROUND(MAX($J2688*1.4*1.5*1.6*1.6*2.2,42600000*(1.576904^(MIN($E2688,123)-117)))*1,0))</f>
        <v>105930277</v>
      </c>
      <c r="U2688" s="11">
        <f>$E2688+11</f>
        <v>130</v>
      </c>
      <c r="V2688" s="12">
        <f>IF($J2688=0,0,ROUND(MAX($J2688*1.4*1.5*1.6*1.6*2.2*2.715,354000000*(1.642074^(MIN($E2688,123)-117)))*1,0))</f>
        <v>954528086</v>
      </c>
      <c r="W2688" s="13">
        <f>$E2688+15</f>
        <v>134</v>
      </c>
      <c r="X2688" s="14">
        <f>IF($J2688=0,0,ROUND(MAX($J2688*1.4*1.5*1.6*1.6*2.2*2.715*2.6,3540000000*(1.579646^(MIN($E2688,123)-117)))*1,0))</f>
        <v>8833296458</v>
      </c>
      <c r="Y2688" s="11">
        <f>$E2688+17</f>
        <v>136</v>
      </c>
      <c r="Z2688" s="12">
        <f>IF($J2688=0,0,ROUND(MAX($J2688*1.4*1.5*1.6*1.6*2.2*2.715*2.6*1.4,6020000000*(1.651178^(MIN($E2688,123)-117)))*1,0))</f>
        <v>16412860502</v>
      </c>
      <c r="AA2688" s="13">
        <f>$E2688+19</f>
        <v>138</v>
      </c>
      <c r="AB2688" s="14">
        <f>IF($J2688=0,0,ROUND(MAX($J2688*1.4*1.5*1.6*1.6*2.2*2.715*2.6*1.4*1.4,8430000000*(1.651435^(MIN($E2688,123)-117)))*1,0))</f>
        <v>22990612624</v>
      </c>
      <c r="AC2688" s="11">
        <f>$E2688+21</f>
        <v>140</v>
      </c>
      <c r="AD2688" s="12">
        <f>IF($J2688=0,0,ROUND(MAX($J2688*1.4*1.5*1.6*1.6*2.2*2.715*2.6*1.4*1.4*1.5,12600000000*(1.652953^(MIN($E2688,123)-117)))*1,0))</f>
        <v>34426395615</v>
      </c>
      <c r="AE2688" s="13">
        <f>$E2688+24</f>
        <v>143</v>
      </c>
      <c r="AF2688" s="14">
        <f>IF($J2688=0,0,ROUND(MAX($J2688*1.4*1.5*1.6*1.6*2.2*2.715*2.6*1.4*1.4*1.5*1.5,18900000000*(1.65331^(MIN($E2688,123)-117)))*1,0))</f>
        <v>51661901770</v>
      </c>
      <c r="AG2688" s="11">
        <f>$E2688+27</f>
        <v>146</v>
      </c>
      <c r="AH2688" s="12">
        <f>IF($J2688=0,0,ROUND(MAX($J2688*1.4*1.5*1.6*1.6*2.2*2.715*2.6*1.4*1.4*1.5*1.5*3.2,60500000000*(1.654288^(MIN($E2688,123)-117)))*1,0))</f>
        <v>165568461610</v>
      </c>
    </row>
    <row r="2689" ht="28" customHeight="1" spans="1:34" x14ac:dyDescent="0.25">
      <c r="A2689">
        <v>2699</v>
      </c>
      <c r="B2689" t="s">
        <v>23</v>
      </c>
      <c r="C2689" s="10" t="s">
        <v>1593</v>
      </c>
      <c r="D2689" t="s">
        <v>25</v>
      </c>
      <c r="E2689">
        <v>119</v>
      </c>
      <c r="F2689" t="s">
        <v>26</v>
      </c>
      <c r="G2689" t="s">
        <v>562</v>
      </c>
      <c r="H2689">
        <v>30</v>
      </c>
      <c r="I2689" s="11">
        <f>$E2689+0</f>
        <v>119</v>
      </c>
      <c r="J2689" s="12">
        <v>1180000</v>
      </c>
      <c r="K2689" s="13">
        <f>$E2689+1</f>
        <v>120</v>
      </c>
      <c r="L2689" s="14">
        <f>IF($J2689=0,0,ROUND(MAX($J2689*1.4,1620000*(1.497923^(MIN($E2689,123)-117)))*1,0))</f>
        <v>3634913</v>
      </c>
      <c r="M2689" s="11">
        <f>$E2689+2</f>
        <v>121</v>
      </c>
      <c r="N2689" s="12">
        <f>IF($J2689=0,0,ROUND(MAX($J2689*1.4*1.5,2190000*(1.580994^(MIN($E2689,123)-117)))*1,0))</f>
        <v>5473997</v>
      </c>
      <c r="O2689" s="13">
        <f>$E2689+4</f>
        <v>123</v>
      </c>
      <c r="P2689" s="14">
        <f>IF($J2689=0,0,ROUND(MAX($J2689*1.4*1.5*1.6,3500000*(1.57975^(MIN($E2689,123)-117)))*1,0))</f>
        <v>8734635</v>
      </c>
      <c r="Q2689" s="11">
        <f>$E2689+6</f>
        <v>125</v>
      </c>
      <c r="R2689" s="12">
        <f>IF($J2689=0,0,ROUND(MAX($J2689*1.4*1.5*1.6*1.6,13100000*(1.429962^(MIN($E2689,123)-117)))*1,0))</f>
        <v>26786766</v>
      </c>
      <c r="S2689" s="13">
        <f>$E2689+8</f>
        <v>127</v>
      </c>
      <c r="T2689" s="14">
        <f>IF($J2689=0,0,ROUND(MAX($J2689*1.4*1.5*1.6*1.6*2.2,42600000*(1.576904^(MIN($E2689,123)-117)))*1,0))</f>
        <v>105930277</v>
      </c>
      <c r="U2689" s="11">
        <f>$E2689+11</f>
        <v>130</v>
      </c>
      <c r="V2689" s="12">
        <f>IF($J2689=0,0,ROUND(MAX($J2689*1.4*1.5*1.6*1.6*2.2*2.715,354000000*(1.642074^(MIN($E2689,123)-117)))*1,0))</f>
        <v>954528086</v>
      </c>
      <c r="W2689" s="13">
        <f>$E2689+15</f>
        <v>134</v>
      </c>
      <c r="X2689" s="14">
        <f>IF($J2689=0,0,ROUND(MAX($J2689*1.4*1.5*1.6*1.6*2.2*2.715*2.6,3540000000*(1.579646^(MIN($E2689,123)-117)))*1,0))</f>
        <v>8833296458</v>
      </c>
      <c r="Y2689" s="11">
        <f>$E2689+17</f>
        <v>136</v>
      </c>
      <c r="Z2689" s="12">
        <f>IF($J2689=0,0,ROUND(MAX($J2689*1.4*1.5*1.6*1.6*2.2*2.715*2.6*1.4,6020000000*(1.651178^(MIN($E2689,123)-117)))*1,0))</f>
        <v>16412860502</v>
      </c>
      <c r="AA2689" s="13">
        <f>$E2689+19</f>
        <v>138</v>
      </c>
      <c r="AB2689" s="14">
        <f>IF($J2689=0,0,ROUND(MAX($J2689*1.4*1.5*1.6*1.6*2.2*2.715*2.6*1.4*1.4,8430000000*(1.651435^(MIN($E2689,123)-117)))*1,0))</f>
        <v>22990612624</v>
      </c>
      <c r="AC2689" s="11">
        <f>$E2689+21</f>
        <v>140</v>
      </c>
      <c r="AD2689" s="12">
        <f>IF($J2689=0,0,ROUND(MAX($J2689*1.4*1.5*1.6*1.6*2.2*2.715*2.6*1.4*1.4*1.5,12600000000*(1.652953^(MIN($E2689,123)-117)))*1,0))</f>
        <v>34426395615</v>
      </c>
      <c r="AE2689" s="13">
        <f>$E2689+24</f>
        <v>143</v>
      </c>
      <c r="AF2689" s="14">
        <f>IF($J2689=0,0,ROUND(MAX($J2689*1.4*1.5*1.6*1.6*2.2*2.715*2.6*1.4*1.4*1.5*1.5,18900000000*(1.65331^(MIN($E2689,123)-117)))*1,0))</f>
        <v>51661901770</v>
      </c>
      <c r="AG2689" s="11">
        <f>$E2689+27</f>
        <v>146</v>
      </c>
      <c r="AH2689" s="12">
        <f>IF($J2689=0,0,ROUND(MAX($J2689*1.4*1.5*1.6*1.6*2.2*2.715*2.6*1.4*1.4*1.5*1.5*3.2,60500000000*(1.654288^(MIN($E2689,123)-117)))*1,0))</f>
        <v>165568461610</v>
      </c>
    </row>
    <row r="2690" ht="28" customHeight="1" spans="1:34" x14ac:dyDescent="0.25">
      <c r="A2690">
        <v>2700</v>
      </c>
      <c r="B2690" t="s">
        <v>94</v>
      </c>
      <c r="C2690" s="10" t="s">
        <v>1593</v>
      </c>
      <c r="D2690" t="s">
        <v>29</v>
      </c>
      <c r="E2690">
        <v>119</v>
      </c>
      <c r="F2690" t="s">
        <v>42</v>
      </c>
      <c r="G2690" t="s">
        <v>562</v>
      </c>
      <c r="H2690">
        <v>30</v>
      </c>
      <c r="I2690" s="11">
        <f>$E2690+0</f>
        <v>119</v>
      </c>
      <c r="J2690" s="12">
        <v>4660000</v>
      </c>
      <c r="K2690" s="13">
        <f>$E2690+1</f>
        <v>120</v>
      </c>
      <c r="L2690" s="14">
        <f>IF($J2690=0,0,ROUND(MAX($J2690*1.4,1620000*(1.497923^(MIN($E2690,123)-117)))*1,0))</f>
        <v>6524000</v>
      </c>
      <c r="M2690" s="11">
        <f>$E2690+2</f>
        <v>121</v>
      </c>
      <c r="N2690" s="12">
        <f>IF($J2690=0,0,ROUND(MAX($J2690*1.4*1.5,2190000*(1.580994^(MIN($E2690,123)-117)))*1,0))</f>
        <v>9786000</v>
      </c>
      <c r="O2690" s="13">
        <f>$E2690+4</f>
        <v>123</v>
      </c>
      <c r="P2690" s="14">
        <f>IF($J2690=0,0,ROUND(MAX($J2690*1.4*1.5*1.6,3500000*(1.57975^(MIN($E2690,123)-117)))*1,0))</f>
        <v>15657600</v>
      </c>
      <c r="Q2690" s="11">
        <f>$E2690+6</f>
        <v>125</v>
      </c>
      <c r="R2690" s="12">
        <f>IF($J2690=0,0,ROUND(MAX($J2690*1.4*1.5*1.6*1.6,13100000*(1.429962^(MIN($E2690,123)-117)))*1,0))</f>
        <v>26786766</v>
      </c>
      <c r="S2690" s="13">
        <f>$E2690+8</f>
        <v>127</v>
      </c>
      <c r="T2690" s="14">
        <f>IF($J2690=0,0,ROUND(MAX($J2690*1.4*1.5*1.6*1.6*2.2,42600000*(1.576904^(MIN($E2690,123)-117)))*1,0))</f>
        <v>105930277</v>
      </c>
      <c r="U2690" s="11">
        <f>$E2690+11</f>
        <v>130</v>
      </c>
      <c r="V2690" s="12">
        <f>IF($J2690=0,0,ROUND(MAX($J2690*1.4*1.5*1.6*1.6*2.2*2.715,354000000*(1.642074^(MIN($E2690,123)-117)))*1,0))</f>
        <v>954528086</v>
      </c>
      <c r="W2690" s="13">
        <f>$E2690+15</f>
        <v>134</v>
      </c>
      <c r="X2690" s="14">
        <f>IF($J2690=0,0,ROUND(MAX($J2690*1.4*1.5*1.6*1.6*2.2*2.715*2.6,3540000000*(1.579646^(MIN($E2690,123)-117)))*1,0))</f>
        <v>8833296458</v>
      </c>
      <c r="Y2690" s="11">
        <f>$E2690+17</f>
        <v>136</v>
      </c>
      <c r="Z2690" s="12">
        <f>IF($J2690=0,0,ROUND(MAX($J2690*1.4*1.5*1.6*1.6*2.2*2.715*2.6*1.4,6020000000*(1.651178^(MIN($E2690,123)-117)))*1,0))</f>
        <v>16412860502</v>
      </c>
      <c r="AA2690" s="13">
        <f>$E2690+19</f>
        <v>138</v>
      </c>
      <c r="AB2690" s="14">
        <f>IF($J2690=0,0,ROUND(MAX($J2690*1.4*1.5*1.6*1.6*2.2*2.715*2.6*1.4*1.4,8430000000*(1.651435^(MIN($E2690,123)-117)))*1,0))</f>
        <v>22990612624</v>
      </c>
      <c r="AC2690" s="11">
        <f>$E2690+21</f>
        <v>140</v>
      </c>
      <c r="AD2690" s="12">
        <f>IF($J2690=0,0,ROUND(MAX($J2690*1.4*1.5*1.6*1.6*2.2*2.715*2.6*1.4*1.4*1.5,12600000000*(1.652953^(MIN($E2690,123)-117)))*1,0))</f>
        <v>34426395615</v>
      </c>
      <c r="AE2690" s="13">
        <f>$E2690+24</f>
        <v>143</v>
      </c>
      <c r="AF2690" s="14">
        <f>IF($J2690=0,0,ROUND(MAX($J2690*1.4*1.5*1.6*1.6*2.2*2.715*2.6*1.4*1.4*1.5*1.5,18900000000*(1.65331^(MIN($E2690,123)-117)))*1,0))</f>
        <v>51661901770</v>
      </c>
      <c r="AG2690" s="11">
        <f>$E2690+27</f>
        <v>146</v>
      </c>
      <c r="AH2690" s="12">
        <f>IF($J2690=0,0,ROUND(MAX($J2690*1.4*1.5*1.6*1.6*2.2*2.715*2.6*1.4*1.4*1.5*1.5*3.2,60500000000*(1.654288^(MIN($E2690,123)-117)))*1,0))</f>
        <v>165568461610</v>
      </c>
    </row>
    <row r="2691" ht="28" customHeight="1" spans="1:34" x14ac:dyDescent="0.25">
      <c r="A2691">
        <v>2701</v>
      </c>
      <c r="B2691" t="s">
        <v>658</v>
      </c>
      <c r="C2691" s="10" t="s">
        <v>1593</v>
      </c>
      <c r="D2691" t="s">
        <v>40</v>
      </c>
      <c r="E2691">
        <v>118</v>
      </c>
      <c r="F2691" t="s">
        <v>62</v>
      </c>
      <c r="G2691" t="s">
        <v>562</v>
      </c>
      <c r="H2691">
        <v>30</v>
      </c>
      <c r="I2691" s="11">
        <f>$E2691+0</f>
        <v>118</v>
      </c>
      <c r="J2691" s="12">
        <v>714000</v>
      </c>
      <c r="K2691" s="13">
        <f>$E2691+1</f>
        <v>119</v>
      </c>
      <c r="L2691" s="14">
        <f>IF($J2691=0,0,ROUND(MAX($J2691*1.4,1620000*(1.497923^(MIN($E2691,123)-117)))*1,0))</f>
        <v>2426635</v>
      </c>
      <c r="M2691" s="11">
        <f>$E2691+2</f>
        <v>120</v>
      </c>
      <c r="N2691" s="12">
        <f>IF($J2691=0,0,ROUND(MAX($J2691*1.4*1.5,2190000*(1.580994^(MIN($E2691,123)-117)))*1,0))</f>
        <v>3462377</v>
      </c>
      <c r="O2691" s="13">
        <f>$E2691+4</f>
        <v>122</v>
      </c>
      <c r="P2691" s="14">
        <f>IF($J2691=0,0,ROUND(MAX($J2691*1.4*1.5*1.6,3500000*(1.57975^(MIN($E2691,123)-117)))*1,0))</f>
        <v>5529125</v>
      </c>
      <c r="Q2691" s="11">
        <f>$E2691+6</f>
        <v>124</v>
      </c>
      <c r="R2691" s="12">
        <f>IF($J2691=0,0,ROUND(MAX($J2691*1.4*1.5*1.6*1.6,13100000*(1.429962^(MIN($E2691,123)-117)))*1,0))</f>
        <v>18732502</v>
      </c>
      <c r="S2691" s="13">
        <f>$E2691+8</f>
        <v>126</v>
      </c>
      <c r="T2691" s="14">
        <f>IF($J2691=0,0,ROUND(MAX($J2691*1.4*1.5*1.6*1.6*2.2,42600000*(1.576904^(MIN($E2691,123)-117)))*1,0))</f>
        <v>67176110</v>
      </c>
      <c r="U2691" s="11">
        <f>$E2691+11</f>
        <v>129</v>
      </c>
      <c r="V2691" s="12">
        <f>IF($J2691=0,0,ROUND(MAX($J2691*1.4*1.5*1.6*1.6*2.2*2.715,354000000*(1.642074^(MIN($E2691,123)-117)))*1,0))</f>
        <v>581294196</v>
      </c>
      <c r="W2691" s="13">
        <f>$E2691+15</f>
        <v>133</v>
      </c>
      <c r="X2691" s="14">
        <f>IF($J2691=0,0,ROUND(MAX($J2691*1.4*1.5*1.6*1.6*2.2*2.715*2.6,3540000000*(1.579646^(MIN($E2691,123)-117)))*1,0))</f>
        <v>5591946840</v>
      </c>
      <c r="Y2691" s="11">
        <f>$E2691+17</f>
        <v>135</v>
      </c>
      <c r="Z2691" s="12">
        <f>IF($J2691=0,0,ROUND(MAX($J2691*1.4*1.5*1.6*1.6*2.2*2.715*2.6*1.4,6020000000*(1.651178^(MIN($E2691,123)-117)))*1,0))</f>
        <v>9940091560</v>
      </c>
      <c r="AA2691" s="13">
        <f>$E2691+19</f>
        <v>137</v>
      </c>
      <c r="AB2691" s="14">
        <f>IF($J2691=0,0,ROUND(MAX($J2691*1.4*1.5*1.6*1.6*2.2*2.715*2.6*1.4*1.4,8430000000*(1.651435^(MIN($E2691,123)-117)))*1,0))</f>
        <v>13921597050</v>
      </c>
      <c r="AC2691" s="11">
        <f>$E2691+21</f>
        <v>139</v>
      </c>
      <c r="AD2691" s="12">
        <f>IF($J2691=0,0,ROUND(MAX($J2691*1.4*1.5*1.6*1.6*2.2*2.715*2.6*1.4*1.4*1.5,12600000000*(1.652953^(MIN($E2691,123)-117)))*1,0))</f>
        <v>20827207800</v>
      </c>
      <c r="AE2691" s="13">
        <f>$E2691+24</f>
        <v>142</v>
      </c>
      <c r="AF2691" s="14">
        <f>IF($J2691=0,0,ROUND(MAX($J2691*1.4*1.5*1.6*1.6*2.2*2.715*2.6*1.4*1.4*1.5*1.5,18900000000*(1.65331^(MIN($E2691,123)-117)))*1,0))</f>
        <v>31247559000</v>
      </c>
      <c r="AG2691" s="11">
        <f>$E2691+27</f>
        <v>145</v>
      </c>
      <c r="AH2691" s="12">
        <f>IF($J2691=0,0,ROUND(MAX($J2691*1.4*1.5*1.6*1.6*2.2*2.715*2.6*1.4*1.4*1.5*1.5*3.2,60500000000*(1.654288^(MIN($E2691,123)-117)))*1,0))</f>
        <v>100084424000</v>
      </c>
    </row>
    <row r="2692" ht="28" customHeight="1" spans="1:34" x14ac:dyDescent="0.25">
      <c r="A2692">
        <v>2702</v>
      </c>
      <c r="B2692" t="s">
        <v>232</v>
      </c>
      <c r="C2692" s="10" t="s">
        <v>1593</v>
      </c>
      <c r="D2692" t="s">
        <v>25</v>
      </c>
      <c r="E2692">
        <v>118</v>
      </c>
      <c r="F2692" t="s">
        <v>59</v>
      </c>
      <c r="G2692" t="s">
        <v>57</v>
      </c>
      <c r="H2692">
        <v>30</v>
      </c>
      <c r="I2692" s="11">
        <f>$E2692+0</f>
        <v>118</v>
      </c>
      <c r="J2692" s="12">
        <v>736000</v>
      </c>
      <c r="K2692" s="13">
        <f>$E2692+1</f>
        <v>119</v>
      </c>
      <c r="L2692" s="14">
        <f>IF($J2692=0,0,ROUND(MAX($J2692*1.4,1620000*(1.497923^(MIN($E2692,123)-117)))*1,0))</f>
        <v>2426635</v>
      </c>
      <c r="M2692" s="11">
        <f>$E2692+2</f>
        <v>120</v>
      </c>
      <c r="N2692" s="12">
        <f>IF($J2692=0,0,ROUND(MAX($J2692*1.4*1.5,2190000*(1.580994^(MIN($E2692,123)-117)))*1,0))</f>
        <v>3462377</v>
      </c>
      <c r="O2692" s="13">
        <f>$E2692+4</f>
        <v>122</v>
      </c>
      <c r="P2692" s="14">
        <f>IF($J2692=0,0,ROUND(MAX($J2692*1.4*1.5*1.6,3500000*(1.57975^(MIN($E2692,123)-117)))*1,0))</f>
        <v>5529125</v>
      </c>
      <c r="Q2692" s="11">
        <f>$E2692+6</f>
        <v>124</v>
      </c>
      <c r="R2692" s="12">
        <f>IF($J2692=0,0,ROUND(MAX($J2692*1.4*1.5*1.6*1.6,13100000*(1.429962^(MIN($E2692,123)-117)))*1,0))</f>
        <v>18732502</v>
      </c>
      <c r="S2692" s="13">
        <f>$E2692+8</f>
        <v>126</v>
      </c>
      <c r="T2692" s="14">
        <f>IF($J2692=0,0,ROUND(MAX($J2692*1.4*1.5*1.6*1.6*2.2,42600000*(1.576904^(MIN($E2692,123)-117)))*1,0))</f>
        <v>67176110</v>
      </c>
      <c r="U2692" s="11">
        <f>$E2692+11</f>
        <v>129</v>
      </c>
      <c r="V2692" s="12">
        <f>IF($J2692=0,0,ROUND(MAX($J2692*1.4*1.5*1.6*1.6*2.2*2.715,354000000*(1.642074^(MIN($E2692,123)-117)))*1,0))</f>
        <v>581294196</v>
      </c>
      <c r="W2692" s="13">
        <f>$E2692+15</f>
        <v>133</v>
      </c>
      <c r="X2692" s="14">
        <f>IF($J2692=0,0,ROUND(MAX($J2692*1.4*1.5*1.6*1.6*2.2*2.715*2.6,3540000000*(1.579646^(MIN($E2692,123)-117)))*1,0))</f>
        <v>5591946840</v>
      </c>
      <c r="Y2692" s="11">
        <f>$E2692+17</f>
        <v>135</v>
      </c>
      <c r="Z2692" s="12">
        <f>IF($J2692=0,0,ROUND(MAX($J2692*1.4*1.5*1.6*1.6*2.2*2.715*2.6*1.4,6020000000*(1.651178^(MIN($E2692,123)-117)))*1,0))</f>
        <v>9940091560</v>
      </c>
      <c r="AA2692" s="13">
        <f>$E2692+19</f>
        <v>137</v>
      </c>
      <c r="AB2692" s="14">
        <f>IF($J2692=0,0,ROUND(MAX($J2692*1.4*1.5*1.6*1.6*2.2*2.715*2.6*1.4*1.4,8430000000*(1.651435^(MIN($E2692,123)-117)))*1,0))</f>
        <v>13921597050</v>
      </c>
      <c r="AC2692" s="11">
        <f>$E2692+21</f>
        <v>139</v>
      </c>
      <c r="AD2692" s="12">
        <f>IF($J2692=0,0,ROUND(MAX($J2692*1.4*1.5*1.6*1.6*2.2*2.715*2.6*1.4*1.4*1.5,12600000000*(1.652953^(MIN($E2692,123)-117)))*1,0))</f>
        <v>20827207800</v>
      </c>
      <c r="AE2692" s="13">
        <f>$E2692+24</f>
        <v>142</v>
      </c>
      <c r="AF2692" s="14">
        <f>IF($J2692=0,0,ROUND(MAX($J2692*1.4*1.5*1.6*1.6*2.2*2.715*2.6*1.4*1.4*1.5*1.5,18900000000*(1.65331^(MIN($E2692,123)-117)))*1,0))</f>
        <v>31247559000</v>
      </c>
      <c r="AG2692" s="11">
        <f>$E2692+27</f>
        <v>145</v>
      </c>
      <c r="AH2692" s="12">
        <f>IF($J2692=0,0,ROUND(MAX($J2692*1.4*1.5*1.6*1.6*2.2*2.715*2.6*1.4*1.4*1.5*1.5*3.2,60500000000*(1.654288^(MIN($E2692,123)-117)))*1,0))</f>
        <v>100084424000</v>
      </c>
    </row>
    <row r="2693" ht="28" customHeight="1" spans="1:34" x14ac:dyDescent="0.25">
      <c r="A2693">
        <v>2703</v>
      </c>
      <c r="B2693" t="s">
        <v>157</v>
      </c>
      <c r="C2693" s="10" t="s">
        <v>1593</v>
      </c>
      <c r="D2693" t="s">
        <v>64</v>
      </c>
      <c r="E2693">
        <v>118</v>
      </c>
      <c r="F2693" t="s">
        <v>71</v>
      </c>
      <c r="G2693" t="s">
        <v>562</v>
      </c>
      <c r="H2693">
        <v>30</v>
      </c>
      <c r="I2693" s="11">
        <f>$E2693+0</f>
        <v>118</v>
      </c>
      <c r="J2693" s="12">
        <v>738000</v>
      </c>
      <c r="K2693" s="13">
        <f>$E2693+1</f>
        <v>119</v>
      </c>
      <c r="L2693" s="14">
        <f>IF($J2693=0,0,ROUND(MAX($J2693*1.4,1620000*(1.497923^(MIN($E2693,123)-117)))*1,0))</f>
        <v>2426635</v>
      </c>
      <c r="M2693" s="11">
        <f>$E2693+2</f>
        <v>120</v>
      </c>
      <c r="N2693" s="12">
        <f>IF($J2693=0,0,ROUND(MAX($J2693*1.4*1.5,2190000*(1.580994^(MIN($E2693,123)-117)))*1,0))</f>
        <v>3462377</v>
      </c>
      <c r="O2693" s="13">
        <f>$E2693+4</f>
        <v>122</v>
      </c>
      <c r="P2693" s="14">
        <f>IF($J2693=0,0,ROUND(MAX($J2693*1.4*1.5*1.6,3500000*(1.57975^(MIN($E2693,123)-117)))*1,0))</f>
        <v>5529125</v>
      </c>
      <c r="Q2693" s="11">
        <f>$E2693+6</f>
        <v>124</v>
      </c>
      <c r="R2693" s="12">
        <f>IF($J2693=0,0,ROUND(MAX($J2693*1.4*1.5*1.6*1.6,13100000*(1.429962^(MIN($E2693,123)-117)))*1,0))</f>
        <v>18732502</v>
      </c>
      <c r="S2693" s="13">
        <f>$E2693+8</f>
        <v>126</v>
      </c>
      <c r="T2693" s="14">
        <f>IF($J2693=0,0,ROUND(MAX($J2693*1.4*1.5*1.6*1.6*2.2,42600000*(1.576904^(MIN($E2693,123)-117)))*1,0))</f>
        <v>67176110</v>
      </c>
      <c r="U2693" s="11">
        <f>$E2693+11</f>
        <v>129</v>
      </c>
      <c r="V2693" s="12">
        <f>IF($J2693=0,0,ROUND(MAX($J2693*1.4*1.5*1.6*1.6*2.2*2.715,354000000*(1.642074^(MIN($E2693,123)-117)))*1,0))</f>
        <v>581294196</v>
      </c>
      <c r="W2693" s="13">
        <f>$E2693+15</f>
        <v>133</v>
      </c>
      <c r="X2693" s="14">
        <f>IF($J2693=0,0,ROUND(MAX($J2693*1.4*1.5*1.6*1.6*2.2*2.715*2.6,3540000000*(1.579646^(MIN($E2693,123)-117)))*1,0))</f>
        <v>5591946840</v>
      </c>
      <c r="Y2693" s="11">
        <f>$E2693+17</f>
        <v>135</v>
      </c>
      <c r="Z2693" s="12">
        <f>IF($J2693=0,0,ROUND(MAX($J2693*1.4*1.5*1.6*1.6*2.2*2.715*2.6*1.4,6020000000*(1.651178^(MIN($E2693,123)-117)))*1,0))</f>
        <v>9940091560</v>
      </c>
      <c r="AA2693" s="13">
        <f>$E2693+19</f>
        <v>137</v>
      </c>
      <c r="AB2693" s="14">
        <f>IF($J2693=0,0,ROUND(MAX($J2693*1.4*1.5*1.6*1.6*2.2*2.715*2.6*1.4*1.4,8430000000*(1.651435^(MIN($E2693,123)-117)))*1,0))</f>
        <v>13921597050</v>
      </c>
      <c r="AC2693" s="11">
        <f>$E2693+21</f>
        <v>139</v>
      </c>
      <c r="AD2693" s="12">
        <f>IF($J2693=0,0,ROUND(MAX($J2693*1.4*1.5*1.6*1.6*2.2*2.715*2.6*1.4*1.4*1.5,12600000000*(1.652953^(MIN($E2693,123)-117)))*1,0))</f>
        <v>20827207800</v>
      </c>
      <c r="AE2693" s="13">
        <f>$E2693+24</f>
        <v>142</v>
      </c>
      <c r="AF2693" s="14">
        <f>IF($J2693=0,0,ROUND(MAX($J2693*1.4*1.5*1.6*1.6*2.2*2.715*2.6*1.4*1.4*1.5*1.5,18900000000*(1.65331^(MIN($E2693,123)-117)))*1,0))</f>
        <v>31247559000</v>
      </c>
      <c r="AG2693" s="11">
        <f>$E2693+27</f>
        <v>145</v>
      </c>
      <c r="AH2693" s="12">
        <f>IF($J2693=0,0,ROUND(MAX($J2693*1.4*1.5*1.6*1.6*2.2*2.715*2.6*1.4*1.4*1.5*1.5*3.2,60500000000*(1.654288^(MIN($E2693,123)-117)))*1,0))</f>
        <v>100084424000</v>
      </c>
    </row>
    <row r="2694" ht="28" customHeight="1" spans="1:34" x14ac:dyDescent="0.25">
      <c r="A2694">
        <v>2704</v>
      </c>
      <c r="B2694" t="s">
        <v>122</v>
      </c>
      <c r="C2694" s="10" t="s">
        <v>1593</v>
      </c>
      <c r="D2694" t="s">
        <v>40</v>
      </c>
      <c r="E2694">
        <v>118</v>
      </c>
      <c r="F2694" t="s">
        <v>123</v>
      </c>
      <c r="G2694" t="s">
        <v>562</v>
      </c>
      <c r="H2694">
        <v>30</v>
      </c>
      <c r="I2694" s="11">
        <f>$E2694+0</f>
        <v>118</v>
      </c>
      <c r="J2694" s="12">
        <v>731000</v>
      </c>
      <c r="K2694" s="13">
        <f>$E2694+1</f>
        <v>119</v>
      </c>
      <c r="L2694" s="14">
        <f>IF($J2694=0,0,ROUND(MAX($J2694*1.4,1620000*(1.497923^(MIN($E2694,123)-117)))*1,0))</f>
        <v>2426635</v>
      </c>
      <c r="M2694" s="11">
        <f>$E2694+2</f>
        <v>120</v>
      </c>
      <c r="N2694" s="12">
        <f>IF($J2694=0,0,ROUND(MAX($J2694*1.4*1.5,2190000*(1.580994^(MIN($E2694,123)-117)))*1,0))</f>
        <v>3462377</v>
      </c>
      <c r="O2694" s="13">
        <f>$E2694+4</f>
        <v>122</v>
      </c>
      <c r="P2694" s="14">
        <f>IF($J2694=0,0,ROUND(MAX($J2694*1.4*1.5*1.6,3500000*(1.57975^(MIN($E2694,123)-117)))*1,0))</f>
        <v>5529125</v>
      </c>
      <c r="Q2694" s="11">
        <f>$E2694+6</f>
        <v>124</v>
      </c>
      <c r="R2694" s="12">
        <f>IF($J2694=0,0,ROUND(MAX($J2694*1.4*1.5*1.6*1.6,13100000*(1.429962^(MIN($E2694,123)-117)))*1,0))</f>
        <v>18732502</v>
      </c>
      <c r="S2694" s="13">
        <f>$E2694+8</f>
        <v>126</v>
      </c>
      <c r="T2694" s="14">
        <f>IF($J2694=0,0,ROUND(MAX($J2694*1.4*1.5*1.6*1.6*2.2,42600000*(1.576904^(MIN($E2694,123)-117)))*1,0))</f>
        <v>67176110</v>
      </c>
      <c r="U2694" s="11">
        <f>$E2694+11</f>
        <v>129</v>
      </c>
      <c r="V2694" s="12">
        <f>IF($J2694=0,0,ROUND(MAX($J2694*1.4*1.5*1.6*1.6*2.2*2.715,354000000*(1.642074^(MIN($E2694,123)-117)))*1,0))</f>
        <v>581294196</v>
      </c>
      <c r="W2694" s="13">
        <f>$E2694+15</f>
        <v>133</v>
      </c>
      <c r="X2694" s="14">
        <f>IF($J2694=0,0,ROUND(MAX($J2694*1.4*1.5*1.6*1.6*2.2*2.715*2.6,3540000000*(1.579646^(MIN($E2694,123)-117)))*1,0))</f>
        <v>5591946840</v>
      </c>
      <c r="Y2694" s="11">
        <f>$E2694+17</f>
        <v>135</v>
      </c>
      <c r="Z2694" s="12">
        <f>IF($J2694=0,0,ROUND(MAX($J2694*1.4*1.5*1.6*1.6*2.2*2.715*2.6*1.4,6020000000*(1.651178^(MIN($E2694,123)-117)))*1,0))</f>
        <v>9940091560</v>
      </c>
      <c r="AA2694" s="13">
        <f>$E2694+19</f>
        <v>137</v>
      </c>
      <c r="AB2694" s="14">
        <f>IF($J2694=0,0,ROUND(MAX($J2694*1.4*1.5*1.6*1.6*2.2*2.715*2.6*1.4*1.4,8430000000*(1.651435^(MIN($E2694,123)-117)))*1,0))</f>
        <v>13921597050</v>
      </c>
      <c r="AC2694" s="11">
        <f>$E2694+21</f>
        <v>139</v>
      </c>
      <c r="AD2694" s="12">
        <f>IF($J2694=0,0,ROUND(MAX($J2694*1.4*1.5*1.6*1.6*2.2*2.715*2.6*1.4*1.4*1.5,12600000000*(1.652953^(MIN($E2694,123)-117)))*1,0))</f>
        <v>20827207800</v>
      </c>
      <c r="AE2694" s="13">
        <f>$E2694+24</f>
        <v>142</v>
      </c>
      <c r="AF2694" s="14">
        <f>IF($J2694=0,0,ROUND(MAX($J2694*1.4*1.5*1.6*1.6*2.2*2.715*2.6*1.4*1.4*1.5*1.5,18900000000*(1.65331^(MIN($E2694,123)-117)))*1,0))</f>
        <v>31247559000</v>
      </c>
      <c r="AG2694" s="11">
        <f>$E2694+27</f>
        <v>145</v>
      </c>
      <c r="AH2694" s="12">
        <f>IF($J2694=0,0,ROUND(MAX($J2694*1.4*1.5*1.6*1.6*2.2*2.715*2.6*1.4*1.4*1.5*1.5*3.2,60500000000*(1.654288^(MIN($E2694,123)-117)))*1,0))</f>
        <v>100084424000</v>
      </c>
    </row>
    <row r="2695" ht="28" customHeight="1" spans="1:34" x14ac:dyDescent="0.25">
      <c r="A2695">
        <v>2705</v>
      </c>
      <c r="B2695" t="s">
        <v>534</v>
      </c>
      <c r="C2695" s="10" t="s">
        <v>1593</v>
      </c>
      <c r="D2695" t="s">
        <v>79</v>
      </c>
      <c r="E2695">
        <v>118</v>
      </c>
      <c r="F2695" t="s">
        <v>310</v>
      </c>
      <c r="G2695" t="s">
        <v>562</v>
      </c>
      <c r="H2695">
        <v>30</v>
      </c>
      <c r="I2695" s="11">
        <f>$E2695+0</f>
        <v>118</v>
      </c>
      <c r="J2695" s="12">
        <v>817000</v>
      </c>
      <c r="K2695" s="13">
        <f>$E2695+1</f>
        <v>119</v>
      </c>
      <c r="L2695" s="14">
        <f>IF($J2695=0,0,ROUND(MAX($J2695*1.4,1620000*(1.497923^(MIN($E2695,123)-117)))*1,0))</f>
        <v>2426635</v>
      </c>
      <c r="M2695" s="11">
        <f>$E2695+2</f>
        <v>120</v>
      </c>
      <c r="N2695" s="12">
        <f>IF($J2695=0,0,ROUND(MAX($J2695*1.4*1.5,2190000*(1.580994^(MIN($E2695,123)-117)))*1,0))</f>
        <v>3462377</v>
      </c>
      <c r="O2695" s="13">
        <f>$E2695+4</f>
        <v>122</v>
      </c>
      <c r="P2695" s="14">
        <f>IF($J2695=0,0,ROUND(MAX($J2695*1.4*1.5*1.6,3500000*(1.57975^(MIN($E2695,123)-117)))*1,0))</f>
        <v>5529125</v>
      </c>
      <c r="Q2695" s="11">
        <f>$E2695+6</f>
        <v>124</v>
      </c>
      <c r="R2695" s="12">
        <f>IF($J2695=0,0,ROUND(MAX($J2695*1.4*1.5*1.6*1.6,13100000*(1.429962^(MIN($E2695,123)-117)))*1,0))</f>
        <v>18732502</v>
      </c>
      <c r="S2695" s="13">
        <f>$E2695+8</f>
        <v>126</v>
      </c>
      <c r="T2695" s="14">
        <f>IF($J2695=0,0,ROUND(MAX($J2695*1.4*1.5*1.6*1.6*2.2,42600000*(1.576904^(MIN($E2695,123)-117)))*1,0))</f>
        <v>67176110</v>
      </c>
      <c r="U2695" s="11">
        <f>$E2695+11</f>
        <v>129</v>
      </c>
      <c r="V2695" s="12">
        <f>IF($J2695=0,0,ROUND(MAX($J2695*1.4*1.5*1.6*1.6*2.2*2.715,354000000*(1.642074^(MIN($E2695,123)-117)))*1,0))</f>
        <v>581294196</v>
      </c>
      <c r="W2695" s="13">
        <f>$E2695+15</f>
        <v>133</v>
      </c>
      <c r="X2695" s="14">
        <f>IF($J2695=0,0,ROUND(MAX($J2695*1.4*1.5*1.6*1.6*2.2*2.715*2.6,3540000000*(1.579646^(MIN($E2695,123)-117)))*1,0))</f>
        <v>5591946840</v>
      </c>
      <c r="Y2695" s="11">
        <f>$E2695+17</f>
        <v>135</v>
      </c>
      <c r="Z2695" s="12">
        <f>IF($J2695=0,0,ROUND(MAX($J2695*1.4*1.5*1.6*1.6*2.2*2.715*2.6*1.4,6020000000*(1.651178^(MIN($E2695,123)-117)))*1,0))</f>
        <v>9940091560</v>
      </c>
      <c r="AA2695" s="13">
        <f>$E2695+19</f>
        <v>137</v>
      </c>
      <c r="AB2695" s="14">
        <f>IF($J2695=0,0,ROUND(MAX($J2695*1.4*1.5*1.6*1.6*2.2*2.715*2.6*1.4*1.4,8430000000*(1.651435^(MIN($E2695,123)-117)))*1,0))</f>
        <v>13921597050</v>
      </c>
      <c r="AC2695" s="11">
        <f>$E2695+21</f>
        <v>139</v>
      </c>
      <c r="AD2695" s="12">
        <f>IF($J2695=0,0,ROUND(MAX($J2695*1.4*1.5*1.6*1.6*2.2*2.715*2.6*1.4*1.4*1.5,12600000000*(1.652953^(MIN($E2695,123)-117)))*1,0))</f>
        <v>20827207800</v>
      </c>
      <c r="AE2695" s="13">
        <f>$E2695+24</f>
        <v>142</v>
      </c>
      <c r="AF2695" s="14">
        <f>IF($J2695=0,0,ROUND(MAX($J2695*1.4*1.5*1.6*1.6*2.2*2.715*2.6*1.4*1.4*1.5*1.5,18900000000*(1.65331^(MIN($E2695,123)-117)))*1,0))</f>
        <v>31247559000</v>
      </c>
      <c r="AG2695" s="11">
        <f>$E2695+27</f>
        <v>145</v>
      </c>
      <c r="AH2695" s="12">
        <f>IF($J2695=0,0,ROUND(MAX($J2695*1.4*1.5*1.6*1.6*2.2*2.715*2.6*1.4*1.4*1.5*1.5*3.2,60500000000*(1.654288^(MIN($E2695,123)-117)))*1,0))</f>
        <v>100084424000</v>
      </c>
    </row>
    <row r="2696" ht="28" customHeight="1" spans="1:34" x14ac:dyDescent="0.25">
      <c r="A2696">
        <v>2706</v>
      </c>
      <c r="B2696" t="s">
        <v>734</v>
      </c>
      <c r="C2696" s="10" t="s">
        <v>1593</v>
      </c>
      <c r="D2696" t="s">
        <v>79</v>
      </c>
      <c r="E2696">
        <v>118</v>
      </c>
      <c r="F2696" t="s">
        <v>30</v>
      </c>
      <c r="G2696" t="s">
        <v>349</v>
      </c>
      <c r="H2696">
        <v>30</v>
      </c>
      <c r="I2696" s="11">
        <f>$E2696+0</f>
        <v>118</v>
      </c>
      <c r="J2696" s="12">
        <v>182000000</v>
      </c>
      <c r="K2696" s="13">
        <f>$E2696+1</f>
        <v>119</v>
      </c>
      <c r="L2696" s="14">
        <f>IF($J2696=0,0,ROUND(MAX($J2696*1.4,1620000*(1.497923^(MIN($E2696,123)-117)))*1,0))</f>
        <v>254800000</v>
      </c>
      <c r="M2696" s="11">
        <f>$E2696+2</f>
        <v>120</v>
      </c>
      <c r="N2696" s="12">
        <f>IF($J2696=0,0,ROUND(MAX($J2696*1.4*1.5,2190000*(1.580994^(MIN($E2696,123)-117)))*1,0))</f>
        <v>382200000</v>
      </c>
      <c r="O2696" s="13">
        <f>$E2696+4</f>
        <v>122</v>
      </c>
      <c r="P2696" s="14">
        <f>IF($J2696=0,0,ROUND(MAX($J2696*1.4*1.5*1.6,3500000*(1.57975^(MIN($E2696,123)-117)))*1,0))</f>
        <v>611520000</v>
      </c>
      <c r="Q2696" s="11">
        <f>$E2696+6</f>
        <v>124</v>
      </c>
      <c r="R2696" s="12">
        <f>IF($J2696=0,0,ROUND(MAX($J2696*1.4*1.5*1.6*1.6,13100000*(1.429962^(MIN($E2696,123)-117)))*1,0))</f>
        <v>978432000</v>
      </c>
      <c r="S2696" s="13">
        <f>$E2696+8</f>
        <v>126</v>
      </c>
      <c r="T2696" s="14">
        <f>IF($J2696=0,0,ROUND(MAX($J2696*1.4*1.5*1.6*1.6*2.2,42600000*(1.576904^(MIN($E2696,123)-117)))*1,0))</f>
        <v>2152550400</v>
      </c>
      <c r="U2696" s="11">
        <f>$E2696+11</f>
        <v>129</v>
      </c>
      <c r="V2696" s="12">
        <f>IF($J2696=0,0,ROUND(MAX($J2696*1.4*1.5*1.6*1.6*2.2*2.715,354000000*(1.642074^(MIN($E2696,123)-117)))*1,0))</f>
        <v>5844174336</v>
      </c>
      <c r="W2696" s="13">
        <f>$E2696+15</f>
        <v>133</v>
      </c>
      <c r="X2696" s="14">
        <f>IF($J2696=0,0,ROUND(MAX($J2696*1.4*1.5*1.6*1.6*2.2*2.715*2.6,3540000000*(1.579646^(MIN($E2696,123)-117)))*1,0))</f>
        <v>15194853274</v>
      </c>
      <c r="Y2696" s="11">
        <f>$E2696+17</f>
        <v>135</v>
      </c>
      <c r="Z2696" s="12">
        <f>IF($J2696=0,0,ROUND(MAX($J2696*1.4*1.5*1.6*1.6*2.2*2.715*2.6*1.4,6020000000*(1.651178^(MIN($E2696,123)-117)))*1,0))</f>
        <v>21272794583</v>
      </c>
      <c r="AA2696" s="13">
        <f>$E2696+19</f>
        <v>137</v>
      </c>
      <c r="AB2696" s="14">
        <f>IF($J2696=0,0,ROUND(MAX($J2696*1.4*1.5*1.6*1.6*2.2*2.715*2.6*1.4*1.4,8430000000*(1.651435^(MIN($E2696,123)-117)))*1,0))</f>
        <v>29781912416</v>
      </c>
      <c r="AC2696" s="11">
        <f>$E2696+21</f>
        <v>139</v>
      </c>
      <c r="AD2696" s="12">
        <f>IF($J2696=0,0,ROUND(MAX($J2696*1.4*1.5*1.6*1.6*2.2*2.715*2.6*1.4*1.4*1.5,12600000000*(1.652953^(MIN($E2696,123)-117)))*1,0))</f>
        <v>44672868624</v>
      </c>
      <c r="AE2696" s="13">
        <f>$E2696+24</f>
        <v>142</v>
      </c>
      <c r="AF2696" s="14">
        <f>IF($J2696=0,0,ROUND(MAX($J2696*1.4*1.5*1.6*1.6*2.2*2.715*2.6*1.4*1.4*1.5*1.5,18900000000*(1.65331^(MIN($E2696,123)-117)))*1,0))</f>
        <v>67009302937</v>
      </c>
      <c r="AG2696" s="11">
        <f>$E2696+27</f>
        <v>145</v>
      </c>
      <c r="AH2696" s="12">
        <f>IF($J2696=0,0,ROUND(MAX($J2696*1.4*1.5*1.6*1.6*2.2*2.715*2.6*1.4*1.4*1.5*1.5*3.2,60500000000*(1.654288^(MIN($E2696,123)-117)))*1,0))</f>
        <v>214429769397</v>
      </c>
    </row>
    <row r="2697" ht="28" customHeight="1" spans="1:34" x14ac:dyDescent="0.25">
      <c r="A2697">
        <v>2707</v>
      </c>
      <c r="B2697" t="s">
        <v>653</v>
      </c>
      <c r="C2697" s="10" t="s">
        <v>1593</v>
      </c>
      <c r="D2697" t="s">
        <v>40</v>
      </c>
      <c r="E2697">
        <v>118</v>
      </c>
      <c r="F2697" t="s">
        <v>34</v>
      </c>
      <c r="G2697" t="s">
        <v>562</v>
      </c>
      <c r="H2697">
        <v>30</v>
      </c>
      <c r="I2697" s="11">
        <f>$E2697+0</f>
        <v>118</v>
      </c>
      <c r="J2697" s="12">
        <v>1023000</v>
      </c>
      <c r="K2697" s="13">
        <f>$E2697+1</f>
        <v>119</v>
      </c>
      <c r="L2697" s="14">
        <f>IF($J2697=0,0,ROUND(MAX($J2697*1.4,1620000*(1.497923^(MIN($E2697,123)-117)))*1,0))</f>
        <v>2426635</v>
      </c>
      <c r="M2697" s="11">
        <f>$E2697+2</f>
        <v>120</v>
      </c>
      <c r="N2697" s="12">
        <f>IF($J2697=0,0,ROUND(MAX($J2697*1.4*1.5,2190000*(1.580994^(MIN($E2697,123)-117)))*1,0))</f>
        <v>3462377</v>
      </c>
      <c r="O2697" s="13">
        <f>$E2697+4</f>
        <v>122</v>
      </c>
      <c r="P2697" s="14">
        <f>IF($J2697=0,0,ROUND(MAX($J2697*1.4*1.5*1.6,3500000*(1.57975^(MIN($E2697,123)-117)))*1,0))</f>
        <v>5529125</v>
      </c>
      <c r="Q2697" s="11">
        <f>$E2697+6</f>
        <v>124</v>
      </c>
      <c r="R2697" s="12">
        <f>IF($J2697=0,0,ROUND(MAX($J2697*1.4*1.5*1.6*1.6,13100000*(1.429962^(MIN($E2697,123)-117)))*1,0))</f>
        <v>18732502</v>
      </c>
      <c r="S2697" s="13">
        <f>$E2697+8</f>
        <v>126</v>
      </c>
      <c r="T2697" s="14">
        <f>IF($J2697=0,0,ROUND(MAX($J2697*1.4*1.5*1.6*1.6*2.2,42600000*(1.576904^(MIN($E2697,123)-117)))*1,0))</f>
        <v>67176110</v>
      </c>
      <c r="U2697" s="11">
        <f>$E2697+11</f>
        <v>129</v>
      </c>
      <c r="V2697" s="12">
        <f>IF($J2697=0,0,ROUND(MAX($J2697*1.4*1.5*1.6*1.6*2.2*2.715,354000000*(1.642074^(MIN($E2697,123)-117)))*1,0))</f>
        <v>581294196</v>
      </c>
      <c r="W2697" s="13">
        <f>$E2697+15</f>
        <v>133</v>
      </c>
      <c r="X2697" s="14">
        <f>IF($J2697=0,0,ROUND(MAX($J2697*1.4*1.5*1.6*1.6*2.2*2.715*2.6,3540000000*(1.579646^(MIN($E2697,123)-117)))*1,0))</f>
        <v>5591946840</v>
      </c>
      <c r="Y2697" s="11">
        <f>$E2697+17</f>
        <v>135</v>
      </c>
      <c r="Z2697" s="12">
        <f>IF($J2697=0,0,ROUND(MAX($J2697*1.4*1.5*1.6*1.6*2.2*2.715*2.6*1.4,6020000000*(1.651178^(MIN($E2697,123)-117)))*1,0))</f>
        <v>9940091560</v>
      </c>
      <c r="AA2697" s="13">
        <f>$E2697+19</f>
        <v>137</v>
      </c>
      <c r="AB2697" s="14">
        <f>IF($J2697=0,0,ROUND(MAX($J2697*1.4*1.5*1.6*1.6*2.2*2.715*2.6*1.4*1.4,8430000000*(1.651435^(MIN($E2697,123)-117)))*1,0))</f>
        <v>13921597050</v>
      </c>
      <c r="AC2697" s="11">
        <f>$E2697+21</f>
        <v>139</v>
      </c>
      <c r="AD2697" s="12">
        <f>IF($J2697=0,0,ROUND(MAX($J2697*1.4*1.5*1.6*1.6*2.2*2.715*2.6*1.4*1.4*1.5,12600000000*(1.652953^(MIN($E2697,123)-117)))*1,0))</f>
        <v>20827207800</v>
      </c>
      <c r="AE2697" s="13">
        <f>$E2697+24</f>
        <v>142</v>
      </c>
      <c r="AF2697" s="14">
        <f>IF($J2697=0,0,ROUND(MAX($J2697*1.4*1.5*1.6*1.6*2.2*2.715*2.6*1.4*1.4*1.5*1.5,18900000000*(1.65331^(MIN($E2697,123)-117)))*1,0))</f>
        <v>31247559000</v>
      </c>
      <c r="AG2697" s="11">
        <f>$E2697+27</f>
        <v>145</v>
      </c>
      <c r="AH2697" s="12">
        <f>IF($J2697=0,0,ROUND(MAX($J2697*1.4*1.5*1.6*1.6*2.2*2.715*2.6*1.4*1.4*1.5*1.5*3.2,60500000000*(1.654288^(MIN($E2697,123)-117)))*1,0))</f>
        <v>100084424000</v>
      </c>
    </row>
    <row r="2698" ht="28" customHeight="1" spans="1:34" x14ac:dyDescent="0.25">
      <c r="A2698">
        <v>2708</v>
      </c>
      <c r="B2698" t="s">
        <v>191</v>
      </c>
      <c r="C2698" s="10" t="s">
        <v>1593</v>
      </c>
      <c r="D2698" t="s">
        <v>40</v>
      </c>
      <c r="E2698">
        <v>118</v>
      </c>
      <c r="F2698" t="s">
        <v>120</v>
      </c>
      <c r="G2698" t="s">
        <v>562</v>
      </c>
      <c r="H2698">
        <v>30</v>
      </c>
      <c r="I2698" s="11">
        <f>$E2698+0</f>
        <v>118</v>
      </c>
      <c r="J2698" s="12">
        <v>1037000</v>
      </c>
      <c r="K2698" s="13">
        <f>$E2698+1</f>
        <v>119</v>
      </c>
      <c r="L2698" s="14">
        <f>IF($J2698=0,0,ROUND(MAX($J2698*1.4,1620000*(1.497923^(MIN($E2698,123)-117)))*1,0))</f>
        <v>2426635</v>
      </c>
      <c r="M2698" s="11">
        <f>$E2698+2</f>
        <v>120</v>
      </c>
      <c r="N2698" s="12">
        <f>IF($J2698=0,0,ROUND(MAX($J2698*1.4*1.5,2190000*(1.580994^(MIN($E2698,123)-117)))*1,0))</f>
        <v>3462377</v>
      </c>
      <c r="O2698" s="13">
        <f>$E2698+4</f>
        <v>122</v>
      </c>
      <c r="P2698" s="14">
        <f>IF($J2698=0,0,ROUND(MAX($J2698*1.4*1.5*1.6,3500000*(1.57975^(MIN($E2698,123)-117)))*1,0))</f>
        <v>5529125</v>
      </c>
      <c r="Q2698" s="11">
        <f>$E2698+6</f>
        <v>124</v>
      </c>
      <c r="R2698" s="12">
        <f>IF($J2698=0,0,ROUND(MAX($J2698*1.4*1.5*1.6*1.6,13100000*(1.429962^(MIN($E2698,123)-117)))*1,0))</f>
        <v>18732502</v>
      </c>
      <c r="S2698" s="13">
        <f>$E2698+8</f>
        <v>126</v>
      </c>
      <c r="T2698" s="14">
        <f>IF($J2698=0,0,ROUND(MAX($J2698*1.4*1.5*1.6*1.6*2.2,42600000*(1.576904^(MIN($E2698,123)-117)))*1,0))</f>
        <v>67176110</v>
      </c>
      <c r="U2698" s="11">
        <f>$E2698+11</f>
        <v>129</v>
      </c>
      <c r="V2698" s="12">
        <f>IF($J2698=0,0,ROUND(MAX($J2698*1.4*1.5*1.6*1.6*2.2*2.715,354000000*(1.642074^(MIN($E2698,123)-117)))*1,0))</f>
        <v>581294196</v>
      </c>
      <c r="W2698" s="13">
        <f>$E2698+15</f>
        <v>133</v>
      </c>
      <c r="X2698" s="14">
        <f>IF($J2698=0,0,ROUND(MAX($J2698*1.4*1.5*1.6*1.6*2.2*2.715*2.6,3540000000*(1.579646^(MIN($E2698,123)-117)))*1,0))</f>
        <v>5591946840</v>
      </c>
      <c r="Y2698" s="11">
        <f>$E2698+17</f>
        <v>135</v>
      </c>
      <c r="Z2698" s="12">
        <f>IF($J2698=0,0,ROUND(MAX($J2698*1.4*1.5*1.6*1.6*2.2*2.715*2.6*1.4,6020000000*(1.651178^(MIN($E2698,123)-117)))*1,0))</f>
        <v>9940091560</v>
      </c>
      <c r="AA2698" s="13">
        <f>$E2698+19</f>
        <v>137</v>
      </c>
      <c r="AB2698" s="14">
        <f>IF($J2698=0,0,ROUND(MAX($J2698*1.4*1.5*1.6*1.6*2.2*2.715*2.6*1.4*1.4,8430000000*(1.651435^(MIN($E2698,123)-117)))*1,0))</f>
        <v>13921597050</v>
      </c>
      <c r="AC2698" s="11">
        <f>$E2698+21</f>
        <v>139</v>
      </c>
      <c r="AD2698" s="12">
        <f>IF($J2698=0,0,ROUND(MAX($J2698*1.4*1.5*1.6*1.6*2.2*2.715*2.6*1.4*1.4*1.5,12600000000*(1.652953^(MIN($E2698,123)-117)))*1,0))</f>
        <v>20827207800</v>
      </c>
      <c r="AE2698" s="13">
        <f>$E2698+24</f>
        <v>142</v>
      </c>
      <c r="AF2698" s="14">
        <f>IF($J2698=0,0,ROUND(MAX($J2698*1.4*1.5*1.6*1.6*2.2*2.715*2.6*1.4*1.4*1.5*1.5,18900000000*(1.65331^(MIN($E2698,123)-117)))*1,0))</f>
        <v>31247559000</v>
      </c>
      <c r="AG2698" s="11">
        <f>$E2698+27</f>
        <v>145</v>
      </c>
      <c r="AH2698" s="12">
        <f>IF($J2698=0,0,ROUND(MAX($J2698*1.4*1.5*1.6*1.6*2.2*2.715*2.6*1.4*1.4*1.5*1.5*3.2,60500000000*(1.654288^(MIN($E2698,123)-117)))*1,0))</f>
        <v>100084424000</v>
      </c>
    </row>
    <row r="2699" ht="28" customHeight="1" spans="1:34" x14ac:dyDescent="0.25">
      <c r="A2699">
        <v>2709</v>
      </c>
      <c r="B2699" t="s">
        <v>163</v>
      </c>
      <c r="C2699" s="10" t="s">
        <v>1593</v>
      </c>
      <c r="D2699" t="s">
        <v>40</v>
      </c>
      <c r="E2699">
        <v>118</v>
      </c>
      <c r="F2699" t="s">
        <v>71</v>
      </c>
      <c r="G2699" t="s">
        <v>562</v>
      </c>
      <c r="H2699">
        <v>30</v>
      </c>
      <c r="I2699" s="11">
        <f>$E2699+0</f>
        <v>118</v>
      </c>
      <c r="J2699" s="12">
        <v>770000</v>
      </c>
      <c r="K2699" s="13">
        <f>$E2699+1</f>
        <v>119</v>
      </c>
      <c r="L2699" s="14">
        <f>IF($J2699=0,0,ROUND(MAX($J2699*1.4,1620000*(1.497923^(MIN($E2699,123)-117)))*1,0))</f>
        <v>2426635</v>
      </c>
      <c r="M2699" s="11">
        <f>$E2699+2</f>
        <v>120</v>
      </c>
      <c r="N2699" s="12">
        <f>IF($J2699=0,0,ROUND(MAX($J2699*1.4*1.5,2190000*(1.580994^(MIN($E2699,123)-117)))*1,0))</f>
        <v>3462377</v>
      </c>
      <c r="O2699" s="13">
        <f>$E2699+4</f>
        <v>122</v>
      </c>
      <c r="P2699" s="14">
        <f>IF($J2699=0,0,ROUND(MAX($J2699*1.4*1.5*1.6,3500000*(1.57975^(MIN($E2699,123)-117)))*1,0))</f>
        <v>5529125</v>
      </c>
      <c r="Q2699" s="11">
        <f>$E2699+6</f>
        <v>124</v>
      </c>
      <c r="R2699" s="12">
        <f>IF($J2699=0,0,ROUND(MAX($J2699*1.4*1.5*1.6*1.6,13100000*(1.429962^(MIN($E2699,123)-117)))*1,0))</f>
        <v>18732502</v>
      </c>
      <c r="S2699" s="13">
        <f>$E2699+8</f>
        <v>126</v>
      </c>
      <c r="T2699" s="14">
        <f>IF($J2699=0,0,ROUND(MAX($J2699*1.4*1.5*1.6*1.6*2.2,42600000*(1.576904^(MIN($E2699,123)-117)))*1,0))</f>
        <v>67176110</v>
      </c>
      <c r="U2699" s="11">
        <f>$E2699+11</f>
        <v>129</v>
      </c>
      <c r="V2699" s="12">
        <f>IF($J2699=0,0,ROUND(MAX($J2699*1.4*1.5*1.6*1.6*2.2*2.715,354000000*(1.642074^(MIN($E2699,123)-117)))*1,0))</f>
        <v>581294196</v>
      </c>
      <c r="W2699" s="13">
        <f>$E2699+15</f>
        <v>133</v>
      </c>
      <c r="X2699" s="14">
        <f>IF($J2699=0,0,ROUND(MAX($J2699*1.4*1.5*1.6*1.6*2.2*2.715*2.6,3540000000*(1.579646^(MIN($E2699,123)-117)))*1,0))</f>
        <v>5591946840</v>
      </c>
      <c r="Y2699" s="11">
        <f>$E2699+17</f>
        <v>135</v>
      </c>
      <c r="Z2699" s="12">
        <f>IF($J2699=0,0,ROUND(MAX($J2699*1.4*1.5*1.6*1.6*2.2*2.715*2.6*1.4,6020000000*(1.651178^(MIN($E2699,123)-117)))*1,0))</f>
        <v>9940091560</v>
      </c>
      <c r="AA2699" s="13">
        <f>$E2699+19</f>
        <v>137</v>
      </c>
      <c r="AB2699" s="14">
        <f>IF($J2699=0,0,ROUND(MAX($J2699*1.4*1.5*1.6*1.6*2.2*2.715*2.6*1.4*1.4,8430000000*(1.651435^(MIN($E2699,123)-117)))*1,0))</f>
        <v>13921597050</v>
      </c>
      <c r="AC2699" s="11">
        <f>$E2699+21</f>
        <v>139</v>
      </c>
      <c r="AD2699" s="12">
        <f>IF($J2699=0,0,ROUND(MAX($J2699*1.4*1.5*1.6*1.6*2.2*2.715*2.6*1.4*1.4*1.5,12600000000*(1.652953^(MIN($E2699,123)-117)))*1,0))</f>
        <v>20827207800</v>
      </c>
      <c r="AE2699" s="13">
        <f>$E2699+24</f>
        <v>142</v>
      </c>
      <c r="AF2699" s="14">
        <f>IF($J2699=0,0,ROUND(MAX($J2699*1.4*1.5*1.6*1.6*2.2*2.715*2.6*1.4*1.4*1.5*1.5,18900000000*(1.65331^(MIN($E2699,123)-117)))*1,0))</f>
        <v>31247559000</v>
      </c>
      <c r="AG2699" s="11">
        <f>$E2699+27</f>
        <v>145</v>
      </c>
      <c r="AH2699" s="12">
        <f>IF($J2699=0,0,ROUND(MAX($J2699*1.4*1.5*1.6*1.6*2.2*2.715*2.6*1.4*1.4*1.5*1.5*3.2,60500000000*(1.654288^(MIN($E2699,123)-117)))*1,0))</f>
        <v>100084424000</v>
      </c>
    </row>
    <row r="2700" ht="28" customHeight="1" spans="1:34" x14ac:dyDescent="0.25">
      <c r="A2700">
        <v>2710</v>
      </c>
      <c r="B2700" t="s">
        <v>76</v>
      </c>
      <c r="C2700" s="10" t="s">
        <v>1593</v>
      </c>
      <c r="D2700" t="s">
        <v>25</v>
      </c>
      <c r="E2700">
        <v>118</v>
      </c>
      <c r="F2700" t="s">
        <v>62</v>
      </c>
      <c r="G2700" t="s">
        <v>562</v>
      </c>
      <c r="H2700">
        <v>30</v>
      </c>
      <c r="I2700" s="11">
        <f>$E2700+0</f>
        <v>118</v>
      </c>
      <c r="J2700" s="12">
        <v>787000</v>
      </c>
      <c r="K2700" s="13">
        <f>$E2700+1</f>
        <v>119</v>
      </c>
      <c r="L2700" s="14">
        <f>IF($J2700=0,0,ROUND(MAX($J2700*1.4,1620000*(1.497923^(MIN($E2700,123)-117)))*1,0))</f>
        <v>2426635</v>
      </c>
      <c r="M2700" s="11">
        <f>$E2700+2</f>
        <v>120</v>
      </c>
      <c r="N2700" s="12">
        <f>IF($J2700=0,0,ROUND(MAX($J2700*1.4*1.5,2190000*(1.580994^(MIN($E2700,123)-117)))*1,0))</f>
        <v>3462377</v>
      </c>
      <c r="O2700" s="13">
        <f>$E2700+4</f>
        <v>122</v>
      </c>
      <c r="P2700" s="14">
        <f>IF($J2700=0,0,ROUND(MAX($J2700*1.4*1.5*1.6,3500000*(1.57975^(MIN($E2700,123)-117)))*1,0))</f>
        <v>5529125</v>
      </c>
      <c r="Q2700" s="11">
        <f>$E2700+6</f>
        <v>124</v>
      </c>
      <c r="R2700" s="12">
        <f>IF($J2700=0,0,ROUND(MAX($J2700*1.4*1.5*1.6*1.6,13100000*(1.429962^(MIN($E2700,123)-117)))*1,0))</f>
        <v>18732502</v>
      </c>
      <c r="S2700" s="13">
        <f>$E2700+8</f>
        <v>126</v>
      </c>
      <c r="T2700" s="14">
        <f>IF($J2700=0,0,ROUND(MAX($J2700*1.4*1.5*1.6*1.6*2.2,42600000*(1.576904^(MIN($E2700,123)-117)))*1,0))</f>
        <v>67176110</v>
      </c>
      <c r="U2700" s="11">
        <f>$E2700+11</f>
        <v>129</v>
      </c>
      <c r="V2700" s="12">
        <f>IF($J2700=0,0,ROUND(MAX($J2700*1.4*1.5*1.6*1.6*2.2*2.715,354000000*(1.642074^(MIN($E2700,123)-117)))*1,0))</f>
        <v>581294196</v>
      </c>
      <c r="W2700" s="13">
        <f>$E2700+15</f>
        <v>133</v>
      </c>
      <c r="X2700" s="14">
        <f>IF($J2700=0,0,ROUND(MAX($J2700*1.4*1.5*1.6*1.6*2.2*2.715*2.6,3540000000*(1.579646^(MIN($E2700,123)-117)))*1,0))</f>
        <v>5591946840</v>
      </c>
      <c r="Y2700" s="11">
        <f>$E2700+17</f>
        <v>135</v>
      </c>
      <c r="Z2700" s="12">
        <f>IF($J2700=0,0,ROUND(MAX($J2700*1.4*1.5*1.6*1.6*2.2*2.715*2.6*1.4,6020000000*(1.651178^(MIN($E2700,123)-117)))*1,0))</f>
        <v>9940091560</v>
      </c>
      <c r="AA2700" s="13">
        <f>$E2700+19</f>
        <v>137</v>
      </c>
      <c r="AB2700" s="14">
        <f>IF($J2700=0,0,ROUND(MAX($J2700*1.4*1.5*1.6*1.6*2.2*2.715*2.6*1.4*1.4,8430000000*(1.651435^(MIN($E2700,123)-117)))*1,0))</f>
        <v>13921597050</v>
      </c>
      <c r="AC2700" s="11">
        <f>$E2700+21</f>
        <v>139</v>
      </c>
      <c r="AD2700" s="12">
        <f>IF($J2700=0,0,ROUND(MAX($J2700*1.4*1.5*1.6*1.6*2.2*2.715*2.6*1.4*1.4*1.5,12600000000*(1.652953^(MIN($E2700,123)-117)))*1,0))</f>
        <v>20827207800</v>
      </c>
      <c r="AE2700" s="13">
        <f>$E2700+24</f>
        <v>142</v>
      </c>
      <c r="AF2700" s="14">
        <f>IF($J2700=0,0,ROUND(MAX($J2700*1.4*1.5*1.6*1.6*2.2*2.715*2.6*1.4*1.4*1.5*1.5,18900000000*(1.65331^(MIN($E2700,123)-117)))*1,0))</f>
        <v>31247559000</v>
      </c>
      <c r="AG2700" s="11">
        <f>$E2700+27</f>
        <v>145</v>
      </c>
      <c r="AH2700" s="12">
        <f>IF($J2700=0,0,ROUND(MAX($J2700*1.4*1.5*1.6*1.6*2.2*2.715*2.6*1.4*1.4*1.5*1.5*3.2,60500000000*(1.654288^(MIN($E2700,123)-117)))*1,0))</f>
        <v>100084424000</v>
      </c>
    </row>
    <row r="2701" ht="28" customHeight="1" spans="1:34" x14ac:dyDescent="0.25">
      <c r="A2701">
        <v>2711</v>
      </c>
      <c r="B2701" t="s">
        <v>134</v>
      </c>
      <c r="C2701" s="10" t="s">
        <v>1593</v>
      </c>
      <c r="D2701" t="s">
        <v>241</v>
      </c>
      <c r="E2701">
        <v>118</v>
      </c>
      <c r="F2701" t="s">
        <v>26</v>
      </c>
      <c r="G2701" t="s">
        <v>562</v>
      </c>
      <c r="H2701">
        <v>30</v>
      </c>
      <c r="I2701" s="11">
        <f>$E2701+0</f>
        <v>118</v>
      </c>
      <c r="J2701" s="12">
        <v>765000</v>
      </c>
      <c r="K2701" s="13">
        <f>$E2701+1</f>
        <v>119</v>
      </c>
      <c r="L2701" s="14">
        <f>IF($J2701=0,0,ROUND(MAX($J2701*1.4,1620000*(1.497923^(MIN($E2701,123)-117)))*1,0))</f>
        <v>2426635</v>
      </c>
      <c r="M2701" s="11">
        <f>$E2701+2</f>
        <v>120</v>
      </c>
      <c r="N2701" s="12">
        <f>IF($J2701=0,0,ROUND(MAX($J2701*1.4*1.5,2190000*(1.580994^(MIN($E2701,123)-117)))*1,0))</f>
        <v>3462377</v>
      </c>
      <c r="O2701" s="13">
        <f>$E2701+4</f>
        <v>122</v>
      </c>
      <c r="P2701" s="14">
        <f>IF($J2701=0,0,ROUND(MAX($J2701*1.4*1.5*1.6,3500000*(1.57975^(MIN($E2701,123)-117)))*1,0))</f>
        <v>5529125</v>
      </c>
      <c r="Q2701" s="11">
        <f>$E2701+6</f>
        <v>124</v>
      </c>
      <c r="R2701" s="12">
        <f>IF($J2701=0,0,ROUND(MAX($J2701*1.4*1.5*1.6*1.6,13100000*(1.429962^(MIN($E2701,123)-117)))*1,0))</f>
        <v>18732502</v>
      </c>
      <c r="S2701" s="13">
        <f>$E2701+8</f>
        <v>126</v>
      </c>
      <c r="T2701" s="14">
        <f>IF($J2701=0,0,ROUND(MAX($J2701*1.4*1.5*1.6*1.6*2.2,42600000*(1.576904^(MIN($E2701,123)-117)))*1,0))</f>
        <v>67176110</v>
      </c>
      <c r="U2701" s="11">
        <f>$E2701+11</f>
        <v>129</v>
      </c>
      <c r="V2701" s="12">
        <f>IF($J2701=0,0,ROUND(MAX($J2701*1.4*1.5*1.6*1.6*2.2*2.715,354000000*(1.642074^(MIN($E2701,123)-117)))*1,0))</f>
        <v>581294196</v>
      </c>
      <c r="W2701" s="13">
        <f>$E2701+15</f>
        <v>133</v>
      </c>
      <c r="X2701" s="14">
        <f>IF($J2701=0,0,ROUND(MAX($J2701*1.4*1.5*1.6*1.6*2.2*2.715*2.6,3540000000*(1.579646^(MIN($E2701,123)-117)))*1,0))</f>
        <v>5591946840</v>
      </c>
      <c r="Y2701" s="11">
        <f>$E2701+17</f>
        <v>135</v>
      </c>
      <c r="Z2701" s="12">
        <f>IF($J2701=0,0,ROUND(MAX($J2701*1.4*1.5*1.6*1.6*2.2*2.715*2.6*1.4,6020000000*(1.651178^(MIN($E2701,123)-117)))*1,0))</f>
        <v>9940091560</v>
      </c>
      <c r="AA2701" s="13">
        <f>$E2701+19</f>
        <v>137</v>
      </c>
      <c r="AB2701" s="14">
        <f>IF($J2701=0,0,ROUND(MAX($J2701*1.4*1.5*1.6*1.6*2.2*2.715*2.6*1.4*1.4,8430000000*(1.651435^(MIN($E2701,123)-117)))*1,0))</f>
        <v>13921597050</v>
      </c>
      <c r="AC2701" s="11">
        <f>$E2701+21</f>
        <v>139</v>
      </c>
      <c r="AD2701" s="12">
        <f>IF($J2701=0,0,ROUND(MAX($J2701*1.4*1.5*1.6*1.6*2.2*2.715*2.6*1.4*1.4*1.5,12600000000*(1.652953^(MIN($E2701,123)-117)))*1,0))</f>
        <v>20827207800</v>
      </c>
      <c r="AE2701" s="13">
        <f>$E2701+24</f>
        <v>142</v>
      </c>
      <c r="AF2701" s="14">
        <f>IF($J2701=0,0,ROUND(MAX($J2701*1.4*1.5*1.6*1.6*2.2*2.715*2.6*1.4*1.4*1.5*1.5,18900000000*(1.65331^(MIN($E2701,123)-117)))*1,0))</f>
        <v>31247559000</v>
      </c>
      <c r="AG2701" s="11">
        <f>$E2701+27</f>
        <v>145</v>
      </c>
      <c r="AH2701" s="12">
        <f>IF($J2701=0,0,ROUND(MAX($J2701*1.4*1.5*1.6*1.6*2.2*2.715*2.6*1.4*1.4*1.5*1.5*3.2,60500000000*(1.654288^(MIN($E2701,123)-117)))*1,0))</f>
        <v>100084424000</v>
      </c>
    </row>
    <row r="2702" ht="28" customHeight="1" spans="1:34" x14ac:dyDescent="0.25">
      <c r="A2702">
        <v>2712</v>
      </c>
      <c r="B2702" t="s">
        <v>52</v>
      </c>
      <c r="C2702" s="10" t="s">
        <v>1593</v>
      </c>
      <c r="D2702" t="s">
        <v>40</v>
      </c>
      <c r="E2702">
        <v>117</v>
      </c>
      <c r="F2702" t="s">
        <v>30</v>
      </c>
      <c r="G2702" t="s">
        <v>562</v>
      </c>
      <c r="H2702">
        <v>31</v>
      </c>
      <c r="I2702" s="11">
        <f>$E2702+0</f>
        <v>117</v>
      </c>
      <c r="J2702" s="12">
        <v>823000</v>
      </c>
      <c r="K2702" s="13">
        <f>$E2702+1</f>
        <v>118</v>
      </c>
      <c r="L2702" s="14">
        <f>IF($J2702=0,0,ROUND(MAX($J2702*1.4,1620000*(1.497923^(MIN($E2702,123)-117)))*1,0))</f>
        <v>1620000</v>
      </c>
      <c r="M2702" s="11">
        <f>$E2702+2</f>
        <v>119</v>
      </c>
      <c r="N2702" s="12">
        <f>IF($J2702=0,0,ROUND(MAX($J2702*1.4*1.5,2190000*(1.580994^(MIN($E2702,123)-117)))*1,0))</f>
        <v>2190000</v>
      </c>
      <c r="O2702" s="13">
        <f>$E2702+4</f>
        <v>121</v>
      </c>
      <c r="P2702" s="14">
        <f>IF($J2702=0,0,ROUND(MAX($J2702*1.4*1.5*1.6,3500000*(1.57975^(MIN($E2702,123)-117)))*1,0))</f>
        <v>3500000</v>
      </c>
      <c r="Q2702" s="11">
        <f>$E2702+6</f>
        <v>123</v>
      </c>
      <c r="R2702" s="12">
        <f>IF($J2702=0,0,ROUND(MAX($J2702*1.4*1.5*1.6*1.6,13100000*(1.429962^(MIN($E2702,123)-117)))*1,0))</f>
        <v>13100000</v>
      </c>
      <c r="S2702" s="13">
        <f>$E2702+8</f>
        <v>125</v>
      </c>
      <c r="T2702" s="14">
        <f>IF($J2702=0,0,ROUND(MAX($J2702*1.4*1.5*1.6*1.6*2.2,42600000*(1.576904^(MIN($E2702,123)-117)))*1,0))</f>
        <v>42600000</v>
      </c>
      <c r="U2702" s="11">
        <f>$E2702+11</f>
        <v>128</v>
      </c>
      <c r="V2702" s="12">
        <f>IF($J2702=0,0,ROUND(MAX($J2702*1.4*1.5*1.6*1.6*2.2*2.715,354000000*(1.642074^(MIN($E2702,123)-117)))*1,0))</f>
        <v>354000000</v>
      </c>
      <c r="W2702" s="13">
        <f>$E2702+15</f>
        <v>132</v>
      </c>
      <c r="X2702" s="14">
        <f>IF($J2702=0,0,ROUND(MAX($J2702*1.4*1.5*1.6*1.6*2.2*2.715*2.6,3540000000*(1.579646^(MIN($E2702,123)-117)))*1,0))</f>
        <v>3540000000</v>
      </c>
      <c r="Y2702" s="11">
        <f>$E2702+17</f>
        <v>134</v>
      </c>
      <c r="Z2702" s="12">
        <f>IF($J2702=0,0,ROUND(MAX($J2702*1.4*1.5*1.6*1.6*2.2*2.715*2.6*1.4,6020000000*(1.651178^(MIN($E2702,123)-117)))*1,0))</f>
        <v>6020000000</v>
      </c>
      <c r="AA2702" s="13">
        <f>$E2702+19</f>
        <v>136</v>
      </c>
      <c r="AB2702" s="14">
        <f>IF($J2702=0,0,ROUND(MAX($J2702*1.4*1.5*1.6*1.6*2.2*2.715*2.6*1.4*1.4,8430000000*(1.651435^(MIN($E2702,123)-117)))*1,0))</f>
        <v>8430000000</v>
      </c>
      <c r="AC2702" s="11">
        <f>$E2702+21</f>
        <v>138</v>
      </c>
      <c r="AD2702" s="12">
        <f>IF($J2702=0,0,ROUND(MAX($J2702*1.4*1.5*1.6*1.6*2.2*2.715*2.6*1.4*1.4*1.5,12600000000*(1.652953^(MIN($E2702,123)-117)))*1,0))</f>
        <v>12600000000</v>
      </c>
      <c r="AE2702" s="13">
        <f>$E2702+24</f>
        <v>141</v>
      </c>
      <c r="AF2702" s="14">
        <f>IF($J2702=0,0,ROUND(MAX($J2702*1.4*1.5*1.6*1.6*2.2*2.715*2.6*1.4*1.4*1.5*1.5,18900000000*(1.65331^(MIN($E2702,123)-117)))*1,0))</f>
        <v>18900000000</v>
      </c>
      <c r="AG2702" s="11">
        <f>$E2702+27</f>
        <v>144</v>
      </c>
      <c r="AH2702" s="12">
        <f>IF($J2702=0,0,ROUND(MAX($J2702*1.4*1.5*1.6*1.6*2.2*2.715*2.6*1.4*1.4*1.5*1.5*3.2,60500000000*(1.654288^(MIN($E2702,123)-117)))*1,0))</f>
        <v>60500000000</v>
      </c>
    </row>
    <row r="2703" ht="28" customHeight="1" spans="1:34" x14ac:dyDescent="0.25">
      <c r="A2703">
        <v>2713</v>
      </c>
      <c r="B2703" t="s">
        <v>53</v>
      </c>
      <c r="C2703" s="10" t="s">
        <v>1593</v>
      </c>
      <c r="D2703" t="s">
        <v>25</v>
      </c>
      <c r="E2703">
        <v>117</v>
      </c>
      <c r="F2703" t="s">
        <v>54</v>
      </c>
      <c r="G2703" t="s">
        <v>562</v>
      </c>
      <c r="H2703">
        <v>31</v>
      </c>
      <c r="I2703" s="11">
        <f>$E2703+0</f>
        <v>117</v>
      </c>
      <c r="J2703" s="12">
        <v>850000</v>
      </c>
      <c r="K2703" s="13">
        <f>$E2703+1</f>
        <v>118</v>
      </c>
      <c r="L2703" s="14">
        <f>IF($J2703=0,0,ROUND(MAX($J2703*1.4,1620000*(1.497923^(MIN($E2703,123)-117)))*1,0))</f>
        <v>1620000</v>
      </c>
      <c r="M2703" s="11">
        <f>$E2703+2</f>
        <v>119</v>
      </c>
      <c r="N2703" s="12">
        <f>IF($J2703=0,0,ROUND(MAX($J2703*1.4*1.5,2190000*(1.580994^(MIN($E2703,123)-117)))*1,0))</f>
        <v>2190000</v>
      </c>
      <c r="O2703" s="13">
        <f>$E2703+4</f>
        <v>121</v>
      </c>
      <c r="P2703" s="14">
        <f>IF($J2703=0,0,ROUND(MAX($J2703*1.4*1.5*1.6,3500000*(1.57975^(MIN($E2703,123)-117)))*1,0))</f>
        <v>3500000</v>
      </c>
      <c r="Q2703" s="11">
        <f>$E2703+6</f>
        <v>123</v>
      </c>
      <c r="R2703" s="12">
        <f>IF($J2703=0,0,ROUND(MAX($J2703*1.4*1.5*1.6*1.6,13100000*(1.429962^(MIN($E2703,123)-117)))*1,0))</f>
        <v>13100000</v>
      </c>
      <c r="S2703" s="13">
        <f>$E2703+8</f>
        <v>125</v>
      </c>
      <c r="T2703" s="14">
        <f>IF($J2703=0,0,ROUND(MAX($J2703*1.4*1.5*1.6*1.6*2.2,42600000*(1.576904^(MIN($E2703,123)-117)))*1,0))</f>
        <v>42600000</v>
      </c>
      <c r="U2703" s="11">
        <f>$E2703+11</f>
        <v>128</v>
      </c>
      <c r="V2703" s="12">
        <f>IF($J2703=0,0,ROUND(MAX($J2703*1.4*1.5*1.6*1.6*2.2*2.715,354000000*(1.642074^(MIN($E2703,123)-117)))*1,0))</f>
        <v>354000000</v>
      </c>
      <c r="W2703" s="13">
        <f>$E2703+15</f>
        <v>132</v>
      </c>
      <c r="X2703" s="14">
        <f>IF($J2703=0,0,ROUND(MAX($J2703*1.4*1.5*1.6*1.6*2.2*2.715*2.6,3540000000*(1.579646^(MIN($E2703,123)-117)))*1,0))</f>
        <v>3540000000</v>
      </c>
      <c r="Y2703" s="11">
        <f>$E2703+17</f>
        <v>134</v>
      </c>
      <c r="Z2703" s="12">
        <f>IF($J2703=0,0,ROUND(MAX($J2703*1.4*1.5*1.6*1.6*2.2*2.715*2.6*1.4,6020000000*(1.651178^(MIN($E2703,123)-117)))*1,0))</f>
        <v>6020000000</v>
      </c>
      <c r="AA2703" s="13">
        <f>$E2703+19</f>
        <v>136</v>
      </c>
      <c r="AB2703" s="14">
        <f>IF($J2703=0,0,ROUND(MAX($J2703*1.4*1.5*1.6*1.6*2.2*2.715*2.6*1.4*1.4,8430000000*(1.651435^(MIN($E2703,123)-117)))*1,0))</f>
        <v>8430000000</v>
      </c>
      <c r="AC2703" s="11">
        <f>$E2703+21</f>
        <v>138</v>
      </c>
      <c r="AD2703" s="12">
        <f>IF($J2703=0,0,ROUND(MAX($J2703*1.4*1.5*1.6*1.6*2.2*2.715*2.6*1.4*1.4*1.5,12600000000*(1.652953^(MIN($E2703,123)-117)))*1,0))</f>
        <v>12600000000</v>
      </c>
      <c r="AE2703" s="13">
        <f>$E2703+24</f>
        <v>141</v>
      </c>
      <c r="AF2703" s="14">
        <f>IF($J2703=0,0,ROUND(MAX($J2703*1.4*1.5*1.6*1.6*2.2*2.715*2.6*1.4*1.4*1.5*1.5,18900000000*(1.65331^(MIN($E2703,123)-117)))*1,0))</f>
        <v>18900000000</v>
      </c>
      <c r="AG2703" s="11">
        <f>$E2703+27</f>
        <v>144</v>
      </c>
      <c r="AH2703" s="12">
        <f>IF($J2703=0,0,ROUND(MAX($J2703*1.4*1.5*1.6*1.6*2.2*2.715*2.6*1.4*1.4*1.5*1.5*3.2,60500000000*(1.654288^(MIN($E2703,123)-117)))*1,0))</f>
        <v>60500000000</v>
      </c>
    </row>
    <row r="2704" ht="28" customHeight="1" spans="1:34" x14ac:dyDescent="0.25">
      <c r="A2704">
        <v>2714</v>
      </c>
      <c r="B2704" t="s">
        <v>635</v>
      </c>
      <c r="C2704" s="10" t="s">
        <v>1593</v>
      </c>
      <c r="D2704" t="s">
        <v>40</v>
      </c>
      <c r="E2704">
        <v>117</v>
      </c>
      <c r="F2704" t="s">
        <v>310</v>
      </c>
      <c r="G2704" t="s">
        <v>27</v>
      </c>
      <c r="H2704">
        <v>30</v>
      </c>
      <c r="I2704" s="11">
        <f>$E2704+0</f>
        <v>117</v>
      </c>
      <c r="J2704" s="12">
        <v>612000</v>
      </c>
      <c r="K2704" s="13">
        <f>$E2704+1</f>
        <v>118</v>
      </c>
      <c r="L2704" s="14">
        <f>IF($J2704=0,0,ROUND(MAX($J2704*1.4,1620000*(1.497923^(MIN($E2704,123)-117)))*1,0))</f>
        <v>1620000</v>
      </c>
      <c r="M2704" s="11">
        <f>$E2704+2</f>
        <v>119</v>
      </c>
      <c r="N2704" s="12">
        <f>IF($J2704=0,0,ROUND(MAX($J2704*1.4*1.5,2190000*(1.580994^(MIN($E2704,123)-117)))*1,0))</f>
        <v>2190000</v>
      </c>
      <c r="O2704" s="13">
        <f>$E2704+4</f>
        <v>121</v>
      </c>
      <c r="P2704" s="14">
        <f>IF($J2704=0,0,ROUND(MAX($J2704*1.4*1.5*1.6,3500000*(1.57975^(MIN($E2704,123)-117)))*1,0))</f>
        <v>3500000</v>
      </c>
      <c r="Q2704" s="11">
        <f>$E2704+6</f>
        <v>123</v>
      </c>
      <c r="R2704" s="12">
        <f>IF($J2704=0,0,ROUND(MAX($J2704*1.4*1.5*1.6*1.6,13100000*(1.429962^(MIN($E2704,123)-117)))*1,0))</f>
        <v>13100000</v>
      </c>
      <c r="S2704" s="13">
        <f>$E2704+8</f>
        <v>125</v>
      </c>
      <c r="T2704" s="14">
        <f>IF($J2704=0,0,ROUND(MAX($J2704*1.4*1.5*1.6*1.6*2.2,42600000*(1.576904^(MIN($E2704,123)-117)))*1,0))</f>
        <v>42600000</v>
      </c>
      <c r="U2704" s="11">
        <f>$E2704+11</f>
        <v>128</v>
      </c>
      <c r="V2704" s="12">
        <f>IF($J2704=0,0,ROUND(MAX($J2704*1.4*1.5*1.6*1.6*2.2*2.715,354000000*(1.642074^(MIN($E2704,123)-117)))*1,0))</f>
        <v>354000000</v>
      </c>
      <c r="W2704" s="13">
        <f>$E2704+15</f>
        <v>132</v>
      </c>
      <c r="X2704" s="14">
        <f>IF($J2704=0,0,ROUND(MAX($J2704*1.4*1.5*1.6*1.6*2.2*2.715*2.6,3540000000*(1.579646^(MIN($E2704,123)-117)))*1,0))</f>
        <v>3540000000</v>
      </c>
      <c r="Y2704" s="11">
        <f>$E2704+17</f>
        <v>134</v>
      </c>
      <c r="Z2704" s="12">
        <f>IF($J2704=0,0,ROUND(MAX($J2704*1.4*1.5*1.6*1.6*2.2*2.715*2.6*1.4,6020000000*(1.651178^(MIN($E2704,123)-117)))*1,0))</f>
        <v>6020000000</v>
      </c>
      <c r="AA2704" s="13">
        <f>$E2704+19</f>
        <v>136</v>
      </c>
      <c r="AB2704" s="14">
        <f>IF($J2704=0,0,ROUND(MAX($J2704*1.4*1.5*1.6*1.6*2.2*2.715*2.6*1.4*1.4,8430000000*(1.651435^(MIN($E2704,123)-117)))*1,0))</f>
        <v>8430000000</v>
      </c>
      <c r="AC2704" s="11">
        <f>$E2704+21</f>
        <v>138</v>
      </c>
      <c r="AD2704" s="12">
        <f>IF($J2704=0,0,ROUND(MAX($J2704*1.4*1.5*1.6*1.6*2.2*2.715*2.6*1.4*1.4*1.5,12600000000*(1.652953^(MIN($E2704,123)-117)))*1,0))</f>
        <v>12600000000</v>
      </c>
      <c r="AE2704" s="13">
        <f>$E2704+24</f>
        <v>141</v>
      </c>
      <c r="AF2704" s="14">
        <f>IF($J2704=0,0,ROUND(MAX($J2704*1.4*1.5*1.6*1.6*2.2*2.715*2.6*1.4*1.4*1.5*1.5,18900000000*(1.65331^(MIN($E2704,123)-117)))*1,0))</f>
        <v>18900000000</v>
      </c>
      <c r="AG2704" s="11">
        <f>$E2704+27</f>
        <v>144</v>
      </c>
      <c r="AH2704" s="12">
        <f>IF($J2704=0,0,ROUND(MAX($J2704*1.4*1.5*1.6*1.6*2.2*2.715*2.6*1.4*1.4*1.5*1.5*3.2,60500000000*(1.654288^(MIN($E2704,123)-117)))*1,0))</f>
        <v>60500000000</v>
      </c>
    </row>
    <row r="2705" ht="28" customHeight="1" spans="1:34" x14ac:dyDescent="0.25">
      <c r="A2705">
        <v>2715</v>
      </c>
      <c r="B2705" t="s">
        <v>107</v>
      </c>
      <c r="C2705" s="10" t="s">
        <v>1593</v>
      </c>
      <c r="D2705" t="s">
        <v>40</v>
      </c>
      <c r="E2705">
        <v>117</v>
      </c>
      <c r="F2705" t="s">
        <v>108</v>
      </c>
      <c r="G2705" t="s">
        <v>562</v>
      </c>
      <c r="H2705">
        <v>30</v>
      </c>
      <c r="I2705" s="11">
        <f>$E2705+0</f>
        <v>117</v>
      </c>
      <c r="J2705" s="12">
        <v>733000</v>
      </c>
      <c r="K2705" s="13">
        <f>$E2705+1</f>
        <v>118</v>
      </c>
      <c r="L2705" s="14">
        <f>IF($J2705=0,0,ROUND(MAX($J2705*1.4,1620000*(1.497923^(MIN($E2705,123)-117)))*1,0))</f>
        <v>1620000</v>
      </c>
      <c r="M2705" s="11">
        <f>$E2705+2</f>
        <v>119</v>
      </c>
      <c r="N2705" s="12">
        <f>IF($J2705=0,0,ROUND(MAX($J2705*1.4*1.5,2190000*(1.580994^(MIN($E2705,123)-117)))*1,0))</f>
        <v>2190000</v>
      </c>
      <c r="O2705" s="13">
        <f>$E2705+4</f>
        <v>121</v>
      </c>
      <c r="P2705" s="14">
        <f>IF($J2705=0,0,ROUND(MAX($J2705*1.4*1.5*1.6,3500000*(1.57975^(MIN($E2705,123)-117)))*1,0))</f>
        <v>3500000</v>
      </c>
      <c r="Q2705" s="11">
        <f>$E2705+6</f>
        <v>123</v>
      </c>
      <c r="R2705" s="12">
        <f>IF($J2705=0,0,ROUND(MAX($J2705*1.4*1.5*1.6*1.6,13100000*(1.429962^(MIN($E2705,123)-117)))*1,0))</f>
        <v>13100000</v>
      </c>
      <c r="S2705" s="13">
        <f>$E2705+8</f>
        <v>125</v>
      </c>
      <c r="T2705" s="14">
        <f>IF($J2705=0,0,ROUND(MAX($J2705*1.4*1.5*1.6*1.6*2.2,42600000*(1.576904^(MIN($E2705,123)-117)))*1,0))</f>
        <v>42600000</v>
      </c>
      <c r="U2705" s="11">
        <f>$E2705+11</f>
        <v>128</v>
      </c>
      <c r="V2705" s="12">
        <f>IF($J2705=0,0,ROUND(MAX($J2705*1.4*1.5*1.6*1.6*2.2*2.715,354000000*(1.642074^(MIN($E2705,123)-117)))*1,0))</f>
        <v>354000000</v>
      </c>
      <c r="W2705" s="13">
        <f>$E2705+15</f>
        <v>132</v>
      </c>
      <c r="X2705" s="14">
        <f>IF($J2705=0,0,ROUND(MAX($J2705*1.4*1.5*1.6*1.6*2.2*2.715*2.6,3540000000*(1.579646^(MIN($E2705,123)-117)))*1,0))</f>
        <v>3540000000</v>
      </c>
      <c r="Y2705" s="11">
        <f>$E2705+17</f>
        <v>134</v>
      </c>
      <c r="Z2705" s="12">
        <f>IF($J2705=0,0,ROUND(MAX($J2705*1.4*1.5*1.6*1.6*2.2*2.715*2.6*1.4,6020000000*(1.651178^(MIN($E2705,123)-117)))*1,0))</f>
        <v>6020000000</v>
      </c>
      <c r="AA2705" s="13">
        <f>$E2705+19</f>
        <v>136</v>
      </c>
      <c r="AB2705" s="14">
        <f>IF($J2705=0,0,ROUND(MAX($J2705*1.4*1.5*1.6*1.6*2.2*2.715*2.6*1.4*1.4,8430000000*(1.651435^(MIN($E2705,123)-117)))*1,0))</f>
        <v>8430000000</v>
      </c>
      <c r="AC2705" s="11">
        <f>$E2705+21</f>
        <v>138</v>
      </c>
      <c r="AD2705" s="12">
        <f>IF($J2705=0,0,ROUND(MAX($J2705*1.4*1.5*1.6*1.6*2.2*2.715*2.6*1.4*1.4*1.5,12600000000*(1.652953^(MIN($E2705,123)-117)))*1,0))</f>
        <v>12600000000</v>
      </c>
      <c r="AE2705" s="13">
        <f>$E2705+24</f>
        <v>141</v>
      </c>
      <c r="AF2705" s="14">
        <f>IF($J2705=0,0,ROUND(MAX($J2705*1.4*1.5*1.6*1.6*2.2*2.715*2.6*1.4*1.4*1.5*1.5,18900000000*(1.65331^(MIN($E2705,123)-117)))*1,0))</f>
        <v>18900000000</v>
      </c>
      <c r="AG2705" s="11">
        <f>$E2705+27</f>
        <v>144</v>
      </c>
      <c r="AH2705" s="12">
        <f>IF($J2705=0,0,ROUND(MAX($J2705*1.4*1.5*1.6*1.6*2.2*2.715*2.6*1.4*1.4*1.5*1.5*3.2,60500000000*(1.654288^(MIN($E2705,123)-117)))*1,0))</f>
        <v>60500000000</v>
      </c>
    </row>
    <row r="2706" ht="28" customHeight="1" spans="1:34" x14ac:dyDescent="0.25">
      <c r="A2706">
        <v>2716</v>
      </c>
      <c r="B2706" t="s">
        <v>468</v>
      </c>
      <c r="C2706" s="10" t="s">
        <v>1593</v>
      </c>
      <c r="D2706" t="s">
        <v>40</v>
      </c>
      <c r="E2706">
        <v>117</v>
      </c>
      <c r="F2706" t="s">
        <v>258</v>
      </c>
      <c r="G2706" t="s">
        <v>562</v>
      </c>
      <c r="H2706">
        <v>30</v>
      </c>
      <c r="I2706" s="11">
        <f>$E2706+0</f>
        <v>117</v>
      </c>
      <c r="J2706" s="12">
        <v>677000</v>
      </c>
      <c r="K2706" s="13">
        <f>$E2706+1</f>
        <v>118</v>
      </c>
      <c r="L2706" s="14">
        <f>IF($J2706=0,0,ROUND(MAX($J2706*1.4,1620000*(1.497923^(MIN($E2706,123)-117)))*1,0))</f>
        <v>1620000</v>
      </c>
      <c r="M2706" s="11">
        <f>$E2706+2</f>
        <v>119</v>
      </c>
      <c r="N2706" s="12">
        <f>IF($J2706=0,0,ROUND(MAX($J2706*1.4*1.5,2190000*(1.580994^(MIN($E2706,123)-117)))*1,0))</f>
        <v>2190000</v>
      </c>
      <c r="O2706" s="13">
        <f>$E2706+4</f>
        <v>121</v>
      </c>
      <c r="P2706" s="14">
        <f>IF($J2706=0,0,ROUND(MAX($J2706*1.4*1.5*1.6,3500000*(1.57975^(MIN($E2706,123)-117)))*1,0))</f>
        <v>3500000</v>
      </c>
      <c r="Q2706" s="11">
        <f>$E2706+6</f>
        <v>123</v>
      </c>
      <c r="R2706" s="12">
        <f>IF($J2706=0,0,ROUND(MAX($J2706*1.4*1.5*1.6*1.6,13100000*(1.429962^(MIN($E2706,123)-117)))*1,0))</f>
        <v>13100000</v>
      </c>
      <c r="S2706" s="13">
        <f>$E2706+8</f>
        <v>125</v>
      </c>
      <c r="T2706" s="14">
        <f>IF($J2706=0,0,ROUND(MAX($J2706*1.4*1.5*1.6*1.6*2.2,42600000*(1.576904^(MIN($E2706,123)-117)))*1,0))</f>
        <v>42600000</v>
      </c>
      <c r="U2706" s="11">
        <f>$E2706+11</f>
        <v>128</v>
      </c>
      <c r="V2706" s="12">
        <f>IF($J2706=0,0,ROUND(MAX($J2706*1.4*1.5*1.6*1.6*2.2*2.715,354000000*(1.642074^(MIN($E2706,123)-117)))*1,0))</f>
        <v>354000000</v>
      </c>
      <c r="W2706" s="13">
        <f>$E2706+15</f>
        <v>132</v>
      </c>
      <c r="X2706" s="14">
        <f>IF($J2706=0,0,ROUND(MAX($J2706*1.4*1.5*1.6*1.6*2.2*2.715*2.6,3540000000*(1.579646^(MIN($E2706,123)-117)))*1,0))</f>
        <v>3540000000</v>
      </c>
      <c r="Y2706" s="11">
        <f>$E2706+17</f>
        <v>134</v>
      </c>
      <c r="Z2706" s="12">
        <f>IF($J2706=0,0,ROUND(MAX($J2706*1.4*1.5*1.6*1.6*2.2*2.715*2.6*1.4,6020000000*(1.651178^(MIN($E2706,123)-117)))*1,0))</f>
        <v>6020000000</v>
      </c>
      <c r="AA2706" s="13">
        <f>$E2706+19</f>
        <v>136</v>
      </c>
      <c r="AB2706" s="14">
        <f>IF($J2706=0,0,ROUND(MAX($J2706*1.4*1.5*1.6*1.6*2.2*2.715*2.6*1.4*1.4,8430000000*(1.651435^(MIN($E2706,123)-117)))*1,0))</f>
        <v>8430000000</v>
      </c>
      <c r="AC2706" s="11">
        <f>$E2706+21</f>
        <v>138</v>
      </c>
      <c r="AD2706" s="12">
        <f>IF($J2706=0,0,ROUND(MAX($J2706*1.4*1.5*1.6*1.6*2.2*2.715*2.6*1.4*1.4*1.5,12600000000*(1.652953^(MIN($E2706,123)-117)))*1,0))</f>
        <v>12600000000</v>
      </c>
      <c r="AE2706" s="13">
        <f>$E2706+24</f>
        <v>141</v>
      </c>
      <c r="AF2706" s="14">
        <f>IF($J2706=0,0,ROUND(MAX($J2706*1.4*1.5*1.6*1.6*2.2*2.715*2.6*1.4*1.4*1.5*1.5,18900000000*(1.65331^(MIN($E2706,123)-117)))*1,0))</f>
        <v>18900000000</v>
      </c>
      <c r="AG2706" s="11">
        <f>$E2706+27</f>
        <v>144</v>
      </c>
      <c r="AH2706" s="12">
        <f>IF($J2706=0,0,ROUND(MAX($J2706*1.4*1.5*1.6*1.6*2.2*2.715*2.6*1.4*1.4*1.5*1.5*3.2,60500000000*(1.654288^(MIN($E2706,123)-117)))*1,0))</f>
        <v>60500000000</v>
      </c>
    </row>
    <row r="2707" ht="28" customHeight="1" spans="1:34" x14ac:dyDescent="0.25">
      <c r="A2707">
        <v>2717</v>
      </c>
      <c r="B2707" t="s">
        <v>153</v>
      </c>
      <c r="C2707" s="10" t="s">
        <v>1593</v>
      </c>
      <c r="D2707" t="s">
        <v>45</v>
      </c>
      <c r="E2707">
        <v>117</v>
      </c>
      <c r="F2707" t="s">
        <v>56</v>
      </c>
      <c r="G2707" t="s">
        <v>562</v>
      </c>
      <c r="H2707">
        <v>30</v>
      </c>
      <c r="I2707" s="11">
        <f>$E2707+0</f>
        <v>117</v>
      </c>
      <c r="J2707" s="12">
        <v>730000</v>
      </c>
      <c r="K2707" s="13">
        <f>$E2707+1</f>
        <v>118</v>
      </c>
      <c r="L2707" s="14">
        <f>IF($J2707=0,0,ROUND(MAX($J2707*1.4,1620000*(1.497923^(MIN($E2707,123)-117)))*1,0))</f>
        <v>1620000</v>
      </c>
      <c r="M2707" s="11">
        <f>$E2707+2</f>
        <v>119</v>
      </c>
      <c r="N2707" s="12">
        <f>IF($J2707=0,0,ROUND(MAX($J2707*1.4*1.5,2190000*(1.580994^(MIN($E2707,123)-117)))*1,0))</f>
        <v>2190000</v>
      </c>
      <c r="O2707" s="13">
        <f>$E2707+4</f>
        <v>121</v>
      </c>
      <c r="P2707" s="14">
        <f>IF($J2707=0,0,ROUND(MAX($J2707*1.4*1.5*1.6,3500000*(1.57975^(MIN($E2707,123)-117)))*1,0))</f>
        <v>3500000</v>
      </c>
      <c r="Q2707" s="11">
        <f>$E2707+6</f>
        <v>123</v>
      </c>
      <c r="R2707" s="12">
        <f>IF($J2707=0,0,ROUND(MAX($J2707*1.4*1.5*1.6*1.6,13100000*(1.429962^(MIN($E2707,123)-117)))*1,0))</f>
        <v>13100000</v>
      </c>
      <c r="S2707" s="13">
        <f>$E2707+8</f>
        <v>125</v>
      </c>
      <c r="T2707" s="14">
        <f>IF($J2707=0,0,ROUND(MAX($J2707*1.4*1.5*1.6*1.6*2.2,42600000*(1.576904^(MIN($E2707,123)-117)))*1,0))</f>
        <v>42600000</v>
      </c>
      <c r="U2707" s="11">
        <f>$E2707+11</f>
        <v>128</v>
      </c>
      <c r="V2707" s="12">
        <f>IF($J2707=0,0,ROUND(MAX($J2707*1.4*1.5*1.6*1.6*2.2*2.715,354000000*(1.642074^(MIN($E2707,123)-117)))*1,0))</f>
        <v>354000000</v>
      </c>
      <c r="W2707" s="13">
        <f>$E2707+15</f>
        <v>132</v>
      </c>
      <c r="X2707" s="14">
        <f>IF($J2707=0,0,ROUND(MAX($J2707*1.4*1.5*1.6*1.6*2.2*2.715*2.6,3540000000*(1.579646^(MIN($E2707,123)-117)))*1,0))</f>
        <v>3540000000</v>
      </c>
      <c r="Y2707" s="11">
        <f>$E2707+17</f>
        <v>134</v>
      </c>
      <c r="Z2707" s="12">
        <f>IF($J2707=0,0,ROUND(MAX($J2707*1.4*1.5*1.6*1.6*2.2*2.715*2.6*1.4,6020000000*(1.651178^(MIN($E2707,123)-117)))*1,0))</f>
        <v>6020000000</v>
      </c>
      <c r="AA2707" s="13">
        <f>$E2707+19</f>
        <v>136</v>
      </c>
      <c r="AB2707" s="14">
        <f>IF($J2707=0,0,ROUND(MAX($J2707*1.4*1.5*1.6*1.6*2.2*2.715*2.6*1.4*1.4,8430000000*(1.651435^(MIN($E2707,123)-117)))*1,0))</f>
        <v>8430000000</v>
      </c>
      <c r="AC2707" s="11">
        <f>$E2707+21</f>
        <v>138</v>
      </c>
      <c r="AD2707" s="12">
        <f>IF($J2707=0,0,ROUND(MAX($J2707*1.4*1.5*1.6*1.6*2.2*2.715*2.6*1.4*1.4*1.5,12600000000*(1.652953^(MIN($E2707,123)-117)))*1,0))</f>
        <v>12600000000</v>
      </c>
      <c r="AE2707" s="13">
        <f>$E2707+24</f>
        <v>141</v>
      </c>
      <c r="AF2707" s="14">
        <f>IF($J2707=0,0,ROUND(MAX($J2707*1.4*1.5*1.6*1.6*2.2*2.715*2.6*1.4*1.4*1.5*1.5,18900000000*(1.65331^(MIN($E2707,123)-117)))*1,0))</f>
        <v>18900000000</v>
      </c>
      <c r="AG2707" s="11">
        <f>$E2707+27</f>
        <v>144</v>
      </c>
      <c r="AH2707" s="12">
        <f>IF($J2707=0,0,ROUND(MAX($J2707*1.4*1.5*1.6*1.6*2.2*2.715*2.6*1.4*1.4*1.5*1.5*3.2,60500000000*(1.654288^(MIN($E2707,123)-117)))*1,0))</f>
        <v>60500000000</v>
      </c>
    </row>
    <row r="2708" ht="28" customHeight="1" spans="1:34" x14ac:dyDescent="0.25">
      <c r="A2708">
        <v>2718</v>
      </c>
      <c r="B2708" t="s">
        <v>199</v>
      </c>
      <c r="C2708" s="10" t="s">
        <v>1593</v>
      </c>
      <c r="D2708" t="s">
        <v>25</v>
      </c>
      <c r="E2708">
        <v>117</v>
      </c>
      <c r="F2708" t="s">
        <v>26</v>
      </c>
      <c r="G2708" t="s">
        <v>562</v>
      </c>
      <c r="H2708">
        <v>30</v>
      </c>
      <c r="I2708" s="11">
        <f>$E2708+0</f>
        <v>117</v>
      </c>
      <c r="J2708" s="12">
        <v>608000</v>
      </c>
      <c r="K2708" s="13">
        <f>$E2708+1</f>
        <v>118</v>
      </c>
      <c r="L2708" s="14">
        <f>IF($J2708=0,0,ROUND(MAX($J2708*1.4,1620000*(1.497923^(MIN($E2708,123)-117)))*1,0))</f>
        <v>1620000</v>
      </c>
      <c r="M2708" s="11">
        <f>$E2708+2</f>
        <v>119</v>
      </c>
      <c r="N2708" s="12">
        <f>IF($J2708=0,0,ROUND(MAX($J2708*1.4*1.5,2190000*(1.580994^(MIN($E2708,123)-117)))*1,0))</f>
        <v>2190000</v>
      </c>
      <c r="O2708" s="13">
        <f>$E2708+4</f>
        <v>121</v>
      </c>
      <c r="P2708" s="14">
        <f>IF($J2708=0,0,ROUND(MAX($J2708*1.4*1.5*1.6,3500000*(1.57975^(MIN($E2708,123)-117)))*1,0))</f>
        <v>3500000</v>
      </c>
      <c r="Q2708" s="11">
        <f>$E2708+6</f>
        <v>123</v>
      </c>
      <c r="R2708" s="12">
        <f>IF($J2708=0,0,ROUND(MAX($J2708*1.4*1.5*1.6*1.6,13100000*(1.429962^(MIN($E2708,123)-117)))*1,0))</f>
        <v>13100000</v>
      </c>
      <c r="S2708" s="13">
        <f>$E2708+8</f>
        <v>125</v>
      </c>
      <c r="T2708" s="14">
        <f>IF($J2708=0,0,ROUND(MAX($J2708*1.4*1.5*1.6*1.6*2.2,42600000*(1.576904^(MIN($E2708,123)-117)))*1,0))</f>
        <v>42600000</v>
      </c>
      <c r="U2708" s="11">
        <f>$E2708+11</f>
        <v>128</v>
      </c>
      <c r="V2708" s="12">
        <f>IF($J2708=0,0,ROUND(MAX($J2708*1.4*1.5*1.6*1.6*2.2*2.715,354000000*(1.642074^(MIN($E2708,123)-117)))*1,0))</f>
        <v>354000000</v>
      </c>
      <c r="W2708" s="13">
        <f>$E2708+15</f>
        <v>132</v>
      </c>
      <c r="X2708" s="14">
        <f>IF($J2708=0,0,ROUND(MAX($J2708*1.4*1.5*1.6*1.6*2.2*2.715*2.6,3540000000*(1.579646^(MIN($E2708,123)-117)))*1,0))</f>
        <v>3540000000</v>
      </c>
      <c r="Y2708" s="11">
        <f>$E2708+17</f>
        <v>134</v>
      </c>
      <c r="Z2708" s="12">
        <f>IF($J2708=0,0,ROUND(MAX($J2708*1.4*1.5*1.6*1.6*2.2*2.715*2.6*1.4,6020000000*(1.651178^(MIN($E2708,123)-117)))*1,0))</f>
        <v>6020000000</v>
      </c>
      <c r="AA2708" s="13">
        <f>$E2708+19</f>
        <v>136</v>
      </c>
      <c r="AB2708" s="14">
        <f>IF($J2708=0,0,ROUND(MAX($J2708*1.4*1.5*1.6*1.6*2.2*2.715*2.6*1.4*1.4,8430000000*(1.651435^(MIN($E2708,123)-117)))*1,0))</f>
        <v>8430000000</v>
      </c>
      <c r="AC2708" s="11">
        <f>$E2708+21</f>
        <v>138</v>
      </c>
      <c r="AD2708" s="12">
        <f>IF($J2708=0,0,ROUND(MAX($J2708*1.4*1.5*1.6*1.6*2.2*2.715*2.6*1.4*1.4*1.5,12600000000*(1.652953^(MIN($E2708,123)-117)))*1,0))</f>
        <v>12600000000</v>
      </c>
      <c r="AE2708" s="13">
        <f>$E2708+24</f>
        <v>141</v>
      </c>
      <c r="AF2708" s="14">
        <f>IF($J2708=0,0,ROUND(MAX($J2708*1.4*1.5*1.6*1.6*2.2*2.715*2.6*1.4*1.4*1.5*1.5,18900000000*(1.65331^(MIN($E2708,123)-117)))*1,0))</f>
        <v>18900000000</v>
      </c>
      <c r="AG2708" s="11">
        <f>$E2708+27</f>
        <v>144</v>
      </c>
      <c r="AH2708" s="12">
        <f>IF($J2708=0,0,ROUND(MAX($J2708*1.4*1.5*1.6*1.6*2.2*2.715*2.6*1.4*1.4*1.5*1.5*3.2,60500000000*(1.654288^(MIN($E2708,123)-117)))*1,0))</f>
        <v>60500000000</v>
      </c>
    </row>
    <row r="2709" ht="28" customHeight="1" spans="1:34" x14ac:dyDescent="0.25">
      <c r="A2709">
        <v>2719</v>
      </c>
      <c r="B2709" t="s">
        <v>172</v>
      </c>
      <c r="C2709" s="10" t="s">
        <v>1593</v>
      </c>
      <c r="D2709" t="s">
        <v>40</v>
      </c>
      <c r="E2709">
        <v>117</v>
      </c>
      <c r="F2709" t="s">
        <v>26</v>
      </c>
      <c r="G2709" t="s">
        <v>562</v>
      </c>
      <c r="H2709">
        <v>30</v>
      </c>
      <c r="I2709" s="11">
        <f>$E2709+0</f>
        <v>117</v>
      </c>
      <c r="J2709" s="12">
        <v>743000</v>
      </c>
      <c r="K2709" s="13">
        <f>$E2709+1</f>
        <v>118</v>
      </c>
      <c r="L2709" s="14">
        <f>IF($J2709=0,0,ROUND(MAX($J2709*1.4,1620000*(1.497923^(MIN($E2709,123)-117)))*1,0))</f>
        <v>1620000</v>
      </c>
      <c r="M2709" s="11">
        <f>$E2709+2</f>
        <v>119</v>
      </c>
      <c r="N2709" s="12">
        <f>IF($J2709=0,0,ROUND(MAX($J2709*1.4*1.5,2190000*(1.580994^(MIN($E2709,123)-117)))*1,0))</f>
        <v>2190000</v>
      </c>
      <c r="O2709" s="13">
        <f>$E2709+4</f>
        <v>121</v>
      </c>
      <c r="P2709" s="14">
        <f>IF($J2709=0,0,ROUND(MAX($J2709*1.4*1.5*1.6,3500000*(1.57975^(MIN($E2709,123)-117)))*1,0))</f>
        <v>3500000</v>
      </c>
      <c r="Q2709" s="11">
        <f>$E2709+6</f>
        <v>123</v>
      </c>
      <c r="R2709" s="12">
        <f>IF($J2709=0,0,ROUND(MAX($J2709*1.4*1.5*1.6*1.6,13100000*(1.429962^(MIN($E2709,123)-117)))*1,0))</f>
        <v>13100000</v>
      </c>
      <c r="S2709" s="13">
        <f>$E2709+8</f>
        <v>125</v>
      </c>
      <c r="T2709" s="14">
        <f>IF($J2709=0,0,ROUND(MAX($J2709*1.4*1.5*1.6*1.6*2.2,42600000*(1.576904^(MIN($E2709,123)-117)))*1,0))</f>
        <v>42600000</v>
      </c>
      <c r="U2709" s="11">
        <f>$E2709+11</f>
        <v>128</v>
      </c>
      <c r="V2709" s="12">
        <f>IF($J2709=0,0,ROUND(MAX($J2709*1.4*1.5*1.6*1.6*2.2*2.715,354000000*(1.642074^(MIN($E2709,123)-117)))*1,0))</f>
        <v>354000000</v>
      </c>
      <c r="W2709" s="13">
        <f>$E2709+15</f>
        <v>132</v>
      </c>
      <c r="X2709" s="14">
        <f>IF($J2709=0,0,ROUND(MAX($J2709*1.4*1.5*1.6*1.6*2.2*2.715*2.6,3540000000*(1.579646^(MIN($E2709,123)-117)))*1,0))</f>
        <v>3540000000</v>
      </c>
      <c r="Y2709" s="11">
        <f>$E2709+17</f>
        <v>134</v>
      </c>
      <c r="Z2709" s="12">
        <f>IF($J2709=0,0,ROUND(MAX($J2709*1.4*1.5*1.6*1.6*2.2*2.715*2.6*1.4,6020000000*(1.651178^(MIN($E2709,123)-117)))*1,0))</f>
        <v>6020000000</v>
      </c>
      <c r="AA2709" s="13">
        <f>$E2709+19</f>
        <v>136</v>
      </c>
      <c r="AB2709" s="14">
        <f>IF($J2709=0,0,ROUND(MAX($J2709*1.4*1.5*1.6*1.6*2.2*2.715*2.6*1.4*1.4,8430000000*(1.651435^(MIN($E2709,123)-117)))*1,0))</f>
        <v>8430000000</v>
      </c>
      <c r="AC2709" s="11">
        <f>$E2709+21</f>
        <v>138</v>
      </c>
      <c r="AD2709" s="12">
        <f>IF($J2709=0,0,ROUND(MAX($J2709*1.4*1.5*1.6*1.6*2.2*2.715*2.6*1.4*1.4*1.5,12600000000*(1.652953^(MIN($E2709,123)-117)))*1,0))</f>
        <v>12600000000</v>
      </c>
      <c r="AE2709" s="13">
        <f>$E2709+24</f>
        <v>141</v>
      </c>
      <c r="AF2709" s="14">
        <f>IF($J2709=0,0,ROUND(MAX($J2709*1.4*1.5*1.6*1.6*2.2*2.715*2.6*1.4*1.4*1.5*1.5,18900000000*(1.65331^(MIN($E2709,123)-117)))*1,0))</f>
        <v>18900000000</v>
      </c>
      <c r="AG2709" s="11">
        <f>$E2709+27</f>
        <v>144</v>
      </c>
      <c r="AH2709" s="12">
        <f>IF($J2709=0,0,ROUND(MAX($J2709*1.4*1.5*1.6*1.6*2.2*2.715*2.6*1.4*1.4*1.5*1.5*3.2,60500000000*(1.654288^(MIN($E2709,123)-117)))*1,0))</f>
        <v>60500000000</v>
      </c>
    </row>
    <row r="2710" ht="28" customHeight="1" spans="1:34" x14ac:dyDescent="0.25">
      <c r="A2710">
        <v>2720</v>
      </c>
      <c r="B2710" t="s">
        <v>117</v>
      </c>
      <c r="C2710" s="10" t="s">
        <v>1593</v>
      </c>
      <c r="D2710" t="s">
        <v>40</v>
      </c>
      <c r="E2710">
        <v>117</v>
      </c>
      <c r="F2710" t="s">
        <v>54</v>
      </c>
      <c r="G2710" t="s">
        <v>562</v>
      </c>
      <c r="H2710">
        <v>30</v>
      </c>
      <c r="I2710" s="11">
        <f>$E2710+0</f>
        <v>117</v>
      </c>
      <c r="J2710" s="12">
        <v>717000</v>
      </c>
      <c r="K2710" s="13">
        <f>$E2710+1</f>
        <v>118</v>
      </c>
      <c r="L2710" s="14">
        <f>IF($J2710=0,0,ROUND(MAX($J2710*1.4,1620000*(1.497923^(MIN($E2710,123)-117)))*1,0))</f>
        <v>1620000</v>
      </c>
      <c r="M2710" s="11">
        <f>$E2710+2</f>
        <v>119</v>
      </c>
      <c r="N2710" s="12">
        <f>IF($J2710=0,0,ROUND(MAX($J2710*1.4*1.5,2190000*(1.580994^(MIN($E2710,123)-117)))*1,0))</f>
        <v>2190000</v>
      </c>
      <c r="O2710" s="13">
        <f>$E2710+4</f>
        <v>121</v>
      </c>
      <c r="P2710" s="14">
        <f>IF($J2710=0,0,ROUND(MAX($J2710*1.4*1.5*1.6,3500000*(1.57975^(MIN($E2710,123)-117)))*1,0))</f>
        <v>3500000</v>
      </c>
      <c r="Q2710" s="11">
        <f>$E2710+6</f>
        <v>123</v>
      </c>
      <c r="R2710" s="12">
        <f>IF($J2710=0,0,ROUND(MAX($J2710*1.4*1.5*1.6*1.6,13100000*(1.429962^(MIN($E2710,123)-117)))*1,0))</f>
        <v>13100000</v>
      </c>
      <c r="S2710" s="13">
        <f>$E2710+8</f>
        <v>125</v>
      </c>
      <c r="T2710" s="14">
        <f>IF($J2710=0,0,ROUND(MAX($J2710*1.4*1.5*1.6*1.6*2.2,42600000*(1.576904^(MIN($E2710,123)-117)))*1,0))</f>
        <v>42600000</v>
      </c>
      <c r="U2710" s="11">
        <f>$E2710+11</f>
        <v>128</v>
      </c>
      <c r="V2710" s="12">
        <f>IF($J2710=0,0,ROUND(MAX($J2710*1.4*1.5*1.6*1.6*2.2*2.715,354000000*(1.642074^(MIN($E2710,123)-117)))*1,0))</f>
        <v>354000000</v>
      </c>
      <c r="W2710" s="13">
        <f>$E2710+15</f>
        <v>132</v>
      </c>
      <c r="X2710" s="14">
        <f>IF($J2710=0,0,ROUND(MAX($J2710*1.4*1.5*1.6*1.6*2.2*2.715*2.6,3540000000*(1.579646^(MIN($E2710,123)-117)))*1,0))</f>
        <v>3540000000</v>
      </c>
      <c r="Y2710" s="11">
        <f>$E2710+17</f>
        <v>134</v>
      </c>
      <c r="Z2710" s="12">
        <f>IF($J2710=0,0,ROUND(MAX($J2710*1.4*1.5*1.6*1.6*2.2*2.715*2.6*1.4,6020000000*(1.651178^(MIN($E2710,123)-117)))*1,0))</f>
        <v>6020000000</v>
      </c>
      <c r="AA2710" s="13">
        <f>$E2710+19</f>
        <v>136</v>
      </c>
      <c r="AB2710" s="14">
        <f>IF($J2710=0,0,ROUND(MAX($J2710*1.4*1.5*1.6*1.6*2.2*2.715*2.6*1.4*1.4,8430000000*(1.651435^(MIN($E2710,123)-117)))*1,0))</f>
        <v>8430000000</v>
      </c>
      <c r="AC2710" s="11">
        <f>$E2710+21</f>
        <v>138</v>
      </c>
      <c r="AD2710" s="12">
        <f>IF($J2710=0,0,ROUND(MAX($J2710*1.4*1.5*1.6*1.6*2.2*2.715*2.6*1.4*1.4*1.5,12600000000*(1.652953^(MIN($E2710,123)-117)))*1,0))</f>
        <v>12600000000</v>
      </c>
      <c r="AE2710" s="13">
        <f>$E2710+24</f>
        <v>141</v>
      </c>
      <c r="AF2710" s="14">
        <f>IF($J2710=0,0,ROUND(MAX($J2710*1.4*1.5*1.6*1.6*2.2*2.715*2.6*1.4*1.4*1.5*1.5,18900000000*(1.65331^(MIN($E2710,123)-117)))*1,0))</f>
        <v>18900000000</v>
      </c>
      <c r="AG2710" s="11">
        <f>$E2710+27</f>
        <v>144</v>
      </c>
      <c r="AH2710" s="12">
        <f>IF($J2710=0,0,ROUND(MAX($J2710*1.4*1.5*1.6*1.6*2.2*2.715*2.6*1.4*1.4*1.5*1.5*3.2,60500000000*(1.654288^(MIN($E2710,123)-117)))*1,0))</f>
        <v>60500000000</v>
      </c>
    </row>
    <row r="2711" ht="28" customHeight="1" spans="1:34" x14ac:dyDescent="0.25">
      <c r="A2711">
        <v>2721</v>
      </c>
      <c r="B2711" t="s">
        <v>207</v>
      </c>
      <c r="C2711" s="10" t="s">
        <v>1593</v>
      </c>
      <c r="D2711" t="s">
        <v>25</v>
      </c>
      <c r="E2711">
        <v>117</v>
      </c>
      <c r="F2711" t="s">
        <v>54</v>
      </c>
      <c r="G2711" t="s">
        <v>562</v>
      </c>
      <c r="H2711">
        <v>30</v>
      </c>
      <c r="I2711" s="11">
        <f>$E2711+0</f>
        <v>117</v>
      </c>
      <c r="J2711" s="12">
        <v>617000</v>
      </c>
      <c r="K2711" s="13">
        <f>$E2711+1</f>
        <v>118</v>
      </c>
      <c r="L2711" s="14">
        <f>IF($J2711=0,0,ROUND(MAX($J2711*1.4,1620000*(1.497923^(MIN($E2711,123)-117)))*1,0))</f>
        <v>1620000</v>
      </c>
      <c r="M2711" s="11">
        <f>$E2711+2</f>
        <v>119</v>
      </c>
      <c r="N2711" s="12">
        <f>IF($J2711=0,0,ROUND(MAX($J2711*1.4*1.5,2190000*(1.580994^(MIN($E2711,123)-117)))*1,0))</f>
        <v>2190000</v>
      </c>
      <c r="O2711" s="13">
        <f>$E2711+4</f>
        <v>121</v>
      </c>
      <c r="P2711" s="14">
        <f>IF($J2711=0,0,ROUND(MAX($J2711*1.4*1.5*1.6,3500000*(1.57975^(MIN($E2711,123)-117)))*1,0))</f>
        <v>3500000</v>
      </c>
      <c r="Q2711" s="11">
        <f>$E2711+6</f>
        <v>123</v>
      </c>
      <c r="R2711" s="12">
        <f>IF($J2711=0,0,ROUND(MAX($J2711*1.4*1.5*1.6*1.6,13100000*(1.429962^(MIN($E2711,123)-117)))*1,0))</f>
        <v>13100000</v>
      </c>
      <c r="S2711" s="13">
        <f>$E2711+8</f>
        <v>125</v>
      </c>
      <c r="T2711" s="14">
        <f>IF($J2711=0,0,ROUND(MAX($J2711*1.4*1.5*1.6*1.6*2.2,42600000*(1.576904^(MIN($E2711,123)-117)))*1,0))</f>
        <v>42600000</v>
      </c>
      <c r="U2711" s="11">
        <f>$E2711+11</f>
        <v>128</v>
      </c>
      <c r="V2711" s="12">
        <f>IF($J2711=0,0,ROUND(MAX($J2711*1.4*1.5*1.6*1.6*2.2*2.715,354000000*(1.642074^(MIN($E2711,123)-117)))*1,0))</f>
        <v>354000000</v>
      </c>
      <c r="W2711" s="13">
        <f>$E2711+15</f>
        <v>132</v>
      </c>
      <c r="X2711" s="14">
        <f>IF($J2711=0,0,ROUND(MAX($J2711*1.4*1.5*1.6*1.6*2.2*2.715*2.6,3540000000*(1.579646^(MIN($E2711,123)-117)))*1,0))</f>
        <v>3540000000</v>
      </c>
      <c r="Y2711" s="11">
        <f>$E2711+17</f>
        <v>134</v>
      </c>
      <c r="Z2711" s="12">
        <f>IF($J2711=0,0,ROUND(MAX($J2711*1.4*1.5*1.6*1.6*2.2*2.715*2.6*1.4,6020000000*(1.651178^(MIN($E2711,123)-117)))*1,0))</f>
        <v>6020000000</v>
      </c>
      <c r="AA2711" s="13">
        <f>$E2711+19</f>
        <v>136</v>
      </c>
      <c r="AB2711" s="14">
        <f>IF($J2711=0,0,ROUND(MAX($J2711*1.4*1.5*1.6*1.6*2.2*2.715*2.6*1.4*1.4,8430000000*(1.651435^(MIN($E2711,123)-117)))*1,0))</f>
        <v>8430000000</v>
      </c>
      <c r="AC2711" s="11">
        <f>$E2711+21</f>
        <v>138</v>
      </c>
      <c r="AD2711" s="12">
        <f>IF($J2711=0,0,ROUND(MAX($J2711*1.4*1.5*1.6*1.6*2.2*2.715*2.6*1.4*1.4*1.5,12600000000*(1.652953^(MIN($E2711,123)-117)))*1,0))</f>
        <v>12600000000</v>
      </c>
      <c r="AE2711" s="13">
        <f>$E2711+24</f>
        <v>141</v>
      </c>
      <c r="AF2711" s="14">
        <f>IF($J2711=0,0,ROUND(MAX($J2711*1.4*1.5*1.6*1.6*2.2*2.715*2.6*1.4*1.4*1.5*1.5,18900000000*(1.65331^(MIN($E2711,123)-117)))*1,0))</f>
        <v>18900000000</v>
      </c>
      <c r="AG2711" s="11">
        <f>$E2711+27</f>
        <v>144</v>
      </c>
      <c r="AH2711" s="12">
        <f>IF($J2711=0,0,ROUND(MAX($J2711*1.4*1.5*1.6*1.6*2.2*2.715*2.6*1.4*1.4*1.5*1.5*3.2,60500000000*(1.654288^(MIN($E2711,123)-117)))*1,0))</f>
        <v>60500000000</v>
      </c>
    </row>
    <row r="2712" ht="28" customHeight="1" spans="1:34" x14ac:dyDescent="0.25">
      <c r="A2712">
        <v>2722</v>
      </c>
      <c r="B2712" t="s">
        <v>148</v>
      </c>
      <c r="C2712" s="10" t="s">
        <v>1593</v>
      </c>
      <c r="D2712" t="s">
        <v>102</v>
      </c>
      <c r="E2712">
        <v>117</v>
      </c>
      <c r="F2712" t="s">
        <v>54</v>
      </c>
      <c r="G2712" t="s">
        <v>562</v>
      </c>
      <c r="H2712">
        <v>30</v>
      </c>
      <c r="I2712" s="11">
        <f>$E2712+0</f>
        <v>117</v>
      </c>
      <c r="J2712" s="12">
        <v>609000</v>
      </c>
      <c r="K2712" s="13">
        <f>$E2712+1</f>
        <v>118</v>
      </c>
      <c r="L2712" s="14">
        <f>IF($J2712=0,0,ROUND(MAX($J2712*1.4,1620000*(1.497923^(MIN($E2712,123)-117)))*1,0))</f>
        <v>1620000</v>
      </c>
      <c r="M2712" s="11">
        <f>$E2712+2</f>
        <v>119</v>
      </c>
      <c r="N2712" s="12">
        <f>IF($J2712=0,0,ROUND(MAX($J2712*1.4*1.5,2190000*(1.580994^(MIN($E2712,123)-117)))*1,0))</f>
        <v>2190000</v>
      </c>
      <c r="O2712" s="13">
        <f>$E2712+4</f>
        <v>121</v>
      </c>
      <c r="P2712" s="14">
        <f>IF($J2712=0,0,ROUND(MAX($J2712*1.4*1.5*1.6,3500000*(1.57975^(MIN($E2712,123)-117)))*1,0))</f>
        <v>3500000</v>
      </c>
      <c r="Q2712" s="11">
        <f>$E2712+6</f>
        <v>123</v>
      </c>
      <c r="R2712" s="12">
        <f>IF($J2712=0,0,ROUND(MAX($J2712*1.4*1.5*1.6*1.6,13100000*(1.429962^(MIN($E2712,123)-117)))*1,0))</f>
        <v>13100000</v>
      </c>
      <c r="S2712" s="13">
        <f>$E2712+8</f>
        <v>125</v>
      </c>
      <c r="T2712" s="14">
        <f>IF($J2712=0,0,ROUND(MAX($J2712*1.4*1.5*1.6*1.6*2.2,42600000*(1.576904^(MIN($E2712,123)-117)))*1,0))</f>
        <v>42600000</v>
      </c>
      <c r="U2712" s="11">
        <f>$E2712+11</f>
        <v>128</v>
      </c>
      <c r="V2712" s="12">
        <f>IF($J2712=0,0,ROUND(MAX($J2712*1.4*1.5*1.6*1.6*2.2*2.715,354000000*(1.642074^(MIN($E2712,123)-117)))*1,0))</f>
        <v>354000000</v>
      </c>
      <c r="W2712" s="13">
        <f>$E2712+15</f>
        <v>132</v>
      </c>
      <c r="X2712" s="14">
        <f>IF($J2712=0,0,ROUND(MAX($J2712*1.4*1.5*1.6*1.6*2.2*2.715*2.6,3540000000*(1.579646^(MIN($E2712,123)-117)))*1,0))</f>
        <v>3540000000</v>
      </c>
      <c r="Y2712" s="11">
        <f>$E2712+17</f>
        <v>134</v>
      </c>
      <c r="Z2712" s="12">
        <f>IF($J2712=0,0,ROUND(MAX($J2712*1.4*1.5*1.6*1.6*2.2*2.715*2.6*1.4,6020000000*(1.651178^(MIN($E2712,123)-117)))*1,0))</f>
        <v>6020000000</v>
      </c>
      <c r="AA2712" s="13">
        <f>$E2712+19</f>
        <v>136</v>
      </c>
      <c r="AB2712" s="14">
        <f>IF($J2712=0,0,ROUND(MAX($J2712*1.4*1.5*1.6*1.6*2.2*2.715*2.6*1.4*1.4,8430000000*(1.651435^(MIN($E2712,123)-117)))*1,0))</f>
        <v>8430000000</v>
      </c>
      <c r="AC2712" s="11">
        <f>$E2712+21</f>
        <v>138</v>
      </c>
      <c r="AD2712" s="12">
        <f>IF($J2712=0,0,ROUND(MAX($J2712*1.4*1.5*1.6*1.6*2.2*2.715*2.6*1.4*1.4*1.5,12600000000*(1.652953^(MIN($E2712,123)-117)))*1,0))</f>
        <v>12600000000</v>
      </c>
      <c r="AE2712" s="13">
        <f>$E2712+24</f>
        <v>141</v>
      </c>
      <c r="AF2712" s="14">
        <f>IF($J2712=0,0,ROUND(MAX($J2712*1.4*1.5*1.6*1.6*2.2*2.715*2.6*1.4*1.4*1.5*1.5,18900000000*(1.65331^(MIN($E2712,123)-117)))*1,0))</f>
        <v>18900000000</v>
      </c>
      <c r="AG2712" s="11">
        <f>$E2712+27</f>
        <v>144</v>
      </c>
      <c r="AH2712" s="12">
        <f>IF($J2712=0,0,ROUND(MAX($J2712*1.4*1.5*1.6*1.6*2.2*2.715*2.6*1.4*1.4*1.5*1.5*3.2,60500000000*(1.654288^(MIN($E2712,123)-117)))*1,0))</f>
        <v>60500000000</v>
      </c>
    </row>
    <row r="2713" ht="28" customHeight="1" spans="1:34" x14ac:dyDescent="0.25">
      <c r="A2713">
        <v>2723</v>
      </c>
      <c r="B2713" t="s">
        <v>121</v>
      </c>
      <c r="C2713" s="10" t="s">
        <v>1593</v>
      </c>
      <c r="D2713" t="s">
        <v>79</v>
      </c>
      <c r="E2713">
        <v>117</v>
      </c>
      <c r="F2713" t="s">
        <v>62</v>
      </c>
      <c r="G2713" t="s">
        <v>562</v>
      </c>
      <c r="H2713">
        <v>30</v>
      </c>
      <c r="I2713" s="11">
        <f>$E2713+0</f>
        <v>117</v>
      </c>
      <c r="J2713" s="12">
        <v>775000</v>
      </c>
      <c r="K2713" s="13">
        <f>$E2713+1</f>
        <v>118</v>
      </c>
      <c r="L2713" s="14">
        <f>IF($J2713=0,0,ROUND(MAX($J2713*1.4,1620000*(1.497923^(MIN($E2713,123)-117)))*1,0))</f>
        <v>1620000</v>
      </c>
      <c r="M2713" s="11">
        <f>$E2713+2</f>
        <v>119</v>
      </c>
      <c r="N2713" s="12">
        <f>IF($J2713=0,0,ROUND(MAX($J2713*1.4*1.5,2190000*(1.580994^(MIN($E2713,123)-117)))*1,0))</f>
        <v>2190000</v>
      </c>
      <c r="O2713" s="13">
        <f>$E2713+4</f>
        <v>121</v>
      </c>
      <c r="P2713" s="14">
        <f>IF($J2713=0,0,ROUND(MAX($J2713*1.4*1.5*1.6,3500000*(1.57975^(MIN($E2713,123)-117)))*1,0))</f>
        <v>3500000</v>
      </c>
      <c r="Q2713" s="11">
        <f>$E2713+6</f>
        <v>123</v>
      </c>
      <c r="R2713" s="12">
        <f>IF($J2713=0,0,ROUND(MAX($J2713*1.4*1.5*1.6*1.6,13100000*(1.429962^(MIN($E2713,123)-117)))*1,0))</f>
        <v>13100000</v>
      </c>
      <c r="S2713" s="13">
        <f>$E2713+8</f>
        <v>125</v>
      </c>
      <c r="T2713" s="14">
        <f>IF($J2713=0,0,ROUND(MAX($J2713*1.4*1.5*1.6*1.6*2.2,42600000*(1.576904^(MIN($E2713,123)-117)))*1,0))</f>
        <v>42600000</v>
      </c>
      <c r="U2713" s="11">
        <f>$E2713+11</f>
        <v>128</v>
      </c>
      <c r="V2713" s="12">
        <f>IF($J2713=0,0,ROUND(MAX($J2713*1.4*1.5*1.6*1.6*2.2*2.715,354000000*(1.642074^(MIN($E2713,123)-117)))*1,0))</f>
        <v>354000000</v>
      </c>
      <c r="W2713" s="13">
        <f>$E2713+15</f>
        <v>132</v>
      </c>
      <c r="X2713" s="14">
        <f>IF($J2713=0,0,ROUND(MAX($J2713*1.4*1.5*1.6*1.6*2.2*2.715*2.6,3540000000*(1.579646^(MIN($E2713,123)-117)))*1,0))</f>
        <v>3540000000</v>
      </c>
      <c r="Y2713" s="11">
        <f>$E2713+17</f>
        <v>134</v>
      </c>
      <c r="Z2713" s="12">
        <f>IF($J2713=0,0,ROUND(MAX($J2713*1.4*1.5*1.6*1.6*2.2*2.715*2.6*1.4,6020000000*(1.651178^(MIN($E2713,123)-117)))*1,0))</f>
        <v>6020000000</v>
      </c>
      <c r="AA2713" s="13">
        <f>$E2713+19</f>
        <v>136</v>
      </c>
      <c r="AB2713" s="14">
        <f>IF($J2713=0,0,ROUND(MAX($J2713*1.4*1.5*1.6*1.6*2.2*2.715*2.6*1.4*1.4,8430000000*(1.651435^(MIN($E2713,123)-117)))*1,0))</f>
        <v>8430000000</v>
      </c>
      <c r="AC2713" s="11">
        <f>$E2713+21</f>
        <v>138</v>
      </c>
      <c r="AD2713" s="12">
        <f>IF($J2713=0,0,ROUND(MAX($J2713*1.4*1.5*1.6*1.6*2.2*2.715*2.6*1.4*1.4*1.5,12600000000*(1.652953^(MIN($E2713,123)-117)))*1,0))</f>
        <v>12600000000</v>
      </c>
      <c r="AE2713" s="13">
        <f>$E2713+24</f>
        <v>141</v>
      </c>
      <c r="AF2713" s="14">
        <f>IF($J2713=0,0,ROUND(MAX($J2713*1.4*1.5*1.6*1.6*2.2*2.715*2.6*1.4*1.4*1.5*1.5,18900000000*(1.65331^(MIN($E2713,123)-117)))*1,0))</f>
        <v>18900000000</v>
      </c>
      <c r="AG2713" s="11">
        <f>$E2713+27</f>
        <v>144</v>
      </c>
      <c r="AH2713" s="12">
        <f>IF($J2713=0,0,ROUND(MAX($J2713*1.4*1.5*1.6*1.6*2.2*2.715*2.6*1.4*1.4*1.5*1.5*3.2,60500000000*(1.654288^(MIN($E2713,123)-117)))*1,0))</f>
        <v>60500000000</v>
      </c>
    </row>
    <row r="2714" ht="28" customHeight="1" spans="1:34" x14ac:dyDescent="0.25">
      <c r="A2714">
        <v>2724</v>
      </c>
      <c r="B2714" t="s">
        <v>650</v>
      </c>
      <c r="C2714" s="10" t="s">
        <v>1593</v>
      </c>
      <c r="D2714" t="s">
        <v>33</v>
      </c>
      <c r="E2714">
        <v>117</v>
      </c>
      <c r="F2714" t="s">
        <v>34</v>
      </c>
      <c r="G2714" t="s">
        <v>562</v>
      </c>
      <c r="H2714">
        <v>29</v>
      </c>
      <c r="I2714" s="11">
        <f>$E2714+0</f>
        <v>117</v>
      </c>
      <c r="J2714" s="12">
        <v>669000</v>
      </c>
      <c r="K2714" s="13">
        <f>$E2714+1</f>
        <v>118</v>
      </c>
      <c r="L2714" s="14">
        <f>IF($J2714=0,0,ROUND(MAX($J2714*1.4,1620000*(1.497923^(MIN($E2714,123)-117)))*1,0))</f>
        <v>1620000</v>
      </c>
      <c r="M2714" s="11">
        <f>$E2714+2</f>
        <v>119</v>
      </c>
      <c r="N2714" s="12">
        <f>IF($J2714=0,0,ROUND(MAX($J2714*1.4*1.5,2190000*(1.580994^(MIN($E2714,123)-117)))*1,0))</f>
        <v>2190000</v>
      </c>
      <c r="O2714" s="13">
        <f>$E2714+4</f>
        <v>121</v>
      </c>
      <c r="P2714" s="14">
        <f>IF($J2714=0,0,ROUND(MAX($J2714*1.4*1.5*1.6,3500000*(1.57975^(MIN($E2714,123)-117)))*1,0))</f>
        <v>3500000</v>
      </c>
      <c r="Q2714" s="11">
        <f>$E2714+6</f>
        <v>123</v>
      </c>
      <c r="R2714" s="12">
        <f>IF($J2714=0,0,ROUND(MAX($J2714*1.4*1.5*1.6*1.6,13100000*(1.429962^(MIN($E2714,123)-117)))*1,0))</f>
        <v>13100000</v>
      </c>
      <c r="S2714" s="13">
        <f>$E2714+8</f>
        <v>125</v>
      </c>
      <c r="T2714" s="14">
        <f>IF($J2714=0,0,ROUND(MAX($J2714*1.4*1.5*1.6*1.6*2.2,42600000*(1.576904^(MIN($E2714,123)-117)))*1,0))</f>
        <v>42600000</v>
      </c>
      <c r="U2714" s="11">
        <f>$E2714+11</f>
        <v>128</v>
      </c>
      <c r="V2714" s="12">
        <f>IF($J2714=0,0,ROUND(MAX($J2714*1.4*1.5*1.6*1.6*2.2*2.715,354000000*(1.642074^(MIN($E2714,123)-117)))*1,0))</f>
        <v>354000000</v>
      </c>
      <c r="W2714" s="13">
        <f>$E2714+15</f>
        <v>132</v>
      </c>
      <c r="X2714" s="14">
        <f>IF($J2714=0,0,ROUND(MAX($J2714*1.4*1.5*1.6*1.6*2.2*2.715*2.6,3540000000*(1.579646^(MIN($E2714,123)-117)))*1,0))</f>
        <v>3540000000</v>
      </c>
      <c r="Y2714" s="11">
        <f>$E2714+17</f>
        <v>134</v>
      </c>
      <c r="Z2714" s="12">
        <f>IF($J2714=0,0,ROUND(MAX($J2714*1.4*1.5*1.6*1.6*2.2*2.715*2.6*1.4,6020000000*(1.651178^(MIN($E2714,123)-117)))*1,0))</f>
        <v>6020000000</v>
      </c>
      <c r="AA2714" s="13">
        <f>$E2714+19</f>
        <v>136</v>
      </c>
      <c r="AB2714" s="14">
        <f>IF($J2714=0,0,ROUND(MAX($J2714*1.4*1.5*1.6*1.6*2.2*2.715*2.6*1.4*1.4,8430000000*(1.651435^(MIN($E2714,123)-117)))*1,0))</f>
        <v>8430000000</v>
      </c>
      <c r="AC2714" s="11">
        <f>$E2714+21</f>
        <v>138</v>
      </c>
      <c r="AD2714" s="12">
        <f>IF($J2714=0,0,ROUND(MAX($J2714*1.4*1.5*1.6*1.6*2.2*2.715*2.6*1.4*1.4*1.5,12600000000*(1.652953^(MIN($E2714,123)-117)))*1,0))</f>
        <v>12600000000</v>
      </c>
      <c r="AE2714" s="13">
        <f>$E2714+24</f>
        <v>141</v>
      </c>
      <c r="AF2714" s="14">
        <f>IF($J2714=0,0,ROUND(MAX($J2714*1.4*1.5*1.6*1.6*2.2*2.715*2.6*1.4*1.4*1.5*1.5,18900000000*(1.65331^(MIN($E2714,123)-117)))*1,0))</f>
        <v>18900000000</v>
      </c>
      <c r="AG2714" s="11">
        <f>$E2714+27</f>
        <v>144</v>
      </c>
      <c r="AH2714" s="12">
        <f>IF($J2714=0,0,ROUND(MAX($J2714*1.4*1.5*1.6*1.6*2.2*2.715*2.6*1.4*1.4*1.5*1.5*3.2,60500000000*(1.654288^(MIN($E2714,123)-117)))*1,0))</f>
        <v>60500000000</v>
      </c>
    </row>
    <row r="2715" ht="28" customHeight="1" spans="1:34" x14ac:dyDescent="0.25">
      <c r="A2715">
        <v>2725</v>
      </c>
      <c r="B2715" t="s">
        <v>636</v>
      </c>
      <c r="C2715" s="10" t="s">
        <v>1593</v>
      </c>
      <c r="D2715" t="s">
        <v>25</v>
      </c>
      <c r="E2715">
        <v>117</v>
      </c>
      <c r="F2715" t="s">
        <v>34</v>
      </c>
      <c r="G2715" t="s">
        <v>133</v>
      </c>
      <c r="H2715">
        <v>29</v>
      </c>
      <c r="I2715" s="11">
        <f>$E2715+0</f>
        <v>117</v>
      </c>
      <c r="J2715" s="12">
        <v>572000</v>
      </c>
      <c r="K2715" s="13">
        <f>$E2715+1</f>
        <v>118</v>
      </c>
      <c r="L2715" s="14">
        <f>IF($J2715=0,0,ROUND(MAX($J2715*1.4,1620000*(1.497923^(MIN($E2715,123)-117)))*1,0))</f>
        <v>1620000</v>
      </c>
      <c r="M2715" s="11">
        <f>$E2715+2</f>
        <v>119</v>
      </c>
      <c r="N2715" s="12">
        <f>IF($J2715=0,0,ROUND(MAX($J2715*1.4*1.5,2190000*(1.580994^(MIN($E2715,123)-117)))*1,0))</f>
        <v>2190000</v>
      </c>
      <c r="O2715" s="13">
        <f>$E2715+4</f>
        <v>121</v>
      </c>
      <c r="P2715" s="14">
        <f>IF($J2715=0,0,ROUND(MAX($J2715*1.4*1.5*1.6,3500000*(1.57975^(MIN($E2715,123)-117)))*1,0))</f>
        <v>3500000</v>
      </c>
      <c r="Q2715" s="11">
        <f>$E2715+6</f>
        <v>123</v>
      </c>
      <c r="R2715" s="12">
        <f>IF($J2715=0,0,ROUND(MAX($J2715*1.4*1.5*1.6*1.6,13100000*(1.429962^(MIN($E2715,123)-117)))*1,0))</f>
        <v>13100000</v>
      </c>
      <c r="S2715" s="13">
        <f>$E2715+8</f>
        <v>125</v>
      </c>
      <c r="T2715" s="14">
        <f>IF($J2715=0,0,ROUND(MAX($J2715*1.4*1.5*1.6*1.6*2.2,42600000*(1.576904^(MIN($E2715,123)-117)))*1,0))</f>
        <v>42600000</v>
      </c>
      <c r="U2715" s="11">
        <f>$E2715+11</f>
        <v>128</v>
      </c>
      <c r="V2715" s="12">
        <f>IF($J2715=0,0,ROUND(MAX($J2715*1.4*1.5*1.6*1.6*2.2*2.715,354000000*(1.642074^(MIN($E2715,123)-117)))*1,0))</f>
        <v>354000000</v>
      </c>
      <c r="W2715" s="13">
        <f>$E2715+15</f>
        <v>132</v>
      </c>
      <c r="X2715" s="14">
        <f>IF($J2715=0,0,ROUND(MAX($J2715*1.4*1.5*1.6*1.6*2.2*2.715*2.6,3540000000*(1.579646^(MIN($E2715,123)-117)))*1,0))</f>
        <v>3540000000</v>
      </c>
      <c r="Y2715" s="11">
        <f>$E2715+17</f>
        <v>134</v>
      </c>
      <c r="Z2715" s="12">
        <f>IF($J2715=0,0,ROUND(MAX($J2715*1.4*1.5*1.6*1.6*2.2*2.715*2.6*1.4,6020000000*(1.651178^(MIN($E2715,123)-117)))*1,0))</f>
        <v>6020000000</v>
      </c>
      <c r="AA2715" s="13">
        <f>$E2715+19</f>
        <v>136</v>
      </c>
      <c r="AB2715" s="14">
        <f>IF($J2715=0,0,ROUND(MAX($J2715*1.4*1.5*1.6*1.6*2.2*2.715*2.6*1.4*1.4,8430000000*(1.651435^(MIN($E2715,123)-117)))*1,0))</f>
        <v>8430000000</v>
      </c>
      <c r="AC2715" s="11">
        <f>$E2715+21</f>
        <v>138</v>
      </c>
      <c r="AD2715" s="12">
        <f>IF($J2715=0,0,ROUND(MAX($J2715*1.4*1.5*1.6*1.6*2.2*2.715*2.6*1.4*1.4*1.5,12600000000*(1.652953^(MIN($E2715,123)-117)))*1,0))</f>
        <v>12600000000</v>
      </c>
      <c r="AE2715" s="13">
        <f>$E2715+24</f>
        <v>141</v>
      </c>
      <c r="AF2715" s="14">
        <f>IF($J2715=0,0,ROUND(MAX($J2715*1.4*1.5*1.6*1.6*2.2*2.715*2.6*1.4*1.4*1.5*1.5,18900000000*(1.65331^(MIN($E2715,123)-117)))*1,0))</f>
        <v>18900000000</v>
      </c>
      <c r="AG2715" s="11">
        <f>$E2715+27</f>
        <v>144</v>
      </c>
      <c r="AH2715" s="12">
        <f>IF($J2715=0,0,ROUND(MAX($J2715*1.4*1.5*1.6*1.6*2.2*2.715*2.6*1.4*1.4*1.5*1.5*3.2,60500000000*(1.654288^(MIN($E2715,123)-117)))*1,0))</f>
        <v>60500000000</v>
      </c>
    </row>
    <row r="2716" ht="28" customHeight="1" spans="1:34" x14ac:dyDescent="0.25">
      <c r="A2716">
        <v>2726</v>
      </c>
      <c r="B2716" t="s">
        <v>1594</v>
      </c>
      <c r="C2716" s="10" t="s">
        <v>1593</v>
      </c>
      <c r="D2716" t="s">
        <v>79</v>
      </c>
      <c r="E2716">
        <v>117</v>
      </c>
      <c r="F2716" t="s">
        <v>303</v>
      </c>
      <c r="G2716" t="s">
        <v>1531</v>
      </c>
      <c r="H2716">
        <v>29</v>
      </c>
      <c r="I2716" s="11">
        <f>$E2716+0</f>
        <v>117</v>
      </c>
      <c r="J2716" s="12">
        <v>1470000</v>
      </c>
      <c r="K2716" s="13">
        <f>$E2716+1</f>
        <v>118</v>
      </c>
      <c r="L2716" s="14">
        <f>IF($J2716=0,0,ROUND(MAX($J2716*1.4,1620000*(1.497923^(MIN($E2716,123)-117)))*1,0))</f>
        <v>2058000</v>
      </c>
      <c r="M2716" s="11">
        <f>$E2716+2</f>
        <v>119</v>
      </c>
      <c r="N2716" s="12">
        <f>IF($J2716=0,0,ROUND(MAX($J2716*1.4*1.5,2190000*(1.580994^(MIN($E2716,123)-117)))*1,0))</f>
        <v>3087000</v>
      </c>
      <c r="O2716" s="13">
        <f>$E2716+4</f>
        <v>121</v>
      </c>
      <c r="P2716" s="14">
        <f>IF($J2716=0,0,ROUND(MAX($J2716*1.4*1.5*1.6,3500000*(1.57975^(MIN($E2716,123)-117)))*1,0))</f>
        <v>4939200</v>
      </c>
      <c r="Q2716" s="11">
        <f>$E2716+6</f>
        <v>123</v>
      </c>
      <c r="R2716" s="12">
        <f>IF($J2716=0,0,ROUND(MAX($J2716*1.4*1.5*1.6*1.6,13100000*(1.429962^(MIN($E2716,123)-117)))*1,0))</f>
        <v>13100000</v>
      </c>
      <c r="S2716" s="13">
        <f>$E2716+8</f>
        <v>125</v>
      </c>
      <c r="T2716" s="14">
        <f>IF($J2716=0,0,ROUND(MAX($J2716*1.4*1.5*1.6*1.6*2.2,42600000*(1.576904^(MIN($E2716,123)-117)))*1,0))</f>
        <v>42600000</v>
      </c>
      <c r="U2716" s="11">
        <f>$E2716+11</f>
        <v>128</v>
      </c>
      <c r="V2716" s="12">
        <f>IF($J2716=0,0,ROUND(MAX($J2716*1.4*1.5*1.6*1.6*2.2*2.715,354000000*(1.642074^(MIN($E2716,123)-117)))*1,0))</f>
        <v>354000000</v>
      </c>
      <c r="W2716" s="13">
        <f>$E2716+15</f>
        <v>132</v>
      </c>
      <c r="X2716" s="14">
        <f>IF($J2716=0,0,ROUND(MAX($J2716*1.4*1.5*1.6*1.6*2.2*2.715*2.6,3540000000*(1.579646^(MIN($E2716,123)-117)))*1,0))</f>
        <v>3540000000</v>
      </c>
      <c r="Y2716" s="11">
        <f>$E2716+17</f>
        <v>134</v>
      </c>
      <c r="Z2716" s="12">
        <f>IF($J2716=0,0,ROUND(MAX($J2716*1.4*1.5*1.6*1.6*2.2*2.715*2.6*1.4,6020000000*(1.651178^(MIN($E2716,123)-117)))*1,0))</f>
        <v>6020000000</v>
      </c>
      <c r="AA2716" s="13">
        <f>$E2716+19</f>
        <v>136</v>
      </c>
      <c r="AB2716" s="14">
        <f>IF($J2716=0,0,ROUND(MAX($J2716*1.4*1.5*1.6*1.6*2.2*2.715*2.6*1.4*1.4,8430000000*(1.651435^(MIN($E2716,123)-117)))*1,0))</f>
        <v>8430000000</v>
      </c>
      <c r="AC2716" s="11">
        <f>$E2716+21</f>
        <v>138</v>
      </c>
      <c r="AD2716" s="12">
        <f>IF($J2716=0,0,ROUND(MAX($J2716*1.4*1.5*1.6*1.6*2.2*2.715*2.6*1.4*1.4*1.5,12600000000*(1.652953^(MIN($E2716,123)-117)))*1,0))</f>
        <v>12600000000</v>
      </c>
      <c r="AE2716" s="13">
        <f>$E2716+24</f>
        <v>141</v>
      </c>
      <c r="AF2716" s="14">
        <f>IF($J2716=0,0,ROUND(MAX($J2716*1.4*1.5*1.6*1.6*2.2*2.715*2.6*1.4*1.4*1.5*1.5,18900000000*(1.65331^(MIN($E2716,123)-117)))*1,0))</f>
        <v>18900000000</v>
      </c>
      <c r="AG2716" s="11">
        <f>$E2716+27</f>
        <v>144</v>
      </c>
      <c r="AH2716" s="12">
        <f>IF($J2716=0,0,ROUND(MAX($J2716*1.4*1.5*1.6*1.6*2.2*2.715*2.6*1.4*1.4*1.5*1.5*3.2,60500000000*(1.654288^(MIN($E2716,123)-117)))*1,0))</f>
        <v>60500000000</v>
      </c>
    </row>
    <row r="2717" ht="28" customHeight="1" spans="1:34" x14ac:dyDescent="0.25">
      <c r="A2717">
        <v>2727</v>
      </c>
      <c r="B2717" t="s">
        <v>923</v>
      </c>
      <c r="C2717" s="10" t="s">
        <v>1593</v>
      </c>
      <c r="D2717" t="s">
        <v>40</v>
      </c>
      <c r="E2717">
        <v>117</v>
      </c>
      <c r="F2717" t="s">
        <v>71</v>
      </c>
      <c r="G2717" t="s">
        <v>326</v>
      </c>
      <c r="H2717">
        <v>29</v>
      </c>
      <c r="I2717" s="11">
        <f>$E2717+0</f>
        <v>117</v>
      </c>
      <c r="J2717" s="12">
        <v>550000</v>
      </c>
      <c r="K2717" s="13">
        <f>$E2717+1</f>
        <v>118</v>
      </c>
      <c r="L2717" s="14">
        <f>IF($J2717=0,0,ROUND(MAX($J2717*1.4,1620000*(1.497923^(MIN($E2717,123)-117)))*1,0))</f>
        <v>1620000</v>
      </c>
      <c r="M2717" s="11">
        <f>$E2717+2</f>
        <v>119</v>
      </c>
      <c r="N2717" s="12">
        <f>IF($J2717=0,0,ROUND(MAX($J2717*1.4*1.5,2190000*(1.580994^(MIN($E2717,123)-117)))*1,0))</f>
        <v>2190000</v>
      </c>
      <c r="O2717" s="13">
        <f>$E2717+4</f>
        <v>121</v>
      </c>
      <c r="P2717" s="14">
        <f>IF($J2717=0,0,ROUND(MAX($J2717*1.4*1.5*1.6,3500000*(1.57975^(MIN($E2717,123)-117)))*1,0))</f>
        <v>3500000</v>
      </c>
      <c r="Q2717" s="11">
        <f>$E2717+6</f>
        <v>123</v>
      </c>
      <c r="R2717" s="12">
        <f>IF($J2717=0,0,ROUND(MAX($J2717*1.4*1.5*1.6*1.6,13100000*(1.429962^(MIN($E2717,123)-117)))*1,0))</f>
        <v>13100000</v>
      </c>
      <c r="S2717" s="13">
        <f>$E2717+8</f>
        <v>125</v>
      </c>
      <c r="T2717" s="14">
        <f>IF($J2717=0,0,ROUND(MAX($J2717*1.4*1.5*1.6*1.6*2.2,42600000*(1.576904^(MIN($E2717,123)-117)))*1,0))</f>
        <v>42600000</v>
      </c>
      <c r="U2717" s="11">
        <f>$E2717+11</f>
        <v>128</v>
      </c>
      <c r="V2717" s="12">
        <f>IF($J2717=0,0,ROUND(MAX($J2717*1.4*1.5*1.6*1.6*2.2*2.715,354000000*(1.642074^(MIN($E2717,123)-117)))*1,0))</f>
        <v>354000000</v>
      </c>
      <c r="W2717" s="13">
        <f>$E2717+15</f>
        <v>132</v>
      </c>
      <c r="X2717" s="14">
        <f>IF($J2717=0,0,ROUND(MAX($J2717*1.4*1.5*1.6*1.6*2.2*2.715*2.6,3540000000*(1.579646^(MIN($E2717,123)-117)))*1,0))</f>
        <v>3540000000</v>
      </c>
      <c r="Y2717" s="11">
        <f>$E2717+17</f>
        <v>134</v>
      </c>
      <c r="Z2717" s="12">
        <f>IF($J2717=0,0,ROUND(MAX($J2717*1.4*1.5*1.6*1.6*2.2*2.715*2.6*1.4,6020000000*(1.651178^(MIN($E2717,123)-117)))*1,0))</f>
        <v>6020000000</v>
      </c>
      <c r="AA2717" s="13">
        <f>$E2717+19</f>
        <v>136</v>
      </c>
      <c r="AB2717" s="14">
        <f>IF($J2717=0,0,ROUND(MAX($J2717*1.4*1.5*1.6*1.6*2.2*2.715*2.6*1.4*1.4,8430000000*(1.651435^(MIN($E2717,123)-117)))*1,0))</f>
        <v>8430000000</v>
      </c>
      <c r="AC2717" s="11">
        <f>$E2717+21</f>
        <v>138</v>
      </c>
      <c r="AD2717" s="12">
        <f>IF($J2717=0,0,ROUND(MAX($J2717*1.4*1.5*1.6*1.6*2.2*2.715*2.6*1.4*1.4*1.5,12600000000*(1.652953^(MIN($E2717,123)-117)))*1,0))</f>
        <v>12600000000</v>
      </c>
      <c r="AE2717" s="13">
        <f>$E2717+24</f>
        <v>141</v>
      </c>
      <c r="AF2717" s="14">
        <f>IF($J2717=0,0,ROUND(MAX($J2717*1.4*1.5*1.6*1.6*2.2*2.715*2.6*1.4*1.4*1.5*1.5,18900000000*(1.65331^(MIN($E2717,123)-117)))*1,0))</f>
        <v>18900000000</v>
      </c>
      <c r="AG2717" s="11">
        <f>$E2717+27</f>
        <v>144</v>
      </c>
      <c r="AH2717" s="12">
        <f>IF($J2717=0,0,ROUND(MAX($J2717*1.4*1.5*1.6*1.6*2.2*2.715*2.6*1.4*1.4*1.5*1.5*3.2,60500000000*(1.654288^(MIN($E2717,123)-117)))*1,0))</f>
        <v>60500000000</v>
      </c>
    </row>
    <row r="2718" ht="28" customHeight="1" spans="1:34" x14ac:dyDescent="0.25">
      <c r="A2718">
        <v>2728</v>
      </c>
      <c r="B2718" t="s">
        <v>1045</v>
      </c>
      <c r="C2718" s="10" t="s">
        <v>1593</v>
      </c>
      <c r="D2718" t="s">
        <v>165</v>
      </c>
      <c r="E2718">
        <v>117</v>
      </c>
      <c r="F2718" t="s">
        <v>71</v>
      </c>
      <c r="G2718" t="s">
        <v>206</v>
      </c>
      <c r="H2718">
        <v>29</v>
      </c>
      <c r="I2718" s="11">
        <f>$E2718+0</f>
        <v>117</v>
      </c>
      <c r="J2718" s="12">
        <v>582000</v>
      </c>
      <c r="K2718" s="13">
        <f>$E2718+1</f>
        <v>118</v>
      </c>
      <c r="L2718" s="14">
        <f>IF($J2718=0,0,ROUND(MAX($J2718*1.4,1620000*(1.497923^(MIN($E2718,123)-117)))*1,0))</f>
        <v>1620000</v>
      </c>
      <c r="M2718" s="11">
        <f>$E2718+2</f>
        <v>119</v>
      </c>
      <c r="N2718" s="12">
        <f>IF($J2718=0,0,ROUND(MAX($J2718*1.4*1.5,2190000*(1.580994^(MIN($E2718,123)-117)))*1,0))</f>
        <v>2190000</v>
      </c>
      <c r="O2718" s="13">
        <f>$E2718+4</f>
        <v>121</v>
      </c>
      <c r="P2718" s="14">
        <f>IF($J2718=0,0,ROUND(MAX($J2718*1.4*1.5*1.6,3500000*(1.57975^(MIN($E2718,123)-117)))*1,0))</f>
        <v>3500000</v>
      </c>
      <c r="Q2718" s="11">
        <f>$E2718+6</f>
        <v>123</v>
      </c>
      <c r="R2718" s="12">
        <f>IF($J2718=0,0,ROUND(MAX($J2718*1.4*1.5*1.6*1.6,13100000*(1.429962^(MIN($E2718,123)-117)))*1,0))</f>
        <v>13100000</v>
      </c>
      <c r="S2718" s="13">
        <f>$E2718+8</f>
        <v>125</v>
      </c>
      <c r="T2718" s="14">
        <f>IF($J2718=0,0,ROUND(MAX($J2718*1.4*1.5*1.6*1.6*2.2,42600000*(1.576904^(MIN($E2718,123)-117)))*1,0))</f>
        <v>42600000</v>
      </c>
      <c r="U2718" s="11">
        <f>$E2718+11</f>
        <v>128</v>
      </c>
      <c r="V2718" s="12">
        <f>IF($J2718=0,0,ROUND(MAX($J2718*1.4*1.5*1.6*1.6*2.2*2.715,354000000*(1.642074^(MIN($E2718,123)-117)))*1,0))</f>
        <v>354000000</v>
      </c>
      <c r="W2718" s="13">
        <f>$E2718+15</f>
        <v>132</v>
      </c>
      <c r="X2718" s="14">
        <f>IF($J2718=0,0,ROUND(MAX($J2718*1.4*1.5*1.6*1.6*2.2*2.715*2.6,3540000000*(1.579646^(MIN($E2718,123)-117)))*1,0))</f>
        <v>3540000000</v>
      </c>
      <c r="Y2718" s="11">
        <f>$E2718+17</f>
        <v>134</v>
      </c>
      <c r="Z2718" s="12">
        <f>IF($J2718=0,0,ROUND(MAX($J2718*1.4*1.5*1.6*1.6*2.2*2.715*2.6*1.4,6020000000*(1.651178^(MIN($E2718,123)-117)))*1,0))</f>
        <v>6020000000</v>
      </c>
      <c r="AA2718" s="13">
        <f>$E2718+19</f>
        <v>136</v>
      </c>
      <c r="AB2718" s="14">
        <f>IF($J2718=0,0,ROUND(MAX($J2718*1.4*1.5*1.6*1.6*2.2*2.715*2.6*1.4*1.4,8430000000*(1.651435^(MIN($E2718,123)-117)))*1,0))</f>
        <v>8430000000</v>
      </c>
      <c r="AC2718" s="11">
        <f>$E2718+21</f>
        <v>138</v>
      </c>
      <c r="AD2718" s="12">
        <f>IF($J2718=0,0,ROUND(MAX($J2718*1.4*1.5*1.6*1.6*2.2*2.715*2.6*1.4*1.4*1.5,12600000000*(1.652953^(MIN($E2718,123)-117)))*1,0))</f>
        <v>12600000000</v>
      </c>
      <c r="AE2718" s="13">
        <f>$E2718+24</f>
        <v>141</v>
      </c>
      <c r="AF2718" s="14">
        <f>IF($J2718=0,0,ROUND(MAX($J2718*1.4*1.5*1.6*1.6*2.2*2.715*2.6*1.4*1.4*1.5*1.5,18900000000*(1.65331^(MIN($E2718,123)-117)))*1,0))</f>
        <v>18900000000</v>
      </c>
      <c r="AG2718" s="11">
        <f>$E2718+27</f>
        <v>144</v>
      </c>
      <c r="AH2718" s="12">
        <f>IF($J2718=0,0,ROUND(MAX($J2718*1.4*1.5*1.6*1.6*2.2*2.715*2.6*1.4*1.4*1.5*1.5*3.2,60500000000*(1.654288^(MIN($E2718,123)-117)))*1,0))</f>
        <v>60500000000</v>
      </c>
    </row>
    <row r="2719" ht="28" customHeight="1" spans="1:34" x14ac:dyDescent="0.25">
      <c r="A2719">
        <v>2729</v>
      </c>
      <c r="B2719" t="s">
        <v>424</v>
      </c>
      <c r="C2719" s="10" t="s">
        <v>1593</v>
      </c>
      <c r="D2719" t="s">
        <v>40</v>
      </c>
      <c r="E2719">
        <v>117</v>
      </c>
      <c r="F2719" t="s">
        <v>341</v>
      </c>
      <c r="G2719" t="s">
        <v>425</v>
      </c>
      <c r="H2719">
        <v>29</v>
      </c>
      <c r="I2719" s="11">
        <f>$E2719+0</f>
        <v>117</v>
      </c>
      <c r="J2719" s="12">
        <v>721000</v>
      </c>
      <c r="K2719" s="13">
        <f>$E2719+1</f>
        <v>118</v>
      </c>
      <c r="L2719" s="14">
        <f>IF($J2719=0,0,ROUND(MAX($J2719*1.4,1620000*(1.497923^(MIN($E2719,123)-117)))*1,0))</f>
        <v>1620000</v>
      </c>
      <c r="M2719" s="11">
        <f>$E2719+2</f>
        <v>119</v>
      </c>
      <c r="N2719" s="12">
        <f>IF($J2719=0,0,ROUND(MAX($J2719*1.4*1.5,2190000*(1.580994^(MIN($E2719,123)-117)))*1,0))</f>
        <v>2190000</v>
      </c>
      <c r="O2719" s="13">
        <f>$E2719+4</f>
        <v>121</v>
      </c>
      <c r="P2719" s="14">
        <f>IF($J2719=0,0,ROUND(MAX($J2719*1.4*1.5*1.6,3500000*(1.57975^(MIN($E2719,123)-117)))*1,0))</f>
        <v>3500000</v>
      </c>
      <c r="Q2719" s="11">
        <f>$E2719+6</f>
        <v>123</v>
      </c>
      <c r="R2719" s="12">
        <f>IF($J2719=0,0,ROUND(MAX($J2719*1.4*1.5*1.6*1.6,13100000*(1.429962^(MIN($E2719,123)-117)))*1,0))</f>
        <v>13100000</v>
      </c>
      <c r="S2719" s="13">
        <f>$E2719+8</f>
        <v>125</v>
      </c>
      <c r="T2719" s="14">
        <f>IF($J2719=0,0,ROUND(MAX($J2719*1.4*1.5*1.6*1.6*2.2,42600000*(1.576904^(MIN($E2719,123)-117)))*1,0))</f>
        <v>42600000</v>
      </c>
      <c r="U2719" s="11">
        <f>$E2719+11</f>
        <v>128</v>
      </c>
      <c r="V2719" s="12">
        <f>IF($J2719=0,0,ROUND(MAX($J2719*1.4*1.5*1.6*1.6*2.2*2.715,354000000*(1.642074^(MIN($E2719,123)-117)))*1,0))</f>
        <v>354000000</v>
      </c>
      <c r="W2719" s="13">
        <f>$E2719+15</f>
        <v>132</v>
      </c>
      <c r="X2719" s="14">
        <f>IF($J2719=0,0,ROUND(MAX($J2719*1.4*1.5*1.6*1.6*2.2*2.715*2.6,3540000000*(1.579646^(MIN($E2719,123)-117)))*1,0))</f>
        <v>3540000000</v>
      </c>
      <c r="Y2719" s="11">
        <f>$E2719+17</f>
        <v>134</v>
      </c>
      <c r="Z2719" s="12">
        <f>IF($J2719=0,0,ROUND(MAX($J2719*1.4*1.5*1.6*1.6*2.2*2.715*2.6*1.4,6020000000*(1.651178^(MIN($E2719,123)-117)))*1,0))</f>
        <v>6020000000</v>
      </c>
      <c r="AA2719" s="13">
        <f>$E2719+19</f>
        <v>136</v>
      </c>
      <c r="AB2719" s="14">
        <f>IF($J2719=0,0,ROUND(MAX($J2719*1.4*1.5*1.6*1.6*2.2*2.715*2.6*1.4*1.4,8430000000*(1.651435^(MIN($E2719,123)-117)))*1,0))</f>
        <v>8430000000</v>
      </c>
      <c r="AC2719" s="11">
        <f>$E2719+21</f>
        <v>138</v>
      </c>
      <c r="AD2719" s="12">
        <f>IF($J2719=0,0,ROUND(MAX($J2719*1.4*1.5*1.6*1.6*2.2*2.715*2.6*1.4*1.4*1.5,12600000000*(1.652953^(MIN($E2719,123)-117)))*1,0))</f>
        <v>12600000000</v>
      </c>
      <c r="AE2719" s="13">
        <f>$E2719+24</f>
        <v>141</v>
      </c>
      <c r="AF2719" s="14">
        <f>IF($J2719=0,0,ROUND(MAX($J2719*1.4*1.5*1.6*1.6*2.2*2.715*2.6*1.4*1.4*1.5*1.5,18900000000*(1.65331^(MIN($E2719,123)-117)))*1,0))</f>
        <v>18900000000</v>
      </c>
      <c r="AG2719" s="11">
        <f>$E2719+27</f>
        <v>144</v>
      </c>
      <c r="AH2719" s="12">
        <f>IF($J2719=0,0,ROUND(MAX($J2719*1.4*1.5*1.6*1.6*2.2*2.715*2.6*1.4*1.4*1.5*1.5*3.2,60500000000*(1.654288^(MIN($E2719,123)-117)))*1,0))</f>
        <v>60500000000</v>
      </c>
    </row>
    <row r="2720" ht="28" customHeight="1" spans="1:34" x14ac:dyDescent="0.25">
      <c r="A2720">
        <v>2730</v>
      </c>
      <c r="B2720" t="s">
        <v>964</v>
      </c>
      <c r="C2720" s="10" t="s">
        <v>1593</v>
      </c>
      <c r="D2720" t="s">
        <v>25</v>
      </c>
      <c r="E2720">
        <v>117</v>
      </c>
      <c r="F2720" t="s">
        <v>26</v>
      </c>
      <c r="G2720" t="s">
        <v>1595</v>
      </c>
      <c r="H2720">
        <v>29</v>
      </c>
      <c r="I2720" s="11">
        <f>$E2720+0</f>
        <v>117</v>
      </c>
      <c r="J2720" s="12">
        <v>500000</v>
      </c>
      <c r="K2720" s="13">
        <f>$E2720+1</f>
        <v>118</v>
      </c>
      <c r="L2720" s="14">
        <f>IF($J2720=0,0,ROUND(MAX($J2720*1.4,1620000*(1.497923^(MIN($E2720,123)-117)))*1,0))</f>
        <v>1620000</v>
      </c>
      <c r="M2720" s="11">
        <f>$E2720+2</f>
        <v>119</v>
      </c>
      <c r="N2720" s="12">
        <f>IF($J2720=0,0,ROUND(MAX($J2720*1.4*1.5,2190000*(1.580994^(MIN($E2720,123)-117)))*1,0))</f>
        <v>2190000</v>
      </c>
      <c r="O2720" s="13">
        <f>$E2720+4</f>
        <v>121</v>
      </c>
      <c r="P2720" s="14">
        <f>IF($J2720=0,0,ROUND(MAX($J2720*1.4*1.5*1.6,3500000*(1.57975^(MIN($E2720,123)-117)))*1,0))</f>
        <v>3500000</v>
      </c>
      <c r="Q2720" s="11">
        <f>$E2720+6</f>
        <v>123</v>
      </c>
      <c r="R2720" s="12">
        <f>IF($J2720=0,0,ROUND(MAX($J2720*1.4*1.5*1.6*1.6,13100000*(1.429962^(MIN($E2720,123)-117)))*1,0))</f>
        <v>13100000</v>
      </c>
      <c r="S2720" s="13">
        <f>$E2720+8</f>
        <v>125</v>
      </c>
      <c r="T2720" s="14">
        <f>IF($J2720=0,0,ROUND(MAX($J2720*1.4*1.5*1.6*1.6*2.2,42600000*(1.576904^(MIN($E2720,123)-117)))*1,0))</f>
        <v>42600000</v>
      </c>
      <c r="U2720" s="11">
        <f>$E2720+11</f>
        <v>128</v>
      </c>
      <c r="V2720" s="12">
        <f>IF($J2720=0,0,ROUND(MAX($J2720*1.4*1.5*1.6*1.6*2.2*2.715,354000000*(1.642074^(MIN($E2720,123)-117)))*1,0))</f>
        <v>354000000</v>
      </c>
      <c r="W2720" s="13">
        <f>$E2720+15</f>
        <v>132</v>
      </c>
      <c r="X2720" s="14">
        <f>IF($J2720=0,0,ROUND(MAX($J2720*1.4*1.5*1.6*1.6*2.2*2.715*2.6,3540000000*(1.579646^(MIN($E2720,123)-117)))*1,0))</f>
        <v>3540000000</v>
      </c>
      <c r="Y2720" s="11">
        <f>$E2720+17</f>
        <v>134</v>
      </c>
      <c r="Z2720" s="12">
        <f>IF($J2720=0,0,ROUND(MAX($J2720*1.4*1.5*1.6*1.6*2.2*2.715*2.6*1.4,6020000000*(1.651178^(MIN($E2720,123)-117)))*1,0))</f>
        <v>6020000000</v>
      </c>
      <c r="AA2720" s="13">
        <f>$E2720+19</f>
        <v>136</v>
      </c>
      <c r="AB2720" s="14">
        <f>IF($J2720=0,0,ROUND(MAX($J2720*1.4*1.5*1.6*1.6*2.2*2.715*2.6*1.4*1.4,8430000000*(1.651435^(MIN($E2720,123)-117)))*1,0))</f>
        <v>8430000000</v>
      </c>
      <c r="AC2720" s="11">
        <f>$E2720+21</f>
        <v>138</v>
      </c>
      <c r="AD2720" s="12">
        <f>IF($J2720=0,0,ROUND(MAX($J2720*1.4*1.5*1.6*1.6*2.2*2.715*2.6*1.4*1.4*1.5,12600000000*(1.652953^(MIN($E2720,123)-117)))*1,0))</f>
        <v>12600000000</v>
      </c>
      <c r="AE2720" s="13">
        <f>$E2720+24</f>
        <v>141</v>
      </c>
      <c r="AF2720" s="14">
        <f>IF($J2720=0,0,ROUND(MAX($J2720*1.4*1.5*1.6*1.6*2.2*2.715*2.6*1.4*1.4*1.5*1.5,18900000000*(1.65331^(MIN($E2720,123)-117)))*1,0))</f>
        <v>18900000000</v>
      </c>
      <c r="AG2720" s="11">
        <f>$E2720+27</f>
        <v>144</v>
      </c>
      <c r="AH2720" s="12">
        <f>IF($J2720=0,0,ROUND(MAX($J2720*1.4*1.5*1.6*1.6*2.2*2.715*2.6*1.4*1.4*1.5*1.5*3.2,60500000000*(1.654288^(MIN($E2720,123)-117)))*1,0))</f>
        <v>60500000000</v>
      </c>
    </row>
    <row r="2721" ht="28" customHeight="1" spans="1:34" x14ac:dyDescent="0.25">
      <c r="A2721">
        <v>2731</v>
      </c>
      <c r="B2721" t="s">
        <v>787</v>
      </c>
      <c r="C2721" s="10" t="s">
        <v>1593</v>
      </c>
      <c r="D2721" t="s">
        <v>45</v>
      </c>
      <c r="E2721">
        <v>117</v>
      </c>
      <c r="F2721" t="s">
        <v>56</v>
      </c>
      <c r="G2721" t="s">
        <v>402</v>
      </c>
      <c r="H2721">
        <v>29</v>
      </c>
      <c r="I2721" s="11">
        <f>$E2721+0</f>
        <v>117</v>
      </c>
      <c r="J2721" s="12">
        <v>1050000</v>
      </c>
      <c r="K2721" s="13">
        <f>$E2721+1</f>
        <v>118</v>
      </c>
      <c r="L2721" s="14">
        <f>IF($J2721=0,0,ROUND(MAX($J2721*1.4,1620000*(1.497923^(MIN($E2721,123)-117)))*1,0))</f>
        <v>1620000</v>
      </c>
      <c r="M2721" s="11">
        <f>$E2721+2</f>
        <v>119</v>
      </c>
      <c r="N2721" s="12">
        <f>IF($J2721=0,0,ROUND(MAX($J2721*1.4*1.5,2190000*(1.580994^(MIN($E2721,123)-117)))*1,0))</f>
        <v>2205000</v>
      </c>
      <c r="O2721" s="13">
        <f>$E2721+4</f>
        <v>121</v>
      </c>
      <c r="P2721" s="14">
        <f>IF($J2721=0,0,ROUND(MAX($J2721*1.4*1.5*1.6,3500000*(1.57975^(MIN($E2721,123)-117)))*1,0))</f>
        <v>3528000</v>
      </c>
      <c r="Q2721" s="11">
        <f>$E2721+6</f>
        <v>123</v>
      </c>
      <c r="R2721" s="12">
        <f>IF($J2721=0,0,ROUND(MAX($J2721*1.4*1.5*1.6*1.6,13100000*(1.429962^(MIN($E2721,123)-117)))*1,0))</f>
        <v>13100000</v>
      </c>
      <c r="S2721" s="13">
        <f>$E2721+8</f>
        <v>125</v>
      </c>
      <c r="T2721" s="14">
        <f>IF($J2721=0,0,ROUND(MAX($J2721*1.4*1.5*1.6*1.6*2.2,42600000*(1.576904^(MIN($E2721,123)-117)))*1,0))</f>
        <v>42600000</v>
      </c>
      <c r="U2721" s="11">
        <f>$E2721+11</f>
        <v>128</v>
      </c>
      <c r="V2721" s="12">
        <f>IF($J2721=0,0,ROUND(MAX($J2721*1.4*1.5*1.6*1.6*2.2*2.715,354000000*(1.642074^(MIN($E2721,123)-117)))*1,0))</f>
        <v>354000000</v>
      </c>
      <c r="W2721" s="13">
        <f>$E2721+15</f>
        <v>132</v>
      </c>
      <c r="X2721" s="14">
        <f>IF($J2721=0,0,ROUND(MAX($J2721*1.4*1.5*1.6*1.6*2.2*2.715*2.6,3540000000*(1.579646^(MIN($E2721,123)-117)))*1,0))</f>
        <v>3540000000</v>
      </c>
      <c r="Y2721" s="11">
        <f>$E2721+17</f>
        <v>134</v>
      </c>
      <c r="Z2721" s="12">
        <f>IF($J2721=0,0,ROUND(MAX($J2721*1.4*1.5*1.6*1.6*2.2*2.715*2.6*1.4,6020000000*(1.651178^(MIN($E2721,123)-117)))*1,0))</f>
        <v>6020000000</v>
      </c>
      <c r="AA2721" s="13">
        <f>$E2721+19</f>
        <v>136</v>
      </c>
      <c r="AB2721" s="14">
        <f>IF($J2721=0,0,ROUND(MAX($J2721*1.4*1.5*1.6*1.6*2.2*2.715*2.6*1.4*1.4,8430000000*(1.651435^(MIN($E2721,123)-117)))*1,0))</f>
        <v>8430000000</v>
      </c>
      <c r="AC2721" s="11">
        <f>$E2721+21</f>
        <v>138</v>
      </c>
      <c r="AD2721" s="12">
        <f>IF($J2721=0,0,ROUND(MAX($J2721*1.4*1.5*1.6*1.6*2.2*2.715*2.6*1.4*1.4*1.5,12600000000*(1.652953^(MIN($E2721,123)-117)))*1,0))</f>
        <v>12600000000</v>
      </c>
      <c r="AE2721" s="13">
        <f>$E2721+24</f>
        <v>141</v>
      </c>
      <c r="AF2721" s="14">
        <f>IF($J2721=0,0,ROUND(MAX($J2721*1.4*1.5*1.6*1.6*2.2*2.715*2.6*1.4*1.4*1.5*1.5,18900000000*(1.65331^(MIN($E2721,123)-117)))*1,0))</f>
        <v>18900000000</v>
      </c>
      <c r="AG2721" s="11">
        <f>$E2721+27</f>
        <v>144</v>
      </c>
      <c r="AH2721" s="12">
        <f>IF($J2721=0,0,ROUND(MAX($J2721*1.4*1.5*1.6*1.6*2.2*2.715*2.6*1.4*1.4*1.5*1.5*3.2,60500000000*(1.654288^(MIN($E2721,123)-117)))*1,0))</f>
        <v>60500000000</v>
      </c>
    </row>
    <row r="2722" ht="28" customHeight="1" spans="1:34" x14ac:dyDescent="0.25">
      <c r="A2722">
        <v>2732</v>
      </c>
      <c r="B2722" t="s">
        <v>143</v>
      </c>
      <c r="C2722" s="10" t="s">
        <v>1593</v>
      </c>
      <c r="D2722" t="s">
        <v>79</v>
      </c>
      <c r="E2722">
        <v>117</v>
      </c>
      <c r="F2722" t="s">
        <v>144</v>
      </c>
      <c r="G2722" t="s">
        <v>562</v>
      </c>
      <c r="H2722">
        <v>29</v>
      </c>
      <c r="I2722" s="11">
        <f>$E2722+0</f>
        <v>117</v>
      </c>
      <c r="J2722" s="12">
        <v>637000</v>
      </c>
      <c r="K2722" s="13">
        <f>$E2722+1</f>
        <v>118</v>
      </c>
      <c r="L2722" s="14">
        <f>IF($J2722=0,0,ROUND(MAX($J2722*1.4,1620000*(1.497923^(MIN($E2722,123)-117)))*1,0))</f>
        <v>1620000</v>
      </c>
      <c r="M2722" s="11">
        <f>$E2722+2</f>
        <v>119</v>
      </c>
      <c r="N2722" s="12">
        <f>IF($J2722=0,0,ROUND(MAX($J2722*1.4*1.5,2190000*(1.580994^(MIN($E2722,123)-117)))*1,0))</f>
        <v>2190000</v>
      </c>
      <c r="O2722" s="13">
        <f>$E2722+4</f>
        <v>121</v>
      </c>
      <c r="P2722" s="14">
        <f>IF($J2722=0,0,ROUND(MAX($J2722*1.4*1.5*1.6,3500000*(1.57975^(MIN($E2722,123)-117)))*1,0))</f>
        <v>3500000</v>
      </c>
      <c r="Q2722" s="11">
        <f>$E2722+6</f>
        <v>123</v>
      </c>
      <c r="R2722" s="12">
        <f>IF($J2722=0,0,ROUND(MAX($J2722*1.4*1.5*1.6*1.6,13100000*(1.429962^(MIN($E2722,123)-117)))*1,0))</f>
        <v>13100000</v>
      </c>
      <c r="S2722" s="13">
        <f>$E2722+8</f>
        <v>125</v>
      </c>
      <c r="T2722" s="14">
        <f>IF($J2722=0,0,ROUND(MAX($J2722*1.4*1.5*1.6*1.6*2.2,42600000*(1.576904^(MIN($E2722,123)-117)))*1,0))</f>
        <v>42600000</v>
      </c>
      <c r="U2722" s="11">
        <f>$E2722+11</f>
        <v>128</v>
      </c>
      <c r="V2722" s="12">
        <f>IF($J2722=0,0,ROUND(MAX($J2722*1.4*1.5*1.6*1.6*2.2*2.715,354000000*(1.642074^(MIN($E2722,123)-117)))*1,0))</f>
        <v>354000000</v>
      </c>
      <c r="W2722" s="13">
        <f>$E2722+15</f>
        <v>132</v>
      </c>
      <c r="X2722" s="14">
        <f>IF($J2722=0,0,ROUND(MAX($J2722*1.4*1.5*1.6*1.6*2.2*2.715*2.6,3540000000*(1.579646^(MIN($E2722,123)-117)))*1,0))</f>
        <v>3540000000</v>
      </c>
      <c r="Y2722" s="11">
        <f>$E2722+17</f>
        <v>134</v>
      </c>
      <c r="Z2722" s="12">
        <f>IF($J2722=0,0,ROUND(MAX($J2722*1.4*1.5*1.6*1.6*2.2*2.715*2.6*1.4,6020000000*(1.651178^(MIN($E2722,123)-117)))*1,0))</f>
        <v>6020000000</v>
      </c>
      <c r="AA2722" s="13">
        <f>$E2722+19</f>
        <v>136</v>
      </c>
      <c r="AB2722" s="14">
        <f>IF($J2722=0,0,ROUND(MAX($J2722*1.4*1.5*1.6*1.6*2.2*2.715*2.6*1.4*1.4,8430000000*(1.651435^(MIN($E2722,123)-117)))*1,0))</f>
        <v>8430000000</v>
      </c>
      <c r="AC2722" s="11">
        <f>$E2722+21</f>
        <v>138</v>
      </c>
      <c r="AD2722" s="12">
        <f>IF($J2722=0,0,ROUND(MAX($J2722*1.4*1.5*1.6*1.6*2.2*2.715*2.6*1.4*1.4*1.5,12600000000*(1.652953^(MIN($E2722,123)-117)))*1,0))</f>
        <v>12600000000</v>
      </c>
      <c r="AE2722" s="13">
        <f>$E2722+24</f>
        <v>141</v>
      </c>
      <c r="AF2722" s="14">
        <f>IF($J2722=0,0,ROUND(MAX($J2722*1.4*1.5*1.6*1.6*2.2*2.715*2.6*1.4*1.4*1.5*1.5,18900000000*(1.65331^(MIN($E2722,123)-117)))*1,0))</f>
        <v>18900000000</v>
      </c>
      <c r="AG2722" s="11">
        <f>$E2722+27</f>
        <v>144</v>
      </c>
      <c r="AH2722" s="12">
        <f>IF($J2722=0,0,ROUND(MAX($J2722*1.4*1.5*1.6*1.6*2.2*2.715*2.6*1.4*1.4*1.5*1.5*3.2,60500000000*(1.654288^(MIN($E2722,123)-117)))*1,0))</f>
        <v>60500000000</v>
      </c>
    </row>
    <row r="2723" ht="28" customHeight="1" spans="1:34" x14ac:dyDescent="0.25">
      <c r="A2723">
        <v>2733</v>
      </c>
      <c r="B2723" t="s">
        <v>557</v>
      </c>
      <c r="C2723" s="10" t="s">
        <v>1593</v>
      </c>
      <c r="D2723" t="s">
        <v>40</v>
      </c>
      <c r="E2723">
        <v>117</v>
      </c>
      <c r="F2723" t="s">
        <v>217</v>
      </c>
      <c r="G2723" t="s">
        <v>562</v>
      </c>
      <c r="H2723">
        <v>29</v>
      </c>
      <c r="I2723" s="11">
        <f>$E2723+0</f>
        <v>117</v>
      </c>
      <c r="J2723" s="12">
        <v>712000</v>
      </c>
      <c r="K2723" s="13">
        <f>$E2723+1</f>
        <v>118</v>
      </c>
      <c r="L2723" s="14">
        <f>IF($J2723=0,0,ROUND(MAX($J2723*1.4,1620000*(1.497923^(MIN($E2723,123)-117)))*1,0))</f>
        <v>1620000</v>
      </c>
      <c r="M2723" s="11">
        <f>$E2723+2</f>
        <v>119</v>
      </c>
      <c r="N2723" s="12">
        <f>IF($J2723=0,0,ROUND(MAX($J2723*1.4*1.5,2190000*(1.580994^(MIN($E2723,123)-117)))*1,0))</f>
        <v>2190000</v>
      </c>
      <c r="O2723" s="13">
        <f>$E2723+4</f>
        <v>121</v>
      </c>
      <c r="P2723" s="14">
        <f>IF($J2723=0,0,ROUND(MAX($J2723*1.4*1.5*1.6,3500000*(1.57975^(MIN($E2723,123)-117)))*1,0))</f>
        <v>3500000</v>
      </c>
      <c r="Q2723" s="11">
        <f>$E2723+6</f>
        <v>123</v>
      </c>
      <c r="R2723" s="12">
        <f>IF($J2723=0,0,ROUND(MAX($J2723*1.4*1.5*1.6*1.6,13100000*(1.429962^(MIN($E2723,123)-117)))*1,0))</f>
        <v>13100000</v>
      </c>
      <c r="S2723" s="13">
        <f>$E2723+8</f>
        <v>125</v>
      </c>
      <c r="T2723" s="14">
        <f>IF($J2723=0,0,ROUND(MAX($J2723*1.4*1.5*1.6*1.6*2.2,42600000*(1.576904^(MIN($E2723,123)-117)))*1,0))</f>
        <v>42600000</v>
      </c>
      <c r="U2723" s="11">
        <f>$E2723+11</f>
        <v>128</v>
      </c>
      <c r="V2723" s="12">
        <f>IF($J2723=0,0,ROUND(MAX($J2723*1.4*1.5*1.6*1.6*2.2*2.715,354000000*(1.642074^(MIN($E2723,123)-117)))*1,0))</f>
        <v>354000000</v>
      </c>
      <c r="W2723" s="13">
        <f>$E2723+15</f>
        <v>132</v>
      </c>
      <c r="X2723" s="14">
        <f>IF($J2723=0,0,ROUND(MAX($J2723*1.4*1.5*1.6*1.6*2.2*2.715*2.6,3540000000*(1.579646^(MIN($E2723,123)-117)))*1,0))</f>
        <v>3540000000</v>
      </c>
      <c r="Y2723" s="11">
        <f>$E2723+17</f>
        <v>134</v>
      </c>
      <c r="Z2723" s="12">
        <f>IF($J2723=0,0,ROUND(MAX($J2723*1.4*1.5*1.6*1.6*2.2*2.715*2.6*1.4,6020000000*(1.651178^(MIN($E2723,123)-117)))*1,0))</f>
        <v>6020000000</v>
      </c>
      <c r="AA2723" s="13">
        <f>$E2723+19</f>
        <v>136</v>
      </c>
      <c r="AB2723" s="14">
        <f>IF($J2723=0,0,ROUND(MAX($J2723*1.4*1.5*1.6*1.6*2.2*2.715*2.6*1.4*1.4,8430000000*(1.651435^(MIN($E2723,123)-117)))*1,0))</f>
        <v>8430000000</v>
      </c>
      <c r="AC2723" s="11">
        <f>$E2723+21</f>
        <v>138</v>
      </c>
      <c r="AD2723" s="12">
        <f>IF($J2723=0,0,ROUND(MAX($J2723*1.4*1.5*1.6*1.6*2.2*2.715*2.6*1.4*1.4*1.5,12600000000*(1.652953^(MIN($E2723,123)-117)))*1,0))</f>
        <v>12600000000</v>
      </c>
      <c r="AE2723" s="13">
        <f>$E2723+24</f>
        <v>141</v>
      </c>
      <c r="AF2723" s="14">
        <f>IF($J2723=0,0,ROUND(MAX($J2723*1.4*1.5*1.6*1.6*2.2*2.715*2.6*1.4*1.4*1.5*1.5,18900000000*(1.65331^(MIN($E2723,123)-117)))*1,0))</f>
        <v>18900000000</v>
      </c>
      <c r="AG2723" s="11">
        <f>$E2723+27</f>
        <v>144</v>
      </c>
      <c r="AH2723" s="12">
        <f>IF($J2723=0,0,ROUND(MAX($J2723*1.4*1.5*1.6*1.6*2.2*2.715*2.6*1.4*1.4*1.5*1.5*3.2,60500000000*(1.654288^(MIN($E2723,123)-117)))*1,0))</f>
        <v>60500000000</v>
      </c>
    </row>
    <row r="2724" ht="28" customHeight="1" spans="1:34" x14ac:dyDescent="0.25">
      <c r="A2724">
        <v>2734</v>
      </c>
      <c r="B2724" t="s">
        <v>140</v>
      </c>
      <c r="C2724" s="10" t="s">
        <v>1593</v>
      </c>
      <c r="D2724" t="s">
        <v>40</v>
      </c>
      <c r="E2724">
        <v>117</v>
      </c>
      <c r="F2724" t="s">
        <v>56</v>
      </c>
      <c r="G2724" t="s">
        <v>562</v>
      </c>
      <c r="H2724">
        <v>29</v>
      </c>
      <c r="I2724" s="11">
        <f>$E2724+0</f>
        <v>117</v>
      </c>
      <c r="J2724" s="12">
        <v>492000</v>
      </c>
      <c r="K2724" s="13">
        <f>$E2724+1</f>
        <v>118</v>
      </c>
      <c r="L2724" s="14">
        <f>IF($J2724=0,0,ROUND(MAX($J2724*1.4,1620000*(1.497923^(MIN($E2724,123)-117)))*1,0))</f>
        <v>1620000</v>
      </c>
      <c r="M2724" s="11">
        <f>$E2724+2</f>
        <v>119</v>
      </c>
      <c r="N2724" s="12">
        <f>IF($J2724=0,0,ROUND(MAX($J2724*1.4*1.5,2190000*(1.580994^(MIN($E2724,123)-117)))*1,0))</f>
        <v>2190000</v>
      </c>
      <c r="O2724" s="13">
        <f>$E2724+4</f>
        <v>121</v>
      </c>
      <c r="P2724" s="14">
        <f>IF($J2724=0,0,ROUND(MAX($J2724*1.4*1.5*1.6,3500000*(1.57975^(MIN($E2724,123)-117)))*1,0))</f>
        <v>3500000</v>
      </c>
      <c r="Q2724" s="11">
        <f>$E2724+6</f>
        <v>123</v>
      </c>
      <c r="R2724" s="12">
        <f>IF($J2724=0,0,ROUND(MAX($J2724*1.4*1.5*1.6*1.6,13100000*(1.429962^(MIN($E2724,123)-117)))*1,0))</f>
        <v>13100000</v>
      </c>
      <c r="S2724" s="13">
        <f>$E2724+8</f>
        <v>125</v>
      </c>
      <c r="T2724" s="14">
        <f>IF($J2724=0,0,ROUND(MAX($J2724*1.4*1.5*1.6*1.6*2.2,42600000*(1.576904^(MIN($E2724,123)-117)))*1,0))</f>
        <v>42600000</v>
      </c>
      <c r="U2724" s="11">
        <f>$E2724+11</f>
        <v>128</v>
      </c>
      <c r="V2724" s="12">
        <f>IF($J2724=0,0,ROUND(MAX($J2724*1.4*1.5*1.6*1.6*2.2*2.715,354000000*(1.642074^(MIN($E2724,123)-117)))*1,0))</f>
        <v>354000000</v>
      </c>
      <c r="W2724" s="13">
        <f>$E2724+15</f>
        <v>132</v>
      </c>
      <c r="X2724" s="14">
        <f>IF($J2724=0,0,ROUND(MAX($J2724*1.4*1.5*1.6*1.6*2.2*2.715*2.6,3540000000*(1.579646^(MIN($E2724,123)-117)))*1,0))</f>
        <v>3540000000</v>
      </c>
      <c r="Y2724" s="11">
        <f>$E2724+17</f>
        <v>134</v>
      </c>
      <c r="Z2724" s="12">
        <f>IF($J2724=0,0,ROUND(MAX($J2724*1.4*1.5*1.6*1.6*2.2*2.715*2.6*1.4,6020000000*(1.651178^(MIN($E2724,123)-117)))*1,0))</f>
        <v>6020000000</v>
      </c>
      <c r="AA2724" s="13">
        <f>$E2724+19</f>
        <v>136</v>
      </c>
      <c r="AB2724" s="14">
        <f>IF($J2724=0,0,ROUND(MAX($J2724*1.4*1.5*1.6*1.6*2.2*2.715*2.6*1.4*1.4,8430000000*(1.651435^(MIN($E2724,123)-117)))*1,0))</f>
        <v>8430000000</v>
      </c>
      <c r="AC2724" s="11">
        <f>$E2724+21</f>
        <v>138</v>
      </c>
      <c r="AD2724" s="12">
        <f>IF($J2724=0,0,ROUND(MAX($J2724*1.4*1.5*1.6*1.6*2.2*2.715*2.6*1.4*1.4*1.5,12600000000*(1.652953^(MIN($E2724,123)-117)))*1,0))</f>
        <v>12600000000</v>
      </c>
      <c r="AE2724" s="13">
        <f>$E2724+24</f>
        <v>141</v>
      </c>
      <c r="AF2724" s="14">
        <f>IF($J2724=0,0,ROUND(MAX($J2724*1.4*1.5*1.6*1.6*2.2*2.715*2.6*1.4*1.4*1.5*1.5,18900000000*(1.65331^(MIN($E2724,123)-117)))*1,0))</f>
        <v>18900000000</v>
      </c>
      <c r="AG2724" s="11">
        <f>$E2724+27</f>
        <v>144</v>
      </c>
      <c r="AH2724" s="12">
        <f>IF($J2724=0,0,ROUND(MAX($J2724*1.4*1.5*1.6*1.6*2.2*2.715*2.6*1.4*1.4*1.5*1.5*3.2,60500000000*(1.654288^(MIN($E2724,123)-117)))*1,0))</f>
        <v>60500000000</v>
      </c>
    </row>
    <row r="2725" ht="28" customHeight="1" spans="1:34" x14ac:dyDescent="0.25">
      <c r="A2725">
        <v>2735</v>
      </c>
      <c r="B2725" t="s">
        <v>606</v>
      </c>
      <c r="C2725" s="10" t="s">
        <v>1593</v>
      </c>
      <c r="D2725" t="s">
        <v>33</v>
      </c>
      <c r="E2725">
        <v>117</v>
      </c>
      <c r="F2725" t="s">
        <v>59</v>
      </c>
      <c r="G2725" t="s">
        <v>562</v>
      </c>
      <c r="H2725">
        <v>29</v>
      </c>
      <c r="I2725" s="11">
        <f>$E2725+0</f>
        <v>117</v>
      </c>
      <c r="J2725" s="12">
        <v>631000</v>
      </c>
      <c r="K2725" s="13">
        <f>$E2725+1</f>
        <v>118</v>
      </c>
      <c r="L2725" s="14">
        <f>IF($J2725=0,0,ROUND(MAX($J2725*1.4,1620000*(1.497923^(MIN($E2725,123)-117)))*1,0))</f>
        <v>1620000</v>
      </c>
      <c r="M2725" s="11">
        <f>$E2725+2</f>
        <v>119</v>
      </c>
      <c r="N2725" s="12">
        <f>IF($J2725=0,0,ROUND(MAX($J2725*1.4*1.5,2190000*(1.580994^(MIN($E2725,123)-117)))*1,0))</f>
        <v>2190000</v>
      </c>
      <c r="O2725" s="13">
        <f>$E2725+4</f>
        <v>121</v>
      </c>
      <c r="P2725" s="14">
        <f>IF($J2725=0,0,ROUND(MAX($J2725*1.4*1.5*1.6,3500000*(1.57975^(MIN($E2725,123)-117)))*1,0))</f>
        <v>3500000</v>
      </c>
      <c r="Q2725" s="11">
        <f>$E2725+6</f>
        <v>123</v>
      </c>
      <c r="R2725" s="12">
        <f>IF($J2725=0,0,ROUND(MAX($J2725*1.4*1.5*1.6*1.6,13100000*(1.429962^(MIN($E2725,123)-117)))*1,0))</f>
        <v>13100000</v>
      </c>
      <c r="S2725" s="13">
        <f>$E2725+8</f>
        <v>125</v>
      </c>
      <c r="T2725" s="14">
        <f>IF($J2725=0,0,ROUND(MAX($J2725*1.4*1.5*1.6*1.6*2.2,42600000*(1.576904^(MIN($E2725,123)-117)))*1,0))</f>
        <v>42600000</v>
      </c>
      <c r="U2725" s="11">
        <f>$E2725+11</f>
        <v>128</v>
      </c>
      <c r="V2725" s="12">
        <f>IF($J2725=0,0,ROUND(MAX($J2725*1.4*1.5*1.6*1.6*2.2*2.715,354000000*(1.642074^(MIN($E2725,123)-117)))*1,0))</f>
        <v>354000000</v>
      </c>
      <c r="W2725" s="13">
        <f>$E2725+15</f>
        <v>132</v>
      </c>
      <c r="X2725" s="14">
        <f>IF($J2725=0,0,ROUND(MAX($J2725*1.4*1.5*1.6*1.6*2.2*2.715*2.6,3540000000*(1.579646^(MIN($E2725,123)-117)))*1,0))</f>
        <v>3540000000</v>
      </c>
      <c r="Y2725" s="11">
        <f>$E2725+17</f>
        <v>134</v>
      </c>
      <c r="Z2725" s="12">
        <f>IF($J2725=0,0,ROUND(MAX($J2725*1.4*1.5*1.6*1.6*2.2*2.715*2.6*1.4,6020000000*(1.651178^(MIN($E2725,123)-117)))*1,0))</f>
        <v>6020000000</v>
      </c>
      <c r="AA2725" s="13">
        <f>$E2725+19</f>
        <v>136</v>
      </c>
      <c r="AB2725" s="14">
        <f>IF($J2725=0,0,ROUND(MAX($J2725*1.4*1.5*1.6*1.6*2.2*2.715*2.6*1.4*1.4,8430000000*(1.651435^(MIN($E2725,123)-117)))*1,0))</f>
        <v>8430000000</v>
      </c>
      <c r="AC2725" s="11">
        <f>$E2725+21</f>
        <v>138</v>
      </c>
      <c r="AD2725" s="12">
        <f>IF($J2725=0,0,ROUND(MAX($J2725*1.4*1.5*1.6*1.6*2.2*2.715*2.6*1.4*1.4*1.5,12600000000*(1.652953^(MIN($E2725,123)-117)))*1,0))</f>
        <v>12600000000</v>
      </c>
      <c r="AE2725" s="13">
        <f>$E2725+24</f>
        <v>141</v>
      </c>
      <c r="AF2725" s="14">
        <f>IF($J2725=0,0,ROUND(MAX($J2725*1.4*1.5*1.6*1.6*2.2*2.715*2.6*1.4*1.4*1.5*1.5,18900000000*(1.65331^(MIN($E2725,123)-117)))*1,0))</f>
        <v>18900000000</v>
      </c>
      <c r="AG2725" s="11">
        <f>$E2725+27</f>
        <v>144</v>
      </c>
      <c r="AH2725" s="12">
        <f>IF($J2725=0,0,ROUND(MAX($J2725*1.4*1.5*1.6*1.6*2.2*2.715*2.6*1.4*1.4*1.5*1.5*3.2,60500000000*(1.654288^(MIN($E2725,123)-117)))*1,0))</f>
        <v>60500000000</v>
      </c>
    </row>
    <row r="2726" ht="28" customHeight="1" spans="1:34" x14ac:dyDescent="0.25">
      <c r="A2726">
        <v>2736</v>
      </c>
      <c r="B2726" t="s">
        <v>137</v>
      </c>
      <c r="C2726" s="10" t="s">
        <v>1593</v>
      </c>
      <c r="D2726" t="s">
        <v>33</v>
      </c>
      <c r="E2726">
        <v>117</v>
      </c>
      <c r="F2726" t="s">
        <v>54</v>
      </c>
      <c r="G2726" t="s">
        <v>562</v>
      </c>
      <c r="H2726">
        <v>29</v>
      </c>
      <c r="I2726" s="11">
        <f>$E2726+0</f>
        <v>117</v>
      </c>
      <c r="J2726" s="12">
        <v>538000</v>
      </c>
      <c r="K2726" s="13">
        <f>$E2726+1</f>
        <v>118</v>
      </c>
      <c r="L2726" s="14">
        <f>IF($J2726=0,0,ROUND(MAX($J2726*1.4,1620000*(1.497923^(MIN($E2726,123)-117)))*1,0))</f>
        <v>1620000</v>
      </c>
      <c r="M2726" s="11">
        <f>$E2726+2</f>
        <v>119</v>
      </c>
      <c r="N2726" s="12">
        <f>IF($J2726=0,0,ROUND(MAX($J2726*1.4*1.5,2190000*(1.580994^(MIN($E2726,123)-117)))*1,0))</f>
        <v>2190000</v>
      </c>
      <c r="O2726" s="13">
        <f>$E2726+4</f>
        <v>121</v>
      </c>
      <c r="P2726" s="14">
        <f>IF($J2726=0,0,ROUND(MAX($J2726*1.4*1.5*1.6,3500000*(1.57975^(MIN($E2726,123)-117)))*1,0))</f>
        <v>3500000</v>
      </c>
      <c r="Q2726" s="11">
        <f>$E2726+6</f>
        <v>123</v>
      </c>
      <c r="R2726" s="12">
        <f>IF($J2726=0,0,ROUND(MAX($J2726*1.4*1.5*1.6*1.6,13100000*(1.429962^(MIN($E2726,123)-117)))*1,0))</f>
        <v>13100000</v>
      </c>
      <c r="S2726" s="13">
        <f>$E2726+8</f>
        <v>125</v>
      </c>
      <c r="T2726" s="14">
        <f>IF($J2726=0,0,ROUND(MAX($J2726*1.4*1.5*1.6*1.6*2.2,42600000*(1.576904^(MIN($E2726,123)-117)))*1,0))</f>
        <v>42600000</v>
      </c>
      <c r="U2726" s="11">
        <f>$E2726+11</f>
        <v>128</v>
      </c>
      <c r="V2726" s="12">
        <f>IF($J2726=0,0,ROUND(MAX($J2726*1.4*1.5*1.6*1.6*2.2*2.715,354000000*(1.642074^(MIN($E2726,123)-117)))*1,0))</f>
        <v>354000000</v>
      </c>
      <c r="W2726" s="13">
        <f>$E2726+15</f>
        <v>132</v>
      </c>
      <c r="X2726" s="14">
        <f>IF($J2726=0,0,ROUND(MAX($J2726*1.4*1.5*1.6*1.6*2.2*2.715*2.6,3540000000*(1.579646^(MIN($E2726,123)-117)))*1,0))</f>
        <v>3540000000</v>
      </c>
      <c r="Y2726" s="11">
        <f>$E2726+17</f>
        <v>134</v>
      </c>
      <c r="Z2726" s="12">
        <f>IF($J2726=0,0,ROUND(MAX($J2726*1.4*1.5*1.6*1.6*2.2*2.715*2.6*1.4,6020000000*(1.651178^(MIN($E2726,123)-117)))*1,0))</f>
        <v>6020000000</v>
      </c>
      <c r="AA2726" s="13">
        <f>$E2726+19</f>
        <v>136</v>
      </c>
      <c r="AB2726" s="14">
        <f>IF($J2726=0,0,ROUND(MAX($J2726*1.4*1.5*1.6*1.6*2.2*2.715*2.6*1.4*1.4,8430000000*(1.651435^(MIN($E2726,123)-117)))*1,0))</f>
        <v>8430000000</v>
      </c>
      <c r="AC2726" s="11">
        <f>$E2726+21</f>
        <v>138</v>
      </c>
      <c r="AD2726" s="12">
        <f>IF($J2726=0,0,ROUND(MAX($J2726*1.4*1.5*1.6*1.6*2.2*2.715*2.6*1.4*1.4*1.5,12600000000*(1.652953^(MIN($E2726,123)-117)))*1,0))</f>
        <v>12600000000</v>
      </c>
      <c r="AE2726" s="13">
        <f>$E2726+24</f>
        <v>141</v>
      </c>
      <c r="AF2726" s="14">
        <f>IF($J2726=0,0,ROUND(MAX($J2726*1.4*1.5*1.6*1.6*2.2*2.715*2.6*1.4*1.4*1.5*1.5,18900000000*(1.65331^(MIN($E2726,123)-117)))*1,0))</f>
        <v>18900000000</v>
      </c>
      <c r="AG2726" s="11">
        <f>$E2726+27</f>
        <v>144</v>
      </c>
      <c r="AH2726" s="12">
        <f>IF($J2726=0,0,ROUND(MAX($J2726*1.4*1.5*1.6*1.6*2.2*2.715*2.6*1.4*1.4*1.5*1.5*3.2,60500000000*(1.654288^(MIN($E2726,123)-117)))*1,0))</f>
        <v>60500000000</v>
      </c>
    </row>
    <row r="2727" ht="28" customHeight="1" spans="1:34" x14ac:dyDescent="0.25">
      <c r="A2727">
        <v>2737</v>
      </c>
      <c r="B2727" t="s">
        <v>202</v>
      </c>
      <c r="C2727" s="10" t="s">
        <v>1593</v>
      </c>
      <c r="D2727" t="s">
        <v>29</v>
      </c>
      <c r="E2727">
        <v>117</v>
      </c>
      <c r="F2727" t="s">
        <v>62</v>
      </c>
      <c r="G2727" t="s">
        <v>562</v>
      </c>
      <c r="H2727">
        <v>29</v>
      </c>
      <c r="I2727" s="11">
        <f>$E2727+0</f>
        <v>117</v>
      </c>
      <c r="J2727" s="12">
        <v>595000</v>
      </c>
      <c r="K2727" s="13">
        <f>$E2727+1</f>
        <v>118</v>
      </c>
      <c r="L2727" s="14">
        <f>IF($J2727=0,0,ROUND(MAX($J2727*1.4,1620000*(1.497923^(MIN($E2727,123)-117)))*1,0))</f>
        <v>1620000</v>
      </c>
      <c r="M2727" s="11">
        <f>$E2727+2</f>
        <v>119</v>
      </c>
      <c r="N2727" s="12">
        <f>IF($J2727=0,0,ROUND(MAX($J2727*1.4*1.5,2190000*(1.580994^(MIN($E2727,123)-117)))*1,0))</f>
        <v>2190000</v>
      </c>
      <c r="O2727" s="13">
        <f>$E2727+4</f>
        <v>121</v>
      </c>
      <c r="P2727" s="14">
        <f>IF($J2727=0,0,ROUND(MAX($J2727*1.4*1.5*1.6,3500000*(1.57975^(MIN($E2727,123)-117)))*1,0))</f>
        <v>3500000</v>
      </c>
      <c r="Q2727" s="11">
        <f>$E2727+6</f>
        <v>123</v>
      </c>
      <c r="R2727" s="12">
        <f>IF($J2727=0,0,ROUND(MAX($J2727*1.4*1.5*1.6*1.6,13100000*(1.429962^(MIN($E2727,123)-117)))*1,0))</f>
        <v>13100000</v>
      </c>
      <c r="S2727" s="13">
        <f>$E2727+8</f>
        <v>125</v>
      </c>
      <c r="T2727" s="14">
        <f>IF($J2727=0,0,ROUND(MAX($J2727*1.4*1.5*1.6*1.6*2.2,42600000*(1.576904^(MIN($E2727,123)-117)))*1,0))</f>
        <v>42600000</v>
      </c>
      <c r="U2727" s="11">
        <f>$E2727+11</f>
        <v>128</v>
      </c>
      <c r="V2727" s="12">
        <f>IF($J2727=0,0,ROUND(MAX($J2727*1.4*1.5*1.6*1.6*2.2*2.715,354000000*(1.642074^(MIN($E2727,123)-117)))*1,0))</f>
        <v>354000000</v>
      </c>
      <c r="W2727" s="13">
        <f>$E2727+15</f>
        <v>132</v>
      </c>
      <c r="X2727" s="14">
        <f>IF($J2727=0,0,ROUND(MAX($J2727*1.4*1.5*1.6*1.6*2.2*2.715*2.6,3540000000*(1.579646^(MIN($E2727,123)-117)))*1,0))</f>
        <v>3540000000</v>
      </c>
      <c r="Y2727" s="11">
        <f>$E2727+17</f>
        <v>134</v>
      </c>
      <c r="Z2727" s="12">
        <f>IF($J2727=0,0,ROUND(MAX($J2727*1.4*1.5*1.6*1.6*2.2*2.715*2.6*1.4,6020000000*(1.651178^(MIN($E2727,123)-117)))*1,0))</f>
        <v>6020000000</v>
      </c>
      <c r="AA2727" s="13">
        <f>$E2727+19</f>
        <v>136</v>
      </c>
      <c r="AB2727" s="14">
        <f>IF($J2727=0,0,ROUND(MAX($J2727*1.4*1.5*1.6*1.6*2.2*2.715*2.6*1.4*1.4,8430000000*(1.651435^(MIN($E2727,123)-117)))*1,0))</f>
        <v>8430000000</v>
      </c>
      <c r="AC2727" s="11">
        <f>$E2727+21</f>
        <v>138</v>
      </c>
      <c r="AD2727" s="12">
        <f>IF($J2727=0,0,ROUND(MAX($J2727*1.4*1.5*1.6*1.6*2.2*2.715*2.6*1.4*1.4*1.5,12600000000*(1.652953^(MIN($E2727,123)-117)))*1,0))</f>
        <v>12600000000</v>
      </c>
      <c r="AE2727" s="13">
        <f>$E2727+24</f>
        <v>141</v>
      </c>
      <c r="AF2727" s="14">
        <f>IF($J2727=0,0,ROUND(MAX($J2727*1.4*1.5*1.6*1.6*2.2*2.715*2.6*1.4*1.4*1.5*1.5,18900000000*(1.65331^(MIN($E2727,123)-117)))*1,0))</f>
        <v>18900000000</v>
      </c>
      <c r="AG2727" s="11">
        <f>$E2727+27</f>
        <v>144</v>
      </c>
      <c r="AH2727" s="12">
        <f>IF($J2727=0,0,ROUND(MAX($J2727*1.4*1.5*1.6*1.6*2.2*2.715*2.6*1.4*1.4*1.5*1.5*3.2,60500000000*(1.654288^(MIN($E2727,123)-117)))*1,0))</f>
        <v>60500000000</v>
      </c>
    </row>
    <row r="2728" ht="28" customHeight="1" spans="1:34" x14ac:dyDescent="0.25">
      <c r="A2728">
        <v>2738</v>
      </c>
      <c r="B2728" t="s">
        <v>100</v>
      </c>
      <c r="C2728" s="10" t="s">
        <v>1593</v>
      </c>
      <c r="D2728" t="s">
        <v>33</v>
      </c>
      <c r="E2728">
        <v>117</v>
      </c>
      <c r="F2728" t="s">
        <v>62</v>
      </c>
      <c r="G2728" t="s">
        <v>562</v>
      </c>
      <c r="H2728">
        <v>29</v>
      </c>
      <c r="I2728" s="11">
        <f>$E2728+0</f>
        <v>117</v>
      </c>
      <c r="J2728" s="12">
        <v>568000</v>
      </c>
      <c r="K2728" s="13">
        <f>$E2728+1</f>
        <v>118</v>
      </c>
      <c r="L2728" s="14">
        <f>IF($J2728=0,0,ROUND(MAX($J2728*1.4,1620000*(1.497923^(MIN($E2728,123)-117)))*1,0))</f>
        <v>1620000</v>
      </c>
      <c r="M2728" s="11">
        <f>$E2728+2</f>
        <v>119</v>
      </c>
      <c r="N2728" s="12">
        <f>IF($J2728=0,0,ROUND(MAX($J2728*1.4*1.5,2190000*(1.580994^(MIN($E2728,123)-117)))*1,0))</f>
        <v>2190000</v>
      </c>
      <c r="O2728" s="13">
        <f>$E2728+4</f>
        <v>121</v>
      </c>
      <c r="P2728" s="14">
        <f>IF($J2728=0,0,ROUND(MAX($J2728*1.4*1.5*1.6,3500000*(1.57975^(MIN($E2728,123)-117)))*1,0))</f>
        <v>3500000</v>
      </c>
      <c r="Q2728" s="11">
        <f>$E2728+6</f>
        <v>123</v>
      </c>
      <c r="R2728" s="12">
        <f>IF($J2728=0,0,ROUND(MAX($J2728*1.4*1.5*1.6*1.6,13100000*(1.429962^(MIN($E2728,123)-117)))*1,0))</f>
        <v>13100000</v>
      </c>
      <c r="S2728" s="13">
        <f>$E2728+8</f>
        <v>125</v>
      </c>
      <c r="T2728" s="14">
        <f>IF($J2728=0,0,ROUND(MAX($J2728*1.4*1.5*1.6*1.6*2.2,42600000*(1.576904^(MIN($E2728,123)-117)))*1,0))</f>
        <v>42600000</v>
      </c>
      <c r="U2728" s="11">
        <f>$E2728+11</f>
        <v>128</v>
      </c>
      <c r="V2728" s="12">
        <f>IF($J2728=0,0,ROUND(MAX($J2728*1.4*1.5*1.6*1.6*2.2*2.715,354000000*(1.642074^(MIN($E2728,123)-117)))*1,0))</f>
        <v>354000000</v>
      </c>
      <c r="W2728" s="13">
        <f>$E2728+15</f>
        <v>132</v>
      </c>
      <c r="X2728" s="14">
        <f>IF($J2728=0,0,ROUND(MAX($J2728*1.4*1.5*1.6*1.6*2.2*2.715*2.6,3540000000*(1.579646^(MIN($E2728,123)-117)))*1,0))</f>
        <v>3540000000</v>
      </c>
      <c r="Y2728" s="11">
        <f>$E2728+17</f>
        <v>134</v>
      </c>
      <c r="Z2728" s="12">
        <f>IF($J2728=0,0,ROUND(MAX($J2728*1.4*1.5*1.6*1.6*2.2*2.715*2.6*1.4,6020000000*(1.651178^(MIN($E2728,123)-117)))*1,0))</f>
        <v>6020000000</v>
      </c>
      <c r="AA2728" s="13">
        <f>$E2728+19</f>
        <v>136</v>
      </c>
      <c r="AB2728" s="14">
        <f>IF($J2728=0,0,ROUND(MAX($J2728*1.4*1.5*1.6*1.6*2.2*2.715*2.6*1.4*1.4,8430000000*(1.651435^(MIN($E2728,123)-117)))*1,0))</f>
        <v>8430000000</v>
      </c>
      <c r="AC2728" s="11">
        <f>$E2728+21</f>
        <v>138</v>
      </c>
      <c r="AD2728" s="12">
        <f>IF($J2728=0,0,ROUND(MAX($J2728*1.4*1.5*1.6*1.6*2.2*2.715*2.6*1.4*1.4*1.5,12600000000*(1.652953^(MIN($E2728,123)-117)))*1,0))</f>
        <v>12600000000</v>
      </c>
      <c r="AE2728" s="13">
        <f>$E2728+24</f>
        <v>141</v>
      </c>
      <c r="AF2728" s="14">
        <f>IF($J2728=0,0,ROUND(MAX($J2728*1.4*1.5*1.6*1.6*2.2*2.715*2.6*1.4*1.4*1.5*1.5,18900000000*(1.65331^(MIN($E2728,123)-117)))*1,0))</f>
        <v>18900000000</v>
      </c>
      <c r="AG2728" s="11">
        <f>$E2728+27</f>
        <v>144</v>
      </c>
      <c r="AH2728" s="12">
        <f>IF($J2728=0,0,ROUND(MAX($J2728*1.4*1.5*1.6*1.6*2.2*2.715*2.6*1.4*1.4*1.5*1.5*3.2,60500000000*(1.654288^(MIN($E2728,123)-117)))*1,0))</f>
        <v>60500000000</v>
      </c>
    </row>
    <row r="2729" ht="28" customHeight="1" spans="1:34" x14ac:dyDescent="0.25">
      <c r="A2729">
        <v>2739</v>
      </c>
      <c r="B2729" t="s">
        <v>83</v>
      </c>
      <c r="C2729" s="10" t="s">
        <v>1593</v>
      </c>
      <c r="D2729" t="s">
        <v>33</v>
      </c>
      <c r="E2729">
        <v>117</v>
      </c>
      <c r="F2729" t="s">
        <v>62</v>
      </c>
      <c r="G2729" t="s">
        <v>562</v>
      </c>
      <c r="H2729">
        <v>29</v>
      </c>
      <c r="I2729" s="11">
        <f>$E2729+0</f>
        <v>117</v>
      </c>
      <c r="J2729" s="12">
        <v>574000</v>
      </c>
      <c r="K2729" s="13">
        <f>$E2729+1</f>
        <v>118</v>
      </c>
      <c r="L2729" s="14">
        <f>IF($J2729=0,0,ROUND(MAX($J2729*1.4,1620000*(1.497923^(MIN($E2729,123)-117)))*1,0))</f>
        <v>1620000</v>
      </c>
      <c r="M2729" s="11">
        <f>$E2729+2</f>
        <v>119</v>
      </c>
      <c r="N2729" s="12">
        <f>IF($J2729=0,0,ROUND(MAX($J2729*1.4*1.5,2190000*(1.580994^(MIN($E2729,123)-117)))*1,0))</f>
        <v>2190000</v>
      </c>
      <c r="O2729" s="13">
        <f>$E2729+4</f>
        <v>121</v>
      </c>
      <c r="P2729" s="14">
        <f>IF($J2729=0,0,ROUND(MAX($J2729*1.4*1.5*1.6,3500000*(1.57975^(MIN($E2729,123)-117)))*1,0))</f>
        <v>3500000</v>
      </c>
      <c r="Q2729" s="11">
        <f>$E2729+6</f>
        <v>123</v>
      </c>
      <c r="R2729" s="12">
        <f>IF($J2729=0,0,ROUND(MAX($J2729*1.4*1.5*1.6*1.6,13100000*(1.429962^(MIN($E2729,123)-117)))*1,0))</f>
        <v>13100000</v>
      </c>
      <c r="S2729" s="13">
        <f>$E2729+8</f>
        <v>125</v>
      </c>
      <c r="T2729" s="14">
        <f>IF($J2729=0,0,ROUND(MAX($J2729*1.4*1.5*1.6*1.6*2.2,42600000*(1.576904^(MIN($E2729,123)-117)))*1,0))</f>
        <v>42600000</v>
      </c>
      <c r="U2729" s="11">
        <f>$E2729+11</f>
        <v>128</v>
      </c>
      <c r="V2729" s="12">
        <f>IF($J2729=0,0,ROUND(MAX($J2729*1.4*1.5*1.6*1.6*2.2*2.715,354000000*(1.642074^(MIN($E2729,123)-117)))*1,0))</f>
        <v>354000000</v>
      </c>
      <c r="W2729" s="13">
        <f>$E2729+15</f>
        <v>132</v>
      </c>
      <c r="X2729" s="14">
        <f>IF($J2729=0,0,ROUND(MAX($J2729*1.4*1.5*1.6*1.6*2.2*2.715*2.6,3540000000*(1.579646^(MIN($E2729,123)-117)))*1,0))</f>
        <v>3540000000</v>
      </c>
      <c r="Y2729" s="11">
        <f>$E2729+17</f>
        <v>134</v>
      </c>
      <c r="Z2729" s="12">
        <f>IF($J2729=0,0,ROUND(MAX($J2729*1.4*1.5*1.6*1.6*2.2*2.715*2.6*1.4,6020000000*(1.651178^(MIN($E2729,123)-117)))*1,0))</f>
        <v>6020000000</v>
      </c>
      <c r="AA2729" s="13">
        <f>$E2729+19</f>
        <v>136</v>
      </c>
      <c r="AB2729" s="14">
        <f>IF($J2729=0,0,ROUND(MAX($J2729*1.4*1.5*1.6*1.6*2.2*2.715*2.6*1.4*1.4,8430000000*(1.651435^(MIN($E2729,123)-117)))*1,0))</f>
        <v>8430000000</v>
      </c>
      <c r="AC2729" s="11">
        <f>$E2729+21</f>
        <v>138</v>
      </c>
      <c r="AD2729" s="12">
        <f>IF($J2729=0,0,ROUND(MAX($J2729*1.4*1.5*1.6*1.6*2.2*2.715*2.6*1.4*1.4*1.5,12600000000*(1.652953^(MIN($E2729,123)-117)))*1,0))</f>
        <v>12600000000</v>
      </c>
      <c r="AE2729" s="13">
        <f>$E2729+24</f>
        <v>141</v>
      </c>
      <c r="AF2729" s="14">
        <f>IF($J2729=0,0,ROUND(MAX($J2729*1.4*1.5*1.6*1.6*2.2*2.715*2.6*1.4*1.4*1.5*1.5,18900000000*(1.65331^(MIN($E2729,123)-117)))*1,0))</f>
        <v>18900000000</v>
      </c>
      <c r="AG2729" s="11">
        <f>$E2729+27</f>
        <v>144</v>
      </c>
      <c r="AH2729" s="12">
        <f>IF($J2729=0,0,ROUND(MAX($J2729*1.4*1.5*1.6*1.6*2.2*2.715*2.6*1.4*1.4*1.5*1.5*3.2,60500000000*(1.654288^(MIN($E2729,123)-117)))*1,0))</f>
        <v>60500000000</v>
      </c>
    </row>
    <row r="2730" ht="28" customHeight="1" spans="1:34" x14ac:dyDescent="0.25">
      <c r="A2730">
        <v>2740</v>
      </c>
      <c r="B2730" t="s">
        <v>1586</v>
      </c>
      <c r="C2730" s="10" t="s">
        <v>1593</v>
      </c>
      <c r="D2730" t="s">
        <v>40</v>
      </c>
      <c r="E2730">
        <v>117</v>
      </c>
      <c r="F2730" t="s">
        <v>303</v>
      </c>
      <c r="G2730" t="s">
        <v>784</v>
      </c>
      <c r="H2730">
        <v>28</v>
      </c>
      <c r="I2730" s="11">
        <f>$E2730+0</f>
        <v>117</v>
      </c>
      <c r="J2730" s="12">
        <v>578000</v>
      </c>
      <c r="K2730" s="13">
        <f>$E2730+1</f>
        <v>118</v>
      </c>
      <c r="L2730" s="14">
        <f>IF($J2730=0,0,ROUND(MAX($J2730*1.4,1620000*(1.497923^(MIN($E2730,123)-117)))*1,0))</f>
        <v>1620000</v>
      </c>
      <c r="M2730" s="11">
        <f>$E2730+2</f>
        <v>119</v>
      </c>
      <c r="N2730" s="12">
        <f>IF($J2730=0,0,ROUND(MAX($J2730*1.4*1.5,2190000*(1.580994^(MIN($E2730,123)-117)))*1,0))</f>
        <v>2190000</v>
      </c>
      <c r="O2730" s="13">
        <f>$E2730+4</f>
        <v>121</v>
      </c>
      <c r="P2730" s="14">
        <f>IF($J2730=0,0,ROUND(MAX($J2730*1.4*1.5*1.6,3500000*(1.57975^(MIN($E2730,123)-117)))*1,0))</f>
        <v>3500000</v>
      </c>
      <c r="Q2730" s="11">
        <f>$E2730+6</f>
        <v>123</v>
      </c>
      <c r="R2730" s="12">
        <f>IF($J2730=0,0,ROUND(MAX($J2730*1.4*1.5*1.6*1.6,13100000*(1.429962^(MIN($E2730,123)-117)))*1,0))</f>
        <v>13100000</v>
      </c>
      <c r="S2730" s="13">
        <f>$E2730+8</f>
        <v>125</v>
      </c>
      <c r="T2730" s="14">
        <f>IF($J2730=0,0,ROUND(MAX($J2730*1.4*1.5*1.6*1.6*2.2,42600000*(1.576904^(MIN($E2730,123)-117)))*1,0))</f>
        <v>42600000</v>
      </c>
      <c r="U2730" s="11">
        <f>$E2730+11</f>
        <v>128</v>
      </c>
      <c r="V2730" s="12">
        <f>IF($J2730=0,0,ROUND(MAX($J2730*1.4*1.5*1.6*1.6*2.2*2.715,354000000*(1.642074^(MIN($E2730,123)-117)))*1,0))</f>
        <v>354000000</v>
      </c>
      <c r="W2730" s="13">
        <f>$E2730+15</f>
        <v>132</v>
      </c>
      <c r="X2730" s="14">
        <f>IF($J2730=0,0,ROUND(MAX($J2730*1.4*1.5*1.6*1.6*2.2*2.715*2.6,3540000000*(1.579646^(MIN($E2730,123)-117)))*1,0))</f>
        <v>3540000000</v>
      </c>
      <c r="Y2730" s="11">
        <f>$E2730+17</f>
        <v>134</v>
      </c>
      <c r="Z2730" s="12">
        <f>IF($J2730=0,0,ROUND(MAX($J2730*1.4*1.5*1.6*1.6*2.2*2.715*2.6*1.4,6020000000*(1.651178^(MIN($E2730,123)-117)))*1,0))</f>
        <v>6020000000</v>
      </c>
      <c r="AA2730" s="13">
        <f>$E2730+19</f>
        <v>136</v>
      </c>
      <c r="AB2730" s="14">
        <f>IF($J2730=0,0,ROUND(MAX($J2730*1.4*1.5*1.6*1.6*2.2*2.715*2.6*1.4*1.4,8430000000*(1.651435^(MIN($E2730,123)-117)))*1,0))</f>
        <v>8430000000</v>
      </c>
      <c r="AC2730" s="11">
        <f>$E2730+21</f>
        <v>138</v>
      </c>
      <c r="AD2730" s="12">
        <f>IF($J2730=0,0,ROUND(MAX($J2730*1.4*1.5*1.6*1.6*2.2*2.715*2.6*1.4*1.4*1.5,12600000000*(1.652953^(MIN($E2730,123)-117)))*1,0))</f>
        <v>12600000000</v>
      </c>
      <c r="AE2730" s="13">
        <f>$E2730+24</f>
        <v>141</v>
      </c>
      <c r="AF2730" s="14">
        <f>IF($J2730=0,0,ROUND(MAX($J2730*1.4*1.5*1.6*1.6*2.2*2.715*2.6*1.4*1.4*1.5*1.5,18900000000*(1.65331^(MIN($E2730,123)-117)))*1,0))</f>
        <v>18900000000</v>
      </c>
      <c r="AG2730" s="11">
        <f>$E2730+27</f>
        <v>144</v>
      </c>
      <c r="AH2730" s="12">
        <f>IF($J2730=0,0,ROUND(MAX($J2730*1.4*1.5*1.6*1.6*2.2*2.715*2.6*1.4*1.4*1.5*1.5*3.2,60500000000*(1.654288^(MIN($E2730,123)-117)))*1,0))</f>
        <v>60500000000</v>
      </c>
    </row>
    <row r="2731" ht="28" customHeight="1" spans="1:34" x14ac:dyDescent="0.25">
      <c r="A2731">
        <v>2741</v>
      </c>
      <c r="B2731" t="s">
        <v>1051</v>
      </c>
      <c r="C2731" s="10" t="s">
        <v>1593</v>
      </c>
      <c r="D2731" t="s">
        <v>45</v>
      </c>
      <c r="E2731">
        <v>117</v>
      </c>
      <c r="F2731" t="s">
        <v>71</v>
      </c>
      <c r="G2731" t="s">
        <v>213</v>
      </c>
      <c r="H2731">
        <v>28</v>
      </c>
      <c r="I2731" s="11">
        <f>$E2731+0</f>
        <v>117</v>
      </c>
      <c r="J2731" s="12">
        <v>33600000</v>
      </c>
      <c r="K2731" s="13">
        <f>$E2731+1</f>
        <v>118</v>
      </c>
      <c r="L2731" s="14">
        <f>IF($J2731=0,0,ROUND(MAX($J2731*1.4,1620000*(1.497923^(MIN($E2731,123)-117)))*1,0))</f>
        <v>47040000</v>
      </c>
      <c r="M2731" s="11">
        <f>$E2731+2</f>
        <v>119</v>
      </c>
      <c r="N2731" s="12">
        <f>IF($J2731=0,0,ROUND(MAX($J2731*1.4*1.5,2190000*(1.580994^(MIN($E2731,123)-117)))*1,0))</f>
        <v>70560000</v>
      </c>
      <c r="O2731" s="13">
        <f>$E2731+4</f>
        <v>121</v>
      </c>
      <c r="P2731" s="14">
        <f>IF($J2731=0,0,ROUND(MAX($J2731*1.4*1.5*1.6,3500000*(1.57975^(MIN($E2731,123)-117)))*1,0))</f>
        <v>112896000</v>
      </c>
      <c r="Q2731" s="11">
        <f>$E2731+6</f>
        <v>123</v>
      </c>
      <c r="R2731" s="12">
        <f>IF($J2731=0,0,ROUND(MAX($J2731*1.4*1.5*1.6*1.6,13100000*(1.429962^(MIN($E2731,123)-117)))*1,0))</f>
        <v>180633600</v>
      </c>
      <c r="S2731" s="13">
        <f>$E2731+8</f>
        <v>125</v>
      </c>
      <c r="T2731" s="14">
        <f>IF($J2731=0,0,ROUND(MAX($J2731*1.4*1.5*1.6*1.6*2.2,42600000*(1.576904^(MIN($E2731,123)-117)))*1,0))</f>
        <v>397393920</v>
      </c>
      <c r="U2731" s="11">
        <f>$E2731+11</f>
        <v>128</v>
      </c>
      <c r="V2731" s="12">
        <f>IF($J2731=0,0,ROUND(MAX($J2731*1.4*1.5*1.6*1.6*2.2*2.715,354000000*(1.642074^(MIN($E2731,123)-117)))*1,0))</f>
        <v>1078924493</v>
      </c>
      <c r="W2731" s="13">
        <f>$E2731+15</f>
        <v>132</v>
      </c>
      <c r="X2731" s="14">
        <f>IF($J2731=0,0,ROUND(MAX($J2731*1.4*1.5*1.6*1.6*2.2*2.715*2.6,3540000000*(1.579646^(MIN($E2731,123)-117)))*1,0))</f>
        <v>3540000000</v>
      </c>
      <c r="Y2731" s="11">
        <f>$E2731+17</f>
        <v>134</v>
      </c>
      <c r="Z2731" s="12">
        <f>IF($J2731=0,0,ROUND(MAX($J2731*1.4*1.5*1.6*1.6*2.2*2.715*2.6*1.4,6020000000*(1.651178^(MIN($E2731,123)-117)))*1,0))</f>
        <v>6020000000</v>
      </c>
      <c r="AA2731" s="13">
        <f>$E2731+19</f>
        <v>136</v>
      </c>
      <c r="AB2731" s="14">
        <f>IF($J2731=0,0,ROUND(MAX($J2731*1.4*1.5*1.6*1.6*2.2*2.715*2.6*1.4*1.4,8430000000*(1.651435^(MIN($E2731,123)-117)))*1,0))</f>
        <v>8430000000</v>
      </c>
      <c r="AC2731" s="11">
        <f>$E2731+21</f>
        <v>138</v>
      </c>
      <c r="AD2731" s="12">
        <f>IF($J2731=0,0,ROUND(MAX($J2731*1.4*1.5*1.6*1.6*2.2*2.715*2.6*1.4*1.4*1.5,12600000000*(1.652953^(MIN($E2731,123)-117)))*1,0))</f>
        <v>12600000000</v>
      </c>
      <c r="AE2731" s="13">
        <f>$E2731+24</f>
        <v>141</v>
      </c>
      <c r="AF2731" s="14">
        <f>IF($J2731=0,0,ROUND(MAX($J2731*1.4*1.5*1.6*1.6*2.2*2.715*2.6*1.4*1.4*1.5*1.5,18900000000*(1.65331^(MIN($E2731,123)-117)))*1,0))</f>
        <v>18900000000</v>
      </c>
      <c r="AG2731" s="11">
        <f>$E2731+27</f>
        <v>144</v>
      </c>
      <c r="AH2731" s="12">
        <f>IF($J2731=0,0,ROUND(MAX($J2731*1.4*1.5*1.6*1.6*2.2*2.715*2.6*1.4*1.4*1.5*1.5*3.2,60500000000*(1.654288^(MIN($E2731,123)-117)))*1,0))</f>
        <v>60500000000</v>
      </c>
    </row>
    <row r="2732" ht="28" customHeight="1" spans="1:34" x14ac:dyDescent="0.25">
      <c r="A2732">
        <v>2742</v>
      </c>
      <c r="B2732" t="s">
        <v>475</v>
      </c>
      <c r="C2732" s="10" t="s">
        <v>1593</v>
      </c>
      <c r="D2732" t="s">
        <v>102</v>
      </c>
      <c r="E2732">
        <v>117</v>
      </c>
      <c r="F2732" t="s">
        <v>30</v>
      </c>
      <c r="G2732" t="s">
        <v>562</v>
      </c>
      <c r="H2732">
        <v>28</v>
      </c>
      <c r="I2732" s="11">
        <f>$E2732+0</f>
        <v>117</v>
      </c>
      <c r="J2732" s="12">
        <v>787000</v>
      </c>
      <c r="K2732" s="13">
        <f>$E2732+1</f>
        <v>118</v>
      </c>
      <c r="L2732" s="14">
        <f>IF($J2732=0,0,ROUND(MAX($J2732*1.4,1620000*(1.497923^(MIN($E2732,123)-117)))*1,0))</f>
        <v>1620000</v>
      </c>
      <c r="M2732" s="11">
        <f>$E2732+2</f>
        <v>119</v>
      </c>
      <c r="N2732" s="12">
        <f>IF($J2732=0,0,ROUND(MAX($J2732*1.4*1.5,2190000*(1.580994^(MIN($E2732,123)-117)))*1,0))</f>
        <v>2190000</v>
      </c>
      <c r="O2732" s="13">
        <f>$E2732+4</f>
        <v>121</v>
      </c>
      <c r="P2732" s="14">
        <f>IF($J2732=0,0,ROUND(MAX($J2732*1.4*1.5*1.6,3500000*(1.57975^(MIN($E2732,123)-117)))*1,0))</f>
        <v>3500000</v>
      </c>
      <c r="Q2732" s="11">
        <f>$E2732+6</f>
        <v>123</v>
      </c>
      <c r="R2732" s="12">
        <f>IF($J2732=0,0,ROUND(MAX($J2732*1.4*1.5*1.6*1.6,13100000*(1.429962^(MIN($E2732,123)-117)))*1,0))</f>
        <v>13100000</v>
      </c>
      <c r="S2732" s="13">
        <f>$E2732+8</f>
        <v>125</v>
      </c>
      <c r="T2732" s="14">
        <f>IF($J2732=0,0,ROUND(MAX($J2732*1.4*1.5*1.6*1.6*2.2,42600000*(1.576904^(MIN($E2732,123)-117)))*1,0))</f>
        <v>42600000</v>
      </c>
      <c r="U2732" s="11">
        <f>$E2732+11</f>
        <v>128</v>
      </c>
      <c r="V2732" s="12">
        <f>IF($J2732=0,0,ROUND(MAX($J2732*1.4*1.5*1.6*1.6*2.2*2.715,354000000*(1.642074^(MIN($E2732,123)-117)))*1,0))</f>
        <v>354000000</v>
      </c>
      <c r="W2732" s="13">
        <f>$E2732+15</f>
        <v>132</v>
      </c>
      <c r="X2732" s="14">
        <f>IF($J2732=0,0,ROUND(MAX($J2732*1.4*1.5*1.6*1.6*2.2*2.715*2.6,3540000000*(1.579646^(MIN($E2732,123)-117)))*1,0))</f>
        <v>3540000000</v>
      </c>
      <c r="Y2732" s="11">
        <f>$E2732+17</f>
        <v>134</v>
      </c>
      <c r="Z2732" s="12">
        <f>IF($J2732=0,0,ROUND(MAX($J2732*1.4*1.5*1.6*1.6*2.2*2.715*2.6*1.4,6020000000*(1.651178^(MIN($E2732,123)-117)))*1,0))</f>
        <v>6020000000</v>
      </c>
      <c r="AA2732" s="13">
        <f>$E2732+19</f>
        <v>136</v>
      </c>
      <c r="AB2732" s="14">
        <f>IF($J2732=0,0,ROUND(MAX($J2732*1.4*1.5*1.6*1.6*2.2*2.715*2.6*1.4*1.4,8430000000*(1.651435^(MIN($E2732,123)-117)))*1,0))</f>
        <v>8430000000</v>
      </c>
      <c r="AC2732" s="11">
        <f>$E2732+21</f>
        <v>138</v>
      </c>
      <c r="AD2732" s="12">
        <f>IF($J2732=0,0,ROUND(MAX($J2732*1.4*1.5*1.6*1.6*2.2*2.715*2.6*1.4*1.4*1.5,12600000000*(1.652953^(MIN($E2732,123)-117)))*1,0))</f>
        <v>12600000000</v>
      </c>
      <c r="AE2732" s="13">
        <f>$E2732+24</f>
        <v>141</v>
      </c>
      <c r="AF2732" s="14">
        <f>IF($J2732=0,0,ROUND(MAX($J2732*1.4*1.5*1.6*1.6*2.2*2.715*2.6*1.4*1.4*1.5*1.5,18900000000*(1.65331^(MIN($E2732,123)-117)))*1,0))</f>
        <v>18900000000</v>
      </c>
      <c r="AG2732" s="11">
        <f>$E2732+27</f>
        <v>144</v>
      </c>
      <c r="AH2732" s="12">
        <f>IF($J2732=0,0,ROUND(MAX($J2732*1.4*1.5*1.6*1.6*2.2*2.715*2.6*1.4*1.4*1.5*1.5*3.2,60500000000*(1.654288^(MIN($E2732,123)-117)))*1,0))</f>
        <v>60500000000</v>
      </c>
    </row>
    <row r="2733" ht="28" customHeight="1" spans="1:34" x14ac:dyDescent="0.25">
      <c r="A2733">
        <v>2743</v>
      </c>
      <c r="B2733" t="s">
        <v>96</v>
      </c>
      <c r="C2733" s="10" t="s">
        <v>1593</v>
      </c>
      <c r="D2733" t="s">
        <v>40</v>
      </c>
      <c r="E2733">
        <v>116</v>
      </c>
      <c r="F2733" t="s">
        <v>97</v>
      </c>
      <c r="G2733" t="s">
        <v>562</v>
      </c>
      <c r="H2733">
        <v>30</v>
      </c>
      <c r="I2733" s="11">
        <f>$E2733+0</f>
        <v>116</v>
      </c>
      <c r="J2733" s="12">
        <v>347000</v>
      </c>
      <c r="K2733" s="13">
        <f>$E2733+1</f>
        <v>117</v>
      </c>
      <c r="L2733" s="14">
        <f>IF($J2733=0,0,ROUND(MAX($J2733*1.4,1620000*(1.497923^(MIN($E2733,123)-117)))*1,0))</f>
        <v>1081498</v>
      </c>
      <c r="M2733" s="11">
        <f>$E2733+2</f>
        <v>118</v>
      </c>
      <c r="N2733" s="12">
        <f>IF($J2733=0,0,ROUND(MAX($J2733*1.4*1.5,2190000*(1.580994^(MIN($E2733,123)-117)))*1,0))</f>
        <v>1385204</v>
      </c>
      <c r="O2733" s="13">
        <f>$E2733+4</f>
        <v>120</v>
      </c>
      <c r="P2733" s="14">
        <f>IF($J2733=0,0,ROUND(MAX($J2733*1.4*1.5*1.6,3500000*(1.57975^(MIN($E2733,123)-117)))*1,0))</f>
        <v>2215540</v>
      </c>
      <c r="Q2733" s="11">
        <f>$E2733+6</f>
        <v>122</v>
      </c>
      <c r="R2733" s="12">
        <f>IF($J2733=0,0,ROUND(MAX($J2733*1.4*1.5*1.6*1.6,13100000*(1.429962^(MIN($E2733,123)-117)))*1,0))</f>
        <v>9161083</v>
      </c>
      <c r="S2733" s="13">
        <f>$E2733+8</f>
        <v>124</v>
      </c>
      <c r="T2733" s="14">
        <f>IF($J2733=0,0,ROUND(MAX($J2733*1.4*1.5*1.6*1.6*2.2,42600000*(1.576904^(MIN($E2733,123)-117)))*1,0))</f>
        <v>27014961</v>
      </c>
      <c r="U2733" s="11">
        <f>$E2733+11</f>
        <v>127</v>
      </c>
      <c r="V2733" s="12">
        <f>IF($J2733=0,0,ROUND(MAX($J2733*1.4*1.5*1.6*1.6*2.2*2.715,354000000*(1.642074^(MIN($E2733,123)-117)))*1,0))</f>
        <v>215581027</v>
      </c>
      <c r="W2733" s="13">
        <f>$E2733+15</f>
        <v>131</v>
      </c>
      <c r="X2733" s="14">
        <f>IF($J2733=0,0,ROUND(MAX($J2733*1.4*1.5*1.6*1.6*2.2*2.715*2.6,3540000000*(1.579646^(MIN($E2733,123)-117)))*1,0))</f>
        <v>2241008428</v>
      </c>
      <c r="Y2733" s="11">
        <f>$E2733+17</f>
        <v>133</v>
      </c>
      <c r="Z2733" s="12">
        <f>IF($J2733=0,0,ROUND(MAX($J2733*1.4*1.5*1.6*1.6*2.2*2.715*2.6*1.4,6020000000*(1.651178^(MIN($E2733,123)-117)))*1,0))</f>
        <v>3645881910</v>
      </c>
      <c r="AA2733" s="13">
        <f>$E2733+19</f>
        <v>135</v>
      </c>
      <c r="AB2733" s="14">
        <f>IF($J2733=0,0,ROUND(MAX($J2733*1.4*1.5*1.6*1.6*2.2*2.715*2.6*1.4*1.4,8430000000*(1.651435^(MIN($E2733,123)-117)))*1,0))</f>
        <v>5104651409</v>
      </c>
      <c r="AC2733" s="11">
        <f>$E2733+21</f>
        <v>137</v>
      </c>
      <c r="AD2733" s="12">
        <f>IF($J2733=0,0,ROUND(MAX($J2733*1.4*1.5*1.6*1.6*2.2*2.715*2.6*1.4*1.4*1.5,12600000000*(1.652953^(MIN($E2733,123)-117)))*1,0))</f>
        <v>7622721275</v>
      </c>
      <c r="AE2733" s="13">
        <f>$E2733+24</f>
        <v>140</v>
      </c>
      <c r="AF2733" s="14">
        <f>IF($J2733=0,0,ROUND(MAX($J2733*1.4*1.5*1.6*1.6*2.2*2.715*2.6*1.4*1.4*1.5*1.5,18900000000*(1.65331^(MIN($E2733,123)-117)))*1,0))</f>
        <v>11431612946</v>
      </c>
      <c r="AG2733" s="11">
        <f>$E2733+27</f>
        <v>143</v>
      </c>
      <c r="AH2733" s="12">
        <f>IF($J2733=0,0,ROUND(MAX($J2733*1.4*1.5*1.6*1.6*2.2*2.715*2.6*1.4*1.4*1.5*1.5*3.2,60500000000*(1.654288^(MIN($E2733,123)-117)))*1,0))</f>
        <v>36571624772</v>
      </c>
    </row>
    <row r="2734" ht="28" customHeight="1" spans="1:34" x14ac:dyDescent="0.25">
      <c r="A2734">
        <v>2744</v>
      </c>
      <c r="B2734" t="s">
        <v>130</v>
      </c>
      <c r="C2734" s="10" t="s">
        <v>1593</v>
      </c>
      <c r="D2734" t="s">
        <v>45</v>
      </c>
      <c r="E2734">
        <v>116</v>
      </c>
      <c r="F2734" t="s">
        <v>56</v>
      </c>
      <c r="G2734" t="s">
        <v>562</v>
      </c>
      <c r="H2734">
        <v>30</v>
      </c>
      <c r="I2734" s="11">
        <f>$E2734+0</f>
        <v>116</v>
      </c>
      <c r="J2734" s="12">
        <v>635000</v>
      </c>
      <c r="K2734" s="13">
        <f>$E2734+1</f>
        <v>117</v>
      </c>
      <c r="L2734" s="14">
        <f>IF($J2734=0,0,ROUND(MAX($J2734*1.4,1620000*(1.497923^(MIN($E2734,123)-117)))*1,0))</f>
        <v>1081498</v>
      </c>
      <c r="M2734" s="11">
        <f>$E2734+2</f>
        <v>118</v>
      </c>
      <c r="N2734" s="12">
        <f>IF($J2734=0,0,ROUND(MAX($J2734*1.4*1.5,2190000*(1.580994^(MIN($E2734,123)-117)))*1,0))</f>
        <v>1385204</v>
      </c>
      <c r="O2734" s="13">
        <f>$E2734+4</f>
        <v>120</v>
      </c>
      <c r="P2734" s="14">
        <f>IF($J2734=0,0,ROUND(MAX($J2734*1.4*1.5*1.6,3500000*(1.57975^(MIN($E2734,123)-117)))*1,0))</f>
        <v>2215540</v>
      </c>
      <c r="Q2734" s="11">
        <f>$E2734+6</f>
        <v>122</v>
      </c>
      <c r="R2734" s="12">
        <f>IF($J2734=0,0,ROUND(MAX($J2734*1.4*1.5*1.6*1.6,13100000*(1.429962^(MIN($E2734,123)-117)))*1,0))</f>
        <v>9161083</v>
      </c>
      <c r="S2734" s="13">
        <f>$E2734+8</f>
        <v>124</v>
      </c>
      <c r="T2734" s="14">
        <f>IF($J2734=0,0,ROUND(MAX($J2734*1.4*1.5*1.6*1.6*2.2,42600000*(1.576904^(MIN($E2734,123)-117)))*1,0))</f>
        <v>27014961</v>
      </c>
      <c r="U2734" s="11">
        <f>$E2734+11</f>
        <v>127</v>
      </c>
      <c r="V2734" s="12">
        <f>IF($J2734=0,0,ROUND(MAX($J2734*1.4*1.5*1.6*1.6*2.2*2.715,354000000*(1.642074^(MIN($E2734,123)-117)))*1,0))</f>
        <v>215581027</v>
      </c>
      <c r="W2734" s="13">
        <f>$E2734+15</f>
        <v>131</v>
      </c>
      <c r="X2734" s="14">
        <f>IF($J2734=0,0,ROUND(MAX($J2734*1.4*1.5*1.6*1.6*2.2*2.715*2.6,3540000000*(1.579646^(MIN($E2734,123)-117)))*1,0))</f>
        <v>2241008428</v>
      </c>
      <c r="Y2734" s="11">
        <f>$E2734+17</f>
        <v>133</v>
      </c>
      <c r="Z2734" s="12">
        <f>IF($J2734=0,0,ROUND(MAX($J2734*1.4*1.5*1.6*1.6*2.2*2.715*2.6*1.4,6020000000*(1.651178^(MIN($E2734,123)-117)))*1,0))</f>
        <v>3645881910</v>
      </c>
      <c r="AA2734" s="13">
        <f>$E2734+19</f>
        <v>135</v>
      </c>
      <c r="AB2734" s="14">
        <f>IF($J2734=0,0,ROUND(MAX($J2734*1.4*1.5*1.6*1.6*2.2*2.715*2.6*1.4*1.4,8430000000*(1.651435^(MIN($E2734,123)-117)))*1,0))</f>
        <v>5104651409</v>
      </c>
      <c r="AC2734" s="11">
        <f>$E2734+21</f>
        <v>137</v>
      </c>
      <c r="AD2734" s="12">
        <f>IF($J2734=0,0,ROUND(MAX($J2734*1.4*1.5*1.6*1.6*2.2*2.715*2.6*1.4*1.4*1.5,12600000000*(1.652953^(MIN($E2734,123)-117)))*1,0))</f>
        <v>7622721275</v>
      </c>
      <c r="AE2734" s="13">
        <f>$E2734+24</f>
        <v>140</v>
      </c>
      <c r="AF2734" s="14">
        <f>IF($J2734=0,0,ROUND(MAX($J2734*1.4*1.5*1.6*1.6*2.2*2.715*2.6*1.4*1.4*1.5*1.5,18900000000*(1.65331^(MIN($E2734,123)-117)))*1,0))</f>
        <v>11431612946</v>
      </c>
      <c r="AG2734" s="11">
        <f>$E2734+27</f>
        <v>143</v>
      </c>
      <c r="AH2734" s="12">
        <f>IF($J2734=0,0,ROUND(MAX($J2734*1.4*1.5*1.6*1.6*2.2*2.715*2.6*1.4*1.4*1.5*1.5*3.2,60500000000*(1.654288^(MIN($E2734,123)-117)))*1,0))</f>
        <v>36571624772</v>
      </c>
    </row>
    <row r="2735" ht="28" customHeight="1" spans="1:34" x14ac:dyDescent="0.25">
      <c r="A2735">
        <v>2745</v>
      </c>
      <c r="B2735" t="s">
        <v>175</v>
      </c>
      <c r="C2735" s="10" t="s">
        <v>1593</v>
      </c>
      <c r="D2735" t="s">
        <v>33</v>
      </c>
      <c r="E2735">
        <v>116</v>
      </c>
      <c r="F2735" t="s">
        <v>54</v>
      </c>
      <c r="G2735" t="s">
        <v>562</v>
      </c>
      <c r="H2735">
        <v>29</v>
      </c>
      <c r="I2735" s="11">
        <f>$E2735+0</f>
        <v>116</v>
      </c>
      <c r="J2735" s="12">
        <v>436000</v>
      </c>
      <c r="K2735" s="13">
        <f>$E2735+1</f>
        <v>117</v>
      </c>
      <c r="L2735" s="14">
        <f>IF($J2735=0,0,ROUND(MAX($J2735*1.4,1620000*(1.497923^(MIN($E2735,123)-117)))*1,0))</f>
        <v>1081498</v>
      </c>
      <c r="M2735" s="11">
        <f>$E2735+2</f>
        <v>118</v>
      </c>
      <c r="N2735" s="12">
        <f>IF($J2735=0,0,ROUND(MAX($J2735*1.4*1.5,2190000*(1.580994^(MIN($E2735,123)-117)))*1,0))</f>
        <v>1385204</v>
      </c>
      <c r="O2735" s="13">
        <f>$E2735+4</f>
        <v>120</v>
      </c>
      <c r="P2735" s="14">
        <f>IF($J2735=0,0,ROUND(MAX($J2735*1.4*1.5*1.6,3500000*(1.57975^(MIN($E2735,123)-117)))*1,0))</f>
        <v>2215540</v>
      </c>
      <c r="Q2735" s="11">
        <f>$E2735+6</f>
        <v>122</v>
      </c>
      <c r="R2735" s="12">
        <f>IF($J2735=0,0,ROUND(MAX($J2735*1.4*1.5*1.6*1.6,13100000*(1.429962^(MIN($E2735,123)-117)))*1,0))</f>
        <v>9161083</v>
      </c>
      <c r="S2735" s="13">
        <f>$E2735+8</f>
        <v>124</v>
      </c>
      <c r="T2735" s="14">
        <f>IF($J2735=0,0,ROUND(MAX($J2735*1.4*1.5*1.6*1.6*2.2,42600000*(1.576904^(MIN($E2735,123)-117)))*1,0))</f>
        <v>27014961</v>
      </c>
      <c r="U2735" s="11">
        <f>$E2735+11</f>
        <v>127</v>
      </c>
      <c r="V2735" s="12">
        <f>IF($J2735=0,0,ROUND(MAX($J2735*1.4*1.5*1.6*1.6*2.2*2.715,354000000*(1.642074^(MIN($E2735,123)-117)))*1,0))</f>
        <v>215581027</v>
      </c>
      <c r="W2735" s="13">
        <f>$E2735+15</f>
        <v>131</v>
      </c>
      <c r="X2735" s="14">
        <f>IF($J2735=0,0,ROUND(MAX($J2735*1.4*1.5*1.6*1.6*2.2*2.715*2.6,3540000000*(1.579646^(MIN($E2735,123)-117)))*1,0))</f>
        <v>2241008428</v>
      </c>
      <c r="Y2735" s="11">
        <f>$E2735+17</f>
        <v>133</v>
      </c>
      <c r="Z2735" s="12">
        <f>IF($J2735=0,0,ROUND(MAX($J2735*1.4*1.5*1.6*1.6*2.2*2.715*2.6*1.4,6020000000*(1.651178^(MIN($E2735,123)-117)))*1,0))</f>
        <v>3645881910</v>
      </c>
      <c r="AA2735" s="13">
        <f>$E2735+19</f>
        <v>135</v>
      </c>
      <c r="AB2735" s="14">
        <f>IF($J2735=0,0,ROUND(MAX($J2735*1.4*1.5*1.6*1.6*2.2*2.715*2.6*1.4*1.4,8430000000*(1.651435^(MIN($E2735,123)-117)))*1,0))</f>
        <v>5104651409</v>
      </c>
      <c r="AC2735" s="11">
        <f>$E2735+21</f>
        <v>137</v>
      </c>
      <c r="AD2735" s="12">
        <f>IF($J2735=0,0,ROUND(MAX($J2735*1.4*1.5*1.6*1.6*2.2*2.715*2.6*1.4*1.4*1.5,12600000000*(1.652953^(MIN($E2735,123)-117)))*1,0))</f>
        <v>7622721275</v>
      </c>
      <c r="AE2735" s="13">
        <f>$E2735+24</f>
        <v>140</v>
      </c>
      <c r="AF2735" s="14">
        <f>IF($J2735=0,0,ROUND(MAX($J2735*1.4*1.5*1.6*1.6*2.2*2.715*2.6*1.4*1.4*1.5*1.5,18900000000*(1.65331^(MIN($E2735,123)-117)))*1,0))</f>
        <v>11431612946</v>
      </c>
      <c r="AG2735" s="11">
        <f>$E2735+27</f>
        <v>143</v>
      </c>
      <c r="AH2735" s="12">
        <f>IF($J2735=0,0,ROUND(MAX($J2735*1.4*1.5*1.6*1.6*2.2*2.715*2.6*1.4*1.4*1.5*1.5*3.2,60500000000*(1.654288^(MIN($E2735,123)-117)))*1,0))</f>
        <v>36571624772</v>
      </c>
    </row>
    <row r="2736" ht="28" customHeight="1" spans="1:34" x14ac:dyDescent="0.25">
      <c r="A2736">
        <v>2746</v>
      </c>
      <c r="B2736" t="s">
        <v>1596</v>
      </c>
      <c r="C2736" s="10" t="s">
        <v>1593</v>
      </c>
      <c r="D2736" t="s">
        <v>64</v>
      </c>
      <c r="E2736">
        <v>116</v>
      </c>
      <c r="F2736" t="s">
        <v>26</v>
      </c>
      <c r="G2736" t="s">
        <v>1597</v>
      </c>
      <c r="H2736">
        <v>29</v>
      </c>
      <c r="I2736" s="11">
        <f>$E2736+0</f>
        <v>116</v>
      </c>
      <c r="J2736" s="12">
        <v>874000</v>
      </c>
      <c r="K2736" s="13">
        <f>$E2736+1</f>
        <v>117</v>
      </c>
      <c r="L2736" s="14">
        <f>IF($J2736=0,0,ROUND(MAX($J2736*1.4,1620000*(1.497923^(MIN($E2736,123)-117)))*1,0))</f>
        <v>1223600</v>
      </c>
      <c r="M2736" s="11">
        <f>$E2736+2</f>
        <v>118</v>
      </c>
      <c r="N2736" s="12">
        <f>IF($J2736=0,0,ROUND(MAX($J2736*1.4*1.5,2190000*(1.580994^(MIN($E2736,123)-117)))*1,0))</f>
        <v>1835400</v>
      </c>
      <c r="O2736" s="13">
        <f>$E2736+4</f>
        <v>120</v>
      </c>
      <c r="P2736" s="14">
        <f>IF($J2736=0,0,ROUND(MAX($J2736*1.4*1.5*1.6,3500000*(1.57975^(MIN($E2736,123)-117)))*1,0))</f>
        <v>2936640</v>
      </c>
      <c r="Q2736" s="11">
        <f>$E2736+6</f>
        <v>122</v>
      </c>
      <c r="R2736" s="12">
        <f>IF($J2736=0,0,ROUND(MAX($J2736*1.4*1.5*1.6*1.6,13100000*(1.429962^(MIN($E2736,123)-117)))*1,0))</f>
        <v>9161083</v>
      </c>
      <c r="S2736" s="13">
        <f>$E2736+8</f>
        <v>124</v>
      </c>
      <c r="T2736" s="14">
        <f>IF($J2736=0,0,ROUND(MAX($J2736*1.4*1.5*1.6*1.6*2.2,42600000*(1.576904^(MIN($E2736,123)-117)))*1,0))</f>
        <v>27014961</v>
      </c>
      <c r="U2736" s="11">
        <f>$E2736+11</f>
        <v>127</v>
      </c>
      <c r="V2736" s="12">
        <f>IF($J2736=0,0,ROUND(MAX($J2736*1.4*1.5*1.6*1.6*2.2*2.715,354000000*(1.642074^(MIN($E2736,123)-117)))*1,0))</f>
        <v>215581027</v>
      </c>
      <c r="W2736" s="13">
        <f>$E2736+15</f>
        <v>131</v>
      </c>
      <c r="X2736" s="14">
        <f>IF($J2736=0,0,ROUND(MAX($J2736*1.4*1.5*1.6*1.6*2.2*2.715*2.6,3540000000*(1.579646^(MIN($E2736,123)-117)))*1,0))</f>
        <v>2241008428</v>
      </c>
      <c r="Y2736" s="11">
        <f>$E2736+17</f>
        <v>133</v>
      </c>
      <c r="Z2736" s="12">
        <f>IF($J2736=0,0,ROUND(MAX($J2736*1.4*1.5*1.6*1.6*2.2*2.715*2.6*1.4,6020000000*(1.651178^(MIN($E2736,123)-117)))*1,0))</f>
        <v>3645881910</v>
      </c>
      <c r="AA2736" s="13">
        <f>$E2736+19</f>
        <v>135</v>
      </c>
      <c r="AB2736" s="14">
        <f>IF($J2736=0,0,ROUND(MAX($J2736*1.4*1.5*1.6*1.6*2.2*2.715*2.6*1.4*1.4,8430000000*(1.651435^(MIN($E2736,123)-117)))*1,0))</f>
        <v>5104651409</v>
      </c>
      <c r="AC2736" s="11">
        <f>$E2736+21</f>
        <v>137</v>
      </c>
      <c r="AD2736" s="12">
        <f>IF($J2736=0,0,ROUND(MAX($J2736*1.4*1.5*1.6*1.6*2.2*2.715*2.6*1.4*1.4*1.5,12600000000*(1.652953^(MIN($E2736,123)-117)))*1,0))</f>
        <v>7622721275</v>
      </c>
      <c r="AE2736" s="13">
        <f>$E2736+24</f>
        <v>140</v>
      </c>
      <c r="AF2736" s="14">
        <f>IF($J2736=0,0,ROUND(MAX($J2736*1.4*1.5*1.6*1.6*2.2*2.715*2.6*1.4*1.4*1.5*1.5,18900000000*(1.65331^(MIN($E2736,123)-117)))*1,0))</f>
        <v>11431612946</v>
      </c>
      <c r="AG2736" s="11">
        <f>$E2736+27</f>
        <v>143</v>
      </c>
      <c r="AH2736" s="12">
        <f>IF($J2736=0,0,ROUND(MAX($J2736*1.4*1.5*1.6*1.6*2.2*2.715*2.6*1.4*1.4*1.5*1.5*3.2,60500000000*(1.654288^(MIN($E2736,123)-117)))*1,0))</f>
        <v>36571624772</v>
      </c>
    </row>
    <row r="2737" ht="28" customHeight="1" spans="1:34" x14ac:dyDescent="0.25">
      <c r="A2737">
        <v>2747</v>
      </c>
      <c r="B2737" t="s">
        <v>873</v>
      </c>
      <c r="C2737" s="10" t="s">
        <v>1593</v>
      </c>
      <c r="D2737" t="s">
        <v>102</v>
      </c>
      <c r="E2737">
        <v>116</v>
      </c>
      <c r="F2737" t="s">
        <v>34</v>
      </c>
      <c r="G2737" t="s">
        <v>277</v>
      </c>
      <c r="H2737">
        <v>29</v>
      </c>
      <c r="I2737" s="11">
        <f>$E2737+0</f>
        <v>116</v>
      </c>
      <c r="J2737" s="12">
        <v>491000</v>
      </c>
      <c r="K2737" s="13">
        <f>$E2737+1</f>
        <v>117</v>
      </c>
      <c r="L2737" s="14">
        <f>IF($J2737=0,0,ROUND(MAX($J2737*1.4,1620000*(1.497923^(MIN($E2737,123)-117)))*1,0))</f>
        <v>1081498</v>
      </c>
      <c r="M2737" s="11">
        <f>$E2737+2</f>
        <v>118</v>
      </c>
      <c r="N2737" s="12">
        <f>IF($J2737=0,0,ROUND(MAX($J2737*1.4*1.5,2190000*(1.580994^(MIN($E2737,123)-117)))*1,0))</f>
        <v>1385204</v>
      </c>
      <c r="O2737" s="13">
        <f>$E2737+4</f>
        <v>120</v>
      </c>
      <c r="P2737" s="14">
        <f>IF($J2737=0,0,ROUND(MAX($J2737*1.4*1.5*1.6,3500000*(1.57975^(MIN($E2737,123)-117)))*1,0))</f>
        <v>2215540</v>
      </c>
      <c r="Q2737" s="11">
        <f>$E2737+6</f>
        <v>122</v>
      </c>
      <c r="R2737" s="12">
        <f>IF($J2737=0,0,ROUND(MAX($J2737*1.4*1.5*1.6*1.6,13100000*(1.429962^(MIN($E2737,123)-117)))*1,0))</f>
        <v>9161083</v>
      </c>
      <c r="S2737" s="13">
        <f>$E2737+8</f>
        <v>124</v>
      </c>
      <c r="T2737" s="14">
        <f>IF($J2737=0,0,ROUND(MAX($J2737*1.4*1.5*1.6*1.6*2.2,42600000*(1.576904^(MIN($E2737,123)-117)))*1,0))</f>
        <v>27014961</v>
      </c>
      <c r="U2737" s="11">
        <f>$E2737+11</f>
        <v>127</v>
      </c>
      <c r="V2737" s="12">
        <f>IF($J2737=0,0,ROUND(MAX($J2737*1.4*1.5*1.6*1.6*2.2*2.715,354000000*(1.642074^(MIN($E2737,123)-117)))*1,0))</f>
        <v>215581027</v>
      </c>
      <c r="W2737" s="13">
        <f>$E2737+15</f>
        <v>131</v>
      </c>
      <c r="X2737" s="14">
        <f>IF($J2737=0,0,ROUND(MAX($J2737*1.4*1.5*1.6*1.6*2.2*2.715*2.6,3540000000*(1.579646^(MIN($E2737,123)-117)))*1,0))</f>
        <v>2241008428</v>
      </c>
      <c r="Y2737" s="11">
        <f>$E2737+17</f>
        <v>133</v>
      </c>
      <c r="Z2737" s="12">
        <f>IF($J2737=0,0,ROUND(MAX($J2737*1.4*1.5*1.6*1.6*2.2*2.715*2.6*1.4,6020000000*(1.651178^(MIN($E2737,123)-117)))*1,0))</f>
        <v>3645881910</v>
      </c>
      <c r="AA2737" s="13">
        <f>$E2737+19</f>
        <v>135</v>
      </c>
      <c r="AB2737" s="14">
        <f>IF($J2737=0,0,ROUND(MAX($J2737*1.4*1.5*1.6*1.6*2.2*2.715*2.6*1.4*1.4,8430000000*(1.651435^(MIN($E2737,123)-117)))*1,0))</f>
        <v>5104651409</v>
      </c>
      <c r="AC2737" s="11">
        <f>$E2737+21</f>
        <v>137</v>
      </c>
      <c r="AD2737" s="12">
        <f>IF($J2737=0,0,ROUND(MAX($J2737*1.4*1.5*1.6*1.6*2.2*2.715*2.6*1.4*1.4*1.5,12600000000*(1.652953^(MIN($E2737,123)-117)))*1,0))</f>
        <v>7622721275</v>
      </c>
      <c r="AE2737" s="13">
        <f>$E2737+24</f>
        <v>140</v>
      </c>
      <c r="AF2737" s="14">
        <f>IF($J2737=0,0,ROUND(MAX($J2737*1.4*1.5*1.6*1.6*2.2*2.715*2.6*1.4*1.4*1.5*1.5,18900000000*(1.65331^(MIN($E2737,123)-117)))*1,0))</f>
        <v>11431612946</v>
      </c>
      <c r="AG2737" s="11">
        <f>$E2737+27</f>
        <v>143</v>
      </c>
      <c r="AH2737" s="12">
        <f>IF($J2737=0,0,ROUND(MAX($J2737*1.4*1.5*1.6*1.6*2.2*2.715*2.6*1.4*1.4*1.5*1.5*3.2,60500000000*(1.654288^(MIN($E2737,123)-117)))*1,0))</f>
        <v>36571624772</v>
      </c>
    </row>
    <row r="2738" ht="28" customHeight="1" spans="1:34" x14ac:dyDescent="0.25">
      <c r="A2738">
        <v>2748</v>
      </c>
      <c r="B2738" t="s">
        <v>1455</v>
      </c>
      <c r="C2738" s="10" t="s">
        <v>1593</v>
      </c>
      <c r="D2738" t="s">
        <v>33</v>
      </c>
      <c r="E2738">
        <v>116</v>
      </c>
      <c r="F2738" t="s">
        <v>1456</v>
      </c>
      <c r="G2738" t="s">
        <v>595</v>
      </c>
      <c r="H2738">
        <v>29</v>
      </c>
      <c r="I2738" s="11">
        <f>$E2738+0</f>
        <v>116</v>
      </c>
      <c r="J2738" s="12">
        <v>421000</v>
      </c>
      <c r="K2738" s="13">
        <f>$E2738+1</f>
        <v>117</v>
      </c>
      <c r="L2738" s="14">
        <f>IF($J2738=0,0,ROUND(MAX($J2738*1.4,1620000*(1.497923^(MIN($E2738,123)-117)))*1,0))</f>
        <v>1081498</v>
      </c>
      <c r="M2738" s="11">
        <f>$E2738+2</f>
        <v>118</v>
      </c>
      <c r="N2738" s="12">
        <f>IF($J2738=0,0,ROUND(MAX($J2738*1.4*1.5,2190000*(1.580994^(MIN($E2738,123)-117)))*1,0))</f>
        <v>1385204</v>
      </c>
      <c r="O2738" s="13">
        <f>$E2738+4</f>
        <v>120</v>
      </c>
      <c r="P2738" s="14">
        <f>IF($J2738=0,0,ROUND(MAX($J2738*1.4*1.5*1.6,3500000*(1.57975^(MIN($E2738,123)-117)))*1,0))</f>
        <v>2215540</v>
      </c>
      <c r="Q2738" s="11">
        <f>$E2738+6</f>
        <v>122</v>
      </c>
      <c r="R2738" s="12">
        <f>IF($J2738=0,0,ROUND(MAX($J2738*1.4*1.5*1.6*1.6,13100000*(1.429962^(MIN($E2738,123)-117)))*1,0))</f>
        <v>9161083</v>
      </c>
      <c r="S2738" s="13">
        <f>$E2738+8</f>
        <v>124</v>
      </c>
      <c r="T2738" s="14">
        <f>IF($J2738=0,0,ROUND(MAX($J2738*1.4*1.5*1.6*1.6*2.2,42600000*(1.576904^(MIN($E2738,123)-117)))*1,0))</f>
        <v>27014961</v>
      </c>
      <c r="U2738" s="11">
        <f>$E2738+11</f>
        <v>127</v>
      </c>
      <c r="V2738" s="12">
        <f>IF($J2738=0,0,ROUND(MAX($J2738*1.4*1.5*1.6*1.6*2.2*2.715,354000000*(1.642074^(MIN($E2738,123)-117)))*1,0))</f>
        <v>215581027</v>
      </c>
      <c r="W2738" s="13">
        <f>$E2738+15</f>
        <v>131</v>
      </c>
      <c r="X2738" s="14">
        <f>IF($J2738=0,0,ROUND(MAX($J2738*1.4*1.5*1.6*1.6*2.2*2.715*2.6,3540000000*(1.579646^(MIN($E2738,123)-117)))*1,0))</f>
        <v>2241008428</v>
      </c>
      <c r="Y2738" s="11">
        <f>$E2738+17</f>
        <v>133</v>
      </c>
      <c r="Z2738" s="12">
        <f>IF($J2738=0,0,ROUND(MAX($J2738*1.4*1.5*1.6*1.6*2.2*2.715*2.6*1.4,6020000000*(1.651178^(MIN($E2738,123)-117)))*1,0))</f>
        <v>3645881910</v>
      </c>
      <c r="AA2738" s="13">
        <f>$E2738+19</f>
        <v>135</v>
      </c>
      <c r="AB2738" s="14">
        <f>IF($J2738=0,0,ROUND(MAX($J2738*1.4*1.5*1.6*1.6*2.2*2.715*2.6*1.4*1.4,8430000000*(1.651435^(MIN($E2738,123)-117)))*1,0))</f>
        <v>5104651409</v>
      </c>
      <c r="AC2738" s="11">
        <f>$E2738+21</f>
        <v>137</v>
      </c>
      <c r="AD2738" s="12">
        <f>IF($J2738=0,0,ROUND(MAX($J2738*1.4*1.5*1.6*1.6*2.2*2.715*2.6*1.4*1.4*1.5,12600000000*(1.652953^(MIN($E2738,123)-117)))*1,0))</f>
        <v>7622721275</v>
      </c>
      <c r="AE2738" s="13">
        <f>$E2738+24</f>
        <v>140</v>
      </c>
      <c r="AF2738" s="14">
        <f>IF($J2738=0,0,ROUND(MAX($J2738*1.4*1.5*1.6*1.6*2.2*2.715*2.6*1.4*1.4*1.5*1.5,18900000000*(1.65331^(MIN($E2738,123)-117)))*1,0))</f>
        <v>11431612946</v>
      </c>
      <c r="AG2738" s="11">
        <f>$E2738+27</f>
        <v>143</v>
      </c>
      <c r="AH2738" s="12">
        <f>IF($J2738=0,0,ROUND(MAX($J2738*1.4*1.5*1.6*1.6*2.2*2.715*2.6*1.4*1.4*1.5*1.5*3.2,60500000000*(1.654288^(MIN($E2738,123)-117)))*1,0))</f>
        <v>36571624772</v>
      </c>
    </row>
    <row r="2739" ht="28" customHeight="1" spans="1:34" x14ac:dyDescent="0.25">
      <c r="A2739">
        <v>2749</v>
      </c>
      <c r="B2739" t="s">
        <v>786</v>
      </c>
      <c r="C2739" s="10" t="s">
        <v>1593</v>
      </c>
      <c r="D2739" t="s">
        <v>45</v>
      </c>
      <c r="E2739">
        <v>116</v>
      </c>
      <c r="F2739" t="s">
        <v>212</v>
      </c>
      <c r="G2739" t="s">
        <v>185</v>
      </c>
      <c r="H2739">
        <v>29</v>
      </c>
      <c r="I2739" s="11">
        <f>$E2739+0</f>
        <v>116</v>
      </c>
      <c r="J2739" s="12">
        <v>427000</v>
      </c>
      <c r="K2739" s="13">
        <f>$E2739+1</f>
        <v>117</v>
      </c>
      <c r="L2739" s="14">
        <f>IF($J2739=0,0,ROUND(MAX($J2739*1.4,1620000*(1.497923^(MIN($E2739,123)-117)))*1,0))</f>
        <v>1081498</v>
      </c>
      <c r="M2739" s="11">
        <f>$E2739+2</f>
        <v>118</v>
      </c>
      <c r="N2739" s="12">
        <f>IF($J2739=0,0,ROUND(MAX($J2739*1.4*1.5,2190000*(1.580994^(MIN($E2739,123)-117)))*1,0))</f>
        <v>1385204</v>
      </c>
      <c r="O2739" s="13">
        <f>$E2739+4</f>
        <v>120</v>
      </c>
      <c r="P2739" s="14">
        <f>IF($J2739=0,0,ROUND(MAX($J2739*1.4*1.5*1.6,3500000*(1.57975^(MIN($E2739,123)-117)))*1,0))</f>
        <v>2215540</v>
      </c>
      <c r="Q2739" s="11">
        <f>$E2739+6</f>
        <v>122</v>
      </c>
      <c r="R2739" s="12">
        <f>IF($J2739=0,0,ROUND(MAX($J2739*1.4*1.5*1.6*1.6,13100000*(1.429962^(MIN($E2739,123)-117)))*1,0))</f>
        <v>9161083</v>
      </c>
      <c r="S2739" s="13">
        <f>$E2739+8</f>
        <v>124</v>
      </c>
      <c r="T2739" s="14">
        <f>IF($J2739=0,0,ROUND(MAX($J2739*1.4*1.5*1.6*1.6*2.2,42600000*(1.576904^(MIN($E2739,123)-117)))*1,0))</f>
        <v>27014961</v>
      </c>
      <c r="U2739" s="11">
        <f>$E2739+11</f>
        <v>127</v>
      </c>
      <c r="V2739" s="12">
        <f>IF($J2739=0,0,ROUND(MAX($J2739*1.4*1.5*1.6*1.6*2.2*2.715,354000000*(1.642074^(MIN($E2739,123)-117)))*1,0))</f>
        <v>215581027</v>
      </c>
      <c r="W2739" s="13">
        <f>$E2739+15</f>
        <v>131</v>
      </c>
      <c r="X2739" s="14">
        <f>IF($J2739=0,0,ROUND(MAX($J2739*1.4*1.5*1.6*1.6*2.2*2.715*2.6,3540000000*(1.579646^(MIN($E2739,123)-117)))*1,0))</f>
        <v>2241008428</v>
      </c>
      <c r="Y2739" s="11">
        <f>$E2739+17</f>
        <v>133</v>
      </c>
      <c r="Z2739" s="12">
        <f>IF($J2739=0,0,ROUND(MAX($J2739*1.4*1.5*1.6*1.6*2.2*2.715*2.6*1.4,6020000000*(1.651178^(MIN($E2739,123)-117)))*1,0))</f>
        <v>3645881910</v>
      </c>
      <c r="AA2739" s="13">
        <f>$E2739+19</f>
        <v>135</v>
      </c>
      <c r="AB2739" s="14">
        <f>IF($J2739=0,0,ROUND(MAX($J2739*1.4*1.5*1.6*1.6*2.2*2.715*2.6*1.4*1.4,8430000000*(1.651435^(MIN($E2739,123)-117)))*1,0))</f>
        <v>5104651409</v>
      </c>
      <c r="AC2739" s="11">
        <f>$E2739+21</f>
        <v>137</v>
      </c>
      <c r="AD2739" s="12">
        <f>IF($J2739=0,0,ROUND(MAX($J2739*1.4*1.5*1.6*1.6*2.2*2.715*2.6*1.4*1.4*1.5,12600000000*(1.652953^(MIN($E2739,123)-117)))*1,0))</f>
        <v>7622721275</v>
      </c>
      <c r="AE2739" s="13">
        <f>$E2739+24</f>
        <v>140</v>
      </c>
      <c r="AF2739" s="14">
        <f>IF($J2739=0,0,ROUND(MAX($J2739*1.4*1.5*1.6*1.6*2.2*2.715*2.6*1.4*1.4*1.5*1.5,18900000000*(1.65331^(MIN($E2739,123)-117)))*1,0))</f>
        <v>11431612946</v>
      </c>
      <c r="AG2739" s="11">
        <f>$E2739+27</f>
        <v>143</v>
      </c>
      <c r="AH2739" s="12">
        <f>IF($J2739=0,0,ROUND(MAX($J2739*1.4*1.5*1.6*1.6*2.2*2.715*2.6*1.4*1.4*1.5*1.5*3.2,60500000000*(1.654288^(MIN($E2739,123)-117)))*1,0))</f>
        <v>36571624772</v>
      </c>
    </row>
    <row r="2740" ht="28" customHeight="1" spans="1:34" x14ac:dyDescent="0.25">
      <c r="A2740">
        <v>2750</v>
      </c>
      <c r="B2740" t="s">
        <v>613</v>
      </c>
      <c r="C2740" s="10" t="s">
        <v>1593</v>
      </c>
      <c r="D2740" t="s">
        <v>79</v>
      </c>
      <c r="E2740">
        <v>116</v>
      </c>
      <c r="F2740" t="s">
        <v>614</v>
      </c>
      <c r="G2740" t="s">
        <v>242</v>
      </c>
      <c r="H2740">
        <v>29</v>
      </c>
      <c r="I2740" s="11">
        <f>$E2740+0</f>
        <v>116</v>
      </c>
      <c r="J2740" s="12">
        <v>418000</v>
      </c>
      <c r="K2740" s="13">
        <f>$E2740+1</f>
        <v>117</v>
      </c>
      <c r="L2740" s="14">
        <f>IF($J2740=0,0,ROUND(MAX($J2740*1.4,1620000*(1.497923^(MIN($E2740,123)-117)))*1,0))</f>
        <v>1081498</v>
      </c>
      <c r="M2740" s="11">
        <f>$E2740+2</f>
        <v>118</v>
      </c>
      <c r="N2740" s="12">
        <f>IF($J2740=0,0,ROUND(MAX($J2740*1.4*1.5,2190000*(1.580994^(MIN($E2740,123)-117)))*1,0))</f>
        <v>1385204</v>
      </c>
      <c r="O2740" s="13">
        <f>$E2740+4</f>
        <v>120</v>
      </c>
      <c r="P2740" s="14">
        <f>IF($J2740=0,0,ROUND(MAX($J2740*1.4*1.5*1.6,3500000*(1.57975^(MIN($E2740,123)-117)))*1,0))</f>
        <v>2215540</v>
      </c>
      <c r="Q2740" s="11">
        <f>$E2740+6</f>
        <v>122</v>
      </c>
      <c r="R2740" s="12">
        <f>IF($J2740=0,0,ROUND(MAX($J2740*1.4*1.5*1.6*1.6,13100000*(1.429962^(MIN($E2740,123)-117)))*1,0))</f>
        <v>9161083</v>
      </c>
      <c r="S2740" s="13">
        <f>$E2740+8</f>
        <v>124</v>
      </c>
      <c r="T2740" s="14">
        <f>IF($J2740=0,0,ROUND(MAX($J2740*1.4*1.5*1.6*1.6*2.2,42600000*(1.576904^(MIN($E2740,123)-117)))*1,0))</f>
        <v>27014961</v>
      </c>
      <c r="U2740" s="11">
        <f>$E2740+11</f>
        <v>127</v>
      </c>
      <c r="V2740" s="12">
        <f>IF($J2740=0,0,ROUND(MAX($J2740*1.4*1.5*1.6*1.6*2.2*2.715,354000000*(1.642074^(MIN($E2740,123)-117)))*1,0))</f>
        <v>215581027</v>
      </c>
      <c r="W2740" s="13">
        <f>$E2740+15</f>
        <v>131</v>
      </c>
      <c r="X2740" s="14">
        <f>IF($J2740=0,0,ROUND(MAX($J2740*1.4*1.5*1.6*1.6*2.2*2.715*2.6,3540000000*(1.579646^(MIN($E2740,123)-117)))*1,0))</f>
        <v>2241008428</v>
      </c>
      <c r="Y2740" s="11">
        <f>$E2740+17</f>
        <v>133</v>
      </c>
      <c r="Z2740" s="12">
        <f>IF($J2740=0,0,ROUND(MAX($J2740*1.4*1.5*1.6*1.6*2.2*2.715*2.6*1.4,6020000000*(1.651178^(MIN($E2740,123)-117)))*1,0))</f>
        <v>3645881910</v>
      </c>
      <c r="AA2740" s="13">
        <f>$E2740+19</f>
        <v>135</v>
      </c>
      <c r="AB2740" s="14">
        <f>IF($J2740=0,0,ROUND(MAX($J2740*1.4*1.5*1.6*1.6*2.2*2.715*2.6*1.4*1.4,8430000000*(1.651435^(MIN($E2740,123)-117)))*1,0))</f>
        <v>5104651409</v>
      </c>
      <c r="AC2740" s="11">
        <f>$E2740+21</f>
        <v>137</v>
      </c>
      <c r="AD2740" s="12">
        <f>IF($J2740=0,0,ROUND(MAX($J2740*1.4*1.5*1.6*1.6*2.2*2.715*2.6*1.4*1.4*1.5,12600000000*(1.652953^(MIN($E2740,123)-117)))*1,0))</f>
        <v>7622721275</v>
      </c>
      <c r="AE2740" s="13">
        <f>$E2740+24</f>
        <v>140</v>
      </c>
      <c r="AF2740" s="14">
        <f>IF($J2740=0,0,ROUND(MAX($J2740*1.4*1.5*1.6*1.6*2.2*2.715*2.6*1.4*1.4*1.5*1.5,18900000000*(1.65331^(MIN($E2740,123)-117)))*1,0))</f>
        <v>11431612946</v>
      </c>
      <c r="AG2740" s="11">
        <f>$E2740+27</f>
        <v>143</v>
      </c>
      <c r="AH2740" s="12">
        <f>IF($J2740=0,0,ROUND(MAX($J2740*1.4*1.5*1.6*1.6*2.2*2.715*2.6*1.4*1.4*1.5*1.5*3.2,60500000000*(1.654288^(MIN($E2740,123)-117)))*1,0))</f>
        <v>36571624772</v>
      </c>
    </row>
    <row r="2741" ht="28" customHeight="1" spans="1:34" x14ac:dyDescent="0.25">
      <c r="A2741">
        <v>2751</v>
      </c>
      <c r="B2741" t="s">
        <v>677</v>
      </c>
      <c r="C2741" s="10" t="s">
        <v>1593</v>
      </c>
      <c r="D2741" t="s">
        <v>45</v>
      </c>
      <c r="E2741">
        <v>116</v>
      </c>
      <c r="F2741" t="s">
        <v>71</v>
      </c>
      <c r="G2741" t="s">
        <v>326</v>
      </c>
      <c r="H2741">
        <v>29</v>
      </c>
      <c r="I2741" s="11">
        <f>$E2741+0</f>
        <v>116</v>
      </c>
      <c r="J2741" s="12">
        <v>400000</v>
      </c>
      <c r="K2741" s="13">
        <f>$E2741+1</f>
        <v>117</v>
      </c>
      <c r="L2741" s="14">
        <f>IF($J2741=0,0,ROUND(MAX($J2741*1.4,1620000*(1.497923^(MIN($E2741,123)-117)))*1,0))</f>
        <v>1081498</v>
      </c>
      <c r="M2741" s="11">
        <f>$E2741+2</f>
        <v>118</v>
      </c>
      <c r="N2741" s="12">
        <f>IF($J2741=0,0,ROUND(MAX($J2741*1.4*1.5,2190000*(1.580994^(MIN($E2741,123)-117)))*1,0))</f>
        <v>1385204</v>
      </c>
      <c r="O2741" s="13">
        <f>$E2741+4</f>
        <v>120</v>
      </c>
      <c r="P2741" s="14">
        <f>IF($J2741=0,0,ROUND(MAX($J2741*1.4*1.5*1.6,3500000*(1.57975^(MIN($E2741,123)-117)))*1,0))</f>
        <v>2215540</v>
      </c>
      <c r="Q2741" s="11">
        <f>$E2741+6</f>
        <v>122</v>
      </c>
      <c r="R2741" s="12">
        <f>IF($J2741=0,0,ROUND(MAX($J2741*1.4*1.5*1.6*1.6,13100000*(1.429962^(MIN($E2741,123)-117)))*1,0))</f>
        <v>9161083</v>
      </c>
      <c r="S2741" s="13">
        <f>$E2741+8</f>
        <v>124</v>
      </c>
      <c r="T2741" s="14">
        <f>IF($J2741=0,0,ROUND(MAX($J2741*1.4*1.5*1.6*1.6*2.2,42600000*(1.576904^(MIN($E2741,123)-117)))*1,0))</f>
        <v>27014961</v>
      </c>
      <c r="U2741" s="11">
        <f>$E2741+11</f>
        <v>127</v>
      </c>
      <c r="V2741" s="12">
        <f>IF($J2741=0,0,ROUND(MAX($J2741*1.4*1.5*1.6*1.6*2.2*2.715,354000000*(1.642074^(MIN($E2741,123)-117)))*1,0))</f>
        <v>215581027</v>
      </c>
      <c r="W2741" s="13">
        <f>$E2741+15</f>
        <v>131</v>
      </c>
      <c r="X2741" s="14">
        <f>IF($J2741=0,0,ROUND(MAX($J2741*1.4*1.5*1.6*1.6*2.2*2.715*2.6,3540000000*(1.579646^(MIN($E2741,123)-117)))*1,0))</f>
        <v>2241008428</v>
      </c>
      <c r="Y2741" s="11">
        <f>$E2741+17</f>
        <v>133</v>
      </c>
      <c r="Z2741" s="12">
        <f>IF($J2741=0,0,ROUND(MAX($J2741*1.4*1.5*1.6*1.6*2.2*2.715*2.6*1.4,6020000000*(1.651178^(MIN($E2741,123)-117)))*1,0))</f>
        <v>3645881910</v>
      </c>
      <c r="AA2741" s="13">
        <f>$E2741+19</f>
        <v>135</v>
      </c>
      <c r="AB2741" s="14">
        <f>IF($J2741=0,0,ROUND(MAX($J2741*1.4*1.5*1.6*1.6*2.2*2.715*2.6*1.4*1.4,8430000000*(1.651435^(MIN($E2741,123)-117)))*1,0))</f>
        <v>5104651409</v>
      </c>
      <c r="AC2741" s="11">
        <f>$E2741+21</f>
        <v>137</v>
      </c>
      <c r="AD2741" s="12">
        <f>IF($J2741=0,0,ROUND(MAX($J2741*1.4*1.5*1.6*1.6*2.2*2.715*2.6*1.4*1.4*1.5,12600000000*(1.652953^(MIN($E2741,123)-117)))*1,0))</f>
        <v>7622721275</v>
      </c>
      <c r="AE2741" s="13">
        <f>$E2741+24</f>
        <v>140</v>
      </c>
      <c r="AF2741" s="14">
        <f>IF($J2741=0,0,ROUND(MAX($J2741*1.4*1.5*1.6*1.6*2.2*2.715*2.6*1.4*1.4*1.5*1.5,18900000000*(1.65331^(MIN($E2741,123)-117)))*1,0))</f>
        <v>11431612946</v>
      </c>
      <c r="AG2741" s="11">
        <f>$E2741+27</f>
        <v>143</v>
      </c>
      <c r="AH2741" s="12">
        <f>IF($J2741=0,0,ROUND(MAX($J2741*1.4*1.5*1.6*1.6*2.2*2.715*2.6*1.4*1.4*1.5*1.5*3.2,60500000000*(1.654288^(MIN($E2741,123)-117)))*1,0))</f>
        <v>36571624772</v>
      </c>
    </row>
    <row r="2742" ht="28" customHeight="1" spans="1:34" x14ac:dyDescent="0.25">
      <c r="A2742">
        <v>2752</v>
      </c>
      <c r="B2742" t="s">
        <v>167</v>
      </c>
      <c r="C2742" s="10" t="s">
        <v>1593</v>
      </c>
      <c r="D2742" t="s">
        <v>25</v>
      </c>
      <c r="E2742">
        <v>116</v>
      </c>
      <c r="F2742" t="s">
        <v>168</v>
      </c>
      <c r="G2742" t="s">
        <v>562</v>
      </c>
      <c r="H2742">
        <v>29</v>
      </c>
      <c r="I2742" s="11">
        <f>$E2742+0</f>
        <v>116</v>
      </c>
      <c r="J2742" s="12">
        <v>722000</v>
      </c>
      <c r="K2742" s="13">
        <f>$E2742+1</f>
        <v>117</v>
      </c>
      <c r="L2742" s="14">
        <f>IF($J2742=0,0,ROUND(MAX($J2742*1.4,1620000*(1.497923^(MIN($E2742,123)-117)))*1,0))</f>
        <v>1081498</v>
      </c>
      <c r="M2742" s="11">
        <f>$E2742+2</f>
        <v>118</v>
      </c>
      <c r="N2742" s="12">
        <f>IF($J2742=0,0,ROUND(MAX($J2742*1.4*1.5,2190000*(1.580994^(MIN($E2742,123)-117)))*1,0))</f>
        <v>1516200</v>
      </c>
      <c r="O2742" s="13">
        <f>$E2742+4</f>
        <v>120</v>
      </c>
      <c r="P2742" s="14">
        <f>IF($J2742=0,0,ROUND(MAX($J2742*1.4*1.5*1.6,3500000*(1.57975^(MIN($E2742,123)-117)))*1,0))</f>
        <v>2425920</v>
      </c>
      <c r="Q2742" s="11">
        <f>$E2742+6</f>
        <v>122</v>
      </c>
      <c r="R2742" s="12">
        <f>IF($J2742=0,0,ROUND(MAX($J2742*1.4*1.5*1.6*1.6,13100000*(1.429962^(MIN($E2742,123)-117)))*1,0))</f>
        <v>9161083</v>
      </c>
      <c r="S2742" s="13">
        <f>$E2742+8</f>
        <v>124</v>
      </c>
      <c r="T2742" s="14">
        <f>IF($J2742=0,0,ROUND(MAX($J2742*1.4*1.5*1.6*1.6*2.2,42600000*(1.576904^(MIN($E2742,123)-117)))*1,0))</f>
        <v>27014961</v>
      </c>
      <c r="U2742" s="11">
        <f>$E2742+11</f>
        <v>127</v>
      </c>
      <c r="V2742" s="12">
        <f>IF($J2742=0,0,ROUND(MAX($J2742*1.4*1.5*1.6*1.6*2.2*2.715,354000000*(1.642074^(MIN($E2742,123)-117)))*1,0))</f>
        <v>215581027</v>
      </c>
      <c r="W2742" s="13">
        <f>$E2742+15</f>
        <v>131</v>
      </c>
      <c r="X2742" s="14">
        <f>IF($J2742=0,0,ROUND(MAX($J2742*1.4*1.5*1.6*1.6*2.2*2.715*2.6,3540000000*(1.579646^(MIN($E2742,123)-117)))*1,0))</f>
        <v>2241008428</v>
      </c>
      <c r="Y2742" s="11">
        <f>$E2742+17</f>
        <v>133</v>
      </c>
      <c r="Z2742" s="12">
        <f>IF($J2742=0,0,ROUND(MAX($J2742*1.4*1.5*1.6*1.6*2.2*2.715*2.6*1.4,6020000000*(1.651178^(MIN($E2742,123)-117)))*1,0))</f>
        <v>3645881910</v>
      </c>
      <c r="AA2742" s="13">
        <f>$E2742+19</f>
        <v>135</v>
      </c>
      <c r="AB2742" s="14">
        <f>IF($J2742=0,0,ROUND(MAX($J2742*1.4*1.5*1.6*1.6*2.2*2.715*2.6*1.4*1.4,8430000000*(1.651435^(MIN($E2742,123)-117)))*1,0))</f>
        <v>5104651409</v>
      </c>
      <c r="AC2742" s="11">
        <f>$E2742+21</f>
        <v>137</v>
      </c>
      <c r="AD2742" s="12">
        <f>IF($J2742=0,0,ROUND(MAX($J2742*1.4*1.5*1.6*1.6*2.2*2.715*2.6*1.4*1.4*1.5,12600000000*(1.652953^(MIN($E2742,123)-117)))*1,0))</f>
        <v>7622721275</v>
      </c>
      <c r="AE2742" s="13">
        <f>$E2742+24</f>
        <v>140</v>
      </c>
      <c r="AF2742" s="14">
        <f>IF($J2742=0,0,ROUND(MAX($J2742*1.4*1.5*1.6*1.6*2.2*2.715*2.6*1.4*1.4*1.5*1.5,18900000000*(1.65331^(MIN($E2742,123)-117)))*1,0))</f>
        <v>11431612946</v>
      </c>
      <c r="AG2742" s="11">
        <f>$E2742+27</f>
        <v>143</v>
      </c>
      <c r="AH2742" s="12">
        <f>IF($J2742=0,0,ROUND(MAX($J2742*1.4*1.5*1.6*1.6*2.2*2.715*2.6*1.4*1.4*1.5*1.5*3.2,60500000000*(1.654288^(MIN($E2742,123)-117)))*1,0))</f>
        <v>36571624772</v>
      </c>
    </row>
    <row r="2743" ht="28" customHeight="1" spans="1:34" x14ac:dyDescent="0.25">
      <c r="A2743">
        <v>2753</v>
      </c>
      <c r="B2743" t="s">
        <v>1598</v>
      </c>
      <c r="C2743" s="10" t="s">
        <v>1593</v>
      </c>
      <c r="D2743" t="s">
        <v>40</v>
      </c>
      <c r="E2743">
        <v>116</v>
      </c>
      <c r="F2743" t="s">
        <v>144</v>
      </c>
      <c r="G2743" t="s">
        <v>562</v>
      </c>
      <c r="H2743">
        <v>29</v>
      </c>
      <c r="I2743" s="11">
        <f>$E2743+0</f>
        <v>116</v>
      </c>
      <c r="J2743" s="12">
        <v>677000</v>
      </c>
      <c r="K2743" s="13">
        <f>$E2743+1</f>
        <v>117</v>
      </c>
      <c r="L2743" s="14">
        <f>IF($J2743=0,0,ROUND(MAX($J2743*1.4,1620000*(1.497923^(MIN($E2743,123)-117)))*1,0))</f>
        <v>1081498</v>
      </c>
      <c r="M2743" s="11">
        <f>$E2743+2</f>
        <v>118</v>
      </c>
      <c r="N2743" s="12">
        <f>IF($J2743=0,0,ROUND(MAX($J2743*1.4*1.5,2190000*(1.580994^(MIN($E2743,123)-117)))*1,0))</f>
        <v>1421700</v>
      </c>
      <c r="O2743" s="13">
        <f>$E2743+4</f>
        <v>120</v>
      </c>
      <c r="P2743" s="14">
        <f>IF($J2743=0,0,ROUND(MAX($J2743*1.4*1.5*1.6,3500000*(1.57975^(MIN($E2743,123)-117)))*1,0))</f>
        <v>2274720</v>
      </c>
      <c r="Q2743" s="11">
        <f>$E2743+6</f>
        <v>122</v>
      </c>
      <c r="R2743" s="12">
        <f>IF($J2743=0,0,ROUND(MAX($J2743*1.4*1.5*1.6*1.6,13100000*(1.429962^(MIN($E2743,123)-117)))*1,0))</f>
        <v>9161083</v>
      </c>
      <c r="S2743" s="13">
        <f>$E2743+8</f>
        <v>124</v>
      </c>
      <c r="T2743" s="14">
        <f>IF($J2743=0,0,ROUND(MAX($J2743*1.4*1.5*1.6*1.6*2.2,42600000*(1.576904^(MIN($E2743,123)-117)))*1,0))</f>
        <v>27014961</v>
      </c>
      <c r="U2743" s="11">
        <f>$E2743+11</f>
        <v>127</v>
      </c>
      <c r="V2743" s="12">
        <f>IF($J2743=0,0,ROUND(MAX($J2743*1.4*1.5*1.6*1.6*2.2*2.715,354000000*(1.642074^(MIN($E2743,123)-117)))*1,0))</f>
        <v>215581027</v>
      </c>
      <c r="W2743" s="13">
        <f>$E2743+15</f>
        <v>131</v>
      </c>
      <c r="X2743" s="14">
        <f>IF($J2743=0,0,ROUND(MAX($J2743*1.4*1.5*1.6*1.6*2.2*2.715*2.6,3540000000*(1.579646^(MIN($E2743,123)-117)))*1,0))</f>
        <v>2241008428</v>
      </c>
      <c r="Y2743" s="11">
        <f>$E2743+17</f>
        <v>133</v>
      </c>
      <c r="Z2743" s="12">
        <f>IF($J2743=0,0,ROUND(MAX($J2743*1.4*1.5*1.6*1.6*2.2*2.715*2.6*1.4,6020000000*(1.651178^(MIN($E2743,123)-117)))*1,0))</f>
        <v>3645881910</v>
      </c>
      <c r="AA2743" s="13">
        <f>$E2743+19</f>
        <v>135</v>
      </c>
      <c r="AB2743" s="14">
        <f>IF($J2743=0,0,ROUND(MAX($J2743*1.4*1.5*1.6*1.6*2.2*2.715*2.6*1.4*1.4,8430000000*(1.651435^(MIN($E2743,123)-117)))*1,0))</f>
        <v>5104651409</v>
      </c>
      <c r="AC2743" s="11">
        <f>$E2743+21</f>
        <v>137</v>
      </c>
      <c r="AD2743" s="12">
        <f>IF($J2743=0,0,ROUND(MAX($J2743*1.4*1.5*1.6*1.6*2.2*2.715*2.6*1.4*1.4*1.5,12600000000*(1.652953^(MIN($E2743,123)-117)))*1,0))</f>
        <v>7622721275</v>
      </c>
      <c r="AE2743" s="13">
        <f>$E2743+24</f>
        <v>140</v>
      </c>
      <c r="AF2743" s="14">
        <f>IF($J2743=0,0,ROUND(MAX($J2743*1.4*1.5*1.6*1.6*2.2*2.715*2.6*1.4*1.4*1.5*1.5,18900000000*(1.65331^(MIN($E2743,123)-117)))*1,0))</f>
        <v>11431612946</v>
      </c>
      <c r="AG2743" s="11">
        <f>$E2743+27</f>
        <v>143</v>
      </c>
      <c r="AH2743" s="12">
        <f>IF($J2743=0,0,ROUND(MAX($J2743*1.4*1.5*1.6*1.6*2.2*2.715*2.6*1.4*1.4*1.5*1.5*3.2,60500000000*(1.654288^(MIN($E2743,123)-117)))*1,0))</f>
        <v>36571624772</v>
      </c>
    </row>
    <row r="2744" ht="28" customHeight="1" spans="1:34" x14ac:dyDescent="0.25">
      <c r="A2744">
        <v>2754</v>
      </c>
      <c r="B2744" t="s">
        <v>476</v>
      </c>
      <c r="C2744" s="10" t="s">
        <v>1593</v>
      </c>
      <c r="D2744" t="s">
        <v>25</v>
      </c>
      <c r="E2744">
        <v>116</v>
      </c>
      <c r="F2744" t="s">
        <v>144</v>
      </c>
      <c r="G2744" t="s">
        <v>562</v>
      </c>
      <c r="H2744">
        <v>29</v>
      </c>
      <c r="I2744" s="11">
        <f>$E2744+0</f>
        <v>116</v>
      </c>
      <c r="J2744" s="12">
        <v>540000</v>
      </c>
      <c r="K2744" s="13">
        <f>$E2744+1</f>
        <v>117</v>
      </c>
      <c r="L2744" s="14">
        <f>IF($J2744=0,0,ROUND(MAX($J2744*1.4,1620000*(1.497923^(MIN($E2744,123)-117)))*1,0))</f>
        <v>1081498</v>
      </c>
      <c r="M2744" s="11">
        <f>$E2744+2</f>
        <v>118</v>
      </c>
      <c r="N2744" s="12">
        <f>IF($J2744=0,0,ROUND(MAX($J2744*1.4*1.5,2190000*(1.580994^(MIN($E2744,123)-117)))*1,0))</f>
        <v>1385204</v>
      </c>
      <c r="O2744" s="13">
        <f>$E2744+4</f>
        <v>120</v>
      </c>
      <c r="P2744" s="14">
        <f>IF($J2744=0,0,ROUND(MAX($J2744*1.4*1.5*1.6,3500000*(1.57975^(MIN($E2744,123)-117)))*1,0))</f>
        <v>2215540</v>
      </c>
      <c r="Q2744" s="11">
        <f>$E2744+6</f>
        <v>122</v>
      </c>
      <c r="R2744" s="12">
        <f>IF($J2744=0,0,ROUND(MAX($J2744*1.4*1.5*1.6*1.6,13100000*(1.429962^(MIN($E2744,123)-117)))*1,0))</f>
        <v>9161083</v>
      </c>
      <c r="S2744" s="13">
        <f>$E2744+8</f>
        <v>124</v>
      </c>
      <c r="T2744" s="14">
        <f>IF($J2744=0,0,ROUND(MAX($J2744*1.4*1.5*1.6*1.6*2.2,42600000*(1.576904^(MIN($E2744,123)-117)))*1,0))</f>
        <v>27014961</v>
      </c>
      <c r="U2744" s="11">
        <f>$E2744+11</f>
        <v>127</v>
      </c>
      <c r="V2744" s="12">
        <f>IF($J2744=0,0,ROUND(MAX($J2744*1.4*1.5*1.6*1.6*2.2*2.715,354000000*(1.642074^(MIN($E2744,123)-117)))*1,0))</f>
        <v>215581027</v>
      </c>
      <c r="W2744" s="13">
        <f>$E2744+15</f>
        <v>131</v>
      </c>
      <c r="X2744" s="14">
        <f>IF($J2744=0,0,ROUND(MAX($J2744*1.4*1.5*1.6*1.6*2.2*2.715*2.6,3540000000*(1.579646^(MIN($E2744,123)-117)))*1,0))</f>
        <v>2241008428</v>
      </c>
      <c r="Y2744" s="11">
        <f>$E2744+17</f>
        <v>133</v>
      </c>
      <c r="Z2744" s="12">
        <f>IF($J2744=0,0,ROUND(MAX($J2744*1.4*1.5*1.6*1.6*2.2*2.715*2.6*1.4,6020000000*(1.651178^(MIN($E2744,123)-117)))*1,0))</f>
        <v>3645881910</v>
      </c>
      <c r="AA2744" s="13">
        <f>$E2744+19</f>
        <v>135</v>
      </c>
      <c r="AB2744" s="14">
        <f>IF($J2744=0,0,ROUND(MAX($J2744*1.4*1.5*1.6*1.6*2.2*2.715*2.6*1.4*1.4,8430000000*(1.651435^(MIN($E2744,123)-117)))*1,0))</f>
        <v>5104651409</v>
      </c>
      <c r="AC2744" s="11">
        <f>$E2744+21</f>
        <v>137</v>
      </c>
      <c r="AD2744" s="12">
        <f>IF($J2744=0,0,ROUND(MAX($J2744*1.4*1.5*1.6*1.6*2.2*2.715*2.6*1.4*1.4*1.5,12600000000*(1.652953^(MIN($E2744,123)-117)))*1,0))</f>
        <v>7622721275</v>
      </c>
      <c r="AE2744" s="13">
        <f>$E2744+24</f>
        <v>140</v>
      </c>
      <c r="AF2744" s="14">
        <f>IF($J2744=0,0,ROUND(MAX($J2744*1.4*1.5*1.6*1.6*2.2*2.715*2.6*1.4*1.4*1.5*1.5,18900000000*(1.65331^(MIN($E2744,123)-117)))*1,0))</f>
        <v>11431612946</v>
      </c>
      <c r="AG2744" s="11">
        <f>$E2744+27</f>
        <v>143</v>
      </c>
      <c r="AH2744" s="12">
        <f>IF($J2744=0,0,ROUND(MAX($J2744*1.4*1.5*1.6*1.6*2.2*2.715*2.6*1.4*1.4*1.5*1.5*3.2,60500000000*(1.654288^(MIN($E2744,123)-117)))*1,0))</f>
        <v>36571624772</v>
      </c>
    </row>
    <row r="2745" ht="28" customHeight="1" spans="1:34" x14ac:dyDescent="0.25">
      <c r="A2745">
        <v>2755</v>
      </c>
      <c r="B2745" t="s">
        <v>187</v>
      </c>
      <c r="C2745" s="10" t="s">
        <v>1593</v>
      </c>
      <c r="D2745" t="s">
        <v>102</v>
      </c>
      <c r="E2745">
        <v>116</v>
      </c>
      <c r="F2745" t="s">
        <v>54</v>
      </c>
      <c r="G2745" t="s">
        <v>562</v>
      </c>
      <c r="H2745">
        <v>29</v>
      </c>
      <c r="I2745" s="11">
        <f>$E2745+0</f>
        <v>116</v>
      </c>
      <c r="J2745" s="12">
        <v>459000</v>
      </c>
      <c r="K2745" s="13">
        <f>$E2745+1</f>
        <v>117</v>
      </c>
      <c r="L2745" s="14">
        <f>IF($J2745=0,0,ROUND(MAX($J2745*1.4,1620000*(1.497923^(MIN($E2745,123)-117)))*1,0))</f>
        <v>1081498</v>
      </c>
      <c r="M2745" s="11">
        <f>$E2745+2</f>
        <v>118</v>
      </c>
      <c r="N2745" s="12">
        <f>IF($J2745=0,0,ROUND(MAX($J2745*1.4*1.5,2190000*(1.580994^(MIN($E2745,123)-117)))*1,0))</f>
        <v>1385204</v>
      </c>
      <c r="O2745" s="13">
        <f>$E2745+4</f>
        <v>120</v>
      </c>
      <c r="P2745" s="14">
        <f>IF($J2745=0,0,ROUND(MAX($J2745*1.4*1.5*1.6,3500000*(1.57975^(MIN($E2745,123)-117)))*1,0))</f>
        <v>2215540</v>
      </c>
      <c r="Q2745" s="11">
        <f>$E2745+6</f>
        <v>122</v>
      </c>
      <c r="R2745" s="12">
        <f>IF($J2745=0,0,ROUND(MAX($J2745*1.4*1.5*1.6*1.6,13100000*(1.429962^(MIN($E2745,123)-117)))*1,0))</f>
        <v>9161083</v>
      </c>
      <c r="S2745" s="13">
        <f>$E2745+8</f>
        <v>124</v>
      </c>
      <c r="T2745" s="14">
        <f>IF($J2745=0,0,ROUND(MAX($J2745*1.4*1.5*1.6*1.6*2.2,42600000*(1.576904^(MIN($E2745,123)-117)))*1,0))</f>
        <v>27014961</v>
      </c>
      <c r="U2745" s="11">
        <f>$E2745+11</f>
        <v>127</v>
      </c>
      <c r="V2745" s="12">
        <f>IF($J2745=0,0,ROUND(MAX($J2745*1.4*1.5*1.6*1.6*2.2*2.715,354000000*(1.642074^(MIN($E2745,123)-117)))*1,0))</f>
        <v>215581027</v>
      </c>
      <c r="W2745" s="13">
        <f>$E2745+15</f>
        <v>131</v>
      </c>
      <c r="X2745" s="14">
        <f>IF($J2745=0,0,ROUND(MAX($J2745*1.4*1.5*1.6*1.6*2.2*2.715*2.6,3540000000*(1.579646^(MIN($E2745,123)-117)))*1,0))</f>
        <v>2241008428</v>
      </c>
      <c r="Y2745" s="11">
        <f>$E2745+17</f>
        <v>133</v>
      </c>
      <c r="Z2745" s="12">
        <f>IF($J2745=0,0,ROUND(MAX($J2745*1.4*1.5*1.6*1.6*2.2*2.715*2.6*1.4,6020000000*(1.651178^(MIN($E2745,123)-117)))*1,0))</f>
        <v>3645881910</v>
      </c>
      <c r="AA2745" s="13">
        <f>$E2745+19</f>
        <v>135</v>
      </c>
      <c r="AB2745" s="14">
        <f>IF($J2745=0,0,ROUND(MAX($J2745*1.4*1.5*1.6*1.6*2.2*2.715*2.6*1.4*1.4,8430000000*(1.651435^(MIN($E2745,123)-117)))*1,0))</f>
        <v>5104651409</v>
      </c>
      <c r="AC2745" s="11">
        <f>$E2745+21</f>
        <v>137</v>
      </c>
      <c r="AD2745" s="12">
        <f>IF($J2745=0,0,ROUND(MAX($J2745*1.4*1.5*1.6*1.6*2.2*2.715*2.6*1.4*1.4*1.5,12600000000*(1.652953^(MIN($E2745,123)-117)))*1,0))</f>
        <v>7622721275</v>
      </c>
      <c r="AE2745" s="13">
        <f>$E2745+24</f>
        <v>140</v>
      </c>
      <c r="AF2745" s="14">
        <f>IF($J2745=0,0,ROUND(MAX($J2745*1.4*1.5*1.6*1.6*2.2*2.715*2.6*1.4*1.4*1.5*1.5,18900000000*(1.65331^(MIN($E2745,123)-117)))*1,0))</f>
        <v>11431612946</v>
      </c>
      <c r="AG2745" s="11">
        <f>$E2745+27</f>
        <v>143</v>
      </c>
      <c r="AH2745" s="12">
        <f>IF($J2745=0,0,ROUND(MAX($J2745*1.4*1.5*1.6*1.6*2.2*2.715*2.6*1.4*1.4*1.5*1.5*3.2,60500000000*(1.654288^(MIN($E2745,123)-117)))*1,0))</f>
        <v>36571624772</v>
      </c>
    </row>
    <row r="2746" ht="28" customHeight="1" spans="1:34" x14ac:dyDescent="0.25">
      <c r="A2746">
        <v>2756</v>
      </c>
      <c r="B2746" t="s">
        <v>1599</v>
      </c>
      <c r="C2746" s="10" t="s">
        <v>1593</v>
      </c>
      <c r="D2746" t="s">
        <v>29</v>
      </c>
      <c r="E2746">
        <v>116</v>
      </c>
      <c r="F2746" t="s">
        <v>217</v>
      </c>
      <c r="G2746" t="s">
        <v>595</v>
      </c>
      <c r="H2746">
        <v>28</v>
      </c>
      <c r="I2746" s="11">
        <f>$E2746+0</f>
        <v>116</v>
      </c>
      <c r="J2746" s="12">
        <v>409000</v>
      </c>
      <c r="K2746" s="13">
        <f>$E2746+1</f>
        <v>117</v>
      </c>
      <c r="L2746" s="14">
        <f>IF($J2746=0,0,ROUND(MAX($J2746*1.4,1620000*(1.497923^(MIN($E2746,123)-117)))*1,0))</f>
        <v>1081498</v>
      </c>
      <c r="M2746" s="11">
        <f>$E2746+2</f>
        <v>118</v>
      </c>
      <c r="N2746" s="12">
        <f>IF($J2746=0,0,ROUND(MAX($J2746*1.4*1.5,2190000*(1.580994^(MIN($E2746,123)-117)))*1,0))</f>
        <v>1385204</v>
      </c>
      <c r="O2746" s="13">
        <f>$E2746+4</f>
        <v>120</v>
      </c>
      <c r="P2746" s="14">
        <f>IF($J2746=0,0,ROUND(MAX($J2746*1.4*1.5*1.6,3500000*(1.57975^(MIN($E2746,123)-117)))*1,0))</f>
        <v>2215540</v>
      </c>
      <c r="Q2746" s="11">
        <f>$E2746+6</f>
        <v>122</v>
      </c>
      <c r="R2746" s="12">
        <f>IF($J2746=0,0,ROUND(MAX($J2746*1.4*1.5*1.6*1.6,13100000*(1.429962^(MIN($E2746,123)-117)))*1,0))</f>
        <v>9161083</v>
      </c>
      <c r="S2746" s="13">
        <f>$E2746+8</f>
        <v>124</v>
      </c>
      <c r="T2746" s="14">
        <f>IF($J2746=0,0,ROUND(MAX($J2746*1.4*1.5*1.6*1.6*2.2,42600000*(1.576904^(MIN($E2746,123)-117)))*1,0))</f>
        <v>27014961</v>
      </c>
      <c r="U2746" s="11">
        <f>$E2746+11</f>
        <v>127</v>
      </c>
      <c r="V2746" s="12">
        <f>IF($J2746=0,0,ROUND(MAX($J2746*1.4*1.5*1.6*1.6*2.2*2.715,354000000*(1.642074^(MIN($E2746,123)-117)))*1,0))</f>
        <v>215581027</v>
      </c>
      <c r="W2746" s="13">
        <f>$E2746+15</f>
        <v>131</v>
      </c>
      <c r="X2746" s="14">
        <f>IF($J2746=0,0,ROUND(MAX($J2746*1.4*1.5*1.6*1.6*2.2*2.715*2.6,3540000000*(1.579646^(MIN($E2746,123)-117)))*1,0))</f>
        <v>2241008428</v>
      </c>
      <c r="Y2746" s="11">
        <f>$E2746+17</f>
        <v>133</v>
      </c>
      <c r="Z2746" s="12">
        <f>IF($J2746=0,0,ROUND(MAX($J2746*1.4*1.5*1.6*1.6*2.2*2.715*2.6*1.4,6020000000*(1.651178^(MIN($E2746,123)-117)))*1,0))</f>
        <v>3645881910</v>
      </c>
      <c r="AA2746" s="13">
        <f>$E2746+19</f>
        <v>135</v>
      </c>
      <c r="AB2746" s="14">
        <f>IF($J2746=0,0,ROUND(MAX($J2746*1.4*1.5*1.6*1.6*2.2*2.715*2.6*1.4*1.4,8430000000*(1.651435^(MIN($E2746,123)-117)))*1,0))</f>
        <v>5104651409</v>
      </c>
      <c r="AC2746" s="11">
        <f>$E2746+21</f>
        <v>137</v>
      </c>
      <c r="AD2746" s="12">
        <f>IF($J2746=0,0,ROUND(MAX($J2746*1.4*1.5*1.6*1.6*2.2*2.715*2.6*1.4*1.4*1.5,12600000000*(1.652953^(MIN($E2746,123)-117)))*1,0))</f>
        <v>7622721275</v>
      </c>
      <c r="AE2746" s="13">
        <f>$E2746+24</f>
        <v>140</v>
      </c>
      <c r="AF2746" s="14">
        <f>IF($J2746=0,0,ROUND(MAX($J2746*1.4*1.5*1.6*1.6*2.2*2.715*2.6*1.4*1.4*1.5*1.5,18900000000*(1.65331^(MIN($E2746,123)-117)))*1,0))</f>
        <v>11431612946</v>
      </c>
      <c r="AG2746" s="11">
        <f>$E2746+27</f>
        <v>143</v>
      </c>
      <c r="AH2746" s="12">
        <f>IF($J2746=0,0,ROUND(MAX($J2746*1.4*1.5*1.6*1.6*2.2*2.715*2.6*1.4*1.4*1.5*1.5*3.2,60500000000*(1.654288^(MIN($E2746,123)-117)))*1,0))</f>
        <v>36571624772</v>
      </c>
    </row>
    <row r="2747" ht="28" customHeight="1" spans="1:34" x14ac:dyDescent="0.25">
      <c r="A2747">
        <v>2757</v>
      </c>
      <c r="B2747" t="s">
        <v>936</v>
      </c>
      <c r="C2747" s="10" t="s">
        <v>1593</v>
      </c>
      <c r="D2747" t="s">
        <v>25</v>
      </c>
      <c r="E2747">
        <v>116</v>
      </c>
      <c r="F2747" t="s">
        <v>62</v>
      </c>
      <c r="G2747" t="s">
        <v>104</v>
      </c>
      <c r="H2747">
        <v>28</v>
      </c>
      <c r="I2747" s="11">
        <f>$E2747+0</f>
        <v>116</v>
      </c>
      <c r="J2747" s="12">
        <v>415000</v>
      </c>
      <c r="K2747" s="13">
        <f>$E2747+1</f>
        <v>117</v>
      </c>
      <c r="L2747" s="14">
        <f>IF($J2747=0,0,ROUND(MAX($J2747*1.4,1620000*(1.497923^(MIN($E2747,123)-117)))*1,0))</f>
        <v>1081498</v>
      </c>
      <c r="M2747" s="11">
        <f>$E2747+2</f>
        <v>118</v>
      </c>
      <c r="N2747" s="12">
        <f>IF($J2747=0,0,ROUND(MAX($J2747*1.4*1.5,2190000*(1.580994^(MIN($E2747,123)-117)))*1,0))</f>
        <v>1385204</v>
      </c>
      <c r="O2747" s="13">
        <f>$E2747+4</f>
        <v>120</v>
      </c>
      <c r="P2747" s="14">
        <f>IF($J2747=0,0,ROUND(MAX($J2747*1.4*1.5*1.6,3500000*(1.57975^(MIN($E2747,123)-117)))*1,0))</f>
        <v>2215540</v>
      </c>
      <c r="Q2747" s="11">
        <f>$E2747+6</f>
        <v>122</v>
      </c>
      <c r="R2747" s="12">
        <f>IF($J2747=0,0,ROUND(MAX($J2747*1.4*1.5*1.6*1.6,13100000*(1.429962^(MIN($E2747,123)-117)))*1,0))</f>
        <v>9161083</v>
      </c>
      <c r="S2747" s="13">
        <f>$E2747+8</f>
        <v>124</v>
      </c>
      <c r="T2747" s="14">
        <f>IF($J2747=0,0,ROUND(MAX($J2747*1.4*1.5*1.6*1.6*2.2,42600000*(1.576904^(MIN($E2747,123)-117)))*1,0))</f>
        <v>27014961</v>
      </c>
      <c r="U2747" s="11">
        <f>$E2747+11</f>
        <v>127</v>
      </c>
      <c r="V2747" s="12">
        <f>IF($J2747=0,0,ROUND(MAX($J2747*1.4*1.5*1.6*1.6*2.2*2.715,354000000*(1.642074^(MIN($E2747,123)-117)))*1,0))</f>
        <v>215581027</v>
      </c>
      <c r="W2747" s="13">
        <f>$E2747+15</f>
        <v>131</v>
      </c>
      <c r="X2747" s="14">
        <f>IF($J2747=0,0,ROUND(MAX($J2747*1.4*1.5*1.6*1.6*2.2*2.715*2.6,3540000000*(1.579646^(MIN($E2747,123)-117)))*1,0))</f>
        <v>2241008428</v>
      </c>
      <c r="Y2747" s="11">
        <f>$E2747+17</f>
        <v>133</v>
      </c>
      <c r="Z2747" s="12">
        <f>IF($J2747=0,0,ROUND(MAX($J2747*1.4*1.5*1.6*1.6*2.2*2.715*2.6*1.4,6020000000*(1.651178^(MIN($E2747,123)-117)))*1,0))</f>
        <v>3645881910</v>
      </c>
      <c r="AA2747" s="13">
        <f>$E2747+19</f>
        <v>135</v>
      </c>
      <c r="AB2747" s="14">
        <f>IF($J2747=0,0,ROUND(MAX($J2747*1.4*1.5*1.6*1.6*2.2*2.715*2.6*1.4*1.4,8430000000*(1.651435^(MIN($E2747,123)-117)))*1,0))</f>
        <v>5104651409</v>
      </c>
      <c r="AC2747" s="11">
        <f>$E2747+21</f>
        <v>137</v>
      </c>
      <c r="AD2747" s="12">
        <f>IF($J2747=0,0,ROUND(MAX($J2747*1.4*1.5*1.6*1.6*2.2*2.715*2.6*1.4*1.4*1.5,12600000000*(1.652953^(MIN($E2747,123)-117)))*1,0))</f>
        <v>7622721275</v>
      </c>
      <c r="AE2747" s="13">
        <f>$E2747+24</f>
        <v>140</v>
      </c>
      <c r="AF2747" s="14">
        <f>IF($J2747=0,0,ROUND(MAX($J2747*1.4*1.5*1.6*1.6*2.2*2.715*2.6*1.4*1.4*1.5*1.5,18900000000*(1.65331^(MIN($E2747,123)-117)))*1,0))</f>
        <v>11431612946</v>
      </c>
      <c r="AG2747" s="11">
        <f>$E2747+27</f>
        <v>143</v>
      </c>
      <c r="AH2747" s="12">
        <f>IF($J2747=0,0,ROUND(MAX($J2747*1.4*1.5*1.6*1.6*2.2*2.715*2.6*1.4*1.4*1.5*1.5*3.2,60500000000*(1.654288^(MIN($E2747,123)-117)))*1,0))</f>
        <v>36571624772</v>
      </c>
    </row>
    <row r="2748" ht="28" customHeight="1" spans="1:34" x14ac:dyDescent="0.25">
      <c r="A2748">
        <v>2758</v>
      </c>
      <c r="B2748" t="s">
        <v>1600</v>
      </c>
      <c r="C2748" s="10" t="s">
        <v>1593</v>
      </c>
      <c r="D2748" t="s">
        <v>33</v>
      </c>
      <c r="E2748">
        <v>116</v>
      </c>
      <c r="F2748" t="s">
        <v>258</v>
      </c>
      <c r="G2748" t="s">
        <v>206</v>
      </c>
      <c r="H2748">
        <v>28</v>
      </c>
      <c r="I2748" s="11">
        <f>$E2748+0</f>
        <v>116</v>
      </c>
      <c r="J2748" s="12">
        <v>419000</v>
      </c>
      <c r="K2748" s="13">
        <f>$E2748+1</f>
        <v>117</v>
      </c>
      <c r="L2748" s="14">
        <f>IF($J2748=0,0,ROUND(MAX($J2748*1.4,1620000*(1.497923^(MIN($E2748,123)-117)))*1,0))</f>
        <v>1081498</v>
      </c>
      <c r="M2748" s="11">
        <f>$E2748+2</f>
        <v>118</v>
      </c>
      <c r="N2748" s="12">
        <f>IF($J2748=0,0,ROUND(MAX($J2748*1.4*1.5,2190000*(1.580994^(MIN($E2748,123)-117)))*1,0))</f>
        <v>1385204</v>
      </c>
      <c r="O2748" s="13">
        <f>$E2748+4</f>
        <v>120</v>
      </c>
      <c r="P2748" s="14">
        <f>IF($J2748=0,0,ROUND(MAX($J2748*1.4*1.5*1.6,3500000*(1.57975^(MIN($E2748,123)-117)))*1,0))</f>
        <v>2215540</v>
      </c>
      <c r="Q2748" s="11">
        <f>$E2748+6</f>
        <v>122</v>
      </c>
      <c r="R2748" s="12">
        <f>IF($J2748=0,0,ROUND(MAX($J2748*1.4*1.5*1.6*1.6,13100000*(1.429962^(MIN($E2748,123)-117)))*1,0))</f>
        <v>9161083</v>
      </c>
      <c r="S2748" s="13">
        <f>$E2748+8</f>
        <v>124</v>
      </c>
      <c r="T2748" s="14">
        <f>IF($J2748=0,0,ROUND(MAX($J2748*1.4*1.5*1.6*1.6*2.2,42600000*(1.576904^(MIN($E2748,123)-117)))*1,0))</f>
        <v>27014961</v>
      </c>
      <c r="U2748" s="11">
        <f>$E2748+11</f>
        <v>127</v>
      </c>
      <c r="V2748" s="12">
        <f>IF($J2748=0,0,ROUND(MAX($J2748*1.4*1.5*1.6*1.6*2.2*2.715,354000000*(1.642074^(MIN($E2748,123)-117)))*1,0))</f>
        <v>215581027</v>
      </c>
      <c r="W2748" s="13">
        <f>$E2748+15</f>
        <v>131</v>
      </c>
      <c r="X2748" s="14">
        <f>IF($J2748=0,0,ROUND(MAX($J2748*1.4*1.5*1.6*1.6*2.2*2.715*2.6,3540000000*(1.579646^(MIN($E2748,123)-117)))*1,0))</f>
        <v>2241008428</v>
      </c>
      <c r="Y2748" s="11">
        <f>$E2748+17</f>
        <v>133</v>
      </c>
      <c r="Z2748" s="12">
        <f>IF($J2748=0,0,ROUND(MAX($J2748*1.4*1.5*1.6*1.6*2.2*2.715*2.6*1.4,6020000000*(1.651178^(MIN($E2748,123)-117)))*1,0))</f>
        <v>3645881910</v>
      </c>
      <c r="AA2748" s="13">
        <f>$E2748+19</f>
        <v>135</v>
      </c>
      <c r="AB2748" s="14">
        <f>IF($J2748=0,0,ROUND(MAX($J2748*1.4*1.5*1.6*1.6*2.2*2.715*2.6*1.4*1.4,8430000000*(1.651435^(MIN($E2748,123)-117)))*1,0))</f>
        <v>5104651409</v>
      </c>
      <c r="AC2748" s="11">
        <f>$E2748+21</f>
        <v>137</v>
      </c>
      <c r="AD2748" s="12">
        <f>IF($J2748=0,0,ROUND(MAX($J2748*1.4*1.5*1.6*1.6*2.2*2.715*2.6*1.4*1.4*1.5,12600000000*(1.652953^(MIN($E2748,123)-117)))*1,0))</f>
        <v>7622721275</v>
      </c>
      <c r="AE2748" s="13">
        <f>$E2748+24</f>
        <v>140</v>
      </c>
      <c r="AF2748" s="14">
        <f>IF($J2748=0,0,ROUND(MAX($J2748*1.4*1.5*1.6*1.6*2.2*2.715*2.6*1.4*1.4*1.5*1.5,18900000000*(1.65331^(MIN($E2748,123)-117)))*1,0))</f>
        <v>11431612946</v>
      </c>
      <c r="AG2748" s="11">
        <f>$E2748+27</f>
        <v>143</v>
      </c>
      <c r="AH2748" s="12">
        <f>IF($J2748=0,0,ROUND(MAX($J2748*1.4*1.5*1.6*1.6*2.2*2.715*2.6*1.4*1.4*1.5*1.5*3.2,60500000000*(1.654288^(MIN($E2748,123)-117)))*1,0))</f>
        <v>36571624772</v>
      </c>
    </row>
    <row r="2749" ht="28" customHeight="1" spans="1:34" x14ac:dyDescent="0.25">
      <c r="A2749">
        <v>2759</v>
      </c>
      <c r="B2749" t="s">
        <v>1317</v>
      </c>
      <c r="C2749" s="10" t="s">
        <v>1593</v>
      </c>
      <c r="D2749" t="s">
        <v>241</v>
      </c>
      <c r="E2749">
        <v>116</v>
      </c>
      <c r="F2749" t="s">
        <v>179</v>
      </c>
      <c r="G2749" t="s">
        <v>1312</v>
      </c>
      <c r="H2749">
        <v>28</v>
      </c>
      <c r="I2749" s="11">
        <f>$E2749+0</f>
        <v>116</v>
      </c>
      <c r="J2749" s="12">
        <v>417000</v>
      </c>
      <c r="K2749" s="13">
        <f>$E2749+1</f>
        <v>117</v>
      </c>
      <c r="L2749" s="14">
        <f>IF($J2749=0,0,ROUND(MAX($J2749*1.4,1620000*(1.497923^(MIN($E2749,123)-117)))*1,0))</f>
        <v>1081498</v>
      </c>
      <c r="M2749" s="11">
        <f>$E2749+2</f>
        <v>118</v>
      </c>
      <c r="N2749" s="12">
        <f>IF($J2749=0,0,ROUND(MAX($J2749*1.4*1.5,2190000*(1.580994^(MIN($E2749,123)-117)))*1,0))</f>
        <v>1385204</v>
      </c>
      <c r="O2749" s="13">
        <f>$E2749+4</f>
        <v>120</v>
      </c>
      <c r="P2749" s="14">
        <f>IF($J2749=0,0,ROUND(MAX($J2749*1.4*1.5*1.6,3500000*(1.57975^(MIN($E2749,123)-117)))*1,0))</f>
        <v>2215540</v>
      </c>
      <c r="Q2749" s="11">
        <f>$E2749+6</f>
        <v>122</v>
      </c>
      <c r="R2749" s="12">
        <f>IF($J2749=0,0,ROUND(MAX($J2749*1.4*1.5*1.6*1.6,13100000*(1.429962^(MIN($E2749,123)-117)))*1,0))</f>
        <v>9161083</v>
      </c>
      <c r="S2749" s="13">
        <f>$E2749+8</f>
        <v>124</v>
      </c>
      <c r="T2749" s="14">
        <f>IF($J2749=0,0,ROUND(MAX($J2749*1.4*1.5*1.6*1.6*2.2,42600000*(1.576904^(MIN($E2749,123)-117)))*1,0))</f>
        <v>27014961</v>
      </c>
      <c r="U2749" s="11">
        <f>$E2749+11</f>
        <v>127</v>
      </c>
      <c r="V2749" s="12">
        <f>IF($J2749=0,0,ROUND(MAX($J2749*1.4*1.5*1.6*1.6*2.2*2.715,354000000*(1.642074^(MIN($E2749,123)-117)))*1,0))</f>
        <v>215581027</v>
      </c>
      <c r="W2749" s="13">
        <f>$E2749+15</f>
        <v>131</v>
      </c>
      <c r="X2749" s="14">
        <f>IF($J2749=0,0,ROUND(MAX($J2749*1.4*1.5*1.6*1.6*2.2*2.715*2.6,3540000000*(1.579646^(MIN($E2749,123)-117)))*1,0))</f>
        <v>2241008428</v>
      </c>
      <c r="Y2749" s="11">
        <f>$E2749+17</f>
        <v>133</v>
      </c>
      <c r="Z2749" s="12">
        <f>IF($J2749=0,0,ROUND(MAX($J2749*1.4*1.5*1.6*1.6*2.2*2.715*2.6*1.4,6020000000*(1.651178^(MIN($E2749,123)-117)))*1,0))</f>
        <v>3645881910</v>
      </c>
      <c r="AA2749" s="13">
        <f>$E2749+19</f>
        <v>135</v>
      </c>
      <c r="AB2749" s="14">
        <f>IF($J2749=0,0,ROUND(MAX($J2749*1.4*1.5*1.6*1.6*2.2*2.715*2.6*1.4*1.4,8430000000*(1.651435^(MIN($E2749,123)-117)))*1,0))</f>
        <v>5104651409</v>
      </c>
      <c r="AC2749" s="11">
        <f>$E2749+21</f>
        <v>137</v>
      </c>
      <c r="AD2749" s="12">
        <f>IF($J2749=0,0,ROUND(MAX($J2749*1.4*1.5*1.6*1.6*2.2*2.715*2.6*1.4*1.4*1.5,12600000000*(1.652953^(MIN($E2749,123)-117)))*1,0))</f>
        <v>7622721275</v>
      </c>
      <c r="AE2749" s="13">
        <f>$E2749+24</f>
        <v>140</v>
      </c>
      <c r="AF2749" s="14">
        <f>IF($J2749=0,0,ROUND(MAX($J2749*1.4*1.5*1.6*1.6*2.2*2.715*2.6*1.4*1.4*1.5*1.5,18900000000*(1.65331^(MIN($E2749,123)-117)))*1,0))</f>
        <v>11431612946</v>
      </c>
      <c r="AG2749" s="11">
        <f>$E2749+27</f>
        <v>143</v>
      </c>
      <c r="AH2749" s="12">
        <f>IF($J2749=0,0,ROUND(MAX($J2749*1.4*1.5*1.6*1.6*2.2*2.715*2.6*1.4*1.4*1.5*1.5*3.2,60500000000*(1.654288^(MIN($E2749,123)-117)))*1,0))</f>
        <v>36571624772</v>
      </c>
    </row>
    <row r="2750" ht="28" customHeight="1" spans="1:34" x14ac:dyDescent="0.25">
      <c r="A2750">
        <v>2760</v>
      </c>
      <c r="B2750" t="s">
        <v>1601</v>
      </c>
      <c r="C2750" s="10" t="s">
        <v>1593</v>
      </c>
      <c r="D2750" t="s">
        <v>75</v>
      </c>
      <c r="E2750">
        <v>116</v>
      </c>
      <c r="F2750" t="s">
        <v>71</v>
      </c>
      <c r="G2750" t="s">
        <v>247</v>
      </c>
      <c r="H2750">
        <v>28</v>
      </c>
      <c r="I2750" s="11">
        <f>$E2750+0</f>
        <v>116</v>
      </c>
      <c r="J2750" s="12">
        <v>362000</v>
      </c>
      <c r="K2750" s="13">
        <f>$E2750+1</f>
        <v>117</v>
      </c>
      <c r="L2750" s="14">
        <f>IF($J2750=0,0,ROUND(MAX($J2750*1.4,1620000*(1.497923^(MIN($E2750,123)-117)))*1,0))</f>
        <v>1081498</v>
      </c>
      <c r="M2750" s="11">
        <f>$E2750+2</f>
        <v>118</v>
      </c>
      <c r="N2750" s="12">
        <f>IF($J2750=0,0,ROUND(MAX($J2750*1.4*1.5,2190000*(1.580994^(MIN($E2750,123)-117)))*1,0))</f>
        <v>1385204</v>
      </c>
      <c r="O2750" s="13">
        <f>$E2750+4</f>
        <v>120</v>
      </c>
      <c r="P2750" s="14">
        <f>IF($J2750=0,0,ROUND(MAX($J2750*1.4*1.5*1.6,3500000*(1.57975^(MIN($E2750,123)-117)))*1,0))</f>
        <v>2215540</v>
      </c>
      <c r="Q2750" s="11">
        <f>$E2750+6</f>
        <v>122</v>
      </c>
      <c r="R2750" s="12">
        <f>IF($J2750=0,0,ROUND(MAX($J2750*1.4*1.5*1.6*1.6,13100000*(1.429962^(MIN($E2750,123)-117)))*1,0))</f>
        <v>9161083</v>
      </c>
      <c r="S2750" s="13">
        <f>$E2750+8</f>
        <v>124</v>
      </c>
      <c r="T2750" s="14">
        <f>IF($J2750=0,0,ROUND(MAX($J2750*1.4*1.5*1.6*1.6*2.2,42600000*(1.576904^(MIN($E2750,123)-117)))*1,0))</f>
        <v>27014961</v>
      </c>
      <c r="U2750" s="11">
        <f>$E2750+11</f>
        <v>127</v>
      </c>
      <c r="V2750" s="12">
        <f>IF($J2750=0,0,ROUND(MAX($J2750*1.4*1.5*1.6*1.6*2.2*2.715,354000000*(1.642074^(MIN($E2750,123)-117)))*1,0))</f>
        <v>215581027</v>
      </c>
      <c r="W2750" s="13">
        <f>$E2750+15</f>
        <v>131</v>
      </c>
      <c r="X2750" s="14">
        <f>IF($J2750=0,0,ROUND(MAX($J2750*1.4*1.5*1.6*1.6*2.2*2.715*2.6,3540000000*(1.579646^(MIN($E2750,123)-117)))*1,0))</f>
        <v>2241008428</v>
      </c>
      <c r="Y2750" s="11">
        <f>$E2750+17</f>
        <v>133</v>
      </c>
      <c r="Z2750" s="12">
        <f>IF($J2750=0,0,ROUND(MAX($J2750*1.4*1.5*1.6*1.6*2.2*2.715*2.6*1.4,6020000000*(1.651178^(MIN($E2750,123)-117)))*1,0))</f>
        <v>3645881910</v>
      </c>
      <c r="AA2750" s="13">
        <f>$E2750+19</f>
        <v>135</v>
      </c>
      <c r="AB2750" s="14">
        <f>IF($J2750=0,0,ROUND(MAX($J2750*1.4*1.5*1.6*1.6*2.2*2.715*2.6*1.4*1.4,8430000000*(1.651435^(MIN($E2750,123)-117)))*1,0))</f>
        <v>5104651409</v>
      </c>
      <c r="AC2750" s="11">
        <f>$E2750+21</f>
        <v>137</v>
      </c>
      <c r="AD2750" s="12">
        <f>IF($J2750=0,0,ROUND(MAX($J2750*1.4*1.5*1.6*1.6*2.2*2.715*2.6*1.4*1.4*1.5,12600000000*(1.652953^(MIN($E2750,123)-117)))*1,0))</f>
        <v>7622721275</v>
      </c>
      <c r="AE2750" s="13">
        <f>$E2750+24</f>
        <v>140</v>
      </c>
      <c r="AF2750" s="14">
        <f>IF($J2750=0,0,ROUND(MAX($J2750*1.4*1.5*1.6*1.6*2.2*2.715*2.6*1.4*1.4*1.5*1.5,18900000000*(1.65331^(MIN($E2750,123)-117)))*1,0))</f>
        <v>11431612946</v>
      </c>
      <c r="AG2750" s="11">
        <f>$E2750+27</f>
        <v>143</v>
      </c>
      <c r="AH2750" s="12">
        <f>IF($J2750=0,0,ROUND(MAX($J2750*1.4*1.5*1.6*1.6*2.2*2.715*2.6*1.4*1.4*1.5*1.5*3.2,60500000000*(1.654288^(MIN($E2750,123)-117)))*1,0))</f>
        <v>36571624772</v>
      </c>
    </row>
    <row r="2751" ht="28" customHeight="1" spans="1:34" x14ac:dyDescent="0.25">
      <c r="A2751">
        <v>2761</v>
      </c>
      <c r="B2751" t="s">
        <v>844</v>
      </c>
      <c r="C2751" s="10" t="s">
        <v>1593</v>
      </c>
      <c r="D2751" t="s">
        <v>33</v>
      </c>
      <c r="E2751">
        <v>116</v>
      </c>
      <c r="F2751" t="s">
        <v>179</v>
      </c>
      <c r="G2751" t="s">
        <v>213</v>
      </c>
      <c r="H2751">
        <v>28</v>
      </c>
      <c r="I2751" s="11">
        <f>$E2751+0</f>
        <v>116</v>
      </c>
      <c r="J2751" s="12">
        <v>519000</v>
      </c>
      <c r="K2751" s="13">
        <f>$E2751+1</f>
        <v>117</v>
      </c>
      <c r="L2751" s="14">
        <f>IF($J2751=0,0,ROUND(MAX($J2751*1.4,1620000*(1.497923^(MIN($E2751,123)-117)))*1,0))</f>
        <v>1081498</v>
      </c>
      <c r="M2751" s="11">
        <f>$E2751+2</f>
        <v>118</v>
      </c>
      <c r="N2751" s="12">
        <f>IF($J2751=0,0,ROUND(MAX($J2751*1.4*1.5,2190000*(1.580994^(MIN($E2751,123)-117)))*1,0))</f>
        <v>1385204</v>
      </c>
      <c r="O2751" s="13">
        <f>$E2751+4</f>
        <v>120</v>
      </c>
      <c r="P2751" s="14">
        <f>IF($J2751=0,0,ROUND(MAX($J2751*1.4*1.5*1.6,3500000*(1.57975^(MIN($E2751,123)-117)))*1,0))</f>
        <v>2215540</v>
      </c>
      <c r="Q2751" s="11">
        <f>$E2751+6</f>
        <v>122</v>
      </c>
      <c r="R2751" s="12">
        <f>IF($J2751=0,0,ROUND(MAX($J2751*1.4*1.5*1.6*1.6,13100000*(1.429962^(MIN($E2751,123)-117)))*1,0))</f>
        <v>9161083</v>
      </c>
      <c r="S2751" s="13">
        <f>$E2751+8</f>
        <v>124</v>
      </c>
      <c r="T2751" s="14">
        <f>IF($J2751=0,0,ROUND(MAX($J2751*1.4*1.5*1.6*1.6*2.2,42600000*(1.576904^(MIN($E2751,123)-117)))*1,0))</f>
        <v>27014961</v>
      </c>
      <c r="U2751" s="11">
        <f>$E2751+11</f>
        <v>127</v>
      </c>
      <c r="V2751" s="12">
        <f>IF($J2751=0,0,ROUND(MAX($J2751*1.4*1.5*1.6*1.6*2.2*2.715,354000000*(1.642074^(MIN($E2751,123)-117)))*1,0))</f>
        <v>215581027</v>
      </c>
      <c r="W2751" s="13">
        <f>$E2751+15</f>
        <v>131</v>
      </c>
      <c r="X2751" s="14">
        <f>IF($J2751=0,0,ROUND(MAX($J2751*1.4*1.5*1.6*1.6*2.2*2.715*2.6,3540000000*(1.579646^(MIN($E2751,123)-117)))*1,0))</f>
        <v>2241008428</v>
      </c>
      <c r="Y2751" s="11">
        <f>$E2751+17</f>
        <v>133</v>
      </c>
      <c r="Z2751" s="12">
        <f>IF($J2751=0,0,ROUND(MAX($J2751*1.4*1.5*1.6*1.6*2.2*2.715*2.6*1.4,6020000000*(1.651178^(MIN($E2751,123)-117)))*1,0))</f>
        <v>3645881910</v>
      </c>
      <c r="AA2751" s="13">
        <f>$E2751+19</f>
        <v>135</v>
      </c>
      <c r="AB2751" s="14">
        <f>IF($J2751=0,0,ROUND(MAX($J2751*1.4*1.5*1.6*1.6*2.2*2.715*2.6*1.4*1.4,8430000000*(1.651435^(MIN($E2751,123)-117)))*1,0))</f>
        <v>5104651409</v>
      </c>
      <c r="AC2751" s="11">
        <f>$E2751+21</f>
        <v>137</v>
      </c>
      <c r="AD2751" s="12">
        <f>IF($J2751=0,0,ROUND(MAX($J2751*1.4*1.5*1.6*1.6*2.2*2.715*2.6*1.4*1.4*1.5,12600000000*(1.652953^(MIN($E2751,123)-117)))*1,0))</f>
        <v>7622721275</v>
      </c>
      <c r="AE2751" s="13">
        <f>$E2751+24</f>
        <v>140</v>
      </c>
      <c r="AF2751" s="14">
        <f>IF($J2751=0,0,ROUND(MAX($J2751*1.4*1.5*1.6*1.6*2.2*2.715*2.6*1.4*1.4*1.5*1.5,18900000000*(1.65331^(MIN($E2751,123)-117)))*1,0))</f>
        <v>11431612946</v>
      </c>
      <c r="AG2751" s="11">
        <f>$E2751+27</f>
        <v>143</v>
      </c>
      <c r="AH2751" s="12">
        <f>IF($J2751=0,0,ROUND(MAX($J2751*1.4*1.5*1.6*1.6*2.2*2.715*2.6*1.4*1.4*1.5*1.5*3.2,60500000000*(1.654288^(MIN($E2751,123)-117)))*1,0))</f>
        <v>36571624772</v>
      </c>
    </row>
    <row r="2752" ht="28" customHeight="1" spans="1:34" x14ac:dyDescent="0.25">
      <c r="A2752">
        <v>2762</v>
      </c>
      <c r="B2752" t="s">
        <v>129</v>
      </c>
      <c r="C2752" s="10" t="s">
        <v>1593</v>
      </c>
      <c r="D2752" t="s">
        <v>102</v>
      </c>
      <c r="E2752">
        <v>116</v>
      </c>
      <c r="F2752" t="s">
        <v>30</v>
      </c>
      <c r="G2752" t="s">
        <v>562</v>
      </c>
      <c r="H2752">
        <v>28</v>
      </c>
      <c r="I2752" s="11">
        <f>$E2752+0</f>
        <v>116</v>
      </c>
      <c r="J2752" s="12">
        <v>400000</v>
      </c>
      <c r="K2752" s="13">
        <f>$E2752+1</f>
        <v>117</v>
      </c>
      <c r="L2752" s="14">
        <f>IF($J2752=0,0,ROUND(MAX($J2752*1.4,1620000*(1.497923^(MIN($E2752,123)-117)))*1,0))</f>
        <v>1081498</v>
      </c>
      <c r="M2752" s="11">
        <f>$E2752+2</f>
        <v>118</v>
      </c>
      <c r="N2752" s="12">
        <f>IF($J2752=0,0,ROUND(MAX($J2752*1.4*1.5,2190000*(1.580994^(MIN($E2752,123)-117)))*1,0))</f>
        <v>1385204</v>
      </c>
      <c r="O2752" s="13">
        <f>$E2752+4</f>
        <v>120</v>
      </c>
      <c r="P2752" s="14">
        <f>IF($J2752=0,0,ROUND(MAX($J2752*1.4*1.5*1.6,3500000*(1.57975^(MIN($E2752,123)-117)))*1,0))</f>
        <v>2215540</v>
      </c>
      <c r="Q2752" s="11">
        <f>$E2752+6</f>
        <v>122</v>
      </c>
      <c r="R2752" s="12">
        <f>IF($J2752=0,0,ROUND(MAX($J2752*1.4*1.5*1.6*1.6,13100000*(1.429962^(MIN($E2752,123)-117)))*1,0))</f>
        <v>9161083</v>
      </c>
      <c r="S2752" s="13">
        <f>$E2752+8</f>
        <v>124</v>
      </c>
      <c r="T2752" s="14">
        <f>IF($J2752=0,0,ROUND(MAX($J2752*1.4*1.5*1.6*1.6*2.2,42600000*(1.576904^(MIN($E2752,123)-117)))*1,0))</f>
        <v>27014961</v>
      </c>
      <c r="U2752" s="11">
        <f>$E2752+11</f>
        <v>127</v>
      </c>
      <c r="V2752" s="12">
        <f>IF($J2752=0,0,ROUND(MAX($J2752*1.4*1.5*1.6*1.6*2.2*2.715,354000000*(1.642074^(MIN($E2752,123)-117)))*1,0))</f>
        <v>215581027</v>
      </c>
      <c r="W2752" s="13">
        <f>$E2752+15</f>
        <v>131</v>
      </c>
      <c r="X2752" s="14">
        <f>IF($J2752=0,0,ROUND(MAX($J2752*1.4*1.5*1.6*1.6*2.2*2.715*2.6,3540000000*(1.579646^(MIN($E2752,123)-117)))*1,0))</f>
        <v>2241008428</v>
      </c>
      <c r="Y2752" s="11">
        <f>$E2752+17</f>
        <v>133</v>
      </c>
      <c r="Z2752" s="12">
        <f>IF($J2752=0,0,ROUND(MAX($J2752*1.4*1.5*1.6*1.6*2.2*2.715*2.6*1.4,6020000000*(1.651178^(MIN($E2752,123)-117)))*1,0))</f>
        <v>3645881910</v>
      </c>
      <c r="AA2752" s="13">
        <f>$E2752+19</f>
        <v>135</v>
      </c>
      <c r="AB2752" s="14">
        <f>IF($J2752=0,0,ROUND(MAX($J2752*1.4*1.5*1.6*1.6*2.2*2.715*2.6*1.4*1.4,8430000000*(1.651435^(MIN($E2752,123)-117)))*1,0))</f>
        <v>5104651409</v>
      </c>
      <c r="AC2752" s="11">
        <f>$E2752+21</f>
        <v>137</v>
      </c>
      <c r="AD2752" s="12">
        <f>IF($J2752=0,0,ROUND(MAX($J2752*1.4*1.5*1.6*1.6*2.2*2.715*2.6*1.4*1.4*1.5,12600000000*(1.652953^(MIN($E2752,123)-117)))*1,0))</f>
        <v>7622721275</v>
      </c>
      <c r="AE2752" s="13">
        <f>$E2752+24</f>
        <v>140</v>
      </c>
      <c r="AF2752" s="14">
        <f>IF($J2752=0,0,ROUND(MAX($J2752*1.4*1.5*1.6*1.6*2.2*2.715*2.6*1.4*1.4*1.5*1.5,18900000000*(1.65331^(MIN($E2752,123)-117)))*1,0))</f>
        <v>11431612946</v>
      </c>
      <c r="AG2752" s="11">
        <f>$E2752+27</f>
        <v>143</v>
      </c>
      <c r="AH2752" s="12">
        <f>IF($J2752=0,0,ROUND(MAX($J2752*1.4*1.5*1.6*1.6*2.2*2.715*2.6*1.4*1.4*1.5*1.5*3.2,60500000000*(1.654288^(MIN($E2752,123)-117)))*1,0))</f>
        <v>36571624772</v>
      </c>
    </row>
    <row r="2753" ht="28" customHeight="1" spans="1:34" x14ac:dyDescent="0.25">
      <c r="A2753">
        <v>2763</v>
      </c>
      <c r="B2753" t="s">
        <v>900</v>
      </c>
      <c r="C2753" s="10" t="s">
        <v>1593</v>
      </c>
      <c r="D2753" t="s">
        <v>102</v>
      </c>
      <c r="E2753">
        <v>116</v>
      </c>
      <c r="F2753" t="s">
        <v>71</v>
      </c>
      <c r="G2753" t="s">
        <v>209</v>
      </c>
      <c r="H2753">
        <v>28</v>
      </c>
      <c r="I2753" s="11">
        <f>$E2753+0</f>
        <v>116</v>
      </c>
      <c r="J2753" s="12">
        <v>398000</v>
      </c>
      <c r="K2753" s="13">
        <f>$E2753+1</f>
        <v>117</v>
      </c>
      <c r="L2753" s="14">
        <f>IF($J2753=0,0,ROUND(MAX($J2753*1.4,1620000*(1.497923^(MIN($E2753,123)-117)))*1,0))</f>
        <v>1081498</v>
      </c>
      <c r="M2753" s="11">
        <f>$E2753+2</f>
        <v>118</v>
      </c>
      <c r="N2753" s="12">
        <f>IF($J2753=0,0,ROUND(MAX($J2753*1.4*1.5,2190000*(1.580994^(MIN($E2753,123)-117)))*1,0))</f>
        <v>1385204</v>
      </c>
      <c r="O2753" s="13">
        <f>$E2753+4</f>
        <v>120</v>
      </c>
      <c r="P2753" s="14">
        <f>IF($J2753=0,0,ROUND(MAX($J2753*1.4*1.5*1.6,3500000*(1.57975^(MIN($E2753,123)-117)))*1,0))</f>
        <v>2215540</v>
      </c>
      <c r="Q2753" s="11">
        <f>$E2753+6</f>
        <v>122</v>
      </c>
      <c r="R2753" s="12">
        <f>IF($J2753=0,0,ROUND(MAX($J2753*1.4*1.5*1.6*1.6,13100000*(1.429962^(MIN($E2753,123)-117)))*1,0))</f>
        <v>9161083</v>
      </c>
      <c r="S2753" s="13">
        <f>$E2753+8</f>
        <v>124</v>
      </c>
      <c r="T2753" s="14">
        <f>IF($J2753=0,0,ROUND(MAX($J2753*1.4*1.5*1.6*1.6*2.2,42600000*(1.576904^(MIN($E2753,123)-117)))*1,0))</f>
        <v>27014961</v>
      </c>
      <c r="U2753" s="11">
        <f>$E2753+11</f>
        <v>127</v>
      </c>
      <c r="V2753" s="12">
        <f>IF($J2753=0,0,ROUND(MAX($J2753*1.4*1.5*1.6*1.6*2.2*2.715,354000000*(1.642074^(MIN($E2753,123)-117)))*1,0))</f>
        <v>215581027</v>
      </c>
      <c r="W2753" s="13">
        <f>$E2753+15</f>
        <v>131</v>
      </c>
      <c r="X2753" s="14">
        <f>IF($J2753=0,0,ROUND(MAX($J2753*1.4*1.5*1.6*1.6*2.2*2.715*2.6,3540000000*(1.579646^(MIN($E2753,123)-117)))*1,0))</f>
        <v>2241008428</v>
      </c>
      <c r="Y2753" s="11">
        <f>$E2753+17</f>
        <v>133</v>
      </c>
      <c r="Z2753" s="12">
        <f>IF($J2753=0,0,ROUND(MAX($J2753*1.4*1.5*1.6*1.6*2.2*2.715*2.6*1.4,6020000000*(1.651178^(MIN($E2753,123)-117)))*1,0))</f>
        <v>3645881910</v>
      </c>
      <c r="AA2753" s="13">
        <f>$E2753+19</f>
        <v>135</v>
      </c>
      <c r="AB2753" s="14">
        <f>IF($J2753=0,0,ROUND(MAX($J2753*1.4*1.5*1.6*1.6*2.2*2.715*2.6*1.4*1.4,8430000000*(1.651435^(MIN($E2753,123)-117)))*1,0))</f>
        <v>5104651409</v>
      </c>
      <c r="AC2753" s="11">
        <f>$E2753+21</f>
        <v>137</v>
      </c>
      <c r="AD2753" s="12">
        <f>IF($J2753=0,0,ROUND(MAX($J2753*1.4*1.5*1.6*1.6*2.2*2.715*2.6*1.4*1.4*1.5,12600000000*(1.652953^(MIN($E2753,123)-117)))*1,0))</f>
        <v>7622721275</v>
      </c>
      <c r="AE2753" s="13">
        <f>$E2753+24</f>
        <v>140</v>
      </c>
      <c r="AF2753" s="14">
        <f>IF($J2753=0,0,ROUND(MAX($J2753*1.4*1.5*1.6*1.6*2.2*2.715*2.6*1.4*1.4*1.5*1.5,18900000000*(1.65331^(MIN($E2753,123)-117)))*1,0))</f>
        <v>11431612946</v>
      </c>
      <c r="AG2753" s="11">
        <f>$E2753+27</f>
        <v>143</v>
      </c>
      <c r="AH2753" s="12">
        <f>IF($J2753=0,0,ROUND(MAX($J2753*1.4*1.5*1.6*1.6*2.2*2.715*2.6*1.4*1.4*1.5*1.5*3.2,60500000000*(1.654288^(MIN($E2753,123)-117)))*1,0))</f>
        <v>36571624772</v>
      </c>
    </row>
    <row r="2754" ht="28" customHeight="1" spans="1:34" x14ac:dyDescent="0.25">
      <c r="A2754">
        <v>2764</v>
      </c>
      <c r="B2754" t="s">
        <v>932</v>
      </c>
      <c r="C2754" s="10" t="s">
        <v>1593</v>
      </c>
      <c r="D2754" t="s">
        <v>33</v>
      </c>
      <c r="E2754">
        <v>116</v>
      </c>
      <c r="F2754" t="s">
        <v>42</v>
      </c>
      <c r="G2754" t="s">
        <v>748</v>
      </c>
      <c r="H2754">
        <v>28</v>
      </c>
      <c r="I2754" s="11">
        <f>$E2754+0</f>
        <v>116</v>
      </c>
      <c r="J2754" s="12">
        <v>448000</v>
      </c>
      <c r="K2754" s="13">
        <f>$E2754+1</f>
        <v>117</v>
      </c>
      <c r="L2754" s="14">
        <f>IF($J2754=0,0,ROUND(MAX($J2754*1.4,1620000*(1.497923^(MIN($E2754,123)-117)))*1,0))</f>
        <v>1081498</v>
      </c>
      <c r="M2754" s="11">
        <f>$E2754+2</f>
        <v>118</v>
      </c>
      <c r="N2754" s="12">
        <f>IF($J2754=0,0,ROUND(MAX($J2754*1.4*1.5,2190000*(1.580994^(MIN($E2754,123)-117)))*1,0))</f>
        <v>1385204</v>
      </c>
      <c r="O2754" s="13">
        <f>$E2754+4</f>
        <v>120</v>
      </c>
      <c r="P2754" s="14">
        <f>IF($J2754=0,0,ROUND(MAX($J2754*1.4*1.5*1.6,3500000*(1.57975^(MIN($E2754,123)-117)))*1,0))</f>
        <v>2215540</v>
      </c>
      <c r="Q2754" s="11">
        <f>$E2754+6</f>
        <v>122</v>
      </c>
      <c r="R2754" s="12">
        <f>IF($J2754=0,0,ROUND(MAX($J2754*1.4*1.5*1.6*1.6,13100000*(1.429962^(MIN($E2754,123)-117)))*1,0))</f>
        <v>9161083</v>
      </c>
      <c r="S2754" s="13">
        <f>$E2754+8</f>
        <v>124</v>
      </c>
      <c r="T2754" s="14">
        <f>IF($J2754=0,0,ROUND(MAX($J2754*1.4*1.5*1.6*1.6*2.2,42600000*(1.576904^(MIN($E2754,123)-117)))*1,0))</f>
        <v>27014961</v>
      </c>
      <c r="U2754" s="11">
        <f>$E2754+11</f>
        <v>127</v>
      </c>
      <c r="V2754" s="12">
        <f>IF($J2754=0,0,ROUND(MAX($J2754*1.4*1.5*1.6*1.6*2.2*2.715,354000000*(1.642074^(MIN($E2754,123)-117)))*1,0))</f>
        <v>215581027</v>
      </c>
      <c r="W2754" s="13">
        <f>$E2754+15</f>
        <v>131</v>
      </c>
      <c r="X2754" s="14">
        <f>IF($J2754=0,0,ROUND(MAX($J2754*1.4*1.5*1.6*1.6*2.2*2.715*2.6,3540000000*(1.579646^(MIN($E2754,123)-117)))*1,0))</f>
        <v>2241008428</v>
      </c>
      <c r="Y2754" s="11">
        <f>$E2754+17</f>
        <v>133</v>
      </c>
      <c r="Z2754" s="12">
        <f>IF($J2754=0,0,ROUND(MAX($J2754*1.4*1.5*1.6*1.6*2.2*2.715*2.6*1.4,6020000000*(1.651178^(MIN($E2754,123)-117)))*1,0))</f>
        <v>3645881910</v>
      </c>
      <c r="AA2754" s="13">
        <f>$E2754+19</f>
        <v>135</v>
      </c>
      <c r="AB2754" s="14">
        <f>IF($J2754=0,0,ROUND(MAX($J2754*1.4*1.5*1.6*1.6*2.2*2.715*2.6*1.4*1.4,8430000000*(1.651435^(MIN($E2754,123)-117)))*1,0))</f>
        <v>5104651409</v>
      </c>
      <c r="AC2754" s="11">
        <f>$E2754+21</f>
        <v>137</v>
      </c>
      <c r="AD2754" s="12">
        <f>IF($J2754=0,0,ROUND(MAX($J2754*1.4*1.5*1.6*1.6*2.2*2.715*2.6*1.4*1.4*1.5,12600000000*(1.652953^(MIN($E2754,123)-117)))*1,0))</f>
        <v>7622721275</v>
      </c>
      <c r="AE2754" s="13">
        <f>$E2754+24</f>
        <v>140</v>
      </c>
      <c r="AF2754" s="14">
        <f>IF($J2754=0,0,ROUND(MAX($J2754*1.4*1.5*1.6*1.6*2.2*2.715*2.6*1.4*1.4*1.5*1.5,18900000000*(1.65331^(MIN($E2754,123)-117)))*1,0))</f>
        <v>11431612946</v>
      </c>
      <c r="AG2754" s="11">
        <f>$E2754+27</f>
        <v>143</v>
      </c>
      <c r="AH2754" s="12">
        <f>IF($J2754=0,0,ROUND(MAX($J2754*1.4*1.5*1.6*1.6*2.2*2.715*2.6*1.4*1.4*1.5*1.5*3.2,60500000000*(1.654288^(MIN($E2754,123)-117)))*1,0))</f>
        <v>36571624772</v>
      </c>
    </row>
    <row r="2755" ht="28" customHeight="1" spans="1:34" x14ac:dyDescent="0.25">
      <c r="A2755">
        <v>2765</v>
      </c>
      <c r="B2755" t="s">
        <v>1063</v>
      </c>
      <c r="C2755" s="10" t="s">
        <v>1593</v>
      </c>
      <c r="D2755" t="s">
        <v>79</v>
      </c>
      <c r="E2755">
        <v>116</v>
      </c>
      <c r="F2755" t="s">
        <v>71</v>
      </c>
      <c r="G2755" t="s">
        <v>1602</v>
      </c>
      <c r="H2755">
        <v>28</v>
      </c>
      <c r="I2755" s="11">
        <f>$E2755+0</f>
        <v>116</v>
      </c>
      <c r="J2755" s="12">
        <v>820000</v>
      </c>
      <c r="K2755" s="13">
        <f>$E2755+1</f>
        <v>117</v>
      </c>
      <c r="L2755" s="14">
        <f>IF($J2755=0,0,ROUND(MAX($J2755*1.4,1620000*(1.497923^(MIN($E2755,123)-117)))*1,0))</f>
        <v>1148000</v>
      </c>
      <c r="M2755" s="11">
        <f>$E2755+2</f>
        <v>118</v>
      </c>
      <c r="N2755" s="12">
        <f>IF($J2755=0,0,ROUND(MAX($J2755*1.4*1.5,2190000*(1.580994^(MIN($E2755,123)-117)))*1,0))</f>
        <v>1722000</v>
      </c>
      <c r="O2755" s="13">
        <f>$E2755+4</f>
        <v>120</v>
      </c>
      <c r="P2755" s="14">
        <f>IF($J2755=0,0,ROUND(MAX($J2755*1.4*1.5*1.6,3500000*(1.57975^(MIN($E2755,123)-117)))*1,0))</f>
        <v>2755200</v>
      </c>
      <c r="Q2755" s="11">
        <f>$E2755+6</f>
        <v>122</v>
      </c>
      <c r="R2755" s="12">
        <f>IF($J2755=0,0,ROUND(MAX($J2755*1.4*1.5*1.6*1.6,13100000*(1.429962^(MIN($E2755,123)-117)))*1,0))</f>
        <v>9161083</v>
      </c>
      <c r="S2755" s="13">
        <f>$E2755+8</f>
        <v>124</v>
      </c>
      <c r="T2755" s="14">
        <f>IF($J2755=0,0,ROUND(MAX($J2755*1.4*1.5*1.6*1.6*2.2,42600000*(1.576904^(MIN($E2755,123)-117)))*1,0))</f>
        <v>27014961</v>
      </c>
      <c r="U2755" s="11">
        <f>$E2755+11</f>
        <v>127</v>
      </c>
      <c r="V2755" s="12">
        <f>IF($J2755=0,0,ROUND(MAX($J2755*1.4*1.5*1.6*1.6*2.2*2.715,354000000*(1.642074^(MIN($E2755,123)-117)))*1,0))</f>
        <v>215581027</v>
      </c>
      <c r="W2755" s="13">
        <f>$E2755+15</f>
        <v>131</v>
      </c>
      <c r="X2755" s="14">
        <f>IF($J2755=0,0,ROUND(MAX($J2755*1.4*1.5*1.6*1.6*2.2*2.715*2.6,3540000000*(1.579646^(MIN($E2755,123)-117)))*1,0))</f>
        <v>2241008428</v>
      </c>
      <c r="Y2755" s="11">
        <f>$E2755+17</f>
        <v>133</v>
      </c>
      <c r="Z2755" s="12">
        <f>IF($J2755=0,0,ROUND(MAX($J2755*1.4*1.5*1.6*1.6*2.2*2.715*2.6*1.4,6020000000*(1.651178^(MIN($E2755,123)-117)))*1,0))</f>
        <v>3645881910</v>
      </c>
      <c r="AA2755" s="13">
        <f>$E2755+19</f>
        <v>135</v>
      </c>
      <c r="AB2755" s="14">
        <f>IF($J2755=0,0,ROUND(MAX($J2755*1.4*1.5*1.6*1.6*2.2*2.715*2.6*1.4*1.4,8430000000*(1.651435^(MIN($E2755,123)-117)))*1,0))</f>
        <v>5104651409</v>
      </c>
      <c r="AC2755" s="11">
        <f>$E2755+21</f>
        <v>137</v>
      </c>
      <c r="AD2755" s="12">
        <f>IF($J2755=0,0,ROUND(MAX($J2755*1.4*1.5*1.6*1.6*2.2*2.715*2.6*1.4*1.4*1.5,12600000000*(1.652953^(MIN($E2755,123)-117)))*1,0))</f>
        <v>7622721275</v>
      </c>
      <c r="AE2755" s="13">
        <f>$E2755+24</f>
        <v>140</v>
      </c>
      <c r="AF2755" s="14">
        <f>IF($J2755=0,0,ROUND(MAX($J2755*1.4*1.5*1.6*1.6*2.2*2.715*2.6*1.4*1.4*1.5*1.5,18900000000*(1.65331^(MIN($E2755,123)-117)))*1,0))</f>
        <v>11431612946</v>
      </c>
      <c r="AG2755" s="11">
        <f>$E2755+27</f>
        <v>143</v>
      </c>
      <c r="AH2755" s="12">
        <f>IF($J2755=0,0,ROUND(MAX($J2755*1.4*1.5*1.6*1.6*2.2*2.715*2.6*1.4*1.4*1.5*1.5*3.2,60500000000*(1.654288^(MIN($E2755,123)-117)))*1,0))</f>
        <v>36571624772</v>
      </c>
    </row>
    <row r="2756" ht="28" customHeight="1" spans="1:34" x14ac:dyDescent="0.25">
      <c r="A2756">
        <v>2766</v>
      </c>
      <c r="B2756" t="s">
        <v>795</v>
      </c>
      <c r="C2756" s="10" t="s">
        <v>1593</v>
      </c>
      <c r="D2756" t="s">
        <v>64</v>
      </c>
      <c r="E2756">
        <v>116</v>
      </c>
      <c r="F2756" t="s">
        <v>71</v>
      </c>
      <c r="G2756" t="s">
        <v>200</v>
      </c>
      <c r="H2756">
        <v>28</v>
      </c>
      <c r="I2756" s="11">
        <f>$E2756+0</f>
        <v>116</v>
      </c>
      <c r="J2756" s="12">
        <v>411000</v>
      </c>
      <c r="K2756" s="13">
        <f>$E2756+1</f>
        <v>117</v>
      </c>
      <c r="L2756" s="14">
        <f>IF($J2756=0,0,ROUND(MAX($J2756*1.4,1620000*(1.497923^(MIN($E2756,123)-117)))*1,0))</f>
        <v>1081498</v>
      </c>
      <c r="M2756" s="11">
        <f>$E2756+2</f>
        <v>118</v>
      </c>
      <c r="N2756" s="12">
        <f>IF($J2756=0,0,ROUND(MAX($J2756*1.4*1.5,2190000*(1.580994^(MIN($E2756,123)-117)))*1,0))</f>
        <v>1385204</v>
      </c>
      <c r="O2756" s="13">
        <f>$E2756+4</f>
        <v>120</v>
      </c>
      <c r="P2756" s="14">
        <f>IF($J2756=0,0,ROUND(MAX($J2756*1.4*1.5*1.6,3500000*(1.57975^(MIN($E2756,123)-117)))*1,0))</f>
        <v>2215540</v>
      </c>
      <c r="Q2756" s="11">
        <f>$E2756+6</f>
        <v>122</v>
      </c>
      <c r="R2756" s="12">
        <f>IF($J2756=0,0,ROUND(MAX($J2756*1.4*1.5*1.6*1.6,13100000*(1.429962^(MIN($E2756,123)-117)))*1,0))</f>
        <v>9161083</v>
      </c>
      <c r="S2756" s="13">
        <f>$E2756+8</f>
        <v>124</v>
      </c>
      <c r="T2756" s="14">
        <f>IF($J2756=0,0,ROUND(MAX($J2756*1.4*1.5*1.6*1.6*2.2,42600000*(1.576904^(MIN($E2756,123)-117)))*1,0))</f>
        <v>27014961</v>
      </c>
      <c r="U2756" s="11">
        <f>$E2756+11</f>
        <v>127</v>
      </c>
      <c r="V2756" s="12">
        <f>IF($J2756=0,0,ROUND(MAX($J2756*1.4*1.5*1.6*1.6*2.2*2.715,354000000*(1.642074^(MIN($E2756,123)-117)))*1,0))</f>
        <v>215581027</v>
      </c>
      <c r="W2756" s="13">
        <f>$E2756+15</f>
        <v>131</v>
      </c>
      <c r="X2756" s="14">
        <f>IF($J2756=0,0,ROUND(MAX($J2756*1.4*1.5*1.6*1.6*2.2*2.715*2.6,3540000000*(1.579646^(MIN($E2756,123)-117)))*1,0))</f>
        <v>2241008428</v>
      </c>
      <c r="Y2756" s="11">
        <f>$E2756+17</f>
        <v>133</v>
      </c>
      <c r="Z2756" s="12">
        <f>IF($J2756=0,0,ROUND(MAX($J2756*1.4*1.5*1.6*1.6*2.2*2.715*2.6*1.4,6020000000*(1.651178^(MIN($E2756,123)-117)))*1,0))</f>
        <v>3645881910</v>
      </c>
      <c r="AA2756" s="13">
        <f>$E2756+19</f>
        <v>135</v>
      </c>
      <c r="AB2756" s="14">
        <f>IF($J2756=0,0,ROUND(MAX($J2756*1.4*1.5*1.6*1.6*2.2*2.715*2.6*1.4*1.4,8430000000*(1.651435^(MIN($E2756,123)-117)))*1,0))</f>
        <v>5104651409</v>
      </c>
      <c r="AC2756" s="11">
        <f>$E2756+21</f>
        <v>137</v>
      </c>
      <c r="AD2756" s="12">
        <f>IF($J2756=0,0,ROUND(MAX($J2756*1.4*1.5*1.6*1.6*2.2*2.715*2.6*1.4*1.4*1.5,12600000000*(1.652953^(MIN($E2756,123)-117)))*1,0))</f>
        <v>7622721275</v>
      </c>
      <c r="AE2756" s="13">
        <f>$E2756+24</f>
        <v>140</v>
      </c>
      <c r="AF2756" s="14">
        <f>IF($J2756=0,0,ROUND(MAX($J2756*1.4*1.5*1.6*1.6*2.2*2.715*2.6*1.4*1.4*1.5*1.5,18900000000*(1.65331^(MIN($E2756,123)-117)))*1,0))</f>
        <v>11431612946</v>
      </c>
      <c r="AG2756" s="11">
        <f>$E2756+27</f>
        <v>143</v>
      </c>
      <c r="AH2756" s="12">
        <f>IF($J2756=0,0,ROUND(MAX($J2756*1.4*1.5*1.6*1.6*2.2*2.715*2.6*1.4*1.4*1.5*1.5*3.2,60500000000*(1.654288^(MIN($E2756,123)-117)))*1,0))</f>
        <v>36571624772</v>
      </c>
    </row>
    <row r="2757" ht="28" customHeight="1" spans="1:34" x14ac:dyDescent="0.25">
      <c r="A2757">
        <v>2767</v>
      </c>
      <c r="B2757" t="s">
        <v>659</v>
      </c>
      <c r="C2757" s="10" t="s">
        <v>1593</v>
      </c>
      <c r="D2757" t="s">
        <v>45</v>
      </c>
      <c r="E2757">
        <v>116</v>
      </c>
      <c r="F2757" t="s">
        <v>310</v>
      </c>
      <c r="G2757" t="s">
        <v>562</v>
      </c>
      <c r="H2757">
        <v>28</v>
      </c>
      <c r="I2757" s="11">
        <f>$E2757+0</f>
        <v>116</v>
      </c>
      <c r="J2757" s="12">
        <v>755000</v>
      </c>
      <c r="K2757" s="13">
        <f>$E2757+1</f>
        <v>117</v>
      </c>
      <c r="L2757" s="14">
        <f>IF($J2757=0,0,ROUND(MAX($J2757*1.4,1620000*(1.497923^(MIN($E2757,123)-117)))*1,0))</f>
        <v>1081498</v>
      </c>
      <c r="M2757" s="11">
        <f>$E2757+2</f>
        <v>118</v>
      </c>
      <c r="N2757" s="12">
        <f>IF($J2757=0,0,ROUND(MAX($J2757*1.4*1.5,2190000*(1.580994^(MIN($E2757,123)-117)))*1,0))</f>
        <v>1585500</v>
      </c>
      <c r="O2757" s="13">
        <f>$E2757+4</f>
        <v>120</v>
      </c>
      <c r="P2757" s="14">
        <f>IF($J2757=0,0,ROUND(MAX($J2757*1.4*1.5*1.6,3500000*(1.57975^(MIN($E2757,123)-117)))*1,0))</f>
        <v>2536800</v>
      </c>
      <c r="Q2757" s="11">
        <f>$E2757+6</f>
        <v>122</v>
      </c>
      <c r="R2757" s="12">
        <f>IF($J2757=0,0,ROUND(MAX($J2757*1.4*1.5*1.6*1.6,13100000*(1.429962^(MIN($E2757,123)-117)))*1,0))</f>
        <v>9161083</v>
      </c>
      <c r="S2757" s="13">
        <f>$E2757+8</f>
        <v>124</v>
      </c>
      <c r="T2757" s="14">
        <f>IF($J2757=0,0,ROUND(MAX($J2757*1.4*1.5*1.6*1.6*2.2,42600000*(1.576904^(MIN($E2757,123)-117)))*1,0))</f>
        <v>27014961</v>
      </c>
      <c r="U2757" s="11">
        <f>$E2757+11</f>
        <v>127</v>
      </c>
      <c r="V2757" s="12">
        <f>IF($J2757=0,0,ROUND(MAX($J2757*1.4*1.5*1.6*1.6*2.2*2.715,354000000*(1.642074^(MIN($E2757,123)-117)))*1,0))</f>
        <v>215581027</v>
      </c>
      <c r="W2757" s="13">
        <f>$E2757+15</f>
        <v>131</v>
      </c>
      <c r="X2757" s="14">
        <f>IF($J2757=0,0,ROUND(MAX($J2757*1.4*1.5*1.6*1.6*2.2*2.715*2.6,3540000000*(1.579646^(MIN($E2757,123)-117)))*1,0))</f>
        <v>2241008428</v>
      </c>
      <c r="Y2757" s="11">
        <f>$E2757+17</f>
        <v>133</v>
      </c>
      <c r="Z2757" s="12">
        <f>IF($J2757=0,0,ROUND(MAX($J2757*1.4*1.5*1.6*1.6*2.2*2.715*2.6*1.4,6020000000*(1.651178^(MIN($E2757,123)-117)))*1,0))</f>
        <v>3645881910</v>
      </c>
      <c r="AA2757" s="13">
        <f>$E2757+19</f>
        <v>135</v>
      </c>
      <c r="AB2757" s="14">
        <f>IF($J2757=0,0,ROUND(MAX($J2757*1.4*1.5*1.6*1.6*2.2*2.715*2.6*1.4*1.4,8430000000*(1.651435^(MIN($E2757,123)-117)))*1,0))</f>
        <v>5104651409</v>
      </c>
      <c r="AC2757" s="11">
        <f>$E2757+21</f>
        <v>137</v>
      </c>
      <c r="AD2757" s="12">
        <f>IF($J2757=0,0,ROUND(MAX($J2757*1.4*1.5*1.6*1.6*2.2*2.715*2.6*1.4*1.4*1.5,12600000000*(1.652953^(MIN($E2757,123)-117)))*1,0))</f>
        <v>7622721275</v>
      </c>
      <c r="AE2757" s="13">
        <f>$E2757+24</f>
        <v>140</v>
      </c>
      <c r="AF2757" s="14">
        <f>IF($J2757=0,0,ROUND(MAX($J2757*1.4*1.5*1.6*1.6*2.2*2.715*2.6*1.4*1.4*1.5*1.5,18900000000*(1.65331^(MIN($E2757,123)-117)))*1,0))</f>
        <v>11431612946</v>
      </c>
      <c r="AG2757" s="11">
        <f>$E2757+27</f>
        <v>143</v>
      </c>
      <c r="AH2757" s="12">
        <f>IF($J2757=0,0,ROUND(MAX($J2757*1.4*1.5*1.6*1.6*2.2*2.715*2.6*1.4*1.4*1.5*1.5*3.2,60500000000*(1.654288^(MIN($E2757,123)-117)))*1,0))</f>
        <v>36571624772</v>
      </c>
    </row>
    <row r="2758" ht="28" customHeight="1" spans="1:34" x14ac:dyDescent="0.25">
      <c r="A2758">
        <v>2768</v>
      </c>
      <c r="B2758" t="s">
        <v>609</v>
      </c>
      <c r="C2758" s="10" t="s">
        <v>1593</v>
      </c>
      <c r="D2758" t="s">
        <v>75</v>
      </c>
      <c r="E2758">
        <v>116</v>
      </c>
      <c r="F2758" t="s">
        <v>54</v>
      </c>
      <c r="G2758" t="s">
        <v>562</v>
      </c>
      <c r="H2758">
        <v>28</v>
      </c>
      <c r="I2758" s="11">
        <f>$E2758+0</f>
        <v>116</v>
      </c>
      <c r="J2758" s="12">
        <v>504000</v>
      </c>
      <c r="K2758" s="13">
        <f>$E2758+1</f>
        <v>117</v>
      </c>
      <c r="L2758" s="14">
        <f>IF($J2758=0,0,ROUND(MAX($J2758*1.4,1620000*(1.497923^(MIN($E2758,123)-117)))*1,0))</f>
        <v>1081498</v>
      </c>
      <c r="M2758" s="11">
        <f>$E2758+2</f>
        <v>118</v>
      </c>
      <c r="N2758" s="12">
        <f>IF($J2758=0,0,ROUND(MAX($J2758*1.4*1.5,2190000*(1.580994^(MIN($E2758,123)-117)))*1,0))</f>
        <v>1385204</v>
      </c>
      <c r="O2758" s="13">
        <f>$E2758+4</f>
        <v>120</v>
      </c>
      <c r="P2758" s="14">
        <f>IF($J2758=0,0,ROUND(MAX($J2758*1.4*1.5*1.6,3500000*(1.57975^(MIN($E2758,123)-117)))*1,0))</f>
        <v>2215540</v>
      </c>
      <c r="Q2758" s="11">
        <f>$E2758+6</f>
        <v>122</v>
      </c>
      <c r="R2758" s="12">
        <f>IF($J2758=0,0,ROUND(MAX($J2758*1.4*1.5*1.6*1.6,13100000*(1.429962^(MIN($E2758,123)-117)))*1,0))</f>
        <v>9161083</v>
      </c>
      <c r="S2758" s="13">
        <f>$E2758+8</f>
        <v>124</v>
      </c>
      <c r="T2758" s="14">
        <f>IF($J2758=0,0,ROUND(MAX($J2758*1.4*1.5*1.6*1.6*2.2,42600000*(1.576904^(MIN($E2758,123)-117)))*1,0))</f>
        <v>27014961</v>
      </c>
      <c r="U2758" s="11">
        <f>$E2758+11</f>
        <v>127</v>
      </c>
      <c r="V2758" s="12">
        <f>IF($J2758=0,0,ROUND(MAX($J2758*1.4*1.5*1.6*1.6*2.2*2.715,354000000*(1.642074^(MIN($E2758,123)-117)))*1,0))</f>
        <v>215581027</v>
      </c>
      <c r="W2758" s="13">
        <f>$E2758+15</f>
        <v>131</v>
      </c>
      <c r="X2758" s="14">
        <f>IF($J2758=0,0,ROUND(MAX($J2758*1.4*1.5*1.6*1.6*2.2*2.715*2.6,3540000000*(1.579646^(MIN($E2758,123)-117)))*1,0))</f>
        <v>2241008428</v>
      </c>
      <c r="Y2758" s="11">
        <f>$E2758+17</f>
        <v>133</v>
      </c>
      <c r="Z2758" s="12">
        <f>IF($J2758=0,0,ROUND(MAX($J2758*1.4*1.5*1.6*1.6*2.2*2.715*2.6*1.4,6020000000*(1.651178^(MIN($E2758,123)-117)))*1,0))</f>
        <v>3645881910</v>
      </c>
      <c r="AA2758" s="13">
        <f>$E2758+19</f>
        <v>135</v>
      </c>
      <c r="AB2758" s="14">
        <f>IF($J2758=0,0,ROUND(MAX($J2758*1.4*1.5*1.6*1.6*2.2*2.715*2.6*1.4*1.4,8430000000*(1.651435^(MIN($E2758,123)-117)))*1,0))</f>
        <v>5104651409</v>
      </c>
      <c r="AC2758" s="11">
        <f>$E2758+21</f>
        <v>137</v>
      </c>
      <c r="AD2758" s="12">
        <f>IF($J2758=0,0,ROUND(MAX($J2758*1.4*1.5*1.6*1.6*2.2*2.715*2.6*1.4*1.4*1.5,12600000000*(1.652953^(MIN($E2758,123)-117)))*1,0))</f>
        <v>7622721275</v>
      </c>
      <c r="AE2758" s="13">
        <f>$E2758+24</f>
        <v>140</v>
      </c>
      <c r="AF2758" s="14">
        <f>IF($J2758=0,0,ROUND(MAX($J2758*1.4*1.5*1.6*1.6*2.2*2.715*2.6*1.4*1.4*1.5*1.5,18900000000*(1.65331^(MIN($E2758,123)-117)))*1,0))</f>
        <v>11431612946</v>
      </c>
      <c r="AG2758" s="11">
        <f>$E2758+27</f>
        <v>143</v>
      </c>
      <c r="AH2758" s="12">
        <f>IF($J2758=0,0,ROUND(MAX($J2758*1.4*1.5*1.6*1.6*2.2*2.715*2.6*1.4*1.4*1.5*1.5*3.2,60500000000*(1.654288^(MIN($E2758,123)-117)))*1,0))</f>
        <v>36571624772</v>
      </c>
    </row>
    <row r="2759" ht="28" customHeight="1" spans="1:34" x14ac:dyDescent="0.25">
      <c r="A2759">
        <v>2769</v>
      </c>
      <c r="B2759" t="s">
        <v>1502</v>
      </c>
      <c r="C2759" s="10" t="s">
        <v>1593</v>
      </c>
      <c r="D2759" t="s">
        <v>241</v>
      </c>
      <c r="E2759">
        <v>116</v>
      </c>
      <c r="F2759" t="s">
        <v>62</v>
      </c>
      <c r="G2759" t="s">
        <v>206</v>
      </c>
      <c r="H2759">
        <v>27</v>
      </c>
      <c r="I2759" s="11">
        <f>$E2759+0</f>
        <v>116</v>
      </c>
      <c r="J2759" s="12">
        <v>585000</v>
      </c>
      <c r="K2759" s="13">
        <f>$E2759+1</f>
        <v>117</v>
      </c>
      <c r="L2759" s="14">
        <f>IF($J2759=0,0,ROUND(MAX($J2759*1.4,1620000*(1.497923^(MIN($E2759,123)-117)))*1,0))</f>
        <v>1081498</v>
      </c>
      <c r="M2759" s="11">
        <f>$E2759+2</f>
        <v>118</v>
      </c>
      <c r="N2759" s="12">
        <f>IF($J2759=0,0,ROUND(MAX($J2759*1.4*1.5,2190000*(1.580994^(MIN($E2759,123)-117)))*1,0))</f>
        <v>1385204</v>
      </c>
      <c r="O2759" s="13">
        <f>$E2759+4</f>
        <v>120</v>
      </c>
      <c r="P2759" s="14">
        <f>IF($J2759=0,0,ROUND(MAX($J2759*1.4*1.5*1.6,3500000*(1.57975^(MIN($E2759,123)-117)))*1,0))</f>
        <v>2215540</v>
      </c>
      <c r="Q2759" s="11">
        <f>$E2759+6</f>
        <v>122</v>
      </c>
      <c r="R2759" s="12">
        <f>IF($J2759=0,0,ROUND(MAX($J2759*1.4*1.5*1.6*1.6,13100000*(1.429962^(MIN($E2759,123)-117)))*1,0))</f>
        <v>9161083</v>
      </c>
      <c r="S2759" s="13">
        <f>$E2759+8</f>
        <v>124</v>
      </c>
      <c r="T2759" s="14">
        <f>IF($J2759=0,0,ROUND(MAX($J2759*1.4*1.5*1.6*1.6*2.2,42600000*(1.576904^(MIN($E2759,123)-117)))*1,0))</f>
        <v>27014961</v>
      </c>
      <c r="U2759" s="11">
        <f>$E2759+11</f>
        <v>127</v>
      </c>
      <c r="V2759" s="12">
        <f>IF($J2759=0,0,ROUND(MAX($J2759*1.4*1.5*1.6*1.6*2.2*2.715,354000000*(1.642074^(MIN($E2759,123)-117)))*1,0))</f>
        <v>215581027</v>
      </c>
      <c r="W2759" s="13">
        <f>$E2759+15</f>
        <v>131</v>
      </c>
      <c r="X2759" s="14">
        <f>IF($J2759=0,0,ROUND(MAX($J2759*1.4*1.5*1.6*1.6*2.2*2.715*2.6,3540000000*(1.579646^(MIN($E2759,123)-117)))*1,0))</f>
        <v>2241008428</v>
      </c>
      <c r="Y2759" s="11">
        <f>$E2759+17</f>
        <v>133</v>
      </c>
      <c r="Z2759" s="12">
        <f>IF($J2759=0,0,ROUND(MAX($J2759*1.4*1.5*1.6*1.6*2.2*2.715*2.6*1.4,6020000000*(1.651178^(MIN($E2759,123)-117)))*1,0))</f>
        <v>3645881910</v>
      </c>
      <c r="AA2759" s="13">
        <f>$E2759+19</f>
        <v>135</v>
      </c>
      <c r="AB2759" s="14">
        <f>IF($J2759=0,0,ROUND(MAX($J2759*1.4*1.5*1.6*1.6*2.2*2.715*2.6*1.4*1.4,8430000000*(1.651435^(MIN($E2759,123)-117)))*1,0))</f>
        <v>5104651409</v>
      </c>
      <c r="AC2759" s="11">
        <f>$E2759+21</f>
        <v>137</v>
      </c>
      <c r="AD2759" s="12">
        <f>IF($J2759=0,0,ROUND(MAX($J2759*1.4*1.5*1.6*1.6*2.2*2.715*2.6*1.4*1.4*1.5,12600000000*(1.652953^(MIN($E2759,123)-117)))*1,0))</f>
        <v>7622721275</v>
      </c>
      <c r="AE2759" s="13">
        <f>$E2759+24</f>
        <v>140</v>
      </c>
      <c r="AF2759" s="14">
        <f>IF($J2759=0,0,ROUND(MAX($J2759*1.4*1.5*1.6*1.6*2.2*2.715*2.6*1.4*1.4*1.5*1.5,18900000000*(1.65331^(MIN($E2759,123)-117)))*1,0))</f>
        <v>11431612946</v>
      </c>
      <c r="AG2759" s="11">
        <f>$E2759+27</f>
        <v>143</v>
      </c>
      <c r="AH2759" s="12">
        <f>IF($J2759=0,0,ROUND(MAX($J2759*1.4*1.5*1.6*1.6*2.2*2.715*2.6*1.4*1.4*1.5*1.5*3.2,60500000000*(1.654288^(MIN($E2759,123)-117)))*1,0))</f>
        <v>36571624772</v>
      </c>
    </row>
    <row r="2760" ht="28" customHeight="1" spans="1:34" x14ac:dyDescent="0.25">
      <c r="A2760">
        <v>2770</v>
      </c>
      <c r="B2760" t="s">
        <v>1603</v>
      </c>
      <c r="C2760" s="10" t="s">
        <v>1593</v>
      </c>
      <c r="D2760" t="s">
        <v>331</v>
      </c>
      <c r="E2760">
        <v>116</v>
      </c>
      <c r="F2760" t="s">
        <v>34</v>
      </c>
      <c r="G2760" t="s">
        <v>1284</v>
      </c>
      <c r="H2760">
        <v>27</v>
      </c>
      <c r="I2760" s="11">
        <f>$E2760+0</f>
        <v>116</v>
      </c>
      <c r="J2760" s="12">
        <v>403000</v>
      </c>
      <c r="K2760" s="13">
        <f>$E2760+1</f>
        <v>117</v>
      </c>
      <c r="L2760" s="14">
        <f>IF($J2760=0,0,ROUND(MAX($J2760*1.4,1620000*(1.497923^(MIN($E2760,123)-117)))*1,0))</f>
        <v>1081498</v>
      </c>
      <c r="M2760" s="11">
        <f>$E2760+2</f>
        <v>118</v>
      </c>
      <c r="N2760" s="12">
        <f>IF($J2760=0,0,ROUND(MAX($J2760*1.4*1.5,2190000*(1.580994^(MIN($E2760,123)-117)))*1,0))</f>
        <v>1385204</v>
      </c>
      <c r="O2760" s="13">
        <f>$E2760+4</f>
        <v>120</v>
      </c>
      <c r="P2760" s="14">
        <f>IF($J2760=0,0,ROUND(MAX($J2760*1.4*1.5*1.6,3500000*(1.57975^(MIN($E2760,123)-117)))*1,0))</f>
        <v>2215540</v>
      </c>
      <c r="Q2760" s="11">
        <f>$E2760+6</f>
        <v>122</v>
      </c>
      <c r="R2760" s="12">
        <f>IF($J2760=0,0,ROUND(MAX($J2760*1.4*1.5*1.6*1.6,13100000*(1.429962^(MIN($E2760,123)-117)))*1,0))</f>
        <v>9161083</v>
      </c>
      <c r="S2760" s="13">
        <f>$E2760+8</f>
        <v>124</v>
      </c>
      <c r="T2760" s="14">
        <f>IF($J2760=0,0,ROUND(MAX($J2760*1.4*1.5*1.6*1.6*2.2,42600000*(1.576904^(MIN($E2760,123)-117)))*1,0))</f>
        <v>27014961</v>
      </c>
      <c r="U2760" s="11">
        <f>$E2760+11</f>
        <v>127</v>
      </c>
      <c r="V2760" s="12">
        <f>IF($J2760=0,0,ROUND(MAX($J2760*1.4*1.5*1.6*1.6*2.2*2.715,354000000*(1.642074^(MIN($E2760,123)-117)))*1,0))</f>
        <v>215581027</v>
      </c>
      <c r="W2760" s="13">
        <f>$E2760+15</f>
        <v>131</v>
      </c>
      <c r="X2760" s="14">
        <f>IF($J2760=0,0,ROUND(MAX($J2760*1.4*1.5*1.6*1.6*2.2*2.715*2.6,3540000000*(1.579646^(MIN($E2760,123)-117)))*1,0))</f>
        <v>2241008428</v>
      </c>
      <c r="Y2760" s="11">
        <f>$E2760+17</f>
        <v>133</v>
      </c>
      <c r="Z2760" s="12">
        <f>IF($J2760=0,0,ROUND(MAX($J2760*1.4*1.5*1.6*1.6*2.2*2.715*2.6*1.4,6020000000*(1.651178^(MIN($E2760,123)-117)))*1,0))</f>
        <v>3645881910</v>
      </c>
      <c r="AA2760" s="13">
        <f>$E2760+19</f>
        <v>135</v>
      </c>
      <c r="AB2760" s="14">
        <f>IF($J2760=0,0,ROUND(MAX($J2760*1.4*1.5*1.6*1.6*2.2*2.715*2.6*1.4*1.4,8430000000*(1.651435^(MIN($E2760,123)-117)))*1,0))</f>
        <v>5104651409</v>
      </c>
      <c r="AC2760" s="11">
        <f>$E2760+21</f>
        <v>137</v>
      </c>
      <c r="AD2760" s="12">
        <f>IF($J2760=0,0,ROUND(MAX($J2760*1.4*1.5*1.6*1.6*2.2*2.715*2.6*1.4*1.4*1.5,12600000000*(1.652953^(MIN($E2760,123)-117)))*1,0))</f>
        <v>7622721275</v>
      </c>
      <c r="AE2760" s="13">
        <f>$E2760+24</f>
        <v>140</v>
      </c>
      <c r="AF2760" s="14">
        <f>IF($J2760=0,0,ROUND(MAX($J2760*1.4*1.5*1.6*1.6*2.2*2.715*2.6*1.4*1.4*1.5*1.5,18900000000*(1.65331^(MIN($E2760,123)-117)))*1,0))</f>
        <v>11431612946</v>
      </c>
      <c r="AG2760" s="11">
        <f>$E2760+27</f>
        <v>143</v>
      </c>
      <c r="AH2760" s="12">
        <f>IF($J2760=0,0,ROUND(MAX($J2760*1.4*1.5*1.6*1.6*2.2*2.715*2.6*1.4*1.4*1.5*1.5*3.2,60500000000*(1.654288^(MIN($E2760,123)-117)))*1,0))</f>
        <v>36571624772</v>
      </c>
    </row>
    <row r="2761" ht="28" customHeight="1" spans="1:34" x14ac:dyDescent="0.25">
      <c r="A2761">
        <v>2771</v>
      </c>
      <c r="B2761" t="s">
        <v>1604</v>
      </c>
      <c r="C2761" s="10" t="s">
        <v>1593</v>
      </c>
      <c r="D2761" t="s">
        <v>90</v>
      </c>
      <c r="E2761">
        <v>116</v>
      </c>
      <c r="F2761" t="s">
        <v>26</v>
      </c>
      <c r="G2761" t="s">
        <v>326</v>
      </c>
      <c r="H2761">
        <v>27</v>
      </c>
      <c r="I2761" s="11">
        <f>$E2761+0</f>
        <v>116</v>
      </c>
      <c r="J2761" s="12">
        <v>515000</v>
      </c>
      <c r="K2761" s="13">
        <f>$E2761+1</f>
        <v>117</v>
      </c>
      <c r="L2761" s="14">
        <f>IF($J2761=0,0,ROUND(MAX($J2761*1.4,1620000*(1.497923^(MIN($E2761,123)-117)))*1,0))</f>
        <v>1081498</v>
      </c>
      <c r="M2761" s="11">
        <f>$E2761+2</f>
        <v>118</v>
      </c>
      <c r="N2761" s="12">
        <f>IF($J2761=0,0,ROUND(MAX($J2761*1.4*1.5,2190000*(1.580994^(MIN($E2761,123)-117)))*1,0))</f>
        <v>1385204</v>
      </c>
      <c r="O2761" s="13">
        <f>$E2761+4</f>
        <v>120</v>
      </c>
      <c r="P2761" s="14">
        <f>IF($J2761=0,0,ROUND(MAX($J2761*1.4*1.5*1.6,3500000*(1.57975^(MIN($E2761,123)-117)))*1,0))</f>
        <v>2215540</v>
      </c>
      <c r="Q2761" s="11">
        <f>$E2761+6</f>
        <v>122</v>
      </c>
      <c r="R2761" s="12">
        <f>IF($J2761=0,0,ROUND(MAX($J2761*1.4*1.5*1.6*1.6,13100000*(1.429962^(MIN($E2761,123)-117)))*1,0))</f>
        <v>9161083</v>
      </c>
      <c r="S2761" s="13">
        <f>$E2761+8</f>
        <v>124</v>
      </c>
      <c r="T2761" s="14">
        <f>IF($J2761=0,0,ROUND(MAX($J2761*1.4*1.5*1.6*1.6*2.2,42600000*(1.576904^(MIN($E2761,123)-117)))*1,0))</f>
        <v>27014961</v>
      </c>
      <c r="U2761" s="11">
        <f>$E2761+11</f>
        <v>127</v>
      </c>
      <c r="V2761" s="12">
        <f>IF($J2761=0,0,ROUND(MAX($J2761*1.4*1.5*1.6*1.6*2.2*2.715,354000000*(1.642074^(MIN($E2761,123)-117)))*1,0))</f>
        <v>215581027</v>
      </c>
      <c r="W2761" s="13">
        <f>$E2761+15</f>
        <v>131</v>
      </c>
      <c r="X2761" s="14">
        <f>IF($J2761=0,0,ROUND(MAX($J2761*1.4*1.5*1.6*1.6*2.2*2.715*2.6,3540000000*(1.579646^(MIN($E2761,123)-117)))*1,0))</f>
        <v>2241008428</v>
      </c>
      <c r="Y2761" s="11">
        <f>$E2761+17</f>
        <v>133</v>
      </c>
      <c r="Z2761" s="12">
        <f>IF($J2761=0,0,ROUND(MAX($J2761*1.4*1.5*1.6*1.6*2.2*2.715*2.6*1.4,6020000000*(1.651178^(MIN($E2761,123)-117)))*1,0))</f>
        <v>3645881910</v>
      </c>
      <c r="AA2761" s="13">
        <f>$E2761+19</f>
        <v>135</v>
      </c>
      <c r="AB2761" s="14">
        <f>IF($J2761=0,0,ROUND(MAX($J2761*1.4*1.5*1.6*1.6*2.2*2.715*2.6*1.4*1.4,8430000000*(1.651435^(MIN($E2761,123)-117)))*1,0))</f>
        <v>5104651409</v>
      </c>
      <c r="AC2761" s="11">
        <f>$E2761+21</f>
        <v>137</v>
      </c>
      <c r="AD2761" s="12">
        <f>IF($J2761=0,0,ROUND(MAX($J2761*1.4*1.5*1.6*1.6*2.2*2.715*2.6*1.4*1.4*1.5,12600000000*(1.652953^(MIN($E2761,123)-117)))*1,0))</f>
        <v>7622721275</v>
      </c>
      <c r="AE2761" s="13">
        <f>$E2761+24</f>
        <v>140</v>
      </c>
      <c r="AF2761" s="14">
        <f>IF($J2761=0,0,ROUND(MAX($J2761*1.4*1.5*1.6*1.6*2.2*2.715*2.6*1.4*1.4*1.5*1.5,18900000000*(1.65331^(MIN($E2761,123)-117)))*1,0))</f>
        <v>11431612946</v>
      </c>
      <c r="AG2761" s="11">
        <f>$E2761+27</f>
        <v>143</v>
      </c>
      <c r="AH2761" s="12">
        <f>IF($J2761=0,0,ROUND(MAX($J2761*1.4*1.5*1.6*1.6*2.2*2.715*2.6*1.4*1.4*1.5*1.5*3.2,60500000000*(1.654288^(MIN($E2761,123)-117)))*1,0))</f>
        <v>36571624772</v>
      </c>
    </row>
    <row r="2762" ht="28" customHeight="1" spans="1:34" x14ac:dyDescent="0.25">
      <c r="A2762">
        <v>2772</v>
      </c>
      <c r="B2762" t="s">
        <v>327</v>
      </c>
      <c r="C2762" s="10" t="s">
        <v>1593</v>
      </c>
      <c r="D2762" t="s">
        <v>47</v>
      </c>
      <c r="E2762">
        <v>116</v>
      </c>
      <c r="F2762" t="s">
        <v>310</v>
      </c>
      <c r="G2762" t="s">
        <v>38</v>
      </c>
      <c r="H2762">
        <v>26</v>
      </c>
      <c r="I2762" s="11">
        <f>$E2762+0</f>
        <v>116</v>
      </c>
      <c r="J2762" s="12">
        <v>447000</v>
      </c>
      <c r="K2762" s="13">
        <f>$E2762+1</f>
        <v>117</v>
      </c>
      <c r="L2762" s="14">
        <f>IF($J2762=0,0,ROUND(MAX($J2762*1.4,1620000*(1.497923^(MIN($E2762,123)-117)))*1,0))</f>
        <v>1081498</v>
      </c>
      <c r="M2762" s="11">
        <f>$E2762+2</f>
        <v>118</v>
      </c>
      <c r="N2762" s="12">
        <f>IF($J2762=0,0,ROUND(MAX($J2762*1.4*1.5,2190000*(1.580994^(MIN($E2762,123)-117)))*1,0))</f>
        <v>1385204</v>
      </c>
      <c r="O2762" s="13">
        <f>$E2762+4</f>
        <v>120</v>
      </c>
      <c r="P2762" s="14">
        <f>IF($J2762=0,0,ROUND(MAX($J2762*1.4*1.5*1.6,3500000*(1.57975^(MIN($E2762,123)-117)))*1,0))</f>
        <v>2215540</v>
      </c>
      <c r="Q2762" s="11">
        <f>$E2762+6</f>
        <v>122</v>
      </c>
      <c r="R2762" s="12">
        <f>IF($J2762=0,0,ROUND(MAX($J2762*1.4*1.5*1.6*1.6,13100000*(1.429962^(MIN($E2762,123)-117)))*1,0))</f>
        <v>9161083</v>
      </c>
      <c r="S2762" s="13">
        <f>$E2762+8</f>
        <v>124</v>
      </c>
      <c r="T2762" s="14">
        <f>IF($J2762=0,0,ROUND(MAX($J2762*1.4*1.5*1.6*1.6*2.2,42600000*(1.576904^(MIN($E2762,123)-117)))*1,0))</f>
        <v>27014961</v>
      </c>
      <c r="U2762" s="11">
        <f>$E2762+11</f>
        <v>127</v>
      </c>
      <c r="V2762" s="12">
        <f>IF($J2762=0,0,ROUND(MAX($J2762*1.4*1.5*1.6*1.6*2.2*2.715,354000000*(1.642074^(MIN($E2762,123)-117)))*1,0))</f>
        <v>215581027</v>
      </c>
      <c r="W2762" s="13">
        <f>$E2762+15</f>
        <v>131</v>
      </c>
      <c r="X2762" s="14">
        <f>IF($J2762=0,0,ROUND(MAX($J2762*1.4*1.5*1.6*1.6*2.2*2.715*2.6,3540000000*(1.579646^(MIN($E2762,123)-117)))*1,0))</f>
        <v>2241008428</v>
      </c>
      <c r="Y2762" s="11">
        <f>$E2762+17</f>
        <v>133</v>
      </c>
      <c r="Z2762" s="12">
        <f>IF($J2762=0,0,ROUND(MAX($J2762*1.4*1.5*1.6*1.6*2.2*2.715*2.6*1.4,6020000000*(1.651178^(MIN($E2762,123)-117)))*1,0))</f>
        <v>3645881910</v>
      </c>
      <c r="AA2762" s="13">
        <f>$E2762+19</f>
        <v>135</v>
      </c>
      <c r="AB2762" s="14">
        <f>IF($J2762=0,0,ROUND(MAX($J2762*1.4*1.5*1.6*1.6*2.2*2.715*2.6*1.4*1.4,8430000000*(1.651435^(MIN($E2762,123)-117)))*1,0))</f>
        <v>5104651409</v>
      </c>
      <c r="AC2762" s="11">
        <f>$E2762+21</f>
        <v>137</v>
      </c>
      <c r="AD2762" s="12">
        <f>IF($J2762=0,0,ROUND(MAX($J2762*1.4*1.5*1.6*1.6*2.2*2.715*2.6*1.4*1.4*1.5,12600000000*(1.652953^(MIN($E2762,123)-117)))*1,0))</f>
        <v>7622721275</v>
      </c>
      <c r="AE2762" s="13">
        <f>$E2762+24</f>
        <v>140</v>
      </c>
      <c r="AF2762" s="14">
        <f>IF($J2762=0,0,ROUND(MAX($J2762*1.4*1.5*1.6*1.6*2.2*2.715*2.6*1.4*1.4*1.5*1.5,18900000000*(1.65331^(MIN($E2762,123)-117)))*1,0))</f>
        <v>11431612946</v>
      </c>
      <c r="AG2762" s="11">
        <f>$E2762+27</f>
        <v>143</v>
      </c>
      <c r="AH2762" s="12">
        <f>IF($J2762=0,0,ROUND(MAX($J2762*1.4*1.5*1.6*1.6*2.2*2.715*2.6*1.4*1.4*1.5*1.5*3.2,60500000000*(1.654288^(MIN($E2762,123)-117)))*1,0))</f>
        <v>36571624772</v>
      </c>
    </row>
    <row r="2763" ht="28" customHeight="1" spans="1:34" x14ac:dyDescent="0.25">
      <c r="A2763">
        <v>2773</v>
      </c>
      <c r="B2763" t="s">
        <v>219</v>
      </c>
      <c r="C2763" s="10" t="s">
        <v>1593</v>
      </c>
      <c r="D2763" t="s">
        <v>75</v>
      </c>
      <c r="E2763">
        <v>115</v>
      </c>
      <c r="F2763" t="s">
        <v>54</v>
      </c>
      <c r="G2763" t="s">
        <v>218</v>
      </c>
      <c r="H2763">
        <v>28</v>
      </c>
      <c r="I2763" s="11">
        <f>$E2763+0</f>
        <v>115</v>
      </c>
      <c r="J2763" s="12">
        <v>482000</v>
      </c>
      <c r="K2763" s="13">
        <f>$E2763+1</f>
        <v>116</v>
      </c>
      <c r="L2763" s="14">
        <f>IF($J2763=0,0,ROUND(MAX($J2763*1.4,1620000*(1.497923^(MIN($E2763,123)-117)))*1,0))</f>
        <v>721998</v>
      </c>
      <c r="M2763" s="11">
        <f>$E2763+2</f>
        <v>117</v>
      </c>
      <c r="N2763" s="12">
        <f>IF($J2763=0,0,ROUND(MAX($J2763*1.4*1.5,2190000*(1.580994^(MIN($E2763,123)-117)))*1,0))</f>
        <v>1012200</v>
      </c>
      <c r="O2763" s="13">
        <f>$E2763+4</f>
        <v>119</v>
      </c>
      <c r="P2763" s="14">
        <f>IF($J2763=0,0,ROUND(MAX($J2763*1.4*1.5*1.6,3500000*(1.57975^(MIN($E2763,123)-117)))*1,0))</f>
        <v>1619520</v>
      </c>
      <c r="Q2763" s="11">
        <f>$E2763+6</f>
        <v>121</v>
      </c>
      <c r="R2763" s="12">
        <f>IF($J2763=0,0,ROUND(MAX($J2763*1.4*1.5*1.6*1.6,13100000*(1.429962^(MIN($E2763,123)-117)))*1,0))</f>
        <v>6406522</v>
      </c>
      <c r="S2763" s="13">
        <f>$E2763+8</f>
        <v>123</v>
      </c>
      <c r="T2763" s="14">
        <f>IF($J2763=0,0,ROUND(MAX($J2763*1.4*1.5*1.6*1.6*2.2,42600000*(1.576904^(MIN($E2763,123)-117)))*1,0))</f>
        <v>17131646</v>
      </c>
      <c r="U2763" s="11">
        <f>$E2763+11</f>
        <v>126</v>
      </c>
      <c r="V2763" s="12">
        <f>IF($J2763=0,0,ROUND(MAX($J2763*1.4*1.5*1.6*1.6*2.2*2.715,354000000*(1.642074^(MIN($E2763,123)-117)))*1,0))</f>
        <v>131285817</v>
      </c>
      <c r="W2763" s="13">
        <f>$E2763+15</f>
        <v>130</v>
      </c>
      <c r="X2763" s="14">
        <f>IF($J2763=0,0,ROUND(MAX($J2763*1.4*1.5*1.6*1.6*2.2*2.715*2.6,3540000000*(1.579646^(MIN($E2763,123)-117)))*1,0))</f>
        <v>1418677620</v>
      </c>
      <c r="Y2763" s="11">
        <f>$E2763+17</f>
        <v>132</v>
      </c>
      <c r="Z2763" s="12">
        <f>IF($J2763=0,0,ROUND(MAX($J2763*1.4*1.5*1.6*1.6*2.2*2.715*2.6*1.4,6020000000*(1.651178^(MIN($E2763,123)-117)))*1,0))</f>
        <v>2208048987</v>
      </c>
      <c r="AA2763" s="13">
        <f>$E2763+19</f>
        <v>134</v>
      </c>
      <c r="AB2763" s="14">
        <f>IF($J2763=0,0,ROUND(MAX($J2763*1.4*1.5*1.6*1.6*2.2*2.715*2.6*1.4*1.4,8430000000*(1.651435^(MIN($E2763,123)-117)))*1,0))</f>
        <v>3091039859</v>
      </c>
      <c r="AC2763" s="11">
        <f>$E2763+21</f>
        <v>136</v>
      </c>
      <c r="AD2763" s="12">
        <f>IF($J2763=0,0,ROUND(MAX($J2763*1.4*1.5*1.6*1.6*2.2*2.715*2.6*1.4*1.4*1.5,12600000000*(1.652953^(MIN($E2763,123)-117)))*1,0))</f>
        <v>4611577749</v>
      </c>
      <c r="AE2763" s="13">
        <f>$E2763+24</f>
        <v>139</v>
      </c>
      <c r="AF2763" s="14">
        <f>IF($J2763=0,0,ROUND(MAX($J2763*1.4*1.5*1.6*1.6*2.2*2.715*2.6*1.4*1.4*1.5*1.5,18900000000*(1.65331^(MIN($E2763,123)-117)))*1,0))</f>
        <v>6914379606</v>
      </c>
      <c r="AG2763" s="11">
        <f>$E2763+27</f>
        <v>142</v>
      </c>
      <c r="AH2763" s="12">
        <f>IF($J2763=0,0,ROUND(MAX($J2763*1.4*1.5*1.6*1.6*2.2*2.715*2.6*1.4*1.4*1.5*1.5*3.2,60500000000*(1.654288^(MIN($E2763,123)-117)))*1,0))</f>
        <v>22107169230</v>
      </c>
    </row>
    <row r="2764" ht="28" customHeight="1" spans="1:34" x14ac:dyDescent="0.25">
      <c r="A2764">
        <v>2774</v>
      </c>
      <c r="B2764" t="s">
        <v>1605</v>
      </c>
      <c r="C2764" s="10" t="s">
        <v>1593</v>
      </c>
      <c r="D2764" t="s">
        <v>75</v>
      </c>
      <c r="E2764">
        <v>115</v>
      </c>
      <c r="F2764" t="s">
        <v>54</v>
      </c>
      <c r="G2764" t="s">
        <v>701</v>
      </c>
      <c r="H2764">
        <v>28</v>
      </c>
      <c r="I2764" s="11">
        <f>$E2764+0</f>
        <v>115</v>
      </c>
      <c r="J2764" s="12">
        <v>570000</v>
      </c>
      <c r="K2764" s="13">
        <f>$E2764+1</f>
        <v>116</v>
      </c>
      <c r="L2764" s="14">
        <f>IF($J2764=0,0,ROUND(MAX($J2764*1.4,1620000*(1.497923^(MIN($E2764,123)-117)))*1,0))</f>
        <v>798000</v>
      </c>
      <c r="M2764" s="11">
        <f>$E2764+2</f>
        <v>117</v>
      </c>
      <c r="N2764" s="12">
        <f>IF($J2764=0,0,ROUND(MAX($J2764*1.4*1.5,2190000*(1.580994^(MIN($E2764,123)-117)))*1,0))</f>
        <v>1197000</v>
      </c>
      <c r="O2764" s="13">
        <f>$E2764+4</f>
        <v>119</v>
      </c>
      <c r="P2764" s="14">
        <f>IF($J2764=0,0,ROUND(MAX($J2764*1.4*1.5*1.6,3500000*(1.57975^(MIN($E2764,123)-117)))*1,0))</f>
        <v>1915200</v>
      </c>
      <c r="Q2764" s="11">
        <f>$E2764+6</f>
        <v>121</v>
      </c>
      <c r="R2764" s="12">
        <f>IF($J2764=0,0,ROUND(MAX($J2764*1.4*1.5*1.6*1.6,13100000*(1.429962^(MIN($E2764,123)-117)))*1,0))</f>
        <v>6406522</v>
      </c>
      <c r="S2764" s="13">
        <f>$E2764+8</f>
        <v>123</v>
      </c>
      <c r="T2764" s="14">
        <f>IF($J2764=0,0,ROUND(MAX($J2764*1.4*1.5*1.6*1.6*2.2,42600000*(1.576904^(MIN($E2764,123)-117)))*1,0))</f>
        <v>17131646</v>
      </c>
      <c r="U2764" s="11">
        <f>$E2764+11</f>
        <v>126</v>
      </c>
      <c r="V2764" s="12">
        <f>IF($J2764=0,0,ROUND(MAX($J2764*1.4*1.5*1.6*1.6*2.2*2.715,354000000*(1.642074^(MIN($E2764,123)-117)))*1,0))</f>
        <v>131285817</v>
      </c>
      <c r="W2764" s="13">
        <f>$E2764+15</f>
        <v>130</v>
      </c>
      <c r="X2764" s="14">
        <f>IF($J2764=0,0,ROUND(MAX($J2764*1.4*1.5*1.6*1.6*2.2*2.715*2.6,3540000000*(1.579646^(MIN($E2764,123)-117)))*1,0))</f>
        <v>1418677620</v>
      </c>
      <c r="Y2764" s="11">
        <f>$E2764+17</f>
        <v>132</v>
      </c>
      <c r="Z2764" s="12">
        <f>IF($J2764=0,0,ROUND(MAX($J2764*1.4*1.5*1.6*1.6*2.2*2.715*2.6*1.4,6020000000*(1.651178^(MIN($E2764,123)-117)))*1,0))</f>
        <v>2208048987</v>
      </c>
      <c r="AA2764" s="13">
        <f>$E2764+19</f>
        <v>134</v>
      </c>
      <c r="AB2764" s="14">
        <f>IF($J2764=0,0,ROUND(MAX($J2764*1.4*1.5*1.6*1.6*2.2*2.715*2.6*1.4*1.4,8430000000*(1.651435^(MIN($E2764,123)-117)))*1,0))</f>
        <v>3091039859</v>
      </c>
      <c r="AC2764" s="11">
        <f>$E2764+21</f>
        <v>136</v>
      </c>
      <c r="AD2764" s="12">
        <f>IF($J2764=0,0,ROUND(MAX($J2764*1.4*1.5*1.6*1.6*2.2*2.715*2.6*1.4*1.4*1.5,12600000000*(1.652953^(MIN($E2764,123)-117)))*1,0))</f>
        <v>4611577749</v>
      </c>
      <c r="AE2764" s="13">
        <f>$E2764+24</f>
        <v>139</v>
      </c>
      <c r="AF2764" s="14">
        <f>IF($J2764=0,0,ROUND(MAX($J2764*1.4*1.5*1.6*1.6*2.2*2.715*2.6*1.4*1.4*1.5*1.5,18900000000*(1.65331^(MIN($E2764,123)-117)))*1,0))</f>
        <v>6914379606</v>
      </c>
      <c r="AG2764" s="11">
        <f>$E2764+27</f>
        <v>142</v>
      </c>
      <c r="AH2764" s="12">
        <f>IF($J2764=0,0,ROUND(MAX($J2764*1.4*1.5*1.6*1.6*2.2*2.715*2.6*1.4*1.4*1.5*1.5*3.2,60500000000*(1.654288^(MIN($E2764,123)-117)))*1,0))</f>
        <v>22107169230</v>
      </c>
    </row>
    <row r="2765" ht="28" customHeight="1" spans="1:34" x14ac:dyDescent="0.25">
      <c r="A2765">
        <v>2775</v>
      </c>
      <c r="B2765" t="s">
        <v>624</v>
      </c>
      <c r="C2765" s="10" t="s">
        <v>1593</v>
      </c>
      <c r="D2765" t="s">
        <v>29</v>
      </c>
      <c r="E2765">
        <v>115</v>
      </c>
      <c r="F2765" t="s">
        <v>26</v>
      </c>
      <c r="G2765" t="s">
        <v>104</v>
      </c>
      <c r="H2765">
        <v>28</v>
      </c>
      <c r="I2765" s="11">
        <f>$E2765+0</f>
        <v>115</v>
      </c>
      <c r="J2765" s="12">
        <v>402000</v>
      </c>
      <c r="K2765" s="13">
        <f>$E2765+1</f>
        <v>116</v>
      </c>
      <c r="L2765" s="14">
        <f>IF($J2765=0,0,ROUND(MAX($J2765*1.4,1620000*(1.497923^(MIN($E2765,123)-117)))*1,0))</f>
        <v>721998</v>
      </c>
      <c r="M2765" s="11">
        <f>$E2765+2</f>
        <v>117</v>
      </c>
      <c r="N2765" s="12">
        <f>IF($J2765=0,0,ROUND(MAX($J2765*1.4*1.5,2190000*(1.580994^(MIN($E2765,123)-117)))*1,0))</f>
        <v>876161</v>
      </c>
      <c r="O2765" s="13">
        <f>$E2765+4</f>
        <v>119</v>
      </c>
      <c r="P2765" s="14">
        <f>IF($J2765=0,0,ROUND(MAX($J2765*1.4*1.5*1.6,3500000*(1.57975^(MIN($E2765,123)-117)))*1,0))</f>
        <v>1402463</v>
      </c>
      <c r="Q2765" s="11">
        <f>$E2765+6</f>
        <v>121</v>
      </c>
      <c r="R2765" s="12">
        <f>IF($J2765=0,0,ROUND(MAX($J2765*1.4*1.5*1.6*1.6,13100000*(1.429962^(MIN($E2765,123)-117)))*1,0))</f>
        <v>6406522</v>
      </c>
      <c r="S2765" s="13">
        <f>$E2765+8</f>
        <v>123</v>
      </c>
      <c r="T2765" s="14">
        <f>IF($J2765=0,0,ROUND(MAX($J2765*1.4*1.5*1.6*1.6*2.2,42600000*(1.576904^(MIN($E2765,123)-117)))*1,0))</f>
        <v>17131646</v>
      </c>
      <c r="U2765" s="11">
        <f>$E2765+11</f>
        <v>126</v>
      </c>
      <c r="V2765" s="12">
        <f>IF($J2765=0,0,ROUND(MAX($J2765*1.4*1.5*1.6*1.6*2.2*2.715,354000000*(1.642074^(MIN($E2765,123)-117)))*1,0))</f>
        <v>131285817</v>
      </c>
      <c r="W2765" s="13">
        <f>$E2765+15</f>
        <v>130</v>
      </c>
      <c r="X2765" s="14">
        <f>IF($J2765=0,0,ROUND(MAX($J2765*1.4*1.5*1.6*1.6*2.2*2.715*2.6,3540000000*(1.579646^(MIN($E2765,123)-117)))*1,0))</f>
        <v>1418677620</v>
      </c>
      <c r="Y2765" s="11">
        <f>$E2765+17</f>
        <v>132</v>
      </c>
      <c r="Z2765" s="12">
        <f>IF($J2765=0,0,ROUND(MAX($J2765*1.4*1.5*1.6*1.6*2.2*2.715*2.6*1.4,6020000000*(1.651178^(MIN($E2765,123)-117)))*1,0))</f>
        <v>2208048987</v>
      </c>
      <c r="AA2765" s="13">
        <f>$E2765+19</f>
        <v>134</v>
      </c>
      <c r="AB2765" s="14">
        <f>IF($J2765=0,0,ROUND(MAX($J2765*1.4*1.5*1.6*1.6*2.2*2.715*2.6*1.4*1.4,8430000000*(1.651435^(MIN($E2765,123)-117)))*1,0))</f>
        <v>3091039859</v>
      </c>
      <c r="AC2765" s="11">
        <f>$E2765+21</f>
        <v>136</v>
      </c>
      <c r="AD2765" s="12">
        <f>IF($J2765=0,0,ROUND(MAX($J2765*1.4*1.5*1.6*1.6*2.2*2.715*2.6*1.4*1.4*1.5,12600000000*(1.652953^(MIN($E2765,123)-117)))*1,0))</f>
        <v>4611577749</v>
      </c>
      <c r="AE2765" s="13">
        <f>$E2765+24</f>
        <v>139</v>
      </c>
      <c r="AF2765" s="14">
        <f>IF($J2765=0,0,ROUND(MAX($J2765*1.4*1.5*1.6*1.6*2.2*2.715*2.6*1.4*1.4*1.5*1.5,18900000000*(1.65331^(MIN($E2765,123)-117)))*1,0))</f>
        <v>6914379606</v>
      </c>
      <c r="AG2765" s="11">
        <f>$E2765+27</f>
        <v>142</v>
      </c>
      <c r="AH2765" s="12">
        <f>IF($J2765=0,0,ROUND(MAX($J2765*1.4*1.5*1.6*1.6*2.2*2.715*2.6*1.4*1.4*1.5*1.5*3.2,60500000000*(1.654288^(MIN($E2765,123)-117)))*1,0))</f>
        <v>22107169230</v>
      </c>
    </row>
    <row r="2766" ht="28" customHeight="1" spans="1:34" x14ac:dyDescent="0.25">
      <c r="A2766">
        <v>2776</v>
      </c>
      <c r="B2766" t="s">
        <v>299</v>
      </c>
      <c r="C2766" s="10" t="s">
        <v>1593</v>
      </c>
      <c r="D2766" t="s">
        <v>102</v>
      </c>
      <c r="E2766">
        <v>115</v>
      </c>
      <c r="F2766" t="s">
        <v>298</v>
      </c>
      <c r="G2766" t="s">
        <v>300</v>
      </c>
      <c r="H2766">
        <v>28</v>
      </c>
      <c r="I2766" s="11">
        <f>$E2766+0</f>
        <v>115</v>
      </c>
      <c r="J2766" s="12">
        <v>373000</v>
      </c>
      <c r="K2766" s="13">
        <f>$E2766+1</f>
        <v>116</v>
      </c>
      <c r="L2766" s="14">
        <f>IF($J2766=0,0,ROUND(MAX($J2766*1.4,1620000*(1.497923^(MIN($E2766,123)-117)))*1,0))</f>
        <v>721998</v>
      </c>
      <c r="M2766" s="11">
        <f>$E2766+2</f>
        <v>117</v>
      </c>
      <c r="N2766" s="12">
        <f>IF($J2766=0,0,ROUND(MAX($J2766*1.4*1.5,2190000*(1.580994^(MIN($E2766,123)-117)))*1,0))</f>
        <v>876161</v>
      </c>
      <c r="O2766" s="13">
        <f>$E2766+4</f>
        <v>119</v>
      </c>
      <c r="P2766" s="14">
        <f>IF($J2766=0,0,ROUND(MAX($J2766*1.4*1.5*1.6,3500000*(1.57975^(MIN($E2766,123)-117)))*1,0))</f>
        <v>1402463</v>
      </c>
      <c r="Q2766" s="11">
        <f>$E2766+6</f>
        <v>121</v>
      </c>
      <c r="R2766" s="12">
        <f>IF($J2766=0,0,ROUND(MAX($J2766*1.4*1.5*1.6*1.6,13100000*(1.429962^(MIN($E2766,123)-117)))*1,0))</f>
        <v>6406522</v>
      </c>
      <c r="S2766" s="13">
        <f>$E2766+8</f>
        <v>123</v>
      </c>
      <c r="T2766" s="14">
        <f>IF($J2766=0,0,ROUND(MAX($J2766*1.4*1.5*1.6*1.6*2.2,42600000*(1.576904^(MIN($E2766,123)-117)))*1,0))</f>
        <v>17131646</v>
      </c>
      <c r="U2766" s="11">
        <f>$E2766+11</f>
        <v>126</v>
      </c>
      <c r="V2766" s="12">
        <f>IF($J2766=0,0,ROUND(MAX($J2766*1.4*1.5*1.6*1.6*2.2*2.715,354000000*(1.642074^(MIN($E2766,123)-117)))*1,0))</f>
        <v>131285817</v>
      </c>
      <c r="W2766" s="13">
        <f>$E2766+15</f>
        <v>130</v>
      </c>
      <c r="X2766" s="14">
        <f>IF($J2766=0,0,ROUND(MAX($J2766*1.4*1.5*1.6*1.6*2.2*2.715*2.6,3540000000*(1.579646^(MIN($E2766,123)-117)))*1,0))</f>
        <v>1418677620</v>
      </c>
      <c r="Y2766" s="11">
        <f>$E2766+17</f>
        <v>132</v>
      </c>
      <c r="Z2766" s="12">
        <f>IF($J2766=0,0,ROUND(MAX($J2766*1.4*1.5*1.6*1.6*2.2*2.715*2.6*1.4,6020000000*(1.651178^(MIN($E2766,123)-117)))*1,0))</f>
        <v>2208048987</v>
      </c>
      <c r="AA2766" s="13">
        <f>$E2766+19</f>
        <v>134</v>
      </c>
      <c r="AB2766" s="14">
        <f>IF($J2766=0,0,ROUND(MAX($J2766*1.4*1.5*1.6*1.6*2.2*2.715*2.6*1.4*1.4,8430000000*(1.651435^(MIN($E2766,123)-117)))*1,0))</f>
        <v>3091039859</v>
      </c>
      <c r="AC2766" s="11">
        <f>$E2766+21</f>
        <v>136</v>
      </c>
      <c r="AD2766" s="12">
        <f>IF($J2766=0,0,ROUND(MAX($J2766*1.4*1.5*1.6*1.6*2.2*2.715*2.6*1.4*1.4*1.5,12600000000*(1.652953^(MIN($E2766,123)-117)))*1,0))</f>
        <v>4611577749</v>
      </c>
      <c r="AE2766" s="13">
        <f>$E2766+24</f>
        <v>139</v>
      </c>
      <c r="AF2766" s="14">
        <f>IF($J2766=0,0,ROUND(MAX($J2766*1.4*1.5*1.6*1.6*2.2*2.715*2.6*1.4*1.4*1.5*1.5,18900000000*(1.65331^(MIN($E2766,123)-117)))*1,0))</f>
        <v>6914379606</v>
      </c>
      <c r="AG2766" s="11">
        <f>$E2766+27</f>
        <v>142</v>
      </c>
      <c r="AH2766" s="12">
        <f>IF($J2766=0,0,ROUND(MAX($J2766*1.4*1.5*1.6*1.6*2.2*2.715*2.6*1.4*1.4*1.5*1.5*3.2,60500000000*(1.654288^(MIN($E2766,123)-117)))*1,0))</f>
        <v>22107169230</v>
      </c>
    </row>
    <row r="2767" ht="28" customHeight="1" spans="1:34" x14ac:dyDescent="0.25">
      <c r="A2767">
        <v>2777</v>
      </c>
      <c r="B2767" t="s">
        <v>1442</v>
      </c>
      <c r="C2767" s="10" t="s">
        <v>1593</v>
      </c>
      <c r="D2767" t="s">
        <v>45</v>
      </c>
      <c r="E2767">
        <v>115</v>
      </c>
      <c r="F2767" t="s">
        <v>56</v>
      </c>
      <c r="G2767" t="s">
        <v>832</v>
      </c>
      <c r="H2767">
        <v>28</v>
      </c>
      <c r="I2767" s="11">
        <f>$E2767+0</f>
        <v>115</v>
      </c>
      <c r="J2767" s="12">
        <v>404000</v>
      </c>
      <c r="K2767" s="13">
        <f>$E2767+1</f>
        <v>116</v>
      </c>
      <c r="L2767" s="14">
        <f>IF($J2767=0,0,ROUND(MAX($J2767*1.4,1620000*(1.497923^(MIN($E2767,123)-117)))*1,0))</f>
        <v>721998</v>
      </c>
      <c r="M2767" s="11">
        <f>$E2767+2</f>
        <v>117</v>
      </c>
      <c r="N2767" s="12">
        <f>IF($J2767=0,0,ROUND(MAX($J2767*1.4*1.5,2190000*(1.580994^(MIN($E2767,123)-117)))*1,0))</f>
        <v>876161</v>
      </c>
      <c r="O2767" s="13">
        <f>$E2767+4</f>
        <v>119</v>
      </c>
      <c r="P2767" s="14">
        <f>IF($J2767=0,0,ROUND(MAX($J2767*1.4*1.5*1.6,3500000*(1.57975^(MIN($E2767,123)-117)))*1,0))</f>
        <v>1402463</v>
      </c>
      <c r="Q2767" s="11">
        <f>$E2767+6</f>
        <v>121</v>
      </c>
      <c r="R2767" s="12">
        <f>IF($J2767=0,0,ROUND(MAX($J2767*1.4*1.5*1.6*1.6,13100000*(1.429962^(MIN($E2767,123)-117)))*1,0))</f>
        <v>6406522</v>
      </c>
      <c r="S2767" s="13">
        <f>$E2767+8</f>
        <v>123</v>
      </c>
      <c r="T2767" s="14">
        <f>IF($J2767=0,0,ROUND(MAX($J2767*1.4*1.5*1.6*1.6*2.2,42600000*(1.576904^(MIN($E2767,123)-117)))*1,0))</f>
        <v>17131646</v>
      </c>
      <c r="U2767" s="11">
        <f>$E2767+11</f>
        <v>126</v>
      </c>
      <c r="V2767" s="12">
        <f>IF($J2767=0,0,ROUND(MAX($J2767*1.4*1.5*1.6*1.6*2.2*2.715,354000000*(1.642074^(MIN($E2767,123)-117)))*1,0))</f>
        <v>131285817</v>
      </c>
      <c r="W2767" s="13">
        <f>$E2767+15</f>
        <v>130</v>
      </c>
      <c r="X2767" s="14">
        <f>IF($J2767=0,0,ROUND(MAX($J2767*1.4*1.5*1.6*1.6*2.2*2.715*2.6,3540000000*(1.579646^(MIN($E2767,123)-117)))*1,0))</f>
        <v>1418677620</v>
      </c>
      <c r="Y2767" s="11">
        <f>$E2767+17</f>
        <v>132</v>
      </c>
      <c r="Z2767" s="12">
        <f>IF($J2767=0,0,ROUND(MAX($J2767*1.4*1.5*1.6*1.6*2.2*2.715*2.6*1.4,6020000000*(1.651178^(MIN($E2767,123)-117)))*1,0))</f>
        <v>2208048987</v>
      </c>
      <c r="AA2767" s="13">
        <f>$E2767+19</f>
        <v>134</v>
      </c>
      <c r="AB2767" s="14">
        <f>IF($J2767=0,0,ROUND(MAX($J2767*1.4*1.5*1.6*1.6*2.2*2.715*2.6*1.4*1.4,8430000000*(1.651435^(MIN($E2767,123)-117)))*1,0))</f>
        <v>3091039859</v>
      </c>
      <c r="AC2767" s="11">
        <f>$E2767+21</f>
        <v>136</v>
      </c>
      <c r="AD2767" s="12">
        <f>IF($J2767=0,0,ROUND(MAX($J2767*1.4*1.5*1.6*1.6*2.2*2.715*2.6*1.4*1.4*1.5,12600000000*(1.652953^(MIN($E2767,123)-117)))*1,0))</f>
        <v>4611577749</v>
      </c>
      <c r="AE2767" s="13">
        <f>$E2767+24</f>
        <v>139</v>
      </c>
      <c r="AF2767" s="14">
        <f>IF($J2767=0,0,ROUND(MAX($J2767*1.4*1.5*1.6*1.6*2.2*2.715*2.6*1.4*1.4*1.5*1.5,18900000000*(1.65331^(MIN($E2767,123)-117)))*1,0))</f>
        <v>6914379606</v>
      </c>
      <c r="AG2767" s="11">
        <f>$E2767+27</f>
        <v>142</v>
      </c>
      <c r="AH2767" s="12">
        <f>IF($J2767=0,0,ROUND(MAX($J2767*1.4*1.5*1.6*1.6*2.2*2.715*2.6*1.4*1.4*1.5*1.5*3.2,60500000000*(1.654288^(MIN($E2767,123)-117)))*1,0))</f>
        <v>22107169230</v>
      </c>
    </row>
    <row r="2768" ht="28" customHeight="1" spans="1:34" x14ac:dyDescent="0.25">
      <c r="A2768">
        <v>2778</v>
      </c>
      <c r="B2768" t="s">
        <v>929</v>
      </c>
      <c r="C2768" s="10" t="s">
        <v>1593</v>
      </c>
      <c r="D2768" t="s">
        <v>40</v>
      </c>
      <c r="E2768">
        <v>115</v>
      </c>
      <c r="F2768" t="s">
        <v>54</v>
      </c>
      <c r="G2768" t="s">
        <v>930</v>
      </c>
      <c r="H2768">
        <v>28</v>
      </c>
      <c r="I2768" s="11">
        <f>$E2768+0</f>
        <v>115</v>
      </c>
      <c r="J2768" s="12">
        <v>453000</v>
      </c>
      <c r="K2768" s="13">
        <f>$E2768+1</f>
        <v>116</v>
      </c>
      <c r="L2768" s="14">
        <f>IF($J2768=0,0,ROUND(MAX($J2768*1.4,1620000*(1.497923^(MIN($E2768,123)-117)))*1,0))</f>
        <v>721998</v>
      </c>
      <c r="M2768" s="11">
        <f>$E2768+2</f>
        <v>117</v>
      </c>
      <c r="N2768" s="12">
        <f>IF($J2768=0,0,ROUND(MAX($J2768*1.4*1.5,2190000*(1.580994^(MIN($E2768,123)-117)))*1,0))</f>
        <v>951300</v>
      </c>
      <c r="O2768" s="13">
        <f>$E2768+4</f>
        <v>119</v>
      </c>
      <c r="P2768" s="14">
        <f>IF($J2768=0,0,ROUND(MAX($J2768*1.4*1.5*1.6,3500000*(1.57975^(MIN($E2768,123)-117)))*1,0))</f>
        <v>1522080</v>
      </c>
      <c r="Q2768" s="11">
        <f>$E2768+6</f>
        <v>121</v>
      </c>
      <c r="R2768" s="12">
        <f>IF($J2768=0,0,ROUND(MAX($J2768*1.4*1.5*1.6*1.6,13100000*(1.429962^(MIN($E2768,123)-117)))*1,0))</f>
        <v>6406522</v>
      </c>
      <c r="S2768" s="13">
        <f>$E2768+8</f>
        <v>123</v>
      </c>
      <c r="T2768" s="14">
        <f>IF($J2768=0,0,ROUND(MAX($J2768*1.4*1.5*1.6*1.6*2.2,42600000*(1.576904^(MIN($E2768,123)-117)))*1,0))</f>
        <v>17131646</v>
      </c>
      <c r="U2768" s="11">
        <f>$E2768+11</f>
        <v>126</v>
      </c>
      <c r="V2768" s="12">
        <f>IF($J2768=0,0,ROUND(MAX($J2768*1.4*1.5*1.6*1.6*2.2*2.715,354000000*(1.642074^(MIN($E2768,123)-117)))*1,0))</f>
        <v>131285817</v>
      </c>
      <c r="W2768" s="13">
        <f>$E2768+15</f>
        <v>130</v>
      </c>
      <c r="X2768" s="14">
        <f>IF($J2768=0,0,ROUND(MAX($J2768*1.4*1.5*1.6*1.6*2.2*2.715*2.6,3540000000*(1.579646^(MIN($E2768,123)-117)))*1,0))</f>
        <v>1418677620</v>
      </c>
      <c r="Y2768" s="11">
        <f>$E2768+17</f>
        <v>132</v>
      </c>
      <c r="Z2768" s="12">
        <f>IF($J2768=0,0,ROUND(MAX($J2768*1.4*1.5*1.6*1.6*2.2*2.715*2.6*1.4,6020000000*(1.651178^(MIN($E2768,123)-117)))*1,0))</f>
        <v>2208048987</v>
      </c>
      <c r="AA2768" s="13">
        <f>$E2768+19</f>
        <v>134</v>
      </c>
      <c r="AB2768" s="14">
        <f>IF($J2768=0,0,ROUND(MAX($J2768*1.4*1.5*1.6*1.6*2.2*2.715*2.6*1.4*1.4,8430000000*(1.651435^(MIN($E2768,123)-117)))*1,0))</f>
        <v>3091039859</v>
      </c>
      <c r="AC2768" s="11">
        <f>$E2768+21</f>
        <v>136</v>
      </c>
      <c r="AD2768" s="12">
        <f>IF($J2768=0,0,ROUND(MAX($J2768*1.4*1.5*1.6*1.6*2.2*2.715*2.6*1.4*1.4*1.5,12600000000*(1.652953^(MIN($E2768,123)-117)))*1,0))</f>
        <v>4611577749</v>
      </c>
      <c r="AE2768" s="13">
        <f>$E2768+24</f>
        <v>139</v>
      </c>
      <c r="AF2768" s="14">
        <f>IF($J2768=0,0,ROUND(MAX($J2768*1.4*1.5*1.6*1.6*2.2*2.715*2.6*1.4*1.4*1.5*1.5,18900000000*(1.65331^(MIN($E2768,123)-117)))*1,0))</f>
        <v>6914379606</v>
      </c>
      <c r="AG2768" s="11">
        <f>$E2768+27</f>
        <v>142</v>
      </c>
      <c r="AH2768" s="12">
        <f>IF($J2768=0,0,ROUND(MAX($J2768*1.4*1.5*1.6*1.6*2.2*2.715*2.6*1.4*1.4*1.5*1.5*3.2,60500000000*(1.654288^(MIN($E2768,123)-117)))*1,0))</f>
        <v>22107169230</v>
      </c>
    </row>
    <row r="2769" ht="28" customHeight="1" spans="1:34" x14ac:dyDescent="0.25">
      <c r="A2769">
        <v>2779</v>
      </c>
      <c r="B2769" t="s">
        <v>1606</v>
      </c>
      <c r="C2769" s="10" t="s">
        <v>1593</v>
      </c>
      <c r="D2769" t="s">
        <v>33</v>
      </c>
      <c r="E2769">
        <v>115</v>
      </c>
      <c r="F2769" t="s">
        <v>56</v>
      </c>
      <c r="G2769" t="s">
        <v>1607</v>
      </c>
      <c r="H2769">
        <v>28</v>
      </c>
      <c r="I2769" s="11">
        <f>$E2769+0</f>
        <v>115</v>
      </c>
      <c r="J2769" s="12">
        <v>437000</v>
      </c>
      <c r="K2769" s="13">
        <f>$E2769+1</f>
        <v>116</v>
      </c>
      <c r="L2769" s="14">
        <f>IF($J2769=0,0,ROUND(MAX($J2769*1.4,1620000*(1.497923^(MIN($E2769,123)-117)))*1,0))</f>
        <v>721998</v>
      </c>
      <c r="M2769" s="11">
        <f>$E2769+2</f>
        <v>117</v>
      </c>
      <c r="N2769" s="12">
        <f>IF($J2769=0,0,ROUND(MAX($J2769*1.4*1.5,2190000*(1.580994^(MIN($E2769,123)-117)))*1,0))</f>
        <v>917700</v>
      </c>
      <c r="O2769" s="13">
        <f>$E2769+4</f>
        <v>119</v>
      </c>
      <c r="P2769" s="14">
        <f>IF($J2769=0,0,ROUND(MAX($J2769*1.4*1.5*1.6,3500000*(1.57975^(MIN($E2769,123)-117)))*1,0))</f>
        <v>1468320</v>
      </c>
      <c r="Q2769" s="11">
        <f>$E2769+6</f>
        <v>121</v>
      </c>
      <c r="R2769" s="12">
        <f>IF($J2769=0,0,ROUND(MAX($J2769*1.4*1.5*1.6*1.6,13100000*(1.429962^(MIN($E2769,123)-117)))*1,0))</f>
        <v>6406522</v>
      </c>
      <c r="S2769" s="13">
        <f>$E2769+8</f>
        <v>123</v>
      </c>
      <c r="T2769" s="14">
        <f>IF($J2769=0,0,ROUND(MAX($J2769*1.4*1.5*1.6*1.6*2.2,42600000*(1.576904^(MIN($E2769,123)-117)))*1,0))</f>
        <v>17131646</v>
      </c>
      <c r="U2769" s="11">
        <f>$E2769+11</f>
        <v>126</v>
      </c>
      <c r="V2769" s="12">
        <f>IF($J2769=0,0,ROUND(MAX($J2769*1.4*1.5*1.6*1.6*2.2*2.715,354000000*(1.642074^(MIN($E2769,123)-117)))*1,0))</f>
        <v>131285817</v>
      </c>
      <c r="W2769" s="13">
        <f>$E2769+15</f>
        <v>130</v>
      </c>
      <c r="X2769" s="14">
        <f>IF($J2769=0,0,ROUND(MAX($J2769*1.4*1.5*1.6*1.6*2.2*2.715*2.6,3540000000*(1.579646^(MIN($E2769,123)-117)))*1,0))</f>
        <v>1418677620</v>
      </c>
      <c r="Y2769" s="11">
        <f>$E2769+17</f>
        <v>132</v>
      </c>
      <c r="Z2769" s="12">
        <f>IF($J2769=0,0,ROUND(MAX($J2769*1.4*1.5*1.6*1.6*2.2*2.715*2.6*1.4,6020000000*(1.651178^(MIN($E2769,123)-117)))*1,0))</f>
        <v>2208048987</v>
      </c>
      <c r="AA2769" s="13">
        <f>$E2769+19</f>
        <v>134</v>
      </c>
      <c r="AB2769" s="14">
        <f>IF($J2769=0,0,ROUND(MAX($J2769*1.4*1.5*1.6*1.6*2.2*2.715*2.6*1.4*1.4,8430000000*(1.651435^(MIN($E2769,123)-117)))*1,0))</f>
        <v>3091039859</v>
      </c>
      <c r="AC2769" s="11">
        <f>$E2769+21</f>
        <v>136</v>
      </c>
      <c r="AD2769" s="12">
        <f>IF($J2769=0,0,ROUND(MAX($J2769*1.4*1.5*1.6*1.6*2.2*2.715*2.6*1.4*1.4*1.5,12600000000*(1.652953^(MIN($E2769,123)-117)))*1,0))</f>
        <v>4611577749</v>
      </c>
      <c r="AE2769" s="13">
        <f>$E2769+24</f>
        <v>139</v>
      </c>
      <c r="AF2769" s="14">
        <f>IF($J2769=0,0,ROUND(MAX($J2769*1.4*1.5*1.6*1.6*2.2*2.715*2.6*1.4*1.4*1.5*1.5,18900000000*(1.65331^(MIN($E2769,123)-117)))*1,0))</f>
        <v>6914379606</v>
      </c>
      <c r="AG2769" s="11">
        <f>$E2769+27</f>
        <v>142</v>
      </c>
      <c r="AH2769" s="12">
        <f>IF($J2769=0,0,ROUND(MAX($J2769*1.4*1.5*1.6*1.6*2.2*2.715*2.6*1.4*1.4*1.5*1.5*3.2,60500000000*(1.654288^(MIN($E2769,123)-117)))*1,0))</f>
        <v>22107169230</v>
      </c>
    </row>
    <row r="2770" ht="28" customHeight="1" spans="1:34" x14ac:dyDescent="0.25">
      <c r="A2770">
        <v>2780</v>
      </c>
      <c r="B2770" t="s">
        <v>821</v>
      </c>
      <c r="C2770" s="10" t="s">
        <v>1593</v>
      </c>
      <c r="D2770" t="s">
        <v>64</v>
      </c>
      <c r="E2770">
        <v>115</v>
      </c>
      <c r="F2770" t="s">
        <v>56</v>
      </c>
      <c r="G2770" t="s">
        <v>819</v>
      </c>
      <c r="H2770">
        <v>28</v>
      </c>
      <c r="I2770" s="11">
        <f>$E2770+0</f>
        <v>115</v>
      </c>
      <c r="J2770" s="12">
        <v>2400000</v>
      </c>
      <c r="K2770" s="13">
        <f>$E2770+1</f>
        <v>116</v>
      </c>
      <c r="L2770" s="14">
        <f>IF($J2770=0,0,ROUND(MAX($J2770*1.4,1620000*(1.497923^(MIN($E2770,123)-117)))*1,0))</f>
        <v>3360000</v>
      </c>
      <c r="M2770" s="11">
        <f>$E2770+2</f>
        <v>117</v>
      </c>
      <c r="N2770" s="12">
        <f>IF($J2770=0,0,ROUND(MAX($J2770*1.4*1.5,2190000*(1.580994^(MIN($E2770,123)-117)))*1,0))</f>
        <v>5040000</v>
      </c>
      <c r="O2770" s="13">
        <f>$E2770+4</f>
        <v>119</v>
      </c>
      <c r="P2770" s="14">
        <f>IF($J2770=0,0,ROUND(MAX($J2770*1.4*1.5*1.6,3500000*(1.57975^(MIN($E2770,123)-117)))*1,0))</f>
        <v>8064000</v>
      </c>
      <c r="Q2770" s="11">
        <f>$E2770+6</f>
        <v>121</v>
      </c>
      <c r="R2770" s="12">
        <f>IF($J2770=0,0,ROUND(MAX($J2770*1.4*1.5*1.6*1.6,13100000*(1.429962^(MIN($E2770,123)-117)))*1,0))</f>
        <v>12902400</v>
      </c>
      <c r="S2770" s="13">
        <f>$E2770+8</f>
        <v>123</v>
      </c>
      <c r="T2770" s="14">
        <f>IF($J2770=0,0,ROUND(MAX($J2770*1.4*1.5*1.6*1.6*2.2,42600000*(1.576904^(MIN($E2770,123)-117)))*1,0))</f>
        <v>28385280</v>
      </c>
      <c r="U2770" s="11">
        <f>$E2770+11</f>
        <v>126</v>
      </c>
      <c r="V2770" s="12">
        <f>IF($J2770=0,0,ROUND(MAX($J2770*1.4*1.5*1.6*1.6*2.2*2.715,354000000*(1.642074^(MIN($E2770,123)-117)))*1,0))</f>
        <v>131285817</v>
      </c>
      <c r="W2770" s="13">
        <f>$E2770+15</f>
        <v>130</v>
      </c>
      <c r="X2770" s="14">
        <f>IF($J2770=0,0,ROUND(MAX($J2770*1.4*1.5*1.6*1.6*2.2*2.715*2.6,3540000000*(1.579646^(MIN($E2770,123)-117)))*1,0))</f>
        <v>1418677620</v>
      </c>
      <c r="Y2770" s="11">
        <f>$E2770+17</f>
        <v>132</v>
      </c>
      <c r="Z2770" s="12">
        <f>IF($J2770=0,0,ROUND(MAX($J2770*1.4*1.5*1.6*1.6*2.2*2.715*2.6*1.4,6020000000*(1.651178^(MIN($E2770,123)-117)))*1,0))</f>
        <v>2208048987</v>
      </c>
      <c r="AA2770" s="13">
        <f>$E2770+19</f>
        <v>134</v>
      </c>
      <c r="AB2770" s="14">
        <f>IF($J2770=0,0,ROUND(MAX($J2770*1.4*1.5*1.6*1.6*2.2*2.715*2.6*1.4*1.4,8430000000*(1.651435^(MIN($E2770,123)-117)))*1,0))</f>
        <v>3091039859</v>
      </c>
      <c r="AC2770" s="11">
        <f>$E2770+21</f>
        <v>136</v>
      </c>
      <c r="AD2770" s="12">
        <f>IF($J2770=0,0,ROUND(MAX($J2770*1.4*1.5*1.6*1.6*2.2*2.715*2.6*1.4*1.4*1.5,12600000000*(1.652953^(MIN($E2770,123)-117)))*1,0))</f>
        <v>4611577749</v>
      </c>
      <c r="AE2770" s="13">
        <f>$E2770+24</f>
        <v>139</v>
      </c>
      <c r="AF2770" s="14">
        <f>IF($J2770=0,0,ROUND(MAX($J2770*1.4*1.5*1.6*1.6*2.2*2.715*2.6*1.4*1.4*1.5*1.5,18900000000*(1.65331^(MIN($E2770,123)-117)))*1,0))</f>
        <v>6914379606</v>
      </c>
      <c r="AG2770" s="11">
        <f>$E2770+27</f>
        <v>142</v>
      </c>
      <c r="AH2770" s="12">
        <f>IF($J2770=0,0,ROUND(MAX($J2770*1.4*1.5*1.6*1.6*2.2*2.715*2.6*1.4*1.4*1.5*1.5*3.2,60500000000*(1.654288^(MIN($E2770,123)-117)))*1,0))</f>
        <v>22107169230</v>
      </c>
    </row>
    <row r="2771" ht="28" customHeight="1" spans="1:34" x14ac:dyDescent="0.25">
      <c r="A2771">
        <v>2781</v>
      </c>
      <c r="B2771" t="s">
        <v>865</v>
      </c>
      <c r="C2771" s="10" t="s">
        <v>1593</v>
      </c>
      <c r="D2771" t="s">
        <v>33</v>
      </c>
      <c r="E2771">
        <v>115</v>
      </c>
      <c r="F2771" t="s">
        <v>71</v>
      </c>
      <c r="G2771" t="s">
        <v>760</v>
      </c>
      <c r="H2771">
        <v>28</v>
      </c>
      <c r="I2771" s="11">
        <f>$E2771+0</f>
        <v>115</v>
      </c>
      <c r="J2771" s="12">
        <v>368000</v>
      </c>
      <c r="K2771" s="13">
        <f>$E2771+1</f>
        <v>116</v>
      </c>
      <c r="L2771" s="14">
        <f>IF($J2771=0,0,ROUND(MAX($J2771*1.4,1620000*(1.497923^(MIN($E2771,123)-117)))*1,0))</f>
        <v>721998</v>
      </c>
      <c r="M2771" s="11">
        <f>$E2771+2</f>
        <v>117</v>
      </c>
      <c r="N2771" s="12">
        <f>IF($J2771=0,0,ROUND(MAX($J2771*1.4*1.5,2190000*(1.580994^(MIN($E2771,123)-117)))*1,0))</f>
        <v>876161</v>
      </c>
      <c r="O2771" s="13">
        <f>$E2771+4</f>
        <v>119</v>
      </c>
      <c r="P2771" s="14">
        <f>IF($J2771=0,0,ROUND(MAX($J2771*1.4*1.5*1.6,3500000*(1.57975^(MIN($E2771,123)-117)))*1,0))</f>
        <v>1402463</v>
      </c>
      <c r="Q2771" s="11">
        <f>$E2771+6</f>
        <v>121</v>
      </c>
      <c r="R2771" s="12">
        <f>IF($J2771=0,0,ROUND(MAX($J2771*1.4*1.5*1.6*1.6,13100000*(1.429962^(MIN($E2771,123)-117)))*1,0))</f>
        <v>6406522</v>
      </c>
      <c r="S2771" s="13">
        <f>$E2771+8</f>
        <v>123</v>
      </c>
      <c r="T2771" s="14">
        <f>IF($J2771=0,0,ROUND(MAX($J2771*1.4*1.5*1.6*1.6*2.2,42600000*(1.576904^(MIN($E2771,123)-117)))*1,0))</f>
        <v>17131646</v>
      </c>
      <c r="U2771" s="11">
        <f>$E2771+11</f>
        <v>126</v>
      </c>
      <c r="V2771" s="12">
        <f>IF($J2771=0,0,ROUND(MAX($J2771*1.4*1.5*1.6*1.6*2.2*2.715,354000000*(1.642074^(MIN($E2771,123)-117)))*1,0))</f>
        <v>131285817</v>
      </c>
      <c r="W2771" s="13">
        <f>$E2771+15</f>
        <v>130</v>
      </c>
      <c r="X2771" s="14">
        <f>IF($J2771=0,0,ROUND(MAX($J2771*1.4*1.5*1.6*1.6*2.2*2.715*2.6,3540000000*(1.579646^(MIN($E2771,123)-117)))*1,0))</f>
        <v>1418677620</v>
      </c>
      <c r="Y2771" s="11">
        <f>$E2771+17</f>
        <v>132</v>
      </c>
      <c r="Z2771" s="12">
        <f>IF($J2771=0,0,ROUND(MAX($J2771*1.4*1.5*1.6*1.6*2.2*2.715*2.6*1.4,6020000000*(1.651178^(MIN($E2771,123)-117)))*1,0))</f>
        <v>2208048987</v>
      </c>
      <c r="AA2771" s="13">
        <f>$E2771+19</f>
        <v>134</v>
      </c>
      <c r="AB2771" s="14">
        <f>IF($J2771=0,0,ROUND(MAX($J2771*1.4*1.5*1.6*1.6*2.2*2.715*2.6*1.4*1.4,8430000000*(1.651435^(MIN($E2771,123)-117)))*1,0))</f>
        <v>3091039859</v>
      </c>
      <c r="AC2771" s="11">
        <f>$E2771+21</f>
        <v>136</v>
      </c>
      <c r="AD2771" s="12">
        <f>IF($J2771=0,0,ROUND(MAX($J2771*1.4*1.5*1.6*1.6*2.2*2.715*2.6*1.4*1.4*1.5,12600000000*(1.652953^(MIN($E2771,123)-117)))*1,0))</f>
        <v>4611577749</v>
      </c>
      <c r="AE2771" s="13">
        <f>$E2771+24</f>
        <v>139</v>
      </c>
      <c r="AF2771" s="14">
        <f>IF($J2771=0,0,ROUND(MAX($J2771*1.4*1.5*1.6*1.6*2.2*2.715*2.6*1.4*1.4*1.5*1.5,18900000000*(1.65331^(MIN($E2771,123)-117)))*1,0))</f>
        <v>6914379606</v>
      </c>
      <c r="AG2771" s="11">
        <f>$E2771+27</f>
        <v>142</v>
      </c>
      <c r="AH2771" s="12">
        <f>IF($J2771=0,0,ROUND(MAX($J2771*1.4*1.5*1.6*1.6*2.2*2.715*2.6*1.4*1.4*1.5*1.5*3.2,60500000000*(1.654288^(MIN($E2771,123)-117)))*1,0))</f>
        <v>22107169230</v>
      </c>
    </row>
    <row r="2772" ht="28" customHeight="1" spans="1:34" x14ac:dyDescent="0.25">
      <c r="A2772">
        <v>2782</v>
      </c>
      <c r="B2772" t="s">
        <v>215</v>
      </c>
      <c r="C2772" s="10" t="s">
        <v>1593</v>
      </c>
      <c r="D2772" t="s">
        <v>75</v>
      </c>
      <c r="E2772">
        <v>115</v>
      </c>
      <c r="F2772" t="s">
        <v>56</v>
      </c>
      <c r="G2772" t="s">
        <v>562</v>
      </c>
      <c r="H2772">
        <v>28</v>
      </c>
      <c r="I2772" s="11">
        <f>$E2772+0</f>
        <v>115</v>
      </c>
      <c r="J2772" s="12">
        <v>402000</v>
      </c>
      <c r="K2772" s="13">
        <f>$E2772+1</f>
        <v>116</v>
      </c>
      <c r="L2772" s="14">
        <f>IF($J2772=0,0,ROUND(MAX($J2772*1.4,1620000*(1.497923^(MIN($E2772,123)-117)))*1,0))</f>
        <v>721998</v>
      </c>
      <c r="M2772" s="11">
        <f>$E2772+2</f>
        <v>117</v>
      </c>
      <c r="N2772" s="12">
        <f>IF($J2772=0,0,ROUND(MAX($J2772*1.4*1.5,2190000*(1.580994^(MIN($E2772,123)-117)))*1,0))</f>
        <v>876161</v>
      </c>
      <c r="O2772" s="13">
        <f>$E2772+4</f>
        <v>119</v>
      </c>
      <c r="P2772" s="14">
        <f>IF($J2772=0,0,ROUND(MAX($J2772*1.4*1.5*1.6,3500000*(1.57975^(MIN($E2772,123)-117)))*1,0))</f>
        <v>1402463</v>
      </c>
      <c r="Q2772" s="11">
        <f>$E2772+6</f>
        <v>121</v>
      </c>
      <c r="R2772" s="12">
        <f>IF($J2772=0,0,ROUND(MAX($J2772*1.4*1.5*1.6*1.6,13100000*(1.429962^(MIN($E2772,123)-117)))*1,0))</f>
        <v>6406522</v>
      </c>
      <c r="S2772" s="13">
        <f>$E2772+8</f>
        <v>123</v>
      </c>
      <c r="T2772" s="14">
        <f>IF($J2772=0,0,ROUND(MAX($J2772*1.4*1.5*1.6*1.6*2.2,42600000*(1.576904^(MIN($E2772,123)-117)))*1,0))</f>
        <v>17131646</v>
      </c>
      <c r="U2772" s="11">
        <f>$E2772+11</f>
        <v>126</v>
      </c>
      <c r="V2772" s="12">
        <f>IF($J2772=0,0,ROUND(MAX($J2772*1.4*1.5*1.6*1.6*2.2*2.715,354000000*(1.642074^(MIN($E2772,123)-117)))*1,0))</f>
        <v>131285817</v>
      </c>
      <c r="W2772" s="13">
        <f>$E2772+15</f>
        <v>130</v>
      </c>
      <c r="X2772" s="14">
        <f>IF($J2772=0,0,ROUND(MAX($J2772*1.4*1.5*1.6*1.6*2.2*2.715*2.6,3540000000*(1.579646^(MIN($E2772,123)-117)))*1,0))</f>
        <v>1418677620</v>
      </c>
      <c r="Y2772" s="11">
        <f>$E2772+17</f>
        <v>132</v>
      </c>
      <c r="Z2772" s="12">
        <f>IF($J2772=0,0,ROUND(MAX($J2772*1.4*1.5*1.6*1.6*2.2*2.715*2.6*1.4,6020000000*(1.651178^(MIN($E2772,123)-117)))*1,0))</f>
        <v>2208048987</v>
      </c>
      <c r="AA2772" s="13">
        <f>$E2772+19</f>
        <v>134</v>
      </c>
      <c r="AB2772" s="14">
        <f>IF($J2772=0,0,ROUND(MAX($J2772*1.4*1.5*1.6*1.6*2.2*2.715*2.6*1.4*1.4,8430000000*(1.651435^(MIN($E2772,123)-117)))*1,0))</f>
        <v>3091039859</v>
      </c>
      <c r="AC2772" s="11">
        <f>$E2772+21</f>
        <v>136</v>
      </c>
      <c r="AD2772" s="12">
        <f>IF($J2772=0,0,ROUND(MAX($J2772*1.4*1.5*1.6*1.6*2.2*2.715*2.6*1.4*1.4*1.5,12600000000*(1.652953^(MIN($E2772,123)-117)))*1,0))</f>
        <v>4611577749</v>
      </c>
      <c r="AE2772" s="13">
        <f>$E2772+24</f>
        <v>139</v>
      </c>
      <c r="AF2772" s="14">
        <f>IF($J2772=0,0,ROUND(MAX($J2772*1.4*1.5*1.6*1.6*2.2*2.715*2.6*1.4*1.4*1.5*1.5,18900000000*(1.65331^(MIN($E2772,123)-117)))*1,0))</f>
        <v>6914379606</v>
      </c>
      <c r="AG2772" s="11">
        <f>$E2772+27</f>
        <v>142</v>
      </c>
      <c r="AH2772" s="12">
        <f>IF($J2772=0,0,ROUND(MAX($J2772*1.4*1.5*1.6*1.6*2.2*2.715*2.6*1.4*1.4*1.5*1.5*3.2,60500000000*(1.654288^(MIN($E2772,123)-117)))*1,0))</f>
        <v>22107169230</v>
      </c>
    </row>
    <row r="2773" ht="28" customHeight="1" spans="1:34" x14ac:dyDescent="0.25">
      <c r="A2773">
        <v>2783</v>
      </c>
      <c r="B2773" t="s">
        <v>1608</v>
      </c>
      <c r="C2773" s="10" t="s">
        <v>1593</v>
      </c>
      <c r="D2773" t="s">
        <v>33</v>
      </c>
      <c r="E2773">
        <v>115</v>
      </c>
      <c r="F2773" t="s">
        <v>237</v>
      </c>
      <c r="G2773" t="s">
        <v>169</v>
      </c>
      <c r="H2773">
        <v>27</v>
      </c>
      <c r="I2773" s="11">
        <f>$E2773+0</f>
        <v>115</v>
      </c>
      <c r="J2773" s="12">
        <v>425000</v>
      </c>
      <c r="K2773" s="13">
        <f>$E2773+1</f>
        <v>116</v>
      </c>
      <c r="L2773" s="14">
        <f>IF($J2773=0,0,ROUND(MAX($J2773*1.4,1620000*(1.497923^(MIN($E2773,123)-117)))*1,0))</f>
        <v>721998</v>
      </c>
      <c r="M2773" s="11">
        <f>$E2773+2</f>
        <v>117</v>
      </c>
      <c r="N2773" s="12">
        <f>IF($J2773=0,0,ROUND(MAX($J2773*1.4*1.5,2190000*(1.580994^(MIN($E2773,123)-117)))*1,0))</f>
        <v>892500</v>
      </c>
      <c r="O2773" s="13">
        <f>$E2773+4</f>
        <v>119</v>
      </c>
      <c r="P2773" s="14">
        <f>IF($J2773=0,0,ROUND(MAX($J2773*1.4*1.5*1.6,3500000*(1.57975^(MIN($E2773,123)-117)))*1,0))</f>
        <v>1428000</v>
      </c>
      <c r="Q2773" s="11">
        <f>$E2773+6</f>
        <v>121</v>
      </c>
      <c r="R2773" s="12">
        <f>IF($J2773=0,0,ROUND(MAX($J2773*1.4*1.5*1.6*1.6,13100000*(1.429962^(MIN($E2773,123)-117)))*1,0))</f>
        <v>6406522</v>
      </c>
      <c r="S2773" s="13">
        <f>$E2773+8</f>
        <v>123</v>
      </c>
      <c r="T2773" s="14">
        <f>IF($J2773=0,0,ROUND(MAX($J2773*1.4*1.5*1.6*1.6*2.2,42600000*(1.576904^(MIN($E2773,123)-117)))*1,0))</f>
        <v>17131646</v>
      </c>
      <c r="U2773" s="11">
        <f>$E2773+11</f>
        <v>126</v>
      </c>
      <c r="V2773" s="12">
        <f>IF($J2773=0,0,ROUND(MAX($J2773*1.4*1.5*1.6*1.6*2.2*2.715,354000000*(1.642074^(MIN($E2773,123)-117)))*1,0))</f>
        <v>131285817</v>
      </c>
      <c r="W2773" s="13">
        <f>$E2773+15</f>
        <v>130</v>
      </c>
      <c r="X2773" s="14">
        <f>IF($J2773=0,0,ROUND(MAX($J2773*1.4*1.5*1.6*1.6*2.2*2.715*2.6,3540000000*(1.579646^(MIN($E2773,123)-117)))*1,0))</f>
        <v>1418677620</v>
      </c>
      <c r="Y2773" s="11">
        <f>$E2773+17</f>
        <v>132</v>
      </c>
      <c r="Z2773" s="12">
        <f>IF($J2773=0,0,ROUND(MAX($J2773*1.4*1.5*1.6*1.6*2.2*2.715*2.6*1.4,6020000000*(1.651178^(MIN($E2773,123)-117)))*1,0))</f>
        <v>2208048987</v>
      </c>
      <c r="AA2773" s="13">
        <f>$E2773+19</f>
        <v>134</v>
      </c>
      <c r="AB2773" s="14">
        <f>IF($J2773=0,0,ROUND(MAX($J2773*1.4*1.5*1.6*1.6*2.2*2.715*2.6*1.4*1.4,8430000000*(1.651435^(MIN($E2773,123)-117)))*1,0))</f>
        <v>3091039859</v>
      </c>
      <c r="AC2773" s="11">
        <f>$E2773+21</f>
        <v>136</v>
      </c>
      <c r="AD2773" s="12">
        <f>IF($J2773=0,0,ROUND(MAX($J2773*1.4*1.5*1.6*1.6*2.2*2.715*2.6*1.4*1.4*1.5,12600000000*(1.652953^(MIN($E2773,123)-117)))*1,0))</f>
        <v>4611577749</v>
      </c>
      <c r="AE2773" s="13">
        <f>$E2773+24</f>
        <v>139</v>
      </c>
      <c r="AF2773" s="14">
        <f>IF($J2773=0,0,ROUND(MAX($J2773*1.4*1.5*1.6*1.6*2.2*2.715*2.6*1.4*1.4*1.5*1.5,18900000000*(1.65331^(MIN($E2773,123)-117)))*1,0))</f>
        <v>6914379606</v>
      </c>
      <c r="AG2773" s="11">
        <f>$E2773+27</f>
        <v>142</v>
      </c>
      <c r="AH2773" s="12">
        <f>IF($J2773=0,0,ROUND(MAX($J2773*1.4*1.5*1.6*1.6*2.2*2.715*2.6*1.4*1.4*1.5*1.5*3.2,60500000000*(1.654288^(MIN($E2773,123)-117)))*1,0))</f>
        <v>22107169230</v>
      </c>
    </row>
    <row r="2774" ht="28" customHeight="1" spans="1:34" x14ac:dyDescent="0.25">
      <c r="A2774">
        <v>2784</v>
      </c>
      <c r="B2774" t="s">
        <v>904</v>
      </c>
      <c r="C2774" s="10" t="s">
        <v>1593</v>
      </c>
      <c r="D2774" t="s">
        <v>90</v>
      </c>
      <c r="E2774">
        <v>115</v>
      </c>
      <c r="F2774" t="s">
        <v>42</v>
      </c>
      <c r="G2774" t="s">
        <v>349</v>
      </c>
      <c r="H2774">
        <v>27</v>
      </c>
      <c r="I2774" s="11">
        <f>$E2774+0</f>
        <v>115</v>
      </c>
      <c r="J2774" s="12">
        <v>431000</v>
      </c>
      <c r="K2774" s="13">
        <f>$E2774+1</f>
        <v>116</v>
      </c>
      <c r="L2774" s="14">
        <f>IF($J2774=0,0,ROUND(MAX($J2774*1.4,1620000*(1.497923^(MIN($E2774,123)-117)))*1,0))</f>
        <v>721998</v>
      </c>
      <c r="M2774" s="11">
        <f>$E2774+2</f>
        <v>117</v>
      </c>
      <c r="N2774" s="12">
        <f>IF($J2774=0,0,ROUND(MAX($J2774*1.4*1.5,2190000*(1.580994^(MIN($E2774,123)-117)))*1,0))</f>
        <v>905100</v>
      </c>
      <c r="O2774" s="13">
        <f>$E2774+4</f>
        <v>119</v>
      </c>
      <c r="P2774" s="14">
        <f>IF($J2774=0,0,ROUND(MAX($J2774*1.4*1.5*1.6,3500000*(1.57975^(MIN($E2774,123)-117)))*1,0))</f>
        <v>1448160</v>
      </c>
      <c r="Q2774" s="11">
        <f>$E2774+6</f>
        <v>121</v>
      </c>
      <c r="R2774" s="12">
        <f>IF($J2774=0,0,ROUND(MAX($J2774*1.4*1.5*1.6*1.6,13100000*(1.429962^(MIN($E2774,123)-117)))*1,0))</f>
        <v>6406522</v>
      </c>
      <c r="S2774" s="13">
        <f>$E2774+8</f>
        <v>123</v>
      </c>
      <c r="T2774" s="14">
        <f>IF($J2774=0,0,ROUND(MAX($J2774*1.4*1.5*1.6*1.6*2.2,42600000*(1.576904^(MIN($E2774,123)-117)))*1,0))</f>
        <v>17131646</v>
      </c>
      <c r="U2774" s="11">
        <f>$E2774+11</f>
        <v>126</v>
      </c>
      <c r="V2774" s="12">
        <f>IF($J2774=0,0,ROUND(MAX($J2774*1.4*1.5*1.6*1.6*2.2*2.715,354000000*(1.642074^(MIN($E2774,123)-117)))*1,0))</f>
        <v>131285817</v>
      </c>
      <c r="W2774" s="13">
        <f>$E2774+15</f>
        <v>130</v>
      </c>
      <c r="X2774" s="14">
        <f>IF($J2774=0,0,ROUND(MAX($J2774*1.4*1.5*1.6*1.6*2.2*2.715*2.6,3540000000*(1.579646^(MIN($E2774,123)-117)))*1,0))</f>
        <v>1418677620</v>
      </c>
      <c r="Y2774" s="11">
        <f>$E2774+17</f>
        <v>132</v>
      </c>
      <c r="Z2774" s="12">
        <f>IF($J2774=0,0,ROUND(MAX($J2774*1.4*1.5*1.6*1.6*2.2*2.715*2.6*1.4,6020000000*(1.651178^(MIN($E2774,123)-117)))*1,0))</f>
        <v>2208048987</v>
      </c>
      <c r="AA2774" s="13">
        <f>$E2774+19</f>
        <v>134</v>
      </c>
      <c r="AB2774" s="14">
        <f>IF($J2774=0,0,ROUND(MAX($J2774*1.4*1.5*1.6*1.6*2.2*2.715*2.6*1.4*1.4,8430000000*(1.651435^(MIN($E2774,123)-117)))*1,0))</f>
        <v>3091039859</v>
      </c>
      <c r="AC2774" s="11">
        <f>$E2774+21</f>
        <v>136</v>
      </c>
      <c r="AD2774" s="12">
        <f>IF($J2774=0,0,ROUND(MAX($J2774*1.4*1.5*1.6*1.6*2.2*2.715*2.6*1.4*1.4*1.5,12600000000*(1.652953^(MIN($E2774,123)-117)))*1,0))</f>
        <v>4611577749</v>
      </c>
      <c r="AE2774" s="13">
        <f>$E2774+24</f>
        <v>139</v>
      </c>
      <c r="AF2774" s="14">
        <f>IF($J2774=0,0,ROUND(MAX($J2774*1.4*1.5*1.6*1.6*2.2*2.715*2.6*1.4*1.4*1.5*1.5,18900000000*(1.65331^(MIN($E2774,123)-117)))*1,0))</f>
        <v>6914379606</v>
      </c>
      <c r="AG2774" s="11">
        <f>$E2774+27</f>
        <v>142</v>
      </c>
      <c r="AH2774" s="12">
        <f>IF($J2774=0,0,ROUND(MAX($J2774*1.4*1.5*1.6*1.6*2.2*2.715*2.6*1.4*1.4*1.5*1.5*3.2,60500000000*(1.654288^(MIN($E2774,123)-117)))*1,0))</f>
        <v>22107169230</v>
      </c>
    </row>
    <row r="2775" ht="28" customHeight="1" spans="1:34" x14ac:dyDescent="0.25">
      <c r="A2775">
        <v>2785</v>
      </c>
      <c r="B2775" t="s">
        <v>791</v>
      </c>
      <c r="C2775" s="10" t="s">
        <v>1593</v>
      </c>
      <c r="D2775" t="s">
        <v>33</v>
      </c>
      <c r="E2775">
        <v>115</v>
      </c>
      <c r="F2775" t="s">
        <v>146</v>
      </c>
      <c r="G2775" t="s">
        <v>72</v>
      </c>
      <c r="H2775">
        <v>27</v>
      </c>
      <c r="I2775" s="11">
        <f>$E2775+0</f>
        <v>115</v>
      </c>
      <c r="J2775" s="12">
        <v>546000</v>
      </c>
      <c r="K2775" s="13">
        <f>$E2775+1</f>
        <v>116</v>
      </c>
      <c r="L2775" s="14">
        <f>IF($J2775=0,0,ROUND(MAX($J2775*1.4,1620000*(1.497923^(MIN($E2775,123)-117)))*1,0))</f>
        <v>764400</v>
      </c>
      <c r="M2775" s="11">
        <f>$E2775+2</f>
        <v>117</v>
      </c>
      <c r="N2775" s="12">
        <f>IF($J2775=0,0,ROUND(MAX($J2775*1.4*1.5,2190000*(1.580994^(MIN($E2775,123)-117)))*1,0))</f>
        <v>1146600</v>
      </c>
      <c r="O2775" s="13">
        <f>$E2775+4</f>
        <v>119</v>
      </c>
      <c r="P2775" s="14">
        <f>IF($J2775=0,0,ROUND(MAX($J2775*1.4*1.5*1.6,3500000*(1.57975^(MIN($E2775,123)-117)))*1,0))</f>
        <v>1834560</v>
      </c>
      <c r="Q2775" s="11">
        <f>$E2775+6</f>
        <v>121</v>
      </c>
      <c r="R2775" s="12">
        <f>IF($J2775=0,0,ROUND(MAX($J2775*1.4*1.5*1.6*1.6,13100000*(1.429962^(MIN($E2775,123)-117)))*1,0))</f>
        <v>6406522</v>
      </c>
      <c r="S2775" s="13">
        <f>$E2775+8</f>
        <v>123</v>
      </c>
      <c r="T2775" s="14">
        <f>IF($J2775=0,0,ROUND(MAX($J2775*1.4*1.5*1.6*1.6*2.2,42600000*(1.576904^(MIN($E2775,123)-117)))*1,0))</f>
        <v>17131646</v>
      </c>
      <c r="U2775" s="11">
        <f>$E2775+11</f>
        <v>126</v>
      </c>
      <c r="V2775" s="12">
        <f>IF($J2775=0,0,ROUND(MAX($J2775*1.4*1.5*1.6*1.6*2.2*2.715,354000000*(1.642074^(MIN($E2775,123)-117)))*1,0))</f>
        <v>131285817</v>
      </c>
      <c r="W2775" s="13">
        <f>$E2775+15</f>
        <v>130</v>
      </c>
      <c r="X2775" s="14">
        <f>IF($J2775=0,0,ROUND(MAX($J2775*1.4*1.5*1.6*1.6*2.2*2.715*2.6,3540000000*(1.579646^(MIN($E2775,123)-117)))*1,0))</f>
        <v>1418677620</v>
      </c>
      <c r="Y2775" s="11">
        <f>$E2775+17</f>
        <v>132</v>
      </c>
      <c r="Z2775" s="12">
        <f>IF($J2775=0,0,ROUND(MAX($J2775*1.4*1.5*1.6*1.6*2.2*2.715*2.6*1.4,6020000000*(1.651178^(MIN($E2775,123)-117)))*1,0))</f>
        <v>2208048987</v>
      </c>
      <c r="AA2775" s="13">
        <f>$E2775+19</f>
        <v>134</v>
      </c>
      <c r="AB2775" s="14">
        <f>IF($J2775=0,0,ROUND(MAX($J2775*1.4*1.5*1.6*1.6*2.2*2.715*2.6*1.4*1.4,8430000000*(1.651435^(MIN($E2775,123)-117)))*1,0))</f>
        <v>3091039859</v>
      </c>
      <c r="AC2775" s="11">
        <f>$E2775+21</f>
        <v>136</v>
      </c>
      <c r="AD2775" s="12">
        <f>IF($J2775=0,0,ROUND(MAX($J2775*1.4*1.5*1.6*1.6*2.2*2.715*2.6*1.4*1.4*1.5,12600000000*(1.652953^(MIN($E2775,123)-117)))*1,0))</f>
        <v>4611577749</v>
      </c>
      <c r="AE2775" s="13">
        <f>$E2775+24</f>
        <v>139</v>
      </c>
      <c r="AF2775" s="14">
        <f>IF($J2775=0,0,ROUND(MAX($J2775*1.4*1.5*1.6*1.6*2.2*2.715*2.6*1.4*1.4*1.5*1.5,18900000000*(1.65331^(MIN($E2775,123)-117)))*1,0))</f>
        <v>6914379606</v>
      </c>
      <c r="AG2775" s="11">
        <f>$E2775+27</f>
        <v>142</v>
      </c>
      <c r="AH2775" s="12">
        <f>IF($J2775=0,0,ROUND(MAX($J2775*1.4*1.5*1.6*1.6*2.2*2.715*2.6*1.4*1.4*1.5*1.5*3.2,60500000000*(1.654288^(MIN($E2775,123)-117)))*1,0))</f>
        <v>22107169230</v>
      </c>
    </row>
    <row r="2776" ht="28" customHeight="1" spans="1:34" x14ac:dyDescent="0.25">
      <c r="A2776">
        <v>2786</v>
      </c>
      <c r="B2776" t="s">
        <v>806</v>
      </c>
      <c r="C2776" s="10" t="s">
        <v>1593</v>
      </c>
      <c r="D2776" t="s">
        <v>75</v>
      </c>
      <c r="E2776">
        <v>115</v>
      </c>
      <c r="F2776" t="s">
        <v>62</v>
      </c>
      <c r="G2776" t="s">
        <v>425</v>
      </c>
      <c r="H2776">
        <v>27</v>
      </c>
      <c r="I2776" s="11">
        <f>$E2776+0</f>
        <v>115</v>
      </c>
      <c r="J2776" s="12">
        <v>502000</v>
      </c>
      <c r="K2776" s="13">
        <f>$E2776+1</f>
        <v>116</v>
      </c>
      <c r="L2776" s="14">
        <f>IF($J2776=0,0,ROUND(MAX($J2776*1.4,1620000*(1.497923^(MIN($E2776,123)-117)))*1,0))</f>
        <v>721998</v>
      </c>
      <c r="M2776" s="11">
        <f>$E2776+2</f>
        <v>117</v>
      </c>
      <c r="N2776" s="12">
        <f>IF($J2776=0,0,ROUND(MAX($J2776*1.4*1.5,2190000*(1.580994^(MIN($E2776,123)-117)))*1,0))</f>
        <v>1054200</v>
      </c>
      <c r="O2776" s="13">
        <f>$E2776+4</f>
        <v>119</v>
      </c>
      <c r="P2776" s="14">
        <f>IF($J2776=0,0,ROUND(MAX($J2776*1.4*1.5*1.6,3500000*(1.57975^(MIN($E2776,123)-117)))*1,0))</f>
        <v>1686720</v>
      </c>
      <c r="Q2776" s="11">
        <f>$E2776+6</f>
        <v>121</v>
      </c>
      <c r="R2776" s="12">
        <f>IF($J2776=0,0,ROUND(MAX($J2776*1.4*1.5*1.6*1.6,13100000*(1.429962^(MIN($E2776,123)-117)))*1,0))</f>
        <v>6406522</v>
      </c>
      <c r="S2776" s="13">
        <f>$E2776+8</f>
        <v>123</v>
      </c>
      <c r="T2776" s="14">
        <f>IF($J2776=0,0,ROUND(MAX($J2776*1.4*1.5*1.6*1.6*2.2,42600000*(1.576904^(MIN($E2776,123)-117)))*1,0))</f>
        <v>17131646</v>
      </c>
      <c r="U2776" s="11">
        <f>$E2776+11</f>
        <v>126</v>
      </c>
      <c r="V2776" s="12">
        <f>IF($J2776=0,0,ROUND(MAX($J2776*1.4*1.5*1.6*1.6*2.2*2.715,354000000*(1.642074^(MIN($E2776,123)-117)))*1,0))</f>
        <v>131285817</v>
      </c>
      <c r="W2776" s="13">
        <f>$E2776+15</f>
        <v>130</v>
      </c>
      <c r="X2776" s="14">
        <f>IF($J2776=0,0,ROUND(MAX($J2776*1.4*1.5*1.6*1.6*2.2*2.715*2.6,3540000000*(1.579646^(MIN($E2776,123)-117)))*1,0))</f>
        <v>1418677620</v>
      </c>
      <c r="Y2776" s="11">
        <f>$E2776+17</f>
        <v>132</v>
      </c>
      <c r="Z2776" s="12">
        <f>IF($J2776=0,0,ROUND(MAX($J2776*1.4*1.5*1.6*1.6*2.2*2.715*2.6*1.4,6020000000*(1.651178^(MIN($E2776,123)-117)))*1,0))</f>
        <v>2208048987</v>
      </c>
      <c r="AA2776" s="13">
        <f>$E2776+19</f>
        <v>134</v>
      </c>
      <c r="AB2776" s="14">
        <f>IF($J2776=0,0,ROUND(MAX($J2776*1.4*1.5*1.6*1.6*2.2*2.715*2.6*1.4*1.4,8430000000*(1.651435^(MIN($E2776,123)-117)))*1,0))</f>
        <v>3091039859</v>
      </c>
      <c r="AC2776" s="11">
        <f>$E2776+21</f>
        <v>136</v>
      </c>
      <c r="AD2776" s="12">
        <f>IF($J2776=0,0,ROUND(MAX($J2776*1.4*1.5*1.6*1.6*2.2*2.715*2.6*1.4*1.4*1.5,12600000000*(1.652953^(MIN($E2776,123)-117)))*1,0))</f>
        <v>4611577749</v>
      </c>
      <c r="AE2776" s="13">
        <f>$E2776+24</f>
        <v>139</v>
      </c>
      <c r="AF2776" s="14">
        <f>IF($J2776=0,0,ROUND(MAX($J2776*1.4*1.5*1.6*1.6*2.2*2.715*2.6*1.4*1.4*1.5*1.5,18900000000*(1.65331^(MIN($E2776,123)-117)))*1,0))</f>
        <v>6914379606</v>
      </c>
      <c r="AG2776" s="11">
        <f>$E2776+27</f>
        <v>142</v>
      </c>
      <c r="AH2776" s="12">
        <f>IF($J2776=0,0,ROUND(MAX($J2776*1.4*1.5*1.6*1.6*2.2*2.715*2.6*1.4*1.4*1.5*1.5*3.2,60500000000*(1.654288^(MIN($E2776,123)-117)))*1,0))</f>
        <v>22107169230</v>
      </c>
    </row>
    <row r="2777" ht="28" customHeight="1" spans="1:34" x14ac:dyDescent="0.25">
      <c r="A2777">
        <v>2787</v>
      </c>
      <c r="B2777" t="s">
        <v>1441</v>
      </c>
      <c r="C2777" s="10" t="s">
        <v>1593</v>
      </c>
      <c r="D2777" t="s">
        <v>102</v>
      </c>
      <c r="E2777">
        <v>115</v>
      </c>
      <c r="F2777" t="s">
        <v>62</v>
      </c>
      <c r="G2777" t="s">
        <v>104</v>
      </c>
      <c r="H2777">
        <v>27</v>
      </c>
      <c r="I2777" s="11">
        <f>$E2777+0</f>
        <v>115</v>
      </c>
      <c r="J2777" s="12">
        <v>380000</v>
      </c>
      <c r="K2777" s="13">
        <f>$E2777+1</f>
        <v>116</v>
      </c>
      <c r="L2777" s="14">
        <f>IF($J2777=0,0,ROUND(MAX($J2777*1.4,1620000*(1.497923^(MIN($E2777,123)-117)))*1,0))</f>
        <v>721998</v>
      </c>
      <c r="M2777" s="11">
        <f>$E2777+2</f>
        <v>117</v>
      </c>
      <c r="N2777" s="12">
        <f>IF($J2777=0,0,ROUND(MAX($J2777*1.4*1.5,2190000*(1.580994^(MIN($E2777,123)-117)))*1,0))</f>
        <v>876161</v>
      </c>
      <c r="O2777" s="13">
        <f>$E2777+4</f>
        <v>119</v>
      </c>
      <c r="P2777" s="14">
        <f>IF($J2777=0,0,ROUND(MAX($J2777*1.4*1.5*1.6,3500000*(1.57975^(MIN($E2777,123)-117)))*1,0))</f>
        <v>1402463</v>
      </c>
      <c r="Q2777" s="11">
        <f>$E2777+6</f>
        <v>121</v>
      </c>
      <c r="R2777" s="12">
        <f>IF($J2777=0,0,ROUND(MAX($J2777*1.4*1.5*1.6*1.6,13100000*(1.429962^(MIN($E2777,123)-117)))*1,0))</f>
        <v>6406522</v>
      </c>
      <c r="S2777" s="13">
        <f>$E2777+8</f>
        <v>123</v>
      </c>
      <c r="T2777" s="14">
        <f>IF($J2777=0,0,ROUND(MAX($J2777*1.4*1.5*1.6*1.6*2.2,42600000*(1.576904^(MIN($E2777,123)-117)))*1,0))</f>
        <v>17131646</v>
      </c>
      <c r="U2777" s="11">
        <f>$E2777+11</f>
        <v>126</v>
      </c>
      <c r="V2777" s="12">
        <f>IF($J2777=0,0,ROUND(MAX($J2777*1.4*1.5*1.6*1.6*2.2*2.715,354000000*(1.642074^(MIN($E2777,123)-117)))*1,0))</f>
        <v>131285817</v>
      </c>
      <c r="W2777" s="13">
        <f>$E2777+15</f>
        <v>130</v>
      </c>
      <c r="X2777" s="14">
        <f>IF($J2777=0,0,ROUND(MAX($J2777*1.4*1.5*1.6*1.6*2.2*2.715*2.6,3540000000*(1.579646^(MIN($E2777,123)-117)))*1,0))</f>
        <v>1418677620</v>
      </c>
      <c r="Y2777" s="11">
        <f>$E2777+17</f>
        <v>132</v>
      </c>
      <c r="Z2777" s="12">
        <f>IF($J2777=0,0,ROUND(MAX($J2777*1.4*1.5*1.6*1.6*2.2*2.715*2.6*1.4,6020000000*(1.651178^(MIN($E2777,123)-117)))*1,0))</f>
        <v>2208048987</v>
      </c>
      <c r="AA2777" s="13">
        <f>$E2777+19</f>
        <v>134</v>
      </c>
      <c r="AB2777" s="14">
        <f>IF($J2777=0,0,ROUND(MAX($J2777*1.4*1.5*1.6*1.6*2.2*2.715*2.6*1.4*1.4,8430000000*(1.651435^(MIN($E2777,123)-117)))*1,0))</f>
        <v>3091039859</v>
      </c>
      <c r="AC2777" s="11">
        <f>$E2777+21</f>
        <v>136</v>
      </c>
      <c r="AD2777" s="12">
        <f>IF($J2777=0,0,ROUND(MAX($J2777*1.4*1.5*1.6*1.6*2.2*2.715*2.6*1.4*1.4*1.5,12600000000*(1.652953^(MIN($E2777,123)-117)))*1,0))</f>
        <v>4611577749</v>
      </c>
      <c r="AE2777" s="13">
        <f>$E2777+24</f>
        <v>139</v>
      </c>
      <c r="AF2777" s="14">
        <f>IF($J2777=0,0,ROUND(MAX($J2777*1.4*1.5*1.6*1.6*2.2*2.715*2.6*1.4*1.4*1.5*1.5,18900000000*(1.65331^(MIN($E2777,123)-117)))*1,0))</f>
        <v>6914379606</v>
      </c>
      <c r="AG2777" s="11">
        <f>$E2777+27</f>
        <v>142</v>
      </c>
      <c r="AH2777" s="12">
        <f>IF($J2777=0,0,ROUND(MAX($J2777*1.4*1.5*1.6*1.6*2.2*2.715*2.6*1.4*1.4*1.5*1.5*3.2,60500000000*(1.654288^(MIN($E2777,123)-117)))*1,0))</f>
        <v>22107169230</v>
      </c>
    </row>
    <row r="2778" ht="28" customHeight="1" spans="1:34" x14ac:dyDescent="0.25">
      <c r="A2778">
        <v>2788</v>
      </c>
      <c r="B2778" t="s">
        <v>1609</v>
      </c>
      <c r="C2778" s="10" t="s">
        <v>1593</v>
      </c>
      <c r="D2778" t="s">
        <v>64</v>
      </c>
      <c r="E2778">
        <v>115</v>
      </c>
      <c r="F2778" t="s">
        <v>71</v>
      </c>
      <c r="G2778" t="s">
        <v>1610</v>
      </c>
      <c r="H2778">
        <v>27</v>
      </c>
      <c r="I2778" s="11">
        <f>$E2778+0</f>
        <v>115</v>
      </c>
      <c r="J2778" s="12">
        <v>432000</v>
      </c>
      <c r="K2778" s="13">
        <f>$E2778+1</f>
        <v>116</v>
      </c>
      <c r="L2778" s="14">
        <f>IF($J2778=0,0,ROUND(MAX($J2778*1.4,1620000*(1.497923^(MIN($E2778,123)-117)))*1,0))</f>
        <v>721998</v>
      </c>
      <c r="M2778" s="11">
        <f>$E2778+2</f>
        <v>117</v>
      </c>
      <c r="N2778" s="12">
        <f>IF($J2778=0,0,ROUND(MAX($J2778*1.4*1.5,2190000*(1.580994^(MIN($E2778,123)-117)))*1,0))</f>
        <v>907200</v>
      </c>
      <c r="O2778" s="13">
        <f>$E2778+4</f>
        <v>119</v>
      </c>
      <c r="P2778" s="14">
        <f>IF($J2778=0,0,ROUND(MAX($J2778*1.4*1.5*1.6,3500000*(1.57975^(MIN($E2778,123)-117)))*1,0))</f>
        <v>1451520</v>
      </c>
      <c r="Q2778" s="11">
        <f>$E2778+6</f>
        <v>121</v>
      </c>
      <c r="R2778" s="12">
        <f>IF($J2778=0,0,ROUND(MAX($J2778*1.4*1.5*1.6*1.6,13100000*(1.429962^(MIN($E2778,123)-117)))*1,0))</f>
        <v>6406522</v>
      </c>
      <c r="S2778" s="13">
        <f>$E2778+8</f>
        <v>123</v>
      </c>
      <c r="T2778" s="14">
        <f>IF($J2778=0,0,ROUND(MAX($J2778*1.4*1.5*1.6*1.6*2.2,42600000*(1.576904^(MIN($E2778,123)-117)))*1,0))</f>
        <v>17131646</v>
      </c>
      <c r="U2778" s="11">
        <f>$E2778+11</f>
        <v>126</v>
      </c>
      <c r="V2778" s="12">
        <f>IF($J2778=0,0,ROUND(MAX($J2778*1.4*1.5*1.6*1.6*2.2*2.715,354000000*(1.642074^(MIN($E2778,123)-117)))*1,0))</f>
        <v>131285817</v>
      </c>
      <c r="W2778" s="13">
        <f>$E2778+15</f>
        <v>130</v>
      </c>
      <c r="X2778" s="14">
        <f>IF($J2778=0,0,ROUND(MAX($J2778*1.4*1.5*1.6*1.6*2.2*2.715*2.6,3540000000*(1.579646^(MIN($E2778,123)-117)))*1,0))</f>
        <v>1418677620</v>
      </c>
      <c r="Y2778" s="11">
        <f>$E2778+17</f>
        <v>132</v>
      </c>
      <c r="Z2778" s="12">
        <f>IF($J2778=0,0,ROUND(MAX($J2778*1.4*1.5*1.6*1.6*2.2*2.715*2.6*1.4,6020000000*(1.651178^(MIN($E2778,123)-117)))*1,0))</f>
        <v>2208048987</v>
      </c>
      <c r="AA2778" s="13">
        <f>$E2778+19</f>
        <v>134</v>
      </c>
      <c r="AB2778" s="14">
        <f>IF($J2778=0,0,ROUND(MAX($J2778*1.4*1.5*1.6*1.6*2.2*2.715*2.6*1.4*1.4,8430000000*(1.651435^(MIN($E2778,123)-117)))*1,0))</f>
        <v>3091039859</v>
      </c>
      <c r="AC2778" s="11">
        <f>$E2778+21</f>
        <v>136</v>
      </c>
      <c r="AD2778" s="12">
        <f>IF($J2778=0,0,ROUND(MAX($J2778*1.4*1.5*1.6*1.6*2.2*2.715*2.6*1.4*1.4*1.5,12600000000*(1.652953^(MIN($E2778,123)-117)))*1,0))</f>
        <v>4611577749</v>
      </c>
      <c r="AE2778" s="13">
        <f>$E2778+24</f>
        <v>139</v>
      </c>
      <c r="AF2778" s="14">
        <f>IF($J2778=0,0,ROUND(MAX($J2778*1.4*1.5*1.6*1.6*2.2*2.715*2.6*1.4*1.4*1.5*1.5,18900000000*(1.65331^(MIN($E2778,123)-117)))*1,0))</f>
        <v>6914379606</v>
      </c>
      <c r="AG2778" s="11">
        <f>$E2778+27</f>
        <v>142</v>
      </c>
      <c r="AH2778" s="12">
        <f>IF($J2778=0,0,ROUND(MAX($J2778*1.4*1.5*1.6*1.6*2.2*2.715*2.6*1.4*1.4*1.5*1.5*3.2,60500000000*(1.654288^(MIN($E2778,123)-117)))*1,0))</f>
        <v>22107169230</v>
      </c>
    </row>
    <row r="2779" ht="28" customHeight="1" spans="1:34" x14ac:dyDescent="0.25">
      <c r="A2779">
        <v>2789</v>
      </c>
      <c r="B2779" t="s">
        <v>924</v>
      </c>
      <c r="C2779" s="10" t="s">
        <v>1593</v>
      </c>
      <c r="D2779" t="s">
        <v>102</v>
      </c>
      <c r="E2779">
        <v>115</v>
      </c>
      <c r="F2779" t="s">
        <v>179</v>
      </c>
      <c r="G2779" t="s">
        <v>699</v>
      </c>
      <c r="H2779">
        <v>27</v>
      </c>
      <c r="I2779" s="11">
        <f>$E2779+0</f>
        <v>115</v>
      </c>
      <c r="J2779" s="12">
        <v>343000</v>
      </c>
      <c r="K2779" s="13">
        <f>$E2779+1</f>
        <v>116</v>
      </c>
      <c r="L2779" s="14">
        <f>IF($J2779=0,0,ROUND(MAX($J2779*1.4,1620000*(1.497923^(MIN($E2779,123)-117)))*1,0))</f>
        <v>721998</v>
      </c>
      <c r="M2779" s="11">
        <f>$E2779+2</f>
        <v>117</v>
      </c>
      <c r="N2779" s="12">
        <f>IF($J2779=0,0,ROUND(MAX($J2779*1.4*1.5,2190000*(1.580994^(MIN($E2779,123)-117)))*1,0))</f>
        <v>876161</v>
      </c>
      <c r="O2779" s="13">
        <f>$E2779+4</f>
        <v>119</v>
      </c>
      <c r="P2779" s="14">
        <f>IF($J2779=0,0,ROUND(MAX($J2779*1.4*1.5*1.6,3500000*(1.57975^(MIN($E2779,123)-117)))*1,0))</f>
        <v>1402463</v>
      </c>
      <c r="Q2779" s="11">
        <f>$E2779+6</f>
        <v>121</v>
      </c>
      <c r="R2779" s="12">
        <f>IF($J2779=0,0,ROUND(MAX($J2779*1.4*1.5*1.6*1.6,13100000*(1.429962^(MIN($E2779,123)-117)))*1,0))</f>
        <v>6406522</v>
      </c>
      <c r="S2779" s="13">
        <f>$E2779+8</f>
        <v>123</v>
      </c>
      <c r="T2779" s="14">
        <f>IF($J2779=0,0,ROUND(MAX($J2779*1.4*1.5*1.6*1.6*2.2,42600000*(1.576904^(MIN($E2779,123)-117)))*1,0))</f>
        <v>17131646</v>
      </c>
      <c r="U2779" s="11">
        <f>$E2779+11</f>
        <v>126</v>
      </c>
      <c r="V2779" s="12">
        <f>IF($J2779=0,0,ROUND(MAX($J2779*1.4*1.5*1.6*1.6*2.2*2.715,354000000*(1.642074^(MIN($E2779,123)-117)))*1,0))</f>
        <v>131285817</v>
      </c>
      <c r="W2779" s="13">
        <f>$E2779+15</f>
        <v>130</v>
      </c>
      <c r="X2779" s="14">
        <f>IF($J2779=0,0,ROUND(MAX($J2779*1.4*1.5*1.6*1.6*2.2*2.715*2.6,3540000000*(1.579646^(MIN($E2779,123)-117)))*1,0))</f>
        <v>1418677620</v>
      </c>
      <c r="Y2779" s="11">
        <f>$E2779+17</f>
        <v>132</v>
      </c>
      <c r="Z2779" s="12">
        <f>IF($J2779=0,0,ROUND(MAX($J2779*1.4*1.5*1.6*1.6*2.2*2.715*2.6*1.4,6020000000*(1.651178^(MIN($E2779,123)-117)))*1,0))</f>
        <v>2208048987</v>
      </c>
      <c r="AA2779" s="13">
        <f>$E2779+19</f>
        <v>134</v>
      </c>
      <c r="AB2779" s="14">
        <f>IF($J2779=0,0,ROUND(MAX($J2779*1.4*1.5*1.6*1.6*2.2*2.715*2.6*1.4*1.4,8430000000*(1.651435^(MIN($E2779,123)-117)))*1,0))</f>
        <v>3091039859</v>
      </c>
      <c r="AC2779" s="11">
        <f>$E2779+21</f>
        <v>136</v>
      </c>
      <c r="AD2779" s="12">
        <f>IF($J2779=0,0,ROUND(MAX($J2779*1.4*1.5*1.6*1.6*2.2*2.715*2.6*1.4*1.4*1.5,12600000000*(1.652953^(MIN($E2779,123)-117)))*1,0))</f>
        <v>4611577749</v>
      </c>
      <c r="AE2779" s="13">
        <f>$E2779+24</f>
        <v>139</v>
      </c>
      <c r="AF2779" s="14">
        <f>IF($J2779=0,0,ROUND(MAX($J2779*1.4*1.5*1.6*1.6*2.2*2.715*2.6*1.4*1.4*1.5*1.5,18900000000*(1.65331^(MIN($E2779,123)-117)))*1,0))</f>
        <v>6914379606</v>
      </c>
      <c r="AG2779" s="11">
        <f>$E2779+27</f>
        <v>142</v>
      </c>
      <c r="AH2779" s="12">
        <f>IF($J2779=0,0,ROUND(MAX($J2779*1.4*1.5*1.6*1.6*2.2*2.715*2.6*1.4*1.4*1.5*1.5*3.2,60500000000*(1.654288^(MIN($E2779,123)-117)))*1,0))</f>
        <v>22107169230</v>
      </c>
    </row>
    <row r="2780" ht="28" customHeight="1" spans="1:34" x14ac:dyDescent="0.25">
      <c r="A2780">
        <v>2790</v>
      </c>
      <c r="B2780" t="s">
        <v>1082</v>
      </c>
      <c r="C2780" s="10" t="s">
        <v>1593</v>
      </c>
      <c r="D2780" t="s">
        <v>45</v>
      </c>
      <c r="E2780">
        <v>115</v>
      </c>
      <c r="F2780" t="s">
        <v>71</v>
      </c>
      <c r="G2780" t="s">
        <v>684</v>
      </c>
      <c r="H2780">
        <v>27</v>
      </c>
      <c r="I2780" s="11">
        <f>$E2780+0</f>
        <v>115</v>
      </c>
      <c r="J2780" s="12">
        <v>509000</v>
      </c>
      <c r="K2780" s="13">
        <f>$E2780+1</f>
        <v>116</v>
      </c>
      <c r="L2780" s="14">
        <f>IF($J2780=0,0,ROUND(MAX($J2780*1.4,1620000*(1.497923^(MIN($E2780,123)-117)))*1,0))</f>
        <v>721998</v>
      </c>
      <c r="M2780" s="11">
        <f>$E2780+2</f>
        <v>117</v>
      </c>
      <c r="N2780" s="12">
        <f>IF($J2780=0,0,ROUND(MAX($J2780*1.4*1.5,2190000*(1.580994^(MIN($E2780,123)-117)))*1,0))</f>
        <v>1068900</v>
      </c>
      <c r="O2780" s="13">
        <f>$E2780+4</f>
        <v>119</v>
      </c>
      <c r="P2780" s="14">
        <f>IF($J2780=0,0,ROUND(MAX($J2780*1.4*1.5*1.6,3500000*(1.57975^(MIN($E2780,123)-117)))*1,0))</f>
        <v>1710240</v>
      </c>
      <c r="Q2780" s="11">
        <f>$E2780+6</f>
        <v>121</v>
      </c>
      <c r="R2780" s="12">
        <f>IF($J2780=0,0,ROUND(MAX($J2780*1.4*1.5*1.6*1.6,13100000*(1.429962^(MIN($E2780,123)-117)))*1,0))</f>
        <v>6406522</v>
      </c>
      <c r="S2780" s="13">
        <f>$E2780+8</f>
        <v>123</v>
      </c>
      <c r="T2780" s="14">
        <f>IF($J2780=0,0,ROUND(MAX($J2780*1.4*1.5*1.6*1.6*2.2,42600000*(1.576904^(MIN($E2780,123)-117)))*1,0))</f>
        <v>17131646</v>
      </c>
      <c r="U2780" s="11">
        <f>$E2780+11</f>
        <v>126</v>
      </c>
      <c r="V2780" s="12">
        <f>IF($J2780=0,0,ROUND(MAX($J2780*1.4*1.5*1.6*1.6*2.2*2.715,354000000*(1.642074^(MIN($E2780,123)-117)))*1,0))</f>
        <v>131285817</v>
      </c>
      <c r="W2780" s="13">
        <f>$E2780+15</f>
        <v>130</v>
      </c>
      <c r="X2780" s="14">
        <f>IF($J2780=0,0,ROUND(MAX($J2780*1.4*1.5*1.6*1.6*2.2*2.715*2.6,3540000000*(1.579646^(MIN($E2780,123)-117)))*1,0))</f>
        <v>1418677620</v>
      </c>
      <c r="Y2780" s="11">
        <f>$E2780+17</f>
        <v>132</v>
      </c>
      <c r="Z2780" s="12">
        <f>IF($J2780=0,0,ROUND(MAX($J2780*1.4*1.5*1.6*1.6*2.2*2.715*2.6*1.4,6020000000*(1.651178^(MIN($E2780,123)-117)))*1,0))</f>
        <v>2208048987</v>
      </c>
      <c r="AA2780" s="13">
        <f>$E2780+19</f>
        <v>134</v>
      </c>
      <c r="AB2780" s="14">
        <f>IF($J2780=0,0,ROUND(MAX($J2780*1.4*1.5*1.6*1.6*2.2*2.715*2.6*1.4*1.4,8430000000*(1.651435^(MIN($E2780,123)-117)))*1,0))</f>
        <v>3091039859</v>
      </c>
      <c r="AC2780" s="11">
        <f>$E2780+21</f>
        <v>136</v>
      </c>
      <c r="AD2780" s="12">
        <f>IF($J2780=0,0,ROUND(MAX($J2780*1.4*1.5*1.6*1.6*2.2*2.715*2.6*1.4*1.4*1.5,12600000000*(1.652953^(MIN($E2780,123)-117)))*1,0))</f>
        <v>4611577749</v>
      </c>
      <c r="AE2780" s="13">
        <f>$E2780+24</f>
        <v>139</v>
      </c>
      <c r="AF2780" s="14">
        <f>IF($J2780=0,0,ROUND(MAX($J2780*1.4*1.5*1.6*1.6*2.2*2.715*2.6*1.4*1.4*1.5*1.5,18900000000*(1.65331^(MIN($E2780,123)-117)))*1,0))</f>
        <v>6914379606</v>
      </c>
      <c r="AG2780" s="11">
        <f>$E2780+27</f>
        <v>142</v>
      </c>
      <c r="AH2780" s="12">
        <f>IF($J2780=0,0,ROUND(MAX($J2780*1.4*1.5*1.6*1.6*2.2*2.715*2.6*1.4*1.4*1.5*1.5*3.2,60500000000*(1.654288^(MIN($E2780,123)-117)))*1,0))</f>
        <v>22107169230</v>
      </c>
    </row>
    <row r="2781" ht="28" customHeight="1" spans="1:34" x14ac:dyDescent="0.25">
      <c r="A2781">
        <v>2791</v>
      </c>
      <c r="B2781" t="s">
        <v>782</v>
      </c>
      <c r="C2781" s="10" t="s">
        <v>1593</v>
      </c>
      <c r="D2781" t="s">
        <v>90</v>
      </c>
      <c r="E2781">
        <v>115</v>
      </c>
      <c r="F2781" t="s">
        <v>71</v>
      </c>
      <c r="G2781" t="s">
        <v>213</v>
      </c>
      <c r="H2781">
        <v>27</v>
      </c>
      <c r="I2781" s="11">
        <f>$E2781+0</f>
        <v>115</v>
      </c>
      <c r="J2781" s="12">
        <v>880000</v>
      </c>
      <c r="K2781" s="13">
        <f>$E2781+1</f>
        <v>116</v>
      </c>
      <c r="L2781" s="14">
        <f>IF($J2781=0,0,ROUND(MAX($J2781*1.4,1620000*(1.497923^(MIN($E2781,123)-117)))*1,0))</f>
        <v>1232000</v>
      </c>
      <c r="M2781" s="11">
        <f>$E2781+2</f>
        <v>117</v>
      </c>
      <c r="N2781" s="12">
        <f>IF($J2781=0,0,ROUND(MAX($J2781*1.4*1.5,2190000*(1.580994^(MIN($E2781,123)-117)))*1,0))</f>
        <v>1848000</v>
      </c>
      <c r="O2781" s="13">
        <f>$E2781+4</f>
        <v>119</v>
      </c>
      <c r="P2781" s="14">
        <f>IF($J2781=0,0,ROUND(MAX($J2781*1.4*1.5*1.6,3500000*(1.57975^(MIN($E2781,123)-117)))*1,0))</f>
        <v>2956800</v>
      </c>
      <c r="Q2781" s="11">
        <f>$E2781+6</f>
        <v>121</v>
      </c>
      <c r="R2781" s="12">
        <f>IF($J2781=0,0,ROUND(MAX($J2781*1.4*1.5*1.6*1.6,13100000*(1.429962^(MIN($E2781,123)-117)))*1,0))</f>
        <v>6406522</v>
      </c>
      <c r="S2781" s="13">
        <f>$E2781+8</f>
        <v>123</v>
      </c>
      <c r="T2781" s="14">
        <f>IF($J2781=0,0,ROUND(MAX($J2781*1.4*1.5*1.6*1.6*2.2,42600000*(1.576904^(MIN($E2781,123)-117)))*1,0))</f>
        <v>17131646</v>
      </c>
      <c r="U2781" s="11">
        <f>$E2781+11</f>
        <v>126</v>
      </c>
      <c r="V2781" s="12">
        <f>IF($J2781=0,0,ROUND(MAX($J2781*1.4*1.5*1.6*1.6*2.2*2.715,354000000*(1.642074^(MIN($E2781,123)-117)))*1,0))</f>
        <v>131285817</v>
      </c>
      <c r="W2781" s="13">
        <f>$E2781+15</f>
        <v>130</v>
      </c>
      <c r="X2781" s="14">
        <f>IF($J2781=0,0,ROUND(MAX($J2781*1.4*1.5*1.6*1.6*2.2*2.715*2.6,3540000000*(1.579646^(MIN($E2781,123)-117)))*1,0))</f>
        <v>1418677620</v>
      </c>
      <c r="Y2781" s="11">
        <f>$E2781+17</f>
        <v>132</v>
      </c>
      <c r="Z2781" s="12">
        <f>IF($J2781=0,0,ROUND(MAX($J2781*1.4*1.5*1.6*1.6*2.2*2.715*2.6*1.4,6020000000*(1.651178^(MIN($E2781,123)-117)))*1,0))</f>
        <v>2208048987</v>
      </c>
      <c r="AA2781" s="13">
        <f>$E2781+19</f>
        <v>134</v>
      </c>
      <c r="AB2781" s="14">
        <f>IF($J2781=0,0,ROUND(MAX($J2781*1.4*1.5*1.6*1.6*2.2*2.715*2.6*1.4*1.4,8430000000*(1.651435^(MIN($E2781,123)-117)))*1,0))</f>
        <v>3091039859</v>
      </c>
      <c r="AC2781" s="11">
        <f>$E2781+21</f>
        <v>136</v>
      </c>
      <c r="AD2781" s="12">
        <f>IF($J2781=0,0,ROUND(MAX($J2781*1.4*1.5*1.6*1.6*2.2*2.715*2.6*1.4*1.4*1.5,12600000000*(1.652953^(MIN($E2781,123)-117)))*1,0))</f>
        <v>4611577749</v>
      </c>
      <c r="AE2781" s="13">
        <f>$E2781+24</f>
        <v>139</v>
      </c>
      <c r="AF2781" s="14">
        <f>IF($J2781=0,0,ROUND(MAX($J2781*1.4*1.5*1.6*1.6*2.2*2.715*2.6*1.4*1.4*1.5*1.5,18900000000*(1.65331^(MIN($E2781,123)-117)))*1,0))</f>
        <v>6914379606</v>
      </c>
      <c r="AG2781" s="11">
        <f>$E2781+27</f>
        <v>142</v>
      </c>
      <c r="AH2781" s="12">
        <f>IF($J2781=0,0,ROUND(MAX($J2781*1.4*1.5*1.6*1.6*2.2*2.715*2.6*1.4*1.4*1.5*1.5*3.2,60500000000*(1.654288^(MIN($E2781,123)-117)))*1,0))</f>
        <v>22107169230</v>
      </c>
    </row>
    <row r="2782" ht="28" customHeight="1" spans="1:34" x14ac:dyDescent="0.25">
      <c r="A2782">
        <v>2792</v>
      </c>
      <c r="B2782" t="s">
        <v>914</v>
      </c>
      <c r="C2782" s="10" t="s">
        <v>1593</v>
      </c>
      <c r="D2782" t="s">
        <v>75</v>
      </c>
      <c r="E2782">
        <v>115</v>
      </c>
      <c r="F2782" t="s">
        <v>62</v>
      </c>
      <c r="G2782" t="s">
        <v>242</v>
      </c>
      <c r="H2782">
        <v>27</v>
      </c>
      <c r="I2782" s="11">
        <f>$E2782+0</f>
        <v>115</v>
      </c>
      <c r="J2782" s="12">
        <v>506000</v>
      </c>
      <c r="K2782" s="13">
        <f>$E2782+1</f>
        <v>116</v>
      </c>
      <c r="L2782" s="14">
        <f>IF($J2782=0,0,ROUND(MAX($J2782*1.4,1620000*(1.497923^(MIN($E2782,123)-117)))*1,0))</f>
        <v>721998</v>
      </c>
      <c r="M2782" s="11">
        <f>$E2782+2</f>
        <v>117</v>
      </c>
      <c r="N2782" s="12">
        <f>IF($J2782=0,0,ROUND(MAX($J2782*1.4*1.5,2190000*(1.580994^(MIN($E2782,123)-117)))*1,0))</f>
        <v>1062600</v>
      </c>
      <c r="O2782" s="13">
        <f>$E2782+4</f>
        <v>119</v>
      </c>
      <c r="P2782" s="14">
        <f>IF($J2782=0,0,ROUND(MAX($J2782*1.4*1.5*1.6,3500000*(1.57975^(MIN($E2782,123)-117)))*1,0))</f>
        <v>1700160</v>
      </c>
      <c r="Q2782" s="11">
        <f>$E2782+6</f>
        <v>121</v>
      </c>
      <c r="R2782" s="12">
        <f>IF($J2782=0,0,ROUND(MAX($J2782*1.4*1.5*1.6*1.6,13100000*(1.429962^(MIN($E2782,123)-117)))*1,0))</f>
        <v>6406522</v>
      </c>
      <c r="S2782" s="13">
        <f>$E2782+8</f>
        <v>123</v>
      </c>
      <c r="T2782" s="14">
        <f>IF($J2782=0,0,ROUND(MAX($J2782*1.4*1.5*1.6*1.6*2.2,42600000*(1.576904^(MIN($E2782,123)-117)))*1,0))</f>
        <v>17131646</v>
      </c>
      <c r="U2782" s="11">
        <f>$E2782+11</f>
        <v>126</v>
      </c>
      <c r="V2782" s="12">
        <f>IF($J2782=0,0,ROUND(MAX($J2782*1.4*1.5*1.6*1.6*2.2*2.715,354000000*(1.642074^(MIN($E2782,123)-117)))*1,0))</f>
        <v>131285817</v>
      </c>
      <c r="W2782" s="13">
        <f>$E2782+15</f>
        <v>130</v>
      </c>
      <c r="X2782" s="14">
        <f>IF($J2782=0,0,ROUND(MAX($J2782*1.4*1.5*1.6*1.6*2.2*2.715*2.6,3540000000*(1.579646^(MIN($E2782,123)-117)))*1,0))</f>
        <v>1418677620</v>
      </c>
      <c r="Y2782" s="11">
        <f>$E2782+17</f>
        <v>132</v>
      </c>
      <c r="Z2782" s="12">
        <f>IF($J2782=0,0,ROUND(MAX($J2782*1.4*1.5*1.6*1.6*2.2*2.715*2.6*1.4,6020000000*(1.651178^(MIN($E2782,123)-117)))*1,0))</f>
        <v>2208048987</v>
      </c>
      <c r="AA2782" s="13">
        <f>$E2782+19</f>
        <v>134</v>
      </c>
      <c r="AB2782" s="14">
        <f>IF($J2782=0,0,ROUND(MAX($J2782*1.4*1.5*1.6*1.6*2.2*2.715*2.6*1.4*1.4,8430000000*(1.651435^(MIN($E2782,123)-117)))*1,0))</f>
        <v>3091039859</v>
      </c>
      <c r="AC2782" s="11">
        <f>$E2782+21</f>
        <v>136</v>
      </c>
      <c r="AD2782" s="12">
        <f>IF($J2782=0,0,ROUND(MAX($J2782*1.4*1.5*1.6*1.6*2.2*2.715*2.6*1.4*1.4*1.5,12600000000*(1.652953^(MIN($E2782,123)-117)))*1,0))</f>
        <v>4611577749</v>
      </c>
      <c r="AE2782" s="13">
        <f>$E2782+24</f>
        <v>139</v>
      </c>
      <c r="AF2782" s="14">
        <f>IF($J2782=0,0,ROUND(MAX($J2782*1.4*1.5*1.6*1.6*2.2*2.715*2.6*1.4*1.4*1.5*1.5,18900000000*(1.65331^(MIN($E2782,123)-117)))*1,0))</f>
        <v>6914379606</v>
      </c>
      <c r="AG2782" s="11">
        <f>$E2782+27</f>
        <v>142</v>
      </c>
      <c r="AH2782" s="12">
        <f>IF($J2782=0,0,ROUND(MAX($J2782*1.4*1.5*1.6*1.6*2.2*2.715*2.6*1.4*1.4*1.5*1.5*3.2,60500000000*(1.654288^(MIN($E2782,123)-117)))*1,0))</f>
        <v>22107169230</v>
      </c>
    </row>
    <row r="2783" ht="28" customHeight="1" spans="1:34" x14ac:dyDescent="0.25">
      <c r="A2783">
        <v>2793</v>
      </c>
      <c r="B2783" t="s">
        <v>301</v>
      </c>
      <c r="C2783" s="10" t="s">
        <v>1593</v>
      </c>
      <c r="D2783" t="s">
        <v>241</v>
      </c>
      <c r="E2783">
        <v>115</v>
      </c>
      <c r="F2783" t="s">
        <v>71</v>
      </c>
      <c r="G2783" t="s">
        <v>124</v>
      </c>
      <c r="H2783">
        <v>26</v>
      </c>
      <c r="I2783" s="11">
        <f>$E2783+0</f>
        <v>115</v>
      </c>
      <c r="J2783" s="12">
        <v>481000</v>
      </c>
      <c r="K2783" s="13">
        <f>$E2783+1</f>
        <v>116</v>
      </c>
      <c r="L2783" s="14">
        <f>IF($J2783=0,0,ROUND(MAX($J2783*1.4,1620000*(1.497923^(MIN($E2783,123)-117)))*1,0))</f>
        <v>721998</v>
      </c>
      <c r="M2783" s="11">
        <f>$E2783+2</f>
        <v>117</v>
      </c>
      <c r="N2783" s="12">
        <f>IF($J2783=0,0,ROUND(MAX($J2783*1.4*1.5,2190000*(1.580994^(MIN($E2783,123)-117)))*1,0))</f>
        <v>1010100</v>
      </c>
      <c r="O2783" s="13">
        <f>$E2783+4</f>
        <v>119</v>
      </c>
      <c r="P2783" s="14">
        <f>IF($J2783=0,0,ROUND(MAX($J2783*1.4*1.5*1.6,3500000*(1.57975^(MIN($E2783,123)-117)))*1,0))</f>
        <v>1616160</v>
      </c>
      <c r="Q2783" s="11">
        <f>$E2783+6</f>
        <v>121</v>
      </c>
      <c r="R2783" s="12">
        <f>IF($J2783=0,0,ROUND(MAX($J2783*1.4*1.5*1.6*1.6,13100000*(1.429962^(MIN($E2783,123)-117)))*1,0))</f>
        <v>6406522</v>
      </c>
      <c r="S2783" s="13">
        <f>$E2783+8</f>
        <v>123</v>
      </c>
      <c r="T2783" s="14">
        <f>IF($J2783=0,0,ROUND(MAX($J2783*1.4*1.5*1.6*1.6*2.2,42600000*(1.576904^(MIN($E2783,123)-117)))*1,0))</f>
        <v>17131646</v>
      </c>
      <c r="U2783" s="11">
        <f>$E2783+11</f>
        <v>126</v>
      </c>
      <c r="V2783" s="12">
        <f>IF($J2783=0,0,ROUND(MAX($J2783*1.4*1.5*1.6*1.6*2.2*2.715,354000000*(1.642074^(MIN($E2783,123)-117)))*1,0))</f>
        <v>131285817</v>
      </c>
      <c r="W2783" s="13">
        <f>$E2783+15</f>
        <v>130</v>
      </c>
      <c r="X2783" s="14">
        <f>IF($J2783=0,0,ROUND(MAX($J2783*1.4*1.5*1.6*1.6*2.2*2.715*2.6,3540000000*(1.579646^(MIN($E2783,123)-117)))*1,0))</f>
        <v>1418677620</v>
      </c>
      <c r="Y2783" s="11">
        <f>$E2783+17</f>
        <v>132</v>
      </c>
      <c r="Z2783" s="12">
        <f>IF($J2783=0,0,ROUND(MAX($J2783*1.4*1.5*1.6*1.6*2.2*2.715*2.6*1.4,6020000000*(1.651178^(MIN($E2783,123)-117)))*1,0))</f>
        <v>2208048987</v>
      </c>
      <c r="AA2783" s="13">
        <f>$E2783+19</f>
        <v>134</v>
      </c>
      <c r="AB2783" s="14">
        <f>IF($J2783=0,0,ROUND(MAX($J2783*1.4*1.5*1.6*1.6*2.2*2.715*2.6*1.4*1.4,8430000000*(1.651435^(MIN($E2783,123)-117)))*1,0))</f>
        <v>3091039859</v>
      </c>
      <c r="AC2783" s="11">
        <f>$E2783+21</f>
        <v>136</v>
      </c>
      <c r="AD2783" s="12">
        <f>IF($J2783=0,0,ROUND(MAX($J2783*1.4*1.5*1.6*1.6*2.2*2.715*2.6*1.4*1.4*1.5,12600000000*(1.652953^(MIN($E2783,123)-117)))*1,0))</f>
        <v>4611577749</v>
      </c>
      <c r="AE2783" s="13">
        <f>$E2783+24</f>
        <v>139</v>
      </c>
      <c r="AF2783" s="14">
        <f>IF($J2783=0,0,ROUND(MAX($J2783*1.4*1.5*1.6*1.6*2.2*2.715*2.6*1.4*1.4*1.5*1.5,18900000000*(1.65331^(MIN($E2783,123)-117)))*1,0))</f>
        <v>6914379606</v>
      </c>
      <c r="AG2783" s="11">
        <f>$E2783+27</f>
        <v>142</v>
      </c>
      <c r="AH2783" s="12">
        <f>IF($J2783=0,0,ROUND(MAX($J2783*1.4*1.5*1.6*1.6*2.2*2.715*2.6*1.4*1.4*1.5*1.5*3.2,60500000000*(1.654288^(MIN($E2783,123)-117)))*1,0))</f>
        <v>22107169230</v>
      </c>
    </row>
    <row r="2784" ht="28" customHeight="1" spans="1:34" x14ac:dyDescent="0.25">
      <c r="A2784">
        <v>2794</v>
      </c>
      <c r="B2784" t="s">
        <v>608</v>
      </c>
      <c r="C2784" s="10" t="s">
        <v>1593</v>
      </c>
      <c r="D2784" t="s">
        <v>47</v>
      </c>
      <c r="E2784">
        <v>115</v>
      </c>
      <c r="F2784" t="s">
        <v>71</v>
      </c>
      <c r="G2784" t="s">
        <v>106</v>
      </c>
      <c r="H2784">
        <v>26</v>
      </c>
      <c r="I2784" s="11">
        <f>$E2784+0</f>
        <v>115</v>
      </c>
      <c r="J2784" s="12">
        <v>441000</v>
      </c>
      <c r="K2784" s="13">
        <f>$E2784+1</f>
        <v>116</v>
      </c>
      <c r="L2784" s="14">
        <f>IF($J2784=0,0,ROUND(MAX($J2784*1.4,1620000*(1.497923^(MIN($E2784,123)-117)))*1,0))</f>
        <v>721998</v>
      </c>
      <c r="M2784" s="11">
        <f>$E2784+2</f>
        <v>117</v>
      </c>
      <c r="N2784" s="12">
        <f>IF($J2784=0,0,ROUND(MAX($J2784*1.4*1.5,2190000*(1.580994^(MIN($E2784,123)-117)))*1,0))</f>
        <v>926100</v>
      </c>
      <c r="O2784" s="13">
        <f>$E2784+4</f>
        <v>119</v>
      </c>
      <c r="P2784" s="14">
        <f>IF($J2784=0,0,ROUND(MAX($J2784*1.4*1.5*1.6,3500000*(1.57975^(MIN($E2784,123)-117)))*1,0))</f>
        <v>1481760</v>
      </c>
      <c r="Q2784" s="11">
        <f>$E2784+6</f>
        <v>121</v>
      </c>
      <c r="R2784" s="12">
        <f>IF($J2784=0,0,ROUND(MAX($J2784*1.4*1.5*1.6*1.6,13100000*(1.429962^(MIN($E2784,123)-117)))*1,0))</f>
        <v>6406522</v>
      </c>
      <c r="S2784" s="13">
        <f>$E2784+8</f>
        <v>123</v>
      </c>
      <c r="T2784" s="14">
        <f>IF($J2784=0,0,ROUND(MAX($J2784*1.4*1.5*1.6*1.6*2.2,42600000*(1.576904^(MIN($E2784,123)-117)))*1,0))</f>
        <v>17131646</v>
      </c>
      <c r="U2784" s="11">
        <f>$E2784+11</f>
        <v>126</v>
      </c>
      <c r="V2784" s="12">
        <f>IF($J2784=0,0,ROUND(MAX($J2784*1.4*1.5*1.6*1.6*2.2*2.715,354000000*(1.642074^(MIN($E2784,123)-117)))*1,0))</f>
        <v>131285817</v>
      </c>
      <c r="W2784" s="13">
        <f>$E2784+15</f>
        <v>130</v>
      </c>
      <c r="X2784" s="14">
        <f>IF($J2784=0,0,ROUND(MAX($J2784*1.4*1.5*1.6*1.6*2.2*2.715*2.6,3540000000*(1.579646^(MIN($E2784,123)-117)))*1,0))</f>
        <v>1418677620</v>
      </c>
      <c r="Y2784" s="11">
        <f>$E2784+17</f>
        <v>132</v>
      </c>
      <c r="Z2784" s="12">
        <f>IF($J2784=0,0,ROUND(MAX($J2784*1.4*1.5*1.6*1.6*2.2*2.715*2.6*1.4,6020000000*(1.651178^(MIN($E2784,123)-117)))*1,0))</f>
        <v>2208048987</v>
      </c>
      <c r="AA2784" s="13">
        <f>$E2784+19</f>
        <v>134</v>
      </c>
      <c r="AB2784" s="14">
        <f>IF($J2784=0,0,ROUND(MAX($J2784*1.4*1.5*1.6*1.6*2.2*2.715*2.6*1.4*1.4,8430000000*(1.651435^(MIN($E2784,123)-117)))*1,0))</f>
        <v>3091039859</v>
      </c>
      <c r="AC2784" s="11">
        <f>$E2784+21</f>
        <v>136</v>
      </c>
      <c r="AD2784" s="12">
        <f>IF($J2784=0,0,ROUND(MAX($J2784*1.4*1.5*1.6*1.6*2.2*2.715*2.6*1.4*1.4*1.5,12600000000*(1.652953^(MIN($E2784,123)-117)))*1,0))</f>
        <v>4611577749</v>
      </c>
      <c r="AE2784" s="13">
        <f>$E2784+24</f>
        <v>139</v>
      </c>
      <c r="AF2784" s="14">
        <f>IF($J2784=0,0,ROUND(MAX($J2784*1.4*1.5*1.6*1.6*2.2*2.715*2.6*1.4*1.4*1.5*1.5,18900000000*(1.65331^(MIN($E2784,123)-117)))*1,0))</f>
        <v>6914379606</v>
      </c>
      <c r="AG2784" s="11">
        <f>$E2784+27</f>
        <v>142</v>
      </c>
      <c r="AH2784" s="12">
        <f>IF($J2784=0,0,ROUND(MAX($J2784*1.4*1.5*1.6*1.6*2.2*2.715*2.6*1.4*1.4*1.5*1.5*3.2,60500000000*(1.654288^(MIN($E2784,123)-117)))*1,0))</f>
        <v>22107169230</v>
      </c>
    </row>
    <row r="2785" ht="28" customHeight="1" spans="1:34" x14ac:dyDescent="0.25">
      <c r="A2785">
        <v>2795</v>
      </c>
      <c r="B2785" t="s">
        <v>1044</v>
      </c>
      <c r="C2785" s="10" t="s">
        <v>1593</v>
      </c>
      <c r="D2785" t="s">
        <v>47</v>
      </c>
      <c r="E2785">
        <v>115</v>
      </c>
      <c r="F2785" t="s">
        <v>962</v>
      </c>
      <c r="G2785" t="s">
        <v>206</v>
      </c>
      <c r="H2785">
        <v>25</v>
      </c>
      <c r="I2785" s="11">
        <f>$E2785+0</f>
        <v>115</v>
      </c>
      <c r="J2785" s="12">
        <v>383000</v>
      </c>
      <c r="K2785" s="13">
        <f>$E2785+1</f>
        <v>116</v>
      </c>
      <c r="L2785" s="14">
        <f>IF($J2785=0,0,ROUND(MAX($J2785*1.4,1620000*(1.497923^(MIN($E2785,123)-117)))*1,0))</f>
        <v>721998</v>
      </c>
      <c r="M2785" s="11">
        <f>$E2785+2</f>
        <v>117</v>
      </c>
      <c r="N2785" s="12">
        <f>IF($J2785=0,0,ROUND(MAX($J2785*1.4*1.5,2190000*(1.580994^(MIN($E2785,123)-117)))*1,0))</f>
        <v>876161</v>
      </c>
      <c r="O2785" s="13">
        <f>$E2785+4</f>
        <v>119</v>
      </c>
      <c r="P2785" s="14">
        <f>IF($J2785=0,0,ROUND(MAX($J2785*1.4*1.5*1.6,3500000*(1.57975^(MIN($E2785,123)-117)))*1,0))</f>
        <v>1402463</v>
      </c>
      <c r="Q2785" s="11">
        <f>$E2785+6</f>
        <v>121</v>
      </c>
      <c r="R2785" s="12">
        <f>IF($J2785=0,0,ROUND(MAX($J2785*1.4*1.5*1.6*1.6,13100000*(1.429962^(MIN($E2785,123)-117)))*1,0))</f>
        <v>6406522</v>
      </c>
      <c r="S2785" s="13">
        <f>$E2785+8</f>
        <v>123</v>
      </c>
      <c r="T2785" s="14">
        <f>IF($J2785=0,0,ROUND(MAX($J2785*1.4*1.5*1.6*1.6*2.2,42600000*(1.576904^(MIN($E2785,123)-117)))*1,0))</f>
        <v>17131646</v>
      </c>
      <c r="U2785" s="11">
        <f>$E2785+11</f>
        <v>126</v>
      </c>
      <c r="V2785" s="12">
        <f>IF($J2785=0,0,ROUND(MAX($J2785*1.4*1.5*1.6*1.6*2.2*2.715,354000000*(1.642074^(MIN($E2785,123)-117)))*1,0))</f>
        <v>131285817</v>
      </c>
      <c r="W2785" s="13">
        <f>$E2785+15</f>
        <v>130</v>
      </c>
      <c r="X2785" s="14">
        <f>IF($J2785=0,0,ROUND(MAX($J2785*1.4*1.5*1.6*1.6*2.2*2.715*2.6,3540000000*(1.579646^(MIN($E2785,123)-117)))*1,0))</f>
        <v>1418677620</v>
      </c>
      <c r="Y2785" s="11">
        <f>$E2785+17</f>
        <v>132</v>
      </c>
      <c r="Z2785" s="12">
        <f>IF($J2785=0,0,ROUND(MAX($J2785*1.4*1.5*1.6*1.6*2.2*2.715*2.6*1.4,6020000000*(1.651178^(MIN($E2785,123)-117)))*1,0))</f>
        <v>2208048987</v>
      </c>
      <c r="AA2785" s="13">
        <f>$E2785+19</f>
        <v>134</v>
      </c>
      <c r="AB2785" s="14">
        <f>IF($J2785=0,0,ROUND(MAX($J2785*1.4*1.5*1.6*1.6*2.2*2.715*2.6*1.4*1.4,8430000000*(1.651435^(MIN($E2785,123)-117)))*1,0))</f>
        <v>3091039859</v>
      </c>
      <c r="AC2785" s="11">
        <f>$E2785+21</f>
        <v>136</v>
      </c>
      <c r="AD2785" s="12">
        <f>IF($J2785=0,0,ROUND(MAX($J2785*1.4*1.5*1.6*1.6*2.2*2.715*2.6*1.4*1.4*1.5,12600000000*(1.652953^(MIN($E2785,123)-117)))*1,0))</f>
        <v>4611577749</v>
      </c>
      <c r="AE2785" s="13">
        <f>$E2785+24</f>
        <v>139</v>
      </c>
      <c r="AF2785" s="14">
        <f>IF($J2785=0,0,ROUND(MAX($J2785*1.4*1.5*1.6*1.6*2.2*2.715*2.6*1.4*1.4*1.5*1.5,18900000000*(1.65331^(MIN($E2785,123)-117)))*1,0))</f>
        <v>6914379606</v>
      </c>
      <c r="AG2785" s="11">
        <f>$E2785+27</f>
        <v>142</v>
      </c>
      <c r="AH2785" s="12">
        <f>IF($J2785=0,0,ROUND(MAX($J2785*1.4*1.5*1.6*1.6*2.2*2.715*2.6*1.4*1.4*1.5*1.5*3.2,60500000000*(1.654288^(MIN($E2785,123)-117)))*1,0))</f>
        <v>22107169230</v>
      </c>
    </row>
    <row r="2786" ht="28" customHeight="1" spans="1:34" x14ac:dyDescent="0.25">
      <c r="A2786">
        <v>2796</v>
      </c>
      <c r="B2786" t="s">
        <v>1165</v>
      </c>
      <c r="C2786" s="10" t="s">
        <v>1593</v>
      </c>
      <c r="D2786" t="s">
        <v>47</v>
      </c>
      <c r="E2786">
        <v>115</v>
      </c>
      <c r="F2786" t="s">
        <v>303</v>
      </c>
      <c r="G2786" t="s">
        <v>374</v>
      </c>
      <c r="H2786">
        <v>24</v>
      </c>
      <c r="I2786" s="11">
        <f>$E2786+0</f>
        <v>115</v>
      </c>
      <c r="J2786" s="12">
        <v>350000</v>
      </c>
      <c r="K2786" s="13">
        <f>$E2786+1</f>
        <v>116</v>
      </c>
      <c r="L2786" s="14">
        <f>IF($J2786=0,0,ROUND(MAX($J2786*1.4,1620000*(1.497923^(MIN($E2786,123)-117)))*1,0))</f>
        <v>721998</v>
      </c>
      <c r="M2786" s="11">
        <f>$E2786+2</f>
        <v>117</v>
      </c>
      <c r="N2786" s="12">
        <f>IF($J2786=0,0,ROUND(MAX($J2786*1.4*1.5,2190000*(1.580994^(MIN($E2786,123)-117)))*1,0))</f>
        <v>876161</v>
      </c>
      <c r="O2786" s="13">
        <f>$E2786+4</f>
        <v>119</v>
      </c>
      <c r="P2786" s="14">
        <f>IF($J2786=0,0,ROUND(MAX($J2786*1.4*1.5*1.6,3500000*(1.57975^(MIN($E2786,123)-117)))*1,0))</f>
        <v>1402463</v>
      </c>
      <c r="Q2786" s="11">
        <f>$E2786+6</f>
        <v>121</v>
      </c>
      <c r="R2786" s="12">
        <f>IF($J2786=0,0,ROUND(MAX($J2786*1.4*1.5*1.6*1.6,13100000*(1.429962^(MIN($E2786,123)-117)))*1,0))</f>
        <v>6406522</v>
      </c>
      <c r="S2786" s="13">
        <f>$E2786+8</f>
        <v>123</v>
      </c>
      <c r="T2786" s="14">
        <f>IF($J2786=0,0,ROUND(MAX($J2786*1.4*1.5*1.6*1.6*2.2,42600000*(1.576904^(MIN($E2786,123)-117)))*1,0))</f>
        <v>17131646</v>
      </c>
      <c r="U2786" s="11">
        <f>$E2786+11</f>
        <v>126</v>
      </c>
      <c r="V2786" s="12">
        <f>IF($J2786=0,0,ROUND(MAX($J2786*1.4*1.5*1.6*1.6*2.2*2.715,354000000*(1.642074^(MIN($E2786,123)-117)))*1,0))</f>
        <v>131285817</v>
      </c>
      <c r="W2786" s="13">
        <f>$E2786+15</f>
        <v>130</v>
      </c>
      <c r="X2786" s="14">
        <f>IF($J2786=0,0,ROUND(MAX($J2786*1.4*1.5*1.6*1.6*2.2*2.715*2.6,3540000000*(1.579646^(MIN($E2786,123)-117)))*1,0))</f>
        <v>1418677620</v>
      </c>
      <c r="Y2786" s="11">
        <f>$E2786+17</f>
        <v>132</v>
      </c>
      <c r="Z2786" s="12">
        <f>IF($J2786=0,0,ROUND(MAX($J2786*1.4*1.5*1.6*1.6*2.2*2.715*2.6*1.4,6020000000*(1.651178^(MIN($E2786,123)-117)))*1,0))</f>
        <v>2208048987</v>
      </c>
      <c r="AA2786" s="13">
        <f>$E2786+19</f>
        <v>134</v>
      </c>
      <c r="AB2786" s="14">
        <f>IF($J2786=0,0,ROUND(MAX($J2786*1.4*1.5*1.6*1.6*2.2*2.715*2.6*1.4*1.4,8430000000*(1.651435^(MIN($E2786,123)-117)))*1,0))</f>
        <v>3091039859</v>
      </c>
      <c r="AC2786" s="11">
        <f>$E2786+21</f>
        <v>136</v>
      </c>
      <c r="AD2786" s="12">
        <f>IF($J2786=0,0,ROUND(MAX($J2786*1.4*1.5*1.6*1.6*2.2*2.715*2.6*1.4*1.4*1.5,12600000000*(1.652953^(MIN($E2786,123)-117)))*1,0))</f>
        <v>4611577749</v>
      </c>
      <c r="AE2786" s="13">
        <f>$E2786+24</f>
        <v>139</v>
      </c>
      <c r="AF2786" s="14">
        <f>IF($J2786=0,0,ROUND(MAX($J2786*1.4*1.5*1.6*1.6*2.2*2.715*2.6*1.4*1.4*1.5*1.5,18900000000*(1.65331^(MIN($E2786,123)-117)))*1,0))</f>
        <v>6914379606</v>
      </c>
      <c r="AG2786" s="11">
        <f>$E2786+27</f>
        <v>142</v>
      </c>
      <c r="AH2786" s="12">
        <f>IF($J2786=0,0,ROUND(MAX($J2786*1.4*1.5*1.6*1.6*2.2*2.715*2.6*1.4*1.4*1.5*1.5*3.2,60500000000*(1.654288^(MIN($E2786,123)-117)))*1,0))</f>
        <v>22107169230</v>
      </c>
    </row>
    <row r="2787" ht="28" customHeight="1" spans="1:34" x14ac:dyDescent="0.25">
      <c r="A2787">
        <v>2797</v>
      </c>
      <c r="B2787" t="s">
        <v>1172</v>
      </c>
      <c r="C2787" s="10" t="s">
        <v>1593</v>
      </c>
      <c r="D2787" t="s">
        <v>45</v>
      </c>
      <c r="E2787">
        <v>114</v>
      </c>
      <c r="F2787" t="s">
        <v>42</v>
      </c>
      <c r="G2787" t="s">
        <v>748</v>
      </c>
      <c r="H2787">
        <v>28</v>
      </c>
      <c r="I2787" s="11">
        <f>$E2787+0</f>
        <v>114</v>
      </c>
      <c r="J2787" s="12">
        <v>554000</v>
      </c>
      <c r="K2787" s="13">
        <f>$E2787+1</f>
        <v>115</v>
      </c>
      <c r="L2787" s="14">
        <f>IF($J2787=0,0,ROUND(MAX($J2787*1.4,1620000*(1.497923^(MIN($E2787,123)-117)))*1,0))</f>
        <v>775600</v>
      </c>
      <c r="M2787" s="11">
        <f>$E2787+2</f>
        <v>116</v>
      </c>
      <c r="N2787" s="12">
        <f>IF($J2787=0,0,ROUND(MAX($J2787*1.4*1.5,2190000*(1.580994^(MIN($E2787,123)-117)))*1,0))</f>
        <v>1163400</v>
      </c>
      <c r="O2787" s="13">
        <f>$E2787+4</f>
        <v>118</v>
      </c>
      <c r="P2787" s="14">
        <f>IF($J2787=0,0,ROUND(MAX($J2787*1.4*1.5*1.6,3500000*(1.57975^(MIN($E2787,123)-117)))*1,0))</f>
        <v>1861440</v>
      </c>
      <c r="Q2787" s="11">
        <f>$E2787+6</f>
        <v>120</v>
      </c>
      <c r="R2787" s="12">
        <f>IF($J2787=0,0,ROUND(MAX($J2787*1.4*1.5*1.6*1.6,13100000*(1.429962^(MIN($E2787,123)-117)))*1,0))</f>
        <v>4480204</v>
      </c>
      <c r="S2787" s="13">
        <f>$E2787+8</f>
        <v>122</v>
      </c>
      <c r="T2787" s="14">
        <f>IF($J2787=0,0,ROUND(MAX($J2787*1.4*1.5*1.6*1.6*2.2,42600000*(1.576904^(MIN($E2787,123)-117)))*1,0))</f>
        <v>10864102</v>
      </c>
      <c r="U2787" s="11">
        <f>$E2787+11</f>
        <v>125</v>
      </c>
      <c r="V2787" s="12">
        <f>IF($J2787=0,0,ROUND(MAX($J2787*1.4*1.5*1.6*1.6*2.2*2.715,354000000*(1.642074^(MIN($E2787,123)-117)))*1,0))</f>
        <v>79951219</v>
      </c>
      <c r="W2787" s="13">
        <f>$E2787+15</f>
        <v>129</v>
      </c>
      <c r="X2787" s="14">
        <f>IF($J2787=0,0,ROUND(MAX($J2787*1.4*1.5*1.6*1.6*2.2*2.715*2.6,3540000000*(1.579646^(MIN($E2787,123)-117)))*1,0))</f>
        <v>898098448</v>
      </c>
      <c r="Y2787" s="11">
        <f>$E2787+17</f>
        <v>131</v>
      </c>
      <c r="Z2787" s="12">
        <f>IF($J2787=0,0,ROUND(MAX($J2787*1.4*1.5*1.6*1.6*2.2*2.715*2.6*1.4,6020000000*(1.651178^(MIN($E2787,123)-117)))*1,0))</f>
        <v>1337256787</v>
      </c>
      <c r="AA2787" s="13">
        <f>$E2787+19</f>
        <v>133</v>
      </c>
      <c r="AB2787" s="14">
        <f>IF($J2787=0,0,ROUND(MAX($J2787*1.4*1.5*1.6*1.6*2.2*2.715*2.6*1.4*1.4,8430000000*(1.651435^(MIN($E2787,123)-117)))*1,0))</f>
        <v>1871729653</v>
      </c>
      <c r="AC2787" s="11">
        <f>$E2787+21</f>
        <v>135</v>
      </c>
      <c r="AD2787" s="12">
        <f>IF($J2787=0,0,ROUND(MAX($J2787*1.4*1.5*1.6*1.6*2.2*2.715*2.6*1.4*1.4*1.5,12600000000*(1.652953^(MIN($E2787,123)-117)))*1,0))</f>
        <v>2789902525</v>
      </c>
      <c r="AE2787" s="13">
        <f>$E2787+24</f>
        <v>138</v>
      </c>
      <c r="AF2787" s="14">
        <f>IF($J2787=0,0,ROUND(MAX($J2787*1.4*1.5*1.6*1.6*2.2*2.715*2.6*1.4*1.4*1.5*1.5,18900000000*(1.65331^(MIN($E2787,123)-117)))*1,0))</f>
        <v>4182143461</v>
      </c>
      <c r="AG2787" s="11">
        <f>$E2787+27</f>
        <v>141</v>
      </c>
      <c r="AH2787" s="12">
        <f>IF($J2787=0,0,ROUND(MAX($J2787*1.4*1.5*1.6*1.6*2.2*2.715*2.6*1.4*1.4*1.5*1.5*3.2,60500000000*(1.654288^(MIN($E2787,123)-117)))*1,0))</f>
        <v>13363555336</v>
      </c>
    </row>
    <row r="2788" ht="28" customHeight="1" spans="1:34" x14ac:dyDescent="0.25">
      <c r="A2788">
        <v>2798</v>
      </c>
      <c r="B2788" t="s">
        <v>1611</v>
      </c>
      <c r="C2788" s="10" t="s">
        <v>1593</v>
      </c>
      <c r="D2788" t="s">
        <v>25</v>
      </c>
      <c r="E2788">
        <v>114</v>
      </c>
      <c r="F2788" t="s">
        <v>59</v>
      </c>
      <c r="G2788" t="s">
        <v>396</v>
      </c>
      <c r="H2788">
        <v>28</v>
      </c>
      <c r="I2788" s="11">
        <f>$E2788+0</f>
        <v>114</v>
      </c>
      <c r="J2788" s="12">
        <v>363000</v>
      </c>
      <c r="K2788" s="13">
        <f>$E2788+1</f>
        <v>115</v>
      </c>
      <c r="L2788" s="14">
        <f>IF($J2788=0,0,ROUND(MAX($J2788*1.4,1620000*(1.497923^(MIN($E2788,123)-117)))*1,0))</f>
        <v>508200</v>
      </c>
      <c r="M2788" s="11">
        <f>$E2788+2</f>
        <v>116</v>
      </c>
      <c r="N2788" s="12">
        <f>IF($J2788=0,0,ROUND(MAX($J2788*1.4*1.5,2190000*(1.580994^(MIN($E2788,123)-117)))*1,0))</f>
        <v>762300</v>
      </c>
      <c r="O2788" s="13">
        <f>$E2788+4</f>
        <v>118</v>
      </c>
      <c r="P2788" s="14">
        <f>IF($J2788=0,0,ROUND(MAX($J2788*1.4*1.5*1.6,3500000*(1.57975^(MIN($E2788,123)-117)))*1,0))</f>
        <v>1219680</v>
      </c>
      <c r="Q2788" s="11">
        <f>$E2788+6</f>
        <v>120</v>
      </c>
      <c r="R2788" s="12">
        <f>IF($J2788=0,0,ROUND(MAX($J2788*1.4*1.5*1.6*1.6,13100000*(1.429962^(MIN($E2788,123)-117)))*1,0))</f>
        <v>4480204</v>
      </c>
      <c r="S2788" s="13">
        <f>$E2788+8</f>
        <v>122</v>
      </c>
      <c r="T2788" s="14">
        <f>IF($J2788=0,0,ROUND(MAX($J2788*1.4*1.5*1.6*1.6*2.2,42600000*(1.576904^(MIN($E2788,123)-117)))*1,0))</f>
        <v>10864102</v>
      </c>
      <c r="U2788" s="11">
        <f>$E2788+11</f>
        <v>125</v>
      </c>
      <c r="V2788" s="12">
        <f>IF($J2788=0,0,ROUND(MAX($J2788*1.4*1.5*1.6*1.6*2.2*2.715,354000000*(1.642074^(MIN($E2788,123)-117)))*1,0))</f>
        <v>79951219</v>
      </c>
      <c r="W2788" s="13">
        <f>$E2788+15</f>
        <v>129</v>
      </c>
      <c r="X2788" s="14">
        <f>IF($J2788=0,0,ROUND(MAX($J2788*1.4*1.5*1.6*1.6*2.2*2.715*2.6,3540000000*(1.579646^(MIN($E2788,123)-117)))*1,0))</f>
        <v>898098448</v>
      </c>
      <c r="Y2788" s="11">
        <f>$E2788+17</f>
        <v>131</v>
      </c>
      <c r="Z2788" s="12">
        <f>IF($J2788=0,0,ROUND(MAX($J2788*1.4*1.5*1.6*1.6*2.2*2.715*2.6*1.4,6020000000*(1.651178^(MIN($E2788,123)-117)))*1,0))</f>
        <v>1337256787</v>
      </c>
      <c r="AA2788" s="13">
        <f>$E2788+19</f>
        <v>133</v>
      </c>
      <c r="AB2788" s="14">
        <f>IF($J2788=0,0,ROUND(MAX($J2788*1.4*1.5*1.6*1.6*2.2*2.715*2.6*1.4*1.4,8430000000*(1.651435^(MIN($E2788,123)-117)))*1,0))</f>
        <v>1871729653</v>
      </c>
      <c r="AC2788" s="11">
        <f>$E2788+21</f>
        <v>135</v>
      </c>
      <c r="AD2788" s="12">
        <f>IF($J2788=0,0,ROUND(MAX($J2788*1.4*1.5*1.6*1.6*2.2*2.715*2.6*1.4*1.4*1.5,12600000000*(1.652953^(MIN($E2788,123)-117)))*1,0))</f>
        <v>2789902525</v>
      </c>
      <c r="AE2788" s="13">
        <f>$E2788+24</f>
        <v>138</v>
      </c>
      <c r="AF2788" s="14">
        <f>IF($J2788=0,0,ROUND(MAX($J2788*1.4*1.5*1.6*1.6*2.2*2.715*2.6*1.4*1.4*1.5*1.5,18900000000*(1.65331^(MIN($E2788,123)-117)))*1,0))</f>
        <v>4182143461</v>
      </c>
      <c r="AG2788" s="11">
        <f>$E2788+27</f>
        <v>141</v>
      </c>
      <c r="AH2788" s="12">
        <f>IF($J2788=0,0,ROUND(MAX($J2788*1.4*1.5*1.6*1.6*2.2*2.715*2.6*1.4*1.4*1.5*1.5*3.2,60500000000*(1.654288^(MIN($E2788,123)-117)))*1,0))</f>
        <v>13363555336</v>
      </c>
    </row>
    <row r="2789" ht="28" customHeight="1" spans="1:34" x14ac:dyDescent="0.25">
      <c r="A2789">
        <v>2799</v>
      </c>
      <c r="B2789" t="s">
        <v>692</v>
      </c>
      <c r="C2789" s="10" t="s">
        <v>1593</v>
      </c>
      <c r="D2789" t="s">
        <v>29</v>
      </c>
      <c r="E2789">
        <v>114</v>
      </c>
      <c r="F2789" t="s">
        <v>30</v>
      </c>
      <c r="G2789" t="s">
        <v>1612</v>
      </c>
      <c r="H2789">
        <v>28</v>
      </c>
      <c r="I2789" s="11">
        <f>$E2789+0</f>
        <v>114</v>
      </c>
      <c r="J2789" s="12">
        <v>833000</v>
      </c>
      <c r="K2789" s="13">
        <f>$E2789+1</f>
        <v>115</v>
      </c>
      <c r="L2789" s="14">
        <f>IF($J2789=0,0,ROUND(MAX($J2789*1.4,1620000*(1.497923^(MIN($E2789,123)-117)))*1,0))</f>
        <v>1166200</v>
      </c>
      <c r="M2789" s="11">
        <f>$E2789+2</f>
        <v>116</v>
      </c>
      <c r="N2789" s="12">
        <f>IF($J2789=0,0,ROUND(MAX($J2789*1.4*1.5,2190000*(1.580994^(MIN($E2789,123)-117)))*1,0))</f>
        <v>1749300</v>
      </c>
      <c r="O2789" s="13">
        <f>$E2789+4</f>
        <v>118</v>
      </c>
      <c r="P2789" s="14">
        <f>IF($J2789=0,0,ROUND(MAX($J2789*1.4*1.5*1.6,3500000*(1.57975^(MIN($E2789,123)-117)))*1,0))</f>
        <v>2798880</v>
      </c>
      <c r="Q2789" s="11">
        <f>$E2789+6</f>
        <v>120</v>
      </c>
      <c r="R2789" s="12">
        <f>IF($J2789=0,0,ROUND(MAX($J2789*1.4*1.5*1.6*1.6,13100000*(1.429962^(MIN($E2789,123)-117)))*1,0))</f>
        <v>4480204</v>
      </c>
      <c r="S2789" s="13">
        <f>$E2789+8</f>
        <v>122</v>
      </c>
      <c r="T2789" s="14">
        <f>IF($J2789=0,0,ROUND(MAX($J2789*1.4*1.5*1.6*1.6*2.2,42600000*(1.576904^(MIN($E2789,123)-117)))*1,0))</f>
        <v>10864102</v>
      </c>
      <c r="U2789" s="11">
        <f>$E2789+11</f>
        <v>125</v>
      </c>
      <c r="V2789" s="12">
        <f>IF($J2789=0,0,ROUND(MAX($J2789*1.4*1.5*1.6*1.6*2.2*2.715,354000000*(1.642074^(MIN($E2789,123)-117)))*1,0))</f>
        <v>79951219</v>
      </c>
      <c r="W2789" s="13">
        <f>$E2789+15</f>
        <v>129</v>
      </c>
      <c r="X2789" s="14">
        <f>IF($J2789=0,0,ROUND(MAX($J2789*1.4*1.5*1.6*1.6*2.2*2.715*2.6,3540000000*(1.579646^(MIN($E2789,123)-117)))*1,0))</f>
        <v>898098448</v>
      </c>
      <c r="Y2789" s="11">
        <f>$E2789+17</f>
        <v>131</v>
      </c>
      <c r="Z2789" s="12">
        <f>IF($J2789=0,0,ROUND(MAX($J2789*1.4*1.5*1.6*1.6*2.2*2.715*2.6*1.4,6020000000*(1.651178^(MIN($E2789,123)-117)))*1,0))</f>
        <v>1337256787</v>
      </c>
      <c r="AA2789" s="13">
        <f>$E2789+19</f>
        <v>133</v>
      </c>
      <c r="AB2789" s="14">
        <f>IF($J2789=0,0,ROUND(MAX($J2789*1.4*1.5*1.6*1.6*2.2*2.715*2.6*1.4*1.4,8430000000*(1.651435^(MIN($E2789,123)-117)))*1,0))</f>
        <v>1871729653</v>
      </c>
      <c r="AC2789" s="11">
        <f>$E2789+21</f>
        <v>135</v>
      </c>
      <c r="AD2789" s="12">
        <f>IF($J2789=0,0,ROUND(MAX($J2789*1.4*1.5*1.6*1.6*2.2*2.715*2.6*1.4*1.4*1.5,12600000000*(1.652953^(MIN($E2789,123)-117)))*1,0))</f>
        <v>2789902525</v>
      </c>
      <c r="AE2789" s="13">
        <f>$E2789+24</f>
        <v>138</v>
      </c>
      <c r="AF2789" s="14">
        <f>IF($J2789=0,0,ROUND(MAX($J2789*1.4*1.5*1.6*1.6*2.2*2.715*2.6*1.4*1.4*1.5*1.5,18900000000*(1.65331^(MIN($E2789,123)-117)))*1,0))</f>
        <v>4182143461</v>
      </c>
      <c r="AG2789" s="11">
        <f>$E2789+27</f>
        <v>141</v>
      </c>
      <c r="AH2789" s="12">
        <f>IF($J2789=0,0,ROUND(MAX($J2789*1.4*1.5*1.6*1.6*2.2*2.715*2.6*1.4*1.4*1.5*1.5*3.2,60500000000*(1.654288^(MIN($E2789,123)-117)))*1,0))</f>
        <v>13363555336</v>
      </c>
    </row>
    <row r="2790" ht="28" customHeight="1" spans="1:34" x14ac:dyDescent="0.25">
      <c r="A2790">
        <v>2800</v>
      </c>
      <c r="B2790" t="s">
        <v>347</v>
      </c>
      <c r="C2790" s="10" t="s">
        <v>1593</v>
      </c>
      <c r="D2790" t="s">
        <v>79</v>
      </c>
      <c r="E2790">
        <v>114</v>
      </c>
      <c r="F2790" t="s">
        <v>123</v>
      </c>
      <c r="G2790" t="s">
        <v>470</v>
      </c>
      <c r="H2790">
        <v>28</v>
      </c>
      <c r="I2790" s="11">
        <f>$E2790+0</f>
        <v>114</v>
      </c>
      <c r="J2790" s="12">
        <v>628000</v>
      </c>
      <c r="K2790" s="13">
        <f>$E2790+1</f>
        <v>115</v>
      </c>
      <c r="L2790" s="14">
        <f>IF($J2790=0,0,ROUND(MAX($J2790*1.4,1620000*(1.497923^(MIN($E2790,123)-117)))*1,0))</f>
        <v>879200</v>
      </c>
      <c r="M2790" s="11">
        <f>$E2790+2</f>
        <v>116</v>
      </c>
      <c r="N2790" s="12">
        <f>IF($J2790=0,0,ROUND(MAX($J2790*1.4*1.5,2190000*(1.580994^(MIN($E2790,123)-117)))*1,0))</f>
        <v>1318800</v>
      </c>
      <c r="O2790" s="13">
        <f>$E2790+4</f>
        <v>118</v>
      </c>
      <c r="P2790" s="14">
        <f>IF($J2790=0,0,ROUND(MAX($J2790*1.4*1.5*1.6,3500000*(1.57975^(MIN($E2790,123)-117)))*1,0))</f>
        <v>2110080</v>
      </c>
      <c r="Q2790" s="11">
        <f>$E2790+6</f>
        <v>120</v>
      </c>
      <c r="R2790" s="12">
        <f>IF($J2790=0,0,ROUND(MAX($J2790*1.4*1.5*1.6*1.6,13100000*(1.429962^(MIN($E2790,123)-117)))*1,0))</f>
        <v>4480204</v>
      </c>
      <c r="S2790" s="13">
        <f>$E2790+8</f>
        <v>122</v>
      </c>
      <c r="T2790" s="14">
        <f>IF($J2790=0,0,ROUND(MAX($J2790*1.4*1.5*1.6*1.6*2.2,42600000*(1.576904^(MIN($E2790,123)-117)))*1,0))</f>
        <v>10864102</v>
      </c>
      <c r="U2790" s="11">
        <f>$E2790+11</f>
        <v>125</v>
      </c>
      <c r="V2790" s="12">
        <f>IF($J2790=0,0,ROUND(MAX($J2790*1.4*1.5*1.6*1.6*2.2*2.715,354000000*(1.642074^(MIN($E2790,123)-117)))*1,0))</f>
        <v>79951219</v>
      </c>
      <c r="W2790" s="13">
        <f>$E2790+15</f>
        <v>129</v>
      </c>
      <c r="X2790" s="14">
        <f>IF($J2790=0,0,ROUND(MAX($J2790*1.4*1.5*1.6*1.6*2.2*2.715*2.6,3540000000*(1.579646^(MIN($E2790,123)-117)))*1,0))</f>
        <v>898098448</v>
      </c>
      <c r="Y2790" s="11">
        <f>$E2790+17</f>
        <v>131</v>
      </c>
      <c r="Z2790" s="12">
        <f>IF($J2790=0,0,ROUND(MAX($J2790*1.4*1.5*1.6*1.6*2.2*2.715*2.6*1.4,6020000000*(1.651178^(MIN($E2790,123)-117)))*1,0))</f>
        <v>1337256787</v>
      </c>
      <c r="AA2790" s="13">
        <f>$E2790+19</f>
        <v>133</v>
      </c>
      <c r="AB2790" s="14">
        <f>IF($J2790=0,0,ROUND(MAX($J2790*1.4*1.5*1.6*1.6*2.2*2.715*2.6*1.4*1.4,8430000000*(1.651435^(MIN($E2790,123)-117)))*1,0))</f>
        <v>1871729653</v>
      </c>
      <c r="AC2790" s="11">
        <f>$E2790+21</f>
        <v>135</v>
      </c>
      <c r="AD2790" s="12">
        <f>IF($J2790=0,0,ROUND(MAX($J2790*1.4*1.5*1.6*1.6*2.2*2.715*2.6*1.4*1.4*1.5,12600000000*(1.652953^(MIN($E2790,123)-117)))*1,0))</f>
        <v>2789902525</v>
      </c>
      <c r="AE2790" s="13">
        <f>$E2790+24</f>
        <v>138</v>
      </c>
      <c r="AF2790" s="14">
        <f>IF($J2790=0,0,ROUND(MAX($J2790*1.4*1.5*1.6*1.6*2.2*2.715*2.6*1.4*1.4*1.5*1.5,18900000000*(1.65331^(MIN($E2790,123)-117)))*1,0))</f>
        <v>4182143461</v>
      </c>
      <c r="AG2790" s="11">
        <f>$E2790+27</f>
        <v>141</v>
      </c>
      <c r="AH2790" s="12">
        <f>IF($J2790=0,0,ROUND(MAX($J2790*1.4*1.5*1.6*1.6*2.2*2.715*2.6*1.4*1.4*1.5*1.5*3.2,60500000000*(1.654288^(MIN($E2790,123)-117)))*1,0))</f>
        <v>13363555336</v>
      </c>
    </row>
    <row r="2791" ht="28" customHeight="1" spans="1:34" x14ac:dyDescent="0.25">
      <c r="A2791">
        <v>2801</v>
      </c>
      <c r="B2791" t="s">
        <v>1613</v>
      </c>
      <c r="C2791" s="10" t="s">
        <v>1593</v>
      </c>
      <c r="D2791" t="s">
        <v>79</v>
      </c>
      <c r="E2791">
        <v>114</v>
      </c>
      <c r="F2791" t="s">
        <v>303</v>
      </c>
      <c r="G2791" t="s">
        <v>729</v>
      </c>
      <c r="H2791">
        <v>27</v>
      </c>
      <c r="I2791" s="11">
        <f>$E2791+0</f>
        <v>114</v>
      </c>
      <c r="J2791" s="12">
        <v>386000</v>
      </c>
      <c r="K2791" s="13">
        <f>$E2791+1</f>
        <v>115</v>
      </c>
      <c r="L2791" s="14">
        <f>IF($J2791=0,0,ROUND(MAX($J2791*1.4,1620000*(1.497923^(MIN($E2791,123)-117)))*1,0))</f>
        <v>540400</v>
      </c>
      <c r="M2791" s="11">
        <f>$E2791+2</f>
        <v>116</v>
      </c>
      <c r="N2791" s="12">
        <f>IF($J2791=0,0,ROUND(MAX($J2791*1.4*1.5,2190000*(1.580994^(MIN($E2791,123)-117)))*1,0))</f>
        <v>810600</v>
      </c>
      <c r="O2791" s="13">
        <f>$E2791+4</f>
        <v>118</v>
      </c>
      <c r="P2791" s="14">
        <f>IF($J2791=0,0,ROUND(MAX($J2791*1.4*1.5*1.6,3500000*(1.57975^(MIN($E2791,123)-117)))*1,0))</f>
        <v>1296960</v>
      </c>
      <c r="Q2791" s="11">
        <f>$E2791+6</f>
        <v>120</v>
      </c>
      <c r="R2791" s="12">
        <f>IF($J2791=0,0,ROUND(MAX($J2791*1.4*1.5*1.6*1.6,13100000*(1.429962^(MIN($E2791,123)-117)))*1,0))</f>
        <v>4480204</v>
      </c>
      <c r="S2791" s="13">
        <f>$E2791+8</f>
        <v>122</v>
      </c>
      <c r="T2791" s="14">
        <f>IF($J2791=0,0,ROUND(MAX($J2791*1.4*1.5*1.6*1.6*2.2,42600000*(1.576904^(MIN($E2791,123)-117)))*1,0))</f>
        <v>10864102</v>
      </c>
      <c r="U2791" s="11">
        <f>$E2791+11</f>
        <v>125</v>
      </c>
      <c r="V2791" s="12">
        <f>IF($J2791=0,0,ROUND(MAX($J2791*1.4*1.5*1.6*1.6*2.2*2.715,354000000*(1.642074^(MIN($E2791,123)-117)))*1,0))</f>
        <v>79951219</v>
      </c>
      <c r="W2791" s="13">
        <f>$E2791+15</f>
        <v>129</v>
      </c>
      <c r="X2791" s="14">
        <f>IF($J2791=0,0,ROUND(MAX($J2791*1.4*1.5*1.6*1.6*2.2*2.715*2.6,3540000000*(1.579646^(MIN($E2791,123)-117)))*1,0))</f>
        <v>898098448</v>
      </c>
      <c r="Y2791" s="11">
        <f>$E2791+17</f>
        <v>131</v>
      </c>
      <c r="Z2791" s="12">
        <f>IF($J2791=0,0,ROUND(MAX($J2791*1.4*1.5*1.6*1.6*2.2*2.715*2.6*1.4,6020000000*(1.651178^(MIN($E2791,123)-117)))*1,0))</f>
        <v>1337256787</v>
      </c>
      <c r="AA2791" s="13">
        <f>$E2791+19</f>
        <v>133</v>
      </c>
      <c r="AB2791" s="14">
        <f>IF($J2791=0,0,ROUND(MAX($J2791*1.4*1.5*1.6*1.6*2.2*2.715*2.6*1.4*1.4,8430000000*(1.651435^(MIN($E2791,123)-117)))*1,0))</f>
        <v>1871729653</v>
      </c>
      <c r="AC2791" s="11">
        <f>$E2791+21</f>
        <v>135</v>
      </c>
      <c r="AD2791" s="12">
        <f>IF($J2791=0,0,ROUND(MAX($J2791*1.4*1.5*1.6*1.6*2.2*2.715*2.6*1.4*1.4*1.5,12600000000*(1.652953^(MIN($E2791,123)-117)))*1,0))</f>
        <v>2789902525</v>
      </c>
      <c r="AE2791" s="13">
        <f>$E2791+24</f>
        <v>138</v>
      </c>
      <c r="AF2791" s="14">
        <f>IF($J2791=0,0,ROUND(MAX($J2791*1.4*1.5*1.6*1.6*2.2*2.715*2.6*1.4*1.4*1.5*1.5,18900000000*(1.65331^(MIN($E2791,123)-117)))*1,0))</f>
        <v>4182143461</v>
      </c>
      <c r="AG2791" s="11">
        <f>$E2791+27</f>
        <v>141</v>
      </c>
      <c r="AH2791" s="12">
        <f>IF($J2791=0,0,ROUND(MAX($J2791*1.4*1.5*1.6*1.6*2.2*2.715*2.6*1.4*1.4*1.5*1.5*3.2,60500000000*(1.654288^(MIN($E2791,123)-117)))*1,0))</f>
        <v>13363555336</v>
      </c>
    </row>
    <row r="2792" ht="28" customHeight="1" spans="1:34" x14ac:dyDescent="0.25">
      <c r="A2792">
        <v>2802</v>
      </c>
      <c r="B2792" t="s">
        <v>1614</v>
      </c>
      <c r="C2792" s="10" t="s">
        <v>1593</v>
      </c>
      <c r="D2792" t="s">
        <v>25</v>
      </c>
      <c r="E2792">
        <v>114</v>
      </c>
      <c r="F2792" t="s">
        <v>42</v>
      </c>
      <c r="G2792" t="s">
        <v>1312</v>
      </c>
      <c r="H2792">
        <v>27</v>
      </c>
      <c r="I2792" s="11">
        <f>$E2792+0</f>
        <v>114</v>
      </c>
      <c r="J2792" s="12">
        <v>570000</v>
      </c>
      <c r="K2792" s="13">
        <f>$E2792+1</f>
        <v>115</v>
      </c>
      <c r="L2792" s="14">
        <f>IF($J2792=0,0,ROUND(MAX($J2792*1.4,1620000*(1.497923^(MIN($E2792,123)-117)))*1,0))</f>
        <v>798000</v>
      </c>
      <c r="M2792" s="11">
        <f>$E2792+2</f>
        <v>116</v>
      </c>
      <c r="N2792" s="12">
        <f>IF($J2792=0,0,ROUND(MAX($J2792*1.4*1.5,2190000*(1.580994^(MIN($E2792,123)-117)))*1,0))</f>
        <v>1197000</v>
      </c>
      <c r="O2792" s="13">
        <f>$E2792+4</f>
        <v>118</v>
      </c>
      <c r="P2792" s="14">
        <f>IF($J2792=0,0,ROUND(MAX($J2792*1.4*1.5*1.6,3500000*(1.57975^(MIN($E2792,123)-117)))*1,0))</f>
        <v>1915200</v>
      </c>
      <c r="Q2792" s="11">
        <f>$E2792+6</f>
        <v>120</v>
      </c>
      <c r="R2792" s="12">
        <f>IF($J2792=0,0,ROUND(MAX($J2792*1.4*1.5*1.6*1.6,13100000*(1.429962^(MIN($E2792,123)-117)))*1,0))</f>
        <v>4480204</v>
      </c>
      <c r="S2792" s="13">
        <f>$E2792+8</f>
        <v>122</v>
      </c>
      <c r="T2792" s="14">
        <f>IF($J2792=0,0,ROUND(MAX($J2792*1.4*1.5*1.6*1.6*2.2,42600000*(1.576904^(MIN($E2792,123)-117)))*1,0))</f>
        <v>10864102</v>
      </c>
      <c r="U2792" s="11">
        <f>$E2792+11</f>
        <v>125</v>
      </c>
      <c r="V2792" s="12">
        <f>IF($J2792=0,0,ROUND(MAX($J2792*1.4*1.5*1.6*1.6*2.2*2.715,354000000*(1.642074^(MIN($E2792,123)-117)))*1,0))</f>
        <v>79951219</v>
      </c>
      <c r="W2792" s="13">
        <f>$E2792+15</f>
        <v>129</v>
      </c>
      <c r="X2792" s="14">
        <f>IF($J2792=0,0,ROUND(MAX($J2792*1.4*1.5*1.6*1.6*2.2*2.715*2.6,3540000000*(1.579646^(MIN($E2792,123)-117)))*1,0))</f>
        <v>898098448</v>
      </c>
      <c r="Y2792" s="11">
        <f>$E2792+17</f>
        <v>131</v>
      </c>
      <c r="Z2792" s="12">
        <f>IF($J2792=0,0,ROUND(MAX($J2792*1.4*1.5*1.6*1.6*2.2*2.715*2.6*1.4,6020000000*(1.651178^(MIN($E2792,123)-117)))*1,0))</f>
        <v>1337256787</v>
      </c>
      <c r="AA2792" s="13">
        <f>$E2792+19</f>
        <v>133</v>
      </c>
      <c r="AB2792" s="14">
        <f>IF($J2792=0,0,ROUND(MAX($J2792*1.4*1.5*1.6*1.6*2.2*2.715*2.6*1.4*1.4,8430000000*(1.651435^(MIN($E2792,123)-117)))*1,0))</f>
        <v>1871729653</v>
      </c>
      <c r="AC2792" s="11">
        <f>$E2792+21</f>
        <v>135</v>
      </c>
      <c r="AD2792" s="12">
        <f>IF($J2792=0,0,ROUND(MAX($J2792*1.4*1.5*1.6*1.6*2.2*2.715*2.6*1.4*1.4*1.5,12600000000*(1.652953^(MIN($E2792,123)-117)))*1,0))</f>
        <v>2789902525</v>
      </c>
      <c r="AE2792" s="13">
        <f>$E2792+24</f>
        <v>138</v>
      </c>
      <c r="AF2792" s="14">
        <f>IF($J2792=0,0,ROUND(MAX($J2792*1.4*1.5*1.6*1.6*2.2*2.715*2.6*1.4*1.4*1.5*1.5,18900000000*(1.65331^(MIN($E2792,123)-117)))*1,0))</f>
        <v>4182143461</v>
      </c>
      <c r="AG2792" s="11">
        <f>$E2792+27</f>
        <v>141</v>
      </c>
      <c r="AH2792" s="12">
        <f>IF($J2792=0,0,ROUND(MAX($J2792*1.4*1.5*1.6*1.6*2.2*2.715*2.6*1.4*1.4*1.5*1.5*3.2,60500000000*(1.654288^(MIN($E2792,123)-117)))*1,0))</f>
        <v>13363555336</v>
      </c>
    </row>
    <row r="2793" ht="28" customHeight="1" spans="1:34" x14ac:dyDescent="0.25">
      <c r="A2793">
        <v>2803</v>
      </c>
      <c r="B2793" t="s">
        <v>1615</v>
      </c>
      <c r="C2793" s="10" t="s">
        <v>1593</v>
      </c>
      <c r="D2793" t="s">
        <v>25</v>
      </c>
      <c r="E2793">
        <v>114</v>
      </c>
      <c r="F2793" t="s">
        <v>217</v>
      </c>
      <c r="G2793" t="s">
        <v>819</v>
      </c>
      <c r="H2793">
        <v>27</v>
      </c>
      <c r="I2793" s="11">
        <f>$E2793+0</f>
        <v>114</v>
      </c>
      <c r="J2793" s="12">
        <v>318000</v>
      </c>
      <c r="K2793" s="13">
        <f>$E2793+1</f>
        <v>115</v>
      </c>
      <c r="L2793" s="14">
        <f>IF($J2793=0,0,ROUND(MAX($J2793*1.4,1620000*(1.497923^(MIN($E2793,123)-117)))*1,0))</f>
        <v>481999</v>
      </c>
      <c r="M2793" s="11">
        <f>$E2793+2</f>
        <v>116</v>
      </c>
      <c r="N2793" s="12">
        <f>IF($J2793=0,0,ROUND(MAX($J2793*1.4*1.5,2190000*(1.580994^(MIN($E2793,123)-117)))*1,0))</f>
        <v>667800</v>
      </c>
      <c r="O2793" s="13">
        <f>$E2793+4</f>
        <v>118</v>
      </c>
      <c r="P2793" s="14">
        <f>IF($J2793=0,0,ROUND(MAX($J2793*1.4*1.5*1.6,3500000*(1.57975^(MIN($E2793,123)-117)))*1,0))</f>
        <v>1068480</v>
      </c>
      <c r="Q2793" s="11">
        <f>$E2793+6</f>
        <v>120</v>
      </c>
      <c r="R2793" s="12">
        <f>IF($J2793=0,0,ROUND(MAX($J2793*1.4*1.5*1.6*1.6,13100000*(1.429962^(MIN($E2793,123)-117)))*1,0))</f>
        <v>4480204</v>
      </c>
      <c r="S2793" s="13">
        <f>$E2793+8</f>
        <v>122</v>
      </c>
      <c r="T2793" s="14">
        <f>IF($J2793=0,0,ROUND(MAX($J2793*1.4*1.5*1.6*1.6*2.2,42600000*(1.576904^(MIN($E2793,123)-117)))*1,0))</f>
        <v>10864102</v>
      </c>
      <c r="U2793" s="11">
        <f>$E2793+11</f>
        <v>125</v>
      </c>
      <c r="V2793" s="12">
        <f>IF($J2793=0,0,ROUND(MAX($J2793*1.4*1.5*1.6*1.6*2.2*2.715,354000000*(1.642074^(MIN($E2793,123)-117)))*1,0))</f>
        <v>79951219</v>
      </c>
      <c r="W2793" s="13">
        <f>$E2793+15</f>
        <v>129</v>
      </c>
      <c r="X2793" s="14">
        <f>IF($J2793=0,0,ROUND(MAX($J2793*1.4*1.5*1.6*1.6*2.2*2.715*2.6,3540000000*(1.579646^(MIN($E2793,123)-117)))*1,0))</f>
        <v>898098448</v>
      </c>
      <c r="Y2793" s="11">
        <f>$E2793+17</f>
        <v>131</v>
      </c>
      <c r="Z2793" s="12">
        <f>IF($J2793=0,0,ROUND(MAX($J2793*1.4*1.5*1.6*1.6*2.2*2.715*2.6*1.4,6020000000*(1.651178^(MIN($E2793,123)-117)))*1,0))</f>
        <v>1337256787</v>
      </c>
      <c r="AA2793" s="13">
        <f>$E2793+19</f>
        <v>133</v>
      </c>
      <c r="AB2793" s="14">
        <f>IF($J2793=0,0,ROUND(MAX($J2793*1.4*1.5*1.6*1.6*2.2*2.715*2.6*1.4*1.4,8430000000*(1.651435^(MIN($E2793,123)-117)))*1,0))</f>
        <v>1871729653</v>
      </c>
      <c r="AC2793" s="11">
        <f>$E2793+21</f>
        <v>135</v>
      </c>
      <c r="AD2793" s="12">
        <f>IF($J2793=0,0,ROUND(MAX($J2793*1.4*1.5*1.6*1.6*2.2*2.715*2.6*1.4*1.4*1.5,12600000000*(1.652953^(MIN($E2793,123)-117)))*1,0))</f>
        <v>2789902525</v>
      </c>
      <c r="AE2793" s="13">
        <f>$E2793+24</f>
        <v>138</v>
      </c>
      <c r="AF2793" s="14">
        <f>IF($J2793=0,0,ROUND(MAX($J2793*1.4*1.5*1.6*1.6*2.2*2.715*2.6*1.4*1.4*1.5*1.5,18900000000*(1.65331^(MIN($E2793,123)-117)))*1,0))</f>
        <v>4182143461</v>
      </c>
      <c r="AG2793" s="11">
        <f>$E2793+27</f>
        <v>141</v>
      </c>
      <c r="AH2793" s="12">
        <f>IF($J2793=0,0,ROUND(MAX($J2793*1.4*1.5*1.6*1.6*2.2*2.715*2.6*1.4*1.4*1.5*1.5*3.2,60500000000*(1.654288^(MIN($E2793,123)-117)))*1,0))</f>
        <v>13363555336</v>
      </c>
    </row>
    <row r="2794" ht="28" customHeight="1" spans="1:34" x14ac:dyDescent="0.25">
      <c r="A2794">
        <v>2804</v>
      </c>
      <c r="B2794" t="s">
        <v>1616</v>
      </c>
      <c r="C2794" s="10" t="s">
        <v>1593</v>
      </c>
      <c r="D2794" t="s">
        <v>90</v>
      </c>
      <c r="E2794">
        <v>114</v>
      </c>
      <c r="F2794" t="s">
        <v>56</v>
      </c>
      <c r="G2794" t="s">
        <v>126</v>
      </c>
      <c r="H2794">
        <v>27</v>
      </c>
      <c r="I2794" s="11">
        <f>$E2794+0</f>
        <v>114</v>
      </c>
      <c r="J2794" s="12">
        <v>399000</v>
      </c>
      <c r="K2794" s="13">
        <f>$E2794+1</f>
        <v>115</v>
      </c>
      <c r="L2794" s="14">
        <f>IF($J2794=0,0,ROUND(MAX($J2794*1.4,1620000*(1.497923^(MIN($E2794,123)-117)))*1,0))</f>
        <v>558600</v>
      </c>
      <c r="M2794" s="11">
        <f>$E2794+2</f>
        <v>116</v>
      </c>
      <c r="N2794" s="12">
        <f>IF($J2794=0,0,ROUND(MAX($J2794*1.4*1.5,2190000*(1.580994^(MIN($E2794,123)-117)))*1,0))</f>
        <v>837900</v>
      </c>
      <c r="O2794" s="13">
        <f>$E2794+4</f>
        <v>118</v>
      </c>
      <c r="P2794" s="14">
        <f>IF($J2794=0,0,ROUND(MAX($J2794*1.4*1.5*1.6,3500000*(1.57975^(MIN($E2794,123)-117)))*1,0))</f>
        <v>1340640</v>
      </c>
      <c r="Q2794" s="11">
        <f>$E2794+6</f>
        <v>120</v>
      </c>
      <c r="R2794" s="12">
        <f>IF($J2794=0,0,ROUND(MAX($J2794*1.4*1.5*1.6*1.6,13100000*(1.429962^(MIN($E2794,123)-117)))*1,0))</f>
        <v>4480204</v>
      </c>
      <c r="S2794" s="13">
        <f>$E2794+8</f>
        <v>122</v>
      </c>
      <c r="T2794" s="14">
        <f>IF($J2794=0,0,ROUND(MAX($J2794*1.4*1.5*1.6*1.6*2.2,42600000*(1.576904^(MIN($E2794,123)-117)))*1,0))</f>
        <v>10864102</v>
      </c>
      <c r="U2794" s="11">
        <f>$E2794+11</f>
        <v>125</v>
      </c>
      <c r="V2794" s="12">
        <f>IF($J2794=0,0,ROUND(MAX($J2794*1.4*1.5*1.6*1.6*2.2*2.715,354000000*(1.642074^(MIN($E2794,123)-117)))*1,0))</f>
        <v>79951219</v>
      </c>
      <c r="W2794" s="13">
        <f>$E2794+15</f>
        <v>129</v>
      </c>
      <c r="X2794" s="14">
        <f>IF($J2794=0,0,ROUND(MAX($J2794*1.4*1.5*1.6*1.6*2.2*2.715*2.6,3540000000*(1.579646^(MIN($E2794,123)-117)))*1,0))</f>
        <v>898098448</v>
      </c>
      <c r="Y2794" s="11">
        <f>$E2794+17</f>
        <v>131</v>
      </c>
      <c r="Z2794" s="12">
        <f>IF($J2794=0,0,ROUND(MAX($J2794*1.4*1.5*1.6*1.6*2.2*2.715*2.6*1.4,6020000000*(1.651178^(MIN($E2794,123)-117)))*1,0))</f>
        <v>1337256787</v>
      </c>
      <c r="AA2794" s="13">
        <f>$E2794+19</f>
        <v>133</v>
      </c>
      <c r="AB2794" s="14">
        <f>IF($J2794=0,0,ROUND(MAX($J2794*1.4*1.5*1.6*1.6*2.2*2.715*2.6*1.4*1.4,8430000000*(1.651435^(MIN($E2794,123)-117)))*1,0))</f>
        <v>1871729653</v>
      </c>
      <c r="AC2794" s="11">
        <f>$E2794+21</f>
        <v>135</v>
      </c>
      <c r="AD2794" s="12">
        <f>IF($J2794=0,0,ROUND(MAX($J2794*1.4*1.5*1.6*1.6*2.2*2.715*2.6*1.4*1.4*1.5,12600000000*(1.652953^(MIN($E2794,123)-117)))*1,0))</f>
        <v>2789902525</v>
      </c>
      <c r="AE2794" s="13">
        <f>$E2794+24</f>
        <v>138</v>
      </c>
      <c r="AF2794" s="14">
        <f>IF($J2794=0,0,ROUND(MAX($J2794*1.4*1.5*1.6*1.6*2.2*2.715*2.6*1.4*1.4*1.5*1.5,18900000000*(1.65331^(MIN($E2794,123)-117)))*1,0))</f>
        <v>4182143461</v>
      </c>
      <c r="AG2794" s="11">
        <f>$E2794+27</f>
        <v>141</v>
      </c>
      <c r="AH2794" s="12">
        <f>IF($J2794=0,0,ROUND(MAX($J2794*1.4*1.5*1.6*1.6*2.2*2.715*2.6*1.4*1.4*1.5*1.5*3.2,60500000000*(1.654288^(MIN($E2794,123)-117)))*1,0))</f>
        <v>13363555336</v>
      </c>
    </row>
    <row r="2795" ht="28" customHeight="1" spans="1:34" x14ac:dyDescent="0.25">
      <c r="A2795">
        <v>2805</v>
      </c>
      <c r="B2795" t="s">
        <v>1375</v>
      </c>
      <c r="C2795" s="10" t="s">
        <v>1593</v>
      </c>
      <c r="D2795" t="s">
        <v>102</v>
      </c>
      <c r="E2795">
        <v>114</v>
      </c>
      <c r="F2795" t="s">
        <v>298</v>
      </c>
      <c r="G2795" t="s">
        <v>213</v>
      </c>
      <c r="H2795">
        <v>27</v>
      </c>
      <c r="I2795" s="11">
        <f>$E2795+0</f>
        <v>114</v>
      </c>
      <c r="J2795" s="12">
        <v>407000</v>
      </c>
      <c r="K2795" s="13">
        <f>$E2795+1</f>
        <v>115</v>
      </c>
      <c r="L2795" s="14">
        <f>IF($J2795=0,0,ROUND(MAX($J2795*1.4,1620000*(1.497923^(MIN($E2795,123)-117)))*1,0))</f>
        <v>569800</v>
      </c>
      <c r="M2795" s="11">
        <f>$E2795+2</f>
        <v>116</v>
      </c>
      <c r="N2795" s="12">
        <f>IF($J2795=0,0,ROUND(MAX($J2795*1.4*1.5,2190000*(1.580994^(MIN($E2795,123)-117)))*1,0))</f>
        <v>854700</v>
      </c>
      <c r="O2795" s="13">
        <f>$E2795+4</f>
        <v>118</v>
      </c>
      <c r="P2795" s="14">
        <f>IF($J2795=0,0,ROUND(MAX($J2795*1.4*1.5*1.6,3500000*(1.57975^(MIN($E2795,123)-117)))*1,0))</f>
        <v>1367520</v>
      </c>
      <c r="Q2795" s="11">
        <f>$E2795+6</f>
        <v>120</v>
      </c>
      <c r="R2795" s="12">
        <f>IF($J2795=0,0,ROUND(MAX($J2795*1.4*1.5*1.6*1.6,13100000*(1.429962^(MIN($E2795,123)-117)))*1,0))</f>
        <v>4480204</v>
      </c>
      <c r="S2795" s="13">
        <f>$E2795+8</f>
        <v>122</v>
      </c>
      <c r="T2795" s="14">
        <f>IF($J2795=0,0,ROUND(MAX($J2795*1.4*1.5*1.6*1.6*2.2,42600000*(1.576904^(MIN($E2795,123)-117)))*1,0))</f>
        <v>10864102</v>
      </c>
      <c r="U2795" s="11">
        <f>$E2795+11</f>
        <v>125</v>
      </c>
      <c r="V2795" s="12">
        <f>IF($J2795=0,0,ROUND(MAX($J2795*1.4*1.5*1.6*1.6*2.2*2.715,354000000*(1.642074^(MIN($E2795,123)-117)))*1,0))</f>
        <v>79951219</v>
      </c>
      <c r="W2795" s="13">
        <f>$E2795+15</f>
        <v>129</v>
      </c>
      <c r="X2795" s="14">
        <f>IF($J2795=0,0,ROUND(MAX($J2795*1.4*1.5*1.6*1.6*2.2*2.715*2.6,3540000000*(1.579646^(MIN($E2795,123)-117)))*1,0))</f>
        <v>898098448</v>
      </c>
      <c r="Y2795" s="11">
        <f>$E2795+17</f>
        <v>131</v>
      </c>
      <c r="Z2795" s="12">
        <f>IF($J2795=0,0,ROUND(MAX($J2795*1.4*1.5*1.6*1.6*2.2*2.715*2.6*1.4,6020000000*(1.651178^(MIN($E2795,123)-117)))*1,0))</f>
        <v>1337256787</v>
      </c>
      <c r="AA2795" s="13">
        <f>$E2795+19</f>
        <v>133</v>
      </c>
      <c r="AB2795" s="14">
        <f>IF($J2795=0,0,ROUND(MAX($J2795*1.4*1.5*1.6*1.6*2.2*2.715*2.6*1.4*1.4,8430000000*(1.651435^(MIN($E2795,123)-117)))*1,0))</f>
        <v>1871729653</v>
      </c>
      <c r="AC2795" s="11">
        <f>$E2795+21</f>
        <v>135</v>
      </c>
      <c r="AD2795" s="12">
        <f>IF($J2795=0,0,ROUND(MAX($J2795*1.4*1.5*1.6*1.6*2.2*2.715*2.6*1.4*1.4*1.5,12600000000*(1.652953^(MIN($E2795,123)-117)))*1,0))</f>
        <v>2789902525</v>
      </c>
      <c r="AE2795" s="13">
        <f>$E2795+24</f>
        <v>138</v>
      </c>
      <c r="AF2795" s="14">
        <f>IF($J2795=0,0,ROUND(MAX($J2795*1.4*1.5*1.6*1.6*2.2*2.715*2.6*1.4*1.4*1.5*1.5,18900000000*(1.65331^(MIN($E2795,123)-117)))*1,0))</f>
        <v>4182143461</v>
      </c>
      <c r="AG2795" s="11">
        <f>$E2795+27</f>
        <v>141</v>
      </c>
      <c r="AH2795" s="12">
        <f>IF($J2795=0,0,ROUND(MAX($J2795*1.4*1.5*1.6*1.6*2.2*2.715*2.6*1.4*1.4*1.5*1.5*3.2,60500000000*(1.654288^(MIN($E2795,123)-117)))*1,0))</f>
        <v>13363555336</v>
      </c>
    </row>
    <row r="2796" ht="28" customHeight="1" spans="1:34" x14ac:dyDescent="0.25">
      <c r="A2796">
        <v>2806</v>
      </c>
      <c r="B2796" t="s">
        <v>1617</v>
      </c>
      <c r="C2796" s="10" t="s">
        <v>1593</v>
      </c>
      <c r="D2796" t="s">
        <v>33</v>
      </c>
      <c r="E2796">
        <v>114</v>
      </c>
      <c r="F2796" t="s">
        <v>120</v>
      </c>
      <c r="G2796" t="s">
        <v>832</v>
      </c>
      <c r="H2796">
        <v>27</v>
      </c>
      <c r="I2796" s="11">
        <f>$E2796+0</f>
        <v>114</v>
      </c>
      <c r="J2796" s="12">
        <v>376000</v>
      </c>
      <c r="K2796" s="13">
        <f>$E2796+1</f>
        <v>115</v>
      </c>
      <c r="L2796" s="14">
        <f>IF($J2796=0,0,ROUND(MAX($J2796*1.4,1620000*(1.497923^(MIN($E2796,123)-117)))*1,0))</f>
        <v>526400</v>
      </c>
      <c r="M2796" s="11">
        <f>$E2796+2</f>
        <v>116</v>
      </c>
      <c r="N2796" s="12">
        <f>IF($J2796=0,0,ROUND(MAX($J2796*1.4*1.5,2190000*(1.580994^(MIN($E2796,123)-117)))*1,0))</f>
        <v>789600</v>
      </c>
      <c r="O2796" s="13">
        <f>$E2796+4</f>
        <v>118</v>
      </c>
      <c r="P2796" s="14">
        <f>IF($J2796=0,0,ROUND(MAX($J2796*1.4*1.5*1.6,3500000*(1.57975^(MIN($E2796,123)-117)))*1,0))</f>
        <v>1263360</v>
      </c>
      <c r="Q2796" s="11">
        <f>$E2796+6</f>
        <v>120</v>
      </c>
      <c r="R2796" s="12">
        <f>IF($J2796=0,0,ROUND(MAX($J2796*1.4*1.5*1.6*1.6,13100000*(1.429962^(MIN($E2796,123)-117)))*1,0))</f>
        <v>4480204</v>
      </c>
      <c r="S2796" s="13">
        <f>$E2796+8</f>
        <v>122</v>
      </c>
      <c r="T2796" s="14">
        <f>IF($J2796=0,0,ROUND(MAX($J2796*1.4*1.5*1.6*1.6*2.2,42600000*(1.576904^(MIN($E2796,123)-117)))*1,0))</f>
        <v>10864102</v>
      </c>
      <c r="U2796" s="11">
        <f>$E2796+11</f>
        <v>125</v>
      </c>
      <c r="V2796" s="12">
        <f>IF($J2796=0,0,ROUND(MAX($J2796*1.4*1.5*1.6*1.6*2.2*2.715,354000000*(1.642074^(MIN($E2796,123)-117)))*1,0))</f>
        <v>79951219</v>
      </c>
      <c r="W2796" s="13">
        <f>$E2796+15</f>
        <v>129</v>
      </c>
      <c r="X2796" s="14">
        <f>IF($J2796=0,0,ROUND(MAX($J2796*1.4*1.5*1.6*1.6*2.2*2.715*2.6,3540000000*(1.579646^(MIN($E2796,123)-117)))*1,0))</f>
        <v>898098448</v>
      </c>
      <c r="Y2796" s="11">
        <f>$E2796+17</f>
        <v>131</v>
      </c>
      <c r="Z2796" s="12">
        <f>IF($J2796=0,0,ROUND(MAX($J2796*1.4*1.5*1.6*1.6*2.2*2.715*2.6*1.4,6020000000*(1.651178^(MIN($E2796,123)-117)))*1,0))</f>
        <v>1337256787</v>
      </c>
      <c r="AA2796" s="13">
        <f>$E2796+19</f>
        <v>133</v>
      </c>
      <c r="AB2796" s="14">
        <f>IF($J2796=0,0,ROUND(MAX($J2796*1.4*1.5*1.6*1.6*2.2*2.715*2.6*1.4*1.4,8430000000*(1.651435^(MIN($E2796,123)-117)))*1,0))</f>
        <v>1871729653</v>
      </c>
      <c r="AC2796" s="11">
        <f>$E2796+21</f>
        <v>135</v>
      </c>
      <c r="AD2796" s="12">
        <f>IF($J2796=0,0,ROUND(MAX($J2796*1.4*1.5*1.6*1.6*2.2*2.715*2.6*1.4*1.4*1.5,12600000000*(1.652953^(MIN($E2796,123)-117)))*1,0))</f>
        <v>2789902525</v>
      </c>
      <c r="AE2796" s="13">
        <f>$E2796+24</f>
        <v>138</v>
      </c>
      <c r="AF2796" s="14">
        <f>IF($J2796=0,0,ROUND(MAX($J2796*1.4*1.5*1.6*1.6*2.2*2.715*2.6*1.4*1.4*1.5*1.5,18900000000*(1.65331^(MIN($E2796,123)-117)))*1,0))</f>
        <v>4182143461</v>
      </c>
      <c r="AG2796" s="11">
        <f>$E2796+27</f>
        <v>141</v>
      </c>
      <c r="AH2796" s="12">
        <f>IF($J2796=0,0,ROUND(MAX($J2796*1.4*1.5*1.6*1.6*2.2*2.715*2.6*1.4*1.4*1.5*1.5*3.2,60500000000*(1.654288^(MIN($E2796,123)-117)))*1,0))</f>
        <v>13363555336</v>
      </c>
    </row>
    <row r="2797" ht="28" customHeight="1" spans="1:34" x14ac:dyDescent="0.25">
      <c r="A2797">
        <v>2807</v>
      </c>
      <c r="B2797" t="s">
        <v>1334</v>
      </c>
      <c r="C2797" s="10" t="s">
        <v>1593</v>
      </c>
      <c r="D2797" t="s">
        <v>79</v>
      </c>
      <c r="E2797">
        <v>114</v>
      </c>
      <c r="F2797" t="s">
        <v>217</v>
      </c>
      <c r="G2797" t="s">
        <v>349</v>
      </c>
      <c r="H2797">
        <v>27</v>
      </c>
      <c r="I2797" s="11">
        <f>$E2797+0</f>
        <v>114</v>
      </c>
      <c r="J2797" s="12">
        <v>448000</v>
      </c>
      <c r="K2797" s="13">
        <f>$E2797+1</f>
        <v>115</v>
      </c>
      <c r="L2797" s="14">
        <f>IF($J2797=0,0,ROUND(MAX($J2797*1.4,1620000*(1.497923^(MIN($E2797,123)-117)))*1,0))</f>
        <v>627200</v>
      </c>
      <c r="M2797" s="11">
        <f>$E2797+2</f>
        <v>116</v>
      </c>
      <c r="N2797" s="12">
        <f>IF($J2797=0,0,ROUND(MAX($J2797*1.4*1.5,2190000*(1.580994^(MIN($E2797,123)-117)))*1,0))</f>
        <v>940800</v>
      </c>
      <c r="O2797" s="13">
        <f>$E2797+4</f>
        <v>118</v>
      </c>
      <c r="P2797" s="14">
        <f>IF($J2797=0,0,ROUND(MAX($J2797*1.4*1.5*1.6,3500000*(1.57975^(MIN($E2797,123)-117)))*1,0))</f>
        <v>1505280</v>
      </c>
      <c r="Q2797" s="11">
        <f>$E2797+6</f>
        <v>120</v>
      </c>
      <c r="R2797" s="12">
        <f>IF($J2797=0,0,ROUND(MAX($J2797*1.4*1.5*1.6*1.6,13100000*(1.429962^(MIN($E2797,123)-117)))*1,0))</f>
        <v>4480204</v>
      </c>
      <c r="S2797" s="13">
        <f>$E2797+8</f>
        <v>122</v>
      </c>
      <c r="T2797" s="14">
        <f>IF($J2797=0,0,ROUND(MAX($J2797*1.4*1.5*1.6*1.6*2.2,42600000*(1.576904^(MIN($E2797,123)-117)))*1,0))</f>
        <v>10864102</v>
      </c>
      <c r="U2797" s="11">
        <f>$E2797+11</f>
        <v>125</v>
      </c>
      <c r="V2797" s="12">
        <f>IF($J2797=0,0,ROUND(MAX($J2797*1.4*1.5*1.6*1.6*2.2*2.715,354000000*(1.642074^(MIN($E2797,123)-117)))*1,0))</f>
        <v>79951219</v>
      </c>
      <c r="W2797" s="13">
        <f>$E2797+15</f>
        <v>129</v>
      </c>
      <c r="X2797" s="14">
        <f>IF($J2797=0,0,ROUND(MAX($J2797*1.4*1.5*1.6*1.6*2.2*2.715*2.6,3540000000*(1.579646^(MIN($E2797,123)-117)))*1,0))</f>
        <v>898098448</v>
      </c>
      <c r="Y2797" s="11">
        <f>$E2797+17</f>
        <v>131</v>
      </c>
      <c r="Z2797" s="12">
        <f>IF($J2797=0,0,ROUND(MAX($J2797*1.4*1.5*1.6*1.6*2.2*2.715*2.6*1.4,6020000000*(1.651178^(MIN($E2797,123)-117)))*1,0))</f>
        <v>1337256787</v>
      </c>
      <c r="AA2797" s="13">
        <f>$E2797+19</f>
        <v>133</v>
      </c>
      <c r="AB2797" s="14">
        <f>IF($J2797=0,0,ROUND(MAX($J2797*1.4*1.5*1.6*1.6*2.2*2.715*2.6*1.4*1.4,8430000000*(1.651435^(MIN($E2797,123)-117)))*1,0))</f>
        <v>1871729653</v>
      </c>
      <c r="AC2797" s="11">
        <f>$E2797+21</f>
        <v>135</v>
      </c>
      <c r="AD2797" s="12">
        <f>IF($J2797=0,0,ROUND(MAX($J2797*1.4*1.5*1.6*1.6*2.2*2.715*2.6*1.4*1.4*1.5,12600000000*(1.652953^(MIN($E2797,123)-117)))*1,0))</f>
        <v>2789902525</v>
      </c>
      <c r="AE2797" s="13">
        <f>$E2797+24</f>
        <v>138</v>
      </c>
      <c r="AF2797" s="14">
        <f>IF($J2797=0,0,ROUND(MAX($J2797*1.4*1.5*1.6*1.6*2.2*2.715*2.6*1.4*1.4*1.5*1.5,18900000000*(1.65331^(MIN($E2797,123)-117)))*1,0))</f>
        <v>4182143461</v>
      </c>
      <c r="AG2797" s="11">
        <f>$E2797+27</f>
        <v>141</v>
      </c>
      <c r="AH2797" s="12">
        <f>IF($J2797=0,0,ROUND(MAX($J2797*1.4*1.5*1.6*1.6*2.2*2.715*2.6*1.4*1.4*1.5*1.5*3.2,60500000000*(1.654288^(MIN($E2797,123)-117)))*1,0))</f>
        <v>13363555336</v>
      </c>
    </row>
    <row r="2798" ht="28" customHeight="1" spans="1:34" x14ac:dyDescent="0.25">
      <c r="A2798">
        <v>2808</v>
      </c>
      <c r="B2798" t="s">
        <v>1618</v>
      </c>
      <c r="C2798" s="10" t="s">
        <v>1593</v>
      </c>
      <c r="D2798" t="s">
        <v>102</v>
      </c>
      <c r="E2798">
        <v>114</v>
      </c>
      <c r="F2798" t="s">
        <v>30</v>
      </c>
      <c r="G2798" t="s">
        <v>784</v>
      </c>
      <c r="H2798">
        <v>27</v>
      </c>
      <c r="I2798" s="11">
        <f>$E2798+0</f>
        <v>114</v>
      </c>
      <c r="J2798" s="12">
        <v>378000</v>
      </c>
      <c r="K2798" s="13">
        <f>$E2798+1</f>
        <v>115</v>
      </c>
      <c r="L2798" s="14">
        <f>IF($J2798=0,0,ROUND(MAX($J2798*1.4,1620000*(1.497923^(MIN($E2798,123)-117)))*1,0))</f>
        <v>529200</v>
      </c>
      <c r="M2798" s="11">
        <f>$E2798+2</f>
        <v>116</v>
      </c>
      <c r="N2798" s="12">
        <f>IF($J2798=0,0,ROUND(MAX($J2798*1.4*1.5,2190000*(1.580994^(MIN($E2798,123)-117)))*1,0))</f>
        <v>793800</v>
      </c>
      <c r="O2798" s="13">
        <f>$E2798+4</f>
        <v>118</v>
      </c>
      <c r="P2798" s="14">
        <f>IF($J2798=0,0,ROUND(MAX($J2798*1.4*1.5*1.6,3500000*(1.57975^(MIN($E2798,123)-117)))*1,0))</f>
        <v>1270080</v>
      </c>
      <c r="Q2798" s="11">
        <f>$E2798+6</f>
        <v>120</v>
      </c>
      <c r="R2798" s="12">
        <f>IF($J2798=0,0,ROUND(MAX($J2798*1.4*1.5*1.6*1.6,13100000*(1.429962^(MIN($E2798,123)-117)))*1,0))</f>
        <v>4480204</v>
      </c>
      <c r="S2798" s="13">
        <f>$E2798+8</f>
        <v>122</v>
      </c>
      <c r="T2798" s="14">
        <f>IF($J2798=0,0,ROUND(MAX($J2798*1.4*1.5*1.6*1.6*2.2,42600000*(1.576904^(MIN($E2798,123)-117)))*1,0))</f>
        <v>10864102</v>
      </c>
      <c r="U2798" s="11">
        <f>$E2798+11</f>
        <v>125</v>
      </c>
      <c r="V2798" s="12">
        <f>IF($J2798=0,0,ROUND(MAX($J2798*1.4*1.5*1.6*1.6*2.2*2.715,354000000*(1.642074^(MIN($E2798,123)-117)))*1,0))</f>
        <v>79951219</v>
      </c>
      <c r="W2798" s="13">
        <f>$E2798+15</f>
        <v>129</v>
      </c>
      <c r="X2798" s="14">
        <f>IF($J2798=0,0,ROUND(MAX($J2798*1.4*1.5*1.6*1.6*2.2*2.715*2.6,3540000000*(1.579646^(MIN($E2798,123)-117)))*1,0))</f>
        <v>898098448</v>
      </c>
      <c r="Y2798" s="11">
        <f>$E2798+17</f>
        <v>131</v>
      </c>
      <c r="Z2798" s="12">
        <f>IF($J2798=0,0,ROUND(MAX($J2798*1.4*1.5*1.6*1.6*2.2*2.715*2.6*1.4,6020000000*(1.651178^(MIN($E2798,123)-117)))*1,0))</f>
        <v>1337256787</v>
      </c>
      <c r="AA2798" s="13">
        <f>$E2798+19</f>
        <v>133</v>
      </c>
      <c r="AB2798" s="14">
        <f>IF($J2798=0,0,ROUND(MAX($J2798*1.4*1.5*1.6*1.6*2.2*2.715*2.6*1.4*1.4,8430000000*(1.651435^(MIN($E2798,123)-117)))*1,0))</f>
        <v>1871729653</v>
      </c>
      <c r="AC2798" s="11">
        <f>$E2798+21</f>
        <v>135</v>
      </c>
      <c r="AD2798" s="12">
        <f>IF($J2798=0,0,ROUND(MAX($J2798*1.4*1.5*1.6*1.6*2.2*2.715*2.6*1.4*1.4*1.5,12600000000*(1.652953^(MIN($E2798,123)-117)))*1,0))</f>
        <v>2789902525</v>
      </c>
      <c r="AE2798" s="13">
        <f>$E2798+24</f>
        <v>138</v>
      </c>
      <c r="AF2798" s="14">
        <f>IF($J2798=0,0,ROUND(MAX($J2798*1.4*1.5*1.6*1.6*2.2*2.715*2.6*1.4*1.4*1.5*1.5,18900000000*(1.65331^(MIN($E2798,123)-117)))*1,0))</f>
        <v>4182143461</v>
      </c>
      <c r="AG2798" s="11">
        <f>$E2798+27</f>
        <v>141</v>
      </c>
      <c r="AH2798" s="12">
        <f>IF($J2798=0,0,ROUND(MAX($J2798*1.4*1.5*1.6*1.6*2.2*2.715*2.6*1.4*1.4*1.5*1.5*3.2,60500000000*(1.654288^(MIN($E2798,123)-117)))*1,0))</f>
        <v>13363555336</v>
      </c>
    </row>
    <row r="2799" ht="28" customHeight="1" spans="1:34" x14ac:dyDescent="0.25">
      <c r="A2799">
        <v>2809</v>
      </c>
      <c r="B2799" t="s">
        <v>841</v>
      </c>
      <c r="C2799" s="10" t="s">
        <v>1593</v>
      </c>
      <c r="D2799" t="s">
        <v>90</v>
      </c>
      <c r="E2799">
        <v>114</v>
      </c>
      <c r="F2799" t="s">
        <v>42</v>
      </c>
      <c r="G2799" t="s">
        <v>402</v>
      </c>
      <c r="H2799">
        <v>27</v>
      </c>
      <c r="I2799" s="11">
        <f>$E2799+0</f>
        <v>114</v>
      </c>
      <c r="J2799" s="12">
        <v>420000</v>
      </c>
      <c r="K2799" s="13">
        <f>$E2799+1</f>
        <v>115</v>
      </c>
      <c r="L2799" s="14">
        <f>IF($J2799=0,0,ROUND(MAX($J2799*1.4,1620000*(1.497923^(MIN($E2799,123)-117)))*1,0))</f>
        <v>588000</v>
      </c>
      <c r="M2799" s="11">
        <f>$E2799+2</f>
        <v>116</v>
      </c>
      <c r="N2799" s="12">
        <f>IF($J2799=0,0,ROUND(MAX($J2799*1.4*1.5,2190000*(1.580994^(MIN($E2799,123)-117)))*1,0))</f>
        <v>882000</v>
      </c>
      <c r="O2799" s="13">
        <f>$E2799+4</f>
        <v>118</v>
      </c>
      <c r="P2799" s="14">
        <f>IF($J2799=0,0,ROUND(MAX($J2799*1.4*1.5*1.6,3500000*(1.57975^(MIN($E2799,123)-117)))*1,0))</f>
        <v>1411200</v>
      </c>
      <c r="Q2799" s="11">
        <f>$E2799+6</f>
        <v>120</v>
      </c>
      <c r="R2799" s="12">
        <f>IF($J2799=0,0,ROUND(MAX($J2799*1.4*1.5*1.6*1.6,13100000*(1.429962^(MIN($E2799,123)-117)))*1,0))</f>
        <v>4480204</v>
      </c>
      <c r="S2799" s="13">
        <f>$E2799+8</f>
        <v>122</v>
      </c>
      <c r="T2799" s="14">
        <f>IF($J2799=0,0,ROUND(MAX($J2799*1.4*1.5*1.6*1.6*2.2,42600000*(1.576904^(MIN($E2799,123)-117)))*1,0))</f>
        <v>10864102</v>
      </c>
      <c r="U2799" s="11">
        <f>$E2799+11</f>
        <v>125</v>
      </c>
      <c r="V2799" s="12">
        <f>IF($J2799=0,0,ROUND(MAX($J2799*1.4*1.5*1.6*1.6*2.2*2.715,354000000*(1.642074^(MIN($E2799,123)-117)))*1,0))</f>
        <v>79951219</v>
      </c>
      <c r="W2799" s="13">
        <f>$E2799+15</f>
        <v>129</v>
      </c>
      <c r="X2799" s="14">
        <f>IF($J2799=0,0,ROUND(MAX($J2799*1.4*1.5*1.6*1.6*2.2*2.715*2.6,3540000000*(1.579646^(MIN($E2799,123)-117)))*1,0))</f>
        <v>898098448</v>
      </c>
      <c r="Y2799" s="11">
        <f>$E2799+17</f>
        <v>131</v>
      </c>
      <c r="Z2799" s="12">
        <f>IF($J2799=0,0,ROUND(MAX($J2799*1.4*1.5*1.6*1.6*2.2*2.715*2.6*1.4,6020000000*(1.651178^(MIN($E2799,123)-117)))*1,0))</f>
        <v>1337256787</v>
      </c>
      <c r="AA2799" s="13">
        <f>$E2799+19</f>
        <v>133</v>
      </c>
      <c r="AB2799" s="14">
        <f>IF($J2799=0,0,ROUND(MAX($J2799*1.4*1.5*1.6*1.6*2.2*2.715*2.6*1.4*1.4,8430000000*(1.651435^(MIN($E2799,123)-117)))*1,0))</f>
        <v>1871729653</v>
      </c>
      <c r="AC2799" s="11">
        <f>$E2799+21</f>
        <v>135</v>
      </c>
      <c r="AD2799" s="12">
        <f>IF($J2799=0,0,ROUND(MAX($J2799*1.4*1.5*1.6*1.6*2.2*2.715*2.6*1.4*1.4*1.5,12600000000*(1.652953^(MIN($E2799,123)-117)))*1,0))</f>
        <v>2789902525</v>
      </c>
      <c r="AE2799" s="13">
        <f>$E2799+24</f>
        <v>138</v>
      </c>
      <c r="AF2799" s="14">
        <f>IF($J2799=0,0,ROUND(MAX($J2799*1.4*1.5*1.6*1.6*2.2*2.715*2.6*1.4*1.4*1.5*1.5,18900000000*(1.65331^(MIN($E2799,123)-117)))*1,0))</f>
        <v>4182143461</v>
      </c>
      <c r="AG2799" s="11">
        <f>$E2799+27</f>
        <v>141</v>
      </c>
      <c r="AH2799" s="12">
        <f>IF($J2799=0,0,ROUND(MAX($J2799*1.4*1.5*1.6*1.6*2.2*2.715*2.6*1.4*1.4*1.5*1.5*3.2,60500000000*(1.654288^(MIN($E2799,123)-117)))*1,0))</f>
        <v>13363555336</v>
      </c>
    </row>
    <row r="2800" ht="28" customHeight="1" spans="1:34" x14ac:dyDescent="0.25">
      <c r="A2800">
        <v>2810</v>
      </c>
      <c r="B2800" t="s">
        <v>740</v>
      </c>
      <c r="C2800" s="10" t="s">
        <v>1593</v>
      </c>
      <c r="D2800" t="s">
        <v>102</v>
      </c>
      <c r="E2800">
        <v>114</v>
      </c>
      <c r="F2800" t="s">
        <v>62</v>
      </c>
      <c r="G2800" t="s">
        <v>95</v>
      </c>
      <c r="H2800">
        <v>27</v>
      </c>
      <c r="I2800" s="11">
        <f>$E2800+0</f>
        <v>114</v>
      </c>
      <c r="J2800" s="12">
        <v>42800000</v>
      </c>
      <c r="K2800" s="13">
        <f>$E2800+1</f>
        <v>115</v>
      </c>
      <c r="L2800" s="14">
        <f>IF($J2800=0,0,ROUND(MAX($J2800*1.4,1620000*(1.497923^(MIN($E2800,123)-117)))*1,0))</f>
        <v>59920000</v>
      </c>
      <c r="M2800" s="11">
        <f>$E2800+2</f>
        <v>116</v>
      </c>
      <c r="N2800" s="12">
        <f>IF($J2800=0,0,ROUND(MAX($J2800*1.4*1.5,2190000*(1.580994^(MIN($E2800,123)-117)))*1,0))</f>
        <v>89880000</v>
      </c>
      <c r="O2800" s="13">
        <f>$E2800+4</f>
        <v>118</v>
      </c>
      <c r="P2800" s="14">
        <f>IF($J2800=0,0,ROUND(MAX($J2800*1.4*1.5*1.6,3500000*(1.57975^(MIN($E2800,123)-117)))*1,0))</f>
        <v>143808000</v>
      </c>
      <c r="Q2800" s="11">
        <f>$E2800+6</f>
        <v>120</v>
      </c>
      <c r="R2800" s="12">
        <f>IF($J2800=0,0,ROUND(MAX($J2800*1.4*1.5*1.6*1.6,13100000*(1.429962^(MIN($E2800,123)-117)))*1,0))</f>
        <v>230092800</v>
      </c>
      <c r="S2800" s="13">
        <f>$E2800+8</f>
        <v>122</v>
      </c>
      <c r="T2800" s="14">
        <f>IF($J2800=0,0,ROUND(MAX($J2800*1.4*1.5*1.6*1.6*2.2,42600000*(1.576904^(MIN($E2800,123)-117)))*1,0))</f>
        <v>506204160</v>
      </c>
      <c r="U2800" s="11">
        <f>$E2800+11</f>
        <v>125</v>
      </c>
      <c r="V2800" s="12">
        <f>IF($J2800=0,0,ROUND(MAX($J2800*1.4*1.5*1.6*1.6*2.2*2.715,354000000*(1.642074^(MIN($E2800,123)-117)))*1,0))</f>
        <v>1374344294</v>
      </c>
      <c r="W2800" s="13">
        <f>$E2800+15</f>
        <v>129</v>
      </c>
      <c r="X2800" s="14">
        <f>IF($J2800=0,0,ROUND(MAX($J2800*1.4*1.5*1.6*1.6*2.2*2.715*2.6,3540000000*(1.579646^(MIN($E2800,123)-117)))*1,0))</f>
        <v>3573295165</v>
      </c>
      <c r="Y2800" s="11">
        <f>$E2800+17</f>
        <v>131</v>
      </c>
      <c r="Z2800" s="12">
        <f>IF($J2800=0,0,ROUND(MAX($J2800*1.4*1.5*1.6*1.6*2.2*2.715*2.6*1.4,6020000000*(1.651178^(MIN($E2800,123)-117)))*1,0))</f>
        <v>5002613232</v>
      </c>
      <c r="AA2800" s="13">
        <f>$E2800+19</f>
        <v>133</v>
      </c>
      <c r="AB2800" s="14">
        <f>IF($J2800=0,0,ROUND(MAX($J2800*1.4*1.5*1.6*1.6*2.2*2.715*2.6*1.4*1.4,8430000000*(1.651435^(MIN($E2800,123)-117)))*1,0))</f>
        <v>7003658524</v>
      </c>
      <c r="AC2800" s="11">
        <f>$E2800+21</f>
        <v>135</v>
      </c>
      <c r="AD2800" s="12">
        <f>IF($J2800=0,0,ROUND(MAX($J2800*1.4*1.5*1.6*1.6*2.2*2.715*2.6*1.4*1.4*1.5,12600000000*(1.652953^(MIN($E2800,123)-117)))*1,0))</f>
        <v>10505487786</v>
      </c>
      <c r="AE2800" s="13">
        <f>$E2800+24</f>
        <v>138</v>
      </c>
      <c r="AF2800" s="14">
        <f>IF($J2800=0,0,ROUND(MAX($J2800*1.4*1.5*1.6*1.6*2.2*2.715*2.6*1.4*1.4*1.5*1.5,18900000000*(1.65331^(MIN($E2800,123)-117)))*1,0))</f>
        <v>15758231680</v>
      </c>
      <c r="AG2800" s="11">
        <f>$E2800+27</f>
        <v>141</v>
      </c>
      <c r="AH2800" s="12">
        <f>IF($J2800=0,0,ROUND(MAX($J2800*1.4*1.5*1.6*1.6*2.2*2.715*2.6*1.4*1.4*1.5*1.5*3.2,60500000000*(1.654288^(MIN($E2800,123)-117)))*1,0))</f>
        <v>50426341375</v>
      </c>
    </row>
    <row r="2801" ht="28" customHeight="1" spans="1:34" x14ac:dyDescent="0.25">
      <c r="A2801">
        <v>2811</v>
      </c>
      <c r="B2801" t="s">
        <v>294</v>
      </c>
      <c r="C2801" s="10" t="s">
        <v>1593</v>
      </c>
      <c r="D2801" t="s">
        <v>64</v>
      </c>
      <c r="E2801">
        <v>114</v>
      </c>
      <c r="F2801" t="s">
        <v>54</v>
      </c>
      <c r="G2801" t="s">
        <v>295</v>
      </c>
      <c r="H2801">
        <v>27</v>
      </c>
      <c r="I2801" s="11">
        <f>$E2801+0</f>
        <v>114</v>
      </c>
      <c r="J2801" s="12">
        <v>379000</v>
      </c>
      <c r="K2801" s="13">
        <f>$E2801+1</f>
        <v>115</v>
      </c>
      <c r="L2801" s="14">
        <f>IF($J2801=0,0,ROUND(MAX($J2801*1.4,1620000*(1.497923^(MIN($E2801,123)-117)))*1,0))</f>
        <v>530600</v>
      </c>
      <c r="M2801" s="11">
        <f>$E2801+2</f>
        <v>116</v>
      </c>
      <c r="N2801" s="12">
        <f>IF($J2801=0,0,ROUND(MAX($J2801*1.4*1.5,2190000*(1.580994^(MIN($E2801,123)-117)))*1,0))</f>
        <v>795900</v>
      </c>
      <c r="O2801" s="13">
        <f>$E2801+4</f>
        <v>118</v>
      </c>
      <c r="P2801" s="14">
        <f>IF($J2801=0,0,ROUND(MAX($J2801*1.4*1.5*1.6,3500000*(1.57975^(MIN($E2801,123)-117)))*1,0))</f>
        <v>1273440</v>
      </c>
      <c r="Q2801" s="11">
        <f>$E2801+6</f>
        <v>120</v>
      </c>
      <c r="R2801" s="12">
        <f>IF($J2801=0,0,ROUND(MAX($J2801*1.4*1.5*1.6*1.6,13100000*(1.429962^(MIN($E2801,123)-117)))*1,0))</f>
        <v>4480204</v>
      </c>
      <c r="S2801" s="13">
        <f>$E2801+8</f>
        <v>122</v>
      </c>
      <c r="T2801" s="14">
        <f>IF($J2801=0,0,ROUND(MAX($J2801*1.4*1.5*1.6*1.6*2.2,42600000*(1.576904^(MIN($E2801,123)-117)))*1,0))</f>
        <v>10864102</v>
      </c>
      <c r="U2801" s="11">
        <f>$E2801+11</f>
        <v>125</v>
      </c>
      <c r="V2801" s="12">
        <f>IF($J2801=0,0,ROUND(MAX($J2801*1.4*1.5*1.6*1.6*2.2*2.715,354000000*(1.642074^(MIN($E2801,123)-117)))*1,0))</f>
        <v>79951219</v>
      </c>
      <c r="W2801" s="13">
        <f>$E2801+15</f>
        <v>129</v>
      </c>
      <c r="X2801" s="14">
        <f>IF($J2801=0,0,ROUND(MAX($J2801*1.4*1.5*1.6*1.6*2.2*2.715*2.6,3540000000*(1.579646^(MIN($E2801,123)-117)))*1,0))</f>
        <v>898098448</v>
      </c>
      <c r="Y2801" s="11">
        <f>$E2801+17</f>
        <v>131</v>
      </c>
      <c r="Z2801" s="12">
        <f>IF($J2801=0,0,ROUND(MAX($J2801*1.4*1.5*1.6*1.6*2.2*2.715*2.6*1.4,6020000000*(1.651178^(MIN($E2801,123)-117)))*1,0))</f>
        <v>1337256787</v>
      </c>
      <c r="AA2801" s="13">
        <f>$E2801+19</f>
        <v>133</v>
      </c>
      <c r="AB2801" s="14">
        <f>IF($J2801=0,0,ROUND(MAX($J2801*1.4*1.5*1.6*1.6*2.2*2.715*2.6*1.4*1.4,8430000000*(1.651435^(MIN($E2801,123)-117)))*1,0))</f>
        <v>1871729653</v>
      </c>
      <c r="AC2801" s="11">
        <f>$E2801+21</f>
        <v>135</v>
      </c>
      <c r="AD2801" s="12">
        <f>IF($J2801=0,0,ROUND(MAX($J2801*1.4*1.5*1.6*1.6*2.2*2.715*2.6*1.4*1.4*1.5,12600000000*(1.652953^(MIN($E2801,123)-117)))*1,0))</f>
        <v>2789902525</v>
      </c>
      <c r="AE2801" s="13">
        <f>$E2801+24</f>
        <v>138</v>
      </c>
      <c r="AF2801" s="14">
        <f>IF($J2801=0,0,ROUND(MAX($J2801*1.4*1.5*1.6*1.6*2.2*2.715*2.6*1.4*1.4*1.5*1.5,18900000000*(1.65331^(MIN($E2801,123)-117)))*1,0))</f>
        <v>4182143461</v>
      </c>
      <c r="AG2801" s="11">
        <f>$E2801+27</f>
        <v>141</v>
      </c>
      <c r="AH2801" s="12">
        <f>IF($J2801=0,0,ROUND(MAX($J2801*1.4*1.5*1.6*1.6*2.2*2.715*2.6*1.4*1.4*1.5*1.5*3.2,60500000000*(1.654288^(MIN($E2801,123)-117)))*1,0))</f>
        <v>13363555336</v>
      </c>
    </row>
    <row r="2802" ht="28" customHeight="1" spans="1:34" x14ac:dyDescent="0.25">
      <c r="A2802">
        <v>2812</v>
      </c>
      <c r="B2802" t="s">
        <v>1006</v>
      </c>
      <c r="C2802" s="10" t="s">
        <v>1593</v>
      </c>
      <c r="D2802" t="s">
        <v>90</v>
      </c>
      <c r="E2802">
        <v>114</v>
      </c>
      <c r="F2802" t="s">
        <v>56</v>
      </c>
      <c r="G2802" t="s">
        <v>1007</v>
      </c>
      <c r="H2802">
        <v>27</v>
      </c>
      <c r="I2802" s="11">
        <f>$E2802+0</f>
        <v>114</v>
      </c>
      <c r="J2802" s="12">
        <v>535000</v>
      </c>
      <c r="K2802" s="13">
        <f>$E2802+1</f>
        <v>115</v>
      </c>
      <c r="L2802" s="14">
        <f>IF($J2802=0,0,ROUND(MAX($J2802*1.4,1620000*(1.497923^(MIN($E2802,123)-117)))*1,0))</f>
        <v>749000</v>
      </c>
      <c r="M2802" s="11">
        <f>$E2802+2</f>
        <v>116</v>
      </c>
      <c r="N2802" s="12">
        <f>IF($J2802=0,0,ROUND(MAX($J2802*1.4*1.5,2190000*(1.580994^(MIN($E2802,123)-117)))*1,0))</f>
        <v>1123500</v>
      </c>
      <c r="O2802" s="13">
        <f>$E2802+4</f>
        <v>118</v>
      </c>
      <c r="P2802" s="14">
        <f>IF($J2802=0,0,ROUND(MAX($J2802*1.4*1.5*1.6,3500000*(1.57975^(MIN($E2802,123)-117)))*1,0))</f>
        <v>1797600</v>
      </c>
      <c r="Q2802" s="11">
        <f>$E2802+6</f>
        <v>120</v>
      </c>
      <c r="R2802" s="12">
        <f>IF($J2802=0,0,ROUND(MAX($J2802*1.4*1.5*1.6*1.6,13100000*(1.429962^(MIN($E2802,123)-117)))*1,0))</f>
        <v>4480204</v>
      </c>
      <c r="S2802" s="13">
        <f>$E2802+8</f>
        <v>122</v>
      </c>
      <c r="T2802" s="14">
        <f>IF($J2802=0,0,ROUND(MAX($J2802*1.4*1.5*1.6*1.6*2.2,42600000*(1.576904^(MIN($E2802,123)-117)))*1,0))</f>
        <v>10864102</v>
      </c>
      <c r="U2802" s="11">
        <f>$E2802+11</f>
        <v>125</v>
      </c>
      <c r="V2802" s="12">
        <f>IF($J2802=0,0,ROUND(MAX($J2802*1.4*1.5*1.6*1.6*2.2*2.715,354000000*(1.642074^(MIN($E2802,123)-117)))*1,0))</f>
        <v>79951219</v>
      </c>
      <c r="W2802" s="13">
        <f>$E2802+15</f>
        <v>129</v>
      </c>
      <c r="X2802" s="14">
        <f>IF($J2802=0,0,ROUND(MAX($J2802*1.4*1.5*1.6*1.6*2.2*2.715*2.6,3540000000*(1.579646^(MIN($E2802,123)-117)))*1,0))</f>
        <v>898098448</v>
      </c>
      <c r="Y2802" s="11">
        <f>$E2802+17</f>
        <v>131</v>
      </c>
      <c r="Z2802" s="12">
        <f>IF($J2802=0,0,ROUND(MAX($J2802*1.4*1.5*1.6*1.6*2.2*2.715*2.6*1.4,6020000000*(1.651178^(MIN($E2802,123)-117)))*1,0))</f>
        <v>1337256787</v>
      </c>
      <c r="AA2802" s="13">
        <f>$E2802+19</f>
        <v>133</v>
      </c>
      <c r="AB2802" s="14">
        <f>IF($J2802=0,0,ROUND(MAX($J2802*1.4*1.5*1.6*1.6*2.2*2.715*2.6*1.4*1.4,8430000000*(1.651435^(MIN($E2802,123)-117)))*1,0))</f>
        <v>1871729653</v>
      </c>
      <c r="AC2802" s="11">
        <f>$E2802+21</f>
        <v>135</v>
      </c>
      <c r="AD2802" s="12">
        <f>IF($J2802=0,0,ROUND(MAX($J2802*1.4*1.5*1.6*1.6*2.2*2.715*2.6*1.4*1.4*1.5,12600000000*(1.652953^(MIN($E2802,123)-117)))*1,0))</f>
        <v>2789902525</v>
      </c>
      <c r="AE2802" s="13">
        <f>$E2802+24</f>
        <v>138</v>
      </c>
      <c r="AF2802" s="14">
        <f>IF($J2802=0,0,ROUND(MAX($J2802*1.4*1.5*1.6*1.6*2.2*2.715*2.6*1.4*1.4*1.5*1.5,18900000000*(1.65331^(MIN($E2802,123)-117)))*1,0))</f>
        <v>4182143461</v>
      </c>
      <c r="AG2802" s="11">
        <f>$E2802+27</f>
        <v>141</v>
      </c>
      <c r="AH2802" s="12">
        <f>IF($J2802=0,0,ROUND(MAX($J2802*1.4*1.5*1.6*1.6*2.2*2.715*2.6*1.4*1.4*1.5*1.5*3.2,60500000000*(1.654288^(MIN($E2802,123)-117)))*1,0))</f>
        <v>13363555336</v>
      </c>
    </row>
    <row r="2803" ht="28" customHeight="1" spans="1:34" x14ac:dyDescent="0.25">
      <c r="A2803">
        <v>2813</v>
      </c>
      <c r="B2803" t="s">
        <v>645</v>
      </c>
      <c r="C2803" s="10" t="s">
        <v>1593</v>
      </c>
      <c r="D2803" t="s">
        <v>79</v>
      </c>
      <c r="E2803">
        <v>114</v>
      </c>
      <c r="F2803" t="s">
        <v>383</v>
      </c>
      <c r="G2803" t="s">
        <v>562</v>
      </c>
      <c r="H2803">
        <v>27</v>
      </c>
      <c r="I2803" s="11">
        <f>$E2803+0</f>
        <v>114</v>
      </c>
      <c r="J2803" s="12">
        <v>394000</v>
      </c>
      <c r="K2803" s="13">
        <f>$E2803+1</f>
        <v>115</v>
      </c>
      <c r="L2803" s="14">
        <f>IF($J2803=0,0,ROUND(MAX($J2803*1.4,1620000*(1.497923^(MIN($E2803,123)-117)))*1,0))</f>
        <v>551600</v>
      </c>
      <c r="M2803" s="11">
        <f>$E2803+2</f>
        <v>116</v>
      </c>
      <c r="N2803" s="12">
        <f>IF($J2803=0,0,ROUND(MAX($J2803*1.4*1.5,2190000*(1.580994^(MIN($E2803,123)-117)))*1,0))</f>
        <v>827400</v>
      </c>
      <c r="O2803" s="13">
        <f>$E2803+4</f>
        <v>118</v>
      </c>
      <c r="P2803" s="14">
        <f>IF($J2803=0,0,ROUND(MAX($J2803*1.4*1.5*1.6,3500000*(1.57975^(MIN($E2803,123)-117)))*1,0))</f>
        <v>1323840</v>
      </c>
      <c r="Q2803" s="11">
        <f>$E2803+6</f>
        <v>120</v>
      </c>
      <c r="R2803" s="12">
        <f>IF($J2803=0,0,ROUND(MAX($J2803*1.4*1.5*1.6*1.6,13100000*(1.429962^(MIN($E2803,123)-117)))*1,0))</f>
        <v>4480204</v>
      </c>
      <c r="S2803" s="13">
        <f>$E2803+8</f>
        <v>122</v>
      </c>
      <c r="T2803" s="14">
        <f>IF($J2803=0,0,ROUND(MAX($J2803*1.4*1.5*1.6*1.6*2.2,42600000*(1.576904^(MIN($E2803,123)-117)))*1,0))</f>
        <v>10864102</v>
      </c>
      <c r="U2803" s="11">
        <f>$E2803+11</f>
        <v>125</v>
      </c>
      <c r="V2803" s="12">
        <f>IF($J2803=0,0,ROUND(MAX($J2803*1.4*1.5*1.6*1.6*2.2*2.715,354000000*(1.642074^(MIN($E2803,123)-117)))*1,0))</f>
        <v>79951219</v>
      </c>
      <c r="W2803" s="13">
        <f>$E2803+15</f>
        <v>129</v>
      </c>
      <c r="X2803" s="14">
        <f>IF($J2803=0,0,ROUND(MAX($J2803*1.4*1.5*1.6*1.6*2.2*2.715*2.6,3540000000*(1.579646^(MIN($E2803,123)-117)))*1,0))</f>
        <v>898098448</v>
      </c>
      <c r="Y2803" s="11">
        <f>$E2803+17</f>
        <v>131</v>
      </c>
      <c r="Z2803" s="12">
        <f>IF($J2803=0,0,ROUND(MAX($J2803*1.4*1.5*1.6*1.6*2.2*2.715*2.6*1.4,6020000000*(1.651178^(MIN($E2803,123)-117)))*1,0))</f>
        <v>1337256787</v>
      </c>
      <c r="AA2803" s="13">
        <f>$E2803+19</f>
        <v>133</v>
      </c>
      <c r="AB2803" s="14">
        <f>IF($J2803=0,0,ROUND(MAX($J2803*1.4*1.5*1.6*1.6*2.2*2.715*2.6*1.4*1.4,8430000000*(1.651435^(MIN($E2803,123)-117)))*1,0))</f>
        <v>1871729653</v>
      </c>
      <c r="AC2803" s="11">
        <f>$E2803+21</f>
        <v>135</v>
      </c>
      <c r="AD2803" s="12">
        <f>IF($J2803=0,0,ROUND(MAX($J2803*1.4*1.5*1.6*1.6*2.2*2.715*2.6*1.4*1.4*1.5,12600000000*(1.652953^(MIN($E2803,123)-117)))*1,0))</f>
        <v>2789902525</v>
      </c>
      <c r="AE2803" s="13">
        <f>$E2803+24</f>
        <v>138</v>
      </c>
      <c r="AF2803" s="14">
        <f>IF($J2803=0,0,ROUND(MAX($J2803*1.4*1.5*1.6*1.6*2.2*2.715*2.6*1.4*1.4*1.5*1.5,18900000000*(1.65331^(MIN($E2803,123)-117)))*1,0))</f>
        <v>4182143461</v>
      </c>
      <c r="AG2803" s="11">
        <f>$E2803+27</f>
        <v>141</v>
      </c>
      <c r="AH2803" s="12">
        <f>IF($J2803=0,0,ROUND(MAX($J2803*1.4*1.5*1.6*1.6*2.2*2.715*2.6*1.4*1.4*1.5*1.5*3.2,60500000000*(1.654288^(MIN($E2803,123)-117)))*1,0))</f>
        <v>13363555336</v>
      </c>
    </row>
    <row r="2804" ht="28" customHeight="1" spans="1:34" x14ac:dyDescent="0.25">
      <c r="A2804">
        <v>2814</v>
      </c>
      <c r="B2804" t="s">
        <v>875</v>
      </c>
      <c r="C2804" s="10" t="s">
        <v>1593</v>
      </c>
      <c r="D2804" t="s">
        <v>241</v>
      </c>
      <c r="E2804">
        <v>114</v>
      </c>
      <c r="F2804" t="s">
        <v>56</v>
      </c>
      <c r="G2804" t="s">
        <v>1619</v>
      </c>
      <c r="H2804">
        <v>27</v>
      </c>
      <c r="I2804" s="11">
        <f>$E2804+0</f>
        <v>114</v>
      </c>
      <c r="J2804" s="12">
        <v>806000</v>
      </c>
      <c r="K2804" s="13">
        <f>$E2804+1</f>
        <v>115</v>
      </c>
      <c r="L2804" s="14">
        <f>IF($J2804=0,0,ROUND(MAX($J2804*1.4,1620000*(1.497923^(MIN($E2804,123)-117)))*1,0))</f>
        <v>1128400</v>
      </c>
      <c r="M2804" s="11">
        <f>$E2804+2</f>
        <v>116</v>
      </c>
      <c r="N2804" s="12">
        <f>IF($J2804=0,0,ROUND(MAX($J2804*1.4*1.5,2190000*(1.580994^(MIN($E2804,123)-117)))*1,0))</f>
        <v>1692600</v>
      </c>
      <c r="O2804" s="13">
        <f>$E2804+4</f>
        <v>118</v>
      </c>
      <c r="P2804" s="14">
        <f>IF($J2804=0,0,ROUND(MAX($J2804*1.4*1.5*1.6,3500000*(1.57975^(MIN($E2804,123)-117)))*1,0))</f>
        <v>2708160</v>
      </c>
      <c r="Q2804" s="11">
        <f>$E2804+6</f>
        <v>120</v>
      </c>
      <c r="R2804" s="12">
        <f>IF($J2804=0,0,ROUND(MAX($J2804*1.4*1.5*1.6*1.6,13100000*(1.429962^(MIN($E2804,123)-117)))*1,0))</f>
        <v>4480204</v>
      </c>
      <c r="S2804" s="13">
        <f>$E2804+8</f>
        <v>122</v>
      </c>
      <c r="T2804" s="14">
        <f>IF($J2804=0,0,ROUND(MAX($J2804*1.4*1.5*1.6*1.6*2.2,42600000*(1.576904^(MIN($E2804,123)-117)))*1,0))</f>
        <v>10864102</v>
      </c>
      <c r="U2804" s="11">
        <f>$E2804+11</f>
        <v>125</v>
      </c>
      <c r="V2804" s="12">
        <f>IF($J2804=0,0,ROUND(MAX($J2804*1.4*1.5*1.6*1.6*2.2*2.715,354000000*(1.642074^(MIN($E2804,123)-117)))*1,0))</f>
        <v>79951219</v>
      </c>
      <c r="W2804" s="13">
        <f>$E2804+15</f>
        <v>129</v>
      </c>
      <c r="X2804" s="14">
        <f>IF($J2804=0,0,ROUND(MAX($J2804*1.4*1.5*1.6*1.6*2.2*2.715*2.6,3540000000*(1.579646^(MIN($E2804,123)-117)))*1,0))</f>
        <v>898098448</v>
      </c>
      <c r="Y2804" s="11">
        <f>$E2804+17</f>
        <v>131</v>
      </c>
      <c r="Z2804" s="12">
        <f>IF($J2804=0,0,ROUND(MAX($J2804*1.4*1.5*1.6*1.6*2.2*2.715*2.6*1.4,6020000000*(1.651178^(MIN($E2804,123)-117)))*1,0))</f>
        <v>1337256787</v>
      </c>
      <c r="AA2804" s="13">
        <f>$E2804+19</f>
        <v>133</v>
      </c>
      <c r="AB2804" s="14">
        <f>IF($J2804=0,0,ROUND(MAX($J2804*1.4*1.5*1.6*1.6*2.2*2.715*2.6*1.4*1.4,8430000000*(1.651435^(MIN($E2804,123)-117)))*1,0))</f>
        <v>1871729653</v>
      </c>
      <c r="AC2804" s="11">
        <f>$E2804+21</f>
        <v>135</v>
      </c>
      <c r="AD2804" s="12">
        <f>IF($J2804=0,0,ROUND(MAX($J2804*1.4*1.5*1.6*1.6*2.2*2.715*2.6*1.4*1.4*1.5,12600000000*(1.652953^(MIN($E2804,123)-117)))*1,0))</f>
        <v>2789902525</v>
      </c>
      <c r="AE2804" s="13">
        <f>$E2804+24</f>
        <v>138</v>
      </c>
      <c r="AF2804" s="14">
        <f>IF($J2804=0,0,ROUND(MAX($J2804*1.4*1.5*1.6*1.6*2.2*2.715*2.6*1.4*1.4*1.5*1.5,18900000000*(1.65331^(MIN($E2804,123)-117)))*1,0))</f>
        <v>4182143461</v>
      </c>
      <c r="AG2804" s="11">
        <f>$E2804+27</f>
        <v>141</v>
      </c>
      <c r="AH2804" s="12">
        <f>IF($J2804=0,0,ROUND(MAX($J2804*1.4*1.5*1.6*1.6*2.2*2.715*2.6*1.4*1.4*1.5*1.5*3.2,60500000000*(1.654288^(MIN($E2804,123)-117)))*1,0))</f>
        <v>13363555336</v>
      </c>
    </row>
    <row r="2805" ht="28" customHeight="1" spans="1:34" x14ac:dyDescent="0.25">
      <c r="A2805">
        <v>2815</v>
      </c>
      <c r="B2805" t="s">
        <v>623</v>
      </c>
      <c r="C2805" s="10" t="s">
        <v>1593</v>
      </c>
      <c r="D2805" t="s">
        <v>102</v>
      </c>
      <c r="E2805">
        <v>114</v>
      </c>
      <c r="F2805" t="s">
        <v>56</v>
      </c>
      <c r="G2805" t="s">
        <v>562</v>
      </c>
      <c r="H2805">
        <v>27</v>
      </c>
      <c r="I2805" s="11">
        <f>$E2805+0</f>
        <v>114</v>
      </c>
      <c r="J2805" s="12">
        <v>483000</v>
      </c>
      <c r="K2805" s="13">
        <f>$E2805+1</f>
        <v>115</v>
      </c>
      <c r="L2805" s="14">
        <f>IF($J2805=0,0,ROUND(MAX($J2805*1.4,1620000*(1.497923^(MIN($E2805,123)-117)))*1,0))</f>
        <v>676200</v>
      </c>
      <c r="M2805" s="11">
        <f>$E2805+2</f>
        <v>116</v>
      </c>
      <c r="N2805" s="12">
        <f>IF($J2805=0,0,ROUND(MAX($J2805*1.4*1.5,2190000*(1.580994^(MIN($E2805,123)-117)))*1,0))</f>
        <v>1014300</v>
      </c>
      <c r="O2805" s="13">
        <f>$E2805+4</f>
        <v>118</v>
      </c>
      <c r="P2805" s="14">
        <f>IF($J2805=0,0,ROUND(MAX($J2805*1.4*1.5*1.6,3500000*(1.57975^(MIN($E2805,123)-117)))*1,0))</f>
        <v>1622880</v>
      </c>
      <c r="Q2805" s="11">
        <f>$E2805+6</f>
        <v>120</v>
      </c>
      <c r="R2805" s="12">
        <f>IF($J2805=0,0,ROUND(MAX($J2805*1.4*1.5*1.6*1.6,13100000*(1.429962^(MIN($E2805,123)-117)))*1,0))</f>
        <v>4480204</v>
      </c>
      <c r="S2805" s="13">
        <f>$E2805+8</f>
        <v>122</v>
      </c>
      <c r="T2805" s="14">
        <f>IF($J2805=0,0,ROUND(MAX($J2805*1.4*1.5*1.6*1.6*2.2,42600000*(1.576904^(MIN($E2805,123)-117)))*1,0))</f>
        <v>10864102</v>
      </c>
      <c r="U2805" s="11">
        <f>$E2805+11</f>
        <v>125</v>
      </c>
      <c r="V2805" s="12">
        <f>IF($J2805=0,0,ROUND(MAX($J2805*1.4*1.5*1.6*1.6*2.2*2.715,354000000*(1.642074^(MIN($E2805,123)-117)))*1,0))</f>
        <v>79951219</v>
      </c>
      <c r="W2805" s="13">
        <f>$E2805+15</f>
        <v>129</v>
      </c>
      <c r="X2805" s="14">
        <f>IF($J2805=0,0,ROUND(MAX($J2805*1.4*1.5*1.6*1.6*2.2*2.715*2.6,3540000000*(1.579646^(MIN($E2805,123)-117)))*1,0))</f>
        <v>898098448</v>
      </c>
      <c r="Y2805" s="11">
        <f>$E2805+17</f>
        <v>131</v>
      </c>
      <c r="Z2805" s="12">
        <f>IF($J2805=0,0,ROUND(MAX($J2805*1.4*1.5*1.6*1.6*2.2*2.715*2.6*1.4,6020000000*(1.651178^(MIN($E2805,123)-117)))*1,0))</f>
        <v>1337256787</v>
      </c>
      <c r="AA2805" s="13">
        <f>$E2805+19</f>
        <v>133</v>
      </c>
      <c r="AB2805" s="14">
        <f>IF($J2805=0,0,ROUND(MAX($J2805*1.4*1.5*1.6*1.6*2.2*2.715*2.6*1.4*1.4,8430000000*(1.651435^(MIN($E2805,123)-117)))*1,0))</f>
        <v>1871729653</v>
      </c>
      <c r="AC2805" s="11">
        <f>$E2805+21</f>
        <v>135</v>
      </c>
      <c r="AD2805" s="12">
        <f>IF($J2805=0,0,ROUND(MAX($J2805*1.4*1.5*1.6*1.6*2.2*2.715*2.6*1.4*1.4*1.5,12600000000*(1.652953^(MIN($E2805,123)-117)))*1,0))</f>
        <v>2789902525</v>
      </c>
      <c r="AE2805" s="13">
        <f>$E2805+24</f>
        <v>138</v>
      </c>
      <c r="AF2805" s="14">
        <f>IF($J2805=0,0,ROUND(MAX($J2805*1.4*1.5*1.6*1.6*2.2*2.715*2.6*1.4*1.4*1.5*1.5,18900000000*(1.65331^(MIN($E2805,123)-117)))*1,0))</f>
        <v>4182143461</v>
      </c>
      <c r="AG2805" s="11">
        <f>$E2805+27</f>
        <v>141</v>
      </c>
      <c r="AH2805" s="12">
        <f>IF($J2805=0,0,ROUND(MAX($J2805*1.4*1.5*1.6*1.6*2.2*2.715*2.6*1.4*1.4*1.5*1.5*3.2,60500000000*(1.654288^(MIN($E2805,123)-117)))*1,0))</f>
        <v>13363555336</v>
      </c>
    </row>
    <row r="2806" ht="28" customHeight="1" spans="1:34" x14ac:dyDescent="0.25">
      <c r="A2806">
        <v>2816</v>
      </c>
      <c r="B2806" t="s">
        <v>1559</v>
      </c>
      <c r="C2806" s="10" t="s">
        <v>1593</v>
      </c>
      <c r="D2806" t="s">
        <v>33</v>
      </c>
      <c r="E2806">
        <v>114</v>
      </c>
      <c r="F2806" t="s">
        <v>385</v>
      </c>
      <c r="G2806" t="s">
        <v>95</v>
      </c>
      <c r="H2806">
        <v>26</v>
      </c>
      <c r="I2806" s="11">
        <f>$E2806+0</f>
        <v>114</v>
      </c>
      <c r="J2806" s="12">
        <v>526000</v>
      </c>
      <c r="K2806" s="13">
        <f>$E2806+1</f>
        <v>115</v>
      </c>
      <c r="L2806" s="14">
        <f>IF($J2806=0,0,ROUND(MAX($J2806*1.4,1620000*(1.497923^(MIN($E2806,123)-117)))*1,0))</f>
        <v>736400</v>
      </c>
      <c r="M2806" s="11">
        <f>$E2806+2</f>
        <v>116</v>
      </c>
      <c r="N2806" s="12">
        <f>IF($J2806=0,0,ROUND(MAX($J2806*1.4*1.5,2190000*(1.580994^(MIN($E2806,123)-117)))*1,0))</f>
        <v>1104600</v>
      </c>
      <c r="O2806" s="13">
        <f>$E2806+4</f>
        <v>118</v>
      </c>
      <c r="P2806" s="14">
        <f>IF($J2806=0,0,ROUND(MAX($J2806*1.4*1.5*1.6,3500000*(1.57975^(MIN($E2806,123)-117)))*1,0))</f>
        <v>1767360</v>
      </c>
      <c r="Q2806" s="11">
        <f>$E2806+6</f>
        <v>120</v>
      </c>
      <c r="R2806" s="12">
        <f>IF($J2806=0,0,ROUND(MAX($J2806*1.4*1.5*1.6*1.6,13100000*(1.429962^(MIN($E2806,123)-117)))*1,0))</f>
        <v>4480204</v>
      </c>
      <c r="S2806" s="13">
        <f>$E2806+8</f>
        <v>122</v>
      </c>
      <c r="T2806" s="14">
        <f>IF($J2806=0,0,ROUND(MAX($J2806*1.4*1.5*1.6*1.6*2.2,42600000*(1.576904^(MIN($E2806,123)-117)))*1,0))</f>
        <v>10864102</v>
      </c>
      <c r="U2806" s="11">
        <f>$E2806+11</f>
        <v>125</v>
      </c>
      <c r="V2806" s="12">
        <f>IF($J2806=0,0,ROUND(MAX($J2806*1.4*1.5*1.6*1.6*2.2*2.715,354000000*(1.642074^(MIN($E2806,123)-117)))*1,0))</f>
        <v>79951219</v>
      </c>
      <c r="W2806" s="13">
        <f>$E2806+15</f>
        <v>129</v>
      </c>
      <c r="X2806" s="14">
        <f>IF($J2806=0,0,ROUND(MAX($J2806*1.4*1.5*1.6*1.6*2.2*2.715*2.6,3540000000*(1.579646^(MIN($E2806,123)-117)))*1,0))</f>
        <v>898098448</v>
      </c>
      <c r="Y2806" s="11">
        <f>$E2806+17</f>
        <v>131</v>
      </c>
      <c r="Z2806" s="12">
        <f>IF($J2806=0,0,ROUND(MAX($J2806*1.4*1.5*1.6*1.6*2.2*2.715*2.6*1.4,6020000000*(1.651178^(MIN($E2806,123)-117)))*1,0))</f>
        <v>1337256787</v>
      </c>
      <c r="AA2806" s="13">
        <f>$E2806+19</f>
        <v>133</v>
      </c>
      <c r="AB2806" s="14">
        <f>IF($J2806=0,0,ROUND(MAX($J2806*1.4*1.5*1.6*1.6*2.2*2.715*2.6*1.4*1.4,8430000000*(1.651435^(MIN($E2806,123)-117)))*1,0))</f>
        <v>1871729653</v>
      </c>
      <c r="AC2806" s="11">
        <f>$E2806+21</f>
        <v>135</v>
      </c>
      <c r="AD2806" s="12">
        <f>IF($J2806=0,0,ROUND(MAX($J2806*1.4*1.5*1.6*1.6*2.2*2.715*2.6*1.4*1.4*1.5,12600000000*(1.652953^(MIN($E2806,123)-117)))*1,0))</f>
        <v>2789902525</v>
      </c>
      <c r="AE2806" s="13">
        <f>$E2806+24</f>
        <v>138</v>
      </c>
      <c r="AF2806" s="14">
        <f>IF($J2806=0,0,ROUND(MAX($J2806*1.4*1.5*1.6*1.6*2.2*2.715*2.6*1.4*1.4*1.5*1.5,18900000000*(1.65331^(MIN($E2806,123)-117)))*1,0))</f>
        <v>4182143461</v>
      </c>
      <c r="AG2806" s="11">
        <f>$E2806+27</f>
        <v>141</v>
      </c>
      <c r="AH2806" s="12">
        <f>IF($J2806=0,0,ROUND(MAX($J2806*1.4*1.5*1.6*1.6*2.2*2.715*2.6*1.4*1.4*1.5*1.5*3.2,60500000000*(1.654288^(MIN($E2806,123)-117)))*1,0))</f>
        <v>13363555336</v>
      </c>
    </row>
    <row r="2807" ht="28" customHeight="1" spans="1:34" x14ac:dyDescent="0.25">
      <c r="A2807">
        <v>2817</v>
      </c>
      <c r="B2807" t="s">
        <v>1345</v>
      </c>
      <c r="C2807" s="10" t="s">
        <v>1593</v>
      </c>
      <c r="D2807" t="s">
        <v>33</v>
      </c>
      <c r="E2807">
        <v>114</v>
      </c>
      <c r="F2807" t="s">
        <v>345</v>
      </c>
      <c r="G2807" t="s">
        <v>124</v>
      </c>
      <c r="H2807">
        <v>26</v>
      </c>
      <c r="I2807" s="11">
        <f>$E2807+0</f>
        <v>114</v>
      </c>
      <c r="J2807" s="12">
        <v>376000</v>
      </c>
      <c r="K2807" s="13">
        <f>$E2807+1</f>
        <v>115</v>
      </c>
      <c r="L2807" s="14">
        <f>IF($J2807=0,0,ROUND(MAX($J2807*1.4,1620000*(1.497923^(MIN($E2807,123)-117)))*1,0))</f>
        <v>526400</v>
      </c>
      <c r="M2807" s="11">
        <f>$E2807+2</f>
        <v>116</v>
      </c>
      <c r="N2807" s="12">
        <f>IF($J2807=0,0,ROUND(MAX($J2807*1.4*1.5,2190000*(1.580994^(MIN($E2807,123)-117)))*1,0))</f>
        <v>789600</v>
      </c>
      <c r="O2807" s="13">
        <f>$E2807+4</f>
        <v>118</v>
      </c>
      <c r="P2807" s="14">
        <f>IF($J2807=0,0,ROUND(MAX($J2807*1.4*1.5*1.6,3500000*(1.57975^(MIN($E2807,123)-117)))*1,0))</f>
        <v>1263360</v>
      </c>
      <c r="Q2807" s="11">
        <f>$E2807+6</f>
        <v>120</v>
      </c>
      <c r="R2807" s="12">
        <f>IF($J2807=0,0,ROUND(MAX($J2807*1.4*1.5*1.6*1.6,13100000*(1.429962^(MIN($E2807,123)-117)))*1,0))</f>
        <v>4480204</v>
      </c>
      <c r="S2807" s="13">
        <f>$E2807+8</f>
        <v>122</v>
      </c>
      <c r="T2807" s="14">
        <f>IF($J2807=0,0,ROUND(MAX($J2807*1.4*1.5*1.6*1.6*2.2,42600000*(1.576904^(MIN($E2807,123)-117)))*1,0))</f>
        <v>10864102</v>
      </c>
      <c r="U2807" s="11">
        <f>$E2807+11</f>
        <v>125</v>
      </c>
      <c r="V2807" s="12">
        <f>IF($J2807=0,0,ROUND(MAX($J2807*1.4*1.5*1.6*1.6*2.2*2.715,354000000*(1.642074^(MIN($E2807,123)-117)))*1,0))</f>
        <v>79951219</v>
      </c>
      <c r="W2807" s="13">
        <f>$E2807+15</f>
        <v>129</v>
      </c>
      <c r="X2807" s="14">
        <f>IF($J2807=0,0,ROUND(MAX($J2807*1.4*1.5*1.6*1.6*2.2*2.715*2.6,3540000000*(1.579646^(MIN($E2807,123)-117)))*1,0))</f>
        <v>898098448</v>
      </c>
      <c r="Y2807" s="11">
        <f>$E2807+17</f>
        <v>131</v>
      </c>
      <c r="Z2807" s="12">
        <f>IF($J2807=0,0,ROUND(MAX($J2807*1.4*1.5*1.6*1.6*2.2*2.715*2.6*1.4,6020000000*(1.651178^(MIN($E2807,123)-117)))*1,0))</f>
        <v>1337256787</v>
      </c>
      <c r="AA2807" s="13">
        <f>$E2807+19</f>
        <v>133</v>
      </c>
      <c r="AB2807" s="14">
        <f>IF($J2807=0,0,ROUND(MAX($J2807*1.4*1.5*1.6*1.6*2.2*2.715*2.6*1.4*1.4,8430000000*(1.651435^(MIN($E2807,123)-117)))*1,0))</f>
        <v>1871729653</v>
      </c>
      <c r="AC2807" s="11">
        <f>$E2807+21</f>
        <v>135</v>
      </c>
      <c r="AD2807" s="12">
        <f>IF($J2807=0,0,ROUND(MAX($J2807*1.4*1.5*1.6*1.6*2.2*2.715*2.6*1.4*1.4*1.5,12600000000*(1.652953^(MIN($E2807,123)-117)))*1,0))</f>
        <v>2789902525</v>
      </c>
      <c r="AE2807" s="13">
        <f>$E2807+24</f>
        <v>138</v>
      </c>
      <c r="AF2807" s="14">
        <f>IF($J2807=0,0,ROUND(MAX($J2807*1.4*1.5*1.6*1.6*2.2*2.715*2.6*1.4*1.4*1.5*1.5,18900000000*(1.65331^(MIN($E2807,123)-117)))*1,0))</f>
        <v>4182143461</v>
      </c>
      <c r="AG2807" s="11">
        <f>$E2807+27</f>
        <v>141</v>
      </c>
      <c r="AH2807" s="12">
        <f>IF($J2807=0,0,ROUND(MAX($J2807*1.4*1.5*1.6*1.6*2.2*2.715*2.6*1.4*1.4*1.5*1.5*3.2,60500000000*(1.654288^(MIN($E2807,123)-117)))*1,0))</f>
        <v>13363555336</v>
      </c>
    </row>
    <row r="2808" ht="28" customHeight="1" spans="1:34" x14ac:dyDescent="0.25">
      <c r="A2808">
        <v>2818</v>
      </c>
      <c r="B2808" t="s">
        <v>1620</v>
      </c>
      <c r="C2808" s="10" t="s">
        <v>1593</v>
      </c>
      <c r="D2808" t="s">
        <v>47</v>
      </c>
      <c r="E2808">
        <v>114</v>
      </c>
      <c r="F2808" t="s">
        <v>144</v>
      </c>
      <c r="G2808" t="s">
        <v>261</v>
      </c>
      <c r="H2808">
        <v>25</v>
      </c>
      <c r="I2808" s="11">
        <f>$E2808+0</f>
        <v>114</v>
      </c>
      <c r="J2808" s="12">
        <v>343000</v>
      </c>
      <c r="K2808" s="13">
        <f>$E2808+1</f>
        <v>115</v>
      </c>
      <c r="L2808" s="14">
        <f>IF($J2808=0,0,ROUND(MAX($J2808*1.4,1620000*(1.497923^(MIN($E2808,123)-117)))*1,0))</f>
        <v>481999</v>
      </c>
      <c r="M2808" s="11">
        <f>$E2808+2</f>
        <v>116</v>
      </c>
      <c r="N2808" s="12">
        <f>IF($J2808=0,0,ROUND(MAX($J2808*1.4*1.5,2190000*(1.580994^(MIN($E2808,123)-117)))*1,0))</f>
        <v>720300</v>
      </c>
      <c r="O2808" s="13">
        <f>$E2808+4</f>
        <v>118</v>
      </c>
      <c r="P2808" s="14">
        <f>IF($J2808=0,0,ROUND(MAX($J2808*1.4*1.5*1.6,3500000*(1.57975^(MIN($E2808,123)-117)))*1,0))</f>
        <v>1152480</v>
      </c>
      <c r="Q2808" s="11">
        <f>$E2808+6</f>
        <v>120</v>
      </c>
      <c r="R2808" s="12">
        <f>IF($J2808=0,0,ROUND(MAX($J2808*1.4*1.5*1.6*1.6,13100000*(1.429962^(MIN($E2808,123)-117)))*1,0))</f>
        <v>4480204</v>
      </c>
      <c r="S2808" s="13">
        <f>$E2808+8</f>
        <v>122</v>
      </c>
      <c r="T2808" s="14">
        <f>IF($J2808=0,0,ROUND(MAX($J2808*1.4*1.5*1.6*1.6*2.2,42600000*(1.576904^(MIN($E2808,123)-117)))*1,0))</f>
        <v>10864102</v>
      </c>
      <c r="U2808" s="11">
        <f>$E2808+11</f>
        <v>125</v>
      </c>
      <c r="V2808" s="12">
        <f>IF($J2808=0,0,ROUND(MAX($J2808*1.4*1.5*1.6*1.6*2.2*2.715,354000000*(1.642074^(MIN($E2808,123)-117)))*1,0))</f>
        <v>79951219</v>
      </c>
      <c r="W2808" s="13">
        <f>$E2808+15</f>
        <v>129</v>
      </c>
      <c r="X2808" s="14">
        <f>IF($J2808=0,0,ROUND(MAX($J2808*1.4*1.5*1.6*1.6*2.2*2.715*2.6,3540000000*(1.579646^(MIN($E2808,123)-117)))*1,0))</f>
        <v>898098448</v>
      </c>
      <c r="Y2808" s="11">
        <f>$E2808+17</f>
        <v>131</v>
      </c>
      <c r="Z2808" s="12">
        <f>IF($J2808=0,0,ROUND(MAX($J2808*1.4*1.5*1.6*1.6*2.2*2.715*2.6*1.4,6020000000*(1.651178^(MIN($E2808,123)-117)))*1,0))</f>
        <v>1337256787</v>
      </c>
      <c r="AA2808" s="13">
        <f>$E2808+19</f>
        <v>133</v>
      </c>
      <c r="AB2808" s="14">
        <f>IF($J2808=0,0,ROUND(MAX($J2808*1.4*1.5*1.6*1.6*2.2*2.715*2.6*1.4*1.4,8430000000*(1.651435^(MIN($E2808,123)-117)))*1,0))</f>
        <v>1871729653</v>
      </c>
      <c r="AC2808" s="11">
        <f>$E2808+21</f>
        <v>135</v>
      </c>
      <c r="AD2808" s="12">
        <f>IF($J2808=0,0,ROUND(MAX($J2808*1.4*1.5*1.6*1.6*2.2*2.715*2.6*1.4*1.4*1.5,12600000000*(1.652953^(MIN($E2808,123)-117)))*1,0))</f>
        <v>2789902525</v>
      </c>
      <c r="AE2808" s="13">
        <f>$E2808+24</f>
        <v>138</v>
      </c>
      <c r="AF2808" s="14">
        <f>IF($J2808=0,0,ROUND(MAX($J2808*1.4*1.5*1.6*1.6*2.2*2.715*2.6*1.4*1.4*1.5*1.5,18900000000*(1.65331^(MIN($E2808,123)-117)))*1,0))</f>
        <v>4182143461</v>
      </c>
      <c r="AG2808" s="11">
        <f>$E2808+27</f>
        <v>141</v>
      </c>
      <c r="AH2808" s="12">
        <f>IF($J2808=0,0,ROUND(MAX($J2808*1.4*1.5*1.6*1.6*2.2*2.715*2.6*1.4*1.4*1.5*1.5*3.2,60500000000*(1.654288^(MIN($E2808,123)-117)))*1,0))</f>
        <v>13363555336</v>
      </c>
    </row>
    <row r="2809" ht="28" customHeight="1" spans="1:34" x14ac:dyDescent="0.25">
      <c r="A2809">
        <v>2819</v>
      </c>
      <c r="B2809" t="s">
        <v>1621</v>
      </c>
      <c r="C2809" s="10" t="s">
        <v>1593</v>
      </c>
      <c r="D2809" t="s">
        <v>47</v>
      </c>
      <c r="E2809">
        <v>114</v>
      </c>
      <c r="F2809" t="s">
        <v>26</v>
      </c>
      <c r="G2809" t="s">
        <v>1622</v>
      </c>
      <c r="H2809">
        <v>25</v>
      </c>
      <c r="I2809" s="11">
        <f>$E2809+0</f>
        <v>114</v>
      </c>
      <c r="J2809" s="12">
        <v>398000</v>
      </c>
      <c r="K2809" s="13">
        <f>$E2809+1</f>
        <v>115</v>
      </c>
      <c r="L2809" s="14">
        <f>IF($J2809=0,0,ROUND(MAX($J2809*1.4,1620000*(1.497923^(MIN($E2809,123)-117)))*1,0))</f>
        <v>557200</v>
      </c>
      <c r="M2809" s="11">
        <f>$E2809+2</f>
        <v>116</v>
      </c>
      <c r="N2809" s="12">
        <f>IF($J2809=0,0,ROUND(MAX($J2809*1.4*1.5,2190000*(1.580994^(MIN($E2809,123)-117)))*1,0))</f>
        <v>835800</v>
      </c>
      <c r="O2809" s="13">
        <f>$E2809+4</f>
        <v>118</v>
      </c>
      <c r="P2809" s="14">
        <f>IF($J2809=0,0,ROUND(MAX($J2809*1.4*1.5*1.6,3500000*(1.57975^(MIN($E2809,123)-117)))*1,0))</f>
        <v>1337280</v>
      </c>
      <c r="Q2809" s="11">
        <f>$E2809+6</f>
        <v>120</v>
      </c>
      <c r="R2809" s="12">
        <f>IF($J2809=0,0,ROUND(MAX($J2809*1.4*1.5*1.6*1.6,13100000*(1.429962^(MIN($E2809,123)-117)))*1,0))</f>
        <v>4480204</v>
      </c>
      <c r="S2809" s="13">
        <f>$E2809+8</f>
        <v>122</v>
      </c>
      <c r="T2809" s="14">
        <f>IF($J2809=0,0,ROUND(MAX($J2809*1.4*1.5*1.6*1.6*2.2,42600000*(1.576904^(MIN($E2809,123)-117)))*1,0))</f>
        <v>10864102</v>
      </c>
      <c r="U2809" s="11">
        <f>$E2809+11</f>
        <v>125</v>
      </c>
      <c r="V2809" s="12">
        <f>IF($J2809=0,0,ROUND(MAX($J2809*1.4*1.5*1.6*1.6*2.2*2.715,354000000*(1.642074^(MIN($E2809,123)-117)))*1,0))</f>
        <v>79951219</v>
      </c>
      <c r="W2809" s="13">
        <f>$E2809+15</f>
        <v>129</v>
      </c>
      <c r="X2809" s="14">
        <f>IF($J2809=0,0,ROUND(MAX($J2809*1.4*1.5*1.6*1.6*2.2*2.715*2.6,3540000000*(1.579646^(MIN($E2809,123)-117)))*1,0))</f>
        <v>898098448</v>
      </c>
      <c r="Y2809" s="11">
        <f>$E2809+17</f>
        <v>131</v>
      </c>
      <c r="Z2809" s="12">
        <f>IF($J2809=0,0,ROUND(MAX($J2809*1.4*1.5*1.6*1.6*2.2*2.715*2.6*1.4,6020000000*(1.651178^(MIN($E2809,123)-117)))*1,0))</f>
        <v>1337256787</v>
      </c>
      <c r="AA2809" s="13">
        <f>$E2809+19</f>
        <v>133</v>
      </c>
      <c r="AB2809" s="14">
        <f>IF($J2809=0,0,ROUND(MAX($J2809*1.4*1.5*1.6*1.6*2.2*2.715*2.6*1.4*1.4,8430000000*(1.651435^(MIN($E2809,123)-117)))*1,0))</f>
        <v>1871729653</v>
      </c>
      <c r="AC2809" s="11">
        <f>$E2809+21</f>
        <v>135</v>
      </c>
      <c r="AD2809" s="12">
        <f>IF($J2809=0,0,ROUND(MAX($J2809*1.4*1.5*1.6*1.6*2.2*2.715*2.6*1.4*1.4*1.5,12600000000*(1.652953^(MIN($E2809,123)-117)))*1,0))</f>
        <v>2789902525</v>
      </c>
      <c r="AE2809" s="13">
        <f>$E2809+24</f>
        <v>138</v>
      </c>
      <c r="AF2809" s="14">
        <f>IF($J2809=0,0,ROUND(MAX($J2809*1.4*1.5*1.6*1.6*2.2*2.715*2.6*1.4*1.4*1.5*1.5,18900000000*(1.65331^(MIN($E2809,123)-117)))*1,0))</f>
        <v>4182143461</v>
      </c>
      <c r="AG2809" s="11">
        <f>$E2809+27</f>
        <v>141</v>
      </c>
      <c r="AH2809" s="12">
        <f>IF($J2809=0,0,ROUND(MAX($J2809*1.4*1.5*1.6*1.6*2.2*2.715*2.6*1.4*1.4*1.5*1.5*3.2,60500000000*(1.654288^(MIN($E2809,123)-117)))*1,0))</f>
        <v>13363555336</v>
      </c>
    </row>
    <row r="2810" ht="28" customHeight="1" spans="1:34" x14ac:dyDescent="0.25">
      <c r="A2810">
        <v>2820</v>
      </c>
      <c r="B2810" t="s">
        <v>180</v>
      </c>
      <c r="C2810" s="10" t="s">
        <v>1593</v>
      </c>
      <c r="D2810" t="s">
        <v>47</v>
      </c>
      <c r="E2810">
        <v>114</v>
      </c>
      <c r="F2810" t="s">
        <v>144</v>
      </c>
      <c r="G2810" t="s">
        <v>562</v>
      </c>
      <c r="H2810">
        <v>25</v>
      </c>
      <c r="I2810" s="11">
        <f>$E2810+0</f>
        <v>114</v>
      </c>
      <c r="J2810" s="12">
        <v>403000</v>
      </c>
      <c r="K2810" s="13">
        <f>$E2810+1</f>
        <v>115</v>
      </c>
      <c r="L2810" s="14">
        <f>IF($J2810=0,0,ROUND(MAX($J2810*1.4,1620000*(1.497923^(MIN($E2810,123)-117)))*1,0))</f>
        <v>564200</v>
      </c>
      <c r="M2810" s="11">
        <f>$E2810+2</f>
        <v>116</v>
      </c>
      <c r="N2810" s="12">
        <f>IF($J2810=0,0,ROUND(MAX($J2810*1.4*1.5,2190000*(1.580994^(MIN($E2810,123)-117)))*1,0))</f>
        <v>846300</v>
      </c>
      <c r="O2810" s="13">
        <f>$E2810+4</f>
        <v>118</v>
      </c>
      <c r="P2810" s="14">
        <f>IF($J2810=0,0,ROUND(MAX($J2810*1.4*1.5*1.6,3500000*(1.57975^(MIN($E2810,123)-117)))*1,0))</f>
        <v>1354080</v>
      </c>
      <c r="Q2810" s="11">
        <f>$E2810+6</f>
        <v>120</v>
      </c>
      <c r="R2810" s="12">
        <f>IF($J2810=0,0,ROUND(MAX($J2810*1.4*1.5*1.6*1.6,13100000*(1.429962^(MIN($E2810,123)-117)))*1,0))</f>
        <v>4480204</v>
      </c>
      <c r="S2810" s="13">
        <f>$E2810+8</f>
        <v>122</v>
      </c>
      <c r="T2810" s="14">
        <f>IF($J2810=0,0,ROUND(MAX($J2810*1.4*1.5*1.6*1.6*2.2,42600000*(1.576904^(MIN($E2810,123)-117)))*1,0))</f>
        <v>10864102</v>
      </c>
      <c r="U2810" s="11">
        <f>$E2810+11</f>
        <v>125</v>
      </c>
      <c r="V2810" s="12">
        <f>IF($J2810=0,0,ROUND(MAX($J2810*1.4*1.5*1.6*1.6*2.2*2.715,354000000*(1.642074^(MIN($E2810,123)-117)))*1,0))</f>
        <v>79951219</v>
      </c>
      <c r="W2810" s="13">
        <f>$E2810+15</f>
        <v>129</v>
      </c>
      <c r="X2810" s="14">
        <f>IF($J2810=0,0,ROUND(MAX($J2810*1.4*1.5*1.6*1.6*2.2*2.715*2.6,3540000000*(1.579646^(MIN($E2810,123)-117)))*1,0))</f>
        <v>898098448</v>
      </c>
      <c r="Y2810" s="11">
        <f>$E2810+17</f>
        <v>131</v>
      </c>
      <c r="Z2810" s="12">
        <f>IF($J2810=0,0,ROUND(MAX($J2810*1.4*1.5*1.6*1.6*2.2*2.715*2.6*1.4,6020000000*(1.651178^(MIN($E2810,123)-117)))*1,0))</f>
        <v>1337256787</v>
      </c>
      <c r="AA2810" s="13">
        <f>$E2810+19</f>
        <v>133</v>
      </c>
      <c r="AB2810" s="14">
        <f>IF($J2810=0,0,ROUND(MAX($J2810*1.4*1.5*1.6*1.6*2.2*2.715*2.6*1.4*1.4,8430000000*(1.651435^(MIN($E2810,123)-117)))*1,0))</f>
        <v>1871729653</v>
      </c>
      <c r="AC2810" s="11">
        <f>$E2810+21</f>
        <v>135</v>
      </c>
      <c r="AD2810" s="12">
        <f>IF($J2810=0,0,ROUND(MAX($J2810*1.4*1.5*1.6*1.6*2.2*2.715*2.6*1.4*1.4*1.5,12600000000*(1.652953^(MIN($E2810,123)-117)))*1,0))</f>
        <v>2789902525</v>
      </c>
      <c r="AE2810" s="13">
        <f>$E2810+24</f>
        <v>138</v>
      </c>
      <c r="AF2810" s="14">
        <f>IF($J2810=0,0,ROUND(MAX($J2810*1.4*1.5*1.6*1.6*2.2*2.715*2.6*1.4*1.4*1.5*1.5,18900000000*(1.65331^(MIN($E2810,123)-117)))*1,0))</f>
        <v>4182143461</v>
      </c>
      <c r="AG2810" s="11">
        <f>$E2810+27</f>
        <v>141</v>
      </c>
      <c r="AH2810" s="12">
        <f>IF($J2810=0,0,ROUND(MAX($J2810*1.4*1.5*1.6*1.6*2.2*2.715*2.6*1.4*1.4*1.5*1.5*3.2,60500000000*(1.654288^(MIN($E2810,123)-117)))*1,0))</f>
        <v>13363555336</v>
      </c>
    </row>
    <row r="2811" ht="28" customHeight="1" spans="1:34" x14ac:dyDescent="0.25">
      <c r="A2811">
        <v>2821</v>
      </c>
      <c r="B2811" t="s">
        <v>66</v>
      </c>
      <c r="C2811" s="10" t="s">
        <v>1593</v>
      </c>
      <c r="D2811" t="s">
        <v>47</v>
      </c>
      <c r="E2811">
        <v>114</v>
      </c>
      <c r="F2811" t="s">
        <v>62</v>
      </c>
      <c r="G2811" t="s">
        <v>562</v>
      </c>
      <c r="H2811">
        <v>25</v>
      </c>
      <c r="I2811" s="11">
        <f>$E2811+0</f>
        <v>114</v>
      </c>
      <c r="J2811" s="12">
        <v>348000</v>
      </c>
      <c r="K2811" s="13">
        <f>$E2811+1</f>
        <v>115</v>
      </c>
      <c r="L2811" s="14">
        <f>IF($J2811=0,0,ROUND(MAX($J2811*1.4,1620000*(1.497923^(MIN($E2811,123)-117)))*1,0))</f>
        <v>487200</v>
      </c>
      <c r="M2811" s="11">
        <f>$E2811+2</f>
        <v>116</v>
      </c>
      <c r="N2811" s="12">
        <f>IF($J2811=0,0,ROUND(MAX($J2811*1.4*1.5,2190000*(1.580994^(MIN($E2811,123)-117)))*1,0))</f>
        <v>730800</v>
      </c>
      <c r="O2811" s="13">
        <f>$E2811+4</f>
        <v>118</v>
      </c>
      <c r="P2811" s="14">
        <f>IF($J2811=0,0,ROUND(MAX($J2811*1.4*1.5*1.6,3500000*(1.57975^(MIN($E2811,123)-117)))*1,0))</f>
        <v>1169280</v>
      </c>
      <c r="Q2811" s="11">
        <f>$E2811+6</f>
        <v>120</v>
      </c>
      <c r="R2811" s="12">
        <f>IF($J2811=0,0,ROUND(MAX($J2811*1.4*1.5*1.6*1.6,13100000*(1.429962^(MIN($E2811,123)-117)))*1,0))</f>
        <v>4480204</v>
      </c>
      <c r="S2811" s="13">
        <f>$E2811+8</f>
        <v>122</v>
      </c>
      <c r="T2811" s="14">
        <f>IF($J2811=0,0,ROUND(MAX($J2811*1.4*1.5*1.6*1.6*2.2,42600000*(1.576904^(MIN($E2811,123)-117)))*1,0))</f>
        <v>10864102</v>
      </c>
      <c r="U2811" s="11">
        <f>$E2811+11</f>
        <v>125</v>
      </c>
      <c r="V2811" s="12">
        <f>IF($J2811=0,0,ROUND(MAX($J2811*1.4*1.5*1.6*1.6*2.2*2.715,354000000*(1.642074^(MIN($E2811,123)-117)))*1,0))</f>
        <v>79951219</v>
      </c>
      <c r="W2811" s="13">
        <f>$E2811+15</f>
        <v>129</v>
      </c>
      <c r="X2811" s="14">
        <f>IF($J2811=0,0,ROUND(MAX($J2811*1.4*1.5*1.6*1.6*2.2*2.715*2.6,3540000000*(1.579646^(MIN($E2811,123)-117)))*1,0))</f>
        <v>898098448</v>
      </c>
      <c r="Y2811" s="11">
        <f>$E2811+17</f>
        <v>131</v>
      </c>
      <c r="Z2811" s="12">
        <f>IF($J2811=0,0,ROUND(MAX($J2811*1.4*1.5*1.6*1.6*2.2*2.715*2.6*1.4,6020000000*(1.651178^(MIN($E2811,123)-117)))*1,0))</f>
        <v>1337256787</v>
      </c>
      <c r="AA2811" s="13">
        <f>$E2811+19</f>
        <v>133</v>
      </c>
      <c r="AB2811" s="14">
        <f>IF($J2811=0,0,ROUND(MAX($J2811*1.4*1.5*1.6*1.6*2.2*2.715*2.6*1.4*1.4,8430000000*(1.651435^(MIN($E2811,123)-117)))*1,0))</f>
        <v>1871729653</v>
      </c>
      <c r="AC2811" s="11">
        <f>$E2811+21</f>
        <v>135</v>
      </c>
      <c r="AD2811" s="12">
        <f>IF($J2811=0,0,ROUND(MAX($J2811*1.4*1.5*1.6*1.6*2.2*2.715*2.6*1.4*1.4*1.5,12600000000*(1.652953^(MIN($E2811,123)-117)))*1,0))</f>
        <v>2789902525</v>
      </c>
      <c r="AE2811" s="13">
        <f>$E2811+24</f>
        <v>138</v>
      </c>
      <c r="AF2811" s="14">
        <f>IF($J2811=0,0,ROUND(MAX($J2811*1.4*1.5*1.6*1.6*2.2*2.715*2.6*1.4*1.4*1.5*1.5,18900000000*(1.65331^(MIN($E2811,123)-117)))*1,0))</f>
        <v>4182143461</v>
      </c>
      <c r="AG2811" s="11">
        <f>$E2811+27</f>
        <v>141</v>
      </c>
      <c r="AH2811" s="12">
        <f>IF($J2811=0,0,ROUND(MAX($J2811*1.4*1.5*1.6*1.6*2.2*2.715*2.6*1.4*1.4*1.5*1.5*3.2,60500000000*(1.654288^(MIN($E2811,123)-117)))*1,0))</f>
        <v>13363555336</v>
      </c>
    </row>
    <row r="2812" ht="28" customHeight="1" spans="1:34" x14ac:dyDescent="0.25">
      <c r="A2812">
        <v>2822</v>
      </c>
      <c r="B2812" t="s">
        <v>343</v>
      </c>
      <c r="C2812" s="10" t="s">
        <v>1593</v>
      </c>
      <c r="D2812" t="s">
        <v>33</v>
      </c>
      <c r="E2812">
        <v>113</v>
      </c>
      <c r="F2812" t="s">
        <v>97</v>
      </c>
      <c r="G2812" t="s">
        <v>104</v>
      </c>
      <c r="H2812">
        <v>27</v>
      </c>
      <c r="I2812" s="11">
        <f>$E2812+0</f>
        <v>113</v>
      </c>
      <c r="J2812" s="12">
        <v>339000</v>
      </c>
      <c r="K2812" s="13">
        <f>$E2812+1</f>
        <v>114</v>
      </c>
      <c r="L2812" s="14">
        <f>IF($J2812=0,0,ROUND(MAX($J2812*1.4,1620000*(1.497923^(MIN($E2812,123)-117)))*1,0))</f>
        <v>474600</v>
      </c>
      <c r="M2812" s="11">
        <f>$E2812+2</f>
        <v>115</v>
      </c>
      <c r="N2812" s="12">
        <f>IF($J2812=0,0,ROUND(MAX($J2812*1.4*1.5,2190000*(1.580994^(MIN($E2812,123)-117)))*1,0))</f>
        <v>711900</v>
      </c>
      <c r="O2812" s="13">
        <f>$E2812+4</f>
        <v>117</v>
      </c>
      <c r="P2812" s="14">
        <f>IF($J2812=0,0,ROUND(MAX($J2812*1.4*1.5*1.6,3500000*(1.57975^(MIN($E2812,123)-117)))*1,0))</f>
        <v>1139040</v>
      </c>
      <c r="Q2812" s="11">
        <f>$E2812+6</f>
        <v>119</v>
      </c>
      <c r="R2812" s="12">
        <f>IF($J2812=0,0,ROUND(MAX($J2812*1.4*1.5*1.6*1.6,13100000*(1.429962^(MIN($E2812,123)-117)))*1,0))</f>
        <v>3133093</v>
      </c>
      <c r="S2812" s="13">
        <f>$E2812+8</f>
        <v>121</v>
      </c>
      <c r="T2812" s="14">
        <f>IF($J2812=0,0,ROUND(MAX($J2812*1.4*1.5*1.6*1.6*2.2,42600000*(1.576904^(MIN($E2812,123)-117)))*1,0))</f>
        <v>6889514</v>
      </c>
      <c r="U2812" s="11">
        <f>$E2812+11</f>
        <v>124</v>
      </c>
      <c r="V2812" s="12">
        <f>IF($J2812=0,0,ROUND(MAX($J2812*1.4*1.5*1.6*1.6*2.2*2.715,354000000*(1.642074^(MIN($E2812,123)-117)))*1,0))</f>
        <v>48689169</v>
      </c>
      <c r="W2812" s="13">
        <f>$E2812+15</f>
        <v>128</v>
      </c>
      <c r="X2812" s="14">
        <f>IF($J2812=0,0,ROUND(MAX($J2812*1.4*1.5*1.6*1.6*2.2*2.715*2.6,3540000000*(1.579646^(MIN($E2812,123)-117)))*1,0))</f>
        <v>568544122</v>
      </c>
      <c r="Y2812" s="11">
        <f>$E2812+17</f>
        <v>130</v>
      </c>
      <c r="Z2812" s="12">
        <f>IF($J2812=0,0,ROUND(MAX($J2812*1.4*1.5*1.6*1.6*2.2*2.715*2.6*1.4,6020000000*(1.651178^(MIN($E2812,123)-117)))*1,0))</f>
        <v>809880453</v>
      </c>
      <c r="AA2812" s="13">
        <f>$E2812+19</f>
        <v>132</v>
      </c>
      <c r="AB2812" s="14">
        <f>IF($J2812=0,0,ROUND(MAX($J2812*1.4*1.5*1.6*1.6*2.2*2.715*2.6*1.4*1.4,8430000000*(1.651435^(MIN($E2812,123)-117)))*1,0))</f>
        <v>1133395897</v>
      </c>
      <c r="AC2812" s="11">
        <f>$E2812+21</f>
        <v>134</v>
      </c>
      <c r="AD2812" s="12">
        <f>IF($J2812=0,0,ROUND(MAX($J2812*1.4*1.5*1.6*1.6*2.2*2.715*2.6*1.4*1.4*1.5,12600000000*(1.652953^(MIN($E2812,123)-117)))*1,0))</f>
        <v>1687829312</v>
      </c>
      <c r="AE2812" s="13">
        <f>$E2812+24</f>
        <v>137</v>
      </c>
      <c r="AF2812" s="14">
        <f>IF($J2812=0,0,ROUND(MAX($J2812*1.4*1.5*1.6*1.6*2.2*2.715*2.6*1.4*1.4*1.5*1.5,18900000000*(1.65331^(MIN($E2812,123)-117)))*1,0))</f>
        <v>2529557954</v>
      </c>
      <c r="AG2812" s="11">
        <f>$E2812+27</f>
        <v>140</v>
      </c>
      <c r="AH2812" s="12">
        <f>IF($J2812=0,0,ROUND(MAX($J2812*1.4*1.5*1.6*1.6*2.2*2.715*2.6*1.4*1.4*1.5*1.5*3.2,60500000000*(1.654288^(MIN($E2812,123)-117)))*1,0))</f>
        <v>8078131097</v>
      </c>
    </row>
    <row r="2813" ht="28" customHeight="1" spans="1:34" x14ac:dyDescent="0.25">
      <c r="A2813">
        <v>2823</v>
      </c>
      <c r="B2813" t="s">
        <v>812</v>
      </c>
      <c r="C2813" s="10" t="s">
        <v>1593</v>
      </c>
      <c r="D2813" t="s">
        <v>40</v>
      </c>
      <c r="E2813">
        <v>113</v>
      </c>
      <c r="F2813" t="s">
        <v>56</v>
      </c>
      <c r="G2813" t="s">
        <v>813</v>
      </c>
      <c r="H2813">
        <v>27</v>
      </c>
      <c r="I2813" s="11">
        <f>$E2813+0</f>
        <v>113</v>
      </c>
      <c r="J2813" s="12">
        <v>513000</v>
      </c>
      <c r="K2813" s="13">
        <f>$E2813+1</f>
        <v>114</v>
      </c>
      <c r="L2813" s="14">
        <f>IF($J2813=0,0,ROUND(MAX($J2813*1.4,1620000*(1.497923^(MIN($E2813,123)-117)))*1,0))</f>
        <v>718200</v>
      </c>
      <c r="M2813" s="11">
        <f>$E2813+2</f>
        <v>115</v>
      </c>
      <c r="N2813" s="12">
        <f>IF($J2813=0,0,ROUND(MAX($J2813*1.4*1.5,2190000*(1.580994^(MIN($E2813,123)-117)))*1,0))</f>
        <v>1077300</v>
      </c>
      <c r="O2813" s="13">
        <f>$E2813+4</f>
        <v>117</v>
      </c>
      <c r="P2813" s="14">
        <f>IF($J2813=0,0,ROUND(MAX($J2813*1.4*1.5*1.6,3500000*(1.57975^(MIN($E2813,123)-117)))*1,0))</f>
        <v>1723680</v>
      </c>
      <c r="Q2813" s="11">
        <f>$E2813+6</f>
        <v>119</v>
      </c>
      <c r="R2813" s="12">
        <f>IF($J2813=0,0,ROUND(MAX($J2813*1.4*1.5*1.6*1.6,13100000*(1.429962^(MIN($E2813,123)-117)))*1,0))</f>
        <v>3133093</v>
      </c>
      <c r="S2813" s="13">
        <f>$E2813+8</f>
        <v>121</v>
      </c>
      <c r="T2813" s="14">
        <f>IF($J2813=0,0,ROUND(MAX($J2813*1.4*1.5*1.6*1.6*2.2,42600000*(1.576904^(MIN($E2813,123)-117)))*1,0))</f>
        <v>6889514</v>
      </c>
      <c r="U2813" s="11">
        <f>$E2813+11</f>
        <v>124</v>
      </c>
      <c r="V2813" s="12">
        <f>IF($J2813=0,0,ROUND(MAX($J2813*1.4*1.5*1.6*1.6*2.2*2.715,354000000*(1.642074^(MIN($E2813,123)-117)))*1,0))</f>
        <v>48689169</v>
      </c>
      <c r="W2813" s="13">
        <f>$E2813+15</f>
        <v>128</v>
      </c>
      <c r="X2813" s="14">
        <f>IF($J2813=0,0,ROUND(MAX($J2813*1.4*1.5*1.6*1.6*2.2*2.715*2.6,3540000000*(1.579646^(MIN($E2813,123)-117)))*1,0))</f>
        <v>568544122</v>
      </c>
      <c r="Y2813" s="11">
        <f>$E2813+17</f>
        <v>130</v>
      </c>
      <c r="Z2813" s="12">
        <f>IF($J2813=0,0,ROUND(MAX($J2813*1.4*1.5*1.6*1.6*2.2*2.715*2.6*1.4,6020000000*(1.651178^(MIN($E2813,123)-117)))*1,0))</f>
        <v>809880453</v>
      </c>
      <c r="AA2813" s="13">
        <f>$E2813+19</f>
        <v>132</v>
      </c>
      <c r="AB2813" s="14">
        <f>IF($J2813=0,0,ROUND(MAX($J2813*1.4*1.5*1.6*1.6*2.2*2.715*2.6*1.4*1.4,8430000000*(1.651435^(MIN($E2813,123)-117)))*1,0))</f>
        <v>1133395897</v>
      </c>
      <c r="AC2813" s="11">
        <f>$E2813+21</f>
        <v>134</v>
      </c>
      <c r="AD2813" s="12">
        <f>IF($J2813=0,0,ROUND(MAX($J2813*1.4*1.5*1.6*1.6*2.2*2.715*2.6*1.4*1.4*1.5,12600000000*(1.652953^(MIN($E2813,123)-117)))*1,0))</f>
        <v>1687829312</v>
      </c>
      <c r="AE2813" s="13">
        <f>$E2813+24</f>
        <v>137</v>
      </c>
      <c r="AF2813" s="14">
        <f>IF($J2813=0,0,ROUND(MAX($J2813*1.4*1.5*1.6*1.6*2.2*2.715*2.6*1.4*1.4*1.5*1.5,18900000000*(1.65331^(MIN($E2813,123)-117)))*1,0))</f>
        <v>2529557954</v>
      </c>
      <c r="AG2813" s="11">
        <f>$E2813+27</f>
        <v>140</v>
      </c>
      <c r="AH2813" s="12">
        <f>IF($J2813=0,0,ROUND(MAX($J2813*1.4*1.5*1.6*1.6*2.2*2.715*2.6*1.4*1.4*1.5*1.5*3.2,60500000000*(1.654288^(MIN($E2813,123)-117)))*1,0))</f>
        <v>8078131097</v>
      </c>
    </row>
    <row r="2814" ht="28" customHeight="1" spans="1:34" x14ac:dyDescent="0.25">
      <c r="A2814">
        <v>2824</v>
      </c>
      <c r="B2814" t="s">
        <v>1623</v>
      </c>
      <c r="C2814" s="10" t="s">
        <v>1593</v>
      </c>
      <c r="D2814" t="s">
        <v>33</v>
      </c>
      <c r="E2814">
        <v>113</v>
      </c>
      <c r="F2814" t="s">
        <v>62</v>
      </c>
      <c r="G2814" t="s">
        <v>104</v>
      </c>
      <c r="H2814">
        <v>27</v>
      </c>
      <c r="I2814" s="11">
        <f>$E2814+0</f>
        <v>113</v>
      </c>
      <c r="J2814" s="12">
        <v>560000</v>
      </c>
      <c r="K2814" s="13">
        <f>$E2814+1</f>
        <v>114</v>
      </c>
      <c r="L2814" s="14">
        <f>IF($J2814=0,0,ROUND(MAX($J2814*1.4,1620000*(1.497923^(MIN($E2814,123)-117)))*1,0))</f>
        <v>784000</v>
      </c>
      <c r="M2814" s="11">
        <f>$E2814+2</f>
        <v>115</v>
      </c>
      <c r="N2814" s="12">
        <f>IF($J2814=0,0,ROUND(MAX($J2814*1.4*1.5,2190000*(1.580994^(MIN($E2814,123)-117)))*1,0))</f>
        <v>1176000</v>
      </c>
      <c r="O2814" s="13">
        <f>$E2814+4</f>
        <v>117</v>
      </c>
      <c r="P2814" s="14">
        <f>IF($J2814=0,0,ROUND(MAX($J2814*1.4*1.5*1.6,3500000*(1.57975^(MIN($E2814,123)-117)))*1,0))</f>
        <v>1881600</v>
      </c>
      <c r="Q2814" s="11">
        <f>$E2814+6</f>
        <v>119</v>
      </c>
      <c r="R2814" s="12">
        <f>IF($J2814=0,0,ROUND(MAX($J2814*1.4*1.5*1.6*1.6,13100000*(1.429962^(MIN($E2814,123)-117)))*1,0))</f>
        <v>3133093</v>
      </c>
      <c r="S2814" s="13">
        <f>$E2814+8</f>
        <v>121</v>
      </c>
      <c r="T2814" s="14">
        <f>IF($J2814=0,0,ROUND(MAX($J2814*1.4*1.5*1.6*1.6*2.2,42600000*(1.576904^(MIN($E2814,123)-117)))*1,0))</f>
        <v>6889514</v>
      </c>
      <c r="U2814" s="11">
        <f>$E2814+11</f>
        <v>124</v>
      </c>
      <c r="V2814" s="12">
        <f>IF($J2814=0,0,ROUND(MAX($J2814*1.4*1.5*1.6*1.6*2.2*2.715,354000000*(1.642074^(MIN($E2814,123)-117)))*1,0))</f>
        <v>48689169</v>
      </c>
      <c r="W2814" s="13">
        <f>$E2814+15</f>
        <v>128</v>
      </c>
      <c r="X2814" s="14">
        <f>IF($J2814=0,0,ROUND(MAX($J2814*1.4*1.5*1.6*1.6*2.2*2.715*2.6,3540000000*(1.579646^(MIN($E2814,123)-117)))*1,0))</f>
        <v>568544122</v>
      </c>
      <c r="Y2814" s="11">
        <f>$E2814+17</f>
        <v>130</v>
      </c>
      <c r="Z2814" s="12">
        <f>IF($J2814=0,0,ROUND(MAX($J2814*1.4*1.5*1.6*1.6*2.2*2.715*2.6*1.4,6020000000*(1.651178^(MIN($E2814,123)-117)))*1,0))</f>
        <v>809880453</v>
      </c>
      <c r="AA2814" s="13">
        <f>$E2814+19</f>
        <v>132</v>
      </c>
      <c r="AB2814" s="14">
        <f>IF($J2814=0,0,ROUND(MAX($J2814*1.4*1.5*1.6*1.6*2.2*2.715*2.6*1.4*1.4,8430000000*(1.651435^(MIN($E2814,123)-117)))*1,0))</f>
        <v>1133395897</v>
      </c>
      <c r="AC2814" s="11">
        <f>$E2814+21</f>
        <v>134</v>
      </c>
      <c r="AD2814" s="12">
        <f>IF($J2814=0,0,ROUND(MAX($J2814*1.4*1.5*1.6*1.6*2.2*2.715*2.6*1.4*1.4*1.5,12600000000*(1.652953^(MIN($E2814,123)-117)))*1,0))</f>
        <v>1687829312</v>
      </c>
      <c r="AE2814" s="13">
        <f>$E2814+24</f>
        <v>137</v>
      </c>
      <c r="AF2814" s="14">
        <f>IF($J2814=0,0,ROUND(MAX($J2814*1.4*1.5*1.6*1.6*2.2*2.715*2.6*1.4*1.4*1.5*1.5,18900000000*(1.65331^(MIN($E2814,123)-117)))*1,0))</f>
        <v>2529557954</v>
      </c>
      <c r="AG2814" s="11">
        <f>$E2814+27</f>
        <v>140</v>
      </c>
      <c r="AH2814" s="12">
        <f>IF($J2814=0,0,ROUND(MAX($J2814*1.4*1.5*1.6*1.6*2.2*2.715*2.6*1.4*1.4*1.5*1.5*3.2,60500000000*(1.654288^(MIN($E2814,123)-117)))*1,0))</f>
        <v>8078131097</v>
      </c>
    </row>
    <row r="2815" ht="28" customHeight="1" spans="1:34" x14ac:dyDescent="0.25">
      <c r="A2815">
        <v>2825</v>
      </c>
      <c r="B2815" t="s">
        <v>305</v>
      </c>
      <c r="C2815" s="10" t="s">
        <v>1593</v>
      </c>
      <c r="D2815" t="s">
        <v>33</v>
      </c>
      <c r="E2815">
        <v>113</v>
      </c>
      <c r="F2815" t="s">
        <v>34</v>
      </c>
      <c r="G2815" t="s">
        <v>35</v>
      </c>
      <c r="H2815">
        <v>27</v>
      </c>
      <c r="I2815" s="11">
        <f>$E2815+0</f>
        <v>113</v>
      </c>
      <c r="J2815" s="12">
        <v>359000</v>
      </c>
      <c r="K2815" s="13">
        <f>$E2815+1</f>
        <v>114</v>
      </c>
      <c r="L2815" s="14">
        <f>IF($J2815=0,0,ROUND(MAX($J2815*1.4,1620000*(1.497923^(MIN($E2815,123)-117)))*1,0))</f>
        <v>502600</v>
      </c>
      <c r="M2815" s="11">
        <f>$E2815+2</f>
        <v>115</v>
      </c>
      <c r="N2815" s="12">
        <f>IF($J2815=0,0,ROUND(MAX($J2815*1.4*1.5,2190000*(1.580994^(MIN($E2815,123)-117)))*1,0))</f>
        <v>753900</v>
      </c>
      <c r="O2815" s="13">
        <f>$E2815+4</f>
        <v>117</v>
      </c>
      <c r="P2815" s="14">
        <f>IF($J2815=0,0,ROUND(MAX($J2815*1.4*1.5*1.6,3500000*(1.57975^(MIN($E2815,123)-117)))*1,0))</f>
        <v>1206240</v>
      </c>
      <c r="Q2815" s="11">
        <f>$E2815+6</f>
        <v>119</v>
      </c>
      <c r="R2815" s="12">
        <f>IF($J2815=0,0,ROUND(MAX($J2815*1.4*1.5*1.6*1.6,13100000*(1.429962^(MIN($E2815,123)-117)))*1,0))</f>
        <v>3133093</v>
      </c>
      <c r="S2815" s="13">
        <f>$E2815+8</f>
        <v>121</v>
      </c>
      <c r="T2815" s="14">
        <f>IF($J2815=0,0,ROUND(MAX($J2815*1.4*1.5*1.6*1.6*2.2,42600000*(1.576904^(MIN($E2815,123)-117)))*1,0))</f>
        <v>6889514</v>
      </c>
      <c r="U2815" s="11">
        <f>$E2815+11</f>
        <v>124</v>
      </c>
      <c r="V2815" s="12">
        <f>IF($J2815=0,0,ROUND(MAX($J2815*1.4*1.5*1.6*1.6*2.2*2.715,354000000*(1.642074^(MIN($E2815,123)-117)))*1,0))</f>
        <v>48689169</v>
      </c>
      <c r="W2815" s="13">
        <f>$E2815+15</f>
        <v>128</v>
      </c>
      <c r="X2815" s="14">
        <f>IF($J2815=0,0,ROUND(MAX($J2815*1.4*1.5*1.6*1.6*2.2*2.715*2.6,3540000000*(1.579646^(MIN($E2815,123)-117)))*1,0))</f>
        <v>568544122</v>
      </c>
      <c r="Y2815" s="11">
        <f>$E2815+17</f>
        <v>130</v>
      </c>
      <c r="Z2815" s="12">
        <f>IF($J2815=0,0,ROUND(MAX($J2815*1.4*1.5*1.6*1.6*2.2*2.715*2.6*1.4,6020000000*(1.651178^(MIN($E2815,123)-117)))*1,0))</f>
        <v>809880453</v>
      </c>
      <c r="AA2815" s="13">
        <f>$E2815+19</f>
        <v>132</v>
      </c>
      <c r="AB2815" s="14">
        <f>IF($J2815=0,0,ROUND(MAX($J2815*1.4*1.5*1.6*1.6*2.2*2.715*2.6*1.4*1.4,8430000000*(1.651435^(MIN($E2815,123)-117)))*1,0))</f>
        <v>1133395897</v>
      </c>
      <c r="AC2815" s="11">
        <f>$E2815+21</f>
        <v>134</v>
      </c>
      <c r="AD2815" s="12">
        <f>IF($J2815=0,0,ROUND(MAX($J2815*1.4*1.5*1.6*1.6*2.2*2.715*2.6*1.4*1.4*1.5,12600000000*(1.652953^(MIN($E2815,123)-117)))*1,0))</f>
        <v>1687829312</v>
      </c>
      <c r="AE2815" s="13">
        <f>$E2815+24</f>
        <v>137</v>
      </c>
      <c r="AF2815" s="14">
        <f>IF($J2815=0,0,ROUND(MAX($J2815*1.4*1.5*1.6*1.6*2.2*2.715*2.6*1.4*1.4*1.5*1.5,18900000000*(1.65331^(MIN($E2815,123)-117)))*1,0))</f>
        <v>2529557954</v>
      </c>
      <c r="AG2815" s="11">
        <f>$E2815+27</f>
        <v>140</v>
      </c>
      <c r="AH2815" s="12">
        <f>IF($J2815=0,0,ROUND(MAX($J2815*1.4*1.5*1.6*1.6*2.2*2.715*2.6*1.4*1.4*1.5*1.5*3.2,60500000000*(1.654288^(MIN($E2815,123)-117)))*1,0))</f>
        <v>8078131097</v>
      </c>
    </row>
    <row r="2816" ht="28" customHeight="1" spans="1:34" x14ac:dyDescent="0.25">
      <c r="A2816">
        <v>2826</v>
      </c>
      <c r="B2816" t="s">
        <v>1624</v>
      </c>
      <c r="C2816" s="10" t="s">
        <v>1593</v>
      </c>
      <c r="D2816" t="s">
        <v>64</v>
      </c>
      <c r="E2816">
        <v>113</v>
      </c>
      <c r="F2816" t="s">
        <v>26</v>
      </c>
      <c r="G2816" t="s">
        <v>1625</v>
      </c>
      <c r="H2816">
        <v>27</v>
      </c>
      <c r="I2816" s="11">
        <f>$E2816+0</f>
        <v>113</v>
      </c>
      <c r="J2816" s="12">
        <v>384000</v>
      </c>
      <c r="K2816" s="13">
        <f>$E2816+1</f>
        <v>114</v>
      </c>
      <c r="L2816" s="14">
        <f>IF($J2816=0,0,ROUND(MAX($J2816*1.4,1620000*(1.497923^(MIN($E2816,123)-117)))*1,0))</f>
        <v>537600</v>
      </c>
      <c r="M2816" s="11">
        <f>$E2816+2</f>
        <v>115</v>
      </c>
      <c r="N2816" s="12">
        <f>IF($J2816=0,0,ROUND(MAX($J2816*1.4*1.5,2190000*(1.580994^(MIN($E2816,123)-117)))*1,0))</f>
        <v>806400</v>
      </c>
      <c r="O2816" s="13">
        <f>$E2816+4</f>
        <v>117</v>
      </c>
      <c r="P2816" s="14">
        <f>IF($J2816=0,0,ROUND(MAX($J2816*1.4*1.5*1.6,3500000*(1.57975^(MIN($E2816,123)-117)))*1,0))</f>
        <v>1290240</v>
      </c>
      <c r="Q2816" s="11">
        <f>$E2816+6</f>
        <v>119</v>
      </c>
      <c r="R2816" s="12">
        <f>IF($J2816=0,0,ROUND(MAX($J2816*1.4*1.5*1.6*1.6,13100000*(1.429962^(MIN($E2816,123)-117)))*1,0))</f>
        <v>3133093</v>
      </c>
      <c r="S2816" s="13">
        <f>$E2816+8</f>
        <v>121</v>
      </c>
      <c r="T2816" s="14">
        <f>IF($J2816=0,0,ROUND(MAX($J2816*1.4*1.5*1.6*1.6*2.2,42600000*(1.576904^(MIN($E2816,123)-117)))*1,0))</f>
        <v>6889514</v>
      </c>
      <c r="U2816" s="11">
        <f>$E2816+11</f>
        <v>124</v>
      </c>
      <c r="V2816" s="12">
        <f>IF($J2816=0,0,ROUND(MAX($J2816*1.4*1.5*1.6*1.6*2.2*2.715,354000000*(1.642074^(MIN($E2816,123)-117)))*1,0))</f>
        <v>48689169</v>
      </c>
      <c r="W2816" s="13">
        <f>$E2816+15</f>
        <v>128</v>
      </c>
      <c r="X2816" s="14">
        <f>IF($J2816=0,0,ROUND(MAX($J2816*1.4*1.5*1.6*1.6*2.2*2.715*2.6,3540000000*(1.579646^(MIN($E2816,123)-117)))*1,0))</f>
        <v>568544122</v>
      </c>
      <c r="Y2816" s="11">
        <f>$E2816+17</f>
        <v>130</v>
      </c>
      <c r="Z2816" s="12">
        <f>IF($J2816=0,0,ROUND(MAX($J2816*1.4*1.5*1.6*1.6*2.2*2.715*2.6*1.4,6020000000*(1.651178^(MIN($E2816,123)-117)))*1,0))</f>
        <v>809880453</v>
      </c>
      <c r="AA2816" s="13">
        <f>$E2816+19</f>
        <v>132</v>
      </c>
      <c r="AB2816" s="14">
        <f>IF($J2816=0,0,ROUND(MAX($J2816*1.4*1.5*1.6*1.6*2.2*2.715*2.6*1.4*1.4,8430000000*(1.651435^(MIN($E2816,123)-117)))*1,0))</f>
        <v>1133395897</v>
      </c>
      <c r="AC2816" s="11">
        <f>$E2816+21</f>
        <v>134</v>
      </c>
      <c r="AD2816" s="12">
        <f>IF($J2816=0,0,ROUND(MAX($J2816*1.4*1.5*1.6*1.6*2.2*2.715*2.6*1.4*1.4*1.5,12600000000*(1.652953^(MIN($E2816,123)-117)))*1,0))</f>
        <v>1687829312</v>
      </c>
      <c r="AE2816" s="13">
        <f>$E2816+24</f>
        <v>137</v>
      </c>
      <c r="AF2816" s="14">
        <f>IF($J2816=0,0,ROUND(MAX($J2816*1.4*1.5*1.6*1.6*2.2*2.715*2.6*1.4*1.4*1.5*1.5,18900000000*(1.65331^(MIN($E2816,123)-117)))*1,0))</f>
        <v>2529557954</v>
      </c>
      <c r="AG2816" s="11">
        <f>$E2816+27</f>
        <v>140</v>
      </c>
      <c r="AH2816" s="12">
        <f>IF($J2816=0,0,ROUND(MAX($J2816*1.4*1.5*1.6*1.6*2.2*2.715*2.6*1.4*1.4*1.5*1.5*3.2,60500000000*(1.654288^(MIN($E2816,123)-117)))*1,0))</f>
        <v>8078131097</v>
      </c>
    </row>
    <row r="2817" ht="28" customHeight="1" spans="1:34" x14ac:dyDescent="0.25">
      <c r="A2817">
        <v>2827</v>
      </c>
      <c r="B2817" t="s">
        <v>1196</v>
      </c>
      <c r="C2817" s="10" t="s">
        <v>1593</v>
      </c>
      <c r="D2817" t="s">
        <v>33</v>
      </c>
      <c r="E2817">
        <v>113</v>
      </c>
      <c r="F2817" t="s">
        <v>62</v>
      </c>
      <c r="G2817" t="s">
        <v>595</v>
      </c>
      <c r="H2817">
        <v>26</v>
      </c>
      <c r="I2817" s="11">
        <f>$E2817+0</f>
        <v>113</v>
      </c>
      <c r="J2817" s="12">
        <v>459000</v>
      </c>
      <c r="K2817" s="13">
        <f>$E2817+1</f>
        <v>114</v>
      </c>
      <c r="L2817" s="14">
        <f>IF($J2817=0,0,ROUND(MAX($J2817*1.4,1620000*(1.497923^(MIN($E2817,123)-117)))*1,0))</f>
        <v>642600</v>
      </c>
      <c r="M2817" s="11">
        <f>$E2817+2</f>
        <v>115</v>
      </c>
      <c r="N2817" s="12">
        <f>IF($J2817=0,0,ROUND(MAX($J2817*1.4*1.5,2190000*(1.580994^(MIN($E2817,123)-117)))*1,0))</f>
        <v>963900</v>
      </c>
      <c r="O2817" s="13">
        <f>$E2817+4</f>
        <v>117</v>
      </c>
      <c r="P2817" s="14">
        <f>IF($J2817=0,0,ROUND(MAX($J2817*1.4*1.5*1.6,3500000*(1.57975^(MIN($E2817,123)-117)))*1,0))</f>
        <v>1542240</v>
      </c>
      <c r="Q2817" s="11">
        <f>$E2817+6</f>
        <v>119</v>
      </c>
      <c r="R2817" s="12">
        <f>IF($J2817=0,0,ROUND(MAX($J2817*1.4*1.5*1.6*1.6,13100000*(1.429962^(MIN($E2817,123)-117)))*1,0))</f>
        <v>3133093</v>
      </c>
      <c r="S2817" s="13">
        <f>$E2817+8</f>
        <v>121</v>
      </c>
      <c r="T2817" s="14">
        <f>IF($J2817=0,0,ROUND(MAX($J2817*1.4*1.5*1.6*1.6*2.2,42600000*(1.576904^(MIN($E2817,123)-117)))*1,0))</f>
        <v>6889514</v>
      </c>
      <c r="U2817" s="11">
        <f>$E2817+11</f>
        <v>124</v>
      </c>
      <c r="V2817" s="12">
        <f>IF($J2817=0,0,ROUND(MAX($J2817*1.4*1.5*1.6*1.6*2.2*2.715,354000000*(1.642074^(MIN($E2817,123)-117)))*1,0))</f>
        <v>48689169</v>
      </c>
      <c r="W2817" s="13">
        <f>$E2817+15</f>
        <v>128</v>
      </c>
      <c r="X2817" s="14">
        <f>IF($J2817=0,0,ROUND(MAX($J2817*1.4*1.5*1.6*1.6*2.2*2.715*2.6,3540000000*(1.579646^(MIN($E2817,123)-117)))*1,0))</f>
        <v>568544122</v>
      </c>
      <c r="Y2817" s="11">
        <f>$E2817+17</f>
        <v>130</v>
      </c>
      <c r="Z2817" s="12">
        <f>IF($J2817=0,0,ROUND(MAX($J2817*1.4*1.5*1.6*1.6*2.2*2.715*2.6*1.4,6020000000*(1.651178^(MIN($E2817,123)-117)))*1,0))</f>
        <v>809880453</v>
      </c>
      <c r="AA2817" s="13">
        <f>$E2817+19</f>
        <v>132</v>
      </c>
      <c r="AB2817" s="14">
        <f>IF($J2817=0,0,ROUND(MAX($J2817*1.4*1.5*1.6*1.6*2.2*2.715*2.6*1.4*1.4,8430000000*(1.651435^(MIN($E2817,123)-117)))*1,0))</f>
        <v>1133395897</v>
      </c>
      <c r="AC2817" s="11">
        <f>$E2817+21</f>
        <v>134</v>
      </c>
      <c r="AD2817" s="12">
        <f>IF($J2817=0,0,ROUND(MAX($J2817*1.4*1.5*1.6*1.6*2.2*2.715*2.6*1.4*1.4*1.5,12600000000*(1.652953^(MIN($E2817,123)-117)))*1,0))</f>
        <v>1687829312</v>
      </c>
      <c r="AE2817" s="13">
        <f>$E2817+24</f>
        <v>137</v>
      </c>
      <c r="AF2817" s="14">
        <f>IF($J2817=0,0,ROUND(MAX($J2817*1.4*1.5*1.6*1.6*2.2*2.715*2.6*1.4*1.4*1.5*1.5,18900000000*(1.65331^(MIN($E2817,123)-117)))*1,0))</f>
        <v>2529557954</v>
      </c>
      <c r="AG2817" s="11">
        <f>$E2817+27</f>
        <v>140</v>
      </c>
      <c r="AH2817" s="12">
        <f>IF($J2817=0,0,ROUND(MAX($J2817*1.4*1.5*1.6*1.6*2.2*2.715*2.6*1.4*1.4*1.5*1.5*3.2,60500000000*(1.654288^(MIN($E2817,123)-117)))*1,0))</f>
        <v>8078131097</v>
      </c>
    </row>
    <row r="2818" ht="28" customHeight="1" spans="1:34" x14ac:dyDescent="0.25">
      <c r="A2818">
        <v>2828</v>
      </c>
      <c r="B2818" t="s">
        <v>618</v>
      </c>
      <c r="C2818" s="10" t="s">
        <v>1593</v>
      </c>
      <c r="D2818" t="s">
        <v>331</v>
      </c>
      <c r="E2818">
        <v>113</v>
      </c>
      <c r="F2818" t="s">
        <v>42</v>
      </c>
      <c r="G2818" t="s">
        <v>133</v>
      </c>
      <c r="H2818">
        <v>26</v>
      </c>
      <c r="I2818" s="11">
        <f>$E2818+0</f>
        <v>113</v>
      </c>
      <c r="J2818" s="12">
        <v>593000</v>
      </c>
      <c r="K2818" s="13">
        <f>$E2818+1</f>
        <v>114</v>
      </c>
      <c r="L2818" s="14">
        <f>IF($J2818=0,0,ROUND(MAX($J2818*1.4,1620000*(1.497923^(MIN($E2818,123)-117)))*1,0))</f>
        <v>830200</v>
      </c>
      <c r="M2818" s="11">
        <f>$E2818+2</f>
        <v>115</v>
      </c>
      <c r="N2818" s="12">
        <f>IF($J2818=0,0,ROUND(MAX($J2818*1.4*1.5,2190000*(1.580994^(MIN($E2818,123)-117)))*1,0))</f>
        <v>1245300</v>
      </c>
      <c r="O2818" s="13">
        <f>$E2818+4</f>
        <v>117</v>
      </c>
      <c r="P2818" s="14">
        <f>IF($J2818=0,0,ROUND(MAX($J2818*1.4*1.5*1.6,3500000*(1.57975^(MIN($E2818,123)-117)))*1,0))</f>
        <v>1992480</v>
      </c>
      <c r="Q2818" s="11">
        <f>$E2818+6</f>
        <v>119</v>
      </c>
      <c r="R2818" s="12">
        <f>IF($J2818=0,0,ROUND(MAX($J2818*1.4*1.5*1.6*1.6,13100000*(1.429962^(MIN($E2818,123)-117)))*1,0))</f>
        <v>3187968</v>
      </c>
      <c r="S2818" s="13">
        <f>$E2818+8</f>
        <v>121</v>
      </c>
      <c r="T2818" s="14">
        <f>IF($J2818=0,0,ROUND(MAX($J2818*1.4*1.5*1.6*1.6*2.2,42600000*(1.576904^(MIN($E2818,123)-117)))*1,0))</f>
        <v>7013530</v>
      </c>
      <c r="U2818" s="11">
        <f>$E2818+11</f>
        <v>124</v>
      </c>
      <c r="V2818" s="12">
        <f>IF($J2818=0,0,ROUND(MAX($J2818*1.4*1.5*1.6*1.6*2.2*2.715,354000000*(1.642074^(MIN($E2818,123)-117)))*1,0))</f>
        <v>48689169</v>
      </c>
      <c r="W2818" s="13">
        <f>$E2818+15</f>
        <v>128</v>
      </c>
      <c r="X2818" s="14">
        <f>IF($J2818=0,0,ROUND(MAX($J2818*1.4*1.5*1.6*1.6*2.2*2.715*2.6,3540000000*(1.579646^(MIN($E2818,123)-117)))*1,0))</f>
        <v>568544122</v>
      </c>
      <c r="Y2818" s="11">
        <f>$E2818+17</f>
        <v>130</v>
      </c>
      <c r="Z2818" s="12">
        <f>IF($J2818=0,0,ROUND(MAX($J2818*1.4*1.5*1.6*1.6*2.2*2.715*2.6*1.4,6020000000*(1.651178^(MIN($E2818,123)-117)))*1,0))</f>
        <v>809880453</v>
      </c>
      <c r="AA2818" s="13">
        <f>$E2818+19</f>
        <v>132</v>
      </c>
      <c r="AB2818" s="14">
        <f>IF($J2818=0,0,ROUND(MAX($J2818*1.4*1.5*1.6*1.6*2.2*2.715*2.6*1.4*1.4,8430000000*(1.651435^(MIN($E2818,123)-117)))*1,0))</f>
        <v>1133395897</v>
      </c>
      <c r="AC2818" s="11">
        <f>$E2818+21</f>
        <v>134</v>
      </c>
      <c r="AD2818" s="12">
        <f>IF($J2818=0,0,ROUND(MAX($J2818*1.4*1.5*1.6*1.6*2.2*2.715*2.6*1.4*1.4*1.5,12600000000*(1.652953^(MIN($E2818,123)-117)))*1,0))</f>
        <v>1687829312</v>
      </c>
      <c r="AE2818" s="13">
        <f>$E2818+24</f>
        <v>137</v>
      </c>
      <c r="AF2818" s="14">
        <f>IF($J2818=0,0,ROUND(MAX($J2818*1.4*1.5*1.6*1.6*2.2*2.715*2.6*1.4*1.4*1.5*1.5,18900000000*(1.65331^(MIN($E2818,123)-117)))*1,0))</f>
        <v>2529557954</v>
      </c>
      <c r="AG2818" s="11">
        <f>$E2818+27</f>
        <v>140</v>
      </c>
      <c r="AH2818" s="12">
        <f>IF($J2818=0,0,ROUND(MAX($J2818*1.4*1.5*1.6*1.6*2.2*2.715*2.6*1.4*1.4*1.5*1.5*3.2,60500000000*(1.654288^(MIN($E2818,123)-117)))*1,0))</f>
        <v>8078131097</v>
      </c>
    </row>
    <row r="2819" ht="28" customHeight="1" spans="1:34" x14ac:dyDescent="0.25">
      <c r="A2819">
        <v>2829</v>
      </c>
      <c r="B2819" t="s">
        <v>1626</v>
      </c>
      <c r="C2819" s="10" t="s">
        <v>1593</v>
      </c>
      <c r="D2819" t="s">
        <v>75</v>
      </c>
      <c r="E2819">
        <v>113</v>
      </c>
      <c r="F2819" t="s">
        <v>71</v>
      </c>
      <c r="G2819" t="s">
        <v>270</v>
      </c>
      <c r="H2819">
        <v>26</v>
      </c>
      <c r="I2819" s="11">
        <f>$E2819+0</f>
        <v>113</v>
      </c>
      <c r="J2819" s="12">
        <v>348000</v>
      </c>
      <c r="K2819" s="13">
        <f>$E2819+1</f>
        <v>114</v>
      </c>
      <c r="L2819" s="14">
        <f>IF($J2819=0,0,ROUND(MAX($J2819*1.4,1620000*(1.497923^(MIN($E2819,123)-117)))*1,0))</f>
        <v>487200</v>
      </c>
      <c r="M2819" s="11">
        <f>$E2819+2</f>
        <v>115</v>
      </c>
      <c r="N2819" s="12">
        <f>IF($J2819=0,0,ROUND(MAX($J2819*1.4*1.5,2190000*(1.580994^(MIN($E2819,123)-117)))*1,0))</f>
        <v>730800</v>
      </c>
      <c r="O2819" s="13">
        <f>$E2819+4</f>
        <v>117</v>
      </c>
      <c r="P2819" s="14">
        <f>IF($J2819=0,0,ROUND(MAX($J2819*1.4*1.5*1.6,3500000*(1.57975^(MIN($E2819,123)-117)))*1,0))</f>
        <v>1169280</v>
      </c>
      <c r="Q2819" s="11">
        <f>$E2819+6</f>
        <v>119</v>
      </c>
      <c r="R2819" s="12">
        <f>IF($J2819=0,0,ROUND(MAX($J2819*1.4*1.5*1.6*1.6,13100000*(1.429962^(MIN($E2819,123)-117)))*1,0))</f>
        <v>3133093</v>
      </c>
      <c r="S2819" s="13">
        <f>$E2819+8</f>
        <v>121</v>
      </c>
      <c r="T2819" s="14">
        <f>IF($J2819=0,0,ROUND(MAX($J2819*1.4*1.5*1.6*1.6*2.2,42600000*(1.576904^(MIN($E2819,123)-117)))*1,0))</f>
        <v>6889514</v>
      </c>
      <c r="U2819" s="11">
        <f>$E2819+11</f>
        <v>124</v>
      </c>
      <c r="V2819" s="12">
        <f>IF($J2819=0,0,ROUND(MAX($J2819*1.4*1.5*1.6*1.6*2.2*2.715,354000000*(1.642074^(MIN($E2819,123)-117)))*1,0))</f>
        <v>48689169</v>
      </c>
      <c r="W2819" s="13">
        <f>$E2819+15</f>
        <v>128</v>
      </c>
      <c r="X2819" s="14">
        <f>IF($J2819=0,0,ROUND(MAX($J2819*1.4*1.5*1.6*1.6*2.2*2.715*2.6,3540000000*(1.579646^(MIN($E2819,123)-117)))*1,0))</f>
        <v>568544122</v>
      </c>
      <c r="Y2819" s="11">
        <f>$E2819+17</f>
        <v>130</v>
      </c>
      <c r="Z2819" s="12">
        <f>IF($J2819=0,0,ROUND(MAX($J2819*1.4*1.5*1.6*1.6*2.2*2.715*2.6*1.4,6020000000*(1.651178^(MIN($E2819,123)-117)))*1,0))</f>
        <v>809880453</v>
      </c>
      <c r="AA2819" s="13">
        <f>$E2819+19</f>
        <v>132</v>
      </c>
      <c r="AB2819" s="14">
        <f>IF($J2819=0,0,ROUND(MAX($J2819*1.4*1.5*1.6*1.6*2.2*2.715*2.6*1.4*1.4,8430000000*(1.651435^(MIN($E2819,123)-117)))*1,0))</f>
        <v>1133395897</v>
      </c>
      <c r="AC2819" s="11">
        <f>$E2819+21</f>
        <v>134</v>
      </c>
      <c r="AD2819" s="12">
        <f>IF($J2819=0,0,ROUND(MAX($J2819*1.4*1.5*1.6*1.6*2.2*2.715*2.6*1.4*1.4*1.5,12600000000*(1.652953^(MIN($E2819,123)-117)))*1,0))</f>
        <v>1687829312</v>
      </c>
      <c r="AE2819" s="13">
        <f>$E2819+24</f>
        <v>137</v>
      </c>
      <c r="AF2819" s="14">
        <f>IF($J2819=0,0,ROUND(MAX($J2819*1.4*1.5*1.6*1.6*2.2*2.715*2.6*1.4*1.4*1.5*1.5,18900000000*(1.65331^(MIN($E2819,123)-117)))*1,0))</f>
        <v>2529557954</v>
      </c>
      <c r="AG2819" s="11">
        <f>$E2819+27</f>
        <v>140</v>
      </c>
      <c r="AH2819" s="12">
        <f>IF($J2819=0,0,ROUND(MAX($J2819*1.4*1.5*1.6*1.6*2.2*2.715*2.6*1.4*1.4*1.5*1.5*3.2,60500000000*(1.654288^(MIN($E2819,123)-117)))*1,0))</f>
        <v>8078131097</v>
      </c>
    </row>
    <row r="2820" ht="28" customHeight="1" spans="1:34" x14ac:dyDescent="0.25">
      <c r="A2820">
        <v>2830</v>
      </c>
      <c r="B2820" t="s">
        <v>1627</v>
      </c>
      <c r="C2820" s="10" t="s">
        <v>1593</v>
      </c>
      <c r="D2820" t="s">
        <v>75</v>
      </c>
      <c r="E2820">
        <v>113</v>
      </c>
      <c r="F2820" t="s">
        <v>71</v>
      </c>
      <c r="G2820" t="s">
        <v>326</v>
      </c>
      <c r="H2820">
        <v>26</v>
      </c>
      <c r="I2820" s="11">
        <f>$E2820+0</f>
        <v>113</v>
      </c>
      <c r="J2820" s="12">
        <v>420000</v>
      </c>
      <c r="K2820" s="13">
        <f>$E2820+1</f>
        <v>114</v>
      </c>
      <c r="L2820" s="14">
        <f>IF($J2820=0,0,ROUND(MAX($J2820*1.4,1620000*(1.497923^(MIN($E2820,123)-117)))*1,0))</f>
        <v>588000</v>
      </c>
      <c r="M2820" s="11">
        <f>$E2820+2</f>
        <v>115</v>
      </c>
      <c r="N2820" s="12">
        <f>IF($J2820=0,0,ROUND(MAX($J2820*1.4*1.5,2190000*(1.580994^(MIN($E2820,123)-117)))*1,0))</f>
        <v>882000</v>
      </c>
      <c r="O2820" s="13">
        <f>$E2820+4</f>
        <v>117</v>
      </c>
      <c r="P2820" s="14">
        <f>IF($J2820=0,0,ROUND(MAX($J2820*1.4*1.5*1.6,3500000*(1.57975^(MIN($E2820,123)-117)))*1,0))</f>
        <v>1411200</v>
      </c>
      <c r="Q2820" s="11">
        <f>$E2820+6</f>
        <v>119</v>
      </c>
      <c r="R2820" s="12">
        <f>IF($J2820=0,0,ROUND(MAX($J2820*1.4*1.5*1.6*1.6,13100000*(1.429962^(MIN($E2820,123)-117)))*1,0))</f>
        <v>3133093</v>
      </c>
      <c r="S2820" s="13">
        <f>$E2820+8</f>
        <v>121</v>
      </c>
      <c r="T2820" s="14">
        <f>IF($J2820=0,0,ROUND(MAX($J2820*1.4*1.5*1.6*1.6*2.2,42600000*(1.576904^(MIN($E2820,123)-117)))*1,0))</f>
        <v>6889514</v>
      </c>
      <c r="U2820" s="11">
        <f>$E2820+11</f>
        <v>124</v>
      </c>
      <c r="V2820" s="12">
        <f>IF($J2820=0,0,ROUND(MAX($J2820*1.4*1.5*1.6*1.6*2.2*2.715,354000000*(1.642074^(MIN($E2820,123)-117)))*1,0))</f>
        <v>48689169</v>
      </c>
      <c r="W2820" s="13">
        <f>$E2820+15</f>
        <v>128</v>
      </c>
      <c r="X2820" s="14">
        <f>IF($J2820=0,0,ROUND(MAX($J2820*1.4*1.5*1.6*1.6*2.2*2.715*2.6,3540000000*(1.579646^(MIN($E2820,123)-117)))*1,0))</f>
        <v>568544122</v>
      </c>
      <c r="Y2820" s="11">
        <f>$E2820+17</f>
        <v>130</v>
      </c>
      <c r="Z2820" s="12">
        <f>IF($J2820=0,0,ROUND(MAX($J2820*1.4*1.5*1.6*1.6*2.2*2.715*2.6*1.4,6020000000*(1.651178^(MIN($E2820,123)-117)))*1,0))</f>
        <v>809880453</v>
      </c>
      <c r="AA2820" s="13">
        <f>$E2820+19</f>
        <v>132</v>
      </c>
      <c r="AB2820" s="14">
        <f>IF($J2820=0,0,ROUND(MAX($J2820*1.4*1.5*1.6*1.6*2.2*2.715*2.6*1.4*1.4,8430000000*(1.651435^(MIN($E2820,123)-117)))*1,0))</f>
        <v>1133395897</v>
      </c>
      <c r="AC2820" s="11">
        <f>$E2820+21</f>
        <v>134</v>
      </c>
      <c r="AD2820" s="12">
        <f>IF($J2820=0,0,ROUND(MAX($J2820*1.4*1.5*1.6*1.6*2.2*2.715*2.6*1.4*1.4*1.5,12600000000*(1.652953^(MIN($E2820,123)-117)))*1,0))</f>
        <v>1687829312</v>
      </c>
      <c r="AE2820" s="13">
        <f>$E2820+24</f>
        <v>137</v>
      </c>
      <c r="AF2820" s="14">
        <f>IF($J2820=0,0,ROUND(MAX($J2820*1.4*1.5*1.6*1.6*2.2*2.715*2.6*1.4*1.4*1.5*1.5,18900000000*(1.65331^(MIN($E2820,123)-117)))*1,0))</f>
        <v>2529557954</v>
      </c>
      <c r="AG2820" s="11">
        <f>$E2820+27</f>
        <v>140</v>
      </c>
      <c r="AH2820" s="12">
        <f>IF($J2820=0,0,ROUND(MAX($J2820*1.4*1.5*1.6*1.6*2.2*2.715*2.6*1.4*1.4*1.5*1.5*3.2,60500000000*(1.654288^(MIN($E2820,123)-117)))*1,0))</f>
        <v>8078131097</v>
      </c>
    </row>
    <row r="2821" ht="28" customHeight="1" spans="1:34" x14ac:dyDescent="0.25">
      <c r="A2821">
        <v>2831</v>
      </c>
      <c r="B2821" t="s">
        <v>1000</v>
      </c>
      <c r="C2821" s="10" t="s">
        <v>1593</v>
      </c>
      <c r="D2821" t="s">
        <v>331</v>
      </c>
      <c r="E2821">
        <v>113</v>
      </c>
      <c r="F2821" t="s">
        <v>62</v>
      </c>
      <c r="G2821" t="s">
        <v>595</v>
      </c>
      <c r="H2821">
        <v>26</v>
      </c>
      <c r="I2821" s="11">
        <f>$E2821+0</f>
        <v>113</v>
      </c>
      <c r="J2821" s="12">
        <v>393000</v>
      </c>
      <c r="K2821" s="13">
        <f>$E2821+1</f>
        <v>114</v>
      </c>
      <c r="L2821" s="14">
        <f>IF($J2821=0,0,ROUND(MAX($J2821*1.4,1620000*(1.497923^(MIN($E2821,123)-117)))*1,0))</f>
        <v>550200</v>
      </c>
      <c r="M2821" s="11">
        <f>$E2821+2</f>
        <v>115</v>
      </c>
      <c r="N2821" s="12">
        <f>IF($J2821=0,0,ROUND(MAX($J2821*1.4*1.5,2190000*(1.580994^(MIN($E2821,123)-117)))*1,0))</f>
        <v>825300</v>
      </c>
      <c r="O2821" s="13">
        <f>$E2821+4</f>
        <v>117</v>
      </c>
      <c r="P2821" s="14">
        <f>IF($J2821=0,0,ROUND(MAX($J2821*1.4*1.5*1.6,3500000*(1.57975^(MIN($E2821,123)-117)))*1,0))</f>
        <v>1320480</v>
      </c>
      <c r="Q2821" s="11">
        <f>$E2821+6</f>
        <v>119</v>
      </c>
      <c r="R2821" s="12">
        <f>IF($J2821=0,0,ROUND(MAX($J2821*1.4*1.5*1.6*1.6,13100000*(1.429962^(MIN($E2821,123)-117)))*1,0))</f>
        <v>3133093</v>
      </c>
      <c r="S2821" s="13">
        <f>$E2821+8</f>
        <v>121</v>
      </c>
      <c r="T2821" s="14">
        <f>IF($J2821=0,0,ROUND(MAX($J2821*1.4*1.5*1.6*1.6*2.2,42600000*(1.576904^(MIN($E2821,123)-117)))*1,0))</f>
        <v>6889514</v>
      </c>
      <c r="U2821" s="11">
        <f>$E2821+11</f>
        <v>124</v>
      </c>
      <c r="V2821" s="12">
        <f>IF($J2821=0,0,ROUND(MAX($J2821*1.4*1.5*1.6*1.6*2.2*2.715,354000000*(1.642074^(MIN($E2821,123)-117)))*1,0))</f>
        <v>48689169</v>
      </c>
      <c r="W2821" s="13">
        <f>$E2821+15</f>
        <v>128</v>
      </c>
      <c r="X2821" s="14">
        <f>IF($J2821=0,0,ROUND(MAX($J2821*1.4*1.5*1.6*1.6*2.2*2.715*2.6,3540000000*(1.579646^(MIN($E2821,123)-117)))*1,0))</f>
        <v>568544122</v>
      </c>
      <c r="Y2821" s="11">
        <f>$E2821+17</f>
        <v>130</v>
      </c>
      <c r="Z2821" s="12">
        <f>IF($J2821=0,0,ROUND(MAX($J2821*1.4*1.5*1.6*1.6*2.2*2.715*2.6*1.4,6020000000*(1.651178^(MIN($E2821,123)-117)))*1,0))</f>
        <v>809880453</v>
      </c>
      <c r="AA2821" s="13">
        <f>$E2821+19</f>
        <v>132</v>
      </c>
      <c r="AB2821" s="14">
        <f>IF($J2821=0,0,ROUND(MAX($J2821*1.4*1.5*1.6*1.6*2.2*2.715*2.6*1.4*1.4,8430000000*(1.651435^(MIN($E2821,123)-117)))*1,0))</f>
        <v>1133395897</v>
      </c>
      <c r="AC2821" s="11">
        <f>$E2821+21</f>
        <v>134</v>
      </c>
      <c r="AD2821" s="12">
        <f>IF($J2821=0,0,ROUND(MAX($J2821*1.4*1.5*1.6*1.6*2.2*2.715*2.6*1.4*1.4*1.5,12600000000*(1.652953^(MIN($E2821,123)-117)))*1,0))</f>
        <v>1687829312</v>
      </c>
      <c r="AE2821" s="13">
        <f>$E2821+24</f>
        <v>137</v>
      </c>
      <c r="AF2821" s="14">
        <f>IF($J2821=0,0,ROUND(MAX($J2821*1.4*1.5*1.6*1.6*2.2*2.715*2.6*1.4*1.4*1.5*1.5,18900000000*(1.65331^(MIN($E2821,123)-117)))*1,0))</f>
        <v>2529557954</v>
      </c>
      <c r="AG2821" s="11">
        <f>$E2821+27</f>
        <v>140</v>
      </c>
      <c r="AH2821" s="12">
        <f>IF($J2821=0,0,ROUND(MAX($J2821*1.4*1.5*1.6*1.6*2.2*2.715*2.6*1.4*1.4*1.5*1.5*3.2,60500000000*(1.654288^(MIN($E2821,123)-117)))*1,0))</f>
        <v>8078131097</v>
      </c>
    </row>
    <row r="2822" ht="28" customHeight="1" spans="1:34" x14ac:dyDescent="0.25">
      <c r="A2822">
        <v>2832</v>
      </c>
      <c r="B2822" t="s">
        <v>471</v>
      </c>
      <c r="C2822" s="10" t="s">
        <v>1593</v>
      </c>
      <c r="D2822" t="s">
        <v>45</v>
      </c>
      <c r="E2822">
        <v>113</v>
      </c>
      <c r="F2822" t="s">
        <v>54</v>
      </c>
      <c r="G2822" t="s">
        <v>472</v>
      </c>
      <c r="H2822">
        <v>26</v>
      </c>
      <c r="I2822" s="11">
        <f>$E2822+0</f>
        <v>113</v>
      </c>
      <c r="J2822" s="12">
        <v>328000</v>
      </c>
      <c r="K2822" s="13">
        <f>$E2822+1</f>
        <v>114</v>
      </c>
      <c r="L2822" s="14">
        <f>IF($J2822=0,0,ROUND(MAX($J2822*1.4,1620000*(1.497923^(MIN($E2822,123)-117)))*1,0))</f>
        <v>459200</v>
      </c>
      <c r="M2822" s="11">
        <f>$E2822+2</f>
        <v>115</v>
      </c>
      <c r="N2822" s="12">
        <f>IF($J2822=0,0,ROUND(MAX($J2822*1.4*1.5,2190000*(1.580994^(MIN($E2822,123)-117)))*1,0))</f>
        <v>688800</v>
      </c>
      <c r="O2822" s="13">
        <f>$E2822+4</f>
        <v>117</v>
      </c>
      <c r="P2822" s="14">
        <f>IF($J2822=0,0,ROUND(MAX($J2822*1.4*1.5*1.6,3500000*(1.57975^(MIN($E2822,123)-117)))*1,0))</f>
        <v>1102080</v>
      </c>
      <c r="Q2822" s="11">
        <f>$E2822+6</f>
        <v>119</v>
      </c>
      <c r="R2822" s="12">
        <f>IF($J2822=0,0,ROUND(MAX($J2822*1.4*1.5*1.6*1.6,13100000*(1.429962^(MIN($E2822,123)-117)))*1,0))</f>
        <v>3133093</v>
      </c>
      <c r="S2822" s="13">
        <f>$E2822+8</f>
        <v>121</v>
      </c>
      <c r="T2822" s="14">
        <f>IF($J2822=0,0,ROUND(MAX($J2822*1.4*1.5*1.6*1.6*2.2,42600000*(1.576904^(MIN($E2822,123)-117)))*1,0))</f>
        <v>6889514</v>
      </c>
      <c r="U2822" s="11">
        <f>$E2822+11</f>
        <v>124</v>
      </c>
      <c r="V2822" s="12">
        <f>IF($J2822=0,0,ROUND(MAX($J2822*1.4*1.5*1.6*1.6*2.2*2.715,354000000*(1.642074^(MIN($E2822,123)-117)))*1,0))</f>
        <v>48689169</v>
      </c>
      <c r="W2822" s="13">
        <f>$E2822+15</f>
        <v>128</v>
      </c>
      <c r="X2822" s="14">
        <f>IF($J2822=0,0,ROUND(MAX($J2822*1.4*1.5*1.6*1.6*2.2*2.715*2.6,3540000000*(1.579646^(MIN($E2822,123)-117)))*1,0))</f>
        <v>568544122</v>
      </c>
      <c r="Y2822" s="11">
        <f>$E2822+17</f>
        <v>130</v>
      </c>
      <c r="Z2822" s="12">
        <f>IF($J2822=0,0,ROUND(MAX($J2822*1.4*1.5*1.6*1.6*2.2*2.715*2.6*1.4,6020000000*(1.651178^(MIN($E2822,123)-117)))*1,0))</f>
        <v>809880453</v>
      </c>
      <c r="AA2822" s="13">
        <f>$E2822+19</f>
        <v>132</v>
      </c>
      <c r="AB2822" s="14">
        <f>IF($J2822=0,0,ROUND(MAX($J2822*1.4*1.5*1.6*1.6*2.2*2.715*2.6*1.4*1.4,8430000000*(1.651435^(MIN($E2822,123)-117)))*1,0))</f>
        <v>1133395897</v>
      </c>
      <c r="AC2822" s="11">
        <f>$E2822+21</f>
        <v>134</v>
      </c>
      <c r="AD2822" s="12">
        <f>IF($J2822=0,0,ROUND(MAX($J2822*1.4*1.5*1.6*1.6*2.2*2.715*2.6*1.4*1.4*1.5,12600000000*(1.652953^(MIN($E2822,123)-117)))*1,0))</f>
        <v>1687829312</v>
      </c>
      <c r="AE2822" s="13">
        <f>$E2822+24</f>
        <v>137</v>
      </c>
      <c r="AF2822" s="14">
        <f>IF($J2822=0,0,ROUND(MAX($J2822*1.4*1.5*1.6*1.6*2.2*2.715*2.6*1.4*1.4*1.5*1.5,18900000000*(1.65331^(MIN($E2822,123)-117)))*1,0))</f>
        <v>2529557954</v>
      </c>
      <c r="AG2822" s="11">
        <f>$E2822+27</f>
        <v>140</v>
      </c>
      <c r="AH2822" s="12">
        <f>IF($J2822=0,0,ROUND(MAX($J2822*1.4*1.5*1.6*1.6*2.2*2.715*2.6*1.4*1.4*1.5*1.5*3.2,60500000000*(1.654288^(MIN($E2822,123)-117)))*1,0))</f>
        <v>8078131097</v>
      </c>
    </row>
    <row r="2823" ht="28" customHeight="1" spans="1:34" x14ac:dyDescent="0.25">
      <c r="A2823">
        <v>2833</v>
      </c>
      <c r="B2823" t="s">
        <v>945</v>
      </c>
      <c r="C2823" s="10" t="s">
        <v>1593</v>
      </c>
      <c r="D2823" t="s">
        <v>102</v>
      </c>
      <c r="E2823">
        <v>113</v>
      </c>
      <c r="F2823" t="s">
        <v>42</v>
      </c>
      <c r="G2823" t="s">
        <v>595</v>
      </c>
      <c r="H2823">
        <v>26</v>
      </c>
      <c r="I2823" s="11">
        <f>$E2823+0</f>
        <v>113</v>
      </c>
      <c r="J2823" s="12">
        <v>417000</v>
      </c>
      <c r="K2823" s="13">
        <f>$E2823+1</f>
        <v>114</v>
      </c>
      <c r="L2823" s="14">
        <f>IF($J2823=0,0,ROUND(MAX($J2823*1.4,1620000*(1.497923^(MIN($E2823,123)-117)))*1,0))</f>
        <v>583800</v>
      </c>
      <c r="M2823" s="11">
        <f>$E2823+2</f>
        <v>115</v>
      </c>
      <c r="N2823" s="12">
        <f>IF($J2823=0,0,ROUND(MAX($J2823*1.4*1.5,2190000*(1.580994^(MIN($E2823,123)-117)))*1,0))</f>
        <v>875700</v>
      </c>
      <c r="O2823" s="13">
        <f>$E2823+4</f>
        <v>117</v>
      </c>
      <c r="P2823" s="14">
        <f>IF($J2823=0,0,ROUND(MAX($J2823*1.4*1.5*1.6,3500000*(1.57975^(MIN($E2823,123)-117)))*1,0))</f>
        <v>1401120</v>
      </c>
      <c r="Q2823" s="11">
        <f>$E2823+6</f>
        <v>119</v>
      </c>
      <c r="R2823" s="12">
        <f>IF($J2823=0,0,ROUND(MAX($J2823*1.4*1.5*1.6*1.6,13100000*(1.429962^(MIN($E2823,123)-117)))*1,0))</f>
        <v>3133093</v>
      </c>
      <c r="S2823" s="13">
        <f>$E2823+8</f>
        <v>121</v>
      </c>
      <c r="T2823" s="14">
        <f>IF($J2823=0,0,ROUND(MAX($J2823*1.4*1.5*1.6*1.6*2.2,42600000*(1.576904^(MIN($E2823,123)-117)))*1,0))</f>
        <v>6889514</v>
      </c>
      <c r="U2823" s="11">
        <f>$E2823+11</f>
        <v>124</v>
      </c>
      <c r="V2823" s="12">
        <f>IF($J2823=0,0,ROUND(MAX($J2823*1.4*1.5*1.6*1.6*2.2*2.715,354000000*(1.642074^(MIN($E2823,123)-117)))*1,0))</f>
        <v>48689169</v>
      </c>
      <c r="W2823" s="13">
        <f>$E2823+15</f>
        <v>128</v>
      </c>
      <c r="X2823" s="14">
        <f>IF($J2823=0,0,ROUND(MAX($J2823*1.4*1.5*1.6*1.6*2.2*2.715*2.6,3540000000*(1.579646^(MIN($E2823,123)-117)))*1,0))</f>
        <v>568544122</v>
      </c>
      <c r="Y2823" s="11">
        <f>$E2823+17</f>
        <v>130</v>
      </c>
      <c r="Z2823" s="12">
        <f>IF($J2823=0,0,ROUND(MAX($J2823*1.4*1.5*1.6*1.6*2.2*2.715*2.6*1.4,6020000000*(1.651178^(MIN($E2823,123)-117)))*1,0))</f>
        <v>809880453</v>
      </c>
      <c r="AA2823" s="13">
        <f>$E2823+19</f>
        <v>132</v>
      </c>
      <c r="AB2823" s="14">
        <f>IF($J2823=0,0,ROUND(MAX($J2823*1.4*1.5*1.6*1.6*2.2*2.715*2.6*1.4*1.4,8430000000*(1.651435^(MIN($E2823,123)-117)))*1,0))</f>
        <v>1133395897</v>
      </c>
      <c r="AC2823" s="11">
        <f>$E2823+21</f>
        <v>134</v>
      </c>
      <c r="AD2823" s="12">
        <f>IF($J2823=0,0,ROUND(MAX($J2823*1.4*1.5*1.6*1.6*2.2*2.715*2.6*1.4*1.4*1.5,12600000000*(1.652953^(MIN($E2823,123)-117)))*1,0))</f>
        <v>1687829312</v>
      </c>
      <c r="AE2823" s="13">
        <f>$E2823+24</f>
        <v>137</v>
      </c>
      <c r="AF2823" s="14">
        <f>IF($J2823=0,0,ROUND(MAX($J2823*1.4*1.5*1.6*1.6*2.2*2.715*2.6*1.4*1.4*1.5*1.5,18900000000*(1.65331^(MIN($E2823,123)-117)))*1,0))</f>
        <v>2529557954</v>
      </c>
      <c r="AG2823" s="11">
        <f>$E2823+27</f>
        <v>140</v>
      </c>
      <c r="AH2823" s="12">
        <f>IF($J2823=0,0,ROUND(MAX($J2823*1.4*1.5*1.6*1.6*2.2*2.715*2.6*1.4*1.4*1.5*1.5*3.2,60500000000*(1.654288^(MIN($E2823,123)-117)))*1,0))</f>
        <v>8078131097</v>
      </c>
    </row>
    <row r="2824" ht="28" customHeight="1" spans="1:34" x14ac:dyDescent="0.25">
      <c r="A2824">
        <v>2834</v>
      </c>
      <c r="B2824" t="s">
        <v>1628</v>
      </c>
      <c r="C2824" s="10" t="s">
        <v>1593</v>
      </c>
      <c r="D2824" t="s">
        <v>33</v>
      </c>
      <c r="E2824">
        <v>113</v>
      </c>
      <c r="F2824" t="s">
        <v>1093</v>
      </c>
      <c r="G2824" t="s">
        <v>595</v>
      </c>
      <c r="H2824">
        <v>26</v>
      </c>
      <c r="I2824" s="11">
        <f>$E2824+0</f>
        <v>113</v>
      </c>
      <c r="J2824" s="12">
        <v>370000</v>
      </c>
      <c r="K2824" s="13">
        <f>$E2824+1</f>
        <v>114</v>
      </c>
      <c r="L2824" s="14">
        <f>IF($J2824=0,0,ROUND(MAX($J2824*1.4,1620000*(1.497923^(MIN($E2824,123)-117)))*1,0))</f>
        <v>518000</v>
      </c>
      <c r="M2824" s="11">
        <f>$E2824+2</f>
        <v>115</v>
      </c>
      <c r="N2824" s="12">
        <f>IF($J2824=0,0,ROUND(MAX($J2824*1.4*1.5,2190000*(1.580994^(MIN($E2824,123)-117)))*1,0))</f>
        <v>777000</v>
      </c>
      <c r="O2824" s="13">
        <f>$E2824+4</f>
        <v>117</v>
      </c>
      <c r="P2824" s="14">
        <f>IF($J2824=0,0,ROUND(MAX($J2824*1.4*1.5*1.6,3500000*(1.57975^(MIN($E2824,123)-117)))*1,0))</f>
        <v>1243200</v>
      </c>
      <c r="Q2824" s="11">
        <f>$E2824+6</f>
        <v>119</v>
      </c>
      <c r="R2824" s="12">
        <f>IF($J2824=0,0,ROUND(MAX($J2824*1.4*1.5*1.6*1.6,13100000*(1.429962^(MIN($E2824,123)-117)))*1,0))</f>
        <v>3133093</v>
      </c>
      <c r="S2824" s="13">
        <f>$E2824+8</f>
        <v>121</v>
      </c>
      <c r="T2824" s="14">
        <f>IF($J2824=0,0,ROUND(MAX($J2824*1.4*1.5*1.6*1.6*2.2,42600000*(1.576904^(MIN($E2824,123)-117)))*1,0))</f>
        <v>6889514</v>
      </c>
      <c r="U2824" s="11">
        <f>$E2824+11</f>
        <v>124</v>
      </c>
      <c r="V2824" s="12">
        <f>IF($J2824=0,0,ROUND(MAX($J2824*1.4*1.5*1.6*1.6*2.2*2.715,354000000*(1.642074^(MIN($E2824,123)-117)))*1,0))</f>
        <v>48689169</v>
      </c>
      <c r="W2824" s="13">
        <f>$E2824+15</f>
        <v>128</v>
      </c>
      <c r="X2824" s="14">
        <f>IF($J2824=0,0,ROUND(MAX($J2824*1.4*1.5*1.6*1.6*2.2*2.715*2.6,3540000000*(1.579646^(MIN($E2824,123)-117)))*1,0))</f>
        <v>568544122</v>
      </c>
      <c r="Y2824" s="11">
        <f>$E2824+17</f>
        <v>130</v>
      </c>
      <c r="Z2824" s="12">
        <f>IF($J2824=0,0,ROUND(MAX($J2824*1.4*1.5*1.6*1.6*2.2*2.715*2.6*1.4,6020000000*(1.651178^(MIN($E2824,123)-117)))*1,0))</f>
        <v>809880453</v>
      </c>
      <c r="AA2824" s="13">
        <f>$E2824+19</f>
        <v>132</v>
      </c>
      <c r="AB2824" s="14">
        <f>IF($J2824=0,0,ROUND(MAX($J2824*1.4*1.5*1.6*1.6*2.2*2.715*2.6*1.4*1.4,8430000000*(1.651435^(MIN($E2824,123)-117)))*1,0))</f>
        <v>1133395897</v>
      </c>
      <c r="AC2824" s="11">
        <f>$E2824+21</f>
        <v>134</v>
      </c>
      <c r="AD2824" s="12">
        <f>IF($J2824=0,0,ROUND(MAX($J2824*1.4*1.5*1.6*1.6*2.2*2.715*2.6*1.4*1.4*1.5,12600000000*(1.652953^(MIN($E2824,123)-117)))*1,0))</f>
        <v>1687829312</v>
      </c>
      <c r="AE2824" s="13">
        <f>$E2824+24</f>
        <v>137</v>
      </c>
      <c r="AF2824" s="14">
        <f>IF($J2824=0,0,ROUND(MAX($J2824*1.4*1.5*1.6*1.6*2.2*2.715*2.6*1.4*1.4*1.5*1.5,18900000000*(1.65331^(MIN($E2824,123)-117)))*1,0))</f>
        <v>2529557954</v>
      </c>
      <c r="AG2824" s="11">
        <f>$E2824+27</f>
        <v>140</v>
      </c>
      <c r="AH2824" s="12">
        <f>IF($J2824=0,0,ROUND(MAX($J2824*1.4*1.5*1.6*1.6*2.2*2.715*2.6*1.4*1.4*1.5*1.5*3.2,60500000000*(1.654288^(MIN($E2824,123)-117)))*1,0))</f>
        <v>8078131097</v>
      </c>
    </row>
    <row r="2825" ht="28" customHeight="1" spans="1:34" x14ac:dyDescent="0.25">
      <c r="A2825">
        <v>2835</v>
      </c>
      <c r="B2825" t="s">
        <v>1060</v>
      </c>
      <c r="C2825" s="10" t="s">
        <v>1593</v>
      </c>
      <c r="D2825" t="s">
        <v>75</v>
      </c>
      <c r="E2825">
        <v>113</v>
      </c>
      <c r="F2825" t="s">
        <v>56</v>
      </c>
      <c r="G2825" t="s">
        <v>57</v>
      </c>
      <c r="H2825">
        <v>26</v>
      </c>
      <c r="I2825" s="11">
        <f>$E2825+0</f>
        <v>113</v>
      </c>
      <c r="J2825" s="12">
        <v>451000</v>
      </c>
      <c r="K2825" s="13">
        <f>$E2825+1</f>
        <v>114</v>
      </c>
      <c r="L2825" s="14">
        <f>IF($J2825=0,0,ROUND(MAX($J2825*1.4,1620000*(1.497923^(MIN($E2825,123)-117)))*1,0))</f>
        <v>631400</v>
      </c>
      <c r="M2825" s="11">
        <f>$E2825+2</f>
        <v>115</v>
      </c>
      <c r="N2825" s="12">
        <f>IF($J2825=0,0,ROUND(MAX($J2825*1.4*1.5,2190000*(1.580994^(MIN($E2825,123)-117)))*1,0))</f>
        <v>947100</v>
      </c>
      <c r="O2825" s="13">
        <f>$E2825+4</f>
        <v>117</v>
      </c>
      <c r="P2825" s="14">
        <f>IF($J2825=0,0,ROUND(MAX($J2825*1.4*1.5*1.6,3500000*(1.57975^(MIN($E2825,123)-117)))*1,0))</f>
        <v>1515360</v>
      </c>
      <c r="Q2825" s="11">
        <f>$E2825+6</f>
        <v>119</v>
      </c>
      <c r="R2825" s="12">
        <f>IF($J2825=0,0,ROUND(MAX($J2825*1.4*1.5*1.6*1.6,13100000*(1.429962^(MIN($E2825,123)-117)))*1,0))</f>
        <v>3133093</v>
      </c>
      <c r="S2825" s="13">
        <f>$E2825+8</f>
        <v>121</v>
      </c>
      <c r="T2825" s="14">
        <f>IF($J2825=0,0,ROUND(MAX($J2825*1.4*1.5*1.6*1.6*2.2,42600000*(1.576904^(MIN($E2825,123)-117)))*1,0))</f>
        <v>6889514</v>
      </c>
      <c r="U2825" s="11">
        <f>$E2825+11</f>
        <v>124</v>
      </c>
      <c r="V2825" s="12">
        <f>IF($J2825=0,0,ROUND(MAX($J2825*1.4*1.5*1.6*1.6*2.2*2.715,354000000*(1.642074^(MIN($E2825,123)-117)))*1,0))</f>
        <v>48689169</v>
      </c>
      <c r="W2825" s="13">
        <f>$E2825+15</f>
        <v>128</v>
      </c>
      <c r="X2825" s="14">
        <f>IF($J2825=0,0,ROUND(MAX($J2825*1.4*1.5*1.6*1.6*2.2*2.715*2.6,3540000000*(1.579646^(MIN($E2825,123)-117)))*1,0))</f>
        <v>568544122</v>
      </c>
      <c r="Y2825" s="11">
        <f>$E2825+17</f>
        <v>130</v>
      </c>
      <c r="Z2825" s="12">
        <f>IF($J2825=0,0,ROUND(MAX($J2825*1.4*1.5*1.6*1.6*2.2*2.715*2.6*1.4,6020000000*(1.651178^(MIN($E2825,123)-117)))*1,0))</f>
        <v>809880453</v>
      </c>
      <c r="AA2825" s="13">
        <f>$E2825+19</f>
        <v>132</v>
      </c>
      <c r="AB2825" s="14">
        <f>IF($J2825=0,0,ROUND(MAX($J2825*1.4*1.5*1.6*1.6*2.2*2.715*2.6*1.4*1.4,8430000000*(1.651435^(MIN($E2825,123)-117)))*1,0))</f>
        <v>1133395897</v>
      </c>
      <c r="AC2825" s="11">
        <f>$E2825+21</f>
        <v>134</v>
      </c>
      <c r="AD2825" s="12">
        <f>IF($J2825=0,0,ROUND(MAX($J2825*1.4*1.5*1.6*1.6*2.2*2.715*2.6*1.4*1.4*1.5,12600000000*(1.652953^(MIN($E2825,123)-117)))*1,0))</f>
        <v>1687829312</v>
      </c>
      <c r="AE2825" s="13">
        <f>$E2825+24</f>
        <v>137</v>
      </c>
      <c r="AF2825" s="14">
        <f>IF($J2825=0,0,ROUND(MAX($J2825*1.4*1.5*1.6*1.6*2.2*2.715*2.6*1.4*1.4*1.5*1.5,18900000000*(1.65331^(MIN($E2825,123)-117)))*1,0))</f>
        <v>2529557954</v>
      </c>
      <c r="AG2825" s="11">
        <f>$E2825+27</f>
        <v>140</v>
      </c>
      <c r="AH2825" s="12">
        <f>IF($J2825=0,0,ROUND(MAX($J2825*1.4*1.5*1.6*1.6*2.2*2.715*2.6*1.4*1.4*1.5*1.5*3.2,60500000000*(1.654288^(MIN($E2825,123)-117)))*1,0))</f>
        <v>8078131097</v>
      </c>
    </row>
    <row r="2826" ht="28" customHeight="1" spans="1:34" x14ac:dyDescent="0.25">
      <c r="A2826">
        <v>2836</v>
      </c>
      <c r="B2826" t="s">
        <v>1629</v>
      </c>
      <c r="C2826" s="10" t="s">
        <v>1593</v>
      </c>
      <c r="D2826" t="s">
        <v>241</v>
      </c>
      <c r="E2826">
        <v>113</v>
      </c>
      <c r="F2826" t="s">
        <v>62</v>
      </c>
      <c r="G2826" t="s">
        <v>27</v>
      </c>
      <c r="H2826">
        <v>26</v>
      </c>
      <c r="I2826" s="11">
        <f>$E2826+0</f>
        <v>113</v>
      </c>
      <c r="J2826" s="12">
        <v>369000</v>
      </c>
      <c r="K2826" s="13">
        <f>$E2826+1</f>
        <v>114</v>
      </c>
      <c r="L2826" s="14">
        <f>IF($J2826=0,0,ROUND(MAX($J2826*1.4,1620000*(1.497923^(MIN($E2826,123)-117)))*1,0))</f>
        <v>516600</v>
      </c>
      <c r="M2826" s="11">
        <f>$E2826+2</f>
        <v>115</v>
      </c>
      <c r="N2826" s="12">
        <f>IF($J2826=0,0,ROUND(MAX($J2826*1.4*1.5,2190000*(1.580994^(MIN($E2826,123)-117)))*1,0))</f>
        <v>774900</v>
      </c>
      <c r="O2826" s="13">
        <f>$E2826+4</f>
        <v>117</v>
      </c>
      <c r="P2826" s="14">
        <f>IF($J2826=0,0,ROUND(MAX($J2826*1.4*1.5*1.6,3500000*(1.57975^(MIN($E2826,123)-117)))*1,0))</f>
        <v>1239840</v>
      </c>
      <c r="Q2826" s="11">
        <f>$E2826+6</f>
        <v>119</v>
      </c>
      <c r="R2826" s="12">
        <f>IF($J2826=0,0,ROUND(MAX($J2826*1.4*1.5*1.6*1.6,13100000*(1.429962^(MIN($E2826,123)-117)))*1,0))</f>
        <v>3133093</v>
      </c>
      <c r="S2826" s="13">
        <f>$E2826+8</f>
        <v>121</v>
      </c>
      <c r="T2826" s="14">
        <f>IF($J2826=0,0,ROUND(MAX($J2826*1.4*1.5*1.6*1.6*2.2,42600000*(1.576904^(MIN($E2826,123)-117)))*1,0))</f>
        <v>6889514</v>
      </c>
      <c r="U2826" s="11">
        <f>$E2826+11</f>
        <v>124</v>
      </c>
      <c r="V2826" s="12">
        <f>IF($J2826=0,0,ROUND(MAX($J2826*1.4*1.5*1.6*1.6*2.2*2.715,354000000*(1.642074^(MIN($E2826,123)-117)))*1,0))</f>
        <v>48689169</v>
      </c>
      <c r="W2826" s="13">
        <f>$E2826+15</f>
        <v>128</v>
      </c>
      <c r="X2826" s="14">
        <f>IF($J2826=0,0,ROUND(MAX($J2826*1.4*1.5*1.6*1.6*2.2*2.715*2.6,3540000000*(1.579646^(MIN($E2826,123)-117)))*1,0))</f>
        <v>568544122</v>
      </c>
      <c r="Y2826" s="11">
        <f>$E2826+17</f>
        <v>130</v>
      </c>
      <c r="Z2826" s="12">
        <f>IF($J2826=0,0,ROUND(MAX($J2826*1.4*1.5*1.6*1.6*2.2*2.715*2.6*1.4,6020000000*(1.651178^(MIN($E2826,123)-117)))*1,0))</f>
        <v>809880453</v>
      </c>
      <c r="AA2826" s="13">
        <f>$E2826+19</f>
        <v>132</v>
      </c>
      <c r="AB2826" s="14">
        <f>IF($J2826=0,0,ROUND(MAX($J2826*1.4*1.5*1.6*1.6*2.2*2.715*2.6*1.4*1.4,8430000000*(1.651435^(MIN($E2826,123)-117)))*1,0))</f>
        <v>1133395897</v>
      </c>
      <c r="AC2826" s="11">
        <f>$E2826+21</f>
        <v>134</v>
      </c>
      <c r="AD2826" s="12">
        <f>IF($J2826=0,0,ROUND(MAX($J2826*1.4*1.5*1.6*1.6*2.2*2.715*2.6*1.4*1.4*1.5,12600000000*(1.652953^(MIN($E2826,123)-117)))*1,0))</f>
        <v>1687829312</v>
      </c>
      <c r="AE2826" s="13">
        <f>$E2826+24</f>
        <v>137</v>
      </c>
      <c r="AF2826" s="14">
        <f>IF($J2826=0,0,ROUND(MAX($J2826*1.4*1.5*1.6*1.6*2.2*2.715*2.6*1.4*1.4*1.5*1.5,18900000000*(1.65331^(MIN($E2826,123)-117)))*1,0))</f>
        <v>2529557954</v>
      </c>
      <c r="AG2826" s="11">
        <f>$E2826+27</f>
        <v>140</v>
      </c>
      <c r="AH2826" s="12">
        <f>IF($J2826=0,0,ROUND(MAX($J2826*1.4*1.5*1.6*1.6*2.2*2.715*2.6*1.4*1.4*1.5*1.5*3.2,60500000000*(1.654288^(MIN($E2826,123)-117)))*1,0))</f>
        <v>8078131097</v>
      </c>
    </row>
    <row r="2827" ht="28" customHeight="1" spans="1:34" x14ac:dyDescent="0.25">
      <c r="A2827">
        <v>2837</v>
      </c>
      <c r="B2827" t="s">
        <v>1630</v>
      </c>
      <c r="C2827" s="10" t="s">
        <v>1593</v>
      </c>
      <c r="D2827" t="s">
        <v>102</v>
      </c>
      <c r="E2827">
        <v>113</v>
      </c>
      <c r="F2827" t="s">
        <v>56</v>
      </c>
      <c r="G2827" t="s">
        <v>1631</v>
      </c>
      <c r="H2827">
        <v>26</v>
      </c>
      <c r="I2827" s="11">
        <f>$E2827+0</f>
        <v>113</v>
      </c>
      <c r="J2827" s="12">
        <v>414000</v>
      </c>
      <c r="K2827" s="13">
        <f>$E2827+1</f>
        <v>114</v>
      </c>
      <c r="L2827" s="14">
        <f>IF($J2827=0,0,ROUND(MAX($J2827*1.4,1620000*(1.497923^(MIN($E2827,123)-117)))*1,0))</f>
        <v>579600</v>
      </c>
      <c r="M2827" s="11">
        <f>$E2827+2</f>
        <v>115</v>
      </c>
      <c r="N2827" s="12">
        <f>IF($J2827=0,0,ROUND(MAX($J2827*1.4*1.5,2190000*(1.580994^(MIN($E2827,123)-117)))*1,0))</f>
        <v>869400</v>
      </c>
      <c r="O2827" s="13">
        <f>$E2827+4</f>
        <v>117</v>
      </c>
      <c r="P2827" s="14">
        <f>IF($J2827=0,0,ROUND(MAX($J2827*1.4*1.5*1.6,3500000*(1.57975^(MIN($E2827,123)-117)))*1,0))</f>
        <v>1391040</v>
      </c>
      <c r="Q2827" s="11">
        <f>$E2827+6</f>
        <v>119</v>
      </c>
      <c r="R2827" s="12">
        <f>IF($J2827=0,0,ROUND(MAX($J2827*1.4*1.5*1.6*1.6,13100000*(1.429962^(MIN($E2827,123)-117)))*1,0))</f>
        <v>3133093</v>
      </c>
      <c r="S2827" s="13">
        <f>$E2827+8</f>
        <v>121</v>
      </c>
      <c r="T2827" s="14">
        <f>IF($J2827=0,0,ROUND(MAX($J2827*1.4*1.5*1.6*1.6*2.2,42600000*(1.576904^(MIN($E2827,123)-117)))*1,0))</f>
        <v>6889514</v>
      </c>
      <c r="U2827" s="11">
        <f>$E2827+11</f>
        <v>124</v>
      </c>
      <c r="V2827" s="12">
        <f>IF($J2827=0,0,ROUND(MAX($J2827*1.4*1.5*1.6*1.6*2.2*2.715,354000000*(1.642074^(MIN($E2827,123)-117)))*1,0))</f>
        <v>48689169</v>
      </c>
      <c r="W2827" s="13">
        <f>$E2827+15</f>
        <v>128</v>
      </c>
      <c r="X2827" s="14">
        <f>IF($J2827=0,0,ROUND(MAX($J2827*1.4*1.5*1.6*1.6*2.2*2.715*2.6,3540000000*(1.579646^(MIN($E2827,123)-117)))*1,0))</f>
        <v>568544122</v>
      </c>
      <c r="Y2827" s="11">
        <f>$E2827+17</f>
        <v>130</v>
      </c>
      <c r="Z2827" s="12">
        <f>IF($J2827=0,0,ROUND(MAX($J2827*1.4*1.5*1.6*1.6*2.2*2.715*2.6*1.4,6020000000*(1.651178^(MIN($E2827,123)-117)))*1,0))</f>
        <v>809880453</v>
      </c>
      <c r="AA2827" s="13">
        <f>$E2827+19</f>
        <v>132</v>
      </c>
      <c r="AB2827" s="14">
        <f>IF($J2827=0,0,ROUND(MAX($J2827*1.4*1.5*1.6*1.6*2.2*2.715*2.6*1.4*1.4,8430000000*(1.651435^(MIN($E2827,123)-117)))*1,0))</f>
        <v>1133395897</v>
      </c>
      <c r="AC2827" s="11">
        <f>$E2827+21</f>
        <v>134</v>
      </c>
      <c r="AD2827" s="12">
        <f>IF($J2827=0,0,ROUND(MAX($J2827*1.4*1.5*1.6*1.6*2.2*2.715*2.6*1.4*1.4*1.5,12600000000*(1.652953^(MIN($E2827,123)-117)))*1,0))</f>
        <v>1687829312</v>
      </c>
      <c r="AE2827" s="13">
        <f>$E2827+24</f>
        <v>137</v>
      </c>
      <c r="AF2827" s="14">
        <f>IF($J2827=0,0,ROUND(MAX($J2827*1.4*1.5*1.6*1.6*2.2*2.715*2.6*1.4*1.4*1.5*1.5,18900000000*(1.65331^(MIN($E2827,123)-117)))*1,0))</f>
        <v>2529557954</v>
      </c>
      <c r="AG2827" s="11">
        <f>$E2827+27</f>
        <v>140</v>
      </c>
      <c r="AH2827" s="12">
        <f>IF($J2827=0,0,ROUND(MAX($J2827*1.4*1.5*1.6*1.6*2.2*2.715*2.6*1.4*1.4*1.5*1.5*3.2,60500000000*(1.654288^(MIN($E2827,123)-117)))*1,0))</f>
        <v>8078131097</v>
      </c>
    </row>
    <row r="2828" ht="28" customHeight="1" spans="1:34" x14ac:dyDescent="0.25">
      <c r="A2828">
        <v>2838</v>
      </c>
      <c r="B2828" t="s">
        <v>1632</v>
      </c>
      <c r="C2828" s="10" t="s">
        <v>1593</v>
      </c>
      <c r="D2828" t="s">
        <v>33</v>
      </c>
      <c r="E2828">
        <v>113</v>
      </c>
      <c r="F2828" t="s">
        <v>26</v>
      </c>
      <c r="G2828" t="s">
        <v>1099</v>
      </c>
      <c r="H2828">
        <v>26</v>
      </c>
      <c r="I2828" s="11">
        <f>$E2828+0</f>
        <v>113</v>
      </c>
      <c r="J2828" s="12">
        <v>370000</v>
      </c>
      <c r="K2828" s="13">
        <f>$E2828+1</f>
        <v>114</v>
      </c>
      <c r="L2828" s="14">
        <f>IF($J2828=0,0,ROUND(MAX($J2828*1.4,1620000*(1.497923^(MIN($E2828,123)-117)))*1,0))</f>
        <v>518000</v>
      </c>
      <c r="M2828" s="11">
        <f>$E2828+2</f>
        <v>115</v>
      </c>
      <c r="N2828" s="12">
        <f>IF($J2828=0,0,ROUND(MAX($J2828*1.4*1.5,2190000*(1.580994^(MIN($E2828,123)-117)))*1,0))</f>
        <v>777000</v>
      </c>
      <c r="O2828" s="13">
        <f>$E2828+4</f>
        <v>117</v>
      </c>
      <c r="P2828" s="14">
        <f>IF($J2828=0,0,ROUND(MAX($J2828*1.4*1.5*1.6,3500000*(1.57975^(MIN($E2828,123)-117)))*1,0))</f>
        <v>1243200</v>
      </c>
      <c r="Q2828" s="11">
        <f>$E2828+6</f>
        <v>119</v>
      </c>
      <c r="R2828" s="12">
        <f>IF($J2828=0,0,ROUND(MAX($J2828*1.4*1.5*1.6*1.6,13100000*(1.429962^(MIN($E2828,123)-117)))*1,0))</f>
        <v>3133093</v>
      </c>
      <c r="S2828" s="13">
        <f>$E2828+8</f>
        <v>121</v>
      </c>
      <c r="T2828" s="14">
        <f>IF($J2828=0,0,ROUND(MAX($J2828*1.4*1.5*1.6*1.6*2.2,42600000*(1.576904^(MIN($E2828,123)-117)))*1,0))</f>
        <v>6889514</v>
      </c>
      <c r="U2828" s="11">
        <f>$E2828+11</f>
        <v>124</v>
      </c>
      <c r="V2828" s="12">
        <f>IF($J2828=0,0,ROUND(MAX($J2828*1.4*1.5*1.6*1.6*2.2*2.715,354000000*(1.642074^(MIN($E2828,123)-117)))*1,0))</f>
        <v>48689169</v>
      </c>
      <c r="W2828" s="13">
        <f>$E2828+15</f>
        <v>128</v>
      </c>
      <c r="X2828" s="14">
        <f>IF($J2828=0,0,ROUND(MAX($J2828*1.4*1.5*1.6*1.6*2.2*2.715*2.6,3540000000*(1.579646^(MIN($E2828,123)-117)))*1,0))</f>
        <v>568544122</v>
      </c>
      <c r="Y2828" s="11">
        <f>$E2828+17</f>
        <v>130</v>
      </c>
      <c r="Z2828" s="12">
        <f>IF($J2828=0,0,ROUND(MAX($J2828*1.4*1.5*1.6*1.6*2.2*2.715*2.6*1.4,6020000000*(1.651178^(MIN($E2828,123)-117)))*1,0))</f>
        <v>809880453</v>
      </c>
      <c r="AA2828" s="13">
        <f>$E2828+19</f>
        <v>132</v>
      </c>
      <c r="AB2828" s="14">
        <f>IF($J2828=0,0,ROUND(MAX($J2828*1.4*1.5*1.6*1.6*2.2*2.715*2.6*1.4*1.4,8430000000*(1.651435^(MIN($E2828,123)-117)))*1,0))</f>
        <v>1133395897</v>
      </c>
      <c r="AC2828" s="11">
        <f>$E2828+21</f>
        <v>134</v>
      </c>
      <c r="AD2828" s="12">
        <f>IF($J2828=0,0,ROUND(MAX($J2828*1.4*1.5*1.6*1.6*2.2*2.715*2.6*1.4*1.4*1.5,12600000000*(1.652953^(MIN($E2828,123)-117)))*1,0))</f>
        <v>1687829312</v>
      </c>
      <c r="AE2828" s="13">
        <f>$E2828+24</f>
        <v>137</v>
      </c>
      <c r="AF2828" s="14">
        <f>IF($J2828=0,0,ROUND(MAX($J2828*1.4*1.5*1.6*1.6*2.2*2.715*2.6*1.4*1.4*1.5*1.5,18900000000*(1.65331^(MIN($E2828,123)-117)))*1,0))</f>
        <v>2529557954</v>
      </c>
      <c r="AG2828" s="11">
        <f>$E2828+27</f>
        <v>140</v>
      </c>
      <c r="AH2828" s="12">
        <f>IF($J2828=0,0,ROUND(MAX($J2828*1.4*1.5*1.6*1.6*2.2*2.715*2.6*1.4*1.4*1.5*1.5*3.2,60500000000*(1.654288^(MIN($E2828,123)-117)))*1,0))</f>
        <v>8078131097</v>
      </c>
    </row>
    <row r="2829" ht="28" customHeight="1" spans="1:34" x14ac:dyDescent="0.25">
      <c r="A2829">
        <v>2839</v>
      </c>
      <c r="B2829" t="s">
        <v>1633</v>
      </c>
      <c r="C2829" s="10" t="s">
        <v>1593</v>
      </c>
      <c r="D2829" t="s">
        <v>33</v>
      </c>
      <c r="E2829">
        <v>113</v>
      </c>
      <c r="F2829" t="s">
        <v>71</v>
      </c>
      <c r="G2829" t="s">
        <v>1634</v>
      </c>
      <c r="H2829">
        <v>26</v>
      </c>
      <c r="I2829" s="11">
        <f>$E2829+0</f>
        <v>113</v>
      </c>
      <c r="J2829" s="12">
        <v>366000</v>
      </c>
      <c r="K2829" s="13">
        <f>$E2829+1</f>
        <v>114</v>
      </c>
      <c r="L2829" s="14">
        <f>IF($J2829=0,0,ROUND(MAX($J2829*1.4,1620000*(1.497923^(MIN($E2829,123)-117)))*1,0))</f>
        <v>512400</v>
      </c>
      <c r="M2829" s="11">
        <f>$E2829+2</f>
        <v>115</v>
      </c>
      <c r="N2829" s="12">
        <f>IF($J2829=0,0,ROUND(MAX($J2829*1.4*1.5,2190000*(1.580994^(MIN($E2829,123)-117)))*1,0))</f>
        <v>768600</v>
      </c>
      <c r="O2829" s="13">
        <f>$E2829+4</f>
        <v>117</v>
      </c>
      <c r="P2829" s="14">
        <f>IF($J2829=0,0,ROUND(MAX($J2829*1.4*1.5*1.6,3500000*(1.57975^(MIN($E2829,123)-117)))*1,0))</f>
        <v>1229760</v>
      </c>
      <c r="Q2829" s="11">
        <f>$E2829+6</f>
        <v>119</v>
      </c>
      <c r="R2829" s="12">
        <f>IF($J2829=0,0,ROUND(MAX($J2829*1.4*1.5*1.6*1.6,13100000*(1.429962^(MIN($E2829,123)-117)))*1,0))</f>
        <v>3133093</v>
      </c>
      <c r="S2829" s="13">
        <f>$E2829+8</f>
        <v>121</v>
      </c>
      <c r="T2829" s="14">
        <f>IF($J2829=0,0,ROUND(MAX($J2829*1.4*1.5*1.6*1.6*2.2,42600000*(1.576904^(MIN($E2829,123)-117)))*1,0))</f>
        <v>6889514</v>
      </c>
      <c r="U2829" s="11">
        <f>$E2829+11</f>
        <v>124</v>
      </c>
      <c r="V2829" s="12">
        <f>IF($J2829=0,0,ROUND(MAX($J2829*1.4*1.5*1.6*1.6*2.2*2.715,354000000*(1.642074^(MIN($E2829,123)-117)))*1,0))</f>
        <v>48689169</v>
      </c>
      <c r="W2829" s="13">
        <f>$E2829+15</f>
        <v>128</v>
      </c>
      <c r="X2829" s="14">
        <f>IF($J2829=0,0,ROUND(MAX($J2829*1.4*1.5*1.6*1.6*2.2*2.715*2.6,3540000000*(1.579646^(MIN($E2829,123)-117)))*1,0))</f>
        <v>568544122</v>
      </c>
      <c r="Y2829" s="11">
        <f>$E2829+17</f>
        <v>130</v>
      </c>
      <c r="Z2829" s="12">
        <f>IF($J2829=0,0,ROUND(MAX($J2829*1.4*1.5*1.6*1.6*2.2*2.715*2.6*1.4,6020000000*(1.651178^(MIN($E2829,123)-117)))*1,0))</f>
        <v>809880453</v>
      </c>
      <c r="AA2829" s="13">
        <f>$E2829+19</f>
        <v>132</v>
      </c>
      <c r="AB2829" s="14">
        <f>IF($J2829=0,0,ROUND(MAX($J2829*1.4*1.5*1.6*1.6*2.2*2.715*2.6*1.4*1.4,8430000000*(1.651435^(MIN($E2829,123)-117)))*1,0))</f>
        <v>1133395897</v>
      </c>
      <c r="AC2829" s="11">
        <f>$E2829+21</f>
        <v>134</v>
      </c>
      <c r="AD2829" s="12">
        <f>IF($J2829=0,0,ROUND(MAX($J2829*1.4*1.5*1.6*1.6*2.2*2.715*2.6*1.4*1.4*1.5,12600000000*(1.652953^(MIN($E2829,123)-117)))*1,0))</f>
        <v>1687829312</v>
      </c>
      <c r="AE2829" s="13">
        <f>$E2829+24</f>
        <v>137</v>
      </c>
      <c r="AF2829" s="14">
        <f>IF($J2829=0,0,ROUND(MAX($J2829*1.4*1.5*1.6*1.6*2.2*2.715*2.6*1.4*1.4*1.5*1.5,18900000000*(1.65331^(MIN($E2829,123)-117)))*1,0))</f>
        <v>2529557954</v>
      </c>
      <c r="AG2829" s="11">
        <f>$E2829+27</f>
        <v>140</v>
      </c>
      <c r="AH2829" s="12">
        <f>IF($J2829=0,0,ROUND(MAX($J2829*1.4*1.5*1.6*1.6*2.2*2.715*2.6*1.4*1.4*1.5*1.5*3.2,60500000000*(1.654288^(MIN($E2829,123)-117)))*1,0))</f>
        <v>8078131097</v>
      </c>
    </row>
    <row r="2830" ht="28" customHeight="1" spans="1:34" x14ac:dyDescent="0.25">
      <c r="A2830">
        <v>2840</v>
      </c>
      <c r="B2830" t="s">
        <v>742</v>
      </c>
      <c r="C2830" s="10" t="s">
        <v>1593</v>
      </c>
      <c r="D2830" t="s">
        <v>102</v>
      </c>
      <c r="E2830">
        <v>113</v>
      </c>
      <c r="F2830" t="s">
        <v>54</v>
      </c>
      <c r="G2830" t="s">
        <v>743</v>
      </c>
      <c r="H2830">
        <v>26</v>
      </c>
      <c r="I2830" s="11">
        <f>$E2830+0</f>
        <v>113</v>
      </c>
      <c r="J2830" s="12">
        <v>352000</v>
      </c>
      <c r="K2830" s="13">
        <f>$E2830+1</f>
        <v>114</v>
      </c>
      <c r="L2830" s="14">
        <f>IF($J2830=0,0,ROUND(MAX($J2830*1.4,1620000*(1.497923^(MIN($E2830,123)-117)))*1,0))</f>
        <v>492800</v>
      </c>
      <c r="M2830" s="11">
        <f>$E2830+2</f>
        <v>115</v>
      </c>
      <c r="N2830" s="12">
        <f>IF($J2830=0,0,ROUND(MAX($J2830*1.4*1.5,2190000*(1.580994^(MIN($E2830,123)-117)))*1,0))</f>
        <v>739200</v>
      </c>
      <c r="O2830" s="13">
        <f>$E2830+4</f>
        <v>117</v>
      </c>
      <c r="P2830" s="14">
        <f>IF($J2830=0,0,ROUND(MAX($J2830*1.4*1.5*1.6,3500000*(1.57975^(MIN($E2830,123)-117)))*1,0))</f>
        <v>1182720</v>
      </c>
      <c r="Q2830" s="11">
        <f>$E2830+6</f>
        <v>119</v>
      </c>
      <c r="R2830" s="12">
        <f>IF($J2830=0,0,ROUND(MAX($J2830*1.4*1.5*1.6*1.6,13100000*(1.429962^(MIN($E2830,123)-117)))*1,0))</f>
        <v>3133093</v>
      </c>
      <c r="S2830" s="13">
        <f>$E2830+8</f>
        <v>121</v>
      </c>
      <c r="T2830" s="14">
        <f>IF($J2830=0,0,ROUND(MAX($J2830*1.4*1.5*1.6*1.6*2.2,42600000*(1.576904^(MIN($E2830,123)-117)))*1,0))</f>
        <v>6889514</v>
      </c>
      <c r="U2830" s="11">
        <f>$E2830+11</f>
        <v>124</v>
      </c>
      <c r="V2830" s="12">
        <f>IF($J2830=0,0,ROUND(MAX($J2830*1.4*1.5*1.6*1.6*2.2*2.715,354000000*(1.642074^(MIN($E2830,123)-117)))*1,0))</f>
        <v>48689169</v>
      </c>
      <c r="W2830" s="13">
        <f>$E2830+15</f>
        <v>128</v>
      </c>
      <c r="X2830" s="14">
        <f>IF($J2830=0,0,ROUND(MAX($J2830*1.4*1.5*1.6*1.6*2.2*2.715*2.6,3540000000*(1.579646^(MIN($E2830,123)-117)))*1,0))</f>
        <v>568544122</v>
      </c>
      <c r="Y2830" s="11">
        <f>$E2830+17</f>
        <v>130</v>
      </c>
      <c r="Z2830" s="12">
        <f>IF($J2830=0,0,ROUND(MAX($J2830*1.4*1.5*1.6*1.6*2.2*2.715*2.6*1.4,6020000000*(1.651178^(MIN($E2830,123)-117)))*1,0))</f>
        <v>809880453</v>
      </c>
      <c r="AA2830" s="13">
        <f>$E2830+19</f>
        <v>132</v>
      </c>
      <c r="AB2830" s="14">
        <f>IF($J2830=0,0,ROUND(MAX($J2830*1.4*1.5*1.6*1.6*2.2*2.715*2.6*1.4*1.4,8430000000*(1.651435^(MIN($E2830,123)-117)))*1,0))</f>
        <v>1133395897</v>
      </c>
      <c r="AC2830" s="11">
        <f>$E2830+21</f>
        <v>134</v>
      </c>
      <c r="AD2830" s="12">
        <f>IF($J2830=0,0,ROUND(MAX($J2830*1.4*1.5*1.6*1.6*2.2*2.715*2.6*1.4*1.4*1.5,12600000000*(1.652953^(MIN($E2830,123)-117)))*1,0))</f>
        <v>1687829312</v>
      </c>
      <c r="AE2830" s="13">
        <f>$E2830+24</f>
        <v>137</v>
      </c>
      <c r="AF2830" s="14">
        <f>IF($J2830=0,0,ROUND(MAX($J2830*1.4*1.5*1.6*1.6*2.2*2.715*2.6*1.4*1.4*1.5*1.5,18900000000*(1.65331^(MIN($E2830,123)-117)))*1,0))</f>
        <v>2529557954</v>
      </c>
      <c r="AG2830" s="11">
        <f>$E2830+27</f>
        <v>140</v>
      </c>
      <c r="AH2830" s="12">
        <f>IF($J2830=0,0,ROUND(MAX($J2830*1.4*1.5*1.6*1.6*2.2*2.715*2.6*1.4*1.4*1.5*1.5*3.2,60500000000*(1.654288^(MIN($E2830,123)-117)))*1,0))</f>
        <v>8078131097</v>
      </c>
    </row>
    <row r="2831" ht="28" customHeight="1" spans="1:34" x14ac:dyDescent="0.25">
      <c r="A2831">
        <v>2841</v>
      </c>
      <c r="B2831" t="s">
        <v>885</v>
      </c>
      <c r="C2831" s="10" t="s">
        <v>1593</v>
      </c>
      <c r="D2831" t="s">
        <v>47</v>
      </c>
      <c r="E2831">
        <v>113</v>
      </c>
      <c r="F2831" t="s">
        <v>116</v>
      </c>
      <c r="G2831" t="s">
        <v>57</v>
      </c>
      <c r="H2831">
        <v>24</v>
      </c>
      <c r="I2831" s="11">
        <f>$E2831+0</f>
        <v>113</v>
      </c>
      <c r="J2831" s="12">
        <v>370000</v>
      </c>
      <c r="K2831" s="13">
        <f>$E2831+1</f>
        <v>114</v>
      </c>
      <c r="L2831" s="14">
        <f>IF($J2831=0,0,ROUND(MAX($J2831*1.4,1620000*(1.497923^(MIN($E2831,123)-117)))*1,0))</f>
        <v>518000</v>
      </c>
      <c r="M2831" s="11">
        <f>$E2831+2</f>
        <v>115</v>
      </c>
      <c r="N2831" s="12">
        <f>IF($J2831=0,0,ROUND(MAX($J2831*1.4*1.5,2190000*(1.580994^(MIN($E2831,123)-117)))*1,0))</f>
        <v>777000</v>
      </c>
      <c r="O2831" s="13">
        <f>$E2831+4</f>
        <v>117</v>
      </c>
      <c r="P2831" s="14">
        <f>IF($J2831=0,0,ROUND(MAX($J2831*1.4*1.5*1.6,3500000*(1.57975^(MIN($E2831,123)-117)))*1,0))</f>
        <v>1243200</v>
      </c>
      <c r="Q2831" s="11">
        <f>$E2831+6</f>
        <v>119</v>
      </c>
      <c r="R2831" s="12">
        <f>IF($J2831=0,0,ROUND(MAX($J2831*1.4*1.5*1.6*1.6,13100000*(1.429962^(MIN($E2831,123)-117)))*1,0))</f>
        <v>3133093</v>
      </c>
      <c r="S2831" s="13">
        <f>$E2831+8</f>
        <v>121</v>
      </c>
      <c r="T2831" s="14">
        <f>IF($J2831=0,0,ROUND(MAX($J2831*1.4*1.5*1.6*1.6*2.2,42600000*(1.576904^(MIN($E2831,123)-117)))*1,0))</f>
        <v>6889514</v>
      </c>
      <c r="U2831" s="11">
        <f>$E2831+11</f>
        <v>124</v>
      </c>
      <c r="V2831" s="12">
        <f>IF($J2831=0,0,ROUND(MAX($J2831*1.4*1.5*1.6*1.6*2.2*2.715,354000000*(1.642074^(MIN($E2831,123)-117)))*1,0))</f>
        <v>48689169</v>
      </c>
      <c r="W2831" s="13">
        <f>$E2831+15</f>
        <v>128</v>
      </c>
      <c r="X2831" s="14">
        <f>IF($J2831=0,0,ROUND(MAX($J2831*1.4*1.5*1.6*1.6*2.2*2.715*2.6,3540000000*(1.579646^(MIN($E2831,123)-117)))*1,0))</f>
        <v>568544122</v>
      </c>
      <c r="Y2831" s="11">
        <f>$E2831+17</f>
        <v>130</v>
      </c>
      <c r="Z2831" s="12">
        <f>IF($J2831=0,0,ROUND(MAX($J2831*1.4*1.5*1.6*1.6*2.2*2.715*2.6*1.4,6020000000*(1.651178^(MIN($E2831,123)-117)))*1,0))</f>
        <v>809880453</v>
      </c>
      <c r="AA2831" s="13">
        <f>$E2831+19</f>
        <v>132</v>
      </c>
      <c r="AB2831" s="14">
        <f>IF($J2831=0,0,ROUND(MAX($J2831*1.4*1.5*1.6*1.6*2.2*2.715*2.6*1.4*1.4,8430000000*(1.651435^(MIN($E2831,123)-117)))*1,0))</f>
        <v>1133395897</v>
      </c>
      <c r="AC2831" s="11">
        <f>$E2831+21</f>
        <v>134</v>
      </c>
      <c r="AD2831" s="12">
        <f>IF($J2831=0,0,ROUND(MAX($J2831*1.4*1.5*1.6*1.6*2.2*2.715*2.6*1.4*1.4*1.5,12600000000*(1.652953^(MIN($E2831,123)-117)))*1,0))</f>
        <v>1687829312</v>
      </c>
      <c r="AE2831" s="13">
        <f>$E2831+24</f>
        <v>137</v>
      </c>
      <c r="AF2831" s="14">
        <f>IF($J2831=0,0,ROUND(MAX($J2831*1.4*1.5*1.6*1.6*2.2*2.715*2.6*1.4*1.4*1.5*1.5,18900000000*(1.65331^(MIN($E2831,123)-117)))*1,0))</f>
        <v>2529557954</v>
      </c>
      <c r="AG2831" s="11">
        <f>$E2831+27</f>
        <v>140</v>
      </c>
      <c r="AH2831" s="12">
        <f>IF($J2831=0,0,ROUND(MAX($J2831*1.4*1.5*1.6*1.6*2.2*2.715*2.6*1.4*1.4*1.5*1.5*3.2,60500000000*(1.654288^(MIN($E2831,123)-117)))*1,0))</f>
        <v>8078131097</v>
      </c>
    </row>
    <row r="2832" ht="28" customHeight="1" spans="1:34" x14ac:dyDescent="0.25">
      <c r="A2832">
        <v>2842</v>
      </c>
      <c r="B2832" t="s">
        <v>1635</v>
      </c>
      <c r="C2832" s="10" t="s">
        <v>1593</v>
      </c>
      <c r="D2832" t="s">
        <v>47</v>
      </c>
      <c r="E2832">
        <v>113</v>
      </c>
      <c r="F2832" t="s">
        <v>26</v>
      </c>
      <c r="G2832" t="s">
        <v>206</v>
      </c>
      <c r="H2832">
        <v>24</v>
      </c>
      <c r="I2832" s="11">
        <f>$E2832+0</f>
        <v>113</v>
      </c>
      <c r="J2832" s="12">
        <v>342000</v>
      </c>
      <c r="K2832" s="13">
        <f>$E2832+1</f>
        <v>114</v>
      </c>
      <c r="L2832" s="14">
        <f>IF($J2832=0,0,ROUND(MAX($J2832*1.4,1620000*(1.497923^(MIN($E2832,123)-117)))*1,0))</f>
        <v>478800</v>
      </c>
      <c r="M2832" s="11">
        <f>$E2832+2</f>
        <v>115</v>
      </c>
      <c r="N2832" s="12">
        <f>IF($J2832=0,0,ROUND(MAX($J2832*1.4*1.5,2190000*(1.580994^(MIN($E2832,123)-117)))*1,0))</f>
        <v>718200</v>
      </c>
      <c r="O2832" s="13">
        <f>$E2832+4</f>
        <v>117</v>
      </c>
      <c r="P2832" s="14">
        <f>IF($J2832=0,0,ROUND(MAX($J2832*1.4*1.5*1.6,3500000*(1.57975^(MIN($E2832,123)-117)))*1,0))</f>
        <v>1149120</v>
      </c>
      <c r="Q2832" s="11">
        <f>$E2832+6</f>
        <v>119</v>
      </c>
      <c r="R2832" s="12">
        <f>IF($J2832=0,0,ROUND(MAX($J2832*1.4*1.5*1.6*1.6,13100000*(1.429962^(MIN($E2832,123)-117)))*1,0))</f>
        <v>3133093</v>
      </c>
      <c r="S2832" s="13">
        <f>$E2832+8</f>
        <v>121</v>
      </c>
      <c r="T2832" s="14">
        <f>IF($J2832=0,0,ROUND(MAX($J2832*1.4*1.5*1.6*1.6*2.2,42600000*(1.576904^(MIN($E2832,123)-117)))*1,0))</f>
        <v>6889514</v>
      </c>
      <c r="U2832" s="11">
        <f>$E2832+11</f>
        <v>124</v>
      </c>
      <c r="V2832" s="12">
        <f>IF($J2832=0,0,ROUND(MAX($J2832*1.4*1.5*1.6*1.6*2.2*2.715,354000000*(1.642074^(MIN($E2832,123)-117)))*1,0))</f>
        <v>48689169</v>
      </c>
      <c r="W2832" s="13">
        <f>$E2832+15</f>
        <v>128</v>
      </c>
      <c r="X2832" s="14">
        <f>IF($J2832=0,0,ROUND(MAX($J2832*1.4*1.5*1.6*1.6*2.2*2.715*2.6,3540000000*(1.579646^(MIN($E2832,123)-117)))*1,0))</f>
        <v>568544122</v>
      </c>
      <c r="Y2832" s="11">
        <f>$E2832+17</f>
        <v>130</v>
      </c>
      <c r="Z2832" s="12">
        <f>IF($J2832=0,0,ROUND(MAX($J2832*1.4*1.5*1.6*1.6*2.2*2.715*2.6*1.4,6020000000*(1.651178^(MIN($E2832,123)-117)))*1,0))</f>
        <v>809880453</v>
      </c>
      <c r="AA2832" s="13">
        <f>$E2832+19</f>
        <v>132</v>
      </c>
      <c r="AB2832" s="14">
        <f>IF($J2832=0,0,ROUND(MAX($J2832*1.4*1.5*1.6*1.6*2.2*2.715*2.6*1.4*1.4,8430000000*(1.651435^(MIN($E2832,123)-117)))*1,0))</f>
        <v>1133395897</v>
      </c>
      <c r="AC2832" s="11">
        <f>$E2832+21</f>
        <v>134</v>
      </c>
      <c r="AD2832" s="12">
        <f>IF($J2832=0,0,ROUND(MAX($J2832*1.4*1.5*1.6*1.6*2.2*2.715*2.6*1.4*1.4*1.5,12600000000*(1.652953^(MIN($E2832,123)-117)))*1,0))</f>
        <v>1687829312</v>
      </c>
      <c r="AE2832" s="13">
        <f>$E2832+24</f>
        <v>137</v>
      </c>
      <c r="AF2832" s="14">
        <f>IF($J2832=0,0,ROUND(MAX($J2832*1.4*1.5*1.6*1.6*2.2*2.715*2.6*1.4*1.4*1.5*1.5,18900000000*(1.65331^(MIN($E2832,123)-117)))*1,0))</f>
        <v>2529557954</v>
      </c>
      <c r="AG2832" s="11">
        <f>$E2832+27</f>
        <v>140</v>
      </c>
      <c r="AH2832" s="12">
        <f>IF($J2832=0,0,ROUND(MAX($J2832*1.4*1.5*1.6*1.6*2.2*2.715*2.6*1.4*1.4*1.5*1.5*3.2,60500000000*(1.654288^(MIN($E2832,123)-117)))*1,0))</f>
        <v>8078131097</v>
      </c>
    </row>
    <row r="2833" ht="28" customHeight="1" spans="1:34" x14ac:dyDescent="0.25">
      <c r="A2833">
        <v>2843</v>
      </c>
      <c r="B2833" t="s">
        <v>1636</v>
      </c>
      <c r="C2833" s="10" t="s">
        <v>1593</v>
      </c>
      <c r="D2833" t="s">
        <v>33</v>
      </c>
      <c r="E2833">
        <v>112</v>
      </c>
      <c r="F2833" t="s">
        <v>71</v>
      </c>
      <c r="G2833" t="s">
        <v>832</v>
      </c>
      <c r="H2833">
        <v>26</v>
      </c>
      <c r="I2833" s="11">
        <f>$E2833+0</f>
        <v>112</v>
      </c>
      <c r="J2833" s="12">
        <v>420000</v>
      </c>
      <c r="K2833" s="13">
        <f>$E2833+1</f>
        <v>113</v>
      </c>
      <c r="L2833" s="14">
        <f>IF($J2833=0,0,ROUND(MAX($J2833*1.4,1620000*(1.497923^(MIN($E2833,123)-117)))*1,0))</f>
        <v>588000</v>
      </c>
      <c r="M2833" s="11">
        <f>$E2833+2</f>
        <v>114</v>
      </c>
      <c r="N2833" s="12">
        <f>IF($J2833=0,0,ROUND(MAX($J2833*1.4*1.5,2190000*(1.580994^(MIN($E2833,123)-117)))*1,0))</f>
        <v>882000</v>
      </c>
      <c r="O2833" s="13">
        <f>$E2833+4</f>
        <v>116</v>
      </c>
      <c r="P2833" s="14">
        <f>IF($J2833=0,0,ROUND(MAX($J2833*1.4*1.5*1.6,3500000*(1.57975^(MIN($E2833,123)-117)))*1,0))</f>
        <v>1411200</v>
      </c>
      <c r="Q2833" s="11">
        <f>$E2833+6</f>
        <v>118</v>
      </c>
      <c r="R2833" s="12">
        <f>IF($J2833=0,0,ROUND(MAX($J2833*1.4*1.5*1.6*1.6,13100000*(1.429962^(MIN($E2833,123)-117)))*1,0))</f>
        <v>2257920</v>
      </c>
      <c r="S2833" s="13">
        <f>$E2833+8</f>
        <v>120</v>
      </c>
      <c r="T2833" s="14">
        <f>IF($J2833=0,0,ROUND(MAX($J2833*1.4*1.5*1.6*1.6*2.2,42600000*(1.576904^(MIN($E2833,123)-117)))*1,0))</f>
        <v>4967424</v>
      </c>
      <c r="U2833" s="11">
        <f>$E2833+11</f>
        <v>123</v>
      </c>
      <c r="V2833" s="12">
        <f>IF($J2833=0,0,ROUND(MAX($J2833*1.4*1.5*1.6*1.6*2.2*2.715,354000000*(1.642074^(MIN($E2833,123)-117)))*1,0))</f>
        <v>29651020</v>
      </c>
      <c r="W2833" s="13">
        <f>$E2833+15</f>
        <v>127</v>
      </c>
      <c r="X2833" s="14">
        <f>IF($J2833=0,0,ROUND(MAX($J2833*1.4*1.5*1.6*1.6*2.2*2.715*2.6,3540000000*(1.579646^(MIN($E2833,123)-117)))*1,0))</f>
        <v>359918692</v>
      </c>
      <c r="Y2833" s="11">
        <f>$E2833+17</f>
        <v>129</v>
      </c>
      <c r="Z2833" s="12">
        <f>IF($J2833=0,0,ROUND(MAX($J2833*1.4*1.5*1.6*1.6*2.2*2.715*2.6*1.4,6020000000*(1.651178^(MIN($E2833,123)-117)))*1,0))</f>
        <v>490486461</v>
      </c>
      <c r="AA2833" s="13">
        <f>$E2833+19</f>
        <v>131</v>
      </c>
      <c r="AB2833" s="14">
        <f>IF($J2833=0,0,ROUND(MAX($J2833*1.4*1.5*1.6*1.6*2.2*2.715*2.6*1.4*1.4,8430000000*(1.651435^(MIN($E2833,123)-117)))*1,0))</f>
        <v>686309723</v>
      </c>
      <c r="AC2833" s="11">
        <f>$E2833+21</f>
        <v>133</v>
      </c>
      <c r="AD2833" s="12">
        <f>IF($J2833=0,0,ROUND(MAX($J2833*1.4*1.5*1.6*1.6*2.2*2.715*2.6*1.4*1.4*1.5,12600000000*(1.652953^(MIN($E2833,123)-117)))*1,0))</f>
        <v>1021099398</v>
      </c>
      <c r="AE2833" s="13">
        <f>$E2833+24</f>
        <v>136</v>
      </c>
      <c r="AF2833" s="14">
        <f>IF($J2833=0,0,ROUND(MAX($J2833*1.4*1.5*1.6*1.6*2.2*2.715*2.6*1.4*1.4*1.5*1.5,18900000000*(1.65331^(MIN($E2833,123)-117)))*1,0))</f>
        <v>1529996162</v>
      </c>
      <c r="AG2833" s="11">
        <f>$E2833+27</f>
        <v>139</v>
      </c>
      <c r="AH2833" s="12">
        <f>IF($J2833=0,0,ROUND(MAX($J2833*1.4*1.5*1.6*1.6*2.2*2.715*2.6*1.4*1.4*1.5*1.5*3.2,60500000000*(1.654288^(MIN($E2833,123)-117)))*1,0))</f>
        <v>4883146766</v>
      </c>
    </row>
    <row r="2834" ht="28" customHeight="1" spans="1:34" x14ac:dyDescent="0.25">
      <c r="A2834">
        <v>2844</v>
      </c>
      <c r="B2834" t="s">
        <v>1637</v>
      </c>
      <c r="C2834" s="10" t="s">
        <v>1593</v>
      </c>
      <c r="D2834" t="s">
        <v>64</v>
      </c>
      <c r="E2834">
        <v>112</v>
      </c>
      <c r="F2834" t="s">
        <v>217</v>
      </c>
      <c r="G2834" t="s">
        <v>124</v>
      </c>
      <c r="H2834">
        <v>26</v>
      </c>
      <c r="I2834" s="11">
        <f>$E2834+0</f>
        <v>112</v>
      </c>
      <c r="J2834" s="12">
        <v>321000</v>
      </c>
      <c r="K2834" s="13">
        <f>$E2834+1</f>
        <v>113</v>
      </c>
      <c r="L2834" s="14">
        <f>IF($J2834=0,0,ROUND(MAX($J2834*1.4,1620000*(1.497923^(MIN($E2834,123)-117)))*1,0))</f>
        <v>449400</v>
      </c>
      <c r="M2834" s="11">
        <f>$E2834+2</f>
        <v>114</v>
      </c>
      <c r="N2834" s="12">
        <f>IF($J2834=0,0,ROUND(MAX($J2834*1.4*1.5,2190000*(1.580994^(MIN($E2834,123)-117)))*1,0))</f>
        <v>674100</v>
      </c>
      <c r="O2834" s="13">
        <f>$E2834+4</f>
        <v>116</v>
      </c>
      <c r="P2834" s="14">
        <f>IF($J2834=0,0,ROUND(MAX($J2834*1.4*1.5*1.6,3500000*(1.57975^(MIN($E2834,123)-117)))*1,0))</f>
        <v>1078560</v>
      </c>
      <c r="Q2834" s="11">
        <f>$E2834+6</f>
        <v>118</v>
      </c>
      <c r="R2834" s="12">
        <f>IF($J2834=0,0,ROUND(MAX($J2834*1.4*1.5*1.6*1.6,13100000*(1.429962^(MIN($E2834,123)-117)))*1,0))</f>
        <v>2191032</v>
      </c>
      <c r="S2834" s="13">
        <f>$E2834+8</f>
        <v>120</v>
      </c>
      <c r="T2834" s="14">
        <f>IF($J2834=0,0,ROUND(MAX($J2834*1.4*1.5*1.6*1.6*2.2,42600000*(1.576904^(MIN($E2834,123)-117)))*1,0))</f>
        <v>4369013</v>
      </c>
      <c r="U2834" s="11">
        <f>$E2834+11</f>
        <v>123</v>
      </c>
      <c r="V2834" s="12">
        <f>IF($J2834=0,0,ROUND(MAX($J2834*1.4*1.5*1.6*1.6*2.2*2.715,354000000*(1.642074^(MIN($E2834,123)-117)))*1,0))</f>
        <v>29651020</v>
      </c>
      <c r="W2834" s="13">
        <f>$E2834+15</f>
        <v>127</v>
      </c>
      <c r="X2834" s="14">
        <f>IF($J2834=0,0,ROUND(MAX($J2834*1.4*1.5*1.6*1.6*2.2*2.715*2.6,3540000000*(1.579646^(MIN($E2834,123)-117)))*1,0))</f>
        <v>359918692</v>
      </c>
      <c r="Y2834" s="11">
        <f>$E2834+17</f>
        <v>129</v>
      </c>
      <c r="Z2834" s="12">
        <f>IF($J2834=0,0,ROUND(MAX($J2834*1.4*1.5*1.6*1.6*2.2*2.715*2.6*1.4,6020000000*(1.651178^(MIN($E2834,123)-117)))*1,0))</f>
        <v>490486461</v>
      </c>
      <c r="AA2834" s="13">
        <f>$E2834+19</f>
        <v>131</v>
      </c>
      <c r="AB2834" s="14">
        <f>IF($J2834=0,0,ROUND(MAX($J2834*1.4*1.5*1.6*1.6*2.2*2.715*2.6*1.4*1.4,8430000000*(1.651435^(MIN($E2834,123)-117)))*1,0))</f>
        <v>686309723</v>
      </c>
      <c r="AC2834" s="11">
        <f>$E2834+21</f>
        <v>133</v>
      </c>
      <c r="AD2834" s="12">
        <f>IF($J2834=0,0,ROUND(MAX($J2834*1.4*1.5*1.6*1.6*2.2*2.715*2.6*1.4*1.4*1.5,12600000000*(1.652953^(MIN($E2834,123)-117)))*1,0))</f>
        <v>1021099398</v>
      </c>
      <c r="AE2834" s="13">
        <f>$E2834+24</f>
        <v>136</v>
      </c>
      <c r="AF2834" s="14">
        <f>IF($J2834=0,0,ROUND(MAX($J2834*1.4*1.5*1.6*1.6*2.2*2.715*2.6*1.4*1.4*1.5*1.5,18900000000*(1.65331^(MIN($E2834,123)-117)))*1,0))</f>
        <v>1529996162</v>
      </c>
      <c r="AG2834" s="11">
        <f>$E2834+27</f>
        <v>139</v>
      </c>
      <c r="AH2834" s="12">
        <f>IF($J2834=0,0,ROUND(MAX($J2834*1.4*1.5*1.6*1.6*2.2*2.715*2.6*1.4*1.4*1.5*1.5*3.2,60500000000*(1.654288^(MIN($E2834,123)-117)))*1,0))</f>
        <v>4883146766</v>
      </c>
    </row>
    <row r="2835" ht="28" customHeight="1" spans="1:34" x14ac:dyDescent="0.25">
      <c r="A2835">
        <v>2845</v>
      </c>
      <c r="B2835" t="s">
        <v>1638</v>
      </c>
      <c r="C2835" s="10" t="s">
        <v>1593</v>
      </c>
      <c r="D2835" t="s">
        <v>102</v>
      </c>
      <c r="E2835">
        <v>112</v>
      </c>
      <c r="F2835" t="s">
        <v>54</v>
      </c>
      <c r="G2835" t="s">
        <v>832</v>
      </c>
      <c r="H2835">
        <v>26</v>
      </c>
      <c r="I2835" s="11">
        <f>$E2835+0</f>
        <v>112</v>
      </c>
      <c r="J2835" s="12">
        <v>438000</v>
      </c>
      <c r="K2835" s="13">
        <f>$E2835+1</f>
        <v>113</v>
      </c>
      <c r="L2835" s="14">
        <f>IF($J2835=0,0,ROUND(MAX($J2835*1.4,1620000*(1.497923^(MIN($E2835,123)-117)))*1,0))</f>
        <v>613200</v>
      </c>
      <c r="M2835" s="11">
        <f>$E2835+2</f>
        <v>114</v>
      </c>
      <c r="N2835" s="12">
        <f>IF($J2835=0,0,ROUND(MAX($J2835*1.4*1.5,2190000*(1.580994^(MIN($E2835,123)-117)))*1,0))</f>
        <v>919800</v>
      </c>
      <c r="O2835" s="13">
        <f>$E2835+4</f>
        <v>116</v>
      </c>
      <c r="P2835" s="14">
        <f>IF($J2835=0,0,ROUND(MAX($J2835*1.4*1.5*1.6,3500000*(1.57975^(MIN($E2835,123)-117)))*1,0))</f>
        <v>1471680</v>
      </c>
      <c r="Q2835" s="11">
        <f>$E2835+6</f>
        <v>118</v>
      </c>
      <c r="R2835" s="12">
        <f>IF($J2835=0,0,ROUND(MAX($J2835*1.4*1.5*1.6*1.6,13100000*(1.429962^(MIN($E2835,123)-117)))*1,0))</f>
        <v>2354688</v>
      </c>
      <c r="S2835" s="13">
        <f>$E2835+8</f>
        <v>120</v>
      </c>
      <c r="T2835" s="14">
        <f>IF($J2835=0,0,ROUND(MAX($J2835*1.4*1.5*1.6*1.6*2.2,42600000*(1.576904^(MIN($E2835,123)-117)))*1,0))</f>
        <v>5180314</v>
      </c>
      <c r="U2835" s="11">
        <f>$E2835+11</f>
        <v>123</v>
      </c>
      <c r="V2835" s="12">
        <f>IF($J2835=0,0,ROUND(MAX($J2835*1.4*1.5*1.6*1.6*2.2*2.715,354000000*(1.642074^(MIN($E2835,123)-117)))*1,0))</f>
        <v>29651020</v>
      </c>
      <c r="W2835" s="13">
        <f>$E2835+15</f>
        <v>127</v>
      </c>
      <c r="X2835" s="14">
        <f>IF($J2835=0,0,ROUND(MAX($J2835*1.4*1.5*1.6*1.6*2.2*2.715*2.6,3540000000*(1.579646^(MIN($E2835,123)-117)))*1,0))</f>
        <v>359918692</v>
      </c>
      <c r="Y2835" s="11">
        <f>$E2835+17</f>
        <v>129</v>
      </c>
      <c r="Z2835" s="12">
        <f>IF($J2835=0,0,ROUND(MAX($J2835*1.4*1.5*1.6*1.6*2.2*2.715*2.6*1.4,6020000000*(1.651178^(MIN($E2835,123)-117)))*1,0))</f>
        <v>490486461</v>
      </c>
      <c r="AA2835" s="13">
        <f>$E2835+19</f>
        <v>131</v>
      </c>
      <c r="AB2835" s="14">
        <f>IF($J2835=0,0,ROUND(MAX($J2835*1.4*1.5*1.6*1.6*2.2*2.715*2.6*1.4*1.4,8430000000*(1.651435^(MIN($E2835,123)-117)))*1,0))</f>
        <v>686309723</v>
      </c>
      <c r="AC2835" s="11">
        <f>$E2835+21</f>
        <v>133</v>
      </c>
      <c r="AD2835" s="12">
        <f>IF($J2835=0,0,ROUND(MAX($J2835*1.4*1.5*1.6*1.6*2.2*2.715*2.6*1.4*1.4*1.5,12600000000*(1.652953^(MIN($E2835,123)-117)))*1,0))</f>
        <v>1021099398</v>
      </c>
      <c r="AE2835" s="13">
        <f>$E2835+24</f>
        <v>136</v>
      </c>
      <c r="AF2835" s="14">
        <f>IF($J2835=0,0,ROUND(MAX($J2835*1.4*1.5*1.6*1.6*2.2*2.715*2.6*1.4*1.4*1.5*1.5,18900000000*(1.65331^(MIN($E2835,123)-117)))*1,0))</f>
        <v>1529996162</v>
      </c>
      <c r="AG2835" s="11">
        <f>$E2835+27</f>
        <v>139</v>
      </c>
      <c r="AH2835" s="12">
        <f>IF($J2835=0,0,ROUND(MAX($J2835*1.4*1.5*1.6*1.6*2.2*2.715*2.6*1.4*1.4*1.5*1.5*3.2,60500000000*(1.654288^(MIN($E2835,123)-117)))*1,0))</f>
        <v>4883146766</v>
      </c>
    </row>
    <row r="2836" ht="28" customHeight="1" spans="1:34" x14ac:dyDescent="0.25">
      <c r="A2836">
        <v>2846</v>
      </c>
      <c r="B2836" t="s">
        <v>1639</v>
      </c>
      <c r="C2836" s="10" t="s">
        <v>1593</v>
      </c>
      <c r="D2836" t="s">
        <v>45</v>
      </c>
      <c r="E2836">
        <v>112</v>
      </c>
      <c r="F2836" t="s">
        <v>54</v>
      </c>
      <c r="G2836" t="s">
        <v>200</v>
      </c>
      <c r="H2836">
        <v>26</v>
      </c>
      <c r="I2836" s="11">
        <f>$E2836+0</f>
        <v>112</v>
      </c>
      <c r="J2836" s="12">
        <v>307000</v>
      </c>
      <c r="K2836" s="13">
        <f>$E2836+1</f>
        <v>113</v>
      </c>
      <c r="L2836" s="14">
        <f>IF($J2836=0,0,ROUND(MAX($J2836*1.4,1620000*(1.497923^(MIN($E2836,123)-117)))*1,0))</f>
        <v>429800</v>
      </c>
      <c r="M2836" s="11">
        <f>$E2836+2</f>
        <v>114</v>
      </c>
      <c r="N2836" s="12">
        <f>IF($J2836=0,0,ROUND(MAX($J2836*1.4*1.5,2190000*(1.580994^(MIN($E2836,123)-117)))*1,0))</f>
        <v>644700</v>
      </c>
      <c r="O2836" s="13">
        <f>$E2836+4</f>
        <v>116</v>
      </c>
      <c r="P2836" s="14">
        <f>IF($J2836=0,0,ROUND(MAX($J2836*1.4*1.5*1.6,3500000*(1.57975^(MIN($E2836,123)-117)))*1,0))</f>
        <v>1031520</v>
      </c>
      <c r="Q2836" s="11">
        <f>$E2836+6</f>
        <v>118</v>
      </c>
      <c r="R2836" s="12">
        <f>IF($J2836=0,0,ROUND(MAX($J2836*1.4*1.5*1.6*1.6,13100000*(1.429962^(MIN($E2836,123)-117)))*1,0))</f>
        <v>2191032</v>
      </c>
      <c r="S2836" s="13">
        <f>$E2836+8</f>
        <v>120</v>
      </c>
      <c r="T2836" s="14">
        <f>IF($J2836=0,0,ROUND(MAX($J2836*1.4*1.5*1.6*1.6*2.2,42600000*(1.576904^(MIN($E2836,123)-117)))*1,0))</f>
        <v>4369013</v>
      </c>
      <c r="U2836" s="11">
        <f>$E2836+11</f>
        <v>123</v>
      </c>
      <c r="V2836" s="12">
        <f>IF($J2836=0,0,ROUND(MAX($J2836*1.4*1.5*1.6*1.6*2.2*2.715,354000000*(1.642074^(MIN($E2836,123)-117)))*1,0))</f>
        <v>29651020</v>
      </c>
      <c r="W2836" s="13">
        <f>$E2836+15</f>
        <v>127</v>
      </c>
      <c r="X2836" s="14">
        <f>IF($J2836=0,0,ROUND(MAX($J2836*1.4*1.5*1.6*1.6*2.2*2.715*2.6,3540000000*(1.579646^(MIN($E2836,123)-117)))*1,0))</f>
        <v>359918692</v>
      </c>
      <c r="Y2836" s="11">
        <f>$E2836+17</f>
        <v>129</v>
      </c>
      <c r="Z2836" s="12">
        <f>IF($J2836=0,0,ROUND(MAX($J2836*1.4*1.5*1.6*1.6*2.2*2.715*2.6*1.4,6020000000*(1.651178^(MIN($E2836,123)-117)))*1,0))</f>
        <v>490486461</v>
      </c>
      <c r="AA2836" s="13">
        <f>$E2836+19</f>
        <v>131</v>
      </c>
      <c r="AB2836" s="14">
        <f>IF($J2836=0,0,ROUND(MAX($J2836*1.4*1.5*1.6*1.6*2.2*2.715*2.6*1.4*1.4,8430000000*(1.651435^(MIN($E2836,123)-117)))*1,0))</f>
        <v>686309723</v>
      </c>
      <c r="AC2836" s="11">
        <f>$E2836+21</f>
        <v>133</v>
      </c>
      <c r="AD2836" s="12">
        <f>IF($J2836=0,0,ROUND(MAX($J2836*1.4*1.5*1.6*1.6*2.2*2.715*2.6*1.4*1.4*1.5,12600000000*(1.652953^(MIN($E2836,123)-117)))*1,0))</f>
        <v>1021099398</v>
      </c>
      <c r="AE2836" s="13">
        <f>$E2836+24</f>
        <v>136</v>
      </c>
      <c r="AF2836" s="14">
        <f>IF($J2836=0,0,ROUND(MAX($J2836*1.4*1.5*1.6*1.6*2.2*2.715*2.6*1.4*1.4*1.5*1.5,18900000000*(1.65331^(MIN($E2836,123)-117)))*1,0))</f>
        <v>1529996162</v>
      </c>
      <c r="AG2836" s="11">
        <f>$E2836+27</f>
        <v>139</v>
      </c>
      <c r="AH2836" s="12">
        <f>IF($J2836=0,0,ROUND(MAX($J2836*1.4*1.5*1.6*1.6*2.2*2.715*2.6*1.4*1.4*1.5*1.5*3.2,60500000000*(1.654288^(MIN($E2836,123)-117)))*1,0))</f>
        <v>4883146766</v>
      </c>
    </row>
    <row r="2837" ht="28" customHeight="1" spans="1:34" x14ac:dyDescent="0.25">
      <c r="A2837">
        <v>2847</v>
      </c>
      <c r="B2837" t="s">
        <v>1640</v>
      </c>
      <c r="C2837" s="10" t="s">
        <v>1593</v>
      </c>
      <c r="D2837" t="s">
        <v>33</v>
      </c>
      <c r="E2837">
        <v>112</v>
      </c>
      <c r="F2837" t="s">
        <v>97</v>
      </c>
      <c r="G2837" t="s">
        <v>1641</v>
      </c>
      <c r="H2837">
        <v>26</v>
      </c>
      <c r="I2837" s="11">
        <f>$E2837+0</f>
        <v>112</v>
      </c>
      <c r="J2837" s="12">
        <v>556000</v>
      </c>
      <c r="K2837" s="13">
        <f>$E2837+1</f>
        <v>113</v>
      </c>
      <c r="L2837" s="14">
        <f>IF($J2837=0,0,ROUND(MAX($J2837*1.4,1620000*(1.497923^(MIN($E2837,123)-117)))*1,0))</f>
        <v>778400</v>
      </c>
      <c r="M2837" s="11">
        <f>$E2837+2</f>
        <v>114</v>
      </c>
      <c r="N2837" s="12">
        <f>IF($J2837=0,0,ROUND(MAX($J2837*1.4*1.5,2190000*(1.580994^(MIN($E2837,123)-117)))*1,0))</f>
        <v>1167600</v>
      </c>
      <c r="O2837" s="13">
        <f>$E2837+4</f>
        <v>116</v>
      </c>
      <c r="P2837" s="14">
        <f>IF($J2837=0,0,ROUND(MAX($J2837*1.4*1.5*1.6,3500000*(1.57975^(MIN($E2837,123)-117)))*1,0))</f>
        <v>1868160</v>
      </c>
      <c r="Q2837" s="11">
        <f>$E2837+6</f>
        <v>118</v>
      </c>
      <c r="R2837" s="12">
        <f>IF($J2837=0,0,ROUND(MAX($J2837*1.4*1.5*1.6*1.6,13100000*(1.429962^(MIN($E2837,123)-117)))*1,0))</f>
        <v>2989056</v>
      </c>
      <c r="S2837" s="13">
        <f>$E2837+8</f>
        <v>120</v>
      </c>
      <c r="T2837" s="14">
        <f>IF($J2837=0,0,ROUND(MAX($J2837*1.4*1.5*1.6*1.6*2.2,42600000*(1.576904^(MIN($E2837,123)-117)))*1,0))</f>
        <v>6575923</v>
      </c>
      <c r="U2837" s="11">
        <f>$E2837+11</f>
        <v>123</v>
      </c>
      <c r="V2837" s="12">
        <f>IF($J2837=0,0,ROUND(MAX($J2837*1.4*1.5*1.6*1.6*2.2*2.715,354000000*(1.642074^(MIN($E2837,123)-117)))*1,0))</f>
        <v>29651020</v>
      </c>
      <c r="W2837" s="13">
        <f>$E2837+15</f>
        <v>127</v>
      </c>
      <c r="X2837" s="14">
        <f>IF($J2837=0,0,ROUND(MAX($J2837*1.4*1.5*1.6*1.6*2.2*2.715*2.6,3540000000*(1.579646^(MIN($E2837,123)-117)))*1,0))</f>
        <v>359918692</v>
      </c>
      <c r="Y2837" s="11">
        <f>$E2837+17</f>
        <v>129</v>
      </c>
      <c r="Z2837" s="12">
        <f>IF($J2837=0,0,ROUND(MAX($J2837*1.4*1.5*1.6*1.6*2.2*2.715*2.6*1.4,6020000000*(1.651178^(MIN($E2837,123)-117)))*1,0))</f>
        <v>490486461</v>
      </c>
      <c r="AA2837" s="13">
        <f>$E2837+19</f>
        <v>131</v>
      </c>
      <c r="AB2837" s="14">
        <f>IF($J2837=0,0,ROUND(MAX($J2837*1.4*1.5*1.6*1.6*2.2*2.715*2.6*1.4*1.4,8430000000*(1.651435^(MIN($E2837,123)-117)))*1,0))</f>
        <v>686309723</v>
      </c>
      <c r="AC2837" s="11">
        <f>$E2837+21</f>
        <v>133</v>
      </c>
      <c r="AD2837" s="12">
        <f>IF($J2837=0,0,ROUND(MAX($J2837*1.4*1.5*1.6*1.6*2.2*2.715*2.6*1.4*1.4*1.5,12600000000*(1.652953^(MIN($E2837,123)-117)))*1,0))</f>
        <v>1021099398</v>
      </c>
      <c r="AE2837" s="13">
        <f>$E2837+24</f>
        <v>136</v>
      </c>
      <c r="AF2837" s="14">
        <f>IF($J2837=0,0,ROUND(MAX($J2837*1.4*1.5*1.6*1.6*2.2*2.715*2.6*1.4*1.4*1.5*1.5,18900000000*(1.65331^(MIN($E2837,123)-117)))*1,0))</f>
        <v>1529996162</v>
      </c>
      <c r="AG2837" s="11">
        <f>$E2837+27</f>
        <v>139</v>
      </c>
      <c r="AH2837" s="12">
        <f>IF($J2837=0,0,ROUND(MAX($J2837*1.4*1.5*1.6*1.6*2.2*2.715*2.6*1.4*1.4*1.5*1.5*3.2,60500000000*(1.654288^(MIN($E2837,123)-117)))*1,0))</f>
        <v>4883146766</v>
      </c>
    </row>
    <row r="2838" ht="28" customHeight="1" spans="1:34" x14ac:dyDescent="0.25">
      <c r="A2838">
        <v>2848</v>
      </c>
      <c r="B2838" t="s">
        <v>1642</v>
      </c>
      <c r="C2838" s="10" t="s">
        <v>1593</v>
      </c>
      <c r="D2838" t="s">
        <v>102</v>
      </c>
      <c r="E2838">
        <v>112</v>
      </c>
      <c r="F2838" t="s">
        <v>258</v>
      </c>
      <c r="G2838" t="s">
        <v>169</v>
      </c>
      <c r="H2838">
        <v>26</v>
      </c>
      <c r="I2838" s="11">
        <f>$E2838+0</f>
        <v>112</v>
      </c>
      <c r="J2838" s="12">
        <v>413000</v>
      </c>
      <c r="K2838" s="13">
        <f>$E2838+1</f>
        <v>113</v>
      </c>
      <c r="L2838" s="14">
        <f>IF($J2838=0,0,ROUND(MAX($J2838*1.4,1620000*(1.497923^(MIN($E2838,123)-117)))*1,0))</f>
        <v>578200</v>
      </c>
      <c r="M2838" s="11">
        <f>$E2838+2</f>
        <v>114</v>
      </c>
      <c r="N2838" s="12">
        <f>IF($J2838=0,0,ROUND(MAX($J2838*1.4*1.5,2190000*(1.580994^(MIN($E2838,123)-117)))*1,0))</f>
        <v>867300</v>
      </c>
      <c r="O2838" s="13">
        <f>$E2838+4</f>
        <v>116</v>
      </c>
      <c r="P2838" s="14">
        <f>IF($J2838=0,0,ROUND(MAX($J2838*1.4*1.5*1.6,3500000*(1.57975^(MIN($E2838,123)-117)))*1,0))</f>
        <v>1387680</v>
      </c>
      <c r="Q2838" s="11">
        <f>$E2838+6</f>
        <v>118</v>
      </c>
      <c r="R2838" s="12">
        <f>IF($J2838=0,0,ROUND(MAX($J2838*1.4*1.5*1.6*1.6,13100000*(1.429962^(MIN($E2838,123)-117)))*1,0))</f>
        <v>2220288</v>
      </c>
      <c r="S2838" s="13">
        <f>$E2838+8</f>
        <v>120</v>
      </c>
      <c r="T2838" s="14">
        <f>IF($J2838=0,0,ROUND(MAX($J2838*1.4*1.5*1.6*1.6*2.2,42600000*(1.576904^(MIN($E2838,123)-117)))*1,0))</f>
        <v>4884634</v>
      </c>
      <c r="U2838" s="11">
        <f>$E2838+11</f>
        <v>123</v>
      </c>
      <c r="V2838" s="12">
        <f>IF($J2838=0,0,ROUND(MAX($J2838*1.4*1.5*1.6*1.6*2.2*2.715,354000000*(1.642074^(MIN($E2838,123)-117)))*1,0))</f>
        <v>29651020</v>
      </c>
      <c r="W2838" s="13">
        <f>$E2838+15</f>
        <v>127</v>
      </c>
      <c r="X2838" s="14">
        <f>IF($J2838=0,0,ROUND(MAX($J2838*1.4*1.5*1.6*1.6*2.2*2.715*2.6,3540000000*(1.579646^(MIN($E2838,123)-117)))*1,0))</f>
        <v>359918692</v>
      </c>
      <c r="Y2838" s="11">
        <f>$E2838+17</f>
        <v>129</v>
      </c>
      <c r="Z2838" s="12">
        <f>IF($J2838=0,0,ROUND(MAX($J2838*1.4*1.5*1.6*1.6*2.2*2.715*2.6*1.4,6020000000*(1.651178^(MIN($E2838,123)-117)))*1,0))</f>
        <v>490486461</v>
      </c>
      <c r="AA2838" s="13">
        <f>$E2838+19</f>
        <v>131</v>
      </c>
      <c r="AB2838" s="14">
        <f>IF($J2838=0,0,ROUND(MAX($J2838*1.4*1.5*1.6*1.6*2.2*2.715*2.6*1.4*1.4,8430000000*(1.651435^(MIN($E2838,123)-117)))*1,0))</f>
        <v>686309723</v>
      </c>
      <c r="AC2838" s="11">
        <f>$E2838+21</f>
        <v>133</v>
      </c>
      <c r="AD2838" s="12">
        <f>IF($J2838=0,0,ROUND(MAX($J2838*1.4*1.5*1.6*1.6*2.2*2.715*2.6*1.4*1.4*1.5,12600000000*(1.652953^(MIN($E2838,123)-117)))*1,0))</f>
        <v>1021099398</v>
      </c>
      <c r="AE2838" s="13">
        <f>$E2838+24</f>
        <v>136</v>
      </c>
      <c r="AF2838" s="14">
        <f>IF($J2838=0,0,ROUND(MAX($J2838*1.4*1.5*1.6*1.6*2.2*2.715*2.6*1.4*1.4*1.5*1.5,18900000000*(1.65331^(MIN($E2838,123)-117)))*1,0))</f>
        <v>1529996162</v>
      </c>
      <c r="AG2838" s="11">
        <f>$E2838+27</f>
        <v>139</v>
      </c>
      <c r="AH2838" s="12">
        <f>IF($J2838=0,0,ROUND(MAX($J2838*1.4*1.5*1.6*1.6*2.2*2.715*2.6*1.4*1.4*1.5*1.5*3.2,60500000000*(1.654288^(MIN($E2838,123)-117)))*1,0))</f>
        <v>4883146766</v>
      </c>
    </row>
    <row r="2839" ht="28" customHeight="1" spans="1:34" x14ac:dyDescent="0.25">
      <c r="A2839">
        <v>2849</v>
      </c>
      <c r="B2839" t="s">
        <v>571</v>
      </c>
      <c r="C2839" s="10" t="s">
        <v>1593</v>
      </c>
      <c r="D2839" t="s">
        <v>33</v>
      </c>
      <c r="E2839">
        <v>112</v>
      </c>
      <c r="F2839" t="s">
        <v>30</v>
      </c>
      <c r="G2839" t="s">
        <v>247</v>
      </c>
      <c r="H2839">
        <v>26</v>
      </c>
      <c r="I2839" s="11">
        <f>$E2839+0</f>
        <v>112</v>
      </c>
      <c r="J2839" s="12">
        <v>464000</v>
      </c>
      <c r="K2839" s="13">
        <f>$E2839+1</f>
        <v>113</v>
      </c>
      <c r="L2839" s="14">
        <f>IF($J2839=0,0,ROUND(MAX($J2839*1.4,1620000*(1.497923^(MIN($E2839,123)-117)))*1,0))</f>
        <v>649600</v>
      </c>
      <c r="M2839" s="11">
        <f>$E2839+2</f>
        <v>114</v>
      </c>
      <c r="N2839" s="12">
        <f>IF($J2839=0,0,ROUND(MAX($J2839*1.4*1.5,2190000*(1.580994^(MIN($E2839,123)-117)))*1,0))</f>
        <v>974400</v>
      </c>
      <c r="O2839" s="13">
        <f>$E2839+4</f>
        <v>116</v>
      </c>
      <c r="P2839" s="14">
        <f>IF($J2839=0,0,ROUND(MAX($J2839*1.4*1.5*1.6,3500000*(1.57975^(MIN($E2839,123)-117)))*1,0))</f>
        <v>1559040</v>
      </c>
      <c r="Q2839" s="11">
        <f>$E2839+6</f>
        <v>118</v>
      </c>
      <c r="R2839" s="12">
        <f>IF($J2839=0,0,ROUND(MAX($J2839*1.4*1.5*1.6*1.6,13100000*(1.429962^(MIN($E2839,123)-117)))*1,0))</f>
        <v>2494464</v>
      </c>
      <c r="S2839" s="13">
        <f>$E2839+8</f>
        <v>120</v>
      </c>
      <c r="T2839" s="14">
        <f>IF($J2839=0,0,ROUND(MAX($J2839*1.4*1.5*1.6*1.6*2.2,42600000*(1.576904^(MIN($E2839,123)-117)))*1,0))</f>
        <v>5487821</v>
      </c>
      <c r="U2839" s="11">
        <f>$E2839+11</f>
        <v>123</v>
      </c>
      <c r="V2839" s="12">
        <f>IF($J2839=0,0,ROUND(MAX($J2839*1.4*1.5*1.6*1.6*2.2*2.715,354000000*(1.642074^(MIN($E2839,123)-117)))*1,0))</f>
        <v>29651020</v>
      </c>
      <c r="W2839" s="13">
        <f>$E2839+15</f>
        <v>127</v>
      </c>
      <c r="X2839" s="14">
        <f>IF($J2839=0,0,ROUND(MAX($J2839*1.4*1.5*1.6*1.6*2.2*2.715*2.6,3540000000*(1.579646^(MIN($E2839,123)-117)))*1,0))</f>
        <v>359918692</v>
      </c>
      <c r="Y2839" s="11">
        <f>$E2839+17</f>
        <v>129</v>
      </c>
      <c r="Z2839" s="12">
        <f>IF($J2839=0,0,ROUND(MAX($J2839*1.4*1.5*1.6*1.6*2.2*2.715*2.6*1.4,6020000000*(1.651178^(MIN($E2839,123)-117)))*1,0))</f>
        <v>490486461</v>
      </c>
      <c r="AA2839" s="13">
        <f>$E2839+19</f>
        <v>131</v>
      </c>
      <c r="AB2839" s="14">
        <f>IF($J2839=0,0,ROUND(MAX($J2839*1.4*1.5*1.6*1.6*2.2*2.715*2.6*1.4*1.4,8430000000*(1.651435^(MIN($E2839,123)-117)))*1,0))</f>
        <v>686309723</v>
      </c>
      <c r="AC2839" s="11">
        <f>$E2839+21</f>
        <v>133</v>
      </c>
      <c r="AD2839" s="12">
        <f>IF($J2839=0,0,ROUND(MAX($J2839*1.4*1.5*1.6*1.6*2.2*2.715*2.6*1.4*1.4*1.5,12600000000*(1.652953^(MIN($E2839,123)-117)))*1,0))</f>
        <v>1021099398</v>
      </c>
      <c r="AE2839" s="13">
        <f>$E2839+24</f>
        <v>136</v>
      </c>
      <c r="AF2839" s="14">
        <f>IF($J2839=0,0,ROUND(MAX($J2839*1.4*1.5*1.6*1.6*2.2*2.715*2.6*1.4*1.4*1.5*1.5,18900000000*(1.65331^(MIN($E2839,123)-117)))*1,0))</f>
        <v>1529996162</v>
      </c>
      <c r="AG2839" s="11">
        <f>$E2839+27</f>
        <v>139</v>
      </c>
      <c r="AH2839" s="12">
        <f>IF($J2839=0,0,ROUND(MAX($J2839*1.4*1.5*1.6*1.6*2.2*2.715*2.6*1.4*1.4*1.5*1.5*3.2,60500000000*(1.654288^(MIN($E2839,123)-117)))*1,0))</f>
        <v>4883146766</v>
      </c>
    </row>
    <row r="2840" ht="28" customHeight="1" spans="1:34" x14ac:dyDescent="0.25">
      <c r="A2840">
        <v>2850</v>
      </c>
      <c r="B2840" t="s">
        <v>1315</v>
      </c>
      <c r="C2840" s="10" t="s">
        <v>1593</v>
      </c>
      <c r="D2840" t="s">
        <v>102</v>
      </c>
      <c r="E2840">
        <v>112</v>
      </c>
      <c r="F2840" t="s">
        <v>34</v>
      </c>
      <c r="G2840" t="s">
        <v>124</v>
      </c>
      <c r="H2840">
        <v>26</v>
      </c>
      <c r="I2840" s="11">
        <f>$E2840+0</f>
        <v>112</v>
      </c>
      <c r="J2840" s="12">
        <v>342000</v>
      </c>
      <c r="K2840" s="13">
        <f>$E2840+1</f>
        <v>113</v>
      </c>
      <c r="L2840" s="14">
        <f>IF($J2840=0,0,ROUND(MAX($J2840*1.4,1620000*(1.497923^(MIN($E2840,123)-117)))*1,0))</f>
        <v>478800</v>
      </c>
      <c r="M2840" s="11">
        <f>$E2840+2</f>
        <v>114</v>
      </c>
      <c r="N2840" s="12">
        <f>IF($J2840=0,0,ROUND(MAX($J2840*1.4*1.5,2190000*(1.580994^(MIN($E2840,123)-117)))*1,0))</f>
        <v>718200</v>
      </c>
      <c r="O2840" s="13">
        <f>$E2840+4</f>
        <v>116</v>
      </c>
      <c r="P2840" s="14">
        <f>IF($J2840=0,0,ROUND(MAX($J2840*1.4*1.5*1.6,3500000*(1.57975^(MIN($E2840,123)-117)))*1,0))</f>
        <v>1149120</v>
      </c>
      <c r="Q2840" s="11">
        <f>$E2840+6</f>
        <v>118</v>
      </c>
      <c r="R2840" s="12">
        <f>IF($J2840=0,0,ROUND(MAX($J2840*1.4*1.5*1.6*1.6,13100000*(1.429962^(MIN($E2840,123)-117)))*1,0))</f>
        <v>2191032</v>
      </c>
      <c r="S2840" s="13">
        <f>$E2840+8</f>
        <v>120</v>
      </c>
      <c r="T2840" s="14">
        <f>IF($J2840=0,0,ROUND(MAX($J2840*1.4*1.5*1.6*1.6*2.2,42600000*(1.576904^(MIN($E2840,123)-117)))*1,0))</f>
        <v>4369013</v>
      </c>
      <c r="U2840" s="11">
        <f>$E2840+11</f>
        <v>123</v>
      </c>
      <c r="V2840" s="12">
        <f>IF($J2840=0,0,ROUND(MAX($J2840*1.4*1.5*1.6*1.6*2.2*2.715,354000000*(1.642074^(MIN($E2840,123)-117)))*1,0))</f>
        <v>29651020</v>
      </c>
      <c r="W2840" s="13">
        <f>$E2840+15</f>
        <v>127</v>
      </c>
      <c r="X2840" s="14">
        <f>IF($J2840=0,0,ROUND(MAX($J2840*1.4*1.5*1.6*1.6*2.2*2.715*2.6,3540000000*(1.579646^(MIN($E2840,123)-117)))*1,0))</f>
        <v>359918692</v>
      </c>
      <c r="Y2840" s="11">
        <f>$E2840+17</f>
        <v>129</v>
      </c>
      <c r="Z2840" s="12">
        <f>IF($J2840=0,0,ROUND(MAX($J2840*1.4*1.5*1.6*1.6*2.2*2.715*2.6*1.4,6020000000*(1.651178^(MIN($E2840,123)-117)))*1,0))</f>
        <v>490486461</v>
      </c>
      <c r="AA2840" s="13">
        <f>$E2840+19</f>
        <v>131</v>
      </c>
      <c r="AB2840" s="14">
        <f>IF($J2840=0,0,ROUND(MAX($J2840*1.4*1.5*1.6*1.6*2.2*2.715*2.6*1.4*1.4,8430000000*(1.651435^(MIN($E2840,123)-117)))*1,0))</f>
        <v>686309723</v>
      </c>
      <c r="AC2840" s="11">
        <f>$E2840+21</f>
        <v>133</v>
      </c>
      <c r="AD2840" s="12">
        <f>IF($J2840=0,0,ROUND(MAX($J2840*1.4*1.5*1.6*1.6*2.2*2.715*2.6*1.4*1.4*1.5,12600000000*(1.652953^(MIN($E2840,123)-117)))*1,0))</f>
        <v>1021099398</v>
      </c>
      <c r="AE2840" s="13">
        <f>$E2840+24</f>
        <v>136</v>
      </c>
      <c r="AF2840" s="14">
        <f>IF($J2840=0,0,ROUND(MAX($J2840*1.4*1.5*1.6*1.6*2.2*2.715*2.6*1.4*1.4*1.5*1.5,18900000000*(1.65331^(MIN($E2840,123)-117)))*1,0))</f>
        <v>1529996162</v>
      </c>
      <c r="AG2840" s="11">
        <f>$E2840+27</f>
        <v>139</v>
      </c>
      <c r="AH2840" s="12">
        <f>IF($J2840=0,0,ROUND(MAX($J2840*1.4*1.5*1.6*1.6*2.2*2.715*2.6*1.4*1.4*1.5*1.5*3.2,60500000000*(1.654288^(MIN($E2840,123)-117)))*1,0))</f>
        <v>4883146766</v>
      </c>
    </row>
    <row r="2841" ht="28" customHeight="1" spans="1:34" x14ac:dyDescent="0.25">
      <c r="A2841">
        <v>2851</v>
      </c>
      <c r="B2841" t="s">
        <v>1643</v>
      </c>
      <c r="C2841" s="10" t="s">
        <v>1593</v>
      </c>
      <c r="D2841" t="s">
        <v>102</v>
      </c>
      <c r="E2841">
        <v>112</v>
      </c>
      <c r="F2841" t="s">
        <v>54</v>
      </c>
      <c r="G2841" t="s">
        <v>724</v>
      </c>
      <c r="H2841">
        <v>26</v>
      </c>
      <c r="I2841" s="11">
        <f>$E2841+0</f>
        <v>112</v>
      </c>
      <c r="J2841" s="12">
        <v>504000</v>
      </c>
      <c r="K2841" s="13">
        <f>$E2841+1</f>
        <v>113</v>
      </c>
      <c r="L2841" s="14">
        <f>IF($J2841=0,0,ROUND(MAX($J2841*1.4,1620000*(1.497923^(MIN($E2841,123)-117)))*1,0))</f>
        <v>705600</v>
      </c>
      <c r="M2841" s="11">
        <f>$E2841+2</f>
        <v>114</v>
      </c>
      <c r="N2841" s="12">
        <f>IF($J2841=0,0,ROUND(MAX($J2841*1.4*1.5,2190000*(1.580994^(MIN($E2841,123)-117)))*1,0))</f>
        <v>1058400</v>
      </c>
      <c r="O2841" s="13">
        <f>$E2841+4</f>
        <v>116</v>
      </c>
      <c r="P2841" s="14">
        <f>IF($J2841=0,0,ROUND(MAX($J2841*1.4*1.5*1.6,3500000*(1.57975^(MIN($E2841,123)-117)))*1,0))</f>
        <v>1693440</v>
      </c>
      <c r="Q2841" s="11">
        <f>$E2841+6</f>
        <v>118</v>
      </c>
      <c r="R2841" s="12">
        <f>IF($J2841=0,0,ROUND(MAX($J2841*1.4*1.5*1.6*1.6,13100000*(1.429962^(MIN($E2841,123)-117)))*1,0))</f>
        <v>2709504</v>
      </c>
      <c r="S2841" s="13">
        <f>$E2841+8</f>
        <v>120</v>
      </c>
      <c r="T2841" s="14">
        <f>IF($J2841=0,0,ROUND(MAX($J2841*1.4*1.5*1.6*1.6*2.2,42600000*(1.576904^(MIN($E2841,123)-117)))*1,0))</f>
        <v>5960909</v>
      </c>
      <c r="U2841" s="11">
        <f>$E2841+11</f>
        <v>123</v>
      </c>
      <c r="V2841" s="12">
        <f>IF($J2841=0,0,ROUND(MAX($J2841*1.4*1.5*1.6*1.6*2.2*2.715,354000000*(1.642074^(MIN($E2841,123)-117)))*1,0))</f>
        <v>29651020</v>
      </c>
      <c r="W2841" s="13">
        <f>$E2841+15</f>
        <v>127</v>
      </c>
      <c r="X2841" s="14">
        <f>IF($J2841=0,0,ROUND(MAX($J2841*1.4*1.5*1.6*1.6*2.2*2.715*2.6,3540000000*(1.579646^(MIN($E2841,123)-117)))*1,0))</f>
        <v>359918692</v>
      </c>
      <c r="Y2841" s="11">
        <f>$E2841+17</f>
        <v>129</v>
      </c>
      <c r="Z2841" s="12">
        <f>IF($J2841=0,0,ROUND(MAX($J2841*1.4*1.5*1.6*1.6*2.2*2.715*2.6*1.4,6020000000*(1.651178^(MIN($E2841,123)-117)))*1,0))</f>
        <v>490486461</v>
      </c>
      <c r="AA2841" s="13">
        <f>$E2841+19</f>
        <v>131</v>
      </c>
      <c r="AB2841" s="14">
        <f>IF($J2841=0,0,ROUND(MAX($J2841*1.4*1.5*1.6*1.6*2.2*2.715*2.6*1.4*1.4,8430000000*(1.651435^(MIN($E2841,123)-117)))*1,0))</f>
        <v>686309723</v>
      </c>
      <c r="AC2841" s="11">
        <f>$E2841+21</f>
        <v>133</v>
      </c>
      <c r="AD2841" s="12">
        <f>IF($J2841=0,0,ROUND(MAX($J2841*1.4*1.5*1.6*1.6*2.2*2.715*2.6*1.4*1.4*1.5,12600000000*(1.652953^(MIN($E2841,123)-117)))*1,0))</f>
        <v>1021099398</v>
      </c>
      <c r="AE2841" s="13">
        <f>$E2841+24</f>
        <v>136</v>
      </c>
      <c r="AF2841" s="14">
        <f>IF($J2841=0,0,ROUND(MAX($J2841*1.4*1.5*1.6*1.6*2.2*2.715*2.6*1.4*1.4*1.5*1.5,18900000000*(1.65331^(MIN($E2841,123)-117)))*1,0))</f>
        <v>1529996162</v>
      </c>
      <c r="AG2841" s="11">
        <f>$E2841+27</f>
        <v>139</v>
      </c>
      <c r="AH2841" s="12">
        <f>IF($J2841=0,0,ROUND(MAX($J2841*1.4*1.5*1.6*1.6*2.2*2.715*2.6*1.4*1.4*1.5*1.5*3.2,60500000000*(1.654288^(MIN($E2841,123)-117)))*1,0))</f>
        <v>4883146766</v>
      </c>
    </row>
    <row r="2842" ht="28" customHeight="1" spans="1:34" x14ac:dyDescent="0.25">
      <c r="A2842">
        <v>2852</v>
      </c>
      <c r="B2842" t="s">
        <v>1644</v>
      </c>
      <c r="C2842" s="10" t="s">
        <v>1593</v>
      </c>
      <c r="D2842" t="s">
        <v>331</v>
      </c>
      <c r="E2842">
        <v>112</v>
      </c>
      <c r="F2842" t="s">
        <v>62</v>
      </c>
      <c r="G2842" t="s">
        <v>1303</v>
      </c>
      <c r="H2842">
        <v>26</v>
      </c>
      <c r="I2842" s="11">
        <f>$E2842+0</f>
        <v>112</v>
      </c>
      <c r="J2842" s="12">
        <v>711000</v>
      </c>
      <c r="K2842" s="13">
        <f>$E2842+1</f>
        <v>113</v>
      </c>
      <c r="L2842" s="14">
        <f>IF($J2842=0,0,ROUND(MAX($J2842*1.4,1620000*(1.497923^(MIN($E2842,123)-117)))*1,0))</f>
        <v>995400</v>
      </c>
      <c r="M2842" s="11">
        <f>$E2842+2</f>
        <v>114</v>
      </c>
      <c r="N2842" s="12">
        <f>IF($J2842=0,0,ROUND(MAX($J2842*1.4*1.5,2190000*(1.580994^(MIN($E2842,123)-117)))*1,0))</f>
        <v>1493100</v>
      </c>
      <c r="O2842" s="13">
        <f>$E2842+4</f>
        <v>116</v>
      </c>
      <c r="P2842" s="14">
        <f>IF($J2842=0,0,ROUND(MAX($J2842*1.4*1.5*1.6,3500000*(1.57975^(MIN($E2842,123)-117)))*1,0))</f>
        <v>2388960</v>
      </c>
      <c r="Q2842" s="11">
        <f>$E2842+6</f>
        <v>118</v>
      </c>
      <c r="R2842" s="12">
        <f>IF($J2842=0,0,ROUND(MAX($J2842*1.4*1.5*1.6*1.6,13100000*(1.429962^(MIN($E2842,123)-117)))*1,0))</f>
        <v>3822336</v>
      </c>
      <c r="S2842" s="13">
        <f>$E2842+8</f>
        <v>120</v>
      </c>
      <c r="T2842" s="14">
        <f>IF($J2842=0,0,ROUND(MAX($J2842*1.4*1.5*1.6*1.6*2.2,42600000*(1.576904^(MIN($E2842,123)-117)))*1,0))</f>
        <v>8409139</v>
      </c>
      <c r="U2842" s="11">
        <f>$E2842+11</f>
        <v>123</v>
      </c>
      <c r="V2842" s="12">
        <f>IF($J2842=0,0,ROUND(MAX($J2842*1.4*1.5*1.6*1.6*2.2*2.715,354000000*(1.642074^(MIN($E2842,123)-117)))*1,0))</f>
        <v>29651020</v>
      </c>
      <c r="W2842" s="13">
        <f>$E2842+15</f>
        <v>127</v>
      </c>
      <c r="X2842" s="14">
        <f>IF($J2842=0,0,ROUND(MAX($J2842*1.4*1.5*1.6*1.6*2.2*2.715*2.6,3540000000*(1.579646^(MIN($E2842,123)-117)))*1,0))</f>
        <v>359918692</v>
      </c>
      <c r="Y2842" s="11">
        <f>$E2842+17</f>
        <v>129</v>
      </c>
      <c r="Z2842" s="12">
        <f>IF($J2842=0,0,ROUND(MAX($J2842*1.4*1.5*1.6*1.6*2.2*2.715*2.6*1.4,6020000000*(1.651178^(MIN($E2842,123)-117)))*1,0))</f>
        <v>490486461</v>
      </c>
      <c r="AA2842" s="13">
        <f>$E2842+19</f>
        <v>131</v>
      </c>
      <c r="AB2842" s="14">
        <f>IF($J2842=0,0,ROUND(MAX($J2842*1.4*1.5*1.6*1.6*2.2*2.715*2.6*1.4*1.4,8430000000*(1.651435^(MIN($E2842,123)-117)))*1,0))</f>
        <v>686309723</v>
      </c>
      <c r="AC2842" s="11">
        <f>$E2842+21</f>
        <v>133</v>
      </c>
      <c r="AD2842" s="12">
        <f>IF($J2842=0,0,ROUND(MAX($J2842*1.4*1.5*1.6*1.6*2.2*2.715*2.6*1.4*1.4*1.5,12600000000*(1.652953^(MIN($E2842,123)-117)))*1,0))</f>
        <v>1021099398</v>
      </c>
      <c r="AE2842" s="13">
        <f>$E2842+24</f>
        <v>136</v>
      </c>
      <c r="AF2842" s="14">
        <f>IF($J2842=0,0,ROUND(MAX($J2842*1.4*1.5*1.6*1.6*2.2*2.715*2.6*1.4*1.4*1.5*1.5,18900000000*(1.65331^(MIN($E2842,123)-117)))*1,0))</f>
        <v>1529996162</v>
      </c>
      <c r="AG2842" s="11">
        <f>$E2842+27</f>
        <v>139</v>
      </c>
      <c r="AH2842" s="12">
        <f>IF($J2842=0,0,ROUND(MAX($J2842*1.4*1.5*1.6*1.6*2.2*2.715*2.6*1.4*1.4*1.5*1.5*3.2,60500000000*(1.654288^(MIN($E2842,123)-117)))*1,0))</f>
        <v>4883146766</v>
      </c>
    </row>
    <row r="2843" ht="28" customHeight="1" spans="1:34" x14ac:dyDescent="0.25">
      <c r="A2843">
        <v>2853</v>
      </c>
      <c r="B2843" t="s">
        <v>1645</v>
      </c>
      <c r="C2843" s="10" t="s">
        <v>1593</v>
      </c>
      <c r="D2843" t="s">
        <v>25</v>
      </c>
      <c r="E2843">
        <v>112</v>
      </c>
      <c r="F2843" t="s">
        <v>26</v>
      </c>
      <c r="G2843" t="s">
        <v>990</v>
      </c>
      <c r="H2843">
        <v>26</v>
      </c>
      <c r="I2843" s="11">
        <f>$E2843+0</f>
        <v>112</v>
      </c>
      <c r="J2843" s="12">
        <v>729000</v>
      </c>
      <c r="K2843" s="13">
        <f>$E2843+1</f>
        <v>113</v>
      </c>
      <c r="L2843" s="14">
        <f>IF($J2843=0,0,ROUND(MAX($J2843*1.4,1620000*(1.497923^(MIN($E2843,123)-117)))*1,0))</f>
        <v>1020600</v>
      </c>
      <c r="M2843" s="11">
        <f>$E2843+2</f>
        <v>114</v>
      </c>
      <c r="N2843" s="12">
        <f>IF($J2843=0,0,ROUND(MAX($J2843*1.4*1.5,2190000*(1.580994^(MIN($E2843,123)-117)))*1,0))</f>
        <v>1530900</v>
      </c>
      <c r="O2843" s="13">
        <f>$E2843+4</f>
        <v>116</v>
      </c>
      <c r="P2843" s="14">
        <f>IF($J2843=0,0,ROUND(MAX($J2843*1.4*1.5*1.6,3500000*(1.57975^(MIN($E2843,123)-117)))*1,0))</f>
        <v>2449440</v>
      </c>
      <c r="Q2843" s="11">
        <f>$E2843+6</f>
        <v>118</v>
      </c>
      <c r="R2843" s="12">
        <f>IF($J2843=0,0,ROUND(MAX($J2843*1.4*1.5*1.6*1.6,13100000*(1.429962^(MIN($E2843,123)-117)))*1,0))</f>
        <v>3919104</v>
      </c>
      <c r="S2843" s="13">
        <f>$E2843+8</f>
        <v>120</v>
      </c>
      <c r="T2843" s="14">
        <f>IF($J2843=0,0,ROUND(MAX($J2843*1.4*1.5*1.6*1.6*2.2,42600000*(1.576904^(MIN($E2843,123)-117)))*1,0))</f>
        <v>8622029</v>
      </c>
      <c r="U2843" s="11">
        <f>$E2843+11</f>
        <v>123</v>
      </c>
      <c r="V2843" s="12">
        <f>IF($J2843=0,0,ROUND(MAX($J2843*1.4*1.5*1.6*1.6*2.2*2.715,354000000*(1.642074^(MIN($E2843,123)-117)))*1,0))</f>
        <v>29651020</v>
      </c>
      <c r="W2843" s="13">
        <f>$E2843+15</f>
        <v>127</v>
      </c>
      <c r="X2843" s="14">
        <f>IF($J2843=0,0,ROUND(MAX($J2843*1.4*1.5*1.6*1.6*2.2*2.715*2.6,3540000000*(1.579646^(MIN($E2843,123)-117)))*1,0))</f>
        <v>359918692</v>
      </c>
      <c r="Y2843" s="11">
        <f>$E2843+17</f>
        <v>129</v>
      </c>
      <c r="Z2843" s="12">
        <f>IF($J2843=0,0,ROUND(MAX($J2843*1.4*1.5*1.6*1.6*2.2*2.715*2.6*1.4,6020000000*(1.651178^(MIN($E2843,123)-117)))*1,0))</f>
        <v>490486461</v>
      </c>
      <c r="AA2843" s="13">
        <f>$E2843+19</f>
        <v>131</v>
      </c>
      <c r="AB2843" s="14">
        <f>IF($J2843=0,0,ROUND(MAX($J2843*1.4*1.5*1.6*1.6*2.2*2.715*2.6*1.4*1.4,8430000000*(1.651435^(MIN($E2843,123)-117)))*1,0))</f>
        <v>686309723</v>
      </c>
      <c r="AC2843" s="11">
        <f>$E2843+21</f>
        <v>133</v>
      </c>
      <c r="AD2843" s="12">
        <f>IF($J2843=0,0,ROUND(MAX($J2843*1.4*1.5*1.6*1.6*2.2*2.715*2.6*1.4*1.4*1.5,12600000000*(1.652953^(MIN($E2843,123)-117)))*1,0))</f>
        <v>1021099398</v>
      </c>
      <c r="AE2843" s="13">
        <f>$E2843+24</f>
        <v>136</v>
      </c>
      <c r="AF2843" s="14">
        <f>IF($J2843=0,0,ROUND(MAX($J2843*1.4*1.5*1.6*1.6*2.2*2.715*2.6*1.4*1.4*1.5*1.5,18900000000*(1.65331^(MIN($E2843,123)-117)))*1,0))</f>
        <v>1529996162</v>
      </c>
      <c r="AG2843" s="11">
        <f>$E2843+27</f>
        <v>139</v>
      </c>
      <c r="AH2843" s="12">
        <f>IF($J2843=0,0,ROUND(MAX($J2843*1.4*1.5*1.6*1.6*2.2*2.715*2.6*1.4*1.4*1.5*1.5*3.2,60500000000*(1.654288^(MIN($E2843,123)-117)))*1,0))</f>
        <v>4883146766</v>
      </c>
    </row>
    <row r="2844" ht="28" customHeight="1" spans="1:34" x14ac:dyDescent="0.25">
      <c r="A2844">
        <v>2854</v>
      </c>
      <c r="B2844" t="s">
        <v>991</v>
      </c>
      <c r="C2844" s="10" t="s">
        <v>1593</v>
      </c>
      <c r="D2844" t="s">
        <v>29</v>
      </c>
      <c r="E2844">
        <v>112</v>
      </c>
      <c r="F2844" t="s">
        <v>62</v>
      </c>
      <c r="G2844" t="s">
        <v>104</v>
      </c>
      <c r="H2844">
        <v>26</v>
      </c>
      <c r="I2844" s="11">
        <f>$E2844+0</f>
        <v>112</v>
      </c>
      <c r="J2844" s="12">
        <v>438000</v>
      </c>
      <c r="K2844" s="13">
        <f>$E2844+1</f>
        <v>113</v>
      </c>
      <c r="L2844" s="14">
        <f>IF($J2844=0,0,ROUND(MAX($J2844*1.4,1620000*(1.497923^(MIN($E2844,123)-117)))*1,0))</f>
        <v>613200</v>
      </c>
      <c r="M2844" s="11">
        <f>$E2844+2</f>
        <v>114</v>
      </c>
      <c r="N2844" s="12">
        <f>IF($J2844=0,0,ROUND(MAX($J2844*1.4*1.5,2190000*(1.580994^(MIN($E2844,123)-117)))*1,0))</f>
        <v>919800</v>
      </c>
      <c r="O2844" s="13">
        <f>$E2844+4</f>
        <v>116</v>
      </c>
      <c r="P2844" s="14">
        <f>IF($J2844=0,0,ROUND(MAX($J2844*1.4*1.5*1.6,3500000*(1.57975^(MIN($E2844,123)-117)))*1,0))</f>
        <v>1471680</v>
      </c>
      <c r="Q2844" s="11">
        <f>$E2844+6</f>
        <v>118</v>
      </c>
      <c r="R2844" s="12">
        <f>IF($J2844=0,0,ROUND(MAX($J2844*1.4*1.5*1.6*1.6,13100000*(1.429962^(MIN($E2844,123)-117)))*1,0))</f>
        <v>2354688</v>
      </c>
      <c r="S2844" s="13">
        <f>$E2844+8</f>
        <v>120</v>
      </c>
      <c r="T2844" s="14">
        <f>IF($J2844=0,0,ROUND(MAX($J2844*1.4*1.5*1.6*1.6*2.2,42600000*(1.576904^(MIN($E2844,123)-117)))*1,0))</f>
        <v>5180314</v>
      </c>
      <c r="U2844" s="11">
        <f>$E2844+11</f>
        <v>123</v>
      </c>
      <c r="V2844" s="12">
        <f>IF($J2844=0,0,ROUND(MAX($J2844*1.4*1.5*1.6*1.6*2.2*2.715,354000000*(1.642074^(MIN($E2844,123)-117)))*1,0))</f>
        <v>29651020</v>
      </c>
      <c r="W2844" s="13">
        <f>$E2844+15</f>
        <v>127</v>
      </c>
      <c r="X2844" s="14">
        <f>IF($J2844=0,0,ROUND(MAX($J2844*1.4*1.5*1.6*1.6*2.2*2.715*2.6,3540000000*(1.579646^(MIN($E2844,123)-117)))*1,0))</f>
        <v>359918692</v>
      </c>
      <c r="Y2844" s="11">
        <f>$E2844+17</f>
        <v>129</v>
      </c>
      <c r="Z2844" s="12">
        <f>IF($J2844=0,0,ROUND(MAX($J2844*1.4*1.5*1.6*1.6*2.2*2.715*2.6*1.4,6020000000*(1.651178^(MIN($E2844,123)-117)))*1,0))</f>
        <v>490486461</v>
      </c>
      <c r="AA2844" s="13">
        <f>$E2844+19</f>
        <v>131</v>
      </c>
      <c r="AB2844" s="14">
        <f>IF($J2844=0,0,ROUND(MAX($J2844*1.4*1.5*1.6*1.6*2.2*2.715*2.6*1.4*1.4,8430000000*(1.651435^(MIN($E2844,123)-117)))*1,0))</f>
        <v>686309723</v>
      </c>
      <c r="AC2844" s="11">
        <f>$E2844+21</f>
        <v>133</v>
      </c>
      <c r="AD2844" s="12">
        <f>IF($J2844=0,0,ROUND(MAX($J2844*1.4*1.5*1.6*1.6*2.2*2.715*2.6*1.4*1.4*1.5,12600000000*(1.652953^(MIN($E2844,123)-117)))*1,0))</f>
        <v>1021099398</v>
      </c>
      <c r="AE2844" s="13">
        <f>$E2844+24</f>
        <v>136</v>
      </c>
      <c r="AF2844" s="14">
        <f>IF($J2844=0,0,ROUND(MAX($J2844*1.4*1.5*1.6*1.6*2.2*2.715*2.6*1.4*1.4*1.5*1.5,18900000000*(1.65331^(MIN($E2844,123)-117)))*1,0))</f>
        <v>1529996162</v>
      </c>
      <c r="AG2844" s="11">
        <f>$E2844+27</f>
        <v>139</v>
      </c>
      <c r="AH2844" s="12">
        <f>IF($J2844=0,0,ROUND(MAX($J2844*1.4*1.5*1.6*1.6*2.2*2.715*2.6*1.4*1.4*1.5*1.5*3.2,60500000000*(1.654288^(MIN($E2844,123)-117)))*1,0))</f>
        <v>4883146766</v>
      </c>
    </row>
    <row r="2845" ht="28" customHeight="1" spans="1:34" x14ac:dyDescent="0.25">
      <c r="A2845">
        <v>2855</v>
      </c>
      <c r="B2845" t="s">
        <v>1149</v>
      </c>
      <c r="C2845" s="10" t="s">
        <v>1593</v>
      </c>
      <c r="D2845" t="s">
        <v>47</v>
      </c>
      <c r="E2845">
        <v>112</v>
      </c>
      <c r="F2845" t="s">
        <v>59</v>
      </c>
      <c r="G2845" t="s">
        <v>595</v>
      </c>
      <c r="H2845">
        <v>24</v>
      </c>
      <c r="I2845" s="11">
        <f>$E2845+0</f>
        <v>112</v>
      </c>
      <c r="J2845" s="12">
        <v>555000</v>
      </c>
      <c r="K2845" s="13">
        <f>$E2845+1</f>
        <v>113</v>
      </c>
      <c r="L2845" s="14">
        <f>IF($J2845=0,0,ROUND(MAX($J2845*1.4,1620000*(1.497923^(MIN($E2845,123)-117)))*1,0))</f>
        <v>777000</v>
      </c>
      <c r="M2845" s="11">
        <f>$E2845+2</f>
        <v>114</v>
      </c>
      <c r="N2845" s="12">
        <f>IF($J2845=0,0,ROUND(MAX($J2845*1.4*1.5,2190000*(1.580994^(MIN($E2845,123)-117)))*1,0))</f>
        <v>1165500</v>
      </c>
      <c r="O2845" s="13">
        <f>$E2845+4</f>
        <v>116</v>
      </c>
      <c r="P2845" s="14">
        <f>IF($J2845=0,0,ROUND(MAX($J2845*1.4*1.5*1.6,3500000*(1.57975^(MIN($E2845,123)-117)))*1,0))</f>
        <v>1864800</v>
      </c>
      <c r="Q2845" s="11">
        <f>$E2845+6</f>
        <v>118</v>
      </c>
      <c r="R2845" s="12">
        <f>IF($J2845=0,0,ROUND(MAX($J2845*1.4*1.5*1.6*1.6,13100000*(1.429962^(MIN($E2845,123)-117)))*1,0))</f>
        <v>2983680</v>
      </c>
      <c r="S2845" s="13">
        <f>$E2845+8</f>
        <v>120</v>
      </c>
      <c r="T2845" s="14">
        <f>IF($J2845=0,0,ROUND(MAX($J2845*1.4*1.5*1.6*1.6*2.2,42600000*(1.576904^(MIN($E2845,123)-117)))*1,0))</f>
        <v>6564096</v>
      </c>
      <c r="U2845" s="11">
        <f>$E2845+11</f>
        <v>123</v>
      </c>
      <c r="V2845" s="12">
        <f>IF($J2845=0,0,ROUND(MAX($J2845*1.4*1.5*1.6*1.6*2.2*2.715,354000000*(1.642074^(MIN($E2845,123)-117)))*1,0))</f>
        <v>29651020</v>
      </c>
      <c r="W2845" s="13">
        <f>$E2845+15</f>
        <v>127</v>
      </c>
      <c r="X2845" s="14">
        <f>IF($J2845=0,0,ROUND(MAX($J2845*1.4*1.5*1.6*1.6*2.2*2.715*2.6,3540000000*(1.579646^(MIN($E2845,123)-117)))*1,0))</f>
        <v>359918692</v>
      </c>
      <c r="Y2845" s="11">
        <f>$E2845+17</f>
        <v>129</v>
      </c>
      <c r="Z2845" s="12">
        <f>IF($J2845=0,0,ROUND(MAX($J2845*1.4*1.5*1.6*1.6*2.2*2.715*2.6*1.4,6020000000*(1.651178^(MIN($E2845,123)-117)))*1,0))</f>
        <v>490486461</v>
      </c>
      <c r="AA2845" s="13">
        <f>$E2845+19</f>
        <v>131</v>
      </c>
      <c r="AB2845" s="14">
        <f>IF($J2845=0,0,ROUND(MAX($J2845*1.4*1.5*1.6*1.6*2.2*2.715*2.6*1.4*1.4,8430000000*(1.651435^(MIN($E2845,123)-117)))*1,0))</f>
        <v>686309723</v>
      </c>
      <c r="AC2845" s="11">
        <f>$E2845+21</f>
        <v>133</v>
      </c>
      <c r="AD2845" s="12">
        <f>IF($J2845=0,0,ROUND(MAX($J2845*1.4*1.5*1.6*1.6*2.2*2.715*2.6*1.4*1.4*1.5,12600000000*(1.652953^(MIN($E2845,123)-117)))*1,0))</f>
        <v>1021099398</v>
      </c>
      <c r="AE2845" s="13">
        <f>$E2845+24</f>
        <v>136</v>
      </c>
      <c r="AF2845" s="14">
        <f>IF($J2845=0,0,ROUND(MAX($J2845*1.4*1.5*1.6*1.6*2.2*2.715*2.6*1.4*1.4*1.5*1.5,18900000000*(1.65331^(MIN($E2845,123)-117)))*1,0))</f>
        <v>1529996162</v>
      </c>
      <c r="AG2845" s="11">
        <f>$E2845+27</f>
        <v>139</v>
      </c>
      <c r="AH2845" s="12">
        <f>IF($J2845=0,0,ROUND(MAX($J2845*1.4*1.5*1.6*1.6*2.2*2.715*2.6*1.4*1.4*1.5*1.5*3.2,60500000000*(1.654288^(MIN($E2845,123)-117)))*1,0))</f>
        <v>4883146766</v>
      </c>
    </row>
    <row r="2846" ht="28" customHeight="1" spans="1:34" x14ac:dyDescent="0.25">
      <c r="A2846">
        <v>2856</v>
      </c>
      <c r="B2846" t="s">
        <v>1363</v>
      </c>
      <c r="C2846" s="10" t="s">
        <v>1593</v>
      </c>
      <c r="D2846" t="s">
        <v>47</v>
      </c>
      <c r="E2846">
        <v>112</v>
      </c>
      <c r="F2846" t="s">
        <v>71</v>
      </c>
      <c r="G2846" t="s">
        <v>362</v>
      </c>
      <c r="H2846">
        <v>23</v>
      </c>
      <c r="I2846" s="11">
        <f>$E2846+0</f>
        <v>112</v>
      </c>
      <c r="J2846" s="12">
        <v>362000</v>
      </c>
      <c r="K2846" s="13">
        <f>$E2846+1</f>
        <v>113</v>
      </c>
      <c r="L2846" s="14">
        <f>IF($J2846=0,0,ROUND(MAX($J2846*1.4,1620000*(1.497923^(MIN($E2846,123)-117)))*1,0))</f>
        <v>506800</v>
      </c>
      <c r="M2846" s="11">
        <f>$E2846+2</f>
        <v>114</v>
      </c>
      <c r="N2846" s="12">
        <f>IF($J2846=0,0,ROUND(MAX($J2846*1.4*1.5,2190000*(1.580994^(MIN($E2846,123)-117)))*1,0))</f>
        <v>760200</v>
      </c>
      <c r="O2846" s="13">
        <f>$E2846+4</f>
        <v>116</v>
      </c>
      <c r="P2846" s="14">
        <f>IF($J2846=0,0,ROUND(MAX($J2846*1.4*1.5*1.6,3500000*(1.57975^(MIN($E2846,123)-117)))*1,0))</f>
        <v>1216320</v>
      </c>
      <c r="Q2846" s="11">
        <f>$E2846+6</f>
        <v>118</v>
      </c>
      <c r="R2846" s="12">
        <f>IF($J2846=0,0,ROUND(MAX($J2846*1.4*1.5*1.6*1.6,13100000*(1.429962^(MIN($E2846,123)-117)))*1,0))</f>
        <v>2191032</v>
      </c>
      <c r="S2846" s="13">
        <f>$E2846+8</f>
        <v>120</v>
      </c>
      <c r="T2846" s="14">
        <f>IF($J2846=0,0,ROUND(MAX($J2846*1.4*1.5*1.6*1.6*2.2,42600000*(1.576904^(MIN($E2846,123)-117)))*1,0))</f>
        <v>4369013</v>
      </c>
      <c r="U2846" s="11">
        <f>$E2846+11</f>
        <v>123</v>
      </c>
      <c r="V2846" s="12">
        <f>IF($J2846=0,0,ROUND(MAX($J2846*1.4*1.5*1.6*1.6*2.2*2.715,354000000*(1.642074^(MIN($E2846,123)-117)))*1,0))</f>
        <v>29651020</v>
      </c>
      <c r="W2846" s="13">
        <f>$E2846+15</f>
        <v>127</v>
      </c>
      <c r="X2846" s="14">
        <f>IF($J2846=0,0,ROUND(MAX($J2846*1.4*1.5*1.6*1.6*2.2*2.715*2.6,3540000000*(1.579646^(MIN($E2846,123)-117)))*1,0))</f>
        <v>359918692</v>
      </c>
      <c r="Y2846" s="11">
        <f>$E2846+17</f>
        <v>129</v>
      </c>
      <c r="Z2846" s="12">
        <f>IF($J2846=0,0,ROUND(MAX($J2846*1.4*1.5*1.6*1.6*2.2*2.715*2.6*1.4,6020000000*(1.651178^(MIN($E2846,123)-117)))*1,0))</f>
        <v>490486461</v>
      </c>
      <c r="AA2846" s="13">
        <f>$E2846+19</f>
        <v>131</v>
      </c>
      <c r="AB2846" s="14">
        <f>IF($J2846=0,0,ROUND(MAX($J2846*1.4*1.5*1.6*1.6*2.2*2.715*2.6*1.4*1.4,8430000000*(1.651435^(MIN($E2846,123)-117)))*1,0))</f>
        <v>686309723</v>
      </c>
      <c r="AC2846" s="11">
        <f>$E2846+21</f>
        <v>133</v>
      </c>
      <c r="AD2846" s="12">
        <f>IF($J2846=0,0,ROUND(MAX($J2846*1.4*1.5*1.6*1.6*2.2*2.715*2.6*1.4*1.4*1.5,12600000000*(1.652953^(MIN($E2846,123)-117)))*1,0))</f>
        <v>1021099398</v>
      </c>
      <c r="AE2846" s="13">
        <f>$E2846+24</f>
        <v>136</v>
      </c>
      <c r="AF2846" s="14">
        <f>IF($J2846=0,0,ROUND(MAX($J2846*1.4*1.5*1.6*1.6*2.2*2.715*2.6*1.4*1.4*1.5*1.5,18900000000*(1.65331^(MIN($E2846,123)-117)))*1,0))</f>
        <v>1529996162</v>
      </c>
      <c r="AG2846" s="11">
        <f>$E2846+27</f>
        <v>139</v>
      </c>
      <c r="AH2846" s="12">
        <f>IF($J2846=0,0,ROUND(MAX($J2846*1.4*1.5*1.6*1.6*2.2*2.715*2.6*1.4*1.4*1.5*1.5*3.2,60500000000*(1.654288^(MIN($E2846,123)-117)))*1,0))</f>
        <v>4883146766</v>
      </c>
    </row>
    <row r="2847" ht="28" customHeight="1" spans="1:34" x14ac:dyDescent="0.25">
      <c r="A2847">
        <v>2857</v>
      </c>
      <c r="B2847" t="s">
        <v>1646</v>
      </c>
      <c r="C2847" s="10" t="s">
        <v>1593</v>
      </c>
      <c r="D2847" t="s">
        <v>47</v>
      </c>
      <c r="E2847">
        <v>112</v>
      </c>
      <c r="F2847" t="s">
        <v>26</v>
      </c>
      <c r="G2847" t="s">
        <v>425</v>
      </c>
      <c r="H2847">
        <v>23</v>
      </c>
      <c r="I2847" s="11">
        <f>$E2847+0</f>
        <v>112</v>
      </c>
      <c r="J2847" s="12">
        <v>518000</v>
      </c>
      <c r="K2847" s="13">
        <f>$E2847+1</f>
        <v>113</v>
      </c>
      <c r="L2847" s="14">
        <f>IF($J2847=0,0,ROUND(MAX($J2847*1.4,1620000*(1.497923^(MIN($E2847,123)-117)))*1,0))</f>
        <v>725200</v>
      </c>
      <c r="M2847" s="11">
        <f>$E2847+2</f>
        <v>114</v>
      </c>
      <c r="N2847" s="12">
        <f>IF($J2847=0,0,ROUND(MAX($J2847*1.4*1.5,2190000*(1.580994^(MIN($E2847,123)-117)))*1,0))</f>
        <v>1087800</v>
      </c>
      <c r="O2847" s="13">
        <f>$E2847+4</f>
        <v>116</v>
      </c>
      <c r="P2847" s="14">
        <f>IF($J2847=0,0,ROUND(MAX($J2847*1.4*1.5*1.6,3500000*(1.57975^(MIN($E2847,123)-117)))*1,0))</f>
        <v>1740480</v>
      </c>
      <c r="Q2847" s="11">
        <f>$E2847+6</f>
        <v>118</v>
      </c>
      <c r="R2847" s="12">
        <f>IF($J2847=0,0,ROUND(MAX($J2847*1.4*1.5*1.6*1.6,13100000*(1.429962^(MIN($E2847,123)-117)))*1,0))</f>
        <v>2784768</v>
      </c>
      <c r="S2847" s="13">
        <f>$E2847+8</f>
        <v>120</v>
      </c>
      <c r="T2847" s="14">
        <f>IF($J2847=0,0,ROUND(MAX($J2847*1.4*1.5*1.6*1.6*2.2,42600000*(1.576904^(MIN($E2847,123)-117)))*1,0))</f>
        <v>6126490</v>
      </c>
      <c r="U2847" s="11">
        <f>$E2847+11</f>
        <v>123</v>
      </c>
      <c r="V2847" s="12">
        <f>IF($J2847=0,0,ROUND(MAX($J2847*1.4*1.5*1.6*1.6*2.2*2.715,354000000*(1.642074^(MIN($E2847,123)-117)))*1,0))</f>
        <v>29651020</v>
      </c>
      <c r="W2847" s="13">
        <f>$E2847+15</f>
        <v>127</v>
      </c>
      <c r="X2847" s="14">
        <f>IF($J2847=0,0,ROUND(MAX($J2847*1.4*1.5*1.6*1.6*2.2*2.715*2.6,3540000000*(1.579646^(MIN($E2847,123)-117)))*1,0))</f>
        <v>359918692</v>
      </c>
      <c r="Y2847" s="11">
        <f>$E2847+17</f>
        <v>129</v>
      </c>
      <c r="Z2847" s="12">
        <f>IF($J2847=0,0,ROUND(MAX($J2847*1.4*1.5*1.6*1.6*2.2*2.715*2.6*1.4,6020000000*(1.651178^(MIN($E2847,123)-117)))*1,0))</f>
        <v>490486461</v>
      </c>
      <c r="AA2847" s="13">
        <f>$E2847+19</f>
        <v>131</v>
      </c>
      <c r="AB2847" s="14">
        <f>IF($J2847=0,0,ROUND(MAX($J2847*1.4*1.5*1.6*1.6*2.2*2.715*2.6*1.4*1.4,8430000000*(1.651435^(MIN($E2847,123)-117)))*1,0))</f>
        <v>686309723</v>
      </c>
      <c r="AC2847" s="11">
        <f>$E2847+21</f>
        <v>133</v>
      </c>
      <c r="AD2847" s="12">
        <f>IF($J2847=0,0,ROUND(MAX($J2847*1.4*1.5*1.6*1.6*2.2*2.715*2.6*1.4*1.4*1.5,12600000000*(1.652953^(MIN($E2847,123)-117)))*1,0))</f>
        <v>1021099398</v>
      </c>
      <c r="AE2847" s="13">
        <f>$E2847+24</f>
        <v>136</v>
      </c>
      <c r="AF2847" s="14">
        <f>IF($J2847=0,0,ROUND(MAX($J2847*1.4*1.5*1.6*1.6*2.2*2.715*2.6*1.4*1.4*1.5*1.5,18900000000*(1.65331^(MIN($E2847,123)-117)))*1,0))</f>
        <v>1529996162</v>
      </c>
      <c r="AG2847" s="11">
        <f>$E2847+27</f>
        <v>139</v>
      </c>
      <c r="AH2847" s="12">
        <f>IF($J2847=0,0,ROUND(MAX($J2847*1.4*1.5*1.6*1.6*2.2*2.715*2.6*1.4*1.4*1.5*1.5*3.2,60500000000*(1.654288^(MIN($E2847,123)-117)))*1,0))</f>
        <v>4883146766</v>
      </c>
    </row>
    <row r="2848" ht="28" customHeight="1" spans="1:34" x14ac:dyDescent="0.25">
      <c r="A2848">
        <v>2858</v>
      </c>
      <c r="B2848" t="s">
        <v>811</v>
      </c>
      <c r="C2848" s="10" t="s">
        <v>1593</v>
      </c>
      <c r="D2848" t="s">
        <v>47</v>
      </c>
      <c r="E2848">
        <v>112</v>
      </c>
      <c r="F2848" t="s">
        <v>71</v>
      </c>
      <c r="G2848" t="s">
        <v>95</v>
      </c>
      <c r="H2848">
        <v>23</v>
      </c>
      <c r="I2848" s="11">
        <f>$E2848+0</f>
        <v>112</v>
      </c>
      <c r="J2848" s="12">
        <v>426000</v>
      </c>
      <c r="K2848" s="13">
        <f>$E2848+1</f>
        <v>113</v>
      </c>
      <c r="L2848" s="14">
        <f>IF($J2848=0,0,ROUND(MAX($J2848*1.4,1620000*(1.497923^(MIN($E2848,123)-117)))*1,0))</f>
        <v>596400</v>
      </c>
      <c r="M2848" s="11">
        <f>$E2848+2</f>
        <v>114</v>
      </c>
      <c r="N2848" s="12">
        <f>IF($J2848=0,0,ROUND(MAX($J2848*1.4*1.5,2190000*(1.580994^(MIN($E2848,123)-117)))*1,0))</f>
        <v>894600</v>
      </c>
      <c r="O2848" s="13">
        <f>$E2848+4</f>
        <v>116</v>
      </c>
      <c r="P2848" s="14">
        <f>IF($J2848=0,0,ROUND(MAX($J2848*1.4*1.5*1.6,3500000*(1.57975^(MIN($E2848,123)-117)))*1,0))</f>
        <v>1431360</v>
      </c>
      <c r="Q2848" s="11">
        <f>$E2848+6</f>
        <v>118</v>
      </c>
      <c r="R2848" s="12">
        <f>IF($J2848=0,0,ROUND(MAX($J2848*1.4*1.5*1.6*1.6,13100000*(1.429962^(MIN($E2848,123)-117)))*1,0))</f>
        <v>2290176</v>
      </c>
      <c r="S2848" s="13">
        <f>$E2848+8</f>
        <v>120</v>
      </c>
      <c r="T2848" s="14">
        <f>IF($J2848=0,0,ROUND(MAX($J2848*1.4*1.5*1.6*1.6*2.2,42600000*(1.576904^(MIN($E2848,123)-117)))*1,0))</f>
        <v>5038387</v>
      </c>
      <c r="U2848" s="11">
        <f>$E2848+11</f>
        <v>123</v>
      </c>
      <c r="V2848" s="12">
        <f>IF($J2848=0,0,ROUND(MAX($J2848*1.4*1.5*1.6*1.6*2.2*2.715,354000000*(1.642074^(MIN($E2848,123)-117)))*1,0))</f>
        <v>29651020</v>
      </c>
      <c r="W2848" s="13">
        <f>$E2848+15</f>
        <v>127</v>
      </c>
      <c r="X2848" s="14">
        <f>IF($J2848=0,0,ROUND(MAX($J2848*1.4*1.5*1.6*1.6*2.2*2.715*2.6,3540000000*(1.579646^(MIN($E2848,123)-117)))*1,0))</f>
        <v>359918692</v>
      </c>
      <c r="Y2848" s="11">
        <f>$E2848+17</f>
        <v>129</v>
      </c>
      <c r="Z2848" s="12">
        <f>IF($J2848=0,0,ROUND(MAX($J2848*1.4*1.5*1.6*1.6*2.2*2.715*2.6*1.4,6020000000*(1.651178^(MIN($E2848,123)-117)))*1,0))</f>
        <v>490486461</v>
      </c>
      <c r="AA2848" s="13">
        <f>$E2848+19</f>
        <v>131</v>
      </c>
      <c r="AB2848" s="14">
        <f>IF($J2848=0,0,ROUND(MAX($J2848*1.4*1.5*1.6*1.6*2.2*2.715*2.6*1.4*1.4,8430000000*(1.651435^(MIN($E2848,123)-117)))*1,0))</f>
        <v>686309723</v>
      </c>
      <c r="AC2848" s="11">
        <f>$E2848+21</f>
        <v>133</v>
      </c>
      <c r="AD2848" s="12">
        <f>IF($J2848=0,0,ROUND(MAX($J2848*1.4*1.5*1.6*1.6*2.2*2.715*2.6*1.4*1.4*1.5,12600000000*(1.652953^(MIN($E2848,123)-117)))*1,0))</f>
        <v>1021099398</v>
      </c>
      <c r="AE2848" s="13">
        <f>$E2848+24</f>
        <v>136</v>
      </c>
      <c r="AF2848" s="14">
        <f>IF($J2848=0,0,ROUND(MAX($J2848*1.4*1.5*1.6*1.6*2.2*2.715*2.6*1.4*1.4*1.5*1.5,18900000000*(1.65331^(MIN($E2848,123)-117)))*1,0))</f>
        <v>1529996162</v>
      </c>
      <c r="AG2848" s="11">
        <f>$E2848+27</f>
        <v>139</v>
      </c>
      <c r="AH2848" s="12">
        <f>IF($J2848=0,0,ROUND(MAX($J2848*1.4*1.5*1.6*1.6*2.2*2.715*2.6*1.4*1.4*1.5*1.5*3.2,60500000000*(1.654288^(MIN($E2848,123)-117)))*1,0))</f>
        <v>4883146766</v>
      </c>
    </row>
    <row r="2849" ht="28" customHeight="1" spans="1:34" x14ac:dyDescent="0.25">
      <c r="A2849">
        <v>2859</v>
      </c>
      <c r="B2849" t="s">
        <v>1647</v>
      </c>
      <c r="C2849" s="10" t="s">
        <v>1593</v>
      </c>
      <c r="D2849" t="s">
        <v>47</v>
      </c>
      <c r="E2849">
        <v>112</v>
      </c>
      <c r="F2849" t="s">
        <v>34</v>
      </c>
      <c r="G2849" t="s">
        <v>1026</v>
      </c>
      <c r="H2849">
        <v>23</v>
      </c>
      <c r="I2849" s="11">
        <f>$E2849+0</f>
        <v>112</v>
      </c>
      <c r="J2849" s="12">
        <v>299000</v>
      </c>
      <c r="K2849" s="13">
        <f>$E2849+1</f>
        <v>113</v>
      </c>
      <c r="L2849" s="14">
        <f>IF($J2849=0,0,ROUND(MAX($J2849*1.4,1620000*(1.497923^(MIN($E2849,123)-117)))*1,0))</f>
        <v>418600</v>
      </c>
      <c r="M2849" s="11">
        <f>$E2849+2</f>
        <v>114</v>
      </c>
      <c r="N2849" s="12">
        <f>IF($J2849=0,0,ROUND(MAX($J2849*1.4*1.5,2190000*(1.580994^(MIN($E2849,123)-117)))*1,0))</f>
        <v>627900</v>
      </c>
      <c r="O2849" s="13">
        <f>$E2849+4</f>
        <v>116</v>
      </c>
      <c r="P2849" s="14">
        <f>IF($J2849=0,0,ROUND(MAX($J2849*1.4*1.5*1.6,3500000*(1.57975^(MIN($E2849,123)-117)))*1,0))</f>
        <v>1004640</v>
      </c>
      <c r="Q2849" s="11">
        <f>$E2849+6</f>
        <v>118</v>
      </c>
      <c r="R2849" s="12">
        <f>IF($J2849=0,0,ROUND(MAX($J2849*1.4*1.5*1.6*1.6,13100000*(1.429962^(MIN($E2849,123)-117)))*1,0))</f>
        <v>2191032</v>
      </c>
      <c r="S2849" s="13">
        <f>$E2849+8</f>
        <v>120</v>
      </c>
      <c r="T2849" s="14">
        <f>IF($J2849=0,0,ROUND(MAX($J2849*1.4*1.5*1.6*1.6*2.2,42600000*(1.576904^(MIN($E2849,123)-117)))*1,0))</f>
        <v>4369013</v>
      </c>
      <c r="U2849" s="11">
        <f>$E2849+11</f>
        <v>123</v>
      </c>
      <c r="V2849" s="12">
        <f>IF($J2849=0,0,ROUND(MAX($J2849*1.4*1.5*1.6*1.6*2.2*2.715,354000000*(1.642074^(MIN($E2849,123)-117)))*1,0))</f>
        <v>29651020</v>
      </c>
      <c r="W2849" s="13">
        <f>$E2849+15</f>
        <v>127</v>
      </c>
      <c r="X2849" s="14">
        <f>IF($J2849=0,0,ROUND(MAX($J2849*1.4*1.5*1.6*1.6*2.2*2.715*2.6,3540000000*(1.579646^(MIN($E2849,123)-117)))*1,0))</f>
        <v>359918692</v>
      </c>
      <c r="Y2849" s="11">
        <f>$E2849+17</f>
        <v>129</v>
      </c>
      <c r="Z2849" s="12">
        <f>IF($J2849=0,0,ROUND(MAX($J2849*1.4*1.5*1.6*1.6*2.2*2.715*2.6*1.4,6020000000*(1.651178^(MIN($E2849,123)-117)))*1,0))</f>
        <v>490486461</v>
      </c>
      <c r="AA2849" s="13">
        <f>$E2849+19</f>
        <v>131</v>
      </c>
      <c r="AB2849" s="14">
        <f>IF($J2849=0,0,ROUND(MAX($J2849*1.4*1.5*1.6*1.6*2.2*2.715*2.6*1.4*1.4,8430000000*(1.651435^(MIN($E2849,123)-117)))*1,0))</f>
        <v>686309723</v>
      </c>
      <c r="AC2849" s="11">
        <f>$E2849+21</f>
        <v>133</v>
      </c>
      <c r="AD2849" s="12">
        <f>IF($J2849=0,0,ROUND(MAX($J2849*1.4*1.5*1.6*1.6*2.2*2.715*2.6*1.4*1.4*1.5,12600000000*(1.652953^(MIN($E2849,123)-117)))*1,0))</f>
        <v>1021099398</v>
      </c>
      <c r="AE2849" s="13">
        <f>$E2849+24</f>
        <v>136</v>
      </c>
      <c r="AF2849" s="14">
        <f>IF($J2849=0,0,ROUND(MAX($J2849*1.4*1.5*1.6*1.6*2.2*2.715*2.6*1.4*1.4*1.5*1.5,18900000000*(1.65331^(MIN($E2849,123)-117)))*1,0))</f>
        <v>1529996162</v>
      </c>
      <c r="AG2849" s="11">
        <f>$E2849+27</f>
        <v>139</v>
      </c>
      <c r="AH2849" s="12">
        <f>IF($J2849=0,0,ROUND(MAX($J2849*1.4*1.5*1.6*1.6*2.2*2.715*2.6*1.4*1.4*1.5*1.5*3.2,60500000000*(1.654288^(MIN($E2849,123)-117)))*1,0))</f>
        <v>4883146766</v>
      </c>
    </row>
    <row r="2850" ht="28" customHeight="1" spans="1:34" x14ac:dyDescent="0.25">
      <c r="A2850">
        <v>2860</v>
      </c>
      <c r="B2850" t="s">
        <v>1648</v>
      </c>
      <c r="C2850" s="10" t="s">
        <v>1593</v>
      </c>
      <c r="D2850" t="s">
        <v>33</v>
      </c>
      <c r="E2850">
        <v>111</v>
      </c>
      <c r="F2850" t="s">
        <v>120</v>
      </c>
      <c r="G2850" t="s">
        <v>595</v>
      </c>
      <c r="H2850">
        <v>26</v>
      </c>
      <c r="I2850" s="11">
        <f>$E2850+0</f>
        <v>111</v>
      </c>
      <c r="J2850" s="12">
        <v>439000</v>
      </c>
      <c r="K2850" s="13">
        <f>$E2850+1</f>
        <v>112</v>
      </c>
      <c r="L2850" s="14">
        <f>IF($J2850=0,0,ROUND(MAX($J2850*1.4,1620000*(1.497923^(MIN($E2850,123)-117)))*1,0))</f>
        <v>614600</v>
      </c>
      <c r="M2850" s="11">
        <f>$E2850+2</f>
        <v>113</v>
      </c>
      <c r="N2850" s="12">
        <f>IF($J2850=0,0,ROUND(MAX($J2850*1.4*1.5,2190000*(1.580994^(MIN($E2850,123)-117)))*1,0))</f>
        <v>921900</v>
      </c>
      <c r="O2850" s="13">
        <f>$E2850+4</f>
        <v>115</v>
      </c>
      <c r="P2850" s="14">
        <f>IF($J2850=0,0,ROUND(MAX($J2850*1.4*1.5*1.6,3500000*(1.57975^(MIN($E2850,123)-117)))*1,0))</f>
        <v>1475040</v>
      </c>
      <c r="Q2850" s="11">
        <f>$E2850+6</f>
        <v>117</v>
      </c>
      <c r="R2850" s="12">
        <f>IF($J2850=0,0,ROUND(MAX($J2850*1.4*1.5*1.6*1.6,13100000*(1.429962^(MIN($E2850,123)-117)))*1,0))</f>
        <v>2360064</v>
      </c>
      <c r="S2850" s="13">
        <f>$E2850+8</f>
        <v>119</v>
      </c>
      <c r="T2850" s="14">
        <f>IF($J2850=0,0,ROUND(MAX($J2850*1.4*1.5*1.6*1.6*2.2,42600000*(1.576904^(MIN($E2850,123)-117)))*1,0))</f>
        <v>5192141</v>
      </c>
      <c r="U2850" s="11">
        <f>$E2850+11</f>
        <v>122</v>
      </c>
      <c r="V2850" s="12">
        <f>IF($J2850=0,0,ROUND(MAX($J2850*1.4*1.5*1.6*1.6*2.2*2.715,354000000*(1.642074^(MIN($E2850,123)-117)))*1,0))</f>
        <v>18057055</v>
      </c>
      <c r="W2850" s="13">
        <f>$E2850+15</f>
        <v>126</v>
      </c>
      <c r="X2850" s="14">
        <f>IF($J2850=0,0,ROUND(MAX($J2850*1.4*1.5*1.6*1.6*2.2*2.715*2.6,3540000000*(1.579646^(MIN($E2850,123)-117)))*1,0))</f>
        <v>227847690</v>
      </c>
      <c r="Y2850" s="11">
        <f>$E2850+17</f>
        <v>128</v>
      </c>
      <c r="Z2850" s="12">
        <f>IF($J2850=0,0,ROUND(MAX($J2850*1.4*1.5*1.6*1.6*2.2*2.715*2.6*1.4,6020000000*(1.651178^(MIN($E2850,123)-117)))*1,0))</f>
        <v>297052444</v>
      </c>
      <c r="AA2850" s="13">
        <f>$E2850+19</f>
        <v>130</v>
      </c>
      <c r="AB2850" s="14">
        <f>IF($J2850=0,0,ROUND(MAX($J2850*1.4*1.5*1.6*1.6*2.2*2.715*2.6*1.4*1.4,8430000000*(1.651435^(MIN($E2850,123)-117)))*1,0))</f>
        <v>415583854</v>
      </c>
      <c r="AC2850" s="11">
        <f>$E2850+21</f>
        <v>132</v>
      </c>
      <c r="AD2850" s="12">
        <f>IF($J2850=0,0,ROUND(MAX($J2850*1.4*1.5*1.6*1.6*2.2*2.715*2.6*1.4*1.4*1.5,12600000000*(1.652953^(MIN($E2850,123)-117)))*1,0))</f>
        <v>617742548</v>
      </c>
      <c r="AE2850" s="13">
        <f>$E2850+24</f>
        <v>135</v>
      </c>
      <c r="AF2850" s="14">
        <f>IF($J2850=0,0,ROUND(MAX($J2850*1.4*1.5*1.6*1.6*2.2*2.715*2.6*1.4*1.4*1.5*1.5,18900000000*(1.65331^(MIN($E2850,123)-117)))*1,0))</f>
        <v>925413965</v>
      </c>
      <c r="AG2850" s="11">
        <f>$E2850+27</f>
        <v>138</v>
      </c>
      <c r="AH2850" s="12">
        <f>IF($J2850=0,0,ROUND(MAX($J2850*1.4*1.5*1.6*1.6*2.2*2.715*2.6*1.4*1.4*1.5*1.5*3.2,60500000000*(1.654288^(MIN($E2850,123)-117)))*1,0))</f>
        <v>2951811756</v>
      </c>
    </row>
    <row r="2851" ht="28" customHeight="1" spans="1:34" x14ac:dyDescent="0.25">
      <c r="A2851">
        <v>2861</v>
      </c>
      <c r="B2851" t="s">
        <v>1649</v>
      </c>
      <c r="C2851" s="10" t="s">
        <v>1593</v>
      </c>
      <c r="D2851" t="s">
        <v>25</v>
      </c>
      <c r="E2851">
        <v>111</v>
      </c>
      <c r="F2851" t="s">
        <v>212</v>
      </c>
      <c r="G2851" t="s">
        <v>595</v>
      </c>
      <c r="H2851">
        <v>26</v>
      </c>
      <c r="I2851" s="11">
        <f>$E2851+0</f>
        <v>111</v>
      </c>
      <c r="J2851" s="12">
        <v>557000</v>
      </c>
      <c r="K2851" s="13">
        <f>$E2851+1</f>
        <v>112</v>
      </c>
      <c r="L2851" s="14">
        <f>IF($J2851=0,0,ROUND(MAX($J2851*1.4,1620000*(1.497923^(MIN($E2851,123)-117)))*1,0))</f>
        <v>779800</v>
      </c>
      <c r="M2851" s="11">
        <f>$E2851+2</f>
        <v>113</v>
      </c>
      <c r="N2851" s="12">
        <f>IF($J2851=0,0,ROUND(MAX($J2851*1.4*1.5,2190000*(1.580994^(MIN($E2851,123)-117)))*1,0))</f>
        <v>1169700</v>
      </c>
      <c r="O2851" s="13">
        <f>$E2851+4</f>
        <v>115</v>
      </c>
      <c r="P2851" s="14">
        <f>IF($J2851=0,0,ROUND(MAX($J2851*1.4*1.5*1.6,3500000*(1.57975^(MIN($E2851,123)-117)))*1,0))</f>
        <v>1871520</v>
      </c>
      <c r="Q2851" s="11">
        <f>$E2851+6</f>
        <v>117</v>
      </c>
      <c r="R2851" s="12">
        <f>IF($J2851=0,0,ROUND(MAX($J2851*1.4*1.5*1.6*1.6,13100000*(1.429962^(MIN($E2851,123)-117)))*1,0))</f>
        <v>2994432</v>
      </c>
      <c r="S2851" s="13">
        <f>$E2851+8</f>
        <v>119</v>
      </c>
      <c r="T2851" s="14">
        <f>IF($J2851=0,0,ROUND(MAX($J2851*1.4*1.5*1.6*1.6*2.2,42600000*(1.576904^(MIN($E2851,123)-117)))*1,0))</f>
        <v>6587750</v>
      </c>
      <c r="U2851" s="11">
        <f>$E2851+11</f>
        <v>122</v>
      </c>
      <c r="V2851" s="12">
        <f>IF($J2851=0,0,ROUND(MAX($J2851*1.4*1.5*1.6*1.6*2.2*2.715,354000000*(1.642074^(MIN($E2851,123)-117)))*1,0))</f>
        <v>18057055</v>
      </c>
      <c r="W2851" s="13">
        <f>$E2851+15</f>
        <v>126</v>
      </c>
      <c r="X2851" s="14">
        <f>IF($J2851=0,0,ROUND(MAX($J2851*1.4*1.5*1.6*1.6*2.2*2.715*2.6,3540000000*(1.579646^(MIN($E2851,123)-117)))*1,0))</f>
        <v>227847690</v>
      </c>
      <c r="Y2851" s="11">
        <f>$E2851+17</f>
        <v>128</v>
      </c>
      <c r="Z2851" s="12">
        <f>IF($J2851=0,0,ROUND(MAX($J2851*1.4*1.5*1.6*1.6*2.2*2.715*2.6*1.4,6020000000*(1.651178^(MIN($E2851,123)-117)))*1,0))</f>
        <v>297052444</v>
      </c>
      <c r="AA2851" s="13">
        <f>$E2851+19</f>
        <v>130</v>
      </c>
      <c r="AB2851" s="14">
        <f>IF($J2851=0,0,ROUND(MAX($J2851*1.4*1.5*1.6*1.6*2.2*2.715*2.6*1.4*1.4,8430000000*(1.651435^(MIN($E2851,123)-117)))*1,0))</f>
        <v>415583854</v>
      </c>
      <c r="AC2851" s="11">
        <f>$E2851+21</f>
        <v>132</v>
      </c>
      <c r="AD2851" s="12">
        <f>IF($J2851=0,0,ROUND(MAX($J2851*1.4*1.5*1.6*1.6*2.2*2.715*2.6*1.4*1.4*1.5,12600000000*(1.652953^(MIN($E2851,123)-117)))*1,0))</f>
        <v>617742548</v>
      </c>
      <c r="AE2851" s="13">
        <f>$E2851+24</f>
        <v>135</v>
      </c>
      <c r="AF2851" s="14">
        <f>IF($J2851=0,0,ROUND(MAX($J2851*1.4*1.5*1.6*1.6*2.2*2.715*2.6*1.4*1.4*1.5*1.5,18900000000*(1.65331^(MIN($E2851,123)-117)))*1,0))</f>
        <v>925413965</v>
      </c>
      <c r="AG2851" s="11">
        <f>$E2851+27</f>
        <v>138</v>
      </c>
      <c r="AH2851" s="12">
        <f>IF($J2851=0,0,ROUND(MAX($J2851*1.4*1.5*1.6*1.6*2.2*2.715*2.6*1.4*1.4*1.5*1.5*3.2,60500000000*(1.654288^(MIN($E2851,123)-117)))*1,0))</f>
        <v>2951811756</v>
      </c>
    </row>
    <row r="2852" ht="28" customHeight="1" spans="1:34" x14ac:dyDescent="0.25">
      <c r="A2852">
        <v>2862</v>
      </c>
      <c r="B2852" t="s">
        <v>41</v>
      </c>
      <c r="C2852" s="10" t="s">
        <v>1650</v>
      </c>
      <c r="D2852" t="s">
        <v>29</v>
      </c>
      <c r="E2852">
        <v>111</v>
      </c>
      <c r="F2852" t="s">
        <v>42</v>
      </c>
      <c r="G2852" t="s">
        <v>562</v>
      </c>
      <c r="H2852">
        <v>28</v>
      </c>
      <c r="I2852" s="11">
        <f>$E2852+0</f>
        <v>111</v>
      </c>
      <c r="J2852" s="12">
        <v>203000</v>
      </c>
      <c r="K2852" s="13">
        <f>$E2852+1</f>
        <v>112</v>
      </c>
      <c r="L2852" s="14">
        <f>IF($J2852=0,0,ROUND(MAX($J2852*1.4,1620000*(1.497923^(MIN($E2852,123)-117)))*1,0))</f>
        <v>284200</v>
      </c>
      <c r="M2852" s="11">
        <f>$E2852+2</f>
        <v>113</v>
      </c>
      <c r="N2852" s="12">
        <f>IF($J2852=0,0,ROUND(MAX($J2852*1.4*1.5,2190000*(1.580994^(MIN($E2852,123)-117)))*1,0))</f>
        <v>426300</v>
      </c>
      <c r="O2852" s="13">
        <f>$E2852+4</f>
        <v>115</v>
      </c>
      <c r="P2852" s="14">
        <f>IF($J2852=0,0,ROUND(MAX($J2852*1.4*1.5*1.6,3500000*(1.57975^(MIN($E2852,123)-117)))*1,0))</f>
        <v>682080</v>
      </c>
      <c r="Q2852" s="11">
        <f>$E2852+6</f>
        <v>117</v>
      </c>
      <c r="R2852" s="12">
        <f>IF($J2852=0,0,ROUND(MAX($J2852*1.4*1.5*1.6*1.6,13100000*(1.429962^(MIN($E2852,123)-117)))*1,0))</f>
        <v>1532231</v>
      </c>
      <c r="S2852" s="13">
        <f>$E2852+8</f>
        <v>119</v>
      </c>
      <c r="T2852" s="14">
        <f>IF($J2852=0,0,ROUND(MAX($J2852*1.4*1.5*1.6*1.6*2.2,42600000*(1.576904^(MIN($E2852,123)-117)))*1,0))</f>
        <v>2770627</v>
      </c>
      <c r="U2852" s="11">
        <f>$E2852+11</f>
        <v>122</v>
      </c>
      <c r="V2852" s="12">
        <f>IF($J2852=0,0,ROUND(MAX($J2852*1.4*1.5*1.6*1.6*2.2*2.715,354000000*(1.642074^(MIN($E2852,123)-117)))*1,0))</f>
        <v>18057055</v>
      </c>
      <c r="W2852" s="13">
        <f>$E2852+15</f>
        <v>126</v>
      </c>
      <c r="X2852" s="14">
        <f>IF($J2852=0,0,ROUND(MAX($J2852*1.4*1.5*1.6*1.6*2.2*2.715*2.6,3540000000*(1.579646^(MIN($E2852,123)-117)))*1,0))</f>
        <v>227847690</v>
      </c>
      <c r="Y2852" s="11">
        <f>$E2852+17</f>
        <v>128</v>
      </c>
      <c r="Z2852" s="12">
        <f>IF($J2852=0,0,ROUND(MAX($J2852*1.4*1.5*1.6*1.6*2.2*2.715*2.6*1.4,6020000000*(1.651178^(MIN($E2852,123)-117)))*1,0))</f>
        <v>297052444</v>
      </c>
      <c r="AA2852" s="13">
        <f>$E2852+19</f>
        <v>130</v>
      </c>
      <c r="AB2852" s="14">
        <f>IF($J2852=0,0,ROUND(MAX($J2852*1.4*1.5*1.6*1.6*2.2*2.715*2.6*1.4*1.4,8430000000*(1.651435^(MIN($E2852,123)-117)))*1,0))</f>
        <v>415583854</v>
      </c>
      <c r="AC2852" s="11">
        <f>$E2852+21</f>
        <v>132</v>
      </c>
      <c r="AD2852" s="12">
        <f>IF($J2852=0,0,ROUND(MAX($J2852*1.4*1.5*1.6*1.6*2.2*2.715*2.6*1.4*1.4*1.5,12600000000*(1.652953^(MIN($E2852,123)-117)))*1,0))</f>
        <v>617742548</v>
      </c>
      <c r="AE2852" s="13">
        <f>$E2852+24</f>
        <v>135</v>
      </c>
      <c r="AF2852" s="14">
        <f>IF($J2852=0,0,ROUND(MAX($J2852*1.4*1.5*1.6*1.6*2.2*2.715*2.6*1.4*1.4*1.5*1.5,18900000000*(1.65331^(MIN($E2852,123)-117)))*1,0))</f>
        <v>925413965</v>
      </c>
      <c r="AG2852" s="11">
        <f>$E2852+27</f>
        <v>138</v>
      </c>
      <c r="AH2852" s="12">
        <f>IF($J2852=0,0,ROUND(MAX($J2852*1.4*1.5*1.6*1.6*2.2*2.715*2.6*1.4*1.4*1.5*1.5*3.2,60500000000*(1.654288^(MIN($E2852,123)-117)))*1,0))</f>
        <v>2951811756</v>
      </c>
    </row>
    <row r="2853" ht="28" customHeight="1" spans="1:34" x14ac:dyDescent="0.25">
      <c r="A2853">
        <v>2863</v>
      </c>
      <c r="B2853" t="s">
        <v>539</v>
      </c>
      <c r="C2853" s="10" t="s">
        <v>1650</v>
      </c>
      <c r="D2853" t="s">
        <v>64</v>
      </c>
      <c r="E2853">
        <v>111</v>
      </c>
      <c r="F2853" t="s">
        <v>34</v>
      </c>
      <c r="G2853" t="s">
        <v>450</v>
      </c>
      <c r="H2853">
        <v>27</v>
      </c>
      <c r="I2853" s="11">
        <f>$E2853+0</f>
        <v>111</v>
      </c>
      <c r="J2853" s="12">
        <v>105000</v>
      </c>
      <c r="K2853" s="13">
        <f>$E2853+1</f>
        <v>112</v>
      </c>
      <c r="L2853" s="14">
        <f>IF($J2853=0,0,ROUND(MAX($J2853*1.4,1620000*(1.497923^(MIN($E2853,123)-117)))*1,0))</f>
        <v>147000</v>
      </c>
      <c r="M2853" s="11">
        <f>$E2853+2</f>
        <v>113</v>
      </c>
      <c r="N2853" s="12">
        <f>IF($J2853=0,0,ROUND(MAX($J2853*1.4*1.5,2190000*(1.580994^(MIN($E2853,123)-117)))*1,0))</f>
        <v>220500</v>
      </c>
      <c r="O2853" s="13">
        <f>$E2853+4</f>
        <v>115</v>
      </c>
      <c r="P2853" s="14">
        <f>IF($J2853=0,0,ROUND(MAX($J2853*1.4*1.5*1.6,3500000*(1.57975^(MIN($E2853,123)-117)))*1,0))</f>
        <v>352800</v>
      </c>
      <c r="Q2853" s="11">
        <f>$E2853+6</f>
        <v>117</v>
      </c>
      <c r="R2853" s="12">
        <f>IF($J2853=0,0,ROUND(MAX($J2853*1.4*1.5*1.6*1.6,13100000*(1.429962^(MIN($E2853,123)-117)))*1,0))</f>
        <v>1532231</v>
      </c>
      <c r="S2853" s="13">
        <f>$E2853+8</f>
        <v>119</v>
      </c>
      <c r="T2853" s="14">
        <f>IF($J2853=0,0,ROUND(MAX($J2853*1.4*1.5*1.6*1.6*2.2,42600000*(1.576904^(MIN($E2853,123)-117)))*1,0))</f>
        <v>2770627</v>
      </c>
      <c r="U2853" s="11">
        <f>$E2853+11</f>
        <v>122</v>
      </c>
      <c r="V2853" s="12">
        <f>IF($J2853=0,0,ROUND(MAX($J2853*1.4*1.5*1.6*1.6*2.2*2.715,354000000*(1.642074^(MIN($E2853,123)-117)))*1,0))</f>
        <v>18057055</v>
      </c>
      <c r="W2853" s="13">
        <f>$E2853+15</f>
        <v>126</v>
      </c>
      <c r="X2853" s="14">
        <f>IF($J2853=0,0,ROUND(MAX($J2853*1.4*1.5*1.6*1.6*2.2*2.715*2.6,3540000000*(1.579646^(MIN($E2853,123)-117)))*1,0))</f>
        <v>227847690</v>
      </c>
      <c r="Y2853" s="11">
        <f>$E2853+17</f>
        <v>128</v>
      </c>
      <c r="Z2853" s="12">
        <f>IF($J2853=0,0,ROUND(MAX($J2853*1.4*1.5*1.6*1.6*2.2*2.715*2.6*1.4,6020000000*(1.651178^(MIN($E2853,123)-117)))*1,0))</f>
        <v>297052444</v>
      </c>
      <c r="AA2853" s="13">
        <f>$E2853+19</f>
        <v>130</v>
      </c>
      <c r="AB2853" s="14">
        <f>IF($J2853=0,0,ROUND(MAX($J2853*1.4*1.5*1.6*1.6*2.2*2.715*2.6*1.4*1.4,8430000000*(1.651435^(MIN($E2853,123)-117)))*1,0))</f>
        <v>415583854</v>
      </c>
      <c r="AC2853" s="11">
        <f>$E2853+21</f>
        <v>132</v>
      </c>
      <c r="AD2853" s="12">
        <f>IF($J2853=0,0,ROUND(MAX($J2853*1.4*1.5*1.6*1.6*2.2*2.715*2.6*1.4*1.4*1.5,12600000000*(1.652953^(MIN($E2853,123)-117)))*1,0))</f>
        <v>617742548</v>
      </c>
      <c r="AE2853" s="13">
        <f>$E2853+24</f>
        <v>135</v>
      </c>
      <c r="AF2853" s="14">
        <f>IF($J2853=0,0,ROUND(MAX($J2853*1.4*1.5*1.6*1.6*2.2*2.715*2.6*1.4*1.4*1.5*1.5,18900000000*(1.65331^(MIN($E2853,123)-117)))*1,0))</f>
        <v>925413965</v>
      </c>
      <c r="AG2853" s="11">
        <f>$E2853+27</f>
        <v>138</v>
      </c>
      <c r="AH2853" s="12">
        <f>IF($J2853=0,0,ROUND(MAX($J2853*1.4*1.5*1.6*1.6*2.2*2.715*2.6*1.4*1.4*1.5*1.5*3.2,60500000000*(1.654288^(MIN($E2853,123)-117)))*1,0))</f>
        <v>2951811756</v>
      </c>
    </row>
    <row r="2854" ht="28" customHeight="1" spans="1:34" x14ac:dyDescent="0.25">
      <c r="A2854">
        <v>2864</v>
      </c>
      <c r="B2854" t="s">
        <v>269</v>
      </c>
      <c r="C2854" s="10" t="s">
        <v>1650</v>
      </c>
      <c r="D2854" t="s">
        <v>29</v>
      </c>
      <c r="E2854">
        <v>111</v>
      </c>
      <c r="F2854" t="s">
        <v>26</v>
      </c>
      <c r="G2854" t="s">
        <v>270</v>
      </c>
      <c r="H2854">
        <v>27</v>
      </c>
      <c r="I2854" s="11">
        <f>$E2854+0</f>
        <v>111</v>
      </c>
      <c r="J2854" s="12">
        <v>167000</v>
      </c>
      <c r="K2854" s="13">
        <f>$E2854+1</f>
        <v>112</v>
      </c>
      <c r="L2854" s="14">
        <f>IF($J2854=0,0,ROUND(MAX($J2854*1.4,1620000*(1.497923^(MIN($E2854,123)-117)))*1,0))</f>
        <v>233800</v>
      </c>
      <c r="M2854" s="11">
        <f>$E2854+2</f>
        <v>113</v>
      </c>
      <c r="N2854" s="12">
        <f>IF($J2854=0,0,ROUND(MAX($J2854*1.4*1.5,2190000*(1.580994^(MIN($E2854,123)-117)))*1,0))</f>
        <v>350700</v>
      </c>
      <c r="O2854" s="13">
        <f>$E2854+4</f>
        <v>115</v>
      </c>
      <c r="P2854" s="14">
        <f>IF($J2854=0,0,ROUND(MAX($J2854*1.4*1.5*1.6,3500000*(1.57975^(MIN($E2854,123)-117)))*1,0))</f>
        <v>561120</v>
      </c>
      <c r="Q2854" s="11">
        <f>$E2854+6</f>
        <v>117</v>
      </c>
      <c r="R2854" s="12">
        <f>IF($J2854=0,0,ROUND(MAX($J2854*1.4*1.5*1.6*1.6,13100000*(1.429962^(MIN($E2854,123)-117)))*1,0))</f>
        <v>1532231</v>
      </c>
      <c r="S2854" s="13">
        <f>$E2854+8</f>
        <v>119</v>
      </c>
      <c r="T2854" s="14">
        <f>IF($J2854=0,0,ROUND(MAX($J2854*1.4*1.5*1.6*1.6*2.2,42600000*(1.576904^(MIN($E2854,123)-117)))*1,0))</f>
        <v>2770627</v>
      </c>
      <c r="U2854" s="11">
        <f>$E2854+11</f>
        <v>122</v>
      </c>
      <c r="V2854" s="12">
        <f>IF($J2854=0,0,ROUND(MAX($J2854*1.4*1.5*1.6*1.6*2.2*2.715,354000000*(1.642074^(MIN($E2854,123)-117)))*1,0))</f>
        <v>18057055</v>
      </c>
      <c r="W2854" s="13">
        <f>$E2854+15</f>
        <v>126</v>
      </c>
      <c r="X2854" s="14">
        <f>IF($J2854=0,0,ROUND(MAX($J2854*1.4*1.5*1.6*1.6*2.2*2.715*2.6,3540000000*(1.579646^(MIN($E2854,123)-117)))*1,0))</f>
        <v>227847690</v>
      </c>
      <c r="Y2854" s="11">
        <f>$E2854+17</f>
        <v>128</v>
      </c>
      <c r="Z2854" s="12">
        <f>IF($J2854=0,0,ROUND(MAX($J2854*1.4*1.5*1.6*1.6*2.2*2.715*2.6*1.4,6020000000*(1.651178^(MIN($E2854,123)-117)))*1,0))</f>
        <v>297052444</v>
      </c>
      <c r="AA2854" s="13">
        <f>$E2854+19</f>
        <v>130</v>
      </c>
      <c r="AB2854" s="14">
        <f>IF($J2854=0,0,ROUND(MAX($J2854*1.4*1.5*1.6*1.6*2.2*2.715*2.6*1.4*1.4,8430000000*(1.651435^(MIN($E2854,123)-117)))*1,0))</f>
        <v>415583854</v>
      </c>
      <c r="AC2854" s="11">
        <f>$E2854+21</f>
        <v>132</v>
      </c>
      <c r="AD2854" s="12">
        <f>IF($J2854=0,0,ROUND(MAX($J2854*1.4*1.5*1.6*1.6*2.2*2.715*2.6*1.4*1.4*1.5,12600000000*(1.652953^(MIN($E2854,123)-117)))*1,0))</f>
        <v>617742548</v>
      </c>
      <c r="AE2854" s="13">
        <f>$E2854+24</f>
        <v>135</v>
      </c>
      <c r="AF2854" s="14">
        <f>IF($J2854=0,0,ROUND(MAX($J2854*1.4*1.5*1.6*1.6*2.2*2.715*2.6*1.4*1.4*1.5*1.5,18900000000*(1.65331^(MIN($E2854,123)-117)))*1,0))</f>
        <v>925413965</v>
      </c>
      <c r="AG2854" s="11">
        <f>$E2854+27</f>
        <v>138</v>
      </c>
      <c r="AH2854" s="12">
        <f>IF($J2854=0,0,ROUND(MAX($J2854*1.4*1.5*1.6*1.6*2.2*2.715*2.6*1.4*1.4*1.5*1.5*3.2,60500000000*(1.654288^(MIN($E2854,123)-117)))*1,0))</f>
        <v>2951811756</v>
      </c>
    </row>
    <row r="2855" ht="28" customHeight="1" spans="1:34" x14ac:dyDescent="0.25">
      <c r="A2855">
        <v>2865</v>
      </c>
      <c r="B2855" t="s">
        <v>153</v>
      </c>
      <c r="C2855" s="10" t="s">
        <v>1650</v>
      </c>
      <c r="D2855" t="s">
        <v>45</v>
      </c>
      <c r="E2855">
        <v>111</v>
      </c>
      <c r="F2855" t="s">
        <v>56</v>
      </c>
      <c r="G2855" t="s">
        <v>562</v>
      </c>
      <c r="H2855">
        <v>27</v>
      </c>
      <c r="I2855" s="11">
        <f>$E2855+0</f>
        <v>111</v>
      </c>
      <c r="J2855" s="12">
        <v>53900000</v>
      </c>
      <c r="K2855" s="13">
        <f>$E2855+1</f>
        <v>112</v>
      </c>
      <c r="L2855" s="14">
        <f>IF($J2855=0,0,ROUND(MAX($J2855*1.4,1620000*(1.497923^(MIN($E2855,123)-117)))*1,0))</f>
        <v>75460000</v>
      </c>
      <c r="M2855" s="11">
        <f>$E2855+2</f>
        <v>113</v>
      </c>
      <c r="N2855" s="12">
        <f>IF($J2855=0,0,ROUND(MAX($J2855*1.4*1.5,2190000*(1.580994^(MIN($E2855,123)-117)))*1,0))</f>
        <v>113190000</v>
      </c>
      <c r="O2855" s="13">
        <f>$E2855+4</f>
        <v>115</v>
      </c>
      <c r="P2855" s="14">
        <f>IF($J2855=0,0,ROUND(MAX($J2855*1.4*1.5*1.6,3500000*(1.57975^(MIN($E2855,123)-117)))*1,0))</f>
        <v>181104000</v>
      </c>
      <c r="Q2855" s="11">
        <f>$E2855+6</f>
        <v>117</v>
      </c>
      <c r="R2855" s="12">
        <f>IF($J2855=0,0,ROUND(MAX($J2855*1.4*1.5*1.6*1.6,13100000*(1.429962^(MIN($E2855,123)-117)))*1,0))</f>
        <v>289766400</v>
      </c>
      <c r="S2855" s="13">
        <f>$E2855+8</f>
        <v>119</v>
      </c>
      <c r="T2855" s="14">
        <f>IF($J2855=0,0,ROUND(MAX($J2855*1.4*1.5*1.6*1.6*2.2,42600000*(1.576904^(MIN($E2855,123)-117)))*1,0))</f>
        <v>637486080</v>
      </c>
      <c r="U2855" s="11">
        <f>$E2855+11</f>
        <v>122</v>
      </c>
      <c r="V2855" s="12">
        <f>IF($J2855=0,0,ROUND(MAX($J2855*1.4*1.5*1.6*1.6*2.2*2.715,354000000*(1.642074^(MIN($E2855,123)-117)))*1,0))</f>
        <v>1730774707</v>
      </c>
      <c r="W2855" s="13">
        <f>$E2855+15</f>
        <v>126</v>
      </c>
      <c r="X2855" s="14">
        <f>IF($J2855=0,0,ROUND(MAX($J2855*1.4*1.5*1.6*1.6*2.2*2.715*2.6,3540000000*(1.579646^(MIN($E2855,123)-117)))*1,0))</f>
        <v>4500014239</v>
      </c>
      <c r="Y2855" s="11">
        <f>$E2855+17</f>
        <v>128</v>
      </c>
      <c r="Z2855" s="12">
        <f>IF($J2855=0,0,ROUND(MAX($J2855*1.4*1.5*1.6*1.6*2.2*2.715*2.6*1.4,6020000000*(1.651178^(MIN($E2855,123)-117)))*1,0))</f>
        <v>6300019934</v>
      </c>
      <c r="AA2855" s="13">
        <f>$E2855+19</f>
        <v>130</v>
      </c>
      <c r="AB2855" s="14">
        <f>IF($J2855=0,0,ROUND(MAX($J2855*1.4*1.5*1.6*1.6*2.2*2.715*2.6*1.4*1.4,8430000000*(1.651435^(MIN($E2855,123)-117)))*1,0))</f>
        <v>8820027908</v>
      </c>
      <c r="AC2855" s="11">
        <f>$E2855+21</f>
        <v>132</v>
      </c>
      <c r="AD2855" s="12">
        <f>IF($J2855=0,0,ROUND(MAX($J2855*1.4*1.5*1.6*1.6*2.2*2.715*2.6*1.4*1.4*1.5,12600000000*(1.652953^(MIN($E2855,123)-117)))*1,0))</f>
        <v>13230041862</v>
      </c>
      <c r="AE2855" s="13">
        <f>$E2855+24</f>
        <v>135</v>
      </c>
      <c r="AF2855" s="14">
        <f>IF($J2855=0,0,ROUND(MAX($J2855*1.4*1.5*1.6*1.6*2.2*2.715*2.6*1.4*1.4*1.5*1.5,18900000000*(1.65331^(MIN($E2855,123)-117)))*1,0))</f>
        <v>19845062793</v>
      </c>
      <c r="AG2855" s="11">
        <f>$E2855+27</f>
        <v>138</v>
      </c>
      <c r="AH2855" s="12">
        <f>IF($J2855=0,0,ROUND(MAX($J2855*1.4*1.5*1.6*1.6*2.2*2.715*2.6*1.4*1.4*1.5*1.5*3.2,60500000000*(1.654288^(MIN($E2855,123)-117)))*1,0))</f>
        <v>63504200937</v>
      </c>
    </row>
    <row r="2856" ht="28" customHeight="1" spans="1:34" x14ac:dyDescent="0.25">
      <c r="A2856">
        <v>2866</v>
      </c>
      <c r="B2856" t="s">
        <v>74</v>
      </c>
      <c r="C2856" s="10" t="s">
        <v>1650</v>
      </c>
      <c r="D2856" t="s">
        <v>75</v>
      </c>
      <c r="E2856">
        <v>111</v>
      </c>
      <c r="F2856" t="s">
        <v>62</v>
      </c>
      <c r="G2856" t="s">
        <v>562</v>
      </c>
      <c r="H2856">
        <v>27</v>
      </c>
      <c r="I2856" s="11">
        <f>$E2856+0</f>
        <v>111</v>
      </c>
      <c r="J2856" s="12">
        <v>12400000</v>
      </c>
      <c r="K2856" s="13">
        <f>$E2856+1</f>
        <v>112</v>
      </c>
      <c r="L2856" s="14">
        <f>IF($J2856=0,0,ROUND(MAX($J2856*1.4,1620000*(1.497923^(MIN($E2856,123)-117)))*1,0))</f>
        <v>17360000</v>
      </c>
      <c r="M2856" s="11">
        <f>$E2856+2</f>
        <v>113</v>
      </c>
      <c r="N2856" s="12">
        <f>IF($J2856=0,0,ROUND(MAX($J2856*1.4*1.5,2190000*(1.580994^(MIN($E2856,123)-117)))*1,0))</f>
        <v>26040000</v>
      </c>
      <c r="O2856" s="13">
        <f>$E2856+4</f>
        <v>115</v>
      </c>
      <c r="P2856" s="14">
        <f>IF($J2856=0,0,ROUND(MAX($J2856*1.4*1.5*1.6,3500000*(1.57975^(MIN($E2856,123)-117)))*1,0))</f>
        <v>41664000</v>
      </c>
      <c r="Q2856" s="11">
        <f>$E2856+6</f>
        <v>117</v>
      </c>
      <c r="R2856" s="12">
        <f>IF($J2856=0,0,ROUND(MAX($J2856*1.4*1.5*1.6*1.6,13100000*(1.429962^(MIN($E2856,123)-117)))*1,0))</f>
        <v>66662400</v>
      </c>
      <c r="S2856" s="13">
        <f>$E2856+8</f>
        <v>119</v>
      </c>
      <c r="T2856" s="14">
        <f>IF($J2856=0,0,ROUND(MAX($J2856*1.4*1.5*1.6*1.6*2.2,42600000*(1.576904^(MIN($E2856,123)-117)))*1,0))</f>
        <v>146657280</v>
      </c>
      <c r="U2856" s="11">
        <f>$E2856+11</f>
        <v>122</v>
      </c>
      <c r="V2856" s="12">
        <f>IF($J2856=0,0,ROUND(MAX($J2856*1.4*1.5*1.6*1.6*2.2*2.715,354000000*(1.642074^(MIN($E2856,123)-117)))*1,0))</f>
        <v>398174515</v>
      </c>
      <c r="W2856" s="13">
        <f>$E2856+15</f>
        <v>126</v>
      </c>
      <c r="X2856" s="14">
        <f>IF($J2856=0,0,ROUND(MAX($J2856*1.4*1.5*1.6*1.6*2.2*2.715*2.6,3540000000*(1.579646^(MIN($E2856,123)-117)))*1,0))</f>
        <v>1035253740</v>
      </c>
      <c r="Y2856" s="11">
        <f>$E2856+17</f>
        <v>128</v>
      </c>
      <c r="Z2856" s="12">
        <f>IF($J2856=0,0,ROUND(MAX($J2856*1.4*1.5*1.6*1.6*2.2*2.715*2.6*1.4,6020000000*(1.651178^(MIN($E2856,123)-117)))*1,0))</f>
        <v>1449355235</v>
      </c>
      <c r="AA2856" s="13">
        <f>$E2856+19</f>
        <v>130</v>
      </c>
      <c r="AB2856" s="14">
        <f>IF($J2856=0,0,ROUND(MAX($J2856*1.4*1.5*1.6*1.6*2.2*2.715*2.6*1.4*1.4,8430000000*(1.651435^(MIN($E2856,123)-117)))*1,0))</f>
        <v>2029097329</v>
      </c>
      <c r="AC2856" s="11">
        <f>$E2856+21</f>
        <v>132</v>
      </c>
      <c r="AD2856" s="12">
        <f>IF($J2856=0,0,ROUND(MAX($J2856*1.4*1.5*1.6*1.6*2.2*2.715*2.6*1.4*1.4*1.5,12600000000*(1.652953^(MIN($E2856,123)-117)))*1,0))</f>
        <v>3043645994</v>
      </c>
      <c r="AE2856" s="13">
        <f>$E2856+24</f>
        <v>135</v>
      </c>
      <c r="AF2856" s="14">
        <f>IF($J2856=0,0,ROUND(MAX($J2856*1.4*1.5*1.6*1.6*2.2*2.715*2.6*1.4*1.4*1.5*1.5,18900000000*(1.65331^(MIN($E2856,123)-117)))*1,0))</f>
        <v>4565468991</v>
      </c>
      <c r="AG2856" s="11">
        <f>$E2856+27</f>
        <v>138</v>
      </c>
      <c r="AH2856" s="12">
        <f>IF($J2856=0,0,ROUND(MAX($J2856*1.4*1.5*1.6*1.6*2.2*2.715*2.6*1.4*1.4*1.5*1.5*3.2,60500000000*(1.654288^(MIN($E2856,123)-117)))*1,0))</f>
        <v>14609500772</v>
      </c>
    </row>
    <row r="2857" ht="28" customHeight="1" spans="1:34" x14ac:dyDescent="0.25">
      <c r="A2857">
        <v>2867</v>
      </c>
      <c r="B2857" t="s">
        <v>61</v>
      </c>
      <c r="C2857" s="10" t="s">
        <v>1650</v>
      </c>
      <c r="D2857" t="s">
        <v>33</v>
      </c>
      <c r="E2857">
        <v>111</v>
      </c>
      <c r="F2857" t="s">
        <v>62</v>
      </c>
      <c r="G2857" t="s">
        <v>562</v>
      </c>
      <c r="H2857">
        <v>26</v>
      </c>
      <c r="I2857" s="11">
        <f>$E2857+0</f>
        <v>111</v>
      </c>
      <c r="J2857" s="12">
        <v>127000</v>
      </c>
      <c r="K2857" s="13">
        <f>$E2857+1</f>
        <v>112</v>
      </c>
      <c r="L2857" s="14">
        <f>IF($J2857=0,0,ROUND(MAX($J2857*1.4,1620000*(1.497923^(MIN($E2857,123)-117)))*1,0))</f>
        <v>177800</v>
      </c>
      <c r="M2857" s="11">
        <f>$E2857+2</f>
        <v>113</v>
      </c>
      <c r="N2857" s="12">
        <f>IF($J2857=0,0,ROUND(MAX($J2857*1.4*1.5,2190000*(1.580994^(MIN($E2857,123)-117)))*1,0))</f>
        <v>266700</v>
      </c>
      <c r="O2857" s="13">
        <f>$E2857+4</f>
        <v>115</v>
      </c>
      <c r="P2857" s="14">
        <f>IF($J2857=0,0,ROUND(MAX($J2857*1.4*1.5*1.6,3500000*(1.57975^(MIN($E2857,123)-117)))*1,0))</f>
        <v>426720</v>
      </c>
      <c r="Q2857" s="11">
        <f>$E2857+6</f>
        <v>117</v>
      </c>
      <c r="R2857" s="12">
        <f>IF($J2857=0,0,ROUND(MAX($J2857*1.4*1.5*1.6*1.6,13100000*(1.429962^(MIN($E2857,123)-117)))*1,0))</f>
        <v>1532231</v>
      </c>
      <c r="S2857" s="13">
        <f>$E2857+8</f>
        <v>119</v>
      </c>
      <c r="T2857" s="14">
        <f>IF($J2857=0,0,ROUND(MAX($J2857*1.4*1.5*1.6*1.6*2.2,42600000*(1.576904^(MIN($E2857,123)-117)))*1,0))</f>
        <v>2770627</v>
      </c>
      <c r="U2857" s="11">
        <f>$E2857+11</f>
        <v>122</v>
      </c>
      <c r="V2857" s="12">
        <f>IF($J2857=0,0,ROUND(MAX($J2857*1.4*1.5*1.6*1.6*2.2*2.715,354000000*(1.642074^(MIN($E2857,123)-117)))*1,0))</f>
        <v>18057055</v>
      </c>
      <c r="W2857" s="13">
        <f>$E2857+15</f>
        <v>126</v>
      </c>
      <c r="X2857" s="14">
        <f>IF($J2857=0,0,ROUND(MAX($J2857*1.4*1.5*1.6*1.6*2.2*2.715*2.6,3540000000*(1.579646^(MIN($E2857,123)-117)))*1,0))</f>
        <v>227847690</v>
      </c>
      <c r="Y2857" s="11">
        <f>$E2857+17</f>
        <v>128</v>
      </c>
      <c r="Z2857" s="12">
        <f>IF($J2857=0,0,ROUND(MAX($J2857*1.4*1.5*1.6*1.6*2.2*2.715*2.6*1.4,6020000000*(1.651178^(MIN($E2857,123)-117)))*1,0))</f>
        <v>297052444</v>
      </c>
      <c r="AA2857" s="13">
        <f>$E2857+19</f>
        <v>130</v>
      </c>
      <c r="AB2857" s="14">
        <f>IF($J2857=0,0,ROUND(MAX($J2857*1.4*1.5*1.6*1.6*2.2*2.715*2.6*1.4*1.4,8430000000*(1.651435^(MIN($E2857,123)-117)))*1,0))</f>
        <v>415583854</v>
      </c>
      <c r="AC2857" s="11">
        <f>$E2857+21</f>
        <v>132</v>
      </c>
      <c r="AD2857" s="12">
        <f>IF($J2857=0,0,ROUND(MAX($J2857*1.4*1.5*1.6*1.6*2.2*2.715*2.6*1.4*1.4*1.5,12600000000*(1.652953^(MIN($E2857,123)-117)))*1,0))</f>
        <v>617742548</v>
      </c>
      <c r="AE2857" s="13">
        <f>$E2857+24</f>
        <v>135</v>
      </c>
      <c r="AF2857" s="14">
        <f>IF($J2857=0,0,ROUND(MAX($J2857*1.4*1.5*1.6*1.6*2.2*2.715*2.6*1.4*1.4*1.5*1.5,18900000000*(1.65331^(MIN($E2857,123)-117)))*1,0))</f>
        <v>925413965</v>
      </c>
      <c r="AG2857" s="11">
        <f>$E2857+27</f>
        <v>138</v>
      </c>
      <c r="AH2857" s="12">
        <f>IF($J2857=0,0,ROUND(MAX($J2857*1.4*1.5*1.6*1.6*2.2*2.715*2.6*1.4*1.4*1.5*1.5*3.2,60500000000*(1.654288^(MIN($E2857,123)-117)))*1,0))</f>
        <v>2951811756</v>
      </c>
    </row>
    <row r="2858" ht="28" customHeight="1" spans="1:34" x14ac:dyDescent="0.25">
      <c r="A2858">
        <v>2868</v>
      </c>
      <c r="B2858" t="s">
        <v>80</v>
      </c>
      <c r="C2858" s="10" t="s">
        <v>1650</v>
      </c>
      <c r="D2858" t="s">
        <v>45</v>
      </c>
      <c r="E2858">
        <v>111</v>
      </c>
      <c r="F2858" t="s">
        <v>71</v>
      </c>
      <c r="G2858" t="s">
        <v>562</v>
      </c>
      <c r="H2858">
        <v>26</v>
      </c>
      <c r="I2858" s="11">
        <f>$E2858+0</f>
        <v>111</v>
      </c>
      <c r="J2858" s="12">
        <v>83700</v>
      </c>
      <c r="K2858" s="13">
        <f>$E2858+1</f>
        <v>112</v>
      </c>
      <c r="L2858" s="14">
        <f>IF($J2858=0,0,ROUND(MAX($J2858*1.4,1620000*(1.497923^(MIN($E2858,123)-117)))*1,0))</f>
        <v>143410</v>
      </c>
      <c r="M2858" s="11">
        <f>$E2858+2</f>
        <v>113</v>
      </c>
      <c r="N2858" s="12">
        <f>IF($J2858=0,0,ROUND(MAX($J2858*1.4*1.5,2190000*(1.580994^(MIN($E2858,123)-117)))*1,0))</f>
        <v>175770</v>
      </c>
      <c r="O2858" s="13">
        <f>$E2858+4</f>
        <v>115</v>
      </c>
      <c r="P2858" s="14">
        <f>IF($J2858=0,0,ROUND(MAX($J2858*1.4*1.5*1.6,3500000*(1.57975^(MIN($E2858,123)-117)))*1,0))</f>
        <v>281232</v>
      </c>
      <c r="Q2858" s="11">
        <f>$E2858+6</f>
        <v>117</v>
      </c>
      <c r="R2858" s="12">
        <f>IF($J2858=0,0,ROUND(MAX($J2858*1.4*1.5*1.6*1.6,13100000*(1.429962^(MIN($E2858,123)-117)))*1,0))</f>
        <v>1532231</v>
      </c>
      <c r="S2858" s="13">
        <f>$E2858+8</f>
        <v>119</v>
      </c>
      <c r="T2858" s="14">
        <f>IF($J2858=0,0,ROUND(MAX($J2858*1.4*1.5*1.6*1.6*2.2,42600000*(1.576904^(MIN($E2858,123)-117)))*1,0))</f>
        <v>2770627</v>
      </c>
      <c r="U2858" s="11">
        <f>$E2858+11</f>
        <v>122</v>
      </c>
      <c r="V2858" s="12">
        <f>IF($J2858=0,0,ROUND(MAX($J2858*1.4*1.5*1.6*1.6*2.2*2.715,354000000*(1.642074^(MIN($E2858,123)-117)))*1,0))</f>
        <v>18057055</v>
      </c>
      <c r="W2858" s="13">
        <f>$E2858+15</f>
        <v>126</v>
      </c>
      <c r="X2858" s="14">
        <f>IF($J2858=0,0,ROUND(MAX($J2858*1.4*1.5*1.6*1.6*2.2*2.715*2.6,3540000000*(1.579646^(MIN($E2858,123)-117)))*1,0))</f>
        <v>227847690</v>
      </c>
      <c r="Y2858" s="11">
        <f>$E2858+17</f>
        <v>128</v>
      </c>
      <c r="Z2858" s="12">
        <f>IF($J2858=0,0,ROUND(MAX($J2858*1.4*1.5*1.6*1.6*2.2*2.715*2.6*1.4,6020000000*(1.651178^(MIN($E2858,123)-117)))*1,0))</f>
        <v>297052444</v>
      </c>
      <c r="AA2858" s="13">
        <f>$E2858+19</f>
        <v>130</v>
      </c>
      <c r="AB2858" s="14">
        <f>IF($J2858=0,0,ROUND(MAX($J2858*1.4*1.5*1.6*1.6*2.2*2.715*2.6*1.4*1.4,8430000000*(1.651435^(MIN($E2858,123)-117)))*1,0))</f>
        <v>415583854</v>
      </c>
      <c r="AC2858" s="11">
        <f>$E2858+21</f>
        <v>132</v>
      </c>
      <c r="AD2858" s="12">
        <f>IF($J2858=0,0,ROUND(MAX($J2858*1.4*1.5*1.6*1.6*2.2*2.715*2.6*1.4*1.4*1.5,12600000000*(1.652953^(MIN($E2858,123)-117)))*1,0))</f>
        <v>617742548</v>
      </c>
      <c r="AE2858" s="13">
        <f>$E2858+24</f>
        <v>135</v>
      </c>
      <c r="AF2858" s="14">
        <f>IF($J2858=0,0,ROUND(MAX($J2858*1.4*1.5*1.6*1.6*2.2*2.715*2.6*1.4*1.4*1.5*1.5,18900000000*(1.65331^(MIN($E2858,123)-117)))*1,0))</f>
        <v>925413965</v>
      </c>
      <c r="AG2858" s="11">
        <f>$E2858+27</f>
        <v>138</v>
      </c>
      <c r="AH2858" s="12">
        <f>IF($J2858=0,0,ROUND(MAX($J2858*1.4*1.5*1.6*1.6*2.2*2.715*2.6*1.4*1.4*1.5*1.5*3.2,60500000000*(1.654288^(MIN($E2858,123)-117)))*1,0))</f>
        <v>2951811756</v>
      </c>
    </row>
    <row r="2859" ht="28" customHeight="1" spans="1:34" x14ac:dyDescent="0.25">
      <c r="A2859">
        <v>2869</v>
      </c>
      <c r="B2859" t="s">
        <v>91</v>
      </c>
      <c r="C2859" s="10" t="s">
        <v>1650</v>
      </c>
      <c r="D2859" t="s">
        <v>47</v>
      </c>
      <c r="E2859">
        <v>111</v>
      </c>
      <c r="F2859" t="s">
        <v>71</v>
      </c>
      <c r="G2859" t="s">
        <v>562</v>
      </c>
      <c r="H2859">
        <v>22</v>
      </c>
      <c r="I2859" s="11">
        <f>$E2859+0</f>
        <v>111</v>
      </c>
      <c r="J2859" s="12">
        <v>99000</v>
      </c>
      <c r="K2859" s="13">
        <f>$E2859+1</f>
        <v>112</v>
      </c>
      <c r="L2859" s="14">
        <f>IF($J2859=0,0,ROUND(MAX($J2859*1.4,1620000*(1.497923^(MIN($E2859,123)-117)))*1,0))</f>
        <v>143410</v>
      </c>
      <c r="M2859" s="11">
        <f>$E2859+2</f>
        <v>113</v>
      </c>
      <c r="N2859" s="12">
        <f>IF($J2859=0,0,ROUND(MAX($J2859*1.4*1.5,2190000*(1.580994^(MIN($E2859,123)-117)))*1,0))</f>
        <v>207900</v>
      </c>
      <c r="O2859" s="13">
        <f>$E2859+4</f>
        <v>115</v>
      </c>
      <c r="P2859" s="14">
        <f>IF($J2859=0,0,ROUND(MAX($J2859*1.4*1.5*1.6,3500000*(1.57975^(MIN($E2859,123)-117)))*1,0))</f>
        <v>332640</v>
      </c>
      <c r="Q2859" s="11">
        <f>$E2859+6</f>
        <v>117</v>
      </c>
      <c r="R2859" s="12">
        <f>IF($J2859=0,0,ROUND(MAX($J2859*1.4*1.5*1.6*1.6,13100000*(1.429962^(MIN($E2859,123)-117)))*1,0))</f>
        <v>1532231</v>
      </c>
      <c r="S2859" s="13">
        <f>$E2859+8</f>
        <v>119</v>
      </c>
      <c r="T2859" s="14">
        <f>IF($J2859=0,0,ROUND(MAX($J2859*1.4*1.5*1.6*1.6*2.2,42600000*(1.576904^(MIN($E2859,123)-117)))*1,0))</f>
        <v>2770627</v>
      </c>
      <c r="U2859" s="11">
        <f>$E2859+11</f>
        <v>122</v>
      </c>
      <c r="V2859" s="12">
        <f>IF($J2859=0,0,ROUND(MAX($J2859*1.4*1.5*1.6*1.6*2.2*2.715,354000000*(1.642074^(MIN($E2859,123)-117)))*1,0))</f>
        <v>18057055</v>
      </c>
      <c r="W2859" s="13">
        <f>$E2859+15</f>
        <v>126</v>
      </c>
      <c r="X2859" s="14">
        <f>IF($J2859=0,0,ROUND(MAX($J2859*1.4*1.5*1.6*1.6*2.2*2.715*2.6,3540000000*(1.579646^(MIN($E2859,123)-117)))*1,0))</f>
        <v>227847690</v>
      </c>
      <c r="Y2859" s="11">
        <f>$E2859+17</f>
        <v>128</v>
      </c>
      <c r="Z2859" s="12">
        <f>IF($J2859=0,0,ROUND(MAX($J2859*1.4*1.5*1.6*1.6*2.2*2.715*2.6*1.4,6020000000*(1.651178^(MIN($E2859,123)-117)))*1,0))</f>
        <v>297052444</v>
      </c>
      <c r="AA2859" s="13">
        <f>$E2859+19</f>
        <v>130</v>
      </c>
      <c r="AB2859" s="14">
        <f>IF($J2859=0,0,ROUND(MAX($J2859*1.4*1.5*1.6*1.6*2.2*2.715*2.6*1.4*1.4,8430000000*(1.651435^(MIN($E2859,123)-117)))*1,0))</f>
        <v>415583854</v>
      </c>
      <c r="AC2859" s="11">
        <f>$E2859+21</f>
        <v>132</v>
      </c>
      <c r="AD2859" s="12">
        <f>IF($J2859=0,0,ROUND(MAX($J2859*1.4*1.5*1.6*1.6*2.2*2.715*2.6*1.4*1.4*1.5,12600000000*(1.652953^(MIN($E2859,123)-117)))*1,0))</f>
        <v>617742548</v>
      </c>
      <c r="AE2859" s="13">
        <f>$E2859+24</f>
        <v>135</v>
      </c>
      <c r="AF2859" s="14">
        <f>IF($J2859=0,0,ROUND(MAX($J2859*1.4*1.5*1.6*1.6*2.2*2.715*2.6*1.4*1.4*1.5*1.5,18900000000*(1.65331^(MIN($E2859,123)-117)))*1,0))</f>
        <v>925413965</v>
      </c>
      <c r="AG2859" s="11">
        <f>$E2859+27</f>
        <v>138</v>
      </c>
      <c r="AH2859" s="12">
        <f>IF($J2859=0,0,ROUND(MAX($J2859*1.4*1.5*1.6*1.6*2.2*2.715*2.6*1.4*1.4*1.5*1.5*3.2,60500000000*(1.654288^(MIN($E2859,123)-117)))*1,0))</f>
        <v>2951811756</v>
      </c>
    </row>
    <row r="2860" ht="28" customHeight="1" spans="1:34" x14ac:dyDescent="0.25">
      <c r="A2860">
        <v>2870</v>
      </c>
      <c r="B2860" t="s">
        <v>227</v>
      </c>
      <c r="C2860" s="10" t="s">
        <v>1650</v>
      </c>
      <c r="D2860" t="s">
        <v>40</v>
      </c>
      <c r="E2860">
        <v>110</v>
      </c>
      <c r="F2860" t="s">
        <v>56</v>
      </c>
      <c r="G2860" t="s">
        <v>35</v>
      </c>
      <c r="H2860">
        <v>27</v>
      </c>
      <c r="I2860" s="11">
        <f>$E2860+0</f>
        <v>110</v>
      </c>
      <c r="J2860" s="12">
        <v>7380000</v>
      </c>
      <c r="K2860" s="13">
        <f>$E2860+1</f>
        <v>111</v>
      </c>
      <c r="L2860" s="14">
        <f>IF($J2860=0,0,ROUND(MAX($J2860*1.4,1620000*(1.497923^(MIN($E2860,123)-117)))*1,0))</f>
        <v>10332000</v>
      </c>
      <c r="M2860" s="11">
        <f>$E2860+2</f>
        <v>112</v>
      </c>
      <c r="N2860" s="12">
        <f>IF($J2860=0,0,ROUND(MAX($J2860*1.4*1.5,2190000*(1.580994^(MIN($E2860,123)-117)))*1,0))</f>
        <v>15498000</v>
      </c>
      <c r="O2860" s="13">
        <f>$E2860+4</f>
        <v>114</v>
      </c>
      <c r="P2860" s="14">
        <f>IF($J2860=0,0,ROUND(MAX($J2860*1.4*1.5*1.6,3500000*(1.57975^(MIN($E2860,123)-117)))*1,0))</f>
        <v>24796800</v>
      </c>
      <c r="Q2860" s="11">
        <f>$E2860+6</f>
        <v>116</v>
      </c>
      <c r="R2860" s="12">
        <f>IF($J2860=0,0,ROUND(MAX($J2860*1.4*1.5*1.6*1.6,13100000*(1.429962^(MIN($E2860,123)-117)))*1,0))</f>
        <v>39674880</v>
      </c>
      <c r="S2860" s="13">
        <f>$E2860+8</f>
        <v>118</v>
      </c>
      <c r="T2860" s="14">
        <f>IF($J2860=0,0,ROUND(MAX($J2860*1.4*1.5*1.6*1.6*2.2,42600000*(1.576904^(MIN($E2860,123)-117)))*1,0))</f>
        <v>87284736</v>
      </c>
      <c r="U2860" s="11">
        <f>$E2860+11</f>
        <v>121</v>
      </c>
      <c r="V2860" s="12">
        <f>IF($J2860=0,0,ROUND(MAX($J2860*1.4*1.5*1.6*1.6*2.2*2.715,354000000*(1.642074^(MIN($E2860,123)-117)))*1,0))</f>
        <v>236978058</v>
      </c>
      <c r="W2860" s="13">
        <f>$E2860+15</f>
        <v>125</v>
      </c>
      <c r="X2860" s="14">
        <f>IF($J2860=0,0,ROUND(MAX($J2860*1.4*1.5*1.6*1.6*2.2*2.715*2.6,3540000000*(1.579646^(MIN($E2860,123)-117)))*1,0))</f>
        <v>616142951</v>
      </c>
      <c r="Y2860" s="11">
        <f>$E2860+17</f>
        <v>127</v>
      </c>
      <c r="Z2860" s="12">
        <f>IF($J2860=0,0,ROUND(MAX($J2860*1.4*1.5*1.6*1.6*2.2*2.715*2.6*1.4,6020000000*(1.651178^(MIN($E2860,123)-117)))*1,0))</f>
        <v>862600132</v>
      </c>
      <c r="AA2860" s="13">
        <f>$E2860+19</f>
        <v>129</v>
      </c>
      <c r="AB2860" s="14">
        <f>IF($J2860=0,0,ROUND(MAX($J2860*1.4*1.5*1.6*1.6*2.2*2.715*2.6*1.4*1.4,8430000000*(1.651435^(MIN($E2860,123)-117)))*1,0))</f>
        <v>1207640185</v>
      </c>
      <c r="AC2860" s="11">
        <f>$E2860+21</f>
        <v>131</v>
      </c>
      <c r="AD2860" s="12">
        <f>IF($J2860=0,0,ROUND(MAX($J2860*1.4*1.5*1.6*1.6*2.2*2.715*2.6*1.4*1.4*1.5,12600000000*(1.652953^(MIN($E2860,123)-117)))*1,0))</f>
        <v>1811460277</v>
      </c>
      <c r="AE2860" s="13">
        <f>$E2860+24</f>
        <v>134</v>
      </c>
      <c r="AF2860" s="14">
        <f>IF($J2860=0,0,ROUND(MAX($J2860*1.4*1.5*1.6*1.6*2.2*2.715*2.6*1.4*1.4*1.5*1.5,18900000000*(1.65331^(MIN($E2860,123)-117)))*1,0))</f>
        <v>2717190416</v>
      </c>
      <c r="AG2860" s="11">
        <f>$E2860+27</f>
        <v>137</v>
      </c>
      <c r="AH2860" s="12">
        <f>IF($J2860=0,0,ROUND(MAX($J2860*1.4*1.5*1.6*1.6*2.2*2.715*2.6*1.4*1.4*1.5*1.5*3.2,60500000000*(1.654288^(MIN($E2860,123)-117)))*1,0))</f>
        <v>8695009330</v>
      </c>
    </row>
    <row r="2861" ht="28" customHeight="1" spans="1:34" x14ac:dyDescent="0.25">
      <c r="A2861">
        <v>2871</v>
      </c>
      <c r="B2861" t="s">
        <v>101</v>
      </c>
      <c r="C2861" s="10" t="s">
        <v>1650</v>
      </c>
      <c r="D2861" t="s">
        <v>45</v>
      </c>
      <c r="E2861">
        <v>110</v>
      </c>
      <c r="F2861" t="s">
        <v>42</v>
      </c>
      <c r="G2861" t="s">
        <v>562</v>
      </c>
      <c r="H2861">
        <v>26</v>
      </c>
      <c r="I2861" s="11">
        <f>$E2861+0</f>
        <v>110</v>
      </c>
      <c r="J2861" s="12">
        <v>6420000</v>
      </c>
      <c r="K2861" s="13">
        <f>$E2861+1</f>
        <v>111</v>
      </c>
      <c r="L2861" s="14">
        <f>IF($J2861=0,0,ROUND(MAX($J2861*1.4,1620000*(1.497923^(MIN($E2861,123)-117)))*1,0))</f>
        <v>8988000</v>
      </c>
      <c r="M2861" s="11">
        <f>$E2861+2</f>
        <v>112</v>
      </c>
      <c r="N2861" s="12">
        <f>IF($J2861=0,0,ROUND(MAX($J2861*1.4*1.5,2190000*(1.580994^(MIN($E2861,123)-117)))*1,0))</f>
        <v>13482000</v>
      </c>
      <c r="O2861" s="13">
        <f>$E2861+4</f>
        <v>114</v>
      </c>
      <c r="P2861" s="14">
        <f>IF($J2861=0,0,ROUND(MAX($J2861*1.4*1.5*1.6,3500000*(1.57975^(MIN($E2861,123)-117)))*1,0))</f>
        <v>21571200</v>
      </c>
      <c r="Q2861" s="11">
        <f>$E2861+6</f>
        <v>116</v>
      </c>
      <c r="R2861" s="12">
        <f>IF($J2861=0,0,ROUND(MAX($J2861*1.4*1.5*1.6*1.6,13100000*(1.429962^(MIN($E2861,123)-117)))*1,0))</f>
        <v>34513920</v>
      </c>
      <c r="S2861" s="13">
        <f>$E2861+8</f>
        <v>118</v>
      </c>
      <c r="T2861" s="14">
        <f>IF($J2861=0,0,ROUND(MAX($J2861*1.4*1.5*1.6*1.6*2.2,42600000*(1.576904^(MIN($E2861,123)-117)))*1,0))</f>
        <v>75930624</v>
      </c>
      <c r="U2861" s="11">
        <f>$E2861+11</f>
        <v>121</v>
      </c>
      <c r="V2861" s="12">
        <f>IF($J2861=0,0,ROUND(MAX($J2861*1.4*1.5*1.6*1.6*2.2*2.715,354000000*(1.642074^(MIN($E2861,123)-117)))*1,0))</f>
        <v>206151644</v>
      </c>
      <c r="W2861" s="13">
        <f>$E2861+15</f>
        <v>125</v>
      </c>
      <c r="X2861" s="14">
        <f>IF($J2861=0,0,ROUND(MAX($J2861*1.4*1.5*1.6*1.6*2.2*2.715*2.6,3540000000*(1.579646^(MIN($E2861,123)-117)))*1,0))</f>
        <v>535994275</v>
      </c>
      <c r="Y2861" s="11">
        <f>$E2861+17</f>
        <v>127</v>
      </c>
      <c r="Z2861" s="12">
        <f>IF($J2861=0,0,ROUND(MAX($J2861*1.4*1.5*1.6*1.6*2.2*2.715*2.6*1.4,6020000000*(1.651178^(MIN($E2861,123)-117)))*1,0))</f>
        <v>750391985</v>
      </c>
      <c r="AA2861" s="13">
        <f>$E2861+19</f>
        <v>129</v>
      </c>
      <c r="AB2861" s="14">
        <f>IF($J2861=0,0,ROUND(MAX($J2861*1.4*1.5*1.6*1.6*2.2*2.715*2.6*1.4*1.4,8430000000*(1.651435^(MIN($E2861,123)-117)))*1,0))</f>
        <v>1050548779</v>
      </c>
      <c r="AC2861" s="11">
        <f>$E2861+21</f>
        <v>131</v>
      </c>
      <c r="AD2861" s="12">
        <f>IF($J2861=0,0,ROUND(MAX($J2861*1.4*1.5*1.6*1.6*2.2*2.715*2.6*1.4*1.4*1.5,12600000000*(1.652953^(MIN($E2861,123)-117)))*1,0))</f>
        <v>1575823168</v>
      </c>
      <c r="AE2861" s="13">
        <f>$E2861+24</f>
        <v>134</v>
      </c>
      <c r="AF2861" s="14">
        <f>IF($J2861=0,0,ROUND(MAX($J2861*1.4*1.5*1.6*1.6*2.2*2.715*2.6*1.4*1.4*1.5*1.5,18900000000*(1.65331^(MIN($E2861,123)-117)))*1,0))</f>
        <v>2363734752</v>
      </c>
      <c r="AG2861" s="11">
        <f>$E2861+27</f>
        <v>137</v>
      </c>
      <c r="AH2861" s="12">
        <f>IF($J2861=0,0,ROUND(MAX($J2861*1.4*1.5*1.6*1.6*2.2*2.715*2.6*1.4*1.4*1.5*1.5*3.2,60500000000*(1.654288^(MIN($E2861,123)-117)))*1,0))</f>
        <v>7563951206</v>
      </c>
    </row>
    <row r="2862" ht="28" customHeight="1" spans="1:34" x14ac:dyDescent="0.25">
      <c r="A2862">
        <v>2872</v>
      </c>
      <c r="B2862" t="s">
        <v>694</v>
      </c>
      <c r="C2862" s="10" t="s">
        <v>1650</v>
      </c>
      <c r="D2862" t="s">
        <v>102</v>
      </c>
      <c r="E2862">
        <v>110</v>
      </c>
      <c r="F2862" t="s">
        <v>71</v>
      </c>
      <c r="G2862" t="s">
        <v>270</v>
      </c>
      <c r="H2862">
        <v>26</v>
      </c>
      <c r="I2862" s="11">
        <f>$E2862+0</f>
        <v>110</v>
      </c>
      <c r="J2862" s="12">
        <v>97500</v>
      </c>
      <c r="K2862" s="13">
        <f>$E2862+1</f>
        <v>111</v>
      </c>
      <c r="L2862" s="14">
        <f>IF($J2862=0,0,ROUND(MAX($J2862*1.4,1620000*(1.497923^(MIN($E2862,123)-117)))*1,0))</f>
        <v>136500</v>
      </c>
      <c r="M2862" s="11">
        <f>$E2862+2</f>
        <v>112</v>
      </c>
      <c r="N2862" s="12">
        <f>IF($J2862=0,0,ROUND(MAX($J2862*1.4*1.5,2190000*(1.580994^(MIN($E2862,123)-117)))*1,0))</f>
        <v>204750</v>
      </c>
      <c r="O2862" s="13">
        <f>$E2862+4</f>
        <v>114</v>
      </c>
      <c r="P2862" s="14">
        <f>IF($J2862=0,0,ROUND(MAX($J2862*1.4*1.5*1.6,3500000*(1.57975^(MIN($E2862,123)-117)))*1,0))</f>
        <v>327600</v>
      </c>
      <c r="Q2862" s="11">
        <f>$E2862+6</f>
        <v>116</v>
      </c>
      <c r="R2862" s="12">
        <f>IF($J2862=0,0,ROUND(MAX($J2862*1.4*1.5*1.6*1.6,13100000*(1.429962^(MIN($E2862,123)-117)))*1,0))</f>
        <v>1071519</v>
      </c>
      <c r="S2862" s="13">
        <f>$E2862+8</f>
        <v>118</v>
      </c>
      <c r="T2862" s="14">
        <f>IF($J2862=0,0,ROUND(MAX($J2862*1.4*1.5*1.6*1.6*2.2,42600000*(1.576904^(MIN($E2862,123)-117)))*1,0))</f>
        <v>1757004</v>
      </c>
      <c r="U2862" s="11">
        <f>$E2862+11</f>
        <v>121</v>
      </c>
      <c r="V2862" s="12">
        <f>IF($J2862=0,0,ROUND(MAX($J2862*1.4*1.5*1.6*1.6*2.2*2.715,354000000*(1.642074^(MIN($E2862,123)-117)))*1,0))</f>
        <v>10996493</v>
      </c>
      <c r="W2862" s="13">
        <f>$E2862+15</f>
        <v>125</v>
      </c>
      <c r="X2862" s="14">
        <f>IF($J2862=0,0,ROUND(MAX($J2862*1.4*1.5*1.6*1.6*2.2*2.715*2.6,3540000000*(1.579646^(MIN($E2862,123)-117)))*1,0))</f>
        <v>144239716</v>
      </c>
      <c r="Y2862" s="11">
        <f>$E2862+17</f>
        <v>127</v>
      </c>
      <c r="Z2862" s="12">
        <f>IF($J2862=0,0,ROUND(MAX($J2862*1.4*1.5*1.6*1.6*2.2*2.715*2.6*1.4,6020000000*(1.651178^(MIN($E2862,123)-117)))*1,0))</f>
        <v>179903344</v>
      </c>
      <c r="AA2862" s="13">
        <f>$E2862+19</f>
        <v>129</v>
      </c>
      <c r="AB2862" s="14">
        <f>IF($J2862=0,0,ROUND(MAX($J2862*1.4*1.5*1.6*1.6*2.2*2.715*2.6*1.4*1.4,8430000000*(1.651435^(MIN($E2862,123)-117)))*1,0))</f>
        <v>251650143</v>
      </c>
      <c r="AC2862" s="11">
        <f>$E2862+21</f>
        <v>131</v>
      </c>
      <c r="AD2862" s="12">
        <f>IF($J2862=0,0,ROUND(MAX($J2862*1.4*1.5*1.6*1.6*2.2*2.715*2.6*1.4*1.4*1.5,12600000000*(1.652953^(MIN($E2862,123)-117)))*1,0))</f>
        <v>373720576</v>
      </c>
      <c r="AE2862" s="13">
        <f>$E2862+24</f>
        <v>134</v>
      </c>
      <c r="AF2862" s="14">
        <f>IF($J2862=0,0,ROUND(MAX($J2862*1.4*1.5*1.6*1.6*2.2*2.715*2.6*1.4*1.4*1.5*1.5,18900000000*(1.65331^(MIN($E2862,123)-117)))*1,0))</f>
        <v>559734088</v>
      </c>
      <c r="AG2862" s="11">
        <f>$E2862+27</f>
        <v>137</v>
      </c>
      <c r="AH2862" s="12">
        <f>IF($J2862=0,0,ROUND(MAX($J2862*1.4*1.5*1.6*1.6*2.2*2.715*2.6*1.4*1.4*1.5*1.5*3.2,60500000000*(1.654288^(MIN($E2862,123)-117)))*1,0))</f>
        <v>1784339701</v>
      </c>
    </row>
    <row r="2863" ht="28" customHeight="1" spans="1:34" x14ac:dyDescent="0.25">
      <c r="A2863">
        <v>2873</v>
      </c>
      <c r="B2863" t="s">
        <v>152</v>
      </c>
      <c r="C2863" s="10" t="s">
        <v>1650</v>
      </c>
      <c r="D2863" t="s">
        <v>29</v>
      </c>
      <c r="E2863">
        <v>110</v>
      </c>
      <c r="F2863" t="s">
        <v>71</v>
      </c>
      <c r="G2863" t="s">
        <v>562</v>
      </c>
      <c r="H2863">
        <v>26</v>
      </c>
      <c r="I2863" s="11">
        <f>$E2863+0</f>
        <v>110</v>
      </c>
      <c r="J2863" s="12">
        <v>73700</v>
      </c>
      <c r="K2863" s="13">
        <f>$E2863+1</f>
        <v>111</v>
      </c>
      <c r="L2863" s="14">
        <f>IF($J2863=0,0,ROUND(MAX($J2863*1.4,1620000*(1.497923^(MIN($E2863,123)-117)))*1,0))</f>
        <v>103180</v>
      </c>
      <c r="M2863" s="11">
        <f>$E2863+2</f>
        <v>112</v>
      </c>
      <c r="N2863" s="12">
        <f>IF($J2863=0,0,ROUND(MAX($J2863*1.4*1.5,2190000*(1.580994^(MIN($E2863,123)-117)))*1,0))</f>
        <v>154770</v>
      </c>
      <c r="O2863" s="13">
        <f>$E2863+4</f>
        <v>114</v>
      </c>
      <c r="P2863" s="14">
        <f>IF($J2863=0,0,ROUND(MAX($J2863*1.4*1.5*1.6,3500000*(1.57975^(MIN($E2863,123)-117)))*1,0))</f>
        <v>247632</v>
      </c>
      <c r="Q2863" s="11">
        <f>$E2863+6</f>
        <v>116</v>
      </c>
      <c r="R2863" s="12">
        <f>IF($J2863=0,0,ROUND(MAX($J2863*1.4*1.5*1.6*1.6,13100000*(1.429962^(MIN($E2863,123)-117)))*1,0))</f>
        <v>1071519</v>
      </c>
      <c r="S2863" s="13">
        <f>$E2863+8</f>
        <v>118</v>
      </c>
      <c r="T2863" s="14">
        <f>IF($J2863=0,0,ROUND(MAX($J2863*1.4*1.5*1.6*1.6*2.2,42600000*(1.576904^(MIN($E2863,123)-117)))*1,0))</f>
        <v>1757004</v>
      </c>
      <c r="U2863" s="11">
        <f>$E2863+11</f>
        <v>121</v>
      </c>
      <c r="V2863" s="12">
        <f>IF($J2863=0,0,ROUND(MAX($J2863*1.4*1.5*1.6*1.6*2.2*2.715,354000000*(1.642074^(MIN($E2863,123)-117)))*1,0))</f>
        <v>10996493</v>
      </c>
      <c r="W2863" s="13">
        <f>$E2863+15</f>
        <v>125</v>
      </c>
      <c r="X2863" s="14">
        <f>IF($J2863=0,0,ROUND(MAX($J2863*1.4*1.5*1.6*1.6*2.2*2.715*2.6,3540000000*(1.579646^(MIN($E2863,123)-117)))*1,0))</f>
        <v>144239716</v>
      </c>
      <c r="Y2863" s="11">
        <f>$E2863+17</f>
        <v>127</v>
      </c>
      <c r="Z2863" s="12">
        <f>IF($J2863=0,0,ROUND(MAX($J2863*1.4*1.5*1.6*1.6*2.2*2.715*2.6*1.4,6020000000*(1.651178^(MIN($E2863,123)-117)))*1,0))</f>
        <v>179903344</v>
      </c>
      <c r="AA2863" s="13">
        <f>$E2863+19</f>
        <v>129</v>
      </c>
      <c r="AB2863" s="14">
        <f>IF($J2863=0,0,ROUND(MAX($J2863*1.4*1.5*1.6*1.6*2.2*2.715*2.6*1.4*1.4,8430000000*(1.651435^(MIN($E2863,123)-117)))*1,0))</f>
        <v>251650143</v>
      </c>
      <c r="AC2863" s="11">
        <f>$E2863+21</f>
        <v>131</v>
      </c>
      <c r="AD2863" s="12">
        <f>IF($J2863=0,0,ROUND(MAX($J2863*1.4*1.5*1.6*1.6*2.2*2.715*2.6*1.4*1.4*1.5,12600000000*(1.652953^(MIN($E2863,123)-117)))*1,0))</f>
        <v>373720576</v>
      </c>
      <c r="AE2863" s="13">
        <f>$E2863+24</f>
        <v>134</v>
      </c>
      <c r="AF2863" s="14">
        <f>IF($J2863=0,0,ROUND(MAX($J2863*1.4*1.5*1.6*1.6*2.2*2.715*2.6*1.4*1.4*1.5*1.5,18900000000*(1.65331^(MIN($E2863,123)-117)))*1,0))</f>
        <v>559734088</v>
      </c>
      <c r="AG2863" s="11">
        <f>$E2863+27</f>
        <v>137</v>
      </c>
      <c r="AH2863" s="12">
        <f>IF($J2863=0,0,ROUND(MAX($J2863*1.4*1.5*1.6*1.6*2.2*2.715*2.6*1.4*1.4*1.5*1.5*3.2,60500000000*(1.654288^(MIN($E2863,123)-117)))*1,0))</f>
        <v>1784339701</v>
      </c>
    </row>
    <row r="2864" ht="28" customHeight="1" spans="1:34" x14ac:dyDescent="0.25">
      <c r="A2864">
        <v>2874</v>
      </c>
      <c r="B2864" t="s">
        <v>94</v>
      </c>
      <c r="C2864" s="10" t="s">
        <v>1650</v>
      </c>
      <c r="D2864" t="s">
        <v>29</v>
      </c>
      <c r="E2864">
        <v>110</v>
      </c>
      <c r="F2864" t="s">
        <v>42</v>
      </c>
      <c r="G2864" t="s">
        <v>562</v>
      </c>
      <c r="H2864">
        <v>26</v>
      </c>
      <c r="I2864" s="11">
        <f>$E2864+0</f>
        <v>110</v>
      </c>
      <c r="J2864" s="12">
        <v>31900000</v>
      </c>
      <c r="K2864" s="13">
        <f>$E2864+1</f>
        <v>111</v>
      </c>
      <c r="L2864" s="14">
        <f>IF($J2864=0,0,ROUND(MAX($J2864*1.4,1620000*(1.497923^(MIN($E2864,123)-117)))*1,0))</f>
        <v>44660000</v>
      </c>
      <c r="M2864" s="11">
        <f>$E2864+2</f>
        <v>112</v>
      </c>
      <c r="N2864" s="12">
        <f>IF($J2864=0,0,ROUND(MAX($J2864*1.4*1.5,2190000*(1.580994^(MIN($E2864,123)-117)))*1,0))</f>
        <v>66990000</v>
      </c>
      <c r="O2864" s="13">
        <f>$E2864+4</f>
        <v>114</v>
      </c>
      <c r="P2864" s="14">
        <f>IF($J2864=0,0,ROUND(MAX($J2864*1.4*1.5*1.6,3500000*(1.57975^(MIN($E2864,123)-117)))*1,0))</f>
        <v>107184000</v>
      </c>
      <c r="Q2864" s="11">
        <f>$E2864+6</f>
        <v>116</v>
      </c>
      <c r="R2864" s="12">
        <f>IF($J2864=0,0,ROUND(MAX($J2864*1.4*1.5*1.6*1.6,13100000*(1.429962^(MIN($E2864,123)-117)))*1,0))</f>
        <v>171494400</v>
      </c>
      <c r="S2864" s="13">
        <f>$E2864+8</f>
        <v>118</v>
      </c>
      <c r="T2864" s="14">
        <f>IF($J2864=0,0,ROUND(MAX($J2864*1.4*1.5*1.6*1.6*2.2,42600000*(1.576904^(MIN($E2864,123)-117)))*1,0))</f>
        <v>377287680</v>
      </c>
      <c r="U2864" s="11">
        <f>$E2864+11</f>
        <v>121</v>
      </c>
      <c r="V2864" s="12">
        <f>IF($J2864=0,0,ROUND(MAX($J2864*1.4*1.5*1.6*1.6*2.2*2.715,354000000*(1.642074^(MIN($E2864,123)-117)))*1,0))</f>
        <v>1024336051</v>
      </c>
      <c r="W2864" s="13">
        <f>$E2864+15</f>
        <v>125</v>
      </c>
      <c r="X2864" s="14">
        <f>IF($J2864=0,0,ROUND(MAX($J2864*1.4*1.5*1.6*1.6*2.2*2.715*2.6,3540000000*(1.579646^(MIN($E2864,123)-117)))*1,0))</f>
        <v>2663273733</v>
      </c>
      <c r="Y2864" s="11">
        <f>$E2864+17</f>
        <v>127</v>
      </c>
      <c r="Z2864" s="12">
        <f>IF($J2864=0,0,ROUND(MAX($J2864*1.4*1.5*1.6*1.6*2.2*2.715*2.6*1.4,6020000000*(1.651178^(MIN($E2864,123)-117)))*1,0))</f>
        <v>3728583226</v>
      </c>
      <c r="AA2864" s="13">
        <f>$E2864+19</f>
        <v>129</v>
      </c>
      <c r="AB2864" s="14">
        <f>IF($J2864=0,0,ROUND(MAX($J2864*1.4*1.5*1.6*1.6*2.2*2.715*2.6*1.4*1.4,8430000000*(1.651435^(MIN($E2864,123)-117)))*1,0))</f>
        <v>5220016517</v>
      </c>
      <c r="AC2864" s="11">
        <f>$E2864+21</f>
        <v>131</v>
      </c>
      <c r="AD2864" s="12">
        <f>IF($J2864=0,0,ROUND(MAX($J2864*1.4*1.5*1.6*1.6*2.2*2.715*2.6*1.4*1.4*1.5,12600000000*(1.652953^(MIN($E2864,123)-117)))*1,0))</f>
        <v>7830024775</v>
      </c>
      <c r="AE2864" s="13">
        <f>$E2864+24</f>
        <v>134</v>
      </c>
      <c r="AF2864" s="14">
        <f>IF($J2864=0,0,ROUND(MAX($J2864*1.4*1.5*1.6*1.6*2.2*2.715*2.6*1.4*1.4*1.5*1.5,18900000000*(1.65331^(MIN($E2864,123)-117)))*1,0))</f>
        <v>11745037163</v>
      </c>
      <c r="AG2864" s="11">
        <f>$E2864+27</f>
        <v>137</v>
      </c>
      <c r="AH2864" s="12">
        <f>IF($J2864=0,0,ROUND(MAX($J2864*1.4*1.5*1.6*1.6*2.2*2.715*2.6*1.4*1.4*1.5*1.5*3.2,60500000000*(1.654288^(MIN($E2864,123)-117)))*1,0))</f>
        <v>37584118922</v>
      </c>
    </row>
    <row r="2865" ht="28" customHeight="1" spans="1:34" x14ac:dyDescent="0.25">
      <c r="A2865">
        <v>2875</v>
      </c>
      <c r="B2865" t="s">
        <v>92</v>
      </c>
      <c r="C2865" s="10" t="s">
        <v>1650</v>
      </c>
      <c r="D2865" t="s">
        <v>93</v>
      </c>
      <c r="E2865">
        <v>110</v>
      </c>
      <c r="F2865" t="s">
        <v>56</v>
      </c>
      <c r="G2865" t="s">
        <v>562</v>
      </c>
      <c r="H2865">
        <v>26</v>
      </c>
      <c r="I2865" s="11">
        <f>$E2865+0</f>
        <v>110</v>
      </c>
      <c r="J2865" s="12">
        <v>1470000</v>
      </c>
      <c r="K2865" s="13">
        <f>$E2865+1</f>
        <v>111</v>
      </c>
      <c r="L2865" s="14">
        <f>IF($J2865=0,0,ROUND(MAX($J2865*1.4,1620000*(1.497923^(MIN($E2865,123)-117)))*1,0))</f>
        <v>2058000</v>
      </c>
      <c r="M2865" s="11">
        <f>$E2865+2</f>
        <v>112</v>
      </c>
      <c r="N2865" s="12">
        <f>IF($J2865=0,0,ROUND(MAX($J2865*1.4*1.5,2190000*(1.580994^(MIN($E2865,123)-117)))*1,0))</f>
        <v>3087000</v>
      </c>
      <c r="O2865" s="13">
        <f>$E2865+4</f>
        <v>114</v>
      </c>
      <c r="P2865" s="14">
        <f>IF($J2865=0,0,ROUND(MAX($J2865*1.4*1.5*1.6,3500000*(1.57975^(MIN($E2865,123)-117)))*1,0))</f>
        <v>4939200</v>
      </c>
      <c r="Q2865" s="11">
        <f>$E2865+6</f>
        <v>116</v>
      </c>
      <c r="R2865" s="12">
        <f>IF($J2865=0,0,ROUND(MAX($J2865*1.4*1.5*1.6*1.6,13100000*(1.429962^(MIN($E2865,123)-117)))*1,0))</f>
        <v>7902720</v>
      </c>
      <c r="S2865" s="13">
        <f>$E2865+8</f>
        <v>118</v>
      </c>
      <c r="T2865" s="14">
        <f>IF($J2865=0,0,ROUND(MAX($J2865*1.4*1.5*1.6*1.6*2.2,42600000*(1.576904^(MIN($E2865,123)-117)))*1,0))</f>
        <v>17385984</v>
      </c>
      <c r="U2865" s="11">
        <f>$E2865+11</f>
        <v>121</v>
      </c>
      <c r="V2865" s="12">
        <f>IF($J2865=0,0,ROUND(MAX($J2865*1.4*1.5*1.6*1.6*2.2*2.715,354000000*(1.642074^(MIN($E2865,123)-117)))*1,0))</f>
        <v>47202947</v>
      </c>
      <c r="W2865" s="13">
        <f>$E2865+15</f>
        <v>125</v>
      </c>
      <c r="X2865" s="14">
        <f>IF($J2865=0,0,ROUND(MAX($J2865*1.4*1.5*1.6*1.6*2.2*2.715*2.6,3540000000*(1.579646^(MIN($E2865,123)-117)))*1,0))</f>
        <v>144239716</v>
      </c>
      <c r="Y2865" s="11">
        <f>$E2865+17</f>
        <v>127</v>
      </c>
      <c r="Z2865" s="12">
        <f>IF($J2865=0,0,ROUND(MAX($J2865*1.4*1.5*1.6*1.6*2.2*2.715*2.6*1.4,6020000000*(1.651178^(MIN($E2865,123)-117)))*1,0))</f>
        <v>179903344</v>
      </c>
      <c r="AA2865" s="13">
        <f>$E2865+19</f>
        <v>129</v>
      </c>
      <c r="AB2865" s="14">
        <f>IF($J2865=0,0,ROUND(MAX($J2865*1.4*1.5*1.6*1.6*2.2*2.715*2.6*1.4*1.4,8430000000*(1.651435^(MIN($E2865,123)-117)))*1,0))</f>
        <v>251650143</v>
      </c>
      <c r="AC2865" s="11">
        <f>$E2865+21</f>
        <v>131</v>
      </c>
      <c r="AD2865" s="12">
        <f>IF($J2865=0,0,ROUND(MAX($J2865*1.4*1.5*1.6*1.6*2.2*2.715*2.6*1.4*1.4*1.5,12600000000*(1.652953^(MIN($E2865,123)-117)))*1,0))</f>
        <v>373720576</v>
      </c>
      <c r="AE2865" s="13">
        <f>$E2865+24</f>
        <v>134</v>
      </c>
      <c r="AF2865" s="14">
        <f>IF($J2865=0,0,ROUND(MAX($J2865*1.4*1.5*1.6*1.6*2.2*2.715*2.6*1.4*1.4*1.5*1.5,18900000000*(1.65331^(MIN($E2865,123)-117)))*1,0))</f>
        <v>559734088</v>
      </c>
      <c r="AG2865" s="11">
        <f>$E2865+27</f>
        <v>137</v>
      </c>
      <c r="AH2865" s="12">
        <f>IF($J2865=0,0,ROUND(MAX($J2865*1.4*1.5*1.6*1.6*2.2*2.715*2.6*1.4*1.4*1.5*1.5*3.2,60500000000*(1.654288^(MIN($E2865,123)-117)))*1,0))</f>
        <v>1784339701</v>
      </c>
    </row>
    <row r="2866" ht="28" customHeight="1" spans="1:34" x14ac:dyDescent="0.25">
      <c r="A2866">
        <v>2876</v>
      </c>
      <c r="B2866" t="s">
        <v>147</v>
      </c>
      <c r="C2866" s="10" t="s">
        <v>1650</v>
      </c>
      <c r="D2866" t="s">
        <v>25</v>
      </c>
      <c r="E2866">
        <v>110</v>
      </c>
      <c r="F2866" t="s">
        <v>56</v>
      </c>
      <c r="G2866" t="s">
        <v>562</v>
      </c>
      <c r="H2866">
        <v>26</v>
      </c>
      <c r="I2866" s="11">
        <f>$E2866+0</f>
        <v>110</v>
      </c>
      <c r="J2866" s="12">
        <v>99300</v>
      </c>
      <c r="K2866" s="13">
        <f>$E2866+1</f>
        <v>111</v>
      </c>
      <c r="L2866" s="14">
        <f>IF($J2866=0,0,ROUND(MAX($J2866*1.4,1620000*(1.497923^(MIN($E2866,123)-117)))*1,0))</f>
        <v>139020</v>
      </c>
      <c r="M2866" s="11">
        <f>$E2866+2</f>
        <v>112</v>
      </c>
      <c r="N2866" s="12">
        <f>IF($J2866=0,0,ROUND(MAX($J2866*1.4*1.5,2190000*(1.580994^(MIN($E2866,123)-117)))*1,0))</f>
        <v>208530</v>
      </c>
      <c r="O2866" s="13">
        <f>$E2866+4</f>
        <v>114</v>
      </c>
      <c r="P2866" s="14">
        <f>IF($J2866=0,0,ROUND(MAX($J2866*1.4*1.5*1.6,3500000*(1.57975^(MIN($E2866,123)-117)))*1,0))</f>
        <v>333648</v>
      </c>
      <c r="Q2866" s="11">
        <f>$E2866+6</f>
        <v>116</v>
      </c>
      <c r="R2866" s="12">
        <f>IF($J2866=0,0,ROUND(MAX($J2866*1.4*1.5*1.6*1.6,13100000*(1.429962^(MIN($E2866,123)-117)))*1,0))</f>
        <v>1071519</v>
      </c>
      <c r="S2866" s="13">
        <f>$E2866+8</f>
        <v>118</v>
      </c>
      <c r="T2866" s="14">
        <f>IF($J2866=0,0,ROUND(MAX($J2866*1.4*1.5*1.6*1.6*2.2,42600000*(1.576904^(MIN($E2866,123)-117)))*1,0))</f>
        <v>1757004</v>
      </c>
      <c r="U2866" s="11">
        <f>$E2866+11</f>
        <v>121</v>
      </c>
      <c r="V2866" s="12">
        <f>IF($J2866=0,0,ROUND(MAX($J2866*1.4*1.5*1.6*1.6*2.2*2.715,354000000*(1.642074^(MIN($E2866,123)-117)))*1,0))</f>
        <v>10996493</v>
      </c>
      <c r="W2866" s="13">
        <f>$E2866+15</f>
        <v>125</v>
      </c>
      <c r="X2866" s="14">
        <f>IF($J2866=0,0,ROUND(MAX($J2866*1.4*1.5*1.6*1.6*2.2*2.715*2.6,3540000000*(1.579646^(MIN($E2866,123)-117)))*1,0))</f>
        <v>144239716</v>
      </c>
      <c r="Y2866" s="11">
        <f>$E2866+17</f>
        <v>127</v>
      </c>
      <c r="Z2866" s="12">
        <f>IF($J2866=0,0,ROUND(MAX($J2866*1.4*1.5*1.6*1.6*2.2*2.715*2.6*1.4,6020000000*(1.651178^(MIN($E2866,123)-117)))*1,0))</f>
        <v>179903344</v>
      </c>
      <c r="AA2866" s="13">
        <f>$E2866+19</f>
        <v>129</v>
      </c>
      <c r="AB2866" s="14">
        <f>IF($J2866=0,0,ROUND(MAX($J2866*1.4*1.5*1.6*1.6*2.2*2.715*2.6*1.4*1.4,8430000000*(1.651435^(MIN($E2866,123)-117)))*1,0))</f>
        <v>251650143</v>
      </c>
      <c r="AC2866" s="11">
        <f>$E2866+21</f>
        <v>131</v>
      </c>
      <c r="AD2866" s="12">
        <f>IF($J2866=0,0,ROUND(MAX($J2866*1.4*1.5*1.6*1.6*2.2*2.715*2.6*1.4*1.4*1.5,12600000000*(1.652953^(MIN($E2866,123)-117)))*1,0))</f>
        <v>373720576</v>
      </c>
      <c r="AE2866" s="13">
        <f>$E2866+24</f>
        <v>134</v>
      </c>
      <c r="AF2866" s="14">
        <f>IF($J2866=0,0,ROUND(MAX($J2866*1.4*1.5*1.6*1.6*2.2*2.715*2.6*1.4*1.4*1.5*1.5,18900000000*(1.65331^(MIN($E2866,123)-117)))*1,0))</f>
        <v>559734088</v>
      </c>
      <c r="AG2866" s="11">
        <f>$E2866+27</f>
        <v>137</v>
      </c>
      <c r="AH2866" s="12">
        <f>IF($J2866=0,0,ROUND(MAX($J2866*1.4*1.5*1.6*1.6*2.2*2.715*2.6*1.4*1.4*1.5*1.5*3.2,60500000000*(1.654288^(MIN($E2866,123)-117)))*1,0))</f>
        <v>1784339701</v>
      </c>
    </row>
    <row r="2867" ht="28" customHeight="1" spans="1:34" x14ac:dyDescent="0.25">
      <c r="A2867">
        <v>2877</v>
      </c>
      <c r="B2867" t="s">
        <v>142</v>
      </c>
      <c r="C2867" s="10" t="s">
        <v>1650</v>
      </c>
      <c r="D2867" t="s">
        <v>90</v>
      </c>
      <c r="E2867">
        <v>110</v>
      </c>
      <c r="F2867" t="s">
        <v>34</v>
      </c>
      <c r="G2867" t="s">
        <v>562</v>
      </c>
      <c r="H2867">
        <v>25</v>
      </c>
      <c r="I2867" s="11">
        <f>$E2867+0</f>
        <v>110</v>
      </c>
      <c r="J2867" s="12">
        <v>11000000</v>
      </c>
      <c r="K2867" s="13">
        <f>$E2867+1</f>
        <v>111</v>
      </c>
      <c r="L2867" s="14">
        <f>IF($J2867=0,0,ROUND(MAX($J2867*1.4,1620000*(1.497923^(MIN($E2867,123)-117)))*1,0))</f>
        <v>15400000</v>
      </c>
      <c r="M2867" s="11">
        <f>$E2867+2</f>
        <v>112</v>
      </c>
      <c r="N2867" s="12">
        <f>IF($J2867=0,0,ROUND(MAX($J2867*1.4*1.5,2190000*(1.580994^(MIN($E2867,123)-117)))*1,0))</f>
        <v>23100000</v>
      </c>
      <c r="O2867" s="13">
        <f>$E2867+4</f>
        <v>114</v>
      </c>
      <c r="P2867" s="14">
        <f>IF($J2867=0,0,ROUND(MAX($J2867*1.4*1.5*1.6,3500000*(1.57975^(MIN($E2867,123)-117)))*1,0))</f>
        <v>36960000</v>
      </c>
      <c r="Q2867" s="11">
        <f>$E2867+6</f>
        <v>116</v>
      </c>
      <c r="R2867" s="12">
        <f>IF($J2867=0,0,ROUND(MAX($J2867*1.4*1.5*1.6*1.6,13100000*(1.429962^(MIN($E2867,123)-117)))*1,0))</f>
        <v>59136000</v>
      </c>
      <c r="S2867" s="13">
        <f>$E2867+8</f>
        <v>118</v>
      </c>
      <c r="T2867" s="14">
        <f>IF($J2867=0,0,ROUND(MAX($J2867*1.4*1.5*1.6*1.6*2.2,42600000*(1.576904^(MIN($E2867,123)-117)))*1,0))</f>
        <v>130099200</v>
      </c>
      <c r="U2867" s="11">
        <f>$E2867+11</f>
        <v>121</v>
      </c>
      <c r="V2867" s="12">
        <f>IF($J2867=0,0,ROUND(MAX($J2867*1.4*1.5*1.6*1.6*2.2*2.715,354000000*(1.642074^(MIN($E2867,123)-117)))*1,0))</f>
        <v>353219328</v>
      </c>
      <c r="W2867" s="13">
        <f>$E2867+15</f>
        <v>125</v>
      </c>
      <c r="X2867" s="14">
        <f>IF($J2867=0,0,ROUND(MAX($J2867*1.4*1.5*1.6*1.6*2.2*2.715*2.6,3540000000*(1.579646^(MIN($E2867,123)-117)))*1,0))</f>
        <v>918370253</v>
      </c>
      <c r="Y2867" s="11">
        <f>$E2867+17</f>
        <v>127</v>
      </c>
      <c r="Z2867" s="12">
        <f>IF($J2867=0,0,ROUND(MAX($J2867*1.4*1.5*1.6*1.6*2.2*2.715*2.6*1.4,6020000000*(1.651178^(MIN($E2867,123)-117)))*1,0))</f>
        <v>1285718354</v>
      </c>
      <c r="AA2867" s="13">
        <f>$E2867+19</f>
        <v>129</v>
      </c>
      <c r="AB2867" s="14">
        <f>IF($J2867=0,0,ROUND(MAX($J2867*1.4*1.5*1.6*1.6*2.2*2.715*2.6*1.4*1.4,8430000000*(1.651435^(MIN($E2867,123)-117)))*1,0))</f>
        <v>1800005695</v>
      </c>
      <c r="AC2867" s="11">
        <f>$E2867+21</f>
        <v>131</v>
      </c>
      <c r="AD2867" s="12">
        <f>IF($J2867=0,0,ROUND(MAX($J2867*1.4*1.5*1.6*1.6*2.2*2.715*2.6*1.4*1.4*1.5,12600000000*(1.652953^(MIN($E2867,123)-117)))*1,0))</f>
        <v>2700008543</v>
      </c>
      <c r="AE2867" s="13">
        <f>$E2867+24</f>
        <v>134</v>
      </c>
      <c r="AF2867" s="14">
        <f>IF($J2867=0,0,ROUND(MAX($J2867*1.4*1.5*1.6*1.6*2.2*2.715*2.6*1.4*1.4*1.5*1.5,18900000000*(1.65331^(MIN($E2867,123)-117)))*1,0))</f>
        <v>4050012815</v>
      </c>
      <c r="AG2867" s="11">
        <f>$E2867+27</f>
        <v>137</v>
      </c>
      <c r="AH2867" s="12">
        <f>IF($J2867=0,0,ROUND(MAX($J2867*1.4*1.5*1.6*1.6*2.2*2.715*2.6*1.4*1.4*1.5*1.5*3.2,60500000000*(1.654288^(MIN($E2867,123)-117)))*1,0))</f>
        <v>12960041008</v>
      </c>
    </row>
    <row r="2868" ht="28" customHeight="1" spans="1:34" x14ac:dyDescent="0.25">
      <c r="A2868">
        <v>2878</v>
      </c>
      <c r="B2868" t="s">
        <v>673</v>
      </c>
      <c r="C2868" s="10" t="s">
        <v>1650</v>
      </c>
      <c r="D2868" t="s">
        <v>40</v>
      </c>
      <c r="E2868">
        <v>109</v>
      </c>
      <c r="F2868" t="s">
        <v>34</v>
      </c>
      <c r="G2868" t="s">
        <v>562</v>
      </c>
      <c r="H2868">
        <v>26</v>
      </c>
      <c r="I2868" s="11">
        <f>$E2868+0</f>
        <v>109</v>
      </c>
      <c r="J2868" s="12">
        <v>42000</v>
      </c>
      <c r="K2868" s="13">
        <f>$E2868+1</f>
        <v>110</v>
      </c>
      <c r="L2868" s="14">
        <f>IF($J2868=0,0,ROUND(MAX($J2868*1.4,1620000*(1.497923^(MIN($E2868,123)-117)))*1,0))</f>
        <v>63914</v>
      </c>
      <c r="M2868" s="11">
        <f>$E2868+2</f>
        <v>111</v>
      </c>
      <c r="N2868" s="12">
        <f>IF($J2868=0,0,ROUND(MAX($J2868*1.4*1.5,2190000*(1.580994^(MIN($E2868,123)-117)))*1,0))</f>
        <v>88200</v>
      </c>
      <c r="O2868" s="13">
        <f>$E2868+4</f>
        <v>113</v>
      </c>
      <c r="P2868" s="14">
        <f>IF($J2868=0,0,ROUND(MAX($J2868*1.4*1.5*1.6,3500000*(1.57975^(MIN($E2868,123)-117)))*1,0))</f>
        <v>141120</v>
      </c>
      <c r="Q2868" s="11">
        <f>$E2868+6</f>
        <v>115</v>
      </c>
      <c r="R2868" s="12">
        <f>IF($J2868=0,0,ROUND(MAX($J2868*1.4*1.5*1.6*1.6,13100000*(1.429962^(MIN($E2868,123)-117)))*1,0))</f>
        <v>749334</v>
      </c>
      <c r="S2868" s="13">
        <f>$E2868+8</f>
        <v>117</v>
      </c>
      <c r="T2868" s="14">
        <f>IF($J2868=0,0,ROUND(MAX($J2868*1.4*1.5*1.6*1.6*2.2,42600000*(1.576904^(MIN($E2868,123)-117)))*1,0))</f>
        <v>1114211</v>
      </c>
      <c r="U2868" s="11">
        <f>$E2868+11</f>
        <v>120</v>
      </c>
      <c r="V2868" s="12">
        <f>IF($J2868=0,0,ROUND(MAX($J2868*1.4*1.5*1.6*1.6*2.2*2.715,354000000*(1.642074^(MIN($E2868,123)-117)))*1,0))</f>
        <v>6696710</v>
      </c>
      <c r="W2868" s="13">
        <f>$E2868+15</f>
        <v>124</v>
      </c>
      <c r="X2868" s="14">
        <f>IF($J2868=0,0,ROUND(MAX($J2868*1.4*1.5*1.6*1.6*2.2*2.715*2.6,3540000000*(1.579646^(MIN($E2868,123)-117)))*1,0))</f>
        <v>91311418</v>
      </c>
      <c r="Y2868" s="11">
        <f>$E2868+17</f>
        <v>126</v>
      </c>
      <c r="Z2868" s="12">
        <f>IF($J2868=0,0,ROUND(MAX($J2868*1.4*1.5*1.6*1.6*2.2*2.715*2.6*1.4,6020000000*(1.651178^(MIN($E2868,123)-117)))*1,0))</f>
        <v>108954543</v>
      </c>
      <c r="AA2868" s="13">
        <f>$E2868+19</f>
        <v>128</v>
      </c>
      <c r="AB2868" s="14">
        <f>IF($J2868=0,0,ROUND(MAX($J2868*1.4*1.5*1.6*1.6*2.2*2.715*2.6*1.4*1.4,8430000000*(1.651435^(MIN($E2868,123)-117)))*1,0))</f>
        <v>152382712</v>
      </c>
      <c r="AC2868" s="11">
        <f>$E2868+21</f>
        <v>130</v>
      </c>
      <c r="AD2868" s="12">
        <f>IF($J2868=0,0,ROUND(MAX($J2868*1.4*1.5*1.6*1.6*2.2*2.715*2.6*1.4*1.4*1.5,12600000000*(1.652953^(MIN($E2868,123)-117)))*1,0))</f>
        <v>226092682</v>
      </c>
      <c r="AE2868" s="13">
        <f>$E2868+24</f>
        <v>133</v>
      </c>
      <c r="AF2868" s="14">
        <f>IF($J2868=0,0,ROUND(MAX($J2868*1.4*1.5*1.6*1.6*2.2*2.715*2.6*1.4*1.4*1.5*1.5,18900000000*(1.65331^(MIN($E2868,123)-117)))*1,0))</f>
        <v>338553621</v>
      </c>
      <c r="AG2868" s="11">
        <f>$E2868+27</f>
        <v>136</v>
      </c>
      <c r="AH2868" s="12">
        <f>IF($J2868=0,0,ROUND(MAX($J2868*1.4*1.5*1.6*1.6*2.2*2.715*2.6*1.4*1.4*1.5*1.5*3.2,60500000000*(1.654288^(MIN($E2868,123)-117)))*1,0))</f>
        <v>1078614909</v>
      </c>
    </row>
    <row r="2869" ht="28" customHeight="1" spans="1:34" x14ac:dyDescent="0.25">
      <c r="A2869">
        <v>2879</v>
      </c>
      <c r="B2869" t="s">
        <v>1651</v>
      </c>
      <c r="C2869" s="10" t="s">
        <v>1650</v>
      </c>
      <c r="D2869" t="s">
        <v>40</v>
      </c>
      <c r="E2869">
        <v>109</v>
      </c>
      <c r="F2869" t="s">
        <v>56</v>
      </c>
      <c r="G2869" t="s">
        <v>562</v>
      </c>
      <c r="H2869">
        <v>26</v>
      </c>
      <c r="I2869" s="11">
        <f>$E2869+0</f>
        <v>109</v>
      </c>
      <c r="J2869" s="12">
        <v>165000</v>
      </c>
      <c r="K2869" s="13">
        <f>$E2869+1</f>
        <v>110</v>
      </c>
      <c r="L2869" s="14">
        <f>IF($J2869=0,0,ROUND(MAX($J2869*1.4,1620000*(1.497923^(MIN($E2869,123)-117)))*1,0))</f>
        <v>231000</v>
      </c>
      <c r="M2869" s="11">
        <f>$E2869+2</f>
        <v>111</v>
      </c>
      <c r="N2869" s="12">
        <f>IF($J2869=0,0,ROUND(MAX($J2869*1.4*1.5,2190000*(1.580994^(MIN($E2869,123)-117)))*1,0))</f>
        <v>346500</v>
      </c>
      <c r="O2869" s="13">
        <f>$E2869+4</f>
        <v>113</v>
      </c>
      <c r="P2869" s="14">
        <f>IF($J2869=0,0,ROUND(MAX($J2869*1.4*1.5*1.6,3500000*(1.57975^(MIN($E2869,123)-117)))*1,0))</f>
        <v>554400</v>
      </c>
      <c r="Q2869" s="11">
        <f>$E2869+6</f>
        <v>115</v>
      </c>
      <c r="R2869" s="12">
        <f>IF($J2869=0,0,ROUND(MAX($J2869*1.4*1.5*1.6*1.6,13100000*(1.429962^(MIN($E2869,123)-117)))*1,0))</f>
        <v>887040</v>
      </c>
      <c r="S2869" s="13">
        <f>$E2869+8</f>
        <v>117</v>
      </c>
      <c r="T2869" s="14">
        <f>IF($J2869=0,0,ROUND(MAX($J2869*1.4*1.5*1.6*1.6*2.2,42600000*(1.576904^(MIN($E2869,123)-117)))*1,0))</f>
        <v>1951488</v>
      </c>
      <c r="U2869" s="11">
        <f>$E2869+11</f>
        <v>120</v>
      </c>
      <c r="V2869" s="12">
        <f>IF($J2869=0,0,ROUND(MAX($J2869*1.4*1.5*1.6*1.6*2.2*2.715,354000000*(1.642074^(MIN($E2869,123)-117)))*1,0))</f>
        <v>6696710</v>
      </c>
      <c r="W2869" s="13">
        <f>$E2869+15</f>
        <v>124</v>
      </c>
      <c r="X2869" s="14">
        <f>IF($J2869=0,0,ROUND(MAX($J2869*1.4*1.5*1.6*1.6*2.2*2.715*2.6,3540000000*(1.579646^(MIN($E2869,123)-117)))*1,0))</f>
        <v>91311418</v>
      </c>
      <c r="Y2869" s="11">
        <f>$E2869+17</f>
        <v>126</v>
      </c>
      <c r="Z2869" s="12">
        <f>IF($J2869=0,0,ROUND(MAX($J2869*1.4*1.5*1.6*1.6*2.2*2.715*2.6*1.4,6020000000*(1.651178^(MIN($E2869,123)-117)))*1,0))</f>
        <v>108954543</v>
      </c>
      <c r="AA2869" s="13">
        <f>$E2869+19</f>
        <v>128</v>
      </c>
      <c r="AB2869" s="14">
        <f>IF($J2869=0,0,ROUND(MAX($J2869*1.4*1.5*1.6*1.6*2.2*2.715*2.6*1.4*1.4,8430000000*(1.651435^(MIN($E2869,123)-117)))*1,0))</f>
        <v>152382712</v>
      </c>
      <c r="AC2869" s="11">
        <f>$E2869+21</f>
        <v>130</v>
      </c>
      <c r="AD2869" s="12">
        <f>IF($J2869=0,0,ROUND(MAX($J2869*1.4*1.5*1.6*1.6*2.2*2.715*2.6*1.4*1.4*1.5,12600000000*(1.652953^(MIN($E2869,123)-117)))*1,0))</f>
        <v>226092682</v>
      </c>
      <c r="AE2869" s="13">
        <f>$E2869+24</f>
        <v>133</v>
      </c>
      <c r="AF2869" s="14">
        <f>IF($J2869=0,0,ROUND(MAX($J2869*1.4*1.5*1.6*1.6*2.2*2.715*2.6*1.4*1.4*1.5*1.5,18900000000*(1.65331^(MIN($E2869,123)-117)))*1,0))</f>
        <v>338553621</v>
      </c>
      <c r="AG2869" s="11">
        <f>$E2869+27</f>
        <v>136</v>
      </c>
      <c r="AH2869" s="12">
        <f>IF($J2869=0,0,ROUND(MAX($J2869*1.4*1.5*1.6*1.6*2.2*2.715*2.6*1.4*1.4*1.5*1.5*3.2,60500000000*(1.654288^(MIN($E2869,123)-117)))*1,0))</f>
        <v>1078614909</v>
      </c>
    </row>
    <row r="2870" ht="28" customHeight="1" spans="1:34" x14ac:dyDescent="0.25">
      <c r="A2870">
        <v>2880</v>
      </c>
      <c r="B2870" t="s">
        <v>1045</v>
      </c>
      <c r="C2870" s="10" t="s">
        <v>1650</v>
      </c>
      <c r="D2870" t="s">
        <v>45</v>
      </c>
      <c r="E2870">
        <v>109</v>
      </c>
      <c r="F2870" t="s">
        <v>71</v>
      </c>
      <c r="G2870" t="s">
        <v>206</v>
      </c>
      <c r="H2870">
        <v>25</v>
      </c>
      <c r="I2870" s="11">
        <f>$E2870+0</f>
        <v>109</v>
      </c>
      <c r="J2870" s="12">
        <v>81200</v>
      </c>
      <c r="K2870" s="13">
        <f>$E2870+1</f>
        <v>110</v>
      </c>
      <c r="L2870" s="14">
        <f>IF($J2870=0,0,ROUND(MAX($J2870*1.4,1620000*(1.497923^(MIN($E2870,123)-117)))*1,0))</f>
        <v>113680</v>
      </c>
      <c r="M2870" s="11">
        <f>$E2870+2</f>
        <v>111</v>
      </c>
      <c r="N2870" s="12">
        <f>IF($J2870=0,0,ROUND(MAX($J2870*1.4*1.5,2190000*(1.580994^(MIN($E2870,123)-117)))*1,0))</f>
        <v>170520</v>
      </c>
      <c r="O2870" s="13">
        <f>$E2870+4</f>
        <v>113</v>
      </c>
      <c r="P2870" s="14">
        <f>IF($J2870=0,0,ROUND(MAX($J2870*1.4*1.5*1.6,3500000*(1.57975^(MIN($E2870,123)-117)))*1,0))</f>
        <v>272832</v>
      </c>
      <c r="Q2870" s="11">
        <f>$E2870+6</f>
        <v>115</v>
      </c>
      <c r="R2870" s="12">
        <f>IF($J2870=0,0,ROUND(MAX($J2870*1.4*1.5*1.6*1.6,13100000*(1.429962^(MIN($E2870,123)-117)))*1,0))</f>
        <v>749334</v>
      </c>
      <c r="S2870" s="13">
        <f>$E2870+8</f>
        <v>117</v>
      </c>
      <c r="T2870" s="14">
        <f>IF($J2870=0,0,ROUND(MAX($J2870*1.4*1.5*1.6*1.6*2.2,42600000*(1.576904^(MIN($E2870,123)-117)))*1,0))</f>
        <v>1114211</v>
      </c>
      <c r="U2870" s="11">
        <f>$E2870+11</f>
        <v>120</v>
      </c>
      <c r="V2870" s="12">
        <f>IF($J2870=0,0,ROUND(MAX($J2870*1.4*1.5*1.6*1.6*2.2*2.715,354000000*(1.642074^(MIN($E2870,123)-117)))*1,0))</f>
        <v>6696710</v>
      </c>
      <c r="W2870" s="13">
        <f>$E2870+15</f>
        <v>124</v>
      </c>
      <c r="X2870" s="14">
        <f>IF($J2870=0,0,ROUND(MAX($J2870*1.4*1.5*1.6*1.6*2.2*2.715*2.6,3540000000*(1.579646^(MIN($E2870,123)-117)))*1,0))</f>
        <v>91311418</v>
      </c>
      <c r="Y2870" s="11">
        <f>$E2870+17</f>
        <v>126</v>
      </c>
      <c r="Z2870" s="12">
        <f>IF($J2870=0,0,ROUND(MAX($J2870*1.4*1.5*1.6*1.6*2.2*2.715*2.6*1.4,6020000000*(1.651178^(MIN($E2870,123)-117)))*1,0))</f>
        <v>108954543</v>
      </c>
      <c r="AA2870" s="13">
        <f>$E2870+19</f>
        <v>128</v>
      </c>
      <c r="AB2870" s="14">
        <f>IF($J2870=0,0,ROUND(MAX($J2870*1.4*1.5*1.6*1.6*2.2*2.715*2.6*1.4*1.4,8430000000*(1.651435^(MIN($E2870,123)-117)))*1,0))</f>
        <v>152382712</v>
      </c>
      <c r="AC2870" s="11">
        <f>$E2870+21</f>
        <v>130</v>
      </c>
      <c r="AD2870" s="12">
        <f>IF($J2870=0,0,ROUND(MAX($J2870*1.4*1.5*1.6*1.6*2.2*2.715*2.6*1.4*1.4*1.5,12600000000*(1.652953^(MIN($E2870,123)-117)))*1,0))</f>
        <v>226092682</v>
      </c>
      <c r="AE2870" s="13">
        <f>$E2870+24</f>
        <v>133</v>
      </c>
      <c r="AF2870" s="14">
        <f>IF($J2870=0,0,ROUND(MAX($J2870*1.4*1.5*1.6*1.6*2.2*2.715*2.6*1.4*1.4*1.5*1.5,18900000000*(1.65331^(MIN($E2870,123)-117)))*1,0))</f>
        <v>338553621</v>
      </c>
      <c r="AG2870" s="11">
        <f>$E2870+27</f>
        <v>136</v>
      </c>
      <c r="AH2870" s="12">
        <f>IF($J2870=0,0,ROUND(MAX($J2870*1.4*1.5*1.6*1.6*2.2*2.715*2.6*1.4*1.4*1.5*1.5*3.2,60500000000*(1.654288^(MIN($E2870,123)-117)))*1,0))</f>
        <v>1078614909</v>
      </c>
    </row>
    <row r="2871" ht="28" customHeight="1" spans="1:34" x14ac:dyDescent="0.25">
      <c r="A2871">
        <v>2881</v>
      </c>
      <c r="B2871" t="s">
        <v>154</v>
      </c>
      <c r="C2871" s="10" t="s">
        <v>1650</v>
      </c>
      <c r="D2871" t="s">
        <v>25</v>
      </c>
      <c r="E2871">
        <v>109</v>
      </c>
      <c r="F2871" t="s">
        <v>34</v>
      </c>
      <c r="G2871" t="s">
        <v>562</v>
      </c>
      <c r="H2871">
        <v>25</v>
      </c>
      <c r="I2871" s="11">
        <f>$E2871+0</f>
        <v>109</v>
      </c>
      <c r="J2871" s="12">
        <v>28800000</v>
      </c>
      <c r="K2871" s="13">
        <f>$E2871+1</f>
        <v>110</v>
      </c>
      <c r="L2871" s="14">
        <f>IF($J2871=0,0,ROUND(MAX($J2871*1.4,1620000*(1.497923^(MIN($E2871,123)-117)))*1,0))</f>
        <v>40320000</v>
      </c>
      <c r="M2871" s="11">
        <f>$E2871+2</f>
        <v>111</v>
      </c>
      <c r="N2871" s="12">
        <f>IF($J2871=0,0,ROUND(MAX($J2871*1.4*1.5,2190000*(1.580994^(MIN($E2871,123)-117)))*1,0))</f>
        <v>60480000</v>
      </c>
      <c r="O2871" s="13">
        <f>$E2871+4</f>
        <v>113</v>
      </c>
      <c r="P2871" s="14">
        <f>IF($J2871=0,0,ROUND(MAX($J2871*1.4*1.5*1.6,3500000*(1.57975^(MIN($E2871,123)-117)))*1,0))</f>
        <v>96768000</v>
      </c>
      <c r="Q2871" s="11">
        <f>$E2871+6</f>
        <v>115</v>
      </c>
      <c r="R2871" s="12">
        <f>IF($J2871=0,0,ROUND(MAX($J2871*1.4*1.5*1.6*1.6,13100000*(1.429962^(MIN($E2871,123)-117)))*1,0))</f>
        <v>154828800</v>
      </c>
      <c r="S2871" s="13">
        <f>$E2871+8</f>
        <v>117</v>
      </c>
      <c r="T2871" s="14">
        <f>IF($J2871=0,0,ROUND(MAX($J2871*1.4*1.5*1.6*1.6*2.2,42600000*(1.576904^(MIN($E2871,123)-117)))*1,0))</f>
        <v>340623360</v>
      </c>
      <c r="U2871" s="11">
        <f>$E2871+11</f>
        <v>120</v>
      </c>
      <c r="V2871" s="12">
        <f>IF($J2871=0,0,ROUND(MAX($J2871*1.4*1.5*1.6*1.6*2.2*2.715,354000000*(1.642074^(MIN($E2871,123)-117)))*1,0))</f>
        <v>924792422</v>
      </c>
      <c r="W2871" s="13">
        <f>$E2871+15</f>
        <v>124</v>
      </c>
      <c r="X2871" s="14">
        <f>IF($J2871=0,0,ROUND(MAX($J2871*1.4*1.5*1.6*1.6*2.2*2.715*2.6,3540000000*(1.579646^(MIN($E2871,123)-117)))*1,0))</f>
        <v>2404460298</v>
      </c>
      <c r="Y2871" s="11">
        <f>$E2871+17</f>
        <v>126</v>
      </c>
      <c r="Z2871" s="12">
        <f>IF($J2871=0,0,ROUND(MAX($J2871*1.4*1.5*1.6*1.6*2.2*2.715*2.6*1.4,6020000000*(1.651178^(MIN($E2871,123)-117)))*1,0))</f>
        <v>3366244418</v>
      </c>
      <c r="AA2871" s="13">
        <f>$E2871+19</f>
        <v>128</v>
      </c>
      <c r="AB2871" s="14">
        <f>IF($J2871=0,0,ROUND(MAX($J2871*1.4*1.5*1.6*1.6*2.2*2.715*2.6*1.4*1.4,8430000000*(1.651435^(MIN($E2871,123)-117)))*1,0))</f>
        <v>4712742185</v>
      </c>
      <c r="AC2871" s="11">
        <f>$E2871+21</f>
        <v>130</v>
      </c>
      <c r="AD2871" s="12">
        <f>IF($J2871=0,0,ROUND(MAX($J2871*1.4*1.5*1.6*1.6*2.2*2.715*2.6*1.4*1.4*1.5,12600000000*(1.652953^(MIN($E2871,123)-117)))*1,0))</f>
        <v>7069113277</v>
      </c>
      <c r="AE2871" s="13">
        <f>$E2871+24</f>
        <v>133</v>
      </c>
      <c r="AF2871" s="14">
        <f>IF($J2871=0,0,ROUND(MAX($J2871*1.4*1.5*1.6*1.6*2.2*2.715*2.6*1.4*1.4*1.5*1.5,18900000000*(1.65331^(MIN($E2871,123)-117)))*1,0))</f>
        <v>10603669915</v>
      </c>
      <c r="AG2871" s="11">
        <f>$E2871+27</f>
        <v>136</v>
      </c>
      <c r="AH2871" s="12">
        <f>IF($J2871=0,0,ROUND(MAX($J2871*1.4*1.5*1.6*1.6*2.2*2.715*2.6*1.4*1.4*1.5*1.5*3.2,60500000000*(1.654288^(MIN($E2871,123)-117)))*1,0))</f>
        <v>33931743729</v>
      </c>
    </row>
    <row r="2872" ht="28" customHeight="1" spans="1:34" x14ac:dyDescent="0.25">
      <c r="A2872">
        <v>2882</v>
      </c>
      <c r="B2872" t="s">
        <v>156</v>
      </c>
      <c r="C2872" s="10" t="s">
        <v>1650</v>
      </c>
      <c r="D2872" t="s">
        <v>93</v>
      </c>
      <c r="E2872">
        <v>109</v>
      </c>
      <c r="F2872" t="s">
        <v>34</v>
      </c>
      <c r="G2872" t="s">
        <v>562</v>
      </c>
      <c r="H2872">
        <v>25</v>
      </c>
      <c r="I2872" s="11">
        <f>$E2872+0</f>
        <v>109</v>
      </c>
      <c r="J2872" s="12">
        <v>123000</v>
      </c>
      <c r="K2872" s="13">
        <f>$E2872+1</f>
        <v>110</v>
      </c>
      <c r="L2872" s="14">
        <f>IF($J2872=0,0,ROUND(MAX($J2872*1.4,1620000*(1.497923^(MIN($E2872,123)-117)))*1,0))</f>
        <v>172200</v>
      </c>
      <c r="M2872" s="11">
        <f>$E2872+2</f>
        <v>111</v>
      </c>
      <c r="N2872" s="12">
        <f>IF($J2872=0,0,ROUND(MAX($J2872*1.4*1.5,2190000*(1.580994^(MIN($E2872,123)-117)))*1,0))</f>
        <v>258300</v>
      </c>
      <c r="O2872" s="13">
        <f>$E2872+4</f>
        <v>113</v>
      </c>
      <c r="P2872" s="14">
        <f>IF($J2872=0,0,ROUND(MAX($J2872*1.4*1.5*1.6,3500000*(1.57975^(MIN($E2872,123)-117)))*1,0))</f>
        <v>413280</v>
      </c>
      <c r="Q2872" s="11">
        <f>$E2872+6</f>
        <v>115</v>
      </c>
      <c r="R2872" s="12">
        <f>IF($J2872=0,0,ROUND(MAX($J2872*1.4*1.5*1.6*1.6,13100000*(1.429962^(MIN($E2872,123)-117)))*1,0))</f>
        <v>749334</v>
      </c>
      <c r="S2872" s="13">
        <f>$E2872+8</f>
        <v>117</v>
      </c>
      <c r="T2872" s="14">
        <f>IF($J2872=0,0,ROUND(MAX($J2872*1.4*1.5*1.6*1.6*2.2,42600000*(1.576904^(MIN($E2872,123)-117)))*1,0))</f>
        <v>1454746</v>
      </c>
      <c r="U2872" s="11">
        <f>$E2872+11</f>
        <v>120</v>
      </c>
      <c r="V2872" s="12">
        <f>IF($J2872=0,0,ROUND(MAX($J2872*1.4*1.5*1.6*1.6*2.2*2.715,354000000*(1.642074^(MIN($E2872,123)-117)))*1,0))</f>
        <v>6696710</v>
      </c>
      <c r="W2872" s="13">
        <f>$E2872+15</f>
        <v>124</v>
      </c>
      <c r="X2872" s="14">
        <f>IF($J2872=0,0,ROUND(MAX($J2872*1.4*1.5*1.6*1.6*2.2*2.715*2.6,3540000000*(1.579646^(MIN($E2872,123)-117)))*1,0))</f>
        <v>91311418</v>
      </c>
      <c r="Y2872" s="11">
        <f>$E2872+17</f>
        <v>126</v>
      </c>
      <c r="Z2872" s="12">
        <f>IF($J2872=0,0,ROUND(MAX($J2872*1.4*1.5*1.6*1.6*2.2*2.715*2.6*1.4,6020000000*(1.651178^(MIN($E2872,123)-117)))*1,0))</f>
        <v>108954543</v>
      </c>
      <c r="AA2872" s="13">
        <f>$E2872+19</f>
        <v>128</v>
      </c>
      <c r="AB2872" s="14">
        <f>IF($J2872=0,0,ROUND(MAX($J2872*1.4*1.5*1.6*1.6*2.2*2.715*2.6*1.4*1.4,8430000000*(1.651435^(MIN($E2872,123)-117)))*1,0))</f>
        <v>152382712</v>
      </c>
      <c r="AC2872" s="11">
        <f>$E2872+21</f>
        <v>130</v>
      </c>
      <c r="AD2872" s="12">
        <f>IF($J2872=0,0,ROUND(MAX($J2872*1.4*1.5*1.6*1.6*2.2*2.715*2.6*1.4*1.4*1.5,12600000000*(1.652953^(MIN($E2872,123)-117)))*1,0))</f>
        <v>226092682</v>
      </c>
      <c r="AE2872" s="13">
        <f>$E2872+24</f>
        <v>133</v>
      </c>
      <c r="AF2872" s="14">
        <f>IF($J2872=0,0,ROUND(MAX($J2872*1.4*1.5*1.6*1.6*2.2*2.715*2.6*1.4*1.4*1.5*1.5,18900000000*(1.65331^(MIN($E2872,123)-117)))*1,0))</f>
        <v>338553621</v>
      </c>
      <c r="AG2872" s="11">
        <f>$E2872+27</f>
        <v>136</v>
      </c>
      <c r="AH2872" s="12">
        <f>IF($J2872=0,0,ROUND(MAX($J2872*1.4*1.5*1.6*1.6*2.2*2.715*2.6*1.4*1.4*1.5*1.5*3.2,60500000000*(1.654288^(MIN($E2872,123)-117)))*1,0))</f>
        <v>1078614909</v>
      </c>
    </row>
    <row r="2873" ht="28" customHeight="1" spans="1:34" x14ac:dyDescent="0.25">
      <c r="A2873">
        <v>2883</v>
      </c>
      <c r="B2873" t="s">
        <v>127</v>
      </c>
      <c r="C2873" s="10" t="s">
        <v>1650</v>
      </c>
      <c r="D2873" t="s">
        <v>33</v>
      </c>
      <c r="E2873">
        <v>109</v>
      </c>
      <c r="F2873" t="s">
        <v>71</v>
      </c>
      <c r="G2873" t="s">
        <v>562</v>
      </c>
      <c r="H2873">
        <v>25</v>
      </c>
      <c r="I2873" s="11">
        <f>$E2873+0</f>
        <v>109</v>
      </c>
      <c r="J2873" s="12">
        <v>106000</v>
      </c>
      <c r="K2873" s="13">
        <f>$E2873+1</f>
        <v>110</v>
      </c>
      <c r="L2873" s="14">
        <f>IF($J2873=0,0,ROUND(MAX($J2873*1.4,1620000*(1.497923^(MIN($E2873,123)-117)))*1,0))</f>
        <v>148400</v>
      </c>
      <c r="M2873" s="11">
        <f>$E2873+2</f>
        <v>111</v>
      </c>
      <c r="N2873" s="12">
        <f>IF($J2873=0,0,ROUND(MAX($J2873*1.4*1.5,2190000*(1.580994^(MIN($E2873,123)-117)))*1,0))</f>
        <v>222600</v>
      </c>
      <c r="O2873" s="13">
        <f>$E2873+4</f>
        <v>113</v>
      </c>
      <c r="P2873" s="14">
        <f>IF($J2873=0,0,ROUND(MAX($J2873*1.4*1.5*1.6,3500000*(1.57975^(MIN($E2873,123)-117)))*1,0))</f>
        <v>356160</v>
      </c>
      <c r="Q2873" s="11">
        <f>$E2873+6</f>
        <v>115</v>
      </c>
      <c r="R2873" s="12">
        <f>IF($J2873=0,0,ROUND(MAX($J2873*1.4*1.5*1.6*1.6,13100000*(1.429962^(MIN($E2873,123)-117)))*1,0))</f>
        <v>749334</v>
      </c>
      <c r="S2873" s="13">
        <f>$E2873+8</f>
        <v>117</v>
      </c>
      <c r="T2873" s="14">
        <f>IF($J2873=0,0,ROUND(MAX($J2873*1.4*1.5*1.6*1.6*2.2,42600000*(1.576904^(MIN($E2873,123)-117)))*1,0))</f>
        <v>1253683</v>
      </c>
      <c r="U2873" s="11">
        <f>$E2873+11</f>
        <v>120</v>
      </c>
      <c r="V2873" s="12">
        <f>IF($J2873=0,0,ROUND(MAX($J2873*1.4*1.5*1.6*1.6*2.2*2.715,354000000*(1.642074^(MIN($E2873,123)-117)))*1,0))</f>
        <v>6696710</v>
      </c>
      <c r="W2873" s="13">
        <f>$E2873+15</f>
        <v>124</v>
      </c>
      <c r="X2873" s="14">
        <f>IF($J2873=0,0,ROUND(MAX($J2873*1.4*1.5*1.6*1.6*2.2*2.715*2.6,3540000000*(1.579646^(MIN($E2873,123)-117)))*1,0))</f>
        <v>91311418</v>
      </c>
      <c r="Y2873" s="11">
        <f>$E2873+17</f>
        <v>126</v>
      </c>
      <c r="Z2873" s="12">
        <f>IF($J2873=0,0,ROUND(MAX($J2873*1.4*1.5*1.6*1.6*2.2*2.715*2.6*1.4,6020000000*(1.651178^(MIN($E2873,123)-117)))*1,0))</f>
        <v>108954543</v>
      </c>
      <c r="AA2873" s="13">
        <f>$E2873+19</f>
        <v>128</v>
      </c>
      <c r="AB2873" s="14">
        <f>IF($J2873=0,0,ROUND(MAX($J2873*1.4*1.5*1.6*1.6*2.2*2.715*2.6*1.4*1.4,8430000000*(1.651435^(MIN($E2873,123)-117)))*1,0))</f>
        <v>152382712</v>
      </c>
      <c r="AC2873" s="11">
        <f>$E2873+21</f>
        <v>130</v>
      </c>
      <c r="AD2873" s="12">
        <f>IF($J2873=0,0,ROUND(MAX($J2873*1.4*1.5*1.6*1.6*2.2*2.715*2.6*1.4*1.4*1.5,12600000000*(1.652953^(MIN($E2873,123)-117)))*1,0))</f>
        <v>226092682</v>
      </c>
      <c r="AE2873" s="13">
        <f>$E2873+24</f>
        <v>133</v>
      </c>
      <c r="AF2873" s="14">
        <f>IF($J2873=0,0,ROUND(MAX($J2873*1.4*1.5*1.6*1.6*2.2*2.715*2.6*1.4*1.4*1.5*1.5,18900000000*(1.65331^(MIN($E2873,123)-117)))*1,0))</f>
        <v>338553621</v>
      </c>
      <c r="AG2873" s="11">
        <f>$E2873+27</f>
        <v>136</v>
      </c>
      <c r="AH2873" s="12">
        <f>IF($J2873=0,0,ROUND(MAX($J2873*1.4*1.5*1.6*1.6*2.2*2.715*2.6*1.4*1.4*1.5*1.5*3.2,60500000000*(1.654288^(MIN($E2873,123)-117)))*1,0))</f>
        <v>1078614909</v>
      </c>
    </row>
    <row r="2874" ht="28" customHeight="1" spans="1:34" x14ac:dyDescent="0.25">
      <c r="A2874">
        <v>2884</v>
      </c>
      <c r="B2874" t="s">
        <v>83</v>
      </c>
      <c r="C2874" s="10" t="s">
        <v>1650</v>
      </c>
      <c r="D2874" t="s">
        <v>33</v>
      </c>
      <c r="E2874">
        <v>109</v>
      </c>
      <c r="F2874" t="s">
        <v>62</v>
      </c>
      <c r="G2874" t="s">
        <v>562</v>
      </c>
      <c r="H2874">
        <v>25</v>
      </c>
      <c r="I2874" s="11">
        <f>$E2874+0</f>
        <v>109</v>
      </c>
      <c r="J2874" s="12">
        <v>63200</v>
      </c>
      <c r="K2874" s="13">
        <f>$E2874+1</f>
        <v>110</v>
      </c>
      <c r="L2874" s="14">
        <f>IF($J2874=0,0,ROUND(MAX($J2874*1.4,1620000*(1.497923^(MIN($E2874,123)-117)))*1,0))</f>
        <v>88480</v>
      </c>
      <c r="M2874" s="11">
        <f>$E2874+2</f>
        <v>111</v>
      </c>
      <c r="N2874" s="12">
        <f>IF($J2874=0,0,ROUND(MAX($J2874*1.4*1.5,2190000*(1.580994^(MIN($E2874,123)-117)))*1,0))</f>
        <v>132720</v>
      </c>
      <c r="O2874" s="13">
        <f>$E2874+4</f>
        <v>113</v>
      </c>
      <c r="P2874" s="14">
        <f>IF($J2874=0,0,ROUND(MAX($J2874*1.4*1.5*1.6,3500000*(1.57975^(MIN($E2874,123)-117)))*1,0))</f>
        <v>212352</v>
      </c>
      <c r="Q2874" s="11">
        <f>$E2874+6</f>
        <v>115</v>
      </c>
      <c r="R2874" s="12">
        <f>IF($J2874=0,0,ROUND(MAX($J2874*1.4*1.5*1.6*1.6,13100000*(1.429962^(MIN($E2874,123)-117)))*1,0))</f>
        <v>749334</v>
      </c>
      <c r="S2874" s="13">
        <f>$E2874+8</f>
        <v>117</v>
      </c>
      <c r="T2874" s="14">
        <f>IF($J2874=0,0,ROUND(MAX($J2874*1.4*1.5*1.6*1.6*2.2,42600000*(1.576904^(MIN($E2874,123)-117)))*1,0))</f>
        <v>1114211</v>
      </c>
      <c r="U2874" s="11">
        <f>$E2874+11</f>
        <v>120</v>
      </c>
      <c r="V2874" s="12">
        <f>IF($J2874=0,0,ROUND(MAX($J2874*1.4*1.5*1.6*1.6*2.2*2.715,354000000*(1.642074^(MIN($E2874,123)-117)))*1,0))</f>
        <v>6696710</v>
      </c>
      <c r="W2874" s="13">
        <f>$E2874+15</f>
        <v>124</v>
      </c>
      <c r="X2874" s="14">
        <f>IF($J2874=0,0,ROUND(MAX($J2874*1.4*1.5*1.6*1.6*2.2*2.715*2.6,3540000000*(1.579646^(MIN($E2874,123)-117)))*1,0))</f>
        <v>91311418</v>
      </c>
      <c r="Y2874" s="11">
        <f>$E2874+17</f>
        <v>126</v>
      </c>
      <c r="Z2874" s="12">
        <f>IF($J2874=0,0,ROUND(MAX($J2874*1.4*1.5*1.6*1.6*2.2*2.715*2.6*1.4,6020000000*(1.651178^(MIN($E2874,123)-117)))*1,0))</f>
        <v>108954543</v>
      </c>
      <c r="AA2874" s="13">
        <f>$E2874+19</f>
        <v>128</v>
      </c>
      <c r="AB2874" s="14">
        <f>IF($J2874=0,0,ROUND(MAX($J2874*1.4*1.5*1.6*1.6*2.2*2.715*2.6*1.4*1.4,8430000000*(1.651435^(MIN($E2874,123)-117)))*1,0))</f>
        <v>152382712</v>
      </c>
      <c r="AC2874" s="11">
        <f>$E2874+21</f>
        <v>130</v>
      </c>
      <c r="AD2874" s="12">
        <f>IF($J2874=0,0,ROUND(MAX($J2874*1.4*1.5*1.6*1.6*2.2*2.715*2.6*1.4*1.4*1.5,12600000000*(1.652953^(MIN($E2874,123)-117)))*1,0))</f>
        <v>226092682</v>
      </c>
      <c r="AE2874" s="13">
        <f>$E2874+24</f>
        <v>133</v>
      </c>
      <c r="AF2874" s="14">
        <f>IF($J2874=0,0,ROUND(MAX($J2874*1.4*1.5*1.6*1.6*2.2*2.715*2.6*1.4*1.4*1.5*1.5,18900000000*(1.65331^(MIN($E2874,123)-117)))*1,0))</f>
        <v>338553621</v>
      </c>
      <c r="AG2874" s="11">
        <f>$E2874+27</f>
        <v>136</v>
      </c>
      <c r="AH2874" s="12">
        <f>IF($J2874=0,0,ROUND(MAX($J2874*1.4*1.5*1.6*1.6*2.2*2.715*2.6*1.4*1.4*1.5*1.5*3.2,60500000000*(1.654288^(MIN($E2874,123)-117)))*1,0))</f>
        <v>1078614909</v>
      </c>
    </row>
    <row r="2875" ht="28" customHeight="1" spans="1:34" x14ac:dyDescent="0.25">
      <c r="A2875">
        <v>2885</v>
      </c>
      <c r="B2875" t="s">
        <v>848</v>
      </c>
      <c r="C2875" s="10" t="s">
        <v>1650</v>
      </c>
      <c r="D2875" t="s">
        <v>47</v>
      </c>
      <c r="E2875">
        <v>109</v>
      </c>
      <c r="F2875" t="s">
        <v>34</v>
      </c>
      <c r="G2875" t="s">
        <v>35</v>
      </c>
      <c r="H2875">
        <v>23</v>
      </c>
      <c r="I2875" s="11">
        <f>$E2875+0</f>
        <v>109</v>
      </c>
      <c r="J2875" s="12">
        <v>77700</v>
      </c>
      <c r="K2875" s="13">
        <f>$E2875+1</f>
        <v>110</v>
      </c>
      <c r="L2875" s="14">
        <f>IF($J2875=0,0,ROUND(MAX($J2875*1.4,1620000*(1.497923^(MIN($E2875,123)-117)))*1,0))</f>
        <v>108780</v>
      </c>
      <c r="M2875" s="11">
        <f>$E2875+2</f>
        <v>111</v>
      </c>
      <c r="N2875" s="12">
        <f>IF($J2875=0,0,ROUND(MAX($J2875*1.4*1.5,2190000*(1.580994^(MIN($E2875,123)-117)))*1,0))</f>
        <v>163170</v>
      </c>
      <c r="O2875" s="13">
        <f>$E2875+4</f>
        <v>113</v>
      </c>
      <c r="P2875" s="14">
        <f>IF($J2875=0,0,ROUND(MAX($J2875*1.4*1.5*1.6,3500000*(1.57975^(MIN($E2875,123)-117)))*1,0))</f>
        <v>261072</v>
      </c>
      <c r="Q2875" s="11">
        <f>$E2875+6</f>
        <v>115</v>
      </c>
      <c r="R2875" s="12">
        <f>IF($J2875=0,0,ROUND(MAX($J2875*1.4*1.5*1.6*1.6,13100000*(1.429962^(MIN($E2875,123)-117)))*1,0))</f>
        <v>749334</v>
      </c>
      <c r="S2875" s="13">
        <f>$E2875+8</f>
        <v>117</v>
      </c>
      <c r="T2875" s="14">
        <f>IF($J2875=0,0,ROUND(MAX($J2875*1.4*1.5*1.6*1.6*2.2,42600000*(1.576904^(MIN($E2875,123)-117)))*1,0))</f>
        <v>1114211</v>
      </c>
      <c r="U2875" s="11">
        <f>$E2875+11</f>
        <v>120</v>
      </c>
      <c r="V2875" s="12">
        <f>IF($J2875=0,0,ROUND(MAX($J2875*1.4*1.5*1.6*1.6*2.2*2.715,354000000*(1.642074^(MIN($E2875,123)-117)))*1,0))</f>
        <v>6696710</v>
      </c>
      <c r="W2875" s="13">
        <f>$E2875+15</f>
        <v>124</v>
      </c>
      <c r="X2875" s="14">
        <f>IF($J2875=0,0,ROUND(MAX($J2875*1.4*1.5*1.6*1.6*2.2*2.715*2.6,3540000000*(1.579646^(MIN($E2875,123)-117)))*1,0))</f>
        <v>91311418</v>
      </c>
      <c r="Y2875" s="11">
        <f>$E2875+17</f>
        <v>126</v>
      </c>
      <c r="Z2875" s="12">
        <f>IF($J2875=0,0,ROUND(MAX($J2875*1.4*1.5*1.6*1.6*2.2*2.715*2.6*1.4,6020000000*(1.651178^(MIN($E2875,123)-117)))*1,0))</f>
        <v>108954543</v>
      </c>
      <c r="AA2875" s="13">
        <f>$E2875+19</f>
        <v>128</v>
      </c>
      <c r="AB2875" s="14">
        <f>IF($J2875=0,0,ROUND(MAX($J2875*1.4*1.5*1.6*1.6*2.2*2.715*2.6*1.4*1.4,8430000000*(1.651435^(MIN($E2875,123)-117)))*1,0))</f>
        <v>152382712</v>
      </c>
      <c r="AC2875" s="11">
        <f>$E2875+21</f>
        <v>130</v>
      </c>
      <c r="AD2875" s="12">
        <f>IF($J2875=0,0,ROUND(MAX($J2875*1.4*1.5*1.6*1.6*2.2*2.715*2.6*1.4*1.4*1.5,12600000000*(1.652953^(MIN($E2875,123)-117)))*1,0))</f>
        <v>226092682</v>
      </c>
      <c r="AE2875" s="13">
        <f>$E2875+24</f>
        <v>133</v>
      </c>
      <c r="AF2875" s="14">
        <f>IF($J2875=0,0,ROUND(MAX($J2875*1.4*1.5*1.6*1.6*2.2*2.715*2.6*1.4*1.4*1.5*1.5,18900000000*(1.65331^(MIN($E2875,123)-117)))*1,0))</f>
        <v>338553621</v>
      </c>
      <c r="AG2875" s="11">
        <f>$E2875+27</f>
        <v>136</v>
      </c>
      <c r="AH2875" s="12">
        <f>IF($J2875=0,0,ROUND(MAX($J2875*1.4*1.5*1.6*1.6*2.2*2.715*2.6*1.4*1.4*1.5*1.5*3.2,60500000000*(1.654288^(MIN($E2875,123)-117)))*1,0))</f>
        <v>1078614909</v>
      </c>
    </row>
    <row r="2876" ht="28" customHeight="1" spans="1:34" x14ac:dyDescent="0.25">
      <c r="A2876">
        <v>2886</v>
      </c>
      <c r="B2876" t="s">
        <v>149</v>
      </c>
      <c r="C2876" s="10" t="s">
        <v>1650</v>
      </c>
      <c r="D2876" t="s">
        <v>33</v>
      </c>
      <c r="E2876">
        <v>108</v>
      </c>
      <c r="F2876" t="s">
        <v>56</v>
      </c>
      <c r="G2876" t="s">
        <v>562</v>
      </c>
      <c r="H2876">
        <v>26</v>
      </c>
      <c r="I2876" s="11">
        <f>$E2876+0</f>
        <v>108</v>
      </c>
      <c r="J2876" s="12">
        <v>10700000</v>
      </c>
      <c r="K2876" s="13">
        <f>$E2876+1</f>
        <v>109</v>
      </c>
      <c r="L2876" s="14">
        <f>IF($J2876=0,0,ROUND(MAX($J2876*1.4,1620000*(1.497923^(MIN($E2876,123)-117)))*1,0))</f>
        <v>14980000</v>
      </c>
      <c r="M2876" s="11">
        <f>$E2876+2</f>
        <v>110</v>
      </c>
      <c r="N2876" s="12">
        <f>IF($J2876=0,0,ROUND(MAX($J2876*1.4*1.5,2190000*(1.580994^(MIN($E2876,123)-117)))*1,0))</f>
        <v>22470000</v>
      </c>
      <c r="O2876" s="13">
        <f>$E2876+4</f>
        <v>112</v>
      </c>
      <c r="P2876" s="14">
        <f>IF($J2876=0,0,ROUND(MAX($J2876*1.4*1.5*1.6,3500000*(1.57975^(MIN($E2876,123)-117)))*1,0))</f>
        <v>35952000</v>
      </c>
      <c r="Q2876" s="11">
        <f>$E2876+6</f>
        <v>114</v>
      </c>
      <c r="R2876" s="12">
        <f>IF($J2876=0,0,ROUND(MAX($J2876*1.4*1.5*1.6*1.6,13100000*(1.429962^(MIN($E2876,123)-117)))*1,0))</f>
        <v>57523200</v>
      </c>
      <c r="S2876" s="13">
        <f>$E2876+8</f>
        <v>116</v>
      </c>
      <c r="T2876" s="14">
        <f>IF($J2876=0,0,ROUND(MAX($J2876*1.4*1.5*1.6*1.6*2.2,42600000*(1.576904^(MIN($E2876,123)-117)))*1,0))</f>
        <v>126551040</v>
      </c>
      <c r="U2876" s="11">
        <f>$E2876+11</f>
        <v>119</v>
      </c>
      <c r="V2876" s="12">
        <f>IF($J2876=0,0,ROUND(MAX($J2876*1.4*1.5*1.6*1.6*2.2*2.715,354000000*(1.642074^(MIN($E2876,123)-117)))*1,0))</f>
        <v>343586074</v>
      </c>
      <c r="W2876" s="13">
        <f>$E2876+15</f>
        <v>123</v>
      </c>
      <c r="X2876" s="14">
        <f>IF($J2876=0,0,ROUND(MAX($J2876*1.4*1.5*1.6*1.6*2.2*2.715*2.6,3540000000*(1.579646^(MIN($E2876,123)-117)))*1,0))</f>
        <v>893323791</v>
      </c>
      <c r="Y2876" s="11">
        <f>$E2876+17</f>
        <v>125</v>
      </c>
      <c r="Z2876" s="12">
        <f>IF($J2876=0,0,ROUND(MAX($J2876*1.4*1.5*1.6*1.6*2.2*2.715*2.6*1.4,6020000000*(1.651178^(MIN($E2876,123)-117)))*1,0))</f>
        <v>1250653308</v>
      </c>
      <c r="AA2876" s="13">
        <f>$E2876+19</f>
        <v>127</v>
      </c>
      <c r="AB2876" s="14">
        <f>IF($J2876=0,0,ROUND(MAX($J2876*1.4*1.5*1.6*1.6*2.2*2.715*2.6*1.4*1.4,8430000000*(1.651435^(MIN($E2876,123)-117)))*1,0))</f>
        <v>1750914631</v>
      </c>
      <c r="AC2876" s="11">
        <f>$E2876+21</f>
        <v>129</v>
      </c>
      <c r="AD2876" s="12">
        <f>IF($J2876=0,0,ROUND(MAX($J2876*1.4*1.5*1.6*1.6*2.2*2.715*2.6*1.4*1.4*1.5,12600000000*(1.652953^(MIN($E2876,123)-117)))*1,0))</f>
        <v>2626371947</v>
      </c>
      <c r="AE2876" s="13">
        <f>$E2876+24</f>
        <v>132</v>
      </c>
      <c r="AF2876" s="14">
        <f>IF($J2876=0,0,ROUND(MAX($J2876*1.4*1.5*1.6*1.6*2.2*2.715*2.6*1.4*1.4*1.5*1.5,18900000000*(1.65331^(MIN($E2876,123)-117)))*1,0))</f>
        <v>3939557920</v>
      </c>
      <c r="AG2876" s="11">
        <f>$E2876+27</f>
        <v>135</v>
      </c>
      <c r="AH2876" s="12">
        <f>IF($J2876=0,0,ROUND(MAX($J2876*1.4*1.5*1.6*1.6*2.2*2.715*2.6*1.4*1.4*1.5*1.5*3.2,60500000000*(1.654288^(MIN($E2876,123)-117)))*1,0))</f>
        <v>12606585344</v>
      </c>
    </row>
    <row r="2877" ht="28" customHeight="1" spans="1:34" x14ac:dyDescent="0.25">
      <c r="A2877">
        <v>2887</v>
      </c>
      <c r="B2877" t="s">
        <v>175</v>
      </c>
      <c r="C2877" s="10" t="s">
        <v>1650</v>
      </c>
      <c r="D2877" t="s">
        <v>33</v>
      </c>
      <c r="E2877">
        <v>108</v>
      </c>
      <c r="F2877" t="s">
        <v>54</v>
      </c>
      <c r="G2877" t="s">
        <v>562</v>
      </c>
      <c r="H2877">
        <v>25</v>
      </c>
      <c r="I2877" s="11">
        <f>$E2877+0</f>
        <v>108</v>
      </c>
      <c r="J2877" s="12">
        <v>126000</v>
      </c>
      <c r="K2877" s="13">
        <f>$E2877+1</f>
        <v>109</v>
      </c>
      <c r="L2877" s="14">
        <f>IF($J2877=0,0,ROUND(MAX($J2877*1.4,1620000*(1.497923^(MIN($E2877,123)-117)))*1,0))</f>
        <v>176400</v>
      </c>
      <c r="M2877" s="11">
        <f>$E2877+2</f>
        <v>110</v>
      </c>
      <c r="N2877" s="12">
        <f>IF($J2877=0,0,ROUND(MAX($J2877*1.4*1.5,2190000*(1.580994^(MIN($E2877,123)-117)))*1,0))</f>
        <v>264600</v>
      </c>
      <c r="O2877" s="13">
        <f>$E2877+4</f>
        <v>112</v>
      </c>
      <c r="P2877" s="14">
        <f>IF($J2877=0,0,ROUND(MAX($J2877*1.4*1.5*1.6,3500000*(1.57975^(MIN($E2877,123)-117)))*1,0))</f>
        <v>423360</v>
      </c>
      <c r="Q2877" s="11">
        <f>$E2877+6</f>
        <v>114</v>
      </c>
      <c r="R2877" s="12">
        <f>IF($J2877=0,0,ROUND(MAX($J2877*1.4*1.5*1.6*1.6,13100000*(1.429962^(MIN($E2877,123)-117)))*1,0))</f>
        <v>677376</v>
      </c>
      <c r="S2877" s="13">
        <f>$E2877+8</f>
        <v>116</v>
      </c>
      <c r="T2877" s="14">
        <f>IF($J2877=0,0,ROUND(MAX($J2877*1.4*1.5*1.6*1.6*2.2,42600000*(1.576904^(MIN($E2877,123)-117)))*1,0))</f>
        <v>1490227</v>
      </c>
      <c r="U2877" s="11">
        <f>$E2877+11</f>
        <v>119</v>
      </c>
      <c r="V2877" s="12">
        <f>IF($J2877=0,0,ROUND(MAX($J2877*1.4*1.5*1.6*1.6*2.2*2.715,354000000*(1.642074^(MIN($E2877,123)-117)))*1,0))</f>
        <v>4078202</v>
      </c>
      <c r="W2877" s="13">
        <f>$E2877+15</f>
        <v>123</v>
      </c>
      <c r="X2877" s="14">
        <f>IF($J2877=0,0,ROUND(MAX($J2877*1.4*1.5*1.6*1.6*2.2*2.715*2.6,3540000000*(1.579646^(MIN($E2877,123)-117)))*1,0))</f>
        <v>57804988</v>
      </c>
      <c r="Y2877" s="11">
        <f>$E2877+17</f>
        <v>125</v>
      </c>
      <c r="Z2877" s="12">
        <f>IF($J2877=0,0,ROUND(MAX($J2877*1.4*1.5*1.6*1.6*2.2*2.715*2.6*1.4,6020000000*(1.651178^(MIN($E2877,123)-117)))*1,0))</f>
        <v>65985946</v>
      </c>
      <c r="AA2877" s="13">
        <f>$E2877+19</f>
        <v>127</v>
      </c>
      <c r="AB2877" s="14">
        <f>IF($J2877=0,0,ROUND(MAX($J2877*1.4*1.5*1.6*1.6*2.2*2.715*2.6*1.4*1.4,8430000000*(1.651435^(MIN($E2877,123)-117)))*1,0))</f>
        <v>92272909</v>
      </c>
      <c r="AC2877" s="11">
        <f>$E2877+21</f>
        <v>129</v>
      </c>
      <c r="AD2877" s="12">
        <f>IF($J2877=0,0,ROUND(MAX($J2877*1.4*1.5*1.6*1.6*2.2*2.715*2.6*1.4*1.4*1.5,12600000000*(1.652953^(MIN($E2877,123)-117)))*1,0))</f>
        <v>136781071</v>
      </c>
      <c r="AE2877" s="13">
        <f>$E2877+24</f>
        <v>132</v>
      </c>
      <c r="AF2877" s="14">
        <f>IF($J2877=0,0,ROUND(MAX($J2877*1.4*1.5*1.6*1.6*2.2*2.715*2.6*1.4*1.4*1.5*1.5,18900000000*(1.65331^(MIN($E2877,123)-117)))*1,0))</f>
        <v>204773225</v>
      </c>
      <c r="AG2877" s="11">
        <f>$E2877+27</f>
        <v>135</v>
      </c>
      <c r="AH2877" s="12">
        <f>IF($J2877=0,0,ROUND(MAX($J2877*1.4*1.5*1.6*1.6*2.2*2.715*2.6*1.4*1.4*1.5*1.5*3.2,60500000000*(1.654288^(MIN($E2877,123)-117)))*1,0))</f>
        <v>652011566</v>
      </c>
    </row>
    <row r="2878" ht="28" customHeight="1" spans="1:34" x14ac:dyDescent="0.25">
      <c r="A2878">
        <v>2888</v>
      </c>
      <c r="B2878" t="s">
        <v>1121</v>
      </c>
      <c r="C2878" s="10" t="s">
        <v>1650</v>
      </c>
      <c r="D2878" t="s">
        <v>79</v>
      </c>
      <c r="E2878">
        <v>108</v>
      </c>
      <c r="F2878" t="s">
        <v>54</v>
      </c>
      <c r="G2878" t="s">
        <v>206</v>
      </c>
      <c r="H2878">
        <v>25</v>
      </c>
      <c r="I2878" s="11">
        <f>$E2878+0</f>
        <v>108</v>
      </c>
      <c r="J2878" s="12">
        <v>6000000</v>
      </c>
      <c r="K2878" s="13">
        <f>$E2878+1</f>
        <v>109</v>
      </c>
      <c r="L2878" s="14">
        <f>IF($J2878=0,0,ROUND(MAX($J2878*1.4,1620000*(1.497923^(MIN($E2878,123)-117)))*1,0))</f>
        <v>8400000</v>
      </c>
      <c r="M2878" s="11">
        <f>$E2878+2</f>
        <v>110</v>
      </c>
      <c r="N2878" s="12">
        <f>IF($J2878=0,0,ROUND(MAX($J2878*1.4*1.5,2190000*(1.580994^(MIN($E2878,123)-117)))*1,0))</f>
        <v>12600000</v>
      </c>
      <c r="O2878" s="13">
        <f>$E2878+4</f>
        <v>112</v>
      </c>
      <c r="P2878" s="14">
        <f>IF($J2878=0,0,ROUND(MAX($J2878*1.4*1.5*1.6,3500000*(1.57975^(MIN($E2878,123)-117)))*1,0))</f>
        <v>20160000</v>
      </c>
      <c r="Q2878" s="11">
        <f>$E2878+6</f>
        <v>114</v>
      </c>
      <c r="R2878" s="12">
        <f>IF($J2878=0,0,ROUND(MAX($J2878*1.4*1.5*1.6*1.6,13100000*(1.429962^(MIN($E2878,123)-117)))*1,0))</f>
        <v>32256000</v>
      </c>
      <c r="S2878" s="13">
        <f>$E2878+8</f>
        <v>116</v>
      </c>
      <c r="T2878" s="14">
        <f>IF($J2878=0,0,ROUND(MAX($J2878*1.4*1.5*1.6*1.6*2.2,42600000*(1.576904^(MIN($E2878,123)-117)))*1,0))</f>
        <v>70963200</v>
      </c>
      <c r="U2878" s="11">
        <f>$E2878+11</f>
        <v>119</v>
      </c>
      <c r="V2878" s="12">
        <f>IF($J2878=0,0,ROUND(MAX($J2878*1.4*1.5*1.6*1.6*2.2*2.715,354000000*(1.642074^(MIN($E2878,123)-117)))*1,0))</f>
        <v>192665088</v>
      </c>
      <c r="W2878" s="13">
        <f>$E2878+15</f>
        <v>123</v>
      </c>
      <c r="X2878" s="14">
        <f>IF($J2878=0,0,ROUND(MAX($J2878*1.4*1.5*1.6*1.6*2.2*2.715*2.6,3540000000*(1.579646^(MIN($E2878,123)-117)))*1,0))</f>
        <v>500929229</v>
      </c>
      <c r="Y2878" s="11">
        <f>$E2878+17</f>
        <v>125</v>
      </c>
      <c r="Z2878" s="12">
        <f>IF($J2878=0,0,ROUND(MAX($J2878*1.4*1.5*1.6*1.6*2.2*2.715*2.6*1.4,6020000000*(1.651178^(MIN($E2878,123)-117)))*1,0))</f>
        <v>701300920</v>
      </c>
      <c r="AA2878" s="13">
        <f>$E2878+19</f>
        <v>127</v>
      </c>
      <c r="AB2878" s="14">
        <f>IF($J2878=0,0,ROUND(MAX($J2878*1.4*1.5*1.6*1.6*2.2*2.715*2.6*1.4*1.4,8430000000*(1.651435^(MIN($E2878,123)-117)))*1,0))</f>
        <v>981821288</v>
      </c>
      <c r="AC2878" s="11">
        <f>$E2878+21</f>
        <v>129</v>
      </c>
      <c r="AD2878" s="12">
        <f>IF($J2878=0,0,ROUND(MAX($J2878*1.4*1.5*1.6*1.6*2.2*2.715*2.6*1.4*1.4*1.5,12600000000*(1.652953^(MIN($E2878,123)-117)))*1,0))</f>
        <v>1472731933</v>
      </c>
      <c r="AE2878" s="13">
        <f>$E2878+24</f>
        <v>132</v>
      </c>
      <c r="AF2878" s="14">
        <f>IF($J2878=0,0,ROUND(MAX($J2878*1.4*1.5*1.6*1.6*2.2*2.715*2.6*1.4*1.4*1.5*1.5,18900000000*(1.65331^(MIN($E2878,123)-117)))*1,0))</f>
        <v>2209097899</v>
      </c>
      <c r="AG2878" s="11">
        <f>$E2878+27</f>
        <v>135</v>
      </c>
      <c r="AH2878" s="12">
        <f>IF($J2878=0,0,ROUND(MAX($J2878*1.4*1.5*1.6*1.6*2.2*2.715*2.6*1.4*1.4*1.5*1.5*3.2,60500000000*(1.654288^(MIN($E2878,123)-117)))*1,0))</f>
        <v>7069113277</v>
      </c>
    </row>
    <row r="2879" ht="28" customHeight="1" spans="1:34" x14ac:dyDescent="0.25">
      <c r="A2879">
        <v>2889</v>
      </c>
      <c r="B2879" t="s">
        <v>157</v>
      </c>
      <c r="C2879" s="10" t="s">
        <v>1650</v>
      </c>
      <c r="D2879" t="s">
        <v>40</v>
      </c>
      <c r="E2879">
        <v>108</v>
      </c>
      <c r="F2879" t="s">
        <v>71</v>
      </c>
      <c r="G2879" t="s">
        <v>562</v>
      </c>
      <c r="H2879">
        <v>25</v>
      </c>
      <c r="I2879" s="11">
        <f>$E2879+0</f>
        <v>108</v>
      </c>
      <c r="J2879" s="12">
        <v>90000</v>
      </c>
      <c r="K2879" s="13">
        <f>$E2879+1</f>
        <v>109</v>
      </c>
      <c r="L2879" s="14">
        <f>IF($J2879=0,0,ROUND(MAX($J2879*1.4,1620000*(1.497923^(MIN($E2879,123)-117)))*1,0))</f>
        <v>126000</v>
      </c>
      <c r="M2879" s="11">
        <f>$E2879+2</f>
        <v>110</v>
      </c>
      <c r="N2879" s="12">
        <f>IF($J2879=0,0,ROUND(MAX($J2879*1.4*1.5,2190000*(1.580994^(MIN($E2879,123)-117)))*1,0))</f>
        <v>189000</v>
      </c>
      <c r="O2879" s="13">
        <f>$E2879+4</f>
        <v>112</v>
      </c>
      <c r="P2879" s="14">
        <f>IF($J2879=0,0,ROUND(MAX($J2879*1.4*1.5*1.6,3500000*(1.57975^(MIN($E2879,123)-117)))*1,0))</f>
        <v>302400</v>
      </c>
      <c r="Q2879" s="11">
        <f>$E2879+6</f>
        <v>114</v>
      </c>
      <c r="R2879" s="12">
        <f>IF($J2879=0,0,ROUND(MAX($J2879*1.4*1.5*1.6*1.6,13100000*(1.429962^(MIN($E2879,123)-117)))*1,0))</f>
        <v>524024</v>
      </c>
      <c r="S2879" s="13">
        <f>$E2879+8</f>
        <v>116</v>
      </c>
      <c r="T2879" s="14">
        <f>IF($J2879=0,0,ROUND(MAX($J2879*1.4*1.5*1.6*1.6*2.2,42600000*(1.576904^(MIN($E2879,123)-117)))*1,0))</f>
        <v>1064448</v>
      </c>
      <c r="U2879" s="11">
        <f>$E2879+11</f>
        <v>119</v>
      </c>
      <c r="V2879" s="12">
        <f>IF($J2879=0,0,ROUND(MAX($J2879*1.4*1.5*1.6*1.6*2.2*2.715,354000000*(1.642074^(MIN($E2879,123)-117)))*1,0))</f>
        <v>4078202</v>
      </c>
      <c r="W2879" s="13">
        <f>$E2879+15</f>
        <v>123</v>
      </c>
      <c r="X2879" s="14">
        <f>IF($J2879=0,0,ROUND(MAX($J2879*1.4*1.5*1.6*1.6*2.2*2.715*2.6,3540000000*(1.579646^(MIN($E2879,123)-117)))*1,0))</f>
        <v>57804988</v>
      </c>
      <c r="Y2879" s="11">
        <f>$E2879+17</f>
        <v>125</v>
      </c>
      <c r="Z2879" s="12">
        <f>IF($J2879=0,0,ROUND(MAX($J2879*1.4*1.5*1.6*1.6*2.2*2.715*2.6*1.4,6020000000*(1.651178^(MIN($E2879,123)-117)))*1,0))</f>
        <v>65985946</v>
      </c>
      <c r="AA2879" s="13">
        <f>$E2879+19</f>
        <v>127</v>
      </c>
      <c r="AB2879" s="14">
        <f>IF($J2879=0,0,ROUND(MAX($J2879*1.4*1.5*1.6*1.6*2.2*2.715*2.6*1.4*1.4,8430000000*(1.651435^(MIN($E2879,123)-117)))*1,0))</f>
        <v>92272909</v>
      </c>
      <c r="AC2879" s="11">
        <f>$E2879+21</f>
        <v>129</v>
      </c>
      <c r="AD2879" s="12">
        <f>IF($J2879=0,0,ROUND(MAX($J2879*1.4*1.5*1.6*1.6*2.2*2.715*2.6*1.4*1.4*1.5,12600000000*(1.652953^(MIN($E2879,123)-117)))*1,0))</f>
        <v>136781071</v>
      </c>
      <c r="AE2879" s="13">
        <f>$E2879+24</f>
        <v>132</v>
      </c>
      <c r="AF2879" s="14">
        <f>IF($J2879=0,0,ROUND(MAX($J2879*1.4*1.5*1.6*1.6*2.2*2.715*2.6*1.4*1.4*1.5*1.5,18900000000*(1.65331^(MIN($E2879,123)-117)))*1,0))</f>
        <v>204773225</v>
      </c>
      <c r="AG2879" s="11">
        <f>$E2879+27</f>
        <v>135</v>
      </c>
      <c r="AH2879" s="12">
        <f>IF($J2879=0,0,ROUND(MAX($J2879*1.4*1.5*1.6*1.6*2.2*2.715*2.6*1.4*1.4*1.5*1.5*3.2,60500000000*(1.654288^(MIN($E2879,123)-117)))*1,0))</f>
        <v>652011566</v>
      </c>
    </row>
    <row r="2880" ht="28" customHeight="1" spans="1:34" x14ac:dyDescent="0.25">
      <c r="A2880">
        <v>2890</v>
      </c>
      <c r="B2880" t="s">
        <v>534</v>
      </c>
      <c r="C2880" s="10" t="s">
        <v>1650</v>
      </c>
      <c r="D2880" t="s">
        <v>79</v>
      </c>
      <c r="E2880">
        <v>108</v>
      </c>
      <c r="F2880" t="s">
        <v>310</v>
      </c>
      <c r="G2880" t="s">
        <v>562</v>
      </c>
      <c r="H2880">
        <v>25</v>
      </c>
      <c r="I2880" s="11">
        <f>$E2880+0</f>
        <v>108</v>
      </c>
      <c r="J2880" s="12">
        <v>38500000</v>
      </c>
      <c r="K2880" s="13">
        <f>$E2880+1</f>
        <v>109</v>
      </c>
      <c r="L2880" s="14">
        <f>IF($J2880=0,0,ROUND(MAX($J2880*1.4,1620000*(1.497923^(MIN($E2880,123)-117)))*1,0))</f>
        <v>53900000</v>
      </c>
      <c r="M2880" s="11">
        <f>$E2880+2</f>
        <v>110</v>
      </c>
      <c r="N2880" s="12">
        <f>IF($J2880=0,0,ROUND(MAX($J2880*1.4*1.5,2190000*(1.580994^(MIN($E2880,123)-117)))*1,0))</f>
        <v>80850000</v>
      </c>
      <c r="O2880" s="13">
        <f>$E2880+4</f>
        <v>112</v>
      </c>
      <c r="P2880" s="14">
        <f>IF($J2880=0,0,ROUND(MAX($J2880*1.4*1.5*1.6,3500000*(1.57975^(MIN($E2880,123)-117)))*1,0))</f>
        <v>129360000</v>
      </c>
      <c r="Q2880" s="11">
        <f>$E2880+6</f>
        <v>114</v>
      </c>
      <c r="R2880" s="12">
        <f>IF($J2880=0,0,ROUND(MAX($J2880*1.4*1.5*1.6*1.6,13100000*(1.429962^(MIN($E2880,123)-117)))*1,0))</f>
        <v>206976000</v>
      </c>
      <c r="S2880" s="13">
        <f>$E2880+8</f>
        <v>116</v>
      </c>
      <c r="T2880" s="14">
        <f>IF($J2880=0,0,ROUND(MAX($J2880*1.4*1.5*1.6*1.6*2.2,42600000*(1.576904^(MIN($E2880,123)-117)))*1,0))</f>
        <v>455347200</v>
      </c>
      <c r="U2880" s="11">
        <f>$E2880+11</f>
        <v>119</v>
      </c>
      <c r="V2880" s="12">
        <f>IF($J2880=0,0,ROUND(MAX($J2880*1.4*1.5*1.6*1.6*2.2*2.715,354000000*(1.642074^(MIN($E2880,123)-117)))*1,0))</f>
        <v>1236267648</v>
      </c>
      <c r="W2880" s="13">
        <f>$E2880+15</f>
        <v>123</v>
      </c>
      <c r="X2880" s="14">
        <f>IF($J2880=0,0,ROUND(MAX($J2880*1.4*1.5*1.6*1.6*2.2*2.715*2.6,3540000000*(1.579646^(MIN($E2880,123)-117)))*1,0))</f>
        <v>3214295885</v>
      </c>
      <c r="Y2880" s="11">
        <f>$E2880+17</f>
        <v>125</v>
      </c>
      <c r="Z2880" s="12">
        <f>IF($J2880=0,0,ROUND(MAX($J2880*1.4*1.5*1.6*1.6*2.2*2.715*2.6*1.4,6020000000*(1.651178^(MIN($E2880,123)-117)))*1,0))</f>
        <v>4500014239</v>
      </c>
      <c r="AA2880" s="13">
        <f>$E2880+19</f>
        <v>127</v>
      </c>
      <c r="AB2880" s="14">
        <f>IF($J2880=0,0,ROUND(MAX($J2880*1.4*1.5*1.6*1.6*2.2*2.715*2.6*1.4*1.4,8430000000*(1.651435^(MIN($E2880,123)-117)))*1,0))</f>
        <v>6300019934</v>
      </c>
      <c r="AC2880" s="11">
        <f>$E2880+21</f>
        <v>129</v>
      </c>
      <c r="AD2880" s="12">
        <f>IF($J2880=0,0,ROUND(MAX($J2880*1.4*1.5*1.6*1.6*2.2*2.715*2.6*1.4*1.4*1.5,12600000000*(1.652953^(MIN($E2880,123)-117)))*1,0))</f>
        <v>9450029901</v>
      </c>
      <c r="AE2880" s="13">
        <f>$E2880+24</f>
        <v>132</v>
      </c>
      <c r="AF2880" s="14">
        <f>IF($J2880=0,0,ROUND(MAX($J2880*1.4*1.5*1.6*1.6*2.2*2.715*2.6*1.4*1.4*1.5*1.5,18900000000*(1.65331^(MIN($E2880,123)-117)))*1,0))</f>
        <v>14175044852</v>
      </c>
      <c r="AG2880" s="11">
        <f>$E2880+27</f>
        <v>135</v>
      </c>
      <c r="AH2880" s="12">
        <f>IF($J2880=0,0,ROUND(MAX($J2880*1.4*1.5*1.6*1.6*2.2*2.715*2.6*1.4*1.4*1.5*1.5*3.2,60500000000*(1.654288^(MIN($E2880,123)-117)))*1,0))</f>
        <v>45360143526</v>
      </c>
    </row>
    <row r="2881" ht="28" customHeight="1" spans="1:34" x14ac:dyDescent="0.25">
      <c r="A2881">
        <v>2891</v>
      </c>
      <c r="B2881" t="s">
        <v>163</v>
      </c>
      <c r="C2881" s="10" t="s">
        <v>1650</v>
      </c>
      <c r="D2881" t="s">
        <v>40</v>
      </c>
      <c r="E2881">
        <v>108</v>
      </c>
      <c r="F2881" t="s">
        <v>71</v>
      </c>
      <c r="G2881" t="s">
        <v>562</v>
      </c>
      <c r="H2881">
        <v>25</v>
      </c>
      <c r="I2881" s="11">
        <f>$E2881+0</f>
        <v>108</v>
      </c>
      <c r="J2881" s="12">
        <v>10000</v>
      </c>
      <c r="K2881" s="13">
        <f>$E2881+1</f>
        <v>109</v>
      </c>
      <c r="L2881" s="14">
        <f>IF($J2881=0,0,ROUND(MAX($J2881*1.4,1620000*(1.497923^(MIN($E2881,123)-117)))*1,0))</f>
        <v>42669</v>
      </c>
      <c r="M2881" s="11">
        <f>$E2881+2</f>
        <v>110</v>
      </c>
      <c r="N2881" s="12">
        <f>IF($J2881=0,0,ROUND(MAX($J2881*1.4*1.5,2190000*(1.580994^(MIN($E2881,123)-117)))*1,0))</f>
        <v>35487</v>
      </c>
      <c r="O2881" s="13">
        <f>$E2881+4</f>
        <v>112</v>
      </c>
      <c r="P2881" s="14">
        <f>IF($J2881=0,0,ROUND(MAX($J2881*1.4*1.5*1.6,3500000*(1.57975^(MIN($E2881,123)-117)))*1,0))</f>
        <v>57118</v>
      </c>
      <c r="Q2881" s="11">
        <f>$E2881+6</f>
        <v>114</v>
      </c>
      <c r="R2881" s="12">
        <f>IF($J2881=0,0,ROUND(MAX($J2881*1.4*1.5*1.6*1.6,13100000*(1.429962^(MIN($E2881,123)-117)))*1,0))</f>
        <v>524024</v>
      </c>
      <c r="S2881" s="13">
        <f>$E2881+8</f>
        <v>116</v>
      </c>
      <c r="T2881" s="14">
        <f>IF($J2881=0,0,ROUND(MAX($J2881*1.4*1.5*1.6*1.6*2.2,42600000*(1.576904^(MIN($E2881,123)-117)))*1,0))</f>
        <v>706582</v>
      </c>
      <c r="U2881" s="11">
        <f>$E2881+11</f>
        <v>119</v>
      </c>
      <c r="V2881" s="12">
        <f>IF($J2881=0,0,ROUND(MAX($J2881*1.4*1.5*1.6*1.6*2.2*2.715,354000000*(1.642074^(MIN($E2881,123)-117)))*1,0))</f>
        <v>4078202</v>
      </c>
      <c r="W2881" s="13">
        <f>$E2881+15</f>
        <v>123</v>
      </c>
      <c r="X2881" s="14">
        <f>IF($J2881=0,0,ROUND(MAX($J2881*1.4*1.5*1.6*1.6*2.2*2.715*2.6,3540000000*(1.579646^(MIN($E2881,123)-117)))*1,0))</f>
        <v>57804988</v>
      </c>
      <c r="Y2881" s="11">
        <f>$E2881+17</f>
        <v>125</v>
      </c>
      <c r="Z2881" s="12">
        <f>IF($J2881=0,0,ROUND(MAX($J2881*1.4*1.5*1.6*1.6*2.2*2.715*2.6*1.4,6020000000*(1.651178^(MIN($E2881,123)-117)))*1,0))</f>
        <v>65985946</v>
      </c>
      <c r="AA2881" s="13">
        <f>$E2881+19</f>
        <v>127</v>
      </c>
      <c r="AB2881" s="14">
        <f>IF($J2881=0,0,ROUND(MAX($J2881*1.4*1.5*1.6*1.6*2.2*2.715*2.6*1.4*1.4,8430000000*(1.651435^(MIN($E2881,123)-117)))*1,0))</f>
        <v>92272909</v>
      </c>
      <c r="AC2881" s="11">
        <f>$E2881+21</f>
        <v>129</v>
      </c>
      <c r="AD2881" s="12">
        <f>IF($J2881=0,0,ROUND(MAX($J2881*1.4*1.5*1.6*1.6*2.2*2.715*2.6*1.4*1.4*1.5,12600000000*(1.652953^(MIN($E2881,123)-117)))*1,0))</f>
        <v>136781071</v>
      </c>
      <c r="AE2881" s="13">
        <f>$E2881+24</f>
        <v>132</v>
      </c>
      <c r="AF2881" s="14">
        <f>IF($J2881=0,0,ROUND(MAX($J2881*1.4*1.5*1.6*1.6*2.2*2.715*2.6*1.4*1.4*1.5*1.5,18900000000*(1.65331^(MIN($E2881,123)-117)))*1,0))</f>
        <v>204773225</v>
      </c>
      <c r="AG2881" s="11">
        <f>$E2881+27</f>
        <v>135</v>
      </c>
      <c r="AH2881" s="12">
        <f>IF($J2881=0,0,ROUND(MAX($J2881*1.4*1.5*1.6*1.6*2.2*2.715*2.6*1.4*1.4*1.5*1.5*3.2,60500000000*(1.654288^(MIN($E2881,123)-117)))*1,0))</f>
        <v>652011566</v>
      </c>
    </row>
    <row r="2882" ht="28" customHeight="1" spans="1:34" x14ac:dyDescent="0.25">
      <c r="A2882">
        <v>2892</v>
      </c>
      <c r="B2882" t="s">
        <v>950</v>
      </c>
      <c r="C2882" s="10" t="s">
        <v>1650</v>
      </c>
      <c r="D2882" t="s">
        <v>64</v>
      </c>
      <c r="E2882">
        <v>108</v>
      </c>
      <c r="F2882" t="s">
        <v>71</v>
      </c>
      <c r="G2882" t="s">
        <v>562</v>
      </c>
      <c r="H2882">
        <v>25</v>
      </c>
      <c r="I2882" s="11">
        <f>$E2882+0</f>
        <v>108</v>
      </c>
      <c r="J2882" s="12">
        <v>37800</v>
      </c>
      <c r="K2882" s="13">
        <f>$E2882+1</f>
        <v>109</v>
      </c>
      <c r="L2882" s="14">
        <f>IF($J2882=0,0,ROUND(MAX($J2882*1.4,1620000*(1.497923^(MIN($E2882,123)-117)))*1,0))</f>
        <v>52920</v>
      </c>
      <c r="M2882" s="11">
        <f>$E2882+2</f>
        <v>110</v>
      </c>
      <c r="N2882" s="12">
        <f>IF($J2882=0,0,ROUND(MAX($J2882*1.4*1.5,2190000*(1.580994^(MIN($E2882,123)-117)))*1,0))</f>
        <v>79380</v>
      </c>
      <c r="O2882" s="13">
        <f>$E2882+4</f>
        <v>112</v>
      </c>
      <c r="P2882" s="14">
        <f>IF($J2882=0,0,ROUND(MAX($J2882*1.4*1.5*1.6,3500000*(1.57975^(MIN($E2882,123)-117)))*1,0))</f>
        <v>127008</v>
      </c>
      <c r="Q2882" s="11">
        <f>$E2882+6</f>
        <v>114</v>
      </c>
      <c r="R2882" s="12">
        <f>IF($J2882=0,0,ROUND(MAX($J2882*1.4*1.5*1.6*1.6,13100000*(1.429962^(MIN($E2882,123)-117)))*1,0))</f>
        <v>524024</v>
      </c>
      <c r="S2882" s="13">
        <f>$E2882+8</f>
        <v>116</v>
      </c>
      <c r="T2882" s="14">
        <f>IF($J2882=0,0,ROUND(MAX($J2882*1.4*1.5*1.6*1.6*2.2,42600000*(1.576904^(MIN($E2882,123)-117)))*1,0))</f>
        <v>706582</v>
      </c>
      <c r="U2882" s="11">
        <f>$E2882+11</f>
        <v>119</v>
      </c>
      <c r="V2882" s="12">
        <f>IF($J2882=0,0,ROUND(MAX($J2882*1.4*1.5*1.6*1.6*2.2*2.715,354000000*(1.642074^(MIN($E2882,123)-117)))*1,0))</f>
        <v>4078202</v>
      </c>
      <c r="W2882" s="13">
        <f>$E2882+15</f>
        <v>123</v>
      </c>
      <c r="X2882" s="14">
        <f>IF($J2882=0,0,ROUND(MAX($J2882*1.4*1.5*1.6*1.6*2.2*2.715*2.6,3540000000*(1.579646^(MIN($E2882,123)-117)))*1,0))</f>
        <v>57804988</v>
      </c>
      <c r="Y2882" s="11">
        <f>$E2882+17</f>
        <v>125</v>
      </c>
      <c r="Z2882" s="12">
        <f>IF($J2882=0,0,ROUND(MAX($J2882*1.4*1.5*1.6*1.6*2.2*2.715*2.6*1.4,6020000000*(1.651178^(MIN($E2882,123)-117)))*1,0))</f>
        <v>65985946</v>
      </c>
      <c r="AA2882" s="13">
        <f>$E2882+19</f>
        <v>127</v>
      </c>
      <c r="AB2882" s="14">
        <f>IF($J2882=0,0,ROUND(MAX($J2882*1.4*1.5*1.6*1.6*2.2*2.715*2.6*1.4*1.4,8430000000*(1.651435^(MIN($E2882,123)-117)))*1,0))</f>
        <v>92272909</v>
      </c>
      <c r="AC2882" s="11">
        <f>$E2882+21</f>
        <v>129</v>
      </c>
      <c r="AD2882" s="12">
        <f>IF($J2882=0,0,ROUND(MAX($J2882*1.4*1.5*1.6*1.6*2.2*2.715*2.6*1.4*1.4*1.5,12600000000*(1.652953^(MIN($E2882,123)-117)))*1,0))</f>
        <v>136781071</v>
      </c>
      <c r="AE2882" s="13">
        <f>$E2882+24</f>
        <v>132</v>
      </c>
      <c r="AF2882" s="14">
        <f>IF($J2882=0,0,ROUND(MAX($J2882*1.4*1.5*1.6*1.6*2.2*2.715*2.6*1.4*1.4*1.5*1.5,18900000000*(1.65331^(MIN($E2882,123)-117)))*1,0))</f>
        <v>204773225</v>
      </c>
      <c r="AG2882" s="11">
        <f>$E2882+27</f>
        <v>135</v>
      </c>
      <c r="AH2882" s="12">
        <f>IF($J2882=0,0,ROUND(MAX($J2882*1.4*1.5*1.6*1.6*2.2*2.715*2.6*1.4*1.4*1.5*1.5*3.2,60500000000*(1.654288^(MIN($E2882,123)-117)))*1,0))</f>
        <v>652011566</v>
      </c>
    </row>
    <row r="2883" ht="28" customHeight="1" spans="1:34" x14ac:dyDescent="0.25">
      <c r="A2883">
        <v>2893</v>
      </c>
      <c r="B2883" t="s">
        <v>140</v>
      </c>
      <c r="C2883" s="10" t="s">
        <v>1650</v>
      </c>
      <c r="D2883" t="s">
        <v>40</v>
      </c>
      <c r="E2883">
        <v>108</v>
      </c>
      <c r="F2883" t="s">
        <v>56</v>
      </c>
      <c r="G2883" t="s">
        <v>562</v>
      </c>
      <c r="H2883">
        <v>25</v>
      </c>
      <c r="I2883" s="11">
        <f>$E2883+0</f>
        <v>108</v>
      </c>
      <c r="J2883" s="12">
        <v>125000</v>
      </c>
      <c r="K2883" s="13">
        <f>$E2883+1</f>
        <v>109</v>
      </c>
      <c r="L2883" s="14">
        <f>IF($J2883=0,0,ROUND(MAX($J2883*1.4,1620000*(1.497923^(MIN($E2883,123)-117)))*1,0))</f>
        <v>175000</v>
      </c>
      <c r="M2883" s="11">
        <f>$E2883+2</f>
        <v>110</v>
      </c>
      <c r="N2883" s="12">
        <f>IF($J2883=0,0,ROUND(MAX($J2883*1.4*1.5,2190000*(1.580994^(MIN($E2883,123)-117)))*1,0))</f>
        <v>262500</v>
      </c>
      <c r="O2883" s="13">
        <f>$E2883+4</f>
        <v>112</v>
      </c>
      <c r="P2883" s="14">
        <f>IF($J2883=0,0,ROUND(MAX($J2883*1.4*1.5*1.6,3500000*(1.57975^(MIN($E2883,123)-117)))*1,0))</f>
        <v>420000</v>
      </c>
      <c r="Q2883" s="11">
        <f>$E2883+6</f>
        <v>114</v>
      </c>
      <c r="R2883" s="12">
        <f>IF($J2883=0,0,ROUND(MAX($J2883*1.4*1.5*1.6*1.6,13100000*(1.429962^(MIN($E2883,123)-117)))*1,0))</f>
        <v>672000</v>
      </c>
      <c r="S2883" s="13">
        <f>$E2883+8</f>
        <v>116</v>
      </c>
      <c r="T2883" s="14">
        <f>IF($J2883=0,0,ROUND(MAX($J2883*1.4*1.5*1.6*1.6*2.2,42600000*(1.576904^(MIN($E2883,123)-117)))*1,0))</f>
        <v>1478400</v>
      </c>
      <c r="U2883" s="11">
        <f>$E2883+11</f>
        <v>119</v>
      </c>
      <c r="V2883" s="12">
        <f>IF($J2883=0,0,ROUND(MAX($J2883*1.4*1.5*1.6*1.6*2.2*2.715,354000000*(1.642074^(MIN($E2883,123)-117)))*1,0))</f>
        <v>4078202</v>
      </c>
      <c r="W2883" s="13">
        <f>$E2883+15</f>
        <v>123</v>
      </c>
      <c r="X2883" s="14">
        <f>IF($J2883=0,0,ROUND(MAX($J2883*1.4*1.5*1.6*1.6*2.2*2.715*2.6,3540000000*(1.579646^(MIN($E2883,123)-117)))*1,0))</f>
        <v>57804988</v>
      </c>
      <c r="Y2883" s="11">
        <f>$E2883+17</f>
        <v>125</v>
      </c>
      <c r="Z2883" s="12">
        <f>IF($J2883=0,0,ROUND(MAX($J2883*1.4*1.5*1.6*1.6*2.2*2.715*2.6*1.4,6020000000*(1.651178^(MIN($E2883,123)-117)))*1,0))</f>
        <v>65985946</v>
      </c>
      <c r="AA2883" s="13">
        <f>$E2883+19</f>
        <v>127</v>
      </c>
      <c r="AB2883" s="14">
        <f>IF($J2883=0,0,ROUND(MAX($J2883*1.4*1.5*1.6*1.6*2.2*2.715*2.6*1.4*1.4,8430000000*(1.651435^(MIN($E2883,123)-117)))*1,0))</f>
        <v>92272909</v>
      </c>
      <c r="AC2883" s="11">
        <f>$E2883+21</f>
        <v>129</v>
      </c>
      <c r="AD2883" s="12">
        <f>IF($J2883=0,0,ROUND(MAX($J2883*1.4*1.5*1.6*1.6*2.2*2.715*2.6*1.4*1.4*1.5,12600000000*(1.652953^(MIN($E2883,123)-117)))*1,0))</f>
        <v>136781071</v>
      </c>
      <c r="AE2883" s="13">
        <f>$E2883+24</f>
        <v>132</v>
      </c>
      <c r="AF2883" s="14">
        <f>IF($J2883=0,0,ROUND(MAX($J2883*1.4*1.5*1.6*1.6*2.2*2.715*2.6*1.4*1.4*1.5*1.5,18900000000*(1.65331^(MIN($E2883,123)-117)))*1,0))</f>
        <v>204773225</v>
      </c>
      <c r="AG2883" s="11">
        <f>$E2883+27</f>
        <v>135</v>
      </c>
      <c r="AH2883" s="12">
        <f>IF($J2883=0,0,ROUND(MAX($J2883*1.4*1.5*1.6*1.6*2.2*2.715*2.6*1.4*1.4*1.5*1.5*3.2,60500000000*(1.654288^(MIN($E2883,123)-117)))*1,0))</f>
        <v>652011566</v>
      </c>
    </row>
    <row r="2884" ht="28" customHeight="1" spans="1:34" x14ac:dyDescent="0.25">
      <c r="A2884">
        <v>2894</v>
      </c>
      <c r="B2884" t="s">
        <v>775</v>
      </c>
      <c r="C2884" s="10" t="s">
        <v>1650</v>
      </c>
      <c r="D2884" t="s">
        <v>75</v>
      </c>
      <c r="E2884">
        <v>108</v>
      </c>
      <c r="F2884" t="s">
        <v>400</v>
      </c>
      <c r="G2884" t="s">
        <v>38</v>
      </c>
      <c r="H2884">
        <v>24</v>
      </c>
      <c r="I2884" s="11">
        <f>$E2884+0</f>
        <v>108</v>
      </c>
      <c r="J2884" s="12">
        <v>25300000</v>
      </c>
      <c r="K2884" s="13">
        <f>$E2884+1</f>
        <v>109</v>
      </c>
      <c r="L2884" s="14">
        <f>IF($J2884=0,0,ROUND(MAX($J2884*1.4,1620000*(1.497923^(MIN($E2884,123)-117)))*1,0))</f>
        <v>35420000</v>
      </c>
      <c r="M2884" s="11">
        <f>$E2884+2</f>
        <v>110</v>
      </c>
      <c r="N2884" s="12">
        <f>IF($J2884=0,0,ROUND(MAX($J2884*1.4*1.5,2190000*(1.580994^(MIN($E2884,123)-117)))*1,0))</f>
        <v>53130000</v>
      </c>
      <c r="O2884" s="13">
        <f>$E2884+4</f>
        <v>112</v>
      </c>
      <c r="P2884" s="14">
        <f>IF($J2884=0,0,ROUND(MAX($J2884*1.4*1.5*1.6,3500000*(1.57975^(MIN($E2884,123)-117)))*1,0))</f>
        <v>85008000</v>
      </c>
      <c r="Q2884" s="11">
        <f>$E2884+6</f>
        <v>114</v>
      </c>
      <c r="R2884" s="12">
        <f>IF($J2884=0,0,ROUND(MAX($J2884*1.4*1.5*1.6*1.6,13100000*(1.429962^(MIN($E2884,123)-117)))*1,0))</f>
        <v>136012800</v>
      </c>
      <c r="S2884" s="13">
        <f>$E2884+8</f>
        <v>116</v>
      </c>
      <c r="T2884" s="14">
        <f>IF($J2884=0,0,ROUND(MAX($J2884*1.4*1.5*1.6*1.6*2.2,42600000*(1.576904^(MIN($E2884,123)-117)))*1,0))</f>
        <v>299228160</v>
      </c>
      <c r="U2884" s="11">
        <f>$E2884+11</f>
        <v>119</v>
      </c>
      <c r="V2884" s="12">
        <f>IF($J2884=0,0,ROUND(MAX($J2884*1.4*1.5*1.6*1.6*2.2*2.715,354000000*(1.642074^(MIN($E2884,123)-117)))*1,0))</f>
        <v>812404454</v>
      </c>
      <c r="W2884" s="13">
        <f>$E2884+15</f>
        <v>123</v>
      </c>
      <c r="X2884" s="14">
        <f>IF($J2884=0,0,ROUND(MAX($J2884*1.4*1.5*1.6*1.6*2.2*2.715*2.6,3540000000*(1.579646^(MIN($E2884,123)-117)))*1,0))</f>
        <v>2112251581</v>
      </c>
      <c r="Y2884" s="11">
        <f>$E2884+17</f>
        <v>125</v>
      </c>
      <c r="Z2884" s="12">
        <f>IF($J2884=0,0,ROUND(MAX($J2884*1.4*1.5*1.6*1.6*2.2*2.715*2.6*1.4,6020000000*(1.651178^(MIN($E2884,123)-117)))*1,0))</f>
        <v>2957152214</v>
      </c>
      <c r="AA2884" s="13">
        <f>$E2884+19</f>
        <v>127</v>
      </c>
      <c r="AB2884" s="14">
        <f>IF($J2884=0,0,ROUND(MAX($J2884*1.4*1.5*1.6*1.6*2.2*2.715*2.6*1.4*1.4,8430000000*(1.651435^(MIN($E2884,123)-117)))*1,0))</f>
        <v>4140013100</v>
      </c>
      <c r="AC2884" s="11">
        <f>$E2884+21</f>
        <v>129</v>
      </c>
      <c r="AD2884" s="12">
        <f>IF($J2884=0,0,ROUND(MAX($J2884*1.4*1.5*1.6*1.6*2.2*2.715*2.6*1.4*1.4*1.5,12600000000*(1.652953^(MIN($E2884,123)-117)))*1,0))</f>
        <v>6210019649</v>
      </c>
      <c r="AE2884" s="13">
        <f>$E2884+24</f>
        <v>132</v>
      </c>
      <c r="AF2884" s="14">
        <f>IF($J2884=0,0,ROUND(MAX($J2884*1.4*1.5*1.6*1.6*2.2*2.715*2.6*1.4*1.4*1.5*1.5,18900000000*(1.65331^(MIN($E2884,123)-117)))*1,0))</f>
        <v>9315029474</v>
      </c>
      <c r="AG2884" s="11">
        <f>$E2884+27</f>
        <v>135</v>
      </c>
      <c r="AH2884" s="12">
        <f>IF($J2884=0,0,ROUND(MAX($J2884*1.4*1.5*1.6*1.6*2.2*2.715*2.6*1.4*1.4*1.5*1.5*3.2,60500000000*(1.654288^(MIN($E2884,123)-117)))*1,0))</f>
        <v>29808094317</v>
      </c>
    </row>
    <row r="2885" ht="28" customHeight="1" spans="1:34" x14ac:dyDescent="0.25">
      <c r="A2885">
        <v>2895</v>
      </c>
      <c r="B2885" t="s">
        <v>929</v>
      </c>
      <c r="C2885" s="10" t="s">
        <v>1650</v>
      </c>
      <c r="D2885" t="s">
        <v>40</v>
      </c>
      <c r="E2885">
        <v>108</v>
      </c>
      <c r="F2885" t="s">
        <v>54</v>
      </c>
      <c r="G2885" t="s">
        <v>930</v>
      </c>
      <c r="H2885">
        <v>24</v>
      </c>
      <c r="I2885" s="11">
        <f>$E2885+0</f>
        <v>108</v>
      </c>
      <c r="J2885" s="12">
        <v>143000</v>
      </c>
      <c r="K2885" s="13">
        <f>$E2885+1</f>
        <v>109</v>
      </c>
      <c r="L2885" s="14">
        <f>IF($J2885=0,0,ROUND(MAX($J2885*1.4,1620000*(1.497923^(MIN($E2885,123)-117)))*1,0))</f>
        <v>200200</v>
      </c>
      <c r="M2885" s="11">
        <f>$E2885+2</f>
        <v>110</v>
      </c>
      <c r="N2885" s="12">
        <f>IF($J2885=0,0,ROUND(MAX($J2885*1.4*1.5,2190000*(1.580994^(MIN($E2885,123)-117)))*1,0))</f>
        <v>300300</v>
      </c>
      <c r="O2885" s="13">
        <f>$E2885+4</f>
        <v>112</v>
      </c>
      <c r="P2885" s="14">
        <f>IF($J2885=0,0,ROUND(MAX($J2885*1.4*1.5*1.6,3500000*(1.57975^(MIN($E2885,123)-117)))*1,0))</f>
        <v>480480</v>
      </c>
      <c r="Q2885" s="11">
        <f>$E2885+6</f>
        <v>114</v>
      </c>
      <c r="R2885" s="12">
        <f>IF($J2885=0,0,ROUND(MAX($J2885*1.4*1.5*1.6*1.6,13100000*(1.429962^(MIN($E2885,123)-117)))*1,0))</f>
        <v>768768</v>
      </c>
      <c r="S2885" s="13">
        <f>$E2885+8</f>
        <v>116</v>
      </c>
      <c r="T2885" s="14">
        <f>IF($J2885=0,0,ROUND(MAX($J2885*1.4*1.5*1.6*1.6*2.2,42600000*(1.576904^(MIN($E2885,123)-117)))*1,0))</f>
        <v>1691290</v>
      </c>
      <c r="U2885" s="11">
        <f>$E2885+11</f>
        <v>119</v>
      </c>
      <c r="V2885" s="12">
        <f>IF($J2885=0,0,ROUND(MAX($J2885*1.4*1.5*1.6*1.6*2.2*2.715,354000000*(1.642074^(MIN($E2885,123)-117)))*1,0))</f>
        <v>4591851</v>
      </c>
      <c r="W2885" s="13">
        <f>$E2885+15</f>
        <v>123</v>
      </c>
      <c r="X2885" s="14">
        <f>IF($J2885=0,0,ROUND(MAX($J2885*1.4*1.5*1.6*1.6*2.2*2.715*2.6,3540000000*(1.579646^(MIN($E2885,123)-117)))*1,0))</f>
        <v>57804988</v>
      </c>
      <c r="Y2885" s="11">
        <f>$E2885+17</f>
        <v>125</v>
      </c>
      <c r="Z2885" s="12">
        <f>IF($J2885=0,0,ROUND(MAX($J2885*1.4*1.5*1.6*1.6*2.2*2.715*2.6*1.4,6020000000*(1.651178^(MIN($E2885,123)-117)))*1,0))</f>
        <v>65985946</v>
      </c>
      <c r="AA2885" s="13">
        <f>$E2885+19</f>
        <v>127</v>
      </c>
      <c r="AB2885" s="14">
        <f>IF($J2885=0,0,ROUND(MAX($J2885*1.4*1.5*1.6*1.6*2.2*2.715*2.6*1.4*1.4,8430000000*(1.651435^(MIN($E2885,123)-117)))*1,0))</f>
        <v>92272909</v>
      </c>
      <c r="AC2885" s="11">
        <f>$E2885+21</f>
        <v>129</v>
      </c>
      <c r="AD2885" s="12">
        <f>IF($J2885=0,0,ROUND(MAX($J2885*1.4*1.5*1.6*1.6*2.2*2.715*2.6*1.4*1.4*1.5,12600000000*(1.652953^(MIN($E2885,123)-117)))*1,0))</f>
        <v>136781071</v>
      </c>
      <c r="AE2885" s="13">
        <f>$E2885+24</f>
        <v>132</v>
      </c>
      <c r="AF2885" s="14">
        <f>IF($J2885=0,0,ROUND(MAX($J2885*1.4*1.5*1.6*1.6*2.2*2.715*2.6*1.4*1.4*1.5*1.5,18900000000*(1.65331^(MIN($E2885,123)-117)))*1,0))</f>
        <v>204773225</v>
      </c>
      <c r="AG2885" s="11">
        <f>$E2885+27</f>
        <v>135</v>
      </c>
      <c r="AH2885" s="12">
        <f>IF($J2885=0,0,ROUND(MAX($J2885*1.4*1.5*1.6*1.6*2.2*2.715*2.6*1.4*1.4*1.5*1.5*3.2,60500000000*(1.654288^(MIN($E2885,123)-117)))*1,0))</f>
        <v>652011566</v>
      </c>
    </row>
    <row r="2886" ht="28" customHeight="1" spans="1:34" x14ac:dyDescent="0.25">
      <c r="A2886">
        <v>2896</v>
      </c>
      <c r="B2886" t="s">
        <v>674</v>
      </c>
      <c r="C2886" s="10" t="s">
        <v>1650</v>
      </c>
      <c r="D2886" t="s">
        <v>25</v>
      </c>
      <c r="E2886">
        <v>108</v>
      </c>
      <c r="F2886" t="s">
        <v>34</v>
      </c>
      <c r="G2886" t="s">
        <v>1284</v>
      </c>
      <c r="H2886">
        <v>24</v>
      </c>
      <c r="I2886" s="11">
        <f>$E2886+0</f>
        <v>108</v>
      </c>
      <c r="J2886" s="12">
        <v>86700</v>
      </c>
      <c r="K2886" s="13">
        <f>$E2886+1</f>
        <v>109</v>
      </c>
      <c r="L2886" s="14">
        <f>IF($J2886=0,0,ROUND(MAX($J2886*1.4,1620000*(1.497923^(MIN($E2886,123)-117)))*1,0))</f>
        <v>121380</v>
      </c>
      <c r="M2886" s="11">
        <f>$E2886+2</f>
        <v>110</v>
      </c>
      <c r="N2886" s="12">
        <f>IF($J2886=0,0,ROUND(MAX($J2886*1.4*1.5,2190000*(1.580994^(MIN($E2886,123)-117)))*1,0))</f>
        <v>182070</v>
      </c>
      <c r="O2886" s="13">
        <f>$E2886+4</f>
        <v>112</v>
      </c>
      <c r="P2886" s="14">
        <f>IF($J2886=0,0,ROUND(MAX($J2886*1.4*1.5*1.6,3500000*(1.57975^(MIN($E2886,123)-117)))*1,0))</f>
        <v>291312</v>
      </c>
      <c r="Q2886" s="11">
        <f>$E2886+6</f>
        <v>114</v>
      </c>
      <c r="R2886" s="12">
        <f>IF($J2886=0,0,ROUND(MAX($J2886*1.4*1.5*1.6*1.6,13100000*(1.429962^(MIN($E2886,123)-117)))*1,0))</f>
        <v>524024</v>
      </c>
      <c r="S2886" s="13">
        <f>$E2886+8</f>
        <v>116</v>
      </c>
      <c r="T2886" s="14">
        <f>IF($J2886=0,0,ROUND(MAX($J2886*1.4*1.5*1.6*1.6*2.2,42600000*(1.576904^(MIN($E2886,123)-117)))*1,0))</f>
        <v>1025418</v>
      </c>
      <c r="U2886" s="11">
        <f>$E2886+11</f>
        <v>119</v>
      </c>
      <c r="V2886" s="12">
        <f>IF($J2886=0,0,ROUND(MAX($J2886*1.4*1.5*1.6*1.6*2.2*2.715,354000000*(1.642074^(MIN($E2886,123)-117)))*1,0))</f>
        <v>4078202</v>
      </c>
      <c r="W2886" s="13">
        <f>$E2886+15</f>
        <v>123</v>
      </c>
      <c r="X2886" s="14">
        <f>IF($J2886=0,0,ROUND(MAX($J2886*1.4*1.5*1.6*1.6*2.2*2.715*2.6,3540000000*(1.579646^(MIN($E2886,123)-117)))*1,0))</f>
        <v>57804988</v>
      </c>
      <c r="Y2886" s="11">
        <f>$E2886+17</f>
        <v>125</v>
      </c>
      <c r="Z2886" s="12">
        <f>IF($J2886=0,0,ROUND(MAX($J2886*1.4*1.5*1.6*1.6*2.2*2.715*2.6*1.4,6020000000*(1.651178^(MIN($E2886,123)-117)))*1,0))</f>
        <v>65985946</v>
      </c>
      <c r="AA2886" s="13">
        <f>$E2886+19</f>
        <v>127</v>
      </c>
      <c r="AB2886" s="14">
        <f>IF($J2886=0,0,ROUND(MAX($J2886*1.4*1.5*1.6*1.6*2.2*2.715*2.6*1.4*1.4,8430000000*(1.651435^(MIN($E2886,123)-117)))*1,0))</f>
        <v>92272909</v>
      </c>
      <c r="AC2886" s="11">
        <f>$E2886+21</f>
        <v>129</v>
      </c>
      <c r="AD2886" s="12">
        <f>IF($J2886=0,0,ROUND(MAX($J2886*1.4*1.5*1.6*1.6*2.2*2.715*2.6*1.4*1.4*1.5,12600000000*(1.652953^(MIN($E2886,123)-117)))*1,0))</f>
        <v>136781071</v>
      </c>
      <c r="AE2886" s="13">
        <f>$E2886+24</f>
        <v>132</v>
      </c>
      <c r="AF2886" s="14">
        <f>IF($J2886=0,0,ROUND(MAX($J2886*1.4*1.5*1.6*1.6*2.2*2.715*2.6*1.4*1.4*1.5*1.5,18900000000*(1.65331^(MIN($E2886,123)-117)))*1,0))</f>
        <v>204773225</v>
      </c>
      <c r="AG2886" s="11">
        <f>$E2886+27</f>
        <v>135</v>
      </c>
      <c r="AH2886" s="12">
        <f>IF($J2886=0,0,ROUND(MAX($J2886*1.4*1.5*1.6*1.6*2.2*2.715*2.6*1.4*1.4*1.5*1.5*3.2,60500000000*(1.654288^(MIN($E2886,123)-117)))*1,0))</f>
        <v>652011566</v>
      </c>
    </row>
    <row r="2887" ht="28" customHeight="1" spans="1:34" x14ac:dyDescent="0.25">
      <c r="A2887">
        <v>2897</v>
      </c>
      <c r="B2887" t="s">
        <v>944</v>
      </c>
      <c r="C2887" s="10" t="s">
        <v>1650</v>
      </c>
      <c r="D2887" t="s">
        <v>64</v>
      </c>
      <c r="E2887">
        <v>108</v>
      </c>
      <c r="F2887" t="s">
        <v>71</v>
      </c>
      <c r="G2887" t="s">
        <v>562</v>
      </c>
      <c r="H2887">
        <v>24</v>
      </c>
      <c r="I2887" s="11">
        <f>$E2887+0</f>
        <v>108</v>
      </c>
      <c r="J2887" s="12">
        <v>20600</v>
      </c>
      <c r="K2887" s="13">
        <f>$E2887+1</f>
        <v>109</v>
      </c>
      <c r="L2887" s="14">
        <f>IF($J2887=0,0,ROUND(MAX($J2887*1.4,1620000*(1.497923^(MIN($E2887,123)-117)))*1,0))</f>
        <v>42669</v>
      </c>
      <c r="M2887" s="11">
        <f>$E2887+2</f>
        <v>110</v>
      </c>
      <c r="N2887" s="12">
        <f>IF($J2887=0,0,ROUND(MAX($J2887*1.4*1.5,2190000*(1.580994^(MIN($E2887,123)-117)))*1,0))</f>
        <v>43260</v>
      </c>
      <c r="O2887" s="13">
        <f>$E2887+4</f>
        <v>112</v>
      </c>
      <c r="P2887" s="14">
        <f>IF($J2887=0,0,ROUND(MAX($J2887*1.4*1.5*1.6,3500000*(1.57975^(MIN($E2887,123)-117)))*1,0))</f>
        <v>69216</v>
      </c>
      <c r="Q2887" s="11">
        <f>$E2887+6</f>
        <v>114</v>
      </c>
      <c r="R2887" s="12">
        <f>IF($J2887=0,0,ROUND(MAX($J2887*1.4*1.5*1.6*1.6,13100000*(1.429962^(MIN($E2887,123)-117)))*1,0))</f>
        <v>524024</v>
      </c>
      <c r="S2887" s="13">
        <f>$E2887+8</f>
        <v>116</v>
      </c>
      <c r="T2887" s="14">
        <f>IF($J2887=0,0,ROUND(MAX($J2887*1.4*1.5*1.6*1.6*2.2,42600000*(1.576904^(MIN($E2887,123)-117)))*1,0))</f>
        <v>706582</v>
      </c>
      <c r="U2887" s="11">
        <f>$E2887+11</f>
        <v>119</v>
      </c>
      <c r="V2887" s="12">
        <f>IF($J2887=0,0,ROUND(MAX($J2887*1.4*1.5*1.6*1.6*2.2*2.715,354000000*(1.642074^(MIN($E2887,123)-117)))*1,0))</f>
        <v>4078202</v>
      </c>
      <c r="W2887" s="13">
        <f>$E2887+15</f>
        <v>123</v>
      </c>
      <c r="X2887" s="14">
        <f>IF($J2887=0,0,ROUND(MAX($J2887*1.4*1.5*1.6*1.6*2.2*2.715*2.6,3540000000*(1.579646^(MIN($E2887,123)-117)))*1,0))</f>
        <v>57804988</v>
      </c>
      <c r="Y2887" s="11">
        <f>$E2887+17</f>
        <v>125</v>
      </c>
      <c r="Z2887" s="12">
        <f>IF($J2887=0,0,ROUND(MAX($J2887*1.4*1.5*1.6*1.6*2.2*2.715*2.6*1.4,6020000000*(1.651178^(MIN($E2887,123)-117)))*1,0))</f>
        <v>65985946</v>
      </c>
      <c r="AA2887" s="13">
        <f>$E2887+19</f>
        <v>127</v>
      </c>
      <c r="AB2887" s="14">
        <f>IF($J2887=0,0,ROUND(MAX($J2887*1.4*1.5*1.6*1.6*2.2*2.715*2.6*1.4*1.4,8430000000*(1.651435^(MIN($E2887,123)-117)))*1,0))</f>
        <v>92272909</v>
      </c>
      <c r="AC2887" s="11">
        <f>$E2887+21</f>
        <v>129</v>
      </c>
      <c r="AD2887" s="12">
        <f>IF($J2887=0,0,ROUND(MAX($J2887*1.4*1.5*1.6*1.6*2.2*2.715*2.6*1.4*1.4*1.5,12600000000*(1.652953^(MIN($E2887,123)-117)))*1,0))</f>
        <v>136781071</v>
      </c>
      <c r="AE2887" s="13">
        <f>$E2887+24</f>
        <v>132</v>
      </c>
      <c r="AF2887" s="14">
        <f>IF($J2887=0,0,ROUND(MAX($J2887*1.4*1.5*1.6*1.6*2.2*2.715*2.6*1.4*1.4*1.5*1.5,18900000000*(1.65331^(MIN($E2887,123)-117)))*1,0))</f>
        <v>204773225</v>
      </c>
      <c r="AG2887" s="11">
        <f>$E2887+27</f>
        <v>135</v>
      </c>
      <c r="AH2887" s="12">
        <f>IF($J2887=0,0,ROUND(MAX($J2887*1.4*1.5*1.6*1.6*2.2*2.715*2.6*1.4*1.4*1.5*1.5*3.2,60500000000*(1.654288^(MIN($E2887,123)-117)))*1,0))</f>
        <v>652011566</v>
      </c>
    </row>
    <row r="2888" ht="28" customHeight="1" spans="1:34" x14ac:dyDescent="0.25">
      <c r="A2888">
        <v>2898</v>
      </c>
      <c r="B2888" t="s">
        <v>296</v>
      </c>
      <c r="C2888" s="10" t="s">
        <v>1650</v>
      </c>
      <c r="D2888" t="s">
        <v>47</v>
      </c>
      <c r="E2888">
        <v>108</v>
      </c>
      <c r="F2888" t="s">
        <v>62</v>
      </c>
      <c r="G2888" t="s">
        <v>185</v>
      </c>
      <c r="H2888">
        <v>22</v>
      </c>
      <c r="I2888" s="11">
        <f>$E2888+0</f>
        <v>108</v>
      </c>
      <c r="J2888" s="12">
        <v>121000</v>
      </c>
      <c r="K2888" s="13">
        <f>$E2888+1</f>
        <v>109</v>
      </c>
      <c r="L2888" s="14">
        <f>IF($J2888=0,0,ROUND(MAX($J2888*1.4,1620000*(1.497923^(MIN($E2888,123)-117)))*1,0))</f>
        <v>169400</v>
      </c>
      <c r="M2888" s="11">
        <f>$E2888+2</f>
        <v>110</v>
      </c>
      <c r="N2888" s="12">
        <f>IF($J2888=0,0,ROUND(MAX($J2888*1.4*1.5,2190000*(1.580994^(MIN($E2888,123)-117)))*1,0))</f>
        <v>254100</v>
      </c>
      <c r="O2888" s="13">
        <f>$E2888+4</f>
        <v>112</v>
      </c>
      <c r="P2888" s="14">
        <f>IF($J2888=0,0,ROUND(MAX($J2888*1.4*1.5*1.6,3500000*(1.57975^(MIN($E2888,123)-117)))*1,0))</f>
        <v>406560</v>
      </c>
      <c r="Q2888" s="11">
        <f>$E2888+6</f>
        <v>114</v>
      </c>
      <c r="R2888" s="12">
        <f>IF($J2888=0,0,ROUND(MAX($J2888*1.4*1.5*1.6*1.6,13100000*(1.429962^(MIN($E2888,123)-117)))*1,0))</f>
        <v>650496</v>
      </c>
      <c r="S2888" s="13">
        <f>$E2888+8</f>
        <v>116</v>
      </c>
      <c r="T2888" s="14">
        <f>IF($J2888=0,0,ROUND(MAX($J2888*1.4*1.5*1.6*1.6*2.2,42600000*(1.576904^(MIN($E2888,123)-117)))*1,0))</f>
        <v>1431091</v>
      </c>
      <c r="U2888" s="11">
        <f>$E2888+11</f>
        <v>119</v>
      </c>
      <c r="V2888" s="12">
        <f>IF($J2888=0,0,ROUND(MAX($J2888*1.4*1.5*1.6*1.6*2.2*2.715,354000000*(1.642074^(MIN($E2888,123)-117)))*1,0))</f>
        <v>4078202</v>
      </c>
      <c r="W2888" s="13">
        <f>$E2888+15</f>
        <v>123</v>
      </c>
      <c r="X2888" s="14">
        <f>IF($J2888=0,0,ROUND(MAX($J2888*1.4*1.5*1.6*1.6*2.2*2.715*2.6,3540000000*(1.579646^(MIN($E2888,123)-117)))*1,0))</f>
        <v>57804988</v>
      </c>
      <c r="Y2888" s="11">
        <f>$E2888+17</f>
        <v>125</v>
      </c>
      <c r="Z2888" s="12">
        <f>IF($J2888=0,0,ROUND(MAX($J2888*1.4*1.5*1.6*1.6*2.2*2.715*2.6*1.4,6020000000*(1.651178^(MIN($E2888,123)-117)))*1,0))</f>
        <v>65985946</v>
      </c>
      <c r="AA2888" s="13">
        <f>$E2888+19</f>
        <v>127</v>
      </c>
      <c r="AB2888" s="14">
        <f>IF($J2888=0,0,ROUND(MAX($J2888*1.4*1.5*1.6*1.6*2.2*2.715*2.6*1.4*1.4,8430000000*(1.651435^(MIN($E2888,123)-117)))*1,0))</f>
        <v>92272909</v>
      </c>
      <c r="AC2888" s="11">
        <f>$E2888+21</f>
        <v>129</v>
      </c>
      <c r="AD2888" s="12">
        <f>IF($J2888=0,0,ROUND(MAX($J2888*1.4*1.5*1.6*1.6*2.2*2.715*2.6*1.4*1.4*1.5,12600000000*(1.652953^(MIN($E2888,123)-117)))*1,0))</f>
        <v>136781071</v>
      </c>
      <c r="AE2888" s="13">
        <f>$E2888+24</f>
        <v>132</v>
      </c>
      <c r="AF2888" s="14">
        <f>IF($J2888=0,0,ROUND(MAX($J2888*1.4*1.5*1.6*1.6*2.2*2.715*2.6*1.4*1.4*1.5*1.5,18900000000*(1.65331^(MIN($E2888,123)-117)))*1,0))</f>
        <v>204773225</v>
      </c>
      <c r="AG2888" s="11">
        <f>$E2888+27</f>
        <v>135</v>
      </c>
      <c r="AH2888" s="12">
        <f>IF($J2888=0,0,ROUND(MAX($J2888*1.4*1.5*1.6*1.6*2.2*2.715*2.6*1.4*1.4*1.5*1.5*3.2,60500000000*(1.654288^(MIN($E2888,123)-117)))*1,0))</f>
        <v>652011566</v>
      </c>
    </row>
    <row r="2889" ht="28" customHeight="1" spans="1:34" x14ac:dyDescent="0.25">
      <c r="A2889">
        <v>2899</v>
      </c>
      <c r="B2889" t="s">
        <v>1189</v>
      </c>
      <c r="C2889" s="10" t="s">
        <v>1650</v>
      </c>
      <c r="D2889" t="s">
        <v>79</v>
      </c>
      <c r="E2889">
        <v>107</v>
      </c>
      <c r="F2889" t="s">
        <v>56</v>
      </c>
      <c r="G2889" t="s">
        <v>72</v>
      </c>
      <c r="H2889">
        <v>25</v>
      </c>
      <c r="I2889" s="11">
        <f>$E2889+0</f>
        <v>107</v>
      </c>
      <c r="J2889" s="12">
        <v>9000000</v>
      </c>
      <c r="K2889" s="13">
        <f>$E2889+1</f>
        <v>108</v>
      </c>
      <c r="L2889" s="14">
        <f>IF($J2889=0,0,ROUND(MAX($J2889*1.4,1620000*(1.497923^(MIN($E2889,123)-117)))*1,0))</f>
        <v>12600000</v>
      </c>
      <c r="M2889" s="11">
        <f>$E2889+2</f>
        <v>109</v>
      </c>
      <c r="N2889" s="12">
        <f>IF($J2889=0,0,ROUND(MAX($J2889*1.4*1.5,2190000*(1.580994^(MIN($E2889,123)-117)))*1,0))</f>
        <v>18900000</v>
      </c>
      <c r="O2889" s="13">
        <f>$E2889+4</f>
        <v>111</v>
      </c>
      <c r="P2889" s="14">
        <f>IF($J2889=0,0,ROUND(MAX($J2889*1.4*1.5*1.6,3500000*(1.57975^(MIN($E2889,123)-117)))*1,0))</f>
        <v>30240000</v>
      </c>
      <c r="Q2889" s="11">
        <f>$E2889+6</f>
        <v>113</v>
      </c>
      <c r="R2889" s="12">
        <f>IF($J2889=0,0,ROUND(MAX($J2889*1.4*1.5*1.6*1.6,13100000*(1.429962^(MIN($E2889,123)-117)))*1,0))</f>
        <v>48384000</v>
      </c>
      <c r="S2889" s="13">
        <f>$E2889+8</f>
        <v>115</v>
      </c>
      <c r="T2889" s="14">
        <f>IF($J2889=0,0,ROUND(MAX($J2889*1.4*1.5*1.6*1.6*2.2,42600000*(1.576904^(MIN($E2889,123)-117)))*1,0))</f>
        <v>106444800</v>
      </c>
      <c r="U2889" s="11">
        <f>$E2889+11</f>
        <v>118</v>
      </c>
      <c r="V2889" s="12">
        <f>IF($J2889=0,0,ROUND(MAX($J2889*1.4*1.5*1.6*1.6*2.2*2.715,354000000*(1.642074^(MIN($E2889,123)-117)))*1,0))</f>
        <v>288997632</v>
      </c>
      <c r="W2889" s="13">
        <f>$E2889+15</f>
        <v>122</v>
      </c>
      <c r="X2889" s="14">
        <f>IF($J2889=0,0,ROUND(MAX($J2889*1.4*1.5*1.6*1.6*2.2*2.715*2.6,3540000000*(1.579646^(MIN($E2889,123)-117)))*1,0))</f>
        <v>751393843</v>
      </c>
      <c r="Y2889" s="11">
        <f>$E2889+17</f>
        <v>124</v>
      </c>
      <c r="Z2889" s="12">
        <f>IF($J2889=0,0,ROUND(MAX($J2889*1.4*1.5*1.6*1.6*2.2*2.715*2.6*1.4,6020000000*(1.651178^(MIN($E2889,123)-117)))*1,0))</f>
        <v>1051951380</v>
      </c>
      <c r="AA2889" s="13">
        <f>$E2889+19</f>
        <v>126</v>
      </c>
      <c r="AB2889" s="14">
        <f>IF($J2889=0,0,ROUND(MAX($J2889*1.4*1.5*1.6*1.6*2.2*2.715*2.6*1.4*1.4,8430000000*(1.651435^(MIN($E2889,123)-117)))*1,0))</f>
        <v>1472731933</v>
      </c>
      <c r="AC2889" s="11">
        <f>$E2889+21</f>
        <v>128</v>
      </c>
      <c r="AD2889" s="12">
        <f>IF($J2889=0,0,ROUND(MAX($J2889*1.4*1.5*1.6*1.6*2.2*2.715*2.6*1.4*1.4*1.5,12600000000*(1.652953^(MIN($E2889,123)-117)))*1,0))</f>
        <v>2209097899</v>
      </c>
      <c r="AE2889" s="13">
        <f>$E2889+24</f>
        <v>131</v>
      </c>
      <c r="AF2889" s="14">
        <f>IF($J2889=0,0,ROUND(MAX($J2889*1.4*1.5*1.6*1.6*2.2*2.715*2.6*1.4*1.4*1.5*1.5,18900000000*(1.65331^(MIN($E2889,123)-117)))*1,0))</f>
        <v>3313646849</v>
      </c>
      <c r="AG2889" s="11">
        <f>$E2889+27</f>
        <v>134</v>
      </c>
      <c r="AH2889" s="12">
        <f>IF($J2889=0,0,ROUND(MAX($J2889*1.4*1.5*1.6*1.6*2.2*2.715*2.6*1.4*1.4*1.5*1.5*3.2,60500000000*(1.654288^(MIN($E2889,123)-117)))*1,0))</f>
        <v>10603669915</v>
      </c>
    </row>
    <row r="2890" ht="28" customHeight="1" spans="1:34" x14ac:dyDescent="0.25">
      <c r="A2890">
        <v>2900</v>
      </c>
      <c r="B2890" t="s">
        <v>130</v>
      </c>
      <c r="C2890" s="10" t="s">
        <v>1650</v>
      </c>
      <c r="D2890" t="s">
        <v>25</v>
      </c>
      <c r="E2890">
        <v>107</v>
      </c>
      <c r="F2890" t="s">
        <v>56</v>
      </c>
      <c r="G2890" t="s">
        <v>562</v>
      </c>
      <c r="H2890">
        <v>25</v>
      </c>
      <c r="I2890" s="11">
        <f>$E2890+0</f>
        <v>107</v>
      </c>
      <c r="J2890" s="12">
        <v>80300</v>
      </c>
      <c r="K2890" s="13">
        <f>$E2890+1</f>
        <v>108</v>
      </c>
      <c r="L2890" s="14">
        <f>IF($J2890=0,0,ROUND(MAX($J2890*1.4,1620000*(1.497923^(MIN($E2890,123)-117)))*1,0))</f>
        <v>112420</v>
      </c>
      <c r="M2890" s="11">
        <f>$E2890+2</f>
        <v>109</v>
      </c>
      <c r="N2890" s="12">
        <f>IF($J2890=0,0,ROUND(MAX($J2890*1.4*1.5,2190000*(1.580994^(MIN($E2890,123)-117)))*1,0))</f>
        <v>168630</v>
      </c>
      <c r="O2890" s="13">
        <f>$E2890+4</f>
        <v>111</v>
      </c>
      <c r="P2890" s="14">
        <f>IF($J2890=0,0,ROUND(MAX($J2890*1.4*1.5*1.6,3500000*(1.57975^(MIN($E2890,123)-117)))*1,0))</f>
        <v>269808</v>
      </c>
      <c r="Q2890" s="11">
        <f>$E2890+6</f>
        <v>113</v>
      </c>
      <c r="R2890" s="12">
        <f>IF($J2890=0,0,ROUND(MAX($J2890*1.4*1.5*1.6*1.6,13100000*(1.429962^(MIN($E2890,123)-117)))*1,0))</f>
        <v>431693</v>
      </c>
      <c r="S2890" s="13">
        <f>$E2890+8</f>
        <v>115</v>
      </c>
      <c r="T2890" s="14">
        <f>IF($J2890=0,0,ROUND(MAX($J2890*1.4*1.5*1.6*1.6*2.2,42600000*(1.576904^(MIN($E2890,123)-117)))*1,0))</f>
        <v>949724</v>
      </c>
      <c r="U2890" s="11">
        <f>$E2890+11</f>
        <v>118</v>
      </c>
      <c r="V2890" s="12">
        <f>IF($J2890=0,0,ROUND(MAX($J2890*1.4*1.5*1.6*1.6*2.2*2.715,354000000*(1.642074^(MIN($E2890,123)-117)))*1,0))</f>
        <v>2578501</v>
      </c>
      <c r="W2890" s="13">
        <f>$E2890+15</f>
        <v>122</v>
      </c>
      <c r="X2890" s="14">
        <f>IF($J2890=0,0,ROUND(MAX($J2890*1.4*1.5*1.6*1.6*2.2*2.715*2.6,3540000000*(1.579646^(MIN($E2890,123)-117)))*1,0))</f>
        <v>36593634</v>
      </c>
      <c r="Y2890" s="11">
        <f>$E2890+17</f>
        <v>124</v>
      </c>
      <c r="Z2890" s="12">
        <f>IF($J2890=0,0,ROUND(MAX($J2890*1.4*1.5*1.6*1.6*2.2*2.715*2.6*1.4,6020000000*(1.651178^(MIN($E2890,123)-117)))*1,0))</f>
        <v>39962952</v>
      </c>
      <c r="AA2890" s="13">
        <f>$E2890+19</f>
        <v>126</v>
      </c>
      <c r="AB2890" s="14">
        <f>IF($J2890=0,0,ROUND(MAX($J2890*1.4*1.5*1.6*1.6*2.2*2.715*2.6*1.4*1.4,8430000000*(1.651435^(MIN($E2890,123)-117)))*1,0))</f>
        <v>55874381</v>
      </c>
      <c r="AC2890" s="11">
        <f>$E2890+21</f>
        <v>128</v>
      </c>
      <c r="AD2890" s="12">
        <f>IF($J2890=0,0,ROUND(MAX($J2890*1.4*1.5*1.6*1.6*2.2*2.715*2.6*1.4*1.4*1.5,12600000000*(1.652953^(MIN($E2890,123)-117)))*1,0))</f>
        <v>82749522</v>
      </c>
      <c r="AE2890" s="13">
        <f>$E2890+24</f>
        <v>131</v>
      </c>
      <c r="AF2890" s="14">
        <f>IF($J2890=0,0,ROUND(MAX($J2890*1.4*1.5*1.6*1.6*2.2*2.715*2.6*1.4*1.4*1.5*1.5,18900000000*(1.65331^(MIN($E2890,123)-117)))*1,0))</f>
        <v>123856521</v>
      </c>
      <c r="AG2890" s="11">
        <f>$E2890+27</f>
        <v>134</v>
      </c>
      <c r="AH2890" s="12">
        <f>IF($J2890=0,0,ROUND(MAX($J2890*1.4*1.5*1.6*1.6*2.2*2.715*2.6*1.4*1.4*1.5*1.5*3.2,60500000000*(1.654288^(MIN($E2890,123)-117)))*1,0))</f>
        <v>394134254</v>
      </c>
    </row>
    <row r="2891" ht="28" customHeight="1" spans="1:34" x14ac:dyDescent="0.25">
      <c r="A2891">
        <v>2901</v>
      </c>
      <c r="B2891" t="s">
        <v>210</v>
      </c>
      <c r="C2891" s="10" t="s">
        <v>1650</v>
      </c>
      <c r="D2891" t="s">
        <v>33</v>
      </c>
      <c r="E2891">
        <v>107</v>
      </c>
      <c r="F2891" t="s">
        <v>56</v>
      </c>
      <c r="G2891" t="s">
        <v>562</v>
      </c>
      <c r="H2891">
        <v>25</v>
      </c>
      <c r="I2891" s="11">
        <f>$E2891+0</f>
        <v>107</v>
      </c>
      <c r="J2891" s="12">
        <v>67100</v>
      </c>
      <c r="K2891" s="13">
        <f>$E2891+1</f>
        <v>108</v>
      </c>
      <c r="L2891" s="14">
        <f>IF($J2891=0,0,ROUND(MAX($J2891*1.4,1620000*(1.497923^(MIN($E2891,123)-117)))*1,0))</f>
        <v>93940</v>
      </c>
      <c r="M2891" s="11">
        <f>$E2891+2</f>
        <v>109</v>
      </c>
      <c r="N2891" s="12">
        <f>IF($J2891=0,0,ROUND(MAX($J2891*1.4*1.5,2190000*(1.580994^(MIN($E2891,123)-117)))*1,0))</f>
        <v>140910</v>
      </c>
      <c r="O2891" s="13">
        <f>$E2891+4</f>
        <v>111</v>
      </c>
      <c r="P2891" s="14">
        <f>IF($J2891=0,0,ROUND(MAX($J2891*1.4*1.5*1.6,3500000*(1.57975^(MIN($E2891,123)-117)))*1,0))</f>
        <v>225456</v>
      </c>
      <c r="Q2891" s="11">
        <f>$E2891+6</f>
        <v>113</v>
      </c>
      <c r="R2891" s="12">
        <f>IF($J2891=0,0,ROUND(MAX($J2891*1.4*1.5*1.6*1.6,13100000*(1.429962^(MIN($E2891,123)-117)))*1,0))</f>
        <v>366460</v>
      </c>
      <c r="S2891" s="13">
        <f>$E2891+8</f>
        <v>115</v>
      </c>
      <c r="T2891" s="14">
        <f>IF($J2891=0,0,ROUND(MAX($J2891*1.4*1.5*1.6*1.6*2.2,42600000*(1.576904^(MIN($E2891,123)-117)))*1,0))</f>
        <v>793605</v>
      </c>
      <c r="U2891" s="11">
        <f>$E2891+11</f>
        <v>118</v>
      </c>
      <c r="V2891" s="12">
        <f>IF($J2891=0,0,ROUND(MAX($J2891*1.4*1.5*1.6*1.6*2.2*2.715,354000000*(1.642074^(MIN($E2891,123)-117)))*1,0))</f>
        <v>2483568</v>
      </c>
      <c r="W2891" s="13">
        <f>$E2891+15</f>
        <v>122</v>
      </c>
      <c r="X2891" s="14">
        <f>IF($J2891=0,0,ROUND(MAX($J2891*1.4*1.5*1.6*1.6*2.2*2.715*2.6,3540000000*(1.579646^(MIN($E2891,123)-117)))*1,0))</f>
        <v>36593634</v>
      </c>
      <c r="Y2891" s="11">
        <f>$E2891+17</f>
        <v>124</v>
      </c>
      <c r="Z2891" s="12">
        <f>IF($J2891=0,0,ROUND(MAX($J2891*1.4*1.5*1.6*1.6*2.2*2.715*2.6*1.4,6020000000*(1.651178^(MIN($E2891,123)-117)))*1,0))</f>
        <v>39962952</v>
      </c>
      <c r="AA2891" s="13">
        <f>$E2891+19</f>
        <v>126</v>
      </c>
      <c r="AB2891" s="14">
        <f>IF($J2891=0,0,ROUND(MAX($J2891*1.4*1.5*1.6*1.6*2.2*2.715*2.6*1.4*1.4,8430000000*(1.651435^(MIN($E2891,123)-117)))*1,0))</f>
        <v>55874381</v>
      </c>
      <c r="AC2891" s="11">
        <f>$E2891+21</f>
        <v>128</v>
      </c>
      <c r="AD2891" s="12">
        <f>IF($J2891=0,0,ROUND(MAX($J2891*1.4*1.5*1.6*1.6*2.2*2.715*2.6*1.4*1.4*1.5,12600000000*(1.652953^(MIN($E2891,123)-117)))*1,0))</f>
        <v>82749522</v>
      </c>
      <c r="AE2891" s="13">
        <f>$E2891+24</f>
        <v>131</v>
      </c>
      <c r="AF2891" s="14">
        <f>IF($J2891=0,0,ROUND(MAX($J2891*1.4*1.5*1.6*1.6*2.2*2.715*2.6*1.4*1.4*1.5*1.5,18900000000*(1.65331^(MIN($E2891,123)-117)))*1,0))</f>
        <v>123856521</v>
      </c>
      <c r="AG2891" s="11">
        <f>$E2891+27</f>
        <v>134</v>
      </c>
      <c r="AH2891" s="12">
        <f>IF($J2891=0,0,ROUND(MAX($J2891*1.4*1.5*1.6*1.6*2.2*2.715*2.6*1.4*1.4*1.5*1.5*3.2,60500000000*(1.654288^(MIN($E2891,123)-117)))*1,0))</f>
        <v>394134254</v>
      </c>
    </row>
    <row r="2892" ht="28" customHeight="1" spans="1:34" x14ac:dyDescent="0.25">
      <c r="A2892">
        <v>2902</v>
      </c>
      <c r="B2892" t="s">
        <v>467</v>
      </c>
      <c r="C2892" s="10" t="s">
        <v>1650</v>
      </c>
      <c r="D2892" t="s">
        <v>64</v>
      </c>
      <c r="E2892">
        <v>107</v>
      </c>
      <c r="F2892" t="s">
        <v>56</v>
      </c>
      <c r="G2892" t="s">
        <v>95</v>
      </c>
      <c r="H2892">
        <v>24</v>
      </c>
      <c r="I2892" s="11">
        <f>$E2892+0</f>
        <v>107</v>
      </c>
      <c r="J2892" s="12">
        <v>68100</v>
      </c>
      <c r="K2892" s="13">
        <f>$E2892+1</f>
        <v>108</v>
      </c>
      <c r="L2892" s="14">
        <f>IF($J2892=0,0,ROUND(MAX($J2892*1.4,1620000*(1.497923^(MIN($E2892,123)-117)))*1,0))</f>
        <v>95340</v>
      </c>
      <c r="M2892" s="11">
        <f>$E2892+2</f>
        <v>109</v>
      </c>
      <c r="N2892" s="12">
        <f>IF($J2892=0,0,ROUND(MAX($J2892*1.4*1.5,2190000*(1.580994^(MIN($E2892,123)-117)))*1,0))</f>
        <v>143010</v>
      </c>
      <c r="O2892" s="13">
        <f>$E2892+4</f>
        <v>111</v>
      </c>
      <c r="P2892" s="14">
        <f>IF($J2892=0,0,ROUND(MAX($J2892*1.4*1.5*1.6,3500000*(1.57975^(MIN($E2892,123)-117)))*1,0))</f>
        <v>228816</v>
      </c>
      <c r="Q2892" s="11">
        <f>$E2892+6</f>
        <v>113</v>
      </c>
      <c r="R2892" s="12">
        <f>IF($J2892=0,0,ROUND(MAX($J2892*1.4*1.5*1.6*1.6,13100000*(1.429962^(MIN($E2892,123)-117)))*1,0))</f>
        <v>366460</v>
      </c>
      <c r="S2892" s="13">
        <f>$E2892+8</f>
        <v>115</v>
      </c>
      <c r="T2892" s="14">
        <f>IF($J2892=0,0,ROUND(MAX($J2892*1.4*1.5*1.6*1.6*2.2,42600000*(1.576904^(MIN($E2892,123)-117)))*1,0))</f>
        <v>805432</v>
      </c>
      <c r="U2892" s="11">
        <f>$E2892+11</f>
        <v>118</v>
      </c>
      <c r="V2892" s="12">
        <f>IF($J2892=0,0,ROUND(MAX($J2892*1.4*1.5*1.6*1.6*2.2*2.715,354000000*(1.642074^(MIN($E2892,123)-117)))*1,0))</f>
        <v>2483568</v>
      </c>
      <c r="W2892" s="13">
        <f>$E2892+15</f>
        <v>122</v>
      </c>
      <c r="X2892" s="14">
        <f>IF($J2892=0,0,ROUND(MAX($J2892*1.4*1.5*1.6*1.6*2.2*2.715*2.6,3540000000*(1.579646^(MIN($E2892,123)-117)))*1,0))</f>
        <v>36593634</v>
      </c>
      <c r="Y2892" s="11">
        <f>$E2892+17</f>
        <v>124</v>
      </c>
      <c r="Z2892" s="12">
        <f>IF($J2892=0,0,ROUND(MAX($J2892*1.4*1.5*1.6*1.6*2.2*2.715*2.6*1.4,6020000000*(1.651178^(MIN($E2892,123)-117)))*1,0))</f>
        <v>39962952</v>
      </c>
      <c r="AA2892" s="13">
        <f>$E2892+19</f>
        <v>126</v>
      </c>
      <c r="AB2892" s="14">
        <f>IF($J2892=0,0,ROUND(MAX($J2892*1.4*1.5*1.6*1.6*2.2*2.715*2.6*1.4*1.4,8430000000*(1.651435^(MIN($E2892,123)-117)))*1,0))</f>
        <v>55874381</v>
      </c>
      <c r="AC2892" s="11">
        <f>$E2892+21</f>
        <v>128</v>
      </c>
      <c r="AD2892" s="12">
        <f>IF($J2892=0,0,ROUND(MAX($J2892*1.4*1.5*1.6*1.6*2.2*2.715*2.6*1.4*1.4*1.5,12600000000*(1.652953^(MIN($E2892,123)-117)))*1,0))</f>
        <v>82749522</v>
      </c>
      <c r="AE2892" s="13">
        <f>$E2892+24</f>
        <v>131</v>
      </c>
      <c r="AF2892" s="14">
        <f>IF($J2892=0,0,ROUND(MAX($J2892*1.4*1.5*1.6*1.6*2.2*2.715*2.6*1.4*1.4*1.5*1.5,18900000000*(1.65331^(MIN($E2892,123)-117)))*1,0))</f>
        <v>123856521</v>
      </c>
      <c r="AG2892" s="11">
        <f>$E2892+27</f>
        <v>134</v>
      </c>
      <c r="AH2892" s="12">
        <f>IF($J2892=0,0,ROUND(MAX($J2892*1.4*1.5*1.6*1.6*2.2*2.715*2.6*1.4*1.4*1.5*1.5*3.2,60500000000*(1.654288^(MIN($E2892,123)-117)))*1,0))</f>
        <v>394134254</v>
      </c>
    </row>
    <row r="2893" ht="28" customHeight="1" spans="1:34" x14ac:dyDescent="0.25">
      <c r="A2893">
        <v>2903</v>
      </c>
      <c r="B2893" t="s">
        <v>233</v>
      </c>
      <c r="C2893" s="10" t="s">
        <v>1650</v>
      </c>
      <c r="D2893" t="s">
        <v>102</v>
      </c>
      <c r="E2893">
        <v>107</v>
      </c>
      <c r="F2893" t="s">
        <v>56</v>
      </c>
      <c r="G2893" t="s">
        <v>95</v>
      </c>
      <c r="H2893">
        <v>24</v>
      </c>
      <c r="I2893" s="11">
        <f>$E2893+0</f>
        <v>107</v>
      </c>
      <c r="J2893" s="12">
        <v>61400</v>
      </c>
      <c r="K2893" s="13">
        <f>$E2893+1</f>
        <v>108</v>
      </c>
      <c r="L2893" s="14">
        <f>IF($J2893=0,0,ROUND(MAX($J2893*1.4,1620000*(1.497923^(MIN($E2893,123)-117)))*1,0))</f>
        <v>85960</v>
      </c>
      <c r="M2893" s="11">
        <f>$E2893+2</f>
        <v>109</v>
      </c>
      <c r="N2893" s="12">
        <f>IF($J2893=0,0,ROUND(MAX($J2893*1.4*1.5,2190000*(1.580994^(MIN($E2893,123)-117)))*1,0))</f>
        <v>128940</v>
      </c>
      <c r="O2893" s="13">
        <f>$E2893+4</f>
        <v>111</v>
      </c>
      <c r="P2893" s="14">
        <f>IF($J2893=0,0,ROUND(MAX($J2893*1.4*1.5*1.6,3500000*(1.57975^(MIN($E2893,123)-117)))*1,0))</f>
        <v>206304</v>
      </c>
      <c r="Q2893" s="11">
        <f>$E2893+6</f>
        <v>113</v>
      </c>
      <c r="R2893" s="12">
        <f>IF($J2893=0,0,ROUND(MAX($J2893*1.4*1.5*1.6*1.6,13100000*(1.429962^(MIN($E2893,123)-117)))*1,0))</f>
        <v>366460</v>
      </c>
      <c r="S2893" s="13">
        <f>$E2893+8</f>
        <v>115</v>
      </c>
      <c r="T2893" s="14">
        <f>IF($J2893=0,0,ROUND(MAX($J2893*1.4*1.5*1.6*1.6*2.2,42600000*(1.576904^(MIN($E2893,123)-117)))*1,0))</f>
        <v>726190</v>
      </c>
      <c r="U2893" s="11">
        <f>$E2893+11</f>
        <v>118</v>
      </c>
      <c r="V2893" s="12">
        <f>IF($J2893=0,0,ROUND(MAX($J2893*1.4*1.5*1.6*1.6*2.2*2.715,354000000*(1.642074^(MIN($E2893,123)-117)))*1,0))</f>
        <v>2483568</v>
      </c>
      <c r="W2893" s="13">
        <f>$E2893+15</f>
        <v>122</v>
      </c>
      <c r="X2893" s="14">
        <f>IF($J2893=0,0,ROUND(MAX($J2893*1.4*1.5*1.6*1.6*2.2*2.715*2.6,3540000000*(1.579646^(MIN($E2893,123)-117)))*1,0))</f>
        <v>36593634</v>
      </c>
      <c r="Y2893" s="11">
        <f>$E2893+17</f>
        <v>124</v>
      </c>
      <c r="Z2893" s="12">
        <f>IF($J2893=0,0,ROUND(MAX($J2893*1.4*1.5*1.6*1.6*2.2*2.715*2.6*1.4,6020000000*(1.651178^(MIN($E2893,123)-117)))*1,0))</f>
        <v>39962952</v>
      </c>
      <c r="AA2893" s="13">
        <f>$E2893+19</f>
        <v>126</v>
      </c>
      <c r="AB2893" s="14">
        <f>IF($J2893=0,0,ROUND(MAX($J2893*1.4*1.5*1.6*1.6*2.2*2.715*2.6*1.4*1.4,8430000000*(1.651435^(MIN($E2893,123)-117)))*1,0))</f>
        <v>55874381</v>
      </c>
      <c r="AC2893" s="11">
        <f>$E2893+21</f>
        <v>128</v>
      </c>
      <c r="AD2893" s="12">
        <f>IF($J2893=0,0,ROUND(MAX($J2893*1.4*1.5*1.6*1.6*2.2*2.715*2.6*1.4*1.4*1.5,12600000000*(1.652953^(MIN($E2893,123)-117)))*1,0))</f>
        <v>82749522</v>
      </c>
      <c r="AE2893" s="13">
        <f>$E2893+24</f>
        <v>131</v>
      </c>
      <c r="AF2893" s="14">
        <f>IF($J2893=0,0,ROUND(MAX($J2893*1.4*1.5*1.6*1.6*2.2*2.715*2.6*1.4*1.4*1.5*1.5,18900000000*(1.65331^(MIN($E2893,123)-117)))*1,0))</f>
        <v>123856521</v>
      </c>
      <c r="AG2893" s="11">
        <f>$E2893+27</f>
        <v>134</v>
      </c>
      <c r="AH2893" s="12">
        <f>IF($J2893=0,0,ROUND(MAX($J2893*1.4*1.5*1.6*1.6*2.2*2.715*2.6*1.4*1.4*1.5*1.5*3.2,60500000000*(1.654288^(MIN($E2893,123)-117)))*1,0))</f>
        <v>394134254</v>
      </c>
    </row>
    <row r="2894" ht="28" customHeight="1" spans="1:34" x14ac:dyDescent="0.25">
      <c r="A2894">
        <v>2904</v>
      </c>
      <c r="B2894" t="s">
        <v>789</v>
      </c>
      <c r="C2894" s="10" t="s">
        <v>1650</v>
      </c>
      <c r="D2894" t="s">
        <v>25</v>
      </c>
      <c r="E2894">
        <v>107</v>
      </c>
      <c r="F2894" t="s">
        <v>56</v>
      </c>
      <c r="G2894" t="s">
        <v>57</v>
      </c>
      <c r="H2894">
        <v>24</v>
      </c>
      <c r="I2894" s="11">
        <f>$E2894+0</f>
        <v>107</v>
      </c>
      <c r="J2894" s="12">
        <v>12000000</v>
      </c>
      <c r="K2894" s="13">
        <f>$E2894+1</f>
        <v>108</v>
      </c>
      <c r="L2894" s="14">
        <f>IF($J2894=0,0,ROUND(MAX($J2894*1.4,1620000*(1.497923^(MIN($E2894,123)-117)))*1,0))</f>
        <v>16800000</v>
      </c>
      <c r="M2894" s="11">
        <f>$E2894+2</f>
        <v>109</v>
      </c>
      <c r="N2894" s="12">
        <f>IF($J2894=0,0,ROUND(MAX($J2894*1.4*1.5,2190000*(1.580994^(MIN($E2894,123)-117)))*1,0))</f>
        <v>25200000</v>
      </c>
      <c r="O2894" s="13">
        <f>$E2894+4</f>
        <v>111</v>
      </c>
      <c r="P2894" s="14">
        <f>IF($J2894=0,0,ROUND(MAX($J2894*1.4*1.5*1.6,3500000*(1.57975^(MIN($E2894,123)-117)))*1,0))</f>
        <v>40320000</v>
      </c>
      <c r="Q2894" s="11">
        <f>$E2894+6</f>
        <v>113</v>
      </c>
      <c r="R2894" s="12">
        <f>IF($J2894=0,0,ROUND(MAX($J2894*1.4*1.5*1.6*1.6,13100000*(1.429962^(MIN($E2894,123)-117)))*1,0))</f>
        <v>64512000</v>
      </c>
      <c r="S2894" s="13">
        <f>$E2894+8</f>
        <v>115</v>
      </c>
      <c r="T2894" s="14">
        <f>IF($J2894=0,0,ROUND(MAX($J2894*1.4*1.5*1.6*1.6*2.2,42600000*(1.576904^(MIN($E2894,123)-117)))*1,0))</f>
        <v>141926400</v>
      </c>
      <c r="U2894" s="11">
        <f>$E2894+11</f>
        <v>118</v>
      </c>
      <c r="V2894" s="12">
        <f>IF($J2894=0,0,ROUND(MAX($J2894*1.4*1.5*1.6*1.6*2.2*2.715,354000000*(1.642074^(MIN($E2894,123)-117)))*1,0))</f>
        <v>385330176</v>
      </c>
      <c r="W2894" s="13">
        <f>$E2894+15</f>
        <v>122</v>
      </c>
      <c r="X2894" s="14">
        <f>IF($J2894=0,0,ROUND(MAX($J2894*1.4*1.5*1.6*1.6*2.2*2.715*2.6,3540000000*(1.579646^(MIN($E2894,123)-117)))*1,0))</f>
        <v>1001858458</v>
      </c>
      <c r="Y2894" s="11">
        <f>$E2894+17</f>
        <v>124</v>
      </c>
      <c r="Z2894" s="12">
        <f>IF($J2894=0,0,ROUND(MAX($J2894*1.4*1.5*1.6*1.6*2.2*2.715*2.6*1.4,6020000000*(1.651178^(MIN($E2894,123)-117)))*1,0))</f>
        <v>1402601841</v>
      </c>
      <c r="AA2894" s="13">
        <f>$E2894+19</f>
        <v>126</v>
      </c>
      <c r="AB2894" s="14">
        <f>IF($J2894=0,0,ROUND(MAX($J2894*1.4*1.5*1.6*1.6*2.2*2.715*2.6*1.4*1.4,8430000000*(1.651435^(MIN($E2894,123)-117)))*1,0))</f>
        <v>1963642577</v>
      </c>
      <c r="AC2894" s="11">
        <f>$E2894+21</f>
        <v>128</v>
      </c>
      <c r="AD2894" s="12">
        <f>IF($J2894=0,0,ROUND(MAX($J2894*1.4*1.5*1.6*1.6*2.2*2.715*2.6*1.4*1.4*1.5,12600000000*(1.652953^(MIN($E2894,123)-117)))*1,0))</f>
        <v>2945463865</v>
      </c>
      <c r="AE2894" s="13">
        <f>$E2894+24</f>
        <v>131</v>
      </c>
      <c r="AF2894" s="14">
        <f>IF($J2894=0,0,ROUND(MAX($J2894*1.4*1.5*1.6*1.6*2.2*2.715*2.6*1.4*1.4*1.5*1.5,18900000000*(1.65331^(MIN($E2894,123)-117)))*1,0))</f>
        <v>4418195798</v>
      </c>
      <c r="AG2894" s="11">
        <f>$E2894+27</f>
        <v>134</v>
      </c>
      <c r="AH2894" s="12">
        <f>IF($J2894=0,0,ROUND(MAX($J2894*1.4*1.5*1.6*1.6*2.2*2.715*2.6*1.4*1.4*1.5*1.5*3.2,60500000000*(1.654288^(MIN($E2894,123)-117)))*1,0))</f>
        <v>14138226554</v>
      </c>
    </row>
    <row r="2895" ht="28" customHeight="1" spans="1:34" x14ac:dyDescent="0.25">
      <c r="A2895">
        <v>2905</v>
      </c>
      <c r="B2895" t="s">
        <v>1063</v>
      </c>
      <c r="C2895" s="10" t="s">
        <v>1650</v>
      </c>
      <c r="D2895" t="s">
        <v>79</v>
      </c>
      <c r="E2895">
        <v>107</v>
      </c>
      <c r="F2895" t="s">
        <v>71</v>
      </c>
      <c r="G2895" t="s">
        <v>562</v>
      </c>
      <c r="H2895">
        <v>24</v>
      </c>
      <c r="I2895" s="11">
        <f>$E2895+0</f>
        <v>107</v>
      </c>
      <c r="J2895" s="12">
        <v>7570</v>
      </c>
      <c r="K2895" s="13">
        <f>$E2895+1</f>
        <v>108</v>
      </c>
      <c r="L2895" s="14">
        <f>IF($J2895=0,0,ROUND(MAX($J2895*1.4,1620000*(1.497923^(MIN($E2895,123)-117)))*1,0))</f>
        <v>28485</v>
      </c>
      <c r="M2895" s="11">
        <f>$E2895+2</f>
        <v>109</v>
      </c>
      <c r="N2895" s="12">
        <f>IF($J2895=0,0,ROUND(MAX($J2895*1.4*1.5,2190000*(1.580994^(MIN($E2895,123)-117)))*1,0))</f>
        <v>22446</v>
      </c>
      <c r="O2895" s="13">
        <f>$E2895+4</f>
        <v>111</v>
      </c>
      <c r="P2895" s="14">
        <f>IF($J2895=0,0,ROUND(MAX($J2895*1.4*1.5*1.6,3500000*(1.57975^(MIN($E2895,123)-117)))*1,0))</f>
        <v>36156</v>
      </c>
      <c r="Q2895" s="11">
        <f>$E2895+6</f>
        <v>113</v>
      </c>
      <c r="R2895" s="12">
        <f>IF($J2895=0,0,ROUND(MAX($J2895*1.4*1.5*1.6*1.6,13100000*(1.429962^(MIN($E2895,123)-117)))*1,0))</f>
        <v>366460</v>
      </c>
      <c r="S2895" s="13">
        <f>$E2895+8</f>
        <v>115</v>
      </c>
      <c r="T2895" s="14">
        <f>IF($J2895=0,0,ROUND(MAX($J2895*1.4*1.5*1.6*1.6*2.2,42600000*(1.576904^(MIN($E2895,123)-117)))*1,0))</f>
        <v>448082</v>
      </c>
      <c r="U2895" s="11">
        <f>$E2895+11</f>
        <v>118</v>
      </c>
      <c r="V2895" s="12">
        <f>IF($J2895=0,0,ROUND(MAX($J2895*1.4*1.5*1.6*1.6*2.2*2.715,354000000*(1.642074^(MIN($E2895,123)-117)))*1,0))</f>
        <v>2483568</v>
      </c>
      <c r="W2895" s="13">
        <f>$E2895+15</f>
        <v>122</v>
      </c>
      <c r="X2895" s="14">
        <f>IF($J2895=0,0,ROUND(MAX($J2895*1.4*1.5*1.6*1.6*2.2*2.715*2.6,3540000000*(1.579646^(MIN($E2895,123)-117)))*1,0))</f>
        <v>36593634</v>
      </c>
      <c r="Y2895" s="11">
        <f>$E2895+17</f>
        <v>124</v>
      </c>
      <c r="Z2895" s="12">
        <f>IF($J2895=0,0,ROUND(MAX($J2895*1.4*1.5*1.6*1.6*2.2*2.715*2.6*1.4,6020000000*(1.651178^(MIN($E2895,123)-117)))*1,0))</f>
        <v>39962952</v>
      </c>
      <c r="AA2895" s="13">
        <f>$E2895+19</f>
        <v>126</v>
      </c>
      <c r="AB2895" s="14">
        <f>IF($J2895=0,0,ROUND(MAX($J2895*1.4*1.5*1.6*1.6*2.2*2.715*2.6*1.4*1.4,8430000000*(1.651435^(MIN($E2895,123)-117)))*1,0))</f>
        <v>55874381</v>
      </c>
      <c r="AC2895" s="11">
        <f>$E2895+21</f>
        <v>128</v>
      </c>
      <c r="AD2895" s="12">
        <f>IF($J2895=0,0,ROUND(MAX($J2895*1.4*1.5*1.6*1.6*2.2*2.715*2.6*1.4*1.4*1.5,12600000000*(1.652953^(MIN($E2895,123)-117)))*1,0))</f>
        <v>82749522</v>
      </c>
      <c r="AE2895" s="13">
        <f>$E2895+24</f>
        <v>131</v>
      </c>
      <c r="AF2895" s="14">
        <f>IF($J2895=0,0,ROUND(MAX($J2895*1.4*1.5*1.6*1.6*2.2*2.715*2.6*1.4*1.4*1.5*1.5,18900000000*(1.65331^(MIN($E2895,123)-117)))*1,0))</f>
        <v>123856521</v>
      </c>
      <c r="AG2895" s="11">
        <f>$E2895+27</f>
        <v>134</v>
      </c>
      <c r="AH2895" s="12">
        <f>IF($J2895=0,0,ROUND(MAX($J2895*1.4*1.5*1.6*1.6*2.2*2.715*2.6*1.4*1.4*1.5*1.5*3.2,60500000000*(1.654288^(MIN($E2895,123)-117)))*1,0))</f>
        <v>394134254</v>
      </c>
    </row>
    <row r="2896" ht="28" customHeight="1" spans="1:34" x14ac:dyDescent="0.25">
      <c r="A2896">
        <v>2906</v>
      </c>
      <c r="B2896" t="s">
        <v>1124</v>
      </c>
      <c r="C2896" s="10" t="s">
        <v>1650</v>
      </c>
      <c r="D2896" t="s">
        <v>25</v>
      </c>
      <c r="E2896">
        <v>107</v>
      </c>
      <c r="F2896" t="s">
        <v>71</v>
      </c>
      <c r="G2896" t="s">
        <v>562</v>
      </c>
      <c r="H2896">
        <v>24</v>
      </c>
      <c r="I2896" s="11">
        <f>$E2896+0</f>
        <v>107</v>
      </c>
      <c r="J2896" s="12">
        <v>34000</v>
      </c>
      <c r="K2896" s="13">
        <f>$E2896+1</f>
        <v>108</v>
      </c>
      <c r="L2896" s="14">
        <f>IF($J2896=0,0,ROUND(MAX($J2896*1.4,1620000*(1.497923^(MIN($E2896,123)-117)))*1,0))</f>
        <v>47600</v>
      </c>
      <c r="M2896" s="11">
        <f>$E2896+2</f>
        <v>109</v>
      </c>
      <c r="N2896" s="12">
        <f>IF($J2896=0,0,ROUND(MAX($J2896*1.4*1.5,2190000*(1.580994^(MIN($E2896,123)-117)))*1,0))</f>
        <v>71400</v>
      </c>
      <c r="O2896" s="13">
        <f>$E2896+4</f>
        <v>111</v>
      </c>
      <c r="P2896" s="14">
        <f>IF($J2896=0,0,ROUND(MAX($J2896*1.4*1.5*1.6,3500000*(1.57975^(MIN($E2896,123)-117)))*1,0))</f>
        <v>114240</v>
      </c>
      <c r="Q2896" s="11">
        <f>$E2896+6</f>
        <v>113</v>
      </c>
      <c r="R2896" s="12">
        <f>IF($J2896=0,0,ROUND(MAX($J2896*1.4*1.5*1.6*1.6,13100000*(1.429962^(MIN($E2896,123)-117)))*1,0))</f>
        <v>366460</v>
      </c>
      <c r="S2896" s="13">
        <f>$E2896+8</f>
        <v>115</v>
      </c>
      <c r="T2896" s="14">
        <f>IF($J2896=0,0,ROUND(MAX($J2896*1.4*1.5*1.6*1.6*2.2,42600000*(1.576904^(MIN($E2896,123)-117)))*1,0))</f>
        <v>448082</v>
      </c>
      <c r="U2896" s="11">
        <f>$E2896+11</f>
        <v>118</v>
      </c>
      <c r="V2896" s="12">
        <f>IF($J2896=0,0,ROUND(MAX($J2896*1.4*1.5*1.6*1.6*2.2*2.715,354000000*(1.642074^(MIN($E2896,123)-117)))*1,0))</f>
        <v>2483568</v>
      </c>
      <c r="W2896" s="13">
        <f>$E2896+15</f>
        <v>122</v>
      </c>
      <c r="X2896" s="14">
        <f>IF($J2896=0,0,ROUND(MAX($J2896*1.4*1.5*1.6*1.6*2.2*2.715*2.6,3540000000*(1.579646^(MIN($E2896,123)-117)))*1,0))</f>
        <v>36593634</v>
      </c>
      <c r="Y2896" s="11">
        <f>$E2896+17</f>
        <v>124</v>
      </c>
      <c r="Z2896" s="12">
        <f>IF($J2896=0,0,ROUND(MAX($J2896*1.4*1.5*1.6*1.6*2.2*2.715*2.6*1.4,6020000000*(1.651178^(MIN($E2896,123)-117)))*1,0))</f>
        <v>39962952</v>
      </c>
      <c r="AA2896" s="13">
        <f>$E2896+19</f>
        <v>126</v>
      </c>
      <c r="AB2896" s="14">
        <f>IF($J2896=0,0,ROUND(MAX($J2896*1.4*1.5*1.6*1.6*2.2*2.715*2.6*1.4*1.4,8430000000*(1.651435^(MIN($E2896,123)-117)))*1,0))</f>
        <v>55874381</v>
      </c>
      <c r="AC2896" s="11">
        <f>$E2896+21</f>
        <v>128</v>
      </c>
      <c r="AD2896" s="12">
        <f>IF($J2896=0,0,ROUND(MAX($J2896*1.4*1.5*1.6*1.6*2.2*2.715*2.6*1.4*1.4*1.5,12600000000*(1.652953^(MIN($E2896,123)-117)))*1,0))</f>
        <v>82749522</v>
      </c>
      <c r="AE2896" s="13">
        <f>$E2896+24</f>
        <v>131</v>
      </c>
      <c r="AF2896" s="14">
        <f>IF($J2896=0,0,ROUND(MAX($J2896*1.4*1.5*1.6*1.6*2.2*2.715*2.6*1.4*1.4*1.5*1.5,18900000000*(1.65331^(MIN($E2896,123)-117)))*1,0))</f>
        <v>123856521</v>
      </c>
      <c r="AG2896" s="11">
        <f>$E2896+27</f>
        <v>134</v>
      </c>
      <c r="AH2896" s="12">
        <f>IF($J2896=0,0,ROUND(MAX($J2896*1.4*1.5*1.6*1.6*2.2*2.715*2.6*1.4*1.4*1.5*1.5*3.2,60500000000*(1.654288^(MIN($E2896,123)-117)))*1,0))</f>
        <v>394134254</v>
      </c>
    </row>
    <row r="2897" ht="28" customHeight="1" spans="1:34" x14ac:dyDescent="0.25">
      <c r="A2897">
        <v>2907</v>
      </c>
      <c r="B2897" t="s">
        <v>186</v>
      </c>
      <c r="C2897" s="10" t="s">
        <v>1650</v>
      </c>
      <c r="D2897" t="s">
        <v>75</v>
      </c>
      <c r="E2897">
        <v>107</v>
      </c>
      <c r="F2897" t="s">
        <v>56</v>
      </c>
      <c r="G2897" t="s">
        <v>562</v>
      </c>
      <c r="H2897">
        <v>24</v>
      </c>
      <c r="I2897" s="11">
        <f>$E2897+0</f>
        <v>107</v>
      </c>
      <c r="J2897" s="12">
        <v>6240000</v>
      </c>
      <c r="K2897" s="13">
        <f>$E2897+1</f>
        <v>108</v>
      </c>
      <c r="L2897" s="14">
        <f>IF($J2897=0,0,ROUND(MAX($J2897*1.4,1620000*(1.497923^(MIN($E2897,123)-117)))*1,0))</f>
        <v>8736000</v>
      </c>
      <c r="M2897" s="11">
        <f>$E2897+2</f>
        <v>109</v>
      </c>
      <c r="N2897" s="12">
        <f>IF($J2897=0,0,ROUND(MAX($J2897*1.4*1.5,2190000*(1.580994^(MIN($E2897,123)-117)))*1,0))</f>
        <v>13104000</v>
      </c>
      <c r="O2897" s="13">
        <f>$E2897+4</f>
        <v>111</v>
      </c>
      <c r="P2897" s="14">
        <f>IF($J2897=0,0,ROUND(MAX($J2897*1.4*1.5*1.6,3500000*(1.57975^(MIN($E2897,123)-117)))*1,0))</f>
        <v>20966400</v>
      </c>
      <c r="Q2897" s="11">
        <f>$E2897+6</f>
        <v>113</v>
      </c>
      <c r="R2897" s="12">
        <f>IF($J2897=0,0,ROUND(MAX($J2897*1.4*1.5*1.6*1.6,13100000*(1.429962^(MIN($E2897,123)-117)))*1,0))</f>
        <v>33546240</v>
      </c>
      <c r="S2897" s="13">
        <f>$E2897+8</f>
        <v>115</v>
      </c>
      <c r="T2897" s="14">
        <f>IF($J2897=0,0,ROUND(MAX($J2897*1.4*1.5*1.6*1.6*2.2,42600000*(1.576904^(MIN($E2897,123)-117)))*1,0))</f>
        <v>73801728</v>
      </c>
      <c r="U2897" s="11">
        <f>$E2897+11</f>
        <v>118</v>
      </c>
      <c r="V2897" s="12">
        <f>IF($J2897=0,0,ROUND(MAX($J2897*1.4*1.5*1.6*1.6*2.2*2.715,354000000*(1.642074^(MIN($E2897,123)-117)))*1,0))</f>
        <v>200371692</v>
      </c>
      <c r="W2897" s="13">
        <f>$E2897+15</f>
        <v>122</v>
      </c>
      <c r="X2897" s="14">
        <f>IF($J2897=0,0,ROUND(MAX($J2897*1.4*1.5*1.6*1.6*2.2*2.715*2.6,3540000000*(1.579646^(MIN($E2897,123)-117)))*1,0))</f>
        <v>520966398</v>
      </c>
      <c r="Y2897" s="11">
        <f>$E2897+17</f>
        <v>124</v>
      </c>
      <c r="Z2897" s="12">
        <f>IF($J2897=0,0,ROUND(MAX($J2897*1.4*1.5*1.6*1.6*2.2*2.715*2.6*1.4,6020000000*(1.651178^(MIN($E2897,123)-117)))*1,0))</f>
        <v>729352957</v>
      </c>
      <c r="AA2897" s="13">
        <f>$E2897+19</f>
        <v>126</v>
      </c>
      <c r="AB2897" s="14">
        <f>IF($J2897=0,0,ROUND(MAX($J2897*1.4*1.5*1.6*1.6*2.2*2.715*2.6*1.4*1.4,8430000000*(1.651435^(MIN($E2897,123)-117)))*1,0))</f>
        <v>1021094140</v>
      </c>
      <c r="AC2897" s="11">
        <f>$E2897+21</f>
        <v>128</v>
      </c>
      <c r="AD2897" s="12">
        <f>IF($J2897=0,0,ROUND(MAX($J2897*1.4*1.5*1.6*1.6*2.2*2.715*2.6*1.4*1.4*1.5,12600000000*(1.652953^(MIN($E2897,123)-117)))*1,0))</f>
        <v>1531641210</v>
      </c>
      <c r="AE2897" s="13">
        <f>$E2897+24</f>
        <v>131</v>
      </c>
      <c r="AF2897" s="14">
        <f>IF($J2897=0,0,ROUND(MAX($J2897*1.4*1.5*1.6*1.6*2.2*2.715*2.6*1.4*1.4*1.5*1.5,18900000000*(1.65331^(MIN($E2897,123)-117)))*1,0))</f>
        <v>2297461815</v>
      </c>
      <c r="AG2897" s="11">
        <f>$E2897+27</f>
        <v>134</v>
      </c>
      <c r="AH2897" s="12">
        <f>IF($J2897=0,0,ROUND(MAX($J2897*1.4*1.5*1.6*1.6*2.2*2.715*2.6*1.4*1.4*1.5*1.5*3.2,60500000000*(1.654288^(MIN($E2897,123)-117)))*1,0))</f>
        <v>7351877808</v>
      </c>
    </row>
    <row r="2898" ht="28" customHeight="1" spans="1:34" x14ac:dyDescent="0.25">
      <c r="A2898">
        <v>2908</v>
      </c>
      <c r="B2898" t="s">
        <v>805</v>
      </c>
      <c r="C2898" s="10" t="s">
        <v>1650</v>
      </c>
      <c r="D2898" t="s">
        <v>79</v>
      </c>
      <c r="E2898">
        <v>107</v>
      </c>
      <c r="F2898" t="s">
        <v>56</v>
      </c>
      <c r="G2898" t="s">
        <v>185</v>
      </c>
      <c r="H2898">
        <v>23</v>
      </c>
      <c r="I2898" s="11">
        <f>$E2898+0</f>
        <v>107</v>
      </c>
      <c r="J2898" s="12">
        <v>5990000</v>
      </c>
      <c r="K2898" s="13">
        <f>$E2898+1</f>
        <v>108</v>
      </c>
      <c r="L2898" s="14">
        <f>IF($J2898=0,0,ROUND(MAX($J2898*1.4,1620000*(1.497923^(MIN($E2898,123)-117)))*1,0))</f>
        <v>8386000</v>
      </c>
      <c r="M2898" s="11">
        <f>$E2898+2</f>
        <v>109</v>
      </c>
      <c r="N2898" s="12">
        <f>IF($J2898=0,0,ROUND(MAX($J2898*1.4*1.5,2190000*(1.580994^(MIN($E2898,123)-117)))*1,0))</f>
        <v>12579000</v>
      </c>
      <c r="O2898" s="13">
        <f>$E2898+4</f>
        <v>111</v>
      </c>
      <c r="P2898" s="14">
        <f>IF($J2898=0,0,ROUND(MAX($J2898*1.4*1.5*1.6,3500000*(1.57975^(MIN($E2898,123)-117)))*1,0))</f>
        <v>20126400</v>
      </c>
      <c r="Q2898" s="11">
        <f>$E2898+6</f>
        <v>113</v>
      </c>
      <c r="R2898" s="12">
        <f>IF($J2898=0,0,ROUND(MAX($J2898*1.4*1.5*1.6*1.6,13100000*(1.429962^(MIN($E2898,123)-117)))*1,0))</f>
        <v>32202240</v>
      </c>
      <c r="S2898" s="13">
        <f>$E2898+8</f>
        <v>115</v>
      </c>
      <c r="T2898" s="14">
        <f>IF($J2898=0,0,ROUND(MAX($J2898*1.4*1.5*1.6*1.6*2.2,42600000*(1.576904^(MIN($E2898,123)-117)))*1,0))</f>
        <v>70844928</v>
      </c>
      <c r="U2898" s="11">
        <f>$E2898+11</f>
        <v>118</v>
      </c>
      <c r="V2898" s="12">
        <f>IF($J2898=0,0,ROUND(MAX($J2898*1.4*1.5*1.6*1.6*2.2*2.715,354000000*(1.642074^(MIN($E2898,123)-117)))*1,0))</f>
        <v>192343980</v>
      </c>
      <c r="W2898" s="13">
        <f>$E2898+15</f>
        <v>122</v>
      </c>
      <c r="X2898" s="14">
        <f>IF($J2898=0,0,ROUND(MAX($J2898*1.4*1.5*1.6*1.6*2.2*2.715*2.6,3540000000*(1.579646^(MIN($E2898,123)-117)))*1,0))</f>
        <v>500094347</v>
      </c>
      <c r="Y2898" s="11">
        <f>$E2898+17</f>
        <v>124</v>
      </c>
      <c r="Z2898" s="12">
        <f>IF($J2898=0,0,ROUND(MAX($J2898*1.4*1.5*1.6*1.6*2.2*2.715*2.6*1.4,6020000000*(1.651178^(MIN($E2898,123)-117)))*1,0))</f>
        <v>700132085</v>
      </c>
      <c r="AA2898" s="13">
        <f>$E2898+19</f>
        <v>126</v>
      </c>
      <c r="AB2898" s="14">
        <f>IF($J2898=0,0,ROUND(MAX($J2898*1.4*1.5*1.6*1.6*2.2*2.715*2.6*1.4*1.4,8430000000*(1.651435^(MIN($E2898,123)-117)))*1,0))</f>
        <v>980184920</v>
      </c>
      <c r="AC2898" s="11">
        <f>$E2898+21</f>
        <v>128</v>
      </c>
      <c r="AD2898" s="12">
        <f>IF($J2898=0,0,ROUND(MAX($J2898*1.4*1.5*1.6*1.6*2.2*2.715*2.6*1.4*1.4*1.5,12600000000*(1.652953^(MIN($E2898,123)-117)))*1,0))</f>
        <v>1470277379</v>
      </c>
      <c r="AE2898" s="13">
        <f>$E2898+24</f>
        <v>131</v>
      </c>
      <c r="AF2898" s="14">
        <f>IF($J2898=0,0,ROUND(MAX($J2898*1.4*1.5*1.6*1.6*2.2*2.715*2.6*1.4*1.4*1.5*1.5,18900000000*(1.65331^(MIN($E2898,123)-117)))*1,0))</f>
        <v>2205416069</v>
      </c>
      <c r="AG2898" s="11">
        <f>$E2898+27</f>
        <v>134</v>
      </c>
      <c r="AH2898" s="12">
        <f>IF($J2898=0,0,ROUND(MAX($J2898*1.4*1.5*1.6*1.6*2.2*2.715*2.6*1.4*1.4*1.5*1.5*3.2,60500000000*(1.654288^(MIN($E2898,123)-117)))*1,0))</f>
        <v>7057331421</v>
      </c>
    </row>
    <row r="2899" ht="28" customHeight="1" spans="1:34" x14ac:dyDescent="0.25">
      <c r="A2899">
        <v>2909</v>
      </c>
      <c r="B2899" t="s">
        <v>780</v>
      </c>
      <c r="C2899" s="10" t="s">
        <v>1650</v>
      </c>
      <c r="D2899" t="s">
        <v>90</v>
      </c>
      <c r="E2899">
        <v>107</v>
      </c>
      <c r="F2899" t="s">
        <v>56</v>
      </c>
      <c r="G2899" t="s">
        <v>38</v>
      </c>
      <c r="H2899">
        <v>23</v>
      </c>
      <c r="I2899" s="11">
        <f>$E2899+0</f>
        <v>107</v>
      </c>
      <c r="J2899" s="12">
        <v>17000000</v>
      </c>
      <c r="K2899" s="13">
        <f>$E2899+1</f>
        <v>108</v>
      </c>
      <c r="L2899" s="14">
        <f>IF($J2899=0,0,ROUND(MAX($J2899*1.4,1620000*(1.497923^(MIN($E2899,123)-117)))*1,0))</f>
        <v>23800000</v>
      </c>
      <c r="M2899" s="11">
        <f>$E2899+2</f>
        <v>109</v>
      </c>
      <c r="N2899" s="12">
        <f>IF($J2899=0,0,ROUND(MAX($J2899*1.4*1.5,2190000*(1.580994^(MIN($E2899,123)-117)))*1,0))</f>
        <v>35700000</v>
      </c>
      <c r="O2899" s="13">
        <f>$E2899+4</f>
        <v>111</v>
      </c>
      <c r="P2899" s="14">
        <f>IF($J2899=0,0,ROUND(MAX($J2899*1.4*1.5*1.6,3500000*(1.57975^(MIN($E2899,123)-117)))*1,0))</f>
        <v>57120000</v>
      </c>
      <c r="Q2899" s="11">
        <f>$E2899+6</f>
        <v>113</v>
      </c>
      <c r="R2899" s="12">
        <f>IF($J2899=0,0,ROUND(MAX($J2899*1.4*1.5*1.6*1.6,13100000*(1.429962^(MIN($E2899,123)-117)))*1,0))</f>
        <v>91392000</v>
      </c>
      <c r="S2899" s="13">
        <f>$E2899+8</f>
        <v>115</v>
      </c>
      <c r="T2899" s="14">
        <f>IF($J2899=0,0,ROUND(MAX($J2899*1.4*1.5*1.6*1.6*2.2,42600000*(1.576904^(MIN($E2899,123)-117)))*1,0))</f>
        <v>201062400</v>
      </c>
      <c r="U2899" s="11">
        <f>$E2899+11</f>
        <v>118</v>
      </c>
      <c r="V2899" s="12">
        <f>IF($J2899=0,0,ROUND(MAX($J2899*1.4*1.5*1.6*1.6*2.2*2.715,354000000*(1.642074^(MIN($E2899,123)-117)))*1,0))</f>
        <v>545884416</v>
      </c>
      <c r="W2899" s="13">
        <f>$E2899+15</f>
        <v>122</v>
      </c>
      <c r="X2899" s="14">
        <f>IF($J2899=0,0,ROUND(MAX($J2899*1.4*1.5*1.6*1.6*2.2*2.715*2.6,3540000000*(1.579646^(MIN($E2899,123)-117)))*1,0))</f>
        <v>1419299482</v>
      </c>
      <c r="Y2899" s="11">
        <f>$E2899+17</f>
        <v>124</v>
      </c>
      <c r="Z2899" s="12">
        <f>IF($J2899=0,0,ROUND(MAX($J2899*1.4*1.5*1.6*1.6*2.2*2.715*2.6*1.4,6020000000*(1.651178^(MIN($E2899,123)-117)))*1,0))</f>
        <v>1987019274</v>
      </c>
      <c r="AA2899" s="13">
        <f>$E2899+19</f>
        <v>126</v>
      </c>
      <c r="AB2899" s="14">
        <f>IF($J2899=0,0,ROUND(MAX($J2899*1.4*1.5*1.6*1.6*2.2*2.715*2.6*1.4*1.4,8430000000*(1.651435^(MIN($E2899,123)-117)))*1,0))</f>
        <v>2781826984</v>
      </c>
      <c r="AC2899" s="11">
        <f>$E2899+21</f>
        <v>128</v>
      </c>
      <c r="AD2899" s="12">
        <f>IF($J2899=0,0,ROUND(MAX($J2899*1.4*1.5*1.6*1.6*2.2*2.715*2.6*1.4*1.4*1.5,12600000000*(1.652953^(MIN($E2899,123)-117)))*1,0))</f>
        <v>4172740476</v>
      </c>
      <c r="AE2899" s="13">
        <f>$E2899+24</f>
        <v>131</v>
      </c>
      <c r="AF2899" s="14">
        <f>IF($J2899=0,0,ROUND(MAX($J2899*1.4*1.5*1.6*1.6*2.2*2.715*2.6*1.4*1.4*1.5*1.5,18900000000*(1.65331^(MIN($E2899,123)-117)))*1,0))</f>
        <v>6259110714</v>
      </c>
      <c r="AG2899" s="11">
        <f>$E2899+27</f>
        <v>134</v>
      </c>
      <c r="AH2899" s="12">
        <f>IF($J2899=0,0,ROUND(MAX($J2899*1.4*1.5*1.6*1.6*2.2*2.715*2.6*1.4*1.4*1.5*1.5*3.2,60500000000*(1.654288^(MIN($E2899,123)-117)))*1,0))</f>
        <v>20029154284</v>
      </c>
    </row>
    <row r="2900" ht="28" customHeight="1" spans="1:34" x14ac:dyDescent="0.25">
      <c r="A2900">
        <v>2910</v>
      </c>
      <c r="B2900" t="s">
        <v>1652</v>
      </c>
      <c r="C2900" s="10" t="s">
        <v>1650</v>
      </c>
      <c r="D2900" t="s">
        <v>102</v>
      </c>
      <c r="E2900">
        <v>107</v>
      </c>
      <c r="F2900" t="s">
        <v>194</v>
      </c>
      <c r="G2900" t="s">
        <v>326</v>
      </c>
      <c r="H2900">
        <v>23</v>
      </c>
      <c r="I2900" s="11">
        <f>$E2900+0</f>
        <v>107</v>
      </c>
      <c r="J2900" s="12">
        <v>74600</v>
      </c>
      <c r="K2900" s="13">
        <f>$E2900+1</f>
        <v>108</v>
      </c>
      <c r="L2900" s="14">
        <f>IF($J2900=0,0,ROUND(MAX($J2900*1.4,1620000*(1.497923^(MIN($E2900,123)-117)))*1,0))</f>
        <v>104440</v>
      </c>
      <c r="M2900" s="11">
        <f>$E2900+2</f>
        <v>109</v>
      </c>
      <c r="N2900" s="12">
        <f>IF($J2900=0,0,ROUND(MAX($J2900*1.4*1.5,2190000*(1.580994^(MIN($E2900,123)-117)))*1,0))</f>
        <v>156660</v>
      </c>
      <c r="O2900" s="13">
        <f>$E2900+4</f>
        <v>111</v>
      </c>
      <c r="P2900" s="14">
        <f>IF($J2900=0,0,ROUND(MAX($J2900*1.4*1.5*1.6,3500000*(1.57975^(MIN($E2900,123)-117)))*1,0))</f>
        <v>250656</v>
      </c>
      <c r="Q2900" s="11">
        <f>$E2900+6</f>
        <v>113</v>
      </c>
      <c r="R2900" s="12">
        <f>IF($J2900=0,0,ROUND(MAX($J2900*1.4*1.5*1.6*1.6,13100000*(1.429962^(MIN($E2900,123)-117)))*1,0))</f>
        <v>401050</v>
      </c>
      <c r="S2900" s="13">
        <f>$E2900+8</f>
        <v>115</v>
      </c>
      <c r="T2900" s="14">
        <f>IF($J2900=0,0,ROUND(MAX($J2900*1.4*1.5*1.6*1.6*2.2,42600000*(1.576904^(MIN($E2900,123)-117)))*1,0))</f>
        <v>882309</v>
      </c>
      <c r="U2900" s="11">
        <f>$E2900+11</f>
        <v>118</v>
      </c>
      <c r="V2900" s="12">
        <f>IF($J2900=0,0,ROUND(MAX($J2900*1.4*1.5*1.6*1.6*2.2*2.715,354000000*(1.642074^(MIN($E2900,123)-117)))*1,0))</f>
        <v>2483568</v>
      </c>
      <c r="W2900" s="13">
        <f>$E2900+15</f>
        <v>122</v>
      </c>
      <c r="X2900" s="14">
        <f>IF($J2900=0,0,ROUND(MAX($J2900*1.4*1.5*1.6*1.6*2.2*2.715*2.6,3540000000*(1.579646^(MIN($E2900,123)-117)))*1,0))</f>
        <v>36593634</v>
      </c>
      <c r="Y2900" s="11">
        <f>$E2900+17</f>
        <v>124</v>
      </c>
      <c r="Z2900" s="12">
        <f>IF($J2900=0,0,ROUND(MAX($J2900*1.4*1.5*1.6*1.6*2.2*2.715*2.6*1.4,6020000000*(1.651178^(MIN($E2900,123)-117)))*1,0))</f>
        <v>39962952</v>
      </c>
      <c r="AA2900" s="13">
        <f>$E2900+19</f>
        <v>126</v>
      </c>
      <c r="AB2900" s="14">
        <f>IF($J2900=0,0,ROUND(MAX($J2900*1.4*1.5*1.6*1.6*2.2*2.715*2.6*1.4*1.4,8430000000*(1.651435^(MIN($E2900,123)-117)))*1,0))</f>
        <v>55874381</v>
      </c>
      <c r="AC2900" s="11">
        <f>$E2900+21</f>
        <v>128</v>
      </c>
      <c r="AD2900" s="12">
        <f>IF($J2900=0,0,ROUND(MAX($J2900*1.4*1.5*1.6*1.6*2.2*2.715*2.6*1.4*1.4*1.5,12600000000*(1.652953^(MIN($E2900,123)-117)))*1,0))</f>
        <v>82749522</v>
      </c>
      <c r="AE2900" s="13">
        <f>$E2900+24</f>
        <v>131</v>
      </c>
      <c r="AF2900" s="14">
        <f>IF($J2900=0,0,ROUND(MAX($J2900*1.4*1.5*1.6*1.6*2.2*2.715*2.6*1.4*1.4*1.5*1.5,18900000000*(1.65331^(MIN($E2900,123)-117)))*1,0))</f>
        <v>123856521</v>
      </c>
      <c r="AG2900" s="11">
        <f>$E2900+27</f>
        <v>134</v>
      </c>
      <c r="AH2900" s="12">
        <f>IF($J2900=0,0,ROUND(MAX($J2900*1.4*1.5*1.6*1.6*2.2*2.715*2.6*1.4*1.4*1.5*1.5*3.2,60500000000*(1.654288^(MIN($E2900,123)-117)))*1,0))</f>
        <v>394134254</v>
      </c>
    </row>
    <row r="2901" ht="28" customHeight="1" spans="1:34" x14ac:dyDescent="0.25">
      <c r="A2901">
        <v>2911</v>
      </c>
      <c r="B2901" t="s">
        <v>1051</v>
      </c>
      <c r="C2901" s="10" t="s">
        <v>1650</v>
      </c>
      <c r="D2901" t="s">
        <v>45</v>
      </c>
      <c r="E2901">
        <v>107</v>
      </c>
      <c r="F2901" t="s">
        <v>71</v>
      </c>
      <c r="G2901" t="s">
        <v>562</v>
      </c>
      <c r="H2901">
        <v>23</v>
      </c>
      <c r="I2901" s="11">
        <f>$E2901+0</f>
        <v>107</v>
      </c>
      <c r="J2901" s="12">
        <v>58700</v>
      </c>
      <c r="K2901" s="13">
        <f>$E2901+1</f>
        <v>108</v>
      </c>
      <c r="L2901" s="14">
        <f>IF($J2901=0,0,ROUND(MAX($J2901*1.4,1620000*(1.497923^(MIN($E2901,123)-117)))*1,0))</f>
        <v>82180</v>
      </c>
      <c r="M2901" s="11">
        <f>$E2901+2</f>
        <v>109</v>
      </c>
      <c r="N2901" s="12">
        <f>IF($J2901=0,0,ROUND(MAX($J2901*1.4*1.5,2190000*(1.580994^(MIN($E2901,123)-117)))*1,0))</f>
        <v>123270</v>
      </c>
      <c r="O2901" s="13">
        <f>$E2901+4</f>
        <v>111</v>
      </c>
      <c r="P2901" s="14">
        <f>IF($J2901=0,0,ROUND(MAX($J2901*1.4*1.5*1.6,3500000*(1.57975^(MIN($E2901,123)-117)))*1,0))</f>
        <v>197232</v>
      </c>
      <c r="Q2901" s="11">
        <f>$E2901+6</f>
        <v>113</v>
      </c>
      <c r="R2901" s="12">
        <f>IF($J2901=0,0,ROUND(MAX($J2901*1.4*1.5*1.6*1.6,13100000*(1.429962^(MIN($E2901,123)-117)))*1,0))</f>
        <v>366460</v>
      </c>
      <c r="S2901" s="13">
        <f>$E2901+8</f>
        <v>115</v>
      </c>
      <c r="T2901" s="14">
        <f>IF($J2901=0,0,ROUND(MAX($J2901*1.4*1.5*1.6*1.6*2.2,42600000*(1.576904^(MIN($E2901,123)-117)))*1,0))</f>
        <v>694257</v>
      </c>
      <c r="U2901" s="11">
        <f>$E2901+11</f>
        <v>118</v>
      </c>
      <c r="V2901" s="12">
        <f>IF($J2901=0,0,ROUND(MAX($J2901*1.4*1.5*1.6*1.6*2.2*2.715,354000000*(1.642074^(MIN($E2901,123)-117)))*1,0))</f>
        <v>2483568</v>
      </c>
      <c r="W2901" s="13">
        <f>$E2901+15</f>
        <v>122</v>
      </c>
      <c r="X2901" s="14">
        <f>IF($J2901=0,0,ROUND(MAX($J2901*1.4*1.5*1.6*1.6*2.2*2.715*2.6,3540000000*(1.579646^(MIN($E2901,123)-117)))*1,0))</f>
        <v>36593634</v>
      </c>
      <c r="Y2901" s="11">
        <f>$E2901+17</f>
        <v>124</v>
      </c>
      <c r="Z2901" s="12">
        <f>IF($J2901=0,0,ROUND(MAX($J2901*1.4*1.5*1.6*1.6*2.2*2.715*2.6*1.4,6020000000*(1.651178^(MIN($E2901,123)-117)))*1,0))</f>
        <v>39962952</v>
      </c>
      <c r="AA2901" s="13">
        <f>$E2901+19</f>
        <v>126</v>
      </c>
      <c r="AB2901" s="14">
        <f>IF($J2901=0,0,ROUND(MAX($J2901*1.4*1.5*1.6*1.6*2.2*2.715*2.6*1.4*1.4,8430000000*(1.651435^(MIN($E2901,123)-117)))*1,0))</f>
        <v>55874381</v>
      </c>
      <c r="AC2901" s="11">
        <f>$E2901+21</f>
        <v>128</v>
      </c>
      <c r="AD2901" s="12">
        <f>IF($J2901=0,0,ROUND(MAX($J2901*1.4*1.5*1.6*1.6*2.2*2.715*2.6*1.4*1.4*1.5,12600000000*(1.652953^(MIN($E2901,123)-117)))*1,0))</f>
        <v>82749522</v>
      </c>
      <c r="AE2901" s="13">
        <f>$E2901+24</f>
        <v>131</v>
      </c>
      <c r="AF2901" s="14">
        <f>IF($J2901=0,0,ROUND(MAX($J2901*1.4*1.5*1.6*1.6*2.2*2.715*2.6*1.4*1.4*1.5*1.5,18900000000*(1.65331^(MIN($E2901,123)-117)))*1,0))</f>
        <v>123856521</v>
      </c>
      <c r="AG2901" s="11">
        <f>$E2901+27</f>
        <v>134</v>
      </c>
      <c r="AH2901" s="12">
        <f>IF($J2901=0,0,ROUND(MAX($J2901*1.4*1.5*1.6*1.6*2.2*2.715*2.6*1.4*1.4*1.5*1.5*3.2,60500000000*(1.654288^(MIN($E2901,123)-117)))*1,0))</f>
        <v>394134254</v>
      </c>
    </row>
    <row r="2902" ht="28" customHeight="1" spans="1:34" x14ac:dyDescent="0.25">
      <c r="A2902">
        <v>2912</v>
      </c>
      <c r="B2902" t="s">
        <v>785</v>
      </c>
      <c r="C2902" s="10" t="s">
        <v>1650</v>
      </c>
      <c r="D2902" t="s">
        <v>47</v>
      </c>
      <c r="E2902">
        <v>107</v>
      </c>
      <c r="F2902" t="s">
        <v>34</v>
      </c>
      <c r="G2902" t="s">
        <v>72</v>
      </c>
      <c r="H2902">
        <v>21</v>
      </c>
      <c r="I2902" s="11">
        <f>$E2902+0</f>
        <v>107</v>
      </c>
      <c r="J2902" s="12">
        <v>427000</v>
      </c>
      <c r="K2902" s="13">
        <f>$E2902+1</f>
        <v>108</v>
      </c>
      <c r="L2902" s="14">
        <f>IF($J2902=0,0,ROUND(MAX($J2902*1.4,1620000*(1.497923^(MIN($E2902,123)-117)))*1,0))</f>
        <v>597800</v>
      </c>
      <c r="M2902" s="11">
        <f>$E2902+2</f>
        <v>109</v>
      </c>
      <c r="N2902" s="12">
        <f>IF($J2902=0,0,ROUND(MAX($J2902*1.4*1.5,2190000*(1.580994^(MIN($E2902,123)-117)))*1,0))</f>
        <v>896700</v>
      </c>
      <c r="O2902" s="13">
        <f>$E2902+4</f>
        <v>111</v>
      </c>
      <c r="P2902" s="14">
        <f>IF($J2902=0,0,ROUND(MAX($J2902*1.4*1.5*1.6,3500000*(1.57975^(MIN($E2902,123)-117)))*1,0))</f>
        <v>1434720</v>
      </c>
      <c r="Q2902" s="11">
        <f>$E2902+6</f>
        <v>113</v>
      </c>
      <c r="R2902" s="12">
        <f>IF($J2902=0,0,ROUND(MAX($J2902*1.4*1.5*1.6*1.6,13100000*(1.429962^(MIN($E2902,123)-117)))*1,0))</f>
        <v>2295552</v>
      </c>
      <c r="S2902" s="13">
        <f>$E2902+8</f>
        <v>115</v>
      </c>
      <c r="T2902" s="14">
        <f>IF($J2902=0,0,ROUND(MAX($J2902*1.4*1.5*1.6*1.6*2.2,42600000*(1.576904^(MIN($E2902,123)-117)))*1,0))</f>
        <v>5050214</v>
      </c>
      <c r="U2902" s="11">
        <f>$E2902+11</f>
        <v>118</v>
      </c>
      <c r="V2902" s="12">
        <f>IF($J2902=0,0,ROUND(MAX($J2902*1.4*1.5*1.6*1.6*2.2*2.715,354000000*(1.642074^(MIN($E2902,123)-117)))*1,0))</f>
        <v>13711332</v>
      </c>
      <c r="W2902" s="13">
        <f>$E2902+15</f>
        <v>122</v>
      </c>
      <c r="X2902" s="14">
        <f>IF($J2902=0,0,ROUND(MAX($J2902*1.4*1.5*1.6*1.6*2.2*2.715*2.6,3540000000*(1.579646^(MIN($E2902,123)-117)))*1,0))</f>
        <v>36593634</v>
      </c>
      <c r="Y2902" s="11">
        <f>$E2902+17</f>
        <v>124</v>
      </c>
      <c r="Z2902" s="12">
        <f>IF($J2902=0,0,ROUND(MAX($J2902*1.4*1.5*1.6*1.6*2.2*2.715*2.6*1.4,6020000000*(1.651178^(MIN($E2902,123)-117)))*1,0))</f>
        <v>49909249</v>
      </c>
      <c r="AA2902" s="13">
        <f>$E2902+19</f>
        <v>126</v>
      </c>
      <c r="AB2902" s="14">
        <f>IF($J2902=0,0,ROUND(MAX($J2902*1.4*1.5*1.6*1.6*2.2*2.715*2.6*1.4*1.4,8430000000*(1.651435^(MIN($E2902,123)-117)))*1,0))</f>
        <v>69872948</v>
      </c>
      <c r="AC2902" s="11">
        <f>$E2902+21</f>
        <v>128</v>
      </c>
      <c r="AD2902" s="12">
        <f>IF($J2902=0,0,ROUND(MAX($J2902*1.4*1.5*1.6*1.6*2.2*2.715*2.6*1.4*1.4*1.5,12600000000*(1.652953^(MIN($E2902,123)-117)))*1,0))</f>
        <v>104809423</v>
      </c>
      <c r="AE2902" s="13">
        <f>$E2902+24</f>
        <v>131</v>
      </c>
      <c r="AF2902" s="14">
        <f>IF($J2902=0,0,ROUND(MAX($J2902*1.4*1.5*1.6*1.6*2.2*2.715*2.6*1.4*1.4*1.5*1.5,18900000000*(1.65331^(MIN($E2902,123)-117)))*1,0))</f>
        <v>157214134</v>
      </c>
      <c r="AG2902" s="11">
        <f>$E2902+27</f>
        <v>134</v>
      </c>
      <c r="AH2902" s="12">
        <f>IF($J2902=0,0,ROUND(MAX($J2902*1.4*1.5*1.6*1.6*2.2*2.715*2.6*1.4*1.4*1.5*1.5*3.2,60500000000*(1.654288^(MIN($E2902,123)-117)))*1,0))</f>
        <v>503085228</v>
      </c>
    </row>
    <row r="2903" ht="28" customHeight="1" spans="1:34" x14ac:dyDescent="0.25">
      <c r="A2903">
        <v>2913</v>
      </c>
      <c r="B2903" t="s">
        <v>117</v>
      </c>
      <c r="C2903" s="10" t="s">
        <v>1650</v>
      </c>
      <c r="D2903" t="s">
        <v>40</v>
      </c>
      <c r="E2903">
        <v>106</v>
      </c>
      <c r="F2903" t="s">
        <v>54</v>
      </c>
      <c r="G2903" t="s">
        <v>562</v>
      </c>
      <c r="H2903">
        <v>25</v>
      </c>
      <c r="I2903" s="11">
        <f>$E2903+0</f>
        <v>106</v>
      </c>
      <c r="J2903" s="12">
        <v>52800</v>
      </c>
      <c r="K2903" s="13">
        <f>$E2903+1</f>
        <v>107</v>
      </c>
      <c r="L2903" s="14">
        <f>IF($J2903=0,0,ROUND(MAX($J2903*1.4,1620000*(1.497923^(MIN($E2903,123)-117)))*1,0))</f>
        <v>73920</v>
      </c>
      <c r="M2903" s="11">
        <f>$E2903+2</f>
        <v>108</v>
      </c>
      <c r="N2903" s="12">
        <f>IF($J2903=0,0,ROUND(MAX($J2903*1.4*1.5,2190000*(1.580994^(MIN($E2903,123)-117)))*1,0))</f>
        <v>110880</v>
      </c>
      <c r="O2903" s="13">
        <f>$E2903+4</f>
        <v>110</v>
      </c>
      <c r="P2903" s="14">
        <f>IF($J2903=0,0,ROUND(MAX($J2903*1.4*1.5*1.6,3500000*(1.57975^(MIN($E2903,123)-117)))*1,0))</f>
        <v>177408</v>
      </c>
      <c r="Q2903" s="11">
        <f>$E2903+6</f>
        <v>112</v>
      </c>
      <c r="R2903" s="12">
        <f>IF($J2903=0,0,ROUND(MAX($J2903*1.4*1.5*1.6*1.6,13100000*(1.429962^(MIN($E2903,123)-117)))*1,0))</f>
        <v>283853</v>
      </c>
      <c r="S2903" s="13">
        <f>$E2903+8</f>
        <v>114</v>
      </c>
      <c r="T2903" s="14">
        <f>IF($J2903=0,0,ROUND(MAX($J2903*1.4*1.5*1.6*1.6*2.2,42600000*(1.576904^(MIN($E2903,123)-117)))*1,0))</f>
        <v>624476</v>
      </c>
      <c r="U2903" s="11">
        <f>$E2903+11</f>
        <v>117</v>
      </c>
      <c r="V2903" s="12">
        <f>IF($J2903=0,0,ROUND(MAX($J2903*1.4*1.5*1.6*1.6*2.2*2.715,354000000*(1.642074^(MIN($E2903,123)-117)))*1,0))</f>
        <v>1695453</v>
      </c>
      <c r="W2903" s="13">
        <f>$E2903+15</f>
        <v>121</v>
      </c>
      <c r="X2903" s="14">
        <f>IF($J2903=0,0,ROUND(MAX($J2903*1.4*1.5*1.6*1.6*2.2*2.715*2.6,3540000000*(1.579646^(MIN($E2903,123)-117)))*1,0))</f>
        <v>23165718</v>
      </c>
      <c r="Y2903" s="11">
        <f>$E2903+17</f>
        <v>123</v>
      </c>
      <c r="Z2903" s="12">
        <f>IF($J2903=0,0,ROUND(MAX($J2903*1.4*1.5*1.6*1.6*2.2*2.715*2.6*1.4,6020000000*(1.651178^(MIN($E2903,123)-117)))*1,0))</f>
        <v>24202691</v>
      </c>
      <c r="AA2903" s="13">
        <f>$E2903+19</f>
        <v>125</v>
      </c>
      <c r="AB2903" s="14">
        <f>IF($J2903=0,0,ROUND(MAX($J2903*1.4*1.5*1.6*1.6*2.2*2.715*2.6*1.4*1.4,8430000000*(1.651435^(MIN($E2903,123)-117)))*1,0))</f>
        <v>33833836</v>
      </c>
      <c r="AC2903" s="11">
        <f>$E2903+21</f>
        <v>127</v>
      </c>
      <c r="AD2903" s="12">
        <f>IF($J2903=0,0,ROUND(MAX($J2903*1.4*1.5*1.6*1.6*2.2*2.715*2.6*1.4*1.4*1.5,12600000000*(1.652953^(MIN($E2903,123)-117)))*1,0))</f>
        <v>50061630</v>
      </c>
      <c r="AE2903" s="13">
        <f>$E2903+24</f>
        <v>130</v>
      </c>
      <c r="AF2903" s="14">
        <f>IF($J2903=0,0,ROUND(MAX($J2903*1.4*1.5*1.6*1.6*2.2*2.715*2.6*1.4*1.4*1.5*1.5,18900000000*(1.65331^(MIN($E2903,123)-117)))*1,0))</f>
        <v>74914276</v>
      </c>
      <c r="AG2903" s="11">
        <f>$E2903+27</f>
        <v>133</v>
      </c>
      <c r="AH2903" s="12">
        <f>IF($J2903=0,0,ROUND(MAX($J2903*1.4*1.5*1.6*1.6*2.2*2.715*2.6*1.4*1.4*1.5*1.5*3.2,60500000000*(1.654288^(MIN($E2903,123)-117)))*1,0))</f>
        <v>238250083</v>
      </c>
    </row>
    <row r="2904" ht="28" customHeight="1" spans="1:34" x14ac:dyDescent="0.25">
      <c r="A2904">
        <v>2914</v>
      </c>
      <c r="B2904" t="s">
        <v>584</v>
      </c>
      <c r="C2904" s="10" t="s">
        <v>1650</v>
      </c>
      <c r="D2904" t="s">
        <v>29</v>
      </c>
      <c r="E2904">
        <v>106</v>
      </c>
      <c r="F2904" t="s">
        <v>62</v>
      </c>
      <c r="G2904" t="s">
        <v>133</v>
      </c>
      <c r="H2904">
        <v>24</v>
      </c>
      <c r="I2904" s="11">
        <f>$E2904+0</f>
        <v>106</v>
      </c>
      <c r="J2904" s="12">
        <v>9000000</v>
      </c>
      <c r="K2904" s="13">
        <f>$E2904+1</f>
        <v>107</v>
      </c>
      <c r="L2904" s="14">
        <f>IF($J2904=0,0,ROUND(MAX($J2904*1.4,1620000*(1.497923^(MIN($E2904,123)-117)))*1,0))</f>
        <v>12600000</v>
      </c>
      <c r="M2904" s="11">
        <f>$E2904+2</f>
        <v>108</v>
      </c>
      <c r="N2904" s="12">
        <f>IF($J2904=0,0,ROUND(MAX($J2904*1.4*1.5,2190000*(1.580994^(MIN($E2904,123)-117)))*1,0))</f>
        <v>18900000</v>
      </c>
      <c r="O2904" s="13">
        <f>$E2904+4</f>
        <v>110</v>
      </c>
      <c r="P2904" s="14">
        <f>IF($J2904=0,0,ROUND(MAX($J2904*1.4*1.5*1.6,3500000*(1.57975^(MIN($E2904,123)-117)))*1,0))</f>
        <v>30240000</v>
      </c>
      <c r="Q2904" s="11">
        <f>$E2904+6</f>
        <v>112</v>
      </c>
      <c r="R2904" s="12">
        <f>IF($J2904=0,0,ROUND(MAX($J2904*1.4*1.5*1.6*1.6,13100000*(1.429962^(MIN($E2904,123)-117)))*1,0))</f>
        <v>48384000</v>
      </c>
      <c r="S2904" s="13">
        <f>$E2904+8</f>
        <v>114</v>
      </c>
      <c r="T2904" s="14">
        <f>IF($J2904=0,0,ROUND(MAX($J2904*1.4*1.5*1.6*1.6*2.2,42600000*(1.576904^(MIN($E2904,123)-117)))*1,0))</f>
        <v>106444800</v>
      </c>
      <c r="U2904" s="11">
        <f>$E2904+11</f>
        <v>117</v>
      </c>
      <c r="V2904" s="12">
        <f>IF($J2904=0,0,ROUND(MAX($J2904*1.4*1.5*1.6*1.6*2.2*2.715,354000000*(1.642074^(MIN($E2904,123)-117)))*1,0))</f>
        <v>288997632</v>
      </c>
      <c r="W2904" s="13">
        <f>$E2904+15</f>
        <v>121</v>
      </c>
      <c r="X2904" s="14">
        <f>IF($J2904=0,0,ROUND(MAX($J2904*1.4*1.5*1.6*1.6*2.2*2.715*2.6,3540000000*(1.579646^(MIN($E2904,123)-117)))*1,0))</f>
        <v>751393843</v>
      </c>
      <c r="Y2904" s="11">
        <f>$E2904+17</f>
        <v>123</v>
      </c>
      <c r="Z2904" s="12">
        <f>IF($J2904=0,0,ROUND(MAX($J2904*1.4*1.5*1.6*1.6*2.2*2.715*2.6*1.4,6020000000*(1.651178^(MIN($E2904,123)-117)))*1,0))</f>
        <v>1051951380</v>
      </c>
      <c r="AA2904" s="13">
        <f>$E2904+19</f>
        <v>125</v>
      </c>
      <c r="AB2904" s="14">
        <f>IF($J2904=0,0,ROUND(MAX($J2904*1.4*1.5*1.6*1.6*2.2*2.715*2.6*1.4*1.4,8430000000*(1.651435^(MIN($E2904,123)-117)))*1,0))</f>
        <v>1472731933</v>
      </c>
      <c r="AC2904" s="11">
        <f>$E2904+21</f>
        <v>127</v>
      </c>
      <c r="AD2904" s="12">
        <f>IF($J2904=0,0,ROUND(MAX($J2904*1.4*1.5*1.6*1.6*2.2*2.715*2.6*1.4*1.4*1.5,12600000000*(1.652953^(MIN($E2904,123)-117)))*1,0))</f>
        <v>2209097899</v>
      </c>
      <c r="AE2904" s="13">
        <f>$E2904+24</f>
        <v>130</v>
      </c>
      <c r="AF2904" s="14">
        <f>IF($J2904=0,0,ROUND(MAX($J2904*1.4*1.5*1.6*1.6*2.2*2.715*2.6*1.4*1.4*1.5*1.5,18900000000*(1.65331^(MIN($E2904,123)-117)))*1,0))</f>
        <v>3313646849</v>
      </c>
      <c r="AG2904" s="11">
        <f>$E2904+27</f>
        <v>133</v>
      </c>
      <c r="AH2904" s="12">
        <f>IF($J2904=0,0,ROUND(MAX($J2904*1.4*1.5*1.6*1.6*2.2*2.715*2.6*1.4*1.4*1.5*1.5*3.2,60500000000*(1.654288^(MIN($E2904,123)-117)))*1,0))</f>
        <v>10603669915</v>
      </c>
    </row>
    <row r="2905" ht="28" customHeight="1" spans="1:34" x14ac:dyDescent="0.25">
      <c r="A2905">
        <v>2915</v>
      </c>
      <c r="B2905" t="s">
        <v>1130</v>
      </c>
      <c r="C2905" s="10" t="s">
        <v>1650</v>
      </c>
      <c r="D2905" t="s">
        <v>25</v>
      </c>
      <c r="E2905">
        <v>106</v>
      </c>
      <c r="F2905" t="s">
        <v>146</v>
      </c>
      <c r="G2905" t="s">
        <v>1013</v>
      </c>
      <c r="H2905">
        <v>24</v>
      </c>
      <c r="I2905" s="11">
        <f>$E2905+0</f>
        <v>106</v>
      </c>
      <c r="J2905" s="12">
        <v>43600</v>
      </c>
      <c r="K2905" s="13">
        <f>$E2905+1</f>
        <v>107</v>
      </c>
      <c r="L2905" s="14">
        <f>IF($J2905=0,0,ROUND(MAX($J2905*1.4,1620000*(1.497923^(MIN($E2905,123)-117)))*1,0))</f>
        <v>61040</v>
      </c>
      <c r="M2905" s="11">
        <f>$E2905+2</f>
        <v>108</v>
      </c>
      <c r="N2905" s="12">
        <f>IF($J2905=0,0,ROUND(MAX($J2905*1.4*1.5,2190000*(1.580994^(MIN($E2905,123)-117)))*1,0))</f>
        <v>91560</v>
      </c>
      <c r="O2905" s="13">
        <f>$E2905+4</f>
        <v>110</v>
      </c>
      <c r="P2905" s="14">
        <f>IF($J2905=0,0,ROUND(MAX($J2905*1.4*1.5*1.6,3500000*(1.57975^(MIN($E2905,123)-117)))*1,0))</f>
        <v>146496</v>
      </c>
      <c r="Q2905" s="11">
        <f>$E2905+6</f>
        <v>112</v>
      </c>
      <c r="R2905" s="12">
        <f>IF($J2905=0,0,ROUND(MAX($J2905*1.4*1.5*1.6*1.6,13100000*(1.429962^(MIN($E2905,123)-117)))*1,0))</f>
        <v>256272</v>
      </c>
      <c r="S2905" s="13">
        <f>$E2905+8</f>
        <v>114</v>
      </c>
      <c r="T2905" s="14">
        <f>IF($J2905=0,0,ROUND(MAX($J2905*1.4*1.5*1.6*1.6*2.2,42600000*(1.576904^(MIN($E2905,123)-117)))*1,0))</f>
        <v>515666</v>
      </c>
      <c r="U2905" s="11">
        <f>$E2905+11</f>
        <v>117</v>
      </c>
      <c r="V2905" s="12">
        <f>IF($J2905=0,0,ROUND(MAX($J2905*1.4*1.5*1.6*1.6*2.2*2.715,354000000*(1.642074^(MIN($E2905,123)-117)))*1,0))</f>
        <v>1512458</v>
      </c>
      <c r="W2905" s="13">
        <f>$E2905+15</f>
        <v>121</v>
      </c>
      <c r="X2905" s="14">
        <f>IF($J2905=0,0,ROUND(MAX($J2905*1.4*1.5*1.6*1.6*2.2*2.715*2.6,3540000000*(1.579646^(MIN($E2905,123)-117)))*1,0))</f>
        <v>23165718</v>
      </c>
      <c r="Y2905" s="11">
        <f>$E2905+17</f>
        <v>123</v>
      </c>
      <c r="Z2905" s="12">
        <f>IF($J2905=0,0,ROUND(MAX($J2905*1.4*1.5*1.6*1.6*2.2*2.715*2.6*1.4,6020000000*(1.651178^(MIN($E2905,123)-117)))*1,0))</f>
        <v>24202691</v>
      </c>
      <c r="AA2905" s="13">
        <f>$E2905+19</f>
        <v>125</v>
      </c>
      <c r="AB2905" s="14">
        <f>IF($J2905=0,0,ROUND(MAX($J2905*1.4*1.5*1.6*1.6*2.2*2.715*2.6*1.4*1.4,8430000000*(1.651435^(MIN($E2905,123)-117)))*1,0))</f>
        <v>33833836</v>
      </c>
      <c r="AC2905" s="11">
        <f>$E2905+21</f>
        <v>127</v>
      </c>
      <c r="AD2905" s="12">
        <f>IF($J2905=0,0,ROUND(MAX($J2905*1.4*1.5*1.6*1.6*2.2*2.715*2.6*1.4*1.4*1.5,12600000000*(1.652953^(MIN($E2905,123)-117)))*1,0))</f>
        <v>50061630</v>
      </c>
      <c r="AE2905" s="13">
        <f>$E2905+24</f>
        <v>130</v>
      </c>
      <c r="AF2905" s="14">
        <f>IF($J2905=0,0,ROUND(MAX($J2905*1.4*1.5*1.6*1.6*2.2*2.715*2.6*1.4*1.4*1.5*1.5,18900000000*(1.65331^(MIN($E2905,123)-117)))*1,0))</f>
        <v>74914276</v>
      </c>
      <c r="AG2905" s="11">
        <f>$E2905+27</f>
        <v>133</v>
      </c>
      <c r="AH2905" s="12">
        <f>IF($J2905=0,0,ROUND(MAX($J2905*1.4*1.5*1.6*1.6*2.2*2.715*2.6*1.4*1.4*1.5*1.5*3.2,60500000000*(1.654288^(MIN($E2905,123)-117)))*1,0))</f>
        <v>238250083</v>
      </c>
    </row>
    <row r="2906" ht="28" customHeight="1" spans="1:34" x14ac:dyDescent="0.25">
      <c r="A2906">
        <v>2916</v>
      </c>
      <c r="B2906" t="s">
        <v>215</v>
      </c>
      <c r="C2906" s="10" t="s">
        <v>1650</v>
      </c>
      <c r="D2906" t="s">
        <v>33</v>
      </c>
      <c r="E2906">
        <v>106</v>
      </c>
      <c r="F2906" t="s">
        <v>56</v>
      </c>
      <c r="G2906" t="s">
        <v>562</v>
      </c>
      <c r="H2906">
        <v>24</v>
      </c>
      <c r="I2906" s="11">
        <f>$E2906+0</f>
        <v>106</v>
      </c>
      <c r="J2906" s="12">
        <v>44400</v>
      </c>
      <c r="K2906" s="13">
        <f>$E2906+1</f>
        <v>107</v>
      </c>
      <c r="L2906" s="14">
        <f>IF($J2906=0,0,ROUND(MAX($J2906*1.4,1620000*(1.497923^(MIN($E2906,123)-117)))*1,0))</f>
        <v>62160</v>
      </c>
      <c r="M2906" s="11">
        <f>$E2906+2</f>
        <v>108</v>
      </c>
      <c r="N2906" s="12">
        <f>IF($J2906=0,0,ROUND(MAX($J2906*1.4*1.5,2190000*(1.580994^(MIN($E2906,123)-117)))*1,0))</f>
        <v>93240</v>
      </c>
      <c r="O2906" s="13">
        <f>$E2906+4</f>
        <v>110</v>
      </c>
      <c r="P2906" s="14">
        <f>IF($J2906=0,0,ROUND(MAX($J2906*1.4*1.5*1.6,3500000*(1.57975^(MIN($E2906,123)-117)))*1,0))</f>
        <v>149184</v>
      </c>
      <c r="Q2906" s="11">
        <f>$E2906+6</f>
        <v>112</v>
      </c>
      <c r="R2906" s="12">
        <f>IF($J2906=0,0,ROUND(MAX($J2906*1.4*1.5*1.6*1.6,13100000*(1.429962^(MIN($E2906,123)-117)))*1,0))</f>
        <v>256272</v>
      </c>
      <c r="S2906" s="13">
        <f>$E2906+8</f>
        <v>114</v>
      </c>
      <c r="T2906" s="14">
        <f>IF($J2906=0,0,ROUND(MAX($J2906*1.4*1.5*1.6*1.6*2.2,42600000*(1.576904^(MIN($E2906,123)-117)))*1,0))</f>
        <v>525128</v>
      </c>
      <c r="U2906" s="11">
        <f>$E2906+11</f>
        <v>117</v>
      </c>
      <c r="V2906" s="12">
        <f>IF($J2906=0,0,ROUND(MAX($J2906*1.4*1.5*1.6*1.6*2.2*2.715,354000000*(1.642074^(MIN($E2906,123)-117)))*1,0))</f>
        <v>1512458</v>
      </c>
      <c r="W2906" s="13">
        <f>$E2906+15</f>
        <v>121</v>
      </c>
      <c r="X2906" s="14">
        <f>IF($J2906=0,0,ROUND(MAX($J2906*1.4*1.5*1.6*1.6*2.2*2.715*2.6,3540000000*(1.579646^(MIN($E2906,123)-117)))*1,0))</f>
        <v>23165718</v>
      </c>
      <c r="Y2906" s="11">
        <f>$E2906+17</f>
        <v>123</v>
      </c>
      <c r="Z2906" s="12">
        <f>IF($J2906=0,0,ROUND(MAX($J2906*1.4*1.5*1.6*1.6*2.2*2.715*2.6*1.4,6020000000*(1.651178^(MIN($E2906,123)-117)))*1,0))</f>
        <v>24202691</v>
      </c>
      <c r="AA2906" s="13">
        <f>$E2906+19</f>
        <v>125</v>
      </c>
      <c r="AB2906" s="14">
        <f>IF($J2906=0,0,ROUND(MAX($J2906*1.4*1.5*1.6*1.6*2.2*2.715*2.6*1.4*1.4,8430000000*(1.651435^(MIN($E2906,123)-117)))*1,0))</f>
        <v>33833836</v>
      </c>
      <c r="AC2906" s="11">
        <f>$E2906+21</f>
        <v>127</v>
      </c>
      <c r="AD2906" s="12">
        <f>IF($J2906=0,0,ROUND(MAX($J2906*1.4*1.5*1.6*1.6*2.2*2.715*2.6*1.4*1.4*1.5,12600000000*(1.652953^(MIN($E2906,123)-117)))*1,0))</f>
        <v>50061630</v>
      </c>
      <c r="AE2906" s="13">
        <f>$E2906+24</f>
        <v>130</v>
      </c>
      <c r="AF2906" s="14">
        <f>IF($J2906=0,0,ROUND(MAX($J2906*1.4*1.5*1.6*1.6*2.2*2.715*2.6*1.4*1.4*1.5*1.5,18900000000*(1.65331^(MIN($E2906,123)-117)))*1,0))</f>
        <v>74914276</v>
      </c>
      <c r="AG2906" s="11">
        <f>$E2906+27</f>
        <v>133</v>
      </c>
      <c r="AH2906" s="12">
        <f>IF($J2906=0,0,ROUND(MAX($J2906*1.4*1.5*1.6*1.6*2.2*2.715*2.6*1.4*1.4*1.5*1.5*3.2,60500000000*(1.654288^(MIN($E2906,123)-117)))*1,0))</f>
        <v>238250083</v>
      </c>
    </row>
    <row r="2907" ht="28" customHeight="1" spans="1:34" x14ac:dyDescent="0.25">
      <c r="A2907">
        <v>2917</v>
      </c>
      <c r="B2907" t="s">
        <v>1653</v>
      </c>
      <c r="C2907" s="10" t="s">
        <v>1650</v>
      </c>
      <c r="D2907" t="s">
        <v>45</v>
      </c>
      <c r="E2907">
        <v>106</v>
      </c>
      <c r="F2907" t="s">
        <v>71</v>
      </c>
      <c r="G2907" t="s">
        <v>319</v>
      </c>
      <c r="H2907">
        <v>23</v>
      </c>
      <c r="I2907" s="11">
        <f>$E2907+0</f>
        <v>106</v>
      </c>
      <c r="J2907" s="12">
        <v>45800</v>
      </c>
      <c r="K2907" s="13">
        <f>$E2907+1</f>
        <v>107</v>
      </c>
      <c r="L2907" s="14">
        <f>IF($J2907=0,0,ROUND(MAX($J2907*1.4,1620000*(1.497923^(MIN($E2907,123)-117)))*1,0))</f>
        <v>64120</v>
      </c>
      <c r="M2907" s="11">
        <f>$E2907+2</f>
        <v>108</v>
      </c>
      <c r="N2907" s="12">
        <f>IF($J2907=0,0,ROUND(MAX($J2907*1.4*1.5,2190000*(1.580994^(MIN($E2907,123)-117)))*1,0))</f>
        <v>96180</v>
      </c>
      <c r="O2907" s="13">
        <f>$E2907+4</f>
        <v>110</v>
      </c>
      <c r="P2907" s="14">
        <f>IF($J2907=0,0,ROUND(MAX($J2907*1.4*1.5*1.6,3500000*(1.57975^(MIN($E2907,123)-117)))*1,0))</f>
        <v>153888</v>
      </c>
      <c r="Q2907" s="11">
        <f>$E2907+6</f>
        <v>112</v>
      </c>
      <c r="R2907" s="12">
        <f>IF($J2907=0,0,ROUND(MAX($J2907*1.4*1.5*1.6*1.6,13100000*(1.429962^(MIN($E2907,123)-117)))*1,0))</f>
        <v>256272</v>
      </c>
      <c r="S2907" s="13">
        <f>$E2907+8</f>
        <v>114</v>
      </c>
      <c r="T2907" s="14">
        <f>IF($J2907=0,0,ROUND(MAX($J2907*1.4*1.5*1.6*1.6*2.2,42600000*(1.576904^(MIN($E2907,123)-117)))*1,0))</f>
        <v>541686</v>
      </c>
      <c r="U2907" s="11">
        <f>$E2907+11</f>
        <v>117</v>
      </c>
      <c r="V2907" s="12">
        <f>IF($J2907=0,0,ROUND(MAX($J2907*1.4*1.5*1.6*1.6*2.2*2.715,354000000*(1.642074^(MIN($E2907,123)-117)))*1,0))</f>
        <v>1512458</v>
      </c>
      <c r="W2907" s="13">
        <f>$E2907+15</f>
        <v>121</v>
      </c>
      <c r="X2907" s="14">
        <f>IF($J2907=0,0,ROUND(MAX($J2907*1.4*1.5*1.6*1.6*2.2*2.715*2.6,3540000000*(1.579646^(MIN($E2907,123)-117)))*1,0))</f>
        <v>23165718</v>
      </c>
      <c r="Y2907" s="11">
        <f>$E2907+17</f>
        <v>123</v>
      </c>
      <c r="Z2907" s="12">
        <f>IF($J2907=0,0,ROUND(MAX($J2907*1.4*1.5*1.6*1.6*2.2*2.715*2.6*1.4,6020000000*(1.651178^(MIN($E2907,123)-117)))*1,0))</f>
        <v>24202691</v>
      </c>
      <c r="AA2907" s="13">
        <f>$E2907+19</f>
        <v>125</v>
      </c>
      <c r="AB2907" s="14">
        <f>IF($J2907=0,0,ROUND(MAX($J2907*1.4*1.5*1.6*1.6*2.2*2.715*2.6*1.4*1.4,8430000000*(1.651435^(MIN($E2907,123)-117)))*1,0))</f>
        <v>33833836</v>
      </c>
      <c r="AC2907" s="11">
        <f>$E2907+21</f>
        <v>127</v>
      </c>
      <c r="AD2907" s="12">
        <f>IF($J2907=0,0,ROUND(MAX($J2907*1.4*1.5*1.6*1.6*2.2*2.715*2.6*1.4*1.4*1.5,12600000000*(1.652953^(MIN($E2907,123)-117)))*1,0))</f>
        <v>50061630</v>
      </c>
      <c r="AE2907" s="13">
        <f>$E2907+24</f>
        <v>130</v>
      </c>
      <c r="AF2907" s="14">
        <f>IF($J2907=0,0,ROUND(MAX($J2907*1.4*1.5*1.6*1.6*2.2*2.715*2.6*1.4*1.4*1.5*1.5,18900000000*(1.65331^(MIN($E2907,123)-117)))*1,0))</f>
        <v>74914276</v>
      </c>
      <c r="AG2907" s="11">
        <f>$E2907+27</f>
        <v>133</v>
      </c>
      <c r="AH2907" s="12">
        <f>IF($J2907=0,0,ROUND(MAX($J2907*1.4*1.5*1.6*1.6*2.2*2.715*2.6*1.4*1.4*1.5*1.5*3.2,60500000000*(1.654288^(MIN($E2907,123)-117)))*1,0))</f>
        <v>238250083</v>
      </c>
    </row>
    <row r="2908" ht="28" customHeight="1" spans="1:34" x14ac:dyDescent="0.25">
      <c r="A2908">
        <v>2918</v>
      </c>
      <c r="B2908" t="s">
        <v>318</v>
      </c>
      <c r="C2908" s="10" t="s">
        <v>1650</v>
      </c>
      <c r="D2908" t="s">
        <v>79</v>
      </c>
      <c r="E2908">
        <v>106</v>
      </c>
      <c r="F2908" t="s">
        <v>71</v>
      </c>
      <c r="G2908" t="s">
        <v>319</v>
      </c>
      <c r="H2908">
        <v>23</v>
      </c>
      <c r="I2908" s="11">
        <f>$E2908+0</f>
        <v>106</v>
      </c>
      <c r="J2908" s="12">
        <v>47000</v>
      </c>
      <c r="K2908" s="13">
        <f>$E2908+1</f>
        <v>107</v>
      </c>
      <c r="L2908" s="14">
        <f>IF($J2908=0,0,ROUND(MAX($J2908*1.4,1620000*(1.497923^(MIN($E2908,123)-117)))*1,0))</f>
        <v>65800</v>
      </c>
      <c r="M2908" s="11">
        <f>$E2908+2</f>
        <v>108</v>
      </c>
      <c r="N2908" s="12">
        <f>IF($J2908=0,0,ROUND(MAX($J2908*1.4*1.5,2190000*(1.580994^(MIN($E2908,123)-117)))*1,0))</f>
        <v>98700</v>
      </c>
      <c r="O2908" s="13">
        <f>$E2908+4</f>
        <v>110</v>
      </c>
      <c r="P2908" s="14">
        <f>IF($J2908=0,0,ROUND(MAX($J2908*1.4*1.5*1.6,3500000*(1.57975^(MIN($E2908,123)-117)))*1,0))</f>
        <v>157920</v>
      </c>
      <c r="Q2908" s="11">
        <f>$E2908+6</f>
        <v>112</v>
      </c>
      <c r="R2908" s="12">
        <f>IF($J2908=0,0,ROUND(MAX($J2908*1.4*1.5*1.6*1.6,13100000*(1.429962^(MIN($E2908,123)-117)))*1,0))</f>
        <v>256272</v>
      </c>
      <c r="S2908" s="13">
        <f>$E2908+8</f>
        <v>114</v>
      </c>
      <c r="T2908" s="14">
        <f>IF($J2908=0,0,ROUND(MAX($J2908*1.4*1.5*1.6*1.6*2.2,42600000*(1.576904^(MIN($E2908,123)-117)))*1,0))</f>
        <v>555878</v>
      </c>
      <c r="U2908" s="11">
        <f>$E2908+11</f>
        <v>117</v>
      </c>
      <c r="V2908" s="12">
        <f>IF($J2908=0,0,ROUND(MAX($J2908*1.4*1.5*1.6*1.6*2.2*2.715,354000000*(1.642074^(MIN($E2908,123)-117)))*1,0))</f>
        <v>1512458</v>
      </c>
      <c r="W2908" s="13">
        <f>$E2908+15</f>
        <v>121</v>
      </c>
      <c r="X2908" s="14">
        <f>IF($J2908=0,0,ROUND(MAX($J2908*1.4*1.5*1.6*1.6*2.2*2.715*2.6,3540000000*(1.579646^(MIN($E2908,123)-117)))*1,0))</f>
        <v>23165718</v>
      </c>
      <c r="Y2908" s="11">
        <f>$E2908+17</f>
        <v>123</v>
      </c>
      <c r="Z2908" s="12">
        <f>IF($J2908=0,0,ROUND(MAX($J2908*1.4*1.5*1.6*1.6*2.2*2.715*2.6*1.4,6020000000*(1.651178^(MIN($E2908,123)-117)))*1,0))</f>
        <v>24202691</v>
      </c>
      <c r="AA2908" s="13">
        <f>$E2908+19</f>
        <v>125</v>
      </c>
      <c r="AB2908" s="14">
        <f>IF($J2908=0,0,ROUND(MAX($J2908*1.4*1.5*1.6*1.6*2.2*2.715*2.6*1.4*1.4,8430000000*(1.651435^(MIN($E2908,123)-117)))*1,0))</f>
        <v>33833836</v>
      </c>
      <c r="AC2908" s="11">
        <f>$E2908+21</f>
        <v>127</v>
      </c>
      <c r="AD2908" s="12">
        <f>IF($J2908=0,0,ROUND(MAX($J2908*1.4*1.5*1.6*1.6*2.2*2.715*2.6*1.4*1.4*1.5,12600000000*(1.652953^(MIN($E2908,123)-117)))*1,0))</f>
        <v>50061630</v>
      </c>
      <c r="AE2908" s="13">
        <f>$E2908+24</f>
        <v>130</v>
      </c>
      <c r="AF2908" s="14">
        <f>IF($J2908=0,0,ROUND(MAX($J2908*1.4*1.5*1.6*1.6*2.2*2.715*2.6*1.4*1.4*1.5*1.5,18900000000*(1.65331^(MIN($E2908,123)-117)))*1,0))</f>
        <v>74914276</v>
      </c>
      <c r="AG2908" s="11">
        <f>$E2908+27</f>
        <v>133</v>
      </c>
      <c r="AH2908" s="12">
        <f>IF($J2908=0,0,ROUND(MAX($J2908*1.4*1.5*1.6*1.6*2.2*2.715*2.6*1.4*1.4*1.5*1.5*3.2,60500000000*(1.654288^(MIN($E2908,123)-117)))*1,0))</f>
        <v>238250083</v>
      </c>
    </row>
    <row r="2909" ht="28" customHeight="1" spans="1:34" x14ac:dyDescent="0.25">
      <c r="A2909">
        <v>2919</v>
      </c>
      <c r="B2909" t="s">
        <v>285</v>
      </c>
      <c r="C2909" s="10" t="s">
        <v>1650</v>
      </c>
      <c r="D2909" t="s">
        <v>45</v>
      </c>
      <c r="E2909">
        <v>106</v>
      </c>
      <c r="F2909" t="s">
        <v>54</v>
      </c>
      <c r="G2909" t="s">
        <v>51</v>
      </c>
      <c r="H2909">
        <v>23</v>
      </c>
      <c r="I2909" s="11">
        <f>$E2909+0</f>
        <v>106</v>
      </c>
      <c r="J2909" s="12">
        <v>37300</v>
      </c>
      <c r="K2909" s="13">
        <f>$E2909+1</f>
        <v>107</v>
      </c>
      <c r="L2909" s="14">
        <f>IF($J2909=0,0,ROUND(MAX($J2909*1.4,1620000*(1.497923^(MIN($E2909,123)-117)))*1,0))</f>
        <v>52220</v>
      </c>
      <c r="M2909" s="11">
        <f>$E2909+2</f>
        <v>108</v>
      </c>
      <c r="N2909" s="12">
        <f>IF($J2909=0,0,ROUND(MAX($J2909*1.4*1.5,2190000*(1.580994^(MIN($E2909,123)-117)))*1,0))</f>
        <v>78330</v>
      </c>
      <c r="O2909" s="13">
        <f>$E2909+4</f>
        <v>110</v>
      </c>
      <c r="P2909" s="14">
        <f>IF($J2909=0,0,ROUND(MAX($J2909*1.4*1.5*1.6,3500000*(1.57975^(MIN($E2909,123)-117)))*1,0))</f>
        <v>125328</v>
      </c>
      <c r="Q2909" s="11">
        <f>$E2909+6</f>
        <v>112</v>
      </c>
      <c r="R2909" s="12">
        <f>IF($J2909=0,0,ROUND(MAX($J2909*1.4*1.5*1.6*1.6,13100000*(1.429962^(MIN($E2909,123)-117)))*1,0))</f>
        <v>256272</v>
      </c>
      <c r="S2909" s="13">
        <f>$E2909+8</f>
        <v>114</v>
      </c>
      <c r="T2909" s="14">
        <f>IF($J2909=0,0,ROUND(MAX($J2909*1.4*1.5*1.6*1.6*2.2,42600000*(1.576904^(MIN($E2909,123)-117)))*1,0))</f>
        <v>441155</v>
      </c>
      <c r="U2909" s="11">
        <f>$E2909+11</f>
        <v>117</v>
      </c>
      <c r="V2909" s="12">
        <f>IF($J2909=0,0,ROUND(MAX($J2909*1.4*1.5*1.6*1.6*2.2*2.715,354000000*(1.642074^(MIN($E2909,123)-117)))*1,0))</f>
        <v>1512458</v>
      </c>
      <c r="W2909" s="13">
        <f>$E2909+15</f>
        <v>121</v>
      </c>
      <c r="X2909" s="14">
        <f>IF($J2909=0,0,ROUND(MAX($J2909*1.4*1.5*1.6*1.6*2.2*2.715*2.6,3540000000*(1.579646^(MIN($E2909,123)-117)))*1,0))</f>
        <v>23165718</v>
      </c>
      <c r="Y2909" s="11">
        <f>$E2909+17</f>
        <v>123</v>
      </c>
      <c r="Z2909" s="12">
        <f>IF($J2909=0,0,ROUND(MAX($J2909*1.4*1.5*1.6*1.6*2.2*2.715*2.6*1.4,6020000000*(1.651178^(MIN($E2909,123)-117)))*1,0))</f>
        <v>24202691</v>
      </c>
      <c r="AA2909" s="13">
        <f>$E2909+19</f>
        <v>125</v>
      </c>
      <c r="AB2909" s="14">
        <f>IF($J2909=0,0,ROUND(MAX($J2909*1.4*1.5*1.6*1.6*2.2*2.715*2.6*1.4*1.4,8430000000*(1.651435^(MIN($E2909,123)-117)))*1,0))</f>
        <v>33833836</v>
      </c>
      <c r="AC2909" s="11">
        <f>$E2909+21</f>
        <v>127</v>
      </c>
      <c r="AD2909" s="12">
        <f>IF($J2909=0,0,ROUND(MAX($J2909*1.4*1.5*1.6*1.6*2.2*2.715*2.6*1.4*1.4*1.5,12600000000*(1.652953^(MIN($E2909,123)-117)))*1,0))</f>
        <v>50061630</v>
      </c>
      <c r="AE2909" s="13">
        <f>$E2909+24</f>
        <v>130</v>
      </c>
      <c r="AF2909" s="14">
        <f>IF($J2909=0,0,ROUND(MAX($J2909*1.4*1.5*1.6*1.6*2.2*2.715*2.6*1.4*1.4*1.5*1.5,18900000000*(1.65331^(MIN($E2909,123)-117)))*1,0))</f>
        <v>74914276</v>
      </c>
      <c r="AG2909" s="11">
        <f>$E2909+27</f>
        <v>133</v>
      </c>
      <c r="AH2909" s="12">
        <f>IF($J2909=0,0,ROUND(MAX($J2909*1.4*1.5*1.6*1.6*2.2*2.715*2.6*1.4*1.4*1.5*1.5*3.2,60500000000*(1.654288^(MIN($E2909,123)-117)))*1,0))</f>
        <v>238250083</v>
      </c>
    </row>
    <row r="2910" ht="28" customHeight="1" spans="1:34" x14ac:dyDescent="0.25">
      <c r="A2910">
        <v>2920</v>
      </c>
      <c r="B2910" t="s">
        <v>905</v>
      </c>
      <c r="C2910" s="10" t="s">
        <v>1650</v>
      </c>
      <c r="D2910" t="s">
        <v>90</v>
      </c>
      <c r="E2910">
        <v>106</v>
      </c>
      <c r="F2910" t="s">
        <v>62</v>
      </c>
      <c r="G2910" t="s">
        <v>562</v>
      </c>
      <c r="H2910">
        <v>23</v>
      </c>
      <c r="I2910" s="11">
        <f>$E2910+0</f>
        <v>106</v>
      </c>
      <c r="J2910" s="12">
        <v>88200</v>
      </c>
      <c r="K2910" s="13">
        <f>$E2910+1</f>
        <v>107</v>
      </c>
      <c r="L2910" s="14">
        <f>IF($J2910=0,0,ROUND(MAX($J2910*1.4,1620000*(1.497923^(MIN($E2910,123)-117)))*1,0))</f>
        <v>123480</v>
      </c>
      <c r="M2910" s="11">
        <f>$E2910+2</f>
        <v>108</v>
      </c>
      <c r="N2910" s="12">
        <f>IF($J2910=0,0,ROUND(MAX($J2910*1.4*1.5,2190000*(1.580994^(MIN($E2910,123)-117)))*1,0))</f>
        <v>185220</v>
      </c>
      <c r="O2910" s="13">
        <f>$E2910+4</f>
        <v>110</v>
      </c>
      <c r="P2910" s="14">
        <f>IF($J2910=0,0,ROUND(MAX($J2910*1.4*1.5*1.6,3500000*(1.57975^(MIN($E2910,123)-117)))*1,0))</f>
        <v>296352</v>
      </c>
      <c r="Q2910" s="11">
        <f>$E2910+6</f>
        <v>112</v>
      </c>
      <c r="R2910" s="12">
        <f>IF($J2910=0,0,ROUND(MAX($J2910*1.4*1.5*1.6*1.6,13100000*(1.429962^(MIN($E2910,123)-117)))*1,0))</f>
        <v>474163</v>
      </c>
      <c r="S2910" s="13">
        <f>$E2910+8</f>
        <v>114</v>
      </c>
      <c r="T2910" s="14">
        <f>IF($J2910=0,0,ROUND(MAX($J2910*1.4*1.5*1.6*1.6*2.2,42600000*(1.576904^(MIN($E2910,123)-117)))*1,0))</f>
        <v>1043159</v>
      </c>
      <c r="U2910" s="11">
        <f>$E2910+11</f>
        <v>117</v>
      </c>
      <c r="V2910" s="12">
        <f>IF($J2910=0,0,ROUND(MAX($J2910*1.4*1.5*1.6*1.6*2.2*2.715,354000000*(1.642074^(MIN($E2910,123)-117)))*1,0))</f>
        <v>2832177</v>
      </c>
      <c r="W2910" s="13">
        <f>$E2910+15</f>
        <v>121</v>
      </c>
      <c r="X2910" s="14">
        <f>IF($J2910=0,0,ROUND(MAX($J2910*1.4*1.5*1.6*1.6*2.2*2.715*2.6,3540000000*(1.579646^(MIN($E2910,123)-117)))*1,0))</f>
        <v>23165718</v>
      </c>
      <c r="Y2910" s="11">
        <f>$E2910+17</f>
        <v>123</v>
      </c>
      <c r="Z2910" s="12">
        <f>IF($J2910=0,0,ROUND(MAX($J2910*1.4*1.5*1.6*1.6*2.2*2.715*2.6*1.4,6020000000*(1.651178^(MIN($E2910,123)-117)))*1,0))</f>
        <v>24202691</v>
      </c>
      <c r="AA2910" s="13">
        <f>$E2910+19</f>
        <v>125</v>
      </c>
      <c r="AB2910" s="14">
        <f>IF($J2910=0,0,ROUND(MAX($J2910*1.4*1.5*1.6*1.6*2.2*2.715*2.6*1.4*1.4,8430000000*(1.651435^(MIN($E2910,123)-117)))*1,0))</f>
        <v>33833836</v>
      </c>
      <c r="AC2910" s="11">
        <f>$E2910+21</f>
        <v>127</v>
      </c>
      <c r="AD2910" s="12">
        <f>IF($J2910=0,0,ROUND(MAX($J2910*1.4*1.5*1.6*1.6*2.2*2.715*2.6*1.4*1.4*1.5,12600000000*(1.652953^(MIN($E2910,123)-117)))*1,0))</f>
        <v>50061630</v>
      </c>
      <c r="AE2910" s="13">
        <f>$E2910+24</f>
        <v>130</v>
      </c>
      <c r="AF2910" s="14">
        <f>IF($J2910=0,0,ROUND(MAX($J2910*1.4*1.5*1.6*1.6*2.2*2.715*2.6*1.4*1.4*1.5*1.5,18900000000*(1.65331^(MIN($E2910,123)-117)))*1,0))</f>
        <v>74914276</v>
      </c>
      <c r="AG2910" s="11">
        <f>$E2910+27</f>
        <v>133</v>
      </c>
      <c r="AH2910" s="12">
        <f>IF($J2910=0,0,ROUND(MAX($J2910*1.4*1.5*1.6*1.6*2.2*2.715*2.6*1.4*1.4*1.5*1.5*3.2,60500000000*(1.654288^(MIN($E2910,123)-117)))*1,0))</f>
        <v>238250083</v>
      </c>
    </row>
    <row r="2911" ht="28" customHeight="1" spans="1:34" x14ac:dyDescent="0.25">
      <c r="A2911">
        <v>2921</v>
      </c>
      <c r="B2911" t="s">
        <v>487</v>
      </c>
      <c r="C2911" s="10" t="s">
        <v>1650</v>
      </c>
      <c r="D2911" t="s">
        <v>45</v>
      </c>
      <c r="E2911">
        <v>106</v>
      </c>
      <c r="F2911" t="s">
        <v>62</v>
      </c>
      <c r="G2911" t="s">
        <v>562</v>
      </c>
      <c r="H2911">
        <v>23</v>
      </c>
      <c r="I2911" s="11">
        <f>$E2911+0</f>
        <v>106</v>
      </c>
      <c r="J2911" s="12">
        <v>66200</v>
      </c>
      <c r="K2911" s="13">
        <f>$E2911+1</f>
        <v>107</v>
      </c>
      <c r="L2911" s="14">
        <f>IF($J2911=0,0,ROUND(MAX($J2911*1.4,1620000*(1.497923^(MIN($E2911,123)-117)))*1,0))</f>
        <v>92680</v>
      </c>
      <c r="M2911" s="11">
        <f>$E2911+2</f>
        <v>108</v>
      </c>
      <c r="N2911" s="12">
        <f>IF($J2911=0,0,ROUND(MAX($J2911*1.4*1.5,2190000*(1.580994^(MIN($E2911,123)-117)))*1,0))</f>
        <v>139020</v>
      </c>
      <c r="O2911" s="13">
        <f>$E2911+4</f>
        <v>110</v>
      </c>
      <c r="P2911" s="14">
        <f>IF($J2911=0,0,ROUND(MAX($J2911*1.4*1.5*1.6,3500000*(1.57975^(MIN($E2911,123)-117)))*1,0))</f>
        <v>222432</v>
      </c>
      <c r="Q2911" s="11">
        <f>$E2911+6</f>
        <v>112</v>
      </c>
      <c r="R2911" s="12">
        <f>IF($J2911=0,0,ROUND(MAX($J2911*1.4*1.5*1.6*1.6,13100000*(1.429962^(MIN($E2911,123)-117)))*1,0))</f>
        <v>355891</v>
      </c>
      <c r="S2911" s="13">
        <f>$E2911+8</f>
        <v>114</v>
      </c>
      <c r="T2911" s="14">
        <f>IF($J2911=0,0,ROUND(MAX($J2911*1.4*1.5*1.6*1.6*2.2,42600000*(1.576904^(MIN($E2911,123)-117)))*1,0))</f>
        <v>782961</v>
      </c>
      <c r="U2911" s="11">
        <f>$E2911+11</f>
        <v>117</v>
      </c>
      <c r="V2911" s="12">
        <f>IF($J2911=0,0,ROUND(MAX($J2911*1.4*1.5*1.6*1.6*2.2*2.715,354000000*(1.642074^(MIN($E2911,123)-117)))*1,0))</f>
        <v>2125738</v>
      </c>
      <c r="W2911" s="13">
        <f>$E2911+15</f>
        <v>121</v>
      </c>
      <c r="X2911" s="14">
        <f>IF($J2911=0,0,ROUND(MAX($J2911*1.4*1.5*1.6*1.6*2.2*2.715*2.6,3540000000*(1.579646^(MIN($E2911,123)-117)))*1,0))</f>
        <v>23165718</v>
      </c>
      <c r="Y2911" s="11">
        <f>$E2911+17</f>
        <v>123</v>
      </c>
      <c r="Z2911" s="12">
        <f>IF($J2911=0,0,ROUND(MAX($J2911*1.4*1.5*1.6*1.6*2.2*2.715*2.6*1.4,6020000000*(1.651178^(MIN($E2911,123)-117)))*1,0))</f>
        <v>24202691</v>
      </c>
      <c r="AA2911" s="13">
        <f>$E2911+19</f>
        <v>125</v>
      </c>
      <c r="AB2911" s="14">
        <f>IF($J2911=0,0,ROUND(MAX($J2911*1.4*1.5*1.6*1.6*2.2*2.715*2.6*1.4*1.4,8430000000*(1.651435^(MIN($E2911,123)-117)))*1,0))</f>
        <v>33833836</v>
      </c>
      <c r="AC2911" s="11">
        <f>$E2911+21</f>
        <v>127</v>
      </c>
      <c r="AD2911" s="12">
        <f>IF($J2911=0,0,ROUND(MAX($J2911*1.4*1.5*1.6*1.6*2.2*2.715*2.6*1.4*1.4*1.5,12600000000*(1.652953^(MIN($E2911,123)-117)))*1,0))</f>
        <v>50061630</v>
      </c>
      <c r="AE2911" s="13">
        <f>$E2911+24</f>
        <v>130</v>
      </c>
      <c r="AF2911" s="14">
        <f>IF($J2911=0,0,ROUND(MAX($J2911*1.4*1.5*1.6*1.6*2.2*2.715*2.6*1.4*1.4*1.5*1.5,18900000000*(1.65331^(MIN($E2911,123)-117)))*1,0))</f>
        <v>74914276</v>
      </c>
      <c r="AG2911" s="11">
        <f>$E2911+27</f>
        <v>133</v>
      </c>
      <c r="AH2911" s="12">
        <f>IF($J2911=0,0,ROUND(MAX($J2911*1.4*1.5*1.6*1.6*2.2*2.715*2.6*1.4*1.4*1.5*1.5*3.2,60500000000*(1.654288^(MIN($E2911,123)-117)))*1,0))</f>
        <v>238250083</v>
      </c>
    </row>
    <row r="2912" ht="28" customHeight="1" spans="1:34" x14ac:dyDescent="0.25">
      <c r="A2912">
        <v>2922</v>
      </c>
      <c r="B2912" t="s">
        <v>865</v>
      </c>
      <c r="C2912" s="10" t="s">
        <v>1650</v>
      </c>
      <c r="D2912" t="s">
        <v>33</v>
      </c>
      <c r="E2912">
        <v>106</v>
      </c>
      <c r="F2912" t="s">
        <v>71</v>
      </c>
      <c r="G2912" t="s">
        <v>760</v>
      </c>
      <c r="H2912">
        <v>23</v>
      </c>
      <c r="I2912" s="11">
        <f>$E2912+0</f>
        <v>106</v>
      </c>
      <c r="J2912" s="12">
        <v>43700</v>
      </c>
      <c r="K2912" s="13">
        <f>$E2912+1</f>
        <v>107</v>
      </c>
      <c r="L2912" s="14">
        <f>IF($J2912=0,0,ROUND(MAX($J2912*1.4,1620000*(1.497923^(MIN($E2912,123)-117)))*1,0))</f>
        <v>61180</v>
      </c>
      <c r="M2912" s="11">
        <f>$E2912+2</f>
        <v>108</v>
      </c>
      <c r="N2912" s="12">
        <f>IF($J2912=0,0,ROUND(MAX($J2912*1.4*1.5,2190000*(1.580994^(MIN($E2912,123)-117)))*1,0))</f>
        <v>91770</v>
      </c>
      <c r="O2912" s="13">
        <f>$E2912+4</f>
        <v>110</v>
      </c>
      <c r="P2912" s="14">
        <f>IF($J2912=0,0,ROUND(MAX($J2912*1.4*1.5*1.6,3500000*(1.57975^(MIN($E2912,123)-117)))*1,0))</f>
        <v>146832</v>
      </c>
      <c r="Q2912" s="11">
        <f>$E2912+6</f>
        <v>112</v>
      </c>
      <c r="R2912" s="12">
        <f>IF($J2912=0,0,ROUND(MAX($J2912*1.4*1.5*1.6*1.6,13100000*(1.429962^(MIN($E2912,123)-117)))*1,0))</f>
        <v>256272</v>
      </c>
      <c r="S2912" s="13">
        <f>$E2912+8</f>
        <v>114</v>
      </c>
      <c r="T2912" s="14">
        <f>IF($J2912=0,0,ROUND(MAX($J2912*1.4*1.5*1.6*1.6*2.2,42600000*(1.576904^(MIN($E2912,123)-117)))*1,0))</f>
        <v>516849</v>
      </c>
      <c r="U2912" s="11">
        <f>$E2912+11</f>
        <v>117</v>
      </c>
      <c r="V2912" s="12">
        <f>IF($J2912=0,0,ROUND(MAX($J2912*1.4*1.5*1.6*1.6*2.2*2.715,354000000*(1.642074^(MIN($E2912,123)-117)))*1,0))</f>
        <v>1512458</v>
      </c>
      <c r="W2912" s="13">
        <f>$E2912+15</f>
        <v>121</v>
      </c>
      <c r="X2912" s="14">
        <f>IF($J2912=0,0,ROUND(MAX($J2912*1.4*1.5*1.6*1.6*2.2*2.715*2.6,3540000000*(1.579646^(MIN($E2912,123)-117)))*1,0))</f>
        <v>23165718</v>
      </c>
      <c r="Y2912" s="11">
        <f>$E2912+17</f>
        <v>123</v>
      </c>
      <c r="Z2912" s="12">
        <f>IF($J2912=0,0,ROUND(MAX($J2912*1.4*1.5*1.6*1.6*2.2*2.715*2.6*1.4,6020000000*(1.651178^(MIN($E2912,123)-117)))*1,0))</f>
        <v>24202691</v>
      </c>
      <c r="AA2912" s="13">
        <f>$E2912+19</f>
        <v>125</v>
      </c>
      <c r="AB2912" s="14">
        <f>IF($J2912=0,0,ROUND(MAX($J2912*1.4*1.5*1.6*1.6*2.2*2.715*2.6*1.4*1.4,8430000000*(1.651435^(MIN($E2912,123)-117)))*1,0))</f>
        <v>33833836</v>
      </c>
      <c r="AC2912" s="11">
        <f>$E2912+21</f>
        <v>127</v>
      </c>
      <c r="AD2912" s="12">
        <f>IF($J2912=0,0,ROUND(MAX($J2912*1.4*1.5*1.6*1.6*2.2*2.715*2.6*1.4*1.4*1.5,12600000000*(1.652953^(MIN($E2912,123)-117)))*1,0))</f>
        <v>50061630</v>
      </c>
      <c r="AE2912" s="13">
        <f>$E2912+24</f>
        <v>130</v>
      </c>
      <c r="AF2912" s="14">
        <f>IF($J2912=0,0,ROUND(MAX($J2912*1.4*1.5*1.6*1.6*2.2*2.715*2.6*1.4*1.4*1.5*1.5,18900000000*(1.65331^(MIN($E2912,123)-117)))*1,0))</f>
        <v>74914276</v>
      </c>
      <c r="AG2912" s="11">
        <f>$E2912+27</f>
        <v>133</v>
      </c>
      <c r="AH2912" s="12">
        <f>IF($J2912=0,0,ROUND(MAX($J2912*1.4*1.5*1.6*1.6*2.2*2.715*2.6*1.4*1.4*1.5*1.5*3.2,60500000000*(1.654288^(MIN($E2912,123)-117)))*1,0))</f>
        <v>238250083</v>
      </c>
    </row>
    <row r="2913" ht="28" customHeight="1" spans="1:34" x14ac:dyDescent="0.25">
      <c r="A2913">
        <v>2923</v>
      </c>
      <c r="B2913" t="s">
        <v>1654</v>
      </c>
      <c r="C2913" s="10" t="s">
        <v>1650</v>
      </c>
      <c r="D2913" t="s">
        <v>90</v>
      </c>
      <c r="E2913">
        <v>106</v>
      </c>
      <c r="F2913" t="s">
        <v>56</v>
      </c>
      <c r="G2913" t="s">
        <v>562</v>
      </c>
      <c r="H2913">
        <v>23</v>
      </c>
      <c r="I2913" s="11">
        <f>$E2913+0</f>
        <v>106</v>
      </c>
      <c r="J2913" s="12">
        <v>82700000</v>
      </c>
      <c r="K2913" s="13">
        <f>$E2913+1</f>
        <v>107</v>
      </c>
      <c r="L2913" s="14">
        <f>IF($J2913=0,0,ROUND(MAX($J2913*1.4,1620000*(1.497923^(MIN($E2913,123)-117)))*1,0))</f>
        <v>115780000</v>
      </c>
      <c r="M2913" s="11">
        <f>$E2913+2</f>
        <v>108</v>
      </c>
      <c r="N2913" s="12">
        <f>IF($J2913=0,0,ROUND(MAX($J2913*1.4*1.5,2190000*(1.580994^(MIN($E2913,123)-117)))*1,0))</f>
        <v>173670000</v>
      </c>
      <c r="O2913" s="13">
        <f>$E2913+4</f>
        <v>110</v>
      </c>
      <c r="P2913" s="14">
        <f>IF($J2913=0,0,ROUND(MAX($J2913*1.4*1.5*1.6,3500000*(1.57975^(MIN($E2913,123)-117)))*1,0))</f>
        <v>277872000</v>
      </c>
      <c r="Q2913" s="11">
        <f>$E2913+6</f>
        <v>112</v>
      </c>
      <c r="R2913" s="12">
        <f>IF($J2913=0,0,ROUND(MAX($J2913*1.4*1.5*1.6*1.6,13100000*(1.429962^(MIN($E2913,123)-117)))*1,0))</f>
        <v>444595200</v>
      </c>
      <c r="S2913" s="13">
        <f>$E2913+8</f>
        <v>114</v>
      </c>
      <c r="T2913" s="14">
        <f>IF($J2913=0,0,ROUND(MAX($J2913*1.4*1.5*1.6*1.6*2.2,42600000*(1.576904^(MIN($E2913,123)-117)))*1,0))</f>
        <v>978109440</v>
      </c>
      <c r="U2913" s="11">
        <f>$E2913+11</f>
        <v>117</v>
      </c>
      <c r="V2913" s="12">
        <f>IF($J2913=0,0,ROUND(MAX($J2913*1.4*1.5*1.6*1.6*2.2*2.715,354000000*(1.642074^(MIN($E2913,123)-117)))*1,0))</f>
        <v>2655567130</v>
      </c>
      <c r="W2913" s="13">
        <f>$E2913+15</f>
        <v>121</v>
      </c>
      <c r="X2913" s="14">
        <f>IF($J2913=0,0,ROUND(MAX($J2913*1.4*1.5*1.6*1.6*2.2*2.715*2.6,3540000000*(1.579646^(MIN($E2913,123)-117)))*1,0))</f>
        <v>6904474537</v>
      </c>
      <c r="Y2913" s="11">
        <f>$E2913+17</f>
        <v>123</v>
      </c>
      <c r="Z2913" s="12">
        <f>IF($J2913=0,0,ROUND(MAX($J2913*1.4*1.5*1.6*1.6*2.2*2.715*2.6*1.4,6020000000*(1.651178^(MIN($E2913,123)-117)))*1,0))</f>
        <v>9666264352</v>
      </c>
      <c r="AA2913" s="13">
        <f>$E2913+19</f>
        <v>125</v>
      </c>
      <c r="AB2913" s="14">
        <f>IF($J2913=0,0,ROUND(MAX($J2913*1.4*1.5*1.6*1.6*2.2*2.715*2.6*1.4*1.4,8430000000*(1.651435^(MIN($E2913,123)-117)))*1,0))</f>
        <v>13532770092</v>
      </c>
      <c r="AC2913" s="11">
        <f>$E2913+21</f>
        <v>127</v>
      </c>
      <c r="AD2913" s="12">
        <f>IF($J2913=0,0,ROUND(MAX($J2913*1.4*1.5*1.6*1.6*2.2*2.715*2.6*1.4*1.4*1.5,12600000000*(1.652953^(MIN($E2913,123)-117)))*1,0))</f>
        <v>20299155139</v>
      </c>
      <c r="AE2913" s="13">
        <f>$E2913+24</f>
        <v>130</v>
      </c>
      <c r="AF2913" s="14">
        <f>IF($J2913=0,0,ROUND(MAX($J2913*1.4*1.5*1.6*1.6*2.2*2.715*2.6*1.4*1.4*1.5*1.5,18900000000*(1.65331^(MIN($E2913,123)-117)))*1,0))</f>
        <v>30448732708</v>
      </c>
      <c r="AG2913" s="11">
        <f>$E2913+27</f>
        <v>133</v>
      </c>
      <c r="AH2913" s="12">
        <f>IF($J2913=0,0,ROUND(MAX($J2913*1.4*1.5*1.6*1.6*2.2*2.715*2.6*1.4*1.4*1.5*1.5*3.2,60500000000*(1.654288^(MIN($E2913,123)-117)))*1,0))</f>
        <v>97435944666</v>
      </c>
    </row>
    <row r="2914" ht="28" customHeight="1" spans="1:34" x14ac:dyDescent="0.25">
      <c r="A2914">
        <v>2924</v>
      </c>
      <c r="B2914" t="s">
        <v>597</v>
      </c>
      <c r="C2914" s="10" t="s">
        <v>1650</v>
      </c>
      <c r="D2914" t="s">
        <v>79</v>
      </c>
      <c r="E2914">
        <v>106</v>
      </c>
      <c r="F2914" t="s">
        <v>56</v>
      </c>
      <c r="G2914" t="s">
        <v>562</v>
      </c>
      <c r="H2914">
        <v>23</v>
      </c>
      <c r="I2914" s="11">
        <f>$E2914+0</f>
        <v>106</v>
      </c>
      <c r="J2914" s="12">
        <v>33900</v>
      </c>
      <c r="K2914" s="13">
        <f>$E2914+1</f>
        <v>107</v>
      </c>
      <c r="L2914" s="14">
        <f>IF($J2914=0,0,ROUND(MAX($J2914*1.4,1620000*(1.497923^(MIN($E2914,123)-117)))*1,0))</f>
        <v>47460</v>
      </c>
      <c r="M2914" s="11">
        <f>$E2914+2</f>
        <v>108</v>
      </c>
      <c r="N2914" s="12">
        <f>IF($J2914=0,0,ROUND(MAX($J2914*1.4*1.5,2190000*(1.580994^(MIN($E2914,123)-117)))*1,0))</f>
        <v>71190</v>
      </c>
      <c r="O2914" s="13">
        <f>$E2914+4</f>
        <v>110</v>
      </c>
      <c r="P2914" s="14">
        <f>IF($J2914=0,0,ROUND(MAX($J2914*1.4*1.5*1.6,3500000*(1.57975^(MIN($E2914,123)-117)))*1,0))</f>
        <v>113904</v>
      </c>
      <c r="Q2914" s="11">
        <f>$E2914+6</f>
        <v>112</v>
      </c>
      <c r="R2914" s="12">
        <f>IF($J2914=0,0,ROUND(MAX($J2914*1.4*1.5*1.6*1.6,13100000*(1.429962^(MIN($E2914,123)-117)))*1,0))</f>
        <v>256272</v>
      </c>
      <c r="S2914" s="13">
        <f>$E2914+8</f>
        <v>114</v>
      </c>
      <c r="T2914" s="14">
        <f>IF($J2914=0,0,ROUND(MAX($J2914*1.4*1.5*1.6*1.6*2.2,42600000*(1.576904^(MIN($E2914,123)-117)))*1,0))</f>
        <v>400942</v>
      </c>
      <c r="U2914" s="11">
        <f>$E2914+11</f>
        <v>117</v>
      </c>
      <c r="V2914" s="12">
        <f>IF($J2914=0,0,ROUND(MAX($J2914*1.4*1.5*1.6*1.6*2.2*2.715,354000000*(1.642074^(MIN($E2914,123)-117)))*1,0))</f>
        <v>1512458</v>
      </c>
      <c r="W2914" s="13">
        <f>$E2914+15</f>
        <v>121</v>
      </c>
      <c r="X2914" s="14">
        <f>IF($J2914=0,0,ROUND(MAX($J2914*1.4*1.5*1.6*1.6*2.2*2.715*2.6,3540000000*(1.579646^(MIN($E2914,123)-117)))*1,0))</f>
        <v>23165718</v>
      </c>
      <c r="Y2914" s="11">
        <f>$E2914+17</f>
        <v>123</v>
      </c>
      <c r="Z2914" s="12">
        <f>IF($J2914=0,0,ROUND(MAX($J2914*1.4*1.5*1.6*1.6*2.2*2.715*2.6*1.4,6020000000*(1.651178^(MIN($E2914,123)-117)))*1,0))</f>
        <v>24202691</v>
      </c>
      <c r="AA2914" s="13">
        <f>$E2914+19</f>
        <v>125</v>
      </c>
      <c r="AB2914" s="14">
        <f>IF($J2914=0,0,ROUND(MAX($J2914*1.4*1.5*1.6*1.6*2.2*2.715*2.6*1.4*1.4,8430000000*(1.651435^(MIN($E2914,123)-117)))*1,0))</f>
        <v>33833836</v>
      </c>
      <c r="AC2914" s="11">
        <f>$E2914+21</f>
        <v>127</v>
      </c>
      <c r="AD2914" s="12">
        <f>IF($J2914=0,0,ROUND(MAX($J2914*1.4*1.5*1.6*1.6*2.2*2.715*2.6*1.4*1.4*1.5,12600000000*(1.652953^(MIN($E2914,123)-117)))*1,0))</f>
        <v>50061630</v>
      </c>
      <c r="AE2914" s="13">
        <f>$E2914+24</f>
        <v>130</v>
      </c>
      <c r="AF2914" s="14">
        <f>IF($J2914=0,0,ROUND(MAX($J2914*1.4*1.5*1.6*1.6*2.2*2.715*2.6*1.4*1.4*1.5*1.5,18900000000*(1.65331^(MIN($E2914,123)-117)))*1,0))</f>
        <v>74914276</v>
      </c>
      <c r="AG2914" s="11">
        <f>$E2914+27</f>
        <v>133</v>
      </c>
      <c r="AH2914" s="12">
        <f>IF($J2914=0,0,ROUND(MAX($J2914*1.4*1.5*1.6*1.6*2.2*2.715*2.6*1.4*1.4*1.5*1.5*3.2,60500000000*(1.654288^(MIN($E2914,123)-117)))*1,0))</f>
        <v>238250083</v>
      </c>
    </row>
    <row r="2915" ht="28" customHeight="1" spans="1:34" x14ac:dyDescent="0.25">
      <c r="A2915">
        <v>2925</v>
      </c>
      <c r="B2915" t="s">
        <v>1655</v>
      </c>
      <c r="C2915" s="10" t="s">
        <v>1650</v>
      </c>
      <c r="D2915" t="s">
        <v>33</v>
      </c>
      <c r="E2915">
        <v>106</v>
      </c>
      <c r="F2915" t="s">
        <v>116</v>
      </c>
      <c r="G2915" t="s">
        <v>562</v>
      </c>
      <c r="H2915">
        <v>22</v>
      </c>
      <c r="I2915" s="11">
        <f>$E2915+0</f>
        <v>106</v>
      </c>
      <c r="J2915" s="12">
        <v>22800</v>
      </c>
      <c r="K2915" s="13">
        <f>$E2915+1</f>
        <v>107</v>
      </c>
      <c r="L2915" s="14">
        <f>IF($J2915=0,0,ROUND(MAX($J2915*1.4,1620000*(1.497923^(MIN($E2915,123)-117)))*1,0))</f>
        <v>31920</v>
      </c>
      <c r="M2915" s="11">
        <f>$E2915+2</f>
        <v>108</v>
      </c>
      <c r="N2915" s="12">
        <f>IF($J2915=0,0,ROUND(MAX($J2915*1.4*1.5,2190000*(1.580994^(MIN($E2915,123)-117)))*1,0))</f>
        <v>47880</v>
      </c>
      <c r="O2915" s="13">
        <f>$E2915+4</f>
        <v>110</v>
      </c>
      <c r="P2915" s="14">
        <f>IF($J2915=0,0,ROUND(MAX($J2915*1.4*1.5*1.6,3500000*(1.57975^(MIN($E2915,123)-117)))*1,0))</f>
        <v>76608</v>
      </c>
      <c r="Q2915" s="11">
        <f>$E2915+6</f>
        <v>112</v>
      </c>
      <c r="R2915" s="12">
        <f>IF($J2915=0,0,ROUND(MAX($J2915*1.4*1.5*1.6*1.6,13100000*(1.429962^(MIN($E2915,123)-117)))*1,0))</f>
        <v>256272</v>
      </c>
      <c r="S2915" s="13">
        <f>$E2915+8</f>
        <v>114</v>
      </c>
      <c r="T2915" s="14">
        <f>IF($J2915=0,0,ROUND(MAX($J2915*1.4*1.5*1.6*1.6*2.2,42600000*(1.576904^(MIN($E2915,123)-117)))*1,0))</f>
        <v>284153</v>
      </c>
      <c r="U2915" s="11">
        <f>$E2915+11</f>
        <v>117</v>
      </c>
      <c r="V2915" s="12">
        <f>IF($J2915=0,0,ROUND(MAX($J2915*1.4*1.5*1.6*1.6*2.2*2.715,354000000*(1.642074^(MIN($E2915,123)-117)))*1,0))</f>
        <v>1512458</v>
      </c>
      <c r="W2915" s="13">
        <f>$E2915+15</f>
        <v>121</v>
      </c>
      <c r="X2915" s="14">
        <f>IF($J2915=0,0,ROUND(MAX($J2915*1.4*1.5*1.6*1.6*2.2*2.715*2.6,3540000000*(1.579646^(MIN($E2915,123)-117)))*1,0))</f>
        <v>23165718</v>
      </c>
      <c r="Y2915" s="11">
        <f>$E2915+17</f>
        <v>123</v>
      </c>
      <c r="Z2915" s="12">
        <f>IF($J2915=0,0,ROUND(MAX($J2915*1.4*1.5*1.6*1.6*2.2*2.715*2.6*1.4,6020000000*(1.651178^(MIN($E2915,123)-117)))*1,0))</f>
        <v>24202691</v>
      </c>
      <c r="AA2915" s="13">
        <f>$E2915+19</f>
        <v>125</v>
      </c>
      <c r="AB2915" s="14">
        <f>IF($J2915=0,0,ROUND(MAX($J2915*1.4*1.5*1.6*1.6*2.2*2.715*2.6*1.4*1.4,8430000000*(1.651435^(MIN($E2915,123)-117)))*1,0))</f>
        <v>33833836</v>
      </c>
      <c r="AC2915" s="11">
        <f>$E2915+21</f>
        <v>127</v>
      </c>
      <c r="AD2915" s="12">
        <f>IF($J2915=0,0,ROUND(MAX($J2915*1.4*1.5*1.6*1.6*2.2*2.715*2.6*1.4*1.4*1.5,12600000000*(1.652953^(MIN($E2915,123)-117)))*1,0))</f>
        <v>50061630</v>
      </c>
      <c r="AE2915" s="13">
        <f>$E2915+24</f>
        <v>130</v>
      </c>
      <c r="AF2915" s="14">
        <f>IF($J2915=0,0,ROUND(MAX($J2915*1.4*1.5*1.6*1.6*2.2*2.715*2.6*1.4*1.4*1.5*1.5,18900000000*(1.65331^(MIN($E2915,123)-117)))*1,0))</f>
        <v>74914276</v>
      </c>
      <c r="AG2915" s="11">
        <f>$E2915+27</f>
        <v>133</v>
      </c>
      <c r="AH2915" s="12">
        <f>IF($J2915=0,0,ROUND(MAX($J2915*1.4*1.5*1.6*1.6*2.2*2.715*2.6*1.4*1.4*1.5*1.5*3.2,60500000000*(1.654288^(MIN($E2915,123)-117)))*1,0))</f>
        <v>238250083</v>
      </c>
    </row>
    <row r="2916" ht="28" customHeight="1" spans="1:34" x14ac:dyDescent="0.25">
      <c r="A2916">
        <v>2926</v>
      </c>
      <c r="B2916" t="s">
        <v>1656</v>
      </c>
      <c r="C2916" s="10" t="s">
        <v>1650</v>
      </c>
      <c r="D2916" t="s">
        <v>47</v>
      </c>
      <c r="E2916">
        <v>106</v>
      </c>
      <c r="F2916" t="s">
        <v>353</v>
      </c>
      <c r="G2916" t="s">
        <v>72</v>
      </c>
      <c r="H2916">
        <v>21</v>
      </c>
      <c r="I2916" s="11">
        <f>$E2916+0</f>
        <v>106</v>
      </c>
      <c r="J2916" s="12">
        <v>4000000</v>
      </c>
      <c r="K2916" s="13">
        <f>$E2916+1</f>
        <v>107</v>
      </c>
      <c r="L2916" s="14">
        <f>IF($J2916=0,0,ROUND(MAX($J2916*1.4,1620000*(1.497923^(MIN($E2916,123)-117)))*1,0))</f>
        <v>5600000</v>
      </c>
      <c r="M2916" s="11">
        <f>$E2916+2</f>
        <v>108</v>
      </c>
      <c r="N2916" s="12">
        <f>IF($J2916=0,0,ROUND(MAX($J2916*1.4*1.5,2190000*(1.580994^(MIN($E2916,123)-117)))*1,0))</f>
        <v>8400000</v>
      </c>
      <c r="O2916" s="13">
        <f>$E2916+4</f>
        <v>110</v>
      </c>
      <c r="P2916" s="14">
        <f>IF($J2916=0,0,ROUND(MAX($J2916*1.4*1.5*1.6,3500000*(1.57975^(MIN($E2916,123)-117)))*1,0))</f>
        <v>13440000</v>
      </c>
      <c r="Q2916" s="11">
        <f>$E2916+6</f>
        <v>112</v>
      </c>
      <c r="R2916" s="12">
        <f>IF($J2916=0,0,ROUND(MAX($J2916*1.4*1.5*1.6*1.6,13100000*(1.429962^(MIN($E2916,123)-117)))*1,0))</f>
        <v>21504000</v>
      </c>
      <c r="S2916" s="13">
        <f>$E2916+8</f>
        <v>114</v>
      </c>
      <c r="T2916" s="14">
        <f>IF($J2916=0,0,ROUND(MAX($J2916*1.4*1.5*1.6*1.6*2.2,42600000*(1.576904^(MIN($E2916,123)-117)))*1,0))</f>
        <v>47308800</v>
      </c>
      <c r="U2916" s="11">
        <f>$E2916+11</f>
        <v>117</v>
      </c>
      <c r="V2916" s="12">
        <f>IF($J2916=0,0,ROUND(MAX($J2916*1.4*1.5*1.6*1.6*2.2*2.715,354000000*(1.642074^(MIN($E2916,123)-117)))*1,0))</f>
        <v>128443392</v>
      </c>
      <c r="W2916" s="13">
        <f>$E2916+15</f>
        <v>121</v>
      </c>
      <c r="X2916" s="14">
        <f>IF($J2916=0,0,ROUND(MAX($J2916*1.4*1.5*1.6*1.6*2.2*2.715*2.6,3540000000*(1.579646^(MIN($E2916,123)-117)))*1,0))</f>
        <v>333952819</v>
      </c>
      <c r="Y2916" s="11">
        <f>$E2916+17</f>
        <v>123</v>
      </c>
      <c r="Z2916" s="12">
        <f>IF($J2916=0,0,ROUND(MAX($J2916*1.4*1.5*1.6*1.6*2.2*2.715*2.6*1.4,6020000000*(1.651178^(MIN($E2916,123)-117)))*1,0))</f>
        <v>467533947</v>
      </c>
      <c r="AA2916" s="13">
        <f>$E2916+19</f>
        <v>125</v>
      </c>
      <c r="AB2916" s="14">
        <f>IF($J2916=0,0,ROUND(MAX($J2916*1.4*1.5*1.6*1.6*2.2*2.715*2.6*1.4*1.4,8430000000*(1.651435^(MIN($E2916,123)-117)))*1,0))</f>
        <v>654547526</v>
      </c>
      <c r="AC2916" s="11">
        <f>$E2916+21</f>
        <v>127</v>
      </c>
      <c r="AD2916" s="12">
        <f>IF($J2916=0,0,ROUND(MAX($J2916*1.4*1.5*1.6*1.6*2.2*2.715*2.6*1.4*1.4*1.5,12600000000*(1.652953^(MIN($E2916,123)-117)))*1,0))</f>
        <v>981821288</v>
      </c>
      <c r="AE2916" s="13">
        <f>$E2916+24</f>
        <v>130</v>
      </c>
      <c r="AF2916" s="14">
        <f>IF($J2916=0,0,ROUND(MAX($J2916*1.4*1.5*1.6*1.6*2.2*2.715*2.6*1.4*1.4*1.5*1.5,18900000000*(1.65331^(MIN($E2916,123)-117)))*1,0))</f>
        <v>1472731933</v>
      </c>
      <c r="AG2916" s="11">
        <f>$E2916+27</f>
        <v>133</v>
      </c>
      <c r="AH2916" s="12">
        <f>IF($J2916=0,0,ROUND(MAX($J2916*1.4*1.5*1.6*1.6*2.2*2.715*2.6*1.4*1.4*1.5*1.5*3.2,60500000000*(1.654288^(MIN($E2916,123)-117)))*1,0))</f>
        <v>4712742185</v>
      </c>
    </row>
    <row r="2917" ht="28" customHeight="1" spans="1:34" x14ac:dyDescent="0.25">
      <c r="A2917">
        <v>2927</v>
      </c>
      <c r="B2917" t="s">
        <v>1657</v>
      </c>
      <c r="C2917" s="10" t="s">
        <v>1650</v>
      </c>
      <c r="D2917" t="s">
        <v>33</v>
      </c>
      <c r="E2917">
        <v>105</v>
      </c>
      <c r="F2917" t="s">
        <v>42</v>
      </c>
      <c r="G2917" t="s">
        <v>562</v>
      </c>
      <c r="H2917">
        <v>24</v>
      </c>
      <c r="I2917" s="11">
        <f>$E2917+0</f>
        <v>105</v>
      </c>
      <c r="J2917" s="12">
        <v>17600</v>
      </c>
      <c r="K2917" s="13">
        <f>$E2917+1</f>
        <v>106</v>
      </c>
      <c r="L2917" s="14">
        <f>IF($J2917=0,0,ROUND(MAX($J2917*1.4,1620000*(1.497923^(MIN($E2917,123)-117)))*1,0))</f>
        <v>24640</v>
      </c>
      <c r="M2917" s="11">
        <f>$E2917+2</f>
        <v>107</v>
      </c>
      <c r="N2917" s="12">
        <f>IF($J2917=0,0,ROUND(MAX($J2917*1.4*1.5,2190000*(1.580994^(MIN($E2917,123)-117)))*1,0))</f>
        <v>36960</v>
      </c>
      <c r="O2917" s="13">
        <f>$E2917+4</f>
        <v>109</v>
      </c>
      <c r="P2917" s="14">
        <f>IF($J2917=0,0,ROUND(MAX($J2917*1.4*1.5*1.6,3500000*(1.57975^(MIN($E2917,123)-117)))*1,0))</f>
        <v>59136</v>
      </c>
      <c r="Q2917" s="11">
        <f>$E2917+6</f>
        <v>111</v>
      </c>
      <c r="R2917" s="12">
        <f>IF($J2917=0,0,ROUND(MAX($J2917*1.4*1.5*1.6*1.6,13100000*(1.429962^(MIN($E2917,123)-117)))*1,0))</f>
        <v>179216</v>
      </c>
      <c r="S2917" s="13">
        <f>$E2917+8</f>
        <v>113</v>
      </c>
      <c r="T2917" s="14">
        <f>IF($J2917=0,0,ROUND(MAX($J2917*1.4*1.5*1.6*1.6*2.2,42600000*(1.576904^(MIN($E2917,123)-117)))*1,0))</f>
        <v>208159</v>
      </c>
      <c r="U2917" s="11">
        <f>$E2917+11</f>
        <v>116</v>
      </c>
      <c r="V2917" s="12">
        <f>IF($J2917=0,0,ROUND(MAX($J2917*1.4*1.5*1.6*1.6*2.2*2.715,354000000*(1.642074^(MIN($E2917,123)-117)))*1,0))</f>
        <v>921066</v>
      </c>
      <c r="W2917" s="13">
        <f>$E2917+15</f>
        <v>120</v>
      </c>
      <c r="X2917" s="14">
        <f>IF($J2917=0,0,ROUND(MAX($J2917*1.4*1.5*1.6*1.6*2.2*2.715*2.6,3540000000*(1.579646^(MIN($E2917,123)-117)))*1,0))</f>
        <v>14665133</v>
      </c>
      <c r="Y2917" s="11">
        <f>$E2917+17</f>
        <v>122</v>
      </c>
      <c r="Z2917" s="12">
        <f>IF($J2917=0,0,ROUND(MAX($J2917*1.4*1.5*1.6*1.6*2.2*2.715*2.6*1.4,6020000000*(1.651178^(MIN($E2917,123)-117)))*1,0))</f>
        <v>14657833</v>
      </c>
      <c r="AA2917" s="13">
        <f>$E2917+19</f>
        <v>124</v>
      </c>
      <c r="AB2917" s="14">
        <f>IF($J2917=0,0,ROUND(MAX($J2917*1.4*1.5*1.6*1.6*2.2*2.715*2.6*1.4*1.4,8430000000*(1.651435^(MIN($E2917,123)-117)))*1,0))</f>
        <v>20487537</v>
      </c>
      <c r="AC2917" s="11">
        <f>$E2917+21</f>
        <v>126</v>
      </c>
      <c r="AD2917" s="12">
        <f>IF($J2917=0,0,ROUND(MAX($J2917*1.4*1.5*1.6*1.6*2.2*2.715*2.6*1.4*1.4*1.5,12600000000*(1.652953^(MIN($E2917,123)-117)))*1,0))</f>
        <v>30286179</v>
      </c>
      <c r="AE2917" s="13">
        <f>$E2917+24</f>
        <v>129</v>
      </c>
      <c r="AF2917" s="14">
        <f>IF($J2917=0,0,ROUND(MAX($J2917*1.4*1.5*1.6*1.6*2.2*2.715*2.6*1.4*1.4*1.5*1.5,18900000000*(1.65331^(MIN($E2917,123)-117)))*1,0))</f>
        <v>45311693</v>
      </c>
      <c r="AG2917" s="11">
        <f>$E2917+27</f>
        <v>132</v>
      </c>
      <c r="AH2917" s="12">
        <f>IF($J2917=0,0,ROUND(MAX($J2917*1.4*1.5*1.6*1.6*2.2*2.715*2.6*1.4*1.4*1.5*1.5*3.2,60500000000*(1.654288^(MIN($E2917,123)-117)))*1,0))</f>
        <v>144019713</v>
      </c>
    </row>
    <row r="2918" ht="28" customHeight="1" spans="1:34" x14ac:dyDescent="0.25">
      <c r="A2918">
        <v>2928</v>
      </c>
      <c r="B2918" t="s">
        <v>1658</v>
      </c>
      <c r="C2918" s="10" t="s">
        <v>1650</v>
      </c>
      <c r="D2918" t="s">
        <v>45</v>
      </c>
      <c r="E2918">
        <v>105</v>
      </c>
      <c r="F2918" t="s">
        <v>267</v>
      </c>
      <c r="G2918" t="s">
        <v>813</v>
      </c>
      <c r="H2918">
        <v>23</v>
      </c>
      <c r="I2918" s="11">
        <f>$E2918+0</f>
        <v>105</v>
      </c>
      <c r="J2918" s="12">
        <v>32600</v>
      </c>
      <c r="K2918" s="13">
        <f>$E2918+1</f>
        <v>106</v>
      </c>
      <c r="L2918" s="14">
        <f>IF($J2918=0,0,ROUND(MAX($J2918*1.4,1620000*(1.497923^(MIN($E2918,123)-117)))*1,0))</f>
        <v>45640</v>
      </c>
      <c r="M2918" s="11">
        <f>$E2918+2</f>
        <v>107</v>
      </c>
      <c r="N2918" s="12">
        <f>IF($J2918=0,0,ROUND(MAX($J2918*1.4*1.5,2190000*(1.580994^(MIN($E2918,123)-117)))*1,0))</f>
        <v>68460</v>
      </c>
      <c r="O2918" s="13">
        <f>$E2918+4</f>
        <v>109</v>
      </c>
      <c r="P2918" s="14">
        <f>IF($J2918=0,0,ROUND(MAX($J2918*1.4*1.5*1.6,3500000*(1.57975^(MIN($E2918,123)-117)))*1,0))</f>
        <v>109536</v>
      </c>
      <c r="Q2918" s="11">
        <f>$E2918+6</f>
        <v>111</v>
      </c>
      <c r="R2918" s="12">
        <f>IF($J2918=0,0,ROUND(MAX($J2918*1.4*1.5*1.6*1.6,13100000*(1.429962^(MIN($E2918,123)-117)))*1,0))</f>
        <v>179216</v>
      </c>
      <c r="S2918" s="13">
        <f>$E2918+8</f>
        <v>113</v>
      </c>
      <c r="T2918" s="14">
        <f>IF($J2918=0,0,ROUND(MAX($J2918*1.4*1.5*1.6*1.6*2.2,42600000*(1.576904^(MIN($E2918,123)-117)))*1,0))</f>
        <v>385567</v>
      </c>
      <c r="U2918" s="11">
        <f>$E2918+11</f>
        <v>116</v>
      </c>
      <c r="V2918" s="12">
        <f>IF($J2918=0,0,ROUND(MAX($J2918*1.4*1.5*1.6*1.6*2.2*2.715,354000000*(1.642074^(MIN($E2918,123)-117)))*1,0))</f>
        <v>1046814</v>
      </c>
      <c r="W2918" s="13">
        <f>$E2918+15</f>
        <v>120</v>
      </c>
      <c r="X2918" s="14">
        <f>IF($J2918=0,0,ROUND(MAX($J2918*1.4*1.5*1.6*1.6*2.2*2.715*2.6,3540000000*(1.579646^(MIN($E2918,123)-117)))*1,0))</f>
        <v>14665133</v>
      </c>
      <c r="Y2918" s="11">
        <f>$E2918+17</f>
        <v>122</v>
      </c>
      <c r="Z2918" s="12">
        <f>IF($J2918=0,0,ROUND(MAX($J2918*1.4*1.5*1.6*1.6*2.2*2.715*2.6*1.4,6020000000*(1.651178^(MIN($E2918,123)-117)))*1,0))</f>
        <v>14657833</v>
      </c>
      <c r="AA2918" s="13">
        <f>$E2918+19</f>
        <v>124</v>
      </c>
      <c r="AB2918" s="14">
        <f>IF($J2918=0,0,ROUND(MAX($J2918*1.4*1.5*1.6*1.6*2.2*2.715*2.6*1.4*1.4,8430000000*(1.651435^(MIN($E2918,123)-117)))*1,0))</f>
        <v>20487537</v>
      </c>
      <c r="AC2918" s="11">
        <f>$E2918+21</f>
        <v>126</v>
      </c>
      <c r="AD2918" s="12">
        <f>IF($J2918=0,0,ROUND(MAX($J2918*1.4*1.5*1.6*1.6*2.2*2.715*2.6*1.4*1.4*1.5,12600000000*(1.652953^(MIN($E2918,123)-117)))*1,0))</f>
        <v>30286179</v>
      </c>
      <c r="AE2918" s="13">
        <f>$E2918+24</f>
        <v>129</v>
      </c>
      <c r="AF2918" s="14">
        <f>IF($J2918=0,0,ROUND(MAX($J2918*1.4*1.5*1.6*1.6*2.2*2.715*2.6*1.4*1.4*1.5*1.5,18900000000*(1.65331^(MIN($E2918,123)-117)))*1,0))</f>
        <v>45311693</v>
      </c>
      <c r="AG2918" s="11">
        <f>$E2918+27</f>
        <v>132</v>
      </c>
      <c r="AH2918" s="12">
        <f>IF($J2918=0,0,ROUND(MAX($J2918*1.4*1.5*1.6*1.6*2.2*2.715*2.6*1.4*1.4*1.5*1.5*3.2,60500000000*(1.654288^(MIN($E2918,123)-117)))*1,0))</f>
        <v>144019713</v>
      </c>
    </row>
    <row r="2919" ht="28" customHeight="1" spans="1:34" x14ac:dyDescent="0.25">
      <c r="A2919">
        <v>2929</v>
      </c>
      <c r="B2919" t="s">
        <v>836</v>
      </c>
      <c r="C2919" s="10" t="s">
        <v>1650</v>
      </c>
      <c r="D2919" t="s">
        <v>79</v>
      </c>
      <c r="E2919">
        <v>105</v>
      </c>
      <c r="F2919" t="s">
        <v>42</v>
      </c>
      <c r="G2919" t="s">
        <v>133</v>
      </c>
      <c r="H2919">
        <v>23</v>
      </c>
      <c r="I2919" s="11">
        <f>$E2919+0</f>
        <v>105</v>
      </c>
      <c r="J2919" s="12">
        <v>27300</v>
      </c>
      <c r="K2919" s="13">
        <f>$E2919+1</f>
        <v>106</v>
      </c>
      <c r="L2919" s="14">
        <f>IF($J2919=0,0,ROUND(MAX($J2919*1.4,1620000*(1.497923^(MIN($E2919,123)-117)))*1,0))</f>
        <v>38220</v>
      </c>
      <c r="M2919" s="11">
        <f>$E2919+2</f>
        <v>107</v>
      </c>
      <c r="N2919" s="12">
        <f>IF($J2919=0,0,ROUND(MAX($J2919*1.4*1.5,2190000*(1.580994^(MIN($E2919,123)-117)))*1,0))</f>
        <v>57330</v>
      </c>
      <c r="O2919" s="13">
        <f>$E2919+4</f>
        <v>109</v>
      </c>
      <c r="P2919" s="14">
        <f>IF($J2919=0,0,ROUND(MAX($J2919*1.4*1.5*1.6,3500000*(1.57975^(MIN($E2919,123)-117)))*1,0))</f>
        <v>91728</v>
      </c>
      <c r="Q2919" s="11">
        <f>$E2919+6</f>
        <v>111</v>
      </c>
      <c r="R2919" s="12">
        <f>IF($J2919=0,0,ROUND(MAX($J2919*1.4*1.5*1.6*1.6,13100000*(1.429962^(MIN($E2919,123)-117)))*1,0))</f>
        <v>179216</v>
      </c>
      <c r="S2919" s="13">
        <f>$E2919+8</f>
        <v>113</v>
      </c>
      <c r="T2919" s="14">
        <f>IF($J2919=0,0,ROUND(MAX($J2919*1.4*1.5*1.6*1.6*2.2,42600000*(1.576904^(MIN($E2919,123)-117)))*1,0))</f>
        <v>322883</v>
      </c>
      <c r="U2919" s="11">
        <f>$E2919+11</f>
        <v>116</v>
      </c>
      <c r="V2919" s="12">
        <f>IF($J2919=0,0,ROUND(MAX($J2919*1.4*1.5*1.6*1.6*2.2*2.715,354000000*(1.642074^(MIN($E2919,123)-117)))*1,0))</f>
        <v>921066</v>
      </c>
      <c r="W2919" s="13">
        <f>$E2919+15</f>
        <v>120</v>
      </c>
      <c r="X2919" s="14">
        <f>IF($J2919=0,0,ROUND(MAX($J2919*1.4*1.5*1.6*1.6*2.2*2.715*2.6,3540000000*(1.579646^(MIN($E2919,123)-117)))*1,0))</f>
        <v>14665133</v>
      </c>
      <c r="Y2919" s="11">
        <f>$E2919+17</f>
        <v>122</v>
      </c>
      <c r="Z2919" s="12">
        <f>IF($J2919=0,0,ROUND(MAX($J2919*1.4*1.5*1.6*1.6*2.2*2.715*2.6*1.4,6020000000*(1.651178^(MIN($E2919,123)-117)))*1,0))</f>
        <v>14657833</v>
      </c>
      <c r="AA2919" s="13">
        <f>$E2919+19</f>
        <v>124</v>
      </c>
      <c r="AB2919" s="14">
        <f>IF($J2919=0,0,ROUND(MAX($J2919*1.4*1.5*1.6*1.6*2.2*2.715*2.6*1.4*1.4,8430000000*(1.651435^(MIN($E2919,123)-117)))*1,0))</f>
        <v>20487537</v>
      </c>
      <c r="AC2919" s="11">
        <f>$E2919+21</f>
        <v>126</v>
      </c>
      <c r="AD2919" s="12">
        <f>IF($J2919=0,0,ROUND(MAX($J2919*1.4*1.5*1.6*1.6*2.2*2.715*2.6*1.4*1.4*1.5,12600000000*(1.652953^(MIN($E2919,123)-117)))*1,0))</f>
        <v>30286179</v>
      </c>
      <c r="AE2919" s="13">
        <f>$E2919+24</f>
        <v>129</v>
      </c>
      <c r="AF2919" s="14">
        <f>IF($J2919=0,0,ROUND(MAX($J2919*1.4*1.5*1.6*1.6*2.2*2.715*2.6*1.4*1.4*1.5*1.5,18900000000*(1.65331^(MIN($E2919,123)-117)))*1,0))</f>
        <v>45311693</v>
      </c>
      <c r="AG2919" s="11">
        <f>$E2919+27</f>
        <v>132</v>
      </c>
      <c r="AH2919" s="12">
        <f>IF($J2919=0,0,ROUND(MAX($J2919*1.4*1.5*1.6*1.6*2.2*2.715*2.6*1.4*1.4*1.5*1.5*3.2,60500000000*(1.654288^(MIN($E2919,123)-117)))*1,0))</f>
        <v>144019713</v>
      </c>
    </row>
    <row r="2920" ht="28" customHeight="1" spans="1:34" x14ac:dyDescent="0.25">
      <c r="A2920">
        <v>2930</v>
      </c>
      <c r="B2920" t="s">
        <v>1172</v>
      </c>
      <c r="C2920" s="10" t="s">
        <v>1650</v>
      </c>
      <c r="D2920" t="s">
        <v>45</v>
      </c>
      <c r="E2920">
        <v>105</v>
      </c>
      <c r="F2920" t="s">
        <v>42</v>
      </c>
      <c r="G2920" t="s">
        <v>748</v>
      </c>
      <c r="H2920">
        <v>23</v>
      </c>
      <c r="I2920" s="11">
        <f>$E2920+0</f>
        <v>105</v>
      </c>
      <c r="J2920" s="12">
        <v>27600</v>
      </c>
      <c r="K2920" s="13">
        <f>$E2920+1</f>
        <v>106</v>
      </c>
      <c r="L2920" s="14">
        <f>IF($J2920=0,0,ROUND(MAX($J2920*1.4,1620000*(1.497923^(MIN($E2920,123)-117)))*1,0))</f>
        <v>38640</v>
      </c>
      <c r="M2920" s="11">
        <f>$E2920+2</f>
        <v>107</v>
      </c>
      <c r="N2920" s="12">
        <f>IF($J2920=0,0,ROUND(MAX($J2920*1.4*1.5,2190000*(1.580994^(MIN($E2920,123)-117)))*1,0))</f>
        <v>57960</v>
      </c>
      <c r="O2920" s="13">
        <f>$E2920+4</f>
        <v>109</v>
      </c>
      <c r="P2920" s="14">
        <f>IF($J2920=0,0,ROUND(MAX($J2920*1.4*1.5*1.6,3500000*(1.57975^(MIN($E2920,123)-117)))*1,0))</f>
        <v>92736</v>
      </c>
      <c r="Q2920" s="11">
        <f>$E2920+6</f>
        <v>111</v>
      </c>
      <c r="R2920" s="12">
        <f>IF($J2920=0,0,ROUND(MAX($J2920*1.4*1.5*1.6*1.6,13100000*(1.429962^(MIN($E2920,123)-117)))*1,0))</f>
        <v>179216</v>
      </c>
      <c r="S2920" s="13">
        <f>$E2920+8</f>
        <v>113</v>
      </c>
      <c r="T2920" s="14">
        <f>IF($J2920=0,0,ROUND(MAX($J2920*1.4*1.5*1.6*1.6*2.2,42600000*(1.576904^(MIN($E2920,123)-117)))*1,0))</f>
        <v>326431</v>
      </c>
      <c r="U2920" s="11">
        <f>$E2920+11</f>
        <v>116</v>
      </c>
      <c r="V2920" s="12">
        <f>IF($J2920=0,0,ROUND(MAX($J2920*1.4*1.5*1.6*1.6*2.2*2.715,354000000*(1.642074^(MIN($E2920,123)-117)))*1,0))</f>
        <v>921066</v>
      </c>
      <c r="W2920" s="13">
        <f>$E2920+15</f>
        <v>120</v>
      </c>
      <c r="X2920" s="14">
        <f>IF($J2920=0,0,ROUND(MAX($J2920*1.4*1.5*1.6*1.6*2.2*2.715*2.6,3540000000*(1.579646^(MIN($E2920,123)-117)))*1,0))</f>
        <v>14665133</v>
      </c>
      <c r="Y2920" s="11">
        <f>$E2920+17</f>
        <v>122</v>
      </c>
      <c r="Z2920" s="12">
        <f>IF($J2920=0,0,ROUND(MAX($J2920*1.4*1.5*1.6*1.6*2.2*2.715*2.6*1.4,6020000000*(1.651178^(MIN($E2920,123)-117)))*1,0))</f>
        <v>14657833</v>
      </c>
      <c r="AA2920" s="13">
        <f>$E2920+19</f>
        <v>124</v>
      </c>
      <c r="AB2920" s="14">
        <f>IF($J2920=0,0,ROUND(MAX($J2920*1.4*1.5*1.6*1.6*2.2*2.715*2.6*1.4*1.4,8430000000*(1.651435^(MIN($E2920,123)-117)))*1,0))</f>
        <v>20487537</v>
      </c>
      <c r="AC2920" s="11">
        <f>$E2920+21</f>
        <v>126</v>
      </c>
      <c r="AD2920" s="12">
        <f>IF($J2920=0,0,ROUND(MAX($J2920*1.4*1.5*1.6*1.6*2.2*2.715*2.6*1.4*1.4*1.5,12600000000*(1.652953^(MIN($E2920,123)-117)))*1,0))</f>
        <v>30286179</v>
      </c>
      <c r="AE2920" s="13">
        <f>$E2920+24</f>
        <v>129</v>
      </c>
      <c r="AF2920" s="14">
        <f>IF($J2920=0,0,ROUND(MAX($J2920*1.4*1.5*1.6*1.6*2.2*2.715*2.6*1.4*1.4*1.5*1.5,18900000000*(1.65331^(MIN($E2920,123)-117)))*1,0))</f>
        <v>45311693</v>
      </c>
      <c r="AG2920" s="11">
        <f>$E2920+27</f>
        <v>132</v>
      </c>
      <c r="AH2920" s="12">
        <f>IF($J2920=0,0,ROUND(MAX($J2920*1.4*1.5*1.6*1.6*2.2*2.715*2.6*1.4*1.4*1.5*1.5*3.2,60500000000*(1.654288^(MIN($E2920,123)-117)))*1,0))</f>
        <v>144019713</v>
      </c>
    </row>
    <row r="2921" ht="28" customHeight="1" spans="1:34" x14ac:dyDescent="0.25">
      <c r="A2921">
        <v>2931</v>
      </c>
      <c r="B2921" t="s">
        <v>1056</v>
      </c>
      <c r="C2921" s="10" t="s">
        <v>1650</v>
      </c>
      <c r="D2921" t="s">
        <v>40</v>
      </c>
      <c r="E2921">
        <v>105</v>
      </c>
      <c r="F2921" t="s">
        <v>194</v>
      </c>
      <c r="G2921" t="s">
        <v>684</v>
      </c>
      <c r="H2921">
        <v>23</v>
      </c>
      <c r="I2921" s="11">
        <f>$E2921+0</f>
        <v>105</v>
      </c>
      <c r="J2921" s="12">
        <v>23000</v>
      </c>
      <c r="K2921" s="13">
        <f>$E2921+1</f>
        <v>106</v>
      </c>
      <c r="L2921" s="14">
        <f>IF($J2921=0,0,ROUND(MAX($J2921*1.4,1620000*(1.497923^(MIN($E2921,123)-117)))*1,0))</f>
        <v>32200</v>
      </c>
      <c r="M2921" s="11">
        <f>$E2921+2</f>
        <v>107</v>
      </c>
      <c r="N2921" s="12">
        <f>IF($J2921=0,0,ROUND(MAX($J2921*1.4*1.5,2190000*(1.580994^(MIN($E2921,123)-117)))*1,0))</f>
        <v>48300</v>
      </c>
      <c r="O2921" s="13">
        <f>$E2921+4</f>
        <v>109</v>
      </c>
      <c r="P2921" s="14">
        <f>IF($J2921=0,0,ROUND(MAX($J2921*1.4*1.5*1.6,3500000*(1.57975^(MIN($E2921,123)-117)))*1,0))</f>
        <v>77280</v>
      </c>
      <c r="Q2921" s="11">
        <f>$E2921+6</f>
        <v>111</v>
      </c>
      <c r="R2921" s="12">
        <f>IF($J2921=0,0,ROUND(MAX($J2921*1.4*1.5*1.6*1.6,13100000*(1.429962^(MIN($E2921,123)-117)))*1,0))</f>
        <v>179216</v>
      </c>
      <c r="S2921" s="13">
        <f>$E2921+8</f>
        <v>113</v>
      </c>
      <c r="T2921" s="14">
        <f>IF($J2921=0,0,ROUND(MAX($J2921*1.4*1.5*1.6*1.6*2.2,42600000*(1.576904^(MIN($E2921,123)-117)))*1,0))</f>
        <v>272026</v>
      </c>
      <c r="U2921" s="11">
        <f>$E2921+11</f>
        <v>116</v>
      </c>
      <c r="V2921" s="12">
        <f>IF($J2921=0,0,ROUND(MAX($J2921*1.4*1.5*1.6*1.6*2.2*2.715,354000000*(1.642074^(MIN($E2921,123)-117)))*1,0))</f>
        <v>921066</v>
      </c>
      <c r="W2921" s="13">
        <f>$E2921+15</f>
        <v>120</v>
      </c>
      <c r="X2921" s="14">
        <f>IF($J2921=0,0,ROUND(MAX($J2921*1.4*1.5*1.6*1.6*2.2*2.715*2.6,3540000000*(1.579646^(MIN($E2921,123)-117)))*1,0))</f>
        <v>14665133</v>
      </c>
      <c r="Y2921" s="11">
        <f>$E2921+17</f>
        <v>122</v>
      </c>
      <c r="Z2921" s="12">
        <f>IF($J2921=0,0,ROUND(MAX($J2921*1.4*1.5*1.6*1.6*2.2*2.715*2.6*1.4,6020000000*(1.651178^(MIN($E2921,123)-117)))*1,0))</f>
        <v>14657833</v>
      </c>
      <c r="AA2921" s="13">
        <f>$E2921+19</f>
        <v>124</v>
      </c>
      <c r="AB2921" s="14">
        <f>IF($J2921=0,0,ROUND(MAX($J2921*1.4*1.5*1.6*1.6*2.2*2.715*2.6*1.4*1.4,8430000000*(1.651435^(MIN($E2921,123)-117)))*1,0))</f>
        <v>20487537</v>
      </c>
      <c r="AC2921" s="11">
        <f>$E2921+21</f>
        <v>126</v>
      </c>
      <c r="AD2921" s="12">
        <f>IF($J2921=0,0,ROUND(MAX($J2921*1.4*1.5*1.6*1.6*2.2*2.715*2.6*1.4*1.4*1.5,12600000000*(1.652953^(MIN($E2921,123)-117)))*1,0))</f>
        <v>30286179</v>
      </c>
      <c r="AE2921" s="13">
        <f>$E2921+24</f>
        <v>129</v>
      </c>
      <c r="AF2921" s="14">
        <f>IF($J2921=0,0,ROUND(MAX($J2921*1.4*1.5*1.6*1.6*2.2*2.715*2.6*1.4*1.4*1.5*1.5,18900000000*(1.65331^(MIN($E2921,123)-117)))*1,0))</f>
        <v>45311693</v>
      </c>
      <c r="AG2921" s="11">
        <f>$E2921+27</f>
        <v>132</v>
      </c>
      <c r="AH2921" s="12">
        <f>IF($J2921=0,0,ROUND(MAX($J2921*1.4*1.5*1.6*1.6*2.2*2.715*2.6*1.4*1.4*1.5*1.5*3.2,60500000000*(1.654288^(MIN($E2921,123)-117)))*1,0))</f>
        <v>144019713</v>
      </c>
    </row>
    <row r="2922" ht="28" customHeight="1" spans="1:34" x14ac:dyDescent="0.25">
      <c r="A2922">
        <v>2932</v>
      </c>
      <c r="B2922" t="s">
        <v>683</v>
      </c>
      <c r="C2922" s="10" t="s">
        <v>1650</v>
      </c>
      <c r="D2922" t="s">
        <v>33</v>
      </c>
      <c r="E2922">
        <v>105</v>
      </c>
      <c r="F2922" t="s">
        <v>71</v>
      </c>
      <c r="G2922" t="s">
        <v>684</v>
      </c>
      <c r="H2922">
        <v>23</v>
      </c>
      <c r="I2922" s="11">
        <f>$E2922+0</f>
        <v>105</v>
      </c>
      <c r="J2922" s="12">
        <v>32300</v>
      </c>
      <c r="K2922" s="13">
        <f>$E2922+1</f>
        <v>106</v>
      </c>
      <c r="L2922" s="14">
        <f>IF($J2922=0,0,ROUND(MAX($J2922*1.4,1620000*(1.497923^(MIN($E2922,123)-117)))*1,0))</f>
        <v>45220</v>
      </c>
      <c r="M2922" s="11">
        <f>$E2922+2</f>
        <v>107</v>
      </c>
      <c r="N2922" s="12">
        <f>IF($J2922=0,0,ROUND(MAX($J2922*1.4*1.5,2190000*(1.580994^(MIN($E2922,123)-117)))*1,0))</f>
        <v>67830</v>
      </c>
      <c r="O2922" s="13">
        <f>$E2922+4</f>
        <v>109</v>
      </c>
      <c r="P2922" s="14">
        <f>IF($J2922=0,0,ROUND(MAX($J2922*1.4*1.5*1.6,3500000*(1.57975^(MIN($E2922,123)-117)))*1,0))</f>
        <v>108528</v>
      </c>
      <c r="Q2922" s="11">
        <f>$E2922+6</f>
        <v>111</v>
      </c>
      <c r="R2922" s="12">
        <f>IF($J2922=0,0,ROUND(MAX($J2922*1.4*1.5*1.6*1.6,13100000*(1.429962^(MIN($E2922,123)-117)))*1,0))</f>
        <v>179216</v>
      </c>
      <c r="S2922" s="13">
        <f>$E2922+8</f>
        <v>113</v>
      </c>
      <c r="T2922" s="14">
        <f>IF($J2922=0,0,ROUND(MAX($J2922*1.4*1.5*1.6*1.6*2.2,42600000*(1.576904^(MIN($E2922,123)-117)))*1,0))</f>
        <v>382019</v>
      </c>
      <c r="U2922" s="11">
        <f>$E2922+11</f>
        <v>116</v>
      </c>
      <c r="V2922" s="12">
        <f>IF($J2922=0,0,ROUND(MAX($J2922*1.4*1.5*1.6*1.6*2.2*2.715,354000000*(1.642074^(MIN($E2922,123)-117)))*1,0))</f>
        <v>1037180</v>
      </c>
      <c r="W2922" s="13">
        <f>$E2922+15</f>
        <v>120</v>
      </c>
      <c r="X2922" s="14">
        <f>IF($J2922=0,0,ROUND(MAX($J2922*1.4*1.5*1.6*1.6*2.2*2.715*2.6,3540000000*(1.579646^(MIN($E2922,123)-117)))*1,0))</f>
        <v>14665133</v>
      </c>
      <c r="Y2922" s="11">
        <f>$E2922+17</f>
        <v>122</v>
      </c>
      <c r="Z2922" s="12">
        <f>IF($J2922=0,0,ROUND(MAX($J2922*1.4*1.5*1.6*1.6*2.2*2.715*2.6*1.4,6020000000*(1.651178^(MIN($E2922,123)-117)))*1,0))</f>
        <v>14657833</v>
      </c>
      <c r="AA2922" s="13">
        <f>$E2922+19</f>
        <v>124</v>
      </c>
      <c r="AB2922" s="14">
        <f>IF($J2922=0,0,ROUND(MAX($J2922*1.4*1.5*1.6*1.6*2.2*2.715*2.6*1.4*1.4,8430000000*(1.651435^(MIN($E2922,123)-117)))*1,0))</f>
        <v>20487537</v>
      </c>
      <c r="AC2922" s="11">
        <f>$E2922+21</f>
        <v>126</v>
      </c>
      <c r="AD2922" s="12">
        <f>IF($J2922=0,0,ROUND(MAX($J2922*1.4*1.5*1.6*1.6*2.2*2.715*2.6*1.4*1.4*1.5,12600000000*(1.652953^(MIN($E2922,123)-117)))*1,0))</f>
        <v>30286179</v>
      </c>
      <c r="AE2922" s="13">
        <f>$E2922+24</f>
        <v>129</v>
      </c>
      <c r="AF2922" s="14">
        <f>IF($J2922=0,0,ROUND(MAX($J2922*1.4*1.5*1.6*1.6*2.2*2.715*2.6*1.4*1.4*1.5*1.5,18900000000*(1.65331^(MIN($E2922,123)-117)))*1,0))</f>
        <v>45311693</v>
      </c>
      <c r="AG2922" s="11">
        <f>$E2922+27</f>
        <v>132</v>
      </c>
      <c r="AH2922" s="12">
        <f>IF($J2922=0,0,ROUND(MAX($J2922*1.4*1.5*1.6*1.6*2.2*2.715*2.6*1.4*1.4*1.5*1.5*3.2,60500000000*(1.654288^(MIN($E2922,123)-117)))*1,0))</f>
        <v>144019713</v>
      </c>
    </row>
    <row r="2923" ht="28" customHeight="1" spans="1:34" x14ac:dyDescent="0.25">
      <c r="A2923">
        <v>2933</v>
      </c>
      <c r="B2923" t="s">
        <v>1659</v>
      </c>
      <c r="C2923" s="10" t="s">
        <v>1650</v>
      </c>
      <c r="D2923" t="s">
        <v>25</v>
      </c>
      <c r="E2923">
        <v>105</v>
      </c>
      <c r="F2923" t="s">
        <v>56</v>
      </c>
      <c r="G2923" t="s">
        <v>1660</v>
      </c>
      <c r="H2923">
        <v>23</v>
      </c>
      <c r="I2923" s="11">
        <f>$E2923+0</f>
        <v>105</v>
      </c>
      <c r="J2923" s="12">
        <v>81900</v>
      </c>
      <c r="K2923" s="13">
        <f>$E2923+1</f>
        <v>106</v>
      </c>
      <c r="L2923" s="14">
        <f>IF($J2923=0,0,ROUND(MAX($J2923*1.4,1620000*(1.497923^(MIN($E2923,123)-117)))*1,0))</f>
        <v>114660</v>
      </c>
      <c r="M2923" s="11">
        <f>$E2923+2</f>
        <v>107</v>
      </c>
      <c r="N2923" s="12">
        <f>IF($J2923=0,0,ROUND(MAX($J2923*1.4*1.5,2190000*(1.580994^(MIN($E2923,123)-117)))*1,0))</f>
        <v>171990</v>
      </c>
      <c r="O2923" s="13">
        <f>$E2923+4</f>
        <v>109</v>
      </c>
      <c r="P2923" s="14">
        <f>IF($J2923=0,0,ROUND(MAX($J2923*1.4*1.5*1.6,3500000*(1.57975^(MIN($E2923,123)-117)))*1,0))</f>
        <v>275184</v>
      </c>
      <c r="Q2923" s="11">
        <f>$E2923+6</f>
        <v>111</v>
      </c>
      <c r="R2923" s="12">
        <f>IF($J2923=0,0,ROUND(MAX($J2923*1.4*1.5*1.6*1.6,13100000*(1.429962^(MIN($E2923,123)-117)))*1,0))</f>
        <v>440294</v>
      </c>
      <c r="S2923" s="13">
        <f>$E2923+8</f>
        <v>113</v>
      </c>
      <c r="T2923" s="14">
        <f>IF($J2923=0,0,ROUND(MAX($J2923*1.4*1.5*1.6*1.6*2.2,42600000*(1.576904^(MIN($E2923,123)-117)))*1,0))</f>
        <v>968648</v>
      </c>
      <c r="U2923" s="11">
        <f>$E2923+11</f>
        <v>116</v>
      </c>
      <c r="V2923" s="12">
        <f>IF($J2923=0,0,ROUND(MAX($J2923*1.4*1.5*1.6*1.6*2.2*2.715,354000000*(1.642074^(MIN($E2923,123)-117)))*1,0))</f>
        <v>2629878</v>
      </c>
      <c r="W2923" s="13">
        <f>$E2923+15</f>
        <v>120</v>
      </c>
      <c r="X2923" s="14">
        <f>IF($J2923=0,0,ROUND(MAX($J2923*1.4*1.5*1.6*1.6*2.2*2.715*2.6,3540000000*(1.579646^(MIN($E2923,123)-117)))*1,0))</f>
        <v>14665133</v>
      </c>
      <c r="Y2923" s="11">
        <f>$E2923+17</f>
        <v>122</v>
      </c>
      <c r="Z2923" s="12">
        <f>IF($J2923=0,0,ROUND(MAX($J2923*1.4*1.5*1.6*1.6*2.2*2.715*2.6*1.4,6020000000*(1.651178^(MIN($E2923,123)-117)))*1,0))</f>
        <v>14657833</v>
      </c>
      <c r="AA2923" s="13">
        <f>$E2923+19</f>
        <v>124</v>
      </c>
      <c r="AB2923" s="14">
        <f>IF($J2923=0,0,ROUND(MAX($J2923*1.4*1.5*1.6*1.6*2.2*2.715*2.6*1.4*1.4,8430000000*(1.651435^(MIN($E2923,123)-117)))*1,0))</f>
        <v>20487537</v>
      </c>
      <c r="AC2923" s="11">
        <f>$E2923+21</f>
        <v>126</v>
      </c>
      <c r="AD2923" s="12">
        <f>IF($J2923=0,0,ROUND(MAX($J2923*1.4*1.5*1.6*1.6*2.2*2.715*2.6*1.4*1.4*1.5,12600000000*(1.652953^(MIN($E2923,123)-117)))*1,0))</f>
        <v>30286179</v>
      </c>
      <c r="AE2923" s="13">
        <f>$E2923+24</f>
        <v>129</v>
      </c>
      <c r="AF2923" s="14">
        <f>IF($J2923=0,0,ROUND(MAX($J2923*1.4*1.5*1.6*1.6*2.2*2.715*2.6*1.4*1.4*1.5*1.5,18900000000*(1.65331^(MIN($E2923,123)-117)))*1,0))</f>
        <v>45311693</v>
      </c>
      <c r="AG2923" s="11">
        <f>$E2923+27</f>
        <v>132</v>
      </c>
      <c r="AH2923" s="12">
        <f>IF($J2923=0,0,ROUND(MAX($J2923*1.4*1.5*1.6*1.6*2.2*2.715*2.6*1.4*1.4*1.5*1.5*3.2,60500000000*(1.654288^(MIN($E2923,123)-117)))*1,0))</f>
        <v>144019713</v>
      </c>
    </row>
    <row r="2924" ht="28" customHeight="1" spans="1:34" x14ac:dyDescent="0.25">
      <c r="A2924">
        <v>2934</v>
      </c>
      <c r="B2924" t="s">
        <v>607</v>
      </c>
      <c r="C2924" s="10" t="s">
        <v>1650</v>
      </c>
      <c r="D2924" t="s">
        <v>33</v>
      </c>
      <c r="E2924">
        <v>105</v>
      </c>
      <c r="F2924" t="s">
        <v>71</v>
      </c>
      <c r="G2924" t="s">
        <v>358</v>
      </c>
      <c r="H2924">
        <v>23</v>
      </c>
      <c r="I2924" s="11">
        <f>$E2924+0</f>
        <v>105</v>
      </c>
      <c r="J2924" s="12">
        <v>24800</v>
      </c>
      <c r="K2924" s="13">
        <f>$E2924+1</f>
        <v>106</v>
      </c>
      <c r="L2924" s="14">
        <f>IF($J2924=0,0,ROUND(MAX($J2924*1.4,1620000*(1.497923^(MIN($E2924,123)-117)))*1,0))</f>
        <v>34720</v>
      </c>
      <c r="M2924" s="11">
        <f>$E2924+2</f>
        <v>107</v>
      </c>
      <c r="N2924" s="12">
        <f>IF($J2924=0,0,ROUND(MAX($J2924*1.4*1.5,2190000*(1.580994^(MIN($E2924,123)-117)))*1,0))</f>
        <v>52080</v>
      </c>
      <c r="O2924" s="13">
        <f>$E2924+4</f>
        <v>109</v>
      </c>
      <c r="P2924" s="14">
        <f>IF($J2924=0,0,ROUND(MAX($J2924*1.4*1.5*1.6,3500000*(1.57975^(MIN($E2924,123)-117)))*1,0))</f>
        <v>83328</v>
      </c>
      <c r="Q2924" s="11">
        <f>$E2924+6</f>
        <v>111</v>
      </c>
      <c r="R2924" s="12">
        <f>IF($J2924=0,0,ROUND(MAX($J2924*1.4*1.5*1.6*1.6,13100000*(1.429962^(MIN($E2924,123)-117)))*1,0))</f>
        <v>179216</v>
      </c>
      <c r="S2924" s="13">
        <f>$E2924+8</f>
        <v>113</v>
      </c>
      <c r="T2924" s="14">
        <f>IF($J2924=0,0,ROUND(MAX($J2924*1.4*1.5*1.6*1.6*2.2,42600000*(1.576904^(MIN($E2924,123)-117)))*1,0))</f>
        <v>293315</v>
      </c>
      <c r="U2924" s="11">
        <f>$E2924+11</f>
        <v>116</v>
      </c>
      <c r="V2924" s="12">
        <f>IF($J2924=0,0,ROUND(MAX($J2924*1.4*1.5*1.6*1.6*2.2*2.715,354000000*(1.642074^(MIN($E2924,123)-117)))*1,0))</f>
        <v>921066</v>
      </c>
      <c r="W2924" s="13">
        <f>$E2924+15</f>
        <v>120</v>
      </c>
      <c r="X2924" s="14">
        <f>IF($J2924=0,0,ROUND(MAX($J2924*1.4*1.5*1.6*1.6*2.2*2.715*2.6,3540000000*(1.579646^(MIN($E2924,123)-117)))*1,0))</f>
        <v>14665133</v>
      </c>
      <c r="Y2924" s="11">
        <f>$E2924+17</f>
        <v>122</v>
      </c>
      <c r="Z2924" s="12">
        <f>IF($J2924=0,0,ROUND(MAX($J2924*1.4*1.5*1.6*1.6*2.2*2.715*2.6*1.4,6020000000*(1.651178^(MIN($E2924,123)-117)))*1,0))</f>
        <v>14657833</v>
      </c>
      <c r="AA2924" s="13">
        <f>$E2924+19</f>
        <v>124</v>
      </c>
      <c r="AB2924" s="14">
        <f>IF($J2924=0,0,ROUND(MAX($J2924*1.4*1.5*1.6*1.6*2.2*2.715*2.6*1.4*1.4,8430000000*(1.651435^(MIN($E2924,123)-117)))*1,0))</f>
        <v>20487537</v>
      </c>
      <c r="AC2924" s="11">
        <f>$E2924+21</f>
        <v>126</v>
      </c>
      <c r="AD2924" s="12">
        <f>IF($J2924=0,0,ROUND(MAX($J2924*1.4*1.5*1.6*1.6*2.2*2.715*2.6*1.4*1.4*1.5,12600000000*(1.652953^(MIN($E2924,123)-117)))*1,0))</f>
        <v>30286179</v>
      </c>
      <c r="AE2924" s="13">
        <f>$E2924+24</f>
        <v>129</v>
      </c>
      <c r="AF2924" s="14">
        <f>IF($J2924=0,0,ROUND(MAX($J2924*1.4*1.5*1.6*1.6*2.2*2.715*2.6*1.4*1.4*1.5*1.5,18900000000*(1.65331^(MIN($E2924,123)-117)))*1,0))</f>
        <v>45311693</v>
      </c>
      <c r="AG2924" s="11">
        <f>$E2924+27</f>
        <v>132</v>
      </c>
      <c r="AH2924" s="12">
        <f>IF($J2924=0,0,ROUND(MAX($J2924*1.4*1.5*1.6*1.6*2.2*2.715*2.6*1.4*1.4*1.5*1.5*3.2,60500000000*(1.654288^(MIN($E2924,123)-117)))*1,0))</f>
        <v>144019713</v>
      </c>
    </row>
    <row r="2925" ht="28" customHeight="1" spans="1:34" x14ac:dyDescent="0.25">
      <c r="A2925">
        <v>2935</v>
      </c>
      <c r="B2925" t="s">
        <v>603</v>
      </c>
      <c r="C2925" s="10" t="s">
        <v>1650</v>
      </c>
      <c r="D2925" t="s">
        <v>90</v>
      </c>
      <c r="E2925">
        <v>105</v>
      </c>
      <c r="F2925" t="s">
        <v>71</v>
      </c>
      <c r="G2925" t="s">
        <v>247</v>
      </c>
      <c r="H2925">
        <v>23</v>
      </c>
      <c r="I2925" s="11">
        <f>$E2925+0</f>
        <v>105</v>
      </c>
      <c r="J2925" s="12">
        <v>37300</v>
      </c>
      <c r="K2925" s="13">
        <f>$E2925+1</f>
        <v>106</v>
      </c>
      <c r="L2925" s="14">
        <f>IF($J2925=0,0,ROUND(MAX($J2925*1.4,1620000*(1.497923^(MIN($E2925,123)-117)))*1,0))</f>
        <v>52220</v>
      </c>
      <c r="M2925" s="11">
        <f>$E2925+2</f>
        <v>107</v>
      </c>
      <c r="N2925" s="12">
        <f>IF($J2925=0,0,ROUND(MAX($J2925*1.4*1.5,2190000*(1.580994^(MIN($E2925,123)-117)))*1,0))</f>
        <v>78330</v>
      </c>
      <c r="O2925" s="13">
        <f>$E2925+4</f>
        <v>109</v>
      </c>
      <c r="P2925" s="14">
        <f>IF($J2925=0,0,ROUND(MAX($J2925*1.4*1.5*1.6,3500000*(1.57975^(MIN($E2925,123)-117)))*1,0))</f>
        <v>125328</v>
      </c>
      <c r="Q2925" s="11">
        <f>$E2925+6</f>
        <v>111</v>
      </c>
      <c r="R2925" s="12">
        <f>IF($J2925=0,0,ROUND(MAX($J2925*1.4*1.5*1.6*1.6,13100000*(1.429962^(MIN($E2925,123)-117)))*1,0))</f>
        <v>200525</v>
      </c>
      <c r="S2925" s="13">
        <f>$E2925+8</f>
        <v>113</v>
      </c>
      <c r="T2925" s="14">
        <f>IF($J2925=0,0,ROUND(MAX($J2925*1.4*1.5*1.6*1.6*2.2,42600000*(1.576904^(MIN($E2925,123)-117)))*1,0))</f>
        <v>441155</v>
      </c>
      <c r="U2925" s="11">
        <f>$E2925+11</f>
        <v>116</v>
      </c>
      <c r="V2925" s="12">
        <f>IF($J2925=0,0,ROUND(MAX($J2925*1.4*1.5*1.6*1.6*2.2*2.715,354000000*(1.642074^(MIN($E2925,123)-117)))*1,0))</f>
        <v>1197735</v>
      </c>
      <c r="W2925" s="13">
        <f>$E2925+15</f>
        <v>120</v>
      </c>
      <c r="X2925" s="14">
        <f>IF($J2925=0,0,ROUND(MAX($J2925*1.4*1.5*1.6*1.6*2.2*2.715*2.6,3540000000*(1.579646^(MIN($E2925,123)-117)))*1,0))</f>
        <v>14665133</v>
      </c>
      <c r="Y2925" s="11">
        <f>$E2925+17</f>
        <v>122</v>
      </c>
      <c r="Z2925" s="12">
        <f>IF($J2925=0,0,ROUND(MAX($J2925*1.4*1.5*1.6*1.6*2.2*2.715*2.6*1.4,6020000000*(1.651178^(MIN($E2925,123)-117)))*1,0))</f>
        <v>14657833</v>
      </c>
      <c r="AA2925" s="13">
        <f>$E2925+19</f>
        <v>124</v>
      </c>
      <c r="AB2925" s="14">
        <f>IF($J2925=0,0,ROUND(MAX($J2925*1.4*1.5*1.6*1.6*2.2*2.715*2.6*1.4*1.4,8430000000*(1.651435^(MIN($E2925,123)-117)))*1,0))</f>
        <v>20487537</v>
      </c>
      <c r="AC2925" s="11">
        <f>$E2925+21</f>
        <v>126</v>
      </c>
      <c r="AD2925" s="12">
        <f>IF($J2925=0,0,ROUND(MAX($J2925*1.4*1.5*1.6*1.6*2.2*2.715*2.6*1.4*1.4*1.5,12600000000*(1.652953^(MIN($E2925,123)-117)))*1,0))</f>
        <v>30286179</v>
      </c>
      <c r="AE2925" s="13">
        <f>$E2925+24</f>
        <v>129</v>
      </c>
      <c r="AF2925" s="14">
        <f>IF($J2925=0,0,ROUND(MAX($J2925*1.4*1.5*1.6*1.6*2.2*2.715*2.6*1.4*1.4*1.5*1.5,18900000000*(1.65331^(MIN($E2925,123)-117)))*1,0))</f>
        <v>45311693</v>
      </c>
      <c r="AG2925" s="11">
        <f>$E2925+27</f>
        <v>132</v>
      </c>
      <c r="AH2925" s="12">
        <f>IF($J2925=0,0,ROUND(MAX($J2925*1.4*1.5*1.6*1.6*2.2*2.715*2.6*1.4*1.4*1.5*1.5*3.2,60500000000*(1.654288^(MIN($E2925,123)-117)))*1,0))</f>
        <v>144019713</v>
      </c>
    </row>
    <row r="2926" ht="28" customHeight="1" spans="1:34" x14ac:dyDescent="0.25">
      <c r="A2926">
        <v>2936</v>
      </c>
      <c r="B2926" t="s">
        <v>1442</v>
      </c>
      <c r="C2926" s="10" t="s">
        <v>1650</v>
      </c>
      <c r="D2926" t="s">
        <v>25</v>
      </c>
      <c r="E2926">
        <v>105</v>
      </c>
      <c r="F2926" t="s">
        <v>56</v>
      </c>
      <c r="G2926" t="s">
        <v>832</v>
      </c>
      <c r="H2926">
        <v>23</v>
      </c>
      <c r="I2926" s="11">
        <f>$E2926+0</f>
        <v>105</v>
      </c>
      <c r="J2926" s="12">
        <v>25600</v>
      </c>
      <c r="K2926" s="13">
        <f>$E2926+1</f>
        <v>106</v>
      </c>
      <c r="L2926" s="14">
        <f>IF($J2926=0,0,ROUND(MAX($J2926*1.4,1620000*(1.497923^(MIN($E2926,123)-117)))*1,0))</f>
        <v>35840</v>
      </c>
      <c r="M2926" s="11">
        <f>$E2926+2</f>
        <v>107</v>
      </c>
      <c r="N2926" s="12">
        <f>IF($J2926=0,0,ROUND(MAX($J2926*1.4*1.5,2190000*(1.580994^(MIN($E2926,123)-117)))*1,0))</f>
        <v>53760</v>
      </c>
      <c r="O2926" s="13">
        <f>$E2926+4</f>
        <v>109</v>
      </c>
      <c r="P2926" s="14">
        <f>IF($J2926=0,0,ROUND(MAX($J2926*1.4*1.5*1.6,3500000*(1.57975^(MIN($E2926,123)-117)))*1,0))</f>
        <v>86016</v>
      </c>
      <c r="Q2926" s="11">
        <f>$E2926+6</f>
        <v>111</v>
      </c>
      <c r="R2926" s="12">
        <f>IF($J2926=0,0,ROUND(MAX($J2926*1.4*1.5*1.6*1.6,13100000*(1.429962^(MIN($E2926,123)-117)))*1,0))</f>
        <v>179216</v>
      </c>
      <c r="S2926" s="13">
        <f>$E2926+8</f>
        <v>113</v>
      </c>
      <c r="T2926" s="14">
        <f>IF($J2926=0,0,ROUND(MAX($J2926*1.4*1.5*1.6*1.6*2.2,42600000*(1.576904^(MIN($E2926,123)-117)))*1,0))</f>
        <v>302776</v>
      </c>
      <c r="U2926" s="11">
        <f>$E2926+11</f>
        <v>116</v>
      </c>
      <c r="V2926" s="12">
        <f>IF($J2926=0,0,ROUND(MAX($J2926*1.4*1.5*1.6*1.6*2.2*2.715,354000000*(1.642074^(MIN($E2926,123)-117)))*1,0))</f>
        <v>921066</v>
      </c>
      <c r="W2926" s="13">
        <f>$E2926+15</f>
        <v>120</v>
      </c>
      <c r="X2926" s="14">
        <f>IF($J2926=0,0,ROUND(MAX($J2926*1.4*1.5*1.6*1.6*2.2*2.715*2.6,3540000000*(1.579646^(MIN($E2926,123)-117)))*1,0))</f>
        <v>14665133</v>
      </c>
      <c r="Y2926" s="11">
        <f>$E2926+17</f>
        <v>122</v>
      </c>
      <c r="Z2926" s="12">
        <f>IF($J2926=0,0,ROUND(MAX($J2926*1.4*1.5*1.6*1.6*2.2*2.715*2.6*1.4,6020000000*(1.651178^(MIN($E2926,123)-117)))*1,0))</f>
        <v>14657833</v>
      </c>
      <c r="AA2926" s="13">
        <f>$E2926+19</f>
        <v>124</v>
      </c>
      <c r="AB2926" s="14">
        <f>IF($J2926=0,0,ROUND(MAX($J2926*1.4*1.5*1.6*1.6*2.2*2.715*2.6*1.4*1.4,8430000000*(1.651435^(MIN($E2926,123)-117)))*1,0))</f>
        <v>20487537</v>
      </c>
      <c r="AC2926" s="11">
        <f>$E2926+21</f>
        <v>126</v>
      </c>
      <c r="AD2926" s="12">
        <f>IF($J2926=0,0,ROUND(MAX($J2926*1.4*1.5*1.6*1.6*2.2*2.715*2.6*1.4*1.4*1.5,12600000000*(1.652953^(MIN($E2926,123)-117)))*1,0))</f>
        <v>30286179</v>
      </c>
      <c r="AE2926" s="13">
        <f>$E2926+24</f>
        <v>129</v>
      </c>
      <c r="AF2926" s="14">
        <f>IF($J2926=0,0,ROUND(MAX($J2926*1.4*1.5*1.6*1.6*2.2*2.715*2.6*1.4*1.4*1.5*1.5,18900000000*(1.65331^(MIN($E2926,123)-117)))*1,0))</f>
        <v>45311693</v>
      </c>
      <c r="AG2926" s="11">
        <f>$E2926+27</f>
        <v>132</v>
      </c>
      <c r="AH2926" s="12">
        <f>IF($J2926=0,0,ROUND(MAX($J2926*1.4*1.5*1.6*1.6*2.2*2.715*2.6*1.4*1.4*1.5*1.5*3.2,60500000000*(1.654288^(MIN($E2926,123)-117)))*1,0))</f>
        <v>144019713</v>
      </c>
    </row>
    <row r="2927" ht="28" customHeight="1" spans="1:34" x14ac:dyDescent="0.25">
      <c r="A2927">
        <v>2937</v>
      </c>
      <c r="B2927" t="s">
        <v>892</v>
      </c>
      <c r="C2927" s="10" t="s">
        <v>1650</v>
      </c>
      <c r="D2927" t="s">
        <v>33</v>
      </c>
      <c r="E2927">
        <v>105</v>
      </c>
      <c r="F2927" t="s">
        <v>42</v>
      </c>
      <c r="G2927" t="s">
        <v>242</v>
      </c>
      <c r="H2927">
        <v>23</v>
      </c>
      <c r="I2927" s="11">
        <f>$E2927+0</f>
        <v>105</v>
      </c>
      <c r="J2927" s="12">
        <v>26800</v>
      </c>
      <c r="K2927" s="13">
        <f>$E2927+1</f>
        <v>106</v>
      </c>
      <c r="L2927" s="14">
        <f>IF($J2927=0,0,ROUND(MAX($J2927*1.4,1620000*(1.497923^(MIN($E2927,123)-117)))*1,0))</f>
        <v>37520</v>
      </c>
      <c r="M2927" s="11">
        <f>$E2927+2</f>
        <v>107</v>
      </c>
      <c r="N2927" s="12">
        <f>IF($J2927=0,0,ROUND(MAX($J2927*1.4*1.5,2190000*(1.580994^(MIN($E2927,123)-117)))*1,0))</f>
        <v>56280</v>
      </c>
      <c r="O2927" s="13">
        <f>$E2927+4</f>
        <v>109</v>
      </c>
      <c r="P2927" s="14">
        <f>IF($J2927=0,0,ROUND(MAX($J2927*1.4*1.5*1.6,3500000*(1.57975^(MIN($E2927,123)-117)))*1,0))</f>
        <v>90048</v>
      </c>
      <c r="Q2927" s="11">
        <f>$E2927+6</f>
        <v>111</v>
      </c>
      <c r="R2927" s="12">
        <f>IF($J2927=0,0,ROUND(MAX($J2927*1.4*1.5*1.6*1.6,13100000*(1.429962^(MIN($E2927,123)-117)))*1,0))</f>
        <v>179216</v>
      </c>
      <c r="S2927" s="13">
        <f>$E2927+8</f>
        <v>113</v>
      </c>
      <c r="T2927" s="14">
        <f>IF($J2927=0,0,ROUND(MAX($J2927*1.4*1.5*1.6*1.6*2.2,42600000*(1.576904^(MIN($E2927,123)-117)))*1,0))</f>
        <v>316969</v>
      </c>
      <c r="U2927" s="11">
        <f>$E2927+11</f>
        <v>116</v>
      </c>
      <c r="V2927" s="12">
        <f>IF($J2927=0,0,ROUND(MAX($J2927*1.4*1.5*1.6*1.6*2.2*2.715,354000000*(1.642074^(MIN($E2927,123)-117)))*1,0))</f>
        <v>921066</v>
      </c>
      <c r="W2927" s="13">
        <f>$E2927+15</f>
        <v>120</v>
      </c>
      <c r="X2927" s="14">
        <f>IF($J2927=0,0,ROUND(MAX($J2927*1.4*1.5*1.6*1.6*2.2*2.715*2.6,3540000000*(1.579646^(MIN($E2927,123)-117)))*1,0))</f>
        <v>14665133</v>
      </c>
      <c r="Y2927" s="11">
        <f>$E2927+17</f>
        <v>122</v>
      </c>
      <c r="Z2927" s="12">
        <f>IF($J2927=0,0,ROUND(MAX($J2927*1.4*1.5*1.6*1.6*2.2*2.715*2.6*1.4,6020000000*(1.651178^(MIN($E2927,123)-117)))*1,0))</f>
        <v>14657833</v>
      </c>
      <c r="AA2927" s="13">
        <f>$E2927+19</f>
        <v>124</v>
      </c>
      <c r="AB2927" s="14">
        <f>IF($J2927=0,0,ROUND(MAX($J2927*1.4*1.5*1.6*1.6*2.2*2.715*2.6*1.4*1.4,8430000000*(1.651435^(MIN($E2927,123)-117)))*1,0))</f>
        <v>20487537</v>
      </c>
      <c r="AC2927" s="11">
        <f>$E2927+21</f>
        <v>126</v>
      </c>
      <c r="AD2927" s="12">
        <f>IF($J2927=0,0,ROUND(MAX($J2927*1.4*1.5*1.6*1.6*2.2*2.715*2.6*1.4*1.4*1.5,12600000000*(1.652953^(MIN($E2927,123)-117)))*1,0))</f>
        <v>30286179</v>
      </c>
      <c r="AE2927" s="13">
        <f>$E2927+24</f>
        <v>129</v>
      </c>
      <c r="AF2927" s="14">
        <f>IF($J2927=0,0,ROUND(MAX($J2927*1.4*1.5*1.6*1.6*2.2*2.715*2.6*1.4*1.4*1.5*1.5,18900000000*(1.65331^(MIN($E2927,123)-117)))*1,0))</f>
        <v>45311693</v>
      </c>
      <c r="AG2927" s="11">
        <f>$E2927+27</f>
        <v>132</v>
      </c>
      <c r="AH2927" s="12">
        <f>IF($J2927=0,0,ROUND(MAX($J2927*1.4*1.5*1.6*1.6*2.2*2.715*2.6*1.4*1.4*1.5*1.5*3.2,60500000000*(1.654288^(MIN($E2927,123)-117)))*1,0))</f>
        <v>144019713</v>
      </c>
    </row>
    <row r="2928" ht="28" customHeight="1" spans="1:34" x14ac:dyDescent="0.25">
      <c r="A2928">
        <v>2938</v>
      </c>
      <c r="B2928" t="s">
        <v>926</v>
      </c>
      <c r="C2928" s="10" t="s">
        <v>1650</v>
      </c>
      <c r="D2928" t="s">
        <v>29</v>
      </c>
      <c r="E2928">
        <v>105</v>
      </c>
      <c r="F2928" t="s">
        <v>71</v>
      </c>
      <c r="G2928" t="s">
        <v>398</v>
      </c>
      <c r="H2928">
        <v>23</v>
      </c>
      <c r="I2928" s="11">
        <f>$E2928+0</f>
        <v>105</v>
      </c>
      <c r="J2928" s="12">
        <v>32300</v>
      </c>
      <c r="K2928" s="13">
        <f>$E2928+1</f>
        <v>106</v>
      </c>
      <c r="L2928" s="14">
        <f>IF($J2928=0,0,ROUND(MAX($J2928*1.4,1620000*(1.497923^(MIN($E2928,123)-117)))*1,0))</f>
        <v>45220</v>
      </c>
      <c r="M2928" s="11">
        <f>$E2928+2</f>
        <v>107</v>
      </c>
      <c r="N2928" s="12">
        <f>IF($J2928=0,0,ROUND(MAX($J2928*1.4*1.5,2190000*(1.580994^(MIN($E2928,123)-117)))*1,0))</f>
        <v>67830</v>
      </c>
      <c r="O2928" s="13">
        <f>$E2928+4</f>
        <v>109</v>
      </c>
      <c r="P2928" s="14">
        <f>IF($J2928=0,0,ROUND(MAX($J2928*1.4*1.5*1.6,3500000*(1.57975^(MIN($E2928,123)-117)))*1,0))</f>
        <v>108528</v>
      </c>
      <c r="Q2928" s="11">
        <f>$E2928+6</f>
        <v>111</v>
      </c>
      <c r="R2928" s="12">
        <f>IF($J2928=0,0,ROUND(MAX($J2928*1.4*1.5*1.6*1.6,13100000*(1.429962^(MIN($E2928,123)-117)))*1,0))</f>
        <v>179216</v>
      </c>
      <c r="S2928" s="13">
        <f>$E2928+8</f>
        <v>113</v>
      </c>
      <c r="T2928" s="14">
        <f>IF($J2928=0,0,ROUND(MAX($J2928*1.4*1.5*1.6*1.6*2.2,42600000*(1.576904^(MIN($E2928,123)-117)))*1,0))</f>
        <v>382019</v>
      </c>
      <c r="U2928" s="11">
        <f>$E2928+11</f>
        <v>116</v>
      </c>
      <c r="V2928" s="12">
        <f>IF($J2928=0,0,ROUND(MAX($J2928*1.4*1.5*1.6*1.6*2.2*2.715,354000000*(1.642074^(MIN($E2928,123)-117)))*1,0))</f>
        <v>1037180</v>
      </c>
      <c r="W2928" s="13">
        <f>$E2928+15</f>
        <v>120</v>
      </c>
      <c r="X2928" s="14">
        <f>IF($J2928=0,0,ROUND(MAX($J2928*1.4*1.5*1.6*1.6*2.2*2.715*2.6,3540000000*(1.579646^(MIN($E2928,123)-117)))*1,0))</f>
        <v>14665133</v>
      </c>
      <c r="Y2928" s="11">
        <f>$E2928+17</f>
        <v>122</v>
      </c>
      <c r="Z2928" s="12">
        <f>IF($J2928=0,0,ROUND(MAX($J2928*1.4*1.5*1.6*1.6*2.2*2.715*2.6*1.4,6020000000*(1.651178^(MIN($E2928,123)-117)))*1,0))</f>
        <v>14657833</v>
      </c>
      <c r="AA2928" s="13">
        <f>$E2928+19</f>
        <v>124</v>
      </c>
      <c r="AB2928" s="14">
        <f>IF($J2928=0,0,ROUND(MAX($J2928*1.4*1.5*1.6*1.6*2.2*2.715*2.6*1.4*1.4,8430000000*(1.651435^(MIN($E2928,123)-117)))*1,0))</f>
        <v>20487537</v>
      </c>
      <c r="AC2928" s="11">
        <f>$E2928+21</f>
        <v>126</v>
      </c>
      <c r="AD2928" s="12">
        <f>IF($J2928=0,0,ROUND(MAX($J2928*1.4*1.5*1.6*1.6*2.2*2.715*2.6*1.4*1.4*1.5,12600000000*(1.652953^(MIN($E2928,123)-117)))*1,0))</f>
        <v>30286179</v>
      </c>
      <c r="AE2928" s="13">
        <f>$E2928+24</f>
        <v>129</v>
      </c>
      <c r="AF2928" s="14">
        <f>IF($J2928=0,0,ROUND(MAX($J2928*1.4*1.5*1.6*1.6*2.2*2.715*2.6*1.4*1.4*1.5*1.5,18900000000*(1.65331^(MIN($E2928,123)-117)))*1,0))</f>
        <v>45311693</v>
      </c>
      <c r="AG2928" s="11">
        <f>$E2928+27</f>
        <v>132</v>
      </c>
      <c r="AH2928" s="12">
        <f>IF($J2928=0,0,ROUND(MAX($J2928*1.4*1.5*1.6*1.6*2.2*2.715*2.6*1.4*1.4*1.5*1.5*3.2,60500000000*(1.654288^(MIN($E2928,123)-117)))*1,0))</f>
        <v>144019713</v>
      </c>
    </row>
    <row r="2929" ht="28" customHeight="1" spans="1:34" x14ac:dyDescent="0.25">
      <c r="A2929">
        <v>2939</v>
      </c>
      <c r="B2929" t="s">
        <v>932</v>
      </c>
      <c r="C2929" s="10" t="s">
        <v>1650</v>
      </c>
      <c r="D2929" t="s">
        <v>102</v>
      </c>
      <c r="E2929">
        <v>105</v>
      </c>
      <c r="F2929" t="s">
        <v>42</v>
      </c>
      <c r="G2929" t="s">
        <v>748</v>
      </c>
      <c r="H2929">
        <v>23</v>
      </c>
      <c r="I2929" s="11">
        <f>$E2929+0</f>
        <v>105</v>
      </c>
      <c r="J2929" s="12">
        <v>26600</v>
      </c>
      <c r="K2929" s="13">
        <f>$E2929+1</f>
        <v>106</v>
      </c>
      <c r="L2929" s="14">
        <f>IF($J2929=0,0,ROUND(MAX($J2929*1.4,1620000*(1.497923^(MIN($E2929,123)-117)))*1,0))</f>
        <v>37240</v>
      </c>
      <c r="M2929" s="11">
        <f>$E2929+2</f>
        <v>107</v>
      </c>
      <c r="N2929" s="12">
        <f>IF($J2929=0,0,ROUND(MAX($J2929*1.4*1.5,2190000*(1.580994^(MIN($E2929,123)-117)))*1,0))</f>
        <v>55860</v>
      </c>
      <c r="O2929" s="13">
        <f>$E2929+4</f>
        <v>109</v>
      </c>
      <c r="P2929" s="14">
        <f>IF($J2929=0,0,ROUND(MAX($J2929*1.4*1.5*1.6,3500000*(1.57975^(MIN($E2929,123)-117)))*1,0))</f>
        <v>89376</v>
      </c>
      <c r="Q2929" s="11">
        <f>$E2929+6</f>
        <v>111</v>
      </c>
      <c r="R2929" s="12">
        <f>IF($J2929=0,0,ROUND(MAX($J2929*1.4*1.5*1.6*1.6,13100000*(1.429962^(MIN($E2929,123)-117)))*1,0))</f>
        <v>179216</v>
      </c>
      <c r="S2929" s="13">
        <f>$E2929+8</f>
        <v>113</v>
      </c>
      <c r="T2929" s="14">
        <f>IF($J2929=0,0,ROUND(MAX($J2929*1.4*1.5*1.6*1.6*2.2,42600000*(1.576904^(MIN($E2929,123)-117)))*1,0))</f>
        <v>314604</v>
      </c>
      <c r="U2929" s="11">
        <f>$E2929+11</f>
        <v>116</v>
      </c>
      <c r="V2929" s="12">
        <f>IF($J2929=0,0,ROUND(MAX($J2929*1.4*1.5*1.6*1.6*2.2*2.715,354000000*(1.642074^(MIN($E2929,123)-117)))*1,0))</f>
        <v>921066</v>
      </c>
      <c r="W2929" s="13">
        <f>$E2929+15</f>
        <v>120</v>
      </c>
      <c r="X2929" s="14">
        <f>IF($J2929=0,0,ROUND(MAX($J2929*1.4*1.5*1.6*1.6*2.2*2.715*2.6,3540000000*(1.579646^(MIN($E2929,123)-117)))*1,0))</f>
        <v>14665133</v>
      </c>
      <c r="Y2929" s="11">
        <f>$E2929+17</f>
        <v>122</v>
      </c>
      <c r="Z2929" s="12">
        <f>IF($J2929=0,0,ROUND(MAX($J2929*1.4*1.5*1.6*1.6*2.2*2.715*2.6*1.4,6020000000*(1.651178^(MIN($E2929,123)-117)))*1,0))</f>
        <v>14657833</v>
      </c>
      <c r="AA2929" s="13">
        <f>$E2929+19</f>
        <v>124</v>
      </c>
      <c r="AB2929" s="14">
        <f>IF($J2929=0,0,ROUND(MAX($J2929*1.4*1.5*1.6*1.6*2.2*2.715*2.6*1.4*1.4,8430000000*(1.651435^(MIN($E2929,123)-117)))*1,0))</f>
        <v>20487537</v>
      </c>
      <c r="AC2929" s="11">
        <f>$E2929+21</f>
        <v>126</v>
      </c>
      <c r="AD2929" s="12">
        <f>IF($J2929=0,0,ROUND(MAX($J2929*1.4*1.5*1.6*1.6*2.2*2.715*2.6*1.4*1.4*1.5,12600000000*(1.652953^(MIN($E2929,123)-117)))*1,0))</f>
        <v>30286179</v>
      </c>
      <c r="AE2929" s="13">
        <f>$E2929+24</f>
        <v>129</v>
      </c>
      <c r="AF2929" s="14">
        <f>IF($J2929=0,0,ROUND(MAX($J2929*1.4*1.5*1.6*1.6*2.2*2.715*2.6*1.4*1.4*1.5*1.5,18900000000*(1.65331^(MIN($E2929,123)-117)))*1,0))</f>
        <v>45311693</v>
      </c>
      <c r="AG2929" s="11">
        <f>$E2929+27</f>
        <v>132</v>
      </c>
      <c r="AH2929" s="12">
        <f>IF($J2929=0,0,ROUND(MAX($J2929*1.4*1.5*1.6*1.6*2.2*2.715*2.6*1.4*1.4*1.5*1.5*3.2,60500000000*(1.654288^(MIN($E2929,123)-117)))*1,0))</f>
        <v>144019713</v>
      </c>
    </row>
    <row r="2930" ht="28" customHeight="1" spans="1:34" x14ac:dyDescent="0.25">
      <c r="A2930">
        <v>2940</v>
      </c>
      <c r="B2930" t="s">
        <v>796</v>
      </c>
      <c r="C2930" s="10" t="s">
        <v>1650</v>
      </c>
      <c r="D2930" t="s">
        <v>25</v>
      </c>
      <c r="E2930">
        <v>105</v>
      </c>
      <c r="F2930" t="s">
        <v>42</v>
      </c>
      <c r="G2930" t="s">
        <v>797</v>
      </c>
      <c r="H2930">
        <v>23</v>
      </c>
      <c r="I2930" s="11">
        <f>$E2930+0</f>
        <v>105</v>
      </c>
      <c r="J2930" s="12">
        <v>32300</v>
      </c>
      <c r="K2930" s="13">
        <f>$E2930+1</f>
        <v>106</v>
      </c>
      <c r="L2930" s="14">
        <f>IF($J2930=0,0,ROUND(MAX($J2930*1.4,1620000*(1.497923^(MIN($E2930,123)-117)))*1,0))</f>
        <v>45220</v>
      </c>
      <c r="M2930" s="11">
        <f>$E2930+2</f>
        <v>107</v>
      </c>
      <c r="N2930" s="12">
        <f>IF($J2930=0,0,ROUND(MAX($J2930*1.4*1.5,2190000*(1.580994^(MIN($E2930,123)-117)))*1,0))</f>
        <v>67830</v>
      </c>
      <c r="O2930" s="13">
        <f>$E2930+4</f>
        <v>109</v>
      </c>
      <c r="P2930" s="14">
        <f>IF($J2930=0,0,ROUND(MAX($J2930*1.4*1.5*1.6,3500000*(1.57975^(MIN($E2930,123)-117)))*1,0))</f>
        <v>108528</v>
      </c>
      <c r="Q2930" s="11">
        <f>$E2930+6</f>
        <v>111</v>
      </c>
      <c r="R2930" s="12">
        <f>IF($J2930=0,0,ROUND(MAX($J2930*1.4*1.5*1.6*1.6,13100000*(1.429962^(MIN($E2930,123)-117)))*1,0))</f>
        <v>179216</v>
      </c>
      <c r="S2930" s="13">
        <f>$E2930+8</f>
        <v>113</v>
      </c>
      <c r="T2930" s="14">
        <f>IF($J2930=0,0,ROUND(MAX($J2930*1.4*1.5*1.6*1.6*2.2,42600000*(1.576904^(MIN($E2930,123)-117)))*1,0))</f>
        <v>382019</v>
      </c>
      <c r="U2930" s="11">
        <f>$E2930+11</f>
        <v>116</v>
      </c>
      <c r="V2930" s="12">
        <f>IF($J2930=0,0,ROUND(MAX($J2930*1.4*1.5*1.6*1.6*2.2*2.715,354000000*(1.642074^(MIN($E2930,123)-117)))*1,0))</f>
        <v>1037180</v>
      </c>
      <c r="W2930" s="13">
        <f>$E2930+15</f>
        <v>120</v>
      </c>
      <c r="X2930" s="14">
        <f>IF($J2930=0,0,ROUND(MAX($J2930*1.4*1.5*1.6*1.6*2.2*2.715*2.6,3540000000*(1.579646^(MIN($E2930,123)-117)))*1,0))</f>
        <v>14665133</v>
      </c>
      <c r="Y2930" s="11">
        <f>$E2930+17</f>
        <v>122</v>
      </c>
      <c r="Z2930" s="12">
        <f>IF($J2930=0,0,ROUND(MAX($J2930*1.4*1.5*1.6*1.6*2.2*2.715*2.6*1.4,6020000000*(1.651178^(MIN($E2930,123)-117)))*1,0))</f>
        <v>14657833</v>
      </c>
      <c r="AA2930" s="13">
        <f>$E2930+19</f>
        <v>124</v>
      </c>
      <c r="AB2930" s="14">
        <f>IF($J2930=0,0,ROUND(MAX($J2930*1.4*1.5*1.6*1.6*2.2*2.715*2.6*1.4*1.4,8430000000*(1.651435^(MIN($E2930,123)-117)))*1,0))</f>
        <v>20487537</v>
      </c>
      <c r="AC2930" s="11">
        <f>$E2930+21</f>
        <v>126</v>
      </c>
      <c r="AD2930" s="12">
        <f>IF($J2930=0,0,ROUND(MAX($J2930*1.4*1.5*1.6*1.6*2.2*2.715*2.6*1.4*1.4*1.5,12600000000*(1.652953^(MIN($E2930,123)-117)))*1,0))</f>
        <v>30286179</v>
      </c>
      <c r="AE2930" s="13">
        <f>$E2930+24</f>
        <v>129</v>
      </c>
      <c r="AF2930" s="14">
        <f>IF($J2930=0,0,ROUND(MAX($J2930*1.4*1.5*1.6*1.6*2.2*2.715*2.6*1.4*1.4*1.5*1.5,18900000000*(1.65331^(MIN($E2930,123)-117)))*1,0))</f>
        <v>45311693</v>
      </c>
      <c r="AG2930" s="11">
        <f>$E2930+27</f>
        <v>132</v>
      </c>
      <c r="AH2930" s="12">
        <f>IF($J2930=0,0,ROUND(MAX($J2930*1.4*1.5*1.6*1.6*2.2*2.715*2.6*1.4*1.4*1.5*1.5*3.2,60500000000*(1.654288^(MIN($E2930,123)-117)))*1,0))</f>
        <v>144019713</v>
      </c>
    </row>
    <row r="2931" ht="28" customHeight="1" spans="1:34" x14ac:dyDescent="0.25">
      <c r="A2931">
        <v>2941</v>
      </c>
      <c r="B2931" t="s">
        <v>1067</v>
      </c>
      <c r="C2931" s="10" t="s">
        <v>1650</v>
      </c>
      <c r="D2931" t="s">
        <v>33</v>
      </c>
      <c r="E2931">
        <v>105</v>
      </c>
      <c r="F2931" t="s">
        <v>56</v>
      </c>
      <c r="G2931" t="s">
        <v>562</v>
      </c>
      <c r="H2931">
        <v>23</v>
      </c>
      <c r="I2931" s="11">
        <f>$E2931+0</f>
        <v>105</v>
      </c>
      <c r="J2931" s="12">
        <v>23300</v>
      </c>
      <c r="K2931" s="13">
        <f>$E2931+1</f>
        <v>106</v>
      </c>
      <c r="L2931" s="14">
        <f>IF($J2931=0,0,ROUND(MAX($J2931*1.4,1620000*(1.497923^(MIN($E2931,123)-117)))*1,0))</f>
        <v>32620</v>
      </c>
      <c r="M2931" s="11">
        <f>$E2931+2</f>
        <v>107</v>
      </c>
      <c r="N2931" s="12">
        <f>IF($J2931=0,0,ROUND(MAX($J2931*1.4*1.5,2190000*(1.580994^(MIN($E2931,123)-117)))*1,0))</f>
        <v>48930</v>
      </c>
      <c r="O2931" s="13">
        <f>$E2931+4</f>
        <v>109</v>
      </c>
      <c r="P2931" s="14">
        <f>IF($J2931=0,0,ROUND(MAX($J2931*1.4*1.5*1.6,3500000*(1.57975^(MIN($E2931,123)-117)))*1,0))</f>
        <v>78288</v>
      </c>
      <c r="Q2931" s="11">
        <f>$E2931+6</f>
        <v>111</v>
      </c>
      <c r="R2931" s="12">
        <f>IF($J2931=0,0,ROUND(MAX($J2931*1.4*1.5*1.6*1.6,13100000*(1.429962^(MIN($E2931,123)-117)))*1,0))</f>
        <v>179216</v>
      </c>
      <c r="S2931" s="13">
        <f>$E2931+8</f>
        <v>113</v>
      </c>
      <c r="T2931" s="14">
        <f>IF($J2931=0,0,ROUND(MAX($J2931*1.4*1.5*1.6*1.6*2.2,42600000*(1.576904^(MIN($E2931,123)-117)))*1,0))</f>
        <v>275574</v>
      </c>
      <c r="U2931" s="11">
        <f>$E2931+11</f>
        <v>116</v>
      </c>
      <c r="V2931" s="12">
        <f>IF($J2931=0,0,ROUND(MAX($J2931*1.4*1.5*1.6*1.6*2.2*2.715,354000000*(1.642074^(MIN($E2931,123)-117)))*1,0))</f>
        <v>921066</v>
      </c>
      <c r="W2931" s="13">
        <f>$E2931+15</f>
        <v>120</v>
      </c>
      <c r="X2931" s="14">
        <f>IF($J2931=0,0,ROUND(MAX($J2931*1.4*1.5*1.6*1.6*2.2*2.715*2.6,3540000000*(1.579646^(MIN($E2931,123)-117)))*1,0))</f>
        <v>14665133</v>
      </c>
      <c r="Y2931" s="11">
        <f>$E2931+17</f>
        <v>122</v>
      </c>
      <c r="Z2931" s="12">
        <f>IF($J2931=0,0,ROUND(MAX($J2931*1.4*1.5*1.6*1.6*2.2*2.715*2.6*1.4,6020000000*(1.651178^(MIN($E2931,123)-117)))*1,0))</f>
        <v>14657833</v>
      </c>
      <c r="AA2931" s="13">
        <f>$E2931+19</f>
        <v>124</v>
      </c>
      <c r="AB2931" s="14">
        <f>IF($J2931=0,0,ROUND(MAX($J2931*1.4*1.5*1.6*1.6*2.2*2.715*2.6*1.4*1.4,8430000000*(1.651435^(MIN($E2931,123)-117)))*1,0))</f>
        <v>20487537</v>
      </c>
      <c r="AC2931" s="11">
        <f>$E2931+21</f>
        <v>126</v>
      </c>
      <c r="AD2931" s="12">
        <f>IF($J2931=0,0,ROUND(MAX($J2931*1.4*1.5*1.6*1.6*2.2*2.715*2.6*1.4*1.4*1.5,12600000000*(1.652953^(MIN($E2931,123)-117)))*1,0))</f>
        <v>30286179</v>
      </c>
      <c r="AE2931" s="13">
        <f>$E2931+24</f>
        <v>129</v>
      </c>
      <c r="AF2931" s="14">
        <f>IF($J2931=0,0,ROUND(MAX($J2931*1.4*1.5*1.6*1.6*2.2*2.715*2.6*1.4*1.4*1.5*1.5,18900000000*(1.65331^(MIN($E2931,123)-117)))*1,0))</f>
        <v>45311693</v>
      </c>
      <c r="AG2931" s="11">
        <f>$E2931+27</f>
        <v>132</v>
      </c>
      <c r="AH2931" s="12">
        <f>IF($J2931=0,0,ROUND(MAX($J2931*1.4*1.5*1.6*1.6*2.2*2.715*2.6*1.4*1.4*1.5*1.5*3.2,60500000000*(1.654288^(MIN($E2931,123)-117)))*1,0))</f>
        <v>144019713</v>
      </c>
    </row>
    <row r="2932" ht="28" customHeight="1" spans="1:34" x14ac:dyDescent="0.25">
      <c r="A2932">
        <v>2942</v>
      </c>
      <c r="B2932" t="s">
        <v>1614</v>
      </c>
      <c r="C2932" s="10" t="s">
        <v>1650</v>
      </c>
      <c r="D2932" t="s">
        <v>102</v>
      </c>
      <c r="E2932">
        <v>105</v>
      </c>
      <c r="F2932" t="s">
        <v>42</v>
      </c>
      <c r="G2932" t="s">
        <v>1312</v>
      </c>
      <c r="H2932">
        <v>22</v>
      </c>
      <c r="I2932" s="11">
        <f>$E2932+0</f>
        <v>105</v>
      </c>
      <c r="J2932" s="12">
        <v>27300</v>
      </c>
      <c r="K2932" s="13">
        <f>$E2932+1</f>
        <v>106</v>
      </c>
      <c r="L2932" s="14">
        <f>IF($J2932=0,0,ROUND(MAX($J2932*1.4,1620000*(1.497923^(MIN($E2932,123)-117)))*1,0))</f>
        <v>38220</v>
      </c>
      <c r="M2932" s="11">
        <f>$E2932+2</f>
        <v>107</v>
      </c>
      <c r="N2932" s="12">
        <f>IF($J2932=0,0,ROUND(MAX($J2932*1.4*1.5,2190000*(1.580994^(MIN($E2932,123)-117)))*1,0))</f>
        <v>57330</v>
      </c>
      <c r="O2932" s="13">
        <f>$E2932+4</f>
        <v>109</v>
      </c>
      <c r="P2932" s="14">
        <f>IF($J2932=0,0,ROUND(MAX($J2932*1.4*1.5*1.6,3500000*(1.57975^(MIN($E2932,123)-117)))*1,0))</f>
        <v>91728</v>
      </c>
      <c r="Q2932" s="11">
        <f>$E2932+6</f>
        <v>111</v>
      </c>
      <c r="R2932" s="12">
        <f>IF($J2932=0,0,ROUND(MAX($J2932*1.4*1.5*1.6*1.6,13100000*(1.429962^(MIN($E2932,123)-117)))*1,0))</f>
        <v>179216</v>
      </c>
      <c r="S2932" s="13">
        <f>$E2932+8</f>
        <v>113</v>
      </c>
      <c r="T2932" s="14">
        <f>IF($J2932=0,0,ROUND(MAX($J2932*1.4*1.5*1.6*1.6*2.2,42600000*(1.576904^(MIN($E2932,123)-117)))*1,0))</f>
        <v>322883</v>
      </c>
      <c r="U2932" s="11">
        <f>$E2932+11</f>
        <v>116</v>
      </c>
      <c r="V2932" s="12">
        <f>IF($J2932=0,0,ROUND(MAX($J2932*1.4*1.5*1.6*1.6*2.2*2.715,354000000*(1.642074^(MIN($E2932,123)-117)))*1,0))</f>
        <v>921066</v>
      </c>
      <c r="W2932" s="13">
        <f>$E2932+15</f>
        <v>120</v>
      </c>
      <c r="X2932" s="14">
        <f>IF($J2932=0,0,ROUND(MAX($J2932*1.4*1.5*1.6*1.6*2.2*2.715*2.6,3540000000*(1.579646^(MIN($E2932,123)-117)))*1,0))</f>
        <v>14665133</v>
      </c>
      <c r="Y2932" s="11">
        <f>$E2932+17</f>
        <v>122</v>
      </c>
      <c r="Z2932" s="12">
        <f>IF($J2932=0,0,ROUND(MAX($J2932*1.4*1.5*1.6*1.6*2.2*2.715*2.6*1.4,6020000000*(1.651178^(MIN($E2932,123)-117)))*1,0))</f>
        <v>14657833</v>
      </c>
      <c r="AA2932" s="13">
        <f>$E2932+19</f>
        <v>124</v>
      </c>
      <c r="AB2932" s="14">
        <f>IF($J2932=0,0,ROUND(MAX($J2932*1.4*1.5*1.6*1.6*2.2*2.715*2.6*1.4*1.4,8430000000*(1.651435^(MIN($E2932,123)-117)))*1,0))</f>
        <v>20487537</v>
      </c>
      <c r="AC2932" s="11">
        <f>$E2932+21</f>
        <v>126</v>
      </c>
      <c r="AD2932" s="12">
        <f>IF($J2932=0,0,ROUND(MAX($J2932*1.4*1.5*1.6*1.6*2.2*2.715*2.6*1.4*1.4*1.5,12600000000*(1.652953^(MIN($E2932,123)-117)))*1,0))</f>
        <v>30286179</v>
      </c>
      <c r="AE2932" s="13">
        <f>$E2932+24</f>
        <v>129</v>
      </c>
      <c r="AF2932" s="14">
        <f>IF($J2932=0,0,ROUND(MAX($J2932*1.4*1.5*1.6*1.6*2.2*2.715*2.6*1.4*1.4*1.5*1.5,18900000000*(1.65331^(MIN($E2932,123)-117)))*1,0))</f>
        <v>45311693</v>
      </c>
      <c r="AG2932" s="11">
        <f>$E2932+27</f>
        <v>132</v>
      </c>
      <c r="AH2932" s="12">
        <f>IF($J2932=0,0,ROUND(MAX($J2932*1.4*1.5*1.6*1.6*2.2*2.715*2.6*1.4*1.4*1.5*1.5*3.2,60500000000*(1.654288^(MIN($E2932,123)-117)))*1,0))</f>
        <v>144019713</v>
      </c>
    </row>
    <row r="2933" ht="28" customHeight="1" spans="1:34" x14ac:dyDescent="0.25">
      <c r="A2933">
        <v>2943</v>
      </c>
      <c r="B2933" t="s">
        <v>336</v>
      </c>
      <c r="C2933" s="10" t="s">
        <v>1650</v>
      </c>
      <c r="D2933" t="s">
        <v>45</v>
      </c>
      <c r="E2933">
        <v>105</v>
      </c>
      <c r="F2933" t="s">
        <v>54</v>
      </c>
      <c r="G2933" t="s">
        <v>337</v>
      </c>
      <c r="H2933">
        <v>22</v>
      </c>
      <c r="I2933" s="11">
        <f>$E2933+0</f>
        <v>105</v>
      </c>
      <c r="J2933" s="12">
        <v>22800</v>
      </c>
      <c r="K2933" s="13">
        <f>$E2933+1</f>
        <v>106</v>
      </c>
      <c r="L2933" s="14">
        <f>IF($J2933=0,0,ROUND(MAX($J2933*1.4,1620000*(1.497923^(MIN($E2933,123)-117)))*1,0))</f>
        <v>31920</v>
      </c>
      <c r="M2933" s="11">
        <f>$E2933+2</f>
        <v>107</v>
      </c>
      <c r="N2933" s="12">
        <f>IF($J2933=0,0,ROUND(MAX($J2933*1.4*1.5,2190000*(1.580994^(MIN($E2933,123)-117)))*1,0))</f>
        <v>47880</v>
      </c>
      <c r="O2933" s="13">
        <f>$E2933+4</f>
        <v>109</v>
      </c>
      <c r="P2933" s="14">
        <f>IF($J2933=0,0,ROUND(MAX($J2933*1.4*1.5*1.6,3500000*(1.57975^(MIN($E2933,123)-117)))*1,0))</f>
        <v>76608</v>
      </c>
      <c r="Q2933" s="11">
        <f>$E2933+6</f>
        <v>111</v>
      </c>
      <c r="R2933" s="12">
        <f>IF($J2933=0,0,ROUND(MAX($J2933*1.4*1.5*1.6*1.6,13100000*(1.429962^(MIN($E2933,123)-117)))*1,0))</f>
        <v>179216</v>
      </c>
      <c r="S2933" s="13">
        <f>$E2933+8</f>
        <v>113</v>
      </c>
      <c r="T2933" s="14">
        <f>IF($J2933=0,0,ROUND(MAX($J2933*1.4*1.5*1.6*1.6*2.2,42600000*(1.576904^(MIN($E2933,123)-117)))*1,0))</f>
        <v>269660</v>
      </c>
      <c r="U2933" s="11">
        <f>$E2933+11</f>
        <v>116</v>
      </c>
      <c r="V2933" s="12">
        <f>IF($J2933=0,0,ROUND(MAX($J2933*1.4*1.5*1.6*1.6*2.2*2.715,354000000*(1.642074^(MIN($E2933,123)-117)))*1,0))</f>
        <v>921066</v>
      </c>
      <c r="W2933" s="13">
        <f>$E2933+15</f>
        <v>120</v>
      </c>
      <c r="X2933" s="14">
        <f>IF($J2933=0,0,ROUND(MAX($J2933*1.4*1.5*1.6*1.6*2.2*2.715*2.6,3540000000*(1.579646^(MIN($E2933,123)-117)))*1,0))</f>
        <v>14665133</v>
      </c>
      <c r="Y2933" s="11">
        <f>$E2933+17</f>
        <v>122</v>
      </c>
      <c r="Z2933" s="12">
        <f>IF($J2933=0,0,ROUND(MAX($J2933*1.4*1.5*1.6*1.6*2.2*2.715*2.6*1.4,6020000000*(1.651178^(MIN($E2933,123)-117)))*1,0))</f>
        <v>14657833</v>
      </c>
      <c r="AA2933" s="13">
        <f>$E2933+19</f>
        <v>124</v>
      </c>
      <c r="AB2933" s="14">
        <f>IF($J2933=0,0,ROUND(MAX($J2933*1.4*1.5*1.6*1.6*2.2*2.715*2.6*1.4*1.4,8430000000*(1.651435^(MIN($E2933,123)-117)))*1,0))</f>
        <v>20487537</v>
      </c>
      <c r="AC2933" s="11">
        <f>$E2933+21</f>
        <v>126</v>
      </c>
      <c r="AD2933" s="12">
        <f>IF($J2933=0,0,ROUND(MAX($J2933*1.4*1.5*1.6*1.6*2.2*2.715*2.6*1.4*1.4*1.5,12600000000*(1.652953^(MIN($E2933,123)-117)))*1,0))</f>
        <v>30286179</v>
      </c>
      <c r="AE2933" s="13">
        <f>$E2933+24</f>
        <v>129</v>
      </c>
      <c r="AF2933" s="14">
        <f>IF($J2933=0,0,ROUND(MAX($J2933*1.4*1.5*1.6*1.6*2.2*2.715*2.6*1.4*1.4*1.5*1.5,18900000000*(1.65331^(MIN($E2933,123)-117)))*1,0))</f>
        <v>45311693</v>
      </c>
      <c r="AG2933" s="11">
        <f>$E2933+27</f>
        <v>132</v>
      </c>
      <c r="AH2933" s="12">
        <f>IF($J2933=0,0,ROUND(MAX($J2933*1.4*1.5*1.6*1.6*2.2*2.715*2.6*1.4*1.4*1.5*1.5*3.2,60500000000*(1.654288^(MIN($E2933,123)-117)))*1,0))</f>
        <v>144019713</v>
      </c>
    </row>
    <row r="2934" ht="28" customHeight="1" spans="1:34" x14ac:dyDescent="0.25">
      <c r="A2934">
        <v>2944</v>
      </c>
      <c r="B2934" t="s">
        <v>1057</v>
      </c>
      <c r="C2934" s="10" t="s">
        <v>1650</v>
      </c>
      <c r="D2934" t="s">
        <v>75</v>
      </c>
      <c r="E2934">
        <v>105</v>
      </c>
      <c r="F2934" t="s">
        <v>71</v>
      </c>
      <c r="G2934" t="s">
        <v>1058</v>
      </c>
      <c r="H2934">
        <v>22</v>
      </c>
      <c r="I2934" s="11">
        <f>$E2934+0</f>
        <v>105</v>
      </c>
      <c r="J2934" s="12">
        <v>22900</v>
      </c>
      <c r="K2934" s="13">
        <f>$E2934+1</f>
        <v>106</v>
      </c>
      <c r="L2934" s="14">
        <f>IF($J2934=0,0,ROUND(MAX($J2934*1.4,1620000*(1.497923^(MIN($E2934,123)-117)))*1,0))</f>
        <v>32060</v>
      </c>
      <c r="M2934" s="11">
        <f>$E2934+2</f>
        <v>107</v>
      </c>
      <c r="N2934" s="12">
        <f>IF($J2934=0,0,ROUND(MAX($J2934*1.4*1.5,2190000*(1.580994^(MIN($E2934,123)-117)))*1,0))</f>
        <v>48090</v>
      </c>
      <c r="O2934" s="13">
        <f>$E2934+4</f>
        <v>109</v>
      </c>
      <c r="P2934" s="14">
        <f>IF($J2934=0,0,ROUND(MAX($J2934*1.4*1.5*1.6,3500000*(1.57975^(MIN($E2934,123)-117)))*1,0))</f>
        <v>76944</v>
      </c>
      <c r="Q2934" s="11">
        <f>$E2934+6</f>
        <v>111</v>
      </c>
      <c r="R2934" s="12">
        <f>IF($J2934=0,0,ROUND(MAX($J2934*1.4*1.5*1.6*1.6,13100000*(1.429962^(MIN($E2934,123)-117)))*1,0))</f>
        <v>179216</v>
      </c>
      <c r="S2934" s="13">
        <f>$E2934+8</f>
        <v>113</v>
      </c>
      <c r="T2934" s="14">
        <f>IF($J2934=0,0,ROUND(MAX($J2934*1.4*1.5*1.6*1.6*2.2,42600000*(1.576904^(MIN($E2934,123)-117)))*1,0))</f>
        <v>270843</v>
      </c>
      <c r="U2934" s="11">
        <f>$E2934+11</f>
        <v>116</v>
      </c>
      <c r="V2934" s="12">
        <f>IF($J2934=0,0,ROUND(MAX($J2934*1.4*1.5*1.6*1.6*2.2*2.715,354000000*(1.642074^(MIN($E2934,123)-117)))*1,0))</f>
        <v>921066</v>
      </c>
      <c r="W2934" s="13">
        <f>$E2934+15</f>
        <v>120</v>
      </c>
      <c r="X2934" s="14">
        <f>IF($J2934=0,0,ROUND(MAX($J2934*1.4*1.5*1.6*1.6*2.2*2.715*2.6,3540000000*(1.579646^(MIN($E2934,123)-117)))*1,0))</f>
        <v>14665133</v>
      </c>
      <c r="Y2934" s="11">
        <f>$E2934+17</f>
        <v>122</v>
      </c>
      <c r="Z2934" s="12">
        <f>IF($J2934=0,0,ROUND(MAX($J2934*1.4*1.5*1.6*1.6*2.2*2.715*2.6*1.4,6020000000*(1.651178^(MIN($E2934,123)-117)))*1,0))</f>
        <v>14657833</v>
      </c>
      <c r="AA2934" s="13">
        <f>$E2934+19</f>
        <v>124</v>
      </c>
      <c r="AB2934" s="14">
        <f>IF($J2934=0,0,ROUND(MAX($J2934*1.4*1.5*1.6*1.6*2.2*2.715*2.6*1.4*1.4,8430000000*(1.651435^(MIN($E2934,123)-117)))*1,0))</f>
        <v>20487537</v>
      </c>
      <c r="AC2934" s="11">
        <f>$E2934+21</f>
        <v>126</v>
      </c>
      <c r="AD2934" s="12">
        <f>IF($J2934=0,0,ROUND(MAX($J2934*1.4*1.5*1.6*1.6*2.2*2.715*2.6*1.4*1.4*1.5,12600000000*(1.652953^(MIN($E2934,123)-117)))*1,0))</f>
        <v>30286179</v>
      </c>
      <c r="AE2934" s="13">
        <f>$E2934+24</f>
        <v>129</v>
      </c>
      <c r="AF2934" s="14">
        <f>IF($J2934=0,0,ROUND(MAX($J2934*1.4*1.5*1.6*1.6*2.2*2.715*2.6*1.4*1.4*1.5*1.5,18900000000*(1.65331^(MIN($E2934,123)-117)))*1,0))</f>
        <v>45311693</v>
      </c>
      <c r="AG2934" s="11">
        <f>$E2934+27</f>
        <v>132</v>
      </c>
      <c r="AH2934" s="12">
        <f>IF($J2934=0,0,ROUND(MAX($J2934*1.4*1.5*1.6*1.6*2.2*2.715*2.6*1.4*1.4*1.5*1.5*3.2,60500000000*(1.654288^(MIN($E2934,123)-117)))*1,0))</f>
        <v>144019713</v>
      </c>
    </row>
    <row r="2935" ht="28" customHeight="1" spans="1:34" x14ac:dyDescent="0.25">
      <c r="A2935">
        <v>2945</v>
      </c>
      <c r="B2935" t="s">
        <v>1061</v>
      </c>
      <c r="C2935" s="10" t="s">
        <v>1650</v>
      </c>
      <c r="D2935" t="s">
        <v>45</v>
      </c>
      <c r="E2935">
        <v>105</v>
      </c>
      <c r="F2935" t="s">
        <v>56</v>
      </c>
      <c r="G2935" t="s">
        <v>126</v>
      </c>
      <c r="H2935">
        <v>22</v>
      </c>
      <c r="I2935" s="11">
        <f>$E2935+0</f>
        <v>105</v>
      </c>
      <c r="J2935" s="12">
        <v>23800</v>
      </c>
      <c r="K2935" s="13">
        <f>$E2935+1</f>
        <v>106</v>
      </c>
      <c r="L2935" s="14">
        <f>IF($J2935=0,0,ROUND(MAX($J2935*1.4,1620000*(1.497923^(MIN($E2935,123)-117)))*1,0))</f>
        <v>33320</v>
      </c>
      <c r="M2935" s="11">
        <f>$E2935+2</f>
        <v>107</v>
      </c>
      <c r="N2935" s="12">
        <f>IF($J2935=0,0,ROUND(MAX($J2935*1.4*1.5,2190000*(1.580994^(MIN($E2935,123)-117)))*1,0))</f>
        <v>49980</v>
      </c>
      <c r="O2935" s="13">
        <f>$E2935+4</f>
        <v>109</v>
      </c>
      <c r="P2935" s="14">
        <f>IF($J2935=0,0,ROUND(MAX($J2935*1.4*1.5*1.6,3500000*(1.57975^(MIN($E2935,123)-117)))*1,0))</f>
        <v>79968</v>
      </c>
      <c r="Q2935" s="11">
        <f>$E2935+6</f>
        <v>111</v>
      </c>
      <c r="R2935" s="12">
        <f>IF($J2935=0,0,ROUND(MAX($J2935*1.4*1.5*1.6*1.6,13100000*(1.429962^(MIN($E2935,123)-117)))*1,0))</f>
        <v>179216</v>
      </c>
      <c r="S2935" s="13">
        <f>$E2935+8</f>
        <v>113</v>
      </c>
      <c r="T2935" s="14">
        <f>IF($J2935=0,0,ROUND(MAX($J2935*1.4*1.5*1.6*1.6*2.2,42600000*(1.576904^(MIN($E2935,123)-117)))*1,0))</f>
        <v>281487</v>
      </c>
      <c r="U2935" s="11">
        <f>$E2935+11</f>
        <v>116</v>
      </c>
      <c r="V2935" s="12">
        <f>IF($J2935=0,0,ROUND(MAX($J2935*1.4*1.5*1.6*1.6*2.2*2.715,354000000*(1.642074^(MIN($E2935,123)-117)))*1,0))</f>
        <v>921066</v>
      </c>
      <c r="W2935" s="13">
        <f>$E2935+15</f>
        <v>120</v>
      </c>
      <c r="X2935" s="14">
        <f>IF($J2935=0,0,ROUND(MAX($J2935*1.4*1.5*1.6*1.6*2.2*2.715*2.6,3540000000*(1.579646^(MIN($E2935,123)-117)))*1,0))</f>
        <v>14665133</v>
      </c>
      <c r="Y2935" s="11">
        <f>$E2935+17</f>
        <v>122</v>
      </c>
      <c r="Z2935" s="12">
        <f>IF($J2935=0,0,ROUND(MAX($J2935*1.4*1.5*1.6*1.6*2.2*2.715*2.6*1.4,6020000000*(1.651178^(MIN($E2935,123)-117)))*1,0))</f>
        <v>14657833</v>
      </c>
      <c r="AA2935" s="13">
        <f>$E2935+19</f>
        <v>124</v>
      </c>
      <c r="AB2935" s="14">
        <f>IF($J2935=0,0,ROUND(MAX($J2935*1.4*1.5*1.6*1.6*2.2*2.715*2.6*1.4*1.4,8430000000*(1.651435^(MIN($E2935,123)-117)))*1,0))</f>
        <v>20487537</v>
      </c>
      <c r="AC2935" s="11">
        <f>$E2935+21</f>
        <v>126</v>
      </c>
      <c r="AD2935" s="12">
        <f>IF($J2935=0,0,ROUND(MAX($J2935*1.4*1.5*1.6*1.6*2.2*2.715*2.6*1.4*1.4*1.5,12600000000*(1.652953^(MIN($E2935,123)-117)))*1,0))</f>
        <v>30286179</v>
      </c>
      <c r="AE2935" s="13">
        <f>$E2935+24</f>
        <v>129</v>
      </c>
      <c r="AF2935" s="14">
        <f>IF($J2935=0,0,ROUND(MAX($J2935*1.4*1.5*1.6*1.6*2.2*2.715*2.6*1.4*1.4*1.5*1.5,18900000000*(1.65331^(MIN($E2935,123)-117)))*1,0))</f>
        <v>45311693</v>
      </c>
      <c r="AG2935" s="11">
        <f>$E2935+27</f>
        <v>132</v>
      </c>
      <c r="AH2935" s="12">
        <f>IF($J2935=0,0,ROUND(MAX($J2935*1.4*1.5*1.6*1.6*2.2*2.715*2.6*1.4*1.4*1.5*1.5*3.2,60500000000*(1.654288^(MIN($E2935,123)-117)))*1,0))</f>
        <v>144019713</v>
      </c>
    </row>
    <row r="2936" ht="28" customHeight="1" spans="1:34" x14ac:dyDescent="0.25">
      <c r="A2936">
        <v>2946</v>
      </c>
      <c r="B2936" t="s">
        <v>810</v>
      </c>
      <c r="C2936" s="10" t="s">
        <v>1650</v>
      </c>
      <c r="D2936" t="s">
        <v>102</v>
      </c>
      <c r="E2936">
        <v>105</v>
      </c>
      <c r="F2936" t="s">
        <v>71</v>
      </c>
      <c r="G2936" t="s">
        <v>562</v>
      </c>
      <c r="H2936">
        <v>22</v>
      </c>
      <c r="I2936" s="11">
        <f>$E2936+0</f>
        <v>105</v>
      </c>
      <c r="J2936" s="12">
        <v>15100</v>
      </c>
      <c r="K2936" s="13">
        <f>$E2936+1</f>
        <v>106</v>
      </c>
      <c r="L2936" s="14">
        <f>IF($J2936=0,0,ROUND(MAX($J2936*1.4,1620000*(1.497923^(MIN($E2936,123)-117)))*1,0))</f>
        <v>21140</v>
      </c>
      <c r="M2936" s="11">
        <f>$E2936+2</f>
        <v>107</v>
      </c>
      <c r="N2936" s="12">
        <f>IF($J2936=0,0,ROUND(MAX($J2936*1.4*1.5,2190000*(1.580994^(MIN($E2936,123)-117)))*1,0))</f>
        <v>31710</v>
      </c>
      <c r="O2936" s="13">
        <f>$E2936+4</f>
        <v>109</v>
      </c>
      <c r="P2936" s="14">
        <f>IF($J2936=0,0,ROUND(MAX($J2936*1.4*1.5*1.6,3500000*(1.57975^(MIN($E2936,123)-117)))*1,0))</f>
        <v>50736</v>
      </c>
      <c r="Q2936" s="11">
        <f>$E2936+6</f>
        <v>111</v>
      </c>
      <c r="R2936" s="12">
        <f>IF($J2936=0,0,ROUND(MAX($J2936*1.4*1.5*1.6*1.6,13100000*(1.429962^(MIN($E2936,123)-117)))*1,0))</f>
        <v>179216</v>
      </c>
      <c r="S2936" s="13">
        <f>$E2936+8</f>
        <v>113</v>
      </c>
      <c r="T2936" s="14">
        <f>IF($J2936=0,0,ROUND(MAX($J2936*1.4*1.5*1.6*1.6*2.2,42600000*(1.576904^(MIN($E2936,123)-117)))*1,0))</f>
        <v>180197</v>
      </c>
      <c r="U2936" s="11">
        <f>$E2936+11</f>
        <v>116</v>
      </c>
      <c r="V2936" s="12">
        <f>IF($J2936=0,0,ROUND(MAX($J2936*1.4*1.5*1.6*1.6*2.2*2.715,354000000*(1.642074^(MIN($E2936,123)-117)))*1,0))</f>
        <v>921066</v>
      </c>
      <c r="W2936" s="13">
        <f>$E2936+15</f>
        <v>120</v>
      </c>
      <c r="X2936" s="14">
        <f>IF($J2936=0,0,ROUND(MAX($J2936*1.4*1.5*1.6*1.6*2.2*2.715*2.6,3540000000*(1.579646^(MIN($E2936,123)-117)))*1,0))</f>
        <v>14665133</v>
      </c>
      <c r="Y2936" s="11">
        <f>$E2936+17</f>
        <v>122</v>
      </c>
      <c r="Z2936" s="12">
        <f>IF($J2936=0,0,ROUND(MAX($J2936*1.4*1.5*1.6*1.6*2.2*2.715*2.6*1.4,6020000000*(1.651178^(MIN($E2936,123)-117)))*1,0))</f>
        <v>14657833</v>
      </c>
      <c r="AA2936" s="13">
        <f>$E2936+19</f>
        <v>124</v>
      </c>
      <c r="AB2936" s="14">
        <f>IF($J2936=0,0,ROUND(MAX($J2936*1.4*1.5*1.6*1.6*2.2*2.715*2.6*1.4*1.4,8430000000*(1.651435^(MIN($E2936,123)-117)))*1,0))</f>
        <v>20487537</v>
      </c>
      <c r="AC2936" s="11">
        <f>$E2936+21</f>
        <v>126</v>
      </c>
      <c r="AD2936" s="12">
        <f>IF($J2936=0,0,ROUND(MAX($J2936*1.4*1.5*1.6*1.6*2.2*2.715*2.6*1.4*1.4*1.5,12600000000*(1.652953^(MIN($E2936,123)-117)))*1,0))</f>
        <v>30286179</v>
      </c>
      <c r="AE2936" s="13">
        <f>$E2936+24</f>
        <v>129</v>
      </c>
      <c r="AF2936" s="14">
        <f>IF($J2936=0,0,ROUND(MAX($J2936*1.4*1.5*1.6*1.6*2.2*2.715*2.6*1.4*1.4*1.5*1.5,18900000000*(1.65331^(MIN($E2936,123)-117)))*1,0))</f>
        <v>45311693</v>
      </c>
      <c r="AG2936" s="11">
        <f>$E2936+27</f>
        <v>132</v>
      </c>
      <c r="AH2936" s="12">
        <f>IF($J2936=0,0,ROUND(MAX($J2936*1.4*1.5*1.6*1.6*2.2*2.715*2.6*1.4*1.4*1.5*1.5*3.2,60500000000*(1.654288^(MIN($E2936,123)-117)))*1,0))</f>
        <v>144019713</v>
      </c>
    </row>
    <row r="2937" ht="28" customHeight="1" spans="1:34" x14ac:dyDescent="0.25">
      <c r="A2937">
        <v>2947</v>
      </c>
      <c r="B2937" t="s">
        <v>1661</v>
      </c>
      <c r="C2937" s="10" t="s">
        <v>1650</v>
      </c>
      <c r="D2937" t="s">
        <v>102</v>
      </c>
      <c r="E2937">
        <v>105</v>
      </c>
      <c r="F2937" t="s">
        <v>54</v>
      </c>
      <c r="G2937" t="s">
        <v>562</v>
      </c>
      <c r="H2937">
        <v>22</v>
      </c>
      <c r="I2937" s="11">
        <f>$E2937+0</f>
        <v>105</v>
      </c>
      <c r="J2937" s="12">
        <v>12300</v>
      </c>
      <c r="K2937" s="13">
        <f>$E2937+1</f>
        <v>106</v>
      </c>
      <c r="L2937" s="14">
        <f>IF($J2937=0,0,ROUND(MAX($J2937*1.4,1620000*(1.497923^(MIN($E2937,123)-117)))*1,0))</f>
        <v>17220</v>
      </c>
      <c r="M2937" s="11">
        <f>$E2937+2</f>
        <v>107</v>
      </c>
      <c r="N2937" s="12">
        <f>IF($J2937=0,0,ROUND(MAX($J2937*1.4*1.5,2190000*(1.580994^(MIN($E2937,123)-117)))*1,0))</f>
        <v>25830</v>
      </c>
      <c r="O2937" s="13">
        <f>$E2937+4</f>
        <v>109</v>
      </c>
      <c r="P2937" s="14">
        <f>IF($J2937=0,0,ROUND(MAX($J2937*1.4*1.5*1.6,3500000*(1.57975^(MIN($E2937,123)-117)))*1,0))</f>
        <v>41328</v>
      </c>
      <c r="Q2937" s="11">
        <f>$E2937+6</f>
        <v>111</v>
      </c>
      <c r="R2937" s="12">
        <f>IF($J2937=0,0,ROUND(MAX($J2937*1.4*1.5*1.6*1.6,13100000*(1.429962^(MIN($E2937,123)-117)))*1,0))</f>
        <v>179216</v>
      </c>
      <c r="S2937" s="13">
        <f>$E2937+8</f>
        <v>113</v>
      </c>
      <c r="T2937" s="14">
        <f>IF($J2937=0,0,ROUND(MAX($J2937*1.4*1.5*1.6*1.6*2.2,42600000*(1.576904^(MIN($E2937,123)-117)))*1,0))</f>
        <v>180197</v>
      </c>
      <c r="U2937" s="11">
        <f>$E2937+11</f>
        <v>116</v>
      </c>
      <c r="V2937" s="12">
        <f>IF($J2937=0,0,ROUND(MAX($J2937*1.4*1.5*1.6*1.6*2.2*2.715,354000000*(1.642074^(MIN($E2937,123)-117)))*1,0))</f>
        <v>921066</v>
      </c>
      <c r="W2937" s="13">
        <f>$E2937+15</f>
        <v>120</v>
      </c>
      <c r="X2937" s="14">
        <f>IF($J2937=0,0,ROUND(MAX($J2937*1.4*1.5*1.6*1.6*2.2*2.715*2.6,3540000000*(1.579646^(MIN($E2937,123)-117)))*1,0))</f>
        <v>14665133</v>
      </c>
      <c r="Y2937" s="11">
        <f>$E2937+17</f>
        <v>122</v>
      </c>
      <c r="Z2937" s="12">
        <f>IF($J2937=0,0,ROUND(MAX($J2937*1.4*1.5*1.6*1.6*2.2*2.715*2.6*1.4,6020000000*(1.651178^(MIN($E2937,123)-117)))*1,0))</f>
        <v>14657833</v>
      </c>
      <c r="AA2937" s="13">
        <f>$E2937+19</f>
        <v>124</v>
      </c>
      <c r="AB2937" s="14">
        <f>IF($J2937=0,0,ROUND(MAX($J2937*1.4*1.5*1.6*1.6*2.2*2.715*2.6*1.4*1.4,8430000000*(1.651435^(MIN($E2937,123)-117)))*1,0))</f>
        <v>20487537</v>
      </c>
      <c r="AC2937" s="11">
        <f>$E2937+21</f>
        <v>126</v>
      </c>
      <c r="AD2937" s="12">
        <f>IF($J2937=0,0,ROUND(MAX($J2937*1.4*1.5*1.6*1.6*2.2*2.715*2.6*1.4*1.4*1.5,12600000000*(1.652953^(MIN($E2937,123)-117)))*1,0))</f>
        <v>30286179</v>
      </c>
      <c r="AE2937" s="13">
        <f>$E2937+24</f>
        <v>129</v>
      </c>
      <c r="AF2937" s="14">
        <f>IF($J2937=0,0,ROUND(MAX($J2937*1.4*1.5*1.6*1.6*2.2*2.715*2.6*1.4*1.4*1.5*1.5,18900000000*(1.65331^(MIN($E2937,123)-117)))*1,0))</f>
        <v>45311693</v>
      </c>
      <c r="AG2937" s="11">
        <f>$E2937+27</f>
        <v>132</v>
      </c>
      <c r="AH2937" s="12">
        <f>IF($J2937=0,0,ROUND(MAX($J2937*1.4*1.5*1.6*1.6*2.2*2.715*2.6*1.4*1.4*1.5*1.5*3.2,60500000000*(1.654288^(MIN($E2937,123)-117)))*1,0))</f>
        <v>144019713</v>
      </c>
    </row>
    <row r="2938" ht="28" customHeight="1" spans="1:34" x14ac:dyDescent="0.25">
      <c r="A2938">
        <v>2948</v>
      </c>
      <c r="B2938" t="s">
        <v>1662</v>
      </c>
      <c r="C2938" s="10" t="s">
        <v>1650</v>
      </c>
      <c r="D2938" t="s">
        <v>102</v>
      </c>
      <c r="E2938">
        <v>104</v>
      </c>
      <c r="F2938" t="s">
        <v>54</v>
      </c>
      <c r="G2938" t="s">
        <v>562</v>
      </c>
      <c r="H2938">
        <v>23</v>
      </c>
      <c r="I2938" s="11">
        <f>$E2938+0</f>
        <v>104</v>
      </c>
      <c r="J2938" s="12">
        <v>18300</v>
      </c>
      <c r="K2938" s="13">
        <f>$E2938+1</f>
        <v>105</v>
      </c>
      <c r="L2938" s="14">
        <f>IF($J2938=0,0,ROUND(MAX($J2938*1.4,1620000*(1.497923^(MIN($E2938,123)-117)))*1,0))</f>
        <v>25620</v>
      </c>
      <c r="M2938" s="11">
        <f>$E2938+2</f>
        <v>106</v>
      </c>
      <c r="N2938" s="12">
        <f>IF($J2938=0,0,ROUND(MAX($J2938*1.4*1.5,2190000*(1.580994^(MIN($E2938,123)-117)))*1,0))</f>
        <v>38430</v>
      </c>
      <c r="O2938" s="13">
        <f>$E2938+4</f>
        <v>108</v>
      </c>
      <c r="P2938" s="14">
        <f>IF($J2938=0,0,ROUND(MAX($J2938*1.4*1.5*1.6,3500000*(1.57975^(MIN($E2938,123)-117)))*1,0))</f>
        <v>61488</v>
      </c>
      <c r="Q2938" s="11">
        <f>$E2938+6</f>
        <v>110</v>
      </c>
      <c r="R2938" s="12">
        <f>IF($J2938=0,0,ROUND(MAX($J2938*1.4*1.5*1.6*1.6,13100000*(1.429962^(MIN($E2938,123)-117)))*1,0))</f>
        <v>125329</v>
      </c>
      <c r="S2938" s="13">
        <f>$E2938+8</f>
        <v>112</v>
      </c>
      <c r="T2938" s="14">
        <f>IF($J2938=0,0,ROUND(MAX($J2938*1.4*1.5*1.6*1.6*2.2,42600000*(1.576904^(MIN($E2938,123)-117)))*1,0))</f>
        <v>216438</v>
      </c>
      <c r="U2938" s="11">
        <f>$E2938+11</f>
        <v>115</v>
      </c>
      <c r="V2938" s="12">
        <f>IF($J2938=0,0,ROUND(MAX($J2938*1.4*1.5*1.6*1.6*2.2*2.715,354000000*(1.642074^(MIN($E2938,123)-117)))*1,0))</f>
        <v>587629</v>
      </c>
      <c r="W2938" s="13">
        <f>$E2938+15</f>
        <v>119</v>
      </c>
      <c r="X2938" s="14">
        <f>IF($J2938=0,0,ROUND(MAX($J2938*1.4*1.5*1.6*1.6*2.2*2.715*2.6,3540000000*(1.579646^(MIN($E2938,123)-117)))*1,0))</f>
        <v>9283810</v>
      </c>
      <c r="Y2938" s="11">
        <f>$E2938+17</f>
        <v>121</v>
      </c>
      <c r="Z2938" s="12">
        <f>IF($J2938=0,0,ROUND(MAX($J2938*1.4*1.5*1.6*1.6*2.2*2.715*2.6*1.4,6020000000*(1.651178^(MIN($E2938,123)-117)))*1,0))</f>
        <v>8877197</v>
      </c>
      <c r="AA2938" s="13">
        <f>$E2938+19</f>
        <v>123</v>
      </c>
      <c r="AB2938" s="14">
        <f>IF($J2938=0,0,ROUND(MAX($J2938*1.4*1.5*1.6*1.6*2.2*2.715*2.6*1.4*1.4,8430000000*(1.651435^(MIN($E2938,123)-117)))*1,0))</f>
        <v>12405900</v>
      </c>
      <c r="AC2938" s="11">
        <f>$E2938+21</f>
        <v>125</v>
      </c>
      <c r="AD2938" s="12">
        <f>IF($J2938=0,0,ROUND(MAX($J2938*1.4*1.5*1.6*1.6*2.2*2.715*2.6*1.4*1.4*1.5,12600000000*(1.652953^(MIN($E2938,123)-117)))*1,0))</f>
        <v>18322468</v>
      </c>
      <c r="AE2938" s="13">
        <f>$E2938+24</f>
        <v>128</v>
      </c>
      <c r="AF2938" s="14">
        <f>IF($J2938=0,0,ROUND(MAX($J2938*1.4*1.5*1.6*1.6*2.2*2.715*2.6*1.4*1.4*1.5*1.5,18900000000*(1.65331^(MIN($E2938,123)-117)))*1,0))</f>
        <v>27406653</v>
      </c>
      <c r="AG2938" s="11">
        <f>$E2938+27</f>
        <v>131</v>
      </c>
      <c r="AH2938" s="12">
        <f>IF($J2938=0,0,ROUND(MAX($J2938*1.4*1.5*1.6*1.6*2.2*2.715*2.6*1.4*1.4*1.5*1.5*3.2,60500000000*(1.654288^(MIN($E2938,123)-117)))*1,0))</f>
        <v>87058428</v>
      </c>
    </row>
    <row r="2939" ht="28" customHeight="1" spans="1:34" x14ac:dyDescent="0.25">
      <c r="A2939">
        <v>2949</v>
      </c>
      <c r="B2939" t="s">
        <v>1663</v>
      </c>
      <c r="C2939" s="10" t="s">
        <v>1650</v>
      </c>
      <c r="D2939" t="s">
        <v>45</v>
      </c>
      <c r="E2939">
        <v>104</v>
      </c>
      <c r="F2939" t="s">
        <v>59</v>
      </c>
      <c r="G2939" t="s">
        <v>429</v>
      </c>
      <c r="H2939">
        <v>23</v>
      </c>
      <c r="I2939" s="11">
        <f>$E2939+0</f>
        <v>104</v>
      </c>
      <c r="J2939" s="12">
        <v>24000</v>
      </c>
      <c r="K2939" s="13">
        <f>$E2939+1</f>
        <v>105</v>
      </c>
      <c r="L2939" s="14">
        <f>IF($J2939=0,0,ROUND(MAX($J2939*1.4,1620000*(1.497923^(MIN($E2939,123)-117)))*1,0))</f>
        <v>33600</v>
      </c>
      <c r="M2939" s="11">
        <f>$E2939+2</f>
        <v>106</v>
      </c>
      <c r="N2939" s="12">
        <f>IF($J2939=0,0,ROUND(MAX($J2939*1.4*1.5,2190000*(1.580994^(MIN($E2939,123)-117)))*1,0))</f>
        <v>50400</v>
      </c>
      <c r="O2939" s="13">
        <f>$E2939+4</f>
        <v>108</v>
      </c>
      <c r="P2939" s="14">
        <f>IF($J2939=0,0,ROUND(MAX($J2939*1.4*1.5*1.6,3500000*(1.57975^(MIN($E2939,123)-117)))*1,0))</f>
        <v>80640</v>
      </c>
      <c r="Q2939" s="11">
        <f>$E2939+6</f>
        <v>110</v>
      </c>
      <c r="R2939" s="12">
        <f>IF($J2939=0,0,ROUND(MAX($J2939*1.4*1.5*1.6*1.6,13100000*(1.429962^(MIN($E2939,123)-117)))*1,0))</f>
        <v>129024</v>
      </c>
      <c r="S2939" s="13">
        <f>$E2939+8</f>
        <v>112</v>
      </c>
      <c r="T2939" s="14">
        <f>IF($J2939=0,0,ROUND(MAX($J2939*1.4*1.5*1.6*1.6*2.2,42600000*(1.576904^(MIN($E2939,123)-117)))*1,0))</f>
        <v>283853</v>
      </c>
      <c r="U2939" s="11">
        <f>$E2939+11</f>
        <v>115</v>
      </c>
      <c r="V2939" s="12">
        <f>IF($J2939=0,0,ROUND(MAX($J2939*1.4*1.5*1.6*1.6*2.2*2.715,354000000*(1.642074^(MIN($E2939,123)-117)))*1,0))</f>
        <v>770660</v>
      </c>
      <c r="W2939" s="13">
        <f>$E2939+15</f>
        <v>119</v>
      </c>
      <c r="X2939" s="14">
        <f>IF($J2939=0,0,ROUND(MAX($J2939*1.4*1.5*1.6*1.6*2.2*2.715*2.6,3540000000*(1.579646^(MIN($E2939,123)-117)))*1,0))</f>
        <v>9283810</v>
      </c>
      <c r="Y2939" s="11">
        <f>$E2939+17</f>
        <v>121</v>
      </c>
      <c r="Z2939" s="12">
        <f>IF($J2939=0,0,ROUND(MAX($J2939*1.4*1.5*1.6*1.6*2.2*2.715*2.6*1.4,6020000000*(1.651178^(MIN($E2939,123)-117)))*1,0))</f>
        <v>8877197</v>
      </c>
      <c r="AA2939" s="13">
        <f>$E2939+19</f>
        <v>123</v>
      </c>
      <c r="AB2939" s="14">
        <f>IF($J2939=0,0,ROUND(MAX($J2939*1.4*1.5*1.6*1.6*2.2*2.715*2.6*1.4*1.4,8430000000*(1.651435^(MIN($E2939,123)-117)))*1,0))</f>
        <v>12405900</v>
      </c>
      <c r="AC2939" s="11">
        <f>$E2939+21</f>
        <v>125</v>
      </c>
      <c r="AD2939" s="12">
        <f>IF($J2939=0,0,ROUND(MAX($J2939*1.4*1.5*1.6*1.6*2.2*2.715*2.6*1.4*1.4*1.5,12600000000*(1.652953^(MIN($E2939,123)-117)))*1,0))</f>
        <v>18322468</v>
      </c>
      <c r="AE2939" s="13">
        <f>$E2939+24</f>
        <v>128</v>
      </c>
      <c r="AF2939" s="14">
        <f>IF($J2939=0,0,ROUND(MAX($J2939*1.4*1.5*1.6*1.6*2.2*2.715*2.6*1.4*1.4*1.5*1.5,18900000000*(1.65331^(MIN($E2939,123)-117)))*1,0))</f>
        <v>27406653</v>
      </c>
      <c r="AG2939" s="11">
        <f>$E2939+27</f>
        <v>131</v>
      </c>
      <c r="AH2939" s="12">
        <f>IF($J2939=0,0,ROUND(MAX($J2939*1.4*1.5*1.6*1.6*2.2*2.715*2.6*1.4*1.4*1.5*1.5*3.2,60500000000*(1.654288^(MIN($E2939,123)-117)))*1,0))</f>
        <v>87058428</v>
      </c>
    </row>
    <row r="2940" ht="28" customHeight="1" spans="1:34" x14ac:dyDescent="0.25">
      <c r="A2940">
        <v>2950</v>
      </c>
      <c r="B2940" t="s">
        <v>85</v>
      </c>
      <c r="C2940" s="10" t="s">
        <v>1650</v>
      </c>
      <c r="D2940" t="s">
        <v>40</v>
      </c>
      <c r="E2940">
        <v>104</v>
      </c>
      <c r="F2940" t="s">
        <v>56</v>
      </c>
      <c r="G2940" t="s">
        <v>562</v>
      </c>
      <c r="H2940">
        <v>23</v>
      </c>
      <c r="I2940" s="11">
        <f>$E2940+0</f>
        <v>104</v>
      </c>
      <c r="J2940" s="12">
        <v>23300</v>
      </c>
      <c r="K2940" s="13">
        <f>$E2940+1</f>
        <v>105</v>
      </c>
      <c r="L2940" s="14">
        <f>IF($J2940=0,0,ROUND(MAX($J2940*1.4,1620000*(1.497923^(MIN($E2940,123)-117)))*1,0))</f>
        <v>32620</v>
      </c>
      <c r="M2940" s="11">
        <f>$E2940+2</f>
        <v>106</v>
      </c>
      <c r="N2940" s="12">
        <f>IF($J2940=0,0,ROUND(MAX($J2940*1.4*1.5,2190000*(1.580994^(MIN($E2940,123)-117)))*1,0))</f>
        <v>48930</v>
      </c>
      <c r="O2940" s="13">
        <f>$E2940+4</f>
        <v>108</v>
      </c>
      <c r="P2940" s="14">
        <f>IF($J2940=0,0,ROUND(MAX($J2940*1.4*1.5*1.6,3500000*(1.57975^(MIN($E2940,123)-117)))*1,0))</f>
        <v>78288</v>
      </c>
      <c r="Q2940" s="11">
        <f>$E2940+6</f>
        <v>110</v>
      </c>
      <c r="R2940" s="12">
        <f>IF($J2940=0,0,ROUND(MAX($J2940*1.4*1.5*1.6*1.6,13100000*(1.429962^(MIN($E2940,123)-117)))*1,0))</f>
        <v>125329</v>
      </c>
      <c r="S2940" s="13">
        <f>$E2940+8</f>
        <v>112</v>
      </c>
      <c r="T2940" s="14">
        <f>IF($J2940=0,0,ROUND(MAX($J2940*1.4*1.5*1.6*1.6*2.2,42600000*(1.576904^(MIN($E2940,123)-117)))*1,0))</f>
        <v>275574</v>
      </c>
      <c r="U2940" s="11">
        <f>$E2940+11</f>
        <v>115</v>
      </c>
      <c r="V2940" s="12">
        <f>IF($J2940=0,0,ROUND(MAX($J2940*1.4*1.5*1.6*1.6*2.2*2.715,354000000*(1.642074^(MIN($E2940,123)-117)))*1,0))</f>
        <v>748183</v>
      </c>
      <c r="W2940" s="13">
        <f>$E2940+15</f>
        <v>119</v>
      </c>
      <c r="X2940" s="14">
        <f>IF($J2940=0,0,ROUND(MAX($J2940*1.4*1.5*1.6*1.6*2.2*2.715*2.6,3540000000*(1.579646^(MIN($E2940,123)-117)))*1,0))</f>
        <v>9283810</v>
      </c>
      <c r="Y2940" s="11">
        <f>$E2940+17</f>
        <v>121</v>
      </c>
      <c r="Z2940" s="12">
        <f>IF($J2940=0,0,ROUND(MAX($J2940*1.4*1.5*1.6*1.6*2.2*2.715*2.6*1.4,6020000000*(1.651178^(MIN($E2940,123)-117)))*1,0))</f>
        <v>8877197</v>
      </c>
      <c r="AA2940" s="13">
        <f>$E2940+19</f>
        <v>123</v>
      </c>
      <c r="AB2940" s="14">
        <f>IF($J2940=0,0,ROUND(MAX($J2940*1.4*1.5*1.6*1.6*2.2*2.715*2.6*1.4*1.4,8430000000*(1.651435^(MIN($E2940,123)-117)))*1,0))</f>
        <v>12405900</v>
      </c>
      <c r="AC2940" s="11">
        <f>$E2940+21</f>
        <v>125</v>
      </c>
      <c r="AD2940" s="12">
        <f>IF($J2940=0,0,ROUND(MAX($J2940*1.4*1.5*1.6*1.6*2.2*2.715*2.6*1.4*1.4*1.5,12600000000*(1.652953^(MIN($E2940,123)-117)))*1,0))</f>
        <v>18322468</v>
      </c>
      <c r="AE2940" s="13">
        <f>$E2940+24</f>
        <v>128</v>
      </c>
      <c r="AF2940" s="14">
        <f>IF($J2940=0,0,ROUND(MAX($J2940*1.4*1.5*1.6*1.6*2.2*2.715*2.6*1.4*1.4*1.5*1.5,18900000000*(1.65331^(MIN($E2940,123)-117)))*1,0))</f>
        <v>27406653</v>
      </c>
      <c r="AG2940" s="11">
        <f>$E2940+27</f>
        <v>131</v>
      </c>
      <c r="AH2940" s="12">
        <f>IF($J2940=0,0,ROUND(MAX($J2940*1.4*1.5*1.6*1.6*2.2*2.715*2.6*1.4*1.4*1.5*1.5*3.2,60500000000*(1.654288^(MIN($E2940,123)-117)))*1,0))</f>
        <v>87058428</v>
      </c>
    </row>
    <row r="2941" ht="28" customHeight="1" spans="1:34" x14ac:dyDescent="0.25">
      <c r="A2941">
        <v>2951</v>
      </c>
      <c r="B2941" t="s">
        <v>1059</v>
      </c>
      <c r="C2941" s="10" t="s">
        <v>1650</v>
      </c>
      <c r="D2941" t="s">
        <v>45</v>
      </c>
      <c r="E2941">
        <v>104</v>
      </c>
      <c r="F2941" t="s">
        <v>34</v>
      </c>
      <c r="G2941" t="s">
        <v>1013</v>
      </c>
      <c r="H2941">
        <v>22</v>
      </c>
      <c r="I2941" s="11">
        <f>$E2941+0</f>
        <v>104</v>
      </c>
      <c r="J2941" s="12">
        <v>26400</v>
      </c>
      <c r="K2941" s="13">
        <f>$E2941+1</f>
        <v>105</v>
      </c>
      <c r="L2941" s="14">
        <f>IF($J2941=0,0,ROUND(MAX($J2941*1.4,1620000*(1.497923^(MIN($E2941,123)-117)))*1,0))</f>
        <v>36960</v>
      </c>
      <c r="M2941" s="11">
        <f>$E2941+2</f>
        <v>106</v>
      </c>
      <c r="N2941" s="12">
        <f>IF($J2941=0,0,ROUND(MAX($J2941*1.4*1.5,2190000*(1.580994^(MIN($E2941,123)-117)))*1,0))</f>
        <v>55440</v>
      </c>
      <c r="O2941" s="13">
        <f>$E2941+4</f>
        <v>108</v>
      </c>
      <c r="P2941" s="14">
        <f>IF($J2941=0,0,ROUND(MAX($J2941*1.4*1.5*1.6,3500000*(1.57975^(MIN($E2941,123)-117)))*1,0))</f>
        <v>88704</v>
      </c>
      <c r="Q2941" s="11">
        <f>$E2941+6</f>
        <v>110</v>
      </c>
      <c r="R2941" s="12">
        <f>IF($J2941=0,0,ROUND(MAX($J2941*1.4*1.5*1.6*1.6,13100000*(1.429962^(MIN($E2941,123)-117)))*1,0))</f>
        <v>141926</v>
      </c>
      <c r="S2941" s="13">
        <f>$E2941+8</f>
        <v>112</v>
      </c>
      <c r="T2941" s="14">
        <f>IF($J2941=0,0,ROUND(MAX($J2941*1.4*1.5*1.6*1.6*2.2,42600000*(1.576904^(MIN($E2941,123)-117)))*1,0))</f>
        <v>312238</v>
      </c>
      <c r="U2941" s="11">
        <f>$E2941+11</f>
        <v>115</v>
      </c>
      <c r="V2941" s="12">
        <f>IF($J2941=0,0,ROUND(MAX($J2941*1.4*1.5*1.6*1.6*2.2*2.715,354000000*(1.642074^(MIN($E2941,123)-117)))*1,0))</f>
        <v>847726</v>
      </c>
      <c r="W2941" s="13">
        <f>$E2941+15</f>
        <v>119</v>
      </c>
      <c r="X2941" s="14">
        <f>IF($J2941=0,0,ROUND(MAX($J2941*1.4*1.5*1.6*1.6*2.2*2.715*2.6,3540000000*(1.579646^(MIN($E2941,123)-117)))*1,0))</f>
        <v>9283810</v>
      </c>
      <c r="Y2941" s="11">
        <f>$E2941+17</f>
        <v>121</v>
      </c>
      <c r="Z2941" s="12">
        <f>IF($J2941=0,0,ROUND(MAX($J2941*1.4*1.5*1.6*1.6*2.2*2.715*2.6*1.4,6020000000*(1.651178^(MIN($E2941,123)-117)))*1,0))</f>
        <v>8877197</v>
      </c>
      <c r="AA2941" s="13">
        <f>$E2941+19</f>
        <v>123</v>
      </c>
      <c r="AB2941" s="14">
        <f>IF($J2941=0,0,ROUND(MAX($J2941*1.4*1.5*1.6*1.6*2.2*2.715*2.6*1.4*1.4,8430000000*(1.651435^(MIN($E2941,123)-117)))*1,0))</f>
        <v>12405900</v>
      </c>
      <c r="AC2941" s="11">
        <f>$E2941+21</f>
        <v>125</v>
      </c>
      <c r="AD2941" s="12">
        <f>IF($J2941=0,0,ROUND(MAX($J2941*1.4*1.5*1.6*1.6*2.2*2.715*2.6*1.4*1.4*1.5,12600000000*(1.652953^(MIN($E2941,123)-117)))*1,0))</f>
        <v>18322468</v>
      </c>
      <c r="AE2941" s="13">
        <f>$E2941+24</f>
        <v>128</v>
      </c>
      <c r="AF2941" s="14">
        <f>IF($J2941=0,0,ROUND(MAX($J2941*1.4*1.5*1.6*1.6*2.2*2.715*2.6*1.4*1.4*1.5*1.5,18900000000*(1.65331^(MIN($E2941,123)-117)))*1,0))</f>
        <v>27406653</v>
      </c>
      <c r="AG2941" s="11">
        <f>$E2941+27</f>
        <v>131</v>
      </c>
      <c r="AH2941" s="12">
        <f>IF($J2941=0,0,ROUND(MAX($J2941*1.4*1.5*1.6*1.6*2.2*2.715*2.6*1.4*1.4*1.5*1.5*3.2,60500000000*(1.654288^(MIN($E2941,123)-117)))*1,0))</f>
        <v>87058428</v>
      </c>
    </row>
    <row r="2942" ht="28" customHeight="1" spans="1:34" x14ac:dyDescent="0.25">
      <c r="A2942">
        <v>2952</v>
      </c>
      <c r="B2942" t="s">
        <v>1297</v>
      </c>
      <c r="C2942" s="10" t="s">
        <v>1650</v>
      </c>
      <c r="D2942" t="s">
        <v>165</v>
      </c>
      <c r="E2942">
        <v>104</v>
      </c>
      <c r="F2942" t="s">
        <v>56</v>
      </c>
      <c r="G2942" t="s">
        <v>86</v>
      </c>
      <c r="H2942">
        <v>23</v>
      </c>
      <c r="I2942" s="11">
        <f>$E2942+0</f>
        <v>104</v>
      </c>
      <c r="J2942" s="12">
        <v>32700</v>
      </c>
      <c r="K2942" s="13">
        <f>$E2942+1</f>
        <v>105</v>
      </c>
      <c r="L2942" s="14">
        <f>IF($J2942=0,0,ROUND(MAX($J2942*1.4,1620000*(1.497923^(MIN($E2942,123)-117)))*1,0))</f>
        <v>45780</v>
      </c>
      <c r="M2942" s="11">
        <f>$E2942+2</f>
        <v>106</v>
      </c>
      <c r="N2942" s="12">
        <f>IF($J2942=0,0,ROUND(MAX($J2942*1.4*1.5,2190000*(1.580994^(MIN($E2942,123)-117)))*1,0))</f>
        <v>68670</v>
      </c>
      <c r="O2942" s="13">
        <f>$E2942+4</f>
        <v>108</v>
      </c>
      <c r="P2942" s="14">
        <f>IF($J2942=0,0,ROUND(MAX($J2942*1.4*1.5*1.6,3500000*(1.57975^(MIN($E2942,123)-117)))*1,0))</f>
        <v>109872</v>
      </c>
      <c r="Q2942" s="11">
        <f>$E2942+6</f>
        <v>110</v>
      </c>
      <c r="R2942" s="12">
        <f>IF($J2942=0,0,ROUND(MAX($J2942*1.4*1.5*1.6*1.6,13100000*(1.429962^(MIN($E2942,123)-117)))*1,0))</f>
        <v>175795</v>
      </c>
      <c r="S2942" s="13">
        <f>$E2942+8</f>
        <v>112</v>
      </c>
      <c r="T2942" s="14">
        <f>IF($J2942=0,0,ROUND(MAX($J2942*1.4*1.5*1.6*1.6*2.2,42600000*(1.576904^(MIN($E2942,123)-117)))*1,0))</f>
        <v>386749</v>
      </c>
      <c r="U2942" s="11">
        <f>$E2942+11</f>
        <v>115</v>
      </c>
      <c r="V2942" s="12">
        <f>IF($J2942=0,0,ROUND(MAX($J2942*1.4*1.5*1.6*1.6*2.2*2.715,354000000*(1.642074^(MIN($E2942,123)-117)))*1,0))</f>
        <v>1050025</v>
      </c>
      <c r="W2942" s="13">
        <f>$E2942+15</f>
        <v>119</v>
      </c>
      <c r="X2942" s="14">
        <f>IF($J2942=0,0,ROUND(MAX($J2942*1.4*1.5*1.6*1.6*2.2*2.715*2.6,3540000000*(1.579646^(MIN($E2942,123)-117)))*1,0))</f>
        <v>9283810</v>
      </c>
      <c r="Y2942" s="11">
        <f>$E2942+17</f>
        <v>121</v>
      </c>
      <c r="Z2942" s="12">
        <f>IF($J2942=0,0,ROUND(MAX($J2942*1.4*1.5*1.6*1.6*2.2*2.715*2.6*1.4,6020000000*(1.651178^(MIN($E2942,123)-117)))*1,0))</f>
        <v>8877197</v>
      </c>
      <c r="AA2942" s="13">
        <f>$E2942+19</f>
        <v>123</v>
      </c>
      <c r="AB2942" s="14">
        <f>IF($J2942=0,0,ROUND(MAX($J2942*1.4*1.5*1.6*1.6*2.2*2.715*2.6*1.4*1.4,8430000000*(1.651435^(MIN($E2942,123)-117)))*1,0))</f>
        <v>12405900</v>
      </c>
      <c r="AC2942" s="11">
        <f>$E2942+21</f>
        <v>125</v>
      </c>
      <c r="AD2942" s="12">
        <f>IF($J2942=0,0,ROUND(MAX($J2942*1.4*1.5*1.6*1.6*2.2*2.715*2.6*1.4*1.4*1.5,12600000000*(1.652953^(MIN($E2942,123)-117)))*1,0))</f>
        <v>18322468</v>
      </c>
      <c r="AE2942" s="13">
        <f>$E2942+24</f>
        <v>128</v>
      </c>
      <c r="AF2942" s="14">
        <f>IF($J2942=0,0,ROUND(MAX($J2942*1.4*1.5*1.6*1.6*2.2*2.715*2.6*1.4*1.4*1.5*1.5,18900000000*(1.65331^(MIN($E2942,123)-117)))*1,0))</f>
        <v>27406653</v>
      </c>
      <c r="AG2942" s="11">
        <f>$E2942+27</f>
        <v>131</v>
      </c>
      <c r="AH2942" s="12">
        <f>IF($J2942=0,0,ROUND(MAX($J2942*1.4*1.5*1.6*1.6*2.2*2.715*2.6*1.4*1.4*1.5*1.5*3.2,60500000000*(1.654288^(MIN($E2942,123)-117)))*1,0))</f>
        <v>87058428</v>
      </c>
    </row>
    <row r="2943" ht="28" customHeight="1" spans="1:34" x14ac:dyDescent="0.25">
      <c r="A2943">
        <v>2953</v>
      </c>
      <c r="B2943" t="s">
        <v>324</v>
      </c>
      <c r="C2943" s="10" t="s">
        <v>1650</v>
      </c>
      <c r="D2943" t="s">
        <v>102</v>
      </c>
      <c r="E2943">
        <v>104</v>
      </c>
      <c r="F2943" t="s">
        <v>136</v>
      </c>
      <c r="G2943" t="s">
        <v>27</v>
      </c>
      <c r="H2943">
        <v>22</v>
      </c>
      <c r="I2943" s="11">
        <f>$E2943+0</f>
        <v>104</v>
      </c>
      <c r="J2943" s="12">
        <v>21800</v>
      </c>
      <c r="K2943" s="13">
        <f>$E2943+1</f>
        <v>105</v>
      </c>
      <c r="L2943" s="14">
        <f>IF($J2943=0,0,ROUND(MAX($J2943*1.4,1620000*(1.497923^(MIN($E2943,123)-117)))*1,0))</f>
        <v>30520</v>
      </c>
      <c r="M2943" s="11">
        <f>$E2943+2</f>
        <v>106</v>
      </c>
      <c r="N2943" s="12">
        <f>IF($J2943=0,0,ROUND(MAX($J2943*1.4*1.5,2190000*(1.580994^(MIN($E2943,123)-117)))*1,0))</f>
        <v>45780</v>
      </c>
      <c r="O2943" s="13">
        <f>$E2943+4</f>
        <v>108</v>
      </c>
      <c r="P2943" s="14">
        <f>IF($J2943=0,0,ROUND(MAX($J2943*1.4*1.5*1.6,3500000*(1.57975^(MIN($E2943,123)-117)))*1,0))</f>
        <v>73248</v>
      </c>
      <c r="Q2943" s="11">
        <f>$E2943+6</f>
        <v>110</v>
      </c>
      <c r="R2943" s="12">
        <f>IF($J2943=0,0,ROUND(MAX($J2943*1.4*1.5*1.6*1.6,13100000*(1.429962^(MIN($E2943,123)-117)))*1,0))</f>
        <v>125329</v>
      </c>
      <c r="S2943" s="13">
        <f>$E2943+8</f>
        <v>112</v>
      </c>
      <c r="T2943" s="14">
        <f>IF($J2943=0,0,ROUND(MAX($J2943*1.4*1.5*1.6*1.6*2.2,42600000*(1.576904^(MIN($E2943,123)-117)))*1,0))</f>
        <v>257833</v>
      </c>
      <c r="U2943" s="11">
        <f>$E2943+11</f>
        <v>115</v>
      </c>
      <c r="V2943" s="12">
        <f>IF($J2943=0,0,ROUND(MAX($J2943*1.4*1.5*1.6*1.6*2.2*2.715,354000000*(1.642074^(MIN($E2943,123)-117)))*1,0))</f>
        <v>700016</v>
      </c>
      <c r="W2943" s="13">
        <f>$E2943+15</f>
        <v>119</v>
      </c>
      <c r="X2943" s="14">
        <f>IF($J2943=0,0,ROUND(MAX($J2943*1.4*1.5*1.6*1.6*2.2*2.715*2.6,3540000000*(1.579646^(MIN($E2943,123)-117)))*1,0))</f>
        <v>9283810</v>
      </c>
      <c r="Y2943" s="11">
        <f>$E2943+17</f>
        <v>121</v>
      </c>
      <c r="Z2943" s="12">
        <f>IF($J2943=0,0,ROUND(MAX($J2943*1.4*1.5*1.6*1.6*2.2*2.715*2.6*1.4,6020000000*(1.651178^(MIN($E2943,123)-117)))*1,0))</f>
        <v>8877197</v>
      </c>
      <c r="AA2943" s="13">
        <f>$E2943+19</f>
        <v>123</v>
      </c>
      <c r="AB2943" s="14">
        <f>IF($J2943=0,0,ROUND(MAX($J2943*1.4*1.5*1.6*1.6*2.2*2.715*2.6*1.4*1.4,8430000000*(1.651435^(MIN($E2943,123)-117)))*1,0))</f>
        <v>12405900</v>
      </c>
      <c r="AC2943" s="11">
        <f>$E2943+21</f>
        <v>125</v>
      </c>
      <c r="AD2943" s="12">
        <f>IF($J2943=0,0,ROUND(MAX($J2943*1.4*1.5*1.6*1.6*2.2*2.715*2.6*1.4*1.4*1.5,12600000000*(1.652953^(MIN($E2943,123)-117)))*1,0))</f>
        <v>18322468</v>
      </c>
      <c r="AE2943" s="13">
        <f>$E2943+24</f>
        <v>128</v>
      </c>
      <c r="AF2943" s="14">
        <f>IF($J2943=0,0,ROUND(MAX($J2943*1.4*1.5*1.6*1.6*2.2*2.715*2.6*1.4*1.4*1.5*1.5,18900000000*(1.65331^(MIN($E2943,123)-117)))*1,0))</f>
        <v>27406653</v>
      </c>
      <c r="AG2943" s="11">
        <f>$E2943+27</f>
        <v>131</v>
      </c>
      <c r="AH2943" s="12">
        <f>IF($J2943=0,0,ROUND(MAX($J2943*1.4*1.5*1.6*1.6*2.2*2.715*2.6*1.4*1.4*1.5*1.5*3.2,60500000000*(1.654288^(MIN($E2943,123)-117)))*1,0))</f>
        <v>87058428</v>
      </c>
    </row>
    <row r="2944" ht="28" customHeight="1" spans="1:34" x14ac:dyDescent="0.25">
      <c r="A2944">
        <v>2954</v>
      </c>
      <c r="B2944" t="s">
        <v>1664</v>
      </c>
      <c r="C2944" s="10" t="s">
        <v>1650</v>
      </c>
      <c r="D2944" t="s">
        <v>45</v>
      </c>
      <c r="E2944">
        <v>104</v>
      </c>
      <c r="F2944" t="s">
        <v>54</v>
      </c>
      <c r="G2944" t="s">
        <v>472</v>
      </c>
      <c r="H2944">
        <v>22</v>
      </c>
      <c r="I2944" s="11">
        <f>$E2944+0</f>
        <v>104</v>
      </c>
      <c r="J2944" s="12">
        <v>25100</v>
      </c>
      <c r="K2944" s="13">
        <f>$E2944+1</f>
        <v>105</v>
      </c>
      <c r="L2944" s="14">
        <f>IF($J2944=0,0,ROUND(MAX($J2944*1.4,1620000*(1.497923^(MIN($E2944,123)-117)))*1,0))</f>
        <v>35140</v>
      </c>
      <c r="M2944" s="11">
        <f>$E2944+2</f>
        <v>106</v>
      </c>
      <c r="N2944" s="12">
        <f>IF($J2944=0,0,ROUND(MAX($J2944*1.4*1.5,2190000*(1.580994^(MIN($E2944,123)-117)))*1,0))</f>
        <v>52710</v>
      </c>
      <c r="O2944" s="13">
        <f>$E2944+4</f>
        <v>108</v>
      </c>
      <c r="P2944" s="14">
        <f>IF($J2944=0,0,ROUND(MAX($J2944*1.4*1.5*1.6,3500000*(1.57975^(MIN($E2944,123)-117)))*1,0))</f>
        <v>84336</v>
      </c>
      <c r="Q2944" s="11">
        <f>$E2944+6</f>
        <v>110</v>
      </c>
      <c r="R2944" s="12">
        <f>IF($J2944=0,0,ROUND(MAX($J2944*1.4*1.5*1.6*1.6,13100000*(1.429962^(MIN($E2944,123)-117)))*1,0))</f>
        <v>134938</v>
      </c>
      <c r="S2944" s="13">
        <f>$E2944+8</f>
        <v>112</v>
      </c>
      <c r="T2944" s="14">
        <f>IF($J2944=0,0,ROUND(MAX($J2944*1.4*1.5*1.6*1.6*2.2,42600000*(1.576904^(MIN($E2944,123)-117)))*1,0))</f>
        <v>296863</v>
      </c>
      <c r="U2944" s="11">
        <f>$E2944+11</f>
        <v>115</v>
      </c>
      <c r="V2944" s="12">
        <f>IF($J2944=0,0,ROUND(MAX($J2944*1.4*1.5*1.6*1.6*2.2*2.715,354000000*(1.642074^(MIN($E2944,123)-117)))*1,0))</f>
        <v>805982</v>
      </c>
      <c r="W2944" s="13">
        <f>$E2944+15</f>
        <v>119</v>
      </c>
      <c r="X2944" s="14">
        <f>IF($J2944=0,0,ROUND(MAX($J2944*1.4*1.5*1.6*1.6*2.2*2.715*2.6,3540000000*(1.579646^(MIN($E2944,123)-117)))*1,0))</f>
        <v>9283810</v>
      </c>
      <c r="Y2944" s="11">
        <f>$E2944+17</f>
        <v>121</v>
      </c>
      <c r="Z2944" s="12">
        <f>IF($J2944=0,0,ROUND(MAX($J2944*1.4*1.5*1.6*1.6*2.2*2.715*2.6*1.4,6020000000*(1.651178^(MIN($E2944,123)-117)))*1,0))</f>
        <v>8877197</v>
      </c>
      <c r="AA2944" s="13">
        <f>$E2944+19</f>
        <v>123</v>
      </c>
      <c r="AB2944" s="14">
        <f>IF($J2944=0,0,ROUND(MAX($J2944*1.4*1.5*1.6*1.6*2.2*2.715*2.6*1.4*1.4,8430000000*(1.651435^(MIN($E2944,123)-117)))*1,0))</f>
        <v>12405900</v>
      </c>
      <c r="AC2944" s="11">
        <f>$E2944+21</f>
        <v>125</v>
      </c>
      <c r="AD2944" s="12">
        <f>IF($J2944=0,0,ROUND(MAX($J2944*1.4*1.5*1.6*1.6*2.2*2.715*2.6*1.4*1.4*1.5,12600000000*(1.652953^(MIN($E2944,123)-117)))*1,0))</f>
        <v>18322468</v>
      </c>
      <c r="AE2944" s="13">
        <f>$E2944+24</f>
        <v>128</v>
      </c>
      <c r="AF2944" s="14">
        <f>IF($J2944=0,0,ROUND(MAX($J2944*1.4*1.5*1.6*1.6*2.2*2.715*2.6*1.4*1.4*1.5*1.5,18900000000*(1.65331^(MIN($E2944,123)-117)))*1,0))</f>
        <v>27406653</v>
      </c>
      <c r="AG2944" s="11">
        <f>$E2944+27</f>
        <v>131</v>
      </c>
      <c r="AH2944" s="12">
        <f>IF($J2944=0,0,ROUND(MAX($J2944*1.4*1.5*1.6*1.6*2.2*2.715*2.6*1.4*1.4*1.5*1.5*3.2,60500000000*(1.654288^(MIN($E2944,123)-117)))*1,0))</f>
        <v>87058428</v>
      </c>
    </row>
    <row r="2945" ht="28" customHeight="1" spans="1:34" x14ac:dyDescent="0.25">
      <c r="A2945">
        <v>2955</v>
      </c>
      <c r="B2945" t="s">
        <v>1665</v>
      </c>
      <c r="C2945" s="10" t="s">
        <v>1650</v>
      </c>
      <c r="D2945" t="s">
        <v>90</v>
      </c>
      <c r="E2945">
        <v>104</v>
      </c>
      <c r="F2945" t="s">
        <v>62</v>
      </c>
      <c r="G2945" t="s">
        <v>561</v>
      </c>
      <c r="H2945">
        <v>22</v>
      </c>
      <c r="I2945" s="11">
        <f>$E2945+0</f>
        <v>104</v>
      </c>
      <c r="J2945" s="12">
        <v>24000</v>
      </c>
      <c r="K2945" s="13">
        <f>$E2945+1</f>
        <v>105</v>
      </c>
      <c r="L2945" s="14">
        <f>IF($J2945=0,0,ROUND(MAX($J2945*1.4,1620000*(1.497923^(MIN($E2945,123)-117)))*1,0))</f>
        <v>33600</v>
      </c>
      <c r="M2945" s="11">
        <f>$E2945+2</f>
        <v>106</v>
      </c>
      <c r="N2945" s="12">
        <f>IF($J2945=0,0,ROUND(MAX($J2945*1.4*1.5,2190000*(1.580994^(MIN($E2945,123)-117)))*1,0))</f>
        <v>50400</v>
      </c>
      <c r="O2945" s="13">
        <f>$E2945+4</f>
        <v>108</v>
      </c>
      <c r="P2945" s="14">
        <f>IF($J2945=0,0,ROUND(MAX($J2945*1.4*1.5*1.6,3500000*(1.57975^(MIN($E2945,123)-117)))*1,0))</f>
        <v>80640</v>
      </c>
      <c r="Q2945" s="11">
        <f>$E2945+6</f>
        <v>110</v>
      </c>
      <c r="R2945" s="12">
        <f>IF($J2945=0,0,ROUND(MAX($J2945*1.4*1.5*1.6*1.6,13100000*(1.429962^(MIN($E2945,123)-117)))*1,0))</f>
        <v>129024</v>
      </c>
      <c r="S2945" s="13">
        <f>$E2945+8</f>
        <v>112</v>
      </c>
      <c r="T2945" s="14">
        <f>IF($J2945=0,0,ROUND(MAX($J2945*1.4*1.5*1.6*1.6*2.2,42600000*(1.576904^(MIN($E2945,123)-117)))*1,0))</f>
        <v>283853</v>
      </c>
      <c r="U2945" s="11">
        <f>$E2945+11</f>
        <v>115</v>
      </c>
      <c r="V2945" s="12">
        <f>IF($J2945=0,0,ROUND(MAX($J2945*1.4*1.5*1.6*1.6*2.2*2.715,354000000*(1.642074^(MIN($E2945,123)-117)))*1,0))</f>
        <v>770660</v>
      </c>
      <c r="W2945" s="13">
        <f>$E2945+15</f>
        <v>119</v>
      </c>
      <c r="X2945" s="14">
        <f>IF($J2945=0,0,ROUND(MAX($J2945*1.4*1.5*1.6*1.6*2.2*2.715*2.6,3540000000*(1.579646^(MIN($E2945,123)-117)))*1,0))</f>
        <v>9283810</v>
      </c>
      <c r="Y2945" s="11">
        <f>$E2945+17</f>
        <v>121</v>
      </c>
      <c r="Z2945" s="12">
        <f>IF($J2945=0,0,ROUND(MAX($J2945*1.4*1.5*1.6*1.6*2.2*2.715*2.6*1.4,6020000000*(1.651178^(MIN($E2945,123)-117)))*1,0))</f>
        <v>8877197</v>
      </c>
      <c r="AA2945" s="13">
        <f>$E2945+19</f>
        <v>123</v>
      </c>
      <c r="AB2945" s="14">
        <f>IF($J2945=0,0,ROUND(MAX($J2945*1.4*1.5*1.6*1.6*2.2*2.715*2.6*1.4*1.4,8430000000*(1.651435^(MIN($E2945,123)-117)))*1,0))</f>
        <v>12405900</v>
      </c>
      <c r="AC2945" s="11">
        <f>$E2945+21</f>
        <v>125</v>
      </c>
      <c r="AD2945" s="12">
        <f>IF($J2945=0,0,ROUND(MAX($J2945*1.4*1.5*1.6*1.6*2.2*2.715*2.6*1.4*1.4*1.5,12600000000*(1.652953^(MIN($E2945,123)-117)))*1,0))</f>
        <v>18322468</v>
      </c>
      <c r="AE2945" s="13">
        <f>$E2945+24</f>
        <v>128</v>
      </c>
      <c r="AF2945" s="14">
        <f>IF($J2945=0,0,ROUND(MAX($J2945*1.4*1.5*1.6*1.6*2.2*2.715*2.6*1.4*1.4*1.5*1.5,18900000000*(1.65331^(MIN($E2945,123)-117)))*1,0))</f>
        <v>27406653</v>
      </c>
      <c r="AG2945" s="11">
        <f>$E2945+27</f>
        <v>131</v>
      </c>
      <c r="AH2945" s="12">
        <f>IF($J2945=0,0,ROUND(MAX($J2945*1.4*1.5*1.6*1.6*2.2*2.715*2.6*1.4*1.4*1.5*1.5*3.2,60500000000*(1.654288^(MIN($E2945,123)-117)))*1,0))</f>
        <v>87058428</v>
      </c>
    </row>
    <row r="2946" ht="28" customHeight="1" spans="1:34" x14ac:dyDescent="0.25">
      <c r="A2946">
        <v>2956</v>
      </c>
      <c r="B2946" t="s">
        <v>706</v>
      </c>
      <c r="C2946" s="10" t="s">
        <v>1650</v>
      </c>
      <c r="D2946" t="s">
        <v>33</v>
      </c>
      <c r="E2946">
        <v>104</v>
      </c>
      <c r="F2946" t="s">
        <v>34</v>
      </c>
      <c r="G2946" t="s">
        <v>277</v>
      </c>
      <c r="H2946">
        <v>22</v>
      </c>
      <c r="I2946" s="11">
        <f>$E2946+0</f>
        <v>104</v>
      </c>
      <c r="J2946" s="12">
        <v>33600</v>
      </c>
      <c r="K2946" s="13">
        <f>$E2946+1</f>
        <v>105</v>
      </c>
      <c r="L2946" s="14">
        <f>IF($J2946=0,0,ROUND(MAX($J2946*1.4,1620000*(1.497923^(MIN($E2946,123)-117)))*1,0))</f>
        <v>47040</v>
      </c>
      <c r="M2946" s="11">
        <f>$E2946+2</f>
        <v>106</v>
      </c>
      <c r="N2946" s="12">
        <f>IF($J2946=0,0,ROUND(MAX($J2946*1.4*1.5,2190000*(1.580994^(MIN($E2946,123)-117)))*1,0))</f>
        <v>70560</v>
      </c>
      <c r="O2946" s="13">
        <f>$E2946+4</f>
        <v>108</v>
      </c>
      <c r="P2946" s="14">
        <f>IF($J2946=0,0,ROUND(MAX($J2946*1.4*1.5*1.6,3500000*(1.57975^(MIN($E2946,123)-117)))*1,0))</f>
        <v>112896</v>
      </c>
      <c r="Q2946" s="11">
        <f>$E2946+6</f>
        <v>110</v>
      </c>
      <c r="R2946" s="12">
        <f>IF($J2946=0,0,ROUND(MAX($J2946*1.4*1.5*1.6*1.6,13100000*(1.429962^(MIN($E2946,123)-117)))*1,0))</f>
        <v>180634</v>
      </c>
      <c r="S2946" s="13">
        <f>$E2946+8</f>
        <v>112</v>
      </c>
      <c r="T2946" s="14">
        <f>IF($J2946=0,0,ROUND(MAX($J2946*1.4*1.5*1.6*1.6*2.2,42600000*(1.576904^(MIN($E2946,123)-117)))*1,0))</f>
        <v>397394</v>
      </c>
      <c r="U2946" s="11">
        <f>$E2946+11</f>
        <v>115</v>
      </c>
      <c r="V2946" s="12">
        <f>IF($J2946=0,0,ROUND(MAX($J2946*1.4*1.5*1.6*1.6*2.2*2.715,354000000*(1.642074^(MIN($E2946,123)-117)))*1,0))</f>
        <v>1078924</v>
      </c>
      <c r="W2946" s="13">
        <f>$E2946+15</f>
        <v>119</v>
      </c>
      <c r="X2946" s="14">
        <f>IF($J2946=0,0,ROUND(MAX($J2946*1.4*1.5*1.6*1.6*2.2*2.715*2.6,3540000000*(1.579646^(MIN($E2946,123)-117)))*1,0))</f>
        <v>9283810</v>
      </c>
      <c r="Y2946" s="11">
        <f>$E2946+17</f>
        <v>121</v>
      </c>
      <c r="Z2946" s="12">
        <f>IF($J2946=0,0,ROUND(MAX($J2946*1.4*1.5*1.6*1.6*2.2*2.715*2.6*1.4,6020000000*(1.651178^(MIN($E2946,123)-117)))*1,0))</f>
        <v>8877197</v>
      </c>
      <c r="AA2946" s="13">
        <f>$E2946+19</f>
        <v>123</v>
      </c>
      <c r="AB2946" s="14">
        <f>IF($J2946=0,0,ROUND(MAX($J2946*1.4*1.5*1.6*1.6*2.2*2.715*2.6*1.4*1.4,8430000000*(1.651435^(MIN($E2946,123)-117)))*1,0))</f>
        <v>12405900</v>
      </c>
      <c r="AC2946" s="11">
        <f>$E2946+21</f>
        <v>125</v>
      </c>
      <c r="AD2946" s="12">
        <f>IF($J2946=0,0,ROUND(MAX($J2946*1.4*1.5*1.6*1.6*2.2*2.715*2.6*1.4*1.4*1.5,12600000000*(1.652953^(MIN($E2946,123)-117)))*1,0))</f>
        <v>18322468</v>
      </c>
      <c r="AE2946" s="13">
        <f>$E2946+24</f>
        <v>128</v>
      </c>
      <c r="AF2946" s="14">
        <f>IF($J2946=0,0,ROUND(MAX($J2946*1.4*1.5*1.6*1.6*2.2*2.715*2.6*1.4*1.4*1.5*1.5,18900000000*(1.65331^(MIN($E2946,123)-117)))*1,0))</f>
        <v>27406653</v>
      </c>
      <c r="AG2946" s="11">
        <f>$E2946+27</f>
        <v>131</v>
      </c>
      <c r="AH2946" s="12">
        <f>IF($J2946=0,0,ROUND(MAX($J2946*1.4*1.5*1.6*1.6*2.2*2.715*2.6*1.4*1.4*1.5*1.5*3.2,60500000000*(1.654288^(MIN($E2946,123)-117)))*1,0))</f>
        <v>87058428</v>
      </c>
    </row>
    <row r="2947" ht="28" customHeight="1" spans="1:34" x14ac:dyDescent="0.25">
      <c r="A2947">
        <v>2957</v>
      </c>
      <c r="B2947" t="s">
        <v>1628</v>
      </c>
      <c r="C2947" s="10" t="s">
        <v>1650</v>
      </c>
      <c r="D2947" t="s">
        <v>75</v>
      </c>
      <c r="E2947">
        <v>104</v>
      </c>
      <c r="F2947" t="s">
        <v>1093</v>
      </c>
      <c r="G2947" t="s">
        <v>595</v>
      </c>
      <c r="H2947">
        <v>22</v>
      </c>
      <c r="I2947" s="11">
        <f>$E2947+0</f>
        <v>104</v>
      </c>
      <c r="J2947" s="12">
        <v>22500</v>
      </c>
      <c r="K2947" s="13">
        <f>$E2947+1</f>
        <v>105</v>
      </c>
      <c r="L2947" s="14">
        <f>IF($J2947=0,0,ROUND(MAX($J2947*1.4,1620000*(1.497923^(MIN($E2947,123)-117)))*1,0))</f>
        <v>31500</v>
      </c>
      <c r="M2947" s="11">
        <f>$E2947+2</f>
        <v>106</v>
      </c>
      <c r="N2947" s="12">
        <f>IF($J2947=0,0,ROUND(MAX($J2947*1.4*1.5,2190000*(1.580994^(MIN($E2947,123)-117)))*1,0))</f>
        <v>47250</v>
      </c>
      <c r="O2947" s="13">
        <f>$E2947+4</f>
        <v>108</v>
      </c>
      <c r="P2947" s="14">
        <f>IF($J2947=0,0,ROUND(MAX($J2947*1.4*1.5*1.6,3500000*(1.57975^(MIN($E2947,123)-117)))*1,0))</f>
        <v>75600</v>
      </c>
      <c r="Q2947" s="11">
        <f>$E2947+6</f>
        <v>110</v>
      </c>
      <c r="R2947" s="12">
        <f>IF($J2947=0,0,ROUND(MAX($J2947*1.4*1.5*1.6*1.6,13100000*(1.429962^(MIN($E2947,123)-117)))*1,0))</f>
        <v>125329</v>
      </c>
      <c r="S2947" s="13">
        <f>$E2947+8</f>
        <v>112</v>
      </c>
      <c r="T2947" s="14">
        <f>IF($J2947=0,0,ROUND(MAX($J2947*1.4*1.5*1.6*1.6*2.2,42600000*(1.576904^(MIN($E2947,123)-117)))*1,0))</f>
        <v>266112</v>
      </c>
      <c r="U2947" s="11">
        <f>$E2947+11</f>
        <v>115</v>
      </c>
      <c r="V2947" s="12">
        <f>IF($J2947=0,0,ROUND(MAX($J2947*1.4*1.5*1.6*1.6*2.2*2.715,354000000*(1.642074^(MIN($E2947,123)-117)))*1,0))</f>
        <v>722494</v>
      </c>
      <c r="W2947" s="13">
        <f>$E2947+15</f>
        <v>119</v>
      </c>
      <c r="X2947" s="14">
        <f>IF($J2947=0,0,ROUND(MAX($J2947*1.4*1.5*1.6*1.6*2.2*2.715*2.6,3540000000*(1.579646^(MIN($E2947,123)-117)))*1,0))</f>
        <v>9283810</v>
      </c>
      <c r="Y2947" s="11">
        <f>$E2947+17</f>
        <v>121</v>
      </c>
      <c r="Z2947" s="12">
        <f>IF($J2947=0,0,ROUND(MAX($J2947*1.4*1.5*1.6*1.6*2.2*2.715*2.6*1.4,6020000000*(1.651178^(MIN($E2947,123)-117)))*1,0))</f>
        <v>8877197</v>
      </c>
      <c r="AA2947" s="13">
        <f>$E2947+19</f>
        <v>123</v>
      </c>
      <c r="AB2947" s="14">
        <f>IF($J2947=0,0,ROUND(MAX($J2947*1.4*1.5*1.6*1.6*2.2*2.715*2.6*1.4*1.4,8430000000*(1.651435^(MIN($E2947,123)-117)))*1,0))</f>
        <v>12405900</v>
      </c>
      <c r="AC2947" s="11">
        <f>$E2947+21</f>
        <v>125</v>
      </c>
      <c r="AD2947" s="12">
        <f>IF($J2947=0,0,ROUND(MAX($J2947*1.4*1.5*1.6*1.6*2.2*2.715*2.6*1.4*1.4*1.5,12600000000*(1.652953^(MIN($E2947,123)-117)))*1,0))</f>
        <v>18322468</v>
      </c>
      <c r="AE2947" s="13">
        <f>$E2947+24</f>
        <v>128</v>
      </c>
      <c r="AF2947" s="14">
        <f>IF($J2947=0,0,ROUND(MAX($J2947*1.4*1.5*1.6*1.6*2.2*2.715*2.6*1.4*1.4*1.5*1.5,18900000000*(1.65331^(MIN($E2947,123)-117)))*1,0))</f>
        <v>27406653</v>
      </c>
      <c r="AG2947" s="11">
        <f>$E2947+27</f>
        <v>131</v>
      </c>
      <c r="AH2947" s="12">
        <f>IF($J2947=0,0,ROUND(MAX($J2947*1.4*1.5*1.6*1.6*2.2*2.715*2.6*1.4*1.4*1.5*1.5*3.2,60500000000*(1.654288^(MIN($E2947,123)-117)))*1,0))</f>
        <v>87058428</v>
      </c>
    </row>
    <row r="2948" ht="28" customHeight="1" spans="1:34" x14ac:dyDescent="0.25">
      <c r="A2948">
        <v>2958</v>
      </c>
      <c r="B2948" t="s">
        <v>709</v>
      </c>
      <c r="C2948" s="10" t="s">
        <v>1650</v>
      </c>
      <c r="D2948" t="s">
        <v>33</v>
      </c>
      <c r="E2948">
        <v>104</v>
      </c>
      <c r="F2948" t="s">
        <v>71</v>
      </c>
      <c r="G2948" t="s">
        <v>252</v>
      </c>
      <c r="H2948">
        <v>22</v>
      </c>
      <c r="I2948" s="11">
        <f>$E2948+0</f>
        <v>104</v>
      </c>
      <c r="J2948" s="12">
        <v>25900</v>
      </c>
      <c r="K2948" s="13">
        <f>$E2948+1</f>
        <v>105</v>
      </c>
      <c r="L2948" s="14">
        <f>IF($J2948=0,0,ROUND(MAX($J2948*1.4,1620000*(1.497923^(MIN($E2948,123)-117)))*1,0))</f>
        <v>36260</v>
      </c>
      <c r="M2948" s="11">
        <f>$E2948+2</f>
        <v>106</v>
      </c>
      <c r="N2948" s="12">
        <f>IF($J2948=0,0,ROUND(MAX($J2948*1.4*1.5,2190000*(1.580994^(MIN($E2948,123)-117)))*1,0))</f>
        <v>54390</v>
      </c>
      <c r="O2948" s="13">
        <f>$E2948+4</f>
        <v>108</v>
      </c>
      <c r="P2948" s="14">
        <f>IF($J2948=0,0,ROUND(MAX($J2948*1.4*1.5*1.6,3500000*(1.57975^(MIN($E2948,123)-117)))*1,0))</f>
        <v>87024</v>
      </c>
      <c r="Q2948" s="11">
        <f>$E2948+6</f>
        <v>110</v>
      </c>
      <c r="R2948" s="12">
        <f>IF($J2948=0,0,ROUND(MAX($J2948*1.4*1.5*1.6*1.6,13100000*(1.429962^(MIN($E2948,123)-117)))*1,0))</f>
        <v>139238</v>
      </c>
      <c r="S2948" s="13">
        <f>$E2948+8</f>
        <v>112</v>
      </c>
      <c r="T2948" s="14">
        <f>IF($J2948=0,0,ROUND(MAX($J2948*1.4*1.5*1.6*1.6*2.2,42600000*(1.576904^(MIN($E2948,123)-117)))*1,0))</f>
        <v>306324</v>
      </c>
      <c r="U2948" s="11">
        <f>$E2948+11</f>
        <v>115</v>
      </c>
      <c r="V2948" s="12">
        <f>IF($J2948=0,0,ROUND(MAX($J2948*1.4*1.5*1.6*1.6*2.2*2.715,354000000*(1.642074^(MIN($E2948,123)-117)))*1,0))</f>
        <v>831671</v>
      </c>
      <c r="W2948" s="13">
        <f>$E2948+15</f>
        <v>119</v>
      </c>
      <c r="X2948" s="14">
        <f>IF($J2948=0,0,ROUND(MAX($J2948*1.4*1.5*1.6*1.6*2.2*2.715*2.6,3540000000*(1.579646^(MIN($E2948,123)-117)))*1,0))</f>
        <v>9283810</v>
      </c>
      <c r="Y2948" s="11">
        <f>$E2948+17</f>
        <v>121</v>
      </c>
      <c r="Z2948" s="12">
        <f>IF($J2948=0,0,ROUND(MAX($J2948*1.4*1.5*1.6*1.6*2.2*2.715*2.6*1.4,6020000000*(1.651178^(MIN($E2948,123)-117)))*1,0))</f>
        <v>8877197</v>
      </c>
      <c r="AA2948" s="13">
        <f>$E2948+19</f>
        <v>123</v>
      </c>
      <c r="AB2948" s="14">
        <f>IF($J2948=0,0,ROUND(MAX($J2948*1.4*1.5*1.6*1.6*2.2*2.715*2.6*1.4*1.4,8430000000*(1.651435^(MIN($E2948,123)-117)))*1,0))</f>
        <v>12405900</v>
      </c>
      <c r="AC2948" s="11">
        <f>$E2948+21</f>
        <v>125</v>
      </c>
      <c r="AD2948" s="12">
        <f>IF($J2948=0,0,ROUND(MAX($J2948*1.4*1.5*1.6*1.6*2.2*2.715*2.6*1.4*1.4*1.5,12600000000*(1.652953^(MIN($E2948,123)-117)))*1,0))</f>
        <v>18322468</v>
      </c>
      <c r="AE2948" s="13">
        <f>$E2948+24</f>
        <v>128</v>
      </c>
      <c r="AF2948" s="14">
        <f>IF($J2948=0,0,ROUND(MAX($J2948*1.4*1.5*1.6*1.6*2.2*2.715*2.6*1.4*1.4*1.5*1.5,18900000000*(1.65331^(MIN($E2948,123)-117)))*1,0))</f>
        <v>27406653</v>
      </c>
      <c r="AG2948" s="11">
        <f>$E2948+27</f>
        <v>131</v>
      </c>
      <c r="AH2948" s="12">
        <f>IF($J2948=0,0,ROUND(MAX($J2948*1.4*1.5*1.6*1.6*2.2*2.715*2.6*1.4*1.4*1.5*1.5*3.2,60500000000*(1.654288^(MIN($E2948,123)-117)))*1,0))</f>
        <v>87058428</v>
      </c>
    </row>
    <row r="2949" ht="28" customHeight="1" spans="1:34" x14ac:dyDescent="0.25">
      <c r="A2949">
        <v>2959</v>
      </c>
      <c r="B2949" t="s">
        <v>1666</v>
      </c>
      <c r="C2949" s="10" t="s">
        <v>1650</v>
      </c>
      <c r="D2949" t="s">
        <v>165</v>
      </c>
      <c r="E2949">
        <v>104</v>
      </c>
      <c r="F2949" t="s">
        <v>303</v>
      </c>
      <c r="G2949" t="s">
        <v>562</v>
      </c>
      <c r="H2949">
        <v>22</v>
      </c>
      <c r="I2949" s="11">
        <f>$E2949+0</f>
        <v>104</v>
      </c>
      <c r="J2949" s="12">
        <v>20200</v>
      </c>
      <c r="K2949" s="13">
        <f>$E2949+1</f>
        <v>105</v>
      </c>
      <c r="L2949" s="14">
        <f>IF($J2949=0,0,ROUND(MAX($J2949*1.4,1620000*(1.497923^(MIN($E2949,123)-117)))*1,0))</f>
        <v>28280</v>
      </c>
      <c r="M2949" s="11">
        <f>$E2949+2</f>
        <v>106</v>
      </c>
      <c r="N2949" s="12">
        <f>IF($J2949=0,0,ROUND(MAX($J2949*1.4*1.5,2190000*(1.580994^(MIN($E2949,123)-117)))*1,0))</f>
        <v>42420</v>
      </c>
      <c r="O2949" s="13">
        <f>$E2949+4</f>
        <v>108</v>
      </c>
      <c r="P2949" s="14">
        <f>IF($J2949=0,0,ROUND(MAX($J2949*1.4*1.5*1.6,3500000*(1.57975^(MIN($E2949,123)-117)))*1,0))</f>
        <v>67872</v>
      </c>
      <c r="Q2949" s="11">
        <f>$E2949+6</f>
        <v>110</v>
      </c>
      <c r="R2949" s="12">
        <f>IF($J2949=0,0,ROUND(MAX($J2949*1.4*1.5*1.6*1.6,13100000*(1.429962^(MIN($E2949,123)-117)))*1,0))</f>
        <v>125329</v>
      </c>
      <c r="S2949" s="13">
        <f>$E2949+8</f>
        <v>112</v>
      </c>
      <c r="T2949" s="14">
        <f>IF($J2949=0,0,ROUND(MAX($J2949*1.4*1.5*1.6*1.6*2.2,42600000*(1.576904^(MIN($E2949,123)-117)))*1,0))</f>
        <v>238909</v>
      </c>
      <c r="U2949" s="11">
        <f>$E2949+11</f>
        <v>115</v>
      </c>
      <c r="V2949" s="12">
        <f>IF($J2949=0,0,ROUND(MAX($J2949*1.4*1.5*1.6*1.6*2.2*2.715,354000000*(1.642074^(MIN($E2949,123)-117)))*1,0))</f>
        <v>648639</v>
      </c>
      <c r="W2949" s="13">
        <f>$E2949+15</f>
        <v>119</v>
      </c>
      <c r="X2949" s="14">
        <f>IF($J2949=0,0,ROUND(MAX($J2949*1.4*1.5*1.6*1.6*2.2*2.715*2.6,3540000000*(1.579646^(MIN($E2949,123)-117)))*1,0))</f>
        <v>9283810</v>
      </c>
      <c r="Y2949" s="11">
        <f>$E2949+17</f>
        <v>121</v>
      </c>
      <c r="Z2949" s="12">
        <f>IF($J2949=0,0,ROUND(MAX($J2949*1.4*1.5*1.6*1.6*2.2*2.715*2.6*1.4,6020000000*(1.651178^(MIN($E2949,123)-117)))*1,0))</f>
        <v>8877197</v>
      </c>
      <c r="AA2949" s="13">
        <f>$E2949+19</f>
        <v>123</v>
      </c>
      <c r="AB2949" s="14">
        <f>IF($J2949=0,0,ROUND(MAX($J2949*1.4*1.5*1.6*1.6*2.2*2.715*2.6*1.4*1.4,8430000000*(1.651435^(MIN($E2949,123)-117)))*1,0))</f>
        <v>12405900</v>
      </c>
      <c r="AC2949" s="11">
        <f>$E2949+21</f>
        <v>125</v>
      </c>
      <c r="AD2949" s="12">
        <f>IF($J2949=0,0,ROUND(MAX($J2949*1.4*1.5*1.6*1.6*2.2*2.715*2.6*1.4*1.4*1.5,12600000000*(1.652953^(MIN($E2949,123)-117)))*1,0))</f>
        <v>18322468</v>
      </c>
      <c r="AE2949" s="13">
        <f>$E2949+24</f>
        <v>128</v>
      </c>
      <c r="AF2949" s="14">
        <f>IF($J2949=0,0,ROUND(MAX($J2949*1.4*1.5*1.6*1.6*2.2*2.715*2.6*1.4*1.4*1.5*1.5,18900000000*(1.65331^(MIN($E2949,123)-117)))*1,0))</f>
        <v>27406653</v>
      </c>
      <c r="AG2949" s="11">
        <f>$E2949+27</f>
        <v>131</v>
      </c>
      <c r="AH2949" s="12">
        <f>IF($J2949=0,0,ROUND(MAX($J2949*1.4*1.5*1.6*1.6*2.2*2.715*2.6*1.4*1.4*1.5*1.5*3.2,60500000000*(1.654288^(MIN($E2949,123)-117)))*1,0))</f>
        <v>87058428</v>
      </c>
    </row>
    <row r="2950" ht="28" customHeight="1" spans="1:34" x14ac:dyDescent="0.25">
      <c r="A2950">
        <v>2960</v>
      </c>
      <c r="B2950" t="s">
        <v>937</v>
      </c>
      <c r="C2950" s="10" t="s">
        <v>1650</v>
      </c>
      <c r="D2950" t="s">
        <v>25</v>
      </c>
      <c r="E2950">
        <v>104</v>
      </c>
      <c r="F2950" t="s">
        <v>42</v>
      </c>
      <c r="G2950" t="s">
        <v>43</v>
      </c>
      <c r="H2950">
        <v>22</v>
      </c>
      <c r="I2950" s="11">
        <f>$E2950+0</f>
        <v>104</v>
      </c>
      <c r="J2950" s="12">
        <v>23700</v>
      </c>
      <c r="K2950" s="13">
        <f>$E2950+1</f>
        <v>105</v>
      </c>
      <c r="L2950" s="14">
        <f>IF($J2950=0,0,ROUND(MAX($J2950*1.4,1620000*(1.497923^(MIN($E2950,123)-117)))*1,0))</f>
        <v>33180</v>
      </c>
      <c r="M2950" s="11">
        <f>$E2950+2</f>
        <v>106</v>
      </c>
      <c r="N2950" s="12">
        <f>IF($J2950=0,0,ROUND(MAX($J2950*1.4*1.5,2190000*(1.580994^(MIN($E2950,123)-117)))*1,0))</f>
        <v>49770</v>
      </c>
      <c r="O2950" s="13">
        <f>$E2950+4</f>
        <v>108</v>
      </c>
      <c r="P2950" s="14">
        <f>IF($J2950=0,0,ROUND(MAX($J2950*1.4*1.5*1.6,3500000*(1.57975^(MIN($E2950,123)-117)))*1,0))</f>
        <v>79632</v>
      </c>
      <c r="Q2950" s="11">
        <f>$E2950+6</f>
        <v>110</v>
      </c>
      <c r="R2950" s="12">
        <f>IF($J2950=0,0,ROUND(MAX($J2950*1.4*1.5*1.6*1.6,13100000*(1.429962^(MIN($E2950,123)-117)))*1,0))</f>
        <v>127411</v>
      </c>
      <c r="S2950" s="13">
        <f>$E2950+8</f>
        <v>112</v>
      </c>
      <c r="T2950" s="14">
        <f>IF($J2950=0,0,ROUND(MAX($J2950*1.4*1.5*1.6*1.6*2.2,42600000*(1.576904^(MIN($E2950,123)-117)))*1,0))</f>
        <v>280305</v>
      </c>
      <c r="U2950" s="11">
        <f>$E2950+11</f>
        <v>115</v>
      </c>
      <c r="V2950" s="12">
        <f>IF($J2950=0,0,ROUND(MAX($J2950*1.4*1.5*1.6*1.6*2.2*2.715,354000000*(1.642074^(MIN($E2950,123)-117)))*1,0))</f>
        <v>761027</v>
      </c>
      <c r="W2950" s="13">
        <f>$E2950+15</f>
        <v>119</v>
      </c>
      <c r="X2950" s="14">
        <f>IF($J2950=0,0,ROUND(MAX($J2950*1.4*1.5*1.6*1.6*2.2*2.715*2.6,3540000000*(1.579646^(MIN($E2950,123)-117)))*1,0))</f>
        <v>9283810</v>
      </c>
      <c r="Y2950" s="11">
        <f>$E2950+17</f>
        <v>121</v>
      </c>
      <c r="Z2950" s="12">
        <f>IF($J2950=0,0,ROUND(MAX($J2950*1.4*1.5*1.6*1.6*2.2*2.715*2.6*1.4,6020000000*(1.651178^(MIN($E2950,123)-117)))*1,0))</f>
        <v>8877197</v>
      </c>
      <c r="AA2950" s="13">
        <f>$E2950+19</f>
        <v>123</v>
      </c>
      <c r="AB2950" s="14">
        <f>IF($J2950=0,0,ROUND(MAX($J2950*1.4*1.5*1.6*1.6*2.2*2.715*2.6*1.4*1.4,8430000000*(1.651435^(MIN($E2950,123)-117)))*1,0))</f>
        <v>12405900</v>
      </c>
      <c r="AC2950" s="11">
        <f>$E2950+21</f>
        <v>125</v>
      </c>
      <c r="AD2950" s="12">
        <f>IF($J2950=0,0,ROUND(MAX($J2950*1.4*1.5*1.6*1.6*2.2*2.715*2.6*1.4*1.4*1.5,12600000000*(1.652953^(MIN($E2950,123)-117)))*1,0))</f>
        <v>18322468</v>
      </c>
      <c r="AE2950" s="13">
        <f>$E2950+24</f>
        <v>128</v>
      </c>
      <c r="AF2950" s="14">
        <f>IF($J2950=0,0,ROUND(MAX($J2950*1.4*1.5*1.6*1.6*2.2*2.715*2.6*1.4*1.4*1.5*1.5,18900000000*(1.65331^(MIN($E2950,123)-117)))*1,0))</f>
        <v>27406653</v>
      </c>
      <c r="AG2950" s="11">
        <f>$E2950+27</f>
        <v>131</v>
      </c>
      <c r="AH2950" s="12">
        <f>IF($J2950=0,0,ROUND(MAX($J2950*1.4*1.5*1.6*1.6*2.2*2.715*2.6*1.4*1.4*1.5*1.5*3.2,60500000000*(1.654288^(MIN($E2950,123)-117)))*1,0))</f>
        <v>87058428</v>
      </c>
    </row>
    <row r="2951" ht="28" customHeight="1" spans="1:34" x14ac:dyDescent="0.25">
      <c r="A2951">
        <v>2961</v>
      </c>
      <c r="B2951" t="s">
        <v>984</v>
      </c>
      <c r="C2951" s="10" t="s">
        <v>1650</v>
      </c>
      <c r="D2951" t="s">
        <v>64</v>
      </c>
      <c r="E2951">
        <v>104</v>
      </c>
      <c r="F2951" t="s">
        <v>54</v>
      </c>
      <c r="G2951" t="s">
        <v>562</v>
      </c>
      <c r="H2951">
        <v>22</v>
      </c>
      <c r="I2951" s="11">
        <f>$E2951+0</f>
        <v>104</v>
      </c>
      <c r="J2951" s="12">
        <v>26600</v>
      </c>
      <c r="K2951" s="13">
        <f>$E2951+1</f>
        <v>105</v>
      </c>
      <c r="L2951" s="14">
        <f>IF($J2951=0,0,ROUND(MAX($J2951*1.4,1620000*(1.497923^(MIN($E2951,123)-117)))*1,0))</f>
        <v>37240</v>
      </c>
      <c r="M2951" s="11">
        <f>$E2951+2</f>
        <v>106</v>
      </c>
      <c r="N2951" s="12">
        <f>IF($J2951=0,0,ROUND(MAX($J2951*1.4*1.5,2190000*(1.580994^(MIN($E2951,123)-117)))*1,0))</f>
        <v>55860</v>
      </c>
      <c r="O2951" s="13">
        <f>$E2951+4</f>
        <v>108</v>
      </c>
      <c r="P2951" s="14">
        <f>IF($J2951=0,0,ROUND(MAX($J2951*1.4*1.5*1.6,3500000*(1.57975^(MIN($E2951,123)-117)))*1,0))</f>
        <v>89376</v>
      </c>
      <c r="Q2951" s="11">
        <f>$E2951+6</f>
        <v>110</v>
      </c>
      <c r="R2951" s="12">
        <f>IF($J2951=0,0,ROUND(MAX($J2951*1.4*1.5*1.6*1.6,13100000*(1.429962^(MIN($E2951,123)-117)))*1,0))</f>
        <v>143002</v>
      </c>
      <c r="S2951" s="13">
        <f>$E2951+8</f>
        <v>112</v>
      </c>
      <c r="T2951" s="14">
        <f>IF($J2951=0,0,ROUND(MAX($J2951*1.4*1.5*1.6*1.6*2.2,42600000*(1.576904^(MIN($E2951,123)-117)))*1,0))</f>
        <v>314604</v>
      </c>
      <c r="U2951" s="11">
        <f>$E2951+11</f>
        <v>115</v>
      </c>
      <c r="V2951" s="12">
        <f>IF($J2951=0,0,ROUND(MAX($J2951*1.4*1.5*1.6*1.6*2.2*2.715,354000000*(1.642074^(MIN($E2951,123)-117)))*1,0))</f>
        <v>854149</v>
      </c>
      <c r="W2951" s="13">
        <f>$E2951+15</f>
        <v>119</v>
      </c>
      <c r="X2951" s="14">
        <f>IF($J2951=0,0,ROUND(MAX($J2951*1.4*1.5*1.6*1.6*2.2*2.715*2.6,3540000000*(1.579646^(MIN($E2951,123)-117)))*1,0))</f>
        <v>9283810</v>
      </c>
      <c r="Y2951" s="11">
        <f>$E2951+17</f>
        <v>121</v>
      </c>
      <c r="Z2951" s="12">
        <f>IF($J2951=0,0,ROUND(MAX($J2951*1.4*1.5*1.6*1.6*2.2*2.715*2.6*1.4,6020000000*(1.651178^(MIN($E2951,123)-117)))*1,0))</f>
        <v>8877197</v>
      </c>
      <c r="AA2951" s="13">
        <f>$E2951+19</f>
        <v>123</v>
      </c>
      <c r="AB2951" s="14">
        <f>IF($J2951=0,0,ROUND(MAX($J2951*1.4*1.5*1.6*1.6*2.2*2.715*2.6*1.4*1.4,8430000000*(1.651435^(MIN($E2951,123)-117)))*1,0))</f>
        <v>12405900</v>
      </c>
      <c r="AC2951" s="11">
        <f>$E2951+21</f>
        <v>125</v>
      </c>
      <c r="AD2951" s="12">
        <f>IF($J2951=0,0,ROUND(MAX($J2951*1.4*1.5*1.6*1.6*2.2*2.715*2.6*1.4*1.4*1.5,12600000000*(1.652953^(MIN($E2951,123)-117)))*1,0))</f>
        <v>18322468</v>
      </c>
      <c r="AE2951" s="13">
        <f>$E2951+24</f>
        <v>128</v>
      </c>
      <c r="AF2951" s="14">
        <f>IF($J2951=0,0,ROUND(MAX($J2951*1.4*1.5*1.6*1.6*2.2*2.715*2.6*1.4*1.4*1.5*1.5,18900000000*(1.65331^(MIN($E2951,123)-117)))*1,0))</f>
        <v>27406653</v>
      </c>
      <c r="AG2951" s="11">
        <f>$E2951+27</f>
        <v>131</v>
      </c>
      <c r="AH2951" s="12">
        <f>IF($J2951=0,0,ROUND(MAX($J2951*1.4*1.5*1.6*1.6*2.2*2.715*2.6*1.4*1.4*1.5*1.5*3.2,60500000000*(1.654288^(MIN($E2951,123)-117)))*1,0))</f>
        <v>87058428</v>
      </c>
    </row>
    <row r="2952" ht="28" customHeight="1" spans="1:34" x14ac:dyDescent="0.25">
      <c r="A2952">
        <v>2962</v>
      </c>
      <c r="B2952" t="s">
        <v>1062</v>
      </c>
      <c r="C2952" s="10" t="s">
        <v>1650</v>
      </c>
      <c r="D2952" t="s">
        <v>64</v>
      </c>
      <c r="E2952">
        <v>104</v>
      </c>
      <c r="F2952" t="s">
        <v>34</v>
      </c>
      <c r="G2952" t="s">
        <v>562</v>
      </c>
      <c r="H2952">
        <v>22</v>
      </c>
      <c r="I2952" s="11">
        <f>$E2952+0</f>
        <v>104</v>
      </c>
      <c r="J2952" s="12">
        <v>12100</v>
      </c>
      <c r="K2952" s="13">
        <f>$E2952+1</f>
        <v>105</v>
      </c>
      <c r="L2952" s="14">
        <f>IF($J2952=0,0,ROUND(MAX($J2952*1.4,1620000*(1.497923^(MIN($E2952,123)-117)))*1,0))</f>
        <v>16940</v>
      </c>
      <c r="M2952" s="11">
        <f>$E2952+2</f>
        <v>106</v>
      </c>
      <c r="N2952" s="12">
        <f>IF($J2952=0,0,ROUND(MAX($J2952*1.4*1.5,2190000*(1.580994^(MIN($E2952,123)-117)))*1,0))</f>
        <v>25410</v>
      </c>
      <c r="O2952" s="13">
        <f>$E2952+4</f>
        <v>108</v>
      </c>
      <c r="P2952" s="14">
        <f>IF($J2952=0,0,ROUND(MAX($J2952*1.4*1.5*1.6,3500000*(1.57975^(MIN($E2952,123)-117)))*1,0))</f>
        <v>40656</v>
      </c>
      <c r="Q2952" s="11">
        <f>$E2952+6</f>
        <v>110</v>
      </c>
      <c r="R2952" s="12">
        <f>IF($J2952=0,0,ROUND(MAX($J2952*1.4*1.5*1.6*1.6,13100000*(1.429962^(MIN($E2952,123)-117)))*1,0))</f>
        <v>125329</v>
      </c>
      <c r="S2952" s="13">
        <f>$E2952+8</f>
        <v>112</v>
      </c>
      <c r="T2952" s="14">
        <f>IF($J2952=0,0,ROUND(MAX($J2952*1.4*1.5*1.6*1.6*2.2,42600000*(1.576904^(MIN($E2952,123)-117)))*1,0))</f>
        <v>143109</v>
      </c>
      <c r="U2952" s="11">
        <f>$E2952+11</f>
        <v>115</v>
      </c>
      <c r="V2952" s="12">
        <f>IF($J2952=0,0,ROUND(MAX($J2952*1.4*1.5*1.6*1.6*2.2*2.715,354000000*(1.642074^(MIN($E2952,123)-117)))*1,0))</f>
        <v>560916</v>
      </c>
      <c r="W2952" s="13">
        <f>$E2952+15</f>
        <v>119</v>
      </c>
      <c r="X2952" s="14">
        <f>IF($J2952=0,0,ROUND(MAX($J2952*1.4*1.5*1.6*1.6*2.2*2.715*2.6,3540000000*(1.579646^(MIN($E2952,123)-117)))*1,0))</f>
        <v>9283810</v>
      </c>
      <c r="Y2952" s="11">
        <f>$E2952+17</f>
        <v>121</v>
      </c>
      <c r="Z2952" s="12">
        <f>IF($J2952=0,0,ROUND(MAX($J2952*1.4*1.5*1.6*1.6*2.2*2.715*2.6*1.4,6020000000*(1.651178^(MIN($E2952,123)-117)))*1,0))</f>
        <v>8877197</v>
      </c>
      <c r="AA2952" s="13">
        <f>$E2952+19</f>
        <v>123</v>
      </c>
      <c r="AB2952" s="14">
        <f>IF($J2952=0,0,ROUND(MAX($J2952*1.4*1.5*1.6*1.6*2.2*2.715*2.6*1.4*1.4,8430000000*(1.651435^(MIN($E2952,123)-117)))*1,0))</f>
        <v>12405900</v>
      </c>
      <c r="AC2952" s="11">
        <f>$E2952+21</f>
        <v>125</v>
      </c>
      <c r="AD2952" s="12">
        <f>IF($J2952=0,0,ROUND(MAX($J2952*1.4*1.5*1.6*1.6*2.2*2.715*2.6*1.4*1.4*1.5,12600000000*(1.652953^(MIN($E2952,123)-117)))*1,0))</f>
        <v>18322468</v>
      </c>
      <c r="AE2952" s="13">
        <f>$E2952+24</f>
        <v>128</v>
      </c>
      <c r="AF2952" s="14">
        <f>IF($J2952=0,0,ROUND(MAX($J2952*1.4*1.5*1.6*1.6*2.2*2.715*2.6*1.4*1.4*1.5*1.5,18900000000*(1.65331^(MIN($E2952,123)-117)))*1,0))</f>
        <v>27406653</v>
      </c>
      <c r="AG2952" s="11">
        <f>$E2952+27</f>
        <v>131</v>
      </c>
      <c r="AH2952" s="12">
        <f>IF($J2952=0,0,ROUND(MAX($J2952*1.4*1.5*1.6*1.6*2.2*2.715*2.6*1.4*1.4*1.5*1.5*3.2,60500000000*(1.654288^(MIN($E2952,123)-117)))*1,0))</f>
        <v>87058428</v>
      </c>
    </row>
    <row r="2953" ht="28" customHeight="1" spans="1:34" x14ac:dyDescent="0.25">
      <c r="A2953">
        <v>2963</v>
      </c>
      <c r="B2953" t="s">
        <v>742</v>
      </c>
      <c r="C2953" s="10" t="s">
        <v>1650</v>
      </c>
      <c r="D2953" t="s">
        <v>102</v>
      </c>
      <c r="E2953">
        <v>104</v>
      </c>
      <c r="F2953" t="s">
        <v>54</v>
      </c>
      <c r="G2953" t="s">
        <v>743</v>
      </c>
      <c r="H2953">
        <v>22</v>
      </c>
      <c r="I2953" s="11">
        <f>$E2953+0</f>
        <v>104</v>
      </c>
      <c r="J2953" s="12">
        <v>24400</v>
      </c>
      <c r="K2953" s="13">
        <f>$E2953+1</f>
        <v>105</v>
      </c>
      <c r="L2953" s="14">
        <f>IF($J2953=0,0,ROUND(MAX($J2953*1.4,1620000*(1.497923^(MIN($E2953,123)-117)))*1,0))</f>
        <v>34160</v>
      </c>
      <c r="M2953" s="11">
        <f>$E2953+2</f>
        <v>106</v>
      </c>
      <c r="N2953" s="12">
        <f>IF($J2953=0,0,ROUND(MAX($J2953*1.4*1.5,2190000*(1.580994^(MIN($E2953,123)-117)))*1,0))</f>
        <v>51240</v>
      </c>
      <c r="O2953" s="13">
        <f>$E2953+4</f>
        <v>108</v>
      </c>
      <c r="P2953" s="14">
        <f>IF($J2953=0,0,ROUND(MAX($J2953*1.4*1.5*1.6,3500000*(1.57975^(MIN($E2953,123)-117)))*1,0))</f>
        <v>81984</v>
      </c>
      <c r="Q2953" s="11">
        <f>$E2953+6</f>
        <v>110</v>
      </c>
      <c r="R2953" s="12">
        <f>IF($J2953=0,0,ROUND(MAX($J2953*1.4*1.5*1.6*1.6,13100000*(1.429962^(MIN($E2953,123)-117)))*1,0))</f>
        <v>131174</v>
      </c>
      <c r="S2953" s="13">
        <f>$E2953+8</f>
        <v>112</v>
      </c>
      <c r="T2953" s="14">
        <f>IF($J2953=0,0,ROUND(MAX($J2953*1.4*1.5*1.6*1.6*2.2,42600000*(1.576904^(MIN($E2953,123)-117)))*1,0))</f>
        <v>288584</v>
      </c>
      <c r="U2953" s="11">
        <f>$E2953+11</f>
        <v>115</v>
      </c>
      <c r="V2953" s="12">
        <f>IF($J2953=0,0,ROUND(MAX($J2953*1.4*1.5*1.6*1.6*2.2*2.715,354000000*(1.642074^(MIN($E2953,123)-117)))*1,0))</f>
        <v>783505</v>
      </c>
      <c r="W2953" s="13">
        <f>$E2953+15</f>
        <v>119</v>
      </c>
      <c r="X2953" s="14">
        <f>IF($J2953=0,0,ROUND(MAX($J2953*1.4*1.5*1.6*1.6*2.2*2.715*2.6,3540000000*(1.579646^(MIN($E2953,123)-117)))*1,0))</f>
        <v>9283810</v>
      </c>
      <c r="Y2953" s="11">
        <f>$E2953+17</f>
        <v>121</v>
      </c>
      <c r="Z2953" s="12">
        <f>IF($J2953=0,0,ROUND(MAX($J2953*1.4*1.5*1.6*1.6*2.2*2.715*2.6*1.4,6020000000*(1.651178^(MIN($E2953,123)-117)))*1,0))</f>
        <v>8877197</v>
      </c>
      <c r="AA2953" s="13">
        <f>$E2953+19</f>
        <v>123</v>
      </c>
      <c r="AB2953" s="14">
        <f>IF($J2953=0,0,ROUND(MAX($J2953*1.4*1.5*1.6*1.6*2.2*2.715*2.6*1.4*1.4,8430000000*(1.651435^(MIN($E2953,123)-117)))*1,0))</f>
        <v>12405900</v>
      </c>
      <c r="AC2953" s="11">
        <f>$E2953+21</f>
        <v>125</v>
      </c>
      <c r="AD2953" s="12">
        <f>IF($J2953=0,0,ROUND(MAX($J2953*1.4*1.5*1.6*1.6*2.2*2.715*2.6*1.4*1.4*1.5,12600000000*(1.652953^(MIN($E2953,123)-117)))*1,0))</f>
        <v>18322468</v>
      </c>
      <c r="AE2953" s="13">
        <f>$E2953+24</f>
        <v>128</v>
      </c>
      <c r="AF2953" s="14">
        <f>IF($J2953=0,0,ROUND(MAX($J2953*1.4*1.5*1.6*1.6*2.2*2.715*2.6*1.4*1.4*1.5*1.5,18900000000*(1.65331^(MIN($E2953,123)-117)))*1,0))</f>
        <v>27406653</v>
      </c>
      <c r="AG2953" s="11">
        <f>$E2953+27</f>
        <v>131</v>
      </c>
      <c r="AH2953" s="12">
        <f>IF($J2953=0,0,ROUND(MAX($J2953*1.4*1.5*1.6*1.6*2.2*2.715*2.6*1.4*1.4*1.5*1.5*3.2,60500000000*(1.654288^(MIN($E2953,123)-117)))*1,0))</f>
        <v>87058428</v>
      </c>
    </row>
    <row r="2954" ht="28" customHeight="1" spans="1:34" x14ac:dyDescent="0.25">
      <c r="A2954">
        <v>2964</v>
      </c>
      <c r="B2954" t="s">
        <v>1667</v>
      </c>
      <c r="C2954" s="10" t="s">
        <v>1650</v>
      </c>
      <c r="D2954" t="s">
        <v>33</v>
      </c>
      <c r="E2954">
        <v>104</v>
      </c>
      <c r="F2954" t="s">
        <v>54</v>
      </c>
      <c r="G2954" t="s">
        <v>562</v>
      </c>
      <c r="H2954">
        <v>22</v>
      </c>
      <c r="I2954" s="11">
        <f>$E2954+0</f>
        <v>104</v>
      </c>
      <c r="J2954" s="12">
        <v>23000</v>
      </c>
      <c r="K2954" s="13">
        <f>$E2954+1</f>
        <v>105</v>
      </c>
      <c r="L2954" s="14">
        <f>IF($J2954=0,0,ROUND(MAX($J2954*1.4,1620000*(1.497923^(MIN($E2954,123)-117)))*1,0))</f>
        <v>32200</v>
      </c>
      <c r="M2954" s="11">
        <f>$E2954+2</f>
        <v>106</v>
      </c>
      <c r="N2954" s="12">
        <f>IF($J2954=0,0,ROUND(MAX($J2954*1.4*1.5,2190000*(1.580994^(MIN($E2954,123)-117)))*1,0))</f>
        <v>48300</v>
      </c>
      <c r="O2954" s="13">
        <f>$E2954+4</f>
        <v>108</v>
      </c>
      <c r="P2954" s="14">
        <f>IF($J2954=0,0,ROUND(MAX($J2954*1.4*1.5*1.6,3500000*(1.57975^(MIN($E2954,123)-117)))*1,0))</f>
        <v>77280</v>
      </c>
      <c r="Q2954" s="11">
        <f>$E2954+6</f>
        <v>110</v>
      </c>
      <c r="R2954" s="12">
        <f>IF($J2954=0,0,ROUND(MAX($J2954*1.4*1.5*1.6*1.6,13100000*(1.429962^(MIN($E2954,123)-117)))*1,0))</f>
        <v>125329</v>
      </c>
      <c r="S2954" s="13">
        <f>$E2954+8</f>
        <v>112</v>
      </c>
      <c r="T2954" s="14">
        <f>IF($J2954=0,0,ROUND(MAX($J2954*1.4*1.5*1.6*1.6*2.2,42600000*(1.576904^(MIN($E2954,123)-117)))*1,0))</f>
        <v>272026</v>
      </c>
      <c r="U2954" s="11">
        <f>$E2954+11</f>
        <v>115</v>
      </c>
      <c r="V2954" s="12">
        <f>IF($J2954=0,0,ROUND(MAX($J2954*1.4*1.5*1.6*1.6*2.2*2.715,354000000*(1.642074^(MIN($E2954,123)-117)))*1,0))</f>
        <v>738550</v>
      </c>
      <c r="W2954" s="13">
        <f>$E2954+15</f>
        <v>119</v>
      </c>
      <c r="X2954" s="14">
        <f>IF($J2954=0,0,ROUND(MAX($J2954*1.4*1.5*1.6*1.6*2.2*2.715*2.6,3540000000*(1.579646^(MIN($E2954,123)-117)))*1,0))</f>
        <v>9283810</v>
      </c>
      <c r="Y2954" s="11">
        <f>$E2954+17</f>
        <v>121</v>
      </c>
      <c r="Z2954" s="12">
        <f>IF($J2954=0,0,ROUND(MAX($J2954*1.4*1.5*1.6*1.6*2.2*2.715*2.6*1.4,6020000000*(1.651178^(MIN($E2954,123)-117)))*1,0))</f>
        <v>8877197</v>
      </c>
      <c r="AA2954" s="13">
        <f>$E2954+19</f>
        <v>123</v>
      </c>
      <c r="AB2954" s="14">
        <f>IF($J2954=0,0,ROUND(MAX($J2954*1.4*1.5*1.6*1.6*2.2*2.715*2.6*1.4*1.4,8430000000*(1.651435^(MIN($E2954,123)-117)))*1,0))</f>
        <v>12405900</v>
      </c>
      <c r="AC2954" s="11">
        <f>$E2954+21</f>
        <v>125</v>
      </c>
      <c r="AD2954" s="12">
        <f>IF($J2954=0,0,ROUND(MAX($J2954*1.4*1.5*1.6*1.6*2.2*2.715*2.6*1.4*1.4*1.5,12600000000*(1.652953^(MIN($E2954,123)-117)))*1,0))</f>
        <v>18322468</v>
      </c>
      <c r="AE2954" s="13">
        <f>$E2954+24</f>
        <v>128</v>
      </c>
      <c r="AF2954" s="14">
        <f>IF($J2954=0,0,ROUND(MAX($J2954*1.4*1.5*1.6*1.6*2.2*2.715*2.6*1.4*1.4*1.5*1.5,18900000000*(1.65331^(MIN($E2954,123)-117)))*1,0))</f>
        <v>27406653</v>
      </c>
      <c r="AG2954" s="11">
        <f>$E2954+27</f>
        <v>131</v>
      </c>
      <c r="AH2954" s="12">
        <f>IF($J2954=0,0,ROUND(MAX($J2954*1.4*1.5*1.6*1.6*2.2*2.715*2.6*1.4*1.4*1.5*1.5*3.2,60500000000*(1.654288^(MIN($E2954,123)-117)))*1,0))</f>
        <v>87058428</v>
      </c>
    </row>
    <row r="2955" ht="28" customHeight="1" spans="1:34" x14ac:dyDescent="0.25">
      <c r="A2955">
        <v>2965</v>
      </c>
      <c r="B2955" t="s">
        <v>1668</v>
      </c>
      <c r="C2955" s="10" t="s">
        <v>1650</v>
      </c>
      <c r="D2955" t="s">
        <v>79</v>
      </c>
      <c r="E2955">
        <v>104</v>
      </c>
      <c r="F2955" t="s">
        <v>194</v>
      </c>
      <c r="G2955" t="s">
        <v>562</v>
      </c>
      <c r="H2955">
        <v>22</v>
      </c>
      <c r="I2955" s="11">
        <f>$E2955+0</f>
        <v>104</v>
      </c>
      <c r="J2955" s="12">
        <v>25800</v>
      </c>
      <c r="K2955" s="13">
        <f>$E2955+1</f>
        <v>105</v>
      </c>
      <c r="L2955" s="14">
        <f>IF($J2955=0,0,ROUND(MAX($J2955*1.4,1620000*(1.497923^(MIN($E2955,123)-117)))*1,0))</f>
        <v>36120</v>
      </c>
      <c r="M2955" s="11">
        <f>$E2955+2</f>
        <v>106</v>
      </c>
      <c r="N2955" s="12">
        <f>IF($J2955=0,0,ROUND(MAX($J2955*1.4*1.5,2190000*(1.580994^(MIN($E2955,123)-117)))*1,0))</f>
        <v>54180</v>
      </c>
      <c r="O2955" s="13">
        <f>$E2955+4</f>
        <v>108</v>
      </c>
      <c r="P2955" s="14">
        <f>IF($J2955=0,0,ROUND(MAX($J2955*1.4*1.5*1.6,3500000*(1.57975^(MIN($E2955,123)-117)))*1,0))</f>
        <v>86688</v>
      </c>
      <c r="Q2955" s="11">
        <f>$E2955+6</f>
        <v>110</v>
      </c>
      <c r="R2955" s="12">
        <f>IF($J2955=0,0,ROUND(MAX($J2955*1.4*1.5*1.6*1.6,13100000*(1.429962^(MIN($E2955,123)-117)))*1,0))</f>
        <v>138701</v>
      </c>
      <c r="S2955" s="13">
        <f>$E2955+8</f>
        <v>112</v>
      </c>
      <c r="T2955" s="14">
        <f>IF($J2955=0,0,ROUND(MAX($J2955*1.4*1.5*1.6*1.6*2.2,42600000*(1.576904^(MIN($E2955,123)-117)))*1,0))</f>
        <v>305142</v>
      </c>
      <c r="U2955" s="11">
        <f>$E2955+11</f>
        <v>115</v>
      </c>
      <c r="V2955" s="12">
        <f>IF($J2955=0,0,ROUND(MAX($J2955*1.4*1.5*1.6*1.6*2.2*2.715,354000000*(1.642074^(MIN($E2955,123)-117)))*1,0))</f>
        <v>828460</v>
      </c>
      <c r="W2955" s="13">
        <f>$E2955+15</f>
        <v>119</v>
      </c>
      <c r="X2955" s="14">
        <f>IF($J2955=0,0,ROUND(MAX($J2955*1.4*1.5*1.6*1.6*2.2*2.715*2.6,3540000000*(1.579646^(MIN($E2955,123)-117)))*1,0))</f>
        <v>9283810</v>
      </c>
      <c r="Y2955" s="11">
        <f>$E2955+17</f>
        <v>121</v>
      </c>
      <c r="Z2955" s="12">
        <f>IF($J2955=0,0,ROUND(MAX($J2955*1.4*1.5*1.6*1.6*2.2*2.715*2.6*1.4,6020000000*(1.651178^(MIN($E2955,123)-117)))*1,0))</f>
        <v>8877197</v>
      </c>
      <c r="AA2955" s="13">
        <f>$E2955+19</f>
        <v>123</v>
      </c>
      <c r="AB2955" s="14">
        <f>IF($J2955=0,0,ROUND(MAX($J2955*1.4*1.5*1.6*1.6*2.2*2.715*2.6*1.4*1.4,8430000000*(1.651435^(MIN($E2955,123)-117)))*1,0))</f>
        <v>12405900</v>
      </c>
      <c r="AC2955" s="11">
        <f>$E2955+21</f>
        <v>125</v>
      </c>
      <c r="AD2955" s="12">
        <f>IF($J2955=0,0,ROUND(MAX($J2955*1.4*1.5*1.6*1.6*2.2*2.715*2.6*1.4*1.4*1.5,12600000000*(1.652953^(MIN($E2955,123)-117)))*1,0))</f>
        <v>18322468</v>
      </c>
      <c r="AE2955" s="13">
        <f>$E2955+24</f>
        <v>128</v>
      </c>
      <c r="AF2955" s="14">
        <f>IF($J2955=0,0,ROUND(MAX($J2955*1.4*1.5*1.6*1.6*2.2*2.715*2.6*1.4*1.4*1.5*1.5,18900000000*(1.65331^(MIN($E2955,123)-117)))*1,0))</f>
        <v>27406653</v>
      </c>
      <c r="AG2955" s="11">
        <f>$E2955+27</f>
        <v>131</v>
      </c>
      <c r="AH2955" s="12">
        <f>IF($J2955=0,0,ROUND(MAX($J2955*1.4*1.5*1.6*1.6*2.2*2.715*2.6*1.4*1.4*1.5*1.5*3.2,60500000000*(1.654288^(MIN($E2955,123)-117)))*1,0))</f>
        <v>87058428</v>
      </c>
    </row>
    <row r="2956" ht="28" customHeight="1" spans="1:34" x14ac:dyDescent="0.25">
      <c r="A2956">
        <v>2966</v>
      </c>
      <c r="B2956" t="s">
        <v>822</v>
      </c>
      <c r="C2956" s="10" t="s">
        <v>1650</v>
      </c>
      <c r="D2956" t="s">
        <v>33</v>
      </c>
      <c r="E2956">
        <v>104</v>
      </c>
      <c r="F2956" t="s">
        <v>65</v>
      </c>
      <c r="G2956" t="s">
        <v>562</v>
      </c>
      <c r="H2956">
        <v>22</v>
      </c>
      <c r="I2956" s="11">
        <f>$E2956+0</f>
        <v>104</v>
      </c>
      <c r="J2956" s="12">
        <v>45700</v>
      </c>
      <c r="K2956" s="13">
        <f>$E2956+1</f>
        <v>105</v>
      </c>
      <c r="L2956" s="14">
        <f>IF($J2956=0,0,ROUND(MAX($J2956*1.4,1620000*(1.497923^(MIN($E2956,123)-117)))*1,0))</f>
        <v>63980</v>
      </c>
      <c r="M2956" s="11">
        <f>$E2956+2</f>
        <v>106</v>
      </c>
      <c r="N2956" s="12">
        <f>IF($J2956=0,0,ROUND(MAX($J2956*1.4*1.5,2190000*(1.580994^(MIN($E2956,123)-117)))*1,0))</f>
        <v>95970</v>
      </c>
      <c r="O2956" s="13">
        <f>$E2956+4</f>
        <v>108</v>
      </c>
      <c r="P2956" s="14">
        <f>IF($J2956=0,0,ROUND(MAX($J2956*1.4*1.5*1.6,3500000*(1.57975^(MIN($E2956,123)-117)))*1,0))</f>
        <v>153552</v>
      </c>
      <c r="Q2956" s="11">
        <f>$E2956+6</f>
        <v>110</v>
      </c>
      <c r="R2956" s="12">
        <f>IF($J2956=0,0,ROUND(MAX($J2956*1.4*1.5*1.6*1.6,13100000*(1.429962^(MIN($E2956,123)-117)))*1,0))</f>
        <v>245683</v>
      </c>
      <c r="S2956" s="13">
        <f>$E2956+8</f>
        <v>112</v>
      </c>
      <c r="T2956" s="14">
        <f>IF($J2956=0,0,ROUND(MAX($J2956*1.4*1.5*1.6*1.6*2.2,42600000*(1.576904^(MIN($E2956,123)-117)))*1,0))</f>
        <v>540503</v>
      </c>
      <c r="U2956" s="11">
        <f>$E2956+11</f>
        <v>115</v>
      </c>
      <c r="V2956" s="12">
        <f>IF($J2956=0,0,ROUND(MAX($J2956*1.4*1.5*1.6*1.6*2.2*2.715,354000000*(1.642074^(MIN($E2956,123)-117)))*1,0))</f>
        <v>1467466</v>
      </c>
      <c r="W2956" s="13">
        <f>$E2956+15</f>
        <v>119</v>
      </c>
      <c r="X2956" s="14">
        <f>IF($J2956=0,0,ROUND(MAX($J2956*1.4*1.5*1.6*1.6*2.2*2.715*2.6,3540000000*(1.579646^(MIN($E2956,123)-117)))*1,0))</f>
        <v>9283810</v>
      </c>
      <c r="Y2956" s="11">
        <f>$E2956+17</f>
        <v>121</v>
      </c>
      <c r="Z2956" s="12">
        <f>IF($J2956=0,0,ROUND(MAX($J2956*1.4*1.5*1.6*1.6*2.2*2.715*2.6*1.4,6020000000*(1.651178^(MIN($E2956,123)-117)))*1,0))</f>
        <v>8877197</v>
      </c>
      <c r="AA2956" s="13">
        <f>$E2956+19</f>
        <v>123</v>
      </c>
      <c r="AB2956" s="14">
        <f>IF($J2956=0,0,ROUND(MAX($J2956*1.4*1.5*1.6*1.6*2.2*2.715*2.6*1.4*1.4,8430000000*(1.651435^(MIN($E2956,123)-117)))*1,0))</f>
        <v>12405900</v>
      </c>
      <c r="AC2956" s="11">
        <f>$E2956+21</f>
        <v>125</v>
      </c>
      <c r="AD2956" s="12">
        <f>IF($J2956=0,0,ROUND(MAX($J2956*1.4*1.5*1.6*1.6*2.2*2.715*2.6*1.4*1.4*1.5,12600000000*(1.652953^(MIN($E2956,123)-117)))*1,0))</f>
        <v>18322468</v>
      </c>
      <c r="AE2956" s="13">
        <f>$E2956+24</f>
        <v>128</v>
      </c>
      <c r="AF2956" s="14">
        <f>IF($J2956=0,0,ROUND(MAX($J2956*1.4*1.5*1.6*1.6*2.2*2.715*2.6*1.4*1.4*1.5*1.5,18900000000*(1.65331^(MIN($E2956,123)-117)))*1,0))</f>
        <v>27406653</v>
      </c>
      <c r="AG2956" s="11">
        <f>$E2956+27</f>
        <v>131</v>
      </c>
      <c r="AH2956" s="12">
        <f>IF($J2956=0,0,ROUND(MAX($J2956*1.4*1.5*1.6*1.6*2.2*2.715*2.6*1.4*1.4*1.5*1.5*3.2,60500000000*(1.654288^(MIN($E2956,123)-117)))*1,0))</f>
        <v>87058428</v>
      </c>
    </row>
    <row r="2957" ht="28" customHeight="1" spans="1:34" x14ac:dyDescent="0.25">
      <c r="A2957">
        <v>2967</v>
      </c>
      <c r="B2957" t="s">
        <v>1069</v>
      </c>
      <c r="C2957" s="10" t="s">
        <v>1650</v>
      </c>
      <c r="D2957" t="s">
        <v>25</v>
      </c>
      <c r="E2957">
        <v>104</v>
      </c>
      <c r="F2957" t="s">
        <v>34</v>
      </c>
      <c r="G2957" t="s">
        <v>562</v>
      </c>
      <c r="H2957">
        <v>22</v>
      </c>
      <c r="I2957" s="11">
        <f>$E2957+0</f>
        <v>104</v>
      </c>
      <c r="J2957" s="12">
        <v>9680</v>
      </c>
      <c r="K2957" s="13">
        <f>$E2957+1</f>
        <v>105</v>
      </c>
      <c r="L2957" s="14">
        <f>IF($J2957=0,0,ROUND(MAX($J2957*1.4,1620000*(1.497923^(MIN($E2957,123)-117)))*1,0))</f>
        <v>13552</v>
      </c>
      <c r="M2957" s="11">
        <f>$E2957+2</f>
        <v>106</v>
      </c>
      <c r="N2957" s="12">
        <f>IF($J2957=0,0,ROUND(MAX($J2957*1.4*1.5,2190000*(1.580994^(MIN($E2957,123)-117)))*1,0))</f>
        <v>20328</v>
      </c>
      <c r="O2957" s="13">
        <f>$E2957+4</f>
        <v>108</v>
      </c>
      <c r="P2957" s="14">
        <f>IF($J2957=0,0,ROUND(MAX($J2957*1.4*1.5*1.6,3500000*(1.57975^(MIN($E2957,123)-117)))*1,0))</f>
        <v>32525</v>
      </c>
      <c r="Q2957" s="11">
        <f>$E2957+6</f>
        <v>110</v>
      </c>
      <c r="R2957" s="12">
        <f>IF($J2957=0,0,ROUND(MAX($J2957*1.4*1.5*1.6*1.6,13100000*(1.429962^(MIN($E2957,123)-117)))*1,0))</f>
        <v>125329</v>
      </c>
      <c r="S2957" s="13">
        <f>$E2957+8</f>
        <v>112</v>
      </c>
      <c r="T2957" s="14">
        <f>IF($J2957=0,0,ROUND(MAX($J2957*1.4*1.5*1.6*1.6*2.2,42600000*(1.576904^(MIN($E2957,123)-117)))*1,0))</f>
        <v>114487</v>
      </c>
      <c r="U2957" s="11">
        <f>$E2957+11</f>
        <v>115</v>
      </c>
      <c r="V2957" s="12">
        <f>IF($J2957=0,0,ROUND(MAX($J2957*1.4*1.5*1.6*1.6*2.2*2.715,354000000*(1.642074^(MIN($E2957,123)-117)))*1,0))</f>
        <v>560916</v>
      </c>
      <c r="W2957" s="13">
        <f>$E2957+15</f>
        <v>119</v>
      </c>
      <c r="X2957" s="14">
        <f>IF($J2957=0,0,ROUND(MAX($J2957*1.4*1.5*1.6*1.6*2.2*2.715*2.6,3540000000*(1.579646^(MIN($E2957,123)-117)))*1,0))</f>
        <v>9283810</v>
      </c>
      <c r="Y2957" s="11">
        <f>$E2957+17</f>
        <v>121</v>
      </c>
      <c r="Z2957" s="12">
        <f>IF($J2957=0,0,ROUND(MAX($J2957*1.4*1.5*1.6*1.6*2.2*2.715*2.6*1.4,6020000000*(1.651178^(MIN($E2957,123)-117)))*1,0))</f>
        <v>8877197</v>
      </c>
      <c r="AA2957" s="13">
        <f>$E2957+19</f>
        <v>123</v>
      </c>
      <c r="AB2957" s="14">
        <f>IF($J2957=0,0,ROUND(MAX($J2957*1.4*1.5*1.6*1.6*2.2*2.715*2.6*1.4*1.4,8430000000*(1.651435^(MIN($E2957,123)-117)))*1,0))</f>
        <v>12405900</v>
      </c>
      <c r="AC2957" s="11">
        <f>$E2957+21</f>
        <v>125</v>
      </c>
      <c r="AD2957" s="12">
        <f>IF($J2957=0,0,ROUND(MAX($J2957*1.4*1.5*1.6*1.6*2.2*2.715*2.6*1.4*1.4*1.5,12600000000*(1.652953^(MIN($E2957,123)-117)))*1,0))</f>
        <v>18322468</v>
      </c>
      <c r="AE2957" s="13">
        <f>$E2957+24</f>
        <v>128</v>
      </c>
      <c r="AF2957" s="14">
        <f>IF($J2957=0,0,ROUND(MAX($J2957*1.4*1.5*1.6*1.6*2.2*2.715*2.6*1.4*1.4*1.5*1.5,18900000000*(1.65331^(MIN($E2957,123)-117)))*1,0))</f>
        <v>27406653</v>
      </c>
      <c r="AG2957" s="11">
        <f>$E2957+27</f>
        <v>131</v>
      </c>
      <c r="AH2957" s="12">
        <f>IF($J2957=0,0,ROUND(MAX($J2957*1.4*1.5*1.6*1.6*2.2*2.715*2.6*1.4*1.4*1.5*1.5*3.2,60500000000*(1.654288^(MIN($E2957,123)-117)))*1,0))</f>
        <v>87058428</v>
      </c>
    </row>
    <row r="2958" ht="28" customHeight="1" spans="1:34" x14ac:dyDescent="0.25">
      <c r="A2958">
        <v>2968</v>
      </c>
      <c r="B2958" t="s">
        <v>1337</v>
      </c>
      <c r="C2958" s="10" t="s">
        <v>1650</v>
      </c>
      <c r="D2958" t="s">
        <v>102</v>
      </c>
      <c r="E2958">
        <v>103</v>
      </c>
      <c r="F2958" t="s">
        <v>59</v>
      </c>
      <c r="G2958" t="s">
        <v>562</v>
      </c>
      <c r="H2958">
        <v>22</v>
      </c>
      <c r="I2958" s="11">
        <f>$E2958+0</f>
        <v>103</v>
      </c>
      <c r="J2958" s="12">
        <v>60500</v>
      </c>
      <c r="K2958" s="13">
        <f>$E2958+1</f>
        <v>104</v>
      </c>
      <c r="L2958" s="14">
        <f>IF($J2958=0,0,ROUND(MAX($J2958*1.4,1620000*(1.497923^(MIN($E2958,123)-117)))*1,0))</f>
        <v>84700</v>
      </c>
      <c r="M2958" s="11">
        <f>$E2958+2</f>
        <v>105</v>
      </c>
      <c r="N2958" s="12">
        <f>IF($J2958=0,0,ROUND(MAX($J2958*1.4*1.5,2190000*(1.580994^(MIN($E2958,123)-117)))*1,0))</f>
        <v>127050</v>
      </c>
      <c r="O2958" s="13">
        <f>$E2958+4</f>
        <v>107</v>
      </c>
      <c r="P2958" s="14">
        <f>IF($J2958=0,0,ROUND(MAX($J2958*1.4*1.5*1.6,3500000*(1.57975^(MIN($E2958,123)-117)))*1,0))</f>
        <v>203280</v>
      </c>
      <c r="Q2958" s="11">
        <f>$E2958+6</f>
        <v>109</v>
      </c>
      <c r="R2958" s="12">
        <f>IF($J2958=0,0,ROUND(MAX($J2958*1.4*1.5*1.6*1.6,13100000*(1.429962^(MIN($E2958,123)-117)))*1,0))</f>
        <v>325248</v>
      </c>
      <c r="S2958" s="13">
        <f>$E2958+8</f>
        <v>111</v>
      </c>
      <c r="T2958" s="14">
        <f>IF($J2958=0,0,ROUND(MAX($J2958*1.4*1.5*1.6*1.6*2.2,42600000*(1.576904^(MIN($E2958,123)-117)))*1,0))</f>
        <v>715546</v>
      </c>
      <c r="U2958" s="11">
        <f>$E2958+11</f>
        <v>114</v>
      </c>
      <c r="V2958" s="12">
        <f>IF($J2958=0,0,ROUND(MAX($J2958*1.4*1.5*1.6*1.6*2.2*2.715,354000000*(1.642074^(MIN($E2958,123)-117)))*1,0))</f>
        <v>1942706</v>
      </c>
      <c r="W2958" s="13">
        <f>$E2958+15</f>
        <v>118</v>
      </c>
      <c r="X2958" s="14">
        <f>IF($J2958=0,0,ROUND(MAX($J2958*1.4*1.5*1.6*1.6*2.2*2.715*2.6,3540000000*(1.579646^(MIN($E2958,123)-117)))*1,0))</f>
        <v>5877146</v>
      </c>
      <c r="Y2958" s="11">
        <f>$E2958+17</f>
        <v>120</v>
      </c>
      <c r="Z2958" s="12">
        <f>IF($J2958=0,0,ROUND(MAX($J2958*1.4*1.5*1.6*1.6*2.2*2.715*2.6*1.4,6020000000*(1.651178^(MIN($E2958,123)-117)))*1,0))</f>
        <v>7071451</v>
      </c>
      <c r="AA2958" s="13">
        <f>$E2958+19</f>
        <v>122</v>
      </c>
      <c r="AB2958" s="14">
        <f>IF($J2958=0,0,ROUND(MAX($J2958*1.4*1.5*1.6*1.6*2.2*2.715*2.6*1.4*1.4,8430000000*(1.651435^(MIN($E2958,123)-117)))*1,0))</f>
        <v>9900031</v>
      </c>
      <c r="AC2958" s="11">
        <f>$E2958+21</f>
        <v>124</v>
      </c>
      <c r="AD2958" s="12">
        <f>IF($J2958=0,0,ROUND(MAX($J2958*1.4*1.5*1.6*1.6*2.2*2.715*2.6*1.4*1.4*1.5,12600000000*(1.652953^(MIN($E2958,123)-117)))*1,0))</f>
        <v>14850047</v>
      </c>
      <c r="AE2958" s="13">
        <f>$E2958+24</f>
        <v>127</v>
      </c>
      <c r="AF2958" s="14">
        <f>IF($J2958=0,0,ROUND(MAX($J2958*1.4*1.5*1.6*1.6*2.2*2.715*2.6*1.4*1.4*1.5*1.5,18900000000*(1.65331^(MIN($E2958,123)-117)))*1,0))</f>
        <v>22275070</v>
      </c>
      <c r="AG2958" s="11">
        <f>$E2958+27</f>
        <v>130</v>
      </c>
      <c r="AH2958" s="12">
        <f>IF($J2958=0,0,ROUND(MAX($J2958*1.4*1.5*1.6*1.6*2.2*2.715*2.6*1.4*1.4*1.5*1.5*3.2,60500000000*(1.654288^(MIN($E2958,123)-117)))*1,0))</f>
        <v>71280226</v>
      </c>
    </row>
    <row r="2959" ht="28" customHeight="1" spans="1:34" x14ac:dyDescent="0.25">
      <c r="A2959">
        <v>2969</v>
      </c>
      <c r="B2959" t="s">
        <v>1669</v>
      </c>
      <c r="C2959" s="10" t="s">
        <v>1650</v>
      </c>
      <c r="D2959" t="s">
        <v>25</v>
      </c>
      <c r="E2959">
        <v>103</v>
      </c>
      <c r="F2959" t="s">
        <v>54</v>
      </c>
      <c r="G2959" t="s">
        <v>712</v>
      </c>
      <c r="H2959">
        <v>22</v>
      </c>
      <c r="I2959" s="11">
        <f>$E2959+0</f>
        <v>103</v>
      </c>
      <c r="J2959" s="12">
        <v>26100</v>
      </c>
      <c r="K2959" s="13">
        <f>$E2959+1</f>
        <v>104</v>
      </c>
      <c r="L2959" s="14">
        <f>IF($J2959=0,0,ROUND(MAX($J2959*1.4,1620000*(1.497923^(MIN($E2959,123)-117)))*1,0))</f>
        <v>36540</v>
      </c>
      <c r="M2959" s="11">
        <f>$E2959+2</f>
        <v>105</v>
      </c>
      <c r="N2959" s="12">
        <f>IF($J2959=0,0,ROUND(MAX($J2959*1.4*1.5,2190000*(1.580994^(MIN($E2959,123)-117)))*1,0))</f>
        <v>54810</v>
      </c>
      <c r="O2959" s="13">
        <f>$E2959+4</f>
        <v>107</v>
      </c>
      <c r="P2959" s="14">
        <f>IF($J2959=0,0,ROUND(MAX($J2959*1.4*1.5*1.6,3500000*(1.57975^(MIN($E2959,123)-117)))*1,0))</f>
        <v>87696</v>
      </c>
      <c r="Q2959" s="11">
        <f>$E2959+6</f>
        <v>109</v>
      </c>
      <c r="R2959" s="12">
        <f>IF($J2959=0,0,ROUND(MAX($J2959*1.4*1.5*1.6*1.6,13100000*(1.429962^(MIN($E2959,123)-117)))*1,0))</f>
        <v>140314</v>
      </c>
      <c r="S2959" s="13">
        <f>$E2959+8</f>
        <v>111</v>
      </c>
      <c r="T2959" s="14">
        <f>IF($J2959=0,0,ROUND(MAX($J2959*1.4*1.5*1.6*1.6*2.2,42600000*(1.576904^(MIN($E2959,123)-117)))*1,0))</f>
        <v>308690</v>
      </c>
      <c r="U2959" s="11">
        <f>$E2959+11</f>
        <v>114</v>
      </c>
      <c r="V2959" s="12">
        <f>IF($J2959=0,0,ROUND(MAX($J2959*1.4*1.5*1.6*1.6*2.2*2.715,354000000*(1.642074^(MIN($E2959,123)-117)))*1,0))</f>
        <v>838093</v>
      </c>
      <c r="W2959" s="13">
        <f>$E2959+15</f>
        <v>118</v>
      </c>
      <c r="X2959" s="14">
        <f>IF($J2959=0,0,ROUND(MAX($J2959*1.4*1.5*1.6*1.6*2.2*2.715*2.6,3540000000*(1.579646^(MIN($E2959,123)-117)))*1,0))</f>
        <v>5877146</v>
      </c>
      <c r="Y2959" s="11">
        <f>$E2959+17</f>
        <v>120</v>
      </c>
      <c r="Z2959" s="12">
        <f>IF($J2959=0,0,ROUND(MAX($J2959*1.4*1.5*1.6*1.6*2.2*2.715*2.6*1.4,6020000000*(1.651178^(MIN($E2959,123)-117)))*1,0))</f>
        <v>5376281</v>
      </c>
      <c r="AA2959" s="13">
        <f>$E2959+19</f>
        <v>122</v>
      </c>
      <c r="AB2959" s="14">
        <f>IF($J2959=0,0,ROUND(MAX($J2959*1.4*1.5*1.6*1.6*2.2*2.715*2.6*1.4*1.4,8430000000*(1.651435^(MIN($E2959,123)-117)))*1,0))</f>
        <v>7512194</v>
      </c>
      <c r="AC2959" s="11">
        <f>$E2959+21</f>
        <v>124</v>
      </c>
      <c r="AD2959" s="12">
        <f>IF($J2959=0,0,ROUND(MAX($J2959*1.4*1.5*1.6*1.6*2.2*2.715*2.6*1.4*1.4*1.5,12600000000*(1.652953^(MIN($E2959,123)-117)))*1,0))</f>
        <v>11084688</v>
      </c>
      <c r="AE2959" s="13">
        <f>$E2959+24</f>
        <v>127</v>
      </c>
      <c r="AF2959" s="14">
        <f>IF($J2959=0,0,ROUND(MAX($J2959*1.4*1.5*1.6*1.6*2.2*2.715*2.6*1.4*1.4*1.5*1.5,18900000000*(1.65331^(MIN($E2959,123)-117)))*1,0))</f>
        <v>16576839</v>
      </c>
      <c r="AG2959" s="11">
        <f>$E2959+27</f>
        <v>130</v>
      </c>
      <c r="AH2959" s="12">
        <f>IF($J2959=0,0,ROUND(MAX($J2959*1.4*1.5*1.6*1.6*2.2*2.715*2.6*1.4*1.4*1.5*1.5*3.2,60500000000*(1.654288^(MIN($E2959,123)-117)))*1,0))</f>
        <v>52625920</v>
      </c>
    </row>
    <row r="2960" ht="28" customHeight="1" spans="1:34" x14ac:dyDescent="0.25">
      <c r="A2960">
        <v>2970</v>
      </c>
      <c r="B2960" t="s">
        <v>1670</v>
      </c>
      <c r="C2960" s="10" t="s">
        <v>1650</v>
      </c>
      <c r="D2960" t="s">
        <v>75</v>
      </c>
      <c r="E2960">
        <v>103</v>
      </c>
      <c r="F2960" t="s">
        <v>42</v>
      </c>
      <c r="G2960" t="s">
        <v>43</v>
      </c>
      <c r="H2960">
        <v>21</v>
      </c>
      <c r="I2960" s="11">
        <f>$E2960+0</f>
        <v>103</v>
      </c>
      <c r="J2960" s="12">
        <v>27300</v>
      </c>
      <c r="K2960" s="13">
        <f>$E2960+1</f>
        <v>104</v>
      </c>
      <c r="L2960" s="14">
        <f>IF($J2960=0,0,ROUND(MAX($J2960*1.4,1620000*(1.497923^(MIN($E2960,123)-117)))*1,0))</f>
        <v>38220</v>
      </c>
      <c r="M2960" s="11">
        <f>$E2960+2</f>
        <v>105</v>
      </c>
      <c r="N2960" s="12">
        <f>IF($J2960=0,0,ROUND(MAX($J2960*1.4*1.5,2190000*(1.580994^(MIN($E2960,123)-117)))*1,0))</f>
        <v>57330</v>
      </c>
      <c r="O2960" s="13">
        <f>$E2960+4</f>
        <v>107</v>
      </c>
      <c r="P2960" s="14">
        <f>IF($J2960=0,0,ROUND(MAX($J2960*1.4*1.5*1.6,3500000*(1.57975^(MIN($E2960,123)-117)))*1,0))</f>
        <v>91728</v>
      </c>
      <c r="Q2960" s="11">
        <f>$E2960+6</f>
        <v>109</v>
      </c>
      <c r="R2960" s="12">
        <f>IF($J2960=0,0,ROUND(MAX($J2960*1.4*1.5*1.6*1.6,13100000*(1.429962^(MIN($E2960,123)-117)))*1,0))</f>
        <v>146765</v>
      </c>
      <c r="S2960" s="13">
        <f>$E2960+8</f>
        <v>111</v>
      </c>
      <c r="T2960" s="14">
        <f>IF($J2960=0,0,ROUND(MAX($J2960*1.4*1.5*1.6*1.6*2.2,42600000*(1.576904^(MIN($E2960,123)-117)))*1,0))</f>
        <v>322883</v>
      </c>
      <c r="U2960" s="11">
        <f>$E2960+11</f>
        <v>114</v>
      </c>
      <c r="V2960" s="12">
        <f>IF($J2960=0,0,ROUND(MAX($J2960*1.4*1.5*1.6*1.6*2.2*2.715,354000000*(1.642074^(MIN($E2960,123)-117)))*1,0))</f>
        <v>876626</v>
      </c>
      <c r="W2960" s="13">
        <f>$E2960+15</f>
        <v>118</v>
      </c>
      <c r="X2960" s="14">
        <f>IF($J2960=0,0,ROUND(MAX($J2960*1.4*1.5*1.6*1.6*2.2*2.715*2.6,3540000000*(1.579646^(MIN($E2960,123)-117)))*1,0))</f>
        <v>5877146</v>
      </c>
      <c r="Y2960" s="11">
        <f>$E2960+17</f>
        <v>120</v>
      </c>
      <c r="Z2960" s="12">
        <f>IF($J2960=0,0,ROUND(MAX($J2960*1.4*1.5*1.6*1.6*2.2*2.715*2.6*1.4,6020000000*(1.651178^(MIN($E2960,123)-117)))*1,0))</f>
        <v>5376281</v>
      </c>
      <c r="AA2960" s="13">
        <f>$E2960+19</f>
        <v>122</v>
      </c>
      <c r="AB2960" s="14">
        <f>IF($J2960=0,0,ROUND(MAX($J2960*1.4*1.5*1.6*1.6*2.2*2.715*2.6*1.4*1.4,8430000000*(1.651435^(MIN($E2960,123)-117)))*1,0))</f>
        <v>7512194</v>
      </c>
      <c r="AC2960" s="11">
        <f>$E2960+21</f>
        <v>124</v>
      </c>
      <c r="AD2960" s="12">
        <f>IF($J2960=0,0,ROUND(MAX($J2960*1.4*1.5*1.6*1.6*2.2*2.715*2.6*1.4*1.4*1.5,12600000000*(1.652953^(MIN($E2960,123)-117)))*1,0))</f>
        <v>11084688</v>
      </c>
      <c r="AE2960" s="13">
        <f>$E2960+24</f>
        <v>127</v>
      </c>
      <c r="AF2960" s="14">
        <f>IF($J2960=0,0,ROUND(MAX($J2960*1.4*1.5*1.6*1.6*2.2*2.715*2.6*1.4*1.4*1.5*1.5,18900000000*(1.65331^(MIN($E2960,123)-117)))*1,0))</f>
        <v>16576839</v>
      </c>
      <c r="AG2960" s="11">
        <f>$E2960+27</f>
        <v>130</v>
      </c>
      <c r="AH2960" s="12">
        <f>IF($J2960=0,0,ROUND(MAX($J2960*1.4*1.5*1.6*1.6*2.2*2.715*2.6*1.4*1.4*1.5*1.5*3.2,60500000000*(1.654288^(MIN($E2960,123)-117)))*1,0))</f>
        <v>52625920</v>
      </c>
    </row>
    <row r="2961" ht="28" customHeight="1" spans="1:34" x14ac:dyDescent="0.25">
      <c r="A2961">
        <v>2971</v>
      </c>
      <c r="B2961" t="s">
        <v>1671</v>
      </c>
      <c r="C2961" s="10" t="s">
        <v>1650</v>
      </c>
      <c r="D2961" t="s">
        <v>33</v>
      </c>
      <c r="E2961">
        <v>103</v>
      </c>
      <c r="F2961" t="s">
        <v>71</v>
      </c>
      <c r="G2961" t="s">
        <v>684</v>
      </c>
      <c r="H2961">
        <v>21</v>
      </c>
      <c r="I2961" s="11">
        <f>$E2961+0</f>
        <v>103</v>
      </c>
      <c r="J2961" s="12">
        <v>33300</v>
      </c>
      <c r="K2961" s="13">
        <f>$E2961+1</f>
        <v>104</v>
      </c>
      <c r="L2961" s="14">
        <f>IF($J2961=0,0,ROUND(MAX($J2961*1.4,1620000*(1.497923^(MIN($E2961,123)-117)))*1,0))</f>
        <v>46620</v>
      </c>
      <c r="M2961" s="11">
        <f>$E2961+2</f>
        <v>105</v>
      </c>
      <c r="N2961" s="12">
        <f>IF($J2961=0,0,ROUND(MAX($J2961*1.4*1.5,2190000*(1.580994^(MIN($E2961,123)-117)))*1,0))</f>
        <v>69930</v>
      </c>
      <c r="O2961" s="13">
        <f>$E2961+4</f>
        <v>107</v>
      </c>
      <c r="P2961" s="14">
        <f>IF($J2961=0,0,ROUND(MAX($J2961*1.4*1.5*1.6,3500000*(1.57975^(MIN($E2961,123)-117)))*1,0))</f>
        <v>111888</v>
      </c>
      <c r="Q2961" s="11">
        <f>$E2961+6</f>
        <v>109</v>
      </c>
      <c r="R2961" s="12">
        <f>IF($J2961=0,0,ROUND(MAX($J2961*1.4*1.5*1.6*1.6,13100000*(1.429962^(MIN($E2961,123)-117)))*1,0))</f>
        <v>179021</v>
      </c>
      <c r="S2961" s="13">
        <f>$E2961+8</f>
        <v>111</v>
      </c>
      <c r="T2961" s="14">
        <f>IF($J2961=0,0,ROUND(MAX($J2961*1.4*1.5*1.6*1.6*2.2,42600000*(1.576904^(MIN($E2961,123)-117)))*1,0))</f>
        <v>393846</v>
      </c>
      <c r="U2961" s="11">
        <f>$E2961+11</f>
        <v>114</v>
      </c>
      <c r="V2961" s="12">
        <f>IF($J2961=0,0,ROUND(MAX($J2961*1.4*1.5*1.6*1.6*2.2*2.715,354000000*(1.642074^(MIN($E2961,123)-117)))*1,0))</f>
        <v>1069291</v>
      </c>
      <c r="W2961" s="13">
        <f>$E2961+15</f>
        <v>118</v>
      </c>
      <c r="X2961" s="14">
        <f>IF($J2961=0,0,ROUND(MAX($J2961*1.4*1.5*1.6*1.6*2.2*2.715*2.6,3540000000*(1.579646^(MIN($E2961,123)-117)))*1,0))</f>
        <v>5877146</v>
      </c>
      <c r="Y2961" s="11">
        <f>$E2961+17</f>
        <v>120</v>
      </c>
      <c r="Z2961" s="12">
        <f>IF($J2961=0,0,ROUND(MAX($J2961*1.4*1.5*1.6*1.6*2.2*2.715*2.6*1.4,6020000000*(1.651178^(MIN($E2961,123)-117)))*1,0))</f>
        <v>5376281</v>
      </c>
      <c r="AA2961" s="13">
        <f>$E2961+19</f>
        <v>122</v>
      </c>
      <c r="AB2961" s="14">
        <f>IF($J2961=0,0,ROUND(MAX($J2961*1.4*1.5*1.6*1.6*2.2*2.715*2.6*1.4*1.4,8430000000*(1.651435^(MIN($E2961,123)-117)))*1,0))</f>
        <v>7512194</v>
      </c>
      <c r="AC2961" s="11">
        <f>$E2961+21</f>
        <v>124</v>
      </c>
      <c r="AD2961" s="12">
        <f>IF($J2961=0,0,ROUND(MAX($J2961*1.4*1.5*1.6*1.6*2.2*2.715*2.6*1.4*1.4*1.5,12600000000*(1.652953^(MIN($E2961,123)-117)))*1,0))</f>
        <v>11084688</v>
      </c>
      <c r="AE2961" s="13">
        <f>$E2961+24</f>
        <v>127</v>
      </c>
      <c r="AF2961" s="14">
        <f>IF($J2961=0,0,ROUND(MAX($J2961*1.4*1.5*1.6*1.6*2.2*2.715*2.6*1.4*1.4*1.5*1.5,18900000000*(1.65331^(MIN($E2961,123)-117)))*1,0))</f>
        <v>16576839</v>
      </c>
      <c r="AG2961" s="11">
        <f>$E2961+27</f>
        <v>130</v>
      </c>
      <c r="AH2961" s="12">
        <f>IF($J2961=0,0,ROUND(MAX($J2961*1.4*1.5*1.6*1.6*2.2*2.715*2.6*1.4*1.4*1.5*1.5*3.2,60500000000*(1.654288^(MIN($E2961,123)-117)))*1,0))</f>
        <v>52625920</v>
      </c>
    </row>
    <row r="2962" ht="28" customHeight="1" spans="1:34" x14ac:dyDescent="0.25">
      <c r="A2962">
        <v>2972</v>
      </c>
      <c r="B2962" t="s">
        <v>1282</v>
      </c>
      <c r="C2962" s="10" t="s">
        <v>1650</v>
      </c>
      <c r="D2962" t="s">
        <v>102</v>
      </c>
      <c r="E2962">
        <v>103</v>
      </c>
      <c r="F2962" t="s">
        <v>1283</v>
      </c>
      <c r="G2962" t="s">
        <v>1284</v>
      </c>
      <c r="H2962">
        <v>21</v>
      </c>
      <c r="I2962" s="11">
        <f>$E2962+0</f>
        <v>103</v>
      </c>
      <c r="J2962" s="12">
        <v>23400</v>
      </c>
      <c r="K2962" s="13">
        <f>$E2962+1</f>
        <v>104</v>
      </c>
      <c r="L2962" s="14">
        <f>IF($J2962=0,0,ROUND(MAX($J2962*1.4,1620000*(1.497923^(MIN($E2962,123)-117)))*1,0))</f>
        <v>32760</v>
      </c>
      <c r="M2962" s="11">
        <f>$E2962+2</f>
        <v>105</v>
      </c>
      <c r="N2962" s="12">
        <f>IF($J2962=0,0,ROUND(MAX($J2962*1.4*1.5,2190000*(1.580994^(MIN($E2962,123)-117)))*1,0))</f>
        <v>49140</v>
      </c>
      <c r="O2962" s="13">
        <f>$E2962+4</f>
        <v>107</v>
      </c>
      <c r="P2962" s="14">
        <f>IF($J2962=0,0,ROUND(MAX($J2962*1.4*1.5*1.6,3500000*(1.57975^(MIN($E2962,123)-117)))*1,0))</f>
        <v>78624</v>
      </c>
      <c r="Q2962" s="11">
        <f>$E2962+6</f>
        <v>109</v>
      </c>
      <c r="R2962" s="12">
        <f>IF($J2962=0,0,ROUND(MAX($J2962*1.4*1.5*1.6*1.6,13100000*(1.429962^(MIN($E2962,123)-117)))*1,0))</f>
        <v>125798</v>
      </c>
      <c r="S2962" s="13">
        <f>$E2962+8</f>
        <v>111</v>
      </c>
      <c r="T2962" s="14">
        <f>IF($J2962=0,0,ROUND(MAX($J2962*1.4*1.5*1.6*1.6*2.2,42600000*(1.576904^(MIN($E2962,123)-117)))*1,0))</f>
        <v>276756</v>
      </c>
      <c r="U2962" s="11">
        <f>$E2962+11</f>
        <v>114</v>
      </c>
      <c r="V2962" s="12">
        <f>IF($J2962=0,0,ROUND(MAX($J2962*1.4*1.5*1.6*1.6*2.2*2.715,354000000*(1.642074^(MIN($E2962,123)-117)))*1,0))</f>
        <v>751394</v>
      </c>
      <c r="W2962" s="13">
        <f>$E2962+15</f>
        <v>118</v>
      </c>
      <c r="X2962" s="14">
        <f>IF($J2962=0,0,ROUND(MAX($J2962*1.4*1.5*1.6*1.6*2.2*2.715*2.6,3540000000*(1.579646^(MIN($E2962,123)-117)))*1,0))</f>
        <v>5877146</v>
      </c>
      <c r="Y2962" s="11">
        <f>$E2962+17</f>
        <v>120</v>
      </c>
      <c r="Z2962" s="12">
        <f>IF($J2962=0,0,ROUND(MAX($J2962*1.4*1.5*1.6*1.6*2.2*2.715*2.6*1.4,6020000000*(1.651178^(MIN($E2962,123)-117)))*1,0))</f>
        <v>5376281</v>
      </c>
      <c r="AA2962" s="13">
        <f>$E2962+19</f>
        <v>122</v>
      </c>
      <c r="AB2962" s="14">
        <f>IF($J2962=0,0,ROUND(MAX($J2962*1.4*1.5*1.6*1.6*2.2*2.715*2.6*1.4*1.4,8430000000*(1.651435^(MIN($E2962,123)-117)))*1,0))</f>
        <v>7512194</v>
      </c>
      <c r="AC2962" s="11">
        <f>$E2962+21</f>
        <v>124</v>
      </c>
      <c r="AD2962" s="12">
        <f>IF($J2962=0,0,ROUND(MAX($J2962*1.4*1.5*1.6*1.6*2.2*2.715*2.6*1.4*1.4*1.5,12600000000*(1.652953^(MIN($E2962,123)-117)))*1,0))</f>
        <v>11084688</v>
      </c>
      <c r="AE2962" s="13">
        <f>$E2962+24</f>
        <v>127</v>
      </c>
      <c r="AF2962" s="14">
        <f>IF($J2962=0,0,ROUND(MAX($J2962*1.4*1.5*1.6*1.6*2.2*2.715*2.6*1.4*1.4*1.5*1.5,18900000000*(1.65331^(MIN($E2962,123)-117)))*1,0))</f>
        <v>16576839</v>
      </c>
      <c r="AG2962" s="11">
        <f>$E2962+27</f>
        <v>130</v>
      </c>
      <c r="AH2962" s="12">
        <f>IF($J2962=0,0,ROUND(MAX($J2962*1.4*1.5*1.6*1.6*2.2*2.715*2.6*1.4*1.4*1.5*1.5*3.2,60500000000*(1.654288^(MIN($E2962,123)-117)))*1,0))</f>
        <v>52625920</v>
      </c>
    </row>
    <row r="2963" ht="28" customHeight="1" spans="1:34" x14ac:dyDescent="0.25">
      <c r="A2963">
        <v>2973</v>
      </c>
      <c r="B2963" t="s">
        <v>380</v>
      </c>
      <c r="C2963" s="10" t="s">
        <v>1650</v>
      </c>
      <c r="D2963" t="s">
        <v>45</v>
      </c>
      <c r="E2963">
        <v>103</v>
      </c>
      <c r="F2963" t="s">
        <v>54</v>
      </c>
      <c r="G2963" t="s">
        <v>381</v>
      </c>
      <c r="H2963">
        <v>21</v>
      </c>
      <c r="I2963" s="11">
        <f>$E2963+0</f>
        <v>103</v>
      </c>
      <c r="J2963" s="12">
        <v>27100</v>
      </c>
      <c r="K2963" s="13">
        <f>$E2963+1</f>
        <v>104</v>
      </c>
      <c r="L2963" s="14">
        <f>IF($J2963=0,0,ROUND(MAX($J2963*1.4,1620000*(1.497923^(MIN($E2963,123)-117)))*1,0))</f>
        <v>37940</v>
      </c>
      <c r="M2963" s="11">
        <f>$E2963+2</f>
        <v>105</v>
      </c>
      <c r="N2963" s="12">
        <f>IF($J2963=0,0,ROUND(MAX($J2963*1.4*1.5,2190000*(1.580994^(MIN($E2963,123)-117)))*1,0))</f>
        <v>56910</v>
      </c>
      <c r="O2963" s="13">
        <f>$E2963+4</f>
        <v>107</v>
      </c>
      <c r="P2963" s="14">
        <f>IF($J2963=0,0,ROUND(MAX($J2963*1.4*1.5*1.6,3500000*(1.57975^(MIN($E2963,123)-117)))*1,0))</f>
        <v>91056</v>
      </c>
      <c r="Q2963" s="11">
        <f>$E2963+6</f>
        <v>109</v>
      </c>
      <c r="R2963" s="12">
        <f>IF($J2963=0,0,ROUND(MAX($J2963*1.4*1.5*1.6*1.6,13100000*(1.429962^(MIN($E2963,123)-117)))*1,0))</f>
        <v>145690</v>
      </c>
      <c r="S2963" s="13">
        <f>$E2963+8</f>
        <v>111</v>
      </c>
      <c r="T2963" s="14">
        <f>IF($J2963=0,0,ROUND(MAX($J2963*1.4*1.5*1.6*1.6*2.2,42600000*(1.576904^(MIN($E2963,123)-117)))*1,0))</f>
        <v>320517</v>
      </c>
      <c r="U2963" s="11">
        <f>$E2963+11</f>
        <v>114</v>
      </c>
      <c r="V2963" s="12">
        <f>IF($J2963=0,0,ROUND(MAX($J2963*1.4*1.5*1.6*1.6*2.2*2.715,354000000*(1.642074^(MIN($E2963,123)-117)))*1,0))</f>
        <v>870204</v>
      </c>
      <c r="W2963" s="13">
        <f>$E2963+15</f>
        <v>118</v>
      </c>
      <c r="X2963" s="14">
        <f>IF($J2963=0,0,ROUND(MAX($J2963*1.4*1.5*1.6*1.6*2.2*2.715*2.6,3540000000*(1.579646^(MIN($E2963,123)-117)))*1,0))</f>
        <v>5877146</v>
      </c>
      <c r="Y2963" s="11">
        <f>$E2963+17</f>
        <v>120</v>
      </c>
      <c r="Z2963" s="12">
        <f>IF($J2963=0,0,ROUND(MAX($J2963*1.4*1.5*1.6*1.6*2.2*2.715*2.6*1.4,6020000000*(1.651178^(MIN($E2963,123)-117)))*1,0))</f>
        <v>5376281</v>
      </c>
      <c r="AA2963" s="13">
        <f>$E2963+19</f>
        <v>122</v>
      </c>
      <c r="AB2963" s="14">
        <f>IF($J2963=0,0,ROUND(MAX($J2963*1.4*1.5*1.6*1.6*2.2*2.715*2.6*1.4*1.4,8430000000*(1.651435^(MIN($E2963,123)-117)))*1,0))</f>
        <v>7512194</v>
      </c>
      <c r="AC2963" s="11">
        <f>$E2963+21</f>
        <v>124</v>
      </c>
      <c r="AD2963" s="12">
        <f>IF($J2963=0,0,ROUND(MAX($J2963*1.4*1.5*1.6*1.6*2.2*2.715*2.6*1.4*1.4*1.5,12600000000*(1.652953^(MIN($E2963,123)-117)))*1,0))</f>
        <v>11084688</v>
      </c>
      <c r="AE2963" s="13">
        <f>$E2963+24</f>
        <v>127</v>
      </c>
      <c r="AF2963" s="14">
        <f>IF($J2963=0,0,ROUND(MAX($J2963*1.4*1.5*1.6*1.6*2.2*2.715*2.6*1.4*1.4*1.5*1.5,18900000000*(1.65331^(MIN($E2963,123)-117)))*1,0))</f>
        <v>16576839</v>
      </c>
      <c r="AG2963" s="11">
        <f>$E2963+27</f>
        <v>130</v>
      </c>
      <c r="AH2963" s="12">
        <f>IF($J2963=0,0,ROUND(MAX($J2963*1.4*1.5*1.6*1.6*2.2*2.715*2.6*1.4*1.4*1.5*1.5*3.2,60500000000*(1.654288^(MIN($E2963,123)-117)))*1,0))</f>
        <v>52625920</v>
      </c>
    </row>
    <row r="2964" ht="28" customHeight="1" spans="1:34" x14ac:dyDescent="0.25">
      <c r="A2964">
        <v>2974</v>
      </c>
      <c r="B2964" t="s">
        <v>1672</v>
      </c>
      <c r="C2964" s="10" t="s">
        <v>1650</v>
      </c>
      <c r="D2964" t="s">
        <v>33</v>
      </c>
      <c r="E2964">
        <v>103</v>
      </c>
      <c r="F2964" t="s">
        <v>42</v>
      </c>
      <c r="G2964" t="s">
        <v>562</v>
      </c>
      <c r="H2964">
        <v>21</v>
      </c>
      <c r="I2964" s="11">
        <f>$E2964+0</f>
        <v>103</v>
      </c>
      <c r="J2964" s="12">
        <v>11600</v>
      </c>
      <c r="K2964" s="13">
        <f>$E2964+1</f>
        <v>104</v>
      </c>
      <c r="L2964" s="14">
        <f>IF($J2964=0,0,ROUND(MAX($J2964*1.4,1620000*(1.497923^(MIN($E2964,123)-117)))*1,0))</f>
        <v>16240</v>
      </c>
      <c r="M2964" s="11">
        <f>$E2964+2</f>
        <v>105</v>
      </c>
      <c r="N2964" s="12">
        <f>IF($J2964=0,0,ROUND(MAX($J2964*1.4*1.5,2190000*(1.580994^(MIN($E2964,123)-117)))*1,0))</f>
        <v>24360</v>
      </c>
      <c r="O2964" s="13">
        <f>$E2964+4</f>
        <v>107</v>
      </c>
      <c r="P2964" s="14">
        <f>IF($J2964=0,0,ROUND(MAX($J2964*1.4*1.5*1.6,3500000*(1.57975^(MIN($E2964,123)-117)))*1,0))</f>
        <v>38976</v>
      </c>
      <c r="Q2964" s="11">
        <f>$E2964+6</f>
        <v>109</v>
      </c>
      <c r="R2964" s="12">
        <f>IF($J2964=0,0,ROUND(MAX($J2964*1.4*1.5*1.6*1.6,13100000*(1.429962^(MIN($E2964,123)-117)))*1,0))</f>
        <v>87645</v>
      </c>
      <c r="S2964" s="13">
        <f>$E2964+8</f>
        <v>111</v>
      </c>
      <c r="T2964" s="14">
        <f>IF($J2964=0,0,ROUND(MAX($J2964*1.4*1.5*1.6*1.6*2.2,42600000*(1.576904^(MIN($E2964,123)-117)))*1,0))</f>
        <v>137196</v>
      </c>
      <c r="U2964" s="11">
        <f>$E2964+11</f>
        <v>114</v>
      </c>
      <c r="V2964" s="12">
        <f>IF($J2964=0,0,ROUND(MAX($J2964*1.4*1.5*1.6*1.6*2.2*2.715,354000000*(1.642074^(MIN($E2964,123)-117)))*1,0))</f>
        <v>372486</v>
      </c>
      <c r="W2964" s="13">
        <f>$E2964+15</f>
        <v>118</v>
      </c>
      <c r="X2964" s="14">
        <f>IF($J2964=0,0,ROUND(MAX($J2964*1.4*1.5*1.6*1.6*2.2*2.715*2.6,3540000000*(1.579646^(MIN($E2964,123)-117)))*1,0))</f>
        <v>5877146</v>
      </c>
      <c r="Y2964" s="11">
        <f>$E2964+17</f>
        <v>120</v>
      </c>
      <c r="Z2964" s="12">
        <f>IF($J2964=0,0,ROUND(MAX($J2964*1.4*1.5*1.6*1.6*2.2*2.715*2.6*1.4,6020000000*(1.651178^(MIN($E2964,123)-117)))*1,0))</f>
        <v>5376281</v>
      </c>
      <c r="AA2964" s="13">
        <f>$E2964+19</f>
        <v>122</v>
      </c>
      <c r="AB2964" s="14">
        <f>IF($J2964=0,0,ROUND(MAX($J2964*1.4*1.5*1.6*1.6*2.2*2.715*2.6*1.4*1.4,8430000000*(1.651435^(MIN($E2964,123)-117)))*1,0))</f>
        <v>7512194</v>
      </c>
      <c r="AC2964" s="11">
        <f>$E2964+21</f>
        <v>124</v>
      </c>
      <c r="AD2964" s="12">
        <f>IF($J2964=0,0,ROUND(MAX($J2964*1.4*1.5*1.6*1.6*2.2*2.715*2.6*1.4*1.4*1.5,12600000000*(1.652953^(MIN($E2964,123)-117)))*1,0))</f>
        <v>11084688</v>
      </c>
      <c r="AE2964" s="13">
        <f>$E2964+24</f>
        <v>127</v>
      </c>
      <c r="AF2964" s="14">
        <f>IF($J2964=0,0,ROUND(MAX($J2964*1.4*1.5*1.6*1.6*2.2*2.715*2.6*1.4*1.4*1.5*1.5,18900000000*(1.65331^(MIN($E2964,123)-117)))*1,0))</f>
        <v>16576839</v>
      </c>
      <c r="AG2964" s="11">
        <f>$E2964+27</f>
        <v>130</v>
      </c>
      <c r="AH2964" s="12">
        <f>IF($J2964=0,0,ROUND(MAX($J2964*1.4*1.5*1.6*1.6*2.2*2.715*2.6*1.4*1.4*1.5*1.5*3.2,60500000000*(1.654288^(MIN($E2964,123)-117)))*1,0))</f>
        <v>52625920</v>
      </c>
    </row>
    <row r="2965" ht="28" customHeight="1" spans="1:34" x14ac:dyDescent="0.25">
      <c r="A2965">
        <v>2975</v>
      </c>
      <c r="B2965" t="s">
        <v>1072</v>
      </c>
      <c r="C2965" s="10" t="s">
        <v>1650</v>
      </c>
      <c r="D2965" t="s">
        <v>75</v>
      </c>
      <c r="E2965">
        <v>103</v>
      </c>
      <c r="F2965" t="s">
        <v>34</v>
      </c>
      <c r="G2965" t="s">
        <v>569</v>
      </c>
      <c r="H2965">
        <v>21</v>
      </c>
      <c r="I2965" s="11">
        <f>$E2965+0</f>
        <v>103</v>
      </c>
      <c r="J2965" s="12">
        <v>25400</v>
      </c>
      <c r="K2965" s="13">
        <f>$E2965+1</f>
        <v>104</v>
      </c>
      <c r="L2965" s="14">
        <f>IF($J2965=0,0,ROUND(MAX($J2965*1.4,1620000*(1.497923^(MIN($E2965,123)-117)))*1,0))</f>
        <v>35560</v>
      </c>
      <c r="M2965" s="11">
        <f>$E2965+2</f>
        <v>105</v>
      </c>
      <c r="N2965" s="12">
        <f>IF($J2965=0,0,ROUND(MAX($J2965*1.4*1.5,2190000*(1.580994^(MIN($E2965,123)-117)))*1,0))</f>
        <v>53340</v>
      </c>
      <c r="O2965" s="13">
        <f>$E2965+4</f>
        <v>107</v>
      </c>
      <c r="P2965" s="14">
        <f>IF($J2965=0,0,ROUND(MAX($J2965*1.4*1.5*1.6,3500000*(1.57975^(MIN($E2965,123)-117)))*1,0))</f>
        <v>85344</v>
      </c>
      <c r="Q2965" s="11">
        <f>$E2965+6</f>
        <v>109</v>
      </c>
      <c r="R2965" s="12">
        <f>IF($J2965=0,0,ROUND(MAX($J2965*1.4*1.5*1.6*1.6,13100000*(1.429962^(MIN($E2965,123)-117)))*1,0))</f>
        <v>136550</v>
      </c>
      <c r="S2965" s="13">
        <f>$E2965+8</f>
        <v>111</v>
      </c>
      <c r="T2965" s="14">
        <f>IF($J2965=0,0,ROUND(MAX($J2965*1.4*1.5*1.6*1.6*2.2,42600000*(1.576904^(MIN($E2965,123)-117)))*1,0))</f>
        <v>300411</v>
      </c>
      <c r="U2965" s="11">
        <f>$E2965+11</f>
        <v>114</v>
      </c>
      <c r="V2965" s="12">
        <f>IF($J2965=0,0,ROUND(MAX($J2965*1.4*1.5*1.6*1.6*2.2*2.715,354000000*(1.642074^(MIN($E2965,123)-117)))*1,0))</f>
        <v>815616</v>
      </c>
      <c r="W2965" s="13">
        <f>$E2965+15</f>
        <v>118</v>
      </c>
      <c r="X2965" s="14">
        <f>IF($J2965=0,0,ROUND(MAX($J2965*1.4*1.5*1.6*1.6*2.2*2.715*2.6,3540000000*(1.579646^(MIN($E2965,123)-117)))*1,0))</f>
        <v>5877146</v>
      </c>
      <c r="Y2965" s="11">
        <f>$E2965+17</f>
        <v>120</v>
      </c>
      <c r="Z2965" s="12">
        <f>IF($J2965=0,0,ROUND(MAX($J2965*1.4*1.5*1.6*1.6*2.2*2.715*2.6*1.4,6020000000*(1.651178^(MIN($E2965,123)-117)))*1,0))</f>
        <v>5376281</v>
      </c>
      <c r="AA2965" s="13">
        <f>$E2965+19</f>
        <v>122</v>
      </c>
      <c r="AB2965" s="14">
        <f>IF($J2965=0,0,ROUND(MAX($J2965*1.4*1.5*1.6*1.6*2.2*2.715*2.6*1.4*1.4,8430000000*(1.651435^(MIN($E2965,123)-117)))*1,0))</f>
        <v>7512194</v>
      </c>
      <c r="AC2965" s="11">
        <f>$E2965+21</f>
        <v>124</v>
      </c>
      <c r="AD2965" s="12">
        <f>IF($J2965=0,0,ROUND(MAX($J2965*1.4*1.5*1.6*1.6*2.2*2.715*2.6*1.4*1.4*1.5,12600000000*(1.652953^(MIN($E2965,123)-117)))*1,0))</f>
        <v>11084688</v>
      </c>
      <c r="AE2965" s="13">
        <f>$E2965+24</f>
        <v>127</v>
      </c>
      <c r="AF2965" s="14">
        <f>IF($J2965=0,0,ROUND(MAX($J2965*1.4*1.5*1.6*1.6*2.2*2.715*2.6*1.4*1.4*1.5*1.5,18900000000*(1.65331^(MIN($E2965,123)-117)))*1,0))</f>
        <v>16576839</v>
      </c>
      <c r="AG2965" s="11">
        <f>$E2965+27</f>
        <v>130</v>
      </c>
      <c r="AH2965" s="12">
        <f>IF($J2965=0,0,ROUND(MAX($J2965*1.4*1.5*1.6*1.6*2.2*2.715*2.6*1.4*1.4*1.5*1.5*3.2,60500000000*(1.654288^(MIN($E2965,123)-117)))*1,0))</f>
        <v>52625920</v>
      </c>
    </row>
    <row r="2966" ht="28" customHeight="1" spans="1:34" x14ac:dyDescent="0.25">
      <c r="A2966">
        <v>2976</v>
      </c>
      <c r="B2966" t="s">
        <v>841</v>
      </c>
      <c r="C2966" s="10" t="s">
        <v>1650</v>
      </c>
      <c r="D2966" t="s">
        <v>33</v>
      </c>
      <c r="E2966">
        <v>103</v>
      </c>
      <c r="F2966" t="s">
        <v>42</v>
      </c>
      <c r="G2966" t="s">
        <v>402</v>
      </c>
      <c r="H2966">
        <v>21</v>
      </c>
      <c r="I2966" s="11">
        <f>$E2966+0</f>
        <v>103</v>
      </c>
      <c r="J2966" s="12">
        <v>25400</v>
      </c>
      <c r="K2966" s="13">
        <f>$E2966+1</f>
        <v>104</v>
      </c>
      <c r="L2966" s="14">
        <f>IF($J2966=0,0,ROUND(MAX($J2966*1.4,1620000*(1.497923^(MIN($E2966,123)-117)))*1,0))</f>
        <v>35560</v>
      </c>
      <c r="M2966" s="11">
        <f>$E2966+2</f>
        <v>105</v>
      </c>
      <c r="N2966" s="12">
        <f>IF($J2966=0,0,ROUND(MAX($J2966*1.4*1.5,2190000*(1.580994^(MIN($E2966,123)-117)))*1,0))</f>
        <v>53340</v>
      </c>
      <c r="O2966" s="13">
        <f>$E2966+4</f>
        <v>107</v>
      </c>
      <c r="P2966" s="14">
        <f>IF($J2966=0,0,ROUND(MAX($J2966*1.4*1.5*1.6,3500000*(1.57975^(MIN($E2966,123)-117)))*1,0))</f>
        <v>85344</v>
      </c>
      <c r="Q2966" s="11">
        <f>$E2966+6</f>
        <v>109</v>
      </c>
      <c r="R2966" s="12">
        <f>IF($J2966=0,0,ROUND(MAX($J2966*1.4*1.5*1.6*1.6,13100000*(1.429962^(MIN($E2966,123)-117)))*1,0))</f>
        <v>136550</v>
      </c>
      <c r="S2966" s="13">
        <f>$E2966+8</f>
        <v>111</v>
      </c>
      <c r="T2966" s="14">
        <f>IF($J2966=0,0,ROUND(MAX($J2966*1.4*1.5*1.6*1.6*2.2,42600000*(1.576904^(MIN($E2966,123)-117)))*1,0))</f>
        <v>300411</v>
      </c>
      <c r="U2966" s="11">
        <f>$E2966+11</f>
        <v>114</v>
      </c>
      <c r="V2966" s="12">
        <f>IF($J2966=0,0,ROUND(MAX($J2966*1.4*1.5*1.6*1.6*2.2*2.715,354000000*(1.642074^(MIN($E2966,123)-117)))*1,0))</f>
        <v>815616</v>
      </c>
      <c r="W2966" s="13">
        <f>$E2966+15</f>
        <v>118</v>
      </c>
      <c r="X2966" s="14">
        <f>IF($J2966=0,0,ROUND(MAX($J2966*1.4*1.5*1.6*1.6*2.2*2.715*2.6,3540000000*(1.579646^(MIN($E2966,123)-117)))*1,0))</f>
        <v>5877146</v>
      </c>
      <c r="Y2966" s="11">
        <f>$E2966+17</f>
        <v>120</v>
      </c>
      <c r="Z2966" s="12">
        <f>IF($J2966=0,0,ROUND(MAX($J2966*1.4*1.5*1.6*1.6*2.2*2.715*2.6*1.4,6020000000*(1.651178^(MIN($E2966,123)-117)))*1,0))</f>
        <v>5376281</v>
      </c>
      <c r="AA2966" s="13">
        <f>$E2966+19</f>
        <v>122</v>
      </c>
      <c r="AB2966" s="14">
        <f>IF($J2966=0,0,ROUND(MAX($J2966*1.4*1.5*1.6*1.6*2.2*2.715*2.6*1.4*1.4,8430000000*(1.651435^(MIN($E2966,123)-117)))*1,0))</f>
        <v>7512194</v>
      </c>
      <c r="AC2966" s="11">
        <f>$E2966+21</f>
        <v>124</v>
      </c>
      <c r="AD2966" s="12">
        <f>IF($J2966=0,0,ROUND(MAX($J2966*1.4*1.5*1.6*1.6*2.2*2.715*2.6*1.4*1.4*1.5,12600000000*(1.652953^(MIN($E2966,123)-117)))*1,0))</f>
        <v>11084688</v>
      </c>
      <c r="AE2966" s="13">
        <f>$E2966+24</f>
        <v>127</v>
      </c>
      <c r="AF2966" s="14">
        <f>IF($J2966=0,0,ROUND(MAX($J2966*1.4*1.5*1.6*1.6*2.2*2.715*2.6*1.4*1.4*1.5*1.5,18900000000*(1.65331^(MIN($E2966,123)-117)))*1,0))</f>
        <v>16576839</v>
      </c>
      <c r="AG2966" s="11">
        <f>$E2966+27</f>
        <v>130</v>
      </c>
      <c r="AH2966" s="12">
        <f>IF($J2966=0,0,ROUND(MAX($J2966*1.4*1.5*1.6*1.6*2.2*2.715*2.6*1.4*1.4*1.5*1.5*3.2,60500000000*(1.654288^(MIN($E2966,123)-117)))*1,0))</f>
        <v>52625920</v>
      </c>
    </row>
    <row r="2967" ht="28" customHeight="1" spans="1:34" x14ac:dyDescent="0.25">
      <c r="A2967">
        <v>2977</v>
      </c>
      <c r="B2967" t="s">
        <v>881</v>
      </c>
      <c r="C2967" s="10" t="s">
        <v>1650</v>
      </c>
      <c r="D2967" t="s">
        <v>33</v>
      </c>
      <c r="E2967">
        <v>103</v>
      </c>
      <c r="F2967" t="s">
        <v>54</v>
      </c>
      <c r="G2967" t="s">
        <v>562</v>
      </c>
      <c r="H2967">
        <v>21</v>
      </c>
      <c r="I2967" s="11">
        <f>$E2967+0</f>
        <v>103</v>
      </c>
      <c r="J2967" s="12">
        <v>37800</v>
      </c>
      <c r="K2967" s="13">
        <f>$E2967+1</f>
        <v>104</v>
      </c>
      <c r="L2967" s="14">
        <f>IF($J2967=0,0,ROUND(MAX($J2967*1.4,1620000*(1.497923^(MIN($E2967,123)-117)))*1,0))</f>
        <v>52920</v>
      </c>
      <c r="M2967" s="11">
        <f>$E2967+2</f>
        <v>105</v>
      </c>
      <c r="N2967" s="12">
        <f>IF($J2967=0,0,ROUND(MAX($J2967*1.4*1.5,2190000*(1.580994^(MIN($E2967,123)-117)))*1,0))</f>
        <v>79380</v>
      </c>
      <c r="O2967" s="13">
        <f>$E2967+4</f>
        <v>107</v>
      </c>
      <c r="P2967" s="14">
        <f>IF($J2967=0,0,ROUND(MAX($J2967*1.4*1.5*1.6,3500000*(1.57975^(MIN($E2967,123)-117)))*1,0))</f>
        <v>127008</v>
      </c>
      <c r="Q2967" s="11">
        <f>$E2967+6</f>
        <v>109</v>
      </c>
      <c r="R2967" s="12">
        <f>IF($J2967=0,0,ROUND(MAX($J2967*1.4*1.5*1.6*1.6,13100000*(1.429962^(MIN($E2967,123)-117)))*1,0))</f>
        <v>203213</v>
      </c>
      <c r="S2967" s="13">
        <f>$E2967+8</f>
        <v>111</v>
      </c>
      <c r="T2967" s="14">
        <f>IF($J2967=0,0,ROUND(MAX($J2967*1.4*1.5*1.6*1.6*2.2,42600000*(1.576904^(MIN($E2967,123)-117)))*1,0))</f>
        <v>447068</v>
      </c>
      <c r="U2967" s="11">
        <f>$E2967+11</f>
        <v>114</v>
      </c>
      <c r="V2967" s="12">
        <f>IF($J2967=0,0,ROUND(MAX($J2967*1.4*1.5*1.6*1.6*2.2*2.715,354000000*(1.642074^(MIN($E2967,123)-117)))*1,0))</f>
        <v>1213790</v>
      </c>
      <c r="W2967" s="13">
        <f>$E2967+15</f>
        <v>118</v>
      </c>
      <c r="X2967" s="14">
        <f>IF($J2967=0,0,ROUND(MAX($J2967*1.4*1.5*1.6*1.6*2.2*2.715*2.6,3540000000*(1.579646^(MIN($E2967,123)-117)))*1,0))</f>
        <v>5877146</v>
      </c>
      <c r="Y2967" s="11">
        <f>$E2967+17</f>
        <v>120</v>
      </c>
      <c r="Z2967" s="12">
        <f>IF($J2967=0,0,ROUND(MAX($J2967*1.4*1.5*1.6*1.6*2.2*2.715*2.6*1.4,6020000000*(1.651178^(MIN($E2967,123)-117)))*1,0))</f>
        <v>5376281</v>
      </c>
      <c r="AA2967" s="13">
        <f>$E2967+19</f>
        <v>122</v>
      </c>
      <c r="AB2967" s="14">
        <f>IF($J2967=0,0,ROUND(MAX($J2967*1.4*1.5*1.6*1.6*2.2*2.715*2.6*1.4*1.4,8430000000*(1.651435^(MIN($E2967,123)-117)))*1,0))</f>
        <v>7512194</v>
      </c>
      <c r="AC2967" s="11">
        <f>$E2967+21</f>
        <v>124</v>
      </c>
      <c r="AD2967" s="12">
        <f>IF($J2967=0,0,ROUND(MAX($J2967*1.4*1.5*1.6*1.6*2.2*2.715*2.6*1.4*1.4*1.5,12600000000*(1.652953^(MIN($E2967,123)-117)))*1,0))</f>
        <v>11084688</v>
      </c>
      <c r="AE2967" s="13">
        <f>$E2967+24</f>
        <v>127</v>
      </c>
      <c r="AF2967" s="14">
        <f>IF($J2967=0,0,ROUND(MAX($J2967*1.4*1.5*1.6*1.6*2.2*2.715*2.6*1.4*1.4*1.5*1.5,18900000000*(1.65331^(MIN($E2967,123)-117)))*1,0))</f>
        <v>16576839</v>
      </c>
      <c r="AG2967" s="11">
        <f>$E2967+27</f>
        <v>130</v>
      </c>
      <c r="AH2967" s="12">
        <f>IF($J2967=0,0,ROUND(MAX($J2967*1.4*1.5*1.6*1.6*2.2*2.715*2.6*1.4*1.4*1.5*1.5*3.2,60500000000*(1.654288^(MIN($E2967,123)-117)))*1,0))</f>
        <v>52625920</v>
      </c>
    </row>
    <row r="2968" ht="28" customHeight="1" spans="1:34" x14ac:dyDescent="0.25">
      <c r="A2968">
        <v>2978</v>
      </c>
      <c r="B2968" t="s">
        <v>234</v>
      </c>
      <c r="C2968" s="10" t="s">
        <v>1673</v>
      </c>
      <c r="D2968" t="s">
        <v>40</v>
      </c>
      <c r="E2968">
        <v>108</v>
      </c>
      <c r="F2968" t="s">
        <v>223</v>
      </c>
      <c r="G2968" t="s">
        <v>185</v>
      </c>
      <c r="H2968">
        <v>25</v>
      </c>
      <c r="I2968" s="11">
        <f>$E2968+0</f>
        <v>108</v>
      </c>
      <c r="J2968" s="12">
        <v>11100</v>
      </c>
      <c r="K2968" s="13">
        <f>$E2968+1</f>
        <v>109</v>
      </c>
      <c r="L2968" s="14">
        <f>IF($J2968=0,0,ROUND(MAX($J2968*1.4,1620000*(1.497923^(MIN($E2968,123)-117)))*1,0))</f>
        <v>42669</v>
      </c>
      <c r="M2968" s="11">
        <f>$E2968+2</f>
        <v>110</v>
      </c>
      <c r="N2968" s="12">
        <f>IF($J2968=0,0,ROUND(MAX($J2968*1.4*1.5,2190000*(1.580994^(MIN($E2968,123)-117)))*1,0))</f>
        <v>35487</v>
      </c>
      <c r="O2968" s="13">
        <f>$E2968+4</f>
        <v>112</v>
      </c>
      <c r="P2968" s="14">
        <f>IF($J2968=0,0,ROUND(MAX($J2968*1.4*1.5*1.6,3500000*(1.57975^(MIN($E2968,123)-117)))*1,0))</f>
        <v>57118</v>
      </c>
      <c r="Q2968" s="11">
        <f>$E2968+6</f>
        <v>114</v>
      </c>
      <c r="R2968" s="12">
        <f>IF($J2968=0,0,ROUND(MAX($J2968*1.4*1.5*1.6*1.6,13100000*(1.429962^(MIN($E2968,123)-117)))*1,0))</f>
        <v>524024</v>
      </c>
      <c r="S2968" s="13">
        <f>$E2968+8</f>
        <v>116</v>
      </c>
      <c r="T2968" s="14">
        <f>IF($J2968=0,0,ROUND(MAX($J2968*1.4*1.5*1.6*1.6*2.2,42600000*(1.576904^(MIN($E2968,123)-117)))*1,0))</f>
        <v>706582</v>
      </c>
      <c r="U2968" s="11">
        <f>$E2968+11</f>
        <v>119</v>
      </c>
      <c r="V2968" s="12">
        <f>IF($J2968=0,0,ROUND(MAX($J2968*1.4*1.5*1.6*1.6*2.2*2.715,354000000*(1.642074^(MIN($E2968,123)-117)))*1,0))</f>
        <v>4078202</v>
      </c>
      <c r="W2968" s="13">
        <f>$E2968+15</f>
        <v>123</v>
      </c>
      <c r="X2968" s="14">
        <f>IF($J2968=0,0,ROUND(MAX($J2968*1.4*1.5*1.6*1.6*2.2*2.715*2.6,3540000000*(1.579646^(MIN($E2968,123)-117)))*1,0))</f>
        <v>57804988</v>
      </c>
      <c r="Y2968" s="11">
        <f>$E2968+17</f>
        <v>125</v>
      </c>
      <c r="Z2968" s="12">
        <f>IF($J2968=0,0,ROUND(MAX($J2968*1.4*1.5*1.6*1.6*2.2*2.715*2.6*1.4,6020000000*(1.651178^(MIN($E2968,123)-117)))*1,0))</f>
        <v>65985946</v>
      </c>
      <c r="AA2968" s="13">
        <f>$E2968+19</f>
        <v>127</v>
      </c>
      <c r="AB2968" s="14">
        <f>IF($J2968=0,0,ROUND(MAX($J2968*1.4*1.5*1.6*1.6*2.2*2.715*2.6*1.4*1.4,8430000000*(1.651435^(MIN($E2968,123)-117)))*1,0))</f>
        <v>92272909</v>
      </c>
      <c r="AC2968" s="11">
        <f>$E2968+21</f>
        <v>129</v>
      </c>
      <c r="AD2968" s="12">
        <f>IF($J2968=0,0,ROUND(MAX($J2968*1.4*1.5*1.6*1.6*2.2*2.715*2.6*1.4*1.4*1.5,12600000000*(1.652953^(MIN($E2968,123)-117)))*1,0))</f>
        <v>136781071</v>
      </c>
      <c r="AE2968" s="13">
        <f>$E2968+24</f>
        <v>132</v>
      </c>
      <c r="AF2968" s="14">
        <f>IF($J2968=0,0,ROUND(MAX($J2968*1.4*1.5*1.6*1.6*2.2*2.715*2.6*1.4*1.4*1.5*1.5,18900000000*(1.65331^(MIN($E2968,123)-117)))*1,0))</f>
        <v>204773225</v>
      </c>
      <c r="AG2968" s="11">
        <f>$E2968+27</f>
        <v>135</v>
      </c>
      <c r="AH2968" s="12">
        <f>IF($J2968=0,0,ROUND(MAX($J2968*1.4*1.5*1.6*1.6*2.2*2.715*2.6*1.4*1.4*1.5*1.5*3.2,60500000000*(1.654288^(MIN($E2968,123)-117)))*1,0))</f>
        <v>652011566</v>
      </c>
    </row>
    <row r="2969" ht="28" customHeight="1" spans="1:34" x14ac:dyDescent="0.25">
      <c r="A2969">
        <v>2979</v>
      </c>
      <c r="B2969" t="s">
        <v>587</v>
      </c>
      <c r="C2969" s="10" t="s">
        <v>1673</v>
      </c>
      <c r="D2969" t="s">
        <v>79</v>
      </c>
      <c r="E2969">
        <v>108</v>
      </c>
      <c r="F2969" t="s">
        <v>30</v>
      </c>
      <c r="G2969" t="s">
        <v>38</v>
      </c>
      <c r="H2969">
        <v>25</v>
      </c>
      <c r="I2969" s="11">
        <f>$E2969+0</f>
        <v>108</v>
      </c>
      <c r="J2969" s="12">
        <v>20100</v>
      </c>
      <c r="K2969" s="13">
        <f>$E2969+1</f>
        <v>109</v>
      </c>
      <c r="L2969" s="14">
        <f>IF($J2969=0,0,ROUND(MAX($J2969*1.4,1620000*(1.497923^(MIN($E2969,123)-117)))*1,0))</f>
        <v>42669</v>
      </c>
      <c r="M2969" s="11">
        <f>$E2969+2</f>
        <v>110</v>
      </c>
      <c r="N2969" s="12">
        <f>IF($J2969=0,0,ROUND(MAX($J2969*1.4*1.5,2190000*(1.580994^(MIN($E2969,123)-117)))*1,0))</f>
        <v>42210</v>
      </c>
      <c r="O2969" s="13">
        <f>$E2969+4</f>
        <v>112</v>
      </c>
      <c r="P2969" s="14">
        <f>IF($J2969=0,0,ROUND(MAX($J2969*1.4*1.5*1.6,3500000*(1.57975^(MIN($E2969,123)-117)))*1,0))</f>
        <v>67536</v>
      </c>
      <c r="Q2969" s="11">
        <f>$E2969+6</f>
        <v>114</v>
      </c>
      <c r="R2969" s="12">
        <f>IF($J2969=0,0,ROUND(MAX($J2969*1.4*1.5*1.6*1.6,13100000*(1.429962^(MIN($E2969,123)-117)))*1,0))</f>
        <v>524024</v>
      </c>
      <c r="S2969" s="13">
        <f>$E2969+8</f>
        <v>116</v>
      </c>
      <c r="T2969" s="14">
        <f>IF($J2969=0,0,ROUND(MAX($J2969*1.4*1.5*1.6*1.6*2.2,42600000*(1.576904^(MIN($E2969,123)-117)))*1,0))</f>
        <v>706582</v>
      </c>
      <c r="U2969" s="11">
        <f>$E2969+11</f>
        <v>119</v>
      </c>
      <c r="V2969" s="12">
        <f>IF($J2969=0,0,ROUND(MAX($J2969*1.4*1.5*1.6*1.6*2.2*2.715,354000000*(1.642074^(MIN($E2969,123)-117)))*1,0))</f>
        <v>4078202</v>
      </c>
      <c r="W2969" s="13">
        <f>$E2969+15</f>
        <v>123</v>
      </c>
      <c r="X2969" s="14">
        <f>IF($J2969=0,0,ROUND(MAX($J2969*1.4*1.5*1.6*1.6*2.2*2.715*2.6,3540000000*(1.579646^(MIN($E2969,123)-117)))*1,0))</f>
        <v>57804988</v>
      </c>
      <c r="Y2969" s="11">
        <f>$E2969+17</f>
        <v>125</v>
      </c>
      <c r="Z2969" s="12">
        <f>IF($J2969=0,0,ROUND(MAX($J2969*1.4*1.5*1.6*1.6*2.2*2.715*2.6*1.4,6020000000*(1.651178^(MIN($E2969,123)-117)))*1,0))</f>
        <v>65985946</v>
      </c>
      <c r="AA2969" s="13">
        <f>$E2969+19</f>
        <v>127</v>
      </c>
      <c r="AB2969" s="14">
        <f>IF($J2969=0,0,ROUND(MAX($J2969*1.4*1.5*1.6*1.6*2.2*2.715*2.6*1.4*1.4,8430000000*(1.651435^(MIN($E2969,123)-117)))*1,0))</f>
        <v>92272909</v>
      </c>
      <c r="AC2969" s="11">
        <f>$E2969+21</f>
        <v>129</v>
      </c>
      <c r="AD2969" s="12">
        <f>IF($J2969=0,0,ROUND(MAX($J2969*1.4*1.5*1.6*1.6*2.2*2.715*2.6*1.4*1.4*1.5,12600000000*(1.652953^(MIN($E2969,123)-117)))*1,0))</f>
        <v>136781071</v>
      </c>
      <c r="AE2969" s="13">
        <f>$E2969+24</f>
        <v>132</v>
      </c>
      <c r="AF2969" s="14">
        <f>IF($J2969=0,0,ROUND(MAX($J2969*1.4*1.5*1.6*1.6*2.2*2.715*2.6*1.4*1.4*1.5*1.5,18900000000*(1.65331^(MIN($E2969,123)-117)))*1,0))</f>
        <v>204773225</v>
      </c>
      <c r="AG2969" s="11">
        <f>$E2969+27</f>
        <v>135</v>
      </c>
      <c r="AH2969" s="12">
        <f>IF($J2969=0,0,ROUND(MAX($J2969*1.4*1.5*1.6*1.6*2.2*2.715*2.6*1.4*1.4*1.5*1.5*3.2,60500000000*(1.654288^(MIN($E2969,123)-117)))*1,0))</f>
        <v>652011566</v>
      </c>
    </row>
    <row r="2970" ht="28" customHeight="1" spans="1:34" x14ac:dyDescent="0.25">
      <c r="A2970">
        <v>2980</v>
      </c>
      <c r="B2970" t="s">
        <v>1171</v>
      </c>
      <c r="C2970" s="10" t="s">
        <v>1673</v>
      </c>
      <c r="D2970" t="s">
        <v>25</v>
      </c>
      <c r="E2970">
        <v>107</v>
      </c>
      <c r="F2970" t="s">
        <v>54</v>
      </c>
      <c r="G2970" t="s">
        <v>51</v>
      </c>
      <c r="H2970">
        <v>24</v>
      </c>
      <c r="I2970" s="11">
        <f>$E2970+0</f>
        <v>107</v>
      </c>
      <c r="J2970" s="12">
        <v>30200</v>
      </c>
      <c r="K2970" s="13">
        <f>$E2970+1</f>
        <v>108</v>
      </c>
      <c r="L2970" s="14">
        <f>IF($J2970=0,0,ROUND(MAX($J2970*1.4,1620000*(1.497923^(MIN($E2970,123)-117)))*1,0))</f>
        <v>42280</v>
      </c>
      <c r="M2970" s="11">
        <f>$E2970+2</f>
        <v>109</v>
      </c>
      <c r="N2970" s="12">
        <f>IF($J2970=0,0,ROUND(MAX($J2970*1.4*1.5,2190000*(1.580994^(MIN($E2970,123)-117)))*1,0))</f>
        <v>63420</v>
      </c>
      <c r="O2970" s="13">
        <f>$E2970+4</f>
        <v>111</v>
      </c>
      <c r="P2970" s="14">
        <f>IF($J2970=0,0,ROUND(MAX($J2970*1.4*1.5*1.6,3500000*(1.57975^(MIN($E2970,123)-117)))*1,0))</f>
        <v>101472</v>
      </c>
      <c r="Q2970" s="11">
        <f>$E2970+6</f>
        <v>113</v>
      </c>
      <c r="R2970" s="12">
        <f>IF($J2970=0,0,ROUND(MAX($J2970*1.4*1.5*1.6*1.6,13100000*(1.429962^(MIN($E2970,123)-117)))*1,0))</f>
        <v>366460</v>
      </c>
      <c r="S2970" s="13">
        <f>$E2970+8</f>
        <v>115</v>
      </c>
      <c r="T2970" s="14">
        <f>IF($J2970=0,0,ROUND(MAX($J2970*1.4*1.5*1.6*1.6*2.2,42600000*(1.576904^(MIN($E2970,123)-117)))*1,0))</f>
        <v>448082</v>
      </c>
      <c r="U2970" s="11">
        <f>$E2970+11</f>
        <v>118</v>
      </c>
      <c r="V2970" s="12">
        <f>IF($J2970=0,0,ROUND(MAX($J2970*1.4*1.5*1.6*1.6*2.2*2.715,354000000*(1.642074^(MIN($E2970,123)-117)))*1,0))</f>
        <v>2483568</v>
      </c>
      <c r="W2970" s="13">
        <f>$E2970+15</f>
        <v>122</v>
      </c>
      <c r="X2970" s="14">
        <f>IF($J2970=0,0,ROUND(MAX($J2970*1.4*1.5*1.6*1.6*2.2*2.715*2.6,3540000000*(1.579646^(MIN($E2970,123)-117)))*1,0))</f>
        <v>36593634</v>
      </c>
      <c r="Y2970" s="11">
        <f>$E2970+17</f>
        <v>124</v>
      </c>
      <c r="Z2970" s="12">
        <f>IF($J2970=0,0,ROUND(MAX($J2970*1.4*1.5*1.6*1.6*2.2*2.715*2.6*1.4,6020000000*(1.651178^(MIN($E2970,123)-117)))*1,0))</f>
        <v>39962952</v>
      </c>
      <c r="AA2970" s="13">
        <f>$E2970+19</f>
        <v>126</v>
      </c>
      <c r="AB2970" s="14">
        <f>IF($J2970=0,0,ROUND(MAX($J2970*1.4*1.5*1.6*1.6*2.2*2.715*2.6*1.4*1.4,8430000000*(1.651435^(MIN($E2970,123)-117)))*1,0))</f>
        <v>55874381</v>
      </c>
      <c r="AC2970" s="11">
        <f>$E2970+21</f>
        <v>128</v>
      </c>
      <c r="AD2970" s="12">
        <f>IF($J2970=0,0,ROUND(MAX($J2970*1.4*1.5*1.6*1.6*2.2*2.715*2.6*1.4*1.4*1.5,12600000000*(1.652953^(MIN($E2970,123)-117)))*1,0))</f>
        <v>82749522</v>
      </c>
      <c r="AE2970" s="13">
        <f>$E2970+24</f>
        <v>131</v>
      </c>
      <c r="AF2970" s="14">
        <f>IF($J2970=0,0,ROUND(MAX($J2970*1.4*1.5*1.6*1.6*2.2*2.715*2.6*1.4*1.4*1.5*1.5,18900000000*(1.65331^(MIN($E2970,123)-117)))*1,0))</f>
        <v>123856521</v>
      </c>
      <c r="AG2970" s="11">
        <f>$E2970+27</f>
        <v>134</v>
      </c>
      <c r="AH2970" s="12">
        <f>IF($J2970=0,0,ROUND(MAX($J2970*1.4*1.5*1.6*1.6*2.2*2.715*2.6*1.4*1.4*1.5*1.5*3.2,60500000000*(1.654288^(MIN($E2970,123)-117)))*1,0))</f>
        <v>394134254</v>
      </c>
    </row>
    <row r="2971" ht="28" customHeight="1" spans="1:34" x14ac:dyDescent="0.25">
      <c r="A2971">
        <v>2981</v>
      </c>
      <c r="B2971" t="s">
        <v>1170</v>
      </c>
      <c r="C2971" s="10" t="s">
        <v>1673</v>
      </c>
      <c r="D2971" t="s">
        <v>40</v>
      </c>
      <c r="E2971">
        <v>107</v>
      </c>
      <c r="F2971" t="s">
        <v>258</v>
      </c>
      <c r="G2971" t="s">
        <v>374</v>
      </c>
      <c r="H2971">
        <v>23</v>
      </c>
      <c r="I2971" s="11">
        <f>$E2971+0</f>
        <v>107</v>
      </c>
      <c r="J2971" s="12">
        <v>23500</v>
      </c>
      <c r="K2971" s="13">
        <f>$E2971+1</f>
        <v>108</v>
      </c>
      <c r="L2971" s="14">
        <f>IF($J2971=0,0,ROUND(MAX($J2971*1.4,1620000*(1.497923^(MIN($E2971,123)-117)))*1,0))</f>
        <v>32900</v>
      </c>
      <c r="M2971" s="11">
        <f>$E2971+2</f>
        <v>109</v>
      </c>
      <c r="N2971" s="12">
        <f>IF($J2971=0,0,ROUND(MAX($J2971*1.4*1.5,2190000*(1.580994^(MIN($E2971,123)-117)))*1,0))</f>
        <v>49350</v>
      </c>
      <c r="O2971" s="13">
        <f>$E2971+4</f>
        <v>111</v>
      </c>
      <c r="P2971" s="14">
        <f>IF($J2971=0,0,ROUND(MAX($J2971*1.4*1.5*1.6,3500000*(1.57975^(MIN($E2971,123)-117)))*1,0))</f>
        <v>78960</v>
      </c>
      <c r="Q2971" s="11">
        <f>$E2971+6</f>
        <v>113</v>
      </c>
      <c r="R2971" s="12">
        <f>IF($J2971=0,0,ROUND(MAX($J2971*1.4*1.5*1.6*1.6,13100000*(1.429962^(MIN($E2971,123)-117)))*1,0))</f>
        <v>366460</v>
      </c>
      <c r="S2971" s="13">
        <f>$E2971+8</f>
        <v>115</v>
      </c>
      <c r="T2971" s="14">
        <f>IF($J2971=0,0,ROUND(MAX($J2971*1.4*1.5*1.6*1.6*2.2,42600000*(1.576904^(MIN($E2971,123)-117)))*1,0))</f>
        <v>448082</v>
      </c>
      <c r="U2971" s="11">
        <f>$E2971+11</f>
        <v>118</v>
      </c>
      <c r="V2971" s="12">
        <f>IF($J2971=0,0,ROUND(MAX($J2971*1.4*1.5*1.6*1.6*2.2*2.715,354000000*(1.642074^(MIN($E2971,123)-117)))*1,0))</f>
        <v>2483568</v>
      </c>
      <c r="W2971" s="13">
        <f>$E2971+15</f>
        <v>122</v>
      </c>
      <c r="X2971" s="14">
        <f>IF($J2971=0,0,ROUND(MAX($J2971*1.4*1.5*1.6*1.6*2.2*2.715*2.6,3540000000*(1.579646^(MIN($E2971,123)-117)))*1,0))</f>
        <v>36593634</v>
      </c>
      <c r="Y2971" s="11">
        <f>$E2971+17</f>
        <v>124</v>
      </c>
      <c r="Z2971" s="12">
        <f>IF($J2971=0,0,ROUND(MAX($J2971*1.4*1.5*1.6*1.6*2.2*2.715*2.6*1.4,6020000000*(1.651178^(MIN($E2971,123)-117)))*1,0))</f>
        <v>39962952</v>
      </c>
      <c r="AA2971" s="13">
        <f>$E2971+19</f>
        <v>126</v>
      </c>
      <c r="AB2971" s="14">
        <f>IF($J2971=0,0,ROUND(MAX($J2971*1.4*1.5*1.6*1.6*2.2*2.715*2.6*1.4*1.4,8430000000*(1.651435^(MIN($E2971,123)-117)))*1,0))</f>
        <v>55874381</v>
      </c>
      <c r="AC2971" s="11">
        <f>$E2971+21</f>
        <v>128</v>
      </c>
      <c r="AD2971" s="12">
        <f>IF($J2971=0,0,ROUND(MAX($J2971*1.4*1.5*1.6*1.6*2.2*2.715*2.6*1.4*1.4*1.5,12600000000*(1.652953^(MIN($E2971,123)-117)))*1,0))</f>
        <v>82749522</v>
      </c>
      <c r="AE2971" s="13">
        <f>$E2971+24</f>
        <v>131</v>
      </c>
      <c r="AF2971" s="14">
        <f>IF($J2971=0,0,ROUND(MAX($J2971*1.4*1.5*1.6*1.6*2.2*2.715*2.6*1.4*1.4*1.5*1.5,18900000000*(1.65331^(MIN($E2971,123)-117)))*1,0))</f>
        <v>123856521</v>
      </c>
      <c r="AG2971" s="11">
        <f>$E2971+27</f>
        <v>134</v>
      </c>
      <c r="AH2971" s="12">
        <f>IF($J2971=0,0,ROUND(MAX($J2971*1.4*1.5*1.6*1.6*2.2*2.715*2.6*1.4*1.4*1.5*1.5*3.2,60500000000*(1.654288^(MIN($E2971,123)-117)))*1,0))</f>
        <v>394134254</v>
      </c>
    </row>
    <row r="2972" ht="28" customHeight="1" spans="1:34" x14ac:dyDescent="0.25">
      <c r="A2972">
        <v>2982</v>
      </c>
      <c r="B2972" t="s">
        <v>678</v>
      </c>
      <c r="C2972" s="10" t="s">
        <v>1673</v>
      </c>
      <c r="D2972" t="s">
        <v>40</v>
      </c>
      <c r="E2972">
        <v>107</v>
      </c>
      <c r="F2972" t="s">
        <v>179</v>
      </c>
      <c r="G2972" t="s">
        <v>1312</v>
      </c>
      <c r="H2972">
        <v>23</v>
      </c>
      <c r="I2972" s="11">
        <f>$E2972+0</f>
        <v>107</v>
      </c>
      <c r="J2972" s="12">
        <v>20300</v>
      </c>
      <c r="K2972" s="13">
        <f>$E2972+1</f>
        <v>108</v>
      </c>
      <c r="L2972" s="14">
        <f>IF($J2972=0,0,ROUND(MAX($J2972*1.4,1620000*(1.497923^(MIN($E2972,123)-117)))*1,0))</f>
        <v>28485</v>
      </c>
      <c r="M2972" s="11">
        <f>$E2972+2</f>
        <v>109</v>
      </c>
      <c r="N2972" s="12">
        <f>IF($J2972=0,0,ROUND(MAX($J2972*1.4*1.5,2190000*(1.580994^(MIN($E2972,123)-117)))*1,0))</f>
        <v>42630</v>
      </c>
      <c r="O2972" s="13">
        <f>$E2972+4</f>
        <v>111</v>
      </c>
      <c r="P2972" s="14">
        <f>IF($J2972=0,0,ROUND(MAX($J2972*1.4*1.5*1.6,3500000*(1.57975^(MIN($E2972,123)-117)))*1,0))</f>
        <v>68208</v>
      </c>
      <c r="Q2972" s="11">
        <f>$E2972+6</f>
        <v>113</v>
      </c>
      <c r="R2972" s="12">
        <f>IF($J2972=0,0,ROUND(MAX($J2972*1.4*1.5*1.6*1.6,13100000*(1.429962^(MIN($E2972,123)-117)))*1,0))</f>
        <v>366460</v>
      </c>
      <c r="S2972" s="13">
        <f>$E2972+8</f>
        <v>115</v>
      </c>
      <c r="T2972" s="14">
        <f>IF($J2972=0,0,ROUND(MAX($J2972*1.4*1.5*1.6*1.6*2.2,42600000*(1.576904^(MIN($E2972,123)-117)))*1,0))</f>
        <v>448082</v>
      </c>
      <c r="U2972" s="11">
        <f>$E2972+11</f>
        <v>118</v>
      </c>
      <c r="V2972" s="12">
        <f>IF($J2972=0,0,ROUND(MAX($J2972*1.4*1.5*1.6*1.6*2.2*2.715,354000000*(1.642074^(MIN($E2972,123)-117)))*1,0))</f>
        <v>2483568</v>
      </c>
      <c r="W2972" s="13">
        <f>$E2972+15</f>
        <v>122</v>
      </c>
      <c r="X2972" s="14">
        <f>IF($J2972=0,0,ROUND(MAX($J2972*1.4*1.5*1.6*1.6*2.2*2.715*2.6,3540000000*(1.579646^(MIN($E2972,123)-117)))*1,0))</f>
        <v>36593634</v>
      </c>
      <c r="Y2972" s="11">
        <f>$E2972+17</f>
        <v>124</v>
      </c>
      <c r="Z2972" s="12">
        <f>IF($J2972=0,0,ROUND(MAX($J2972*1.4*1.5*1.6*1.6*2.2*2.715*2.6*1.4,6020000000*(1.651178^(MIN($E2972,123)-117)))*1,0))</f>
        <v>39962952</v>
      </c>
      <c r="AA2972" s="13">
        <f>$E2972+19</f>
        <v>126</v>
      </c>
      <c r="AB2972" s="14">
        <f>IF($J2972=0,0,ROUND(MAX($J2972*1.4*1.5*1.6*1.6*2.2*2.715*2.6*1.4*1.4,8430000000*(1.651435^(MIN($E2972,123)-117)))*1,0))</f>
        <v>55874381</v>
      </c>
      <c r="AC2972" s="11">
        <f>$E2972+21</f>
        <v>128</v>
      </c>
      <c r="AD2972" s="12">
        <f>IF($J2972=0,0,ROUND(MAX($J2972*1.4*1.5*1.6*1.6*2.2*2.715*2.6*1.4*1.4*1.5,12600000000*(1.652953^(MIN($E2972,123)-117)))*1,0))</f>
        <v>82749522</v>
      </c>
      <c r="AE2972" s="13">
        <f>$E2972+24</f>
        <v>131</v>
      </c>
      <c r="AF2972" s="14">
        <f>IF($J2972=0,0,ROUND(MAX($J2972*1.4*1.5*1.6*1.6*2.2*2.715*2.6*1.4*1.4*1.5*1.5,18900000000*(1.65331^(MIN($E2972,123)-117)))*1,0))</f>
        <v>123856521</v>
      </c>
      <c r="AG2972" s="11">
        <f>$E2972+27</f>
        <v>134</v>
      </c>
      <c r="AH2972" s="12">
        <f>IF($J2972=0,0,ROUND(MAX($J2972*1.4*1.5*1.6*1.6*2.2*2.715*2.6*1.4*1.4*1.5*1.5*3.2,60500000000*(1.654288^(MIN($E2972,123)-117)))*1,0))</f>
        <v>394134254</v>
      </c>
    </row>
    <row r="2973" ht="28" customHeight="1" spans="1:34" x14ac:dyDescent="0.25">
      <c r="A2973">
        <v>2983</v>
      </c>
      <c r="B2973" t="s">
        <v>540</v>
      </c>
      <c r="C2973" s="10" t="s">
        <v>1673</v>
      </c>
      <c r="D2973" t="s">
        <v>79</v>
      </c>
      <c r="E2973">
        <v>106</v>
      </c>
      <c r="F2973" t="s">
        <v>412</v>
      </c>
      <c r="G2973" t="s">
        <v>252</v>
      </c>
      <c r="H2973">
        <v>25</v>
      </c>
      <c r="I2973" s="11">
        <f>$E2973+0</f>
        <v>106</v>
      </c>
      <c r="J2973" s="12">
        <v>24800</v>
      </c>
      <c r="K2973" s="13">
        <f>$E2973+1</f>
        <v>107</v>
      </c>
      <c r="L2973" s="14">
        <f>IF($J2973=0,0,ROUND(MAX($J2973*1.4,1620000*(1.497923^(MIN($E2973,123)-117)))*1,0))</f>
        <v>34720</v>
      </c>
      <c r="M2973" s="11">
        <f>$E2973+2</f>
        <v>108</v>
      </c>
      <c r="N2973" s="12">
        <f>IF($J2973=0,0,ROUND(MAX($J2973*1.4*1.5,2190000*(1.580994^(MIN($E2973,123)-117)))*1,0))</f>
        <v>52080</v>
      </c>
      <c r="O2973" s="13">
        <f>$E2973+4</f>
        <v>110</v>
      </c>
      <c r="P2973" s="14">
        <f>IF($J2973=0,0,ROUND(MAX($J2973*1.4*1.5*1.6,3500000*(1.57975^(MIN($E2973,123)-117)))*1,0))</f>
        <v>83328</v>
      </c>
      <c r="Q2973" s="11">
        <f>$E2973+6</f>
        <v>112</v>
      </c>
      <c r="R2973" s="12">
        <f>IF($J2973=0,0,ROUND(MAX($J2973*1.4*1.5*1.6*1.6,13100000*(1.429962^(MIN($E2973,123)-117)))*1,0))</f>
        <v>256272</v>
      </c>
      <c r="S2973" s="13">
        <f>$E2973+8</f>
        <v>114</v>
      </c>
      <c r="T2973" s="14">
        <f>IF($J2973=0,0,ROUND(MAX($J2973*1.4*1.5*1.6*1.6*2.2,42600000*(1.576904^(MIN($E2973,123)-117)))*1,0))</f>
        <v>293315</v>
      </c>
      <c r="U2973" s="11">
        <f>$E2973+11</f>
        <v>117</v>
      </c>
      <c r="V2973" s="12">
        <f>IF($J2973=0,0,ROUND(MAX($J2973*1.4*1.5*1.6*1.6*2.2*2.715,354000000*(1.642074^(MIN($E2973,123)-117)))*1,0))</f>
        <v>1512458</v>
      </c>
      <c r="W2973" s="13">
        <f>$E2973+15</f>
        <v>121</v>
      </c>
      <c r="X2973" s="14">
        <f>IF($J2973=0,0,ROUND(MAX($J2973*1.4*1.5*1.6*1.6*2.2*2.715*2.6,3540000000*(1.579646^(MIN($E2973,123)-117)))*1,0))</f>
        <v>23165718</v>
      </c>
      <c r="Y2973" s="11">
        <f>$E2973+17</f>
        <v>123</v>
      </c>
      <c r="Z2973" s="12">
        <f>IF($J2973=0,0,ROUND(MAX($J2973*1.4*1.5*1.6*1.6*2.2*2.715*2.6*1.4,6020000000*(1.651178^(MIN($E2973,123)-117)))*1,0))</f>
        <v>24202691</v>
      </c>
      <c r="AA2973" s="13">
        <f>$E2973+19</f>
        <v>125</v>
      </c>
      <c r="AB2973" s="14">
        <f>IF($J2973=0,0,ROUND(MAX($J2973*1.4*1.5*1.6*1.6*2.2*2.715*2.6*1.4*1.4,8430000000*(1.651435^(MIN($E2973,123)-117)))*1,0))</f>
        <v>33833836</v>
      </c>
      <c r="AC2973" s="11">
        <f>$E2973+21</f>
        <v>127</v>
      </c>
      <c r="AD2973" s="12">
        <f>IF($J2973=0,0,ROUND(MAX($J2973*1.4*1.5*1.6*1.6*2.2*2.715*2.6*1.4*1.4*1.5,12600000000*(1.652953^(MIN($E2973,123)-117)))*1,0))</f>
        <v>50061630</v>
      </c>
      <c r="AE2973" s="13">
        <f>$E2973+24</f>
        <v>130</v>
      </c>
      <c r="AF2973" s="14">
        <f>IF($J2973=0,0,ROUND(MAX($J2973*1.4*1.5*1.6*1.6*2.2*2.715*2.6*1.4*1.4*1.5*1.5,18900000000*(1.65331^(MIN($E2973,123)-117)))*1,0))</f>
        <v>74914276</v>
      </c>
      <c r="AG2973" s="11">
        <f>$E2973+27</f>
        <v>133</v>
      </c>
      <c r="AH2973" s="12">
        <f>IF($J2973=0,0,ROUND(MAX($J2973*1.4*1.5*1.6*1.6*2.2*2.715*2.6*1.4*1.4*1.5*1.5*3.2,60500000000*(1.654288^(MIN($E2973,123)-117)))*1,0))</f>
        <v>238250083</v>
      </c>
    </row>
    <row r="2974" ht="28" customHeight="1" spans="1:34" x14ac:dyDescent="0.25">
      <c r="A2974">
        <v>2984</v>
      </c>
      <c r="B2974" t="s">
        <v>1122</v>
      </c>
      <c r="C2974" s="10" t="s">
        <v>1673</v>
      </c>
      <c r="D2974" t="s">
        <v>165</v>
      </c>
      <c r="E2974">
        <v>106</v>
      </c>
      <c r="F2974" t="s">
        <v>212</v>
      </c>
      <c r="G2974" t="s">
        <v>261</v>
      </c>
      <c r="H2974">
        <v>25</v>
      </c>
      <c r="I2974" s="11">
        <f>$E2974+0</f>
        <v>106</v>
      </c>
      <c r="J2974" s="12">
        <v>10000</v>
      </c>
      <c r="K2974" s="13">
        <f>$E2974+1</f>
        <v>107</v>
      </c>
      <c r="L2974" s="14">
        <f>IF($J2974=0,0,ROUND(MAX($J2974*1.4,1620000*(1.497923^(MIN($E2974,123)-117)))*1,0))</f>
        <v>19017</v>
      </c>
      <c r="M2974" s="11">
        <f>$E2974+2</f>
        <v>108</v>
      </c>
      <c r="N2974" s="12">
        <f>IF($J2974=0,0,ROUND(MAX($J2974*1.4*1.5,2190000*(1.580994^(MIN($E2974,123)-117)))*1,0))</f>
        <v>21000</v>
      </c>
      <c r="O2974" s="13">
        <f>$E2974+4</f>
        <v>110</v>
      </c>
      <c r="P2974" s="14">
        <f>IF($J2974=0,0,ROUND(MAX($J2974*1.4*1.5*1.6,3500000*(1.57975^(MIN($E2974,123)-117)))*1,0))</f>
        <v>33600</v>
      </c>
      <c r="Q2974" s="11">
        <f>$E2974+6</f>
        <v>112</v>
      </c>
      <c r="R2974" s="12">
        <f>IF($J2974=0,0,ROUND(MAX($J2974*1.4*1.5*1.6*1.6,13100000*(1.429962^(MIN($E2974,123)-117)))*1,0))</f>
        <v>256272</v>
      </c>
      <c r="S2974" s="13">
        <f>$E2974+8</f>
        <v>114</v>
      </c>
      <c r="T2974" s="14">
        <f>IF($J2974=0,0,ROUND(MAX($J2974*1.4*1.5*1.6*1.6*2.2,42600000*(1.576904^(MIN($E2974,123)-117)))*1,0))</f>
        <v>284153</v>
      </c>
      <c r="U2974" s="11">
        <f>$E2974+11</f>
        <v>117</v>
      </c>
      <c r="V2974" s="12">
        <f>IF($J2974=0,0,ROUND(MAX($J2974*1.4*1.5*1.6*1.6*2.2*2.715,354000000*(1.642074^(MIN($E2974,123)-117)))*1,0))</f>
        <v>1512458</v>
      </c>
      <c r="W2974" s="13">
        <f>$E2974+15</f>
        <v>121</v>
      </c>
      <c r="X2974" s="14">
        <f>IF($J2974=0,0,ROUND(MAX($J2974*1.4*1.5*1.6*1.6*2.2*2.715*2.6,3540000000*(1.579646^(MIN($E2974,123)-117)))*1,0))</f>
        <v>23165718</v>
      </c>
      <c r="Y2974" s="11">
        <f>$E2974+17</f>
        <v>123</v>
      </c>
      <c r="Z2974" s="12">
        <f>IF($J2974=0,0,ROUND(MAX($J2974*1.4*1.5*1.6*1.6*2.2*2.715*2.6*1.4,6020000000*(1.651178^(MIN($E2974,123)-117)))*1,0))</f>
        <v>24202691</v>
      </c>
      <c r="AA2974" s="13">
        <f>$E2974+19</f>
        <v>125</v>
      </c>
      <c r="AB2974" s="14">
        <f>IF($J2974=0,0,ROUND(MAX($J2974*1.4*1.5*1.6*1.6*2.2*2.715*2.6*1.4*1.4,8430000000*(1.651435^(MIN($E2974,123)-117)))*1,0))</f>
        <v>33833836</v>
      </c>
      <c r="AC2974" s="11">
        <f>$E2974+21</f>
        <v>127</v>
      </c>
      <c r="AD2974" s="12">
        <f>IF($J2974=0,0,ROUND(MAX($J2974*1.4*1.5*1.6*1.6*2.2*2.715*2.6*1.4*1.4*1.5,12600000000*(1.652953^(MIN($E2974,123)-117)))*1,0))</f>
        <v>50061630</v>
      </c>
      <c r="AE2974" s="13">
        <f>$E2974+24</f>
        <v>130</v>
      </c>
      <c r="AF2974" s="14">
        <f>IF($J2974=0,0,ROUND(MAX($J2974*1.4*1.5*1.6*1.6*2.2*2.715*2.6*1.4*1.4*1.5*1.5,18900000000*(1.65331^(MIN($E2974,123)-117)))*1,0))</f>
        <v>74914276</v>
      </c>
      <c r="AG2974" s="11">
        <f>$E2974+27</f>
        <v>133</v>
      </c>
      <c r="AH2974" s="12">
        <f>IF($J2974=0,0,ROUND(MAX($J2974*1.4*1.5*1.6*1.6*2.2*2.715*2.6*1.4*1.4*1.5*1.5*3.2,60500000000*(1.654288^(MIN($E2974,123)-117)))*1,0))</f>
        <v>238250083</v>
      </c>
    </row>
    <row r="2975" ht="28" customHeight="1" spans="1:34" x14ac:dyDescent="0.25">
      <c r="A2975">
        <v>2985</v>
      </c>
      <c r="B2975" t="s">
        <v>276</v>
      </c>
      <c r="C2975" s="10" t="s">
        <v>1673</v>
      </c>
      <c r="D2975" t="s">
        <v>33</v>
      </c>
      <c r="E2975">
        <v>106</v>
      </c>
      <c r="F2975" t="s">
        <v>34</v>
      </c>
      <c r="G2975" t="s">
        <v>277</v>
      </c>
      <c r="H2975">
        <v>23</v>
      </c>
      <c r="I2975" s="11">
        <f>$E2975+0</f>
        <v>106</v>
      </c>
      <c r="J2975" s="12">
        <v>19100</v>
      </c>
      <c r="K2975" s="13">
        <f>$E2975+1</f>
        <v>107</v>
      </c>
      <c r="L2975" s="14">
        <f>IF($J2975=0,0,ROUND(MAX($J2975*1.4,1620000*(1.497923^(MIN($E2975,123)-117)))*1,0))</f>
        <v>26740</v>
      </c>
      <c r="M2975" s="11">
        <f>$E2975+2</f>
        <v>108</v>
      </c>
      <c r="N2975" s="12">
        <f>IF($J2975=0,0,ROUND(MAX($J2975*1.4*1.5,2190000*(1.580994^(MIN($E2975,123)-117)))*1,0))</f>
        <v>40110</v>
      </c>
      <c r="O2975" s="13">
        <f>$E2975+4</f>
        <v>110</v>
      </c>
      <c r="P2975" s="14">
        <f>IF($J2975=0,0,ROUND(MAX($J2975*1.4*1.5*1.6,3500000*(1.57975^(MIN($E2975,123)-117)))*1,0))</f>
        <v>64176</v>
      </c>
      <c r="Q2975" s="11">
        <f>$E2975+6</f>
        <v>112</v>
      </c>
      <c r="R2975" s="12">
        <f>IF($J2975=0,0,ROUND(MAX($J2975*1.4*1.5*1.6*1.6,13100000*(1.429962^(MIN($E2975,123)-117)))*1,0))</f>
        <v>256272</v>
      </c>
      <c r="S2975" s="13">
        <f>$E2975+8</f>
        <v>114</v>
      </c>
      <c r="T2975" s="14">
        <f>IF($J2975=0,0,ROUND(MAX($J2975*1.4*1.5*1.6*1.6*2.2,42600000*(1.576904^(MIN($E2975,123)-117)))*1,0))</f>
        <v>284153</v>
      </c>
      <c r="U2975" s="11">
        <f>$E2975+11</f>
        <v>117</v>
      </c>
      <c r="V2975" s="12">
        <f>IF($J2975=0,0,ROUND(MAX($J2975*1.4*1.5*1.6*1.6*2.2*2.715,354000000*(1.642074^(MIN($E2975,123)-117)))*1,0))</f>
        <v>1512458</v>
      </c>
      <c r="W2975" s="13">
        <f>$E2975+15</f>
        <v>121</v>
      </c>
      <c r="X2975" s="14">
        <f>IF($J2975=0,0,ROUND(MAX($J2975*1.4*1.5*1.6*1.6*2.2*2.715*2.6,3540000000*(1.579646^(MIN($E2975,123)-117)))*1,0))</f>
        <v>23165718</v>
      </c>
      <c r="Y2975" s="11">
        <f>$E2975+17</f>
        <v>123</v>
      </c>
      <c r="Z2975" s="12">
        <f>IF($J2975=0,0,ROUND(MAX($J2975*1.4*1.5*1.6*1.6*2.2*2.715*2.6*1.4,6020000000*(1.651178^(MIN($E2975,123)-117)))*1,0))</f>
        <v>24202691</v>
      </c>
      <c r="AA2975" s="13">
        <f>$E2975+19</f>
        <v>125</v>
      </c>
      <c r="AB2975" s="14">
        <f>IF($J2975=0,0,ROUND(MAX($J2975*1.4*1.5*1.6*1.6*2.2*2.715*2.6*1.4*1.4,8430000000*(1.651435^(MIN($E2975,123)-117)))*1,0))</f>
        <v>33833836</v>
      </c>
      <c r="AC2975" s="11">
        <f>$E2975+21</f>
        <v>127</v>
      </c>
      <c r="AD2975" s="12">
        <f>IF($J2975=0,0,ROUND(MAX($J2975*1.4*1.5*1.6*1.6*2.2*2.715*2.6*1.4*1.4*1.5,12600000000*(1.652953^(MIN($E2975,123)-117)))*1,0))</f>
        <v>50061630</v>
      </c>
      <c r="AE2975" s="13">
        <f>$E2975+24</f>
        <v>130</v>
      </c>
      <c r="AF2975" s="14">
        <f>IF($J2975=0,0,ROUND(MAX($J2975*1.4*1.5*1.6*1.6*2.2*2.715*2.6*1.4*1.4*1.5*1.5,18900000000*(1.65331^(MIN($E2975,123)-117)))*1,0))</f>
        <v>74914276</v>
      </c>
      <c r="AG2975" s="11">
        <f>$E2975+27</f>
        <v>133</v>
      </c>
      <c r="AH2975" s="12">
        <f>IF($J2975=0,0,ROUND(MAX($J2975*1.4*1.5*1.6*1.6*2.2*2.715*2.6*1.4*1.4*1.5*1.5*3.2,60500000000*(1.654288^(MIN($E2975,123)-117)))*1,0))</f>
        <v>238250083</v>
      </c>
    </row>
    <row r="2976" ht="28" customHeight="1" spans="1:34" x14ac:dyDescent="0.25">
      <c r="A2976">
        <v>2986</v>
      </c>
      <c r="B2976" t="s">
        <v>1674</v>
      </c>
      <c r="C2976" s="10" t="s">
        <v>1673</v>
      </c>
      <c r="D2976" t="s">
        <v>165</v>
      </c>
      <c r="E2976">
        <v>106</v>
      </c>
      <c r="F2976" t="s">
        <v>54</v>
      </c>
      <c r="G2976" t="s">
        <v>472</v>
      </c>
      <c r="H2976">
        <v>23</v>
      </c>
      <c r="I2976" s="11">
        <f>$E2976+0</f>
        <v>106</v>
      </c>
      <c r="J2976" s="12">
        <v>22500</v>
      </c>
      <c r="K2976" s="13">
        <f>$E2976+1</f>
        <v>107</v>
      </c>
      <c r="L2976" s="14">
        <f>IF($J2976=0,0,ROUND(MAX($J2976*1.4,1620000*(1.497923^(MIN($E2976,123)-117)))*1,0))</f>
        <v>31500</v>
      </c>
      <c r="M2976" s="11">
        <f>$E2976+2</f>
        <v>108</v>
      </c>
      <c r="N2976" s="12">
        <f>IF($J2976=0,0,ROUND(MAX($J2976*1.4*1.5,2190000*(1.580994^(MIN($E2976,123)-117)))*1,0))</f>
        <v>47250</v>
      </c>
      <c r="O2976" s="13">
        <f>$E2976+4</f>
        <v>110</v>
      </c>
      <c r="P2976" s="14">
        <f>IF($J2976=0,0,ROUND(MAX($J2976*1.4*1.5*1.6,3500000*(1.57975^(MIN($E2976,123)-117)))*1,0))</f>
        <v>75600</v>
      </c>
      <c r="Q2976" s="11">
        <f>$E2976+6</f>
        <v>112</v>
      </c>
      <c r="R2976" s="12">
        <f>IF($J2976=0,0,ROUND(MAX($J2976*1.4*1.5*1.6*1.6,13100000*(1.429962^(MIN($E2976,123)-117)))*1,0))</f>
        <v>256272</v>
      </c>
      <c r="S2976" s="13">
        <f>$E2976+8</f>
        <v>114</v>
      </c>
      <c r="T2976" s="14">
        <f>IF($J2976=0,0,ROUND(MAX($J2976*1.4*1.5*1.6*1.6*2.2,42600000*(1.576904^(MIN($E2976,123)-117)))*1,0))</f>
        <v>284153</v>
      </c>
      <c r="U2976" s="11">
        <f>$E2976+11</f>
        <v>117</v>
      </c>
      <c r="V2976" s="12">
        <f>IF($J2976=0,0,ROUND(MAX($J2976*1.4*1.5*1.6*1.6*2.2*2.715,354000000*(1.642074^(MIN($E2976,123)-117)))*1,0))</f>
        <v>1512458</v>
      </c>
      <c r="W2976" s="13">
        <f>$E2976+15</f>
        <v>121</v>
      </c>
      <c r="X2976" s="14">
        <f>IF($J2976=0,0,ROUND(MAX($J2976*1.4*1.5*1.6*1.6*2.2*2.715*2.6,3540000000*(1.579646^(MIN($E2976,123)-117)))*1,0))</f>
        <v>23165718</v>
      </c>
      <c r="Y2976" s="11">
        <f>$E2976+17</f>
        <v>123</v>
      </c>
      <c r="Z2976" s="12">
        <f>IF($J2976=0,0,ROUND(MAX($J2976*1.4*1.5*1.6*1.6*2.2*2.715*2.6*1.4,6020000000*(1.651178^(MIN($E2976,123)-117)))*1,0))</f>
        <v>24202691</v>
      </c>
      <c r="AA2976" s="13">
        <f>$E2976+19</f>
        <v>125</v>
      </c>
      <c r="AB2976" s="14">
        <f>IF($J2976=0,0,ROUND(MAX($J2976*1.4*1.5*1.6*1.6*2.2*2.715*2.6*1.4*1.4,8430000000*(1.651435^(MIN($E2976,123)-117)))*1,0))</f>
        <v>33833836</v>
      </c>
      <c r="AC2976" s="11">
        <f>$E2976+21</f>
        <v>127</v>
      </c>
      <c r="AD2976" s="12">
        <f>IF($J2976=0,0,ROUND(MAX($J2976*1.4*1.5*1.6*1.6*2.2*2.715*2.6*1.4*1.4*1.5,12600000000*(1.652953^(MIN($E2976,123)-117)))*1,0))</f>
        <v>50061630</v>
      </c>
      <c r="AE2976" s="13">
        <f>$E2976+24</f>
        <v>130</v>
      </c>
      <c r="AF2976" s="14">
        <f>IF($J2976=0,0,ROUND(MAX($J2976*1.4*1.5*1.6*1.6*2.2*2.715*2.6*1.4*1.4*1.5*1.5,18900000000*(1.65331^(MIN($E2976,123)-117)))*1,0))</f>
        <v>74914276</v>
      </c>
      <c r="AG2976" s="11">
        <f>$E2976+27</f>
        <v>133</v>
      </c>
      <c r="AH2976" s="12">
        <f>IF($J2976=0,0,ROUND(MAX($J2976*1.4*1.5*1.6*1.6*2.2*2.715*2.6*1.4*1.4*1.5*1.5*3.2,60500000000*(1.654288^(MIN($E2976,123)-117)))*1,0))</f>
        <v>238250083</v>
      </c>
    </row>
    <row r="2977" ht="28" customHeight="1" spans="1:34" x14ac:dyDescent="0.25">
      <c r="A2977">
        <v>2987</v>
      </c>
      <c r="B2977" t="s">
        <v>1164</v>
      </c>
      <c r="C2977" s="10" t="s">
        <v>1673</v>
      </c>
      <c r="D2977" t="s">
        <v>79</v>
      </c>
      <c r="E2977">
        <v>106</v>
      </c>
      <c r="F2977" t="s">
        <v>59</v>
      </c>
      <c r="G2977" t="s">
        <v>51</v>
      </c>
      <c r="H2977">
        <v>23</v>
      </c>
      <c r="I2977" s="11">
        <f>$E2977+0</f>
        <v>106</v>
      </c>
      <c r="J2977" s="12">
        <v>10600</v>
      </c>
      <c r="K2977" s="13">
        <f>$E2977+1</f>
        <v>107</v>
      </c>
      <c r="L2977" s="14">
        <f>IF($J2977=0,0,ROUND(MAX($J2977*1.4,1620000*(1.497923^(MIN($E2977,123)-117)))*1,0))</f>
        <v>19017</v>
      </c>
      <c r="M2977" s="11">
        <f>$E2977+2</f>
        <v>108</v>
      </c>
      <c r="N2977" s="12">
        <f>IF($J2977=0,0,ROUND(MAX($J2977*1.4*1.5,2190000*(1.580994^(MIN($E2977,123)-117)))*1,0))</f>
        <v>22260</v>
      </c>
      <c r="O2977" s="13">
        <f>$E2977+4</f>
        <v>110</v>
      </c>
      <c r="P2977" s="14">
        <f>IF($J2977=0,0,ROUND(MAX($J2977*1.4*1.5*1.6,3500000*(1.57975^(MIN($E2977,123)-117)))*1,0))</f>
        <v>35616</v>
      </c>
      <c r="Q2977" s="11">
        <f>$E2977+6</f>
        <v>112</v>
      </c>
      <c r="R2977" s="12">
        <f>IF($J2977=0,0,ROUND(MAX($J2977*1.4*1.5*1.6*1.6,13100000*(1.429962^(MIN($E2977,123)-117)))*1,0))</f>
        <v>256272</v>
      </c>
      <c r="S2977" s="13">
        <f>$E2977+8</f>
        <v>114</v>
      </c>
      <c r="T2977" s="14">
        <f>IF($J2977=0,0,ROUND(MAX($J2977*1.4*1.5*1.6*1.6*2.2,42600000*(1.576904^(MIN($E2977,123)-117)))*1,0))</f>
        <v>284153</v>
      </c>
      <c r="U2977" s="11">
        <f>$E2977+11</f>
        <v>117</v>
      </c>
      <c r="V2977" s="12">
        <f>IF($J2977=0,0,ROUND(MAX($J2977*1.4*1.5*1.6*1.6*2.2*2.715,354000000*(1.642074^(MIN($E2977,123)-117)))*1,0))</f>
        <v>1512458</v>
      </c>
      <c r="W2977" s="13">
        <f>$E2977+15</f>
        <v>121</v>
      </c>
      <c r="X2977" s="14">
        <f>IF($J2977=0,0,ROUND(MAX($J2977*1.4*1.5*1.6*1.6*2.2*2.715*2.6,3540000000*(1.579646^(MIN($E2977,123)-117)))*1,0))</f>
        <v>23165718</v>
      </c>
      <c r="Y2977" s="11">
        <f>$E2977+17</f>
        <v>123</v>
      </c>
      <c r="Z2977" s="12">
        <f>IF($J2977=0,0,ROUND(MAX($J2977*1.4*1.5*1.6*1.6*2.2*2.715*2.6*1.4,6020000000*(1.651178^(MIN($E2977,123)-117)))*1,0))</f>
        <v>24202691</v>
      </c>
      <c r="AA2977" s="13">
        <f>$E2977+19</f>
        <v>125</v>
      </c>
      <c r="AB2977" s="14">
        <f>IF($J2977=0,0,ROUND(MAX($J2977*1.4*1.5*1.6*1.6*2.2*2.715*2.6*1.4*1.4,8430000000*(1.651435^(MIN($E2977,123)-117)))*1,0))</f>
        <v>33833836</v>
      </c>
      <c r="AC2977" s="11">
        <f>$E2977+21</f>
        <v>127</v>
      </c>
      <c r="AD2977" s="12">
        <f>IF($J2977=0,0,ROUND(MAX($J2977*1.4*1.5*1.6*1.6*2.2*2.715*2.6*1.4*1.4*1.5,12600000000*(1.652953^(MIN($E2977,123)-117)))*1,0))</f>
        <v>50061630</v>
      </c>
      <c r="AE2977" s="13">
        <f>$E2977+24</f>
        <v>130</v>
      </c>
      <c r="AF2977" s="14">
        <f>IF($J2977=0,0,ROUND(MAX($J2977*1.4*1.5*1.6*1.6*2.2*2.715*2.6*1.4*1.4*1.5*1.5,18900000000*(1.65331^(MIN($E2977,123)-117)))*1,0))</f>
        <v>74914276</v>
      </c>
      <c r="AG2977" s="11">
        <f>$E2977+27</f>
        <v>133</v>
      </c>
      <c r="AH2977" s="12">
        <f>IF($J2977=0,0,ROUND(MAX($J2977*1.4*1.5*1.6*1.6*2.2*2.715*2.6*1.4*1.4*1.5*1.5*3.2,60500000000*(1.654288^(MIN($E2977,123)-117)))*1,0))</f>
        <v>238250083</v>
      </c>
    </row>
    <row r="2978" ht="28" customHeight="1" spans="1:34" x14ac:dyDescent="0.25">
      <c r="A2978">
        <v>2988</v>
      </c>
      <c r="B2978" t="s">
        <v>286</v>
      </c>
      <c r="C2978" s="10" t="s">
        <v>1673</v>
      </c>
      <c r="D2978" t="s">
        <v>102</v>
      </c>
      <c r="E2978">
        <v>106</v>
      </c>
      <c r="F2978" t="s">
        <v>54</v>
      </c>
      <c r="G2978" t="s">
        <v>38</v>
      </c>
      <c r="H2978">
        <v>23</v>
      </c>
      <c r="I2978" s="11">
        <f>$E2978+0</f>
        <v>106</v>
      </c>
      <c r="J2978" s="12">
        <v>11300</v>
      </c>
      <c r="K2978" s="13">
        <f>$E2978+1</f>
        <v>107</v>
      </c>
      <c r="L2978" s="14">
        <f>IF($J2978=0,0,ROUND(MAX($J2978*1.4,1620000*(1.497923^(MIN($E2978,123)-117)))*1,0))</f>
        <v>19017</v>
      </c>
      <c r="M2978" s="11">
        <f>$E2978+2</f>
        <v>108</v>
      </c>
      <c r="N2978" s="12">
        <f>IF($J2978=0,0,ROUND(MAX($J2978*1.4*1.5,2190000*(1.580994^(MIN($E2978,123)-117)))*1,0))</f>
        <v>23730</v>
      </c>
      <c r="O2978" s="13">
        <f>$E2978+4</f>
        <v>110</v>
      </c>
      <c r="P2978" s="14">
        <f>IF($J2978=0,0,ROUND(MAX($J2978*1.4*1.5*1.6,3500000*(1.57975^(MIN($E2978,123)-117)))*1,0))</f>
        <v>37968</v>
      </c>
      <c r="Q2978" s="11">
        <f>$E2978+6</f>
        <v>112</v>
      </c>
      <c r="R2978" s="12">
        <f>IF($J2978=0,0,ROUND(MAX($J2978*1.4*1.5*1.6*1.6,13100000*(1.429962^(MIN($E2978,123)-117)))*1,0))</f>
        <v>256272</v>
      </c>
      <c r="S2978" s="13">
        <f>$E2978+8</f>
        <v>114</v>
      </c>
      <c r="T2978" s="14">
        <f>IF($J2978=0,0,ROUND(MAX($J2978*1.4*1.5*1.6*1.6*2.2,42600000*(1.576904^(MIN($E2978,123)-117)))*1,0))</f>
        <v>284153</v>
      </c>
      <c r="U2978" s="11">
        <f>$E2978+11</f>
        <v>117</v>
      </c>
      <c r="V2978" s="12">
        <f>IF($J2978=0,0,ROUND(MAX($J2978*1.4*1.5*1.6*1.6*2.2*2.715,354000000*(1.642074^(MIN($E2978,123)-117)))*1,0))</f>
        <v>1512458</v>
      </c>
      <c r="W2978" s="13">
        <f>$E2978+15</f>
        <v>121</v>
      </c>
      <c r="X2978" s="14">
        <f>IF($J2978=0,0,ROUND(MAX($J2978*1.4*1.5*1.6*1.6*2.2*2.715*2.6,3540000000*(1.579646^(MIN($E2978,123)-117)))*1,0))</f>
        <v>23165718</v>
      </c>
      <c r="Y2978" s="11">
        <f>$E2978+17</f>
        <v>123</v>
      </c>
      <c r="Z2978" s="12">
        <f>IF($J2978=0,0,ROUND(MAX($J2978*1.4*1.5*1.6*1.6*2.2*2.715*2.6*1.4,6020000000*(1.651178^(MIN($E2978,123)-117)))*1,0))</f>
        <v>24202691</v>
      </c>
      <c r="AA2978" s="13">
        <f>$E2978+19</f>
        <v>125</v>
      </c>
      <c r="AB2978" s="14">
        <f>IF($J2978=0,0,ROUND(MAX($J2978*1.4*1.5*1.6*1.6*2.2*2.715*2.6*1.4*1.4,8430000000*(1.651435^(MIN($E2978,123)-117)))*1,0))</f>
        <v>33833836</v>
      </c>
      <c r="AC2978" s="11">
        <f>$E2978+21</f>
        <v>127</v>
      </c>
      <c r="AD2978" s="12">
        <f>IF($J2978=0,0,ROUND(MAX($J2978*1.4*1.5*1.6*1.6*2.2*2.715*2.6*1.4*1.4*1.5,12600000000*(1.652953^(MIN($E2978,123)-117)))*1,0))</f>
        <v>50061630</v>
      </c>
      <c r="AE2978" s="13">
        <f>$E2978+24</f>
        <v>130</v>
      </c>
      <c r="AF2978" s="14">
        <f>IF($J2978=0,0,ROUND(MAX($J2978*1.4*1.5*1.6*1.6*2.2*2.715*2.6*1.4*1.4*1.5*1.5,18900000000*(1.65331^(MIN($E2978,123)-117)))*1,0))</f>
        <v>74914276</v>
      </c>
      <c r="AG2978" s="11">
        <f>$E2978+27</f>
        <v>133</v>
      </c>
      <c r="AH2978" s="12">
        <f>IF($J2978=0,0,ROUND(MAX($J2978*1.4*1.5*1.6*1.6*2.2*2.715*2.6*1.4*1.4*1.5*1.5*3.2,60500000000*(1.654288^(MIN($E2978,123)-117)))*1,0))</f>
        <v>238250083</v>
      </c>
    </row>
    <row r="2979" ht="28" customHeight="1" spans="1:34" x14ac:dyDescent="0.25">
      <c r="A2979">
        <v>2989</v>
      </c>
      <c r="B2979" t="s">
        <v>236</v>
      </c>
      <c r="C2979" s="10" t="s">
        <v>1673</v>
      </c>
      <c r="D2979" t="s">
        <v>79</v>
      </c>
      <c r="E2979">
        <v>106</v>
      </c>
      <c r="F2979" t="s">
        <v>237</v>
      </c>
      <c r="G2979" t="s">
        <v>35</v>
      </c>
      <c r="H2979">
        <v>23</v>
      </c>
      <c r="I2979" s="11">
        <f>$E2979+0</f>
        <v>106</v>
      </c>
      <c r="J2979" s="12">
        <v>60000</v>
      </c>
      <c r="K2979" s="13">
        <f>$E2979+1</f>
        <v>107</v>
      </c>
      <c r="L2979" s="14">
        <f>IF($J2979=0,0,ROUND(MAX($J2979*1.4,1620000*(1.497923^(MIN($E2979,123)-117)))*1,0))</f>
        <v>84000</v>
      </c>
      <c r="M2979" s="11">
        <f>$E2979+2</f>
        <v>108</v>
      </c>
      <c r="N2979" s="12">
        <f>IF($J2979=0,0,ROUND(MAX($J2979*1.4*1.5,2190000*(1.580994^(MIN($E2979,123)-117)))*1,0))</f>
        <v>126000</v>
      </c>
      <c r="O2979" s="13">
        <f>$E2979+4</f>
        <v>110</v>
      </c>
      <c r="P2979" s="14">
        <f>IF($J2979=0,0,ROUND(MAX($J2979*1.4*1.5*1.6,3500000*(1.57975^(MIN($E2979,123)-117)))*1,0))</f>
        <v>201600</v>
      </c>
      <c r="Q2979" s="11">
        <f>$E2979+6</f>
        <v>112</v>
      </c>
      <c r="R2979" s="12">
        <f>IF($J2979=0,0,ROUND(MAX($J2979*1.4*1.5*1.6*1.6,13100000*(1.429962^(MIN($E2979,123)-117)))*1,0))</f>
        <v>322560</v>
      </c>
      <c r="S2979" s="13">
        <f>$E2979+8</f>
        <v>114</v>
      </c>
      <c r="T2979" s="14">
        <f>IF($J2979=0,0,ROUND(MAX($J2979*1.4*1.5*1.6*1.6*2.2,42600000*(1.576904^(MIN($E2979,123)-117)))*1,0))</f>
        <v>709632</v>
      </c>
      <c r="U2979" s="11">
        <f>$E2979+11</f>
        <v>117</v>
      </c>
      <c r="V2979" s="12">
        <f>IF($J2979=0,0,ROUND(MAX($J2979*1.4*1.5*1.6*1.6*2.2*2.715,354000000*(1.642074^(MIN($E2979,123)-117)))*1,0))</f>
        <v>1926651</v>
      </c>
      <c r="W2979" s="13">
        <f>$E2979+15</f>
        <v>121</v>
      </c>
      <c r="X2979" s="14">
        <f>IF($J2979=0,0,ROUND(MAX($J2979*1.4*1.5*1.6*1.6*2.2*2.715*2.6,3540000000*(1.579646^(MIN($E2979,123)-117)))*1,0))</f>
        <v>23165718</v>
      </c>
      <c r="Y2979" s="11">
        <f>$E2979+17</f>
        <v>123</v>
      </c>
      <c r="Z2979" s="12">
        <f>IF($J2979=0,0,ROUND(MAX($J2979*1.4*1.5*1.6*1.6*2.2*2.715*2.6*1.4,6020000000*(1.651178^(MIN($E2979,123)-117)))*1,0))</f>
        <v>24202691</v>
      </c>
      <c r="AA2979" s="13">
        <f>$E2979+19</f>
        <v>125</v>
      </c>
      <c r="AB2979" s="14">
        <f>IF($J2979=0,0,ROUND(MAX($J2979*1.4*1.5*1.6*1.6*2.2*2.715*2.6*1.4*1.4,8430000000*(1.651435^(MIN($E2979,123)-117)))*1,0))</f>
        <v>33833836</v>
      </c>
      <c r="AC2979" s="11">
        <f>$E2979+21</f>
        <v>127</v>
      </c>
      <c r="AD2979" s="12">
        <f>IF($J2979=0,0,ROUND(MAX($J2979*1.4*1.5*1.6*1.6*2.2*2.715*2.6*1.4*1.4*1.5,12600000000*(1.652953^(MIN($E2979,123)-117)))*1,0))</f>
        <v>50061630</v>
      </c>
      <c r="AE2979" s="13">
        <f>$E2979+24</f>
        <v>130</v>
      </c>
      <c r="AF2979" s="14">
        <f>IF($J2979=0,0,ROUND(MAX($J2979*1.4*1.5*1.6*1.6*2.2*2.715*2.6*1.4*1.4*1.5*1.5,18900000000*(1.65331^(MIN($E2979,123)-117)))*1,0))</f>
        <v>74914276</v>
      </c>
      <c r="AG2979" s="11">
        <f>$E2979+27</f>
        <v>133</v>
      </c>
      <c r="AH2979" s="12">
        <f>IF($J2979=0,0,ROUND(MAX($J2979*1.4*1.5*1.6*1.6*2.2*2.715*2.6*1.4*1.4*1.5*1.5*3.2,60500000000*(1.654288^(MIN($E2979,123)-117)))*1,0))</f>
        <v>238250083</v>
      </c>
    </row>
    <row r="2980" ht="28" customHeight="1" spans="1:34" x14ac:dyDescent="0.25">
      <c r="A2980">
        <v>2990</v>
      </c>
      <c r="B2980" t="s">
        <v>781</v>
      </c>
      <c r="C2980" s="10" t="s">
        <v>1673</v>
      </c>
      <c r="D2980" t="s">
        <v>33</v>
      </c>
      <c r="E2980">
        <v>106</v>
      </c>
      <c r="F2980" t="s">
        <v>34</v>
      </c>
      <c r="G2980" t="s">
        <v>38</v>
      </c>
      <c r="H2980">
        <v>23</v>
      </c>
      <c r="I2980" s="11">
        <f>$E2980+0</f>
        <v>106</v>
      </c>
      <c r="J2980" s="12">
        <v>20000</v>
      </c>
      <c r="K2980" s="13">
        <f>$E2980+1</f>
        <v>107</v>
      </c>
      <c r="L2980" s="14">
        <f>IF($J2980=0,0,ROUND(MAX($J2980*1.4,1620000*(1.497923^(MIN($E2980,123)-117)))*1,0))</f>
        <v>28000</v>
      </c>
      <c r="M2980" s="11">
        <f>$E2980+2</f>
        <v>108</v>
      </c>
      <c r="N2980" s="12">
        <f>IF($J2980=0,0,ROUND(MAX($J2980*1.4*1.5,2190000*(1.580994^(MIN($E2980,123)-117)))*1,0))</f>
        <v>42000</v>
      </c>
      <c r="O2980" s="13">
        <f>$E2980+4</f>
        <v>110</v>
      </c>
      <c r="P2980" s="14">
        <f>IF($J2980=0,0,ROUND(MAX($J2980*1.4*1.5*1.6,3500000*(1.57975^(MIN($E2980,123)-117)))*1,0))</f>
        <v>67200</v>
      </c>
      <c r="Q2980" s="11">
        <f>$E2980+6</f>
        <v>112</v>
      </c>
      <c r="R2980" s="12">
        <f>IF($J2980=0,0,ROUND(MAX($J2980*1.4*1.5*1.6*1.6,13100000*(1.429962^(MIN($E2980,123)-117)))*1,0))</f>
        <v>256272</v>
      </c>
      <c r="S2980" s="13">
        <f>$E2980+8</f>
        <v>114</v>
      </c>
      <c r="T2980" s="14">
        <f>IF($J2980=0,0,ROUND(MAX($J2980*1.4*1.5*1.6*1.6*2.2,42600000*(1.576904^(MIN($E2980,123)-117)))*1,0))</f>
        <v>284153</v>
      </c>
      <c r="U2980" s="11">
        <f>$E2980+11</f>
        <v>117</v>
      </c>
      <c r="V2980" s="12">
        <f>IF($J2980=0,0,ROUND(MAX($J2980*1.4*1.5*1.6*1.6*2.2*2.715,354000000*(1.642074^(MIN($E2980,123)-117)))*1,0))</f>
        <v>1512458</v>
      </c>
      <c r="W2980" s="13">
        <f>$E2980+15</f>
        <v>121</v>
      </c>
      <c r="X2980" s="14">
        <f>IF($J2980=0,0,ROUND(MAX($J2980*1.4*1.5*1.6*1.6*2.2*2.715*2.6,3540000000*(1.579646^(MIN($E2980,123)-117)))*1,0))</f>
        <v>23165718</v>
      </c>
      <c r="Y2980" s="11">
        <f>$E2980+17</f>
        <v>123</v>
      </c>
      <c r="Z2980" s="12">
        <f>IF($J2980=0,0,ROUND(MAX($J2980*1.4*1.5*1.6*1.6*2.2*2.715*2.6*1.4,6020000000*(1.651178^(MIN($E2980,123)-117)))*1,0))</f>
        <v>24202691</v>
      </c>
      <c r="AA2980" s="13">
        <f>$E2980+19</f>
        <v>125</v>
      </c>
      <c r="AB2980" s="14">
        <f>IF($J2980=0,0,ROUND(MAX($J2980*1.4*1.5*1.6*1.6*2.2*2.715*2.6*1.4*1.4,8430000000*(1.651435^(MIN($E2980,123)-117)))*1,0))</f>
        <v>33833836</v>
      </c>
      <c r="AC2980" s="11">
        <f>$E2980+21</f>
        <v>127</v>
      </c>
      <c r="AD2980" s="12">
        <f>IF($J2980=0,0,ROUND(MAX($J2980*1.4*1.5*1.6*1.6*2.2*2.715*2.6*1.4*1.4*1.5,12600000000*(1.652953^(MIN($E2980,123)-117)))*1,0))</f>
        <v>50061630</v>
      </c>
      <c r="AE2980" s="13">
        <f>$E2980+24</f>
        <v>130</v>
      </c>
      <c r="AF2980" s="14">
        <f>IF($J2980=0,0,ROUND(MAX($J2980*1.4*1.5*1.6*1.6*2.2*2.715*2.6*1.4*1.4*1.5*1.5,18900000000*(1.65331^(MIN($E2980,123)-117)))*1,0))</f>
        <v>74914276</v>
      </c>
      <c r="AG2980" s="11">
        <f>$E2980+27</f>
        <v>133</v>
      </c>
      <c r="AH2980" s="12">
        <f>IF($J2980=0,0,ROUND(MAX($J2980*1.4*1.5*1.6*1.6*2.2*2.715*2.6*1.4*1.4*1.5*1.5*3.2,60500000000*(1.654288^(MIN($E2980,123)-117)))*1,0))</f>
        <v>238250083</v>
      </c>
    </row>
    <row r="2981" ht="28" customHeight="1" spans="1:34" x14ac:dyDescent="0.25">
      <c r="A2981">
        <v>2991</v>
      </c>
      <c r="B2981" t="s">
        <v>636</v>
      </c>
      <c r="C2981" s="10" t="s">
        <v>1673</v>
      </c>
      <c r="D2981" t="s">
        <v>25</v>
      </c>
      <c r="E2981">
        <v>105</v>
      </c>
      <c r="F2981" t="s">
        <v>34</v>
      </c>
      <c r="G2981" t="s">
        <v>133</v>
      </c>
      <c r="H2981">
        <v>24</v>
      </c>
      <c r="I2981" s="11">
        <f>$E2981+0</f>
        <v>105</v>
      </c>
      <c r="J2981" s="12">
        <v>15300</v>
      </c>
      <c r="K2981" s="13">
        <f>$E2981+1</f>
        <v>106</v>
      </c>
      <c r="L2981" s="14">
        <f>IF($J2981=0,0,ROUND(MAX($J2981*1.4,1620000*(1.497923^(MIN($E2981,123)-117)))*1,0))</f>
        <v>21420</v>
      </c>
      <c r="M2981" s="11">
        <f>$E2981+2</f>
        <v>107</v>
      </c>
      <c r="N2981" s="12">
        <f>IF($J2981=0,0,ROUND(MAX($J2981*1.4*1.5,2190000*(1.580994^(MIN($E2981,123)-117)))*1,0))</f>
        <v>32130</v>
      </c>
      <c r="O2981" s="13">
        <f>$E2981+4</f>
        <v>109</v>
      </c>
      <c r="P2981" s="14">
        <f>IF($J2981=0,0,ROUND(MAX($J2981*1.4*1.5*1.6,3500000*(1.57975^(MIN($E2981,123)-117)))*1,0))</f>
        <v>51408</v>
      </c>
      <c r="Q2981" s="11">
        <f>$E2981+6</f>
        <v>111</v>
      </c>
      <c r="R2981" s="12">
        <f>IF($J2981=0,0,ROUND(MAX($J2981*1.4*1.5*1.6*1.6,13100000*(1.429962^(MIN($E2981,123)-117)))*1,0))</f>
        <v>179216</v>
      </c>
      <c r="S2981" s="13">
        <f>$E2981+8</f>
        <v>113</v>
      </c>
      <c r="T2981" s="14">
        <f>IF($J2981=0,0,ROUND(MAX($J2981*1.4*1.5*1.6*1.6*2.2,42600000*(1.576904^(MIN($E2981,123)-117)))*1,0))</f>
        <v>180956</v>
      </c>
      <c r="U2981" s="11">
        <f>$E2981+11</f>
        <v>116</v>
      </c>
      <c r="V2981" s="12">
        <f>IF($J2981=0,0,ROUND(MAX($J2981*1.4*1.5*1.6*1.6*2.2*2.715,354000000*(1.642074^(MIN($E2981,123)-117)))*1,0))</f>
        <v>921066</v>
      </c>
      <c r="W2981" s="13">
        <f>$E2981+15</f>
        <v>120</v>
      </c>
      <c r="X2981" s="14">
        <f>IF($J2981=0,0,ROUND(MAX($J2981*1.4*1.5*1.6*1.6*2.2*2.715*2.6,3540000000*(1.579646^(MIN($E2981,123)-117)))*1,0))</f>
        <v>14665133</v>
      </c>
      <c r="Y2981" s="11">
        <f>$E2981+17</f>
        <v>122</v>
      </c>
      <c r="Z2981" s="12">
        <f>IF($J2981=0,0,ROUND(MAX($J2981*1.4*1.5*1.6*1.6*2.2*2.715*2.6*1.4,6020000000*(1.651178^(MIN($E2981,123)-117)))*1,0))</f>
        <v>14657833</v>
      </c>
      <c r="AA2981" s="13">
        <f>$E2981+19</f>
        <v>124</v>
      </c>
      <c r="AB2981" s="14">
        <f>IF($J2981=0,0,ROUND(MAX($J2981*1.4*1.5*1.6*1.6*2.2*2.715*2.6*1.4*1.4,8430000000*(1.651435^(MIN($E2981,123)-117)))*1,0))</f>
        <v>20487537</v>
      </c>
      <c r="AC2981" s="11">
        <f>$E2981+21</f>
        <v>126</v>
      </c>
      <c r="AD2981" s="12">
        <f>IF($J2981=0,0,ROUND(MAX($J2981*1.4*1.5*1.6*1.6*2.2*2.715*2.6*1.4*1.4*1.5,12600000000*(1.652953^(MIN($E2981,123)-117)))*1,0))</f>
        <v>30286179</v>
      </c>
      <c r="AE2981" s="13">
        <f>$E2981+24</f>
        <v>129</v>
      </c>
      <c r="AF2981" s="14">
        <f>IF($J2981=0,0,ROUND(MAX($J2981*1.4*1.5*1.6*1.6*2.2*2.715*2.6*1.4*1.4*1.5*1.5,18900000000*(1.65331^(MIN($E2981,123)-117)))*1,0))</f>
        <v>45311693</v>
      </c>
      <c r="AG2981" s="11">
        <f>$E2981+27</f>
        <v>132</v>
      </c>
      <c r="AH2981" s="12">
        <f>IF($J2981=0,0,ROUND(MAX($J2981*1.4*1.5*1.6*1.6*2.2*2.715*2.6*1.4*1.4*1.5*1.5*3.2,60500000000*(1.654288^(MIN($E2981,123)-117)))*1,0))</f>
        <v>144019713</v>
      </c>
    </row>
    <row r="2982" ht="28" customHeight="1" spans="1:34" x14ac:dyDescent="0.25">
      <c r="A2982">
        <v>2992</v>
      </c>
      <c r="B2982" t="s">
        <v>1675</v>
      </c>
      <c r="C2982" s="10" t="s">
        <v>1673</v>
      </c>
      <c r="D2982" t="s">
        <v>165</v>
      </c>
      <c r="E2982">
        <v>105</v>
      </c>
      <c r="F2982" t="s">
        <v>42</v>
      </c>
      <c r="G2982" t="s">
        <v>1058</v>
      </c>
      <c r="H2982">
        <v>24</v>
      </c>
      <c r="I2982" s="11">
        <f>$E2982+0</f>
        <v>105</v>
      </c>
      <c r="J2982" s="12">
        <v>14500</v>
      </c>
      <c r="K2982" s="13">
        <f>$E2982+1</f>
        <v>106</v>
      </c>
      <c r="L2982" s="14">
        <f>IF($J2982=0,0,ROUND(MAX($J2982*1.4,1620000*(1.497923^(MIN($E2982,123)-117)))*1,0))</f>
        <v>20300</v>
      </c>
      <c r="M2982" s="11">
        <f>$E2982+2</f>
        <v>107</v>
      </c>
      <c r="N2982" s="12">
        <f>IF($J2982=0,0,ROUND(MAX($J2982*1.4*1.5,2190000*(1.580994^(MIN($E2982,123)-117)))*1,0))</f>
        <v>30450</v>
      </c>
      <c r="O2982" s="13">
        <f>$E2982+4</f>
        <v>109</v>
      </c>
      <c r="P2982" s="14">
        <f>IF($J2982=0,0,ROUND(MAX($J2982*1.4*1.5*1.6,3500000*(1.57975^(MIN($E2982,123)-117)))*1,0))</f>
        <v>48720</v>
      </c>
      <c r="Q2982" s="11">
        <f>$E2982+6</f>
        <v>111</v>
      </c>
      <c r="R2982" s="12">
        <f>IF($J2982=0,0,ROUND(MAX($J2982*1.4*1.5*1.6*1.6,13100000*(1.429962^(MIN($E2982,123)-117)))*1,0))</f>
        <v>179216</v>
      </c>
      <c r="S2982" s="13">
        <f>$E2982+8</f>
        <v>113</v>
      </c>
      <c r="T2982" s="14">
        <f>IF($J2982=0,0,ROUND(MAX($J2982*1.4*1.5*1.6*1.6*2.2,42600000*(1.576904^(MIN($E2982,123)-117)))*1,0))</f>
        <v>180197</v>
      </c>
      <c r="U2982" s="11">
        <f>$E2982+11</f>
        <v>116</v>
      </c>
      <c r="V2982" s="12">
        <f>IF($J2982=0,0,ROUND(MAX($J2982*1.4*1.5*1.6*1.6*2.2*2.715,354000000*(1.642074^(MIN($E2982,123)-117)))*1,0))</f>
        <v>921066</v>
      </c>
      <c r="W2982" s="13">
        <f>$E2982+15</f>
        <v>120</v>
      </c>
      <c r="X2982" s="14">
        <f>IF($J2982=0,0,ROUND(MAX($J2982*1.4*1.5*1.6*1.6*2.2*2.715*2.6,3540000000*(1.579646^(MIN($E2982,123)-117)))*1,0))</f>
        <v>14665133</v>
      </c>
      <c r="Y2982" s="11">
        <f>$E2982+17</f>
        <v>122</v>
      </c>
      <c r="Z2982" s="12">
        <f>IF($J2982=0,0,ROUND(MAX($J2982*1.4*1.5*1.6*1.6*2.2*2.715*2.6*1.4,6020000000*(1.651178^(MIN($E2982,123)-117)))*1,0))</f>
        <v>14657833</v>
      </c>
      <c r="AA2982" s="13">
        <f>$E2982+19</f>
        <v>124</v>
      </c>
      <c r="AB2982" s="14">
        <f>IF($J2982=0,0,ROUND(MAX($J2982*1.4*1.5*1.6*1.6*2.2*2.715*2.6*1.4*1.4,8430000000*(1.651435^(MIN($E2982,123)-117)))*1,0))</f>
        <v>20487537</v>
      </c>
      <c r="AC2982" s="11">
        <f>$E2982+21</f>
        <v>126</v>
      </c>
      <c r="AD2982" s="12">
        <f>IF($J2982=0,0,ROUND(MAX($J2982*1.4*1.5*1.6*1.6*2.2*2.715*2.6*1.4*1.4*1.5,12600000000*(1.652953^(MIN($E2982,123)-117)))*1,0))</f>
        <v>30286179</v>
      </c>
      <c r="AE2982" s="13">
        <f>$E2982+24</f>
        <v>129</v>
      </c>
      <c r="AF2982" s="14">
        <f>IF($J2982=0,0,ROUND(MAX($J2982*1.4*1.5*1.6*1.6*2.2*2.715*2.6*1.4*1.4*1.5*1.5,18900000000*(1.65331^(MIN($E2982,123)-117)))*1,0))</f>
        <v>45311693</v>
      </c>
      <c r="AG2982" s="11">
        <f>$E2982+27</f>
        <v>132</v>
      </c>
      <c r="AH2982" s="12">
        <f>IF($J2982=0,0,ROUND(MAX($J2982*1.4*1.5*1.6*1.6*2.2*2.715*2.6*1.4*1.4*1.5*1.5*3.2,60500000000*(1.654288^(MIN($E2982,123)-117)))*1,0))</f>
        <v>144019713</v>
      </c>
    </row>
    <row r="2983" ht="28" customHeight="1" spans="1:34" x14ac:dyDescent="0.25">
      <c r="A2983">
        <v>2993</v>
      </c>
      <c r="B2983" t="s">
        <v>549</v>
      </c>
      <c r="C2983" s="10" t="s">
        <v>1673</v>
      </c>
      <c r="D2983" t="s">
        <v>40</v>
      </c>
      <c r="E2983">
        <v>105</v>
      </c>
      <c r="F2983" t="s">
        <v>30</v>
      </c>
      <c r="G2983" t="s">
        <v>171</v>
      </c>
      <c r="H2983">
        <v>24</v>
      </c>
      <c r="I2983" s="11">
        <f>$E2983+0</f>
        <v>105</v>
      </c>
      <c r="J2983" s="12">
        <v>10600</v>
      </c>
      <c r="K2983" s="13">
        <f>$E2983+1</f>
        <v>106</v>
      </c>
      <c r="L2983" s="14">
        <f>IF($J2983=0,0,ROUND(MAX($J2983*1.4,1620000*(1.497923^(MIN($E2983,123)-117)))*1,0))</f>
        <v>14840</v>
      </c>
      <c r="M2983" s="11">
        <f>$E2983+2</f>
        <v>107</v>
      </c>
      <c r="N2983" s="12">
        <f>IF($J2983=0,0,ROUND(MAX($J2983*1.4*1.5,2190000*(1.580994^(MIN($E2983,123)-117)))*1,0))</f>
        <v>22260</v>
      </c>
      <c r="O2983" s="13">
        <f>$E2983+4</f>
        <v>109</v>
      </c>
      <c r="P2983" s="14">
        <f>IF($J2983=0,0,ROUND(MAX($J2983*1.4*1.5*1.6,3500000*(1.57975^(MIN($E2983,123)-117)))*1,0))</f>
        <v>35616</v>
      </c>
      <c r="Q2983" s="11">
        <f>$E2983+6</f>
        <v>111</v>
      </c>
      <c r="R2983" s="12">
        <f>IF($J2983=0,0,ROUND(MAX($J2983*1.4*1.5*1.6*1.6,13100000*(1.429962^(MIN($E2983,123)-117)))*1,0))</f>
        <v>179216</v>
      </c>
      <c r="S2983" s="13">
        <f>$E2983+8</f>
        <v>113</v>
      </c>
      <c r="T2983" s="14">
        <f>IF($J2983=0,0,ROUND(MAX($J2983*1.4*1.5*1.6*1.6*2.2,42600000*(1.576904^(MIN($E2983,123)-117)))*1,0))</f>
        <v>180197</v>
      </c>
      <c r="U2983" s="11">
        <f>$E2983+11</f>
        <v>116</v>
      </c>
      <c r="V2983" s="12">
        <f>IF($J2983=0,0,ROUND(MAX($J2983*1.4*1.5*1.6*1.6*2.2*2.715,354000000*(1.642074^(MIN($E2983,123)-117)))*1,0))</f>
        <v>921066</v>
      </c>
      <c r="W2983" s="13">
        <f>$E2983+15</f>
        <v>120</v>
      </c>
      <c r="X2983" s="14">
        <f>IF($J2983=0,0,ROUND(MAX($J2983*1.4*1.5*1.6*1.6*2.2*2.715*2.6,3540000000*(1.579646^(MIN($E2983,123)-117)))*1,0))</f>
        <v>14665133</v>
      </c>
      <c r="Y2983" s="11">
        <f>$E2983+17</f>
        <v>122</v>
      </c>
      <c r="Z2983" s="12">
        <f>IF($J2983=0,0,ROUND(MAX($J2983*1.4*1.5*1.6*1.6*2.2*2.715*2.6*1.4,6020000000*(1.651178^(MIN($E2983,123)-117)))*1,0))</f>
        <v>14657833</v>
      </c>
      <c r="AA2983" s="13">
        <f>$E2983+19</f>
        <v>124</v>
      </c>
      <c r="AB2983" s="14">
        <f>IF($J2983=0,0,ROUND(MAX($J2983*1.4*1.5*1.6*1.6*2.2*2.715*2.6*1.4*1.4,8430000000*(1.651435^(MIN($E2983,123)-117)))*1,0))</f>
        <v>20487537</v>
      </c>
      <c r="AC2983" s="11">
        <f>$E2983+21</f>
        <v>126</v>
      </c>
      <c r="AD2983" s="12">
        <f>IF($J2983=0,0,ROUND(MAX($J2983*1.4*1.5*1.6*1.6*2.2*2.715*2.6*1.4*1.4*1.5,12600000000*(1.652953^(MIN($E2983,123)-117)))*1,0))</f>
        <v>30286179</v>
      </c>
      <c r="AE2983" s="13">
        <f>$E2983+24</f>
        <v>129</v>
      </c>
      <c r="AF2983" s="14">
        <f>IF($J2983=0,0,ROUND(MAX($J2983*1.4*1.5*1.6*1.6*2.2*2.715*2.6*1.4*1.4*1.5*1.5,18900000000*(1.65331^(MIN($E2983,123)-117)))*1,0))</f>
        <v>45311693</v>
      </c>
      <c r="AG2983" s="11">
        <f>$E2983+27</f>
        <v>132</v>
      </c>
      <c r="AH2983" s="12">
        <f>IF($J2983=0,0,ROUND(MAX($J2983*1.4*1.5*1.6*1.6*2.2*2.715*2.6*1.4*1.4*1.5*1.5*3.2,60500000000*(1.654288^(MIN($E2983,123)-117)))*1,0))</f>
        <v>144019713</v>
      </c>
    </row>
    <row r="2984" ht="28" customHeight="1" spans="1:34" x14ac:dyDescent="0.25">
      <c r="A2984">
        <v>2994</v>
      </c>
      <c r="B2984" t="s">
        <v>411</v>
      </c>
      <c r="C2984" s="10" t="s">
        <v>1673</v>
      </c>
      <c r="D2984" t="s">
        <v>33</v>
      </c>
      <c r="E2984">
        <v>105</v>
      </c>
      <c r="F2984" t="s">
        <v>412</v>
      </c>
      <c r="G2984" t="s">
        <v>374</v>
      </c>
      <c r="H2984">
        <v>24</v>
      </c>
      <c r="I2984" s="11">
        <f>$E2984+0</f>
        <v>105</v>
      </c>
      <c r="J2984" s="12">
        <v>15700</v>
      </c>
      <c r="K2984" s="13">
        <f>$E2984+1</f>
        <v>106</v>
      </c>
      <c r="L2984" s="14">
        <f>IF($J2984=0,0,ROUND(MAX($J2984*1.4,1620000*(1.497923^(MIN($E2984,123)-117)))*1,0))</f>
        <v>21980</v>
      </c>
      <c r="M2984" s="11">
        <f>$E2984+2</f>
        <v>107</v>
      </c>
      <c r="N2984" s="12">
        <f>IF($J2984=0,0,ROUND(MAX($J2984*1.4*1.5,2190000*(1.580994^(MIN($E2984,123)-117)))*1,0))</f>
        <v>32970</v>
      </c>
      <c r="O2984" s="13">
        <f>$E2984+4</f>
        <v>109</v>
      </c>
      <c r="P2984" s="14">
        <f>IF($J2984=0,0,ROUND(MAX($J2984*1.4*1.5*1.6,3500000*(1.57975^(MIN($E2984,123)-117)))*1,0))</f>
        <v>52752</v>
      </c>
      <c r="Q2984" s="11">
        <f>$E2984+6</f>
        <v>111</v>
      </c>
      <c r="R2984" s="12">
        <f>IF($J2984=0,0,ROUND(MAX($J2984*1.4*1.5*1.6*1.6,13100000*(1.429962^(MIN($E2984,123)-117)))*1,0))</f>
        <v>179216</v>
      </c>
      <c r="S2984" s="13">
        <f>$E2984+8</f>
        <v>113</v>
      </c>
      <c r="T2984" s="14">
        <f>IF($J2984=0,0,ROUND(MAX($J2984*1.4*1.5*1.6*1.6*2.2,42600000*(1.576904^(MIN($E2984,123)-117)))*1,0))</f>
        <v>185687</v>
      </c>
      <c r="U2984" s="11">
        <f>$E2984+11</f>
        <v>116</v>
      </c>
      <c r="V2984" s="12">
        <f>IF($J2984=0,0,ROUND(MAX($J2984*1.4*1.5*1.6*1.6*2.2*2.715,354000000*(1.642074^(MIN($E2984,123)-117)))*1,0))</f>
        <v>921066</v>
      </c>
      <c r="W2984" s="13">
        <f>$E2984+15</f>
        <v>120</v>
      </c>
      <c r="X2984" s="14">
        <f>IF($J2984=0,0,ROUND(MAX($J2984*1.4*1.5*1.6*1.6*2.2*2.715*2.6,3540000000*(1.579646^(MIN($E2984,123)-117)))*1,0))</f>
        <v>14665133</v>
      </c>
      <c r="Y2984" s="11">
        <f>$E2984+17</f>
        <v>122</v>
      </c>
      <c r="Z2984" s="12">
        <f>IF($J2984=0,0,ROUND(MAX($J2984*1.4*1.5*1.6*1.6*2.2*2.715*2.6*1.4,6020000000*(1.651178^(MIN($E2984,123)-117)))*1,0))</f>
        <v>14657833</v>
      </c>
      <c r="AA2984" s="13">
        <f>$E2984+19</f>
        <v>124</v>
      </c>
      <c r="AB2984" s="14">
        <f>IF($J2984=0,0,ROUND(MAX($J2984*1.4*1.5*1.6*1.6*2.2*2.715*2.6*1.4*1.4,8430000000*(1.651435^(MIN($E2984,123)-117)))*1,0))</f>
        <v>20487537</v>
      </c>
      <c r="AC2984" s="11">
        <f>$E2984+21</f>
        <v>126</v>
      </c>
      <c r="AD2984" s="12">
        <f>IF($J2984=0,0,ROUND(MAX($J2984*1.4*1.5*1.6*1.6*2.2*2.715*2.6*1.4*1.4*1.5,12600000000*(1.652953^(MIN($E2984,123)-117)))*1,0))</f>
        <v>30286179</v>
      </c>
      <c r="AE2984" s="13">
        <f>$E2984+24</f>
        <v>129</v>
      </c>
      <c r="AF2984" s="14">
        <f>IF($J2984=0,0,ROUND(MAX($J2984*1.4*1.5*1.6*1.6*2.2*2.715*2.6*1.4*1.4*1.5*1.5,18900000000*(1.65331^(MIN($E2984,123)-117)))*1,0))</f>
        <v>45311693</v>
      </c>
      <c r="AG2984" s="11">
        <f>$E2984+27</f>
        <v>132</v>
      </c>
      <c r="AH2984" s="12">
        <f>IF($J2984=0,0,ROUND(MAX($J2984*1.4*1.5*1.6*1.6*2.2*2.715*2.6*1.4*1.4*1.5*1.5*3.2,60500000000*(1.654288^(MIN($E2984,123)-117)))*1,0))</f>
        <v>144019713</v>
      </c>
    </row>
    <row r="2985" ht="28" customHeight="1" spans="1:34" x14ac:dyDescent="0.25">
      <c r="A2985">
        <v>2995</v>
      </c>
      <c r="B2985" t="s">
        <v>588</v>
      </c>
      <c r="C2985" s="10" t="s">
        <v>1673</v>
      </c>
      <c r="D2985" t="s">
        <v>45</v>
      </c>
      <c r="E2985">
        <v>105</v>
      </c>
      <c r="F2985" t="s">
        <v>56</v>
      </c>
      <c r="G2985" t="s">
        <v>38</v>
      </c>
      <c r="H2985">
        <v>23</v>
      </c>
      <c r="I2985" s="11">
        <f>$E2985+0</f>
        <v>105</v>
      </c>
      <c r="J2985" s="12">
        <v>33600</v>
      </c>
      <c r="K2985" s="13">
        <f>$E2985+1</f>
        <v>106</v>
      </c>
      <c r="L2985" s="14">
        <f>IF($J2985=0,0,ROUND(MAX($J2985*1.4,1620000*(1.497923^(MIN($E2985,123)-117)))*1,0))</f>
        <v>47040</v>
      </c>
      <c r="M2985" s="11">
        <f>$E2985+2</f>
        <v>107</v>
      </c>
      <c r="N2985" s="12">
        <f>IF($J2985=0,0,ROUND(MAX($J2985*1.4*1.5,2190000*(1.580994^(MIN($E2985,123)-117)))*1,0))</f>
        <v>70560</v>
      </c>
      <c r="O2985" s="13">
        <f>$E2985+4</f>
        <v>109</v>
      </c>
      <c r="P2985" s="14">
        <f>IF($J2985=0,0,ROUND(MAX($J2985*1.4*1.5*1.6,3500000*(1.57975^(MIN($E2985,123)-117)))*1,0))</f>
        <v>112896</v>
      </c>
      <c r="Q2985" s="11">
        <f>$E2985+6</f>
        <v>111</v>
      </c>
      <c r="R2985" s="12">
        <f>IF($J2985=0,0,ROUND(MAX($J2985*1.4*1.5*1.6*1.6,13100000*(1.429962^(MIN($E2985,123)-117)))*1,0))</f>
        <v>180634</v>
      </c>
      <c r="S2985" s="13">
        <f>$E2985+8</f>
        <v>113</v>
      </c>
      <c r="T2985" s="14">
        <f>IF($J2985=0,0,ROUND(MAX($J2985*1.4*1.5*1.6*1.6*2.2,42600000*(1.576904^(MIN($E2985,123)-117)))*1,0))</f>
        <v>397394</v>
      </c>
      <c r="U2985" s="11">
        <f>$E2985+11</f>
        <v>116</v>
      </c>
      <c r="V2985" s="12">
        <f>IF($J2985=0,0,ROUND(MAX($J2985*1.4*1.5*1.6*1.6*2.2*2.715,354000000*(1.642074^(MIN($E2985,123)-117)))*1,0))</f>
        <v>1078924</v>
      </c>
      <c r="W2985" s="13">
        <f>$E2985+15</f>
        <v>120</v>
      </c>
      <c r="X2985" s="14">
        <f>IF($J2985=0,0,ROUND(MAX($J2985*1.4*1.5*1.6*1.6*2.2*2.715*2.6,3540000000*(1.579646^(MIN($E2985,123)-117)))*1,0))</f>
        <v>14665133</v>
      </c>
      <c r="Y2985" s="11">
        <f>$E2985+17</f>
        <v>122</v>
      </c>
      <c r="Z2985" s="12">
        <f>IF($J2985=0,0,ROUND(MAX($J2985*1.4*1.5*1.6*1.6*2.2*2.715*2.6*1.4,6020000000*(1.651178^(MIN($E2985,123)-117)))*1,0))</f>
        <v>14657833</v>
      </c>
      <c r="AA2985" s="13">
        <f>$E2985+19</f>
        <v>124</v>
      </c>
      <c r="AB2985" s="14">
        <f>IF($J2985=0,0,ROUND(MAX($J2985*1.4*1.5*1.6*1.6*2.2*2.715*2.6*1.4*1.4,8430000000*(1.651435^(MIN($E2985,123)-117)))*1,0))</f>
        <v>20487537</v>
      </c>
      <c r="AC2985" s="11">
        <f>$E2985+21</f>
        <v>126</v>
      </c>
      <c r="AD2985" s="12">
        <f>IF($J2985=0,0,ROUND(MAX($J2985*1.4*1.5*1.6*1.6*2.2*2.715*2.6*1.4*1.4*1.5,12600000000*(1.652953^(MIN($E2985,123)-117)))*1,0))</f>
        <v>30286179</v>
      </c>
      <c r="AE2985" s="13">
        <f>$E2985+24</f>
        <v>129</v>
      </c>
      <c r="AF2985" s="14">
        <f>IF($J2985=0,0,ROUND(MAX($J2985*1.4*1.5*1.6*1.6*2.2*2.715*2.6*1.4*1.4*1.5*1.5,18900000000*(1.65331^(MIN($E2985,123)-117)))*1,0))</f>
        <v>45311693</v>
      </c>
      <c r="AG2985" s="11">
        <f>$E2985+27</f>
        <v>132</v>
      </c>
      <c r="AH2985" s="12">
        <f>IF($J2985=0,0,ROUND(MAX($J2985*1.4*1.5*1.6*1.6*2.2*2.715*2.6*1.4*1.4*1.5*1.5*3.2,60500000000*(1.654288^(MIN($E2985,123)-117)))*1,0))</f>
        <v>144019713</v>
      </c>
    </row>
    <row r="2986" ht="28" customHeight="1" spans="1:34" x14ac:dyDescent="0.25">
      <c r="A2986">
        <v>2996</v>
      </c>
      <c r="B2986" t="s">
        <v>233</v>
      </c>
      <c r="C2986" s="10" t="s">
        <v>1673</v>
      </c>
      <c r="D2986" t="s">
        <v>102</v>
      </c>
      <c r="E2986">
        <v>105</v>
      </c>
      <c r="F2986" t="s">
        <v>56</v>
      </c>
      <c r="G2986" t="s">
        <v>95</v>
      </c>
      <c r="H2986">
        <v>23</v>
      </c>
      <c r="I2986" s="11">
        <f>$E2986+0</f>
        <v>105</v>
      </c>
      <c r="J2986" s="12">
        <v>13800</v>
      </c>
      <c r="K2986" s="13">
        <f>$E2986+1</f>
        <v>106</v>
      </c>
      <c r="L2986" s="14">
        <f>IF($J2986=0,0,ROUND(MAX($J2986*1.4,1620000*(1.497923^(MIN($E2986,123)-117)))*1,0))</f>
        <v>19320</v>
      </c>
      <c r="M2986" s="11">
        <f>$E2986+2</f>
        <v>107</v>
      </c>
      <c r="N2986" s="12">
        <f>IF($J2986=0,0,ROUND(MAX($J2986*1.4*1.5,2190000*(1.580994^(MIN($E2986,123)-117)))*1,0))</f>
        <v>28980</v>
      </c>
      <c r="O2986" s="13">
        <f>$E2986+4</f>
        <v>109</v>
      </c>
      <c r="P2986" s="14">
        <f>IF($J2986=0,0,ROUND(MAX($J2986*1.4*1.5*1.6,3500000*(1.57975^(MIN($E2986,123)-117)))*1,0))</f>
        <v>46368</v>
      </c>
      <c r="Q2986" s="11">
        <f>$E2986+6</f>
        <v>111</v>
      </c>
      <c r="R2986" s="12">
        <f>IF($J2986=0,0,ROUND(MAX($J2986*1.4*1.5*1.6*1.6,13100000*(1.429962^(MIN($E2986,123)-117)))*1,0))</f>
        <v>179216</v>
      </c>
      <c r="S2986" s="13">
        <f>$E2986+8</f>
        <v>113</v>
      </c>
      <c r="T2986" s="14">
        <f>IF($J2986=0,0,ROUND(MAX($J2986*1.4*1.5*1.6*1.6*2.2,42600000*(1.576904^(MIN($E2986,123)-117)))*1,0))</f>
        <v>180197</v>
      </c>
      <c r="U2986" s="11">
        <f>$E2986+11</f>
        <v>116</v>
      </c>
      <c r="V2986" s="12">
        <f>IF($J2986=0,0,ROUND(MAX($J2986*1.4*1.5*1.6*1.6*2.2*2.715,354000000*(1.642074^(MIN($E2986,123)-117)))*1,0))</f>
        <v>921066</v>
      </c>
      <c r="W2986" s="13">
        <f>$E2986+15</f>
        <v>120</v>
      </c>
      <c r="X2986" s="14">
        <f>IF($J2986=0,0,ROUND(MAX($J2986*1.4*1.5*1.6*1.6*2.2*2.715*2.6,3540000000*(1.579646^(MIN($E2986,123)-117)))*1,0))</f>
        <v>14665133</v>
      </c>
      <c r="Y2986" s="11">
        <f>$E2986+17</f>
        <v>122</v>
      </c>
      <c r="Z2986" s="12">
        <f>IF($J2986=0,0,ROUND(MAX($J2986*1.4*1.5*1.6*1.6*2.2*2.715*2.6*1.4,6020000000*(1.651178^(MIN($E2986,123)-117)))*1,0))</f>
        <v>14657833</v>
      </c>
      <c r="AA2986" s="13">
        <f>$E2986+19</f>
        <v>124</v>
      </c>
      <c r="AB2986" s="14">
        <f>IF($J2986=0,0,ROUND(MAX($J2986*1.4*1.5*1.6*1.6*2.2*2.715*2.6*1.4*1.4,8430000000*(1.651435^(MIN($E2986,123)-117)))*1,0))</f>
        <v>20487537</v>
      </c>
      <c r="AC2986" s="11">
        <f>$E2986+21</f>
        <v>126</v>
      </c>
      <c r="AD2986" s="12">
        <f>IF($J2986=0,0,ROUND(MAX($J2986*1.4*1.5*1.6*1.6*2.2*2.715*2.6*1.4*1.4*1.5,12600000000*(1.652953^(MIN($E2986,123)-117)))*1,0))</f>
        <v>30286179</v>
      </c>
      <c r="AE2986" s="13">
        <f>$E2986+24</f>
        <v>129</v>
      </c>
      <c r="AF2986" s="14">
        <f>IF($J2986=0,0,ROUND(MAX($J2986*1.4*1.5*1.6*1.6*2.2*2.715*2.6*1.4*1.4*1.5*1.5,18900000000*(1.65331^(MIN($E2986,123)-117)))*1,0))</f>
        <v>45311693</v>
      </c>
      <c r="AG2986" s="11">
        <f>$E2986+27</f>
        <v>132</v>
      </c>
      <c r="AH2986" s="12">
        <f>IF($J2986=0,0,ROUND(MAX($J2986*1.4*1.5*1.6*1.6*2.2*2.715*2.6*1.4*1.4*1.5*1.5*3.2,60500000000*(1.654288^(MIN($E2986,123)-117)))*1,0))</f>
        <v>144019713</v>
      </c>
    </row>
    <row r="2987" ht="28" customHeight="1" spans="1:34" x14ac:dyDescent="0.25">
      <c r="A2987">
        <v>2997</v>
      </c>
      <c r="B2987" t="s">
        <v>1160</v>
      </c>
      <c r="C2987" s="10" t="s">
        <v>1673</v>
      </c>
      <c r="D2987" t="s">
        <v>40</v>
      </c>
      <c r="E2987">
        <v>105</v>
      </c>
      <c r="F2987" t="s">
        <v>217</v>
      </c>
      <c r="G2987" t="s">
        <v>169</v>
      </c>
      <c r="H2987">
        <v>23</v>
      </c>
      <c r="I2987" s="11">
        <f>$E2987+0</f>
        <v>105</v>
      </c>
      <c r="J2987" s="12">
        <v>18000</v>
      </c>
      <c r="K2987" s="13">
        <f>$E2987+1</f>
        <v>106</v>
      </c>
      <c r="L2987" s="14">
        <f>IF($J2987=0,0,ROUND(MAX($J2987*1.4,1620000*(1.497923^(MIN($E2987,123)-117)))*1,0))</f>
        <v>25200</v>
      </c>
      <c r="M2987" s="11">
        <f>$E2987+2</f>
        <v>107</v>
      </c>
      <c r="N2987" s="12">
        <f>IF($J2987=0,0,ROUND(MAX($J2987*1.4*1.5,2190000*(1.580994^(MIN($E2987,123)-117)))*1,0))</f>
        <v>37800</v>
      </c>
      <c r="O2987" s="13">
        <f>$E2987+4</f>
        <v>109</v>
      </c>
      <c r="P2987" s="14">
        <f>IF($J2987=0,0,ROUND(MAX($J2987*1.4*1.5*1.6,3500000*(1.57975^(MIN($E2987,123)-117)))*1,0))</f>
        <v>60480</v>
      </c>
      <c r="Q2987" s="11">
        <f>$E2987+6</f>
        <v>111</v>
      </c>
      <c r="R2987" s="12">
        <f>IF($J2987=0,0,ROUND(MAX($J2987*1.4*1.5*1.6*1.6,13100000*(1.429962^(MIN($E2987,123)-117)))*1,0))</f>
        <v>179216</v>
      </c>
      <c r="S2987" s="13">
        <f>$E2987+8</f>
        <v>113</v>
      </c>
      <c r="T2987" s="14">
        <f>IF($J2987=0,0,ROUND(MAX($J2987*1.4*1.5*1.6*1.6*2.2,42600000*(1.576904^(MIN($E2987,123)-117)))*1,0))</f>
        <v>212890</v>
      </c>
      <c r="U2987" s="11">
        <f>$E2987+11</f>
        <v>116</v>
      </c>
      <c r="V2987" s="12">
        <f>IF($J2987=0,0,ROUND(MAX($J2987*1.4*1.5*1.6*1.6*2.2*2.715,354000000*(1.642074^(MIN($E2987,123)-117)))*1,0))</f>
        <v>921066</v>
      </c>
      <c r="W2987" s="13">
        <f>$E2987+15</f>
        <v>120</v>
      </c>
      <c r="X2987" s="14">
        <f>IF($J2987=0,0,ROUND(MAX($J2987*1.4*1.5*1.6*1.6*2.2*2.715*2.6,3540000000*(1.579646^(MIN($E2987,123)-117)))*1,0))</f>
        <v>14665133</v>
      </c>
      <c r="Y2987" s="11">
        <f>$E2987+17</f>
        <v>122</v>
      </c>
      <c r="Z2987" s="12">
        <f>IF($J2987=0,0,ROUND(MAX($J2987*1.4*1.5*1.6*1.6*2.2*2.715*2.6*1.4,6020000000*(1.651178^(MIN($E2987,123)-117)))*1,0))</f>
        <v>14657833</v>
      </c>
      <c r="AA2987" s="13">
        <f>$E2987+19</f>
        <v>124</v>
      </c>
      <c r="AB2987" s="14">
        <f>IF($J2987=0,0,ROUND(MAX($J2987*1.4*1.5*1.6*1.6*2.2*2.715*2.6*1.4*1.4,8430000000*(1.651435^(MIN($E2987,123)-117)))*1,0))</f>
        <v>20487537</v>
      </c>
      <c r="AC2987" s="11">
        <f>$E2987+21</f>
        <v>126</v>
      </c>
      <c r="AD2987" s="12">
        <f>IF($J2987=0,0,ROUND(MAX($J2987*1.4*1.5*1.6*1.6*2.2*2.715*2.6*1.4*1.4*1.5,12600000000*(1.652953^(MIN($E2987,123)-117)))*1,0))</f>
        <v>30286179</v>
      </c>
      <c r="AE2987" s="13">
        <f>$E2987+24</f>
        <v>129</v>
      </c>
      <c r="AF2987" s="14">
        <f>IF($J2987=0,0,ROUND(MAX($J2987*1.4*1.5*1.6*1.6*2.2*2.715*2.6*1.4*1.4*1.5*1.5,18900000000*(1.65331^(MIN($E2987,123)-117)))*1,0))</f>
        <v>45311693</v>
      </c>
      <c r="AG2987" s="11">
        <f>$E2987+27</f>
        <v>132</v>
      </c>
      <c r="AH2987" s="12">
        <f>IF($J2987=0,0,ROUND(MAX($J2987*1.4*1.5*1.6*1.6*2.2*2.715*2.6*1.4*1.4*1.5*1.5*3.2,60500000000*(1.654288^(MIN($E2987,123)-117)))*1,0))</f>
        <v>144019713</v>
      </c>
    </row>
    <row r="2988" ht="28" customHeight="1" spans="1:34" x14ac:dyDescent="0.25">
      <c r="A2988">
        <v>2998</v>
      </c>
      <c r="B2988" t="s">
        <v>1676</v>
      </c>
      <c r="C2988" s="10" t="s">
        <v>1673</v>
      </c>
      <c r="D2988" t="s">
        <v>25</v>
      </c>
      <c r="E2988">
        <v>105</v>
      </c>
      <c r="F2988" t="s">
        <v>54</v>
      </c>
      <c r="G2988" t="s">
        <v>562</v>
      </c>
      <c r="H2988">
        <v>23</v>
      </c>
      <c r="I2988" s="11">
        <f>$E2988+0</f>
        <v>105</v>
      </c>
      <c r="J2988" s="12">
        <v>13100</v>
      </c>
      <c r="K2988" s="13">
        <f>$E2988+1</f>
        <v>106</v>
      </c>
      <c r="L2988" s="14">
        <f>IF($J2988=0,0,ROUND(MAX($J2988*1.4,1620000*(1.497923^(MIN($E2988,123)-117)))*1,0))</f>
        <v>18340</v>
      </c>
      <c r="M2988" s="11">
        <f>$E2988+2</f>
        <v>107</v>
      </c>
      <c r="N2988" s="12">
        <f>IF($J2988=0,0,ROUND(MAX($J2988*1.4*1.5,2190000*(1.580994^(MIN($E2988,123)-117)))*1,0))</f>
        <v>27510</v>
      </c>
      <c r="O2988" s="13">
        <f>$E2988+4</f>
        <v>109</v>
      </c>
      <c r="P2988" s="14">
        <f>IF($J2988=0,0,ROUND(MAX($J2988*1.4*1.5*1.6,3500000*(1.57975^(MIN($E2988,123)-117)))*1,0))</f>
        <v>44016</v>
      </c>
      <c r="Q2988" s="11">
        <f>$E2988+6</f>
        <v>111</v>
      </c>
      <c r="R2988" s="12">
        <f>IF($J2988=0,0,ROUND(MAX($J2988*1.4*1.5*1.6*1.6,13100000*(1.429962^(MIN($E2988,123)-117)))*1,0))</f>
        <v>179216</v>
      </c>
      <c r="S2988" s="13">
        <f>$E2988+8</f>
        <v>113</v>
      </c>
      <c r="T2988" s="14">
        <f>IF($J2988=0,0,ROUND(MAX($J2988*1.4*1.5*1.6*1.6*2.2,42600000*(1.576904^(MIN($E2988,123)-117)))*1,0))</f>
        <v>180197</v>
      </c>
      <c r="U2988" s="11">
        <f>$E2988+11</f>
        <v>116</v>
      </c>
      <c r="V2988" s="12">
        <f>IF($J2988=0,0,ROUND(MAX($J2988*1.4*1.5*1.6*1.6*2.2*2.715,354000000*(1.642074^(MIN($E2988,123)-117)))*1,0))</f>
        <v>921066</v>
      </c>
      <c r="W2988" s="13">
        <f>$E2988+15</f>
        <v>120</v>
      </c>
      <c r="X2988" s="14">
        <f>IF($J2988=0,0,ROUND(MAX($J2988*1.4*1.5*1.6*1.6*2.2*2.715*2.6,3540000000*(1.579646^(MIN($E2988,123)-117)))*1,0))</f>
        <v>14665133</v>
      </c>
      <c r="Y2988" s="11">
        <f>$E2988+17</f>
        <v>122</v>
      </c>
      <c r="Z2988" s="12">
        <f>IF($J2988=0,0,ROUND(MAX($J2988*1.4*1.5*1.6*1.6*2.2*2.715*2.6*1.4,6020000000*(1.651178^(MIN($E2988,123)-117)))*1,0))</f>
        <v>14657833</v>
      </c>
      <c r="AA2988" s="13">
        <f>$E2988+19</f>
        <v>124</v>
      </c>
      <c r="AB2988" s="14">
        <f>IF($J2988=0,0,ROUND(MAX($J2988*1.4*1.5*1.6*1.6*2.2*2.715*2.6*1.4*1.4,8430000000*(1.651435^(MIN($E2988,123)-117)))*1,0))</f>
        <v>20487537</v>
      </c>
      <c r="AC2988" s="11">
        <f>$E2988+21</f>
        <v>126</v>
      </c>
      <c r="AD2988" s="12">
        <f>IF($J2988=0,0,ROUND(MAX($J2988*1.4*1.5*1.6*1.6*2.2*2.715*2.6*1.4*1.4*1.5,12600000000*(1.652953^(MIN($E2988,123)-117)))*1,0))</f>
        <v>30286179</v>
      </c>
      <c r="AE2988" s="13">
        <f>$E2988+24</f>
        <v>129</v>
      </c>
      <c r="AF2988" s="14">
        <f>IF($J2988=0,0,ROUND(MAX($J2988*1.4*1.5*1.6*1.6*2.2*2.715*2.6*1.4*1.4*1.5*1.5,18900000000*(1.65331^(MIN($E2988,123)-117)))*1,0))</f>
        <v>45311693</v>
      </c>
      <c r="AG2988" s="11">
        <f>$E2988+27</f>
        <v>132</v>
      </c>
      <c r="AH2988" s="12">
        <f>IF($J2988=0,0,ROUND(MAX($J2988*1.4*1.5*1.6*1.6*2.2*2.715*2.6*1.4*1.4*1.5*1.5*3.2,60500000000*(1.654288^(MIN($E2988,123)-117)))*1,0))</f>
        <v>144019713</v>
      </c>
    </row>
    <row r="2989" ht="28" customHeight="1" spans="1:34" x14ac:dyDescent="0.25">
      <c r="A2989">
        <v>2999</v>
      </c>
      <c r="B2989" t="s">
        <v>706</v>
      </c>
      <c r="C2989" s="10" t="s">
        <v>1673</v>
      </c>
      <c r="D2989" t="s">
        <v>33</v>
      </c>
      <c r="E2989">
        <v>105</v>
      </c>
      <c r="F2989" t="s">
        <v>34</v>
      </c>
      <c r="G2989" t="s">
        <v>277</v>
      </c>
      <c r="H2989">
        <v>23</v>
      </c>
      <c r="I2989" s="11">
        <f>$E2989+0</f>
        <v>105</v>
      </c>
      <c r="J2989" s="12">
        <v>13500</v>
      </c>
      <c r="K2989" s="13">
        <f>$E2989+1</f>
        <v>106</v>
      </c>
      <c r="L2989" s="14">
        <f>IF($J2989=0,0,ROUND(MAX($J2989*1.4,1620000*(1.497923^(MIN($E2989,123)-117)))*1,0))</f>
        <v>18900</v>
      </c>
      <c r="M2989" s="11">
        <f>$E2989+2</f>
        <v>107</v>
      </c>
      <c r="N2989" s="12">
        <f>IF($J2989=0,0,ROUND(MAX($J2989*1.4*1.5,2190000*(1.580994^(MIN($E2989,123)-117)))*1,0))</f>
        <v>28350</v>
      </c>
      <c r="O2989" s="13">
        <f>$E2989+4</f>
        <v>109</v>
      </c>
      <c r="P2989" s="14">
        <f>IF($J2989=0,0,ROUND(MAX($J2989*1.4*1.5*1.6,3500000*(1.57975^(MIN($E2989,123)-117)))*1,0))</f>
        <v>45360</v>
      </c>
      <c r="Q2989" s="11">
        <f>$E2989+6</f>
        <v>111</v>
      </c>
      <c r="R2989" s="12">
        <f>IF($J2989=0,0,ROUND(MAX($J2989*1.4*1.5*1.6*1.6,13100000*(1.429962^(MIN($E2989,123)-117)))*1,0))</f>
        <v>179216</v>
      </c>
      <c r="S2989" s="13">
        <f>$E2989+8</f>
        <v>113</v>
      </c>
      <c r="T2989" s="14">
        <f>IF($J2989=0,0,ROUND(MAX($J2989*1.4*1.5*1.6*1.6*2.2,42600000*(1.576904^(MIN($E2989,123)-117)))*1,0))</f>
        <v>180197</v>
      </c>
      <c r="U2989" s="11">
        <f>$E2989+11</f>
        <v>116</v>
      </c>
      <c r="V2989" s="12">
        <f>IF($J2989=0,0,ROUND(MAX($J2989*1.4*1.5*1.6*1.6*2.2*2.715,354000000*(1.642074^(MIN($E2989,123)-117)))*1,0))</f>
        <v>921066</v>
      </c>
      <c r="W2989" s="13">
        <f>$E2989+15</f>
        <v>120</v>
      </c>
      <c r="X2989" s="14">
        <f>IF($J2989=0,0,ROUND(MAX($J2989*1.4*1.5*1.6*1.6*2.2*2.715*2.6,3540000000*(1.579646^(MIN($E2989,123)-117)))*1,0))</f>
        <v>14665133</v>
      </c>
      <c r="Y2989" s="11">
        <f>$E2989+17</f>
        <v>122</v>
      </c>
      <c r="Z2989" s="12">
        <f>IF($J2989=0,0,ROUND(MAX($J2989*1.4*1.5*1.6*1.6*2.2*2.715*2.6*1.4,6020000000*(1.651178^(MIN($E2989,123)-117)))*1,0))</f>
        <v>14657833</v>
      </c>
      <c r="AA2989" s="13">
        <f>$E2989+19</f>
        <v>124</v>
      </c>
      <c r="AB2989" s="14">
        <f>IF($J2989=0,0,ROUND(MAX($J2989*1.4*1.5*1.6*1.6*2.2*2.715*2.6*1.4*1.4,8430000000*(1.651435^(MIN($E2989,123)-117)))*1,0))</f>
        <v>20487537</v>
      </c>
      <c r="AC2989" s="11">
        <f>$E2989+21</f>
        <v>126</v>
      </c>
      <c r="AD2989" s="12">
        <f>IF($J2989=0,0,ROUND(MAX($J2989*1.4*1.5*1.6*1.6*2.2*2.715*2.6*1.4*1.4*1.5,12600000000*(1.652953^(MIN($E2989,123)-117)))*1,0))</f>
        <v>30286179</v>
      </c>
      <c r="AE2989" s="13">
        <f>$E2989+24</f>
        <v>129</v>
      </c>
      <c r="AF2989" s="14">
        <f>IF($J2989=0,0,ROUND(MAX($J2989*1.4*1.5*1.6*1.6*2.2*2.715*2.6*1.4*1.4*1.5*1.5,18900000000*(1.65331^(MIN($E2989,123)-117)))*1,0))</f>
        <v>45311693</v>
      </c>
      <c r="AG2989" s="11">
        <f>$E2989+27</f>
        <v>132</v>
      </c>
      <c r="AH2989" s="12">
        <f>IF($J2989=0,0,ROUND(MAX($J2989*1.4*1.5*1.6*1.6*2.2*2.715*2.6*1.4*1.4*1.5*1.5*3.2,60500000000*(1.654288^(MIN($E2989,123)-117)))*1,0))</f>
        <v>144019713</v>
      </c>
    </row>
    <row r="2990" ht="28" customHeight="1" spans="1:34" x14ac:dyDescent="0.25">
      <c r="A2990">
        <v>3000</v>
      </c>
      <c r="B2990" t="s">
        <v>1677</v>
      </c>
      <c r="C2990" s="10" t="s">
        <v>1673</v>
      </c>
      <c r="D2990" t="s">
        <v>40</v>
      </c>
      <c r="E2990">
        <v>105</v>
      </c>
      <c r="F2990" t="s">
        <v>71</v>
      </c>
      <c r="G2990" t="s">
        <v>562</v>
      </c>
      <c r="H2990">
        <v>23</v>
      </c>
      <c r="I2990" s="11">
        <f>$E2990+0</f>
        <v>105</v>
      </c>
      <c r="J2990" s="12">
        <v>16900</v>
      </c>
      <c r="K2990" s="13">
        <f>$E2990+1</f>
        <v>106</v>
      </c>
      <c r="L2990" s="14">
        <f>IF($J2990=0,0,ROUND(MAX($J2990*1.4,1620000*(1.497923^(MIN($E2990,123)-117)))*1,0))</f>
        <v>23660</v>
      </c>
      <c r="M2990" s="11">
        <f>$E2990+2</f>
        <v>107</v>
      </c>
      <c r="N2990" s="12">
        <f>IF($J2990=0,0,ROUND(MAX($J2990*1.4*1.5,2190000*(1.580994^(MIN($E2990,123)-117)))*1,0))</f>
        <v>35490</v>
      </c>
      <c r="O2990" s="13">
        <f>$E2990+4</f>
        <v>109</v>
      </c>
      <c r="P2990" s="14">
        <f>IF($J2990=0,0,ROUND(MAX($J2990*1.4*1.5*1.6,3500000*(1.57975^(MIN($E2990,123)-117)))*1,0))</f>
        <v>56784</v>
      </c>
      <c r="Q2990" s="11">
        <f>$E2990+6</f>
        <v>111</v>
      </c>
      <c r="R2990" s="12">
        <f>IF($J2990=0,0,ROUND(MAX($J2990*1.4*1.5*1.6*1.6,13100000*(1.429962^(MIN($E2990,123)-117)))*1,0))</f>
        <v>179216</v>
      </c>
      <c r="S2990" s="13">
        <f>$E2990+8</f>
        <v>113</v>
      </c>
      <c r="T2990" s="14">
        <f>IF($J2990=0,0,ROUND(MAX($J2990*1.4*1.5*1.6*1.6*2.2,42600000*(1.576904^(MIN($E2990,123)-117)))*1,0))</f>
        <v>199880</v>
      </c>
      <c r="U2990" s="11">
        <f>$E2990+11</f>
        <v>116</v>
      </c>
      <c r="V2990" s="12">
        <f>IF($J2990=0,0,ROUND(MAX($J2990*1.4*1.5*1.6*1.6*2.2*2.715,354000000*(1.642074^(MIN($E2990,123)-117)))*1,0))</f>
        <v>921066</v>
      </c>
      <c r="W2990" s="13">
        <f>$E2990+15</f>
        <v>120</v>
      </c>
      <c r="X2990" s="14">
        <f>IF($J2990=0,0,ROUND(MAX($J2990*1.4*1.5*1.6*1.6*2.2*2.715*2.6,3540000000*(1.579646^(MIN($E2990,123)-117)))*1,0))</f>
        <v>14665133</v>
      </c>
      <c r="Y2990" s="11">
        <f>$E2990+17</f>
        <v>122</v>
      </c>
      <c r="Z2990" s="12">
        <f>IF($J2990=0,0,ROUND(MAX($J2990*1.4*1.5*1.6*1.6*2.2*2.715*2.6*1.4,6020000000*(1.651178^(MIN($E2990,123)-117)))*1,0))</f>
        <v>14657833</v>
      </c>
      <c r="AA2990" s="13">
        <f>$E2990+19</f>
        <v>124</v>
      </c>
      <c r="AB2990" s="14">
        <f>IF($J2990=0,0,ROUND(MAX($J2990*1.4*1.5*1.6*1.6*2.2*2.715*2.6*1.4*1.4,8430000000*(1.651435^(MIN($E2990,123)-117)))*1,0))</f>
        <v>20487537</v>
      </c>
      <c r="AC2990" s="11">
        <f>$E2990+21</f>
        <v>126</v>
      </c>
      <c r="AD2990" s="12">
        <f>IF($J2990=0,0,ROUND(MAX($J2990*1.4*1.5*1.6*1.6*2.2*2.715*2.6*1.4*1.4*1.5,12600000000*(1.652953^(MIN($E2990,123)-117)))*1,0))</f>
        <v>30286179</v>
      </c>
      <c r="AE2990" s="13">
        <f>$E2990+24</f>
        <v>129</v>
      </c>
      <c r="AF2990" s="14">
        <f>IF($J2990=0,0,ROUND(MAX($J2990*1.4*1.5*1.6*1.6*2.2*2.715*2.6*1.4*1.4*1.5*1.5,18900000000*(1.65331^(MIN($E2990,123)-117)))*1,0))</f>
        <v>45311693</v>
      </c>
      <c r="AG2990" s="11">
        <f>$E2990+27</f>
        <v>132</v>
      </c>
      <c r="AH2990" s="12">
        <f>IF($J2990=0,0,ROUND(MAX($J2990*1.4*1.5*1.6*1.6*2.2*2.715*2.6*1.4*1.4*1.5*1.5*3.2,60500000000*(1.654288^(MIN($E2990,123)-117)))*1,0))</f>
        <v>144019713</v>
      </c>
    </row>
    <row r="2991" ht="28" customHeight="1" spans="1:34" x14ac:dyDescent="0.25">
      <c r="A2991">
        <v>3001</v>
      </c>
      <c r="B2991" t="s">
        <v>835</v>
      </c>
      <c r="C2991" s="10" t="s">
        <v>1673</v>
      </c>
      <c r="D2991" t="s">
        <v>79</v>
      </c>
      <c r="E2991">
        <v>105</v>
      </c>
      <c r="F2991" t="s">
        <v>56</v>
      </c>
      <c r="G2991" t="s">
        <v>392</v>
      </c>
      <c r="H2991">
        <v>23</v>
      </c>
      <c r="I2991" s="11">
        <f>$E2991+0</f>
        <v>105</v>
      </c>
      <c r="J2991" s="12">
        <v>19500</v>
      </c>
      <c r="K2991" s="13">
        <f>$E2991+1</f>
        <v>106</v>
      </c>
      <c r="L2991" s="14">
        <f>IF($J2991=0,0,ROUND(MAX($J2991*1.4,1620000*(1.497923^(MIN($E2991,123)-117)))*1,0))</f>
        <v>27300</v>
      </c>
      <c r="M2991" s="11">
        <f>$E2991+2</f>
        <v>107</v>
      </c>
      <c r="N2991" s="12">
        <f>IF($J2991=0,0,ROUND(MAX($J2991*1.4*1.5,2190000*(1.580994^(MIN($E2991,123)-117)))*1,0))</f>
        <v>40950</v>
      </c>
      <c r="O2991" s="13">
        <f>$E2991+4</f>
        <v>109</v>
      </c>
      <c r="P2991" s="14">
        <f>IF($J2991=0,0,ROUND(MAX($J2991*1.4*1.5*1.6,3500000*(1.57975^(MIN($E2991,123)-117)))*1,0))</f>
        <v>65520</v>
      </c>
      <c r="Q2991" s="11">
        <f>$E2991+6</f>
        <v>111</v>
      </c>
      <c r="R2991" s="12">
        <f>IF($J2991=0,0,ROUND(MAX($J2991*1.4*1.5*1.6*1.6,13100000*(1.429962^(MIN($E2991,123)-117)))*1,0))</f>
        <v>179216</v>
      </c>
      <c r="S2991" s="13">
        <f>$E2991+8</f>
        <v>113</v>
      </c>
      <c r="T2991" s="14">
        <f>IF($J2991=0,0,ROUND(MAX($J2991*1.4*1.5*1.6*1.6*2.2,42600000*(1.576904^(MIN($E2991,123)-117)))*1,0))</f>
        <v>230630</v>
      </c>
      <c r="U2991" s="11">
        <f>$E2991+11</f>
        <v>116</v>
      </c>
      <c r="V2991" s="12">
        <f>IF($J2991=0,0,ROUND(MAX($J2991*1.4*1.5*1.6*1.6*2.2*2.715,354000000*(1.642074^(MIN($E2991,123)-117)))*1,0))</f>
        <v>921066</v>
      </c>
      <c r="W2991" s="13">
        <f>$E2991+15</f>
        <v>120</v>
      </c>
      <c r="X2991" s="14">
        <f>IF($J2991=0,0,ROUND(MAX($J2991*1.4*1.5*1.6*1.6*2.2*2.715*2.6,3540000000*(1.579646^(MIN($E2991,123)-117)))*1,0))</f>
        <v>14665133</v>
      </c>
      <c r="Y2991" s="11">
        <f>$E2991+17</f>
        <v>122</v>
      </c>
      <c r="Z2991" s="12">
        <f>IF($J2991=0,0,ROUND(MAX($J2991*1.4*1.5*1.6*1.6*2.2*2.715*2.6*1.4,6020000000*(1.651178^(MIN($E2991,123)-117)))*1,0))</f>
        <v>14657833</v>
      </c>
      <c r="AA2991" s="13">
        <f>$E2991+19</f>
        <v>124</v>
      </c>
      <c r="AB2991" s="14">
        <f>IF($J2991=0,0,ROUND(MAX($J2991*1.4*1.5*1.6*1.6*2.2*2.715*2.6*1.4*1.4,8430000000*(1.651435^(MIN($E2991,123)-117)))*1,0))</f>
        <v>20487537</v>
      </c>
      <c r="AC2991" s="11">
        <f>$E2991+21</f>
        <v>126</v>
      </c>
      <c r="AD2991" s="12">
        <f>IF($J2991=0,0,ROUND(MAX($J2991*1.4*1.5*1.6*1.6*2.2*2.715*2.6*1.4*1.4*1.5,12600000000*(1.652953^(MIN($E2991,123)-117)))*1,0))</f>
        <v>30286179</v>
      </c>
      <c r="AE2991" s="13">
        <f>$E2991+24</f>
        <v>129</v>
      </c>
      <c r="AF2991" s="14">
        <f>IF($J2991=0,0,ROUND(MAX($J2991*1.4*1.5*1.6*1.6*2.2*2.715*2.6*1.4*1.4*1.5*1.5,18900000000*(1.65331^(MIN($E2991,123)-117)))*1,0))</f>
        <v>45311693</v>
      </c>
      <c r="AG2991" s="11">
        <f>$E2991+27</f>
        <v>132</v>
      </c>
      <c r="AH2991" s="12">
        <f>IF($J2991=0,0,ROUND(MAX($J2991*1.4*1.5*1.6*1.6*2.2*2.715*2.6*1.4*1.4*1.5*1.5*3.2,60500000000*(1.654288^(MIN($E2991,123)-117)))*1,0))</f>
        <v>144019713</v>
      </c>
    </row>
    <row r="2992" ht="28" customHeight="1" spans="1:34" x14ac:dyDescent="0.25">
      <c r="A2992">
        <v>3002</v>
      </c>
      <c r="B2992" t="s">
        <v>239</v>
      </c>
      <c r="C2992" s="10" t="s">
        <v>1673</v>
      </c>
      <c r="D2992" t="s">
        <v>45</v>
      </c>
      <c r="E2992">
        <v>105</v>
      </c>
      <c r="F2992" t="s">
        <v>59</v>
      </c>
      <c r="G2992" t="s">
        <v>218</v>
      </c>
      <c r="H2992">
        <v>22</v>
      </c>
      <c r="I2992" s="11">
        <f>$E2992+0</f>
        <v>105</v>
      </c>
      <c r="J2992" s="12">
        <v>60000</v>
      </c>
      <c r="K2992" s="13">
        <f>$E2992+1</f>
        <v>106</v>
      </c>
      <c r="L2992" s="14">
        <f>IF($J2992=0,0,ROUND(MAX($J2992*1.4,1620000*(1.497923^(MIN($E2992,123)-117)))*1,0))</f>
        <v>84000</v>
      </c>
      <c r="M2992" s="11">
        <f>$E2992+2</f>
        <v>107</v>
      </c>
      <c r="N2992" s="12">
        <f>IF($J2992=0,0,ROUND(MAX($J2992*1.4*1.5,2190000*(1.580994^(MIN($E2992,123)-117)))*1,0))</f>
        <v>126000</v>
      </c>
      <c r="O2992" s="13">
        <f>$E2992+4</f>
        <v>109</v>
      </c>
      <c r="P2992" s="14">
        <f>IF($J2992=0,0,ROUND(MAX($J2992*1.4*1.5*1.6,3500000*(1.57975^(MIN($E2992,123)-117)))*1,0))</f>
        <v>201600</v>
      </c>
      <c r="Q2992" s="11">
        <f>$E2992+6</f>
        <v>111</v>
      </c>
      <c r="R2992" s="12">
        <f>IF($J2992=0,0,ROUND(MAX($J2992*1.4*1.5*1.6*1.6,13100000*(1.429962^(MIN($E2992,123)-117)))*1,0))</f>
        <v>322560</v>
      </c>
      <c r="S2992" s="13">
        <f>$E2992+8</f>
        <v>113</v>
      </c>
      <c r="T2992" s="14">
        <f>IF($J2992=0,0,ROUND(MAX($J2992*1.4*1.5*1.6*1.6*2.2,42600000*(1.576904^(MIN($E2992,123)-117)))*1,0))</f>
        <v>709632</v>
      </c>
      <c r="U2992" s="11">
        <f>$E2992+11</f>
        <v>116</v>
      </c>
      <c r="V2992" s="12">
        <f>IF($J2992=0,0,ROUND(MAX($J2992*1.4*1.5*1.6*1.6*2.2*2.715,354000000*(1.642074^(MIN($E2992,123)-117)))*1,0))</f>
        <v>1926651</v>
      </c>
      <c r="W2992" s="13">
        <f>$E2992+15</f>
        <v>120</v>
      </c>
      <c r="X2992" s="14">
        <f>IF($J2992=0,0,ROUND(MAX($J2992*1.4*1.5*1.6*1.6*2.2*2.715*2.6,3540000000*(1.579646^(MIN($E2992,123)-117)))*1,0))</f>
        <v>14665133</v>
      </c>
      <c r="Y2992" s="11">
        <f>$E2992+17</f>
        <v>122</v>
      </c>
      <c r="Z2992" s="12">
        <f>IF($J2992=0,0,ROUND(MAX($J2992*1.4*1.5*1.6*1.6*2.2*2.715*2.6*1.4,6020000000*(1.651178^(MIN($E2992,123)-117)))*1,0))</f>
        <v>14657833</v>
      </c>
      <c r="AA2992" s="13">
        <f>$E2992+19</f>
        <v>124</v>
      </c>
      <c r="AB2992" s="14">
        <f>IF($J2992=0,0,ROUND(MAX($J2992*1.4*1.5*1.6*1.6*2.2*2.715*2.6*1.4*1.4,8430000000*(1.651435^(MIN($E2992,123)-117)))*1,0))</f>
        <v>20487537</v>
      </c>
      <c r="AC2992" s="11">
        <f>$E2992+21</f>
        <v>126</v>
      </c>
      <c r="AD2992" s="12">
        <f>IF($J2992=0,0,ROUND(MAX($J2992*1.4*1.5*1.6*1.6*2.2*2.715*2.6*1.4*1.4*1.5,12600000000*(1.652953^(MIN($E2992,123)-117)))*1,0))</f>
        <v>30286179</v>
      </c>
      <c r="AE2992" s="13">
        <f>$E2992+24</f>
        <v>129</v>
      </c>
      <c r="AF2992" s="14">
        <f>IF($J2992=0,0,ROUND(MAX($J2992*1.4*1.5*1.6*1.6*2.2*2.715*2.6*1.4*1.4*1.5*1.5,18900000000*(1.65331^(MIN($E2992,123)-117)))*1,0))</f>
        <v>45311693</v>
      </c>
      <c r="AG2992" s="11">
        <f>$E2992+27</f>
        <v>132</v>
      </c>
      <c r="AH2992" s="12">
        <f>IF($J2992=0,0,ROUND(MAX($J2992*1.4*1.5*1.6*1.6*2.2*2.715*2.6*1.4*1.4*1.5*1.5*3.2,60500000000*(1.654288^(MIN($E2992,123)-117)))*1,0))</f>
        <v>144019713</v>
      </c>
    </row>
    <row r="2993" ht="28" customHeight="1" spans="1:34" x14ac:dyDescent="0.25">
      <c r="A2993">
        <v>3003</v>
      </c>
      <c r="B2993" t="s">
        <v>620</v>
      </c>
      <c r="C2993" s="10" t="s">
        <v>1673</v>
      </c>
      <c r="D2993" t="s">
        <v>45</v>
      </c>
      <c r="E2993">
        <v>105</v>
      </c>
      <c r="F2993" t="s">
        <v>42</v>
      </c>
      <c r="G2993" t="s">
        <v>133</v>
      </c>
      <c r="H2993">
        <v>22</v>
      </c>
      <c r="I2993" s="11">
        <f>$E2993+0</f>
        <v>105</v>
      </c>
      <c r="J2993" s="12">
        <v>12600</v>
      </c>
      <c r="K2993" s="13">
        <f>$E2993+1</f>
        <v>106</v>
      </c>
      <c r="L2993" s="14">
        <f>IF($J2993=0,0,ROUND(MAX($J2993*1.4,1620000*(1.497923^(MIN($E2993,123)-117)))*1,0))</f>
        <v>17640</v>
      </c>
      <c r="M2993" s="11">
        <f>$E2993+2</f>
        <v>107</v>
      </c>
      <c r="N2993" s="12">
        <f>IF($J2993=0,0,ROUND(MAX($J2993*1.4*1.5,2190000*(1.580994^(MIN($E2993,123)-117)))*1,0))</f>
        <v>26460</v>
      </c>
      <c r="O2993" s="13">
        <f>$E2993+4</f>
        <v>109</v>
      </c>
      <c r="P2993" s="14">
        <f>IF($J2993=0,0,ROUND(MAX($J2993*1.4*1.5*1.6,3500000*(1.57975^(MIN($E2993,123)-117)))*1,0))</f>
        <v>42336</v>
      </c>
      <c r="Q2993" s="11">
        <f>$E2993+6</f>
        <v>111</v>
      </c>
      <c r="R2993" s="12">
        <f>IF($J2993=0,0,ROUND(MAX($J2993*1.4*1.5*1.6*1.6,13100000*(1.429962^(MIN($E2993,123)-117)))*1,0))</f>
        <v>179216</v>
      </c>
      <c r="S2993" s="13">
        <f>$E2993+8</f>
        <v>113</v>
      </c>
      <c r="T2993" s="14">
        <f>IF($J2993=0,0,ROUND(MAX($J2993*1.4*1.5*1.6*1.6*2.2,42600000*(1.576904^(MIN($E2993,123)-117)))*1,0))</f>
        <v>180197</v>
      </c>
      <c r="U2993" s="11">
        <f>$E2993+11</f>
        <v>116</v>
      </c>
      <c r="V2993" s="12">
        <f>IF($J2993=0,0,ROUND(MAX($J2993*1.4*1.5*1.6*1.6*2.2*2.715,354000000*(1.642074^(MIN($E2993,123)-117)))*1,0))</f>
        <v>921066</v>
      </c>
      <c r="W2993" s="13">
        <f>$E2993+15</f>
        <v>120</v>
      </c>
      <c r="X2993" s="14">
        <f>IF($J2993=0,0,ROUND(MAX($J2993*1.4*1.5*1.6*1.6*2.2*2.715*2.6,3540000000*(1.579646^(MIN($E2993,123)-117)))*1,0))</f>
        <v>14665133</v>
      </c>
      <c r="Y2993" s="11">
        <f>$E2993+17</f>
        <v>122</v>
      </c>
      <c r="Z2993" s="12">
        <f>IF($J2993=0,0,ROUND(MAX($J2993*1.4*1.5*1.6*1.6*2.2*2.715*2.6*1.4,6020000000*(1.651178^(MIN($E2993,123)-117)))*1,0))</f>
        <v>14657833</v>
      </c>
      <c r="AA2993" s="13">
        <f>$E2993+19</f>
        <v>124</v>
      </c>
      <c r="AB2993" s="14">
        <f>IF($J2993=0,0,ROUND(MAX($J2993*1.4*1.5*1.6*1.6*2.2*2.715*2.6*1.4*1.4,8430000000*(1.651435^(MIN($E2993,123)-117)))*1,0))</f>
        <v>20487537</v>
      </c>
      <c r="AC2993" s="11">
        <f>$E2993+21</f>
        <v>126</v>
      </c>
      <c r="AD2993" s="12">
        <f>IF($J2993=0,0,ROUND(MAX($J2993*1.4*1.5*1.6*1.6*2.2*2.715*2.6*1.4*1.4*1.5,12600000000*(1.652953^(MIN($E2993,123)-117)))*1,0))</f>
        <v>30286179</v>
      </c>
      <c r="AE2993" s="13">
        <f>$E2993+24</f>
        <v>129</v>
      </c>
      <c r="AF2993" s="14">
        <f>IF($J2993=0,0,ROUND(MAX($J2993*1.4*1.5*1.6*1.6*2.2*2.715*2.6*1.4*1.4*1.5*1.5,18900000000*(1.65331^(MIN($E2993,123)-117)))*1,0))</f>
        <v>45311693</v>
      </c>
      <c r="AG2993" s="11">
        <f>$E2993+27</f>
        <v>132</v>
      </c>
      <c r="AH2993" s="12">
        <f>IF($J2993=0,0,ROUND(MAX($J2993*1.4*1.5*1.6*1.6*2.2*2.715*2.6*1.4*1.4*1.5*1.5*3.2,60500000000*(1.654288^(MIN($E2993,123)-117)))*1,0))</f>
        <v>144019713</v>
      </c>
    </row>
    <row r="2994" ht="28" customHeight="1" spans="1:34" x14ac:dyDescent="0.25">
      <c r="A2994">
        <v>3004</v>
      </c>
      <c r="B2994" t="s">
        <v>1235</v>
      </c>
      <c r="C2994" s="10" t="s">
        <v>1673</v>
      </c>
      <c r="D2994" t="s">
        <v>64</v>
      </c>
      <c r="E2994">
        <v>105</v>
      </c>
      <c r="F2994" t="s">
        <v>30</v>
      </c>
      <c r="G2994" t="s">
        <v>38</v>
      </c>
      <c r="H2994">
        <v>22</v>
      </c>
      <c r="I2994" s="11">
        <f>$E2994+0</f>
        <v>105</v>
      </c>
      <c r="J2994" s="12">
        <v>26600</v>
      </c>
      <c r="K2994" s="13">
        <f>$E2994+1</f>
        <v>106</v>
      </c>
      <c r="L2994" s="14">
        <f>IF($J2994=0,0,ROUND(MAX($J2994*1.4,1620000*(1.497923^(MIN($E2994,123)-117)))*1,0))</f>
        <v>37240</v>
      </c>
      <c r="M2994" s="11">
        <f>$E2994+2</f>
        <v>107</v>
      </c>
      <c r="N2994" s="12">
        <f>IF($J2994=0,0,ROUND(MAX($J2994*1.4*1.5,2190000*(1.580994^(MIN($E2994,123)-117)))*1,0))</f>
        <v>55860</v>
      </c>
      <c r="O2994" s="13">
        <f>$E2994+4</f>
        <v>109</v>
      </c>
      <c r="P2994" s="14">
        <f>IF($J2994=0,0,ROUND(MAX($J2994*1.4*1.5*1.6,3500000*(1.57975^(MIN($E2994,123)-117)))*1,0))</f>
        <v>89376</v>
      </c>
      <c r="Q2994" s="11">
        <f>$E2994+6</f>
        <v>111</v>
      </c>
      <c r="R2994" s="12">
        <f>IF($J2994=0,0,ROUND(MAX($J2994*1.4*1.5*1.6*1.6,13100000*(1.429962^(MIN($E2994,123)-117)))*1,0))</f>
        <v>179216</v>
      </c>
      <c r="S2994" s="13">
        <f>$E2994+8</f>
        <v>113</v>
      </c>
      <c r="T2994" s="14">
        <f>IF($J2994=0,0,ROUND(MAX($J2994*1.4*1.5*1.6*1.6*2.2,42600000*(1.576904^(MIN($E2994,123)-117)))*1,0))</f>
        <v>314604</v>
      </c>
      <c r="U2994" s="11">
        <f>$E2994+11</f>
        <v>116</v>
      </c>
      <c r="V2994" s="12">
        <f>IF($J2994=0,0,ROUND(MAX($J2994*1.4*1.5*1.6*1.6*2.2*2.715,354000000*(1.642074^(MIN($E2994,123)-117)))*1,0))</f>
        <v>921066</v>
      </c>
      <c r="W2994" s="13">
        <f>$E2994+15</f>
        <v>120</v>
      </c>
      <c r="X2994" s="14">
        <f>IF($J2994=0,0,ROUND(MAX($J2994*1.4*1.5*1.6*1.6*2.2*2.715*2.6,3540000000*(1.579646^(MIN($E2994,123)-117)))*1,0))</f>
        <v>14665133</v>
      </c>
      <c r="Y2994" s="11">
        <f>$E2994+17</f>
        <v>122</v>
      </c>
      <c r="Z2994" s="12">
        <f>IF($J2994=0,0,ROUND(MAX($J2994*1.4*1.5*1.6*1.6*2.2*2.715*2.6*1.4,6020000000*(1.651178^(MIN($E2994,123)-117)))*1,0))</f>
        <v>14657833</v>
      </c>
      <c r="AA2994" s="13">
        <f>$E2994+19</f>
        <v>124</v>
      </c>
      <c r="AB2994" s="14">
        <f>IF($J2994=0,0,ROUND(MAX($J2994*1.4*1.5*1.6*1.6*2.2*2.715*2.6*1.4*1.4,8430000000*(1.651435^(MIN($E2994,123)-117)))*1,0))</f>
        <v>20487537</v>
      </c>
      <c r="AC2994" s="11">
        <f>$E2994+21</f>
        <v>126</v>
      </c>
      <c r="AD2994" s="12">
        <f>IF($J2994=0,0,ROUND(MAX($J2994*1.4*1.5*1.6*1.6*2.2*2.715*2.6*1.4*1.4*1.5,12600000000*(1.652953^(MIN($E2994,123)-117)))*1,0))</f>
        <v>30286179</v>
      </c>
      <c r="AE2994" s="13">
        <f>$E2994+24</f>
        <v>129</v>
      </c>
      <c r="AF2994" s="14">
        <f>IF($J2994=0,0,ROUND(MAX($J2994*1.4*1.5*1.6*1.6*2.2*2.715*2.6*1.4*1.4*1.5*1.5,18900000000*(1.65331^(MIN($E2994,123)-117)))*1,0))</f>
        <v>45311693</v>
      </c>
      <c r="AG2994" s="11">
        <f>$E2994+27</f>
        <v>132</v>
      </c>
      <c r="AH2994" s="12">
        <f>IF($J2994=0,0,ROUND(MAX($J2994*1.4*1.5*1.6*1.6*2.2*2.715*2.6*1.4*1.4*1.5*1.5*3.2,60500000000*(1.654288^(MIN($E2994,123)-117)))*1,0))</f>
        <v>144019713</v>
      </c>
    </row>
    <row r="2995" ht="28" customHeight="1" spans="1:34" x14ac:dyDescent="0.25">
      <c r="A2995">
        <v>3005</v>
      </c>
      <c r="B2995" t="s">
        <v>321</v>
      </c>
      <c r="C2995" s="10" t="s">
        <v>1673</v>
      </c>
      <c r="D2995" t="s">
        <v>331</v>
      </c>
      <c r="E2995">
        <v>105</v>
      </c>
      <c r="F2995" t="s">
        <v>56</v>
      </c>
      <c r="G2995" t="s">
        <v>98</v>
      </c>
      <c r="H2995">
        <v>22</v>
      </c>
      <c r="I2995" s="11">
        <f>$E2995+0</f>
        <v>105</v>
      </c>
      <c r="J2995" s="12">
        <v>10000</v>
      </c>
      <c r="K2995" s="13">
        <f>$E2995+1</f>
        <v>106</v>
      </c>
      <c r="L2995" s="14">
        <f>IF($J2995=0,0,ROUND(MAX($J2995*1.4,1620000*(1.497923^(MIN($E2995,123)-117)))*1,0))</f>
        <v>14000</v>
      </c>
      <c r="M2995" s="11">
        <f>$E2995+2</f>
        <v>107</v>
      </c>
      <c r="N2995" s="12">
        <f>IF($J2995=0,0,ROUND(MAX($J2995*1.4*1.5,2190000*(1.580994^(MIN($E2995,123)-117)))*1,0))</f>
        <v>21000</v>
      </c>
      <c r="O2995" s="13">
        <f>$E2995+4</f>
        <v>109</v>
      </c>
      <c r="P2995" s="14">
        <f>IF($J2995=0,0,ROUND(MAX($J2995*1.4*1.5*1.6,3500000*(1.57975^(MIN($E2995,123)-117)))*1,0))</f>
        <v>33600</v>
      </c>
      <c r="Q2995" s="11">
        <f>$E2995+6</f>
        <v>111</v>
      </c>
      <c r="R2995" s="12">
        <f>IF($J2995=0,0,ROUND(MAX($J2995*1.4*1.5*1.6*1.6,13100000*(1.429962^(MIN($E2995,123)-117)))*1,0))</f>
        <v>179216</v>
      </c>
      <c r="S2995" s="13">
        <f>$E2995+8</f>
        <v>113</v>
      </c>
      <c r="T2995" s="14">
        <f>IF($J2995=0,0,ROUND(MAX($J2995*1.4*1.5*1.6*1.6*2.2,42600000*(1.576904^(MIN($E2995,123)-117)))*1,0))</f>
        <v>180197</v>
      </c>
      <c r="U2995" s="11">
        <f>$E2995+11</f>
        <v>116</v>
      </c>
      <c r="V2995" s="12">
        <f>IF($J2995=0,0,ROUND(MAX($J2995*1.4*1.5*1.6*1.6*2.2*2.715,354000000*(1.642074^(MIN($E2995,123)-117)))*1,0))</f>
        <v>921066</v>
      </c>
      <c r="W2995" s="13">
        <f>$E2995+15</f>
        <v>120</v>
      </c>
      <c r="X2995" s="14">
        <f>IF($J2995=0,0,ROUND(MAX($J2995*1.4*1.5*1.6*1.6*2.2*2.715*2.6,3540000000*(1.579646^(MIN($E2995,123)-117)))*1,0))</f>
        <v>14665133</v>
      </c>
      <c r="Y2995" s="11">
        <f>$E2995+17</f>
        <v>122</v>
      </c>
      <c r="Z2995" s="12">
        <f>IF($J2995=0,0,ROUND(MAX($J2995*1.4*1.5*1.6*1.6*2.2*2.715*2.6*1.4,6020000000*(1.651178^(MIN($E2995,123)-117)))*1,0))</f>
        <v>14657833</v>
      </c>
      <c r="AA2995" s="13">
        <f>$E2995+19</f>
        <v>124</v>
      </c>
      <c r="AB2995" s="14">
        <f>IF($J2995=0,0,ROUND(MAX($J2995*1.4*1.5*1.6*1.6*2.2*2.715*2.6*1.4*1.4,8430000000*(1.651435^(MIN($E2995,123)-117)))*1,0))</f>
        <v>20487537</v>
      </c>
      <c r="AC2995" s="11">
        <f>$E2995+21</f>
        <v>126</v>
      </c>
      <c r="AD2995" s="12">
        <f>IF($J2995=0,0,ROUND(MAX($J2995*1.4*1.5*1.6*1.6*2.2*2.715*2.6*1.4*1.4*1.5,12600000000*(1.652953^(MIN($E2995,123)-117)))*1,0))</f>
        <v>30286179</v>
      </c>
      <c r="AE2995" s="13">
        <f>$E2995+24</f>
        <v>129</v>
      </c>
      <c r="AF2995" s="14">
        <f>IF($J2995=0,0,ROUND(MAX($J2995*1.4*1.5*1.6*1.6*2.2*2.715*2.6*1.4*1.4*1.5*1.5,18900000000*(1.65331^(MIN($E2995,123)-117)))*1,0))</f>
        <v>45311693</v>
      </c>
      <c r="AG2995" s="11">
        <f>$E2995+27</f>
        <v>132</v>
      </c>
      <c r="AH2995" s="12">
        <f>IF($J2995=0,0,ROUND(MAX($J2995*1.4*1.5*1.6*1.6*2.2*2.715*2.6*1.4*1.4*1.5*1.5*3.2,60500000000*(1.654288^(MIN($E2995,123)-117)))*1,0))</f>
        <v>144019713</v>
      </c>
    </row>
    <row r="2996" ht="28" customHeight="1" spans="1:34" x14ac:dyDescent="0.25">
      <c r="A2996">
        <v>3006</v>
      </c>
      <c r="B2996" t="s">
        <v>253</v>
      </c>
      <c r="C2996" s="10" t="s">
        <v>1673</v>
      </c>
      <c r="D2996" t="s">
        <v>241</v>
      </c>
      <c r="E2996">
        <v>105</v>
      </c>
      <c r="F2996" t="s">
        <v>34</v>
      </c>
      <c r="G2996" t="s">
        <v>254</v>
      </c>
      <c r="H2996">
        <v>22</v>
      </c>
      <c r="I2996" s="11">
        <f>$E2996+0</f>
        <v>105</v>
      </c>
      <c r="J2996" s="12">
        <v>15400</v>
      </c>
      <c r="K2996" s="13">
        <f>$E2996+1</f>
        <v>106</v>
      </c>
      <c r="L2996" s="14">
        <f>IF($J2996=0,0,ROUND(MAX($J2996*1.4,1620000*(1.497923^(MIN($E2996,123)-117)))*1,0))</f>
        <v>21560</v>
      </c>
      <c r="M2996" s="11">
        <f>$E2996+2</f>
        <v>107</v>
      </c>
      <c r="N2996" s="12">
        <f>IF($J2996=0,0,ROUND(MAX($J2996*1.4*1.5,2190000*(1.580994^(MIN($E2996,123)-117)))*1,0))</f>
        <v>32340</v>
      </c>
      <c r="O2996" s="13">
        <f>$E2996+4</f>
        <v>109</v>
      </c>
      <c r="P2996" s="14">
        <f>IF($J2996=0,0,ROUND(MAX($J2996*1.4*1.5*1.6,3500000*(1.57975^(MIN($E2996,123)-117)))*1,0))</f>
        <v>51744</v>
      </c>
      <c r="Q2996" s="11">
        <f>$E2996+6</f>
        <v>111</v>
      </c>
      <c r="R2996" s="12">
        <f>IF($J2996=0,0,ROUND(MAX($J2996*1.4*1.5*1.6*1.6,13100000*(1.429962^(MIN($E2996,123)-117)))*1,0))</f>
        <v>179216</v>
      </c>
      <c r="S2996" s="13">
        <f>$E2996+8</f>
        <v>113</v>
      </c>
      <c r="T2996" s="14">
        <f>IF($J2996=0,0,ROUND(MAX($J2996*1.4*1.5*1.6*1.6*2.2,42600000*(1.576904^(MIN($E2996,123)-117)))*1,0))</f>
        <v>182139</v>
      </c>
      <c r="U2996" s="11">
        <f>$E2996+11</f>
        <v>116</v>
      </c>
      <c r="V2996" s="12">
        <f>IF($J2996=0,0,ROUND(MAX($J2996*1.4*1.5*1.6*1.6*2.2*2.715,354000000*(1.642074^(MIN($E2996,123)-117)))*1,0))</f>
        <v>921066</v>
      </c>
      <c r="W2996" s="13">
        <f>$E2996+15</f>
        <v>120</v>
      </c>
      <c r="X2996" s="14">
        <f>IF($J2996=0,0,ROUND(MAX($J2996*1.4*1.5*1.6*1.6*2.2*2.715*2.6,3540000000*(1.579646^(MIN($E2996,123)-117)))*1,0))</f>
        <v>14665133</v>
      </c>
      <c r="Y2996" s="11">
        <f>$E2996+17</f>
        <v>122</v>
      </c>
      <c r="Z2996" s="12">
        <f>IF($J2996=0,0,ROUND(MAX($J2996*1.4*1.5*1.6*1.6*2.2*2.715*2.6*1.4,6020000000*(1.651178^(MIN($E2996,123)-117)))*1,0))</f>
        <v>14657833</v>
      </c>
      <c r="AA2996" s="13">
        <f>$E2996+19</f>
        <v>124</v>
      </c>
      <c r="AB2996" s="14">
        <f>IF($J2996=0,0,ROUND(MAX($J2996*1.4*1.5*1.6*1.6*2.2*2.715*2.6*1.4*1.4,8430000000*(1.651435^(MIN($E2996,123)-117)))*1,0))</f>
        <v>20487537</v>
      </c>
      <c r="AC2996" s="11">
        <f>$E2996+21</f>
        <v>126</v>
      </c>
      <c r="AD2996" s="12">
        <f>IF($J2996=0,0,ROUND(MAX($J2996*1.4*1.5*1.6*1.6*2.2*2.715*2.6*1.4*1.4*1.5,12600000000*(1.652953^(MIN($E2996,123)-117)))*1,0))</f>
        <v>30286179</v>
      </c>
      <c r="AE2996" s="13">
        <f>$E2996+24</f>
        <v>129</v>
      </c>
      <c r="AF2996" s="14">
        <f>IF($J2996=0,0,ROUND(MAX($J2996*1.4*1.5*1.6*1.6*2.2*2.715*2.6*1.4*1.4*1.5*1.5,18900000000*(1.65331^(MIN($E2996,123)-117)))*1,0))</f>
        <v>45311693</v>
      </c>
      <c r="AG2996" s="11">
        <f>$E2996+27</f>
        <v>132</v>
      </c>
      <c r="AH2996" s="12">
        <f>IF($J2996=0,0,ROUND(MAX($J2996*1.4*1.5*1.6*1.6*2.2*2.715*2.6*1.4*1.4*1.5*1.5*3.2,60500000000*(1.654288^(MIN($E2996,123)-117)))*1,0))</f>
        <v>144019713</v>
      </c>
    </row>
    <row r="2997" ht="28" customHeight="1" spans="1:34" x14ac:dyDescent="0.25">
      <c r="A2997">
        <v>3007</v>
      </c>
      <c r="B2997" t="s">
        <v>1678</v>
      </c>
      <c r="C2997" s="10" t="s">
        <v>1673</v>
      </c>
      <c r="D2997" t="s">
        <v>90</v>
      </c>
      <c r="E2997">
        <v>105</v>
      </c>
      <c r="F2997" t="s">
        <v>303</v>
      </c>
      <c r="G2997" t="s">
        <v>57</v>
      </c>
      <c r="H2997">
        <v>22</v>
      </c>
      <c r="I2997" s="11">
        <f>$E2997+0</f>
        <v>105</v>
      </c>
      <c r="J2997" s="12">
        <v>9000</v>
      </c>
      <c r="K2997" s="13">
        <f>$E2997+1</f>
        <v>106</v>
      </c>
      <c r="L2997" s="14">
        <f>IF($J2997=0,0,ROUND(MAX($J2997*1.4,1620000*(1.497923^(MIN($E2997,123)-117)))*1,0))</f>
        <v>12695</v>
      </c>
      <c r="M2997" s="11">
        <f>$E2997+2</f>
        <v>107</v>
      </c>
      <c r="N2997" s="12">
        <f>IF($J2997=0,0,ROUND(MAX($J2997*1.4*1.5,2190000*(1.580994^(MIN($E2997,123)-117)))*1,0))</f>
        <v>18900</v>
      </c>
      <c r="O2997" s="13">
        <f>$E2997+4</f>
        <v>109</v>
      </c>
      <c r="P2997" s="14">
        <f>IF($J2997=0,0,ROUND(MAX($J2997*1.4*1.5*1.6,3500000*(1.57975^(MIN($E2997,123)-117)))*1,0))</f>
        <v>30240</v>
      </c>
      <c r="Q2997" s="11">
        <f>$E2997+6</f>
        <v>111</v>
      </c>
      <c r="R2997" s="12">
        <f>IF($J2997=0,0,ROUND(MAX($J2997*1.4*1.5*1.6*1.6,13100000*(1.429962^(MIN($E2997,123)-117)))*1,0))</f>
        <v>179216</v>
      </c>
      <c r="S2997" s="13">
        <f>$E2997+8</f>
        <v>113</v>
      </c>
      <c r="T2997" s="14">
        <f>IF($J2997=0,0,ROUND(MAX($J2997*1.4*1.5*1.6*1.6*2.2,42600000*(1.576904^(MIN($E2997,123)-117)))*1,0))</f>
        <v>180197</v>
      </c>
      <c r="U2997" s="11">
        <f>$E2997+11</f>
        <v>116</v>
      </c>
      <c r="V2997" s="12">
        <f>IF($J2997=0,0,ROUND(MAX($J2997*1.4*1.5*1.6*1.6*2.2*2.715,354000000*(1.642074^(MIN($E2997,123)-117)))*1,0))</f>
        <v>921066</v>
      </c>
      <c r="W2997" s="13">
        <f>$E2997+15</f>
        <v>120</v>
      </c>
      <c r="X2997" s="14">
        <f>IF($J2997=0,0,ROUND(MAX($J2997*1.4*1.5*1.6*1.6*2.2*2.715*2.6,3540000000*(1.579646^(MIN($E2997,123)-117)))*1,0))</f>
        <v>14665133</v>
      </c>
      <c r="Y2997" s="11">
        <f>$E2997+17</f>
        <v>122</v>
      </c>
      <c r="Z2997" s="12">
        <f>IF($J2997=0,0,ROUND(MAX($J2997*1.4*1.5*1.6*1.6*2.2*2.715*2.6*1.4,6020000000*(1.651178^(MIN($E2997,123)-117)))*1,0))</f>
        <v>14657833</v>
      </c>
      <c r="AA2997" s="13">
        <f>$E2997+19</f>
        <v>124</v>
      </c>
      <c r="AB2997" s="14">
        <f>IF($J2997=0,0,ROUND(MAX($J2997*1.4*1.5*1.6*1.6*2.2*2.715*2.6*1.4*1.4,8430000000*(1.651435^(MIN($E2997,123)-117)))*1,0))</f>
        <v>20487537</v>
      </c>
      <c r="AC2997" s="11">
        <f>$E2997+21</f>
        <v>126</v>
      </c>
      <c r="AD2997" s="12">
        <f>IF($J2997=0,0,ROUND(MAX($J2997*1.4*1.5*1.6*1.6*2.2*2.715*2.6*1.4*1.4*1.5,12600000000*(1.652953^(MIN($E2997,123)-117)))*1,0))</f>
        <v>30286179</v>
      </c>
      <c r="AE2997" s="13">
        <f>$E2997+24</f>
        <v>129</v>
      </c>
      <c r="AF2997" s="14">
        <f>IF($J2997=0,0,ROUND(MAX($J2997*1.4*1.5*1.6*1.6*2.2*2.715*2.6*1.4*1.4*1.5*1.5,18900000000*(1.65331^(MIN($E2997,123)-117)))*1,0))</f>
        <v>45311693</v>
      </c>
      <c r="AG2997" s="11">
        <f>$E2997+27</f>
        <v>132</v>
      </c>
      <c r="AH2997" s="12">
        <f>IF($J2997=0,0,ROUND(MAX($J2997*1.4*1.5*1.6*1.6*2.2*2.715*2.6*1.4*1.4*1.5*1.5*3.2,60500000000*(1.654288^(MIN($E2997,123)-117)))*1,0))</f>
        <v>144019713</v>
      </c>
    </row>
    <row r="2998" ht="28" customHeight="1" spans="1:34" x14ac:dyDescent="0.25">
      <c r="A2998">
        <v>3008</v>
      </c>
      <c r="B2998" t="s">
        <v>1166</v>
      </c>
      <c r="C2998" s="10" t="s">
        <v>1673</v>
      </c>
      <c r="D2998" t="s">
        <v>33</v>
      </c>
      <c r="E2998">
        <v>104</v>
      </c>
      <c r="F2998" t="s">
        <v>42</v>
      </c>
      <c r="G2998" t="s">
        <v>57</v>
      </c>
      <c r="H2998">
        <v>23</v>
      </c>
      <c r="I2998" s="11">
        <f>$E2998+0</f>
        <v>104</v>
      </c>
      <c r="J2998" s="12">
        <v>9200</v>
      </c>
      <c r="K2998" s="13">
        <f>$E2998+1</f>
        <v>105</v>
      </c>
      <c r="L2998" s="14">
        <f>IF($J2998=0,0,ROUND(MAX($J2998*1.4,1620000*(1.497923^(MIN($E2998,123)-117)))*1,0))</f>
        <v>12880</v>
      </c>
      <c r="M2998" s="11">
        <f>$E2998+2</f>
        <v>106</v>
      </c>
      <c r="N2998" s="12">
        <f>IF($J2998=0,0,ROUND(MAX($J2998*1.4*1.5,2190000*(1.580994^(MIN($E2998,123)-117)))*1,0))</f>
        <v>19320</v>
      </c>
      <c r="O2998" s="13">
        <f>$E2998+4</f>
        <v>108</v>
      </c>
      <c r="P2998" s="14">
        <f>IF($J2998=0,0,ROUND(MAX($J2998*1.4*1.5*1.6,3500000*(1.57975^(MIN($E2998,123)-117)))*1,0))</f>
        <v>30912</v>
      </c>
      <c r="Q2998" s="11">
        <f>$E2998+6</f>
        <v>110</v>
      </c>
      <c r="R2998" s="12">
        <f>IF($J2998=0,0,ROUND(MAX($J2998*1.4*1.5*1.6*1.6,13100000*(1.429962^(MIN($E2998,123)-117)))*1,0))</f>
        <v>125329</v>
      </c>
      <c r="S2998" s="13">
        <f>$E2998+8</f>
        <v>112</v>
      </c>
      <c r="T2998" s="14">
        <f>IF($J2998=0,0,ROUND(MAX($J2998*1.4*1.5*1.6*1.6*2.2,42600000*(1.576904^(MIN($E2998,123)-117)))*1,0))</f>
        <v>114272</v>
      </c>
      <c r="U2998" s="11">
        <f>$E2998+11</f>
        <v>115</v>
      </c>
      <c r="V2998" s="12">
        <f>IF($J2998=0,0,ROUND(MAX($J2998*1.4*1.5*1.6*1.6*2.2*2.715,354000000*(1.642074^(MIN($E2998,123)-117)))*1,0))</f>
        <v>560916</v>
      </c>
      <c r="W2998" s="13">
        <f>$E2998+15</f>
        <v>119</v>
      </c>
      <c r="X2998" s="14">
        <f>IF($J2998=0,0,ROUND(MAX($J2998*1.4*1.5*1.6*1.6*2.2*2.715*2.6,3540000000*(1.579646^(MIN($E2998,123)-117)))*1,0))</f>
        <v>9283810</v>
      </c>
      <c r="Y2998" s="11">
        <f>$E2998+17</f>
        <v>121</v>
      </c>
      <c r="Z2998" s="12">
        <f>IF($J2998=0,0,ROUND(MAX($J2998*1.4*1.5*1.6*1.6*2.2*2.715*2.6*1.4,6020000000*(1.651178^(MIN($E2998,123)-117)))*1,0))</f>
        <v>8877197</v>
      </c>
      <c r="AA2998" s="13">
        <f>$E2998+19</f>
        <v>123</v>
      </c>
      <c r="AB2998" s="14">
        <f>IF($J2998=0,0,ROUND(MAX($J2998*1.4*1.5*1.6*1.6*2.2*2.715*2.6*1.4*1.4,8430000000*(1.651435^(MIN($E2998,123)-117)))*1,0))</f>
        <v>12405900</v>
      </c>
      <c r="AC2998" s="11">
        <f>$E2998+21</f>
        <v>125</v>
      </c>
      <c r="AD2998" s="12">
        <f>IF($J2998=0,0,ROUND(MAX($J2998*1.4*1.5*1.6*1.6*2.2*2.715*2.6*1.4*1.4*1.5,12600000000*(1.652953^(MIN($E2998,123)-117)))*1,0))</f>
        <v>18322468</v>
      </c>
      <c r="AE2998" s="13">
        <f>$E2998+24</f>
        <v>128</v>
      </c>
      <c r="AF2998" s="14">
        <f>IF($J2998=0,0,ROUND(MAX($J2998*1.4*1.5*1.6*1.6*2.2*2.715*2.6*1.4*1.4*1.5*1.5,18900000000*(1.65331^(MIN($E2998,123)-117)))*1,0))</f>
        <v>27406653</v>
      </c>
      <c r="AG2998" s="11">
        <f>$E2998+27</f>
        <v>131</v>
      </c>
      <c r="AH2998" s="12">
        <f>IF($J2998=0,0,ROUND(MAX($J2998*1.4*1.5*1.6*1.6*2.2*2.715*2.6*1.4*1.4*1.5*1.5*3.2,60500000000*(1.654288^(MIN($E2998,123)-117)))*1,0))</f>
        <v>87058428</v>
      </c>
    </row>
    <row r="2999" ht="28" customHeight="1" spans="1:34" x14ac:dyDescent="0.25">
      <c r="A2999">
        <v>3009</v>
      </c>
      <c r="B2999" t="s">
        <v>1679</v>
      </c>
      <c r="C2999" s="10" t="s">
        <v>1673</v>
      </c>
      <c r="D2999" t="s">
        <v>40</v>
      </c>
      <c r="E2999">
        <v>104</v>
      </c>
      <c r="F2999" t="s">
        <v>59</v>
      </c>
      <c r="G2999" t="s">
        <v>319</v>
      </c>
      <c r="H2999">
        <v>23</v>
      </c>
      <c r="I2999" s="11">
        <f>$E2999+0</f>
        <v>104</v>
      </c>
      <c r="J2999" s="12">
        <v>16700</v>
      </c>
      <c r="K2999" s="13">
        <f>$E2999+1</f>
        <v>105</v>
      </c>
      <c r="L2999" s="14">
        <f>IF($J2999=0,0,ROUND(MAX($J2999*1.4,1620000*(1.497923^(MIN($E2999,123)-117)))*1,0))</f>
        <v>23380</v>
      </c>
      <c r="M2999" s="11">
        <f>$E2999+2</f>
        <v>106</v>
      </c>
      <c r="N2999" s="12">
        <f>IF($J2999=0,0,ROUND(MAX($J2999*1.4*1.5,2190000*(1.580994^(MIN($E2999,123)-117)))*1,0))</f>
        <v>35070</v>
      </c>
      <c r="O2999" s="13">
        <f>$E2999+4</f>
        <v>108</v>
      </c>
      <c r="P2999" s="14">
        <f>IF($J2999=0,0,ROUND(MAX($J2999*1.4*1.5*1.6,3500000*(1.57975^(MIN($E2999,123)-117)))*1,0))</f>
        <v>56112</v>
      </c>
      <c r="Q2999" s="11">
        <f>$E2999+6</f>
        <v>110</v>
      </c>
      <c r="R2999" s="12">
        <f>IF($J2999=0,0,ROUND(MAX($J2999*1.4*1.5*1.6*1.6,13100000*(1.429962^(MIN($E2999,123)-117)))*1,0))</f>
        <v>125329</v>
      </c>
      <c r="S2999" s="13">
        <f>$E2999+8</f>
        <v>112</v>
      </c>
      <c r="T2999" s="14">
        <f>IF($J2999=0,0,ROUND(MAX($J2999*1.4*1.5*1.6*1.6*2.2,42600000*(1.576904^(MIN($E2999,123)-117)))*1,0))</f>
        <v>197514</v>
      </c>
      <c r="U2999" s="11">
        <f>$E2999+11</f>
        <v>115</v>
      </c>
      <c r="V2999" s="12">
        <f>IF($J2999=0,0,ROUND(MAX($J2999*1.4*1.5*1.6*1.6*2.2*2.715,354000000*(1.642074^(MIN($E2999,123)-117)))*1,0))</f>
        <v>560916</v>
      </c>
      <c r="W2999" s="13">
        <f>$E2999+15</f>
        <v>119</v>
      </c>
      <c r="X2999" s="14">
        <f>IF($J2999=0,0,ROUND(MAX($J2999*1.4*1.5*1.6*1.6*2.2*2.715*2.6,3540000000*(1.579646^(MIN($E2999,123)-117)))*1,0))</f>
        <v>9283810</v>
      </c>
      <c r="Y2999" s="11">
        <f>$E2999+17</f>
        <v>121</v>
      </c>
      <c r="Z2999" s="12">
        <f>IF($J2999=0,0,ROUND(MAX($J2999*1.4*1.5*1.6*1.6*2.2*2.715*2.6*1.4,6020000000*(1.651178^(MIN($E2999,123)-117)))*1,0))</f>
        <v>8877197</v>
      </c>
      <c r="AA2999" s="13">
        <f>$E2999+19</f>
        <v>123</v>
      </c>
      <c r="AB2999" s="14">
        <f>IF($J2999=0,0,ROUND(MAX($J2999*1.4*1.5*1.6*1.6*2.2*2.715*2.6*1.4*1.4,8430000000*(1.651435^(MIN($E2999,123)-117)))*1,0))</f>
        <v>12405900</v>
      </c>
      <c r="AC2999" s="11">
        <f>$E2999+21</f>
        <v>125</v>
      </c>
      <c r="AD2999" s="12">
        <f>IF($J2999=0,0,ROUND(MAX($J2999*1.4*1.5*1.6*1.6*2.2*2.715*2.6*1.4*1.4*1.5,12600000000*(1.652953^(MIN($E2999,123)-117)))*1,0))</f>
        <v>18322468</v>
      </c>
      <c r="AE2999" s="13">
        <f>$E2999+24</f>
        <v>128</v>
      </c>
      <c r="AF2999" s="14">
        <f>IF($J2999=0,0,ROUND(MAX($J2999*1.4*1.5*1.6*1.6*2.2*2.715*2.6*1.4*1.4*1.5*1.5,18900000000*(1.65331^(MIN($E2999,123)-117)))*1,0))</f>
        <v>27406653</v>
      </c>
      <c r="AG2999" s="11">
        <f>$E2999+27</f>
        <v>131</v>
      </c>
      <c r="AH2999" s="12">
        <f>IF($J2999=0,0,ROUND(MAX($J2999*1.4*1.5*1.6*1.6*2.2*2.715*2.6*1.4*1.4*1.5*1.5*3.2,60500000000*(1.654288^(MIN($E2999,123)-117)))*1,0))</f>
        <v>87058428</v>
      </c>
    </row>
    <row r="3000" ht="28" customHeight="1" spans="1:34" x14ac:dyDescent="0.25">
      <c r="A3000">
        <v>3010</v>
      </c>
      <c r="B3000" t="s">
        <v>635</v>
      </c>
      <c r="C3000" s="10" t="s">
        <v>1673</v>
      </c>
      <c r="D3000" t="s">
        <v>40</v>
      </c>
      <c r="E3000">
        <v>104</v>
      </c>
      <c r="F3000" t="s">
        <v>310</v>
      </c>
      <c r="G3000" t="s">
        <v>27</v>
      </c>
      <c r="H3000">
        <v>23</v>
      </c>
      <c r="I3000" s="11">
        <f>$E3000+0</f>
        <v>104</v>
      </c>
      <c r="J3000" s="12">
        <v>35500</v>
      </c>
      <c r="K3000" s="13">
        <f>$E3000+1</f>
        <v>105</v>
      </c>
      <c r="L3000" s="14">
        <f>IF($J3000=0,0,ROUND(MAX($J3000*1.4,1620000*(1.497923^(MIN($E3000,123)-117)))*1,0))</f>
        <v>49700</v>
      </c>
      <c r="M3000" s="11">
        <f>$E3000+2</f>
        <v>106</v>
      </c>
      <c r="N3000" s="12">
        <f>IF($J3000=0,0,ROUND(MAX($J3000*1.4*1.5,2190000*(1.580994^(MIN($E3000,123)-117)))*1,0))</f>
        <v>74550</v>
      </c>
      <c r="O3000" s="13">
        <f>$E3000+4</f>
        <v>108</v>
      </c>
      <c r="P3000" s="14">
        <f>IF($J3000=0,0,ROUND(MAX($J3000*1.4*1.5*1.6,3500000*(1.57975^(MIN($E3000,123)-117)))*1,0))</f>
        <v>119280</v>
      </c>
      <c r="Q3000" s="11">
        <f>$E3000+6</f>
        <v>110</v>
      </c>
      <c r="R3000" s="12">
        <f>IF($J3000=0,0,ROUND(MAX($J3000*1.4*1.5*1.6*1.6,13100000*(1.429962^(MIN($E3000,123)-117)))*1,0))</f>
        <v>190848</v>
      </c>
      <c r="S3000" s="13">
        <f>$E3000+8</f>
        <v>112</v>
      </c>
      <c r="T3000" s="14">
        <f>IF($J3000=0,0,ROUND(MAX($J3000*1.4*1.5*1.6*1.6*2.2,42600000*(1.576904^(MIN($E3000,123)-117)))*1,0))</f>
        <v>419866</v>
      </c>
      <c r="U3000" s="11">
        <f>$E3000+11</f>
        <v>115</v>
      </c>
      <c r="V3000" s="12">
        <f>IF($J3000=0,0,ROUND(MAX($J3000*1.4*1.5*1.6*1.6*2.2*2.715,354000000*(1.642074^(MIN($E3000,123)-117)))*1,0))</f>
        <v>1139935</v>
      </c>
      <c r="W3000" s="13">
        <f>$E3000+15</f>
        <v>119</v>
      </c>
      <c r="X3000" s="14">
        <f>IF($J3000=0,0,ROUND(MAX($J3000*1.4*1.5*1.6*1.6*2.2*2.715*2.6,3540000000*(1.579646^(MIN($E3000,123)-117)))*1,0))</f>
        <v>9283810</v>
      </c>
      <c r="Y3000" s="11">
        <f>$E3000+17</f>
        <v>121</v>
      </c>
      <c r="Z3000" s="12">
        <f>IF($J3000=0,0,ROUND(MAX($J3000*1.4*1.5*1.6*1.6*2.2*2.715*2.6*1.4,6020000000*(1.651178^(MIN($E3000,123)-117)))*1,0))</f>
        <v>8877197</v>
      </c>
      <c r="AA3000" s="13">
        <f>$E3000+19</f>
        <v>123</v>
      </c>
      <c r="AB3000" s="14">
        <f>IF($J3000=0,0,ROUND(MAX($J3000*1.4*1.5*1.6*1.6*2.2*2.715*2.6*1.4*1.4,8430000000*(1.651435^(MIN($E3000,123)-117)))*1,0))</f>
        <v>12405900</v>
      </c>
      <c r="AC3000" s="11">
        <f>$E3000+21</f>
        <v>125</v>
      </c>
      <c r="AD3000" s="12">
        <f>IF($J3000=0,0,ROUND(MAX($J3000*1.4*1.5*1.6*1.6*2.2*2.715*2.6*1.4*1.4*1.5,12600000000*(1.652953^(MIN($E3000,123)-117)))*1,0))</f>
        <v>18322468</v>
      </c>
      <c r="AE3000" s="13">
        <f>$E3000+24</f>
        <v>128</v>
      </c>
      <c r="AF3000" s="14">
        <f>IF($J3000=0,0,ROUND(MAX($J3000*1.4*1.5*1.6*1.6*2.2*2.715*2.6*1.4*1.4*1.5*1.5,18900000000*(1.65331^(MIN($E3000,123)-117)))*1,0))</f>
        <v>27406653</v>
      </c>
      <c r="AG3000" s="11">
        <f>$E3000+27</f>
        <v>131</v>
      </c>
      <c r="AH3000" s="12">
        <f>IF($J3000=0,0,ROUND(MAX($J3000*1.4*1.5*1.6*1.6*2.2*2.715*2.6*1.4*1.4*1.5*1.5*3.2,60500000000*(1.654288^(MIN($E3000,123)-117)))*1,0))</f>
        <v>87058428</v>
      </c>
    </row>
    <row r="3001" ht="28" customHeight="1" spans="1:34" x14ac:dyDescent="0.25">
      <c r="A3001">
        <v>3011</v>
      </c>
      <c r="B3001" t="s">
        <v>1680</v>
      </c>
      <c r="C3001" s="10" t="s">
        <v>1673</v>
      </c>
      <c r="D3001" t="s">
        <v>25</v>
      </c>
      <c r="E3001">
        <v>104</v>
      </c>
      <c r="F3001" t="s">
        <v>59</v>
      </c>
      <c r="G3001" t="s">
        <v>274</v>
      </c>
      <c r="H3001">
        <v>22</v>
      </c>
      <c r="I3001" s="11">
        <f>$E3001+0</f>
        <v>104</v>
      </c>
      <c r="J3001" s="12">
        <v>8930</v>
      </c>
      <c r="K3001" s="13">
        <f>$E3001+1</f>
        <v>105</v>
      </c>
      <c r="L3001" s="14">
        <f>IF($J3001=0,0,ROUND(MAX($J3001*1.4,1620000*(1.497923^(MIN($E3001,123)-117)))*1,0))</f>
        <v>12502</v>
      </c>
      <c r="M3001" s="11">
        <f>$E3001+2</f>
        <v>106</v>
      </c>
      <c r="N3001" s="12">
        <f>IF($J3001=0,0,ROUND(MAX($J3001*1.4*1.5,2190000*(1.580994^(MIN($E3001,123)-117)))*1,0))</f>
        <v>18753</v>
      </c>
      <c r="O3001" s="13">
        <f>$E3001+4</f>
        <v>108</v>
      </c>
      <c r="P3001" s="14">
        <f>IF($J3001=0,0,ROUND(MAX($J3001*1.4*1.5*1.6,3500000*(1.57975^(MIN($E3001,123)-117)))*1,0))</f>
        <v>30005</v>
      </c>
      <c r="Q3001" s="11">
        <f>$E3001+6</f>
        <v>110</v>
      </c>
      <c r="R3001" s="12">
        <f>IF($J3001=0,0,ROUND(MAX($J3001*1.4*1.5*1.6*1.6,13100000*(1.429962^(MIN($E3001,123)-117)))*1,0))</f>
        <v>125329</v>
      </c>
      <c r="S3001" s="13">
        <f>$E3001+8</f>
        <v>112</v>
      </c>
      <c r="T3001" s="14">
        <f>IF($J3001=0,0,ROUND(MAX($J3001*1.4*1.5*1.6*1.6*2.2,42600000*(1.576904^(MIN($E3001,123)-117)))*1,0))</f>
        <v>114272</v>
      </c>
      <c r="U3001" s="11">
        <f>$E3001+11</f>
        <v>115</v>
      </c>
      <c r="V3001" s="12">
        <f>IF($J3001=0,0,ROUND(MAX($J3001*1.4*1.5*1.6*1.6*2.2*2.715,354000000*(1.642074^(MIN($E3001,123)-117)))*1,0))</f>
        <v>560916</v>
      </c>
      <c r="W3001" s="13">
        <f>$E3001+15</f>
        <v>119</v>
      </c>
      <c r="X3001" s="14">
        <f>IF($J3001=0,0,ROUND(MAX($J3001*1.4*1.5*1.6*1.6*2.2*2.715*2.6,3540000000*(1.579646^(MIN($E3001,123)-117)))*1,0))</f>
        <v>9283810</v>
      </c>
      <c r="Y3001" s="11">
        <f>$E3001+17</f>
        <v>121</v>
      </c>
      <c r="Z3001" s="12">
        <f>IF($J3001=0,0,ROUND(MAX($J3001*1.4*1.5*1.6*1.6*2.2*2.715*2.6*1.4,6020000000*(1.651178^(MIN($E3001,123)-117)))*1,0))</f>
        <v>8877197</v>
      </c>
      <c r="AA3001" s="13">
        <f>$E3001+19</f>
        <v>123</v>
      </c>
      <c r="AB3001" s="14">
        <f>IF($J3001=0,0,ROUND(MAX($J3001*1.4*1.5*1.6*1.6*2.2*2.715*2.6*1.4*1.4,8430000000*(1.651435^(MIN($E3001,123)-117)))*1,0))</f>
        <v>12405900</v>
      </c>
      <c r="AC3001" s="11">
        <f>$E3001+21</f>
        <v>125</v>
      </c>
      <c r="AD3001" s="12">
        <f>IF($J3001=0,0,ROUND(MAX($J3001*1.4*1.5*1.6*1.6*2.2*2.715*2.6*1.4*1.4*1.5,12600000000*(1.652953^(MIN($E3001,123)-117)))*1,0))</f>
        <v>18322468</v>
      </c>
      <c r="AE3001" s="13">
        <f>$E3001+24</f>
        <v>128</v>
      </c>
      <c r="AF3001" s="14">
        <f>IF($J3001=0,0,ROUND(MAX($J3001*1.4*1.5*1.6*1.6*2.2*2.715*2.6*1.4*1.4*1.5*1.5,18900000000*(1.65331^(MIN($E3001,123)-117)))*1,0))</f>
        <v>27406653</v>
      </c>
      <c r="AG3001" s="11">
        <f>$E3001+27</f>
        <v>131</v>
      </c>
      <c r="AH3001" s="12">
        <f>IF($J3001=0,0,ROUND(MAX($J3001*1.4*1.5*1.6*1.6*2.2*2.715*2.6*1.4*1.4*1.5*1.5*3.2,60500000000*(1.654288^(MIN($E3001,123)-117)))*1,0))</f>
        <v>87058428</v>
      </c>
    </row>
    <row r="3002" ht="28" customHeight="1" spans="1:34" x14ac:dyDescent="0.25">
      <c r="A3002">
        <v>3012</v>
      </c>
      <c r="B3002" t="s">
        <v>1169</v>
      </c>
      <c r="C3002" s="10" t="s">
        <v>1673</v>
      </c>
      <c r="D3002" t="s">
        <v>45</v>
      </c>
      <c r="E3002">
        <v>104</v>
      </c>
      <c r="F3002" t="s">
        <v>34</v>
      </c>
      <c r="G3002" t="s">
        <v>35</v>
      </c>
      <c r="H3002">
        <v>22</v>
      </c>
      <c r="I3002" s="11">
        <f>$E3002+0</f>
        <v>104</v>
      </c>
      <c r="J3002" s="12">
        <v>13100</v>
      </c>
      <c r="K3002" s="13">
        <f>$E3002+1</f>
        <v>105</v>
      </c>
      <c r="L3002" s="14">
        <f>IF($J3002=0,0,ROUND(MAX($J3002*1.4,1620000*(1.497923^(MIN($E3002,123)-117)))*1,0))</f>
        <v>18340</v>
      </c>
      <c r="M3002" s="11">
        <f>$E3002+2</f>
        <v>106</v>
      </c>
      <c r="N3002" s="12">
        <f>IF($J3002=0,0,ROUND(MAX($J3002*1.4*1.5,2190000*(1.580994^(MIN($E3002,123)-117)))*1,0))</f>
        <v>27510</v>
      </c>
      <c r="O3002" s="13">
        <f>$E3002+4</f>
        <v>108</v>
      </c>
      <c r="P3002" s="14">
        <f>IF($J3002=0,0,ROUND(MAX($J3002*1.4*1.5*1.6,3500000*(1.57975^(MIN($E3002,123)-117)))*1,0))</f>
        <v>44016</v>
      </c>
      <c r="Q3002" s="11">
        <f>$E3002+6</f>
        <v>110</v>
      </c>
      <c r="R3002" s="12">
        <f>IF($J3002=0,0,ROUND(MAX($J3002*1.4*1.5*1.6*1.6,13100000*(1.429962^(MIN($E3002,123)-117)))*1,0))</f>
        <v>125329</v>
      </c>
      <c r="S3002" s="13">
        <f>$E3002+8</f>
        <v>112</v>
      </c>
      <c r="T3002" s="14">
        <f>IF($J3002=0,0,ROUND(MAX($J3002*1.4*1.5*1.6*1.6*2.2,42600000*(1.576904^(MIN($E3002,123)-117)))*1,0))</f>
        <v>154936</v>
      </c>
      <c r="U3002" s="11">
        <f>$E3002+11</f>
        <v>115</v>
      </c>
      <c r="V3002" s="12">
        <f>IF($J3002=0,0,ROUND(MAX($J3002*1.4*1.5*1.6*1.6*2.2*2.715,354000000*(1.642074^(MIN($E3002,123)-117)))*1,0))</f>
        <v>560916</v>
      </c>
      <c r="W3002" s="13">
        <f>$E3002+15</f>
        <v>119</v>
      </c>
      <c r="X3002" s="14">
        <f>IF($J3002=0,0,ROUND(MAX($J3002*1.4*1.5*1.6*1.6*2.2*2.715*2.6,3540000000*(1.579646^(MIN($E3002,123)-117)))*1,0))</f>
        <v>9283810</v>
      </c>
      <c r="Y3002" s="11">
        <f>$E3002+17</f>
        <v>121</v>
      </c>
      <c r="Z3002" s="12">
        <f>IF($J3002=0,0,ROUND(MAX($J3002*1.4*1.5*1.6*1.6*2.2*2.715*2.6*1.4,6020000000*(1.651178^(MIN($E3002,123)-117)))*1,0))</f>
        <v>8877197</v>
      </c>
      <c r="AA3002" s="13">
        <f>$E3002+19</f>
        <v>123</v>
      </c>
      <c r="AB3002" s="14">
        <f>IF($J3002=0,0,ROUND(MAX($J3002*1.4*1.5*1.6*1.6*2.2*2.715*2.6*1.4*1.4,8430000000*(1.651435^(MIN($E3002,123)-117)))*1,0))</f>
        <v>12405900</v>
      </c>
      <c r="AC3002" s="11">
        <f>$E3002+21</f>
        <v>125</v>
      </c>
      <c r="AD3002" s="12">
        <f>IF($J3002=0,0,ROUND(MAX($J3002*1.4*1.5*1.6*1.6*2.2*2.715*2.6*1.4*1.4*1.5,12600000000*(1.652953^(MIN($E3002,123)-117)))*1,0))</f>
        <v>18322468</v>
      </c>
      <c r="AE3002" s="13">
        <f>$E3002+24</f>
        <v>128</v>
      </c>
      <c r="AF3002" s="14">
        <f>IF($J3002=0,0,ROUND(MAX($J3002*1.4*1.5*1.6*1.6*2.2*2.715*2.6*1.4*1.4*1.5*1.5,18900000000*(1.65331^(MIN($E3002,123)-117)))*1,0))</f>
        <v>27406653</v>
      </c>
      <c r="AG3002" s="11">
        <f>$E3002+27</f>
        <v>131</v>
      </c>
      <c r="AH3002" s="12">
        <f>IF($J3002=0,0,ROUND(MAX($J3002*1.4*1.5*1.6*1.6*2.2*2.715*2.6*1.4*1.4*1.5*1.5*3.2,60500000000*(1.654288^(MIN($E3002,123)-117)))*1,0))</f>
        <v>87058428</v>
      </c>
    </row>
    <row r="3003" ht="28" customHeight="1" spans="1:34" x14ac:dyDescent="0.25">
      <c r="A3003">
        <v>3013</v>
      </c>
      <c r="B3003" t="s">
        <v>1681</v>
      </c>
      <c r="C3003" s="10" t="s">
        <v>1673</v>
      </c>
      <c r="D3003" t="s">
        <v>33</v>
      </c>
      <c r="E3003">
        <v>104</v>
      </c>
      <c r="F3003" t="s">
        <v>258</v>
      </c>
      <c r="G3003" t="s">
        <v>72</v>
      </c>
      <c r="H3003">
        <v>22</v>
      </c>
      <c r="I3003" s="11">
        <f>$E3003+0</f>
        <v>104</v>
      </c>
      <c r="J3003" s="12">
        <v>7330</v>
      </c>
      <c r="K3003" s="13">
        <f>$E3003+1</f>
        <v>105</v>
      </c>
      <c r="L3003" s="14">
        <f>IF($J3003=0,0,ROUND(MAX($J3003*1.4,1620000*(1.497923^(MIN($E3003,123)-117)))*1,0))</f>
        <v>10262</v>
      </c>
      <c r="M3003" s="11">
        <f>$E3003+2</f>
        <v>106</v>
      </c>
      <c r="N3003" s="12">
        <f>IF($J3003=0,0,ROUND(MAX($J3003*1.4*1.5,2190000*(1.580994^(MIN($E3003,123)-117)))*1,0))</f>
        <v>15393</v>
      </c>
      <c r="O3003" s="13">
        <f>$E3003+4</f>
        <v>108</v>
      </c>
      <c r="P3003" s="14">
        <f>IF($J3003=0,0,ROUND(MAX($J3003*1.4*1.5*1.6,3500000*(1.57975^(MIN($E3003,123)-117)))*1,0))</f>
        <v>24629</v>
      </c>
      <c r="Q3003" s="11">
        <f>$E3003+6</f>
        <v>110</v>
      </c>
      <c r="R3003" s="12">
        <f>IF($J3003=0,0,ROUND(MAX($J3003*1.4*1.5*1.6*1.6,13100000*(1.429962^(MIN($E3003,123)-117)))*1,0))</f>
        <v>125329</v>
      </c>
      <c r="S3003" s="13">
        <f>$E3003+8</f>
        <v>112</v>
      </c>
      <c r="T3003" s="14">
        <f>IF($J3003=0,0,ROUND(MAX($J3003*1.4*1.5*1.6*1.6*2.2,42600000*(1.576904^(MIN($E3003,123)-117)))*1,0))</f>
        <v>114272</v>
      </c>
      <c r="U3003" s="11">
        <f>$E3003+11</f>
        <v>115</v>
      </c>
      <c r="V3003" s="12">
        <f>IF($J3003=0,0,ROUND(MAX($J3003*1.4*1.5*1.6*1.6*2.2*2.715,354000000*(1.642074^(MIN($E3003,123)-117)))*1,0))</f>
        <v>560916</v>
      </c>
      <c r="W3003" s="13">
        <f>$E3003+15</f>
        <v>119</v>
      </c>
      <c r="X3003" s="14">
        <f>IF($J3003=0,0,ROUND(MAX($J3003*1.4*1.5*1.6*1.6*2.2*2.715*2.6,3540000000*(1.579646^(MIN($E3003,123)-117)))*1,0))</f>
        <v>9283810</v>
      </c>
      <c r="Y3003" s="11">
        <f>$E3003+17</f>
        <v>121</v>
      </c>
      <c r="Z3003" s="12">
        <f>IF($J3003=0,0,ROUND(MAX($J3003*1.4*1.5*1.6*1.6*2.2*2.715*2.6*1.4,6020000000*(1.651178^(MIN($E3003,123)-117)))*1,0))</f>
        <v>8877197</v>
      </c>
      <c r="AA3003" s="13">
        <f>$E3003+19</f>
        <v>123</v>
      </c>
      <c r="AB3003" s="14">
        <f>IF($J3003=0,0,ROUND(MAX($J3003*1.4*1.5*1.6*1.6*2.2*2.715*2.6*1.4*1.4,8430000000*(1.651435^(MIN($E3003,123)-117)))*1,0))</f>
        <v>12405900</v>
      </c>
      <c r="AC3003" s="11">
        <f>$E3003+21</f>
        <v>125</v>
      </c>
      <c r="AD3003" s="12">
        <f>IF($J3003=0,0,ROUND(MAX($J3003*1.4*1.5*1.6*1.6*2.2*2.715*2.6*1.4*1.4*1.5,12600000000*(1.652953^(MIN($E3003,123)-117)))*1,0))</f>
        <v>18322468</v>
      </c>
      <c r="AE3003" s="13">
        <f>$E3003+24</f>
        <v>128</v>
      </c>
      <c r="AF3003" s="14">
        <f>IF($J3003=0,0,ROUND(MAX($J3003*1.4*1.5*1.6*1.6*2.2*2.715*2.6*1.4*1.4*1.5*1.5,18900000000*(1.65331^(MIN($E3003,123)-117)))*1,0))</f>
        <v>27406653</v>
      </c>
      <c r="AG3003" s="11">
        <f>$E3003+27</f>
        <v>131</v>
      </c>
      <c r="AH3003" s="12">
        <f>IF($J3003=0,0,ROUND(MAX($J3003*1.4*1.5*1.6*1.6*2.2*2.715*2.6*1.4*1.4*1.5*1.5*3.2,60500000000*(1.654288^(MIN($E3003,123)-117)))*1,0))</f>
        <v>87058428</v>
      </c>
    </row>
    <row r="3004" ht="28" customHeight="1" spans="1:34" x14ac:dyDescent="0.25">
      <c r="A3004">
        <v>3014</v>
      </c>
      <c r="B3004" t="s">
        <v>1682</v>
      </c>
      <c r="C3004" s="10" t="s">
        <v>1673</v>
      </c>
      <c r="D3004" t="s">
        <v>45</v>
      </c>
      <c r="E3004">
        <v>104</v>
      </c>
      <c r="F3004" t="s">
        <v>59</v>
      </c>
      <c r="G3004" t="s">
        <v>185</v>
      </c>
      <c r="H3004">
        <v>22</v>
      </c>
      <c r="I3004" s="11">
        <f>$E3004+0</f>
        <v>104</v>
      </c>
      <c r="J3004" s="12">
        <v>11900</v>
      </c>
      <c r="K3004" s="13">
        <f>$E3004+1</f>
        <v>105</v>
      </c>
      <c r="L3004" s="14">
        <f>IF($J3004=0,0,ROUND(MAX($J3004*1.4,1620000*(1.497923^(MIN($E3004,123)-117)))*1,0))</f>
        <v>16660</v>
      </c>
      <c r="M3004" s="11">
        <f>$E3004+2</f>
        <v>106</v>
      </c>
      <c r="N3004" s="12">
        <f>IF($J3004=0,0,ROUND(MAX($J3004*1.4*1.5,2190000*(1.580994^(MIN($E3004,123)-117)))*1,0))</f>
        <v>24990</v>
      </c>
      <c r="O3004" s="13">
        <f>$E3004+4</f>
        <v>108</v>
      </c>
      <c r="P3004" s="14">
        <f>IF($J3004=0,0,ROUND(MAX($J3004*1.4*1.5*1.6,3500000*(1.57975^(MIN($E3004,123)-117)))*1,0))</f>
        <v>39984</v>
      </c>
      <c r="Q3004" s="11">
        <f>$E3004+6</f>
        <v>110</v>
      </c>
      <c r="R3004" s="12">
        <f>IF($J3004=0,0,ROUND(MAX($J3004*1.4*1.5*1.6*1.6,13100000*(1.429962^(MIN($E3004,123)-117)))*1,0))</f>
        <v>125329</v>
      </c>
      <c r="S3004" s="13">
        <f>$E3004+8</f>
        <v>112</v>
      </c>
      <c r="T3004" s="14">
        <f>IF($J3004=0,0,ROUND(MAX($J3004*1.4*1.5*1.6*1.6*2.2,42600000*(1.576904^(MIN($E3004,123)-117)))*1,0))</f>
        <v>140744</v>
      </c>
      <c r="U3004" s="11">
        <f>$E3004+11</f>
        <v>115</v>
      </c>
      <c r="V3004" s="12">
        <f>IF($J3004=0,0,ROUND(MAX($J3004*1.4*1.5*1.6*1.6*2.2*2.715,354000000*(1.642074^(MIN($E3004,123)-117)))*1,0))</f>
        <v>560916</v>
      </c>
      <c r="W3004" s="13">
        <f>$E3004+15</f>
        <v>119</v>
      </c>
      <c r="X3004" s="14">
        <f>IF($J3004=0,0,ROUND(MAX($J3004*1.4*1.5*1.6*1.6*2.2*2.715*2.6,3540000000*(1.579646^(MIN($E3004,123)-117)))*1,0))</f>
        <v>9283810</v>
      </c>
      <c r="Y3004" s="11">
        <f>$E3004+17</f>
        <v>121</v>
      </c>
      <c r="Z3004" s="12">
        <f>IF($J3004=0,0,ROUND(MAX($J3004*1.4*1.5*1.6*1.6*2.2*2.715*2.6*1.4,6020000000*(1.651178^(MIN($E3004,123)-117)))*1,0))</f>
        <v>8877197</v>
      </c>
      <c r="AA3004" s="13">
        <f>$E3004+19</f>
        <v>123</v>
      </c>
      <c r="AB3004" s="14">
        <f>IF($J3004=0,0,ROUND(MAX($J3004*1.4*1.5*1.6*1.6*2.2*2.715*2.6*1.4*1.4,8430000000*(1.651435^(MIN($E3004,123)-117)))*1,0))</f>
        <v>12405900</v>
      </c>
      <c r="AC3004" s="11">
        <f>$E3004+21</f>
        <v>125</v>
      </c>
      <c r="AD3004" s="12">
        <f>IF($J3004=0,0,ROUND(MAX($J3004*1.4*1.5*1.6*1.6*2.2*2.715*2.6*1.4*1.4*1.5,12600000000*(1.652953^(MIN($E3004,123)-117)))*1,0))</f>
        <v>18322468</v>
      </c>
      <c r="AE3004" s="13">
        <f>$E3004+24</f>
        <v>128</v>
      </c>
      <c r="AF3004" s="14">
        <f>IF($J3004=0,0,ROUND(MAX($J3004*1.4*1.5*1.6*1.6*2.2*2.715*2.6*1.4*1.4*1.5*1.5,18900000000*(1.65331^(MIN($E3004,123)-117)))*1,0))</f>
        <v>27406653</v>
      </c>
      <c r="AG3004" s="11">
        <f>$E3004+27</f>
        <v>131</v>
      </c>
      <c r="AH3004" s="12">
        <f>IF($J3004=0,0,ROUND(MAX($J3004*1.4*1.5*1.6*1.6*2.2*2.715*2.6*1.4*1.4*1.5*1.5*3.2,60500000000*(1.654288^(MIN($E3004,123)-117)))*1,0))</f>
        <v>87058428</v>
      </c>
    </row>
    <row r="3005" ht="28" customHeight="1" spans="1:34" x14ac:dyDescent="0.25">
      <c r="A3005">
        <v>3015</v>
      </c>
      <c r="B3005" t="s">
        <v>1240</v>
      </c>
      <c r="C3005" s="10" t="s">
        <v>1673</v>
      </c>
      <c r="D3005" t="s">
        <v>40</v>
      </c>
      <c r="E3005">
        <v>104</v>
      </c>
      <c r="F3005" t="s">
        <v>34</v>
      </c>
      <c r="G3005" t="s">
        <v>277</v>
      </c>
      <c r="H3005">
        <v>22</v>
      </c>
      <c r="I3005" s="11">
        <f>$E3005+0</f>
        <v>104</v>
      </c>
      <c r="J3005" s="12">
        <v>9700</v>
      </c>
      <c r="K3005" s="13">
        <f>$E3005+1</f>
        <v>105</v>
      </c>
      <c r="L3005" s="14">
        <f>IF($J3005=0,0,ROUND(MAX($J3005*1.4,1620000*(1.497923^(MIN($E3005,123)-117)))*1,0))</f>
        <v>13580</v>
      </c>
      <c r="M3005" s="11">
        <f>$E3005+2</f>
        <v>106</v>
      </c>
      <c r="N3005" s="12">
        <f>IF($J3005=0,0,ROUND(MAX($J3005*1.4*1.5,2190000*(1.580994^(MIN($E3005,123)-117)))*1,0))</f>
        <v>20370</v>
      </c>
      <c r="O3005" s="13">
        <f>$E3005+4</f>
        <v>108</v>
      </c>
      <c r="P3005" s="14">
        <f>IF($J3005=0,0,ROUND(MAX($J3005*1.4*1.5*1.6,3500000*(1.57975^(MIN($E3005,123)-117)))*1,0))</f>
        <v>32592</v>
      </c>
      <c r="Q3005" s="11">
        <f>$E3005+6</f>
        <v>110</v>
      </c>
      <c r="R3005" s="12">
        <f>IF($J3005=0,0,ROUND(MAX($J3005*1.4*1.5*1.6*1.6,13100000*(1.429962^(MIN($E3005,123)-117)))*1,0))</f>
        <v>125329</v>
      </c>
      <c r="S3005" s="13">
        <f>$E3005+8</f>
        <v>112</v>
      </c>
      <c r="T3005" s="14">
        <f>IF($J3005=0,0,ROUND(MAX($J3005*1.4*1.5*1.6*1.6*2.2,42600000*(1.576904^(MIN($E3005,123)-117)))*1,0))</f>
        <v>114724</v>
      </c>
      <c r="U3005" s="11">
        <f>$E3005+11</f>
        <v>115</v>
      </c>
      <c r="V3005" s="12">
        <f>IF($J3005=0,0,ROUND(MAX($J3005*1.4*1.5*1.6*1.6*2.2*2.715,354000000*(1.642074^(MIN($E3005,123)-117)))*1,0))</f>
        <v>560916</v>
      </c>
      <c r="W3005" s="13">
        <f>$E3005+15</f>
        <v>119</v>
      </c>
      <c r="X3005" s="14">
        <f>IF($J3005=0,0,ROUND(MAX($J3005*1.4*1.5*1.6*1.6*2.2*2.715*2.6,3540000000*(1.579646^(MIN($E3005,123)-117)))*1,0))</f>
        <v>9283810</v>
      </c>
      <c r="Y3005" s="11">
        <f>$E3005+17</f>
        <v>121</v>
      </c>
      <c r="Z3005" s="12">
        <f>IF($J3005=0,0,ROUND(MAX($J3005*1.4*1.5*1.6*1.6*2.2*2.715*2.6*1.4,6020000000*(1.651178^(MIN($E3005,123)-117)))*1,0))</f>
        <v>8877197</v>
      </c>
      <c r="AA3005" s="13">
        <f>$E3005+19</f>
        <v>123</v>
      </c>
      <c r="AB3005" s="14">
        <f>IF($J3005=0,0,ROUND(MAX($J3005*1.4*1.5*1.6*1.6*2.2*2.715*2.6*1.4*1.4,8430000000*(1.651435^(MIN($E3005,123)-117)))*1,0))</f>
        <v>12405900</v>
      </c>
      <c r="AC3005" s="11">
        <f>$E3005+21</f>
        <v>125</v>
      </c>
      <c r="AD3005" s="12">
        <f>IF($J3005=0,0,ROUND(MAX($J3005*1.4*1.5*1.6*1.6*2.2*2.715*2.6*1.4*1.4*1.5,12600000000*(1.652953^(MIN($E3005,123)-117)))*1,0))</f>
        <v>18322468</v>
      </c>
      <c r="AE3005" s="13">
        <f>$E3005+24</f>
        <v>128</v>
      </c>
      <c r="AF3005" s="14">
        <f>IF($J3005=0,0,ROUND(MAX($J3005*1.4*1.5*1.6*1.6*2.2*2.715*2.6*1.4*1.4*1.5*1.5,18900000000*(1.65331^(MIN($E3005,123)-117)))*1,0))</f>
        <v>27406653</v>
      </c>
      <c r="AG3005" s="11">
        <f>$E3005+27</f>
        <v>131</v>
      </c>
      <c r="AH3005" s="12">
        <f>IF($J3005=0,0,ROUND(MAX($J3005*1.4*1.5*1.6*1.6*2.2*2.715*2.6*1.4*1.4*1.5*1.5*3.2,60500000000*(1.654288^(MIN($E3005,123)-117)))*1,0))</f>
        <v>87058428</v>
      </c>
    </row>
    <row r="3006" ht="28" customHeight="1" spans="1:34" x14ac:dyDescent="0.25">
      <c r="A3006">
        <v>3016</v>
      </c>
      <c r="B3006" t="s">
        <v>1173</v>
      </c>
      <c r="C3006" s="10" t="s">
        <v>1673</v>
      </c>
      <c r="D3006" t="s">
        <v>33</v>
      </c>
      <c r="E3006">
        <v>104</v>
      </c>
      <c r="F3006" t="s">
        <v>212</v>
      </c>
      <c r="G3006" t="s">
        <v>185</v>
      </c>
      <c r="H3006">
        <v>22</v>
      </c>
      <c r="I3006" s="11">
        <f>$E3006+0</f>
        <v>104</v>
      </c>
      <c r="J3006" s="12">
        <v>15100</v>
      </c>
      <c r="K3006" s="13">
        <f>$E3006+1</f>
        <v>105</v>
      </c>
      <c r="L3006" s="14">
        <f>IF($J3006=0,0,ROUND(MAX($J3006*1.4,1620000*(1.497923^(MIN($E3006,123)-117)))*1,0))</f>
        <v>21140</v>
      </c>
      <c r="M3006" s="11">
        <f>$E3006+2</f>
        <v>106</v>
      </c>
      <c r="N3006" s="12">
        <f>IF($J3006=0,0,ROUND(MAX($J3006*1.4*1.5,2190000*(1.580994^(MIN($E3006,123)-117)))*1,0))</f>
        <v>31710</v>
      </c>
      <c r="O3006" s="13">
        <f>$E3006+4</f>
        <v>108</v>
      </c>
      <c r="P3006" s="14">
        <f>IF($J3006=0,0,ROUND(MAX($J3006*1.4*1.5*1.6,3500000*(1.57975^(MIN($E3006,123)-117)))*1,0))</f>
        <v>50736</v>
      </c>
      <c r="Q3006" s="11">
        <f>$E3006+6</f>
        <v>110</v>
      </c>
      <c r="R3006" s="12">
        <f>IF($J3006=0,0,ROUND(MAX($J3006*1.4*1.5*1.6*1.6,13100000*(1.429962^(MIN($E3006,123)-117)))*1,0))</f>
        <v>125329</v>
      </c>
      <c r="S3006" s="13">
        <f>$E3006+8</f>
        <v>112</v>
      </c>
      <c r="T3006" s="14">
        <f>IF($J3006=0,0,ROUND(MAX($J3006*1.4*1.5*1.6*1.6*2.2,42600000*(1.576904^(MIN($E3006,123)-117)))*1,0))</f>
        <v>178591</v>
      </c>
      <c r="U3006" s="11">
        <f>$E3006+11</f>
        <v>115</v>
      </c>
      <c r="V3006" s="12">
        <f>IF($J3006=0,0,ROUND(MAX($J3006*1.4*1.5*1.6*1.6*2.2*2.715,354000000*(1.642074^(MIN($E3006,123)-117)))*1,0))</f>
        <v>560916</v>
      </c>
      <c r="W3006" s="13">
        <f>$E3006+15</f>
        <v>119</v>
      </c>
      <c r="X3006" s="14">
        <f>IF($J3006=0,0,ROUND(MAX($J3006*1.4*1.5*1.6*1.6*2.2*2.715*2.6,3540000000*(1.579646^(MIN($E3006,123)-117)))*1,0))</f>
        <v>9283810</v>
      </c>
      <c r="Y3006" s="11">
        <f>$E3006+17</f>
        <v>121</v>
      </c>
      <c r="Z3006" s="12">
        <f>IF($J3006=0,0,ROUND(MAX($J3006*1.4*1.5*1.6*1.6*2.2*2.715*2.6*1.4,6020000000*(1.651178^(MIN($E3006,123)-117)))*1,0))</f>
        <v>8877197</v>
      </c>
      <c r="AA3006" s="13">
        <f>$E3006+19</f>
        <v>123</v>
      </c>
      <c r="AB3006" s="14">
        <f>IF($J3006=0,0,ROUND(MAX($J3006*1.4*1.5*1.6*1.6*2.2*2.715*2.6*1.4*1.4,8430000000*(1.651435^(MIN($E3006,123)-117)))*1,0))</f>
        <v>12405900</v>
      </c>
      <c r="AC3006" s="11">
        <f>$E3006+21</f>
        <v>125</v>
      </c>
      <c r="AD3006" s="12">
        <f>IF($J3006=0,0,ROUND(MAX($J3006*1.4*1.5*1.6*1.6*2.2*2.715*2.6*1.4*1.4*1.5,12600000000*(1.652953^(MIN($E3006,123)-117)))*1,0))</f>
        <v>18322468</v>
      </c>
      <c r="AE3006" s="13">
        <f>$E3006+24</f>
        <v>128</v>
      </c>
      <c r="AF3006" s="14">
        <f>IF($J3006=0,0,ROUND(MAX($J3006*1.4*1.5*1.6*1.6*2.2*2.715*2.6*1.4*1.4*1.5*1.5,18900000000*(1.65331^(MIN($E3006,123)-117)))*1,0))</f>
        <v>27406653</v>
      </c>
      <c r="AG3006" s="11">
        <f>$E3006+27</f>
        <v>131</v>
      </c>
      <c r="AH3006" s="12">
        <f>IF($J3006=0,0,ROUND(MAX($J3006*1.4*1.5*1.6*1.6*2.2*2.715*2.6*1.4*1.4*1.5*1.5*3.2,60500000000*(1.654288^(MIN($E3006,123)-117)))*1,0))</f>
        <v>87058428</v>
      </c>
    </row>
    <row r="3007" ht="28" customHeight="1" spans="1:34" x14ac:dyDescent="0.25">
      <c r="A3007">
        <v>3017</v>
      </c>
      <c r="B3007" t="s">
        <v>1224</v>
      </c>
      <c r="C3007" s="10" t="s">
        <v>1673</v>
      </c>
      <c r="D3007" t="s">
        <v>102</v>
      </c>
      <c r="E3007">
        <v>104</v>
      </c>
      <c r="F3007" t="s">
        <v>62</v>
      </c>
      <c r="G3007" t="s">
        <v>86</v>
      </c>
      <c r="H3007">
        <v>22</v>
      </c>
      <c r="I3007" s="11">
        <f>$E3007+0</f>
        <v>104</v>
      </c>
      <c r="J3007" s="12">
        <v>9950</v>
      </c>
      <c r="K3007" s="13">
        <f>$E3007+1</f>
        <v>105</v>
      </c>
      <c r="L3007" s="14">
        <f>IF($J3007=0,0,ROUND(MAX($J3007*1.4,1620000*(1.497923^(MIN($E3007,123)-117)))*1,0))</f>
        <v>13930</v>
      </c>
      <c r="M3007" s="11">
        <f>$E3007+2</f>
        <v>106</v>
      </c>
      <c r="N3007" s="12">
        <f>IF($J3007=0,0,ROUND(MAX($J3007*1.4*1.5,2190000*(1.580994^(MIN($E3007,123)-117)))*1,0))</f>
        <v>20895</v>
      </c>
      <c r="O3007" s="13">
        <f>$E3007+4</f>
        <v>108</v>
      </c>
      <c r="P3007" s="14">
        <f>IF($J3007=0,0,ROUND(MAX($J3007*1.4*1.5*1.6,3500000*(1.57975^(MIN($E3007,123)-117)))*1,0))</f>
        <v>33432</v>
      </c>
      <c r="Q3007" s="11">
        <f>$E3007+6</f>
        <v>110</v>
      </c>
      <c r="R3007" s="12">
        <f>IF($J3007=0,0,ROUND(MAX($J3007*1.4*1.5*1.6*1.6,13100000*(1.429962^(MIN($E3007,123)-117)))*1,0))</f>
        <v>125329</v>
      </c>
      <c r="S3007" s="13">
        <f>$E3007+8</f>
        <v>112</v>
      </c>
      <c r="T3007" s="14">
        <f>IF($J3007=0,0,ROUND(MAX($J3007*1.4*1.5*1.6*1.6*2.2,42600000*(1.576904^(MIN($E3007,123)-117)))*1,0))</f>
        <v>117681</v>
      </c>
      <c r="U3007" s="11">
        <f>$E3007+11</f>
        <v>115</v>
      </c>
      <c r="V3007" s="12">
        <f>IF($J3007=0,0,ROUND(MAX($J3007*1.4*1.5*1.6*1.6*2.2*2.715,354000000*(1.642074^(MIN($E3007,123)-117)))*1,0))</f>
        <v>560916</v>
      </c>
      <c r="W3007" s="13">
        <f>$E3007+15</f>
        <v>119</v>
      </c>
      <c r="X3007" s="14">
        <f>IF($J3007=0,0,ROUND(MAX($J3007*1.4*1.5*1.6*1.6*2.2*2.715*2.6,3540000000*(1.579646^(MIN($E3007,123)-117)))*1,0))</f>
        <v>9283810</v>
      </c>
      <c r="Y3007" s="11">
        <f>$E3007+17</f>
        <v>121</v>
      </c>
      <c r="Z3007" s="12">
        <f>IF($J3007=0,0,ROUND(MAX($J3007*1.4*1.5*1.6*1.6*2.2*2.715*2.6*1.4,6020000000*(1.651178^(MIN($E3007,123)-117)))*1,0))</f>
        <v>8877197</v>
      </c>
      <c r="AA3007" s="13">
        <f>$E3007+19</f>
        <v>123</v>
      </c>
      <c r="AB3007" s="14">
        <f>IF($J3007=0,0,ROUND(MAX($J3007*1.4*1.5*1.6*1.6*2.2*2.715*2.6*1.4*1.4,8430000000*(1.651435^(MIN($E3007,123)-117)))*1,0))</f>
        <v>12405900</v>
      </c>
      <c r="AC3007" s="11">
        <f>$E3007+21</f>
        <v>125</v>
      </c>
      <c r="AD3007" s="12">
        <f>IF($J3007=0,0,ROUND(MAX($J3007*1.4*1.5*1.6*1.6*2.2*2.715*2.6*1.4*1.4*1.5,12600000000*(1.652953^(MIN($E3007,123)-117)))*1,0))</f>
        <v>18322468</v>
      </c>
      <c r="AE3007" s="13">
        <f>$E3007+24</f>
        <v>128</v>
      </c>
      <c r="AF3007" s="14">
        <f>IF($J3007=0,0,ROUND(MAX($J3007*1.4*1.5*1.6*1.6*2.2*2.715*2.6*1.4*1.4*1.5*1.5,18900000000*(1.65331^(MIN($E3007,123)-117)))*1,0))</f>
        <v>27406653</v>
      </c>
      <c r="AG3007" s="11">
        <f>$E3007+27</f>
        <v>131</v>
      </c>
      <c r="AH3007" s="12">
        <f>IF($J3007=0,0,ROUND(MAX($J3007*1.4*1.5*1.6*1.6*2.2*2.715*2.6*1.4*1.4*1.5*1.5*3.2,60500000000*(1.654288^(MIN($E3007,123)-117)))*1,0))</f>
        <v>87058428</v>
      </c>
    </row>
    <row r="3008" ht="28" customHeight="1" spans="1:34" x14ac:dyDescent="0.25">
      <c r="A3008">
        <v>3018</v>
      </c>
      <c r="B3008" t="s">
        <v>1683</v>
      </c>
      <c r="C3008" s="10" t="s">
        <v>1673</v>
      </c>
      <c r="D3008" t="s">
        <v>165</v>
      </c>
      <c r="E3008">
        <v>104</v>
      </c>
      <c r="F3008" t="s">
        <v>56</v>
      </c>
      <c r="G3008" t="s">
        <v>349</v>
      </c>
      <c r="H3008">
        <v>22</v>
      </c>
      <c r="I3008" s="11">
        <f>$E3008+0</f>
        <v>104</v>
      </c>
      <c r="J3008" s="12">
        <v>8230</v>
      </c>
      <c r="K3008" s="13">
        <f>$E3008+1</f>
        <v>105</v>
      </c>
      <c r="L3008" s="14">
        <f>IF($J3008=0,0,ROUND(MAX($J3008*1.4,1620000*(1.497923^(MIN($E3008,123)-117)))*1,0))</f>
        <v>11522</v>
      </c>
      <c r="M3008" s="11">
        <f>$E3008+2</f>
        <v>106</v>
      </c>
      <c r="N3008" s="12">
        <f>IF($J3008=0,0,ROUND(MAX($J3008*1.4*1.5,2190000*(1.580994^(MIN($E3008,123)-117)))*1,0))</f>
        <v>17283</v>
      </c>
      <c r="O3008" s="13">
        <f>$E3008+4</f>
        <v>108</v>
      </c>
      <c r="P3008" s="14">
        <f>IF($J3008=0,0,ROUND(MAX($J3008*1.4*1.5*1.6,3500000*(1.57975^(MIN($E3008,123)-117)))*1,0))</f>
        <v>27653</v>
      </c>
      <c r="Q3008" s="11">
        <f>$E3008+6</f>
        <v>110</v>
      </c>
      <c r="R3008" s="12">
        <f>IF($J3008=0,0,ROUND(MAX($J3008*1.4*1.5*1.6*1.6,13100000*(1.429962^(MIN($E3008,123)-117)))*1,0))</f>
        <v>125329</v>
      </c>
      <c r="S3008" s="13">
        <f>$E3008+8</f>
        <v>112</v>
      </c>
      <c r="T3008" s="14">
        <f>IF($J3008=0,0,ROUND(MAX($J3008*1.4*1.5*1.6*1.6*2.2,42600000*(1.576904^(MIN($E3008,123)-117)))*1,0))</f>
        <v>114272</v>
      </c>
      <c r="U3008" s="11">
        <f>$E3008+11</f>
        <v>115</v>
      </c>
      <c r="V3008" s="12">
        <f>IF($J3008=0,0,ROUND(MAX($J3008*1.4*1.5*1.6*1.6*2.2*2.715,354000000*(1.642074^(MIN($E3008,123)-117)))*1,0))</f>
        <v>560916</v>
      </c>
      <c r="W3008" s="13">
        <f>$E3008+15</f>
        <v>119</v>
      </c>
      <c r="X3008" s="14">
        <f>IF($J3008=0,0,ROUND(MAX($J3008*1.4*1.5*1.6*1.6*2.2*2.715*2.6,3540000000*(1.579646^(MIN($E3008,123)-117)))*1,0))</f>
        <v>9283810</v>
      </c>
      <c r="Y3008" s="11">
        <f>$E3008+17</f>
        <v>121</v>
      </c>
      <c r="Z3008" s="12">
        <f>IF($J3008=0,0,ROUND(MAX($J3008*1.4*1.5*1.6*1.6*2.2*2.715*2.6*1.4,6020000000*(1.651178^(MIN($E3008,123)-117)))*1,0))</f>
        <v>8877197</v>
      </c>
      <c r="AA3008" s="13">
        <f>$E3008+19</f>
        <v>123</v>
      </c>
      <c r="AB3008" s="14">
        <f>IF($J3008=0,0,ROUND(MAX($J3008*1.4*1.5*1.6*1.6*2.2*2.715*2.6*1.4*1.4,8430000000*(1.651435^(MIN($E3008,123)-117)))*1,0))</f>
        <v>12405900</v>
      </c>
      <c r="AC3008" s="11">
        <f>$E3008+21</f>
        <v>125</v>
      </c>
      <c r="AD3008" s="12">
        <f>IF($J3008=0,0,ROUND(MAX($J3008*1.4*1.5*1.6*1.6*2.2*2.715*2.6*1.4*1.4*1.5,12600000000*(1.652953^(MIN($E3008,123)-117)))*1,0))</f>
        <v>18322468</v>
      </c>
      <c r="AE3008" s="13">
        <f>$E3008+24</f>
        <v>128</v>
      </c>
      <c r="AF3008" s="14">
        <f>IF($J3008=0,0,ROUND(MAX($J3008*1.4*1.5*1.6*1.6*2.2*2.715*2.6*1.4*1.4*1.5*1.5,18900000000*(1.65331^(MIN($E3008,123)-117)))*1,0))</f>
        <v>27406653</v>
      </c>
      <c r="AG3008" s="11">
        <f>$E3008+27</f>
        <v>131</v>
      </c>
      <c r="AH3008" s="12">
        <f>IF($J3008=0,0,ROUND(MAX($J3008*1.4*1.5*1.6*1.6*2.2*2.715*2.6*1.4*1.4*1.5*1.5*3.2,60500000000*(1.654288^(MIN($E3008,123)-117)))*1,0))</f>
        <v>87058428</v>
      </c>
    </row>
    <row r="3009" ht="28" customHeight="1" spans="1:34" x14ac:dyDescent="0.25">
      <c r="A3009">
        <v>3019</v>
      </c>
      <c r="B3009" t="s">
        <v>584</v>
      </c>
      <c r="C3009" s="10" t="s">
        <v>1673</v>
      </c>
      <c r="D3009" t="s">
        <v>64</v>
      </c>
      <c r="E3009">
        <v>104</v>
      </c>
      <c r="F3009" t="s">
        <v>62</v>
      </c>
      <c r="G3009" t="s">
        <v>133</v>
      </c>
      <c r="H3009">
        <v>22</v>
      </c>
      <c r="I3009" s="11">
        <f>$E3009+0</f>
        <v>104</v>
      </c>
      <c r="J3009" s="12">
        <v>13000</v>
      </c>
      <c r="K3009" s="13">
        <f>$E3009+1</f>
        <v>105</v>
      </c>
      <c r="L3009" s="14">
        <f>IF($J3009=0,0,ROUND(MAX($J3009*1.4,1620000*(1.497923^(MIN($E3009,123)-117)))*1,0))</f>
        <v>18200</v>
      </c>
      <c r="M3009" s="11">
        <f>$E3009+2</f>
        <v>106</v>
      </c>
      <c r="N3009" s="12">
        <f>IF($J3009=0,0,ROUND(MAX($J3009*1.4*1.5,2190000*(1.580994^(MIN($E3009,123)-117)))*1,0))</f>
        <v>27300</v>
      </c>
      <c r="O3009" s="13">
        <f>$E3009+4</f>
        <v>108</v>
      </c>
      <c r="P3009" s="14">
        <f>IF($J3009=0,0,ROUND(MAX($J3009*1.4*1.5*1.6,3500000*(1.57975^(MIN($E3009,123)-117)))*1,0))</f>
        <v>43680</v>
      </c>
      <c r="Q3009" s="11">
        <f>$E3009+6</f>
        <v>110</v>
      </c>
      <c r="R3009" s="12">
        <f>IF($J3009=0,0,ROUND(MAX($J3009*1.4*1.5*1.6*1.6,13100000*(1.429962^(MIN($E3009,123)-117)))*1,0))</f>
        <v>125329</v>
      </c>
      <c r="S3009" s="13">
        <f>$E3009+8</f>
        <v>112</v>
      </c>
      <c r="T3009" s="14">
        <f>IF($J3009=0,0,ROUND(MAX($J3009*1.4*1.5*1.6*1.6*2.2,42600000*(1.576904^(MIN($E3009,123)-117)))*1,0))</f>
        <v>153754</v>
      </c>
      <c r="U3009" s="11">
        <f>$E3009+11</f>
        <v>115</v>
      </c>
      <c r="V3009" s="12">
        <f>IF($J3009=0,0,ROUND(MAX($J3009*1.4*1.5*1.6*1.6*2.2*2.715,354000000*(1.642074^(MIN($E3009,123)-117)))*1,0))</f>
        <v>560916</v>
      </c>
      <c r="W3009" s="13">
        <f>$E3009+15</f>
        <v>119</v>
      </c>
      <c r="X3009" s="14">
        <f>IF($J3009=0,0,ROUND(MAX($J3009*1.4*1.5*1.6*1.6*2.2*2.715*2.6,3540000000*(1.579646^(MIN($E3009,123)-117)))*1,0))</f>
        <v>9283810</v>
      </c>
      <c r="Y3009" s="11">
        <f>$E3009+17</f>
        <v>121</v>
      </c>
      <c r="Z3009" s="12">
        <f>IF($J3009=0,0,ROUND(MAX($J3009*1.4*1.5*1.6*1.6*2.2*2.715*2.6*1.4,6020000000*(1.651178^(MIN($E3009,123)-117)))*1,0))</f>
        <v>8877197</v>
      </c>
      <c r="AA3009" s="13">
        <f>$E3009+19</f>
        <v>123</v>
      </c>
      <c r="AB3009" s="14">
        <f>IF($J3009=0,0,ROUND(MAX($J3009*1.4*1.5*1.6*1.6*2.2*2.715*2.6*1.4*1.4,8430000000*(1.651435^(MIN($E3009,123)-117)))*1,0))</f>
        <v>12405900</v>
      </c>
      <c r="AC3009" s="11">
        <f>$E3009+21</f>
        <v>125</v>
      </c>
      <c r="AD3009" s="12">
        <f>IF($J3009=0,0,ROUND(MAX($J3009*1.4*1.5*1.6*1.6*2.2*2.715*2.6*1.4*1.4*1.5,12600000000*(1.652953^(MIN($E3009,123)-117)))*1,0))</f>
        <v>18322468</v>
      </c>
      <c r="AE3009" s="13">
        <f>$E3009+24</f>
        <v>128</v>
      </c>
      <c r="AF3009" s="14">
        <f>IF($J3009=0,0,ROUND(MAX($J3009*1.4*1.5*1.6*1.6*2.2*2.715*2.6*1.4*1.4*1.5*1.5,18900000000*(1.65331^(MIN($E3009,123)-117)))*1,0))</f>
        <v>27406653</v>
      </c>
      <c r="AG3009" s="11">
        <f>$E3009+27</f>
        <v>131</v>
      </c>
      <c r="AH3009" s="12">
        <f>IF($J3009=0,0,ROUND(MAX($J3009*1.4*1.5*1.6*1.6*2.2*2.715*2.6*1.4*1.4*1.5*1.5*3.2,60500000000*(1.654288^(MIN($E3009,123)-117)))*1,0))</f>
        <v>87058428</v>
      </c>
    </row>
    <row r="3010" ht="28" customHeight="1" spans="1:34" x14ac:dyDescent="0.25">
      <c r="A3010">
        <v>3020</v>
      </c>
      <c r="B3010" t="s">
        <v>322</v>
      </c>
      <c r="C3010" s="10" t="s">
        <v>1673</v>
      </c>
      <c r="D3010" t="s">
        <v>93</v>
      </c>
      <c r="E3010">
        <v>104</v>
      </c>
      <c r="F3010" t="s">
        <v>30</v>
      </c>
      <c r="G3010" t="s">
        <v>72</v>
      </c>
      <c r="H3010">
        <v>22</v>
      </c>
      <c r="I3010" s="11">
        <f>$E3010+0</f>
        <v>104</v>
      </c>
      <c r="J3010" s="12">
        <v>13400</v>
      </c>
      <c r="K3010" s="13">
        <f>$E3010+1</f>
        <v>105</v>
      </c>
      <c r="L3010" s="14">
        <f>IF($J3010=0,0,ROUND(MAX($J3010*1.4,1620000*(1.497923^(MIN($E3010,123)-117)))*1,0))</f>
        <v>18760</v>
      </c>
      <c r="M3010" s="11">
        <f>$E3010+2</f>
        <v>106</v>
      </c>
      <c r="N3010" s="12">
        <f>IF($J3010=0,0,ROUND(MAX($J3010*1.4*1.5,2190000*(1.580994^(MIN($E3010,123)-117)))*1,0))</f>
        <v>28140</v>
      </c>
      <c r="O3010" s="13">
        <f>$E3010+4</f>
        <v>108</v>
      </c>
      <c r="P3010" s="14">
        <f>IF($J3010=0,0,ROUND(MAX($J3010*1.4*1.5*1.6,3500000*(1.57975^(MIN($E3010,123)-117)))*1,0))</f>
        <v>45024</v>
      </c>
      <c r="Q3010" s="11">
        <f>$E3010+6</f>
        <v>110</v>
      </c>
      <c r="R3010" s="12">
        <f>IF($J3010=0,0,ROUND(MAX($J3010*1.4*1.5*1.6*1.6,13100000*(1.429962^(MIN($E3010,123)-117)))*1,0))</f>
        <v>125329</v>
      </c>
      <c r="S3010" s="13">
        <f>$E3010+8</f>
        <v>112</v>
      </c>
      <c r="T3010" s="14">
        <f>IF($J3010=0,0,ROUND(MAX($J3010*1.4*1.5*1.6*1.6*2.2,42600000*(1.576904^(MIN($E3010,123)-117)))*1,0))</f>
        <v>158484</v>
      </c>
      <c r="U3010" s="11">
        <f>$E3010+11</f>
        <v>115</v>
      </c>
      <c r="V3010" s="12">
        <f>IF($J3010=0,0,ROUND(MAX($J3010*1.4*1.5*1.6*1.6*2.2*2.715,354000000*(1.642074^(MIN($E3010,123)-117)))*1,0))</f>
        <v>560916</v>
      </c>
      <c r="W3010" s="13">
        <f>$E3010+15</f>
        <v>119</v>
      </c>
      <c r="X3010" s="14">
        <f>IF($J3010=0,0,ROUND(MAX($J3010*1.4*1.5*1.6*1.6*2.2*2.715*2.6,3540000000*(1.579646^(MIN($E3010,123)-117)))*1,0))</f>
        <v>9283810</v>
      </c>
      <c r="Y3010" s="11">
        <f>$E3010+17</f>
        <v>121</v>
      </c>
      <c r="Z3010" s="12">
        <f>IF($J3010=0,0,ROUND(MAX($J3010*1.4*1.5*1.6*1.6*2.2*2.715*2.6*1.4,6020000000*(1.651178^(MIN($E3010,123)-117)))*1,0))</f>
        <v>8877197</v>
      </c>
      <c r="AA3010" s="13">
        <f>$E3010+19</f>
        <v>123</v>
      </c>
      <c r="AB3010" s="14">
        <f>IF($J3010=0,0,ROUND(MAX($J3010*1.4*1.5*1.6*1.6*2.2*2.715*2.6*1.4*1.4,8430000000*(1.651435^(MIN($E3010,123)-117)))*1,0))</f>
        <v>12405900</v>
      </c>
      <c r="AC3010" s="11">
        <f>$E3010+21</f>
        <v>125</v>
      </c>
      <c r="AD3010" s="12">
        <f>IF($J3010=0,0,ROUND(MAX($J3010*1.4*1.5*1.6*1.6*2.2*2.715*2.6*1.4*1.4*1.5,12600000000*(1.652953^(MIN($E3010,123)-117)))*1,0))</f>
        <v>18322468</v>
      </c>
      <c r="AE3010" s="13">
        <f>$E3010+24</f>
        <v>128</v>
      </c>
      <c r="AF3010" s="14">
        <f>IF($J3010=0,0,ROUND(MAX($J3010*1.4*1.5*1.6*1.6*2.2*2.715*2.6*1.4*1.4*1.5*1.5,18900000000*(1.65331^(MIN($E3010,123)-117)))*1,0))</f>
        <v>27406653</v>
      </c>
      <c r="AG3010" s="11">
        <f>$E3010+27</f>
        <v>131</v>
      </c>
      <c r="AH3010" s="12">
        <f>IF($J3010=0,0,ROUND(MAX($J3010*1.4*1.5*1.6*1.6*2.2*2.715*2.6*1.4*1.4*1.5*1.5*3.2,60500000000*(1.654288^(MIN($E3010,123)-117)))*1,0))</f>
        <v>87058428</v>
      </c>
    </row>
    <row r="3011" ht="28" customHeight="1" spans="1:34" x14ac:dyDescent="0.25">
      <c r="A3011">
        <v>3021</v>
      </c>
      <c r="B3011" t="s">
        <v>1289</v>
      </c>
      <c r="C3011" s="10" t="s">
        <v>1673</v>
      </c>
      <c r="D3011" t="s">
        <v>33</v>
      </c>
      <c r="E3011">
        <v>104</v>
      </c>
      <c r="F3011" t="s">
        <v>56</v>
      </c>
      <c r="G3011" t="s">
        <v>51</v>
      </c>
      <c r="H3011">
        <v>22</v>
      </c>
      <c r="I3011" s="11">
        <f>$E3011+0</f>
        <v>104</v>
      </c>
      <c r="J3011" s="12">
        <v>10100</v>
      </c>
      <c r="K3011" s="13">
        <f>$E3011+1</f>
        <v>105</v>
      </c>
      <c r="L3011" s="14">
        <f>IF($J3011=0,0,ROUND(MAX($J3011*1.4,1620000*(1.497923^(MIN($E3011,123)-117)))*1,0))</f>
        <v>14140</v>
      </c>
      <c r="M3011" s="11">
        <f>$E3011+2</f>
        <v>106</v>
      </c>
      <c r="N3011" s="12">
        <f>IF($J3011=0,0,ROUND(MAX($J3011*1.4*1.5,2190000*(1.580994^(MIN($E3011,123)-117)))*1,0))</f>
        <v>21210</v>
      </c>
      <c r="O3011" s="13">
        <f>$E3011+4</f>
        <v>108</v>
      </c>
      <c r="P3011" s="14">
        <f>IF($J3011=0,0,ROUND(MAX($J3011*1.4*1.5*1.6,3500000*(1.57975^(MIN($E3011,123)-117)))*1,0))</f>
        <v>33936</v>
      </c>
      <c r="Q3011" s="11">
        <f>$E3011+6</f>
        <v>110</v>
      </c>
      <c r="R3011" s="12">
        <f>IF($J3011=0,0,ROUND(MAX($J3011*1.4*1.5*1.6*1.6,13100000*(1.429962^(MIN($E3011,123)-117)))*1,0))</f>
        <v>125329</v>
      </c>
      <c r="S3011" s="13">
        <f>$E3011+8</f>
        <v>112</v>
      </c>
      <c r="T3011" s="14">
        <f>IF($J3011=0,0,ROUND(MAX($J3011*1.4*1.5*1.6*1.6*2.2,42600000*(1.576904^(MIN($E3011,123)-117)))*1,0))</f>
        <v>119455</v>
      </c>
      <c r="U3011" s="11">
        <f>$E3011+11</f>
        <v>115</v>
      </c>
      <c r="V3011" s="12">
        <f>IF($J3011=0,0,ROUND(MAX($J3011*1.4*1.5*1.6*1.6*2.2*2.715,354000000*(1.642074^(MIN($E3011,123)-117)))*1,0))</f>
        <v>560916</v>
      </c>
      <c r="W3011" s="13">
        <f>$E3011+15</f>
        <v>119</v>
      </c>
      <c r="X3011" s="14">
        <f>IF($J3011=0,0,ROUND(MAX($J3011*1.4*1.5*1.6*1.6*2.2*2.715*2.6,3540000000*(1.579646^(MIN($E3011,123)-117)))*1,0))</f>
        <v>9283810</v>
      </c>
      <c r="Y3011" s="11">
        <f>$E3011+17</f>
        <v>121</v>
      </c>
      <c r="Z3011" s="12">
        <f>IF($J3011=0,0,ROUND(MAX($J3011*1.4*1.5*1.6*1.6*2.2*2.715*2.6*1.4,6020000000*(1.651178^(MIN($E3011,123)-117)))*1,0))</f>
        <v>8877197</v>
      </c>
      <c r="AA3011" s="13">
        <f>$E3011+19</f>
        <v>123</v>
      </c>
      <c r="AB3011" s="14">
        <f>IF($J3011=0,0,ROUND(MAX($J3011*1.4*1.5*1.6*1.6*2.2*2.715*2.6*1.4*1.4,8430000000*(1.651435^(MIN($E3011,123)-117)))*1,0))</f>
        <v>12405900</v>
      </c>
      <c r="AC3011" s="11">
        <f>$E3011+21</f>
        <v>125</v>
      </c>
      <c r="AD3011" s="12">
        <f>IF($J3011=0,0,ROUND(MAX($J3011*1.4*1.5*1.6*1.6*2.2*2.715*2.6*1.4*1.4*1.5,12600000000*(1.652953^(MIN($E3011,123)-117)))*1,0))</f>
        <v>18322468</v>
      </c>
      <c r="AE3011" s="13">
        <f>$E3011+24</f>
        <v>128</v>
      </c>
      <c r="AF3011" s="14">
        <f>IF($J3011=0,0,ROUND(MAX($J3011*1.4*1.5*1.6*1.6*2.2*2.715*2.6*1.4*1.4*1.5*1.5,18900000000*(1.65331^(MIN($E3011,123)-117)))*1,0))</f>
        <v>27406653</v>
      </c>
      <c r="AG3011" s="11">
        <f>$E3011+27</f>
        <v>131</v>
      </c>
      <c r="AH3011" s="12">
        <f>IF($J3011=0,0,ROUND(MAX($J3011*1.4*1.5*1.6*1.6*2.2*2.715*2.6*1.4*1.4*1.5*1.5*3.2,60500000000*(1.654288^(MIN($E3011,123)-117)))*1,0))</f>
        <v>87058428</v>
      </c>
    </row>
    <row r="3012" ht="28" customHeight="1" spans="1:34" x14ac:dyDescent="0.25">
      <c r="A3012">
        <v>3022</v>
      </c>
      <c r="B3012" t="s">
        <v>1249</v>
      </c>
      <c r="C3012" s="10" t="s">
        <v>1673</v>
      </c>
      <c r="D3012" t="s">
        <v>33</v>
      </c>
      <c r="E3012">
        <v>104</v>
      </c>
      <c r="F3012" t="s">
        <v>26</v>
      </c>
      <c r="G3012" t="s">
        <v>171</v>
      </c>
      <c r="H3012">
        <v>22</v>
      </c>
      <c r="I3012" s="11">
        <f>$E3012+0</f>
        <v>104</v>
      </c>
      <c r="J3012" s="12">
        <v>8750</v>
      </c>
      <c r="K3012" s="13">
        <f>$E3012+1</f>
        <v>105</v>
      </c>
      <c r="L3012" s="14">
        <f>IF($J3012=0,0,ROUND(MAX($J3012*1.4,1620000*(1.497923^(MIN($E3012,123)-117)))*1,0))</f>
        <v>12250</v>
      </c>
      <c r="M3012" s="11">
        <f>$E3012+2</f>
        <v>106</v>
      </c>
      <c r="N3012" s="12">
        <f>IF($J3012=0,0,ROUND(MAX($J3012*1.4*1.5,2190000*(1.580994^(MIN($E3012,123)-117)))*1,0))</f>
        <v>18375</v>
      </c>
      <c r="O3012" s="13">
        <f>$E3012+4</f>
        <v>108</v>
      </c>
      <c r="P3012" s="14">
        <f>IF($J3012=0,0,ROUND(MAX($J3012*1.4*1.5*1.6,3500000*(1.57975^(MIN($E3012,123)-117)))*1,0))</f>
        <v>29400</v>
      </c>
      <c r="Q3012" s="11">
        <f>$E3012+6</f>
        <v>110</v>
      </c>
      <c r="R3012" s="12">
        <f>IF($J3012=0,0,ROUND(MAX($J3012*1.4*1.5*1.6*1.6,13100000*(1.429962^(MIN($E3012,123)-117)))*1,0))</f>
        <v>125329</v>
      </c>
      <c r="S3012" s="13">
        <f>$E3012+8</f>
        <v>112</v>
      </c>
      <c r="T3012" s="14">
        <f>IF($J3012=0,0,ROUND(MAX($J3012*1.4*1.5*1.6*1.6*2.2,42600000*(1.576904^(MIN($E3012,123)-117)))*1,0))</f>
        <v>114272</v>
      </c>
      <c r="U3012" s="11">
        <f>$E3012+11</f>
        <v>115</v>
      </c>
      <c r="V3012" s="12">
        <f>IF($J3012=0,0,ROUND(MAX($J3012*1.4*1.5*1.6*1.6*2.2*2.715,354000000*(1.642074^(MIN($E3012,123)-117)))*1,0))</f>
        <v>560916</v>
      </c>
      <c r="W3012" s="13">
        <f>$E3012+15</f>
        <v>119</v>
      </c>
      <c r="X3012" s="14">
        <f>IF($J3012=0,0,ROUND(MAX($J3012*1.4*1.5*1.6*1.6*2.2*2.715*2.6,3540000000*(1.579646^(MIN($E3012,123)-117)))*1,0))</f>
        <v>9283810</v>
      </c>
      <c r="Y3012" s="11">
        <f>$E3012+17</f>
        <v>121</v>
      </c>
      <c r="Z3012" s="12">
        <f>IF($J3012=0,0,ROUND(MAX($J3012*1.4*1.5*1.6*1.6*2.2*2.715*2.6*1.4,6020000000*(1.651178^(MIN($E3012,123)-117)))*1,0))</f>
        <v>8877197</v>
      </c>
      <c r="AA3012" s="13">
        <f>$E3012+19</f>
        <v>123</v>
      </c>
      <c r="AB3012" s="14">
        <f>IF($J3012=0,0,ROUND(MAX($J3012*1.4*1.5*1.6*1.6*2.2*2.715*2.6*1.4*1.4,8430000000*(1.651435^(MIN($E3012,123)-117)))*1,0))</f>
        <v>12405900</v>
      </c>
      <c r="AC3012" s="11">
        <f>$E3012+21</f>
        <v>125</v>
      </c>
      <c r="AD3012" s="12">
        <f>IF($J3012=0,0,ROUND(MAX($J3012*1.4*1.5*1.6*1.6*2.2*2.715*2.6*1.4*1.4*1.5,12600000000*(1.652953^(MIN($E3012,123)-117)))*1,0))</f>
        <v>18322468</v>
      </c>
      <c r="AE3012" s="13">
        <f>$E3012+24</f>
        <v>128</v>
      </c>
      <c r="AF3012" s="14">
        <f>IF($J3012=0,0,ROUND(MAX($J3012*1.4*1.5*1.6*1.6*2.2*2.715*2.6*1.4*1.4*1.5*1.5,18900000000*(1.65331^(MIN($E3012,123)-117)))*1,0))</f>
        <v>27406653</v>
      </c>
      <c r="AG3012" s="11">
        <f>$E3012+27</f>
        <v>131</v>
      </c>
      <c r="AH3012" s="12">
        <f>IF($J3012=0,0,ROUND(MAX($J3012*1.4*1.5*1.6*1.6*2.2*2.715*2.6*1.4*1.4*1.5*1.5*3.2,60500000000*(1.654288^(MIN($E3012,123)-117)))*1,0))</f>
        <v>87058428</v>
      </c>
    </row>
    <row r="3013" ht="28" customHeight="1" spans="1:34" x14ac:dyDescent="0.25">
      <c r="A3013">
        <v>3023</v>
      </c>
      <c r="B3013" t="s">
        <v>563</v>
      </c>
      <c r="C3013" s="10" t="s">
        <v>1673</v>
      </c>
      <c r="D3013" t="s">
        <v>64</v>
      </c>
      <c r="E3013">
        <v>104</v>
      </c>
      <c r="F3013" t="s">
        <v>30</v>
      </c>
      <c r="G3013" t="s">
        <v>95</v>
      </c>
      <c r="H3013">
        <v>22</v>
      </c>
      <c r="I3013" s="11">
        <f>$E3013+0</f>
        <v>104</v>
      </c>
      <c r="J3013" s="12">
        <v>9910</v>
      </c>
      <c r="K3013" s="13">
        <f>$E3013+1</f>
        <v>105</v>
      </c>
      <c r="L3013" s="14">
        <f>IF($J3013=0,0,ROUND(MAX($J3013*1.4,1620000*(1.497923^(MIN($E3013,123)-117)))*1,0))</f>
        <v>13874</v>
      </c>
      <c r="M3013" s="11">
        <f>$E3013+2</f>
        <v>106</v>
      </c>
      <c r="N3013" s="12">
        <f>IF($J3013=0,0,ROUND(MAX($J3013*1.4*1.5,2190000*(1.580994^(MIN($E3013,123)-117)))*1,0))</f>
        <v>20811</v>
      </c>
      <c r="O3013" s="13">
        <f>$E3013+4</f>
        <v>108</v>
      </c>
      <c r="P3013" s="14">
        <f>IF($J3013=0,0,ROUND(MAX($J3013*1.4*1.5*1.6,3500000*(1.57975^(MIN($E3013,123)-117)))*1,0))</f>
        <v>33298</v>
      </c>
      <c r="Q3013" s="11">
        <f>$E3013+6</f>
        <v>110</v>
      </c>
      <c r="R3013" s="12">
        <f>IF($J3013=0,0,ROUND(MAX($J3013*1.4*1.5*1.6*1.6,13100000*(1.429962^(MIN($E3013,123)-117)))*1,0))</f>
        <v>125329</v>
      </c>
      <c r="S3013" s="13">
        <f>$E3013+8</f>
        <v>112</v>
      </c>
      <c r="T3013" s="14">
        <f>IF($J3013=0,0,ROUND(MAX($J3013*1.4*1.5*1.6*1.6*2.2,42600000*(1.576904^(MIN($E3013,123)-117)))*1,0))</f>
        <v>117208</v>
      </c>
      <c r="U3013" s="11">
        <f>$E3013+11</f>
        <v>115</v>
      </c>
      <c r="V3013" s="12">
        <f>IF($J3013=0,0,ROUND(MAX($J3013*1.4*1.5*1.6*1.6*2.2*2.715,354000000*(1.642074^(MIN($E3013,123)-117)))*1,0))</f>
        <v>560916</v>
      </c>
      <c r="W3013" s="13">
        <f>$E3013+15</f>
        <v>119</v>
      </c>
      <c r="X3013" s="14">
        <f>IF($J3013=0,0,ROUND(MAX($J3013*1.4*1.5*1.6*1.6*2.2*2.715*2.6,3540000000*(1.579646^(MIN($E3013,123)-117)))*1,0))</f>
        <v>9283810</v>
      </c>
      <c r="Y3013" s="11">
        <f>$E3013+17</f>
        <v>121</v>
      </c>
      <c r="Z3013" s="12">
        <f>IF($J3013=0,0,ROUND(MAX($J3013*1.4*1.5*1.6*1.6*2.2*2.715*2.6*1.4,6020000000*(1.651178^(MIN($E3013,123)-117)))*1,0))</f>
        <v>8877197</v>
      </c>
      <c r="AA3013" s="13">
        <f>$E3013+19</f>
        <v>123</v>
      </c>
      <c r="AB3013" s="14">
        <f>IF($J3013=0,0,ROUND(MAX($J3013*1.4*1.5*1.6*1.6*2.2*2.715*2.6*1.4*1.4,8430000000*(1.651435^(MIN($E3013,123)-117)))*1,0))</f>
        <v>12405900</v>
      </c>
      <c r="AC3013" s="11">
        <f>$E3013+21</f>
        <v>125</v>
      </c>
      <c r="AD3013" s="12">
        <f>IF($J3013=0,0,ROUND(MAX($J3013*1.4*1.5*1.6*1.6*2.2*2.715*2.6*1.4*1.4*1.5,12600000000*(1.652953^(MIN($E3013,123)-117)))*1,0))</f>
        <v>18322468</v>
      </c>
      <c r="AE3013" s="13">
        <f>$E3013+24</f>
        <v>128</v>
      </c>
      <c r="AF3013" s="14">
        <f>IF($J3013=0,0,ROUND(MAX($J3013*1.4*1.5*1.6*1.6*2.2*2.715*2.6*1.4*1.4*1.5*1.5,18900000000*(1.65331^(MIN($E3013,123)-117)))*1,0))</f>
        <v>27406653</v>
      </c>
      <c r="AG3013" s="11">
        <f>$E3013+27</f>
        <v>131</v>
      </c>
      <c r="AH3013" s="12">
        <f>IF($J3013=0,0,ROUND(MAX($J3013*1.4*1.5*1.6*1.6*2.2*2.715*2.6*1.4*1.4*1.5*1.5*3.2,60500000000*(1.654288^(MIN($E3013,123)-117)))*1,0))</f>
        <v>87058428</v>
      </c>
    </row>
    <row r="3014" ht="28" customHeight="1" spans="1:34" x14ac:dyDescent="0.25">
      <c r="A3014">
        <v>3024</v>
      </c>
      <c r="B3014" t="s">
        <v>1684</v>
      </c>
      <c r="C3014" s="10" t="s">
        <v>1673</v>
      </c>
      <c r="D3014" t="s">
        <v>40</v>
      </c>
      <c r="E3014">
        <v>104</v>
      </c>
      <c r="F3014" t="s">
        <v>62</v>
      </c>
      <c r="G3014" t="s">
        <v>595</v>
      </c>
      <c r="H3014">
        <v>22</v>
      </c>
      <c r="I3014" s="11">
        <f>$E3014+0</f>
        <v>104</v>
      </c>
      <c r="J3014" s="12">
        <v>8060</v>
      </c>
      <c r="K3014" s="13">
        <f>$E3014+1</f>
        <v>105</v>
      </c>
      <c r="L3014" s="14">
        <f>IF($J3014=0,0,ROUND(MAX($J3014*1.4,1620000*(1.497923^(MIN($E3014,123)-117)))*1,0))</f>
        <v>11284</v>
      </c>
      <c r="M3014" s="11">
        <f>$E3014+2</f>
        <v>106</v>
      </c>
      <c r="N3014" s="12">
        <f>IF($J3014=0,0,ROUND(MAX($J3014*1.4*1.5,2190000*(1.580994^(MIN($E3014,123)-117)))*1,0))</f>
        <v>16926</v>
      </c>
      <c r="O3014" s="13">
        <f>$E3014+4</f>
        <v>108</v>
      </c>
      <c r="P3014" s="14">
        <f>IF($J3014=0,0,ROUND(MAX($J3014*1.4*1.5*1.6,3500000*(1.57975^(MIN($E3014,123)-117)))*1,0))</f>
        <v>27082</v>
      </c>
      <c r="Q3014" s="11">
        <f>$E3014+6</f>
        <v>110</v>
      </c>
      <c r="R3014" s="12">
        <f>IF($J3014=0,0,ROUND(MAX($J3014*1.4*1.5*1.6*1.6,13100000*(1.429962^(MIN($E3014,123)-117)))*1,0))</f>
        <v>125329</v>
      </c>
      <c r="S3014" s="13">
        <f>$E3014+8</f>
        <v>112</v>
      </c>
      <c r="T3014" s="14">
        <f>IF($J3014=0,0,ROUND(MAX($J3014*1.4*1.5*1.6*1.6*2.2,42600000*(1.576904^(MIN($E3014,123)-117)))*1,0))</f>
        <v>114272</v>
      </c>
      <c r="U3014" s="11">
        <f>$E3014+11</f>
        <v>115</v>
      </c>
      <c r="V3014" s="12">
        <f>IF($J3014=0,0,ROUND(MAX($J3014*1.4*1.5*1.6*1.6*2.2*2.715,354000000*(1.642074^(MIN($E3014,123)-117)))*1,0))</f>
        <v>560916</v>
      </c>
      <c r="W3014" s="13">
        <f>$E3014+15</f>
        <v>119</v>
      </c>
      <c r="X3014" s="14">
        <f>IF($J3014=0,0,ROUND(MAX($J3014*1.4*1.5*1.6*1.6*2.2*2.715*2.6,3540000000*(1.579646^(MIN($E3014,123)-117)))*1,0))</f>
        <v>9283810</v>
      </c>
      <c r="Y3014" s="11">
        <f>$E3014+17</f>
        <v>121</v>
      </c>
      <c r="Z3014" s="12">
        <f>IF($J3014=0,0,ROUND(MAX($J3014*1.4*1.5*1.6*1.6*2.2*2.715*2.6*1.4,6020000000*(1.651178^(MIN($E3014,123)-117)))*1,0))</f>
        <v>8877197</v>
      </c>
      <c r="AA3014" s="13">
        <f>$E3014+19</f>
        <v>123</v>
      </c>
      <c r="AB3014" s="14">
        <f>IF($J3014=0,0,ROUND(MAX($J3014*1.4*1.5*1.6*1.6*2.2*2.715*2.6*1.4*1.4,8430000000*(1.651435^(MIN($E3014,123)-117)))*1,0))</f>
        <v>12405900</v>
      </c>
      <c r="AC3014" s="11">
        <f>$E3014+21</f>
        <v>125</v>
      </c>
      <c r="AD3014" s="12">
        <f>IF($J3014=0,0,ROUND(MAX($J3014*1.4*1.5*1.6*1.6*2.2*2.715*2.6*1.4*1.4*1.5,12600000000*(1.652953^(MIN($E3014,123)-117)))*1,0))</f>
        <v>18322468</v>
      </c>
      <c r="AE3014" s="13">
        <f>$E3014+24</f>
        <v>128</v>
      </c>
      <c r="AF3014" s="14">
        <f>IF($J3014=0,0,ROUND(MAX($J3014*1.4*1.5*1.6*1.6*2.2*2.715*2.6*1.4*1.4*1.5*1.5,18900000000*(1.65331^(MIN($E3014,123)-117)))*1,0))</f>
        <v>27406653</v>
      </c>
      <c r="AG3014" s="11">
        <f>$E3014+27</f>
        <v>131</v>
      </c>
      <c r="AH3014" s="12">
        <f>IF($J3014=0,0,ROUND(MAX($J3014*1.4*1.5*1.6*1.6*2.2*2.715*2.6*1.4*1.4*1.5*1.5*3.2,60500000000*(1.654288^(MIN($E3014,123)-117)))*1,0))</f>
        <v>87058428</v>
      </c>
    </row>
    <row r="3015" ht="28" customHeight="1" spans="1:34" x14ac:dyDescent="0.25">
      <c r="A3015">
        <v>3025</v>
      </c>
      <c r="B3015" t="s">
        <v>1253</v>
      </c>
      <c r="C3015" s="10" t="s">
        <v>1673</v>
      </c>
      <c r="D3015" t="s">
        <v>79</v>
      </c>
      <c r="E3015">
        <v>104</v>
      </c>
      <c r="F3015" t="s">
        <v>62</v>
      </c>
      <c r="G3015" t="s">
        <v>200</v>
      </c>
      <c r="H3015">
        <v>22</v>
      </c>
      <c r="I3015" s="11">
        <f>$E3015+0</f>
        <v>104</v>
      </c>
      <c r="J3015" s="12">
        <v>8690</v>
      </c>
      <c r="K3015" s="13">
        <f>$E3015+1</f>
        <v>105</v>
      </c>
      <c r="L3015" s="14">
        <f>IF($J3015=0,0,ROUND(MAX($J3015*1.4,1620000*(1.497923^(MIN($E3015,123)-117)))*1,0))</f>
        <v>12166</v>
      </c>
      <c r="M3015" s="11">
        <f>$E3015+2</f>
        <v>106</v>
      </c>
      <c r="N3015" s="12">
        <f>IF($J3015=0,0,ROUND(MAX($J3015*1.4*1.5,2190000*(1.580994^(MIN($E3015,123)-117)))*1,0))</f>
        <v>18249</v>
      </c>
      <c r="O3015" s="13">
        <f>$E3015+4</f>
        <v>108</v>
      </c>
      <c r="P3015" s="14">
        <f>IF($J3015=0,0,ROUND(MAX($J3015*1.4*1.5*1.6,3500000*(1.57975^(MIN($E3015,123)-117)))*1,0))</f>
        <v>29198</v>
      </c>
      <c r="Q3015" s="11">
        <f>$E3015+6</f>
        <v>110</v>
      </c>
      <c r="R3015" s="12">
        <f>IF($J3015=0,0,ROUND(MAX($J3015*1.4*1.5*1.6*1.6,13100000*(1.429962^(MIN($E3015,123)-117)))*1,0))</f>
        <v>125329</v>
      </c>
      <c r="S3015" s="13">
        <f>$E3015+8</f>
        <v>112</v>
      </c>
      <c r="T3015" s="14">
        <f>IF($J3015=0,0,ROUND(MAX($J3015*1.4*1.5*1.6*1.6*2.2,42600000*(1.576904^(MIN($E3015,123)-117)))*1,0))</f>
        <v>114272</v>
      </c>
      <c r="U3015" s="11">
        <f>$E3015+11</f>
        <v>115</v>
      </c>
      <c r="V3015" s="12">
        <f>IF($J3015=0,0,ROUND(MAX($J3015*1.4*1.5*1.6*1.6*2.2*2.715,354000000*(1.642074^(MIN($E3015,123)-117)))*1,0))</f>
        <v>560916</v>
      </c>
      <c r="W3015" s="13">
        <f>$E3015+15</f>
        <v>119</v>
      </c>
      <c r="X3015" s="14">
        <f>IF($J3015=0,0,ROUND(MAX($J3015*1.4*1.5*1.6*1.6*2.2*2.715*2.6,3540000000*(1.579646^(MIN($E3015,123)-117)))*1,0))</f>
        <v>9283810</v>
      </c>
      <c r="Y3015" s="11">
        <f>$E3015+17</f>
        <v>121</v>
      </c>
      <c r="Z3015" s="12">
        <f>IF($J3015=0,0,ROUND(MAX($J3015*1.4*1.5*1.6*1.6*2.2*2.715*2.6*1.4,6020000000*(1.651178^(MIN($E3015,123)-117)))*1,0))</f>
        <v>8877197</v>
      </c>
      <c r="AA3015" s="13">
        <f>$E3015+19</f>
        <v>123</v>
      </c>
      <c r="AB3015" s="14">
        <f>IF($J3015=0,0,ROUND(MAX($J3015*1.4*1.5*1.6*1.6*2.2*2.715*2.6*1.4*1.4,8430000000*(1.651435^(MIN($E3015,123)-117)))*1,0))</f>
        <v>12405900</v>
      </c>
      <c r="AC3015" s="11">
        <f>$E3015+21</f>
        <v>125</v>
      </c>
      <c r="AD3015" s="12">
        <f>IF($J3015=0,0,ROUND(MAX($J3015*1.4*1.5*1.6*1.6*2.2*2.715*2.6*1.4*1.4*1.5,12600000000*(1.652953^(MIN($E3015,123)-117)))*1,0))</f>
        <v>18322468</v>
      </c>
      <c r="AE3015" s="13">
        <f>$E3015+24</f>
        <v>128</v>
      </c>
      <c r="AF3015" s="14">
        <f>IF($J3015=0,0,ROUND(MAX($J3015*1.4*1.5*1.6*1.6*2.2*2.715*2.6*1.4*1.4*1.5*1.5,18900000000*(1.65331^(MIN($E3015,123)-117)))*1,0))</f>
        <v>27406653</v>
      </c>
      <c r="AG3015" s="11">
        <f>$E3015+27</f>
        <v>131</v>
      </c>
      <c r="AH3015" s="12">
        <f>IF($J3015=0,0,ROUND(MAX($J3015*1.4*1.5*1.6*1.6*2.2*2.715*2.6*1.4*1.4*1.5*1.5*3.2,60500000000*(1.654288^(MIN($E3015,123)-117)))*1,0))</f>
        <v>87058428</v>
      </c>
    </row>
    <row r="3016" ht="28" customHeight="1" spans="1:34" x14ac:dyDescent="0.25">
      <c r="A3016">
        <v>3026</v>
      </c>
      <c r="B3016" t="s">
        <v>1127</v>
      </c>
      <c r="C3016" s="10" t="s">
        <v>1673</v>
      </c>
      <c r="D3016" t="s">
        <v>64</v>
      </c>
      <c r="E3016">
        <v>104</v>
      </c>
      <c r="F3016" t="s">
        <v>26</v>
      </c>
      <c r="G3016" t="s">
        <v>1128</v>
      </c>
      <c r="H3016">
        <v>22</v>
      </c>
      <c r="I3016" s="11">
        <f>$E3016+0</f>
        <v>104</v>
      </c>
      <c r="J3016" s="12">
        <v>7720</v>
      </c>
      <c r="K3016" s="13">
        <f>$E3016+1</f>
        <v>105</v>
      </c>
      <c r="L3016" s="14">
        <f>IF($J3016=0,0,ROUND(MAX($J3016*1.4,1620000*(1.497923^(MIN($E3016,123)-117)))*1,0))</f>
        <v>10808</v>
      </c>
      <c r="M3016" s="11">
        <f>$E3016+2</f>
        <v>106</v>
      </c>
      <c r="N3016" s="12">
        <f>IF($J3016=0,0,ROUND(MAX($J3016*1.4*1.5,2190000*(1.580994^(MIN($E3016,123)-117)))*1,0))</f>
        <v>16212</v>
      </c>
      <c r="O3016" s="13">
        <f>$E3016+4</f>
        <v>108</v>
      </c>
      <c r="P3016" s="14">
        <f>IF($J3016=0,0,ROUND(MAX($J3016*1.4*1.5*1.6,3500000*(1.57975^(MIN($E3016,123)-117)))*1,0))</f>
        <v>25939</v>
      </c>
      <c r="Q3016" s="11">
        <f>$E3016+6</f>
        <v>110</v>
      </c>
      <c r="R3016" s="12">
        <f>IF($J3016=0,0,ROUND(MAX($J3016*1.4*1.5*1.6*1.6,13100000*(1.429962^(MIN($E3016,123)-117)))*1,0))</f>
        <v>125329</v>
      </c>
      <c r="S3016" s="13">
        <f>$E3016+8</f>
        <v>112</v>
      </c>
      <c r="T3016" s="14">
        <f>IF($J3016=0,0,ROUND(MAX($J3016*1.4*1.5*1.6*1.6*2.2,42600000*(1.576904^(MIN($E3016,123)-117)))*1,0))</f>
        <v>114272</v>
      </c>
      <c r="U3016" s="11">
        <f>$E3016+11</f>
        <v>115</v>
      </c>
      <c r="V3016" s="12">
        <f>IF($J3016=0,0,ROUND(MAX($J3016*1.4*1.5*1.6*1.6*2.2*2.715,354000000*(1.642074^(MIN($E3016,123)-117)))*1,0))</f>
        <v>560916</v>
      </c>
      <c r="W3016" s="13">
        <f>$E3016+15</f>
        <v>119</v>
      </c>
      <c r="X3016" s="14">
        <f>IF($J3016=0,0,ROUND(MAX($J3016*1.4*1.5*1.6*1.6*2.2*2.715*2.6,3540000000*(1.579646^(MIN($E3016,123)-117)))*1,0))</f>
        <v>9283810</v>
      </c>
      <c r="Y3016" s="11">
        <f>$E3016+17</f>
        <v>121</v>
      </c>
      <c r="Z3016" s="12">
        <f>IF($J3016=0,0,ROUND(MAX($J3016*1.4*1.5*1.6*1.6*2.2*2.715*2.6*1.4,6020000000*(1.651178^(MIN($E3016,123)-117)))*1,0))</f>
        <v>8877197</v>
      </c>
      <c r="AA3016" s="13">
        <f>$E3016+19</f>
        <v>123</v>
      </c>
      <c r="AB3016" s="14">
        <f>IF($J3016=0,0,ROUND(MAX($J3016*1.4*1.5*1.6*1.6*2.2*2.715*2.6*1.4*1.4,8430000000*(1.651435^(MIN($E3016,123)-117)))*1,0))</f>
        <v>12405900</v>
      </c>
      <c r="AC3016" s="11">
        <f>$E3016+21</f>
        <v>125</v>
      </c>
      <c r="AD3016" s="12">
        <f>IF($J3016=0,0,ROUND(MAX($J3016*1.4*1.5*1.6*1.6*2.2*2.715*2.6*1.4*1.4*1.5,12600000000*(1.652953^(MIN($E3016,123)-117)))*1,0))</f>
        <v>18322468</v>
      </c>
      <c r="AE3016" s="13">
        <f>$E3016+24</f>
        <v>128</v>
      </c>
      <c r="AF3016" s="14">
        <f>IF($J3016=0,0,ROUND(MAX($J3016*1.4*1.5*1.6*1.6*2.2*2.715*2.6*1.4*1.4*1.5*1.5,18900000000*(1.65331^(MIN($E3016,123)-117)))*1,0))</f>
        <v>27406653</v>
      </c>
      <c r="AG3016" s="11">
        <f>$E3016+27</f>
        <v>131</v>
      </c>
      <c r="AH3016" s="12">
        <f>IF($J3016=0,0,ROUND(MAX($J3016*1.4*1.5*1.6*1.6*2.2*2.715*2.6*1.4*1.4*1.5*1.5*3.2,60500000000*(1.654288^(MIN($E3016,123)-117)))*1,0))</f>
        <v>87058428</v>
      </c>
    </row>
    <row r="3017" ht="28" customHeight="1" spans="1:34" x14ac:dyDescent="0.25">
      <c r="A3017">
        <v>3027</v>
      </c>
      <c r="B3017" t="s">
        <v>679</v>
      </c>
      <c r="C3017" s="10" t="s">
        <v>1673</v>
      </c>
      <c r="D3017" t="s">
        <v>33</v>
      </c>
      <c r="E3017">
        <v>103</v>
      </c>
      <c r="F3017" t="s">
        <v>123</v>
      </c>
      <c r="G3017" t="s">
        <v>35</v>
      </c>
      <c r="H3017">
        <v>22</v>
      </c>
      <c r="I3017" s="11">
        <f>$E3017+0</f>
        <v>103</v>
      </c>
      <c r="J3017" s="12">
        <v>21700</v>
      </c>
      <c r="K3017" s="13">
        <f>$E3017+1</f>
        <v>104</v>
      </c>
      <c r="L3017" s="14">
        <f>IF($J3017=0,0,ROUND(MAX($J3017*1.4,1620000*(1.497923^(MIN($E3017,123)-117)))*1,0))</f>
        <v>30380</v>
      </c>
      <c r="M3017" s="11">
        <f>$E3017+2</f>
        <v>105</v>
      </c>
      <c r="N3017" s="12">
        <f>IF($J3017=0,0,ROUND(MAX($J3017*1.4*1.5,2190000*(1.580994^(MIN($E3017,123)-117)))*1,0))</f>
        <v>45570</v>
      </c>
      <c r="O3017" s="13">
        <f>$E3017+4</f>
        <v>107</v>
      </c>
      <c r="P3017" s="14">
        <f>IF($J3017=0,0,ROUND(MAX($J3017*1.4*1.5*1.6,3500000*(1.57975^(MIN($E3017,123)-117)))*1,0))</f>
        <v>72912</v>
      </c>
      <c r="Q3017" s="11">
        <f>$E3017+6</f>
        <v>109</v>
      </c>
      <c r="R3017" s="12">
        <f>IF($J3017=0,0,ROUND(MAX($J3017*1.4*1.5*1.6*1.6,13100000*(1.429962^(MIN($E3017,123)-117)))*1,0))</f>
        <v>116659</v>
      </c>
      <c r="S3017" s="13">
        <f>$E3017+8</f>
        <v>111</v>
      </c>
      <c r="T3017" s="14">
        <f>IF($J3017=0,0,ROUND(MAX($J3017*1.4*1.5*1.6*1.6*2.2,42600000*(1.576904^(MIN($E3017,123)-117)))*1,0))</f>
        <v>256650</v>
      </c>
      <c r="U3017" s="11">
        <f>$E3017+11</f>
        <v>114</v>
      </c>
      <c r="V3017" s="12">
        <f>IF($J3017=0,0,ROUND(MAX($J3017*1.4*1.5*1.6*1.6*2.2*2.715,354000000*(1.642074^(MIN($E3017,123)-117)))*1,0))</f>
        <v>696805</v>
      </c>
      <c r="W3017" s="13">
        <f>$E3017+15</f>
        <v>118</v>
      </c>
      <c r="X3017" s="14">
        <f>IF($J3017=0,0,ROUND(MAX($J3017*1.4*1.5*1.6*1.6*2.2*2.715*2.6,3540000000*(1.579646^(MIN($E3017,123)-117)))*1,0))</f>
        <v>5877146</v>
      </c>
      <c r="Y3017" s="11">
        <f>$E3017+17</f>
        <v>120</v>
      </c>
      <c r="Z3017" s="12">
        <f>IF($J3017=0,0,ROUND(MAX($J3017*1.4*1.5*1.6*1.6*2.2*2.715*2.6*1.4,6020000000*(1.651178^(MIN($E3017,123)-117)))*1,0))</f>
        <v>5376281</v>
      </c>
      <c r="AA3017" s="13">
        <f>$E3017+19</f>
        <v>122</v>
      </c>
      <c r="AB3017" s="14">
        <f>IF($J3017=0,0,ROUND(MAX($J3017*1.4*1.5*1.6*1.6*2.2*2.715*2.6*1.4*1.4,8430000000*(1.651435^(MIN($E3017,123)-117)))*1,0))</f>
        <v>7512194</v>
      </c>
      <c r="AC3017" s="11">
        <f>$E3017+21</f>
        <v>124</v>
      </c>
      <c r="AD3017" s="12">
        <f>IF($J3017=0,0,ROUND(MAX($J3017*1.4*1.5*1.6*1.6*2.2*2.715*2.6*1.4*1.4*1.5,12600000000*(1.652953^(MIN($E3017,123)-117)))*1,0))</f>
        <v>11084688</v>
      </c>
      <c r="AE3017" s="13">
        <f>$E3017+24</f>
        <v>127</v>
      </c>
      <c r="AF3017" s="14">
        <f>IF($J3017=0,0,ROUND(MAX($J3017*1.4*1.5*1.6*1.6*2.2*2.715*2.6*1.4*1.4*1.5*1.5,18900000000*(1.65331^(MIN($E3017,123)-117)))*1,0))</f>
        <v>16576839</v>
      </c>
      <c r="AG3017" s="11">
        <f>$E3017+27</f>
        <v>130</v>
      </c>
      <c r="AH3017" s="12">
        <f>IF($J3017=0,0,ROUND(MAX($J3017*1.4*1.5*1.6*1.6*2.2*2.715*2.6*1.4*1.4*1.5*1.5*3.2,60500000000*(1.654288^(MIN($E3017,123)-117)))*1,0))</f>
        <v>52625920</v>
      </c>
    </row>
    <row r="3018" ht="28" customHeight="1" spans="1:34" x14ac:dyDescent="0.25">
      <c r="A3018">
        <v>3028</v>
      </c>
      <c r="B3018" t="s">
        <v>1685</v>
      </c>
      <c r="C3018" s="10" t="s">
        <v>1673</v>
      </c>
      <c r="D3018" t="s">
        <v>102</v>
      </c>
      <c r="E3018">
        <v>103</v>
      </c>
      <c r="F3018" t="s">
        <v>97</v>
      </c>
      <c r="G3018" t="s">
        <v>801</v>
      </c>
      <c r="H3018">
        <v>22</v>
      </c>
      <c r="I3018" s="11">
        <f>$E3018+0</f>
        <v>103</v>
      </c>
      <c r="J3018" s="12">
        <v>6310</v>
      </c>
      <c r="K3018" s="13">
        <f>$E3018+1</f>
        <v>104</v>
      </c>
      <c r="L3018" s="14">
        <f>IF($J3018=0,0,ROUND(MAX($J3018*1.4,1620000*(1.497923^(MIN($E3018,123)-117)))*1,0))</f>
        <v>8834</v>
      </c>
      <c r="M3018" s="11">
        <f>$E3018+2</f>
        <v>105</v>
      </c>
      <c r="N3018" s="12">
        <f>IF($J3018=0,0,ROUND(MAX($J3018*1.4*1.5,2190000*(1.580994^(MIN($E3018,123)-117)))*1,0))</f>
        <v>13251</v>
      </c>
      <c r="O3018" s="13">
        <f>$E3018+4</f>
        <v>107</v>
      </c>
      <c r="P3018" s="14">
        <f>IF($J3018=0,0,ROUND(MAX($J3018*1.4*1.5*1.6,3500000*(1.57975^(MIN($E3018,123)-117)))*1,0))</f>
        <v>21202</v>
      </c>
      <c r="Q3018" s="11">
        <f>$E3018+6</f>
        <v>109</v>
      </c>
      <c r="R3018" s="12">
        <f>IF($J3018=0,0,ROUND(MAX($J3018*1.4*1.5*1.6*1.6,13100000*(1.429962^(MIN($E3018,123)-117)))*1,0))</f>
        <v>87645</v>
      </c>
      <c r="S3018" s="13">
        <f>$E3018+8</f>
        <v>111</v>
      </c>
      <c r="T3018" s="14">
        <f>IF($J3018=0,0,ROUND(MAX($J3018*1.4*1.5*1.6*1.6*2.2,42600000*(1.576904^(MIN($E3018,123)-117)))*1,0))</f>
        <v>74630</v>
      </c>
      <c r="U3018" s="11">
        <f>$E3018+11</f>
        <v>114</v>
      </c>
      <c r="V3018" s="12">
        <f>IF($J3018=0,0,ROUND(MAX($J3018*1.4*1.5*1.6*1.6*2.2*2.715,354000000*(1.642074^(MIN($E3018,123)-117)))*1,0))</f>
        <v>341590</v>
      </c>
      <c r="W3018" s="13">
        <f>$E3018+15</f>
        <v>118</v>
      </c>
      <c r="X3018" s="14">
        <f>IF($J3018=0,0,ROUND(MAX($J3018*1.4*1.5*1.6*1.6*2.2*2.715*2.6,3540000000*(1.579646^(MIN($E3018,123)-117)))*1,0))</f>
        <v>5877146</v>
      </c>
      <c r="Y3018" s="11">
        <f>$E3018+17</f>
        <v>120</v>
      </c>
      <c r="Z3018" s="12">
        <f>IF($J3018=0,0,ROUND(MAX($J3018*1.4*1.5*1.6*1.6*2.2*2.715*2.6*1.4,6020000000*(1.651178^(MIN($E3018,123)-117)))*1,0))</f>
        <v>5376281</v>
      </c>
      <c r="AA3018" s="13">
        <f>$E3018+19</f>
        <v>122</v>
      </c>
      <c r="AB3018" s="14">
        <f>IF($J3018=0,0,ROUND(MAX($J3018*1.4*1.5*1.6*1.6*2.2*2.715*2.6*1.4*1.4,8430000000*(1.651435^(MIN($E3018,123)-117)))*1,0))</f>
        <v>7512194</v>
      </c>
      <c r="AC3018" s="11">
        <f>$E3018+21</f>
        <v>124</v>
      </c>
      <c r="AD3018" s="12">
        <f>IF($J3018=0,0,ROUND(MAX($J3018*1.4*1.5*1.6*1.6*2.2*2.715*2.6*1.4*1.4*1.5,12600000000*(1.652953^(MIN($E3018,123)-117)))*1,0))</f>
        <v>11084688</v>
      </c>
      <c r="AE3018" s="13">
        <f>$E3018+24</f>
        <v>127</v>
      </c>
      <c r="AF3018" s="14">
        <f>IF($J3018=0,0,ROUND(MAX($J3018*1.4*1.5*1.6*1.6*2.2*2.715*2.6*1.4*1.4*1.5*1.5,18900000000*(1.65331^(MIN($E3018,123)-117)))*1,0))</f>
        <v>16576839</v>
      </c>
      <c r="AG3018" s="11">
        <f>$E3018+27</f>
        <v>130</v>
      </c>
      <c r="AH3018" s="12">
        <f>IF($J3018=0,0,ROUND(MAX($J3018*1.4*1.5*1.6*1.6*2.2*2.715*2.6*1.4*1.4*1.5*1.5*3.2,60500000000*(1.654288^(MIN($E3018,123)-117)))*1,0))</f>
        <v>52625920</v>
      </c>
    </row>
    <row r="3019" ht="28" customHeight="1" spans="1:34" x14ac:dyDescent="0.25">
      <c r="A3019">
        <v>3029</v>
      </c>
      <c r="B3019" t="s">
        <v>1686</v>
      </c>
      <c r="C3019" s="10" t="s">
        <v>1673</v>
      </c>
      <c r="D3019" t="s">
        <v>40</v>
      </c>
      <c r="E3019">
        <v>103</v>
      </c>
      <c r="F3019" t="s">
        <v>217</v>
      </c>
      <c r="G3019" t="s">
        <v>801</v>
      </c>
      <c r="H3019">
        <v>22</v>
      </c>
      <c r="I3019" s="11">
        <f>$E3019+0</f>
        <v>103</v>
      </c>
      <c r="J3019" s="12">
        <v>4860</v>
      </c>
      <c r="K3019" s="13">
        <f>$E3019+1</f>
        <v>104</v>
      </c>
      <c r="L3019" s="14">
        <f>IF($J3019=0,0,ROUND(MAX($J3019*1.4,1620000*(1.497923^(MIN($E3019,123)-117)))*1,0))</f>
        <v>6804</v>
      </c>
      <c r="M3019" s="11">
        <f>$E3019+2</f>
        <v>105</v>
      </c>
      <c r="N3019" s="12">
        <f>IF($J3019=0,0,ROUND(MAX($J3019*1.4*1.5,2190000*(1.580994^(MIN($E3019,123)-117)))*1,0))</f>
        <v>10206</v>
      </c>
      <c r="O3019" s="13">
        <f>$E3019+4</f>
        <v>107</v>
      </c>
      <c r="P3019" s="14">
        <f>IF($J3019=0,0,ROUND(MAX($J3019*1.4*1.5*1.6,3500000*(1.57975^(MIN($E3019,123)-117)))*1,0))</f>
        <v>16330</v>
      </c>
      <c r="Q3019" s="11">
        <f>$E3019+6</f>
        <v>109</v>
      </c>
      <c r="R3019" s="12">
        <f>IF($J3019=0,0,ROUND(MAX($J3019*1.4*1.5*1.6*1.6,13100000*(1.429962^(MIN($E3019,123)-117)))*1,0))</f>
        <v>87645</v>
      </c>
      <c r="S3019" s="13">
        <f>$E3019+8</f>
        <v>111</v>
      </c>
      <c r="T3019" s="14">
        <f>IF($J3019=0,0,ROUND(MAX($J3019*1.4*1.5*1.6*1.6*2.2,42600000*(1.576904^(MIN($E3019,123)-117)))*1,0))</f>
        <v>72466</v>
      </c>
      <c r="U3019" s="11">
        <f>$E3019+11</f>
        <v>114</v>
      </c>
      <c r="V3019" s="12">
        <f>IF($J3019=0,0,ROUND(MAX($J3019*1.4*1.5*1.6*1.6*2.2*2.715,354000000*(1.642074^(MIN($E3019,123)-117)))*1,0))</f>
        <v>341590</v>
      </c>
      <c r="W3019" s="13">
        <f>$E3019+15</f>
        <v>118</v>
      </c>
      <c r="X3019" s="14">
        <f>IF($J3019=0,0,ROUND(MAX($J3019*1.4*1.5*1.6*1.6*2.2*2.715*2.6,3540000000*(1.579646^(MIN($E3019,123)-117)))*1,0))</f>
        <v>5877146</v>
      </c>
      <c r="Y3019" s="11">
        <f>$E3019+17</f>
        <v>120</v>
      </c>
      <c r="Z3019" s="12">
        <f>IF($J3019=0,0,ROUND(MAX($J3019*1.4*1.5*1.6*1.6*2.2*2.715*2.6*1.4,6020000000*(1.651178^(MIN($E3019,123)-117)))*1,0))</f>
        <v>5376281</v>
      </c>
      <c r="AA3019" s="13">
        <f>$E3019+19</f>
        <v>122</v>
      </c>
      <c r="AB3019" s="14">
        <f>IF($J3019=0,0,ROUND(MAX($J3019*1.4*1.5*1.6*1.6*2.2*2.715*2.6*1.4*1.4,8430000000*(1.651435^(MIN($E3019,123)-117)))*1,0))</f>
        <v>7512194</v>
      </c>
      <c r="AC3019" s="11">
        <f>$E3019+21</f>
        <v>124</v>
      </c>
      <c r="AD3019" s="12">
        <f>IF($J3019=0,0,ROUND(MAX($J3019*1.4*1.5*1.6*1.6*2.2*2.715*2.6*1.4*1.4*1.5,12600000000*(1.652953^(MIN($E3019,123)-117)))*1,0))</f>
        <v>11084688</v>
      </c>
      <c r="AE3019" s="13">
        <f>$E3019+24</f>
        <v>127</v>
      </c>
      <c r="AF3019" s="14">
        <f>IF($J3019=0,0,ROUND(MAX($J3019*1.4*1.5*1.6*1.6*2.2*2.715*2.6*1.4*1.4*1.5*1.5,18900000000*(1.65331^(MIN($E3019,123)-117)))*1,0))</f>
        <v>16576839</v>
      </c>
      <c r="AG3019" s="11">
        <f>$E3019+27</f>
        <v>130</v>
      </c>
      <c r="AH3019" s="12">
        <f>IF($J3019=0,0,ROUND(MAX($J3019*1.4*1.5*1.6*1.6*2.2*2.715*2.6*1.4*1.4*1.5*1.5*3.2,60500000000*(1.654288^(MIN($E3019,123)-117)))*1,0))</f>
        <v>52625920</v>
      </c>
    </row>
    <row r="3020" ht="28" customHeight="1" spans="1:34" x14ac:dyDescent="0.25">
      <c r="A3020">
        <v>3030</v>
      </c>
      <c r="B3020" t="s">
        <v>728</v>
      </c>
      <c r="C3020" s="10" t="s">
        <v>1673</v>
      </c>
      <c r="D3020" t="s">
        <v>40</v>
      </c>
      <c r="E3020">
        <v>103</v>
      </c>
      <c r="F3020" t="s">
        <v>267</v>
      </c>
      <c r="G3020" t="s">
        <v>729</v>
      </c>
      <c r="H3020">
        <v>22</v>
      </c>
      <c r="I3020" s="11">
        <f>$E3020+0</f>
        <v>103</v>
      </c>
      <c r="J3020" s="12">
        <v>5680</v>
      </c>
      <c r="K3020" s="13">
        <f>$E3020+1</f>
        <v>104</v>
      </c>
      <c r="L3020" s="14">
        <f>IF($J3020=0,0,ROUND(MAX($J3020*1.4,1620000*(1.497923^(MIN($E3020,123)-117)))*1,0))</f>
        <v>7952</v>
      </c>
      <c r="M3020" s="11">
        <f>$E3020+2</f>
        <v>105</v>
      </c>
      <c r="N3020" s="12">
        <f>IF($J3020=0,0,ROUND(MAX($J3020*1.4*1.5,2190000*(1.580994^(MIN($E3020,123)-117)))*1,0))</f>
        <v>11928</v>
      </c>
      <c r="O3020" s="13">
        <f>$E3020+4</f>
        <v>107</v>
      </c>
      <c r="P3020" s="14">
        <f>IF($J3020=0,0,ROUND(MAX($J3020*1.4*1.5*1.6,3500000*(1.57975^(MIN($E3020,123)-117)))*1,0))</f>
        <v>19085</v>
      </c>
      <c r="Q3020" s="11">
        <f>$E3020+6</f>
        <v>109</v>
      </c>
      <c r="R3020" s="12">
        <f>IF($J3020=0,0,ROUND(MAX($J3020*1.4*1.5*1.6*1.6,13100000*(1.429962^(MIN($E3020,123)-117)))*1,0))</f>
        <v>87645</v>
      </c>
      <c r="S3020" s="13">
        <f>$E3020+8</f>
        <v>111</v>
      </c>
      <c r="T3020" s="14">
        <f>IF($J3020=0,0,ROUND(MAX($J3020*1.4*1.5*1.6*1.6*2.2,42600000*(1.576904^(MIN($E3020,123)-117)))*1,0))</f>
        <v>72466</v>
      </c>
      <c r="U3020" s="11">
        <f>$E3020+11</f>
        <v>114</v>
      </c>
      <c r="V3020" s="12">
        <f>IF($J3020=0,0,ROUND(MAX($J3020*1.4*1.5*1.6*1.6*2.2*2.715,354000000*(1.642074^(MIN($E3020,123)-117)))*1,0))</f>
        <v>341590</v>
      </c>
      <c r="W3020" s="13">
        <f>$E3020+15</f>
        <v>118</v>
      </c>
      <c r="X3020" s="14">
        <f>IF($J3020=0,0,ROUND(MAX($J3020*1.4*1.5*1.6*1.6*2.2*2.715*2.6,3540000000*(1.579646^(MIN($E3020,123)-117)))*1,0))</f>
        <v>5877146</v>
      </c>
      <c r="Y3020" s="11">
        <f>$E3020+17</f>
        <v>120</v>
      </c>
      <c r="Z3020" s="12">
        <f>IF($J3020=0,0,ROUND(MAX($J3020*1.4*1.5*1.6*1.6*2.2*2.715*2.6*1.4,6020000000*(1.651178^(MIN($E3020,123)-117)))*1,0))</f>
        <v>5376281</v>
      </c>
      <c r="AA3020" s="13">
        <f>$E3020+19</f>
        <v>122</v>
      </c>
      <c r="AB3020" s="14">
        <f>IF($J3020=0,0,ROUND(MAX($J3020*1.4*1.5*1.6*1.6*2.2*2.715*2.6*1.4*1.4,8430000000*(1.651435^(MIN($E3020,123)-117)))*1,0))</f>
        <v>7512194</v>
      </c>
      <c r="AC3020" s="11">
        <f>$E3020+21</f>
        <v>124</v>
      </c>
      <c r="AD3020" s="12">
        <f>IF($J3020=0,0,ROUND(MAX($J3020*1.4*1.5*1.6*1.6*2.2*2.715*2.6*1.4*1.4*1.5,12600000000*(1.652953^(MIN($E3020,123)-117)))*1,0))</f>
        <v>11084688</v>
      </c>
      <c r="AE3020" s="13">
        <f>$E3020+24</f>
        <v>127</v>
      </c>
      <c r="AF3020" s="14">
        <f>IF($J3020=0,0,ROUND(MAX($J3020*1.4*1.5*1.6*1.6*2.2*2.715*2.6*1.4*1.4*1.5*1.5,18900000000*(1.65331^(MIN($E3020,123)-117)))*1,0))</f>
        <v>16576839</v>
      </c>
      <c r="AG3020" s="11">
        <f>$E3020+27</f>
        <v>130</v>
      </c>
      <c r="AH3020" s="12">
        <f>IF($J3020=0,0,ROUND(MAX($J3020*1.4*1.5*1.6*1.6*2.2*2.715*2.6*1.4*1.4*1.5*1.5*3.2,60500000000*(1.654288^(MIN($E3020,123)-117)))*1,0))</f>
        <v>52625920</v>
      </c>
    </row>
    <row r="3021" ht="28" customHeight="1" spans="1:34" x14ac:dyDescent="0.25">
      <c r="A3021">
        <v>3031</v>
      </c>
      <c r="B3021" t="s">
        <v>1687</v>
      </c>
      <c r="C3021" s="10" t="s">
        <v>1673</v>
      </c>
      <c r="D3021" t="s">
        <v>29</v>
      </c>
      <c r="E3021">
        <v>103</v>
      </c>
      <c r="F3021" t="s">
        <v>26</v>
      </c>
      <c r="G3021" t="s">
        <v>562</v>
      </c>
      <c r="H3021">
        <v>22</v>
      </c>
      <c r="I3021" s="11">
        <f>$E3021+0</f>
        <v>103</v>
      </c>
      <c r="J3021" s="12">
        <v>10600</v>
      </c>
      <c r="K3021" s="13">
        <f>$E3021+1</f>
        <v>104</v>
      </c>
      <c r="L3021" s="14">
        <f>IF($J3021=0,0,ROUND(MAX($J3021*1.4,1620000*(1.497923^(MIN($E3021,123)-117)))*1,0))</f>
        <v>14840</v>
      </c>
      <c r="M3021" s="11">
        <f>$E3021+2</f>
        <v>105</v>
      </c>
      <c r="N3021" s="12">
        <f>IF($J3021=0,0,ROUND(MAX($J3021*1.4*1.5,2190000*(1.580994^(MIN($E3021,123)-117)))*1,0))</f>
        <v>22260</v>
      </c>
      <c r="O3021" s="13">
        <f>$E3021+4</f>
        <v>107</v>
      </c>
      <c r="P3021" s="14">
        <f>IF($J3021=0,0,ROUND(MAX($J3021*1.4*1.5*1.6,3500000*(1.57975^(MIN($E3021,123)-117)))*1,0))</f>
        <v>35616</v>
      </c>
      <c r="Q3021" s="11">
        <f>$E3021+6</f>
        <v>109</v>
      </c>
      <c r="R3021" s="12">
        <f>IF($J3021=0,0,ROUND(MAX($J3021*1.4*1.5*1.6*1.6,13100000*(1.429962^(MIN($E3021,123)-117)))*1,0))</f>
        <v>87645</v>
      </c>
      <c r="S3021" s="13">
        <f>$E3021+8</f>
        <v>111</v>
      </c>
      <c r="T3021" s="14">
        <f>IF($J3021=0,0,ROUND(MAX($J3021*1.4*1.5*1.6*1.6*2.2,42600000*(1.576904^(MIN($E3021,123)-117)))*1,0))</f>
        <v>125368</v>
      </c>
      <c r="U3021" s="11">
        <f>$E3021+11</f>
        <v>114</v>
      </c>
      <c r="V3021" s="12">
        <f>IF($J3021=0,0,ROUND(MAX($J3021*1.4*1.5*1.6*1.6*2.2*2.715,354000000*(1.642074^(MIN($E3021,123)-117)))*1,0))</f>
        <v>341590</v>
      </c>
      <c r="W3021" s="13">
        <f>$E3021+15</f>
        <v>118</v>
      </c>
      <c r="X3021" s="14">
        <f>IF($J3021=0,0,ROUND(MAX($J3021*1.4*1.5*1.6*1.6*2.2*2.715*2.6,3540000000*(1.579646^(MIN($E3021,123)-117)))*1,0))</f>
        <v>5877146</v>
      </c>
      <c r="Y3021" s="11">
        <f>$E3021+17</f>
        <v>120</v>
      </c>
      <c r="Z3021" s="12">
        <f>IF($J3021=0,0,ROUND(MAX($J3021*1.4*1.5*1.6*1.6*2.2*2.715*2.6*1.4,6020000000*(1.651178^(MIN($E3021,123)-117)))*1,0))</f>
        <v>5376281</v>
      </c>
      <c r="AA3021" s="13">
        <f>$E3021+19</f>
        <v>122</v>
      </c>
      <c r="AB3021" s="14">
        <f>IF($J3021=0,0,ROUND(MAX($J3021*1.4*1.5*1.6*1.6*2.2*2.715*2.6*1.4*1.4,8430000000*(1.651435^(MIN($E3021,123)-117)))*1,0))</f>
        <v>7512194</v>
      </c>
      <c r="AC3021" s="11">
        <f>$E3021+21</f>
        <v>124</v>
      </c>
      <c r="AD3021" s="12">
        <f>IF($J3021=0,0,ROUND(MAX($J3021*1.4*1.5*1.6*1.6*2.2*2.715*2.6*1.4*1.4*1.5,12600000000*(1.652953^(MIN($E3021,123)-117)))*1,0))</f>
        <v>11084688</v>
      </c>
      <c r="AE3021" s="13">
        <f>$E3021+24</f>
        <v>127</v>
      </c>
      <c r="AF3021" s="14">
        <f>IF($J3021=0,0,ROUND(MAX($J3021*1.4*1.5*1.6*1.6*2.2*2.715*2.6*1.4*1.4*1.5*1.5,18900000000*(1.65331^(MIN($E3021,123)-117)))*1,0))</f>
        <v>16576839</v>
      </c>
      <c r="AG3021" s="11">
        <f>$E3021+27</f>
        <v>130</v>
      </c>
      <c r="AH3021" s="12">
        <f>IF($J3021=0,0,ROUND(MAX($J3021*1.4*1.5*1.6*1.6*2.2*2.715*2.6*1.4*1.4*1.5*1.5*3.2,60500000000*(1.654288^(MIN($E3021,123)-117)))*1,0))</f>
        <v>52625920</v>
      </c>
    </row>
    <row r="3022" ht="28" customHeight="1" spans="1:34" x14ac:dyDescent="0.25">
      <c r="A3022">
        <v>3032</v>
      </c>
      <c r="B3022" t="s">
        <v>1688</v>
      </c>
      <c r="C3022" s="10" t="s">
        <v>1673</v>
      </c>
      <c r="D3022" t="s">
        <v>45</v>
      </c>
      <c r="E3022">
        <v>103</v>
      </c>
      <c r="F3022" t="s">
        <v>54</v>
      </c>
      <c r="G3022" t="s">
        <v>748</v>
      </c>
      <c r="H3022">
        <v>22</v>
      </c>
      <c r="I3022" s="11">
        <f>$E3022+0</f>
        <v>103</v>
      </c>
      <c r="J3022" s="12">
        <v>7050</v>
      </c>
      <c r="K3022" s="13">
        <f>$E3022+1</f>
        <v>104</v>
      </c>
      <c r="L3022" s="14">
        <f>IF($J3022=0,0,ROUND(MAX($J3022*1.4,1620000*(1.497923^(MIN($E3022,123)-117)))*1,0))</f>
        <v>9870</v>
      </c>
      <c r="M3022" s="11">
        <f>$E3022+2</f>
        <v>105</v>
      </c>
      <c r="N3022" s="12">
        <f>IF($J3022=0,0,ROUND(MAX($J3022*1.4*1.5,2190000*(1.580994^(MIN($E3022,123)-117)))*1,0))</f>
        <v>14805</v>
      </c>
      <c r="O3022" s="13">
        <f>$E3022+4</f>
        <v>107</v>
      </c>
      <c r="P3022" s="14">
        <f>IF($J3022=0,0,ROUND(MAX($J3022*1.4*1.5*1.6,3500000*(1.57975^(MIN($E3022,123)-117)))*1,0))</f>
        <v>23688</v>
      </c>
      <c r="Q3022" s="11">
        <f>$E3022+6</f>
        <v>109</v>
      </c>
      <c r="R3022" s="12">
        <f>IF($J3022=0,0,ROUND(MAX($J3022*1.4*1.5*1.6*1.6,13100000*(1.429962^(MIN($E3022,123)-117)))*1,0))</f>
        <v>87645</v>
      </c>
      <c r="S3022" s="13">
        <f>$E3022+8</f>
        <v>111</v>
      </c>
      <c r="T3022" s="14">
        <f>IF($J3022=0,0,ROUND(MAX($J3022*1.4*1.5*1.6*1.6*2.2,42600000*(1.576904^(MIN($E3022,123)-117)))*1,0))</f>
        <v>83382</v>
      </c>
      <c r="U3022" s="11">
        <f>$E3022+11</f>
        <v>114</v>
      </c>
      <c r="V3022" s="12">
        <f>IF($J3022=0,0,ROUND(MAX($J3022*1.4*1.5*1.6*1.6*2.2*2.715,354000000*(1.642074^(MIN($E3022,123)-117)))*1,0))</f>
        <v>341590</v>
      </c>
      <c r="W3022" s="13">
        <f>$E3022+15</f>
        <v>118</v>
      </c>
      <c r="X3022" s="14">
        <f>IF($J3022=0,0,ROUND(MAX($J3022*1.4*1.5*1.6*1.6*2.2*2.715*2.6,3540000000*(1.579646^(MIN($E3022,123)-117)))*1,0))</f>
        <v>5877146</v>
      </c>
      <c r="Y3022" s="11">
        <f>$E3022+17</f>
        <v>120</v>
      </c>
      <c r="Z3022" s="12">
        <f>IF($J3022=0,0,ROUND(MAX($J3022*1.4*1.5*1.6*1.6*2.2*2.715*2.6*1.4,6020000000*(1.651178^(MIN($E3022,123)-117)))*1,0))</f>
        <v>5376281</v>
      </c>
      <c r="AA3022" s="13">
        <f>$E3022+19</f>
        <v>122</v>
      </c>
      <c r="AB3022" s="14">
        <f>IF($J3022=0,0,ROUND(MAX($J3022*1.4*1.5*1.6*1.6*2.2*2.715*2.6*1.4*1.4,8430000000*(1.651435^(MIN($E3022,123)-117)))*1,0))</f>
        <v>7512194</v>
      </c>
      <c r="AC3022" s="11">
        <f>$E3022+21</f>
        <v>124</v>
      </c>
      <c r="AD3022" s="12">
        <f>IF($J3022=0,0,ROUND(MAX($J3022*1.4*1.5*1.6*1.6*2.2*2.715*2.6*1.4*1.4*1.5,12600000000*(1.652953^(MIN($E3022,123)-117)))*1,0))</f>
        <v>11084688</v>
      </c>
      <c r="AE3022" s="13">
        <f>$E3022+24</f>
        <v>127</v>
      </c>
      <c r="AF3022" s="14">
        <f>IF($J3022=0,0,ROUND(MAX($J3022*1.4*1.5*1.6*1.6*2.2*2.715*2.6*1.4*1.4*1.5*1.5,18900000000*(1.65331^(MIN($E3022,123)-117)))*1,0))</f>
        <v>16576839</v>
      </c>
      <c r="AG3022" s="11">
        <f>$E3022+27</f>
        <v>130</v>
      </c>
      <c r="AH3022" s="12">
        <f>IF($J3022=0,0,ROUND(MAX($J3022*1.4*1.5*1.6*1.6*2.2*2.715*2.6*1.4*1.4*1.5*1.5*3.2,60500000000*(1.654288^(MIN($E3022,123)-117)))*1,0))</f>
        <v>52625920</v>
      </c>
    </row>
    <row r="3023" ht="28" customHeight="1" spans="1:34" x14ac:dyDescent="0.25">
      <c r="A3023">
        <v>3033</v>
      </c>
      <c r="B3023" t="s">
        <v>1218</v>
      </c>
      <c r="C3023" s="10" t="s">
        <v>1673</v>
      </c>
      <c r="D3023" t="s">
        <v>45</v>
      </c>
      <c r="E3023">
        <v>103</v>
      </c>
      <c r="F3023" t="s">
        <v>71</v>
      </c>
      <c r="G3023" t="s">
        <v>72</v>
      </c>
      <c r="H3023">
        <v>21</v>
      </c>
      <c r="I3023" s="11">
        <f>$E3023+0</f>
        <v>103</v>
      </c>
      <c r="J3023" s="12">
        <v>4590</v>
      </c>
      <c r="K3023" s="13">
        <f>$E3023+1</f>
        <v>104</v>
      </c>
      <c r="L3023" s="14">
        <f>IF($J3023=0,0,ROUND(MAX($J3023*1.4,1620000*(1.497923^(MIN($E3023,123)-117)))*1,0))</f>
        <v>6426</v>
      </c>
      <c r="M3023" s="11">
        <f>$E3023+2</f>
        <v>105</v>
      </c>
      <c r="N3023" s="12">
        <f>IF($J3023=0,0,ROUND(MAX($J3023*1.4*1.5,2190000*(1.580994^(MIN($E3023,123)-117)))*1,0))</f>
        <v>9639</v>
      </c>
      <c r="O3023" s="13">
        <f>$E3023+4</f>
        <v>107</v>
      </c>
      <c r="P3023" s="14">
        <f>IF($J3023=0,0,ROUND(MAX($J3023*1.4*1.5*1.6,3500000*(1.57975^(MIN($E3023,123)-117)))*1,0))</f>
        <v>15422</v>
      </c>
      <c r="Q3023" s="11">
        <f>$E3023+6</f>
        <v>109</v>
      </c>
      <c r="R3023" s="12">
        <f>IF($J3023=0,0,ROUND(MAX($J3023*1.4*1.5*1.6*1.6,13100000*(1.429962^(MIN($E3023,123)-117)))*1,0))</f>
        <v>87645</v>
      </c>
      <c r="S3023" s="13">
        <f>$E3023+8</f>
        <v>111</v>
      </c>
      <c r="T3023" s="14">
        <f>IF($J3023=0,0,ROUND(MAX($J3023*1.4*1.5*1.6*1.6*2.2,42600000*(1.576904^(MIN($E3023,123)-117)))*1,0))</f>
        <v>72466</v>
      </c>
      <c r="U3023" s="11">
        <f>$E3023+11</f>
        <v>114</v>
      </c>
      <c r="V3023" s="12">
        <f>IF($J3023=0,0,ROUND(MAX($J3023*1.4*1.5*1.6*1.6*2.2*2.715,354000000*(1.642074^(MIN($E3023,123)-117)))*1,0))</f>
        <v>341590</v>
      </c>
      <c r="W3023" s="13">
        <f>$E3023+15</f>
        <v>118</v>
      </c>
      <c r="X3023" s="14">
        <f>IF($J3023=0,0,ROUND(MAX($J3023*1.4*1.5*1.6*1.6*2.2*2.715*2.6,3540000000*(1.579646^(MIN($E3023,123)-117)))*1,0))</f>
        <v>5877146</v>
      </c>
      <c r="Y3023" s="11">
        <f>$E3023+17</f>
        <v>120</v>
      </c>
      <c r="Z3023" s="12">
        <f>IF($J3023=0,0,ROUND(MAX($J3023*1.4*1.5*1.6*1.6*2.2*2.715*2.6*1.4,6020000000*(1.651178^(MIN($E3023,123)-117)))*1,0))</f>
        <v>5376281</v>
      </c>
      <c r="AA3023" s="13">
        <f>$E3023+19</f>
        <v>122</v>
      </c>
      <c r="AB3023" s="14">
        <f>IF($J3023=0,0,ROUND(MAX($J3023*1.4*1.5*1.6*1.6*2.2*2.715*2.6*1.4*1.4,8430000000*(1.651435^(MIN($E3023,123)-117)))*1,0))</f>
        <v>7512194</v>
      </c>
      <c r="AC3023" s="11">
        <f>$E3023+21</f>
        <v>124</v>
      </c>
      <c r="AD3023" s="12">
        <f>IF($J3023=0,0,ROUND(MAX($J3023*1.4*1.5*1.6*1.6*2.2*2.715*2.6*1.4*1.4*1.5,12600000000*(1.652953^(MIN($E3023,123)-117)))*1,0))</f>
        <v>11084688</v>
      </c>
      <c r="AE3023" s="13">
        <f>$E3023+24</f>
        <v>127</v>
      </c>
      <c r="AF3023" s="14">
        <f>IF($J3023=0,0,ROUND(MAX($J3023*1.4*1.5*1.6*1.6*2.2*2.715*2.6*1.4*1.4*1.5*1.5,18900000000*(1.65331^(MIN($E3023,123)-117)))*1,0))</f>
        <v>16576839</v>
      </c>
      <c r="AG3023" s="11">
        <f>$E3023+27</f>
        <v>130</v>
      </c>
      <c r="AH3023" s="12">
        <f>IF($J3023=0,0,ROUND(MAX($J3023*1.4*1.5*1.6*1.6*2.2*2.715*2.6*1.4*1.4*1.5*1.5*3.2,60500000000*(1.654288^(MIN($E3023,123)-117)))*1,0))</f>
        <v>52625920</v>
      </c>
    </row>
    <row r="3024" ht="28" customHeight="1" spans="1:34" x14ac:dyDescent="0.25">
      <c r="A3024">
        <v>3034</v>
      </c>
      <c r="B3024" t="s">
        <v>306</v>
      </c>
      <c r="C3024" s="10" t="s">
        <v>1673</v>
      </c>
      <c r="D3024" t="s">
        <v>33</v>
      </c>
      <c r="E3024">
        <v>103</v>
      </c>
      <c r="F3024" t="s">
        <v>42</v>
      </c>
      <c r="G3024" t="s">
        <v>95</v>
      </c>
      <c r="H3024">
        <v>21</v>
      </c>
      <c r="I3024" s="11">
        <f>$E3024+0</f>
        <v>103</v>
      </c>
      <c r="J3024" s="12">
        <v>16700</v>
      </c>
      <c r="K3024" s="13">
        <f>$E3024+1</f>
        <v>104</v>
      </c>
      <c r="L3024" s="14">
        <f>IF($J3024=0,0,ROUND(MAX($J3024*1.4,1620000*(1.497923^(MIN($E3024,123)-117)))*1,0))</f>
        <v>23380</v>
      </c>
      <c r="M3024" s="11">
        <f>$E3024+2</f>
        <v>105</v>
      </c>
      <c r="N3024" s="12">
        <f>IF($J3024=0,0,ROUND(MAX($J3024*1.4*1.5,2190000*(1.580994^(MIN($E3024,123)-117)))*1,0))</f>
        <v>35070</v>
      </c>
      <c r="O3024" s="13">
        <f>$E3024+4</f>
        <v>107</v>
      </c>
      <c r="P3024" s="14">
        <f>IF($J3024=0,0,ROUND(MAX($J3024*1.4*1.5*1.6,3500000*(1.57975^(MIN($E3024,123)-117)))*1,0))</f>
        <v>56112</v>
      </c>
      <c r="Q3024" s="11">
        <f>$E3024+6</f>
        <v>109</v>
      </c>
      <c r="R3024" s="12">
        <f>IF($J3024=0,0,ROUND(MAX($J3024*1.4*1.5*1.6*1.6,13100000*(1.429962^(MIN($E3024,123)-117)))*1,0))</f>
        <v>89779</v>
      </c>
      <c r="S3024" s="13">
        <f>$E3024+8</f>
        <v>111</v>
      </c>
      <c r="T3024" s="14">
        <f>IF($J3024=0,0,ROUND(MAX($J3024*1.4*1.5*1.6*1.6*2.2,42600000*(1.576904^(MIN($E3024,123)-117)))*1,0))</f>
        <v>197514</v>
      </c>
      <c r="U3024" s="11">
        <f>$E3024+11</f>
        <v>114</v>
      </c>
      <c r="V3024" s="12">
        <f>IF($J3024=0,0,ROUND(MAX($J3024*1.4*1.5*1.6*1.6*2.2*2.715,354000000*(1.642074^(MIN($E3024,123)-117)))*1,0))</f>
        <v>536251</v>
      </c>
      <c r="W3024" s="13">
        <f>$E3024+15</f>
        <v>118</v>
      </c>
      <c r="X3024" s="14">
        <f>IF($J3024=0,0,ROUND(MAX($J3024*1.4*1.5*1.6*1.6*2.2*2.715*2.6,3540000000*(1.579646^(MIN($E3024,123)-117)))*1,0))</f>
        <v>5877146</v>
      </c>
      <c r="Y3024" s="11">
        <f>$E3024+17</f>
        <v>120</v>
      </c>
      <c r="Z3024" s="12">
        <f>IF($J3024=0,0,ROUND(MAX($J3024*1.4*1.5*1.6*1.6*2.2*2.715*2.6*1.4,6020000000*(1.651178^(MIN($E3024,123)-117)))*1,0))</f>
        <v>5376281</v>
      </c>
      <c r="AA3024" s="13">
        <f>$E3024+19</f>
        <v>122</v>
      </c>
      <c r="AB3024" s="14">
        <f>IF($J3024=0,0,ROUND(MAX($J3024*1.4*1.5*1.6*1.6*2.2*2.715*2.6*1.4*1.4,8430000000*(1.651435^(MIN($E3024,123)-117)))*1,0))</f>
        <v>7512194</v>
      </c>
      <c r="AC3024" s="11">
        <f>$E3024+21</f>
        <v>124</v>
      </c>
      <c r="AD3024" s="12">
        <f>IF($J3024=0,0,ROUND(MAX($J3024*1.4*1.5*1.6*1.6*2.2*2.715*2.6*1.4*1.4*1.5,12600000000*(1.652953^(MIN($E3024,123)-117)))*1,0))</f>
        <v>11084688</v>
      </c>
      <c r="AE3024" s="13">
        <f>$E3024+24</f>
        <v>127</v>
      </c>
      <c r="AF3024" s="14">
        <f>IF($J3024=0,0,ROUND(MAX($J3024*1.4*1.5*1.6*1.6*2.2*2.715*2.6*1.4*1.4*1.5*1.5,18900000000*(1.65331^(MIN($E3024,123)-117)))*1,0))</f>
        <v>16576839</v>
      </c>
      <c r="AG3024" s="11">
        <f>$E3024+27</f>
        <v>130</v>
      </c>
      <c r="AH3024" s="12">
        <f>IF($J3024=0,0,ROUND(MAX($J3024*1.4*1.5*1.6*1.6*2.2*2.715*2.6*1.4*1.4*1.5*1.5*3.2,60500000000*(1.654288^(MIN($E3024,123)-117)))*1,0))</f>
        <v>52625920</v>
      </c>
    </row>
    <row r="3025" ht="28" customHeight="1" spans="1:34" x14ac:dyDescent="0.25">
      <c r="A3025">
        <v>3035</v>
      </c>
      <c r="B3025" t="s">
        <v>852</v>
      </c>
      <c r="C3025" s="10" t="s">
        <v>1673</v>
      </c>
      <c r="D3025" t="s">
        <v>165</v>
      </c>
      <c r="E3025">
        <v>103</v>
      </c>
      <c r="F3025" t="s">
        <v>30</v>
      </c>
      <c r="G3025" t="s">
        <v>95</v>
      </c>
      <c r="H3025">
        <v>21</v>
      </c>
      <c r="I3025" s="11">
        <f>$E3025+0</f>
        <v>103</v>
      </c>
      <c r="J3025" s="12">
        <v>6550</v>
      </c>
      <c r="K3025" s="13">
        <f>$E3025+1</f>
        <v>104</v>
      </c>
      <c r="L3025" s="14">
        <f>IF($J3025=0,0,ROUND(MAX($J3025*1.4,1620000*(1.497923^(MIN($E3025,123)-117)))*1,0))</f>
        <v>9170</v>
      </c>
      <c r="M3025" s="11">
        <f>$E3025+2</f>
        <v>105</v>
      </c>
      <c r="N3025" s="12">
        <f>IF($J3025=0,0,ROUND(MAX($J3025*1.4*1.5,2190000*(1.580994^(MIN($E3025,123)-117)))*1,0))</f>
        <v>13755</v>
      </c>
      <c r="O3025" s="13">
        <f>$E3025+4</f>
        <v>107</v>
      </c>
      <c r="P3025" s="14">
        <f>IF($J3025=0,0,ROUND(MAX($J3025*1.4*1.5*1.6,3500000*(1.57975^(MIN($E3025,123)-117)))*1,0))</f>
        <v>22008</v>
      </c>
      <c r="Q3025" s="11">
        <f>$E3025+6</f>
        <v>109</v>
      </c>
      <c r="R3025" s="12">
        <f>IF($J3025=0,0,ROUND(MAX($J3025*1.4*1.5*1.6*1.6,13100000*(1.429962^(MIN($E3025,123)-117)))*1,0))</f>
        <v>87645</v>
      </c>
      <c r="S3025" s="13">
        <f>$E3025+8</f>
        <v>111</v>
      </c>
      <c r="T3025" s="14">
        <f>IF($J3025=0,0,ROUND(MAX($J3025*1.4*1.5*1.6*1.6*2.2,42600000*(1.576904^(MIN($E3025,123)-117)))*1,0))</f>
        <v>77468</v>
      </c>
      <c r="U3025" s="11">
        <f>$E3025+11</f>
        <v>114</v>
      </c>
      <c r="V3025" s="12">
        <f>IF($J3025=0,0,ROUND(MAX($J3025*1.4*1.5*1.6*1.6*2.2*2.715,354000000*(1.642074^(MIN($E3025,123)-117)))*1,0))</f>
        <v>341590</v>
      </c>
      <c r="W3025" s="13">
        <f>$E3025+15</f>
        <v>118</v>
      </c>
      <c r="X3025" s="14">
        <f>IF($J3025=0,0,ROUND(MAX($J3025*1.4*1.5*1.6*1.6*2.2*2.715*2.6,3540000000*(1.579646^(MIN($E3025,123)-117)))*1,0))</f>
        <v>5877146</v>
      </c>
      <c r="Y3025" s="11">
        <f>$E3025+17</f>
        <v>120</v>
      </c>
      <c r="Z3025" s="12">
        <f>IF($J3025=0,0,ROUND(MAX($J3025*1.4*1.5*1.6*1.6*2.2*2.715*2.6*1.4,6020000000*(1.651178^(MIN($E3025,123)-117)))*1,0))</f>
        <v>5376281</v>
      </c>
      <c r="AA3025" s="13">
        <f>$E3025+19</f>
        <v>122</v>
      </c>
      <c r="AB3025" s="14">
        <f>IF($J3025=0,0,ROUND(MAX($J3025*1.4*1.5*1.6*1.6*2.2*2.715*2.6*1.4*1.4,8430000000*(1.651435^(MIN($E3025,123)-117)))*1,0))</f>
        <v>7512194</v>
      </c>
      <c r="AC3025" s="11">
        <f>$E3025+21</f>
        <v>124</v>
      </c>
      <c r="AD3025" s="12">
        <f>IF($J3025=0,0,ROUND(MAX($J3025*1.4*1.5*1.6*1.6*2.2*2.715*2.6*1.4*1.4*1.5,12600000000*(1.652953^(MIN($E3025,123)-117)))*1,0))</f>
        <v>11084688</v>
      </c>
      <c r="AE3025" s="13">
        <f>$E3025+24</f>
        <v>127</v>
      </c>
      <c r="AF3025" s="14">
        <f>IF($J3025=0,0,ROUND(MAX($J3025*1.4*1.5*1.6*1.6*2.2*2.715*2.6*1.4*1.4*1.5*1.5,18900000000*(1.65331^(MIN($E3025,123)-117)))*1,0))</f>
        <v>16576839</v>
      </c>
      <c r="AG3025" s="11">
        <f>$E3025+27</f>
        <v>130</v>
      </c>
      <c r="AH3025" s="12">
        <f>IF($J3025=0,0,ROUND(MAX($J3025*1.4*1.5*1.6*1.6*2.2*2.715*2.6*1.4*1.4*1.5*1.5*3.2,60500000000*(1.654288^(MIN($E3025,123)-117)))*1,0))</f>
        <v>52625920</v>
      </c>
    </row>
    <row r="3026" ht="28" customHeight="1" spans="1:34" x14ac:dyDescent="0.25">
      <c r="A3026">
        <v>3036</v>
      </c>
      <c r="B3026" t="s">
        <v>287</v>
      </c>
      <c r="C3026" s="10" t="s">
        <v>1673</v>
      </c>
      <c r="D3026" t="s">
        <v>33</v>
      </c>
      <c r="E3026">
        <v>103</v>
      </c>
      <c r="F3026" t="s">
        <v>30</v>
      </c>
      <c r="G3026" t="s">
        <v>1312</v>
      </c>
      <c r="H3026">
        <v>21</v>
      </c>
      <c r="I3026" s="11">
        <f>$E3026+0</f>
        <v>103</v>
      </c>
      <c r="J3026" s="12">
        <v>11500</v>
      </c>
      <c r="K3026" s="13">
        <f>$E3026+1</f>
        <v>104</v>
      </c>
      <c r="L3026" s="14">
        <f>IF($J3026=0,0,ROUND(MAX($J3026*1.4,1620000*(1.497923^(MIN($E3026,123)-117)))*1,0))</f>
        <v>16100</v>
      </c>
      <c r="M3026" s="11">
        <f>$E3026+2</f>
        <v>105</v>
      </c>
      <c r="N3026" s="12">
        <f>IF($J3026=0,0,ROUND(MAX($J3026*1.4*1.5,2190000*(1.580994^(MIN($E3026,123)-117)))*1,0))</f>
        <v>24150</v>
      </c>
      <c r="O3026" s="13">
        <f>$E3026+4</f>
        <v>107</v>
      </c>
      <c r="P3026" s="14">
        <f>IF($J3026=0,0,ROUND(MAX($J3026*1.4*1.5*1.6,3500000*(1.57975^(MIN($E3026,123)-117)))*1,0))</f>
        <v>38640</v>
      </c>
      <c r="Q3026" s="11">
        <f>$E3026+6</f>
        <v>109</v>
      </c>
      <c r="R3026" s="12">
        <f>IF($J3026=0,0,ROUND(MAX($J3026*1.4*1.5*1.6*1.6,13100000*(1.429962^(MIN($E3026,123)-117)))*1,0))</f>
        <v>87645</v>
      </c>
      <c r="S3026" s="13">
        <f>$E3026+8</f>
        <v>111</v>
      </c>
      <c r="T3026" s="14">
        <f>IF($J3026=0,0,ROUND(MAX($J3026*1.4*1.5*1.6*1.6*2.2,42600000*(1.576904^(MIN($E3026,123)-117)))*1,0))</f>
        <v>136013</v>
      </c>
      <c r="U3026" s="11">
        <f>$E3026+11</f>
        <v>114</v>
      </c>
      <c r="V3026" s="12">
        <f>IF($J3026=0,0,ROUND(MAX($J3026*1.4*1.5*1.6*1.6*2.2*2.715,354000000*(1.642074^(MIN($E3026,123)-117)))*1,0))</f>
        <v>369275</v>
      </c>
      <c r="W3026" s="13">
        <f>$E3026+15</f>
        <v>118</v>
      </c>
      <c r="X3026" s="14">
        <f>IF($J3026=0,0,ROUND(MAX($J3026*1.4*1.5*1.6*1.6*2.2*2.715*2.6,3540000000*(1.579646^(MIN($E3026,123)-117)))*1,0))</f>
        <v>5877146</v>
      </c>
      <c r="Y3026" s="11">
        <f>$E3026+17</f>
        <v>120</v>
      </c>
      <c r="Z3026" s="12">
        <f>IF($J3026=0,0,ROUND(MAX($J3026*1.4*1.5*1.6*1.6*2.2*2.715*2.6*1.4,6020000000*(1.651178^(MIN($E3026,123)-117)))*1,0))</f>
        <v>5376281</v>
      </c>
      <c r="AA3026" s="13">
        <f>$E3026+19</f>
        <v>122</v>
      </c>
      <c r="AB3026" s="14">
        <f>IF($J3026=0,0,ROUND(MAX($J3026*1.4*1.5*1.6*1.6*2.2*2.715*2.6*1.4*1.4,8430000000*(1.651435^(MIN($E3026,123)-117)))*1,0))</f>
        <v>7512194</v>
      </c>
      <c r="AC3026" s="11">
        <f>$E3026+21</f>
        <v>124</v>
      </c>
      <c r="AD3026" s="12">
        <f>IF($J3026=0,0,ROUND(MAX($J3026*1.4*1.5*1.6*1.6*2.2*2.715*2.6*1.4*1.4*1.5,12600000000*(1.652953^(MIN($E3026,123)-117)))*1,0))</f>
        <v>11084688</v>
      </c>
      <c r="AE3026" s="13">
        <f>$E3026+24</f>
        <v>127</v>
      </c>
      <c r="AF3026" s="14">
        <f>IF($J3026=0,0,ROUND(MAX($J3026*1.4*1.5*1.6*1.6*2.2*2.715*2.6*1.4*1.4*1.5*1.5,18900000000*(1.65331^(MIN($E3026,123)-117)))*1,0))</f>
        <v>16576839</v>
      </c>
      <c r="AG3026" s="11">
        <f>$E3026+27</f>
        <v>130</v>
      </c>
      <c r="AH3026" s="12">
        <f>IF($J3026=0,0,ROUND(MAX($J3026*1.4*1.5*1.6*1.6*2.2*2.715*2.6*1.4*1.4*1.5*1.5*3.2,60500000000*(1.654288^(MIN($E3026,123)-117)))*1,0))</f>
        <v>52625920</v>
      </c>
    </row>
    <row r="3027" ht="28" customHeight="1" spans="1:34" x14ac:dyDescent="0.25">
      <c r="A3027">
        <v>3037</v>
      </c>
      <c r="B3027" t="s">
        <v>268</v>
      </c>
      <c r="C3027" s="10" t="s">
        <v>1673</v>
      </c>
      <c r="D3027" t="s">
        <v>33</v>
      </c>
      <c r="E3027">
        <v>103</v>
      </c>
      <c r="F3027" t="s">
        <v>26</v>
      </c>
      <c r="G3027" t="s">
        <v>57</v>
      </c>
      <c r="H3027">
        <v>21</v>
      </c>
      <c r="I3027" s="11">
        <f>$E3027+0</f>
        <v>103</v>
      </c>
      <c r="J3027" s="12">
        <v>9300</v>
      </c>
      <c r="K3027" s="13">
        <f>$E3027+1</f>
        <v>104</v>
      </c>
      <c r="L3027" s="14">
        <f>IF($J3027=0,0,ROUND(MAX($J3027*1.4,1620000*(1.497923^(MIN($E3027,123)-117)))*1,0))</f>
        <v>13020</v>
      </c>
      <c r="M3027" s="11">
        <f>$E3027+2</f>
        <v>105</v>
      </c>
      <c r="N3027" s="12">
        <f>IF($J3027=0,0,ROUND(MAX($J3027*1.4*1.5,2190000*(1.580994^(MIN($E3027,123)-117)))*1,0))</f>
        <v>19530</v>
      </c>
      <c r="O3027" s="13">
        <f>$E3027+4</f>
        <v>107</v>
      </c>
      <c r="P3027" s="14">
        <f>IF($J3027=0,0,ROUND(MAX($J3027*1.4*1.5*1.6,3500000*(1.57975^(MIN($E3027,123)-117)))*1,0))</f>
        <v>31248</v>
      </c>
      <c r="Q3027" s="11">
        <f>$E3027+6</f>
        <v>109</v>
      </c>
      <c r="R3027" s="12">
        <f>IF($J3027=0,0,ROUND(MAX($J3027*1.4*1.5*1.6*1.6,13100000*(1.429962^(MIN($E3027,123)-117)))*1,0))</f>
        <v>87645</v>
      </c>
      <c r="S3027" s="13">
        <f>$E3027+8</f>
        <v>111</v>
      </c>
      <c r="T3027" s="14">
        <f>IF($J3027=0,0,ROUND(MAX($J3027*1.4*1.5*1.6*1.6*2.2,42600000*(1.576904^(MIN($E3027,123)-117)))*1,0))</f>
        <v>109993</v>
      </c>
      <c r="U3027" s="11">
        <f>$E3027+11</f>
        <v>114</v>
      </c>
      <c r="V3027" s="12">
        <f>IF($J3027=0,0,ROUND(MAX($J3027*1.4*1.5*1.6*1.6*2.2*2.715,354000000*(1.642074^(MIN($E3027,123)-117)))*1,0))</f>
        <v>341590</v>
      </c>
      <c r="W3027" s="13">
        <f>$E3027+15</f>
        <v>118</v>
      </c>
      <c r="X3027" s="14">
        <f>IF($J3027=0,0,ROUND(MAX($J3027*1.4*1.5*1.6*1.6*2.2*2.715*2.6,3540000000*(1.579646^(MIN($E3027,123)-117)))*1,0))</f>
        <v>5877146</v>
      </c>
      <c r="Y3027" s="11">
        <f>$E3027+17</f>
        <v>120</v>
      </c>
      <c r="Z3027" s="12">
        <f>IF($J3027=0,0,ROUND(MAX($J3027*1.4*1.5*1.6*1.6*2.2*2.715*2.6*1.4,6020000000*(1.651178^(MIN($E3027,123)-117)))*1,0))</f>
        <v>5376281</v>
      </c>
      <c r="AA3027" s="13">
        <f>$E3027+19</f>
        <v>122</v>
      </c>
      <c r="AB3027" s="14">
        <f>IF($J3027=0,0,ROUND(MAX($J3027*1.4*1.5*1.6*1.6*2.2*2.715*2.6*1.4*1.4,8430000000*(1.651435^(MIN($E3027,123)-117)))*1,0))</f>
        <v>7512194</v>
      </c>
      <c r="AC3027" s="11">
        <f>$E3027+21</f>
        <v>124</v>
      </c>
      <c r="AD3027" s="12">
        <f>IF($J3027=0,0,ROUND(MAX($J3027*1.4*1.5*1.6*1.6*2.2*2.715*2.6*1.4*1.4*1.5,12600000000*(1.652953^(MIN($E3027,123)-117)))*1,0))</f>
        <v>11084688</v>
      </c>
      <c r="AE3027" s="13">
        <f>$E3027+24</f>
        <v>127</v>
      </c>
      <c r="AF3027" s="14">
        <f>IF($J3027=0,0,ROUND(MAX($J3027*1.4*1.5*1.6*1.6*2.2*2.715*2.6*1.4*1.4*1.5*1.5,18900000000*(1.65331^(MIN($E3027,123)-117)))*1,0))</f>
        <v>16576839</v>
      </c>
      <c r="AG3027" s="11">
        <f>$E3027+27</f>
        <v>130</v>
      </c>
      <c r="AH3027" s="12">
        <f>IF($J3027=0,0,ROUND(MAX($J3027*1.4*1.5*1.6*1.6*2.2*2.715*2.6*1.4*1.4*1.5*1.5*3.2,60500000000*(1.654288^(MIN($E3027,123)-117)))*1,0))</f>
        <v>52625920</v>
      </c>
    </row>
    <row r="3028" ht="28" customHeight="1" spans="1:34" x14ac:dyDescent="0.25">
      <c r="A3028">
        <v>3038</v>
      </c>
      <c r="B3028" t="s">
        <v>1689</v>
      </c>
      <c r="C3028" s="10" t="s">
        <v>1673</v>
      </c>
      <c r="D3028" t="s">
        <v>102</v>
      </c>
      <c r="E3028">
        <v>103</v>
      </c>
      <c r="F3028" t="s">
        <v>56</v>
      </c>
      <c r="G3028" t="s">
        <v>185</v>
      </c>
      <c r="H3028">
        <v>21</v>
      </c>
      <c r="I3028" s="11">
        <f>$E3028+0</f>
        <v>103</v>
      </c>
      <c r="J3028" s="12">
        <v>11100</v>
      </c>
      <c r="K3028" s="13">
        <f>$E3028+1</f>
        <v>104</v>
      </c>
      <c r="L3028" s="14">
        <f>IF($J3028=0,0,ROUND(MAX($J3028*1.4,1620000*(1.497923^(MIN($E3028,123)-117)))*1,0))</f>
        <v>15540</v>
      </c>
      <c r="M3028" s="11">
        <f>$E3028+2</f>
        <v>105</v>
      </c>
      <c r="N3028" s="12">
        <f>IF($J3028=0,0,ROUND(MAX($J3028*1.4*1.5,2190000*(1.580994^(MIN($E3028,123)-117)))*1,0))</f>
        <v>23310</v>
      </c>
      <c r="O3028" s="13">
        <f>$E3028+4</f>
        <v>107</v>
      </c>
      <c r="P3028" s="14">
        <f>IF($J3028=0,0,ROUND(MAX($J3028*1.4*1.5*1.6,3500000*(1.57975^(MIN($E3028,123)-117)))*1,0))</f>
        <v>37296</v>
      </c>
      <c r="Q3028" s="11">
        <f>$E3028+6</f>
        <v>109</v>
      </c>
      <c r="R3028" s="12">
        <f>IF($J3028=0,0,ROUND(MAX($J3028*1.4*1.5*1.6*1.6,13100000*(1.429962^(MIN($E3028,123)-117)))*1,0))</f>
        <v>87645</v>
      </c>
      <c r="S3028" s="13">
        <f>$E3028+8</f>
        <v>111</v>
      </c>
      <c r="T3028" s="14">
        <f>IF($J3028=0,0,ROUND(MAX($J3028*1.4*1.5*1.6*1.6*2.2,42600000*(1.576904^(MIN($E3028,123)-117)))*1,0))</f>
        <v>131282</v>
      </c>
      <c r="U3028" s="11">
        <f>$E3028+11</f>
        <v>114</v>
      </c>
      <c r="V3028" s="12">
        <f>IF($J3028=0,0,ROUND(MAX($J3028*1.4*1.5*1.6*1.6*2.2*2.715,354000000*(1.642074^(MIN($E3028,123)-117)))*1,0))</f>
        <v>356430</v>
      </c>
      <c r="W3028" s="13">
        <f>$E3028+15</f>
        <v>118</v>
      </c>
      <c r="X3028" s="14">
        <f>IF($J3028=0,0,ROUND(MAX($J3028*1.4*1.5*1.6*1.6*2.2*2.715*2.6,3540000000*(1.579646^(MIN($E3028,123)-117)))*1,0))</f>
        <v>5877146</v>
      </c>
      <c r="Y3028" s="11">
        <f>$E3028+17</f>
        <v>120</v>
      </c>
      <c r="Z3028" s="12">
        <f>IF($J3028=0,0,ROUND(MAX($J3028*1.4*1.5*1.6*1.6*2.2*2.715*2.6*1.4,6020000000*(1.651178^(MIN($E3028,123)-117)))*1,0))</f>
        <v>5376281</v>
      </c>
      <c r="AA3028" s="13">
        <f>$E3028+19</f>
        <v>122</v>
      </c>
      <c r="AB3028" s="14">
        <f>IF($J3028=0,0,ROUND(MAX($J3028*1.4*1.5*1.6*1.6*2.2*2.715*2.6*1.4*1.4,8430000000*(1.651435^(MIN($E3028,123)-117)))*1,0))</f>
        <v>7512194</v>
      </c>
      <c r="AC3028" s="11">
        <f>$E3028+21</f>
        <v>124</v>
      </c>
      <c r="AD3028" s="12">
        <f>IF($J3028=0,0,ROUND(MAX($J3028*1.4*1.5*1.6*1.6*2.2*2.715*2.6*1.4*1.4*1.5,12600000000*(1.652953^(MIN($E3028,123)-117)))*1,0))</f>
        <v>11084688</v>
      </c>
      <c r="AE3028" s="13">
        <f>$E3028+24</f>
        <v>127</v>
      </c>
      <c r="AF3028" s="14">
        <f>IF($J3028=0,0,ROUND(MAX($J3028*1.4*1.5*1.6*1.6*2.2*2.715*2.6*1.4*1.4*1.5*1.5,18900000000*(1.65331^(MIN($E3028,123)-117)))*1,0))</f>
        <v>16576839</v>
      </c>
      <c r="AG3028" s="11">
        <f>$E3028+27</f>
        <v>130</v>
      </c>
      <c r="AH3028" s="12">
        <f>IF($J3028=0,0,ROUND(MAX($J3028*1.4*1.5*1.6*1.6*2.2*2.715*2.6*1.4*1.4*1.5*1.5*3.2,60500000000*(1.654288^(MIN($E3028,123)-117)))*1,0))</f>
        <v>52625920</v>
      </c>
    </row>
    <row r="3029" ht="28" customHeight="1" spans="1:34" x14ac:dyDescent="0.25">
      <c r="A3029">
        <v>3039</v>
      </c>
      <c r="B3029" t="s">
        <v>1130</v>
      </c>
      <c r="C3029" s="10" t="s">
        <v>1673</v>
      </c>
      <c r="D3029" t="s">
        <v>45</v>
      </c>
      <c r="E3029">
        <v>102</v>
      </c>
      <c r="F3029" t="s">
        <v>146</v>
      </c>
      <c r="G3029" t="s">
        <v>1013</v>
      </c>
      <c r="H3029">
        <v>22</v>
      </c>
      <c r="I3029" s="11">
        <f>$E3029+0</f>
        <v>102</v>
      </c>
      <c r="J3029" s="12">
        <v>8910</v>
      </c>
      <c r="K3029" s="13">
        <f>$E3029+1</f>
        <v>103</v>
      </c>
      <c r="L3029" s="14">
        <f>IF($J3029=0,0,ROUND(MAX($J3029*1.4,1620000*(1.497923^(MIN($E3029,123)-117)))*1,0))</f>
        <v>12474</v>
      </c>
      <c r="M3029" s="11">
        <f>$E3029+2</f>
        <v>104</v>
      </c>
      <c r="N3029" s="12">
        <f>IF($J3029=0,0,ROUND(MAX($J3029*1.4*1.5,2190000*(1.580994^(MIN($E3029,123)-117)))*1,0))</f>
        <v>18711</v>
      </c>
      <c r="O3029" s="13">
        <f>$E3029+4</f>
        <v>106</v>
      </c>
      <c r="P3029" s="14">
        <f>IF($J3029=0,0,ROUND(MAX($J3029*1.4*1.5*1.6,3500000*(1.57975^(MIN($E3029,123)-117)))*1,0))</f>
        <v>29938</v>
      </c>
      <c r="Q3029" s="11">
        <f>$E3029+6</f>
        <v>108</v>
      </c>
      <c r="R3029" s="12">
        <f>IF($J3029=0,0,ROUND(MAX($J3029*1.4*1.5*1.6*1.6,13100000*(1.429962^(MIN($E3029,123)-117)))*1,0))</f>
        <v>61292</v>
      </c>
      <c r="S3029" s="13">
        <f>$E3029+8</f>
        <v>110</v>
      </c>
      <c r="T3029" s="14">
        <f>IF($J3029=0,0,ROUND(MAX($J3029*1.4*1.5*1.6*1.6*2.2,42600000*(1.576904^(MIN($E3029,123)-117)))*1,0))</f>
        <v>105380</v>
      </c>
      <c r="U3029" s="11">
        <f>$E3029+11</f>
        <v>113</v>
      </c>
      <c r="V3029" s="12">
        <f>IF($J3029=0,0,ROUND(MAX($J3029*1.4*1.5*1.6*1.6*2.2*2.715,354000000*(1.642074^(MIN($E3029,123)-117)))*1,0))</f>
        <v>286108</v>
      </c>
      <c r="W3029" s="13">
        <f>$E3029+15</f>
        <v>117</v>
      </c>
      <c r="X3029" s="14">
        <f>IF($J3029=0,0,ROUND(MAX($J3029*1.4*1.5*1.6*1.6*2.2*2.715*2.6,3540000000*(1.579646^(MIN($E3029,123)-117)))*1,0))</f>
        <v>3720546</v>
      </c>
      <c r="Y3029" s="11">
        <f>$E3029+17</f>
        <v>119</v>
      </c>
      <c r="Z3029" s="12">
        <f>IF($J3029=0,0,ROUND(MAX($J3029*1.4*1.5*1.6*1.6*2.2*2.715*2.6*1.4,6020000000*(1.651178^(MIN($E3029,123)-117)))*1,0))</f>
        <v>3256028</v>
      </c>
      <c r="AA3029" s="13">
        <f>$E3029+19</f>
        <v>121</v>
      </c>
      <c r="AB3029" s="14">
        <f>IF($J3029=0,0,ROUND(MAX($J3029*1.4*1.5*1.6*1.6*2.2*2.715*2.6*1.4*1.4,8430000000*(1.651435^(MIN($E3029,123)-117)))*1,0))</f>
        <v>4548889</v>
      </c>
      <c r="AC3029" s="11">
        <f>$E3029+21</f>
        <v>123</v>
      </c>
      <c r="AD3029" s="12">
        <f>IF($J3029=0,0,ROUND(MAX($J3029*1.4*1.5*1.6*1.6*2.2*2.715*2.6*1.4*1.4*1.5,12600000000*(1.652953^(MIN($E3029,123)-117)))*1,0))</f>
        <v>6705991</v>
      </c>
      <c r="AE3029" s="13">
        <f>$E3029+24</f>
        <v>126</v>
      </c>
      <c r="AF3029" s="14">
        <f>IF($J3029=0,0,ROUND(MAX($J3029*1.4*1.5*1.6*1.6*2.2*2.715*2.6*1.4*1.4*1.5*1.5,18900000000*(1.65331^(MIN($E3029,123)-117)))*1,0))</f>
        <v>10026455</v>
      </c>
      <c r="AG3029" s="11">
        <f>$E3029+27</f>
        <v>129</v>
      </c>
      <c r="AH3029" s="12">
        <f>IF($J3029=0,0,ROUND(MAX($J3029*1.4*1.5*1.6*1.6*2.2*2.715*2.6*1.4*1.4*1.5*1.5*3.2,60500000000*(1.654288^(MIN($E3029,123)-117)))*1,0))</f>
        <v>31811825</v>
      </c>
    </row>
    <row r="3030" ht="28" customHeight="1" spans="1:34" x14ac:dyDescent="0.25">
      <c r="A3030">
        <v>3040</v>
      </c>
      <c r="B3030" t="s">
        <v>278</v>
      </c>
      <c r="C3030" s="10" t="s">
        <v>1673</v>
      </c>
      <c r="D3030" t="s">
        <v>75</v>
      </c>
      <c r="E3030">
        <v>102</v>
      </c>
      <c r="F3030" t="s">
        <v>59</v>
      </c>
      <c r="G3030" t="s">
        <v>218</v>
      </c>
      <c r="H3030">
        <v>21</v>
      </c>
      <c r="I3030" s="11">
        <f>$E3030+0</f>
        <v>102</v>
      </c>
      <c r="J3030" s="12">
        <v>27600</v>
      </c>
      <c r="K3030" s="13">
        <f>$E3030+1</f>
        <v>103</v>
      </c>
      <c r="L3030" s="14">
        <f>IF($J3030=0,0,ROUND(MAX($J3030*1.4,1620000*(1.497923^(MIN($E3030,123)-117)))*1,0))</f>
        <v>38640</v>
      </c>
      <c r="M3030" s="11">
        <f>$E3030+2</f>
        <v>104</v>
      </c>
      <c r="N3030" s="12">
        <f>IF($J3030=0,0,ROUND(MAX($J3030*1.4*1.5,2190000*(1.580994^(MIN($E3030,123)-117)))*1,0))</f>
        <v>57960</v>
      </c>
      <c r="O3030" s="13">
        <f>$E3030+4</f>
        <v>106</v>
      </c>
      <c r="P3030" s="14">
        <f>IF($J3030=0,0,ROUND(MAX($J3030*1.4*1.5*1.6,3500000*(1.57975^(MIN($E3030,123)-117)))*1,0))</f>
        <v>92736</v>
      </c>
      <c r="Q3030" s="11">
        <f>$E3030+6</f>
        <v>108</v>
      </c>
      <c r="R3030" s="12">
        <f>IF($J3030=0,0,ROUND(MAX($J3030*1.4*1.5*1.6*1.6,13100000*(1.429962^(MIN($E3030,123)-117)))*1,0))</f>
        <v>148378</v>
      </c>
      <c r="S3030" s="13">
        <f>$E3030+8</f>
        <v>110</v>
      </c>
      <c r="T3030" s="14">
        <f>IF($J3030=0,0,ROUND(MAX($J3030*1.4*1.5*1.6*1.6*2.2,42600000*(1.576904^(MIN($E3030,123)-117)))*1,0))</f>
        <v>326431</v>
      </c>
      <c r="U3030" s="11">
        <f>$E3030+11</f>
        <v>113</v>
      </c>
      <c r="V3030" s="12">
        <f>IF($J3030=0,0,ROUND(MAX($J3030*1.4*1.5*1.6*1.6*2.2*2.715,354000000*(1.642074^(MIN($E3030,123)-117)))*1,0))</f>
        <v>886259</v>
      </c>
      <c r="W3030" s="13">
        <f>$E3030+15</f>
        <v>117</v>
      </c>
      <c r="X3030" s="14">
        <f>IF($J3030=0,0,ROUND(MAX($J3030*1.4*1.5*1.6*1.6*2.2*2.715*2.6,3540000000*(1.579646^(MIN($E3030,123)-117)))*1,0))</f>
        <v>3720546</v>
      </c>
      <c r="Y3030" s="11">
        <f>$E3030+17</f>
        <v>119</v>
      </c>
      <c r="Z3030" s="12">
        <f>IF($J3030=0,0,ROUND(MAX($J3030*1.4*1.5*1.6*1.6*2.2*2.715*2.6*1.4,6020000000*(1.651178^(MIN($E3030,123)-117)))*1,0))</f>
        <v>3256028</v>
      </c>
      <c r="AA3030" s="13">
        <f>$E3030+19</f>
        <v>121</v>
      </c>
      <c r="AB3030" s="14">
        <f>IF($J3030=0,0,ROUND(MAX($J3030*1.4*1.5*1.6*1.6*2.2*2.715*2.6*1.4*1.4,8430000000*(1.651435^(MIN($E3030,123)-117)))*1,0))</f>
        <v>4548889</v>
      </c>
      <c r="AC3030" s="11">
        <f>$E3030+21</f>
        <v>123</v>
      </c>
      <c r="AD3030" s="12">
        <f>IF($J3030=0,0,ROUND(MAX($J3030*1.4*1.5*1.6*1.6*2.2*2.715*2.6*1.4*1.4*1.5,12600000000*(1.652953^(MIN($E3030,123)-117)))*1,0))</f>
        <v>6774567</v>
      </c>
      <c r="AE3030" s="13">
        <f>$E3030+24</f>
        <v>126</v>
      </c>
      <c r="AF3030" s="14">
        <f>IF($J3030=0,0,ROUND(MAX($J3030*1.4*1.5*1.6*1.6*2.2*2.715*2.6*1.4*1.4*1.5*1.5,18900000000*(1.65331^(MIN($E3030,123)-117)))*1,0))</f>
        <v>10161850</v>
      </c>
      <c r="AG3030" s="11">
        <f>$E3030+27</f>
        <v>129</v>
      </c>
      <c r="AH3030" s="12">
        <f>IF($J3030=0,0,ROUND(MAX($J3030*1.4*1.5*1.6*1.6*2.2*2.715*2.6*1.4*1.4*1.5*1.5*3.2,60500000000*(1.654288^(MIN($E3030,123)-117)))*1,0))</f>
        <v>32517921</v>
      </c>
    </row>
    <row r="3031" ht="28" customHeight="1" spans="1:34" x14ac:dyDescent="0.25">
      <c r="A3031">
        <v>3041</v>
      </c>
      <c r="B3031" t="s">
        <v>592</v>
      </c>
      <c r="C3031" s="10" t="s">
        <v>1673</v>
      </c>
      <c r="D3031" t="s">
        <v>75</v>
      </c>
      <c r="E3031">
        <v>102</v>
      </c>
      <c r="F3031" t="s">
        <v>258</v>
      </c>
      <c r="G3031" t="s">
        <v>27</v>
      </c>
      <c r="H3031">
        <v>21</v>
      </c>
      <c r="I3031" s="11">
        <f>$E3031+0</f>
        <v>102</v>
      </c>
      <c r="J3031" s="12">
        <v>8820</v>
      </c>
      <c r="K3031" s="13">
        <f>$E3031+1</f>
        <v>103</v>
      </c>
      <c r="L3031" s="14">
        <f>IF($J3031=0,0,ROUND(MAX($J3031*1.4,1620000*(1.497923^(MIN($E3031,123)-117)))*1,0))</f>
        <v>12348</v>
      </c>
      <c r="M3031" s="11">
        <f>$E3031+2</f>
        <v>104</v>
      </c>
      <c r="N3031" s="12">
        <f>IF($J3031=0,0,ROUND(MAX($J3031*1.4*1.5,2190000*(1.580994^(MIN($E3031,123)-117)))*1,0))</f>
        <v>18522</v>
      </c>
      <c r="O3031" s="13">
        <f>$E3031+4</f>
        <v>106</v>
      </c>
      <c r="P3031" s="14">
        <f>IF($J3031=0,0,ROUND(MAX($J3031*1.4*1.5*1.6,3500000*(1.57975^(MIN($E3031,123)-117)))*1,0))</f>
        <v>29635</v>
      </c>
      <c r="Q3031" s="11">
        <f>$E3031+6</f>
        <v>108</v>
      </c>
      <c r="R3031" s="12">
        <f>IF($J3031=0,0,ROUND(MAX($J3031*1.4*1.5*1.6*1.6,13100000*(1.429962^(MIN($E3031,123)-117)))*1,0))</f>
        <v>61292</v>
      </c>
      <c r="S3031" s="13">
        <f>$E3031+8</f>
        <v>110</v>
      </c>
      <c r="T3031" s="14">
        <f>IF($J3031=0,0,ROUND(MAX($J3031*1.4*1.5*1.6*1.6*2.2,42600000*(1.576904^(MIN($E3031,123)-117)))*1,0))</f>
        <v>104316</v>
      </c>
      <c r="U3031" s="11">
        <f>$E3031+11</f>
        <v>113</v>
      </c>
      <c r="V3031" s="12">
        <f>IF($J3031=0,0,ROUND(MAX($J3031*1.4*1.5*1.6*1.6*2.2*2.715,354000000*(1.642074^(MIN($E3031,123)-117)))*1,0))</f>
        <v>283218</v>
      </c>
      <c r="W3031" s="13">
        <f>$E3031+15</f>
        <v>117</v>
      </c>
      <c r="X3031" s="14">
        <f>IF($J3031=0,0,ROUND(MAX($J3031*1.4*1.5*1.6*1.6*2.2*2.715*2.6,3540000000*(1.579646^(MIN($E3031,123)-117)))*1,0))</f>
        <v>3720546</v>
      </c>
      <c r="Y3031" s="11">
        <f>$E3031+17</f>
        <v>119</v>
      </c>
      <c r="Z3031" s="12">
        <f>IF($J3031=0,0,ROUND(MAX($J3031*1.4*1.5*1.6*1.6*2.2*2.715*2.6*1.4,6020000000*(1.651178^(MIN($E3031,123)-117)))*1,0))</f>
        <v>3256028</v>
      </c>
      <c r="AA3031" s="13">
        <f>$E3031+19</f>
        <v>121</v>
      </c>
      <c r="AB3031" s="14">
        <f>IF($J3031=0,0,ROUND(MAX($J3031*1.4*1.5*1.6*1.6*2.2*2.715*2.6*1.4*1.4,8430000000*(1.651435^(MIN($E3031,123)-117)))*1,0))</f>
        <v>4548889</v>
      </c>
      <c r="AC3031" s="11">
        <f>$E3031+21</f>
        <v>123</v>
      </c>
      <c r="AD3031" s="12">
        <f>IF($J3031=0,0,ROUND(MAX($J3031*1.4*1.5*1.6*1.6*2.2*2.715*2.6*1.4*1.4*1.5,12600000000*(1.652953^(MIN($E3031,123)-117)))*1,0))</f>
        <v>6705991</v>
      </c>
      <c r="AE3031" s="13">
        <f>$E3031+24</f>
        <v>126</v>
      </c>
      <c r="AF3031" s="14">
        <f>IF($J3031=0,0,ROUND(MAX($J3031*1.4*1.5*1.6*1.6*2.2*2.715*2.6*1.4*1.4*1.5*1.5,18900000000*(1.65331^(MIN($E3031,123)-117)))*1,0))</f>
        <v>10026455</v>
      </c>
      <c r="AG3031" s="11">
        <f>$E3031+27</f>
        <v>129</v>
      </c>
      <c r="AH3031" s="12">
        <f>IF($J3031=0,0,ROUND(MAX($J3031*1.4*1.5*1.6*1.6*2.2*2.715*2.6*1.4*1.4*1.5*1.5*3.2,60500000000*(1.654288^(MIN($E3031,123)-117)))*1,0))</f>
        <v>31811825</v>
      </c>
    </row>
    <row r="3032" ht="28" customHeight="1" spans="1:34" x14ac:dyDescent="0.25">
      <c r="A3032">
        <v>3042</v>
      </c>
      <c r="B3032" t="s">
        <v>1192</v>
      </c>
      <c r="C3032" s="10" t="s">
        <v>1673</v>
      </c>
      <c r="D3032" t="s">
        <v>45</v>
      </c>
      <c r="E3032">
        <v>102</v>
      </c>
      <c r="F3032" t="s">
        <v>56</v>
      </c>
      <c r="G3032" t="s">
        <v>206</v>
      </c>
      <c r="H3032">
        <v>21</v>
      </c>
      <c r="I3032" s="11">
        <f>$E3032+0</f>
        <v>102</v>
      </c>
      <c r="J3032" s="12">
        <v>8560</v>
      </c>
      <c r="K3032" s="13">
        <f>$E3032+1</f>
        <v>103</v>
      </c>
      <c r="L3032" s="14">
        <f>IF($J3032=0,0,ROUND(MAX($J3032*1.4,1620000*(1.497923^(MIN($E3032,123)-117)))*1,0))</f>
        <v>11984</v>
      </c>
      <c r="M3032" s="11">
        <f>$E3032+2</f>
        <v>104</v>
      </c>
      <c r="N3032" s="12">
        <f>IF($J3032=0,0,ROUND(MAX($J3032*1.4*1.5,2190000*(1.580994^(MIN($E3032,123)-117)))*1,0))</f>
        <v>17976</v>
      </c>
      <c r="O3032" s="13">
        <f>$E3032+4</f>
        <v>106</v>
      </c>
      <c r="P3032" s="14">
        <f>IF($J3032=0,0,ROUND(MAX($J3032*1.4*1.5*1.6,3500000*(1.57975^(MIN($E3032,123)-117)))*1,0))</f>
        <v>28762</v>
      </c>
      <c r="Q3032" s="11">
        <f>$E3032+6</f>
        <v>108</v>
      </c>
      <c r="R3032" s="12">
        <f>IF($J3032=0,0,ROUND(MAX($J3032*1.4*1.5*1.6*1.6,13100000*(1.429962^(MIN($E3032,123)-117)))*1,0))</f>
        <v>61292</v>
      </c>
      <c r="S3032" s="13">
        <f>$E3032+8</f>
        <v>110</v>
      </c>
      <c r="T3032" s="14">
        <f>IF($J3032=0,0,ROUND(MAX($J3032*1.4*1.5*1.6*1.6*2.2,42600000*(1.576904^(MIN($E3032,123)-117)))*1,0))</f>
        <v>101241</v>
      </c>
      <c r="U3032" s="11">
        <f>$E3032+11</f>
        <v>113</v>
      </c>
      <c r="V3032" s="12">
        <f>IF($J3032=0,0,ROUND(MAX($J3032*1.4*1.5*1.6*1.6*2.2*2.715,354000000*(1.642074^(MIN($E3032,123)-117)))*1,0))</f>
        <v>274869</v>
      </c>
      <c r="W3032" s="13">
        <f>$E3032+15</f>
        <v>117</v>
      </c>
      <c r="X3032" s="14">
        <f>IF($J3032=0,0,ROUND(MAX($J3032*1.4*1.5*1.6*1.6*2.2*2.715*2.6,3540000000*(1.579646^(MIN($E3032,123)-117)))*1,0))</f>
        <v>3720546</v>
      </c>
      <c r="Y3032" s="11">
        <f>$E3032+17</f>
        <v>119</v>
      </c>
      <c r="Z3032" s="12">
        <f>IF($J3032=0,0,ROUND(MAX($J3032*1.4*1.5*1.6*1.6*2.2*2.715*2.6*1.4,6020000000*(1.651178^(MIN($E3032,123)-117)))*1,0))</f>
        <v>3256028</v>
      </c>
      <c r="AA3032" s="13">
        <f>$E3032+19</f>
        <v>121</v>
      </c>
      <c r="AB3032" s="14">
        <f>IF($J3032=0,0,ROUND(MAX($J3032*1.4*1.5*1.6*1.6*2.2*2.715*2.6*1.4*1.4,8430000000*(1.651435^(MIN($E3032,123)-117)))*1,0))</f>
        <v>4548889</v>
      </c>
      <c r="AC3032" s="11">
        <f>$E3032+21</f>
        <v>123</v>
      </c>
      <c r="AD3032" s="12">
        <f>IF($J3032=0,0,ROUND(MAX($J3032*1.4*1.5*1.6*1.6*2.2*2.715*2.6*1.4*1.4*1.5,12600000000*(1.652953^(MIN($E3032,123)-117)))*1,0))</f>
        <v>6705991</v>
      </c>
      <c r="AE3032" s="13">
        <f>$E3032+24</f>
        <v>126</v>
      </c>
      <c r="AF3032" s="14">
        <f>IF($J3032=0,0,ROUND(MAX($J3032*1.4*1.5*1.6*1.6*2.2*2.715*2.6*1.4*1.4*1.5*1.5,18900000000*(1.65331^(MIN($E3032,123)-117)))*1,0))</f>
        <v>10026455</v>
      </c>
      <c r="AG3032" s="11">
        <f>$E3032+27</f>
        <v>129</v>
      </c>
      <c r="AH3032" s="12">
        <f>IF($J3032=0,0,ROUND(MAX($J3032*1.4*1.5*1.6*1.6*2.2*2.715*2.6*1.4*1.4*1.5*1.5*3.2,60500000000*(1.654288^(MIN($E3032,123)-117)))*1,0))</f>
        <v>31811825</v>
      </c>
    </row>
    <row r="3033" ht="28" customHeight="1" spans="1:34" x14ac:dyDescent="0.25">
      <c r="A3033">
        <v>3043</v>
      </c>
      <c r="B3033" t="s">
        <v>1690</v>
      </c>
      <c r="C3033" s="10" t="s">
        <v>1673</v>
      </c>
      <c r="D3033" t="s">
        <v>75</v>
      </c>
      <c r="E3033">
        <v>102</v>
      </c>
      <c r="F3033" t="s">
        <v>42</v>
      </c>
      <c r="G3033" t="s">
        <v>57</v>
      </c>
      <c r="H3033">
        <v>21</v>
      </c>
      <c r="I3033" s="11">
        <f>$E3033+0</f>
        <v>102</v>
      </c>
      <c r="J3033" s="12">
        <v>22100</v>
      </c>
      <c r="K3033" s="13">
        <f>$E3033+1</f>
        <v>103</v>
      </c>
      <c r="L3033" s="14">
        <f>IF($J3033=0,0,ROUND(MAX($J3033*1.4,1620000*(1.497923^(MIN($E3033,123)-117)))*1,0))</f>
        <v>30940</v>
      </c>
      <c r="M3033" s="11">
        <f>$E3033+2</f>
        <v>104</v>
      </c>
      <c r="N3033" s="12">
        <f>IF($J3033=0,0,ROUND(MAX($J3033*1.4*1.5,2190000*(1.580994^(MIN($E3033,123)-117)))*1,0))</f>
        <v>46410</v>
      </c>
      <c r="O3033" s="13">
        <f>$E3033+4</f>
        <v>106</v>
      </c>
      <c r="P3033" s="14">
        <f>IF($J3033=0,0,ROUND(MAX($J3033*1.4*1.5*1.6,3500000*(1.57975^(MIN($E3033,123)-117)))*1,0))</f>
        <v>74256</v>
      </c>
      <c r="Q3033" s="11">
        <f>$E3033+6</f>
        <v>108</v>
      </c>
      <c r="R3033" s="12">
        <f>IF($J3033=0,0,ROUND(MAX($J3033*1.4*1.5*1.6*1.6,13100000*(1.429962^(MIN($E3033,123)-117)))*1,0))</f>
        <v>118810</v>
      </c>
      <c r="S3033" s="13">
        <f>$E3033+8</f>
        <v>110</v>
      </c>
      <c r="T3033" s="14">
        <f>IF($J3033=0,0,ROUND(MAX($J3033*1.4*1.5*1.6*1.6*2.2,42600000*(1.576904^(MIN($E3033,123)-117)))*1,0))</f>
        <v>261381</v>
      </c>
      <c r="U3033" s="11">
        <f>$E3033+11</f>
        <v>113</v>
      </c>
      <c r="V3033" s="12">
        <f>IF($J3033=0,0,ROUND(MAX($J3033*1.4*1.5*1.6*1.6*2.2*2.715,354000000*(1.642074^(MIN($E3033,123)-117)))*1,0))</f>
        <v>709650</v>
      </c>
      <c r="W3033" s="13">
        <f>$E3033+15</f>
        <v>117</v>
      </c>
      <c r="X3033" s="14">
        <f>IF($J3033=0,0,ROUND(MAX($J3033*1.4*1.5*1.6*1.6*2.2*2.715*2.6,3540000000*(1.579646^(MIN($E3033,123)-117)))*1,0))</f>
        <v>3720546</v>
      </c>
      <c r="Y3033" s="11">
        <f>$E3033+17</f>
        <v>119</v>
      </c>
      <c r="Z3033" s="12">
        <f>IF($J3033=0,0,ROUND(MAX($J3033*1.4*1.5*1.6*1.6*2.2*2.715*2.6*1.4,6020000000*(1.651178^(MIN($E3033,123)-117)))*1,0))</f>
        <v>3256028</v>
      </c>
      <c r="AA3033" s="13">
        <f>$E3033+19</f>
        <v>121</v>
      </c>
      <c r="AB3033" s="14">
        <f>IF($J3033=0,0,ROUND(MAX($J3033*1.4*1.5*1.6*1.6*2.2*2.715*2.6*1.4*1.4,8430000000*(1.651435^(MIN($E3033,123)-117)))*1,0))</f>
        <v>4548889</v>
      </c>
      <c r="AC3033" s="11">
        <f>$E3033+21</f>
        <v>123</v>
      </c>
      <c r="AD3033" s="12">
        <f>IF($J3033=0,0,ROUND(MAX($J3033*1.4*1.5*1.6*1.6*2.2*2.715*2.6*1.4*1.4*1.5,12600000000*(1.652953^(MIN($E3033,123)-117)))*1,0))</f>
        <v>6705991</v>
      </c>
      <c r="AE3033" s="13">
        <f>$E3033+24</f>
        <v>126</v>
      </c>
      <c r="AF3033" s="14">
        <f>IF($J3033=0,0,ROUND(MAX($J3033*1.4*1.5*1.6*1.6*2.2*2.715*2.6*1.4*1.4*1.5*1.5,18900000000*(1.65331^(MIN($E3033,123)-117)))*1,0))</f>
        <v>10026455</v>
      </c>
      <c r="AG3033" s="11">
        <f>$E3033+27</f>
        <v>129</v>
      </c>
      <c r="AH3033" s="12">
        <f>IF($J3033=0,0,ROUND(MAX($J3033*1.4*1.5*1.6*1.6*2.2*2.715*2.6*1.4*1.4*1.5*1.5*3.2,60500000000*(1.654288^(MIN($E3033,123)-117)))*1,0))</f>
        <v>31811825</v>
      </c>
    </row>
    <row r="3034" ht="28" customHeight="1" spans="1:34" x14ac:dyDescent="0.25">
      <c r="A3034">
        <v>3044</v>
      </c>
      <c r="B3034" t="s">
        <v>1274</v>
      </c>
      <c r="C3034" s="10" t="s">
        <v>1673</v>
      </c>
      <c r="D3034" t="s">
        <v>102</v>
      </c>
      <c r="E3034">
        <v>102</v>
      </c>
      <c r="F3034" t="s">
        <v>313</v>
      </c>
      <c r="G3034" t="s">
        <v>171</v>
      </c>
      <c r="H3034">
        <v>21</v>
      </c>
      <c r="I3034" s="11">
        <f>$E3034+0</f>
        <v>102</v>
      </c>
      <c r="J3034" s="12">
        <v>7480</v>
      </c>
      <c r="K3034" s="13">
        <f>$E3034+1</f>
        <v>103</v>
      </c>
      <c r="L3034" s="14">
        <f>IF($J3034=0,0,ROUND(MAX($J3034*1.4,1620000*(1.497923^(MIN($E3034,123)-117)))*1,0))</f>
        <v>10472</v>
      </c>
      <c r="M3034" s="11">
        <f>$E3034+2</f>
        <v>104</v>
      </c>
      <c r="N3034" s="12">
        <f>IF($J3034=0,0,ROUND(MAX($J3034*1.4*1.5,2190000*(1.580994^(MIN($E3034,123)-117)))*1,0))</f>
        <v>15708</v>
      </c>
      <c r="O3034" s="13">
        <f>$E3034+4</f>
        <v>106</v>
      </c>
      <c r="P3034" s="14">
        <f>IF($J3034=0,0,ROUND(MAX($J3034*1.4*1.5*1.6,3500000*(1.57975^(MIN($E3034,123)-117)))*1,0))</f>
        <v>25133</v>
      </c>
      <c r="Q3034" s="11">
        <f>$E3034+6</f>
        <v>108</v>
      </c>
      <c r="R3034" s="12">
        <f>IF($J3034=0,0,ROUND(MAX($J3034*1.4*1.5*1.6*1.6,13100000*(1.429962^(MIN($E3034,123)-117)))*1,0))</f>
        <v>61292</v>
      </c>
      <c r="S3034" s="13">
        <f>$E3034+8</f>
        <v>110</v>
      </c>
      <c r="T3034" s="14">
        <f>IF($J3034=0,0,ROUND(MAX($J3034*1.4*1.5*1.6*1.6*2.2,42600000*(1.576904^(MIN($E3034,123)-117)))*1,0))</f>
        <v>88467</v>
      </c>
      <c r="U3034" s="11">
        <f>$E3034+11</f>
        <v>113</v>
      </c>
      <c r="V3034" s="12">
        <f>IF($J3034=0,0,ROUND(MAX($J3034*1.4*1.5*1.6*1.6*2.2*2.715,354000000*(1.642074^(MIN($E3034,123)-117)))*1,0))</f>
        <v>240189</v>
      </c>
      <c r="W3034" s="13">
        <f>$E3034+15</f>
        <v>117</v>
      </c>
      <c r="X3034" s="14">
        <f>IF($J3034=0,0,ROUND(MAX($J3034*1.4*1.5*1.6*1.6*2.2*2.715*2.6,3540000000*(1.579646^(MIN($E3034,123)-117)))*1,0))</f>
        <v>3720546</v>
      </c>
      <c r="Y3034" s="11">
        <f>$E3034+17</f>
        <v>119</v>
      </c>
      <c r="Z3034" s="12">
        <f>IF($J3034=0,0,ROUND(MAX($J3034*1.4*1.5*1.6*1.6*2.2*2.715*2.6*1.4,6020000000*(1.651178^(MIN($E3034,123)-117)))*1,0))</f>
        <v>3256028</v>
      </c>
      <c r="AA3034" s="13">
        <f>$E3034+19</f>
        <v>121</v>
      </c>
      <c r="AB3034" s="14">
        <f>IF($J3034=0,0,ROUND(MAX($J3034*1.4*1.5*1.6*1.6*2.2*2.715*2.6*1.4*1.4,8430000000*(1.651435^(MIN($E3034,123)-117)))*1,0))</f>
        <v>4548889</v>
      </c>
      <c r="AC3034" s="11">
        <f>$E3034+21</f>
        <v>123</v>
      </c>
      <c r="AD3034" s="12">
        <f>IF($J3034=0,0,ROUND(MAX($J3034*1.4*1.5*1.6*1.6*2.2*2.715*2.6*1.4*1.4*1.5,12600000000*(1.652953^(MIN($E3034,123)-117)))*1,0))</f>
        <v>6705991</v>
      </c>
      <c r="AE3034" s="13">
        <f>$E3034+24</f>
        <v>126</v>
      </c>
      <c r="AF3034" s="14">
        <f>IF($J3034=0,0,ROUND(MAX($J3034*1.4*1.5*1.6*1.6*2.2*2.715*2.6*1.4*1.4*1.5*1.5,18900000000*(1.65331^(MIN($E3034,123)-117)))*1,0))</f>
        <v>10026455</v>
      </c>
      <c r="AG3034" s="11">
        <f>$E3034+27</f>
        <v>129</v>
      </c>
      <c r="AH3034" s="12">
        <f>IF($J3034=0,0,ROUND(MAX($J3034*1.4*1.5*1.6*1.6*2.2*2.715*2.6*1.4*1.4*1.5*1.5*3.2,60500000000*(1.654288^(MIN($E3034,123)-117)))*1,0))</f>
        <v>31811825</v>
      </c>
    </row>
    <row r="3035" ht="28" customHeight="1" spans="1:34" x14ac:dyDescent="0.25">
      <c r="A3035">
        <v>3045</v>
      </c>
      <c r="B3035" t="s">
        <v>1691</v>
      </c>
      <c r="C3035" s="10" t="s">
        <v>1673</v>
      </c>
      <c r="D3035" t="s">
        <v>64</v>
      </c>
      <c r="E3035">
        <v>102</v>
      </c>
      <c r="F3035" t="s">
        <v>267</v>
      </c>
      <c r="G3035" t="s">
        <v>813</v>
      </c>
      <c r="H3035">
        <v>21</v>
      </c>
      <c r="I3035" s="11">
        <f>$E3035+0</f>
        <v>102</v>
      </c>
      <c r="J3035" s="12">
        <v>6020</v>
      </c>
      <c r="K3035" s="13">
        <f>$E3035+1</f>
        <v>103</v>
      </c>
      <c r="L3035" s="14">
        <f>IF($J3035=0,0,ROUND(MAX($J3035*1.4,1620000*(1.497923^(MIN($E3035,123)-117)))*1,0))</f>
        <v>8428</v>
      </c>
      <c r="M3035" s="11">
        <f>$E3035+2</f>
        <v>104</v>
      </c>
      <c r="N3035" s="12">
        <f>IF($J3035=0,0,ROUND(MAX($J3035*1.4*1.5,2190000*(1.580994^(MIN($E3035,123)-117)))*1,0))</f>
        <v>12642</v>
      </c>
      <c r="O3035" s="13">
        <f>$E3035+4</f>
        <v>106</v>
      </c>
      <c r="P3035" s="14">
        <f>IF($J3035=0,0,ROUND(MAX($J3035*1.4*1.5*1.6,3500000*(1.57975^(MIN($E3035,123)-117)))*1,0))</f>
        <v>20227</v>
      </c>
      <c r="Q3035" s="11">
        <f>$E3035+6</f>
        <v>108</v>
      </c>
      <c r="R3035" s="12">
        <f>IF($J3035=0,0,ROUND(MAX($J3035*1.4*1.5*1.6*1.6,13100000*(1.429962^(MIN($E3035,123)-117)))*1,0))</f>
        <v>61292</v>
      </c>
      <c r="S3035" s="13">
        <f>$E3035+8</f>
        <v>110</v>
      </c>
      <c r="T3035" s="14">
        <f>IF($J3035=0,0,ROUND(MAX($J3035*1.4*1.5*1.6*1.6*2.2,42600000*(1.576904^(MIN($E3035,123)-117)))*1,0))</f>
        <v>71200</v>
      </c>
      <c r="U3035" s="11">
        <f>$E3035+11</f>
        <v>113</v>
      </c>
      <c r="V3035" s="12">
        <f>IF($J3035=0,0,ROUND(MAX($J3035*1.4*1.5*1.6*1.6*2.2*2.715,354000000*(1.642074^(MIN($E3035,123)-117)))*1,0))</f>
        <v>208023</v>
      </c>
      <c r="W3035" s="13">
        <f>$E3035+15</f>
        <v>117</v>
      </c>
      <c r="X3035" s="14">
        <f>IF($J3035=0,0,ROUND(MAX($J3035*1.4*1.5*1.6*1.6*2.2*2.715*2.6,3540000000*(1.579646^(MIN($E3035,123)-117)))*1,0))</f>
        <v>3720546</v>
      </c>
      <c r="Y3035" s="11">
        <f>$E3035+17</f>
        <v>119</v>
      </c>
      <c r="Z3035" s="12">
        <f>IF($J3035=0,0,ROUND(MAX($J3035*1.4*1.5*1.6*1.6*2.2*2.715*2.6*1.4,6020000000*(1.651178^(MIN($E3035,123)-117)))*1,0))</f>
        <v>3256028</v>
      </c>
      <c r="AA3035" s="13">
        <f>$E3035+19</f>
        <v>121</v>
      </c>
      <c r="AB3035" s="14">
        <f>IF($J3035=0,0,ROUND(MAX($J3035*1.4*1.5*1.6*1.6*2.2*2.715*2.6*1.4*1.4,8430000000*(1.651435^(MIN($E3035,123)-117)))*1,0))</f>
        <v>4548889</v>
      </c>
      <c r="AC3035" s="11">
        <f>$E3035+21</f>
        <v>123</v>
      </c>
      <c r="AD3035" s="12">
        <f>IF($J3035=0,0,ROUND(MAX($J3035*1.4*1.5*1.6*1.6*2.2*2.715*2.6*1.4*1.4*1.5,12600000000*(1.652953^(MIN($E3035,123)-117)))*1,0))</f>
        <v>6705991</v>
      </c>
      <c r="AE3035" s="13">
        <f>$E3035+24</f>
        <v>126</v>
      </c>
      <c r="AF3035" s="14">
        <f>IF($J3035=0,0,ROUND(MAX($J3035*1.4*1.5*1.6*1.6*2.2*2.715*2.6*1.4*1.4*1.5*1.5,18900000000*(1.65331^(MIN($E3035,123)-117)))*1,0))</f>
        <v>10026455</v>
      </c>
      <c r="AG3035" s="11">
        <f>$E3035+27</f>
        <v>129</v>
      </c>
      <c r="AH3035" s="12">
        <f>IF($J3035=0,0,ROUND(MAX($J3035*1.4*1.5*1.6*1.6*2.2*2.715*2.6*1.4*1.4*1.5*1.5*3.2,60500000000*(1.654288^(MIN($E3035,123)-117)))*1,0))</f>
        <v>31811825</v>
      </c>
    </row>
    <row r="3036" ht="28" customHeight="1" spans="1:34" x14ac:dyDescent="0.25">
      <c r="A3036">
        <v>3046</v>
      </c>
      <c r="B3036" t="s">
        <v>1692</v>
      </c>
      <c r="C3036" s="10" t="s">
        <v>1673</v>
      </c>
      <c r="D3036" t="s">
        <v>79</v>
      </c>
      <c r="E3036">
        <v>102</v>
      </c>
      <c r="F3036" t="s">
        <v>237</v>
      </c>
      <c r="G3036" t="s">
        <v>562</v>
      </c>
      <c r="H3036">
        <v>21</v>
      </c>
      <c r="I3036" s="11">
        <f>$E3036+0</f>
        <v>102</v>
      </c>
      <c r="J3036" s="12">
        <v>8100</v>
      </c>
      <c r="K3036" s="13">
        <f>$E3036+1</f>
        <v>103</v>
      </c>
      <c r="L3036" s="14">
        <f>IF($J3036=0,0,ROUND(MAX($J3036*1.4,1620000*(1.497923^(MIN($E3036,123)-117)))*1,0))</f>
        <v>11340</v>
      </c>
      <c r="M3036" s="11">
        <f>$E3036+2</f>
        <v>104</v>
      </c>
      <c r="N3036" s="12">
        <f>IF($J3036=0,0,ROUND(MAX($J3036*1.4*1.5,2190000*(1.580994^(MIN($E3036,123)-117)))*1,0))</f>
        <v>17010</v>
      </c>
      <c r="O3036" s="13">
        <f>$E3036+4</f>
        <v>106</v>
      </c>
      <c r="P3036" s="14">
        <f>IF($J3036=0,0,ROUND(MAX($J3036*1.4*1.5*1.6,3500000*(1.57975^(MIN($E3036,123)-117)))*1,0))</f>
        <v>27216</v>
      </c>
      <c r="Q3036" s="11">
        <f>$E3036+6</f>
        <v>108</v>
      </c>
      <c r="R3036" s="12">
        <f>IF($J3036=0,0,ROUND(MAX($J3036*1.4*1.5*1.6*1.6,13100000*(1.429962^(MIN($E3036,123)-117)))*1,0))</f>
        <v>61292</v>
      </c>
      <c r="S3036" s="13">
        <f>$E3036+8</f>
        <v>110</v>
      </c>
      <c r="T3036" s="14">
        <f>IF($J3036=0,0,ROUND(MAX($J3036*1.4*1.5*1.6*1.6*2.2,42600000*(1.576904^(MIN($E3036,123)-117)))*1,0))</f>
        <v>95800</v>
      </c>
      <c r="U3036" s="11">
        <f>$E3036+11</f>
        <v>113</v>
      </c>
      <c r="V3036" s="12">
        <f>IF($J3036=0,0,ROUND(MAX($J3036*1.4*1.5*1.6*1.6*2.2*2.715,354000000*(1.642074^(MIN($E3036,123)-117)))*1,0))</f>
        <v>260098</v>
      </c>
      <c r="W3036" s="13">
        <f>$E3036+15</f>
        <v>117</v>
      </c>
      <c r="X3036" s="14">
        <f>IF($J3036=0,0,ROUND(MAX($J3036*1.4*1.5*1.6*1.6*2.2*2.715*2.6,3540000000*(1.579646^(MIN($E3036,123)-117)))*1,0))</f>
        <v>3720546</v>
      </c>
      <c r="Y3036" s="11">
        <f>$E3036+17</f>
        <v>119</v>
      </c>
      <c r="Z3036" s="12">
        <f>IF($J3036=0,0,ROUND(MAX($J3036*1.4*1.5*1.6*1.6*2.2*2.715*2.6*1.4,6020000000*(1.651178^(MIN($E3036,123)-117)))*1,0))</f>
        <v>3256028</v>
      </c>
      <c r="AA3036" s="13">
        <f>$E3036+19</f>
        <v>121</v>
      </c>
      <c r="AB3036" s="14">
        <f>IF($J3036=0,0,ROUND(MAX($J3036*1.4*1.5*1.6*1.6*2.2*2.715*2.6*1.4*1.4,8430000000*(1.651435^(MIN($E3036,123)-117)))*1,0))</f>
        <v>4548889</v>
      </c>
      <c r="AC3036" s="11">
        <f>$E3036+21</f>
        <v>123</v>
      </c>
      <c r="AD3036" s="12">
        <f>IF($J3036=0,0,ROUND(MAX($J3036*1.4*1.5*1.6*1.6*2.2*2.715*2.6*1.4*1.4*1.5,12600000000*(1.652953^(MIN($E3036,123)-117)))*1,0))</f>
        <v>6705991</v>
      </c>
      <c r="AE3036" s="13">
        <f>$E3036+24</f>
        <v>126</v>
      </c>
      <c r="AF3036" s="14">
        <f>IF($J3036=0,0,ROUND(MAX($J3036*1.4*1.5*1.6*1.6*2.2*2.715*2.6*1.4*1.4*1.5*1.5,18900000000*(1.65331^(MIN($E3036,123)-117)))*1,0))</f>
        <v>10026455</v>
      </c>
      <c r="AG3036" s="11">
        <f>$E3036+27</f>
        <v>129</v>
      </c>
      <c r="AH3036" s="12">
        <f>IF($J3036=0,0,ROUND(MAX($J3036*1.4*1.5*1.6*1.6*2.2*2.715*2.6*1.4*1.4*1.5*1.5*3.2,60500000000*(1.654288^(MIN($E3036,123)-117)))*1,0))</f>
        <v>31811825</v>
      </c>
    </row>
    <row r="3037" ht="28" customHeight="1" spans="1:34" x14ac:dyDescent="0.25">
      <c r="A3037">
        <v>3047</v>
      </c>
      <c r="B3037" t="s">
        <v>1693</v>
      </c>
      <c r="C3037" s="10" t="s">
        <v>1673</v>
      </c>
      <c r="D3037" t="s">
        <v>45</v>
      </c>
      <c r="E3037">
        <v>102</v>
      </c>
      <c r="F3037" t="s">
        <v>179</v>
      </c>
      <c r="G3037" t="s">
        <v>828</v>
      </c>
      <c r="H3037">
        <v>21</v>
      </c>
      <c r="I3037" s="11">
        <f>$E3037+0</f>
        <v>102</v>
      </c>
      <c r="J3037" s="12">
        <v>4610</v>
      </c>
      <c r="K3037" s="13">
        <f>$E3037+1</f>
        <v>103</v>
      </c>
      <c r="L3037" s="14">
        <f>IF($J3037=0,0,ROUND(MAX($J3037*1.4,1620000*(1.497923^(MIN($E3037,123)-117)))*1,0))</f>
        <v>6454</v>
      </c>
      <c r="M3037" s="11">
        <f>$E3037+2</f>
        <v>104</v>
      </c>
      <c r="N3037" s="12">
        <f>IF($J3037=0,0,ROUND(MAX($J3037*1.4*1.5,2190000*(1.580994^(MIN($E3037,123)-117)))*1,0))</f>
        <v>9681</v>
      </c>
      <c r="O3037" s="13">
        <f>$E3037+4</f>
        <v>106</v>
      </c>
      <c r="P3037" s="14">
        <f>IF($J3037=0,0,ROUND(MAX($J3037*1.4*1.5*1.6,3500000*(1.57975^(MIN($E3037,123)-117)))*1,0))</f>
        <v>15490</v>
      </c>
      <c r="Q3037" s="11">
        <f>$E3037+6</f>
        <v>108</v>
      </c>
      <c r="R3037" s="12">
        <f>IF($J3037=0,0,ROUND(MAX($J3037*1.4*1.5*1.6*1.6,13100000*(1.429962^(MIN($E3037,123)-117)))*1,0))</f>
        <v>61292</v>
      </c>
      <c r="S3037" s="13">
        <f>$E3037+8</f>
        <v>110</v>
      </c>
      <c r="T3037" s="14">
        <f>IF($J3037=0,0,ROUND(MAX($J3037*1.4*1.5*1.6*1.6*2.2,42600000*(1.576904^(MIN($E3037,123)-117)))*1,0))</f>
        <v>54523</v>
      </c>
      <c r="U3037" s="11">
        <f>$E3037+11</f>
        <v>113</v>
      </c>
      <c r="V3037" s="12">
        <f>IF($J3037=0,0,ROUND(MAX($J3037*1.4*1.5*1.6*1.6*2.2*2.715,354000000*(1.642074^(MIN($E3037,123)-117)))*1,0))</f>
        <v>208023</v>
      </c>
      <c r="W3037" s="13">
        <f>$E3037+15</f>
        <v>117</v>
      </c>
      <c r="X3037" s="14">
        <f>IF($J3037=0,0,ROUND(MAX($J3037*1.4*1.5*1.6*1.6*2.2*2.715*2.6,3540000000*(1.579646^(MIN($E3037,123)-117)))*1,0))</f>
        <v>3720546</v>
      </c>
      <c r="Y3037" s="11">
        <f>$E3037+17</f>
        <v>119</v>
      </c>
      <c r="Z3037" s="12">
        <f>IF($J3037=0,0,ROUND(MAX($J3037*1.4*1.5*1.6*1.6*2.2*2.715*2.6*1.4,6020000000*(1.651178^(MIN($E3037,123)-117)))*1,0))</f>
        <v>3256028</v>
      </c>
      <c r="AA3037" s="13">
        <f>$E3037+19</f>
        <v>121</v>
      </c>
      <c r="AB3037" s="14">
        <f>IF($J3037=0,0,ROUND(MAX($J3037*1.4*1.5*1.6*1.6*2.2*2.715*2.6*1.4*1.4,8430000000*(1.651435^(MIN($E3037,123)-117)))*1,0))</f>
        <v>4548889</v>
      </c>
      <c r="AC3037" s="11">
        <f>$E3037+21</f>
        <v>123</v>
      </c>
      <c r="AD3037" s="12">
        <f>IF($J3037=0,0,ROUND(MAX($J3037*1.4*1.5*1.6*1.6*2.2*2.715*2.6*1.4*1.4*1.5,12600000000*(1.652953^(MIN($E3037,123)-117)))*1,0))</f>
        <v>6705991</v>
      </c>
      <c r="AE3037" s="13">
        <f>$E3037+24</f>
        <v>126</v>
      </c>
      <c r="AF3037" s="14">
        <f>IF($J3037=0,0,ROUND(MAX($J3037*1.4*1.5*1.6*1.6*2.2*2.715*2.6*1.4*1.4*1.5*1.5,18900000000*(1.65331^(MIN($E3037,123)-117)))*1,0))</f>
        <v>10026455</v>
      </c>
      <c r="AG3037" s="11">
        <f>$E3037+27</f>
        <v>129</v>
      </c>
      <c r="AH3037" s="12">
        <f>IF($J3037=0,0,ROUND(MAX($J3037*1.4*1.5*1.6*1.6*2.2*2.715*2.6*1.4*1.4*1.5*1.5*3.2,60500000000*(1.654288^(MIN($E3037,123)-117)))*1,0))</f>
        <v>31811825</v>
      </c>
    </row>
    <row r="3038" ht="28" customHeight="1" spans="1:34" x14ac:dyDescent="0.25">
      <c r="A3038">
        <v>3048</v>
      </c>
      <c r="B3038" t="s">
        <v>1694</v>
      </c>
      <c r="C3038" s="10" t="s">
        <v>1673</v>
      </c>
      <c r="D3038" t="s">
        <v>33</v>
      </c>
      <c r="E3038">
        <v>102</v>
      </c>
      <c r="F3038" t="s">
        <v>56</v>
      </c>
      <c r="G3038" t="s">
        <v>98</v>
      </c>
      <c r="H3038">
        <v>21</v>
      </c>
      <c r="I3038" s="11">
        <f>$E3038+0</f>
        <v>102</v>
      </c>
      <c r="J3038" s="12">
        <v>4910</v>
      </c>
      <c r="K3038" s="13">
        <f>$E3038+1</f>
        <v>103</v>
      </c>
      <c r="L3038" s="14">
        <f>IF($J3038=0,0,ROUND(MAX($J3038*1.4,1620000*(1.497923^(MIN($E3038,123)-117)))*1,0))</f>
        <v>6874</v>
      </c>
      <c r="M3038" s="11">
        <f>$E3038+2</f>
        <v>104</v>
      </c>
      <c r="N3038" s="12">
        <f>IF($J3038=0,0,ROUND(MAX($J3038*1.4*1.5,2190000*(1.580994^(MIN($E3038,123)-117)))*1,0))</f>
        <v>10311</v>
      </c>
      <c r="O3038" s="13">
        <f>$E3038+4</f>
        <v>106</v>
      </c>
      <c r="P3038" s="14">
        <f>IF($J3038=0,0,ROUND(MAX($J3038*1.4*1.5*1.6,3500000*(1.57975^(MIN($E3038,123)-117)))*1,0))</f>
        <v>16498</v>
      </c>
      <c r="Q3038" s="11">
        <f>$E3038+6</f>
        <v>108</v>
      </c>
      <c r="R3038" s="12">
        <f>IF($J3038=0,0,ROUND(MAX($J3038*1.4*1.5*1.6*1.6,13100000*(1.429962^(MIN($E3038,123)-117)))*1,0))</f>
        <v>61292</v>
      </c>
      <c r="S3038" s="13">
        <f>$E3038+8</f>
        <v>110</v>
      </c>
      <c r="T3038" s="14">
        <f>IF($J3038=0,0,ROUND(MAX($J3038*1.4*1.5*1.6*1.6*2.2,42600000*(1.576904^(MIN($E3038,123)-117)))*1,0))</f>
        <v>58072</v>
      </c>
      <c r="U3038" s="11">
        <f>$E3038+11</f>
        <v>113</v>
      </c>
      <c r="V3038" s="12">
        <f>IF($J3038=0,0,ROUND(MAX($J3038*1.4*1.5*1.6*1.6*2.2*2.715,354000000*(1.642074^(MIN($E3038,123)-117)))*1,0))</f>
        <v>208023</v>
      </c>
      <c r="W3038" s="13">
        <f>$E3038+15</f>
        <v>117</v>
      </c>
      <c r="X3038" s="14">
        <f>IF($J3038=0,0,ROUND(MAX($J3038*1.4*1.5*1.6*1.6*2.2*2.715*2.6,3540000000*(1.579646^(MIN($E3038,123)-117)))*1,0))</f>
        <v>3720546</v>
      </c>
      <c r="Y3038" s="11">
        <f>$E3038+17</f>
        <v>119</v>
      </c>
      <c r="Z3038" s="12">
        <f>IF($J3038=0,0,ROUND(MAX($J3038*1.4*1.5*1.6*1.6*2.2*2.715*2.6*1.4,6020000000*(1.651178^(MIN($E3038,123)-117)))*1,0))</f>
        <v>3256028</v>
      </c>
      <c r="AA3038" s="13">
        <f>$E3038+19</f>
        <v>121</v>
      </c>
      <c r="AB3038" s="14">
        <f>IF($J3038=0,0,ROUND(MAX($J3038*1.4*1.5*1.6*1.6*2.2*2.715*2.6*1.4*1.4,8430000000*(1.651435^(MIN($E3038,123)-117)))*1,0))</f>
        <v>4548889</v>
      </c>
      <c r="AC3038" s="11">
        <f>$E3038+21</f>
        <v>123</v>
      </c>
      <c r="AD3038" s="12">
        <f>IF($J3038=0,0,ROUND(MAX($J3038*1.4*1.5*1.6*1.6*2.2*2.715*2.6*1.4*1.4*1.5,12600000000*(1.652953^(MIN($E3038,123)-117)))*1,0))</f>
        <v>6705991</v>
      </c>
      <c r="AE3038" s="13">
        <f>$E3038+24</f>
        <v>126</v>
      </c>
      <c r="AF3038" s="14">
        <f>IF($J3038=0,0,ROUND(MAX($J3038*1.4*1.5*1.6*1.6*2.2*2.715*2.6*1.4*1.4*1.5*1.5,18900000000*(1.65331^(MIN($E3038,123)-117)))*1,0))</f>
        <v>10026455</v>
      </c>
      <c r="AG3038" s="11">
        <f>$E3038+27</f>
        <v>129</v>
      </c>
      <c r="AH3038" s="12">
        <f>IF($J3038=0,0,ROUND(MAX($J3038*1.4*1.5*1.6*1.6*2.2*2.715*2.6*1.4*1.4*1.5*1.5*3.2,60500000000*(1.654288^(MIN($E3038,123)-117)))*1,0))</f>
        <v>31811825</v>
      </c>
    </row>
    <row r="3039" ht="28" customHeight="1" spans="1:34" x14ac:dyDescent="0.25">
      <c r="A3039">
        <v>3049</v>
      </c>
      <c r="B3039" t="s">
        <v>902</v>
      </c>
      <c r="C3039" s="10" t="s">
        <v>1673</v>
      </c>
      <c r="D3039" t="s">
        <v>75</v>
      </c>
      <c r="E3039">
        <v>102</v>
      </c>
      <c r="F3039" t="s">
        <v>88</v>
      </c>
      <c r="G3039" t="s">
        <v>801</v>
      </c>
      <c r="H3039">
        <v>21</v>
      </c>
      <c r="I3039" s="11">
        <f>$E3039+0</f>
        <v>102</v>
      </c>
      <c r="J3039" s="12">
        <v>7950</v>
      </c>
      <c r="K3039" s="13">
        <f>$E3039+1</f>
        <v>103</v>
      </c>
      <c r="L3039" s="14">
        <f>IF($J3039=0,0,ROUND(MAX($J3039*1.4,1620000*(1.497923^(MIN($E3039,123)-117)))*1,0))</f>
        <v>11130</v>
      </c>
      <c r="M3039" s="11">
        <f>$E3039+2</f>
        <v>104</v>
      </c>
      <c r="N3039" s="12">
        <f>IF($J3039=0,0,ROUND(MAX($J3039*1.4*1.5,2190000*(1.580994^(MIN($E3039,123)-117)))*1,0))</f>
        <v>16695</v>
      </c>
      <c r="O3039" s="13">
        <f>$E3039+4</f>
        <v>106</v>
      </c>
      <c r="P3039" s="14">
        <f>IF($J3039=0,0,ROUND(MAX($J3039*1.4*1.5*1.6,3500000*(1.57975^(MIN($E3039,123)-117)))*1,0))</f>
        <v>26712</v>
      </c>
      <c r="Q3039" s="11">
        <f>$E3039+6</f>
        <v>108</v>
      </c>
      <c r="R3039" s="12">
        <f>IF($J3039=0,0,ROUND(MAX($J3039*1.4*1.5*1.6*1.6,13100000*(1.429962^(MIN($E3039,123)-117)))*1,0))</f>
        <v>61292</v>
      </c>
      <c r="S3039" s="13">
        <f>$E3039+8</f>
        <v>110</v>
      </c>
      <c r="T3039" s="14">
        <f>IF($J3039=0,0,ROUND(MAX($J3039*1.4*1.5*1.6*1.6*2.2,42600000*(1.576904^(MIN($E3039,123)-117)))*1,0))</f>
        <v>94026</v>
      </c>
      <c r="U3039" s="11">
        <f>$E3039+11</f>
        <v>113</v>
      </c>
      <c r="V3039" s="12">
        <f>IF($J3039=0,0,ROUND(MAX($J3039*1.4*1.5*1.6*1.6*2.2*2.715,354000000*(1.642074^(MIN($E3039,123)-117)))*1,0))</f>
        <v>255281</v>
      </c>
      <c r="W3039" s="13">
        <f>$E3039+15</f>
        <v>117</v>
      </c>
      <c r="X3039" s="14">
        <f>IF($J3039=0,0,ROUND(MAX($J3039*1.4*1.5*1.6*1.6*2.2*2.715*2.6,3540000000*(1.579646^(MIN($E3039,123)-117)))*1,0))</f>
        <v>3720546</v>
      </c>
      <c r="Y3039" s="11">
        <f>$E3039+17</f>
        <v>119</v>
      </c>
      <c r="Z3039" s="12">
        <f>IF($J3039=0,0,ROUND(MAX($J3039*1.4*1.5*1.6*1.6*2.2*2.715*2.6*1.4,6020000000*(1.651178^(MIN($E3039,123)-117)))*1,0))</f>
        <v>3256028</v>
      </c>
      <c r="AA3039" s="13">
        <f>$E3039+19</f>
        <v>121</v>
      </c>
      <c r="AB3039" s="14">
        <f>IF($J3039=0,0,ROUND(MAX($J3039*1.4*1.5*1.6*1.6*2.2*2.715*2.6*1.4*1.4,8430000000*(1.651435^(MIN($E3039,123)-117)))*1,0))</f>
        <v>4548889</v>
      </c>
      <c r="AC3039" s="11">
        <f>$E3039+21</f>
        <v>123</v>
      </c>
      <c r="AD3039" s="12">
        <f>IF($J3039=0,0,ROUND(MAX($J3039*1.4*1.5*1.6*1.6*2.2*2.715*2.6*1.4*1.4*1.5,12600000000*(1.652953^(MIN($E3039,123)-117)))*1,0))</f>
        <v>6705991</v>
      </c>
      <c r="AE3039" s="13">
        <f>$E3039+24</f>
        <v>126</v>
      </c>
      <c r="AF3039" s="14">
        <f>IF($J3039=0,0,ROUND(MAX($J3039*1.4*1.5*1.6*1.6*2.2*2.715*2.6*1.4*1.4*1.5*1.5,18900000000*(1.65331^(MIN($E3039,123)-117)))*1,0))</f>
        <v>10026455</v>
      </c>
      <c r="AG3039" s="11">
        <f>$E3039+27</f>
        <v>129</v>
      </c>
      <c r="AH3039" s="12">
        <f>IF($J3039=0,0,ROUND(MAX($J3039*1.4*1.5*1.6*1.6*2.2*2.715*2.6*1.4*1.4*1.5*1.5*3.2,60500000000*(1.654288^(MIN($E3039,123)-117)))*1,0))</f>
        <v>31811825</v>
      </c>
    </row>
    <row r="3040" ht="28" customHeight="1" spans="1:34" x14ac:dyDescent="0.25">
      <c r="A3040">
        <v>3050</v>
      </c>
      <c r="B3040" t="s">
        <v>611</v>
      </c>
      <c r="C3040" s="10" t="s">
        <v>1673</v>
      </c>
      <c r="D3040" t="s">
        <v>45</v>
      </c>
      <c r="E3040">
        <v>102</v>
      </c>
      <c r="F3040" t="s">
        <v>116</v>
      </c>
      <c r="G3040" t="s">
        <v>27</v>
      </c>
      <c r="H3040">
        <v>21</v>
      </c>
      <c r="I3040" s="11">
        <f>$E3040+0</f>
        <v>102</v>
      </c>
      <c r="J3040" s="12">
        <v>7110</v>
      </c>
      <c r="K3040" s="13">
        <f>$E3040+1</f>
        <v>103</v>
      </c>
      <c r="L3040" s="14">
        <f>IF($J3040=0,0,ROUND(MAX($J3040*1.4,1620000*(1.497923^(MIN($E3040,123)-117)))*1,0))</f>
        <v>9954</v>
      </c>
      <c r="M3040" s="11">
        <f>$E3040+2</f>
        <v>104</v>
      </c>
      <c r="N3040" s="12">
        <f>IF($J3040=0,0,ROUND(MAX($J3040*1.4*1.5,2190000*(1.580994^(MIN($E3040,123)-117)))*1,0))</f>
        <v>14931</v>
      </c>
      <c r="O3040" s="13">
        <f>$E3040+4</f>
        <v>106</v>
      </c>
      <c r="P3040" s="14">
        <f>IF($J3040=0,0,ROUND(MAX($J3040*1.4*1.5*1.6,3500000*(1.57975^(MIN($E3040,123)-117)))*1,0))</f>
        <v>23890</v>
      </c>
      <c r="Q3040" s="11">
        <f>$E3040+6</f>
        <v>108</v>
      </c>
      <c r="R3040" s="12">
        <f>IF($J3040=0,0,ROUND(MAX($J3040*1.4*1.5*1.6*1.6,13100000*(1.429962^(MIN($E3040,123)-117)))*1,0))</f>
        <v>61292</v>
      </c>
      <c r="S3040" s="13">
        <f>$E3040+8</f>
        <v>110</v>
      </c>
      <c r="T3040" s="14">
        <f>IF($J3040=0,0,ROUND(MAX($J3040*1.4*1.5*1.6*1.6*2.2,42600000*(1.576904^(MIN($E3040,123)-117)))*1,0))</f>
        <v>84091</v>
      </c>
      <c r="U3040" s="11">
        <f>$E3040+11</f>
        <v>113</v>
      </c>
      <c r="V3040" s="12">
        <f>IF($J3040=0,0,ROUND(MAX($J3040*1.4*1.5*1.6*1.6*2.2*2.715,354000000*(1.642074^(MIN($E3040,123)-117)))*1,0))</f>
        <v>228308</v>
      </c>
      <c r="W3040" s="13">
        <f>$E3040+15</f>
        <v>117</v>
      </c>
      <c r="X3040" s="14">
        <f>IF($J3040=0,0,ROUND(MAX($J3040*1.4*1.5*1.6*1.6*2.2*2.715*2.6,3540000000*(1.579646^(MIN($E3040,123)-117)))*1,0))</f>
        <v>3720546</v>
      </c>
      <c r="Y3040" s="11">
        <f>$E3040+17</f>
        <v>119</v>
      </c>
      <c r="Z3040" s="12">
        <f>IF($J3040=0,0,ROUND(MAX($J3040*1.4*1.5*1.6*1.6*2.2*2.715*2.6*1.4,6020000000*(1.651178^(MIN($E3040,123)-117)))*1,0))</f>
        <v>3256028</v>
      </c>
      <c r="AA3040" s="13">
        <f>$E3040+19</f>
        <v>121</v>
      </c>
      <c r="AB3040" s="14">
        <f>IF($J3040=0,0,ROUND(MAX($J3040*1.4*1.5*1.6*1.6*2.2*2.715*2.6*1.4*1.4,8430000000*(1.651435^(MIN($E3040,123)-117)))*1,0))</f>
        <v>4548889</v>
      </c>
      <c r="AC3040" s="11">
        <f>$E3040+21</f>
        <v>123</v>
      </c>
      <c r="AD3040" s="12">
        <f>IF($J3040=0,0,ROUND(MAX($J3040*1.4*1.5*1.6*1.6*2.2*2.715*2.6*1.4*1.4*1.5,12600000000*(1.652953^(MIN($E3040,123)-117)))*1,0))</f>
        <v>6705991</v>
      </c>
      <c r="AE3040" s="13">
        <f>$E3040+24</f>
        <v>126</v>
      </c>
      <c r="AF3040" s="14">
        <f>IF($J3040=0,0,ROUND(MAX($J3040*1.4*1.5*1.6*1.6*2.2*2.715*2.6*1.4*1.4*1.5*1.5,18900000000*(1.65331^(MIN($E3040,123)-117)))*1,0))</f>
        <v>10026455</v>
      </c>
      <c r="AG3040" s="11">
        <f>$E3040+27</f>
        <v>129</v>
      </c>
      <c r="AH3040" s="12">
        <f>IF($J3040=0,0,ROUND(MAX($J3040*1.4*1.5*1.6*1.6*2.2*2.715*2.6*1.4*1.4*1.5*1.5*3.2,60500000000*(1.654288^(MIN($E3040,123)-117)))*1,0))</f>
        <v>31811825</v>
      </c>
    </row>
    <row r="3041" ht="28" customHeight="1" spans="1:34" x14ac:dyDescent="0.25">
      <c r="A3041">
        <v>3051</v>
      </c>
      <c r="B3041" t="s">
        <v>1695</v>
      </c>
      <c r="C3041" s="10" t="s">
        <v>1673</v>
      </c>
      <c r="D3041" t="s">
        <v>33</v>
      </c>
      <c r="E3041">
        <v>102</v>
      </c>
      <c r="F3041" t="s">
        <v>54</v>
      </c>
      <c r="G3041" t="s">
        <v>1312</v>
      </c>
      <c r="H3041">
        <v>20</v>
      </c>
      <c r="I3041" s="11">
        <f>$E3041+0</f>
        <v>102</v>
      </c>
      <c r="J3041" s="12">
        <v>5140</v>
      </c>
      <c r="K3041" s="13">
        <f>$E3041+1</f>
        <v>103</v>
      </c>
      <c r="L3041" s="14">
        <f>IF($J3041=0,0,ROUND(MAX($J3041*1.4,1620000*(1.497923^(MIN($E3041,123)-117)))*1,0))</f>
        <v>7196</v>
      </c>
      <c r="M3041" s="11">
        <f>$E3041+2</f>
        <v>104</v>
      </c>
      <c r="N3041" s="12">
        <f>IF($J3041=0,0,ROUND(MAX($J3041*1.4*1.5,2190000*(1.580994^(MIN($E3041,123)-117)))*1,0))</f>
        <v>10794</v>
      </c>
      <c r="O3041" s="13">
        <f>$E3041+4</f>
        <v>106</v>
      </c>
      <c r="P3041" s="14">
        <f>IF($J3041=0,0,ROUND(MAX($J3041*1.4*1.5*1.6,3500000*(1.57975^(MIN($E3041,123)-117)))*1,0))</f>
        <v>17270</v>
      </c>
      <c r="Q3041" s="11">
        <f>$E3041+6</f>
        <v>108</v>
      </c>
      <c r="R3041" s="12">
        <f>IF($J3041=0,0,ROUND(MAX($J3041*1.4*1.5*1.6*1.6,13100000*(1.429962^(MIN($E3041,123)-117)))*1,0))</f>
        <v>61292</v>
      </c>
      <c r="S3041" s="13">
        <f>$E3041+8</f>
        <v>110</v>
      </c>
      <c r="T3041" s="14">
        <f>IF($J3041=0,0,ROUND(MAX($J3041*1.4*1.5*1.6*1.6*2.2,42600000*(1.576904^(MIN($E3041,123)-117)))*1,0))</f>
        <v>60792</v>
      </c>
      <c r="U3041" s="11">
        <f>$E3041+11</f>
        <v>113</v>
      </c>
      <c r="V3041" s="12">
        <f>IF($J3041=0,0,ROUND(MAX($J3041*1.4*1.5*1.6*1.6*2.2*2.715,354000000*(1.642074^(MIN($E3041,123)-117)))*1,0))</f>
        <v>208023</v>
      </c>
      <c r="W3041" s="13">
        <f>$E3041+15</f>
        <v>117</v>
      </c>
      <c r="X3041" s="14">
        <f>IF($J3041=0,0,ROUND(MAX($J3041*1.4*1.5*1.6*1.6*2.2*2.715*2.6,3540000000*(1.579646^(MIN($E3041,123)-117)))*1,0))</f>
        <v>3720546</v>
      </c>
      <c r="Y3041" s="11">
        <f>$E3041+17</f>
        <v>119</v>
      </c>
      <c r="Z3041" s="12">
        <f>IF($J3041=0,0,ROUND(MAX($J3041*1.4*1.5*1.6*1.6*2.2*2.715*2.6*1.4,6020000000*(1.651178^(MIN($E3041,123)-117)))*1,0))</f>
        <v>3256028</v>
      </c>
      <c r="AA3041" s="13">
        <f>$E3041+19</f>
        <v>121</v>
      </c>
      <c r="AB3041" s="14">
        <f>IF($J3041=0,0,ROUND(MAX($J3041*1.4*1.5*1.6*1.6*2.2*2.715*2.6*1.4*1.4,8430000000*(1.651435^(MIN($E3041,123)-117)))*1,0))</f>
        <v>4548889</v>
      </c>
      <c r="AC3041" s="11">
        <f>$E3041+21</f>
        <v>123</v>
      </c>
      <c r="AD3041" s="12">
        <f>IF($J3041=0,0,ROUND(MAX($J3041*1.4*1.5*1.6*1.6*2.2*2.715*2.6*1.4*1.4*1.5,12600000000*(1.652953^(MIN($E3041,123)-117)))*1,0))</f>
        <v>6705991</v>
      </c>
      <c r="AE3041" s="13">
        <f>$E3041+24</f>
        <v>126</v>
      </c>
      <c r="AF3041" s="14">
        <f>IF($J3041=0,0,ROUND(MAX($J3041*1.4*1.5*1.6*1.6*2.2*2.715*2.6*1.4*1.4*1.5*1.5,18900000000*(1.65331^(MIN($E3041,123)-117)))*1,0))</f>
        <v>10026455</v>
      </c>
      <c r="AG3041" s="11">
        <f>$E3041+27</f>
        <v>129</v>
      </c>
      <c r="AH3041" s="12">
        <f>IF($J3041=0,0,ROUND(MAX($J3041*1.4*1.5*1.6*1.6*2.2*2.715*2.6*1.4*1.4*1.5*1.5*3.2,60500000000*(1.654288^(MIN($E3041,123)-117)))*1,0))</f>
        <v>31811825</v>
      </c>
    </row>
    <row r="3042" ht="28" customHeight="1" spans="1:34" x14ac:dyDescent="0.25">
      <c r="A3042">
        <v>3052</v>
      </c>
      <c r="B3042" t="s">
        <v>1696</v>
      </c>
      <c r="C3042" s="10" t="s">
        <v>1673</v>
      </c>
      <c r="D3042" t="s">
        <v>47</v>
      </c>
      <c r="E3042">
        <v>102</v>
      </c>
      <c r="F3042" t="s">
        <v>56</v>
      </c>
      <c r="G3042" t="s">
        <v>86</v>
      </c>
      <c r="H3042">
        <v>18</v>
      </c>
      <c r="I3042" s="11">
        <f>$E3042+0</f>
        <v>102</v>
      </c>
      <c r="J3042" s="12">
        <v>8810</v>
      </c>
      <c r="K3042" s="13">
        <f>$E3042+1</f>
        <v>103</v>
      </c>
      <c r="L3042" s="14">
        <f>IF($J3042=0,0,ROUND(MAX($J3042*1.4,1620000*(1.497923^(MIN($E3042,123)-117)))*1,0))</f>
        <v>12334</v>
      </c>
      <c r="M3042" s="11">
        <f>$E3042+2</f>
        <v>104</v>
      </c>
      <c r="N3042" s="12">
        <f>IF($J3042=0,0,ROUND(MAX($J3042*1.4*1.5,2190000*(1.580994^(MIN($E3042,123)-117)))*1,0))</f>
        <v>18501</v>
      </c>
      <c r="O3042" s="13">
        <f>$E3042+4</f>
        <v>106</v>
      </c>
      <c r="P3042" s="14">
        <f>IF($J3042=0,0,ROUND(MAX($J3042*1.4*1.5*1.6,3500000*(1.57975^(MIN($E3042,123)-117)))*1,0))</f>
        <v>29602</v>
      </c>
      <c r="Q3042" s="11">
        <f>$E3042+6</f>
        <v>108</v>
      </c>
      <c r="R3042" s="12">
        <f>IF($J3042=0,0,ROUND(MAX($J3042*1.4*1.5*1.6*1.6,13100000*(1.429962^(MIN($E3042,123)-117)))*1,0))</f>
        <v>61292</v>
      </c>
      <c r="S3042" s="13">
        <f>$E3042+8</f>
        <v>110</v>
      </c>
      <c r="T3042" s="14">
        <f>IF($J3042=0,0,ROUND(MAX($J3042*1.4*1.5*1.6*1.6*2.2,42600000*(1.576904^(MIN($E3042,123)-117)))*1,0))</f>
        <v>104198</v>
      </c>
      <c r="U3042" s="11">
        <f>$E3042+11</f>
        <v>113</v>
      </c>
      <c r="V3042" s="12">
        <f>IF($J3042=0,0,ROUND(MAX($J3042*1.4*1.5*1.6*1.6*2.2*2.715,354000000*(1.642074^(MIN($E3042,123)-117)))*1,0))</f>
        <v>282897</v>
      </c>
      <c r="W3042" s="13">
        <f>$E3042+15</f>
        <v>117</v>
      </c>
      <c r="X3042" s="14">
        <f>IF($J3042=0,0,ROUND(MAX($J3042*1.4*1.5*1.6*1.6*2.2*2.715*2.6,3540000000*(1.579646^(MIN($E3042,123)-117)))*1,0))</f>
        <v>3720546</v>
      </c>
      <c r="Y3042" s="11">
        <f>$E3042+17</f>
        <v>119</v>
      </c>
      <c r="Z3042" s="12">
        <f>IF($J3042=0,0,ROUND(MAX($J3042*1.4*1.5*1.6*1.6*2.2*2.715*2.6*1.4,6020000000*(1.651178^(MIN($E3042,123)-117)))*1,0))</f>
        <v>3256028</v>
      </c>
      <c r="AA3042" s="13">
        <f>$E3042+19</f>
        <v>121</v>
      </c>
      <c r="AB3042" s="14">
        <f>IF($J3042=0,0,ROUND(MAX($J3042*1.4*1.5*1.6*1.6*2.2*2.715*2.6*1.4*1.4,8430000000*(1.651435^(MIN($E3042,123)-117)))*1,0))</f>
        <v>4548889</v>
      </c>
      <c r="AC3042" s="11">
        <f>$E3042+21</f>
        <v>123</v>
      </c>
      <c r="AD3042" s="12">
        <f>IF($J3042=0,0,ROUND(MAX($J3042*1.4*1.5*1.6*1.6*2.2*2.715*2.6*1.4*1.4*1.5,12600000000*(1.652953^(MIN($E3042,123)-117)))*1,0))</f>
        <v>6705991</v>
      </c>
      <c r="AE3042" s="13">
        <f>$E3042+24</f>
        <v>126</v>
      </c>
      <c r="AF3042" s="14">
        <f>IF($J3042=0,0,ROUND(MAX($J3042*1.4*1.5*1.6*1.6*2.2*2.715*2.6*1.4*1.4*1.5*1.5,18900000000*(1.65331^(MIN($E3042,123)-117)))*1,0))</f>
        <v>10026455</v>
      </c>
      <c r="AG3042" s="11">
        <f>$E3042+27</f>
        <v>129</v>
      </c>
      <c r="AH3042" s="12">
        <f>IF($J3042=0,0,ROUND(MAX($J3042*1.4*1.5*1.6*1.6*2.2*2.715*2.6*1.4*1.4*1.5*1.5*3.2,60500000000*(1.654288^(MIN($E3042,123)-117)))*1,0))</f>
        <v>31811825</v>
      </c>
    </row>
    <row r="3043" ht="28" customHeight="1" spans="1:34" x14ac:dyDescent="0.25">
      <c r="A3043">
        <v>3053</v>
      </c>
      <c r="B3043" t="s">
        <v>843</v>
      </c>
      <c r="C3043" s="10" t="s">
        <v>1673</v>
      </c>
      <c r="D3043" t="s">
        <v>40</v>
      </c>
      <c r="E3043">
        <v>101</v>
      </c>
      <c r="F3043" t="s">
        <v>353</v>
      </c>
      <c r="G3043" t="s">
        <v>1312</v>
      </c>
      <c r="H3043">
        <v>21</v>
      </c>
      <c r="I3043" s="11">
        <f>$E3043+0</f>
        <v>101</v>
      </c>
      <c r="J3043" s="12">
        <v>8420</v>
      </c>
      <c r="K3043" s="13">
        <f>$E3043+1</f>
        <v>102</v>
      </c>
      <c r="L3043" s="14">
        <f>IF($J3043=0,0,ROUND(MAX($J3043*1.4,1620000*(1.497923^(MIN($E3043,123)-117)))*1,0))</f>
        <v>11788</v>
      </c>
      <c r="M3043" s="11">
        <f>$E3043+2</f>
        <v>103</v>
      </c>
      <c r="N3043" s="12">
        <f>IF($J3043=0,0,ROUND(MAX($J3043*1.4*1.5,2190000*(1.580994^(MIN($E3043,123)-117)))*1,0))</f>
        <v>17682</v>
      </c>
      <c r="O3043" s="13">
        <f>$E3043+4</f>
        <v>105</v>
      </c>
      <c r="P3043" s="14">
        <f>IF($J3043=0,0,ROUND(MAX($J3043*1.4*1.5*1.6,3500000*(1.57975^(MIN($E3043,123)-117)))*1,0))</f>
        <v>28291</v>
      </c>
      <c r="Q3043" s="11">
        <f>$E3043+6</f>
        <v>107</v>
      </c>
      <c r="R3043" s="12">
        <f>IF($J3043=0,0,ROUND(MAX($J3043*1.4*1.5*1.6*1.6,13100000*(1.429962^(MIN($E3043,123)-117)))*1,0))</f>
        <v>45266</v>
      </c>
      <c r="S3043" s="13">
        <f>$E3043+8</f>
        <v>109</v>
      </c>
      <c r="T3043" s="14">
        <f>IF($J3043=0,0,ROUND(MAX($J3043*1.4*1.5*1.6*1.6*2.2,42600000*(1.576904^(MIN($E3043,123)-117)))*1,0))</f>
        <v>99585</v>
      </c>
      <c r="U3043" s="11">
        <f>$E3043+11</f>
        <v>112</v>
      </c>
      <c r="V3043" s="12">
        <f>IF($J3043=0,0,ROUND(MAX($J3043*1.4*1.5*1.6*1.6*2.2*2.715,354000000*(1.642074^(MIN($E3043,123)-117)))*1,0))</f>
        <v>270373</v>
      </c>
      <c r="W3043" s="13">
        <f>$E3043+15</f>
        <v>116</v>
      </c>
      <c r="X3043" s="14">
        <f>IF($J3043=0,0,ROUND(MAX($J3043*1.4*1.5*1.6*1.6*2.2*2.715*2.6,3540000000*(1.579646^(MIN($E3043,123)-117)))*1,0))</f>
        <v>2355304</v>
      </c>
      <c r="Y3043" s="11">
        <f>$E3043+17</f>
        <v>118</v>
      </c>
      <c r="Z3043" s="12">
        <f>IF($J3043=0,0,ROUND(MAX($J3043*1.4*1.5*1.6*1.6*2.2*2.715*2.6*1.4,6020000000*(1.651178^(MIN($E3043,123)-117)))*1,0))</f>
        <v>1971942</v>
      </c>
      <c r="AA3043" s="13">
        <f>$E3043+19</f>
        <v>120</v>
      </c>
      <c r="AB3043" s="14">
        <f>IF($J3043=0,0,ROUND(MAX($J3043*1.4*1.5*1.6*1.6*2.2*2.715*2.6*1.4*1.4,8430000000*(1.651435^(MIN($E3043,123)-117)))*1,0))</f>
        <v>2754507</v>
      </c>
      <c r="AC3043" s="11">
        <f>$E3043+21</f>
        <v>122</v>
      </c>
      <c r="AD3043" s="12">
        <f>IF($J3043=0,0,ROUND(MAX($J3043*1.4*1.5*1.6*1.6*2.2*2.715*2.6*1.4*1.4*1.5,12600000000*(1.652953^(MIN($E3043,123)-117)))*1,0))</f>
        <v>4056976</v>
      </c>
      <c r="AE3043" s="13">
        <f>$E3043+24</f>
        <v>125</v>
      </c>
      <c r="AF3043" s="14">
        <f>IF($J3043=0,0,ROUND(MAX($J3043*1.4*1.5*1.6*1.6*2.2*2.715*2.6*1.4*1.4*1.5*1.5,18900000000*(1.65331^(MIN($E3043,123)-117)))*1,0))</f>
        <v>6064474</v>
      </c>
      <c r="AG3043" s="11">
        <f>$E3043+27</f>
        <v>128</v>
      </c>
      <c r="AH3043" s="12">
        <f>IF($J3043=0,0,ROUND(MAX($J3043*1.4*1.5*1.6*1.6*2.2*2.715*2.6*1.4*1.4*1.5*1.5*3.2,60500000000*(1.654288^(MIN($E3043,123)-117)))*1,0))</f>
        <v>19229919</v>
      </c>
    </row>
    <row r="3044" ht="28" customHeight="1" spans="1:34" x14ac:dyDescent="0.25">
      <c r="A3044">
        <v>3054</v>
      </c>
      <c r="B3044" t="s">
        <v>674</v>
      </c>
      <c r="C3044" s="10" t="s">
        <v>1673</v>
      </c>
      <c r="D3044" t="s">
        <v>25</v>
      </c>
      <c r="E3044">
        <v>101</v>
      </c>
      <c r="F3044" t="s">
        <v>34</v>
      </c>
      <c r="G3044" t="s">
        <v>1284</v>
      </c>
      <c r="H3044">
        <v>21</v>
      </c>
      <c r="I3044" s="11">
        <f>$E3044+0</f>
        <v>101</v>
      </c>
      <c r="J3044" s="12">
        <v>2210</v>
      </c>
      <c r="K3044" s="13">
        <f>$E3044+1</f>
        <v>102</v>
      </c>
      <c r="L3044" s="14">
        <f>IF($J3044=0,0,ROUND(MAX($J3044*1.4,1620000*(1.497923^(MIN($E3044,123)-117)))*1,0))</f>
        <v>3094</v>
      </c>
      <c r="M3044" s="11">
        <f>$E3044+2</f>
        <v>103</v>
      </c>
      <c r="N3044" s="12">
        <f>IF($J3044=0,0,ROUND(MAX($J3044*1.4*1.5,2190000*(1.580994^(MIN($E3044,123)-117)))*1,0))</f>
        <v>4641</v>
      </c>
      <c r="O3044" s="13">
        <f>$E3044+4</f>
        <v>105</v>
      </c>
      <c r="P3044" s="14">
        <f>IF($J3044=0,0,ROUND(MAX($J3044*1.4*1.5*1.6,3500000*(1.57975^(MIN($E3044,123)-117)))*1,0))</f>
        <v>7426</v>
      </c>
      <c r="Q3044" s="11">
        <f>$E3044+6</f>
        <v>107</v>
      </c>
      <c r="R3044" s="12">
        <f>IF($J3044=0,0,ROUND(MAX($J3044*1.4*1.5*1.6*1.6,13100000*(1.429962^(MIN($E3044,123)-117)))*1,0))</f>
        <v>42863</v>
      </c>
      <c r="S3044" s="13">
        <f>$E3044+8</f>
        <v>109</v>
      </c>
      <c r="T3044" s="14">
        <f>IF($J3044=0,0,ROUND(MAX($J3044*1.4*1.5*1.6*1.6*2.2,42600000*(1.576904^(MIN($E3044,123)-117)))*1,0))</f>
        <v>29142</v>
      </c>
      <c r="U3044" s="11">
        <f>$E3044+11</f>
        <v>112</v>
      </c>
      <c r="V3044" s="12">
        <f>IF($J3044=0,0,ROUND(MAX($J3044*1.4*1.5*1.6*1.6*2.2*2.715,354000000*(1.642074^(MIN($E3044,123)-117)))*1,0))</f>
        <v>126683</v>
      </c>
      <c r="W3044" s="13">
        <f>$E3044+15</f>
        <v>116</v>
      </c>
      <c r="X3044" s="14">
        <f>IF($J3044=0,0,ROUND(MAX($J3044*1.4*1.5*1.6*1.6*2.2*2.715*2.6,3540000000*(1.579646^(MIN($E3044,123)-117)))*1,0))</f>
        <v>2355304</v>
      </c>
      <c r="Y3044" s="11">
        <f>$E3044+17</f>
        <v>118</v>
      </c>
      <c r="Z3044" s="12">
        <f>IF($J3044=0,0,ROUND(MAX($J3044*1.4*1.5*1.6*1.6*2.2*2.715*2.6*1.4,6020000000*(1.651178^(MIN($E3044,123)-117)))*1,0))</f>
        <v>1971942</v>
      </c>
      <c r="AA3044" s="13">
        <f>$E3044+19</f>
        <v>120</v>
      </c>
      <c r="AB3044" s="14">
        <f>IF($J3044=0,0,ROUND(MAX($J3044*1.4*1.5*1.6*1.6*2.2*2.715*2.6*1.4*1.4,8430000000*(1.651435^(MIN($E3044,123)-117)))*1,0))</f>
        <v>2754507</v>
      </c>
      <c r="AC3044" s="11">
        <f>$E3044+21</f>
        <v>122</v>
      </c>
      <c r="AD3044" s="12">
        <f>IF($J3044=0,0,ROUND(MAX($J3044*1.4*1.5*1.6*1.6*2.2*2.715*2.6*1.4*1.4*1.5,12600000000*(1.652953^(MIN($E3044,123)-117)))*1,0))</f>
        <v>4056976</v>
      </c>
      <c r="AE3044" s="13">
        <f>$E3044+24</f>
        <v>125</v>
      </c>
      <c r="AF3044" s="14">
        <f>IF($J3044=0,0,ROUND(MAX($J3044*1.4*1.5*1.6*1.6*2.2*2.715*2.6*1.4*1.4*1.5*1.5,18900000000*(1.65331^(MIN($E3044,123)-117)))*1,0))</f>
        <v>6064474</v>
      </c>
      <c r="AG3044" s="11">
        <f>$E3044+27</f>
        <v>128</v>
      </c>
      <c r="AH3044" s="12">
        <f>IF($J3044=0,0,ROUND(MAX($J3044*1.4*1.5*1.6*1.6*2.2*2.715*2.6*1.4*1.4*1.5*1.5*3.2,60500000000*(1.654288^(MIN($E3044,123)-117)))*1,0))</f>
        <v>19229919</v>
      </c>
    </row>
    <row r="3045" ht="28" customHeight="1" spans="1:34" x14ac:dyDescent="0.25">
      <c r="A3045">
        <v>3055</v>
      </c>
      <c r="B3045" t="s">
        <v>1209</v>
      </c>
      <c r="C3045" s="10" t="s">
        <v>1673</v>
      </c>
      <c r="D3045" t="s">
        <v>90</v>
      </c>
      <c r="E3045">
        <v>101</v>
      </c>
      <c r="F3045" t="s">
        <v>30</v>
      </c>
      <c r="G3045" t="s">
        <v>416</v>
      </c>
      <c r="H3045">
        <v>20</v>
      </c>
      <c r="I3045" s="11">
        <f>$E3045+0</f>
        <v>101</v>
      </c>
      <c r="J3045" s="12">
        <v>16400</v>
      </c>
      <c r="K3045" s="13">
        <f>$E3045+1</f>
        <v>102</v>
      </c>
      <c r="L3045" s="14">
        <f>IF($J3045=0,0,ROUND(MAX($J3045*1.4,1620000*(1.497923^(MIN($E3045,123)-117)))*1,0))</f>
        <v>22960</v>
      </c>
      <c r="M3045" s="11">
        <f>$E3045+2</f>
        <v>103</v>
      </c>
      <c r="N3045" s="12">
        <f>IF($J3045=0,0,ROUND(MAX($J3045*1.4*1.5,2190000*(1.580994^(MIN($E3045,123)-117)))*1,0))</f>
        <v>34440</v>
      </c>
      <c r="O3045" s="13">
        <f>$E3045+4</f>
        <v>105</v>
      </c>
      <c r="P3045" s="14">
        <f>IF($J3045=0,0,ROUND(MAX($J3045*1.4*1.5*1.6,3500000*(1.57975^(MIN($E3045,123)-117)))*1,0))</f>
        <v>55104</v>
      </c>
      <c r="Q3045" s="11">
        <f>$E3045+6</f>
        <v>107</v>
      </c>
      <c r="R3045" s="12">
        <f>IF($J3045=0,0,ROUND(MAX($J3045*1.4*1.5*1.6*1.6,13100000*(1.429962^(MIN($E3045,123)-117)))*1,0))</f>
        <v>88166</v>
      </c>
      <c r="S3045" s="13">
        <f>$E3045+8</f>
        <v>109</v>
      </c>
      <c r="T3045" s="14">
        <f>IF($J3045=0,0,ROUND(MAX($J3045*1.4*1.5*1.6*1.6*2.2,42600000*(1.576904^(MIN($E3045,123)-117)))*1,0))</f>
        <v>193966</v>
      </c>
      <c r="U3045" s="11">
        <f>$E3045+11</f>
        <v>112</v>
      </c>
      <c r="V3045" s="12">
        <f>IF($J3045=0,0,ROUND(MAX($J3045*1.4*1.5*1.6*1.6*2.2*2.715,354000000*(1.642074^(MIN($E3045,123)-117)))*1,0))</f>
        <v>526618</v>
      </c>
      <c r="W3045" s="13">
        <f>$E3045+15</f>
        <v>116</v>
      </c>
      <c r="X3045" s="14">
        <f>IF($J3045=0,0,ROUND(MAX($J3045*1.4*1.5*1.6*1.6*2.2*2.715*2.6,3540000000*(1.579646^(MIN($E3045,123)-117)))*1,0))</f>
        <v>2355304</v>
      </c>
      <c r="Y3045" s="11">
        <f>$E3045+17</f>
        <v>118</v>
      </c>
      <c r="Z3045" s="12">
        <f>IF($J3045=0,0,ROUND(MAX($J3045*1.4*1.5*1.6*1.6*2.2*2.715*2.6*1.4,6020000000*(1.651178^(MIN($E3045,123)-117)))*1,0))</f>
        <v>1971942</v>
      </c>
      <c r="AA3045" s="13">
        <f>$E3045+19</f>
        <v>120</v>
      </c>
      <c r="AB3045" s="14">
        <f>IF($J3045=0,0,ROUND(MAX($J3045*1.4*1.5*1.6*1.6*2.2*2.715*2.6*1.4*1.4,8430000000*(1.651435^(MIN($E3045,123)-117)))*1,0))</f>
        <v>2754507</v>
      </c>
      <c r="AC3045" s="11">
        <f>$E3045+21</f>
        <v>122</v>
      </c>
      <c r="AD3045" s="12">
        <f>IF($J3045=0,0,ROUND(MAX($J3045*1.4*1.5*1.6*1.6*2.2*2.715*2.6*1.4*1.4*1.5,12600000000*(1.652953^(MIN($E3045,123)-117)))*1,0))</f>
        <v>4056976</v>
      </c>
      <c r="AE3045" s="13">
        <f>$E3045+24</f>
        <v>125</v>
      </c>
      <c r="AF3045" s="14">
        <f>IF($J3045=0,0,ROUND(MAX($J3045*1.4*1.5*1.6*1.6*2.2*2.715*2.6*1.4*1.4*1.5*1.5,18900000000*(1.65331^(MIN($E3045,123)-117)))*1,0))</f>
        <v>6064474</v>
      </c>
      <c r="AG3045" s="11">
        <f>$E3045+27</f>
        <v>128</v>
      </c>
      <c r="AH3045" s="12">
        <f>IF($J3045=0,0,ROUND(MAX($J3045*1.4*1.5*1.6*1.6*2.2*2.715*2.6*1.4*1.4*1.5*1.5*3.2,60500000000*(1.654288^(MIN($E3045,123)-117)))*1,0))</f>
        <v>19322243</v>
      </c>
    </row>
    <row r="3046" ht="28" customHeight="1" spans="1:34" x14ac:dyDescent="0.25">
      <c r="A3046">
        <v>3056</v>
      </c>
      <c r="B3046" t="s">
        <v>1220</v>
      </c>
      <c r="C3046" s="10" t="s">
        <v>1673</v>
      </c>
      <c r="D3046" t="s">
        <v>241</v>
      </c>
      <c r="E3046">
        <v>101</v>
      </c>
      <c r="F3046" t="s">
        <v>62</v>
      </c>
      <c r="G3046" t="s">
        <v>171</v>
      </c>
      <c r="H3046">
        <v>20</v>
      </c>
      <c r="I3046" s="11">
        <f>$E3046+0</f>
        <v>101</v>
      </c>
      <c r="J3046" s="12">
        <v>8290</v>
      </c>
      <c r="K3046" s="13">
        <f>$E3046+1</f>
        <v>102</v>
      </c>
      <c r="L3046" s="14">
        <f>IF($J3046=0,0,ROUND(MAX($J3046*1.4,1620000*(1.497923^(MIN($E3046,123)-117)))*1,0))</f>
        <v>11606</v>
      </c>
      <c r="M3046" s="11">
        <f>$E3046+2</f>
        <v>103</v>
      </c>
      <c r="N3046" s="12">
        <f>IF($J3046=0,0,ROUND(MAX($J3046*1.4*1.5,2190000*(1.580994^(MIN($E3046,123)-117)))*1,0))</f>
        <v>17409</v>
      </c>
      <c r="O3046" s="13">
        <f>$E3046+4</f>
        <v>105</v>
      </c>
      <c r="P3046" s="14">
        <f>IF($J3046=0,0,ROUND(MAX($J3046*1.4*1.5*1.6,3500000*(1.57975^(MIN($E3046,123)-117)))*1,0))</f>
        <v>27854</v>
      </c>
      <c r="Q3046" s="11">
        <f>$E3046+6</f>
        <v>107</v>
      </c>
      <c r="R3046" s="12">
        <f>IF($J3046=0,0,ROUND(MAX($J3046*1.4*1.5*1.6*1.6,13100000*(1.429962^(MIN($E3046,123)-117)))*1,0))</f>
        <v>44567</v>
      </c>
      <c r="S3046" s="13">
        <f>$E3046+8</f>
        <v>109</v>
      </c>
      <c r="T3046" s="14">
        <f>IF($J3046=0,0,ROUND(MAX($J3046*1.4*1.5*1.6*1.6*2.2,42600000*(1.576904^(MIN($E3046,123)-117)))*1,0))</f>
        <v>98047</v>
      </c>
      <c r="U3046" s="11">
        <f>$E3046+11</f>
        <v>112</v>
      </c>
      <c r="V3046" s="12">
        <f>IF($J3046=0,0,ROUND(MAX($J3046*1.4*1.5*1.6*1.6*2.2*2.715,354000000*(1.642074^(MIN($E3046,123)-117)))*1,0))</f>
        <v>266199</v>
      </c>
      <c r="W3046" s="13">
        <f>$E3046+15</f>
        <v>116</v>
      </c>
      <c r="X3046" s="14">
        <f>IF($J3046=0,0,ROUND(MAX($J3046*1.4*1.5*1.6*1.6*2.2*2.715*2.6,3540000000*(1.579646^(MIN($E3046,123)-117)))*1,0))</f>
        <v>2355304</v>
      </c>
      <c r="Y3046" s="11">
        <f>$E3046+17</f>
        <v>118</v>
      </c>
      <c r="Z3046" s="12">
        <f>IF($J3046=0,0,ROUND(MAX($J3046*1.4*1.5*1.6*1.6*2.2*2.715*2.6*1.4,6020000000*(1.651178^(MIN($E3046,123)-117)))*1,0))</f>
        <v>1971942</v>
      </c>
      <c r="AA3046" s="13">
        <f>$E3046+19</f>
        <v>120</v>
      </c>
      <c r="AB3046" s="14">
        <f>IF($J3046=0,0,ROUND(MAX($J3046*1.4*1.5*1.6*1.6*2.2*2.715*2.6*1.4*1.4,8430000000*(1.651435^(MIN($E3046,123)-117)))*1,0))</f>
        <v>2754507</v>
      </c>
      <c r="AC3046" s="11">
        <f>$E3046+21</f>
        <v>122</v>
      </c>
      <c r="AD3046" s="12">
        <f>IF($J3046=0,0,ROUND(MAX($J3046*1.4*1.5*1.6*1.6*2.2*2.715*2.6*1.4*1.4*1.5,12600000000*(1.652953^(MIN($E3046,123)-117)))*1,0))</f>
        <v>4056976</v>
      </c>
      <c r="AE3046" s="13">
        <f>$E3046+24</f>
        <v>125</v>
      </c>
      <c r="AF3046" s="14">
        <f>IF($J3046=0,0,ROUND(MAX($J3046*1.4*1.5*1.6*1.6*2.2*2.715*2.6*1.4*1.4*1.5*1.5,18900000000*(1.65331^(MIN($E3046,123)-117)))*1,0))</f>
        <v>6064474</v>
      </c>
      <c r="AG3046" s="11">
        <f>$E3046+27</f>
        <v>128</v>
      </c>
      <c r="AH3046" s="12">
        <f>IF($J3046=0,0,ROUND(MAX($J3046*1.4*1.5*1.6*1.6*2.2*2.715*2.6*1.4*1.4*1.5*1.5*3.2,60500000000*(1.654288^(MIN($E3046,123)-117)))*1,0))</f>
        <v>19229919</v>
      </c>
    </row>
    <row r="3047" ht="28" customHeight="1" spans="1:34" x14ac:dyDescent="0.25">
      <c r="A3047">
        <v>3057</v>
      </c>
      <c r="B3047" t="s">
        <v>1298</v>
      </c>
      <c r="C3047" s="10" t="s">
        <v>1673</v>
      </c>
      <c r="D3047" t="s">
        <v>93</v>
      </c>
      <c r="E3047">
        <v>101</v>
      </c>
      <c r="F3047" t="s">
        <v>71</v>
      </c>
      <c r="G3047" t="s">
        <v>1007</v>
      </c>
      <c r="H3047">
        <v>20</v>
      </c>
      <c r="I3047" s="11">
        <f>$E3047+0</f>
        <v>101</v>
      </c>
      <c r="J3047" s="12">
        <v>15500</v>
      </c>
      <c r="K3047" s="13">
        <f>$E3047+1</f>
        <v>102</v>
      </c>
      <c r="L3047" s="14">
        <f>IF($J3047=0,0,ROUND(MAX($J3047*1.4,1620000*(1.497923^(MIN($E3047,123)-117)))*1,0))</f>
        <v>21700</v>
      </c>
      <c r="M3047" s="11">
        <f>$E3047+2</f>
        <v>103</v>
      </c>
      <c r="N3047" s="12">
        <f>IF($J3047=0,0,ROUND(MAX($J3047*1.4*1.5,2190000*(1.580994^(MIN($E3047,123)-117)))*1,0))</f>
        <v>32550</v>
      </c>
      <c r="O3047" s="13">
        <f>$E3047+4</f>
        <v>105</v>
      </c>
      <c r="P3047" s="14">
        <f>IF($J3047=0,0,ROUND(MAX($J3047*1.4*1.5*1.6,3500000*(1.57975^(MIN($E3047,123)-117)))*1,0))</f>
        <v>52080</v>
      </c>
      <c r="Q3047" s="11">
        <f>$E3047+6</f>
        <v>107</v>
      </c>
      <c r="R3047" s="12">
        <f>IF($J3047=0,0,ROUND(MAX($J3047*1.4*1.5*1.6*1.6,13100000*(1.429962^(MIN($E3047,123)-117)))*1,0))</f>
        <v>83328</v>
      </c>
      <c r="S3047" s="13">
        <f>$E3047+8</f>
        <v>109</v>
      </c>
      <c r="T3047" s="14">
        <f>IF($J3047=0,0,ROUND(MAX($J3047*1.4*1.5*1.6*1.6*2.2,42600000*(1.576904^(MIN($E3047,123)-117)))*1,0))</f>
        <v>183322</v>
      </c>
      <c r="U3047" s="11">
        <f>$E3047+11</f>
        <v>112</v>
      </c>
      <c r="V3047" s="12">
        <f>IF($J3047=0,0,ROUND(MAX($J3047*1.4*1.5*1.6*1.6*2.2*2.715,354000000*(1.642074^(MIN($E3047,123)-117)))*1,0))</f>
        <v>497718</v>
      </c>
      <c r="W3047" s="13">
        <f>$E3047+15</f>
        <v>116</v>
      </c>
      <c r="X3047" s="14">
        <f>IF($J3047=0,0,ROUND(MAX($J3047*1.4*1.5*1.6*1.6*2.2*2.715*2.6,3540000000*(1.579646^(MIN($E3047,123)-117)))*1,0))</f>
        <v>2355304</v>
      </c>
      <c r="Y3047" s="11">
        <f>$E3047+17</f>
        <v>118</v>
      </c>
      <c r="Z3047" s="12">
        <f>IF($J3047=0,0,ROUND(MAX($J3047*1.4*1.5*1.6*1.6*2.2*2.715*2.6*1.4,6020000000*(1.651178^(MIN($E3047,123)-117)))*1,0))</f>
        <v>1971942</v>
      </c>
      <c r="AA3047" s="13">
        <f>$E3047+19</f>
        <v>120</v>
      </c>
      <c r="AB3047" s="14">
        <f>IF($J3047=0,0,ROUND(MAX($J3047*1.4*1.5*1.6*1.6*2.2*2.715*2.6*1.4*1.4,8430000000*(1.651435^(MIN($E3047,123)-117)))*1,0))</f>
        <v>2754507</v>
      </c>
      <c r="AC3047" s="11">
        <f>$E3047+21</f>
        <v>122</v>
      </c>
      <c r="AD3047" s="12">
        <f>IF($J3047=0,0,ROUND(MAX($J3047*1.4*1.5*1.6*1.6*2.2*2.715*2.6*1.4*1.4*1.5,12600000000*(1.652953^(MIN($E3047,123)-117)))*1,0))</f>
        <v>4056976</v>
      </c>
      <c r="AE3047" s="13">
        <f>$E3047+24</f>
        <v>125</v>
      </c>
      <c r="AF3047" s="14">
        <f>IF($J3047=0,0,ROUND(MAX($J3047*1.4*1.5*1.6*1.6*2.2*2.715*2.6*1.4*1.4*1.5*1.5,18900000000*(1.65331^(MIN($E3047,123)-117)))*1,0))</f>
        <v>6064474</v>
      </c>
      <c r="AG3047" s="11">
        <f>$E3047+27</f>
        <v>128</v>
      </c>
      <c r="AH3047" s="12">
        <f>IF($J3047=0,0,ROUND(MAX($J3047*1.4*1.5*1.6*1.6*2.2*2.715*2.6*1.4*1.4*1.5*1.5*3.2,60500000000*(1.654288^(MIN($E3047,123)-117)))*1,0))</f>
        <v>19229919</v>
      </c>
    </row>
    <row r="3048" ht="28" customHeight="1" spans="1:34" x14ac:dyDescent="0.25">
      <c r="A3048">
        <v>3058</v>
      </c>
      <c r="B3048" t="s">
        <v>1459</v>
      </c>
      <c r="C3048" s="10" t="s">
        <v>1673</v>
      </c>
      <c r="D3048" t="s">
        <v>64</v>
      </c>
      <c r="E3048">
        <v>101</v>
      </c>
      <c r="F3048" t="s">
        <v>120</v>
      </c>
      <c r="G3048" t="s">
        <v>86</v>
      </c>
      <c r="H3048">
        <v>20</v>
      </c>
      <c r="I3048" s="11">
        <f>$E3048+0</f>
        <v>101</v>
      </c>
      <c r="J3048" s="12">
        <v>6790</v>
      </c>
      <c r="K3048" s="13">
        <f>$E3048+1</f>
        <v>102</v>
      </c>
      <c r="L3048" s="14">
        <f>IF($J3048=0,0,ROUND(MAX($J3048*1.4,1620000*(1.497923^(MIN($E3048,123)-117)))*1,0))</f>
        <v>9506</v>
      </c>
      <c r="M3048" s="11">
        <f>$E3048+2</f>
        <v>103</v>
      </c>
      <c r="N3048" s="12">
        <f>IF($J3048=0,0,ROUND(MAX($J3048*1.4*1.5,2190000*(1.580994^(MIN($E3048,123)-117)))*1,0))</f>
        <v>14259</v>
      </c>
      <c r="O3048" s="13">
        <f>$E3048+4</f>
        <v>105</v>
      </c>
      <c r="P3048" s="14">
        <f>IF($J3048=0,0,ROUND(MAX($J3048*1.4*1.5*1.6,3500000*(1.57975^(MIN($E3048,123)-117)))*1,0))</f>
        <v>22814</v>
      </c>
      <c r="Q3048" s="11">
        <f>$E3048+6</f>
        <v>107</v>
      </c>
      <c r="R3048" s="12">
        <f>IF($J3048=0,0,ROUND(MAX($J3048*1.4*1.5*1.6*1.6,13100000*(1.429962^(MIN($E3048,123)-117)))*1,0))</f>
        <v>42863</v>
      </c>
      <c r="S3048" s="13">
        <f>$E3048+8</f>
        <v>109</v>
      </c>
      <c r="T3048" s="14">
        <f>IF($J3048=0,0,ROUND(MAX($J3048*1.4*1.5*1.6*1.6*2.2,42600000*(1.576904^(MIN($E3048,123)-117)))*1,0))</f>
        <v>80307</v>
      </c>
      <c r="U3048" s="11">
        <f>$E3048+11</f>
        <v>112</v>
      </c>
      <c r="V3048" s="12">
        <f>IF($J3048=0,0,ROUND(MAX($J3048*1.4*1.5*1.6*1.6*2.2*2.715,354000000*(1.642074^(MIN($E3048,123)-117)))*1,0))</f>
        <v>218033</v>
      </c>
      <c r="W3048" s="13">
        <f>$E3048+15</f>
        <v>116</v>
      </c>
      <c r="X3048" s="14">
        <f>IF($J3048=0,0,ROUND(MAX($J3048*1.4*1.5*1.6*1.6*2.2*2.715*2.6,3540000000*(1.579646^(MIN($E3048,123)-117)))*1,0))</f>
        <v>2355304</v>
      </c>
      <c r="Y3048" s="11">
        <f>$E3048+17</f>
        <v>118</v>
      </c>
      <c r="Z3048" s="12">
        <f>IF($J3048=0,0,ROUND(MAX($J3048*1.4*1.5*1.6*1.6*2.2*2.715*2.6*1.4,6020000000*(1.651178^(MIN($E3048,123)-117)))*1,0))</f>
        <v>1971942</v>
      </c>
      <c r="AA3048" s="13">
        <f>$E3048+19</f>
        <v>120</v>
      </c>
      <c r="AB3048" s="14">
        <f>IF($J3048=0,0,ROUND(MAX($J3048*1.4*1.5*1.6*1.6*2.2*2.715*2.6*1.4*1.4,8430000000*(1.651435^(MIN($E3048,123)-117)))*1,0))</f>
        <v>2754507</v>
      </c>
      <c r="AC3048" s="11">
        <f>$E3048+21</f>
        <v>122</v>
      </c>
      <c r="AD3048" s="12">
        <f>IF($J3048=0,0,ROUND(MAX($J3048*1.4*1.5*1.6*1.6*2.2*2.715*2.6*1.4*1.4*1.5,12600000000*(1.652953^(MIN($E3048,123)-117)))*1,0))</f>
        <v>4056976</v>
      </c>
      <c r="AE3048" s="13">
        <f>$E3048+24</f>
        <v>125</v>
      </c>
      <c r="AF3048" s="14">
        <f>IF($J3048=0,0,ROUND(MAX($J3048*1.4*1.5*1.6*1.6*2.2*2.715*2.6*1.4*1.4*1.5*1.5,18900000000*(1.65331^(MIN($E3048,123)-117)))*1,0))</f>
        <v>6064474</v>
      </c>
      <c r="AG3048" s="11">
        <f>$E3048+27</f>
        <v>128</v>
      </c>
      <c r="AH3048" s="12">
        <f>IF($J3048=0,0,ROUND(MAX($J3048*1.4*1.5*1.6*1.6*2.2*2.715*2.6*1.4*1.4*1.5*1.5*3.2,60500000000*(1.654288^(MIN($E3048,123)-117)))*1,0))</f>
        <v>19229919</v>
      </c>
    </row>
    <row r="3049" ht="28" customHeight="1" spans="1:34" x14ac:dyDescent="0.25">
      <c r="A3049">
        <v>3059</v>
      </c>
      <c r="B3049" t="s">
        <v>1565</v>
      </c>
      <c r="C3049" s="10" t="s">
        <v>1673</v>
      </c>
      <c r="D3049" t="s">
        <v>40</v>
      </c>
      <c r="E3049">
        <v>101</v>
      </c>
      <c r="F3049" t="s">
        <v>54</v>
      </c>
      <c r="G3049" t="s">
        <v>133</v>
      </c>
      <c r="H3049">
        <v>20</v>
      </c>
      <c r="I3049" s="11">
        <f>$E3049+0</f>
        <v>101</v>
      </c>
      <c r="J3049" s="12">
        <v>15600</v>
      </c>
      <c r="K3049" s="13">
        <f>$E3049+1</f>
        <v>102</v>
      </c>
      <c r="L3049" s="14">
        <f>IF($J3049=0,0,ROUND(MAX($J3049*1.4,1620000*(1.497923^(MIN($E3049,123)-117)))*1,0))</f>
        <v>21840</v>
      </c>
      <c r="M3049" s="11">
        <f>$E3049+2</f>
        <v>103</v>
      </c>
      <c r="N3049" s="12">
        <f>IF($J3049=0,0,ROUND(MAX($J3049*1.4*1.5,2190000*(1.580994^(MIN($E3049,123)-117)))*1,0))</f>
        <v>32760</v>
      </c>
      <c r="O3049" s="13">
        <f>$E3049+4</f>
        <v>105</v>
      </c>
      <c r="P3049" s="14">
        <f>IF($J3049=0,0,ROUND(MAX($J3049*1.4*1.5*1.6,3500000*(1.57975^(MIN($E3049,123)-117)))*1,0))</f>
        <v>52416</v>
      </c>
      <c r="Q3049" s="11">
        <f>$E3049+6</f>
        <v>107</v>
      </c>
      <c r="R3049" s="12">
        <f>IF($J3049=0,0,ROUND(MAX($J3049*1.4*1.5*1.6*1.6,13100000*(1.429962^(MIN($E3049,123)-117)))*1,0))</f>
        <v>83866</v>
      </c>
      <c r="S3049" s="13">
        <f>$E3049+8</f>
        <v>109</v>
      </c>
      <c r="T3049" s="14">
        <f>IF($J3049=0,0,ROUND(MAX($J3049*1.4*1.5*1.6*1.6*2.2,42600000*(1.576904^(MIN($E3049,123)-117)))*1,0))</f>
        <v>184504</v>
      </c>
      <c r="U3049" s="11">
        <f>$E3049+11</f>
        <v>112</v>
      </c>
      <c r="V3049" s="12">
        <f>IF($J3049=0,0,ROUND(MAX($J3049*1.4*1.5*1.6*1.6*2.2*2.715,354000000*(1.642074^(MIN($E3049,123)-117)))*1,0))</f>
        <v>500929</v>
      </c>
      <c r="W3049" s="13">
        <f>$E3049+15</f>
        <v>116</v>
      </c>
      <c r="X3049" s="14">
        <f>IF($J3049=0,0,ROUND(MAX($J3049*1.4*1.5*1.6*1.6*2.2*2.715*2.6,3540000000*(1.579646^(MIN($E3049,123)-117)))*1,0))</f>
        <v>2355304</v>
      </c>
      <c r="Y3049" s="11">
        <f>$E3049+17</f>
        <v>118</v>
      </c>
      <c r="Z3049" s="12">
        <f>IF($J3049=0,0,ROUND(MAX($J3049*1.4*1.5*1.6*1.6*2.2*2.715*2.6*1.4,6020000000*(1.651178^(MIN($E3049,123)-117)))*1,0))</f>
        <v>1971942</v>
      </c>
      <c r="AA3049" s="13">
        <f>$E3049+19</f>
        <v>120</v>
      </c>
      <c r="AB3049" s="14">
        <f>IF($J3049=0,0,ROUND(MAX($J3049*1.4*1.5*1.6*1.6*2.2*2.715*2.6*1.4*1.4,8430000000*(1.651435^(MIN($E3049,123)-117)))*1,0))</f>
        <v>2754507</v>
      </c>
      <c r="AC3049" s="11">
        <f>$E3049+21</f>
        <v>122</v>
      </c>
      <c r="AD3049" s="12">
        <f>IF($J3049=0,0,ROUND(MAX($J3049*1.4*1.5*1.6*1.6*2.2*2.715*2.6*1.4*1.4*1.5,12600000000*(1.652953^(MIN($E3049,123)-117)))*1,0))</f>
        <v>4056976</v>
      </c>
      <c r="AE3049" s="13">
        <f>$E3049+24</f>
        <v>125</v>
      </c>
      <c r="AF3049" s="14">
        <f>IF($J3049=0,0,ROUND(MAX($J3049*1.4*1.5*1.6*1.6*2.2*2.715*2.6*1.4*1.4*1.5*1.5,18900000000*(1.65331^(MIN($E3049,123)-117)))*1,0))</f>
        <v>6064474</v>
      </c>
      <c r="AG3049" s="11">
        <f>$E3049+27</f>
        <v>128</v>
      </c>
      <c r="AH3049" s="12">
        <f>IF($J3049=0,0,ROUND(MAX($J3049*1.4*1.5*1.6*1.6*2.2*2.715*2.6*1.4*1.4*1.5*1.5*3.2,60500000000*(1.654288^(MIN($E3049,123)-117)))*1,0))</f>
        <v>19229919</v>
      </c>
    </row>
    <row r="3050" ht="28" customHeight="1" spans="1:34" x14ac:dyDescent="0.25">
      <c r="A3050">
        <v>3060</v>
      </c>
      <c r="B3050" t="s">
        <v>1697</v>
      </c>
      <c r="C3050" s="10" t="s">
        <v>1673</v>
      </c>
      <c r="D3050" t="s">
        <v>40</v>
      </c>
      <c r="E3050">
        <v>101</v>
      </c>
      <c r="F3050" t="s">
        <v>1456</v>
      </c>
      <c r="G3050" t="s">
        <v>816</v>
      </c>
      <c r="H3050">
        <v>20</v>
      </c>
      <c r="I3050" s="11">
        <f>$E3050+0</f>
        <v>101</v>
      </c>
      <c r="J3050" s="12">
        <v>8370</v>
      </c>
      <c r="K3050" s="13">
        <f>$E3050+1</f>
        <v>102</v>
      </c>
      <c r="L3050" s="14">
        <f>IF($J3050=0,0,ROUND(MAX($J3050*1.4,1620000*(1.497923^(MIN($E3050,123)-117)))*1,0))</f>
        <v>11718</v>
      </c>
      <c r="M3050" s="11">
        <f>$E3050+2</f>
        <v>103</v>
      </c>
      <c r="N3050" s="12">
        <f>IF($J3050=0,0,ROUND(MAX($J3050*1.4*1.5,2190000*(1.580994^(MIN($E3050,123)-117)))*1,0))</f>
        <v>17577</v>
      </c>
      <c r="O3050" s="13">
        <f>$E3050+4</f>
        <v>105</v>
      </c>
      <c r="P3050" s="14">
        <f>IF($J3050=0,0,ROUND(MAX($J3050*1.4*1.5*1.6,3500000*(1.57975^(MIN($E3050,123)-117)))*1,0))</f>
        <v>28123</v>
      </c>
      <c r="Q3050" s="11">
        <f>$E3050+6</f>
        <v>107</v>
      </c>
      <c r="R3050" s="12">
        <f>IF($J3050=0,0,ROUND(MAX($J3050*1.4*1.5*1.6*1.6,13100000*(1.429962^(MIN($E3050,123)-117)))*1,0))</f>
        <v>44997</v>
      </c>
      <c r="S3050" s="13">
        <f>$E3050+8</f>
        <v>109</v>
      </c>
      <c r="T3050" s="14">
        <f>IF($J3050=0,0,ROUND(MAX($J3050*1.4*1.5*1.6*1.6*2.2,42600000*(1.576904^(MIN($E3050,123)-117)))*1,0))</f>
        <v>98994</v>
      </c>
      <c r="U3050" s="11">
        <f>$E3050+11</f>
        <v>112</v>
      </c>
      <c r="V3050" s="12">
        <f>IF($J3050=0,0,ROUND(MAX($J3050*1.4*1.5*1.6*1.6*2.2*2.715,354000000*(1.642074^(MIN($E3050,123)-117)))*1,0))</f>
        <v>268768</v>
      </c>
      <c r="W3050" s="13">
        <f>$E3050+15</f>
        <v>116</v>
      </c>
      <c r="X3050" s="14">
        <f>IF($J3050=0,0,ROUND(MAX($J3050*1.4*1.5*1.6*1.6*2.2*2.715*2.6,3540000000*(1.579646^(MIN($E3050,123)-117)))*1,0))</f>
        <v>2355304</v>
      </c>
      <c r="Y3050" s="11">
        <f>$E3050+17</f>
        <v>118</v>
      </c>
      <c r="Z3050" s="12">
        <f>IF($J3050=0,0,ROUND(MAX($J3050*1.4*1.5*1.6*1.6*2.2*2.715*2.6*1.4,6020000000*(1.651178^(MIN($E3050,123)-117)))*1,0))</f>
        <v>1971942</v>
      </c>
      <c r="AA3050" s="13">
        <f>$E3050+19</f>
        <v>120</v>
      </c>
      <c r="AB3050" s="14">
        <f>IF($J3050=0,0,ROUND(MAX($J3050*1.4*1.5*1.6*1.6*2.2*2.715*2.6*1.4*1.4,8430000000*(1.651435^(MIN($E3050,123)-117)))*1,0))</f>
        <v>2754507</v>
      </c>
      <c r="AC3050" s="11">
        <f>$E3050+21</f>
        <v>122</v>
      </c>
      <c r="AD3050" s="12">
        <f>IF($J3050=0,0,ROUND(MAX($J3050*1.4*1.5*1.6*1.6*2.2*2.715*2.6*1.4*1.4*1.5,12600000000*(1.652953^(MIN($E3050,123)-117)))*1,0))</f>
        <v>4056976</v>
      </c>
      <c r="AE3050" s="13">
        <f>$E3050+24</f>
        <v>125</v>
      </c>
      <c r="AF3050" s="14">
        <f>IF($J3050=0,0,ROUND(MAX($J3050*1.4*1.5*1.6*1.6*2.2*2.715*2.6*1.4*1.4*1.5*1.5,18900000000*(1.65331^(MIN($E3050,123)-117)))*1,0))</f>
        <v>6064474</v>
      </c>
      <c r="AG3050" s="11">
        <f>$E3050+27</f>
        <v>128</v>
      </c>
      <c r="AH3050" s="12">
        <f>IF($J3050=0,0,ROUND(MAX($J3050*1.4*1.5*1.6*1.6*2.2*2.715*2.6*1.4*1.4*1.5*1.5*3.2,60500000000*(1.654288^(MIN($E3050,123)-117)))*1,0))</f>
        <v>19229919</v>
      </c>
    </row>
    <row r="3051" ht="28" customHeight="1" spans="1:34" x14ac:dyDescent="0.25">
      <c r="A3051">
        <v>3061</v>
      </c>
      <c r="B3051" t="s">
        <v>1698</v>
      </c>
      <c r="C3051" s="10" t="s">
        <v>1673</v>
      </c>
      <c r="D3051" t="s">
        <v>45</v>
      </c>
      <c r="E3051">
        <v>101</v>
      </c>
      <c r="F3051" t="s">
        <v>136</v>
      </c>
      <c r="G3051" t="s">
        <v>27</v>
      </c>
      <c r="H3051">
        <v>20</v>
      </c>
      <c r="I3051" s="11">
        <f>$E3051+0</f>
        <v>101</v>
      </c>
      <c r="J3051" s="12">
        <v>6240</v>
      </c>
      <c r="K3051" s="13">
        <f>$E3051+1</f>
        <v>102</v>
      </c>
      <c r="L3051" s="14">
        <f>IF($J3051=0,0,ROUND(MAX($J3051*1.4,1620000*(1.497923^(MIN($E3051,123)-117)))*1,0))</f>
        <v>8736</v>
      </c>
      <c r="M3051" s="11">
        <f>$E3051+2</f>
        <v>103</v>
      </c>
      <c r="N3051" s="12">
        <f>IF($J3051=0,0,ROUND(MAX($J3051*1.4*1.5,2190000*(1.580994^(MIN($E3051,123)-117)))*1,0))</f>
        <v>13104</v>
      </c>
      <c r="O3051" s="13">
        <f>$E3051+4</f>
        <v>105</v>
      </c>
      <c r="P3051" s="14">
        <f>IF($J3051=0,0,ROUND(MAX($J3051*1.4*1.5*1.6,3500000*(1.57975^(MIN($E3051,123)-117)))*1,0))</f>
        <v>20966</v>
      </c>
      <c r="Q3051" s="11">
        <f>$E3051+6</f>
        <v>107</v>
      </c>
      <c r="R3051" s="12">
        <f>IF($J3051=0,0,ROUND(MAX($J3051*1.4*1.5*1.6*1.6,13100000*(1.429962^(MIN($E3051,123)-117)))*1,0))</f>
        <v>42863</v>
      </c>
      <c r="S3051" s="13">
        <f>$E3051+8</f>
        <v>109</v>
      </c>
      <c r="T3051" s="14">
        <f>IF($J3051=0,0,ROUND(MAX($J3051*1.4*1.5*1.6*1.6*2.2,42600000*(1.576904^(MIN($E3051,123)-117)))*1,0))</f>
        <v>73802</v>
      </c>
      <c r="U3051" s="11">
        <f>$E3051+11</f>
        <v>112</v>
      </c>
      <c r="V3051" s="12">
        <f>IF($J3051=0,0,ROUND(MAX($J3051*1.4*1.5*1.6*1.6*2.2*2.715,354000000*(1.642074^(MIN($E3051,123)-117)))*1,0))</f>
        <v>200372</v>
      </c>
      <c r="W3051" s="13">
        <f>$E3051+15</f>
        <v>116</v>
      </c>
      <c r="X3051" s="14">
        <f>IF($J3051=0,0,ROUND(MAX($J3051*1.4*1.5*1.6*1.6*2.2*2.715*2.6,3540000000*(1.579646^(MIN($E3051,123)-117)))*1,0))</f>
        <v>2355304</v>
      </c>
      <c r="Y3051" s="11">
        <f>$E3051+17</f>
        <v>118</v>
      </c>
      <c r="Z3051" s="12">
        <f>IF($J3051=0,0,ROUND(MAX($J3051*1.4*1.5*1.6*1.6*2.2*2.715*2.6*1.4,6020000000*(1.651178^(MIN($E3051,123)-117)))*1,0))</f>
        <v>1971942</v>
      </c>
      <c r="AA3051" s="13">
        <f>$E3051+19</f>
        <v>120</v>
      </c>
      <c r="AB3051" s="14">
        <f>IF($J3051=0,0,ROUND(MAX($J3051*1.4*1.5*1.6*1.6*2.2*2.715*2.6*1.4*1.4,8430000000*(1.651435^(MIN($E3051,123)-117)))*1,0))</f>
        <v>2754507</v>
      </c>
      <c r="AC3051" s="11">
        <f>$E3051+21</f>
        <v>122</v>
      </c>
      <c r="AD3051" s="12">
        <f>IF($J3051=0,0,ROUND(MAX($J3051*1.4*1.5*1.6*1.6*2.2*2.715*2.6*1.4*1.4*1.5,12600000000*(1.652953^(MIN($E3051,123)-117)))*1,0))</f>
        <v>4056976</v>
      </c>
      <c r="AE3051" s="13">
        <f>$E3051+24</f>
        <v>125</v>
      </c>
      <c r="AF3051" s="14">
        <f>IF($J3051=0,0,ROUND(MAX($J3051*1.4*1.5*1.6*1.6*2.2*2.715*2.6*1.4*1.4*1.5*1.5,18900000000*(1.65331^(MIN($E3051,123)-117)))*1,0))</f>
        <v>6064474</v>
      </c>
      <c r="AG3051" s="11">
        <f>$E3051+27</f>
        <v>128</v>
      </c>
      <c r="AH3051" s="12">
        <f>IF($J3051=0,0,ROUND(MAX($J3051*1.4*1.5*1.6*1.6*2.2*2.715*2.6*1.4*1.4*1.5*1.5*3.2,60500000000*(1.654288^(MIN($E3051,123)-117)))*1,0))</f>
        <v>19229919</v>
      </c>
    </row>
    <row r="3052" ht="28" customHeight="1" spans="1:34" x14ac:dyDescent="0.25">
      <c r="A3052">
        <v>3062</v>
      </c>
      <c r="B3052" t="s">
        <v>1221</v>
      </c>
      <c r="C3052" s="10" t="s">
        <v>1673</v>
      </c>
      <c r="D3052" t="s">
        <v>165</v>
      </c>
      <c r="E3052">
        <v>101</v>
      </c>
      <c r="F3052" t="s">
        <v>56</v>
      </c>
      <c r="G3052" t="s">
        <v>86</v>
      </c>
      <c r="H3052">
        <v>20</v>
      </c>
      <c r="I3052" s="11">
        <f>$E3052+0</f>
        <v>101</v>
      </c>
      <c r="J3052" s="12">
        <v>9500</v>
      </c>
      <c r="K3052" s="13">
        <f>$E3052+1</f>
        <v>102</v>
      </c>
      <c r="L3052" s="14">
        <f>IF($J3052=0,0,ROUND(MAX($J3052*1.4,1620000*(1.497923^(MIN($E3052,123)-117)))*1,0))</f>
        <v>13300</v>
      </c>
      <c r="M3052" s="11">
        <f>$E3052+2</f>
        <v>103</v>
      </c>
      <c r="N3052" s="12">
        <f>IF($J3052=0,0,ROUND(MAX($J3052*1.4*1.5,2190000*(1.580994^(MIN($E3052,123)-117)))*1,0))</f>
        <v>19950</v>
      </c>
      <c r="O3052" s="13">
        <f>$E3052+4</f>
        <v>105</v>
      </c>
      <c r="P3052" s="14">
        <f>IF($J3052=0,0,ROUND(MAX($J3052*1.4*1.5*1.6,3500000*(1.57975^(MIN($E3052,123)-117)))*1,0))</f>
        <v>31920</v>
      </c>
      <c r="Q3052" s="11">
        <f>$E3052+6</f>
        <v>107</v>
      </c>
      <c r="R3052" s="12">
        <f>IF($J3052=0,0,ROUND(MAX($J3052*1.4*1.5*1.6*1.6,13100000*(1.429962^(MIN($E3052,123)-117)))*1,0))</f>
        <v>51072</v>
      </c>
      <c r="S3052" s="13">
        <f>$E3052+8</f>
        <v>109</v>
      </c>
      <c r="T3052" s="14">
        <f>IF($J3052=0,0,ROUND(MAX($J3052*1.4*1.5*1.6*1.6*2.2,42600000*(1.576904^(MIN($E3052,123)-117)))*1,0))</f>
        <v>112358</v>
      </c>
      <c r="U3052" s="11">
        <f>$E3052+11</f>
        <v>112</v>
      </c>
      <c r="V3052" s="12">
        <f>IF($J3052=0,0,ROUND(MAX($J3052*1.4*1.5*1.6*1.6*2.2*2.715,354000000*(1.642074^(MIN($E3052,123)-117)))*1,0))</f>
        <v>305053</v>
      </c>
      <c r="W3052" s="13">
        <f>$E3052+15</f>
        <v>116</v>
      </c>
      <c r="X3052" s="14">
        <f>IF($J3052=0,0,ROUND(MAX($J3052*1.4*1.5*1.6*1.6*2.2*2.715*2.6,3540000000*(1.579646^(MIN($E3052,123)-117)))*1,0))</f>
        <v>2355304</v>
      </c>
      <c r="Y3052" s="11">
        <f>$E3052+17</f>
        <v>118</v>
      </c>
      <c r="Z3052" s="12">
        <f>IF($J3052=0,0,ROUND(MAX($J3052*1.4*1.5*1.6*1.6*2.2*2.715*2.6*1.4,6020000000*(1.651178^(MIN($E3052,123)-117)))*1,0))</f>
        <v>1971942</v>
      </c>
      <c r="AA3052" s="13">
        <f>$E3052+19</f>
        <v>120</v>
      </c>
      <c r="AB3052" s="14">
        <f>IF($J3052=0,0,ROUND(MAX($J3052*1.4*1.5*1.6*1.6*2.2*2.715*2.6*1.4*1.4,8430000000*(1.651435^(MIN($E3052,123)-117)))*1,0))</f>
        <v>2754507</v>
      </c>
      <c r="AC3052" s="11">
        <f>$E3052+21</f>
        <v>122</v>
      </c>
      <c r="AD3052" s="12">
        <f>IF($J3052=0,0,ROUND(MAX($J3052*1.4*1.5*1.6*1.6*2.2*2.715*2.6*1.4*1.4*1.5,12600000000*(1.652953^(MIN($E3052,123)-117)))*1,0))</f>
        <v>4056976</v>
      </c>
      <c r="AE3052" s="13">
        <f>$E3052+24</f>
        <v>125</v>
      </c>
      <c r="AF3052" s="14">
        <f>IF($J3052=0,0,ROUND(MAX($J3052*1.4*1.5*1.6*1.6*2.2*2.715*2.6*1.4*1.4*1.5*1.5,18900000000*(1.65331^(MIN($E3052,123)-117)))*1,0))</f>
        <v>6064474</v>
      </c>
      <c r="AG3052" s="11">
        <f>$E3052+27</f>
        <v>128</v>
      </c>
      <c r="AH3052" s="12">
        <f>IF($J3052=0,0,ROUND(MAX($J3052*1.4*1.5*1.6*1.6*2.2*2.715*2.6*1.4*1.4*1.5*1.5*3.2,60500000000*(1.654288^(MIN($E3052,123)-117)))*1,0))</f>
        <v>19229919</v>
      </c>
    </row>
    <row r="3053" ht="28" customHeight="1" spans="1:34" x14ac:dyDescent="0.25">
      <c r="A3053">
        <v>3063</v>
      </c>
      <c r="B3053" t="s">
        <v>1174</v>
      </c>
      <c r="C3053" s="10" t="s">
        <v>1673</v>
      </c>
      <c r="D3053" t="s">
        <v>40</v>
      </c>
      <c r="E3053">
        <v>101</v>
      </c>
      <c r="F3053" t="s">
        <v>54</v>
      </c>
      <c r="G3053" t="s">
        <v>171</v>
      </c>
      <c r="H3053">
        <v>20</v>
      </c>
      <c r="I3053" s="11">
        <f>$E3053+0</f>
        <v>101</v>
      </c>
      <c r="J3053" s="12">
        <v>18900</v>
      </c>
      <c r="K3053" s="13">
        <f>$E3053+1</f>
        <v>102</v>
      </c>
      <c r="L3053" s="14">
        <f>IF($J3053=0,0,ROUND(MAX($J3053*1.4,1620000*(1.497923^(MIN($E3053,123)-117)))*1,0))</f>
        <v>26460</v>
      </c>
      <c r="M3053" s="11">
        <f>$E3053+2</f>
        <v>103</v>
      </c>
      <c r="N3053" s="12">
        <f>IF($J3053=0,0,ROUND(MAX($J3053*1.4*1.5,2190000*(1.580994^(MIN($E3053,123)-117)))*1,0))</f>
        <v>39690</v>
      </c>
      <c r="O3053" s="13">
        <f>$E3053+4</f>
        <v>105</v>
      </c>
      <c r="P3053" s="14">
        <f>IF($J3053=0,0,ROUND(MAX($J3053*1.4*1.5*1.6,3500000*(1.57975^(MIN($E3053,123)-117)))*1,0))</f>
        <v>63504</v>
      </c>
      <c r="Q3053" s="11">
        <f>$E3053+6</f>
        <v>107</v>
      </c>
      <c r="R3053" s="12">
        <f>IF($J3053=0,0,ROUND(MAX($J3053*1.4*1.5*1.6*1.6,13100000*(1.429962^(MIN($E3053,123)-117)))*1,0))</f>
        <v>101606</v>
      </c>
      <c r="S3053" s="13">
        <f>$E3053+8</f>
        <v>109</v>
      </c>
      <c r="T3053" s="14">
        <f>IF($J3053=0,0,ROUND(MAX($J3053*1.4*1.5*1.6*1.6*2.2,42600000*(1.576904^(MIN($E3053,123)-117)))*1,0))</f>
        <v>223534</v>
      </c>
      <c r="U3053" s="11">
        <f>$E3053+11</f>
        <v>112</v>
      </c>
      <c r="V3053" s="12">
        <f>IF($J3053=0,0,ROUND(MAX($J3053*1.4*1.5*1.6*1.6*2.2*2.715,354000000*(1.642074^(MIN($E3053,123)-117)))*1,0))</f>
        <v>606895</v>
      </c>
      <c r="W3053" s="13">
        <f>$E3053+15</f>
        <v>116</v>
      </c>
      <c r="X3053" s="14">
        <f>IF($J3053=0,0,ROUND(MAX($J3053*1.4*1.5*1.6*1.6*2.2*2.715*2.6,3540000000*(1.579646^(MIN($E3053,123)-117)))*1,0))</f>
        <v>2355304</v>
      </c>
      <c r="Y3053" s="11">
        <f>$E3053+17</f>
        <v>118</v>
      </c>
      <c r="Z3053" s="12">
        <f>IF($J3053=0,0,ROUND(MAX($J3053*1.4*1.5*1.6*1.6*2.2*2.715*2.6*1.4,6020000000*(1.651178^(MIN($E3053,123)-117)))*1,0))</f>
        <v>2209098</v>
      </c>
      <c r="AA3053" s="13">
        <f>$E3053+19</f>
        <v>120</v>
      </c>
      <c r="AB3053" s="14">
        <f>IF($J3053=0,0,ROUND(MAX($J3053*1.4*1.5*1.6*1.6*2.2*2.715*2.6*1.4*1.4,8430000000*(1.651435^(MIN($E3053,123)-117)))*1,0))</f>
        <v>3092737</v>
      </c>
      <c r="AC3053" s="11">
        <f>$E3053+21</f>
        <v>122</v>
      </c>
      <c r="AD3053" s="12">
        <f>IF($J3053=0,0,ROUND(MAX($J3053*1.4*1.5*1.6*1.6*2.2*2.715*2.6*1.4*1.4*1.5,12600000000*(1.652953^(MIN($E3053,123)-117)))*1,0))</f>
        <v>4639106</v>
      </c>
      <c r="AE3053" s="13">
        <f>$E3053+24</f>
        <v>125</v>
      </c>
      <c r="AF3053" s="14">
        <f>IF($J3053=0,0,ROUND(MAX($J3053*1.4*1.5*1.6*1.6*2.2*2.715*2.6*1.4*1.4*1.5*1.5,18900000000*(1.65331^(MIN($E3053,123)-117)))*1,0))</f>
        <v>6958658</v>
      </c>
      <c r="AG3053" s="11">
        <f>$E3053+27</f>
        <v>128</v>
      </c>
      <c r="AH3053" s="12">
        <f>IF($J3053=0,0,ROUND(MAX($J3053*1.4*1.5*1.6*1.6*2.2*2.715*2.6*1.4*1.4*1.5*1.5*3.2,60500000000*(1.654288^(MIN($E3053,123)-117)))*1,0))</f>
        <v>22267707</v>
      </c>
    </row>
    <row r="3054" ht="28" customHeight="1" spans="1:34" x14ac:dyDescent="0.25">
      <c r="A3054">
        <v>3064</v>
      </c>
      <c r="B3054" t="s">
        <v>1699</v>
      </c>
      <c r="C3054" s="10" t="s">
        <v>1673</v>
      </c>
      <c r="D3054" t="s">
        <v>40</v>
      </c>
      <c r="E3054">
        <v>101</v>
      </c>
      <c r="F3054" t="s">
        <v>56</v>
      </c>
      <c r="G3054" t="s">
        <v>1007</v>
      </c>
      <c r="H3054">
        <v>20</v>
      </c>
      <c r="I3054" s="11">
        <f>$E3054+0</f>
        <v>101</v>
      </c>
      <c r="J3054" s="12">
        <v>17900</v>
      </c>
      <c r="K3054" s="13">
        <f>$E3054+1</f>
        <v>102</v>
      </c>
      <c r="L3054" s="14">
        <f>IF($J3054=0,0,ROUND(MAX($J3054*1.4,1620000*(1.497923^(MIN($E3054,123)-117)))*1,0))</f>
        <v>25060</v>
      </c>
      <c r="M3054" s="11">
        <f>$E3054+2</f>
        <v>103</v>
      </c>
      <c r="N3054" s="12">
        <f>IF($J3054=0,0,ROUND(MAX($J3054*1.4*1.5,2190000*(1.580994^(MIN($E3054,123)-117)))*1,0))</f>
        <v>37590</v>
      </c>
      <c r="O3054" s="13">
        <f>$E3054+4</f>
        <v>105</v>
      </c>
      <c r="P3054" s="14">
        <f>IF($J3054=0,0,ROUND(MAX($J3054*1.4*1.5*1.6,3500000*(1.57975^(MIN($E3054,123)-117)))*1,0))</f>
        <v>60144</v>
      </c>
      <c r="Q3054" s="11">
        <f>$E3054+6</f>
        <v>107</v>
      </c>
      <c r="R3054" s="12">
        <f>IF($J3054=0,0,ROUND(MAX($J3054*1.4*1.5*1.6*1.6,13100000*(1.429962^(MIN($E3054,123)-117)))*1,0))</f>
        <v>96230</v>
      </c>
      <c r="S3054" s="13">
        <f>$E3054+8</f>
        <v>109</v>
      </c>
      <c r="T3054" s="14">
        <f>IF($J3054=0,0,ROUND(MAX($J3054*1.4*1.5*1.6*1.6*2.2,42600000*(1.576904^(MIN($E3054,123)-117)))*1,0))</f>
        <v>211707</v>
      </c>
      <c r="U3054" s="11">
        <f>$E3054+11</f>
        <v>112</v>
      </c>
      <c r="V3054" s="12">
        <f>IF($J3054=0,0,ROUND(MAX($J3054*1.4*1.5*1.6*1.6*2.2*2.715,354000000*(1.642074^(MIN($E3054,123)-117)))*1,0))</f>
        <v>574784</v>
      </c>
      <c r="W3054" s="13">
        <f>$E3054+15</f>
        <v>116</v>
      </c>
      <c r="X3054" s="14">
        <f>IF($J3054=0,0,ROUND(MAX($J3054*1.4*1.5*1.6*1.6*2.2*2.715*2.6,3540000000*(1.579646^(MIN($E3054,123)-117)))*1,0))</f>
        <v>2355304</v>
      </c>
      <c r="Y3054" s="11">
        <f>$E3054+17</f>
        <v>118</v>
      </c>
      <c r="Z3054" s="12">
        <f>IF($J3054=0,0,ROUND(MAX($J3054*1.4*1.5*1.6*1.6*2.2*2.715*2.6*1.4,6020000000*(1.651178^(MIN($E3054,123)-117)))*1,0))</f>
        <v>2092214</v>
      </c>
      <c r="AA3054" s="13">
        <f>$E3054+19</f>
        <v>120</v>
      </c>
      <c r="AB3054" s="14">
        <f>IF($J3054=0,0,ROUND(MAX($J3054*1.4*1.5*1.6*1.6*2.2*2.715*2.6*1.4*1.4,8430000000*(1.651435^(MIN($E3054,123)-117)))*1,0))</f>
        <v>2929100</v>
      </c>
      <c r="AC3054" s="11">
        <f>$E3054+21</f>
        <v>122</v>
      </c>
      <c r="AD3054" s="12">
        <f>IF($J3054=0,0,ROUND(MAX($J3054*1.4*1.5*1.6*1.6*2.2*2.715*2.6*1.4*1.4*1.5,12600000000*(1.652953^(MIN($E3054,123)-117)))*1,0))</f>
        <v>4393650</v>
      </c>
      <c r="AE3054" s="13">
        <f>$E3054+24</f>
        <v>125</v>
      </c>
      <c r="AF3054" s="14">
        <f>IF($J3054=0,0,ROUND(MAX($J3054*1.4*1.5*1.6*1.6*2.2*2.715*2.6*1.4*1.4*1.5*1.5,18900000000*(1.65331^(MIN($E3054,123)-117)))*1,0))</f>
        <v>6590475</v>
      </c>
      <c r="AG3054" s="11">
        <f>$E3054+27</f>
        <v>128</v>
      </c>
      <c r="AH3054" s="12">
        <f>IF($J3054=0,0,ROUND(MAX($J3054*1.4*1.5*1.6*1.6*2.2*2.715*2.6*1.4*1.4*1.5*1.5*3.2,60500000000*(1.654288^(MIN($E3054,123)-117)))*1,0))</f>
        <v>21089521</v>
      </c>
    </row>
    <row r="3055" ht="28" customHeight="1" spans="1:34" x14ac:dyDescent="0.25">
      <c r="A3055">
        <v>3065</v>
      </c>
      <c r="B3055" t="s">
        <v>1700</v>
      </c>
      <c r="C3055" s="10" t="s">
        <v>1673</v>
      </c>
      <c r="D3055" t="s">
        <v>64</v>
      </c>
      <c r="E3055">
        <v>101</v>
      </c>
      <c r="F3055" t="s">
        <v>30</v>
      </c>
      <c r="G3055" t="s">
        <v>27</v>
      </c>
      <c r="H3055">
        <v>20</v>
      </c>
      <c r="I3055" s="11">
        <f>$E3055+0</f>
        <v>101</v>
      </c>
      <c r="J3055" s="12">
        <v>6360</v>
      </c>
      <c r="K3055" s="13">
        <f>$E3055+1</f>
        <v>102</v>
      </c>
      <c r="L3055" s="14">
        <f>IF($J3055=0,0,ROUND(MAX($J3055*1.4,1620000*(1.497923^(MIN($E3055,123)-117)))*1,0))</f>
        <v>8904</v>
      </c>
      <c r="M3055" s="11">
        <f>$E3055+2</f>
        <v>103</v>
      </c>
      <c r="N3055" s="12">
        <f>IF($J3055=0,0,ROUND(MAX($J3055*1.4*1.5,2190000*(1.580994^(MIN($E3055,123)-117)))*1,0))</f>
        <v>13356</v>
      </c>
      <c r="O3055" s="13">
        <f>$E3055+4</f>
        <v>105</v>
      </c>
      <c r="P3055" s="14">
        <f>IF($J3055=0,0,ROUND(MAX($J3055*1.4*1.5*1.6,3500000*(1.57975^(MIN($E3055,123)-117)))*1,0))</f>
        <v>21370</v>
      </c>
      <c r="Q3055" s="11">
        <f>$E3055+6</f>
        <v>107</v>
      </c>
      <c r="R3055" s="12">
        <f>IF($J3055=0,0,ROUND(MAX($J3055*1.4*1.5*1.6*1.6,13100000*(1.429962^(MIN($E3055,123)-117)))*1,0))</f>
        <v>42863</v>
      </c>
      <c r="S3055" s="13">
        <f>$E3055+8</f>
        <v>109</v>
      </c>
      <c r="T3055" s="14">
        <f>IF($J3055=0,0,ROUND(MAX($J3055*1.4*1.5*1.6*1.6*2.2,42600000*(1.576904^(MIN($E3055,123)-117)))*1,0))</f>
        <v>75221</v>
      </c>
      <c r="U3055" s="11">
        <f>$E3055+11</f>
        <v>112</v>
      </c>
      <c r="V3055" s="12">
        <f>IF($J3055=0,0,ROUND(MAX($J3055*1.4*1.5*1.6*1.6*2.2*2.715,354000000*(1.642074^(MIN($E3055,123)-117)))*1,0))</f>
        <v>204225</v>
      </c>
      <c r="W3055" s="13">
        <f>$E3055+15</f>
        <v>116</v>
      </c>
      <c r="X3055" s="14">
        <f>IF($J3055=0,0,ROUND(MAX($J3055*1.4*1.5*1.6*1.6*2.2*2.715*2.6,3540000000*(1.579646^(MIN($E3055,123)-117)))*1,0))</f>
        <v>2355304</v>
      </c>
      <c r="Y3055" s="11">
        <f>$E3055+17</f>
        <v>118</v>
      </c>
      <c r="Z3055" s="12">
        <f>IF($J3055=0,0,ROUND(MAX($J3055*1.4*1.5*1.6*1.6*2.2*2.715*2.6*1.4,6020000000*(1.651178^(MIN($E3055,123)-117)))*1,0))</f>
        <v>1971942</v>
      </c>
      <c r="AA3055" s="13">
        <f>$E3055+19</f>
        <v>120</v>
      </c>
      <c r="AB3055" s="14">
        <f>IF($J3055=0,0,ROUND(MAX($J3055*1.4*1.5*1.6*1.6*2.2*2.715*2.6*1.4*1.4,8430000000*(1.651435^(MIN($E3055,123)-117)))*1,0))</f>
        <v>2754507</v>
      </c>
      <c r="AC3055" s="11">
        <f>$E3055+21</f>
        <v>122</v>
      </c>
      <c r="AD3055" s="12">
        <f>IF($J3055=0,0,ROUND(MAX($J3055*1.4*1.5*1.6*1.6*2.2*2.715*2.6*1.4*1.4*1.5,12600000000*(1.652953^(MIN($E3055,123)-117)))*1,0))</f>
        <v>4056976</v>
      </c>
      <c r="AE3055" s="13">
        <f>$E3055+24</f>
        <v>125</v>
      </c>
      <c r="AF3055" s="14">
        <f>IF($J3055=0,0,ROUND(MAX($J3055*1.4*1.5*1.6*1.6*2.2*2.715*2.6*1.4*1.4*1.5*1.5,18900000000*(1.65331^(MIN($E3055,123)-117)))*1,0))</f>
        <v>6064474</v>
      </c>
      <c r="AG3055" s="11">
        <f>$E3055+27</f>
        <v>128</v>
      </c>
      <c r="AH3055" s="12">
        <f>IF($J3055=0,0,ROUND(MAX($J3055*1.4*1.5*1.6*1.6*2.2*2.715*2.6*1.4*1.4*1.5*1.5*3.2,60500000000*(1.654288^(MIN($E3055,123)-117)))*1,0))</f>
        <v>19229919</v>
      </c>
    </row>
    <row r="3056" ht="28" customHeight="1" spans="1:34" x14ac:dyDescent="0.25">
      <c r="A3056">
        <v>3066</v>
      </c>
      <c r="B3056" t="s">
        <v>1701</v>
      </c>
      <c r="C3056" s="10" t="s">
        <v>1673</v>
      </c>
      <c r="D3056" t="s">
        <v>165</v>
      </c>
      <c r="E3056">
        <v>101</v>
      </c>
      <c r="F3056" t="s">
        <v>223</v>
      </c>
      <c r="G3056" t="s">
        <v>1702</v>
      </c>
      <c r="H3056">
        <v>20</v>
      </c>
      <c r="I3056" s="11">
        <f>$E3056+0</f>
        <v>101</v>
      </c>
      <c r="J3056" s="12">
        <v>8910</v>
      </c>
      <c r="K3056" s="13">
        <f>$E3056+1</f>
        <v>102</v>
      </c>
      <c r="L3056" s="14">
        <f>IF($J3056=0,0,ROUND(MAX($J3056*1.4,1620000*(1.497923^(MIN($E3056,123)-117)))*1,0))</f>
        <v>12474</v>
      </c>
      <c r="M3056" s="11">
        <f>$E3056+2</f>
        <v>103</v>
      </c>
      <c r="N3056" s="12">
        <f>IF($J3056=0,0,ROUND(MAX($J3056*1.4*1.5,2190000*(1.580994^(MIN($E3056,123)-117)))*1,0))</f>
        <v>18711</v>
      </c>
      <c r="O3056" s="13">
        <f>$E3056+4</f>
        <v>105</v>
      </c>
      <c r="P3056" s="14">
        <f>IF($J3056=0,0,ROUND(MAX($J3056*1.4*1.5*1.6,3500000*(1.57975^(MIN($E3056,123)-117)))*1,0))</f>
        <v>29938</v>
      </c>
      <c r="Q3056" s="11">
        <f>$E3056+6</f>
        <v>107</v>
      </c>
      <c r="R3056" s="12">
        <f>IF($J3056=0,0,ROUND(MAX($J3056*1.4*1.5*1.6*1.6,13100000*(1.429962^(MIN($E3056,123)-117)))*1,0))</f>
        <v>47900</v>
      </c>
      <c r="S3056" s="13">
        <f>$E3056+8</f>
        <v>109</v>
      </c>
      <c r="T3056" s="14">
        <f>IF($J3056=0,0,ROUND(MAX($J3056*1.4*1.5*1.6*1.6*2.2,42600000*(1.576904^(MIN($E3056,123)-117)))*1,0))</f>
        <v>105380</v>
      </c>
      <c r="U3056" s="11">
        <f>$E3056+11</f>
        <v>112</v>
      </c>
      <c r="V3056" s="12">
        <f>IF($J3056=0,0,ROUND(MAX($J3056*1.4*1.5*1.6*1.6*2.2*2.715,354000000*(1.642074^(MIN($E3056,123)-117)))*1,0))</f>
        <v>286108</v>
      </c>
      <c r="W3056" s="13">
        <f>$E3056+15</f>
        <v>116</v>
      </c>
      <c r="X3056" s="14">
        <f>IF($J3056=0,0,ROUND(MAX($J3056*1.4*1.5*1.6*1.6*2.2*2.715*2.6,3540000000*(1.579646^(MIN($E3056,123)-117)))*1,0))</f>
        <v>2355304</v>
      </c>
      <c r="Y3056" s="11">
        <f>$E3056+17</f>
        <v>118</v>
      </c>
      <c r="Z3056" s="12">
        <f>IF($J3056=0,0,ROUND(MAX($J3056*1.4*1.5*1.6*1.6*2.2*2.715*2.6*1.4,6020000000*(1.651178^(MIN($E3056,123)-117)))*1,0))</f>
        <v>1971942</v>
      </c>
      <c r="AA3056" s="13">
        <f>$E3056+19</f>
        <v>120</v>
      </c>
      <c r="AB3056" s="14">
        <f>IF($J3056=0,0,ROUND(MAX($J3056*1.4*1.5*1.6*1.6*2.2*2.715*2.6*1.4*1.4,8430000000*(1.651435^(MIN($E3056,123)-117)))*1,0))</f>
        <v>2754507</v>
      </c>
      <c r="AC3056" s="11">
        <f>$E3056+21</f>
        <v>122</v>
      </c>
      <c r="AD3056" s="12">
        <f>IF($J3056=0,0,ROUND(MAX($J3056*1.4*1.5*1.6*1.6*2.2*2.715*2.6*1.4*1.4*1.5,12600000000*(1.652953^(MIN($E3056,123)-117)))*1,0))</f>
        <v>4056976</v>
      </c>
      <c r="AE3056" s="13">
        <f>$E3056+24</f>
        <v>125</v>
      </c>
      <c r="AF3056" s="14">
        <f>IF($J3056=0,0,ROUND(MAX($J3056*1.4*1.5*1.6*1.6*2.2*2.715*2.6*1.4*1.4*1.5*1.5,18900000000*(1.65331^(MIN($E3056,123)-117)))*1,0))</f>
        <v>6064474</v>
      </c>
      <c r="AG3056" s="11">
        <f>$E3056+27</f>
        <v>128</v>
      </c>
      <c r="AH3056" s="12">
        <f>IF($J3056=0,0,ROUND(MAX($J3056*1.4*1.5*1.6*1.6*2.2*2.715*2.6*1.4*1.4*1.5*1.5*3.2,60500000000*(1.654288^(MIN($E3056,123)-117)))*1,0))</f>
        <v>19229919</v>
      </c>
    </row>
    <row r="3057" ht="28" customHeight="1" spans="1:34" x14ac:dyDescent="0.25">
      <c r="A3057">
        <v>3067</v>
      </c>
      <c r="B3057" t="s">
        <v>1703</v>
      </c>
      <c r="C3057" s="10" t="s">
        <v>1673</v>
      </c>
      <c r="D3057" t="s">
        <v>29</v>
      </c>
      <c r="E3057">
        <v>101</v>
      </c>
      <c r="F3057" t="s">
        <v>225</v>
      </c>
      <c r="G3057" t="s">
        <v>416</v>
      </c>
      <c r="H3057">
        <v>20</v>
      </c>
      <c r="I3057" s="11">
        <f>$E3057+0</f>
        <v>101</v>
      </c>
      <c r="J3057" s="12">
        <v>15800</v>
      </c>
      <c r="K3057" s="13">
        <f>$E3057+1</f>
        <v>102</v>
      </c>
      <c r="L3057" s="14">
        <f>IF($J3057=0,0,ROUND(MAX($J3057*1.4,1620000*(1.497923^(MIN($E3057,123)-117)))*1,0))</f>
        <v>22120</v>
      </c>
      <c r="M3057" s="11">
        <f>$E3057+2</f>
        <v>103</v>
      </c>
      <c r="N3057" s="12">
        <f>IF($J3057=0,0,ROUND(MAX($J3057*1.4*1.5,2190000*(1.580994^(MIN($E3057,123)-117)))*1,0))</f>
        <v>33180</v>
      </c>
      <c r="O3057" s="13">
        <f>$E3057+4</f>
        <v>105</v>
      </c>
      <c r="P3057" s="14">
        <f>IF($J3057=0,0,ROUND(MAX($J3057*1.4*1.5*1.6,3500000*(1.57975^(MIN($E3057,123)-117)))*1,0))</f>
        <v>53088</v>
      </c>
      <c r="Q3057" s="11">
        <f>$E3057+6</f>
        <v>107</v>
      </c>
      <c r="R3057" s="12">
        <f>IF($J3057=0,0,ROUND(MAX($J3057*1.4*1.5*1.6*1.6,13100000*(1.429962^(MIN($E3057,123)-117)))*1,0))</f>
        <v>84941</v>
      </c>
      <c r="S3057" s="13">
        <f>$E3057+8</f>
        <v>109</v>
      </c>
      <c r="T3057" s="14">
        <f>IF($J3057=0,0,ROUND(MAX($J3057*1.4*1.5*1.6*1.6*2.2,42600000*(1.576904^(MIN($E3057,123)-117)))*1,0))</f>
        <v>186870</v>
      </c>
      <c r="U3057" s="11">
        <f>$E3057+11</f>
        <v>112</v>
      </c>
      <c r="V3057" s="12">
        <f>IF($J3057=0,0,ROUND(MAX($J3057*1.4*1.5*1.6*1.6*2.2*2.715,354000000*(1.642074^(MIN($E3057,123)-117)))*1,0))</f>
        <v>507351</v>
      </c>
      <c r="W3057" s="13">
        <f>$E3057+15</f>
        <v>116</v>
      </c>
      <c r="X3057" s="14">
        <f>IF($J3057=0,0,ROUND(MAX($J3057*1.4*1.5*1.6*1.6*2.2*2.715*2.6,3540000000*(1.579646^(MIN($E3057,123)-117)))*1,0))</f>
        <v>2355304</v>
      </c>
      <c r="Y3057" s="11">
        <f>$E3057+17</f>
        <v>118</v>
      </c>
      <c r="Z3057" s="12">
        <f>IF($J3057=0,0,ROUND(MAX($J3057*1.4*1.5*1.6*1.6*2.2*2.715*2.6*1.4,6020000000*(1.651178^(MIN($E3057,123)-117)))*1,0))</f>
        <v>1971942</v>
      </c>
      <c r="AA3057" s="13">
        <f>$E3057+19</f>
        <v>120</v>
      </c>
      <c r="AB3057" s="14">
        <f>IF($J3057=0,0,ROUND(MAX($J3057*1.4*1.5*1.6*1.6*2.2*2.715*2.6*1.4*1.4,8430000000*(1.651435^(MIN($E3057,123)-117)))*1,0))</f>
        <v>2754507</v>
      </c>
      <c r="AC3057" s="11">
        <f>$E3057+21</f>
        <v>122</v>
      </c>
      <c r="AD3057" s="12">
        <f>IF($J3057=0,0,ROUND(MAX($J3057*1.4*1.5*1.6*1.6*2.2*2.715*2.6*1.4*1.4*1.5,12600000000*(1.652953^(MIN($E3057,123)-117)))*1,0))</f>
        <v>4056976</v>
      </c>
      <c r="AE3057" s="13">
        <f>$E3057+24</f>
        <v>125</v>
      </c>
      <c r="AF3057" s="14">
        <f>IF($J3057=0,0,ROUND(MAX($J3057*1.4*1.5*1.6*1.6*2.2*2.715*2.6*1.4*1.4*1.5*1.5,18900000000*(1.65331^(MIN($E3057,123)-117)))*1,0))</f>
        <v>6064474</v>
      </c>
      <c r="AG3057" s="11">
        <f>$E3057+27</f>
        <v>128</v>
      </c>
      <c r="AH3057" s="12">
        <f>IF($J3057=0,0,ROUND(MAX($J3057*1.4*1.5*1.6*1.6*2.2*2.715*2.6*1.4*1.4*1.5*1.5*3.2,60500000000*(1.654288^(MIN($E3057,123)-117)))*1,0))</f>
        <v>19229919</v>
      </c>
    </row>
    <row r="3058" ht="28" customHeight="1" spans="1:34" x14ac:dyDescent="0.25">
      <c r="A3058">
        <v>3068</v>
      </c>
      <c r="B3058" t="s">
        <v>41</v>
      </c>
      <c r="C3058" s="10" t="s">
        <v>1704</v>
      </c>
      <c r="D3058" t="s">
        <v>29</v>
      </c>
      <c r="E3058">
        <v>109</v>
      </c>
      <c r="F3058" t="s">
        <v>42</v>
      </c>
      <c r="G3058" t="s">
        <v>562</v>
      </c>
      <c r="H3058">
        <v>27</v>
      </c>
      <c r="I3058" s="11">
        <f>$E3058+0</f>
        <v>109</v>
      </c>
      <c r="J3058" s="12">
        <v>20100</v>
      </c>
      <c r="K3058" s="13">
        <f>$E3058+1</f>
        <v>110</v>
      </c>
      <c r="L3058" s="14">
        <f>IF($J3058=0,0,ROUND(MAX($J3058*1.4,1620000*(1.497923^(MIN($E3058,123)-117)))*1,0))</f>
        <v>63914</v>
      </c>
      <c r="M3058" s="11">
        <f>$E3058+2</f>
        <v>111</v>
      </c>
      <c r="N3058" s="12">
        <f>IF($J3058=0,0,ROUND(MAX($J3058*1.4*1.5,2190000*(1.580994^(MIN($E3058,123)-117)))*1,0))</f>
        <v>56105</v>
      </c>
      <c r="O3058" s="13">
        <f>$E3058+4</f>
        <v>113</v>
      </c>
      <c r="P3058" s="14">
        <f>IF($J3058=0,0,ROUND(MAX($J3058*1.4*1.5*1.6,3500000*(1.57975^(MIN($E3058,123)-117)))*1,0))</f>
        <v>90232</v>
      </c>
      <c r="Q3058" s="11">
        <f>$E3058+6</f>
        <v>115</v>
      </c>
      <c r="R3058" s="12">
        <f>IF($J3058=0,0,ROUND(MAX($J3058*1.4*1.5*1.6*1.6,13100000*(1.429962^(MIN($E3058,123)-117)))*1,0))</f>
        <v>749334</v>
      </c>
      <c r="S3058" s="13">
        <f>$E3058+8</f>
        <v>117</v>
      </c>
      <c r="T3058" s="14">
        <f>IF($J3058=0,0,ROUND(MAX($J3058*1.4*1.5*1.6*1.6*2.2,42600000*(1.576904^(MIN($E3058,123)-117)))*1,0))</f>
        <v>1114211</v>
      </c>
      <c r="U3058" s="11">
        <f>$E3058+11</f>
        <v>120</v>
      </c>
      <c r="V3058" s="12">
        <f>IF($J3058=0,0,ROUND(MAX($J3058*1.4*1.5*1.6*1.6*2.2*2.715,354000000*(1.642074^(MIN($E3058,123)-117)))*1,0))</f>
        <v>6696710</v>
      </c>
      <c r="W3058" s="13">
        <f>$E3058+15</f>
        <v>124</v>
      </c>
      <c r="X3058" s="14">
        <f>IF($J3058=0,0,ROUND(MAX($J3058*1.4*1.5*1.6*1.6*2.2*2.715*2.6,3540000000*(1.579646^(MIN($E3058,123)-117)))*1,0))</f>
        <v>91311418</v>
      </c>
      <c r="Y3058" s="11">
        <f>$E3058+17</f>
        <v>126</v>
      </c>
      <c r="Z3058" s="12">
        <f>IF($J3058=0,0,ROUND(MAX($J3058*1.4*1.5*1.6*1.6*2.2*2.715*2.6*1.4,6020000000*(1.651178^(MIN($E3058,123)-117)))*1,0))</f>
        <v>108954543</v>
      </c>
      <c r="AA3058" s="13">
        <f>$E3058+19</f>
        <v>128</v>
      </c>
      <c r="AB3058" s="14">
        <f>IF($J3058=0,0,ROUND(MAX($J3058*1.4*1.5*1.6*1.6*2.2*2.715*2.6*1.4*1.4,8430000000*(1.651435^(MIN($E3058,123)-117)))*1,0))</f>
        <v>152382712</v>
      </c>
      <c r="AC3058" s="11">
        <f>$E3058+21</f>
        <v>130</v>
      </c>
      <c r="AD3058" s="12">
        <f>IF($J3058=0,0,ROUND(MAX($J3058*1.4*1.5*1.6*1.6*2.2*2.715*2.6*1.4*1.4*1.5,12600000000*(1.652953^(MIN($E3058,123)-117)))*1,0))</f>
        <v>226092682</v>
      </c>
      <c r="AE3058" s="13">
        <f>$E3058+24</f>
        <v>133</v>
      </c>
      <c r="AF3058" s="14">
        <f>IF($J3058=0,0,ROUND(MAX($J3058*1.4*1.5*1.6*1.6*2.2*2.715*2.6*1.4*1.4*1.5*1.5,18900000000*(1.65331^(MIN($E3058,123)-117)))*1,0))</f>
        <v>338553621</v>
      </c>
      <c r="AG3058" s="11">
        <f>$E3058+27</f>
        <v>136</v>
      </c>
      <c r="AH3058" s="12">
        <f>IF($J3058=0,0,ROUND(MAX($J3058*1.4*1.5*1.6*1.6*2.2*2.715*2.6*1.4*1.4*1.5*1.5*3.2,60500000000*(1.654288^(MIN($E3058,123)-117)))*1,0))</f>
        <v>1078614909</v>
      </c>
    </row>
    <row r="3059" ht="28" customHeight="1" spans="1:34" x14ac:dyDescent="0.25">
      <c r="A3059">
        <v>3069</v>
      </c>
      <c r="B3059" t="s">
        <v>52</v>
      </c>
      <c r="C3059" s="10" t="s">
        <v>1704</v>
      </c>
      <c r="D3059" t="s">
        <v>40</v>
      </c>
      <c r="E3059">
        <v>109</v>
      </c>
      <c r="F3059" t="s">
        <v>30</v>
      </c>
      <c r="G3059" t="s">
        <v>562</v>
      </c>
      <c r="H3059">
        <v>27</v>
      </c>
      <c r="I3059" s="11">
        <f>$E3059+0</f>
        <v>109</v>
      </c>
      <c r="J3059" s="12">
        <v>80000</v>
      </c>
      <c r="K3059" s="13">
        <f>$E3059+1</f>
        <v>110</v>
      </c>
      <c r="L3059" s="14">
        <f>IF($J3059=0,0,ROUND(MAX($J3059*1.4,1620000*(1.497923^(MIN($E3059,123)-117)))*1,0))</f>
        <v>112000</v>
      </c>
      <c r="M3059" s="11">
        <f>$E3059+2</f>
        <v>111</v>
      </c>
      <c r="N3059" s="12">
        <f>IF($J3059=0,0,ROUND(MAX($J3059*1.4*1.5,2190000*(1.580994^(MIN($E3059,123)-117)))*1,0))</f>
        <v>168000</v>
      </c>
      <c r="O3059" s="13">
        <f>$E3059+4</f>
        <v>113</v>
      </c>
      <c r="P3059" s="14">
        <f>IF($J3059=0,0,ROUND(MAX($J3059*1.4*1.5*1.6,3500000*(1.57975^(MIN($E3059,123)-117)))*1,0))</f>
        <v>268800</v>
      </c>
      <c r="Q3059" s="11">
        <f>$E3059+6</f>
        <v>115</v>
      </c>
      <c r="R3059" s="12">
        <f>IF($J3059=0,0,ROUND(MAX($J3059*1.4*1.5*1.6*1.6,13100000*(1.429962^(MIN($E3059,123)-117)))*1,0))</f>
        <v>749334</v>
      </c>
      <c r="S3059" s="13">
        <f>$E3059+8</f>
        <v>117</v>
      </c>
      <c r="T3059" s="14">
        <f>IF($J3059=0,0,ROUND(MAX($J3059*1.4*1.5*1.6*1.6*2.2,42600000*(1.576904^(MIN($E3059,123)-117)))*1,0))</f>
        <v>1114211</v>
      </c>
      <c r="U3059" s="11">
        <f>$E3059+11</f>
        <v>120</v>
      </c>
      <c r="V3059" s="12">
        <f>IF($J3059=0,0,ROUND(MAX($J3059*1.4*1.5*1.6*1.6*2.2*2.715,354000000*(1.642074^(MIN($E3059,123)-117)))*1,0))</f>
        <v>6696710</v>
      </c>
      <c r="W3059" s="13">
        <f>$E3059+15</f>
        <v>124</v>
      </c>
      <c r="X3059" s="14">
        <f>IF($J3059=0,0,ROUND(MAX($J3059*1.4*1.5*1.6*1.6*2.2*2.715*2.6,3540000000*(1.579646^(MIN($E3059,123)-117)))*1,0))</f>
        <v>91311418</v>
      </c>
      <c r="Y3059" s="11">
        <f>$E3059+17</f>
        <v>126</v>
      </c>
      <c r="Z3059" s="12">
        <f>IF($J3059=0,0,ROUND(MAX($J3059*1.4*1.5*1.6*1.6*2.2*2.715*2.6*1.4,6020000000*(1.651178^(MIN($E3059,123)-117)))*1,0))</f>
        <v>108954543</v>
      </c>
      <c r="AA3059" s="13">
        <f>$E3059+19</f>
        <v>128</v>
      </c>
      <c r="AB3059" s="14">
        <f>IF($J3059=0,0,ROUND(MAX($J3059*1.4*1.5*1.6*1.6*2.2*2.715*2.6*1.4*1.4,8430000000*(1.651435^(MIN($E3059,123)-117)))*1,0))</f>
        <v>152382712</v>
      </c>
      <c r="AC3059" s="11">
        <f>$E3059+21</f>
        <v>130</v>
      </c>
      <c r="AD3059" s="12">
        <f>IF($J3059=0,0,ROUND(MAX($J3059*1.4*1.5*1.6*1.6*2.2*2.715*2.6*1.4*1.4*1.5,12600000000*(1.652953^(MIN($E3059,123)-117)))*1,0))</f>
        <v>226092682</v>
      </c>
      <c r="AE3059" s="13">
        <f>$E3059+24</f>
        <v>133</v>
      </c>
      <c r="AF3059" s="14">
        <f>IF($J3059=0,0,ROUND(MAX($J3059*1.4*1.5*1.6*1.6*2.2*2.715*2.6*1.4*1.4*1.5*1.5,18900000000*(1.65331^(MIN($E3059,123)-117)))*1,0))</f>
        <v>338553621</v>
      </c>
      <c r="AG3059" s="11">
        <f>$E3059+27</f>
        <v>136</v>
      </c>
      <c r="AH3059" s="12">
        <f>IF($J3059=0,0,ROUND(MAX($J3059*1.4*1.5*1.6*1.6*2.2*2.715*2.6*1.4*1.4*1.5*1.5*3.2,60500000000*(1.654288^(MIN($E3059,123)-117)))*1,0))</f>
        <v>1078614909</v>
      </c>
    </row>
    <row r="3060" ht="28" customHeight="1" spans="1:34" x14ac:dyDescent="0.25">
      <c r="A3060">
        <v>3070</v>
      </c>
      <c r="B3060" t="s">
        <v>53</v>
      </c>
      <c r="C3060" s="10" t="s">
        <v>1704</v>
      </c>
      <c r="D3060" t="s">
        <v>25</v>
      </c>
      <c r="E3060">
        <v>109</v>
      </c>
      <c r="F3060" t="s">
        <v>54</v>
      </c>
      <c r="G3060" t="s">
        <v>562</v>
      </c>
      <c r="H3060">
        <v>27</v>
      </c>
      <c r="I3060" s="11">
        <f>$E3060+0</f>
        <v>109</v>
      </c>
      <c r="J3060" s="12">
        <v>70000</v>
      </c>
      <c r="K3060" s="13">
        <f>$E3060+1</f>
        <v>110</v>
      </c>
      <c r="L3060" s="14">
        <f>IF($J3060=0,0,ROUND(MAX($J3060*1.4,1620000*(1.497923^(MIN($E3060,123)-117)))*1,0))</f>
        <v>98000</v>
      </c>
      <c r="M3060" s="11">
        <f>$E3060+2</f>
        <v>111</v>
      </c>
      <c r="N3060" s="12">
        <f>IF($J3060=0,0,ROUND(MAX($J3060*1.4*1.5,2190000*(1.580994^(MIN($E3060,123)-117)))*1,0))</f>
        <v>147000</v>
      </c>
      <c r="O3060" s="13">
        <f>$E3060+4</f>
        <v>113</v>
      </c>
      <c r="P3060" s="14">
        <f>IF($J3060=0,0,ROUND(MAX($J3060*1.4*1.5*1.6,3500000*(1.57975^(MIN($E3060,123)-117)))*1,0))</f>
        <v>235200</v>
      </c>
      <c r="Q3060" s="11">
        <f>$E3060+6</f>
        <v>115</v>
      </c>
      <c r="R3060" s="12">
        <f>IF($J3060=0,0,ROUND(MAX($J3060*1.4*1.5*1.6*1.6,13100000*(1.429962^(MIN($E3060,123)-117)))*1,0))</f>
        <v>749334</v>
      </c>
      <c r="S3060" s="13">
        <f>$E3060+8</f>
        <v>117</v>
      </c>
      <c r="T3060" s="14">
        <f>IF($J3060=0,0,ROUND(MAX($J3060*1.4*1.5*1.6*1.6*2.2,42600000*(1.576904^(MIN($E3060,123)-117)))*1,0))</f>
        <v>1114211</v>
      </c>
      <c r="U3060" s="11">
        <f>$E3060+11</f>
        <v>120</v>
      </c>
      <c r="V3060" s="12">
        <f>IF($J3060=0,0,ROUND(MAX($J3060*1.4*1.5*1.6*1.6*2.2*2.715,354000000*(1.642074^(MIN($E3060,123)-117)))*1,0))</f>
        <v>6696710</v>
      </c>
      <c r="W3060" s="13">
        <f>$E3060+15</f>
        <v>124</v>
      </c>
      <c r="X3060" s="14">
        <f>IF($J3060=0,0,ROUND(MAX($J3060*1.4*1.5*1.6*1.6*2.2*2.715*2.6,3540000000*(1.579646^(MIN($E3060,123)-117)))*1,0))</f>
        <v>91311418</v>
      </c>
      <c r="Y3060" s="11">
        <f>$E3060+17</f>
        <v>126</v>
      </c>
      <c r="Z3060" s="12">
        <f>IF($J3060=0,0,ROUND(MAX($J3060*1.4*1.5*1.6*1.6*2.2*2.715*2.6*1.4,6020000000*(1.651178^(MIN($E3060,123)-117)))*1,0))</f>
        <v>108954543</v>
      </c>
      <c r="AA3060" s="13">
        <f>$E3060+19</f>
        <v>128</v>
      </c>
      <c r="AB3060" s="14">
        <f>IF($J3060=0,0,ROUND(MAX($J3060*1.4*1.5*1.6*1.6*2.2*2.715*2.6*1.4*1.4,8430000000*(1.651435^(MIN($E3060,123)-117)))*1,0))</f>
        <v>152382712</v>
      </c>
      <c r="AC3060" s="11">
        <f>$E3060+21</f>
        <v>130</v>
      </c>
      <c r="AD3060" s="12">
        <f>IF($J3060=0,0,ROUND(MAX($J3060*1.4*1.5*1.6*1.6*2.2*2.715*2.6*1.4*1.4*1.5,12600000000*(1.652953^(MIN($E3060,123)-117)))*1,0))</f>
        <v>226092682</v>
      </c>
      <c r="AE3060" s="13">
        <f>$E3060+24</f>
        <v>133</v>
      </c>
      <c r="AF3060" s="14">
        <f>IF($J3060=0,0,ROUND(MAX($J3060*1.4*1.5*1.6*1.6*2.2*2.715*2.6*1.4*1.4*1.5*1.5,18900000000*(1.65331^(MIN($E3060,123)-117)))*1,0))</f>
        <v>338553621</v>
      </c>
      <c r="AG3060" s="11">
        <f>$E3060+27</f>
        <v>136</v>
      </c>
      <c r="AH3060" s="12">
        <f>IF($J3060=0,0,ROUND(MAX($J3060*1.4*1.5*1.6*1.6*2.2*2.715*2.6*1.4*1.4*1.5*1.5*3.2,60500000000*(1.654288^(MIN($E3060,123)-117)))*1,0))</f>
        <v>1078614909</v>
      </c>
    </row>
    <row r="3061" ht="28" customHeight="1" spans="1:34" x14ac:dyDescent="0.25">
      <c r="A3061">
        <v>3071</v>
      </c>
      <c r="B3061" t="s">
        <v>58</v>
      </c>
      <c r="C3061" s="10" t="s">
        <v>1704</v>
      </c>
      <c r="D3061" t="s">
        <v>29</v>
      </c>
      <c r="E3061">
        <v>108</v>
      </c>
      <c r="F3061" t="s">
        <v>59</v>
      </c>
      <c r="G3061" t="s">
        <v>562</v>
      </c>
      <c r="H3061">
        <v>26</v>
      </c>
      <c r="I3061" s="11">
        <f>$E3061+0</f>
        <v>108</v>
      </c>
      <c r="J3061" s="12">
        <v>10000</v>
      </c>
      <c r="K3061" s="13">
        <f>$E3061+1</f>
        <v>109</v>
      </c>
      <c r="L3061" s="14">
        <f>IF($J3061=0,0,ROUND(MAX($J3061*1.4,1620000*(1.497923^(MIN($E3061,123)-117)))*1,0))</f>
        <v>42669</v>
      </c>
      <c r="M3061" s="11">
        <f>$E3061+2</f>
        <v>110</v>
      </c>
      <c r="N3061" s="12">
        <f>IF($J3061=0,0,ROUND(MAX($J3061*1.4*1.5,2190000*(1.580994^(MIN($E3061,123)-117)))*1,0))</f>
        <v>35487</v>
      </c>
      <c r="O3061" s="13">
        <f>$E3061+4</f>
        <v>112</v>
      </c>
      <c r="P3061" s="14">
        <f>IF($J3061=0,0,ROUND(MAX($J3061*1.4*1.5*1.6,3500000*(1.57975^(MIN($E3061,123)-117)))*1,0))</f>
        <v>57118</v>
      </c>
      <c r="Q3061" s="11">
        <f>$E3061+6</f>
        <v>114</v>
      </c>
      <c r="R3061" s="12">
        <f>IF($J3061=0,0,ROUND(MAX($J3061*1.4*1.5*1.6*1.6,13100000*(1.429962^(MIN($E3061,123)-117)))*1,0))</f>
        <v>524024</v>
      </c>
      <c r="S3061" s="13">
        <f>$E3061+8</f>
        <v>116</v>
      </c>
      <c r="T3061" s="14">
        <f>IF($J3061=0,0,ROUND(MAX($J3061*1.4*1.5*1.6*1.6*2.2,42600000*(1.576904^(MIN($E3061,123)-117)))*1,0))</f>
        <v>706582</v>
      </c>
      <c r="U3061" s="11">
        <f>$E3061+11</f>
        <v>119</v>
      </c>
      <c r="V3061" s="12">
        <f>IF($J3061=0,0,ROUND(MAX($J3061*1.4*1.5*1.6*1.6*2.2*2.715,354000000*(1.642074^(MIN($E3061,123)-117)))*1,0))</f>
        <v>4078202</v>
      </c>
      <c r="W3061" s="13">
        <f>$E3061+15</f>
        <v>123</v>
      </c>
      <c r="X3061" s="14">
        <f>IF($J3061=0,0,ROUND(MAX($J3061*1.4*1.5*1.6*1.6*2.2*2.715*2.6,3540000000*(1.579646^(MIN($E3061,123)-117)))*1,0))</f>
        <v>57804988</v>
      </c>
      <c r="Y3061" s="11">
        <f>$E3061+17</f>
        <v>125</v>
      </c>
      <c r="Z3061" s="12">
        <f>IF($J3061=0,0,ROUND(MAX($J3061*1.4*1.5*1.6*1.6*2.2*2.715*2.6*1.4,6020000000*(1.651178^(MIN($E3061,123)-117)))*1,0))</f>
        <v>65985946</v>
      </c>
      <c r="AA3061" s="13">
        <f>$E3061+19</f>
        <v>127</v>
      </c>
      <c r="AB3061" s="14">
        <f>IF($J3061=0,0,ROUND(MAX($J3061*1.4*1.5*1.6*1.6*2.2*2.715*2.6*1.4*1.4,8430000000*(1.651435^(MIN($E3061,123)-117)))*1,0))</f>
        <v>92272909</v>
      </c>
      <c r="AC3061" s="11">
        <f>$E3061+21</f>
        <v>129</v>
      </c>
      <c r="AD3061" s="12">
        <f>IF($J3061=0,0,ROUND(MAX($J3061*1.4*1.5*1.6*1.6*2.2*2.715*2.6*1.4*1.4*1.5,12600000000*(1.652953^(MIN($E3061,123)-117)))*1,0))</f>
        <v>136781071</v>
      </c>
      <c r="AE3061" s="13">
        <f>$E3061+24</f>
        <v>132</v>
      </c>
      <c r="AF3061" s="14">
        <f>IF($J3061=0,0,ROUND(MAX($J3061*1.4*1.5*1.6*1.6*2.2*2.715*2.6*1.4*1.4*1.5*1.5,18900000000*(1.65331^(MIN($E3061,123)-117)))*1,0))</f>
        <v>204773225</v>
      </c>
      <c r="AG3061" s="11">
        <f>$E3061+27</f>
        <v>135</v>
      </c>
      <c r="AH3061" s="12">
        <f>IF($J3061=0,0,ROUND(MAX($J3061*1.4*1.5*1.6*1.6*2.2*2.715*2.6*1.4*1.4*1.5*1.5*3.2,60500000000*(1.654288^(MIN($E3061,123)-117)))*1,0))</f>
        <v>652011566</v>
      </c>
    </row>
    <row r="3062" ht="28" customHeight="1" spans="1:34" x14ac:dyDescent="0.25">
      <c r="A3062">
        <v>3072</v>
      </c>
      <c r="B3062" t="s">
        <v>50</v>
      </c>
      <c r="C3062" s="10" t="s">
        <v>1704</v>
      </c>
      <c r="D3062" t="s">
        <v>40</v>
      </c>
      <c r="E3062">
        <v>108</v>
      </c>
      <c r="F3062" t="s">
        <v>42</v>
      </c>
      <c r="G3062" t="s">
        <v>562</v>
      </c>
      <c r="H3062">
        <v>26</v>
      </c>
      <c r="I3062" s="11">
        <f>$E3062+0</f>
        <v>108</v>
      </c>
      <c r="J3062" s="12">
        <v>10000</v>
      </c>
      <c r="K3062" s="13">
        <f>$E3062+1</f>
        <v>109</v>
      </c>
      <c r="L3062" s="14">
        <f>IF($J3062=0,0,ROUND(MAX($J3062*1.4,1620000*(1.497923^(MIN($E3062,123)-117)))*1,0))</f>
        <v>42669</v>
      </c>
      <c r="M3062" s="11">
        <f>$E3062+2</f>
        <v>110</v>
      </c>
      <c r="N3062" s="12">
        <f>IF($J3062=0,0,ROUND(MAX($J3062*1.4*1.5,2190000*(1.580994^(MIN($E3062,123)-117)))*1,0))</f>
        <v>35487</v>
      </c>
      <c r="O3062" s="13">
        <f>$E3062+4</f>
        <v>112</v>
      </c>
      <c r="P3062" s="14">
        <f>IF($J3062=0,0,ROUND(MAX($J3062*1.4*1.5*1.6,3500000*(1.57975^(MIN($E3062,123)-117)))*1,0))</f>
        <v>57118</v>
      </c>
      <c r="Q3062" s="11">
        <f>$E3062+6</f>
        <v>114</v>
      </c>
      <c r="R3062" s="12">
        <f>IF($J3062=0,0,ROUND(MAX($J3062*1.4*1.5*1.6*1.6,13100000*(1.429962^(MIN($E3062,123)-117)))*1,0))</f>
        <v>524024</v>
      </c>
      <c r="S3062" s="13">
        <f>$E3062+8</f>
        <v>116</v>
      </c>
      <c r="T3062" s="14">
        <f>IF($J3062=0,0,ROUND(MAX($J3062*1.4*1.5*1.6*1.6*2.2,42600000*(1.576904^(MIN($E3062,123)-117)))*1,0))</f>
        <v>706582</v>
      </c>
      <c r="U3062" s="11">
        <f>$E3062+11</f>
        <v>119</v>
      </c>
      <c r="V3062" s="12">
        <f>IF($J3062=0,0,ROUND(MAX($J3062*1.4*1.5*1.6*1.6*2.2*2.715,354000000*(1.642074^(MIN($E3062,123)-117)))*1,0))</f>
        <v>4078202</v>
      </c>
      <c r="W3062" s="13">
        <f>$E3062+15</f>
        <v>123</v>
      </c>
      <c r="X3062" s="14">
        <f>IF($J3062=0,0,ROUND(MAX($J3062*1.4*1.5*1.6*1.6*2.2*2.715*2.6,3540000000*(1.579646^(MIN($E3062,123)-117)))*1,0))</f>
        <v>57804988</v>
      </c>
      <c r="Y3062" s="11">
        <f>$E3062+17</f>
        <v>125</v>
      </c>
      <c r="Z3062" s="12">
        <f>IF($J3062=0,0,ROUND(MAX($J3062*1.4*1.5*1.6*1.6*2.2*2.715*2.6*1.4,6020000000*(1.651178^(MIN($E3062,123)-117)))*1,0))</f>
        <v>65985946</v>
      </c>
      <c r="AA3062" s="13">
        <f>$E3062+19</f>
        <v>127</v>
      </c>
      <c r="AB3062" s="14">
        <f>IF($J3062=0,0,ROUND(MAX($J3062*1.4*1.5*1.6*1.6*2.2*2.715*2.6*1.4*1.4,8430000000*(1.651435^(MIN($E3062,123)-117)))*1,0))</f>
        <v>92272909</v>
      </c>
      <c r="AC3062" s="11">
        <f>$E3062+21</f>
        <v>129</v>
      </c>
      <c r="AD3062" s="12">
        <f>IF($J3062=0,0,ROUND(MAX($J3062*1.4*1.5*1.6*1.6*2.2*2.715*2.6*1.4*1.4*1.5,12600000000*(1.652953^(MIN($E3062,123)-117)))*1,0))</f>
        <v>136781071</v>
      </c>
      <c r="AE3062" s="13">
        <f>$E3062+24</f>
        <v>132</v>
      </c>
      <c r="AF3062" s="14">
        <f>IF($J3062=0,0,ROUND(MAX($J3062*1.4*1.5*1.6*1.6*2.2*2.715*2.6*1.4*1.4*1.5*1.5,18900000000*(1.65331^(MIN($E3062,123)-117)))*1,0))</f>
        <v>204773225</v>
      </c>
      <c r="AG3062" s="11">
        <f>$E3062+27</f>
        <v>135</v>
      </c>
      <c r="AH3062" s="12">
        <f>IF($J3062=0,0,ROUND(MAX($J3062*1.4*1.5*1.6*1.6*2.2*2.715*2.6*1.4*1.4*1.5*1.5*3.2,60500000000*(1.654288^(MIN($E3062,123)-117)))*1,0))</f>
        <v>652011566</v>
      </c>
    </row>
    <row r="3063" ht="28" customHeight="1" spans="1:34" x14ac:dyDescent="0.25">
      <c r="A3063">
        <v>3073</v>
      </c>
      <c r="B3063" t="s">
        <v>99</v>
      </c>
      <c r="C3063" s="10" t="s">
        <v>1704</v>
      </c>
      <c r="D3063" t="s">
        <v>29</v>
      </c>
      <c r="E3063">
        <v>108</v>
      </c>
      <c r="F3063" t="s">
        <v>54</v>
      </c>
      <c r="G3063" t="s">
        <v>562</v>
      </c>
      <c r="H3063">
        <v>26</v>
      </c>
      <c r="I3063" s="11">
        <f>$E3063+0</f>
        <v>108</v>
      </c>
      <c r="J3063" s="12">
        <v>10000</v>
      </c>
      <c r="K3063" s="13">
        <f>$E3063+1</f>
        <v>109</v>
      </c>
      <c r="L3063" s="14">
        <f>IF($J3063=0,0,ROUND(MAX($J3063*1.4,1620000*(1.497923^(MIN($E3063,123)-117)))*1,0))</f>
        <v>42669</v>
      </c>
      <c r="M3063" s="11">
        <f>$E3063+2</f>
        <v>110</v>
      </c>
      <c r="N3063" s="12">
        <f>IF($J3063=0,0,ROUND(MAX($J3063*1.4*1.5,2190000*(1.580994^(MIN($E3063,123)-117)))*1,0))</f>
        <v>35487</v>
      </c>
      <c r="O3063" s="13">
        <f>$E3063+4</f>
        <v>112</v>
      </c>
      <c r="P3063" s="14">
        <f>IF($J3063=0,0,ROUND(MAX($J3063*1.4*1.5*1.6,3500000*(1.57975^(MIN($E3063,123)-117)))*1,0))</f>
        <v>57118</v>
      </c>
      <c r="Q3063" s="11">
        <f>$E3063+6</f>
        <v>114</v>
      </c>
      <c r="R3063" s="12">
        <f>IF($J3063=0,0,ROUND(MAX($J3063*1.4*1.5*1.6*1.6,13100000*(1.429962^(MIN($E3063,123)-117)))*1,0))</f>
        <v>524024</v>
      </c>
      <c r="S3063" s="13">
        <f>$E3063+8</f>
        <v>116</v>
      </c>
      <c r="T3063" s="14">
        <f>IF($J3063=0,0,ROUND(MAX($J3063*1.4*1.5*1.6*1.6*2.2,42600000*(1.576904^(MIN($E3063,123)-117)))*1,0))</f>
        <v>706582</v>
      </c>
      <c r="U3063" s="11">
        <f>$E3063+11</f>
        <v>119</v>
      </c>
      <c r="V3063" s="12">
        <f>IF($J3063=0,0,ROUND(MAX($J3063*1.4*1.5*1.6*1.6*2.2*2.715,354000000*(1.642074^(MIN($E3063,123)-117)))*1,0))</f>
        <v>4078202</v>
      </c>
      <c r="W3063" s="13">
        <f>$E3063+15</f>
        <v>123</v>
      </c>
      <c r="X3063" s="14">
        <f>IF($J3063=0,0,ROUND(MAX($J3063*1.4*1.5*1.6*1.6*2.2*2.715*2.6,3540000000*(1.579646^(MIN($E3063,123)-117)))*1,0))</f>
        <v>57804988</v>
      </c>
      <c r="Y3063" s="11">
        <f>$E3063+17</f>
        <v>125</v>
      </c>
      <c r="Z3063" s="12">
        <f>IF($J3063=0,0,ROUND(MAX($J3063*1.4*1.5*1.6*1.6*2.2*2.715*2.6*1.4,6020000000*(1.651178^(MIN($E3063,123)-117)))*1,0))</f>
        <v>65985946</v>
      </c>
      <c r="AA3063" s="13">
        <f>$E3063+19</f>
        <v>127</v>
      </c>
      <c r="AB3063" s="14">
        <f>IF($J3063=0,0,ROUND(MAX($J3063*1.4*1.5*1.6*1.6*2.2*2.715*2.6*1.4*1.4,8430000000*(1.651435^(MIN($E3063,123)-117)))*1,0))</f>
        <v>92272909</v>
      </c>
      <c r="AC3063" s="11">
        <f>$E3063+21</f>
        <v>129</v>
      </c>
      <c r="AD3063" s="12">
        <f>IF($J3063=0,0,ROUND(MAX($J3063*1.4*1.5*1.6*1.6*2.2*2.715*2.6*1.4*1.4*1.5,12600000000*(1.652953^(MIN($E3063,123)-117)))*1,0))</f>
        <v>136781071</v>
      </c>
      <c r="AE3063" s="13">
        <f>$E3063+24</f>
        <v>132</v>
      </c>
      <c r="AF3063" s="14">
        <f>IF($J3063=0,0,ROUND(MAX($J3063*1.4*1.5*1.6*1.6*2.2*2.715*2.6*1.4*1.4*1.5*1.5,18900000000*(1.65331^(MIN($E3063,123)-117)))*1,0))</f>
        <v>204773225</v>
      </c>
      <c r="AG3063" s="11">
        <f>$E3063+27</f>
        <v>135</v>
      </c>
      <c r="AH3063" s="12">
        <f>IF($J3063=0,0,ROUND(MAX($J3063*1.4*1.5*1.6*1.6*2.2*2.715*2.6*1.4*1.4*1.5*1.5*3.2,60500000000*(1.654288^(MIN($E3063,123)-117)))*1,0))</f>
        <v>652011566</v>
      </c>
    </row>
    <row r="3064" ht="28" customHeight="1" spans="1:34" x14ac:dyDescent="0.25">
      <c r="A3064">
        <v>3074</v>
      </c>
      <c r="B3064" t="s">
        <v>96</v>
      </c>
      <c r="C3064" s="10" t="s">
        <v>1704</v>
      </c>
      <c r="D3064" t="s">
        <v>40</v>
      </c>
      <c r="E3064">
        <v>108</v>
      </c>
      <c r="F3064" t="s">
        <v>97</v>
      </c>
      <c r="G3064" t="s">
        <v>562</v>
      </c>
      <c r="H3064">
        <v>26</v>
      </c>
      <c r="I3064" s="11">
        <f>$E3064+0</f>
        <v>108</v>
      </c>
      <c r="J3064" s="12">
        <v>10000</v>
      </c>
      <c r="K3064" s="13">
        <f>$E3064+1</f>
        <v>109</v>
      </c>
      <c r="L3064" s="14">
        <f>IF($J3064=0,0,ROUND(MAX($J3064*1.4,1620000*(1.497923^(MIN($E3064,123)-117)))*1,0))</f>
        <v>42669</v>
      </c>
      <c r="M3064" s="11">
        <f>$E3064+2</f>
        <v>110</v>
      </c>
      <c r="N3064" s="12">
        <f>IF($J3064=0,0,ROUND(MAX($J3064*1.4*1.5,2190000*(1.580994^(MIN($E3064,123)-117)))*1,0))</f>
        <v>35487</v>
      </c>
      <c r="O3064" s="13">
        <f>$E3064+4</f>
        <v>112</v>
      </c>
      <c r="P3064" s="14">
        <f>IF($J3064=0,0,ROUND(MAX($J3064*1.4*1.5*1.6,3500000*(1.57975^(MIN($E3064,123)-117)))*1,0))</f>
        <v>57118</v>
      </c>
      <c r="Q3064" s="11">
        <f>$E3064+6</f>
        <v>114</v>
      </c>
      <c r="R3064" s="12">
        <f>IF($J3064=0,0,ROUND(MAX($J3064*1.4*1.5*1.6*1.6,13100000*(1.429962^(MIN($E3064,123)-117)))*1,0))</f>
        <v>524024</v>
      </c>
      <c r="S3064" s="13">
        <f>$E3064+8</f>
        <v>116</v>
      </c>
      <c r="T3064" s="14">
        <f>IF($J3064=0,0,ROUND(MAX($J3064*1.4*1.5*1.6*1.6*2.2,42600000*(1.576904^(MIN($E3064,123)-117)))*1,0))</f>
        <v>706582</v>
      </c>
      <c r="U3064" s="11">
        <f>$E3064+11</f>
        <v>119</v>
      </c>
      <c r="V3064" s="12">
        <f>IF($J3064=0,0,ROUND(MAX($J3064*1.4*1.5*1.6*1.6*2.2*2.715,354000000*(1.642074^(MIN($E3064,123)-117)))*1,0))</f>
        <v>4078202</v>
      </c>
      <c r="W3064" s="13">
        <f>$E3064+15</f>
        <v>123</v>
      </c>
      <c r="X3064" s="14">
        <f>IF($J3064=0,0,ROUND(MAX($J3064*1.4*1.5*1.6*1.6*2.2*2.715*2.6,3540000000*(1.579646^(MIN($E3064,123)-117)))*1,0))</f>
        <v>57804988</v>
      </c>
      <c r="Y3064" s="11">
        <f>$E3064+17</f>
        <v>125</v>
      </c>
      <c r="Z3064" s="12">
        <f>IF($J3064=0,0,ROUND(MAX($J3064*1.4*1.5*1.6*1.6*2.2*2.715*2.6*1.4,6020000000*(1.651178^(MIN($E3064,123)-117)))*1,0))</f>
        <v>65985946</v>
      </c>
      <c r="AA3064" s="13">
        <f>$E3064+19</f>
        <v>127</v>
      </c>
      <c r="AB3064" s="14">
        <f>IF($J3064=0,0,ROUND(MAX($J3064*1.4*1.5*1.6*1.6*2.2*2.715*2.6*1.4*1.4,8430000000*(1.651435^(MIN($E3064,123)-117)))*1,0))</f>
        <v>92272909</v>
      </c>
      <c r="AC3064" s="11">
        <f>$E3064+21</f>
        <v>129</v>
      </c>
      <c r="AD3064" s="12">
        <f>IF($J3064=0,0,ROUND(MAX($J3064*1.4*1.5*1.6*1.6*2.2*2.715*2.6*1.4*1.4*1.5,12600000000*(1.652953^(MIN($E3064,123)-117)))*1,0))</f>
        <v>136781071</v>
      </c>
      <c r="AE3064" s="13">
        <f>$E3064+24</f>
        <v>132</v>
      </c>
      <c r="AF3064" s="14">
        <f>IF($J3064=0,0,ROUND(MAX($J3064*1.4*1.5*1.6*1.6*2.2*2.715*2.6*1.4*1.4*1.5*1.5,18900000000*(1.65331^(MIN($E3064,123)-117)))*1,0))</f>
        <v>204773225</v>
      </c>
      <c r="AG3064" s="11">
        <f>$E3064+27</f>
        <v>135</v>
      </c>
      <c r="AH3064" s="12">
        <f>IF($J3064=0,0,ROUND(MAX($J3064*1.4*1.5*1.6*1.6*2.2*2.715*2.6*1.4*1.4*1.5*1.5*3.2,60500000000*(1.654288^(MIN($E3064,123)-117)))*1,0))</f>
        <v>652011566</v>
      </c>
    </row>
    <row r="3065" ht="28" customHeight="1" spans="1:34" x14ac:dyDescent="0.25">
      <c r="A3065">
        <v>3075</v>
      </c>
      <c r="B3065" t="s">
        <v>153</v>
      </c>
      <c r="C3065" s="10" t="s">
        <v>1704</v>
      </c>
      <c r="D3065" t="s">
        <v>45</v>
      </c>
      <c r="E3065">
        <v>108</v>
      </c>
      <c r="F3065" t="s">
        <v>56</v>
      </c>
      <c r="G3065" t="s">
        <v>562</v>
      </c>
      <c r="H3065">
        <v>26</v>
      </c>
      <c r="I3065" s="11">
        <f>$E3065+0</f>
        <v>108</v>
      </c>
      <c r="J3065" s="12">
        <v>20000</v>
      </c>
      <c r="K3065" s="13">
        <f>$E3065+1</f>
        <v>109</v>
      </c>
      <c r="L3065" s="14">
        <f>IF($J3065=0,0,ROUND(MAX($J3065*1.4,1620000*(1.497923^(MIN($E3065,123)-117)))*1,0))</f>
        <v>42669</v>
      </c>
      <c r="M3065" s="11">
        <f>$E3065+2</f>
        <v>110</v>
      </c>
      <c r="N3065" s="12">
        <f>IF($J3065=0,0,ROUND(MAX($J3065*1.4*1.5,2190000*(1.580994^(MIN($E3065,123)-117)))*1,0))</f>
        <v>42000</v>
      </c>
      <c r="O3065" s="13">
        <f>$E3065+4</f>
        <v>112</v>
      </c>
      <c r="P3065" s="14">
        <f>IF($J3065=0,0,ROUND(MAX($J3065*1.4*1.5*1.6,3500000*(1.57975^(MIN($E3065,123)-117)))*1,0))</f>
        <v>67200</v>
      </c>
      <c r="Q3065" s="11">
        <f>$E3065+6</f>
        <v>114</v>
      </c>
      <c r="R3065" s="12">
        <f>IF($J3065=0,0,ROUND(MAX($J3065*1.4*1.5*1.6*1.6,13100000*(1.429962^(MIN($E3065,123)-117)))*1,0))</f>
        <v>524024</v>
      </c>
      <c r="S3065" s="13">
        <f>$E3065+8</f>
        <v>116</v>
      </c>
      <c r="T3065" s="14">
        <f>IF($J3065=0,0,ROUND(MAX($J3065*1.4*1.5*1.6*1.6*2.2,42600000*(1.576904^(MIN($E3065,123)-117)))*1,0))</f>
        <v>706582</v>
      </c>
      <c r="U3065" s="11">
        <f>$E3065+11</f>
        <v>119</v>
      </c>
      <c r="V3065" s="12">
        <f>IF($J3065=0,0,ROUND(MAX($J3065*1.4*1.5*1.6*1.6*2.2*2.715,354000000*(1.642074^(MIN($E3065,123)-117)))*1,0))</f>
        <v>4078202</v>
      </c>
      <c r="W3065" s="13">
        <f>$E3065+15</f>
        <v>123</v>
      </c>
      <c r="X3065" s="14">
        <f>IF($J3065=0,0,ROUND(MAX($J3065*1.4*1.5*1.6*1.6*2.2*2.715*2.6,3540000000*(1.579646^(MIN($E3065,123)-117)))*1,0))</f>
        <v>57804988</v>
      </c>
      <c r="Y3065" s="11">
        <f>$E3065+17</f>
        <v>125</v>
      </c>
      <c r="Z3065" s="12">
        <f>IF($J3065=0,0,ROUND(MAX($J3065*1.4*1.5*1.6*1.6*2.2*2.715*2.6*1.4,6020000000*(1.651178^(MIN($E3065,123)-117)))*1,0))</f>
        <v>65985946</v>
      </c>
      <c r="AA3065" s="13">
        <f>$E3065+19</f>
        <v>127</v>
      </c>
      <c r="AB3065" s="14">
        <f>IF($J3065=0,0,ROUND(MAX($J3065*1.4*1.5*1.6*1.6*2.2*2.715*2.6*1.4*1.4,8430000000*(1.651435^(MIN($E3065,123)-117)))*1,0))</f>
        <v>92272909</v>
      </c>
      <c r="AC3065" s="11">
        <f>$E3065+21</f>
        <v>129</v>
      </c>
      <c r="AD3065" s="12">
        <f>IF($J3065=0,0,ROUND(MAX($J3065*1.4*1.5*1.6*1.6*2.2*2.715*2.6*1.4*1.4*1.5,12600000000*(1.652953^(MIN($E3065,123)-117)))*1,0))</f>
        <v>136781071</v>
      </c>
      <c r="AE3065" s="13">
        <f>$E3065+24</f>
        <v>132</v>
      </c>
      <c r="AF3065" s="14">
        <f>IF($J3065=0,0,ROUND(MAX($J3065*1.4*1.5*1.6*1.6*2.2*2.715*2.6*1.4*1.4*1.5*1.5,18900000000*(1.65331^(MIN($E3065,123)-117)))*1,0))</f>
        <v>204773225</v>
      </c>
      <c r="AG3065" s="11">
        <f>$E3065+27</f>
        <v>135</v>
      </c>
      <c r="AH3065" s="12">
        <f>IF($J3065=0,0,ROUND(MAX($J3065*1.4*1.5*1.6*1.6*2.2*2.715*2.6*1.4*1.4*1.5*1.5*3.2,60500000000*(1.654288^(MIN($E3065,123)-117)))*1,0))</f>
        <v>652011566</v>
      </c>
    </row>
    <row r="3066" ht="28" customHeight="1" spans="1:34" x14ac:dyDescent="0.25">
      <c r="A3066">
        <v>3076</v>
      </c>
      <c r="B3066" t="s">
        <v>87</v>
      </c>
      <c r="C3066" s="10" t="s">
        <v>1704</v>
      </c>
      <c r="D3066" t="s">
        <v>40</v>
      </c>
      <c r="E3066">
        <v>108</v>
      </c>
      <c r="F3066" t="s">
        <v>88</v>
      </c>
      <c r="G3066" t="s">
        <v>562</v>
      </c>
      <c r="H3066">
        <v>26</v>
      </c>
      <c r="I3066" s="11">
        <f>$E3066+0</f>
        <v>108</v>
      </c>
      <c r="J3066" s="12">
        <v>40000</v>
      </c>
      <c r="K3066" s="13">
        <f>$E3066+1</f>
        <v>109</v>
      </c>
      <c r="L3066" s="14">
        <f>IF($J3066=0,0,ROUND(MAX($J3066*1.4,1620000*(1.497923^(MIN($E3066,123)-117)))*1,0))</f>
        <v>56000</v>
      </c>
      <c r="M3066" s="11">
        <f>$E3066+2</f>
        <v>110</v>
      </c>
      <c r="N3066" s="12">
        <f>IF($J3066=0,0,ROUND(MAX($J3066*1.4*1.5,2190000*(1.580994^(MIN($E3066,123)-117)))*1,0))</f>
        <v>84000</v>
      </c>
      <c r="O3066" s="13">
        <f>$E3066+4</f>
        <v>112</v>
      </c>
      <c r="P3066" s="14">
        <f>IF($J3066=0,0,ROUND(MAX($J3066*1.4*1.5*1.6,3500000*(1.57975^(MIN($E3066,123)-117)))*1,0))</f>
        <v>134400</v>
      </c>
      <c r="Q3066" s="11">
        <f>$E3066+6</f>
        <v>114</v>
      </c>
      <c r="R3066" s="12">
        <f>IF($J3066=0,0,ROUND(MAX($J3066*1.4*1.5*1.6*1.6,13100000*(1.429962^(MIN($E3066,123)-117)))*1,0))</f>
        <v>524024</v>
      </c>
      <c r="S3066" s="13">
        <f>$E3066+8</f>
        <v>116</v>
      </c>
      <c r="T3066" s="14">
        <f>IF($J3066=0,0,ROUND(MAX($J3066*1.4*1.5*1.6*1.6*2.2,42600000*(1.576904^(MIN($E3066,123)-117)))*1,0))</f>
        <v>706582</v>
      </c>
      <c r="U3066" s="11">
        <f>$E3066+11</f>
        <v>119</v>
      </c>
      <c r="V3066" s="12">
        <f>IF($J3066=0,0,ROUND(MAX($J3066*1.4*1.5*1.6*1.6*2.2*2.715,354000000*(1.642074^(MIN($E3066,123)-117)))*1,0))</f>
        <v>4078202</v>
      </c>
      <c r="W3066" s="13">
        <f>$E3066+15</f>
        <v>123</v>
      </c>
      <c r="X3066" s="14">
        <f>IF($J3066=0,0,ROUND(MAX($J3066*1.4*1.5*1.6*1.6*2.2*2.715*2.6,3540000000*(1.579646^(MIN($E3066,123)-117)))*1,0))</f>
        <v>57804988</v>
      </c>
      <c r="Y3066" s="11">
        <f>$E3066+17</f>
        <v>125</v>
      </c>
      <c r="Z3066" s="12">
        <f>IF($J3066=0,0,ROUND(MAX($J3066*1.4*1.5*1.6*1.6*2.2*2.715*2.6*1.4,6020000000*(1.651178^(MIN($E3066,123)-117)))*1,0))</f>
        <v>65985946</v>
      </c>
      <c r="AA3066" s="13">
        <f>$E3066+19</f>
        <v>127</v>
      </c>
      <c r="AB3066" s="14">
        <f>IF($J3066=0,0,ROUND(MAX($J3066*1.4*1.5*1.6*1.6*2.2*2.715*2.6*1.4*1.4,8430000000*(1.651435^(MIN($E3066,123)-117)))*1,0))</f>
        <v>92272909</v>
      </c>
      <c r="AC3066" s="11">
        <f>$E3066+21</f>
        <v>129</v>
      </c>
      <c r="AD3066" s="12">
        <f>IF($J3066=0,0,ROUND(MAX($J3066*1.4*1.5*1.6*1.6*2.2*2.715*2.6*1.4*1.4*1.5,12600000000*(1.652953^(MIN($E3066,123)-117)))*1,0))</f>
        <v>136781071</v>
      </c>
      <c r="AE3066" s="13">
        <f>$E3066+24</f>
        <v>132</v>
      </c>
      <c r="AF3066" s="14">
        <f>IF($J3066=0,0,ROUND(MAX($J3066*1.4*1.5*1.6*1.6*2.2*2.715*2.6*1.4*1.4*1.5*1.5,18900000000*(1.65331^(MIN($E3066,123)-117)))*1,0))</f>
        <v>204773225</v>
      </c>
      <c r="AG3066" s="11">
        <f>$E3066+27</f>
        <v>135</v>
      </c>
      <c r="AH3066" s="12">
        <f>IF($J3066=0,0,ROUND(MAX($J3066*1.4*1.5*1.6*1.6*2.2*2.715*2.6*1.4*1.4*1.5*1.5*3.2,60500000000*(1.654288^(MIN($E3066,123)-117)))*1,0))</f>
        <v>652011566</v>
      </c>
    </row>
    <row r="3067" ht="28" customHeight="1" spans="1:34" x14ac:dyDescent="0.25">
      <c r="A3067">
        <v>3077</v>
      </c>
      <c r="B3067" t="s">
        <v>130</v>
      </c>
      <c r="C3067" s="10" t="s">
        <v>1704</v>
      </c>
      <c r="D3067" t="s">
        <v>25</v>
      </c>
      <c r="E3067">
        <v>108</v>
      </c>
      <c r="F3067" t="s">
        <v>56</v>
      </c>
      <c r="G3067" t="s">
        <v>562</v>
      </c>
      <c r="H3067">
        <v>26</v>
      </c>
      <c r="I3067" s="11">
        <f>$E3067+0</f>
        <v>108</v>
      </c>
      <c r="J3067" s="12">
        <v>10000</v>
      </c>
      <c r="K3067" s="13">
        <f>$E3067+1</f>
        <v>109</v>
      </c>
      <c r="L3067" s="14">
        <f>IF($J3067=0,0,ROUND(MAX($J3067*1.4,1620000*(1.497923^(MIN($E3067,123)-117)))*1,0))</f>
        <v>42669</v>
      </c>
      <c r="M3067" s="11">
        <f>$E3067+2</f>
        <v>110</v>
      </c>
      <c r="N3067" s="12">
        <f>IF($J3067=0,0,ROUND(MAX($J3067*1.4*1.5,2190000*(1.580994^(MIN($E3067,123)-117)))*1,0))</f>
        <v>35487</v>
      </c>
      <c r="O3067" s="13">
        <f>$E3067+4</f>
        <v>112</v>
      </c>
      <c r="P3067" s="14">
        <f>IF($J3067=0,0,ROUND(MAX($J3067*1.4*1.5*1.6,3500000*(1.57975^(MIN($E3067,123)-117)))*1,0))</f>
        <v>57118</v>
      </c>
      <c r="Q3067" s="11">
        <f>$E3067+6</f>
        <v>114</v>
      </c>
      <c r="R3067" s="12">
        <f>IF($J3067=0,0,ROUND(MAX($J3067*1.4*1.5*1.6*1.6,13100000*(1.429962^(MIN($E3067,123)-117)))*1,0))</f>
        <v>524024</v>
      </c>
      <c r="S3067" s="13">
        <f>$E3067+8</f>
        <v>116</v>
      </c>
      <c r="T3067" s="14">
        <f>IF($J3067=0,0,ROUND(MAX($J3067*1.4*1.5*1.6*1.6*2.2,42600000*(1.576904^(MIN($E3067,123)-117)))*1,0))</f>
        <v>706582</v>
      </c>
      <c r="U3067" s="11">
        <f>$E3067+11</f>
        <v>119</v>
      </c>
      <c r="V3067" s="12">
        <f>IF($J3067=0,0,ROUND(MAX($J3067*1.4*1.5*1.6*1.6*2.2*2.715,354000000*(1.642074^(MIN($E3067,123)-117)))*1,0))</f>
        <v>4078202</v>
      </c>
      <c r="W3067" s="13">
        <f>$E3067+15</f>
        <v>123</v>
      </c>
      <c r="X3067" s="14">
        <f>IF($J3067=0,0,ROUND(MAX($J3067*1.4*1.5*1.6*1.6*2.2*2.715*2.6,3540000000*(1.579646^(MIN($E3067,123)-117)))*1,0))</f>
        <v>57804988</v>
      </c>
      <c r="Y3067" s="11">
        <f>$E3067+17</f>
        <v>125</v>
      </c>
      <c r="Z3067" s="12">
        <f>IF($J3067=0,0,ROUND(MAX($J3067*1.4*1.5*1.6*1.6*2.2*2.715*2.6*1.4,6020000000*(1.651178^(MIN($E3067,123)-117)))*1,0))</f>
        <v>65985946</v>
      </c>
      <c r="AA3067" s="13">
        <f>$E3067+19</f>
        <v>127</v>
      </c>
      <c r="AB3067" s="14">
        <f>IF($J3067=0,0,ROUND(MAX($J3067*1.4*1.5*1.6*1.6*2.2*2.715*2.6*1.4*1.4,8430000000*(1.651435^(MIN($E3067,123)-117)))*1,0))</f>
        <v>92272909</v>
      </c>
      <c r="AC3067" s="11">
        <f>$E3067+21</f>
        <v>129</v>
      </c>
      <c r="AD3067" s="12">
        <f>IF($J3067=0,0,ROUND(MAX($J3067*1.4*1.5*1.6*1.6*2.2*2.715*2.6*1.4*1.4*1.5,12600000000*(1.652953^(MIN($E3067,123)-117)))*1,0))</f>
        <v>136781071</v>
      </c>
      <c r="AE3067" s="13">
        <f>$E3067+24</f>
        <v>132</v>
      </c>
      <c r="AF3067" s="14">
        <f>IF($J3067=0,0,ROUND(MAX($J3067*1.4*1.5*1.6*1.6*2.2*2.715*2.6*1.4*1.4*1.5*1.5,18900000000*(1.65331^(MIN($E3067,123)-117)))*1,0))</f>
        <v>204773225</v>
      </c>
      <c r="AG3067" s="11">
        <f>$E3067+27</f>
        <v>135</v>
      </c>
      <c r="AH3067" s="12">
        <f>IF($J3067=0,0,ROUND(MAX($J3067*1.4*1.5*1.6*1.6*2.2*2.715*2.6*1.4*1.4*1.5*1.5*3.2,60500000000*(1.654288^(MIN($E3067,123)-117)))*1,0))</f>
        <v>652011566</v>
      </c>
    </row>
    <row r="3068" ht="28" customHeight="1" spans="1:34" x14ac:dyDescent="0.25">
      <c r="A3068">
        <v>3078</v>
      </c>
      <c r="B3068" t="s">
        <v>117</v>
      </c>
      <c r="C3068" s="10" t="s">
        <v>1704</v>
      </c>
      <c r="D3068" t="s">
        <v>40</v>
      </c>
      <c r="E3068">
        <v>108</v>
      </c>
      <c r="F3068" t="s">
        <v>54</v>
      </c>
      <c r="G3068" t="s">
        <v>562</v>
      </c>
      <c r="H3068">
        <v>26</v>
      </c>
      <c r="I3068" s="11">
        <f>$E3068+0</f>
        <v>108</v>
      </c>
      <c r="J3068" s="12">
        <v>20000</v>
      </c>
      <c r="K3068" s="13">
        <f>$E3068+1</f>
        <v>109</v>
      </c>
      <c r="L3068" s="14">
        <f>IF($J3068=0,0,ROUND(MAX($J3068*1.4,1620000*(1.497923^(MIN($E3068,123)-117)))*1,0))</f>
        <v>42669</v>
      </c>
      <c r="M3068" s="11">
        <f>$E3068+2</f>
        <v>110</v>
      </c>
      <c r="N3068" s="12">
        <f>IF($J3068=0,0,ROUND(MAX($J3068*1.4*1.5,2190000*(1.580994^(MIN($E3068,123)-117)))*1,0))</f>
        <v>42000</v>
      </c>
      <c r="O3068" s="13">
        <f>$E3068+4</f>
        <v>112</v>
      </c>
      <c r="P3068" s="14">
        <f>IF($J3068=0,0,ROUND(MAX($J3068*1.4*1.5*1.6,3500000*(1.57975^(MIN($E3068,123)-117)))*1,0))</f>
        <v>67200</v>
      </c>
      <c r="Q3068" s="11">
        <f>$E3068+6</f>
        <v>114</v>
      </c>
      <c r="R3068" s="12">
        <f>IF($J3068=0,0,ROUND(MAX($J3068*1.4*1.5*1.6*1.6,13100000*(1.429962^(MIN($E3068,123)-117)))*1,0))</f>
        <v>524024</v>
      </c>
      <c r="S3068" s="13">
        <f>$E3068+8</f>
        <v>116</v>
      </c>
      <c r="T3068" s="14">
        <f>IF($J3068=0,0,ROUND(MAX($J3068*1.4*1.5*1.6*1.6*2.2,42600000*(1.576904^(MIN($E3068,123)-117)))*1,0))</f>
        <v>706582</v>
      </c>
      <c r="U3068" s="11">
        <f>$E3068+11</f>
        <v>119</v>
      </c>
      <c r="V3068" s="12">
        <f>IF($J3068=0,0,ROUND(MAX($J3068*1.4*1.5*1.6*1.6*2.2*2.715,354000000*(1.642074^(MIN($E3068,123)-117)))*1,0))</f>
        <v>4078202</v>
      </c>
      <c r="W3068" s="13">
        <f>$E3068+15</f>
        <v>123</v>
      </c>
      <c r="X3068" s="14">
        <f>IF($J3068=0,0,ROUND(MAX($J3068*1.4*1.5*1.6*1.6*2.2*2.715*2.6,3540000000*(1.579646^(MIN($E3068,123)-117)))*1,0))</f>
        <v>57804988</v>
      </c>
      <c r="Y3068" s="11">
        <f>$E3068+17</f>
        <v>125</v>
      </c>
      <c r="Z3068" s="12">
        <f>IF($J3068=0,0,ROUND(MAX($J3068*1.4*1.5*1.6*1.6*2.2*2.715*2.6*1.4,6020000000*(1.651178^(MIN($E3068,123)-117)))*1,0))</f>
        <v>65985946</v>
      </c>
      <c r="AA3068" s="13">
        <f>$E3068+19</f>
        <v>127</v>
      </c>
      <c r="AB3068" s="14">
        <f>IF($J3068=0,0,ROUND(MAX($J3068*1.4*1.5*1.6*1.6*2.2*2.715*2.6*1.4*1.4,8430000000*(1.651435^(MIN($E3068,123)-117)))*1,0))</f>
        <v>92272909</v>
      </c>
      <c r="AC3068" s="11">
        <f>$E3068+21</f>
        <v>129</v>
      </c>
      <c r="AD3068" s="12">
        <f>IF($J3068=0,0,ROUND(MAX($J3068*1.4*1.5*1.6*1.6*2.2*2.715*2.6*1.4*1.4*1.5,12600000000*(1.652953^(MIN($E3068,123)-117)))*1,0))</f>
        <v>136781071</v>
      </c>
      <c r="AE3068" s="13">
        <f>$E3068+24</f>
        <v>132</v>
      </c>
      <c r="AF3068" s="14">
        <f>IF($J3068=0,0,ROUND(MAX($J3068*1.4*1.5*1.6*1.6*2.2*2.715*2.6*1.4*1.4*1.5*1.5,18900000000*(1.65331^(MIN($E3068,123)-117)))*1,0))</f>
        <v>204773225</v>
      </c>
      <c r="AG3068" s="11">
        <f>$E3068+27</f>
        <v>135</v>
      </c>
      <c r="AH3068" s="12">
        <f>IF($J3068=0,0,ROUND(MAX($J3068*1.4*1.5*1.6*1.6*2.2*2.715*2.6*1.4*1.4*1.5*1.5*3.2,60500000000*(1.654288^(MIN($E3068,123)-117)))*1,0))</f>
        <v>652011566</v>
      </c>
    </row>
    <row r="3069" ht="28" customHeight="1" spans="1:34" x14ac:dyDescent="0.25">
      <c r="A3069">
        <v>3079</v>
      </c>
      <c r="B3069" t="s">
        <v>74</v>
      </c>
      <c r="C3069" s="10" t="s">
        <v>1704</v>
      </c>
      <c r="D3069" t="s">
        <v>75</v>
      </c>
      <c r="E3069">
        <v>108</v>
      </c>
      <c r="F3069" t="s">
        <v>62</v>
      </c>
      <c r="G3069" t="s">
        <v>562</v>
      </c>
      <c r="H3069">
        <v>26</v>
      </c>
      <c r="I3069" s="11">
        <f>$E3069+0</f>
        <v>108</v>
      </c>
      <c r="J3069" s="12">
        <v>44200</v>
      </c>
      <c r="K3069" s="13">
        <f>$E3069+1</f>
        <v>109</v>
      </c>
      <c r="L3069" s="14">
        <f>IF($J3069=0,0,ROUND(MAX($J3069*1.4,1620000*(1.497923^(MIN($E3069,123)-117)))*1,0))</f>
        <v>61880</v>
      </c>
      <c r="M3069" s="11">
        <f>$E3069+2</f>
        <v>110</v>
      </c>
      <c r="N3069" s="12">
        <f>IF($J3069=0,0,ROUND(MAX($J3069*1.4*1.5,2190000*(1.580994^(MIN($E3069,123)-117)))*1,0))</f>
        <v>92820</v>
      </c>
      <c r="O3069" s="13">
        <f>$E3069+4</f>
        <v>112</v>
      </c>
      <c r="P3069" s="14">
        <f>IF($J3069=0,0,ROUND(MAX($J3069*1.4*1.5*1.6,3500000*(1.57975^(MIN($E3069,123)-117)))*1,0))</f>
        <v>148512</v>
      </c>
      <c r="Q3069" s="11">
        <f>$E3069+6</f>
        <v>114</v>
      </c>
      <c r="R3069" s="12">
        <f>IF($J3069=0,0,ROUND(MAX($J3069*1.4*1.5*1.6*1.6,13100000*(1.429962^(MIN($E3069,123)-117)))*1,0))</f>
        <v>524024</v>
      </c>
      <c r="S3069" s="13">
        <f>$E3069+8</f>
        <v>116</v>
      </c>
      <c r="T3069" s="14">
        <f>IF($J3069=0,0,ROUND(MAX($J3069*1.4*1.5*1.6*1.6*2.2,42600000*(1.576904^(MIN($E3069,123)-117)))*1,0))</f>
        <v>706582</v>
      </c>
      <c r="U3069" s="11">
        <f>$E3069+11</f>
        <v>119</v>
      </c>
      <c r="V3069" s="12">
        <f>IF($J3069=0,0,ROUND(MAX($J3069*1.4*1.5*1.6*1.6*2.2*2.715,354000000*(1.642074^(MIN($E3069,123)-117)))*1,0))</f>
        <v>4078202</v>
      </c>
      <c r="W3069" s="13">
        <f>$E3069+15</f>
        <v>123</v>
      </c>
      <c r="X3069" s="14">
        <f>IF($J3069=0,0,ROUND(MAX($J3069*1.4*1.5*1.6*1.6*2.2*2.715*2.6,3540000000*(1.579646^(MIN($E3069,123)-117)))*1,0))</f>
        <v>57804988</v>
      </c>
      <c r="Y3069" s="11">
        <f>$E3069+17</f>
        <v>125</v>
      </c>
      <c r="Z3069" s="12">
        <f>IF($J3069=0,0,ROUND(MAX($J3069*1.4*1.5*1.6*1.6*2.2*2.715*2.6*1.4,6020000000*(1.651178^(MIN($E3069,123)-117)))*1,0))</f>
        <v>65985946</v>
      </c>
      <c r="AA3069" s="13">
        <f>$E3069+19</f>
        <v>127</v>
      </c>
      <c r="AB3069" s="14">
        <f>IF($J3069=0,0,ROUND(MAX($J3069*1.4*1.5*1.6*1.6*2.2*2.715*2.6*1.4*1.4,8430000000*(1.651435^(MIN($E3069,123)-117)))*1,0))</f>
        <v>92272909</v>
      </c>
      <c r="AC3069" s="11">
        <f>$E3069+21</f>
        <v>129</v>
      </c>
      <c r="AD3069" s="12">
        <f>IF($J3069=0,0,ROUND(MAX($J3069*1.4*1.5*1.6*1.6*2.2*2.715*2.6*1.4*1.4*1.5,12600000000*(1.652953^(MIN($E3069,123)-117)))*1,0))</f>
        <v>136781071</v>
      </c>
      <c r="AE3069" s="13">
        <f>$E3069+24</f>
        <v>132</v>
      </c>
      <c r="AF3069" s="14">
        <f>IF($J3069=0,0,ROUND(MAX($J3069*1.4*1.5*1.6*1.6*2.2*2.715*2.6*1.4*1.4*1.5*1.5,18900000000*(1.65331^(MIN($E3069,123)-117)))*1,0))</f>
        <v>204773225</v>
      </c>
      <c r="AG3069" s="11">
        <f>$E3069+27</f>
        <v>135</v>
      </c>
      <c r="AH3069" s="12">
        <f>IF($J3069=0,0,ROUND(MAX($J3069*1.4*1.5*1.6*1.6*2.2*2.715*2.6*1.4*1.4*1.5*1.5*3.2,60500000000*(1.654288^(MIN($E3069,123)-117)))*1,0))</f>
        <v>652011566</v>
      </c>
    </row>
    <row r="3070" ht="28" customHeight="1" spans="1:34" x14ac:dyDescent="0.25">
      <c r="A3070">
        <v>3080</v>
      </c>
      <c r="B3070" t="s">
        <v>131</v>
      </c>
      <c r="C3070" s="10" t="s">
        <v>1704</v>
      </c>
      <c r="D3070" t="s">
        <v>40</v>
      </c>
      <c r="E3070">
        <v>108</v>
      </c>
      <c r="F3070" t="s">
        <v>132</v>
      </c>
      <c r="G3070" t="s">
        <v>562</v>
      </c>
      <c r="H3070">
        <v>25</v>
      </c>
      <c r="I3070" s="11">
        <f>$E3070+0</f>
        <v>108</v>
      </c>
      <c r="J3070" s="12">
        <v>10100</v>
      </c>
      <c r="K3070" s="13">
        <f>$E3070+1</f>
        <v>109</v>
      </c>
      <c r="L3070" s="14">
        <f>IF($J3070=0,0,ROUND(MAX($J3070*1.4,1620000*(1.497923^(MIN($E3070,123)-117)))*1,0))</f>
        <v>42669</v>
      </c>
      <c r="M3070" s="11">
        <f>$E3070+2</f>
        <v>110</v>
      </c>
      <c r="N3070" s="12">
        <f>IF($J3070=0,0,ROUND(MAX($J3070*1.4*1.5,2190000*(1.580994^(MIN($E3070,123)-117)))*1,0))</f>
        <v>35487</v>
      </c>
      <c r="O3070" s="13">
        <f>$E3070+4</f>
        <v>112</v>
      </c>
      <c r="P3070" s="14">
        <f>IF($J3070=0,0,ROUND(MAX($J3070*1.4*1.5*1.6,3500000*(1.57975^(MIN($E3070,123)-117)))*1,0))</f>
        <v>57118</v>
      </c>
      <c r="Q3070" s="11">
        <f>$E3070+6</f>
        <v>114</v>
      </c>
      <c r="R3070" s="12">
        <f>IF($J3070=0,0,ROUND(MAX($J3070*1.4*1.5*1.6*1.6,13100000*(1.429962^(MIN($E3070,123)-117)))*1,0))</f>
        <v>524024</v>
      </c>
      <c r="S3070" s="13">
        <f>$E3070+8</f>
        <v>116</v>
      </c>
      <c r="T3070" s="14">
        <f>IF($J3070=0,0,ROUND(MAX($J3070*1.4*1.5*1.6*1.6*2.2,42600000*(1.576904^(MIN($E3070,123)-117)))*1,0))</f>
        <v>706582</v>
      </c>
      <c r="U3070" s="11">
        <f>$E3070+11</f>
        <v>119</v>
      </c>
      <c r="V3070" s="12">
        <f>IF($J3070=0,0,ROUND(MAX($J3070*1.4*1.5*1.6*1.6*2.2*2.715,354000000*(1.642074^(MIN($E3070,123)-117)))*1,0))</f>
        <v>4078202</v>
      </c>
      <c r="W3070" s="13">
        <f>$E3070+15</f>
        <v>123</v>
      </c>
      <c r="X3070" s="14">
        <f>IF($J3070=0,0,ROUND(MAX($J3070*1.4*1.5*1.6*1.6*2.2*2.715*2.6,3540000000*(1.579646^(MIN($E3070,123)-117)))*1,0))</f>
        <v>57804988</v>
      </c>
      <c r="Y3070" s="11">
        <f>$E3070+17</f>
        <v>125</v>
      </c>
      <c r="Z3070" s="12">
        <f>IF($J3070=0,0,ROUND(MAX($J3070*1.4*1.5*1.6*1.6*2.2*2.715*2.6*1.4,6020000000*(1.651178^(MIN($E3070,123)-117)))*1,0))</f>
        <v>65985946</v>
      </c>
      <c r="AA3070" s="13">
        <f>$E3070+19</f>
        <v>127</v>
      </c>
      <c r="AB3070" s="14">
        <f>IF($J3070=0,0,ROUND(MAX($J3070*1.4*1.5*1.6*1.6*2.2*2.715*2.6*1.4*1.4,8430000000*(1.651435^(MIN($E3070,123)-117)))*1,0))</f>
        <v>92272909</v>
      </c>
      <c r="AC3070" s="11">
        <f>$E3070+21</f>
        <v>129</v>
      </c>
      <c r="AD3070" s="12">
        <f>IF($J3070=0,0,ROUND(MAX($J3070*1.4*1.5*1.6*1.6*2.2*2.715*2.6*1.4*1.4*1.5,12600000000*(1.652953^(MIN($E3070,123)-117)))*1,0))</f>
        <v>136781071</v>
      </c>
      <c r="AE3070" s="13">
        <f>$E3070+24</f>
        <v>132</v>
      </c>
      <c r="AF3070" s="14">
        <f>IF($J3070=0,0,ROUND(MAX($J3070*1.4*1.5*1.6*1.6*2.2*2.715*2.6*1.4*1.4*1.5*1.5,18900000000*(1.65331^(MIN($E3070,123)-117)))*1,0))</f>
        <v>204773225</v>
      </c>
      <c r="AG3070" s="11">
        <f>$E3070+27</f>
        <v>135</v>
      </c>
      <c r="AH3070" s="12">
        <f>IF($J3070=0,0,ROUND(MAX($J3070*1.4*1.5*1.6*1.6*2.2*2.715*2.6*1.4*1.4*1.5*1.5*3.2,60500000000*(1.654288^(MIN($E3070,123)-117)))*1,0))</f>
        <v>652011566</v>
      </c>
    </row>
    <row r="3071" ht="28" customHeight="1" spans="1:34" x14ac:dyDescent="0.25">
      <c r="A3071">
        <v>3081</v>
      </c>
      <c r="B3071" t="s">
        <v>135</v>
      </c>
      <c r="C3071" s="10" t="s">
        <v>1704</v>
      </c>
      <c r="D3071" t="s">
        <v>29</v>
      </c>
      <c r="E3071">
        <v>108</v>
      </c>
      <c r="F3071" t="s">
        <v>136</v>
      </c>
      <c r="G3071" t="s">
        <v>562</v>
      </c>
      <c r="H3071">
        <v>25</v>
      </c>
      <c r="I3071" s="11">
        <f>$E3071+0</f>
        <v>108</v>
      </c>
      <c r="J3071" s="12">
        <v>10000</v>
      </c>
      <c r="K3071" s="13">
        <f>$E3071+1</f>
        <v>109</v>
      </c>
      <c r="L3071" s="14">
        <f>IF($J3071=0,0,ROUND(MAX($J3071*1.4,1620000*(1.497923^(MIN($E3071,123)-117)))*1,0))</f>
        <v>42669</v>
      </c>
      <c r="M3071" s="11">
        <f>$E3071+2</f>
        <v>110</v>
      </c>
      <c r="N3071" s="12">
        <f>IF($J3071=0,0,ROUND(MAX($J3071*1.4*1.5,2190000*(1.580994^(MIN($E3071,123)-117)))*1,0))</f>
        <v>35487</v>
      </c>
      <c r="O3071" s="13">
        <f>$E3071+4</f>
        <v>112</v>
      </c>
      <c r="P3071" s="14">
        <f>IF($J3071=0,0,ROUND(MAX($J3071*1.4*1.5*1.6,3500000*(1.57975^(MIN($E3071,123)-117)))*1,0))</f>
        <v>57118</v>
      </c>
      <c r="Q3071" s="11">
        <f>$E3071+6</f>
        <v>114</v>
      </c>
      <c r="R3071" s="12">
        <f>IF($J3071=0,0,ROUND(MAX($J3071*1.4*1.5*1.6*1.6,13100000*(1.429962^(MIN($E3071,123)-117)))*1,0))</f>
        <v>524024</v>
      </c>
      <c r="S3071" s="13">
        <f>$E3071+8</f>
        <v>116</v>
      </c>
      <c r="T3071" s="14">
        <f>IF($J3071=0,0,ROUND(MAX($J3071*1.4*1.5*1.6*1.6*2.2,42600000*(1.576904^(MIN($E3071,123)-117)))*1,0))</f>
        <v>706582</v>
      </c>
      <c r="U3071" s="11">
        <f>$E3071+11</f>
        <v>119</v>
      </c>
      <c r="V3071" s="12">
        <f>IF($J3071=0,0,ROUND(MAX($J3071*1.4*1.5*1.6*1.6*2.2*2.715,354000000*(1.642074^(MIN($E3071,123)-117)))*1,0))</f>
        <v>4078202</v>
      </c>
      <c r="W3071" s="13">
        <f>$E3071+15</f>
        <v>123</v>
      </c>
      <c r="X3071" s="14">
        <f>IF($J3071=0,0,ROUND(MAX($J3071*1.4*1.5*1.6*1.6*2.2*2.715*2.6,3540000000*(1.579646^(MIN($E3071,123)-117)))*1,0))</f>
        <v>57804988</v>
      </c>
      <c r="Y3071" s="11">
        <f>$E3071+17</f>
        <v>125</v>
      </c>
      <c r="Z3071" s="12">
        <f>IF($J3071=0,0,ROUND(MAX($J3071*1.4*1.5*1.6*1.6*2.2*2.715*2.6*1.4,6020000000*(1.651178^(MIN($E3071,123)-117)))*1,0))</f>
        <v>65985946</v>
      </c>
      <c r="AA3071" s="13">
        <f>$E3071+19</f>
        <v>127</v>
      </c>
      <c r="AB3071" s="14">
        <f>IF($J3071=0,0,ROUND(MAX($J3071*1.4*1.5*1.6*1.6*2.2*2.715*2.6*1.4*1.4,8430000000*(1.651435^(MIN($E3071,123)-117)))*1,0))</f>
        <v>92272909</v>
      </c>
      <c r="AC3071" s="11">
        <f>$E3071+21</f>
        <v>129</v>
      </c>
      <c r="AD3071" s="12">
        <f>IF($J3071=0,0,ROUND(MAX($J3071*1.4*1.5*1.6*1.6*2.2*2.715*2.6*1.4*1.4*1.5,12600000000*(1.652953^(MIN($E3071,123)-117)))*1,0))</f>
        <v>136781071</v>
      </c>
      <c r="AE3071" s="13">
        <f>$E3071+24</f>
        <v>132</v>
      </c>
      <c r="AF3071" s="14">
        <f>IF($J3071=0,0,ROUND(MAX($J3071*1.4*1.5*1.6*1.6*2.2*2.715*2.6*1.4*1.4*1.5*1.5,18900000000*(1.65331^(MIN($E3071,123)-117)))*1,0))</f>
        <v>204773225</v>
      </c>
      <c r="AG3071" s="11">
        <f>$E3071+27</f>
        <v>135</v>
      </c>
      <c r="AH3071" s="12">
        <f>IF($J3071=0,0,ROUND(MAX($J3071*1.4*1.5*1.6*1.6*2.2*2.715*2.6*1.4*1.4*1.5*1.5*3.2,60500000000*(1.654288^(MIN($E3071,123)-117)))*1,0))</f>
        <v>652011566</v>
      </c>
    </row>
    <row r="3072" ht="28" customHeight="1" spans="1:34" x14ac:dyDescent="0.25">
      <c r="A3072">
        <v>3082</v>
      </c>
      <c r="B3072" t="s">
        <v>63</v>
      </c>
      <c r="C3072" s="10" t="s">
        <v>1704</v>
      </c>
      <c r="D3072" t="s">
        <v>64</v>
      </c>
      <c r="E3072">
        <v>108</v>
      </c>
      <c r="F3072" t="s">
        <v>65</v>
      </c>
      <c r="G3072" t="s">
        <v>562</v>
      </c>
      <c r="H3072">
        <v>25</v>
      </c>
      <c r="I3072" s="11">
        <f>$E3072+0</f>
        <v>108</v>
      </c>
      <c r="J3072" s="12">
        <v>20100</v>
      </c>
      <c r="K3072" s="13">
        <f>$E3072+1</f>
        <v>109</v>
      </c>
      <c r="L3072" s="14">
        <f>IF($J3072=0,0,ROUND(MAX($J3072*1.4,1620000*(1.497923^(MIN($E3072,123)-117)))*1,0))</f>
        <v>42669</v>
      </c>
      <c r="M3072" s="11">
        <f>$E3072+2</f>
        <v>110</v>
      </c>
      <c r="N3072" s="12">
        <f>IF($J3072=0,0,ROUND(MAX($J3072*1.4*1.5,2190000*(1.580994^(MIN($E3072,123)-117)))*1,0))</f>
        <v>42210</v>
      </c>
      <c r="O3072" s="13">
        <f>$E3072+4</f>
        <v>112</v>
      </c>
      <c r="P3072" s="14">
        <f>IF($J3072=0,0,ROUND(MAX($J3072*1.4*1.5*1.6,3500000*(1.57975^(MIN($E3072,123)-117)))*1,0))</f>
        <v>67536</v>
      </c>
      <c r="Q3072" s="11">
        <f>$E3072+6</f>
        <v>114</v>
      </c>
      <c r="R3072" s="12">
        <f>IF($J3072=0,0,ROUND(MAX($J3072*1.4*1.5*1.6*1.6,13100000*(1.429962^(MIN($E3072,123)-117)))*1,0))</f>
        <v>524024</v>
      </c>
      <c r="S3072" s="13">
        <f>$E3072+8</f>
        <v>116</v>
      </c>
      <c r="T3072" s="14">
        <f>IF($J3072=0,0,ROUND(MAX($J3072*1.4*1.5*1.6*1.6*2.2,42600000*(1.576904^(MIN($E3072,123)-117)))*1,0))</f>
        <v>706582</v>
      </c>
      <c r="U3072" s="11">
        <f>$E3072+11</f>
        <v>119</v>
      </c>
      <c r="V3072" s="12">
        <f>IF($J3072=0,0,ROUND(MAX($J3072*1.4*1.5*1.6*1.6*2.2*2.715,354000000*(1.642074^(MIN($E3072,123)-117)))*1,0))</f>
        <v>4078202</v>
      </c>
      <c r="W3072" s="13">
        <f>$E3072+15</f>
        <v>123</v>
      </c>
      <c r="X3072" s="14">
        <f>IF($J3072=0,0,ROUND(MAX($J3072*1.4*1.5*1.6*1.6*2.2*2.715*2.6,3540000000*(1.579646^(MIN($E3072,123)-117)))*1,0))</f>
        <v>57804988</v>
      </c>
      <c r="Y3072" s="11">
        <f>$E3072+17</f>
        <v>125</v>
      </c>
      <c r="Z3072" s="12">
        <f>IF($J3072=0,0,ROUND(MAX($J3072*1.4*1.5*1.6*1.6*2.2*2.715*2.6*1.4,6020000000*(1.651178^(MIN($E3072,123)-117)))*1,0))</f>
        <v>65985946</v>
      </c>
      <c r="AA3072" s="13">
        <f>$E3072+19</f>
        <v>127</v>
      </c>
      <c r="AB3072" s="14">
        <f>IF($J3072=0,0,ROUND(MAX($J3072*1.4*1.5*1.6*1.6*2.2*2.715*2.6*1.4*1.4,8430000000*(1.651435^(MIN($E3072,123)-117)))*1,0))</f>
        <v>92272909</v>
      </c>
      <c r="AC3072" s="11">
        <f>$E3072+21</f>
        <v>129</v>
      </c>
      <c r="AD3072" s="12">
        <f>IF($J3072=0,0,ROUND(MAX($J3072*1.4*1.5*1.6*1.6*2.2*2.715*2.6*1.4*1.4*1.5,12600000000*(1.652953^(MIN($E3072,123)-117)))*1,0))</f>
        <v>136781071</v>
      </c>
      <c r="AE3072" s="13">
        <f>$E3072+24</f>
        <v>132</v>
      </c>
      <c r="AF3072" s="14">
        <f>IF($J3072=0,0,ROUND(MAX($J3072*1.4*1.5*1.6*1.6*2.2*2.715*2.6*1.4*1.4*1.5*1.5,18900000000*(1.65331^(MIN($E3072,123)-117)))*1,0))</f>
        <v>204773225</v>
      </c>
      <c r="AG3072" s="11">
        <f>$E3072+27</f>
        <v>135</v>
      </c>
      <c r="AH3072" s="12">
        <f>IF($J3072=0,0,ROUND(MAX($J3072*1.4*1.5*1.6*1.6*2.2*2.715*2.6*1.4*1.4*1.5*1.5*3.2,60500000000*(1.654288^(MIN($E3072,123)-117)))*1,0))</f>
        <v>652011566</v>
      </c>
    </row>
    <row r="3073" ht="28" customHeight="1" spans="1:34" x14ac:dyDescent="0.25">
      <c r="A3073">
        <v>3083</v>
      </c>
      <c r="B3073" t="s">
        <v>44</v>
      </c>
      <c r="C3073" s="10" t="s">
        <v>1704</v>
      </c>
      <c r="D3073" t="s">
        <v>45</v>
      </c>
      <c r="E3073">
        <v>108</v>
      </c>
      <c r="F3073" t="s">
        <v>34</v>
      </c>
      <c r="G3073" t="s">
        <v>562</v>
      </c>
      <c r="H3073">
        <v>25</v>
      </c>
      <c r="I3073" s="11">
        <f>$E3073+0</f>
        <v>108</v>
      </c>
      <c r="J3073" s="12">
        <v>30000</v>
      </c>
      <c r="K3073" s="13">
        <f>$E3073+1</f>
        <v>109</v>
      </c>
      <c r="L3073" s="14">
        <f>IF($J3073=0,0,ROUND(MAX($J3073*1.4,1620000*(1.497923^(MIN($E3073,123)-117)))*1,0))</f>
        <v>42669</v>
      </c>
      <c r="M3073" s="11">
        <f>$E3073+2</f>
        <v>110</v>
      </c>
      <c r="N3073" s="12">
        <f>IF($J3073=0,0,ROUND(MAX($J3073*1.4*1.5,2190000*(1.580994^(MIN($E3073,123)-117)))*1,0))</f>
        <v>63000</v>
      </c>
      <c r="O3073" s="13">
        <f>$E3073+4</f>
        <v>112</v>
      </c>
      <c r="P3073" s="14">
        <f>IF($J3073=0,0,ROUND(MAX($J3073*1.4*1.5*1.6,3500000*(1.57975^(MIN($E3073,123)-117)))*1,0))</f>
        <v>100800</v>
      </c>
      <c r="Q3073" s="11">
        <f>$E3073+6</f>
        <v>114</v>
      </c>
      <c r="R3073" s="12">
        <f>IF($J3073=0,0,ROUND(MAX($J3073*1.4*1.5*1.6*1.6,13100000*(1.429962^(MIN($E3073,123)-117)))*1,0))</f>
        <v>524024</v>
      </c>
      <c r="S3073" s="13">
        <f>$E3073+8</f>
        <v>116</v>
      </c>
      <c r="T3073" s="14">
        <f>IF($J3073=0,0,ROUND(MAX($J3073*1.4*1.5*1.6*1.6*2.2,42600000*(1.576904^(MIN($E3073,123)-117)))*1,0))</f>
        <v>706582</v>
      </c>
      <c r="U3073" s="11">
        <f>$E3073+11</f>
        <v>119</v>
      </c>
      <c r="V3073" s="12">
        <f>IF($J3073=0,0,ROUND(MAX($J3073*1.4*1.5*1.6*1.6*2.2*2.715,354000000*(1.642074^(MIN($E3073,123)-117)))*1,0))</f>
        <v>4078202</v>
      </c>
      <c r="W3073" s="13">
        <f>$E3073+15</f>
        <v>123</v>
      </c>
      <c r="X3073" s="14">
        <f>IF($J3073=0,0,ROUND(MAX($J3073*1.4*1.5*1.6*1.6*2.2*2.715*2.6,3540000000*(1.579646^(MIN($E3073,123)-117)))*1,0))</f>
        <v>57804988</v>
      </c>
      <c r="Y3073" s="11">
        <f>$E3073+17</f>
        <v>125</v>
      </c>
      <c r="Z3073" s="12">
        <f>IF($J3073=0,0,ROUND(MAX($J3073*1.4*1.5*1.6*1.6*2.2*2.715*2.6*1.4,6020000000*(1.651178^(MIN($E3073,123)-117)))*1,0))</f>
        <v>65985946</v>
      </c>
      <c r="AA3073" s="13">
        <f>$E3073+19</f>
        <v>127</v>
      </c>
      <c r="AB3073" s="14">
        <f>IF($J3073=0,0,ROUND(MAX($J3073*1.4*1.5*1.6*1.6*2.2*2.715*2.6*1.4*1.4,8430000000*(1.651435^(MIN($E3073,123)-117)))*1,0))</f>
        <v>92272909</v>
      </c>
      <c r="AC3073" s="11">
        <f>$E3073+21</f>
        <v>129</v>
      </c>
      <c r="AD3073" s="12">
        <f>IF($J3073=0,0,ROUND(MAX($J3073*1.4*1.5*1.6*1.6*2.2*2.715*2.6*1.4*1.4*1.5,12600000000*(1.652953^(MIN($E3073,123)-117)))*1,0))</f>
        <v>136781071</v>
      </c>
      <c r="AE3073" s="13">
        <f>$E3073+24</f>
        <v>132</v>
      </c>
      <c r="AF3073" s="14">
        <f>IF($J3073=0,0,ROUND(MAX($J3073*1.4*1.5*1.6*1.6*2.2*2.715*2.6*1.4*1.4*1.5*1.5,18900000000*(1.65331^(MIN($E3073,123)-117)))*1,0))</f>
        <v>204773225</v>
      </c>
      <c r="AG3073" s="11">
        <f>$E3073+27</f>
        <v>135</v>
      </c>
      <c r="AH3073" s="12">
        <f>IF($J3073=0,0,ROUND(MAX($J3073*1.4*1.5*1.6*1.6*2.2*2.715*2.6*1.4*1.4*1.5*1.5*3.2,60500000000*(1.654288^(MIN($E3073,123)-117)))*1,0))</f>
        <v>652011566</v>
      </c>
    </row>
    <row r="3074" ht="28" customHeight="1" spans="1:34" x14ac:dyDescent="0.25">
      <c r="A3074">
        <v>3084</v>
      </c>
      <c r="B3074" t="s">
        <v>61</v>
      </c>
      <c r="C3074" s="10" t="s">
        <v>1704</v>
      </c>
      <c r="D3074" t="s">
        <v>33</v>
      </c>
      <c r="E3074">
        <v>108</v>
      </c>
      <c r="F3074" t="s">
        <v>62</v>
      </c>
      <c r="G3074" t="s">
        <v>562</v>
      </c>
      <c r="H3074">
        <v>25</v>
      </c>
      <c r="I3074" s="11">
        <f>$E3074+0</f>
        <v>108</v>
      </c>
      <c r="J3074" s="12">
        <v>10000</v>
      </c>
      <c r="K3074" s="13">
        <f>$E3074+1</f>
        <v>109</v>
      </c>
      <c r="L3074" s="14">
        <f>IF($J3074=0,0,ROUND(MAX($J3074*1.4,1620000*(1.497923^(MIN($E3074,123)-117)))*1,0))</f>
        <v>42669</v>
      </c>
      <c r="M3074" s="11">
        <f>$E3074+2</f>
        <v>110</v>
      </c>
      <c r="N3074" s="12">
        <f>IF($J3074=0,0,ROUND(MAX($J3074*1.4*1.5,2190000*(1.580994^(MIN($E3074,123)-117)))*1,0))</f>
        <v>35487</v>
      </c>
      <c r="O3074" s="13">
        <f>$E3074+4</f>
        <v>112</v>
      </c>
      <c r="P3074" s="14">
        <f>IF($J3074=0,0,ROUND(MAX($J3074*1.4*1.5*1.6,3500000*(1.57975^(MIN($E3074,123)-117)))*1,0))</f>
        <v>57118</v>
      </c>
      <c r="Q3074" s="11">
        <f>$E3074+6</f>
        <v>114</v>
      </c>
      <c r="R3074" s="12">
        <f>IF($J3074=0,0,ROUND(MAX($J3074*1.4*1.5*1.6*1.6,13100000*(1.429962^(MIN($E3074,123)-117)))*1,0))</f>
        <v>524024</v>
      </c>
      <c r="S3074" s="13">
        <f>$E3074+8</f>
        <v>116</v>
      </c>
      <c r="T3074" s="14">
        <f>IF($J3074=0,0,ROUND(MAX($J3074*1.4*1.5*1.6*1.6*2.2,42600000*(1.576904^(MIN($E3074,123)-117)))*1,0))</f>
        <v>706582</v>
      </c>
      <c r="U3074" s="11">
        <f>$E3074+11</f>
        <v>119</v>
      </c>
      <c r="V3074" s="12">
        <f>IF($J3074=0,0,ROUND(MAX($J3074*1.4*1.5*1.6*1.6*2.2*2.715,354000000*(1.642074^(MIN($E3074,123)-117)))*1,0))</f>
        <v>4078202</v>
      </c>
      <c r="W3074" s="13">
        <f>$E3074+15</f>
        <v>123</v>
      </c>
      <c r="X3074" s="14">
        <f>IF($J3074=0,0,ROUND(MAX($J3074*1.4*1.5*1.6*1.6*2.2*2.715*2.6,3540000000*(1.579646^(MIN($E3074,123)-117)))*1,0))</f>
        <v>57804988</v>
      </c>
      <c r="Y3074" s="11">
        <f>$E3074+17</f>
        <v>125</v>
      </c>
      <c r="Z3074" s="12">
        <f>IF($J3074=0,0,ROUND(MAX($J3074*1.4*1.5*1.6*1.6*2.2*2.715*2.6*1.4,6020000000*(1.651178^(MIN($E3074,123)-117)))*1,0))</f>
        <v>65985946</v>
      </c>
      <c r="AA3074" s="13">
        <f>$E3074+19</f>
        <v>127</v>
      </c>
      <c r="AB3074" s="14">
        <f>IF($J3074=0,0,ROUND(MAX($J3074*1.4*1.5*1.6*1.6*2.2*2.715*2.6*1.4*1.4,8430000000*(1.651435^(MIN($E3074,123)-117)))*1,0))</f>
        <v>92272909</v>
      </c>
      <c r="AC3074" s="11">
        <f>$E3074+21</f>
        <v>129</v>
      </c>
      <c r="AD3074" s="12">
        <f>IF($J3074=0,0,ROUND(MAX($J3074*1.4*1.5*1.6*1.6*2.2*2.715*2.6*1.4*1.4*1.5,12600000000*(1.652953^(MIN($E3074,123)-117)))*1,0))</f>
        <v>136781071</v>
      </c>
      <c r="AE3074" s="13">
        <f>$E3074+24</f>
        <v>132</v>
      </c>
      <c r="AF3074" s="14">
        <f>IF($J3074=0,0,ROUND(MAX($J3074*1.4*1.5*1.6*1.6*2.2*2.715*2.6*1.4*1.4*1.5*1.5,18900000000*(1.65331^(MIN($E3074,123)-117)))*1,0))</f>
        <v>204773225</v>
      </c>
      <c r="AG3074" s="11">
        <f>$E3074+27</f>
        <v>135</v>
      </c>
      <c r="AH3074" s="12">
        <f>IF($J3074=0,0,ROUND(MAX($J3074*1.4*1.5*1.6*1.6*2.2*2.715*2.6*1.4*1.4*1.5*1.5*3.2,60500000000*(1.654288^(MIN($E3074,123)-117)))*1,0))</f>
        <v>652011566</v>
      </c>
    </row>
    <row r="3075" ht="28" customHeight="1" spans="1:34" x14ac:dyDescent="0.25">
      <c r="A3075">
        <v>3085</v>
      </c>
      <c r="B3075" t="s">
        <v>107</v>
      </c>
      <c r="C3075" s="10" t="s">
        <v>1704</v>
      </c>
      <c r="D3075" t="s">
        <v>40</v>
      </c>
      <c r="E3075">
        <v>108</v>
      </c>
      <c r="F3075" t="s">
        <v>108</v>
      </c>
      <c r="G3075" t="s">
        <v>562</v>
      </c>
      <c r="H3075">
        <v>25</v>
      </c>
      <c r="I3075" s="11">
        <f>$E3075+0</f>
        <v>108</v>
      </c>
      <c r="J3075" s="12">
        <v>10000</v>
      </c>
      <c r="K3075" s="13">
        <f>$E3075+1</f>
        <v>109</v>
      </c>
      <c r="L3075" s="14">
        <f>IF($J3075=0,0,ROUND(MAX($J3075*1.4,1620000*(1.497923^(MIN($E3075,123)-117)))*1,0))</f>
        <v>42669</v>
      </c>
      <c r="M3075" s="11">
        <f>$E3075+2</f>
        <v>110</v>
      </c>
      <c r="N3075" s="12">
        <f>IF($J3075=0,0,ROUND(MAX($J3075*1.4*1.5,2190000*(1.580994^(MIN($E3075,123)-117)))*1,0))</f>
        <v>35487</v>
      </c>
      <c r="O3075" s="13">
        <f>$E3075+4</f>
        <v>112</v>
      </c>
      <c r="P3075" s="14">
        <f>IF($J3075=0,0,ROUND(MAX($J3075*1.4*1.5*1.6,3500000*(1.57975^(MIN($E3075,123)-117)))*1,0))</f>
        <v>57118</v>
      </c>
      <c r="Q3075" s="11">
        <f>$E3075+6</f>
        <v>114</v>
      </c>
      <c r="R3075" s="12">
        <f>IF($J3075=0,0,ROUND(MAX($J3075*1.4*1.5*1.6*1.6,13100000*(1.429962^(MIN($E3075,123)-117)))*1,0))</f>
        <v>524024</v>
      </c>
      <c r="S3075" s="13">
        <f>$E3075+8</f>
        <v>116</v>
      </c>
      <c r="T3075" s="14">
        <f>IF($J3075=0,0,ROUND(MAX($J3075*1.4*1.5*1.6*1.6*2.2,42600000*(1.576904^(MIN($E3075,123)-117)))*1,0))</f>
        <v>706582</v>
      </c>
      <c r="U3075" s="11">
        <f>$E3075+11</f>
        <v>119</v>
      </c>
      <c r="V3075" s="12">
        <f>IF($J3075=0,0,ROUND(MAX($J3075*1.4*1.5*1.6*1.6*2.2*2.715,354000000*(1.642074^(MIN($E3075,123)-117)))*1,0))</f>
        <v>4078202</v>
      </c>
      <c r="W3075" s="13">
        <f>$E3075+15</f>
        <v>123</v>
      </c>
      <c r="X3075" s="14">
        <f>IF($J3075=0,0,ROUND(MAX($J3075*1.4*1.5*1.6*1.6*2.2*2.715*2.6,3540000000*(1.579646^(MIN($E3075,123)-117)))*1,0))</f>
        <v>57804988</v>
      </c>
      <c r="Y3075" s="11">
        <f>$E3075+17</f>
        <v>125</v>
      </c>
      <c r="Z3075" s="12">
        <f>IF($J3075=0,0,ROUND(MAX($J3075*1.4*1.5*1.6*1.6*2.2*2.715*2.6*1.4,6020000000*(1.651178^(MIN($E3075,123)-117)))*1,0))</f>
        <v>65985946</v>
      </c>
      <c r="AA3075" s="13">
        <f>$E3075+19</f>
        <v>127</v>
      </c>
      <c r="AB3075" s="14">
        <f>IF($J3075=0,0,ROUND(MAX($J3075*1.4*1.5*1.6*1.6*2.2*2.715*2.6*1.4*1.4,8430000000*(1.651435^(MIN($E3075,123)-117)))*1,0))</f>
        <v>92272909</v>
      </c>
      <c r="AC3075" s="11">
        <f>$E3075+21</f>
        <v>129</v>
      </c>
      <c r="AD3075" s="12">
        <f>IF($J3075=0,0,ROUND(MAX($J3075*1.4*1.5*1.6*1.6*2.2*2.715*2.6*1.4*1.4*1.5,12600000000*(1.652953^(MIN($E3075,123)-117)))*1,0))</f>
        <v>136781071</v>
      </c>
      <c r="AE3075" s="13">
        <f>$E3075+24</f>
        <v>132</v>
      </c>
      <c r="AF3075" s="14">
        <f>IF($J3075=0,0,ROUND(MAX($J3075*1.4*1.5*1.6*1.6*2.2*2.715*2.6*1.4*1.4*1.5*1.5,18900000000*(1.65331^(MIN($E3075,123)-117)))*1,0))</f>
        <v>204773225</v>
      </c>
      <c r="AG3075" s="11">
        <f>$E3075+27</f>
        <v>135</v>
      </c>
      <c r="AH3075" s="12">
        <f>IF($J3075=0,0,ROUND(MAX($J3075*1.4*1.5*1.6*1.6*2.2*2.715*2.6*1.4*1.4*1.5*1.5*3.2,60500000000*(1.654288^(MIN($E3075,123)-117)))*1,0))</f>
        <v>652011566</v>
      </c>
    </row>
    <row r="3076" ht="28" customHeight="1" spans="1:34" x14ac:dyDescent="0.25">
      <c r="A3076">
        <v>3086</v>
      </c>
      <c r="B3076" t="s">
        <v>109</v>
      </c>
      <c r="C3076" s="10" t="s">
        <v>1704</v>
      </c>
      <c r="D3076" t="s">
        <v>25</v>
      </c>
      <c r="E3076">
        <v>108</v>
      </c>
      <c r="F3076" t="s">
        <v>30</v>
      </c>
      <c r="G3076" t="s">
        <v>562</v>
      </c>
      <c r="H3076">
        <v>25</v>
      </c>
      <c r="I3076" s="11">
        <f>$E3076+0</f>
        <v>108</v>
      </c>
      <c r="J3076" s="12">
        <v>40000</v>
      </c>
      <c r="K3076" s="13">
        <f>$E3076+1</f>
        <v>109</v>
      </c>
      <c r="L3076" s="14">
        <f>IF($J3076=0,0,ROUND(MAX($J3076*1.4,1620000*(1.497923^(MIN($E3076,123)-117)))*1,0))</f>
        <v>56000</v>
      </c>
      <c r="M3076" s="11">
        <f>$E3076+2</f>
        <v>110</v>
      </c>
      <c r="N3076" s="12">
        <f>IF($J3076=0,0,ROUND(MAX($J3076*1.4*1.5,2190000*(1.580994^(MIN($E3076,123)-117)))*1,0))</f>
        <v>84000</v>
      </c>
      <c r="O3076" s="13">
        <f>$E3076+4</f>
        <v>112</v>
      </c>
      <c r="P3076" s="14">
        <f>IF($J3076=0,0,ROUND(MAX($J3076*1.4*1.5*1.6,3500000*(1.57975^(MIN($E3076,123)-117)))*1,0))</f>
        <v>134400</v>
      </c>
      <c r="Q3076" s="11">
        <f>$E3076+6</f>
        <v>114</v>
      </c>
      <c r="R3076" s="12">
        <f>IF($J3076=0,0,ROUND(MAX($J3076*1.4*1.5*1.6*1.6,13100000*(1.429962^(MIN($E3076,123)-117)))*1,0))</f>
        <v>524024</v>
      </c>
      <c r="S3076" s="13">
        <f>$E3076+8</f>
        <v>116</v>
      </c>
      <c r="T3076" s="14">
        <f>IF($J3076=0,0,ROUND(MAX($J3076*1.4*1.5*1.6*1.6*2.2,42600000*(1.576904^(MIN($E3076,123)-117)))*1,0))</f>
        <v>706582</v>
      </c>
      <c r="U3076" s="11">
        <f>$E3076+11</f>
        <v>119</v>
      </c>
      <c r="V3076" s="12">
        <f>IF($J3076=0,0,ROUND(MAX($J3076*1.4*1.5*1.6*1.6*2.2*2.715,354000000*(1.642074^(MIN($E3076,123)-117)))*1,0))</f>
        <v>4078202</v>
      </c>
      <c r="W3076" s="13">
        <f>$E3076+15</f>
        <v>123</v>
      </c>
      <c r="X3076" s="14">
        <f>IF($J3076=0,0,ROUND(MAX($J3076*1.4*1.5*1.6*1.6*2.2*2.715*2.6,3540000000*(1.579646^(MIN($E3076,123)-117)))*1,0))</f>
        <v>57804988</v>
      </c>
      <c r="Y3076" s="11">
        <f>$E3076+17</f>
        <v>125</v>
      </c>
      <c r="Z3076" s="12">
        <f>IF($J3076=0,0,ROUND(MAX($J3076*1.4*1.5*1.6*1.6*2.2*2.715*2.6*1.4,6020000000*(1.651178^(MIN($E3076,123)-117)))*1,0))</f>
        <v>65985946</v>
      </c>
      <c r="AA3076" s="13">
        <f>$E3076+19</f>
        <v>127</v>
      </c>
      <c r="AB3076" s="14">
        <f>IF($J3076=0,0,ROUND(MAX($J3076*1.4*1.5*1.6*1.6*2.2*2.715*2.6*1.4*1.4,8430000000*(1.651435^(MIN($E3076,123)-117)))*1,0))</f>
        <v>92272909</v>
      </c>
      <c r="AC3076" s="11">
        <f>$E3076+21</f>
        <v>129</v>
      </c>
      <c r="AD3076" s="12">
        <f>IF($J3076=0,0,ROUND(MAX($J3076*1.4*1.5*1.6*1.6*2.2*2.715*2.6*1.4*1.4*1.5,12600000000*(1.652953^(MIN($E3076,123)-117)))*1,0))</f>
        <v>136781071</v>
      </c>
      <c r="AE3076" s="13">
        <f>$E3076+24</f>
        <v>132</v>
      </c>
      <c r="AF3076" s="14">
        <f>IF($J3076=0,0,ROUND(MAX($J3076*1.4*1.5*1.6*1.6*2.2*2.715*2.6*1.4*1.4*1.5*1.5,18900000000*(1.65331^(MIN($E3076,123)-117)))*1,0))</f>
        <v>204773225</v>
      </c>
      <c r="AG3076" s="11">
        <f>$E3076+27</f>
        <v>135</v>
      </c>
      <c r="AH3076" s="12">
        <f>IF($J3076=0,0,ROUND(MAX($J3076*1.4*1.5*1.6*1.6*2.2*2.715*2.6*1.4*1.4*1.5*1.5*3.2,60500000000*(1.654288^(MIN($E3076,123)-117)))*1,0))</f>
        <v>652011566</v>
      </c>
    </row>
    <row r="3077" ht="28" customHeight="1" spans="1:34" x14ac:dyDescent="0.25">
      <c r="A3077">
        <v>3087</v>
      </c>
      <c r="B3077" t="s">
        <v>152</v>
      </c>
      <c r="C3077" s="10" t="s">
        <v>1704</v>
      </c>
      <c r="D3077" t="s">
        <v>40</v>
      </c>
      <c r="E3077">
        <v>108</v>
      </c>
      <c r="F3077" t="s">
        <v>71</v>
      </c>
      <c r="G3077" t="s">
        <v>562</v>
      </c>
      <c r="H3077">
        <v>25</v>
      </c>
      <c r="I3077" s="11">
        <f>$E3077+0</f>
        <v>108</v>
      </c>
      <c r="J3077" s="12">
        <v>10000</v>
      </c>
      <c r="K3077" s="13">
        <f>$E3077+1</f>
        <v>109</v>
      </c>
      <c r="L3077" s="14">
        <f>IF($J3077=0,0,ROUND(MAX($J3077*1.4,1620000*(1.497923^(MIN($E3077,123)-117)))*1,0))</f>
        <v>42669</v>
      </c>
      <c r="M3077" s="11">
        <f>$E3077+2</f>
        <v>110</v>
      </c>
      <c r="N3077" s="12">
        <f>IF($J3077=0,0,ROUND(MAX($J3077*1.4*1.5,2190000*(1.580994^(MIN($E3077,123)-117)))*1,0))</f>
        <v>35487</v>
      </c>
      <c r="O3077" s="13">
        <f>$E3077+4</f>
        <v>112</v>
      </c>
      <c r="P3077" s="14">
        <f>IF($J3077=0,0,ROUND(MAX($J3077*1.4*1.5*1.6,3500000*(1.57975^(MIN($E3077,123)-117)))*1,0))</f>
        <v>57118</v>
      </c>
      <c r="Q3077" s="11">
        <f>$E3077+6</f>
        <v>114</v>
      </c>
      <c r="R3077" s="12">
        <f>IF($J3077=0,0,ROUND(MAX($J3077*1.4*1.5*1.6*1.6,13100000*(1.429962^(MIN($E3077,123)-117)))*1,0))</f>
        <v>524024</v>
      </c>
      <c r="S3077" s="13">
        <f>$E3077+8</f>
        <v>116</v>
      </c>
      <c r="T3077" s="14">
        <f>IF($J3077=0,0,ROUND(MAX($J3077*1.4*1.5*1.6*1.6*2.2,42600000*(1.576904^(MIN($E3077,123)-117)))*1,0))</f>
        <v>706582</v>
      </c>
      <c r="U3077" s="11">
        <f>$E3077+11</f>
        <v>119</v>
      </c>
      <c r="V3077" s="12">
        <f>IF($J3077=0,0,ROUND(MAX($J3077*1.4*1.5*1.6*1.6*2.2*2.715,354000000*(1.642074^(MIN($E3077,123)-117)))*1,0))</f>
        <v>4078202</v>
      </c>
      <c r="W3077" s="13">
        <f>$E3077+15</f>
        <v>123</v>
      </c>
      <c r="X3077" s="14">
        <f>IF($J3077=0,0,ROUND(MAX($J3077*1.4*1.5*1.6*1.6*2.2*2.715*2.6,3540000000*(1.579646^(MIN($E3077,123)-117)))*1,0))</f>
        <v>57804988</v>
      </c>
      <c r="Y3077" s="11">
        <f>$E3077+17</f>
        <v>125</v>
      </c>
      <c r="Z3077" s="12">
        <f>IF($J3077=0,0,ROUND(MAX($J3077*1.4*1.5*1.6*1.6*2.2*2.715*2.6*1.4,6020000000*(1.651178^(MIN($E3077,123)-117)))*1,0))</f>
        <v>65985946</v>
      </c>
      <c r="AA3077" s="13">
        <f>$E3077+19</f>
        <v>127</v>
      </c>
      <c r="AB3077" s="14">
        <f>IF($J3077=0,0,ROUND(MAX($J3077*1.4*1.5*1.6*1.6*2.2*2.715*2.6*1.4*1.4,8430000000*(1.651435^(MIN($E3077,123)-117)))*1,0))</f>
        <v>92272909</v>
      </c>
      <c r="AC3077" s="11">
        <f>$E3077+21</f>
        <v>129</v>
      </c>
      <c r="AD3077" s="12">
        <f>IF($J3077=0,0,ROUND(MAX($J3077*1.4*1.5*1.6*1.6*2.2*2.715*2.6*1.4*1.4*1.5,12600000000*(1.652953^(MIN($E3077,123)-117)))*1,0))</f>
        <v>136781071</v>
      </c>
      <c r="AE3077" s="13">
        <f>$E3077+24</f>
        <v>132</v>
      </c>
      <c r="AF3077" s="14">
        <f>IF($J3077=0,0,ROUND(MAX($J3077*1.4*1.5*1.6*1.6*2.2*2.715*2.6*1.4*1.4*1.5*1.5,18900000000*(1.65331^(MIN($E3077,123)-117)))*1,0))</f>
        <v>204773225</v>
      </c>
      <c r="AG3077" s="11">
        <f>$E3077+27</f>
        <v>135</v>
      </c>
      <c r="AH3077" s="12">
        <f>IF($J3077=0,0,ROUND(MAX($J3077*1.4*1.5*1.6*1.6*2.2*2.715*2.6*1.4*1.4*1.5*1.5*3.2,60500000000*(1.654288^(MIN($E3077,123)-117)))*1,0))</f>
        <v>652011566</v>
      </c>
    </row>
    <row r="3078" ht="28" customHeight="1" spans="1:34" x14ac:dyDescent="0.25">
      <c r="A3078">
        <v>3088</v>
      </c>
      <c r="B3078" t="s">
        <v>78</v>
      </c>
      <c r="C3078" s="10" t="s">
        <v>1704</v>
      </c>
      <c r="D3078" t="s">
        <v>79</v>
      </c>
      <c r="E3078">
        <v>108</v>
      </c>
      <c r="F3078" t="s">
        <v>30</v>
      </c>
      <c r="G3078" t="s">
        <v>562</v>
      </c>
      <c r="H3078">
        <v>25</v>
      </c>
      <c r="I3078" s="11">
        <f>$E3078+0</f>
        <v>108</v>
      </c>
      <c r="J3078" s="12">
        <v>3610000</v>
      </c>
      <c r="K3078" s="13">
        <f>$E3078+1</f>
        <v>109</v>
      </c>
      <c r="L3078" s="14">
        <f>IF($J3078=0,0,ROUND(MAX($J3078*1.4,1620000*(1.497923^(MIN($E3078,123)-117)))*1,0))</f>
        <v>5054000</v>
      </c>
      <c r="M3078" s="11">
        <f>$E3078+2</f>
        <v>110</v>
      </c>
      <c r="N3078" s="12">
        <f>IF($J3078=0,0,ROUND(MAX($J3078*1.4*1.5,2190000*(1.580994^(MIN($E3078,123)-117)))*1,0))</f>
        <v>7581000</v>
      </c>
      <c r="O3078" s="13">
        <f>$E3078+4</f>
        <v>112</v>
      </c>
      <c r="P3078" s="14">
        <f>IF($J3078=0,0,ROUND(MAX($J3078*1.4*1.5*1.6,3500000*(1.57975^(MIN($E3078,123)-117)))*1,0))</f>
        <v>12129600</v>
      </c>
      <c r="Q3078" s="11">
        <f>$E3078+6</f>
        <v>114</v>
      </c>
      <c r="R3078" s="12">
        <f>IF($J3078=0,0,ROUND(MAX($J3078*1.4*1.5*1.6*1.6,13100000*(1.429962^(MIN($E3078,123)-117)))*1,0))</f>
        <v>19407360</v>
      </c>
      <c r="S3078" s="13">
        <f>$E3078+8</f>
        <v>116</v>
      </c>
      <c r="T3078" s="14">
        <f>IF($J3078=0,0,ROUND(MAX($J3078*1.4*1.5*1.6*1.6*2.2,42600000*(1.576904^(MIN($E3078,123)-117)))*1,0))</f>
        <v>42696192</v>
      </c>
      <c r="U3078" s="11">
        <f>$E3078+11</f>
        <v>119</v>
      </c>
      <c r="V3078" s="12">
        <f>IF($J3078=0,0,ROUND(MAX($J3078*1.4*1.5*1.6*1.6*2.2*2.715,354000000*(1.642074^(MIN($E3078,123)-117)))*1,0))</f>
        <v>115920161</v>
      </c>
      <c r="W3078" s="13">
        <f>$E3078+15</f>
        <v>123</v>
      </c>
      <c r="X3078" s="14">
        <f>IF($J3078=0,0,ROUND(MAX($J3078*1.4*1.5*1.6*1.6*2.2*2.715*2.6,3540000000*(1.579646^(MIN($E3078,123)-117)))*1,0))</f>
        <v>301392419</v>
      </c>
      <c r="Y3078" s="11">
        <f>$E3078+17</f>
        <v>125</v>
      </c>
      <c r="Z3078" s="12">
        <f>IF($J3078=0,0,ROUND(MAX($J3078*1.4*1.5*1.6*1.6*2.2*2.715*2.6*1.4,6020000000*(1.651178^(MIN($E3078,123)-117)))*1,0))</f>
        <v>421949387</v>
      </c>
      <c r="AA3078" s="13">
        <f>$E3078+19</f>
        <v>127</v>
      </c>
      <c r="AB3078" s="14">
        <f>IF($J3078=0,0,ROUND(MAX($J3078*1.4*1.5*1.6*1.6*2.2*2.715*2.6*1.4*1.4,8430000000*(1.651435^(MIN($E3078,123)-117)))*1,0))</f>
        <v>590729142</v>
      </c>
      <c r="AC3078" s="11">
        <f>$E3078+21</f>
        <v>129</v>
      </c>
      <c r="AD3078" s="12">
        <f>IF($J3078=0,0,ROUND(MAX($J3078*1.4*1.5*1.6*1.6*2.2*2.715*2.6*1.4*1.4*1.5,12600000000*(1.652953^(MIN($E3078,123)-117)))*1,0))</f>
        <v>886093713</v>
      </c>
      <c r="AE3078" s="13">
        <f>$E3078+24</f>
        <v>132</v>
      </c>
      <c r="AF3078" s="14">
        <f>IF($J3078=0,0,ROUND(MAX($J3078*1.4*1.5*1.6*1.6*2.2*2.715*2.6*1.4*1.4*1.5*1.5,18900000000*(1.65331^(MIN($E3078,123)-117)))*1,0))</f>
        <v>1329140569</v>
      </c>
      <c r="AG3078" s="11">
        <f>$E3078+27</f>
        <v>135</v>
      </c>
      <c r="AH3078" s="12">
        <f>IF($J3078=0,0,ROUND(MAX($J3078*1.4*1.5*1.6*1.6*2.2*2.715*2.6*1.4*1.4*1.5*1.5*3.2,60500000000*(1.654288^(MIN($E3078,123)-117)))*1,0))</f>
        <v>4253249822</v>
      </c>
    </row>
    <row r="3079" ht="28" customHeight="1" spans="1:34" x14ac:dyDescent="0.25">
      <c r="A3079">
        <v>3089</v>
      </c>
      <c r="B3079" t="s">
        <v>80</v>
      </c>
      <c r="C3079" s="10" t="s">
        <v>1704</v>
      </c>
      <c r="D3079" t="s">
        <v>45</v>
      </c>
      <c r="E3079">
        <v>108</v>
      </c>
      <c r="F3079" t="s">
        <v>71</v>
      </c>
      <c r="G3079" t="s">
        <v>562</v>
      </c>
      <c r="H3079">
        <v>25</v>
      </c>
      <c r="I3079" s="11">
        <f>$E3079+0</f>
        <v>108</v>
      </c>
      <c r="J3079" s="12">
        <v>10000</v>
      </c>
      <c r="K3079" s="13">
        <f>$E3079+1</f>
        <v>109</v>
      </c>
      <c r="L3079" s="14">
        <f>IF($J3079=0,0,ROUND(MAX($J3079*1.4,1620000*(1.497923^(MIN($E3079,123)-117)))*1,0))</f>
        <v>42669</v>
      </c>
      <c r="M3079" s="11">
        <f>$E3079+2</f>
        <v>110</v>
      </c>
      <c r="N3079" s="12">
        <f>IF($J3079=0,0,ROUND(MAX($J3079*1.4*1.5,2190000*(1.580994^(MIN($E3079,123)-117)))*1,0))</f>
        <v>35487</v>
      </c>
      <c r="O3079" s="13">
        <f>$E3079+4</f>
        <v>112</v>
      </c>
      <c r="P3079" s="14">
        <f>IF($J3079=0,0,ROUND(MAX($J3079*1.4*1.5*1.6,3500000*(1.57975^(MIN($E3079,123)-117)))*1,0))</f>
        <v>57118</v>
      </c>
      <c r="Q3079" s="11">
        <f>$E3079+6</f>
        <v>114</v>
      </c>
      <c r="R3079" s="12">
        <f>IF($J3079=0,0,ROUND(MAX($J3079*1.4*1.5*1.6*1.6,13100000*(1.429962^(MIN($E3079,123)-117)))*1,0))</f>
        <v>524024</v>
      </c>
      <c r="S3079" s="13">
        <f>$E3079+8</f>
        <v>116</v>
      </c>
      <c r="T3079" s="14">
        <f>IF($J3079=0,0,ROUND(MAX($J3079*1.4*1.5*1.6*1.6*2.2,42600000*(1.576904^(MIN($E3079,123)-117)))*1,0))</f>
        <v>706582</v>
      </c>
      <c r="U3079" s="11">
        <f>$E3079+11</f>
        <v>119</v>
      </c>
      <c r="V3079" s="12">
        <f>IF($J3079=0,0,ROUND(MAX($J3079*1.4*1.5*1.6*1.6*2.2*2.715,354000000*(1.642074^(MIN($E3079,123)-117)))*1,0))</f>
        <v>4078202</v>
      </c>
      <c r="W3079" s="13">
        <f>$E3079+15</f>
        <v>123</v>
      </c>
      <c r="X3079" s="14">
        <f>IF($J3079=0,0,ROUND(MAX($J3079*1.4*1.5*1.6*1.6*2.2*2.715*2.6,3540000000*(1.579646^(MIN($E3079,123)-117)))*1,0))</f>
        <v>57804988</v>
      </c>
      <c r="Y3079" s="11">
        <f>$E3079+17</f>
        <v>125</v>
      </c>
      <c r="Z3079" s="12">
        <f>IF($J3079=0,0,ROUND(MAX($J3079*1.4*1.5*1.6*1.6*2.2*2.715*2.6*1.4,6020000000*(1.651178^(MIN($E3079,123)-117)))*1,0))</f>
        <v>65985946</v>
      </c>
      <c r="AA3079" s="13">
        <f>$E3079+19</f>
        <v>127</v>
      </c>
      <c r="AB3079" s="14">
        <f>IF($J3079=0,0,ROUND(MAX($J3079*1.4*1.5*1.6*1.6*2.2*2.715*2.6*1.4*1.4,8430000000*(1.651435^(MIN($E3079,123)-117)))*1,0))</f>
        <v>92272909</v>
      </c>
      <c r="AC3079" s="11">
        <f>$E3079+21</f>
        <v>129</v>
      </c>
      <c r="AD3079" s="12">
        <f>IF($J3079=0,0,ROUND(MAX($J3079*1.4*1.5*1.6*1.6*2.2*2.715*2.6*1.4*1.4*1.5,12600000000*(1.652953^(MIN($E3079,123)-117)))*1,0))</f>
        <v>136781071</v>
      </c>
      <c r="AE3079" s="13">
        <f>$E3079+24</f>
        <v>132</v>
      </c>
      <c r="AF3079" s="14">
        <f>IF($J3079=0,0,ROUND(MAX($J3079*1.4*1.5*1.6*1.6*2.2*2.715*2.6*1.4*1.4*1.5*1.5,18900000000*(1.65331^(MIN($E3079,123)-117)))*1,0))</f>
        <v>204773225</v>
      </c>
      <c r="AG3079" s="11">
        <f>$E3079+27</f>
        <v>135</v>
      </c>
      <c r="AH3079" s="12">
        <f>IF($J3079=0,0,ROUND(MAX($J3079*1.4*1.5*1.6*1.6*2.2*2.715*2.6*1.4*1.4*1.5*1.5*3.2,60500000000*(1.654288^(MIN($E3079,123)-117)))*1,0))</f>
        <v>652011566</v>
      </c>
    </row>
    <row r="3080" ht="28" customHeight="1" spans="1:34" x14ac:dyDescent="0.25">
      <c r="A3080">
        <v>3090</v>
      </c>
      <c r="B3080" t="s">
        <v>112</v>
      </c>
      <c r="C3080" s="10" t="s">
        <v>1704</v>
      </c>
      <c r="D3080" t="s">
        <v>40</v>
      </c>
      <c r="E3080">
        <v>108</v>
      </c>
      <c r="F3080" t="s">
        <v>42</v>
      </c>
      <c r="G3080" t="s">
        <v>562</v>
      </c>
      <c r="H3080">
        <v>25</v>
      </c>
      <c r="I3080" s="11">
        <f>$E3080+0</f>
        <v>108</v>
      </c>
      <c r="J3080" s="12">
        <v>10000</v>
      </c>
      <c r="K3080" s="13">
        <f>$E3080+1</f>
        <v>109</v>
      </c>
      <c r="L3080" s="14">
        <f>IF($J3080=0,0,ROUND(MAX($J3080*1.4,1620000*(1.497923^(MIN($E3080,123)-117)))*1,0))</f>
        <v>42669</v>
      </c>
      <c r="M3080" s="11">
        <f>$E3080+2</f>
        <v>110</v>
      </c>
      <c r="N3080" s="12">
        <f>IF($J3080=0,0,ROUND(MAX($J3080*1.4*1.5,2190000*(1.580994^(MIN($E3080,123)-117)))*1,0))</f>
        <v>35487</v>
      </c>
      <c r="O3080" s="13">
        <f>$E3080+4</f>
        <v>112</v>
      </c>
      <c r="P3080" s="14">
        <f>IF($J3080=0,0,ROUND(MAX($J3080*1.4*1.5*1.6,3500000*(1.57975^(MIN($E3080,123)-117)))*1,0))</f>
        <v>57118</v>
      </c>
      <c r="Q3080" s="11">
        <f>$E3080+6</f>
        <v>114</v>
      </c>
      <c r="R3080" s="12">
        <f>IF($J3080=0,0,ROUND(MAX($J3080*1.4*1.5*1.6*1.6,13100000*(1.429962^(MIN($E3080,123)-117)))*1,0))</f>
        <v>524024</v>
      </c>
      <c r="S3080" s="13">
        <f>$E3080+8</f>
        <v>116</v>
      </c>
      <c r="T3080" s="14">
        <f>IF($J3080=0,0,ROUND(MAX($J3080*1.4*1.5*1.6*1.6*2.2,42600000*(1.576904^(MIN($E3080,123)-117)))*1,0))</f>
        <v>706582</v>
      </c>
      <c r="U3080" s="11">
        <f>$E3080+11</f>
        <v>119</v>
      </c>
      <c r="V3080" s="12">
        <f>IF($J3080=0,0,ROUND(MAX($J3080*1.4*1.5*1.6*1.6*2.2*2.715,354000000*(1.642074^(MIN($E3080,123)-117)))*1,0))</f>
        <v>4078202</v>
      </c>
      <c r="W3080" s="13">
        <f>$E3080+15</f>
        <v>123</v>
      </c>
      <c r="X3080" s="14">
        <f>IF($J3080=0,0,ROUND(MAX($J3080*1.4*1.5*1.6*1.6*2.2*2.715*2.6,3540000000*(1.579646^(MIN($E3080,123)-117)))*1,0))</f>
        <v>57804988</v>
      </c>
      <c r="Y3080" s="11">
        <f>$E3080+17</f>
        <v>125</v>
      </c>
      <c r="Z3080" s="12">
        <f>IF($J3080=0,0,ROUND(MAX($J3080*1.4*1.5*1.6*1.6*2.2*2.715*2.6*1.4,6020000000*(1.651178^(MIN($E3080,123)-117)))*1,0))</f>
        <v>65985946</v>
      </c>
      <c r="AA3080" s="13">
        <f>$E3080+19</f>
        <v>127</v>
      </c>
      <c r="AB3080" s="14">
        <f>IF($J3080=0,0,ROUND(MAX($J3080*1.4*1.5*1.6*1.6*2.2*2.715*2.6*1.4*1.4,8430000000*(1.651435^(MIN($E3080,123)-117)))*1,0))</f>
        <v>92272909</v>
      </c>
      <c r="AC3080" s="11">
        <f>$E3080+21</f>
        <v>129</v>
      </c>
      <c r="AD3080" s="12">
        <f>IF($J3080=0,0,ROUND(MAX($J3080*1.4*1.5*1.6*1.6*2.2*2.715*2.6*1.4*1.4*1.5,12600000000*(1.652953^(MIN($E3080,123)-117)))*1,0))</f>
        <v>136781071</v>
      </c>
      <c r="AE3080" s="13">
        <f>$E3080+24</f>
        <v>132</v>
      </c>
      <c r="AF3080" s="14">
        <f>IF($J3080=0,0,ROUND(MAX($J3080*1.4*1.5*1.6*1.6*2.2*2.715*2.6*1.4*1.4*1.5*1.5,18900000000*(1.65331^(MIN($E3080,123)-117)))*1,0))</f>
        <v>204773225</v>
      </c>
      <c r="AG3080" s="11">
        <f>$E3080+27</f>
        <v>135</v>
      </c>
      <c r="AH3080" s="12">
        <f>IF($J3080=0,0,ROUND(MAX($J3080*1.4*1.5*1.6*1.6*2.2*2.715*2.6*1.4*1.4*1.5*1.5*3.2,60500000000*(1.654288^(MIN($E3080,123)-117)))*1,0))</f>
        <v>652011566</v>
      </c>
    </row>
    <row r="3081" ht="28" customHeight="1" spans="1:34" x14ac:dyDescent="0.25">
      <c r="A3081">
        <v>3091</v>
      </c>
      <c r="B3081" t="s">
        <v>115</v>
      </c>
      <c r="C3081" s="10" t="s">
        <v>1704</v>
      </c>
      <c r="D3081" t="s">
        <v>40</v>
      </c>
      <c r="E3081">
        <v>108</v>
      </c>
      <c r="F3081" t="s">
        <v>116</v>
      </c>
      <c r="G3081" t="s">
        <v>562</v>
      </c>
      <c r="H3081">
        <v>25</v>
      </c>
      <c r="I3081" s="11">
        <f>$E3081+0</f>
        <v>108</v>
      </c>
      <c r="J3081" s="12">
        <v>20100</v>
      </c>
      <c r="K3081" s="13">
        <f>$E3081+1</f>
        <v>109</v>
      </c>
      <c r="L3081" s="14">
        <f>IF($J3081=0,0,ROUND(MAX($J3081*1.4,1620000*(1.497923^(MIN($E3081,123)-117)))*1,0))</f>
        <v>42669</v>
      </c>
      <c r="M3081" s="11">
        <f>$E3081+2</f>
        <v>110</v>
      </c>
      <c r="N3081" s="12">
        <f>IF($J3081=0,0,ROUND(MAX($J3081*1.4*1.5,2190000*(1.580994^(MIN($E3081,123)-117)))*1,0))</f>
        <v>42210</v>
      </c>
      <c r="O3081" s="13">
        <f>$E3081+4</f>
        <v>112</v>
      </c>
      <c r="P3081" s="14">
        <f>IF($J3081=0,0,ROUND(MAX($J3081*1.4*1.5*1.6,3500000*(1.57975^(MIN($E3081,123)-117)))*1,0))</f>
        <v>67536</v>
      </c>
      <c r="Q3081" s="11">
        <f>$E3081+6</f>
        <v>114</v>
      </c>
      <c r="R3081" s="12">
        <f>IF($J3081=0,0,ROUND(MAX($J3081*1.4*1.5*1.6*1.6,13100000*(1.429962^(MIN($E3081,123)-117)))*1,0))</f>
        <v>524024</v>
      </c>
      <c r="S3081" s="13">
        <f>$E3081+8</f>
        <v>116</v>
      </c>
      <c r="T3081" s="14">
        <f>IF($J3081=0,0,ROUND(MAX($J3081*1.4*1.5*1.6*1.6*2.2,42600000*(1.576904^(MIN($E3081,123)-117)))*1,0))</f>
        <v>706582</v>
      </c>
      <c r="U3081" s="11">
        <f>$E3081+11</f>
        <v>119</v>
      </c>
      <c r="V3081" s="12">
        <f>IF($J3081=0,0,ROUND(MAX($J3081*1.4*1.5*1.6*1.6*2.2*2.715,354000000*(1.642074^(MIN($E3081,123)-117)))*1,0))</f>
        <v>4078202</v>
      </c>
      <c r="W3081" s="13">
        <f>$E3081+15</f>
        <v>123</v>
      </c>
      <c r="X3081" s="14">
        <f>IF($J3081=0,0,ROUND(MAX($J3081*1.4*1.5*1.6*1.6*2.2*2.715*2.6,3540000000*(1.579646^(MIN($E3081,123)-117)))*1,0))</f>
        <v>57804988</v>
      </c>
      <c r="Y3081" s="11">
        <f>$E3081+17</f>
        <v>125</v>
      </c>
      <c r="Z3081" s="12">
        <f>IF($J3081=0,0,ROUND(MAX($J3081*1.4*1.5*1.6*1.6*2.2*2.715*2.6*1.4,6020000000*(1.651178^(MIN($E3081,123)-117)))*1,0))</f>
        <v>65985946</v>
      </c>
      <c r="AA3081" s="13">
        <f>$E3081+19</f>
        <v>127</v>
      </c>
      <c r="AB3081" s="14">
        <f>IF($J3081=0,0,ROUND(MAX($J3081*1.4*1.5*1.6*1.6*2.2*2.715*2.6*1.4*1.4,8430000000*(1.651435^(MIN($E3081,123)-117)))*1,0))</f>
        <v>92272909</v>
      </c>
      <c r="AC3081" s="11">
        <f>$E3081+21</f>
        <v>129</v>
      </c>
      <c r="AD3081" s="12">
        <f>IF($J3081=0,0,ROUND(MAX($J3081*1.4*1.5*1.6*1.6*2.2*2.715*2.6*1.4*1.4*1.5,12600000000*(1.652953^(MIN($E3081,123)-117)))*1,0))</f>
        <v>136781071</v>
      </c>
      <c r="AE3081" s="13">
        <f>$E3081+24</f>
        <v>132</v>
      </c>
      <c r="AF3081" s="14">
        <f>IF($J3081=0,0,ROUND(MAX($J3081*1.4*1.5*1.6*1.6*2.2*2.715*2.6*1.4*1.4*1.5*1.5,18900000000*(1.65331^(MIN($E3081,123)-117)))*1,0))</f>
        <v>204773225</v>
      </c>
      <c r="AG3081" s="11">
        <f>$E3081+27</f>
        <v>135</v>
      </c>
      <c r="AH3081" s="12">
        <f>IF($J3081=0,0,ROUND(MAX($J3081*1.4*1.5*1.6*1.6*2.2*2.715*2.6*1.4*1.4*1.5*1.5*3.2,60500000000*(1.654288^(MIN($E3081,123)-117)))*1,0))</f>
        <v>652011566</v>
      </c>
    </row>
    <row r="3082" ht="28" customHeight="1" spans="1:34" x14ac:dyDescent="0.25">
      <c r="A3082">
        <v>3092</v>
      </c>
      <c r="B3082" t="s">
        <v>151</v>
      </c>
      <c r="C3082" s="10" t="s">
        <v>1704</v>
      </c>
      <c r="D3082" t="s">
        <v>40</v>
      </c>
      <c r="E3082">
        <v>108</v>
      </c>
      <c r="F3082" t="s">
        <v>42</v>
      </c>
      <c r="G3082" t="s">
        <v>562</v>
      </c>
      <c r="H3082">
        <v>25</v>
      </c>
      <c r="I3082" s="11">
        <f>$E3082+0</f>
        <v>108</v>
      </c>
      <c r="J3082" s="12">
        <v>10100</v>
      </c>
      <c r="K3082" s="13">
        <f>$E3082+1</f>
        <v>109</v>
      </c>
      <c r="L3082" s="14">
        <f>IF($J3082=0,0,ROUND(MAX($J3082*1.4,1620000*(1.497923^(MIN($E3082,123)-117)))*1,0))</f>
        <v>42669</v>
      </c>
      <c r="M3082" s="11">
        <f>$E3082+2</f>
        <v>110</v>
      </c>
      <c r="N3082" s="12">
        <f>IF($J3082=0,0,ROUND(MAX($J3082*1.4*1.5,2190000*(1.580994^(MIN($E3082,123)-117)))*1,0))</f>
        <v>35487</v>
      </c>
      <c r="O3082" s="13">
        <f>$E3082+4</f>
        <v>112</v>
      </c>
      <c r="P3082" s="14">
        <f>IF($J3082=0,0,ROUND(MAX($J3082*1.4*1.5*1.6,3500000*(1.57975^(MIN($E3082,123)-117)))*1,0))</f>
        <v>57118</v>
      </c>
      <c r="Q3082" s="11">
        <f>$E3082+6</f>
        <v>114</v>
      </c>
      <c r="R3082" s="12">
        <f>IF($J3082=0,0,ROUND(MAX($J3082*1.4*1.5*1.6*1.6,13100000*(1.429962^(MIN($E3082,123)-117)))*1,0))</f>
        <v>524024</v>
      </c>
      <c r="S3082" s="13">
        <f>$E3082+8</f>
        <v>116</v>
      </c>
      <c r="T3082" s="14">
        <f>IF($J3082=0,0,ROUND(MAX($J3082*1.4*1.5*1.6*1.6*2.2,42600000*(1.576904^(MIN($E3082,123)-117)))*1,0))</f>
        <v>706582</v>
      </c>
      <c r="U3082" s="11">
        <f>$E3082+11</f>
        <v>119</v>
      </c>
      <c r="V3082" s="12">
        <f>IF($J3082=0,0,ROUND(MAX($J3082*1.4*1.5*1.6*1.6*2.2*2.715,354000000*(1.642074^(MIN($E3082,123)-117)))*1,0))</f>
        <v>4078202</v>
      </c>
      <c r="W3082" s="13">
        <f>$E3082+15</f>
        <v>123</v>
      </c>
      <c r="X3082" s="14">
        <f>IF($J3082=0,0,ROUND(MAX($J3082*1.4*1.5*1.6*1.6*2.2*2.715*2.6,3540000000*(1.579646^(MIN($E3082,123)-117)))*1,0))</f>
        <v>57804988</v>
      </c>
      <c r="Y3082" s="11">
        <f>$E3082+17</f>
        <v>125</v>
      </c>
      <c r="Z3082" s="12">
        <f>IF($J3082=0,0,ROUND(MAX($J3082*1.4*1.5*1.6*1.6*2.2*2.715*2.6*1.4,6020000000*(1.651178^(MIN($E3082,123)-117)))*1,0))</f>
        <v>65985946</v>
      </c>
      <c r="AA3082" s="13">
        <f>$E3082+19</f>
        <v>127</v>
      </c>
      <c r="AB3082" s="14">
        <f>IF($J3082=0,0,ROUND(MAX($J3082*1.4*1.5*1.6*1.6*2.2*2.715*2.6*1.4*1.4,8430000000*(1.651435^(MIN($E3082,123)-117)))*1,0))</f>
        <v>92272909</v>
      </c>
      <c r="AC3082" s="11">
        <f>$E3082+21</f>
        <v>129</v>
      </c>
      <c r="AD3082" s="12">
        <f>IF($J3082=0,0,ROUND(MAX($J3082*1.4*1.5*1.6*1.6*2.2*2.715*2.6*1.4*1.4*1.5,12600000000*(1.652953^(MIN($E3082,123)-117)))*1,0))</f>
        <v>136781071</v>
      </c>
      <c r="AE3082" s="13">
        <f>$E3082+24</f>
        <v>132</v>
      </c>
      <c r="AF3082" s="14">
        <f>IF($J3082=0,0,ROUND(MAX($J3082*1.4*1.5*1.6*1.6*2.2*2.715*2.6*1.4*1.4*1.5*1.5,18900000000*(1.65331^(MIN($E3082,123)-117)))*1,0))</f>
        <v>204773225</v>
      </c>
      <c r="AG3082" s="11">
        <f>$E3082+27</f>
        <v>135</v>
      </c>
      <c r="AH3082" s="12">
        <f>IF($J3082=0,0,ROUND(MAX($J3082*1.4*1.5*1.6*1.6*2.2*2.715*2.6*1.4*1.4*1.5*1.5*3.2,60500000000*(1.654288^(MIN($E3082,123)-117)))*1,0))</f>
        <v>652011566</v>
      </c>
    </row>
    <row r="3083" ht="28" customHeight="1" spans="1:34" x14ac:dyDescent="0.25">
      <c r="A3083">
        <v>3093</v>
      </c>
      <c r="B3083" t="s">
        <v>84</v>
      </c>
      <c r="C3083" s="10" t="s">
        <v>1704</v>
      </c>
      <c r="D3083" t="s">
        <v>45</v>
      </c>
      <c r="E3083">
        <v>108</v>
      </c>
      <c r="F3083" t="s">
        <v>62</v>
      </c>
      <c r="G3083" t="s">
        <v>562</v>
      </c>
      <c r="H3083">
        <v>25</v>
      </c>
      <c r="I3083" s="11">
        <f>$E3083+0</f>
        <v>108</v>
      </c>
      <c r="J3083" s="12">
        <v>10000</v>
      </c>
      <c r="K3083" s="13">
        <f>$E3083+1</f>
        <v>109</v>
      </c>
      <c r="L3083" s="14">
        <f>IF($J3083=0,0,ROUND(MAX($J3083*1.4,1620000*(1.497923^(MIN($E3083,123)-117)))*1,0))</f>
        <v>42669</v>
      </c>
      <c r="M3083" s="11">
        <f>$E3083+2</f>
        <v>110</v>
      </c>
      <c r="N3083" s="12">
        <f>IF($J3083=0,0,ROUND(MAX($J3083*1.4*1.5,2190000*(1.580994^(MIN($E3083,123)-117)))*1,0))</f>
        <v>35487</v>
      </c>
      <c r="O3083" s="13">
        <f>$E3083+4</f>
        <v>112</v>
      </c>
      <c r="P3083" s="14">
        <f>IF($J3083=0,0,ROUND(MAX($J3083*1.4*1.5*1.6,3500000*(1.57975^(MIN($E3083,123)-117)))*1,0))</f>
        <v>57118</v>
      </c>
      <c r="Q3083" s="11">
        <f>$E3083+6</f>
        <v>114</v>
      </c>
      <c r="R3083" s="12">
        <f>IF($J3083=0,0,ROUND(MAX($J3083*1.4*1.5*1.6*1.6,13100000*(1.429962^(MIN($E3083,123)-117)))*1,0))</f>
        <v>524024</v>
      </c>
      <c r="S3083" s="13">
        <f>$E3083+8</f>
        <v>116</v>
      </c>
      <c r="T3083" s="14">
        <f>IF($J3083=0,0,ROUND(MAX($J3083*1.4*1.5*1.6*1.6*2.2,42600000*(1.576904^(MIN($E3083,123)-117)))*1,0))</f>
        <v>706582</v>
      </c>
      <c r="U3083" s="11">
        <f>$E3083+11</f>
        <v>119</v>
      </c>
      <c r="V3083" s="12">
        <f>IF($J3083=0,0,ROUND(MAX($J3083*1.4*1.5*1.6*1.6*2.2*2.715,354000000*(1.642074^(MIN($E3083,123)-117)))*1,0))</f>
        <v>4078202</v>
      </c>
      <c r="W3083" s="13">
        <f>$E3083+15</f>
        <v>123</v>
      </c>
      <c r="X3083" s="14">
        <f>IF($J3083=0,0,ROUND(MAX($J3083*1.4*1.5*1.6*1.6*2.2*2.715*2.6,3540000000*(1.579646^(MIN($E3083,123)-117)))*1,0))</f>
        <v>57804988</v>
      </c>
      <c r="Y3083" s="11">
        <f>$E3083+17</f>
        <v>125</v>
      </c>
      <c r="Z3083" s="12">
        <f>IF($J3083=0,0,ROUND(MAX($J3083*1.4*1.5*1.6*1.6*2.2*2.715*2.6*1.4,6020000000*(1.651178^(MIN($E3083,123)-117)))*1,0))</f>
        <v>65985946</v>
      </c>
      <c r="AA3083" s="13">
        <f>$E3083+19</f>
        <v>127</v>
      </c>
      <c r="AB3083" s="14">
        <f>IF($J3083=0,0,ROUND(MAX($J3083*1.4*1.5*1.6*1.6*2.2*2.715*2.6*1.4*1.4,8430000000*(1.651435^(MIN($E3083,123)-117)))*1,0))</f>
        <v>92272909</v>
      </c>
      <c r="AC3083" s="11">
        <f>$E3083+21</f>
        <v>129</v>
      </c>
      <c r="AD3083" s="12">
        <f>IF($J3083=0,0,ROUND(MAX($J3083*1.4*1.5*1.6*1.6*2.2*2.715*2.6*1.4*1.4*1.5,12600000000*(1.652953^(MIN($E3083,123)-117)))*1,0))</f>
        <v>136781071</v>
      </c>
      <c r="AE3083" s="13">
        <f>$E3083+24</f>
        <v>132</v>
      </c>
      <c r="AF3083" s="14">
        <f>IF($J3083=0,0,ROUND(MAX($J3083*1.4*1.5*1.6*1.6*2.2*2.715*2.6*1.4*1.4*1.5*1.5,18900000000*(1.65331^(MIN($E3083,123)-117)))*1,0))</f>
        <v>204773225</v>
      </c>
      <c r="AG3083" s="11">
        <f>$E3083+27</f>
        <v>135</v>
      </c>
      <c r="AH3083" s="12">
        <f>IF($J3083=0,0,ROUND(MAX($J3083*1.4*1.5*1.6*1.6*2.2*2.715*2.6*1.4*1.4*1.5*1.5*3.2,60500000000*(1.654288^(MIN($E3083,123)-117)))*1,0))</f>
        <v>652011566</v>
      </c>
    </row>
    <row r="3084" ht="28" customHeight="1" spans="1:34" x14ac:dyDescent="0.25">
      <c r="A3084">
        <v>3094</v>
      </c>
      <c r="B3084" t="s">
        <v>143</v>
      </c>
      <c r="C3084" s="10" t="s">
        <v>1704</v>
      </c>
      <c r="D3084" t="s">
        <v>165</v>
      </c>
      <c r="E3084">
        <v>108</v>
      </c>
      <c r="F3084" t="s">
        <v>144</v>
      </c>
      <c r="G3084" t="s">
        <v>562</v>
      </c>
      <c r="H3084">
        <v>25</v>
      </c>
      <c r="I3084" s="11">
        <f>$E3084+0</f>
        <v>108</v>
      </c>
      <c r="J3084" s="12">
        <v>40000</v>
      </c>
      <c r="K3084" s="13">
        <f>$E3084+1</f>
        <v>109</v>
      </c>
      <c r="L3084" s="14">
        <f>IF($J3084=0,0,ROUND(MAX($J3084*1.4,1620000*(1.497923^(MIN($E3084,123)-117)))*1,0))</f>
        <v>56000</v>
      </c>
      <c r="M3084" s="11">
        <f>$E3084+2</f>
        <v>110</v>
      </c>
      <c r="N3084" s="12">
        <f>IF($J3084=0,0,ROUND(MAX($J3084*1.4*1.5,2190000*(1.580994^(MIN($E3084,123)-117)))*1,0))</f>
        <v>84000</v>
      </c>
      <c r="O3084" s="13">
        <f>$E3084+4</f>
        <v>112</v>
      </c>
      <c r="P3084" s="14">
        <f>IF($J3084=0,0,ROUND(MAX($J3084*1.4*1.5*1.6,3500000*(1.57975^(MIN($E3084,123)-117)))*1,0))</f>
        <v>134400</v>
      </c>
      <c r="Q3084" s="11">
        <f>$E3084+6</f>
        <v>114</v>
      </c>
      <c r="R3084" s="12">
        <f>IF($J3084=0,0,ROUND(MAX($J3084*1.4*1.5*1.6*1.6,13100000*(1.429962^(MIN($E3084,123)-117)))*1,0))</f>
        <v>524024</v>
      </c>
      <c r="S3084" s="13">
        <f>$E3084+8</f>
        <v>116</v>
      </c>
      <c r="T3084" s="14">
        <f>IF($J3084=0,0,ROUND(MAX($J3084*1.4*1.5*1.6*1.6*2.2,42600000*(1.576904^(MIN($E3084,123)-117)))*1,0))</f>
        <v>706582</v>
      </c>
      <c r="U3084" s="11">
        <f>$E3084+11</f>
        <v>119</v>
      </c>
      <c r="V3084" s="12">
        <f>IF($J3084=0,0,ROUND(MAX($J3084*1.4*1.5*1.6*1.6*2.2*2.715,354000000*(1.642074^(MIN($E3084,123)-117)))*1,0))</f>
        <v>4078202</v>
      </c>
      <c r="W3084" s="13">
        <f>$E3084+15</f>
        <v>123</v>
      </c>
      <c r="X3084" s="14">
        <f>IF($J3084=0,0,ROUND(MAX($J3084*1.4*1.5*1.6*1.6*2.2*2.715*2.6,3540000000*(1.579646^(MIN($E3084,123)-117)))*1,0))</f>
        <v>57804988</v>
      </c>
      <c r="Y3084" s="11">
        <f>$E3084+17</f>
        <v>125</v>
      </c>
      <c r="Z3084" s="12">
        <f>IF($J3084=0,0,ROUND(MAX($J3084*1.4*1.5*1.6*1.6*2.2*2.715*2.6*1.4,6020000000*(1.651178^(MIN($E3084,123)-117)))*1,0))</f>
        <v>65985946</v>
      </c>
      <c r="AA3084" s="13">
        <f>$E3084+19</f>
        <v>127</v>
      </c>
      <c r="AB3084" s="14">
        <f>IF($J3084=0,0,ROUND(MAX($J3084*1.4*1.5*1.6*1.6*2.2*2.715*2.6*1.4*1.4,8430000000*(1.651435^(MIN($E3084,123)-117)))*1,0))</f>
        <v>92272909</v>
      </c>
      <c r="AC3084" s="11">
        <f>$E3084+21</f>
        <v>129</v>
      </c>
      <c r="AD3084" s="12">
        <f>IF($J3084=0,0,ROUND(MAX($J3084*1.4*1.5*1.6*1.6*2.2*2.715*2.6*1.4*1.4*1.5,12600000000*(1.652953^(MIN($E3084,123)-117)))*1,0))</f>
        <v>136781071</v>
      </c>
      <c r="AE3084" s="13">
        <f>$E3084+24</f>
        <v>132</v>
      </c>
      <c r="AF3084" s="14">
        <f>IF($J3084=0,0,ROUND(MAX($J3084*1.4*1.5*1.6*1.6*2.2*2.715*2.6*1.4*1.4*1.5*1.5,18900000000*(1.65331^(MIN($E3084,123)-117)))*1,0))</f>
        <v>204773225</v>
      </c>
      <c r="AG3084" s="11">
        <f>$E3084+27</f>
        <v>135</v>
      </c>
      <c r="AH3084" s="12">
        <f>IF($J3084=0,0,ROUND(MAX($J3084*1.4*1.5*1.6*1.6*2.2*2.715*2.6*1.4*1.4*1.5*1.5*3.2,60500000000*(1.654288^(MIN($E3084,123)-117)))*1,0))</f>
        <v>652011566</v>
      </c>
    </row>
    <row r="3085" ht="28" customHeight="1" spans="1:34" x14ac:dyDescent="0.25">
      <c r="A3085">
        <v>3095</v>
      </c>
      <c r="B3085" t="s">
        <v>110</v>
      </c>
      <c r="C3085" s="10" t="s">
        <v>1704</v>
      </c>
      <c r="D3085" t="s">
        <v>64</v>
      </c>
      <c r="E3085">
        <v>108</v>
      </c>
      <c r="F3085" t="s">
        <v>59</v>
      </c>
      <c r="G3085" t="s">
        <v>562</v>
      </c>
      <c r="H3085">
        <v>25</v>
      </c>
      <c r="I3085" s="11">
        <f>$E3085+0</f>
        <v>108</v>
      </c>
      <c r="J3085" s="12">
        <v>33000</v>
      </c>
      <c r="K3085" s="13">
        <f>$E3085+1</f>
        <v>109</v>
      </c>
      <c r="L3085" s="14">
        <f>IF($J3085=0,0,ROUND(MAX($J3085*1.4,1620000*(1.497923^(MIN($E3085,123)-117)))*1,0))</f>
        <v>46200</v>
      </c>
      <c r="M3085" s="11">
        <f>$E3085+2</f>
        <v>110</v>
      </c>
      <c r="N3085" s="12">
        <f>IF($J3085=0,0,ROUND(MAX($J3085*1.4*1.5,2190000*(1.580994^(MIN($E3085,123)-117)))*1,0))</f>
        <v>69300</v>
      </c>
      <c r="O3085" s="13">
        <f>$E3085+4</f>
        <v>112</v>
      </c>
      <c r="P3085" s="14">
        <f>IF($J3085=0,0,ROUND(MAX($J3085*1.4*1.5*1.6,3500000*(1.57975^(MIN($E3085,123)-117)))*1,0))</f>
        <v>110880</v>
      </c>
      <c r="Q3085" s="11">
        <f>$E3085+6</f>
        <v>114</v>
      </c>
      <c r="R3085" s="12">
        <f>IF($J3085=0,0,ROUND(MAX($J3085*1.4*1.5*1.6*1.6,13100000*(1.429962^(MIN($E3085,123)-117)))*1,0))</f>
        <v>524024</v>
      </c>
      <c r="S3085" s="13">
        <f>$E3085+8</f>
        <v>116</v>
      </c>
      <c r="T3085" s="14">
        <f>IF($J3085=0,0,ROUND(MAX($J3085*1.4*1.5*1.6*1.6*2.2,42600000*(1.576904^(MIN($E3085,123)-117)))*1,0))</f>
        <v>706582</v>
      </c>
      <c r="U3085" s="11">
        <f>$E3085+11</f>
        <v>119</v>
      </c>
      <c r="V3085" s="12">
        <f>IF($J3085=0,0,ROUND(MAX($J3085*1.4*1.5*1.6*1.6*2.2*2.715,354000000*(1.642074^(MIN($E3085,123)-117)))*1,0))</f>
        <v>4078202</v>
      </c>
      <c r="W3085" s="13">
        <f>$E3085+15</f>
        <v>123</v>
      </c>
      <c r="X3085" s="14">
        <f>IF($J3085=0,0,ROUND(MAX($J3085*1.4*1.5*1.6*1.6*2.2*2.715*2.6,3540000000*(1.579646^(MIN($E3085,123)-117)))*1,0))</f>
        <v>57804988</v>
      </c>
      <c r="Y3085" s="11">
        <f>$E3085+17</f>
        <v>125</v>
      </c>
      <c r="Z3085" s="12">
        <f>IF($J3085=0,0,ROUND(MAX($J3085*1.4*1.5*1.6*1.6*2.2*2.715*2.6*1.4,6020000000*(1.651178^(MIN($E3085,123)-117)))*1,0))</f>
        <v>65985946</v>
      </c>
      <c r="AA3085" s="13">
        <f>$E3085+19</f>
        <v>127</v>
      </c>
      <c r="AB3085" s="14">
        <f>IF($J3085=0,0,ROUND(MAX($J3085*1.4*1.5*1.6*1.6*2.2*2.715*2.6*1.4*1.4,8430000000*(1.651435^(MIN($E3085,123)-117)))*1,0))</f>
        <v>92272909</v>
      </c>
      <c r="AC3085" s="11">
        <f>$E3085+21</f>
        <v>129</v>
      </c>
      <c r="AD3085" s="12">
        <f>IF($J3085=0,0,ROUND(MAX($J3085*1.4*1.5*1.6*1.6*2.2*2.715*2.6*1.4*1.4*1.5,12600000000*(1.652953^(MIN($E3085,123)-117)))*1,0))</f>
        <v>136781071</v>
      </c>
      <c r="AE3085" s="13">
        <f>$E3085+24</f>
        <v>132</v>
      </c>
      <c r="AF3085" s="14">
        <f>IF($J3085=0,0,ROUND(MAX($J3085*1.4*1.5*1.6*1.6*2.2*2.715*2.6*1.4*1.4*1.5*1.5,18900000000*(1.65331^(MIN($E3085,123)-117)))*1,0))</f>
        <v>204773225</v>
      </c>
      <c r="AG3085" s="11">
        <f>$E3085+27</f>
        <v>135</v>
      </c>
      <c r="AH3085" s="12">
        <f>IF($J3085=0,0,ROUND(MAX($J3085*1.4*1.5*1.6*1.6*2.2*2.715*2.6*1.4*1.4*1.5*1.5*3.2,60500000000*(1.654288^(MIN($E3085,123)-117)))*1,0))</f>
        <v>652011566</v>
      </c>
    </row>
    <row r="3086" ht="28" customHeight="1" spans="1:34" x14ac:dyDescent="0.25">
      <c r="A3086">
        <v>3096</v>
      </c>
      <c r="B3086" t="s">
        <v>113</v>
      </c>
      <c r="C3086" s="10" t="s">
        <v>1704</v>
      </c>
      <c r="D3086" t="s">
        <v>25</v>
      </c>
      <c r="E3086">
        <v>108</v>
      </c>
      <c r="F3086" t="s">
        <v>30</v>
      </c>
      <c r="G3086" t="s">
        <v>562</v>
      </c>
      <c r="H3086">
        <v>25</v>
      </c>
      <c r="I3086" s="11">
        <f>$E3086+0</f>
        <v>108</v>
      </c>
      <c r="J3086" s="12">
        <v>10100</v>
      </c>
      <c r="K3086" s="13">
        <f>$E3086+1</f>
        <v>109</v>
      </c>
      <c r="L3086" s="14">
        <f>IF($J3086=0,0,ROUND(MAX($J3086*1.4,1620000*(1.497923^(MIN($E3086,123)-117)))*1,0))</f>
        <v>42669</v>
      </c>
      <c r="M3086" s="11">
        <f>$E3086+2</f>
        <v>110</v>
      </c>
      <c r="N3086" s="12">
        <f>IF($J3086=0,0,ROUND(MAX($J3086*1.4*1.5,2190000*(1.580994^(MIN($E3086,123)-117)))*1,0))</f>
        <v>35487</v>
      </c>
      <c r="O3086" s="13">
        <f>$E3086+4</f>
        <v>112</v>
      </c>
      <c r="P3086" s="14">
        <f>IF($J3086=0,0,ROUND(MAX($J3086*1.4*1.5*1.6,3500000*(1.57975^(MIN($E3086,123)-117)))*1,0))</f>
        <v>57118</v>
      </c>
      <c r="Q3086" s="11">
        <f>$E3086+6</f>
        <v>114</v>
      </c>
      <c r="R3086" s="12">
        <f>IF($J3086=0,0,ROUND(MAX($J3086*1.4*1.5*1.6*1.6,13100000*(1.429962^(MIN($E3086,123)-117)))*1,0))</f>
        <v>524024</v>
      </c>
      <c r="S3086" s="13">
        <f>$E3086+8</f>
        <v>116</v>
      </c>
      <c r="T3086" s="14">
        <f>IF($J3086=0,0,ROUND(MAX($J3086*1.4*1.5*1.6*1.6*2.2,42600000*(1.576904^(MIN($E3086,123)-117)))*1,0))</f>
        <v>706582</v>
      </c>
      <c r="U3086" s="11">
        <f>$E3086+11</f>
        <v>119</v>
      </c>
      <c r="V3086" s="12">
        <f>IF($J3086=0,0,ROUND(MAX($J3086*1.4*1.5*1.6*1.6*2.2*2.715,354000000*(1.642074^(MIN($E3086,123)-117)))*1,0))</f>
        <v>4078202</v>
      </c>
      <c r="W3086" s="13">
        <f>$E3086+15</f>
        <v>123</v>
      </c>
      <c r="X3086" s="14">
        <f>IF($J3086=0,0,ROUND(MAX($J3086*1.4*1.5*1.6*1.6*2.2*2.715*2.6,3540000000*(1.579646^(MIN($E3086,123)-117)))*1,0))</f>
        <v>57804988</v>
      </c>
      <c r="Y3086" s="11">
        <f>$E3086+17</f>
        <v>125</v>
      </c>
      <c r="Z3086" s="12">
        <f>IF($J3086=0,0,ROUND(MAX($J3086*1.4*1.5*1.6*1.6*2.2*2.715*2.6*1.4,6020000000*(1.651178^(MIN($E3086,123)-117)))*1,0))</f>
        <v>65985946</v>
      </c>
      <c r="AA3086" s="13">
        <f>$E3086+19</f>
        <v>127</v>
      </c>
      <c r="AB3086" s="14">
        <f>IF($J3086=0,0,ROUND(MAX($J3086*1.4*1.5*1.6*1.6*2.2*2.715*2.6*1.4*1.4,8430000000*(1.651435^(MIN($E3086,123)-117)))*1,0))</f>
        <v>92272909</v>
      </c>
      <c r="AC3086" s="11">
        <f>$E3086+21</f>
        <v>129</v>
      </c>
      <c r="AD3086" s="12">
        <f>IF($J3086=0,0,ROUND(MAX($J3086*1.4*1.5*1.6*1.6*2.2*2.715*2.6*1.4*1.4*1.5,12600000000*(1.652953^(MIN($E3086,123)-117)))*1,0))</f>
        <v>136781071</v>
      </c>
      <c r="AE3086" s="13">
        <f>$E3086+24</f>
        <v>132</v>
      </c>
      <c r="AF3086" s="14">
        <f>IF($J3086=0,0,ROUND(MAX($J3086*1.4*1.5*1.6*1.6*2.2*2.715*2.6*1.4*1.4*1.5*1.5,18900000000*(1.65331^(MIN($E3086,123)-117)))*1,0))</f>
        <v>204773225</v>
      </c>
      <c r="AG3086" s="11">
        <f>$E3086+27</f>
        <v>135</v>
      </c>
      <c r="AH3086" s="12">
        <f>IF($J3086=0,0,ROUND(MAX($J3086*1.4*1.5*1.6*1.6*2.2*2.715*2.6*1.4*1.4*1.5*1.5*3.2,60500000000*(1.654288^(MIN($E3086,123)-117)))*1,0))</f>
        <v>652011566</v>
      </c>
    </row>
    <row r="3087" ht="28" customHeight="1" spans="1:34" x14ac:dyDescent="0.25">
      <c r="A3087">
        <v>3097</v>
      </c>
      <c r="B3087" t="s">
        <v>94</v>
      </c>
      <c r="C3087" s="10" t="s">
        <v>1704</v>
      </c>
      <c r="D3087" t="s">
        <v>29</v>
      </c>
      <c r="E3087">
        <v>108</v>
      </c>
      <c r="F3087" t="s">
        <v>42</v>
      </c>
      <c r="G3087" t="s">
        <v>562</v>
      </c>
      <c r="H3087">
        <v>25</v>
      </c>
      <c r="I3087" s="11">
        <f>$E3087+0</f>
        <v>108</v>
      </c>
      <c r="J3087" s="12">
        <v>10000</v>
      </c>
      <c r="K3087" s="13">
        <f>$E3087+1</f>
        <v>109</v>
      </c>
      <c r="L3087" s="14">
        <f>IF($J3087=0,0,ROUND(MAX($J3087*1.4,1620000*(1.497923^(MIN($E3087,123)-117)))*1,0))</f>
        <v>42669</v>
      </c>
      <c r="M3087" s="11">
        <f>$E3087+2</f>
        <v>110</v>
      </c>
      <c r="N3087" s="12">
        <f>IF($J3087=0,0,ROUND(MAX($J3087*1.4*1.5,2190000*(1.580994^(MIN($E3087,123)-117)))*1,0))</f>
        <v>35487</v>
      </c>
      <c r="O3087" s="13">
        <f>$E3087+4</f>
        <v>112</v>
      </c>
      <c r="P3087" s="14">
        <f>IF($J3087=0,0,ROUND(MAX($J3087*1.4*1.5*1.6,3500000*(1.57975^(MIN($E3087,123)-117)))*1,0))</f>
        <v>57118</v>
      </c>
      <c r="Q3087" s="11">
        <f>$E3087+6</f>
        <v>114</v>
      </c>
      <c r="R3087" s="12">
        <f>IF($J3087=0,0,ROUND(MAX($J3087*1.4*1.5*1.6*1.6,13100000*(1.429962^(MIN($E3087,123)-117)))*1,0))</f>
        <v>524024</v>
      </c>
      <c r="S3087" s="13">
        <f>$E3087+8</f>
        <v>116</v>
      </c>
      <c r="T3087" s="14">
        <f>IF($J3087=0,0,ROUND(MAX($J3087*1.4*1.5*1.6*1.6*2.2,42600000*(1.576904^(MIN($E3087,123)-117)))*1,0))</f>
        <v>706582</v>
      </c>
      <c r="U3087" s="11">
        <f>$E3087+11</f>
        <v>119</v>
      </c>
      <c r="V3087" s="12">
        <f>IF($J3087=0,0,ROUND(MAX($J3087*1.4*1.5*1.6*1.6*2.2*2.715,354000000*(1.642074^(MIN($E3087,123)-117)))*1,0))</f>
        <v>4078202</v>
      </c>
      <c r="W3087" s="13">
        <f>$E3087+15</f>
        <v>123</v>
      </c>
      <c r="X3087" s="14">
        <f>IF($J3087=0,0,ROUND(MAX($J3087*1.4*1.5*1.6*1.6*2.2*2.715*2.6,3540000000*(1.579646^(MIN($E3087,123)-117)))*1,0))</f>
        <v>57804988</v>
      </c>
      <c r="Y3087" s="11">
        <f>$E3087+17</f>
        <v>125</v>
      </c>
      <c r="Z3087" s="12">
        <f>IF($J3087=0,0,ROUND(MAX($J3087*1.4*1.5*1.6*1.6*2.2*2.715*2.6*1.4,6020000000*(1.651178^(MIN($E3087,123)-117)))*1,0))</f>
        <v>65985946</v>
      </c>
      <c r="AA3087" s="13">
        <f>$E3087+19</f>
        <v>127</v>
      </c>
      <c r="AB3087" s="14">
        <f>IF($J3087=0,0,ROUND(MAX($J3087*1.4*1.5*1.6*1.6*2.2*2.715*2.6*1.4*1.4,8430000000*(1.651435^(MIN($E3087,123)-117)))*1,0))</f>
        <v>92272909</v>
      </c>
      <c r="AC3087" s="11">
        <f>$E3087+21</f>
        <v>129</v>
      </c>
      <c r="AD3087" s="12">
        <f>IF($J3087=0,0,ROUND(MAX($J3087*1.4*1.5*1.6*1.6*2.2*2.715*2.6*1.4*1.4*1.5,12600000000*(1.652953^(MIN($E3087,123)-117)))*1,0))</f>
        <v>136781071</v>
      </c>
      <c r="AE3087" s="13">
        <f>$E3087+24</f>
        <v>132</v>
      </c>
      <c r="AF3087" s="14">
        <f>IF($J3087=0,0,ROUND(MAX($J3087*1.4*1.5*1.6*1.6*2.2*2.715*2.6*1.4*1.4*1.5*1.5,18900000000*(1.65331^(MIN($E3087,123)-117)))*1,0))</f>
        <v>204773225</v>
      </c>
      <c r="AG3087" s="11">
        <f>$E3087+27</f>
        <v>135</v>
      </c>
      <c r="AH3087" s="12">
        <f>IF($J3087=0,0,ROUND(MAX($J3087*1.4*1.5*1.6*1.6*2.2*2.715*2.6*1.4*1.4*1.5*1.5*3.2,60500000000*(1.654288^(MIN($E3087,123)-117)))*1,0))</f>
        <v>652011566</v>
      </c>
    </row>
    <row r="3088" ht="28" customHeight="1" spans="1:34" x14ac:dyDescent="0.25">
      <c r="A3088">
        <v>3098</v>
      </c>
      <c r="B3088" t="s">
        <v>100</v>
      </c>
      <c r="C3088" s="10" t="s">
        <v>1704</v>
      </c>
      <c r="D3088" t="s">
        <v>33</v>
      </c>
      <c r="E3088">
        <v>108</v>
      </c>
      <c r="F3088" t="s">
        <v>62</v>
      </c>
      <c r="G3088" t="s">
        <v>562</v>
      </c>
      <c r="H3088">
        <v>25</v>
      </c>
      <c r="I3088" s="11">
        <f>$E3088+0</f>
        <v>108</v>
      </c>
      <c r="J3088" s="12">
        <v>10100</v>
      </c>
      <c r="K3088" s="13">
        <f>$E3088+1</f>
        <v>109</v>
      </c>
      <c r="L3088" s="14">
        <f>IF($J3088=0,0,ROUND(MAX($J3088*1.4,1620000*(1.497923^(MIN($E3088,123)-117)))*1,0))</f>
        <v>42669</v>
      </c>
      <c r="M3088" s="11">
        <f>$E3088+2</f>
        <v>110</v>
      </c>
      <c r="N3088" s="12">
        <f>IF($J3088=0,0,ROUND(MAX($J3088*1.4*1.5,2190000*(1.580994^(MIN($E3088,123)-117)))*1,0))</f>
        <v>35487</v>
      </c>
      <c r="O3088" s="13">
        <f>$E3088+4</f>
        <v>112</v>
      </c>
      <c r="P3088" s="14">
        <f>IF($J3088=0,0,ROUND(MAX($J3088*1.4*1.5*1.6,3500000*(1.57975^(MIN($E3088,123)-117)))*1,0))</f>
        <v>57118</v>
      </c>
      <c r="Q3088" s="11">
        <f>$E3088+6</f>
        <v>114</v>
      </c>
      <c r="R3088" s="12">
        <f>IF($J3088=0,0,ROUND(MAX($J3088*1.4*1.5*1.6*1.6,13100000*(1.429962^(MIN($E3088,123)-117)))*1,0))</f>
        <v>524024</v>
      </c>
      <c r="S3088" s="13">
        <f>$E3088+8</f>
        <v>116</v>
      </c>
      <c r="T3088" s="14">
        <f>IF($J3088=0,0,ROUND(MAX($J3088*1.4*1.5*1.6*1.6*2.2,42600000*(1.576904^(MIN($E3088,123)-117)))*1,0))</f>
        <v>706582</v>
      </c>
      <c r="U3088" s="11">
        <f>$E3088+11</f>
        <v>119</v>
      </c>
      <c r="V3088" s="12">
        <f>IF($J3088=0,0,ROUND(MAX($J3088*1.4*1.5*1.6*1.6*2.2*2.715,354000000*(1.642074^(MIN($E3088,123)-117)))*1,0))</f>
        <v>4078202</v>
      </c>
      <c r="W3088" s="13">
        <f>$E3088+15</f>
        <v>123</v>
      </c>
      <c r="X3088" s="14">
        <f>IF($J3088=0,0,ROUND(MAX($J3088*1.4*1.5*1.6*1.6*2.2*2.715*2.6,3540000000*(1.579646^(MIN($E3088,123)-117)))*1,0))</f>
        <v>57804988</v>
      </c>
      <c r="Y3088" s="11">
        <f>$E3088+17</f>
        <v>125</v>
      </c>
      <c r="Z3088" s="12">
        <f>IF($J3088=0,0,ROUND(MAX($J3088*1.4*1.5*1.6*1.6*2.2*2.715*2.6*1.4,6020000000*(1.651178^(MIN($E3088,123)-117)))*1,0))</f>
        <v>65985946</v>
      </c>
      <c r="AA3088" s="13">
        <f>$E3088+19</f>
        <v>127</v>
      </c>
      <c r="AB3088" s="14">
        <f>IF($J3088=0,0,ROUND(MAX($J3088*1.4*1.5*1.6*1.6*2.2*2.715*2.6*1.4*1.4,8430000000*(1.651435^(MIN($E3088,123)-117)))*1,0))</f>
        <v>92272909</v>
      </c>
      <c r="AC3088" s="11">
        <f>$E3088+21</f>
        <v>129</v>
      </c>
      <c r="AD3088" s="12">
        <f>IF($J3088=0,0,ROUND(MAX($J3088*1.4*1.5*1.6*1.6*2.2*2.715*2.6*1.4*1.4*1.5,12600000000*(1.652953^(MIN($E3088,123)-117)))*1,0))</f>
        <v>136781071</v>
      </c>
      <c r="AE3088" s="13">
        <f>$E3088+24</f>
        <v>132</v>
      </c>
      <c r="AF3088" s="14">
        <f>IF($J3088=0,0,ROUND(MAX($J3088*1.4*1.5*1.6*1.6*2.2*2.715*2.6*1.4*1.4*1.5*1.5,18900000000*(1.65331^(MIN($E3088,123)-117)))*1,0))</f>
        <v>204773225</v>
      </c>
      <c r="AG3088" s="11">
        <f>$E3088+27</f>
        <v>135</v>
      </c>
      <c r="AH3088" s="12">
        <f>IF($J3088=0,0,ROUND(MAX($J3088*1.4*1.5*1.6*1.6*2.2*2.715*2.6*1.4*1.4*1.5*1.5*3.2,60500000000*(1.654288^(MIN($E3088,123)-117)))*1,0))</f>
        <v>652011566</v>
      </c>
    </row>
    <row r="3089" ht="28" customHeight="1" spans="1:34" x14ac:dyDescent="0.25">
      <c r="A3089">
        <v>3099</v>
      </c>
      <c r="B3089" t="s">
        <v>76</v>
      </c>
      <c r="C3089" s="10" t="s">
        <v>1704</v>
      </c>
      <c r="D3089" t="s">
        <v>29</v>
      </c>
      <c r="E3089">
        <v>108</v>
      </c>
      <c r="F3089" t="s">
        <v>62</v>
      </c>
      <c r="G3089" t="s">
        <v>562</v>
      </c>
      <c r="H3089">
        <v>25</v>
      </c>
      <c r="I3089" s="11">
        <f>$E3089+0</f>
        <v>108</v>
      </c>
      <c r="J3089" s="12">
        <v>10000</v>
      </c>
      <c r="K3089" s="13">
        <f>$E3089+1</f>
        <v>109</v>
      </c>
      <c r="L3089" s="14">
        <f>IF($J3089=0,0,ROUND(MAX($J3089*1.4,1620000*(1.497923^(MIN($E3089,123)-117)))*1,0))</f>
        <v>42669</v>
      </c>
      <c r="M3089" s="11">
        <f>$E3089+2</f>
        <v>110</v>
      </c>
      <c r="N3089" s="12">
        <f>IF($J3089=0,0,ROUND(MAX($J3089*1.4*1.5,2190000*(1.580994^(MIN($E3089,123)-117)))*1,0))</f>
        <v>35487</v>
      </c>
      <c r="O3089" s="13">
        <f>$E3089+4</f>
        <v>112</v>
      </c>
      <c r="P3089" s="14">
        <f>IF($J3089=0,0,ROUND(MAX($J3089*1.4*1.5*1.6,3500000*(1.57975^(MIN($E3089,123)-117)))*1,0))</f>
        <v>57118</v>
      </c>
      <c r="Q3089" s="11">
        <f>$E3089+6</f>
        <v>114</v>
      </c>
      <c r="R3089" s="12">
        <f>IF($J3089=0,0,ROUND(MAX($J3089*1.4*1.5*1.6*1.6,13100000*(1.429962^(MIN($E3089,123)-117)))*1,0))</f>
        <v>524024</v>
      </c>
      <c r="S3089" s="13">
        <f>$E3089+8</f>
        <v>116</v>
      </c>
      <c r="T3089" s="14">
        <f>IF($J3089=0,0,ROUND(MAX($J3089*1.4*1.5*1.6*1.6*2.2,42600000*(1.576904^(MIN($E3089,123)-117)))*1,0))</f>
        <v>706582</v>
      </c>
      <c r="U3089" s="11">
        <f>$E3089+11</f>
        <v>119</v>
      </c>
      <c r="V3089" s="12">
        <f>IF($J3089=0,0,ROUND(MAX($J3089*1.4*1.5*1.6*1.6*2.2*2.715,354000000*(1.642074^(MIN($E3089,123)-117)))*1,0))</f>
        <v>4078202</v>
      </c>
      <c r="W3089" s="13">
        <f>$E3089+15</f>
        <v>123</v>
      </c>
      <c r="X3089" s="14">
        <f>IF($J3089=0,0,ROUND(MAX($J3089*1.4*1.5*1.6*1.6*2.2*2.715*2.6,3540000000*(1.579646^(MIN($E3089,123)-117)))*1,0))</f>
        <v>57804988</v>
      </c>
      <c r="Y3089" s="11">
        <f>$E3089+17</f>
        <v>125</v>
      </c>
      <c r="Z3089" s="12">
        <f>IF($J3089=0,0,ROUND(MAX($J3089*1.4*1.5*1.6*1.6*2.2*2.715*2.6*1.4,6020000000*(1.651178^(MIN($E3089,123)-117)))*1,0))</f>
        <v>65985946</v>
      </c>
      <c r="AA3089" s="13">
        <f>$E3089+19</f>
        <v>127</v>
      </c>
      <c r="AB3089" s="14">
        <f>IF($J3089=0,0,ROUND(MAX($J3089*1.4*1.5*1.6*1.6*2.2*2.715*2.6*1.4*1.4,8430000000*(1.651435^(MIN($E3089,123)-117)))*1,0))</f>
        <v>92272909</v>
      </c>
      <c r="AC3089" s="11">
        <f>$E3089+21</f>
        <v>129</v>
      </c>
      <c r="AD3089" s="12">
        <f>IF($J3089=0,0,ROUND(MAX($J3089*1.4*1.5*1.6*1.6*2.2*2.715*2.6*1.4*1.4*1.5,12600000000*(1.652953^(MIN($E3089,123)-117)))*1,0))</f>
        <v>136781071</v>
      </c>
      <c r="AE3089" s="13">
        <f>$E3089+24</f>
        <v>132</v>
      </c>
      <c r="AF3089" s="14">
        <f>IF($J3089=0,0,ROUND(MAX($J3089*1.4*1.5*1.6*1.6*2.2*2.715*2.6*1.4*1.4*1.5*1.5,18900000000*(1.65331^(MIN($E3089,123)-117)))*1,0))</f>
        <v>204773225</v>
      </c>
      <c r="AG3089" s="11">
        <f>$E3089+27</f>
        <v>135</v>
      </c>
      <c r="AH3089" s="12">
        <f>IF($J3089=0,0,ROUND(MAX($J3089*1.4*1.5*1.6*1.6*2.2*2.715*2.6*1.4*1.4*1.5*1.5*3.2,60500000000*(1.654288^(MIN($E3089,123)-117)))*1,0))</f>
        <v>652011566</v>
      </c>
    </row>
    <row r="3090" ht="28" customHeight="1" spans="1:34" x14ac:dyDescent="0.25">
      <c r="A3090">
        <v>3100</v>
      </c>
      <c r="B3090" t="s">
        <v>121</v>
      </c>
      <c r="C3090" s="10" t="s">
        <v>1704</v>
      </c>
      <c r="D3090" t="s">
        <v>29</v>
      </c>
      <c r="E3090">
        <v>108</v>
      </c>
      <c r="F3090" t="s">
        <v>62</v>
      </c>
      <c r="G3090" t="s">
        <v>562</v>
      </c>
      <c r="H3090">
        <v>25</v>
      </c>
      <c r="I3090" s="11">
        <f>$E3090+0</f>
        <v>108</v>
      </c>
      <c r="J3090" s="12">
        <v>30000</v>
      </c>
      <c r="K3090" s="13">
        <f>$E3090+1</f>
        <v>109</v>
      </c>
      <c r="L3090" s="14">
        <f>IF($J3090=0,0,ROUND(MAX($J3090*1.4,1620000*(1.497923^(MIN($E3090,123)-117)))*1,0))</f>
        <v>42669</v>
      </c>
      <c r="M3090" s="11">
        <f>$E3090+2</f>
        <v>110</v>
      </c>
      <c r="N3090" s="12">
        <f>IF($J3090=0,0,ROUND(MAX($J3090*1.4*1.5,2190000*(1.580994^(MIN($E3090,123)-117)))*1,0))</f>
        <v>63000</v>
      </c>
      <c r="O3090" s="13">
        <f>$E3090+4</f>
        <v>112</v>
      </c>
      <c r="P3090" s="14">
        <f>IF($J3090=0,0,ROUND(MAX($J3090*1.4*1.5*1.6,3500000*(1.57975^(MIN($E3090,123)-117)))*1,0))</f>
        <v>100800</v>
      </c>
      <c r="Q3090" s="11">
        <f>$E3090+6</f>
        <v>114</v>
      </c>
      <c r="R3090" s="12">
        <f>IF($J3090=0,0,ROUND(MAX($J3090*1.4*1.5*1.6*1.6,13100000*(1.429962^(MIN($E3090,123)-117)))*1,0))</f>
        <v>524024</v>
      </c>
      <c r="S3090" s="13">
        <f>$E3090+8</f>
        <v>116</v>
      </c>
      <c r="T3090" s="14">
        <f>IF($J3090=0,0,ROUND(MAX($J3090*1.4*1.5*1.6*1.6*2.2,42600000*(1.576904^(MIN($E3090,123)-117)))*1,0))</f>
        <v>706582</v>
      </c>
      <c r="U3090" s="11">
        <f>$E3090+11</f>
        <v>119</v>
      </c>
      <c r="V3090" s="12">
        <f>IF($J3090=0,0,ROUND(MAX($J3090*1.4*1.5*1.6*1.6*2.2*2.715,354000000*(1.642074^(MIN($E3090,123)-117)))*1,0))</f>
        <v>4078202</v>
      </c>
      <c r="W3090" s="13">
        <f>$E3090+15</f>
        <v>123</v>
      </c>
      <c r="X3090" s="14">
        <f>IF($J3090=0,0,ROUND(MAX($J3090*1.4*1.5*1.6*1.6*2.2*2.715*2.6,3540000000*(1.579646^(MIN($E3090,123)-117)))*1,0))</f>
        <v>57804988</v>
      </c>
      <c r="Y3090" s="11">
        <f>$E3090+17</f>
        <v>125</v>
      </c>
      <c r="Z3090" s="12">
        <f>IF($J3090=0,0,ROUND(MAX($J3090*1.4*1.5*1.6*1.6*2.2*2.715*2.6*1.4,6020000000*(1.651178^(MIN($E3090,123)-117)))*1,0))</f>
        <v>65985946</v>
      </c>
      <c r="AA3090" s="13">
        <f>$E3090+19</f>
        <v>127</v>
      </c>
      <c r="AB3090" s="14">
        <f>IF($J3090=0,0,ROUND(MAX($J3090*1.4*1.5*1.6*1.6*2.2*2.715*2.6*1.4*1.4,8430000000*(1.651435^(MIN($E3090,123)-117)))*1,0))</f>
        <v>92272909</v>
      </c>
      <c r="AC3090" s="11">
        <f>$E3090+21</f>
        <v>129</v>
      </c>
      <c r="AD3090" s="12">
        <f>IF($J3090=0,0,ROUND(MAX($J3090*1.4*1.5*1.6*1.6*2.2*2.715*2.6*1.4*1.4*1.5,12600000000*(1.652953^(MIN($E3090,123)-117)))*1,0))</f>
        <v>136781071</v>
      </c>
      <c r="AE3090" s="13">
        <f>$E3090+24</f>
        <v>132</v>
      </c>
      <c r="AF3090" s="14">
        <f>IF($J3090=0,0,ROUND(MAX($J3090*1.4*1.5*1.6*1.6*2.2*2.715*2.6*1.4*1.4*1.5*1.5,18900000000*(1.65331^(MIN($E3090,123)-117)))*1,0))</f>
        <v>204773225</v>
      </c>
      <c r="AG3090" s="11">
        <f>$E3090+27</f>
        <v>135</v>
      </c>
      <c r="AH3090" s="12">
        <f>IF($J3090=0,0,ROUND(MAX($J3090*1.4*1.5*1.6*1.6*2.2*2.715*2.6*1.4*1.4*1.5*1.5*3.2,60500000000*(1.654288^(MIN($E3090,123)-117)))*1,0))</f>
        <v>652011566</v>
      </c>
    </row>
    <row r="3091" ht="28" customHeight="1" spans="1:34" x14ac:dyDescent="0.25">
      <c r="A3091">
        <v>3101</v>
      </c>
      <c r="B3091" t="s">
        <v>85</v>
      </c>
      <c r="C3091" s="10" t="s">
        <v>1704</v>
      </c>
      <c r="D3091" t="s">
        <v>40</v>
      </c>
      <c r="E3091">
        <v>108</v>
      </c>
      <c r="F3091" t="s">
        <v>56</v>
      </c>
      <c r="G3091" t="s">
        <v>562</v>
      </c>
      <c r="H3091">
        <v>25</v>
      </c>
      <c r="I3091" s="11">
        <f>$E3091+0</f>
        <v>108</v>
      </c>
      <c r="J3091" s="12">
        <v>10200</v>
      </c>
      <c r="K3091" s="13">
        <f>$E3091+1</f>
        <v>109</v>
      </c>
      <c r="L3091" s="14">
        <f>IF($J3091=0,0,ROUND(MAX($J3091*1.4,1620000*(1.497923^(MIN($E3091,123)-117)))*1,0))</f>
        <v>42669</v>
      </c>
      <c r="M3091" s="11">
        <f>$E3091+2</f>
        <v>110</v>
      </c>
      <c r="N3091" s="12">
        <f>IF($J3091=0,0,ROUND(MAX($J3091*1.4*1.5,2190000*(1.580994^(MIN($E3091,123)-117)))*1,0))</f>
        <v>35487</v>
      </c>
      <c r="O3091" s="13">
        <f>$E3091+4</f>
        <v>112</v>
      </c>
      <c r="P3091" s="14">
        <f>IF($J3091=0,0,ROUND(MAX($J3091*1.4*1.5*1.6,3500000*(1.57975^(MIN($E3091,123)-117)))*1,0))</f>
        <v>57118</v>
      </c>
      <c r="Q3091" s="11">
        <f>$E3091+6</f>
        <v>114</v>
      </c>
      <c r="R3091" s="12">
        <f>IF($J3091=0,0,ROUND(MAX($J3091*1.4*1.5*1.6*1.6,13100000*(1.429962^(MIN($E3091,123)-117)))*1,0))</f>
        <v>524024</v>
      </c>
      <c r="S3091" s="13">
        <f>$E3091+8</f>
        <v>116</v>
      </c>
      <c r="T3091" s="14">
        <f>IF($J3091=0,0,ROUND(MAX($J3091*1.4*1.5*1.6*1.6*2.2,42600000*(1.576904^(MIN($E3091,123)-117)))*1,0))</f>
        <v>706582</v>
      </c>
      <c r="U3091" s="11">
        <f>$E3091+11</f>
        <v>119</v>
      </c>
      <c r="V3091" s="12">
        <f>IF($J3091=0,0,ROUND(MAX($J3091*1.4*1.5*1.6*1.6*2.2*2.715,354000000*(1.642074^(MIN($E3091,123)-117)))*1,0))</f>
        <v>4078202</v>
      </c>
      <c r="W3091" s="13">
        <f>$E3091+15</f>
        <v>123</v>
      </c>
      <c r="X3091" s="14">
        <f>IF($J3091=0,0,ROUND(MAX($J3091*1.4*1.5*1.6*1.6*2.2*2.715*2.6,3540000000*(1.579646^(MIN($E3091,123)-117)))*1,0))</f>
        <v>57804988</v>
      </c>
      <c r="Y3091" s="11">
        <f>$E3091+17</f>
        <v>125</v>
      </c>
      <c r="Z3091" s="12">
        <f>IF($J3091=0,0,ROUND(MAX($J3091*1.4*1.5*1.6*1.6*2.2*2.715*2.6*1.4,6020000000*(1.651178^(MIN($E3091,123)-117)))*1,0))</f>
        <v>65985946</v>
      </c>
      <c r="AA3091" s="13">
        <f>$E3091+19</f>
        <v>127</v>
      </c>
      <c r="AB3091" s="14">
        <f>IF($J3091=0,0,ROUND(MAX($J3091*1.4*1.5*1.6*1.6*2.2*2.715*2.6*1.4*1.4,8430000000*(1.651435^(MIN($E3091,123)-117)))*1,0))</f>
        <v>92272909</v>
      </c>
      <c r="AC3091" s="11">
        <f>$E3091+21</f>
        <v>129</v>
      </c>
      <c r="AD3091" s="12">
        <f>IF($J3091=0,0,ROUND(MAX($J3091*1.4*1.5*1.6*1.6*2.2*2.715*2.6*1.4*1.4*1.5,12600000000*(1.652953^(MIN($E3091,123)-117)))*1,0))</f>
        <v>136781071</v>
      </c>
      <c r="AE3091" s="13">
        <f>$E3091+24</f>
        <v>132</v>
      </c>
      <c r="AF3091" s="14">
        <f>IF($J3091=0,0,ROUND(MAX($J3091*1.4*1.5*1.6*1.6*2.2*2.715*2.6*1.4*1.4*1.5*1.5,18900000000*(1.65331^(MIN($E3091,123)-117)))*1,0))</f>
        <v>204773225</v>
      </c>
      <c r="AG3091" s="11">
        <f>$E3091+27</f>
        <v>135</v>
      </c>
      <c r="AH3091" s="12">
        <f>IF($J3091=0,0,ROUND(MAX($J3091*1.4*1.5*1.6*1.6*2.2*2.715*2.6*1.4*1.4*1.5*1.5*3.2,60500000000*(1.654288^(MIN($E3091,123)-117)))*1,0))</f>
        <v>652011566</v>
      </c>
    </row>
    <row r="3092" ht="28" customHeight="1" spans="1:34" x14ac:dyDescent="0.25">
      <c r="A3092">
        <v>3102</v>
      </c>
      <c r="B3092" t="s">
        <v>36</v>
      </c>
      <c r="C3092" s="10" t="s">
        <v>1704</v>
      </c>
      <c r="D3092" t="s">
        <v>29</v>
      </c>
      <c r="E3092">
        <v>108</v>
      </c>
      <c r="F3092" t="s">
        <v>37</v>
      </c>
      <c r="G3092" t="s">
        <v>562</v>
      </c>
      <c r="H3092">
        <v>24</v>
      </c>
      <c r="I3092" s="11">
        <f>$E3092+0</f>
        <v>108</v>
      </c>
      <c r="J3092" s="12">
        <v>10200</v>
      </c>
      <c r="K3092" s="13">
        <f>$E3092+1</f>
        <v>109</v>
      </c>
      <c r="L3092" s="14">
        <f>IF($J3092=0,0,ROUND(MAX($J3092*1.4,1620000*(1.497923^(MIN($E3092,123)-117)))*1,0))</f>
        <v>42669</v>
      </c>
      <c r="M3092" s="11">
        <f>$E3092+2</f>
        <v>110</v>
      </c>
      <c r="N3092" s="12">
        <f>IF($J3092=0,0,ROUND(MAX($J3092*1.4*1.5,2190000*(1.580994^(MIN($E3092,123)-117)))*1,0))</f>
        <v>35487</v>
      </c>
      <c r="O3092" s="13">
        <f>$E3092+4</f>
        <v>112</v>
      </c>
      <c r="P3092" s="14">
        <f>IF($J3092=0,0,ROUND(MAX($J3092*1.4*1.5*1.6,3500000*(1.57975^(MIN($E3092,123)-117)))*1,0))</f>
        <v>57118</v>
      </c>
      <c r="Q3092" s="11">
        <f>$E3092+6</f>
        <v>114</v>
      </c>
      <c r="R3092" s="12">
        <f>IF($J3092=0,0,ROUND(MAX($J3092*1.4*1.5*1.6*1.6,13100000*(1.429962^(MIN($E3092,123)-117)))*1,0))</f>
        <v>524024</v>
      </c>
      <c r="S3092" s="13">
        <f>$E3092+8</f>
        <v>116</v>
      </c>
      <c r="T3092" s="14">
        <f>IF($J3092=0,0,ROUND(MAX($J3092*1.4*1.5*1.6*1.6*2.2,42600000*(1.576904^(MIN($E3092,123)-117)))*1,0))</f>
        <v>706582</v>
      </c>
      <c r="U3092" s="11">
        <f>$E3092+11</f>
        <v>119</v>
      </c>
      <c r="V3092" s="12">
        <f>IF($J3092=0,0,ROUND(MAX($J3092*1.4*1.5*1.6*1.6*2.2*2.715,354000000*(1.642074^(MIN($E3092,123)-117)))*1,0))</f>
        <v>4078202</v>
      </c>
      <c r="W3092" s="13">
        <f>$E3092+15</f>
        <v>123</v>
      </c>
      <c r="X3092" s="14">
        <f>IF($J3092=0,0,ROUND(MAX($J3092*1.4*1.5*1.6*1.6*2.2*2.715*2.6,3540000000*(1.579646^(MIN($E3092,123)-117)))*1,0))</f>
        <v>57804988</v>
      </c>
      <c r="Y3092" s="11">
        <f>$E3092+17</f>
        <v>125</v>
      </c>
      <c r="Z3092" s="12">
        <f>IF($J3092=0,0,ROUND(MAX($J3092*1.4*1.5*1.6*1.6*2.2*2.715*2.6*1.4,6020000000*(1.651178^(MIN($E3092,123)-117)))*1,0))</f>
        <v>65985946</v>
      </c>
      <c r="AA3092" s="13">
        <f>$E3092+19</f>
        <v>127</v>
      </c>
      <c r="AB3092" s="14">
        <f>IF($J3092=0,0,ROUND(MAX($J3092*1.4*1.5*1.6*1.6*2.2*2.715*2.6*1.4*1.4,8430000000*(1.651435^(MIN($E3092,123)-117)))*1,0))</f>
        <v>92272909</v>
      </c>
      <c r="AC3092" s="11">
        <f>$E3092+21</f>
        <v>129</v>
      </c>
      <c r="AD3092" s="12">
        <f>IF($J3092=0,0,ROUND(MAX($J3092*1.4*1.5*1.6*1.6*2.2*2.715*2.6*1.4*1.4*1.5,12600000000*(1.652953^(MIN($E3092,123)-117)))*1,0))</f>
        <v>136781071</v>
      </c>
      <c r="AE3092" s="13">
        <f>$E3092+24</f>
        <v>132</v>
      </c>
      <c r="AF3092" s="14">
        <f>IF($J3092=0,0,ROUND(MAX($J3092*1.4*1.5*1.6*1.6*2.2*2.715*2.6*1.4*1.4*1.5*1.5,18900000000*(1.65331^(MIN($E3092,123)-117)))*1,0))</f>
        <v>204773225</v>
      </c>
      <c r="AG3092" s="11">
        <f>$E3092+27</f>
        <v>135</v>
      </c>
      <c r="AH3092" s="12">
        <f>IF($J3092=0,0,ROUND(MAX($J3092*1.4*1.5*1.6*1.6*2.2*2.715*2.6*1.4*1.4*1.5*1.5*3.2,60500000000*(1.654288^(MIN($E3092,123)-117)))*1,0))</f>
        <v>652011566</v>
      </c>
    </row>
    <row r="3093" ht="28" customHeight="1" spans="1:34" x14ac:dyDescent="0.25">
      <c r="A3093">
        <v>3103</v>
      </c>
      <c r="B3093" t="s">
        <v>77</v>
      </c>
      <c r="C3093" s="10" t="s">
        <v>1704</v>
      </c>
      <c r="D3093" t="s">
        <v>29</v>
      </c>
      <c r="E3093">
        <v>107</v>
      </c>
      <c r="F3093" t="s">
        <v>42</v>
      </c>
      <c r="G3093" t="s">
        <v>562</v>
      </c>
      <c r="H3093">
        <v>27</v>
      </c>
      <c r="I3093" s="11">
        <f>$E3093+0</f>
        <v>107</v>
      </c>
      <c r="J3093" s="12">
        <v>30200</v>
      </c>
      <c r="K3093" s="13">
        <f>$E3093+1</f>
        <v>108</v>
      </c>
      <c r="L3093" s="14">
        <f>IF($J3093=0,0,ROUND(MAX($J3093*1.4,1620000*(1.497923^(MIN($E3093,123)-117)))*1,0))</f>
        <v>42280</v>
      </c>
      <c r="M3093" s="11">
        <f>$E3093+2</f>
        <v>109</v>
      </c>
      <c r="N3093" s="12">
        <f>IF($J3093=0,0,ROUND(MAX($J3093*1.4*1.5,2190000*(1.580994^(MIN($E3093,123)-117)))*1,0))</f>
        <v>63420</v>
      </c>
      <c r="O3093" s="13">
        <f>$E3093+4</f>
        <v>111</v>
      </c>
      <c r="P3093" s="14">
        <f>IF($J3093=0,0,ROUND(MAX($J3093*1.4*1.5*1.6,3500000*(1.57975^(MIN($E3093,123)-117)))*1,0))</f>
        <v>101472</v>
      </c>
      <c r="Q3093" s="11">
        <f>$E3093+6</f>
        <v>113</v>
      </c>
      <c r="R3093" s="12">
        <f>IF($J3093=0,0,ROUND(MAX($J3093*1.4*1.5*1.6*1.6,13100000*(1.429962^(MIN($E3093,123)-117)))*1,0))</f>
        <v>366460</v>
      </c>
      <c r="S3093" s="13">
        <f>$E3093+8</f>
        <v>115</v>
      </c>
      <c r="T3093" s="14">
        <f>IF($J3093=0,0,ROUND(MAX($J3093*1.4*1.5*1.6*1.6*2.2,42600000*(1.576904^(MIN($E3093,123)-117)))*1,0))</f>
        <v>448082</v>
      </c>
      <c r="U3093" s="11">
        <f>$E3093+11</f>
        <v>118</v>
      </c>
      <c r="V3093" s="12">
        <f>IF($J3093=0,0,ROUND(MAX($J3093*1.4*1.5*1.6*1.6*2.2*2.715,354000000*(1.642074^(MIN($E3093,123)-117)))*1,0))</f>
        <v>2483568</v>
      </c>
      <c r="W3093" s="13">
        <f>$E3093+15</f>
        <v>122</v>
      </c>
      <c r="X3093" s="14">
        <f>IF($J3093=0,0,ROUND(MAX($J3093*1.4*1.5*1.6*1.6*2.2*2.715*2.6,3540000000*(1.579646^(MIN($E3093,123)-117)))*1,0))</f>
        <v>36593634</v>
      </c>
      <c r="Y3093" s="11">
        <f>$E3093+17</f>
        <v>124</v>
      </c>
      <c r="Z3093" s="12">
        <f>IF($J3093=0,0,ROUND(MAX($J3093*1.4*1.5*1.6*1.6*2.2*2.715*2.6*1.4,6020000000*(1.651178^(MIN($E3093,123)-117)))*1,0))</f>
        <v>39962952</v>
      </c>
      <c r="AA3093" s="13">
        <f>$E3093+19</f>
        <v>126</v>
      </c>
      <c r="AB3093" s="14">
        <f>IF($J3093=0,0,ROUND(MAX($J3093*1.4*1.5*1.6*1.6*2.2*2.715*2.6*1.4*1.4,8430000000*(1.651435^(MIN($E3093,123)-117)))*1,0))</f>
        <v>55874381</v>
      </c>
      <c r="AC3093" s="11">
        <f>$E3093+21</f>
        <v>128</v>
      </c>
      <c r="AD3093" s="12">
        <f>IF($J3093=0,0,ROUND(MAX($J3093*1.4*1.5*1.6*1.6*2.2*2.715*2.6*1.4*1.4*1.5,12600000000*(1.652953^(MIN($E3093,123)-117)))*1,0))</f>
        <v>82749522</v>
      </c>
      <c r="AE3093" s="13">
        <f>$E3093+24</f>
        <v>131</v>
      </c>
      <c r="AF3093" s="14">
        <f>IF($J3093=0,0,ROUND(MAX($J3093*1.4*1.5*1.6*1.6*2.2*2.715*2.6*1.4*1.4*1.5*1.5,18900000000*(1.65331^(MIN($E3093,123)-117)))*1,0))</f>
        <v>123856521</v>
      </c>
      <c r="AG3093" s="11">
        <f>$E3093+27</f>
        <v>134</v>
      </c>
      <c r="AH3093" s="12">
        <f>IF($J3093=0,0,ROUND(MAX($J3093*1.4*1.5*1.6*1.6*2.2*2.715*2.6*1.4*1.4*1.5*1.5*3.2,60500000000*(1.654288^(MIN($E3093,123)-117)))*1,0))</f>
        <v>394134254</v>
      </c>
    </row>
    <row r="3094" ht="28" customHeight="1" spans="1:34" x14ac:dyDescent="0.25">
      <c r="A3094">
        <v>3104</v>
      </c>
      <c r="B3094" t="s">
        <v>101</v>
      </c>
      <c r="C3094" s="10" t="s">
        <v>1704</v>
      </c>
      <c r="D3094" t="s">
        <v>102</v>
      </c>
      <c r="E3094">
        <v>107</v>
      </c>
      <c r="F3094" t="s">
        <v>42</v>
      </c>
      <c r="G3094" t="s">
        <v>562</v>
      </c>
      <c r="H3094">
        <v>25</v>
      </c>
      <c r="I3094" s="11">
        <f>$E3094+0</f>
        <v>107</v>
      </c>
      <c r="J3094" s="12">
        <v>10000</v>
      </c>
      <c r="K3094" s="13">
        <f>$E3094+1</f>
        <v>108</v>
      </c>
      <c r="L3094" s="14">
        <f>IF($J3094=0,0,ROUND(MAX($J3094*1.4,1620000*(1.497923^(MIN($E3094,123)-117)))*1,0))</f>
        <v>28485</v>
      </c>
      <c r="M3094" s="11">
        <f>$E3094+2</f>
        <v>109</v>
      </c>
      <c r="N3094" s="12">
        <f>IF($J3094=0,0,ROUND(MAX($J3094*1.4*1.5,2190000*(1.580994^(MIN($E3094,123)-117)))*1,0))</f>
        <v>22446</v>
      </c>
      <c r="O3094" s="13">
        <f>$E3094+4</f>
        <v>111</v>
      </c>
      <c r="P3094" s="14">
        <f>IF($J3094=0,0,ROUND(MAX($J3094*1.4*1.5*1.6,3500000*(1.57975^(MIN($E3094,123)-117)))*1,0))</f>
        <v>36156</v>
      </c>
      <c r="Q3094" s="11">
        <f>$E3094+6</f>
        <v>113</v>
      </c>
      <c r="R3094" s="12">
        <f>IF($J3094=0,0,ROUND(MAX($J3094*1.4*1.5*1.6*1.6,13100000*(1.429962^(MIN($E3094,123)-117)))*1,0))</f>
        <v>366460</v>
      </c>
      <c r="S3094" s="13">
        <f>$E3094+8</f>
        <v>115</v>
      </c>
      <c r="T3094" s="14">
        <f>IF($J3094=0,0,ROUND(MAX($J3094*1.4*1.5*1.6*1.6*2.2,42600000*(1.576904^(MIN($E3094,123)-117)))*1,0))</f>
        <v>448082</v>
      </c>
      <c r="U3094" s="11">
        <f>$E3094+11</f>
        <v>118</v>
      </c>
      <c r="V3094" s="12">
        <f>IF($J3094=0,0,ROUND(MAX($J3094*1.4*1.5*1.6*1.6*2.2*2.715,354000000*(1.642074^(MIN($E3094,123)-117)))*1,0))</f>
        <v>2483568</v>
      </c>
      <c r="W3094" s="13">
        <f>$E3094+15</f>
        <v>122</v>
      </c>
      <c r="X3094" s="14">
        <f>IF($J3094=0,0,ROUND(MAX($J3094*1.4*1.5*1.6*1.6*2.2*2.715*2.6,3540000000*(1.579646^(MIN($E3094,123)-117)))*1,0))</f>
        <v>36593634</v>
      </c>
      <c r="Y3094" s="11">
        <f>$E3094+17</f>
        <v>124</v>
      </c>
      <c r="Z3094" s="12">
        <f>IF($J3094=0,0,ROUND(MAX($J3094*1.4*1.5*1.6*1.6*2.2*2.715*2.6*1.4,6020000000*(1.651178^(MIN($E3094,123)-117)))*1,0))</f>
        <v>39962952</v>
      </c>
      <c r="AA3094" s="13">
        <f>$E3094+19</f>
        <v>126</v>
      </c>
      <c r="AB3094" s="14">
        <f>IF($J3094=0,0,ROUND(MAX($J3094*1.4*1.5*1.6*1.6*2.2*2.715*2.6*1.4*1.4,8430000000*(1.651435^(MIN($E3094,123)-117)))*1,0))</f>
        <v>55874381</v>
      </c>
      <c r="AC3094" s="11">
        <f>$E3094+21</f>
        <v>128</v>
      </c>
      <c r="AD3094" s="12">
        <f>IF($J3094=0,0,ROUND(MAX($J3094*1.4*1.5*1.6*1.6*2.2*2.715*2.6*1.4*1.4*1.5,12600000000*(1.652953^(MIN($E3094,123)-117)))*1,0))</f>
        <v>82749522</v>
      </c>
      <c r="AE3094" s="13">
        <f>$E3094+24</f>
        <v>131</v>
      </c>
      <c r="AF3094" s="14">
        <f>IF($J3094=0,0,ROUND(MAX($J3094*1.4*1.5*1.6*1.6*2.2*2.715*2.6*1.4*1.4*1.5*1.5,18900000000*(1.65331^(MIN($E3094,123)-117)))*1,0))</f>
        <v>123856521</v>
      </c>
      <c r="AG3094" s="11">
        <f>$E3094+27</f>
        <v>134</v>
      </c>
      <c r="AH3094" s="12">
        <f>IF($J3094=0,0,ROUND(MAX($J3094*1.4*1.5*1.6*1.6*2.2*2.715*2.6*1.4*1.4*1.5*1.5*3.2,60500000000*(1.654288^(MIN($E3094,123)-117)))*1,0))</f>
        <v>394134254</v>
      </c>
    </row>
    <row r="3095" ht="28" customHeight="1" spans="1:34" x14ac:dyDescent="0.25">
      <c r="A3095">
        <v>3105</v>
      </c>
      <c r="B3095" t="s">
        <v>118</v>
      </c>
      <c r="C3095" s="10" t="s">
        <v>1704</v>
      </c>
      <c r="D3095" t="s">
        <v>40</v>
      </c>
      <c r="E3095">
        <v>107</v>
      </c>
      <c r="F3095" t="s">
        <v>56</v>
      </c>
      <c r="G3095" t="s">
        <v>562</v>
      </c>
      <c r="H3095">
        <v>25</v>
      </c>
      <c r="I3095" s="11">
        <f>$E3095+0</f>
        <v>107</v>
      </c>
      <c r="J3095" s="12">
        <v>10000</v>
      </c>
      <c r="K3095" s="13">
        <f>$E3095+1</f>
        <v>108</v>
      </c>
      <c r="L3095" s="14">
        <f>IF($J3095=0,0,ROUND(MAX($J3095*1.4,1620000*(1.497923^(MIN($E3095,123)-117)))*1,0))</f>
        <v>28485</v>
      </c>
      <c r="M3095" s="11">
        <f>$E3095+2</f>
        <v>109</v>
      </c>
      <c r="N3095" s="12">
        <f>IF($J3095=0,0,ROUND(MAX($J3095*1.4*1.5,2190000*(1.580994^(MIN($E3095,123)-117)))*1,0))</f>
        <v>22446</v>
      </c>
      <c r="O3095" s="13">
        <f>$E3095+4</f>
        <v>111</v>
      </c>
      <c r="P3095" s="14">
        <f>IF($J3095=0,0,ROUND(MAX($J3095*1.4*1.5*1.6,3500000*(1.57975^(MIN($E3095,123)-117)))*1,0))</f>
        <v>36156</v>
      </c>
      <c r="Q3095" s="11">
        <f>$E3095+6</f>
        <v>113</v>
      </c>
      <c r="R3095" s="12">
        <f>IF($J3095=0,0,ROUND(MAX($J3095*1.4*1.5*1.6*1.6,13100000*(1.429962^(MIN($E3095,123)-117)))*1,0))</f>
        <v>366460</v>
      </c>
      <c r="S3095" s="13">
        <f>$E3095+8</f>
        <v>115</v>
      </c>
      <c r="T3095" s="14">
        <f>IF($J3095=0,0,ROUND(MAX($J3095*1.4*1.5*1.6*1.6*2.2,42600000*(1.576904^(MIN($E3095,123)-117)))*1,0))</f>
        <v>448082</v>
      </c>
      <c r="U3095" s="11">
        <f>$E3095+11</f>
        <v>118</v>
      </c>
      <c r="V3095" s="12">
        <f>IF($J3095=0,0,ROUND(MAX($J3095*1.4*1.5*1.6*1.6*2.2*2.715,354000000*(1.642074^(MIN($E3095,123)-117)))*1,0))</f>
        <v>2483568</v>
      </c>
      <c r="W3095" s="13">
        <f>$E3095+15</f>
        <v>122</v>
      </c>
      <c r="X3095" s="14">
        <f>IF($J3095=0,0,ROUND(MAX($J3095*1.4*1.5*1.6*1.6*2.2*2.715*2.6,3540000000*(1.579646^(MIN($E3095,123)-117)))*1,0))</f>
        <v>36593634</v>
      </c>
      <c r="Y3095" s="11">
        <f>$E3095+17</f>
        <v>124</v>
      </c>
      <c r="Z3095" s="12">
        <f>IF($J3095=0,0,ROUND(MAX($J3095*1.4*1.5*1.6*1.6*2.2*2.715*2.6*1.4,6020000000*(1.651178^(MIN($E3095,123)-117)))*1,0))</f>
        <v>39962952</v>
      </c>
      <c r="AA3095" s="13">
        <f>$E3095+19</f>
        <v>126</v>
      </c>
      <c r="AB3095" s="14">
        <f>IF($J3095=0,0,ROUND(MAX($J3095*1.4*1.5*1.6*1.6*2.2*2.715*2.6*1.4*1.4,8430000000*(1.651435^(MIN($E3095,123)-117)))*1,0))</f>
        <v>55874381</v>
      </c>
      <c r="AC3095" s="11">
        <f>$E3095+21</f>
        <v>128</v>
      </c>
      <c r="AD3095" s="12">
        <f>IF($J3095=0,0,ROUND(MAX($J3095*1.4*1.5*1.6*1.6*2.2*2.715*2.6*1.4*1.4*1.5,12600000000*(1.652953^(MIN($E3095,123)-117)))*1,0))</f>
        <v>82749522</v>
      </c>
      <c r="AE3095" s="13">
        <f>$E3095+24</f>
        <v>131</v>
      </c>
      <c r="AF3095" s="14">
        <f>IF($J3095=0,0,ROUND(MAX($J3095*1.4*1.5*1.6*1.6*2.2*2.715*2.6*1.4*1.4*1.5*1.5,18900000000*(1.65331^(MIN($E3095,123)-117)))*1,0))</f>
        <v>123856521</v>
      </c>
      <c r="AG3095" s="11">
        <f>$E3095+27</f>
        <v>134</v>
      </c>
      <c r="AH3095" s="12">
        <f>IF($J3095=0,0,ROUND(MAX($J3095*1.4*1.5*1.6*1.6*2.2*2.715*2.6*1.4*1.4*1.5*1.5*3.2,60500000000*(1.654288^(MIN($E3095,123)-117)))*1,0))</f>
        <v>394134254</v>
      </c>
    </row>
    <row r="3096" ht="28" customHeight="1" spans="1:34" x14ac:dyDescent="0.25">
      <c r="A3096">
        <v>3106</v>
      </c>
      <c r="B3096" t="s">
        <v>163</v>
      </c>
      <c r="C3096" s="10" t="s">
        <v>1704</v>
      </c>
      <c r="D3096" t="s">
        <v>40</v>
      </c>
      <c r="E3096">
        <v>107</v>
      </c>
      <c r="F3096" t="s">
        <v>71</v>
      </c>
      <c r="G3096" t="s">
        <v>562</v>
      </c>
      <c r="H3096">
        <v>25</v>
      </c>
      <c r="I3096" s="11">
        <f>$E3096+0</f>
        <v>107</v>
      </c>
      <c r="J3096" s="12">
        <v>10000</v>
      </c>
      <c r="K3096" s="13">
        <f>$E3096+1</f>
        <v>108</v>
      </c>
      <c r="L3096" s="14">
        <f>IF($J3096=0,0,ROUND(MAX($J3096*1.4,1620000*(1.497923^(MIN($E3096,123)-117)))*1,0))</f>
        <v>28485</v>
      </c>
      <c r="M3096" s="11">
        <f>$E3096+2</f>
        <v>109</v>
      </c>
      <c r="N3096" s="12">
        <f>IF($J3096=0,0,ROUND(MAX($J3096*1.4*1.5,2190000*(1.580994^(MIN($E3096,123)-117)))*1,0))</f>
        <v>22446</v>
      </c>
      <c r="O3096" s="13">
        <f>$E3096+4</f>
        <v>111</v>
      </c>
      <c r="P3096" s="14">
        <f>IF($J3096=0,0,ROUND(MAX($J3096*1.4*1.5*1.6,3500000*(1.57975^(MIN($E3096,123)-117)))*1,0))</f>
        <v>36156</v>
      </c>
      <c r="Q3096" s="11">
        <f>$E3096+6</f>
        <v>113</v>
      </c>
      <c r="R3096" s="12">
        <f>IF($J3096=0,0,ROUND(MAX($J3096*1.4*1.5*1.6*1.6,13100000*(1.429962^(MIN($E3096,123)-117)))*1,0))</f>
        <v>366460</v>
      </c>
      <c r="S3096" s="13">
        <f>$E3096+8</f>
        <v>115</v>
      </c>
      <c r="T3096" s="14">
        <f>IF($J3096=0,0,ROUND(MAX($J3096*1.4*1.5*1.6*1.6*2.2,42600000*(1.576904^(MIN($E3096,123)-117)))*1,0))</f>
        <v>448082</v>
      </c>
      <c r="U3096" s="11">
        <f>$E3096+11</f>
        <v>118</v>
      </c>
      <c r="V3096" s="12">
        <f>IF($J3096=0,0,ROUND(MAX($J3096*1.4*1.5*1.6*1.6*2.2*2.715,354000000*(1.642074^(MIN($E3096,123)-117)))*1,0))</f>
        <v>2483568</v>
      </c>
      <c r="W3096" s="13">
        <f>$E3096+15</f>
        <v>122</v>
      </c>
      <c r="X3096" s="14">
        <f>IF($J3096=0,0,ROUND(MAX($J3096*1.4*1.5*1.6*1.6*2.2*2.715*2.6,3540000000*(1.579646^(MIN($E3096,123)-117)))*1,0))</f>
        <v>36593634</v>
      </c>
      <c r="Y3096" s="11">
        <f>$E3096+17</f>
        <v>124</v>
      </c>
      <c r="Z3096" s="12">
        <f>IF($J3096=0,0,ROUND(MAX($J3096*1.4*1.5*1.6*1.6*2.2*2.715*2.6*1.4,6020000000*(1.651178^(MIN($E3096,123)-117)))*1,0))</f>
        <v>39962952</v>
      </c>
      <c r="AA3096" s="13">
        <f>$E3096+19</f>
        <v>126</v>
      </c>
      <c r="AB3096" s="14">
        <f>IF($J3096=0,0,ROUND(MAX($J3096*1.4*1.5*1.6*1.6*2.2*2.715*2.6*1.4*1.4,8430000000*(1.651435^(MIN($E3096,123)-117)))*1,0))</f>
        <v>55874381</v>
      </c>
      <c r="AC3096" s="11">
        <f>$E3096+21</f>
        <v>128</v>
      </c>
      <c r="AD3096" s="12">
        <f>IF($J3096=0,0,ROUND(MAX($J3096*1.4*1.5*1.6*1.6*2.2*2.715*2.6*1.4*1.4*1.5,12600000000*(1.652953^(MIN($E3096,123)-117)))*1,0))</f>
        <v>82749522</v>
      </c>
      <c r="AE3096" s="13">
        <f>$E3096+24</f>
        <v>131</v>
      </c>
      <c r="AF3096" s="14">
        <f>IF($J3096=0,0,ROUND(MAX($J3096*1.4*1.5*1.6*1.6*2.2*2.715*2.6*1.4*1.4*1.5*1.5,18900000000*(1.65331^(MIN($E3096,123)-117)))*1,0))</f>
        <v>123856521</v>
      </c>
      <c r="AG3096" s="11">
        <f>$E3096+27</f>
        <v>134</v>
      </c>
      <c r="AH3096" s="12">
        <f>IF($J3096=0,0,ROUND(MAX($J3096*1.4*1.5*1.6*1.6*2.2*2.715*2.6*1.4*1.4*1.5*1.5*3.2,60500000000*(1.654288^(MIN($E3096,123)-117)))*1,0))</f>
        <v>394134254</v>
      </c>
    </row>
    <row r="3097" ht="28" customHeight="1" spans="1:34" x14ac:dyDescent="0.25">
      <c r="A3097">
        <v>3107</v>
      </c>
      <c r="B3097" t="s">
        <v>199</v>
      </c>
      <c r="C3097" s="10" t="s">
        <v>1704</v>
      </c>
      <c r="D3097" t="s">
        <v>45</v>
      </c>
      <c r="E3097">
        <v>107</v>
      </c>
      <c r="F3097" t="s">
        <v>26</v>
      </c>
      <c r="G3097" t="s">
        <v>562</v>
      </c>
      <c r="H3097">
        <v>25</v>
      </c>
      <c r="I3097" s="11">
        <f>$E3097+0</f>
        <v>107</v>
      </c>
      <c r="J3097" s="12">
        <v>43100</v>
      </c>
      <c r="K3097" s="13">
        <f>$E3097+1</f>
        <v>108</v>
      </c>
      <c r="L3097" s="14">
        <f>IF($J3097=0,0,ROUND(MAX($J3097*1.4,1620000*(1.497923^(MIN($E3097,123)-117)))*1,0))</f>
        <v>60340</v>
      </c>
      <c r="M3097" s="11">
        <f>$E3097+2</f>
        <v>109</v>
      </c>
      <c r="N3097" s="12">
        <f>IF($J3097=0,0,ROUND(MAX($J3097*1.4*1.5,2190000*(1.580994^(MIN($E3097,123)-117)))*1,0))</f>
        <v>90510</v>
      </c>
      <c r="O3097" s="13">
        <f>$E3097+4</f>
        <v>111</v>
      </c>
      <c r="P3097" s="14">
        <f>IF($J3097=0,0,ROUND(MAX($J3097*1.4*1.5*1.6,3500000*(1.57975^(MIN($E3097,123)-117)))*1,0))</f>
        <v>144816</v>
      </c>
      <c r="Q3097" s="11">
        <f>$E3097+6</f>
        <v>113</v>
      </c>
      <c r="R3097" s="12">
        <f>IF($J3097=0,0,ROUND(MAX($J3097*1.4*1.5*1.6*1.6,13100000*(1.429962^(MIN($E3097,123)-117)))*1,0))</f>
        <v>366460</v>
      </c>
      <c r="S3097" s="13">
        <f>$E3097+8</f>
        <v>115</v>
      </c>
      <c r="T3097" s="14">
        <f>IF($J3097=0,0,ROUND(MAX($J3097*1.4*1.5*1.6*1.6*2.2,42600000*(1.576904^(MIN($E3097,123)-117)))*1,0))</f>
        <v>509752</v>
      </c>
      <c r="U3097" s="11">
        <f>$E3097+11</f>
        <v>118</v>
      </c>
      <c r="V3097" s="12">
        <f>IF($J3097=0,0,ROUND(MAX($J3097*1.4*1.5*1.6*1.6*2.2*2.715,354000000*(1.642074^(MIN($E3097,123)-117)))*1,0))</f>
        <v>2483568</v>
      </c>
      <c r="W3097" s="13">
        <f>$E3097+15</f>
        <v>122</v>
      </c>
      <c r="X3097" s="14">
        <f>IF($J3097=0,0,ROUND(MAX($J3097*1.4*1.5*1.6*1.6*2.2*2.715*2.6,3540000000*(1.579646^(MIN($E3097,123)-117)))*1,0))</f>
        <v>36593634</v>
      </c>
      <c r="Y3097" s="11">
        <f>$E3097+17</f>
        <v>124</v>
      </c>
      <c r="Z3097" s="12">
        <f>IF($J3097=0,0,ROUND(MAX($J3097*1.4*1.5*1.6*1.6*2.2*2.715*2.6*1.4,6020000000*(1.651178^(MIN($E3097,123)-117)))*1,0))</f>
        <v>39962952</v>
      </c>
      <c r="AA3097" s="13">
        <f>$E3097+19</f>
        <v>126</v>
      </c>
      <c r="AB3097" s="14">
        <f>IF($J3097=0,0,ROUND(MAX($J3097*1.4*1.5*1.6*1.6*2.2*2.715*2.6*1.4*1.4,8430000000*(1.651435^(MIN($E3097,123)-117)))*1,0))</f>
        <v>55874381</v>
      </c>
      <c r="AC3097" s="11">
        <f>$E3097+21</f>
        <v>128</v>
      </c>
      <c r="AD3097" s="12">
        <f>IF($J3097=0,0,ROUND(MAX($J3097*1.4*1.5*1.6*1.6*2.2*2.715*2.6*1.4*1.4*1.5,12600000000*(1.652953^(MIN($E3097,123)-117)))*1,0))</f>
        <v>82749522</v>
      </c>
      <c r="AE3097" s="13">
        <f>$E3097+24</f>
        <v>131</v>
      </c>
      <c r="AF3097" s="14">
        <f>IF($J3097=0,0,ROUND(MAX($J3097*1.4*1.5*1.6*1.6*2.2*2.715*2.6*1.4*1.4*1.5*1.5,18900000000*(1.65331^(MIN($E3097,123)-117)))*1,0))</f>
        <v>123856521</v>
      </c>
      <c r="AG3097" s="11">
        <f>$E3097+27</f>
        <v>134</v>
      </c>
      <c r="AH3097" s="12">
        <f>IF($J3097=0,0,ROUND(MAX($J3097*1.4*1.5*1.6*1.6*2.2*2.715*2.6*1.4*1.4*1.5*1.5*3.2,60500000000*(1.654288^(MIN($E3097,123)-117)))*1,0))</f>
        <v>394134254</v>
      </c>
    </row>
    <row r="3098" ht="28" customHeight="1" spans="1:34" x14ac:dyDescent="0.25">
      <c r="A3098">
        <v>3108</v>
      </c>
      <c r="B3098" t="s">
        <v>149</v>
      </c>
      <c r="C3098" s="10" t="s">
        <v>1704</v>
      </c>
      <c r="D3098" t="s">
        <v>33</v>
      </c>
      <c r="E3098">
        <v>107</v>
      </c>
      <c r="F3098" t="s">
        <v>56</v>
      </c>
      <c r="G3098" t="s">
        <v>562</v>
      </c>
      <c r="H3098">
        <v>25</v>
      </c>
      <c r="I3098" s="11">
        <f>$E3098+0</f>
        <v>107</v>
      </c>
      <c r="J3098" s="12">
        <v>10100</v>
      </c>
      <c r="K3098" s="13">
        <f>$E3098+1</f>
        <v>108</v>
      </c>
      <c r="L3098" s="14">
        <f>IF($J3098=0,0,ROUND(MAX($J3098*1.4,1620000*(1.497923^(MIN($E3098,123)-117)))*1,0))</f>
        <v>28485</v>
      </c>
      <c r="M3098" s="11">
        <f>$E3098+2</f>
        <v>109</v>
      </c>
      <c r="N3098" s="12">
        <f>IF($J3098=0,0,ROUND(MAX($J3098*1.4*1.5,2190000*(1.580994^(MIN($E3098,123)-117)))*1,0))</f>
        <v>22446</v>
      </c>
      <c r="O3098" s="13">
        <f>$E3098+4</f>
        <v>111</v>
      </c>
      <c r="P3098" s="14">
        <f>IF($J3098=0,0,ROUND(MAX($J3098*1.4*1.5*1.6,3500000*(1.57975^(MIN($E3098,123)-117)))*1,0))</f>
        <v>36156</v>
      </c>
      <c r="Q3098" s="11">
        <f>$E3098+6</f>
        <v>113</v>
      </c>
      <c r="R3098" s="12">
        <f>IF($J3098=0,0,ROUND(MAX($J3098*1.4*1.5*1.6*1.6,13100000*(1.429962^(MIN($E3098,123)-117)))*1,0))</f>
        <v>366460</v>
      </c>
      <c r="S3098" s="13">
        <f>$E3098+8</f>
        <v>115</v>
      </c>
      <c r="T3098" s="14">
        <f>IF($J3098=0,0,ROUND(MAX($J3098*1.4*1.5*1.6*1.6*2.2,42600000*(1.576904^(MIN($E3098,123)-117)))*1,0))</f>
        <v>448082</v>
      </c>
      <c r="U3098" s="11">
        <f>$E3098+11</f>
        <v>118</v>
      </c>
      <c r="V3098" s="12">
        <f>IF($J3098=0,0,ROUND(MAX($J3098*1.4*1.5*1.6*1.6*2.2*2.715,354000000*(1.642074^(MIN($E3098,123)-117)))*1,0))</f>
        <v>2483568</v>
      </c>
      <c r="W3098" s="13">
        <f>$E3098+15</f>
        <v>122</v>
      </c>
      <c r="X3098" s="14">
        <f>IF($J3098=0,0,ROUND(MAX($J3098*1.4*1.5*1.6*1.6*2.2*2.715*2.6,3540000000*(1.579646^(MIN($E3098,123)-117)))*1,0))</f>
        <v>36593634</v>
      </c>
      <c r="Y3098" s="11">
        <f>$E3098+17</f>
        <v>124</v>
      </c>
      <c r="Z3098" s="12">
        <f>IF($J3098=0,0,ROUND(MAX($J3098*1.4*1.5*1.6*1.6*2.2*2.715*2.6*1.4,6020000000*(1.651178^(MIN($E3098,123)-117)))*1,0))</f>
        <v>39962952</v>
      </c>
      <c r="AA3098" s="13">
        <f>$E3098+19</f>
        <v>126</v>
      </c>
      <c r="AB3098" s="14">
        <f>IF($J3098=0,0,ROUND(MAX($J3098*1.4*1.5*1.6*1.6*2.2*2.715*2.6*1.4*1.4,8430000000*(1.651435^(MIN($E3098,123)-117)))*1,0))</f>
        <v>55874381</v>
      </c>
      <c r="AC3098" s="11">
        <f>$E3098+21</f>
        <v>128</v>
      </c>
      <c r="AD3098" s="12">
        <f>IF($J3098=0,0,ROUND(MAX($J3098*1.4*1.5*1.6*1.6*2.2*2.715*2.6*1.4*1.4*1.5,12600000000*(1.652953^(MIN($E3098,123)-117)))*1,0))</f>
        <v>82749522</v>
      </c>
      <c r="AE3098" s="13">
        <f>$E3098+24</f>
        <v>131</v>
      </c>
      <c r="AF3098" s="14">
        <f>IF($J3098=0,0,ROUND(MAX($J3098*1.4*1.5*1.6*1.6*2.2*2.715*2.6*1.4*1.4*1.5*1.5,18900000000*(1.65331^(MIN($E3098,123)-117)))*1,0))</f>
        <v>123856521</v>
      </c>
      <c r="AG3098" s="11">
        <f>$E3098+27</f>
        <v>134</v>
      </c>
      <c r="AH3098" s="12">
        <f>IF($J3098=0,0,ROUND(MAX($J3098*1.4*1.5*1.6*1.6*2.2*2.715*2.6*1.4*1.4*1.5*1.5*3.2,60500000000*(1.654288^(MIN($E3098,123)-117)))*1,0))</f>
        <v>394134254</v>
      </c>
    </row>
    <row r="3099" ht="28" customHeight="1" spans="1:34" x14ac:dyDescent="0.25">
      <c r="A3099">
        <v>3109</v>
      </c>
      <c r="B3099" t="s">
        <v>160</v>
      </c>
      <c r="C3099" s="10" t="s">
        <v>1704</v>
      </c>
      <c r="D3099" t="s">
        <v>40</v>
      </c>
      <c r="E3099">
        <v>107</v>
      </c>
      <c r="F3099" t="s">
        <v>54</v>
      </c>
      <c r="G3099" t="s">
        <v>562</v>
      </c>
      <c r="H3099">
        <v>25</v>
      </c>
      <c r="I3099" s="11">
        <f>$E3099+0</f>
        <v>107</v>
      </c>
      <c r="J3099" s="12">
        <v>43200</v>
      </c>
      <c r="K3099" s="13">
        <f>$E3099+1</f>
        <v>108</v>
      </c>
      <c r="L3099" s="14">
        <f>IF($J3099=0,0,ROUND(MAX($J3099*1.4,1620000*(1.497923^(MIN($E3099,123)-117)))*1,0))</f>
        <v>60480</v>
      </c>
      <c r="M3099" s="11">
        <f>$E3099+2</f>
        <v>109</v>
      </c>
      <c r="N3099" s="12">
        <f>IF($J3099=0,0,ROUND(MAX($J3099*1.4*1.5,2190000*(1.580994^(MIN($E3099,123)-117)))*1,0))</f>
        <v>90720</v>
      </c>
      <c r="O3099" s="13">
        <f>$E3099+4</f>
        <v>111</v>
      </c>
      <c r="P3099" s="14">
        <f>IF($J3099=0,0,ROUND(MAX($J3099*1.4*1.5*1.6,3500000*(1.57975^(MIN($E3099,123)-117)))*1,0))</f>
        <v>145152</v>
      </c>
      <c r="Q3099" s="11">
        <f>$E3099+6</f>
        <v>113</v>
      </c>
      <c r="R3099" s="12">
        <f>IF($J3099=0,0,ROUND(MAX($J3099*1.4*1.5*1.6*1.6,13100000*(1.429962^(MIN($E3099,123)-117)))*1,0))</f>
        <v>366460</v>
      </c>
      <c r="S3099" s="13">
        <f>$E3099+8</f>
        <v>115</v>
      </c>
      <c r="T3099" s="14">
        <f>IF($J3099=0,0,ROUND(MAX($J3099*1.4*1.5*1.6*1.6*2.2,42600000*(1.576904^(MIN($E3099,123)-117)))*1,0))</f>
        <v>510935</v>
      </c>
      <c r="U3099" s="11">
        <f>$E3099+11</f>
        <v>118</v>
      </c>
      <c r="V3099" s="12">
        <f>IF($J3099=0,0,ROUND(MAX($J3099*1.4*1.5*1.6*1.6*2.2*2.715,354000000*(1.642074^(MIN($E3099,123)-117)))*1,0))</f>
        <v>2483568</v>
      </c>
      <c r="W3099" s="13">
        <f>$E3099+15</f>
        <v>122</v>
      </c>
      <c r="X3099" s="14">
        <f>IF($J3099=0,0,ROUND(MAX($J3099*1.4*1.5*1.6*1.6*2.2*2.715*2.6,3540000000*(1.579646^(MIN($E3099,123)-117)))*1,0))</f>
        <v>36593634</v>
      </c>
      <c r="Y3099" s="11">
        <f>$E3099+17</f>
        <v>124</v>
      </c>
      <c r="Z3099" s="12">
        <f>IF($J3099=0,0,ROUND(MAX($J3099*1.4*1.5*1.6*1.6*2.2*2.715*2.6*1.4,6020000000*(1.651178^(MIN($E3099,123)-117)))*1,0))</f>
        <v>39962952</v>
      </c>
      <c r="AA3099" s="13">
        <f>$E3099+19</f>
        <v>126</v>
      </c>
      <c r="AB3099" s="14">
        <f>IF($J3099=0,0,ROUND(MAX($J3099*1.4*1.5*1.6*1.6*2.2*2.715*2.6*1.4*1.4,8430000000*(1.651435^(MIN($E3099,123)-117)))*1,0))</f>
        <v>55874381</v>
      </c>
      <c r="AC3099" s="11">
        <f>$E3099+21</f>
        <v>128</v>
      </c>
      <c r="AD3099" s="12">
        <f>IF($J3099=0,0,ROUND(MAX($J3099*1.4*1.5*1.6*1.6*2.2*2.715*2.6*1.4*1.4*1.5,12600000000*(1.652953^(MIN($E3099,123)-117)))*1,0))</f>
        <v>82749522</v>
      </c>
      <c r="AE3099" s="13">
        <f>$E3099+24</f>
        <v>131</v>
      </c>
      <c r="AF3099" s="14">
        <f>IF($J3099=0,0,ROUND(MAX($J3099*1.4*1.5*1.6*1.6*2.2*2.715*2.6*1.4*1.4*1.5*1.5,18900000000*(1.65331^(MIN($E3099,123)-117)))*1,0))</f>
        <v>123856521</v>
      </c>
      <c r="AG3099" s="11">
        <f>$E3099+27</f>
        <v>134</v>
      </c>
      <c r="AH3099" s="12">
        <f>IF($J3099=0,0,ROUND(MAX($J3099*1.4*1.5*1.6*1.6*2.2*2.715*2.6*1.4*1.4*1.5*1.5*3.2,60500000000*(1.654288^(MIN($E3099,123)-117)))*1,0))</f>
        <v>394134254</v>
      </c>
    </row>
    <row r="3100" ht="28" customHeight="1" spans="1:34" x14ac:dyDescent="0.25">
      <c r="A3100">
        <v>3110</v>
      </c>
      <c r="B3100" t="s">
        <v>195</v>
      </c>
      <c r="C3100" s="10" t="s">
        <v>1704</v>
      </c>
      <c r="D3100" t="s">
        <v>40</v>
      </c>
      <c r="E3100">
        <v>107</v>
      </c>
      <c r="F3100" t="s">
        <v>42</v>
      </c>
      <c r="G3100" t="s">
        <v>562</v>
      </c>
      <c r="H3100">
        <v>25</v>
      </c>
      <c r="I3100" s="11">
        <f>$E3100+0</f>
        <v>107</v>
      </c>
      <c r="J3100" s="12">
        <v>22200</v>
      </c>
      <c r="K3100" s="13">
        <f>$E3100+1</f>
        <v>108</v>
      </c>
      <c r="L3100" s="14">
        <f>IF($J3100=0,0,ROUND(MAX($J3100*1.4,1620000*(1.497923^(MIN($E3100,123)-117)))*1,0))</f>
        <v>31080</v>
      </c>
      <c r="M3100" s="11">
        <f>$E3100+2</f>
        <v>109</v>
      </c>
      <c r="N3100" s="12">
        <f>IF($J3100=0,0,ROUND(MAX($J3100*1.4*1.5,2190000*(1.580994^(MIN($E3100,123)-117)))*1,0))</f>
        <v>46620</v>
      </c>
      <c r="O3100" s="13">
        <f>$E3100+4</f>
        <v>111</v>
      </c>
      <c r="P3100" s="14">
        <f>IF($J3100=0,0,ROUND(MAX($J3100*1.4*1.5*1.6,3500000*(1.57975^(MIN($E3100,123)-117)))*1,0))</f>
        <v>74592</v>
      </c>
      <c r="Q3100" s="11">
        <f>$E3100+6</f>
        <v>113</v>
      </c>
      <c r="R3100" s="12">
        <f>IF($J3100=0,0,ROUND(MAX($J3100*1.4*1.5*1.6*1.6,13100000*(1.429962^(MIN($E3100,123)-117)))*1,0))</f>
        <v>366460</v>
      </c>
      <c r="S3100" s="13">
        <f>$E3100+8</f>
        <v>115</v>
      </c>
      <c r="T3100" s="14">
        <f>IF($J3100=0,0,ROUND(MAX($J3100*1.4*1.5*1.6*1.6*2.2,42600000*(1.576904^(MIN($E3100,123)-117)))*1,0))</f>
        <v>448082</v>
      </c>
      <c r="U3100" s="11">
        <f>$E3100+11</f>
        <v>118</v>
      </c>
      <c r="V3100" s="12">
        <f>IF($J3100=0,0,ROUND(MAX($J3100*1.4*1.5*1.6*1.6*2.2*2.715,354000000*(1.642074^(MIN($E3100,123)-117)))*1,0))</f>
        <v>2483568</v>
      </c>
      <c r="W3100" s="13">
        <f>$E3100+15</f>
        <v>122</v>
      </c>
      <c r="X3100" s="14">
        <f>IF($J3100=0,0,ROUND(MAX($J3100*1.4*1.5*1.6*1.6*2.2*2.715*2.6,3540000000*(1.579646^(MIN($E3100,123)-117)))*1,0))</f>
        <v>36593634</v>
      </c>
      <c r="Y3100" s="11">
        <f>$E3100+17</f>
        <v>124</v>
      </c>
      <c r="Z3100" s="12">
        <f>IF($J3100=0,0,ROUND(MAX($J3100*1.4*1.5*1.6*1.6*2.2*2.715*2.6*1.4,6020000000*(1.651178^(MIN($E3100,123)-117)))*1,0))</f>
        <v>39962952</v>
      </c>
      <c r="AA3100" s="13">
        <f>$E3100+19</f>
        <v>126</v>
      </c>
      <c r="AB3100" s="14">
        <f>IF($J3100=0,0,ROUND(MAX($J3100*1.4*1.5*1.6*1.6*2.2*2.715*2.6*1.4*1.4,8430000000*(1.651435^(MIN($E3100,123)-117)))*1,0))</f>
        <v>55874381</v>
      </c>
      <c r="AC3100" s="11">
        <f>$E3100+21</f>
        <v>128</v>
      </c>
      <c r="AD3100" s="12">
        <f>IF($J3100=0,0,ROUND(MAX($J3100*1.4*1.5*1.6*1.6*2.2*2.715*2.6*1.4*1.4*1.5,12600000000*(1.652953^(MIN($E3100,123)-117)))*1,0))</f>
        <v>82749522</v>
      </c>
      <c r="AE3100" s="13">
        <f>$E3100+24</f>
        <v>131</v>
      </c>
      <c r="AF3100" s="14">
        <f>IF($J3100=0,0,ROUND(MAX($J3100*1.4*1.5*1.6*1.6*2.2*2.715*2.6*1.4*1.4*1.5*1.5,18900000000*(1.65331^(MIN($E3100,123)-117)))*1,0))</f>
        <v>123856521</v>
      </c>
      <c r="AG3100" s="11">
        <f>$E3100+27</f>
        <v>134</v>
      </c>
      <c r="AH3100" s="12">
        <f>IF($J3100=0,0,ROUND(MAX($J3100*1.4*1.5*1.6*1.6*2.2*2.715*2.6*1.4*1.4*1.5*1.5*3.2,60500000000*(1.654288^(MIN($E3100,123)-117)))*1,0))</f>
        <v>394134254</v>
      </c>
    </row>
    <row r="3101" ht="28" customHeight="1" spans="1:34" x14ac:dyDescent="0.25">
      <c r="A3101">
        <v>3111</v>
      </c>
      <c r="B3101" t="s">
        <v>138</v>
      </c>
      <c r="C3101" s="10" t="s">
        <v>1704</v>
      </c>
      <c r="D3101" t="s">
        <v>25</v>
      </c>
      <c r="E3101">
        <v>107</v>
      </c>
      <c r="F3101" t="s">
        <v>34</v>
      </c>
      <c r="G3101" t="s">
        <v>562</v>
      </c>
      <c r="H3101">
        <v>25</v>
      </c>
      <c r="I3101" s="11">
        <f>$E3101+0</f>
        <v>107</v>
      </c>
      <c r="J3101" s="12">
        <v>274000</v>
      </c>
      <c r="K3101" s="13">
        <f>$E3101+1</f>
        <v>108</v>
      </c>
      <c r="L3101" s="14">
        <f>IF($J3101=0,0,ROUND(MAX($J3101*1.4,1620000*(1.497923^(MIN($E3101,123)-117)))*1,0))</f>
        <v>383600</v>
      </c>
      <c r="M3101" s="11">
        <f>$E3101+2</f>
        <v>109</v>
      </c>
      <c r="N3101" s="12">
        <f>IF($J3101=0,0,ROUND(MAX($J3101*1.4*1.5,2190000*(1.580994^(MIN($E3101,123)-117)))*1,0))</f>
        <v>575400</v>
      </c>
      <c r="O3101" s="13">
        <f>$E3101+4</f>
        <v>111</v>
      </c>
      <c r="P3101" s="14">
        <f>IF($J3101=0,0,ROUND(MAX($J3101*1.4*1.5*1.6,3500000*(1.57975^(MIN($E3101,123)-117)))*1,0))</f>
        <v>920640</v>
      </c>
      <c r="Q3101" s="11">
        <f>$E3101+6</f>
        <v>113</v>
      </c>
      <c r="R3101" s="12">
        <f>IF($J3101=0,0,ROUND(MAX($J3101*1.4*1.5*1.6*1.6,13100000*(1.429962^(MIN($E3101,123)-117)))*1,0))</f>
        <v>1473024</v>
      </c>
      <c r="S3101" s="13">
        <f>$E3101+8</f>
        <v>115</v>
      </c>
      <c r="T3101" s="14">
        <f>IF($J3101=0,0,ROUND(MAX($J3101*1.4*1.5*1.6*1.6*2.2,42600000*(1.576904^(MIN($E3101,123)-117)))*1,0))</f>
        <v>3240653</v>
      </c>
      <c r="U3101" s="11">
        <f>$E3101+11</f>
        <v>118</v>
      </c>
      <c r="V3101" s="12">
        <f>IF($J3101=0,0,ROUND(MAX($J3101*1.4*1.5*1.6*1.6*2.2*2.715,354000000*(1.642074^(MIN($E3101,123)-117)))*1,0))</f>
        <v>8798372</v>
      </c>
      <c r="W3101" s="13">
        <f>$E3101+15</f>
        <v>122</v>
      </c>
      <c r="X3101" s="14">
        <f>IF($J3101=0,0,ROUND(MAX($J3101*1.4*1.5*1.6*1.6*2.2*2.715*2.6,3540000000*(1.579646^(MIN($E3101,123)-117)))*1,0))</f>
        <v>36593634</v>
      </c>
      <c r="Y3101" s="11">
        <f>$E3101+17</f>
        <v>124</v>
      </c>
      <c r="Z3101" s="12">
        <f>IF($J3101=0,0,ROUND(MAX($J3101*1.4*1.5*1.6*1.6*2.2*2.715*2.6*1.4,6020000000*(1.651178^(MIN($E3101,123)-117)))*1,0))</f>
        <v>39962952</v>
      </c>
      <c r="AA3101" s="13">
        <f>$E3101+19</f>
        <v>126</v>
      </c>
      <c r="AB3101" s="14">
        <f>IF($J3101=0,0,ROUND(MAX($J3101*1.4*1.5*1.6*1.6*2.2*2.715*2.6*1.4*1.4,8430000000*(1.651435^(MIN($E3101,123)-117)))*1,0))</f>
        <v>55874381</v>
      </c>
      <c r="AC3101" s="11">
        <f>$E3101+21</f>
        <v>128</v>
      </c>
      <c r="AD3101" s="12">
        <f>IF($J3101=0,0,ROUND(MAX($J3101*1.4*1.5*1.6*1.6*2.2*2.715*2.6*1.4*1.4*1.5,12600000000*(1.652953^(MIN($E3101,123)-117)))*1,0))</f>
        <v>82749522</v>
      </c>
      <c r="AE3101" s="13">
        <f>$E3101+24</f>
        <v>131</v>
      </c>
      <c r="AF3101" s="14">
        <f>IF($J3101=0,0,ROUND(MAX($J3101*1.4*1.5*1.6*1.6*2.2*2.715*2.6*1.4*1.4*1.5*1.5,18900000000*(1.65331^(MIN($E3101,123)-117)))*1,0))</f>
        <v>123856521</v>
      </c>
      <c r="AG3101" s="11">
        <f>$E3101+27</f>
        <v>134</v>
      </c>
      <c r="AH3101" s="12">
        <f>IF($J3101=0,0,ROUND(MAX($J3101*1.4*1.5*1.6*1.6*2.2*2.715*2.6*1.4*1.4*1.5*1.5*3.2,60500000000*(1.654288^(MIN($E3101,123)-117)))*1,0))</f>
        <v>394134254</v>
      </c>
    </row>
    <row r="3102" ht="28" customHeight="1" spans="1:34" x14ac:dyDescent="0.25">
      <c r="A3102">
        <v>3112</v>
      </c>
      <c r="B3102" t="s">
        <v>148</v>
      </c>
      <c r="C3102" s="10" t="s">
        <v>1704</v>
      </c>
      <c r="D3102" t="s">
        <v>45</v>
      </c>
      <c r="E3102">
        <v>107</v>
      </c>
      <c r="F3102" t="s">
        <v>54</v>
      </c>
      <c r="G3102" t="s">
        <v>562</v>
      </c>
      <c r="H3102">
        <v>25</v>
      </c>
      <c r="I3102" s="11">
        <f>$E3102+0</f>
        <v>107</v>
      </c>
      <c r="J3102" s="12">
        <v>18000</v>
      </c>
      <c r="K3102" s="13">
        <f>$E3102+1</f>
        <v>108</v>
      </c>
      <c r="L3102" s="14">
        <f>IF($J3102=0,0,ROUND(MAX($J3102*1.4,1620000*(1.497923^(MIN($E3102,123)-117)))*1,0))</f>
        <v>28485</v>
      </c>
      <c r="M3102" s="11">
        <f>$E3102+2</f>
        <v>109</v>
      </c>
      <c r="N3102" s="12">
        <f>IF($J3102=0,0,ROUND(MAX($J3102*1.4*1.5,2190000*(1.580994^(MIN($E3102,123)-117)))*1,0))</f>
        <v>37800</v>
      </c>
      <c r="O3102" s="13">
        <f>$E3102+4</f>
        <v>111</v>
      </c>
      <c r="P3102" s="14">
        <f>IF($J3102=0,0,ROUND(MAX($J3102*1.4*1.5*1.6,3500000*(1.57975^(MIN($E3102,123)-117)))*1,0))</f>
        <v>60480</v>
      </c>
      <c r="Q3102" s="11">
        <f>$E3102+6</f>
        <v>113</v>
      </c>
      <c r="R3102" s="12">
        <f>IF($J3102=0,0,ROUND(MAX($J3102*1.4*1.5*1.6*1.6,13100000*(1.429962^(MIN($E3102,123)-117)))*1,0))</f>
        <v>366460</v>
      </c>
      <c r="S3102" s="13">
        <f>$E3102+8</f>
        <v>115</v>
      </c>
      <c r="T3102" s="14">
        <f>IF($J3102=0,0,ROUND(MAX($J3102*1.4*1.5*1.6*1.6*2.2,42600000*(1.576904^(MIN($E3102,123)-117)))*1,0))</f>
        <v>448082</v>
      </c>
      <c r="U3102" s="11">
        <f>$E3102+11</f>
        <v>118</v>
      </c>
      <c r="V3102" s="12">
        <f>IF($J3102=0,0,ROUND(MAX($J3102*1.4*1.5*1.6*1.6*2.2*2.715,354000000*(1.642074^(MIN($E3102,123)-117)))*1,0))</f>
        <v>2483568</v>
      </c>
      <c r="W3102" s="13">
        <f>$E3102+15</f>
        <v>122</v>
      </c>
      <c r="X3102" s="14">
        <f>IF($J3102=0,0,ROUND(MAX($J3102*1.4*1.5*1.6*1.6*2.2*2.715*2.6,3540000000*(1.579646^(MIN($E3102,123)-117)))*1,0))</f>
        <v>36593634</v>
      </c>
      <c r="Y3102" s="11">
        <f>$E3102+17</f>
        <v>124</v>
      </c>
      <c r="Z3102" s="12">
        <f>IF($J3102=0,0,ROUND(MAX($J3102*1.4*1.5*1.6*1.6*2.2*2.715*2.6*1.4,6020000000*(1.651178^(MIN($E3102,123)-117)))*1,0))</f>
        <v>39962952</v>
      </c>
      <c r="AA3102" s="13">
        <f>$E3102+19</f>
        <v>126</v>
      </c>
      <c r="AB3102" s="14">
        <f>IF($J3102=0,0,ROUND(MAX($J3102*1.4*1.5*1.6*1.6*2.2*2.715*2.6*1.4*1.4,8430000000*(1.651435^(MIN($E3102,123)-117)))*1,0))</f>
        <v>55874381</v>
      </c>
      <c r="AC3102" s="11">
        <f>$E3102+21</f>
        <v>128</v>
      </c>
      <c r="AD3102" s="12">
        <f>IF($J3102=0,0,ROUND(MAX($J3102*1.4*1.5*1.6*1.6*2.2*2.715*2.6*1.4*1.4*1.5,12600000000*(1.652953^(MIN($E3102,123)-117)))*1,0))</f>
        <v>82749522</v>
      </c>
      <c r="AE3102" s="13">
        <f>$E3102+24</f>
        <v>131</v>
      </c>
      <c r="AF3102" s="14">
        <f>IF($J3102=0,0,ROUND(MAX($J3102*1.4*1.5*1.6*1.6*2.2*2.715*2.6*1.4*1.4*1.5*1.5,18900000000*(1.65331^(MIN($E3102,123)-117)))*1,0))</f>
        <v>123856521</v>
      </c>
      <c r="AG3102" s="11">
        <f>$E3102+27</f>
        <v>134</v>
      </c>
      <c r="AH3102" s="12">
        <f>IF($J3102=0,0,ROUND(MAX($J3102*1.4*1.5*1.6*1.6*2.2*2.715*2.6*1.4*1.4*1.5*1.5*3.2,60500000000*(1.654288^(MIN($E3102,123)-117)))*1,0))</f>
        <v>394134254</v>
      </c>
    </row>
    <row r="3103" ht="28" customHeight="1" spans="1:34" x14ac:dyDescent="0.25">
      <c r="A3103">
        <v>3113</v>
      </c>
      <c r="B3103" t="s">
        <v>159</v>
      </c>
      <c r="C3103" s="10" t="s">
        <v>1704</v>
      </c>
      <c r="D3103" t="s">
        <v>25</v>
      </c>
      <c r="E3103">
        <v>107</v>
      </c>
      <c r="F3103" t="s">
        <v>42</v>
      </c>
      <c r="G3103" t="s">
        <v>562</v>
      </c>
      <c r="H3103">
        <v>25</v>
      </c>
      <c r="I3103" s="11">
        <f>$E3103+0</f>
        <v>107</v>
      </c>
      <c r="J3103" s="12">
        <v>38700</v>
      </c>
      <c r="K3103" s="13">
        <f>$E3103+1</f>
        <v>108</v>
      </c>
      <c r="L3103" s="14">
        <f>IF($J3103=0,0,ROUND(MAX($J3103*1.4,1620000*(1.497923^(MIN($E3103,123)-117)))*1,0))</f>
        <v>54180</v>
      </c>
      <c r="M3103" s="11">
        <f>$E3103+2</f>
        <v>109</v>
      </c>
      <c r="N3103" s="12">
        <f>IF($J3103=0,0,ROUND(MAX($J3103*1.4*1.5,2190000*(1.580994^(MIN($E3103,123)-117)))*1,0))</f>
        <v>81270</v>
      </c>
      <c r="O3103" s="13">
        <f>$E3103+4</f>
        <v>111</v>
      </c>
      <c r="P3103" s="14">
        <f>IF($J3103=0,0,ROUND(MAX($J3103*1.4*1.5*1.6,3500000*(1.57975^(MIN($E3103,123)-117)))*1,0))</f>
        <v>130032</v>
      </c>
      <c r="Q3103" s="11">
        <f>$E3103+6</f>
        <v>113</v>
      </c>
      <c r="R3103" s="12">
        <f>IF($J3103=0,0,ROUND(MAX($J3103*1.4*1.5*1.6*1.6,13100000*(1.429962^(MIN($E3103,123)-117)))*1,0))</f>
        <v>366460</v>
      </c>
      <c r="S3103" s="13">
        <f>$E3103+8</f>
        <v>115</v>
      </c>
      <c r="T3103" s="14">
        <f>IF($J3103=0,0,ROUND(MAX($J3103*1.4*1.5*1.6*1.6*2.2,42600000*(1.576904^(MIN($E3103,123)-117)))*1,0))</f>
        <v>457713</v>
      </c>
      <c r="U3103" s="11">
        <f>$E3103+11</f>
        <v>118</v>
      </c>
      <c r="V3103" s="12">
        <f>IF($J3103=0,0,ROUND(MAX($J3103*1.4*1.5*1.6*1.6*2.2*2.715,354000000*(1.642074^(MIN($E3103,123)-117)))*1,0))</f>
        <v>2483568</v>
      </c>
      <c r="W3103" s="13">
        <f>$E3103+15</f>
        <v>122</v>
      </c>
      <c r="X3103" s="14">
        <f>IF($J3103=0,0,ROUND(MAX($J3103*1.4*1.5*1.6*1.6*2.2*2.715*2.6,3540000000*(1.579646^(MIN($E3103,123)-117)))*1,0))</f>
        <v>36593634</v>
      </c>
      <c r="Y3103" s="11">
        <f>$E3103+17</f>
        <v>124</v>
      </c>
      <c r="Z3103" s="12">
        <f>IF($J3103=0,0,ROUND(MAX($J3103*1.4*1.5*1.6*1.6*2.2*2.715*2.6*1.4,6020000000*(1.651178^(MIN($E3103,123)-117)))*1,0))</f>
        <v>39962952</v>
      </c>
      <c r="AA3103" s="13">
        <f>$E3103+19</f>
        <v>126</v>
      </c>
      <c r="AB3103" s="14">
        <f>IF($J3103=0,0,ROUND(MAX($J3103*1.4*1.5*1.6*1.6*2.2*2.715*2.6*1.4*1.4,8430000000*(1.651435^(MIN($E3103,123)-117)))*1,0))</f>
        <v>55874381</v>
      </c>
      <c r="AC3103" s="11">
        <f>$E3103+21</f>
        <v>128</v>
      </c>
      <c r="AD3103" s="12">
        <f>IF($J3103=0,0,ROUND(MAX($J3103*1.4*1.5*1.6*1.6*2.2*2.715*2.6*1.4*1.4*1.5,12600000000*(1.652953^(MIN($E3103,123)-117)))*1,0))</f>
        <v>82749522</v>
      </c>
      <c r="AE3103" s="13">
        <f>$E3103+24</f>
        <v>131</v>
      </c>
      <c r="AF3103" s="14">
        <f>IF($J3103=0,0,ROUND(MAX($J3103*1.4*1.5*1.6*1.6*2.2*2.715*2.6*1.4*1.4*1.5*1.5,18900000000*(1.65331^(MIN($E3103,123)-117)))*1,0))</f>
        <v>123856521</v>
      </c>
      <c r="AG3103" s="11">
        <f>$E3103+27</f>
        <v>134</v>
      </c>
      <c r="AH3103" s="12">
        <f>IF($J3103=0,0,ROUND(MAX($J3103*1.4*1.5*1.6*1.6*2.2*2.715*2.6*1.4*1.4*1.5*1.5*3.2,60500000000*(1.654288^(MIN($E3103,123)-117)))*1,0))</f>
        <v>394134254</v>
      </c>
    </row>
    <row r="3104" ht="28" customHeight="1" spans="1:34" x14ac:dyDescent="0.25">
      <c r="A3104">
        <v>3114</v>
      </c>
      <c r="B3104" t="s">
        <v>176</v>
      </c>
      <c r="C3104" s="10" t="s">
        <v>1704</v>
      </c>
      <c r="D3104" t="s">
        <v>102</v>
      </c>
      <c r="E3104">
        <v>107</v>
      </c>
      <c r="F3104" t="s">
        <v>54</v>
      </c>
      <c r="G3104" t="s">
        <v>562</v>
      </c>
      <c r="H3104">
        <v>25</v>
      </c>
      <c r="I3104" s="11">
        <f>$E3104+0</f>
        <v>107</v>
      </c>
      <c r="J3104" s="12">
        <v>9000</v>
      </c>
      <c r="K3104" s="13">
        <f>$E3104+1</f>
        <v>108</v>
      </c>
      <c r="L3104" s="14">
        <f>IF($J3104=0,0,ROUND(MAX($J3104*1.4,1620000*(1.497923^(MIN($E3104,123)-117)))*1,0))</f>
        <v>28485</v>
      </c>
      <c r="M3104" s="11">
        <f>$E3104+2</f>
        <v>109</v>
      </c>
      <c r="N3104" s="12">
        <f>IF($J3104=0,0,ROUND(MAX($J3104*1.4*1.5,2190000*(1.580994^(MIN($E3104,123)-117)))*1,0))</f>
        <v>22446</v>
      </c>
      <c r="O3104" s="13">
        <f>$E3104+4</f>
        <v>111</v>
      </c>
      <c r="P3104" s="14">
        <f>IF($J3104=0,0,ROUND(MAX($J3104*1.4*1.5*1.6,3500000*(1.57975^(MIN($E3104,123)-117)))*1,0))</f>
        <v>36156</v>
      </c>
      <c r="Q3104" s="11">
        <f>$E3104+6</f>
        <v>113</v>
      </c>
      <c r="R3104" s="12">
        <f>IF($J3104=0,0,ROUND(MAX($J3104*1.4*1.5*1.6*1.6,13100000*(1.429962^(MIN($E3104,123)-117)))*1,0))</f>
        <v>366460</v>
      </c>
      <c r="S3104" s="13">
        <f>$E3104+8</f>
        <v>115</v>
      </c>
      <c r="T3104" s="14">
        <f>IF($J3104=0,0,ROUND(MAX($J3104*1.4*1.5*1.6*1.6*2.2,42600000*(1.576904^(MIN($E3104,123)-117)))*1,0))</f>
        <v>448082</v>
      </c>
      <c r="U3104" s="11">
        <f>$E3104+11</f>
        <v>118</v>
      </c>
      <c r="V3104" s="12">
        <f>IF($J3104=0,0,ROUND(MAX($J3104*1.4*1.5*1.6*1.6*2.2*2.715,354000000*(1.642074^(MIN($E3104,123)-117)))*1,0))</f>
        <v>2483568</v>
      </c>
      <c r="W3104" s="13">
        <f>$E3104+15</f>
        <v>122</v>
      </c>
      <c r="X3104" s="14">
        <f>IF($J3104=0,0,ROUND(MAX($J3104*1.4*1.5*1.6*1.6*2.2*2.715*2.6,3540000000*(1.579646^(MIN($E3104,123)-117)))*1,0))</f>
        <v>36593634</v>
      </c>
      <c r="Y3104" s="11">
        <f>$E3104+17</f>
        <v>124</v>
      </c>
      <c r="Z3104" s="12">
        <f>IF($J3104=0,0,ROUND(MAX($J3104*1.4*1.5*1.6*1.6*2.2*2.715*2.6*1.4,6020000000*(1.651178^(MIN($E3104,123)-117)))*1,0))</f>
        <v>39962952</v>
      </c>
      <c r="AA3104" s="13">
        <f>$E3104+19</f>
        <v>126</v>
      </c>
      <c r="AB3104" s="14">
        <f>IF($J3104=0,0,ROUND(MAX($J3104*1.4*1.5*1.6*1.6*2.2*2.715*2.6*1.4*1.4,8430000000*(1.651435^(MIN($E3104,123)-117)))*1,0))</f>
        <v>55874381</v>
      </c>
      <c r="AC3104" s="11">
        <f>$E3104+21</f>
        <v>128</v>
      </c>
      <c r="AD3104" s="12">
        <f>IF($J3104=0,0,ROUND(MAX($J3104*1.4*1.5*1.6*1.6*2.2*2.715*2.6*1.4*1.4*1.5,12600000000*(1.652953^(MIN($E3104,123)-117)))*1,0))</f>
        <v>82749522</v>
      </c>
      <c r="AE3104" s="13">
        <f>$E3104+24</f>
        <v>131</v>
      </c>
      <c r="AF3104" s="14">
        <f>IF($J3104=0,0,ROUND(MAX($J3104*1.4*1.5*1.6*1.6*2.2*2.715*2.6*1.4*1.4*1.5*1.5,18900000000*(1.65331^(MIN($E3104,123)-117)))*1,0))</f>
        <v>123856521</v>
      </c>
      <c r="AG3104" s="11">
        <f>$E3104+27</f>
        <v>134</v>
      </c>
      <c r="AH3104" s="12">
        <f>IF($J3104=0,0,ROUND(MAX($J3104*1.4*1.5*1.6*1.6*2.2*2.715*2.6*1.4*1.4*1.5*1.5*3.2,60500000000*(1.654288^(MIN($E3104,123)-117)))*1,0))</f>
        <v>394134254</v>
      </c>
    </row>
    <row r="3105" ht="28" customHeight="1" spans="1:34" x14ac:dyDescent="0.25">
      <c r="A3105">
        <v>3115</v>
      </c>
      <c r="B3105" t="s">
        <v>150</v>
      </c>
      <c r="C3105" s="10" t="s">
        <v>1704</v>
      </c>
      <c r="D3105" t="s">
        <v>33</v>
      </c>
      <c r="E3105">
        <v>107</v>
      </c>
      <c r="F3105" t="s">
        <v>42</v>
      </c>
      <c r="G3105" t="s">
        <v>562</v>
      </c>
      <c r="H3105">
        <v>24</v>
      </c>
      <c r="I3105" s="11">
        <f>$E3105+0</f>
        <v>107</v>
      </c>
      <c r="J3105" s="12">
        <v>21500</v>
      </c>
      <c r="K3105" s="13">
        <f>$E3105+1</f>
        <v>108</v>
      </c>
      <c r="L3105" s="14">
        <f>IF($J3105=0,0,ROUND(MAX($J3105*1.4,1620000*(1.497923^(MIN($E3105,123)-117)))*1,0))</f>
        <v>30100</v>
      </c>
      <c r="M3105" s="11">
        <f>$E3105+2</f>
        <v>109</v>
      </c>
      <c r="N3105" s="12">
        <f>IF($J3105=0,0,ROUND(MAX($J3105*1.4*1.5,2190000*(1.580994^(MIN($E3105,123)-117)))*1,0))</f>
        <v>45150</v>
      </c>
      <c r="O3105" s="13">
        <f>$E3105+4</f>
        <v>111</v>
      </c>
      <c r="P3105" s="14">
        <f>IF($J3105=0,0,ROUND(MAX($J3105*1.4*1.5*1.6,3500000*(1.57975^(MIN($E3105,123)-117)))*1,0))</f>
        <v>72240</v>
      </c>
      <c r="Q3105" s="11">
        <f>$E3105+6</f>
        <v>113</v>
      </c>
      <c r="R3105" s="12">
        <f>IF($J3105=0,0,ROUND(MAX($J3105*1.4*1.5*1.6*1.6,13100000*(1.429962^(MIN($E3105,123)-117)))*1,0))</f>
        <v>366460</v>
      </c>
      <c r="S3105" s="13">
        <f>$E3105+8</f>
        <v>115</v>
      </c>
      <c r="T3105" s="14">
        <f>IF($J3105=0,0,ROUND(MAX($J3105*1.4*1.5*1.6*1.6*2.2,42600000*(1.576904^(MIN($E3105,123)-117)))*1,0))</f>
        <v>448082</v>
      </c>
      <c r="U3105" s="11">
        <f>$E3105+11</f>
        <v>118</v>
      </c>
      <c r="V3105" s="12">
        <f>IF($J3105=0,0,ROUND(MAX($J3105*1.4*1.5*1.6*1.6*2.2*2.715,354000000*(1.642074^(MIN($E3105,123)-117)))*1,0))</f>
        <v>2483568</v>
      </c>
      <c r="W3105" s="13">
        <f>$E3105+15</f>
        <v>122</v>
      </c>
      <c r="X3105" s="14">
        <f>IF($J3105=0,0,ROUND(MAX($J3105*1.4*1.5*1.6*1.6*2.2*2.715*2.6,3540000000*(1.579646^(MIN($E3105,123)-117)))*1,0))</f>
        <v>36593634</v>
      </c>
      <c r="Y3105" s="11">
        <f>$E3105+17</f>
        <v>124</v>
      </c>
      <c r="Z3105" s="12">
        <f>IF($J3105=0,0,ROUND(MAX($J3105*1.4*1.5*1.6*1.6*2.2*2.715*2.6*1.4,6020000000*(1.651178^(MIN($E3105,123)-117)))*1,0))</f>
        <v>39962952</v>
      </c>
      <c r="AA3105" s="13">
        <f>$E3105+19</f>
        <v>126</v>
      </c>
      <c r="AB3105" s="14">
        <f>IF($J3105=0,0,ROUND(MAX($J3105*1.4*1.5*1.6*1.6*2.2*2.715*2.6*1.4*1.4,8430000000*(1.651435^(MIN($E3105,123)-117)))*1,0))</f>
        <v>55874381</v>
      </c>
      <c r="AC3105" s="11">
        <f>$E3105+21</f>
        <v>128</v>
      </c>
      <c r="AD3105" s="12">
        <f>IF($J3105=0,0,ROUND(MAX($J3105*1.4*1.5*1.6*1.6*2.2*2.715*2.6*1.4*1.4*1.5,12600000000*(1.652953^(MIN($E3105,123)-117)))*1,0))</f>
        <v>82749522</v>
      </c>
      <c r="AE3105" s="13">
        <f>$E3105+24</f>
        <v>131</v>
      </c>
      <c r="AF3105" s="14">
        <f>IF($J3105=0,0,ROUND(MAX($J3105*1.4*1.5*1.6*1.6*2.2*2.715*2.6*1.4*1.4*1.5*1.5,18900000000*(1.65331^(MIN($E3105,123)-117)))*1,0))</f>
        <v>123856521</v>
      </c>
      <c r="AG3105" s="11">
        <f>$E3105+27</f>
        <v>134</v>
      </c>
      <c r="AH3105" s="12">
        <f>IF($J3105=0,0,ROUND(MAX($J3105*1.4*1.5*1.6*1.6*2.2*2.715*2.6*1.4*1.4*1.5*1.5*3.2,60500000000*(1.654288^(MIN($E3105,123)-117)))*1,0))</f>
        <v>394134254</v>
      </c>
    </row>
    <row r="3106" ht="28" customHeight="1" spans="1:34" x14ac:dyDescent="0.25">
      <c r="A3106">
        <v>3116</v>
      </c>
      <c r="B3106" t="s">
        <v>178</v>
      </c>
      <c r="C3106" s="10" t="s">
        <v>1704</v>
      </c>
      <c r="D3106" t="s">
        <v>33</v>
      </c>
      <c r="E3106">
        <v>107</v>
      </c>
      <c r="F3106" t="s">
        <v>179</v>
      </c>
      <c r="G3106" t="s">
        <v>562</v>
      </c>
      <c r="H3106">
        <v>24</v>
      </c>
      <c r="I3106" s="11">
        <f>$E3106+0</f>
        <v>107</v>
      </c>
      <c r="J3106" s="12">
        <v>10000</v>
      </c>
      <c r="K3106" s="13">
        <f>$E3106+1</f>
        <v>108</v>
      </c>
      <c r="L3106" s="14">
        <f>IF($J3106=0,0,ROUND(MAX($J3106*1.4,1620000*(1.497923^(MIN($E3106,123)-117)))*1,0))</f>
        <v>28485</v>
      </c>
      <c r="M3106" s="11">
        <f>$E3106+2</f>
        <v>109</v>
      </c>
      <c r="N3106" s="12">
        <f>IF($J3106=0,0,ROUND(MAX($J3106*1.4*1.5,2190000*(1.580994^(MIN($E3106,123)-117)))*1,0))</f>
        <v>22446</v>
      </c>
      <c r="O3106" s="13">
        <f>$E3106+4</f>
        <v>111</v>
      </c>
      <c r="P3106" s="14">
        <f>IF($J3106=0,0,ROUND(MAX($J3106*1.4*1.5*1.6,3500000*(1.57975^(MIN($E3106,123)-117)))*1,0))</f>
        <v>36156</v>
      </c>
      <c r="Q3106" s="11">
        <f>$E3106+6</f>
        <v>113</v>
      </c>
      <c r="R3106" s="12">
        <f>IF($J3106=0,0,ROUND(MAX($J3106*1.4*1.5*1.6*1.6,13100000*(1.429962^(MIN($E3106,123)-117)))*1,0))</f>
        <v>366460</v>
      </c>
      <c r="S3106" s="13">
        <f>$E3106+8</f>
        <v>115</v>
      </c>
      <c r="T3106" s="14">
        <f>IF($J3106=0,0,ROUND(MAX($J3106*1.4*1.5*1.6*1.6*2.2,42600000*(1.576904^(MIN($E3106,123)-117)))*1,0))</f>
        <v>448082</v>
      </c>
      <c r="U3106" s="11">
        <f>$E3106+11</f>
        <v>118</v>
      </c>
      <c r="V3106" s="12">
        <f>IF($J3106=0,0,ROUND(MAX($J3106*1.4*1.5*1.6*1.6*2.2*2.715,354000000*(1.642074^(MIN($E3106,123)-117)))*1,0))</f>
        <v>2483568</v>
      </c>
      <c r="W3106" s="13">
        <f>$E3106+15</f>
        <v>122</v>
      </c>
      <c r="X3106" s="14">
        <f>IF($J3106=0,0,ROUND(MAX($J3106*1.4*1.5*1.6*1.6*2.2*2.715*2.6,3540000000*(1.579646^(MIN($E3106,123)-117)))*1,0))</f>
        <v>36593634</v>
      </c>
      <c r="Y3106" s="11">
        <f>$E3106+17</f>
        <v>124</v>
      </c>
      <c r="Z3106" s="12">
        <f>IF($J3106=0,0,ROUND(MAX($J3106*1.4*1.5*1.6*1.6*2.2*2.715*2.6*1.4,6020000000*(1.651178^(MIN($E3106,123)-117)))*1,0))</f>
        <v>39962952</v>
      </c>
      <c r="AA3106" s="13">
        <f>$E3106+19</f>
        <v>126</v>
      </c>
      <c r="AB3106" s="14">
        <f>IF($J3106=0,0,ROUND(MAX($J3106*1.4*1.5*1.6*1.6*2.2*2.715*2.6*1.4*1.4,8430000000*(1.651435^(MIN($E3106,123)-117)))*1,0))</f>
        <v>55874381</v>
      </c>
      <c r="AC3106" s="11">
        <f>$E3106+21</f>
        <v>128</v>
      </c>
      <c r="AD3106" s="12">
        <f>IF($J3106=0,0,ROUND(MAX($J3106*1.4*1.5*1.6*1.6*2.2*2.715*2.6*1.4*1.4*1.5,12600000000*(1.652953^(MIN($E3106,123)-117)))*1,0))</f>
        <v>82749522</v>
      </c>
      <c r="AE3106" s="13">
        <f>$E3106+24</f>
        <v>131</v>
      </c>
      <c r="AF3106" s="14">
        <f>IF($J3106=0,0,ROUND(MAX($J3106*1.4*1.5*1.6*1.6*2.2*2.715*2.6*1.4*1.4*1.5*1.5,18900000000*(1.65331^(MIN($E3106,123)-117)))*1,0))</f>
        <v>123856521</v>
      </c>
      <c r="AG3106" s="11">
        <f>$E3106+27</f>
        <v>134</v>
      </c>
      <c r="AH3106" s="12">
        <f>IF($J3106=0,0,ROUND(MAX($J3106*1.4*1.5*1.6*1.6*2.2*2.715*2.6*1.4*1.4*1.5*1.5*3.2,60500000000*(1.654288^(MIN($E3106,123)-117)))*1,0))</f>
        <v>394134254</v>
      </c>
    </row>
    <row r="3107" ht="28" customHeight="1" spans="1:34" x14ac:dyDescent="0.25">
      <c r="A3107">
        <v>3117</v>
      </c>
      <c r="B3107" t="s">
        <v>142</v>
      </c>
      <c r="C3107" s="10" t="s">
        <v>1704</v>
      </c>
      <c r="D3107" t="s">
        <v>90</v>
      </c>
      <c r="E3107">
        <v>107</v>
      </c>
      <c r="F3107" t="s">
        <v>34</v>
      </c>
      <c r="G3107" t="s">
        <v>562</v>
      </c>
      <c r="H3107">
        <v>24</v>
      </c>
      <c r="I3107" s="11">
        <f>$E3107+0</f>
        <v>107</v>
      </c>
      <c r="J3107" s="12">
        <v>10000</v>
      </c>
      <c r="K3107" s="13">
        <f>$E3107+1</f>
        <v>108</v>
      </c>
      <c r="L3107" s="14">
        <f>IF($J3107=0,0,ROUND(MAX($J3107*1.4,1620000*(1.497923^(MIN($E3107,123)-117)))*1,0))</f>
        <v>28485</v>
      </c>
      <c r="M3107" s="11">
        <f>$E3107+2</f>
        <v>109</v>
      </c>
      <c r="N3107" s="12">
        <f>IF($J3107=0,0,ROUND(MAX($J3107*1.4*1.5,2190000*(1.580994^(MIN($E3107,123)-117)))*1,0))</f>
        <v>22446</v>
      </c>
      <c r="O3107" s="13">
        <f>$E3107+4</f>
        <v>111</v>
      </c>
      <c r="P3107" s="14">
        <f>IF($J3107=0,0,ROUND(MAX($J3107*1.4*1.5*1.6,3500000*(1.57975^(MIN($E3107,123)-117)))*1,0))</f>
        <v>36156</v>
      </c>
      <c r="Q3107" s="11">
        <f>$E3107+6</f>
        <v>113</v>
      </c>
      <c r="R3107" s="12">
        <f>IF($J3107=0,0,ROUND(MAX($J3107*1.4*1.5*1.6*1.6,13100000*(1.429962^(MIN($E3107,123)-117)))*1,0))</f>
        <v>366460</v>
      </c>
      <c r="S3107" s="13">
        <f>$E3107+8</f>
        <v>115</v>
      </c>
      <c r="T3107" s="14">
        <f>IF($J3107=0,0,ROUND(MAX($J3107*1.4*1.5*1.6*1.6*2.2,42600000*(1.576904^(MIN($E3107,123)-117)))*1,0))</f>
        <v>448082</v>
      </c>
      <c r="U3107" s="11">
        <f>$E3107+11</f>
        <v>118</v>
      </c>
      <c r="V3107" s="12">
        <f>IF($J3107=0,0,ROUND(MAX($J3107*1.4*1.5*1.6*1.6*2.2*2.715,354000000*(1.642074^(MIN($E3107,123)-117)))*1,0))</f>
        <v>2483568</v>
      </c>
      <c r="W3107" s="13">
        <f>$E3107+15</f>
        <v>122</v>
      </c>
      <c r="X3107" s="14">
        <f>IF($J3107=0,0,ROUND(MAX($J3107*1.4*1.5*1.6*1.6*2.2*2.715*2.6,3540000000*(1.579646^(MIN($E3107,123)-117)))*1,0))</f>
        <v>36593634</v>
      </c>
      <c r="Y3107" s="11">
        <f>$E3107+17</f>
        <v>124</v>
      </c>
      <c r="Z3107" s="12">
        <f>IF($J3107=0,0,ROUND(MAX($J3107*1.4*1.5*1.6*1.6*2.2*2.715*2.6*1.4,6020000000*(1.651178^(MIN($E3107,123)-117)))*1,0))</f>
        <v>39962952</v>
      </c>
      <c r="AA3107" s="13">
        <f>$E3107+19</f>
        <v>126</v>
      </c>
      <c r="AB3107" s="14">
        <f>IF($J3107=0,0,ROUND(MAX($J3107*1.4*1.5*1.6*1.6*2.2*2.715*2.6*1.4*1.4,8430000000*(1.651435^(MIN($E3107,123)-117)))*1,0))</f>
        <v>55874381</v>
      </c>
      <c r="AC3107" s="11">
        <f>$E3107+21</f>
        <v>128</v>
      </c>
      <c r="AD3107" s="12">
        <f>IF($J3107=0,0,ROUND(MAX($J3107*1.4*1.5*1.6*1.6*2.2*2.715*2.6*1.4*1.4*1.5,12600000000*(1.652953^(MIN($E3107,123)-117)))*1,0))</f>
        <v>82749522</v>
      </c>
      <c r="AE3107" s="13">
        <f>$E3107+24</f>
        <v>131</v>
      </c>
      <c r="AF3107" s="14">
        <f>IF($J3107=0,0,ROUND(MAX($J3107*1.4*1.5*1.6*1.6*2.2*2.715*2.6*1.4*1.4*1.5*1.5,18900000000*(1.65331^(MIN($E3107,123)-117)))*1,0))</f>
        <v>123856521</v>
      </c>
      <c r="AG3107" s="11">
        <f>$E3107+27</f>
        <v>134</v>
      </c>
      <c r="AH3107" s="12">
        <f>IF($J3107=0,0,ROUND(MAX($J3107*1.4*1.5*1.6*1.6*2.2*2.715*2.6*1.4*1.4*1.5*1.5*3.2,60500000000*(1.654288^(MIN($E3107,123)-117)))*1,0))</f>
        <v>394134254</v>
      </c>
    </row>
    <row r="3108" ht="28" customHeight="1" spans="1:34" x14ac:dyDescent="0.25">
      <c r="A3108">
        <v>3118</v>
      </c>
      <c r="B3108" t="s">
        <v>89</v>
      </c>
      <c r="C3108" s="10" t="s">
        <v>1704</v>
      </c>
      <c r="D3108" t="s">
        <v>90</v>
      </c>
      <c r="E3108">
        <v>107</v>
      </c>
      <c r="F3108" t="s">
        <v>30</v>
      </c>
      <c r="G3108" t="s">
        <v>562</v>
      </c>
      <c r="H3108">
        <v>24</v>
      </c>
      <c r="I3108" s="11">
        <f>$E3108+0</f>
        <v>107</v>
      </c>
      <c r="J3108" s="12">
        <v>20000</v>
      </c>
      <c r="K3108" s="13">
        <f>$E3108+1</f>
        <v>108</v>
      </c>
      <c r="L3108" s="14">
        <f>IF($J3108=0,0,ROUND(MAX($J3108*1.4,1620000*(1.497923^(MIN($E3108,123)-117)))*1,0))</f>
        <v>28485</v>
      </c>
      <c r="M3108" s="11">
        <f>$E3108+2</f>
        <v>109</v>
      </c>
      <c r="N3108" s="12">
        <f>IF($J3108=0,0,ROUND(MAX($J3108*1.4*1.5,2190000*(1.580994^(MIN($E3108,123)-117)))*1,0))</f>
        <v>42000</v>
      </c>
      <c r="O3108" s="13">
        <f>$E3108+4</f>
        <v>111</v>
      </c>
      <c r="P3108" s="14">
        <f>IF($J3108=0,0,ROUND(MAX($J3108*1.4*1.5*1.6,3500000*(1.57975^(MIN($E3108,123)-117)))*1,0))</f>
        <v>67200</v>
      </c>
      <c r="Q3108" s="11">
        <f>$E3108+6</f>
        <v>113</v>
      </c>
      <c r="R3108" s="12">
        <f>IF($J3108=0,0,ROUND(MAX($J3108*1.4*1.5*1.6*1.6,13100000*(1.429962^(MIN($E3108,123)-117)))*1,0))</f>
        <v>366460</v>
      </c>
      <c r="S3108" s="13">
        <f>$E3108+8</f>
        <v>115</v>
      </c>
      <c r="T3108" s="14">
        <f>IF($J3108=0,0,ROUND(MAX($J3108*1.4*1.5*1.6*1.6*2.2,42600000*(1.576904^(MIN($E3108,123)-117)))*1,0))</f>
        <v>448082</v>
      </c>
      <c r="U3108" s="11">
        <f>$E3108+11</f>
        <v>118</v>
      </c>
      <c r="V3108" s="12">
        <f>IF($J3108=0,0,ROUND(MAX($J3108*1.4*1.5*1.6*1.6*2.2*2.715,354000000*(1.642074^(MIN($E3108,123)-117)))*1,0))</f>
        <v>2483568</v>
      </c>
      <c r="W3108" s="13">
        <f>$E3108+15</f>
        <v>122</v>
      </c>
      <c r="X3108" s="14">
        <f>IF($J3108=0,0,ROUND(MAX($J3108*1.4*1.5*1.6*1.6*2.2*2.715*2.6,3540000000*(1.579646^(MIN($E3108,123)-117)))*1,0))</f>
        <v>36593634</v>
      </c>
      <c r="Y3108" s="11">
        <f>$E3108+17</f>
        <v>124</v>
      </c>
      <c r="Z3108" s="12">
        <f>IF($J3108=0,0,ROUND(MAX($J3108*1.4*1.5*1.6*1.6*2.2*2.715*2.6*1.4,6020000000*(1.651178^(MIN($E3108,123)-117)))*1,0))</f>
        <v>39962952</v>
      </c>
      <c r="AA3108" s="13">
        <f>$E3108+19</f>
        <v>126</v>
      </c>
      <c r="AB3108" s="14">
        <f>IF($J3108=0,0,ROUND(MAX($J3108*1.4*1.5*1.6*1.6*2.2*2.715*2.6*1.4*1.4,8430000000*(1.651435^(MIN($E3108,123)-117)))*1,0))</f>
        <v>55874381</v>
      </c>
      <c r="AC3108" s="11">
        <f>$E3108+21</f>
        <v>128</v>
      </c>
      <c r="AD3108" s="12">
        <f>IF($J3108=0,0,ROUND(MAX($J3108*1.4*1.5*1.6*1.6*2.2*2.715*2.6*1.4*1.4*1.5,12600000000*(1.652953^(MIN($E3108,123)-117)))*1,0))</f>
        <v>82749522</v>
      </c>
      <c r="AE3108" s="13">
        <f>$E3108+24</f>
        <v>131</v>
      </c>
      <c r="AF3108" s="14">
        <f>IF($J3108=0,0,ROUND(MAX($J3108*1.4*1.5*1.6*1.6*2.2*2.715*2.6*1.4*1.4*1.5*1.5,18900000000*(1.65331^(MIN($E3108,123)-117)))*1,0))</f>
        <v>123856521</v>
      </c>
      <c r="AG3108" s="11">
        <f>$E3108+27</f>
        <v>134</v>
      </c>
      <c r="AH3108" s="12">
        <f>IF($J3108=0,0,ROUND(MAX($J3108*1.4*1.5*1.6*1.6*2.2*2.715*2.6*1.4*1.4*1.5*1.5*3.2,60500000000*(1.654288^(MIN($E3108,123)-117)))*1,0))</f>
        <v>394134254</v>
      </c>
    </row>
    <row r="3109" ht="28" customHeight="1" spans="1:34" x14ac:dyDescent="0.25">
      <c r="A3109">
        <v>3119</v>
      </c>
      <c r="B3109" t="s">
        <v>158</v>
      </c>
      <c r="C3109" s="10" t="s">
        <v>1704</v>
      </c>
      <c r="D3109" t="s">
        <v>102</v>
      </c>
      <c r="E3109">
        <v>107</v>
      </c>
      <c r="F3109" t="s">
        <v>54</v>
      </c>
      <c r="G3109" t="s">
        <v>562</v>
      </c>
      <c r="H3109">
        <v>24</v>
      </c>
      <c r="I3109" s="11">
        <f>$E3109+0</f>
        <v>107</v>
      </c>
      <c r="J3109" s="12">
        <v>22800</v>
      </c>
      <c r="K3109" s="13">
        <f>$E3109+1</f>
        <v>108</v>
      </c>
      <c r="L3109" s="14">
        <f>IF($J3109=0,0,ROUND(MAX($J3109*1.4,1620000*(1.497923^(MIN($E3109,123)-117)))*1,0))</f>
        <v>31920</v>
      </c>
      <c r="M3109" s="11">
        <f>$E3109+2</f>
        <v>109</v>
      </c>
      <c r="N3109" s="12">
        <f>IF($J3109=0,0,ROUND(MAX($J3109*1.4*1.5,2190000*(1.580994^(MIN($E3109,123)-117)))*1,0))</f>
        <v>47880</v>
      </c>
      <c r="O3109" s="13">
        <f>$E3109+4</f>
        <v>111</v>
      </c>
      <c r="P3109" s="14">
        <f>IF($J3109=0,0,ROUND(MAX($J3109*1.4*1.5*1.6,3500000*(1.57975^(MIN($E3109,123)-117)))*1,0))</f>
        <v>76608</v>
      </c>
      <c r="Q3109" s="11">
        <f>$E3109+6</f>
        <v>113</v>
      </c>
      <c r="R3109" s="12">
        <f>IF($J3109=0,0,ROUND(MAX($J3109*1.4*1.5*1.6*1.6,13100000*(1.429962^(MIN($E3109,123)-117)))*1,0))</f>
        <v>366460</v>
      </c>
      <c r="S3109" s="13">
        <f>$E3109+8</f>
        <v>115</v>
      </c>
      <c r="T3109" s="14">
        <f>IF($J3109=0,0,ROUND(MAX($J3109*1.4*1.5*1.6*1.6*2.2,42600000*(1.576904^(MIN($E3109,123)-117)))*1,0))</f>
        <v>448082</v>
      </c>
      <c r="U3109" s="11">
        <f>$E3109+11</f>
        <v>118</v>
      </c>
      <c r="V3109" s="12">
        <f>IF($J3109=0,0,ROUND(MAX($J3109*1.4*1.5*1.6*1.6*2.2*2.715,354000000*(1.642074^(MIN($E3109,123)-117)))*1,0))</f>
        <v>2483568</v>
      </c>
      <c r="W3109" s="13">
        <f>$E3109+15</f>
        <v>122</v>
      </c>
      <c r="X3109" s="14">
        <f>IF($J3109=0,0,ROUND(MAX($J3109*1.4*1.5*1.6*1.6*2.2*2.715*2.6,3540000000*(1.579646^(MIN($E3109,123)-117)))*1,0))</f>
        <v>36593634</v>
      </c>
      <c r="Y3109" s="11">
        <f>$E3109+17</f>
        <v>124</v>
      </c>
      <c r="Z3109" s="12">
        <f>IF($J3109=0,0,ROUND(MAX($J3109*1.4*1.5*1.6*1.6*2.2*2.715*2.6*1.4,6020000000*(1.651178^(MIN($E3109,123)-117)))*1,0))</f>
        <v>39962952</v>
      </c>
      <c r="AA3109" s="13">
        <f>$E3109+19</f>
        <v>126</v>
      </c>
      <c r="AB3109" s="14">
        <f>IF($J3109=0,0,ROUND(MAX($J3109*1.4*1.5*1.6*1.6*2.2*2.715*2.6*1.4*1.4,8430000000*(1.651435^(MIN($E3109,123)-117)))*1,0))</f>
        <v>55874381</v>
      </c>
      <c r="AC3109" s="11">
        <f>$E3109+21</f>
        <v>128</v>
      </c>
      <c r="AD3109" s="12">
        <f>IF($J3109=0,0,ROUND(MAX($J3109*1.4*1.5*1.6*1.6*2.2*2.715*2.6*1.4*1.4*1.5,12600000000*(1.652953^(MIN($E3109,123)-117)))*1,0))</f>
        <v>82749522</v>
      </c>
      <c r="AE3109" s="13">
        <f>$E3109+24</f>
        <v>131</v>
      </c>
      <c r="AF3109" s="14">
        <f>IF($J3109=0,0,ROUND(MAX($J3109*1.4*1.5*1.6*1.6*2.2*2.715*2.6*1.4*1.4*1.5*1.5,18900000000*(1.65331^(MIN($E3109,123)-117)))*1,0))</f>
        <v>123856521</v>
      </c>
      <c r="AG3109" s="11">
        <f>$E3109+27</f>
        <v>134</v>
      </c>
      <c r="AH3109" s="12">
        <f>IF($J3109=0,0,ROUND(MAX($J3109*1.4*1.5*1.6*1.6*2.2*2.715*2.6*1.4*1.4*1.5*1.5*3.2,60500000000*(1.654288^(MIN($E3109,123)-117)))*1,0))</f>
        <v>394134254</v>
      </c>
    </row>
    <row r="3110" ht="28" customHeight="1" spans="1:34" x14ac:dyDescent="0.25">
      <c r="A3110">
        <v>3120</v>
      </c>
      <c r="B3110" t="s">
        <v>83</v>
      </c>
      <c r="C3110" s="10" t="s">
        <v>1704</v>
      </c>
      <c r="D3110" t="s">
        <v>33</v>
      </c>
      <c r="E3110">
        <v>107</v>
      </c>
      <c r="F3110" t="s">
        <v>62</v>
      </c>
      <c r="G3110" t="s">
        <v>562</v>
      </c>
      <c r="H3110">
        <v>24</v>
      </c>
      <c r="I3110" s="11">
        <f>$E3110+0</f>
        <v>107</v>
      </c>
      <c r="J3110" s="12">
        <v>11100</v>
      </c>
      <c r="K3110" s="13">
        <f>$E3110+1</f>
        <v>108</v>
      </c>
      <c r="L3110" s="14">
        <f>IF($J3110=0,0,ROUND(MAX($J3110*1.4,1620000*(1.497923^(MIN($E3110,123)-117)))*1,0))</f>
        <v>28485</v>
      </c>
      <c r="M3110" s="11">
        <f>$E3110+2</f>
        <v>109</v>
      </c>
      <c r="N3110" s="12">
        <f>IF($J3110=0,0,ROUND(MAX($J3110*1.4*1.5,2190000*(1.580994^(MIN($E3110,123)-117)))*1,0))</f>
        <v>23310</v>
      </c>
      <c r="O3110" s="13">
        <f>$E3110+4</f>
        <v>111</v>
      </c>
      <c r="P3110" s="14">
        <f>IF($J3110=0,0,ROUND(MAX($J3110*1.4*1.5*1.6,3500000*(1.57975^(MIN($E3110,123)-117)))*1,0))</f>
        <v>37296</v>
      </c>
      <c r="Q3110" s="11">
        <f>$E3110+6</f>
        <v>113</v>
      </c>
      <c r="R3110" s="12">
        <f>IF($J3110=0,0,ROUND(MAX($J3110*1.4*1.5*1.6*1.6,13100000*(1.429962^(MIN($E3110,123)-117)))*1,0))</f>
        <v>366460</v>
      </c>
      <c r="S3110" s="13">
        <f>$E3110+8</f>
        <v>115</v>
      </c>
      <c r="T3110" s="14">
        <f>IF($J3110=0,0,ROUND(MAX($J3110*1.4*1.5*1.6*1.6*2.2,42600000*(1.576904^(MIN($E3110,123)-117)))*1,0))</f>
        <v>448082</v>
      </c>
      <c r="U3110" s="11">
        <f>$E3110+11</f>
        <v>118</v>
      </c>
      <c r="V3110" s="12">
        <f>IF($J3110=0,0,ROUND(MAX($J3110*1.4*1.5*1.6*1.6*2.2*2.715,354000000*(1.642074^(MIN($E3110,123)-117)))*1,0))</f>
        <v>2483568</v>
      </c>
      <c r="W3110" s="13">
        <f>$E3110+15</f>
        <v>122</v>
      </c>
      <c r="X3110" s="14">
        <f>IF($J3110=0,0,ROUND(MAX($J3110*1.4*1.5*1.6*1.6*2.2*2.715*2.6,3540000000*(1.579646^(MIN($E3110,123)-117)))*1,0))</f>
        <v>36593634</v>
      </c>
      <c r="Y3110" s="11">
        <f>$E3110+17</f>
        <v>124</v>
      </c>
      <c r="Z3110" s="12">
        <f>IF($J3110=0,0,ROUND(MAX($J3110*1.4*1.5*1.6*1.6*2.2*2.715*2.6*1.4,6020000000*(1.651178^(MIN($E3110,123)-117)))*1,0))</f>
        <v>39962952</v>
      </c>
      <c r="AA3110" s="13">
        <f>$E3110+19</f>
        <v>126</v>
      </c>
      <c r="AB3110" s="14">
        <f>IF($J3110=0,0,ROUND(MAX($J3110*1.4*1.5*1.6*1.6*2.2*2.715*2.6*1.4*1.4,8430000000*(1.651435^(MIN($E3110,123)-117)))*1,0))</f>
        <v>55874381</v>
      </c>
      <c r="AC3110" s="11">
        <f>$E3110+21</f>
        <v>128</v>
      </c>
      <c r="AD3110" s="12">
        <f>IF($J3110=0,0,ROUND(MAX($J3110*1.4*1.5*1.6*1.6*2.2*2.715*2.6*1.4*1.4*1.5,12600000000*(1.652953^(MIN($E3110,123)-117)))*1,0))</f>
        <v>82749522</v>
      </c>
      <c r="AE3110" s="13">
        <f>$E3110+24</f>
        <v>131</v>
      </c>
      <c r="AF3110" s="14">
        <f>IF($J3110=0,0,ROUND(MAX($J3110*1.4*1.5*1.6*1.6*2.2*2.715*2.6*1.4*1.4*1.5*1.5,18900000000*(1.65331^(MIN($E3110,123)-117)))*1,0))</f>
        <v>123856521</v>
      </c>
      <c r="AG3110" s="11">
        <f>$E3110+27</f>
        <v>134</v>
      </c>
      <c r="AH3110" s="12">
        <f>IF($J3110=0,0,ROUND(MAX($J3110*1.4*1.5*1.6*1.6*2.2*2.715*2.6*1.4*1.4*1.5*1.5*3.2,60500000000*(1.654288^(MIN($E3110,123)-117)))*1,0))</f>
        <v>394134254</v>
      </c>
    </row>
    <row r="3111" ht="28" customHeight="1" spans="1:34" x14ac:dyDescent="0.25">
      <c r="A3111">
        <v>3121</v>
      </c>
      <c r="B3111" t="s">
        <v>114</v>
      </c>
      <c r="C3111" s="10" t="s">
        <v>1704</v>
      </c>
      <c r="D3111" t="s">
        <v>75</v>
      </c>
      <c r="E3111">
        <v>107</v>
      </c>
      <c r="F3111" t="s">
        <v>30</v>
      </c>
      <c r="G3111" t="s">
        <v>562</v>
      </c>
      <c r="H3111">
        <v>24</v>
      </c>
      <c r="I3111" s="11">
        <f>$E3111+0</f>
        <v>107</v>
      </c>
      <c r="J3111" s="12">
        <v>10000</v>
      </c>
      <c r="K3111" s="13">
        <f>$E3111+1</f>
        <v>108</v>
      </c>
      <c r="L3111" s="14">
        <f>IF($J3111=0,0,ROUND(MAX($J3111*1.4,1620000*(1.497923^(MIN($E3111,123)-117)))*1,0))</f>
        <v>28485</v>
      </c>
      <c r="M3111" s="11">
        <f>$E3111+2</f>
        <v>109</v>
      </c>
      <c r="N3111" s="12">
        <f>IF($J3111=0,0,ROUND(MAX($J3111*1.4*1.5,2190000*(1.580994^(MIN($E3111,123)-117)))*1,0))</f>
        <v>22446</v>
      </c>
      <c r="O3111" s="13">
        <f>$E3111+4</f>
        <v>111</v>
      </c>
      <c r="P3111" s="14">
        <f>IF($J3111=0,0,ROUND(MAX($J3111*1.4*1.5*1.6,3500000*(1.57975^(MIN($E3111,123)-117)))*1,0))</f>
        <v>36156</v>
      </c>
      <c r="Q3111" s="11">
        <f>$E3111+6</f>
        <v>113</v>
      </c>
      <c r="R3111" s="12">
        <f>IF($J3111=0,0,ROUND(MAX($J3111*1.4*1.5*1.6*1.6,13100000*(1.429962^(MIN($E3111,123)-117)))*1,0))</f>
        <v>366460</v>
      </c>
      <c r="S3111" s="13">
        <f>$E3111+8</f>
        <v>115</v>
      </c>
      <c r="T3111" s="14">
        <f>IF($J3111=0,0,ROUND(MAX($J3111*1.4*1.5*1.6*1.6*2.2,42600000*(1.576904^(MIN($E3111,123)-117)))*1,0))</f>
        <v>448082</v>
      </c>
      <c r="U3111" s="11">
        <f>$E3111+11</f>
        <v>118</v>
      </c>
      <c r="V3111" s="12">
        <f>IF($J3111=0,0,ROUND(MAX($J3111*1.4*1.5*1.6*1.6*2.2*2.715,354000000*(1.642074^(MIN($E3111,123)-117)))*1,0))</f>
        <v>2483568</v>
      </c>
      <c r="W3111" s="13">
        <f>$E3111+15</f>
        <v>122</v>
      </c>
      <c r="X3111" s="14">
        <f>IF($J3111=0,0,ROUND(MAX($J3111*1.4*1.5*1.6*1.6*2.2*2.715*2.6,3540000000*(1.579646^(MIN($E3111,123)-117)))*1,0))</f>
        <v>36593634</v>
      </c>
      <c r="Y3111" s="11">
        <f>$E3111+17</f>
        <v>124</v>
      </c>
      <c r="Z3111" s="12">
        <f>IF($J3111=0,0,ROUND(MAX($J3111*1.4*1.5*1.6*1.6*2.2*2.715*2.6*1.4,6020000000*(1.651178^(MIN($E3111,123)-117)))*1,0))</f>
        <v>39962952</v>
      </c>
      <c r="AA3111" s="13">
        <f>$E3111+19</f>
        <v>126</v>
      </c>
      <c r="AB3111" s="14">
        <f>IF($J3111=0,0,ROUND(MAX($J3111*1.4*1.5*1.6*1.6*2.2*2.715*2.6*1.4*1.4,8430000000*(1.651435^(MIN($E3111,123)-117)))*1,0))</f>
        <v>55874381</v>
      </c>
      <c r="AC3111" s="11">
        <f>$E3111+21</f>
        <v>128</v>
      </c>
      <c r="AD3111" s="12">
        <f>IF($J3111=0,0,ROUND(MAX($J3111*1.4*1.5*1.6*1.6*2.2*2.715*2.6*1.4*1.4*1.5,12600000000*(1.652953^(MIN($E3111,123)-117)))*1,0))</f>
        <v>82749522</v>
      </c>
      <c r="AE3111" s="13">
        <f>$E3111+24</f>
        <v>131</v>
      </c>
      <c r="AF3111" s="14">
        <f>IF($J3111=0,0,ROUND(MAX($J3111*1.4*1.5*1.6*1.6*2.2*2.715*2.6*1.4*1.4*1.5*1.5,18900000000*(1.65331^(MIN($E3111,123)-117)))*1,0))</f>
        <v>123856521</v>
      </c>
      <c r="AG3111" s="11">
        <f>$E3111+27</f>
        <v>134</v>
      </c>
      <c r="AH3111" s="12">
        <f>IF($J3111=0,0,ROUND(MAX($J3111*1.4*1.5*1.6*1.6*2.2*2.715*2.6*1.4*1.4*1.5*1.5*3.2,60500000000*(1.654288^(MIN($E3111,123)-117)))*1,0))</f>
        <v>394134254</v>
      </c>
    </row>
    <row r="3112" ht="28" customHeight="1" spans="1:34" x14ac:dyDescent="0.25">
      <c r="A3112">
        <v>3122</v>
      </c>
      <c r="B3112" t="s">
        <v>92</v>
      </c>
      <c r="C3112" s="10" t="s">
        <v>1704</v>
      </c>
      <c r="D3112" t="s">
        <v>93</v>
      </c>
      <c r="E3112">
        <v>107</v>
      </c>
      <c r="F3112" t="s">
        <v>56</v>
      </c>
      <c r="G3112" t="s">
        <v>562</v>
      </c>
      <c r="H3112">
        <v>24</v>
      </c>
      <c r="I3112" s="11">
        <f>$E3112+0</f>
        <v>107</v>
      </c>
      <c r="J3112" s="12">
        <v>20000</v>
      </c>
      <c r="K3112" s="13">
        <f>$E3112+1</f>
        <v>108</v>
      </c>
      <c r="L3112" s="14">
        <f>IF($J3112=0,0,ROUND(MAX($J3112*1.4,1620000*(1.497923^(MIN($E3112,123)-117)))*1,0))</f>
        <v>28485</v>
      </c>
      <c r="M3112" s="11">
        <f>$E3112+2</f>
        <v>109</v>
      </c>
      <c r="N3112" s="12">
        <f>IF($J3112=0,0,ROUND(MAX($J3112*1.4*1.5,2190000*(1.580994^(MIN($E3112,123)-117)))*1,0))</f>
        <v>42000</v>
      </c>
      <c r="O3112" s="13">
        <f>$E3112+4</f>
        <v>111</v>
      </c>
      <c r="P3112" s="14">
        <f>IF($J3112=0,0,ROUND(MAX($J3112*1.4*1.5*1.6,3500000*(1.57975^(MIN($E3112,123)-117)))*1,0))</f>
        <v>67200</v>
      </c>
      <c r="Q3112" s="11">
        <f>$E3112+6</f>
        <v>113</v>
      </c>
      <c r="R3112" s="12">
        <f>IF($J3112=0,0,ROUND(MAX($J3112*1.4*1.5*1.6*1.6,13100000*(1.429962^(MIN($E3112,123)-117)))*1,0))</f>
        <v>366460</v>
      </c>
      <c r="S3112" s="13">
        <f>$E3112+8</f>
        <v>115</v>
      </c>
      <c r="T3112" s="14">
        <f>IF($J3112=0,0,ROUND(MAX($J3112*1.4*1.5*1.6*1.6*2.2,42600000*(1.576904^(MIN($E3112,123)-117)))*1,0))</f>
        <v>448082</v>
      </c>
      <c r="U3112" s="11">
        <f>$E3112+11</f>
        <v>118</v>
      </c>
      <c r="V3112" s="12">
        <f>IF($J3112=0,0,ROUND(MAX($J3112*1.4*1.5*1.6*1.6*2.2*2.715,354000000*(1.642074^(MIN($E3112,123)-117)))*1,0))</f>
        <v>2483568</v>
      </c>
      <c r="W3112" s="13">
        <f>$E3112+15</f>
        <v>122</v>
      </c>
      <c r="X3112" s="14">
        <f>IF($J3112=0,0,ROUND(MAX($J3112*1.4*1.5*1.6*1.6*2.2*2.715*2.6,3540000000*(1.579646^(MIN($E3112,123)-117)))*1,0))</f>
        <v>36593634</v>
      </c>
      <c r="Y3112" s="11">
        <f>$E3112+17</f>
        <v>124</v>
      </c>
      <c r="Z3112" s="12">
        <f>IF($J3112=0,0,ROUND(MAX($J3112*1.4*1.5*1.6*1.6*2.2*2.715*2.6*1.4,6020000000*(1.651178^(MIN($E3112,123)-117)))*1,0))</f>
        <v>39962952</v>
      </c>
      <c r="AA3112" s="13">
        <f>$E3112+19</f>
        <v>126</v>
      </c>
      <c r="AB3112" s="14">
        <f>IF($J3112=0,0,ROUND(MAX($J3112*1.4*1.5*1.6*1.6*2.2*2.715*2.6*1.4*1.4,8430000000*(1.651435^(MIN($E3112,123)-117)))*1,0))</f>
        <v>55874381</v>
      </c>
      <c r="AC3112" s="11">
        <f>$E3112+21</f>
        <v>128</v>
      </c>
      <c r="AD3112" s="12">
        <f>IF($J3112=0,0,ROUND(MAX($J3112*1.4*1.5*1.6*1.6*2.2*2.715*2.6*1.4*1.4*1.5,12600000000*(1.652953^(MIN($E3112,123)-117)))*1,0))</f>
        <v>82749522</v>
      </c>
      <c r="AE3112" s="13">
        <f>$E3112+24</f>
        <v>131</v>
      </c>
      <c r="AF3112" s="14">
        <f>IF($J3112=0,0,ROUND(MAX($J3112*1.4*1.5*1.6*1.6*2.2*2.715*2.6*1.4*1.4*1.5*1.5,18900000000*(1.65331^(MIN($E3112,123)-117)))*1,0))</f>
        <v>123856521</v>
      </c>
      <c r="AG3112" s="11">
        <f>$E3112+27</f>
        <v>134</v>
      </c>
      <c r="AH3112" s="12">
        <f>IF($J3112=0,0,ROUND(MAX($J3112*1.4*1.5*1.6*1.6*2.2*2.715*2.6*1.4*1.4*1.5*1.5*3.2,60500000000*(1.654288^(MIN($E3112,123)-117)))*1,0))</f>
        <v>394134254</v>
      </c>
    </row>
    <row r="3113" ht="28" customHeight="1" spans="1:34" x14ac:dyDescent="0.25">
      <c r="A3113">
        <v>3123</v>
      </c>
      <c r="B3113" t="s">
        <v>147</v>
      </c>
      <c r="C3113" s="10" t="s">
        <v>1704</v>
      </c>
      <c r="D3113" t="s">
        <v>45</v>
      </c>
      <c r="E3113">
        <v>107</v>
      </c>
      <c r="F3113" t="s">
        <v>56</v>
      </c>
      <c r="G3113" t="s">
        <v>562</v>
      </c>
      <c r="H3113">
        <v>24</v>
      </c>
      <c r="I3113" s="11">
        <f>$E3113+0</f>
        <v>107</v>
      </c>
      <c r="J3113" s="12">
        <v>10100</v>
      </c>
      <c r="K3113" s="13">
        <f>$E3113+1</f>
        <v>108</v>
      </c>
      <c r="L3113" s="14">
        <f>IF($J3113=0,0,ROUND(MAX($J3113*1.4,1620000*(1.497923^(MIN($E3113,123)-117)))*1,0))</f>
        <v>28485</v>
      </c>
      <c r="M3113" s="11">
        <f>$E3113+2</f>
        <v>109</v>
      </c>
      <c r="N3113" s="12">
        <f>IF($J3113=0,0,ROUND(MAX($J3113*1.4*1.5,2190000*(1.580994^(MIN($E3113,123)-117)))*1,0))</f>
        <v>22446</v>
      </c>
      <c r="O3113" s="13">
        <f>$E3113+4</f>
        <v>111</v>
      </c>
      <c r="P3113" s="14">
        <f>IF($J3113=0,0,ROUND(MAX($J3113*1.4*1.5*1.6,3500000*(1.57975^(MIN($E3113,123)-117)))*1,0))</f>
        <v>36156</v>
      </c>
      <c r="Q3113" s="11">
        <f>$E3113+6</f>
        <v>113</v>
      </c>
      <c r="R3113" s="12">
        <f>IF($J3113=0,0,ROUND(MAX($J3113*1.4*1.5*1.6*1.6,13100000*(1.429962^(MIN($E3113,123)-117)))*1,0))</f>
        <v>366460</v>
      </c>
      <c r="S3113" s="13">
        <f>$E3113+8</f>
        <v>115</v>
      </c>
      <c r="T3113" s="14">
        <f>IF($J3113=0,0,ROUND(MAX($J3113*1.4*1.5*1.6*1.6*2.2,42600000*(1.576904^(MIN($E3113,123)-117)))*1,0))</f>
        <v>448082</v>
      </c>
      <c r="U3113" s="11">
        <f>$E3113+11</f>
        <v>118</v>
      </c>
      <c r="V3113" s="12">
        <f>IF($J3113=0,0,ROUND(MAX($J3113*1.4*1.5*1.6*1.6*2.2*2.715,354000000*(1.642074^(MIN($E3113,123)-117)))*1,0))</f>
        <v>2483568</v>
      </c>
      <c r="W3113" s="13">
        <f>$E3113+15</f>
        <v>122</v>
      </c>
      <c r="X3113" s="14">
        <f>IF($J3113=0,0,ROUND(MAX($J3113*1.4*1.5*1.6*1.6*2.2*2.715*2.6,3540000000*(1.579646^(MIN($E3113,123)-117)))*1,0))</f>
        <v>36593634</v>
      </c>
      <c r="Y3113" s="11">
        <f>$E3113+17</f>
        <v>124</v>
      </c>
      <c r="Z3113" s="12">
        <f>IF($J3113=0,0,ROUND(MAX($J3113*1.4*1.5*1.6*1.6*2.2*2.715*2.6*1.4,6020000000*(1.651178^(MIN($E3113,123)-117)))*1,0))</f>
        <v>39962952</v>
      </c>
      <c r="AA3113" s="13">
        <f>$E3113+19</f>
        <v>126</v>
      </c>
      <c r="AB3113" s="14">
        <f>IF($J3113=0,0,ROUND(MAX($J3113*1.4*1.5*1.6*1.6*2.2*2.715*2.6*1.4*1.4,8430000000*(1.651435^(MIN($E3113,123)-117)))*1,0))</f>
        <v>55874381</v>
      </c>
      <c r="AC3113" s="11">
        <f>$E3113+21</f>
        <v>128</v>
      </c>
      <c r="AD3113" s="12">
        <f>IF($J3113=0,0,ROUND(MAX($J3113*1.4*1.5*1.6*1.6*2.2*2.715*2.6*1.4*1.4*1.5,12600000000*(1.652953^(MIN($E3113,123)-117)))*1,0))</f>
        <v>82749522</v>
      </c>
      <c r="AE3113" s="13">
        <f>$E3113+24</f>
        <v>131</v>
      </c>
      <c r="AF3113" s="14">
        <f>IF($J3113=0,0,ROUND(MAX($J3113*1.4*1.5*1.6*1.6*2.2*2.715*2.6*1.4*1.4*1.5*1.5,18900000000*(1.65331^(MIN($E3113,123)-117)))*1,0))</f>
        <v>123856521</v>
      </c>
      <c r="AG3113" s="11">
        <f>$E3113+27</f>
        <v>134</v>
      </c>
      <c r="AH3113" s="12">
        <f>IF($J3113=0,0,ROUND(MAX($J3113*1.4*1.5*1.6*1.6*2.2*2.715*2.6*1.4*1.4*1.5*1.5*3.2,60500000000*(1.654288^(MIN($E3113,123)-117)))*1,0))</f>
        <v>394134254</v>
      </c>
    </row>
    <row r="3114" ht="28" customHeight="1" spans="1:34" x14ac:dyDescent="0.25">
      <c r="A3114">
        <v>3124</v>
      </c>
      <c r="B3114" t="s">
        <v>125</v>
      </c>
      <c r="C3114" s="10" t="s">
        <v>1704</v>
      </c>
      <c r="D3114" t="s">
        <v>33</v>
      </c>
      <c r="E3114">
        <v>107</v>
      </c>
      <c r="F3114" t="s">
        <v>56</v>
      </c>
      <c r="G3114" t="s">
        <v>562</v>
      </c>
      <c r="H3114">
        <v>23</v>
      </c>
      <c r="I3114" s="11">
        <f>$E3114+0</f>
        <v>107</v>
      </c>
      <c r="J3114" s="12">
        <v>29900</v>
      </c>
      <c r="K3114" s="13">
        <f>$E3114+1</f>
        <v>108</v>
      </c>
      <c r="L3114" s="14">
        <f>IF($J3114=0,0,ROUND(MAX($J3114*1.4,1620000*(1.497923^(MIN($E3114,123)-117)))*1,0))</f>
        <v>41860</v>
      </c>
      <c r="M3114" s="11">
        <f>$E3114+2</f>
        <v>109</v>
      </c>
      <c r="N3114" s="12">
        <f>IF($J3114=0,0,ROUND(MAX($J3114*1.4*1.5,2190000*(1.580994^(MIN($E3114,123)-117)))*1,0))</f>
        <v>62790</v>
      </c>
      <c r="O3114" s="13">
        <f>$E3114+4</f>
        <v>111</v>
      </c>
      <c r="P3114" s="14">
        <f>IF($J3114=0,0,ROUND(MAX($J3114*1.4*1.5*1.6,3500000*(1.57975^(MIN($E3114,123)-117)))*1,0))</f>
        <v>100464</v>
      </c>
      <c r="Q3114" s="11">
        <f>$E3114+6</f>
        <v>113</v>
      </c>
      <c r="R3114" s="12">
        <f>IF($J3114=0,0,ROUND(MAX($J3114*1.4*1.5*1.6*1.6,13100000*(1.429962^(MIN($E3114,123)-117)))*1,0))</f>
        <v>366460</v>
      </c>
      <c r="S3114" s="13">
        <f>$E3114+8</f>
        <v>115</v>
      </c>
      <c r="T3114" s="14">
        <f>IF($J3114=0,0,ROUND(MAX($J3114*1.4*1.5*1.6*1.6*2.2,42600000*(1.576904^(MIN($E3114,123)-117)))*1,0))</f>
        <v>448082</v>
      </c>
      <c r="U3114" s="11">
        <f>$E3114+11</f>
        <v>118</v>
      </c>
      <c r="V3114" s="12">
        <f>IF($J3114=0,0,ROUND(MAX($J3114*1.4*1.5*1.6*1.6*2.2*2.715,354000000*(1.642074^(MIN($E3114,123)-117)))*1,0))</f>
        <v>2483568</v>
      </c>
      <c r="W3114" s="13">
        <f>$E3114+15</f>
        <v>122</v>
      </c>
      <c r="X3114" s="14">
        <f>IF($J3114=0,0,ROUND(MAX($J3114*1.4*1.5*1.6*1.6*2.2*2.715*2.6,3540000000*(1.579646^(MIN($E3114,123)-117)))*1,0))</f>
        <v>36593634</v>
      </c>
      <c r="Y3114" s="11">
        <f>$E3114+17</f>
        <v>124</v>
      </c>
      <c r="Z3114" s="12">
        <f>IF($J3114=0,0,ROUND(MAX($J3114*1.4*1.5*1.6*1.6*2.2*2.715*2.6*1.4,6020000000*(1.651178^(MIN($E3114,123)-117)))*1,0))</f>
        <v>39962952</v>
      </c>
      <c r="AA3114" s="13">
        <f>$E3114+19</f>
        <v>126</v>
      </c>
      <c r="AB3114" s="14">
        <f>IF($J3114=0,0,ROUND(MAX($J3114*1.4*1.5*1.6*1.6*2.2*2.715*2.6*1.4*1.4,8430000000*(1.651435^(MIN($E3114,123)-117)))*1,0))</f>
        <v>55874381</v>
      </c>
      <c r="AC3114" s="11">
        <f>$E3114+21</f>
        <v>128</v>
      </c>
      <c r="AD3114" s="12">
        <f>IF($J3114=0,0,ROUND(MAX($J3114*1.4*1.5*1.6*1.6*2.2*2.715*2.6*1.4*1.4*1.5,12600000000*(1.652953^(MIN($E3114,123)-117)))*1,0))</f>
        <v>82749522</v>
      </c>
      <c r="AE3114" s="13">
        <f>$E3114+24</f>
        <v>131</v>
      </c>
      <c r="AF3114" s="14">
        <f>IF($J3114=0,0,ROUND(MAX($J3114*1.4*1.5*1.6*1.6*2.2*2.715*2.6*1.4*1.4*1.5*1.5,18900000000*(1.65331^(MIN($E3114,123)-117)))*1,0))</f>
        <v>123856521</v>
      </c>
      <c r="AG3114" s="11">
        <f>$E3114+27</f>
        <v>134</v>
      </c>
      <c r="AH3114" s="12">
        <f>IF($J3114=0,0,ROUND(MAX($J3114*1.4*1.5*1.6*1.6*2.2*2.715*2.6*1.4*1.4*1.5*1.5*3.2,60500000000*(1.654288^(MIN($E3114,123)-117)))*1,0))</f>
        <v>394134254</v>
      </c>
    </row>
    <row r="3115" ht="28" customHeight="1" spans="1:34" x14ac:dyDescent="0.25">
      <c r="A3115">
        <v>3125</v>
      </c>
      <c r="B3115" t="s">
        <v>91</v>
      </c>
      <c r="C3115" s="10" t="s">
        <v>1704</v>
      </c>
      <c r="D3115" t="s">
        <v>47</v>
      </c>
      <c r="E3115">
        <v>107</v>
      </c>
      <c r="F3115" t="s">
        <v>71</v>
      </c>
      <c r="G3115" t="s">
        <v>562</v>
      </c>
      <c r="H3115">
        <v>20</v>
      </c>
      <c r="I3115" s="11">
        <f>$E3115+0</f>
        <v>107</v>
      </c>
      <c r="J3115" s="12">
        <v>71300</v>
      </c>
      <c r="K3115" s="13">
        <f>$E3115+1</f>
        <v>108</v>
      </c>
      <c r="L3115" s="14">
        <f>IF($J3115=0,0,ROUND(MAX($J3115*1.4,1620000*(1.497923^(MIN($E3115,123)-117)))*1,0))</f>
        <v>99820</v>
      </c>
      <c r="M3115" s="11">
        <f>$E3115+2</f>
        <v>109</v>
      </c>
      <c r="N3115" s="12">
        <f>IF($J3115=0,0,ROUND(MAX($J3115*1.4*1.5,2190000*(1.580994^(MIN($E3115,123)-117)))*1,0))</f>
        <v>149730</v>
      </c>
      <c r="O3115" s="13">
        <f>$E3115+4</f>
        <v>111</v>
      </c>
      <c r="P3115" s="14">
        <f>IF($J3115=0,0,ROUND(MAX($J3115*1.4*1.5*1.6,3500000*(1.57975^(MIN($E3115,123)-117)))*1,0))</f>
        <v>239568</v>
      </c>
      <c r="Q3115" s="11">
        <f>$E3115+6</f>
        <v>113</v>
      </c>
      <c r="R3115" s="12">
        <f>IF($J3115=0,0,ROUND(MAX($J3115*1.4*1.5*1.6*1.6,13100000*(1.429962^(MIN($E3115,123)-117)))*1,0))</f>
        <v>383309</v>
      </c>
      <c r="S3115" s="13">
        <f>$E3115+8</f>
        <v>115</v>
      </c>
      <c r="T3115" s="14">
        <f>IF($J3115=0,0,ROUND(MAX($J3115*1.4*1.5*1.6*1.6*2.2,42600000*(1.576904^(MIN($E3115,123)-117)))*1,0))</f>
        <v>843279</v>
      </c>
      <c r="U3115" s="11">
        <f>$E3115+11</f>
        <v>118</v>
      </c>
      <c r="V3115" s="12">
        <f>IF($J3115=0,0,ROUND(MAX($J3115*1.4*1.5*1.6*1.6*2.2*2.715,354000000*(1.642074^(MIN($E3115,123)-117)))*1,0))</f>
        <v>2483568</v>
      </c>
      <c r="W3115" s="13">
        <f>$E3115+15</f>
        <v>122</v>
      </c>
      <c r="X3115" s="14">
        <f>IF($J3115=0,0,ROUND(MAX($J3115*1.4*1.5*1.6*1.6*2.2*2.715*2.6,3540000000*(1.579646^(MIN($E3115,123)-117)))*1,0))</f>
        <v>36593634</v>
      </c>
      <c r="Y3115" s="11">
        <f>$E3115+17</f>
        <v>124</v>
      </c>
      <c r="Z3115" s="12">
        <f>IF($J3115=0,0,ROUND(MAX($J3115*1.4*1.5*1.6*1.6*2.2*2.715*2.6*1.4,6020000000*(1.651178^(MIN($E3115,123)-117)))*1,0))</f>
        <v>39962952</v>
      </c>
      <c r="AA3115" s="13">
        <f>$E3115+19</f>
        <v>126</v>
      </c>
      <c r="AB3115" s="14">
        <f>IF($J3115=0,0,ROUND(MAX($J3115*1.4*1.5*1.6*1.6*2.2*2.715*2.6*1.4*1.4,8430000000*(1.651435^(MIN($E3115,123)-117)))*1,0))</f>
        <v>55874381</v>
      </c>
      <c r="AC3115" s="11">
        <f>$E3115+21</f>
        <v>128</v>
      </c>
      <c r="AD3115" s="12">
        <f>IF($J3115=0,0,ROUND(MAX($J3115*1.4*1.5*1.6*1.6*2.2*2.715*2.6*1.4*1.4*1.5,12600000000*(1.652953^(MIN($E3115,123)-117)))*1,0))</f>
        <v>82749522</v>
      </c>
      <c r="AE3115" s="13">
        <f>$E3115+24</f>
        <v>131</v>
      </c>
      <c r="AF3115" s="14">
        <f>IF($J3115=0,0,ROUND(MAX($J3115*1.4*1.5*1.6*1.6*2.2*2.715*2.6*1.4*1.4*1.5*1.5,18900000000*(1.65331^(MIN($E3115,123)-117)))*1,0))</f>
        <v>123856521</v>
      </c>
      <c r="AG3115" s="11">
        <f>$E3115+27</f>
        <v>134</v>
      </c>
      <c r="AH3115" s="12">
        <f>IF($J3115=0,0,ROUND(MAX($J3115*1.4*1.5*1.6*1.6*2.2*2.715*2.6*1.4*1.4*1.5*1.5*3.2,60500000000*(1.654288^(MIN($E3115,123)-117)))*1,0))</f>
        <v>394134254</v>
      </c>
    </row>
    <row r="3116" ht="28" customHeight="1" spans="1:34" x14ac:dyDescent="0.25">
      <c r="A3116">
        <v>3126</v>
      </c>
      <c r="B3116" t="s">
        <v>771</v>
      </c>
      <c r="C3116" s="10" t="s">
        <v>1704</v>
      </c>
      <c r="D3116" t="s">
        <v>40</v>
      </c>
      <c r="E3116">
        <v>106</v>
      </c>
      <c r="F3116" t="s">
        <v>26</v>
      </c>
      <c r="G3116" t="s">
        <v>562</v>
      </c>
      <c r="H3116">
        <v>24</v>
      </c>
      <c r="I3116" s="11">
        <f>$E3116+0</f>
        <v>106</v>
      </c>
      <c r="J3116" s="12">
        <v>10300</v>
      </c>
      <c r="K3116" s="13">
        <f>$E3116+1</f>
        <v>107</v>
      </c>
      <c r="L3116" s="14">
        <f>IF($J3116=0,0,ROUND(MAX($J3116*1.4,1620000*(1.497923^(MIN($E3116,123)-117)))*1,0))</f>
        <v>19017</v>
      </c>
      <c r="M3116" s="11">
        <f>$E3116+2</f>
        <v>108</v>
      </c>
      <c r="N3116" s="12">
        <f>IF($J3116=0,0,ROUND(MAX($J3116*1.4*1.5,2190000*(1.580994^(MIN($E3116,123)-117)))*1,0))</f>
        <v>21630</v>
      </c>
      <c r="O3116" s="13">
        <f>$E3116+4</f>
        <v>110</v>
      </c>
      <c r="P3116" s="14">
        <f>IF($J3116=0,0,ROUND(MAX($J3116*1.4*1.5*1.6,3500000*(1.57975^(MIN($E3116,123)-117)))*1,0))</f>
        <v>34608</v>
      </c>
      <c r="Q3116" s="11">
        <f>$E3116+6</f>
        <v>112</v>
      </c>
      <c r="R3116" s="12">
        <f>IF($J3116=0,0,ROUND(MAX($J3116*1.4*1.5*1.6*1.6,13100000*(1.429962^(MIN($E3116,123)-117)))*1,0))</f>
        <v>256272</v>
      </c>
      <c r="S3116" s="13">
        <f>$E3116+8</f>
        <v>114</v>
      </c>
      <c r="T3116" s="14">
        <f>IF($J3116=0,0,ROUND(MAX($J3116*1.4*1.5*1.6*1.6*2.2,42600000*(1.576904^(MIN($E3116,123)-117)))*1,0))</f>
        <v>284153</v>
      </c>
      <c r="U3116" s="11">
        <f>$E3116+11</f>
        <v>117</v>
      </c>
      <c r="V3116" s="12">
        <f>IF($J3116=0,0,ROUND(MAX($J3116*1.4*1.5*1.6*1.6*2.2*2.715,354000000*(1.642074^(MIN($E3116,123)-117)))*1,0))</f>
        <v>1512458</v>
      </c>
      <c r="W3116" s="13">
        <f>$E3116+15</f>
        <v>121</v>
      </c>
      <c r="X3116" s="14">
        <f>IF($J3116=0,0,ROUND(MAX($J3116*1.4*1.5*1.6*1.6*2.2*2.715*2.6,3540000000*(1.579646^(MIN($E3116,123)-117)))*1,0))</f>
        <v>23165718</v>
      </c>
      <c r="Y3116" s="11">
        <f>$E3116+17</f>
        <v>123</v>
      </c>
      <c r="Z3116" s="12">
        <f>IF($J3116=0,0,ROUND(MAX($J3116*1.4*1.5*1.6*1.6*2.2*2.715*2.6*1.4,6020000000*(1.651178^(MIN($E3116,123)-117)))*1,0))</f>
        <v>24202691</v>
      </c>
      <c r="AA3116" s="13">
        <f>$E3116+19</f>
        <v>125</v>
      </c>
      <c r="AB3116" s="14">
        <f>IF($J3116=0,0,ROUND(MAX($J3116*1.4*1.5*1.6*1.6*2.2*2.715*2.6*1.4*1.4,8430000000*(1.651435^(MIN($E3116,123)-117)))*1,0))</f>
        <v>33833836</v>
      </c>
      <c r="AC3116" s="11">
        <f>$E3116+21</f>
        <v>127</v>
      </c>
      <c r="AD3116" s="12">
        <f>IF($J3116=0,0,ROUND(MAX($J3116*1.4*1.5*1.6*1.6*2.2*2.715*2.6*1.4*1.4*1.5,12600000000*(1.652953^(MIN($E3116,123)-117)))*1,0))</f>
        <v>50061630</v>
      </c>
      <c r="AE3116" s="13">
        <f>$E3116+24</f>
        <v>130</v>
      </c>
      <c r="AF3116" s="14">
        <f>IF($J3116=0,0,ROUND(MAX($J3116*1.4*1.5*1.6*1.6*2.2*2.715*2.6*1.4*1.4*1.5*1.5,18900000000*(1.65331^(MIN($E3116,123)-117)))*1,0))</f>
        <v>74914276</v>
      </c>
      <c r="AG3116" s="11">
        <f>$E3116+27</f>
        <v>133</v>
      </c>
      <c r="AH3116" s="12">
        <f>IF($J3116=0,0,ROUND(MAX($J3116*1.4*1.5*1.6*1.6*2.2*2.715*2.6*1.4*1.4*1.5*1.5*3.2,60500000000*(1.654288^(MIN($E3116,123)-117)))*1,0))</f>
        <v>238250083</v>
      </c>
    </row>
    <row r="3117" ht="28" customHeight="1" spans="1:34" x14ac:dyDescent="0.25">
      <c r="A3117">
        <v>3127</v>
      </c>
      <c r="B3117" t="s">
        <v>192</v>
      </c>
      <c r="C3117" s="10" t="s">
        <v>1704</v>
      </c>
      <c r="D3117" t="s">
        <v>40</v>
      </c>
      <c r="E3117">
        <v>106</v>
      </c>
      <c r="F3117" t="s">
        <v>56</v>
      </c>
      <c r="G3117" t="s">
        <v>562</v>
      </c>
      <c r="H3117">
        <v>24</v>
      </c>
      <c r="I3117" s="11">
        <f>$E3117+0</f>
        <v>106</v>
      </c>
      <c r="J3117" s="12">
        <v>20200</v>
      </c>
      <c r="K3117" s="13">
        <f>$E3117+1</f>
        <v>107</v>
      </c>
      <c r="L3117" s="14">
        <f>IF($J3117=0,0,ROUND(MAX($J3117*1.4,1620000*(1.497923^(MIN($E3117,123)-117)))*1,0))</f>
        <v>28280</v>
      </c>
      <c r="M3117" s="11">
        <f>$E3117+2</f>
        <v>108</v>
      </c>
      <c r="N3117" s="12">
        <f>IF($J3117=0,0,ROUND(MAX($J3117*1.4*1.5,2190000*(1.580994^(MIN($E3117,123)-117)))*1,0))</f>
        <v>42420</v>
      </c>
      <c r="O3117" s="13">
        <f>$E3117+4</f>
        <v>110</v>
      </c>
      <c r="P3117" s="14">
        <f>IF($J3117=0,0,ROUND(MAX($J3117*1.4*1.5*1.6,3500000*(1.57975^(MIN($E3117,123)-117)))*1,0))</f>
        <v>67872</v>
      </c>
      <c r="Q3117" s="11">
        <f>$E3117+6</f>
        <v>112</v>
      </c>
      <c r="R3117" s="12">
        <f>IF($J3117=0,0,ROUND(MAX($J3117*1.4*1.5*1.6*1.6,13100000*(1.429962^(MIN($E3117,123)-117)))*1,0))</f>
        <v>256272</v>
      </c>
      <c r="S3117" s="13">
        <f>$E3117+8</f>
        <v>114</v>
      </c>
      <c r="T3117" s="14">
        <f>IF($J3117=0,0,ROUND(MAX($J3117*1.4*1.5*1.6*1.6*2.2,42600000*(1.576904^(MIN($E3117,123)-117)))*1,0))</f>
        <v>284153</v>
      </c>
      <c r="U3117" s="11">
        <f>$E3117+11</f>
        <v>117</v>
      </c>
      <c r="V3117" s="12">
        <f>IF($J3117=0,0,ROUND(MAX($J3117*1.4*1.5*1.6*1.6*2.2*2.715,354000000*(1.642074^(MIN($E3117,123)-117)))*1,0))</f>
        <v>1512458</v>
      </c>
      <c r="W3117" s="13">
        <f>$E3117+15</f>
        <v>121</v>
      </c>
      <c r="X3117" s="14">
        <f>IF($J3117=0,0,ROUND(MAX($J3117*1.4*1.5*1.6*1.6*2.2*2.715*2.6,3540000000*(1.579646^(MIN($E3117,123)-117)))*1,0))</f>
        <v>23165718</v>
      </c>
      <c r="Y3117" s="11">
        <f>$E3117+17</f>
        <v>123</v>
      </c>
      <c r="Z3117" s="12">
        <f>IF($J3117=0,0,ROUND(MAX($J3117*1.4*1.5*1.6*1.6*2.2*2.715*2.6*1.4,6020000000*(1.651178^(MIN($E3117,123)-117)))*1,0))</f>
        <v>24202691</v>
      </c>
      <c r="AA3117" s="13">
        <f>$E3117+19</f>
        <v>125</v>
      </c>
      <c r="AB3117" s="14">
        <f>IF($J3117=0,0,ROUND(MAX($J3117*1.4*1.5*1.6*1.6*2.2*2.715*2.6*1.4*1.4,8430000000*(1.651435^(MIN($E3117,123)-117)))*1,0))</f>
        <v>33833836</v>
      </c>
      <c r="AC3117" s="11">
        <f>$E3117+21</f>
        <v>127</v>
      </c>
      <c r="AD3117" s="12">
        <f>IF($J3117=0,0,ROUND(MAX($J3117*1.4*1.5*1.6*1.6*2.2*2.715*2.6*1.4*1.4*1.5,12600000000*(1.652953^(MIN($E3117,123)-117)))*1,0))</f>
        <v>50061630</v>
      </c>
      <c r="AE3117" s="13">
        <f>$E3117+24</f>
        <v>130</v>
      </c>
      <c r="AF3117" s="14">
        <f>IF($J3117=0,0,ROUND(MAX($J3117*1.4*1.5*1.6*1.6*2.2*2.715*2.6*1.4*1.4*1.5*1.5,18900000000*(1.65331^(MIN($E3117,123)-117)))*1,0))</f>
        <v>74914276</v>
      </c>
      <c r="AG3117" s="11">
        <f>$E3117+27</f>
        <v>133</v>
      </c>
      <c r="AH3117" s="12">
        <f>IF($J3117=0,0,ROUND(MAX($J3117*1.4*1.5*1.6*1.6*2.2*2.715*2.6*1.4*1.4*1.5*1.5*3.2,60500000000*(1.654288^(MIN($E3117,123)-117)))*1,0))</f>
        <v>238250083</v>
      </c>
    </row>
    <row r="3118" ht="28" customHeight="1" spans="1:34" x14ac:dyDescent="0.25">
      <c r="A3118">
        <v>3128</v>
      </c>
      <c r="B3118" t="s">
        <v>175</v>
      </c>
      <c r="C3118" s="10" t="s">
        <v>1704</v>
      </c>
      <c r="D3118" t="s">
        <v>33</v>
      </c>
      <c r="E3118">
        <v>106</v>
      </c>
      <c r="F3118" t="s">
        <v>54</v>
      </c>
      <c r="G3118" t="s">
        <v>562</v>
      </c>
      <c r="H3118">
        <v>24</v>
      </c>
      <c r="I3118" s="11">
        <f>$E3118+0</f>
        <v>106</v>
      </c>
      <c r="J3118" s="12">
        <v>16900</v>
      </c>
      <c r="K3118" s="13">
        <f>$E3118+1</f>
        <v>107</v>
      </c>
      <c r="L3118" s="14">
        <f>IF($J3118=0,0,ROUND(MAX($J3118*1.4,1620000*(1.497923^(MIN($E3118,123)-117)))*1,0))</f>
        <v>23660</v>
      </c>
      <c r="M3118" s="11">
        <f>$E3118+2</f>
        <v>108</v>
      </c>
      <c r="N3118" s="12">
        <f>IF($J3118=0,0,ROUND(MAX($J3118*1.4*1.5,2190000*(1.580994^(MIN($E3118,123)-117)))*1,0))</f>
        <v>35490</v>
      </c>
      <c r="O3118" s="13">
        <f>$E3118+4</f>
        <v>110</v>
      </c>
      <c r="P3118" s="14">
        <f>IF($J3118=0,0,ROUND(MAX($J3118*1.4*1.5*1.6,3500000*(1.57975^(MIN($E3118,123)-117)))*1,0))</f>
        <v>56784</v>
      </c>
      <c r="Q3118" s="11">
        <f>$E3118+6</f>
        <v>112</v>
      </c>
      <c r="R3118" s="12">
        <f>IF($J3118=0,0,ROUND(MAX($J3118*1.4*1.5*1.6*1.6,13100000*(1.429962^(MIN($E3118,123)-117)))*1,0))</f>
        <v>256272</v>
      </c>
      <c r="S3118" s="13">
        <f>$E3118+8</f>
        <v>114</v>
      </c>
      <c r="T3118" s="14">
        <f>IF($J3118=0,0,ROUND(MAX($J3118*1.4*1.5*1.6*1.6*2.2,42600000*(1.576904^(MIN($E3118,123)-117)))*1,0))</f>
        <v>284153</v>
      </c>
      <c r="U3118" s="11">
        <f>$E3118+11</f>
        <v>117</v>
      </c>
      <c r="V3118" s="12">
        <f>IF($J3118=0,0,ROUND(MAX($J3118*1.4*1.5*1.6*1.6*2.2*2.715,354000000*(1.642074^(MIN($E3118,123)-117)))*1,0))</f>
        <v>1512458</v>
      </c>
      <c r="W3118" s="13">
        <f>$E3118+15</f>
        <v>121</v>
      </c>
      <c r="X3118" s="14">
        <f>IF($J3118=0,0,ROUND(MAX($J3118*1.4*1.5*1.6*1.6*2.2*2.715*2.6,3540000000*(1.579646^(MIN($E3118,123)-117)))*1,0))</f>
        <v>23165718</v>
      </c>
      <c r="Y3118" s="11">
        <f>$E3118+17</f>
        <v>123</v>
      </c>
      <c r="Z3118" s="12">
        <f>IF($J3118=0,0,ROUND(MAX($J3118*1.4*1.5*1.6*1.6*2.2*2.715*2.6*1.4,6020000000*(1.651178^(MIN($E3118,123)-117)))*1,0))</f>
        <v>24202691</v>
      </c>
      <c r="AA3118" s="13">
        <f>$E3118+19</f>
        <v>125</v>
      </c>
      <c r="AB3118" s="14">
        <f>IF($J3118=0,0,ROUND(MAX($J3118*1.4*1.5*1.6*1.6*2.2*2.715*2.6*1.4*1.4,8430000000*(1.651435^(MIN($E3118,123)-117)))*1,0))</f>
        <v>33833836</v>
      </c>
      <c r="AC3118" s="11">
        <f>$E3118+21</f>
        <v>127</v>
      </c>
      <c r="AD3118" s="12">
        <f>IF($J3118=0,0,ROUND(MAX($J3118*1.4*1.5*1.6*1.6*2.2*2.715*2.6*1.4*1.4*1.5,12600000000*(1.652953^(MIN($E3118,123)-117)))*1,0))</f>
        <v>50061630</v>
      </c>
      <c r="AE3118" s="13">
        <f>$E3118+24</f>
        <v>130</v>
      </c>
      <c r="AF3118" s="14">
        <f>IF($J3118=0,0,ROUND(MAX($J3118*1.4*1.5*1.6*1.6*2.2*2.715*2.6*1.4*1.4*1.5*1.5,18900000000*(1.65331^(MIN($E3118,123)-117)))*1,0))</f>
        <v>74914276</v>
      </c>
      <c r="AG3118" s="11">
        <f>$E3118+27</f>
        <v>133</v>
      </c>
      <c r="AH3118" s="12">
        <f>IF($J3118=0,0,ROUND(MAX($J3118*1.4*1.5*1.6*1.6*2.2*2.715*2.6*1.4*1.4*1.5*1.5*3.2,60500000000*(1.654288^(MIN($E3118,123)-117)))*1,0))</f>
        <v>238250083</v>
      </c>
    </row>
    <row r="3119" ht="28" customHeight="1" spans="1:34" x14ac:dyDescent="0.25">
      <c r="A3119">
        <v>3129</v>
      </c>
      <c r="B3119" t="s">
        <v>157</v>
      </c>
      <c r="C3119" s="10" t="s">
        <v>1704</v>
      </c>
      <c r="D3119" t="s">
        <v>40</v>
      </c>
      <c r="E3119">
        <v>106</v>
      </c>
      <c r="F3119" t="s">
        <v>71</v>
      </c>
      <c r="G3119" t="s">
        <v>562</v>
      </c>
      <c r="H3119">
        <v>24</v>
      </c>
      <c r="I3119" s="11">
        <f>$E3119+0</f>
        <v>106</v>
      </c>
      <c r="J3119" s="12">
        <v>8960</v>
      </c>
      <c r="K3119" s="13">
        <f>$E3119+1</f>
        <v>107</v>
      </c>
      <c r="L3119" s="14">
        <f>IF($J3119=0,0,ROUND(MAX($J3119*1.4,1620000*(1.497923^(MIN($E3119,123)-117)))*1,0))</f>
        <v>19017</v>
      </c>
      <c r="M3119" s="11">
        <f>$E3119+2</f>
        <v>108</v>
      </c>
      <c r="N3119" s="12">
        <f>IF($J3119=0,0,ROUND(MAX($J3119*1.4*1.5,2190000*(1.580994^(MIN($E3119,123)-117)))*1,0))</f>
        <v>18816</v>
      </c>
      <c r="O3119" s="13">
        <f>$E3119+4</f>
        <v>110</v>
      </c>
      <c r="P3119" s="14">
        <f>IF($J3119=0,0,ROUND(MAX($J3119*1.4*1.5*1.6,3500000*(1.57975^(MIN($E3119,123)-117)))*1,0))</f>
        <v>30106</v>
      </c>
      <c r="Q3119" s="11">
        <f>$E3119+6</f>
        <v>112</v>
      </c>
      <c r="R3119" s="12">
        <f>IF($J3119=0,0,ROUND(MAX($J3119*1.4*1.5*1.6*1.6,13100000*(1.429962^(MIN($E3119,123)-117)))*1,0))</f>
        <v>256272</v>
      </c>
      <c r="S3119" s="13">
        <f>$E3119+8</f>
        <v>114</v>
      </c>
      <c r="T3119" s="14">
        <f>IF($J3119=0,0,ROUND(MAX($J3119*1.4*1.5*1.6*1.6*2.2,42600000*(1.576904^(MIN($E3119,123)-117)))*1,0))</f>
        <v>284153</v>
      </c>
      <c r="U3119" s="11">
        <f>$E3119+11</f>
        <v>117</v>
      </c>
      <c r="V3119" s="12">
        <f>IF($J3119=0,0,ROUND(MAX($J3119*1.4*1.5*1.6*1.6*2.2*2.715,354000000*(1.642074^(MIN($E3119,123)-117)))*1,0))</f>
        <v>1512458</v>
      </c>
      <c r="W3119" s="13">
        <f>$E3119+15</f>
        <v>121</v>
      </c>
      <c r="X3119" s="14">
        <f>IF($J3119=0,0,ROUND(MAX($J3119*1.4*1.5*1.6*1.6*2.2*2.715*2.6,3540000000*(1.579646^(MIN($E3119,123)-117)))*1,0))</f>
        <v>23165718</v>
      </c>
      <c r="Y3119" s="11">
        <f>$E3119+17</f>
        <v>123</v>
      </c>
      <c r="Z3119" s="12">
        <f>IF($J3119=0,0,ROUND(MAX($J3119*1.4*1.5*1.6*1.6*2.2*2.715*2.6*1.4,6020000000*(1.651178^(MIN($E3119,123)-117)))*1,0))</f>
        <v>24202691</v>
      </c>
      <c r="AA3119" s="13">
        <f>$E3119+19</f>
        <v>125</v>
      </c>
      <c r="AB3119" s="14">
        <f>IF($J3119=0,0,ROUND(MAX($J3119*1.4*1.5*1.6*1.6*2.2*2.715*2.6*1.4*1.4,8430000000*(1.651435^(MIN($E3119,123)-117)))*1,0))</f>
        <v>33833836</v>
      </c>
      <c r="AC3119" s="11">
        <f>$E3119+21</f>
        <v>127</v>
      </c>
      <c r="AD3119" s="12">
        <f>IF($J3119=0,0,ROUND(MAX($J3119*1.4*1.5*1.6*1.6*2.2*2.715*2.6*1.4*1.4*1.5,12600000000*(1.652953^(MIN($E3119,123)-117)))*1,0))</f>
        <v>50061630</v>
      </c>
      <c r="AE3119" s="13">
        <f>$E3119+24</f>
        <v>130</v>
      </c>
      <c r="AF3119" s="14">
        <f>IF($J3119=0,0,ROUND(MAX($J3119*1.4*1.5*1.6*1.6*2.2*2.715*2.6*1.4*1.4*1.5*1.5,18900000000*(1.65331^(MIN($E3119,123)-117)))*1,0))</f>
        <v>74914276</v>
      </c>
      <c r="AG3119" s="11">
        <f>$E3119+27</f>
        <v>133</v>
      </c>
      <c r="AH3119" s="12">
        <f>IF($J3119=0,0,ROUND(MAX($J3119*1.4*1.5*1.6*1.6*2.2*2.715*2.6*1.4*1.4*1.5*1.5*3.2,60500000000*(1.654288^(MIN($E3119,123)-117)))*1,0))</f>
        <v>238250083</v>
      </c>
    </row>
    <row r="3120" ht="28" customHeight="1" spans="1:34" x14ac:dyDescent="0.25">
      <c r="A3120">
        <v>3130</v>
      </c>
      <c r="B3120" t="s">
        <v>122</v>
      </c>
      <c r="C3120" s="10" t="s">
        <v>1704</v>
      </c>
      <c r="D3120" t="s">
        <v>40</v>
      </c>
      <c r="E3120">
        <v>106</v>
      </c>
      <c r="F3120" t="s">
        <v>123</v>
      </c>
      <c r="G3120" t="s">
        <v>562</v>
      </c>
      <c r="H3120">
        <v>24</v>
      </c>
      <c r="I3120" s="11">
        <f>$E3120+0</f>
        <v>106</v>
      </c>
      <c r="J3120" s="12">
        <v>15200</v>
      </c>
      <c r="K3120" s="13">
        <f>$E3120+1</f>
        <v>107</v>
      </c>
      <c r="L3120" s="14">
        <f>IF($J3120=0,0,ROUND(MAX($J3120*1.4,1620000*(1.497923^(MIN($E3120,123)-117)))*1,0))</f>
        <v>21280</v>
      </c>
      <c r="M3120" s="11">
        <f>$E3120+2</f>
        <v>108</v>
      </c>
      <c r="N3120" s="12">
        <f>IF($J3120=0,0,ROUND(MAX($J3120*1.4*1.5,2190000*(1.580994^(MIN($E3120,123)-117)))*1,0))</f>
        <v>31920</v>
      </c>
      <c r="O3120" s="13">
        <f>$E3120+4</f>
        <v>110</v>
      </c>
      <c r="P3120" s="14">
        <f>IF($J3120=0,0,ROUND(MAX($J3120*1.4*1.5*1.6,3500000*(1.57975^(MIN($E3120,123)-117)))*1,0))</f>
        <v>51072</v>
      </c>
      <c r="Q3120" s="11">
        <f>$E3120+6</f>
        <v>112</v>
      </c>
      <c r="R3120" s="12">
        <f>IF($J3120=0,0,ROUND(MAX($J3120*1.4*1.5*1.6*1.6,13100000*(1.429962^(MIN($E3120,123)-117)))*1,0))</f>
        <v>256272</v>
      </c>
      <c r="S3120" s="13">
        <f>$E3120+8</f>
        <v>114</v>
      </c>
      <c r="T3120" s="14">
        <f>IF($J3120=0,0,ROUND(MAX($J3120*1.4*1.5*1.6*1.6*2.2,42600000*(1.576904^(MIN($E3120,123)-117)))*1,0))</f>
        <v>284153</v>
      </c>
      <c r="U3120" s="11">
        <f>$E3120+11</f>
        <v>117</v>
      </c>
      <c r="V3120" s="12">
        <f>IF($J3120=0,0,ROUND(MAX($J3120*1.4*1.5*1.6*1.6*2.2*2.715,354000000*(1.642074^(MIN($E3120,123)-117)))*1,0))</f>
        <v>1512458</v>
      </c>
      <c r="W3120" s="13">
        <f>$E3120+15</f>
        <v>121</v>
      </c>
      <c r="X3120" s="14">
        <f>IF($J3120=0,0,ROUND(MAX($J3120*1.4*1.5*1.6*1.6*2.2*2.715*2.6,3540000000*(1.579646^(MIN($E3120,123)-117)))*1,0))</f>
        <v>23165718</v>
      </c>
      <c r="Y3120" s="11">
        <f>$E3120+17</f>
        <v>123</v>
      </c>
      <c r="Z3120" s="12">
        <f>IF($J3120=0,0,ROUND(MAX($J3120*1.4*1.5*1.6*1.6*2.2*2.715*2.6*1.4,6020000000*(1.651178^(MIN($E3120,123)-117)))*1,0))</f>
        <v>24202691</v>
      </c>
      <c r="AA3120" s="13">
        <f>$E3120+19</f>
        <v>125</v>
      </c>
      <c r="AB3120" s="14">
        <f>IF($J3120=0,0,ROUND(MAX($J3120*1.4*1.5*1.6*1.6*2.2*2.715*2.6*1.4*1.4,8430000000*(1.651435^(MIN($E3120,123)-117)))*1,0))</f>
        <v>33833836</v>
      </c>
      <c r="AC3120" s="11">
        <f>$E3120+21</f>
        <v>127</v>
      </c>
      <c r="AD3120" s="12">
        <f>IF($J3120=0,0,ROUND(MAX($J3120*1.4*1.5*1.6*1.6*2.2*2.715*2.6*1.4*1.4*1.5,12600000000*(1.652953^(MIN($E3120,123)-117)))*1,0))</f>
        <v>50061630</v>
      </c>
      <c r="AE3120" s="13">
        <f>$E3120+24</f>
        <v>130</v>
      </c>
      <c r="AF3120" s="14">
        <f>IF($J3120=0,0,ROUND(MAX($J3120*1.4*1.5*1.6*1.6*2.2*2.715*2.6*1.4*1.4*1.5*1.5,18900000000*(1.65331^(MIN($E3120,123)-117)))*1,0))</f>
        <v>74914276</v>
      </c>
      <c r="AG3120" s="11">
        <f>$E3120+27</f>
        <v>133</v>
      </c>
      <c r="AH3120" s="12">
        <f>IF($J3120=0,0,ROUND(MAX($J3120*1.4*1.5*1.6*1.6*2.2*2.715*2.6*1.4*1.4*1.5*1.5*3.2,60500000000*(1.654288^(MIN($E3120,123)-117)))*1,0))</f>
        <v>238250083</v>
      </c>
    </row>
    <row r="3121" ht="28" customHeight="1" spans="1:34" x14ac:dyDescent="0.25">
      <c r="A3121">
        <v>3131</v>
      </c>
      <c r="B3121" t="s">
        <v>1705</v>
      </c>
      <c r="C3121" s="10" t="s">
        <v>1704</v>
      </c>
      <c r="D3121" t="s">
        <v>25</v>
      </c>
      <c r="E3121">
        <v>106</v>
      </c>
      <c r="F3121" t="s">
        <v>59</v>
      </c>
      <c r="G3121" t="s">
        <v>562</v>
      </c>
      <c r="H3121">
        <v>24</v>
      </c>
      <c r="I3121" s="11">
        <f>$E3121+0</f>
        <v>106</v>
      </c>
      <c r="J3121" s="12">
        <v>198000</v>
      </c>
      <c r="K3121" s="13">
        <f>$E3121+1</f>
        <v>107</v>
      </c>
      <c r="L3121" s="14">
        <f>IF($J3121=0,0,ROUND(MAX($J3121*1.4,1620000*(1.497923^(MIN($E3121,123)-117)))*1,0))</f>
        <v>277200</v>
      </c>
      <c r="M3121" s="11">
        <f>$E3121+2</f>
        <v>108</v>
      </c>
      <c r="N3121" s="12">
        <f>IF($J3121=0,0,ROUND(MAX($J3121*1.4*1.5,2190000*(1.580994^(MIN($E3121,123)-117)))*1,0))</f>
        <v>415800</v>
      </c>
      <c r="O3121" s="13">
        <f>$E3121+4</f>
        <v>110</v>
      </c>
      <c r="P3121" s="14">
        <f>IF($J3121=0,0,ROUND(MAX($J3121*1.4*1.5*1.6,3500000*(1.57975^(MIN($E3121,123)-117)))*1,0))</f>
        <v>665280</v>
      </c>
      <c r="Q3121" s="11">
        <f>$E3121+6</f>
        <v>112</v>
      </c>
      <c r="R3121" s="12">
        <f>IF($J3121=0,0,ROUND(MAX($J3121*1.4*1.5*1.6*1.6,13100000*(1.429962^(MIN($E3121,123)-117)))*1,0))</f>
        <v>1064448</v>
      </c>
      <c r="S3121" s="13">
        <f>$E3121+8</f>
        <v>114</v>
      </c>
      <c r="T3121" s="14">
        <f>IF($J3121=0,0,ROUND(MAX($J3121*1.4*1.5*1.6*1.6*2.2,42600000*(1.576904^(MIN($E3121,123)-117)))*1,0))</f>
        <v>2341786</v>
      </c>
      <c r="U3121" s="11">
        <f>$E3121+11</f>
        <v>117</v>
      </c>
      <c r="V3121" s="12">
        <f>IF($J3121=0,0,ROUND(MAX($J3121*1.4*1.5*1.6*1.6*2.2*2.715,354000000*(1.642074^(MIN($E3121,123)-117)))*1,0))</f>
        <v>6357948</v>
      </c>
      <c r="W3121" s="13">
        <f>$E3121+15</f>
        <v>121</v>
      </c>
      <c r="X3121" s="14">
        <f>IF($J3121=0,0,ROUND(MAX($J3121*1.4*1.5*1.6*1.6*2.2*2.715*2.6,3540000000*(1.579646^(MIN($E3121,123)-117)))*1,0))</f>
        <v>23165718</v>
      </c>
      <c r="Y3121" s="11">
        <f>$E3121+17</f>
        <v>123</v>
      </c>
      <c r="Z3121" s="12">
        <f>IF($J3121=0,0,ROUND(MAX($J3121*1.4*1.5*1.6*1.6*2.2*2.715*2.6*1.4,6020000000*(1.651178^(MIN($E3121,123)-117)))*1,0))</f>
        <v>24202691</v>
      </c>
      <c r="AA3121" s="13">
        <f>$E3121+19</f>
        <v>125</v>
      </c>
      <c r="AB3121" s="14">
        <f>IF($J3121=0,0,ROUND(MAX($J3121*1.4*1.5*1.6*1.6*2.2*2.715*2.6*1.4*1.4,8430000000*(1.651435^(MIN($E3121,123)-117)))*1,0))</f>
        <v>33833836</v>
      </c>
      <c r="AC3121" s="11">
        <f>$E3121+21</f>
        <v>127</v>
      </c>
      <c r="AD3121" s="12">
        <f>IF($J3121=0,0,ROUND(MAX($J3121*1.4*1.5*1.6*1.6*2.2*2.715*2.6*1.4*1.4*1.5,12600000000*(1.652953^(MIN($E3121,123)-117)))*1,0))</f>
        <v>50061630</v>
      </c>
      <c r="AE3121" s="13">
        <f>$E3121+24</f>
        <v>130</v>
      </c>
      <c r="AF3121" s="14">
        <f>IF($J3121=0,0,ROUND(MAX($J3121*1.4*1.5*1.6*1.6*2.2*2.715*2.6*1.4*1.4*1.5*1.5,18900000000*(1.65331^(MIN($E3121,123)-117)))*1,0))</f>
        <v>74914276</v>
      </c>
      <c r="AG3121" s="11">
        <f>$E3121+27</f>
        <v>133</v>
      </c>
      <c r="AH3121" s="12">
        <f>IF($J3121=0,0,ROUND(MAX($J3121*1.4*1.5*1.6*1.6*2.2*2.715*2.6*1.4*1.4*1.5*1.5*3.2,60500000000*(1.654288^(MIN($E3121,123)-117)))*1,0))</f>
        <v>238250083</v>
      </c>
    </row>
    <row r="3122" ht="28" customHeight="1" spans="1:34" x14ac:dyDescent="0.25">
      <c r="A3122">
        <v>3132</v>
      </c>
      <c r="B3122" t="s">
        <v>127</v>
      </c>
      <c r="C3122" s="10" t="s">
        <v>1704</v>
      </c>
      <c r="D3122" t="s">
        <v>33</v>
      </c>
      <c r="E3122">
        <v>106</v>
      </c>
      <c r="F3122" t="s">
        <v>71</v>
      </c>
      <c r="G3122" t="s">
        <v>562</v>
      </c>
      <c r="H3122">
        <v>24</v>
      </c>
      <c r="I3122" s="11">
        <f>$E3122+0</f>
        <v>106</v>
      </c>
      <c r="J3122" s="12">
        <v>14500</v>
      </c>
      <c r="K3122" s="13">
        <f>$E3122+1</f>
        <v>107</v>
      </c>
      <c r="L3122" s="14">
        <f>IF($J3122=0,0,ROUND(MAX($J3122*1.4,1620000*(1.497923^(MIN($E3122,123)-117)))*1,0))</f>
        <v>20300</v>
      </c>
      <c r="M3122" s="11">
        <f>$E3122+2</f>
        <v>108</v>
      </c>
      <c r="N3122" s="12">
        <f>IF($J3122=0,0,ROUND(MAX($J3122*1.4*1.5,2190000*(1.580994^(MIN($E3122,123)-117)))*1,0))</f>
        <v>30450</v>
      </c>
      <c r="O3122" s="13">
        <f>$E3122+4</f>
        <v>110</v>
      </c>
      <c r="P3122" s="14">
        <f>IF($J3122=0,0,ROUND(MAX($J3122*1.4*1.5*1.6,3500000*(1.57975^(MIN($E3122,123)-117)))*1,0))</f>
        <v>48720</v>
      </c>
      <c r="Q3122" s="11">
        <f>$E3122+6</f>
        <v>112</v>
      </c>
      <c r="R3122" s="12">
        <f>IF($J3122=0,0,ROUND(MAX($J3122*1.4*1.5*1.6*1.6,13100000*(1.429962^(MIN($E3122,123)-117)))*1,0))</f>
        <v>256272</v>
      </c>
      <c r="S3122" s="13">
        <f>$E3122+8</f>
        <v>114</v>
      </c>
      <c r="T3122" s="14">
        <f>IF($J3122=0,0,ROUND(MAX($J3122*1.4*1.5*1.6*1.6*2.2,42600000*(1.576904^(MIN($E3122,123)-117)))*1,0))</f>
        <v>284153</v>
      </c>
      <c r="U3122" s="11">
        <f>$E3122+11</f>
        <v>117</v>
      </c>
      <c r="V3122" s="12">
        <f>IF($J3122=0,0,ROUND(MAX($J3122*1.4*1.5*1.6*1.6*2.2*2.715,354000000*(1.642074^(MIN($E3122,123)-117)))*1,0))</f>
        <v>1512458</v>
      </c>
      <c r="W3122" s="13">
        <f>$E3122+15</f>
        <v>121</v>
      </c>
      <c r="X3122" s="14">
        <f>IF($J3122=0,0,ROUND(MAX($J3122*1.4*1.5*1.6*1.6*2.2*2.715*2.6,3540000000*(1.579646^(MIN($E3122,123)-117)))*1,0))</f>
        <v>23165718</v>
      </c>
      <c r="Y3122" s="11">
        <f>$E3122+17</f>
        <v>123</v>
      </c>
      <c r="Z3122" s="12">
        <f>IF($J3122=0,0,ROUND(MAX($J3122*1.4*1.5*1.6*1.6*2.2*2.715*2.6*1.4,6020000000*(1.651178^(MIN($E3122,123)-117)))*1,0))</f>
        <v>24202691</v>
      </c>
      <c r="AA3122" s="13">
        <f>$E3122+19</f>
        <v>125</v>
      </c>
      <c r="AB3122" s="14">
        <f>IF($J3122=0,0,ROUND(MAX($J3122*1.4*1.5*1.6*1.6*2.2*2.715*2.6*1.4*1.4,8430000000*(1.651435^(MIN($E3122,123)-117)))*1,0))</f>
        <v>33833836</v>
      </c>
      <c r="AC3122" s="11">
        <f>$E3122+21</f>
        <v>127</v>
      </c>
      <c r="AD3122" s="12">
        <f>IF($J3122=0,0,ROUND(MAX($J3122*1.4*1.5*1.6*1.6*2.2*2.715*2.6*1.4*1.4*1.5,12600000000*(1.652953^(MIN($E3122,123)-117)))*1,0))</f>
        <v>50061630</v>
      </c>
      <c r="AE3122" s="13">
        <f>$E3122+24</f>
        <v>130</v>
      </c>
      <c r="AF3122" s="14">
        <f>IF($J3122=0,0,ROUND(MAX($J3122*1.4*1.5*1.6*1.6*2.2*2.715*2.6*1.4*1.4*1.5*1.5,18900000000*(1.65331^(MIN($E3122,123)-117)))*1,0))</f>
        <v>74914276</v>
      </c>
      <c r="AG3122" s="11">
        <f>$E3122+27</f>
        <v>133</v>
      </c>
      <c r="AH3122" s="12">
        <f>IF($J3122=0,0,ROUND(MAX($J3122*1.4*1.5*1.6*1.6*2.2*2.715*2.6*1.4*1.4*1.5*1.5*3.2,60500000000*(1.654288^(MIN($E3122,123)-117)))*1,0))</f>
        <v>238250083</v>
      </c>
    </row>
    <row r="3123" ht="28" customHeight="1" spans="1:34" x14ac:dyDescent="0.25">
      <c r="A3123">
        <v>3133</v>
      </c>
      <c r="B3123" t="s">
        <v>140</v>
      </c>
      <c r="C3123" s="10" t="s">
        <v>1704</v>
      </c>
      <c r="D3123" t="s">
        <v>40</v>
      </c>
      <c r="E3123">
        <v>106</v>
      </c>
      <c r="F3123" t="s">
        <v>56</v>
      </c>
      <c r="G3123" t="s">
        <v>562</v>
      </c>
      <c r="H3123">
        <v>24</v>
      </c>
      <c r="I3123" s="11">
        <f>$E3123+0</f>
        <v>106</v>
      </c>
      <c r="J3123" s="12">
        <v>14900</v>
      </c>
      <c r="K3123" s="13">
        <f>$E3123+1</f>
        <v>107</v>
      </c>
      <c r="L3123" s="14">
        <f>IF($J3123=0,0,ROUND(MAX($J3123*1.4,1620000*(1.497923^(MIN($E3123,123)-117)))*1,0))</f>
        <v>20860</v>
      </c>
      <c r="M3123" s="11">
        <f>$E3123+2</f>
        <v>108</v>
      </c>
      <c r="N3123" s="12">
        <f>IF($J3123=0,0,ROUND(MAX($J3123*1.4*1.5,2190000*(1.580994^(MIN($E3123,123)-117)))*1,0))</f>
        <v>31290</v>
      </c>
      <c r="O3123" s="13">
        <f>$E3123+4</f>
        <v>110</v>
      </c>
      <c r="P3123" s="14">
        <f>IF($J3123=0,0,ROUND(MAX($J3123*1.4*1.5*1.6,3500000*(1.57975^(MIN($E3123,123)-117)))*1,0))</f>
        <v>50064</v>
      </c>
      <c r="Q3123" s="11">
        <f>$E3123+6</f>
        <v>112</v>
      </c>
      <c r="R3123" s="12">
        <f>IF($J3123=0,0,ROUND(MAX($J3123*1.4*1.5*1.6*1.6,13100000*(1.429962^(MIN($E3123,123)-117)))*1,0))</f>
        <v>256272</v>
      </c>
      <c r="S3123" s="13">
        <f>$E3123+8</f>
        <v>114</v>
      </c>
      <c r="T3123" s="14">
        <f>IF($J3123=0,0,ROUND(MAX($J3123*1.4*1.5*1.6*1.6*2.2,42600000*(1.576904^(MIN($E3123,123)-117)))*1,0))</f>
        <v>284153</v>
      </c>
      <c r="U3123" s="11">
        <f>$E3123+11</f>
        <v>117</v>
      </c>
      <c r="V3123" s="12">
        <f>IF($J3123=0,0,ROUND(MAX($J3123*1.4*1.5*1.6*1.6*2.2*2.715,354000000*(1.642074^(MIN($E3123,123)-117)))*1,0))</f>
        <v>1512458</v>
      </c>
      <c r="W3123" s="13">
        <f>$E3123+15</f>
        <v>121</v>
      </c>
      <c r="X3123" s="14">
        <f>IF($J3123=0,0,ROUND(MAX($J3123*1.4*1.5*1.6*1.6*2.2*2.715*2.6,3540000000*(1.579646^(MIN($E3123,123)-117)))*1,0))</f>
        <v>23165718</v>
      </c>
      <c r="Y3123" s="11">
        <f>$E3123+17</f>
        <v>123</v>
      </c>
      <c r="Z3123" s="12">
        <f>IF($J3123=0,0,ROUND(MAX($J3123*1.4*1.5*1.6*1.6*2.2*2.715*2.6*1.4,6020000000*(1.651178^(MIN($E3123,123)-117)))*1,0))</f>
        <v>24202691</v>
      </c>
      <c r="AA3123" s="13">
        <f>$E3123+19</f>
        <v>125</v>
      </c>
      <c r="AB3123" s="14">
        <f>IF($J3123=0,0,ROUND(MAX($J3123*1.4*1.5*1.6*1.6*2.2*2.715*2.6*1.4*1.4,8430000000*(1.651435^(MIN($E3123,123)-117)))*1,0))</f>
        <v>33833836</v>
      </c>
      <c r="AC3123" s="11">
        <f>$E3123+21</f>
        <v>127</v>
      </c>
      <c r="AD3123" s="12">
        <f>IF($J3123=0,0,ROUND(MAX($J3123*1.4*1.5*1.6*1.6*2.2*2.715*2.6*1.4*1.4*1.5,12600000000*(1.652953^(MIN($E3123,123)-117)))*1,0))</f>
        <v>50061630</v>
      </c>
      <c r="AE3123" s="13">
        <f>$E3123+24</f>
        <v>130</v>
      </c>
      <c r="AF3123" s="14">
        <f>IF($J3123=0,0,ROUND(MAX($J3123*1.4*1.5*1.6*1.6*2.2*2.715*2.6*1.4*1.4*1.5*1.5,18900000000*(1.65331^(MIN($E3123,123)-117)))*1,0))</f>
        <v>74914276</v>
      </c>
      <c r="AG3123" s="11">
        <f>$E3123+27</f>
        <v>133</v>
      </c>
      <c r="AH3123" s="12">
        <f>IF($J3123=0,0,ROUND(MAX($J3123*1.4*1.5*1.6*1.6*2.2*2.715*2.6*1.4*1.4*1.5*1.5*3.2,60500000000*(1.654288^(MIN($E3123,123)-117)))*1,0))</f>
        <v>238250083</v>
      </c>
    </row>
    <row r="3124" ht="28" customHeight="1" spans="1:34" x14ac:dyDescent="0.25">
      <c r="A3124">
        <v>3134</v>
      </c>
      <c r="B3124" t="s">
        <v>187</v>
      </c>
      <c r="C3124" s="10" t="s">
        <v>1704</v>
      </c>
      <c r="D3124" t="s">
        <v>102</v>
      </c>
      <c r="E3124">
        <v>106</v>
      </c>
      <c r="F3124" t="s">
        <v>54</v>
      </c>
      <c r="G3124" t="s">
        <v>562</v>
      </c>
      <c r="H3124">
        <v>24</v>
      </c>
      <c r="I3124" s="11">
        <f>$E3124+0</f>
        <v>106</v>
      </c>
      <c r="J3124" s="12">
        <v>10200</v>
      </c>
      <c r="K3124" s="13">
        <f>$E3124+1</f>
        <v>107</v>
      </c>
      <c r="L3124" s="14">
        <f>IF($J3124=0,0,ROUND(MAX($J3124*1.4,1620000*(1.497923^(MIN($E3124,123)-117)))*1,0))</f>
        <v>19017</v>
      </c>
      <c r="M3124" s="11">
        <f>$E3124+2</f>
        <v>108</v>
      </c>
      <c r="N3124" s="12">
        <f>IF($J3124=0,0,ROUND(MAX($J3124*1.4*1.5,2190000*(1.580994^(MIN($E3124,123)-117)))*1,0))</f>
        <v>21420</v>
      </c>
      <c r="O3124" s="13">
        <f>$E3124+4</f>
        <v>110</v>
      </c>
      <c r="P3124" s="14">
        <f>IF($J3124=0,0,ROUND(MAX($J3124*1.4*1.5*1.6,3500000*(1.57975^(MIN($E3124,123)-117)))*1,0))</f>
        <v>34272</v>
      </c>
      <c r="Q3124" s="11">
        <f>$E3124+6</f>
        <v>112</v>
      </c>
      <c r="R3124" s="12">
        <f>IF($J3124=0,0,ROUND(MAX($J3124*1.4*1.5*1.6*1.6,13100000*(1.429962^(MIN($E3124,123)-117)))*1,0))</f>
        <v>256272</v>
      </c>
      <c r="S3124" s="13">
        <f>$E3124+8</f>
        <v>114</v>
      </c>
      <c r="T3124" s="14">
        <f>IF($J3124=0,0,ROUND(MAX($J3124*1.4*1.5*1.6*1.6*2.2,42600000*(1.576904^(MIN($E3124,123)-117)))*1,0))</f>
        <v>284153</v>
      </c>
      <c r="U3124" s="11">
        <f>$E3124+11</f>
        <v>117</v>
      </c>
      <c r="V3124" s="12">
        <f>IF($J3124=0,0,ROUND(MAX($J3124*1.4*1.5*1.6*1.6*2.2*2.715,354000000*(1.642074^(MIN($E3124,123)-117)))*1,0))</f>
        <v>1512458</v>
      </c>
      <c r="W3124" s="13">
        <f>$E3124+15</f>
        <v>121</v>
      </c>
      <c r="X3124" s="14">
        <f>IF($J3124=0,0,ROUND(MAX($J3124*1.4*1.5*1.6*1.6*2.2*2.715*2.6,3540000000*(1.579646^(MIN($E3124,123)-117)))*1,0))</f>
        <v>23165718</v>
      </c>
      <c r="Y3124" s="11">
        <f>$E3124+17</f>
        <v>123</v>
      </c>
      <c r="Z3124" s="12">
        <f>IF($J3124=0,0,ROUND(MAX($J3124*1.4*1.5*1.6*1.6*2.2*2.715*2.6*1.4,6020000000*(1.651178^(MIN($E3124,123)-117)))*1,0))</f>
        <v>24202691</v>
      </c>
      <c r="AA3124" s="13">
        <f>$E3124+19</f>
        <v>125</v>
      </c>
      <c r="AB3124" s="14">
        <f>IF($J3124=0,0,ROUND(MAX($J3124*1.4*1.5*1.6*1.6*2.2*2.715*2.6*1.4*1.4,8430000000*(1.651435^(MIN($E3124,123)-117)))*1,0))</f>
        <v>33833836</v>
      </c>
      <c r="AC3124" s="11">
        <f>$E3124+21</f>
        <v>127</v>
      </c>
      <c r="AD3124" s="12">
        <f>IF($J3124=0,0,ROUND(MAX($J3124*1.4*1.5*1.6*1.6*2.2*2.715*2.6*1.4*1.4*1.5,12600000000*(1.652953^(MIN($E3124,123)-117)))*1,0))</f>
        <v>50061630</v>
      </c>
      <c r="AE3124" s="13">
        <f>$E3124+24</f>
        <v>130</v>
      </c>
      <c r="AF3124" s="14">
        <f>IF($J3124=0,0,ROUND(MAX($J3124*1.4*1.5*1.6*1.6*2.2*2.715*2.6*1.4*1.4*1.5*1.5,18900000000*(1.65331^(MIN($E3124,123)-117)))*1,0))</f>
        <v>74914276</v>
      </c>
      <c r="AG3124" s="11">
        <f>$E3124+27</f>
        <v>133</v>
      </c>
      <c r="AH3124" s="12">
        <f>IF($J3124=0,0,ROUND(MAX($J3124*1.4*1.5*1.6*1.6*2.2*2.715*2.6*1.4*1.4*1.5*1.5*3.2,60500000000*(1.654288^(MIN($E3124,123)-117)))*1,0))</f>
        <v>238250083</v>
      </c>
    </row>
    <row r="3125" ht="28" customHeight="1" spans="1:34" x14ac:dyDescent="0.25">
      <c r="A3125">
        <v>3135</v>
      </c>
      <c r="B3125" t="s">
        <v>207</v>
      </c>
      <c r="C3125" s="10" t="s">
        <v>1704</v>
      </c>
      <c r="D3125" t="s">
        <v>165</v>
      </c>
      <c r="E3125">
        <v>106</v>
      </c>
      <c r="F3125" t="s">
        <v>54</v>
      </c>
      <c r="G3125" t="s">
        <v>562</v>
      </c>
      <c r="H3125">
        <v>24</v>
      </c>
      <c r="I3125" s="11">
        <f>$E3125+0</f>
        <v>106</v>
      </c>
      <c r="J3125" s="12">
        <v>10200</v>
      </c>
      <c r="K3125" s="13">
        <f>$E3125+1</f>
        <v>107</v>
      </c>
      <c r="L3125" s="14">
        <f>IF($J3125=0,0,ROUND(MAX($J3125*1.4,1620000*(1.497923^(MIN($E3125,123)-117)))*1,0))</f>
        <v>19017</v>
      </c>
      <c r="M3125" s="11">
        <f>$E3125+2</f>
        <v>108</v>
      </c>
      <c r="N3125" s="12">
        <f>IF($J3125=0,0,ROUND(MAX($J3125*1.4*1.5,2190000*(1.580994^(MIN($E3125,123)-117)))*1,0))</f>
        <v>21420</v>
      </c>
      <c r="O3125" s="13">
        <f>$E3125+4</f>
        <v>110</v>
      </c>
      <c r="P3125" s="14">
        <f>IF($J3125=0,0,ROUND(MAX($J3125*1.4*1.5*1.6,3500000*(1.57975^(MIN($E3125,123)-117)))*1,0))</f>
        <v>34272</v>
      </c>
      <c r="Q3125" s="11">
        <f>$E3125+6</f>
        <v>112</v>
      </c>
      <c r="R3125" s="12">
        <f>IF($J3125=0,0,ROUND(MAX($J3125*1.4*1.5*1.6*1.6,13100000*(1.429962^(MIN($E3125,123)-117)))*1,0))</f>
        <v>256272</v>
      </c>
      <c r="S3125" s="13">
        <f>$E3125+8</f>
        <v>114</v>
      </c>
      <c r="T3125" s="14">
        <f>IF($J3125=0,0,ROUND(MAX($J3125*1.4*1.5*1.6*1.6*2.2,42600000*(1.576904^(MIN($E3125,123)-117)))*1,0))</f>
        <v>284153</v>
      </c>
      <c r="U3125" s="11">
        <f>$E3125+11</f>
        <v>117</v>
      </c>
      <c r="V3125" s="12">
        <f>IF($J3125=0,0,ROUND(MAX($J3125*1.4*1.5*1.6*1.6*2.2*2.715,354000000*(1.642074^(MIN($E3125,123)-117)))*1,0))</f>
        <v>1512458</v>
      </c>
      <c r="W3125" s="13">
        <f>$E3125+15</f>
        <v>121</v>
      </c>
      <c r="X3125" s="14">
        <f>IF($J3125=0,0,ROUND(MAX($J3125*1.4*1.5*1.6*1.6*2.2*2.715*2.6,3540000000*(1.579646^(MIN($E3125,123)-117)))*1,0))</f>
        <v>23165718</v>
      </c>
      <c r="Y3125" s="11">
        <f>$E3125+17</f>
        <v>123</v>
      </c>
      <c r="Z3125" s="12">
        <f>IF($J3125=0,0,ROUND(MAX($J3125*1.4*1.5*1.6*1.6*2.2*2.715*2.6*1.4,6020000000*(1.651178^(MIN($E3125,123)-117)))*1,0))</f>
        <v>24202691</v>
      </c>
      <c r="AA3125" s="13">
        <f>$E3125+19</f>
        <v>125</v>
      </c>
      <c r="AB3125" s="14">
        <f>IF($J3125=0,0,ROUND(MAX($J3125*1.4*1.5*1.6*1.6*2.2*2.715*2.6*1.4*1.4,8430000000*(1.651435^(MIN($E3125,123)-117)))*1,0))</f>
        <v>33833836</v>
      </c>
      <c r="AC3125" s="11">
        <f>$E3125+21</f>
        <v>127</v>
      </c>
      <c r="AD3125" s="12">
        <f>IF($J3125=0,0,ROUND(MAX($J3125*1.4*1.5*1.6*1.6*2.2*2.715*2.6*1.4*1.4*1.5,12600000000*(1.652953^(MIN($E3125,123)-117)))*1,0))</f>
        <v>50061630</v>
      </c>
      <c r="AE3125" s="13">
        <f>$E3125+24</f>
        <v>130</v>
      </c>
      <c r="AF3125" s="14">
        <f>IF($J3125=0,0,ROUND(MAX($J3125*1.4*1.5*1.6*1.6*2.2*2.715*2.6*1.4*1.4*1.5*1.5,18900000000*(1.65331^(MIN($E3125,123)-117)))*1,0))</f>
        <v>74914276</v>
      </c>
      <c r="AG3125" s="11">
        <f>$E3125+27</f>
        <v>133</v>
      </c>
      <c r="AH3125" s="12">
        <f>IF($J3125=0,0,ROUND(MAX($J3125*1.4*1.5*1.6*1.6*2.2*2.715*2.6*1.4*1.4*1.5*1.5*3.2,60500000000*(1.654288^(MIN($E3125,123)-117)))*1,0))</f>
        <v>238250083</v>
      </c>
    </row>
    <row r="3126" ht="28" customHeight="1" spans="1:34" x14ac:dyDescent="0.25">
      <c r="A3126">
        <v>3136</v>
      </c>
      <c r="B3126" t="s">
        <v>1706</v>
      </c>
      <c r="C3126" s="10" t="s">
        <v>1704</v>
      </c>
      <c r="D3126" t="s">
        <v>40</v>
      </c>
      <c r="E3126">
        <v>106</v>
      </c>
      <c r="F3126" t="s">
        <v>62</v>
      </c>
      <c r="G3126" t="s">
        <v>562</v>
      </c>
      <c r="H3126">
        <v>24</v>
      </c>
      <c r="I3126" s="11">
        <f>$E3126+0</f>
        <v>106</v>
      </c>
      <c r="J3126" s="12">
        <v>10900000</v>
      </c>
      <c r="K3126" s="13">
        <f>$E3126+1</f>
        <v>107</v>
      </c>
      <c r="L3126" s="14">
        <f>IF($J3126=0,0,ROUND(MAX($J3126*1.4,1620000*(1.497923^(MIN($E3126,123)-117)))*1,0))</f>
        <v>15260000</v>
      </c>
      <c r="M3126" s="11">
        <f>$E3126+2</f>
        <v>108</v>
      </c>
      <c r="N3126" s="12">
        <f>IF($J3126=0,0,ROUND(MAX($J3126*1.4*1.5,2190000*(1.580994^(MIN($E3126,123)-117)))*1,0))</f>
        <v>22890000</v>
      </c>
      <c r="O3126" s="13">
        <f>$E3126+4</f>
        <v>110</v>
      </c>
      <c r="P3126" s="14">
        <f>IF($J3126=0,0,ROUND(MAX($J3126*1.4*1.5*1.6,3500000*(1.57975^(MIN($E3126,123)-117)))*1,0))</f>
        <v>36624000</v>
      </c>
      <c r="Q3126" s="11">
        <f>$E3126+6</f>
        <v>112</v>
      </c>
      <c r="R3126" s="12">
        <f>IF($J3126=0,0,ROUND(MAX($J3126*1.4*1.5*1.6*1.6,13100000*(1.429962^(MIN($E3126,123)-117)))*1,0))</f>
        <v>58598400</v>
      </c>
      <c r="S3126" s="13">
        <f>$E3126+8</f>
        <v>114</v>
      </c>
      <c r="T3126" s="14">
        <f>IF($J3126=0,0,ROUND(MAX($J3126*1.4*1.5*1.6*1.6*2.2,42600000*(1.576904^(MIN($E3126,123)-117)))*1,0))</f>
        <v>128916480</v>
      </c>
      <c r="U3126" s="11">
        <f>$E3126+11</f>
        <v>117</v>
      </c>
      <c r="V3126" s="12">
        <f>IF($J3126=0,0,ROUND(MAX($J3126*1.4*1.5*1.6*1.6*2.2*2.715,354000000*(1.642074^(MIN($E3126,123)-117)))*1,0))</f>
        <v>350008243</v>
      </c>
      <c r="W3126" s="13">
        <f>$E3126+15</f>
        <v>121</v>
      </c>
      <c r="X3126" s="14">
        <f>IF($J3126=0,0,ROUND(MAX($J3126*1.4*1.5*1.6*1.6*2.2*2.715*2.6,3540000000*(1.579646^(MIN($E3126,123)-117)))*1,0))</f>
        <v>910021432</v>
      </c>
      <c r="Y3126" s="11">
        <f>$E3126+17</f>
        <v>123</v>
      </c>
      <c r="Z3126" s="12">
        <f>IF($J3126=0,0,ROUND(MAX($J3126*1.4*1.5*1.6*1.6*2.2*2.715*2.6*1.4,6020000000*(1.651178^(MIN($E3126,123)-117)))*1,0))</f>
        <v>1274030005</v>
      </c>
      <c r="AA3126" s="13">
        <f>$E3126+19</f>
        <v>125</v>
      </c>
      <c r="AB3126" s="14">
        <f>IF($J3126=0,0,ROUND(MAX($J3126*1.4*1.5*1.6*1.6*2.2*2.715*2.6*1.4*1.4,8430000000*(1.651435^(MIN($E3126,123)-117)))*1,0))</f>
        <v>1783642007</v>
      </c>
      <c r="AC3126" s="11">
        <f>$E3126+21</f>
        <v>127</v>
      </c>
      <c r="AD3126" s="12">
        <f>IF($J3126=0,0,ROUND(MAX($J3126*1.4*1.5*1.6*1.6*2.2*2.715*2.6*1.4*1.4*1.5,12600000000*(1.652953^(MIN($E3126,123)-117)))*1,0))</f>
        <v>2675463011</v>
      </c>
      <c r="AE3126" s="13">
        <f>$E3126+24</f>
        <v>130</v>
      </c>
      <c r="AF3126" s="14">
        <f>IF($J3126=0,0,ROUND(MAX($J3126*1.4*1.5*1.6*1.6*2.2*2.715*2.6*1.4*1.4*1.5*1.5,18900000000*(1.65331^(MIN($E3126,123)-117)))*1,0))</f>
        <v>4013194517</v>
      </c>
      <c r="AG3126" s="11">
        <f>$E3126+27</f>
        <v>133</v>
      </c>
      <c r="AH3126" s="12">
        <f>IF($J3126=0,0,ROUND(MAX($J3126*1.4*1.5*1.6*1.6*2.2*2.715*2.6*1.4*1.4*1.5*1.5*3.2,60500000000*(1.654288^(MIN($E3126,123)-117)))*1,0))</f>
        <v>12842222453</v>
      </c>
    </row>
    <row r="3127" ht="28" customHeight="1" spans="1:34" x14ac:dyDescent="0.25">
      <c r="A3127">
        <v>3137</v>
      </c>
      <c r="B3127" t="s">
        <v>162</v>
      </c>
      <c r="C3127" s="10" t="s">
        <v>1704</v>
      </c>
      <c r="D3127" t="s">
        <v>33</v>
      </c>
      <c r="E3127">
        <v>106</v>
      </c>
      <c r="F3127" t="s">
        <v>71</v>
      </c>
      <c r="G3127" t="s">
        <v>562</v>
      </c>
      <c r="H3127">
        <v>23</v>
      </c>
      <c r="I3127" s="11">
        <f>$E3127+0</f>
        <v>106</v>
      </c>
      <c r="J3127" s="12">
        <v>14000</v>
      </c>
      <c r="K3127" s="13">
        <f>$E3127+1</f>
        <v>107</v>
      </c>
      <c r="L3127" s="14">
        <f>IF($J3127=0,0,ROUND(MAX($J3127*1.4,1620000*(1.497923^(MIN($E3127,123)-117)))*1,0))</f>
        <v>19600</v>
      </c>
      <c r="M3127" s="11">
        <f>$E3127+2</f>
        <v>108</v>
      </c>
      <c r="N3127" s="12">
        <f>IF($J3127=0,0,ROUND(MAX($J3127*1.4*1.5,2190000*(1.580994^(MIN($E3127,123)-117)))*1,0))</f>
        <v>29400</v>
      </c>
      <c r="O3127" s="13">
        <f>$E3127+4</f>
        <v>110</v>
      </c>
      <c r="P3127" s="14">
        <f>IF($J3127=0,0,ROUND(MAX($J3127*1.4*1.5*1.6,3500000*(1.57975^(MIN($E3127,123)-117)))*1,0))</f>
        <v>47040</v>
      </c>
      <c r="Q3127" s="11">
        <f>$E3127+6</f>
        <v>112</v>
      </c>
      <c r="R3127" s="12">
        <f>IF($J3127=0,0,ROUND(MAX($J3127*1.4*1.5*1.6*1.6,13100000*(1.429962^(MIN($E3127,123)-117)))*1,0))</f>
        <v>256272</v>
      </c>
      <c r="S3127" s="13">
        <f>$E3127+8</f>
        <v>114</v>
      </c>
      <c r="T3127" s="14">
        <f>IF($J3127=0,0,ROUND(MAX($J3127*1.4*1.5*1.6*1.6*2.2,42600000*(1.576904^(MIN($E3127,123)-117)))*1,0))</f>
        <v>284153</v>
      </c>
      <c r="U3127" s="11">
        <f>$E3127+11</f>
        <v>117</v>
      </c>
      <c r="V3127" s="12">
        <f>IF($J3127=0,0,ROUND(MAX($J3127*1.4*1.5*1.6*1.6*2.2*2.715,354000000*(1.642074^(MIN($E3127,123)-117)))*1,0))</f>
        <v>1512458</v>
      </c>
      <c r="W3127" s="13">
        <f>$E3127+15</f>
        <v>121</v>
      </c>
      <c r="X3127" s="14">
        <f>IF($J3127=0,0,ROUND(MAX($J3127*1.4*1.5*1.6*1.6*2.2*2.715*2.6,3540000000*(1.579646^(MIN($E3127,123)-117)))*1,0))</f>
        <v>23165718</v>
      </c>
      <c r="Y3127" s="11">
        <f>$E3127+17</f>
        <v>123</v>
      </c>
      <c r="Z3127" s="12">
        <f>IF($J3127=0,0,ROUND(MAX($J3127*1.4*1.5*1.6*1.6*2.2*2.715*2.6*1.4,6020000000*(1.651178^(MIN($E3127,123)-117)))*1,0))</f>
        <v>24202691</v>
      </c>
      <c r="AA3127" s="13">
        <f>$E3127+19</f>
        <v>125</v>
      </c>
      <c r="AB3127" s="14">
        <f>IF($J3127=0,0,ROUND(MAX($J3127*1.4*1.5*1.6*1.6*2.2*2.715*2.6*1.4*1.4,8430000000*(1.651435^(MIN($E3127,123)-117)))*1,0))</f>
        <v>33833836</v>
      </c>
      <c r="AC3127" s="11">
        <f>$E3127+21</f>
        <v>127</v>
      </c>
      <c r="AD3127" s="12">
        <f>IF($J3127=0,0,ROUND(MAX($J3127*1.4*1.5*1.6*1.6*2.2*2.715*2.6*1.4*1.4*1.5,12600000000*(1.652953^(MIN($E3127,123)-117)))*1,0))</f>
        <v>50061630</v>
      </c>
      <c r="AE3127" s="13">
        <f>$E3127+24</f>
        <v>130</v>
      </c>
      <c r="AF3127" s="14">
        <f>IF($J3127=0,0,ROUND(MAX($J3127*1.4*1.5*1.6*1.6*2.2*2.715*2.6*1.4*1.4*1.5*1.5,18900000000*(1.65331^(MIN($E3127,123)-117)))*1,0))</f>
        <v>74914276</v>
      </c>
      <c r="AG3127" s="11">
        <f>$E3127+27</f>
        <v>133</v>
      </c>
      <c r="AH3127" s="12">
        <f>IF($J3127=0,0,ROUND(MAX($J3127*1.4*1.5*1.6*1.6*2.2*2.715*2.6*1.4*1.4*1.5*1.5*3.2,60500000000*(1.654288^(MIN($E3127,123)-117)))*1,0))</f>
        <v>238250083</v>
      </c>
    </row>
    <row r="3128" ht="28" customHeight="1" spans="1:34" x14ac:dyDescent="0.25">
      <c r="A3128">
        <v>3138</v>
      </c>
      <c r="B3128" t="s">
        <v>156</v>
      </c>
      <c r="C3128" s="10" t="s">
        <v>1704</v>
      </c>
      <c r="D3128" t="s">
        <v>45</v>
      </c>
      <c r="E3128">
        <v>106</v>
      </c>
      <c r="F3128" t="s">
        <v>34</v>
      </c>
      <c r="G3128" t="s">
        <v>562</v>
      </c>
      <c r="H3128">
        <v>23</v>
      </c>
      <c r="I3128" s="11">
        <f>$E3128+0</f>
        <v>106</v>
      </c>
      <c r="J3128" s="12">
        <v>14800</v>
      </c>
      <c r="K3128" s="13">
        <f>$E3128+1</f>
        <v>107</v>
      </c>
      <c r="L3128" s="14">
        <f>IF($J3128=0,0,ROUND(MAX($J3128*1.4,1620000*(1.497923^(MIN($E3128,123)-117)))*1,0))</f>
        <v>20720</v>
      </c>
      <c r="M3128" s="11">
        <f>$E3128+2</f>
        <v>108</v>
      </c>
      <c r="N3128" s="12">
        <f>IF($J3128=0,0,ROUND(MAX($J3128*1.4*1.5,2190000*(1.580994^(MIN($E3128,123)-117)))*1,0))</f>
        <v>31080</v>
      </c>
      <c r="O3128" s="13">
        <f>$E3128+4</f>
        <v>110</v>
      </c>
      <c r="P3128" s="14">
        <f>IF($J3128=0,0,ROUND(MAX($J3128*1.4*1.5*1.6,3500000*(1.57975^(MIN($E3128,123)-117)))*1,0))</f>
        <v>49728</v>
      </c>
      <c r="Q3128" s="11">
        <f>$E3128+6</f>
        <v>112</v>
      </c>
      <c r="R3128" s="12">
        <f>IF($J3128=0,0,ROUND(MAX($J3128*1.4*1.5*1.6*1.6,13100000*(1.429962^(MIN($E3128,123)-117)))*1,0))</f>
        <v>256272</v>
      </c>
      <c r="S3128" s="13">
        <f>$E3128+8</f>
        <v>114</v>
      </c>
      <c r="T3128" s="14">
        <f>IF($J3128=0,0,ROUND(MAX($J3128*1.4*1.5*1.6*1.6*2.2,42600000*(1.576904^(MIN($E3128,123)-117)))*1,0))</f>
        <v>284153</v>
      </c>
      <c r="U3128" s="11">
        <f>$E3128+11</f>
        <v>117</v>
      </c>
      <c r="V3128" s="12">
        <f>IF($J3128=0,0,ROUND(MAX($J3128*1.4*1.5*1.6*1.6*2.2*2.715,354000000*(1.642074^(MIN($E3128,123)-117)))*1,0))</f>
        <v>1512458</v>
      </c>
      <c r="W3128" s="13">
        <f>$E3128+15</f>
        <v>121</v>
      </c>
      <c r="X3128" s="14">
        <f>IF($J3128=0,0,ROUND(MAX($J3128*1.4*1.5*1.6*1.6*2.2*2.715*2.6,3540000000*(1.579646^(MIN($E3128,123)-117)))*1,0))</f>
        <v>23165718</v>
      </c>
      <c r="Y3128" s="11">
        <f>$E3128+17</f>
        <v>123</v>
      </c>
      <c r="Z3128" s="12">
        <f>IF($J3128=0,0,ROUND(MAX($J3128*1.4*1.5*1.6*1.6*2.2*2.715*2.6*1.4,6020000000*(1.651178^(MIN($E3128,123)-117)))*1,0))</f>
        <v>24202691</v>
      </c>
      <c r="AA3128" s="13">
        <f>$E3128+19</f>
        <v>125</v>
      </c>
      <c r="AB3128" s="14">
        <f>IF($J3128=0,0,ROUND(MAX($J3128*1.4*1.5*1.6*1.6*2.2*2.715*2.6*1.4*1.4,8430000000*(1.651435^(MIN($E3128,123)-117)))*1,0))</f>
        <v>33833836</v>
      </c>
      <c r="AC3128" s="11">
        <f>$E3128+21</f>
        <v>127</v>
      </c>
      <c r="AD3128" s="12">
        <f>IF($J3128=0,0,ROUND(MAX($J3128*1.4*1.5*1.6*1.6*2.2*2.715*2.6*1.4*1.4*1.5,12600000000*(1.652953^(MIN($E3128,123)-117)))*1,0))</f>
        <v>50061630</v>
      </c>
      <c r="AE3128" s="13">
        <f>$E3128+24</f>
        <v>130</v>
      </c>
      <c r="AF3128" s="14">
        <f>IF($J3128=0,0,ROUND(MAX($J3128*1.4*1.5*1.6*1.6*2.2*2.715*2.6*1.4*1.4*1.5*1.5,18900000000*(1.65331^(MIN($E3128,123)-117)))*1,0))</f>
        <v>74914276</v>
      </c>
      <c r="AG3128" s="11">
        <f>$E3128+27</f>
        <v>133</v>
      </c>
      <c r="AH3128" s="12">
        <f>IF($J3128=0,0,ROUND(MAX($J3128*1.4*1.5*1.6*1.6*2.2*2.715*2.6*1.4*1.4*1.5*1.5*3.2,60500000000*(1.654288^(MIN($E3128,123)-117)))*1,0))</f>
        <v>238250083</v>
      </c>
    </row>
    <row r="3129" ht="28" customHeight="1" spans="1:34" x14ac:dyDescent="0.25">
      <c r="A3129">
        <v>3139</v>
      </c>
      <c r="B3129" t="s">
        <v>186</v>
      </c>
      <c r="C3129" s="10" t="s">
        <v>1704</v>
      </c>
      <c r="D3129" t="s">
        <v>75</v>
      </c>
      <c r="E3129">
        <v>106</v>
      </c>
      <c r="F3129" t="s">
        <v>56</v>
      </c>
      <c r="G3129" t="s">
        <v>562</v>
      </c>
      <c r="H3129">
        <v>23</v>
      </c>
      <c r="I3129" s="11">
        <f>$E3129+0</f>
        <v>106</v>
      </c>
      <c r="J3129" s="12">
        <v>10000</v>
      </c>
      <c r="K3129" s="13">
        <f>$E3129+1</f>
        <v>107</v>
      </c>
      <c r="L3129" s="14">
        <f>IF($J3129=0,0,ROUND(MAX($J3129*1.4,1620000*(1.497923^(MIN($E3129,123)-117)))*1,0))</f>
        <v>19017</v>
      </c>
      <c r="M3129" s="11">
        <f>$E3129+2</f>
        <v>108</v>
      </c>
      <c r="N3129" s="12">
        <f>IF($J3129=0,0,ROUND(MAX($J3129*1.4*1.5,2190000*(1.580994^(MIN($E3129,123)-117)))*1,0))</f>
        <v>21000</v>
      </c>
      <c r="O3129" s="13">
        <f>$E3129+4</f>
        <v>110</v>
      </c>
      <c r="P3129" s="14">
        <f>IF($J3129=0,0,ROUND(MAX($J3129*1.4*1.5*1.6,3500000*(1.57975^(MIN($E3129,123)-117)))*1,0))</f>
        <v>33600</v>
      </c>
      <c r="Q3129" s="11">
        <f>$E3129+6</f>
        <v>112</v>
      </c>
      <c r="R3129" s="12">
        <f>IF($J3129=0,0,ROUND(MAX($J3129*1.4*1.5*1.6*1.6,13100000*(1.429962^(MIN($E3129,123)-117)))*1,0))</f>
        <v>256272</v>
      </c>
      <c r="S3129" s="13">
        <f>$E3129+8</f>
        <v>114</v>
      </c>
      <c r="T3129" s="14">
        <f>IF($J3129=0,0,ROUND(MAX($J3129*1.4*1.5*1.6*1.6*2.2,42600000*(1.576904^(MIN($E3129,123)-117)))*1,0))</f>
        <v>284153</v>
      </c>
      <c r="U3129" s="11">
        <f>$E3129+11</f>
        <v>117</v>
      </c>
      <c r="V3129" s="12">
        <f>IF($J3129=0,0,ROUND(MAX($J3129*1.4*1.5*1.6*1.6*2.2*2.715,354000000*(1.642074^(MIN($E3129,123)-117)))*1,0))</f>
        <v>1512458</v>
      </c>
      <c r="W3129" s="13">
        <f>$E3129+15</f>
        <v>121</v>
      </c>
      <c r="X3129" s="14">
        <f>IF($J3129=0,0,ROUND(MAX($J3129*1.4*1.5*1.6*1.6*2.2*2.715*2.6,3540000000*(1.579646^(MIN($E3129,123)-117)))*1,0))</f>
        <v>23165718</v>
      </c>
      <c r="Y3129" s="11">
        <f>$E3129+17</f>
        <v>123</v>
      </c>
      <c r="Z3129" s="12">
        <f>IF($J3129=0,0,ROUND(MAX($J3129*1.4*1.5*1.6*1.6*2.2*2.715*2.6*1.4,6020000000*(1.651178^(MIN($E3129,123)-117)))*1,0))</f>
        <v>24202691</v>
      </c>
      <c r="AA3129" s="13">
        <f>$E3129+19</f>
        <v>125</v>
      </c>
      <c r="AB3129" s="14">
        <f>IF($J3129=0,0,ROUND(MAX($J3129*1.4*1.5*1.6*1.6*2.2*2.715*2.6*1.4*1.4,8430000000*(1.651435^(MIN($E3129,123)-117)))*1,0))</f>
        <v>33833836</v>
      </c>
      <c r="AC3129" s="11">
        <f>$E3129+21</f>
        <v>127</v>
      </c>
      <c r="AD3129" s="12">
        <f>IF($J3129=0,0,ROUND(MAX($J3129*1.4*1.5*1.6*1.6*2.2*2.715*2.6*1.4*1.4*1.5,12600000000*(1.652953^(MIN($E3129,123)-117)))*1,0))</f>
        <v>50061630</v>
      </c>
      <c r="AE3129" s="13">
        <f>$E3129+24</f>
        <v>130</v>
      </c>
      <c r="AF3129" s="14">
        <f>IF($J3129=0,0,ROUND(MAX($J3129*1.4*1.5*1.6*1.6*2.2*2.715*2.6*1.4*1.4*1.5*1.5,18900000000*(1.65331^(MIN($E3129,123)-117)))*1,0))</f>
        <v>74914276</v>
      </c>
      <c r="AG3129" s="11">
        <f>$E3129+27</f>
        <v>133</v>
      </c>
      <c r="AH3129" s="12">
        <f>IF($J3129=0,0,ROUND(MAX($J3129*1.4*1.5*1.6*1.6*2.2*2.715*2.6*1.4*1.4*1.5*1.5*3.2,60500000000*(1.654288^(MIN($E3129,123)-117)))*1,0))</f>
        <v>238250083</v>
      </c>
    </row>
    <row r="3130" ht="28" customHeight="1" spans="1:34" x14ac:dyDescent="0.25">
      <c r="A3130">
        <v>3140</v>
      </c>
      <c r="B3130" t="s">
        <v>484</v>
      </c>
      <c r="C3130" s="10" t="s">
        <v>1704</v>
      </c>
      <c r="D3130" t="s">
        <v>33</v>
      </c>
      <c r="E3130">
        <v>106</v>
      </c>
      <c r="F3130" t="s">
        <v>42</v>
      </c>
      <c r="G3130" t="s">
        <v>562</v>
      </c>
      <c r="H3130">
        <v>23</v>
      </c>
      <c r="I3130" s="11">
        <f>$E3130+0</f>
        <v>106</v>
      </c>
      <c r="J3130" s="12">
        <v>28300</v>
      </c>
      <c r="K3130" s="13">
        <f>$E3130+1</f>
        <v>107</v>
      </c>
      <c r="L3130" s="14">
        <f>IF($J3130=0,0,ROUND(MAX($J3130*1.4,1620000*(1.497923^(MIN($E3130,123)-117)))*1,0))</f>
        <v>39620</v>
      </c>
      <c r="M3130" s="11">
        <f>$E3130+2</f>
        <v>108</v>
      </c>
      <c r="N3130" s="12">
        <f>IF($J3130=0,0,ROUND(MAX($J3130*1.4*1.5,2190000*(1.580994^(MIN($E3130,123)-117)))*1,0))</f>
        <v>59430</v>
      </c>
      <c r="O3130" s="13">
        <f>$E3130+4</f>
        <v>110</v>
      </c>
      <c r="P3130" s="14">
        <f>IF($J3130=0,0,ROUND(MAX($J3130*1.4*1.5*1.6,3500000*(1.57975^(MIN($E3130,123)-117)))*1,0))</f>
        <v>95088</v>
      </c>
      <c r="Q3130" s="11">
        <f>$E3130+6</f>
        <v>112</v>
      </c>
      <c r="R3130" s="12">
        <f>IF($J3130=0,0,ROUND(MAX($J3130*1.4*1.5*1.6*1.6,13100000*(1.429962^(MIN($E3130,123)-117)))*1,0))</f>
        <v>256272</v>
      </c>
      <c r="S3130" s="13">
        <f>$E3130+8</f>
        <v>114</v>
      </c>
      <c r="T3130" s="14">
        <f>IF($J3130=0,0,ROUND(MAX($J3130*1.4*1.5*1.6*1.6*2.2,42600000*(1.576904^(MIN($E3130,123)-117)))*1,0))</f>
        <v>334710</v>
      </c>
      <c r="U3130" s="11">
        <f>$E3130+11</f>
        <v>117</v>
      </c>
      <c r="V3130" s="12">
        <f>IF($J3130=0,0,ROUND(MAX($J3130*1.4*1.5*1.6*1.6*2.2*2.715,354000000*(1.642074^(MIN($E3130,123)-117)))*1,0))</f>
        <v>1512458</v>
      </c>
      <c r="W3130" s="13">
        <f>$E3130+15</f>
        <v>121</v>
      </c>
      <c r="X3130" s="14">
        <f>IF($J3130=0,0,ROUND(MAX($J3130*1.4*1.5*1.6*1.6*2.2*2.715*2.6,3540000000*(1.579646^(MIN($E3130,123)-117)))*1,0))</f>
        <v>23165718</v>
      </c>
      <c r="Y3130" s="11">
        <f>$E3130+17</f>
        <v>123</v>
      </c>
      <c r="Z3130" s="12">
        <f>IF($J3130=0,0,ROUND(MAX($J3130*1.4*1.5*1.6*1.6*2.2*2.715*2.6*1.4,6020000000*(1.651178^(MIN($E3130,123)-117)))*1,0))</f>
        <v>24202691</v>
      </c>
      <c r="AA3130" s="13">
        <f>$E3130+19</f>
        <v>125</v>
      </c>
      <c r="AB3130" s="14">
        <f>IF($J3130=0,0,ROUND(MAX($J3130*1.4*1.5*1.6*1.6*2.2*2.715*2.6*1.4*1.4,8430000000*(1.651435^(MIN($E3130,123)-117)))*1,0))</f>
        <v>33833836</v>
      </c>
      <c r="AC3130" s="11">
        <f>$E3130+21</f>
        <v>127</v>
      </c>
      <c r="AD3130" s="12">
        <f>IF($J3130=0,0,ROUND(MAX($J3130*1.4*1.5*1.6*1.6*2.2*2.715*2.6*1.4*1.4*1.5,12600000000*(1.652953^(MIN($E3130,123)-117)))*1,0))</f>
        <v>50061630</v>
      </c>
      <c r="AE3130" s="13">
        <f>$E3130+24</f>
        <v>130</v>
      </c>
      <c r="AF3130" s="14">
        <f>IF($J3130=0,0,ROUND(MAX($J3130*1.4*1.5*1.6*1.6*2.2*2.715*2.6*1.4*1.4*1.5*1.5,18900000000*(1.65331^(MIN($E3130,123)-117)))*1,0))</f>
        <v>74914276</v>
      </c>
      <c r="AG3130" s="11">
        <f>$E3130+27</f>
        <v>133</v>
      </c>
      <c r="AH3130" s="12">
        <f>IF($J3130=0,0,ROUND(MAX($J3130*1.4*1.5*1.6*1.6*2.2*2.715*2.6*1.4*1.4*1.5*1.5*3.2,60500000000*(1.654288^(MIN($E3130,123)-117)))*1,0))</f>
        <v>238250083</v>
      </c>
    </row>
    <row r="3131" ht="28" customHeight="1" spans="1:34" x14ac:dyDescent="0.25">
      <c r="A3131">
        <v>3141</v>
      </c>
      <c r="B3131" t="s">
        <v>189</v>
      </c>
      <c r="C3131" s="10" t="s">
        <v>1704</v>
      </c>
      <c r="D3131" t="s">
        <v>102</v>
      </c>
      <c r="E3131">
        <v>106</v>
      </c>
      <c r="F3131" t="s">
        <v>62</v>
      </c>
      <c r="G3131" t="s">
        <v>562</v>
      </c>
      <c r="H3131">
        <v>23</v>
      </c>
      <c r="I3131" s="11">
        <f>$E3131+0</f>
        <v>106</v>
      </c>
      <c r="J3131" s="12">
        <v>18000</v>
      </c>
      <c r="K3131" s="13">
        <f>$E3131+1</f>
        <v>107</v>
      </c>
      <c r="L3131" s="14">
        <f>IF($J3131=0,0,ROUND(MAX($J3131*1.4,1620000*(1.497923^(MIN($E3131,123)-117)))*1,0))</f>
        <v>25200</v>
      </c>
      <c r="M3131" s="11">
        <f>$E3131+2</f>
        <v>108</v>
      </c>
      <c r="N3131" s="12">
        <f>IF($J3131=0,0,ROUND(MAX($J3131*1.4*1.5,2190000*(1.580994^(MIN($E3131,123)-117)))*1,0))</f>
        <v>37800</v>
      </c>
      <c r="O3131" s="13">
        <f>$E3131+4</f>
        <v>110</v>
      </c>
      <c r="P3131" s="14">
        <f>IF($J3131=0,0,ROUND(MAX($J3131*1.4*1.5*1.6,3500000*(1.57975^(MIN($E3131,123)-117)))*1,0))</f>
        <v>60480</v>
      </c>
      <c r="Q3131" s="11">
        <f>$E3131+6</f>
        <v>112</v>
      </c>
      <c r="R3131" s="12">
        <f>IF($J3131=0,0,ROUND(MAX($J3131*1.4*1.5*1.6*1.6,13100000*(1.429962^(MIN($E3131,123)-117)))*1,0))</f>
        <v>256272</v>
      </c>
      <c r="S3131" s="13">
        <f>$E3131+8</f>
        <v>114</v>
      </c>
      <c r="T3131" s="14">
        <f>IF($J3131=0,0,ROUND(MAX($J3131*1.4*1.5*1.6*1.6*2.2,42600000*(1.576904^(MIN($E3131,123)-117)))*1,0))</f>
        <v>284153</v>
      </c>
      <c r="U3131" s="11">
        <f>$E3131+11</f>
        <v>117</v>
      </c>
      <c r="V3131" s="12">
        <f>IF($J3131=0,0,ROUND(MAX($J3131*1.4*1.5*1.6*1.6*2.2*2.715,354000000*(1.642074^(MIN($E3131,123)-117)))*1,0))</f>
        <v>1512458</v>
      </c>
      <c r="W3131" s="13">
        <f>$E3131+15</f>
        <v>121</v>
      </c>
      <c r="X3131" s="14">
        <f>IF($J3131=0,0,ROUND(MAX($J3131*1.4*1.5*1.6*1.6*2.2*2.715*2.6,3540000000*(1.579646^(MIN($E3131,123)-117)))*1,0))</f>
        <v>23165718</v>
      </c>
      <c r="Y3131" s="11">
        <f>$E3131+17</f>
        <v>123</v>
      </c>
      <c r="Z3131" s="12">
        <f>IF($J3131=0,0,ROUND(MAX($J3131*1.4*1.5*1.6*1.6*2.2*2.715*2.6*1.4,6020000000*(1.651178^(MIN($E3131,123)-117)))*1,0))</f>
        <v>24202691</v>
      </c>
      <c r="AA3131" s="13">
        <f>$E3131+19</f>
        <v>125</v>
      </c>
      <c r="AB3131" s="14">
        <f>IF($J3131=0,0,ROUND(MAX($J3131*1.4*1.5*1.6*1.6*2.2*2.715*2.6*1.4*1.4,8430000000*(1.651435^(MIN($E3131,123)-117)))*1,0))</f>
        <v>33833836</v>
      </c>
      <c r="AC3131" s="11">
        <f>$E3131+21</f>
        <v>127</v>
      </c>
      <c r="AD3131" s="12">
        <f>IF($J3131=0,0,ROUND(MAX($J3131*1.4*1.5*1.6*1.6*2.2*2.715*2.6*1.4*1.4*1.5,12600000000*(1.652953^(MIN($E3131,123)-117)))*1,0))</f>
        <v>50061630</v>
      </c>
      <c r="AE3131" s="13">
        <f>$E3131+24</f>
        <v>130</v>
      </c>
      <c r="AF3131" s="14">
        <f>IF($J3131=0,0,ROUND(MAX($J3131*1.4*1.5*1.6*1.6*2.2*2.715*2.6*1.4*1.4*1.5*1.5,18900000000*(1.65331^(MIN($E3131,123)-117)))*1,0))</f>
        <v>74914276</v>
      </c>
      <c r="AG3131" s="11">
        <f>$E3131+27</f>
        <v>133</v>
      </c>
      <c r="AH3131" s="12">
        <f>IF($J3131=0,0,ROUND(MAX($J3131*1.4*1.5*1.6*1.6*2.2*2.715*2.6*1.4*1.4*1.5*1.5*3.2,60500000000*(1.654288^(MIN($E3131,123)-117)))*1,0))</f>
        <v>238250083</v>
      </c>
    </row>
    <row r="3132" ht="28" customHeight="1" spans="1:34" x14ac:dyDescent="0.25">
      <c r="A3132">
        <v>3142</v>
      </c>
      <c r="B3132" t="s">
        <v>134</v>
      </c>
      <c r="C3132" s="10" t="s">
        <v>1704</v>
      </c>
      <c r="D3132" t="s">
        <v>75</v>
      </c>
      <c r="E3132">
        <v>106</v>
      </c>
      <c r="F3132" t="s">
        <v>26</v>
      </c>
      <c r="G3132" t="s">
        <v>562</v>
      </c>
      <c r="H3132">
        <v>23</v>
      </c>
      <c r="I3132" s="11">
        <f>$E3132+0</f>
        <v>106</v>
      </c>
      <c r="J3132" s="12">
        <v>16200</v>
      </c>
      <c r="K3132" s="13">
        <f>$E3132+1</f>
        <v>107</v>
      </c>
      <c r="L3132" s="14">
        <f>IF($J3132=0,0,ROUND(MAX($J3132*1.4,1620000*(1.497923^(MIN($E3132,123)-117)))*1,0))</f>
        <v>22680</v>
      </c>
      <c r="M3132" s="11">
        <f>$E3132+2</f>
        <v>108</v>
      </c>
      <c r="N3132" s="12">
        <f>IF($J3132=0,0,ROUND(MAX($J3132*1.4*1.5,2190000*(1.580994^(MIN($E3132,123)-117)))*1,0))</f>
        <v>34020</v>
      </c>
      <c r="O3132" s="13">
        <f>$E3132+4</f>
        <v>110</v>
      </c>
      <c r="P3132" s="14">
        <f>IF($J3132=0,0,ROUND(MAX($J3132*1.4*1.5*1.6,3500000*(1.57975^(MIN($E3132,123)-117)))*1,0))</f>
        <v>54432</v>
      </c>
      <c r="Q3132" s="11">
        <f>$E3132+6</f>
        <v>112</v>
      </c>
      <c r="R3132" s="12">
        <f>IF($J3132=0,0,ROUND(MAX($J3132*1.4*1.5*1.6*1.6,13100000*(1.429962^(MIN($E3132,123)-117)))*1,0))</f>
        <v>256272</v>
      </c>
      <c r="S3132" s="13">
        <f>$E3132+8</f>
        <v>114</v>
      </c>
      <c r="T3132" s="14">
        <f>IF($J3132=0,0,ROUND(MAX($J3132*1.4*1.5*1.6*1.6*2.2,42600000*(1.576904^(MIN($E3132,123)-117)))*1,0))</f>
        <v>284153</v>
      </c>
      <c r="U3132" s="11">
        <f>$E3132+11</f>
        <v>117</v>
      </c>
      <c r="V3132" s="12">
        <f>IF($J3132=0,0,ROUND(MAX($J3132*1.4*1.5*1.6*1.6*2.2*2.715,354000000*(1.642074^(MIN($E3132,123)-117)))*1,0))</f>
        <v>1512458</v>
      </c>
      <c r="W3132" s="13">
        <f>$E3132+15</f>
        <v>121</v>
      </c>
      <c r="X3132" s="14">
        <f>IF($J3132=0,0,ROUND(MAX($J3132*1.4*1.5*1.6*1.6*2.2*2.715*2.6,3540000000*(1.579646^(MIN($E3132,123)-117)))*1,0))</f>
        <v>23165718</v>
      </c>
      <c r="Y3132" s="11">
        <f>$E3132+17</f>
        <v>123</v>
      </c>
      <c r="Z3132" s="12">
        <f>IF($J3132=0,0,ROUND(MAX($J3132*1.4*1.5*1.6*1.6*2.2*2.715*2.6*1.4,6020000000*(1.651178^(MIN($E3132,123)-117)))*1,0))</f>
        <v>24202691</v>
      </c>
      <c r="AA3132" s="13">
        <f>$E3132+19</f>
        <v>125</v>
      </c>
      <c r="AB3132" s="14">
        <f>IF($J3132=0,0,ROUND(MAX($J3132*1.4*1.5*1.6*1.6*2.2*2.715*2.6*1.4*1.4,8430000000*(1.651435^(MIN($E3132,123)-117)))*1,0))</f>
        <v>33833836</v>
      </c>
      <c r="AC3132" s="11">
        <f>$E3132+21</f>
        <v>127</v>
      </c>
      <c r="AD3132" s="12">
        <f>IF($J3132=0,0,ROUND(MAX($J3132*1.4*1.5*1.6*1.6*2.2*2.715*2.6*1.4*1.4*1.5,12600000000*(1.652953^(MIN($E3132,123)-117)))*1,0))</f>
        <v>50061630</v>
      </c>
      <c r="AE3132" s="13">
        <f>$E3132+24</f>
        <v>130</v>
      </c>
      <c r="AF3132" s="14">
        <f>IF($J3132=0,0,ROUND(MAX($J3132*1.4*1.5*1.6*1.6*2.2*2.715*2.6*1.4*1.4*1.5*1.5,18900000000*(1.65331^(MIN($E3132,123)-117)))*1,0))</f>
        <v>74914276</v>
      </c>
      <c r="AG3132" s="11">
        <f>$E3132+27</f>
        <v>133</v>
      </c>
      <c r="AH3132" s="12">
        <f>IF($J3132=0,0,ROUND(MAX($J3132*1.4*1.5*1.6*1.6*2.2*2.715*2.6*1.4*1.4*1.5*1.5*3.2,60500000000*(1.654288^(MIN($E3132,123)-117)))*1,0))</f>
        <v>238250083</v>
      </c>
    </row>
    <row r="3133" ht="28" customHeight="1" spans="1:34" x14ac:dyDescent="0.25">
      <c r="A3133">
        <v>3143</v>
      </c>
      <c r="B3133" t="s">
        <v>1707</v>
      </c>
      <c r="C3133" s="10" t="s">
        <v>1704</v>
      </c>
      <c r="D3133" t="s">
        <v>165</v>
      </c>
      <c r="E3133">
        <v>106</v>
      </c>
      <c r="F3133" t="s">
        <v>132</v>
      </c>
      <c r="G3133" t="s">
        <v>562</v>
      </c>
      <c r="H3133">
        <v>23</v>
      </c>
      <c r="I3133" s="11">
        <f>$E3133+0</f>
        <v>106</v>
      </c>
      <c r="J3133" s="12">
        <v>96800</v>
      </c>
      <c r="K3133" s="13">
        <f>$E3133+1</f>
        <v>107</v>
      </c>
      <c r="L3133" s="14">
        <f>IF($J3133=0,0,ROUND(MAX($J3133*1.4,1620000*(1.497923^(MIN($E3133,123)-117)))*1,0))</f>
        <v>135520</v>
      </c>
      <c r="M3133" s="11">
        <f>$E3133+2</f>
        <v>108</v>
      </c>
      <c r="N3133" s="12">
        <f>IF($J3133=0,0,ROUND(MAX($J3133*1.4*1.5,2190000*(1.580994^(MIN($E3133,123)-117)))*1,0))</f>
        <v>203280</v>
      </c>
      <c r="O3133" s="13">
        <f>$E3133+4</f>
        <v>110</v>
      </c>
      <c r="P3133" s="14">
        <f>IF($J3133=0,0,ROUND(MAX($J3133*1.4*1.5*1.6,3500000*(1.57975^(MIN($E3133,123)-117)))*1,0))</f>
        <v>325248</v>
      </c>
      <c r="Q3133" s="11">
        <f>$E3133+6</f>
        <v>112</v>
      </c>
      <c r="R3133" s="12">
        <f>IF($J3133=0,0,ROUND(MAX($J3133*1.4*1.5*1.6*1.6,13100000*(1.429962^(MIN($E3133,123)-117)))*1,0))</f>
        <v>520397</v>
      </c>
      <c r="S3133" s="13">
        <f>$E3133+8</f>
        <v>114</v>
      </c>
      <c r="T3133" s="14">
        <f>IF($J3133=0,0,ROUND(MAX($J3133*1.4*1.5*1.6*1.6*2.2,42600000*(1.576904^(MIN($E3133,123)-117)))*1,0))</f>
        <v>1144873</v>
      </c>
      <c r="U3133" s="11">
        <f>$E3133+11</f>
        <v>117</v>
      </c>
      <c r="V3133" s="12">
        <f>IF($J3133=0,0,ROUND(MAX($J3133*1.4*1.5*1.6*1.6*2.2*2.715,354000000*(1.642074^(MIN($E3133,123)-117)))*1,0))</f>
        <v>3108330</v>
      </c>
      <c r="W3133" s="13">
        <f>$E3133+15</f>
        <v>121</v>
      </c>
      <c r="X3133" s="14">
        <f>IF($J3133=0,0,ROUND(MAX($J3133*1.4*1.5*1.6*1.6*2.2*2.715*2.6,3540000000*(1.579646^(MIN($E3133,123)-117)))*1,0))</f>
        <v>23165718</v>
      </c>
      <c r="Y3133" s="11">
        <f>$E3133+17</f>
        <v>123</v>
      </c>
      <c r="Z3133" s="12">
        <f>IF($J3133=0,0,ROUND(MAX($J3133*1.4*1.5*1.6*1.6*2.2*2.715*2.6*1.4,6020000000*(1.651178^(MIN($E3133,123)-117)))*1,0))</f>
        <v>24202691</v>
      </c>
      <c r="AA3133" s="13">
        <f>$E3133+19</f>
        <v>125</v>
      </c>
      <c r="AB3133" s="14">
        <f>IF($J3133=0,0,ROUND(MAX($J3133*1.4*1.5*1.6*1.6*2.2*2.715*2.6*1.4*1.4,8430000000*(1.651435^(MIN($E3133,123)-117)))*1,0))</f>
        <v>33833836</v>
      </c>
      <c r="AC3133" s="11">
        <f>$E3133+21</f>
        <v>127</v>
      </c>
      <c r="AD3133" s="12">
        <f>IF($J3133=0,0,ROUND(MAX($J3133*1.4*1.5*1.6*1.6*2.2*2.715*2.6*1.4*1.4*1.5,12600000000*(1.652953^(MIN($E3133,123)-117)))*1,0))</f>
        <v>50061630</v>
      </c>
      <c r="AE3133" s="13">
        <f>$E3133+24</f>
        <v>130</v>
      </c>
      <c r="AF3133" s="14">
        <f>IF($J3133=0,0,ROUND(MAX($J3133*1.4*1.5*1.6*1.6*2.2*2.715*2.6*1.4*1.4*1.5*1.5,18900000000*(1.65331^(MIN($E3133,123)-117)))*1,0))</f>
        <v>74914276</v>
      </c>
      <c r="AG3133" s="11">
        <f>$E3133+27</f>
        <v>133</v>
      </c>
      <c r="AH3133" s="12">
        <f>IF($J3133=0,0,ROUND(MAX($J3133*1.4*1.5*1.6*1.6*2.2*2.715*2.6*1.4*1.4*1.5*1.5*3.2,60500000000*(1.654288^(MIN($E3133,123)-117)))*1,0))</f>
        <v>238250083</v>
      </c>
    </row>
    <row r="3134" ht="28" customHeight="1" spans="1:34" x14ac:dyDescent="0.25">
      <c r="A3134">
        <v>3144</v>
      </c>
      <c r="B3134" t="s">
        <v>182</v>
      </c>
      <c r="C3134" s="10" t="s">
        <v>1704</v>
      </c>
      <c r="D3134" t="s">
        <v>45</v>
      </c>
      <c r="E3134">
        <v>106</v>
      </c>
      <c r="F3134" t="s">
        <v>183</v>
      </c>
      <c r="G3134" t="s">
        <v>562</v>
      </c>
      <c r="H3134">
        <v>23</v>
      </c>
      <c r="I3134" s="11">
        <f>$E3134+0</f>
        <v>106</v>
      </c>
      <c r="J3134" s="12">
        <v>22200</v>
      </c>
      <c r="K3134" s="13">
        <f>$E3134+1</f>
        <v>107</v>
      </c>
      <c r="L3134" s="14">
        <f>IF($J3134=0,0,ROUND(MAX($J3134*1.4,1620000*(1.497923^(MIN($E3134,123)-117)))*1,0))</f>
        <v>31080</v>
      </c>
      <c r="M3134" s="11">
        <f>$E3134+2</f>
        <v>108</v>
      </c>
      <c r="N3134" s="12">
        <f>IF($J3134=0,0,ROUND(MAX($J3134*1.4*1.5,2190000*(1.580994^(MIN($E3134,123)-117)))*1,0))</f>
        <v>46620</v>
      </c>
      <c r="O3134" s="13">
        <f>$E3134+4</f>
        <v>110</v>
      </c>
      <c r="P3134" s="14">
        <f>IF($J3134=0,0,ROUND(MAX($J3134*1.4*1.5*1.6,3500000*(1.57975^(MIN($E3134,123)-117)))*1,0))</f>
        <v>74592</v>
      </c>
      <c r="Q3134" s="11">
        <f>$E3134+6</f>
        <v>112</v>
      </c>
      <c r="R3134" s="12">
        <f>IF($J3134=0,0,ROUND(MAX($J3134*1.4*1.5*1.6*1.6,13100000*(1.429962^(MIN($E3134,123)-117)))*1,0))</f>
        <v>256272</v>
      </c>
      <c r="S3134" s="13">
        <f>$E3134+8</f>
        <v>114</v>
      </c>
      <c r="T3134" s="14">
        <f>IF($J3134=0,0,ROUND(MAX($J3134*1.4*1.5*1.6*1.6*2.2,42600000*(1.576904^(MIN($E3134,123)-117)))*1,0))</f>
        <v>284153</v>
      </c>
      <c r="U3134" s="11">
        <f>$E3134+11</f>
        <v>117</v>
      </c>
      <c r="V3134" s="12">
        <f>IF($J3134=0,0,ROUND(MAX($J3134*1.4*1.5*1.6*1.6*2.2*2.715,354000000*(1.642074^(MIN($E3134,123)-117)))*1,0))</f>
        <v>1512458</v>
      </c>
      <c r="W3134" s="13">
        <f>$E3134+15</f>
        <v>121</v>
      </c>
      <c r="X3134" s="14">
        <f>IF($J3134=0,0,ROUND(MAX($J3134*1.4*1.5*1.6*1.6*2.2*2.715*2.6,3540000000*(1.579646^(MIN($E3134,123)-117)))*1,0))</f>
        <v>23165718</v>
      </c>
      <c r="Y3134" s="11">
        <f>$E3134+17</f>
        <v>123</v>
      </c>
      <c r="Z3134" s="12">
        <f>IF($J3134=0,0,ROUND(MAX($J3134*1.4*1.5*1.6*1.6*2.2*2.715*2.6*1.4,6020000000*(1.651178^(MIN($E3134,123)-117)))*1,0))</f>
        <v>24202691</v>
      </c>
      <c r="AA3134" s="13">
        <f>$E3134+19</f>
        <v>125</v>
      </c>
      <c r="AB3134" s="14">
        <f>IF($J3134=0,0,ROUND(MAX($J3134*1.4*1.5*1.6*1.6*2.2*2.715*2.6*1.4*1.4,8430000000*(1.651435^(MIN($E3134,123)-117)))*1,0))</f>
        <v>33833836</v>
      </c>
      <c r="AC3134" s="11">
        <f>$E3134+21</f>
        <v>127</v>
      </c>
      <c r="AD3134" s="12">
        <f>IF($J3134=0,0,ROUND(MAX($J3134*1.4*1.5*1.6*1.6*2.2*2.715*2.6*1.4*1.4*1.5,12600000000*(1.652953^(MIN($E3134,123)-117)))*1,0))</f>
        <v>50061630</v>
      </c>
      <c r="AE3134" s="13">
        <f>$E3134+24</f>
        <v>130</v>
      </c>
      <c r="AF3134" s="14">
        <f>IF($J3134=0,0,ROUND(MAX($J3134*1.4*1.5*1.6*1.6*2.2*2.715*2.6*1.4*1.4*1.5*1.5,18900000000*(1.65331^(MIN($E3134,123)-117)))*1,0))</f>
        <v>74914276</v>
      </c>
      <c r="AG3134" s="11">
        <f>$E3134+27</f>
        <v>133</v>
      </c>
      <c r="AH3134" s="12">
        <f>IF($J3134=0,0,ROUND(MAX($J3134*1.4*1.5*1.6*1.6*2.2*2.715*2.6*1.4*1.4*1.5*1.5*3.2,60500000000*(1.654288^(MIN($E3134,123)-117)))*1,0))</f>
        <v>238250083</v>
      </c>
    </row>
    <row r="3135" ht="28" customHeight="1" spans="1:34" x14ac:dyDescent="0.25">
      <c r="A3135">
        <v>3145</v>
      </c>
      <c r="B3135" t="s">
        <v>188</v>
      </c>
      <c r="C3135" s="10" t="s">
        <v>1704</v>
      </c>
      <c r="D3135" t="s">
        <v>47</v>
      </c>
      <c r="E3135">
        <v>106</v>
      </c>
      <c r="F3135" t="s">
        <v>42</v>
      </c>
      <c r="G3135" t="s">
        <v>562</v>
      </c>
      <c r="H3135">
        <v>21</v>
      </c>
      <c r="I3135" s="11">
        <f>$E3135+0</f>
        <v>106</v>
      </c>
      <c r="J3135" s="12">
        <v>44000</v>
      </c>
      <c r="K3135" s="13">
        <f>$E3135+1</f>
        <v>107</v>
      </c>
      <c r="L3135" s="14">
        <f>IF($J3135=0,0,ROUND(MAX($J3135*1.4,1620000*(1.497923^(MIN($E3135,123)-117)))*1,0))</f>
        <v>61600</v>
      </c>
      <c r="M3135" s="11">
        <f>$E3135+2</f>
        <v>108</v>
      </c>
      <c r="N3135" s="12">
        <f>IF($J3135=0,0,ROUND(MAX($J3135*1.4*1.5,2190000*(1.580994^(MIN($E3135,123)-117)))*1,0))</f>
        <v>92400</v>
      </c>
      <c r="O3135" s="13">
        <f>$E3135+4</f>
        <v>110</v>
      </c>
      <c r="P3135" s="14">
        <f>IF($J3135=0,0,ROUND(MAX($J3135*1.4*1.5*1.6,3500000*(1.57975^(MIN($E3135,123)-117)))*1,0))</f>
        <v>147840</v>
      </c>
      <c r="Q3135" s="11">
        <f>$E3135+6</f>
        <v>112</v>
      </c>
      <c r="R3135" s="12">
        <f>IF($J3135=0,0,ROUND(MAX($J3135*1.4*1.5*1.6*1.6,13100000*(1.429962^(MIN($E3135,123)-117)))*1,0))</f>
        <v>256272</v>
      </c>
      <c r="S3135" s="13">
        <f>$E3135+8</f>
        <v>114</v>
      </c>
      <c r="T3135" s="14">
        <f>IF($J3135=0,0,ROUND(MAX($J3135*1.4*1.5*1.6*1.6*2.2,42600000*(1.576904^(MIN($E3135,123)-117)))*1,0))</f>
        <v>520397</v>
      </c>
      <c r="U3135" s="11">
        <f>$E3135+11</f>
        <v>117</v>
      </c>
      <c r="V3135" s="12">
        <f>IF($J3135=0,0,ROUND(MAX($J3135*1.4*1.5*1.6*1.6*2.2*2.715,354000000*(1.642074^(MIN($E3135,123)-117)))*1,0))</f>
        <v>1512458</v>
      </c>
      <c r="W3135" s="13">
        <f>$E3135+15</f>
        <v>121</v>
      </c>
      <c r="X3135" s="14">
        <f>IF($J3135=0,0,ROUND(MAX($J3135*1.4*1.5*1.6*1.6*2.2*2.715*2.6,3540000000*(1.579646^(MIN($E3135,123)-117)))*1,0))</f>
        <v>23165718</v>
      </c>
      <c r="Y3135" s="11">
        <f>$E3135+17</f>
        <v>123</v>
      </c>
      <c r="Z3135" s="12">
        <f>IF($J3135=0,0,ROUND(MAX($J3135*1.4*1.5*1.6*1.6*2.2*2.715*2.6*1.4,6020000000*(1.651178^(MIN($E3135,123)-117)))*1,0))</f>
        <v>24202691</v>
      </c>
      <c r="AA3135" s="13">
        <f>$E3135+19</f>
        <v>125</v>
      </c>
      <c r="AB3135" s="14">
        <f>IF($J3135=0,0,ROUND(MAX($J3135*1.4*1.5*1.6*1.6*2.2*2.715*2.6*1.4*1.4,8430000000*(1.651435^(MIN($E3135,123)-117)))*1,0))</f>
        <v>33833836</v>
      </c>
      <c r="AC3135" s="11">
        <f>$E3135+21</f>
        <v>127</v>
      </c>
      <c r="AD3135" s="12">
        <f>IF($J3135=0,0,ROUND(MAX($J3135*1.4*1.5*1.6*1.6*2.2*2.715*2.6*1.4*1.4*1.5,12600000000*(1.652953^(MIN($E3135,123)-117)))*1,0))</f>
        <v>50061630</v>
      </c>
      <c r="AE3135" s="13">
        <f>$E3135+24</f>
        <v>130</v>
      </c>
      <c r="AF3135" s="14">
        <f>IF($J3135=0,0,ROUND(MAX($J3135*1.4*1.5*1.6*1.6*2.2*2.715*2.6*1.4*1.4*1.5*1.5,18900000000*(1.65331^(MIN($E3135,123)-117)))*1,0))</f>
        <v>74914276</v>
      </c>
      <c r="AG3135" s="11">
        <f>$E3135+27</f>
        <v>133</v>
      </c>
      <c r="AH3135" s="12">
        <f>IF($J3135=0,0,ROUND(MAX($J3135*1.4*1.5*1.6*1.6*2.2*2.715*2.6*1.4*1.4*1.5*1.5*3.2,60500000000*(1.654288^(MIN($E3135,123)-117)))*1,0))</f>
        <v>238250083</v>
      </c>
    </row>
    <row r="3136" ht="28" customHeight="1" spans="1:34" x14ac:dyDescent="0.25">
      <c r="A3136">
        <v>3146</v>
      </c>
      <c r="B3136" t="s">
        <v>180</v>
      </c>
      <c r="C3136" s="10" t="s">
        <v>1704</v>
      </c>
      <c r="D3136" t="s">
        <v>47</v>
      </c>
      <c r="E3136">
        <v>106</v>
      </c>
      <c r="F3136" t="s">
        <v>144</v>
      </c>
      <c r="G3136" t="s">
        <v>562</v>
      </c>
      <c r="H3136">
        <v>21</v>
      </c>
      <c r="I3136" s="11">
        <f>$E3136+0</f>
        <v>106</v>
      </c>
      <c r="J3136" s="12">
        <v>30000</v>
      </c>
      <c r="K3136" s="13">
        <f>$E3136+1</f>
        <v>107</v>
      </c>
      <c r="L3136" s="14">
        <f>IF($J3136=0,0,ROUND(MAX($J3136*1.4,1620000*(1.497923^(MIN($E3136,123)-117)))*1,0))</f>
        <v>42000</v>
      </c>
      <c r="M3136" s="11">
        <f>$E3136+2</f>
        <v>108</v>
      </c>
      <c r="N3136" s="12">
        <f>IF($J3136=0,0,ROUND(MAX($J3136*1.4*1.5,2190000*(1.580994^(MIN($E3136,123)-117)))*1,0))</f>
        <v>63000</v>
      </c>
      <c r="O3136" s="13">
        <f>$E3136+4</f>
        <v>110</v>
      </c>
      <c r="P3136" s="14">
        <f>IF($J3136=0,0,ROUND(MAX($J3136*1.4*1.5*1.6,3500000*(1.57975^(MIN($E3136,123)-117)))*1,0))</f>
        <v>100800</v>
      </c>
      <c r="Q3136" s="11">
        <f>$E3136+6</f>
        <v>112</v>
      </c>
      <c r="R3136" s="12">
        <f>IF($J3136=0,0,ROUND(MAX($J3136*1.4*1.5*1.6*1.6,13100000*(1.429962^(MIN($E3136,123)-117)))*1,0))</f>
        <v>256272</v>
      </c>
      <c r="S3136" s="13">
        <f>$E3136+8</f>
        <v>114</v>
      </c>
      <c r="T3136" s="14">
        <f>IF($J3136=0,0,ROUND(MAX($J3136*1.4*1.5*1.6*1.6*2.2,42600000*(1.576904^(MIN($E3136,123)-117)))*1,0))</f>
        <v>354816</v>
      </c>
      <c r="U3136" s="11">
        <f>$E3136+11</f>
        <v>117</v>
      </c>
      <c r="V3136" s="12">
        <f>IF($J3136=0,0,ROUND(MAX($J3136*1.4*1.5*1.6*1.6*2.2*2.715,354000000*(1.642074^(MIN($E3136,123)-117)))*1,0))</f>
        <v>1512458</v>
      </c>
      <c r="W3136" s="13">
        <f>$E3136+15</f>
        <v>121</v>
      </c>
      <c r="X3136" s="14">
        <f>IF($J3136=0,0,ROUND(MAX($J3136*1.4*1.5*1.6*1.6*2.2*2.715*2.6,3540000000*(1.579646^(MIN($E3136,123)-117)))*1,0))</f>
        <v>23165718</v>
      </c>
      <c r="Y3136" s="11">
        <f>$E3136+17</f>
        <v>123</v>
      </c>
      <c r="Z3136" s="12">
        <f>IF($J3136=0,0,ROUND(MAX($J3136*1.4*1.5*1.6*1.6*2.2*2.715*2.6*1.4,6020000000*(1.651178^(MIN($E3136,123)-117)))*1,0))</f>
        <v>24202691</v>
      </c>
      <c r="AA3136" s="13">
        <f>$E3136+19</f>
        <v>125</v>
      </c>
      <c r="AB3136" s="14">
        <f>IF($J3136=0,0,ROUND(MAX($J3136*1.4*1.5*1.6*1.6*2.2*2.715*2.6*1.4*1.4,8430000000*(1.651435^(MIN($E3136,123)-117)))*1,0))</f>
        <v>33833836</v>
      </c>
      <c r="AC3136" s="11">
        <f>$E3136+21</f>
        <v>127</v>
      </c>
      <c r="AD3136" s="12">
        <f>IF($J3136=0,0,ROUND(MAX($J3136*1.4*1.5*1.6*1.6*2.2*2.715*2.6*1.4*1.4*1.5,12600000000*(1.652953^(MIN($E3136,123)-117)))*1,0))</f>
        <v>50061630</v>
      </c>
      <c r="AE3136" s="13">
        <f>$E3136+24</f>
        <v>130</v>
      </c>
      <c r="AF3136" s="14">
        <f>IF($J3136=0,0,ROUND(MAX($J3136*1.4*1.5*1.6*1.6*2.2*2.715*2.6*1.4*1.4*1.5*1.5,18900000000*(1.65331^(MIN($E3136,123)-117)))*1,0))</f>
        <v>74914276</v>
      </c>
      <c r="AG3136" s="11">
        <f>$E3136+27</f>
        <v>133</v>
      </c>
      <c r="AH3136" s="12">
        <f>IF($J3136=0,0,ROUND(MAX($J3136*1.4*1.5*1.6*1.6*2.2*2.715*2.6*1.4*1.4*1.5*1.5*3.2,60500000000*(1.654288^(MIN($E3136,123)-117)))*1,0))</f>
        <v>238250083</v>
      </c>
    </row>
    <row r="3137" ht="28" customHeight="1" spans="1:34" x14ac:dyDescent="0.25">
      <c r="A3137">
        <v>3147</v>
      </c>
      <c r="B3137" t="s">
        <v>139</v>
      </c>
      <c r="C3137" s="10" t="s">
        <v>1704</v>
      </c>
      <c r="D3137" t="s">
        <v>40</v>
      </c>
      <c r="E3137">
        <v>105</v>
      </c>
      <c r="F3137" t="s">
        <v>34</v>
      </c>
      <c r="G3137" t="s">
        <v>562</v>
      </c>
      <c r="H3137">
        <v>24</v>
      </c>
      <c r="I3137" s="11">
        <f>$E3137+0</f>
        <v>105</v>
      </c>
      <c r="J3137" s="12">
        <v>14400</v>
      </c>
      <c r="K3137" s="13">
        <f>$E3137+1</f>
        <v>106</v>
      </c>
      <c r="L3137" s="14">
        <f>IF($J3137=0,0,ROUND(MAX($J3137*1.4,1620000*(1.497923^(MIN($E3137,123)-117)))*1,0))</f>
        <v>20160</v>
      </c>
      <c r="M3137" s="11">
        <f>$E3137+2</f>
        <v>107</v>
      </c>
      <c r="N3137" s="12">
        <f>IF($J3137=0,0,ROUND(MAX($J3137*1.4*1.5,2190000*(1.580994^(MIN($E3137,123)-117)))*1,0))</f>
        <v>30240</v>
      </c>
      <c r="O3137" s="13">
        <f>$E3137+4</f>
        <v>109</v>
      </c>
      <c r="P3137" s="14">
        <f>IF($J3137=0,0,ROUND(MAX($J3137*1.4*1.5*1.6,3500000*(1.57975^(MIN($E3137,123)-117)))*1,0))</f>
        <v>48384</v>
      </c>
      <c r="Q3137" s="11">
        <f>$E3137+6</f>
        <v>111</v>
      </c>
      <c r="R3137" s="12">
        <f>IF($J3137=0,0,ROUND(MAX($J3137*1.4*1.5*1.6*1.6,13100000*(1.429962^(MIN($E3137,123)-117)))*1,0))</f>
        <v>179216</v>
      </c>
      <c r="S3137" s="13">
        <f>$E3137+8</f>
        <v>113</v>
      </c>
      <c r="T3137" s="14">
        <f>IF($J3137=0,0,ROUND(MAX($J3137*1.4*1.5*1.6*1.6*2.2,42600000*(1.576904^(MIN($E3137,123)-117)))*1,0))</f>
        <v>180197</v>
      </c>
      <c r="U3137" s="11">
        <f>$E3137+11</f>
        <v>116</v>
      </c>
      <c r="V3137" s="12">
        <f>IF($J3137=0,0,ROUND(MAX($J3137*1.4*1.5*1.6*1.6*2.2*2.715,354000000*(1.642074^(MIN($E3137,123)-117)))*1,0))</f>
        <v>921066</v>
      </c>
      <c r="W3137" s="13">
        <f>$E3137+15</f>
        <v>120</v>
      </c>
      <c r="X3137" s="14">
        <f>IF($J3137=0,0,ROUND(MAX($J3137*1.4*1.5*1.6*1.6*2.2*2.715*2.6,3540000000*(1.579646^(MIN($E3137,123)-117)))*1,0))</f>
        <v>14665133</v>
      </c>
      <c r="Y3137" s="11">
        <f>$E3137+17</f>
        <v>122</v>
      </c>
      <c r="Z3137" s="12">
        <f>IF($J3137=0,0,ROUND(MAX($J3137*1.4*1.5*1.6*1.6*2.2*2.715*2.6*1.4,6020000000*(1.651178^(MIN($E3137,123)-117)))*1,0))</f>
        <v>14657833</v>
      </c>
      <c r="AA3137" s="13">
        <f>$E3137+19</f>
        <v>124</v>
      </c>
      <c r="AB3137" s="14">
        <f>IF($J3137=0,0,ROUND(MAX($J3137*1.4*1.5*1.6*1.6*2.2*2.715*2.6*1.4*1.4,8430000000*(1.651435^(MIN($E3137,123)-117)))*1,0))</f>
        <v>20487537</v>
      </c>
      <c r="AC3137" s="11">
        <f>$E3137+21</f>
        <v>126</v>
      </c>
      <c r="AD3137" s="12">
        <f>IF($J3137=0,0,ROUND(MAX($J3137*1.4*1.5*1.6*1.6*2.2*2.715*2.6*1.4*1.4*1.5,12600000000*(1.652953^(MIN($E3137,123)-117)))*1,0))</f>
        <v>30286179</v>
      </c>
      <c r="AE3137" s="13">
        <f>$E3137+24</f>
        <v>129</v>
      </c>
      <c r="AF3137" s="14">
        <f>IF($J3137=0,0,ROUND(MAX($J3137*1.4*1.5*1.6*1.6*2.2*2.715*2.6*1.4*1.4*1.5*1.5,18900000000*(1.65331^(MIN($E3137,123)-117)))*1,0))</f>
        <v>45311693</v>
      </c>
      <c r="AG3137" s="11">
        <f>$E3137+27</f>
        <v>132</v>
      </c>
      <c r="AH3137" s="12">
        <f>IF($J3137=0,0,ROUND(MAX($J3137*1.4*1.5*1.6*1.6*2.2*2.715*2.6*1.4*1.4*1.5*1.5*3.2,60500000000*(1.654288^(MIN($E3137,123)-117)))*1,0))</f>
        <v>144019713</v>
      </c>
    </row>
    <row r="3138" ht="28" customHeight="1" spans="1:34" x14ac:dyDescent="0.25">
      <c r="A3138">
        <v>3148</v>
      </c>
      <c r="B3138" t="s">
        <v>172</v>
      </c>
      <c r="C3138" s="10" t="s">
        <v>1704</v>
      </c>
      <c r="D3138" t="s">
        <v>40</v>
      </c>
      <c r="E3138">
        <v>105</v>
      </c>
      <c r="F3138" t="s">
        <v>26</v>
      </c>
      <c r="G3138" t="s">
        <v>562</v>
      </c>
      <c r="H3138">
        <v>24</v>
      </c>
      <c r="I3138" s="11">
        <f>$E3138+0</f>
        <v>105</v>
      </c>
      <c r="J3138" s="12">
        <v>17000</v>
      </c>
      <c r="K3138" s="13">
        <f>$E3138+1</f>
        <v>106</v>
      </c>
      <c r="L3138" s="14">
        <f>IF($J3138=0,0,ROUND(MAX($J3138*1.4,1620000*(1.497923^(MIN($E3138,123)-117)))*1,0))</f>
        <v>23800</v>
      </c>
      <c r="M3138" s="11">
        <f>$E3138+2</f>
        <v>107</v>
      </c>
      <c r="N3138" s="12">
        <f>IF($J3138=0,0,ROUND(MAX($J3138*1.4*1.5,2190000*(1.580994^(MIN($E3138,123)-117)))*1,0))</f>
        <v>35700</v>
      </c>
      <c r="O3138" s="13">
        <f>$E3138+4</f>
        <v>109</v>
      </c>
      <c r="P3138" s="14">
        <f>IF($J3138=0,0,ROUND(MAX($J3138*1.4*1.5*1.6,3500000*(1.57975^(MIN($E3138,123)-117)))*1,0))</f>
        <v>57120</v>
      </c>
      <c r="Q3138" s="11">
        <f>$E3138+6</f>
        <v>111</v>
      </c>
      <c r="R3138" s="12">
        <f>IF($J3138=0,0,ROUND(MAX($J3138*1.4*1.5*1.6*1.6,13100000*(1.429962^(MIN($E3138,123)-117)))*1,0))</f>
        <v>179216</v>
      </c>
      <c r="S3138" s="13">
        <f>$E3138+8</f>
        <v>113</v>
      </c>
      <c r="T3138" s="14">
        <f>IF($J3138=0,0,ROUND(MAX($J3138*1.4*1.5*1.6*1.6*2.2,42600000*(1.576904^(MIN($E3138,123)-117)))*1,0))</f>
        <v>201062</v>
      </c>
      <c r="U3138" s="11">
        <f>$E3138+11</f>
        <v>116</v>
      </c>
      <c r="V3138" s="12">
        <f>IF($J3138=0,0,ROUND(MAX($J3138*1.4*1.5*1.6*1.6*2.2*2.715,354000000*(1.642074^(MIN($E3138,123)-117)))*1,0))</f>
        <v>921066</v>
      </c>
      <c r="W3138" s="13">
        <f>$E3138+15</f>
        <v>120</v>
      </c>
      <c r="X3138" s="14">
        <f>IF($J3138=0,0,ROUND(MAX($J3138*1.4*1.5*1.6*1.6*2.2*2.715*2.6,3540000000*(1.579646^(MIN($E3138,123)-117)))*1,0))</f>
        <v>14665133</v>
      </c>
      <c r="Y3138" s="11">
        <f>$E3138+17</f>
        <v>122</v>
      </c>
      <c r="Z3138" s="12">
        <f>IF($J3138=0,0,ROUND(MAX($J3138*1.4*1.5*1.6*1.6*2.2*2.715*2.6*1.4,6020000000*(1.651178^(MIN($E3138,123)-117)))*1,0))</f>
        <v>14657833</v>
      </c>
      <c r="AA3138" s="13">
        <f>$E3138+19</f>
        <v>124</v>
      </c>
      <c r="AB3138" s="14">
        <f>IF($J3138=0,0,ROUND(MAX($J3138*1.4*1.5*1.6*1.6*2.2*2.715*2.6*1.4*1.4,8430000000*(1.651435^(MIN($E3138,123)-117)))*1,0))</f>
        <v>20487537</v>
      </c>
      <c r="AC3138" s="11">
        <f>$E3138+21</f>
        <v>126</v>
      </c>
      <c r="AD3138" s="12">
        <f>IF($J3138=0,0,ROUND(MAX($J3138*1.4*1.5*1.6*1.6*2.2*2.715*2.6*1.4*1.4*1.5,12600000000*(1.652953^(MIN($E3138,123)-117)))*1,0))</f>
        <v>30286179</v>
      </c>
      <c r="AE3138" s="13">
        <f>$E3138+24</f>
        <v>129</v>
      </c>
      <c r="AF3138" s="14">
        <f>IF($J3138=0,0,ROUND(MAX($J3138*1.4*1.5*1.6*1.6*2.2*2.715*2.6*1.4*1.4*1.5*1.5,18900000000*(1.65331^(MIN($E3138,123)-117)))*1,0))</f>
        <v>45311693</v>
      </c>
      <c r="AG3138" s="11">
        <f>$E3138+27</f>
        <v>132</v>
      </c>
      <c r="AH3138" s="12">
        <f>IF($J3138=0,0,ROUND(MAX($J3138*1.4*1.5*1.6*1.6*2.2*2.715*2.6*1.4*1.4*1.5*1.5*3.2,60500000000*(1.654288^(MIN($E3138,123)-117)))*1,0))</f>
        <v>144019713</v>
      </c>
    </row>
    <row r="3139" ht="28" customHeight="1" spans="1:34" x14ac:dyDescent="0.25">
      <c r="A3139">
        <v>3149</v>
      </c>
      <c r="B3139" t="s">
        <v>650</v>
      </c>
      <c r="C3139" s="10" t="s">
        <v>1704</v>
      </c>
      <c r="D3139" t="s">
        <v>33</v>
      </c>
      <c r="E3139">
        <v>105</v>
      </c>
      <c r="F3139" t="s">
        <v>34</v>
      </c>
      <c r="G3139" t="s">
        <v>562</v>
      </c>
      <c r="H3139">
        <v>23</v>
      </c>
      <c r="I3139" s="11">
        <f>$E3139+0</f>
        <v>105</v>
      </c>
      <c r="J3139" s="12">
        <v>12800</v>
      </c>
      <c r="K3139" s="13">
        <f>$E3139+1</f>
        <v>106</v>
      </c>
      <c r="L3139" s="14">
        <f>IF($J3139=0,0,ROUND(MAX($J3139*1.4,1620000*(1.497923^(MIN($E3139,123)-117)))*1,0))</f>
        <v>17920</v>
      </c>
      <c r="M3139" s="11">
        <f>$E3139+2</f>
        <v>107</v>
      </c>
      <c r="N3139" s="12">
        <f>IF($J3139=0,0,ROUND(MAX($J3139*1.4*1.5,2190000*(1.580994^(MIN($E3139,123)-117)))*1,0))</f>
        <v>26880</v>
      </c>
      <c r="O3139" s="13">
        <f>$E3139+4</f>
        <v>109</v>
      </c>
      <c r="P3139" s="14">
        <f>IF($J3139=0,0,ROUND(MAX($J3139*1.4*1.5*1.6,3500000*(1.57975^(MIN($E3139,123)-117)))*1,0))</f>
        <v>43008</v>
      </c>
      <c r="Q3139" s="11">
        <f>$E3139+6</f>
        <v>111</v>
      </c>
      <c r="R3139" s="12">
        <f>IF($J3139=0,0,ROUND(MAX($J3139*1.4*1.5*1.6*1.6,13100000*(1.429962^(MIN($E3139,123)-117)))*1,0))</f>
        <v>179216</v>
      </c>
      <c r="S3139" s="13">
        <f>$E3139+8</f>
        <v>113</v>
      </c>
      <c r="T3139" s="14">
        <f>IF($J3139=0,0,ROUND(MAX($J3139*1.4*1.5*1.6*1.6*2.2,42600000*(1.576904^(MIN($E3139,123)-117)))*1,0))</f>
        <v>180197</v>
      </c>
      <c r="U3139" s="11">
        <f>$E3139+11</f>
        <v>116</v>
      </c>
      <c r="V3139" s="12">
        <f>IF($J3139=0,0,ROUND(MAX($J3139*1.4*1.5*1.6*1.6*2.2*2.715,354000000*(1.642074^(MIN($E3139,123)-117)))*1,0))</f>
        <v>921066</v>
      </c>
      <c r="W3139" s="13">
        <f>$E3139+15</f>
        <v>120</v>
      </c>
      <c r="X3139" s="14">
        <f>IF($J3139=0,0,ROUND(MAX($J3139*1.4*1.5*1.6*1.6*2.2*2.715*2.6,3540000000*(1.579646^(MIN($E3139,123)-117)))*1,0))</f>
        <v>14665133</v>
      </c>
      <c r="Y3139" s="11">
        <f>$E3139+17</f>
        <v>122</v>
      </c>
      <c r="Z3139" s="12">
        <f>IF($J3139=0,0,ROUND(MAX($J3139*1.4*1.5*1.6*1.6*2.2*2.715*2.6*1.4,6020000000*(1.651178^(MIN($E3139,123)-117)))*1,0))</f>
        <v>14657833</v>
      </c>
      <c r="AA3139" s="13">
        <f>$E3139+19</f>
        <v>124</v>
      </c>
      <c r="AB3139" s="14">
        <f>IF($J3139=0,0,ROUND(MAX($J3139*1.4*1.5*1.6*1.6*2.2*2.715*2.6*1.4*1.4,8430000000*(1.651435^(MIN($E3139,123)-117)))*1,0))</f>
        <v>20487537</v>
      </c>
      <c r="AC3139" s="11">
        <f>$E3139+21</f>
        <v>126</v>
      </c>
      <c r="AD3139" s="12">
        <f>IF($J3139=0,0,ROUND(MAX($J3139*1.4*1.5*1.6*1.6*2.2*2.715*2.6*1.4*1.4*1.5,12600000000*(1.652953^(MIN($E3139,123)-117)))*1,0))</f>
        <v>30286179</v>
      </c>
      <c r="AE3139" s="13">
        <f>$E3139+24</f>
        <v>129</v>
      </c>
      <c r="AF3139" s="14">
        <f>IF($J3139=0,0,ROUND(MAX($J3139*1.4*1.5*1.6*1.6*2.2*2.715*2.6*1.4*1.4*1.5*1.5,18900000000*(1.65331^(MIN($E3139,123)-117)))*1,0))</f>
        <v>45311693</v>
      </c>
      <c r="AG3139" s="11">
        <f>$E3139+27</f>
        <v>132</v>
      </c>
      <c r="AH3139" s="12">
        <f>IF($J3139=0,0,ROUND(MAX($J3139*1.4*1.5*1.6*1.6*2.2*2.715*2.6*1.4*1.4*1.5*1.5*3.2,60500000000*(1.654288^(MIN($E3139,123)-117)))*1,0))</f>
        <v>144019713</v>
      </c>
    </row>
    <row r="3140" ht="28" customHeight="1" spans="1:34" x14ac:dyDescent="0.25">
      <c r="A3140">
        <v>3150</v>
      </c>
      <c r="B3140" t="s">
        <v>1254</v>
      </c>
      <c r="C3140" s="10" t="s">
        <v>1704</v>
      </c>
      <c r="D3140" t="s">
        <v>29</v>
      </c>
      <c r="E3140">
        <v>105</v>
      </c>
      <c r="F3140" t="s">
        <v>54</v>
      </c>
      <c r="G3140" t="s">
        <v>562</v>
      </c>
      <c r="H3140">
        <v>23</v>
      </c>
      <c r="I3140" s="11">
        <f>$E3140+0</f>
        <v>105</v>
      </c>
      <c r="J3140" s="12">
        <v>12900</v>
      </c>
      <c r="K3140" s="13">
        <f>$E3140+1</f>
        <v>106</v>
      </c>
      <c r="L3140" s="14">
        <f>IF($J3140=0,0,ROUND(MAX($J3140*1.4,1620000*(1.497923^(MIN($E3140,123)-117)))*1,0))</f>
        <v>18060</v>
      </c>
      <c r="M3140" s="11">
        <f>$E3140+2</f>
        <v>107</v>
      </c>
      <c r="N3140" s="12">
        <f>IF($J3140=0,0,ROUND(MAX($J3140*1.4*1.5,2190000*(1.580994^(MIN($E3140,123)-117)))*1,0))</f>
        <v>27090</v>
      </c>
      <c r="O3140" s="13">
        <f>$E3140+4</f>
        <v>109</v>
      </c>
      <c r="P3140" s="14">
        <f>IF($J3140=0,0,ROUND(MAX($J3140*1.4*1.5*1.6,3500000*(1.57975^(MIN($E3140,123)-117)))*1,0))</f>
        <v>43344</v>
      </c>
      <c r="Q3140" s="11">
        <f>$E3140+6</f>
        <v>111</v>
      </c>
      <c r="R3140" s="12">
        <f>IF($J3140=0,0,ROUND(MAX($J3140*1.4*1.5*1.6*1.6,13100000*(1.429962^(MIN($E3140,123)-117)))*1,0))</f>
        <v>179216</v>
      </c>
      <c r="S3140" s="13">
        <f>$E3140+8</f>
        <v>113</v>
      </c>
      <c r="T3140" s="14">
        <f>IF($J3140=0,0,ROUND(MAX($J3140*1.4*1.5*1.6*1.6*2.2,42600000*(1.576904^(MIN($E3140,123)-117)))*1,0))</f>
        <v>180197</v>
      </c>
      <c r="U3140" s="11">
        <f>$E3140+11</f>
        <v>116</v>
      </c>
      <c r="V3140" s="12">
        <f>IF($J3140=0,0,ROUND(MAX($J3140*1.4*1.5*1.6*1.6*2.2*2.715,354000000*(1.642074^(MIN($E3140,123)-117)))*1,0))</f>
        <v>921066</v>
      </c>
      <c r="W3140" s="13">
        <f>$E3140+15</f>
        <v>120</v>
      </c>
      <c r="X3140" s="14">
        <f>IF($J3140=0,0,ROUND(MAX($J3140*1.4*1.5*1.6*1.6*2.2*2.715*2.6,3540000000*(1.579646^(MIN($E3140,123)-117)))*1,0))</f>
        <v>14665133</v>
      </c>
      <c r="Y3140" s="11">
        <f>$E3140+17</f>
        <v>122</v>
      </c>
      <c r="Z3140" s="12">
        <f>IF($J3140=0,0,ROUND(MAX($J3140*1.4*1.5*1.6*1.6*2.2*2.715*2.6*1.4,6020000000*(1.651178^(MIN($E3140,123)-117)))*1,0))</f>
        <v>14657833</v>
      </c>
      <c r="AA3140" s="13">
        <f>$E3140+19</f>
        <v>124</v>
      </c>
      <c r="AB3140" s="14">
        <f>IF($J3140=0,0,ROUND(MAX($J3140*1.4*1.5*1.6*1.6*2.2*2.715*2.6*1.4*1.4,8430000000*(1.651435^(MIN($E3140,123)-117)))*1,0))</f>
        <v>20487537</v>
      </c>
      <c r="AC3140" s="11">
        <f>$E3140+21</f>
        <v>126</v>
      </c>
      <c r="AD3140" s="12">
        <f>IF($J3140=0,0,ROUND(MAX($J3140*1.4*1.5*1.6*1.6*2.2*2.715*2.6*1.4*1.4*1.5,12600000000*(1.652953^(MIN($E3140,123)-117)))*1,0))</f>
        <v>30286179</v>
      </c>
      <c r="AE3140" s="13">
        <f>$E3140+24</f>
        <v>129</v>
      </c>
      <c r="AF3140" s="14">
        <f>IF($J3140=0,0,ROUND(MAX($J3140*1.4*1.5*1.6*1.6*2.2*2.715*2.6*1.4*1.4*1.5*1.5,18900000000*(1.65331^(MIN($E3140,123)-117)))*1,0))</f>
        <v>45311693</v>
      </c>
      <c r="AG3140" s="11">
        <f>$E3140+27</f>
        <v>132</v>
      </c>
      <c r="AH3140" s="12">
        <f>IF($J3140=0,0,ROUND(MAX($J3140*1.4*1.5*1.6*1.6*2.2*2.715*2.6*1.4*1.4*1.5*1.5*3.2,60500000000*(1.654288^(MIN($E3140,123)-117)))*1,0))</f>
        <v>144019713</v>
      </c>
    </row>
    <row r="3141" ht="28" customHeight="1" spans="1:34" x14ac:dyDescent="0.25">
      <c r="A3141">
        <v>3151</v>
      </c>
      <c r="B3141" t="s">
        <v>687</v>
      </c>
      <c r="C3141" s="10" t="s">
        <v>1704</v>
      </c>
      <c r="D3141" t="s">
        <v>25</v>
      </c>
      <c r="E3141">
        <v>105</v>
      </c>
      <c r="F3141" t="s">
        <v>194</v>
      </c>
      <c r="G3141" t="s">
        <v>562</v>
      </c>
      <c r="H3141">
        <v>23</v>
      </c>
      <c r="I3141" s="11">
        <f>$E3141+0</f>
        <v>105</v>
      </c>
      <c r="J3141" s="12">
        <v>12700</v>
      </c>
      <c r="K3141" s="13">
        <f>$E3141+1</f>
        <v>106</v>
      </c>
      <c r="L3141" s="14">
        <f>IF($J3141=0,0,ROUND(MAX($J3141*1.4,1620000*(1.497923^(MIN($E3141,123)-117)))*1,0))</f>
        <v>17780</v>
      </c>
      <c r="M3141" s="11">
        <f>$E3141+2</f>
        <v>107</v>
      </c>
      <c r="N3141" s="12">
        <f>IF($J3141=0,0,ROUND(MAX($J3141*1.4*1.5,2190000*(1.580994^(MIN($E3141,123)-117)))*1,0))</f>
        <v>26670</v>
      </c>
      <c r="O3141" s="13">
        <f>$E3141+4</f>
        <v>109</v>
      </c>
      <c r="P3141" s="14">
        <f>IF($J3141=0,0,ROUND(MAX($J3141*1.4*1.5*1.6,3500000*(1.57975^(MIN($E3141,123)-117)))*1,0))</f>
        <v>42672</v>
      </c>
      <c r="Q3141" s="11">
        <f>$E3141+6</f>
        <v>111</v>
      </c>
      <c r="R3141" s="12">
        <f>IF($J3141=0,0,ROUND(MAX($J3141*1.4*1.5*1.6*1.6,13100000*(1.429962^(MIN($E3141,123)-117)))*1,0))</f>
        <v>179216</v>
      </c>
      <c r="S3141" s="13">
        <f>$E3141+8</f>
        <v>113</v>
      </c>
      <c r="T3141" s="14">
        <f>IF($J3141=0,0,ROUND(MAX($J3141*1.4*1.5*1.6*1.6*2.2,42600000*(1.576904^(MIN($E3141,123)-117)))*1,0))</f>
        <v>180197</v>
      </c>
      <c r="U3141" s="11">
        <f>$E3141+11</f>
        <v>116</v>
      </c>
      <c r="V3141" s="12">
        <f>IF($J3141=0,0,ROUND(MAX($J3141*1.4*1.5*1.6*1.6*2.2*2.715,354000000*(1.642074^(MIN($E3141,123)-117)))*1,0))</f>
        <v>921066</v>
      </c>
      <c r="W3141" s="13">
        <f>$E3141+15</f>
        <v>120</v>
      </c>
      <c r="X3141" s="14">
        <f>IF($J3141=0,0,ROUND(MAX($J3141*1.4*1.5*1.6*1.6*2.2*2.715*2.6,3540000000*(1.579646^(MIN($E3141,123)-117)))*1,0))</f>
        <v>14665133</v>
      </c>
      <c r="Y3141" s="11">
        <f>$E3141+17</f>
        <v>122</v>
      </c>
      <c r="Z3141" s="12">
        <f>IF($J3141=0,0,ROUND(MAX($J3141*1.4*1.5*1.6*1.6*2.2*2.715*2.6*1.4,6020000000*(1.651178^(MIN($E3141,123)-117)))*1,0))</f>
        <v>14657833</v>
      </c>
      <c r="AA3141" s="13">
        <f>$E3141+19</f>
        <v>124</v>
      </c>
      <c r="AB3141" s="14">
        <f>IF($J3141=0,0,ROUND(MAX($J3141*1.4*1.5*1.6*1.6*2.2*2.715*2.6*1.4*1.4,8430000000*(1.651435^(MIN($E3141,123)-117)))*1,0))</f>
        <v>20487537</v>
      </c>
      <c r="AC3141" s="11">
        <f>$E3141+21</f>
        <v>126</v>
      </c>
      <c r="AD3141" s="12">
        <f>IF($J3141=0,0,ROUND(MAX($J3141*1.4*1.5*1.6*1.6*2.2*2.715*2.6*1.4*1.4*1.5,12600000000*(1.652953^(MIN($E3141,123)-117)))*1,0))</f>
        <v>30286179</v>
      </c>
      <c r="AE3141" s="13">
        <f>$E3141+24</f>
        <v>129</v>
      </c>
      <c r="AF3141" s="14">
        <f>IF($J3141=0,0,ROUND(MAX($J3141*1.4*1.5*1.6*1.6*2.2*2.715*2.6*1.4*1.4*1.5*1.5,18900000000*(1.65331^(MIN($E3141,123)-117)))*1,0))</f>
        <v>45311693</v>
      </c>
      <c r="AG3141" s="11">
        <f>$E3141+27</f>
        <v>132</v>
      </c>
      <c r="AH3141" s="12">
        <f>IF($J3141=0,0,ROUND(MAX($J3141*1.4*1.5*1.6*1.6*2.2*2.715*2.6*1.4*1.4*1.5*1.5*3.2,60500000000*(1.654288^(MIN($E3141,123)-117)))*1,0))</f>
        <v>144019713</v>
      </c>
    </row>
    <row r="3142" ht="28" customHeight="1" spans="1:34" x14ac:dyDescent="0.25">
      <c r="A3142">
        <v>3152</v>
      </c>
      <c r="B3142" t="s">
        <v>1708</v>
      </c>
      <c r="C3142" s="10" t="s">
        <v>1704</v>
      </c>
      <c r="D3142" t="s">
        <v>241</v>
      </c>
      <c r="E3142">
        <v>105</v>
      </c>
      <c r="F3142" t="s">
        <v>34</v>
      </c>
      <c r="G3142" t="s">
        <v>562</v>
      </c>
      <c r="H3142">
        <v>23</v>
      </c>
      <c r="I3142" s="11">
        <f>$E3142+0</f>
        <v>105</v>
      </c>
      <c r="J3142" s="12">
        <v>142000</v>
      </c>
      <c r="K3142" s="13">
        <f>$E3142+1</f>
        <v>106</v>
      </c>
      <c r="L3142" s="14">
        <f>IF($J3142=0,0,ROUND(MAX($J3142*1.4,1620000*(1.497923^(MIN($E3142,123)-117)))*1,0))</f>
        <v>198800</v>
      </c>
      <c r="M3142" s="11">
        <f>$E3142+2</f>
        <v>107</v>
      </c>
      <c r="N3142" s="12">
        <f>IF($J3142=0,0,ROUND(MAX($J3142*1.4*1.5,2190000*(1.580994^(MIN($E3142,123)-117)))*1,0))</f>
        <v>298200</v>
      </c>
      <c r="O3142" s="13">
        <f>$E3142+4</f>
        <v>109</v>
      </c>
      <c r="P3142" s="14">
        <f>IF($J3142=0,0,ROUND(MAX($J3142*1.4*1.5*1.6,3500000*(1.57975^(MIN($E3142,123)-117)))*1,0))</f>
        <v>477120</v>
      </c>
      <c r="Q3142" s="11">
        <f>$E3142+6</f>
        <v>111</v>
      </c>
      <c r="R3142" s="12">
        <f>IF($J3142=0,0,ROUND(MAX($J3142*1.4*1.5*1.6*1.6,13100000*(1.429962^(MIN($E3142,123)-117)))*1,0))</f>
        <v>763392</v>
      </c>
      <c r="S3142" s="13">
        <f>$E3142+8</f>
        <v>113</v>
      </c>
      <c r="T3142" s="14">
        <f>IF($J3142=0,0,ROUND(MAX($J3142*1.4*1.5*1.6*1.6*2.2,42600000*(1.576904^(MIN($E3142,123)-117)))*1,0))</f>
        <v>1679462</v>
      </c>
      <c r="U3142" s="11">
        <f>$E3142+11</f>
        <v>116</v>
      </c>
      <c r="V3142" s="12">
        <f>IF($J3142=0,0,ROUND(MAX($J3142*1.4*1.5*1.6*1.6*2.2*2.715,354000000*(1.642074^(MIN($E3142,123)-117)))*1,0))</f>
        <v>4559740</v>
      </c>
      <c r="W3142" s="13">
        <f>$E3142+15</f>
        <v>120</v>
      </c>
      <c r="X3142" s="14">
        <f>IF($J3142=0,0,ROUND(MAX($J3142*1.4*1.5*1.6*1.6*2.2*2.715*2.6,3540000000*(1.579646^(MIN($E3142,123)-117)))*1,0))</f>
        <v>14665133</v>
      </c>
      <c r="Y3142" s="11">
        <f>$E3142+17</f>
        <v>122</v>
      </c>
      <c r="Z3142" s="12">
        <f>IF($J3142=0,0,ROUND(MAX($J3142*1.4*1.5*1.6*1.6*2.2*2.715*2.6*1.4,6020000000*(1.651178^(MIN($E3142,123)-117)))*1,0))</f>
        <v>16597455</v>
      </c>
      <c r="AA3142" s="13">
        <f>$E3142+19</f>
        <v>124</v>
      </c>
      <c r="AB3142" s="14">
        <f>IF($J3142=0,0,ROUND(MAX($J3142*1.4*1.5*1.6*1.6*2.2*2.715*2.6*1.4*1.4,8430000000*(1.651435^(MIN($E3142,123)-117)))*1,0))</f>
        <v>23236437</v>
      </c>
      <c r="AC3142" s="11">
        <f>$E3142+21</f>
        <v>126</v>
      </c>
      <c r="AD3142" s="12">
        <f>IF($J3142=0,0,ROUND(MAX($J3142*1.4*1.5*1.6*1.6*2.2*2.715*2.6*1.4*1.4*1.5,12600000000*(1.652953^(MIN($E3142,123)-117)))*1,0))</f>
        <v>34854656</v>
      </c>
      <c r="AE3142" s="13">
        <f>$E3142+24</f>
        <v>129</v>
      </c>
      <c r="AF3142" s="14">
        <f>IF($J3142=0,0,ROUND(MAX($J3142*1.4*1.5*1.6*1.6*2.2*2.715*2.6*1.4*1.4*1.5*1.5,18900000000*(1.65331^(MIN($E3142,123)-117)))*1,0))</f>
        <v>52281984</v>
      </c>
      <c r="AG3142" s="11">
        <f>$E3142+27</f>
        <v>132</v>
      </c>
      <c r="AH3142" s="12">
        <f>IF($J3142=0,0,ROUND(MAX($J3142*1.4*1.5*1.6*1.6*2.2*2.715*2.6*1.4*1.4*1.5*1.5*3.2,60500000000*(1.654288^(MIN($E3142,123)-117)))*1,0))</f>
        <v>167302348</v>
      </c>
    </row>
    <row r="3143" ht="28" customHeight="1" spans="1:34" x14ac:dyDescent="0.25">
      <c r="A3143">
        <v>3153</v>
      </c>
      <c r="B3143" t="s">
        <v>193</v>
      </c>
      <c r="C3143" s="10" t="s">
        <v>1704</v>
      </c>
      <c r="D3143" t="s">
        <v>102</v>
      </c>
      <c r="E3143">
        <v>105</v>
      </c>
      <c r="F3143" t="s">
        <v>194</v>
      </c>
      <c r="G3143" t="s">
        <v>562</v>
      </c>
      <c r="H3143">
        <v>23</v>
      </c>
      <c r="I3143" s="11">
        <f>$E3143+0</f>
        <v>105</v>
      </c>
      <c r="J3143" s="12">
        <v>11800</v>
      </c>
      <c r="K3143" s="13">
        <f>$E3143+1</f>
        <v>106</v>
      </c>
      <c r="L3143" s="14">
        <f>IF($J3143=0,0,ROUND(MAX($J3143*1.4,1620000*(1.497923^(MIN($E3143,123)-117)))*1,0))</f>
        <v>16520</v>
      </c>
      <c r="M3143" s="11">
        <f>$E3143+2</f>
        <v>107</v>
      </c>
      <c r="N3143" s="12">
        <f>IF($J3143=0,0,ROUND(MAX($J3143*1.4*1.5,2190000*(1.580994^(MIN($E3143,123)-117)))*1,0))</f>
        <v>24780</v>
      </c>
      <c r="O3143" s="13">
        <f>$E3143+4</f>
        <v>109</v>
      </c>
      <c r="P3143" s="14">
        <f>IF($J3143=0,0,ROUND(MAX($J3143*1.4*1.5*1.6,3500000*(1.57975^(MIN($E3143,123)-117)))*1,0))</f>
        <v>39648</v>
      </c>
      <c r="Q3143" s="11">
        <f>$E3143+6</f>
        <v>111</v>
      </c>
      <c r="R3143" s="12">
        <f>IF($J3143=0,0,ROUND(MAX($J3143*1.4*1.5*1.6*1.6,13100000*(1.429962^(MIN($E3143,123)-117)))*1,0))</f>
        <v>179216</v>
      </c>
      <c r="S3143" s="13">
        <f>$E3143+8</f>
        <v>113</v>
      </c>
      <c r="T3143" s="14">
        <f>IF($J3143=0,0,ROUND(MAX($J3143*1.4*1.5*1.6*1.6*2.2,42600000*(1.576904^(MIN($E3143,123)-117)))*1,0))</f>
        <v>180197</v>
      </c>
      <c r="U3143" s="11">
        <f>$E3143+11</f>
        <v>116</v>
      </c>
      <c r="V3143" s="12">
        <f>IF($J3143=0,0,ROUND(MAX($J3143*1.4*1.5*1.6*1.6*2.2*2.715,354000000*(1.642074^(MIN($E3143,123)-117)))*1,0))</f>
        <v>921066</v>
      </c>
      <c r="W3143" s="13">
        <f>$E3143+15</f>
        <v>120</v>
      </c>
      <c r="X3143" s="14">
        <f>IF($J3143=0,0,ROUND(MAX($J3143*1.4*1.5*1.6*1.6*2.2*2.715*2.6,3540000000*(1.579646^(MIN($E3143,123)-117)))*1,0))</f>
        <v>14665133</v>
      </c>
      <c r="Y3143" s="11">
        <f>$E3143+17</f>
        <v>122</v>
      </c>
      <c r="Z3143" s="12">
        <f>IF($J3143=0,0,ROUND(MAX($J3143*1.4*1.5*1.6*1.6*2.2*2.715*2.6*1.4,6020000000*(1.651178^(MIN($E3143,123)-117)))*1,0))</f>
        <v>14657833</v>
      </c>
      <c r="AA3143" s="13">
        <f>$E3143+19</f>
        <v>124</v>
      </c>
      <c r="AB3143" s="14">
        <f>IF($J3143=0,0,ROUND(MAX($J3143*1.4*1.5*1.6*1.6*2.2*2.715*2.6*1.4*1.4,8430000000*(1.651435^(MIN($E3143,123)-117)))*1,0))</f>
        <v>20487537</v>
      </c>
      <c r="AC3143" s="11">
        <f>$E3143+21</f>
        <v>126</v>
      </c>
      <c r="AD3143" s="12">
        <f>IF($J3143=0,0,ROUND(MAX($J3143*1.4*1.5*1.6*1.6*2.2*2.715*2.6*1.4*1.4*1.5,12600000000*(1.652953^(MIN($E3143,123)-117)))*1,0))</f>
        <v>30286179</v>
      </c>
      <c r="AE3143" s="13">
        <f>$E3143+24</f>
        <v>129</v>
      </c>
      <c r="AF3143" s="14">
        <f>IF($J3143=0,0,ROUND(MAX($J3143*1.4*1.5*1.6*1.6*2.2*2.715*2.6*1.4*1.4*1.5*1.5,18900000000*(1.65331^(MIN($E3143,123)-117)))*1,0))</f>
        <v>45311693</v>
      </c>
      <c r="AG3143" s="11">
        <f>$E3143+27</f>
        <v>132</v>
      </c>
      <c r="AH3143" s="12">
        <f>IF($J3143=0,0,ROUND(MAX($J3143*1.4*1.5*1.6*1.6*2.2*2.715*2.6*1.4*1.4*1.5*1.5*3.2,60500000000*(1.654288^(MIN($E3143,123)-117)))*1,0))</f>
        <v>144019713</v>
      </c>
    </row>
    <row r="3144" ht="28" customHeight="1" spans="1:34" x14ac:dyDescent="0.25">
      <c r="A3144">
        <v>3154</v>
      </c>
      <c r="B3144" t="s">
        <v>473</v>
      </c>
      <c r="C3144" s="10" t="s">
        <v>1704</v>
      </c>
      <c r="D3144" t="s">
        <v>165</v>
      </c>
      <c r="E3144">
        <v>105</v>
      </c>
      <c r="F3144" t="s">
        <v>123</v>
      </c>
      <c r="G3144" t="s">
        <v>562</v>
      </c>
      <c r="H3144">
        <v>23</v>
      </c>
      <c r="I3144" s="11">
        <f>$E3144+0</f>
        <v>105</v>
      </c>
      <c r="J3144" s="12">
        <v>13100</v>
      </c>
      <c r="K3144" s="13">
        <f>$E3144+1</f>
        <v>106</v>
      </c>
      <c r="L3144" s="14">
        <f>IF($J3144=0,0,ROUND(MAX($J3144*1.4,1620000*(1.497923^(MIN($E3144,123)-117)))*1,0))</f>
        <v>18340</v>
      </c>
      <c r="M3144" s="11">
        <f>$E3144+2</f>
        <v>107</v>
      </c>
      <c r="N3144" s="12">
        <f>IF($J3144=0,0,ROUND(MAX($J3144*1.4*1.5,2190000*(1.580994^(MIN($E3144,123)-117)))*1,0))</f>
        <v>27510</v>
      </c>
      <c r="O3144" s="13">
        <f>$E3144+4</f>
        <v>109</v>
      </c>
      <c r="P3144" s="14">
        <f>IF($J3144=0,0,ROUND(MAX($J3144*1.4*1.5*1.6,3500000*(1.57975^(MIN($E3144,123)-117)))*1,0))</f>
        <v>44016</v>
      </c>
      <c r="Q3144" s="11">
        <f>$E3144+6</f>
        <v>111</v>
      </c>
      <c r="R3144" s="12">
        <f>IF($J3144=0,0,ROUND(MAX($J3144*1.4*1.5*1.6*1.6,13100000*(1.429962^(MIN($E3144,123)-117)))*1,0))</f>
        <v>179216</v>
      </c>
      <c r="S3144" s="13">
        <f>$E3144+8</f>
        <v>113</v>
      </c>
      <c r="T3144" s="14">
        <f>IF($J3144=0,0,ROUND(MAX($J3144*1.4*1.5*1.6*1.6*2.2,42600000*(1.576904^(MIN($E3144,123)-117)))*1,0))</f>
        <v>180197</v>
      </c>
      <c r="U3144" s="11">
        <f>$E3144+11</f>
        <v>116</v>
      </c>
      <c r="V3144" s="12">
        <f>IF($J3144=0,0,ROUND(MAX($J3144*1.4*1.5*1.6*1.6*2.2*2.715,354000000*(1.642074^(MIN($E3144,123)-117)))*1,0))</f>
        <v>921066</v>
      </c>
      <c r="W3144" s="13">
        <f>$E3144+15</f>
        <v>120</v>
      </c>
      <c r="X3144" s="14">
        <f>IF($J3144=0,0,ROUND(MAX($J3144*1.4*1.5*1.6*1.6*2.2*2.715*2.6,3540000000*(1.579646^(MIN($E3144,123)-117)))*1,0))</f>
        <v>14665133</v>
      </c>
      <c r="Y3144" s="11">
        <f>$E3144+17</f>
        <v>122</v>
      </c>
      <c r="Z3144" s="12">
        <f>IF($J3144=0,0,ROUND(MAX($J3144*1.4*1.5*1.6*1.6*2.2*2.715*2.6*1.4,6020000000*(1.651178^(MIN($E3144,123)-117)))*1,0))</f>
        <v>14657833</v>
      </c>
      <c r="AA3144" s="13">
        <f>$E3144+19</f>
        <v>124</v>
      </c>
      <c r="AB3144" s="14">
        <f>IF($J3144=0,0,ROUND(MAX($J3144*1.4*1.5*1.6*1.6*2.2*2.715*2.6*1.4*1.4,8430000000*(1.651435^(MIN($E3144,123)-117)))*1,0))</f>
        <v>20487537</v>
      </c>
      <c r="AC3144" s="11">
        <f>$E3144+21</f>
        <v>126</v>
      </c>
      <c r="AD3144" s="12">
        <f>IF($J3144=0,0,ROUND(MAX($J3144*1.4*1.5*1.6*1.6*2.2*2.715*2.6*1.4*1.4*1.5,12600000000*(1.652953^(MIN($E3144,123)-117)))*1,0))</f>
        <v>30286179</v>
      </c>
      <c r="AE3144" s="13">
        <f>$E3144+24</f>
        <v>129</v>
      </c>
      <c r="AF3144" s="14">
        <f>IF($J3144=0,0,ROUND(MAX($J3144*1.4*1.5*1.6*1.6*2.2*2.715*2.6*1.4*1.4*1.5*1.5,18900000000*(1.65331^(MIN($E3144,123)-117)))*1,0))</f>
        <v>45311693</v>
      </c>
      <c r="AG3144" s="11">
        <f>$E3144+27</f>
        <v>132</v>
      </c>
      <c r="AH3144" s="12">
        <f>IF($J3144=0,0,ROUND(MAX($J3144*1.4*1.5*1.6*1.6*2.2*2.715*2.6*1.4*1.4*1.5*1.5*3.2,60500000000*(1.654288^(MIN($E3144,123)-117)))*1,0))</f>
        <v>144019713</v>
      </c>
    </row>
    <row r="3145" ht="28" customHeight="1" spans="1:34" x14ac:dyDescent="0.25">
      <c r="A3145">
        <v>3155</v>
      </c>
      <c r="B3145" t="s">
        <v>201</v>
      </c>
      <c r="C3145" s="10" t="s">
        <v>1704</v>
      </c>
      <c r="D3145" t="s">
        <v>93</v>
      </c>
      <c r="E3145">
        <v>105</v>
      </c>
      <c r="F3145" t="s">
        <v>120</v>
      </c>
      <c r="G3145" t="s">
        <v>562</v>
      </c>
      <c r="H3145">
        <v>23</v>
      </c>
      <c r="I3145" s="11">
        <f>$E3145+0</f>
        <v>105</v>
      </c>
      <c r="J3145" s="12">
        <v>18900</v>
      </c>
      <c r="K3145" s="13">
        <f>$E3145+1</f>
        <v>106</v>
      </c>
      <c r="L3145" s="14">
        <f>IF($J3145=0,0,ROUND(MAX($J3145*1.4,1620000*(1.497923^(MIN($E3145,123)-117)))*1,0))</f>
        <v>26460</v>
      </c>
      <c r="M3145" s="11">
        <f>$E3145+2</f>
        <v>107</v>
      </c>
      <c r="N3145" s="12">
        <f>IF($J3145=0,0,ROUND(MAX($J3145*1.4*1.5,2190000*(1.580994^(MIN($E3145,123)-117)))*1,0))</f>
        <v>39690</v>
      </c>
      <c r="O3145" s="13">
        <f>$E3145+4</f>
        <v>109</v>
      </c>
      <c r="P3145" s="14">
        <f>IF($J3145=0,0,ROUND(MAX($J3145*1.4*1.5*1.6,3500000*(1.57975^(MIN($E3145,123)-117)))*1,0))</f>
        <v>63504</v>
      </c>
      <c r="Q3145" s="11">
        <f>$E3145+6</f>
        <v>111</v>
      </c>
      <c r="R3145" s="12">
        <f>IF($J3145=0,0,ROUND(MAX($J3145*1.4*1.5*1.6*1.6,13100000*(1.429962^(MIN($E3145,123)-117)))*1,0))</f>
        <v>179216</v>
      </c>
      <c r="S3145" s="13">
        <f>$E3145+8</f>
        <v>113</v>
      </c>
      <c r="T3145" s="14">
        <f>IF($J3145=0,0,ROUND(MAX($J3145*1.4*1.5*1.6*1.6*2.2,42600000*(1.576904^(MIN($E3145,123)-117)))*1,0))</f>
        <v>223534</v>
      </c>
      <c r="U3145" s="11">
        <f>$E3145+11</f>
        <v>116</v>
      </c>
      <c r="V3145" s="12">
        <f>IF($J3145=0,0,ROUND(MAX($J3145*1.4*1.5*1.6*1.6*2.2*2.715,354000000*(1.642074^(MIN($E3145,123)-117)))*1,0))</f>
        <v>921066</v>
      </c>
      <c r="W3145" s="13">
        <f>$E3145+15</f>
        <v>120</v>
      </c>
      <c r="X3145" s="14">
        <f>IF($J3145=0,0,ROUND(MAX($J3145*1.4*1.5*1.6*1.6*2.2*2.715*2.6,3540000000*(1.579646^(MIN($E3145,123)-117)))*1,0))</f>
        <v>14665133</v>
      </c>
      <c r="Y3145" s="11">
        <f>$E3145+17</f>
        <v>122</v>
      </c>
      <c r="Z3145" s="12">
        <f>IF($J3145=0,0,ROUND(MAX($J3145*1.4*1.5*1.6*1.6*2.2*2.715*2.6*1.4,6020000000*(1.651178^(MIN($E3145,123)-117)))*1,0))</f>
        <v>14657833</v>
      </c>
      <c r="AA3145" s="13">
        <f>$E3145+19</f>
        <v>124</v>
      </c>
      <c r="AB3145" s="14">
        <f>IF($J3145=0,0,ROUND(MAX($J3145*1.4*1.5*1.6*1.6*2.2*2.715*2.6*1.4*1.4,8430000000*(1.651435^(MIN($E3145,123)-117)))*1,0))</f>
        <v>20487537</v>
      </c>
      <c r="AC3145" s="11">
        <f>$E3145+21</f>
        <v>126</v>
      </c>
      <c r="AD3145" s="12">
        <f>IF($J3145=0,0,ROUND(MAX($J3145*1.4*1.5*1.6*1.6*2.2*2.715*2.6*1.4*1.4*1.5,12600000000*(1.652953^(MIN($E3145,123)-117)))*1,0))</f>
        <v>30286179</v>
      </c>
      <c r="AE3145" s="13">
        <f>$E3145+24</f>
        <v>129</v>
      </c>
      <c r="AF3145" s="14">
        <f>IF($J3145=0,0,ROUND(MAX($J3145*1.4*1.5*1.6*1.6*2.2*2.715*2.6*1.4*1.4*1.5*1.5,18900000000*(1.65331^(MIN($E3145,123)-117)))*1,0))</f>
        <v>45311693</v>
      </c>
      <c r="AG3145" s="11">
        <f>$E3145+27</f>
        <v>132</v>
      </c>
      <c r="AH3145" s="12">
        <f>IF($J3145=0,0,ROUND(MAX($J3145*1.4*1.5*1.6*1.6*2.2*2.715*2.6*1.4*1.4*1.5*1.5*3.2,60500000000*(1.654288^(MIN($E3145,123)-117)))*1,0))</f>
        <v>144019713</v>
      </c>
    </row>
    <row r="3146" ht="28" customHeight="1" spans="1:34" x14ac:dyDescent="0.25">
      <c r="A3146">
        <v>3156</v>
      </c>
      <c r="B3146" t="s">
        <v>651</v>
      </c>
      <c r="C3146" s="10" t="s">
        <v>1704</v>
      </c>
      <c r="D3146" t="s">
        <v>40</v>
      </c>
      <c r="E3146">
        <v>105</v>
      </c>
      <c r="F3146" t="s">
        <v>71</v>
      </c>
      <c r="G3146" t="s">
        <v>562</v>
      </c>
      <c r="H3146">
        <v>23</v>
      </c>
      <c r="I3146" s="11">
        <f>$E3146+0</f>
        <v>105</v>
      </c>
      <c r="J3146" s="12">
        <v>11100</v>
      </c>
      <c r="K3146" s="13">
        <f>$E3146+1</f>
        <v>106</v>
      </c>
      <c r="L3146" s="14">
        <f>IF($J3146=0,0,ROUND(MAX($J3146*1.4,1620000*(1.497923^(MIN($E3146,123)-117)))*1,0))</f>
        <v>15540</v>
      </c>
      <c r="M3146" s="11">
        <f>$E3146+2</f>
        <v>107</v>
      </c>
      <c r="N3146" s="12">
        <f>IF($J3146=0,0,ROUND(MAX($J3146*1.4*1.5,2190000*(1.580994^(MIN($E3146,123)-117)))*1,0))</f>
        <v>23310</v>
      </c>
      <c r="O3146" s="13">
        <f>$E3146+4</f>
        <v>109</v>
      </c>
      <c r="P3146" s="14">
        <f>IF($J3146=0,0,ROUND(MAX($J3146*1.4*1.5*1.6,3500000*(1.57975^(MIN($E3146,123)-117)))*1,0))</f>
        <v>37296</v>
      </c>
      <c r="Q3146" s="11">
        <f>$E3146+6</f>
        <v>111</v>
      </c>
      <c r="R3146" s="12">
        <f>IF($J3146=0,0,ROUND(MAX($J3146*1.4*1.5*1.6*1.6,13100000*(1.429962^(MIN($E3146,123)-117)))*1,0))</f>
        <v>179216</v>
      </c>
      <c r="S3146" s="13">
        <f>$E3146+8</f>
        <v>113</v>
      </c>
      <c r="T3146" s="14">
        <f>IF($J3146=0,0,ROUND(MAX($J3146*1.4*1.5*1.6*1.6*2.2,42600000*(1.576904^(MIN($E3146,123)-117)))*1,0))</f>
        <v>180197</v>
      </c>
      <c r="U3146" s="11">
        <f>$E3146+11</f>
        <v>116</v>
      </c>
      <c r="V3146" s="12">
        <f>IF($J3146=0,0,ROUND(MAX($J3146*1.4*1.5*1.6*1.6*2.2*2.715,354000000*(1.642074^(MIN($E3146,123)-117)))*1,0))</f>
        <v>921066</v>
      </c>
      <c r="W3146" s="13">
        <f>$E3146+15</f>
        <v>120</v>
      </c>
      <c r="X3146" s="14">
        <f>IF($J3146=0,0,ROUND(MAX($J3146*1.4*1.5*1.6*1.6*2.2*2.715*2.6,3540000000*(1.579646^(MIN($E3146,123)-117)))*1,0))</f>
        <v>14665133</v>
      </c>
      <c r="Y3146" s="11">
        <f>$E3146+17</f>
        <v>122</v>
      </c>
      <c r="Z3146" s="12">
        <f>IF($J3146=0,0,ROUND(MAX($J3146*1.4*1.5*1.6*1.6*2.2*2.715*2.6*1.4,6020000000*(1.651178^(MIN($E3146,123)-117)))*1,0))</f>
        <v>14657833</v>
      </c>
      <c r="AA3146" s="13">
        <f>$E3146+19</f>
        <v>124</v>
      </c>
      <c r="AB3146" s="14">
        <f>IF($J3146=0,0,ROUND(MAX($J3146*1.4*1.5*1.6*1.6*2.2*2.715*2.6*1.4*1.4,8430000000*(1.651435^(MIN($E3146,123)-117)))*1,0))</f>
        <v>20487537</v>
      </c>
      <c r="AC3146" s="11">
        <f>$E3146+21</f>
        <v>126</v>
      </c>
      <c r="AD3146" s="12">
        <f>IF($J3146=0,0,ROUND(MAX($J3146*1.4*1.5*1.6*1.6*2.2*2.715*2.6*1.4*1.4*1.5,12600000000*(1.652953^(MIN($E3146,123)-117)))*1,0))</f>
        <v>30286179</v>
      </c>
      <c r="AE3146" s="13">
        <f>$E3146+24</f>
        <v>129</v>
      </c>
      <c r="AF3146" s="14">
        <f>IF($J3146=0,0,ROUND(MAX($J3146*1.4*1.5*1.6*1.6*2.2*2.715*2.6*1.4*1.4*1.5*1.5,18900000000*(1.65331^(MIN($E3146,123)-117)))*1,0))</f>
        <v>45311693</v>
      </c>
      <c r="AG3146" s="11">
        <f>$E3146+27</f>
        <v>132</v>
      </c>
      <c r="AH3146" s="12">
        <f>IF($J3146=0,0,ROUND(MAX($J3146*1.4*1.5*1.6*1.6*2.2*2.715*2.6*1.4*1.4*1.5*1.5*3.2,60500000000*(1.654288^(MIN($E3146,123)-117)))*1,0))</f>
        <v>144019713</v>
      </c>
    </row>
    <row r="3147" ht="28" customHeight="1" spans="1:34" x14ac:dyDescent="0.25">
      <c r="A3147">
        <v>3157</v>
      </c>
      <c r="B3147" t="s">
        <v>215</v>
      </c>
      <c r="C3147" s="10" t="s">
        <v>1704</v>
      </c>
      <c r="D3147" t="s">
        <v>33</v>
      </c>
      <c r="E3147">
        <v>105</v>
      </c>
      <c r="F3147" t="s">
        <v>56</v>
      </c>
      <c r="G3147" t="s">
        <v>562</v>
      </c>
      <c r="H3147">
        <v>23</v>
      </c>
      <c r="I3147" s="11">
        <f>$E3147+0</f>
        <v>105</v>
      </c>
      <c r="J3147" s="12">
        <v>13300</v>
      </c>
      <c r="K3147" s="13">
        <f>$E3147+1</f>
        <v>106</v>
      </c>
      <c r="L3147" s="14">
        <f>IF($J3147=0,0,ROUND(MAX($J3147*1.4,1620000*(1.497923^(MIN($E3147,123)-117)))*1,0))</f>
        <v>18620</v>
      </c>
      <c r="M3147" s="11">
        <f>$E3147+2</f>
        <v>107</v>
      </c>
      <c r="N3147" s="12">
        <f>IF($J3147=0,0,ROUND(MAX($J3147*1.4*1.5,2190000*(1.580994^(MIN($E3147,123)-117)))*1,0))</f>
        <v>27930</v>
      </c>
      <c r="O3147" s="13">
        <f>$E3147+4</f>
        <v>109</v>
      </c>
      <c r="P3147" s="14">
        <f>IF($J3147=0,0,ROUND(MAX($J3147*1.4*1.5*1.6,3500000*(1.57975^(MIN($E3147,123)-117)))*1,0))</f>
        <v>44688</v>
      </c>
      <c r="Q3147" s="11">
        <f>$E3147+6</f>
        <v>111</v>
      </c>
      <c r="R3147" s="12">
        <f>IF($J3147=0,0,ROUND(MAX($J3147*1.4*1.5*1.6*1.6,13100000*(1.429962^(MIN($E3147,123)-117)))*1,0))</f>
        <v>179216</v>
      </c>
      <c r="S3147" s="13">
        <f>$E3147+8</f>
        <v>113</v>
      </c>
      <c r="T3147" s="14">
        <f>IF($J3147=0,0,ROUND(MAX($J3147*1.4*1.5*1.6*1.6*2.2,42600000*(1.576904^(MIN($E3147,123)-117)))*1,0))</f>
        <v>180197</v>
      </c>
      <c r="U3147" s="11">
        <f>$E3147+11</f>
        <v>116</v>
      </c>
      <c r="V3147" s="12">
        <f>IF($J3147=0,0,ROUND(MAX($J3147*1.4*1.5*1.6*1.6*2.2*2.715,354000000*(1.642074^(MIN($E3147,123)-117)))*1,0))</f>
        <v>921066</v>
      </c>
      <c r="W3147" s="13">
        <f>$E3147+15</f>
        <v>120</v>
      </c>
      <c r="X3147" s="14">
        <f>IF($J3147=0,0,ROUND(MAX($J3147*1.4*1.5*1.6*1.6*2.2*2.715*2.6,3540000000*(1.579646^(MIN($E3147,123)-117)))*1,0))</f>
        <v>14665133</v>
      </c>
      <c r="Y3147" s="11">
        <f>$E3147+17</f>
        <v>122</v>
      </c>
      <c r="Z3147" s="12">
        <f>IF($J3147=0,0,ROUND(MAX($J3147*1.4*1.5*1.6*1.6*2.2*2.715*2.6*1.4,6020000000*(1.651178^(MIN($E3147,123)-117)))*1,0))</f>
        <v>14657833</v>
      </c>
      <c r="AA3147" s="13">
        <f>$E3147+19</f>
        <v>124</v>
      </c>
      <c r="AB3147" s="14">
        <f>IF($J3147=0,0,ROUND(MAX($J3147*1.4*1.5*1.6*1.6*2.2*2.715*2.6*1.4*1.4,8430000000*(1.651435^(MIN($E3147,123)-117)))*1,0))</f>
        <v>20487537</v>
      </c>
      <c r="AC3147" s="11">
        <f>$E3147+21</f>
        <v>126</v>
      </c>
      <c r="AD3147" s="12">
        <f>IF($J3147=0,0,ROUND(MAX($J3147*1.4*1.5*1.6*1.6*2.2*2.715*2.6*1.4*1.4*1.5,12600000000*(1.652953^(MIN($E3147,123)-117)))*1,0))</f>
        <v>30286179</v>
      </c>
      <c r="AE3147" s="13">
        <f>$E3147+24</f>
        <v>129</v>
      </c>
      <c r="AF3147" s="14">
        <f>IF($J3147=0,0,ROUND(MAX($J3147*1.4*1.5*1.6*1.6*2.2*2.715*2.6*1.4*1.4*1.5*1.5,18900000000*(1.65331^(MIN($E3147,123)-117)))*1,0))</f>
        <v>45311693</v>
      </c>
      <c r="AG3147" s="11">
        <f>$E3147+27</f>
        <v>132</v>
      </c>
      <c r="AH3147" s="12">
        <f>IF($J3147=0,0,ROUND(MAX($J3147*1.4*1.5*1.6*1.6*2.2*2.715*2.6*1.4*1.4*1.5*1.5*3.2,60500000000*(1.654288^(MIN($E3147,123)-117)))*1,0))</f>
        <v>144019713</v>
      </c>
    </row>
    <row r="3148" ht="28" customHeight="1" spans="1:34" x14ac:dyDescent="0.25">
      <c r="A3148">
        <v>3158</v>
      </c>
      <c r="B3148" t="s">
        <v>597</v>
      </c>
      <c r="C3148" s="10" t="s">
        <v>1704</v>
      </c>
      <c r="D3148" t="s">
        <v>64</v>
      </c>
      <c r="E3148">
        <v>105</v>
      </c>
      <c r="F3148" t="s">
        <v>56</v>
      </c>
      <c r="G3148" t="s">
        <v>562</v>
      </c>
      <c r="H3148">
        <v>23</v>
      </c>
      <c r="I3148" s="11">
        <f>$E3148+0</f>
        <v>105</v>
      </c>
      <c r="J3148" s="12">
        <v>11700</v>
      </c>
      <c r="K3148" s="13">
        <f>$E3148+1</f>
        <v>106</v>
      </c>
      <c r="L3148" s="14">
        <f>IF($J3148=0,0,ROUND(MAX($J3148*1.4,1620000*(1.497923^(MIN($E3148,123)-117)))*1,0))</f>
        <v>16380</v>
      </c>
      <c r="M3148" s="11">
        <f>$E3148+2</f>
        <v>107</v>
      </c>
      <c r="N3148" s="12">
        <f>IF($J3148=0,0,ROUND(MAX($J3148*1.4*1.5,2190000*(1.580994^(MIN($E3148,123)-117)))*1,0))</f>
        <v>24570</v>
      </c>
      <c r="O3148" s="13">
        <f>$E3148+4</f>
        <v>109</v>
      </c>
      <c r="P3148" s="14">
        <f>IF($J3148=0,0,ROUND(MAX($J3148*1.4*1.5*1.6,3500000*(1.57975^(MIN($E3148,123)-117)))*1,0))</f>
        <v>39312</v>
      </c>
      <c r="Q3148" s="11">
        <f>$E3148+6</f>
        <v>111</v>
      </c>
      <c r="R3148" s="12">
        <f>IF($J3148=0,0,ROUND(MAX($J3148*1.4*1.5*1.6*1.6,13100000*(1.429962^(MIN($E3148,123)-117)))*1,0))</f>
        <v>179216</v>
      </c>
      <c r="S3148" s="13">
        <f>$E3148+8</f>
        <v>113</v>
      </c>
      <c r="T3148" s="14">
        <f>IF($J3148=0,0,ROUND(MAX($J3148*1.4*1.5*1.6*1.6*2.2,42600000*(1.576904^(MIN($E3148,123)-117)))*1,0))</f>
        <v>180197</v>
      </c>
      <c r="U3148" s="11">
        <f>$E3148+11</f>
        <v>116</v>
      </c>
      <c r="V3148" s="12">
        <f>IF($J3148=0,0,ROUND(MAX($J3148*1.4*1.5*1.6*1.6*2.2*2.715,354000000*(1.642074^(MIN($E3148,123)-117)))*1,0))</f>
        <v>921066</v>
      </c>
      <c r="W3148" s="13">
        <f>$E3148+15</f>
        <v>120</v>
      </c>
      <c r="X3148" s="14">
        <f>IF($J3148=0,0,ROUND(MAX($J3148*1.4*1.5*1.6*1.6*2.2*2.715*2.6,3540000000*(1.579646^(MIN($E3148,123)-117)))*1,0))</f>
        <v>14665133</v>
      </c>
      <c r="Y3148" s="11">
        <f>$E3148+17</f>
        <v>122</v>
      </c>
      <c r="Z3148" s="12">
        <f>IF($J3148=0,0,ROUND(MAX($J3148*1.4*1.5*1.6*1.6*2.2*2.715*2.6*1.4,6020000000*(1.651178^(MIN($E3148,123)-117)))*1,0))</f>
        <v>14657833</v>
      </c>
      <c r="AA3148" s="13">
        <f>$E3148+19</f>
        <v>124</v>
      </c>
      <c r="AB3148" s="14">
        <f>IF($J3148=0,0,ROUND(MAX($J3148*1.4*1.5*1.6*1.6*2.2*2.715*2.6*1.4*1.4,8430000000*(1.651435^(MIN($E3148,123)-117)))*1,0))</f>
        <v>20487537</v>
      </c>
      <c r="AC3148" s="11">
        <f>$E3148+21</f>
        <v>126</v>
      </c>
      <c r="AD3148" s="12">
        <f>IF($J3148=0,0,ROUND(MAX($J3148*1.4*1.5*1.6*1.6*2.2*2.715*2.6*1.4*1.4*1.5,12600000000*(1.652953^(MIN($E3148,123)-117)))*1,0))</f>
        <v>30286179</v>
      </c>
      <c r="AE3148" s="13">
        <f>$E3148+24</f>
        <v>129</v>
      </c>
      <c r="AF3148" s="14">
        <f>IF($J3148=0,0,ROUND(MAX($J3148*1.4*1.5*1.6*1.6*2.2*2.715*2.6*1.4*1.4*1.5*1.5,18900000000*(1.65331^(MIN($E3148,123)-117)))*1,0))</f>
        <v>45311693</v>
      </c>
      <c r="AG3148" s="11">
        <f>$E3148+27</f>
        <v>132</v>
      </c>
      <c r="AH3148" s="12">
        <f>IF($J3148=0,0,ROUND(MAX($J3148*1.4*1.5*1.6*1.6*2.2*2.715*2.6*1.4*1.4*1.5*1.5*3.2,60500000000*(1.654288^(MIN($E3148,123)-117)))*1,0))</f>
        <v>144019713</v>
      </c>
    </row>
    <row r="3149" ht="28" customHeight="1" spans="1:34" x14ac:dyDescent="0.25">
      <c r="A3149">
        <v>3159</v>
      </c>
      <c r="B3149" t="s">
        <v>925</v>
      </c>
      <c r="C3149" s="10" t="s">
        <v>1704</v>
      </c>
      <c r="D3149" t="s">
        <v>40</v>
      </c>
      <c r="E3149">
        <v>104</v>
      </c>
      <c r="F3149" t="s">
        <v>56</v>
      </c>
      <c r="G3149" t="s">
        <v>562</v>
      </c>
      <c r="H3149">
        <v>24</v>
      </c>
      <c r="I3149" s="11">
        <f>$E3149+0</f>
        <v>104</v>
      </c>
      <c r="J3149" s="12">
        <v>39900</v>
      </c>
      <c r="K3149" s="13">
        <f>$E3149+1</f>
        <v>105</v>
      </c>
      <c r="L3149" s="14">
        <f>IF($J3149=0,0,ROUND(MAX($J3149*1.4,1620000*(1.497923^(MIN($E3149,123)-117)))*1,0))</f>
        <v>55860</v>
      </c>
      <c r="M3149" s="11">
        <f>$E3149+2</f>
        <v>106</v>
      </c>
      <c r="N3149" s="12">
        <f>IF($J3149=0,0,ROUND(MAX($J3149*1.4*1.5,2190000*(1.580994^(MIN($E3149,123)-117)))*1,0))</f>
        <v>83790</v>
      </c>
      <c r="O3149" s="13">
        <f>$E3149+4</f>
        <v>108</v>
      </c>
      <c r="P3149" s="14">
        <f>IF($J3149=0,0,ROUND(MAX($J3149*1.4*1.5*1.6,3500000*(1.57975^(MIN($E3149,123)-117)))*1,0))</f>
        <v>134064</v>
      </c>
      <c r="Q3149" s="11">
        <f>$E3149+6</f>
        <v>110</v>
      </c>
      <c r="R3149" s="12">
        <f>IF($J3149=0,0,ROUND(MAX($J3149*1.4*1.5*1.6*1.6,13100000*(1.429962^(MIN($E3149,123)-117)))*1,0))</f>
        <v>214502</v>
      </c>
      <c r="S3149" s="13">
        <f>$E3149+8</f>
        <v>112</v>
      </c>
      <c r="T3149" s="14">
        <f>IF($J3149=0,0,ROUND(MAX($J3149*1.4*1.5*1.6*1.6*2.2,42600000*(1.576904^(MIN($E3149,123)-117)))*1,0))</f>
        <v>471905</v>
      </c>
      <c r="U3149" s="11">
        <f>$E3149+11</f>
        <v>115</v>
      </c>
      <c r="V3149" s="12">
        <f>IF($J3149=0,0,ROUND(MAX($J3149*1.4*1.5*1.6*1.6*2.2*2.715,354000000*(1.642074^(MIN($E3149,123)-117)))*1,0))</f>
        <v>1281223</v>
      </c>
      <c r="W3149" s="13">
        <f>$E3149+15</f>
        <v>119</v>
      </c>
      <c r="X3149" s="14">
        <f>IF($J3149=0,0,ROUND(MAX($J3149*1.4*1.5*1.6*1.6*2.2*2.715*2.6,3540000000*(1.579646^(MIN($E3149,123)-117)))*1,0))</f>
        <v>9283810</v>
      </c>
      <c r="Y3149" s="11">
        <f>$E3149+17</f>
        <v>121</v>
      </c>
      <c r="Z3149" s="12">
        <f>IF($J3149=0,0,ROUND(MAX($J3149*1.4*1.5*1.6*1.6*2.2*2.715*2.6*1.4,6020000000*(1.651178^(MIN($E3149,123)-117)))*1,0))</f>
        <v>8877197</v>
      </c>
      <c r="AA3149" s="13">
        <f>$E3149+19</f>
        <v>123</v>
      </c>
      <c r="AB3149" s="14">
        <f>IF($J3149=0,0,ROUND(MAX($J3149*1.4*1.5*1.6*1.6*2.2*2.715*2.6*1.4*1.4,8430000000*(1.651435^(MIN($E3149,123)-117)))*1,0))</f>
        <v>12405900</v>
      </c>
      <c r="AC3149" s="11">
        <f>$E3149+21</f>
        <v>125</v>
      </c>
      <c r="AD3149" s="12">
        <f>IF($J3149=0,0,ROUND(MAX($J3149*1.4*1.5*1.6*1.6*2.2*2.715*2.6*1.4*1.4*1.5,12600000000*(1.652953^(MIN($E3149,123)-117)))*1,0))</f>
        <v>18322468</v>
      </c>
      <c r="AE3149" s="13">
        <f>$E3149+24</f>
        <v>128</v>
      </c>
      <c r="AF3149" s="14">
        <f>IF($J3149=0,0,ROUND(MAX($J3149*1.4*1.5*1.6*1.6*2.2*2.715*2.6*1.4*1.4*1.5*1.5,18900000000*(1.65331^(MIN($E3149,123)-117)))*1,0))</f>
        <v>27406653</v>
      </c>
      <c r="AG3149" s="11">
        <f>$E3149+27</f>
        <v>131</v>
      </c>
      <c r="AH3149" s="12">
        <f>IF($J3149=0,0,ROUND(MAX($J3149*1.4*1.5*1.6*1.6*2.2*2.715*2.6*1.4*1.4*1.5*1.5*3.2,60500000000*(1.654288^(MIN($E3149,123)-117)))*1,0))</f>
        <v>87058428</v>
      </c>
    </row>
    <row r="3150" ht="28" customHeight="1" spans="1:34" x14ac:dyDescent="0.25">
      <c r="A3150">
        <v>3160</v>
      </c>
      <c r="B3150" t="s">
        <v>673</v>
      </c>
      <c r="C3150" s="10" t="s">
        <v>1704</v>
      </c>
      <c r="D3150" t="s">
        <v>40</v>
      </c>
      <c r="E3150">
        <v>103</v>
      </c>
      <c r="F3150" t="s">
        <v>34</v>
      </c>
      <c r="G3150" t="s">
        <v>562</v>
      </c>
      <c r="H3150">
        <v>22</v>
      </c>
      <c r="I3150" s="11">
        <f>$E3150+0</f>
        <v>103</v>
      </c>
      <c r="J3150" s="12">
        <v>5920</v>
      </c>
      <c r="K3150" s="13">
        <f>$E3150+1</f>
        <v>104</v>
      </c>
      <c r="L3150" s="14">
        <f>IF($J3150=0,0,ROUND(MAX($J3150*1.4,1620000*(1.497923^(MIN($E3150,123)-117)))*1,0))</f>
        <v>8288</v>
      </c>
      <c r="M3150" s="11">
        <f>$E3150+2</f>
        <v>105</v>
      </c>
      <c r="N3150" s="12">
        <f>IF($J3150=0,0,ROUND(MAX($J3150*1.4*1.5,2190000*(1.580994^(MIN($E3150,123)-117)))*1,0))</f>
        <v>12432</v>
      </c>
      <c r="O3150" s="13">
        <f>$E3150+4</f>
        <v>107</v>
      </c>
      <c r="P3150" s="14">
        <f>IF($J3150=0,0,ROUND(MAX($J3150*1.4*1.5*1.6,3500000*(1.57975^(MIN($E3150,123)-117)))*1,0))</f>
        <v>19891</v>
      </c>
      <c r="Q3150" s="11">
        <f>$E3150+6</f>
        <v>109</v>
      </c>
      <c r="R3150" s="12">
        <f>IF($J3150=0,0,ROUND(MAX($J3150*1.4*1.5*1.6*1.6,13100000*(1.429962^(MIN($E3150,123)-117)))*1,0))</f>
        <v>87645</v>
      </c>
      <c r="S3150" s="13">
        <f>$E3150+8</f>
        <v>111</v>
      </c>
      <c r="T3150" s="14">
        <f>IF($J3150=0,0,ROUND(MAX($J3150*1.4*1.5*1.6*1.6*2.2,42600000*(1.576904^(MIN($E3150,123)-117)))*1,0))</f>
        <v>72466</v>
      </c>
      <c r="U3150" s="11">
        <f>$E3150+11</f>
        <v>114</v>
      </c>
      <c r="V3150" s="12">
        <f>IF($J3150=0,0,ROUND(MAX($J3150*1.4*1.5*1.6*1.6*2.2*2.715,354000000*(1.642074^(MIN($E3150,123)-117)))*1,0))</f>
        <v>341590</v>
      </c>
      <c r="W3150" s="13">
        <f>$E3150+15</f>
        <v>118</v>
      </c>
      <c r="X3150" s="14">
        <f>IF($J3150=0,0,ROUND(MAX($J3150*1.4*1.5*1.6*1.6*2.2*2.715*2.6,3540000000*(1.579646^(MIN($E3150,123)-117)))*1,0))</f>
        <v>5877146</v>
      </c>
      <c r="Y3150" s="11">
        <f>$E3150+17</f>
        <v>120</v>
      </c>
      <c r="Z3150" s="12">
        <f>IF($J3150=0,0,ROUND(MAX($J3150*1.4*1.5*1.6*1.6*2.2*2.715*2.6*1.4,6020000000*(1.651178^(MIN($E3150,123)-117)))*1,0))</f>
        <v>5376281</v>
      </c>
      <c r="AA3150" s="13">
        <f>$E3150+19</f>
        <v>122</v>
      </c>
      <c r="AB3150" s="14">
        <f>IF($J3150=0,0,ROUND(MAX($J3150*1.4*1.5*1.6*1.6*2.2*2.715*2.6*1.4*1.4,8430000000*(1.651435^(MIN($E3150,123)-117)))*1,0))</f>
        <v>7512194</v>
      </c>
      <c r="AC3150" s="11">
        <f>$E3150+21</f>
        <v>124</v>
      </c>
      <c r="AD3150" s="12">
        <f>IF($J3150=0,0,ROUND(MAX($J3150*1.4*1.5*1.6*1.6*2.2*2.715*2.6*1.4*1.4*1.5,12600000000*(1.652953^(MIN($E3150,123)-117)))*1,0))</f>
        <v>11084688</v>
      </c>
      <c r="AE3150" s="13">
        <f>$E3150+24</f>
        <v>127</v>
      </c>
      <c r="AF3150" s="14">
        <f>IF($J3150=0,0,ROUND(MAX($J3150*1.4*1.5*1.6*1.6*2.2*2.715*2.6*1.4*1.4*1.5*1.5,18900000000*(1.65331^(MIN($E3150,123)-117)))*1,0))</f>
        <v>16576839</v>
      </c>
      <c r="AG3150" s="11">
        <f>$E3150+27</f>
        <v>130</v>
      </c>
      <c r="AH3150" s="12">
        <f>IF($J3150=0,0,ROUND(MAX($J3150*1.4*1.5*1.6*1.6*2.2*2.715*2.6*1.4*1.4*1.5*1.5*3.2,60500000000*(1.654288^(MIN($E3150,123)-117)))*1,0))</f>
        <v>52625920</v>
      </c>
    </row>
    <row r="3151" ht="28" customHeight="1" spans="1:34" x14ac:dyDescent="0.25">
      <c r="A3151">
        <v>3161</v>
      </c>
      <c r="B3151" t="s">
        <v>202</v>
      </c>
      <c r="C3151" s="10" t="s">
        <v>1704</v>
      </c>
      <c r="D3151" t="s">
        <v>29</v>
      </c>
      <c r="E3151">
        <v>102</v>
      </c>
      <c r="F3151" t="s">
        <v>62</v>
      </c>
      <c r="G3151" t="s">
        <v>562</v>
      </c>
      <c r="H3151">
        <v>22</v>
      </c>
      <c r="I3151" s="11">
        <f>$E3151+0</f>
        <v>102</v>
      </c>
      <c r="J3151" s="12">
        <v>17400</v>
      </c>
      <c r="K3151" s="13">
        <f>$E3151+1</f>
        <v>103</v>
      </c>
      <c r="L3151" s="14">
        <f>IF($J3151=0,0,ROUND(MAX($J3151*1.4,1620000*(1.497923^(MIN($E3151,123)-117)))*1,0))</f>
        <v>24360</v>
      </c>
      <c r="M3151" s="11">
        <f>$E3151+2</f>
        <v>104</v>
      </c>
      <c r="N3151" s="12">
        <f>IF($J3151=0,0,ROUND(MAX($J3151*1.4*1.5,2190000*(1.580994^(MIN($E3151,123)-117)))*1,0))</f>
        <v>36540</v>
      </c>
      <c r="O3151" s="13">
        <f>$E3151+4</f>
        <v>106</v>
      </c>
      <c r="P3151" s="14">
        <f>IF($J3151=0,0,ROUND(MAX($J3151*1.4*1.5*1.6,3500000*(1.57975^(MIN($E3151,123)-117)))*1,0))</f>
        <v>58464</v>
      </c>
      <c r="Q3151" s="11">
        <f>$E3151+6</f>
        <v>108</v>
      </c>
      <c r="R3151" s="12">
        <f>IF($J3151=0,0,ROUND(MAX($J3151*1.4*1.5*1.6*1.6,13100000*(1.429962^(MIN($E3151,123)-117)))*1,0))</f>
        <v>93542</v>
      </c>
      <c r="S3151" s="13">
        <f>$E3151+8</f>
        <v>110</v>
      </c>
      <c r="T3151" s="14">
        <f>IF($J3151=0,0,ROUND(MAX($J3151*1.4*1.5*1.6*1.6*2.2,42600000*(1.576904^(MIN($E3151,123)-117)))*1,0))</f>
        <v>205793</v>
      </c>
      <c r="U3151" s="11">
        <f>$E3151+11</f>
        <v>113</v>
      </c>
      <c r="V3151" s="12">
        <f>IF($J3151=0,0,ROUND(MAX($J3151*1.4*1.5*1.6*1.6*2.2*2.715,354000000*(1.642074^(MIN($E3151,123)-117)))*1,0))</f>
        <v>558729</v>
      </c>
      <c r="W3151" s="13">
        <f>$E3151+15</f>
        <v>117</v>
      </c>
      <c r="X3151" s="14">
        <f>IF($J3151=0,0,ROUND(MAX($J3151*1.4*1.5*1.6*1.6*2.2*2.715*2.6,3540000000*(1.579646^(MIN($E3151,123)-117)))*1,0))</f>
        <v>3720546</v>
      </c>
      <c r="Y3151" s="11">
        <f>$E3151+17</f>
        <v>119</v>
      </c>
      <c r="Z3151" s="12">
        <f>IF($J3151=0,0,ROUND(MAX($J3151*1.4*1.5*1.6*1.6*2.2*2.715*2.6*1.4,6020000000*(1.651178^(MIN($E3151,123)-117)))*1,0))</f>
        <v>3256028</v>
      </c>
      <c r="AA3151" s="13">
        <f>$E3151+19</f>
        <v>121</v>
      </c>
      <c r="AB3151" s="14">
        <f>IF($J3151=0,0,ROUND(MAX($J3151*1.4*1.5*1.6*1.6*2.2*2.715*2.6*1.4*1.4,8430000000*(1.651435^(MIN($E3151,123)-117)))*1,0))</f>
        <v>4548889</v>
      </c>
      <c r="AC3151" s="11">
        <f>$E3151+21</f>
        <v>123</v>
      </c>
      <c r="AD3151" s="12">
        <f>IF($J3151=0,0,ROUND(MAX($J3151*1.4*1.5*1.6*1.6*2.2*2.715*2.6*1.4*1.4*1.5,12600000000*(1.652953^(MIN($E3151,123)-117)))*1,0))</f>
        <v>6705991</v>
      </c>
      <c r="AE3151" s="13">
        <f>$E3151+24</f>
        <v>126</v>
      </c>
      <c r="AF3151" s="14">
        <f>IF($J3151=0,0,ROUND(MAX($J3151*1.4*1.5*1.6*1.6*2.2*2.715*2.6*1.4*1.4*1.5*1.5,18900000000*(1.65331^(MIN($E3151,123)-117)))*1,0))</f>
        <v>10026455</v>
      </c>
      <c r="AG3151" s="11">
        <f>$E3151+27</f>
        <v>129</v>
      </c>
      <c r="AH3151" s="12">
        <f>IF($J3151=0,0,ROUND(MAX($J3151*1.4*1.5*1.6*1.6*2.2*2.715*2.6*1.4*1.4*1.5*1.5*3.2,60500000000*(1.654288^(MIN($E3151,123)-117)))*1,0))</f>
        <v>31811825</v>
      </c>
    </row>
    <row r="3152" ht="28" customHeight="1" spans="1:34" x14ac:dyDescent="0.25">
      <c r="A3152">
        <v>3162</v>
      </c>
      <c r="B3152" t="s">
        <v>1651</v>
      </c>
      <c r="C3152" s="10" t="s">
        <v>1704</v>
      </c>
      <c r="D3152" t="s">
        <v>40</v>
      </c>
      <c r="E3152">
        <v>102</v>
      </c>
      <c r="F3152" t="s">
        <v>56</v>
      </c>
      <c r="G3152" t="s">
        <v>562</v>
      </c>
      <c r="H3152">
        <v>22</v>
      </c>
      <c r="I3152" s="11">
        <f>$E3152+0</f>
        <v>102</v>
      </c>
      <c r="J3152" s="12">
        <v>7150</v>
      </c>
      <c r="K3152" s="13">
        <f>$E3152+1</f>
        <v>103</v>
      </c>
      <c r="L3152" s="14">
        <f>IF($J3152=0,0,ROUND(MAX($J3152*1.4,1620000*(1.497923^(MIN($E3152,123)-117)))*1,0))</f>
        <v>10010</v>
      </c>
      <c r="M3152" s="11">
        <f>$E3152+2</f>
        <v>104</v>
      </c>
      <c r="N3152" s="12">
        <f>IF($J3152=0,0,ROUND(MAX($J3152*1.4*1.5,2190000*(1.580994^(MIN($E3152,123)-117)))*1,0))</f>
        <v>15015</v>
      </c>
      <c r="O3152" s="13">
        <f>$E3152+4</f>
        <v>106</v>
      </c>
      <c r="P3152" s="14">
        <f>IF($J3152=0,0,ROUND(MAX($J3152*1.4*1.5*1.6,3500000*(1.57975^(MIN($E3152,123)-117)))*1,0))</f>
        <v>24024</v>
      </c>
      <c r="Q3152" s="11">
        <f>$E3152+6</f>
        <v>108</v>
      </c>
      <c r="R3152" s="12">
        <f>IF($J3152=0,0,ROUND(MAX($J3152*1.4*1.5*1.6*1.6,13100000*(1.429962^(MIN($E3152,123)-117)))*1,0))</f>
        <v>61292</v>
      </c>
      <c r="S3152" s="13">
        <f>$E3152+8</f>
        <v>110</v>
      </c>
      <c r="T3152" s="14">
        <f>IF($J3152=0,0,ROUND(MAX($J3152*1.4*1.5*1.6*1.6*2.2,42600000*(1.576904^(MIN($E3152,123)-117)))*1,0))</f>
        <v>84564</v>
      </c>
      <c r="U3152" s="11">
        <f>$E3152+11</f>
        <v>113</v>
      </c>
      <c r="V3152" s="12">
        <f>IF($J3152=0,0,ROUND(MAX($J3152*1.4*1.5*1.6*1.6*2.2*2.715,354000000*(1.642074^(MIN($E3152,123)-117)))*1,0))</f>
        <v>229593</v>
      </c>
      <c r="W3152" s="13">
        <f>$E3152+15</f>
        <v>117</v>
      </c>
      <c r="X3152" s="14">
        <f>IF($J3152=0,0,ROUND(MAX($J3152*1.4*1.5*1.6*1.6*2.2*2.715*2.6,3540000000*(1.579646^(MIN($E3152,123)-117)))*1,0))</f>
        <v>3720546</v>
      </c>
      <c r="Y3152" s="11">
        <f>$E3152+17</f>
        <v>119</v>
      </c>
      <c r="Z3152" s="12">
        <f>IF($J3152=0,0,ROUND(MAX($J3152*1.4*1.5*1.6*1.6*2.2*2.715*2.6*1.4,6020000000*(1.651178^(MIN($E3152,123)-117)))*1,0))</f>
        <v>3256028</v>
      </c>
      <c r="AA3152" s="13">
        <f>$E3152+19</f>
        <v>121</v>
      </c>
      <c r="AB3152" s="14">
        <f>IF($J3152=0,0,ROUND(MAX($J3152*1.4*1.5*1.6*1.6*2.2*2.715*2.6*1.4*1.4,8430000000*(1.651435^(MIN($E3152,123)-117)))*1,0))</f>
        <v>4548889</v>
      </c>
      <c r="AC3152" s="11">
        <f>$E3152+21</f>
        <v>123</v>
      </c>
      <c r="AD3152" s="12">
        <f>IF($J3152=0,0,ROUND(MAX($J3152*1.4*1.5*1.6*1.6*2.2*2.715*2.6*1.4*1.4*1.5,12600000000*(1.652953^(MIN($E3152,123)-117)))*1,0))</f>
        <v>6705991</v>
      </c>
      <c r="AE3152" s="13">
        <f>$E3152+24</f>
        <v>126</v>
      </c>
      <c r="AF3152" s="14">
        <f>IF($J3152=0,0,ROUND(MAX($J3152*1.4*1.5*1.6*1.6*2.2*2.715*2.6*1.4*1.4*1.5*1.5,18900000000*(1.65331^(MIN($E3152,123)-117)))*1,0))</f>
        <v>10026455</v>
      </c>
      <c r="AG3152" s="11">
        <f>$E3152+27</f>
        <v>129</v>
      </c>
      <c r="AH3152" s="12">
        <f>IF($J3152=0,0,ROUND(MAX($J3152*1.4*1.5*1.6*1.6*2.2*2.715*2.6*1.4*1.4*1.5*1.5*3.2,60500000000*(1.654288^(MIN($E3152,123)-117)))*1,0))</f>
        <v>31811825</v>
      </c>
    </row>
    <row r="3153" ht="28" customHeight="1" spans="1:34" x14ac:dyDescent="0.25">
      <c r="A3153">
        <v>3163</v>
      </c>
      <c r="B3153" t="s">
        <v>119</v>
      </c>
      <c r="C3153" s="10" t="s">
        <v>1709</v>
      </c>
      <c r="D3153" t="s">
        <v>40</v>
      </c>
      <c r="E3153">
        <v>107</v>
      </c>
      <c r="F3153" t="s">
        <v>120</v>
      </c>
      <c r="G3153" t="s">
        <v>562</v>
      </c>
      <c r="H3153">
        <v>26</v>
      </c>
      <c r="I3153" s="11">
        <f>$E3153+0</f>
        <v>107</v>
      </c>
      <c r="J3153" s="12">
        <v>1140000</v>
      </c>
      <c r="K3153" s="13">
        <f>$E3153+1</f>
        <v>108</v>
      </c>
      <c r="L3153" s="14">
        <f>IF($J3153=0,0,ROUND(MAX($J3153*1.4,1620000*(1.497923^(MIN($E3153,123)-117)))*1,0))</f>
        <v>1596000</v>
      </c>
      <c r="M3153" s="11">
        <f>$E3153+2</f>
        <v>109</v>
      </c>
      <c r="N3153" s="12">
        <f>IF($J3153=0,0,ROUND(MAX($J3153*1.4*1.5,2190000*(1.580994^(MIN($E3153,123)-117)))*1,0))</f>
        <v>2394000</v>
      </c>
      <c r="O3153" s="13">
        <f>$E3153+4</f>
        <v>111</v>
      </c>
      <c r="P3153" s="14">
        <f>IF($J3153=0,0,ROUND(MAX($J3153*1.4*1.5*1.6,3500000*(1.57975^(MIN($E3153,123)-117)))*1,0))</f>
        <v>3830400</v>
      </c>
      <c r="Q3153" s="11">
        <f>$E3153+6</f>
        <v>113</v>
      </c>
      <c r="R3153" s="12">
        <f>IF($J3153=0,0,ROUND(MAX($J3153*1.4*1.5*1.6*1.6,13100000*(1.429962^(MIN($E3153,123)-117)))*1,0))</f>
        <v>6128640</v>
      </c>
      <c r="S3153" s="13">
        <f>$E3153+8</f>
        <v>115</v>
      </c>
      <c r="T3153" s="14">
        <f>IF($J3153=0,0,ROUND(MAX($J3153*1.4*1.5*1.6*1.6*2.2,42600000*(1.576904^(MIN($E3153,123)-117)))*1,0))</f>
        <v>13483008</v>
      </c>
      <c r="U3153" s="11">
        <f>$E3153+11</f>
        <v>118</v>
      </c>
      <c r="V3153" s="12">
        <f>IF($J3153=0,0,ROUND(MAX($J3153*1.4*1.5*1.6*1.6*2.2*2.715,354000000*(1.642074^(MIN($E3153,123)-117)))*1,0))</f>
        <v>36606367</v>
      </c>
      <c r="W3153" s="13">
        <f>$E3153+15</f>
        <v>122</v>
      </c>
      <c r="X3153" s="14">
        <f>IF($J3153=0,0,ROUND(MAX($J3153*1.4*1.5*1.6*1.6*2.2*2.715*2.6,3540000000*(1.579646^(MIN($E3153,123)-117)))*1,0))</f>
        <v>95176553</v>
      </c>
      <c r="Y3153" s="11">
        <f>$E3153+17</f>
        <v>124</v>
      </c>
      <c r="Z3153" s="12">
        <f>IF($J3153=0,0,ROUND(MAX($J3153*1.4*1.5*1.6*1.6*2.2*2.715*2.6*1.4,6020000000*(1.651178^(MIN($E3153,123)-117)))*1,0))</f>
        <v>133247175</v>
      </c>
      <c r="AA3153" s="13">
        <f>$E3153+19</f>
        <v>126</v>
      </c>
      <c r="AB3153" s="14">
        <f>IF($J3153=0,0,ROUND(MAX($J3153*1.4*1.5*1.6*1.6*2.2*2.715*2.6*1.4*1.4,8430000000*(1.651435^(MIN($E3153,123)-117)))*1,0))</f>
        <v>186546045</v>
      </c>
      <c r="AC3153" s="11">
        <f>$E3153+21</f>
        <v>128</v>
      </c>
      <c r="AD3153" s="12">
        <f>IF($J3153=0,0,ROUND(MAX($J3153*1.4*1.5*1.6*1.6*2.2*2.715*2.6*1.4*1.4*1.5,12600000000*(1.652953^(MIN($E3153,123)-117)))*1,0))</f>
        <v>279819067</v>
      </c>
      <c r="AE3153" s="13">
        <f>$E3153+24</f>
        <v>131</v>
      </c>
      <c r="AF3153" s="14">
        <f>IF($J3153=0,0,ROUND(MAX($J3153*1.4*1.5*1.6*1.6*2.2*2.715*2.6*1.4*1.4*1.5*1.5,18900000000*(1.65331^(MIN($E3153,123)-117)))*1,0))</f>
        <v>419728601</v>
      </c>
      <c r="AG3153" s="11">
        <f>$E3153+27</f>
        <v>134</v>
      </c>
      <c r="AH3153" s="12">
        <f>IF($J3153=0,0,ROUND(MAX($J3153*1.4*1.5*1.6*1.6*2.2*2.715*2.6*1.4*1.4*1.5*1.5*3.2,60500000000*(1.654288^(MIN($E3153,123)-117)))*1,0))</f>
        <v>1343131523</v>
      </c>
    </row>
    <row r="3154" ht="28" customHeight="1" spans="1:34" x14ac:dyDescent="0.25">
      <c r="A3154">
        <v>3164</v>
      </c>
      <c r="B3154" t="s">
        <v>639</v>
      </c>
      <c r="C3154" s="10" t="s">
        <v>1709</v>
      </c>
      <c r="D3154" t="s">
        <v>40</v>
      </c>
      <c r="E3154">
        <v>107</v>
      </c>
      <c r="F3154" t="s">
        <v>353</v>
      </c>
      <c r="G3154" t="s">
        <v>72</v>
      </c>
      <c r="H3154">
        <v>25</v>
      </c>
      <c r="I3154" s="11">
        <f>$E3154+0</f>
        <v>107</v>
      </c>
      <c r="J3154" s="12">
        <v>49300</v>
      </c>
      <c r="K3154" s="13">
        <f>$E3154+1</f>
        <v>108</v>
      </c>
      <c r="L3154" s="14">
        <f>IF($J3154=0,0,ROUND(MAX($J3154*1.4,1620000*(1.497923^(MIN($E3154,123)-117)))*1,0))</f>
        <v>69020</v>
      </c>
      <c r="M3154" s="11">
        <f>$E3154+2</f>
        <v>109</v>
      </c>
      <c r="N3154" s="12">
        <f>IF($J3154=0,0,ROUND(MAX($J3154*1.4*1.5,2190000*(1.580994^(MIN($E3154,123)-117)))*1,0))</f>
        <v>103530</v>
      </c>
      <c r="O3154" s="13">
        <f>$E3154+4</f>
        <v>111</v>
      </c>
      <c r="P3154" s="14">
        <f>IF($J3154=0,0,ROUND(MAX($J3154*1.4*1.5*1.6,3500000*(1.57975^(MIN($E3154,123)-117)))*1,0))</f>
        <v>165648</v>
      </c>
      <c r="Q3154" s="11">
        <f>$E3154+6</f>
        <v>113</v>
      </c>
      <c r="R3154" s="12">
        <f>IF($J3154=0,0,ROUND(MAX($J3154*1.4*1.5*1.6*1.6,13100000*(1.429962^(MIN($E3154,123)-117)))*1,0))</f>
        <v>366460</v>
      </c>
      <c r="S3154" s="13">
        <f>$E3154+8</f>
        <v>115</v>
      </c>
      <c r="T3154" s="14">
        <f>IF($J3154=0,0,ROUND(MAX($J3154*1.4*1.5*1.6*1.6*2.2,42600000*(1.576904^(MIN($E3154,123)-117)))*1,0))</f>
        <v>583081</v>
      </c>
      <c r="U3154" s="11">
        <f>$E3154+11</f>
        <v>118</v>
      </c>
      <c r="V3154" s="12">
        <f>IF($J3154=0,0,ROUND(MAX($J3154*1.4*1.5*1.6*1.6*2.2*2.715,354000000*(1.642074^(MIN($E3154,123)-117)))*1,0))</f>
        <v>2483568</v>
      </c>
      <c r="W3154" s="13">
        <f>$E3154+15</f>
        <v>122</v>
      </c>
      <c r="X3154" s="14">
        <f>IF($J3154=0,0,ROUND(MAX($J3154*1.4*1.5*1.6*1.6*2.2*2.715*2.6,3540000000*(1.579646^(MIN($E3154,123)-117)))*1,0))</f>
        <v>36593634</v>
      </c>
      <c r="Y3154" s="11">
        <f>$E3154+17</f>
        <v>124</v>
      </c>
      <c r="Z3154" s="12">
        <f>IF($J3154=0,0,ROUND(MAX($J3154*1.4*1.5*1.6*1.6*2.2*2.715*2.6*1.4,6020000000*(1.651178^(MIN($E3154,123)-117)))*1,0))</f>
        <v>39962952</v>
      </c>
      <c r="AA3154" s="13">
        <f>$E3154+19</f>
        <v>126</v>
      </c>
      <c r="AB3154" s="14">
        <f>IF($J3154=0,0,ROUND(MAX($J3154*1.4*1.5*1.6*1.6*2.2*2.715*2.6*1.4*1.4,8430000000*(1.651435^(MIN($E3154,123)-117)))*1,0))</f>
        <v>55874381</v>
      </c>
      <c r="AC3154" s="11">
        <f>$E3154+21</f>
        <v>128</v>
      </c>
      <c r="AD3154" s="12">
        <f>IF($J3154=0,0,ROUND(MAX($J3154*1.4*1.5*1.6*1.6*2.2*2.715*2.6*1.4*1.4*1.5,12600000000*(1.652953^(MIN($E3154,123)-117)))*1,0))</f>
        <v>82749522</v>
      </c>
      <c r="AE3154" s="13">
        <f>$E3154+24</f>
        <v>131</v>
      </c>
      <c r="AF3154" s="14">
        <f>IF($J3154=0,0,ROUND(MAX($J3154*1.4*1.5*1.6*1.6*2.2*2.715*2.6*1.4*1.4*1.5*1.5,18900000000*(1.65331^(MIN($E3154,123)-117)))*1,0))</f>
        <v>123856521</v>
      </c>
      <c r="AG3154" s="11">
        <f>$E3154+27</f>
        <v>134</v>
      </c>
      <c r="AH3154" s="12">
        <f>IF($J3154=0,0,ROUND(MAX($J3154*1.4*1.5*1.6*1.6*2.2*2.715*2.6*1.4*1.4*1.5*1.5*3.2,60500000000*(1.654288^(MIN($E3154,123)-117)))*1,0))</f>
        <v>394134254</v>
      </c>
    </row>
    <row r="3155" ht="28" customHeight="1" spans="1:34" x14ac:dyDescent="0.25">
      <c r="A3155">
        <v>3165</v>
      </c>
      <c r="B3155" t="s">
        <v>84</v>
      </c>
      <c r="C3155" s="10" t="s">
        <v>1709</v>
      </c>
      <c r="D3155" t="s">
        <v>45</v>
      </c>
      <c r="E3155">
        <v>107</v>
      </c>
      <c r="F3155" t="s">
        <v>62</v>
      </c>
      <c r="G3155" t="s">
        <v>562</v>
      </c>
      <c r="H3155">
        <v>24</v>
      </c>
      <c r="I3155" s="11">
        <f>$E3155+0</f>
        <v>107</v>
      </c>
      <c r="J3155" s="12">
        <v>42900</v>
      </c>
      <c r="K3155" s="13">
        <f>$E3155+1</f>
        <v>108</v>
      </c>
      <c r="L3155" s="14">
        <f>IF($J3155=0,0,ROUND(MAX($J3155*1.4,1620000*(1.497923^(MIN($E3155,123)-117)))*1,0))</f>
        <v>60060</v>
      </c>
      <c r="M3155" s="11">
        <f>$E3155+2</f>
        <v>109</v>
      </c>
      <c r="N3155" s="12">
        <f>IF($J3155=0,0,ROUND(MAX($J3155*1.4*1.5,2190000*(1.580994^(MIN($E3155,123)-117)))*1,0))</f>
        <v>90090</v>
      </c>
      <c r="O3155" s="13">
        <f>$E3155+4</f>
        <v>111</v>
      </c>
      <c r="P3155" s="14">
        <f>IF($J3155=0,0,ROUND(MAX($J3155*1.4*1.5*1.6,3500000*(1.57975^(MIN($E3155,123)-117)))*1,0))</f>
        <v>144144</v>
      </c>
      <c r="Q3155" s="11">
        <f>$E3155+6</f>
        <v>113</v>
      </c>
      <c r="R3155" s="12">
        <f>IF($J3155=0,0,ROUND(MAX($J3155*1.4*1.5*1.6*1.6,13100000*(1.429962^(MIN($E3155,123)-117)))*1,0))</f>
        <v>366460</v>
      </c>
      <c r="S3155" s="13">
        <f>$E3155+8</f>
        <v>115</v>
      </c>
      <c r="T3155" s="14">
        <f>IF($J3155=0,0,ROUND(MAX($J3155*1.4*1.5*1.6*1.6*2.2,42600000*(1.576904^(MIN($E3155,123)-117)))*1,0))</f>
        <v>507387</v>
      </c>
      <c r="U3155" s="11">
        <f>$E3155+11</f>
        <v>118</v>
      </c>
      <c r="V3155" s="12">
        <f>IF($J3155=0,0,ROUND(MAX($J3155*1.4*1.5*1.6*1.6*2.2*2.715,354000000*(1.642074^(MIN($E3155,123)-117)))*1,0))</f>
        <v>2483568</v>
      </c>
      <c r="W3155" s="13">
        <f>$E3155+15</f>
        <v>122</v>
      </c>
      <c r="X3155" s="14">
        <f>IF($J3155=0,0,ROUND(MAX($J3155*1.4*1.5*1.6*1.6*2.2*2.715*2.6,3540000000*(1.579646^(MIN($E3155,123)-117)))*1,0))</f>
        <v>36593634</v>
      </c>
      <c r="Y3155" s="11">
        <f>$E3155+17</f>
        <v>124</v>
      </c>
      <c r="Z3155" s="12">
        <f>IF($J3155=0,0,ROUND(MAX($J3155*1.4*1.5*1.6*1.6*2.2*2.715*2.6*1.4,6020000000*(1.651178^(MIN($E3155,123)-117)))*1,0))</f>
        <v>39962952</v>
      </c>
      <c r="AA3155" s="13">
        <f>$E3155+19</f>
        <v>126</v>
      </c>
      <c r="AB3155" s="14">
        <f>IF($J3155=0,0,ROUND(MAX($J3155*1.4*1.5*1.6*1.6*2.2*2.715*2.6*1.4*1.4,8430000000*(1.651435^(MIN($E3155,123)-117)))*1,0))</f>
        <v>55874381</v>
      </c>
      <c r="AC3155" s="11">
        <f>$E3155+21</f>
        <v>128</v>
      </c>
      <c r="AD3155" s="12">
        <f>IF($J3155=0,0,ROUND(MAX($J3155*1.4*1.5*1.6*1.6*2.2*2.715*2.6*1.4*1.4*1.5,12600000000*(1.652953^(MIN($E3155,123)-117)))*1,0))</f>
        <v>82749522</v>
      </c>
      <c r="AE3155" s="13">
        <f>$E3155+24</f>
        <v>131</v>
      </c>
      <c r="AF3155" s="14">
        <f>IF($J3155=0,0,ROUND(MAX($J3155*1.4*1.5*1.6*1.6*2.2*2.715*2.6*1.4*1.4*1.5*1.5,18900000000*(1.65331^(MIN($E3155,123)-117)))*1,0))</f>
        <v>123856521</v>
      </c>
      <c r="AG3155" s="11">
        <f>$E3155+27</f>
        <v>134</v>
      </c>
      <c r="AH3155" s="12">
        <f>IF($J3155=0,0,ROUND(MAX($J3155*1.4*1.5*1.6*1.6*2.2*2.715*2.6*1.4*1.4*1.5*1.5*3.2,60500000000*(1.654288^(MIN($E3155,123)-117)))*1,0))</f>
        <v>394134254</v>
      </c>
    </row>
    <row r="3156" ht="28" customHeight="1" spans="1:34" x14ac:dyDescent="0.25">
      <c r="A3156">
        <v>3166</v>
      </c>
      <c r="B3156" t="s">
        <v>613</v>
      </c>
      <c r="C3156" s="10" t="s">
        <v>1709</v>
      </c>
      <c r="D3156" t="s">
        <v>25</v>
      </c>
      <c r="E3156">
        <v>106</v>
      </c>
      <c r="F3156" t="s">
        <v>614</v>
      </c>
      <c r="G3156" t="s">
        <v>242</v>
      </c>
      <c r="H3156">
        <v>24</v>
      </c>
      <c r="I3156" s="11">
        <f>$E3156+0</f>
        <v>106</v>
      </c>
      <c r="J3156" s="12">
        <v>19500</v>
      </c>
      <c r="K3156" s="13">
        <f>$E3156+1</f>
        <v>107</v>
      </c>
      <c r="L3156" s="14">
        <f>IF($J3156=0,0,ROUND(MAX($J3156*1.4,1620000*(1.497923^(MIN($E3156,123)-117)))*1,0))</f>
        <v>27300</v>
      </c>
      <c r="M3156" s="11">
        <f>$E3156+2</f>
        <v>108</v>
      </c>
      <c r="N3156" s="12">
        <f>IF($J3156=0,0,ROUND(MAX($J3156*1.4*1.5,2190000*(1.580994^(MIN($E3156,123)-117)))*1,0))</f>
        <v>40950</v>
      </c>
      <c r="O3156" s="13">
        <f>$E3156+4</f>
        <v>110</v>
      </c>
      <c r="P3156" s="14">
        <f>IF($J3156=0,0,ROUND(MAX($J3156*1.4*1.5*1.6,3500000*(1.57975^(MIN($E3156,123)-117)))*1,0))</f>
        <v>65520</v>
      </c>
      <c r="Q3156" s="11">
        <f>$E3156+6</f>
        <v>112</v>
      </c>
      <c r="R3156" s="12">
        <f>IF($J3156=0,0,ROUND(MAX($J3156*1.4*1.5*1.6*1.6,13100000*(1.429962^(MIN($E3156,123)-117)))*1,0))</f>
        <v>256272</v>
      </c>
      <c r="S3156" s="13">
        <f>$E3156+8</f>
        <v>114</v>
      </c>
      <c r="T3156" s="14">
        <f>IF($J3156=0,0,ROUND(MAX($J3156*1.4*1.5*1.6*1.6*2.2,42600000*(1.576904^(MIN($E3156,123)-117)))*1,0))</f>
        <v>284153</v>
      </c>
      <c r="U3156" s="11">
        <f>$E3156+11</f>
        <v>117</v>
      </c>
      <c r="V3156" s="12">
        <f>IF($J3156=0,0,ROUND(MAX($J3156*1.4*1.5*1.6*1.6*2.2*2.715,354000000*(1.642074^(MIN($E3156,123)-117)))*1,0))</f>
        <v>1512458</v>
      </c>
      <c r="W3156" s="13">
        <f>$E3156+15</f>
        <v>121</v>
      </c>
      <c r="X3156" s="14">
        <f>IF($J3156=0,0,ROUND(MAX($J3156*1.4*1.5*1.6*1.6*2.2*2.715*2.6,3540000000*(1.579646^(MIN($E3156,123)-117)))*1,0))</f>
        <v>23165718</v>
      </c>
      <c r="Y3156" s="11">
        <f>$E3156+17</f>
        <v>123</v>
      </c>
      <c r="Z3156" s="12">
        <f>IF($J3156=0,0,ROUND(MAX($J3156*1.4*1.5*1.6*1.6*2.2*2.715*2.6*1.4,6020000000*(1.651178^(MIN($E3156,123)-117)))*1,0))</f>
        <v>24202691</v>
      </c>
      <c r="AA3156" s="13">
        <f>$E3156+19</f>
        <v>125</v>
      </c>
      <c r="AB3156" s="14">
        <f>IF($J3156=0,0,ROUND(MAX($J3156*1.4*1.5*1.6*1.6*2.2*2.715*2.6*1.4*1.4,8430000000*(1.651435^(MIN($E3156,123)-117)))*1,0))</f>
        <v>33833836</v>
      </c>
      <c r="AC3156" s="11">
        <f>$E3156+21</f>
        <v>127</v>
      </c>
      <c r="AD3156" s="12">
        <f>IF($J3156=0,0,ROUND(MAX($J3156*1.4*1.5*1.6*1.6*2.2*2.715*2.6*1.4*1.4*1.5,12600000000*(1.652953^(MIN($E3156,123)-117)))*1,0))</f>
        <v>50061630</v>
      </c>
      <c r="AE3156" s="13">
        <f>$E3156+24</f>
        <v>130</v>
      </c>
      <c r="AF3156" s="14">
        <f>IF($J3156=0,0,ROUND(MAX($J3156*1.4*1.5*1.6*1.6*2.2*2.715*2.6*1.4*1.4*1.5*1.5,18900000000*(1.65331^(MIN($E3156,123)-117)))*1,0))</f>
        <v>74914276</v>
      </c>
      <c r="AG3156" s="11">
        <f>$E3156+27</f>
        <v>133</v>
      </c>
      <c r="AH3156" s="12">
        <f>IF($J3156=0,0,ROUND(MAX($J3156*1.4*1.5*1.6*1.6*2.2*2.715*2.6*1.4*1.4*1.5*1.5*3.2,60500000000*(1.654288^(MIN($E3156,123)-117)))*1,0))</f>
        <v>238250083</v>
      </c>
    </row>
    <row r="3157" ht="28" customHeight="1" spans="1:34" x14ac:dyDescent="0.25">
      <c r="A3157">
        <v>3167</v>
      </c>
      <c r="B3157" t="s">
        <v>787</v>
      </c>
      <c r="C3157" s="10" t="s">
        <v>1709</v>
      </c>
      <c r="D3157" t="s">
        <v>93</v>
      </c>
      <c r="E3157">
        <v>106</v>
      </c>
      <c r="F3157" t="s">
        <v>56</v>
      </c>
      <c r="G3157" t="s">
        <v>402</v>
      </c>
      <c r="H3157">
        <v>24</v>
      </c>
      <c r="I3157" s="11">
        <f>$E3157+0</f>
        <v>106</v>
      </c>
      <c r="J3157" s="12">
        <v>24400</v>
      </c>
      <c r="K3157" s="13">
        <f>$E3157+1</f>
        <v>107</v>
      </c>
      <c r="L3157" s="14">
        <f>IF($J3157=0,0,ROUND(MAX($J3157*1.4,1620000*(1.497923^(MIN($E3157,123)-117)))*1,0))</f>
        <v>34160</v>
      </c>
      <c r="M3157" s="11">
        <f>$E3157+2</f>
        <v>108</v>
      </c>
      <c r="N3157" s="12">
        <f>IF($J3157=0,0,ROUND(MAX($J3157*1.4*1.5,2190000*(1.580994^(MIN($E3157,123)-117)))*1,0))</f>
        <v>51240</v>
      </c>
      <c r="O3157" s="13">
        <f>$E3157+4</f>
        <v>110</v>
      </c>
      <c r="P3157" s="14">
        <f>IF($J3157=0,0,ROUND(MAX($J3157*1.4*1.5*1.6,3500000*(1.57975^(MIN($E3157,123)-117)))*1,0))</f>
        <v>81984</v>
      </c>
      <c r="Q3157" s="11">
        <f>$E3157+6</f>
        <v>112</v>
      </c>
      <c r="R3157" s="12">
        <f>IF($J3157=0,0,ROUND(MAX($J3157*1.4*1.5*1.6*1.6,13100000*(1.429962^(MIN($E3157,123)-117)))*1,0))</f>
        <v>256272</v>
      </c>
      <c r="S3157" s="13">
        <f>$E3157+8</f>
        <v>114</v>
      </c>
      <c r="T3157" s="14">
        <f>IF($J3157=0,0,ROUND(MAX($J3157*1.4*1.5*1.6*1.6*2.2,42600000*(1.576904^(MIN($E3157,123)-117)))*1,0))</f>
        <v>288584</v>
      </c>
      <c r="U3157" s="11">
        <f>$E3157+11</f>
        <v>117</v>
      </c>
      <c r="V3157" s="12">
        <f>IF($J3157=0,0,ROUND(MAX($J3157*1.4*1.5*1.6*1.6*2.2*2.715,354000000*(1.642074^(MIN($E3157,123)-117)))*1,0))</f>
        <v>1512458</v>
      </c>
      <c r="W3157" s="13">
        <f>$E3157+15</f>
        <v>121</v>
      </c>
      <c r="X3157" s="14">
        <f>IF($J3157=0,0,ROUND(MAX($J3157*1.4*1.5*1.6*1.6*2.2*2.715*2.6,3540000000*(1.579646^(MIN($E3157,123)-117)))*1,0))</f>
        <v>23165718</v>
      </c>
      <c r="Y3157" s="11">
        <f>$E3157+17</f>
        <v>123</v>
      </c>
      <c r="Z3157" s="12">
        <f>IF($J3157=0,0,ROUND(MAX($J3157*1.4*1.5*1.6*1.6*2.2*2.715*2.6*1.4,6020000000*(1.651178^(MIN($E3157,123)-117)))*1,0))</f>
        <v>24202691</v>
      </c>
      <c r="AA3157" s="13">
        <f>$E3157+19</f>
        <v>125</v>
      </c>
      <c r="AB3157" s="14">
        <f>IF($J3157=0,0,ROUND(MAX($J3157*1.4*1.5*1.6*1.6*2.2*2.715*2.6*1.4*1.4,8430000000*(1.651435^(MIN($E3157,123)-117)))*1,0))</f>
        <v>33833836</v>
      </c>
      <c r="AC3157" s="11">
        <f>$E3157+21</f>
        <v>127</v>
      </c>
      <c r="AD3157" s="12">
        <f>IF($J3157=0,0,ROUND(MAX($J3157*1.4*1.5*1.6*1.6*2.2*2.715*2.6*1.4*1.4*1.5,12600000000*(1.652953^(MIN($E3157,123)-117)))*1,0))</f>
        <v>50061630</v>
      </c>
      <c r="AE3157" s="13">
        <f>$E3157+24</f>
        <v>130</v>
      </c>
      <c r="AF3157" s="14">
        <f>IF($J3157=0,0,ROUND(MAX($J3157*1.4*1.5*1.6*1.6*2.2*2.715*2.6*1.4*1.4*1.5*1.5,18900000000*(1.65331^(MIN($E3157,123)-117)))*1,0))</f>
        <v>74914276</v>
      </c>
      <c r="AG3157" s="11">
        <f>$E3157+27</f>
        <v>133</v>
      </c>
      <c r="AH3157" s="12">
        <f>IF($J3157=0,0,ROUND(MAX($J3157*1.4*1.5*1.6*1.6*2.2*2.715*2.6*1.4*1.4*1.5*1.5*3.2,60500000000*(1.654288^(MIN($E3157,123)-117)))*1,0))</f>
        <v>238250083</v>
      </c>
    </row>
    <row r="3158" ht="28" customHeight="1" spans="1:34" x14ac:dyDescent="0.25">
      <c r="A3158">
        <v>3168</v>
      </c>
      <c r="B3158" t="s">
        <v>139</v>
      </c>
      <c r="C3158" s="10" t="s">
        <v>1709</v>
      </c>
      <c r="D3158" t="s">
        <v>40</v>
      </c>
      <c r="E3158">
        <v>106</v>
      </c>
      <c r="F3158" t="s">
        <v>34</v>
      </c>
      <c r="G3158" t="s">
        <v>562</v>
      </c>
      <c r="H3158">
        <v>24</v>
      </c>
      <c r="I3158" s="11">
        <f>$E3158+0</f>
        <v>106</v>
      </c>
      <c r="J3158" s="12">
        <v>14000</v>
      </c>
      <c r="K3158" s="13">
        <f>$E3158+1</f>
        <v>107</v>
      </c>
      <c r="L3158" s="14">
        <f>IF($J3158=0,0,ROUND(MAX($J3158*1.4,1620000*(1.497923^(MIN($E3158,123)-117)))*1,0))</f>
        <v>19600</v>
      </c>
      <c r="M3158" s="11">
        <f>$E3158+2</f>
        <v>108</v>
      </c>
      <c r="N3158" s="12">
        <f>IF($J3158=0,0,ROUND(MAX($J3158*1.4*1.5,2190000*(1.580994^(MIN($E3158,123)-117)))*1,0))</f>
        <v>29400</v>
      </c>
      <c r="O3158" s="13">
        <f>$E3158+4</f>
        <v>110</v>
      </c>
      <c r="P3158" s="14">
        <f>IF($J3158=0,0,ROUND(MAX($J3158*1.4*1.5*1.6,3500000*(1.57975^(MIN($E3158,123)-117)))*1,0))</f>
        <v>47040</v>
      </c>
      <c r="Q3158" s="11">
        <f>$E3158+6</f>
        <v>112</v>
      </c>
      <c r="R3158" s="12">
        <f>IF($J3158=0,0,ROUND(MAX($J3158*1.4*1.5*1.6*1.6,13100000*(1.429962^(MIN($E3158,123)-117)))*1,0))</f>
        <v>256272</v>
      </c>
      <c r="S3158" s="13">
        <f>$E3158+8</f>
        <v>114</v>
      </c>
      <c r="T3158" s="14">
        <f>IF($J3158=0,0,ROUND(MAX($J3158*1.4*1.5*1.6*1.6*2.2,42600000*(1.576904^(MIN($E3158,123)-117)))*1,0))</f>
        <v>284153</v>
      </c>
      <c r="U3158" s="11">
        <f>$E3158+11</f>
        <v>117</v>
      </c>
      <c r="V3158" s="12">
        <f>IF($J3158=0,0,ROUND(MAX($J3158*1.4*1.5*1.6*1.6*2.2*2.715,354000000*(1.642074^(MIN($E3158,123)-117)))*1,0))</f>
        <v>1512458</v>
      </c>
      <c r="W3158" s="13">
        <f>$E3158+15</f>
        <v>121</v>
      </c>
      <c r="X3158" s="14">
        <f>IF($J3158=0,0,ROUND(MAX($J3158*1.4*1.5*1.6*1.6*2.2*2.715*2.6,3540000000*(1.579646^(MIN($E3158,123)-117)))*1,0))</f>
        <v>23165718</v>
      </c>
      <c r="Y3158" s="11">
        <f>$E3158+17</f>
        <v>123</v>
      </c>
      <c r="Z3158" s="12">
        <f>IF($J3158=0,0,ROUND(MAX($J3158*1.4*1.5*1.6*1.6*2.2*2.715*2.6*1.4,6020000000*(1.651178^(MIN($E3158,123)-117)))*1,0))</f>
        <v>24202691</v>
      </c>
      <c r="AA3158" s="13">
        <f>$E3158+19</f>
        <v>125</v>
      </c>
      <c r="AB3158" s="14">
        <f>IF($J3158=0,0,ROUND(MAX($J3158*1.4*1.5*1.6*1.6*2.2*2.715*2.6*1.4*1.4,8430000000*(1.651435^(MIN($E3158,123)-117)))*1,0))</f>
        <v>33833836</v>
      </c>
      <c r="AC3158" s="11">
        <f>$E3158+21</f>
        <v>127</v>
      </c>
      <c r="AD3158" s="12">
        <f>IF($J3158=0,0,ROUND(MAX($J3158*1.4*1.5*1.6*1.6*2.2*2.715*2.6*1.4*1.4*1.5,12600000000*(1.652953^(MIN($E3158,123)-117)))*1,0))</f>
        <v>50061630</v>
      </c>
      <c r="AE3158" s="13">
        <f>$E3158+24</f>
        <v>130</v>
      </c>
      <c r="AF3158" s="14">
        <f>IF($J3158=0,0,ROUND(MAX($J3158*1.4*1.5*1.6*1.6*2.2*2.715*2.6*1.4*1.4*1.5*1.5,18900000000*(1.65331^(MIN($E3158,123)-117)))*1,0))</f>
        <v>74914276</v>
      </c>
      <c r="AG3158" s="11">
        <f>$E3158+27</f>
        <v>133</v>
      </c>
      <c r="AH3158" s="12">
        <f>IF($J3158=0,0,ROUND(MAX($J3158*1.4*1.5*1.6*1.6*2.2*2.715*2.6*1.4*1.4*1.5*1.5*3.2,60500000000*(1.654288^(MIN($E3158,123)-117)))*1,0))</f>
        <v>238250083</v>
      </c>
    </row>
    <row r="3159" ht="28" customHeight="1" spans="1:34" x14ac:dyDescent="0.25">
      <c r="A3159">
        <v>3169</v>
      </c>
      <c r="B3159" t="s">
        <v>210</v>
      </c>
      <c r="C3159" s="10" t="s">
        <v>1709</v>
      </c>
      <c r="D3159" t="s">
        <v>33</v>
      </c>
      <c r="E3159">
        <v>106</v>
      </c>
      <c r="F3159" t="s">
        <v>56</v>
      </c>
      <c r="G3159" t="s">
        <v>562</v>
      </c>
      <c r="H3159">
        <v>24</v>
      </c>
      <c r="I3159" s="11">
        <f>$E3159+0</f>
        <v>106</v>
      </c>
      <c r="J3159" s="12">
        <v>18500</v>
      </c>
      <c r="K3159" s="13">
        <f>$E3159+1</f>
        <v>107</v>
      </c>
      <c r="L3159" s="14">
        <f>IF($J3159=0,0,ROUND(MAX($J3159*1.4,1620000*(1.497923^(MIN($E3159,123)-117)))*1,0))</f>
        <v>25900</v>
      </c>
      <c r="M3159" s="11">
        <f>$E3159+2</f>
        <v>108</v>
      </c>
      <c r="N3159" s="12">
        <f>IF($J3159=0,0,ROUND(MAX($J3159*1.4*1.5,2190000*(1.580994^(MIN($E3159,123)-117)))*1,0))</f>
        <v>38850</v>
      </c>
      <c r="O3159" s="13">
        <f>$E3159+4</f>
        <v>110</v>
      </c>
      <c r="P3159" s="14">
        <f>IF($J3159=0,0,ROUND(MAX($J3159*1.4*1.5*1.6,3500000*(1.57975^(MIN($E3159,123)-117)))*1,0))</f>
        <v>62160</v>
      </c>
      <c r="Q3159" s="11">
        <f>$E3159+6</f>
        <v>112</v>
      </c>
      <c r="R3159" s="12">
        <f>IF($J3159=0,0,ROUND(MAX($J3159*1.4*1.5*1.6*1.6,13100000*(1.429962^(MIN($E3159,123)-117)))*1,0))</f>
        <v>256272</v>
      </c>
      <c r="S3159" s="13">
        <f>$E3159+8</f>
        <v>114</v>
      </c>
      <c r="T3159" s="14">
        <f>IF($J3159=0,0,ROUND(MAX($J3159*1.4*1.5*1.6*1.6*2.2,42600000*(1.576904^(MIN($E3159,123)-117)))*1,0))</f>
        <v>284153</v>
      </c>
      <c r="U3159" s="11">
        <f>$E3159+11</f>
        <v>117</v>
      </c>
      <c r="V3159" s="12">
        <f>IF($J3159=0,0,ROUND(MAX($J3159*1.4*1.5*1.6*1.6*2.2*2.715,354000000*(1.642074^(MIN($E3159,123)-117)))*1,0))</f>
        <v>1512458</v>
      </c>
      <c r="W3159" s="13">
        <f>$E3159+15</f>
        <v>121</v>
      </c>
      <c r="X3159" s="14">
        <f>IF($J3159=0,0,ROUND(MAX($J3159*1.4*1.5*1.6*1.6*2.2*2.715*2.6,3540000000*(1.579646^(MIN($E3159,123)-117)))*1,0))</f>
        <v>23165718</v>
      </c>
      <c r="Y3159" s="11">
        <f>$E3159+17</f>
        <v>123</v>
      </c>
      <c r="Z3159" s="12">
        <f>IF($J3159=0,0,ROUND(MAX($J3159*1.4*1.5*1.6*1.6*2.2*2.715*2.6*1.4,6020000000*(1.651178^(MIN($E3159,123)-117)))*1,0))</f>
        <v>24202691</v>
      </c>
      <c r="AA3159" s="13">
        <f>$E3159+19</f>
        <v>125</v>
      </c>
      <c r="AB3159" s="14">
        <f>IF($J3159=0,0,ROUND(MAX($J3159*1.4*1.5*1.6*1.6*2.2*2.715*2.6*1.4*1.4,8430000000*(1.651435^(MIN($E3159,123)-117)))*1,0))</f>
        <v>33833836</v>
      </c>
      <c r="AC3159" s="11">
        <f>$E3159+21</f>
        <v>127</v>
      </c>
      <c r="AD3159" s="12">
        <f>IF($J3159=0,0,ROUND(MAX($J3159*1.4*1.5*1.6*1.6*2.2*2.715*2.6*1.4*1.4*1.5,12600000000*(1.652953^(MIN($E3159,123)-117)))*1,0))</f>
        <v>50061630</v>
      </c>
      <c r="AE3159" s="13">
        <f>$E3159+24</f>
        <v>130</v>
      </c>
      <c r="AF3159" s="14">
        <f>IF($J3159=0,0,ROUND(MAX($J3159*1.4*1.5*1.6*1.6*2.2*2.715*2.6*1.4*1.4*1.5*1.5,18900000000*(1.65331^(MIN($E3159,123)-117)))*1,0))</f>
        <v>74914276</v>
      </c>
      <c r="AG3159" s="11">
        <f>$E3159+27</f>
        <v>133</v>
      </c>
      <c r="AH3159" s="12">
        <f>IF($J3159=0,0,ROUND(MAX($J3159*1.4*1.5*1.6*1.6*2.2*2.715*2.6*1.4*1.4*1.5*1.5*3.2,60500000000*(1.654288^(MIN($E3159,123)-117)))*1,0))</f>
        <v>238250083</v>
      </c>
    </row>
    <row r="3160" ht="28" customHeight="1" spans="1:34" x14ac:dyDescent="0.25">
      <c r="A3160">
        <v>3170</v>
      </c>
      <c r="B3160" t="s">
        <v>1710</v>
      </c>
      <c r="C3160" s="10" t="s">
        <v>1709</v>
      </c>
      <c r="D3160" t="s">
        <v>40</v>
      </c>
      <c r="E3160">
        <v>106</v>
      </c>
      <c r="F3160" t="s">
        <v>71</v>
      </c>
      <c r="G3160" t="s">
        <v>562</v>
      </c>
      <c r="H3160">
        <v>23</v>
      </c>
      <c r="I3160" s="11">
        <f>$E3160+0</f>
        <v>106</v>
      </c>
      <c r="J3160" s="12">
        <v>176000</v>
      </c>
      <c r="K3160" s="13">
        <f>$E3160+1</f>
        <v>107</v>
      </c>
      <c r="L3160" s="14">
        <f>IF($J3160=0,0,ROUND(MAX($J3160*1.4,1620000*(1.497923^(MIN($E3160,123)-117)))*1,0))</f>
        <v>246400</v>
      </c>
      <c r="M3160" s="11">
        <f>$E3160+2</f>
        <v>108</v>
      </c>
      <c r="N3160" s="12">
        <f>IF($J3160=0,0,ROUND(MAX($J3160*1.4*1.5,2190000*(1.580994^(MIN($E3160,123)-117)))*1,0))</f>
        <v>369600</v>
      </c>
      <c r="O3160" s="13">
        <f>$E3160+4</f>
        <v>110</v>
      </c>
      <c r="P3160" s="14">
        <f>IF($J3160=0,0,ROUND(MAX($J3160*1.4*1.5*1.6,3500000*(1.57975^(MIN($E3160,123)-117)))*1,0))</f>
        <v>591360</v>
      </c>
      <c r="Q3160" s="11">
        <f>$E3160+6</f>
        <v>112</v>
      </c>
      <c r="R3160" s="12">
        <f>IF($J3160=0,0,ROUND(MAX($J3160*1.4*1.5*1.6*1.6,13100000*(1.429962^(MIN($E3160,123)-117)))*1,0))</f>
        <v>946176</v>
      </c>
      <c r="S3160" s="13">
        <f>$E3160+8</f>
        <v>114</v>
      </c>
      <c r="T3160" s="14">
        <f>IF($J3160=0,0,ROUND(MAX($J3160*1.4*1.5*1.6*1.6*2.2,42600000*(1.576904^(MIN($E3160,123)-117)))*1,0))</f>
        <v>2081587</v>
      </c>
      <c r="U3160" s="11">
        <f>$E3160+11</f>
        <v>117</v>
      </c>
      <c r="V3160" s="12">
        <f>IF($J3160=0,0,ROUND(MAX($J3160*1.4*1.5*1.6*1.6*2.2*2.715,354000000*(1.642074^(MIN($E3160,123)-117)))*1,0))</f>
        <v>5651509</v>
      </c>
      <c r="W3160" s="13">
        <f>$E3160+15</f>
        <v>121</v>
      </c>
      <c r="X3160" s="14">
        <f>IF($J3160=0,0,ROUND(MAX($J3160*1.4*1.5*1.6*1.6*2.2*2.715*2.6,3540000000*(1.579646^(MIN($E3160,123)-117)))*1,0))</f>
        <v>23165718</v>
      </c>
      <c r="Y3160" s="11">
        <f>$E3160+17</f>
        <v>123</v>
      </c>
      <c r="Z3160" s="12">
        <f>IF($J3160=0,0,ROUND(MAX($J3160*1.4*1.5*1.6*1.6*2.2*2.715*2.6*1.4,6020000000*(1.651178^(MIN($E3160,123)-117)))*1,0))</f>
        <v>24202691</v>
      </c>
      <c r="AA3160" s="13">
        <f>$E3160+19</f>
        <v>125</v>
      </c>
      <c r="AB3160" s="14">
        <f>IF($J3160=0,0,ROUND(MAX($J3160*1.4*1.5*1.6*1.6*2.2*2.715*2.6*1.4*1.4,8430000000*(1.651435^(MIN($E3160,123)-117)))*1,0))</f>
        <v>33833836</v>
      </c>
      <c r="AC3160" s="11">
        <f>$E3160+21</f>
        <v>127</v>
      </c>
      <c r="AD3160" s="12">
        <f>IF($J3160=0,0,ROUND(MAX($J3160*1.4*1.5*1.6*1.6*2.2*2.715*2.6*1.4*1.4*1.5,12600000000*(1.652953^(MIN($E3160,123)-117)))*1,0))</f>
        <v>50061630</v>
      </c>
      <c r="AE3160" s="13">
        <f>$E3160+24</f>
        <v>130</v>
      </c>
      <c r="AF3160" s="14">
        <f>IF($J3160=0,0,ROUND(MAX($J3160*1.4*1.5*1.6*1.6*2.2*2.715*2.6*1.4*1.4*1.5*1.5,18900000000*(1.65331^(MIN($E3160,123)-117)))*1,0))</f>
        <v>74914276</v>
      </c>
      <c r="AG3160" s="11">
        <f>$E3160+27</f>
        <v>133</v>
      </c>
      <c r="AH3160" s="12">
        <f>IF($J3160=0,0,ROUND(MAX($J3160*1.4*1.5*1.6*1.6*2.2*2.715*2.6*1.4*1.4*1.5*1.5*3.2,60500000000*(1.654288^(MIN($E3160,123)-117)))*1,0))</f>
        <v>238250083</v>
      </c>
    </row>
    <row r="3161" ht="28" customHeight="1" spans="1:34" x14ac:dyDescent="0.25">
      <c r="A3161">
        <v>3171</v>
      </c>
      <c r="B3161" t="s">
        <v>1711</v>
      </c>
      <c r="C3161" s="10" t="s">
        <v>1709</v>
      </c>
      <c r="D3161" t="s">
        <v>33</v>
      </c>
      <c r="E3161">
        <v>106</v>
      </c>
      <c r="F3161" t="s">
        <v>444</v>
      </c>
      <c r="G3161" t="s">
        <v>1094</v>
      </c>
      <c r="H3161">
        <v>22</v>
      </c>
      <c r="I3161" s="11">
        <f>$E3161+0</f>
        <v>106</v>
      </c>
      <c r="J3161" s="12">
        <v>11300</v>
      </c>
      <c r="K3161" s="13">
        <f>$E3161+1</f>
        <v>107</v>
      </c>
      <c r="L3161" s="14">
        <f>IF($J3161=0,0,ROUND(MAX($J3161*1.4,1620000*(1.497923^(MIN($E3161,123)-117)))*1,0))</f>
        <v>19017</v>
      </c>
      <c r="M3161" s="11">
        <f>$E3161+2</f>
        <v>108</v>
      </c>
      <c r="N3161" s="12">
        <f>IF($J3161=0,0,ROUND(MAX($J3161*1.4*1.5,2190000*(1.580994^(MIN($E3161,123)-117)))*1,0))</f>
        <v>23730</v>
      </c>
      <c r="O3161" s="13">
        <f>$E3161+4</f>
        <v>110</v>
      </c>
      <c r="P3161" s="14">
        <f>IF($J3161=0,0,ROUND(MAX($J3161*1.4*1.5*1.6,3500000*(1.57975^(MIN($E3161,123)-117)))*1,0))</f>
        <v>37968</v>
      </c>
      <c r="Q3161" s="11">
        <f>$E3161+6</f>
        <v>112</v>
      </c>
      <c r="R3161" s="12">
        <f>IF($J3161=0,0,ROUND(MAX($J3161*1.4*1.5*1.6*1.6,13100000*(1.429962^(MIN($E3161,123)-117)))*1,0))</f>
        <v>256272</v>
      </c>
      <c r="S3161" s="13">
        <f>$E3161+8</f>
        <v>114</v>
      </c>
      <c r="T3161" s="14">
        <f>IF($J3161=0,0,ROUND(MAX($J3161*1.4*1.5*1.6*1.6*2.2,42600000*(1.576904^(MIN($E3161,123)-117)))*1,0))</f>
        <v>284153</v>
      </c>
      <c r="U3161" s="11">
        <f>$E3161+11</f>
        <v>117</v>
      </c>
      <c r="V3161" s="12">
        <f>IF($J3161=0,0,ROUND(MAX($J3161*1.4*1.5*1.6*1.6*2.2*2.715,354000000*(1.642074^(MIN($E3161,123)-117)))*1,0))</f>
        <v>1512458</v>
      </c>
      <c r="W3161" s="13">
        <f>$E3161+15</f>
        <v>121</v>
      </c>
      <c r="X3161" s="14">
        <f>IF($J3161=0,0,ROUND(MAX($J3161*1.4*1.5*1.6*1.6*2.2*2.715*2.6,3540000000*(1.579646^(MIN($E3161,123)-117)))*1,0))</f>
        <v>23165718</v>
      </c>
      <c r="Y3161" s="11">
        <f>$E3161+17</f>
        <v>123</v>
      </c>
      <c r="Z3161" s="12">
        <f>IF($J3161=0,0,ROUND(MAX($J3161*1.4*1.5*1.6*1.6*2.2*2.715*2.6*1.4,6020000000*(1.651178^(MIN($E3161,123)-117)))*1,0))</f>
        <v>24202691</v>
      </c>
      <c r="AA3161" s="13">
        <f>$E3161+19</f>
        <v>125</v>
      </c>
      <c r="AB3161" s="14">
        <f>IF($J3161=0,0,ROUND(MAX($J3161*1.4*1.5*1.6*1.6*2.2*2.715*2.6*1.4*1.4,8430000000*(1.651435^(MIN($E3161,123)-117)))*1,0))</f>
        <v>33833836</v>
      </c>
      <c r="AC3161" s="11">
        <f>$E3161+21</f>
        <v>127</v>
      </c>
      <c r="AD3161" s="12">
        <f>IF($J3161=0,0,ROUND(MAX($J3161*1.4*1.5*1.6*1.6*2.2*2.715*2.6*1.4*1.4*1.5,12600000000*(1.652953^(MIN($E3161,123)-117)))*1,0))</f>
        <v>50061630</v>
      </c>
      <c r="AE3161" s="13">
        <f>$E3161+24</f>
        <v>130</v>
      </c>
      <c r="AF3161" s="14">
        <f>IF($J3161=0,0,ROUND(MAX($J3161*1.4*1.5*1.6*1.6*2.2*2.715*2.6*1.4*1.4*1.5*1.5,18900000000*(1.65331^(MIN($E3161,123)-117)))*1,0))</f>
        <v>74914276</v>
      </c>
      <c r="AG3161" s="11">
        <f>$E3161+27</f>
        <v>133</v>
      </c>
      <c r="AH3161" s="12">
        <f>IF($J3161=0,0,ROUND(MAX($J3161*1.4*1.5*1.6*1.6*2.2*2.715*2.6*1.4*1.4*1.5*1.5*3.2,60500000000*(1.654288^(MIN($E3161,123)-117)))*1,0))</f>
        <v>238250083</v>
      </c>
    </row>
    <row r="3162" ht="28" customHeight="1" spans="1:34" x14ac:dyDescent="0.25">
      <c r="A3162">
        <v>3172</v>
      </c>
      <c r="B3162" t="s">
        <v>1712</v>
      </c>
      <c r="C3162" s="10" t="s">
        <v>1709</v>
      </c>
      <c r="D3162" t="s">
        <v>40</v>
      </c>
      <c r="E3162">
        <v>105</v>
      </c>
      <c r="F3162" t="s">
        <v>62</v>
      </c>
      <c r="G3162" t="s">
        <v>562</v>
      </c>
      <c r="H3162">
        <v>24</v>
      </c>
      <c r="I3162" s="11">
        <f>$E3162+0</f>
        <v>105</v>
      </c>
      <c r="J3162" s="12">
        <v>48200</v>
      </c>
      <c r="K3162" s="13">
        <f>$E3162+1</f>
        <v>106</v>
      </c>
      <c r="L3162" s="14">
        <f>IF($J3162=0,0,ROUND(MAX($J3162*1.4,1620000*(1.497923^(MIN($E3162,123)-117)))*1,0))</f>
        <v>67480</v>
      </c>
      <c r="M3162" s="11">
        <f>$E3162+2</f>
        <v>107</v>
      </c>
      <c r="N3162" s="12">
        <f>IF($J3162=0,0,ROUND(MAX($J3162*1.4*1.5,2190000*(1.580994^(MIN($E3162,123)-117)))*1,0))</f>
        <v>101220</v>
      </c>
      <c r="O3162" s="13">
        <f>$E3162+4</f>
        <v>109</v>
      </c>
      <c r="P3162" s="14">
        <f>IF($J3162=0,0,ROUND(MAX($J3162*1.4*1.5*1.6,3500000*(1.57975^(MIN($E3162,123)-117)))*1,0))</f>
        <v>161952</v>
      </c>
      <c r="Q3162" s="11">
        <f>$E3162+6</f>
        <v>111</v>
      </c>
      <c r="R3162" s="12">
        <f>IF($J3162=0,0,ROUND(MAX($J3162*1.4*1.5*1.6*1.6,13100000*(1.429962^(MIN($E3162,123)-117)))*1,0))</f>
        <v>259123</v>
      </c>
      <c r="S3162" s="13">
        <f>$E3162+8</f>
        <v>113</v>
      </c>
      <c r="T3162" s="14">
        <f>IF($J3162=0,0,ROUND(MAX($J3162*1.4*1.5*1.6*1.6*2.2,42600000*(1.576904^(MIN($E3162,123)-117)))*1,0))</f>
        <v>570071</v>
      </c>
      <c r="U3162" s="11">
        <f>$E3162+11</f>
        <v>116</v>
      </c>
      <c r="V3162" s="12">
        <f>IF($J3162=0,0,ROUND(MAX($J3162*1.4*1.5*1.6*1.6*2.2*2.715,354000000*(1.642074^(MIN($E3162,123)-117)))*1,0))</f>
        <v>1547743</v>
      </c>
      <c r="W3162" s="13">
        <f>$E3162+15</f>
        <v>120</v>
      </c>
      <c r="X3162" s="14">
        <f>IF($J3162=0,0,ROUND(MAX($J3162*1.4*1.5*1.6*1.6*2.2*2.715*2.6,3540000000*(1.579646^(MIN($E3162,123)-117)))*1,0))</f>
        <v>14665133</v>
      </c>
      <c r="Y3162" s="11">
        <f>$E3162+17</f>
        <v>122</v>
      </c>
      <c r="Z3162" s="12">
        <f>IF($J3162=0,0,ROUND(MAX($J3162*1.4*1.5*1.6*1.6*2.2*2.715*2.6*1.4,6020000000*(1.651178^(MIN($E3162,123)-117)))*1,0))</f>
        <v>14657833</v>
      </c>
      <c r="AA3162" s="13">
        <f>$E3162+19</f>
        <v>124</v>
      </c>
      <c r="AB3162" s="14">
        <f>IF($J3162=0,0,ROUND(MAX($J3162*1.4*1.5*1.6*1.6*2.2*2.715*2.6*1.4*1.4,8430000000*(1.651435^(MIN($E3162,123)-117)))*1,0))</f>
        <v>20487537</v>
      </c>
      <c r="AC3162" s="11">
        <f>$E3162+21</f>
        <v>126</v>
      </c>
      <c r="AD3162" s="12">
        <f>IF($J3162=0,0,ROUND(MAX($J3162*1.4*1.5*1.6*1.6*2.2*2.715*2.6*1.4*1.4*1.5,12600000000*(1.652953^(MIN($E3162,123)-117)))*1,0))</f>
        <v>30286179</v>
      </c>
      <c r="AE3162" s="13">
        <f>$E3162+24</f>
        <v>129</v>
      </c>
      <c r="AF3162" s="14">
        <f>IF($J3162=0,0,ROUND(MAX($J3162*1.4*1.5*1.6*1.6*2.2*2.715*2.6*1.4*1.4*1.5*1.5,18900000000*(1.65331^(MIN($E3162,123)-117)))*1,0))</f>
        <v>45311693</v>
      </c>
      <c r="AG3162" s="11">
        <f>$E3162+27</f>
        <v>132</v>
      </c>
      <c r="AH3162" s="12">
        <f>IF($J3162=0,0,ROUND(MAX($J3162*1.4*1.5*1.6*1.6*2.2*2.715*2.6*1.4*1.4*1.5*1.5*3.2,60500000000*(1.654288^(MIN($E3162,123)-117)))*1,0))</f>
        <v>144019713</v>
      </c>
    </row>
    <row r="3163" ht="28" customHeight="1" spans="1:34" x14ac:dyDescent="0.25">
      <c r="A3163">
        <v>3173</v>
      </c>
      <c r="B3163" t="s">
        <v>269</v>
      </c>
      <c r="C3163" s="10" t="s">
        <v>1709</v>
      </c>
      <c r="D3163" t="s">
        <v>64</v>
      </c>
      <c r="E3163">
        <v>105</v>
      </c>
      <c r="F3163" t="s">
        <v>26</v>
      </c>
      <c r="G3163" t="s">
        <v>270</v>
      </c>
      <c r="H3163">
        <v>24</v>
      </c>
      <c r="I3163" s="11">
        <f>$E3163+0</f>
        <v>105</v>
      </c>
      <c r="J3163" s="12">
        <v>39800</v>
      </c>
      <c r="K3163" s="13">
        <f>$E3163+1</f>
        <v>106</v>
      </c>
      <c r="L3163" s="14">
        <f>IF($J3163=0,0,ROUND(MAX($J3163*1.4,1620000*(1.497923^(MIN($E3163,123)-117)))*1,0))</f>
        <v>55720</v>
      </c>
      <c r="M3163" s="11">
        <f>$E3163+2</f>
        <v>107</v>
      </c>
      <c r="N3163" s="12">
        <f>IF($J3163=0,0,ROUND(MAX($J3163*1.4*1.5,2190000*(1.580994^(MIN($E3163,123)-117)))*1,0))</f>
        <v>83580</v>
      </c>
      <c r="O3163" s="13">
        <f>$E3163+4</f>
        <v>109</v>
      </c>
      <c r="P3163" s="14">
        <f>IF($J3163=0,0,ROUND(MAX($J3163*1.4*1.5*1.6,3500000*(1.57975^(MIN($E3163,123)-117)))*1,0))</f>
        <v>133728</v>
      </c>
      <c r="Q3163" s="11">
        <f>$E3163+6</f>
        <v>111</v>
      </c>
      <c r="R3163" s="12">
        <f>IF($J3163=0,0,ROUND(MAX($J3163*1.4*1.5*1.6*1.6,13100000*(1.429962^(MIN($E3163,123)-117)))*1,0))</f>
        <v>213965</v>
      </c>
      <c r="S3163" s="13">
        <f>$E3163+8</f>
        <v>113</v>
      </c>
      <c r="T3163" s="14">
        <f>IF($J3163=0,0,ROUND(MAX($J3163*1.4*1.5*1.6*1.6*2.2,42600000*(1.576904^(MIN($E3163,123)-117)))*1,0))</f>
        <v>470723</v>
      </c>
      <c r="U3163" s="11">
        <f>$E3163+11</f>
        <v>116</v>
      </c>
      <c r="V3163" s="12">
        <f>IF($J3163=0,0,ROUND(MAX($J3163*1.4*1.5*1.6*1.6*2.2*2.715,354000000*(1.642074^(MIN($E3163,123)-117)))*1,0))</f>
        <v>1278012</v>
      </c>
      <c r="W3163" s="13">
        <f>$E3163+15</f>
        <v>120</v>
      </c>
      <c r="X3163" s="14">
        <f>IF($J3163=0,0,ROUND(MAX($J3163*1.4*1.5*1.6*1.6*2.2*2.715*2.6,3540000000*(1.579646^(MIN($E3163,123)-117)))*1,0))</f>
        <v>14665133</v>
      </c>
      <c r="Y3163" s="11">
        <f>$E3163+17</f>
        <v>122</v>
      </c>
      <c r="Z3163" s="12">
        <f>IF($J3163=0,0,ROUND(MAX($J3163*1.4*1.5*1.6*1.6*2.2*2.715*2.6*1.4,6020000000*(1.651178^(MIN($E3163,123)-117)))*1,0))</f>
        <v>14657833</v>
      </c>
      <c r="AA3163" s="13">
        <f>$E3163+19</f>
        <v>124</v>
      </c>
      <c r="AB3163" s="14">
        <f>IF($J3163=0,0,ROUND(MAX($J3163*1.4*1.5*1.6*1.6*2.2*2.715*2.6*1.4*1.4,8430000000*(1.651435^(MIN($E3163,123)-117)))*1,0))</f>
        <v>20487537</v>
      </c>
      <c r="AC3163" s="11">
        <f>$E3163+21</f>
        <v>126</v>
      </c>
      <c r="AD3163" s="12">
        <f>IF($J3163=0,0,ROUND(MAX($J3163*1.4*1.5*1.6*1.6*2.2*2.715*2.6*1.4*1.4*1.5,12600000000*(1.652953^(MIN($E3163,123)-117)))*1,0))</f>
        <v>30286179</v>
      </c>
      <c r="AE3163" s="13">
        <f>$E3163+24</f>
        <v>129</v>
      </c>
      <c r="AF3163" s="14">
        <f>IF($J3163=0,0,ROUND(MAX($J3163*1.4*1.5*1.6*1.6*2.2*2.715*2.6*1.4*1.4*1.5*1.5,18900000000*(1.65331^(MIN($E3163,123)-117)))*1,0))</f>
        <v>45311693</v>
      </c>
      <c r="AG3163" s="11">
        <f>$E3163+27</f>
        <v>132</v>
      </c>
      <c r="AH3163" s="12">
        <f>IF($J3163=0,0,ROUND(MAX($J3163*1.4*1.5*1.6*1.6*2.2*2.715*2.6*1.4*1.4*1.5*1.5*3.2,60500000000*(1.654288^(MIN($E3163,123)-117)))*1,0))</f>
        <v>144019713</v>
      </c>
    </row>
    <row r="3164" ht="28" customHeight="1" spans="1:34" x14ac:dyDescent="0.25">
      <c r="A3164">
        <v>3174</v>
      </c>
      <c r="B3164" t="s">
        <v>110</v>
      </c>
      <c r="C3164" s="10" t="s">
        <v>1709</v>
      </c>
      <c r="D3164" t="s">
        <v>64</v>
      </c>
      <c r="E3164">
        <v>105</v>
      </c>
      <c r="F3164" t="s">
        <v>59</v>
      </c>
      <c r="G3164" t="s">
        <v>562</v>
      </c>
      <c r="H3164">
        <v>24</v>
      </c>
      <c r="I3164" s="11">
        <f>$E3164+0</f>
        <v>105</v>
      </c>
      <c r="J3164" s="12">
        <v>16500</v>
      </c>
      <c r="K3164" s="13">
        <f>$E3164+1</f>
        <v>106</v>
      </c>
      <c r="L3164" s="14">
        <f>IF($J3164=0,0,ROUND(MAX($J3164*1.4,1620000*(1.497923^(MIN($E3164,123)-117)))*1,0))</f>
        <v>23100</v>
      </c>
      <c r="M3164" s="11">
        <f>$E3164+2</f>
        <v>107</v>
      </c>
      <c r="N3164" s="12">
        <f>IF($J3164=0,0,ROUND(MAX($J3164*1.4*1.5,2190000*(1.580994^(MIN($E3164,123)-117)))*1,0))</f>
        <v>34650</v>
      </c>
      <c r="O3164" s="13">
        <f>$E3164+4</f>
        <v>109</v>
      </c>
      <c r="P3164" s="14">
        <f>IF($J3164=0,0,ROUND(MAX($J3164*1.4*1.5*1.6,3500000*(1.57975^(MIN($E3164,123)-117)))*1,0))</f>
        <v>55440</v>
      </c>
      <c r="Q3164" s="11">
        <f>$E3164+6</f>
        <v>111</v>
      </c>
      <c r="R3164" s="12">
        <f>IF($J3164=0,0,ROUND(MAX($J3164*1.4*1.5*1.6*1.6,13100000*(1.429962^(MIN($E3164,123)-117)))*1,0))</f>
        <v>179216</v>
      </c>
      <c r="S3164" s="13">
        <f>$E3164+8</f>
        <v>113</v>
      </c>
      <c r="T3164" s="14">
        <f>IF($J3164=0,0,ROUND(MAX($J3164*1.4*1.5*1.6*1.6*2.2,42600000*(1.576904^(MIN($E3164,123)-117)))*1,0))</f>
        <v>195149</v>
      </c>
      <c r="U3164" s="11">
        <f>$E3164+11</f>
        <v>116</v>
      </c>
      <c r="V3164" s="12">
        <f>IF($J3164=0,0,ROUND(MAX($J3164*1.4*1.5*1.6*1.6*2.2*2.715,354000000*(1.642074^(MIN($E3164,123)-117)))*1,0))</f>
        <v>921066</v>
      </c>
      <c r="W3164" s="13">
        <f>$E3164+15</f>
        <v>120</v>
      </c>
      <c r="X3164" s="14">
        <f>IF($J3164=0,0,ROUND(MAX($J3164*1.4*1.5*1.6*1.6*2.2*2.715*2.6,3540000000*(1.579646^(MIN($E3164,123)-117)))*1,0))</f>
        <v>14665133</v>
      </c>
      <c r="Y3164" s="11">
        <f>$E3164+17</f>
        <v>122</v>
      </c>
      <c r="Z3164" s="12">
        <f>IF($J3164=0,0,ROUND(MAX($J3164*1.4*1.5*1.6*1.6*2.2*2.715*2.6*1.4,6020000000*(1.651178^(MIN($E3164,123)-117)))*1,0))</f>
        <v>14657833</v>
      </c>
      <c r="AA3164" s="13">
        <f>$E3164+19</f>
        <v>124</v>
      </c>
      <c r="AB3164" s="14">
        <f>IF($J3164=0,0,ROUND(MAX($J3164*1.4*1.5*1.6*1.6*2.2*2.715*2.6*1.4*1.4,8430000000*(1.651435^(MIN($E3164,123)-117)))*1,0))</f>
        <v>20487537</v>
      </c>
      <c r="AC3164" s="11">
        <f>$E3164+21</f>
        <v>126</v>
      </c>
      <c r="AD3164" s="12">
        <f>IF($J3164=0,0,ROUND(MAX($J3164*1.4*1.5*1.6*1.6*2.2*2.715*2.6*1.4*1.4*1.5,12600000000*(1.652953^(MIN($E3164,123)-117)))*1,0))</f>
        <v>30286179</v>
      </c>
      <c r="AE3164" s="13">
        <f>$E3164+24</f>
        <v>129</v>
      </c>
      <c r="AF3164" s="14">
        <f>IF($J3164=0,0,ROUND(MAX($J3164*1.4*1.5*1.6*1.6*2.2*2.715*2.6*1.4*1.4*1.5*1.5,18900000000*(1.65331^(MIN($E3164,123)-117)))*1,0))</f>
        <v>45311693</v>
      </c>
      <c r="AG3164" s="11">
        <f>$E3164+27</f>
        <v>132</v>
      </c>
      <c r="AH3164" s="12">
        <f>IF($J3164=0,0,ROUND(MAX($J3164*1.4*1.5*1.6*1.6*2.2*2.715*2.6*1.4*1.4*1.5*1.5*3.2,60500000000*(1.654288^(MIN($E3164,123)-117)))*1,0))</f>
        <v>144019713</v>
      </c>
    </row>
    <row r="3165" ht="28" customHeight="1" spans="1:34" x14ac:dyDescent="0.25">
      <c r="A3165">
        <v>3175</v>
      </c>
      <c r="B3165" t="s">
        <v>138</v>
      </c>
      <c r="C3165" s="10" t="s">
        <v>1709</v>
      </c>
      <c r="D3165" t="s">
        <v>45</v>
      </c>
      <c r="E3165">
        <v>105</v>
      </c>
      <c r="F3165" t="s">
        <v>34</v>
      </c>
      <c r="G3165" t="s">
        <v>562</v>
      </c>
      <c r="H3165">
        <v>24</v>
      </c>
      <c r="I3165" s="11">
        <f>$E3165+0</f>
        <v>105</v>
      </c>
      <c r="J3165" s="12">
        <v>12100</v>
      </c>
      <c r="K3165" s="13">
        <f>$E3165+1</f>
        <v>106</v>
      </c>
      <c r="L3165" s="14">
        <f>IF($J3165=0,0,ROUND(MAX($J3165*1.4,1620000*(1.497923^(MIN($E3165,123)-117)))*1,0))</f>
        <v>16940</v>
      </c>
      <c r="M3165" s="11">
        <f>$E3165+2</f>
        <v>107</v>
      </c>
      <c r="N3165" s="12">
        <f>IF($J3165=0,0,ROUND(MAX($J3165*1.4*1.5,2190000*(1.580994^(MIN($E3165,123)-117)))*1,0))</f>
        <v>25410</v>
      </c>
      <c r="O3165" s="13">
        <f>$E3165+4</f>
        <v>109</v>
      </c>
      <c r="P3165" s="14">
        <f>IF($J3165=0,0,ROUND(MAX($J3165*1.4*1.5*1.6,3500000*(1.57975^(MIN($E3165,123)-117)))*1,0))</f>
        <v>40656</v>
      </c>
      <c r="Q3165" s="11">
        <f>$E3165+6</f>
        <v>111</v>
      </c>
      <c r="R3165" s="12">
        <f>IF($J3165=0,0,ROUND(MAX($J3165*1.4*1.5*1.6*1.6,13100000*(1.429962^(MIN($E3165,123)-117)))*1,0))</f>
        <v>179216</v>
      </c>
      <c r="S3165" s="13">
        <f>$E3165+8</f>
        <v>113</v>
      </c>
      <c r="T3165" s="14">
        <f>IF($J3165=0,0,ROUND(MAX($J3165*1.4*1.5*1.6*1.6*2.2,42600000*(1.576904^(MIN($E3165,123)-117)))*1,0))</f>
        <v>180197</v>
      </c>
      <c r="U3165" s="11">
        <f>$E3165+11</f>
        <v>116</v>
      </c>
      <c r="V3165" s="12">
        <f>IF($J3165=0,0,ROUND(MAX($J3165*1.4*1.5*1.6*1.6*2.2*2.715,354000000*(1.642074^(MIN($E3165,123)-117)))*1,0))</f>
        <v>921066</v>
      </c>
      <c r="W3165" s="13">
        <f>$E3165+15</f>
        <v>120</v>
      </c>
      <c r="X3165" s="14">
        <f>IF($J3165=0,0,ROUND(MAX($J3165*1.4*1.5*1.6*1.6*2.2*2.715*2.6,3540000000*(1.579646^(MIN($E3165,123)-117)))*1,0))</f>
        <v>14665133</v>
      </c>
      <c r="Y3165" s="11">
        <f>$E3165+17</f>
        <v>122</v>
      </c>
      <c r="Z3165" s="12">
        <f>IF($J3165=0,0,ROUND(MAX($J3165*1.4*1.5*1.6*1.6*2.2*2.715*2.6*1.4,6020000000*(1.651178^(MIN($E3165,123)-117)))*1,0))</f>
        <v>14657833</v>
      </c>
      <c r="AA3165" s="13">
        <f>$E3165+19</f>
        <v>124</v>
      </c>
      <c r="AB3165" s="14">
        <f>IF($J3165=0,0,ROUND(MAX($J3165*1.4*1.5*1.6*1.6*2.2*2.715*2.6*1.4*1.4,8430000000*(1.651435^(MIN($E3165,123)-117)))*1,0))</f>
        <v>20487537</v>
      </c>
      <c r="AC3165" s="11">
        <f>$E3165+21</f>
        <v>126</v>
      </c>
      <c r="AD3165" s="12">
        <f>IF($J3165=0,0,ROUND(MAX($J3165*1.4*1.5*1.6*1.6*2.2*2.715*2.6*1.4*1.4*1.5,12600000000*(1.652953^(MIN($E3165,123)-117)))*1,0))</f>
        <v>30286179</v>
      </c>
      <c r="AE3165" s="13">
        <f>$E3165+24</f>
        <v>129</v>
      </c>
      <c r="AF3165" s="14">
        <f>IF($J3165=0,0,ROUND(MAX($J3165*1.4*1.5*1.6*1.6*2.2*2.715*2.6*1.4*1.4*1.5*1.5,18900000000*(1.65331^(MIN($E3165,123)-117)))*1,0))</f>
        <v>45311693</v>
      </c>
      <c r="AG3165" s="11">
        <f>$E3165+27</f>
        <v>132</v>
      </c>
      <c r="AH3165" s="12">
        <f>IF($J3165=0,0,ROUND(MAX($J3165*1.4*1.5*1.6*1.6*2.2*2.715*2.6*1.4*1.4*1.5*1.5*3.2,60500000000*(1.654288^(MIN($E3165,123)-117)))*1,0))</f>
        <v>144019713</v>
      </c>
    </row>
    <row r="3166" ht="28" customHeight="1" spans="1:34" x14ac:dyDescent="0.25">
      <c r="A3166">
        <v>3176</v>
      </c>
      <c r="B3166" t="s">
        <v>1713</v>
      </c>
      <c r="C3166" s="10" t="s">
        <v>1709</v>
      </c>
      <c r="D3166" t="s">
        <v>165</v>
      </c>
      <c r="E3166">
        <v>105</v>
      </c>
      <c r="F3166" t="s">
        <v>54</v>
      </c>
      <c r="G3166" t="s">
        <v>640</v>
      </c>
      <c r="H3166">
        <v>23</v>
      </c>
      <c r="I3166" s="11">
        <f>$E3166+0</f>
        <v>105</v>
      </c>
      <c r="J3166" s="12">
        <v>18300</v>
      </c>
      <c r="K3166" s="13">
        <f>$E3166+1</f>
        <v>106</v>
      </c>
      <c r="L3166" s="14">
        <f>IF($J3166=0,0,ROUND(MAX($J3166*1.4,1620000*(1.497923^(MIN($E3166,123)-117)))*1,0))</f>
        <v>25620</v>
      </c>
      <c r="M3166" s="11">
        <f>$E3166+2</f>
        <v>107</v>
      </c>
      <c r="N3166" s="12">
        <f>IF($J3166=0,0,ROUND(MAX($J3166*1.4*1.5,2190000*(1.580994^(MIN($E3166,123)-117)))*1,0))</f>
        <v>38430</v>
      </c>
      <c r="O3166" s="13">
        <f>$E3166+4</f>
        <v>109</v>
      </c>
      <c r="P3166" s="14">
        <f>IF($J3166=0,0,ROUND(MAX($J3166*1.4*1.5*1.6,3500000*(1.57975^(MIN($E3166,123)-117)))*1,0))</f>
        <v>61488</v>
      </c>
      <c r="Q3166" s="11">
        <f>$E3166+6</f>
        <v>111</v>
      </c>
      <c r="R3166" s="12">
        <f>IF($J3166=0,0,ROUND(MAX($J3166*1.4*1.5*1.6*1.6,13100000*(1.429962^(MIN($E3166,123)-117)))*1,0))</f>
        <v>179216</v>
      </c>
      <c r="S3166" s="13">
        <f>$E3166+8</f>
        <v>113</v>
      </c>
      <c r="T3166" s="14">
        <f>IF($J3166=0,0,ROUND(MAX($J3166*1.4*1.5*1.6*1.6*2.2,42600000*(1.576904^(MIN($E3166,123)-117)))*1,0))</f>
        <v>216438</v>
      </c>
      <c r="U3166" s="11">
        <f>$E3166+11</f>
        <v>116</v>
      </c>
      <c r="V3166" s="12">
        <f>IF($J3166=0,0,ROUND(MAX($J3166*1.4*1.5*1.6*1.6*2.2*2.715,354000000*(1.642074^(MIN($E3166,123)-117)))*1,0))</f>
        <v>921066</v>
      </c>
      <c r="W3166" s="13">
        <f>$E3166+15</f>
        <v>120</v>
      </c>
      <c r="X3166" s="14">
        <f>IF($J3166=0,0,ROUND(MAX($J3166*1.4*1.5*1.6*1.6*2.2*2.715*2.6,3540000000*(1.579646^(MIN($E3166,123)-117)))*1,0))</f>
        <v>14665133</v>
      </c>
      <c r="Y3166" s="11">
        <f>$E3166+17</f>
        <v>122</v>
      </c>
      <c r="Z3166" s="12">
        <f>IF($J3166=0,0,ROUND(MAX($J3166*1.4*1.5*1.6*1.6*2.2*2.715*2.6*1.4,6020000000*(1.651178^(MIN($E3166,123)-117)))*1,0))</f>
        <v>14657833</v>
      </c>
      <c r="AA3166" s="13">
        <f>$E3166+19</f>
        <v>124</v>
      </c>
      <c r="AB3166" s="14">
        <f>IF($J3166=0,0,ROUND(MAX($J3166*1.4*1.5*1.6*1.6*2.2*2.715*2.6*1.4*1.4,8430000000*(1.651435^(MIN($E3166,123)-117)))*1,0))</f>
        <v>20487537</v>
      </c>
      <c r="AC3166" s="11">
        <f>$E3166+21</f>
        <v>126</v>
      </c>
      <c r="AD3166" s="12">
        <f>IF($J3166=0,0,ROUND(MAX($J3166*1.4*1.5*1.6*1.6*2.2*2.715*2.6*1.4*1.4*1.5,12600000000*(1.652953^(MIN($E3166,123)-117)))*1,0))</f>
        <v>30286179</v>
      </c>
      <c r="AE3166" s="13">
        <f>$E3166+24</f>
        <v>129</v>
      </c>
      <c r="AF3166" s="14">
        <f>IF($J3166=0,0,ROUND(MAX($J3166*1.4*1.5*1.6*1.6*2.2*2.715*2.6*1.4*1.4*1.5*1.5,18900000000*(1.65331^(MIN($E3166,123)-117)))*1,0))</f>
        <v>45311693</v>
      </c>
      <c r="AG3166" s="11">
        <f>$E3166+27</f>
        <v>132</v>
      </c>
      <c r="AH3166" s="12">
        <f>IF($J3166=0,0,ROUND(MAX($J3166*1.4*1.5*1.6*1.6*2.2*2.715*2.6*1.4*1.4*1.5*1.5*3.2,60500000000*(1.654288^(MIN($E3166,123)-117)))*1,0))</f>
        <v>144019713</v>
      </c>
    </row>
    <row r="3167" ht="28" customHeight="1" spans="1:34" x14ac:dyDescent="0.25">
      <c r="A3167">
        <v>3177</v>
      </c>
      <c r="B3167" t="s">
        <v>633</v>
      </c>
      <c r="C3167" s="10" t="s">
        <v>1709</v>
      </c>
      <c r="D3167" t="s">
        <v>45</v>
      </c>
      <c r="E3167">
        <v>105</v>
      </c>
      <c r="F3167" t="s">
        <v>267</v>
      </c>
      <c r="G3167" t="s">
        <v>242</v>
      </c>
      <c r="H3167">
        <v>23</v>
      </c>
      <c r="I3167" s="11">
        <f>$E3167+0</f>
        <v>105</v>
      </c>
      <c r="J3167" s="12">
        <v>22000</v>
      </c>
      <c r="K3167" s="13">
        <f>$E3167+1</f>
        <v>106</v>
      </c>
      <c r="L3167" s="14">
        <f>IF($J3167=0,0,ROUND(MAX($J3167*1.4,1620000*(1.497923^(MIN($E3167,123)-117)))*1,0))</f>
        <v>30800</v>
      </c>
      <c r="M3167" s="11">
        <f>$E3167+2</f>
        <v>107</v>
      </c>
      <c r="N3167" s="12">
        <f>IF($J3167=0,0,ROUND(MAX($J3167*1.4*1.5,2190000*(1.580994^(MIN($E3167,123)-117)))*1,0))</f>
        <v>46200</v>
      </c>
      <c r="O3167" s="13">
        <f>$E3167+4</f>
        <v>109</v>
      </c>
      <c r="P3167" s="14">
        <f>IF($J3167=0,0,ROUND(MAX($J3167*1.4*1.5*1.6,3500000*(1.57975^(MIN($E3167,123)-117)))*1,0))</f>
        <v>73920</v>
      </c>
      <c r="Q3167" s="11">
        <f>$E3167+6</f>
        <v>111</v>
      </c>
      <c r="R3167" s="12">
        <f>IF($J3167=0,0,ROUND(MAX($J3167*1.4*1.5*1.6*1.6,13100000*(1.429962^(MIN($E3167,123)-117)))*1,0))</f>
        <v>179216</v>
      </c>
      <c r="S3167" s="13">
        <f>$E3167+8</f>
        <v>113</v>
      </c>
      <c r="T3167" s="14">
        <f>IF($J3167=0,0,ROUND(MAX($J3167*1.4*1.5*1.6*1.6*2.2,42600000*(1.576904^(MIN($E3167,123)-117)))*1,0))</f>
        <v>260198</v>
      </c>
      <c r="U3167" s="11">
        <f>$E3167+11</f>
        <v>116</v>
      </c>
      <c r="V3167" s="12">
        <f>IF($J3167=0,0,ROUND(MAX($J3167*1.4*1.5*1.6*1.6*2.2*2.715,354000000*(1.642074^(MIN($E3167,123)-117)))*1,0))</f>
        <v>921066</v>
      </c>
      <c r="W3167" s="13">
        <f>$E3167+15</f>
        <v>120</v>
      </c>
      <c r="X3167" s="14">
        <f>IF($J3167=0,0,ROUND(MAX($J3167*1.4*1.5*1.6*1.6*2.2*2.715*2.6,3540000000*(1.579646^(MIN($E3167,123)-117)))*1,0))</f>
        <v>14665133</v>
      </c>
      <c r="Y3167" s="11">
        <f>$E3167+17</f>
        <v>122</v>
      </c>
      <c r="Z3167" s="12">
        <f>IF($J3167=0,0,ROUND(MAX($J3167*1.4*1.5*1.6*1.6*2.2*2.715*2.6*1.4,6020000000*(1.651178^(MIN($E3167,123)-117)))*1,0))</f>
        <v>14657833</v>
      </c>
      <c r="AA3167" s="13">
        <f>$E3167+19</f>
        <v>124</v>
      </c>
      <c r="AB3167" s="14">
        <f>IF($J3167=0,0,ROUND(MAX($J3167*1.4*1.5*1.6*1.6*2.2*2.715*2.6*1.4*1.4,8430000000*(1.651435^(MIN($E3167,123)-117)))*1,0))</f>
        <v>20487537</v>
      </c>
      <c r="AC3167" s="11">
        <f>$E3167+21</f>
        <v>126</v>
      </c>
      <c r="AD3167" s="12">
        <f>IF($J3167=0,0,ROUND(MAX($J3167*1.4*1.5*1.6*1.6*2.2*2.715*2.6*1.4*1.4*1.5,12600000000*(1.652953^(MIN($E3167,123)-117)))*1,0))</f>
        <v>30286179</v>
      </c>
      <c r="AE3167" s="13">
        <f>$E3167+24</f>
        <v>129</v>
      </c>
      <c r="AF3167" s="14">
        <f>IF($J3167=0,0,ROUND(MAX($J3167*1.4*1.5*1.6*1.6*2.2*2.715*2.6*1.4*1.4*1.5*1.5,18900000000*(1.65331^(MIN($E3167,123)-117)))*1,0))</f>
        <v>45311693</v>
      </c>
      <c r="AG3167" s="11">
        <f>$E3167+27</f>
        <v>132</v>
      </c>
      <c r="AH3167" s="12">
        <f>IF($J3167=0,0,ROUND(MAX($J3167*1.4*1.5*1.6*1.6*2.2*2.715*2.6*1.4*1.4*1.5*1.5*3.2,60500000000*(1.654288^(MIN($E3167,123)-117)))*1,0))</f>
        <v>144019713</v>
      </c>
    </row>
    <row r="3168" ht="28" customHeight="1" spans="1:34" x14ac:dyDescent="0.25">
      <c r="A3168">
        <v>3178</v>
      </c>
      <c r="B3168" t="s">
        <v>1537</v>
      </c>
      <c r="C3168" s="10" t="s">
        <v>1709</v>
      </c>
      <c r="D3168" t="s">
        <v>29</v>
      </c>
      <c r="E3168">
        <v>105</v>
      </c>
      <c r="F3168" t="s">
        <v>42</v>
      </c>
      <c r="G3168" t="s">
        <v>198</v>
      </c>
      <c r="H3168">
        <v>23</v>
      </c>
      <c r="I3168" s="11">
        <f>$E3168+0</f>
        <v>105</v>
      </c>
      <c r="J3168" s="12">
        <v>24600</v>
      </c>
      <c r="K3168" s="13">
        <f>$E3168+1</f>
        <v>106</v>
      </c>
      <c r="L3168" s="14">
        <f>IF($J3168=0,0,ROUND(MAX($J3168*1.4,1620000*(1.497923^(MIN($E3168,123)-117)))*1,0))</f>
        <v>34440</v>
      </c>
      <c r="M3168" s="11">
        <f>$E3168+2</f>
        <v>107</v>
      </c>
      <c r="N3168" s="12">
        <f>IF($J3168=0,0,ROUND(MAX($J3168*1.4*1.5,2190000*(1.580994^(MIN($E3168,123)-117)))*1,0))</f>
        <v>51660</v>
      </c>
      <c r="O3168" s="13">
        <f>$E3168+4</f>
        <v>109</v>
      </c>
      <c r="P3168" s="14">
        <f>IF($J3168=0,0,ROUND(MAX($J3168*1.4*1.5*1.6,3500000*(1.57975^(MIN($E3168,123)-117)))*1,0))</f>
        <v>82656</v>
      </c>
      <c r="Q3168" s="11">
        <f>$E3168+6</f>
        <v>111</v>
      </c>
      <c r="R3168" s="12">
        <f>IF($J3168=0,0,ROUND(MAX($J3168*1.4*1.5*1.6*1.6,13100000*(1.429962^(MIN($E3168,123)-117)))*1,0))</f>
        <v>179216</v>
      </c>
      <c r="S3168" s="13">
        <f>$E3168+8</f>
        <v>113</v>
      </c>
      <c r="T3168" s="14">
        <f>IF($J3168=0,0,ROUND(MAX($J3168*1.4*1.5*1.6*1.6*2.2,42600000*(1.576904^(MIN($E3168,123)-117)))*1,0))</f>
        <v>290949</v>
      </c>
      <c r="U3168" s="11">
        <f>$E3168+11</f>
        <v>116</v>
      </c>
      <c r="V3168" s="12">
        <f>IF($J3168=0,0,ROUND(MAX($J3168*1.4*1.5*1.6*1.6*2.2*2.715,354000000*(1.642074^(MIN($E3168,123)-117)))*1,0))</f>
        <v>921066</v>
      </c>
      <c r="W3168" s="13">
        <f>$E3168+15</f>
        <v>120</v>
      </c>
      <c r="X3168" s="14">
        <f>IF($J3168=0,0,ROUND(MAX($J3168*1.4*1.5*1.6*1.6*2.2*2.715*2.6,3540000000*(1.579646^(MIN($E3168,123)-117)))*1,0))</f>
        <v>14665133</v>
      </c>
      <c r="Y3168" s="11">
        <f>$E3168+17</f>
        <v>122</v>
      </c>
      <c r="Z3168" s="12">
        <f>IF($J3168=0,0,ROUND(MAX($J3168*1.4*1.5*1.6*1.6*2.2*2.715*2.6*1.4,6020000000*(1.651178^(MIN($E3168,123)-117)))*1,0))</f>
        <v>14657833</v>
      </c>
      <c r="AA3168" s="13">
        <f>$E3168+19</f>
        <v>124</v>
      </c>
      <c r="AB3168" s="14">
        <f>IF($J3168=0,0,ROUND(MAX($J3168*1.4*1.5*1.6*1.6*2.2*2.715*2.6*1.4*1.4,8430000000*(1.651435^(MIN($E3168,123)-117)))*1,0))</f>
        <v>20487537</v>
      </c>
      <c r="AC3168" s="11">
        <f>$E3168+21</f>
        <v>126</v>
      </c>
      <c r="AD3168" s="12">
        <f>IF($J3168=0,0,ROUND(MAX($J3168*1.4*1.5*1.6*1.6*2.2*2.715*2.6*1.4*1.4*1.5,12600000000*(1.652953^(MIN($E3168,123)-117)))*1,0))</f>
        <v>30286179</v>
      </c>
      <c r="AE3168" s="13">
        <f>$E3168+24</f>
        <v>129</v>
      </c>
      <c r="AF3168" s="14">
        <f>IF($J3168=0,0,ROUND(MAX($J3168*1.4*1.5*1.6*1.6*2.2*2.715*2.6*1.4*1.4*1.5*1.5,18900000000*(1.65331^(MIN($E3168,123)-117)))*1,0))</f>
        <v>45311693</v>
      </c>
      <c r="AG3168" s="11">
        <f>$E3168+27</f>
        <v>132</v>
      </c>
      <c r="AH3168" s="12">
        <f>IF($J3168=0,0,ROUND(MAX($J3168*1.4*1.5*1.6*1.6*2.2*2.715*2.6*1.4*1.4*1.5*1.5*3.2,60500000000*(1.654288^(MIN($E3168,123)-117)))*1,0))</f>
        <v>144019713</v>
      </c>
    </row>
    <row r="3169" ht="28" customHeight="1" spans="1:34" x14ac:dyDescent="0.25">
      <c r="A3169">
        <v>3179</v>
      </c>
      <c r="B3169" t="s">
        <v>964</v>
      </c>
      <c r="C3169" s="10" t="s">
        <v>1709</v>
      </c>
      <c r="D3169" t="s">
        <v>45</v>
      </c>
      <c r="E3169">
        <v>105</v>
      </c>
      <c r="F3169" t="s">
        <v>26</v>
      </c>
      <c r="G3169" t="s">
        <v>1595</v>
      </c>
      <c r="H3169">
        <v>23</v>
      </c>
      <c r="I3169" s="11">
        <f>$E3169+0</f>
        <v>105</v>
      </c>
      <c r="J3169" s="12">
        <v>7010</v>
      </c>
      <c r="K3169" s="13">
        <f>$E3169+1</f>
        <v>106</v>
      </c>
      <c r="L3169" s="14">
        <f>IF($J3169=0,0,ROUND(MAX($J3169*1.4,1620000*(1.497923^(MIN($E3169,123)-117)))*1,0))</f>
        <v>12695</v>
      </c>
      <c r="M3169" s="11">
        <f>$E3169+2</f>
        <v>107</v>
      </c>
      <c r="N3169" s="12">
        <f>IF($J3169=0,0,ROUND(MAX($J3169*1.4*1.5,2190000*(1.580994^(MIN($E3169,123)-117)))*1,0))</f>
        <v>14721</v>
      </c>
      <c r="O3169" s="13">
        <f>$E3169+4</f>
        <v>109</v>
      </c>
      <c r="P3169" s="14">
        <f>IF($J3169=0,0,ROUND(MAX($J3169*1.4*1.5*1.6,3500000*(1.57975^(MIN($E3169,123)-117)))*1,0))</f>
        <v>23554</v>
      </c>
      <c r="Q3169" s="11">
        <f>$E3169+6</f>
        <v>111</v>
      </c>
      <c r="R3169" s="12">
        <f>IF($J3169=0,0,ROUND(MAX($J3169*1.4*1.5*1.6*1.6,13100000*(1.429962^(MIN($E3169,123)-117)))*1,0))</f>
        <v>179216</v>
      </c>
      <c r="S3169" s="13">
        <f>$E3169+8</f>
        <v>113</v>
      </c>
      <c r="T3169" s="14">
        <f>IF($J3169=0,0,ROUND(MAX($J3169*1.4*1.5*1.6*1.6*2.2,42600000*(1.576904^(MIN($E3169,123)-117)))*1,0))</f>
        <v>180197</v>
      </c>
      <c r="U3169" s="11">
        <f>$E3169+11</f>
        <v>116</v>
      </c>
      <c r="V3169" s="12">
        <f>IF($J3169=0,0,ROUND(MAX($J3169*1.4*1.5*1.6*1.6*2.2*2.715,354000000*(1.642074^(MIN($E3169,123)-117)))*1,0))</f>
        <v>921066</v>
      </c>
      <c r="W3169" s="13">
        <f>$E3169+15</f>
        <v>120</v>
      </c>
      <c r="X3169" s="14">
        <f>IF($J3169=0,0,ROUND(MAX($J3169*1.4*1.5*1.6*1.6*2.2*2.715*2.6,3540000000*(1.579646^(MIN($E3169,123)-117)))*1,0))</f>
        <v>14665133</v>
      </c>
      <c r="Y3169" s="11">
        <f>$E3169+17</f>
        <v>122</v>
      </c>
      <c r="Z3169" s="12">
        <f>IF($J3169=0,0,ROUND(MAX($J3169*1.4*1.5*1.6*1.6*2.2*2.715*2.6*1.4,6020000000*(1.651178^(MIN($E3169,123)-117)))*1,0))</f>
        <v>14657833</v>
      </c>
      <c r="AA3169" s="13">
        <f>$E3169+19</f>
        <v>124</v>
      </c>
      <c r="AB3169" s="14">
        <f>IF($J3169=0,0,ROUND(MAX($J3169*1.4*1.5*1.6*1.6*2.2*2.715*2.6*1.4*1.4,8430000000*(1.651435^(MIN($E3169,123)-117)))*1,0))</f>
        <v>20487537</v>
      </c>
      <c r="AC3169" s="11">
        <f>$E3169+21</f>
        <v>126</v>
      </c>
      <c r="AD3169" s="12">
        <f>IF($J3169=0,0,ROUND(MAX($J3169*1.4*1.5*1.6*1.6*2.2*2.715*2.6*1.4*1.4*1.5,12600000000*(1.652953^(MIN($E3169,123)-117)))*1,0))</f>
        <v>30286179</v>
      </c>
      <c r="AE3169" s="13">
        <f>$E3169+24</f>
        <v>129</v>
      </c>
      <c r="AF3169" s="14">
        <f>IF($J3169=0,0,ROUND(MAX($J3169*1.4*1.5*1.6*1.6*2.2*2.715*2.6*1.4*1.4*1.5*1.5,18900000000*(1.65331^(MIN($E3169,123)-117)))*1,0))</f>
        <v>45311693</v>
      </c>
      <c r="AG3169" s="11">
        <f>$E3169+27</f>
        <v>132</v>
      </c>
      <c r="AH3169" s="12">
        <f>IF($J3169=0,0,ROUND(MAX($J3169*1.4*1.5*1.6*1.6*2.2*2.715*2.6*1.4*1.4*1.5*1.5*3.2,60500000000*(1.654288^(MIN($E3169,123)-117)))*1,0))</f>
        <v>144019713</v>
      </c>
    </row>
    <row r="3170" ht="28" customHeight="1" spans="1:34" x14ac:dyDescent="0.25">
      <c r="A3170">
        <v>3180</v>
      </c>
      <c r="B3170" t="s">
        <v>178</v>
      </c>
      <c r="C3170" s="10" t="s">
        <v>1709</v>
      </c>
      <c r="D3170" t="s">
        <v>33</v>
      </c>
      <c r="E3170">
        <v>105</v>
      </c>
      <c r="F3170" t="s">
        <v>179</v>
      </c>
      <c r="G3170" t="s">
        <v>562</v>
      </c>
      <c r="H3170">
        <v>23</v>
      </c>
      <c r="I3170" s="11">
        <f>$E3170+0</f>
        <v>105</v>
      </c>
      <c r="J3170" s="12">
        <v>16500</v>
      </c>
      <c r="K3170" s="13">
        <f>$E3170+1</f>
        <v>106</v>
      </c>
      <c r="L3170" s="14">
        <f>IF($J3170=0,0,ROUND(MAX($J3170*1.4,1620000*(1.497923^(MIN($E3170,123)-117)))*1,0))</f>
        <v>23100</v>
      </c>
      <c r="M3170" s="11">
        <f>$E3170+2</f>
        <v>107</v>
      </c>
      <c r="N3170" s="12">
        <f>IF($J3170=0,0,ROUND(MAX($J3170*1.4*1.5,2190000*(1.580994^(MIN($E3170,123)-117)))*1,0))</f>
        <v>34650</v>
      </c>
      <c r="O3170" s="13">
        <f>$E3170+4</f>
        <v>109</v>
      </c>
      <c r="P3170" s="14">
        <f>IF($J3170=0,0,ROUND(MAX($J3170*1.4*1.5*1.6,3500000*(1.57975^(MIN($E3170,123)-117)))*1,0))</f>
        <v>55440</v>
      </c>
      <c r="Q3170" s="11">
        <f>$E3170+6</f>
        <v>111</v>
      </c>
      <c r="R3170" s="12">
        <f>IF($J3170=0,0,ROUND(MAX($J3170*1.4*1.5*1.6*1.6,13100000*(1.429962^(MIN($E3170,123)-117)))*1,0))</f>
        <v>179216</v>
      </c>
      <c r="S3170" s="13">
        <f>$E3170+8</f>
        <v>113</v>
      </c>
      <c r="T3170" s="14">
        <f>IF($J3170=0,0,ROUND(MAX($J3170*1.4*1.5*1.6*1.6*2.2,42600000*(1.576904^(MIN($E3170,123)-117)))*1,0))</f>
        <v>195149</v>
      </c>
      <c r="U3170" s="11">
        <f>$E3170+11</f>
        <v>116</v>
      </c>
      <c r="V3170" s="12">
        <f>IF($J3170=0,0,ROUND(MAX($J3170*1.4*1.5*1.6*1.6*2.2*2.715,354000000*(1.642074^(MIN($E3170,123)-117)))*1,0))</f>
        <v>921066</v>
      </c>
      <c r="W3170" s="13">
        <f>$E3170+15</f>
        <v>120</v>
      </c>
      <c r="X3170" s="14">
        <f>IF($J3170=0,0,ROUND(MAX($J3170*1.4*1.5*1.6*1.6*2.2*2.715*2.6,3540000000*(1.579646^(MIN($E3170,123)-117)))*1,0))</f>
        <v>14665133</v>
      </c>
      <c r="Y3170" s="11">
        <f>$E3170+17</f>
        <v>122</v>
      </c>
      <c r="Z3170" s="12">
        <f>IF($J3170=0,0,ROUND(MAX($J3170*1.4*1.5*1.6*1.6*2.2*2.715*2.6*1.4,6020000000*(1.651178^(MIN($E3170,123)-117)))*1,0))</f>
        <v>14657833</v>
      </c>
      <c r="AA3170" s="13">
        <f>$E3170+19</f>
        <v>124</v>
      </c>
      <c r="AB3170" s="14">
        <f>IF($J3170=0,0,ROUND(MAX($J3170*1.4*1.5*1.6*1.6*2.2*2.715*2.6*1.4*1.4,8430000000*(1.651435^(MIN($E3170,123)-117)))*1,0))</f>
        <v>20487537</v>
      </c>
      <c r="AC3170" s="11">
        <f>$E3170+21</f>
        <v>126</v>
      </c>
      <c r="AD3170" s="12">
        <f>IF($J3170=0,0,ROUND(MAX($J3170*1.4*1.5*1.6*1.6*2.2*2.715*2.6*1.4*1.4*1.5,12600000000*(1.652953^(MIN($E3170,123)-117)))*1,0))</f>
        <v>30286179</v>
      </c>
      <c r="AE3170" s="13">
        <f>$E3170+24</f>
        <v>129</v>
      </c>
      <c r="AF3170" s="14">
        <f>IF($J3170=0,0,ROUND(MAX($J3170*1.4*1.5*1.6*1.6*2.2*2.715*2.6*1.4*1.4*1.5*1.5,18900000000*(1.65331^(MIN($E3170,123)-117)))*1,0))</f>
        <v>45311693</v>
      </c>
      <c r="AG3170" s="11">
        <f>$E3170+27</f>
        <v>132</v>
      </c>
      <c r="AH3170" s="12">
        <f>IF($J3170=0,0,ROUND(MAX($J3170*1.4*1.5*1.6*1.6*2.2*2.715*2.6*1.4*1.4*1.5*1.5*3.2,60500000000*(1.654288^(MIN($E3170,123)-117)))*1,0))</f>
        <v>144019713</v>
      </c>
    </row>
    <row r="3171" ht="28" customHeight="1" spans="1:34" x14ac:dyDescent="0.25">
      <c r="A3171">
        <v>3181</v>
      </c>
      <c r="B3171" t="s">
        <v>109</v>
      </c>
      <c r="C3171" s="10" t="s">
        <v>1709</v>
      </c>
      <c r="D3171" t="s">
        <v>25</v>
      </c>
      <c r="E3171">
        <v>105</v>
      </c>
      <c r="F3171" t="s">
        <v>30</v>
      </c>
      <c r="G3171" t="s">
        <v>562</v>
      </c>
      <c r="H3171">
        <v>23</v>
      </c>
      <c r="I3171" s="11">
        <f>$E3171+0</f>
        <v>105</v>
      </c>
      <c r="J3171" s="12">
        <v>68900</v>
      </c>
      <c r="K3171" s="13">
        <f>$E3171+1</f>
        <v>106</v>
      </c>
      <c r="L3171" s="14">
        <f>IF($J3171=0,0,ROUND(MAX($J3171*1.4,1620000*(1.497923^(MIN($E3171,123)-117)))*1,0))</f>
        <v>96460</v>
      </c>
      <c r="M3171" s="11">
        <f>$E3171+2</f>
        <v>107</v>
      </c>
      <c r="N3171" s="12">
        <f>IF($J3171=0,0,ROUND(MAX($J3171*1.4*1.5,2190000*(1.580994^(MIN($E3171,123)-117)))*1,0))</f>
        <v>144690</v>
      </c>
      <c r="O3171" s="13">
        <f>$E3171+4</f>
        <v>109</v>
      </c>
      <c r="P3171" s="14">
        <f>IF($J3171=0,0,ROUND(MAX($J3171*1.4*1.5*1.6,3500000*(1.57975^(MIN($E3171,123)-117)))*1,0))</f>
        <v>231504</v>
      </c>
      <c r="Q3171" s="11">
        <f>$E3171+6</f>
        <v>111</v>
      </c>
      <c r="R3171" s="12">
        <f>IF($J3171=0,0,ROUND(MAX($J3171*1.4*1.5*1.6*1.6,13100000*(1.429962^(MIN($E3171,123)-117)))*1,0))</f>
        <v>370406</v>
      </c>
      <c r="S3171" s="13">
        <f>$E3171+8</f>
        <v>113</v>
      </c>
      <c r="T3171" s="14">
        <f>IF($J3171=0,0,ROUND(MAX($J3171*1.4*1.5*1.6*1.6*2.2,42600000*(1.576904^(MIN($E3171,123)-117)))*1,0))</f>
        <v>814894</v>
      </c>
      <c r="U3171" s="11">
        <f>$E3171+11</f>
        <v>116</v>
      </c>
      <c r="V3171" s="12">
        <f>IF($J3171=0,0,ROUND(MAX($J3171*1.4*1.5*1.6*1.6*2.2*2.715,354000000*(1.642074^(MIN($E3171,123)-117)))*1,0))</f>
        <v>2212437</v>
      </c>
      <c r="W3171" s="13">
        <f>$E3171+15</f>
        <v>120</v>
      </c>
      <c r="X3171" s="14">
        <f>IF($J3171=0,0,ROUND(MAX($J3171*1.4*1.5*1.6*1.6*2.2*2.715*2.6,3540000000*(1.579646^(MIN($E3171,123)-117)))*1,0))</f>
        <v>14665133</v>
      </c>
      <c r="Y3171" s="11">
        <f>$E3171+17</f>
        <v>122</v>
      </c>
      <c r="Z3171" s="12">
        <f>IF($J3171=0,0,ROUND(MAX($J3171*1.4*1.5*1.6*1.6*2.2*2.715*2.6*1.4,6020000000*(1.651178^(MIN($E3171,123)-117)))*1,0))</f>
        <v>14657833</v>
      </c>
      <c r="AA3171" s="13">
        <f>$E3171+19</f>
        <v>124</v>
      </c>
      <c r="AB3171" s="14">
        <f>IF($J3171=0,0,ROUND(MAX($J3171*1.4*1.5*1.6*1.6*2.2*2.715*2.6*1.4*1.4,8430000000*(1.651435^(MIN($E3171,123)-117)))*1,0))</f>
        <v>20487537</v>
      </c>
      <c r="AC3171" s="11">
        <f>$E3171+21</f>
        <v>126</v>
      </c>
      <c r="AD3171" s="12">
        <f>IF($J3171=0,0,ROUND(MAX($J3171*1.4*1.5*1.6*1.6*2.2*2.715*2.6*1.4*1.4*1.5,12600000000*(1.652953^(MIN($E3171,123)-117)))*1,0))</f>
        <v>30286179</v>
      </c>
      <c r="AE3171" s="13">
        <f>$E3171+24</f>
        <v>129</v>
      </c>
      <c r="AF3171" s="14">
        <f>IF($J3171=0,0,ROUND(MAX($J3171*1.4*1.5*1.6*1.6*2.2*2.715*2.6*1.4*1.4*1.5*1.5,18900000000*(1.65331^(MIN($E3171,123)-117)))*1,0))</f>
        <v>45311693</v>
      </c>
      <c r="AG3171" s="11">
        <f>$E3171+27</f>
        <v>132</v>
      </c>
      <c r="AH3171" s="12">
        <f>IF($J3171=0,0,ROUND(MAX($J3171*1.4*1.5*1.6*1.6*2.2*2.715*2.6*1.4*1.4*1.5*1.5*3.2,60500000000*(1.654288^(MIN($E3171,123)-117)))*1,0))</f>
        <v>144019713</v>
      </c>
    </row>
    <row r="3172" ht="28" customHeight="1" spans="1:34" x14ac:dyDescent="0.25">
      <c r="A3172">
        <v>3182</v>
      </c>
      <c r="B3172" t="s">
        <v>1655</v>
      </c>
      <c r="C3172" s="10" t="s">
        <v>1709</v>
      </c>
      <c r="D3172" t="s">
        <v>33</v>
      </c>
      <c r="E3172">
        <v>105</v>
      </c>
      <c r="F3172" t="s">
        <v>116</v>
      </c>
      <c r="G3172" t="s">
        <v>562</v>
      </c>
      <c r="H3172">
        <v>22</v>
      </c>
      <c r="I3172" s="11">
        <f>$E3172+0</f>
        <v>105</v>
      </c>
      <c r="J3172" s="12">
        <v>10900</v>
      </c>
      <c r="K3172" s="13">
        <f>$E3172+1</f>
        <v>106</v>
      </c>
      <c r="L3172" s="14">
        <f>IF($J3172=0,0,ROUND(MAX($J3172*1.4,1620000*(1.497923^(MIN($E3172,123)-117)))*1,0))</f>
        <v>15260</v>
      </c>
      <c r="M3172" s="11">
        <f>$E3172+2</f>
        <v>107</v>
      </c>
      <c r="N3172" s="12">
        <f>IF($J3172=0,0,ROUND(MAX($J3172*1.4*1.5,2190000*(1.580994^(MIN($E3172,123)-117)))*1,0))</f>
        <v>22890</v>
      </c>
      <c r="O3172" s="13">
        <f>$E3172+4</f>
        <v>109</v>
      </c>
      <c r="P3172" s="14">
        <f>IF($J3172=0,0,ROUND(MAX($J3172*1.4*1.5*1.6,3500000*(1.57975^(MIN($E3172,123)-117)))*1,0))</f>
        <v>36624</v>
      </c>
      <c r="Q3172" s="11">
        <f>$E3172+6</f>
        <v>111</v>
      </c>
      <c r="R3172" s="12">
        <f>IF($J3172=0,0,ROUND(MAX($J3172*1.4*1.5*1.6*1.6,13100000*(1.429962^(MIN($E3172,123)-117)))*1,0))</f>
        <v>179216</v>
      </c>
      <c r="S3172" s="13">
        <f>$E3172+8</f>
        <v>113</v>
      </c>
      <c r="T3172" s="14">
        <f>IF($J3172=0,0,ROUND(MAX($J3172*1.4*1.5*1.6*1.6*2.2,42600000*(1.576904^(MIN($E3172,123)-117)))*1,0))</f>
        <v>180197</v>
      </c>
      <c r="U3172" s="11">
        <f>$E3172+11</f>
        <v>116</v>
      </c>
      <c r="V3172" s="12">
        <f>IF($J3172=0,0,ROUND(MAX($J3172*1.4*1.5*1.6*1.6*2.2*2.715,354000000*(1.642074^(MIN($E3172,123)-117)))*1,0))</f>
        <v>921066</v>
      </c>
      <c r="W3172" s="13">
        <f>$E3172+15</f>
        <v>120</v>
      </c>
      <c r="X3172" s="14">
        <f>IF($J3172=0,0,ROUND(MAX($J3172*1.4*1.5*1.6*1.6*2.2*2.715*2.6,3540000000*(1.579646^(MIN($E3172,123)-117)))*1,0))</f>
        <v>14665133</v>
      </c>
      <c r="Y3172" s="11">
        <f>$E3172+17</f>
        <v>122</v>
      </c>
      <c r="Z3172" s="12">
        <f>IF($J3172=0,0,ROUND(MAX($J3172*1.4*1.5*1.6*1.6*2.2*2.715*2.6*1.4,6020000000*(1.651178^(MIN($E3172,123)-117)))*1,0))</f>
        <v>14657833</v>
      </c>
      <c r="AA3172" s="13">
        <f>$E3172+19</f>
        <v>124</v>
      </c>
      <c r="AB3172" s="14">
        <f>IF($J3172=0,0,ROUND(MAX($J3172*1.4*1.5*1.6*1.6*2.2*2.715*2.6*1.4*1.4,8430000000*(1.651435^(MIN($E3172,123)-117)))*1,0))</f>
        <v>20487537</v>
      </c>
      <c r="AC3172" s="11">
        <f>$E3172+21</f>
        <v>126</v>
      </c>
      <c r="AD3172" s="12">
        <f>IF($J3172=0,0,ROUND(MAX($J3172*1.4*1.5*1.6*1.6*2.2*2.715*2.6*1.4*1.4*1.5,12600000000*(1.652953^(MIN($E3172,123)-117)))*1,0))</f>
        <v>30286179</v>
      </c>
      <c r="AE3172" s="13">
        <f>$E3172+24</f>
        <v>129</v>
      </c>
      <c r="AF3172" s="14">
        <f>IF($J3172=0,0,ROUND(MAX($J3172*1.4*1.5*1.6*1.6*2.2*2.715*2.6*1.4*1.4*1.5*1.5,18900000000*(1.65331^(MIN($E3172,123)-117)))*1,0))</f>
        <v>45311693</v>
      </c>
      <c r="AG3172" s="11">
        <f>$E3172+27</f>
        <v>132</v>
      </c>
      <c r="AH3172" s="12">
        <f>IF($J3172=0,0,ROUND(MAX($J3172*1.4*1.5*1.6*1.6*2.2*2.715*2.6*1.4*1.4*1.5*1.5*3.2,60500000000*(1.654288^(MIN($E3172,123)-117)))*1,0))</f>
        <v>144019713</v>
      </c>
    </row>
    <row r="3173" ht="28" customHeight="1" spans="1:34" x14ac:dyDescent="0.25">
      <c r="A3173">
        <v>3183</v>
      </c>
      <c r="B3173" t="s">
        <v>1714</v>
      </c>
      <c r="C3173" s="10" t="s">
        <v>1709</v>
      </c>
      <c r="D3173" t="s">
        <v>90</v>
      </c>
      <c r="E3173">
        <v>105</v>
      </c>
      <c r="F3173" t="s">
        <v>30</v>
      </c>
      <c r="G3173" t="s">
        <v>562</v>
      </c>
      <c r="H3173">
        <v>22</v>
      </c>
      <c r="I3173" s="11">
        <f>$E3173+0</f>
        <v>105</v>
      </c>
      <c r="J3173" s="12">
        <v>11600000</v>
      </c>
      <c r="K3173" s="13">
        <f>$E3173+1</f>
        <v>106</v>
      </c>
      <c r="L3173" s="14">
        <f>IF($J3173=0,0,ROUND(MAX($J3173*1.4,1620000*(1.497923^(MIN($E3173,123)-117)))*1,0))</f>
        <v>16240000</v>
      </c>
      <c r="M3173" s="11">
        <f>$E3173+2</f>
        <v>107</v>
      </c>
      <c r="N3173" s="12">
        <f>IF($J3173=0,0,ROUND(MAX($J3173*1.4*1.5,2190000*(1.580994^(MIN($E3173,123)-117)))*1,0))</f>
        <v>24360000</v>
      </c>
      <c r="O3173" s="13">
        <f>$E3173+4</f>
        <v>109</v>
      </c>
      <c r="P3173" s="14">
        <f>IF($J3173=0,0,ROUND(MAX($J3173*1.4*1.5*1.6,3500000*(1.57975^(MIN($E3173,123)-117)))*1,0))</f>
        <v>38976000</v>
      </c>
      <c r="Q3173" s="11">
        <f>$E3173+6</f>
        <v>111</v>
      </c>
      <c r="R3173" s="12">
        <f>IF($J3173=0,0,ROUND(MAX($J3173*1.4*1.5*1.6*1.6,13100000*(1.429962^(MIN($E3173,123)-117)))*1,0))</f>
        <v>62361600</v>
      </c>
      <c r="S3173" s="13">
        <f>$E3173+8</f>
        <v>113</v>
      </c>
      <c r="T3173" s="14">
        <f>IF($J3173=0,0,ROUND(MAX($J3173*1.4*1.5*1.6*1.6*2.2,42600000*(1.576904^(MIN($E3173,123)-117)))*1,0))</f>
        <v>137195520</v>
      </c>
      <c r="U3173" s="11">
        <f>$E3173+11</f>
        <v>116</v>
      </c>
      <c r="V3173" s="12">
        <f>IF($J3173=0,0,ROUND(MAX($J3173*1.4*1.5*1.6*1.6*2.2*2.715,354000000*(1.642074^(MIN($E3173,123)-117)))*1,0))</f>
        <v>372485837</v>
      </c>
      <c r="W3173" s="13">
        <f>$E3173+15</f>
        <v>120</v>
      </c>
      <c r="X3173" s="14">
        <f>IF($J3173=0,0,ROUND(MAX($J3173*1.4*1.5*1.6*1.6*2.2*2.715*2.6,3540000000*(1.579646^(MIN($E3173,123)-117)))*1,0))</f>
        <v>968463176</v>
      </c>
      <c r="Y3173" s="11">
        <f>$E3173+17</f>
        <v>122</v>
      </c>
      <c r="Z3173" s="12">
        <f>IF($J3173=0,0,ROUND(MAX($J3173*1.4*1.5*1.6*1.6*2.2*2.715*2.6*1.4,6020000000*(1.651178^(MIN($E3173,123)-117)))*1,0))</f>
        <v>1355848446</v>
      </c>
      <c r="AA3173" s="13">
        <f>$E3173+19</f>
        <v>124</v>
      </c>
      <c r="AB3173" s="14">
        <f>IF($J3173=0,0,ROUND(MAX($J3173*1.4*1.5*1.6*1.6*2.2*2.715*2.6*1.4*1.4,8430000000*(1.651435^(MIN($E3173,123)-117)))*1,0))</f>
        <v>1898187824</v>
      </c>
      <c r="AC3173" s="11">
        <f>$E3173+21</f>
        <v>126</v>
      </c>
      <c r="AD3173" s="12">
        <f>IF($J3173=0,0,ROUND(MAX($J3173*1.4*1.5*1.6*1.6*2.2*2.715*2.6*1.4*1.4*1.5,12600000000*(1.652953^(MIN($E3173,123)-117)))*1,0))</f>
        <v>2847281736</v>
      </c>
      <c r="AE3173" s="13">
        <f>$E3173+24</f>
        <v>129</v>
      </c>
      <c r="AF3173" s="14">
        <f>IF($J3173=0,0,ROUND(MAX($J3173*1.4*1.5*1.6*1.6*2.2*2.715*2.6*1.4*1.4*1.5*1.5,18900000000*(1.65331^(MIN($E3173,123)-117)))*1,0))</f>
        <v>4270922605</v>
      </c>
      <c r="AG3173" s="11">
        <f>$E3173+27</f>
        <v>132</v>
      </c>
      <c r="AH3173" s="12">
        <f>IF($J3173=0,0,ROUND(MAX($J3173*1.4*1.5*1.6*1.6*2.2*2.715*2.6*1.4*1.4*1.5*1.5*3.2,60500000000*(1.654288^(MIN($E3173,123)-117)))*1,0))</f>
        <v>13666952335</v>
      </c>
    </row>
    <row r="3174" ht="28" customHeight="1" spans="1:34" x14ac:dyDescent="0.25">
      <c r="A3174">
        <v>3184</v>
      </c>
      <c r="B3174" t="s">
        <v>296</v>
      </c>
      <c r="C3174" s="10" t="s">
        <v>1709</v>
      </c>
      <c r="D3174" t="s">
        <v>47</v>
      </c>
      <c r="E3174">
        <v>105</v>
      </c>
      <c r="F3174" t="s">
        <v>62</v>
      </c>
      <c r="G3174" t="s">
        <v>185</v>
      </c>
      <c r="H3174">
        <v>20</v>
      </c>
      <c r="I3174" s="11">
        <f>$E3174+0</f>
        <v>105</v>
      </c>
      <c r="J3174" s="12">
        <v>690000</v>
      </c>
      <c r="K3174" s="13">
        <f>$E3174+1</f>
        <v>106</v>
      </c>
      <c r="L3174" s="14">
        <f>IF($J3174=0,0,ROUND(MAX($J3174*1.4,1620000*(1.497923^(MIN($E3174,123)-117)))*1,0))</f>
        <v>966000</v>
      </c>
      <c r="M3174" s="11">
        <f>$E3174+2</f>
        <v>107</v>
      </c>
      <c r="N3174" s="12">
        <f>IF($J3174=0,0,ROUND(MAX($J3174*1.4*1.5,2190000*(1.580994^(MIN($E3174,123)-117)))*1,0))</f>
        <v>1449000</v>
      </c>
      <c r="O3174" s="13">
        <f>$E3174+4</f>
        <v>109</v>
      </c>
      <c r="P3174" s="14">
        <f>IF($J3174=0,0,ROUND(MAX($J3174*1.4*1.5*1.6,3500000*(1.57975^(MIN($E3174,123)-117)))*1,0))</f>
        <v>2318400</v>
      </c>
      <c r="Q3174" s="11">
        <f>$E3174+6</f>
        <v>111</v>
      </c>
      <c r="R3174" s="12">
        <f>IF($J3174=0,0,ROUND(MAX($J3174*1.4*1.5*1.6*1.6,13100000*(1.429962^(MIN($E3174,123)-117)))*1,0))</f>
        <v>3709440</v>
      </c>
      <c r="S3174" s="13">
        <f>$E3174+8</f>
        <v>113</v>
      </c>
      <c r="T3174" s="14">
        <f>IF($J3174=0,0,ROUND(MAX($J3174*1.4*1.5*1.6*1.6*2.2,42600000*(1.576904^(MIN($E3174,123)-117)))*1,0))</f>
        <v>8160768</v>
      </c>
      <c r="U3174" s="11">
        <f>$E3174+11</f>
        <v>116</v>
      </c>
      <c r="V3174" s="12">
        <f>IF($J3174=0,0,ROUND(MAX($J3174*1.4*1.5*1.6*1.6*2.2*2.715,354000000*(1.642074^(MIN($E3174,123)-117)))*1,0))</f>
        <v>22156485</v>
      </c>
      <c r="W3174" s="13">
        <f>$E3174+15</f>
        <v>120</v>
      </c>
      <c r="X3174" s="14">
        <f>IF($J3174=0,0,ROUND(MAX($J3174*1.4*1.5*1.6*1.6*2.2*2.715*2.6,3540000000*(1.579646^(MIN($E3174,123)-117)))*1,0))</f>
        <v>57606861</v>
      </c>
      <c r="Y3174" s="11">
        <f>$E3174+17</f>
        <v>122</v>
      </c>
      <c r="Z3174" s="12">
        <f>IF($J3174=0,0,ROUND(MAX($J3174*1.4*1.5*1.6*1.6*2.2*2.715*2.6*1.4,6020000000*(1.651178^(MIN($E3174,123)-117)))*1,0))</f>
        <v>80649606</v>
      </c>
      <c r="AA3174" s="13">
        <f>$E3174+19</f>
        <v>124</v>
      </c>
      <c r="AB3174" s="14">
        <f>IF($J3174=0,0,ROUND(MAX($J3174*1.4*1.5*1.6*1.6*2.2*2.715*2.6*1.4*1.4,8430000000*(1.651435^(MIN($E3174,123)-117)))*1,0))</f>
        <v>112909448</v>
      </c>
      <c r="AC3174" s="11">
        <f>$E3174+21</f>
        <v>126</v>
      </c>
      <c r="AD3174" s="12">
        <f>IF($J3174=0,0,ROUND(MAX($J3174*1.4*1.5*1.6*1.6*2.2*2.715*2.6*1.4*1.4*1.5,12600000000*(1.652953^(MIN($E3174,123)-117)))*1,0))</f>
        <v>169364172</v>
      </c>
      <c r="AE3174" s="13">
        <f>$E3174+24</f>
        <v>129</v>
      </c>
      <c r="AF3174" s="14">
        <f>IF($J3174=0,0,ROUND(MAX($J3174*1.4*1.5*1.6*1.6*2.2*2.715*2.6*1.4*1.4*1.5*1.5,18900000000*(1.65331^(MIN($E3174,123)-117)))*1,0))</f>
        <v>254046258</v>
      </c>
      <c r="AG3174" s="11">
        <f>$E3174+27</f>
        <v>132</v>
      </c>
      <c r="AH3174" s="12">
        <f>IF($J3174=0,0,ROUND(MAX($J3174*1.4*1.5*1.6*1.6*2.2*2.715*2.6*1.4*1.4*1.5*1.5*3.2,60500000000*(1.654288^(MIN($E3174,123)-117)))*1,0))</f>
        <v>812948027</v>
      </c>
    </row>
    <row r="3175" ht="28" customHeight="1" spans="1:34" x14ac:dyDescent="0.25">
      <c r="A3175">
        <v>3185</v>
      </c>
      <c r="B3175" t="s">
        <v>77</v>
      </c>
      <c r="C3175" s="10" t="s">
        <v>1709</v>
      </c>
      <c r="D3175" t="s">
        <v>45</v>
      </c>
      <c r="E3175">
        <v>104</v>
      </c>
      <c r="F3175" t="s">
        <v>42</v>
      </c>
      <c r="G3175" t="s">
        <v>562</v>
      </c>
      <c r="H3175">
        <v>25</v>
      </c>
      <c r="I3175" s="11">
        <f>$E3175+0</f>
        <v>104</v>
      </c>
      <c r="J3175" s="12">
        <v>24900</v>
      </c>
      <c r="K3175" s="13">
        <f>$E3175+1</f>
        <v>105</v>
      </c>
      <c r="L3175" s="14">
        <f>IF($J3175=0,0,ROUND(MAX($J3175*1.4,1620000*(1.497923^(MIN($E3175,123)-117)))*1,0))</f>
        <v>34860</v>
      </c>
      <c r="M3175" s="11">
        <f>$E3175+2</f>
        <v>106</v>
      </c>
      <c r="N3175" s="12">
        <f>IF($J3175=0,0,ROUND(MAX($J3175*1.4*1.5,2190000*(1.580994^(MIN($E3175,123)-117)))*1,0))</f>
        <v>52290</v>
      </c>
      <c r="O3175" s="13">
        <f>$E3175+4</f>
        <v>108</v>
      </c>
      <c r="P3175" s="14">
        <f>IF($J3175=0,0,ROUND(MAX($J3175*1.4*1.5*1.6,3500000*(1.57975^(MIN($E3175,123)-117)))*1,0))</f>
        <v>83664</v>
      </c>
      <c r="Q3175" s="11">
        <f>$E3175+6</f>
        <v>110</v>
      </c>
      <c r="R3175" s="12">
        <f>IF($J3175=0,0,ROUND(MAX($J3175*1.4*1.5*1.6*1.6,13100000*(1.429962^(MIN($E3175,123)-117)))*1,0))</f>
        <v>133862</v>
      </c>
      <c r="S3175" s="13">
        <f>$E3175+8</f>
        <v>112</v>
      </c>
      <c r="T3175" s="14">
        <f>IF($J3175=0,0,ROUND(MAX($J3175*1.4*1.5*1.6*1.6*2.2,42600000*(1.576904^(MIN($E3175,123)-117)))*1,0))</f>
        <v>294497</v>
      </c>
      <c r="U3175" s="11">
        <f>$E3175+11</f>
        <v>115</v>
      </c>
      <c r="V3175" s="12">
        <f>IF($J3175=0,0,ROUND(MAX($J3175*1.4*1.5*1.6*1.6*2.2*2.715,354000000*(1.642074^(MIN($E3175,123)-117)))*1,0))</f>
        <v>799560</v>
      </c>
      <c r="W3175" s="13">
        <f>$E3175+15</f>
        <v>119</v>
      </c>
      <c r="X3175" s="14">
        <f>IF($J3175=0,0,ROUND(MAX($J3175*1.4*1.5*1.6*1.6*2.2*2.715*2.6,3540000000*(1.579646^(MIN($E3175,123)-117)))*1,0))</f>
        <v>9283810</v>
      </c>
      <c r="Y3175" s="11">
        <f>$E3175+17</f>
        <v>121</v>
      </c>
      <c r="Z3175" s="12">
        <f>IF($J3175=0,0,ROUND(MAX($J3175*1.4*1.5*1.6*1.6*2.2*2.715*2.6*1.4,6020000000*(1.651178^(MIN($E3175,123)-117)))*1,0))</f>
        <v>8877197</v>
      </c>
      <c r="AA3175" s="13">
        <f>$E3175+19</f>
        <v>123</v>
      </c>
      <c r="AB3175" s="14">
        <f>IF($J3175=0,0,ROUND(MAX($J3175*1.4*1.5*1.6*1.6*2.2*2.715*2.6*1.4*1.4,8430000000*(1.651435^(MIN($E3175,123)-117)))*1,0))</f>
        <v>12405900</v>
      </c>
      <c r="AC3175" s="11">
        <f>$E3175+21</f>
        <v>125</v>
      </c>
      <c r="AD3175" s="12">
        <f>IF($J3175=0,0,ROUND(MAX($J3175*1.4*1.5*1.6*1.6*2.2*2.715*2.6*1.4*1.4*1.5,12600000000*(1.652953^(MIN($E3175,123)-117)))*1,0))</f>
        <v>18322468</v>
      </c>
      <c r="AE3175" s="13">
        <f>$E3175+24</f>
        <v>128</v>
      </c>
      <c r="AF3175" s="14">
        <f>IF($J3175=0,0,ROUND(MAX($J3175*1.4*1.5*1.6*1.6*2.2*2.715*2.6*1.4*1.4*1.5*1.5,18900000000*(1.65331^(MIN($E3175,123)-117)))*1,0))</f>
        <v>27406653</v>
      </c>
      <c r="AG3175" s="11">
        <f>$E3175+27</f>
        <v>131</v>
      </c>
      <c r="AH3175" s="12">
        <f>IF($J3175=0,0,ROUND(MAX($J3175*1.4*1.5*1.6*1.6*2.2*2.715*2.6*1.4*1.4*1.5*1.5*3.2,60500000000*(1.654288^(MIN($E3175,123)-117)))*1,0))</f>
        <v>87058428</v>
      </c>
    </row>
    <row r="3176" ht="28" customHeight="1" spans="1:34" x14ac:dyDescent="0.25">
      <c r="A3176">
        <v>3186</v>
      </c>
      <c r="B3176" t="s">
        <v>931</v>
      </c>
      <c r="C3176" s="10" t="s">
        <v>1709</v>
      </c>
      <c r="D3176" t="s">
        <v>45</v>
      </c>
      <c r="E3176">
        <v>104</v>
      </c>
      <c r="F3176" t="s">
        <v>54</v>
      </c>
      <c r="G3176" t="s">
        <v>416</v>
      </c>
      <c r="H3176">
        <v>24</v>
      </c>
      <c r="I3176" s="11">
        <f>$E3176+0</f>
        <v>104</v>
      </c>
      <c r="J3176" s="12">
        <v>33800</v>
      </c>
      <c r="K3176" s="13">
        <f>$E3176+1</f>
        <v>105</v>
      </c>
      <c r="L3176" s="14">
        <f>IF($J3176=0,0,ROUND(MAX($J3176*1.4,1620000*(1.497923^(MIN($E3176,123)-117)))*1,0))</f>
        <v>47320</v>
      </c>
      <c r="M3176" s="11">
        <f>$E3176+2</f>
        <v>106</v>
      </c>
      <c r="N3176" s="12">
        <f>IF($J3176=0,0,ROUND(MAX($J3176*1.4*1.5,2190000*(1.580994^(MIN($E3176,123)-117)))*1,0))</f>
        <v>70980</v>
      </c>
      <c r="O3176" s="13">
        <f>$E3176+4</f>
        <v>108</v>
      </c>
      <c r="P3176" s="14">
        <f>IF($J3176=0,0,ROUND(MAX($J3176*1.4*1.5*1.6,3500000*(1.57975^(MIN($E3176,123)-117)))*1,0))</f>
        <v>113568</v>
      </c>
      <c r="Q3176" s="11">
        <f>$E3176+6</f>
        <v>110</v>
      </c>
      <c r="R3176" s="12">
        <f>IF($J3176=0,0,ROUND(MAX($J3176*1.4*1.5*1.6*1.6,13100000*(1.429962^(MIN($E3176,123)-117)))*1,0))</f>
        <v>181709</v>
      </c>
      <c r="S3176" s="13">
        <f>$E3176+8</f>
        <v>112</v>
      </c>
      <c r="T3176" s="14">
        <f>IF($J3176=0,0,ROUND(MAX($J3176*1.4*1.5*1.6*1.6*2.2,42600000*(1.576904^(MIN($E3176,123)-117)))*1,0))</f>
        <v>399759</v>
      </c>
      <c r="U3176" s="11">
        <f>$E3176+11</f>
        <v>115</v>
      </c>
      <c r="V3176" s="12">
        <f>IF($J3176=0,0,ROUND(MAX($J3176*1.4*1.5*1.6*1.6*2.2*2.715,354000000*(1.642074^(MIN($E3176,123)-117)))*1,0))</f>
        <v>1085347</v>
      </c>
      <c r="W3176" s="13">
        <f>$E3176+15</f>
        <v>119</v>
      </c>
      <c r="X3176" s="14">
        <f>IF($J3176=0,0,ROUND(MAX($J3176*1.4*1.5*1.6*1.6*2.2*2.715*2.6,3540000000*(1.579646^(MIN($E3176,123)-117)))*1,0))</f>
        <v>9283810</v>
      </c>
      <c r="Y3176" s="11">
        <f>$E3176+17</f>
        <v>121</v>
      </c>
      <c r="Z3176" s="12">
        <f>IF($J3176=0,0,ROUND(MAX($J3176*1.4*1.5*1.6*1.6*2.2*2.715*2.6*1.4,6020000000*(1.651178^(MIN($E3176,123)-117)))*1,0))</f>
        <v>8877197</v>
      </c>
      <c r="AA3176" s="13">
        <f>$E3176+19</f>
        <v>123</v>
      </c>
      <c r="AB3176" s="14">
        <f>IF($J3176=0,0,ROUND(MAX($J3176*1.4*1.5*1.6*1.6*2.2*2.715*2.6*1.4*1.4,8430000000*(1.651435^(MIN($E3176,123)-117)))*1,0))</f>
        <v>12405900</v>
      </c>
      <c r="AC3176" s="11">
        <f>$E3176+21</f>
        <v>125</v>
      </c>
      <c r="AD3176" s="12">
        <f>IF($J3176=0,0,ROUND(MAX($J3176*1.4*1.5*1.6*1.6*2.2*2.715*2.6*1.4*1.4*1.5,12600000000*(1.652953^(MIN($E3176,123)-117)))*1,0))</f>
        <v>18322468</v>
      </c>
      <c r="AE3176" s="13">
        <f>$E3176+24</f>
        <v>128</v>
      </c>
      <c r="AF3176" s="14">
        <f>IF($J3176=0,0,ROUND(MAX($J3176*1.4*1.5*1.6*1.6*2.2*2.715*2.6*1.4*1.4*1.5*1.5,18900000000*(1.65331^(MIN($E3176,123)-117)))*1,0))</f>
        <v>27406653</v>
      </c>
      <c r="AG3176" s="11">
        <f>$E3176+27</f>
        <v>131</v>
      </c>
      <c r="AH3176" s="12">
        <f>IF($J3176=0,0,ROUND(MAX($J3176*1.4*1.5*1.6*1.6*2.2*2.715*2.6*1.4*1.4*1.5*1.5*3.2,60500000000*(1.654288^(MIN($E3176,123)-117)))*1,0))</f>
        <v>87058428</v>
      </c>
    </row>
    <row r="3177" ht="28" customHeight="1" spans="1:34" x14ac:dyDescent="0.25">
      <c r="A3177">
        <v>3187</v>
      </c>
      <c r="B3177" t="s">
        <v>1181</v>
      </c>
      <c r="C3177" s="10" t="s">
        <v>1709</v>
      </c>
      <c r="D3177" t="s">
        <v>45</v>
      </c>
      <c r="E3177">
        <v>104</v>
      </c>
      <c r="F3177" t="s">
        <v>34</v>
      </c>
      <c r="G3177" t="s">
        <v>35</v>
      </c>
      <c r="H3177">
        <v>23</v>
      </c>
      <c r="I3177" s="11">
        <f>$E3177+0</f>
        <v>104</v>
      </c>
      <c r="J3177" s="12">
        <v>12600</v>
      </c>
      <c r="K3177" s="13">
        <f>$E3177+1</f>
        <v>105</v>
      </c>
      <c r="L3177" s="14">
        <f>IF($J3177=0,0,ROUND(MAX($J3177*1.4,1620000*(1.497923^(MIN($E3177,123)-117)))*1,0))</f>
        <v>17640</v>
      </c>
      <c r="M3177" s="11">
        <f>$E3177+2</f>
        <v>106</v>
      </c>
      <c r="N3177" s="12">
        <f>IF($J3177=0,0,ROUND(MAX($J3177*1.4*1.5,2190000*(1.580994^(MIN($E3177,123)-117)))*1,0))</f>
        <v>26460</v>
      </c>
      <c r="O3177" s="13">
        <f>$E3177+4</f>
        <v>108</v>
      </c>
      <c r="P3177" s="14">
        <f>IF($J3177=0,0,ROUND(MAX($J3177*1.4*1.5*1.6,3500000*(1.57975^(MIN($E3177,123)-117)))*1,0))</f>
        <v>42336</v>
      </c>
      <c r="Q3177" s="11">
        <f>$E3177+6</f>
        <v>110</v>
      </c>
      <c r="R3177" s="12">
        <f>IF($J3177=0,0,ROUND(MAX($J3177*1.4*1.5*1.6*1.6,13100000*(1.429962^(MIN($E3177,123)-117)))*1,0))</f>
        <v>125329</v>
      </c>
      <c r="S3177" s="13">
        <f>$E3177+8</f>
        <v>112</v>
      </c>
      <c r="T3177" s="14">
        <f>IF($J3177=0,0,ROUND(MAX($J3177*1.4*1.5*1.6*1.6*2.2,42600000*(1.576904^(MIN($E3177,123)-117)))*1,0))</f>
        <v>149023</v>
      </c>
      <c r="U3177" s="11">
        <f>$E3177+11</f>
        <v>115</v>
      </c>
      <c r="V3177" s="12">
        <f>IF($J3177=0,0,ROUND(MAX($J3177*1.4*1.5*1.6*1.6*2.2*2.715,354000000*(1.642074^(MIN($E3177,123)-117)))*1,0))</f>
        <v>560916</v>
      </c>
      <c r="W3177" s="13">
        <f>$E3177+15</f>
        <v>119</v>
      </c>
      <c r="X3177" s="14">
        <f>IF($J3177=0,0,ROUND(MAX($J3177*1.4*1.5*1.6*1.6*2.2*2.715*2.6,3540000000*(1.579646^(MIN($E3177,123)-117)))*1,0))</f>
        <v>9283810</v>
      </c>
      <c r="Y3177" s="11">
        <f>$E3177+17</f>
        <v>121</v>
      </c>
      <c r="Z3177" s="12">
        <f>IF($J3177=0,0,ROUND(MAX($J3177*1.4*1.5*1.6*1.6*2.2*2.715*2.6*1.4,6020000000*(1.651178^(MIN($E3177,123)-117)))*1,0))</f>
        <v>8877197</v>
      </c>
      <c r="AA3177" s="13">
        <f>$E3177+19</f>
        <v>123</v>
      </c>
      <c r="AB3177" s="14">
        <f>IF($J3177=0,0,ROUND(MAX($J3177*1.4*1.5*1.6*1.6*2.2*2.715*2.6*1.4*1.4,8430000000*(1.651435^(MIN($E3177,123)-117)))*1,0))</f>
        <v>12405900</v>
      </c>
      <c r="AC3177" s="11">
        <f>$E3177+21</f>
        <v>125</v>
      </c>
      <c r="AD3177" s="12">
        <f>IF($J3177=0,0,ROUND(MAX($J3177*1.4*1.5*1.6*1.6*2.2*2.715*2.6*1.4*1.4*1.5,12600000000*(1.652953^(MIN($E3177,123)-117)))*1,0))</f>
        <v>18322468</v>
      </c>
      <c r="AE3177" s="13">
        <f>$E3177+24</f>
        <v>128</v>
      </c>
      <c r="AF3177" s="14">
        <f>IF($J3177=0,0,ROUND(MAX($J3177*1.4*1.5*1.6*1.6*2.2*2.715*2.6*1.4*1.4*1.5*1.5,18900000000*(1.65331^(MIN($E3177,123)-117)))*1,0))</f>
        <v>27406653</v>
      </c>
      <c r="AG3177" s="11">
        <f>$E3177+27</f>
        <v>131</v>
      </c>
      <c r="AH3177" s="12">
        <f>IF($J3177=0,0,ROUND(MAX($J3177*1.4*1.5*1.6*1.6*2.2*2.715*2.6*1.4*1.4*1.5*1.5*3.2,60500000000*(1.654288^(MIN($E3177,123)-117)))*1,0))</f>
        <v>87058428</v>
      </c>
    </row>
    <row r="3178" ht="28" customHeight="1" spans="1:34" x14ac:dyDescent="0.25">
      <c r="A3178">
        <v>3188</v>
      </c>
      <c r="B3178" t="s">
        <v>1123</v>
      </c>
      <c r="C3178" s="10" t="s">
        <v>1709</v>
      </c>
      <c r="D3178" t="s">
        <v>40</v>
      </c>
      <c r="E3178">
        <v>104</v>
      </c>
      <c r="F3178" t="s">
        <v>258</v>
      </c>
      <c r="G3178" t="s">
        <v>209</v>
      </c>
      <c r="H3178">
        <v>23</v>
      </c>
      <c r="I3178" s="11">
        <f>$E3178+0</f>
        <v>104</v>
      </c>
      <c r="J3178" s="12">
        <v>8910</v>
      </c>
      <c r="K3178" s="13">
        <f>$E3178+1</f>
        <v>105</v>
      </c>
      <c r="L3178" s="14">
        <f>IF($J3178=0,0,ROUND(MAX($J3178*1.4,1620000*(1.497923^(MIN($E3178,123)-117)))*1,0))</f>
        <v>12474</v>
      </c>
      <c r="M3178" s="11">
        <f>$E3178+2</f>
        <v>106</v>
      </c>
      <c r="N3178" s="12">
        <f>IF($J3178=0,0,ROUND(MAX($J3178*1.4*1.5,2190000*(1.580994^(MIN($E3178,123)-117)))*1,0))</f>
        <v>18711</v>
      </c>
      <c r="O3178" s="13">
        <f>$E3178+4</f>
        <v>108</v>
      </c>
      <c r="P3178" s="14">
        <f>IF($J3178=0,0,ROUND(MAX($J3178*1.4*1.5*1.6,3500000*(1.57975^(MIN($E3178,123)-117)))*1,0))</f>
        <v>29938</v>
      </c>
      <c r="Q3178" s="11">
        <f>$E3178+6</f>
        <v>110</v>
      </c>
      <c r="R3178" s="12">
        <f>IF($J3178=0,0,ROUND(MAX($J3178*1.4*1.5*1.6*1.6,13100000*(1.429962^(MIN($E3178,123)-117)))*1,0))</f>
        <v>125329</v>
      </c>
      <c r="S3178" s="13">
        <f>$E3178+8</f>
        <v>112</v>
      </c>
      <c r="T3178" s="14">
        <f>IF($J3178=0,0,ROUND(MAX($J3178*1.4*1.5*1.6*1.6*2.2,42600000*(1.576904^(MIN($E3178,123)-117)))*1,0))</f>
        <v>114272</v>
      </c>
      <c r="U3178" s="11">
        <f>$E3178+11</f>
        <v>115</v>
      </c>
      <c r="V3178" s="12">
        <f>IF($J3178=0,0,ROUND(MAX($J3178*1.4*1.5*1.6*1.6*2.2*2.715,354000000*(1.642074^(MIN($E3178,123)-117)))*1,0))</f>
        <v>560916</v>
      </c>
      <c r="W3178" s="13">
        <f>$E3178+15</f>
        <v>119</v>
      </c>
      <c r="X3178" s="14">
        <f>IF($J3178=0,0,ROUND(MAX($J3178*1.4*1.5*1.6*1.6*2.2*2.715*2.6,3540000000*(1.579646^(MIN($E3178,123)-117)))*1,0))</f>
        <v>9283810</v>
      </c>
      <c r="Y3178" s="11">
        <f>$E3178+17</f>
        <v>121</v>
      </c>
      <c r="Z3178" s="12">
        <f>IF($J3178=0,0,ROUND(MAX($J3178*1.4*1.5*1.6*1.6*2.2*2.715*2.6*1.4,6020000000*(1.651178^(MIN($E3178,123)-117)))*1,0))</f>
        <v>8877197</v>
      </c>
      <c r="AA3178" s="13">
        <f>$E3178+19</f>
        <v>123</v>
      </c>
      <c r="AB3178" s="14">
        <f>IF($J3178=0,0,ROUND(MAX($J3178*1.4*1.5*1.6*1.6*2.2*2.715*2.6*1.4*1.4,8430000000*(1.651435^(MIN($E3178,123)-117)))*1,0))</f>
        <v>12405900</v>
      </c>
      <c r="AC3178" s="11">
        <f>$E3178+21</f>
        <v>125</v>
      </c>
      <c r="AD3178" s="12">
        <f>IF($J3178=0,0,ROUND(MAX($J3178*1.4*1.5*1.6*1.6*2.2*2.715*2.6*1.4*1.4*1.5,12600000000*(1.652953^(MIN($E3178,123)-117)))*1,0))</f>
        <v>18322468</v>
      </c>
      <c r="AE3178" s="13">
        <f>$E3178+24</f>
        <v>128</v>
      </c>
      <c r="AF3178" s="14">
        <f>IF($J3178=0,0,ROUND(MAX($J3178*1.4*1.5*1.6*1.6*2.2*2.715*2.6*1.4*1.4*1.5*1.5,18900000000*(1.65331^(MIN($E3178,123)-117)))*1,0))</f>
        <v>27406653</v>
      </c>
      <c r="AG3178" s="11">
        <f>$E3178+27</f>
        <v>131</v>
      </c>
      <c r="AH3178" s="12">
        <f>IF($J3178=0,0,ROUND(MAX($J3178*1.4*1.5*1.6*1.6*2.2*2.715*2.6*1.4*1.4*1.5*1.5*3.2,60500000000*(1.654288^(MIN($E3178,123)-117)))*1,0))</f>
        <v>87058428</v>
      </c>
    </row>
    <row r="3179" ht="28" customHeight="1" spans="1:34" x14ac:dyDescent="0.25">
      <c r="A3179">
        <v>3189</v>
      </c>
      <c r="B3179" t="s">
        <v>118</v>
      </c>
      <c r="C3179" s="10" t="s">
        <v>1709</v>
      </c>
      <c r="D3179" t="s">
        <v>29</v>
      </c>
      <c r="E3179">
        <v>104</v>
      </c>
      <c r="F3179" t="s">
        <v>56</v>
      </c>
      <c r="G3179" t="s">
        <v>562</v>
      </c>
      <c r="H3179">
        <v>23</v>
      </c>
      <c r="I3179" s="11">
        <f>$E3179+0</f>
        <v>104</v>
      </c>
      <c r="J3179" s="12">
        <v>11500</v>
      </c>
      <c r="K3179" s="13">
        <f>$E3179+1</f>
        <v>105</v>
      </c>
      <c r="L3179" s="14">
        <f>IF($J3179=0,0,ROUND(MAX($J3179*1.4,1620000*(1.497923^(MIN($E3179,123)-117)))*1,0))</f>
        <v>16100</v>
      </c>
      <c r="M3179" s="11">
        <f>$E3179+2</f>
        <v>106</v>
      </c>
      <c r="N3179" s="12">
        <f>IF($J3179=0,0,ROUND(MAX($J3179*1.4*1.5,2190000*(1.580994^(MIN($E3179,123)-117)))*1,0))</f>
        <v>24150</v>
      </c>
      <c r="O3179" s="13">
        <f>$E3179+4</f>
        <v>108</v>
      </c>
      <c r="P3179" s="14">
        <f>IF($J3179=0,0,ROUND(MAX($J3179*1.4*1.5*1.6,3500000*(1.57975^(MIN($E3179,123)-117)))*1,0))</f>
        <v>38640</v>
      </c>
      <c r="Q3179" s="11">
        <f>$E3179+6</f>
        <v>110</v>
      </c>
      <c r="R3179" s="12">
        <f>IF($J3179=0,0,ROUND(MAX($J3179*1.4*1.5*1.6*1.6,13100000*(1.429962^(MIN($E3179,123)-117)))*1,0))</f>
        <v>125329</v>
      </c>
      <c r="S3179" s="13">
        <f>$E3179+8</f>
        <v>112</v>
      </c>
      <c r="T3179" s="14">
        <f>IF($J3179=0,0,ROUND(MAX($J3179*1.4*1.5*1.6*1.6*2.2,42600000*(1.576904^(MIN($E3179,123)-117)))*1,0))</f>
        <v>136013</v>
      </c>
      <c r="U3179" s="11">
        <f>$E3179+11</f>
        <v>115</v>
      </c>
      <c r="V3179" s="12">
        <f>IF($J3179=0,0,ROUND(MAX($J3179*1.4*1.5*1.6*1.6*2.2*2.715,354000000*(1.642074^(MIN($E3179,123)-117)))*1,0))</f>
        <v>560916</v>
      </c>
      <c r="W3179" s="13">
        <f>$E3179+15</f>
        <v>119</v>
      </c>
      <c r="X3179" s="14">
        <f>IF($J3179=0,0,ROUND(MAX($J3179*1.4*1.5*1.6*1.6*2.2*2.715*2.6,3540000000*(1.579646^(MIN($E3179,123)-117)))*1,0))</f>
        <v>9283810</v>
      </c>
      <c r="Y3179" s="11">
        <f>$E3179+17</f>
        <v>121</v>
      </c>
      <c r="Z3179" s="12">
        <f>IF($J3179=0,0,ROUND(MAX($J3179*1.4*1.5*1.6*1.6*2.2*2.715*2.6*1.4,6020000000*(1.651178^(MIN($E3179,123)-117)))*1,0))</f>
        <v>8877197</v>
      </c>
      <c r="AA3179" s="13">
        <f>$E3179+19</f>
        <v>123</v>
      </c>
      <c r="AB3179" s="14">
        <f>IF($J3179=0,0,ROUND(MAX($J3179*1.4*1.5*1.6*1.6*2.2*2.715*2.6*1.4*1.4,8430000000*(1.651435^(MIN($E3179,123)-117)))*1,0))</f>
        <v>12405900</v>
      </c>
      <c r="AC3179" s="11">
        <f>$E3179+21</f>
        <v>125</v>
      </c>
      <c r="AD3179" s="12">
        <f>IF($J3179=0,0,ROUND(MAX($J3179*1.4*1.5*1.6*1.6*2.2*2.715*2.6*1.4*1.4*1.5,12600000000*(1.652953^(MIN($E3179,123)-117)))*1,0))</f>
        <v>18322468</v>
      </c>
      <c r="AE3179" s="13">
        <f>$E3179+24</f>
        <v>128</v>
      </c>
      <c r="AF3179" s="14">
        <f>IF($J3179=0,0,ROUND(MAX($J3179*1.4*1.5*1.6*1.6*2.2*2.715*2.6*1.4*1.4*1.5*1.5,18900000000*(1.65331^(MIN($E3179,123)-117)))*1,0))</f>
        <v>27406653</v>
      </c>
      <c r="AG3179" s="11">
        <f>$E3179+27</f>
        <v>131</v>
      </c>
      <c r="AH3179" s="12">
        <f>IF($J3179=0,0,ROUND(MAX($J3179*1.4*1.5*1.6*1.6*2.2*2.715*2.6*1.4*1.4*1.5*1.5*3.2,60500000000*(1.654288^(MIN($E3179,123)-117)))*1,0))</f>
        <v>87058428</v>
      </c>
    </row>
    <row r="3180" ht="28" customHeight="1" spans="1:34" x14ac:dyDescent="0.25">
      <c r="A3180">
        <v>3190</v>
      </c>
      <c r="B3180" t="s">
        <v>1715</v>
      </c>
      <c r="C3180" s="10" t="s">
        <v>1709</v>
      </c>
      <c r="D3180" t="s">
        <v>90</v>
      </c>
      <c r="E3180">
        <v>104</v>
      </c>
      <c r="F3180" t="s">
        <v>54</v>
      </c>
      <c r="G3180" t="s">
        <v>562</v>
      </c>
      <c r="H3180">
        <v>22</v>
      </c>
      <c r="I3180" s="11">
        <f>$E3180+0</f>
        <v>104</v>
      </c>
      <c r="J3180" s="12">
        <v>18300</v>
      </c>
      <c r="K3180" s="13">
        <f>$E3180+1</f>
        <v>105</v>
      </c>
      <c r="L3180" s="14">
        <f>IF($J3180=0,0,ROUND(MAX($J3180*1.4,1620000*(1.497923^(MIN($E3180,123)-117)))*1,0))</f>
        <v>25620</v>
      </c>
      <c r="M3180" s="11">
        <f>$E3180+2</f>
        <v>106</v>
      </c>
      <c r="N3180" s="12">
        <f>IF($J3180=0,0,ROUND(MAX($J3180*1.4*1.5,2190000*(1.580994^(MIN($E3180,123)-117)))*1,0))</f>
        <v>38430</v>
      </c>
      <c r="O3180" s="13">
        <f>$E3180+4</f>
        <v>108</v>
      </c>
      <c r="P3180" s="14">
        <f>IF($J3180=0,0,ROUND(MAX($J3180*1.4*1.5*1.6,3500000*(1.57975^(MIN($E3180,123)-117)))*1,0))</f>
        <v>61488</v>
      </c>
      <c r="Q3180" s="11">
        <f>$E3180+6</f>
        <v>110</v>
      </c>
      <c r="R3180" s="12">
        <f>IF($J3180=0,0,ROUND(MAX($J3180*1.4*1.5*1.6*1.6,13100000*(1.429962^(MIN($E3180,123)-117)))*1,0))</f>
        <v>125329</v>
      </c>
      <c r="S3180" s="13">
        <f>$E3180+8</f>
        <v>112</v>
      </c>
      <c r="T3180" s="14">
        <f>IF($J3180=0,0,ROUND(MAX($J3180*1.4*1.5*1.6*1.6*2.2,42600000*(1.576904^(MIN($E3180,123)-117)))*1,0))</f>
        <v>216438</v>
      </c>
      <c r="U3180" s="11">
        <f>$E3180+11</f>
        <v>115</v>
      </c>
      <c r="V3180" s="12">
        <f>IF($J3180=0,0,ROUND(MAX($J3180*1.4*1.5*1.6*1.6*2.2*2.715,354000000*(1.642074^(MIN($E3180,123)-117)))*1,0))</f>
        <v>587629</v>
      </c>
      <c r="W3180" s="13">
        <f>$E3180+15</f>
        <v>119</v>
      </c>
      <c r="X3180" s="14">
        <f>IF($J3180=0,0,ROUND(MAX($J3180*1.4*1.5*1.6*1.6*2.2*2.715*2.6,3540000000*(1.579646^(MIN($E3180,123)-117)))*1,0))</f>
        <v>9283810</v>
      </c>
      <c r="Y3180" s="11">
        <f>$E3180+17</f>
        <v>121</v>
      </c>
      <c r="Z3180" s="12">
        <f>IF($J3180=0,0,ROUND(MAX($J3180*1.4*1.5*1.6*1.6*2.2*2.715*2.6*1.4,6020000000*(1.651178^(MIN($E3180,123)-117)))*1,0))</f>
        <v>8877197</v>
      </c>
      <c r="AA3180" s="13">
        <f>$E3180+19</f>
        <v>123</v>
      </c>
      <c r="AB3180" s="14">
        <f>IF($J3180=0,0,ROUND(MAX($J3180*1.4*1.5*1.6*1.6*2.2*2.715*2.6*1.4*1.4,8430000000*(1.651435^(MIN($E3180,123)-117)))*1,0))</f>
        <v>12405900</v>
      </c>
      <c r="AC3180" s="11">
        <f>$E3180+21</f>
        <v>125</v>
      </c>
      <c r="AD3180" s="12">
        <f>IF($J3180=0,0,ROUND(MAX($J3180*1.4*1.5*1.6*1.6*2.2*2.715*2.6*1.4*1.4*1.5,12600000000*(1.652953^(MIN($E3180,123)-117)))*1,0))</f>
        <v>18322468</v>
      </c>
      <c r="AE3180" s="13">
        <f>$E3180+24</f>
        <v>128</v>
      </c>
      <c r="AF3180" s="14">
        <f>IF($J3180=0,0,ROUND(MAX($J3180*1.4*1.5*1.6*1.6*2.2*2.715*2.6*1.4*1.4*1.5*1.5,18900000000*(1.65331^(MIN($E3180,123)-117)))*1,0))</f>
        <v>27406653</v>
      </c>
      <c r="AG3180" s="11">
        <f>$E3180+27</f>
        <v>131</v>
      </c>
      <c r="AH3180" s="12">
        <f>IF($J3180=0,0,ROUND(MAX($J3180*1.4*1.5*1.6*1.6*2.2*2.715*2.6*1.4*1.4*1.5*1.5*3.2,60500000000*(1.654288^(MIN($E3180,123)-117)))*1,0))</f>
        <v>87058428</v>
      </c>
    </row>
    <row r="3181" ht="28" customHeight="1" spans="1:34" x14ac:dyDescent="0.25">
      <c r="A3181">
        <v>3191</v>
      </c>
      <c r="B3181" t="s">
        <v>1716</v>
      </c>
      <c r="C3181" s="10" t="s">
        <v>1709</v>
      </c>
      <c r="D3181" t="s">
        <v>25</v>
      </c>
      <c r="E3181">
        <v>104</v>
      </c>
      <c r="F3181" t="s">
        <v>71</v>
      </c>
      <c r="G3181" t="s">
        <v>562</v>
      </c>
      <c r="H3181">
        <v>22</v>
      </c>
      <c r="I3181" s="11">
        <f>$E3181+0</f>
        <v>104</v>
      </c>
      <c r="J3181" s="12">
        <v>8570</v>
      </c>
      <c r="K3181" s="13">
        <f>$E3181+1</f>
        <v>105</v>
      </c>
      <c r="L3181" s="14">
        <f>IF($J3181=0,0,ROUND(MAX($J3181*1.4,1620000*(1.497923^(MIN($E3181,123)-117)))*1,0))</f>
        <v>11998</v>
      </c>
      <c r="M3181" s="11">
        <f>$E3181+2</f>
        <v>106</v>
      </c>
      <c r="N3181" s="12">
        <f>IF($J3181=0,0,ROUND(MAX($J3181*1.4*1.5,2190000*(1.580994^(MIN($E3181,123)-117)))*1,0))</f>
        <v>17997</v>
      </c>
      <c r="O3181" s="13">
        <f>$E3181+4</f>
        <v>108</v>
      </c>
      <c r="P3181" s="14">
        <f>IF($J3181=0,0,ROUND(MAX($J3181*1.4*1.5*1.6,3500000*(1.57975^(MIN($E3181,123)-117)))*1,0))</f>
        <v>28795</v>
      </c>
      <c r="Q3181" s="11">
        <f>$E3181+6</f>
        <v>110</v>
      </c>
      <c r="R3181" s="12">
        <f>IF($J3181=0,0,ROUND(MAX($J3181*1.4*1.5*1.6*1.6,13100000*(1.429962^(MIN($E3181,123)-117)))*1,0))</f>
        <v>125329</v>
      </c>
      <c r="S3181" s="13">
        <f>$E3181+8</f>
        <v>112</v>
      </c>
      <c r="T3181" s="14">
        <f>IF($J3181=0,0,ROUND(MAX($J3181*1.4*1.5*1.6*1.6*2.2,42600000*(1.576904^(MIN($E3181,123)-117)))*1,0))</f>
        <v>114272</v>
      </c>
      <c r="U3181" s="11">
        <f>$E3181+11</f>
        <v>115</v>
      </c>
      <c r="V3181" s="12">
        <f>IF($J3181=0,0,ROUND(MAX($J3181*1.4*1.5*1.6*1.6*2.2*2.715,354000000*(1.642074^(MIN($E3181,123)-117)))*1,0))</f>
        <v>560916</v>
      </c>
      <c r="W3181" s="13">
        <f>$E3181+15</f>
        <v>119</v>
      </c>
      <c r="X3181" s="14">
        <f>IF($J3181=0,0,ROUND(MAX($J3181*1.4*1.5*1.6*1.6*2.2*2.715*2.6,3540000000*(1.579646^(MIN($E3181,123)-117)))*1,0))</f>
        <v>9283810</v>
      </c>
      <c r="Y3181" s="11">
        <f>$E3181+17</f>
        <v>121</v>
      </c>
      <c r="Z3181" s="12">
        <f>IF($J3181=0,0,ROUND(MAX($J3181*1.4*1.5*1.6*1.6*2.2*2.715*2.6*1.4,6020000000*(1.651178^(MIN($E3181,123)-117)))*1,0))</f>
        <v>8877197</v>
      </c>
      <c r="AA3181" s="13">
        <f>$E3181+19</f>
        <v>123</v>
      </c>
      <c r="AB3181" s="14">
        <f>IF($J3181=0,0,ROUND(MAX($J3181*1.4*1.5*1.6*1.6*2.2*2.715*2.6*1.4*1.4,8430000000*(1.651435^(MIN($E3181,123)-117)))*1,0))</f>
        <v>12405900</v>
      </c>
      <c r="AC3181" s="11">
        <f>$E3181+21</f>
        <v>125</v>
      </c>
      <c r="AD3181" s="12">
        <f>IF($J3181=0,0,ROUND(MAX($J3181*1.4*1.5*1.6*1.6*2.2*2.715*2.6*1.4*1.4*1.5,12600000000*(1.652953^(MIN($E3181,123)-117)))*1,0))</f>
        <v>18322468</v>
      </c>
      <c r="AE3181" s="13">
        <f>$E3181+24</f>
        <v>128</v>
      </c>
      <c r="AF3181" s="14">
        <f>IF($J3181=0,0,ROUND(MAX($J3181*1.4*1.5*1.6*1.6*2.2*2.715*2.6*1.4*1.4*1.5*1.5,18900000000*(1.65331^(MIN($E3181,123)-117)))*1,0))</f>
        <v>27406653</v>
      </c>
      <c r="AG3181" s="11">
        <f>$E3181+27</f>
        <v>131</v>
      </c>
      <c r="AH3181" s="12">
        <f>IF($J3181=0,0,ROUND(MAX($J3181*1.4*1.5*1.6*1.6*2.2*2.715*2.6*1.4*1.4*1.5*1.5*3.2,60500000000*(1.654288^(MIN($E3181,123)-117)))*1,0))</f>
        <v>87058428</v>
      </c>
    </row>
    <row r="3182" ht="28" customHeight="1" spans="1:34" x14ac:dyDescent="0.25">
      <c r="A3182">
        <v>3192</v>
      </c>
      <c r="B3182" t="s">
        <v>795</v>
      </c>
      <c r="C3182" s="10" t="s">
        <v>1709</v>
      </c>
      <c r="D3182" t="s">
        <v>79</v>
      </c>
      <c r="E3182">
        <v>104</v>
      </c>
      <c r="F3182" t="s">
        <v>71</v>
      </c>
      <c r="G3182" t="s">
        <v>200</v>
      </c>
      <c r="H3182">
        <v>22</v>
      </c>
      <c r="I3182" s="11">
        <f>$E3182+0</f>
        <v>104</v>
      </c>
      <c r="J3182" s="12">
        <v>17100</v>
      </c>
      <c r="K3182" s="13">
        <f>$E3182+1</f>
        <v>105</v>
      </c>
      <c r="L3182" s="14">
        <f>IF($J3182=0,0,ROUND(MAX($J3182*1.4,1620000*(1.497923^(MIN($E3182,123)-117)))*1,0))</f>
        <v>23940</v>
      </c>
      <c r="M3182" s="11">
        <f>$E3182+2</f>
        <v>106</v>
      </c>
      <c r="N3182" s="12">
        <f>IF($J3182=0,0,ROUND(MAX($J3182*1.4*1.5,2190000*(1.580994^(MIN($E3182,123)-117)))*1,0))</f>
        <v>35910</v>
      </c>
      <c r="O3182" s="13">
        <f>$E3182+4</f>
        <v>108</v>
      </c>
      <c r="P3182" s="14">
        <f>IF($J3182=0,0,ROUND(MAX($J3182*1.4*1.5*1.6,3500000*(1.57975^(MIN($E3182,123)-117)))*1,0))</f>
        <v>57456</v>
      </c>
      <c r="Q3182" s="11">
        <f>$E3182+6</f>
        <v>110</v>
      </c>
      <c r="R3182" s="12">
        <f>IF($J3182=0,0,ROUND(MAX($J3182*1.4*1.5*1.6*1.6,13100000*(1.429962^(MIN($E3182,123)-117)))*1,0))</f>
        <v>125329</v>
      </c>
      <c r="S3182" s="13">
        <f>$E3182+8</f>
        <v>112</v>
      </c>
      <c r="T3182" s="14">
        <f>IF($J3182=0,0,ROUND(MAX($J3182*1.4*1.5*1.6*1.6*2.2,42600000*(1.576904^(MIN($E3182,123)-117)))*1,0))</f>
        <v>202245</v>
      </c>
      <c r="U3182" s="11">
        <f>$E3182+11</f>
        <v>115</v>
      </c>
      <c r="V3182" s="12">
        <f>IF($J3182=0,0,ROUND(MAX($J3182*1.4*1.5*1.6*1.6*2.2*2.715,354000000*(1.642074^(MIN($E3182,123)-117)))*1,0))</f>
        <v>560916</v>
      </c>
      <c r="W3182" s="13">
        <f>$E3182+15</f>
        <v>119</v>
      </c>
      <c r="X3182" s="14">
        <f>IF($J3182=0,0,ROUND(MAX($J3182*1.4*1.5*1.6*1.6*2.2*2.715*2.6,3540000000*(1.579646^(MIN($E3182,123)-117)))*1,0))</f>
        <v>9283810</v>
      </c>
      <c r="Y3182" s="11">
        <f>$E3182+17</f>
        <v>121</v>
      </c>
      <c r="Z3182" s="12">
        <f>IF($J3182=0,0,ROUND(MAX($J3182*1.4*1.5*1.6*1.6*2.2*2.715*2.6*1.4,6020000000*(1.651178^(MIN($E3182,123)-117)))*1,0))</f>
        <v>8877197</v>
      </c>
      <c r="AA3182" s="13">
        <f>$E3182+19</f>
        <v>123</v>
      </c>
      <c r="AB3182" s="14">
        <f>IF($J3182=0,0,ROUND(MAX($J3182*1.4*1.5*1.6*1.6*2.2*2.715*2.6*1.4*1.4,8430000000*(1.651435^(MIN($E3182,123)-117)))*1,0))</f>
        <v>12405900</v>
      </c>
      <c r="AC3182" s="11">
        <f>$E3182+21</f>
        <v>125</v>
      </c>
      <c r="AD3182" s="12">
        <f>IF($J3182=0,0,ROUND(MAX($J3182*1.4*1.5*1.6*1.6*2.2*2.715*2.6*1.4*1.4*1.5,12600000000*(1.652953^(MIN($E3182,123)-117)))*1,0))</f>
        <v>18322468</v>
      </c>
      <c r="AE3182" s="13">
        <f>$E3182+24</f>
        <v>128</v>
      </c>
      <c r="AF3182" s="14">
        <f>IF($J3182=0,0,ROUND(MAX($J3182*1.4*1.5*1.6*1.6*2.2*2.715*2.6*1.4*1.4*1.5*1.5,18900000000*(1.65331^(MIN($E3182,123)-117)))*1,0))</f>
        <v>27406653</v>
      </c>
      <c r="AG3182" s="11">
        <f>$E3182+27</f>
        <v>131</v>
      </c>
      <c r="AH3182" s="12">
        <f>IF($J3182=0,0,ROUND(MAX($J3182*1.4*1.5*1.6*1.6*2.2*2.715*2.6*1.4*1.4*1.5*1.5*3.2,60500000000*(1.654288^(MIN($E3182,123)-117)))*1,0))</f>
        <v>87058428</v>
      </c>
    </row>
    <row r="3183" ht="28" customHeight="1" spans="1:34" x14ac:dyDescent="0.25">
      <c r="A3183">
        <v>3193</v>
      </c>
      <c r="B3183" t="s">
        <v>115</v>
      </c>
      <c r="C3183" s="10" t="s">
        <v>1709</v>
      </c>
      <c r="D3183" t="s">
        <v>40</v>
      </c>
      <c r="E3183">
        <v>104</v>
      </c>
      <c r="F3183" t="s">
        <v>116</v>
      </c>
      <c r="G3183" t="s">
        <v>562</v>
      </c>
      <c r="H3183">
        <v>22</v>
      </c>
      <c r="I3183" s="11">
        <f>$E3183+0</f>
        <v>104</v>
      </c>
      <c r="J3183" s="12">
        <v>10800</v>
      </c>
      <c r="K3183" s="13">
        <f>$E3183+1</f>
        <v>105</v>
      </c>
      <c r="L3183" s="14">
        <f>IF($J3183=0,0,ROUND(MAX($J3183*1.4,1620000*(1.497923^(MIN($E3183,123)-117)))*1,0))</f>
        <v>15120</v>
      </c>
      <c r="M3183" s="11">
        <f>$E3183+2</f>
        <v>106</v>
      </c>
      <c r="N3183" s="12">
        <f>IF($J3183=0,0,ROUND(MAX($J3183*1.4*1.5,2190000*(1.580994^(MIN($E3183,123)-117)))*1,0))</f>
        <v>22680</v>
      </c>
      <c r="O3183" s="13">
        <f>$E3183+4</f>
        <v>108</v>
      </c>
      <c r="P3183" s="14">
        <f>IF($J3183=0,0,ROUND(MAX($J3183*1.4*1.5*1.6,3500000*(1.57975^(MIN($E3183,123)-117)))*1,0))</f>
        <v>36288</v>
      </c>
      <c r="Q3183" s="11">
        <f>$E3183+6</f>
        <v>110</v>
      </c>
      <c r="R3183" s="12">
        <f>IF($J3183=0,0,ROUND(MAX($J3183*1.4*1.5*1.6*1.6,13100000*(1.429962^(MIN($E3183,123)-117)))*1,0))</f>
        <v>125329</v>
      </c>
      <c r="S3183" s="13">
        <f>$E3183+8</f>
        <v>112</v>
      </c>
      <c r="T3183" s="14">
        <f>IF($J3183=0,0,ROUND(MAX($J3183*1.4*1.5*1.6*1.6*2.2,42600000*(1.576904^(MIN($E3183,123)-117)))*1,0))</f>
        <v>127734</v>
      </c>
      <c r="U3183" s="11">
        <f>$E3183+11</f>
        <v>115</v>
      </c>
      <c r="V3183" s="12">
        <f>IF($J3183=0,0,ROUND(MAX($J3183*1.4*1.5*1.6*1.6*2.2*2.715,354000000*(1.642074^(MIN($E3183,123)-117)))*1,0))</f>
        <v>560916</v>
      </c>
      <c r="W3183" s="13">
        <f>$E3183+15</f>
        <v>119</v>
      </c>
      <c r="X3183" s="14">
        <f>IF($J3183=0,0,ROUND(MAX($J3183*1.4*1.5*1.6*1.6*2.2*2.715*2.6,3540000000*(1.579646^(MIN($E3183,123)-117)))*1,0))</f>
        <v>9283810</v>
      </c>
      <c r="Y3183" s="11">
        <f>$E3183+17</f>
        <v>121</v>
      </c>
      <c r="Z3183" s="12">
        <f>IF($J3183=0,0,ROUND(MAX($J3183*1.4*1.5*1.6*1.6*2.2*2.715*2.6*1.4,6020000000*(1.651178^(MIN($E3183,123)-117)))*1,0))</f>
        <v>8877197</v>
      </c>
      <c r="AA3183" s="13">
        <f>$E3183+19</f>
        <v>123</v>
      </c>
      <c r="AB3183" s="14">
        <f>IF($J3183=0,0,ROUND(MAX($J3183*1.4*1.5*1.6*1.6*2.2*2.715*2.6*1.4*1.4,8430000000*(1.651435^(MIN($E3183,123)-117)))*1,0))</f>
        <v>12405900</v>
      </c>
      <c r="AC3183" s="11">
        <f>$E3183+21</f>
        <v>125</v>
      </c>
      <c r="AD3183" s="12">
        <f>IF($J3183=0,0,ROUND(MAX($J3183*1.4*1.5*1.6*1.6*2.2*2.715*2.6*1.4*1.4*1.5,12600000000*(1.652953^(MIN($E3183,123)-117)))*1,0))</f>
        <v>18322468</v>
      </c>
      <c r="AE3183" s="13">
        <f>$E3183+24</f>
        <v>128</v>
      </c>
      <c r="AF3183" s="14">
        <f>IF($J3183=0,0,ROUND(MAX($J3183*1.4*1.5*1.6*1.6*2.2*2.715*2.6*1.4*1.4*1.5*1.5,18900000000*(1.65331^(MIN($E3183,123)-117)))*1,0))</f>
        <v>27406653</v>
      </c>
      <c r="AG3183" s="11">
        <f>$E3183+27</f>
        <v>131</v>
      </c>
      <c r="AH3183" s="12">
        <f>IF($J3183=0,0,ROUND(MAX($J3183*1.4*1.5*1.6*1.6*2.2*2.715*2.6*1.4*1.4*1.5*1.5*3.2,60500000000*(1.654288^(MIN($E3183,123)-117)))*1,0))</f>
        <v>87058428</v>
      </c>
    </row>
    <row r="3184" ht="28" customHeight="1" spans="1:34" x14ac:dyDescent="0.25">
      <c r="A3184">
        <v>3194</v>
      </c>
      <c r="B3184" t="s">
        <v>161</v>
      </c>
      <c r="C3184" s="10" t="s">
        <v>1709</v>
      </c>
      <c r="D3184" t="s">
        <v>79</v>
      </c>
      <c r="E3184">
        <v>103</v>
      </c>
      <c r="F3184" t="s">
        <v>54</v>
      </c>
      <c r="G3184" t="s">
        <v>562</v>
      </c>
      <c r="H3184">
        <v>23</v>
      </c>
      <c r="I3184" s="11">
        <f>$E3184+0</f>
        <v>103</v>
      </c>
      <c r="J3184" s="12">
        <v>5000</v>
      </c>
      <c r="K3184" s="13">
        <f>$E3184+1</f>
        <v>104</v>
      </c>
      <c r="L3184" s="14">
        <f>IF($J3184=0,0,ROUND(MAX($J3184*1.4,1620000*(1.497923^(MIN($E3184,123)-117)))*1,0))</f>
        <v>7000</v>
      </c>
      <c r="M3184" s="11">
        <f>$E3184+2</f>
        <v>105</v>
      </c>
      <c r="N3184" s="12">
        <f>IF($J3184=0,0,ROUND(MAX($J3184*1.4*1.5,2190000*(1.580994^(MIN($E3184,123)-117)))*1,0))</f>
        <v>10500</v>
      </c>
      <c r="O3184" s="13">
        <f>$E3184+4</f>
        <v>107</v>
      </c>
      <c r="P3184" s="14">
        <f>IF($J3184=0,0,ROUND(MAX($J3184*1.4*1.5*1.6,3500000*(1.57975^(MIN($E3184,123)-117)))*1,0))</f>
        <v>16800</v>
      </c>
      <c r="Q3184" s="11">
        <f>$E3184+6</f>
        <v>109</v>
      </c>
      <c r="R3184" s="12">
        <f>IF($J3184=0,0,ROUND(MAX($J3184*1.4*1.5*1.6*1.6,13100000*(1.429962^(MIN($E3184,123)-117)))*1,0))</f>
        <v>87645</v>
      </c>
      <c r="S3184" s="13">
        <f>$E3184+8</f>
        <v>111</v>
      </c>
      <c r="T3184" s="14">
        <f>IF($J3184=0,0,ROUND(MAX($J3184*1.4*1.5*1.6*1.6*2.2,42600000*(1.576904^(MIN($E3184,123)-117)))*1,0))</f>
        <v>72466</v>
      </c>
      <c r="U3184" s="11">
        <f>$E3184+11</f>
        <v>114</v>
      </c>
      <c r="V3184" s="12">
        <f>IF($J3184=0,0,ROUND(MAX($J3184*1.4*1.5*1.6*1.6*2.2*2.715,354000000*(1.642074^(MIN($E3184,123)-117)))*1,0))</f>
        <v>341590</v>
      </c>
      <c r="W3184" s="13">
        <f>$E3184+15</f>
        <v>118</v>
      </c>
      <c r="X3184" s="14">
        <f>IF($J3184=0,0,ROUND(MAX($J3184*1.4*1.5*1.6*1.6*2.2*2.715*2.6,3540000000*(1.579646^(MIN($E3184,123)-117)))*1,0))</f>
        <v>5877146</v>
      </c>
      <c r="Y3184" s="11">
        <f>$E3184+17</f>
        <v>120</v>
      </c>
      <c r="Z3184" s="12">
        <f>IF($J3184=0,0,ROUND(MAX($J3184*1.4*1.5*1.6*1.6*2.2*2.715*2.6*1.4,6020000000*(1.651178^(MIN($E3184,123)-117)))*1,0))</f>
        <v>5376281</v>
      </c>
      <c r="AA3184" s="13">
        <f>$E3184+19</f>
        <v>122</v>
      </c>
      <c r="AB3184" s="14">
        <f>IF($J3184=0,0,ROUND(MAX($J3184*1.4*1.5*1.6*1.6*2.2*2.715*2.6*1.4*1.4,8430000000*(1.651435^(MIN($E3184,123)-117)))*1,0))</f>
        <v>7512194</v>
      </c>
      <c r="AC3184" s="11">
        <f>$E3184+21</f>
        <v>124</v>
      </c>
      <c r="AD3184" s="12">
        <f>IF($J3184=0,0,ROUND(MAX($J3184*1.4*1.5*1.6*1.6*2.2*2.715*2.6*1.4*1.4*1.5,12600000000*(1.652953^(MIN($E3184,123)-117)))*1,0))</f>
        <v>11084688</v>
      </c>
      <c r="AE3184" s="13">
        <f>$E3184+24</f>
        <v>127</v>
      </c>
      <c r="AF3184" s="14">
        <f>IF($J3184=0,0,ROUND(MAX($J3184*1.4*1.5*1.6*1.6*2.2*2.715*2.6*1.4*1.4*1.5*1.5,18900000000*(1.65331^(MIN($E3184,123)-117)))*1,0))</f>
        <v>16576839</v>
      </c>
      <c r="AG3184" s="11">
        <f>$E3184+27</f>
        <v>130</v>
      </c>
      <c r="AH3184" s="12">
        <f>IF($J3184=0,0,ROUND(MAX($J3184*1.4*1.5*1.6*1.6*2.2*2.715*2.6*1.4*1.4*1.5*1.5*3.2,60500000000*(1.654288^(MIN($E3184,123)-117)))*1,0))</f>
        <v>52625920</v>
      </c>
    </row>
    <row r="3185" ht="28" customHeight="1" spans="1:34" x14ac:dyDescent="0.25">
      <c r="A3185">
        <v>3195</v>
      </c>
      <c r="B3185" t="s">
        <v>1717</v>
      </c>
      <c r="C3185" s="10" t="s">
        <v>1709</v>
      </c>
      <c r="D3185" t="s">
        <v>45</v>
      </c>
      <c r="E3185">
        <v>103</v>
      </c>
      <c r="F3185" t="s">
        <v>59</v>
      </c>
      <c r="G3185" t="s">
        <v>828</v>
      </c>
      <c r="H3185">
        <v>22</v>
      </c>
      <c r="I3185" s="11">
        <f>$E3185+0</f>
        <v>103</v>
      </c>
      <c r="J3185" s="12">
        <v>11300</v>
      </c>
      <c r="K3185" s="13">
        <f>$E3185+1</f>
        <v>104</v>
      </c>
      <c r="L3185" s="14">
        <f>IF($J3185=0,0,ROUND(MAX($J3185*1.4,1620000*(1.497923^(MIN($E3185,123)-117)))*1,0))</f>
        <v>15820</v>
      </c>
      <c r="M3185" s="11">
        <f>$E3185+2</f>
        <v>105</v>
      </c>
      <c r="N3185" s="12">
        <f>IF($J3185=0,0,ROUND(MAX($J3185*1.4*1.5,2190000*(1.580994^(MIN($E3185,123)-117)))*1,0))</f>
        <v>23730</v>
      </c>
      <c r="O3185" s="13">
        <f>$E3185+4</f>
        <v>107</v>
      </c>
      <c r="P3185" s="14">
        <f>IF($J3185=0,0,ROUND(MAX($J3185*1.4*1.5*1.6,3500000*(1.57975^(MIN($E3185,123)-117)))*1,0))</f>
        <v>37968</v>
      </c>
      <c r="Q3185" s="11">
        <f>$E3185+6</f>
        <v>109</v>
      </c>
      <c r="R3185" s="12">
        <f>IF($J3185=0,0,ROUND(MAX($J3185*1.4*1.5*1.6*1.6,13100000*(1.429962^(MIN($E3185,123)-117)))*1,0))</f>
        <v>87645</v>
      </c>
      <c r="S3185" s="13">
        <f>$E3185+8</f>
        <v>111</v>
      </c>
      <c r="T3185" s="14">
        <f>IF($J3185=0,0,ROUND(MAX($J3185*1.4*1.5*1.6*1.6*2.2,42600000*(1.576904^(MIN($E3185,123)-117)))*1,0))</f>
        <v>133647</v>
      </c>
      <c r="U3185" s="11">
        <f>$E3185+11</f>
        <v>114</v>
      </c>
      <c r="V3185" s="12">
        <f>IF($J3185=0,0,ROUND(MAX($J3185*1.4*1.5*1.6*1.6*2.2*2.715,354000000*(1.642074^(MIN($E3185,123)-117)))*1,0))</f>
        <v>362853</v>
      </c>
      <c r="W3185" s="13">
        <f>$E3185+15</f>
        <v>118</v>
      </c>
      <c r="X3185" s="14">
        <f>IF($J3185=0,0,ROUND(MAX($J3185*1.4*1.5*1.6*1.6*2.2*2.715*2.6,3540000000*(1.579646^(MIN($E3185,123)-117)))*1,0))</f>
        <v>5877146</v>
      </c>
      <c r="Y3185" s="11">
        <f>$E3185+17</f>
        <v>120</v>
      </c>
      <c r="Z3185" s="12">
        <f>IF($J3185=0,0,ROUND(MAX($J3185*1.4*1.5*1.6*1.6*2.2*2.715*2.6*1.4,6020000000*(1.651178^(MIN($E3185,123)-117)))*1,0))</f>
        <v>5376281</v>
      </c>
      <c r="AA3185" s="13">
        <f>$E3185+19</f>
        <v>122</v>
      </c>
      <c r="AB3185" s="14">
        <f>IF($J3185=0,0,ROUND(MAX($J3185*1.4*1.5*1.6*1.6*2.2*2.715*2.6*1.4*1.4,8430000000*(1.651435^(MIN($E3185,123)-117)))*1,0))</f>
        <v>7512194</v>
      </c>
      <c r="AC3185" s="11">
        <f>$E3185+21</f>
        <v>124</v>
      </c>
      <c r="AD3185" s="12">
        <f>IF($J3185=0,0,ROUND(MAX($J3185*1.4*1.5*1.6*1.6*2.2*2.715*2.6*1.4*1.4*1.5,12600000000*(1.652953^(MIN($E3185,123)-117)))*1,0))</f>
        <v>11084688</v>
      </c>
      <c r="AE3185" s="13">
        <f>$E3185+24</f>
        <v>127</v>
      </c>
      <c r="AF3185" s="14">
        <f>IF($J3185=0,0,ROUND(MAX($J3185*1.4*1.5*1.6*1.6*2.2*2.715*2.6*1.4*1.4*1.5*1.5,18900000000*(1.65331^(MIN($E3185,123)-117)))*1,0))</f>
        <v>16576839</v>
      </c>
      <c r="AG3185" s="11">
        <f>$E3185+27</f>
        <v>130</v>
      </c>
      <c r="AH3185" s="12">
        <f>IF($J3185=0,0,ROUND(MAX($J3185*1.4*1.5*1.6*1.6*2.2*2.715*2.6*1.4*1.4*1.5*1.5*3.2,60500000000*(1.654288^(MIN($E3185,123)-117)))*1,0))</f>
        <v>52625920</v>
      </c>
    </row>
    <row r="3186" ht="28" customHeight="1" spans="1:34" x14ac:dyDescent="0.25">
      <c r="A3186">
        <v>3196</v>
      </c>
      <c r="B3186" t="s">
        <v>892</v>
      </c>
      <c r="C3186" s="10" t="s">
        <v>1709</v>
      </c>
      <c r="D3186" t="s">
        <v>33</v>
      </c>
      <c r="E3186">
        <v>103</v>
      </c>
      <c r="F3186" t="s">
        <v>42</v>
      </c>
      <c r="G3186" t="s">
        <v>242</v>
      </c>
      <c r="H3186">
        <v>22</v>
      </c>
      <c r="I3186" s="11">
        <f>$E3186+0</f>
        <v>103</v>
      </c>
      <c r="J3186" s="12">
        <v>2980</v>
      </c>
      <c r="K3186" s="13">
        <f>$E3186+1</f>
        <v>104</v>
      </c>
      <c r="L3186" s="14">
        <f>IF($J3186=0,0,ROUND(MAX($J3186*1.4,1620000*(1.497923^(MIN($E3186,123)-117)))*1,0))</f>
        <v>5658</v>
      </c>
      <c r="M3186" s="11">
        <f>$E3186+2</f>
        <v>105</v>
      </c>
      <c r="N3186" s="12">
        <f>IF($J3186=0,0,ROUND(MAX($J3186*1.4*1.5,2190000*(1.580994^(MIN($E3186,123)-117)))*1,0))</f>
        <v>6258</v>
      </c>
      <c r="O3186" s="13">
        <f>$E3186+4</f>
        <v>107</v>
      </c>
      <c r="P3186" s="14">
        <f>IF($J3186=0,0,ROUND(MAX($J3186*1.4*1.5*1.6,3500000*(1.57975^(MIN($E3186,123)-117)))*1,0))</f>
        <v>10013</v>
      </c>
      <c r="Q3186" s="11">
        <f>$E3186+6</f>
        <v>109</v>
      </c>
      <c r="R3186" s="12">
        <f>IF($J3186=0,0,ROUND(MAX($J3186*1.4*1.5*1.6*1.6,13100000*(1.429962^(MIN($E3186,123)-117)))*1,0))</f>
        <v>87645</v>
      </c>
      <c r="S3186" s="13">
        <f>$E3186+8</f>
        <v>111</v>
      </c>
      <c r="T3186" s="14">
        <f>IF($J3186=0,0,ROUND(MAX($J3186*1.4*1.5*1.6*1.6*2.2,42600000*(1.576904^(MIN($E3186,123)-117)))*1,0))</f>
        <v>72466</v>
      </c>
      <c r="U3186" s="11">
        <f>$E3186+11</f>
        <v>114</v>
      </c>
      <c r="V3186" s="12">
        <f>IF($J3186=0,0,ROUND(MAX($J3186*1.4*1.5*1.6*1.6*2.2*2.715,354000000*(1.642074^(MIN($E3186,123)-117)))*1,0))</f>
        <v>341590</v>
      </c>
      <c r="W3186" s="13">
        <f>$E3186+15</f>
        <v>118</v>
      </c>
      <c r="X3186" s="14">
        <f>IF($J3186=0,0,ROUND(MAX($J3186*1.4*1.5*1.6*1.6*2.2*2.715*2.6,3540000000*(1.579646^(MIN($E3186,123)-117)))*1,0))</f>
        <v>5877146</v>
      </c>
      <c r="Y3186" s="11">
        <f>$E3186+17</f>
        <v>120</v>
      </c>
      <c r="Z3186" s="12">
        <f>IF($J3186=0,0,ROUND(MAX($J3186*1.4*1.5*1.6*1.6*2.2*2.715*2.6*1.4,6020000000*(1.651178^(MIN($E3186,123)-117)))*1,0))</f>
        <v>5376281</v>
      </c>
      <c r="AA3186" s="13">
        <f>$E3186+19</f>
        <v>122</v>
      </c>
      <c r="AB3186" s="14">
        <f>IF($J3186=0,0,ROUND(MAX($J3186*1.4*1.5*1.6*1.6*2.2*2.715*2.6*1.4*1.4,8430000000*(1.651435^(MIN($E3186,123)-117)))*1,0))</f>
        <v>7512194</v>
      </c>
      <c r="AC3186" s="11">
        <f>$E3186+21</f>
        <v>124</v>
      </c>
      <c r="AD3186" s="12">
        <f>IF($J3186=0,0,ROUND(MAX($J3186*1.4*1.5*1.6*1.6*2.2*2.715*2.6*1.4*1.4*1.5,12600000000*(1.652953^(MIN($E3186,123)-117)))*1,0))</f>
        <v>11084688</v>
      </c>
      <c r="AE3186" s="13">
        <f>$E3186+24</f>
        <v>127</v>
      </c>
      <c r="AF3186" s="14">
        <f>IF($J3186=0,0,ROUND(MAX($J3186*1.4*1.5*1.6*1.6*2.2*2.715*2.6*1.4*1.4*1.5*1.5,18900000000*(1.65331^(MIN($E3186,123)-117)))*1,0))</f>
        <v>16576839</v>
      </c>
      <c r="AG3186" s="11">
        <f>$E3186+27</f>
        <v>130</v>
      </c>
      <c r="AH3186" s="12">
        <f>IF($J3186=0,0,ROUND(MAX($J3186*1.4*1.5*1.6*1.6*2.2*2.715*2.6*1.4*1.4*1.5*1.5*3.2,60500000000*(1.654288^(MIN($E3186,123)-117)))*1,0))</f>
        <v>52625920</v>
      </c>
    </row>
    <row r="3187" ht="28" customHeight="1" spans="1:34" x14ac:dyDescent="0.25">
      <c r="A3187">
        <v>3197</v>
      </c>
      <c r="B3187" t="s">
        <v>1718</v>
      </c>
      <c r="C3187" s="10" t="s">
        <v>1709</v>
      </c>
      <c r="D3187" t="s">
        <v>40</v>
      </c>
      <c r="E3187">
        <v>103</v>
      </c>
      <c r="F3187" t="s">
        <v>412</v>
      </c>
      <c r="G3187" t="s">
        <v>562</v>
      </c>
      <c r="H3187">
        <v>22</v>
      </c>
      <c r="I3187" s="11">
        <f>$E3187+0</f>
        <v>103</v>
      </c>
      <c r="J3187" s="12">
        <v>4740</v>
      </c>
      <c r="K3187" s="13">
        <f>$E3187+1</f>
        <v>104</v>
      </c>
      <c r="L3187" s="14">
        <f>IF($J3187=0,0,ROUND(MAX($J3187*1.4,1620000*(1.497923^(MIN($E3187,123)-117)))*1,0))</f>
        <v>6636</v>
      </c>
      <c r="M3187" s="11">
        <f>$E3187+2</f>
        <v>105</v>
      </c>
      <c r="N3187" s="12">
        <f>IF($J3187=0,0,ROUND(MAX($J3187*1.4*1.5,2190000*(1.580994^(MIN($E3187,123)-117)))*1,0))</f>
        <v>9954</v>
      </c>
      <c r="O3187" s="13">
        <f>$E3187+4</f>
        <v>107</v>
      </c>
      <c r="P3187" s="14">
        <f>IF($J3187=0,0,ROUND(MAX($J3187*1.4*1.5*1.6,3500000*(1.57975^(MIN($E3187,123)-117)))*1,0))</f>
        <v>15926</v>
      </c>
      <c r="Q3187" s="11">
        <f>$E3187+6</f>
        <v>109</v>
      </c>
      <c r="R3187" s="12">
        <f>IF($J3187=0,0,ROUND(MAX($J3187*1.4*1.5*1.6*1.6,13100000*(1.429962^(MIN($E3187,123)-117)))*1,0))</f>
        <v>87645</v>
      </c>
      <c r="S3187" s="13">
        <f>$E3187+8</f>
        <v>111</v>
      </c>
      <c r="T3187" s="14">
        <f>IF($J3187=0,0,ROUND(MAX($J3187*1.4*1.5*1.6*1.6*2.2,42600000*(1.576904^(MIN($E3187,123)-117)))*1,0))</f>
        <v>72466</v>
      </c>
      <c r="U3187" s="11">
        <f>$E3187+11</f>
        <v>114</v>
      </c>
      <c r="V3187" s="12">
        <f>IF($J3187=0,0,ROUND(MAX($J3187*1.4*1.5*1.6*1.6*2.2*2.715,354000000*(1.642074^(MIN($E3187,123)-117)))*1,0))</f>
        <v>341590</v>
      </c>
      <c r="W3187" s="13">
        <f>$E3187+15</f>
        <v>118</v>
      </c>
      <c r="X3187" s="14">
        <f>IF($J3187=0,0,ROUND(MAX($J3187*1.4*1.5*1.6*1.6*2.2*2.715*2.6,3540000000*(1.579646^(MIN($E3187,123)-117)))*1,0))</f>
        <v>5877146</v>
      </c>
      <c r="Y3187" s="11">
        <f>$E3187+17</f>
        <v>120</v>
      </c>
      <c r="Z3187" s="12">
        <f>IF($J3187=0,0,ROUND(MAX($J3187*1.4*1.5*1.6*1.6*2.2*2.715*2.6*1.4,6020000000*(1.651178^(MIN($E3187,123)-117)))*1,0))</f>
        <v>5376281</v>
      </c>
      <c r="AA3187" s="13">
        <f>$E3187+19</f>
        <v>122</v>
      </c>
      <c r="AB3187" s="14">
        <f>IF($J3187=0,0,ROUND(MAX($J3187*1.4*1.5*1.6*1.6*2.2*2.715*2.6*1.4*1.4,8430000000*(1.651435^(MIN($E3187,123)-117)))*1,0))</f>
        <v>7512194</v>
      </c>
      <c r="AC3187" s="11">
        <f>$E3187+21</f>
        <v>124</v>
      </c>
      <c r="AD3187" s="12">
        <f>IF($J3187=0,0,ROUND(MAX($J3187*1.4*1.5*1.6*1.6*2.2*2.715*2.6*1.4*1.4*1.5,12600000000*(1.652953^(MIN($E3187,123)-117)))*1,0))</f>
        <v>11084688</v>
      </c>
      <c r="AE3187" s="13">
        <f>$E3187+24</f>
        <v>127</v>
      </c>
      <c r="AF3187" s="14">
        <f>IF($J3187=0,0,ROUND(MAX($J3187*1.4*1.5*1.6*1.6*2.2*2.715*2.6*1.4*1.4*1.5*1.5,18900000000*(1.65331^(MIN($E3187,123)-117)))*1,0))</f>
        <v>16576839</v>
      </c>
      <c r="AG3187" s="11">
        <f>$E3187+27</f>
        <v>130</v>
      </c>
      <c r="AH3187" s="12">
        <f>IF($J3187=0,0,ROUND(MAX($J3187*1.4*1.5*1.6*1.6*2.2*2.715*2.6*1.4*1.4*1.5*1.5*3.2,60500000000*(1.654288^(MIN($E3187,123)-117)))*1,0))</f>
        <v>52625920</v>
      </c>
    </row>
    <row r="3188" ht="28" customHeight="1" spans="1:34" x14ac:dyDescent="0.25">
      <c r="A3188">
        <v>3198</v>
      </c>
      <c r="B3188" t="s">
        <v>1719</v>
      </c>
      <c r="C3188" s="10" t="s">
        <v>1709</v>
      </c>
      <c r="D3188" t="s">
        <v>40</v>
      </c>
      <c r="E3188">
        <v>103</v>
      </c>
      <c r="F3188" t="s">
        <v>116</v>
      </c>
      <c r="G3188" t="s">
        <v>1238</v>
      </c>
      <c r="H3188">
        <v>22</v>
      </c>
      <c r="I3188" s="11">
        <f>$E3188+0</f>
        <v>103</v>
      </c>
      <c r="J3188" s="12">
        <v>6410</v>
      </c>
      <c r="K3188" s="13">
        <f>$E3188+1</f>
        <v>104</v>
      </c>
      <c r="L3188" s="14">
        <f>IF($J3188=0,0,ROUND(MAX($J3188*1.4,1620000*(1.497923^(MIN($E3188,123)-117)))*1,0))</f>
        <v>8974</v>
      </c>
      <c r="M3188" s="11">
        <f>$E3188+2</f>
        <v>105</v>
      </c>
      <c r="N3188" s="12">
        <f>IF($J3188=0,0,ROUND(MAX($J3188*1.4*1.5,2190000*(1.580994^(MIN($E3188,123)-117)))*1,0))</f>
        <v>13461</v>
      </c>
      <c r="O3188" s="13">
        <f>$E3188+4</f>
        <v>107</v>
      </c>
      <c r="P3188" s="14">
        <f>IF($J3188=0,0,ROUND(MAX($J3188*1.4*1.5*1.6,3500000*(1.57975^(MIN($E3188,123)-117)))*1,0))</f>
        <v>21538</v>
      </c>
      <c r="Q3188" s="11">
        <f>$E3188+6</f>
        <v>109</v>
      </c>
      <c r="R3188" s="12">
        <f>IF($J3188=0,0,ROUND(MAX($J3188*1.4*1.5*1.6*1.6,13100000*(1.429962^(MIN($E3188,123)-117)))*1,0))</f>
        <v>87645</v>
      </c>
      <c r="S3188" s="13">
        <f>$E3188+8</f>
        <v>111</v>
      </c>
      <c r="T3188" s="14">
        <f>IF($J3188=0,0,ROUND(MAX($J3188*1.4*1.5*1.6*1.6*2.2,42600000*(1.576904^(MIN($E3188,123)-117)))*1,0))</f>
        <v>75812</v>
      </c>
      <c r="U3188" s="11">
        <f>$E3188+11</f>
        <v>114</v>
      </c>
      <c r="V3188" s="12">
        <f>IF($J3188=0,0,ROUND(MAX($J3188*1.4*1.5*1.6*1.6*2.2*2.715,354000000*(1.642074^(MIN($E3188,123)-117)))*1,0))</f>
        <v>341590</v>
      </c>
      <c r="W3188" s="13">
        <f>$E3188+15</f>
        <v>118</v>
      </c>
      <c r="X3188" s="14">
        <f>IF($J3188=0,0,ROUND(MAX($J3188*1.4*1.5*1.6*1.6*2.2*2.715*2.6,3540000000*(1.579646^(MIN($E3188,123)-117)))*1,0))</f>
        <v>5877146</v>
      </c>
      <c r="Y3188" s="11">
        <f>$E3188+17</f>
        <v>120</v>
      </c>
      <c r="Z3188" s="12">
        <f>IF($J3188=0,0,ROUND(MAX($J3188*1.4*1.5*1.6*1.6*2.2*2.715*2.6*1.4,6020000000*(1.651178^(MIN($E3188,123)-117)))*1,0))</f>
        <v>5376281</v>
      </c>
      <c r="AA3188" s="13">
        <f>$E3188+19</f>
        <v>122</v>
      </c>
      <c r="AB3188" s="14">
        <f>IF($J3188=0,0,ROUND(MAX($J3188*1.4*1.5*1.6*1.6*2.2*2.715*2.6*1.4*1.4,8430000000*(1.651435^(MIN($E3188,123)-117)))*1,0))</f>
        <v>7512194</v>
      </c>
      <c r="AC3188" s="11">
        <f>$E3188+21</f>
        <v>124</v>
      </c>
      <c r="AD3188" s="12">
        <f>IF($J3188=0,0,ROUND(MAX($J3188*1.4*1.5*1.6*1.6*2.2*2.715*2.6*1.4*1.4*1.5,12600000000*(1.652953^(MIN($E3188,123)-117)))*1,0))</f>
        <v>11084688</v>
      </c>
      <c r="AE3188" s="13">
        <f>$E3188+24</f>
        <v>127</v>
      </c>
      <c r="AF3188" s="14">
        <f>IF($J3188=0,0,ROUND(MAX($J3188*1.4*1.5*1.6*1.6*2.2*2.715*2.6*1.4*1.4*1.5*1.5,18900000000*(1.65331^(MIN($E3188,123)-117)))*1,0))</f>
        <v>16576839</v>
      </c>
      <c r="AG3188" s="11">
        <f>$E3188+27</f>
        <v>130</v>
      </c>
      <c r="AH3188" s="12">
        <f>IF($J3188=0,0,ROUND(MAX($J3188*1.4*1.5*1.6*1.6*2.2*2.715*2.6*1.4*1.4*1.5*1.5*3.2,60500000000*(1.654288^(MIN($E3188,123)-117)))*1,0))</f>
        <v>52625920</v>
      </c>
    </row>
    <row r="3189" ht="28" customHeight="1" spans="1:34" x14ac:dyDescent="0.25">
      <c r="A3189">
        <v>3199</v>
      </c>
      <c r="B3189" t="s">
        <v>1720</v>
      </c>
      <c r="C3189" s="10" t="s">
        <v>1709</v>
      </c>
      <c r="D3189" t="s">
        <v>29</v>
      </c>
      <c r="E3189">
        <v>103</v>
      </c>
      <c r="F3189" t="s">
        <v>194</v>
      </c>
      <c r="G3189" t="s">
        <v>562</v>
      </c>
      <c r="H3189">
        <v>22</v>
      </c>
      <c r="I3189" s="11">
        <f>$E3189+0</f>
        <v>103</v>
      </c>
      <c r="J3189" s="12">
        <v>6200</v>
      </c>
      <c r="K3189" s="13">
        <f>$E3189+1</f>
        <v>104</v>
      </c>
      <c r="L3189" s="14">
        <f>IF($J3189=0,0,ROUND(MAX($J3189*1.4,1620000*(1.497923^(MIN($E3189,123)-117)))*1,0))</f>
        <v>8680</v>
      </c>
      <c r="M3189" s="11">
        <f>$E3189+2</f>
        <v>105</v>
      </c>
      <c r="N3189" s="12">
        <f>IF($J3189=0,0,ROUND(MAX($J3189*1.4*1.5,2190000*(1.580994^(MIN($E3189,123)-117)))*1,0))</f>
        <v>13020</v>
      </c>
      <c r="O3189" s="13">
        <f>$E3189+4</f>
        <v>107</v>
      </c>
      <c r="P3189" s="14">
        <f>IF($J3189=0,0,ROUND(MAX($J3189*1.4*1.5*1.6,3500000*(1.57975^(MIN($E3189,123)-117)))*1,0))</f>
        <v>20832</v>
      </c>
      <c r="Q3189" s="11">
        <f>$E3189+6</f>
        <v>109</v>
      </c>
      <c r="R3189" s="12">
        <f>IF($J3189=0,0,ROUND(MAX($J3189*1.4*1.5*1.6*1.6,13100000*(1.429962^(MIN($E3189,123)-117)))*1,0))</f>
        <v>87645</v>
      </c>
      <c r="S3189" s="13">
        <f>$E3189+8</f>
        <v>111</v>
      </c>
      <c r="T3189" s="14">
        <f>IF($J3189=0,0,ROUND(MAX($J3189*1.4*1.5*1.6*1.6*2.2,42600000*(1.576904^(MIN($E3189,123)-117)))*1,0))</f>
        <v>73329</v>
      </c>
      <c r="U3189" s="11">
        <f>$E3189+11</f>
        <v>114</v>
      </c>
      <c r="V3189" s="12">
        <f>IF($J3189=0,0,ROUND(MAX($J3189*1.4*1.5*1.6*1.6*2.2*2.715,354000000*(1.642074^(MIN($E3189,123)-117)))*1,0))</f>
        <v>341590</v>
      </c>
      <c r="W3189" s="13">
        <f>$E3189+15</f>
        <v>118</v>
      </c>
      <c r="X3189" s="14">
        <f>IF($J3189=0,0,ROUND(MAX($J3189*1.4*1.5*1.6*1.6*2.2*2.715*2.6,3540000000*(1.579646^(MIN($E3189,123)-117)))*1,0))</f>
        <v>5877146</v>
      </c>
      <c r="Y3189" s="11">
        <f>$E3189+17</f>
        <v>120</v>
      </c>
      <c r="Z3189" s="12">
        <f>IF($J3189=0,0,ROUND(MAX($J3189*1.4*1.5*1.6*1.6*2.2*2.715*2.6*1.4,6020000000*(1.651178^(MIN($E3189,123)-117)))*1,0))</f>
        <v>5376281</v>
      </c>
      <c r="AA3189" s="13">
        <f>$E3189+19</f>
        <v>122</v>
      </c>
      <c r="AB3189" s="14">
        <f>IF($J3189=0,0,ROUND(MAX($J3189*1.4*1.5*1.6*1.6*2.2*2.715*2.6*1.4*1.4,8430000000*(1.651435^(MIN($E3189,123)-117)))*1,0))</f>
        <v>7512194</v>
      </c>
      <c r="AC3189" s="11">
        <f>$E3189+21</f>
        <v>124</v>
      </c>
      <c r="AD3189" s="12">
        <f>IF($J3189=0,0,ROUND(MAX($J3189*1.4*1.5*1.6*1.6*2.2*2.715*2.6*1.4*1.4*1.5,12600000000*(1.652953^(MIN($E3189,123)-117)))*1,0))</f>
        <v>11084688</v>
      </c>
      <c r="AE3189" s="13">
        <f>$E3189+24</f>
        <v>127</v>
      </c>
      <c r="AF3189" s="14">
        <f>IF($J3189=0,0,ROUND(MAX($J3189*1.4*1.5*1.6*1.6*2.2*2.715*2.6*1.4*1.4*1.5*1.5,18900000000*(1.65331^(MIN($E3189,123)-117)))*1,0))</f>
        <v>16576839</v>
      </c>
      <c r="AG3189" s="11">
        <f>$E3189+27</f>
        <v>130</v>
      </c>
      <c r="AH3189" s="12">
        <f>IF($J3189=0,0,ROUND(MAX($J3189*1.4*1.5*1.6*1.6*2.2*2.715*2.6*1.4*1.4*1.5*1.5*3.2,60500000000*(1.654288^(MIN($E3189,123)-117)))*1,0))</f>
        <v>52625920</v>
      </c>
    </row>
    <row r="3190" ht="28" customHeight="1" spans="1:34" x14ac:dyDescent="0.25">
      <c r="A3190">
        <v>3200</v>
      </c>
      <c r="B3190" t="s">
        <v>1124</v>
      </c>
      <c r="C3190" s="10" t="s">
        <v>1709</v>
      </c>
      <c r="D3190" t="s">
        <v>25</v>
      </c>
      <c r="E3190">
        <v>103</v>
      </c>
      <c r="F3190" t="s">
        <v>71</v>
      </c>
      <c r="G3190" t="s">
        <v>562</v>
      </c>
      <c r="H3190">
        <v>22</v>
      </c>
      <c r="I3190" s="11">
        <f>$E3190+0</f>
        <v>103</v>
      </c>
      <c r="J3190" s="12">
        <v>7630</v>
      </c>
      <c r="K3190" s="13">
        <f>$E3190+1</f>
        <v>104</v>
      </c>
      <c r="L3190" s="14">
        <f>IF($J3190=0,0,ROUND(MAX($J3190*1.4,1620000*(1.497923^(MIN($E3190,123)-117)))*1,0))</f>
        <v>10682</v>
      </c>
      <c r="M3190" s="11">
        <f>$E3190+2</f>
        <v>105</v>
      </c>
      <c r="N3190" s="12">
        <f>IF($J3190=0,0,ROUND(MAX($J3190*1.4*1.5,2190000*(1.580994^(MIN($E3190,123)-117)))*1,0))</f>
        <v>16023</v>
      </c>
      <c r="O3190" s="13">
        <f>$E3190+4</f>
        <v>107</v>
      </c>
      <c r="P3190" s="14">
        <f>IF($J3190=0,0,ROUND(MAX($J3190*1.4*1.5*1.6,3500000*(1.57975^(MIN($E3190,123)-117)))*1,0))</f>
        <v>25637</v>
      </c>
      <c r="Q3190" s="11">
        <f>$E3190+6</f>
        <v>109</v>
      </c>
      <c r="R3190" s="12">
        <f>IF($J3190=0,0,ROUND(MAX($J3190*1.4*1.5*1.6*1.6,13100000*(1.429962^(MIN($E3190,123)-117)))*1,0))</f>
        <v>87645</v>
      </c>
      <c r="S3190" s="13">
        <f>$E3190+8</f>
        <v>111</v>
      </c>
      <c r="T3190" s="14">
        <f>IF($J3190=0,0,ROUND(MAX($J3190*1.4*1.5*1.6*1.6*2.2,42600000*(1.576904^(MIN($E3190,123)-117)))*1,0))</f>
        <v>90242</v>
      </c>
      <c r="U3190" s="11">
        <f>$E3190+11</f>
        <v>114</v>
      </c>
      <c r="V3190" s="12">
        <f>IF($J3190=0,0,ROUND(MAX($J3190*1.4*1.5*1.6*1.6*2.2*2.715,354000000*(1.642074^(MIN($E3190,123)-117)))*1,0))</f>
        <v>341590</v>
      </c>
      <c r="W3190" s="13">
        <f>$E3190+15</f>
        <v>118</v>
      </c>
      <c r="X3190" s="14">
        <f>IF($J3190=0,0,ROUND(MAX($J3190*1.4*1.5*1.6*1.6*2.2*2.715*2.6,3540000000*(1.579646^(MIN($E3190,123)-117)))*1,0))</f>
        <v>5877146</v>
      </c>
      <c r="Y3190" s="11">
        <f>$E3190+17</f>
        <v>120</v>
      </c>
      <c r="Z3190" s="12">
        <f>IF($J3190=0,0,ROUND(MAX($J3190*1.4*1.5*1.6*1.6*2.2*2.715*2.6*1.4,6020000000*(1.651178^(MIN($E3190,123)-117)))*1,0))</f>
        <v>5376281</v>
      </c>
      <c r="AA3190" s="13">
        <f>$E3190+19</f>
        <v>122</v>
      </c>
      <c r="AB3190" s="14">
        <f>IF($J3190=0,0,ROUND(MAX($J3190*1.4*1.5*1.6*1.6*2.2*2.715*2.6*1.4*1.4,8430000000*(1.651435^(MIN($E3190,123)-117)))*1,0))</f>
        <v>7512194</v>
      </c>
      <c r="AC3190" s="11">
        <f>$E3190+21</f>
        <v>124</v>
      </c>
      <c r="AD3190" s="12">
        <f>IF($J3190=0,0,ROUND(MAX($J3190*1.4*1.5*1.6*1.6*2.2*2.715*2.6*1.4*1.4*1.5,12600000000*(1.652953^(MIN($E3190,123)-117)))*1,0))</f>
        <v>11084688</v>
      </c>
      <c r="AE3190" s="13">
        <f>$E3190+24</f>
        <v>127</v>
      </c>
      <c r="AF3190" s="14">
        <f>IF($J3190=0,0,ROUND(MAX($J3190*1.4*1.5*1.6*1.6*2.2*2.715*2.6*1.4*1.4*1.5*1.5,18900000000*(1.65331^(MIN($E3190,123)-117)))*1,0))</f>
        <v>16576839</v>
      </c>
      <c r="AG3190" s="11">
        <f>$E3190+27</f>
        <v>130</v>
      </c>
      <c r="AH3190" s="12">
        <f>IF($J3190=0,0,ROUND(MAX($J3190*1.4*1.5*1.6*1.6*2.2*2.715*2.6*1.4*1.4*1.5*1.5*3.2,60500000000*(1.654288^(MIN($E3190,123)-117)))*1,0))</f>
        <v>52625920</v>
      </c>
    </row>
    <row r="3191" ht="28" customHeight="1" spans="1:34" x14ac:dyDescent="0.25">
      <c r="A3191">
        <v>3201</v>
      </c>
      <c r="B3191" t="s">
        <v>163</v>
      </c>
      <c r="C3191" s="10" t="s">
        <v>1709</v>
      </c>
      <c r="D3191" t="s">
        <v>40</v>
      </c>
      <c r="E3191">
        <v>103</v>
      </c>
      <c r="F3191" t="s">
        <v>71</v>
      </c>
      <c r="G3191" t="s">
        <v>562</v>
      </c>
      <c r="H3191">
        <v>22</v>
      </c>
      <c r="I3191" s="11">
        <f>$E3191+0</f>
        <v>103</v>
      </c>
      <c r="J3191" s="12">
        <v>4200</v>
      </c>
      <c r="K3191" s="13">
        <f>$E3191+1</f>
        <v>104</v>
      </c>
      <c r="L3191" s="14">
        <f>IF($J3191=0,0,ROUND(MAX($J3191*1.4,1620000*(1.497923^(MIN($E3191,123)-117)))*1,0))</f>
        <v>5880</v>
      </c>
      <c r="M3191" s="11">
        <f>$E3191+2</f>
        <v>105</v>
      </c>
      <c r="N3191" s="12">
        <f>IF($J3191=0,0,ROUND(MAX($J3191*1.4*1.5,2190000*(1.580994^(MIN($E3191,123)-117)))*1,0))</f>
        <v>8820</v>
      </c>
      <c r="O3191" s="13">
        <f>$E3191+4</f>
        <v>107</v>
      </c>
      <c r="P3191" s="14">
        <f>IF($J3191=0,0,ROUND(MAX($J3191*1.4*1.5*1.6,3500000*(1.57975^(MIN($E3191,123)-117)))*1,0))</f>
        <v>14112</v>
      </c>
      <c r="Q3191" s="11">
        <f>$E3191+6</f>
        <v>109</v>
      </c>
      <c r="R3191" s="12">
        <f>IF($J3191=0,0,ROUND(MAX($J3191*1.4*1.5*1.6*1.6,13100000*(1.429962^(MIN($E3191,123)-117)))*1,0))</f>
        <v>87645</v>
      </c>
      <c r="S3191" s="13">
        <f>$E3191+8</f>
        <v>111</v>
      </c>
      <c r="T3191" s="14">
        <f>IF($J3191=0,0,ROUND(MAX($J3191*1.4*1.5*1.6*1.6*2.2,42600000*(1.576904^(MIN($E3191,123)-117)))*1,0))</f>
        <v>72466</v>
      </c>
      <c r="U3191" s="11">
        <f>$E3191+11</f>
        <v>114</v>
      </c>
      <c r="V3191" s="12">
        <f>IF($J3191=0,0,ROUND(MAX($J3191*1.4*1.5*1.6*1.6*2.2*2.715,354000000*(1.642074^(MIN($E3191,123)-117)))*1,0))</f>
        <v>341590</v>
      </c>
      <c r="W3191" s="13">
        <f>$E3191+15</f>
        <v>118</v>
      </c>
      <c r="X3191" s="14">
        <f>IF($J3191=0,0,ROUND(MAX($J3191*1.4*1.5*1.6*1.6*2.2*2.715*2.6,3540000000*(1.579646^(MIN($E3191,123)-117)))*1,0))</f>
        <v>5877146</v>
      </c>
      <c r="Y3191" s="11">
        <f>$E3191+17</f>
        <v>120</v>
      </c>
      <c r="Z3191" s="12">
        <f>IF($J3191=0,0,ROUND(MAX($J3191*1.4*1.5*1.6*1.6*2.2*2.715*2.6*1.4,6020000000*(1.651178^(MIN($E3191,123)-117)))*1,0))</f>
        <v>5376281</v>
      </c>
      <c r="AA3191" s="13">
        <f>$E3191+19</f>
        <v>122</v>
      </c>
      <c r="AB3191" s="14">
        <f>IF($J3191=0,0,ROUND(MAX($J3191*1.4*1.5*1.6*1.6*2.2*2.715*2.6*1.4*1.4,8430000000*(1.651435^(MIN($E3191,123)-117)))*1,0))</f>
        <v>7512194</v>
      </c>
      <c r="AC3191" s="11">
        <f>$E3191+21</f>
        <v>124</v>
      </c>
      <c r="AD3191" s="12">
        <f>IF($J3191=0,0,ROUND(MAX($J3191*1.4*1.5*1.6*1.6*2.2*2.715*2.6*1.4*1.4*1.5,12600000000*(1.652953^(MIN($E3191,123)-117)))*1,0))</f>
        <v>11084688</v>
      </c>
      <c r="AE3191" s="13">
        <f>$E3191+24</f>
        <v>127</v>
      </c>
      <c r="AF3191" s="14">
        <f>IF($J3191=0,0,ROUND(MAX($J3191*1.4*1.5*1.6*1.6*2.2*2.715*2.6*1.4*1.4*1.5*1.5,18900000000*(1.65331^(MIN($E3191,123)-117)))*1,0))</f>
        <v>16576839</v>
      </c>
      <c r="AG3191" s="11">
        <f>$E3191+27</f>
        <v>130</v>
      </c>
      <c r="AH3191" s="12">
        <f>IF($J3191=0,0,ROUND(MAX($J3191*1.4*1.5*1.6*1.6*2.2*2.715*2.6*1.4*1.4*1.5*1.5*3.2,60500000000*(1.654288^(MIN($E3191,123)-117)))*1,0))</f>
        <v>52625920</v>
      </c>
    </row>
    <row r="3192" ht="28" customHeight="1" spans="1:34" x14ac:dyDescent="0.25">
      <c r="A3192">
        <v>3202</v>
      </c>
      <c r="B3192" t="s">
        <v>1721</v>
      </c>
      <c r="C3192" s="10" t="s">
        <v>1709</v>
      </c>
      <c r="D3192" t="s">
        <v>40</v>
      </c>
      <c r="E3192">
        <v>103</v>
      </c>
      <c r="F3192" t="s">
        <v>62</v>
      </c>
      <c r="G3192" t="s">
        <v>562</v>
      </c>
      <c r="H3192">
        <v>22</v>
      </c>
      <c r="I3192" s="11">
        <f>$E3192+0</f>
        <v>103</v>
      </c>
      <c r="J3192" s="12">
        <v>15800</v>
      </c>
      <c r="K3192" s="13">
        <f>$E3192+1</f>
        <v>104</v>
      </c>
      <c r="L3192" s="14">
        <f>IF($J3192=0,0,ROUND(MAX($J3192*1.4,1620000*(1.497923^(MIN($E3192,123)-117)))*1,0))</f>
        <v>22120</v>
      </c>
      <c r="M3192" s="11">
        <f>$E3192+2</f>
        <v>105</v>
      </c>
      <c r="N3192" s="12">
        <f>IF($J3192=0,0,ROUND(MAX($J3192*1.4*1.5,2190000*(1.580994^(MIN($E3192,123)-117)))*1,0))</f>
        <v>33180</v>
      </c>
      <c r="O3192" s="13">
        <f>$E3192+4</f>
        <v>107</v>
      </c>
      <c r="P3192" s="14">
        <f>IF($J3192=0,0,ROUND(MAX($J3192*1.4*1.5*1.6,3500000*(1.57975^(MIN($E3192,123)-117)))*1,0))</f>
        <v>53088</v>
      </c>
      <c r="Q3192" s="11">
        <f>$E3192+6</f>
        <v>109</v>
      </c>
      <c r="R3192" s="12">
        <f>IF($J3192=0,0,ROUND(MAX($J3192*1.4*1.5*1.6*1.6,13100000*(1.429962^(MIN($E3192,123)-117)))*1,0))</f>
        <v>87645</v>
      </c>
      <c r="S3192" s="13">
        <f>$E3192+8</f>
        <v>111</v>
      </c>
      <c r="T3192" s="14">
        <f>IF($J3192=0,0,ROUND(MAX($J3192*1.4*1.5*1.6*1.6*2.2,42600000*(1.576904^(MIN($E3192,123)-117)))*1,0))</f>
        <v>186870</v>
      </c>
      <c r="U3192" s="11">
        <f>$E3192+11</f>
        <v>114</v>
      </c>
      <c r="V3192" s="12">
        <f>IF($J3192=0,0,ROUND(MAX($J3192*1.4*1.5*1.6*1.6*2.2*2.715,354000000*(1.642074^(MIN($E3192,123)-117)))*1,0))</f>
        <v>507351</v>
      </c>
      <c r="W3192" s="13">
        <f>$E3192+15</f>
        <v>118</v>
      </c>
      <c r="X3192" s="14">
        <f>IF($J3192=0,0,ROUND(MAX($J3192*1.4*1.5*1.6*1.6*2.2*2.715*2.6,3540000000*(1.579646^(MIN($E3192,123)-117)))*1,0))</f>
        <v>5877146</v>
      </c>
      <c r="Y3192" s="11">
        <f>$E3192+17</f>
        <v>120</v>
      </c>
      <c r="Z3192" s="12">
        <f>IF($J3192=0,0,ROUND(MAX($J3192*1.4*1.5*1.6*1.6*2.2*2.715*2.6*1.4,6020000000*(1.651178^(MIN($E3192,123)-117)))*1,0))</f>
        <v>5376281</v>
      </c>
      <c r="AA3192" s="13">
        <f>$E3192+19</f>
        <v>122</v>
      </c>
      <c r="AB3192" s="14">
        <f>IF($J3192=0,0,ROUND(MAX($J3192*1.4*1.5*1.6*1.6*2.2*2.715*2.6*1.4*1.4,8430000000*(1.651435^(MIN($E3192,123)-117)))*1,0))</f>
        <v>7512194</v>
      </c>
      <c r="AC3192" s="11">
        <f>$E3192+21</f>
        <v>124</v>
      </c>
      <c r="AD3192" s="12">
        <f>IF($J3192=0,0,ROUND(MAX($J3192*1.4*1.5*1.6*1.6*2.2*2.715*2.6*1.4*1.4*1.5,12600000000*(1.652953^(MIN($E3192,123)-117)))*1,0))</f>
        <v>11084688</v>
      </c>
      <c r="AE3192" s="13">
        <f>$E3192+24</f>
        <v>127</v>
      </c>
      <c r="AF3192" s="14">
        <f>IF($J3192=0,0,ROUND(MAX($J3192*1.4*1.5*1.6*1.6*2.2*2.715*2.6*1.4*1.4*1.5*1.5,18900000000*(1.65331^(MIN($E3192,123)-117)))*1,0))</f>
        <v>16576839</v>
      </c>
      <c r="AG3192" s="11">
        <f>$E3192+27</f>
        <v>130</v>
      </c>
      <c r="AH3192" s="12">
        <f>IF($J3192=0,0,ROUND(MAX($J3192*1.4*1.5*1.6*1.6*2.2*2.715*2.6*1.4*1.4*1.5*1.5*3.2,60500000000*(1.654288^(MIN($E3192,123)-117)))*1,0))</f>
        <v>52625920</v>
      </c>
    </row>
    <row r="3193" ht="28" customHeight="1" spans="1:34" x14ac:dyDescent="0.25">
      <c r="A3193">
        <v>3203</v>
      </c>
      <c r="B3193" t="s">
        <v>216</v>
      </c>
      <c r="C3193" s="10" t="s">
        <v>1709</v>
      </c>
      <c r="D3193" t="s">
        <v>25</v>
      </c>
      <c r="E3193">
        <v>103</v>
      </c>
      <c r="F3193" t="s">
        <v>217</v>
      </c>
      <c r="G3193" t="s">
        <v>562</v>
      </c>
      <c r="H3193">
        <v>22</v>
      </c>
      <c r="I3193" s="11">
        <f>$E3193+0</f>
        <v>103</v>
      </c>
      <c r="J3193" s="12">
        <v>8510</v>
      </c>
      <c r="K3193" s="13">
        <f>$E3193+1</f>
        <v>104</v>
      </c>
      <c r="L3193" s="14">
        <f>IF($J3193=0,0,ROUND(MAX($J3193*1.4,1620000*(1.497923^(MIN($E3193,123)-117)))*1,0))</f>
        <v>11914</v>
      </c>
      <c r="M3193" s="11">
        <f>$E3193+2</f>
        <v>105</v>
      </c>
      <c r="N3193" s="12">
        <f>IF($J3193=0,0,ROUND(MAX($J3193*1.4*1.5,2190000*(1.580994^(MIN($E3193,123)-117)))*1,0))</f>
        <v>17871</v>
      </c>
      <c r="O3193" s="13">
        <f>$E3193+4</f>
        <v>107</v>
      </c>
      <c r="P3193" s="14">
        <f>IF($J3193=0,0,ROUND(MAX($J3193*1.4*1.5*1.6,3500000*(1.57975^(MIN($E3193,123)-117)))*1,0))</f>
        <v>28594</v>
      </c>
      <c r="Q3193" s="11">
        <f>$E3193+6</f>
        <v>109</v>
      </c>
      <c r="R3193" s="12">
        <f>IF($J3193=0,0,ROUND(MAX($J3193*1.4*1.5*1.6*1.6,13100000*(1.429962^(MIN($E3193,123)-117)))*1,0))</f>
        <v>87645</v>
      </c>
      <c r="S3193" s="13">
        <f>$E3193+8</f>
        <v>111</v>
      </c>
      <c r="T3193" s="14">
        <f>IF($J3193=0,0,ROUND(MAX($J3193*1.4*1.5*1.6*1.6*2.2,42600000*(1.576904^(MIN($E3193,123)-117)))*1,0))</f>
        <v>100649</v>
      </c>
      <c r="U3193" s="11">
        <f>$E3193+11</f>
        <v>114</v>
      </c>
      <c r="V3193" s="12">
        <f>IF($J3193=0,0,ROUND(MAX($J3193*1.4*1.5*1.6*1.6*2.2*2.715,354000000*(1.642074^(MIN($E3193,123)-117)))*1,0))</f>
        <v>341590</v>
      </c>
      <c r="W3193" s="13">
        <f>$E3193+15</f>
        <v>118</v>
      </c>
      <c r="X3193" s="14">
        <f>IF($J3193=0,0,ROUND(MAX($J3193*1.4*1.5*1.6*1.6*2.2*2.715*2.6,3540000000*(1.579646^(MIN($E3193,123)-117)))*1,0))</f>
        <v>5877146</v>
      </c>
      <c r="Y3193" s="11">
        <f>$E3193+17</f>
        <v>120</v>
      </c>
      <c r="Z3193" s="12">
        <f>IF($J3193=0,0,ROUND(MAX($J3193*1.4*1.5*1.6*1.6*2.2*2.715*2.6*1.4,6020000000*(1.651178^(MIN($E3193,123)-117)))*1,0))</f>
        <v>5376281</v>
      </c>
      <c r="AA3193" s="13">
        <f>$E3193+19</f>
        <v>122</v>
      </c>
      <c r="AB3193" s="14">
        <f>IF($J3193=0,0,ROUND(MAX($J3193*1.4*1.5*1.6*1.6*2.2*2.715*2.6*1.4*1.4,8430000000*(1.651435^(MIN($E3193,123)-117)))*1,0))</f>
        <v>7512194</v>
      </c>
      <c r="AC3193" s="11">
        <f>$E3193+21</f>
        <v>124</v>
      </c>
      <c r="AD3193" s="12">
        <f>IF($J3193=0,0,ROUND(MAX($J3193*1.4*1.5*1.6*1.6*2.2*2.715*2.6*1.4*1.4*1.5,12600000000*(1.652953^(MIN($E3193,123)-117)))*1,0))</f>
        <v>11084688</v>
      </c>
      <c r="AE3193" s="13">
        <f>$E3193+24</f>
        <v>127</v>
      </c>
      <c r="AF3193" s="14">
        <f>IF($J3193=0,0,ROUND(MAX($J3193*1.4*1.5*1.6*1.6*2.2*2.715*2.6*1.4*1.4*1.5*1.5,18900000000*(1.65331^(MIN($E3193,123)-117)))*1,0))</f>
        <v>16576839</v>
      </c>
      <c r="AG3193" s="11">
        <f>$E3193+27</f>
        <v>130</v>
      </c>
      <c r="AH3193" s="12">
        <f>IF($J3193=0,0,ROUND(MAX($J3193*1.4*1.5*1.6*1.6*2.2*2.715*2.6*1.4*1.4*1.5*1.5*3.2,60500000000*(1.654288^(MIN($E3193,123)-117)))*1,0))</f>
        <v>52625920</v>
      </c>
    </row>
    <row r="3194" ht="28" customHeight="1" spans="1:34" x14ac:dyDescent="0.25">
      <c r="A3194">
        <v>3204</v>
      </c>
      <c r="B3194" t="s">
        <v>1628</v>
      </c>
      <c r="C3194" s="10" t="s">
        <v>1709</v>
      </c>
      <c r="D3194" t="s">
        <v>75</v>
      </c>
      <c r="E3194">
        <v>103</v>
      </c>
      <c r="F3194" t="s">
        <v>1093</v>
      </c>
      <c r="G3194" t="s">
        <v>595</v>
      </c>
      <c r="H3194">
        <v>21</v>
      </c>
      <c r="I3194" s="11">
        <f>$E3194+0</f>
        <v>103</v>
      </c>
      <c r="J3194" s="12">
        <v>4630</v>
      </c>
      <c r="K3194" s="13">
        <f>$E3194+1</f>
        <v>104</v>
      </c>
      <c r="L3194" s="14">
        <f>IF($J3194=0,0,ROUND(MAX($J3194*1.4,1620000*(1.497923^(MIN($E3194,123)-117)))*1,0))</f>
        <v>6482</v>
      </c>
      <c r="M3194" s="11">
        <f>$E3194+2</f>
        <v>105</v>
      </c>
      <c r="N3194" s="12">
        <f>IF($J3194=0,0,ROUND(MAX($J3194*1.4*1.5,2190000*(1.580994^(MIN($E3194,123)-117)))*1,0))</f>
        <v>9723</v>
      </c>
      <c r="O3194" s="13">
        <f>$E3194+4</f>
        <v>107</v>
      </c>
      <c r="P3194" s="14">
        <f>IF($J3194=0,0,ROUND(MAX($J3194*1.4*1.5*1.6,3500000*(1.57975^(MIN($E3194,123)-117)))*1,0))</f>
        <v>15557</v>
      </c>
      <c r="Q3194" s="11">
        <f>$E3194+6</f>
        <v>109</v>
      </c>
      <c r="R3194" s="12">
        <f>IF($J3194=0,0,ROUND(MAX($J3194*1.4*1.5*1.6*1.6,13100000*(1.429962^(MIN($E3194,123)-117)))*1,0))</f>
        <v>87645</v>
      </c>
      <c r="S3194" s="13">
        <f>$E3194+8</f>
        <v>111</v>
      </c>
      <c r="T3194" s="14">
        <f>IF($J3194=0,0,ROUND(MAX($J3194*1.4*1.5*1.6*1.6*2.2,42600000*(1.576904^(MIN($E3194,123)-117)))*1,0))</f>
        <v>72466</v>
      </c>
      <c r="U3194" s="11">
        <f>$E3194+11</f>
        <v>114</v>
      </c>
      <c r="V3194" s="12">
        <f>IF($J3194=0,0,ROUND(MAX($J3194*1.4*1.5*1.6*1.6*2.2*2.715,354000000*(1.642074^(MIN($E3194,123)-117)))*1,0))</f>
        <v>341590</v>
      </c>
      <c r="W3194" s="13">
        <f>$E3194+15</f>
        <v>118</v>
      </c>
      <c r="X3194" s="14">
        <f>IF($J3194=0,0,ROUND(MAX($J3194*1.4*1.5*1.6*1.6*2.2*2.715*2.6,3540000000*(1.579646^(MIN($E3194,123)-117)))*1,0))</f>
        <v>5877146</v>
      </c>
      <c r="Y3194" s="11">
        <f>$E3194+17</f>
        <v>120</v>
      </c>
      <c r="Z3194" s="12">
        <f>IF($J3194=0,0,ROUND(MAX($J3194*1.4*1.5*1.6*1.6*2.2*2.715*2.6*1.4,6020000000*(1.651178^(MIN($E3194,123)-117)))*1,0))</f>
        <v>5376281</v>
      </c>
      <c r="AA3194" s="13">
        <f>$E3194+19</f>
        <v>122</v>
      </c>
      <c r="AB3194" s="14">
        <f>IF($J3194=0,0,ROUND(MAX($J3194*1.4*1.5*1.6*1.6*2.2*2.715*2.6*1.4*1.4,8430000000*(1.651435^(MIN($E3194,123)-117)))*1,0))</f>
        <v>7512194</v>
      </c>
      <c r="AC3194" s="11">
        <f>$E3194+21</f>
        <v>124</v>
      </c>
      <c r="AD3194" s="12">
        <f>IF($J3194=0,0,ROUND(MAX($J3194*1.4*1.5*1.6*1.6*2.2*2.715*2.6*1.4*1.4*1.5,12600000000*(1.652953^(MIN($E3194,123)-117)))*1,0))</f>
        <v>11084688</v>
      </c>
      <c r="AE3194" s="13">
        <f>$E3194+24</f>
        <v>127</v>
      </c>
      <c r="AF3194" s="14">
        <f>IF($J3194=0,0,ROUND(MAX($J3194*1.4*1.5*1.6*1.6*2.2*2.715*2.6*1.4*1.4*1.5*1.5,18900000000*(1.65331^(MIN($E3194,123)-117)))*1,0))</f>
        <v>16576839</v>
      </c>
      <c r="AG3194" s="11">
        <f>$E3194+27</f>
        <v>130</v>
      </c>
      <c r="AH3194" s="12">
        <f>IF($J3194=0,0,ROUND(MAX($J3194*1.4*1.5*1.6*1.6*2.2*2.715*2.6*1.4*1.4*1.5*1.5*3.2,60500000000*(1.654288^(MIN($E3194,123)-117)))*1,0))</f>
        <v>52625920</v>
      </c>
    </row>
    <row r="3195" ht="28" customHeight="1" spans="1:34" x14ac:dyDescent="0.25">
      <c r="A3195">
        <v>3205</v>
      </c>
      <c r="B3195" t="s">
        <v>775</v>
      </c>
      <c r="C3195" s="10" t="s">
        <v>1709</v>
      </c>
      <c r="D3195" t="s">
        <v>33</v>
      </c>
      <c r="E3195">
        <v>103</v>
      </c>
      <c r="F3195" t="s">
        <v>400</v>
      </c>
      <c r="G3195" t="s">
        <v>38</v>
      </c>
      <c r="H3195">
        <v>21</v>
      </c>
      <c r="I3195" s="11">
        <f>$E3195+0</f>
        <v>103</v>
      </c>
      <c r="J3195" s="12">
        <v>55800</v>
      </c>
      <c r="K3195" s="13">
        <f>$E3195+1</f>
        <v>104</v>
      </c>
      <c r="L3195" s="14">
        <f>IF($J3195=0,0,ROUND(MAX($J3195*1.4,1620000*(1.497923^(MIN($E3195,123)-117)))*1,0))</f>
        <v>78120</v>
      </c>
      <c r="M3195" s="11">
        <f>$E3195+2</f>
        <v>105</v>
      </c>
      <c r="N3195" s="12">
        <f>IF($J3195=0,0,ROUND(MAX($J3195*1.4*1.5,2190000*(1.580994^(MIN($E3195,123)-117)))*1,0))</f>
        <v>117180</v>
      </c>
      <c r="O3195" s="13">
        <f>$E3195+4</f>
        <v>107</v>
      </c>
      <c r="P3195" s="14">
        <f>IF($J3195=0,0,ROUND(MAX($J3195*1.4*1.5*1.6,3500000*(1.57975^(MIN($E3195,123)-117)))*1,0))</f>
        <v>187488</v>
      </c>
      <c r="Q3195" s="11">
        <f>$E3195+6</f>
        <v>109</v>
      </c>
      <c r="R3195" s="12">
        <f>IF($J3195=0,0,ROUND(MAX($J3195*1.4*1.5*1.6*1.6,13100000*(1.429962^(MIN($E3195,123)-117)))*1,0))</f>
        <v>299981</v>
      </c>
      <c r="S3195" s="13">
        <f>$E3195+8</f>
        <v>111</v>
      </c>
      <c r="T3195" s="14">
        <f>IF($J3195=0,0,ROUND(MAX($J3195*1.4*1.5*1.6*1.6*2.2,42600000*(1.576904^(MIN($E3195,123)-117)))*1,0))</f>
        <v>659958</v>
      </c>
      <c r="U3195" s="11">
        <f>$E3195+11</f>
        <v>114</v>
      </c>
      <c r="V3195" s="12">
        <f>IF($J3195=0,0,ROUND(MAX($J3195*1.4*1.5*1.6*1.6*2.2*2.715,354000000*(1.642074^(MIN($E3195,123)-117)))*1,0))</f>
        <v>1791785</v>
      </c>
      <c r="W3195" s="13">
        <f>$E3195+15</f>
        <v>118</v>
      </c>
      <c r="X3195" s="14">
        <f>IF($J3195=0,0,ROUND(MAX($J3195*1.4*1.5*1.6*1.6*2.2*2.715*2.6,3540000000*(1.579646^(MIN($E3195,123)-117)))*1,0))</f>
        <v>5877146</v>
      </c>
      <c r="Y3195" s="11">
        <f>$E3195+17</f>
        <v>120</v>
      </c>
      <c r="Z3195" s="12">
        <f>IF($J3195=0,0,ROUND(MAX($J3195*1.4*1.5*1.6*1.6*2.2*2.715*2.6*1.4,6020000000*(1.651178^(MIN($E3195,123)-117)))*1,0))</f>
        <v>6522099</v>
      </c>
      <c r="AA3195" s="13">
        <f>$E3195+19</f>
        <v>122</v>
      </c>
      <c r="AB3195" s="14">
        <f>IF($J3195=0,0,ROUND(MAX($J3195*1.4*1.5*1.6*1.6*2.2*2.715*2.6*1.4*1.4,8430000000*(1.651435^(MIN($E3195,123)-117)))*1,0))</f>
        <v>9130938</v>
      </c>
      <c r="AC3195" s="11">
        <f>$E3195+21</f>
        <v>124</v>
      </c>
      <c r="AD3195" s="12">
        <f>IF($J3195=0,0,ROUND(MAX($J3195*1.4*1.5*1.6*1.6*2.2*2.715*2.6*1.4*1.4*1.5,12600000000*(1.652953^(MIN($E3195,123)-117)))*1,0))</f>
        <v>13696407</v>
      </c>
      <c r="AE3195" s="13">
        <f>$E3195+24</f>
        <v>127</v>
      </c>
      <c r="AF3195" s="14">
        <f>IF($J3195=0,0,ROUND(MAX($J3195*1.4*1.5*1.6*1.6*2.2*2.715*2.6*1.4*1.4*1.5*1.5,18900000000*(1.65331^(MIN($E3195,123)-117)))*1,0))</f>
        <v>20544610</v>
      </c>
      <c r="AG3195" s="11">
        <f>$E3195+27</f>
        <v>130</v>
      </c>
      <c r="AH3195" s="12">
        <f>IF($J3195=0,0,ROUND(MAX($J3195*1.4*1.5*1.6*1.6*2.2*2.715*2.6*1.4*1.4*1.5*1.5*3.2,60500000000*(1.654288^(MIN($E3195,123)-117)))*1,0))</f>
        <v>65742753</v>
      </c>
    </row>
    <row r="3196" ht="28" customHeight="1" spans="1:34" x14ac:dyDescent="0.25">
      <c r="A3196">
        <v>3206</v>
      </c>
      <c r="B3196" t="s">
        <v>1722</v>
      </c>
      <c r="C3196" s="10" t="s">
        <v>1709</v>
      </c>
      <c r="D3196" t="s">
        <v>47</v>
      </c>
      <c r="E3196">
        <v>103</v>
      </c>
      <c r="F3196" t="s">
        <v>59</v>
      </c>
      <c r="G3196" t="s">
        <v>1723</v>
      </c>
      <c r="H3196">
        <v>19</v>
      </c>
      <c r="I3196" s="11">
        <f>$E3196+0</f>
        <v>103</v>
      </c>
      <c r="J3196" s="12">
        <v>19700</v>
      </c>
      <c r="K3196" s="13">
        <f>$E3196+1</f>
        <v>104</v>
      </c>
      <c r="L3196" s="14">
        <f>IF($J3196=0,0,ROUND(MAX($J3196*1.4,1620000*(1.497923^(MIN($E3196,123)-117)))*1,0))</f>
        <v>27580</v>
      </c>
      <c r="M3196" s="11">
        <f>$E3196+2</f>
        <v>105</v>
      </c>
      <c r="N3196" s="12">
        <f>IF($J3196=0,0,ROUND(MAX($J3196*1.4*1.5,2190000*(1.580994^(MIN($E3196,123)-117)))*1,0))</f>
        <v>41370</v>
      </c>
      <c r="O3196" s="13">
        <f>$E3196+4</f>
        <v>107</v>
      </c>
      <c r="P3196" s="14">
        <f>IF($J3196=0,0,ROUND(MAX($J3196*1.4*1.5*1.6,3500000*(1.57975^(MIN($E3196,123)-117)))*1,0))</f>
        <v>66192</v>
      </c>
      <c r="Q3196" s="11">
        <f>$E3196+6</f>
        <v>109</v>
      </c>
      <c r="R3196" s="12">
        <f>IF($J3196=0,0,ROUND(MAX($J3196*1.4*1.5*1.6*1.6,13100000*(1.429962^(MIN($E3196,123)-117)))*1,0))</f>
        <v>105907</v>
      </c>
      <c r="S3196" s="13">
        <f>$E3196+8</f>
        <v>111</v>
      </c>
      <c r="T3196" s="14">
        <f>IF($J3196=0,0,ROUND(MAX($J3196*1.4*1.5*1.6*1.6*2.2,42600000*(1.576904^(MIN($E3196,123)-117)))*1,0))</f>
        <v>232996</v>
      </c>
      <c r="U3196" s="11">
        <f>$E3196+11</f>
        <v>114</v>
      </c>
      <c r="V3196" s="12">
        <f>IF($J3196=0,0,ROUND(MAX($J3196*1.4*1.5*1.6*1.6*2.2*2.715,354000000*(1.642074^(MIN($E3196,123)-117)))*1,0))</f>
        <v>632584</v>
      </c>
      <c r="W3196" s="13">
        <f>$E3196+15</f>
        <v>118</v>
      </c>
      <c r="X3196" s="14">
        <f>IF($J3196=0,0,ROUND(MAX($J3196*1.4*1.5*1.6*1.6*2.2*2.715*2.6,3540000000*(1.579646^(MIN($E3196,123)-117)))*1,0))</f>
        <v>5877146</v>
      </c>
      <c r="Y3196" s="11">
        <f>$E3196+17</f>
        <v>120</v>
      </c>
      <c r="Z3196" s="12">
        <f>IF($J3196=0,0,ROUND(MAX($J3196*1.4*1.5*1.6*1.6*2.2*2.715*2.6*1.4,6020000000*(1.651178^(MIN($E3196,123)-117)))*1,0))</f>
        <v>5376281</v>
      </c>
      <c r="AA3196" s="13">
        <f>$E3196+19</f>
        <v>122</v>
      </c>
      <c r="AB3196" s="14">
        <f>IF($J3196=0,0,ROUND(MAX($J3196*1.4*1.5*1.6*1.6*2.2*2.715*2.6*1.4*1.4,8430000000*(1.651435^(MIN($E3196,123)-117)))*1,0))</f>
        <v>7512194</v>
      </c>
      <c r="AC3196" s="11">
        <f>$E3196+21</f>
        <v>124</v>
      </c>
      <c r="AD3196" s="12">
        <f>IF($J3196=0,0,ROUND(MAX($J3196*1.4*1.5*1.6*1.6*2.2*2.715*2.6*1.4*1.4*1.5,12600000000*(1.652953^(MIN($E3196,123)-117)))*1,0))</f>
        <v>11084688</v>
      </c>
      <c r="AE3196" s="13">
        <f>$E3196+24</f>
        <v>127</v>
      </c>
      <c r="AF3196" s="14">
        <f>IF($J3196=0,0,ROUND(MAX($J3196*1.4*1.5*1.6*1.6*2.2*2.715*2.6*1.4*1.4*1.5*1.5,18900000000*(1.65331^(MIN($E3196,123)-117)))*1,0))</f>
        <v>16576839</v>
      </c>
      <c r="AG3196" s="11">
        <f>$E3196+27</f>
        <v>130</v>
      </c>
      <c r="AH3196" s="12">
        <f>IF($J3196=0,0,ROUND(MAX($J3196*1.4*1.5*1.6*1.6*2.2*2.715*2.6*1.4*1.4*1.5*1.5*3.2,60500000000*(1.654288^(MIN($E3196,123)-117)))*1,0))</f>
        <v>52625920</v>
      </c>
    </row>
    <row r="3197" ht="28" customHeight="1" spans="1:34" x14ac:dyDescent="0.25">
      <c r="A3197">
        <v>3207</v>
      </c>
      <c r="B3197" t="s">
        <v>96</v>
      </c>
      <c r="C3197" s="10" t="s">
        <v>1709</v>
      </c>
      <c r="D3197" t="s">
        <v>40</v>
      </c>
      <c r="E3197">
        <v>102</v>
      </c>
      <c r="F3197" t="s">
        <v>97</v>
      </c>
      <c r="G3197" t="s">
        <v>562</v>
      </c>
      <c r="H3197">
        <v>23</v>
      </c>
      <c r="I3197" s="11">
        <f>$E3197+0</f>
        <v>102</v>
      </c>
      <c r="J3197" s="12">
        <v>4190</v>
      </c>
      <c r="K3197" s="13">
        <f>$E3197+1</f>
        <v>103</v>
      </c>
      <c r="L3197" s="14">
        <f>IF($J3197=0,0,ROUND(MAX($J3197*1.4,1620000*(1.497923^(MIN($E3197,123)-117)))*1,0))</f>
        <v>5866</v>
      </c>
      <c r="M3197" s="11">
        <f>$E3197+2</f>
        <v>104</v>
      </c>
      <c r="N3197" s="12">
        <f>IF($J3197=0,0,ROUND(MAX($J3197*1.4*1.5,2190000*(1.580994^(MIN($E3197,123)-117)))*1,0))</f>
        <v>8799</v>
      </c>
      <c r="O3197" s="13">
        <f>$E3197+4</f>
        <v>106</v>
      </c>
      <c r="P3197" s="14">
        <f>IF($J3197=0,0,ROUND(MAX($J3197*1.4*1.5*1.6,3500000*(1.57975^(MIN($E3197,123)-117)))*1,0))</f>
        <v>14078</v>
      </c>
      <c r="Q3197" s="11">
        <f>$E3197+6</f>
        <v>108</v>
      </c>
      <c r="R3197" s="12">
        <f>IF($J3197=0,0,ROUND(MAX($J3197*1.4*1.5*1.6*1.6,13100000*(1.429962^(MIN($E3197,123)-117)))*1,0))</f>
        <v>61292</v>
      </c>
      <c r="S3197" s="13">
        <f>$E3197+8</f>
        <v>110</v>
      </c>
      <c r="T3197" s="14">
        <f>IF($J3197=0,0,ROUND(MAX($J3197*1.4*1.5*1.6*1.6*2.2,42600000*(1.576904^(MIN($E3197,123)-117)))*1,0))</f>
        <v>49556</v>
      </c>
      <c r="U3197" s="11">
        <f>$E3197+11</f>
        <v>113</v>
      </c>
      <c r="V3197" s="12">
        <f>IF($J3197=0,0,ROUND(MAX($J3197*1.4*1.5*1.6*1.6*2.2*2.715,354000000*(1.642074^(MIN($E3197,123)-117)))*1,0))</f>
        <v>208023</v>
      </c>
      <c r="W3197" s="13">
        <f>$E3197+15</f>
        <v>117</v>
      </c>
      <c r="X3197" s="14">
        <f>IF($J3197=0,0,ROUND(MAX($J3197*1.4*1.5*1.6*1.6*2.2*2.715*2.6,3540000000*(1.579646^(MIN($E3197,123)-117)))*1,0))</f>
        <v>3720546</v>
      </c>
      <c r="Y3197" s="11">
        <f>$E3197+17</f>
        <v>119</v>
      </c>
      <c r="Z3197" s="12">
        <f>IF($J3197=0,0,ROUND(MAX($J3197*1.4*1.5*1.6*1.6*2.2*2.715*2.6*1.4,6020000000*(1.651178^(MIN($E3197,123)-117)))*1,0))</f>
        <v>3256028</v>
      </c>
      <c r="AA3197" s="13">
        <f>$E3197+19</f>
        <v>121</v>
      </c>
      <c r="AB3197" s="14">
        <f>IF($J3197=0,0,ROUND(MAX($J3197*1.4*1.5*1.6*1.6*2.2*2.715*2.6*1.4*1.4,8430000000*(1.651435^(MIN($E3197,123)-117)))*1,0))</f>
        <v>4548889</v>
      </c>
      <c r="AC3197" s="11">
        <f>$E3197+21</f>
        <v>123</v>
      </c>
      <c r="AD3197" s="12">
        <f>IF($J3197=0,0,ROUND(MAX($J3197*1.4*1.5*1.6*1.6*2.2*2.715*2.6*1.4*1.4*1.5,12600000000*(1.652953^(MIN($E3197,123)-117)))*1,0))</f>
        <v>6705991</v>
      </c>
      <c r="AE3197" s="13">
        <f>$E3197+24</f>
        <v>126</v>
      </c>
      <c r="AF3197" s="14">
        <f>IF($J3197=0,0,ROUND(MAX($J3197*1.4*1.5*1.6*1.6*2.2*2.715*2.6*1.4*1.4*1.5*1.5,18900000000*(1.65331^(MIN($E3197,123)-117)))*1,0))</f>
        <v>10026455</v>
      </c>
      <c r="AG3197" s="11">
        <f>$E3197+27</f>
        <v>129</v>
      </c>
      <c r="AH3197" s="12">
        <f>IF($J3197=0,0,ROUND(MAX($J3197*1.4*1.5*1.6*1.6*2.2*2.715*2.6*1.4*1.4*1.5*1.5*3.2,60500000000*(1.654288^(MIN($E3197,123)-117)))*1,0))</f>
        <v>31811825</v>
      </c>
    </row>
    <row r="3198" ht="28" customHeight="1" spans="1:34" x14ac:dyDescent="0.25">
      <c r="A3198">
        <v>3208</v>
      </c>
      <c r="B3198" t="s">
        <v>153</v>
      </c>
      <c r="C3198" s="10" t="s">
        <v>1709</v>
      </c>
      <c r="D3198" t="s">
        <v>45</v>
      </c>
      <c r="E3198">
        <v>102</v>
      </c>
      <c r="F3198" t="s">
        <v>56</v>
      </c>
      <c r="G3198" t="s">
        <v>562</v>
      </c>
      <c r="H3198">
        <v>23</v>
      </c>
      <c r="I3198" s="11">
        <f>$E3198+0</f>
        <v>102</v>
      </c>
      <c r="J3198" s="12">
        <v>4020</v>
      </c>
      <c r="K3198" s="13">
        <f>$E3198+1</f>
        <v>103</v>
      </c>
      <c r="L3198" s="14">
        <f>IF($J3198=0,0,ROUND(MAX($J3198*1.4,1620000*(1.497923^(MIN($E3198,123)-117)))*1,0))</f>
        <v>5628</v>
      </c>
      <c r="M3198" s="11">
        <f>$E3198+2</f>
        <v>104</v>
      </c>
      <c r="N3198" s="12">
        <f>IF($J3198=0,0,ROUND(MAX($J3198*1.4*1.5,2190000*(1.580994^(MIN($E3198,123)-117)))*1,0))</f>
        <v>8442</v>
      </c>
      <c r="O3198" s="13">
        <f>$E3198+4</f>
        <v>106</v>
      </c>
      <c r="P3198" s="14">
        <f>IF($J3198=0,0,ROUND(MAX($J3198*1.4*1.5*1.6,3500000*(1.57975^(MIN($E3198,123)-117)))*1,0))</f>
        <v>13507</v>
      </c>
      <c r="Q3198" s="11">
        <f>$E3198+6</f>
        <v>108</v>
      </c>
      <c r="R3198" s="12">
        <f>IF($J3198=0,0,ROUND(MAX($J3198*1.4*1.5*1.6*1.6,13100000*(1.429962^(MIN($E3198,123)-117)))*1,0))</f>
        <v>61292</v>
      </c>
      <c r="S3198" s="13">
        <f>$E3198+8</f>
        <v>110</v>
      </c>
      <c r="T3198" s="14">
        <f>IF($J3198=0,0,ROUND(MAX($J3198*1.4*1.5*1.6*1.6*2.2,42600000*(1.576904^(MIN($E3198,123)-117)))*1,0))</f>
        <v>47545</v>
      </c>
      <c r="U3198" s="11">
        <f>$E3198+11</f>
        <v>113</v>
      </c>
      <c r="V3198" s="12">
        <f>IF($J3198=0,0,ROUND(MAX($J3198*1.4*1.5*1.6*1.6*2.2*2.715,354000000*(1.642074^(MIN($E3198,123)-117)))*1,0))</f>
        <v>208023</v>
      </c>
      <c r="W3198" s="13">
        <f>$E3198+15</f>
        <v>117</v>
      </c>
      <c r="X3198" s="14">
        <f>IF($J3198=0,0,ROUND(MAX($J3198*1.4*1.5*1.6*1.6*2.2*2.715*2.6,3540000000*(1.579646^(MIN($E3198,123)-117)))*1,0))</f>
        <v>3720546</v>
      </c>
      <c r="Y3198" s="11">
        <f>$E3198+17</f>
        <v>119</v>
      </c>
      <c r="Z3198" s="12">
        <f>IF($J3198=0,0,ROUND(MAX($J3198*1.4*1.5*1.6*1.6*2.2*2.715*2.6*1.4,6020000000*(1.651178^(MIN($E3198,123)-117)))*1,0))</f>
        <v>3256028</v>
      </c>
      <c r="AA3198" s="13">
        <f>$E3198+19</f>
        <v>121</v>
      </c>
      <c r="AB3198" s="14">
        <f>IF($J3198=0,0,ROUND(MAX($J3198*1.4*1.5*1.6*1.6*2.2*2.715*2.6*1.4*1.4,8430000000*(1.651435^(MIN($E3198,123)-117)))*1,0))</f>
        <v>4548889</v>
      </c>
      <c r="AC3198" s="11">
        <f>$E3198+21</f>
        <v>123</v>
      </c>
      <c r="AD3198" s="12">
        <f>IF($J3198=0,0,ROUND(MAX($J3198*1.4*1.5*1.6*1.6*2.2*2.715*2.6*1.4*1.4*1.5,12600000000*(1.652953^(MIN($E3198,123)-117)))*1,0))</f>
        <v>6705991</v>
      </c>
      <c r="AE3198" s="13">
        <f>$E3198+24</f>
        <v>126</v>
      </c>
      <c r="AF3198" s="14">
        <f>IF($J3198=0,0,ROUND(MAX($J3198*1.4*1.5*1.6*1.6*2.2*2.715*2.6*1.4*1.4*1.5*1.5,18900000000*(1.65331^(MIN($E3198,123)-117)))*1,0))</f>
        <v>10026455</v>
      </c>
      <c r="AG3198" s="11">
        <f>$E3198+27</f>
        <v>129</v>
      </c>
      <c r="AH3198" s="12">
        <f>IF($J3198=0,0,ROUND(MAX($J3198*1.4*1.5*1.6*1.6*2.2*2.715*2.6*1.4*1.4*1.5*1.5*3.2,60500000000*(1.654288^(MIN($E3198,123)-117)))*1,0))</f>
        <v>31811825</v>
      </c>
    </row>
    <row r="3199" ht="28" customHeight="1" spans="1:34" x14ac:dyDescent="0.25">
      <c r="A3199">
        <v>3209</v>
      </c>
      <c r="B3199" t="s">
        <v>130</v>
      </c>
      <c r="C3199" s="10" t="s">
        <v>1709</v>
      </c>
      <c r="D3199" t="s">
        <v>25</v>
      </c>
      <c r="E3199">
        <v>102</v>
      </c>
      <c r="F3199" t="s">
        <v>56</v>
      </c>
      <c r="G3199" t="s">
        <v>562</v>
      </c>
      <c r="H3199">
        <v>23</v>
      </c>
      <c r="I3199" s="11">
        <f>$E3199+0</f>
        <v>102</v>
      </c>
      <c r="J3199" s="12">
        <v>8340</v>
      </c>
      <c r="K3199" s="13">
        <f>$E3199+1</f>
        <v>103</v>
      </c>
      <c r="L3199" s="14">
        <f>IF($J3199=0,0,ROUND(MAX($J3199*1.4,1620000*(1.497923^(MIN($E3199,123)-117)))*1,0))</f>
        <v>11676</v>
      </c>
      <c r="M3199" s="11">
        <f>$E3199+2</f>
        <v>104</v>
      </c>
      <c r="N3199" s="12">
        <f>IF($J3199=0,0,ROUND(MAX($J3199*1.4*1.5,2190000*(1.580994^(MIN($E3199,123)-117)))*1,0))</f>
        <v>17514</v>
      </c>
      <c r="O3199" s="13">
        <f>$E3199+4</f>
        <v>106</v>
      </c>
      <c r="P3199" s="14">
        <f>IF($J3199=0,0,ROUND(MAX($J3199*1.4*1.5*1.6,3500000*(1.57975^(MIN($E3199,123)-117)))*1,0))</f>
        <v>28022</v>
      </c>
      <c r="Q3199" s="11">
        <f>$E3199+6</f>
        <v>108</v>
      </c>
      <c r="R3199" s="12">
        <f>IF($J3199=0,0,ROUND(MAX($J3199*1.4*1.5*1.6*1.6,13100000*(1.429962^(MIN($E3199,123)-117)))*1,0))</f>
        <v>61292</v>
      </c>
      <c r="S3199" s="13">
        <f>$E3199+8</f>
        <v>110</v>
      </c>
      <c r="T3199" s="14">
        <f>IF($J3199=0,0,ROUND(MAX($J3199*1.4*1.5*1.6*1.6*2.2,42600000*(1.576904^(MIN($E3199,123)-117)))*1,0))</f>
        <v>98639</v>
      </c>
      <c r="U3199" s="11">
        <f>$E3199+11</f>
        <v>113</v>
      </c>
      <c r="V3199" s="12">
        <f>IF($J3199=0,0,ROUND(MAX($J3199*1.4*1.5*1.6*1.6*2.2*2.715,354000000*(1.642074^(MIN($E3199,123)-117)))*1,0))</f>
        <v>267804</v>
      </c>
      <c r="W3199" s="13">
        <f>$E3199+15</f>
        <v>117</v>
      </c>
      <c r="X3199" s="14">
        <f>IF($J3199=0,0,ROUND(MAX($J3199*1.4*1.5*1.6*1.6*2.2*2.715*2.6,3540000000*(1.579646^(MIN($E3199,123)-117)))*1,0))</f>
        <v>3720546</v>
      </c>
      <c r="Y3199" s="11">
        <f>$E3199+17</f>
        <v>119</v>
      </c>
      <c r="Z3199" s="12">
        <f>IF($J3199=0,0,ROUND(MAX($J3199*1.4*1.5*1.6*1.6*2.2*2.715*2.6*1.4,6020000000*(1.651178^(MIN($E3199,123)-117)))*1,0))</f>
        <v>3256028</v>
      </c>
      <c r="AA3199" s="13">
        <f>$E3199+19</f>
        <v>121</v>
      </c>
      <c r="AB3199" s="14">
        <f>IF($J3199=0,0,ROUND(MAX($J3199*1.4*1.5*1.6*1.6*2.2*2.715*2.6*1.4*1.4,8430000000*(1.651435^(MIN($E3199,123)-117)))*1,0))</f>
        <v>4548889</v>
      </c>
      <c r="AC3199" s="11">
        <f>$E3199+21</f>
        <v>123</v>
      </c>
      <c r="AD3199" s="12">
        <f>IF($J3199=0,0,ROUND(MAX($J3199*1.4*1.5*1.6*1.6*2.2*2.715*2.6*1.4*1.4*1.5,12600000000*(1.652953^(MIN($E3199,123)-117)))*1,0))</f>
        <v>6705991</v>
      </c>
      <c r="AE3199" s="13">
        <f>$E3199+24</f>
        <v>126</v>
      </c>
      <c r="AF3199" s="14">
        <f>IF($J3199=0,0,ROUND(MAX($J3199*1.4*1.5*1.6*1.6*2.2*2.715*2.6*1.4*1.4*1.5*1.5,18900000000*(1.65331^(MIN($E3199,123)-117)))*1,0))</f>
        <v>10026455</v>
      </c>
      <c r="AG3199" s="11">
        <f>$E3199+27</f>
        <v>129</v>
      </c>
      <c r="AH3199" s="12">
        <f>IF($J3199=0,0,ROUND(MAX($J3199*1.4*1.5*1.6*1.6*2.2*2.715*2.6*1.4*1.4*1.5*1.5*3.2,60500000000*(1.654288^(MIN($E3199,123)-117)))*1,0))</f>
        <v>31811825</v>
      </c>
    </row>
    <row r="3200" ht="28" customHeight="1" spans="1:34" x14ac:dyDescent="0.25">
      <c r="A3200">
        <v>3210</v>
      </c>
      <c r="B3200" t="s">
        <v>873</v>
      </c>
      <c r="C3200" s="10" t="s">
        <v>1709</v>
      </c>
      <c r="D3200" t="s">
        <v>102</v>
      </c>
      <c r="E3200">
        <v>102</v>
      </c>
      <c r="F3200" t="s">
        <v>34</v>
      </c>
      <c r="G3200" t="s">
        <v>277</v>
      </c>
      <c r="H3200">
        <v>22</v>
      </c>
      <c r="I3200" s="11">
        <f>$E3200+0</f>
        <v>102</v>
      </c>
      <c r="J3200" s="12">
        <v>5180</v>
      </c>
      <c r="K3200" s="13">
        <f>$E3200+1</f>
        <v>103</v>
      </c>
      <c r="L3200" s="14">
        <f>IF($J3200=0,0,ROUND(MAX($J3200*1.4,1620000*(1.497923^(MIN($E3200,123)-117)))*1,0))</f>
        <v>7252</v>
      </c>
      <c r="M3200" s="11">
        <f>$E3200+2</f>
        <v>104</v>
      </c>
      <c r="N3200" s="12">
        <f>IF($J3200=0,0,ROUND(MAX($J3200*1.4*1.5,2190000*(1.580994^(MIN($E3200,123)-117)))*1,0))</f>
        <v>10878</v>
      </c>
      <c r="O3200" s="13">
        <f>$E3200+4</f>
        <v>106</v>
      </c>
      <c r="P3200" s="14">
        <f>IF($J3200=0,0,ROUND(MAX($J3200*1.4*1.5*1.6,3500000*(1.57975^(MIN($E3200,123)-117)))*1,0))</f>
        <v>17405</v>
      </c>
      <c r="Q3200" s="11">
        <f>$E3200+6</f>
        <v>108</v>
      </c>
      <c r="R3200" s="12">
        <f>IF($J3200=0,0,ROUND(MAX($J3200*1.4*1.5*1.6*1.6,13100000*(1.429962^(MIN($E3200,123)-117)))*1,0))</f>
        <v>61292</v>
      </c>
      <c r="S3200" s="13">
        <f>$E3200+8</f>
        <v>110</v>
      </c>
      <c r="T3200" s="14">
        <f>IF($J3200=0,0,ROUND(MAX($J3200*1.4*1.5*1.6*1.6*2.2,42600000*(1.576904^(MIN($E3200,123)-117)))*1,0))</f>
        <v>61265</v>
      </c>
      <c r="U3200" s="11">
        <f>$E3200+11</f>
        <v>113</v>
      </c>
      <c r="V3200" s="12">
        <f>IF($J3200=0,0,ROUND(MAX($J3200*1.4*1.5*1.6*1.6*2.2*2.715,354000000*(1.642074^(MIN($E3200,123)-117)))*1,0))</f>
        <v>208023</v>
      </c>
      <c r="W3200" s="13">
        <f>$E3200+15</f>
        <v>117</v>
      </c>
      <c r="X3200" s="14">
        <f>IF($J3200=0,0,ROUND(MAX($J3200*1.4*1.5*1.6*1.6*2.2*2.715*2.6,3540000000*(1.579646^(MIN($E3200,123)-117)))*1,0))</f>
        <v>3720546</v>
      </c>
      <c r="Y3200" s="11">
        <f>$E3200+17</f>
        <v>119</v>
      </c>
      <c r="Z3200" s="12">
        <f>IF($J3200=0,0,ROUND(MAX($J3200*1.4*1.5*1.6*1.6*2.2*2.715*2.6*1.4,6020000000*(1.651178^(MIN($E3200,123)-117)))*1,0))</f>
        <v>3256028</v>
      </c>
      <c r="AA3200" s="13">
        <f>$E3200+19</f>
        <v>121</v>
      </c>
      <c r="AB3200" s="14">
        <f>IF($J3200=0,0,ROUND(MAX($J3200*1.4*1.5*1.6*1.6*2.2*2.715*2.6*1.4*1.4,8430000000*(1.651435^(MIN($E3200,123)-117)))*1,0))</f>
        <v>4548889</v>
      </c>
      <c r="AC3200" s="11">
        <f>$E3200+21</f>
        <v>123</v>
      </c>
      <c r="AD3200" s="12">
        <f>IF($J3200=0,0,ROUND(MAX($J3200*1.4*1.5*1.6*1.6*2.2*2.715*2.6*1.4*1.4*1.5,12600000000*(1.652953^(MIN($E3200,123)-117)))*1,0))</f>
        <v>6705991</v>
      </c>
      <c r="AE3200" s="13">
        <f>$E3200+24</f>
        <v>126</v>
      </c>
      <c r="AF3200" s="14">
        <f>IF($J3200=0,0,ROUND(MAX($J3200*1.4*1.5*1.6*1.6*2.2*2.715*2.6*1.4*1.4*1.5*1.5,18900000000*(1.65331^(MIN($E3200,123)-117)))*1,0))</f>
        <v>10026455</v>
      </c>
      <c r="AG3200" s="11">
        <f>$E3200+27</f>
        <v>129</v>
      </c>
      <c r="AH3200" s="12">
        <f>IF($J3200=0,0,ROUND(MAX($J3200*1.4*1.5*1.6*1.6*2.2*2.715*2.6*1.4*1.4*1.5*1.5*3.2,60500000000*(1.654288^(MIN($E3200,123)-117)))*1,0))</f>
        <v>31811825</v>
      </c>
    </row>
    <row r="3201" ht="28" customHeight="1" spans="1:34" x14ac:dyDescent="0.25">
      <c r="A3201">
        <v>3211</v>
      </c>
      <c r="B3201" t="s">
        <v>1011</v>
      </c>
      <c r="C3201" s="10" t="s">
        <v>1709</v>
      </c>
      <c r="D3201" t="s">
        <v>45</v>
      </c>
      <c r="E3201">
        <v>102</v>
      </c>
      <c r="F3201" t="s">
        <v>34</v>
      </c>
      <c r="G3201" t="s">
        <v>562</v>
      </c>
      <c r="H3201">
        <v>22</v>
      </c>
      <c r="I3201" s="11">
        <f>$E3201+0</f>
        <v>102</v>
      </c>
      <c r="J3201" s="12">
        <v>4080</v>
      </c>
      <c r="K3201" s="13">
        <f>$E3201+1</f>
        <v>103</v>
      </c>
      <c r="L3201" s="14">
        <f>IF($J3201=0,0,ROUND(MAX($J3201*1.4,1620000*(1.497923^(MIN($E3201,123)-117)))*1,0))</f>
        <v>5712</v>
      </c>
      <c r="M3201" s="11">
        <f>$E3201+2</f>
        <v>104</v>
      </c>
      <c r="N3201" s="12">
        <f>IF($J3201=0,0,ROUND(MAX($J3201*1.4*1.5,2190000*(1.580994^(MIN($E3201,123)-117)))*1,0))</f>
        <v>8568</v>
      </c>
      <c r="O3201" s="13">
        <f>$E3201+4</f>
        <v>106</v>
      </c>
      <c r="P3201" s="14">
        <f>IF($J3201=0,0,ROUND(MAX($J3201*1.4*1.5*1.6,3500000*(1.57975^(MIN($E3201,123)-117)))*1,0))</f>
        <v>13709</v>
      </c>
      <c r="Q3201" s="11">
        <f>$E3201+6</f>
        <v>108</v>
      </c>
      <c r="R3201" s="12">
        <f>IF($J3201=0,0,ROUND(MAX($J3201*1.4*1.5*1.6*1.6,13100000*(1.429962^(MIN($E3201,123)-117)))*1,0))</f>
        <v>61292</v>
      </c>
      <c r="S3201" s="13">
        <f>$E3201+8</f>
        <v>110</v>
      </c>
      <c r="T3201" s="14">
        <f>IF($J3201=0,0,ROUND(MAX($J3201*1.4*1.5*1.6*1.6*2.2,42600000*(1.576904^(MIN($E3201,123)-117)))*1,0))</f>
        <v>48255</v>
      </c>
      <c r="U3201" s="11">
        <f>$E3201+11</f>
        <v>113</v>
      </c>
      <c r="V3201" s="12">
        <f>IF($J3201=0,0,ROUND(MAX($J3201*1.4*1.5*1.6*1.6*2.2*2.715,354000000*(1.642074^(MIN($E3201,123)-117)))*1,0))</f>
        <v>208023</v>
      </c>
      <c r="W3201" s="13">
        <f>$E3201+15</f>
        <v>117</v>
      </c>
      <c r="X3201" s="14">
        <f>IF($J3201=0,0,ROUND(MAX($J3201*1.4*1.5*1.6*1.6*2.2*2.715*2.6,3540000000*(1.579646^(MIN($E3201,123)-117)))*1,0))</f>
        <v>3720546</v>
      </c>
      <c r="Y3201" s="11">
        <f>$E3201+17</f>
        <v>119</v>
      </c>
      <c r="Z3201" s="12">
        <f>IF($J3201=0,0,ROUND(MAX($J3201*1.4*1.5*1.6*1.6*2.2*2.715*2.6*1.4,6020000000*(1.651178^(MIN($E3201,123)-117)))*1,0))</f>
        <v>3256028</v>
      </c>
      <c r="AA3201" s="13">
        <f>$E3201+19</f>
        <v>121</v>
      </c>
      <c r="AB3201" s="14">
        <f>IF($J3201=0,0,ROUND(MAX($J3201*1.4*1.5*1.6*1.6*2.2*2.715*2.6*1.4*1.4,8430000000*(1.651435^(MIN($E3201,123)-117)))*1,0))</f>
        <v>4548889</v>
      </c>
      <c r="AC3201" s="11">
        <f>$E3201+21</f>
        <v>123</v>
      </c>
      <c r="AD3201" s="12">
        <f>IF($J3201=0,0,ROUND(MAX($J3201*1.4*1.5*1.6*1.6*2.2*2.715*2.6*1.4*1.4*1.5,12600000000*(1.652953^(MIN($E3201,123)-117)))*1,0))</f>
        <v>6705991</v>
      </c>
      <c r="AE3201" s="13">
        <f>$E3201+24</f>
        <v>126</v>
      </c>
      <c r="AF3201" s="14">
        <f>IF($J3201=0,0,ROUND(MAX($J3201*1.4*1.5*1.6*1.6*2.2*2.715*2.6*1.4*1.4*1.5*1.5,18900000000*(1.65331^(MIN($E3201,123)-117)))*1,0))</f>
        <v>10026455</v>
      </c>
      <c r="AG3201" s="11">
        <f>$E3201+27</f>
        <v>129</v>
      </c>
      <c r="AH3201" s="12">
        <f>IF($J3201=0,0,ROUND(MAX($J3201*1.4*1.5*1.6*1.6*2.2*2.715*2.6*1.4*1.4*1.5*1.5*3.2,60500000000*(1.654288^(MIN($E3201,123)-117)))*1,0))</f>
        <v>31811825</v>
      </c>
    </row>
    <row r="3202" ht="28" customHeight="1" spans="1:34" x14ac:dyDescent="0.25">
      <c r="A3202">
        <v>3212</v>
      </c>
      <c r="B3202" t="s">
        <v>685</v>
      </c>
      <c r="C3202" s="10" t="s">
        <v>1709</v>
      </c>
      <c r="D3202" t="s">
        <v>29</v>
      </c>
      <c r="E3202">
        <v>102</v>
      </c>
      <c r="F3202" t="s">
        <v>492</v>
      </c>
      <c r="G3202" t="s">
        <v>213</v>
      </c>
      <c r="H3202">
        <v>22</v>
      </c>
      <c r="I3202" s="11">
        <f>$E3202+0</f>
        <v>102</v>
      </c>
      <c r="J3202" s="12">
        <v>4190</v>
      </c>
      <c r="K3202" s="13">
        <f>$E3202+1</f>
        <v>103</v>
      </c>
      <c r="L3202" s="14">
        <f>IF($J3202=0,0,ROUND(MAX($J3202*1.4,1620000*(1.497923^(MIN($E3202,123)-117)))*1,0))</f>
        <v>5866</v>
      </c>
      <c r="M3202" s="11">
        <f>$E3202+2</f>
        <v>104</v>
      </c>
      <c r="N3202" s="12">
        <f>IF($J3202=0,0,ROUND(MAX($J3202*1.4*1.5,2190000*(1.580994^(MIN($E3202,123)-117)))*1,0))</f>
        <v>8799</v>
      </c>
      <c r="O3202" s="13">
        <f>$E3202+4</f>
        <v>106</v>
      </c>
      <c r="P3202" s="14">
        <f>IF($J3202=0,0,ROUND(MAX($J3202*1.4*1.5*1.6,3500000*(1.57975^(MIN($E3202,123)-117)))*1,0))</f>
        <v>14078</v>
      </c>
      <c r="Q3202" s="11">
        <f>$E3202+6</f>
        <v>108</v>
      </c>
      <c r="R3202" s="12">
        <f>IF($J3202=0,0,ROUND(MAX($J3202*1.4*1.5*1.6*1.6,13100000*(1.429962^(MIN($E3202,123)-117)))*1,0))</f>
        <v>61292</v>
      </c>
      <c r="S3202" s="13">
        <f>$E3202+8</f>
        <v>110</v>
      </c>
      <c r="T3202" s="14">
        <f>IF($J3202=0,0,ROUND(MAX($J3202*1.4*1.5*1.6*1.6*2.2,42600000*(1.576904^(MIN($E3202,123)-117)))*1,0))</f>
        <v>49556</v>
      </c>
      <c r="U3202" s="11">
        <f>$E3202+11</f>
        <v>113</v>
      </c>
      <c r="V3202" s="12">
        <f>IF($J3202=0,0,ROUND(MAX($J3202*1.4*1.5*1.6*1.6*2.2*2.715,354000000*(1.642074^(MIN($E3202,123)-117)))*1,0))</f>
        <v>208023</v>
      </c>
      <c r="W3202" s="13">
        <f>$E3202+15</f>
        <v>117</v>
      </c>
      <c r="X3202" s="14">
        <f>IF($J3202=0,0,ROUND(MAX($J3202*1.4*1.5*1.6*1.6*2.2*2.715*2.6,3540000000*(1.579646^(MIN($E3202,123)-117)))*1,0))</f>
        <v>3720546</v>
      </c>
      <c r="Y3202" s="11">
        <f>$E3202+17</f>
        <v>119</v>
      </c>
      <c r="Z3202" s="12">
        <f>IF($J3202=0,0,ROUND(MAX($J3202*1.4*1.5*1.6*1.6*2.2*2.715*2.6*1.4,6020000000*(1.651178^(MIN($E3202,123)-117)))*1,0))</f>
        <v>3256028</v>
      </c>
      <c r="AA3202" s="13">
        <f>$E3202+19</f>
        <v>121</v>
      </c>
      <c r="AB3202" s="14">
        <f>IF($J3202=0,0,ROUND(MAX($J3202*1.4*1.5*1.6*1.6*2.2*2.715*2.6*1.4*1.4,8430000000*(1.651435^(MIN($E3202,123)-117)))*1,0))</f>
        <v>4548889</v>
      </c>
      <c r="AC3202" s="11">
        <f>$E3202+21</f>
        <v>123</v>
      </c>
      <c r="AD3202" s="12">
        <f>IF($J3202=0,0,ROUND(MAX($J3202*1.4*1.5*1.6*1.6*2.2*2.715*2.6*1.4*1.4*1.5,12600000000*(1.652953^(MIN($E3202,123)-117)))*1,0))</f>
        <v>6705991</v>
      </c>
      <c r="AE3202" s="13">
        <f>$E3202+24</f>
        <v>126</v>
      </c>
      <c r="AF3202" s="14">
        <f>IF($J3202=0,0,ROUND(MAX($J3202*1.4*1.5*1.6*1.6*2.2*2.715*2.6*1.4*1.4*1.5*1.5,18900000000*(1.65331^(MIN($E3202,123)-117)))*1,0))</f>
        <v>10026455</v>
      </c>
      <c r="AG3202" s="11">
        <f>$E3202+27</f>
        <v>129</v>
      </c>
      <c r="AH3202" s="12">
        <f>IF($J3202=0,0,ROUND(MAX($J3202*1.4*1.5*1.6*1.6*2.2*2.715*2.6*1.4*1.4*1.5*1.5*3.2,60500000000*(1.654288^(MIN($E3202,123)-117)))*1,0))</f>
        <v>31811825</v>
      </c>
    </row>
    <row r="3203" ht="28" customHeight="1" spans="1:34" x14ac:dyDescent="0.25">
      <c r="A3203">
        <v>3213</v>
      </c>
      <c r="B3203" t="s">
        <v>972</v>
      </c>
      <c r="C3203" s="10" t="s">
        <v>1709</v>
      </c>
      <c r="D3203" t="s">
        <v>40</v>
      </c>
      <c r="E3203">
        <v>102</v>
      </c>
      <c r="F3203" t="s">
        <v>54</v>
      </c>
      <c r="G3203" t="s">
        <v>562</v>
      </c>
      <c r="H3203">
        <v>22</v>
      </c>
      <c r="I3203" s="11">
        <f>$E3203+0</f>
        <v>102</v>
      </c>
      <c r="J3203" s="12">
        <v>4320</v>
      </c>
      <c r="K3203" s="13">
        <f>$E3203+1</f>
        <v>103</v>
      </c>
      <c r="L3203" s="14">
        <f>IF($J3203=0,0,ROUND(MAX($J3203*1.4,1620000*(1.497923^(MIN($E3203,123)-117)))*1,0))</f>
        <v>6048</v>
      </c>
      <c r="M3203" s="11">
        <f>$E3203+2</f>
        <v>104</v>
      </c>
      <c r="N3203" s="12">
        <f>IF($J3203=0,0,ROUND(MAX($J3203*1.4*1.5,2190000*(1.580994^(MIN($E3203,123)-117)))*1,0))</f>
        <v>9072</v>
      </c>
      <c r="O3203" s="13">
        <f>$E3203+4</f>
        <v>106</v>
      </c>
      <c r="P3203" s="14">
        <f>IF($J3203=0,0,ROUND(MAX($J3203*1.4*1.5*1.6,3500000*(1.57975^(MIN($E3203,123)-117)))*1,0))</f>
        <v>14515</v>
      </c>
      <c r="Q3203" s="11">
        <f>$E3203+6</f>
        <v>108</v>
      </c>
      <c r="R3203" s="12">
        <f>IF($J3203=0,0,ROUND(MAX($J3203*1.4*1.5*1.6*1.6,13100000*(1.429962^(MIN($E3203,123)-117)))*1,0))</f>
        <v>61292</v>
      </c>
      <c r="S3203" s="13">
        <f>$E3203+8</f>
        <v>110</v>
      </c>
      <c r="T3203" s="14">
        <f>IF($J3203=0,0,ROUND(MAX($J3203*1.4*1.5*1.6*1.6*2.2,42600000*(1.576904^(MIN($E3203,123)-117)))*1,0))</f>
        <v>51094</v>
      </c>
      <c r="U3203" s="11">
        <f>$E3203+11</f>
        <v>113</v>
      </c>
      <c r="V3203" s="12">
        <f>IF($J3203=0,0,ROUND(MAX($J3203*1.4*1.5*1.6*1.6*2.2*2.715,354000000*(1.642074^(MIN($E3203,123)-117)))*1,0))</f>
        <v>208023</v>
      </c>
      <c r="W3203" s="13">
        <f>$E3203+15</f>
        <v>117</v>
      </c>
      <c r="X3203" s="14">
        <f>IF($J3203=0,0,ROUND(MAX($J3203*1.4*1.5*1.6*1.6*2.2*2.715*2.6,3540000000*(1.579646^(MIN($E3203,123)-117)))*1,0))</f>
        <v>3720546</v>
      </c>
      <c r="Y3203" s="11">
        <f>$E3203+17</f>
        <v>119</v>
      </c>
      <c r="Z3203" s="12">
        <f>IF($J3203=0,0,ROUND(MAX($J3203*1.4*1.5*1.6*1.6*2.2*2.715*2.6*1.4,6020000000*(1.651178^(MIN($E3203,123)-117)))*1,0))</f>
        <v>3256028</v>
      </c>
      <c r="AA3203" s="13">
        <f>$E3203+19</f>
        <v>121</v>
      </c>
      <c r="AB3203" s="14">
        <f>IF($J3203=0,0,ROUND(MAX($J3203*1.4*1.5*1.6*1.6*2.2*2.715*2.6*1.4*1.4,8430000000*(1.651435^(MIN($E3203,123)-117)))*1,0))</f>
        <v>4548889</v>
      </c>
      <c r="AC3203" s="11">
        <f>$E3203+21</f>
        <v>123</v>
      </c>
      <c r="AD3203" s="12">
        <f>IF($J3203=0,0,ROUND(MAX($J3203*1.4*1.5*1.6*1.6*2.2*2.715*2.6*1.4*1.4*1.5,12600000000*(1.652953^(MIN($E3203,123)-117)))*1,0))</f>
        <v>6705991</v>
      </c>
      <c r="AE3203" s="13">
        <f>$E3203+24</f>
        <v>126</v>
      </c>
      <c r="AF3203" s="14">
        <f>IF($J3203=0,0,ROUND(MAX($J3203*1.4*1.5*1.6*1.6*2.2*2.715*2.6*1.4*1.4*1.5*1.5,18900000000*(1.65331^(MIN($E3203,123)-117)))*1,0))</f>
        <v>10026455</v>
      </c>
      <c r="AG3203" s="11">
        <f>$E3203+27</f>
        <v>129</v>
      </c>
      <c r="AH3203" s="12">
        <f>IF($J3203=0,0,ROUND(MAX($J3203*1.4*1.5*1.6*1.6*2.2*2.715*2.6*1.4*1.4*1.5*1.5*3.2,60500000000*(1.654288^(MIN($E3203,123)-117)))*1,0))</f>
        <v>31811825</v>
      </c>
    </row>
    <row r="3204" ht="28" customHeight="1" spans="1:34" x14ac:dyDescent="0.25">
      <c r="A3204">
        <v>3214</v>
      </c>
      <c r="B3204" t="s">
        <v>1131</v>
      </c>
      <c r="C3204" s="10" t="s">
        <v>1709</v>
      </c>
      <c r="D3204" t="s">
        <v>33</v>
      </c>
      <c r="E3204">
        <v>102</v>
      </c>
      <c r="F3204" t="s">
        <v>310</v>
      </c>
      <c r="G3204" t="s">
        <v>562</v>
      </c>
      <c r="H3204">
        <v>22</v>
      </c>
      <c r="I3204" s="11">
        <f>$E3204+0</f>
        <v>102</v>
      </c>
      <c r="J3204" s="12">
        <v>2930</v>
      </c>
      <c r="K3204" s="13">
        <f>$E3204+1</f>
        <v>103</v>
      </c>
      <c r="L3204" s="14">
        <f>IF($J3204=0,0,ROUND(MAX($J3204*1.4,1620000*(1.497923^(MIN($E3204,123)-117)))*1,0))</f>
        <v>4102</v>
      </c>
      <c r="M3204" s="11">
        <f>$E3204+2</f>
        <v>104</v>
      </c>
      <c r="N3204" s="12">
        <f>IF($J3204=0,0,ROUND(MAX($J3204*1.4*1.5,2190000*(1.580994^(MIN($E3204,123)-117)))*1,0))</f>
        <v>6153</v>
      </c>
      <c r="O3204" s="13">
        <f>$E3204+4</f>
        <v>106</v>
      </c>
      <c r="P3204" s="14">
        <f>IF($J3204=0,0,ROUND(MAX($J3204*1.4*1.5*1.6,3500000*(1.57975^(MIN($E3204,123)-117)))*1,0))</f>
        <v>9845</v>
      </c>
      <c r="Q3204" s="11">
        <f>$E3204+6</f>
        <v>108</v>
      </c>
      <c r="R3204" s="12">
        <f>IF($J3204=0,0,ROUND(MAX($J3204*1.4*1.5*1.6*1.6,13100000*(1.429962^(MIN($E3204,123)-117)))*1,0))</f>
        <v>61292</v>
      </c>
      <c r="S3204" s="13">
        <f>$E3204+8</f>
        <v>110</v>
      </c>
      <c r="T3204" s="14">
        <f>IF($J3204=0,0,ROUND(MAX($J3204*1.4*1.5*1.6*1.6*2.2,42600000*(1.576904^(MIN($E3204,123)-117)))*1,0))</f>
        <v>45955</v>
      </c>
      <c r="U3204" s="11">
        <f>$E3204+11</f>
        <v>113</v>
      </c>
      <c r="V3204" s="12">
        <f>IF($J3204=0,0,ROUND(MAX($J3204*1.4*1.5*1.6*1.6*2.2*2.715,354000000*(1.642074^(MIN($E3204,123)-117)))*1,0))</f>
        <v>208023</v>
      </c>
      <c r="W3204" s="13">
        <f>$E3204+15</f>
        <v>117</v>
      </c>
      <c r="X3204" s="14">
        <f>IF($J3204=0,0,ROUND(MAX($J3204*1.4*1.5*1.6*1.6*2.2*2.715*2.6,3540000000*(1.579646^(MIN($E3204,123)-117)))*1,0))</f>
        <v>3720546</v>
      </c>
      <c r="Y3204" s="11">
        <f>$E3204+17</f>
        <v>119</v>
      </c>
      <c r="Z3204" s="12">
        <f>IF($J3204=0,0,ROUND(MAX($J3204*1.4*1.5*1.6*1.6*2.2*2.715*2.6*1.4,6020000000*(1.651178^(MIN($E3204,123)-117)))*1,0))</f>
        <v>3256028</v>
      </c>
      <c r="AA3204" s="13">
        <f>$E3204+19</f>
        <v>121</v>
      </c>
      <c r="AB3204" s="14">
        <f>IF($J3204=0,0,ROUND(MAX($J3204*1.4*1.5*1.6*1.6*2.2*2.715*2.6*1.4*1.4,8430000000*(1.651435^(MIN($E3204,123)-117)))*1,0))</f>
        <v>4548889</v>
      </c>
      <c r="AC3204" s="11">
        <f>$E3204+21</f>
        <v>123</v>
      </c>
      <c r="AD3204" s="12">
        <f>IF($J3204=0,0,ROUND(MAX($J3204*1.4*1.5*1.6*1.6*2.2*2.715*2.6*1.4*1.4*1.5,12600000000*(1.652953^(MIN($E3204,123)-117)))*1,0))</f>
        <v>6705991</v>
      </c>
      <c r="AE3204" s="13">
        <f>$E3204+24</f>
        <v>126</v>
      </c>
      <c r="AF3204" s="14">
        <f>IF($J3204=0,0,ROUND(MAX($J3204*1.4*1.5*1.6*1.6*2.2*2.715*2.6*1.4*1.4*1.5*1.5,18900000000*(1.65331^(MIN($E3204,123)-117)))*1,0))</f>
        <v>10026455</v>
      </c>
      <c r="AG3204" s="11">
        <f>$E3204+27</f>
        <v>129</v>
      </c>
      <c r="AH3204" s="12">
        <f>IF($J3204=0,0,ROUND(MAX($J3204*1.4*1.5*1.6*1.6*2.2*2.715*2.6*1.4*1.4*1.5*1.5*3.2,60500000000*(1.654288^(MIN($E3204,123)-117)))*1,0))</f>
        <v>31811825</v>
      </c>
    </row>
    <row r="3205" ht="28" customHeight="1" spans="1:34" x14ac:dyDescent="0.25">
      <c r="A3205">
        <v>3215</v>
      </c>
      <c r="B3205" t="s">
        <v>1136</v>
      </c>
      <c r="C3205" s="10" t="s">
        <v>1709</v>
      </c>
      <c r="D3205" t="s">
        <v>40</v>
      </c>
      <c r="E3205">
        <v>102</v>
      </c>
      <c r="F3205" t="s">
        <v>237</v>
      </c>
      <c r="G3205" t="s">
        <v>562</v>
      </c>
      <c r="H3205">
        <v>22</v>
      </c>
      <c r="I3205" s="11">
        <f>$E3205+0</f>
        <v>102</v>
      </c>
      <c r="J3205" s="12">
        <v>5560</v>
      </c>
      <c r="K3205" s="13">
        <f>$E3205+1</f>
        <v>103</v>
      </c>
      <c r="L3205" s="14">
        <f>IF($J3205=0,0,ROUND(MAX($J3205*1.4,1620000*(1.497923^(MIN($E3205,123)-117)))*1,0))</f>
        <v>7784</v>
      </c>
      <c r="M3205" s="11">
        <f>$E3205+2</f>
        <v>104</v>
      </c>
      <c r="N3205" s="12">
        <f>IF($J3205=0,0,ROUND(MAX($J3205*1.4*1.5,2190000*(1.580994^(MIN($E3205,123)-117)))*1,0))</f>
        <v>11676</v>
      </c>
      <c r="O3205" s="13">
        <f>$E3205+4</f>
        <v>106</v>
      </c>
      <c r="P3205" s="14">
        <f>IF($J3205=0,0,ROUND(MAX($J3205*1.4*1.5*1.6,3500000*(1.57975^(MIN($E3205,123)-117)))*1,0))</f>
        <v>18682</v>
      </c>
      <c r="Q3205" s="11">
        <f>$E3205+6</f>
        <v>108</v>
      </c>
      <c r="R3205" s="12">
        <f>IF($J3205=0,0,ROUND(MAX($J3205*1.4*1.5*1.6*1.6,13100000*(1.429962^(MIN($E3205,123)-117)))*1,0))</f>
        <v>61292</v>
      </c>
      <c r="S3205" s="13">
        <f>$E3205+8</f>
        <v>110</v>
      </c>
      <c r="T3205" s="14">
        <f>IF($J3205=0,0,ROUND(MAX($J3205*1.4*1.5*1.6*1.6*2.2,42600000*(1.576904^(MIN($E3205,123)-117)))*1,0))</f>
        <v>65759</v>
      </c>
      <c r="U3205" s="11">
        <f>$E3205+11</f>
        <v>113</v>
      </c>
      <c r="V3205" s="12">
        <f>IF($J3205=0,0,ROUND(MAX($J3205*1.4*1.5*1.6*1.6*2.2*2.715,354000000*(1.642074^(MIN($E3205,123)-117)))*1,0))</f>
        <v>208023</v>
      </c>
      <c r="W3205" s="13">
        <f>$E3205+15</f>
        <v>117</v>
      </c>
      <c r="X3205" s="14">
        <f>IF($J3205=0,0,ROUND(MAX($J3205*1.4*1.5*1.6*1.6*2.2*2.715*2.6,3540000000*(1.579646^(MIN($E3205,123)-117)))*1,0))</f>
        <v>3720546</v>
      </c>
      <c r="Y3205" s="11">
        <f>$E3205+17</f>
        <v>119</v>
      </c>
      <c r="Z3205" s="12">
        <f>IF($J3205=0,0,ROUND(MAX($J3205*1.4*1.5*1.6*1.6*2.2*2.715*2.6*1.4,6020000000*(1.651178^(MIN($E3205,123)-117)))*1,0))</f>
        <v>3256028</v>
      </c>
      <c r="AA3205" s="13">
        <f>$E3205+19</f>
        <v>121</v>
      </c>
      <c r="AB3205" s="14">
        <f>IF($J3205=0,0,ROUND(MAX($J3205*1.4*1.5*1.6*1.6*2.2*2.715*2.6*1.4*1.4,8430000000*(1.651435^(MIN($E3205,123)-117)))*1,0))</f>
        <v>4548889</v>
      </c>
      <c r="AC3205" s="11">
        <f>$E3205+21</f>
        <v>123</v>
      </c>
      <c r="AD3205" s="12">
        <f>IF($J3205=0,0,ROUND(MAX($J3205*1.4*1.5*1.6*1.6*2.2*2.715*2.6*1.4*1.4*1.5,12600000000*(1.652953^(MIN($E3205,123)-117)))*1,0))</f>
        <v>6705991</v>
      </c>
      <c r="AE3205" s="13">
        <f>$E3205+24</f>
        <v>126</v>
      </c>
      <c r="AF3205" s="14">
        <f>IF($J3205=0,0,ROUND(MAX($J3205*1.4*1.5*1.6*1.6*2.2*2.715*2.6*1.4*1.4*1.5*1.5,18900000000*(1.65331^(MIN($E3205,123)-117)))*1,0))</f>
        <v>10026455</v>
      </c>
      <c r="AG3205" s="11">
        <f>$E3205+27</f>
        <v>129</v>
      </c>
      <c r="AH3205" s="12">
        <f>IF($J3205=0,0,ROUND(MAX($J3205*1.4*1.5*1.6*1.6*2.2*2.715*2.6*1.4*1.4*1.5*1.5*3.2,60500000000*(1.654288^(MIN($E3205,123)-117)))*1,0))</f>
        <v>31811825</v>
      </c>
    </row>
    <row r="3206" ht="28" customHeight="1" spans="1:34" x14ac:dyDescent="0.25">
      <c r="A3206">
        <v>3216</v>
      </c>
      <c r="B3206" t="s">
        <v>78</v>
      </c>
      <c r="C3206" s="10" t="s">
        <v>1709</v>
      </c>
      <c r="D3206" t="s">
        <v>25</v>
      </c>
      <c r="E3206">
        <v>102</v>
      </c>
      <c r="F3206" t="s">
        <v>30</v>
      </c>
      <c r="G3206" t="s">
        <v>562</v>
      </c>
      <c r="H3206">
        <v>22</v>
      </c>
      <c r="I3206" s="11">
        <f>$E3206+0</f>
        <v>102</v>
      </c>
      <c r="J3206" s="12">
        <v>9510</v>
      </c>
      <c r="K3206" s="13">
        <f>$E3206+1</f>
        <v>103</v>
      </c>
      <c r="L3206" s="14">
        <f>IF($J3206=0,0,ROUND(MAX($J3206*1.4,1620000*(1.497923^(MIN($E3206,123)-117)))*1,0))</f>
        <v>13314</v>
      </c>
      <c r="M3206" s="11">
        <f>$E3206+2</f>
        <v>104</v>
      </c>
      <c r="N3206" s="12">
        <f>IF($J3206=0,0,ROUND(MAX($J3206*1.4*1.5,2190000*(1.580994^(MIN($E3206,123)-117)))*1,0))</f>
        <v>19971</v>
      </c>
      <c r="O3206" s="13">
        <f>$E3206+4</f>
        <v>106</v>
      </c>
      <c r="P3206" s="14">
        <f>IF($J3206=0,0,ROUND(MAX($J3206*1.4*1.5*1.6,3500000*(1.57975^(MIN($E3206,123)-117)))*1,0))</f>
        <v>31954</v>
      </c>
      <c r="Q3206" s="11">
        <f>$E3206+6</f>
        <v>108</v>
      </c>
      <c r="R3206" s="12">
        <f>IF($J3206=0,0,ROUND(MAX($J3206*1.4*1.5*1.6*1.6,13100000*(1.429962^(MIN($E3206,123)-117)))*1,0))</f>
        <v>61292</v>
      </c>
      <c r="S3206" s="13">
        <f>$E3206+8</f>
        <v>110</v>
      </c>
      <c r="T3206" s="14">
        <f>IF($J3206=0,0,ROUND(MAX($J3206*1.4*1.5*1.6*1.6*2.2,42600000*(1.576904^(MIN($E3206,123)-117)))*1,0))</f>
        <v>112477</v>
      </c>
      <c r="U3206" s="11">
        <f>$E3206+11</f>
        <v>113</v>
      </c>
      <c r="V3206" s="12">
        <f>IF($J3206=0,0,ROUND(MAX($J3206*1.4*1.5*1.6*1.6*2.2*2.715,354000000*(1.642074^(MIN($E3206,123)-117)))*1,0))</f>
        <v>305374</v>
      </c>
      <c r="W3206" s="13">
        <f>$E3206+15</f>
        <v>117</v>
      </c>
      <c r="X3206" s="14">
        <f>IF($J3206=0,0,ROUND(MAX($J3206*1.4*1.5*1.6*1.6*2.2*2.715*2.6,3540000000*(1.579646^(MIN($E3206,123)-117)))*1,0))</f>
        <v>3720546</v>
      </c>
      <c r="Y3206" s="11">
        <f>$E3206+17</f>
        <v>119</v>
      </c>
      <c r="Z3206" s="12">
        <f>IF($J3206=0,0,ROUND(MAX($J3206*1.4*1.5*1.6*1.6*2.2*2.715*2.6*1.4,6020000000*(1.651178^(MIN($E3206,123)-117)))*1,0))</f>
        <v>3256028</v>
      </c>
      <c r="AA3206" s="13">
        <f>$E3206+19</f>
        <v>121</v>
      </c>
      <c r="AB3206" s="14">
        <f>IF($J3206=0,0,ROUND(MAX($J3206*1.4*1.5*1.6*1.6*2.2*2.715*2.6*1.4*1.4,8430000000*(1.651435^(MIN($E3206,123)-117)))*1,0))</f>
        <v>4548889</v>
      </c>
      <c r="AC3206" s="11">
        <f>$E3206+21</f>
        <v>123</v>
      </c>
      <c r="AD3206" s="12">
        <f>IF($J3206=0,0,ROUND(MAX($J3206*1.4*1.5*1.6*1.6*2.2*2.715*2.6*1.4*1.4*1.5,12600000000*(1.652953^(MIN($E3206,123)-117)))*1,0))</f>
        <v>6705991</v>
      </c>
      <c r="AE3206" s="13">
        <f>$E3206+24</f>
        <v>126</v>
      </c>
      <c r="AF3206" s="14">
        <f>IF($J3206=0,0,ROUND(MAX($J3206*1.4*1.5*1.6*1.6*2.2*2.715*2.6*1.4*1.4*1.5*1.5,18900000000*(1.65331^(MIN($E3206,123)-117)))*1,0))</f>
        <v>10026455</v>
      </c>
      <c r="AG3206" s="11">
        <f>$E3206+27</f>
        <v>129</v>
      </c>
      <c r="AH3206" s="12">
        <f>IF($J3206=0,0,ROUND(MAX($J3206*1.4*1.5*1.6*1.6*2.2*2.715*2.6*1.4*1.4*1.5*1.5*3.2,60500000000*(1.654288^(MIN($E3206,123)-117)))*1,0))</f>
        <v>31811825</v>
      </c>
    </row>
    <row r="3207" ht="28" customHeight="1" spans="1:34" x14ac:dyDescent="0.25">
      <c r="A3207">
        <v>3217</v>
      </c>
      <c r="B3207" t="s">
        <v>112</v>
      </c>
      <c r="C3207" s="10" t="s">
        <v>1709</v>
      </c>
      <c r="D3207" t="s">
        <v>40</v>
      </c>
      <c r="E3207">
        <v>102</v>
      </c>
      <c r="F3207" t="s">
        <v>42</v>
      </c>
      <c r="G3207" t="s">
        <v>562</v>
      </c>
      <c r="H3207">
        <v>22</v>
      </c>
      <c r="I3207" s="11">
        <f>$E3207+0</f>
        <v>102</v>
      </c>
      <c r="J3207" s="12">
        <v>2570</v>
      </c>
      <c r="K3207" s="13">
        <f>$E3207+1</f>
        <v>103</v>
      </c>
      <c r="L3207" s="14">
        <f>IF($J3207=0,0,ROUND(MAX($J3207*1.4,1620000*(1.497923^(MIN($E3207,123)-117)))*1,0))</f>
        <v>3777</v>
      </c>
      <c r="M3207" s="11">
        <f>$E3207+2</f>
        <v>104</v>
      </c>
      <c r="N3207" s="12">
        <f>IF($J3207=0,0,ROUND(MAX($J3207*1.4*1.5,2190000*(1.580994^(MIN($E3207,123)-117)))*1,0))</f>
        <v>5397</v>
      </c>
      <c r="O3207" s="13">
        <f>$E3207+4</f>
        <v>106</v>
      </c>
      <c r="P3207" s="14">
        <f>IF($J3207=0,0,ROUND(MAX($J3207*1.4*1.5*1.6,3500000*(1.57975^(MIN($E3207,123)-117)))*1,0))</f>
        <v>8635</v>
      </c>
      <c r="Q3207" s="11">
        <f>$E3207+6</f>
        <v>108</v>
      </c>
      <c r="R3207" s="12">
        <f>IF($J3207=0,0,ROUND(MAX($J3207*1.4*1.5*1.6*1.6,13100000*(1.429962^(MIN($E3207,123)-117)))*1,0))</f>
        <v>61292</v>
      </c>
      <c r="S3207" s="13">
        <f>$E3207+8</f>
        <v>110</v>
      </c>
      <c r="T3207" s="14">
        <f>IF($J3207=0,0,ROUND(MAX($J3207*1.4*1.5*1.6*1.6*2.2,42600000*(1.576904^(MIN($E3207,123)-117)))*1,0))</f>
        <v>45955</v>
      </c>
      <c r="U3207" s="11">
        <f>$E3207+11</f>
        <v>113</v>
      </c>
      <c r="V3207" s="12">
        <f>IF($J3207=0,0,ROUND(MAX($J3207*1.4*1.5*1.6*1.6*2.2*2.715,354000000*(1.642074^(MIN($E3207,123)-117)))*1,0))</f>
        <v>208023</v>
      </c>
      <c r="W3207" s="13">
        <f>$E3207+15</f>
        <v>117</v>
      </c>
      <c r="X3207" s="14">
        <f>IF($J3207=0,0,ROUND(MAX($J3207*1.4*1.5*1.6*1.6*2.2*2.715*2.6,3540000000*(1.579646^(MIN($E3207,123)-117)))*1,0))</f>
        <v>3720546</v>
      </c>
      <c r="Y3207" s="11">
        <f>$E3207+17</f>
        <v>119</v>
      </c>
      <c r="Z3207" s="12">
        <f>IF($J3207=0,0,ROUND(MAX($J3207*1.4*1.5*1.6*1.6*2.2*2.715*2.6*1.4,6020000000*(1.651178^(MIN($E3207,123)-117)))*1,0))</f>
        <v>3256028</v>
      </c>
      <c r="AA3207" s="13">
        <f>$E3207+19</f>
        <v>121</v>
      </c>
      <c r="AB3207" s="14">
        <f>IF($J3207=0,0,ROUND(MAX($J3207*1.4*1.5*1.6*1.6*2.2*2.715*2.6*1.4*1.4,8430000000*(1.651435^(MIN($E3207,123)-117)))*1,0))</f>
        <v>4548889</v>
      </c>
      <c r="AC3207" s="11">
        <f>$E3207+21</f>
        <v>123</v>
      </c>
      <c r="AD3207" s="12">
        <f>IF($J3207=0,0,ROUND(MAX($J3207*1.4*1.5*1.6*1.6*2.2*2.715*2.6*1.4*1.4*1.5,12600000000*(1.652953^(MIN($E3207,123)-117)))*1,0))</f>
        <v>6705991</v>
      </c>
      <c r="AE3207" s="13">
        <f>$E3207+24</f>
        <v>126</v>
      </c>
      <c r="AF3207" s="14">
        <f>IF($J3207=0,0,ROUND(MAX($J3207*1.4*1.5*1.6*1.6*2.2*2.715*2.6*1.4*1.4*1.5*1.5,18900000000*(1.65331^(MIN($E3207,123)-117)))*1,0))</f>
        <v>10026455</v>
      </c>
      <c r="AG3207" s="11">
        <f>$E3207+27</f>
        <v>129</v>
      </c>
      <c r="AH3207" s="12">
        <f>IF($J3207=0,0,ROUND(MAX($J3207*1.4*1.5*1.6*1.6*2.2*2.715*2.6*1.4*1.4*1.5*1.5*3.2,60500000000*(1.654288^(MIN($E3207,123)-117)))*1,0))</f>
        <v>31811825</v>
      </c>
    </row>
    <row r="3208" ht="28" customHeight="1" spans="1:34" x14ac:dyDescent="0.25">
      <c r="A3208">
        <v>3218</v>
      </c>
      <c r="B3208" t="s">
        <v>1724</v>
      </c>
      <c r="C3208" s="10" t="s">
        <v>1709</v>
      </c>
      <c r="D3208" t="s">
        <v>40</v>
      </c>
      <c r="E3208">
        <v>102</v>
      </c>
      <c r="F3208" t="s">
        <v>237</v>
      </c>
      <c r="G3208" t="s">
        <v>1725</v>
      </c>
      <c r="H3208">
        <v>21</v>
      </c>
      <c r="I3208" s="11">
        <f>$E3208+0</f>
        <v>102</v>
      </c>
      <c r="J3208" s="12">
        <v>4060</v>
      </c>
      <c r="K3208" s="13">
        <f>$E3208+1</f>
        <v>103</v>
      </c>
      <c r="L3208" s="14">
        <f>IF($J3208=0,0,ROUND(MAX($J3208*1.4,1620000*(1.497923^(MIN($E3208,123)-117)))*1,0))</f>
        <v>5684</v>
      </c>
      <c r="M3208" s="11">
        <f>$E3208+2</f>
        <v>104</v>
      </c>
      <c r="N3208" s="12">
        <f>IF($J3208=0,0,ROUND(MAX($J3208*1.4*1.5,2190000*(1.580994^(MIN($E3208,123)-117)))*1,0))</f>
        <v>8526</v>
      </c>
      <c r="O3208" s="13">
        <f>$E3208+4</f>
        <v>106</v>
      </c>
      <c r="P3208" s="14">
        <f>IF($J3208=0,0,ROUND(MAX($J3208*1.4*1.5*1.6,3500000*(1.57975^(MIN($E3208,123)-117)))*1,0))</f>
        <v>13642</v>
      </c>
      <c r="Q3208" s="11">
        <f>$E3208+6</f>
        <v>108</v>
      </c>
      <c r="R3208" s="12">
        <f>IF($J3208=0,0,ROUND(MAX($J3208*1.4*1.5*1.6*1.6,13100000*(1.429962^(MIN($E3208,123)-117)))*1,0))</f>
        <v>61292</v>
      </c>
      <c r="S3208" s="13">
        <f>$E3208+8</f>
        <v>110</v>
      </c>
      <c r="T3208" s="14">
        <f>IF($J3208=0,0,ROUND(MAX($J3208*1.4*1.5*1.6*1.6*2.2,42600000*(1.576904^(MIN($E3208,123)-117)))*1,0))</f>
        <v>48018</v>
      </c>
      <c r="U3208" s="11">
        <f>$E3208+11</f>
        <v>113</v>
      </c>
      <c r="V3208" s="12">
        <f>IF($J3208=0,0,ROUND(MAX($J3208*1.4*1.5*1.6*1.6*2.2*2.715,354000000*(1.642074^(MIN($E3208,123)-117)))*1,0))</f>
        <v>208023</v>
      </c>
      <c r="W3208" s="13">
        <f>$E3208+15</f>
        <v>117</v>
      </c>
      <c r="X3208" s="14">
        <f>IF($J3208=0,0,ROUND(MAX($J3208*1.4*1.5*1.6*1.6*2.2*2.715*2.6,3540000000*(1.579646^(MIN($E3208,123)-117)))*1,0))</f>
        <v>3720546</v>
      </c>
      <c r="Y3208" s="11">
        <f>$E3208+17</f>
        <v>119</v>
      </c>
      <c r="Z3208" s="12">
        <f>IF($J3208=0,0,ROUND(MAX($J3208*1.4*1.5*1.6*1.6*2.2*2.715*2.6*1.4,6020000000*(1.651178^(MIN($E3208,123)-117)))*1,0))</f>
        <v>3256028</v>
      </c>
      <c r="AA3208" s="13">
        <f>$E3208+19</f>
        <v>121</v>
      </c>
      <c r="AB3208" s="14">
        <f>IF($J3208=0,0,ROUND(MAX($J3208*1.4*1.5*1.6*1.6*2.2*2.715*2.6*1.4*1.4,8430000000*(1.651435^(MIN($E3208,123)-117)))*1,0))</f>
        <v>4548889</v>
      </c>
      <c r="AC3208" s="11">
        <f>$E3208+21</f>
        <v>123</v>
      </c>
      <c r="AD3208" s="12">
        <f>IF($J3208=0,0,ROUND(MAX($J3208*1.4*1.5*1.6*1.6*2.2*2.715*2.6*1.4*1.4*1.5,12600000000*(1.652953^(MIN($E3208,123)-117)))*1,0))</f>
        <v>6705991</v>
      </c>
      <c r="AE3208" s="13">
        <f>$E3208+24</f>
        <v>126</v>
      </c>
      <c r="AF3208" s="14">
        <f>IF($J3208=0,0,ROUND(MAX($J3208*1.4*1.5*1.6*1.6*2.2*2.715*2.6*1.4*1.4*1.5*1.5,18900000000*(1.65331^(MIN($E3208,123)-117)))*1,0))</f>
        <v>10026455</v>
      </c>
      <c r="AG3208" s="11">
        <f>$E3208+27</f>
        <v>129</v>
      </c>
      <c r="AH3208" s="12">
        <f>IF($J3208=0,0,ROUND(MAX($J3208*1.4*1.5*1.6*1.6*2.2*2.715*2.6*1.4*1.4*1.5*1.5*3.2,60500000000*(1.654288^(MIN($E3208,123)-117)))*1,0))</f>
        <v>31811825</v>
      </c>
    </row>
    <row r="3209" ht="28" customHeight="1" spans="1:34" x14ac:dyDescent="0.25">
      <c r="A3209">
        <v>3219</v>
      </c>
      <c r="B3209" t="s">
        <v>674</v>
      </c>
      <c r="C3209" s="10" t="s">
        <v>1709</v>
      </c>
      <c r="D3209" t="s">
        <v>25</v>
      </c>
      <c r="E3209">
        <v>102</v>
      </c>
      <c r="F3209" t="s">
        <v>34</v>
      </c>
      <c r="G3209" t="s">
        <v>1284</v>
      </c>
      <c r="H3209">
        <v>21</v>
      </c>
      <c r="I3209" s="11">
        <f>$E3209+0</f>
        <v>102</v>
      </c>
      <c r="J3209" s="12">
        <v>3260</v>
      </c>
      <c r="K3209" s="13">
        <f>$E3209+1</f>
        <v>103</v>
      </c>
      <c r="L3209" s="14">
        <f>IF($J3209=0,0,ROUND(MAX($J3209*1.4,1620000*(1.497923^(MIN($E3209,123)-117)))*1,0))</f>
        <v>4564</v>
      </c>
      <c r="M3209" s="11">
        <f>$E3209+2</f>
        <v>104</v>
      </c>
      <c r="N3209" s="12">
        <f>IF($J3209=0,0,ROUND(MAX($J3209*1.4*1.5,2190000*(1.580994^(MIN($E3209,123)-117)))*1,0))</f>
        <v>6846</v>
      </c>
      <c r="O3209" s="13">
        <f>$E3209+4</f>
        <v>106</v>
      </c>
      <c r="P3209" s="14">
        <f>IF($J3209=0,0,ROUND(MAX($J3209*1.4*1.5*1.6,3500000*(1.57975^(MIN($E3209,123)-117)))*1,0))</f>
        <v>10954</v>
      </c>
      <c r="Q3209" s="11">
        <f>$E3209+6</f>
        <v>108</v>
      </c>
      <c r="R3209" s="12">
        <f>IF($J3209=0,0,ROUND(MAX($J3209*1.4*1.5*1.6*1.6,13100000*(1.429962^(MIN($E3209,123)-117)))*1,0))</f>
        <v>61292</v>
      </c>
      <c r="S3209" s="13">
        <f>$E3209+8</f>
        <v>110</v>
      </c>
      <c r="T3209" s="14">
        <f>IF($J3209=0,0,ROUND(MAX($J3209*1.4*1.5*1.6*1.6*2.2,42600000*(1.576904^(MIN($E3209,123)-117)))*1,0))</f>
        <v>45955</v>
      </c>
      <c r="U3209" s="11">
        <f>$E3209+11</f>
        <v>113</v>
      </c>
      <c r="V3209" s="12">
        <f>IF($J3209=0,0,ROUND(MAX($J3209*1.4*1.5*1.6*1.6*2.2*2.715,354000000*(1.642074^(MIN($E3209,123)-117)))*1,0))</f>
        <v>208023</v>
      </c>
      <c r="W3209" s="13">
        <f>$E3209+15</f>
        <v>117</v>
      </c>
      <c r="X3209" s="14">
        <f>IF($J3209=0,0,ROUND(MAX($J3209*1.4*1.5*1.6*1.6*2.2*2.715*2.6,3540000000*(1.579646^(MIN($E3209,123)-117)))*1,0))</f>
        <v>3720546</v>
      </c>
      <c r="Y3209" s="11">
        <f>$E3209+17</f>
        <v>119</v>
      </c>
      <c r="Z3209" s="12">
        <f>IF($J3209=0,0,ROUND(MAX($J3209*1.4*1.5*1.6*1.6*2.2*2.715*2.6*1.4,6020000000*(1.651178^(MIN($E3209,123)-117)))*1,0))</f>
        <v>3256028</v>
      </c>
      <c r="AA3209" s="13">
        <f>$E3209+19</f>
        <v>121</v>
      </c>
      <c r="AB3209" s="14">
        <f>IF($J3209=0,0,ROUND(MAX($J3209*1.4*1.5*1.6*1.6*2.2*2.715*2.6*1.4*1.4,8430000000*(1.651435^(MIN($E3209,123)-117)))*1,0))</f>
        <v>4548889</v>
      </c>
      <c r="AC3209" s="11">
        <f>$E3209+21</f>
        <v>123</v>
      </c>
      <c r="AD3209" s="12">
        <f>IF($J3209=0,0,ROUND(MAX($J3209*1.4*1.5*1.6*1.6*2.2*2.715*2.6*1.4*1.4*1.5,12600000000*(1.652953^(MIN($E3209,123)-117)))*1,0))</f>
        <v>6705991</v>
      </c>
      <c r="AE3209" s="13">
        <f>$E3209+24</f>
        <v>126</v>
      </c>
      <c r="AF3209" s="14">
        <f>IF($J3209=0,0,ROUND(MAX($J3209*1.4*1.5*1.6*1.6*2.2*2.715*2.6*1.4*1.4*1.5*1.5,18900000000*(1.65331^(MIN($E3209,123)-117)))*1,0))</f>
        <v>10026455</v>
      </c>
      <c r="AG3209" s="11">
        <f>$E3209+27</f>
        <v>129</v>
      </c>
      <c r="AH3209" s="12">
        <f>IF($J3209=0,0,ROUND(MAX($J3209*1.4*1.5*1.6*1.6*2.2*2.715*2.6*1.4*1.4*1.5*1.5*3.2,60500000000*(1.654288^(MIN($E3209,123)-117)))*1,0))</f>
        <v>31811825</v>
      </c>
    </row>
    <row r="3210" ht="28" customHeight="1" spans="1:34" x14ac:dyDescent="0.25">
      <c r="A3210">
        <v>3220</v>
      </c>
      <c r="B3210" t="s">
        <v>1726</v>
      </c>
      <c r="C3210" s="10" t="s">
        <v>1709</v>
      </c>
      <c r="D3210" t="s">
        <v>45</v>
      </c>
      <c r="E3210">
        <v>102</v>
      </c>
      <c r="F3210" t="s">
        <v>62</v>
      </c>
      <c r="G3210" t="s">
        <v>562</v>
      </c>
      <c r="H3210">
        <v>21</v>
      </c>
      <c r="I3210" s="11">
        <f>$E3210+0</f>
        <v>102</v>
      </c>
      <c r="J3210" s="12">
        <v>9390</v>
      </c>
      <c r="K3210" s="13">
        <f>$E3210+1</f>
        <v>103</v>
      </c>
      <c r="L3210" s="14">
        <f>IF($J3210=0,0,ROUND(MAX($J3210*1.4,1620000*(1.497923^(MIN($E3210,123)-117)))*1,0))</f>
        <v>13146</v>
      </c>
      <c r="M3210" s="11">
        <f>$E3210+2</f>
        <v>104</v>
      </c>
      <c r="N3210" s="12">
        <f>IF($J3210=0,0,ROUND(MAX($J3210*1.4*1.5,2190000*(1.580994^(MIN($E3210,123)-117)))*1,0))</f>
        <v>19719</v>
      </c>
      <c r="O3210" s="13">
        <f>$E3210+4</f>
        <v>106</v>
      </c>
      <c r="P3210" s="14">
        <f>IF($J3210=0,0,ROUND(MAX($J3210*1.4*1.5*1.6,3500000*(1.57975^(MIN($E3210,123)-117)))*1,0))</f>
        <v>31550</v>
      </c>
      <c r="Q3210" s="11">
        <f>$E3210+6</f>
        <v>108</v>
      </c>
      <c r="R3210" s="12">
        <f>IF($J3210=0,0,ROUND(MAX($J3210*1.4*1.5*1.6*1.6,13100000*(1.429962^(MIN($E3210,123)-117)))*1,0))</f>
        <v>61292</v>
      </c>
      <c r="S3210" s="13">
        <f>$E3210+8</f>
        <v>110</v>
      </c>
      <c r="T3210" s="14">
        <f>IF($J3210=0,0,ROUND(MAX($J3210*1.4*1.5*1.6*1.6*2.2,42600000*(1.576904^(MIN($E3210,123)-117)))*1,0))</f>
        <v>111057</v>
      </c>
      <c r="U3210" s="11">
        <f>$E3210+11</f>
        <v>113</v>
      </c>
      <c r="V3210" s="12">
        <f>IF($J3210=0,0,ROUND(MAX($J3210*1.4*1.5*1.6*1.6*2.2*2.715,354000000*(1.642074^(MIN($E3210,123)-117)))*1,0))</f>
        <v>301521</v>
      </c>
      <c r="W3210" s="13">
        <f>$E3210+15</f>
        <v>117</v>
      </c>
      <c r="X3210" s="14">
        <f>IF($J3210=0,0,ROUND(MAX($J3210*1.4*1.5*1.6*1.6*2.2*2.715*2.6,3540000000*(1.579646^(MIN($E3210,123)-117)))*1,0))</f>
        <v>3720546</v>
      </c>
      <c r="Y3210" s="11">
        <f>$E3210+17</f>
        <v>119</v>
      </c>
      <c r="Z3210" s="12">
        <f>IF($J3210=0,0,ROUND(MAX($J3210*1.4*1.5*1.6*1.6*2.2*2.715*2.6*1.4,6020000000*(1.651178^(MIN($E3210,123)-117)))*1,0))</f>
        <v>3256028</v>
      </c>
      <c r="AA3210" s="13">
        <f>$E3210+19</f>
        <v>121</v>
      </c>
      <c r="AB3210" s="14">
        <f>IF($J3210=0,0,ROUND(MAX($J3210*1.4*1.5*1.6*1.6*2.2*2.715*2.6*1.4*1.4,8430000000*(1.651435^(MIN($E3210,123)-117)))*1,0))</f>
        <v>4548889</v>
      </c>
      <c r="AC3210" s="11">
        <f>$E3210+21</f>
        <v>123</v>
      </c>
      <c r="AD3210" s="12">
        <f>IF($J3210=0,0,ROUND(MAX($J3210*1.4*1.5*1.6*1.6*2.2*2.715*2.6*1.4*1.4*1.5,12600000000*(1.652953^(MIN($E3210,123)-117)))*1,0))</f>
        <v>6705991</v>
      </c>
      <c r="AE3210" s="13">
        <f>$E3210+24</f>
        <v>126</v>
      </c>
      <c r="AF3210" s="14">
        <f>IF($J3210=0,0,ROUND(MAX($J3210*1.4*1.5*1.6*1.6*2.2*2.715*2.6*1.4*1.4*1.5*1.5,18900000000*(1.65331^(MIN($E3210,123)-117)))*1,0))</f>
        <v>10026455</v>
      </c>
      <c r="AG3210" s="11">
        <f>$E3210+27</f>
        <v>129</v>
      </c>
      <c r="AH3210" s="12">
        <f>IF($J3210=0,0,ROUND(MAX($J3210*1.4*1.5*1.6*1.6*2.2*2.715*2.6*1.4*1.4*1.5*1.5*3.2,60500000000*(1.654288^(MIN($E3210,123)-117)))*1,0))</f>
        <v>31811825</v>
      </c>
    </row>
    <row r="3211" ht="28" customHeight="1" spans="1:34" x14ac:dyDescent="0.25">
      <c r="A3211">
        <v>3221</v>
      </c>
      <c r="B3211" t="s">
        <v>1727</v>
      </c>
      <c r="C3211" s="10" t="s">
        <v>1709</v>
      </c>
      <c r="D3211" t="s">
        <v>40</v>
      </c>
      <c r="E3211">
        <v>102</v>
      </c>
      <c r="F3211" t="s">
        <v>223</v>
      </c>
      <c r="G3211" t="s">
        <v>410</v>
      </c>
      <c r="H3211">
        <v>21</v>
      </c>
      <c r="I3211" s="11">
        <f>$E3211+0</f>
        <v>102</v>
      </c>
      <c r="J3211" s="12">
        <v>7490</v>
      </c>
      <c r="K3211" s="13">
        <f>$E3211+1</f>
        <v>103</v>
      </c>
      <c r="L3211" s="14">
        <f>IF($J3211=0,0,ROUND(MAX($J3211*1.4,1620000*(1.497923^(MIN($E3211,123)-117)))*1,0))</f>
        <v>10486</v>
      </c>
      <c r="M3211" s="11">
        <f>$E3211+2</f>
        <v>104</v>
      </c>
      <c r="N3211" s="12">
        <f>IF($J3211=0,0,ROUND(MAX($J3211*1.4*1.5,2190000*(1.580994^(MIN($E3211,123)-117)))*1,0))</f>
        <v>15729</v>
      </c>
      <c r="O3211" s="13">
        <f>$E3211+4</f>
        <v>106</v>
      </c>
      <c r="P3211" s="14">
        <f>IF($J3211=0,0,ROUND(MAX($J3211*1.4*1.5*1.6,3500000*(1.57975^(MIN($E3211,123)-117)))*1,0))</f>
        <v>25166</v>
      </c>
      <c r="Q3211" s="11">
        <f>$E3211+6</f>
        <v>108</v>
      </c>
      <c r="R3211" s="12">
        <f>IF($J3211=0,0,ROUND(MAX($J3211*1.4*1.5*1.6*1.6,13100000*(1.429962^(MIN($E3211,123)-117)))*1,0))</f>
        <v>61292</v>
      </c>
      <c r="S3211" s="13">
        <f>$E3211+8</f>
        <v>110</v>
      </c>
      <c r="T3211" s="14">
        <f>IF($J3211=0,0,ROUND(MAX($J3211*1.4*1.5*1.6*1.6*2.2,42600000*(1.576904^(MIN($E3211,123)-117)))*1,0))</f>
        <v>88586</v>
      </c>
      <c r="U3211" s="11">
        <f>$E3211+11</f>
        <v>113</v>
      </c>
      <c r="V3211" s="12">
        <f>IF($J3211=0,0,ROUND(MAX($J3211*1.4*1.5*1.6*1.6*2.2*2.715,354000000*(1.642074^(MIN($E3211,123)-117)))*1,0))</f>
        <v>240510</v>
      </c>
      <c r="W3211" s="13">
        <f>$E3211+15</f>
        <v>117</v>
      </c>
      <c r="X3211" s="14">
        <f>IF($J3211=0,0,ROUND(MAX($J3211*1.4*1.5*1.6*1.6*2.2*2.715*2.6,3540000000*(1.579646^(MIN($E3211,123)-117)))*1,0))</f>
        <v>3720546</v>
      </c>
      <c r="Y3211" s="11">
        <f>$E3211+17</f>
        <v>119</v>
      </c>
      <c r="Z3211" s="12">
        <f>IF($J3211=0,0,ROUND(MAX($J3211*1.4*1.5*1.6*1.6*2.2*2.715*2.6*1.4,6020000000*(1.651178^(MIN($E3211,123)-117)))*1,0))</f>
        <v>3256028</v>
      </c>
      <c r="AA3211" s="13">
        <f>$E3211+19</f>
        <v>121</v>
      </c>
      <c r="AB3211" s="14">
        <f>IF($J3211=0,0,ROUND(MAX($J3211*1.4*1.5*1.6*1.6*2.2*2.715*2.6*1.4*1.4,8430000000*(1.651435^(MIN($E3211,123)-117)))*1,0))</f>
        <v>4548889</v>
      </c>
      <c r="AC3211" s="11">
        <f>$E3211+21</f>
        <v>123</v>
      </c>
      <c r="AD3211" s="12">
        <f>IF($J3211=0,0,ROUND(MAX($J3211*1.4*1.5*1.6*1.6*2.2*2.715*2.6*1.4*1.4*1.5,12600000000*(1.652953^(MIN($E3211,123)-117)))*1,0))</f>
        <v>6705991</v>
      </c>
      <c r="AE3211" s="13">
        <f>$E3211+24</f>
        <v>126</v>
      </c>
      <c r="AF3211" s="14">
        <f>IF($J3211=0,0,ROUND(MAX($J3211*1.4*1.5*1.6*1.6*2.2*2.715*2.6*1.4*1.4*1.5*1.5,18900000000*(1.65331^(MIN($E3211,123)-117)))*1,0))</f>
        <v>10026455</v>
      </c>
      <c r="AG3211" s="11">
        <f>$E3211+27</f>
        <v>129</v>
      </c>
      <c r="AH3211" s="12">
        <f>IF($J3211=0,0,ROUND(MAX($J3211*1.4*1.5*1.6*1.6*2.2*2.715*2.6*1.4*1.4*1.5*1.5*3.2,60500000000*(1.654288^(MIN($E3211,123)-117)))*1,0))</f>
        <v>31811825</v>
      </c>
    </row>
    <row r="3212" ht="28" customHeight="1" spans="1:34" x14ac:dyDescent="0.25">
      <c r="A3212">
        <v>3222</v>
      </c>
      <c r="B3212" t="s">
        <v>1728</v>
      </c>
      <c r="C3212" s="10" t="s">
        <v>1709</v>
      </c>
      <c r="D3212" t="s">
        <v>29</v>
      </c>
      <c r="E3212">
        <v>102</v>
      </c>
      <c r="F3212" t="s">
        <v>34</v>
      </c>
      <c r="G3212" t="s">
        <v>562</v>
      </c>
      <c r="H3212">
        <v>21</v>
      </c>
      <c r="I3212" s="11">
        <f>$E3212+0</f>
        <v>102</v>
      </c>
      <c r="J3212" s="12">
        <v>4430</v>
      </c>
      <c r="K3212" s="13">
        <f>$E3212+1</f>
        <v>103</v>
      </c>
      <c r="L3212" s="14">
        <f>IF($J3212=0,0,ROUND(MAX($J3212*1.4,1620000*(1.497923^(MIN($E3212,123)-117)))*1,0))</f>
        <v>6202</v>
      </c>
      <c r="M3212" s="11">
        <f>$E3212+2</f>
        <v>104</v>
      </c>
      <c r="N3212" s="12">
        <f>IF($J3212=0,0,ROUND(MAX($J3212*1.4*1.5,2190000*(1.580994^(MIN($E3212,123)-117)))*1,0))</f>
        <v>9303</v>
      </c>
      <c r="O3212" s="13">
        <f>$E3212+4</f>
        <v>106</v>
      </c>
      <c r="P3212" s="14">
        <f>IF($J3212=0,0,ROUND(MAX($J3212*1.4*1.5*1.6,3500000*(1.57975^(MIN($E3212,123)-117)))*1,0))</f>
        <v>14885</v>
      </c>
      <c r="Q3212" s="11">
        <f>$E3212+6</f>
        <v>108</v>
      </c>
      <c r="R3212" s="12">
        <f>IF($J3212=0,0,ROUND(MAX($J3212*1.4*1.5*1.6*1.6,13100000*(1.429962^(MIN($E3212,123)-117)))*1,0))</f>
        <v>61292</v>
      </c>
      <c r="S3212" s="13">
        <f>$E3212+8</f>
        <v>110</v>
      </c>
      <c r="T3212" s="14">
        <f>IF($J3212=0,0,ROUND(MAX($J3212*1.4*1.5*1.6*1.6*2.2,42600000*(1.576904^(MIN($E3212,123)-117)))*1,0))</f>
        <v>52394</v>
      </c>
      <c r="U3212" s="11">
        <f>$E3212+11</f>
        <v>113</v>
      </c>
      <c r="V3212" s="12">
        <f>IF($J3212=0,0,ROUND(MAX($J3212*1.4*1.5*1.6*1.6*2.2*2.715,354000000*(1.642074^(MIN($E3212,123)-117)))*1,0))</f>
        <v>208023</v>
      </c>
      <c r="W3212" s="13">
        <f>$E3212+15</f>
        <v>117</v>
      </c>
      <c r="X3212" s="14">
        <f>IF($J3212=0,0,ROUND(MAX($J3212*1.4*1.5*1.6*1.6*2.2*2.715*2.6,3540000000*(1.579646^(MIN($E3212,123)-117)))*1,0))</f>
        <v>3720546</v>
      </c>
      <c r="Y3212" s="11">
        <f>$E3212+17</f>
        <v>119</v>
      </c>
      <c r="Z3212" s="12">
        <f>IF($J3212=0,0,ROUND(MAX($J3212*1.4*1.5*1.6*1.6*2.2*2.715*2.6*1.4,6020000000*(1.651178^(MIN($E3212,123)-117)))*1,0))</f>
        <v>3256028</v>
      </c>
      <c r="AA3212" s="13">
        <f>$E3212+19</f>
        <v>121</v>
      </c>
      <c r="AB3212" s="14">
        <f>IF($J3212=0,0,ROUND(MAX($J3212*1.4*1.5*1.6*1.6*2.2*2.715*2.6*1.4*1.4,8430000000*(1.651435^(MIN($E3212,123)-117)))*1,0))</f>
        <v>4548889</v>
      </c>
      <c r="AC3212" s="11">
        <f>$E3212+21</f>
        <v>123</v>
      </c>
      <c r="AD3212" s="12">
        <f>IF($J3212=0,0,ROUND(MAX($J3212*1.4*1.5*1.6*1.6*2.2*2.715*2.6*1.4*1.4*1.5,12600000000*(1.652953^(MIN($E3212,123)-117)))*1,0))</f>
        <v>6705991</v>
      </c>
      <c r="AE3212" s="13">
        <f>$E3212+24</f>
        <v>126</v>
      </c>
      <c r="AF3212" s="14">
        <f>IF($J3212=0,0,ROUND(MAX($J3212*1.4*1.5*1.6*1.6*2.2*2.715*2.6*1.4*1.4*1.5*1.5,18900000000*(1.65331^(MIN($E3212,123)-117)))*1,0))</f>
        <v>10026455</v>
      </c>
      <c r="AG3212" s="11">
        <f>$E3212+27</f>
        <v>129</v>
      </c>
      <c r="AH3212" s="12">
        <f>IF($J3212=0,0,ROUND(MAX($J3212*1.4*1.5*1.6*1.6*2.2*2.715*2.6*1.4*1.4*1.5*1.5*3.2,60500000000*(1.654288^(MIN($E3212,123)-117)))*1,0))</f>
        <v>31811825</v>
      </c>
    </row>
    <row r="3213" ht="28" customHeight="1" spans="1:34" x14ac:dyDescent="0.25">
      <c r="A3213">
        <v>3223</v>
      </c>
      <c r="B3213" t="s">
        <v>156</v>
      </c>
      <c r="C3213" s="10" t="s">
        <v>1709</v>
      </c>
      <c r="D3213" t="s">
        <v>45</v>
      </c>
      <c r="E3213">
        <v>102</v>
      </c>
      <c r="F3213" t="s">
        <v>34</v>
      </c>
      <c r="G3213" t="s">
        <v>562</v>
      </c>
      <c r="H3213">
        <v>21</v>
      </c>
      <c r="I3213" s="11">
        <f>$E3213+0</f>
        <v>102</v>
      </c>
      <c r="J3213" s="12">
        <v>4660</v>
      </c>
      <c r="K3213" s="13">
        <f>$E3213+1</f>
        <v>103</v>
      </c>
      <c r="L3213" s="14">
        <f>IF($J3213=0,0,ROUND(MAX($J3213*1.4,1620000*(1.497923^(MIN($E3213,123)-117)))*1,0))</f>
        <v>6524</v>
      </c>
      <c r="M3213" s="11">
        <f>$E3213+2</f>
        <v>104</v>
      </c>
      <c r="N3213" s="12">
        <f>IF($J3213=0,0,ROUND(MAX($J3213*1.4*1.5,2190000*(1.580994^(MIN($E3213,123)-117)))*1,0))</f>
        <v>9786</v>
      </c>
      <c r="O3213" s="13">
        <f>$E3213+4</f>
        <v>106</v>
      </c>
      <c r="P3213" s="14">
        <f>IF($J3213=0,0,ROUND(MAX($J3213*1.4*1.5*1.6,3500000*(1.57975^(MIN($E3213,123)-117)))*1,0))</f>
        <v>15658</v>
      </c>
      <c r="Q3213" s="11">
        <f>$E3213+6</f>
        <v>108</v>
      </c>
      <c r="R3213" s="12">
        <f>IF($J3213=0,0,ROUND(MAX($J3213*1.4*1.5*1.6*1.6,13100000*(1.429962^(MIN($E3213,123)-117)))*1,0))</f>
        <v>61292</v>
      </c>
      <c r="S3213" s="13">
        <f>$E3213+8</f>
        <v>110</v>
      </c>
      <c r="T3213" s="14">
        <f>IF($J3213=0,0,ROUND(MAX($J3213*1.4*1.5*1.6*1.6*2.2,42600000*(1.576904^(MIN($E3213,123)-117)))*1,0))</f>
        <v>55115</v>
      </c>
      <c r="U3213" s="11">
        <f>$E3213+11</f>
        <v>113</v>
      </c>
      <c r="V3213" s="12">
        <f>IF($J3213=0,0,ROUND(MAX($J3213*1.4*1.5*1.6*1.6*2.2*2.715,354000000*(1.642074^(MIN($E3213,123)-117)))*1,0))</f>
        <v>208023</v>
      </c>
      <c r="W3213" s="13">
        <f>$E3213+15</f>
        <v>117</v>
      </c>
      <c r="X3213" s="14">
        <f>IF($J3213=0,0,ROUND(MAX($J3213*1.4*1.5*1.6*1.6*2.2*2.715*2.6,3540000000*(1.579646^(MIN($E3213,123)-117)))*1,0))</f>
        <v>3720546</v>
      </c>
      <c r="Y3213" s="11">
        <f>$E3213+17</f>
        <v>119</v>
      </c>
      <c r="Z3213" s="12">
        <f>IF($J3213=0,0,ROUND(MAX($J3213*1.4*1.5*1.6*1.6*2.2*2.715*2.6*1.4,6020000000*(1.651178^(MIN($E3213,123)-117)))*1,0))</f>
        <v>3256028</v>
      </c>
      <c r="AA3213" s="13">
        <f>$E3213+19</f>
        <v>121</v>
      </c>
      <c r="AB3213" s="14">
        <f>IF($J3213=0,0,ROUND(MAX($J3213*1.4*1.5*1.6*1.6*2.2*2.715*2.6*1.4*1.4,8430000000*(1.651435^(MIN($E3213,123)-117)))*1,0))</f>
        <v>4548889</v>
      </c>
      <c r="AC3213" s="11">
        <f>$E3213+21</f>
        <v>123</v>
      </c>
      <c r="AD3213" s="12">
        <f>IF($J3213=0,0,ROUND(MAX($J3213*1.4*1.5*1.6*1.6*2.2*2.715*2.6*1.4*1.4*1.5,12600000000*(1.652953^(MIN($E3213,123)-117)))*1,0))</f>
        <v>6705991</v>
      </c>
      <c r="AE3213" s="13">
        <f>$E3213+24</f>
        <v>126</v>
      </c>
      <c r="AF3213" s="14">
        <f>IF($J3213=0,0,ROUND(MAX($J3213*1.4*1.5*1.6*1.6*2.2*2.715*2.6*1.4*1.4*1.5*1.5,18900000000*(1.65331^(MIN($E3213,123)-117)))*1,0))</f>
        <v>10026455</v>
      </c>
      <c r="AG3213" s="11">
        <f>$E3213+27</f>
        <v>129</v>
      </c>
      <c r="AH3213" s="12">
        <f>IF($J3213=0,0,ROUND(MAX($J3213*1.4*1.5*1.6*1.6*2.2*2.715*2.6*1.4*1.4*1.5*1.5*3.2,60500000000*(1.654288^(MIN($E3213,123)-117)))*1,0))</f>
        <v>31811825</v>
      </c>
    </row>
    <row r="3214" ht="28" customHeight="1" spans="1:34" x14ac:dyDescent="0.25">
      <c r="A3214">
        <v>3224</v>
      </c>
      <c r="B3214" t="s">
        <v>80</v>
      </c>
      <c r="C3214" s="10" t="s">
        <v>1709</v>
      </c>
      <c r="D3214" t="s">
        <v>45</v>
      </c>
      <c r="E3214">
        <v>102</v>
      </c>
      <c r="F3214" t="s">
        <v>71</v>
      </c>
      <c r="G3214" t="s">
        <v>562</v>
      </c>
      <c r="H3214">
        <v>21</v>
      </c>
      <c r="I3214" s="11">
        <f>$E3214+0</f>
        <v>102</v>
      </c>
      <c r="J3214" s="12">
        <v>9880</v>
      </c>
      <c r="K3214" s="13">
        <f>$E3214+1</f>
        <v>103</v>
      </c>
      <c r="L3214" s="14">
        <f>IF($J3214=0,0,ROUND(MAX($J3214*1.4,1620000*(1.497923^(MIN($E3214,123)-117)))*1,0))</f>
        <v>13832</v>
      </c>
      <c r="M3214" s="11">
        <f>$E3214+2</f>
        <v>104</v>
      </c>
      <c r="N3214" s="12">
        <f>IF($J3214=0,0,ROUND(MAX($J3214*1.4*1.5,2190000*(1.580994^(MIN($E3214,123)-117)))*1,0))</f>
        <v>20748</v>
      </c>
      <c r="O3214" s="13">
        <f>$E3214+4</f>
        <v>106</v>
      </c>
      <c r="P3214" s="14">
        <f>IF($J3214=0,0,ROUND(MAX($J3214*1.4*1.5*1.6,3500000*(1.57975^(MIN($E3214,123)-117)))*1,0))</f>
        <v>33197</v>
      </c>
      <c r="Q3214" s="11">
        <f>$E3214+6</f>
        <v>108</v>
      </c>
      <c r="R3214" s="12">
        <f>IF($J3214=0,0,ROUND(MAX($J3214*1.4*1.5*1.6*1.6,13100000*(1.429962^(MIN($E3214,123)-117)))*1,0))</f>
        <v>61292</v>
      </c>
      <c r="S3214" s="13">
        <f>$E3214+8</f>
        <v>110</v>
      </c>
      <c r="T3214" s="14">
        <f>IF($J3214=0,0,ROUND(MAX($J3214*1.4*1.5*1.6*1.6*2.2,42600000*(1.576904^(MIN($E3214,123)-117)))*1,0))</f>
        <v>116853</v>
      </c>
      <c r="U3214" s="11">
        <f>$E3214+11</f>
        <v>113</v>
      </c>
      <c r="V3214" s="12">
        <f>IF($J3214=0,0,ROUND(MAX($J3214*1.4*1.5*1.6*1.6*2.2*2.715,354000000*(1.642074^(MIN($E3214,123)-117)))*1,0))</f>
        <v>317255</v>
      </c>
      <c r="W3214" s="13">
        <f>$E3214+15</f>
        <v>117</v>
      </c>
      <c r="X3214" s="14">
        <f>IF($J3214=0,0,ROUND(MAX($J3214*1.4*1.5*1.6*1.6*2.2*2.715*2.6,3540000000*(1.579646^(MIN($E3214,123)-117)))*1,0))</f>
        <v>3720546</v>
      </c>
      <c r="Y3214" s="11">
        <f>$E3214+17</f>
        <v>119</v>
      </c>
      <c r="Z3214" s="12">
        <f>IF($J3214=0,0,ROUND(MAX($J3214*1.4*1.5*1.6*1.6*2.2*2.715*2.6*1.4,6020000000*(1.651178^(MIN($E3214,123)-117)))*1,0))</f>
        <v>3256028</v>
      </c>
      <c r="AA3214" s="13">
        <f>$E3214+19</f>
        <v>121</v>
      </c>
      <c r="AB3214" s="14">
        <f>IF($J3214=0,0,ROUND(MAX($J3214*1.4*1.5*1.6*1.6*2.2*2.715*2.6*1.4*1.4,8430000000*(1.651435^(MIN($E3214,123)-117)))*1,0))</f>
        <v>4548889</v>
      </c>
      <c r="AC3214" s="11">
        <f>$E3214+21</f>
        <v>123</v>
      </c>
      <c r="AD3214" s="12">
        <f>IF($J3214=0,0,ROUND(MAX($J3214*1.4*1.5*1.6*1.6*2.2*2.715*2.6*1.4*1.4*1.5,12600000000*(1.652953^(MIN($E3214,123)-117)))*1,0))</f>
        <v>6705991</v>
      </c>
      <c r="AE3214" s="13">
        <f>$E3214+24</f>
        <v>126</v>
      </c>
      <c r="AF3214" s="14">
        <f>IF($J3214=0,0,ROUND(MAX($J3214*1.4*1.5*1.6*1.6*2.2*2.715*2.6*1.4*1.4*1.5*1.5,18900000000*(1.65331^(MIN($E3214,123)-117)))*1,0))</f>
        <v>10026455</v>
      </c>
      <c r="AG3214" s="11">
        <f>$E3214+27</f>
        <v>129</v>
      </c>
      <c r="AH3214" s="12">
        <f>IF($J3214=0,0,ROUND(MAX($J3214*1.4*1.5*1.6*1.6*2.2*2.715*2.6*1.4*1.4*1.5*1.5*3.2,60500000000*(1.654288^(MIN($E3214,123)-117)))*1,0))</f>
        <v>31811825</v>
      </c>
    </row>
    <row r="3215" ht="28" customHeight="1" spans="1:34" x14ac:dyDescent="0.25">
      <c r="A3215">
        <v>3225</v>
      </c>
      <c r="B3215" t="s">
        <v>1164</v>
      </c>
      <c r="C3215" s="10" t="s">
        <v>1709</v>
      </c>
      <c r="D3215" t="s">
        <v>40</v>
      </c>
      <c r="E3215">
        <v>102</v>
      </c>
      <c r="F3215" t="s">
        <v>59</v>
      </c>
      <c r="G3215" t="s">
        <v>51</v>
      </c>
      <c r="H3215">
        <v>20</v>
      </c>
      <c r="I3215" s="11">
        <f>$E3215+0</f>
        <v>102</v>
      </c>
      <c r="J3215" s="12">
        <v>5310</v>
      </c>
      <c r="K3215" s="13">
        <f>$E3215+1</f>
        <v>103</v>
      </c>
      <c r="L3215" s="14">
        <f>IF($J3215=0,0,ROUND(MAX($J3215*1.4,1620000*(1.497923^(MIN($E3215,123)-117)))*1,0))</f>
        <v>7434</v>
      </c>
      <c r="M3215" s="11">
        <f>$E3215+2</f>
        <v>104</v>
      </c>
      <c r="N3215" s="12">
        <f>IF($J3215=0,0,ROUND(MAX($J3215*1.4*1.5,2190000*(1.580994^(MIN($E3215,123)-117)))*1,0))</f>
        <v>11151</v>
      </c>
      <c r="O3215" s="13">
        <f>$E3215+4</f>
        <v>106</v>
      </c>
      <c r="P3215" s="14">
        <f>IF($J3215=0,0,ROUND(MAX($J3215*1.4*1.5*1.6,3500000*(1.57975^(MIN($E3215,123)-117)))*1,0))</f>
        <v>17842</v>
      </c>
      <c r="Q3215" s="11">
        <f>$E3215+6</f>
        <v>108</v>
      </c>
      <c r="R3215" s="12">
        <f>IF($J3215=0,0,ROUND(MAX($J3215*1.4*1.5*1.6*1.6,13100000*(1.429962^(MIN($E3215,123)-117)))*1,0))</f>
        <v>61292</v>
      </c>
      <c r="S3215" s="13">
        <f>$E3215+8</f>
        <v>110</v>
      </c>
      <c r="T3215" s="14">
        <f>IF($J3215=0,0,ROUND(MAX($J3215*1.4*1.5*1.6*1.6*2.2,42600000*(1.576904^(MIN($E3215,123)-117)))*1,0))</f>
        <v>62802</v>
      </c>
      <c r="U3215" s="11">
        <f>$E3215+11</f>
        <v>113</v>
      </c>
      <c r="V3215" s="12">
        <f>IF($J3215=0,0,ROUND(MAX($J3215*1.4*1.5*1.6*1.6*2.2*2.715,354000000*(1.642074^(MIN($E3215,123)-117)))*1,0))</f>
        <v>208023</v>
      </c>
      <c r="W3215" s="13">
        <f>$E3215+15</f>
        <v>117</v>
      </c>
      <c r="X3215" s="14">
        <f>IF($J3215=0,0,ROUND(MAX($J3215*1.4*1.5*1.6*1.6*2.2*2.715*2.6,3540000000*(1.579646^(MIN($E3215,123)-117)))*1,0))</f>
        <v>3720546</v>
      </c>
      <c r="Y3215" s="11">
        <f>$E3215+17</f>
        <v>119</v>
      </c>
      <c r="Z3215" s="12">
        <f>IF($J3215=0,0,ROUND(MAX($J3215*1.4*1.5*1.6*1.6*2.2*2.715*2.6*1.4,6020000000*(1.651178^(MIN($E3215,123)-117)))*1,0))</f>
        <v>3256028</v>
      </c>
      <c r="AA3215" s="13">
        <f>$E3215+19</f>
        <v>121</v>
      </c>
      <c r="AB3215" s="14">
        <f>IF($J3215=0,0,ROUND(MAX($J3215*1.4*1.5*1.6*1.6*2.2*2.715*2.6*1.4*1.4,8430000000*(1.651435^(MIN($E3215,123)-117)))*1,0))</f>
        <v>4548889</v>
      </c>
      <c r="AC3215" s="11">
        <f>$E3215+21</f>
        <v>123</v>
      </c>
      <c r="AD3215" s="12">
        <f>IF($J3215=0,0,ROUND(MAX($J3215*1.4*1.5*1.6*1.6*2.2*2.715*2.6*1.4*1.4*1.5,12600000000*(1.652953^(MIN($E3215,123)-117)))*1,0))</f>
        <v>6705991</v>
      </c>
      <c r="AE3215" s="13">
        <f>$E3215+24</f>
        <v>126</v>
      </c>
      <c r="AF3215" s="14">
        <f>IF($J3215=0,0,ROUND(MAX($J3215*1.4*1.5*1.6*1.6*2.2*2.715*2.6*1.4*1.4*1.5*1.5,18900000000*(1.65331^(MIN($E3215,123)-117)))*1,0))</f>
        <v>10026455</v>
      </c>
      <c r="AG3215" s="11">
        <f>$E3215+27</f>
        <v>129</v>
      </c>
      <c r="AH3215" s="12">
        <f>IF($J3215=0,0,ROUND(MAX($J3215*1.4*1.5*1.6*1.6*2.2*2.715*2.6*1.4*1.4*1.5*1.5*3.2,60500000000*(1.654288^(MIN($E3215,123)-117)))*1,0))</f>
        <v>31811825</v>
      </c>
    </row>
    <row r="3216" ht="28" customHeight="1" spans="1:34" x14ac:dyDescent="0.25">
      <c r="A3216">
        <v>3226</v>
      </c>
      <c r="B3216" t="s">
        <v>1032</v>
      </c>
      <c r="C3216" s="10" t="s">
        <v>1709</v>
      </c>
      <c r="D3216" t="s">
        <v>47</v>
      </c>
      <c r="E3216">
        <v>102</v>
      </c>
      <c r="F3216" t="s">
        <v>71</v>
      </c>
      <c r="G3216" t="s">
        <v>562</v>
      </c>
      <c r="H3216">
        <v>19</v>
      </c>
      <c r="I3216" s="11">
        <f>$E3216+0</f>
        <v>102</v>
      </c>
      <c r="J3216" s="12">
        <v>21800</v>
      </c>
      <c r="K3216" s="13">
        <f>$E3216+1</f>
        <v>103</v>
      </c>
      <c r="L3216" s="14">
        <f>IF($J3216=0,0,ROUND(MAX($J3216*1.4,1620000*(1.497923^(MIN($E3216,123)-117)))*1,0))</f>
        <v>30520</v>
      </c>
      <c r="M3216" s="11">
        <f>$E3216+2</f>
        <v>104</v>
      </c>
      <c r="N3216" s="12">
        <f>IF($J3216=0,0,ROUND(MAX($J3216*1.4*1.5,2190000*(1.580994^(MIN($E3216,123)-117)))*1,0))</f>
        <v>45780</v>
      </c>
      <c r="O3216" s="13">
        <f>$E3216+4</f>
        <v>106</v>
      </c>
      <c r="P3216" s="14">
        <f>IF($J3216=0,0,ROUND(MAX($J3216*1.4*1.5*1.6,3500000*(1.57975^(MIN($E3216,123)-117)))*1,0))</f>
        <v>73248</v>
      </c>
      <c r="Q3216" s="11">
        <f>$E3216+6</f>
        <v>108</v>
      </c>
      <c r="R3216" s="12">
        <f>IF($J3216=0,0,ROUND(MAX($J3216*1.4*1.5*1.6*1.6,13100000*(1.429962^(MIN($E3216,123)-117)))*1,0))</f>
        <v>117197</v>
      </c>
      <c r="S3216" s="13">
        <f>$E3216+8</f>
        <v>110</v>
      </c>
      <c r="T3216" s="14">
        <f>IF($J3216=0,0,ROUND(MAX($J3216*1.4*1.5*1.6*1.6*2.2,42600000*(1.576904^(MIN($E3216,123)-117)))*1,0))</f>
        <v>257833</v>
      </c>
      <c r="U3216" s="11">
        <f>$E3216+11</f>
        <v>113</v>
      </c>
      <c r="V3216" s="12">
        <f>IF($J3216=0,0,ROUND(MAX($J3216*1.4*1.5*1.6*1.6*2.2*2.715,354000000*(1.642074^(MIN($E3216,123)-117)))*1,0))</f>
        <v>700016</v>
      </c>
      <c r="W3216" s="13">
        <f>$E3216+15</f>
        <v>117</v>
      </c>
      <c r="X3216" s="14">
        <f>IF($J3216=0,0,ROUND(MAX($J3216*1.4*1.5*1.6*1.6*2.2*2.715*2.6,3540000000*(1.579646^(MIN($E3216,123)-117)))*1,0))</f>
        <v>3720546</v>
      </c>
      <c r="Y3216" s="11">
        <f>$E3216+17</f>
        <v>119</v>
      </c>
      <c r="Z3216" s="12">
        <f>IF($J3216=0,0,ROUND(MAX($J3216*1.4*1.5*1.6*1.6*2.2*2.715*2.6*1.4,6020000000*(1.651178^(MIN($E3216,123)-117)))*1,0))</f>
        <v>3256028</v>
      </c>
      <c r="AA3216" s="13">
        <f>$E3216+19</f>
        <v>121</v>
      </c>
      <c r="AB3216" s="14">
        <f>IF($J3216=0,0,ROUND(MAX($J3216*1.4*1.5*1.6*1.6*2.2*2.715*2.6*1.4*1.4,8430000000*(1.651435^(MIN($E3216,123)-117)))*1,0))</f>
        <v>4548889</v>
      </c>
      <c r="AC3216" s="11">
        <f>$E3216+21</f>
        <v>123</v>
      </c>
      <c r="AD3216" s="12">
        <f>IF($J3216=0,0,ROUND(MAX($J3216*1.4*1.5*1.6*1.6*2.2*2.715*2.6*1.4*1.4*1.5,12600000000*(1.652953^(MIN($E3216,123)-117)))*1,0))</f>
        <v>6705991</v>
      </c>
      <c r="AE3216" s="13">
        <f>$E3216+24</f>
        <v>126</v>
      </c>
      <c r="AF3216" s="14">
        <f>IF($J3216=0,0,ROUND(MAX($J3216*1.4*1.5*1.6*1.6*2.2*2.715*2.6*1.4*1.4*1.5*1.5,18900000000*(1.65331^(MIN($E3216,123)-117)))*1,0))</f>
        <v>10026455</v>
      </c>
      <c r="AG3216" s="11">
        <f>$E3216+27</f>
        <v>129</v>
      </c>
      <c r="AH3216" s="12">
        <f>IF($J3216=0,0,ROUND(MAX($J3216*1.4*1.5*1.6*1.6*2.2*2.715*2.6*1.4*1.4*1.5*1.5*3.2,60500000000*(1.654288^(MIN($E3216,123)-117)))*1,0))</f>
        <v>31811825</v>
      </c>
    </row>
    <row r="3217" ht="28" customHeight="1" spans="1:34" x14ac:dyDescent="0.25">
      <c r="A3217">
        <v>3227</v>
      </c>
      <c r="B3217" t="s">
        <v>285</v>
      </c>
      <c r="C3217" s="10" t="s">
        <v>1709</v>
      </c>
      <c r="D3217" t="s">
        <v>45</v>
      </c>
      <c r="E3217">
        <v>101</v>
      </c>
      <c r="F3217" t="s">
        <v>54</v>
      </c>
      <c r="G3217" t="s">
        <v>51</v>
      </c>
      <c r="H3217">
        <v>21</v>
      </c>
      <c r="I3217" s="11">
        <f>$E3217+0</f>
        <v>101</v>
      </c>
      <c r="J3217" s="12">
        <v>5370</v>
      </c>
      <c r="K3217" s="13">
        <f>$E3217+1</f>
        <v>102</v>
      </c>
      <c r="L3217" s="14">
        <f>IF($J3217=0,0,ROUND(MAX($J3217*1.4,1620000*(1.497923^(MIN($E3217,123)-117)))*1,0))</f>
        <v>7518</v>
      </c>
      <c r="M3217" s="11">
        <f>$E3217+2</f>
        <v>103</v>
      </c>
      <c r="N3217" s="12">
        <f>IF($J3217=0,0,ROUND(MAX($J3217*1.4*1.5,2190000*(1.580994^(MIN($E3217,123)-117)))*1,0))</f>
        <v>11277</v>
      </c>
      <c r="O3217" s="13">
        <f>$E3217+4</f>
        <v>105</v>
      </c>
      <c r="P3217" s="14">
        <f>IF($J3217=0,0,ROUND(MAX($J3217*1.4*1.5*1.6,3500000*(1.57975^(MIN($E3217,123)-117)))*1,0))</f>
        <v>18043</v>
      </c>
      <c r="Q3217" s="11">
        <f>$E3217+6</f>
        <v>107</v>
      </c>
      <c r="R3217" s="12">
        <f>IF($J3217=0,0,ROUND(MAX($J3217*1.4*1.5*1.6*1.6,13100000*(1.429962^(MIN($E3217,123)-117)))*1,0))</f>
        <v>42863</v>
      </c>
      <c r="S3217" s="13">
        <f>$E3217+8</f>
        <v>109</v>
      </c>
      <c r="T3217" s="14">
        <f>IF($J3217=0,0,ROUND(MAX($J3217*1.4*1.5*1.6*1.6*2.2,42600000*(1.576904^(MIN($E3217,123)-117)))*1,0))</f>
        <v>63512</v>
      </c>
      <c r="U3217" s="11">
        <f>$E3217+11</f>
        <v>112</v>
      </c>
      <c r="V3217" s="12">
        <f>IF($J3217=0,0,ROUND(MAX($J3217*1.4*1.5*1.6*1.6*2.2*2.715,354000000*(1.642074^(MIN($E3217,123)-117)))*1,0))</f>
        <v>172435</v>
      </c>
      <c r="W3217" s="13">
        <f>$E3217+15</f>
        <v>116</v>
      </c>
      <c r="X3217" s="14">
        <f>IF($J3217=0,0,ROUND(MAX($J3217*1.4*1.5*1.6*1.6*2.2*2.715*2.6,3540000000*(1.579646^(MIN($E3217,123)-117)))*1,0))</f>
        <v>2355304</v>
      </c>
      <c r="Y3217" s="11">
        <f>$E3217+17</f>
        <v>118</v>
      </c>
      <c r="Z3217" s="12">
        <f>IF($J3217=0,0,ROUND(MAX($J3217*1.4*1.5*1.6*1.6*2.2*2.715*2.6*1.4,6020000000*(1.651178^(MIN($E3217,123)-117)))*1,0))</f>
        <v>1971942</v>
      </c>
      <c r="AA3217" s="13">
        <f>$E3217+19</f>
        <v>120</v>
      </c>
      <c r="AB3217" s="14">
        <f>IF($J3217=0,0,ROUND(MAX($J3217*1.4*1.5*1.6*1.6*2.2*2.715*2.6*1.4*1.4,8430000000*(1.651435^(MIN($E3217,123)-117)))*1,0))</f>
        <v>2754507</v>
      </c>
      <c r="AC3217" s="11">
        <f>$E3217+21</f>
        <v>122</v>
      </c>
      <c r="AD3217" s="12">
        <f>IF($J3217=0,0,ROUND(MAX($J3217*1.4*1.5*1.6*1.6*2.2*2.715*2.6*1.4*1.4*1.5,12600000000*(1.652953^(MIN($E3217,123)-117)))*1,0))</f>
        <v>4056976</v>
      </c>
      <c r="AE3217" s="13">
        <f>$E3217+24</f>
        <v>125</v>
      </c>
      <c r="AF3217" s="14">
        <f>IF($J3217=0,0,ROUND(MAX($J3217*1.4*1.5*1.6*1.6*2.2*2.715*2.6*1.4*1.4*1.5*1.5,18900000000*(1.65331^(MIN($E3217,123)-117)))*1,0))</f>
        <v>6064474</v>
      </c>
      <c r="AG3217" s="11">
        <f>$E3217+27</f>
        <v>128</v>
      </c>
      <c r="AH3217" s="12">
        <f>IF($J3217=0,0,ROUND(MAX($J3217*1.4*1.5*1.6*1.6*2.2*2.715*2.6*1.4*1.4*1.5*1.5*3.2,60500000000*(1.654288^(MIN($E3217,123)-117)))*1,0))</f>
        <v>19229919</v>
      </c>
    </row>
    <row r="3218" ht="28" customHeight="1" spans="1:34" x14ac:dyDescent="0.25">
      <c r="A3218">
        <v>3228</v>
      </c>
      <c r="B3218" t="s">
        <v>1583</v>
      </c>
      <c r="C3218" s="10" t="s">
        <v>1709</v>
      </c>
      <c r="D3218" t="s">
        <v>90</v>
      </c>
      <c r="E3218">
        <v>101</v>
      </c>
      <c r="F3218" t="s">
        <v>310</v>
      </c>
      <c r="G3218" t="s">
        <v>396</v>
      </c>
      <c r="H3218">
        <v>21</v>
      </c>
      <c r="I3218" s="11">
        <f>$E3218+0</f>
        <v>101</v>
      </c>
      <c r="J3218" s="12">
        <v>11000</v>
      </c>
      <c r="K3218" s="13">
        <f>$E3218+1</f>
        <v>102</v>
      </c>
      <c r="L3218" s="14">
        <f>IF($J3218=0,0,ROUND(MAX($J3218*1.4,1620000*(1.497923^(MIN($E3218,123)-117)))*1,0))</f>
        <v>15400</v>
      </c>
      <c r="M3218" s="11">
        <f>$E3218+2</f>
        <v>103</v>
      </c>
      <c r="N3218" s="12">
        <f>IF($J3218=0,0,ROUND(MAX($J3218*1.4*1.5,2190000*(1.580994^(MIN($E3218,123)-117)))*1,0))</f>
        <v>23100</v>
      </c>
      <c r="O3218" s="13">
        <f>$E3218+4</f>
        <v>105</v>
      </c>
      <c r="P3218" s="14">
        <f>IF($J3218=0,0,ROUND(MAX($J3218*1.4*1.5*1.6,3500000*(1.57975^(MIN($E3218,123)-117)))*1,0))</f>
        <v>36960</v>
      </c>
      <c r="Q3218" s="11">
        <f>$E3218+6</f>
        <v>107</v>
      </c>
      <c r="R3218" s="12">
        <f>IF($J3218=0,0,ROUND(MAX($J3218*1.4*1.5*1.6*1.6,13100000*(1.429962^(MIN($E3218,123)-117)))*1,0))</f>
        <v>59136</v>
      </c>
      <c r="S3218" s="13">
        <f>$E3218+8</f>
        <v>109</v>
      </c>
      <c r="T3218" s="14">
        <f>IF($J3218=0,0,ROUND(MAX($J3218*1.4*1.5*1.6*1.6*2.2,42600000*(1.576904^(MIN($E3218,123)-117)))*1,0))</f>
        <v>130099</v>
      </c>
      <c r="U3218" s="11">
        <f>$E3218+11</f>
        <v>112</v>
      </c>
      <c r="V3218" s="12">
        <f>IF($J3218=0,0,ROUND(MAX($J3218*1.4*1.5*1.6*1.6*2.2*2.715,354000000*(1.642074^(MIN($E3218,123)-117)))*1,0))</f>
        <v>353219</v>
      </c>
      <c r="W3218" s="13">
        <f>$E3218+15</f>
        <v>116</v>
      </c>
      <c r="X3218" s="14">
        <f>IF($J3218=0,0,ROUND(MAX($J3218*1.4*1.5*1.6*1.6*2.2*2.715*2.6,3540000000*(1.579646^(MIN($E3218,123)-117)))*1,0))</f>
        <v>2355304</v>
      </c>
      <c r="Y3218" s="11">
        <f>$E3218+17</f>
        <v>118</v>
      </c>
      <c r="Z3218" s="12">
        <f>IF($J3218=0,0,ROUND(MAX($J3218*1.4*1.5*1.6*1.6*2.2*2.715*2.6*1.4,6020000000*(1.651178^(MIN($E3218,123)-117)))*1,0))</f>
        <v>1971942</v>
      </c>
      <c r="AA3218" s="13">
        <f>$E3218+19</f>
        <v>120</v>
      </c>
      <c r="AB3218" s="14">
        <f>IF($J3218=0,0,ROUND(MAX($J3218*1.4*1.5*1.6*1.6*2.2*2.715*2.6*1.4*1.4,8430000000*(1.651435^(MIN($E3218,123)-117)))*1,0))</f>
        <v>2754507</v>
      </c>
      <c r="AC3218" s="11">
        <f>$E3218+21</f>
        <v>122</v>
      </c>
      <c r="AD3218" s="12">
        <f>IF($J3218=0,0,ROUND(MAX($J3218*1.4*1.5*1.6*1.6*2.2*2.715*2.6*1.4*1.4*1.5,12600000000*(1.652953^(MIN($E3218,123)-117)))*1,0))</f>
        <v>4056976</v>
      </c>
      <c r="AE3218" s="13">
        <f>$E3218+24</f>
        <v>125</v>
      </c>
      <c r="AF3218" s="14">
        <f>IF($J3218=0,0,ROUND(MAX($J3218*1.4*1.5*1.6*1.6*2.2*2.715*2.6*1.4*1.4*1.5*1.5,18900000000*(1.65331^(MIN($E3218,123)-117)))*1,0))</f>
        <v>6064474</v>
      </c>
      <c r="AG3218" s="11">
        <f>$E3218+27</f>
        <v>128</v>
      </c>
      <c r="AH3218" s="12">
        <f>IF($J3218=0,0,ROUND(MAX($J3218*1.4*1.5*1.6*1.6*2.2*2.715*2.6*1.4*1.4*1.5*1.5*3.2,60500000000*(1.654288^(MIN($E3218,123)-117)))*1,0))</f>
        <v>19229919</v>
      </c>
    </row>
    <row r="3219" ht="28" customHeight="1" spans="1:34" x14ac:dyDescent="0.25">
      <c r="A3219">
        <v>3229</v>
      </c>
      <c r="B3219" t="s">
        <v>1729</v>
      </c>
      <c r="C3219" s="10" t="s">
        <v>1709</v>
      </c>
      <c r="D3219" t="s">
        <v>25</v>
      </c>
      <c r="E3219">
        <v>101</v>
      </c>
      <c r="F3219" t="s">
        <v>34</v>
      </c>
      <c r="G3219" t="s">
        <v>562</v>
      </c>
      <c r="H3219">
        <v>21</v>
      </c>
      <c r="I3219" s="11">
        <f>$E3219+0</f>
        <v>101</v>
      </c>
      <c r="J3219" s="12">
        <v>4140</v>
      </c>
      <c r="K3219" s="13">
        <f>$E3219+1</f>
        <v>102</v>
      </c>
      <c r="L3219" s="14">
        <f>IF($J3219=0,0,ROUND(MAX($J3219*1.4,1620000*(1.497923^(MIN($E3219,123)-117)))*1,0))</f>
        <v>5796</v>
      </c>
      <c r="M3219" s="11">
        <f>$E3219+2</f>
        <v>103</v>
      </c>
      <c r="N3219" s="12">
        <f>IF($J3219=0,0,ROUND(MAX($J3219*1.4*1.5,2190000*(1.580994^(MIN($E3219,123)-117)))*1,0))</f>
        <v>8694</v>
      </c>
      <c r="O3219" s="13">
        <f>$E3219+4</f>
        <v>105</v>
      </c>
      <c r="P3219" s="14">
        <f>IF($J3219=0,0,ROUND(MAX($J3219*1.4*1.5*1.6,3500000*(1.57975^(MIN($E3219,123)-117)))*1,0))</f>
        <v>13910</v>
      </c>
      <c r="Q3219" s="11">
        <f>$E3219+6</f>
        <v>107</v>
      </c>
      <c r="R3219" s="12">
        <f>IF($J3219=0,0,ROUND(MAX($J3219*1.4*1.5*1.6*1.6,13100000*(1.429962^(MIN($E3219,123)-117)))*1,0))</f>
        <v>42863</v>
      </c>
      <c r="S3219" s="13">
        <f>$E3219+8</f>
        <v>109</v>
      </c>
      <c r="T3219" s="14">
        <f>IF($J3219=0,0,ROUND(MAX($J3219*1.4*1.5*1.6*1.6*2.2,42600000*(1.576904^(MIN($E3219,123)-117)))*1,0))</f>
        <v>48965</v>
      </c>
      <c r="U3219" s="11">
        <f>$E3219+11</f>
        <v>112</v>
      </c>
      <c r="V3219" s="12">
        <f>IF($J3219=0,0,ROUND(MAX($J3219*1.4*1.5*1.6*1.6*2.2*2.715,354000000*(1.642074^(MIN($E3219,123)-117)))*1,0))</f>
        <v>132939</v>
      </c>
      <c r="W3219" s="13">
        <f>$E3219+15</f>
        <v>116</v>
      </c>
      <c r="X3219" s="14">
        <f>IF($J3219=0,0,ROUND(MAX($J3219*1.4*1.5*1.6*1.6*2.2*2.715*2.6,3540000000*(1.579646^(MIN($E3219,123)-117)))*1,0))</f>
        <v>2355304</v>
      </c>
      <c r="Y3219" s="11">
        <f>$E3219+17</f>
        <v>118</v>
      </c>
      <c r="Z3219" s="12">
        <f>IF($J3219=0,0,ROUND(MAX($J3219*1.4*1.5*1.6*1.6*2.2*2.715*2.6*1.4,6020000000*(1.651178^(MIN($E3219,123)-117)))*1,0))</f>
        <v>1971942</v>
      </c>
      <c r="AA3219" s="13">
        <f>$E3219+19</f>
        <v>120</v>
      </c>
      <c r="AB3219" s="14">
        <f>IF($J3219=0,0,ROUND(MAX($J3219*1.4*1.5*1.6*1.6*2.2*2.715*2.6*1.4*1.4,8430000000*(1.651435^(MIN($E3219,123)-117)))*1,0))</f>
        <v>2754507</v>
      </c>
      <c r="AC3219" s="11">
        <f>$E3219+21</f>
        <v>122</v>
      </c>
      <c r="AD3219" s="12">
        <f>IF($J3219=0,0,ROUND(MAX($J3219*1.4*1.5*1.6*1.6*2.2*2.715*2.6*1.4*1.4*1.5,12600000000*(1.652953^(MIN($E3219,123)-117)))*1,0))</f>
        <v>4056976</v>
      </c>
      <c r="AE3219" s="13">
        <f>$E3219+24</f>
        <v>125</v>
      </c>
      <c r="AF3219" s="14">
        <f>IF($J3219=0,0,ROUND(MAX($J3219*1.4*1.5*1.6*1.6*2.2*2.715*2.6*1.4*1.4*1.5*1.5,18900000000*(1.65331^(MIN($E3219,123)-117)))*1,0))</f>
        <v>6064474</v>
      </c>
      <c r="AG3219" s="11">
        <f>$E3219+27</f>
        <v>128</v>
      </c>
      <c r="AH3219" s="12">
        <f>IF($J3219=0,0,ROUND(MAX($J3219*1.4*1.5*1.6*1.6*2.2*2.715*2.6*1.4*1.4*1.5*1.5*3.2,60500000000*(1.654288^(MIN($E3219,123)-117)))*1,0))</f>
        <v>19229919</v>
      </c>
    </row>
    <row r="3220" ht="28" customHeight="1" spans="1:34" x14ac:dyDescent="0.25">
      <c r="A3220">
        <v>3230</v>
      </c>
      <c r="B3220" t="s">
        <v>1730</v>
      </c>
      <c r="C3220" s="10" t="s">
        <v>1709</v>
      </c>
      <c r="D3220" t="s">
        <v>45</v>
      </c>
      <c r="E3220">
        <v>101</v>
      </c>
      <c r="F3220" t="s">
        <v>56</v>
      </c>
      <c r="G3220" t="s">
        <v>562</v>
      </c>
      <c r="H3220">
        <v>21</v>
      </c>
      <c r="I3220" s="11">
        <f>$E3220+0</f>
        <v>101</v>
      </c>
      <c r="J3220" s="12">
        <v>3800</v>
      </c>
      <c r="K3220" s="13">
        <f>$E3220+1</f>
        <v>102</v>
      </c>
      <c r="L3220" s="14">
        <f>IF($J3220=0,0,ROUND(MAX($J3220*1.4,1620000*(1.497923^(MIN($E3220,123)-117)))*1,0))</f>
        <v>5320</v>
      </c>
      <c r="M3220" s="11">
        <f>$E3220+2</f>
        <v>103</v>
      </c>
      <c r="N3220" s="12">
        <f>IF($J3220=0,0,ROUND(MAX($J3220*1.4*1.5,2190000*(1.580994^(MIN($E3220,123)-117)))*1,0))</f>
        <v>7980</v>
      </c>
      <c r="O3220" s="13">
        <f>$E3220+4</f>
        <v>105</v>
      </c>
      <c r="P3220" s="14">
        <f>IF($J3220=0,0,ROUND(MAX($J3220*1.4*1.5*1.6,3500000*(1.57975^(MIN($E3220,123)-117)))*1,0))</f>
        <v>12768</v>
      </c>
      <c r="Q3220" s="11">
        <f>$E3220+6</f>
        <v>107</v>
      </c>
      <c r="R3220" s="12">
        <f>IF($J3220=0,0,ROUND(MAX($J3220*1.4*1.5*1.6*1.6,13100000*(1.429962^(MIN($E3220,123)-117)))*1,0))</f>
        <v>42863</v>
      </c>
      <c r="S3220" s="13">
        <f>$E3220+8</f>
        <v>109</v>
      </c>
      <c r="T3220" s="14">
        <f>IF($J3220=0,0,ROUND(MAX($J3220*1.4*1.5*1.6*1.6*2.2,42600000*(1.576904^(MIN($E3220,123)-117)))*1,0))</f>
        <v>44943</v>
      </c>
      <c r="U3220" s="11">
        <f>$E3220+11</f>
        <v>112</v>
      </c>
      <c r="V3220" s="12">
        <f>IF($J3220=0,0,ROUND(MAX($J3220*1.4*1.5*1.6*1.6*2.2*2.715,354000000*(1.642074^(MIN($E3220,123)-117)))*1,0))</f>
        <v>126683</v>
      </c>
      <c r="W3220" s="13">
        <f>$E3220+15</f>
        <v>116</v>
      </c>
      <c r="X3220" s="14">
        <f>IF($J3220=0,0,ROUND(MAX($J3220*1.4*1.5*1.6*1.6*2.2*2.715*2.6,3540000000*(1.579646^(MIN($E3220,123)-117)))*1,0))</f>
        <v>2355304</v>
      </c>
      <c r="Y3220" s="11">
        <f>$E3220+17</f>
        <v>118</v>
      </c>
      <c r="Z3220" s="12">
        <f>IF($J3220=0,0,ROUND(MAX($J3220*1.4*1.5*1.6*1.6*2.2*2.715*2.6*1.4,6020000000*(1.651178^(MIN($E3220,123)-117)))*1,0))</f>
        <v>1971942</v>
      </c>
      <c r="AA3220" s="13">
        <f>$E3220+19</f>
        <v>120</v>
      </c>
      <c r="AB3220" s="14">
        <f>IF($J3220=0,0,ROUND(MAX($J3220*1.4*1.5*1.6*1.6*2.2*2.715*2.6*1.4*1.4,8430000000*(1.651435^(MIN($E3220,123)-117)))*1,0))</f>
        <v>2754507</v>
      </c>
      <c r="AC3220" s="11">
        <f>$E3220+21</f>
        <v>122</v>
      </c>
      <c r="AD3220" s="12">
        <f>IF($J3220=0,0,ROUND(MAX($J3220*1.4*1.5*1.6*1.6*2.2*2.715*2.6*1.4*1.4*1.5,12600000000*(1.652953^(MIN($E3220,123)-117)))*1,0))</f>
        <v>4056976</v>
      </c>
      <c r="AE3220" s="13">
        <f>$E3220+24</f>
        <v>125</v>
      </c>
      <c r="AF3220" s="14">
        <f>IF($J3220=0,0,ROUND(MAX($J3220*1.4*1.5*1.6*1.6*2.2*2.715*2.6*1.4*1.4*1.5*1.5,18900000000*(1.65331^(MIN($E3220,123)-117)))*1,0))</f>
        <v>6064474</v>
      </c>
      <c r="AG3220" s="11">
        <f>$E3220+27</f>
        <v>128</v>
      </c>
      <c r="AH3220" s="12">
        <f>IF($J3220=0,0,ROUND(MAX($J3220*1.4*1.5*1.6*1.6*2.2*2.715*2.6*1.4*1.4*1.5*1.5*3.2,60500000000*(1.654288^(MIN($E3220,123)-117)))*1,0))</f>
        <v>19229919</v>
      </c>
    </row>
    <row r="3221" ht="28" customHeight="1" spans="1:34" x14ac:dyDescent="0.25">
      <c r="A3221">
        <v>3231</v>
      </c>
      <c r="B3221" t="s">
        <v>1064</v>
      </c>
      <c r="C3221" s="10" t="s">
        <v>1709</v>
      </c>
      <c r="D3221" t="s">
        <v>45</v>
      </c>
      <c r="E3221">
        <v>101</v>
      </c>
      <c r="F3221" t="s">
        <v>132</v>
      </c>
      <c r="G3221" t="s">
        <v>562</v>
      </c>
      <c r="H3221">
        <v>21</v>
      </c>
      <c r="I3221" s="11">
        <f>$E3221+0</f>
        <v>101</v>
      </c>
      <c r="J3221" s="12">
        <v>9700</v>
      </c>
      <c r="K3221" s="13">
        <f>$E3221+1</f>
        <v>102</v>
      </c>
      <c r="L3221" s="14">
        <f>IF($J3221=0,0,ROUND(MAX($J3221*1.4,1620000*(1.497923^(MIN($E3221,123)-117)))*1,0))</f>
        <v>13580</v>
      </c>
      <c r="M3221" s="11">
        <f>$E3221+2</f>
        <v>103</v>
      </c>
      <c r="N3221" s="12">
        <f>IF($J3221=0,0,ROUND(MAX($J3221*1.4*1.5,2190000*(1.580994^(MIN($E3221,123)-117)))*1,0))</f>
        <v>20370</v>
      </c>
      <c r="O3221" s="13">
        <f>$E3221+4</f>
        <v>105</v>
      </c>
      <c r="P3221" s="14">
        <f>IF($J3221=0,0,ROUND(MAX($J3221*1.4*1.5*1.6,3500000*(1.57975^(MIN($E3221,123)-117)))*1,0))</f>
        <v>32592</v>
      </c>
      <c r="Q3221" s="11">
        <f>$E3221+6</f>
        <v>107</v>
      </c>
      <c r="R3221" s="12">
        <f>IF($J3221=0,0,ROUND(MAX($J3221*1.4*1.5*1.6*1.6,13100000*(1.429962^(MIN($E3221,123)-117)))*1,0))</f>
        <v>52147</v>
      </c>
      <c r="S3221" s="13">
        <f>$E3221+8</f>
        <v>109</v>
      </c>
      <c r="T3221" s="14">
        <f>IF($J3221=0,0,ROUND(MAX($J3221*1.4*1.5*1.6*1.6*2.2,42600000*(1.576904^(MIN($E3221,123)-117)))*1,0))</f>
        <v>114724</v>
      </c>
      <c r="U3221" s="11">
        <f>$E3221+11</f>
        <v>112</v>
      </c>
      <c r="V3221" s="12">
        <f>IF($J3221=0,0,ROUND(MAX($J3221*1.4*1.5*1.6*1.6*2.2*2.715,354000000*(1.642074^(MIN($E3221,123)-117)))*1,0))</f>
        <v>311475</v>
      </c>
      <c r="W3221" s="13">
        <f>$E3221+15</f>
        <v>116</v>
      </c>
      <c r="X3221" s="14">
        <f>IF($J3221=0,0,ROUND(MAX($J3221*1.4*1.5*1.6*1.6*2.2*2.715*2.6,3540000000*(1.579646^(MIN($E3221,123)-117)))*1,0))</f>
        <v>2355304</v>
      </c>
      <c r="Y3221" s="11">
        <f>$E3221+17</f>
        <v>118</v>
      </c>
      <c r="Z3221" s="12">
        <f>IF($J3221=0,0,ROUND(MAX($J3221*1.4*1.5*1.6*1.6*2.2*2.715*2.6*1.4,6020000000*(1.651178^(MIN($E3221,123)-117)))*1,0))</f>
        <v>1971942</v>
      </c>
      <c r="AA3221" s="13">
        <f>$E3221+19</f>
        <v>120</v>
      </c>
      <c r="AB3221" s="14">
        <f>IF($J3221=0,0,ROUND(MAX($J3221*1.4*1.5*1.6*1.6*2.2*2.715*2.6*1.4*1.4,8430000000*(1.651435^(MIN($E3221,123)-117)))*1,0))</f>
        <v>2754507</v>
      </c>
      <c r="AC3221" s="11">
        <f>$E3221+21</f>
        <v>122</v>
      </c>
      <c r="AD3221" s="12">
        <f>IF($J3221=0,0,ROUND(MAX($J3221*1.4*1.5*1.6*1.6*2.2*2.715*2.6*1.4*1.4*1.5,12600000000*(1.652953^(MIN($E3221,123)-117)))*1,0))</f>
        <v>4056976</v>
      </c>
      <c r="AE3221" s="13">
        <f>$E3221+24</f>
        <v>125</v>
      </c>
      <c r="AF3221" s="14">
        <f>IF($J3221=0,0,ROUND(MAX($J3221*1.4*1.5*1.6*1.6*2.2*2.715*2.6*1.4*1.4*1.5*1.5,18900000000*(1.65331^(MIN($E3221,123)-117)))*1,0))</f>
        <v>6064474</v>
      </c>
      <c r="AG3221" s="11">
        <f>$E3221+27</f>
        <v>128</v>
      </c>
      <c r="AH3221" s="12">
        <f>IF($J3221=0,0,ROUND(MAX($J3221*1.4*1.5*1.6*1.6*2.2*2.715*2.6*1.4*1.4*1.5*1.5*3.2,60500000000*(1.654288^(MIN($E3221,123)-117)))*1,0))</f>
        <v>19229919</v>
      </c>
    </row>
    <row r="3222" ht="28" customHeight="1" spans="1:34" x14ac:dyDescent="0.25">
      <c r="A3222">
        <v>3232</v>
      </c>
      <c r="B3222" t="s">
        <v>1731</v>
      </c>
      <c r="C3222" s="10" t="s">
        <v>1709</v>
      </c>
      <c r="D3222" t="s">
        <v>33</v>
      </c>
      <c r="E3222">
        <v>101</v>
      </c>
      <c r="F3222" t="s">
        <v>34</v>
      </c>
      <c r="G3222" t="s">
        <v>562</v>
      </c>
      <c r="H3222">
        <v>21</v>
      </c>
      <c r="I3222" s="11">
        <f>$E3222+0</f>
        <v>101</v>
      </c>
      <c r="J3222" s="12">
        <v>5230</v>
      </c>
      <c r="K3222" s="13">
        <f>$E3222+1</f>
        <v>102</v>
      </c>
      <c r="L3222" s="14">
        <f>IF($J3222=0,0,ROUND(MAX($J3222*1.4,1620000*(1.497923^(MIN($E3222,123)-117)))*1,0))</f>
        <v>7322</v>
      </c>
      <c r="M3222" s="11">
        <f>$E3222+2</f>
        <v>103</v>
      </c>
      <c r="N3222" s="12">
        <f>IF($J3222=0,0,ROUND(MAX($J3222*1.4*1.5,2190000*(1.580994^(MIN($E3222,123)-117)))*1,0))</f>
        <v>10983</v>
      </c>
      <c r="O3222" s="13">
        <f>$E3222+4</f>
        <v>105</v>
      </c>
      <c r="P3222" s="14">
        <f>IF($J3222=0,0,ROUND(MAX($J3222*1.4*1.5*1.6,3500000*(1.57975^(MIN($E3222,123)-117)))*1,0))</f>
        <v>17573</v>
      </c>
      <c r="Q3222" s="11">
        <f>$E3222+6</f>
        <v>107</v>
      </c>
      <c r="R3222" s="12">
        <f>IF($J3222=0,0,ROUND(MAX($J3222*1.4*1.5*1.6*1.6,13100000*(1.429962^(MIN($E3222,123)-117)))*1,0))</f>
        <v>42863</v>
      </c>
      <c r="S3222" s="13">
        <f>$E3222+8</f>
        <v>109</v>
      </c>
      <c r="T3222" s="14">
        <f>IF($J3222=0,0,ROUND(MAX($J3222*1.4*1.5*1.6*1.6*2.2,42600000*(1.576904^(MIN($E3222,123)-117)))*1,0))</f>
        <v>61856</v>
      </c>
      <c r="U3222" s="11">
        <f>$E3222+11</f>
        <v>112</v>
      </c>
      <c r="V3222" s="12">
        <f>IF($J3222=0,0,ROUND(MAX($J3222*1.4*1.5*1.6*1.6*2.2*2.715,354000000*(1.642074^(MIN($E3222,123)-117)))*1,0))</f>
        <v>167940</v>
      </c>
      <c r="W3222" s="13">
        <f>$E3222+15</f>
        <v>116</v>
      </c>
      <c r="X3222" s="14">
        <f>IF($J3222=0,0,ROUND(MAX($J3222*1.4*1.5*1.6*1.6*2.2*2.715*2.6,3540000000*(1.579646^(MIN($E3222,123)-117)))*1,0))</f>
        <v>2355304</v>
      </c>
      <c r="Y3222" s="11">
        <f>$E3222+17</f>
        <v>118</v>
      </c>
      <c r="Z3222" s="12">
        <f>IF($J3222=0,0,ROUND(MAX($J3222*1.4*1.5*1.6*1.6*2.2*2.715*2.6*1.4,6020000000*(1.651178^(MIN($E3222,123)-117)))*1,0))</f>
        <v>1971942</v>
      </c>
      <c r="AA3222" s="13">
        <f>$E3222+19</f>
        <v>120</v>
      </c>
      <c r="AB3222" s="14">
        <f>IF($J3222=0,0,ROUND(MAX($J3222*1.4*1.5*1.6*1.6*2.2*2.715*2.6*1.4*1.4,8430000000*(1.651435^(MIN($E3222,123)-117)))*1,0))</f>
        <v>2754507</v>
      </c>
      <c r="AC3222" s="11">
        <f>$E3222+21</f>
        <v>122</v>
      </c>
      <c r="AD3222" s="12">
        <f>IF($J3222=0,0,ROUND(MAX($J3222*1.4*1.5*1.6*1.6*2.2*2.715*2.6*1.4*1.4*1.5,12600000000*(1.652953^(MIN($E3222,123)-117)))*1,0))</f>
        <v>4056976</v>
      </c>
      <c r="AE3222" s="13">
        <f>$E3222+24</f>
        <v>125</v>
      </c>
      <c r="AF3222" s="14">
        <f>IF($J3222=0,0,ROUND(MAX($J3222*1.4*1.5*1.6*1.6*2.2*2.715*2.6*1.4*1.4*1.5*1.5,18900000000*(1.65331^(MIN($E3222,123)-117)))*1,0))</f>
        <v>6064474</v>
      </c>
      <c r="AG3222" s="11">
        <f>$E3222+27</f>
        <v>128</v>
      </c>
      <c r="AH3222" s="12">
        <f>IF($J3222=0,0,ROUND(MAX($J3222*1.4*1.5*1.6*1.6*2.2*2.715*2.6*1.4*1.4*1.5*1.5*3.2,60500000000*(1.654288^(MIN($E3222,123)-117)))*1,0))</f>
        <v>19229919</v>
      </c>
    </row>
    <row r="3223" ht="28" customHeight="1" spans="1:34" x14ac:dyDescent="0.25">
      <c r="A3223">
        <v>3233</v>
      </c>
      <c r="B3223" t="s">
        <v>1732</v>
      </c>
      <c r="C3223" s="10" t="s">
        <v>1709</v>
      </c>
      <c r="D3223" t="s">
        <v>45</v>
      </c>
      <c r="E3223">
        <v>101</v>
      </c>
      <c r="F3223" t="s">
        <v>492</v>
      </c>
      <c r="G3223" t="s">
        <v>562</v>
      </c>
      <c r="H3223">
        <v>21</v>
      </c>
      <c r="I3223" s="11">
        <f>$E3223+0</f>
        <v>101</v>
      </c>
      <c r="J3223" s="12">
        <v>82300</v>
      </c>
      <c r="K3223" s="13">
        <f>$E3223+1</f>
        <v>102</v>
      </c>
      <c r="L3223" s="14">
        <f>IF($J3223=0,0,ROUND(MAX($J3223*1.4,1620000*(1.497923^(MIN($E3223,123)-117)))*1,0))</f>
        <v>115220</v>
      </c>
      <c r="M3223" s="11">
        <f>$E3223+2</f>
        <v>103</v>
      </c>
      <c r="N3223" s="12">
        <f>IF($J3223=0,0,ROUND(MAX($J3223*1.4*1.5,2190000*(1.580994^(MIN($E3223,123)-117)))*1,0))</f>
        <v>172830</v>
      </c>
      <c r="O3223" s="13">
        <f>$E3223+4</f>
        <v>105</v>
      </c>
      <c r="P3223" s="14">
        <f>IF($J3223=0,0,ROUND(MAX($J3223*1.4*1.5*1.6,3500000*(1.57975^(MIN($E3223,123)-117)))*1,0))</f>
        <v>276528</v>
      </c>
      <c r="Q3223" s="11">
        <f>$E3223+6</f>
        <v>107</v>
      </c>
      <c r="R3223" s="12">
        <f>IF($J3223=0,0,ROUND(MAX($J3223*1.4*1.5*1.6*1.6,13100000*(1.429962^(MIN($E3223,123)-117)))*1,0))</f>
        <v>442445</v>
      </c>
      <c r="S3223" s="13">
        <f>$E3223+8</f>
        <v>109</v>
      </c>
      <c r="T3223" s="14">
        <f>IF($J3223=0,0,ROUND(MAX($J3223*1.4*1.5*1.6*1.6*2.2,42600000*(1.576904^(MIN($E3223,123)-117)))*1,0))</f>
        <v>973379</v>
      </c>
      <c r="U3223" s="11">
        <f>$E3223+11</f>
        <v>112</v>
      </c>
      <c r="V3223" s="12">
        <f>IF($J3223=0,0,ROUND(MAX($J3223*1.4*1.5*1.6*1.6*2.2*2.715,354000000*(1.642074^(MIN($E3223,123)-117)))*1,0))</f>
        <v>2642723</v>
      </c>
      <c r="W3223" s="13">
        <f>$E3223+15</f>
        <v>116</v>
      </c>
      <c r="X3223" s="14">
        <f>IF($J3223=0,0,ROUND(MAX($J3223*1.4*1.5*1.6*1.6*2.2*2.715*2.6,3540000000*(1.579646^(MIN($E3223,123)-117)))*1,0))</f>
        <v>6871079</v>
      </c>
      <c r="Y3223" s="11">
        <f>$E3223+17</f>
        <v>118</v>
      </c>
      <c r="Z3223" s="12">
        <f>IF($J3223=0,0,ROUND(MAX($J3223*1.4*1.5*1.6*1.6*2.2*2.715*2.6*1.4,6020000000*(1.651178^(MIN($E3223,123)-117)))*1,0))</f>
        <v>9619511</v>
      </c>
      <c r="AA3223" s="13">
        <f>$E3223+19</f>
        <v>120</v>
      </c>
      <c r="AB3223" s="14">
        <f>IF($J3223=0,0,ROUND(MAX($J3223*1.4*1.5*1.6*1.6*2.2*2.715*2.6*1.4*1.4,8430000000*(1.651435^(MIN($E3223,123)-117)))*1,0))</f>
        <v>13467315</v>
      </c>
      <c r="AC3223" s="11">
        <f>$E3223+21</f>
        <v>122</v>
      </c>
      <c r="AD3223" s="12">
        <f>IF($J3223=0,0,ROUND(MAX($J3223*1.4*1.5*1.6*1.6*2.2*2.715*2.6*1.4*1.4*1.5,12600000000*(1.652953^(MIN($E3223,123)-117)))*1,0))</f>
        <v>20200973</v>
      </c>
      <c r="AE3223" s="13">
        <f>$E3223+24</f>
        <v>125</v>
      </c>
      <c r="AF3223" s="14">
        <f>IF($J3223=0,0,ROUND(MAX($J3223*1.4*1.5*1.6*1.6*2.2*2.715*2.6*1.4*1.4*1.5*1.5,18900000000*(1.65331^(MIN($E3223,123)-117)))*1,0))</f>
        <v>30301460</v>
      </c>
      <c r="AG3223" s="11">
        <f>$E3223+27</f>
        <v>128</v>
      </c>
      <c r="AH3223" s="12">
        <f>IF($J3223=0,0,ROUND(MAX($J3223*1.4*1.5*1.6*1.6*2.2*2.715*2.6*1.4*1.4*1.5*1.5*3.2,60500000000*(1.654288^(MIN($E3223,123)-117)))*1,0))</f>
        <v>96964670</v>
      </c>
    </row>
    <row r="3224" ht="28" customHeight="1" spans="1:34" x14ac:dyDescent="0.25">
      <c r="A3224">
        <v>3234</v>
      </c>
      <c r="B3224" t="s">
        <v>796</v>
      </c>
      <c r="C3224" s="10" t="s">
        <v>1709</v>
      </c>
      <c r="D3224" t="s">
        <v>45</v>
      </c>
      <c r="E3224">
        <v>101</v>
      </c>
      <c r="F3224" t="s">
        <v>42</v>
      </c>
      <c r="G3224" t="s">
        <v>797</v>
      </c>
      <c r="H3224">
        <v>21</v>
      </c>
      <c r="I3224" s="11">
        <f>$E3224+0</f>
        <v>101</v>
      </c>
      <c r="J3224" s="12">
        <v>2940</v>
      </c>
      <c r="K3224" s="13">
        <f>$E3224+1</f>
        <v>102</v>
      </c>
      <c r="L3224" s="14">
        <f>IF($J3224=0,0,ROUND(MAX($J3224*1.4,1620000*(1.497923^(MIN($E3224,123)-117)))*1,0))</f>
        <v>4116</v>
      </c>
      <c r="M3224" s="11">
        <f>$E3224+2</f>
        <v>103</v>
      </c>
      <c r="N3224" s="12">
        <f>IF($J3224=0,0,ROUND(MAX($J3224*1.4*1.5,2190000*(1.580994^(MIN($E3224,123)-117)))*1,0))</f>
        <v>6174</v>
      </c>
      <c r="O3224" s="13">
        <f>$E3224+4</f>
        <v>105</v>
      </c>
      <c r="P3224" s="14">
        <f>IF($J3224=0,0,ROUND(MAX($J3224*1.4*1.5*1.6,3500000*(1.57975^(MIN($E3224,123)-117)))*1,0))</f>
        <v>9878</v>
      </c>
      <c r="Q3224" s="11">
        <f>$E3224+6</f>
        <v>107</v>
      </c>
      <c r="R3224" s="12">
        <f>IF($J3224=0,0,ROUND(MAX($J3224*1.4*1.5*1.6*1.6,13100000*(1.429962^(MIN($E3224,123)-117)))*1,0))</f>
        <v>42863</v>
      </c>
      <c r="S3224" s="13">
        <f>$E3224+8</f>
        <v>109</v>
      </c>
      <c r="T3224" s="14">
        <f>IF($J3224=0,0,ROUND(MAX($J3224*1.4*1.5*1.6*1.6*2.2,42600000*(1.576904^(MIN($E3224,123)-117)))*1,0))</f>
        <v>34772</v>
      </c>
      <c r="U3224" s="11">
        <f>$E3224+11</f>
        <v>112</v>
      </c>
      <c r="V3224" s="12">
        <f>IF($J3224=0,0,ROUND(MAX($J3224*1.4*1.5*1.6*1.6*2.2*2.715,354000000*(1.642074^(MIN($E3224,123)-117)))*1,0))</f>
        <v>126683</v>
      </c>
      <c r="W3224" s="13">
        <f>$E3224+15</f>
        <v>116</v>
      </c>
      <c r="X3224" s="14">
        <f>IF($J3224=0,0,ROUND(MAX($J3224*1.4*1.5*1.6*1.6*2.2*2.715*2.6,3540000000*(1.579646^(MIN($E3224,123)-117)))*1,0))</f>
        <v>2355304</v>
      </c>
      <c r="Y3224" s="11">
        <f>$E3224+17</f>
        <v>118</v>
      </c>
      <c r="Z3224" s="12">
        <f>IF($J3224=0,0,ROUND(MAX($J3224*1.4*1.5*1.6*1.6*2.2*2.715*2.6*1.4,6020000000*(1.651178^(MIN($E3224,123)-117)))*1,0))</f>
        <v>1971942</v>
      </c>
      <c r="AA3224" s="13">
        <f>$E3224+19</f>
        <v>120</v>
      </c>
      <c r="AB3224" s="14">
        <f>IF($J3224=0,0,ROUND(MAX($J3224*1.4*1.5*1.6*1.6*2.2*2.715*2.6*1.4*1.4,8430000000*(1.651435^(MIN($E3224,123)-117)))*1,0))</f>
        <v>2754507</v>
      </c>
      <c r="AC3224" s="11">
        <f>$E3224+21</f>
        <v>122</v>
      </c>
      <c r="AD3224" s="12">
        <f>IF($J3224=0,0,ROUND(MAX($J3224*1.4*1.5*1.6*1.6*2.2*2.715*2.6*1.4*1.4*1.5,12600000000*(1.652953^(MIN($E3224,123)-117)))*1,0))</f>
        <v>4056976</v>
      </c>
      <c r="AE3224" s="13">
        <f>$E3224+24</f>
        <v>125</v>
      </c>
      <c r="AF3224" s="14">
        <f>IF($J3224=0,0,ROUND(MAX($J3224*1.4*1.5*1.6*1.6*2.2*2.715*2.6*1.4*1.4*1.5*1.5,18900000000*(1.65331^(MIN($E3224,123)-117)))*1,0))</f>
        <v>6064474</v>
      </c>
      <c r="AG3224" s="11">
        <f>$E3224+27</f>
        <v>128</v>
      </c>
      <c r="AH3224" s="12">
        <f>IF($J3224=0,0,ROUND(MAX($J3224*1.4*1.5*1.6*1.6*2.2*2.715*2.6*1.4*1.4*1.5*1.5*3.2,60500000000*(1.654288^(MIN($E3224,123)-117)))*1,0))</f>
        <v>19229919</v>
      </c>
    </row>
    <row r="3225" ht="28" customHeight="1" spans="1:34" x14ac:dyDescent="0.25">
      <c r="A3225">
        <v>3235</v>
      </c>
      <c r="B3225" t="s">
        <v>1733</v>
      </c>
      <c r="C3225" s="10" t="s">
        <v>1709</v>
      </c>
      <c r="D3225" t="s">
        <v>102</v>
      </c>
      <c r="E3225">
        <v>101</v>
      </c>
      <c r="F3225" t="s">
        <v>59</v>
      </c>
      <c r="G3225" t="s">
        <v>562</v>
      </c>
      <c r="H3225">
        <v>21</v>
      </c>
      <c r="I3225" s="11">
        <f>$E3225+0</f>
        <v>101</v>
      </c>
      <c r="J3225" s="12">
        <v>5370</v>
      </c>
      <c r="K3225" s="13">
        <f>$E3225+1</f>
        <v>102</v>
      </c>
      <c r="L3225" s="14">
        <f>IF($J3225=0,0,ROUND(MAX($J3225*1.4,1620000*(1.497923^(MIN($E3225,123)-117)))*1,0))</f>
        <v>7518</v>
      </c>
      <c r="M3225" s="11">
        <f>$E3225+2</f>
        <v>103</v>
      </c>
      <c r="N3225" s="12">
        <f>IF($J3225=0,0,ROUND(MAX($J3225*1.4*1.5,2190000*(1.580994^(MIN($E3225,123)-117)))*1,0))</f>
        <v>11277</v>
      </c>
      <c r="O3225" s="13">
        <f>$E3225+4</f>
        <v>105</v>
      </c>
      <c r="P3225" s="14">
        <f>IF($J3225=0,0,ROUND(MAX($J3225*1.4*1.5*1.6,3500000*(1.57975^(MIN($E3225,123)-117)))*1,0))</f>
        <v>18043</v>
      </c>
      <c r="Q3225" s="11">
        <f>$E3225+6</f>
        <v>107</v>
      </c>
      <c r="R3225" s="12">
        <f>IF($J3225=0,0,ROUND(MAX($J3225*1.4*1.5*1.6*1.6,13100000*(1.429962^(MIN($E3225,123)-117)))*1,0))</f>
        <v>42863</v>
      </c>
      <c r="S3225" s="13">
        <f>$E3225+8</f>
        <v>109</v>
      </c>
      <c r="T3225" s="14">
        <f>IF($J3225=0,0,ROUND(MAX($J3225*1.4*1.5*1.6*1.6*2.2,42600000*(1.576904^(MIN($E3225,123)-117)))*1,0))</f>
        <v>63512</v>
      </c>
      <c r="U3225" s="11">
        <f>$E3225+11</f>
        <v>112</v>
      </c>
      <c r="V3225" s="12">
        <f>IF($J3225=0,0,ROUND(MAX($J3225*1.4*1.5*1.6*1.6*2.2*2.715,354000000*(1.642074^(MIN($E3225,123)-117)))*1,0))</f>
        <v>172435</v>
      </c>
      <c r="W3225" s="13">
        <f>$E3225+15</f>
        <v>116</v>
      </c>
      <c r="X3225" s="14">
        <f>IF($J3225=0,0,ROUND(MAX($J3225*1.4*1.5*1.6*1.6*2.2*2.715*2.6,3540000000*(1.579646^(MIN($E3225,123)-117)))*1,0))</f>
        <v>2355304</v>
      </c>
      <c r="Y3225" s="11">
        <f>$E3225+17</f>
        <v>118</v>
      </c>
      <c r="Z3225" s="12">
        <f>IF($J3225=0,0,ROUND(MAX($J3225*1.4*1.5*1.6*1.6*2.2*2.715*2.6*1.4,6020000000*(1.651178^(MIN($E3225,123)-117)))*1,0))</f>
        <v>1971942</v>
      </c>
      <c r="AA3225" s="13">
        <f>$E3225+19</f>
        <v>120</v>
      </c>
      <c r="AB3225" s="14">
        <f>IF($J3225=0,0,ROUND(MAX($J3225*1.4*1.5*1.6*1.6*2.2*2.715*2.6*1.4*1.4,8430000000*(1.651435^(MIN($E3225,123)-117)))*1,0))</f>
        <v>2754507</v>
      </c>
      <c r="AC3225" s="11">
        <f>$E3225+21</f>
        <v>122</v>
      </c>
      <c r="AD3225" s="12">
        <f>IF($J3225=0,0,ROUND(MAX($J3225*1.4*1.5*1.6*1.6*2.2*2.715*2.6*1.4*1.4*1.5,12600000000*(1.652953^(MIN($E3225,123)-117)))*1,0))</f>
        <v>4056976</v>
      </c>
      <c r="AE3225" s="13">
        <f>$E3225+24</f>
        <v>125</v>
      </c>
      <c r="AF3225" s="14">
        <f>IF($J3225=0,0,ROUND(MAX($J3225*1.4*1.5*1.6*1.6*2.2*2.715*2.6*1.4*1.4*1.5*1.5,18900000000*(1.65331^(MIN($E3225,123)-117)))*1,0))</f>
        <v>6064474</v>
      </c>
      <c r="AG3225" s="11">
        <f>$E3225+27</f>
        <v>128</v>
      </c>
      <c r="AH3225" s="12">
        <f>IF($J3225=0,0,ROUND(MAX($J3225*1.4*1.5*1.6*1.6*2.2*2.715*2.6*1.4*1.4*1.5*1.5*3.2,60500000000*(1.654288^(MIN($E3225,123)-117)))*1,0))</f>
        <v>19229919</v>
      </c>
    </row>
    <row r="3226" ht="28" customHeight="1" spans="1:34" x14ac:dyDescent="0.25">
      <c r="A3226">
        <v>3236</v>
      </c>
      <c r="B3226" t="s">
        <v>1734</v>
      </c>
      <c r="C3226" s="10" t="s">
        <v>1709</v>
      </c>
      <c r="D3226" t="s">
        <v>64</v>
      </c>
      <c r="E3226">
        <v>101</v>
      </c>
      <c r="F3226" t="s">
        <v>26</v>
      </c>
      <c r="G3226" t="s">
        <v>562</v>
      </c>
      <c r="H3226">
        <v>21</v>
      </c>
      <c r="I3226" s="11">
        <f>$E3226+0</f>
        <v>101</v>
      </c>
      <c r="J3226" s="12">
        <v>3910</v>
      </c>
      <c r="K3226" s="13">
        <f>$E3226+1</f>
        <v>102</v>
      </c>
      <c r="L3226" s="14">
        <f>IF($J3226=0,0,ROUND(MAX($J3226*1.4,1620000*(1.497923^(MIN($E3226,123)-117)))*1,0))</f>
        <v>5474</v>
      </c>
      <c r="M3226" s="11">
        <f>$E3226+2</f>
        <v>103</v>
      </c>
      <c r="N3226" s="12">
        <f>IF($J3226=0,0,ROUND(MAX($J3226*1.4*1.5,2190000*(1.580994^(MIN($E3226,123)-117)))*1,0))</f>
        <v>8211</v>
      </c>
      <c r="O3226" s="13">
        <f>$E3226+4</f>
        <v>105</v>
      </c>
      <c r="P3226" s="14">
        <f>IF($J3226=0,0,ROUND(MAX($J3226*1.4*1.5*1.6,3500000*(1.57975^(MIN($E3226,123)-117)))*1,0))</f>
        <v>13138</v>
      </c>
      <c r="Q3226" s="11">
        <f>$E3226+6</f>
        <v>107</v>
      </c>
      <c r="R3226" s="12">
        <f>IF($J3226=0,0,ROUND(MAX($J3226*1.4*1.5*1.6*1.6,13100000*(1.429962^(MIN($E3226,123)-117)))*1,0))</f>
        <v>42863</v>
      </c>
      <c r="S3226" s="13">
        <f>$E3226+8</f>
        <v>109</v>
      </c>
      <c r="T3226" s="14">
        <f>IF($J3226=0,0,ROUND(MAX($J3226*1.4*1.5*1.6*1.6*2.2,42600000*(1.576904^(MIN($E3226,123)-117)))*1,0))</f>
        <v>46244</v>
      </c>
      <c r="U3226" s="11">
        <f>$E3226+11</f>
        <v>112</v>
      </c>
      <c r="V3226" s="12">
        <f>IF($J3226=0,0,ROUND(MAX($J3226*1.4*1.5*1.6*1.6*2.2*2.715,354000000*(1.642074^(MIN($E3226,123)-117)))*1,0))</f>
        <v>126683</v>
      </c>
      <c r="W3226" s="13">
        <f>$E3226+15</f>
        <v>116</v>
      </c>
      <c r="X3226" s="14">
        <f>IF($J3226=0,0,ROUND(MAX($J3226*1.4*1.5*1.6*1.6*2.2*2.715*2.6,3540000000*(1.579646^(MIN($E3226,123)-117)))*1,0))</f>
        <v>2355304</v>
      </c>
      <c r="Y3226" s="11">
        <f>$E3226+17</f>
        <v>118</v>
      </c>
      <c r="Z3226" s="12">
        <f>IF($J3226=0,0,ROUND(MAX($J3226*1.4*1.5*1.6*1.6*2.2*2.715*2.6*1.4,6020000000*(1.651178^(MIN($E3226,123)-117)))*1,0))</f>
        <v>1971942</v>
      </c>
      <c r="AA3226" s="13">
        <f>$E3226+19</f>
        <v>120</v>
      </c>
      <c r="AB3226" s="14">
        <f>IF($J3226=0,0,ROUND(MAX($J3226*1.4*1.5*1.6*1.6*2.2*2.715*2.6*1.4*1.4,8430000000*(1.651435^(MIN($E3226,123)-117)))*1,0))</f>
        <v>2754507</v>
      </c>
      <c r="AC3226" s="11">
        <f>$E3226+21</f>
        <v>122</v>
      </c>
      <c r="AD3226" s="12">
        <f>IF($J3226=0,0,ROUND(MAX($J3226*1.4*1.5*1.6*1.6*2.2*2.715*2.6*1.4*1.4*1.5,12600000000*(1.652953^(MIN($E3226,123)-117)))*1,0))</f>
        <v>4056976</v>
      </c>
      <c r="AE3226" s="13">
        <f>$E3226+24</f>
        <v>125</v>
      </c>
      <c r="AF3226" s="14">
        <f>IF($J3226=0,0,ROUND(MAX($J3226*1.4*1.5*1.6*1.6*2.2*2.715*2.6*1.4*1.4*1.5*1.5,18900000000*(1.65331^(MIN($E3226,123)-117)))*1,0))</f>
        <v>6064474</v>
      </c>
      <c r="AG3226" s="11">
        <f>$E3226+27</f>
        <v>128</v>
      </c>
      <c r="AH3226" s="12">
        <f>IF($J3226=0,0,ROUND(MAX($J3226*1.4*1.5*1.6*1.6*2.2*2.715*2.6*1.4*1.4*1.5*1.5*3.2,60500000000*(1.654288^(MIN($E3226,123)-117)))*1,0))</f>
        <v>19229919</v>
      </c>
    </row>
    <row r="3227" ht="28" customHeight="1" spans="1:34" x14ac:dyDescent="0.25">
      <c r="A3227">
        <v>3237</v>
      </c>
      <c r="B3227" t="s">
        <v>1735</v>
      </c>
      <c r="C3227" s="10" t="s">
        <v>1709</v>
      </c>
      <c r="D3227" t="s">
        <v>33</v>
      </c>
      <c r="E3227">
        <v>101</v>
      </c>
      <c r="F3227" t="s">
        <v>56</v>
      </c>
      <c r="G3227" t="s">
        <v>562</v>
      </c>
      <c r="H3227">
        <v>21</v>
      </c>
      <c r="I3227" s="11">
        <f>$E3227+0</f>
        <v>101</v>
      </c>
      <c r="J3227" s="12">
        <v>285000</v>
      </c>
      <c r="K3227" s="13">
        <f>$E3227+1</f>
        <v>102</v>
      </c>
      <c r="L3227" s="14">
        <f>IF($J3227=0,0,ROUND(MAX($J3227*1.4,1620000*(1.497923^(MIN($E3227,123)-117)))*1,0))</f>
        <v>399000</v>
      </c>
      <c r="M3227" s="11">
        <f>$E3227+2</f>
        <v>103</v>
      </c>
      <c r="N3227" s="12">
        <f>IF($J3227=0,0,ROUND(MAX($J3227*1.4*1.5,2190000*(1.580994^(MIN($E3227,123)-117)))*1,0))</f>
        <v>598500</v>
      </c>
      <c r="O3227" s="13">
        <f>$E3227+4</f>
        <v>105</v>
      </c>
      <c r="P3227" s="14">
        <f>IF($J3227=0,0,ROUND(MAX($J3227*1.4*1.5*1.6,3500000*(1.57975^(MIN($E3227,123)-117)))*1,0))</f>
        <v>957600</v>
      </c>
      <c r="Q3227" s="11">
        <f>$E3227+6</f>
        <v>107</v>
      </c>
      <c r="R3227" s="12">
        <f>IF($J3227=0,0,ROUND(MAX($J3227*1.4*1.5*1.6*1.6,13100000*(1.429962^(MIN($E3227,123)-117)))*1,0))</f>
        <v>1532160</v>
      </c>
      <c r="S3227" s="13">
        <f>$E3227+8</f>
        <v>109</v>
      </c>
      <c r="T3227" s="14">
        <f>IF($J3227=0,0,ROUND(MAX($J3227*1.4*1.5*1.6*1.6*2.2,42600000*(1.576904^(MIN($E3227,123)-117)))*1,0))</f>
        <v>3370752</v>
      </c>
      <c r="U3227" s="11">
        <f>$E3227+11</f>
        <v>112</v>
      </c>
      <c r="V3227" s="12">
        <f>IF($J3227=0,0,ROUND(MAX($J3227*1.4*1.5*1.6*1.6*2.2*2.715,354000000*(1.642074^(MIN($E3227,123)-117)))*1,0))</f>
        <v>9151592</v>
      </c>
      <c r="W3227" s="13">
        <f>$E3227+15</f>
        <v>116</v>
      </c>
      <c r="X3227" s="14">
        <f>IF($J3227=0,0,ROUND(MAX($J3227*1.4*1.5*1.6*1.6*2.2*2.715*2.6,3540000000*(1.579646^(MIN($E3227,123)-117)))*1,0))</f>
        <v>23794138</v>
      </c>
      <c r="Y3227" s="11">
        <f>$E3227+17</f>
        <v>118</v>
      </c>
      <c r="Z3227" s="12">
        <f>IF($J3227=0,0,ROUND(MAX($J3227*1.4*1.5*1.6*1.6*2.2*2.715*2.6*1.4,6020000000*(1.651178^(MIN($E3227,123)-117)))*1,0))</f>
        <v>33311794</v>
      </c>
      <c r="AA3227" s="13">
        <f>$E3227+19</f>
        <v>120</v>
      </c>
      <c r="AB3227" s="14">
        <f>IF($J3227=0,0,ROUND(MAX($J3227*1.4*1.5*1.6*1.6*2.2*2.715*2.6*1.4*1.4,8430000000*(1.651435^(MIN($E3227,123)-117)))*1,0))</f>
        <v>46636511</v>
      </c>
      <c r="AC3227" s="11">
        <f>$E3227+21</f>
        <v>122</v>
      </c>
      <c r="AD3227" s="12">
        <f>IF($J3227=0,0,ROUND(MAX($J3227*1.4*1.5*1.6*1.6*2.2*2.715*2.6*1.4*1.4*1.5,12600000000*(1.652953^(MIN($E3227,123)-117)))*1,0))</f>
        <v>69954767</v>
      </c>
      <c r="AE3227" s="13">
        <f>$E3227+24</f>
        <v>125</v>
      </c>
      <c r="AF3227" s="14">
        <f>IF($J3227=0,0,ROUND(MAX($J3227*1.4*1.5*1.6*1.6*2.2*2.715*2.6*1.4*1.4*1.5*1.5,18900000000*(1.65331^(MIN($E3227,123)-117)))*1,0))</f>
        <v>104932150</v>
      </c>
      <c r="AG3227" s="11">
        <f>$E3227+27</f>
        <v>128</v>
      </c>
      <c r="AH3227" s="12">
        <f>IF($J3227=0,0,ROUND(MAX($J3227*1.4*1.5*1.6*1.6*2.2*2.715*2.6*1.4*1.4*1.5*1.5*3.2,60500000000*(1.654288^(MIN($E3227,123)-117)))*1,0))</f>
        <v>335782881</v>
      </c>
    </row>
    <row r="3228" ht="28" customHeight="1" spans="1:34" x14ac:dyDescent="0.25">
      <c r="A3228">
        <v>3238</v>
      </c>
      <c r="B3228" t="s">
        <v>1142</v>
      </c>
      <c r="C3228" s="10" t="s">
        <v>1709</v>
      </c>
      <c r="D3228" t="s">
        <v>45</v>
      </c>
      <c r="E3228">
        <v>101</v>
      </c>
      <c r="F3228" t="s">
        <v>108</v>
      </c>
      <c r="G3228" t="s">
        <v>1143</v>
      </c>
      <c r="H3228">
        <v>21</v>
      </c>
      <c r="I3228" s="11">
        <f>$E3228+0</f>
        <v>101</v>
      </c>
      <c r="J3228" s="12">
        <v>3840</v>
      </c>
      <c r="K3228" s="13">
        <f>$E3228+1</f>
        <v>102</v>
      </c>
      <c r="L3228" s="14">
        <f>IF($J3228=0,0,ROUND(MAX($J3228*1.4,1620000*(1.497923^(MIN($E3228,123)-117)))*1,0))</f>
        <v>5376</v>
      </c>
      <c r="M3228" s="11">
        <f>$E3228+2</f>
        <v>103</v>
      </c>
      <c r="N3228" s="12">
        <f>IF($J3228=0,0,ROUND(MAX($J3228*1.4*1.5,2190000*(1.580994^(MIN($E3228,123)-117)))*1,0))</f>
        <v>8064</v>
      </c>
      <c r="O3228" s="13">
        <f>$E3228+4</f>
        <v>105</v>
      </c>
      <c r="P3228" s="14">
        <f>IF($J3228=0,0,ROUND(MAX($J3228*1.4*1.5*1.6,3500000*(1.57975^(MIN($E3228,123)-117)))*1,0))</f>
        <v>12902</v>
      </c>
      <c r="Q3228" s="11">
        <f>$E3228+6</f>
        <v>107</v>
      </c>
      <c r="R3228" s="12">
        <f>IF($J3228=0,0,ROUND(MAX($J3228*1.4*1.5*1.6*1.6,13100000*(1.429962^(MIN($E3228,123)-117)))*1,0))</f>
        <v>42863</v>
      </c>
      <c r="S3228" s="13">
        <f>$E3228+8</f>
        <v>109</v>
      </c>
      <c r="T3228" s="14">
        <f>IF($J3228=0,0,ROUND(MAX($J3228*1.4*1.5*1.6*1.6*2.2,42600000*(1.576904^(MIN($E3228,123)-117)))*1,0))</f>
        <v>45416</v>
      </c>
      <c r="U3228" s="11">
        <f>$E3228+11</f>
        <v>112</v>
      </c>
      <c r="V3228" s="12">
        <f>IF($J3228=0,0,ROUND(MAX($J3228*1.4*1.5*1.6*1.6*2.2*2.715,354000000*(1.642074^(MIN($E3228,123)-117)))*1,0))</f>
        <v>126683</v>
      </c>
      <c r="W3228" s="13">
        <f>$E3228+15</f>
        <v>116</v>
      </c>
      <c r="X3228" s="14">
        <f>IF($J3228=0,0,ROUND(MAX($J3228*1.4*1.5*1.6*1.6*2.2*2.715*2.6,3540000000*(1.579646^(MIN($E3228,123)-117)))*1,0))</f>
        <v>2355304</v>
      </c>
      <c r="Y3228" s="11">
        <f>$E3228+17</f>
        <v>118</v>
      </c>
      <c r="Z3228" s="12">
        <f>IF($J3228=0,0,ROUND(MAX($J3228*1.4*1.5*1.6*1.6*2.2*2.715*2.6*1.4,6020000000*(1.651178^(MIN($E3228,123)-117)))*1,0))</f>
        <v>1971942</v>
      </c>
      <c r="AA3228" s="13">
        <f>$E3228+19</f>
        <v>120</v>
      </c>
      <c r="AB3228" s="14">
        <f>IF($J3228=0,0,ROUND(MAX($J3228*1.4*1.5*1.6*1.6*2.2*2.715*2.6*1.4*1.4,8430000000*(1.651435^(MIN($E3228,123)-117)))*1,0))</f>
        <v>2754507</v>
      </c>
      <c r="AC3228" s="11">
        <f>$E3228+21</f>
        <v>122</v>
      </c>
      <c r="AD3228" s="12">
        <f>IF($J3228=0,0,ROUND(MAX($J3228*1.4*1.5*1.6*1.6*2.2*2.715*2.6*1.4*1.4*1.5,12600000000*(1.652953^(MIN($E3228,123)-117)))*1,0))</f>
        <v>4056976</v>
      </c>
      <c r="AE3228" s="13">
        <f>$E3228+24</f>
        <v>125</v>
      </c>
      <c r="AF3228" s="14">
        <f>IF($J3228=0,0,ROUND(MAX($J3228*1.4*1.5*1.6*1.6*2.2*2.715*2.6*1.4*1.4*1.5*1.5,18900000000*(1.65331^(MIN($E3228,123)-117)))*1,0))</f>
        <v>6064474</v>
      </c>
      <c r="AG3228" s="11">
        <f>$E3228+27</f>
        <v>128</v>
      </c>
      <c r="AH3228" s="12">
        <f>IF($J3228=0,0,ROUND(MAX($J3228*1.4*1.5*1.6*1.6*2.2*2.715*2.6*1.4*1.4*1.5*1.5*3.2,60500000000*(1.654288^(MIN($E3228,123)-117)))*1,0))</f>
        <v>19229919</v>
      </c>
    </row>
    <row r="3229" ht="28" customHeight="1" spans="1:34" x14ac:dyDescent="0.25">
      <c r="A3229">
        <v>3239</v>
      </c>
      <c r="B3229" t="s">
        <v>1736</v>
      </c>
      <c r="C3229" s="10" t="s">
        <v>1709</v>
      </c>
      <c r="D3229" t="s">
        <v>40</v>
      </c>
      <c r="E3229">
        <v>101</v>
      </c>
      <c r="F3229" t="s">
        <v>54</v>
      </c>
      <c r="G3229" t="s">
        <v>562</v>
      </c>
      <c r="H3229">
        <v>21</v>
      </c>
      <c r="I3229" s="11">
        <f>$E3229+0</f>
        <v>101</v>
      </c>
      <c r="J3229" s="12">
        <v>3470</v>
      </c>
      <c r="K3229" s="13">
        <f>$E3229+1</f>
        <v>102</v>
      </c>
      <c r="L3229" s="14">
        <f>IF($J3229=0,0,ROUND(MAX($J3229*1.4,1620000*(1.497923^(MIN($E3229,123)-117)))*1,0))</f>
        <v>4858</v>
      </c>
      <c r="M3229" s="11">
        <f>$E3229+2</f>
        <v>103</v>
      </c>
      <c r="N3229" s="12">
        <f>IF($J3229=0,0,ROUND(MAX($J3229*1.4*1.5,2190000*(1.580994^(MIN($E3229,123)-117)))*1,0))</f>
        <v>7287</v>
      </c>
      <c r="O3229" s="13">
        <f>$E3229+4</f>
        <v>105</v>
      </c>
      <c r="P3229" s="14">
        <f>IF($J3229=0,0,ROUND(MAX($J3229*1.4*1.5*1.6,3500000*(1.57975^(MIN($E3229,123)-117)))*1,0))</f>
        <v>11659</v>
      </c>
      <c r="Q3229" s="11">
        <f>$E3229+6</f>
        <v>107</v>
      </c>
      <c r="R3229" s="12">
        <f>IF($J3229=0,0,ROUND(MAX($J3229*1.4*1.5*1.6*1.6,13100000*(1.429962^(MIN($E3229,123)-117)))*1,0))</f>
        <v>42863</v>
      </c>
      <c r="S3229" s="13">
        <f>$E3229+8</f>
        <v>109</v>
      </c>
      <c r="T3229" s="14">
        <f>IF($J3229=0,0,ROUND(MAX($J3229*1.4*1.5*1.6*1.6*2.2,42600000*(1.576904^(MIN($E3229,123)-117)))*1,0))</f>
        <v>41040</v>
      </c>
      <c r="U3229" s="11">
        <f>$E3229+11</f>
        <v>112</v>
      </c>
      <c r="V3229" s="12">
        <f>IF($J3229=0,0,ROUND(MAX($J3229*1.4*1.5*1.6*1.6*2.2*2.715,354000000*(1.642074^(MIN($E3229,123)-117)))*1,0))</f>
        <v>126683</v>
      </c>
      <c r="W3229" s="13">
        <f>$E3229+15</f>
        <v>116</v>
      </c>
      <c r="X3229" s="14">
        <f>IF($J3229=0,0,ROUND(MAX($J3229*1.4*1.5*1.6*1.6*2.2*2.715*2.6,3540000000*(1.579646^(MIN($E3229,123)-117)))*1,0))</f>
        <v>2355304</v>
      </c>
      <c r="Y3229" s="11">
        <f>$E3229+17</f>
        <v>118</v>
      </c>
      <c r="Z3229" s="12">
        <f>IF($J3229=0,0,ROUND(MAX($J3229*1.4*1.5*1.6*1.6*2.2*2.715*2.6*1.4,6020000000*(1.651178^(MIN($E3229,123)-117)))*1,0))</f>
        <v>1971942</v>
      </c>
      <c r="AA3229" s="13">
        <f>$E3229+19</f>
        <v>120</v>
      </c>
      <c r="AB3229" s="14">
        <f>IF($J3229=0,0,ROUND(MAX($J3229*1.4*1.5*1.6*1.6*2.2*2.715*2.6*1.4*1.4,8430000000*(1.651435^(MIN($E3229,123)-117)))*1,0))</f>
        <v>2754507</v>
      </c>
      <c r="AC3229" s="11">
        <f>$E3229+21</f>
        <v>122</v>
      </c>
      <c r="AD3229" s="12">
        <f>IF($J3229=0,0,ROUND(MAX($J3229*1.4*1.5*1.6*1.6*2.2*2.715*2.6*1.4*1.4*1.5,12600000000*(1.652953^(MIN($E3229,123)-117)))*1,0))</f>
        <v>4056976</v>
      </c>
      <c r="AE3229" s="13">
        <f>$E3229+24</f>
        <v>125</v>
      </c>
      <c r="AF3229" s="14">
        <f>IF($J3229=0,0,ROUND(MAX($J3229*1.4*1.5*1.6*1.6*2.2*2.715*2.6*1.4*1.4*1.5*1.5,18900000000*(1.65331^(MIN($E3229,123)-117)))*1,0))</f>
        <v>6064474</v>
      </c>
      <c r="AG3229" s="11">
        <f>$E3229+27</f>
        <v>128</v>
      </c>
      <c r="AH3229" s="12">
        <f>IF($J3229=0,0,ROUND(MAX($J3229*1.4*1.5*1.6*1.6*2.2*2.715*2.6*1.4*1.4*1.5*1.5*3.2,60500000000*(1.654288^(MIN($E3229,123)-117)))*1,0))</f>
        <v>19229919</v>
      </c>
    </row>
    <row r="3230" ht="28" customHeight="1" spans="1:34" x14ac:dyDescent="0.25">
      <c r="A3230">
        <v>3240</v>
      </c>
      <c r="B3230" t="s">
        <v>151</v>
      </c>
      <c r="C3230" s="10" t="s">
        <v>1709</v>
      </c>
      <c r="D3230" t="s">
        <v>40</v>
      </c>
      <c r="E3230">
        <v>101</v>
      </c>
      <c r="F3230" t="s">
        <v>42</v>
      </c>
      <c r="G3230" t="s">
        <v>562</v>
      </c>
      <c r="H3230">
        <v>21</v>
      </c>
      <c r="I3230" s="11">
        <f>$E3230+0</f>
        <v>101</v>
      </c>
      <c r="J3230" s="12">
        <v>1820</v>
      </c>
      <c r="K3230" s="13">
        <f>$E3230+1</f>
        <v>102</v>
      </c>
      <c r="L3230" s="14">
        <f>IF($J3230=0,0,ROUND(MAX($J3230*1.4,1620000*(1.497923^(MIN($E3230,123)-117)))*1,0))</f>
        <v>2548</v>
      </c>
      <c r="M3230" s="11">
        <f>$E3230+2</f>
        <v>103</v>
      </c>
      <c r="N3230" s="12">
        <f>IF($J3230=0,0,ROUND(MAX($J3230*1.4*1.5,2190000*(1.580994^(MIN($E3230,123)-117)))*1,0))</f>
        <v>3822</v>
      </c>
      <c r="O3230" s="13">
        <f>$E3230+4</f>
        <v>105</v>
      </c>
      <c r="P3230" s="14">
        <f>IF($J3230=0,0,ROUND(MAX($J3230*1.4*1.5*1.6,3500000*(1.57975^(MIN($E3230,123)-117)))*1,0))</f>
        <v>6115</v>
      </c>
      <c r="Q3230" s="11">
        <f>$E3230+6</f>
        <v>107</v>
      </c>
      <c r="R3230" s="12">
        <f>IF($J3230=0,0,ROUND(MAX($J3230*1.4*1.5*1.6*1.6,13100000*(1.429962^(MIN($E3230,123)-117)))*1,0))</f>
        <v>42863</v>
      </c>
      <c r="S3230" s="13">
        <f>$E3230+8</f>
        <v>109</v>
      </c>
      <c r="T3230" s="14">
        <f>IF($J3230=0,0,ROUND(MAX($J3230*1.4*1.5*1.6*1.6*2.2,42600000*(1.576904^(MIN($E3230,123)-117)))*1,0))</f>
        <v>29142</v>
      </c>
      <c r="U3230" s="11">
        <f>$E3230+11</f>
        <v>112</v>
      </c>
      <c r="V3230" s="12">
        <f>IF($J3230=0,0,ROUND(MAX($J3230*1.4*1.5*1.6*1.6*2.2*2.715,354000000*(1.642074^(MIN($E3230,123)-117)))*1,0))</f>
        <v>126683</v>
      </c>
      <c r="W3230" s="13">
        <f>$E3230+15</f>
        <v>116</v>
      </c>
      <c r="X3230" s="14">
        <f>IF($J3230=0,0,ROUND(MAX($J3230*1.4*1.5*1.6*1.6*2.2*2.715*2.6,3540000000*(1.579646^(MIN($E3230,123)-117)))*1,0))</f>
        <v>2355304</v>
      </c>
      <c r="Y3230" s="11">
        <f>$E3230+17</f>
        <v>118</v>
      </c>
      <c r="Z3230" s="12">
        <f>IF($J3230=0,0,ROUND(MAX($J3230*1.4*1.5*1.6*1.6*2.2*2.715*2.6*1.4,6020000000*(1.651178^(MIN($E3230,123)-117)))*1,0))</f>
        <v>1971942</v>
      </c>
      <c r="AA3230" s="13">
        <f>$E3230+19</f>
        <v>120</v>
      </c>
      <c r="AB3230" s="14">
        <f>IF($J3230=0,0,ROUND(MAX($J3230*1.4*1.5*1.6*1.6*2.2*2.715*2.6*1.4*1.4,8430000000*(1.651435^(MIN($E3230,123)-117)))*1,0))</f>
        <v>2754507</v>
      </c>
      <c r="AC3230" s="11">
        <f>$E3230+21</f>
        <v>122</v>
      </c>
      <c r="AD3230" s="12">
        <f>IF($J3230=0,0,ROUND(MAX($J3230*1.4*1.5*1.6*1.6*2.2*2.715*2.6*1.4*1.4*1.5,12600000000*(1.652953^(MIN($E3230,123)-117)))*1,0))</f>
        <v>4056976</v>
      </c>
      <c r="AE3230" s="13">
        <f>$E3230+24</f>
        <v>125</v>
      </c>
      <c r="AF3230" s="14">
        <f>IF($J3230=0,0,ROUND(MAX($J3230*1.4*1.5*1.6*1.6*2.2*2.715*2.6*1.4*1.4*1.5*1.5,18900000000*(1.65331^(MIN($E3230,123)-117)))*1,0))</f>
        <v>6064474</v>
      </c>
      <c r="AG3230" s="11">
        <f>$E3230+27</f>
        <v>128</v>
      </c>
      <c r="AH3230" s="12">
        <f>IF($J3230=0,0,ROUND(MAX($J3230*1.4*1.5*1.6*1.6*2.2*2.715*2.6*1.4*1.4*1.5*1.5*3.2,60500000000*(1.654288^(MIN($E3230,123)-117)))*1,0))</f>
        <v>19229919</v>
      </c>
    </row>
    <row r="3231" ht="28" customHeight="1" spans="1:34" x14ac:dyDescent="0.25">
      <c r="A3231">
        <v>3241</v>
      </c>
      <c r="B3231" t="s">
        <v>83</v>
      </c>
      <c r="C3231" s="10" t="s">
        <v>1709</v>
      </c>
      <c r="D3231" t="s">
        <v>33</v>
      </c>
      <c r="E3231">
        <v>101</v>
      </c>
      <c r="F3231" t="s">
        <v>62</v>
      </c>
      <c r="G3231" t="s">
        <v>562</v>
      </c>
      <c r="H3231">
        <v>21</v>
      </c>
      <c r="I3231" s="11">
        <f>$E3231+0</f>
        <v>101</v>
      </c>
      <c r="J3231" s="12">
        <v>10900</v>
      </c>
      <c r="K3231" s="13">
        <f>$E3231+1</f>
        <v>102</v>
      </c>
      <c r="L3231" s="14">
        <f>IF($J3231=0,0,ROUND(MAX($J3231*1.4,1620000*(1.497923^(MIN($E3231,123)-117)))*1,0))</f>
        <v>15260</v>
      </c>
      <c r="M3231" s="11">
        <f>$E3231+2</f>
        <v>103</v>
      </c>
      <c r="N3231" s="12">
        <f>IF($J3231=0,0,ROUND(MAX($J3231*1.4*1.5,2190000*(1.580994^(MIN($E3231,123)-117)))*1,0))</f>
        <v>22890</v>
      </c>
      <c r="O3231" s="13">
        <f>$E3231+4</f>
        <v>105</v>
      </c>
      <c r="P3231" s="14">
        <f>IF($J3231=0,0,ROUND(MAX($J3231*1.4*1.5*1.6,3500000*(1.57975^(MIN($E3231,123)-117)))*1,0))</f>
        <v>36624</v>
      </c>
      <c r="Q3231" s="11">
        <f>$E3231+6</f>
        <v>107</v>
      </c>
      <c r="R3231" s="12">
        <f>IF($J3231=0,0,ROUND(MAX($J3231*1.4*1.5*1.6*1.6,13100000*(1.429962^(MIN($E3231,123)-117)))*1,0))</f>
        <v>58598</v>
      </c>
      <c r="S3231" s="13">
        <f>$E3231+8</f>
        <v>109</v>
      </c>
      <c r="T3231" s="14">
        <f>IF($J3231=0,0,ROUND(MAX($J3231*1.4*1.5*1.6*1.6*2.2,42600000*(1.576904^(MIN($E3231,123)-117)))*1,0))</f>
        <v>128916</v>
      </c>
      <c r="U3231" s="11">
        <f>$E3231+11</f>
        <v>112</v>
      </c>
      <c r="V3231" s="12">
        <f>IF($J3231=0,0,ROUND(MAX($J3231*1.4*1.5*1.6*1.6*2.2*2.715,354000000*(1.642074^(MIN($E3231,123)-117)))*1,0))</f>
        <v>350008</v>
      </c>
      <c r="W3231" s="13">
        <f>$E3231+15</f>
        <v>116</v>
      </c>
      <c r="X3231" s="14">
        <f>IF($J3231=0,0,ROUND(MAX($J3231*1.4*1.5*1.6*1.6*2.2*2.715*2.6,3540000000*(1.579646^(MIN($E3231,123)-117)))*1,0))</f>
        <v>2355304</v>
      </c>
      <c r="Y3231" s="11">
        <f>$E3231+17</f>
        <v>118</v>
      </c>
      <c r="Z3231" s="12">
        <f>IF($J3231=0,0,ROUND(MAX($J3231*1.4*1.5*1.6*1.6*2.2*2.715*2.6*1.4,6020000000*(1.651178^(MIN($E3231,123)-117)))*1,0))</f>
        <v>1971942</v>
      </c>
      <c r="AA3231" s="13">
        <f>$E3231+19</f>
        <v>120</v>
      </c>
      <c r="AB3231" s="14">
        <f>IF($J3231=0,0,ROUND(MAX($J3231*1.4*1.5*1.6*1.6*2.2*2.715*2.6*1.4*1.4,8430000000*(1.651435^(MIN($E3231,123)-117)))*1,0))</f>
        <v>2754507</v>
      </c>
      <c r="AC3231" s="11">
        <f>$E3231+21</f>
        <v>122</v>
      </c>
      <c r="AD3231" s="12">
        <f>IF($J3231=0,0,ROUND(MAX($J3231*1.4*1.5*1.6*1.6*2.2*2.715*2.6*1.4*1.4*1.5,12600000000*(1.652953^(MIN($E3231,123)-117)))*1,0))</f>
        <v>4056976</v>
      </c>
      <c r="AE3231" s="13">
        <f>$E3231+24</f>
        <v>125</v>
      </c>
      <c r="AF3231" s="14">
        <f>IF($J3231=0,0,ROUND(MAX($J3231*1.4*1.5*1.6*1.6*2.2*2.715*2.6*1.4*1.4*1.5*1.5,18900000000*(1.65331^(MIN($E3231,123)-117)))*1,0))</f>
        <v>6064474</v>
      </c>
      <c r="AG3231" s="11">
        <f>$E3231+27</f>
        <v>128</v>
      </c>
      <c r="AH3231" s="12">
        <f>IF($J3231=0,0,ROUND(MAX($J3231*1.4*1.5*1.6*1.6*2.2*2.715*2.6*1.4*1.4*1.5*1.5*3.2,60500000000*(1.654288^(MIN($E3231,123)-117)))*1,0))</f>
        <v>19229919</v>
      </c>
    </row>
    <row r="3232" ht="28" customHeight="1" spans="1:34" x14ac:dyDescent="0.25">
      <c r="A3232">
        <v>3242</v>
      </c>
      <c r="B3232" t="s">
        <v>293</v>
      </c>
      <c r="C3232" s="10" t="s">
        <v>1709</v>
      </c>
      <c r="D3232" t="s">
        <v>33</v>
      </c>
      <c r="E3232">
        <v>101</v>
      </c>
      <c r="F3232" t="s">
        <v>71</v>
      </c>
      <c r="G3232" t="s">
        <v>72</v>
      </c>
      <c r="H3232">
        <v>20</v>
      </c>
      <c r="I3232" s="11">
        <f>$E3232+0</f>
        <v>101</v>
      </c>
      <c r="J3232" s="12">
        <v>9710</v>
      </c>
      <c r="K3232" s="13">
        <f>$E3232+1</f>
        <v>102</v>
      </c>
      <c r="L3232" s="14">
        <f>IF($J3232=0,0,ROUND(MAX($J3232*1.4,1620000*(1.497923^(MIN($E3232,123)-117)))*1,0))</f>
        <v>13594</v>
      </c>
      <c r="M3232" s="11">
        <f>$E3232+2</f>
        <v>103</v>
      </c>
      <c r="N3232" s="12">
        <f>IF($J3232=0,0,ROUND(MAX($J3232*1.4*1.5,2190000*(1.580994^(MIN($E3232,123)-117)))*1,0))</f>
        <v>20391</v>
      </c>
      <c r="O3232" s="13">
        <f>$E3232+4</f>
        <v>105</v>
      </c>
      <c r="P3232" s="14">
        <f>IF($J3232=0,0,ROUND(MAX($J3232*1.4*1.5*1.6,3500000*(1.57975^(MIN($E3232,123)-117)))*1,0))</f>
        <v>32626</v>
      </c>
      <c r="Q3232" s="11">
        <f>$E3232+6</f>
        <v>107</v>
      </c>
      <c r="R3232" s="12">
        <f>IF($J3232=0,0,ROUND(MAX($J3232*1.4*1.5*1.6*1.6,13100000*(1.429962^(MIN($E3232,123)-117)))*1,0))</f>
        <v>52201</v>
      </c>
      <c r="S3232" s="13">
        <f>$E3232+8</f>
        <v>109</v>
      </c>
      <c r="T3232" s="14">
        <f>IF($J3232=0,0,ROUND(MAX($J3232*1.4*1.5*1.6*1.6*2.2,42600000*(1.576904^(MIN($E3232,123)-117)))*1,0))</f>
        <v>114842</v>
      </c>
      <c r="U3232" s="11">
        <f>$E3232+11</f>
        <v>112</v>
      </c>
      <c r="V3232" s="12">
        <f>IF($J3232=0,0,ROUND(MAX($J3232*1.4*1.5*1.6*1.6*2.2*2.715,354000000*(1.642074^(MIN($E3232,123)-117)))*1,0))</f>
        <v>311796</v>
      </c>
      <c r="W3232" s="13">
        <f>$E3232+15</f>
        <v>116</v>
      </c>
      <c r="X3232" s="14">
        <f>IF($J3232=0,0,ROUND(MAX($J3232*1.4*1.5*1.6*1.6*2.2*2.715*2.6,3540000000*(1.579646^(MIN($E3232,123)-117)))*1,0))</f>
        <v>2355304</v>
      </c>
      <c r="Y3232" s="11">
        <f>$E3232+17</f>
        <v>118</v>
      </c>
      <c r="Z3232" s="12">
        <f>IF($J3232=0,0,ROUND(MAX($J3232*1.4*1.5*1.6*1.6*2.2*2.715*2.6*1.4,6020000000*(1.651178^(MIN($E3232,123)-117)))*1,0))</f>
        <v>1971942</v>
      </c>
      <c r="AA3232" s="13">
        <f>$E3232+19</f>
        <v>120</v>
      </c>
      <c r="AB3232" s="14">
        <f>IF($J3232=0,0,ROUND(MAX($J3232*1.4*1.5*1.6*1.6*2.2*2.715*2.6*1.4*1.4,8430000000*(1.651435^(MIN($E3232,123)-117)))*1,0))</f>
        <v>2754507</v>
      </c>
      <c r="AC3232" s="11">
        <f>$E3232+21</f>
        <v>122</v>
      </c>
      <c r="AD3232" s="12">
        <f>IF($J3232=0,0,ROUND(MAX($J3232*1.4*1.5*1.6*1.6*2.2*2.715*2.6*1.4*1.4*1.5,12600000000*(1.652953^(MIN($E3232,123)-117)))*1,0))</f>
        <v>4056976</v>
      </c>
      <c r="AE3232" s="13">
        <f>$E3232+24</f>
        <v>125</v>
      </c>
      <c r="AF3232" s="14">
        <f>IF($J3232=0,0,ROUND(MAX($J3232*1.4*1.5*1.6*1.6*2.2*2.715*2.6*1.4*1.4*1.5*1.5,18900000000*(1.65331^(MIN($E3232,123)-117)))*1,0))</f>
        <v>6064474</v>
      </c>
      <c r="AG3232" s="11">
        <f>$E3232+27</f>
        <v>128</v>
      </c>
      <c r="AH3232" s="12">
        <f>IF($J3232=0,0,ROUND(MAX($J3232*1.4*1.5*1.6*1.6*2.2*2.715*2.6*1.4*1.4*1.5*1.5*3.2,60500000000*(1.654288^(MIN($E3232,123)-117)))*1,0))</f>
        <v>19229919</v>
      </c>
    </row>
    <row r="3233" ht="28" customHeight="1" spans="1:34" x14ac:dyDescent="0.25">
      <c r="A3233">
        <v>3243</v>
      </c>
      <c r="B3233" t="s">
        <v>1481</v>
      </c>
      <c r="C3233" s="10" t="s">
        <v>1709</v>
      </c>
      <c r="D3233" t="s">
        <v>25</v>
      </c>
      <c r="E3233">
        <v>100</v>
      </c>
      <c r="F3233" t="s">
        <v>123</v>
      </c>
      <c r="G3233" t="s">
        <v>1029</v>
      </c>
      <c r="H3233">
        <v>21</v>
      </c>
      <c r="I3233" s="11">
        <f>$E3233+0</f>
        <v>100</v>
      </c>
      <c r="J3233" s="12">
        <v>10400</v>
      </c>
      <c r="K3233" s="13">
        <f>$E3233+1</f>
        <v>101</v>
      </c>
      <c r="L3233" s="14">
        <f>IF($J3233=0,0,ROUND(MAX($J3233*1.4,1620000*(1.497923^(MIN($E3233,123)-117)))*1,0))</f>
        <v>14560</v>
      </c>
      <c r="M3233" s="11">
        <f>$E3233+2</f>
        <v>102</v>
      </c>
      <c r="N3233" s="12">
        <f>IF($J3233=0,0,ROUND(MAX($J3233*1.4*1.5,2190000*(1.580994^(MIN($E3233,123)-117)))*1,0))</f>
        <v>21840</v>
      </c>
      <c r="O3233" s="13">
        <f>$E3233+4</f>
        <v>104</v>
      </c>
      <c r="P3233" s="14">
        <f>IF($J3233=0,0,ROUND(MAX($J3233*1.4*1.5*1.6,3500000*(1.57975^(MIN($E3233,123)-117)))*1,0))</f>
        <v>34944</v>
      </c>
      <c r="Q3233" s="11">
        <f>$E3233+6</f>
        <v>106</v>
      </c>
      <c r="R3233" s="12">
        <f>IF($J3233=0,0,ROUND(MAX($J3233*1.4*1.5*1.6*1.6,13100000*(1.429962^(MIN($E3233,123)-117)))*1,0))</f>
        <v>55910</v>
      </c>
      <c r="S3233" s="13">
        <f>$E3233+8</f>
        <v>108</v>
      </c>
      <c r="T3233" s="14">
        <f>IF($J3233=0,0,ROUND(MAX($J3233*1.4*1.5*1.6*1.6*2.2,42600000*(1.576904^(MIN($E3233,123)-117)))*1,0))</f>
        <v>123003</v>
      </c>
      <c r="U3233" s="11">
        <f>$E3233+11</f>
        <v>111</v>
      </c>
      <c r="V3233" s="12">
        <f>IF($J3233=0,0,ROUND(MAX($J3233*1.4*1.5*1.6*1.6*2.2*2.715,354000000*(1.642074^(MIN($E3233,123)-117)))*1,0))</f>
        <v>333953</v>
      </c>
      <c r="W3233" s="13">
        <f>$E3233+15</f>
        <v>115</v>
      </c>
      <c r="X3233" s="14">
        <f>IF($J3233=0,0,ROUND(MAX($J3233*1.4*1.5*1.6*1.6*2.2*2.715*2.6,3540000000*(1.579646^(MIN($E3233,123)-117)))*1,0))</f>
        <v>1491033</v>
      </c>
      <c r="Y3233" s="11">
        <f>$E3233+17</f>
        <v>117</v>
      </c>
      <c r="Z3233" s="12">
        <f>IF($J3233=0,0,ROUND(MAX($J3233*1.4*1.5*1.6*1.6*2.2*2.715*2.6*1.4,6020000000*(1.651178^(MIN($E3233,123)-117)))*1,0))</f>
        <v>1215588</v>
      </c>
      <c r="AA3233" s="13">
        <f>$E3233+19</f>
        <v>119</v>
      </c>
      <c r="AB3233" s="14">
        <f>IF($J3233=0,0,ROUND(MAX($J3233*1.4*1.5*1.6*1.6*2.2*2.715*2.6*1.4*1.4,8430000000*(1.651435^(MIN($E3233,123)-117)))*1,0))</f>
        <v>1701824</v>
      </c>
      <c r="AC3233" s="11">
        <f>$E3233+21</f>
        <v>121</v>
      </c>
      <c r="AD3233" s="12">
        <f>IF($J3233=0,0,ROUND(MAX($J3233*1.4*1.5*1.6*1.6*2.2*2.715*2.6*1.4*1.4*1.5,12600000000*(1.652953^(MIN($E3233,123)-117)))*1,0))</f>
        <v>2552735</v>
      </c>
      <c r="AE3233" s="13">
        <f>$E3233+24</f>
        <v>124</v>
      </c>
      <c r="AF3233" s="14">
        <f>IF($J3233=0,0,ROUND(MAX($J3233*1.4*1.5*1.6*1.6*2.2*2.715*2.6*1.4*1.4*1.5*1.5,18900000000*(1.65331^(MIN($E3233,123)-117)))*1,0))</f>
        <v>3829103</v>
      </c>
      <c r="AG3233" s="11">
        <f>$E3233+27</f>
        <v>127</v>
      </c>
      <c r="AH3233" s="12">
        <f>IF($J3233=0,0,ROUND(MAX($J3233*1.4*1.5*1.6*1.6*2.2*2.715*2.6*1.4*1.4*1.5*1.5*3.2,60500000000*(1.654288^(MIN($E3233,123)-117)))*1,0))</f>
        <v>12253130</v>
      </c>
    </row>
    <row r="3234" ht="28" customHeight="1" spans="1:34" x14ac:dyDescent="0.25">
      <c r="A3234">
        <v>3244</v>
      </c>
      <c r="B3234" t="s">
        <v>1737</v>
      </c>
      <c r="C3234" s="10" t="s">
        <v>1709</v>
      </c>
      <c r="D3234" t="s">
        <v>93</v>
      </c>
      <c r="E3234">
        <v>100</v>
      </c>
      <c r="F3234" t="s">
        <v>479</v>
      </c>
      <c r="G3234" t="s">
        <v>562</v>
      </c>
      <c r="H3234">
        <v>21</v>
      </c>
      <c r="I3234" s="11">
        <f>$E3234+0</f>
        <v>100</v>
      </c>
      <c r="J3234" s="12">
        <v>3630</v>
      </c>
      <c r="K3234" s="13">
        <f>$E3234+1</f>
        <v>101</v>
      </c>
      <c r="L3234" s="14">
        <f>IF($J3234=0,0,ROUND(MAX($J3234*1.4,1620000*(1.497923^(MIN($E3234,123)-117)))*1,0))</f>
        <v>5082</v>
      </c>
      <c r="M3234" s="11">
        <f>$E3234+2</f>
        <v>102</v>
      </c>
      <c r="N3234" s="12">
        <f>IF($J3234=0,0,ROUND(MAX($J3234*1.4*1.5,2190000*(1.580994^(MIN($E3234,123)-117)))*1,0))</f>
        <v>7623</v>
      </c>
      <c r="O3234" s="13">
        <f>$E3234+4</f>
        <v>104</v>
      </c>
      <c r="P3234" s="14">
        <f>IF($J3234=0,0,ROUND(MAX($J3234*1.4*1.5*1.6,3500000*(1.57975^(MIN($E3234,123)-117)))*1,0))</f>
        <v>12197</v>
      </c>
      <c r="Q3234" s="11">
        <f>$E3234+6</f>
        <v>106</v>
      </c>
      <c r="R3234" s="12">
        <f>IF($J3234=0,0,ROUND(MAX($J3234*1.4*1.5*1.6*1.6,13100000*(1.429962^(MIN($E3234,123)-117)))*1,0))</f>
        <v>29975</v>
      </c>
      <c r="S3234" s="13">
        <f>$E3234+8</f>
        <v>108</v>
      </c>
      <c r="T3234" s="14">
        <f>IF($J3234=0,0,ROUND(MAX($J3234*1.4*1.5*1.6*1.6*2.2,42600000*(1.576904^(MIN($E3234,123)-117)))*1,0))</f>
        <v>42933</v>
      </c>
      <c r="U3234" s="11">
        <f>$E3234+11</f>
        <v>111</v>
      </c>
      <c r="V3234" s="12">
        <f>IF($J3234=0,0,ROUND(MAX($J3234*1.4*1.5*1.6*1.6*2.2*2.715,354000000*(1.642074^(MIN($E3234,123)-117)))*1,0))</f>
        <v>116562</v>
      </c>
      <c r="W3234" s="13">
        <f>$E3234+15</f>
        <v>115</v>
      </c>
      <c r="X3234" s="14">
        <f>IF($J3234=0,0,ROUND(MAX($J3234*1.4*1.5*1.6*1.6*2.2*2.715*2.6,3540000000*(1.579646^(MIN($E3234,123)-117)))*1,0))</f>
        <v>1491033</v>
      </c>
      <c r="Y3234" s="11">
        <f>$E3234+17</f>
        <v>117</v>
      </c>
      <c r="Z3234" s="12">
        <f>IF($J3234=0,0,ROUND(MAX($J3234*1.4*1.5*1.6*1.6*2.2*2.715*2.6*1.4,6020000000*(1.651178^(MIN($E3234,123)-117)))*1,0))</f>
        <v>1194264</v>
      </c>
      <c r="AA3234" s="13">
        <f>$E3234+19</f>
        <v>119</v>
      </c>
      <c r="AB3234" s="14">
        <f>IF($J3234=0,0,ROUND(MAX($J3234*1.4*1.5*1.6*1.6*2.2*2.715*2.6*1.4*1.4,8430000000*(1.651435^(MIN($E3234,123)-117)))*1,0))</f>
        <v>1667947</v>
      </c>
      <c r="AC3234" s="11">
        <f>$E3234+21</f>
        <v>121</v>
      </c>
      <c r="AD3234" s="12">
        <f>IF($J3234=0,0,ROUND(MAX($J3234*1.4*1.5*1.6*1.6*2.2*2.715*2.6*1.4*1.4*1.5,12600000000*(1.652953^(MIN($E3234,123)-117)))*1,0))</f>
        <v>2454381</v>
      </c>
      <c r="AE3234" s="13">
        <f>$E3234+24</f>
        <v>124</v>
      </c>
      <c r="AF3234" s="14">
        <f>IF($J3234=0,0,ROUND(MAX($J3234*1.4*1.5*1.6*1.6*2.2*2.715*2.6*1.4*1.4*1.5*1.5,18900000000*(1.65331^(MIN($E3234,123)-117)))*1,0))</f>
        <v>3668080</v>
      </c>
      <c r="AG3234" s="11">
        <f>$E3234+27</f>
        <v>127</v>
      </c>
      <c r="AH3234" s="12">
        <f>IF($J3234=0,0,ROUND(MAX($J3234*1.4*1.5*1.6*1.6*2.2*2.715*2.6*1.4*1.4*1.5*1.5*3.2,60500000000*(1.654288^(MIN($E3234,123)-117)))*1,0))</f>
        <v>11624288</v>
      </c>
    </row>
    <row r="3235" ht="28" customHeight="1" spans="1:34" x14ac:dyDescent="0.25">
      <c r="A3235">
        <v>3245</v>
      </c>
      <c r="B3235" t="s">
        <v>1738</v>
      </c>
      <c r="C3235" s="10" t="s">
        <v>1709</v>
      </c>
      <c r="D3235" t="s">
        <v>40</v>
      </c>
      <c r="E3235">
        <v>100</v>
      </c>
      <c r="F3235" t="s">
        <v>71</v>
      </c>
      <c r="G3235" t="s">
        <v>562</v>
      </c>
      <c r="H3235">
        <v>20</v>
      </c>
      <c r="I3235" s="11">
        <f>$E3235+0</f>
        <v>100</v>
      </c>
      <c r="J3235" s="12">
        <v>4160</v>
      </c>
      <c r="K3235" s="13">
        <f>$E3235+1</f>
        <v>101</v>
      </c>
      <c r="L3235" s="14">
        <f>IF($J3235=0,0,ROUND(MAX($J3235*1.4,1620000*(1.497923^(MIN($E3235,123)-117)))*1,0))</f>
        <v>5824</v>
      </c>
      <c r="M3235" s="11">
        <f>$E3235+2</f>
        <v>102</v>
      </c>
      <c r="N3235" s="12">
        <f>IF($J3235=0,0,ROUND(MAX($J3235*1.4*1.5,2190000*(1.580994^(MIN($E3235,123)-117)))*1,0))</f>
        <v>8736</v>
      </c>
      <c r="O3235" s="13">
        <f>$E3235+4</f>
        <v>104</v>
      </c>
      <c r="P3235" s="14">
        <f>IF($J3235=0,0,ROUND(MAX($J3235*1.4*1.5*1.6,3500000*(1.57975^(MIN($E3235,123)-117)))*1,0))</f>
        <v>13978</v>
      </c>
      <c r="Q3235" s="11">
        <f>$E3235+6</f>
        <v>106</v>
      </c>
      <c r="R3235" s="12">
        <f>IF($J3235=0,0,ROUND(MAX($J3235*1.4*1.5*1.6*1.6,13100000*(1.429962^(MIN($E3235,123)-117)))*1,0))</f>
        <v>29975</v>
      </c>
      <c r="S3235" s="13">
        <f>$E3235+8</f>
        <v>108</v>
      </c>
      <c r="T3235" s="14">
        <f>IF($J3235=0,0,ROUND(MAX($J3235*1.4*1.5*1.6*1.6*2.2,42600000*(1.576904^(MIN($E3235,123)-117)))*1,0))</f>
        <v>49201</v>
      </c>
      <c r="U3235" s="11">
        <f>$E3235+11</f>
        <v>111</v>
      </c>
      <c r="V3235" s="12">
        <f>IF($J3235=0,0,ROUND(MAX($J3235*1.4*1.5*1.6*1.6*2.2*2.715,354000000*(1.642074^(MIN($E3235,123)-117)))*1,0))</f>
        <v>133581</v>
      </c>
      <c r="W3235" s="13">
        <f>$E3235+15</f>
        <v>115</v>
      </c>
      <c r="X3235" s="14">
        <f>IF($J3235=0,0,ROUND(MAX($J3235*1.4*1.5*1.6*1.6*2.2*2.715*2.6,3540000000*(1.579646^(MIN($E3235,123)-117)))*1,0))</f>
        <v>1491033</v>
      </c>
      <c r="Y3235" s="11">
        <f>$E3235+17</f>
        <v>117</v>
      </c>
      <c r="Z3235" s="12">
        <f>IF($J3235=0,0,ROUND(MAX($J3235*1.4*1.5*1.6*1.6*2.2*2.715*2.6*1.4,6020000000*(1.651178^(MIN($E3235,123)-117)))*1,0))</f>
        <v>1194264</v>
      </c>
      <c r="AA3235" s="13">
        <f>$E3235+19</f>
        <v>119</v>
      </c>
      <c r="AB3235" s="14">
        <f>IF($J3235=0,0,ROUND(MAX($J3235*1.4*1.5*1.6*1.6*2.2*2.715*2.6*1.4*1.4,8430000000*(1.651435^(MIN($E3235,123)-117)))*1,0))</f>
        <v>1667947</v>
      </c>
      <c r="AC3235" s="11">
        <f>$E3235+21</f>
        <v>121</v>
      </c>
      <c r="AD3235" s="12">
        <f>IF($J3235=0,0,ROUND(MAX($J3235*1.4*1.5*1.6*1.6*2.2*2.715*2.6*1.4*1.4*1.5,12600000000*(1.652953^(MIN($E3235,123)-117)))*1,0))</f>
        <v>2454381</v>
      </c>
      <c r="AE3235" s="13">
        <f>$E3235+24</f>
        <v>124</v>
      </c>
      <c r="AF3235" s="14">
        <f>IF($J3235=0,0,ROUND(MAX($J3235*1.4*1.5*1.6*1.6*2.2*2.715*2.6*1.4*1.4*1.5*1.5,18900000000*(1.65331^(MIN($E3235,123)-117)))*1,0))</f>
        <v>3668080</v>
      </c>
      <c r="AG3235" s="11">
        <f>$E3235+27</f>
        <v>127</v>
      </c>
      <c r="AH3235" s="12">
        <f>IF($J3235=0,0,ROUND(MAX($J3235*1.4*1.5*1.6*1.6*2.2*2.715*2.6*1.4*1.4*1.5*1.5*3.2,60500000000*(1.654288^(MIN($E3235,123)-117)))*1,0))</f>
        <v>11624288</v>
      </c>
    </row>
    <row r="3236" ht="28" customHeight="1" spans="1:34" x14ac:dyDescent="0.25">
      <c r="A3236">
        <v>3246</v>
      </c>
      <c r="B3236" t="s">
        <v>1739</v>
      </c>
      <c r="C3236" s="10" t="s">
        <v>1709</v>
      </c>
      <c r="D3236" t="s">
        <v>90</v>
      </c>
      <c r="E3236">
        <v>100</v>
      </c>
      <c r="F3236" t="s">
        <v>1456</v>
      </c>
      <c r="G3236" t="s">
        <v>200</v>
      </c>
      <c r="H3236">
        <v>20</v>
      </c>
      <c r="I3236" s="11">
        <f>$E3236+0</f>
        <v>100</v>
      </c>
      <c r="J3236" s="12">
        <v>4350</v>
      </c>
      <c r="K3236" s="13">
        <f>$E3236+1</f>
        <v>101</v>
      </c>
      <c r="L3236" s="14">
        <f>IF($J3236=0,0,ROUND(MAX($J3236*1.4,1620000*(1.497923^(MIN($E3236,123)-117)))*1,0))</f>
        <v>6090</v>
      </c>
      <c r="M3236" s="11">
        <f>$E3236+2</f>
        <v>102</v>
      </c>
      <c r="N3236" s="12">
        <f>IF($J3236=0,0,ROUND(MAX($J3236*1.4*1.5,2190000*(1.580994^(MIN($E3236,123)-117)))*1,0))</f>
        <v>9135</v>
      </c>
      <c r="O3236" s="13">
        <f>$E3236+4</f>
        <v>104</v>
      </c>
      <c r="P3236" s="14">
        <f>IF($J3236=0,0,ROUND(MAX($J3236*1.4*1.5*1.6,3500000*(1.57975^(MIN($E3236,123)-117)))*1,0))</f>
        <v>14616</v>
      </c>
      <c r="Q3236" s="11">
        <f>$E3236+6</f>
        <v>106</v>
      </c>
      <c r="R3236" s="12">
        <f>IF($J3236=0,0,ROUND(MAX($J3236*1.4*1.5*1.6*1.6,13100000*(1.429962^(MIN($E3236,123)-117)))*1,0))</f>
        <v>29975</v>
      </c>
      <c r="S3236" s="13">
        <f>$E3236+8</f>
        <v>108</v>
      </c>
      <c r="T3236" s="14">
        <f>IF($J3236=0,0,ROUND(MAX($J3236*1.4*1.5*1.6*1.6*2.2,42600000*(1.576904^(MIN($E3236,123)-117)))*1,0))</f>
        <v>51448</v>
      </c>
      <c r="U3236" s="11">
        <f>$E3236+11</f>
        <v>111</v>
      </c>
      <c r="V3236" s="12">
        <f>IF($J3236=0,0,ROUND(MAX($J3236*1.4*1.5*1.6*1.6*2.2*2.715,354000000*(1.642074^(MIN($E3236,123)-117)))*1,0))</f>
        <v>139682</v>
      </c>
      <c r="W3236" s="13">
        <f>$E3236+15</f>
        <v>115</v>
      </c>
      <c r="X3236" s="14">
        <f>IF($J3236=0,0,ROUND(MAX($J3236*1.4*1.5*1.6*1.6*2.2*2.715*2.6,3540000000*(1.579646^(MIN($E3236,123)-117)))*1,0))</f>
        <v>1491033</v>
      </c>
      <c r="Y3236" s="11">
        <f>$E3236+17</f>
        <v>117</v>
      </c>
      <c r="Z3236" s="12">
        <f>IF($J3236=0,0,ROUND(MAX($J3236*1.4*1.5*1.6*1.6*2.2*2.715*2.6*1.4,6020000000*(1.651178^(MIN($E3236,123)-117)))*1,0))</f>
        <v>1194264</v>
      </c>
      <c r="AA3236" s="13">
        <f>$E3236+19</f>
        <v>119</v>
      </c>
      <c r="AB3236" s="14">
        <f>IF($J3236=0,0,ROUND(MAX($J3236*1.4*1.5*1.6*1.6*2.2*2.715*2.6*1.4*1.4,8430000000*(1.651435^(MIN($E3236,123)-117)))*1,0))</f>
        <v>1667947</v>
      </c>
      <c r="AC3236" s="11">
        <f>$E3236+21</f>
        <v>121</v>
      </c>
      <c r="AD3236" s="12">
        <f>IF($J3236=0,0,ROUND(MAX($J3236*1.4*1.5*1.6*1.6*2.2*2.715*2.6*1.4*1.4*1.5,12600000000*(1.652953^(MIN($E3236,123)-117)))*1,0))</f>
        <v>2454381</v>
      </c>
      <c r="AE3236" s="13">
        <f>$E3236+24</f>
        <v>124</v>
      </c>
      <c r="AF3236" s="14">
        <f>IF($J3236=0,0,ROUND(MAX($J3236*1.4*1.5*1.6*1.6*2.2*2.715*2.6*1.4*1.4*1.5*1.5,18900000000*(1.65331^(MIN($E3236,123)-117)))*1,0))</f>
        <v>3668080</v>
      </c>
      <c r="AG3236" s="11">
        <f>$E3236+27</f>
        <v>127</v>
      </c>
      <c r="AH3236" s="12">
        <f>IF($J3236=0,0,ROUND(MAX($J3236*1.4*1.5*1.6*1.6*2.2*2.715*2.6*1.4*1.4*1.5*1.5*3.2,60500000000*(1.654288^(MIN($E3236,123)-117)))*1,0))</f>
        <v>11624288</v>
      </c>
    </row>
    <row r="3237" ht="28" customHeight="1" spans="1:34" x14ac:dyDescent="0.25">
      <c r="A3237">
        <v>3247</v>
      </c>
      <c r="B3237" t="s">
        <v>1740</v>
      </c>
      <c r="C3237" s="10" t="s">
        <v>1709</v>
      </c>
      <c r="D3237" t="s">
        <v>79</v>
      </c>
      <c r="E3237">
        <v>100</v>
      </c>
      <c r="F3237" t="s">
        <v>88</v>
      </c>
      <c r="G3237" t="s">
        <v>562</v>
      </c>
      <c r="H3237">
        <v>20</v>
      </c>
      <c r="I3237" s="11">
        <f>$E3237+0</f>
        <v>100</v>
      </c>
      <c r="J3237" s="12">
        <v>7050</v>
      </c>
      <c r="K3237" s="13">
        <f>$E3237+1</f>
        <v>101</v>
      </c>
      <c r="L3237" s="14">
        <f>IF($J3237=0,0,ROUND(MAX($J3237*1.4,1620000*(1.497923^(MIN($E3237,123)-117)))*1,0))</f>
        <v>9870</v>
      </c>
      <c r="M3237" s="11">
        <f>$E3237+2</f>
        <v>102</v>
      </c>
      <c r="N3237" s="12">
        <f>IF($J3237=0,0,ROUND(MAX($J3237*1.4*1.5,2190000*(1.580994^(MIN($E3237,123)-117)))*1,0))</f>
        <v>14805</v>
      </c>
      <c r="O3237" s="13">
        <f>$E3237+4</f>
        <v>104</v>
      </c>
      <c r="P3237" s="14">
        <f>IF($J3237=0,0,ROUND(MAX($J3237*1.4*1.5*1.6,3500000*(1.57975^(MIN($E3237,123)-117)))*1,0))</f>
        <v>23688</v>
      </c>
      <c r="Q3237" s="11">
        <f>$E3237+6</f>
        <v>106</v>
      </c>
      <c r="R3237" s="12">
        <f>IF($J3237=0,0,ROUND(MAX($J3237*1.4*1.5*1.6*1.6,13100000*(1.429962^(MIN($E3237,123)-117)))*1,0))</f>
        <v>37901</v>
      </c>
      <c r="S3237" s="13">
        <f>$E3237+8</f>
        <v>108</v>
      </c>
      <c r="T3237" s="14">
        <f>IF($J3237=0,0,ROUND(MAX($J3237*1.4*1.5*1.6*1.6*2.2,42600000*(1.576904^(MIN($E3237,123)-117)))*1,0))</f>
        <v>83382</v>
      </c>
      <c r="U3237" s="11">
        <f>$E3237+11</f>
        <v>111</v>
      </c>
      <c r="V3237" s="12">
        <f>IF($J3237=0,0,ROUND(MAX($J3237*1.4*1.5*1.6*1.6*2.2*2.715,354000000*(1.642074^(MIN($E3237,123)-117)))*1,0))</f>
        <v>226381</v>
      </c>
      <c r="W3237" s="13">
        <f>$E3237+15</f>
        <v>115</v>
      </c>
      <c r="X3237" s="14">
        <f>IF($J3237=0,0,ROUND(MAX($J3237*1.4*1.5*1.6*1.6*2.2*2.715*2.6,3540000000*(1.579646^(MIN($E3237,123)-117)))*1,0))</f>
        <v>1491033</v>
      </c>
      <c r="Y3237" s="11">
        <f>$E3237+17</f>
        <v>117</v>
      </c>
      <c r="Z3237" s="12">
        <f>IF($J3237=0,0,ROUND(MAX($J3237*1.4*1.5*1.6*1.6*2.2*2.715*2.6*1.4,6020000000*(1.651178^(MIN($E3237,123)-117)))*1,0))</f>
        <v>1194264</v>
      </c>
      <c r="AA3237" s="13">
        <f>$E3237+19</f>
        <v>119</v>
      </c>
      <c r="AB3237" s="14">
        <f>IF($J3237=0,0,ROUND(MAX($J3237*1.4*1.5*1.6*1.6*2.2*2.715*2.6*1.4*1.4,8430000000*(1.651435^(MIN($E3237,123)-117)))*1,0))</f>
        <v>1667947</v>
      </c>
      <c r="AC3237" s="11">
        <f>$E3237+21</f>
        <v>121</v>
      </c>
      <c r="AD3237" s="12">
        <f>IF($J3237=0,0,ROUND(MAX($J3237*1.4*1.5*1.6*1.6*2.2*2.715*2.6*1.4*1.4*1.5,12600000000*(1.652953^(MIN($E3237,123)-117)))*1,0))</f>
        <v>2454381</v>
      </c>
      <c r="AE3237" s="13">
        <f>$E3237+24</f>
        <v>124</v>
      </c>
      <c r="AF3237" s="14">
        <f>IF($J3237=0,0,ROUND(MAX($J3237*1.4*1.5*1.6*1.6*2.2*2.715*2.6*1.4*1.4*1.5*1.5,18900000000*(1.65331^(MIN($E3237,123)-117)))*1,0))</f>
        <v>3668080</v>
      </c>
      <c r="AG3237" s="11">
        <f>$E3237+27</f>
        <v>127</v>
      </c>
      <c r="AH3237" s="12">
        <f>IF($J3237=0,0,ROUND(MAX($J3237*1.4*1.5*1.6*1.6*2.2*2.715*2.6*1.4*1.4*1.5*1.5*3.2,60500000000*(1.654288^(MIN($E3237,123)-117)))*1,0))</f>
        <v>11624288</v>
      </c>
    </row>
    <row r="3238" ht="28" customHeight="1" spans="1:34" x14ac:dyDescent="0.25">
      <c r="A3238">
        <v>3248</v>
      </c>
      <c r="B3238" t="s">
        <v>765</v>
      </c>
      <c r="C3238" s="10" t="s">
        <v>1709</v>
      </c>
      <c r="D3238" t="s">
        <v>45</v>
      </c>
      <c r="E3238">
        <v>100</v>
      </c>
      <c r="F3238" t="s">
        <v>34</v>
      </c>
      <c r="G3238" t="s">
        <v>562</v>
      </c>
      <c r="H3238">
        <v>20</v>
      </c>
      <c r="I3238" s="11">
        <f>$E3238+0</f>
        <v>100</v>
      </c>
      <c r="J3238" s="12">
        <v>7500</v>
      </c>
      <c r="K3238" s="13">
        <f>$E3238+1</f>
        <v>101</v>
      </c>
      <c r="L3238" s="14">
        <f>IF($J3238=0,0,ROUND(MAX($J3238*1.4,1620000*(1.497923^(MIN($E3238,123)-117)))*1,0))</f>
        <v>10500</v>
      </c>
      <c r="M3238" s="11">
        <f>$E3238+2</f>
        <v>102</v>
      </c>
      <c r="N3238" s="12">
        <f>IF($J3238=0,0,ROUND(MAX($J3238*1.4*1.5,2190000*(1.580994^(MIN($E3238,123)-117)))*1,0))</f>
        <v>15750</v>
      </c>
      <c r="O3238" s="13">
        <f>$E3238+4</f>
        <v>104</v>
      </c>
      <c r="P3238" s="14">
        <f>IF($J3238=0,0,ROUND(MAX($J3238*1.4*1.5*1.6,3500000*(1.57975^(MIN($E3238,123)-117)))*1,0))</f>
        <v>25200</v>
      </c>
      <c r="Q3238" s="11">
        <f>$E3238+6</f>
        <v>106</v>
      </c>
      <c r="R3238" s="12">
        <f>IF($J3238=0,0,ROUND(MAX($J3238*1.4*1.5*1.6*1.6,13100000*(1.429962^(MIN($E3238,123)-117)))*1,0))</f>
        <v>40320</v>
      </c>
      <c r="S3238" s="13">
        <f>$E3238+8</f>
        <v>108</v>
      </c>
      <c r="T3238" s="14">
        <f>IF($J3238=0,0,ROUND(MAX($J3238*1.4*1.5*1.6*1.6*2.2,42600000*(1.576904^(MIN($E3238,123)-117)))*1,0))</f>
        <v>88704</v>
      </c>
      <c r="U3238" s="11">
        <f>$E3238+11</f>
        <v>111</v>
      </c>
      <c r="V3238" s="12">
        <f>IF($J3238=0,0,ROUND(MAX($J3238*1.4*1.5*1.6*1.6*2.2*2.715,354000000*(1.642074^(MIN($E3238,123)-117)))*1,0))</f>
        <v>240831</v>
      </c>
      <c r="W3238" s="13">
        <f>$E3238+15</f>
        <v>115</v>
      </c>
      <c r="X3238" s="14">
        <f>IF($J3238=0,0,ROUND(MAX($J3238*1.4*1.5*1.6*1.6*2.2*2.715*2.6,3540000000*(1.579646^(MIN($E3238,123)-117)))*1,0))</f>
        <v>1491033</v>
      </c>
      <c r="Y3238" s="11">
        <f>$E3238+17</f>
        <v>117</v>
      </c>
      <c r="Z3238" s="12">
        <f>IF($J3238=0,0,ROUND(MAX($J3238*1.4*1.5*1.6*1.6*2.2*2.715*2.6*1.4,6020000000*(1.651178^(MIN($E3238,123)-117)))*1,0))</f>
        <v>1194264</v>
      </c>
      <c r="AA3238" s="13">
        <f>$E3238+19</f>
        <v>119</v>
      </c>
      <c r="AB3238" s="14">
        <f>IF($J3238=0,0,ROUND(MAX($J3238*1.4*1.5*1.6*1.6*2.2*2.715*2.6*1.4*1.4,8430000000*(1.651435^(MIN($E3238,123)-117)))*1,0))</f>
        <v>1667947</v>
      </c>
      <c r="AC3238" s="11">
        <f>$E3238+21</f>
        <v>121</v>
      </c>
      <c r="AD3238" s="12">
        <f>IF($J3238=0,0,ROUND(MAX($J3238*1.4*1.5*1.6*1.6*2.2*2.715*2.6*1.4*1.4*1.5,12600000000*(1.652953^(MIN($E3238,123)-117)))*1,0))</f>
        <v>2454381</v>
      </c>
      <c r="AE3238" s="13">
        <f>$E3238+24</f>
        <v>124</v>
      </c>
      <c r="AF3238" s="14">
        <f>IF($J3238=0,0,ROUND(MAX($J3238*1.4*1.5*1.6*1.6*2.2*2.715*2.6*1.4*1.4*1.5*1.5,18900000000*(1.65331^(MIN($E3238,123)-117)))*1,0))</f>
        <v>3668080</v>
      </c>
      <c r="AG3238" s="11">
        <f>$E3238+27</f>
        <v>127</v>
      </c>
      <c r="AH3238" s="12">
        <f>IF($J3238=0,0,ROUND(MAX($J3238*1.4*1.5*1.6*1.6*2.2*2.715*2.6*1.4*1.4*1.5*1.5*3.2,60500000000*(1.654288^(MIN($E3238,123)-117)))*1,0))</f>
        <v>11624288</v>
      </c>
    </row>
    <row r="3239" ht="28" customHeight="1" spans="1:34" x14ac:dyDescent="0.25">
      <c r="A3239">
        <v>3249</v>
      </c>
      <c r="B3239" t="s">
        <v>1741</v>
      </c>
      <c r="C3239" s="10" t="s">
        <v>1709</v>
      </c>
      <c r="D3239" t="s">
        <v>93</v>
      </c>
      <c r="E3239">
        <v>100</v>
      </c>
      <c r="F3239" t="s">
        <v>56</v>
      </c>
      <c r="G3239" t="s">
        <v>562</v>
      </c>
      <c r="H3239">
        <v>20</v>
      </c>
      <c r="I3239" s="11">
        <f>$E3239+0</f>
        <v>100</v>
      </c>
      <c r="J3239" s="12">
        <v>5460</v>
      </c>
      <c r="K3239" s="13">
        <f>$E3239+1</f>
        <v>101</v>
      </c>
      <c r="L3239" s="14">
        <f>IF($J3239=0,0,ROUND(MAX($J3239*1.4,1620000*(1.497923^(MIN($E3239,123)-117)))*1,0))</f>
        <v>7644</v>
      </c>
      <c r="M3239" s="11">
        <f>$E3239+2</f>
        <v>102</v>
      </c>
      <c r="N3239" s="12">
        <f>IF($J3239=0,0,ROUND(MAX($J3239*1.4*1.5,2190000*(1.580994^(MIN($E3239,123)-117)))*1,0))</f>
        <v>11466</v>
      </c>
      <c r="O3239" s="13">
        <f>$E3239+4</f>
        <v>104</v>
      </c>
      <c r="P3239" s="14">
        <f>IF($J3239=0,0,ROUND(MAX($J3239*1.4*1.5*1.6,3500000*(1.57975^(MIN($E3239,123)-117)))*1,0))</f>
        <v>18346</v>
      </c>
      <c r="Q3239" s="11">
        <f>$E3239+6</f>
        <v>106</v>
      </c>
      <c r="R3239" s="12">
        <f>IF($J3239=0,0,ROUND(MAX($J3239*1.4*1.5*1.6*1.6,13100000*(1.429962^(MIN($E3239,123)-117)))*1,0))</f>
        <v>29975</v>
      </c>
      <c r="S3239" s="13">
        <f>$E3239+8</f>
        <v>108</v>
      </c>
      <c r="T3239" s="14">
        <f>IF($J3239=0,0,ROUND(MAX($J3239*1.4*1.5*1.6*1.6*2.2,42600000*(1.576904^(MIN($E3239,123)-117)))*1,0))</f>
        <v>64577</v>
      </c>
      <c r="U3239" s="11">
        <f>$E3239+11</f>
        <v>111</v>
      </c>
      <c r="V3239" s="12">
        <f>IF($J3239=0,0,ROUND(MAX($J3239*1.4*1.5*1.6*1.6*2.2*2.715,354000000*(1.642074^(MIN($E3239,123)-117)))*1,0))</f>
        <v>175325</v>
      </c>
      <c r="W3239" s="13">
        <f>$E3239+15</f>
        <v>115</v>
      </c>
      <c r="X3239" s="14">
        <f>IF($J3239=0,0,ROUND(MAX($J3239*1.4*1.5*1.6*1.6*2.2*2.715*2.6,3540000000*(1.579646^(MIN($E3239,123)-117)))*1,0))</f>
        <v>1491033</v>
      </c>
      <c r="Y3239" s="11">
        <f>$E3239+17</f>
        <v>117</v>
      </c>
      <c r="Z3239" s="12">
        <f>IF($J3239=0,0,ROUND(MAX($J3239*1.4*1.5*1.6*1.6*2.2*2.715*2.6*1.4,6020000000*(1.651178^(MIN($E3239,123)-117)))*1,0))</f>
        <v>1194264</v>
      </c>
      <c r="AA3239" s="13">
        <f>$E3239+19</f>
        <v>119</v>
      </c>
      <c r="AB3239" s="14">
        <f>IF($J3239=0,0,ROUND(MAX($J3239*1.4*1.5*1.6*1.6*2.2*2.715*2.6*1.4*1.4,8430000000*(1.651435^(MIN($E3239,123)-117)))*1,0))</f>
        <v>1667947</v>
      </c>
      <c r="AC3239" s="11">
        <f>$E3239+21</f>
        <v>121</v>
      </c>
      <c r="AD3239" s="12">
        <f>IF($J3239=0,0,ROUND(MAX($J3239*1.4*1.5*1.6*1.6*2.2*2.715*2.6*1.4*1.4*1.5,12600000000*(1.652953^(MIN($E3239,123)-117)))*1,0))</f>
        <v>2454381</v>
      </c>
      <c r="AE3239" s="13">
        <f>$E3239+24</f>
        <v>124</v>
      </c>
      <c r="AF3239" s="14">
        <f>IF($J3239=0,0,ROUND(MAX($J3239*1.4*1.5*1.6*1.6*2.2*2.715*2.6*1.4*1.4*1.5*1.5,18900000000*(1.65331^(MIN($E3239,123)-117)))*1,0))</f>
        <v>3668080</v>
      </c>
      <c r="AG3239" s="11">
        <f>$E3239+27</f>
        <v>127</v>
      </c>
      <c r="AH3239" s="12">
        <f>IF($J3239=0,0,ROUND(MAX($J3239*1.4*1.5*1.6*1.6*2.2*2.715*2.6*1.4*1.4*1.5*1.5*3.2,60500000000*(1.654288^(MIN($E3239,123)-117)))*1,0))</f>
        <v>11624288</v>
      </c>
    </row>
    <row r="3240" ht="28" customHeight="1" spans="1:34" x14ac:dyDescent="0.25">
      <c r="A3240">
        <v>3250</v>
      </c>
      <c r="B3240" t="s">
        <v>1742</v>
      </c>
      <c r="C3240" s="10" t="s">
        <v>1709</v>
      </c>
      <c r="D3240" t="s">
        <v>25</v>
      </c>
      <c r="E3240">
        <v>100</v>
      </c>
      <c r="F3240" t="s">
        <v>30</v>
      </c>
      <c r="G3240" t="s">
        <v>562</v>
      </c>
      <c r="H3240">
        <v>20</v>
      </c>
      <c r="I3240" s="11">
        <f>$E3240+0</f>
        <v>100</v>
      </c>
      <c r="J3240" s="12">
        <v>3390</v>
      </c>
      <c r="K3240" s="13">
        <f>$E3240+1</f>
        <v>101</v>
      </c>
      <c r="L3240" s="14">
        <f>IF($J3240=0,0,ROUND(MAX($J3240*1.4,1620000*(1.497923^(MIN($E3240,123)-117)))*1,0))</f>
        <v>4746</v>
      </c>
      <c r="M3240" s="11">
        <f>$E3240+2</f>
        <v>102</v>
      </c>
      <c r="N3240" s="12">
        <f>IF($J3240=0,0,ROUND(MAX($J3240*1.4*1.5,2190000*(1.580994^(MIN($E3240,123)-117)))*1,0))</f>
        <v>7119</v>
      </c>
      <c r="O3240" s="13">
        <f>$E3240+4</f>
        <v>104</v>
      </c>
      <c r="P3240" s="14">
        <f>IF($J3240=0,0,ROUND(MAX($J3240*1.4*1.5*1.6,3500000*(1.57975^(MIN($E3240,123)-117)))*1,0))</f>
        <v>11390</v>
      </c>
      <c r="Q3240" s="11">
        <f>$E3240+6</f>
        <v>106</v>
      </c>
      <c r="R3240" s="12">
        <f>IF($J3240=0,0,ROUND(MAX($J3240*1.4*1.5*1.6*1.6,13100000*(1.429962^(MIN($E3240,123)-117)))*1,0))</f>
        <v>29975</v>
      </c>
      <c r="S3240" s="13">
        <f>$E3240+8</f>
        <v>108</v>
      </c>
      <c r="T3240" s="14">
        <f>IF($J3240=0,0,ROUND(MAX($J3240*1.4*1.5*1.6*1.6*2.2,42600000*(1.576904^(MIN($E3240,123)-117)))*1,0))</f>
        <v>40094</v>
      </c>
      <c r="U3240" s="11">
        <f>$E3240+11</f>
        <v>111</v>
      </c>
      <c r="V3240" s="12">
        <f>IF($J3240=0,0,ROUND(MAX($J3240*1.4*1.5*1.6*1.6*2.2*2.715,354000000*(1.642074^(MIN($E3240,123)-117)))*1,0))</f>
        <v>108856</v>
      </c>
      <c r="W3240" s="13">
        <f>$E3240+15</f>
        <v>115</v>
      </c>
      <c r="X3240" s="14">
        <f>IF($J3240=0,0,ROUND(MAX($J3240*1.4*1.5*1.6*1.6*2.2*2.715*2.6,3540000000*(1.579646^(MIN($E3240,123)-117)))*1,0))</f>
        <v>1491033</v>
      </c>
      <c r="Y3240" s="11">
        <f>$E3240+17</f>
        <v>117</v>
      </c>
      <c r="Z3240" s="12">
        <f>IF($J3240=0,0,ROUND(MAX($J3240*1.4*1.5*1.6*1.6*2.2*2.715*2.6*1.4,6020000000*(1.651178^(MIN($E3240,123)-117)))*1,0))</f>
        <v>1194264</v>
      </c>
      <c r="AA3240" s="13">
        <f>$E3240+19</f>
        <v>119</v>
      </c>
      <c r="AB3240" s="14">
        <f>IF($J3240=0,0,ROUND(MAX($J3240*1.4*1.5*1.6*1.6*2.2*2.715*2.6*1.4*1.4,8430000000*(1.651435^(MIN($E3240,123)-117)))*1,0))</f>
        <v>1667947</v>
      </c>
      <c r="AC3240" s="11">
        <f>$E3240+21</f>
        <v>121</v>
      </c>
      <c r="AD3240" s="12">
        <f>IF($J3240=0,0,ROUND(MAX($J3240*1.4*1.5*1.6*1.6*2.2*2.715*2.6*1.4*1.4*1.5,12600000000*(1.652953^(MIN($E3240,123)-117)))*1,0))</f>
        <v>2454381</v>
      </c>
      <c r="AE3240" s="13">
        <f>$E3240+24</f>
        <v>124</v>
      </c>
      <c r="AF3240" s="14">
        <f>IF($J3240=0,0,ROUND(MAX($J3240*1.4*1.5*1.6*1.6*2.2*2.715*2.6*1.4*1.4*1.5*1.5,18900000000*(1.65331^(MIN($E3240,123)-117)))*1,0))</f>
        <v>3668080</v>
      </c>
      <c r="AG3240" s="11">
        <f>$E3240+27</f>
        <v>127</v>
      </c>
      <c r="AH3240" s="12">
        <f>IF($J3240=0,0,ROUND(MAX($J3240*1.4*1.5*1.6*1.6*2.2*2.715*2.6*1.4*1.4*1.5*1.5*3.2,60500000000*(1.654288^(MIN($E3240,123)-117)))*1,0))</f>
        <v>11624288</v>
      </c>
    </row>
    <row r="3241" ht="28" customHeight="1" spans="1:34" x14ac:dyDescent="0.25">
      <c r="A3241">
        <v>3251</v>
      </c>
      <c r="B3241" t="s">
        <v>1743</v>
      </c>
      <c r="C3241" s="10" t="s">
        <v>1709</v>
      </c>
      <c r="D3241" t="s">
        <v>45</v>
      </c>
      <c r="E3241">
        <v>100</v>
      </c>
      <c r="F3241" t="s">
        <v>42</v>
      </c>
      <c r="G3241" t="s">
        <v>562</v>
      </c>
      <c r="H3241">
        <v>20</v>
      </c>
      <c r="I3241" s="11">
        <f>$E3241+0</f>
        <v>100</v>
      </c>
      <c r="J3241" s="12">
        <v>7220</v>
      </c>
      <c r="K3241" s="13">
        <f>$E3241+1</f>
        <v>101</v>
      </c>
      <c r="L3241" s="14">
        <f>IF($J3241=0,0,ROUND(MAX($J3241*1.4,1620000*(1.497923^(MIN($E3241,123)-117)))*1,0))</f>
        <v>10108</v>
      </c>
      <c r="M3241" s="11">
        <f>$E3241+2</f>
        <v>102</v>
      </c>
      <c r="N3241" s="12">
        <f>IF($J3241=0,0,ROUND(MAX($J3241*1.4*1.5,2190000*(1.580994^(MIN($E3241,123)-117)))*1,0))</f>
        <v>15162</v>
      </c>
      <c r="O3241" s="13">
        <f>$E3241+4</f>
        <v>104</v>
      </c>
      <c r="P3241" s="14">
        <f>IF($J3241=0,0,ROUND(MAX($J3241*1.4*1.5*1.6,3500000*(1.57975^(MIN($E3241,123)-117)))*1,0))</f>
        <v>24259</v>
      </c>
      <c r="Q3241" s="11">
        <f>$E3241+6</f>
        <v>106</v>
      </c>
      <c r="R3241" s="12">
        <f>IF($J3241=0,0,ROUND(MAX($J3241*1.4*1.5*1.6*1.6,13100000*(1.429962^(MIN($E3241,123)-117)))*1,0))</f>
        <v>38815</v>
      </c>
      <c r="S3241" s="13">
        <f>$E3241+8</f>
        <v>108</v>
      </c>
      <c r="T3241" s="14">
        <f>IF($J3241=0,0,ROUND(MAX($J3241*1.4*1.5*1.6*1.6*2.2,42600000*(1.576904^(MIN($E3241,123)-117)))*1,0))</f>
        <v>85392</v>
      </c>
      <c r="U3241" s="11">
        <f>$E3241+11</f>
        <v>111</v>
      </c>
      <c r="V3241" s="12">
        <f>IF($J3241=0,0,ROUND(MAX($J3241*1.4*1.5*1.6*1.6*2.2*2.715,354000000*(1.642074^(MIN($E3241,123)-117)))*1,0))</f>
        <v>231840</v>
      </c>
      <c r="W3241" s="13">
        <f>$E3241+15</f>
        <v>115</v>
      </c>
      <c r="X3241" s="14">
        <f>IF($J3241=0,0,ROUND(MAX($J3241*1.4*1.5*1.6*1.6*2.2*2.715*2.6,3540000000*(1.579646^(MIN($E3241,123)-117)))*1,0))</f>
        <v>1491033</v>
      </c>
      <c r="Y3241" s="11">
        <f>$E3241+17</f>
        <v>117</v>
      </c>
      <c r="Z3241" s="12">
        <f>IF($J3241=0,0,ROUND(MAX($J3241*1.4*1.5*1.6*1.6*2.2*2.715*2.6*1.4,6020000000*(1.651178^(MIN($E3241,123)-117)))*1,0))</f>
        <v>1194264</v>
      </c>
      <c r="AA3241" s="13">
        <f>$E3241+19</f>
        <v>119</v>
      </c>
      <c r="AB3241" s="14">
        <f>IF($J3241=0,0,ROUND(MAX($J3241*1.4*1.5*1.6*1.6*2.2*2.715*2.6*1.4*1.4,8430000000*(1.651435^(MIN($E3241,123)-117)))*1,0))</f>
        <v>1667947</v>
      </c>
      <c r="AC3241" s="11">
        <f>$E3241+21</f>
        <v>121</v>
      </c>
      <c r="AD3241" s="12">
        <f>IF($J3241=0,0,ROUND(MAX($J3241*1.4*1.5*1.6*1.6*2.2*2.715*2.6*1.4*1.4*1.5,12600000000*(1.652953^(MIN($E3241,123)-117)))*1,0))</f>
        <v>2454381</v>
      </c>
      <c r="AE3241" s="13">
        <f>$E3241+24</f>
        <v>124</v>
      </c>
      <c r="AF3241" s="14">
        <f>IF($J3241=0,0,ROUND(MAX($J3241*1.4*1.5*1.6*1.6*2.2*2.715*2.6*1.4*1.4*1.5*1.5,18900000000*(1.65331^(MIN($E3241,123)-117)))*1,0))</f>
        <v>3668080</v>
      </c>
      <c r="AG3241" s="11">
        <f>$E3241+27</f>
        <v>127</v>
      </c>
      <c r="AH3241" s="12">
        <f>IF($J3241=0,0,ROUND(MAX($J3241*1.4*1.5*1.6*1.6*2.2*2.715*2.6*1.4*1.4*1.5*1.5*3.2,60500000000*(1.654288^(MIN($E3241,123)-117)))*1,0))</f>
        <v>11624288</v>
      </c>
    </row>
    <row r="3242" ht="28" customHeight="1" spans="1:34" x14ac:dyDescent="0.25">
      <c r="A3242">
        <v>3252</v>
      </c>
      <c r="B3242" t="s">
        <v>944</v>
      </c>
      <c r="C3242" s="10" t="s">
        <v>1709</v>
      </c>
      <c r="D3242" t="s">
        <v>64</v>
      </c>
      <c r="E3242">
        <v>100</v>
      </c>
      <c r="F3242" t="s">
        <v>71</v>
      </c>
      <c r="G3242" t="s">
        <v>562</v>
      </c>
      <c r="H3242">
        <v>20</v>
      </c>
      <c r="I3242" s="11">
        <f>$E3242+0</f>
        <v>100</v>
      </c>
      <c r="J3242" s="12">
        <v>4180</v>
      </c>
      <c r="K3242" s="13">
        <f>$E3242+1</f>
        <v>101</v>
      </c>
      <c r="L3242" s="14">
        <f>IF($J3242=0,0,ROUND(MAX($J3242*1.4,1620000*(1.497923^(MIN($E3242,123)-117)))*1,0))</f>
        <v>5852</v>
      </c>
      <c r="M3242" s="11">
        <f>$E3242+2</f>
        <v>102</v>
      </c>
      <c r="N3242" s="12">
        <f>IF($J3242=0,0,ROUND(MAX($J3242*1.4*1.5,2190000*(1.580994^(MIN($E3242,123)-117)))*1,0))</f>
        <v>8778</v>
      </c>
      <c r="O3242" s="13">
        <f>$E3242+4</f>
        <v>104</v>
      </c>
      <c r="P3242" s="14">
        <f>IF($J3242=0,0,ROUND(MAX($J3242*1.4*1.5*1.6,3500000*(1.57975^(MIN($E3242,123)-117)))*1,0))</f>
        <v>14045</v>
      </c>
      <c r="Q3242" s="11">
        <f>$E3242+6</f>
        <v>106</v>
      </c>
      <c r="R3242" s="12">
        <f>IF($J3242=0,0,ROUND(MAX($J3242*1.4*1.5*1.6*1.6,13100000*(1.429962^(MIN($E3242,123)-117)))*1,0))</f>
        <v>29975</v>
      </c>
      <c r="S3242" s="13">
        <f>$E3242+8</f>
        <v>108</v>
      </c>
      <c r="T3242" s="14">
        <f>IF($J3242=0,0,ROUND(MAX($J3242*1.4*1.5*1.6*1.6*2.2,42600000*(1.576904^(MIN($E3242,123)-117)))*1,0))</f>
        <v>49438</v>
      </c>
      <c r="U3242" s="11">
        <f>$E3242+11</f>
        <v>111</v>
      </c>
      <c r="V3242" s="12">
        <f>IF($J3242=0,0,ROUND(MAX($J3242*1.4*1.5*1.6*1.6*2.2*2.715,354000000*(1.642074^(MIN($E3242,123)-117)))*1,0))</f>
        <v>134223</v>
      </c>
      <c r="W3242" s="13">
        <f>$E3242+15</f>
        <v>115</v>
      </c>
      <c r="X3242" s="14">
        <f>IF($J3242=0,0,ROUND(MAX($J3242*1.4*1.5*1.6*1.6*2.2*2.715*2.6,3540000000*(1.579646^(MIN($E3242,123)-117)))*1,0))</f>
        <v>1491033</v>
      </c>
      <c r="Y3242" s="11">
        <f>$E3242+17</f>
        <v>117</v>
      </c>
      <c r="Z3242" s="12">
        <f>IF($J3242=0,0,ROUND(MAX($J3242*1.4*1.5*1.6*1.6*2.2*2.715*2.6*1.4,6020000000*(1.651178^(MIN($E3242,123)-117)))*1,0))</f>
        <v>1194264</v>
      </c>
      <c r="AA3242" s="13">
        <f>$E3242+19</f>
        <v>119</v>
      </c>
      <c r="AB3242" s="14">
        <f>IF($J3242=0,0,ROUND(MAX($J3242*1.4*1.5*1.6*1.6*2.2*2.715*2.6*1.4*1.4,8430000000*(1.651435^(MIN($E3242,123)-117)))*1,0))</f>
        <v>1667947</v>
      </c>
      <c r="AC3242" s="11">
        <f>$E3242+21</f>
        <v>121</v>
      </c>
      <c r="AD3242" s="12">
        <f>IF($J3242=0,0,ROUND(MAX($J3242*1.4*1.5*1.6*1.6*2.2*2.715*2.6*1.4*1.4*1.5,12600000000*(1.652953^(MIN($E3242,123)-117)))*1,0))</f>
        <v>2454381</v>
      </c>
      <c r="AE3242" s="13">
        <f>$E3242+24</f>
        <v>124</v>
      </c>
      <c r="AF3242" s="14">
        <f>IF($J3242=0,0,ROUND(MAX($J3242*1.4*1.5*1.6*1.6*2.2*2.715*2.6*1.4*1.4*1.5*1.5,18900000000*(1.65331^(MIN($E3242,123)-117)))*1,0))</f>
        <v>3668080</v>
      </c>
      <c r="AG3242" s="11">
        <f>$E3242+27</f>
        <v>127</v>
      </c>
      <c r="AH3242" s="12">
        <f>IF($J3242=0,0,ROUND(MAX($J3242*1.4*1.5*1.6*1.6*2.2*2.715*2.6*1.4*1.4*1.5*1.5*3.2,60500000000*(1.654288^(MIN($E3242,123)-117)))*1,0))</f>
        <v>11624288</v>
      </c>
    </row>
    <row r="3243" ht="28" customHeight="1" spans="1:34" x14ac:dyDescent="0.25">
      <c r="A3243">
        <v>3253</v>
      </c>
      <c r="B3243" t="s">
        <v>119</v>
      </c>
      <c r="C3243" s="10" t="s">
        <v>1744</v>
      </c>
      <c r="D3243" t="s">
        <v>40</v>
      </c>
      <c r="E3243">
        <v>107</v>
      </c>
      <c r="F3243" t="s">
        <v>120</v>
      </c>
      <c r="G3243" t="s">
        <v>562</v>
      </c>
      <c r="H3243">
        <v>26</v>
      </c>
      <c r="I3243" s="11">
        <f>$E3243+0</f>
        <v>107</v>
      </c>
      <c r="J3243" s="12">
        <v>10000</v>
      </c>
      <c r="K3243" s="13">
        <f>$E3243+1</f>
        <v>108</v>
      </c>
      <c r="L3243" s="14">
        <f>IF($J3243=0,0,ROUND(MAX($J3243*1.4,1620000*(1.497923^(MIN($E3243,123)-117)))*1,0))</f>
        <v>28485</v>
      </c>
      <c r="M3243" s="11">
        <f>$E3243+2</f>
        <v>109</v>
      </c>
      <c r="N3243" s="12">
        <f>IF($J3243=0,0,ROUND(MAX($J3243*1.4*1.5,2190000*(1.580994^(MIN($E3243,123)-117)))*1,0))</f>
        <v>22446</v>
      </c>
      <c r="O3243" s="13">
        <f>$E3243+4</f>
        <v>111</v>
      </c>
      <c r="P3243" s="14">
        <f>IF($J3243=0,0,ROUND(MAX($J3243*1.4*1.5*1.6,3500000*(1.57975^(MIN($E3243,123)-117)))*1,0))</f>
        <v>36156</v>
      </c>
      <c r="Q3243" s="11">
        <f>$E3243+6</f>
        <v>113</v>
      </c>
      <c r="R3243" s="12">
        <f>IF($J3243=0,0,ROUND(MAX($J3243*1.4*1.5*1.6*1.6,13100000*(1.429962^(MIN($E3243,123)-117)))*1,0))</f>
        <v>366460</v>
      </c>
      <c r="S3243" s="13">
        <f>$E3243+8</f>
        <v>115</v>
      </c>
      <c r="T3243" s="14">
        <f>IF($J3243=0,0,ROUND(MAX($J3243*1.4*1.5*1.6*1.6*2.2,42600000*(1.576904^(MIN($E3243,123)-117)))*1,0))</f>
        <v>448082</v>
      </c>
      <c r="U3243" s="11">
        <f>$E3243+11</f>
        <v>118</v>
      </c>
      <c r="V3243" s="12">
        <f>IF($J3243=0,0,ROUND(MAX($J3243*1.4*1.5*1.6*1.6*2.2*2.715,354000000*(1.642074^(MIN($E3243,123)-117)))*1,0))</f>
        <v>2483568</v>
      </c>
      <c r="W3243" s="13">
        <f>$E3243+15</f>
        <v>122</v>
      </c>
      <c r="X3243" s="14">
        <f>IF($J3243=0,0,ROUND(MAX($J3243*1.4*1.5*1.6*1.6*2.2*2.715*2.6,3540000000*(1.579646^(MIN($E3243,123)-117)))*1,0))</f>
        <v>36593634</v>
      </c>
      <c r="Y3243" s="11">
        <f>$E3243+17</f>
        <v>124</v>
      </c>
      <c r="Z3243" s="12">
        <f>IF($J3243=0,0,ROUND(MAX($J3243*1.4*1.5*1.6*1.6*2.2*2.715*2.6*1.4,6020000000*(1.651178^(MIN($E3243,123)-117)))*1,0))</f>
        <v>39962952</v>
      </c>
      <c r="AA3243" s="13">
        <f>$E3243+19</f>
        <v>126</v>
      </c>
      <c r="AB3243" s="14">
        <f>IF($J3243=0,0,ROUND(MAX($J3243*1.4*1.5*1.6*1.6*2.2*2.715*2.6*1.4*1.4,8430000000*(1.651435^(MIN($E3243,123)-117)))*1,0))</f>
        <v>55874381</v>
      </c>
      <c r="AC3243" s="11">
        <f>$E3243+21</f>
        <v>128</v>
      </c>
      <c r="AD3243" s="12">
        <f>IF($J3243=0,0,ROUND(MAX($J3243*1.4*1.5*1.6*1.6*2.2*2.715*2.6*1.4*1.4*1.5,12600000000*(1.652953^(MIN($E3243,123)-117)))*1,0))</f>
        <v>82749522</v>
      </c>
      <c r="AE3243" s="13">
        <f>$E3243+24</f>
        <v>131</v>
      </c>
      <c r="AF3243" s="14">
        <f>IF($J3243=0,0,ROUND(MAX($J3243*1.4*1.5*1.6*1.6*2.2*2.715*2.6*1.4*1.4*1.5*1.5,18900000000*(1.65331^(MIN($E3243,123)-117)))*1,0))</f>
        <v>123856521</v>
      </c>
      <c r="AG3243" s="11">
        <f>$E3243+27</f>
        <v>134</v>
      </c>
      <c r="AH3243" s="12">
        <f>IF($J3243=0,0,ROUND(MAX($J3243*1.4*1.5*1.6*1.6*2.2*2.715*2.6*1.4*1.4*1.5*1.5*3.2,60500000000*(1.654288^(MIN($E3243,123)-117)))*1,0))</f>
        <v>394134254</v>
      </c>
    </row>
    <row r="3244" ht="28" customHeight="1" spans="1:34" x14ac:dyDescent="0.25">
      <c r="A3244">
        <v>3254</v>
      </c>
      <c r="B3244" t="s">
        <v>229</v>
      </c>
      <c r="C3244" s="10" t="s">
        <v>1744</v>
      </c>
      <c r="D3244" t="s">
        <v>64</v>
      </c>
      <c r="E3244">
        <v>107</v>
      </c>
      <c r="F3244" t="s">
        <v>54</v>
      </c>
      <c r="G3244" t="s">
        <v>38</v>
      </c>
      <c r="H3244">
        <v>25</v>
      </c>
      <c r="I3244" s="11">
        <f>$E3244+0</f>
        <v>107</v>
      </c>
      <c r="J3244" s="12">
        <v>1590000</v>
      </c>
      <c r="K3244" s="13">
        <f>$E3244+1</f>
        <v>108</v>
      </c>
      <c r="L3244" s="14">
        <f>IF($J3244=0,0,ROUND(MAX($J3244*1.4,1620000*(1.497923^(MIN($E3244,123)-117)))*1,0))</f>
        <v>2226000</v>
      </c>
      <c r="M3244" s="11">
        <f>$E3244+2</f>
        <v>109</v>
      </c>
      <c r="N3244" s="12">
        <f>IF($J3244=0,0,ROUND(MAX($J3244*1.4*1.5,2190000*(1.580994^(MIN($E3244,123)-117)))*1,0))</f>
        <v>3339000</v>
      </c>
      <c r="O3244" s="13">
        <f>$E3244+4</f>
        <v>111</v>
      </c>
      <c r="P3244" s="14">
        <f>IF($J3244=0,0,ROUND(MAX($J3244*1.4*1.5*1.6,3500000*(1.57975^(MIN($E3244,123)-117)))*1,0))</f>
        <v>5342400</v>
      </c>
      <c r="Q3244" s="11">
        <f>$E3244+6</f>
        <v>113</v>
      </c>
      <c r="R3244" s="12">
        <f>IF($J3244=0,0,ROUND(MAX($J3244*1.4*1.5*1.6*1.6,13100000*(1.429962^(MIN($E3244,123)-117)))*1,0))</f>
        <v>8547840</v>
      </c>
      <c r="S3244" s="13">
        <f>$E3244+8</f>
        <v>115</v>
      </c>
      <c r="T3244" s="14">
        <f>IF($J3244=0,0,ROUND(MAX($J3244*1.4*1.5*1.6*1.6*2.2,42600000*(1.576904^(MIN($E3244,123)-117)))*1,0))</f>
        <v>18805248</v>
      </c>
      <c r="U3244" s="11">
        <f>$E3244+11</f>
        <v>118</v>
      </c>
      <c r="V3244" s="12">
        <f>IF($J3244=0,0,ROUND(MAX($J3244*1.4*1.5*1.6*1.6*2.2*2.715,354000000*(1.642074^(MIN($E3244,123)-117)))*1,0))</f>
        <v>51056248</v>
      </c>
      <c r="W3244" s="13">
        <f>$E3244+15</f>
        <v>122</v>
      </c>
      <c r="X3244" s="14">
        <f>IF($J3244=0,0,ROUND(MAX($J3244*1.4*1.5*1.6*1.6*2.2*2.715*2.6,3540000000*(1.579646^(MIN($E3244,123)-117)))*1,0))</f>
        <v>132746246</v>
      </c>
      <c r="Y3244" s="11">
        <f>$E3244+17</f>
        <v>124</v>
      </c>
      <c r="Z3244" s="12">
        <f>IF($J3244=0,0,ROUND(MAX($J3244*1.4*1.5*1.6*1.6*2.2*2.715*2.6*1.4,6020000000*(1.651178^(MIN($E3244,123)-117)))*1,0))</f>
        <v>185844744</v>
      </c>
      <c r="AA3244" s="13">
        <f>$E3244+19</f>
        <v>126</v>
      </c>
      <c r="AB3244" s="14">
        <f>IF($J3244=0,0,ROUND(MAX($J3244*1.4*1.5*1.6*1.6*2.2*2.715*2.6*1.4*1.4,8430000000*(1.651435^(MIN($E3244,123)-117)))*1,0))</f>
        <v>260182641</v>
      </c>
      <c r="AC3244" s="11">
        <f>$E3244+21</f>
        <v>128</v>
      </c>
      <c r="AD3244" s="12">
        <f>IF($J3244=0,0,ROUND(MAX($J3244*1.4*1.5*1.6*1.6*2.2*2.715*2.6*1.4*1.4*1.5,12600000000*(1.652953^(MIN($E3244,123)-117)))*1,0))</f>
        <v>390273962</v>
      </c>
      <c r="AE3244" s="13">
        <f>$E3244+24</f>
        <v>131</v>
      </c>
      <c r="AF3244" s="14">
        <f>IF($J3244=0,0,ROUND(MAX($J3244*1.4*1.5*1.6*1.6*2.2*2.715*2.6*1.4*1.4*1.5*1.5,18900000000*(1.65331^(MIN($E3244,123)-117)))*1,0))</f>
        <v>585410943</v>
      </c>
      <c r="AG3244" s="11">
        <f>$E3244+27</f>
        <v>134</v>
      </c>
      <c r="AH3244" s="12">
        <f>IF($J3244=0,0,ROUND(MAX($J3244*1.4*1.5*1.6*1.6*2.2*2.715*2.6*1.4*1.4*1.5*1.5*3.2,60500000000*(1.654288^(MIN($E3244,123)-117)))*1,0))</f>
        <v>1873315018</v>
      </c>
    </row>
    <row r="3245" ht="28" customHeight="1" spans="1:34" x14ac:dyDescent="0.25">
      <c r="A3245">
        <v>3255</v>
      </c>
      <c r="B3245" t="s">
        <v>1123</v>
      </c>
      <c r="C3245" s="10" t="s">
        <v>1744</v>
      </c>
      <c r="D3245" t="s">
        <v>40</v>
      </c>
      <c r="E3245">
        <v>107</v>
      </c>
      <c r="F3245" t="s">
        <v>258</v>
      </c>
      <c r="G3245" t="s">
        <v>209</v>
      </c>
      <c r="H3245">
        <v>25</v>
      </c>
      <c r="I3245" s="11">
        <f>$E3245+0</f>
        <v>107</v>
      </c>
      <c r="J3245" s="12">
        <v>34000</v>
      </c>
      <c r="K3245" s="13">
        <f>$E3245+1</f>
        <v>108</v>
      </c>
      <c r="L3245" s="14">
        <f>IF($J3245=0,0,ROUND(MAX($J3245*1.4,1620000*(1.497923^(MIN($E3245,123)-117)))*1,0))</f>
        <v>47600</v>
      </c>
      <c r="M3245" s="11">
        <f>$E3245+2</f>
        <v>109</v>
      </c>
      <c r="N3245" s="12">
        <f>IF($J3245=0,0,ROUND(MAX($J3245*1.4*1.5,2190000*(1.580994^(MIN($E3245,123)-117)))*1,0))</f>
        <v>71400</v>
      </c>
      <c r="O3245" s="13">
        <f>$E3245+4</f>
        <v>111</v>
      </c>
      <c r="P3245" s="14">
        <f>IF($J3245=0,0,ROUND(MAX($J3245*1.4*1.5*1.6,3500000*(1.57975^(MIN($E3245,123)-117)))*1,0))</f>
        <v>114240</v>
      </c>
      <c r="Q3245" s="11">
        <f>$E3245+6</f>
        <v>113</v>
      </c>
      <c r="R3245" s="12">
        <f>IF($J3245=0,0,ROUND(MAX($J3245*1.4*1.5*1.6*1.6,13100000*(1.429962^(MIN($E3245,123)-117)))*1,0))</f>
        <v>366460</v>
      </c>
      <c r="S3245" s="13">
        <f>$E3245+8</f>
        <v>115</v>
      </c>
      <c r="T3245" s="14">
        <f>IF($J3245=0,0,ROUND(MAX($J3245*1.4*1.5*1.6*1.6*2.2,42600000*(1.576904^(MIN($E3245,123)-117)))*1,0))</f>
        <v>448082</v>
      </c>
      <c r="U3245" s="11">
        <f>$E3245+11</f>
        <v>118</v>
      </c>
      <c r="V3245" s="12">
        <f>IF($J3245=0,0,ROUND(MAX($J3245*1.4*1.5*1.6*1.6*2.2*2.715,354000000*(1.642074^(MIN($E3245,123)-117)))*1,0))</f>
        <v>2483568</v>
      </c>
      <c r="W3245" s="13">
        <f>$E3245+15</f>
        <v>122</v>
      </c>
      <c r="X3245" s="14">
        <f>IF($J3245=0,0,ROUND(MAX($J3245*1.4*1.5*1.6*1.6*2.2*2.715*2.6,3540000000*(1.579646^(MIN($E3245,123)-117)))*1,0))</f>
        <v>36593634</v>
      </c>
      <c r="Y3245" s="11">
        <f>$E3245+17</f>
        <v>124</v>
      </c>
      <c r="Z3245" s="12">
        <f>IF($J3245=0,0,ROUND(MAX($J3245*1.4*1.5*1.6*1.6*2.2*2.715*2.6*1.4,6020000000*(1.651178^(MIN($E3245,123)-117)))*1,0))</f>
        <v>39962952</v>
      </c>
      <c r="AA3245" s="13">
        <f>$E3245+19</f>
        <v>126</v>
      </c>
      <c r="AB3245" s="14">
        <f>IF($J3245=0,0,ROUND(MAX($J3245*1.4*1.5*1.6*1.6*2.2*2.715*2.6*1.4*1.4,8430000000*(1.651435^(MIN($E3245,123)-117)))*1,0))</f>
        <v>55874381</v>
      </c>
      <c r="AC3245" s="11">
        <f>$E3245+21</f>
        <v>128</v>
      </c>
      <c r="AD3245" s="12">
        <f>IF($J3245=0,0,ROUND(MAX($J3245*1.4*1.5*1.6*1.6*2.2*2.715*2.6*1.4*1.4*1.5,12600000000*(1.652953^(MIN($E3245,123)-117)))*1,0))</f>
        <v>82749522</v>
      </c>
      <c r="AE3245" s="13">
        <f>$E3245+24</f>
        <v>131</v>
      </c>
      <c r="AF3245" s="14">
        <f>IF($J3245=0,0,ROUND(MAX($J3245*1.4*1.5*1.6*1.6*2.2*2.715*2.6*1.4*1.4*1.5*1.5,18900000000*(1.65331^(MIN($E3245,123)-117)))*1,0))</f>
        <v>123856521</v>
      </c>
      <c r="AG3245" s="11">
        <f>$E3245+27</f>
        <v>134</v>
      </c>
      <c r="AH3245" s="12">
        <f>IF($J3245=0,0,ROUND(MAX($J3245*1.4*1.5*1.6*1.6*2.2*2.715*2.6*1.4*1.4*1.5*1.5*3.2,60500000000*(1.654288^(MIN($E3245,123)-117)))*1,0))</f>
        <v>394134254</v>
      </c>
    </row>
    <row r="3246" ht="28" customHeight="1" spans="1:34" x14ac:dyDescent="0.25">
      <c r="A3246">
        <v>3256</v>
      </c>
      <c r="B3246" t="s">
        <v>1440</v>
      </c>
      <c r="C3246" s="10" t="s">
        <v>1744</v>
      </c>
      <c r="D3246" t="s">
        <v>40</v>
      </c>
      <c r="E3246">
        <v>107</v>
      </c>
      <c r="F3246" t="s">
        <v>237</v>
      </c>
      <c r="G3246" t="s">
        <v>67</v>
      </c>
      <c r="H3246">
        <v>24</v>
      </c>
      <c r="I3246" s="11">
        <f>$E3246+0</f>
        <v>107</v>
      </c>
      <c r="J3246" s="12">
        <v>39200</v>
      </c>
      <c r="K3246" s="13">
        <f>$E3246+1</f>
        <v>108</v>
      </c>
      <c r="L3246" s="14">
        <f>IF($J3246=0,0,ROUND(MAX($J3246*1.4,1620000*(1.497923^(MIN($E3246,123)-117)))*1,0))</f>
        <v>54880</v>
      </c>
      <c r="M3246" s="11">
        <f>$E3246+2</f>
        <v>109</v>
      </c>
      <c r="N3246" s="12">
        <f>IF($J3246=0,0,ROUND(MAX($J3246*1.4*1.5,2190000*(1.580994^(MIN($E3246,123)-117)))*1,0))</f>
        <v>82320</v>
      </c>
      <c r="O3246" s="13">
        <f>$E3246+4</f>
        <v>111</v>
      </c>
      <c r="P3246" s="14">
        <f>IF($J3246=0,0,ROUND(MAX($J3246*1.4*1.5*1.6,3500000*(1.57975^(MIN($E3246,123)-117)))*1,0))</f>
        <v>131712</v>
      </c>
      <c r="Q3246" s="11">
        <f>$E3246+6</f>
        <v>113</v>
      </c>
      <c r="R3246" s="12">
        <f>IF($J3246=0,0,ROUND(MAX($J3246*1.4*1.5*1.6*1.6,13100000*(1.429962^(MIN($E3246,123)-117)))*1,0))</f>
        <v>366460</v>
      </c>
      <c r="S3246" s="13">
        <f>$E3246+8</f>
        <v>115</v>
      </c>
      <c r="T3246" s="14">
        <f>IF($J3246=0,0,ROUND(MAX($J3246*1.4*1.5*1.6*1.6*2.2,42600000*(1.576904^(MIN($E3246,123)-117)))*1,0))</f>
        <v>463626</v>
      </c>
      <c r="U3246" s="11">
        <f>$E3246+11</f>
        <v>118</v>
      </c>
      <c r="V3246" s="12">
        <f>IF($J3246=0,0,ROUND(MAX($J3246*1.4*1.5*1.6*1.6*2.2*2.715,354000000*(1.642074^(MIN($E3246,123)-117)))*1,0))</f>
        <v>2483568</v>
      </c>
      <c r="W3246" s="13">
        <f>$E3246+15</f>
        <v>122</v>
      </c>
      <c r="X3246" s="14">
        <f>IF($J3246=0,0,ROUND(MAX($J3246*1.4*1.5*1.6*1.6*2.2*2.715*2.6,3540000000*(1.579646^(MIN($E3246,123)-117)))*1,0))</f>
        <v>36593634</v>
      </c>
      <c r="Y3246" s="11">
        <f>$E3246+17</f>
        <v>124</v>
      </c>
      <c r="Z3246" s="12">
        <f>IF($J3246=0,0,ROUND(MAX($J3246*1.4*1.5*1.6*1.6*2.2*2.715*2.6*1.4,6020000000*(1.651178^(MIN($E3246,123)-117)))*1,0))</f>
        <v>39962952</v>
      </c>
      <c r="AA3246" s="13">
        <f>$E3246+19</f>
        <v>126</v>
      </c>
      <c r="AB3246" s="14">
        <f>IF($J3246=0,0,ROUND(MAX($J3246*1.4*1.5*1.6*1.6*2.2*2.715*2.6*1.4*1.4,8430000000*(1.651435^(MIN($E3246,123)-117)))*1,0))</f>
        <v>55874381</v>
      </c>
      <c r="AC3246" s="11">
        <f>$E3246+21</f>
        <v>128</v>
      </c>
      <c r="AD3246" s="12">
        <f>IF($J3246=0,0,ROUND(MAX($J3246*1.4*1.5*1.6*1.6*2.2*2.715*2.6*1.4*1.4*1.5,12600000000*(1.652953^(MIN($E3246,123)-117)))*1,0))</f>
        <v>82749522</v>
      </c>
      <c r="AE3246" s="13">
        <f>$E3246+24</f>
        <v>131</v>
      </c>
      <c r="AF3246" s="14">
        <f>IF($J3246=0,0,ROUND(MAX($J3246*1.4*1.5*1.6*1.6*2.2*2.715*2.6*1.4*1.4*1.5*1.5,18900000000*(1.65331^(MIN($E3246,123)-117)))*1,0))</f>
        <v>123856521</v>
      </c>
      <c r="AG3246" s="11">
        <f>$E3246+27</f>
        <v>134</v>
      </c>
      <c r="AH3246" s="12">
        <f>IF($J3246=0,0,ROUND(MAX($J3246*1.4*1.5*1.6*1.6*2.2*2.715*2.6*1.4*1.4*1.5*1.5*3.2,60500000000*(1.654288^(MIN($E3246,123)-117)))*1,0))</f>
        <v>394134254</v>
      </c>
    </row>
    <row r="3247" ht="28" customHeight="1" spans="1:34" x14ac:dyDescent="0.25">
      <c r="A3247">
        <v>3257</v>
      </c>
      <c r="B3247" t="s">
        <v>1745</v>
      </c>
      <c r="C3247" s="10" t="s">
        <v>1744</v>
      </c>
      <c r="D3247" t="s">
        <v>102</v>
      </c>
      <c r="E3247">
        <v>107</v>
      </c>
      <c r="F3247" t="s">
        <v>1746</v>
      </c>
      <c r="G3247" t="s">
        <v>425</v>
      </c>
      <c r="H3247">
        <v>24</v>
      </c>
      <c r="I3247" s="11">
        <f>$E3247+0</f>
        <v>107</v>
      </c>
      <c r="J3247" s="12">
        <v>52600</v>
      </c>
      <c r="K3247" s="13">
        <f>$E3247+1</f>
        <v>108</v>
      </c>
      <c r="L3247" s="14">
        <f>IF($J3247=0,0,ROUND(MAX($J3247*1.4,1620000*(1.497923^(MIN($E3247,123)-117)))*1,0))</f>
        <v>73640</v>
      </c>
      <c r="M3247" s="11">
        <f>$E3247+2</f>
        <v>109</v>
      </c>
      <c r="N3247" s="12">
        <f>IF($J3247=0,0,ROUND(MAX($J3247*1.4*1.5,2190000*(1.580994^(MIN($E3247,123)-117)))*1,0))</f>
        <v>110460</v>
      </c>
      <c r="O3247" s="13">
        <f>$E3247+4</f>
        <v>111</v>
      </c>
      <c r="P3247" s="14">
        <f>IF($J3247=0,0,ROUND(MAX($J3247*1.4*1.5*1.6,3500000*(1.57975^(MIN($E3247,123)-117)))*1,0))</f>
        <v>176736</v>
      </c>
      <c r="Q3247" s="11">
        <f>$E3247+6</f>
        <v>113</v>
      </c>
      <c r="R3247" s="12">
        <f>IF($J3247=0,0,ROUND(MAX($J3247*1.4*1.5*1.6*1.6,13100000*(1.429962^(MIN($E3247,123)-117)))*1,0))</f>
        <v>366460</v>
      </c>
      <c r="S3247" s="13">
        <f>$E3247+8</f>
        <v>115</v>
      </c>
      <c r="T3247" s="14">
        <f>IF($J3247=0,0,ROUND(MAX($J3247*1.4*1.5*1.6*1.6*2.2,42600000*(1.576904^(MIN($E3247,123)-117)))*1,0))</f>
        <v>622111</v>
      </c>
      <c r="U3247" s="11">
        <f>$E3247+11</f>
        <v>118</v>
      </c>
      <c r="V3247" s="12">
        <f>IF($J3247=0,0,ROUND(MAX($J3247*1.4*1.5*1.6*1.6*2.2*2.715,354000000*(1.642074^(MIN($E3247,123)-117)))*1,0))</f>
        <v>2483568</v>
      </c>
      <c r="W3247" s="13">
        <f>$E3247+15</f>
        <v>122</v>
      </c>
      <c r="X3247" s="14">
        <f>IF($J3247=0,0,ROUND(MAX($J3247*1.4*1.5*1.6*1.6*2.2*2.715*2.6,3540000000*(1.579646^(MIN($E3247,123)-117)))*1,0))</f>
        <v>36593634</v>
      </c>
      <c r="Y3247" s="11">
        <f>$E3247+17</f>
        <v>124</v>
      </c>
      <c r="Z3247" s="12">
        <f>IF($J3247=0,0,ROUND(MAX($J3247*1.4*1.5*1.6*1.6*2.2*2.715*2.6*1.4,6020000000*(1.651178^(MIN($E3247,123)-117)))*1,0))</f>
        <v>39962952</v>
      </c>
      <c r="AA3247" s="13">
        <f>$E3247+19</f>
        <v>126</v>
      </c>
      <c r="AB3247" s="14">
        <f>IF($J3247=0,0,ROUND(MAX($J3247*1.4*1.5*1.6*1.6*2.2*2.715*2.6*1.4*1.4,8430000000*(1.651435^(MIN($E3247,123)-117)))*1,0))</f>
        <v>55874381</v>
      </c>
      <c r="AC3247" s="11">
        <f>$E3247+21</f>
        <v>128</v>
      </c>
      <c r="AD3247" s="12">
        <f>IF($J3247=0,0,ROUND(MAX($J3247*1.4*1.5*1.6*1.6*2.2*2.715*2.6*1.4*1.4*1.5,12600000000*(1.652953^(MIN($E3247,123)-117)))*1,0))</f>
        <v>82749522</v>
      </c>
      <c r="AE3247" s="13">
        <f>$E3247+24</f>
        <v>131</v>
      </c>
      <c r="AF3247" s="14">
        <f>IF($J3247=0,0,ROUND(MAX($J3247*1.4*1.5*1.6*1.6*2.2*2.715*2.6*1.4*1.4*1.5*1.5,18900000000*(1.65331^(MIN($E3247,123)-117)))*1,0))</f>
        <v>123856521</v>
      </c>
      <c r="AG3247" s="11">
        <f>$E3247+27</f>
        <v>134</v>
      </c>
      <c r="AH3247" s="12">
        <f>IF($J3247=0,0,ROUND(MAX($J3247*1.4*1.5*1.6*1.6*2.2*2.715*2.6*1.4*1.4*1.5*1.5*3.2,60500000000*(1.654288^(MIN($E3247,123)-117)))*1,0))</f>
        <v>394134254</v>
      </c>
    </row>
    <row r="3248" ht="28" customHeight="1" spans="1:34" x14ac:dyDescent="0.25">
      <c r="A3248">
        <v>3258</v>
      </c>
      <c r="B3248" t="s">
        <v>759</v>
      </c>
      <c r="C3248" s="10" t="s">
        <v>1744</v>
      </c>
      <c r="D3248" t="s">
        <v>64</v>
      </c>
      <c r="E3248">
        <v>107</v>
      </c>
      <c r="F3248" t="s">
        <v>237</v>
      </c>
      <c r="G3248" t="s">
        <v>760</v>
      </c>
      <c r="H3248">
        <v>24</v>
      </c>
      <c r="I3248" s="11">
        <f>$E3248+0</f>
        <v>107</v>
      </c>
      <c r="J3248" s="12">
        <v>790000</v>
      </c>
      <c r="K3248" s="13">
        <f>$E3248+1</f>
        <v>108</v>
      </c>
      <c r="L3248" s="14">
        <f>IF($J3248=0,0,ROUND(MAX($J3248*1.4,1620000*(1.497923^(MIN($E3248,123)-117)))*1,0))</f>
        <v>1106000</v>
      </c>
      <c r="M3248" s="11">
        <f>$E3248+2</f>
        <v>109</v>
      </c>
      <c r="N3248" s="12">
        <f>IF($J3248=0,0,ROUND(MAX($J3248*1.4*1.5,2190000*(1.580994^(MIN($E3248,123)-117)))*1,0))</f>
        <v>1659000</v>
      </c>
      <c r="O3248" s="13">
        <f>$E3248+4</f>
        <v>111</v>
      </c>
      <c r="P3248" s="14">
        <f>IF($J3248=0,0,ROUND(MAX($J3248*1.4*1.5*1.6,3500000*(1.57975^(MIN($E3248,123)-117)))*1,0))</f>
        <v>2654400</v>
      </c>
      <c r="Q3248" s="11">
        <f>$E3248+6</f>
        <v>113</v>
      </c>
      <c r="R3248" s="12">
        <f>IF($J3248=0,0,ROUND(MAX($J3248*1.4*1.5*1.6*1.6,13100000*(1.429962^(MIN($E3248,123)-117)))*1,0))</f>
        <v>4247040</v>
      </c>
      <c r="S3248" s="13">
        <f>$E3248+8</f>
        <v>115</v>
      </c>
      <c r="T3248" s="14">
        <f>IF($J3248=0,0,ROUND(MAX($J3248*1.4*1.5*1.6*1.6*2.2,42600000*(1.576904^(MIN($E3248,123)-117)))*1,0))</f>
        <v>9343488</v>
      </c>
      <c r="U3248" s="11">
        <f>$E3248+11</f>
        <v>118</v>
      </c>
      <c r="V3248" s="12">
        <f>IF($J3248=0,0,ROUND(MAX($J3248*1.4*1.5*1.6*1.6*2.2*2.715,354000000*(1.642074^(MIN($E3248,123)-117)))*1,0))</f>
        <v>25367570</v>
      </c>
      <c r="W3248" s="13">
        <f>$E3248+15</f>
        <v>122</v>
      </c>
      <c r="X3248" s="14">
        <f>IF($J3248=0,0,ROUND(MAX($J3248*1.4*1.5*1.6*1.6*2.2*2.715*2.6,3540000000*(1.579646^(MIN($E3248,123)-117)))*1,0))</f>
        <v>65955682</v>
      </c>
      <c r="Y3248" s="11">
        <f>$E3248+17</f>
        <v>124</v>
      </c>
      <c r="Z3248" s="12">
        <f>IF($J3248=0,0,ROUND(MAX($J3248*1.4*1.5*1.6*1.6*2.2*2.715*2.6*1.4,6020000000*(1.651178^(MIN($E3248,123)-117)))*1,0))</f>
        <v>92337955</v>
      </c>
      <c r="AA3248" s="13">
        <f>$E3248+19</f>
        <v>126</v>
      </c>
      <c r="AB3248" s="14">
        <f>IF($J3248=0,0,ROUND(MAX($J3248*1.4*1.5*1.6*1.6*2.2*2.715*2.6*1.4*1.4,8430000000*(1.651435^(MIN($E3248,123)-117)))*1,0))</f>
        <v>129273136</v>
      </c>
      <c r="AC3248" s="11">
        <f>$E3248+21</f>
        <v>128</v>
      </c>
      <c r="AD3248" s="12">
        <f>IF($J3248=0,0,ROUND(MAX($J3248*1.4*1.5*1.6*1.6*2.2*2.715*2.6*1.4*1.4*1.5,12600000000*(1.652953^(MIN($E3248,123)-117)))*1,0))</f>
        <v>193909704</v>
      </c>
      <c r="AE3248" s="13">
        <f>$E3248+24</f>
        <v>131</v>
      </c>
      <c r="AF3248" s="14">
        <f>IF($J3248=0,0,ROUND(MAX($J3248*1.4*1.5*1.6*1.6*2.2*2.715*2.6*1.4*1.4*1.5*1.5,18900000000*(1.65331^(MIN($E3248,123)-117)))*1,0))</f>
        <v>290864557</v>
      </c>
      <c r="AG3248" s="11">
        <f>$E3248+27</f>
        <v>134</v>
      </c>
      <c r="AH3248" s="12">
        <f>IF($J3248=0,0,ROUND(MAX($J3248*1.4*1.5*1.6*1.6*2.2*2.715*2.6*1.4*1.4*1.5*1.5*3.2,60500000000*(1.654288^(MIN($E3248,123)-117)))*1,0))</f>
        <v>930766581</v>
      </c>
    </row>
    <row r="3249" ht="28" customHeight="1" spans="1:34" x14ac:dyDescent="0.25">
      <c r="A3249">
        <v>3259</v>
      </c>
      <c r="B3249" t="s">
        <v>1747</v>
      </c>
      <c r="C3249" s="10" t="s">
        <v>1744</v>
      </c>
      <c r="D3249" t="s">
        <v>331</v>
      </c>
      <c r="E3249">
        <v>107</v>
      </c>
      <c r="F3249" t="s">
        <v>303</v>
      </c>
      <c r="G3249" t="s">
        <v>218</v>
      </c>
      <c r="H3249">
        <v>23</v>
      </c>
      <c r="I3249" s="11">
        <f>$E3249+0</f>
        <v>107</v>
      </c>
      <c r="J3249" s="12">
        <v>15600000</v>
      </c>
      <c r="K3249" s="13">
        <f>$E3249+1</f>
        <v>108</v>
      </c>
      <c r="L3249" s="14">
        <f>IF($J3249=0,0,ROUND(MAX($J3249*1.4,1620000*(1.497923^(MIN($E3249,123)-117)))*1,0))</f>
        <v>21840000</v>
      </c>
      <c r="M3249" s="11">
        <f>$E3249+2</f>
        <v>109</v>
      </c>
      <c r="N3249" s="12">
        <f>IF($J3249=0,0,ROUND(MAX($J3249*1.4*1.5,2190000*(1.580994^(MIN($E3249,123)-117)))*1,0))</f>
        <v>32760000</v>
      </c>
      <c r="O3249" s="13">
        <f>$E3249+4</f>
        <v>111</v>
      </c>
      <c r="P3249" s="14">
        <f>IF($J3249=0,0,ROUND(MAX($J3249*1.4*1.5*1.6,3500000*(1.57975^(MIN($E3249,123)-117)))*1,0))</f>
        <v>52416000</v>
      </c>
      <c r="Q3249" s="11">
        <f>$E3249+6</f>
        <v>113</v>
      </c>
      <c r="R3249" s="12">
        <f>IF($J3249=0,0,ROUND(MAX($J3249*1.4*1.5*1.6*1.6,13100000*(1.429962^(MIN($E3249,123)-117)))*1,0))</f>
        <v>83865600</v>
      </c>
      <c r="S3249" s="13">
        <f>$E3249+8</f>
        <v>115</v>
      </c>
      <c r="T3249" s="14">
        <f>IF($J3249=0,0,ROUND(MAX($J3249*1.4*1.5*1.6*1.6*2.2,42600000*(1.576904^(MIN($E3249,123)-117)))*1,0))</f>
        <v>184504320</v>
      </c>
      <c r="U3249" s="11">
        <f>$E3249+11</f>
        <v>118</v>
      </c>
      <c r="V3249" s="12">
        <f>IF($J3249=0,0,ROUND(MAX($J3249*1.4*1.5*1.6*1.6*2.2*2.715,354000000*(1.642074^(MIN($E3249,123)-117)))*1,0))</f>
        <v>500929229</v>
      </c>
      <c r="W3249" s="13">
        <f>$E3249+15</f>
        <v>122</v>
      </c>
      <c r="X3249" s="14">
        <f>IF($J3249=0,0,ROUND(MAX($J3249*1.4*1.5*1.6*1.6*2.2*2.715*2.6,3540000000*(1.579646^(MIN($E3249,123)-117)))*1,0))</f>
        <v>1302415995</v>
      </c>
      <c r="Y3249" s="11">
        <f>$E3249+17</f>
        <v>124</v>
      </c>
      <c r="Z3249" s="12">
        <f>IF($J3249=0,0,ROUND(MAX($J3249*1.4*1.5*1.6*1.6*2.2*2.715*2.6*1.4,6020000000*(1.651178^(MIN($E3249,123)-117)))*1,0))</f>
        <v>1823382393</v>
      </c>
      <c r="AA3249" s="13">
        <f>$E3249+19</f>
        <v>126</v>
      </c>
      <c r="AB3249" s="14">
        <f>IF($J3249=0,0,ROUND(MAX($J3249*1.4*1.5*1.6*1.6*2.2*2.715*2.6*1.4*1.4,8430000000*(1.651435^(MIN($E3249,123)-117)))*1,0))</f>
        <v>2552735350</v>
      </c>
      <c r="AC3249" s="11">
        <f>$E3249+21</f>
        <v>128</v>
      </c>
      <c r="AD3249" s="12">
        <f>IF($J3249=0,0,ROUND(MAX($J3249*1.4*1.5*1.6*1.6*2.2*2.715*2.6*1.4*1.4*1.5,12600000000*(1.652953^(MIN($E3249,123)-117)))*1,0))</f>
        <v>3829103025</v>
      </c>
      <c r="AE3249" s="13">
        <f>$E3249+24</f>
        <v>131</v>
      </c>
      <c r="AF3249" s="14">
        <f>IF($J3249=0,0,ROUND(MAX($J3249*1.4*1.5*1.6*1.6*2.2*2.715*2.6*1.4*1.4*1.5*1.5,18900000000*(1.65331^(MIN($E3249,123)-117)))*1,0))</f>
        <v>5743654537</v>
      </c>
      <c r="AG3249" s="11">
        <f>$E3249+27</f>
        <v>134</v>
      </c>
      <c r="AH3249" s="12">
        <f>IF($J3249=0,0,ROUND(MAX($J3249*1.4*1.5*1.6*1.6*2.2*2.715*2.6*1.4*1.4*1.5*1.5*3.2,60500000000*(1.654288^(MIN($E3249,123)-117)))*1,0))</f>
        <v>18379694520</v>
      </c>
    </row>
    <row r="3250" ht="28" customHeight="1" spans="1:34" x14ac:dyDescent="0.25">
      <c r="A3250">
        <v>3260</v>
      </c>
      <c r="B3250" t="s">
        <v>1659</v>
      </c>
      <c r="C3250" s="10" t="s">
        <v>1744</v>
      </c>
      <c r="D3250" t="s">
        <v>25</v>
      </c>
      <c r="E3250">
        <v>106</v>
      </c>
      <c r="F3250" t="s">
        <v>56</v>
      </c>
      <c r="G3250" t="s">
        <v>1660</v>
      </c>
      <c r="H3250">
        <v>24</v>
      </c>
      <c r="I3250" s="11">
        <f>$E3250+0</f>
        <v>106</v>
      </c>
      <c r="J3250" s="12">
        <v>192000</v>
      </c>
      <c r="K3250" s="13">
        <f>$E3250+1</f>
        <v>107</v>
      </c>
      <c r="L3250" s="14">
        <f>IF($J3250=0,0,ROUND(MAX($J3250*1.4,1620000*(1.497923^(MIN($E3250,123)-117)))*1,0))</f>
        <v>268800</v>
      </c>
      <c r="M3250" s="11">
        <f>$E3250+2</f>
        <v>108</v>
      </c>
      <c r="N3250" s="12">
        <f>IF($J3250=0,0,ROUND(MAX($J3250*1.4*1.5,2190000*(1.580994^(MIN($E3250,123)-117)))*1,0))</f>
        <v>403200</v>
      </c>
      <c r="O3250" s="13">
        <f>$E3250+4</f>
        <v>110</v>
      </c>
      <c r="P3250" s="14">
        <f>IF($J3250=0,0,ROUND(MAX($J3250*1.4*1.5*1.6,3500000*(1.57975^(MIN($E3250,123)-117)))*1,0))</f>
        <v>645120</v>
      </c>
      <c r="Q3250" s="11">
        <f>$E3250+6</f>
        <v>112</v>
      </c>
      <c r="R3250" s="12">
        <f>IF($J3250=0,0,ROUND(MAX($J3250*1.4*1.5*1.6*1.6,13100000*(1.429962^(MIN($E3250,123)-117)))*1,0))</f>
        <v>1032192</v>
      </c>
      <c r="S3250" s="13">
        <f>$E3250+8</f>
        <v>114</v>
      </c>
      <c r="T3250" s="14">
        <f>IF($J3250=0,0,ROUND(MAX($J3250*1.4*1.5*1.6*1.6*2.2,42600000*(1.576904^(MIN($E3250,123)-117)))*1,0))</f>
        <v>2270822</v>
      </c>
      <c r="U3250" s="11">
        <f>$E3250+11</f>
        <v>117</v>
      </c>
      <c r="V3250" s="12">
        <f>IF($J3250=0,0,ROUND(MAX($J3250*1.4*1.5*1.6*1.6*2.2*2.715,354000000*(1.642074^(MIN($E3250,123)-117)))*1,0))</f>
        <v>6165283</v>
      </c>
      <c r="W3250" s="13">
        <f>$E3250+15</f>
        <v>121</v>
      </c>
      <c r="X3250" s="14">
        <f>IF($J3250=0,0,ROUND(MAX($J3250*1.4*1.5*1.6*1.6*2.2*2.715*2.6,3540000000*(1.579646^(MIN($E3250,123)-117)))*1,0))</f>
        <v>23165718</v>
      </c>
      <c r="Y3250" s="11">
        <f>$E3250+17</f>
        <v>123</v>
      </c>
      <c r="Z3250" s="12">
        <f>IF($J3250=0,0,ROUND(MAX($J3250*1.4*1.5*1.6*1.6*2.2*2.715*2.6*1.4,6020000000*(1.651178^(MIN($E3250,123)-117)))*1,0))</f>
        <v>24202691</v>
      </c>
      <c r="AA3250" s="13">
        <f>$E3250+19</f>
        <v>125</v>
      </c>
      <c r="AB3250" s="14">
        <f>IF($J3250=0,0,ROUND(MAX($J3250*1.4*1.5*1.6*1.6*2.2*2.715*2.6*1.4*1.4,8430000000*(1.651435^(MIN($E3250,123)-117)))*1,0))</f>
        <v>33833836</v>
      </c>
      <c r="AC3250" s="11">
        <f>$E3250+21</f>
        <v>127</v>
      </c>
      <c r="AD3250" s="12">
        <f>IF($J3250=0,0,ROUND(MAX($J3250*1.4*1.5*1.6*1.6*2.2*2.715*2.6*1.4*1.4*1.5,12600000000*(1.652953^(MIN($E3250,123)-117)))*1,0))</f>
        <v>50061630</v>
      </c>
      <c r="AE3250" s="13">
        <f>$E3250+24</f>
        <v>130</v>
      </c>
      <c r="AF3250" s="14">
        <f>IF($J3250=0,0,ROUND(MAX($J3250*1.4*1.5*1.6*1.6*2.2*2.715*2.6*1.4*1.4*1.5*1.5,18900000000*(1.65331^(MIN($E3250,123)-117)))*1,0))</f>
        <v>74914276</v>
      </c>
      <c r="AG3250" s="11">
        <f>$E3250+27</f>
        <v>133</v>
      </c>
      <c r="AH3250" s="12">
        <f>IF($J3250=0,0,ROUND(MAX($J3250*1.4*1.5*1.6*1.6*2.2*2.715*2.6*1.4*1.4*1.5*1.5*3.2,60500000000*(1.654288^(MIN($E3250,123)-117)))*1,0))</f>
        <v>238250083</v>
      </c>
    </row>
    <row r="3251" ht="28" customHeight="1" spans="1:34" x14ac:dyDescent="0.25">
      <c r="A3251">
        <v>3261</v>
      </c>
      <c r="B3251" t="s">
        <v>1186</v>
      </c>
      <c r="C3251" s="10" t="s">
        <v>1744</v>
      </c>
      <c r="D3251" t="s">
        <v>25</v>
      </c>
      <c r="E3251">
        <v>106</v>
      </c>
      <c r="F3251" t="s">
        <v>120</v>
      </c>
      <c r="G3251" t="s">
        <v>171</v>
      </c>
      <c r="H3251">
        <v>23</v>
      </c>
      <c r="I3251" s="11">
        <f>$E3251+0</f>
        <v>106</v>
      </c>
      <c r="J3251" s="12">
        <v>29500</v>
      </c>
      <c r="K3251" s="13">
        <f>$E3251+1</f>
        <v>107</v>
      </c>
      <c r="L3251" s="14">
        <f>IF($J3251=0,0,ROUND(MAX($J3251*1.4,1620000*(1.497923^(MIN($E3251,123)-117)))*1,0))</f>
        <v>41300</v>
      </c>
      <c r="M3251" s="11">
        <f>$E3251+2</f>
        <v>108</v>
      </c>
      <c r="N3251" s="12">
        <f>IF($J3251=0,0,ROUND(MAX($J3251*1.4*1.5,2190000*(1.580994^(MIN($E3251,123)-117)))*1,0))</f>
        <v>61950</v>
      </c>
      <c r="O3251" s="13">
        <f>$E3251+4</f>
        <v>110</v>
      </c>
      <c r="P3251" s="14">
        <f>IF($J3251=0,0,ROUND(MAX($J3251*1.4*1.5*1.6,3500000*(1.57975^(MIN($E3251,123)-117)))*1,0))</f>
        <v>99120</v>
      </c>
      <c r="Q3251" s="11">
        <f>$E3251+6</f>
        <v>112</v>
      </c>
      <c r="R3251" s="12">
        <f>IF($J3251=0,0,ROUND(MAX($J3251*1.4*1.5*1.6*1.6,13100000*(1.429962^(MIN($E3251,123)-117)))*1,0))</f>
        <v>256272</v>
      </c>
      <c r="S3251" s="13">
        <f>$E3251+8</f>
        <v>114</v>
      </c>
      <c r="T3251" s="14">
        <f>IF($J3251=0,0,ROUND(MAX($J3251*1.4*1.5*1.6*1.6*2.2,42600000*(1.576904^(MIN($E3251,123)-117)))*1,0))</f>
        <v>348902</v>
      </c>
      <c r="U3251" s="11">
        <f>$E3251+11</f>
        <v>117</v>
      </c>
      <c r="V3251" s="12">
        <f>IF($J3251=0,0,ROUND(MAX($J3251*1.4*1.5*1.6*1.6*2.2*2.715,354000000*(1.642074^(MIN($E3251,123)-117)))*1,0))</f>
        <v>1512458</v>
      </c>
      <c r="W3251" s="13">
        <f>$E3251+15</f>
        <v>121</v>
      </c>
      <c r="X3251" s="14">
        <f>IF($J3251=0,0,ROUND(MAX($J3251*1.4*1.5*1.6*1.6*2.2*2.715*2.6,3540000000*(1.579646^(MIN($E3251,123)-117)))*1,0))</f>
        <v>23165718</v>
      </c>
      <c r="Y3251" s="11">
        <f>$E3251+17</f>
        <v>123</v>
      </c>
      <c r="Z3251" s="12">
        <f>IF($J3251=0,0,ROUND(MAX($J3251*1.4*1.5*1.6*1.6*2.2*2.715*2.6*1.4,6020000000*(1.651178^(MIN($E3251,123)-117)))*1,0))</f>
        <v>24202691</v>
      </c>
      <c r="AA3251" s="13">
        <f>$E3251+19</f>
        <v>125</v>
      </c>
      <c r="AB3251" s="14">
        <f>IF($J3251=0,0,ROUND(MAX($J3251*1.4*1.5*1.6*1.6*2.2*2.715*2.6*1.4*1.4,8430000000*(1.651435^(MIN($E3251,123)-117)))*1,0))</f>
        <v>33833836</v>
      </c>
      <c r="AC3251" s="11">
        <f>$E3251+21</f>
        <v>127</v>
      </c>
      <c r="AD3251" s="12">
        <f>IF($J3251=0,0,ROUND(MAX($J3251*1.4*1.5*1.6*1.6*2.2*2.715*2.6*1.4*1.4*1.5,12600000000*(1.652953^(MIN($E3251,123)-117)))*1,0))</f>
        <v>50061630</v>
      </c>
      <c r="AE3251" s="13">
        <f>$E3251+24</f>
        <v>130</v>
      </c>
      <c r="AF3251" s="14">
        <f>IF($J3251=0,0,ROUND(MAX($J3251*1.4*1.5*1.6*1.6*2.2*2.715*2.6*1.4*1.4*1.5*1.5,18900000000*(1.65331^(MIN($E3251,123)-117)))*1,0))</f>
        <v>74914276</v>
      </c>
      <c r="AG3251" s="11">
        <f>$E3251+27</f>
        <v>133</v>
      </c>
      <c r="AH3251" s="12">
        <f>IF($J3251=0,0,ROUND(MAX($J3251*1.4*1.5*1.6*1.6*2.2*2.715*2.6*1.4*1.4*1.5*1.5*3.2,60500000000*(1.654288^(MIN($E3251,123)-117)))*1,0))</f>
        <v>238250083</v>
      </c>
    </row>
    <row r="3252" ht="28" customHeight="1" spans="1:34" x14ac:dyDescent="0.25">
      <c r="A3252">
        <v>3262</v>
      </c>
      <c r="B3252" t="s">
        <v>928</v>
      </c>
      <c r="C3252" s="10" t="s">
        <v>1744</v>
      </c>
      <c r="D3252" t="s">
        <v>64</v>
      </c>
      <c r="E3252">
        <v>106</v>
      </c>
      <c r="F3252" t="s">
        <v>62</v>
      </c>
      <c r="G3252" t="s">
        <v>699</v>
      </c>
      <c r="H3252">
        <v>23</v>
      </c>
      <c r="I3252" s="11">
        <f>$E3252+0</f>
        <v>106</v>
      </c>
      <c r="J3252" s="12">
        <v>33800</v>
      </c>
      <c r="K3252" s="13">
        <f>$E3252+1</f>
        <v>107</v>
      </c>
      <c r="L3252" s="14">
        <f>IF($J3252=0,0,ROUND(MAX($J3252*1.4,1620000*(1.497923^(MIN($E3252,123)-117)))*1,0))</f>
        <v>47320</v>
      </c>
      <c r="M3252" s="11">
        <f>$E3252+2</f>
        <v>108</v>
      </c>
      <c r="N3252" s="12">
        <f>IF($J3252=0,0,ROUND(MAX($J3252*1.4*1.5,2190000*(1.580994^(MIN($E3252,123)-117)))*1,0))</f>
        <v>70980</v>
      </c>
      <c r="O3252" s="13">
        <f>$E3252+4</f>
        <v>110</v>
      </c>
      <c r="P3252" s="14">
        <f>IF($J3252=0,0,ROUND(MAX($J3252*1.4*1.5*1.6,3500000*(1.57975^(MIN($E3252,123)-117)))*1,0))</f>
        <v>113568</v>
      </c>
      <c r="Q3252" s="11">
        <f>$E3252+6</f>
        <v>112</v>
      </c>
      <c r="R3252" s="12">
        <f>IF($J3252=0,0,ROUND(MAX($J3252*1.4*1.5*1.6*1.6,13100000*(1.429962^(MIN($E3252,123)-117)))*1,0))</f>
        <v>256272</v>
      </c>
      <c r="S3252" s="13">
        <f>$E3252+8</f>
        <v>114</v>
      </c>
      <c r="T3252" s="14">
        <f>IF($J3252=0,0,ROUND(MAX($J3252*1.4*1.5*1.6*1.6*2.2,42600000*(1.576904^(MIN($E3252,123)-117)))*1,0))</f>
        <v>399759</v>
      </c>
      <c r="U3252" s="11">
        <f>$E3252+11</f>
        <v>117</v>
      </c>
      <c r="V3252" s="12">
        <f>IF($J3252=0,0,ROUND(MAX($J3252*1.4*1.5*1.6*1.6*2.2*2.715,354000000*(1.642074^(MIN($E3252,123)-117)))*1,0))</f>
        <v>1512458</v>
      </c>
      <c r="W3252" s="13">
        <f>$E3252+15</f>
        <v>121</v>
      </c>
      <c r="X3252" s="14">
        <f>IF($J3252=0,0,ROUND(MAX($J3252*1.4*1.5*1.6*1.6*2.2*2.715*2.6,3540000000*(1.579646^(MIN($E3252,123)-117)))*1,0))</f>
        <v>23165718</v>
      </c>
      <c r="Y3252" s="11">
        <f>$E3252+17</f>
        <v>123</v>
      </c>
      <c r="Z3252" s="12">
        <f>IF($J3252=0,0,ROUND(MAX($J3252*1.4*1.5*1.6*1.6*2.2*2.715*2.6*1.4,6020000000*(1.651178^(MIN($E3252,123)-117)))*1,0))</f>
        <v>24202691</v>
      </c>
      <c r="AA3252" s="13">
        <f>$E3252+19</f>
        <v>125</v>
      </c>
      <c r="AB3252" s="14">
        <f>IF($J3252=0,0,ROUND(MAX($J3252*1.4*1.5*1.6*1.6*2.2*2.715*2.6*1.4*1.4,8430000000*(1.651435^(MIN($E3252,123)-117)))*1,0))</f>
        <v>33833836</v>
      </c>
      <c r="AC3252" s="11">
        <f>$E3252+21</f>
        <v>127</v>
      </c>
      <c r="AD3252" s="12">
        <f>IF($J3252=0,0,ROUND(MAX($J3252*1.4*1.5*1.6*1.6*2.2*2.715*2.6*1.4*1.4*1.5,12600000000*(1.652953^(MIN($E3252,123)-117)))*1,0))</f>
        <v>50061630</v>
      </c>
      <c r="AE3252" s="13">
        <f>$E3252+24</f>
        <v>130</v>
      </c>
      <c r="AF3252" s="14">
        <f>IF($J3252=0,0,ROUND(MAX($J3252*1.4*1.5*1.6*1.6*2.2*2.715*2.6*1.4*1.4*1.5*1.5,18900000000*(1.65331^(MIN($E3252,123)-117)))*1,0))</f>
        <v>74914276</v>
      </c>
      <c r="AG3252" s="11">
        <f>$E3252+27</f>
        <v>133</v>
      </c>
      <c r="AH3252" s="12">
        <f>IF($J3252=0,0,ROUND(MAX($J3252*1.4*1.5*1.6*1.6*2.2*2.715*2.6*1.4*1.4*1.5*1.5*3.2,60500000000*(1.654288^(MIN($E3252,123)-117)))*1,0))</f>
        <v>238250083</v>
      </c>
    </row>
    <row r="3253" ht="28" customHeight="1" spans="1:34" x14ac:dyDescent="0.25">
      <c r="A3253">
        <v>3263</v>
      </c>
      <c r="B3253" t="s">
        <v>294</v>
      </c>
      <c r="C3253" s="10" t="s">
        <v>1744</v>
      </c>
      <c r="D3253" t="s">
        <v>64</v>
      </c>
      <c r="E3253">
        <v>106</v>
      </c>
      <c r="F3253" t="s">
        <v>54</v>
      </c>
      <c r="G3253" t="s">
        <v>295</v>
      </c>
      <c r="H3253">
        <v>23</v>
      </c>
      <c r="I3253" s="11">
        <f>$E3253+0</f>
        <v>106</v>
      </c>
      <c r="J3253" s="12">
        <v>37800</v>
      </c>
      <c r="K3253" s="13">
        <f>$E3253+1</f>
        <v>107</v>
      </c>
      <c r="L3253" s="14">
        <f>IF($J3253=0,0,ROUND(MAX($J3253*1.4,1620000*(1.497923^(MIN($E3253,123)-117)))*1,0))</f>
        <v>52920</v>
      </c>
      <c r="M3253" s="11">
        <f>$E3253+2</f>
        <v>108</v>
      </c>
      <c r="N3253" s="12">
        <f>IF($J3253=0,0,ROUND(MAX($J3253*1.4*1.5,2190000*(1.580994^(MIN($E3253,123)-117)))*1,0))</f>
        <v>79380</v>
      </c>
      <c r="O3253" s="13">
        <f>$E3253+4</f>
        <v>110</v>
      </c>
      <c r="P3253" s="14">
        <f>IF($J3253=0,0,ROUND(MAX($J3253*1.4*1.5*1.6,3500000*(1.57975^(MIN($E3253,123)-117)))*1,0))</f>
        <v>127008</v>
      </c>
      <c r="Q3253" s="11">
        <f>$E3253+6</f>
        <v>112</v>
      </c>
      <c r="R3253" s="12">
        <f>IF($J3253=0,0,ROUND(MAX($J3253*1.4*1.5*1.6*1.6,13100000*(1.429962^(MIN($E3253,123)-117)))*1,0))</f>
        <v>256272</v>
      </c>
      <c r="S3253" s="13">
        <f>$E3253+8</f>
        <v>114</v>
      </c>
      <c r="T3253" s="14">
        <f>IF($J3253=0,0,ROUND(MAX($J3253*1.4*1.5*1.6*1.6*2.2,42600000*(1.576904^(MIN($E3253,123)-117)))*1,0))</f>
        <v>447068</v>
      </c>
      <c r="U3253" s="11">
        <f>$E3253+11</f>
        <v>117</v>
      </c>
      <c r="V3253" s="12">
        <f>IF($J3253=0,0,ROUND(MAX($J3253*1.4*1.5*1.6*1.6*2.2*2.715,354000000*(1.642074^(MIN($E3253,123)-117)))*1,0))</f>
        <v>1512458</v>
      </c>
      <c r="W3253" s="13">
        <f>$E3253+15</f>
        <v>121</v>
      </c>
      <c r="X3253" s="14">
        <f>IF($J3253=0,0,ROUND(MAX($J3253*1.4*1.5*1.6*1.6*2.2*2.715*2.6,3540000000*(1.579646^(MIN($E3253,123)-117)))*1,0))</f>
        <v>23165718</v>
      </c>
      <c r="Y3253" s="11">
        <f>$E3253+17</f>
        <v>123</v>
      </c>
      <c r="Z3253" s="12">
        <f>IF($J3253=0,0,ROUND(MAX($J3253*1.4*1.5*1.6*1.6*2.2*2.715*2.6*1.4,6020000000*(1.651178^(MIN($E3253,123)-117)))*1,0))</f>
        <v>24202691</v>
      </c>
      <c r="AA3253" s="13">
        <f>$E3253+19</f>
        <v>125</v>
      </c>
      <c r="AB3253" s="14">
        <f>IF($J3253=0,0,ROUND(MAX($J3253*1.4*1.5*1.6*1.6*2.2*2.715*2.6*1.4*1.4,8430000000*(1.651435^(MIN($E3253,123)-117)))*1,0))</f>
        <v>33833836</v>
      </c>
      <c r="AC3253" s="11">
        <f>$E3253+21</f>
        <v>127</v>
      </c>
      <c r="AD3253" s="12">
        <f>IF($J3253=0,0,ROUND(MAX($J3253*1.4*1.5*1.6*1.6*2.2*2.715*2.6*1.4*1.4*1.5,12600000000*(1.652953^(MIN($E3253,123)-117)))*1,0))</f>
        <v>50061630</v>
      </c>
      <c r="AE3253" s="13">
        <f>$E3253+24</f>
        <v>130</v>
      </c>
      <c r="AF3253" s="14">
        <f>IF($J3253=0,0,ROUND(MAX($J3253*1.4*1.5*1.6*1.6*2.2*2.715*2.6*1.4*1.4*1.5*1.5,18900000000*(1.65331^(MIN($E3253,123)-117)))*1,0))</f>
        <v>74914276</v>
      </c>
      <c r="AG3253" s="11">
        <f>$E3253+27</f>
        <v>133</v>
      </c>
      <c r="AH3253" s="12">
        <f>IF($J3253=0,0,ROUND(MAX($J3253*1.4*1.5*1.6*1.6*2.2*2.715*2.6*1.4*1.4*1.5*1.5*3.2,60500000000*(1.654288^(MIN($E3253,123)-117)))*1,0))</f>
        <v>238250083</v>
      </c>
    </row>
    <row r="3254" ht="28" customHeight="1" spans="1:34" x14ac:dyDescent="0.25">
      <c r="A3254">
        <v>3264</v>
      </c>
      <c r="B3254" t="s">
        <v>710</v>
      </c>
      <c r="C3254" s="10" t="s">
        <v>1744</v>
      </c>
      <c r="D3254" t="s">
        <v>102</v>
      </c>
      <c r="E3254">
        <v>106</v>
      </c>
      <c r="F3254" t="s">
        <v>34</v>
      </c>
      <c r="G3254" t="s">
        <v>562</v>
      </c>
      <c r="H3254">
        <v>23</v>
      </c>
      <c r="I3254" s="11">
        <f>$E3254+0</f>
        <v>106</v>
      </c>
      <c r="J3254" s="12">
        <v>9660</v>
      </c>
      <c r="K3254" s="13">
        <f>$E3254+1</f>
        <v>107</v>
      </c>
      <c r="L3254" s="14">
        <f>IF($J3254=0,0,ROUND(MAX($J3254*1.4,1620000*(1.497923^(MIN($E3254,123)-117)))*1,0))</f>
        <v>19017</v>
      </c>
      <c r="M3254" s="11">
        <f>$E3254+2</f>
        <v>108</v>
      </c>
      <c r="N3254" s="12">
        <f>IF($J3254=0,0,ROUND(MAX($J3254*1.4*1.5,2190000*(1.580994^(MIN($E3254,123)-117)))*1,0))</f>
        <v>20286</v>
      </c>
      <c r="O3254" s="13">
        <f>$E3254+4</f>
        <v>110</v>
      </c>
      <c r="P3254" s="14">
        <f>IF($J3254=0,0,ROUND(MAX($J3254*1.4*1.5*1.6,3500000*(1.57975^(MIN($E3254,123)-117)))*1,0))</f>
        <v>32458</v>
      </c>
      <c r="Q3254" s="11">
        <f>$E3254+6</f>
        <v>112</v>
      </c>
      <c r="R3254" s="12">
        <f>IF($J3254=0,0,ROUND(MAX($J3254*1.4*1.5*1.6*1.6,13100000*(1.429962^(MIN($E3254,123)-117)))*1,0))</f>
        <v>256272</v>
      </c>
      <c r="S3254" s="13">
        <f>$E3254+8</f>
        <v>114</v>
      </c>
      <c r="T3254" s="14">
        <f>IF($J3254=0,0,ROUND(MAX($J3254*1.4*1.5*1.6*1.6*2.2,42600000*(1.576904^(MIN($E3254,123)-117)))*1,0))</f>
        <v>284153</v>
      </c>
      <c r="U3254" s="11">
        <f>$E3254+11</f>
        <v>117</v>
      </c>
      <c r="V3254" s="12">
        <f>IF($J3254=0,0,ROUND(MAX($J3254*1.4*1.5*1.6*1.6*2.2*2.715,354000000*(1.642074^(MIN($E3254,123)-117)))*1,0))</f>
        <v>1512458</v>
      </c>
      <c r="W3254" s="13">
        <f>$E3254+15</f>
        <v>121</v>
      </c>
      <c r="X3254" s="14">
        <f>IF($J3254=0,0,ROUND(MAX($J3254*1.4*1.5*1.6*1.6*2.2*2.715*2.6,3540000000*(1.579646^(MIN($E3254,123)-117)))*1,0))</f>
        <v>23165718</v>
      </c>
      <c r="Y3254" s="11">
        <f>$E3254+17</f>
        <v>123</v>
      </c>
      <c r="Z3254" s="12">
        <f>IF($J3254=0,0,ROUND(MAX($J3254*1.4*1.5*1.6*1.6*2.2*2.715*2.6*1.4,6020000000*(1.651178^(MIN($E3254,123)-117)))*1,0))</f>
        <v>24202691</v>
      </c>
      <c r="AA3254" s="13">
        <f>$E3254+19</f>
        <v>125</v>
      </c>
      <c r="AB3254" s="14">
        <f>IF($J3254=0,0,ROUND(MAX($J3254*1.4*1.5*1.6*1.6*2.2*2.715*2.6*1.4*1.4,8430000000*(1.651435^(MIN($E3254,123)-117)))*1,0))</f>
        <v>33833836</v>
      </c>
      <c r="AC3254" s="11">
        <f>$E3254+21</f>
        <v>127</v>
      </c>
      <c r="AD3254" s="12">
        <f>IF($J3254=0,0,ROUND(MAX($J3254*1.4*1.5*1.6*1.6*2.2*2.715*2.6*1.4*1.4*1.5,12600000000*(1.652953^(MIN($E3254,123)-117)))*1,0))</f>
        <v>50061630</v>
      </c>
      <c r="AE3254" s="13">
        <f>$E3254+24</f>
        <v>130</v>
      </c>
      <c r="AF3254" s="14">
        <f>IF($J3254=0,0,ROUND(MAX($J3254*1.4*1.5*1.6*1.6*2.2*2.715*2.6*1.4*1.4*1.5*1.5,18900000000*(1.65331^(MIN($E3254,123)-117)))*1,0))</f>
        <v>74914276</v>
      </c>
      <c r="AG3254" s="11">
        <f>$E3254+27</f>
        <v>133</v>
      </c>
      <c r="AH3254" s="12">
        <f>IF($J3254=0,0,ROUND(MAX($J3254*1.4*1.5*1.6*1.6*2.2*2.715*2.6*1.4*1.4*1.5*1.5*3.2,60500000000*(1.654288^(MIN($E3254,123)-117)))*1,0))</f>
        <v>238250083</v>
      </c>
    </row>
    <row r="3255" ht="28" customHeight="1" spans="1:34" x14ac:dyDescent="0.25">
      <c r="A3255">
        <v>3265</v>
      </c>
      <c r="B3255" t="s">
        <v>1748</v>
      </c>
      <c r="C3255" s="10" t="s">
        <v>1744</v>
      </c>
      <c r="D3255" t="s">
        <v>40</v>
      </c>
      <c r="E3255">
        <v>106</v>
      </c>
      <c r="F3255" t="s">
        <v>479</v>
      </c>
      <c r="G3255" t="s">
        <v>562</v>
      </c>
      <c r="H3255">
        <v>23</v>
      </c>
      <c r="I3255" s="11">
        <f>$E3255+0</f>
        <v>106</v>
      </c>
      <c r="J3255" s="12">
        <v>12700</v>
      </c>
      <c r="K3255" s="13">
        <f>$E3255+1</f>
        <v>107</v>
      </c>
      <c r="L3255" s="14">
        <f>IF($J3255=0,0,ROUND(MAX($J3255*1.4,1620000*(1.497923^(MIN($E3255,123)-117)))*1,0))</f>
        <v>19017</v>
      </c>
      <c r="M3255" s="11">
        <f>$E3255+2</f>
        <v>108</v>
      </c>
      <c r="N3255" s="12">
        <f>IF($J3255=0,0,ROUND(MAX($J3255*1.4*1.5,2190000*(1.580994^(MIN($E3255,123)-117)))*1,0))</f>
        <v>26670</v>
      </c>
      <c r="O3255" s="13">
        <f>$E3255+4</f>
        <v>110</v>
      </c>
      <c r="P3255" s="14">
        <f>IF($J3255=0,0,ROUND(MAX($J3255*1.4*1.5*1.6,3500000*(1.57975^(MIN($E3255,123)-117)))*1,0))</f>
        <v>42672</v>
      </c>
      <c r="Q3255" s="11">
        <f>$E3255+6</f>
        <v>112</v>
      </c>
      <c r="R3255" s="12">
        <f>IF($J3255=0,0,ROUND(MAX($J3255*1.4*1.5*1.6*1.6,13100000*(1.429962^(MIN($E3255,123)-117)))*1,0))</f>
        <v>256272</v>
      </c>
      <c r="S3255" s="13">
        <f>$E3255+8</f>
        <v>114</v>
      </c>
      <c r="T3255" s="14">
        <f>IF($J3255=0,0,ROUND(MAX($J3255*1.4*1.5*1.6*1.6*2.2,42600000*(1.576904^(MIN($E3255,123)-117)))*1,0))</f>
        <v>284153</v>
      </c>
      <c r="U3255" s="11">
        <f>$E3255+11</f>
        <v>117</v>
      </c>
      <c r="V3255" s="12">
        <f>IF($J3255=0,0,ROUND(MAX($J3255*1.4*1.5*1.6*1.6*2.2*2.715,354000000*(1.642074^(MIN($E3255,123)-117)))*1,0))</f>
        <v>1512458</v>
      </c>
      <c r="W3255" s="13">
        <f>$E3255+15</f>
        <v>121</v>
      </c>
      <c r="X3255" s="14">
        <f>IF($J3255=0,0,ROUND(MAX($J3255*1.4*1.5*1.6*1.6*2.2*2.715*2.6,3540000000*(1.579646^(MIN($E3255,123)-117)))*1,0))</f>
        <v>23165718</v>
      </c>
      <c r="Y3255" s="11">
        <f>$E3255+17</f>
        <v>123</v>
      </c>
      <c r="Z3255" s="12">
        <f>IF($J3255=0,0,ROUND(MAX($J3255*1.4*1.5*1.6*1.6*2.2*2.715*2.6*1.4,6020000000*(1.651178^(MIN($E3255,123)-117)))*1,0))</f>
        <v>24202691</v>
      </c>
      <c r="AA3255" s="13">
        <f>$E3255+19</f>
        <v>125</v>
      </c>
      <c r="AB3255" s="14">
        <f>IF($J3255=0,0,ROUND(MAX($J3255*1.4*1.5*1.6*1.6*2.2*2.715*2.6*1.4*1.4,8430000000*(1.651435^(MIN($E3255,123)-117)))*1,0))</f>
        <v>33833836</v>
      </c>
      <c r="AC3255" s="11">
        <f>$E3255+21</f>
        <v>127</v>
      </c>
      <c r="AD3255" s="12">
        <f>IF($J3255=0,0,ROUND(MAX($J3255*1.4*1.5*1.6*1.6*2.2*2.715*2.6*1.4*1.4*1.5,12600000000*(1.652953^(MIN($E3255,123)-117)))*1,0))</f>
        <v>50061630</v>
      </c>
      <c r="AE3255" s="13">
        <f>$E3255+24</f>
        <v>130</v>
      </c>
      <c r="AF3255" s="14">
        <f>IF($J3255=0,0,ROUND(MAX($J3255*1.4*1.5*1.6*1.6*2.2*2.715*2.6*1.4*1.4*1.5*1.5,18900000000*(1.65331^(MIN($E3255,123)-117)))*1,0))</f>
        <v>74914276</v>
      </c>
      <c r="AG3255" s="11">
        <f>$E3255+27</f>
        <v>133</v>
      </c>
      <c r="AH3255" s="12">
        <f>IF($J3255=0,0,ROUND(MAX($J3255*1.4*1.5*1.6*1.6*2.2*2.715*2.6*1.4*1.4*1.5*1.5*3.2,60500000000*(1.654288^(MIN($E3255,123)-117)))*1,0))</f>
        <v>238250083</v>
      </c>
    </row>
    <row r="3256" ht="28" customHeight="1" spans="1:34" x14ac:dyDescent="0.25">
      <c r="A3256">
        <v>3266</v>
      </c>
      <c r="B3256" t="s">
        <v>584</v>
      </c>
      <c r="C3256" s="10" t="s">
        <v>1744</v>
      </c>
      <c r="D3256" t="s">
        <v>64</v>
      </c>
      <c r="E3256">
        <v>105</v>
      </c>
      <c r="F3256" t="s">
        <v>62</v>
      </c>
      <c r="G3256" t="s">
        <v>133</v>
      </c>
      <c r="H3256">
        <v>24</v>
      </c>
      <c r="I3256" s="11">
        <f>$E3256+0</f>
        <v>105</v>
      </c>
      <c r="J3256" s="12">
        <v>31300</v>
      </c>
      <c r="K3256" s="13">
        <f>$E3256+1</f>
        <v>106</v>
      </c>
      <c r="L3256" s="14">
        <f>IF($J3256=0,0,ROUND(MAX($J3256*1.4,1620000*(1.497923^(MIN($E3256,123)-117)))*1,0))</f>
        <v>43820</v>
      </c>
      <c r="M3256" s="11">
        <f>$E3256+2</f>
        <v>107</v>
      </c>
      <c r="N3256" s="12">
        <f>IF($J3256=0,0,ROUND(MAX($J3256*1.4*1.5,2190000*(1.580994^(MIN($E3256,123)-117)))*1,0))</f>
        <v>65730</v>
      </c>
      <c r="O3256" s="13">
        <f>$E3256+4</f>
        <v>109</v>
      </c>
      <c r="P3256" s="14">
        <f>IF($J3256=0,0,ROUND(MAX($J3256*1.4*1.5*1.6,3500000*(1.57975^(MIN($E3256,123)-117)))*1,0))</f>
        <v>105168</v>
      </c>
      <c r="Q3256" s="11">
        <f>$E3256+6</f>
        <v>111</v>
      </c>
      <c r="R3256" s="12">
        <f>IF($J3256=0,0,ROUND(MAX($J3256*1.4*1.5*1.6*1.6,13100000*(1.429962^(MIN($E3256,123)-117)))*1,0))</f>
        <v>179216</v>
      </c>
      <c r="S3256" s="13">
        <f>$E3256+8</f>
        <v>113</v>
      </c>
      <c r="T3256" s="14">
        <f>IF($J3256=0,0,ROUND(MAX($J3256*1.4*1.5*1.6*1.6*2.2,42600000*(1.576904^(MIN($E3256,123)-117)))*1,0))</f>
        <v>370191</v>
      </c>
      <c r="U3256" s="11">
        <f>$E3256+11</f>
        <v>116</v>
      </c>
      <c r="V3256" s="12">
        <f>IF($J3256=0,0,ROUND(MAX($J3256*1.4*1.5*1.6*1.6*2.2*2.715,354000000*(1.642074^(MIN($E3256,123)-117)))*1,0))</f>
        <v>1005070</v>
      </c>
      <c r="W3256" s="13">
        <f>$E3256+15</f>
        <v>120</v>
      </c>
      <c r="X3256" s="14">
        <f>IF($J3256=0,0,ROUND(MAX($J3256*1.4*1.5*1.6*1.6*2.2*2.715*2.6,3540000000*(1.579646^(MIN($E3256,123)-117)))*1,0))</f>
        <v>14665133</v>
      </c>
      <c r="Y3256" s="11">
        <f>$E3256+17</f>
        <v>122</v>
      </c>
      <c r="Z3256" s="12">
        <f>IF($J3256=0,0,ROUND(MAX($J3256*1.4*1.5*1.6*1.6*2.2*2.715*2.6*1.4,6020000000*(1.651178^(MIN($E3256,123)-117)))*1,0))</f>
        <v>14657833</v>
      </c>
      <c r="AA3256" s="13">
        <f>$E3256+19</f>
        <v>124</v>
      </c>
      <c r="AB3256" s="14">
        <f>IF($J3256=0,0,ROUND(MAX($J3256*1.4*1.5*1.6*1.6*2.2*2.715*2.6*1.4*1.4,8430000000*(1.651435^(MIN($E3256,123)-117)))*1,0))</f>
        <v>20487537</v>
      </c>
      <c r="AC3256" s="11">
        <f>$E3256+21</f>
        <v>126</v>
      </c>
      <c r="AD3256" s="12">
        <f>IF($J3256=0,0,ROUND(MAX($J3256*1.4*1.5*1.6*1.6*2.2*2.715*2.6*1.4*1.4*1.5,12600000000*(1.652953^(MIN($E3256,123)-117)))*1,0))</f>
        <v>30286179</v>
      </c>
      <c r="AE3256" s="13">
        <f>$E3256+24</f>
        <v>129</v>
      </c>
      <c r="AF3256" s="14">
        <f>IF($J3256=0,0,ROUND(MAX($J3256*1.4*1.5*1.6*1.6*2.2*2.715*2.6*1.4*1.4*1.5*1.5,18900000000*(1.65331^(MIN($E3256,123)-117)))*1,0))</f>
        <v>45311693</v>
      </c>
      <c r="AG3256" s="11">
        <f>$E3256+27</f>
        <v>132</v>
      </c>
      <c r="AH3256" s="12">
        <f>IF($J3256=0,0,ROUND(MAX($J3256*1.4*1.5*1.6*1.6*2.2*2.715*2.6*1.4*1.4*1.5*1.5*3.2,60500000000*(1.654288^(MIN($E3256,123)-117)))*1,0))</f>
        <v>144019713</v>
      </c>
    </row>
    <row r="3257" ht="28" customHeight="1" spans="1:34" x14ac:dyDescent="0.25">
      <c r="A3257">
        <v>3267</v>
      </c>
      <c r="B3257" t="s">
        <v>772</v>
      </c>
      <c r="C3257" s="10" t="s">
        <v>1744</v>
      </c>
      <c r="D3257" t="s">
        <v>64</v>
      </c>
      <c r="E3257">
        <v>105</v>
      </c>
      <c r="F3257" t="s">
        <v>773</v>
      </c>
      <c r="G3257" t="s">
        <v>133</v>
      </c>
      <c r="H3257">
        <v>24</v>
      </c>
      <c r="I3257" s="11">
        <f>$E3257+0</f>
        <v>105</v>
      </c>
      <c r="J3257" s="12">
        <v>40800</v>
      </c>
      <c r="K3257" s="13">
        <f>$E3257+1</f>
        <v>106</v>
      </c>
      <c r="L3257" s="14">
        <f>IF($J3257=0,0,ROUND(MAX($J3257*1.4,1620000*(1.497923^(MIN($E3257,123)-117)))*1,0))</f>
        <v>57120</v>
      </c>
      <c r="M3257" s="11">
        <f>$E3257+2</f>
        <v>107</v>
      </c>
      <c r="N3257" s="12">
        <f>IF($J3257=0,0,ROUND(MAX($J3257*1.4*1.5,2190000*(1.580994^(MIN($E3257,123)-117)))*1,0))</f>
        <v>85680</v>
      </c>
      <c r="O3257" s="13">
        <f>$E3257+4</f>
        <v>109</v>
      </c>
      <c r="P3257" s="14">
        <f>IF($J3257=0,0,ROUND(MAX($J3257*1.4*1.5*1.6,3500000*(1.57975^(MIN($E3257,123)-117)))*1,0))</f>
        <v>137088</v>
      </c>
      <c r="Q3257" s="11">
        <f>$E3257+6</f>
        <v>111</v>
      </c>
      <c r="R3257" s="12">
        <f>IF($J3257=0,0,ROUND(MAX($J3257*1.4*1.5*1.6*1.6,13100000*(1.429962^(MIN($E3257,123)-117)))*1,0))</f>
        <v>219341</v>
      </c>
      <c r="S3257" s="13">
        <f>$E3257+8</f>
        <v>113</v>
      </c>
      <c r="T3257" s="14">
        <f>IF($J3257=0,0,ROUND(MAX($J3257*1.4*1.5*1.6*1.6*2.2,42600000*(1.576904^(MIN($E3257,123)-117)))*1,0))</f>
        <v>482550</v>
      </c>
      <c r="U3257" s="11">
        <f>$E3257+11</f>
        <v>116</v>
      </c>
      <c r="V3257" s="12">
        <f>IF($J3257=0,0,ROUND(MAX($J3257*1.4*1.5*1.6*1.6*2.2*2.715,354000000*(1.642074^(MIN($E3257,123)-117)))*1,0))</f>
        <v>1310123</v>
      </c>
      <c r="W3257" s="13">
        <f>$E3257+15</f>
        <v>120</v>
      </c>
      <c r="X3257" s="14">
        <f>IF($J3257=0,0,ROUND(MAX($J3257*1.4*1.5*1.6*1.6*2.2*2.715*2.6,3540000000*(1.579646^(MIN($E3257,123)-117)))*1,0))</f>
        <v>14665133</v>
      </c>
      <c r="Y3257" s="11">
        <f>$E3257+17</f>
        <v>122</v>
      </c>
      <c r="Z3257" s="12">
        <f>IF($J3257=0,0,ROUND(MAX($J3257*1.4*1.5*1.6*1.6*2.2*2.715*2.6*1.4,6020000000*(1.651178^(MIN($E3257,123)-117)))*1,0))</f>
        <v>14657833</v>
      </c>
      <c r="AA3257" s="13">
        <f>$E3257+19</f>
        <v>124</v>
      </c>
      <c r="AB3257" s="14">
        <f>IF($J3257=0,0,ROUND(MAX($J3257*1.4*1.5*1.6*1.6*2.2*2.715*2.6*1.4*1.4,8430000000*(1.651435^(MIN($E3257,123)-117)))*1,0))</f>
        <v>20487537</v>
      </c>
      <c r="AC3257" s="11">
        <f>$E3257+21</f>
        <v>126</v>
      </c>
      <c r="AD3257" s="12">
        <f>IF($J3257=0,0,ROUND(MAX($J3257*1.4*1.5*1.6*1.6*2.2*2.715*2.6*1.4*1.4*1.5,12600000000*(1.652953^(MIN($E3257,123)-117)))*1,0))</f>
        <v>30286179</v>
      </c>
      <c r="AE3257" s="13">
        <f>$E3257+24</f>
        <v>129</v>
      </c>
      <c r="AF3257" s="14">
        <f>IF($J3257=0,0,ROUND(MAX($J3257*1.4*1.5*1.6*1.6*2.2*2.715*2.6*1.4*1.4*1.5*1.5,18900000000*(1.65331^(MIN($E3257,123)-117)))*1,0))</f>
        <v>45311693</v>
      </c>
      <c r="AG3257" s="11">
        <f>$E3257+27</f>
        <v>132</v>
      </c>
      <c r="AH3257" s="12">
        <f>IF($J3257=0,0,ROUND(MAX($J3257*1.4*1.5*1.6*1.6*2.2*2.715*2.6*1.4*1.4*1.5*1.5*3.2,60500000000*(1.654288^(MIN($E3257,123)-117)))*1,0))</f>
        <v>144019713</v>
      </c>
    </row>
    <row r="3258" ht="28" customHeight="1" spans="1:34" x14ac:dyDescent="0.25">
      <c r="A3258">
        <v>3268</v>
      </c>
      <c r="B3258" t="s">
        <v>1749</v>
      </c>
      <c r="C3258" s="10" t="s">
        <v>1744</v>
      </c>
      <c r="D3258" t="s">
        <v>45</v>
      </c>
      <c r="E3258">
        <v>105</v>
      </c>
      <c r="F3258" t="s">
        <v>54</v>
      </c>
      <c r="G3258" t="s">
        <v>724</v>
      </c>
      <c r="H3258">
        <v>23</v>
      </c>
      <c r="I3258" s="11">
        <f>$E3258+0</f>
        <v>105</v>
      </c>
      <c r="J3258" s="12">
        <v>34300</v>
      </c>
      <c r="K3258" s="13">
        <f>$E3258+1</f>
        <v>106</v>
      </c>
      <c r="L3258" s="14">
        <f>IF($J3258=0,0,ROUND(MAX($J3258*1.4,1620000*(1.497923^(MIN($E3258,123)-117)))*1,0))</f>
        <v>48020</v>
      </c>
      <c r="M3258" s="11">
        <f>$E3258+2</f>
        <v>107</v>
      </c>
      <c r="N3258" s="12">
        <f>IF($J3258=0,0,ROUND(MAX($J3258*1.4*1.5,2190000*(1.580994^(MIN($E3258,123)-117)))*1,0))</f>
        <v>72030</v>
      </c>
      <c r="O3258" s="13">
        <f>$E3258+4</f>
        <v>109</v>
      </c>
      <c r="P3258" s="14">
        <f>IF($J3258=0,0,ROUND(MAX($J3258*1.4*1.5*1.6,3500000*(1.57975^(MIN($E3258,123)-117)))*1,0))</f>
        <v>115248</v>
      </c>
      <c r="Q3258" s="11">
        <f>$E3258+6</f>
        <v>111</v>
      </c>
      <c r="R3258" s="12">
        <f>IF($J3258=0,0,ROUND(MAX($J3258*1.4*1.5*1.6*1.6,13100000*(1.429962^(MIN($E3258,123)-117)))*1,0))</f>
        <v>184397</v>
      </c>
      <c r="S3258" s="13">
        <f>$E3258+8</f>
        <v>113</v>
      </c>
      <c r="T3258" s="14">
        <f>IF($J3258=0,0,ROUND(MAX($J3258*1.4*1.5*1.6*1.6*2.2,42600000*(1.576904^(MIN($E3258,123)-117)))*1,0))</f>
        <v>405673</v>
      </c>
      <c r="U3258" s="11">
        <f>$E3258+11</f>
        <v>116</v>
      </c>
      <c r="V3258" s="12">
        <f>IF($J3258=0,0,ROUND(MAX($J3258*1.4*1.5*1.6*1.6*2.2*2.715,354000000*(1.642074^(MIN($E3258,123)-117)))*1,0))</f>
        <v>1101402</v>
      </c>
      <c r="W3258" s="13">
        <f>$E3258+15</f>
        <v>120</v>
      </c>
      <c r="X3258" s="14">
        <f>IF($J3258=0,0,ROUND(MAX($J3258*1.4*1.5*1.6*1.6*2.2*2.715*2.6,3540000000*(1.579646^(MIN($E3258,123)-117)))*1,0))</f>
        <v>14665133</v>
      </c>
      <c r="Y3258" s="11">
        <f>$E3258+17</f>
        <v>122</v>
      </c>
      <c r="Z3258" s="12">
        <f>IF($J3258=0,0,ROUND(MAX($J3258*1.4*1.5*1.6*1.6*2.2*2.715*2.6*1.4,6020000000*(1.651178^(MIN($E3258,123)-117)))*1,0))</f>
        <v>14657833</v>
      </c>
      <c r="AA3258" s="13">
        <f>$E3258+19</f>
        <v>124</v>
      </c>
      <c r="AB3258" s="14">
        <f>IF($J3258=0,0,ROUND(MAX($J3258*1.4*1.5*1.6*1.6*2.2*2.715*2.6*1.4*1.4,8430000000*(1.651435^(MIN($E3258,123)-117)))*1,0))</f>
        <v>20487537</v>
      </c>
      <c r="AC3258" s="11">
        <f>$E3258+21</f>
        <v>126</v>
      </c>
      <c r="AD3258" s="12">
        <f>IF($J3258=0,0,ROUND(MAX($J3258*1.4*1.5*1.6*1.6*2.2*2.715*2.6*1.4*1.4*1.5,12600000000*(1.652953^(MIN($E3258,123)-117)))*1,0))</f>
        <v>30286179</v>
      </c>
      <c r="AE3258" s="13">
        <f>$E3258+24</f>
        <v>129</v>
      </c>
      <c r="AF3258" s="14">
        <f>IF($J3258=0,0,ROUND(MAX($J3258*1.4*1.5*1.6*1.6*2.2*2.715*2.6*1.4*1.4*1.5*1.5,18900000000*(1.65331^(MIN($E3258,123)-117)))*1,0))</f>
        <v>45311693</v>
      </c>
      <c r="AG3258" s="11">
        <f>$E3258+27</f>
        <v>132</v>
      </c>
      <c r="AH3258" s="12">
        <f>IF($J3258=0,0,ROUND(MAX($J3258*1.4*1.5*1.6*1.6*2.2*2.715*2.6*1.4*1.4*1.5*1.5*3.2,60500000000*(1.654288^(MIN($E3258,123)-117)))*1,0))</f>
        <v>144019713</v>
      </c>
    </row>
    <row r="3259" ht="28" customHeight="1" spans="1:34" x14ac:dyDescent="0.25">
      <c r="A3259">
        <v>3269</v>
      </c>
      <c r="B3259" t="s">
        <v>323</v>
      </c>
      <c r="C3259" s="10" t="s">
        <v>1744</v>
      </c>
      <c r="D3259" t="s">
        <v>64</v>
      </c>
      <c r="E3259">
        <v>105</v>
      </c>
      <c r="F3259" t="s">
        <v>34</v>
      </c>
      <c r="G3259" t="s">
        <v>35</v>
      </c>
      <c r="H3259">
        <v>23</v>
      </c>
      <c r="I3259" s="11">
        <f>$E3259+0</f>
        <v>105</v>
      </c>
      <c r="J3259" s="12">
        <v>54500</v>
      </c>
      <c r="K3259" s="13">
        <f>$E3259+1</f>
        <v>106</v>
      </c>
      <c r="L3259" s="14">
        <f>IF($J3259=0,0,ROUND(MAX($J3259*1.4,1620000*(1.497923^(MIN($E3259,123)-117)))*1,0))</f>
        <v>76300</v>
      </c>
      <c r="M3259" s="11">
        <f>$E3259+2</f>
        <v>107</v>
      </c>
      <c r="N3259" s="12">
        <f>IF($J3259=0,0,ROUND(MAX($J3259*1.4*1.5,2190000*(1.580994^(MIN($E3259,123)-117)))*1,0))</f>
        <v>114450</v>
      </c>
      <c r="O3259" s="13">
        <f>$E3259+4</f>
        <v>109</v>
      </c>
      <c r="P3259" s="14">
        <f>IF($J3259=0,0,ROUND(MAX($J3259*1.4*1.5*1.6,3500000*(1.57975^(MIN($E3259,123)-117)))*1,0))</f>
        <v>183120</v>
      </c>
      <c r="Q3259" s="11">
        <f>$E3259+6</f>
        <v>111</v>
      </c>
      <c r="R3259" s="12">
        <f>IF($J3259=0,0,ROUND(MAX($J3259*1.4*1.5*1.6*1.6,13100000*(1.429962^(MIN($E3259,123)-117)))*1,0))</f>
        <v>292992</v>
      </c>
      <c r="S3259" s="13">
        <f>$E3259+8</f>
        <v>113</v>
      </c>
      <c r="T3259" s="14">
        <f>IF($J3259=0,0,ROUND(MAX($J3259*1.4*1.5*1.6*1.6*2.2,42600000*(1.576904^(MIN($E3259,123)-117)))*1,0))</f>
        <v>644582</v>
      </c>
      <c r="U3259" s="11">
        <f>$E3259+11</f>
        <v>116</v>
      </c>
      <c r="V3259" s="12">
        <f>IF($J3259=0,0,ROUND(MAX($J3259*1.4*1.5*1.6*1.6*2.2*2.715,354000000*(1.642074^(MIN($E3259,123)-117)))*1,0))</f>
        <v>1750041</v>
      </c>
      <c r="W3259" s="13">
        <f>$E3259+15</f>
        <v>120</v>
      </c>
      <c r="X3259" s="14">
        <f>IF($J3259=0,0,ROUND(MAX($J3259*1.4*1.5*1.6*1.6*2.2*2.715*2.6,3540000000*(1.579646^(MIN($E3259,123)-117)))*1,0))</f>
        <v>14665133</v>
      </c>
      <c r="Y3259" s="11">
        <f>$E3259+17</f>
        <v>122</v>
      </c>
      <c r="Z3259" s="12">
        <f>IF($J3259=0,0,ROUND(MAX($J3259*1.4*1.5*1.6*1.6*2.2*2.715*2.6*1.4,6020000000*(1.651178^(MIN($E3259,123)-117)))*1,0))</f>
        <v>14657833</v>
      </c>
      <c r="AA3259" s="13">
        <f>$E3259+19</f>
        <v>124</v>
      </c>
      <c r="AB3259" s="14">
        <f>IF($J3259=0,0,ROUND(MAX($J3259*1.4*1.5*1.6*1.6*2.2*2.715*2.6*1.4*1.4,8430000000*(1.651435^(MIN($E3259,123)-117)))*1,0))</f>
        <v>20487537</v>
      </c>
      <c r="AC3259" s="11">
        <f>$E3259+21</f>
        <v>126</v>
      </c>
      <c r="AD3259" s="12">
        <f>IF($J3259=0,0,ROUND(MAX($J3259*1.4*1.5*1.6*1.6*2.2*2.715*2.6*1.4*1.4*1.5,12600000000*(1.652953^(MIN($E3259,123)-117)))*1,0))</f>
        <v>30286179</v>
      </c>
      <c r="AE3259" s="13">
        <f>$E3259+24</f>
        <v>129</v>
      </c>
      <c r="AF3259" s="14">
        <f>IF($J3259=0,0,ROUND(MAX($J3259*1.4*1.5*1.6*1.6*2.2*2.715*2.6*1.4*1.4*1.5*1.5,18900000000*(1.65331^(MIN($E3259,123)-117)))*1,0))</f>
        <v>45311693</v>
      </c>
      <c r="AG3259" s="11">
        <f>$E3259+27</f>
        <v>132</v>
      </c>
      <c r="AH3259" s="12">
        <f>IF($J3259=0,0,ROUND(MAX($J3259*1.4*1.5*1.6*1.6*2.2*2.715*2.6*1.4*1.4*1.5*1.5*3.2,60500000000*(1.654288^(MIN($E3259,123)-117)))*1,0))</f>
        <v>144019713</v>
      </c>
    </row>
    <row r="3260" ht="28" customHeight="1" spans="1:34" x14ac:dyDescent="0.25">
      <c r="A3260">
        <v>3270</v>
      </c>
      <c r="B3260" t="s">
        <v>1327</v>
      </c>
      <c r="C3260" s="10" t="s">
        <v>1744</v>
      </c>
      <c r="D3260" t="s">
        <v>75</v>
      </c>
      <c r="E3260">
        <v>105</v>
      </c>
      <c r="F3260" t="s">
        <v>385</v>
      </c>
      <c r="G3260" t="s">
        <v>51</v>
      </c>
      <c r="H3260">
        <v>22</v>
      </c>
      <c r="I3260" s="11">
        <f>$E3260+0</f>
        <v>105</v>
      </c>
      <c r="J3260" s="12">
        <v>33400</v>
      </c>
      <c r="K3260" s="13">
        <f>$E3260+1</f>
        <v>106</v>
      </c>
      <c r="L3260" s="14">
        <f>IF($J3260=0,0,ROUND(MAX($J3260*1.4,1620000*(1.497923^(MIN($E3260,123)-117)))*1,0))</f>
        <v>46760</v>
      </c>
      <c r="M3260" s="11">
        <f>$E3260+2</f>
        <v>107</v>
      </c>
      <c r="N3260" s="12">
        <f>IF($J3260=0,0,ROUND(MAX($J3260*1.4*1.5,2190000*(1.580994^(MIN($E3260,123)-117)))*1,0))</f>
        <v>70140</v>
      </c>
      <c r="O3260" s="13">
        <f>$E3260+4</f>
        <v>109</v>
      </c>
      <c r="P3260" s="14">
        <f>IF($J3260=0,0,ROUND(MAX($J3260*1.4*1.5*1.6,3500000*(1.57975^(MIN($E3260,123)-117)))*1,0))</f>
        <v>112224</v>
      </c>
      <c r="Q3260" s="11">
        <f>$E3260+6</f>
        <v>111</v>
      </c>
      <c r="R3260" s="12">
        <f>IF($J3260=0,0,ROUND(MAX($J3260*1.4*1.5*1.6*1.6,13100000*(1.429962^(MIN($E3260,123)-117)))*1,0))</f>
        <v>179558</v>
      </c>
      <c r="S3260" s="13">
        <f>$E3260+8</f>
        <v>113</v>
      </c>
      <c r="T3260" s="14">
        <f>IF($J3260=0,0,ROUND(MAX($J3260*1.4*1.5*1.6*1.6*2.2,42600000*(1.576904^(MIN($E3260,123)-117)))*1,0))</f>
        <v>395028</v>
      </c>
      <c r="U3260" s="11">
        <f>$E3260+11</f>
        <v>116</v>
      </c>
      <c r="V3260" s="12">
        <f>IF($J3260=0,0,ROUND(MAX($J3260*1.4*1.5*1.6*1.6*2.2*2.715,354000000*(1.642074^(MIN($E3260,123)-117)))*1,0))</f>
        <v>1072502</v>
      </c>
      <c r="W3260" s="13">
        <f>$E3260+15</f>
        <v>120</v>
      </c>
      <c r="X3260" s="14">
        <f>IF($J3260=0,0,ROUND(MAX($J3260*1.4*1.5*1.6*1.6*2.2*2.715*2.6,3540000000*(1.579646^(MIN($E3260,123)-117)))*1,0))</f>
        <v>14665133</v>
      </c>
      <c r="Y3260" s="11">
        <f>$E3260+17</f>
        <v>122</v>
      </c>
      <c r="Z3260" s="12">
        <f>IF($J3260=0,0,ROUND(MAX($J3260*1.4*1.5*1.6*1.6*2.2*2.715*2.6*1.4,6020000000*(1.651178^(MIN($E3260,123)-117)))*1,0))</f>
        <v>14657833</v>
      </c>
      <c r="AA3260" s="13">
        <f>$E3260+19</f>
        <v>124</v>
      </c>
      <c r="AB3260" s="14">
        <f>IF($J3260=0,0,ROUND(MAX($J3260*1.4*1.5*1.6*1.6*2.2*2.715*2.6*1.4*1.4,8430000000*(1.651435^(MIN($E3260,123)-117)))*1,0))</f>
        <v>20487537</v>
      </c>
      <c r="AC3260" s="11">
        <f>$E3260+21</f>
        <v>126</v>
      </c>
      <c r="AD3260" s="12">
        <f>IF($J3260=0,0,ROUND(MAX($J3260*1.4*1.5*1.6*1.6*2.2*2.715*2.6*1.4*1.4*1.5,12600000000*(1.652953^(MIN($E3260,123)-117)))*1,0))</f>
        <v>30286179</v>
      </c>
      <c r="AE3260" s="13">
        <f>$E3260+24</f>
        <v>129</v>
      </c>
      <c r="AF3260" s="14">
        <f>IF($J3260=0,0,ROUND(MAX($J3260*1.4*1.5*1.6*1.6*2.2*2.715*2.6*1.4*1.4*1.5*1.5,18900000000*(1.65331^(MIN($E3260,123)-117)))*1,0))</f>
        <v>45311693</v>
      </c>
      <c r="AG3260" s="11">
        <f>$E3260+27</f>
        <v>132</v>
      </c>
      <c r="AH3260" s="12">
        <f>IF($J3260=0,0,ROUND(MAX($J3260*1.4*1.5*1.6*1.6*2.2*2.715*2.6*1.4*1.4*1.5*1.5*3.2,60500000000*(1.654288^(MIN($E3260,123)-117)))*1,0))</f>
        <v>144019713</v>
      </c>
    </row>
    <row r="3261" ht="28" customHeight="1" spans="1:34" x14ac:dyDescent="0.25">
      <c r="A3261">
        <v>3271</v>
      </c>
      <c r="B3261" t="s">
        <v>1249</v>
      </c>
      <c r="C3261" s="10" t="s">
        <v>1744</v>
      </c>
      <c r="D3261" t="s">
        <v>33</v>
      </c>
      <c r="E3261">
        <v>105</v>
      </c>
      <c r="F3261" t="s">
        <v>26</v>
      </c>
      <c r="G3261" t="s">
        <v>171</v>
      </c>
      <c r="H3261">
        <v>22</v>
      </c>
      <c r="I3261" s="11">
        <f>$E3261+0</f>
        <v>105</v>
      </c>
      <c r="J3261" s="12">
        <v>44900</v>
      </c>
      <c r="K3261" s="13">
        <f>$E3261+1</f>
        <v>106</v>
      </c>
      <c r="L3261" s="14">
        <f>IF($J3261=0,0,ROUND(MAX($J3261*1.4,1620000*(1.497923^(MIN($E3261,123)-117)))*1,0))</f>
        <v>62860</v>
      </c>
      <c r="M3261" s="11">
        <f>$E3261+2</f>
        <v>107</v>
      </c>
      <c r="N3261" s="12">
        <f>IF($J3261=0,0,ROUND(MAX($J3261*1.4*1.5,2190000*(1.580994^(MIN($E3261,123)-117)))*1,0))</f>
        <v>94290</v>
      </c>
      <c r="O3261" s="13">
        <f>$E3261+4</f>
        <v>109</v>
      </c>
      <c r="P3261" s="14">
        <f>IF($J3261=0,0,ROUND(MAX($J3261*1.4*1.5*1.6,3500000*(1.57975^(MIN($E3261,123)-117)))*1,0))</f>
        <v>150864</v>
      </c>
      <c r="Q3261" s="11">
        <f>$E3261+6</f>
        <v>111</v>
      </c>
      <c r="R3261" s="12">
        <f>IF($J3261=0,0,ROUND(MAX($J3261*1.4*1.5*1.6*1.6,13100000*(1.429962^(MIN($E3261,123)-117)))*1,0))</f>
        <v>241382</v>
      </c>
      <c r="S3261" s="13">
        <f>$E3261+8</f>
        <v>113</v>
      </c>
      <c r="T3261" s="14">
        <f>IF($J3261=0,0,ROUND(MAX($J3261*1.4*1.5*1.6*1.6*2.2,42600000*(1.576904^(MIN($E3261,123)-117)))*1,0))</f>
        <v>531041</v>
      </c>
      <c r="U3261" s="11">
        <f>$E3261+11</f>
        <v>116</v>
      </c>
      <c r="V3261" s="12">
        <f>IF($J3261=0,0,ROUND(MAX($J3261*1.4*1.5*1.6*1.6*2.2*2.715,354000000*(1.642074^(MIN($E3261,123)-117)))*1,0))</f>
        <v>1441777</v>
      </c>
      <c r="W3261" s="13">
        <f>$E3261+15</f>
        <v>120</v>
      </c>
      <c r="X3261" s="14">
        <f>IF($J3261=0,0,ROUND(MAX($J3261*1.4*1.5*1.6*1.6*2.2*2.715*2.6,3540000000*(1.579646^(MIN($E3261,123)-117)))*1,0))</f>
        <v>14665133</v>
      </c>
      <c r="Y3261" s="11">
        <f>$E3261+17</f>
        <v>122</v>
      </c>
      <c r="Z3261" s="12">
        <f>IF($J3261=0,0,ROUND(MAX($J3261*1.4*1.5*1.6*1.6*2.2*2.715*2.6*1.4,6020000000*(1.651178^(MIN($E3261,123)-117)))*1,0))</f>
        <v>14657833</v>
      </c>
      <c r="AA3261" s="13">
        <f>$E3261+19</f>
        <v>124</v>
      </c>
      <c r="AB3261" s="14">
        <f>IF($J3261=0,0,ROUND(MAX($J3261*1.4*1.5*1.6*1.6*2.2*2.715*2.6*1.4*1.4,8430000000*(1.651435^(MIN($E3261,123)-117)))*1,0))</f>
        <v>20487537</v>
      </c>
      <c r="AC3261" s="11">
        <f>$E3261+21</f>
        <v>126</v>
      </c>
      <c r="AD3261" s="12">
        <f>IF($J3261=0,0,ROUND(MAX($J3261*1.4*1.5*1.6*1.6*2.2*2.715*2.6*1.4*1.4*1.5,12600000000*(1.652953^(MIN($E3261,123)-117)))*1,0))</f>
        <v>30286179</v>
      </c>
      <c r="AE3261" s="13">
        <f>$E3261+24</f>
        <v>129</v>
      </c>
      <c r="AF3261" s="14">
        <f>IF($J3261=0,0,ROUND(MAX($J3261*1.4*1.5*1.6*1.6*2.2*2.715*2.6*1.4*1.4*1.5*1.5,18900000000*(1.65331^(MIN($E3261,123)-117)))*1,0))</f>
        <v>45311693</v>
      </c>
      <c r="AG3261" s="11">
        <f>$E3261+27</f>
        <v>132</v>
      </c>
      <c r="AH3261" s="12">
        <f>IF($J3261=0,0,ROUND(MAX($J3261*1.4*1.5*1.6*1.6*2.2*2.715*2.6*1.4*1.4*1.5*1.5*3.2,60500000000*(1.654288^(MIN($E3261,123)-117)))*1,0))</f>
        <v>144019713</v>
      </c>
    </row>
    <row r="3262" ht="28" customHeight="1" spans="1:34" x14ac:dyDescent="0.25">
      <c r="A3262">
        <v>3272</v>
      </c>
      <c r="B3262" t="s">
        <v>1750</v>
      </c>
      <c r="C3262" s="10" t="s">
        <v>1744</v>
      </c>
      <c r="D3262" t="s">
        <v>40</v>
      </c>
      <c r="E3262">
        <v>105</v>
      </c>
      <c r="F3262" t="s">
        <v>71</v>
      </c>
      <c r="G3262" t="s">
        <v>562</v>
      </c>
      <c r="H3262">
        <v>22</v>
      </c>
      <c r="I3262" s="11">
        <f>$E3262+0</f>
        <v>105</v>
      </c>
      <c r="J3262" s="12">
        <v>21300</v>
      </c>
      <c r="K3262" s="13">
        <f>$E3262+1</f>
        <v>106</v>
      </c>
      <c r="L3262" s="14">
        <f>IF($J3262=0,0,ROUND(MAX($J3262*1.4,1620000*(1.497923^(MIN($E3262,123)-117)))*1,0))</f>
        <v>29820</v>
      </c>
      <c r="M3262" s="11">
        <f>$E3262+2</f>
        <v>107</v>
      </c>
      <c r="N3262" s="12">
        <f>IF($J3262=0,0,ROUND(MAX($J3262*1.4*1.5,2190000*(1.580994^(MIN($E3262,123)-117)))*1,0))</f>
        <v>44730</v>
      </c>
      <c r="O3262" s="13">
        <f>$E3262+4</f>
        <v>109</v>
      </c>
      <c r="P3262" s="14">
        <f>IF($J3262=0,0,ROUND(MAX($J3262*1.4*1.5*1.6,3500000*(1.57975^(MIN($E3262,123)-117)))*1,0))</f>
        <v>71568</v>
      </c>
      <c r="Q3262" s="11">
        <f>$E3262+6</f>
        <v>111</v>
      </c>
      <c r="R3262" s="12">
        <f>IF($J3262=0,0,ROUND(MAX($J3262*1.4*1.5*1.6*1.6,13100000*(1.429962^(MIN($E3262,123)-117)))*1,0))</f>
        <v>179216</v>
      </c>
      <c r="S3262" s="13">
        <f>$E3262+8</f>
        <v>113</v>
      </c>
      <c r="T3262" s="14">
        <f>IF($J3262=0,0,ROUND(MAX($J3262*1.4*1.5*1.6*1.6*2.2,42600000*(1.576904^(MIN($E3262,123)-117)))*1,0))</f>
        <v>251919</v>
      </c>
      <c r="U3262" s="11">
        <f>$E3262+11</f>
        <v>116</v>
      </c>
      <c r="V3262" s="12">
        <f>IF($J3262=0,0,ROUND(MAX($J3262*1.4*1.5*1.6*1.6*2.2*2.715,354000000*(1.642074^(MIN($E3262,123)-117)))*1,0))</f>
        <v>921066</v>
      </c>
      <c r="W3262" s="13">
        <f>$E3262+15</f>
        <v>120</v>
      </c>
      <c r="X3262" s="14">
        <f>IF($J3262=0,0,ROUND(MAX($J3262*1.4*1.5*1.6*1.6*2.2*2.715*2.6,3540000000*(1.579646^(MIN($E3262,123)-117)))*1,0))</f>
        <v>14665133</v>
      </c>
      <c r="Y3262" s="11">
        <f>$E3262+17</f>
        <v>122</v>
      </c>
      <c r="Z3262" s="12">
        <f>IF($J3262=0,0,ROUND(MAX($J3262*1.4*1.5*1.6*1.6*2.2*2.715*2.6*1.4,6020000000*(1.651178^(MIN($E3262,123)-117)))*1,0))</f>
        <v>14657833</v>
      </c>
      <c r="AA3262" s="13">
        <f>$E3262+19</f>
        <v>124</v>
      </c>
      <c r="AB3262" s="14">
        <f>IF($J3262=0,0,ROUND(MAX($J3262*1.4*1.5*1.6*1.6*2.2*2.715*2.6*1.4*1.4,8430000000*(1.651435^(MIN($E3262,123)-117)))*1,0))</f>
        <v>20487537</v>
      </c>
      <c r="AC3262" s="11">
        <f>$E3262+21</f>
        <v>126</v>
      </c>
      <c r="AD3262" s="12">
        <f>IF($J3262=0,0,ROUND(MAX($J3262*1.4*1.5*1.6*1.6*2.2*2.715*2.6*1.4*1.4*1.5,12600000000*(1.652953^(MIN($E3262,123)-117)))*1,0))</f>
        <v>30286179</v>
      </c>
      <c r="AE3262" s="13">
        <f>$E3262+24</f>
        <v>129</v>
      </c>
      <c r="AF3262" s="14">
        <f>IF($J3262=0,0,ROUND(MAX($J3262*1.4*1.5*1.6*1.6*2.2*2.715*2.6*1.4*1.4*1.5*1.5,18900000000*(1.65331^(MIN($E3262,123)-117)))*1,0))</f>
        <v>45311693</v>
      </c>
      <c r="AG3262" s="11">
        <f>$E3262+27</f>
        <v>132</v>
      </c>
      <c r="AH3262" s="12">
        <f>IF($J3262=0,0,ROUND(MAX($J3262*1.4*1.5*1.6*1.6*2.2*2.715*2.6*1.4*1.4*1.5*1.5*3.2,60500000000*(1.654288^(MIN($E3262,123)-117)))*1,0))</f>
        <v>144019713</v>
      </c>
    </row>
    <row r="3263" ht="28" customHeight="1" spans="1:34" x14ac:dyDescent="0.25">
      <c r="A3263">
        <v>3273</v>
      </c>
      <c r="B3263" t="s">
        <v>1656</v>
      </c>
      <c r="C3263" s="10" t="s">
        <v>1744</v>
      </c>
      <c r="D3263" t="s">
        <v>47</v>
      </c>
      <c r="E3263">
        <v>105</v>
      </c>
      <c r="F3263" t="s">
        <v>353</v>
      </c>
      <c r="G3263" t="s">
        <v>72</v>
      </c>
      <c r="H3263">
        <v>20</v>
      </c>
      <c r="I3263" s="11">
        <f>$E3263+0</f>
        <v>105</v>
      </c>
      <c r="J3263" s="12">
        <v>53000</v>
      </c>
      <c r="K3263" s="13">
        <f>$E3263+1</f>
        <v>106</v>
      </c>
      <c r="L3263" s="14">
        <f>IF($J3263=0,0,ROUND(MAX($J3263*1.4,1620000*(1.497923^(MIN($E3263,123)-117)))*1,0))</f>
        <v>74200</v>
      </c>
      <c r="M3263" s="11">
        <f>$E3263+2</f>
        <v>107</v>
      </c>
      <c r="N3263" s="12">
        <f>IF($J3263=0,0,ROUND(MAX($J3263*1.4*1.5,2190000*(1.580994^(MIN($E3263,123)-117)))*1,0))</f>
        <v>111300</v>
      </c>
      <c r="O3263" s="13">
        <f>$E3263+4</f>
        <v>109</v>
      </c>
      <c r="P3263" s="14">
        <f>IF($J3263=0,0,ROUND(MAX($J3263*1.4*1.5*1.6,3500000*(1.57975^(MIN($E3263,123)-117)))*1,0))</f>
        <v>178080</v>
      </c>
      <c r="Q3263" s="11">
        <f>$E3263+6</f>
        <v>111</v>
      </c>
      <c r="R3263" s="12">
        <f>IF($J3263=0,0,ROUND(MAX($J3263*1.4*1.5*1.6*1.6,13100000*(1.429962^(MIN($E3263,123)-117)))*1,0))</f>
        <v>284928</v>
      </c>
      <c r="S3263" s="13">
        <f>$E3263+8</f>
        <v>113</v>
      </c>
      <c r="T3263" s="14">
        <f>IF($J3263=0,0,ROUND(MAX($J3263*1.4*1.5*1.6*1.6*2.2,42600000*(1.576904^(MIN($E3263,123)-117)))*1,0))</f>
        <v>626842</v>
      </c>
      <c r="U3263" s="11">
        <f>$E3263+11</f>
        <v>116</v>
      </c>
      <c r="V3263" s="12">
        <f>IF($J3263=0,0,ROUND(MAX($J3263*1.4*1.5*1.6*1.6*2.2*2.715,354000000*(1.642074^(MIN($E3263,123)-117)))*1,0))</f>
        <v>1701875</v>
      </c>
      <c r="W3263" s="13">
        <f>$E3263+15</f>
        <v>120</v>
      </c>
      <c r="X3263" s="14">
        <f>IF($J3263=0,0,ROUND(MAX($J3263*1.4*1.5*1.6*1.6*2.2*2.715*2.6,3540000000*(1.579646^(MIN($E3263,123)-117)))*1,0))</f>
        <v>14665133</v>
      </c>
      <c r="Y3263" s="11">
        <f>$E3263+17</f>
        <v>122</v>
      </c>
      <c r="Z3263" s="12">
        <f>IF($J3263=0,0,ROUND(MAX($J3263*1.4*1.5*1.6*1.6*2.2*2.715*2.6*1.4,6020000000*(1.651178^(MIN($E3263,123)-117)))*1,0))</f>
        <v>14657833</v>
      </c>
      <c r="AA3263" s="13">
        <f>$E3263+19</f>
        <v>124</v>
      </c>
      <c r="AB3263" s="14">
        <f>IF($J3263=0,0,ROUND(MAX($J3263*1.4*1.5*1.6*1.6*2.2*2.715*2.6*1.4*1.4,8430000000*(1.651435^(MIN($E3263,123)-117)))*1,0))</f>
        <v>20487537</v>
      </c>
      <c r="AC3263" s="11">
        <f>$E3263+21</f>
        <v>126</v>
      </c>
      <c r="AD3263" s="12">
        <f>IF($J3263=0,0,ROUND(MAX($J3263*1.4*1.5*1.6*1.6*2.2*2.715*2.6*1.4*1.4*1.5,12600000000*(1.652953^(MIN($E3263,123)-117)))*1,0))</f>
        <v>30286179</v>
      </c>
      <c r="AE3263" s="13">
        <f>$E3263+24</f>
        <v>129</v>
      </c>
      <c r="AF3263" s="14">
        <f>IF($J3263=0,0,ROUND(MAX($J3263*1.4*1.5*1.6*1.6*2.2*2.715*2.6*1.4*1.4*1.5*1.5,18900000000*(1.65331^(MIN($E3263,123)-117)))*1,0))</f>
        <v>45311693</v>
      </c>
      <c r="AG3263" s="11">
        <f>$E3263+27</f>
        <v>132</v>
      </c>
      <c r="AH3263" s="12">
        <f>IF($J3263=0,0,ROUND(MAX($J3263*1.4*1.5*1.6*1.6*2.2*2.715*2.6*1.4*1.4*1.5*1.5*3.2,60500000000*(1.654288^(MIN($E3263,123)-117)))*1,0))</f>
        <v>144019713</v>
      </c>
    </row>
    <row r="3264" ht="28" customHeight="1" spans="1:34" x14ac:dyDescent="0.25">
      <c r="A3264">
        <v>3274</v>
      </c>
      <c r="B3264" t="s">
        <v>1751</v>
      </c>
      <c r="C3264" s="10" t="s">
        <v>1744</v>
      </c>
      <c r="D3264" t="s">
        <v>25</v>
      </c>
      <c r="E3264">
        <v>104</v>
      </c>
      <c r="F3264" t="s">
        <v>26</v>
      </c>
      <c r="G3264" t="s">
        <v>329</v>
      </c>
      <c r="H3264">
        <v>23</v>
      </c>
      <c r="I3264" s="11">
        <f>$E3264+0</f>
        <v>104</v>
      </c>
      <c r="J3264" s="12">
        <v>39200</v>
      </c>
      <c r="K3264" s="13">
        <f>$E3264+1</f>
        <v>105</v>
      </c>
      <c r="L3264" s="14">
        <f>IF($J3264=0,0,ROUND(MAX($J3264*1.4,1620000*(1.497923^(MIN($E3264,123)-117)))*1,0))</f>
        <v>54880</v>
      </c>
      <c r="M3264" s="11">
        <f>$E3264+2</f>
        <v>106</v>
      </c>
      <c r="N3264" s="12">
        <f>IF($J3264=0,0,ROUND(MAX($J3264*1.4*1.5,2190000*(1.580994^(MIN($E3264,123)-117)))*1,0))</f>
        <v>82320</v>
      </c>
      <c r="O3264" s="13">
        <f>$E3264+4</f>
        <v>108</v>
      </c>
      <c r="P3264" s="14">
        <f>IF($J3264=0,0,ROUND(MAX($J3264*1.4*1.5*1.6,3500000*(1.57975^(MIN($E3264,123)-117)))*1,0))</f>
        <v>131712</v>
      </c>
      <c r="Q3264" s="11">
        <f>$E3264+6</f>
        <v>110</v>
      </c>
      <c r="R3264" s="12">
        <f>IF($J3264=0,0,ROUND(MAX($J3264*1.4*1.5*1.6*1.6,13100000*(1.429962^(MIN($E3264,123)-117)))*1,0))</f>
        <v>210739</v>
      </c>
      <c r="S3264" s="13">
        <f>$E3264+8</f>
        <v>112</v>
      </c>
      <c r="T3264" s="14">
        <f>IF($J3264=0,0,ROUND(MAX($J3264*1.4*1.5*1.6*1.6*2.2,42600000*(1.576904^(MIN($E3264,123)-117)))*1,0))</f>
        <v>463626</v>
      </c>
      <c r="U3264" s="11">
        <f>$E3264+11</f>
        <v>115</v>
      </c>
      <c r="V3264" s="12">
        <f>IF($J3264=0,0,ROUND(MAX($J3264*1.4*1.5*1.6*1.6*2.2*2.715,354000000*(1.642074^(MIN($E3264,123)-117)))*1,0))</f>
        <v>1258745</v>
      </c>
      <c r="W3264" s="13">
        <f>$E3264+15</f>
        <v>119</v>
      </c>
      <c r="X3264" s="14">
        <f>IF($J3264=0,0,ROUND(MAX($J3264*1.4*1.5*1.6*1.6*2.2*2.715*2.6,3540000000*(1.579646^(MIN($E3264,123)-117)))*1,0))</f>
        <v>9283810</v>
      </c>
      <c r="Y3264" s="11">
        <f>$E3264+17</f>
        <v>121</v>
      </c>
      <c r="Z3264" s="12">
        <f>IF($J3264=0,0,ROUND(MAX($J3264*1.4*1.5*1.6*1.6*2.2*2.715*2.6*1.4,6020000000*(1.651178^(MIN($E3264,123)-117)))*1,0))</f>
        <v>8877197</v>
      </c>
      <c r="AA3264" s="13">
        <f>$E3264+19</f>
        <v>123</v>
      </c>
      <c r="AB3264" s="14">
        <f>IF($J3264=0,0,ROUND(MAX($J3264*1.4*1.5*1.6*1.6*2.2*2.715*2.6*1.4*1.4,8430000000*(1.651435^(MIN($E3264,123)-117)))*1,0))</f>
        <v>12405900</v>
      </c>
      <c r="AC3264" s="11">
        <f>$E3264+21</f>
        <v>125</v>
      </c>
      <c r="AD3264" s="12">
        <f>IF($J3264=0,0,ROUND(MAX($J3264*1.4*1.5*1.6*1.6*2.2*2.715*2.6*1.4*1.4*1.5,12600000000*(1.652953^(MIN($E3264,123)-117)))*1,0))</f>
        <v>18322468</v>
      </c>
      <c r="AE3264" s="13">
        <f>$E3264+24</f>
        <v>128</v>
      </c>
      <c r="AF3264" s="14">
        <f>IF($J3264=0,0,ROUND(MAX($J3264*1.4*1.5*1.6*1.6*2.2*2.715*2.6*1.4*1.4*1.5*1.5,18900000000*(1.65331^(MIN($E3264,123)-117)))*1,0))</f>
        <v>27406653</v>
      </c>
      <c r="AG3264" s="11">
        <f>$E3264+27</f>
        <v>131</v>
      </c>
      <c r="AH3264" s="12">
        <f>IF($J3264=0,0,ROUND(MAX($J3264*1.4*1.5*1.6*1.6*2.2*2.715*2.6*1.4*1.4*1.5*1.5*3.2,60500000000*(1.654288^(MIN($E3264,123)-117)))*1,0))</f>
        <v>87058428</v>
      </c>
    </row>
    <row r="3265" ht="28" customHeight="1" spans="1:34" x14ac:dyDescent="0.25">
      <c r="A3265">
        <v>3275</v>
      </c>
      <c r="B3265" t="s">
        <v>275</v>
      </c>
      <c r="C3265" s="10" t="s">
        <v>1744</v>
      </c>
      <c r="D3265" t="s">
        <v>45</v>
      </c>
      <c r="E3265">
        <v>104</v>
      </c>
      <c r="F3265" t="s">
        <v>71</v>
      </c>
      <c r="G3265" t="s">
        <v>206</v>
      </c>
      <c r="H3265">
        <v>23</v>
      </c>
      <c r="I3265" s="11">
        <f>$E3265+0</f>
        <v>104</v>
      </c>
      <c r="J3265" s="12">
        <v>10000</v>
      </c>
      <c r="K3265" s="13">
        <f>$E3265+1</f>
        <v>105</v>
      </c>
      <c r="L3265" s="14">
        <f>IF($J3265=0,0,ROUND(MAX($J3265*1.4,1620000*(1.497923^(MIN($E3265,123)-117)))*1,0))</f>
        <v>14000</v>
      </c>
      <c r="M3265" s="11">
        <f>$E3265+2</f>
        <v>106</v>
      </c>
      <c r="N3265" s="12">
        <f>IF($J3265=0,0,ROUND(MAX($J3265*1.4*1.5,2190000*(1.580994^(MIN($E3265,123)-117)))*1,0))</f>
        <v>21000</v>
      </c>
      <c r="O3265" s="13">
        <f>$E3265+4</f>
        <v>108</v>
      </c>
      <c r="P3265" s="14">
        <f>IF($J3265=0,0,ROUND(MAX($J3265*1.4*1.5*1.6,3500000*(1.57975^(MIN($E3265,123)-117)))*1,0))</f>
        <v>33600</v>
      </c>
      <c r="Q3265" s="11">
        <f>$E3265+6</f>
        <v>110</v>
      </c>
      <c r="R3265" s="12">
        <f>IF($J3265=0,0,ROUND(MAX($J3265*1.4*1.5*1.6*1.6,13100000*(1.429962^(MIN($E3265,123)-117)))*1,0))</f>
        <v>125329</v>
      </c>
      <c r="S3265" s="13">
        <f>$E3265+8</f>
        <v>112</v>
      </c>
      <c r="T3265" s="14">
        <f>IF($J3265=0,0,ROUND(MAX($J3265*1.4*1.5*1.6*1.6*2.2,42600000*(1.576904^(MIN($E3265,123)-117)))*1,0))</f>
        <v>118272</v>
      </c>
      <c r="U3265" s="11">
        <f>$E3265+11</f>
        <v>115</v>
      </c>
      <c r="V3265" s="12">
        <f>IF($J3265=0,0,ROUND(MAX($J3265*1.4*1.5*1.6*1.6*2.2*2.715,354000000*(1.642074^(MIN($E3265,123)-117)))*1,0))</f>
        <v>560916</v>
      </c>
      <c r="W3265" s="13">
        <f>$E3265+15</f>
        <v>119</v>
      </c>
      <c r="X3265" s="14">
        <f>IF($J3265=0,0,ROUND(MAX($J3265*1.4*1.5*1.6*1.6*2.2*2.715*2.6,3540000000*(1.579646^(MIN($E3265,123)-117)))*1,0))</f>
        <v>9283810</v>
      </c>
      <c r="Y3265" s="11">
        <f>$E3265+17</f>
        <v>121</v>
      </c>
      <c r="Z3265" s="12">
        <f>IF($J3265=0,0,ROUND(MAX($J3265*1.4*1.5*1.6*1.6*2.2*2.715*2.6*1.4,6020000000*(1.651178^(MIN($E3265,123)-117)))*1,0))</f>
        <v>8877197</v>
      </c>
      <c r="AA3265" s="13">
        <f>$E3265+19</f>
        <v>123</v>
      </c>
      <c r="AB3265" s="14">
        <f>IF($J3265=0,0,ROUND(MAX($J3265*1.4*1.5*1.6*1.6*2.2*2.715*2.6*1.4*1.4,8430000000*(1.651435^(MIN($E3265,123)-117)))*1,0))</f>
        <v>12405900</v>
      </c>
      <c r="AC3265" s="11">
        <f>$E3265+21</f>
        <v>125</v>
      </c>
      <c r="AD3265" s="12">
        <f>IF($J3265=0,0,ROUND(MAX($J3265*1.4*1.5*1.6*1.6*2.2*2.715*2.6*1.4*1.4*1.5,12600000000*(1.652953^(MIN($E3265,123)-117)))*1,0))</f>
        <v>18322468</v>
      </c>
      <c r="AE3265" s="13">
        <f>$E3265+24</f>
        <v>128</v>
      </c>
      <c r="AF3265" s="14">
        <f>IF($J3265=0,0,ROUND(MAX($J3265*1.4*1.5*1.6*1.6*2.2*2.715*2.6*1.4*1.4*1.5*1.5,18900000000*(1.65331^(MIN($E3265,123)-117)))*1,0))</f>
        <v>27406653</v>
      </c>
      <c r="AG3265" s="11">
        <f>$E3265+27</f>
        <v>131</v>
      </c>
      <c r="AH3265" s="12">
        <f>IF($J3265=0,0,ROUND(MAX($J3265*1.4*1.5*1.6*1.6*2.2*2.715*2.6*1.4*1.4*1.5*1.5*3.2,60500000000*(1.654288^(MIN($E3265,123)-117)))*1,0))</f>
        <v>87058428</v>
      </c>
    </row>
    <row r="3266" ht="28" customHeight="1" spans="1:34" x14ac:dyDescent="0.25">
      <c r="A3266">
        <v>3276</v>
      </c>
      <c r="B3266" t="s">
        <v>1679</v>
      </c>
      <c r="C3266" s="10" t="s">
        <v>1744</v>
      </c>
      <c r="D3266" t="s">
        <v>79</v>
      </c>
      <c r="E3266">
        <v>104</v>
      </c>
      <c r="F3266" t="s">
        <v>59</v>
      </c>
      <c r="G3266" t="s">
        <v>319</v>
      </c>
      <c r="H3266">
        <v>23</v>
      </c>
      <c r="I3266" s="11">
        <f>$E3266+0</f>
        <v>104</v>
      </c>
      <c r="J3266" s="12">
        <v>43600</v>
      </c>
      <c r="K3266" s="13">
        <f>$E3266+1</f>
        <v>105</v>
      </c>
      <c r="L3266" s="14">
        <f>IF($J3266=0,0,ROUND(MAX($J3266*1.4,1620000*(1.497923^(MIN($E3266,123)-117)))*1,0))</f>
        <v>61040</v>
      </c>
      <c r="M3266" s="11">
        <f>$E3266+2</f>
        <v>106</v>
      </c>
      <c r="N3266" s="12">
        <f>IF($J3266=0,0,ROUND(MAX($J3266*1.4*1.5,2190000*(1.580994^(MIN($E3266,123)-117)))*1,0))</f>
        <v>91560</v>
      </c>
      <c r="O3266" s="13">
        <f>$E3266+4</f>
        <v>108</v>
      </c>
      <c r="P3266" s="14">
        <f>IF($J3266=0,0,ROUND(MAX($J3266*1.4*1.5*1.6,3500000*(1.57975^(MIN($E3266,123)-117)))*1,0))</f>
        <v>146496</v>
      </c>
      <c r="Q3266" s="11">
        <f>$E3266+6</f>
        <v>110</v>
      </c>
      <c r="R3266" s="12">
        <f>IF($J3266=0,0,ROUND(MAX($J3266*1.4*1.5*1.6*1.6,13100000*(1.429962^(MIN($E3266,123)-117)))*1,0))</f>
        <v>234394</v>
      </c>
      <c r="S3266" s="13">
        <f>$E3266+8</f>
        <v>112</v>
      </c>
      <c r="T3266" s="14">
        <f>IF($J3266=0,0,ROUND(MAX($J3266*1.4*1.5*1.6*1.6*2.2,42600000*(1.576904^(MIN($E3266,123)-117)))*1,0))</f>
        <v>515666</v>
      </c>
      <c r="U3266" s="11">
        <f>$E3266+11</f>
        <v>115</v>
      </c>
      <c r="V3266" s="12">
        <f>IF($J3266=0,0,ROUND(MAX($J3266*1.4*1.5*1.6*1.6*2.2*2.715,354000000*(1.642074^(MIN($E3266,123)-117)))*1,0))</f>
        <v>1400033</v>
      </c>
      <c r="W3266" s="13">
        <f>$E3266+15</f>
        <v>119</v>
      </c>
      <c r="X3266" s="14">
        <f>IF($J3266=0,0,ROUND(MAX($J3266*1.4*1.5*1.6*1.6*2.2*2.715*2.6,3540000000*(1.579646^(MIN($E3266,123)-117)))*1,0))</f>
        <v>9283810</v>
      </c>
      <c r="Y3266" s="11">
        <f>$E3266+17</f>
        <v>121</v>
      </c>
      <c r="Z3266" s="12">
        <f>IF($J3266=0,0,ROUND(MAX($J3266*1.4*1.5*1.6*1.6*2.2*2.715*2.6*1.4,6020000000*(1.651178^(MIN($E3266,123)-117)))*1,0))</f>
        <v>8877197</v>
      </c>
      <c r="AA3266" s="13">
        <f>$E3266+19</f>
        <v>123</v>
      </c>
      <c r="AB3266" s="14">
        <f>IF($J3266=0,0,ROUND(MAX($J3266*1.4*1.5*1.6*1.6*2.2*2.715*2.6*1.4*1.4,8430000000*(1.651435^(MIN($E3266,123)-117)))*1,0))</f>
        <v>12405900</v>
      </c>
      <c r="AC3266" s="11">
        <f>$E3266+21</f>
        <v>125</v>
      </c>
      <c r="AD3266" s="12">
        <f>IF($J3266=0,0,ROUND(MAX($J3266*1.4*1.5*1.6*1.6*2.2*2.715*2.6*1.4*1.4*1.5,12600000000*(1.652953^(MIN($E3266,123)-117)))*1,0))</f>
        <v>18322468</v>
      </c>
      <c r="AE3266" s="13">
        <f>$E3266+24</f>
        <v>128</v>
      </c>
      <c r="AF3266" s="14">
        <f>IF($J3266=0,0,ROUND(MAX($J3266*1.4*1.5*1.6*1.6*2.2*2.715*2.6*1.4*1.4*1.5*1.5,18900000000*(1.65331^(MIN($E3266,123)-117)))*1,0))</f>
        <v>27406653</v>
      </c>
      <c r="AG3266" s="11">
        <f>$E3266+27</f>
        <v>131</v>
      </c>
      <c r="AH3266" s="12">
        <f>IF($J3266=0,0,ROUND(MAX($J3266*1.4*1.5*1.6*1.6*2.2*2.715*2.6*1.4*1.4*1.5*1.5*3.2,60500000000*(1.654288^(MIN($E3266,123)-117)))*1,0))</f>
        <v>87058428</v>
      </c>
    </row>
    <row r="3267" ht="28" customHeight="1" spans="1:34" x14ac:dyDescent="0.25">
      <c r="A3267">
        <v>3277</v>
      </c>
      <c r="B3267" t="s">
        <v>833</v>
      </c>
      <c r="C3267" s="10" t="s">
        <v>1744</v>
      </c>
      <c r="D3267" t="s">
        <v>25</v>
      </c>
      <c r="E3267">
        <v>104</v>
      </c>
      <c r="F3267" t="s">
        <v>223</v>
      </c>
      <c r="G3267" t="s">
        <v>95</v>
      </c>
      <c r="H3267">
        <v>23</v>
      </c>
      <c r="I3267" s="11">
        <f>$E3267+0</f>
        <v>104</v>
      </c>
      <c r="J3267" s="12">
        <v>19600</v>
      </c>
      <c r="K3267" s="13">
        <f>$E3267+1</f>
        <v>105</v>
      </c>
      <c r="L3267" s="14">
        <f>IF($J3267=0,0,ROUND(MAX($J3267*1.4,1620000*(1.497923^(MIN($E3267,123)-117)))*1,0))</f>
        <v>27440</v>
      </c>
      <c r="M3267" s="11">
        <f>$E3267+2</f>
        <v>106</v>
      </c>
      <c r="N3267" s="12">
        <f>IF($J3267=0,0,ROUND(MAX($J3267*1.4*1.5,2190000*(1.580994^(MIN($E3267,123)-117)))*1,0))</f>
        <v>41160</v>
      </c>
      <c r="O3267" s="13">
        <f>$E3267+4</f>
        <v>108</v>
      </c>
      <c r="P3267" s="14">
        <f>IF($J3267=0,0,ROUND(MAX($J3267*1.4*1.5*1.6,3500000*(1.57975^(MIN($E3267,123)-117)))*1,0))</f>
        <v>65856</v>
      </c>
      <c r="Q3267" s="11">
        <f>$E3267+6</f>
        <v>110</v>
      </c>
      <c r="R3267" s="12">
        <f>IF($J3267=0,0,ROUND(MAX($J3267*1.4*1.5*1.6*1.6,13100000*(1.429962^(MIN($E3267,123)-117)))*1,0))</f>
        <v>125329</v>
      </c>
      <c r="S3267" s="13">
        <f>$E3267+8</f>
        <v>112</v>
      </c>
      <c r="T3267" s="14">
        <f>IF($J3267=0,0,ROUND(MAX($J3267*1.4*1.5*1.6*1.6*2.2,42600000*(1.576904^(MIN($E3267,123)-117)))*1,0))</f>
        <v>231813</v>
      </c>
      <c r="U3267" s="11">
        <f>$E3267+11</f>
        <v>115</v>
      </c>
      <c r="V3267" s="12">
        <f>IF($J3267=0,0,ROUND(MAX($J3267*1.4*1.5*1.6*1.6*2.2*2.715,354000000*(1.642074^(MIN($E3267,123)-117)))*1,0))</f>
        <v>629373</v>
      </c>
      <c r="W3267" s="13">
        <f>$E3267+15</f>
        <v>119</v>
      </c>
      <c r="X3267" s="14">
        <f>IF($J3267=0,0,ROUND(MAX($J3267*1.4*1.5*1.6*1.6*2.2*2.715*2.6,3540000000*(1.579646^(MIN($E3267,123)-117)))*1,0))</f>
        <v>9283810</v>
      </c>
      <c r="Y3267" s="11">
        <f>$E3267+17</f>
        <v>121</v>
      </c>
      <c r="Z3267" s="12">
        <f>IF($J3267=0,0,ROUND(MAX($J3267*1.4*1.5*1.6*1.6*2.2*2.715*2.6*1.4,6020000000*(1.651178^(MIN($E3267,123)-117)))*1,0))</f>
        <v>8877197</v>
      </c>
      <c r="AA3267" s="13">
        <f>$E3267+19</f>
        <v>123</v>
      </c>
      <c r="AB3267" s="14">
        <f>IF($J3267=0,0,ROUND(MAX($J3267*1.4*1.5*1.6*1.6*2.2*2.715*2.6*1.4*1.4,8430000000*(1.651435^(MIN($E3267,123)-117)))*1,0))</f>
        <v>12405900</v>
      </c>
      <c r="AC3267" s="11">
        <f>$E3267+21</f>
        <v>125</v>
      </c>
      <c r="AD3267" s="12">
        <f>IF($J3267=0,0,ROUND(MAX($J3267*1.4*1.5*1.6*1.6*2.2*2.715*2.6*1.4*1.4*1.5,12600000000*(1.652953^(MIN($E3267,123)-117)))*1,0))</f>
        <v>18322468</v>
      </c>
      <c r="AE3267" s="13">
        <f>$E3267+24</f>
        <v>128</v>
      </c>
      <c r="AF3267" s="14">
        <f>IF($J3267=0,0,ROUND(MAX($J3267*1.4*1.5*1.6*1.6*2.2*2.715*2.6*1.4*1.4*1.5*1.5,18900000000*(1.65331^(MIN($E3267,123)-117)))*1,0))</f>
        <v>27406653</v>
      </c>
      <c r="AG3267" s="11">
        <f>$E3267+27</f>
        <v>131</v>
      </c>
      <c r="AH3267" s="12">
        <f>IF($J3267=0,0,ROUND(MAX($J3267*1.4*1.5*1.6*1.6*2.2*2.715*2.6*1.4*1.4*1.5*1.5*3.2,60500000000*(1.654288^(MIN($E3267,123)-117)))*1,0))</f>
        <v>87058428</v>
      </c>
    </row>
    <row r="3268" ht="28" customHeight="1" spans="1:34" x14ac:dyDescent="0.25">
      <c r="A3268">
        <v>3278</v>
      </c>
      <c r="B3268" t="s">
        <v>1752</v>
      </c>
      <c r="C3268" s="10" t="s">
        <v>1744</v>
      </c>
      <c r="D3268" t="s">
        <v>40</v>
      </c>
      <c r="E3268">
        <v>104</v>
      </c>
      <c r="F3268" t="s">
        <v>108</v>
      </c>
      <c r="G3268" t="s">
        <v>349</v>
      </c>
      <c r="H3268">
        <v>23</v>
      </c>
      <c r="I3268" s="11">
        <f>$E3268+0</f>
        <v>104</v>
      </c>
      <c r="J3268" s="12">
        <v>21700</v>
      </c>
      <c r="K3268" s="13">
        <f>$E3268+1</f>
        <v>105</v>
      </c>
      <c r="L3268" s="14">
        <f>IF($J3268=0,0,ROUND(MAX($J3268*1.4,1620000*(1.497923^(MIN($E3268,123)-117)))*1,0))</f>
        <v>30380</v>
      </c>
      <c r="M3268" s="11">
        <f>$E3268+2</f>
        <v>106</v>
      </c>
      <c r="N3268" s="12">
        <f>IF($J3268=0,0,ROUND(MAX($J3268*1.4*1.5,2190000*(1.580994^(MIN($E3268,123)-117)))*1,0))</f>
        <v>45570</v>
      </c>
      <c r="O3268" s="13">
        <f>$E3268+4</f>
        <v>108</v>
      </c>
      <c r="P3268" s="14">
        <f>IF($J3268=0,0,ROUND(MAX($J3268*1.4*1.5*1.6,3500000*(1.57975^(MIN($E3268,123)-117)))*1,0))</f>
        <v>72912</v>
      </c>
      <c r="Q3268" s="11">
        <f>$E3268+6</f>
        <v>110</v>
      </c>
      <c r="R3268" s="12">
        <f>IF($J3268=0,0,ROUND(MAX($J3268*1.4*1.5*1.6*1.6,13100000*(1.429962^(MIN($E3268,123)-117)))*1,0))</f>
        <v>125329</v>
      </c>
      <c r="S3268" s="13">
        <f>$E3268+8</f>
        <v>112</v>
      </c>
      <c r="T3268" s="14">
        <f>IF($J3268=0,0,ROUND(MAX($J3268*1.4*1.5*1.6*1.6*2.2,42600000*(1.576904^(MIN($E3268,123)-117)))*1,0))</f>
        <v>256650</v>
      </c>
      <c r="U3268" s="11">
        <f>$E3268+11</f>
        <v>115</v>
      </c>
      <c r="V3268" s="12">
        <f>IF($J3268=0,0,ROUND(MAX($J3268*1.4*1.5*1.6*1.6*2.2*2.715,354000000*(1.642074^(MIN($E3268,123)-117)))*1,0))</f>
        <v>696805</v>
      </c>
      <c r="W3268" s="13">
        <f>$E3268+15</f>
        <v>119</v>
      </c>
      <c r="X3268" s="14">
        <f>IF($J3268=0,0,ROUND(MAX($J3268*1.4*1.5*1.6*1.6*2.2*2.715*2.6,3540000000*(1.579646^(MIN($E3268,123)-117)))*1,0))</f>
        <v>9283810</v>
      </c>
      <c r="Y3268" s="11">
        <f>$E3268+17</f>
        <v>121</v>
      </c>
      <c r="Z3268" s="12">
        <f>IF($J3268=0,0,ROUND(MAX($J3268*1.4*1.5*1.6*1.6*2.2*2.715*2.6*1.4,6020000000*(1.651178^(MIN($E3268,123)-117)))*1,0))</f>
        <v>8877197</v>
      </c>
      <c r="AA3268" s="13">
        <f>$E3268+19</f>
        <v>123</v>
      </c>
      <c r="AB3268" s="14">
        <f>IF($J3268=0,0,ROUND(MAX($J3268*1.4*1.5*1.6*1.6*2.2*2.715*2.6*1.4*1.4,8430000000*(1.651435^(MIN($E3268,123)-117)))*1,0))</f>
        <v>12405900</v>
      </c>
      <c r="AC3268" s="11">
        <f>$E3268+21</f>
        <v>125</v>
      </c>
      <c r="AD3268" s="12">
        <f>IF($J3268=0,0,ROUND(MAX($J3268*1.4*1.5*1.6*1.6*2.2*2.715*2.6*1.4*1.4*1.5,12600000000*(1.652953^(MIN($E3268,123)-117)))*1,0))</f>
        <v>18322468</v>
      </c>
      <c r="AE3268" s="13">
        <f>$E3268+24</f>
        <v>128</v>
      </c>
      <c r="AF3268" s="14">
        <f>IF($J3268=0,0,ROUND(MAX($J3268*1.4*1.5*1.6*1.6*2.2*2.715*2.6*1.4*1.4*1.5*1.5,18900000000*(1.65331^(MIN($E3268,123)-117)))*1,0))</f>
        <v>27406653</v>
      </c>
      <c r="AG3268" s="11">
        <f>$E3268+27</f>
        <v>131</v>
      </c>
      <c r="AH3268" s="12">
        <f>IF($J3268=0,0,ROUND(MAX($J3268*1.4*1.5*1.6*1.6*2.2*2.715*2.6*1.4*1.4*1.5*1.5*3.2,60500000000*(1.654288^(MIN($E3268,123)-117)))*1,0))</f>
        <v>87058428</v>
      </c>
    </row>
    <row r="3269" ht="28" customHeight="1" spans="1:34" x14ac:dyDescent="0.25">
      <c r="A3269">
        <v>3279</v>
      </c>
      <c r="B3269" t="s">
        <v>1753</v>
      </c>
      <c r="C3269" s="10" t="s">
        <v>1744</v>
      </c>
      <c r="D3269" t="s">
        <v>25</v>
      </c>
      <c r="E3269">
        <v>104</v>
      </c>
      <c r="F3269" t="s">
        <v>30</v>
      </c>
      <c r="G3269" t="s">
        <v>562</v>
      </c>
      <c r="H3269">
        <v>23</v>
      </c>
      <c r="I3269" s="11">
        <f>$E3269+0</f>
        <v>104</v>
      </c>
      <c r="J3269" s="12">
        <v>9410000</v>
      </c>
      <c r="K3269" s="13">
        <f>$E3269+1</f>
        <v>105</v>
      </c>
      <c r="L3269" s="14">
        <f>IF($J3269=0,0,ROUND(MAX($J3269*1.4,1620000*(1.497923^(MIN($E3269,123)-117)))*1,0))</f>
        <v>13174000</v>
      </c>
      <c r="M3269" s="11">
        <f>$E3269+2</f>
        <v>106</v>
      </c>
      <c r="N3269" s="12">
        <f>IF($J3269=0,0,ROUND(MAX($J3269*1.4*1.5,2190000*(1.580994^(MIN($E3269,123)-117)))*1,0))</f>
        <v>19761000</v>
      </c>
      <c r="O3269" s="13">
        <f>$E3269+4</f>
        <v>108</v>
      </c>
      <c r="P3269" s="14">
        <f>IF($J3269=0,0,ROUND(MAX($J3269*1.4*1.5*1.6,3500000*(1.57975^(MIN($E3269,123)-117)))*1,0))</f>
        <v>31617600</v>
      </c>
      <c r="Q3269" s="11">
        <f>$E3269+6</f>
        <v>110</v>
      </c>
      <c r="R3269" s="12">
        <f>IF($J3269=0,0,ROUND(MAX($J3269*1.4*1.5*1.6*1.6,13100000*(1.429962^(MIN($E3269,123)-117)))*1,0))</f>
        <v>50588160</v>
      </c>
      <c r="S3269" s="13">
        <f>$E3269+8</f>
        <v>112</v>
      </c>
      <c r="T3269" s="14">
        <f>IF($J3269=0,0,ROUND(MAX($J3269*1.4*1.5*1.6*1.6*2.2,42600000*(1.576904^(MIN($E3269,123)-117)))*1,0))</f>
        <v>111293952</v>
      </c>
      <c r="U3269" s="11">
        <f>$E3269+11</f>
        <v>115</v>
      </c>
      <c r="V3269" s="12">
        <f>IF($J3269=0,0,ROUND(MAX($J3269*1.4*1.5*1.6*1.6*2.2*2.715,354000000*(1.642074^(MIN($E3269,123)-117)))*1,0))</f>
        <v>302163080</v>
      </c>
      <c r="W3269" s="13">
        <f>$E3269+15</f>
        <v>119</v>
      </c>
      <c r="X3269" s="14">
        <f>IF($J3269=0,0,ROUND(MAX($J3269*1.4*1.5*1.6*1.6*2.2*2.715*2.6,3540000000*(1.579646^(MIN($E3269,123)-117)))*1,0))</f>
        <v>785624007</v>
      </c>
      <c r="Y3269" s="11">
        <f>$E3269+17</f>
        <v>121</v>
      </c>
      <c r="Z3269" s="12">
        <f>IF($J3269=0,0,ROUND(MAX($J3269*1.4*1.5*1.6*1.6*2.2*2.715*2.6*1.4,6020000000*(1.651178^(MIN($E3269,123)-117)))*1,0))</f>
        <v>1099873610</v>
      </c>
      <c r="AA3269" s="13">
        <f>$E3269+19</f>
        <v>123</v>
      </c>
      <c r="AB3269" s="14">
        <f>IF($J3269=0,0,ROUND(MAX($J3269*1.4*1.5*1.6*1.6*2.2*2.715*2.6*1.4*1.4,8430000000*(1.651435^(MIN($E3269,123)-117)))*1,0))</f>
        <v>1539823054</v>
      </c>
      <c r="AC3269" s="11">
        <f>$E3269+21</f>
        <v>125</v>
      </c>
      <c r="AD3269" s="12">
        <f>IF($J3269=0,0,ROUND(MAX($J3269*1.4*1.5*1.6*1.6*2.2*2.715*2.6*1.4*1.4*1.5,12600000000*(1.652953^(MIN($E3269,123)-117)))*1,0))</f>
        <v>2309734581</v>
      </c>
      <c r="AE3269" s="13">
        <f>$E3269+24</f>
        <v>128</v>
      </c>
      <c r="AF3269" s="14">
        <f>IF($J3269=0,0,ROUND(MAX($J3269*1.4*1.5*1.6*1.6*2.2*2.715*2.6*1.4*1.4*1.5*1.5,18900000000*(1.65331^(MIN($E3269,123)-117)))*1,0))</f>
        <v>3464601872</v>
      </c>
      <c r="AG3269" s="11">
        <f>$E3269+27</f>
        <v>131</v>
      </c>
      <c r="AH3269" s="12">
        <f>IF($J3269=0,0,ROUND(MAX($J3269*1.4*1.5*1.6*1.6*2.2*2.715*2.6*1.4*1.4*1.5*1.5*3.2,60500000000*(1.654288^(MIN($E3269,123)-117)))*1,0))</f>
        <v>11086725989</v>
      </c>
    </row>
    <row r="3270" ht="28" customHeight="1" spans="1:34" x14ac:dyDescent="0.25">
      <c r="A3270">
        <v>3280</v>
      </c>
      <c r="B3270" t="s">
        <v>1693</v>
      </c>
      <c r="C3270" s="10" t="s">
        <v>1744</v>
      </c>
      <c r="D3270" t="s">
        <v>45</v>
      </c>
      <c r="E3270">
        <v>104</v>
      </c>
      <c r="F3270" t="s">
        <v>179</v>
      </c>
      <c r="G3270" t="s">
        <v>828</v>
      </c>
      <c r="H3270">
        <v>22</v>
      </c>
      <c r="I3270" s="11">
        <f>$E3270+0</f>
        <v>104</v>
      </c>
      <c r="J3270" s="12">
        <v>38200</v>
      </c>
      <c r="K3270" s="13">
        <f>$E3270+1</f>
        <v>105</v>
      </c>
      <c r="L3270" s="14">
        <f>IF($J3270=0,0,ROUND(MAX($J3270*1.4,1620000*(1.497923^(MIN($E3270,123)-117)))*1,0))</f>
        <v>53480</v>
      </c>
      <c r="M3270" s="11">
        <f>$E3270+2</f>
        <v>106</v>
      </c>
      <c r="N3270" s="12">
        <f>IF($J3270=0,0,ROUND(MAX($J3270*1.4*1.5,2190000*(1.580994^(MIN($E3270,123)-117)))*1,0))</f>
        <v>80220</v>
      </c>
      <c r="O3270" s="13">
        <f>$E3270+4</f>
        <v>108</v>
      </c>
      <c r="P3270" s="14">
        <f>IF($J3270=0,0,ROUND(MAX($J3270*1.4*1.5*1.6,3500000*(1.57975^(MIN($E3270,123)-117)))*1,0))</f>
        <v>128352</v>
      </c>
      <c r="Q3270" s="11">
        <f>$E3270+6</f>
        <v>110</v>
      </c>
      <c r="R3270" s="12">
        <f>IF($J3270=0,0,ROUND(MAX($J3270*1.4*1.5*1.6*1.6,13100000*(1.429962^(MIN($E3270,123)-117)))*1,0))</f>
        <v>205363</v>
      </c>
      <c r="S3270" s="13">
        <f>$E3270+8</f>
        <v>112</v>
      </c>
      <c r="T3270" s="14">
        <f>IF($J3270=0,0,ROUND(MAX($J3270*1.4*1.5*1.6*1.6*2.2,42600000*(1.576904^(MIN($E3270,123)-117)))*1,0))</f>
        <v>451799</v>
      </c>
      <c r="U3270" s="11">
        <f>$E3270+11</f>
        <v>115</v>
      </c>
      <c r="V3270" s="12">
        <f>IF($J3270=0,0,ROUND(MAX($J3270*1.4*1.5*1.6*1.6*2.2*2.715,354000000*(1.642074^(MIN($E3270,123)-117)))*1,0))</f>
        <v>1226634</v>
      </c>
      <c r="W3270" s="13">
        <f>$E3270+15</f>
        <v>119</v>
      </c>
      <c r="X3270" s="14">
        <f>IF($J3270=0,0,ROUND(MAX($J3270*1.4*1.5*1.6*1.6*2.2*2.715*2.6,3540000000*(1.579646^(MIN($E3270,123)-117)))*1,0))</f>
        <v>9283810</v>
      </c>
      <c r="Y3270" s="11">
        <f>$E3270+17</f>
        <v>121</v>
      </c>
      <c r="Z3270" s="12">
        <f>IF($J3270=0,0,ROUND(MAX($J3270*1.4*1.5*1.6*1.6*2.2*2.715*2.6*1.4,6020000000*(1.651178^(MIN($E3270,123)-117)))*1,0))</f>
        <v>8877197</v>
      </c>
      <c r="AA3270" s="13">
        <f>$E3270+19</f>
        <v>123</v>
      </c>
      <c r="AB3270" s="14">
        <f>IF($J3270=0,0,ROUND(MAX($J3270*1.4*1.5*1.6*1.6*2.2*2.715*2.6*1.4*1.4,8430000000*(1.651435^(MIN($E3270,123)-117)))*1,0))</f>
        <v>12405900</v>
      </c>
      <c r="AC3270" s="11">
        <f>$E3270+21</f>
        <v>125</v>
      </c>
      <c r="AD3270" s="12">
        <f>IF($J3270=0,0,ROUND(MAX($J3270*1.4*1.5*1.6*1.6*2.2*2.715*2.6*1.4*1.4*1.5,12600000000*(1.652953^(MIN($E3270,123)-117)))*1,0))</f>
        <v>18322468</v>
      </c>
      <c r="AE3270" s="13">
        <f>$E3270+24</f>
        <v>128</v>
      </c>
      <c r="AF3270" s="14">
        <f>IF($J3270=0,0,ROUND(MAX($J3270*1.4*1.5*1.6*1.6*2.2*2.715*2.6*1.4*1.4*1.5*1.5,18900000000*(1.65331^(MIN($E3270,123)-117)))*1,0))</f>
        <v>27406653</v>
      </c>
      <c r="AG3270" s="11">
        <f>$E3270+27</f>
        <v>131</v>
      </c>
      <c r="AH3270" s="12">
        <f>IF($J3270=0,0,ROUND(MAX($J3270*1.4*1.5*1.6*1.6*2.2*2.715*2.6*1.4*1.4*1.5*1.5*3.2,60500000000*(1.654288^(MIN($E3270,123)-117)))*1,0))</f>
        <v>87058428</v>
      </c>
    </row>
    <row r="3271" ht="28" customHeight="1" spans="1:34" x14ac:dyDescent="0.25">
      <c r="A3271">
        <v>3281</v>
      </c>
      <c r="B3271" t="s">
        <v>728</v>
      </c>
      <c r="C3271" s="10" t="s">
        <v>1744</v>
      </c>
      <c r="D3271" t="s">
        <v>40</v>
      </c>
      <c r="E3271">
        <v>104</v>
      </c>
      <c r="F3271" t="s">
        <v>267</v>
      </c>
      <c r="G3271" t="s">
        <v>729</v>
      </c>
      <c r="H3271">
        <v>22</v>
      </c>
      <c r="I3271" s="11">
        <f>$E3271+0</f>
        <v>104</v>
      </c>
      <c r="J3271" s="12">
        <v>35800</v>
      </c>
      <c r="K3271" s="13">
        <f>$E3271+1</f>
        <v>105</v>
      </c>
      <c r="L3271" s="14">
        <f>IF($J3271=0,0,ROUND(MAX($J3271*1.4,1620000*(1.497923^(MIN($E3271,123)-117)))*1,0))</f>
        <v>50120</v>
      </c>
      <c r="M3271" s="11">
        <f>$E3271+2</f>
        <v>106</v>
      </c>
      <c r="N3271" s="12">
        <f>IF($J3271=0,0,ROUND(MAX($J3271*1.4*1.5,2190000*(1.580994^(MIN($E3271,123)-117)))*1,0))</f>
        <v>75180</v>
      </c>
      <c r="O3271" s="13">
        <f>$E3271+4</f>
        <v>108</v>
      </c>
      <c r="P3271" s="14">
        <f>IF($J3271=0,0,ROUND(MAX($J3271*1.4*1.5*1.6,3500000*(1.57975^(MIN($E3271,123)-117)))*1,0))</f>
        <v>120288</v>
      </c>
      <c r="Q3271" s="11">
        <f>$E3271+6</f>
        <v>110</v>
      </c>
      <c r="R3271" s="12">
        <f>IF($J3271=0,0,ROUND(MAX($J3271*1.4*1.5*1.6*1.6,13100000*(1.429962^(MIN($E3271,123)-117)))*1,0))</f>
        <v>192461</v>
      </c>
      <c r="S3271" s="13">
        <f>$E3271+8</f>
        <v>112</v>
      </c>
      <c r="T3271" s="14">
        <f>IF($J3271=0,0,ROUND(MAX($J3271*1.4*1.5*1.6*1.6*2.2,42600000*(1.576904^(MIN($E3271,123)-117)))*1,0))</f>
        <v>423414</v>
      </c>
      <c r="U3271" s="11">
        <f>$E3271+11</f>
        <v>115</v>
      </c>
      <c r="V3271" s="12">
        <f>IF($J3271=0,0,ROUND(MAX($J3271*1.4*1.5*1.6*1.6*2.2*2.715,354000000*(1.642074^(MIN($E3271,123)-117)))*1,0))</f>
        <v>1149568</v>
      </c>
      <c r="W3271" s="13">
        <f>$E3271+15</f>
        <v>119</v>
      </c>
      <c r="X3271" s="14">
        <f>IF($J3271=0,0,ROUND(MAX($J3271*1.4*1.5*1.6*1.6*2.2*2.715*2.6,3540000000*(1.579646^(MIN($E3271,123)-117)))*1,0))</f>
        <v>9283810</v>
      </c>
      <c r="Y3271" s="11">
        <f>$E3271+17</f>
        <v>121</v>
      </c>
      <c r="Z3271" s="12">
        <f>IF($J3271=0,0,ROUND(MAX($J3271*1.4*1.5*1.6*1.6*2.2*2.715*2.6*1.4,6020000000*(1.651178^(MIN($E3271,123)-117)))*1,0))</f>
        <v>8877197</v>
      </c>
      <c r="AA3271" s="13">
        <f>$E3271+19</f>
        <v>123</v>
      </c>
      <c r="AB3271" s="14">
        <f>IF($J3271=0,0,ROUND(MAX($J3271*1.4*1.5*1.6*1.6*2.2*2.715*2.6*1.4*1.4,8430000000*(1.651435^(MIN($E3271,123)-117)))*1,0))</f>
        <v>12405900</v>
      </c>
      <c r="AC3271" s="11">
        <f>$E3271+21</f>
        <v>125</v>
      </c>
      <c r="AD3271" s="12">
        <f>IF($J3271=0,0,ROUND(MAX($J3271*1.4*1.5*1.6*1.6*2.2*2.715*2.6*1.4*1.4*1.5,12600000000*(1.652953^(MIN($E3271,123)-117)))*1,0))</f>
        <v>18322468</v>
      </c>
      <c r="AE3271" s="13">
        <f>$E3271+24</f>
        <v>128</v>
      </c>
      <c r="AF3271" s="14">
        <f>IF($J3271=0,0,ROUND(MAX($J3271*1.4*1.5*1.6*1.6*2.2*2.715*2.6*1.4*1.4*1.5*1.5,18900000000*(1.65331^(MIN($E3271,123)-117)))*1,0))</f>
        <v>27406653</v>
      </c>
      <c r="AG3271" s="11">
        <f>$E3271+27</f>
        <v>131</v>
      </c>
      <c r="AH3271" s="12">
        <f>IF($J3271=0,0,ROUND(MAX($J3271*1.4*1.5*1.6*1.6*2.2*2.715*2.6*1.4*1.4*1.5*1.5*3.2,60500000000*(1.654288^(MIN($E3271,123)-117)))*1,0))</f>
        <v>87058428</v>
      </c>
    </row>
    <row r="3272" ht="28" customHeight="1" spans="1:34" x14ac:dyDescent="0.25">
      <c r="A3272">
        <v>3282</v>
      </c>
      <c r="B3272" t="s">
        <v>705</v>
      </c>
      <c r="C3272" s="10" t="s">
        <v>1744</v>
      </c>
      <c r="D3272" t="s">
        <v>45</v>
      </c>
      <c r="E3272">
        <v>104</v>
      </c>
      <c r="F3272" t="s">
        <v>212</v>
      </c>
      <c r="G3272" t="s">
        <v>252</v>
      </c>
      <c r="H3272">
        <v>22</v>
      </c>
      <c r="I3272" s="11">
        <f>$E3272+0</f>
        <v>104</v>
      </c>
      <c r="J3272" s="12">
        <v>18500</v>
      </c>
      <c r="K3272" s="13">
        <f>$E3272+1</f>
        <v>105</v>
      </c>
      <c r="L3272" s="14">
        <f>IF($J3272=0,0,ROUND(MAX($J3272*1.4,1620000*(1.497923^(MIN($E3272,123)-117)))*1,0))</f>
        <v>25900</v>
      </c>
      <c r="M3272" s="11">
        <f>$E3272+2</f>
        <v>106</v>
      </c>
      <c r="N3272" s="12">
        <f>IF($J3272=0,0,ROUND(MAX($J3272*1.4*1.5,2190000*(1.580994^(MIN($E3272,123)-117)))*1,0))</f>
        <v>38850</v>
      </c>
      <c r="O3272" s="13">
        <f>$E3272+4</f>
        <v>108</v>
      </c>
      <c r="P3272" s="14">
        <f>IF($J3272=0,0,ROUND(MAX($J3272*1.4*1.5*1.6,3500000*(1.57975^(MIN($E3272,123)-117)))*1,0))</f>
        <v>62160</v>
      </c>
      <c r="Q3272" s="11">
        <f>$E3272+6</f>
        <v>110</v>
      </c>
      <c r="R3272" s="12">
        <f>IF($J3272=0,0,ROUND(MAX($J3272*1.4*1.5*1.6*1.6,13100000*(1.429962^(MIN($E3272,123)-117)))*1,0))</f>
        <v>125329</v>
      </c>
      <c r="S3272" s="13">
        <f>$E3272+8</f>
        <v>112</v>
      </c>
      <c r="T3272" s="14">
        <f>IF($J3272=0,0,ROUND(MAX($J3272*1.4*1.5*1.6*1.6*2.2,42600000*(1.576904^(MIN($E3272,123)-117)))*1,0))</f>
        <v>218803</v>
      </c>
      <c r="U3272" s="11">
        <f>$E3272+11</f>
        <v>115</v>
      </c>
      <c r="V3272" s="12">
        <f>IF($J3272=0,0,ROUND(MAX($J3272*1.4*1.5*1.6*1.6*2.2*2.715,354000000*(1.642074^(MIN($E3272,123)-117)))*1,0))</f>
        <v>594051</v>
      </c>
      <c r="W3272" s="13">
        <f>$E3272+15</f>
        <v>119</v>
      </c>
      <c r="X3272" s="14">
        <f>IF($J3272=0,0,ROUND(MAX($J3272*1.4*1.5*1.6*1.6*2.2*2.715*2.6,3540000000*(1.579646^(MIN($E3272,123)-117)))*1,0))</f>
        <v>9283810</v>
      </c>
      <c r="Y3272" s="11">
        <f>$E3272+17</f>
        <v>121</v>
      </c>
      <c r="Z3272" s="12">
        <f>IF($J3272=0,0,ROUND(MAX($J3272*1.4*1.5*1.6*1.6*2.2*2.715*2.6*1.4,6020000000*(1.651178^(MIN($E3272,123)-117)))*1,0))</f>
        <v>8877197</v>
      </c>
      <c r="AA3272" s="13">
        <f>$E3272+19</f>
        <v>123</v>
      </c>
      <c r="AB3272" s="14">
        <f>IF($J3272=0,0,ROUND(MAX($J3272*1.4*1.5*1.6*1.6*2.2*2.715*2.6*1.4*1.4,8430000000*(1.651435^(MIN($E3272,123)-117)))*1,0))</f>
        <v>12405900</v>
      </c>
      <c r="AC3272" s="11">
        <f>$E3272+21</f>
        <v>125</v>
      </c>
      <c r="AD3272" s="12">
        <f>IF($J3272=0,0,ROUND(MAX($J3272*1.4*1.5*1.6*1.6*2.2*2.715*2.6*1.4*1.4*1.5,12600000000*(1.652953^(MIN($E3272,123)-117)))*1,0))</f>
        <v>18322468</v>
      </c>
      <c r="AE3272" s="13">
        <f>$E3272+24</f>
        <v>128</v>
      </c>
      <c r="AF3272" s="14">
        <f>IF($J3272=0,0,ROUND(MAX($J3272*1.4*1.5*1.6*1.6*2.2*2.715*2.6*1.4*1.4*1.5*1.5,18900000000*(1.65331^(MIN($E3272,123)-117)))*1,0))</f>
        <v>27406653</v>
      </c>
      <c r="AG3272" s="11">
        <f>$E3272+27</f>
        <v>131</v>
      </c>
      <c r="AH3272" s="12">
        <f>IF($J3272=0,0,ROUND(MAX($J3272*1.4*1.5*1.6*1.6*2.2*2.715*2.6*1.4*1.4*1.5*1.5*3.2,60500000000*(1.654288^(MIN($E3272,123)-117)))*1,0))</f>
        <v>87058428</v>
      </c>
    </row>
    <row r="3273" ht="28" customHeight="1" spans="1:34" x14ac:dyDescent="0.25">
      <c r="A3273">
        <v>3283</v>
      </c>
      <c r="B3273" t="s">
        <v>1754</v>
      </c>
      <c r="C3273" s="10" t="s">
        <v>1744</v>
      </c>
      <c r="D3273" t="s">
        <v>79</v>
      </c>
      <c r="E3273">
        <v>104</v>
      </c>
      <c r="F3273" t="s">
        <v>54</v>
      </c>
      <c r="G3273" t="s">
        <v>252</v>
      </c>
      <c r="H3273">
        <v>22</v>
      </c>
      <c r="I3273" s="11">
        <f>$E3273+0</f>
        <v>104</v>
      </c>
      <c r="J3273" s="12">
        <v>27000</v>
      </c>
      <c r="K3273" s="13">
        <f>$E3273+1</f>
        <v>105</v>
      </c>
      <c r="L3273" s="14">
        <f>IF($J3273=0,0,ROUND(MAX($J3273*1.4,1620000*(1.497923^(MIN($E3273,123)-117)))*1,0))</f>
        <v>37800</v>
      </c>
      <c r="M3273" s="11">
        <f>$E3273+2</f>
        <v>106</v>
      </c>
      <c r="N3273" s="12">
        <f>IF($J3273=0,0,ROUND(MAX($J3273*1.4*1.5,2190000*(1.580994^(MIN($E3273,123)-117)))*1,0))</f>
        <v>56700</v>
      </c>
      <c r="O3273" s="13">
        <f>$E3273+4</f>
        <v>108</v>
      </c>
      <c r="P3273" s="14">
        <f>IF($J3273=0,0,ROUND(MAX($J3273*1.4*1.5*1.6,3500000*(1.57975^(MIN($E3273,123)-117)))*1,0))</f>
        <v>90720</v>
      </c>
      <c r="Q3273" s="11">
        <f>$E3273+6</f>
        <v>110</v>
      </c>
      <c r="R3273" s="12">
        <f>IF($J3273=0,0,ROUND(MAX($J3273*1.4*1.5*1.6*1.6,13100000*(1.429962^(MIN($E3273,123)-117)))*1,0))</f>
        <v>145152</v>
      </c>
      <c r="S3273" s="13">
        <f>$E3273+8</f>
        <v>112</v>
      </c>
      <c r="T3273" s="14">
        <f>IF($J3273=0,0,ROUND(MAX($J3273*1.4*1.5*1.6*1.6*2.2,42600000*(1.576904^(MIN($E3273,123)-117)))*1,0))</f>
        <v>319334</v>
      </c>
      <c r="U3273" s="11">
        <f>$E3273+11</f>
        <v>115</v>
      </c>
      <c r="V3273" s="12">
        <f>IF($J3273=0,0,ROUND(MAX($J3273*1.4*1.5*1.6*1.6*2.2*2.715,354000000*(1.642074^(MIN($E3273,123)-117)))*1,0))</f>
        <v>866993</v>
      </c>
      <c r="W3273" s="13">
        <f>$E3273+15</f>
        <v>119</v>
      </c>
      <c r="X3273" s="14">
        <f>IF($J3273=0,0,ROUND(MAX($J3273*1.4*1.5*1.6*1.6*2.2*2.715*2.6,3540000000*(1.579646^(MIN($E3273,123)-117)))*1,0))</f>
        <v>9283810</v>
      </c>
      <c r="Y3273" s="11">
        <f>$E3273+17</f>
        <v>121</v>
      </c>
      <c r="Z3273" s="12">
        <f>IF($J3273=0,0,ROUND(MAX($J3273*1.4*1.5*1.6*1.6*2.2*2.715*2.6*1.4,6020000000*(1.651178^(MIN($E3273,123)-117)))*1,0))</f>
        <v>8877197</v>
      </c>
      <c r="AA3273" s="13">
        <f>$E3273+19</f>
        <v>123</v>
      </c>
      <c r="AB3273" s="14">
        <f>IF($J3273=0,0,ROUND(MAX($J3273*1.4*1.5*1.6*1.6*2.2*2.715*2.6*1.4*1.4,8430000000*(1.651435^(MIN($E3273,123)-117)))*1,0))</f>
        <v>12405900</v>
      </c>
      <c r="AC3273" s="11">
        <f>$E3273+21</f>
        <v>125</v>
      </c>
      <c r="AD3273" s="12">
        <f>IF($J3273=0,0,ROUND(MAX($J3273*1.4*1.5*1.6*1.6*2.2*2.715*2.6*1.4*1.4*1.5,12600000000*(1.652953^(MIN($E3273,123)-117)))*1,0))</f>
        <v>18322468</v>
      </c>
      <c r="AE3273" s="13">
        <f>$E3273+24</f>
        <v>128</v>
      </c>
      <c r="AF3273" s="14">
        <f>IF($J3273=0,0,ROUND(MAX($J3273*1.4*1.5*1.6*1.6*2.2*2.715*2.6*1.4*1.4*1.5*1.5,18900000000*(1.65331^(MIN($E3273,123)-117)))*1,0))</f>
        <v>27406653</v>
      </c>
      <c r="AG3273" s="11">
        <f>$E3273+27</f>
        <v>131</v>
      </c>
      <c r="AH3273" s="12">
        <f>IF($J3273=0,0,ROUND(MAX($J3273*1.4*1.5*1.6*1.6*2.2*2.715*2.6*1.4*1.4*1.5*1.5*3.2,60500000000*(1.654288^(MIN($E3273,123)-117)))*1,0))</f>
        <v>87058428</v>
      </c>
    </row>
    <row r="3274" ht="28" customHeight="1" spans="1:34" x14ac:dyDescent="0.25">
      <c r="A3274">
        <v>3284</v>
      </c>
      <c r="B3274" t="s">
        <v>1677</v>
      </c>
      <c r="C3274" s="10" t="s">
        <v>1744</v>
      </c>
      <c r="D3274" t="s">
        <v>40</v>
      </c>
      <c r="E3274">
        <v>104</v>
      </c>
      <c r="F3274" t="s">
        <v>71</v>
      </c>
      <c r="G3274" t="s">
        <v>562</v>
      </c>
      <c r="H3274">
        <v>22</v>
      </c>
      <c r="I3274" s="11">
        <f>$E3274+0</f>
        <v>104</v>
      </c>
      <c r="J3274" s="12">
        <v>44900</v>
      </c>
      <c r="K3274" s="13">
        <f>$E3274+1</f>
        <v>105</v>
      </c>
      <c r="L3274" s="14">
        <f>IF($J3274=0,0,ROUND(MAX($J3274*1.4,1620000*(1.497923^(MIN($E3274,123)-117)))*1,0))</f>
        <v>62860</v>
      </c>
      <c r="M3274" s="11">
        <f>$E3274+2</f>
        <v>106</v>
      </c>
      <c r="N3274" s="12">
        <f>IF($J3274=0,0,ROUND(MAX($J3274*1.4*1.5,2190000*(1.580994^(MIN($E3274,123)-117)))*1,0))</f>
        <v>94290</v>
      </c>
      <c r="O3274" s="13">
        <f>$E3274+4</f>
        <v>108</v>
      </c>
      <c r="P3274" s="14">
        <f>IF($J3274=0,0,ROUND(MAX($J3274*1.4*1.5*1.6,3500000*(1.57975^(MIN($E3274,123)-117)))*1,0))</f>
        <v>150864</v>
      </c>
      <c r="Q3274" s="11">
        <f>$E3274+6</f>
        <v>110</v>
      </c>
      <c r="R3274" s="12">
        <f>IF($J3274=0,0,ROUND(MAX($J3274*1.4*1.5*1.6*1.6,13100000*(1.429962^(MIN($E3274,123)-117)))*1,0))</f>
        <v>241382</v>
      </c>
      <c r="S3274" s="13">
        <f>$E3274+8</f>
        <v>112</v>
      </c>
      <c r="T3274" s="14">
        <f>IF($J3274=0,0,ROUND(MAX($J3274*1.4*1.5*1.6*1.6*2.2,42600000*(1.576904^(MIN($E3274,123)-117)))*1,0))</f>
        <v>531041</v>
      </c>
      <c r="U3274" s="11">
        <f>$E3274+11</f>
        <v>115</v>
      </c>
      <c r="V3274" s="12">
        <f>IF($J3274=0,0,ROUND(MAX($J3274*1.4*1.5*1.6*1.6*2.2*2.715,354000000*(1.642074^(MIN($E3274,123)-117)))*1,0))</f>
        <v>1441777</v>
      </c>
      <c r="W3274" s="13">
        <f>$E3274+15</f>
        <v>119</v>
      </c>
      <c r="X3274" s="14">
        <f>IF($J3274=0,0,ROUND(MAX($J3274*1.4*1.5*1.6*1.6*2.2*2.715*2.6,3540000000*(1.579646^(MIN($E3274,123)-117)))*1,0))</f>
        <v>9283810</v>
      </c>
      <c r="Y3274" s="11">
        <f>$E3274+17</f>
        <v>121</v>
      </c>
      <c r="Z3274" s="12">
        <f>IF($J3274=0,0,ROUND(MAX($J3274*1.4*1.5*1.6*1.6*2.2*2.715*2.6*1.4,6020000000*(1.651178^(MIN($E3274,123)-117)))*1,0))</f>
        <v>8877197</v>
      </c>
      <c r="AA3274" s="13">
        <f>$E3274+19</f>
        <v>123</v>
      </c>
      <c r="AB3274" s="14">
        <f>IF($J3274=0,0,ROUND(MAX($J3274*1.4*1.5*1.6*1.6*2.2*2.715*2.6*1.4*1.4,8430000000*(1.651435^(MIN($E3274,123)-117)))*1,0))</f>
        <v>12405900</v>
      </c>
      <c r="AC3274" s="11">
        <f>$E3274+21</f>
        <v>125</v>
      </c>
      <c r="AD3274" s="12">
        <f>IF($J3274=0,0,ROUND(MAX($J3274*1.4*1.5*1.6*1.6*2.2*2.715*2.6*1.4*1.4*1.5,12600000000*(1.652953^(MIN($E3274,123)-117)))*1,0))</f>
        <v>18322468</v>
      </c>
      <c r="AE3274" s="13">
        <f>$E3274+24</f>
        <v>128</v>
      </c>
      <c r="AF3274" s="14">
        <f>IF($J3274=0,0,ROUND(MAX($J3274*1.4*1.5*1.6*1.6*2.2*2.715*2.6*1.4*1.4*1.5*1.5,18900000000*(1.65331^(MIN($E3274,123)-117)))*1,0))</f>
        <v>27406653</v>
      </c>
      <c r="AG3274" s="11">
        <f>$E3274+27</f>
        <v>131</v>
      </c>
      <c r="AH3274" s="12">
        <f>IF($J3274=0,0,ROUND(MAX($J3274*1.4*1.5*1.6*1.6*2.2*2.715*2.6*1.4*1.4*1.5*1.5*3.2,60500000000*(1.654288^(MIN($E3274,123)-117)))*1,0))</f>
        <v>87058428</v>
      </c>
    </row>
    <row r="3275" ht="28" customHeight="1" spans="1:34" x14ac:dyDescent="0.25">
      <c r="A3275">
        <v>3285</v>
      </c>
      <c r="B3275" t="s">
        <v>1317</v>
      </c>
      <c r="C3275" s="10" t="s">
        <v>1744</v>
      </c>
      <c r="D3275" t="s">
        <v>165</v>
      </c>
      <c r="E3275">
        <v>104</v>
      </c>
      <c r="F3275" t="s">
        <v>179</v>
      </c>
      <c r="G3275" t="s">
        <v>1312</v>
      </c>
      <c r="H3275">
        <v>22</v>
      </c>
      <c r="I3275" s="11">
        <f>$E3275+0</f>
        <v>104</v>
      </c>
      <c r="J3275" s="12">
        <v>33200</v>
      </c>
      <c r="K3275" s="13">
        <f>$E3275+1</f>
        <v>105</v>
      </c>
      <c r="L3275" s="14">
        <f>IF($J3275=0,0,ROUND(MAX($J3275*1.4,1620000*(1.497923^(MIN($E3275,123)-117)))*1,0))</f>
        <v>46480</v>
      </c>
      <c r="M3275" s="11">
        <f>$E3275+2</f>
        <v>106</v>
      </c>
      <c r="N3275" s="12">
        <f>IF($J3275=0,0,ROUND(MAX($J3275*1.4*1.5,2190000*(1.580994^(MIN($E3275,123)-117)))*1,0))</f>
        <v>69720</v>
      </c>
      <c r="O3275" s="13">
        <f>$E3275+4</f>
        <v>108</v>
      </c>
      <c r="P3275" s="14">
        <f>IF($J3275=0,0,ROUND(MAX($J3275*1.4*1.5*1.6,3500000*(1.57975^(MIN($E3275,123)-117)))*1,0))</f>
        <v>111552</v>
      </c>
      <c r="Q3275" s="11">
        <f>$E3275+6</f>
        <v>110</v>
      </c>
      <c r="R3275" s="12">
        <f>IF($J3275=0,0,ROUND(MAX($J3275*1.4*1.5*1.6*1.6,13100000*(1.429962^(MIN($E3275,123)-117)))*1,0))</f>
        <v>178483</v>
      </c>
      <c r="S3275" s="13">
        <f>$E3275+8</f>
        <v>112</v>
      </c>
      <c r="T3275" s="14">
        <f>IF($J3275=0,0,ROUND(MAX($J3275*1.4*1.5*1.6*1.6*2.2,42600000*(1.576904^(MIN($E3275,123)-117)))*1,0))</f>
        <v>392663</v>
      </c>
      <c r="U3275" s="11">
        <f>$E3275+11</f>
        <v>115</v>
      </c>
      <c r="V3275" s="12">
        <f>IF($J3275=0,0,ROUND(MAX($J3275*1.4*1.5*1.6*1.6*2.2*2.715,354000000*(1.642074^(MIN($E3275,123)-117)))*1,0))</f>
        <v>1066080</v>
      </c>
      <c r="W3275" s="13">
        <f>$E3275+15</f>
        <v>119</v>
      </c>
      <c r="X3275" s="14">
        <f>IF($J3275=0,0,ROUND(MAX($J3275*1.4*1.5*1.6*1.6*2.2*2.715*2.6,3540000000*(1.579646^(MIN($E3275,123)-117)))*1,0))</f>
        <v>9283810</v>
      </c>
      <c r="Y3275" s="11">
        <f>$E3275+17</f>
        <v>121</v>
      </c>
      <c r="Z3275" s="12">
        <f>IF($J3275=0,0,ROUND(MAX($J3275*1.4*1.5*1.6*1.6*2.2*2.715*2.6*1.4,6020000000*(1.651178^(MIN($E3275,123)-117)))*1,0))</f>
        <v>8877197</v>
      </c>
      <c r="AA3275" s="13">
        <f>$E3275+19</f>
        <v>123</v>
      </c>
      <c r="AB3275" s="14">
        <f>IF($J3275=0,0,ROUND(MAX($J3275*1.4*1.5*1.6*1.6*2.2*2.715*2.6*1.4*1.4,8430000000*(1.651435^(MIN($E3275,123)-117)))*1,0))</f>
        <v>12405900</v>
      </c>
      <c r="AC3275" s="11">
        <f>$E3275+21</f>
        <v>125</v>
      </c>
      <c r="AD3275" s="12">
        <f>IF($J3275=0,0,ROUND(MAX($J3275*1.4*1.5*1.6*1.6*2.2*2.715*2.6*1.4*1.4*1.5,12600000000*(1.652953^(MIN($E3275,123)-117)))*1,0))</f>
        <v>18322468</v>
      </c>
      <c r="AE3275" s="13">
        <f>$E3275+24</f>
        <v>128</v>
      </c>
      <c r="AF3275" s="14">
        <f>IF($J3275=0,0,ROUND(MAX($J3275*1.4*1.5*1.6*1.6*2.2*2.715*2.6*1.4*1.4*1.5*1.5,18900000000*(1.65331^(MIN($E3275,123)-117)))*1,0))</f>
        <v>27406653</v>
      </c>
      <c r="AG3275" s="11">
        <f>$E3275+27</f>
        <v>131</v>
      </c>
      <c r="AH3275" s="12">
        <f>IF($J3275=0,0,ROUND(MAX($J3275*1.4*1.5*1.6*1.6*2.2*2.715*2.6*1.4*1.4*1.5*1.5*3.2,60500000000*(1.654288^(MIN($E3275,123)-117)))*1,0))</f>
        <v>87058428</v>
      </c>
    </row>
    <row r="3276" ht="28" customHeight="1" spans="1:34" x14ac:dyDescent="0.25">
      <c r="A3276">
        <v>3286</v>
      </c>
      <c r="B3276" t="s">
        <v>1441</v>
      </c>
      <c r="C3276" s="10" t="s">
        <v>1744</v>
      </c>
      <c r="D3276" t="s">
        <v>45</v>
      </c>
      <c r="E3276">
        <v>104</v>
      </c>
      <c r="F3276" t="s">
        <v>62</v>
      </c>
      <c r="G3276" t="s">
        <v>104</v>
      </c>
      <c r="H3276">
        <v>22</v>
      </c>
      <c r="I3276" s="11">
        <f>$E3276+0</f>
        <v>104</v>
      </c>
      <c r="J3276" s="12">
        <v>11900</v>
      </c>
      <c r="K3276" s="13">
        <f>$E3276+1</f>
        <v>105</v>
      </c>
      <c r="L3276" s="14">
        <f>IF($J3276=0,0,ROUND(MAX($J3276*1.4,1620000*(1.497923^(MIN($E3276,123)-117)))*1,0))</f>
        <v>16660</v>
      </c>
      <c r="M3276" s="11">
        <f>$E3276+2</f>
        <v>106</v>
      </c>
      <c r="N3276" s="12">
        <f>IF($J3276=0,0,ROUND(MAX($J3276*1.4*1.5,2190000*(1.580994^(MIN($E3276,123)-117)))*1,0))</f>
        <v>24990</v>
      </c>
      <c r="O3276" s="13">
        <f>$E3276+4</f>
        <v>108</v>
      </c>
      <c r="P3276" s="14">
        <f>IF($J3276=0,0,ROUND(MAX($J3276*1.4*1.5*1.6,3500000*(1.57975^(MIN($E3276,123)-117)))*1,0))</f>
        <v>39984</v>
      </c>
      <c r="Q3276" s="11">
        <f>$E3276+6</f>
        <v>110</v>
      </c>
      <c r="R3276" s="12">
        <f>IF($J3276=0,0,ROUND(MAX($J3276*1.4*1.5*1.6*1.6,13100000*(1.429962^(MIN($E3276,123)-117)))*1,0))</f>
        <v>125329</v>
      </c>
      <c r="S3276" s="13">
        <f>$E3276+8</f>
        <v>112</v>
      </c>
      <c r="T3276" s="14">
        <f>IF($J3276=0,0,ROUND(MAX($J3276*1.4*1.5*1.6*1.6*2.2,42600000*(1.576904^(MIN($E3276,123)-117)))*1,0))</f>
        <v>140744</v>
      </c>
      <c r="U3276" s="11">
        <f>$E3276+11</f>
        <v>115</v>
      </c>
      <c r="V3276" s="12">
        <f>IF($J3276=0,0,ROUND(MAX($J3276*1.4*1.5*1.6*1.6*2.2*2.715,354000000*(1.642074^(MIN($E3276,123)-117)))*1,0))</f>
        <v>560916</v>
      </c>
      <c r="W3276" s="13">
        <f>$E3276+15</f>
        <v>119</v>
      </c>
      <c r="X3276" s="14">
        <f>IF($J3276=0,0,ROUND(MAX($J3276*1.4*1.5*1.6*1.6*2.2*2.715*2.6,3540000000*(1.579646^(MIN($E3276,123)-117)))*1,0))</f>
        <v>9283810</v>
      </c>
      <c r="Y3276" s="11">
        <f>$E3276+17</f>
        <v>121</v>
      </c>
      <c r="Z3276" s="12">
        <f>IF($J3276=0,0,ROUND(MAX($J3276*1.4*1.5*1.6*1.6*2.2*2.715*2.6*1.4,6020000000*(1.651178^(MIN($E3276,123)-117)))*1,0))</f>
        <v>8877197</v>
      </c>
      <c r="AA3276" s="13">
        <f>$E3276+19</f>
        <v>123</v>
      </c>
      <c r="AB3276" s="14">
        <f>IF($J3276=0,0,ROUND(MAX($J3276*1.4*1.5*1.6*1.6*2.2*2.715*2.6*1.4*1.4,8430000000*(1.651435^(MIN($E3276,123)-117)))*1,0))</f>
        <v>12405900</v>
      </c>
      <c r="AC3276" s="11">
        <f>$E3276+21</f>
        <v>125</v>
      </c>
      <c r="AD3276" s="12">
        <f>IF($J3276=0,0,ROUND(MAX($J3276*1.4*1.5*1.6*1.6*2.2*2.715*2.6*1.4*1.4*1.5,12600000000*(1.652953^(MIN($E3276,123)-117)))*1,0))</f>
        <v>18322468</v>
      </c>
      <c r="AE3276" s="13">
        <f>$E3276+24</f>
        <v>128</v>
      </c>
      <c r="AF3276" s="14">
        <f>IF($J3276=0,0,ROUND(MAX($J3276*1.4*1.5*1.6*1.6*2.2*2.715*2.6*1.4*1.4*1.5*1.5,18900000000*(1.65331^(MIN($E3276,123)-117)))*1,0))</f>
        <v>27406653</v>
      </c>
      <c r="AG3276" s="11">
        <f>$E3276+27</f>
        <v>131</v>
      </c>
      <c r="AH3276" s="12">
        <f>IF($J3276=0,0,ROUND(MAX($J3276*1.4*1.5*1.6*1.6*2.2*2.715*2.6*1.4*1.4*1.5*1.5*3.2,60500000000*(1.654288^(MIN($E3276,123)-117)))*1,0))</f>
        <v>87058428</v>
      </c>
    </row>
    <row r="3277" ht="28" customHeight="1" spans="1:34" x14ac:dyDescent="0.25">
      <c r="A3277">
        <v>3287</v>
      </c>
      <c r="B3277" t="s">
        <v>1755</v>
      </c>
      <c r="C3277" s="10" t="s">
        <v>1744</v>
      </c>
      <c r="D3277" t="s">
        <v>79</v>
      </c>
      <c r="E3277">
        <v>104</v>
      </c>
      <c r="F3277" t="s">
        <v>48</v>
      </c>
      <c r="G3277" t="s">
        <v>562</v>
      </c>
      <c r="H3277">
        <v>22</v>
      </c>
      <c r="I3277" s="11">
        <f>$E3277+0</f>
        <v>104</v>
      </c>
      <c r="J3277" s="12">
        <v>22300</v>
      </c>
      <c r="K3277" s="13">
        <f>$E3277+1</f>
        <v>105</v>
      </c>
      <c r="L3277" s="14">
        <f>IF($J3277=0,0,ROUND(MAX($J3277*1.4,1620000*(1.497923^(MIN($E3277,123)-117)))*1,0))</f>
        <v>31220</v>
      </c>
      <c r="M3277" s="11">
        <f>$E3277+2</f>
        <v>106</v>
      </c>
      <c r="N3277" s="12">
        <f>IF($J3277=0,0,ROUND(MAX($J3277*1.4*1.5,2190000*(1.580994^(MIN($E3277,123)-117)))*1,0))</f>
        <v>46830</v>
      </c>
      <c r="O3277" s="13">
        <f>$E3277+4</f>
        <v>108</v>
      </c>
      <c r="P3277" s="14">
        <f>IF($J3277=0,0,ROUND(MAX($J3277*1.4*1.5*1.6,3500000*(1.57975^(MIN($E3277,123)-117)))*1,0))</f>
        <v>74928</v>
      </c>
      <c r="Q3277" s="11">
        <f>$E3277+6</f>
        <v>110</v>
      </c>
      <c r="R3277" s="12">
        <f>IF($J3277=0,0,ROUND(MAX($J3277*1.4*1.5*1.6*1.6,13100000*(1.429962^(MIN($E3277,123)-117)))*1,0))</f>
        <v>125329</v>
      </c>
      <c r="S3277" s="13">
        <f>$E3277+8</f>
        <v>112</v>
      </c>
      <c r="T3277" s="14">
        <f>IF($J3277=0,0,ROUND(MAX($J3277*1.4*1.5*1.6*1.6*2.2,42600000*(1.576904^(MIN($E3277,123)-117)))*1,0))</f>
        <v>263747</v>
      </c>
      <c r="U3277" s="11">
        <f>$E3277+11</f>
        <v>115</v>
      </c>
      <c r="V3277" s="12">
        <f>IF($J3277=0,0,ROUND(MAX($J3277*1.4*1.5*1.6*1.6*2.2*2.715,354000000*(1.642074^(MIN($E3277,123)-117)))*1,0))</f>
        <v>716072</v>
      </c>
      <c r="W3277" s="13">
        <f>$E3277+15</f>
        <v>119</v>
      </c>
      <c r="X3277" s="14">
        <f>IF($J3277=0,0,ROUND(MAX($J3277*1.4*1.5*1.6*1.6*2.2*2.715*2.6,3540000000*(1.579646^(MIN($E3277,123)-117)))*1,0))</f>
        <v>9283810</v>
      </c>
      <c r="Y3277" s="11">
        <f>$E3277+17</f>
        <v>121</v>
      </c>
      <c r="Z3277" s="12">
        <f>IF($J3277=0,0,ROUND(MAX($J3277*1.4*1.5*1.6*1.6*2.2*2.715*2.6*1.4,6020000000*(1.651178^(MIN($E3277,123)-117)))*1,0))</f>
        <v>8877197</v>
      </c>
      <c r="AA3277" s="13">
        <f>$E3277+19</f>
        <v>123</v>
      </c>
      <c r="AB3277" s="14">
        <f>IF($J3277=0,0,ROUND(MAX($J3277*1.4*1.5*1.6*1.6*2.2*2.715*2.6*1.4*1.4,8430000000*(1.651435^(MIN($E3277,123)-117)))*1,0))</f>
        <v>12405900</v>
      </c>
      <c r="AC3277" s="11">
        <f>$E3277+21</f>
        <v>125</v>
      </c>
      <c r="AD3277" s="12">
        <f>IF($J3277=0,0,ROUND(MAX($J3277*1.4*1.5*1.6*1.6*2.2*2.715*2.6*1.4*1.4*1.5,12600000000*(1.652953^(MIN($E3277,123)-117)))*1,0))</f>
        <v>18322468</v>
      </c>
      <c r="AE3277" s="13">
        <f>$E3277+24</f>
        <v>128</v>
      </c>
      <c r="AF3277" s="14">
        <f>IF($J3277=0,0,ROUND(MAX($J3277*1.4*1.5*1.6*1.6*2.2*2.715*2.6*1.4*1.4*1.5*1.5,18900000000*(1.65331^(MIN($E3277,123)-117)))*1,0))</f>
        <v>27406653</v>
      </c>
      <c r="AG3277" s="11">
        <f>$E3277+27</f>
        <v>131</v>
      </c>
      <c r="AH3277" s="12">
        <f>IF($J3277=0,0,ROUND(MAX($J3277*1.4*1.5*1.6*1.6*2.2*2.715*2.6*1.4*1.4*1.5*1.5*3.2,60500000000*(1.654288^(MIN($E3277,123)-117)))*1,0))</f>
        <v>87058428</v>
      </c>
    </row>
    <row r="3278" ht="28" customHeight="1" spans="1:34" x14ac:dyDescent="0.25">
      <c r="A3278">
        <v>3288</v>
      </c>
      <c r="B3278" t="s">
        <v>327</v>
      </c>
      <c r="C3278" s="10" t="s">
        <v>1744</v>
      </c>
      <c r="D3278" t="s">
        <v>47</v>
      </c>
      <c r="E3278">
        <v>104</v>
      </c>
      <c r="F3278" t="s">
        <v>310</v>
      </c>
      <c r="G3278" t="s">
        <v>38</v>
      </c>
      <c r="H3278">
        <v>20</v>
      </c>
      <c r="I3278" s="11">
        <f>$E3278+0</f>
        <v>104</v>
      </c>
      <c r="J3278" s="12">
        <v>33800000</v>
      </c>
      <c r="K3278" s="13">
        <f>$E3278+1</f>
        <v>105</v>
      </c>
      <c r="L3278" s="14">
        <f>IF($J3278=0,0,ROUND(MAX($J3278*1.4,1620000*(1.497923^(MIN($E3278,123)-117)))*1,0))</f>
        <v>47320000</v>
      </c>
      <c r="M3278" s="11">
        <f>$E3278+2</f>
        <v>106</v>
      </c>
      <c r="N3278" s="12">
        <f>IF($J3278=0,0,ROUND(MAX($J3278*1.4*1.5,2190000*(1.580994^(MIN($E3278,123)-117)))*1,0))</f>
        <v>70980000</v>
      </c>
      <c r="O3278" s="13">
        <f>$E3278+4</f>
        <v>108</v>
      </c>
      <c r="P3278" s="14">
        <f>IF($J3278=0,0,ROUND(MAX($J3278*1.4*1.5*1.6,3500000*(1.57975^(MIN($E3278,123)-117)))*1,0))</f>
        <v>113568000</v>
      </c>
      <c r="Q3278" s="11">
        <f>$E3278+6</f>
        <v>110</v>
      </c>
      <c r="R3278" s="12">
        <f>IF($J3278=0,0,ROUND(MAX($J3278*1.4*1.5*1.6*1.6,13100000*(1.429962^(MIN($E3278,123)-117)))*1,0))</f>
        <v>181708800</v>
      </c>
      <c r="S3278" s="13">
        <f>$E3278+8</f>
        <v>112</v>
      </c>
      <c r="T3278" s="14">
        <f>IF($J3278=0,0,ROUND(MAX($J3278*1.4*1.5*1.6*1.6*2.2,42600000*(1.576904^(MIN($E3278,123)-117)))*1,0))</f>
        <v>399759360</v>
      </c>
      <c r="U3278" s="11">
        <f>$E3278+11</f>
        <v>115</v>
      </c>
      <c r="V3278" s="12">
        <f>IF($J3278=0,0,ROUND(MAX($J3278*1.4*1.5*1.6*1.6*2.2*2.715,354000000*(1.642074^(MIN($E3278,123)-117)))*1,0))</f>
        <v>1085346662</v>
      </c>
      <c r="W3278" s="13">
        <f>$E3278+15</f>
        <v>119</v>
      </c>
      <c r="X3278" s="14">
        <f>IF($J3278=0,0,ROUND(MAX($J3278*1.4*1.5*1.6*1.6*2.2*2.715*2.6,3540000000*(1.579646^(MIN($E3278,123)-117)))*1,0))</f>
        <v>2821901322</v>
      </c>
      <c r="Y3278" s="11">
        <f>$E3278+17</f>
        <v>121</v>
      </c>
      <c r="Z3278" s="12">
        <f>IF($J3278=0,0,ROUND(MAX($J3278*1.4*1.5*1.6*1.6*2.2*2.715*2.6*1.4,6020000000*(1.651178^(MIN($E3278,123)-117)))*1,0))</f>
        <v>3950661851</v>
      </c>
      <c r="AA3278" s="13">
        <f>$E3278+19</f>
        <v>123</v>
      </c>
      <c r="AB3278" s="14">
        <f>IF($J3278=0,0,ROUND(MAX($J3278*1.4*1.5*1.6*1.6*2.2*2.715*2.6*1.4*1.4,8430000000*(1.651435^(MIN($E3278,123)-117)))*1,0))</f>
        <v>5530926592</v>
      </c>
      <c r="AC3278" s="11">
        <f>$E3278+21</f>
        <v>125</v>
      </c>
      <c r="AD3278" s="12">
        <f>IF($J3278=0,0,ROUND(MAX($J3278*1.4*1.5*1.6*1.6*2.2*2.715*2.6*1.4*1.4*1.5,12600000000*(1.652953^(MIN($E3278,123)-117)))*1,0))</f>
        <v>8296389887</v>
      </c>
      <c r="AE3278" s="13">
        <f>$E3278+24</f>
        <v>128</v>
      </c>
      <c r="AF3278" s="14">
        <f>IF($J3278=0,0,ROUND(MAX($J3278*1.4*1.5*1.6*1.6*2.2*2.715*2.6*1.4*1.4*1.5*1.5,18900000000*(1.65331^(MIN($E3278,123)-117)))*1,0))</f>
        <v>12444584831</v>
      </c>
      <c r="AG3278" s="11">
        <f>$E3278+27</f>
        <v>131</v>
      </c>
      <c r="AH3278" s="12">
        <f>IF($J3278=0,0,ROUND(MAX($J3278*1.4*1.5*1.6*1.6*2.2*2.715*2.6*1.4*1.4*1.5*1.5*3.2,60500000000*(1.654288^(MIN($E3278,123)-117)))*1,0))</f>
        <v>39822671459</v>
      </c>
    </row>
    <row r="3279" ht="28" customHeight="1" spans="1:34" x14ac:dyDescent="0.25">
      <c r="A3279">
        <v>3289</v>
      </c>
      <c r="B3279" t="s">
        <v>1540</v>
      </c>
      <c r="C3279" s="10" t="s">
        <v>1744</v>
      </c>
      <c r="D3279" t="s">
        <v>45</v>
      </c>
      <c r="E3279">
        <v>103</v>
      </c>
      <c r="F3279" t="s">
        <v>310</v>
      </c>
      <c r="G3279" t="s">
        <v>832</v>
      </c>
      <c r="H3279">
        <v>23</v>
      </c>
      <c r="I3279" s="11">
        <f>$E3279+0</f>
        <v>103</v>
      </c>
      <c r="J3279" s="12">
        <v>17300</v>
      </c>
      <c r="K3279" s="13">
        <f>$E3279+1</f>
        <v>104</v>
      </c>
      <c r="L3279" s="14">
        <f>IF($J3279=0,0,ROUND(MAX($J3279*1.4,1620000*(1.497923^(MIN($E3279,123)-117)))*1,0))</f>
        <v>24220</v>
      </c>
      <c r="M3279" s="11">
        <f>$E3279+2</f>
        <v>105</v>
      </c>
      <c r="N3279" s="12">
        <f>IF($J3279=0,0,ROUND(MAX($J3279*1.4*1.5,2190000*(1.580994^(MIN($E3279,123)-117)))*1,0))</f>
        <v>36330</v>
      </c>
      <c r="O3279" s="13">
        <f>$E3279+4</f>
        <v>107</v>
      </c>
      <c r="P3279" s="14">
        <f>IF($J3279=0,0,ROUND(MAX($J3279*1.4*1.5*1.6,3500000*(1.57975^(MIN($E3279,123)-117)))*1,0))</f>
        <v>58128</v>
      </c>
      <c r="Q3279" s="11">
        <f>$E3279+6</f>
        <v>109</v>
      </c>
      <c r="R3279" s="12">
        <f>IF($J3279=0,0,ROUND(MAX($J3279*1.4*1.5*1.6*1.6,13100000*(1.429962^(MIN($E3279,123)-117)))*1,0))</f>
        <v>93005</v>
      </c>
      <c r="S3279" s="13">
        <f>$E3279+8</f>
        <v>111</v>
      </c>
      <c r="T3279" s="14">
        <f>IF($J3279=0,0,ROUND(MAX($J3279*1.4*1.5*1.6*1.6*2.2,42600000*(1.576904^(MIN($E3279,123)-117)))*1,0))</f>
        <v>204611</v>
      </c>
      <c r="U3279" s="11">
        <f>$E3279+11</f>
        <v>114</v>
      </c>
      <c r="V3279" s="12">
        <f>IF($J3279=0,0,ROUND(MAX($J3279*1.4*1.5*1.6*1.6*2.2*2.715,354000000*(1.642074^(MIN($E3279,123)-117)))*1,0))</f>
        <v>555518</v>
      </c>
      <c r="W3279" s="13">
        <f>$E3279+15</f>
        <v>118</v>
      </c>
      <c r="X3279" s="14">
        <f>IF($J3279=0,0,ROUND(MAX($J3279*1.4*1.5*1.6*1.6*2.2*2.715*2.6,3540000000*(1.579646^(MIN($E3279,123)-117)))*1,0))</f>
        <v>5877146</v>
      </c>
      <c r="Y3279" s="11">
        <f>$E3279+17</f>
        <v>120</v>
      </c>
      <c r="Z3279" s="12">
        <f>IF($J3279=0,0,ROUND(MAX($J3279*1.4*1.5*1.6*1.6*2.2*2.715*2.6*1.4,6020000000*(1.651178^(MIN($E3279,123)-117)))*1,0))</f>
        <v>5376281</v>
      </c>
      <c r="AA3279" s="13">
        <f>$E3279+19</f>
        <v>122</v>
      </c>
      <c r="AB3279" s="14">
        <f>IF($J3279=0,0,ROUND(MAX($J3279*1.4*1.5*1.6*1.6*2.2*2.715*2.6*1.4*1.4,8430000000*(1.651435^(MIN($E3279,123)-117)))*1,0))</f>
        <v>7512194</v>
      </c>
      <c r="AC3279" s="11">
        <f>$E3279+21</f>
        <v>124</v>
      </c>
      <c r="AD3279" s="12">
        <f>IF($J3279=0,0,ROUND(MAX($J3279*1.4*1.5*1.6*1.6*2.2*2.715*2.6*1.4*1.4*1.5,12600000000*(1.652953^(MIN($E3279,123)-117)))*1,0))</f>
        <v>11084688</v>
      </c>
      <c r="AE3279" s="13">
        <f>$E3279+24</f>
        <v>127</v>
      </c>
      <c r="AF3279" s="14">
        <f>IF($J3279=0,0,ROUND(MAX($J3279*1.4*1.5*1.6*1.6*2.2*2.715*2.6*1.4*1.4*1.5*1.5,18900000000*(1.65331^(MIN($E3279,123)-117)))*1,0))</f>
        <v>16576839</v>
      </c>
      <c r="AG3279" s="11">
        <f>$E3279+27</f>
        <v>130</v>
      </c>
      <c r="AH3279" s="12">
        <f>IF($J3279=0,0,ROUND(MAX($J3279*1.4*1.5*1.6*1.6*2.2*2.715*2.6*1.4*1.4*1.5*1.5*3.2,60500000000*(1.654288^(MIN($E3279,123)-117)))*1,0))</f>
        <v>52625920</v>
      </c>
    </row>
    <row r="3280" ht="28" customHeight="1" spans="1:34" x14ac:dyDescent="0.25">
      <c r="A3280">
        <v>3290</v>
      </c>
      <c r="B3280" t="s">
        <v>1122</v>
      </c>
      <c r="C3280" s="10" t="s">
        <v>1744</v>
      </c>
      <c r="D3280" t="s">
        <v>79</v>
      </c>
      <c r="E3280">
        <v>103</v>
      </c>
      <c r="F3280" t="s">
        <v>212</v>
      </c>
      <c r="G3280" t="s">
        <v>261</v>
      </c>
      <c r="H3280">
        <v>23</v>
      </c>
      <c r="I3280" s="11">
        <f>$E3280+0</f>
        <v>103</v>
      </c>
      <c r="J3280" s="12">
        <v>320000</v>
      </c>
      <c r="K3280" s="13">
        <f>$E3280+1</f>
        <v>104</v>
      </c>
      <c r="L3280" s="14">
        <f>IF($J3280=0,0,ROUND(MAX($J3280*1.4,1620000*(1.497923^(MIN($E3280,123)-117)))*1,0))</f>
        <v>448000</v>
      </c>
      <c r="M3280" s="11">
        <f>$E3280+2</f>
        <v>105</v>
      </c>
      <c r="N3280" s="12">
        <f>IF($J3280=0,0,ROUND(MAX($J3280*1.4*1.5,2190000*(1.580994^(MIN($E3280,123)-117)))*1,0))</f>
        <v>672000</v>
      </c>
      <c r="O3280" s="13">
        <f>$E3280+4</f>
        <v>107</v>
      </c>
      <c r="P3280" s="14">
        <f>IF($J3280=0,0,ROUND(MAX($J3280*1.4*1.5*1.6,3500000*(1.57975^(MIN($E3280,123)-117)))*1,0))</f>
        <v>1075200</v>
      </c>
      <c r="Q3280" s="11">
        <f>$E3280+6</f>
        <v>109</v>
      </c>
      <c r="R3280" s="12">
        <f>IF($J3280=0,0,ROUND(MAX($J3280*1.4*1.5*1.6*1.6,13100000*(1.429962^(MIN($E3280,123)-117)))*1,0))</f>
        <v>1720320</v>
      </c>
      <c r="S3280" s="13">
        <f>$E3280+8</f>
        <v>111</v>
      </c>
      <c r="T3280" s="14">
        <f>IF($J3280=0,0,ROUND(MAX($J3280*1.4*1.5*1.6*1.6*2.2,42600000*(1.576904^(MIN($E3280,123)-117)))*1,0))</f>
        <v>3784704</v>
      </c>
      <c r="U3280" s="11">
        <f>$E3280+11</f>
        <v>114</v>
      </c>
      <c r="V3280" s="12">
        <f>IF($J3280=0,0,ROUND(MAX($J3280*1.4*1.5*1.6*1.6*2.2*2.715,354000000*(1.642074^(MIN($E3280,123)-117)))*1,0))</f>
        <v>10275471</v>
      </c>
      <c r="W3280" s="13">
        <f>$E3280+15</f>
        <v>118</v>
      </c>
      <c r="X3280" s="14">
        <f>IF($J3280=0,0,ROUND(MAX($J3280*1.4*1.5*1.6*1.6*2.2*2.715*2.6,3540000000*(1.579646^(MIN($E3280,123)-117)))*1,0))</f>
        <v>26716226</v>
      </c>
      <c r="Y3280" s="11">
        <f>$E3280+17</f>
        <v>120</v>
      </c>
      <c r="Z3280" s="12">
        <f>IF($J3280=0,0,ROUND(MAX($J3280*1.4*1.5*1.6*1.6*2.2*2.715*2.6*1.4,6020000000*(1.651178^(MIN($E3280,123)-117)))*1,0))</f>
        <v>37402716</v>
      </c>
      <c r="AA3280" s="13">
        <f>$E3280+19</f>
        <v>122</v>
      </c>
      <c r="AB3280" s="14">
        <f>IF($J3280=0,0,ROUND(MAX($J3280*1.4*1.5*1.6*1.6*2.2*2.715*2.6*1.4*1.4,8430000000*(1.651435^(MIN($E3280,123)-117)))*1,0))</f>
        <v>52363802</v>
      </c>
      <c r="AC3280" s="11">
        <f>$E3280+21</f>
        <v>124</v>
      </c>
      <c r="AD3280" s="12">
        <f>IF($J3280=0,0,ROUND(MAX($J3280*1.4*1.5*1.6*1.6*2.2*2.715*2.6*1.4*1.4*1.5,12600000000*(1.652953^(MIN($E3280,123)-117)))*1,0))</f>
        <v>78545703</v>
      </c>
      <c r="AE3280" s="13">
        <f>$E3280+24</f>
        <v>127</v>
      </c>
      <c r="AF3280" s="14">
        <f>IF($J3280=0,0,ROUND(MAX($J3280*1.4*1.5*1.6*1.6*2.2*2.715*2.6*1.4*1.4*1.5*1.5,18900000000*(1.65331^(MIN($E3280,123)-117)))*1,0))</f>
        <v>117818555</v>
      </c>
      <c r="AG3280" s="11">
        <f>$E3280+27</f>
        <v>130</v>
      </c>
      <c r="AH3280" s="12">
        <f>IF($J3280=0,0,ROUND(MAX($J3280*1.4*1.5*1.6*1.6*2.2*2.715*2.6*1.4*1.4*1.5*1.5*3.2,60500000000*(1.654288^(MIN($E3280,123)-117)))*1,0))</f>
        <v>377019375</v>
      </c>
    </row>
    <row r="3281" ht="28" customHeight="1" spans="1:34" x14ac:dyDescent="0.25">
      <c r="A3281">
        <v>3291</v>
      </c>
      <c r="B3281" t="s">
        <v>1192</v>
      </c>
      <c r="C3281" s="10" t="s">
        <v>1744</v>
      </c>
      <c r="D3281" t="s">
        <v>25</v>
      </c>
      <c r="E3281">
        <v>103</v>
      </c>
      <c r="F3281" t="s">
        <v>56</v>
      </c>
      <c r="G3281" t="s">
        <v>206</v>
      </c>
      <c r="H3281">
        <v>22</v>
      </c>
      <c r="I3281" s="11">
        <f>$E3281+0</f>
        <v>103</v>
      </c>
      <c r="J3281" s="12">
        <v>17500</v>
      </c>
      <c r="K3281" s="13">
        <f>$E3281+1</f>
        <v>104</v>
      </c>
      <c r="L3281" s="14">
        <f>IF($J3281=0,0,ROUND(MAX($J3281*1.4,1620000*(1.497923^(MIN($E3281,123)-117)))*1,0))</f>
        <v>24500</v>
      </c>
      <c r="M3281" s="11">
        <f>$E3281+2</f>
        <v>105</v>
      </c>
      <c r="N3281" s="12">
        <f>IF($J3281=0,0,ROUND(MAX($J3281*1.4*1.5,2190000*(1.580994^(MIN($E3281,123)-117)))*1,0))</f>
        <v>36750</v>
      </c>
      <c r="O3281" s="13">
        <f>$E3281+4</f>
        <v>107</v>
      </c>
      <c r="P3281" s="14">
        <f>IF($J3281=0,0,ROUND(MAX($J3281*1.4*1.5*1.6,3500000*(1.57975^(MIN($E3281,123)-117)))*1,0))</f>
        <v>58800</v>
      </c>
      <c r="Q3281" s="11">
        <f>$E3281+6</f>
        <v>109</v>
      </c>
      <c r="R3281" s="12">
        <f>IF($J3281=0,0,ROUND(MAX($J3281*1.4*1.5*1.6*1.6,13100000*(1.429962^(MIN($E3281,123)-117)))*1,0))</f>
        <v>94080</v>
      </c>
      <c r="S3281" s="13">
        <f>$E3281+8</f>
        <v>111</v>
      </c>
      <c r="T3281" s="14">
        <f>IF($J3281=0,0,ROUND(MAX($J3281*1.4*1.5*1.6*1.6*2.2,42600000*(1.576904^(MIN($E3281,123)-117)))*1,0))</f>
        <v>206976</v>
      </c>
      <c r="U3281" s="11">
        <f>$E3281+11</f>
        <v>114</v>
      </c>
      <c r="V3281" s="12">
        <f>IF($J3281=0,0,ROUND(MAX($J3281*1.4*1.5*1.6*1.6*2.2*2.715,354000000*(1.642074^(MIN($E3281,123)-117)))*1,0))</f>
        <v>561940</v>
      </c>
      <c r="W3281" s="13">
        <f>$E3281+15</f>
        <v>118</v>
      </c>
      <c r="X3281" s="14">
        <f>IF($J3281=0,0,ROUND(MAX($J3281*1.4*1.5*1.6*1.6*2.2*2.715*2.6,3540000000*(1.579646^(MIN($E3281,123)-117)))*1,0))</f>
        <v>5877146</v>
      </c>
      <c r="Y3281" s="11">
        <f>$E3281+17</f>
        <v>120</v>
      </c>
      <c r="Z3281" s="12">
        <f>IF($J3281=0,0,ROUND(MAX($J3281*1.4*1.5*1.6*1.6*2.2*2.715*2.6*1.4,6020000000*(1.651178^(MIN($E3281,123)-117)))*1,0))</f>
        <v>5376281</v>
      </c>
      <c r="AA3281" s="13">
        <f>$E3281+19</f>
        <v>122</v>
      </c>
      <c r="AB3281" s="14">
        <f>IF($J3281=0,0,ROUND(MAX($J3281*1.4*1.5*1.6*1.6*2.2*2.715*2.6*1.4*1.4,8430000000*(1.651435^(MIN($E3281,123)-117)))*1,0))</f>
        <v>7512194</v>
      </c>
      <c r="AC3281" s="11">
        <f>$E3281+21</f>
        <v>124</v>
      </c>
      <c r="AD3281" s="12">
        <f>IF($J3281=0,0,ROUND(MAX($J3281*1.4*1.5*1.6*1.6*2.2*2.715*2.6*1.4*1.4*1.5,12600000000*(1.652953^(MIN($E3281,123)-117)))*1,0))</f>
        <v>11084688</v>
      </c>
      <c r="AE3281" s="13">
        <f>$E3281+24</f>
        <v>127</v>
      </c>
      <c r="AF3281" s="14">
        <f>IF($J3281=0,0,ROUND(MAX($J3281*1.4*1.5*1.6*1.6*2.2*2.715*2.6*1.4*1.4*1.5*1.5,18900000000*(1.65331^(MIN($E3281,123)-117)))*1,0))</f>
        <v>16576839</v>
      </c>
      <c r="AG3281" s="11">
        <f>$E3281+27</f>
        <v>130</v>
      </c>
      <c r="AH3281" s="12">
        <f>IF($J3281=0,0,ROUND(MAX($J3281*1.4*1.5*1.6*1.6*2.2*2.715*2.6*1.4*1.4*1.5*1.5*3.2,60500000000*(1.654288^(MIN($E3281,123)-117)))*1,0))</f>
        <v>52625920</v>
      </c>
    </row>
    <row r="3282" ht="28" customHeight="1" spans="1:34" x14ac:dyDescent="0.25">
      <c r="A3282">
        <v>3292</v>
      </c>
      <c r="B3282" t="s">
        <v>871</v>
      </c>
      <c r="C3282" s="10" t="s">
        <v>1744</v>
      </c>
      <c r="D3282" t="s">
        <v>40</v>
      </c>
      <c r="E3282">
        <v>103</v>
      </c>
      <c r="F3282" t="s">
        <v>62</v>
      </c>
      <c r="G3282" t="s">
        <v>106</v>
      </c>
      <c r="H3282">
        <v>22</v>
      </c>
      <c r="I3282" s="11">
        <f>$E3282+0</f>
        <v>103</v>
      </c>
      <c r="J3282" s="12">
        <v>15600</v>
      </c>
      <c r="K3282" s="13">
        <f>$E3282+1</f>
        <v>104</v>
      </c>
      <c r="L3282" s="14">
        <f>IF($J3282=0,0,ROUND(MAX($J3282*1.4,1620000*(1.497923^(MIN($E3282,123)-117)))*1,0))</f>
        <v>21840</v>
      </c>
      <c r="M3282" s="11">
        <f>$E3282+2</f>
        <v>105</v>
      </c>
      <c r="N3282" s="12">
        <f>IF($J3282=0,0,ROUND(MAX($J3282*1.4*1.5,2190000*(1.580994^(MIN($E3282,123)-117)))*1,0))</f>
        <v>32760</v>
      </c>
      <c r="O3282" s="13">
        <f>$E3282+4</f>
        <v>107</v>
      </c>
      <c r="P3282" s="14">
        <f>IF($J3282=0,0,ROUND(MAX($J3282*1.4*1.5*1.6,3500000*(1.57975^(MIN($E3282,123)-117)))*1,0))</f>
        <v>52416</v>
      </c>
      <c r="Q3282" s="11">
        <f>$E3282+6</f>
        <v>109</v>
      </c>
      <c r="R3282" s="12">
        <f>IF($J3282=0,0,ROUND(MAX($J3282*1.4*1.5*1.6*1.6,13100000*(1.429962^(MIN($E3282,123)-117)))*1,0))</f>
        <v>87645</v>
      </c>
      <c r="S3282" s="13">
        <f>$E3282+8</f>
        <v>111</v>
      </c>
      <c r="T3282" s="14">
        <f>IF($J3282=0,0,ROUND(MAX($J3282*1.4*1.5*1.6*1.6*2.2,42600000*(1.576904^(MIN($E3282,123)-117)))*1,0))</f>
        <v>184504</v>
      </c>
      <c r="U3282" s="11">
        <f>$E3282+11</f>
        <v>114</v>
      </c>
      <c r="V3282" s="12">
        <f>IF($J3282=0,0,ROUND(MAX($J3282*1.4*1.5*1.6*1.6*2.2*2.715,354000000*(1.642074^(MIN($E3282,123)-117)))*1,0))</f>
        <v>500929</v>
      </c>
      <c r="W3282" s="13">
        <f>$E3282+15</f>
        <v>118</v>
      </c>
      <c r="X3282" s="14">
        <f>IF($J3282=0,0,ROUND(MAX($J3282*1.4*1.5*1.6*1.6*2.2*2.715*2.6,3540000000*(1.579646^(MIN($E3282,123)-117)))*1,0))</f>
        <v>5877146</v>
      </c>
      <c r="Y3282" s="11">
        <f>$E3282+17</f>
        <v>120</v>
      </c>
      <c r="Z3282" s="12">
        <f>IF($J3282=0,0,ROUND(MAX($J3282*1.4*1.5*1.6*1.6*2.2*2.715*2.6*1.4,6020000000*(1.651178^(MIN($E3282,123)-117)))*1,0))</f>
        <v>5376281</v>
      </c>
      <c r="AA3282" s="13">
        <f>$E3282+19</f>
        <v>122</v>
      </c>
      <c r="AB3282" s="14">
        <f>IF($J3282=0,0,ROUND(MAX($J3282*1.4*1.5*1.6*1.6*2.2*2.715*2.6*1.4*1.4,8430000000*(1.651435^(MIN($E3282,123)-117)))*1,0))</f>
        <v>7512194</v>
      </c>
      <c r="AC3282" s="11">
        <f>$E3282+21</f>
        <v>124</v>
      </c>
      <c r="AD3282" s="12">
        <f>IF($J3282=0,0,ROUND(MAX($J3282*1.4*1.5*1.6*1.6*2.2*2.715*2.6*1.4*1.4*1.5,12600000000*(1.652953^(MIN($E3282,123)-117)))*1,0))</f>
        <v>11084688</v>
      </c>
      <c r="AE3282" s="13">
        <f>$E3282+24</f>
        <v>127</v>
      </c>
      <c r="AF3282" s="14">
        <f>IF($J3282=0,0,ROUND(MAX($J3282*1.4*1.5*1.6*1.6*2.2*2.715*2.6*1.4*1.4*1.5*1.5,18900000000*(1.65331^(MIN($E3282,123)-117)))*1,0))</f>
        <v>16576839</v>
      </c>
      <c r="AG3282" s="11">
        <f>$E3282+27</f>
        <v>130</v>
      </c>
      <c r="AH3282" s="12">
        <f>IF($J3282=0,0,ROUND(MAX($J3282*1.4*1.5*1.6*1.6*2.2*2.715*2.6*1.4*1.4*1.5*1.5*3.2,60500000000*(1.654288^(MIN($E3282,123)-117)))*1,0))</f>
        <v>52625920</v>
      </c>
    </row>
    <row r="3283" ht="28" customHeight="1" spans="1:34" x14ac:dyDescent="0.25">
      <c r="A3283">
        <v>3293</v>
      </c>
      <c r="B3283" t="s">
        <v>1371</v>
      </c>
      <c r="C3283" s="10" t="s">
        <v>1744</v>
      </c>
      <c r="D3283" t="s">
        <v>45</v>
      </c>
      <c r="E3283">
        <v>103</v>
      </c>
      <c r="F3283" t="s">
        <v>168</v>
      </c>
      <c r="G3283" t="s">
        <v>828</v>
      </c>
      <c r="H3283">
        <v>22</v>
      </c>
      <c r="I3283" s="11">
        <f>$E3283+0</f>
        <v>103</v>
      </c>
      <c r="J3283" s="12">
        <v>14300</v>
      </c>
      <c r="K3283" s="13">
        <f>$E3283+1</f>
        <v>104</v>
      </c>
      <c r="L3283" s="14">
        <f>IF($J3283=0,0,ROUND(MAX($J3283*1.4,1620000*(1.497923^(MIN($E3283,123)-117)))*1,0))</f>
        <v>20020</v>
      </c>
      <c r="M3283" s="11">
        <f>$E3283+2</f>
        <v>105</v>
      </c>
      <c r="N3283" s="12">
        <f>IF($J3283=0,0,ROUND(MAX($J3283*1.4*1.5,2190000*(1.580994^(MIN($E3283,123)-117)))*1,0))</f>
        <v>30030</v>
      </c>
      <c r="O3283" s="13">
        <f>$E3283+4</f>
        <v>107</v>
      </c>
      <c r="P3283" s="14">
        <f>IF($J3283=0,0,ROUND(MAX($J3283*1.4*1.5*1.6,3500000*(1.57975^(MIN($E3283,123)-117)))*1,0))</f>
        <v>48048</v>
      </c>
      <c r="Q3283" s="11">
        <f>$E3283+6</f>
        <v>109</v>
      </c>
      <c r="R3283" s="12">
        <f>IF($J3283=0,0,ROUND(MAX($J3283*1.4*1.5*1.6*1.6,13100000*(1.429962^(MIN($E3283,123)-117)))*1,0))</f>
        <v>87645</v>
      </c>
      <c r="S3283" s="13">
        <f>$E3283+8</f>
        <v>111</v>
      </c>
      <c r="T3283" s="14">
        <f>IF($J3283=0,0,ROUND(MAX($J3283*1.4*1.5*1.6*1.6*2.2,42600000*(1.576904^(MIN($E3283,123)-117)))*1,0))</f>
        <v>169129</v>
      </c>
      <c r="U3283" s="11">
        <f>$E3283+11</f>
        <v>114</v>
      </c>
      <c r="V3283" s="12">
        <f>IF($J3283=0,0,ROUND(MAX($J3283*1.4*1.5*1.6*1.6*2.2*2.715,354000000*(1.642074^(MIN($E3283,123)-117)))*1,0))</f>
        <v>459185</v>
      </c>
      <c r="W3283" s="13">
        <f>$E3283+15</f>
        <v>118</v>
      </c>
      <c r="X3283" s="14">
        <f>IF($J3283=0,0,ROUND(MAX($J3283*1.4*1.5*1.6*1.6*2.2*2.715*2.6,3540000000*(1.579646^(MIN($E3283,123)-117)))*1,0))</f>
        <v>5877146</v>
      </c>
      <c r="Y3283" s="11">
        <f>$E3283+17</f>
        <v>120</v>
      </c>
      <c r="Z3283" s="12">
        <f>IF($J3283=0,0,ROUND(MAX($J3283*1.4*1.5*1.6*1.6*2.2*2.715*2.6*1.4,6020000000*(1.651178^(MIN($E3283,123)-117)))*1,0))</f>
        <v>5376281</v>
      </c>
      <c r="AA3283" s="13">
        <f>$E3283+19</f>
        <v>122</v>
      </c>
      <c r="AB3283" s="14">
        <f>IF($J3283=0,0,ROUND(MAX($J3283*1.4*1.5*1.6*1.6*2.2*2.715*2.6*1.4*1.4,8430000000*(1.651435^(MIN($E3283,123)-117)))*1,0))</f>
        <v>7512194</v>
      </c>
      <c r="AC3283" s="11">
        <f>$E3283+21</f>
        <v>124</v>
      </c>
      <c r="AD3283" s="12">
        <f>IF($J3283=0,0,ROUND(MAX($J3283*1.4*1.5*1.6*1.6*2.2*2.715*2.6*1.4*1.4*1.5,12600000000*(1.652953^(MIN($E3283,123)-117)))*1,0))</f>
        <v>11084688</v>
      </c>
      <c r="AE3283" s="13">
        <f>$E3283+24</f>
        <v>127</v>
      </c>
      <c r="AF3283" s="14">
        <f>IF($J3283=0,0,ROUND(MAX($J3283*1.4*1.5*1.6*1.6*2.2*2.715*2.6*1.4*1.4*1.5*1.5,18900000000*(1.65331^(MIN($E3283,123)-117)))*1,0))</f>
        <v>16576839</v>
      </c>
      <c r="AG3283" s="11">
        <f>$E3283+27</f>
        <v>130</v>
      </c>
      <c r="AH3283" s="12">
        <f>IF($J3283=0,0,ROUND(MAX($J3283*1.4*1.5*1.6*1.6*2.2*2.715*2.6*1.4*1.4*1.5*1.5*3.2,60500000000*(1.654288^(MIN($E3283,123)-117)))*1,0))</f>
        <v>52625920</v>
      </c>
    </row>
    <row r="3284" ht="28" customHeight="1" spans="1:34" x14ac:dyDescent="0.25">
      <c r="A3284">
        <v>3294</v>
      </c>
      <c r="B3284" t="s">
        <v>1756</v>
      </c>
      <c r="C3284" s="10" t="s">
        <v>1744</v>
      </c>
      <c r="D3284" t="s">
        <v>40</v>
      </c>
      <c r="E3284">
        <v>103</v>
      </c>
      <c r="F3284" t="s">
        <v>144</v>
      </c>
      <c r="G3284" t="s">
        <v>124</v>
      </c>
      <c r="H3284">
        <v>22</v>
      </c>
      <c r="I3284" s="11">
        <f>$E3284+0</f>
        <v>103</v>
      </c>
      <c r="J3284" s="12">
        <v>15900</v>
      </c>
      <c r="K3284" s="13">
        <f>$E3284+1</f>
        <v>104</v>
      </c>
      <c r="L3284" s="14">
        <f>IF($J3284=0,0,ROUND(MAX($J3284*1.4,1620000*(1.497923^(MIN($E3284,123)-117)))*1,0))</f>
        <v>22260</v>
      </c>
      <c r="M3284" s="11">
        <f>$E3284+2</f>
        <v>105</v>
      </c>
      <c r="N3284" s="12">
        <f>IF($J3284=0,0,ROUND(MAX($J3284*1.4*1.5,2190000*(1.580994^(MIN($E3284,123)-117)))*1,0))</f>
        <v>33390</v>
      </c>
      <c r="O3284" s="13">
        <f>$E3284+4</f>
        <v>107</v>
      </c>
      <c r="P3284" s="14">
        <f>IF($J3284=0,0,ROUND(MAX($J3284*1.4*1.5*1.6,3500000*(1.57975^(MIN($E3284,123)-117)))*1,0))</f>
        <v>53424</v>
      </c>
      <c r="Q3284" s="11">
        <f>$E3284+6</f>
        <v>109</v>
      </c>
      <c r="R3284" s="12">
        <f>IF($J3284=0,0,ROUND(MAX($J3284*1.4*1.5*1.6*1.6,13100000*(1.429962^(MIN($E3284,123)-117)))*1,0))</f>
        <v>87645</v>
      </c>
      <c r="S3284" s="13">
        <f>$E3284+8</f>
        <v>111</v>
      </c>
      <c r="T3284" s="14">
        <f>IF($J3284=0,0,ROUND(MAX($J3284*1.4*1.5*1.6*1.6*2.2,42600000*(1.576904^(MIN($E3284,123)-117)))*1,0))</f>
        <v>188052</v>
      </c>
      <c r="U3284" s="11">
        <f>$E3284+11</f>
        <v>114</v>
      </c>
      <c r="V3284" s="12">
        <f>IF($J3284=0,0,ROUND(MAX($J3284*1.4*1.5*1.6*1.6*2.2*2.715,354000000*(1.642074^(MIN($E3284,123)-117)))*1,0))</f>
        <v>510562</v>
      </c>
      <c r="W3284" s="13">
        <f>$E3284+15</f>
        <v>118</v>
      </c>
      <c r="X3284" s="14">
        <f>IF($J3284=0,0,ROUND(MAX($J3284*1.4*1.5*1.6*1.6*2.2*2.715*2.6,3540000000*(1.579646^(MIN($E3284,123)-117)))*1,0))</f>
        <v>5877146</v>
      </c>
      <c r="Y3284" s="11">
        <f>$E3284+17</f>
        <v>120</v>
      </c>
      <c r="Z3284" s="12">
        <f>IF($J3284=0,0,ROUND(MAX($J3284*1.4*1.5*1.6*1.6*2.2*2.715*2.6*1.4,6020000000*(1.651178^(MIN($E3284,123)-117)))*1,0))</f>
        <v>5376281</v>
      </c>
      <c r="AA3284" s="13">
        <f>$E3284+19</f>
        <v>122</v>
      </c>
      <c r="AB3284" s="14">
        <f>IF($J3284=0,0,ROUND(MAX($J3284*1.4*1.5*1.6*1.6*2.2*2.715*2.6*1.4*1.4,8430000000*(1.651435^(MIN($E3284,123)-117)))*1,0))</f>
        <v>7512194</v>
      </c>
      <c r="AC3284" s="11">
        <f>$E3284+21</f>
        <v>124</v>
      </c>
      <c r="AD3284" s="12">
        <f>IF($J3284=0,0,ROUND(MAX($J3284*1.4*1.5*1.6*1.6*2.2*2.715*2.6*1.4*1.4*1.5,12600000000*(1.652953^(MIN($E3284,123)-117)))*1,0))</f>
        <v>11084688</v>
      </c>
      <c r="AE3284" s="13">
        <f>$E3284+24</f>
        <v>127</v>
      </c>
      <c r="AF3284" s="14">
        <f>IF($J3284=0,0,ROUND(MAX($J3284*1.4*1.5*1.6*1.6*2.2*2.715*2.6*1.4*1.4*1.5*1.5,18900000000*(1.65331^(MIN($E3284,123)-117)))*1,0))</f>
        <v>16576839</v>
      </c>
      <c r="AG3284" s="11">
        <f>$E3284+27</f>
        <v>130</v>
      </c>
      <c r="AH3284" s="12">
        <f>IF($J3284=0,0,ROUND(MAX($J3284*1.4*1.5*1.6*1.6*2.2*2.715*2.6*1.4*1.4*1.5*1.5*3.2,60500000000*(1.654288^(MIN($E3284,123)-117)))*1,0))</f>
        <v>52625920</v>
      </c>
    </row>
    <row r="3285" ht="28" customHeight="1" spans="1:34" x14ac:dyDescent="0.25">
      <c r="A3285">
        <v>3295</v>
      </c>
      <c r="B3285" t="s">
        <v>725</v>
      </c>
      <c r="C3285" s="10" t="s">
        <v>1744</v>
      </c>
      <c r="D3285" t="s">
        <v>75</v>
      </c>
      <c r="E3285">
        <v>103</v>
      </c>
      <c r="F3285" t="s">
        <v>54</v>
      </c>
      <c r="G3285" t="s">
        <v>374</v>
      </c>
      <c r="H3285">
        <v>22</v>
      </c>
      <c r="I3285" s="11">
        <f>$E3285+0</f>
        <v>103</v>
      </c>
      <c r="J3285" s="12">
        <v>3190000</v>
      </c>
      <c r="K3285" s="13">
        <f>$E3285+1</f>
        <v>104</v>
      </c>
      <c r="L3285" s="14">
        <f>IF($J3285=0,0,ROUND(MAX($J3285*1.4,1620000*(1.497923^(MIN($E3285,123)-117)))*1,0))</f>
        <v>4466000</v>
      </c>
      <c r="M3285" s="11">
        <f>$E3285+2</f>
        <v>105</v>
      </c>
      <c r="N3285" s="12">
        <f>IF($J3285=0,0,ROUND(MAX($J3285*1.4*1.5,2190000*(1.580994^(MIN($E3285,123)-117)))*1,0))</f>
        <v>6699000</v>
      </c>
      <c r="O3285" s="13">
        <f>$E3285+4</f>
        <v>107</v>
      </c>
      <c r="P3285" s="14">
        <f>IF($J3285=0,0,ROUND(MAX($J3285*1.4*1.5*1.6,3500000*(1.57975^(MIN($E3285,123)-117)))*1,0))</f>
        <v>10718400</v>
      </c>
      <c r="Q3285" s="11">
        <f>$E3285+6</f>
        <v>109</v>
      </c>
      <c r="R3285" s="12">
        <f>IF($J3285=0,0,ROUND(MAX($J3285*1.4*1.5*1.6*1.6,13100000*(1.429962^(MIN($E3285,123)-117)))*1,0))</f>
        <v>17149440</v>
      </c>
      <c r="S3285" s="13">
        <f>$E3285+8</f>
        <v>111</v>
      </c>
      <c r="T3285" s="14">
        <f>IF($J3285=0,0,ROUND(MAX($J3285*1.4*1.5*1.6*1.6*2.2,42600000*(1.576904^(MIN($E3285,123)-117)))*1,0))</f>
        <v>37728768</v>
      </c>
      <c r="U3285" s="11">
        <f>$E3285+11</f>
        <v>114</v>
      </c>
      <c r="V3285" s="12">
        <f>IF($J3285=0,0,ROUND(MAX($J3285*1.4*1.5*1.6*1.6*2.2*2.715,354000000*(1.642074^(MIN($E3285,123)-117)))*1,0))</f>
        <v>102433605</v>
      </c>
      <c r="W3285" s="13">
        <f>$E3285+15</f>
        <v>118</v>
      </c>
      <c r="X3285" s="14">
        <f>IF($J3285=0,0,ROUND(MAX($J3285*1.4*1.5*1.6*1.6*2.2*2.715*2.6,3540000000*(1.579646^(MIN($E3285,123)-117)))*1,0))</f>
        <v>266327373</v>
      </c>
      <c r="Y3285" s="11">
        <f>$E3285+17</f>
        <v>120</v>
      </c>
      <c r="Z3285" s="12">
        <f>IF($J3285=0,0,ROUND(MAX($J3285*1.4*1.5*1.6*1.6*2.2*2.715*2.6*1.4,6020000000*(1.651178^(MIN($E3285,123)-117)))*1,0))</f>
        <v>372858323</v>
      </c>
      <c r="AA3285" s="13">
        <f>$E3285+19</f>
        <v>122</v>
      </c>
      <c r="AB3285" s="14">
        <f>IF($J3285=0,0,ROUND(MAX($J3285*1.4*1.5*1.6*1.6*2.2*2.715*2.6*1.4*1.4,8430000000*(1.651435^(MIN($E3285,123)-117)))*1,0))</f>
        <v>522001652</v>
      </c>
      <c r="AC3285" s="11">
        <f>$E3285+21</f>
        <v>124</v>
      </c>
      <c r="AD3285" s="12">
        <f>IF($J3285=0,0,ROUND(MAX($J3285*1.4*1.5*1.6*1.6*2.2*2.715*2.6*1.4*1.4*1.5,12600000000*(1.652953^(MIN($E3285,123)-117)))*1,0))</f>
        <v>783002478</v>
      </c>
      <c r="AE3285" s="13">
        <f>$E3285+24</f>
        <v>127</v>
      </c>
      <c r="AF3285" s="14">
        <f>IF($J3285=0,0,ROUND(MAX($J3285*1.4*1.5*1.6*1.6*2.2*2.715*2.6*1.4*1.4*1.5*1.5,18900000000*(1.65331^(MIN($E3285,123)-117)))*1,0))</f>
        <v>1174503716</v>
      </c>
      <c r="AG3285" s="11">
        <f>$E3285+27</f>
        <v>130</v>
      </c>
      <c r="AH3285" s="12">
        <f>IF($J3285=0,0,ROUND(MAX($J3285*1.4*1.5*1.6*1.6*2.2*2.715*2.6*1.4*1.4*1.5*1.5*3.2,60500000000*(1.654288^(MIN($E3285,123)-117)))*1,0))</f>
        <v>3758411892</v>
      </c>
    </row>
    <row r="3286" ht="28" customHeight="1" spans="1:34" x14ac:dyDescent="0.25">
      <c r="A3286">
        <v>3296</v>
      </c>
      <c r="B3286" t="s">
        <v>550</v>
      </c>
      <c r="C3286" s="10" t="s">
        <v>1744</v>
      </c>
      <c r="D3286" t="s">
        <v>40</v>
      </c>
      <c r="E3286">
        <v>103</v>
      </c>
      <c r="F3286" t="s">
        <v>71</v>
      </c>
      <c r="G3286" t="s">
        <v>394</v>
      </c>
      <c r="H3286">
        <v>22</v>
      </c>
      <c r="I3286" s="11">
        <f>$E3286+0</f>
        <v>103</v>
      </c>
      <c r="J3286" s="12">
        <v>14600</v>
      </c>
      <c r="K3286" s="13">
        <f>$E3286+1</f>
        <v>104</v>
      </c>
      <c r="L3286" s="14">
        <f>IF($J3286=0,0,ROUND(MAX($J3286*1.4,1620000*(1.497923^(MIN($E3286,123)-117)))*1,0))</f>
        <v>20440</v>
      </c>
      <c r="M3286" s="11">
        <f>$E3286+2</f>
        <v>105</v>
      </c>
      <c r="N3286" s="12">
        <f>IF($J3286=0,0,ROUND(MAX($J3286*1.4*1.5,2190000*(1.580994^(MIN($E3286,123)-117)))*1,0))</f>
        <v>30660</v>
      </c>
      <c r="O3286" s="13">
        <f>$E3286+4</f>
        <v>107</v>
      </c>
      <c r="P3286" s="14">
        <f>IF($J3286=0,0,ROUND(MAX($J3286*1.4*1.5*1.6,3500000*(1.57975^(MIN($E3286,123)-117)))*1,0))</f>
        <v>49056</v>
      </c>
      <c r="Q3286" s="11">
        <f>$E3286+6</f>
        <v>109</v>
      </c>
      <c r="R3286" s="12">
        <f>IF($J3286=0,0,ROUND(MAX($J3286*1.4*1.5*1.6*1.6,13100000*(1.429962^(MIN($E3286,123)-117)))*1,0))</f>
        <v>87645</v>
      </c>
      <c r="S3286" s="13">
        <f>$E3286+8</f>
        <v>111</v>
      </c>
      <c r="T3286" s="14">
        <f>IF($J3286=0,0,ROUND(MAX($J3286*1.4*1.5*1.6*1.6*2.2,42600000*(1.576904^(MIN($E3286,123)-117)))*1,0))</f>
        <v>172677</v>
      </c>
      <c r="U3286" s="11">
        <f>$E3286+11</f>
        <v>114</v>
      </c>
      <c r="V3286" s="12">
        <f>IF($J3286=0,0,ROUND(MAX($J3286*1.4*1.5*1.6*1.6*2.2*2.715,354000000*(1.642074^(MIN($E3286,123)-117)))*1,0))</f>
        <v>468818</v>
      </c>
      <c r="W3286" s="13">
        <f>$E3286+15</f>
        <v>118</v>
      </c>
      <c r="X3286" s="14">
        <f>IF($J3286=0,0,ROUND(MAX($J3286*1.4*1.5*1.6*1.6*2.2*2.715*2.6,3540000000*(1.579646^(MIN($E3286,123)-117)))*1,0))</f>
        <v>5877146</v>
      </c>
      <c r="Y3286" s="11">
        <f>$E3286+17</f>
        <v>120</v>
      </c>
      <c r="Z3286" s="12">
        <f>IF($J3286=0,0,ROUND(MAX($J3286*1.4*1.5*1.6*1.6*2.2*2.715*2.6*1.4,6020000000*(1.651178^(MIN($E3286,123)-117)))*1,0))</f>
        <v>5376281</v>
      </c>
      <c r="AA3286" s="13">
        <f>$E3286+19</f>
        <v>122</v>
      </c>
      <c r="AB3286" s="14">
        <f>IF($J3286=0,0,ROUND(MAX($J3286*1.4*1.5*1.6*1.6*2.2*2.715*2.6*1.4*1.4,8430000000*(1.651435^(MIN($E3286,123)-117)))*1,0))</f>
        <v>7512194</v>
      </c>
      <c r="AC3286" s="11">
        <f>$E3286+21</f>
        <v>124</v>
      </c>
      <c r="AD3286" s="12">
        <f>IF($J3286=0,0,ROUND(MAX($J3286*1.4*1.5*1.6*1.6*2.2*2.715*2.6*1.4*1.4*1.5,12600000000*(1.652953^(MIN($E3286,123)-117)))*1,0))</f>
        <v>11084688</v>
      </c>
      <c r="AE3286" s="13">
        <f>$E3286+24</f>
        <v>127</v>
      </c>
      <c r="AF3286" s="14">
        <f>IF($J3286=0,0,ROUND(MAX($J3286*1.4*1.5*1.6*1.6*2.2*2.715*2.6*1.4*1.4*1.5*1.5,18900000000*(1.65331^(MIN($E3286,123)-117)))*1,0))</f>
        <v>16576839</v>
      </c>
      <c r="AG3286" s="11">
        <f>$E3286+27</f>
        <v>130</v>
      </c>
      <c r="AH3286" s="12">
        <f>IF($J3286=0,0,ROUND(MAX($J3286*1.4*1.5*1.6*1.6*2.2*2.715*2.6*1.4*1.4*1.5*1.5*3.2,60500000000*(1.654288^(MIN($E3286,123)-117)))*1,0))</f>
        <v>52625920</v>
      </c>
    </row>
    <row r="3287" ht="28" customHeight="1" spans="1:34" x14ac:dyDescent="0.25">
      <c r="A3287">
        <v>3297</v>
      </c>
      <c r="B3287" t="s">
        <v>1757</v>
      </c>
      <c r="C3287" s="10" t="s">
        <v>1744</v>
      </c>
      <c r="D3287" t="s">
        <v>40</v>
      </c>
      <c r="E3287">
        <v>103</v>
      </c>
      <c r="F3287" t="s">
        <v>310</v>
      </c>
      <c r="G3287" t="s">
        <v>1284</v>
      </c>
      <c r="H3287">
        <v>22</v>
      </c>
      <c r="I3287" s="11">
        <f>$E3287+0</f>
        <v>103</v>
      </c>
      <c r="J3287" s="12">
        <v>15800</v>
      </c>
      <c r="K3287" s="13">
        <f>$E3287+1</f>
        <v>104</v>
      </c>
      <c r="L3287" s="14">
        <f>IF($J3287=0,0,ROUND(MAX($J3287*1.4,1620000*(1.497923^(MIN($E3287,123)-117)))*1,0))</f>
        <v>22120</v>
      </c>
      <c r="M3287" s="11">
        <f>$E3287+2</f>
        <v>105</v>
      </c>
      <c r="N3287" s="12">
        <f>IF($J3287=0,0,ROUND(MAX($J3287*1.4*1.5,2190000*(1.580994^(MIN($E3287,123)-117)))*1,0))</f>
        <v>33180</v>
      </c>
      <c r="O3287" s="13">
        <f>$E3287+4</f>
        <v>107</v>
      </c>
      <c r="P3287" s="14">
        <f>IF($J3287=0,0,ROUND(MAX($J3287*1.4*1.5*1.6,3500000*(1.57975^(MIN($E3287,123)-117)))*1,0))</f>
        <v>53088</v>
      </c>
      <c r="Q3287" s="11">
        <f>$E3287+6</f>
        <v>109</v>
      </c>
      <c r="R3287" s="12">
        <f>IF($J3287=0,0,ROUND(MAX($J3287*1.4*1.5*1.6*1.6,13100000*(1.429962^(MIN($E3287,123)-117)))*1,0))</f>
        <v>87645</v>
      </c>
      <c r="S3287" s="13">
        <f>$E3287+8</f>
        <v>111</v>
      </c>
      <c r="T3287" s="14">
        <f>IF($J3287=0,0,ROUND(MAX($J3287*1.4*1.5*1.6*1.6*2.2,42600000*(1.576904^(MIN($E3287,123)-117)))*1,0))</f>
        <v>186870</v>
      </c>
      <c r="U3287" s="11">
        <f>$E3287+11</f>
        <v>114</v>
      </c>
      <c r="V3287" s="12">
        <f>IF($J3287=0,0,ROUND(MAX($J3287*1.4*1.5*1.6*1.6*2.2*2.715,354000000*(1.642074^(MIN($E3287,123)-117)))*1,0))</f>
        <v>507351</v>
      </c>
      <c r="W3287" s="13">
        <f>$E3287+15</f>
        <v>118</v>
      </c>
      <c r="X3287" s="14">
        <f>IF($J3287=0,0,ROUND(MAX($J3287*1.4*1.5*1.6*1.6*2.2*2.715*2.6,3540000000*(1.579646^(MIN($E3287,123)-117)))*1,0))</f>
        <v>5877146</v>
      </c>
      <c r="Y3287" s="11">
        <f>$E3287+17</f>
        <v>120</v>
      </c>
      <c r="Z3287" s="12">
        <f>IF($J3287=0,0,ROUND(MAX($J3287*1.4*1.5*1.6*1.6*2.2*2.715*2.6*1.4,6020000000*(1.651178^(MIN($E3287,123)-117)))*1,0))</f>
        <v>5376281</v>
      </c>
      <c r="AA3287" s="13">
        <f>$E3287+19</f>
        <v>122</v>
      </c>
      <c r="AB3287" s="14">
        <f>IF($J3287=0,0,ROUND(MAX($J3287*1.4*1.5*1.6*1.6*2.2*2.715*2.6*1.4*1.4,8430000000*(1.651435^(MIN($E3287,123)-117)))*1,0))</f>
        <v>7512194</v>
      </c>
      <c r="AC3287" s="11">
        <f>$E3287+21</f>
        <v>124</v>
      </c>
      <c r="AD3287" s="12">
        <f>IF($J3287=0,0,ROUND(MAX($J3287*1.4*1.5*1.6*1.6*2.2*2.715*2.6*1.4*1.4*1.5,12600000000*(1.652953^(MIN($E3287,123)-117)))*1,0))</f>
        <v>11084688</v>
      </c>
      <c r="AE3287" s="13">
        <f>$E3287+24</f>
        <v>127</v>
      </c>
      <c r="AF3287" s="14">
        <f>IF($J3287=0,0,ROUND(MAX($J3287*1.4*1.5*1.6*1.6*2.2*2.715*2.6*1.4*1.4*1.5*1.5,18900000000*(1.65331^(MIN($E3287,123)-117)))*1,0))</f>
        <v>16576839</v>
      </c>
      <c r="AG3287" s="11">
        <f>$E3287+27</f>
        <v>130</v>
      </c>
      <c r="AH3287" s="12">
        <f>IF($J3287=0,0,ROUND(MAX($J3287*1.4*1.5*1.6*1.6*2.2*2.715*2.6*1.4*1.4*1.5*1.5*3.2,60500000000*(1.654288^(MIN($E3287,123)-117)))*1,0))</f>
        <v>52625920</v>
      </c>
    </row>
    <row r="3288" ht="28" customHeight="1" spans="1:34" x14ac:dyDescent="0.25">
      <c r="A3288">
        <v>3298</v>
      </c>
      <c r="B3288" t="s">
        <v>1758</v>
      </c>
      <c r="C3288" s="10" t="s">
        <v>1744</v>
      </c>
      <c r="D3288" t="s">
        <v>40</v>
      </c>
      <c r="E3288">
        <v>103</v>
      </c>
      <c r="F3288" t="s">
        <v>56</v>
      </c>
      <c r="G3288" t="s">
        <v>562</v>
      </c>
      <c r="H3288">
        <v>22</v>
      </c>
      <c r="I3288" s="11">
        <f>$E3288+0</f>
        <v>103</v>
      </c>
      <c r="J3288" s="12">
        <v>1650000</v>
      </c>
      <c r="K3288" s="13">
        <f>$E3288+1</f>
        <v>104</v>
      </c>
      <c r="L3288" s="14">
        <f>IF($J3288=0,0,ROUND(MAX($J3288*1.4,1620000*(1.497923^(MIN($E3288,123)-117)))*1,0))</f>
        <v>2310000</v>
      </c>
      <c r="M3288" s="11">
        <f>$E3288+2</f>
        <v>105</v>
      </c>
      <c r="N3288" s="12">
        <f>IF($J3288=0,0,ROUND(MAX($J3288*1.4*1.5,2190000*(1.580994^(MIN($E3288,123)-117)))*1,0))</f>
        <v>3465000</v>
      </c>
      <c r="O3288" s="13">
        <f>$E3288+4</f>
        <v>107</v>
      </c>
      <c r="P3288" s="14">
        <f>IF($J3288=0,0,ROUND(MAX($J3288*1.4*1.5*1.6,3500000*(1.57975^(MIN($E3288,123)-117)))*1,0))</f>
        <v>5544000</v>
      </c>
      <c r="Q3288" s="11">
        <f>$E3288+6</f>
        <v>109</v>
      </c>
      <c r="R3288" s="12">
        <f>IF($J3288=0,0,ROUND(MAX($J3288*1.4*1.5*1.6*1.6,13100000*(1.429962^(MIN($E3288,123)-117)))*1,0))</f>
        <v>8870400</v>
      </c>
      <c r="S3288" s="13">
        <f>$E3288+8</f>
        <v>111</v>
      </c>
      <c r="T3288" s="14">
        <f>IF($J3288=0,0,ROUND(MAX($J3288*1.4*1.5*1.6*1.6*2.2,42600000*(1.576904^(MIN($E3288,123)-117)))*1,0))</f>
        <v>19514880</v>
      </c>
      <c r="U3288" s="11">
        <f>$E3288+11</f>
        <v>114</v>
      </c>
      <c r="V3288" s="12">
        <f>IF($J3288=0,0,ROUND(MAX($J3288*1.4*1.5*1.6*1.6*2.2*2.715,354000000*(1.642074^(MIN($E3288,123)-117)))*1,0))</f>
        <v>52982899</v>
      </c>
      <c r="W3288" s="13">
        <f>$E3288+15</f>
        <v>118</v>
      </c>
      <c r="X3288" s="14">
        <f>IF($J3288=0,0,ROUND(MAX($J3288*1.4*1.5*1.6*1.6*2.2*2.715*2.6,3540000000*(1.579646^(MIN($E3288,123)-117)))*1,0))</f>
        <v>137755538</v>
      </c>
      <c r="Y3288" s="11">
        <f>$E3288+17</f>
        <v>120</v>
      </c>
      <c r="Z3288" s="12">
        <f>IF($J3288=0,0,ROUND(MAX($J3288*1.4*1.5*1.6*1.6*2.2*2.715*2.6*1.4,6020000000*(1.651178^(MIN($E3288,123)-117)))*1,0))</f>
        <v>192857753</v>
      </c>
      <c r="AA3288" s="13">
        <f>$E3288+19</f>
        <v>122</v>
      </c>
      <c r="AB3288" s="14">
        <f>IF($J3288=0,0,ROUND(MAX($J3288*1.4*1.5*1.6*1.6*2.2*2.715*2.6*1.4*1.4,8430000000*(1.651435^(MIN($E3288,123)-117)))*1,0))</f>
        <v>270000854</v>
      </c>
      <c r="AC3288" s="11">
        <f>$E3288+21</f>
        <v>124</v>
      </c>
      <c r="AD3288" s="12">
        <f>IF($J3288=0,0,ROUND(MAX($J3288*1.4*1.5*1.6*1.6*2.2*2.715*2.6*1.4*1.4*1.5,12600000000*(1.652953^(MIN($E3288,123)-117)))*1,0))</f>
        <v>405001281</v>
      </c>
      <c r="AE3288" s="13">
        <f>$E3288+24</f>
        <v>127</v>
      </c>
      <c r="AF3288" s="14">
        <f>IF($J3288=0,0,ROUND(MAX($J3288*1.4*1.5*1.6*1.6*2.2*2.715*2.6*1.4*1.4*1.5*1.5,18900000000*(1.65331^(MIN($E3288,123)-117)))*1,0))</f>
        <v>607501922</v>
      </c>
      <c r="AG3288" s="11">
        <f>$E3288+27</f>
        <v>130</v>
      </c>
      <c r="AH3288" s="12">
        <f>IF($J3288=0,0,ROUND(MAX($J3288*1.4*1.5*1.6*1.6*2.2*2.715*2.6*1.4*1.4*1.5*1.5*3.2,60500000000*(1.654288^(MIN($E3288,123)-117)))*1,0))</f>
        <v>1944006151</v>
      </c>
    </row>
    <row r="3289" ht="28" customHeight="1" spans="1:34" x14ac:dyDescent="0.25">
      <c r="A3289">
        <v>3299</v>
      </c>
      <c r="B3289" t="s">
        <v>1626</v>
      </c>
      <c r="C3289" s="10" t="s">
        <v>1744</v>
      </c>
      <c r="D3289" t="s">
        <v>75</v>
      </c>
      <c r="E3289">
        <v>103</v>
      </c>
      <c r="F3289" t="s">
        <v>71</v>
      </c>
      <c r="G3289" t="s">
        <v>270</v>
      </c>
      <c r="H3289">
        <v>21</v>
      </c>
      <c r="I3289" s="11">
        <f>$E3289+0</f>
        <v>103</v>
      </c>
      <c r="J3289" s="12">
        <v>42000</v>
      </c>
      <c r="K3289" s="13">
        <f>$E3289+1</f>
        <v>104</v>
      </c>
      <c r="L3289" s="14">
        <f>IF($J3289=0,0,ROUND(MAX($J3289*1.4,1620000*(1.497923^(MIN($E3289,123)-117)))*1,0))</f>
        <v>58800</v>
      </c>
      <c r="M3289" s="11">
        <f>$E3289+2</f>
        <v>105</v>
      </c>
      <c r="N3289" s="12">
        <f>IF($J3289=0,0,ROUND(MAX($J3289*1.4*1.5,2190000*(1.580994^(MIN($E3289,123)-117)))*1,0))</f>
        <v>88200</v>
      </c>
      <c r="O3289" s="13">
        <f>$E3289+4</f>
        <v>107</v>
      </c>
      <c r="P3289" s="14">
        <f>IF($J3289=0,0,ROUND(MAX($J3289*1.4*1.5*1.6,3500000*(1.57975^(MIN($E3289,123)-117)))*1,0))</f>
        <v>141120</v>
      </c>
      <c r="Q3289" s="11">
        <f>$E3289+6</f>
        <v>109</v>
      </c>
      <c r="R3289" s="12">
        <f>IF($J3289=0,0,ROUND(MAX($J3289*1.4*1.5*1.6*1.6,13100000*(1.429962^(MIN($E3289,123)-117)))*1,0))</f>
        <v>225792</v>
      </c>
      <c r="S3289" s="13">
        <f>$E3289+8</f>
        <v>111</v>
      </c>
      <c r="T3289" s="14">
        <f>IF($J3289=0,0,ROUND(MAX($J3289*1.4*1.5*1.6*1.6*2.2,42600000*(1.576904^(MIN($E3289,123)-117)))*1,0))</f>
        <v>496742</v>
      </c>
      <c r="U3289" s="11">
        <f>$E3289+11</f>
        <v>114</v>
      </c>
      <c r="V3289" s="12">
        <f>IF($J3289=0,0,ROUND(MAX($J3289*1.4*1.5*1.6*1.6*2.2*2.715,354000000*(1.642074^(MIN($E3289,123)-117)))*1,0))</f>
        <v>1348656</v>
      </c>
      <c r="W3289" s="13">
        <f>$E3289+15</f>
        <v>118</v>
      </c>
      <c r="X3289" s="14">
        <f>IF($J3289=0,0,ROUND(MAX($J3289*1.4*1.5*1.6*1.6*2.2*2.715*2.6,3540000000*(1.579646^(MIN($E3289,123)-117)))*1,0))</f>
        <v>5877146</v>
      </c>
      <c r="Y3289" s="11">
        <f>$E3289+17</f>
        <v>120</v>
      </c>
      <c r="Z3289" s="12">
        <f>IF($J3289=0,0,ROUND(MAX($J3289*1.4*1.5*1.6*1.6*2.2*2.715*2.6*1.4,6020000000*(1.651178^(MIN($E3289,123)-117)))*1,0))</f>
        <v>5376281</v>
      </c>
      <c r="AA3289" s="13">
        <f>$E3289+19</f>
        <v>122</v>
      </c>
      <c r="AB3289" s="14">
        <f>IF($J3289=0,0,ROUND(MAX($J3289*1.4*1.5*1.6*1.6*2.2*2.715*2.6*1.4*1.4,8430000000*(1.651435^(MIN($E3289,123)-117)))*1,0))</f>
        <v>7512194</v>
      </c>
      <c r="AC3289" s="11">
        <f>$E3289+21</f>
        <v>124</v>
      </c>
      <c r="AD3289" s="12">
        <f>IF($J3289=0,0,ROUND(MAX($J3289*1.4*1.5*1.6*1.6*2.2*2.715*2.6*1.4*1.4*1.5,12600000000*(1.652953^(MIN($E3289,123)-117)))*1,0))</f>
        <v>11084688</v>
      </c>
      <c r="AE3289" s="13">
        <f>$E3289+24</f>
        <v>127</v>
      </c>
      <c r="AF3289" s="14">
        <f>IF($J3289=0,0,ROUND(MAX($J3289*1.4*1.5*1.6*1.6*2.2*2.715*2.6*1.4*1.4*1.5*1.5,18900000000*(1.65331^(MIN($E3289,123)-117)))*1,0))</f>
        <v>16576839</v>
      </c>
      <c r="AG3289" s="11">
        <f>$E3289+27</f>
        <v>130</v>
      </c>
      <c r="AH3289" s="12">
        <f>IF($J3289=0,0,ROUND(MAX($J3289*1.4*1.5*1.6*1.6*2.2*2.715*2.6*1.4*1.4*1.5*1.5*3.2,60500000000*(1.654288^(MIN($E3289,123)-117)))*1,0))</f>
        <v>52625920</v>
      </c>
    </row>
    <row r="3290" ht="28" customHeight="1" spans="1:34" x14ac:dyDescent="0.25">
      <c r="A3290">
        <v>3300</v>
      </c>
      <c r="B3290" t="s">
        <v>368</v>
      </c>
      <c r="C3290" s="10" t="s">
        <v>1744</v>
      </c>
      <c r="D3290" t="s">
        <v>75</v>
      </c>
      <c r="E3290">
        <v>103</v>
      </c>
      <c r="F3290" t="s">
        <v>71</v>
      </c>
      <c r="G3290" t="s">
        <v>98</v>
      </c>
      <c r="H3290">
        <v>21</v>
      </c>
      <c r="I3290" s="11">
        <f>$E3290+0</f>
        <v>103</v>
      </c>
      <c r="J3290" s="12">
        <v>10000</v>
      </c>
      <c r="K3290" s="13">
        <f>$E3290+1</f>
        <v>104</v>
      </c>
      <c r="L3290" s="14">
        <f>IF($J3290=0,0,ROUND(MAX($J3290*1.4,1620000*(1.497923^(MIN($E3290,123)-117)))*1,0))</f>
        <v>14000</v>
      </c>
      <c r="M3290" s="11">
        <f>$E3290+2</f>
        <v>105</v>
      </c>
      <c r="N3290" s="12">
        <f>IF($J3290=0,0,ROUND(MAX($J3290*1.4*1.5,2190000*(1.580994^(MIN($E3290,123)-117)))*1,0))</f>
        <v>21000</v>
      </c>
      <c r="O3290" s="13">
        <f>$E3290+4</f>
        <v>107</v>
      </c>
      <c r="P3290" s="14">
        <f>IF($J3290=0,0,ROUND(MAX($J3290*1.4*1.5*1.6,3500000*(1.57975^(MIN($E3290,123)-117)))*1,0))</f>
        <v>33600</v>
      </c>
      <c r="Q3290" s="11">
        <f>$E3290+6</f>
        <v>109</v>
      </c>
      <c r="R3290" s="12">
        <f>IF($J3290=0,0,ROUND(MAX($J3290*1.4*1.5*1.6*1.6,13100000*(1.429962^(MIN($E3290,123)-117)))*1,0))</f>
        <v>87645</v>
      </c>
      <c r="S3290" s="13">
        <f>$E3290+8</f>
        <v>111</v>
      </c>
      <c r="T3290" s="14">
        <f>IF($J3290=0,0,ROUND(MAX($J3290*1.4*1.5*1.6*1.6*2.2,42600000*(1.576904^(MIN($E3290,123)-117)))*1,0))</f>
        <v>118272</v>
      </c>
      <c r="U3290" s="11">
        <f>$E3290+11</f>
        <v>114</v>
      </c>
      <c r="V3290" s="12">
        <f>IF($J3290=0,0,ROUND(MAX($J3290*1.4*1.5*1.6*1.6*2.2*2.715,354000000*(1.642074^(MIN($E3290,123)-117)))*1,0))</f>
        <v>341590</v>
      </c>
      <c r="W3290" s="13">
        <f>$E3290+15</f>
        <v>118</v>
      </c>
      <c r="X3290" s="14">
        <f>IF($J3290=0,0,ROUND(MAX($J3290*1.4*1.5*1.6*1.6*2.2*2.715*2.6,3540000000*(1.579646^(MIN($E3290,123)-117)))*1,0))</f>
        <v>5877146</v>
      </c>
      <c r="Y3290" s="11">
        <f>$E3290+17</f>
        <v>120</v>
      </c>
      <c r="Z3290" s="12">
        <f>IF($J3290=0,0,ROUND(MAX($J3290*1.4*1.5*1.6*1.6*2.2*2.715*2.6*1.4,6020000000*(1.651178^(MIN($E3290,123)-117)))*1,0))</f>
        <v>5376281</v>
      </c>
      <c r="AA3290" s="13">
        <f>$E3290+19</f>
        <v>122</v>
      </c>
      <c r="AB3290" s="14">
        <f>IF($J3290=0,0,ROUND(MAX($J3290*1.4*1.5*1.6*1.6*2.2*2.715*2.6*1.4*1.4,8430000000*(1.651435^(MIN($E3290,123)-117)))*1,0))</f>
        <v>7512194</v>
      </c>
      <c r="AC3290" s="11">
        <f>$E3290+21</f>
        <v>124</v>
      </c>
      <c r="AD3290" s="12">
        <f>IF($J3290=0,0,ROUND(MAX($J3290*1.4*1.5*1.6*1.6*2.2*2.715*2.6*1.4*1.4*1.5,12600000000*(1.652953^(MIN($E3290,123)-117)))*1,0))</f>
        <v>11084688</v>
      </c>
      <c r="AE3290" s="13">
        <f>$E3290+24</f>
        <v>127</v>
      </c>
      <c r="AF3290" s="14">
        <f>IF($J3290=0,0,ROUND(MAX($J3290*1.4*1.5*1.6*1.6*2.2*2.715*2.6*1.4*1.4*1.5*1.5,18900000000*(1.65331^(MIN($E3290,123)-117)))*1,0))</f>
        <v>16576839</v>
      </c>
      <c r="AG3290" s="11">
        <f>$E3290+27</f>
        <v>130</v>
      </c>
      <c r="AH3290" s="12">
        <f>IF($J3290=0,0,ROUND(MAX($J3290*1.4*1.5*1.6*1.6*2.2*2.715*2.6*1.4*1.4*1.5*1.5*3.2,60500000000*(1.654288^(MIN($E3290,123)-117)))*1,0))</f>
        <v>52625920</v>
      </c>
    </row>
    <row r="3291" ht="28" customHeight="1" spans="1:34" x14ac:dyDescent="0.25">
      <c r="A3291">
        <v>3301</v>
      </c>
      <c r="B3291" t="s">
        <v>702</v>
      </c>
      <c r="C3291" s="10" t="s">
        <v>1744</v>
      </c>
      <c r="D3291" t="s">
        <v>102</v>
      </c>
      <c r="E3291">
        <v>103</v>
      </c>
      <c r="F3291" t="s">
        <v>97</v>
      </c>
      <c r="G3291" t="s">
        <v>351</v>
      </c>
      <c r="H3291">
        <v>21</v>
      </c>
      <c r="I3291" s="11">
        <f>$E3291+0</f>
        <v>103</v>
      </c>
      <c r="J3291" s="12">
        <v>12900</v>
      </c>
      <c r="K3291" s="13">
        <f>$E3291+1</f>
        <v>104</v>
      </c>
      <c r="L3291" s="14">
        <f>IF($J3291=0,0,ROUND(MAX($J3291*1.4,1620000*(1.497923^(MIN($E3291,123)-117)))*1,0))</f>
        <v>18060</v>
      </c>
      <c r="M3291" s="11">
        <f>$E3291+2</f>
        <v>105</v>
      </c>
      <c r="N3291" s="12">
        <f>IF($J3291=0,0,ROUND(MAX($J3291*1.4*1.5,2190000*(1.580994^(MIN($E3291,123)-117)))*1,0))</f>
        <v>27090</v>
      </c>
      <c r="O3291" s="13">
        <f>$E3291+4</f>
        <v>107</v>
      </c>
      <c r="P3291" s="14">
        <f>IF($J3291=0,0,ROUND(MAX($J3291*1.4*1.5*1.6,3500000*(1.57975^(MIN($E3291,123)-117)))*1,0))</f>
        <v>43344</v>
      </c>
      <c r="Q3291" s="11">
        <f>$E3291+6</f>
        <v>109</v>
      </c>
      <c r="R3291" s="12">
        <f>IF($J3291=0,0,ROUND(MAX($J3291*1.4*1.5*1.6*1.6,13100000*(1.429962^(MIN($E3291,123)-117)))*1,0))</f>
        <v>87645</v>
      </c>
      <c r="S3291" s="13">
        <f>$E3291+8</f>
        <v>111</v>
      </c>
      <c r="T3291" s="14">
        <f>IF($J3291=0,0,ROUND(MAX($J3291*1.4*1.5*1.6*1.6*2.2,42600000*(1.576904^(MIN($E3291,123)-117)))*1,0))</f>
        <v>152571</v>
      </c>
      <c r="U3291" s="11">
        <f>$E3291+11</f>
        <v>114</v>
      </c>
      <c r="V3291" s="12">
        <f>IF($J3291=0,0,ROUND(MAX($J3291*1.4*1.5*1.6*1.6*2.2*2.715,354000000*(1.642074^(MIN($E3291,123)-117)))*1,0))</f>
        <v>414230</v>
      </c>
      <c r="W3291" s="13">
        <f>$E3291+15</f>
        <v>118</v>
      </c>
      <c r="X3291" s="14">
        <f>IF($J3291=0,0,ROUND(MAX($J3291*1.4*1.5*1.6*1.6*2.2*2.715*2.6,3540000000*(1.579646^(MIN($E3291,123)-117)))*1,0))</f>
        <v>5877146</v>
      </c>
      <c r="Y3291" s="11">
        <f>$E3291+17</f>
        <v>120</v>
      </c>
      <c r="Z3291" s="12">
        <f>IF($J3291=0,0,ROUND(MAX($J3291*1.4*1.5*1.6*1.6*2.2*2.715*2.6*1.4,6020000000*(1.651178^(MIN($E3291,123)-117)))*1,0))</f>
        <v>5376281</v>
      </c>
      <c r="AA3291" s="13">
        <f>$E3291+19</f>
        <v>122</v>
      </c>
      <c r="AB3291" s="14">
        <f>IF($J3291=0,0,ROUND(MAX($J3291*1.4*1.5*1.6*1.6*2.2*2.715*2.6*1.4*1.4,8430000000*(1.651435^(MIN($E3291,123)-117)))*1,0))</f>
        <v>7512194</v>
      </c>
      <c r="AC3291" s="11">
        <f>$E3291+21</f>
        <v>124</v>
      </c>
      <c r="AD3291" s="12">
        <f>IF($J3291=0,0,ROUND(MAX($J3291*1.4*1.5*1.6*1.6*2.2*2.715*2.6*1.4*1.4*1.5,12600000000*(1.652953^(MIN($E3291,123)-117)))*1,0))</f>
        <v>11084688</v>
      </c>
      <c r="AE3291" s="13">
        <f>$E3291+24</f>
        <v>127</v>
      </c>
      <c r="AF3291" s="14">
        <f>IF($J3291=0,0,ROUND(MAX($J3291*1.4*1.5*1.6*1.6*2.2*2.715*2.6*1.4*1.4*1.5*1.5,18900000000*(1.65331^(MIN($E3291,123)-117)))*1,0))</f>
        <v>16576839</v>
      </c>
      <c r="AG3291" s="11">
        <f>$E3291+27</f>
        <v>130</v>
      </c>
      <c r="AH3291" s="12">
        <f>IF($J3291=0,0,ROUND(MAX($J3291*1.4*1.5*1.6*1.6*2.2*2.715*2.6*1.4*1.4*1.5*1.5*3.2,60500000000*(1.654288^(MIN($E3291,123)-117)))*1,0))</f>
        <v>52625920</v>
      </c>
    </row>
    <row r="3292" ht="28" customHeight="1" spans="1:34" x14ac:dyDescent="0.25">
      <c r="A3292">
        <v>3302</v>
      </c>
      <c r="B3292" t="s">
        <v>755</v>
      </c>
      <c r="C3292" s="10" t="s">
        <v>1744</v>
      </c>
      <c r="D3292" t="s">
        <v>102</v>
      </c>
      <c r="E3292">
        <v>103</v>
      </c>
      <c r="F3292" t="s">
        <v>62</v>
      </c>
      <c r="G3292" t="s">
        <v>106</v>
      </c>
      <c r="H3292">
        <v>21</v>
      </c>
      <c r="I3292" s="11">
        <f>$E3292+0</f>
        <v>103</v>
      </c>
      <c r="J3292" s="12">
        <v>15600</v>
      </c>
      <c r="K3292" s="13">
        <f>$E3292+1</f>
        <v>104</v>
      </c>
      <c r="L3292" s="14">
        <f>IF($J3292=0,0,ROUND(MAX($J3292*1.4,1620000*(1.497923^(MIN($E3292,123)-117)))*1,0))</f>
        <v>21840</v>
      </c>
      <c r="M3292" s="11">
        <f>$E3292+2</f>
        <v>105</v>
      </c>
      <c r="N3292" s="12">
        <f>IF($J3292=0,0,ROUND(MAX($J3292*1.4*1.5,2190000*(1.580994^(MIN($E3292,123)-117)))*1,0))</f>
        <v>32760</v>
      </c>
      <c r="O3292" s="13">
        <f>$E3292+4</f>
        <v>107</v>
      </c>
      <c r="P3292" s="14">
        <f>IF($J3292=0,0,ROUND(MAX($J3292*1.4*1.5*1.6,3500000*(1.57975^(MIN($E3292,123)-117)))*1,0))</f>
        <v>52416</v>
      </c>
      <c r="Q3292" s="11">
        <f>$E3292+6</f>
        <v>109</v>
      </c>
      <c r="R3292" s="12">
        <f>IF($J3292=0,0,ROUND(MAX($J3292*1.4*1.5*1.6*1.6,13100000*(1.429962^(MIN($E3292,123)-117)))*1,0))</f>
        <v>87645</v>
      </c>
      <c r="S3292" s="13">
        <f>$E3292+8</f>
        <v>111</v>
      </c>
      <c r="T3292" s="14">
        <f>IF($J3292=0,0,ROUND(MAX($J3292*1.4*1.5*1.6*1.6*2.2,42600000*(1.576904^(MIN($E3292,123)-117)))*1,0))</f>
        <v>184504</v>
      </c>
      <c r="U3292" s="11">
        <f>$E3292+11</f>
        <v>114</v>
      </c>
      <c r="V3292" s="12">
        <f>IF($J3292=0,0,ROUND(MAX($J3292*1.4*1.5*1.6*1.6*2.2*2.715,354000000*(1.642074^(MIN($E3292,123)-117)))*1,0))</f>
        <v>500929</v>
      </c>
      <c r="W3292" s="13">
        <f>$E3292+15</f>
        <v>118</v>
      </c>
      <c r="X3292" s="14">
        <f>IF($J3292=0,0,ROUND(MAX($J3292*1.4*1.5*1.6*1.6*2.2*2.715*2.6,3540000000*(1.579646^(MIN($E3292,123)-117)))*1,0))</f>
        <v>5877146</v>
      </c>
      <c r="Y3292" s="11">
        <f>$E3292+17</f>
        <v>120</v>
      </c>
      <c r="Z3292" s="12">
        <f>IF($J3292=0,0,ROUND(MAX($J3292*1.4*1.5*1.6*1.6*2.2*2.715*2.6*1.4,6020000000*(1.651178^(MIN($E3292,123)-117)))*1,0))</f>
        <v>5376281</v>
      </c>
      <c r="AA3292" s="13">
        <f>$E3292+19</f>
        <v>122</v>
      </c>
      <c r="AB3292" s="14">
        <f>IF($J3292=0,0,ROUND(MAX($J3292*1.4*1.5*1.6*1.6*2.2*2.715*2.6*1.4*1.4,8430000000*(1.651435^(MIN($E3292,123)-117)))*1,0))</f>
        <v>7512194</v>
      </c>
      <c r="AC3292" s="11">
        <f>$E3292+21</f>
        <v>124</v>
      </c>
      <c r="AD3292" s="12">
        <f>IF($J3292=0,0,ROUND(MAX($J3292*1.4*1.5*1.6*1.6*2.2*2.715*2.6*1.4*1.4*1.5,12600000000*(1.652953^(MIN($E3292,123)-117)))*1,0))</f>
        <v>11084688</v>
      </c>
      <c r="AE3292" s="13">
        <f>$E3292+24</f>
        <v>127</v>
      </c>
      <c r="AF3292" s="14">
        <f>IF($J3292=0,0,ROUND(MAX($J3292*1.4*1.5*1.6*1.6*2.2*2.715*2.6*1.4*1.4*1.5*1.5,18900000000*(1.65331^(MIN($E3292,123)-117)))*1,0))</f>
        <v>16576839</v>
      </c>
      <c r="AG3292" s="11">
        <f>$E3292+27</f>
        <v>130</v>
      </c>
      <c r="AH3292" s="12">
        <f>IF($J3292=0,0,ROUND(MAX($J3292*1.4*1.5*1.6*1.6*2.2*2.715*2.6*1.4*1.4*1.5*1.5*3.2,60500000000*(1.654288^(MIN($E3292,123)-117)))*1,0))</f>
        <v>52625920</v>
      </c>
    </row>
    <row r="3293" ht="28" customHeight="1" spans="1:34" x14ac:dyDescent="0.25">
      <c r="A3293">
        <v>3303</v>
      </c>
      <c r="B3293" t="s">
        <v>912</v>
      </c>
      <c r="C3293" s="10" t="s">
        <v>1744</v>
      </c>
      <c r="D3293" t="s">
        <v>93</v>
      </c>
      <c r="E3293">
        <v>103</v>
      </c>
      <c r="F3293" t="s">
        <v>34</v>
      </c>
      <c r="G3293" t="s">
        <v>913</v>
      </c>
      <c r="H3293">
        <v>21</v>
      </c>
      <c r="I3293" s="11">
        <f>$E3293+0</f>
        <v>103</v>
      </c>
      <c r="J3293" s="12">
        <v>16100</v>
      </c>
      <c r="K3293" s="13">
        <f>$E3293+1</f>
        <v>104</v>
      </c>
      <c r="L3293" s="14">
        <f>IF($J3293=0,0,ROUND(MAX($J3293*1.4,1620000*(1.497923^(MIN($E3293,123)-117)))*1,0))</f>
        <v>22540</v>
      </c>
      <c r="M3293" s="11">
        <f>$E3293+2</f>
        <v>105</v>
      </c>
      <c r="N3293" s="12">
        <f>IF($J3293=0,0,ROUND(MAX($J3293*1.4*1.5,2190000*(1.580994^(MIN($E3293,123)-117)))*1,0))</f>
        <v>33810</v>
      </c>
      <c r="O3293" s="13">
        <f>$E3293+4</f>
        <v>107</v>
      </c>
      <c r="P3293" s="14">
        <f>IF($J3293=0,0,ROUND(MAX($J3293*1.4*1.5*1.6,3500000*(1.57975^(MIN($E3293,123)-117)))*1,0))</f>
        <v>54096</v>
      </c>
      <c r="Q3293" s="11">
        <f>$E3293+6</f>
        <v>109</v>
      </c>
      <c r="R3293" s="12">
        <f>IF($J3293=0,0,ROUND(MAX($J3293*1.4*1.5*1.6*1.6,13100000*(1.429962^(MIN($E3293,123)-117)))*1,0))</f>
        <v>87645</v>
      </c>
      <c r="S3293" s="13">
        <f>$E3293+8</f>
        <v>111</v>
      </c>
      <c r="T3293" s="14">
        <f>IF($J3293=0,0,ROUND(MAX($J3293*1.4*1.5*1.6*1.6*2.2,42600000*(1.576904^(MIN($E3293,123)-117)))*1,0))</f>
        <v>190418</v>
      </c>
      <c r="U3293" s="11">
        <f>$E3293+11</f>
        <v>114</v>
      </c>
      <c r="V3293" s="12">
        <f>IF($J3293=0,0,ROUND(MAX($J3293*1.4*1.5*1.6*1.6*2.2*2.715,354000000*(1.642074^(MIN($E3293,123)-117)))*1,0))</f>
        <v>516985</v>
      </c>
      <c r="W3293" s="13">
        <f>$E3293+15</f>
        <v>118</v>
      </c>
      <c r="X3293" s="14">
        <f>IF($J3293=0,0,ROUND(MAX($J3293*1.4*1.5*1.6*1.6*2.2*2.715*2.6,3540000000*(1.579646^(MIN($E3293,123)-117)))*1,0))</f>
        <v>5877146</v>
      </c>
      <c r="Y3293" s="11">
        <f>$E3293+17</f>
        <v>120</v>
      </c>
      <c r="Z3293" s="12">
        <f>IF($J3293=0,0,ROUND(MAX($J3293*1.4*1.5*1.6*1.6*2.2*2.715*2.6*1.4,6020000000*(1.651178^(MIN($E3293,123)-117)))*1,0))</f>
        <v>5376281</v>
      </c>
      <c r="AA3293" s="13">
        <f>$E3293+19</f>
        <v>122</v>
      </c>
      <c r="AB3293" s="14">
        <f>IF($J3293=0,0,ROUND(MAX($J3293*1.4*1.5*1.6*1.6*2.2*2.715*2.6*1.4*1.4,8430000000*(1.651435^(MIN($E3293,123)-117)))*1,0))</f>
        <v>7512194</v>
      </c>
      <c r="AC3293" s="11">
        <f>$E3293+21</f>
        <v>124</v>
      </c>
      <c r="AD3293" s="12">
        <f>IF($J3293=0,0,ROUND(MAX($J3293*1.4*1.5*1.6*1.6*2.2*2.715*2.6*1.4*1.4*1.5,12600000000*(1.652953^(MIN($E3293,123)-117)))*1,0))</f>
        <v>11084688</v>
      </c>
      <c r="AE3293" s="13">
        <f>$E3293+24</f>
        <v>127</v>
      </c>
      <c r="AF3293" s="14">
        <f>IF($J3293=0,0,ROUND(MAX($J3293*1.4*1.5*1.6*1.6*2.2*2.715*2.6*1.4*1.4*1.5*1.5,18900000000*(1.65331^(MIN($E3293,123)-117)))*1,0))</f>
        <v>16576839</v>
      </c>
      <c r="AG3293" s="11">
        <f>$E3293+27</f>
        <v>130</v>
      </c>
      <c r="AH3293" s="12">
        <f>IF($J3293=0,0,ROUND(MAX($J3293*1.4*1.5*1.6*1.6*2.2*2.715*2.6*1.4*1.4*1.5*1.5*3.2,60500000000*(1.654288^(MIN($E3293,123)-117)))*1,0))</f>
        <v>52625920</v>
      </c>
    </row>
    <row r="3294" ht="28" customHeight="1" spans="1:34" x14ac:dyDescent="0.25">
      <c r="A3294">
        <v>3304</v>
      </c>
      <c r="B3294" t="s">
        <v>1629</v>
      </c>
      <c r="C3294" s="10" t="s">
        <v>1744</v>
      </c>
      <c r="D3294" t="s">
        <v>241</v>
      </c>
      <c r="E3294">
        <v>103</v>
      </c>
      <c r="F3294" t="s">
        <v>62</v>
      </c>
      <c r="G3294" t="s">
        <v>27</v>
      </c>
      <c r="H3294">
        <v>21</v>
      </c>
      <c r="I3294" s="11">
        <f>$E3294+0</f>
        <v>103</v>
      </c>
      <c r="J3294" s="12">
        <v>10000</v>
      </c>
      <c r="K3294" s="13">
        <f>$E3294+1</f>
        <v>104</v>
      </c>
      <c r="L3294" s="14">
        <f>IF($J3294=0,0,ROUND(MAX($J3294*1.4,1620000*(1.497923^(MIN($E3294,123)-117)))*1,0))</f>
        <v>14000</v>
      </c>
      <c r="M3294" s="11">
        <f>$E3294+2</f>
        <v>105</v>
      </c>
      <c r="N3294" s="12">
        <f>IF($J3294=0,0,ROUND(MAX($J3294*1.4*1.5,2190000*(1.580994^(MIN($E3294,123)-117)))*1,0))</f>
        <v>21000</v>
      </c>
      <c r="O3294" s="13">
        <f>$E3294+4</f>
        <v>107</v>
      </c>
      <c r="P3294" s="14">
        <f>IF($J3294=0,0,ROUND(MAX($J3294*1.4*1.5*1.6,3500000*(1.57975^(MIN($E3294,123)-117)))*1,0))</f>
        <v>33600</v>
      </c>
      <c r="Q3294" s="11">
        <f>$E3294+6</f>
        <v>109</v>
      </c>
      <c r="R3294" s="12">
        <f>IF($J3294=0,0,ROUND(MAX($J3294*1.4*1.5*1.6*1.6,13100000*(1.429962^(MIN($E3294,123)-117)))*1,0))</f>
        <v>87645</v>
      </c>
      <c r="S3294" s="13">
        <f>$E3294+8</f>
        <v>111</v>
      </c>
      <c r="T3294" s="14">
        <f>IF($J3294=0,0,ROUND(MAX($J3294*1.4*1.5*1.6*1.6*2.2,42600000*(1.576904^(MIN($E3294,123)-117)))*1,0))</f>
        <v>118272</v>
      </c>
      <c r="U3294" s="11">
        <f>$E3294+11</f>
        <v>114</v>
      </c>
      <c r="V3294" s="12">
        <f>IF($J3294=0,0,ROUND(MAX($J3294*1.4*1.5*1.6*1.6*2.2*2.715,354000000*(1.642074^(MIN($E3294,123)-117)))*1,0))</f>
        <v>341590</v>
      </c>
      <c r="W3294" s="13">
        <f>$E3294+15</f>
        <v>118</v>
      </c>
      <c r="X3294" s="14">
        <f>IF($J3294=0,0,ROUND(MAX($J3294*1.4*1.5*1.6*1.6*2.2*2.715*2.6,3540000000*(1.579646^(MIN($E3294,123)-117)))*1,0))</f>
        <v>5877146</v>
      </c>
      <c r="Y3294" s="11">
        <f>$E3294+17</f>
        <v>120</v>
      </c>
      <c r="Z3294" s="12">
        <f>IF($J3294=0,0,ROUND(MAX($J3294*1.4*1.5*1.6*1.6*2.2*2.715*2.6*1.4,6020000000*(1.651178^(MIN($E3294,123)-117)))*1,0))</f>
        <v>5376281</v>
      </c>
      <c r="AA3294" s="13">
        <f>$E3294+19</f>
        <v>122</v>
      </c>
      <c r="AB3294" s="14">
        <f>IF($J3294=0,0,ROUND(MAX($J3294*1.4*1.5*1.6*1.6*2.2*2.715*2.6*1.4*1.4,8430000000*(1.651435^(MIN($E3294,123)-117)))*1,0))</f>
        <v>7512194</v>
      </c>
      <c r="AC3294" s="11">
        <f>$E3294+21</f>
        <v>124</v>
      </c>
      <c r="AD3294" s="12">
        <f>IF($J3294=0,0,ROUND(MAX($J3294*1.4*1.5*1.6*1.6*2.2*2.715*2.6*1.4*1.4*1.5,12600000000*(1.652953^(MIN($E3294,123)-117)))*1,0))</f>
        <v>11084688</v>
      </c>
      <c r="AE3294" s="13">
        <f>$E3294+24</f>
        <v>127</v>
      </c>
      <c r="AF3294" s="14">
        <f>IF($J3294=0,0,ROUND(MAX($J3294*1.4*1.5*1.6*1.6*2.2*2.715*2.6*1.4*1.4*1.5*1.5,18900000000*(1.65331^(MIN($E3294,123)-117)))*1,0))</f>
        <v>16576839</v>
      </c>
      <c r="AG3294" s="11">
        <f>$E3294+27</f>
        <v>130</v>
      </c>
      <c r="AH3294" s="12">
        <f>IF($J3294=0,0,ROUND(MAX($J3294*1.4*1.5*1.6*1.6*2.2*2.715*2.6*1.4*1.4*1.5*1.5*3.2,60500000000*(1.654288^(MIN($E3294,123)-117)))*1,0))</f>
        <v>52625920</v>
      </c>
    </row>
    <row r="3295" ht="28" customHeight="1" spans="1:34" x14ac:dyDescent="0.25">
      <c r="A3295">
        <v>3305</v>
      </c>
      <c r="B3295" t="s">
        <v>989</v>
      </c>
      <c r="C3295" s="10" t="s">
        <v>1744</v>
      </c>
      <c r="D3295" t="s">
        <v>33</v>
      </c>
      <c r="E3295">
        <v>103</v>
      </c>
      <c r="F3295" t="s">
        <v>26</v>
      </c>
      <c r="G3295" t="s">
        <v>990</v>
      </c>
      <c r="H3295">
        <v>21</v>
      </c>
      <c r="I3295" s="11">
        <f>$E3295+0</f>
        <v>103</v>
      </c>
      <c r="J3295" s="12">
        <v>18000</v>
      </c>
      <c r="K3295" s="13">
        <f>$E3295+1</f>
        <v>104</v>
      </c>
      <c r="L3295" s="14">
        <f>IF($J3295=0,0,ROUND(MAX($J3295*1.4,1620000*(1.497923^(MIN($E3295,123)-117)))*1,0))</f>
        <v>25200</v>
      </c>
      <c r="M3295" s="11">
        <f>$E3295+2</f>
        <v>105</v>
      </c>
      <c r="N3295" s="12">
        <f>IF($J3295=0,0,ROUND(MAX($J3295*1.4*1.5,2190000*(1.580994^(MIN($E3295,123)-117)))*1,0))</f>
        <v>37800</v>
      </c>
      <c r="O3295" s="13">
        <f>$E3295+4</f>
        <v>107</v>
      </c>
      <c r="P3295" s="14">
        <f>IF($J3295=0,0,ROUND(MAX($J3295*1.4*1.5*1.6,3500000*(1.57975^(MIN($E3295,123)-117)))*1,0))</f>
        <v>60480</v>
      </c>
      <c r="Q3295" s="11">
        <f>$E3295+6</f>
        <v>109</v>
      </c>
      <c r="R3295" s="12">
        <f>IF($J3295=0,0,ROUND(MAX($J3295*1.4*1.5*1.6*1.6,13100000*(1.429962^(MIN($E3295,123)-117)))*1,0))</f>
        <v>96768</v>
      </c>
      <c r="S3295" s="13">
        <f>$E3295+8</f>
        <v>111</v>
      </c>
      <c r="T3295" s="14">
        <f>IF($J3295=0,0,ROUND(MAX($J3295*1.4*1.5*1.6*1.6*2.2,42600000*(1.576904^(MIN($E3295,123)-117)))*1,0))</f>
        <v>212890</v>
      </c>
      <c r="U3295" s="11">
        <f>$E3295+11</f>
        <v>114</v>
      </c>
      <c r="V3295" s="12">
        <f>IF($J3295=0,0,ROUND(MAX($J3295*1.4*1.5*1.6*1.6*2.2*2.715,354000000*(1.642074^(MIN($E3295,123)-117)))*1,0))</f>
        <v>577995</v>
      </c>
      <c r="W3295" s="13">
        <f>$E3295+15</f>
        <v>118</v>
      </c>
      <c r="X3295" s="14">
        <f>IF($J3295=0,0,ROUND(MAX($J3295*1.4*1.5*1.6*1.6*2.2*2.715*2.6,3540000000*(1.579646^(MIN($E3295,123)-117)))*1,0))</f>
        <v>5877146</v>
      </c>
      <c r="Y3295" s="11">
        <f>$E3295+17</f>
        <v>120</v>
      </c>
      <c r="Z3295" s="12">
        <f>IF($J3295=0,0,ROUND(MAX($J3295*1.4*1.5*1.6*1.6*2.2*2.715*2.6*1.4,6020000000*(1.651178^(MIN($E3295,123)-117)))*1,0))</f>
        <v>5376281</v>
      </c>
      <c r="AA3295" s="13">
        <f>$E3295+19</f>
        <v>122</v>
      </c>
      <c r="AB3295" s="14">
        <f>IF($J3295=0,0,ROUND(MAX($J3295*1.4*1.5*1.6*1.6*2.2*2.715*2.6*1.4*1.4,8430000000*(1.651435^(MIN($E3295,123)-117)))*1,0))</f>
        <v>7512194</v>
      </c>
      <c r="AC3295" s="11">
        <f>$E3295+21</f>
        <v>124</v>
      </c>
      <c r="AD3295" s="12">
        <f>IF($J3295=0,0,ROUND(MAX($J3295*1.4*1.5*1.6*1.6*2.2*2.715*2.6*1.4*1.4*1.5,12600000000*(1.652953^(MIN($E3295,123)-117)))*1,0))</f>
        <v>11084688</v>
      </c>
      <c r="AE3295" s="13">
        <f>$E3295+24</f>
        <v>127</v>
      </c>
      <c r="AF3295" s="14">
        <f>IF($J3295=0,0,ROUND(MAX($J3295*1.4*1.5*1.6*1.6*2.2*2.715*2.6*1.4*1.4*1.5*1.5,18900000000*(1.65331^(MIN($E3295,123)-117)))*1,0))</f>
        <v>16576839</v>
      </c>
      <c r="AG3295" s="11">
        <f>$E3295+27</f>
        <v>130</v>
      </c>
      <c r="AH3295" s="12">
        <f>IF($J3295=0,0,ROUND(MAX($J3295*1.4*1.5*1.6*1.6*2.2*2.715*2.6*1.4*1.4*1.5*1.5*3.2,60500000000*(1.654288^(MIN($E3295,123)-117)))*1,0))</f>
        <v>52625920</v>
      </c>
    </row>
    <row r="3296" ht="28" customHeight="1" spans="1:34" x14ac:dyDescent="0.25">
      <c r="A3296">
        <v>3306</v>
      </c>
      <c r="B3296" t="s">
        <v>1759</v>
      </c>
      <c r="C3296" s="10" t="s">
        <v>1744</v>
      </c>
      <c r="D3296" t="s">
        <v>47</v>
      </c>
      <c r="E3296">
        <v>103</v>
      </c>
      <c r="F3296" t="s">
        <v>56</v>
      </c>
      <c r="G3296" t="s">
        <v>1007</v>
      </c>
      <c r="H3296">
        <v>19</v>
      </c>
      <c r="I3296" s="11">
        <f>$E3296+0</f>
        <v>103</v>
      </c>
      <c r="J3296" s="12">
        <v>25500</v>
      </c>
      <c r="K3296" s="13">
        <f>$E3296+1</f>
        <v>104</v>
      </c>
      <c r="L3296" s="14">
        <f>IF($J3296=0,0,ROUND(MAX($J3296*1.4,1620000*(1.497923^(MIN($E3296,123)-117)))*1,0))</f>
        <v>35700</v>
      </c>
      <c r="M3296" s="11">
        <f>$E3296+2</f>
        <v>105</v>
      </c>
      <c r="N3296" s="12">
        <f>IF($J3296=0,0,ROUND(MAX($J3296*1.4*1.5,2190000*(1.580994^(MIN($E3296,123)-117)))*1,0))</f>
        <v>53550</v>
      </c>
      <c r="O3296" s="13">
        <f>$E3296+4</f>
        <v>107</v>
      </c>
      <c r="P3296" s="14">
        <f>IF($J3296=0,0,ROUND(MAX($J3296*1.4*1.5*1.6,3500000*(1.57975^(MIN($E3296,123)-117)))*1,0))</f>
        <v>85680</v>
      </c>
      <c r="Q3296" s="11">
        <f>$E3296+6</f>
        <v>109</v>
      </c>
      <c r="R3296" s="12">
        <f>IF($J3296=0,0,ROUND(MAX($J3296*1.4*1.5*1.6*1.6,13100000*(1.429962^(MIN($E3296,123)-117)))*1,0))</f>
        <v>137088</v>
      </c>
      <c r="S3296" s="13">
        <f>$E3296+8</f>
        <v>111</v>
      </c>
      <c r="T3296" s="14">
        <f>IF($J3296=0,0,ROUND(MAX($J3296*1.4*1.5*1.6*1.6*2.2,42600000*(1.576904^(MIN($E3296,123)-117)))*1,0))</f>
        <v>301594</v>
      </c>
      <c r="U3296" s="11">
        <f>$E3296+11</f>
        <v>114</v>
      </c>
      <c r="V3296" s="12">
        <f>IF($J3296=0,0,ROUND(MAX($J3296*1.4*1.5*1.6*1.6*2.2*2.715,354000000*(1.642074^(MIN($E3296,123)-117)))*1,0))</f>
        <v>818827</v>
      </c>
      <c r="W3296" s="13">
        <f>$E3296+15</f>
        <v>118</v>
      </c>
      <c r="X3296" s="14">
        <f>IF($J3296=0,0,ROUND(MAX($J3296*1.4*1.5*1.6*1.6*2.2*2.715*2.6,3540000000*(1.579646^(MIN($E3296,123)-117)))*1,0))</f>
        <v>5877146</v>
      </c>
      <c r="Y3296" s="11">
        <f>$E3296+17</f>
        <v>120</v>
      </c>
      <c r="Z3296" s="12">
        <f>IF($J3296=0,0,ROUND(MAX($J3296*1.4*1.5*1.6*1.6*2.2*2.715*2.6*1.4,6020000000*(1.651178^(MIN($E3296,123)-117)))*1,0))</f>
        <v>5376281</v>
      </c>
      <c r="AA3296" s="13">
        <f>$E3296+19</f>
        <v>122</v>
      </c>
      <c r="AB3296" s="14">
        <f>IF($J3296=0,0,ROUND(MAX($J3296*1.4*1.5*1.6*1.6*2.2*2.715*2.6*1.4*1.4,8430000000*(1.651435^(MIN($E3296,123)-117)))*1,0))</f>
        <v>7512194</v>
      </c>
      <c r="AC3296" s="11">
        <f>$E3296+21</f>
        <v>124</v>
      </c>
      <c r="AD3296" s="12">
        <f>IF($J3296=0,0,ROUND(MAX($J3296*1.4*1.5*1.6*1.6*2.2*2.715*2.6*1.4*1.4*1.5,12600000000*(1.652953^(MIN($E3296,123)-117)))*1,0))</f>
        <v>11084688</v>
      </c>
      <c r="AE3296" s="13">
        <f>$E3296+24</f>
        <v>127</v>
      </c>
      <c r="AF3296" s="14">
        <f>IF($J3296=0,0,ROUND(MAX($J3296*1.4*1.5*1.6*1.6*2.2*2.715*2.6*1.4*1.4*1.5*1.5,18900000000*(1.65331^(MIN($E3296,123)-117)))*1,0))</f>
        <v>16576839</v>
      </c>
      <c r="AG3296" s="11">
        <f>$E3296+27</f>
        <v>130</v>
      </c>
      <c r="AH3296" s="12">
        <f>IF($J3296=0,0,ROUND(MAX($J3296*1.4*1.5*1.6*1.6*2.2*2.715*2.6*1.4*1.4*1.5*1.5*3.2,60500000000*(1.654288^(MIN($E3296,123)-117)))*1,0))</f>
        <v>52625920</v>
      </c>
    </row>
    <row r="3297" ht="28" customHeight="1" spans="1:34" x14ac:dyDescent="0.25">
      <c r="A3297">
        <v>3307</v>
      </c>
      <c r="B3297" t="s">
        <v>1760</v>
      </c>
      <c r="C3297" s="10" t="s">
        <v>1744</v>
      </c>
      <c r="D3297" t="s">
        <v>40</v>
      </c>
      <c r="E3297">
        <v>102</v>
      </c>
      <c r="F3297" t="s">
        <v>42</v>
      </c>
      <c r="G3297" t="s">
        <v>439</v>
      </c>
      <c r="H3297">
        <v>22</v>
      </c>
      <c r="I3297" s="11">
        <f>$E3297+0</f>
        <v>102</v>
      </c>
      <c r="J3297" s="12">
        <v>8810</v>
      </c>
      <c r="K3297" s="13">
        <f>$E3297+1</f>
        <v>103</v>
      </c>
      <c r="L3297" s="14">
        <f>IF($J3297=0,0,ROUND(MAX($J3297*1.4,1620000*(1.497923^(MIN($E3297,123)-117)))*1,0))</f>
        <v>12334</v>
      </c>
      <c r="M3297" s="11">
        <f>$E3297+2</f>
        <v>104</v>
      </c>
      <c r="N3297" s="12">
        <f>IF($J3297=0,0,ROUND(MAX($J3297*1.4*1.5,2190000*(1.580994^(MIN($E3297,123)-117)))*1,0))</f>
        <v>18501</v>
      </c>
      <c r="O3297" s="13">
        <f>$E3297+4</f>
        <v>106</v>
      </c>
      <c r="P3297" s="14">
        <f>IF($J3297=0,0,ROUND(MAX($J3297*1.4*1.5*1.6,3500000*(1.57975^(MIN($E3297,123)-117)))*1,0))</f>
        <v>29602</v>
      </c>
      <c r="Q3297" s="11">
        <f>$E3297+6</f>
        <v>108</v>
      </c>
      <c r="R3297" s="12">
        <f>IF($J3297=0,0,ROUND(MAX($J3297*1.4*1.5*1.6*1.6,13100000*(1.429962^(MIN($E3297,123)-117)))*1,0))</f>
        <v>61292</v>
      </c>
      <c r="S3297" s="13">
        <f>$E3297+8</f>
        <v>110</v>
      </c>
      <c r="T3297" s="14">
        <f>IF($J3297=0,0,ROUND(MAX($J3297*1.4*1.5*1.6*1.6*2.2,42600000*(1.576904^(MIN($E3297,123)-117)))*1,0))</f>
        <v>104198</v>
      </c>
      <c r="U3297" s="11">
        <f>$E3297+11</f>
        <v>113</v>
      </c>
      <c r="V3297" s="12">
        <f>IF($J3297=0,0,ROUND(MAX($J3297*1.4*1.5*1.6*1.6*2.2*2.715,354000000*(1.642074^(MIN($E3297,123)-117)))*1,0))</f>
        <v>282897</v>
      </c>
      <c r="W3297" s="13">
        <f>$E3297+15</f>
        <v>117</v>
      </c>
      <c r="X3297" s="14">
        <f>IF($J3297=0,0,ROUND(MAX($J3297*1.4*1.5*1.6*1.6*2.2*2.715*2.6,3540000000*(1.579646^(MIN($E3297,123)-117)))*1,0))</f>
        <v>3720546</v>
      </c>
      <c r="Y3297" s="11">
        <f>$E3297+17</f>
        <v>119</v>
      </c>
      <c r="Z3297" s="12">
        <f>IF($J3297=0,0,ROUND(MAX($J3297*1.4*1.5*1.6*1.6*2.2*2.715*2.6*1.4,6020000000*(1.651178^(MIN($E3297,123)-117)))*1,0))</f>
        <v>3256028</v>
      </c>
      <c r="AA3297" s="13">
        <f>$E3297+19</f>
        <v>121</v>
      </c>
      <c r="AB3297" s="14">
        <f>IF($J3297=0,0,ROUND(MAX($J3297*1.4*1.5*1.6*1.6*2.2*2.715*2.6*1.4*1.4,8430000000*(1.651435^(MIN($E3297,123)-117)))*1,0))</f>
        <v>4548889</v>
      </c>
      <c r="AC3297" s="11">
        <f>$E3297+21</f>
        <v>123</v>
      </c>
      <c r="AD3297" s="12">
        <f>IF($J3297=0,0,ROUND(MAX($J3297*1.4*1.5*1.6*1.6*2.2*2.715*2.6*1.4*1.4*1.5,12600000000*(1.652953^(MIN($E3297,123)-117)))*1,0))</f>
        <v>6705991</v>
      </c>
      <c r="AE3297" s="13">
        <f>$E3297+24</f>
        <v>126</v>
      </c>
      <c r="AF3297" s="14">
        <f>IF($J3297=0,0,ROUND(MAX($J3297*1.4*1.5*1.6*1.6*2.2*2.715*2.6*1.4*1.4*1.5*1.5,18900000000*(1.65331^(MIN($E3297,123)-117)))*1,0))</f>
        <v>10026455</v>
      </c>
      <c r="AG3297" s="11">
        <f>$E3297+27</f>
        <v>129</v>
      </c>
      <c r="AH3297" s="12">
        <f>IF($J3297=0,0,ROUND(MAX($J3297*1.4*1.5*1.6*1.6*2.2*2.715*2.6*1.4*1.4*1.5*1.5*3.2,60500000000*(1.654288^(MIN($E3297,123)-117)))*1,0))</f>
        <v>31811825</v>
      </c>
    </row>
    <row r="3298" ht="28" customHeight="1" spans="1:34" x14ac:dyDescent="0.25">
      <c r="A3298">
        <v>3308</v>
      </c>
      <c r="B3298" t="s">
        <v>1761</v>
      </c>
      <c r="C3298" s="10" t="s">
        <v>1744</v>
      </c>
      <c r="D3298" t="s">
        <v>40</v>
      </c>
      <c r="E3298">
        <v>102</v>
      </c>
      <c r="F3298" t="s">
        <v>212</v>
      </c>
      <c r="G3298" t="s">
        <v>1762</v>
      </c>
      <c r="H3298">
        <v>22</v>
      </c>
      <c r="I3298" s="11">
        <f>$E3298+0</f>
        <v>102</v>
      </c>
      <c r="J3298" s="12">
        <v>17700</v>
      </c>
      <c r="K3298" s="13">
        <f>$E3298+1</f>
        <v>103</v>
      </c>
      <c r="L3298" s="14">
        <f>IF($J3298=0,0,ROUND(MAX($J3298*1.4,1620000*(1.497923^(MIN($E3298,123)-117)))*1,0))</f>
        <v>24780</v>
      </c>
      <c r="M3298" s="11">
        <f>$E3298+2</f>
        <v>104</v>
      </c>
      <c r="N3298" s="12">
        <f>IF($J3298=0,0,ROUND(MAX($J3298*1.4*1.5,2190000*(1.580994^(MIN($E3298,123)-117)))*1,0))</f>
        <v>37170</v>
      </c>
      <c r="O3298" s="13">
        <f>$E3298+4</f>
        <v>106</v>
      </c>
      <c r="P3298" s="14">
        <f>IF($J3298=0,0,ROUND(MAX($J3298*1.4*1.5*1.6,3500000*(1.57975^(MIN($E3298,123)-117)))*1,0))</f>
        <v>59472</v>
      </c>
      <c r="Q3298" s="11">
        <f>$E3298+6</f>
        <v>108</v>
      </c>
      <c r="R3298" s="12">
        <f>IF($J3298=0,0,ROUND(MAX($J3298*1.4*1.5*1.6*1.6,13100000*(1.429962^(MIN($E3298,123)-117)))*1,0))</f>
        <v>95155</v>
      </c>
      <c r="S3298" s="13">
        <f>$E3298+8</f>
        <v>110</v>
      </c>
      <c r="T3298" s="14">
        <f>IF($J3298=0,0,ROUND(MAX($J3298*1.4*1.5*1.6*1.6*2.2,42600000*(1.576904^(MIN($E3298,123)-117)))*1,0))</f>
        <v>209341</v>
      </c>
      <c r="U3298" s="11">
        <f>$E3298+11</f>
        <v>113</v>
      </c>
      <c r="V3298" s="12">
        <f>IF($J3298=0,0,ROUND(MAX($J3298*1.4*1.5*1.6*1.6*2.2*2.715,354000000*(1.642074^(MIN($E3298,123)-117)))*1,0))</f>
        <v>568362</v>
      </c>
      <c r="W3298" s="13">
        <f>$E3298+15</f>
        <v>117</v>
      </c>
      <c r="X3298" s="14">
        <f>IF($J3298=0,0,ROUND(MAX($J3298*1.4*1.5*1.6*1.6*2.2*2.715*2.6,3540000000*(1.579646^(MIN($E3298,123)-117)))*1,0))</f>
        <v>3720546</v>
      </c>
      <c r="Y3298" s="11">
        <f>$E3298+17</f>
        <v>119</v>
      </c>
      <c r="Z3298" s="12">
        <f>IF($J3298=0,0,ROUND(MAX($J3298*1.4*1.5*1.6*1.6*2.2*2.715*2.6*1.4,6020000000*(1.651178^(MIN($E3298,123)-117)))*1,0))</f>
        <v>3256028</v>
      </c>
      <c r="AA3298" s="13">
        <f>$E3298+19</f>
        <v>121</v>
      </c>
      <c r="AB3298" s="14">
        <f>IF($J3298=0,0,ROUND(MAX($J3298*1.4*1.5*1.6*1.6*2.2*2.715*2.6*1.4*1.4,8430000000*(1.651435^(MIN($E3298,123)-117)))*1,0))</f>
        <v>4548889</v>
      </c>
      <c r="AC3298" s="11">
        <f>$E3298+21</f>
        <v>123</v>
      </c>
      <c r="AD3298" s="12">
        <f>IF($J3298=0,0,ROUND(MAX($J3298*1.4*1.5*1.6*1.6*2.2*2.715*2.6*1.4*1.4*1.5,12600000000*(1.652953^(MIN($E3298,123)-117)))*1,0))</f>
        <v>6705991</v>
      </c>
      <c r="AE3298" s="13">
        <f>$E3298+24</f>
        <v>126</v>
      </c>
      <c r="AF3298" s="14">
        <f>IF($J3298=0,0,ROUND(MAX($J3298*1.4*1.5*1.6*1.6*2.2*2.715*2.6*1.4*1.4*1.5*1.5,18900000000*(1.65331^(MIN($E3298,123)-117)))*1,0))</f>
        <v>10026455</v>
      </c>
      <c r="AG3298" s="11">
        <f>$E3298+27</f>
        <v>129</v>
      </c>
      <c r="AH3298" s="12">
        <f>IF($J3298=0,0,ROUND(MAX($J3298*1.4*1.5*1.6*1.6*2.2*2.715*2.6*1.4*1.4*1.5*1.5*3.2,60500000000*(1.654288^(MIN($E3298,123)-117)))*1,0))</f>
        <v>31811825</v>
      </c>
    </row>
    <row r="3299" ht="28" customHeight="1" spans="1:34" x14ac:dyDescent="0.25">
      <c r="A3299">
        <v>3309</v>
      </c>
      <c r="B3299" t="s">
        <v>1445</v>
      </c>
      <c r="C3299" s="10" t="s">
        <v>1744</v>
      </c>
      <c r="D3299" t="s">
        <v>64</v>
      </c>
      <c r="E3299">
        <v>102</v>
      </c>
      <c r="F3299" t="s">
        <v>62</v>
      </c>
      <c r="G3299" t="s">
        <v>27</v>
      </c>
      <c r="H3299">
        <v>22</v>
      </c>
      <c r="I3299" s="11">
        <f>$E3299+0</f>
        <v>102</v>
      </c>
      <c r="J3299" s="12">
        <v>22200</v>
      </c>
      <c r="K3299" s="13">
        <f>$E3299+1</f>
        <v>103</v>
      </c>
      <c r="L3299" s="14">
        <f>IF($J3299=0,0,ROUND(MAX($J3299*1.4,1620000*(1.497923^(MIN($E3299,123)-117)))*1,0))</f>
        <v>31080</v>
      </c>
      <c r="M3299" s="11">
        <f>$E3299+2</f>
        <v>104</v>
      </c>
      <c r="N3299" s="12">
        <f>IF($J3299=0,0,ROUND(MAX($J3299*1.4*1.5,2190000*(1.580994^(MIN($E3299,123)-117)))*1,0))</f>
        <v>46620</v>
      </c>
      <c r="O3299" s="13">
        <f>$E3299+4</f>
        <v>106</v>
      </c>
      <c r="P3299" s="14">
        <f>IF($J3299=0,0,ROUND(MAX($J3299*1.4*1.5*1.6,3500000*(1.57975^(MIN($E3299,123)-117)))*1,0))</f>
        <v>74592</v>
      </c>
      <c r="Q3299" s="11">
        <f>$E3299+6</f>
        <v>108</v>
      </c>
      <c r="R3299" s="12">
        <f>IF($J3299=0,0,ROUND(MAX($J3299*1.4*1.5*1.6*1.6,13100000*(1.429962^(MIN($E3299,123)-117)))*1,0))</f>
        <v>119347</v>
      </c>
      <c r="S3299" s="13">
        <f>$E3299+8</f>
        <v>110</v>
      </c>
      <c r="T3299" s="14">
        <f>IF($J3299=0,0,ROUND(MAX($J3299*1.4*1.5*1.6*1.6*2.2,42600000*(1.576904^(MIN($E3299,123)-117)))*1,0))</f>
        <v>262564</v>
      </c>
      <c r="U3299" s="11">
        <f>$E3299+11</f>
        <v>113</v>
      </c>
      <c r="V3299" s="12">
        <f>IF($J3299=0,0,ROUND(MAX($J3299*1.4*1.5*1.6*1.6*2.2*2.715,354000000*(1.642074^(MIN($E3299,123)-117)))*1,0))</f>
        <v>712861</v>
      </c>
      <c r="W3299" s="13">
        <f>$E3299+15</f>
        <v>117</v>
      </c>
      <c r="X3299" s="14">
        <f>IF($J3299=0,0,ROUND(MAX($J3299*1.4*1.5*1.6*1.6*2.2*2.715*2.6,3540000000*(1.579646^(MIN($E3299,123)-117)))*1,0))</f>
        <v>3720546</v>
      </c>
      <c r="Y3299" s="11">
        <f>$E3299+17</f>
        <v>119</v>
      </c>
      <c r="Z3299" s="12">
        <f>IF($J3299=0,0,ROUND(MAX($J3299*1.4*1.5*1.6*1.6*2.2*2.715*2.6*1.4,6020000000*(1.651178^(MIN($E3299,123)-117)))*1,0))</f>
        <v>3256028</v>
      </c>
      <c r="AA3299" s="13">
        <f>$E3299+19</f>
        <v>121</v>
      </c>
      <c r="AB3299" s="14">
        <f>IF($J3299=0,0,ROUND(MAX($J3299*1.4*1.5*1.6*1.6*2.2*2.715*2.6*1.4*1.4,8430000000*(1.651435^(MIN($E3299,123)-117)))*1,0))</f>
        <v>4548889</v>
      </c>
      <c r="AC3299" s="11">
        <f>$E3299+21</f>
        <v>123</v>
      </c>
      <c r="AD3299" s="12">
        <f>IF($J3299=0,0,ROUND(MAX($J3299*1.4*1.5*1.6*1.6*2.2*2.715*2.6*1.4*1.4*1.5,12600000000*(1.652953^(MIN($E3299,123)-117)))*1,0))</f>
        <v>6705991</v>
      </c>
      <c r="AE3299" s="13">
        <f>$E3299+24</f>
        <v>126</v>
      </c>
      <c r="AF3299" s="14">
        <f>IF($J3299=0,0,ROUND(MAX($J3299*1.4*1.5*1.6*1.6*2.2*2.715*2.6*1.4*1.4*1.5*1.5,18900000000*(1.65331^(MIN($E3299,123)-117)))*1,0))</f>
        <v>10026455</v>
      </c>
      <c r="AG3299" s="11">
        <f>$E3299+27</f>
        <v>129</v>
      </c>
      <c r="AH3299" s="12">
        <f>IF($J3299=0,0,ROUND(MAX($J3299*1.4*1.5*1.6*1.6*2.2*2.715*2.6*1.4*1.4*1.5*1.5*3.2,60500000000*(1.654288^(MIN($E3299,123)-117)))*1,0))</f>
        <v>31811825</v>
      </c>
    </row>
    <row r="3300" ht="28" customHeight="1" spans="1:34" x14ac:dyDescent="0.25">
      <c r="A3300">
        <v>3310</v>
      </c>
      <c r="B3300" t="s">
        <v>442</v>
      </c>
      <c r="C3300" s="10" t="s">
        <v>1744</v>
      </c>
      <c r="D3300" t="s">
        <v>33</v>
      </c>
      <c r="E3300">
        <v>102</v>
      </c>
      <c r="F3300" t="s">
        <v>30</v>
      </c>
      <c r="G3300" t="s">
        <v>351</v>
      </c>
      <c r="H3300">
        <v>21</v>
      </c>
      <c r="I3300" s="11">
        <f>$E3300+0</f>
        <v>102</v>
      </c>
      <c r="J3300" s="12">
        <v>14600</v>
      </c>
      <c r="K3300" s="13">
        <f>$E3300+1</f>
        <v>103</v>
      </c>
      <c r="L3300" s="14">
        <f>IF($J3300=0,0,ROUND(MAX($J3300*1.4,1620000*(1.497923^(MIN($E3300,123)-117)))*1,0))</f>
        <v>20440</v>
      </c>
      <c r="M3300" s="11">
        <f>$E3300+2</f>
        <v>104</v>
      </c>
      <c r="N3300" s="12">
        <f>IF($J3300=0,0,ROUND(MAX($J3300*1.4*1.5,2190000*(1.580994^(MIN($E3300,123)-117)))*1,0))</f>
        <v>30660</v>
      </c>
      <c r="O3300" s="13">
        <f>$E3300+4</f>
        <v>106</v>
      </c>
      <c r="P3300" s="14">
        <f>IF($J3300=0,0,ROUND(MAX($J3300*1.4*1.5*1.6,3500000*(1.57975^(MIN($E3300,123)-117)))*1,0))</f>
        <v>49056</v>
      </c>
      <c r="Q3300" s="11">
        <f>$E3300+6</f>
        <v>108</v>
      </c>
      <c r="R3300" s="12">
        <f>IF($J3300=0,0,ROUND(MAX($J3300*1.4*1.5*1.6*1.6,13100000*(1.429962^(MIN($E3300,123)-117)))*1,0))</f>
        <v>78490</v>
      </c>
      <c r="S3300" s="13">
        <f>$E3300+8</f>
        <v>110</v>
      </c>
      <c r="T3300" s="14">
        <f>IF($J3300=0,0,ROUND(MAX($J3300*1.4*1.5*1.6*1.6*2.2,42600000*(1.576904^(MIN($E3300,123)-117)))*1,0))</f>
        <v>172677</v>
      </c>
      <c r="U3300" s="11">
        <f>$E3300+11</f>
        <v>113</v>
      </c>
      <c r="V3300" s="12">
        <f>IF($J3300=0,0,ROUND(MAX($J3300*1.4*1.5*1.6*1.6*2.2*2.715,354000000*(1.642074^(MIN($E3300,123)-117)))*1,0))</f>
        <v>468818</v>
      </c>
      <c r="W3300" s="13">
        <f>$E3300+15</f>
        <v>117</v>
      </c>
      <c r="X3300" s="14">
        <f>IF($J3300=0,0,ROUND(MAX($J3300*1.4*1.5*1.6*1.6*2.2*2.715*2.6,3540000000*(1.579646^(MIN($E3300,123)-117)))*1,0))</f>
        <v>3720546</v>
      </c>
      <c r="Y3300" s="11">
        <f>$E3300+17</f>
        <v>119</v>
      </c>
      <c r="Z3300" s="12">
        <f>IF($J3300=0,0,ROUND(MAX($J3300*1.4*1.5*1.6*1.6*2.2*2.715*2.6*1.4,6020000000*(1.651178^(MIN($E3300,123)-117)))*1,0))</f>
        <v>3256028</v>
      </c>
      <c r="AA3300" s="13">
        <f>$E3300+19</f>
        <v>121</v>
      </c>
      <c r="AB3300" s="14">
        <f>IF($J3300=0,0,ROUND(MAX($J3300*1.4*1.5*1.6*1.6*2.2*2.715*2.6*1.4*1.4,8430000000*(1.651435^(MIN($E3300,123)-117)))*1,0))</f>
        <v>4548889</v>
      </c>
      <c r="AC3300" s="11">
        <f>$E3300+21</f>
        <v>123</v>
      </c>
      <c r="AD3300" s="12">
        <f>IF($J3300=0,0,ROUND(MAX($J3300*1.4*1.5*1.6*1.6*2.2*2.715*2.6*1.4*1.4*1.5,12600000000*(1.652953^(MIN($E3300,123)-117)))*1,0))</f>
        <v>6705991</v>
      </c>
      <c r="AE3300" s="13">
        <f>$E3300+24</f>
        <v>126</v>
      </c>
      <c r="AF3300" s="14">
        <f>IF($J3300=0,0,ROUND(MAX($J3300*1.4*1.5*1.6*1.6*2.2*2.715*2.6*1.4*1.4*1.5*1.5,18900000000*(1.65331^(MIN($E3300,123)-117)))*1,0))</f>
        <v>10026455</v>
      </c>
      <c r="AG3300" s="11">
        <f>$E3300+27</f>
        <v>129</v>
      </c>
      <c r="AH3300" s="12">
        <f>IF($J3300=0,0,ROUND(MAX($J3300*1.4*1.5*1.6*1.6*2.2*2.715*2.6*1.4*1.4*1.5*1.5*3.2,60500000000*(1.654288^(MIN($E3300,123)-117)))*1,0))</f>
        <v>31811825</v>
      </c>
    </row>
    <row r="3301" ht="28" customHeight="1" spans="1:34" x14ac:dyDescent="0.25">
      <c r="A3301">
        <v>3311</v>
      </c>
      <c r="B3301" t="s">
        <v>1429</v>
      </c>
      <c r="C3301" s="10" t="s">
        <v>1744</v>
      </c>
      <c r="D3301" t="s">
        <v>331</v>
      </c>
      <c r="E3301">
        <v>102</v>
      </c>
      <c r="F3301" t="s">
        <v>71</v>
      </c>
      <c r="G3301" t="s">
        <v>171</v>
      </c>
      <c r="H3301">
        <v>21</v>
      </c>
      <c r="I3301" s="11">
        <f>$E3301+0</f>
        <v>102</v>
      </c>
      <c r="J3301" s="12">
        <v>11600</v>
      </c>
      <c r="K3301" s="13">
        <f>$E3301+1</f>
        <v>103</v>
      </c>
      <c r="L3301" s="14">
        <f>IF($J3301=0,0,ROUND(MAX($J3301*1.4,1620000*(1.497923^(MIN($E3301,123)-117)))*1,0))</f>
        <v>16240</v>
      </c>
      <c r="M3301" s="11">
        <f>$E3301+2</f>
        <v>104</v>
      </c>
      <c r="N3301" s="12">
        <f>IF($J3301=0,0,ROUND(MAX($J3301*1.4*1.5,2190000*(1.580994^(MIN($E3301,123)-117)))*1,0))</f>
        <v>24360</v>
      </c>
      <c r="O3301" s="13">
        <f>$E3301+4</f>
        <v>106</v>
      </c>
      <c r="P3301" s="14">
        <f>IF($J3301=0,0,ROUND(MAX($J3301*1.4*1.5*1.6,3500000*(1.57975^(MIN($E3301,123)-117)))*1,0))</f>
        <v>38976</v>
      </c>
      <c r="Q3301" s="11">
        <f>$E3301+6</f>
        <v>108</v>
      </c>
      <c r="R3301" s="12">
        <f>IF($J3301=0,0,ROUND(MAX($J3301*1.4*1.5*1.6*1.6,13100000*(1.429962^(MIN($E3301,123)-117)))*1,0))</f>
        <v>62362</v>
      </c>
      <c r="S3301" s="13">
        <f>$E3301+8</f>
        <v>110</v>
      </c>
      <c r="T3301" s="14">
        <f>IF($J3301=0,0,ROUND(MAX($J3301*1.4*1.5*1.6*1.6*2.2,42600000*(1.576904^(MIN($E3301,123)-117)))*1,0))</f>
        <v>137196</v>
      </c>
      <c r="U3301" s="11">
        <f>$E3301+11</f>
        <v>113</v>
      </c>
      <c r="V3301" s="12">
        <f>IF($J3301=0,0,ROUND(MAX($J3301*1.4*1.5*1.6*1.6*2.2*2.715,354000000*(1.642074^(MIN($E3301,123)-117)))*1,0))</f>
        <v>372486</v>
      </c>
      <c r="W3301" s="13">
        <f>$E3301+15</f>
        <v>117</v>
      </c>
      <c r="X3301" s="14">
        <f>IF($J3301=0,0,ROUND(MAX($J3301*1.4*1.5*1.6*1.6*2.2*2.715*2.6,3540000000*(1.579646^(MIN($E3301,123)-117)))*1,0))</f>
        <v>3720546</v>
      </c>
      <c r="Y3301" s="11">
        <f>$E3301+17</f>
        <v>119</v>
      </c>
      <c r="Z3301" s="12">
        <f>IF($J3301=0,0,ROUND(MAX($J3301*1.4*1.5*1.6*1.6*2.2*2.715*2.6*1.4,6020000000*(1.651178^(MIN($E3301,123)-117)))*1,0))</f>
        <v>3256028</v>
      </c>
      <c r="AA3301" s="13">
        <f>$E3301+19</f>
        <v>121</v>
      </c>
      <c r="AB3301" s="14">
        <f>IF($J3301=0,0,ROUND(MAX($J3301*1.4*1.5*1.6*1.6*2.2*2.715*2.6*1.4*1.4,8430000000*(1.651435^(MIN($E3301,123)-117)))*1,0))</f>
        <v>4548889</v>
      </c>
      <c r="AC3301" s="11">
        <f>$E3301+21</f>
        <v>123</v>
      </c>
      <c r="AD3301" s="12">
        <f>IF($J3301=0,0,ROUND(MAX($J3301*1.4*1.5*1.6*1.6*2.2*2.715*2.6*1.4*1.4*1.5,12600000000*(1.652953^(MIN($E3301,123)-117)))*1,0))</f>
        <v>6705991</v>
      </c>
      <c r="AE3301" s="13">
        <f>$E3301+24</f>
        <v>126</v>
      </c>
      <c r="AF3301" s="14">
        <f>IF($J3301=0,0,ROUND(MAX($J3301*1.4*1.5*1.6*1.6*2.2*2.715*2.6*1.4*1.4*1.5*1.5,18900000000*(1.65331^(MIN($E3301,123)-117)))*1,0))</f>
        <v>10026455</v>
      </c>
      <c r="AG3301" s="11">
        <f>$E3301+27</f>
        <v>129</v>
      </c>
      <c r="AH3301" s="12">
        <f>IF($J3301=0,0,ROUND(MAX($J3301*1.4*1.5*1.6*1.6*2.2*2.715*2.6*1.4*1.4*1.5*1.5*3.2,60500000000*(1.654288^(MIN($E3301,123)-117)))*1,0))</f>
        <v>31811825</v>
      </c>
    </row>
    <row r="3302" ht="28" customHeight="1" spans="1:34" x14ac:dyDescent="0.25">
      <c r="A3302">
        <v>3312</v>
      </c>
      <c r="B3302" t="s">
        <v>1763</v>
      </c>
      <c r="C3302" s="10" t="s">
        <v>1744</v>
      </c>
      <c r="D3302" t="s">
        <v>29</v>
      </c>
      <c r="E3302">
        <v>102</v>
      </c>
      <c r="F3302" t="s">
        <v>1764</v>
      </c>
      <c r="G3302" t="s">
        <v>464</v>
      </c>
      <c r="H3302">
        <v>21</v>
      </c>
      <c r="I3302" s="11">
        <f>$E3302+0</f>
        <v>102</v>
      </c>
      <c r="J3302" s="12">
        <v>15200</v>
      </c>
      <c r="K3302" s="13">
        <f>$E3302+1</f>
        <v>103</v>
      </c>
      <c r="L3302" s="14">
        <f>IF($J3302=0,0,ROUND(MAX($J3302*1.4,1620000*(1.497923^(MIN($E3302,123)-117)))*1,0))</f>
        <v>21280</v>
      </c>
      <c r="M3302" s="11">
        <f>$E3302+2</f>
        <v>104</v>
      </c>
      <c r="N3302" s="12">
        <f>IF($J3302=0,0,ROUND(MAX($J3302*1.4*1.5,2190000*(1.580994^(MIN($E3302,123)-117)))*1,0))</f>
        <v>31920</v>
      </c>
      <c r="O3302" s="13">
        <f>$E3302+4</f>
        <v>106</v>
      </c>
      <c r="P3302" s="14">
        <f>IF($J3302=0,0,ROUND(MAX($J3302*1.4*1.5*1.6,3500000*(1.57975^(MIN($E3302,123)-117)))*1,0))</f>
        <v>51072</v>
      </c>
      <c r="Q3302" s="11">
        <f>$E3302+6</f>
        <v>108</v>
      </c>
      <c r="R3302" s="12">
        <f>IF($J3302=0,0,ROUND(MAX($J3302*1.4*1.5*1.6*1.6,13100000*(1.429962^(MIN($E3302,123)-117)))*1,0))</f>
        <v>81715</v>
      </c>
      <c r="S3302" s="13">
        <f>$E3302+8</f>
        <v>110</v>
      </c>
      <c r="T3302" s="14">
        <f>IF($J3302=0,0,ROUND(MAX($J3302*1.4*1.5*1.6*1.6*2.2,42600000*(1.576904^(MIN($E3302,123)-117)))*1,0))</f>
        <v>179773</v>
      </c>
      <c r="U3302" s="11">
        <f>$E3302+11</f>
        <v>113</v>
      </c>
      <c r="V3302" s="12">
        <f>IF($J3302=0,0,ROUND(MAX($J3302*1.4*1.5*1.6*1.6*2.2*2.715,354000000*(1.642074^(MIN($E3302,123)-117)))*1,0))</f>
        <v>488085</v>
      </c>
      <c r="W3302" s="13">
        <f>$E3302+15</f>
        <v>117</v>
      </c>
      <c r="X3302" s="14">
        <f>IF($J3302=0,0,ROUND(MAX($J3302*1.4*1.5*1.6*1.6*2.2*2.715*2.6,3540000000*(1.579646^(MIN($E3302,123)-117)))*1,0))</f>
        <v>3720546</v>
      </c>
      <c r="Y3302" s="11">
        <f>$E3302+17</f>
        <v>119</v>
      </c>
      <c r="Z3302" s="12">
        <f>IF($J3302=0,0,ROUND(MAX($J3302*1.4*1.5*1.6*1.6*2.2*2.715*2.6*1.4,6020000000*(1.651178^(MIN($E3302,123)-117)))*1,0))</f>
        <v>3256028</v>
      </c>
      <c r="AA3302" s="13">
        <f>$E3302+19</f>
        <v>121</v>
      </c>
      <c r="AB3302" s="14">
        <f>IF($J3302=0,0,ROUND(MAX($J3302*1.4*1.5*1.6*1.6*2.2*2.715*2.6*1.4*1.4,8430000000*(1.651435^(MIN($E3302,123)-117)))*1,0))</f>
        <v>4548889</v>
      </c>
      <c r="AC3302" s="11">
        <f>$E3302+21</f>
        <v>123</v>
      </c>
      <c r="AD3302" s="12">
        <f>IF($J3302=0,0,ROUND(MAX($J3302*1.4*1.5*1.6*1.6*2.2*2.715*2.6*1.4*1.4*1.5,12600000000*(1.652953^(MIN($E3302,123)-117)))*1,0))</f>
        <v>6705991</v>
      </c>
      <c r="AE3302" s="13">
        <f>$E3302+24</f>
        <v>126</v>
      </c>
      <c r="AF3302" s="14">
        <f>IF($J3302=0,0,ROUND(MAX($J3302*1.4*1.5*1.6*1.6*2.2*2.715*2.6*1.4*1.4*1.5*1.5,18900000000*(1.65331^(MIN($E3302,123)-117)))*1,0))</f>
        <v>10026455</v>
      </c>
      <c r="AG3302" s="11">
        <f>$E3302+27</f>
        <v>129</v>
      </c>
      <c r="AH3302" s="12">
        <f>IF($J3302=0,0,ROUND(MAX($J3302*1.4*1.5*1.6*1.6*2.2*2.715*2.6*1.4*1.4*1.5*1.5*3.2,60500000000*(1.654288^(MIN($E3302,123)-117)))*1,0))</f>
        <v>31811825</v>
      </c>
    </row>
    <row r="3303" ht="28" customHeight="1" spans="1:34" x14ac:dyDescent="0.25">
      <c r="A3303">
        <v>3313</v>
      </c>
      <c r="B3303" t="s">
        <v>1302</v>
      </c>
      <c r="C3303" s="10" t="s">
        <v>1744</v>
      </c>
      <c r="D3303" t="s">
        <v>45</v>
      </c>
      <c r="E3303">
        <v>102</v>
      </c>
      <c r="F3303" t="s">
        <v>62</v>
      </c>
      <c r="G3303" t="s">
        <v>1303</v>
      </c>
      <c r="H3303">
        <v>21</v>
      </c>
      <c r="I3303" s="11">
        <f>$E3303+0</f>
        <v>102</v>
      </c>
      <c r="J3303" s="12">
        <v>16700</v>
      </c>
      <c r="K3303" s="13">
        <f>$E3303+1</f>
        <v>103</v>
      </c>
      <c r="L3303" s="14">
        <f>IF($J3303=0,0,ROUND(MAX($J3303*1.4,1620000*(1.497923^(MIN($E3303,123)-117)))*1,0))</f>
        <v>23380</v>
      </c>
      <c r="M3303" s="11">
        <f>$E3303+2</f>
        <v>104</v>
      </c>
      <c r="N3303" s="12">
        <f>IF($J3303=0,0,ROUND(MAX($J3303*1.4*1.5,2190000*(1.580994^(MIN($E3303,123)-117)))*1,0))</f>
        <v>35070</v>
      </c>
      <c r="O3303" s="13">
        <f>$E3303+4</f>
        <v>106</v>
      </c>
      <c r="P3303" s="14">
        <f>IF($J3303=0,0,ROUND(MAX($J3303*1.4*1.5*1.6,3500000*(1.57975^(MIN($E3303,123)-117)))*1,0))</f>
        <v>56112</v>
      </c>
      <c r="Q3303" s="11">
        <f>$E3303+6</f>
        <v>108</v>
      </c>
      <c r="R3303" s="12">
        <f>IF($J3303=0,0,ROUND(MAX($J3303*1.4*1.5*1.6*1.6,13100000*(1.429962^(MIN($E3303,123)-117)))*1,0))</f>
        <v>89779</v>
      </c>
      <c r="S3303" s="13">
        <f>$E3303+8</f>
        <v>110</v>
      </c>
      <c r="T3303" s="14">
        <f>IF($J3303=0,0,ROUND(MAX($J3303*1.4*1.5*1.6*1.6*2.2,42600000*(1.576904^(MIN($E3303,123)-117)))*1,0))</f>
        <v>197514</v>
      </c>
      <c r="U3303" s="11">
        <f>$E3303+11</f>
        <v>113</v>
      </c>
      <c r="V3303" s="12">
        <f>IF($J3303=0,0,ROUND(MAX($J3303*1.4*1.5*1.6*1.6*2.2*2.715,354000000*(1.642074^(MIN($E3303,123)-117)))*1,0))</f>
        <v>536251</v>
      </c>
      <c r="W3303" s="13">
        <f>$E3303+15</f>
        <v>117</v>
      </c>
      <c r="X3303" s="14">
        <f>IF($J3303=0,0,ROUND(MAX($J3303*1.4*1.5*1.6*1.6*2.2*2.715*2.6,3540000000*(1.579646^(MIN($E3303,123)-117)))*1,0))</f>
        <v>3720546</v>
      </c>
      <c r="Y3303" s="11">
        <f>$E3303+17</f>
        <v>119</v>
      </c>
      <c r="Z3303" s="12">
        <f>IF($J3303=0,0,ROUND(MAX($J3303*1.4*1.5*1.6*1.6*2.2*2.715*2.6*1.4,6020000000*(1.651178^(MIN($E3303,123)-117)))*1,0))</f>
        <v>3256028</v>
      </c>
      <c r="AA3303" s="13">
        <f>$E3303+19</f>
        <v>121</v>
      </c>
      <c r="AB3303" s="14">
        <f>IF($J3303=0,0,ROUND(MAX($J3303*1.4*1.5*1.6*1.6*2.2*2.715*2.6*1.4*1.4,8430000000*(1.651435^(MIN($E3303,123)-117)))*1,0))</f>
        <v>4548889</v>
      </c>
      <c r="AC3303" s="11">
        <f>$E3303+21</f>
        <v>123</v>
      </c>
      <c r="AD3303" s="12">
        <f>IF($J3303=0,0,ROUND(MAX($J3303*1.4*1.5*1.6*1.6*2.2*2.715*2.6*1.4*1.4*1.5,12600000000*(1.652953^(MIN($E3303,123)-117)))*1,0))</f>
        <v>6705991</v>
      </c>
      <c r="AE3303" s="13">
        <f>$E3303+24</f>
        <v>126</v>
      </c>
      <c r="AF3303" s="14">
        <f>IF($J3303=0,0,ROUND(MAX($J3303*1.4*1.5*1.6*1.6*2.2*2.715*2.6*1.4*1.4*1.5*1.5,18900000000*(1.65331^(MIN($E3303,123)-117)))*1,0))</f>
        <v>10026455</v>
      </c>
      <c r="AG3303" s="11">
        <f>$E3303+27</f>
        <v>129</v>
      </c>
      <c r="AH3303" s="12">
        <f>IF($J3303=0,0,ROUND(MAX($J3303*1.4*1.5*1.6*1.6*2.2*2.715*2.6*1.4*1.4*1.5*1.5*3.2,60500000000*(1.654288^(MIN($E3303,123)-117)))*1,0))</f>
        <v>31811825</v>
      </c>
    </row>
    <row r="3304" ht="28" customHeight="1" spans="1:34" x14ac:dyDescent="0.25">
      <c r="A3304">
        <v>3314</v>
      </c>
      <c r="B3304" t="s">
        <v>1305</v>
      </c>
      <c r="C3304" s="10" t="s">
        <v>1744</v>
      </c>
      <c r="D3304" t="s">
        <v>102</v>
      </c>
      <c r="E3304">
        <v>102</v>
      </c>
      <c r="F3304" t="s">
        <v>144</v>
      </c>
      <c r="G3304" t="s">
        <v>126</v>
      </c>
      <c r="H3304">
        <v>21</v>
      </c>
      <c r="I3304" s="11">
        <f>$E3304+0</f>
        <v>102</v>
      </c>
      <c r="J3304" s="12">
        <v>13600</v>
      </c>
      <c r="K3304" s="13">
        <f>$E3304+1</f>
        <v>103</v>
      </c>
      <c r="L3304" s="14">
        <f>IF($J3304=0,0,ROUND(MAX($J3304*1.4,1620000*(1.497923^(MIN($E3304,123)-117)))*1,0))</f>
        <v>19040</v>
      </c>
      <c r="M3304" s="11">
        <f>$E3304+2</f>
        <v>104</v>
      </c>
      <c r="N3304" s="12">
        <f>IF($J3304=0,0,ROUND(MAX($J3304*1.4*1.5,2190000*(1.580994^(MIN($E3304,123)-117)))*1,0))</f>
        <v>28560</v>
      </c>
      <c r="O3304" s="13">
        <f>$E3304+4</f>
        <v>106</v>
      </c>
      <c r="P3304" s="14">
        <f>IF($J3304=0,0,ROUND(MAX($J3304*1.4*1.5*1.6,3500000*(1.57975^(MIN($E3304,123)-117)))*1,0))</f>
        <v>45696</v>
      </c>
      <c r="Q3304" s="11">
        <f>$E3304+6</f>
        <v>108</v>
      </c>
      <c r="R3304" s="12">
        <f>IF($J3304=0,0,ROUND(MAX($J3304*1.4*1.5*1.6*1.6,13100000*(1.429962^(MIN($E3304,123)-117)))*1,0))</f>
        <v>73114</v>
      </c>
      <c r="S3304" s="13">
        <f>$E3304+8</f>
        <v>110</v>
      </c>
      <c r="T3304" s="14">
        <f>IF($J3304=0,0,ROUND(MAX($J3304*1.4*1.5*1.6*1.6*2.2,42600000*(1.576904^(MIN($E3304,123)-117)))*1,0))</f>
        <v>160850</v>
      </c>
      <c r="U3304" s="11">
        <f>$E3304+11</f>
        <v>113</v>
      </c>
      <c r="V3304" s="12">
        <f>IF($J3304=0,0,ROUND(MAX($J3304*1.4*1.5*1.6*1.6*2.2*2.715,354000000*(1.642074^(MIN($E3304,123)-117)))*1,0))</f>
        <v>436708</v>
      </c>
      <c r="W3304" s="13">
        <f>$E3304+15</f>
        <v>117</v>
      </c>
      <c r="X3304" s="14">
        <f>IF($J3304=0,0,ROUND(MAX($J3304*1.4*1.5*1.6*1.6*2.2*2.715*2.6,3540000000*(1.579646^(MIN($E3304,123)-117)))*1,0))</f>
        <v>3720546</v>
      </c>
      <c r="Y3304" s="11">
        <f>$E3304+17</f>
        <v>119</v>
      </c>
      <c r="Z3304" s="12">
        <f>IF($J3304=0,0,ROUND(MAX($J3304*1.4*1.5*1.6*1.6*2.2*2.715*2.6*1.4,6020000000*(1.651178^(MIN($E3304,123)-117)))*1,0))</f>
        <v>3256028</v>
      </c>
      <c r="AA3304" s="13">
        <f>$E3304+19</f>
        <v>121</v>
      </c>
      <c r="AB3304" s="14">
        <f>IF($J3304=0,0,ROUND(MAX($J3304*1.4*1.5*1.6*1.6*2.2*2.715*2.6*1.4*1.4,8430000000*(1.651435^(MIN($E3304,123)-117)))*1,0))</f>
        <v>4548889</v>
      </c>
      <c r="AC3304" s="11">
        <f>$E3304+21</f>
        <v>123</v>
      </c>
      <c r="AD3304" s="12">
        <f>IF($J3304=0,0,ROUND(MAX($J3304*1.4*1.5*1.6*1.6*2.2*2.715*2.6*1.4*1.4*1.5,12600000000*(1.652953^(MIN($E3304,123)-117)))*1,0))</f>
        <v>6705991</v>
      </c>
      <c r="AE3304" s="13">
        <f>$E3304+24</f>
        <v>126</v>
      </c>
      <c r="AF3304" s="14">
        <f>IF($J3304=0,0,ROUND(MAX($J3304*1.4*1.5*1.6*1.6*2.2*2.715*2.6*1.4*1.4*1.5*1.5,18900000000*(1.65331^(MIN($E3304,123)-117)))*1,0))</f>
        <v>10026455</v>
      </c>
      <c r="AG3304" s="11">
        <f>$E3304+27</f>
        <v>129</v>
      </c>
      <c r="AH3304" s="12">
        <f>IF($J3304=0,0,ROUND(MAX($J3304*1.4*1.5*1.6*1.6*2.2*2.715*2.6*1.4*1.4*1.5*1.5*3.2,60500000000*(1.654288^(MIN($E3304,123)-117)))*1,0))</f>
        <v>31811825</v>
      </c>
    </row>
    <row r="3305" ht="28" customHeight="1" spans="1:34" x14ac:dyDescent="0.25">
      <c r="A3305">
        <v>3315</v>
      </c>
      <c r="B3305" t="s">
        <v>621</v>
      </c>
      <c r="C3305" s="10" t="s">
        <v>1744</v>
      </c>
      <c r="D3305" t="s">
        <v>45</v>
      </c>
      <c r="E3305">
        <v>102</v>
      </c>
      <c r="F3305" t="s">
        <v>62</v>
      </c>
      <c r="G3305" t="s">
        <v>242</v>
      </c>
      <c r="H3305">
        <v>21</v>
      </c>
      <c r="I3305" s="11">
        <f>$E3305+0</f>
        <v>102</v>
      </c>
      <c r="J3305" s="12">
        <v>15900</v>
      </c>
      <c r="K3305" s="13">
        <f>$E3305+1</f>
        <v>103</v>
      </c>
      <c r="L3305" s="14">
        <f>IF($J3305=0,0,ROUND(MAX($J3305*1.4,1620000*(1.497923^(MIN($E3305,123)-117)))*1,0))</f>
        <v>22260</v>
      </c>
      <c r="M3305" s="11">
        <f>$E3305+2</f>
        <v>104</v>
      </c>
      <c r="N3305" s="12">
        <f>IF($J3305=0,0,ROUND(MAX($J3305*1.4*1.5,2190000*(1.580994^(MIN($E3305,123)-117)))*1,0))</f>
        <v>33390</v>
      </c>
      <c r="O3305" s="13">
        <f>$E3305+4</f>
        <v>106</v>
      </c>
      <c r="P3305" s="14">
        <f>IF($J3305=0,0,ROUND(MAX($J3305*1.4*1.5*1.6,3500000*(1.57975^(MIN($E3305,123)-117)))*1,0))</f>
        <v>53424</v>
      </c>
      <c r="Q3305" s="11">
        <f>$E3305+6</f>
        <v>108</v>
      </c>
      <c r="R3305" s="12">
        <f>IF($J3305=0,0,ROUND(MAX($J3305*1.4*1.5*1.6*1.6,13100000*(1.429962^(MIN($E3305,123)-117)))*1,0))</f>
        <v>85478</v>
      </c>
      <c r="S3305" s="13">
        <f>$E3305+8</f>
        <v>110</v>
      </c>
      <c r="T3305" s="14">
        <f>IF($J3305=0,0,ROUND(MAX($J3305*1.4*1.5*1.6*1.6*2.2,42600000*(1.576904^(MIN($E3305,123)-117)))*1,0))</f>
        <v>188052</v>
      </c>
      <c r="U3305" s="11">
        <f>$E3305+11</f>
        <v>113</v>
      </c>
      <c r="V3305" s="12">
        <f>IF($J3305=0,0,ROUND(MAX($J3305*1.4*1.5*1.6*1.6*2.2*2.715,354000000*(1.642074^(MIN($E3305,123)-117)))*1,0))</f>
        <v>510562</v>
      </c>
      <c r="W3305" s="13">
        <f>$E3305+15</f>
        <v>117</v>
      </c>
      <c r="X3305" s="14">
        <f>IF($J3305=0,0,ROUND(MAX($J3305*1.4*1.5*1.6*1.6*2.2*2.715*2.6,3540000000*(1.579646^(MIN($E3305,123)-117)))*1,0))</f>
        <v>3720546</v>
      </c>
      <c r="Y3305" s="11">
        <f>$E3305+17</f>
        <v>119</v>
      </c>
      <c r="Z3305" s="12">
        <f>IF($J3305=0,0,ROUND(MAX($J3305*1.4*1.5*1.6*1.6*2.2*2.715*2.6*1.4,6020000000*(1.651178^(MIN($E3305,123)-117)))*1,0))</f>
        <v>3256028</v>
      </c>
      <c r="AA3305" s="13">
        <f>$E3305+19</f>
        <v>121</v>
      </c>
      <c r="AB3305" s="14">
        <f>IF($J3305=0,0,ROUND(MAX($J3305*1.4*1.5*1.6*1.6*2.2*2.715*2.6*1.4*1.4,8430000000*(1.651435^(MIN($E3305,123)-117)))*1,0))</f>
        <v>4548889</v>
      </c>
      <c r="AC3305" s="11">
        <f>$E3305+21</f>
        <v>123</v>
      </c>
      <c r="AD3305" s="12">
        <f>IF($J3305=0,0,ROUND(MAX($J3305*1.4*1.5*1.6*1.6*2.2*2.715*2.6*1.4*1.4*1.5,12600000000*(1.652953^(MIN($E3305,123)-117)))*1,0))</f>
        <v>6705991</v>
      </c>
      <c r="AE3305" s="13">
        <f>$E3305+24</f>
        <v>126</v>
      </c>
      <c r="AF3305" s="14">
        <f>IF($J3305=0,0,ROUND(MAX($J3305*1.4*1.5*1.6*1.6*2.2*2.715*2.6*1.4*1.4*1.5*1.5,18900000000*(1.65331^(MIN($E3305,123)-117)))*1,0))</f>
        <v>10026455</v>
      </c>
      <c r="AG3305" s="11">
        <f>$E3305+27</f>
        <v>129</v>
      </c>
      <c r="AH3305" s="12">
        <f>IF($J3305=0,0,ROUND(MAX($J3305*1.4*1.5*1.6*1.6*2.2*2.715*2.6*1.4*1.4*1.5*1.5*3.2,60500000000*(1.654288^(MIN($E3305,123)-117)))*1,0))</f>
        <v>31811825</v>
      </c>
    </row>
    <row r="3306" ht="28" customHeight="1" spans="1:34" x14ac:dyDescent="0.25">
      <c r="A3306">
        <v>3316</v>
      </c>
      <c r="B3306" t="s">
        <v>1564</v>
      </c>
      <c r="C3306" s="10" t="s">
        <v>1744</v>
      </c>
      <c r="D3306" t="s">
        <v>102</v>
      </c>
      <c r="E3306">
        <v>102</v>
      </c>
      <c r="F3306" t="s">
        <v>303</v>
      </c>
      <c r="G3306" t="s">
        <v>329</v>
      </c>
      <c r="H3306">
        <v>21</v>
      </c>
      <c r="I3306" s="11">
        <f>$E3306+0</f>
        <v>102</v>
      </c>
      <c r="J3306" s="12">
        <v>11900</v>
      </c>
      <c r="K3306" s="13">
        <f>$E3306+1</f>
        <v>103</v>
      </c>
      <c r="L3306" s="14">
        <f>IF($J3306=0,0,ROUND(MAX($J3306*1.4,1620000*(1.497923^(MIN($E3306,123)-117)))*1,0))</f>
        <v>16660</v>
      </c>
      <c r="M3306" s="11">
        <f>$E3306+2</f>
        <v>104</v>
      </c>
      <c r="N3306" s="12">
        <f>IF($J3306=0,0,ROUND(MAX($J3306*1.4*1.5,2190000*(1.580994^(MIN($E3306,123)-117)))*1,0))</f>
        <v>24990</v>
      </c>
      <c r="O3306" s="13">
        <f>$E3306+4</f>
        <v>106</v>
      </c>
      <c r="P3306" s="14">
        <f>IF($J3306=0,0,ROUND(MAX($J3306*1.4*1.5*1.6,3500000*(1.57975^(MIN($E3306,123)-117)))*1,0))</f>
        <v>39984</v>
      </c>
      <c r="Q3306" s="11">
        <f>$E3306+6</f>
        <v>108</v>
      </c>
      <c r="R3306" s="12">
        <f>IF($J3306=0,0,ROUND(MAX($J3306*1.4*1.5*1.6*1.6,13100000*(1.429962^(MIN($E3306,123)-117)))*1,0))</f>
        <v>63974</v>
      </c>
      <c r="S3306" s="13">
        <f>$E3306+8</f>
        <v>110</v>
      </c>
      <c r="T3306" s="14">
        <f>IF($J3306=0,0,ROUND(MAX($J3306*1.4*1.5*1.6*1.6*2.2,42600000*(1.576904^(MIN($E3306,123)-117)))*1,0))</f>
        <v>140744</v>
      </c>
      <c r="U3306" s="11">
        <f>$E3306+11</f>
        <v>113</v>
      </c>
      <c r="V3306" s="12">
        <f>IF($J3306=0,0,ROUND(MAX($J3306*1.4*1.5*1.6*1.6*2.2*2.715,354000000*(1.642074^(MIN($E3306,123)-117)))*1,0))</f>
        <v>382119</v>
      </c>
      <c r="W3306" s="13">
        <f>$E3306+15</f>
        <v>117</v>
      </c>
      <c r="X3306" s="14">
        <f>IF($J3306=0,0,ROUND(MAX($J3306*1.4*1.5*1.6*1.6*2.2*2.715*2.6,3540000000*(1.579646^(MIN($E3306,123)-117)))*1,0))</f>
        <v>3720546</v>
      </c>
      <c r="Y3306" s="11">
        <f>$E3306+17</f>
        <v>119</v>
      </c>
      <c r="Z3306" s="12">
        <f>IF($J3306=0,0,ROUND(MAX($J3306*1.4*1.5*1.6*1.6*2.2*2.715*2.6*1.4,6020000000*(1.651178^(MIN($E3306,123)-117)))*1,0))</f>
        <v>3256028</v>
      </c>
      <c r="AA3306" s="13">
        <f>$E3306+19</f>
        <v>121</v>
      </c>
      <c r="AB3306" s="14">
        <f>IF($J3306=0,0,ROUND(MAX($J3306*1.4*1.5*1.6*1.6*2.2*2.715*2.6*1.4*1.4,8430000000*(1.651435^(MIN($E3306,123)-117)))*1,0))</f>
        <v>4548889</v>
      </c>
      <c r="AC3306" s="11">
        <f>$E3306+21</f>
        <v>123</v>
      </c>
      <c r="AD3306" s="12">
        <f>IF($J3306=0,0,ROUND(MAX($J3306*1.4*1.5*1.6*1.6*2.2*2.715*2.6*1.4*1.4*1.5,12600000000*(1.652953^(MIN($E3306,123)-117)))*1,0))</f>
        <v>6705991</v>
      </c>
      <c r="AE3306" s="13">
        <f>$E3306+24</f>
        <v>126</v>
      </c>
      <c r="AF3306" s="14">
        <f>IF($J3306=0,0,ROUND(MAX($J3306*1.4*1.5*1.6*1.6*2.2*2.715*2.6*1.4*1.4*1.5*1.5,18900000000*(1.65331^(MIN($E3306,123)-117)))*1,0))</f>
        <v>10026455</v>
      </c>
      <c r="AG3306" s="11">
        <f>$E3306+27</f>
        <v>129</v>
      </c>
      <c r="AH3306" s="12">
        <f>IF($J3306=0,0,ROUND(MAX($J3306*1.4*1.5*1.6*1.6*2.2*2.715*2.6*1.4*1.4*1.5*1.5*3.2,60500000000*(1.654288^(MIN($E3306,123)-117)))*1,0))</f>
        <v>31811825</v>
      </c>
    </row>
    <row r="3307" ht="28" customHeight="1" spans="1:34" x14ac:dyDescent="0.25">
      <c r="A3307">
        <v>3317</v>
      </c>
      <c r="B3307" t="s">
        <v>1765</v>
      </c>
      <c r="C3307" s="10" t="s">
        <v>1744</v>
      </c>
      <c r="D3307" t="s">
        <v>40</v>
      </c>
      <c r="E3307">
        <v>102</v>
      </c>
      <c r="F3307" t="s">
        <v>62</v>
      </c>
      <c r="G3307" t="s">
        <v>1303</v>
      </c>
      <c r="H3307">
        <v>21</v>
      </c>
      <c r="I3307" s="11">
        <f>$E3307+0</f>
        <v>102</v>
      </c>
      <c r="J3307" s="12">
        <v>13200</v>
      </c>
      <c r="K3307" s="13">
        <f>$E3307+1</f>
        <v>103</v>
      </c>
      <c r="L3307" s="14">
        <f>IF($J3307=0,0,ROUND(MAX($J3307*1.4,1620000*(1.497923^(MIN($E3307,123)-117)))*1,0))</f>
        <v>18480</v>
      </c>
      <c r="M3307" s="11">
        <f>$E3307+2</f>
        <v>104</v>
      </c>
      <c r="N3307" s="12">
        <f>IF($J3307=0,0,ROUND(MAX($J3307*1.4*1.5,2190000*(1.580994^(MIN($E3307,123)-117)))*1,0))</f>
        <v>27720</v>
      </c>
      <c r="O3307" s="13">
        <f>$E3307+4</f>
        <v>106</v>
      </c>
      <c r="P3307" s="14">
        <f>IF($J3307=0,0,ROUND(MAX($J3307*1.4*1.5*1.6,3500000*(1.57975^(MIN($E3307,123)-117)))*1,0))</f>
        <v>44352</v>
      </c>
      <c r="Q3307" s="11">
        <f>$E3307+6</f>
        <v>108</v>
      </c>
      <c r="R3307" s="12">
        <f>IF($J3307=0,0,ROUND(MAX($J3307*1.4*1.5*1.6*1.6,13100000*(1.429962^(MIN($E3307,123)-117)))*1,0))</f>
        <v>70963</v>
      </c>
      <c r="S3307" s="13">
        <f>$E3307+8</f>
        <v>110</v>
      </c>
      <c r="T3307" s="14">
        <f>IF($J3307=0,0,ROUND(MAX($J3307*1.4*1.5*1.6*1.6*2.2,42600000*(1.576904^(MIN($E3307,123)-117)))*1,0))</f>
        <v>156119</v>
      </c>
      <c r="U3307" s="11">
        <f>$E3307+11</f>
        <v>113</v>
      </c>
      <c r="V3307" s="12">
        <f>IF($J3307=0,0,ROUND(MAX($J3307*1.4*1.5*1.6*1.6*2.2*2.715,354000000*(1.642074^(MIN($E3307,123)-117)))*1,0))</f>
        <v>423863</v>
      </c>
      <c r="W3307" s="13">
        <f>$E3307+15</f>
        <v>117</v>
      </c>
      <c r="X3307" s="14">
        <f>IF($J3307=0,0,ROUND(MAX($J3307*1.4*1.5*1.6*1.6*2.2*2.715*2.6,3540000000*(1.579646^(MIN($E3307,123)-117)))*1,0))</f>
        <v>3720546</v>
      </c>
      <c r="Y3307" s="11">
        <f>$E3307+17</f>
        <v>119</v>
      </c>
      <c r="Z3307" s="12">
        <f>IF($J3307=0,0,ROUND(MAX($J3307*1.4*1.5*1.6*1.6*2.2*2.715*2.6*1.4,6020000000*(1.651178^(MIN($E3307,123)-117)))*1,0))</f>
        <v>3256028</v>
      </c>
      <c r="AA3307" s="13">
        <f>$E3307+19</f>
        <v>121</v>
      </c>
      <c r="AB3307" s="14">
        <f>IF($J3307=0,0,ROUND(MAX($J3307*1.4*1.5*1.6*1.6*2.2*2.715*2.6*1.4*1.4,8430000000*(1.651435^(MIN($E3307,123)-117)))*1,0))</f>
        <v>4548889</v>
      </c>
      <c r="AC3307" s="11">
        <f>$E3307+21</f>
        <v>123</v>
      </c>
      <c r="AD3307" s="12">
        <f>IF($J3307=0,0,ROUND(MAX($J3307*1.4*1.5*1.6*1.6*2.2*2.715*2.6*1.4*1.4*1.5,12600000000*(1.652953^(MIN($E3307,123)-117)))*1,0))</f>
        <v>6705991</v>
      </c>
      <c r="AE3307" s="13">
        <f>$E3307+24</f>
        <v>126</v>
      </c>
      <c r="AF3307" s="14">
        <f>IF($J3307=0,0,ROUND(MAX($J3307*1.4*1.5*1.6*1.6*2.2*2.715*2.6*1.4*1.4*1.5*1.5,18900000000*(1.65331^(MIN($E3307,123)-117)))*1,0))</f>
        <v>10026455</v>
      </c>
      <c r="AG3307" s="11">
        <f>$E3307+27</f>
        <v>129</v>
      </c>
      <c r="AH3307" s="12">
        <f>IF($J3307=0,0,ROUND(MAX($J3307*1.4*1.5*1.6*1.6*2.2*2.715*2.6*1.4*1.4*1.5*1.5*3.2,60500000000*(1.654288^(MIN($E3307,123)-117)))*1,0))</f>
        <v>31811825</v>
      </c>
    </row>
    <row r="3308" ht="28" customHeight="1" spans="1:34" x14ac:dyDescent="0.25">
      <c r="A3308">
        <v>3318</v>
      </c>
      <c r="B3308" t="s">
        <v>879</v>
      </c>
      <c r="C3308" s="10" t="s">
        <v>1744</v>
      </c>
      <c r="D3308" t="s">
        <v>102</v>
      </c>
      <c r="E3308">
        <v>102</v>
      </c>
      <c r="F3308" t="s">
        <v>62</v>
      </c>
      <c r="G3308" t="s">
        <v>1303</v>
      </c>
      <c r="H3308">
        <v>21</v>
      </c>
      <c r="I3308" s="11">
        <f>$E3308+0</f>
        <v>102</v>
      </c>
      <c r="J3308" s="12">
        <v>16200</v>
      </c>
      <c r="K3308" s="13">
        <f>$E3308+1</f>
        <v>103</v>
      </c>
      <c r="L3308" s="14">
        <f>IF($J3308=0,0,ROUND(MAX($J3308*1.4,1620000*(1.497923^(MIN($E3308,123)-117)))*1,0))</f>
        <v>22680</v>
      </c>
      <c r="M3308" s="11">
        <f>$E3308+2</f>
        <v>104</v>
      </c>
      <c r="N3308" s="12">
        <f>IF($J3308=0,0,ROUND(MAX($J3308*1.4*1.5,2190000*(1.580994^(MIN($E3308,123)-117)))*1,0))</f>
        <v>34020</v>
      </c>
      <c r="O3308" s="13">
        <f>$E3308+4</f>
        <v>106</v>
      </c>
      <c r="P3308" s="14">
        <f>IF($J3308=0,0,ROUND(MAX($J3308*1.4*1.5*1.6,3500000*(1.57975^(MIN($E3308,123)-117)))*1,0))</f>
        <v>54432</v>
      </c>
      <c r="Q3308" s="11">
        <f>$E3308+6</f>
        <v>108</v>
      </c>
      <c r="R3308" s="12">
        <f>IF($J3308=0,0,ROUND(MAX($J3308*1.4*1.5*1.6*1.6,13100000*(1.429962^(MIN($E3308,123)-117)))*1,0))</f>
        <v>87091</v>
      </c>
      <c r="S3308" s="13">
        <f>$E3308+8</f>
        <v>110</v>
      </c>
      <c r="T3308" s="14">
        <f>IF($J3308=0,0,ROUND(MAX($J3308*1.4*1.5*1.6*1.6*2.2,42600000*(1.576904^(MIN($E3308,123)-117)))*1,0))</f>
        <v>191601</v>
      </c>
      <c r="U3308" s="11">
        <f>$E3308+11</f>
        <v>113</v>
      </c>
      <c r="V3308" s="12">
        <f>IF($J3308=0,0,ROUND(MAX($J3308*1.4*1.5*1.6*1.6*2.2*2.715,354000000*(1.642074^(MIN($E3308,123)-117)))*1,0))</f>
        <v>520196</v>
      </c>
      <c r="W3308" s="13">
        <f>$E3308+15</f>
        <v>117</v>
      </c>
      <c r="X3308" s="14">
        <f>IF($J3308=0,0,ROUND(MAX($J3308*1.4*1.5*1.6*1.6*2.2*2.715*2.6,3540000000*(1.579646^(MIN($E3308,123)-117)))*1,0))</f>
        <v>3720546</v>
      </c>
      <c r="Y3308" s="11">
        <f>$E3308+17</f>
        <v>119</v>
      </c>
      <c r="Z3308" s="12">
        <f>IF($J3308=0,0,ROUND(MAX($J3308*1.4*1.5*1.6*1.6*2.2*2.715*2.6*1.4,6020000000*(1.651178^(MIN($E3308,123)-117)))*1,0))</f>
        <v>3256028</v>
      </c>
      <c r="AA3308" s="13">
        <f>$E3308+19</f>
        <v>121</v>
      </c>
      <c r="AB3308" s="14">
        <f>IF($J3308=0,0,ROUND(MAX($J3308*1.4*1.5*1.6*1.6*2.2*2.715*2.6*1.4*1.4,8430000000*(1.651435^(MIN($E3308,123)-117)))*1,0))</f>
        <v>4548889</v>
      </c>
      <c r="AC3308" s="11">
        <f>$E3308+21</f>
        <v>123</v>
      </c>
      <c r="AD3308" s="12">
        <f>IF($J3308=0,0,ROUND(MAX($J3308*1.4*1.5*1.6*1.6*2.2*2.715*2.6*1.4*1.4*1.5,12600000000*(1.652953^(MIN($E3308,123)-117)))*1,0))</f>
        <v>6705991</v>
      </c>
      <c r="AE3308" s="13">
        <f>$E3308+24</f>
        <v>126</v>
      </c>
      <c r="AF3308" s="14">
        <f>IF($J3308=0,0,ROUND(MAX($J3308*1.4*1.5*1.6*1.6*2.2*2.715*2.6*1.4*1.4*1.5*1.5,18900000000*(1.65331^(MIN($E3308,123)-117)))*1,0))</f>
        <v>10026455</v>
      </c>
      <c r="AG3308" s="11">
        <f>$E3308+27</f>
        <v>129</v>
      </c>
      <c r="AH3308" s="12">
        <f>IF($J3308=0,0,ROUND(MAX($J3308*1.4*1.5*1.6*1.6*2.2*2.715*2.6*1.4*1.4*1.5*1.5*3.2,60500000000*(1.654288^(MIN($E3308,123)-117)))*1,0))</f>
        <v>31811825</v>
      </c>
    </row>
    <row r="3309" ht="28" customHeight="1" spans="1:34" x14ac:dyDescent="0.25">
      <c r="A3309">
        <v>3319</v>
      </c>
      <c r="B3309" t="s">
        <v>537</v>
      </c>
      <c r="C3309" s="10" t="s">
        <v>1744</v>
      </c>
      <c r="D3309" t="s">
        <v>90</v>
      </c>
      <c r="E3309">
        <v>102</v>
      </c>
      <c r="F3309" t="s">
        <v>59</v>
      </c>
      <c r="G3309" t="s">
        <v>374</v>
      </c>
      <c r="H3309">
        <v>20</v>
      </c>
      <c r="I3309" s="11">
        <f>$E3309+0</f>
        <v>102</v>
      </c>
      <c r="J3309" s="12">
        <v>10000</v>
      </c>
      <c r="K3309" s="13">
        <f>$E3309+1</f>
        <v>103</v>
      </c>
      <c r="L3309" s="14">
        <f>IF($J3309=0,0,ROUND(MAX($J3309*1.4,1620000*(1.497923^(MIN($E3309,123)-117)))*1,0))</f>
        <v>14000</v>
      </c>
      <c r="M3309" s="11">
        <f>$E3309+2</f>
        <v>104</v>
      </c>
      <c r="N3309" s="12">
        <f>IF($J3309=0,0,ROUND(MAX($J3309*1.4*1.5,2190000*(1.580994^(MIN($E3309,123)-117)))*1,0))</f>
        <v>21000</v>
      </c>
      <c r="O3309" s="13">
        <f>$E3309+4</f>
        <v>106</v>
      </c>
      <c r="P3309" s="14">
        <f>IF($J3309=0,0,ROUND(MAX($J3309*1.4*1.5*1.6,3500000*(1.57975^(MIN($E3309,123)-117)))*1,0))</f>
        <v>33600</v>
      </c>
      <c r="Q3309" s="11">
        <f>$E3309+6</f>
        <v>108</v>
      </c>
      <c r="R3309" s="12">
        <f>IF($J3309=0,0,ROUND(MAX($J3309*1.4*1.5*1.6*1.6,13100000*(1.429962^(MIN($E3309,123)-117)))*1,0))</f>
        <v>61292</v>
      </c>
      <c r="S3309" s="13">
        <f>$E3309+8</f>
        <v>110</v>
      </c>
      <c r="T3309" s="14">
        <f>IF($J3309=0,0,ROUND(MAX($J3309*1.4*1.5*1.6*1.6*2.2,42600000*(1.576904^(MIN($E3309,123)-117)))*1,0))</f>
        <v>118272</v>
      </c>
      <c r="U3309" s="11">
        <f>$E3309+11</f>
        <v>113</v>
      </c>
      <c r="V3309" s="12">
        <f>IF($J3309=0,0,ROUND(MAX($J3309*1.4*1.5*1.6*1.6*2.2*2.715,354000000*(1.642074^(MIN($E3309,123)-117)))*1,0))</f>
        <v>321108</v>
      </c>
      <c r="W3309" s="13">
        <f>$E3309+15</f>
        <v>117</v>
      </c>
      <c r="X3309" s="14">
        <f>IF($J3309=0,0,ROUND(MAX($J3309*1.4*1.5*1.6*1.6*2.2*2.715*2.6,3540000000*(1.579646^(MIN($E3309,123)-117)))*1,0))</f>
        <v>3720546</v>
      </c>
      <c r="Y3309" s="11">
        <f>$E3309+17</f>
        <v>119</v>
      </c>
      <c r="Z3309" s="12">
        <f>IF($J3309=0,0,ROUND(MAX($J3309*1.4*1.5*1.6*1.6*2.2*2.715*2.6*1.4,6020000000*(1.651178^(MIN($E3309,123)-117)))*1,0))</f>
        <v>3256028</v>
      </c>
      <c r="AA3309" s="13">
        <f>$E3309+19</f>
        <v>121</v>
      </c>
      <c r="AB3309" s="14">
        <f>IF($J3309=0,0,ROUND(MAX($J3309*1.4*1.5*1.6*1.6*2.2*2.715*2.6*1.4*1.4,8430000000*(1.651435^(MIN($E3309,123)-117)))*1,0))</f>
        <v>4548889</v>
      </c>
      <c r="AC3309" s="11">
        <f>$E3309+21</f>
        <v>123</v>
      </c>
      <c r="AD3309" s="12">
        <f>IF($J3309=0,0,ROUND(MAX($J3309*1.4*1.5*1.6*1.6*2.2*2.715*2.6*1.4*1.4*1.5,12600000000*(1.652953^(MIN($E3309,123)-117)))*1,0))</f>
        <v>6705991</v>
      </c>
      <c r="AE3309" s="13">
        <f>$E3309+24</f>
        <v>126</v>
      </c>
      <c r="AF3309" s="14">
        <f>IF($J3309=0,0,ROUND(MAX($J3309*1.4*1.5*1.6*1.6*2.2*2.715*2.6*1.4*1.4*1.5*1.5,18900000000*(1.65331^(MIN($E3309,123)-117)))*1,0))</f>
        <v>10026455</v>
      </c>
      <c r="AG3309" s="11">
        <f>$E3309+27</f>
        <v>129</v>
      </c>
      <c r="AH3309" s="12">
        <f>IF($J3309=0,0,ROUND(MAX($J3309*1.4*1.5*1.6*1.6*2.2*2.715*2.6*1.4*1.4*1.5*1.5*3.2,60500000000*(1.654288^(MIN($E3309,123)-117)))*1,0))</f>
        <v>31811825</v>
      </c>
    </row>
    <row r="3310" ht="28" customHeight="1" spans="1:34" x14ac:dyDescent="0.25">
      <c r="A3310">
        <v>3320</v>
      </c>
      <c r="B3310" t="s">
        <v>1766</v>
      </c>
      <c r="C3310" s="10" t="s">
        <v>1744</v>
      </c>
      <c r="D3310" t="s">
        <v>33</v>
      </c>
      <c r="E3310">
        <v>101</v>
      </c>
      <c r="F3310" t="s">
        <v>267</v>
      </c>
      <c r="G3310" t="s">
        <v>351</v>
      </c>
      <c r="H3310">
        <v>21</v>
      </c>
      <c r="I3310" s="11">
        <f>$E3310+0</f>
        <v>101</v>
      </c>
      <c r="J3310" s="12">
        <v>16100</v>
      </c>
      <c r="K3310" s="13">
        <f>$E3310+1</f>
        <v>102</v>
      </c>
      <c r="L3310" s="14">
        <f>IF($J3310=0,0,ROUND(MAX($J3310*1.4,1620000*(1.497923^(MIN($E3310,123)-117)))*1,0))</f>
        <v>22540</v>
      </c>
      <c r="M3310" s="11">
        <f>$E3310+2</f>
        <v>103</v>
      </c>
      <c r="N3310" s="12">
        <f>IF($J3310=0,0,ROUND(MAX($J3310*1.4*1.5,2190000*(1.580994^(MIN($E3310,123)-117)))*1,0))</f>
        <v>33810</v>
      </c>
      <c r="O3310" s="13">
        <f>$E3310+4</f>
        <v>105</v>
      </c>
      <c r="P3310" s="14">
        <f>IF($J3310=0,0,ROUND(MAX($J3310*1.4*1.5*1.6,3500000*(1.57975^(MIN($E3310,123)-117)))*1,0))</f>
        <v>54096</v>
      </c>
      <c r="Q3310" s="11">
        <f>$E3310+6</f>
        <v>107</v>
      </c>
      <c r="R3310" s="12">
        <f>IF($J3310=0,0,ROUND(MAX($J3310*1.4*1.5*1.6*1.6,13100000*(1.429962^(MIN($E3310,123)-117)))*1,0))</f>
        <v>86554</v>
      </c>
      <c r="S3310" s="13">
        <f>$E3310+8</f>
        <v>109</v>
      </c>
      <c r="T3310" s="14">
        <f>IF($J3310=0,0,ROUND(MAX($J3310*1.4*1.5*1.6*1.6*2.2,42600000*(1.576904^(MIN($E3310,123)-117)))*1,0))</f>
        <v>190418</v>
      </c>
      <c r="U3310" s="11">
        <f>$E3310+11</f>
        <v>112</v>
      </c>
      <c r="V3310" s="12">
        <f>IF($J3310=0,0,ROUND(MAX($J3310*1.4*1.5*1.6*1.6*2.2*2.715,354000000*(1.642074^(MIN($E3310,123)-117)))*1,0))</f>
        <v>516985</v>
      </c>
      <c r="W3310" s="13">
        <f>$E3310+15</f>
        <v>116</v>
      </c>
      <c r="X3310" s="14">
        <f>IF($J3310=0,0,ROUND(MAX($J3310*1.4*1.5*1.6*1.6*2.2*2.715*2.6,3540000000*(1.579646^(MIN($E3310,123)-117)))*1,0))</f>
        <v>2355304</v>
      </c>
      <c r="Y3310" s="11">
        <f>$E3310+17</f>
        <v>118</v>
      </c>
      <c r="Z3310" s="12">
        <f>IF($J3310=0,0,ROUND(MAX($J3310*1.4*1.5*1.6*1.6*2.2*2.715*2.6*1.4,6020000000*(1.651178^(MIN($E3310,123)-117)))*1,0))</f>
        <v>1971942</v>
      </c>
      <c r="AA3310" s="13">
        <f>$E3310+19</f>
        <v>120</v>
      </c>
      <c r="AB3310" s="14">
        <f>IF($J3310=0,0,ROUND(MAX($J3310*1.4*1.5*1.6*1.6*2.2*2.715*2.6*1.4*1.4,8430000000*(1.651435^(MIN($E3310,123)-117)))*1,0))</f>
        <v>2754507</v>
      </c>
      <c r="AC3310" s="11">
        <f>$E3310+21</f>
        <v>122</v>
      </c>
      <c r="AD3310" s="12">
        <f>IF($J3310=0,0,ROUND(MAX($J3310*1.4*1.5*1.6*1.6*2.2*2.715*2.6*1.4*1.4*1.5,12600000000*(1.652953^(MIN($E3310,123)-117)))*1,0))</f>
        <v>4056976</v>
      </c>
      <c r="AE3310" s="13">
        <f>$E3310+24</f>
        <v>125</v>
      </c>
      <c r="AF3310" s="14">
        <f>IF($J3310=0,0,ROUND(MAX($J3310*1.4*1.5*1.6*1.6*2.2*2.715*2.6*1.4*1.4*1.5*1.5,18900000000*(1.65331^(MIN($E3310,123)-117)))*1,0))</f>
        <v>6064474</v>
      </c>
      <c r="AG3310" s="11">
        <f>$E3310+27</f>
        <v>128</v>
      </c>
      <c r="AH3310" s="12">
        <f>IF($J3310=0,0,ROUND(MAX($J3310*1.4*1.5*1.6*1.6*2.2*2.715*2.6*1.4*1.4*1.5*1.5*3.2,60500000000*(1.654288^(MIN($E3310,123)-117)))*1,0))</f>
        <v>19229919</v>
      </c>
    </row>
    <row r="3311" ht="28" customHeight="1" spans="1:34" x14ac:dyDescent="0.25">
      <c r="A3311">
        <v>3321</v>
      </c>
      <c r="B3311" t="s">
        <v>820</v>
      </c>
      <c r="C3311" s="10" t="s">
        <v>1744</v>
      </c>
      <c r="D3311" t="s">
        <v>45</v>
      </c>
      <c r="E3311">
        <v>101</v>
      </c>
      <c r="F3311" t="s">
        <v>71</v>
      </c>
      <c r="G3311" t="s">
        <v>38</v>
      </c>
      <c r="H3311">
        <v>21</v>
      </c>
      <c r="I3311" s="11">
        <f>$E3311+0</f>
        <v>101</v>
      </c>
      <c r="J3311" s="12">
        <v>16900</v>
      </c>
      <c r="K3311" s="13">
        <f>$E3311+1</f>
        <v>102</v>
      </c>
      <c r="L3311" s="14">
        <f>IF($J3311=0,0,ROUND(MAX($J3311*1.4,1620000*(1.497923^(MIN($E3311,123)-117)))*1,0))</f>
        <v>23660</v>
      </c>
      <c r="M3311" s="11">
        <f>$E3311+2</f>
        <v>103</v>
      </c>
      <c r="N3311" s="12">
        <f>IF($J3311=0,0,ROUND(MAX($J3311*1.4*1.5,2190000*(1.580994^(MIN($E3311,123)-117)))*1,0))</f>
        <v>35490</v>
      </c>
      <c r="O3311" s="13">
        <f>$E3311+4</f>
        <v>105</v>
      </c>
      <c r="P3311" s="14">
        <f>IF($J3311=0,0,ROUND(MAX($J3311*1.4*1.5*1.6,3500000*(1.57975^(MIN($E3311,123)-117)))*1,0))</f>
        <v>56784</v>
      </c>
      <c r="Q3311" s="11">
        <f>$E3311+6</f>
        <v>107</v>
      </c>
      <c r="R3311" s="12">
        <f>IF($J3311=0,0,ROUND(MAX($J3311*1.4*1.5*1.6*1.6,13100000*(1.429962^(MIN($E3311,123)-117)))*1,0))</f>
        <v>90854</v>
      </c>
      <c r="S3311" s="13">
        <f>$E3311+8</f>
        <v>109</v>
      </c>
      <c r="T3311" s="14">
        <f>IF($J3311=0,0,ROUND(MAX($J3311*1.4*1.5*1.6*1.6*2.2,42600000*(1.576904^(MIN($E3311,123)-117)))*1,0))</f>
        <v>199880</v>
      </c>
      <c r="U3311" s="11">
        <f>$E3311+11</f>
        <v>112</v>
      </c>
      <c r="V3311" s="12">
        <f>IF($J3311=0,0,ROUND(MAX($J3311*1.4*1.5*1.6*1.6*2.2*2.715,354000000*(1.642074^(MIN($E3311,123)-117)))*1,0))</f>
        <v>542673</v>
      </c>
      <c r="W3311" s="13">
        <f>$E3311+15</f>
        <v>116</v>
      </c>
      <c r="X3311" s="14">
        <f>IF($J3311=0,0,ROUND(MAX($J3311*1.4*1.5*1.6*1.6*2.2*2.715*2.6,3540000000*(1.579646^(MIN($E3311,123)-117)))*1,0))</f>
        <v>2355304</v>
      </c>
      <c r="Y3311" s="11">
        <f>$E3311+17</f>
        <v>118</v>
      </c>
      <c r="Z3311" s="12">
        <f>IF($J3311=0,0,ROUND(MAX($J3311*1.4*1.5*1.6*1.6*2.2*2.715*2.6*1.4,6020000000*(1.651178^(MIN($E3311,123)-117)))*1,0))</f>
        <v>1975331</v>
      </c>
      <c r="AA3311" s="13">
        <f>$E3311+19</f>
        <v>120</v>
      </c>
      <c r="AB3311" s="14">
        <f>IF($J3311=0,0,ROUND(MAX($J3311*1.4*1.5*1.6*1.6*2.2*2.715*2.6*1.4*1.4,8430000000*(1.651435^(MIN($E3311,123)-117)))*1,0))</f>
        <v>2765463</v>
      </c>
      <c r="AC3311" s="11">
        <f>$E3311+21</f>
        <v>122</v>
      </c>
      <c r="AD3311" s="12">
        <f>IF($J3311=0,0,ROUND(MAX($J3311*1.4*1.5*1.6*1.6*2.2*2.715*2.6*1.4*1.4*1.5,12600000000*(1.652953^(MIN($E3311,123)-117)))*1,0))</f>
        <v>4148195</v>
      </c>
      <c r="AE3311" s="13">
        <f>$E3311+24</f>
        <v>125</v>
      </c>
      <c r="AF3311" s="14">
        <f>IF($J3311=0,0,ROUND(MAX($J3311*1.4*1.5*1.6*1.6*2.2*2.715*2.6*1.4*1.4*1.5*1.5,18900000000*(1.65331^(MIN($E3311,123)-117)))*1,0))</f>
        <v>6222292</v>
      </c>
      <c r="AG3311" s="11">
        <f>$E3311+27</f>
        <v>128</v>
      </c>
      <c r="AH3311" s="12">
        <f>IF($J3311=0,0,ROUND(MAX($J3311*1.4*1.5*1.6*1.6*2.2*2.715*2.6*1.4*1.4*1.5*1.5*3.2,60500000000*(1.654288^(MIN($E3311,123)-117)))*1,0))</f>
        <v>19911336</v>
      </c>
    </row>
    <row r="3312" ht="28" customHeight="1" spans="1:34" x14ac:dyDescent="0.25">
      <c r="A3312">
        <v>3322</v>
      </c>
      <c r="B3312" t="s">
        <v>1767</v>
      </c>
      <c r="C3312" s="10" t="s">
        <v>1744</v>
      </c>
      <c r="D3312" t="s">
        <v>79</v>
      </c>
      <c r="E3312">
        <v>101</v>
      </c>
      <c r="F3312" t="s">
        <v>71</v>
      </c>
      <c r="G3312" t="s">
        <v>748</v>
      </c>
      <c r="H3312">
        <v>20</v>
      </c>
      <c r="I3312" s="11">
        <f>$E3312+0</f>
        <v>101</v>
      </c>
      <c r="J3312" s="12">
        <v>14700</v>
      </c>
      <c r="K3312" s="13">
        <f>$E3312+1</f>
        <v>102</v>
      </c>
      <c r="L3312" s="14">
        <f>IF($J3312=0,0,ROUND(MAX($J3312*1.4,1620000*(1.497923^(MIN($E3312,123)-117)))*1,0))</f>
        <v>20580</v>
      </c>
      <c r="M3312" s="11">
        <f>$E3312+2</f>
        <v>103</v>
      </c>
      <c r="N3312" s="12">
        <f>IF($J3312=0,0,ROUND(MAX($J3312*1.4*1.5,2190000*(1.580994^(MIN($E3312,123)-117)))*1,0))</f>
        <v>30870</v>
      </c>
      <c r="O3312" s="13">
        <f>$E3312+4</f>
        <v>105</v>
      </c>
      <c r="P3312" s="14">
        <f>IF($J3312=0,0,ROUND(MAX($J3312*1.4*1.5*1.6,3500000*(1.57975^(MIN($E3312,123)-117)))*1,0))</f>
        <v>49392</v>
      </c>
      <c r="Q3312" s="11">
        <f>$E3312+6</f>
        <v>107</v>
      </c>
      <c r="R3312" s="12">
        <f>IF($J3312=0,0,ROUND(MAX($J3312*1.4*1.5*1.6*1.6,13100000*(1.429962^(MIN($E3312,123)-117)))*1,0))</f>
        <v>79027</v>
      </c>
      <c r="S3312" s="13">
        <f>$E3312+8</f>
        <v>109</v>
      </c>
      <c r="T3312" s="14">
        <f>IF($J3312=0,0,ROUND(MAX($J3312*1.4*1.5*1.6*1.6*2.2,42600000*(1.576904^(MIN($E3312,123)-117)))*1,0))</f>
        <v>173860</v>
      </c>
      <c r="U3312" s="11">
        <f>$E3312+11</f>
        <v>112</v>
      </c>
      <c r="V3312" s="12">
        <f>IF($J3312=0,0,ROUND(MAX($J3312*1.4*1.5*1.6*1.6*2.2*2.715,354000000*(1.642074^(MIN($E3312,123)-117)))*1,0))</f>
        <v>472029</v>
      </c>
      <c r="W3312" s="13">
        <f>$E3312+15</f>
        <v>116</v>
      </c>
      <c r="X3312" s="14">
        <f>IF($J3312=0,0,ROUND(MAX($J3312*1.4*1.5*1.6*1.6*2.2*2.715*2.6,3540000000*(1.579646^(MIN($E3312,123)-117)))*1,0))</f>
        <v>2355304</v>
      </c>
      <c r="Y3312" s="11">
        <f>$E3312+17</f>
        <v>118</v>
      </c>
      <c r="Z3312" s="12">
        <f>IF($J3312=0,0,ROUND(MAX($J3312*1.4*1.5*1.6*1.6*2.2*2.715*2.6*1.4,6020000000*(1.651178^(MIN($E3312,123)-117)))*1,0))</f>
        <v>1971942</v>
      </c>
      <c r="AA3312" s="13">
        <f>$E3312+19</f>
        <v>120</v>
      </c>
      <c r="AB3312" s="14">
        <f>IF($J3312=0,0,ROUND(MAX($J3312*1.4*1.5*1.6*1.6*2.2*2.715*2.6*1.4*1.4,8430000000*(1.651435^(MIN($E3312,123)-117)))*1,0))</f>
        <v>2754507</v>
      </c>
      <c r="AC3312" s="11">
        <f>$E3312+21</f>
        <v>122</v>
      </c>
      <c r="AD3312" s="12">
        <f>IF($J3312=0,0,ROUND(MAX($J3312*1.4*1.5*1.6*1.6*2.2*2.715*2.6*1.4*1.4*1.5,12600000000*(1.652953^(MIN($E3312,123)-117)))*1,0))</f>
        <v>4056976</v>
      </c>
      <c r="AE3312" s="13">
        <f>$E3312+24</f>
        <v>125</v>
      </c>
      <c r="AF3312" s="14">
        <f>IF($J3312=0,0,ROUND(MAX($J3312*1.4*1.5*1.6*1.6*2.2*2.715*2.6*1.4*1.4*1.5*1.5,18900000000*(1.65331^(MIN($E3312,123)-117)))*1,0))</f>
        <v>6064474</v>
      </c>
      <c r="AG3312" s="11">
        <f>$E3312+27</f>
        <v>128</v>
      </c>
      <c r="AH3312" s="12">
        <f>IF($J3312=0,0,ROUND(MAX($J3312*1.4*1.5*1.6*1.6*2.2*2.715*2.6*1.4*1.4*1.5*1.5*3.2,60500000000*(1.654288^(MIN($E3312,123)-117)))*1,0))</f>
        <v>19229919</v>
      </c>
    </row>
    <row r="3313" ht="28" customHeight="1" spans="1:34" x14ac:dyDescent="0.25">
      <c r="A3313">
        <v>3323</v>
      </c>
      <c r="B3313" t="s">
        <v>1768</v>
      </c>
      <c r="C3313" s="10" t="s">
        <v>1744</v>
      </c>
      <c r="D3313" t="s">
        <v>75</v>
      </c>
      <c r="E3313">
        <v>101</v>
      </c>
      <c r="F3313" t="s">
        <v>71</v>
      </c>
      <c r="G3313" t="s">
        <v>580</v>
      </c>
      <c r="H3313">
        <v>20</v>
      </c>
      <c r="I3313" s="11">
        <f>$E3313+0</f>
        <v>101</v>
      </c>
      <c r="J3313" s="12">
        <v>18800</v>
      </c>
      <c r="K3313" s="13">
        <f>$E3313+1</f>
        <v>102</v>
      </c>
      <c r="L3313" s="14">
        <f>IF($J3313=0,0,ROUND(MAX($J3313*1.4,1620000*(1.497923^(MIN($E3313,123)-117)))*1,0))</f>
        <v>26320</v>
      </c>
      <c r="M3313" s="11">
        <f>$E3313+2</f>
        <v>103</v>
      </c>
      <c r="N3313" s="12">
        <f>IF($J3313=0,0,ROUND(MAX($J3313*1.4*1.5,2190000*(1.580994^(MIN($E3313,123)-117)))*1,0))</f>
        <v>39480</v>
      </c>
      <c r="O3313" s="13">
        <f>$E3313+4</f>
        <v>105</v>
      </c>
      <c r="P3313" s="14">
        <f>IF($J3313=0,0,ROUND(MAX($J3313*1.4*1.5*1.6,3500000*(1.57975^(MIN($E3313,123)-117)))*1,0))</f>
        <v>63168</v>
      </c>
      <c r="Q3313" s="11">
        <f>$E3313+6</f>
        <v>107</v>
      </c>
      <c r="R3313" s="12">
        <f>IF($J3313=0,0,ROUND(MAX($J3313*1.4*1.5*1.6*1.6,13100000*(1.429962^(MIN($E3313,123)-117)))*1,0))</f>
        <v>101069</v>
      </c>
      <c r="S3313" s="13">
        <f>$E3313+8</f>
        <v>109</v>
      </c>
      <c r="T3313" s="14">
        <f>IF($J3313=0,0,ROUND(MAX($J3313*1.4*1.5*1.6*1.6*2.2,42600000*(1.576904^(MIN($E3313,123)-117)))*1,0))</f>
        <v>222351</v>
      </c>
      <c r="U3313" s="11">
        <f>$E3313+11</f>
        <v>112</v>
      </c>
      <c r="V3313" s="12">
        <f>IF($J3313=0,0,ROUND(MAX($J3313*1.4*1.5*1.6*1.6*2.2*2.715,354000000*(1.642074^(MIN($E3313,123)-117)))*1,0))</f>
        <v>603684</v>
      </c>
      <c r="W3313" s="13">
        <f>$E3313+15</f>
        <v>116</v>
      </c>
      <c r="X3313" s="14">
        <f>IF($J3313=0,0,ROUND(MAX($J3313*1.4*1.5*1.6*1.6*2.2*2.715*2.6,3540000000*(1.579646^(MIN($E3313,123)-117)))*1,0))</f>
        <v>2355304</v>
      </c>
      <c r="Y3313" s="11">
        <f>$E3313+17</f>
        <v>118</v>
      </c>
      <c r="Z3313" s="12">
        <f>IF($J3313=0,0,ROUND(MAX($J3313*1.4*1.5*1.6*1.6*2.2*2.715*2.6*1.4,6020000000*(1.651178^(MIN($E3313,123)-117)))*1,0))</f>
        <v>2197410</v>
      </c>
      <c r="AA3313" s="13">
        <f>$E3313+19</f>
        <v>120</v>
      </c>
      <c r="AB3313" s="14">
        <f>IF($J3313=0,0,ROUND(MAX($J3313*1.4*1.5*1.6*1.6*2.2*2.715*2.6*1.4*1.4,8430000000*(1.651435^(MIN($E3313,123)-117)))*1,0))</f>
        <v>3076373</v>
      </c>
      <c r="AC3313" s="11">
        <f>$E3313+21</f>
        <v>122</v>
      </c>
      <c r="AD3313" s="12">
        <f>IF($J3313=0,0,ROUND(MAX($J3313*1.4*1.5*1.6*1.6*2.2*2.715*2.6*1.4*1.4*1.5,12600000000*(1.652953^(MIN($E3313,123)-117)))*1,0))</f>
        <v>4614560</v>
      </c>
      <c r="AE3313" s="13">
        <f>$E3313+24</f>
        <v>125</v>
      </c>
      <c r="AF3313" s="14">
        <f>IF($J3313=0,0,ROUND(MAX($J3313*1.4*1.5*1.6*1.6*2.2*2.715*2.6*1.4*1.4*1.5*1.5,18900000000*(1.65331^(MIN($E3313,123)-117)))*1,0))</f>
        <v>6921840</v>
      </c>
      <c r="AG3313" s="11">
        <f>$E3313+27</f>
        <v>128</v>
      </c>
      <c r="AH3313" s="12">
        <f>IF($J3313=0,0,ROUND(MAX($J3313*1.4*1.5*1.6*1.6*2.2*2.715*2.6*1.4*1.4*1.5*1.5*3.2,60500000000*(1.654288^(MIN($E3313,123)-117)))*1,0))</f>
        <v>22149888</v>
      </c>
    </row>
    <row r="3314" ht="28" customHeight="1" spans="1:34" x14ac:dyDescent="0.25">
      <c r="A3314">
        <v>3324</v>
      </c>
      <c r="B3314" t="s">
        <v>1769</v>
      </c>
      <c r="C3314" s="10" t="s">
        <v>1744</v>
      </c>
      <c r="D3314" t="s">
        <v>40</v>
      </c>
      <c r="E3314">
        <v>101</v>
      </c>
      <c r="F3314" t="s">
        <v>310</v>
      </c>
      <c r="G3314" t="s">
        <v>60</v>
      </c>
      <c r="H3314">
        <v>20</v>
      </c>
      <c r="I3314" s="11">
        <f>$E3314+0</f>
        <v>101</v>
      </c>
      <c r="J3314" s="12">
        <v>21500</v>
      </c>
      <c r="K3314" s="13">
        <f>$E3314+1</f>
        <v>102</v>
      </c>
      <c r="L3314" s="14">
        <f>IF($J3314=0,0,ROUND(MAX($J3314*1.4,1620000*(1.497923^(MIN($E3314,123)-117)))*1,0))</f>
        <v>30100</v>
      </c>
      <c r="M3314" s="11">
        <f>$E3314+2</f>
        <v>103</v>
      </c>
      <c r="N3314" s="12">
        <f>IF($J3314=0,0,ROUND(MAX($J3314*1.4*1.5,2190000*(1.580994^(MIN($E3314,123)-117)))*1,0))</f>
        <v>45150</v>
      </c>
      <c r="O3314" s="13">
        <f>$E3314+4</f>
        <v>105</v>
      </c>
      <c r="P3314" s="14">
        <f>IF($J3314=0,0,ROUND(MAX($J3314*1.4*1.5*1.6,3500000*(1.57975^(MIN($E3314,123)-117)))*1,0))</f>
        <v>72240</v>
      </c>
      <c r="Q3314" s="11">
        <f>$E3314+6</f>
        <v>107</v>
      </c>
      <c r="R3314" s="12">
        <f>IF($J3314=0,0,ROUND(MAX($J3314*1.4*1.5*1.6*1.6,13100000*(1.429962^(MIN($E3314,123)-117)))*1,0))</f>
        <v>115584</v>
      </c>
      <c r="S3314" s="13">
        <f>$E3314+8</f>
        <v>109</v>
      </c>
      <c r="T3314" s="14">
        <f>IF($J3314=0,0,ROUND(MAX($J3314*1.4*1.5*1.6*1.6*2.2,42600000*(1.576904^(MIN($E3314,123)-117)))*1,0))</f>
        <v>254285</v>
      </c>
      <c r="U3314" s="11">
        <f>$E3314+11</f>
        <v>112</v>
      </c>
      <c r="V3314" s="12">
        <f>IF($J3314=0,0,ROUND(MAX($J3314*1.4*1.5*1.6*1.6*2.2*2.715,354000000*(1.642074^(MIN($E3314,123)-117)))*1,0))</f>
        <v>690383</v>
      </c>
      <c r="W3314" s="13">
        <f>$E3314+15</f>
        <v>116</v>
      </c>
      <c r="X3314" s="14">
        <f>IF($J3314=0,0,ROUND(MAX($J3314*1.4*1.5*1.6*1.6*2.2*2.715*2.6,3540000000*(1.579646^(MIN($E3314,123)-117)))*1,0))</f>
        <v>2355304</v>
      </c>
      <c r="Y3314" s="11">
        <f>$E3314+17</f>
        <v>118</v>
      </c>
      <c r="Z3314" s="12">
        <f>IF($J3314=0,0,ROUND(MAX($J3314*1.4*1.5*1.6*1.6*2.2*2.715*2.6*1.4,6020000000*(1.651178^(MIN($E3314,123)-117)))*1,0))</f>
        <v>2512995</v>
      </c>
      <c r="AA3314" s="13">
        <f>$E3314+19</f>
        <v>120</v>
      </c>
      <c r="AB3314" s="14">
        <f>IF($J3314=0,0,ROUND(MAX($J3314*1.4*1.5*1.6*1.6*2.2*2.715*2.6*1.4*1.4,8430000000*(1.651435^(MIN($E3314,123)-117)))*1,0))</f>
        <v>3518193</v>
      </c>
      <c r="AC3314" s="11">
        <f>$E3314+21</f>
        <v>122</v>
      </c>
      <c r="AD3314" s="12">
        <f>IF($J3314=0,0,ROUND(MAX($J3314*1.4*1.5*1.6*1.6*2.2*2.715*2.6*1.4*1.4*1.5,12600000000*(1.652953^(MIN($E3314,123)-117)))*1,0))</f>
        <v>5277289</v>
      </c>
      <c r="AE3314" s="13">
        <f>$E3314+24</f>
        <v>125</v>
      </c>
      <c r="AF3314" s="14">
        <f>IF($J3314=0,0,ROUND(MAX($J3314*1.4*1.5*1.6*1.6*2.2*2.715*2.6*1.4*1.4*1.5*1.5,18900000000*(1.65331^(MIN($E3314,123)-117)))*1,0))</f>
        <v>7915934</v>
      </c>
      <c r="AG3314" s="11">
        <f>$E3314+27</f>
        <v>128</v>
      </c>
      <c r="AH3314" s="12">
        <f>IF($J3314=0,0,ROUND(MAX($J3314*1.4*1.5*1.6*1.6*2.2*2.715*2.6*1.4*1.4*1.5*1.5*3.2,60500000000*(1.654288^(MIN($E3314,123)-117)))*1,0))</f>
        <v>25330989</v>
      </c>
    </row>
    <row r="3315" ht="28" customHeight="1" spans="1:34" x14ac:dyDescent="0.25">
      <c r="A3315">
        <v>3325</v>
      </c>
      <c r="B3315" t="s">
        <v>1770</v>
      </c>
      <c r="C3315" s="10" t="s">
        <v>1744</v>
      </c>
      <c r="D3315" t="s">
        <v>33</v>
      </c>
      <c r="E3315">
        <v>101</v>
      </c>
      <c r="F3315" t="s">
        <v>62</v>
      </c>
      <c r="G3315" t="s">
        <v>562</v>
      </c>
      <c r="H3315">
        <v>20</v>
      </c>
      <c r="I3315" s="11">
        <f>$E3315+0</f>
        <v>101</v>
      </c>
      <c r="J3315" s="12">
        <v>15300</v>
      </c>
      <c r="K3315" s="13">
        <f>$E3315+1</f>
        <v>102</v>
      </c>
      <c r="L3315" s="14">
        <f>IF($J3315=0,0,ROUND(MAX($J3315*1.4,1620000*(1.497923^(MIN($E3315,123)-117)))*1,0))</f>
        <v>21420</v>
      </c>
      <c r="M3315" s="11">
        <f>$E3315+2</f>
        <v>103</v>
      </c>
      <c r="N3315" s="12">
        <f>IF($J3315=0,0,ROUND(MAX($J3315*1.4*1.5,2190000*(1.580994^(MIN($E3315,123)-117)))*1,0))</f>
        <v>32130</v>
      </c>
      <c r="O3315" s="13">
        <f>$E3315+4</f>
        <v>105</v>
      </c>
      <c r="P3315" s="14">
        <f>IF($J3315=0,0,ROUND(MAX($J3315*1.4*1.5*1.6,3500000*(1.57975^(MIN($E3315,123)-117)))*1,0))</f>
        <v>51408</v>
      </c>
      <c r="Q3315" s="11">
        <f>$E3315+6</f>
        <v>107</v>
      </c>
      <c r="R3315" s="12">
        <f>IF($J3315=0,0,ROUND(MAX($J3315*1.4*1.5*1.6*1.6,13100000*(1.429962^(MIN($E3315,123)-117)))*1,0))</f>
        <v>82253</v>
      </c>
      <c r="S3315" s="13">
        <f>$E3315+8</f>
        <v>109</v>
      </c>
      <c r="T3315" s="14">
        <f>IF($J3315=0,0,ROUND(MAX($J3315*1.4*1.5*1.6*1.6*2.2,42600000*(1.576904^(MIN($E3315,123)-117)))*1,0))</f>
        <v>180956</v>
      </c>
      <c r="U3315" s="11">
        <f>$E3315+11</f>
        <v>112</v>
      </c>
      <c r="V3315" s="12">
        <f>IF($J3315=0,0,ROUND(MAX($J3315*1.4*1.5*1.6*1.6*2.2*2.715,354000000*(1.642074^(MIN($E3315,123)-117)))*1,0))</f>
        <v>491296</v>
      </c>
      <c r="W3315" s="13">
        <f>$E3315+15</f>
        <v>116</v>
      </c>
      <c r="X3315" s="14">
        <f>IF($J3315=0,0,ROUND(MAX($J3315*1.4*1.5*1.6*1.6*2.2*2.715*2.6,3540000000*(1.579646^(MIN($E3315,123)-117)))*1,0))</f>
        <v>2355304</v>
      </c>
      <c r="Y3315" s="11">
        <f>$E3315+17</f>
        <v>118</v>
      </c>
      <c r="Z3315" s="12">
        <f>IF($J3315=0,0,ROUND(MAX($J3315*1.4*1.5*1.6*1.6*2.2*2.715*2.6*1.4,6020000000*(1.651178^(MIN($E3315,123)-117)))*1,0))</f>
        <v>1971942</v>
      </c>
      <c r="AA3315" s="13">
        <f>$E3315+19</f>
        <v>120</v>
      </c>
      <c r="AB3315" s="14">
        <f>IF($J3315=0,0,ROUND(MAX($J3315*1.4*1.5*1.6*1.6*2.2*2.715*2.6*1.4*1.4,8430000000*(1.651435^(MIN($E3315,123)-117)))*1,0))</f>
        <v>2754507</v>
      </c>
      <c r="AC3315" s="11">
        <f>$E3315+21</f>
        <v>122</v>
      </c>
      <c r="AD3315" s="12">
        <f>IF($J3315=0,0,ROUND(MAX($J3315*1.4*1.5*1.6*1.6*2.2*2.715*2.6*1.4*1.4*1.5,12600000000*(1.652953^(MIN($E3315,123)-117)))*1,0))</f>
        <v>4056976</v>
      </c>
      <c r="AE3315" s="13">
        <f>$E3315+24</f>
        <v>125</v>
      </c>
      <c r="AF3315" s="14">
        <f>IF($J3315=0,0,ROUND(MAX($J3315*1.4*1.5*1.6*1.6*2.2*2.715*2.6*1.4*1.4*1.5*1.5,18900000000*(1.65331^(MIN($E3315,123)-117)))*1,0))</f>
        <v>6064474</v>
      </c>
      <c r="AG3315" s="11">
        <f>$E3315+27</f>
        <v>128</v>
      </c>
      <c r="AH3315" s="12">
        <f>IF($J3315=0,0,ROUND(MAX($J3315*1.4*1.5*1.6*1.6*2.2*2.715*2.6*1.4*1.4*1.5*1.5*3.2,60500000000*(1.654288^(MIN($E3315,123)-117)))*1,0))</f>
        <v>19229919</v>
      </c>
    </row>
    <row r="3316" ht="28" customHeight="1" spans="1:34" x14ac:dyDescent="0.25">
      <c r="A3316">
        <v>3326</v>
      </c>
      <c r="B3316" t="s">
        <v>1771</v>
      </c>
      <c r="C3316" s="10" t="s">
        <v>1744</v>
      </c>
      <c r="D3316" t="s">
        <v>47</v>
      </c>
      <c r="E3316">
        <v>101</v>
      </c>
      <c r="F3316" t="s">
        <v>168</v>
      </c>
      <c r="G3316" t="s">
        <v>398</v>
      </c>
      <c r="H3316">
        <v>18</v>
      </c>
      <c r="I3316" s="11">
        <f>$E3316+0</f>
        <v>101</v>
      </c>
      <c r="J3316" s="12">
        <v>15900</v>
      </c>
      <c r="K3316" s="13">
        <f>$E3316+1</f>
        <v>102</v>
      </c>
      <c r="L3316" s="14">
        <f>IF($J3316=0,0,ROUND(MAX($J3316*1.4,1620000*(1.497923^(MIN($E3316,123)-117)))*1,0))</f>
        <v>22260</v>
      </c>
      <c r="M3316" s="11">
        <f>$E3316+2</f>
        <v>103</v>
      </c>
      <c r="N3316" s="12">
        <f>IF($J3316=0,0,ROUND(MAX($J3316*1.4*1.5,2190000*(1.580994^(MIN($E3316,123)-117)))*1,0))</f>
        <v>33390</v>
      </c>
      <c r="O3316" s="13">
        <f>$E3316+4</f>
        <v>105</v>
      </c>
      <c r="P3316" s="14">
        <f>IF($J3316=0,0,ROUND(MAX($J3316*1.4*1.5*1.6,3500000*(1.57975^(MIN($E3316,123)-117)))*1,0))</f>
        <v>53424</v>
      </c>
      <c r="Q3316" s="11">
        <f>$E3316+6</f>
        <v>107</v>
      </c>
      <c r="R3316" s="12">
        <f>IF($J3316=0,0,ROUND(MAX($J3316*1.4*1.5*1.6*1.6,13100000*(1.429962^(MIN($E3316,123)-117)))*1,0))</f>
        <v>85478</v>
      </c>
      <c r="S3316" s="13">
        <f>$E3316+8</f>
        <v>109</v>
      </c>
      <c r="T3316" s="14">
        <f>IF($J3316=0,0,ROUND(MAX($J3316*1.4*1.5*1.6*1.6*2.2,42600000*(1.576904^(MIN($E3316,123)-117)))*1,0))</f>
        <v>188052</v>
      </c>
      <c r="U3316" s="11">
        <f>$E3316+11</f>
        <v>112</v>
      </c>
      <c r="V3316" s="12">
        <f>IF($J3316=0,0,ROUND(MAX($J3316*1.4*1.5*1.6*1.6*2.2*2.715,354000000*(1.642074^(MIN($E3316,123)-117)))*1,0))</f>
        <v>510562</v>
      </c>
      <c r="W3316" s="13">
        <f>$E3316+15</f>
        <v>116</v>
      </c>
      <c r="X3316" s="14">
        <f>IF($J3316=0,0,ROUND(MAX($J3316*1.4*1.5*1.6*1.6*2.2*2.715*2.6,3540000000*(1.579646^(MIN($E3316,123)-117)))*1,0))</f>
        <v>2355304</v>
      </c>
      <c r="Y3316" s="11">
        <f>$E3316+17</f>
        <v>118</v>
      </c>
      <c r="Z3316" s="12">
        <f>IF($J3316=0,0,ROUND(MAX($J3316*1.4*1.5*1.6*1.6*2.2*2.715*2.6*1.4,6020000000*(1.651178^(MIN($E3316,123)-117)))*1,0))</f>
        <v>1971942</v>
      </c>
      <c r="AA3316" s="13">
        <f>$E3316+19</f>
        <v>120</v>
      </c>
      <c r="AB3316" s="14">
        <f>IF($J3316=0,0,ROUND(MAX($J3316*1.4*1.5*1.6*1.6*2.2*2.715*2.6*1.4*1.4,8430000000*(1.651435^(MIN($E3316,123)-117)))*1,0))</f>
        <v>2754507</v>
      </c>
      <c r="AC3316" s="11">
        <f>$E3316+21</f>
        <v>122</v>
      </c>
      <c r="AD3316" s="12">
        <f>IF($J3316=0,0,ROUND(MAX($J3316*1.4*1.5*1.6*1.6*2.2*2.715*2.6*1.4*1.4*1.5,12600000000*(1.652953^(MIN($E3316,123)-117)))*1,0))</f>
        <v>4056976</v>
      </c>
      <c r="AE3316" s="13">
        <f>$E3316+24</f>
        <v>125</v>
      </c>
      <c r="AF3316" s="14">
        <f>IF($J3316=0,0,ROUND(MAX($J3316*1.4*1.5*1.6*1.6*2.2*2.715*2.6*1.4*1.4*1.5*1.5,18900000000*(1.65331^(MIN($E3316,123)-117)))*1,0))</f>
        <v>6064474</v>
      </c>
      <c r="AG3316" s="11">
        <f>$E3316+27</f>
        <v>128</v>
      </c>
      <c r="AH3316" s="12">
        <f>IF($J3316=0,0,ROUND(MAX($J3316*1.4*1.5*1.6*1.6*2.2*2.715*2.6*1.4*1.4*1.5*1.5*3.2,60500000000*(1.654288^(MIN($E3316,123)-117)))*1,0))</f>
        <v>19229919</v>
      </c>
    </row>
    <row r="3317" ht="28" customHeight="1" spans="1:34" x14ac:dyDescent="0.25">
      <c r="A3317">
        <v>3327</v>
      </c>
      <c r="B3317" t="s">
        <v>802</v>
      </c>
      <c r="C3317" s="10" t="s">
        <v>1744</v>
      </c>
      <c r="D3317" t="s">
        <v>25</v>
      </c>
      <c r="E3317">
        <v>100</v>
      </c>
      <c r="F3317" t="s">
        <v>71</v>
      </c>
      <c r="G3317" t="s">
        <v>38</v>
      </c>
      <c r="H3317">
        <v>21</v>
      </c>
      <c r="I3317" s="11">
        <f>$E3317+0</f>
        <v>100</v>
      </c>
      <c r="J3317" s="12">
        <v>14600</v>
      </c>
      <c r="K3317" s="13">
        <f>$E3317+1</f>
        <v>101</v>
      </c>
      <c r="L3317" s="14">
        <f>IF($J3317=0,0,ROUND(MAX($J3317*1.4,1620000*(1.497923^(MIN($E3317,123)-117)))*1,0))</f>
        <v>20440</v>
      </c>
      <c r="M3317" s="11">
        <f>$E3317+2</f>
        <v>102</v>
      </c>
      <c r="N3317" s="12">
        <f>IF($J3317=0,0,ROUND(MAX($J3317*1.4*1.5,2190000*(1.580994^(MIN($E3317,123)-117)))*1,0))</f>
        <v>30660</v>
      </c>
      <c r="O3317" s="13">
        <f>$E3317+4</f>
        <v>104</v>
      </c>
      <c r="P3317" s="14">
        <f>IF($J3317=0,0,ROUND(MAX($J3317*1.4*1.5*1.6,3500000*(1.57975^(MIN($E3317,123)-117)))*1,0))</f>
        <v>49056</v>
      </c>
      <c r="Q3317" s="11">
        <f>$E3317+6</f>
        <v>106</v>
      </c>
      <c r="R3317" s="12">
        <f>IF($J3317=0,0,ROUND(MAX($J3317*1.4*1.5*1.6*1.6,13100000*(1.429962^(MIN($E3317,123)-117)))*1,0))</f>
        <v>78490</v>
      </c>
      <c r="S3317" s="13">
        <f>$E3317+8</f>
        <v>108</v>
      </c>
      <c r="T3317" s="14">
        <f>IF($J3317=0,0,ROUND(MAX($J3317*1.4*1.5*1.6*1.6*2.2,42600000*(1.576904^(MIN($E3317,123)-117)))*1,0))</f>
        <v>172677</v>
      </c>
      <c r="U3317" s="11">
        <f>$E3317+11</f>
        <v>111</v>
      </c>
      <c r="V3317" s="12">
        <f>IF($J3317=0,0,ROUND(MAX($J3317*1.4*1.5*1.6*1.6*2.2*2.715,354000000*(1.642074^(MIN($E3317,123)-117)))*1,0))</f>
        <v>468818</v>
      </c>
      <c r="W3317" s="13">
        <f>$E3317+15</f>
        <v>115</v>
      </c>
      <c r="X3317" s="14">
        <f>IF($J3317=0,0,ROUND(MAX($J3317*1.4*1.5*1.6*1.6*2.2*2.715*2.6,3540000000*(1.579646^(MIN($E3317,123)-117)))*1,0))</f>
        <v>1491033</v>
      </c>
      <c r="Y3317" s="11">
        <f>$E3317+17</f>
        <v>117</v>
      </c>
      <c r="Z3317" s="12">
        <f>IF($J3317=0,0,ROUND(MAX($J3317*1.4*1.5*1.6*1.6*2.2*2.715*2.6*1.4,6020000000*(1.651178^(MIN($E3317,123)-117)))*1,0))</f>
        <v>1706499</v>
      </c>
      <c r="AA3317" s="13">
        <f>$E3317+19</f>
        <v>119</v>
      </c>
      <c r="AB3317" s="14">
        <f>IF($J3317=0,0,ROUND(MAX($J3317*1.4*1.5*1.6*1.6*2.2*2.715*2.6*1.4*1.4,8430000000*(1.651435^(MIN($E3317,123)-117)))*1,0))</f>
        <v>2389098</v>
      </c>
      <c r="AC3317" s="11">
        <f>$E3317+21</f>
        <v>121</v>
      </c>
      <c r="AD3317" s="12">
        <f>IF($J3317=0,0,ROUND(MAX($J3317*1.4*1.5*1.6*1.6*2.2*2.715*2.6*1.4*1.4*1.5,12600000000*(1.652953^(MIN($E3317,123)-117)))*1,0))</f>
        <v>3583648</v>
      </c>
      <c r="AE3317" s="13">
        <f>$E3317+24</f>
        <v>124</v>
      </c>
      <c r="AF3317" s="14">
        <f>IF($J3317=0,0,ROUND(MAX($J3317*1.4*1.5*1.6*1.6*2.2*2.715*2.6*1.4*1.4*1.5*1.5,18900000000*(1.65331^(MIN($E3317,123)-117)))*1,0))</f>
        <v>5375472</v>
      </c>
      <c r="AG3317" s="11">
        <f>$E3317+27</f>
        <v>127</v>
      </c>
      <c r="AH3317" s="12">
        <f>IF($J3317=0,0,ROUND(MAX($J3317*1.4*1.5*1.6*1.6*2.2*2.715*2.6*1.4*1.4*1.5*1.5*3.2,60500000000*(1.654288^(MIN($E3317,123)-117)))*1,0))</f>
        <v>17201509</v>
      </c>
    </row>
    <row r="3318" ht="28" customHeight="1" spans="1:34" x14ac:dyDescent="0.25">
      <c r="A3318">
        <v>3328</v>
      </c>
      <c r="B3318" t="s">
        <v>1649</v>
      </c>
      <c r="C3318" s="10" t="s">
        <v>1744</v>
      </c>
      <c r="D3318" t="s">
        <v>45</v>
      </c>
      <c r="E3318">
        <v>100</v>
      </c>
      <c r="F3318" t="s">
        <v>212</v>
      </c>
      <c r="G3318" t="s">
        <v>595</v>
      </c>
      <c r="H3318">
        <v>21</v>
      </c>
      <c r="I3318" s="11">
        <f>$E3318+0</f>
        <v>100</v>
      </c>
      <c r="J3318" s="12">
        <v>14300</v>
      </c>
      <c r="K3318" s="13">
        <f>$E3318+1</f>
        <v>101</v>
      </c>
      <c r="L3318" s="14">
        <f>IF($J3318=0,0,ROUND(MAX($J3318*1.4,1620000*(1.497923^(MIN($E3318,123)-117)))*1,0))</f>
        <v>20020</v>
      </c>
      <c r="M3318" s="11">
        <f>$E3318+2</f>
        <v>102</v>
      </c>
      <c r="N3318" s="12">
        <f>IF($J3318=0,0,ROUND(MAX($J3318*1.4*1.5,2190000*(1.580994^(MIN($E3318,123)-117)))*1,0))</f>
        <v>30030</v>
      </c>
      <c r="O3318" s="13">
        <f>$E3318+4</f>
        <v>104</v>
      </c>
      <c r="P3318" s="14">
        <f>IF($J3318=0,0,ROUND(MAX($J3318*1.4*1.5*1.6,3500000*(1.57975^(MIN($E3318,123)-117)))*1,0))</f>
        <v>48048</v>
      </c>
      <c r="Q3318" s="11">
        <f>$E3318+6</f>
        <v>106</v>
      </c>
      <c r="R3318" s="12">
        <f>IF($J3318=0,0,ROUND(MAX($J3318*1.4*1.5*1.6*1.6,13100000*(1.429962^(MIN($E3318,123)-117)))*1,0))</f>
        <v>76877</v>
      </c>
      <c r="S3318" s="13">
        <f>$E3318+8</f>
        <v>108</v>
      </c>
      <c r="T3318" s="14">
        <f>IF($J3318=0,0,ROUND(MAX($J3318*1.4*1.5*1.6*1.6*2.2,42600000*(1.576904^(MIN($E3318,123)-117)))*1,0))</f>
        <v>169129</v>
      </c>
      <c r="U3318" s="11">
        <f>$E3318+11</f>
        <v>111</v>
      </c>
      <c r="V3318" s="12">
        <f>IF($J3318=0,0,ROUND(MAX($J3318*1.4*1.5*1.6*1.6*2.2*2.715,354000000*(1.642074^(MIN($E3318,123)-117)))*1,0))</f>
        <v>459185</v>
      </c>
      <c r="W3318" s="13">
        <f>$E3318+15</f>
        <v>115</v>
      </c>
      <c r="X3318" s="14">
        <f>IF($J3318=0,0,ROUND(MAX($J3318*1.4*1.5*1.6*1.6*2.2*2.715*2.6,3540000000*(1.579646^(MIN($E3318,123)-117)))*1,0))</f>
        <v>1491033</v>
      </c>
      <c r="Y3318" s="11">
        <f>$E3318+17</f>
        <v>117</v>
      </c>
      <c r="Z3318" s="12">
        <f>IF($J3318=0,0,ROUND(MAX($J3318*1.4*1.5*1.6*1.6*2.2*2.715*2.6*1.4,6020000000*(1.651178^(MIN($E3318,123)-117)))*1,0))</f>
        <v>1671434</v>
      </c>
      <c r="AA3318" s="13">
        <f>$E3318+19</f>
        <v>119</v>
      </c>
      <c r="AB3318" s="14">
        <f>IF($J3318=0,0,ROUND(MAX($J3318*1.4*1.5*1.6*1.6*2.2*2.715*2.6*1.4*1.4,8430000000*(1.651435^(MIN($E3318,123)-117)))*1,0))</f>
        <v>2340007</v>
      </c>
      <c r="AC3318" s="11">
        <f>$E3318+21</f>
        <v>121</v>
      </c>
      <c r="AD3318" s="12">
        <f>IF($J3318=0,0,ROUND(MAX($J3318*1.4*1.5*1.6*1.6*2.2*2.715*2.6*1.4*1.4*1.5,12600000000*(1.652953^(MIN($E3318,123)-117)))*1,0))</f>
        <v>3510011</v>
      </c>
      <c r="AE3318" s="13">
        <f>$E3318+24</f>
        <v>124</v>
      </c>
      <c r="AF3318" s="14">
        <f>IF($J3318=0,0,ROUND(MAX($J3318*1.4*1.5*1.6*1.6*2.2*2.715*2.6*1.4*1.4*1.5*1.5,18900000000*(1.65331^(MIN($E3318,123)-117)))*1,0))</f>
        <v>5265017</v>
      </c>
      <c r="AG3318" s="11">
        <f>$E3318+27</f>
        <v>127</v>
      </c>
      <c r="AH3318" s="12">
        <f>IF($J3318=0,0,ROUND(MAX($J3318*1.4*1.5*1.6*1.6*2.2*2.715*2.6*1.4*1.4*1.5*1.5*3.2,60500000000*(1.654288^(MIN($E3318,123)-117)))*1,0))</f>
        <v>16848053</v>
      </c>
    </row>
    <row r="3319" ht="28" customHeight="1" spans="1:34" x14ac:dyDescent="0.25">
      <c r="A3319">
        <v>3329</v>
      </c>
      <c r="B3319" t="s">
        <v>1772</v>
      </c>
      <c r="C3319" s="10" t="s">
        <v>1744</v>
      </c>
      <c r="D3319" t="s">
        <v>25</v>
      </c>
      <c r="E3319">
        <v>100</v>
      </c>
      <c r="F3319" t="s">
        <v>30</v>
      </c>
      <c r="G3319" t="s">
        <v>562</v>
      </c>
      <c r="H3319">
        <v>21</v>
      </c>
      <c r="I3319" s="11">
        <f>$E3319+0</f>
        <v>100</v>
      </c>
      <c r="J3319" s="12">
        <v>14100</v>
      </c>
      <c r="K3319" s="13">
        <f>$E3319+1</f>
        <v>101</v>
      </c>
      <c r="L3319" s="14">
        <f>IF($J3319=0,0,ROUND(MAX($J3319*1.4,1620000*(1.497923^(MIN($E3319,123)-117)))*1,0))</f>
        <v>19740</v>
      </c>
      <c r="M3319" s="11">
        <f>$E3319+2</f>
        <v>102</v>
      </c>
      <c r="N3319" s="12">
        <f>IF($J3319=0,0,ROUND(MAX($J3319*1.4*1.5,2190000*(1.580994^(MIN($E3319,123)-117)))*1,0))</f>
        <v>29610</v>
      </c>
      <c r="O3319" s="13">
        <f>$E3319+4</f>
        <v>104</v>
      </c>
      <c r="P3319" s="14">
        <f>IF($J3319=0,0,ROUND(MAX($J3319*1.4*1.5*1.6,3500000*(1.57975^(MIN($E3319,123)-117)))*1,0))</f>
        <v>47376</v>
      </c>
      <c r="Q3319" s="11">
        <f>$E3319+6</f>
        <v>106</v>
      </c>
      <c r="R3319" s="12">
        <f>IF($J3319=0,0,ROUND(MAX($J3319*1.4*1.5*1.6*1.6,13100000*(1.429962^(MIN($E3319,123)-117)))*1,0))</f>
        <v>75802</v>
      </c>
      <c r="S3319" s="13">
        <f>$E3319+8</f>
        <v>108</v>
      </c>
      <c r="T3319" s="14">
        <f>IF($J3319=0,0,ROUND(MAX($J3319*1.4*1.5*1.6*1.6*2.2,42600000*(1.576904^(MIN($E3319,123)-117)))*1,0))</f>
        <v>166764</v>
      </c>
      <c r="U3319" s="11">
        <f>$E3319+11</f>
        <v>111</v>
      </c>
      <c r="V3319" s="12">
        <f>IF($J3319=0,0,ROUND(MAX($J3319*1.4*1.5*1.6*1.6*2.2*2.715,354000000*(1.642074^(MIN($E3319,123)-117)))*1,0))</f>
        <v>452763</v>
      </c>
      <c r="W3319" s="13">
        <f>$E3319+15</f>
        <v>115</v>
      </c>
      <c r="X3319" s="14">
        <f>IF($J3319=0,0,ROUND(MAX($J3319*1.4*1.5*1.6*1.6*2.2*2.715*2.6,3540000000*(1.579646^(MIN($E3319,123)-117)))*1,0))</f>
        <v>1491033</v>
      </c>
      <c r="Y3319" s="11">
        <f>$E3319+17</f>
        <v>117</v>
      </c>
      <c r="Z3319" s="12">
        <f>IF($J3319=0,0,ROUND(MAX($J3319*1.4*1.5*1.6*1.6*2.2*2.715*2.6*1.4,6020000000*(1.651178^(MIN($E3319,123)-117)))*1,0))</f>
        <v>1648057</v>
      </c>
      <c r="AA3319" s="13">
        <f>$E3319+19</f>
        <v>119</v>
      </c>
      <c r="AB3319" s="14">
        <f>IF($J3319=0,0,ROUND(MAX($J3319*1.4*1.5*1.6*1.6*2.2*2.715*2.6*1.4*1.4,8430000000*(1.651435^(MIN($E3319,123)-117)))*1,0))</f>
        <v>2307280</v>
      </c>
      <c r="AC3319" s="11">
        <f>$E3319+21</f>
        <v>121</v>
      </c>
      <c r="AD3319" s="12">
        <f>IF($J3319=0,0,ROUND(MAX($J3319*1.4*1.5*1.6*1.6*2.2*2.715*2.6*1.4*1.4*1.5,12600000000*(1.652953^(MIN($E3319,123)-117)))*1,0))</f>
        <v>3460920</v>
      </c>
      <c r="AE3319" s="13">
        <f>$E3319+24</f>
        <v>124</v>
      </c>
      <c r="AF3319" s="14">
        <f>IF($J3319=0,0,ROUND(MAX($J3319*1.4*1.5*1.6*1.6*2.2*2.715*2.6*1.4*1.4*1.5*1.5,18900000000*(1.65331^(MIN($E3319,123)-117)))*1,0))</f>
        <v>5191380</v>
      </c>
      <c r="AG3319" s="11">
        <f>$E3319+27</f>
        <v>127</v>
      </c>
      <c r="AH3319" s="12">
        <f>IF($J3319=0,0,ROUND(MAX($J3319*1.4*1.5*1.6*1.6*2.2*2.715*2.6*1.4*1.4*1.5*1.5*3.2,60500000000*(1.654288^(MIN($E3319,123)-117)))*1,0))</f>
        <v>16612416</v>
      </c>
    </row>
    <row r="3320" ht="28" customHeight="1" spans="1:34" x14ac:dyDescent="0.25">
      <c r="A3320">
        <v>3330</v>
      </c>
      <c r="B3320" t="s">
        <v>1773</v>
      </c>
      <c r="C3320" s="10" t="s">
        <v>1744</v>
      </c>
      <c r="D3320" t="s">
        <v>40</v>
      </c>
      <c r="E3320">
        <v>100</v>
      </c>
      <c r="F3320" t="s">
        <v>54</v>
      </c>
      <c r="G3320" t="s">
        <v>801</v>
      </c>
      <c r="H3320">
        <v>20</v>
      </c>
      <c r="I3320" s="11">
        <f>$E3320+0</f>
        <v>100</v>
      </c>
      <c r="J3320" s="12">
        <v>13200</v>
      </c>
      <c r="K3320" s="13">
        <f>$E3320+1</f>
        <v>101</v>
      </c>
      <c r="L3320" s="14">
        <f>IF($J3320=0,0,ROUND(MAX($J3320*1.4,1620000*(1.497923^(MIN($E3320,123)-117)))*1,0))</f>
        <v>18480</v>
      </c>
      <c r="M3320" s="11">
        <f>$E3320+2</f>
        <v>102</v>
      </c>
      <c r="N3320" s="12">
        <f>IF($J3320=0,0,ROUND(MAX($J3320*1.4*1.5,2190000*(1.580994^(MIN($E3320,123)-117)))*1,0))</f>
        <v>27720</v>
      </c>
      <c r="O3320" s="13">
        <f>$E3320+4</f>
        <v>104</v>
      </c>
      <c r="P3320" s="14">
        <f>IF($J3320=0,0,ROUND(MAX($J3320*1.4*1.5*1.6,3500000*(1.57975^(MIN($E3320,123)-117)))*1,0))</f>
        <v>44352</v>
      </c>
      <c r="Q3320" s="11">
        <f>$E3320+6</f>
        <v>106</v>
      </c>
      <c r="R3320" s="12">
        <f>IF($J3320=0,0,ROUND(MAX($J3320*1.4*1.5*1.6*1.6,13100000*(1.429962^(MIN($E3320,123)-117)))*1,0))</f>
        <v>70963</v>
      </c>
      <c r="S3320" s="13">
        <f>$E3320+8</f>
        <v>108</v>
      </c>
      <c r="T3320" s="14">
        <f>IF($J3320=0,0,ROUND(MAX($J3320*1.4*1.5*1.6*1.6*2.2,42600000*(1.576904^(MIN($E3320,123)-117)))*1,0))</f>
        <v>156119</v>
      </c>
      <c r="U3320" s="11">
        <f>$E3320+11</f>
        <v>111</v>
      </c>
      <c r="V3320" s="12">
        <f>IF($J3320=0,0,ROUND(MAX($J3320*1.4*1.5*1.6*1.6*2.2*2.715,354000000*(1.642074^(MIN($E3320,123)-117)))*1,0))</f>
        <v>423863</v>
      </c>
      <c r="W3320" s="13">
        <f>$E3320+15</f>
        <v>115</v>
      </c>
      <c r="X3320" s="14">
        <f>IF($J3320=0,0,ROUND(MAX($J3320*1.4*1.5*1.6*1.6*2.2*2.715*2.6,3540000000*(1.579646^(MIN($E3320,123)-117)))*1,0))</f>
        <v>1491033</v>
      </c>
      <c r="Y3320" s="11">
        <f>$E3320+17</f>
        <v>117</v>
      </c>
      <c r="Z3320" s="12">
        <f>IF($J3320=0,0,ROUND(MAX($J3320*1.4*1.5*1.6*1.6*2.2*2.715*2.6*1.4,6020000000*(1.651178^(MIN($E3320,123)-117)))*1,0))</f>
        <v>1542862</v>
      </c>
      <c r="AA3320" s="13">
        <f>$E3320+19</f>
        <v>119</v>
      </c>
      <c r="AB3320" s="14">
        <f>IF($J3320=0,0,ROUND(MAX($J3320*1.4*1.5*1.6*1.6*2.2*2.715*2.6*1.4*1.4,8430000000*(1.651435^(MIN($E3320,123)-117)))*1,0))</f>
        <v>2160007</v>
      </c>
      <c r="AC3320" s="11">
        <f>$E3320+21</f>
        <v>121</v>
      </c>
      <c r="AD3320" s="12">
        <f>IF($J3320=0,0,ROUND(MAX($J3320*1.4*1.5*1.6*1.6*2.2*2.715*2.6*1.4*1.4*1.5,12600000000*(1.652953^(MIN($E3320,123)-117)))*1,0))</f>
        <v>3240010</v>
      </c>
      <c r="AE3320" s="13">
        <f>$E3320+24</f>
        <v>124</v>
      </c>
      <c r="AF3320" s="14">
        <f>IF($J3320=0,0,ROUND(MAX($J3320*1.4*1.5*1.6*1.6*2.2*2.715*2.6*1.4*1.4*1.5*1.5,18900000000*(1.65331^(MIN($E3320,123)-117)))*1,0))</f>
        <v>4860015</v>
      </c>
      <c r="AG3320" s="11">
        <f>$E3320+27</f>
        <v>127</v>
      </c>
      <c r="AH3320" s="12">
        <f>IF($J3320=0,0,ROUND(MAX($J3320*1.4*1.5*1.6*1.6*2.2*2.715*2.6*1.4*1.4*1.5*1.5*3.2,60500000000*(1.654288^(MIN($E3320,123)-117)))*1,0))</f>
        <v>15552049</v>
      </c>
    </row>
    <row r="3321" ht="28" customHeight="1" spans="1:34" x14ac:dyDescent="0.25">
      <c r="A3321">
        <v>3331</v>
      </c>
      <c r="B3321" t="s">
        <v>248</v>
      </c>
      <c r="C3321" s="10" t="s">
        <v>1744</v>
      </c>
      <c r="D3321" t="s">
        <v>33</v>
      </c>
      <c r="E3321">
        <v>100</v>
      </c>
      <c r="F3321" t="s">
        <v>54</v>
      </c>
      <c r="G3321" t="s">
        <v>95</v>
      </c>
      <c r="H3321">
        <v>20</v>
      </c>
      <c r="I3321" s="11">
        <f>$E3321+0</f>
        <v>100</v>
      </c>
      <c r="J3321" s="12">
        <v>18600</v>
      </c>
      <c r="K3321" s="13">
        <f>$E3321+1</f>
        <v>101</v>
      </c>
      <c r="L3321" s="14">
        <f>IF($J3321=0,0,ROUND(MAX($J3321*1.4,1620000*(1.497923^(MIN($E3321,123)-117)))*1,0))</f>
        <v>26040</v>
      </c>
      <c r="M3321" s="11">
        <f>$E3321+2</f>
        <v>102</v>
      </c>
      <c r="N3321" s="12">
        <f>IF($J3321=0,0,ROUND(MAX($J3321*1.4*1.5,2190000*(1.580994^(MIN($E3321,123)-117)))*1,0))</f>
        <v>39060</v>
      </c>
      <c r="O3321" s="13">
        <f>$E3321+4</f>
        <v>104</v>
      </c>
      <c r="P3321" s="14">
        <f>IF($J3321=0,0,ROUND(MAX($J3321*1.4*1.5*1.6,3500000*(1.57975^(MIN($E3321,123)-117)))*1,0))</f>
        <v>62496</v>
      </c>
      <c r="Q3321" s="11">
        <f>$E3321+6</f>
        <v>106</v>
      </c>
      <c r="R3321" s="12">
        <f>IF($J3321=0,0,ROUND(MAX($J3321*1.4*1.5*1.6*1.6,13100000*(1.429962^(MIN($E3321,123)-117)))*1,0))</f>
        <v>99994</v>
      </c>
      <c r="S3321" s="13">
        <f>$E3321+8</f>
        <v>108</v>
      </c>
      <c r="T3321" s="14">
        <f>IF($J3321=0,0,ROUND(MAX($J3321*1.4*1.5*1.6*1.6*2.2,42600000*(1.576904^(MIN($E3321,123)-117)))*1,0))</f>
        <v>219986</v>
      </c>
      <c r="U3321" s="11">
        <f>$E3321+11</f>
        <v>111</v>
      </c>
      <c r="V3321" s="12">
        <f>IF($J3321=0,0,ROUND(MAX($J3321*1.4*1.5*1.6*1.6*2.2*2.715,354000000*(1.642074^(MIN($E3321,123)-117)))*1,0))</f>
        <v>597262</v>
      </c>
      <c r="W3321" s="13">
        <f>$E3321+15</f>
        <v>115</v>
      </c>
      <c r="X3321" s="14">
        <f>IF($J3321=0,0,ROUND(MAX($J3321*1.4*1.5*1.6*1.6*2.2*2.715*2.6,3540000000*(1.579646^(MIN($E3321,123)-117)))*1,0))</f>
        <v>1552881</v>
      </c>
      <c r="Y3321" s="11">
        <f>$E3321+17</f>
        <v>117</v>
      </c>
      <c r="Z3321" s="12">
        <f>IF($J3321=0,0,ROUND(MAX($J3321*1.4*1.5*1.6*1.6*2.2*2.715*2.6*1.4,6020000000*(1.651178^(MIN($E3321,123)-117)))*1,0))</f>
        <v>2174033</v>
      </c>
      <c r="AA3321" s="13">
        <f>$E3321+19</f>
        <v>119</v>
      </c>
      <c r="AB3321" s="14">
        <f>IF($J3321=0,0,ROUND(MAX($J3321*1.4*1.5*1.6*1.6*2.2*2.715*2.6*1.4*1.4,8430000000*(1.651435^(MIN($E3321,123)-117)))*1,0))</f>
        <v>3043646</v>
      </c>
      <c r="AC3321" s="11">
        <f>$E3321+21</f>
        <v>121</v>
      </c>
      <c r="AD3321" s="12">
        <f>IF($J3321=0,0,ROUND(MAX($J3321*1.4*1.5*1.6*1.6*2.2*2.715*2.6*1.4*1.4*1.5,12600000000*(1.652953^(MIN($E3321,123)-117)))*1,0))</f>
        <v>4565469</v>
      </c>
      <c r="AE3321" s="13">
        <f>$E3321+24</f>
        <v>124</v>
      </c>
      <c r="AF3321" s="14">
        <f>IF($J3321=0,0,ROUND(MAX($J3321*1.4*1.5*1.6*1.6*2.2*2.715*2.6*1.4*1.4*1.5*1.5,18900000000*(1.65331^(MIN($E3321,123)-117)))*1,0))</f>
        <v>6848203</v>
      </c>
      <c r="AG3321" s="11">
        <f>$E3321+27</f>
        <v>127</v>
      </c>
      <c r="AH3321" s="12">
        <f>IF($J3321=0,0,ROUND(MAX($J3321*1.4*1.5*1.6*1.6*2.2*2.715*2.6*1.4*1.4*1.5*1.5*3.2,60500000000*(1.654288^(MIN($E3321,123)-117)))*1,0))</f>
        <v>21914251</v>
      </c>
    </row>
    <row r="3322" ht="28" customHeight="1" spans="1:34" x14ac:dyDescent="0.25">
      <c r="A3322">
        <v>3332</v>
      </c>
      <c r="B3322" t="s">
        <v>1289</v>
      </c>
      <c r="C3322" s="10" t="s">
        <v>1744</v>
      </c>
      <c r="D3322" t="s">
        <v>33</v>
      </c>
      <c r="E3322">
        <v>100</v>
      </c>
      <c r="F3322" t="s">
        <v>56</v>
      </c>
      <c r="G3322" t="s">
        <v>51</v>
      </c>
      <c r="H3322">
        <v>20</v>
      </c>
      <c r="I3322" s="11">
        <f>$E3322+0</f>
        <v>100</v>
      </c>
      <c r="J3322" s="12">
        <v>16900</v>
      </c>
      <c r="K3322" s="13">
        <f>$E3322+1</f>
        <v>101</v>
      </c>
      <c r="L3322" s="14">
        <f>IF($J3322=0,0,ROUND(MAX($J3322*1.4,1620000*(1.497923^(MIN($E3322,123)-117)))*1,0))</f>
        <v>23660</v>
      </c>
      <c r="M3322" s="11">
        <f>$E3322+2</f>
        <v>102</v>
      </c>
      <c r="N3322" s="12">
        <f>IF($J3322=0,0,ROUND(MAX($J3322*1.4*1.5,2190000*(1.580994^(MIN($E3322,123)-117)))*1,0))</f>
        <v>35490</v>
      </c>
      <c r="O3322" s="13">
        <f>$E3322+4</f>
        <v>104</v>
      </c>
      <c r="P3322" s="14">
        <f>IF($J3322=0,0,ROUND(MAX($J3322*1.4*1.5*1.6,3500000*(1.57975^(MIN($E3322,123)-117)))*1,0))</f>
        <v>56784</v>
      </c>
      <c r="Q3322" s="11">
        <f>$E3322+6</f>
        <v>106</v>
      </c>
      <c r="R3322" s="12">
        <f>IF($J3322=0,0,ROUND(MAX($J3322*1.4*1.5*1.6*1.6,13100000*(1.429962^(MIN($E3322,123)-117)))*1,0))</f>
        <v>90854</v>
      </c>
      <c r="S3322" s="13">
        <f>$E3322+8</f>
        <v>108</v>
      </c>
      <c r="T3322" s="14">
        <f>IF($J3322=0,0,ROUND(MAX($J3322*1.4*1.5*1.6*1.6*2.2,42600000*(1.576904^(MIN($E3322,123)-117)))*1,0))</f>
        <v>199880</v>
      </c>
      <c r="U3322" s="11">
        <f>$E3322+11</f>
        <v>111</v>
      </c>
      <c r="V3322" s="12">
        <f>IF($J3322=0,0,ROUND(MAX($J3322*1.4*1.5*1.6*1.6*2.2*2.715,354000000*(1.642074^(MIN($E3322,123)-117)))*1,0))</f>
        <v>542673</v>
      </c>
      <c r="W3322" s="13">
        <f>$E3322+15</f>
        <v>115</v>
      </c>
      <c r="X3322" s="14">
        <f>IF($J3322=0,0,ROUND(MAX($J3322*1.4*1.5*1.6*1.6*2.2*2.715*2.6,3540000000*(1.579646^(MIN($E3322,123)-117)))*1,0))</f>
        <v>1491033</v>
      </c>
      <c r="Y3322" s="11">
        <f>$E3322+17</f>
        <v>117</v>
      </c>
      <c r="Z3322" s="12">
        <f>IF($J3322=0,0,ROUND(MAX($J3322*1.4*1.5*1.6*1.6*2.2*2.715*2.6*1.4,6020000000*(1.651178^(MIN($E3322,123)-117)))*1,0))</f>
        <v>1975331</v>
      </c>
      <c r="AA3322" s="13">
        <f>$E3322+19</f>
        <v>119</v>
      </c>
      <c r="AB3322" s="14">
        <f>IF($J3322=0,0,ROUND(MAX($J3322*1.4*1.5*1.6*1.6*2.2*2.715*2.6*1.4*1.4,8430000000*(1.651435^(MIN($E3322,123)-117)))*1,0))</f>
        <v>2765463</v>
      </c>
      <c r="AC3322" s="11">
        <f>$E3322+21</f>
        <v>121</v>
      </c>
      <c r="AD3322" s="12">
        <f>IF($J3322=0,0,ROUND(MAX($J3322*1.4*1.5*1.6*1.6*2.2*2.715*2.6*1.4*1.4*1.5,12600000000*(1.652953^(MIN($E3322,123)-117)))*1,0))</f>
        <v>4148195</v>
      </c>
      <c r="AE3322" s="13">
        <f>$E3322+24</f>
        <v>124</v>
      </c>
      <c r="AF3322" s="14">
        <f>IF($J3322=0,0,ROUND(MAX($J3322*1.4*1.5*1.6*1.6*2.2*2.715*2.6*1.4*1.4*1.5*1.5,18900000000*(1.65331^(MIN($E3322,123)-117)))*1,0))</f>
        <v>6222292</v>
      </c>
      <c r="AG3322" s="11">
        <f>$E3322+27</f>
        <v>127</v>
      </c>
      <c r="AH3322" s="12">
        <f>IF($J3322=0,0,ROUND(MAX($J3322*1.4*1.5*1.6*1.6*2.2*2.715*2.6*1.4*1.4*1.5*1.5*3.2,60500000000*(1.654288^(MIN($E3322,123)-117)))*1,0))</f>
        <v>19911336</v>
      </c>
    </row>
    <row r="3323" ht="28" customHeight="1" spans="1:34" x14ac:dyDescent="0.25">
      <c r="A3323">
        <v>3333</v>
      </c>
      <c r="B3323" t="s">
        <v>842</v>
      </c>
      <c r="C3323" s="10" t="s">
        <v>1744</v>
      </c>
      <c r="D3323" t="s">
        <v>241</v>
      </c>
      <c r="E3323">
        <v>100</v>
      </c>
      <c r="F3323" t="s">
        <v>71</v>
      </c>
      <c r="G3323" t="s">
        <v>104</v>
      </c>
      <c r="H3323">
        <v>20</v>
      </c>
      <c r="I3323" s="11">
        <f>$E3323+0</f>
        <v>100</v>
      </c>
      <c r="J3323" s="12">
        <v>28200</v>
      </c>
      <c r="K3323" s="13">
        <f>$E3323+1</f>
        <v>101</v>
      </c>
      <c r="L3323" s="14">
        <f>IF($J3323=0,0,ROUND(MAX($J3323*1.4,1620000*(1.497923^(MIN($E3323,123)-117)))*1,0))</f>
        <v>39480</v>
      </c>
      <c r="M3323" s="11">
        <f>$E3323+2</f>
        <v>102</v>
      </c>
      <c r="N3323" s="12">
        <f>IF($J3323=0,0,ROUND(MAX($J3323*1.4*1.5,2190000*(1.580994^(MIN($E3323,123)-117)))*1,0))</f>
        <v>59220</v>
      </c>
      <c r="O3323" s="13">
        <f>$E3323+4</f>
        <v>104</v>
      </c>
      <c r="P3323" s="14">
        <f>IF($J3323=0,0,ROUND(MAX($J3323*1.4*1.5*1.6,3500000*(1.57975^(MIN($E3323,123)-117)))*1,0))</f>
        <v>94752</v>
      </c>
      <c r="Q3323" s="11">
        <f>$E3323+6</f>
        <v>106</v>
      </c>
      <c r="R3323" s="12">
        <f>IF($J3323=0,0,ROUND(MAX($J3323*1.4*1.5*1.6*1.6,13100000*(1.429962^(MIN($E3323,123)-117)))*1,0))</f>
        <v>151603</v>
      </c>
      <c r="S3323" s="13">
        <f>$E3323+8</f>
        <v>108</v>
      </c>
      <c r="T3323" s="14">
        <f>IF($J3323=0,0,ROUND(MAX($J3323*1.4*1.5*1.6*1.6*2.2,42600000*(1.576904^(MIN($E3323,123)-117)))*1,0))</f>
        <v>333527</v>
      </c>
      <c r="U3323" s="11">
        <f>$E3323+11</f>
        <v>111</v>
      </c>
      <c r="V3323" s="12">
        <f>IF($J3323=0,0,ROUND(MAX($J3323*1.4*1.5*1.6*1.6*2.2*2.715,354000000*(1.642074^(MIN($E3323,123)-117)))*1,0))</f>
        <v>905526</v>
      </c>
      <c r="W3323" s="13">
        <f>$E3323+15</f>
        <v>115</v>
      </c>
      <c r="X3323" s="14">
        <f>IF($J3323=0,0,ROUND(MAX($J3323*1.4*1.5*1.6*1.6*2.2*2.715*2.6,3540000000*(1.579646^(MIN($E3323,123)-117)))*1,0))</f>
        <v>2354367</v>
      </c>
      <c r="Y3323" s="11">
        <f>$E3323+17</f>
        <v>117</v>
      </c>
      <c r="Z3323" s="12">
        <f>IF($J3323=0,0,ROUND(MAX($J3323*1.4*1.5*1.6*1.6*2.2*2.715*2.6*1.4,6020000000*(1.651178^(MIN($E3323,123)-117)))*1,0))</f>
        <v>3296114</v>
      </c>
      <c r="AA3323" s="13">
        <f>$E3323+19</f>
        <v>119</v>
      </c>
      <c r="AB3323" s="14">
        <f>IF($J3323=0,0,ROUND(MAX($J3323*1.4*1.5*1.6*1.6*2.2*2.715*2.6*1.4*1.4,8430000000*(1.651435^(MIN($E3323,123)-117)))*1,0))</f>
        <v>4614560</v>
      </c>
      <c r="AC3323" s="11">
        <f>$E3323+21</f>
        <v>121</v>
      </c>
      <c r="AD3323" s="12">
        <f>IF($J3323=0,0,ROUND(MAX($J3323*1.4*1.5*1.6*1.6*2.2*2.715*2.6*1.4*1.4*1.5,12600000000*(1.652953^(MIN($E3323,123)-117)))*1,0))</f>
        <v>6921840</v>
      </c>
      <c r="AE3323" s="13">
        <f>$E3323+24</f>
        <v>124</v>
      </c>
      <c r="AF3323" s="14">
        <f>IF($J3323=0,0,ROUND(MAX($J3323*1.4*1.5*1.6*1.6*2.2*2.715*2.6*1.4*1.4*1.5*1.5,18900000000*(1.65331^(MIN($E3323,123)-117)))*1,0))</f>
        <v>10382760</v>
      </c>
      <c r="AG3323" s="11">
        <f>$E3323+27</f>
        <v>127</v>
      </c>
      <c r="AH3323" s="12">
        <f>IF($J3323=0,0,ROUND(MAX($J3323*1.4*1.5*1.6*1.6*2.2*2.715*2.6*1.4*1.4*1.5*1.5*3.2,60500000000*(1.654288^(MIN($E3323,123)-117)))*1,0))</f>
        <v>33224832</v>
      </c>
    </row>
    <row r="3324" ht="28" customHeight="1" spans="1:34" x14ac:dyDescent="0.25">
      <c r="A3324">
        <v>3334</v>
      </c>
      <c r="B3324" t="s">
        <v>981</v>
      </c>
      <c r="C3324" s="10" t="s">
        <v>1744</v>
      </c>
      <c r="D3324" t="s">
        <v>165</v>
      </c>
      <c r="E3324">
        <v>100</v>
      </c>
      <c r="F3324" t="s">
        <v>71</v>
      </c>
      <c r="G3324" t="s">
        <v>982</v>
      </c>
      <c r="H3324">
        <v>20</v>
      </c>
      <c r="I3324" s="11">
        <f>$E3324+0</f>
        <v>100</v>
      </c>
      <c r="J3324" s="12">
        <v>13000</v>
      </c>
      <c r="K3324" s="13">
        <f>$E3324+1</f>
        <v>101</v>
      </c>
      <c r="L3324" s="14">
        <f>IF($J3324=0,0,ROUND(MAX($J3324*1.4,1620000*(1.497923^(MIN($E3324,123)-117)))*1,0))</f>
        <v>18200</v>
      </c>
      <c r="M3324" s="11">
        <f>$E3324+2</f>
        <v>102</v>
      </c>
      <c r="N3324" s="12">
        <f>IF($J3324=0,0,ROUND(MAX($J3324*1.4*1.5,2190000*(1.580994^(MIN($E3324,123)-117)))*1,0))</f>
        <v>27300</v>
      </c>
      <c r="O3324" s="13">
        <f>$E3324+4</f>
        <v>104</v>
      </c>
      <c r="P3324" s="14">
        <f>IF($J3324=0,0,ROUND(MAX($J3324*1.4*1.5*1.6,3500000*(1.57975^(MIN($E3324,123)-117)))*1,0))</f>
        <v>43680</v>
      </c>
      <c r="Q3324" s="11">
        <f>$E3324+6</f>
        <v>106</v>
      </c>
      <c r="R3324" s="12">
        <f>IF($J3324=0,0,ROUND(MAX($J3324*1.4*1.5*1.6*1.6,13100000*(1.429962^(MIN($E3324,123)-117)))*1,0))</f>
        <v>69888</v>
      </c>
      <c r="S3324" s="13">
        <f>$E3324+8</f>
        <v>108</v>
      </c>
      <c r="T3324" s="14">
        <f>IF($J3324=0,0,ROUND(MAX($J3324*1.4*1.5*1.6*1.6*2.2,42600000*(1.576904^(MIN($E3324,123)-117)))*1,0))</f>
        <v>153754</v>
      </c>
      <c r="U3324" s="11">
        <f>$E3324+11</f>
        <v>111</v>
      </c>
      <c r="V3324" s="12">
        <f>IF($J3324=0,0,ROUND(MAX($J3324*1.4*1.5*1.6*1.6*2.2*2.715,354000000*(1.642074^(MIN($E3324,123)-117)))*1,0))</f>
        <v>417441</v>
      </c>
      <c r="W3324" s="13">
        <f>$E3324+15</f>
        <v>115</v>
      </c>
      <c r="X3324" s="14">
        <f>IF($J3324=0,0,ROUND(MAX($J3324*1.4*1.5*1.6*1.6*2.2*2.715*2.6,3540000000*(1.579646^(MIN($E3324,123)-117)))*1,0))</f>
        <v>1491033</v>
      </c>
      <c r="Y3324" s="11">
        <f>$E3324+17</f>
        <v>117</v>
      </c>
      <c r="Z3324" s="12">
        <f>IF($J3324=0,0,ROUND(MAX($J3324*1.4*1.5*1.6*1.6*2.2*2.715*2.6*1.4,6020000000*(1.651178^(MIN($E3324,123)-117)))*1,0))</f>
        <v>1519485</v>
      </c>
      <c r="AA3324" s="13">
        <f>$E3324+19</f>
        <v>119</v>
      </c>
      <c r="AB3324" s="14">
        <f>IF($J3324=0,0,ROUND(MAX($J3324*1.4*1.5*1.6*1.6*2.2*2.715*2.6*1.4*1.4,8430000000*(1.651435^(MIN($E3324,123)-117)))*1,0))</f>
        <v>2127279</v>
      </c>
      <c r="AC3324" s="11">
        <f>$E3324+21</f>
        <v>121</v>
      </c>
      <c r="AD3324" s="12">
        <f>IF($J3324=0,0,ROUND(MAX($J3324*1.4*1.5*1.6*1.6*2.2*2.715*2.6*1.4*1.4*1.5,12600000000*(1.652953^(MIN($E3324,123)-117)))*1,0))</f>
        <v>3190919</v>
      </c>
      <c r="AE3324" s="13">
        <f>$E3324+24</f>
        <v>124</v>
      </c>
      <c r="AF3324" s="14">
        <f>IF($J3324=0,0,ROUND(MAX($J3324*1.4*1.5*1.6*1.6*2.2*2.715*2.6*1.4*1.4*1.5*1.5,18900000000*(1.65331^(MIN($E3324,123)-117)))*1,0))</f>
        <v>4786379</v>
      </c>
      <c r="AG3324" s="11">
        <f>$E3324+27</f>
        <v>127</v>
      </c>
      <c r="AH3324" s="12">
        <f>IF($J3324=0,0,ROUND(MAX($J3324*1.4*1.5*1.6*1.6*2.2*2.715*2.6*1.4*1.4*1.5*1.5*3.2,60500000000*(1.654288^(MIN($E3324,123)-117)))*1,0))</f>
        <v>15316412</v>
      </c>
    </row>
    <row r="3325" ht="28" customHeight="1" spans="1:34" x14ac:dyDescent="0.25">
      <c r="A3325">
        <v>3335</v>
      </c>
      <c r="B3325" t="s">
        <v>1774</v>
      </c>
      <c r="C3325" s="10" t="s">
        <v>1744</v>
      </c>
      <c r="D3325" t="s">
        <v>47</v>
      </c>
      <c r="E3325">
        <v>100</v>
      </c>
      <c r="F3325" t="s">
        <v>62</v>
      </c>
      <c r="G3325" t="s">
        <v>1050</v>
      </c>
      <c r="H3325">
        <v>18</v>
      </c>
      <c r="I3325" s="11">
        <f>$E3325+0</f>
        <v>100</v>
      </c>
      <c r="J3325" s="12">
        <v>22200</v>
      </c>
      <c r="K3325" s="13">
        <f>$E3325+1</f>
        <v>101</v>
      </c>
      <c r="L3325" s="14">
        <f>IF($J3325=0,0,ROUND(MAX($J3325*1.4,1620000*(1.497923^(MIN($E3325,123)-117)))*1,0))</f>
        <v>31080</v>
      </c>
      <c r="M3325" s="11">
        <f>$E3325+2</f>
        <v>102</v>
      </c>
      <c r="N3325" s="12">
        <f>IF($J3325=0,0,ROUND(MAX($J3325*1.4*1.5,2190000*(1.580994^(MIN($E3325,123)-117)))*1,0))</f>
        <v>46620</v>
      </c>
      <c r="O3325" s="13">
        <f>$E3325+4</f>
        <v>104</v>
      </c>
      <c r="P3325" s="14">
        <f>IF($J3325=0,0,ROUND(MAX($J3325*1.4*1.5*1.6,3500000*(1.57975^(MIN($E3325,123)-117)))*1,0))</f>
        <v>74592</v>
      </c>
      <c r="Q3325" s="11">
        <f>$E3325+6</f>
        <v>106</v>
      </c>
      <c r="R3325" s="12">
        <f>IF($J3325=0,0,ROUND(MAX($J3325*1.4*1.5*1.6*1.6,13100000*(1.429962^(MIN($E3325,123)-117)))*1,0))</f>
        <v>119347</v>
      </c>
      <c r="S3325" s="13">
        <f>$E3325+8</f>
        <v>108</v>
      </c>
      <c r="T3325" s="14">
        <f>IF($J3325=0,0,ROUND(MAX($J3325*1.4*1.5*1.6*1.6*2.2,42600000*(1.576904^(MIN($E3325,123)-117)))*1,0))</f>
        <v>262564</v>
      </c>
      <c r="U3325" s="11">
        <f>$E3325+11</f>
        <v>111</v>
      </c>
      <c r="V3325" s="12">
        <f>IF($J3325=0,0,ROUND(MAX($J3325*1.4*1.5*1.6*1.6*2.2*2.715,354000000*(1.642074^(MIN($E3325,123)-117)))*1,0))</f>
        <v>712861</v>
      </c>
      <c r="W3325" s="13">
        <f>$E3325+15</f>
        <v>115</v>
      </c>
      <c r="X3325" s="14">
        <f>IF($J3325=0,0,ROUND(MAX($J3325*1.4*1.5*1.6*1.6*2.2*2.715*2.6,3540000000*(1.579646^(MIN($E3325,123)-117)))*1,0))</f>
        <v>1853438</v>
      </c>
      <c r="Y3325" s="11">
        <f>$E3325+17</f>
        <v>117</v>
      </c>
      <c r="Z3325" s="12">
        <f>IF($J3325=0,0,ROUND(MAX($J3325*1.4*1.5*1.6*1.6*2.2*2.715*2.6*1.4,6020000000*(1.651178^(MIN($E3325,123)-117)))*1,0))</f>
        <v>2594813</v>
      </c>
      <c r="AA3325" s="13">
        <f>$E3325+19</f>
        <v>119</v>
      </c>
      <c r="AB3325" s="14">
        <f>IF($J3325=0,0,ROUND(MAX($J3325*1.4*1.5*1.6*1.6*2.2*2.715*2.6*1.4*1.4,8430000000*(1.651435^(MIN($E3325,123)-117)))*1,0))</f>
        <v>3632739</v>
      </c>
      <c r="AC3325" s="11">
        <f>$E3325+21</f>
        <v>121</v>
      </c>
      <c r="AD3325" s="12">
        <f>IF($J3325=0,0,ROUND(MAX($J3325*1.4*1.5*1.6*1.6*2.2*2.715*2.6*1.4*1.4*1.5,12600000000*(1.652953^(MIN($E3325,123)-117)))*1,0))</f>
        <v>5449108</v>
      </c>
      <c r="AE3325" s="13">
        <f>$E3325+24</f>
        <v>124</v>
      </c>
      <c r="AF3325" s="14">
        <f>IF($J3325=0,0,ROUND(MAX($J3325*1.4*1.5*1.6*1.6*2.2*2.715*2.6*1.4*1.4*1.5*1.5,18900000000*(1.65331^(MIN($E3325,123)-117)))*1,0))</f>
        <v>8173662</v>
      </c>
      <c r="AG3325" s="11">
        <f>$E3325+27</f>
        <v>127</v>
      </c>
      <c r="AH3325" s="12">
        <f>IF($J3325=0,0,ROUND(MAX($J3325*1.4*1.5*1.6*1.6*2.2*2.715*2.6*1.4*1.4*1.5*1.5*3.2,60500000000*(1.654288^(MIN($E3325,123)-117)))*1,0))</f>
        <v>26155719</v>
      </c>
    </row>
    <row r="3326" ht="28" customHeight="1" spans="1:34" x14ac:dyDescent="0.25">
      <c r="A3326">
        <v>3336</v>
      </c>
      <c r="B3326" t="s">
        <v>1201</v>
      </c>
      <c r="C3326" s="10" t="s">
        <v>1744</v>
      </c>
      <c r="D3326" t="s">
        <v>64</v>
      </c>
      <c r="E3326">
        <v>99</v>
      </c>
      <c r="F3326" t="s">
        <v>225</v>
      </c>
      <c r="G3326" t="s">
        <v>319</v>
      </c>
      <c r="H3326">
        <v>20</v>
      </c>
      <c r="I3326" s="11">
        <f>$E3326+0</f>
        <v>99</v>
      </c>
      <c r="J3326" s="12">
        <v>25500</v>
      </c>
      <c r="K3326" s="13">
        <f>$E3326+1</f>
        <v>100</v>
      </c>
      <c r="L3326" s="14">
        <f>IF($J3326=0,0,ROUND(MAX($J3326*1.4,1620000*(1.497923^(MIN($E3326,123)-117)))*1,0))</f>
        <v>35700</v>
      </c>
      <c r="M3326" s="11">
        <f>$E3326+2</f>
        <v>101</v>
      </c>
      <c r="N3326" s="12">
        <f>IF($J3326=0,0,ROUND(MAX($J3326*1.4*1.5,2190000*(1.580994^(MIN($E3326,123)-117)))*1,0))</f>
        <v>53550</v>
      </c>
      <c r="O3326" s="13">
        <f>$E3326+4</f>
        <v>103</v>
      </c>
      <c r="P3326" s="14">
        <f>IF($J3326=0,0,ROUND(MAX($J3326*1.4*1.5*1.6,3500000*(1.57975^(MIN($E3326,123)-117)))*1,0))</f>
        <v>85680</v>
      </c>
      <c r="Q3326" s="11">
        <f>$E3326+6</f>
        <v>105</v>
      </c>
      <c r="R3326" s="12">
        <f>IF($J3326=0,0,ROUND(MAX($J3326*1.4*1.5*1.6*1.6,13100000*(1.429962^(MIN($E3326,123)-117)))*1,0))</f>
        <v>137088</v>
      </c>
      <c r="S3326" s="13">
        <f>$E3326+8</f>
        <v>107</v>
      </c>
      <c r="T3326" s="14">
        <f>IF($J3326=0,0,ROUND(MAX($J3326*1.4*1.5*1.6*1.6*2.2,42600000*(1.576904^(MIN($E3326,123)-117)))*1,0))</f>
        <v>301594</v>
      </c>
      <c r="U3326" s="11">
        <f>$E3326+11</f>
        <v>110</v>
      </c>
      <c r="V3326" s="12">
        <f>IF($J3326=0,0,ROUND(MAX($J3326*1.4*1.5*1.6*1.6*2.2*2.715,354000000*(1.642074^(MIN($E3326,123)-117)))*1,0))</f>
        <v>818827</v>
      </c>
      <c r="W3326" s="13">
        <f>$E3326+15</f>
        <v>114</v>
      </c>
      <c r="X3326" s="14">
        <f>IF($J3326=0,0,ROUND(MAX($J3326*1.4*1.5*1.6*1.6*2.2*2.715*2.6,3540000000*(1.579646^(MIN($E3326,123)-117)))*1,0))</f>
        <v>2128949</v>
      </c>
      <c r="Y3326" s="11">
        <f>$E3326+17</f>
        <v>116</v>
      </c>
      <c r="Z3326" s="12">
        <f>IF($J3326=0,0,ROUND(MAX($J3326*1.4*1.5*1.6*1.6*2.2*2.715*2.6*1.4,6020000000*(1.651178^(MIN($E3326,123)-117)))*1,0))</f>
        <v>2980529</v>
      </c>
      <c r="AA3326" s="13">
        <f>$E3326+19</f>
        <v>118</v>
      </c>
      <c r="AB3326" s="14">
        <f>IF($J3326=0,0,ROUND(MAX($J3326*1.4*1.5*1.6*1.6*2.2*2.715*2.6*1.4*1.4,8430000000*(1.651435^(MIN($E3326,123)-117)))*1,0))</f>
        <v>4172740</v>
      </c>
      <c r="AC3326" s="11">
        <f>$E3326+21</f>
        <v>120</v>
      </c>
      <c r="AD3326" s="12">
        <f>IF($J3326=0,0,ROUND(MAX($J3326*1.4*1.5*1.6*1.6*2.2*2.715*2.6*1.4*1.4*1.5,12600000000*(1.652953^(MIN($E3326,123)-117)))*1,0))</f>
        <v>6259111</v>
      </c>
      <c r="AE3326" s="13">
        <f>$E3326+24</f>
        <v>123</v>
      </c>
      <c r="AF3326" s="14">
        <f>IF($J3326=0,0,ROUND(MAX($J3326*1.4*1.5*1.6*1.6*2.2*2.715*2.6*1.4*1.4*1.5*1.5,18900000000*(1.65331^(MIN($E3326,123)-117)))*1,0))</f>
        <v>9388666</v>
      </c>
      <c r="AG3326" s="11">
        <f>$E3326+27</f>
        <v>126</v>
      </c>
      <c r="AH3326" s="12">
        <f>IF($J3326=0,0,ROUND(MAX($J3326*1.4*1.5*1.6*1.6*2.2*2.715*2.6*1.4*1.4*1.5*1.5*3.2,60500000000*(1.654288^(MIN($E3326,123)-117)))*1,0))</f>
        <v>30043731</v>
      </c>
    </row>
    <row r="3327" ht="28" customHeight="1" spans="1:34" x14ac:dyDescent="0.25">
      <c r="A3327">
        <v>3337</v>
      </c>
      <c r="B3327" t="s">
        <v>1775</v>
      </c>
      <c r="C3327" s="10" t="s">
        <v>1744</v>
      </c>
      <c r="D3327" t="s">
        <v>93</v>
      </c>
      <c r="E3327">
        <v>99</v>
      </c>
      <c r="F3327" t="s">
        <v>59</v>
      </c>
      <c r="G3327" t="s">
        <v>1545</v>
      </c>
      <c r="H3327">
        <v>20</v>
      </c>
      <c r="I3327" s="11">
        <f>$E3327+0</f>
        <v>99</v>
      </c>
      <c r="J3327" s="12">
        <v>19000</v>
      </c>
      <c r="K3327" s="13">
        <f>$E3327+1</f>
        <v>100</v>
      </c>
      <c r="L3327" s="14">
        <f>IF($J3327=0,0,ROUND(MAX($J3327*1.4,1620000*(1.497923^(MIN($E3327,123)-117)))*1,0))</f>
        <v>26600</v>
      </c>
      <c r="M3327" s="11">
        <f>$E3327+2</f>
        <v>101</v>
      </c>
      <c r="N3327" s="12">
        <f>IF($J3327=0,0,ROUND(MAX($J3327*1.4*1.5,2190000*(1.580994^(MIN($E3327,123)-117)))*1,0))</f>
        <v>39900</v>
      </c>
      <c r="O3327" s="13">
        <f>$E3327+4</f>
        <v>103</v>
      </c>
      <c r="P3327" s="14">
        <f>IF($J3327=0,0,ROUND(MAX($J3327*1.4*1.5*1.6,3500000*(1.57975^(MIN($E3327,123)-117)))*1,0))</f>
        <v>63840</v>
      </c>
      <c r="Q3327" s="11">
        <f>$E3327+6</f>
        <v>105</v>
      </c>
      <c r="R3327" s="12">
        <f>IF($J3327=0,0,ROUND(MAX($J3327*1.4*1.5*1.6*1.6,13100000*(1.429962^(MIN($E3327,123)-117)))*1,0))</f>
        <v>102144</v>
      </c>
      <c r="S3327" s="13">
        <f>$E3327+8</f>
        <v>107</v>
      </c>
      <c r="T3327" s="14">
        <f>IF($J3327=0,0,ROUND(MAX($J3327*1.4*1.5*1.6*1.6*2.2,42600000*(1.576904^(MIN($E3327,123)-117)))*1,0))</f>
        <v>224717</v>
      </c>
      <c r="U3327" s="11">
        <f>$E3327+11</f>
        <v>110</v>
      </c>
      <c r="V3327" s="12">
        <f>IF($J3327=0,0,ROUND(MAX($J3327*1.4*1.5*1.6*1.6*2.2*2.715,354000000*(1.642074^(MIN($E3327,123)-117)))*1,0))</f>
        <v>610106</v>
      </c>
      <c r="W3327" s="13">
        <f>$E3327+15</f>
        <v>114</v>
      </c>
      <c r="X3327" s="14">
        <f>IF($J3327=0,0,ROUND(MAX($J3327*1.4*1.5*1.6*1.6*2.2*2.715*2.6,3540000000*(1.579646^(MIN($E3327,123)-117)))*1,0))</f>
        <v>1586276</v>
      </c>
      <c r="Y3327" s="11">
        <f>$E3327+17</f>
        <v>116</v>
      </c>
      <c r="Z3327" s="12">
        <f>IF($J3327=0,0,ROUND(MAX($J3327*1.4*1.5*1.6*1.6*2.2*2.715*2.6*1.4,6020000000*(1.651178^(MIN($E3327,123)-117)))*1,0))</f>
        <v>2220786</v>
      </c>
      <c r="AA3327" s="13">
        <f>$E3327+19</f>
        <v>118</v>
      </c>
      <c r="AB3327" s="14">
        <f>IF($J3327=0,0,ROUND(MAX($J3327*1.4*1.5*1.6*1.6*2.2*2.715*2.6*1.4*1.4,8430000000*(1.651435^(MIN($E3327,123)-117)))*1,0))</f>
        <v>3109101</v>
      </c>
      <c r="AC3327" s="11">
        <f>$E3327+21</f>
        <v>120</v>
      </c>
      <c r="AD3327" s="12">
        <f>IF($J3327=0,0,ROUND(MAX($J3327*1.4*1.5*1.6*1.6*2.2*2.715*2.6*1.4*1.4*1.5,12600000000*(1.652953^(MIN($E3327,123)-117)))*1,0))</f>
        <v>4663651</v>
      </c>
      <c r="AE3327" s="13">
        <f>$E3327+24</f>
        <v>123</v>
      </c>
      <c r="AF3327" s="14">
        <f>IF($J3327=0,0,ROUND(MAX($J3327*1.4*1.5*1.6*1.6*2.2*2.715*2.6*1.4*1.4*1.5*1.5,18900000000*(1.65331^(MIN($E3327,123)-117)))*1,0))</f>
        <v>6995477</v>
      </c>
      <c r="AG3327" s="11">
        <f>$E3327+27</f>
        <v>126</v>
      </c>
      <c r="AH3327" s="12">
        <f>IF($J3327=0,0,ROUND(MAX($J3327*1.4*1.5*1.6*1.6*2.2*2.715*2.6*1.4*1.4*1.5*1.5*3.2,60500000000*(1.654288^(MIN($E3327,123)-117)))*1,0))</f>
        <v>22385525</v>
      </c>
    </row>
    <row r="3328" ht="28" customHeight="1" spans="1:34" x14ac:dyDescent="0.25">
      <c r="A3328">
        <v>3338</v>
      </c>
      <c r="B3328" t="s">
        <v>1611</v>
      </c>
      <c r="C3328" s="10" t="s">
        <v>1744</v>
      </c>
      <c r="D3328" t="s">
        <v>45</v>
      </c>
      <c r="E3328">
        <v>99</v>
      </c>
      <c r="F3328" t="s">
        <v>59</v>
      </c>
      <c r="G3328" t="s">
        <v>396</v>
      </c>
      <c r="H3328">
        <v>20</v>
      </c>
      <c r="I3328" s="11">
        <f>$E3328+0</f>
        <v>99</v>
      </c>
      <c r="J3328" s="12">
        <v>135000</v>
      </c>
      <c r="K3328" s="13">
        <f>$E3328+1</f>
        <v>100</v>
      </c>
      <c r="L3328" s="14">
        <f>IF($J3328=0,0,ROUND(MAX($J3328*1.4,1620000*(1.497923^(MIN($E3328,123)-117)))*1,0))</f>
        <v>189000</v>
      </c>
      <c r="M3328" s="11">
        <f>$E3328+2</f>
        <v>101</v>
      </c>
      <c r="N3328" s="12">
        <f>IF($J3328=0,0,ROUND(MAX($J3328*1.4*1.5,2190000*(1.580994^(MIN($E3328,123)-117)))*1,0))</f>
        <v>283500</v>
      </c>
      <c r="O3328" s="13">
        <f>$E3328+4</f>
        <v>103</v>
      </c>
      <c r="P3328" s="14">
        <f>IF($J3328=0,0,ROUND(MAX($J3328*1.4*1.5*1.6,3500000*(1.57975^(MIN($E3328,123)-117)))*1,0))</f>
        <v>453600</v>
      </c>
      <c r="Q3328" s="11">
        <f>$E3328+6</f>
        <v>105</v>
      </c>
      <c r="R3328" s="12">
        <f>IF($J3328=0,0,ROUND(MAX($J3328*1.4*1.5*1.6*1.6,13100000*(1.429962^(MIN($E3328,123)-117)))*1,0))</f>
        <v>725760</v>
      </c>
      <c r="S3328" s="13">
        <f>$E3328+8</f>
        <v>107</v>
      </c>
      <c r="T3328" s="14">
        <f>IF($J3328=0,0,ROUND(MAX($J3328*1.4*1.5*1.6*1.6*2.2,42600000*(1.576904^(MIN($E3328,123)-117)))*1,0))</f>
        <v>1596672</v>
      </c>
      <c r="U3328" s="11">
        <f>$E3328+11</f>
        <v>110</v>
      </c>
      <c r="V3328" s="12">
        <f>IF($J3328=0,0,ROUND(MAX($J3328*1.4*1.5*1.6*1.6*2.2*2.715,354000000*(1.642074^(MIN($E3328,123)-117)))*1,0))</f>
        <v>4334964</v>
      </c>
      <c r="W3328" s="13">
        <f>$E3328+15</f>
        <v>114</v>
      </c>
      <c r="X3328" s="14">
        <f>IF($J3328=0,0,ROUND(MAX($J3328*1.4*1.5*1.6*1.6*2.2*2.715*2.6,3540000000*(1.579646^(MIN($E3328,123)-117)))*1,0))</f>
        <v>11270908</v>
      </c>
      <c r="Y3328" s="11">
        <f>$E3328+17</f>
        <v>116</v>
      </c>
      <c r="Z3328" s="12">
        <f>IF($J3328=0,0,ROUND(MAX($J3328*1.4*1.5*1.6*1.6*2.2*2.715*2.6*1.4,6020000000*(1.651178^(MIN($E3328,123)-117)))*1,0))</f>
        <v>15779271</v>
      </c>
      <c r="AA3328" s="13">
        <f>$E3328+19</f>
        <v>118</v>
      </c>
      <c r="AB3328" s="14">
        <f>IF($J3328=0,0,ROUND(MAX($J3328*1.4*1.5*1.6*1.6*2.2*2.715*2.6*1.4*1.4,8430000000*(1.651435^(MIN($E3328,123)-117)))*1,0))</f>
        <v>22090979</v>
      </c>
      <c r="AC3328" s="11">
        <f>$E3328+21</f>
        <v>120</v>
      </c>
      <c r="AD3328" s="12">
        <f>IF($J3328=0,0,ROUND(MAX($J3328*1.4*1.5*1.6*1.6*2.2*2.715*2.6*1.4*1.4*1.5,12600000000*(1.652953^(MIN($E3328,123)-117)))*1,0))</f>
        <v>33136468</v>
      </c>
      <c r="AE3328" s="13">
        <f>$E3328+24</f>
        <v>123</v>
      </c>
      <c r="AF3328" s="14">
        <f>IF($J3328=0,0,ROUND(MAX($J3328*1.4*1.5*1.6*1.6*2.2*2.715*2.6*1.4*1.4*1.5*1.5,18900000000*(1.65331^(MIN($E3328,123)-117)))*1,0))</f>
        <v>49704703</v>
      </c>
      <c r="AG3328" s="11">
        <f>$E3328+27</f>
        <v>126</v>
      </c>
      <c r="AH3328" s="12">
        <f>IF($J3328=0,0,ROUND(MAX($J3328*1.4*1.5*1.6*1.6*2.2*2.715*2.6*1.4*1.4*1.5*1.5*3.2,60500000000*(1.654288^(MIN($E3328,123)-117)))*1,0))</f>
        <v>159055049</v>
      </c>
    </row>
    <row r="3329" ht="28" customHeight="1" spans="1:34" x14ac:dyDescent="0.25">
      <c r="A3329">
        <v>3339</v>
      </c>
      <c r="B3329" t="s">
        <v>940</v>
      </c>
      <c r="C3329" s="10" t="s">
        <v>1744</v>
      </c>
      <c r="D3329" t="s">
        <v>79</v>
      </c>
      <c r="E3329">
        <v>99</v>
      </c>
      <c r="F3329" t="s">
        <v>97</v>
      </c>
      <c r="G3329" t="s">
        <v>941</v>
      </c>
      <c r="H3329">
        <v>20</v>
      </c>
      <c r="I3329" s="11">
        <f>$E3329+0</f>
        <v>99</v>
      </c>
      <c r="J3329" s="12">
        <v>13400</v>
      </c>
      <c r="K3329" s="13">
        <f>$E3329+1</f>
        <v>100</v>
      </c>
      <c r="L3329" s="14">
        <f>IF($J3329=0,0,ROUND(MAX($J3329*1.4,1620000*(1.497923^(MIN($E3329,123)-117)))*1,0))</f>
        <v>18760</v>
      </c>
      <c r="M3329" s="11">
        <f>$E3329+2</f>
        <v>101</v>
      </c>
      <c r="N3329" s="12">
        <f>IF($J3329=0,0,ROUND(MAX($J3329*1.4*1.5,2190000*(1.580994^(MIN($E3329,123)-117)))*1,0))</f>
        <v>28140</v>
      </c>
      <c r="O3329" s="13">
        <f>$E3329+4</f>
        <v>103</v>
      </c>
      <c r="P3329" s="14">
        <f>IF($J3329=0,0,ROUND(MAX($J3329*1.4*1.5*1.6,3500000*(1.57975^(MIN($E3329,123)-117)))*1,0))</f>
        <v>45024</v>
      </c>
      <c r="Q3329" s="11">
        <f>$E3329+6</f>
        <v>105</v>
      </c>
      <c r="R3329" s="12">
        <f>IF($J3329=0,0,ROUND(MAX($J3329*1.4*1.5*1.6*1.6,13100000*(1.429962^(MIN($E3329,123)-117)))*1,0))</f>
        <v>72038</v>
      </c>
      <c r="S3329" s="13">
        <f>$E3329+8</f>
        <v>107</v>
      </c>
      <c r="T3329" s="14">
        <f>IF($J3329=0,0,ROUND(MAX($J3329*1.4*1.5*1.6*1.6*2.2,42600000*(1.576904^(MIN($E3329,123)-117)))*1,0))</f>
        <v>158484</v>
      </c>
      <c r="U3329" s="11">
        <f>$E3329+11</f>
        <v>110</v>
      </c>
      <c r="V3329" s="12">
        <f>IF($J3329=0,0,ROUND(MAX($J3329*1.4*1.5*1.6*1.6*2.2*2.715,354000000*(1.642074^(MIN($E3329,123)-117)))*1,0))</f>
        <v>430285</v>
      </c>
      <c r="W3329" s="13">
        <f>$E3329+15</f>
        <v>114</v>
      </c>
      <c r="X3329" s="14">
        <f>IF($J3329=0,0,ROUND(MAX($J3329*1.4*1.5*1.6*1.6*2.2*2.715*2.6,3540000000*(1.579646^(MIN($E3329,123)-117)))*1,0))</f>
        <v>1118742</v>
      </c>
      <c r="Y3329" s="11">
        <f>$E3329+17</f>
        <v>116</v>
      </c>
      <c r="Z3329" s="12">
        <f>IF($J3329=0,0,ROUND(MAX($J3329*1.4*1.5*1.6*1.6*2.2*2.715*2.6*1.4,6020000000*(1.651178^(MIN($E3329,123)-117)))*1,0))</f>
        <v>1566239</v>
      </c>
      <c r="AA3329" s="13">
        <f>$E3329+19</f>
        <v>118</v>
      </c>
      <c r="AB3329" s="14">
        <f>IF($J3329=0,0,ROUND(MAX($J3329*1.4*1.5*1.6*1.6*2.2*2.715*2.6*1.4*1.4,8430000000*(1.651435^(MIN($E3329,123)-117)))*1,0))</f>
        <v>2192734</v>
      </c>
      <c r="AC3329" s="11">
        <f>$E3329+21</f>
        <v>120</v>
      </c>
      <c r="AD3329" s="12">
        <f>IF($J3329=0,0,ROUND(MAX($J3329*1.4*1.5*1.6*1.6*2.2*2.715*2.6*1.4*1.4*1.5,12600000000*(1.652953^(MIN($E3329,123)-117)))*1,0))</f>
        <v>3289101</v>
      </c>
      <c r="AE3329" s="13">
        <f>$E3329+24</f>
        <v>123</v>
      </c>
      <c r="AF3329" s="14">
        <f>IF($J3329=0,0,ROUND(MAX($J3329*1.4*1.5*1.6*1.6*2.2*2.715*2.6*1.4*1.4*1.5*1.5,18900000000*(1.65331^(MIN($E3329,123)-117)))*1,0))</f>
        <v>4933652</v>
      </c>
      <c r="AG3329" s="11">
        <f>$E3329+27</f>
        <v>126</v>
      </c>
      <c r="AH3329" s="12">
        <f>IF($J3329=0,0,ROUND(MAX($J3329*1.4*1.5*1.6*1.6*2.2*2.715*2.6*1.4*1.4*1.5*1.5*3.2,60500000000*(1.654288^(MIN($E3329,123)-117)))*1,0))</f>
        <v>15787686</v>
      </c>
    </row>
    <row r="3330" ht="28" customHeight="1" spans="1:34" x14ac:dyDescent="0.25">
      <c r="A3330">
        <v>3340</v>
      </c>
      <c r="B3330" t="s">
        <v>1776</v>
      </c>
      <c r="C3330" s="10" t="s">
        <v>1744</v>
      </c>
      <c r="D3330" t="s">
        <v>40</v>
      </c>
      <c r="E3330">
        <v>99</v>
      </c>
      <c r="F3330" t="s">
        <v>56</v>
      </c>
      <c r="G3330" t="s">
        <v>1084</v>
      </c>
      <c r="H3330">
        <v>20</v>
      </c>
      <c r="I3330" s="11">
        <f>$E3330+0</f>
        <v>99</v>
      </c>
      <c r="J3330" s="12">
        <v>11300</v>
      </c>
      <c r="K3330" s="13">
        <f>$E3330+1</f>
        <v>100</v>
      </c>
      <c r="L3330" s="14">
        <f>IF($J3330=0,0,ROUND(MAX($J3330*1.4,1620000*(1.497923^(MIN($E3330,123)-117)))*1,0))</f>
        <v>15820</v>
      </c>
      <c r="M3330" s="11">
        <f>$E3330+2</f>
        <v>101</v>
      </c>
      <c r="N3330" s="12">
        <f>IF($J3330=0,0,ROUND(MAX($J3330*1.4*1.5,2190000*(1.580994^(MIN($E3330,123)-117)))*1,0))</f>
        <v>23730</v>
      </c>
      <c r="O3330" s="13">
        <f>$E3330+4</f>
        <v>103</v>
      </c>
      <c r="P3330" s="14">
        <f>IF($J3330=0,0,ROUND(MAX($J3330*1.4*1.5*1.6,3500000*(1.57975^(MIN($E3330,123)-117)))*1,0))</f>
        <v>37968</v>
      </c>
      <c r="Q3330" s="11">
        <f>$E3330+6</f>
        <v>105</v>
      </c>
      <c r="R3330" s="12">
        <f>IF($J3330=0,0,ROUND(MAX($J3330*1.4*1.5*1.6*1.6,13100000*(1.429962^(MIN($E3330,123)-117)))*1,0))</f>
        <v>60749</v>
      </c>
      <c r="S3330" s="13">
        <f>$E3330+8</f>
        <v>107</v>
      </c>
      <c r="T3330" s="14">
        <f>IF($J3330=0,0,ROUND(MAX($J3330*1.4*1.5*1.6*1.6*2.2,42600000*(1.576904^(MIN($E3330,123)-117)))*1,0))</f>
        <v>133647</v>
      </c>
      <c r="U3330" s="11">
        <f>$E3330+11</f>
        <v>110</v>
      </c>
      <c r="V3330" s="12">
        <f>IF($J3330=0,0,ROUND(MAX($J3330*1.4*1.5*1.6*1.6*2.2*2.715,354000000*(1.642074^(MIN($E3330,123)-117)))*1,0))</f>
        <v>362853</v>
      </c>
      <c r="W3330" s="13">
        <f>$E3330+15</f>
        <v>114</v>
      </c>
      <c r="X3330" s="14">
        <f>IF($J3330=0,0,ROUND(MAX($J3330*1.4*1.5*1.6*1.6*2.2*2.715*2.6,3540000000*(1.579646^(MIN($E3330,123)-117)))*1,0))</f>
        <v>943903</v>
      </c>
      <c r="Y3330" s="11">
        <f>$E3330+17</f>
        <v>116</v>
      </c>
      <c r="Z3330" s="12">
        <f>IF($J3330=0,0,ROUND(MAX($J3330*1.4*1.5*1.6*1.6*2.2*2.715*2.6*1.4,6020000000*(1.651178^(MIN($E3330,123)-117)))*1,0))</f>
        <v>1320783</v>
      </c>
      <c r="AA3330" s="13">
        <f>$E3330+19</f>
        <v>118</v>
      </c>
      <c r="AB3330" s="14">
        <f>IF($J3330=0,0,ROUND(MAX($J3330*1.4*1.5*1.6*1.6*2.2*2.715*2.6*1.4*1.4,8430000000*(1.651435^(MIN($E3330,123)-117)))*1,0))</f>
        <v>1849097</v>
      </c>
      <c r="AC3330" s="11">
        <f>$E3330+21</f>
        <v>120</v>
      </c>
      <c r="AD3330" s="12">
        <f>IF($J3330=0,0,ROUND(MAX($J3330*1.4*1.5*1.6*1.6*2.2*2.715*2.6*1.4*1.4*1.5,12600000000*(1.652953^(MIN($E3330,123)-117)))*1,0))</f>
        <v>2773645</v>
      </c>
      <c r="AE3330" s="13">
        <f>$E3330+24</f>
        <v>123</v>
      </c>
      <c r="AF3330" s="14">
        <f>IF($J3330=0,0,ROUND(MAX($J3330*1.4*1.5*1.6*1.6*2.2*2.715*2.6*1.4*1.4*1.5*1.5,18900000000*(1.65331^(MIN($E3330,123)-117)))*1,0))</f>
        <v>4160468</v>
      </c>
      <c r="AG3330" s="11">
        <f>$E3330+27</f>
        <v>126</v>
      </c>
      <c r="AH3330" s="12">
        <f>IF($J3330=0,0,ROUND(MAX($J3330*1.4*1.5*1.6*1.6*2.2*2.715*2.6*1.4*1.4*1.5*1.5*3.2,60500000000*(1.654288^(MIN($E3330,123)-117)))*1,0))</f>
        <v>13313497</v>
      </c>
    </row>
    <row r="3331" ht="28" customHeight="1" spans="1:34" x14ac:dyDescent="0.25">
      <c r="A3331">
        <v>3341</v>
      </c>
      <c r="B3331" t="s">
        <v>735</v>
      </c>
      <c r="C3331" s="10" t="s">
        <v>1744</v>
      </c>
      <c r="D3331" t="s">
        <v>45</v>
      </c>
      <c r="E3331">
        <v>99</v>
      </c>
      <c r="F3331" t="s">
        <v>123</v>
      </c>
      <c r="G3331" t="s">
        <v>1660</v>
      </c>
      <c r="H3331">
        <v>20</v>
      </c>
      <c r="I3331" s="11">
        <f>$E3331+0</f>
        <v>99</v>
      </c>
      <c r="J3331" s="12">
        <v>10000</v>
      </c>
      <c r="K3331" s="13">
        <f>$E3331+1</f>
        <v>100</v>
      </c>
      <c r="L3331" s="14">
        <f>IF($J3331=0,0,ROUND(MAX($J3331*1.4,1620000*(1.497923^(MIN($E3331,123)-117)))*1,0))</f>
        <v>14000</v>
      </c>
      <c r="M3331" s="11">
        <f>$E3331+2</f>
        <v>101</v>
      </c>
      <c r="N3331" s="12">
        <f>IF($J3331=0,0,ROUND(MAX($J3331*1.4*1.5,2190000*(1.580994^(MIN($E3331,123)-117)))*1,0))</f>
        <v>21000</v>
      </c>
      <c r="O3331" s="13">
        <f>$E3331+4</f>
        <v>103</v>
      </c>
      <c r="P3331" s="14">
        <f>IF($J3331=0,0,ROUND(MAX($J3331*1.4*1.5*1.6,3500000*(1.57975^(MIN($E3331,123)-117)))*1,0))</f>
        <v>33600</v>
      </c>
      <c r="Q3331" s="11">
        <f>$E3331+6</f>
        <v>105</v>
      </c>
      <c r="R3331" s="12">
        <f>IF($J3331=0,0,ROUND(MAX($J3331*1.4*1.5*1.6*1.6,13100000*(1.429962^(MIN($E3331,123)-117)))*1,0))</f>
        <v>53760</v>
      </c>
      <c r="S3331" s="13">
        <f>$E3331+8</f>
        <v>107</v>
      </c>
      <c r="T3331" s="14">
        <f>IF($J3331=0,0,ROUND(MAX($J3331*1.4*1.5*1.6*1.6*2.2,42600000*(1.576904^(MIN($E3331,123)-117)))*1,0))</f>
        <v>118272</v>
      </c>
      <c r="U3331" s="11">
        <f>$E3331+11</f>
        <v>110</v>
      </c>
      <c r="V3331" s="12">
        <f>IF($J3331=0,0,ROUND(MAX($J3331*1.4*1.5*1.6*1.6*2.2*2.715,354000000*(1.642074^(MIN($E3331,123)-117)))*1,0))</f>
        <v>321108</v>
      </c>
      <c r="W3331" s="13">
        <f>$E3331+15</f>
        <v>114</v>
      </c>
      <c r="X3331" s="14">
        <f>IF($J3331=0,0,ROUND(MAX($J3331*1.4*1.5*1.6*1.6*2.2*2.715*2.6,3540000000*(1.579646^(MIN($E3331,123)-117)))*1,0))</f>
        <v>943903</v>
      </c>
      <c r="Y3331" s="11">
        <f>$E3331+17</f>
        <v>116</v>
      </c>
      <c r="Z3331" s="12">
        <f>IF($J3331=0,0,ROUND(MAX($J3331*1.4*1.5*1.6*1.6*2.2*2.715*2.6*1.4,6020000000*(1.651178^(MIN($E3331,123)-117)))*1,0))</f>
        <v>1168835</v>
      </c>
      <c r="AA3331" s="13">
        <f>$E3331+19</f>
        <v>118</v>
      </c>
      <c r="AB3331" s="14">
        <f>IF($J3331=0,0,ROUND(MAX($J3331*1.4*1.5*1.6*1.6*2.2*2.715*2.6*1.4*1.4,8430000000*(1.651435^(MIN($E3331,123)-117)))*1,0))</f>
        <v>1636369</v>
      </c>
      <c r="AC3331" s="11">
        <f>$E3331+21</f>
        <v>120</v>
      </c>
      <c r="AD3331" s="12">
        <f>IF($J3331=0,0,ROUND(MAX($J3331*1.4*1.5*1.6*1.6*2.2*2.715*2.6*1.4*1.4*1.5,12600000000*(1.652953^(MIN($E3331,123)-117)))*1,0))</f>
        <v>2454553</v>
      </c>
      <c r="AE3331" s="13">
        <f>$E3331+24</f>
        <v>123</v>
      </c>
      <c r="AF3331" s="14">
        <f>IF($J3331=0,0,ROUND(MAX($J3331*1.4*1.5*1.6*1.6*2.2*2.715*2.6*1.4*1.4*1.5*1.5,18900000000*(1.65331^(MIN($E3331,123)-117)))*1,0))</f>
        <v>3681830</v>
      </c>
      <c r="AG3331" s="11">
        <f>$E3331+27</f>
        <v>126</v>
      </c>
      <c r="AH3331" s="12">
        <f>IF($J3331=0,0,ROUND(MAX($J3331*1.4*1.5*1.6*1.6*2.2*2.715*2.6*1.4*1.4*1.5*1.5*3.2,60500000000*(1.654288^(MIN($E3331,123)-117)))*1,0))</f>
        <v>11781855</v>
      </c>
    </row>
    <row r="3332" ht="28" customHeight="1" spans="1:34" x14ac:dyDescent="0.25">
      <c r="A3332">
        <v>3342</v>
      </c>
      <c r="B3332" t="s">
        <v>601</v>
      </c>
      <c r="C3332" s="10" t="s">
        <v>1744</v>
      </c>
      <c r="D3332" t="s">
        <v>33</v>
      </c>
      <c r="E3332">
        <v>99</v>
      </c>
      <c r="F3332" t="s">
        <v>281</v>
      </c>
      <c r="G3332" t="s">
        <v>27</v>
      </c>
      <c r="H3332">
        <v>19</v>
      </c>
      <c r="I3332" s="11">
        <f>$E3332+0</f>
        <v>99</v>
      </c>
      <c r="J3332" s="12">
        <v>19800</v>
      </c>
      <c r="K3332" s="13">
        <f>$E3332+1</f>
        <v>100</v>
      </c>
      <c r="L3332" s="14">
        <f>IF($J3332=0,0,ROUND(MAX($J3332*1.4,1620000*(1.497923^(MIN($E3332,123)-117)))*1,0))</f>
        <v>27720</v>
      </c>
      <c r="M3332" s="11">
        <f>$E3332+2</f>
        <v>101</v>
      </c>
      <c r="N3332" s="12">
        <f>IF($J3332=0,0,ROUND(MAX($J3332*1.4*1.5,2190000*(1.580994^(MIN($E3332,123)-117)))*1,0))</f>
        <v>41580</v>
      </c>
      <c r="O3332" s="13">
        <f>$E3332+4</f>
        <v>103</v>
      </c>
      <c r="P3332" s="14">
        <f>IF($J3332=0,0,ROUND(MAX($J3332*1.4*1.5*1.6,3500000*(1.57975^(MIN($E3332,123)-117)))*1,0))</f>
        <v>66528</v>
      </c>
      <c r="Q3332" s="11">
        <f>$E3332+6</f>
        <v>105</v>
      </c>
      <c r="R3332" s="12">
        <f>IF($J3332=0,0,ROUND(MAX($J3332*1.4*1.5*1.6*1.6,13100000*(1.429962^(MIN($E3332,123)-117)))*1,0))</f>
        <v>106445</v>
      </c>
      <c r="S3332" s="13">
        <f>$E3332+8</f>
        <v>107</v>
      </c>
      <c r="T3332" s="14">
        <f>IF($J3332=0,0,ROUND(MAX($J3332*1.4*1.5*1.6*1.6*2.2,42600000*(1.576904^(MIN($E3332,123)-117)))*1,0))</f>
        <v>234179</v>
      </c>
      <c r="U3332" s="11">
        <f>$E3332+11</f>
        <v>110</v>
      </c>
      <c r="V3332" s="12">
        <f>IF($J3332=0,0,ROUND(MAX($J3332*1.4*1.5*1.6*1.6*2.2*2.715,354000000*(1.642074^(MIN($E3332,123)-117)))*1,0))</f>
        <v>635795</v>
      </c>
      <c r="W3332" s="13">
        <f>$E3332+15</f>
        <v>114</v>
      </c>
      <c r="X3332" s="14">
        <f>IF($J3332=0,0,ROUND(MAX($J3332*1.4*1.5*1.6*1.6*2.2*2.715*2.6,3540000000*(1.579646^(MIN($E3332,123)-117)))*1,0))</f>
        <v>1653066</v>
      </c>
      <c r="Y3332" s="11">
        <f>$E3332+17</f>
        <v>116</v>
      </c>
      <c r="Z3332" s="12">
        <f>IF($J3332=0,0,ROUND(MAX($J3332*1.4*1.5*1.6*1.6*2.2*2.715*2.6*1.4,6020000000*(1.651178^(MIN($E3332,123)-117)))*1,0))</f>
        <v>2314293</v>
      </c>
      <c r="AA3332" s="13">
        <f>$E3332+19</f>
        <v>118</v>
      </c>
      <c r="AB3332" s="14">
        <f>IF($J3332=0,0,ROUND(MAX($J3332*1.4*1.5*1.6*1.6*2.2*2.715*2.6*1.4*1.4,8430000000*(1.651435^(MIN($E3332,123)-117)))*1,0))</f>
        <v>3240010</v>
      </c>
      <c r="AC3332" s="11">
        <f>$E3332+21</f>
        <v>120</v>
      </c>
      <c r="AD3332" s="12">
        <f>IF($J3332=0,0,ROUND(MAX($J3332*1.4*1.5*1.6*1.6*2.2*2.715*2.6*1.4*1.4*1.5,12600000000*(1.652953^(MIN($E3332,123)-117)))*1,0))</f>
        <v>4860015</v>
      </c>
      <c r="AE3332" s="13">
        <f>$E3332+24</f>
        <v>123</v>
      </c>
      <c r="AF3332" s="14">
        <f>IF($J3332=0,0,ROUND(MAX($J3332*1.4*1.5*1.6*1.6*2.2*2.715*2.6*1.4*1.4*1.5*1.5,18900000000*(1.65331^(MIN($E3332,123)-117)))*1,0))</f>
        <v>7290023</v>
      </c>
      <c r="AG3332" s="11">
        <f>$E3332+27</f>
        <v>126</v>
      </c>
      <c r="AH3332" s="12">
        <f>IF($J3332=0,0,ROUND(MAX($J3332*1.4*1.5*1.6*1.6*2.2*2.715*2.6*1.4*1.4*1.5*1.5*3.2,60500000000*(1.654288^(MIN($E3332,123)-117)))*1,0))</f>
        <v>23328074</v>
      </c>
    </row>
    <row r="3333" ht="28" customHeight="1" spans="1:34" x14ac:dyDescent="0.25">
      <c r="A3333">
        <v>3343</v>
      </c>
      <c r="B3333" t="s">
        <v>77</v>
      </c>
      <c r="C3333" s="10" t="s">
        <v>1777</v>
      </c>
      <c r="D3333" t="s">
        <v>29</v>
      </c>
      <c r="E3333">
        <v>105</v>
      </c>
      <c r="F3333" t="s">
        <v>42</v>
      </c>
      <c r="G3333" t="s">
        <v>562</v>
      </c>
      <c r="H3333">
        <v>26</v>
      </c>
      <c r="I3333" s="11">
        <f>$E3333+0</f>
        <v>105</v>
      </c>
      <c r="J3333" s="12">
        <v>116000</v>
      </c>
      <c r="K3333" s="13">
        <f>$E3333+1</f>
        <v>106</v>
      </c>
      <c r="L3333" s="14">
        <f>IF($J3333=0,0,ROUND(MAX($J3333*1.4,1620000*(1.497923^(MIN($E3333,123)-117)))*1,0))</f>
        <v>162400</v>
      </c>
      <c r="M3333" s="11">
        <f>$E3333+2</f>
        <v>107</v>
      </c>
      <c r="N3333" s="12">
        <f>IF($J3333=0,0,ROUND(MAX($J3333*1.4*1.5,2190000*(1.580994^(MIN($E3333,123)-117)))*1,0))</f>
        <v>243600</v>
      </c>
      <c r="O3333" s="13">
        <f>$E3333+4</f>
        <v>109</v>
      </c>
      <c r="P3333" s="14">
        <f>IF($J3333=0,0,ROUND(MAX($J3333*1.4*1.5*1.6,3500000*(1.57975^(MIN($E3333,123)-117)))*1,0))</f>
        <v>389760</v>
      </c>
      <c r="Q3333" s="11">
        <f>$E3333+6</f>
        <v>111</v>
      </c>
      <c r="R3333" s="12">
        <f>IF($J3333=0,0,ROUND(MAX($J3333*1.4*1.5*1.6*1.6,13100000*(1.429962^(MIN($E3333,123)-117)))*1,0))</f>
        <v>623616</v>
      </c>
      <c r="S3333" s="13">
        <f>$E3333+8</f>
        <v>113</v>
      </c>
      <c r="T3333" s="14">
        <f>IF($J3333=0,0,ROUND(MAX($J3333*1.4*1.5*1.6*1.6*2.2,42600000*(1.576904^(MIN($E3333,123)-117)))*1,0))</f>
        <v>1371955</v>
      </c>
      <c r="U3333" s="11">
        <f>$E3333+11</f>
        <v>116</v>
      </c>
      <c r="V3333" s="12">
        <f>IF($J3333=0,0,ROUND(MAX($J3333*1.4*1.5*1.6*1.6*2.2*2.715,354000000*(1.642074^(MIN($E3333,123)-117)))*1,0))</f>
        <v>3724858</v>
      </c>
      <c r="W3333" s="13">
        <f>$E3333+15</f>
        <v>120</v>
      </c>
      <c r="X3333" s="14">
        <f>IF($J3333=0,0,ROUND(MAX($J3333*1.4*1.5*1.6*1.6*2.2*2.715*2.6,3540000000*(1.579646^(MIN($E3333,123)-117)))*1,0))</f>
        <v>14665133</v>
      </c>
      <c r="Y3333" s="11">
        <f>$E3333+17</f>
        <v>122</v>
      </c>
      <c r="Z3333" s="12">
        <f>IF($J3333=0,0,ROUND(MAX($J3333*1.4*1.5*1.6*1.6*2.2*2.715*2.6*1.4,6020000000*(1.651178^(MIN($E3333,123)-117)))*1,0))</f>
        <v>14657833</v>
      </c>
      <c r="AA3333" s="13">
        <f>$E3333+19</f>
        <v>124</v>
      </c>
      <c r="AB3333" s="14">
        <f>IF($J3333=0,0,ROUND(MAX($J3333*1.4*1.5*1.6*1.6*2.2*2.715*2.6*1.4*1.4,8430000000*(1.651435^(MIN($E3333,123)-117)))*1,0))</f>
        <v>20487537</v>
      </c>
      <c r="AC3333" s="11">
        <f>$E3333+21</f>
        <v>126</v>
      </c>
      <c r="AD3333" s="12">
        <f>IF($J3333=0,0,ROUND(MAX($J3333*1.4*1.5*1.6*1.6*2.2*2.715*2.6*1.4*1.4*1.5,12600000000*(1.652953^(MIN($E3333,123)-117)))*1,0))</f>
        <v>30286179</v>
      </c>
      <c r="AE3333" s="13">
        <f>$E3333+24</f>
        <v>129</v>
      </c>
      <c r="AF3333" s="14">
        <f>IF($J3333=0,0,ROUND(MAX($J3333*1.4*1.5*1.6*1.6*2.2*2.715*2.6*1.4*1.4*1.5*1.5,18900000000*(1.65331^(MIN($E3333,123)-117)))*1,0))</f>
        <v>45311693</v>
      </c>
      <c r="AG3333" s="11">
        <f>$E3333+27</f>
        <v>132</v>
      </c>
      <c r="AH3333" s="12">
        <f>IF($J3333=0,0,ROUND(MAX($J3333*1.4*1.5*1.6*1.6*2.2*2.715*2.6*1.4*1.4*1.5*1.5*3.2,60500000000*(1.654288^(MIN($E3333,123)-117)))*1,0))</f>
        <v>144019713</v>
      </c>
    </row>
    <row r="3334" ht="28" customHeight="1" spans="1:34" x14ac:dyDescent="0.25">
      <c r="A3334">
        <v>3344</v>
      </c>
      <c r="B3334" t="s">
        <v>41</v>
      </c>
      <c r="C3334" s="10" t="s">
        <v>1777</v>
      </c>
      <c r="D3334" t="s">
        <v>29</v>
      </c>
      <c r="E3334">
        <v>105</v>
      </c>
      <c r="F3334" t="s">
        <v>42</v>
      </c>
      <c r="G3334" t="s">
        <v>562</v>
      </c>
      <c r="H3334">
        <v>25</v>
      </c>
      <c r="I3334" s="11">
        <f>$E3334+0</f>
        <v>105</v>
      </c>
      <c r="J3334" s="12">
        <v>55900</v>
      </c>
      <c r="K3334" s="13">
        <f>$E3334+1</f>
        <v>106</v>
      </c>
      <c r="L3334" s="14">
        <f>IF($J3334=0,0,ROUND(MAX($J3334*1.4,1620000*(1.497923^(MIN($E3334,123)-117)))*1,0))</f>
        <v>78260</v>
      </c>
      <c r="M3334" s="11">
        <f>$E3334+2</f>
        <v>107</v>
      </c>
      <c r="N3334" s="12">
        <f>IF($J3334=0,0,ROUND(MAX($J3334*1.4*1.5,2190000*(1.580994^(MIN($E3334,123)-117)))*1,0))</f>
        <v>117390</v>
      </c>
      <c r="O3334" s="13">
        <f>$E3334+4</f>
        <v>109</v>
      </c>
      <c r="P3334" s="14">
        <f>IF($J3334=0,0,ROUND(MAX($J3334*1.4*1.5*1.6,3500000*(1.57975^(MIN($E3334,123)-117)))*1,0))</f>
        <v>187824</v>
      </c>
      <c r="Q3334" s="11">
        <f>$E3334+6</f>
        <v>111</v>
      </c>
      <c r="R3334" s="12">
        <f>IF($J3334=0,0,ROUND(MAX($J3334*1.4*1.5*1.6*1.6,13100000*(1.429962^(MIN($E3334,123)-117)))*1,0))</f>
        <v>300518</v>
      </c>
      <c r="S3334" s="13">
        <f>$E3334+8</f>
        <v>113</v>
      </c>
      <c r="T3334" s="14">
        <f>IF($J3334=0,0,ROUND(MAX($J3334*1.4*1.5*1.6*1.6*2.2,42600000*(1.576904^(MIN($E3334,123)-117)))*1,0))</f>
        <v>661140</v>
      </c>
      <c r="U3334" s="11">
        <f>$E3334+11</f>
        <v>116</v>
      </c>
      <c r="V3334" s="12">
        <f>IF($J3334=0,0,ROUND(MAX($J3334*1.4*1.5*1.6*1.6*2.2*2.715,354000000*(1.642074^(MIN($E3334,123)-117)))*1,0))</f>
        <v>1794996</v>
      </c>
      <c r="W3334" s="13">
        <f>$E3334+15</f>
        <v>120</v>
      </c>
      <c r="X3334" s="14">
        <f>IF($J3334=0,0,ROUND(MAX($J3334*1.4*1.5*1.6*1.6*2.2*2.715*2.6,3540000000*(1.579646^(MIN($E3334,123)-117)))*1,0))</f>
        <v>14665133</v>
      </c>
      <c r="Y3334" s="11">
        <f>$E3334+17</f>
        <v>122</v>
      </c>
      <c r="Z3334" s="12">
        <f>IF($J3334=0,0,ROUND(MAX($J3334*1.4*1.5*1.6*1.6*2.2*2.715*2.6*1.4,6020000000*(1.651178^(MIN($E3334,123)-117)))*1,0))</f>
        <v>14657833</v>
      </c>
      <c r="AA3334" s="13">
        <f>$E3334+19</f>
        <v>124</v>
      </c>
      <c r="AB3334" s="14">
        <f>IF($J3334=0,0,ROUND(MAX($J3334*1.4*1.5*1.6*1.6*2.2*2.715*2.6*1.4*1.4,8430000000*(1.651435^(MIN($E3334,123)-117)))*1,0))</f>
        <v>20487537</v>
      </c>
      <c r="AC3334" s="11">
        <f>$E3334+21</f>
        <v>126</v>
      </c>
      <c r="AD3334" s="12">
        <f>IF($J3334=0,0,ROUND(MAX($J3334*1.4*1.5*1.6*1.6*2.2*2.715*2.6*1.4*1.4*1.5,12600000000*(1.652953^(MIN($E3334,123)-117)))*1,0))</f>
        <v>30286179</v>
      </c>
      <c r="AE3334" s="13">
        <f>$E3334+24</f>
        <v>129</v>
      </c>
      <c r="AF3334" s="14">
        <f>IF($J3334=0,0,ROUND(MAX($J3334*1.4*1.5*1.6*1.6*2.2*2.715*2.6*1.4*1.4*1.5*1.5,18900000000*(1.65331^(MIN($E3334,123)-117)))*1,0))</f>
        <v>45311693</v>
      </c>
      <c r="AG3334" s="11">
        <f>$E3334+27</f>
        <v>132</v>
      </c>
      <c r="AH3334" s="12">
        <f>IF($J3334=0,0,ROUND(MAX($J3334*1.4*1.5*1.6*1.6*2.2*2.715*2.6*1.4*1.4*1.5*1.5*3.2,60500000000*(1.654288^(MIN($E3334,123)-117)))*1,0))</f>
        <v>144019713</v>
      </c>
    </row>
    <row r="3335" ht="28" customHeight="1" spans="1:34" x14ac:dyDescent="0.25">
      <c r="A3335">
        <v>3345</v>
      </c>
      <c r="B3335" t="s">
        <v>251</v>
      </c>
      <c r="C3335" s="10" t="s">
        <v>1777</v>
      </c>
      <c r="D3335" t="s">
        <v>40</v>
      </c>
      <c r="E3335">
        <v>105</v>
      </c>
      <c r="F3335" t="s">
        <v>59</v>
      </c>
      <c r="G3335" t="s">
        <v>252</v>
      </c>
      <c r="H3335">
        <v>25</v>
      </c>
      <c r="I3335" s="11">
        <f>$E3335+0</f>
        <v>105</v>
      </c>
      <c r="J3335" s="12">
        <v>373000</v>
      </c>
      <c r="K3335" s="13">
        <f>$E3335+1</f>
        <v>106</v>
      </c>
      <c r="L3335" s="14">
        <f>IF($J3335=0,0,ROUND(MAX($J3335*1.4,1620000*(1.497923^(MIN($E3335,123)-117)))*1,0))</f>
        <v>522200</v>
      </c>
      <c r="M3335" s="11">
        <f>$E3335+2</f>
        <v>107</v>
      </c>
      <c r="N3335" s="12">
        <f>IF($J3335=0,0,ROUND(MAX($J3335*1.4*1.5,2190000*(1.580994^(MIN($E3335,123)-117)))*1,0))</f>
        <v>783300</v>
      </c>
      <c r="O3335" s="13">
        <f>$E3335+4</f>
        <v>109</v>
      </c>
      <c r="P3335" s="14">
        <f>IF($J3335=0,0,ROUND(MAX($J3335*1.4*1.5*1.6,3500000*(1.57975^(MIN($E3335,123)-117)))*1,0))</f>
        <v>1253280</v>
      </c>
      <c r="Q3335" s="11">
        <f>$E3335+6</f>
        <v>111</v>
      </c>
      <c r="R3335" s="12">
        <f>IF($J3335=0,0,ROUND(MAX($J3335*1.4*1.5*1.6*1.6,13100000*(1.429962^(MIN($E3335,123)-117)))*1,0))</f>
        <v>2005248</v>
      </c>
      <c r="S3335" s="13">
        <f>$E3335+8</f>
        <v>113</v>
      </c>
      <c r="T3335" s="14">
        <f>IF($J3335=0,0,ROUND(MAX($J3335*1.4*1.5*1.6*1.6*2.2,42600000*(1.576904^(MIN($E3335,123)-117)))*1,0))</f>
        <v>4411546</v>
      </c>
      <c r="U3335" s="11">
        <f>$E3335+11</f>
        <v>116</v>
      </c>
      <c r="V3335" s="12">
        <f>IF($J3335=0,0,ROUND(MAX($J3335*1.4*1.5*1.6*1.6*2.2*2.715,354000000*(1.642074^(MIN($E3335,123)-117)))*1,0))</f>
        <v>11977346</v>
      </c>
      <c r="W3335" s="13">
        <f>$E3335+15</f>
        <v>120</v>
      </c>
      <c r="X3335" s="14">
        <f>IF($J3335=0,0,ROUND(MAX($J3335*1.4*1.5*1.6*1.6*2.2*2.715*2.6,3540000000*(1.579646^(MIN($E3335,123)-117)))*1,0))</f>
        <v>31141100</v>
      </c>
      <c r="Y3335" s="11">
        <f>$E3335+17</f>
        <v>122</v>
      </c>
      <c r="Z3335" s="12">
        <f>IF($J3335=0,0,ROUND(MAX($J3335*1.4*1.5*1.6*1.6*2.2*2.715*2.6*1.4,6020000000*(1.651178^(MIN($E3335,123)-117)))*1,0))</f>
        <v>43597541</v>
      </c>
      <c r="AA3335" s="13">
        <f>$E3335+19</f>
        <v>124</v>
      </c>
      <c r="AB3335" s="14">
        <f>IF($J3335=0,0,ROUND(MAX($J3335*1.4*1.5*1.6*1.6*2.2*2.715*2.6*1.4*1.4,8430000000*(1.651435^(MIN($E3335,123)-117)))*1,0))</f>
        <v>61036557</v>
      </c>
      <c r="AC3335" s="11">
        <f>$E3335+21</f>
        <v>126</v>
      </c>
      <c r="AD3335" s="12">
        <f>IF($J3335=0,0,ROUND(MAX($J3335*1.4*1.5*1.6*1.6*2.2*2.715*2.6*1.4*1.4*1.5,12600000000*(1.652953^(MIN($E3335,123)-117)))*1,0))</f>
        <v>91554835</v>
      </c>
      <c r="AE3335" s="13">
        <f>$E3335+24</f>
        <v>129</v>
      </c>
      <c r="AF3335" s="14">
        <f>IF($J3335=0,0,ROUND(MAX($J3335*1.4*1.5*1.6*1.6*2.2*2.715*2.6*1.4*1.4*1.5*1.5,18900000000*(1.65331^(MIN($E3335,123)-117)))*1,0))</f>
        <v>137332253</v>
      </c>
      <c r="AG3335" s="11">
        <f>$E3335+27</f>
        <v>132</v>
      </c>
      <c r="AH3335" s="12">
        <f>IF($J3335=0,0,ROUND(MAX($J3335*1.4*1.5*1.6*1.6*2.2*2.715*2.6*1.4*1.4*1.5*1.5*3.2,60500000000*(1.654288^(MIN($E3335,123)-117)))*1,0))</f>
        <v>439463209</v>
      </c>
    </row>
    <row r="3336" ht="28" customHeight="1" spans="1:34" x14ac:dyDescent="0.25">
      <c r="A3336">
        <v>3346</v>
      </c>
      <c r="B3336" t="s">
        <v>153</v>
      </c>
      <c r="C3336" s="10" t="s">
        <v>1777</v>
      </c>
      <c r="D3336" t="s">
        <v>45</v>
      </c>
      <c r="E3336">
        <v>105</v>
      </c>
      <c r="F3336" t="s">
        <v>56</v>
      </c>
      <c r="G3336" t="s">
        <v>562</v>
      </c>
      <c r="H3336">
        <v>25</v>
      </c>
      <c r="I3336" s="11">
        <f>$E3336+0</f>
        <v>105</v>
      </c>
      <c r="J3336" s="12">
        <v>66700</v>
      </c>
      <c r="K3336" s="13">
        <f>$E3336+1</f>
        <v>106</v>
      </c>
      <c r="L3336" s="14">
        <f>IF($J3336=0,0,ROUND(MAX($J3336*1.4,1620000*(1.497923^(MIN($E3336,123)-117)))*1,0))</f>
        <v>93380</v>
      </c>
      <c r="M3336" s="11">
        <f>$E3336+2</f>
        <v>107</v>
      </c>
      <c r="N3336" s="12">
        <f>IF($J3336=0,0,ROUND(MAX($J3336*1.4*1.5,2190000*(1.580994^(MIN($E3336,123)-117)))*1,0))</f>
        <v>140070</v>
      </c>
      <c r="O3336" s="13">
        <f>$E3336+4</f>
        <v>109</v>
      </c>
      <c r="P3336" s="14">
        <f>IF($J3336=0,0,ROUND(MAX($J3336*1.4*1.5*1.6,3500000*(1.57975^(MIN($E3336,123)-117)))*1,0))</f>
        <v>224112</v>
      </c>
      <c r="Q3336" s="11">
        <f>$E3336+6</f>
        <v>111</v>
      </c>
      <c r="R3336" s="12">
        <f>IF($J3336=0,0,ROUND(MAX($J3336*1.4*1.5*1.6*1.6,13100000*(1.429962^(MIN($E3336,123)-117)))*1,0))</f>
        <v>358579</v>
      </c>
      <c r="S3336" s="13">
        <f>$E3336+8</f>
        <v>113</v>
      </c>
      <c r="T3336" s="14">
        <f>IF($J3336=0,0,ROUND(MAX($J3336*1.4*1.5*1.6*1.6*2.2,42600000*(1.576904^(MIN($E3336,123)-117)))*1,0))</f>
        <v>788874</v>
      </c>
      <c r="U3336" s="11">
        <f>$E3336+11</f>
        <v>116</v>
      </c>
      <c r="V3336" s="12">
        <f>IF($J3336=0,0,ROUND(MAX($J3336*1.4*1.5*1.6*1.6*2.2*2.715,354000000*(1.642074^(MIN($E3336,123)-117)))*1,0))</f>
        <v>2141794</v>
      </c>
      <c r="W3336" s="13">
        <f>$E3336+15</f>
        <v>120</v>
      </c>
      <c r="X3336" s="14">
        <f>IF($J3336=0,0,ROUND(MAX($J3336*1.4*1.5*1.6*1.6*2.2*2.715*2.6,3540000000*(1.579646^(MIN($E3336,123)-117)))*1,0))</f>
        <v>14665133</v>
      </c>
      <c r="Y3336" s="11">
        <f>$E3336+17</f>
        <v>122</v>
      </c>
      <c r="Z3336" s="12">
        <f>IF($J3336=0,0,ROUND(MAX($J3336*1.4*1.5*1.6*1.6*2.2*2.715*2.6*1.4,6020000000*(1.651178^(MIN($E3336,123)-117)))*1,0))</f>
        <v>14657833</v>
      </c>
      <c r="AA3336" s="13">
        <f>$E3336+19</f>
        <v>124</v>
      </c>
      <c r="AB3336" s="14">
        <f>IF($J3336=0,0,ROUND(MAX($J3336*1.4*1.5*1.6*1.6*2.2*2.715*2.6*1.4*1.4,8430000000*(1.651435^(MIN($E3336,123)-117)))*1,0))</f>
        <v>20487537</v>
      </c>
      <c r="AC3336" s="11">
        <f>$E3336+21</f>
        <v>126</v>
      </c>
      <c r="AD3336" s="12">
        <f>IF($J3336=0,0,ROUND(MAX($J3336*1.4*1.5*1.6*1.6*2.2*2.715*2.6*1.4*1.4*1.5,12600000000*(1.652953^(MIN($E3336,123)-117)))*1,0))</f>
        <v>30286179</v>
      </c>
      <c r="AE3336" s="13">
        <f>$E3336+24</f>
        <v>129</v>
      </c>
      <c r="AF3336" s="14">
        <f>IF($J3336=0,0,ROUND(MAX($J3336*1.4*1.5*1.6*1.6*2.2*2.715*2.6*1.4*1.4*1.5*1.5,18900000000*(1.65331^(MIN($E3336,123)-117)))*1,0))</f>
        <v>45311693</v>
      </c>
      <c r="AG3336" s="11">
        <f>$E3336+27</f>
        <v>132</v>
      </c>
      <c r="AH3336" s="12">
        <f>IF($J3336=0,0,ROUND(MAX($J3336*1.4*1.5*1.6*1.6*2.2*2.715*2.6*1.4*1.4*1.5*1.5*3.2,60500000000*(1.654288^(MIN($E3336,123)-117)))*1,0))</f>
        <v>144019713</v>
      </c>
    </row>
    <row r="3337" ht="28" customHeight="1" spans="1:34" x14ac:dyDescent="0.25">
      <c r="A3337">
        <v>3347</v>
      </c>
      <c r="B3337" t="s">
        <v>53</v>
      </c>
      <c r="C3337" s="10" t="s">
        <v>1777</v>
      </c>
      <c r="D3337" t="s">
        <v>165</v>
      </c>
      <c r="E3337">
        <v>105</v>
      </c>
      <c r="F3337" t="s">
        <v>54</v>
      </c>
      <c r="G3337" t="s">
        <v>562</v>
      </c>
      <c r="H3337">
        <v>25</v>
      </c>
      <c r="I3337" s="11">
        <f>$E3337+0</f>
        <v>105</v>
      </c>
      <c r="J3337" s="12">
        <v>111000</v>
      </c>
      <c r="K3337" s="13">
        <f>$E3337+1</f>
        <v>106</v>
      </c>
      <c r="L3337" s="14">
        <f>IF($J3337=0,0,ROUND(MAX($J3337*1.4,1620000*(1.497923^(MIN($E3337,123)-117)))*1,0))</f>
        <v>155400</v>
      </c>
      <c r="M3337" s="11">
        <f>$E3337+2</f>
        <v>107</v>
      </c>
      <c r="N3337" s="12">
        <f>IF($J3337=0,0,ROUND(MAX($J3337*1.4*1.5,2190000*(1.580994^(MIN($E3337,123)-117)))*1,0))</f>
        <v>233100</v>
      </c>
      <c r="O3337" s="13">
        <f>$E3337+4</f>
        <v>109</v>
      </c>
      <c r="P3337" s="14">
        <f>IF($J3337=0,0,ROUND(MAX($J3337*1.4*1.5*1.6,3500000*(1.57975^(MIN($E3337,123)-117)))*1,0))</f>
        <v>372960</v>
      </c>
      <c r="Q3337" s="11">
        <f>$E3337+6</f>
        <v>111</v>
      </c>
      <c r="R3337" s="12">
        <f>IF($J3337=0,0,ROUND(MAX($J3337*1.4*1.5*1.6*1.6,13100000*(1.429962^(MIN($E3337,123)-117)))*1,0))</f>
        <v>596736</v>
      </c>
      <c r="S3337" s="13">
        <f>$E3337+8</f>
        <v>113</v>
      </c>
      <c r="T3337" s="14">
        <f>IF($J3337=0,0,ROUND(MAX($J3337*1.4*1.5*1.6*1.6*2.2,42600000*(1.576904^(MIN($E3337,123)-117)))*1,0))</f>
        <v>1312819</v>
      </c>
      <c r="U3337" s="11">
        <f>$E3337+11</f>
        <v>116</v>
      </c>
      <c r="V3337" s="12">
        <f>IF($J3337=0,0,ROUND(MAX($J3337*1.4*1.5*1.6*1.6*2.2*2.715,354000000*(1.642074^(MIN($E3337,123)-117)))*1,0))</f>
        <v>3564304</v>
      </c>
      <c r="W3337" s="13">
        <f>$E3337+15</f>
        <v>120</v>
      </c>
      <c r="X3337" s="14">
        <f>IF($J3337=0,0,ROUND(MAX($J3337*1.4*1.5*1.6*1.6*2.2*2.715*2.6,3540000000*(1.579646^(MIN($E3337,123)-117)))*1,0))</f>
        <v>14665133</v>
      </c>
      <c r="Y3337" s="11">
        <f>$E3337+17</f>
        <v>122</v>
      </c>
      <c r="Z3337" s="12">
        <f>IF($J3337=0,0,ROUND(MAX($J3337*1.4*1.5*1.6*1.6*2.2*2.715*2.6*1.4,6020000000*(1.651178^(MIN($E3337,123)-117)))*1,0))</f>
        <v>14657833</v>
      </c>
      <c r="AA3337" s="13">
        <f>$E3337+19</f>
        <v>124</v>
      </c>
      <c r="AB3337" s="14">
        <f>IF($J3337=0,0,ROUND(MAX($J3337*1.4*1.5*1.6*1.6*2.2*2.715*2.6*1.4*1.4,8430000000*(1.651435^(MIN($E3337,123)-117)))*1,0))</f>
        <v>20487537</v>
      </c>
      <c r="AC3337" s="11">
        <f>$E3337+21</f>
        <v>126</v>
      </c>
      <c r="AD3337" s="12">
        <f>IF($J3337=0,0,ROUND(MAX($J3337*1.4*1.5*1.6*1.6*2.2*2.715*2.6*1.4*1.4*1.5,12600000000*(1.652953^(MIN($E3337,123)-117)))*1,0))</f>
        <v>30286179</v>
      </c>
      <c r="AE3337" s="13">
        <f>$E3337+24</f>
        <v>129</v>
      </c>
      <c r="AF3337" s="14">
        <f>IF($J3337=0,0,ROUND(MAX($J3337*1.4*1.5*1.6*1.6*2.2*2.715*2.6*1.4*1.4*1.5*1.5,18900000000*(1.65331^(MIN($E3337,123)-117)))*1,0))</f>
        <v>45311693</v>
      </c>
      <c r="AG3337" s="11">
        <f>$E3337+27</f>
        <v>132</v>
      </c>
      <c r="AH3337" s="12">
        <f>IF($J3337=0,0,ROUND(MAX($J3337*1.4*1.5*1.6*1.6*2.2*2.715*2.6*1.4*1.4*1.5*1.5*3.2,60500000000*(1.654288^(MIN($E3337,123)-117)))*1,0))</f>
        <v>144019713</v>
      </c>
    </row>
    <row r="3338" ht="28" customHeight="1" spans="1:34" x14ac:dyDescent="0.25">
      <c r="A3338">
        <v>3348</v>
      </c>
      <c r="B3338" t="s">
        <v>489</v>
      </c>
      <c r="C3338" s="10" t="s">
        <v>1777</v>
      </c>
      <c r="D3338" t="s">
        <v>79</v>
      </c>
      <c r="E3338">
        <v>105</v>
      </c>
      <c r="F3338" t="s">
        <v>30</v>
      </c>
      <c r="G3338" t="s">
        <v>31</v>
      </c>
      <c r="H3338">
        <v>24</v>
      </c>
      <c r="I3338" s="11">
        <f>$E3338+0</f>
        <v>105</v>
      </c>
      <c r="J3338" s="12">
        <v>2210000</v>
      </c>
      <c r="K3338" s="13">
        <f>$E3338+1</f>
        <v>106</v>
      </c>
      <c r="L3338" s="14">
        <f>IF($J3338=0,0,ROUND(MAX($J3338*1.4,1620000*(1.497923^(MIN($E3338,123)-117)))*1,0))</f>
        <v>3094000</v>
      </c>
      <c r="M3338" s="11">
        <f>$E3338+2</f>
        <v>107</v>
      </c>
      <c r="N3338" s="12">
        <f>IF($J3338=0,0,ROUND(MAX($J3338*1.4*1.5,2190000*(1.580994^(MIN($E3338,123)-117)))*1,0))</f>
        <v>4641000</v>
      </c>
      <c r="O3338" s="13">
        <f>$E3338+4</f>
        <v>109</v>
      </c>
      <c r="P3338" s="14">
        <f>IF($J3338=0,0,ROUND(MAX($J3338*1.4*1.5*1.6,3500000*(1.57975^(MIN($E3338,123)-117)))*1,0))</f>
        <v>7425600</v>
      </c>
      <c r="Q3338" s="11">
        <f>$E3338+6</f>
        <v>111</v>
      </c>
      <c r="R3338" s="12">
        <f>IF($J3338=0,0,ROUND(MAX($J3338*1.4*1.5*1.6*1.6,13100000*(1.429962^(MIN($E3338,123)-117)))*1,0))</f>
        <v>11880960</v>
      </c>
      <c r="S3338" s="13">
        <f>$E3338+8</f>
        <v>113</v>
      </c>
      <c r="T3338" s="14">
        <f>IF($J3338=0,0,ROUND(MAX($J3338*1.4*1.5*1.6*1.6*2.2,42600000*(1.576904^(MIN($E3338,123)-117)))*1,0))</f>
        <v>26138112</v>
      </c>
      <c r="U3338" s="11">
        <f>$E3338+11</f>
        <v>116</v>
      </c>
      <c r="V3338" s="12">
        <f>IF($J3338=0,0,ROUND(MAX($J3338*1.4*1.5*1.6*1.6*2.2*2.715,354000000*(1.642074^(MIN($E3338,123)-117)))*1,0))</f>
        <v>70964974</v>
      </c>
      <c r="W3338" s="13">
        <f>$E3338+15</f>
        <v>120</v>
      </c>
      <c r="X3338" s="14">
        <f>IF($J3338=0,0,ROUND(MAX($J3338*1.4*1.5*1.6*1.6*2.2*2.715*2.6,3540000000*(1.579646^(MIN($E3338,123)-117)))*1,0))</f>
        <v>184508933</v>
      </c>
      <c r="Y3338" s="11">
        <f>$E3338+17</f>
        <v>122</v>
      </c>
      <c r="Z3338" s="12">
        <f>IF($J3338=0,0,ROUND(MAX($J3338*1.4*1.5*1.6*1.6*2.2*2.715*2.6*1.4,6020000000*(1.651178^(MIN($E3338,123)-117)))*1,0))</f>
        <v>258312506</v>
      </c>
      <c r="AA3338" s="13">
        <f>$E3338+19</f>
        <v>124</v>
      </c>
      <c r="AB3338" s="14">
        <f>IF($J3338=0,0,ROUND(MAX($J3338*1.4*1.5*1.6*1.6*2.2*2.715*2.6*1.4*1.4,8430000000*(1.651435^(MIN($E3338,123)-117)))*1,0))</f>
        <v>361637508</v>
      </c>
      <c r="AC3338" s="11">
        <f>$E3338+21</f>
        <v>126</v>
      </c>
      <c r="AD3338" s="12">
        <f>IF($J3338=0,0,ROUND(MAX($J3338*1.4*1.5*1.6*1.6*2.2*2.715*2.6*1.4*1.4*1.5,12600000000*(1.652953^(MIN($E3338,123)-117)))*1,0))</f>
        <v>542456262</v>
      </c>
      <c r="AE3338" s="13">
        <f>$E3338+24</f>
        <v>129</v>
      </c>
      <c r="AF3338" s="14">
        <f>IF($J3338=0,0,ROUND(MAX($J3338*1.4*1.5*1.6*1.6*2.2*2.715*2.6*1.4*1.4*1.5*1.5,18900000000*(1.65331^(MIN($E3338,123)-117)))*1,0))</f>
        <v>813684393</v>
      </c>
      <c r="AG3338" s="11">
        <f>$E3338+27</f>
        <v>132</v>
      </c>
      <c r="AH3338" s="12">
        <f>IF($J3338=0,0,ROUND(MAX($J3338*1.4*1.5*1.6*1.6*2.2*2.715*2.6*1.4*1.4*1.5*1.5*3.2,60500000000*(1.654288^(MIN($E3338,123)-117)))*1,0))</f>
        <v>2603790057</v>
      </c>
    </row>
    <row r="3339" ht="28" customHeight="1" spans="1:34" x14ac:dyDescent="0.25">
      <c r="A3339">
        <v>3349</v>
      </c>
      <c r="B3339" t="s">
        <v>28</v>
      </c>
      <c r="C3339" s="10" t="s">
        <v>1777</v>
      </c>
      <c r="D3339" t="s">
        <v>40</v>
      </c>
      <c r="E3339">
        <v>105</v>
      </c>
      <c r="F3339" t="s">
        <v>30</v>
      </c>
      <c r="G3339" t="s">
        <v>562</v>
      </c>
      <c r="H3339">
        <v>24</v>
      </c>
      <c r="I3339" s="11">
        <f>$E3339+0</f>
        <v>105</v>
      </c>
      <c r="J3339" s="12">
        <v>56200</v>
      </c>
      <c r="K3339" s="13">
        <f>$E3339+1</f>
        <v>106</v>
      </c>
      <c r="L3339" s="14">
        <f>IF($J3339=0,0,ROUND(MAX($J3339*1.4,1620000*(1.497923^(MIN($E3339,123)-117)))*1,0))</f>
        <v>78680</v>
      </c>
      <c r="M3339" s="11">
        <f>$E3339+2</f>
        <v>107</v>
      </c>
      <c r="N3339" s="12">
        <f>IF($J3339=0,0,ROUND(MAX($J3339*1.4*1.5,2190000*(1.580994^(MIN($E3339,123)-117)))*1,0))</f>
        <v>118020</v>
      </c>
      <c r="O3339" s="13">
        <f>$E3339+4</f>
        <v>109</v>
      </c>
      <c r="P3339" s="14">
        <f>IF($J3339=0,0,ROUND(MAX($J3339*1.4*1.5*1.6,3500000*(1.57975^(MIN($E3339,123)-117)))*1,0))</f>
        <v>188832</v>
      </c>
      <c r="Q3339" s="11">
        <f>$E3339+6</f>
        <v>111</v>
      </c>
      <c r="R3339" s="12">
        <f>IF($J3339=0,0,ROUND(MAX($J3339*1.4*1.5*1.6*1.6,13100000*(1.429962^(MIN($E3339,123)-117)))*1,0))</f>
        <v>302131</v>
      </c>
      <c r="S3339" s="13">
        <f>$E3339+8</f>
        <v>113</v>
      </c>
      <c r="T3339" s="14">
        <f>IF($J3339=0,0,ROUND(MAX($J3339*1.4*1.5*1.6*1.6*2.2,42600000*(1.576904^(MIN($E3339,123)-117)))*1,0))</f>
        <v>664689</v>
      </c>
      <c r="U3339" s="11">
        <f>$E3339+11</f>
        <v>116</v>
      </c>
      <c r="V3339" s="12">
        <f>IF($J3339=0,0,ROUND(MAX($J3339*1.4*1.5*1.6*1.6*2.2*2.715,354000000*(1.642074^(MIN($E3339,123)-117)))*1,0))</f>
        <v>1804630</v>
      </c>
      <c r="W3339" s="13">
        <f>$E3339+15</f>
        <v>120</v>
      </c>
      <c r="X3339" s="14">
        <f>IF($J3339=0,0,ROUND(MAX($J3339*1.4*1.5*1.6*1.6*2.2*2.715*2.6,3540000000*(1.579646^(MIN($E3339,123)-117)))*1,0))</f>
        <v>14665133</v>
      </c>
      <c r="Y3339" s="11">
        <f>$E3339+17</f>
        <v>122</v>
      </c>
      <c r="Z3339" s="12">
        <f>IF($J3339=0,0,ROUND(MAX($J3339*1.4*1.5*1.6*1.6*2.2*2.715*2.6*1.4,6020000000*(1.651178^(MIN($E3339,123)-117)))*1,0))</f>
        <v>14657833</v>
      </c>
      <c r="AA3339" s="13">
        <f>$E3339+19</f>
        <v>124</v>
      </c>
      <c r="AB3339" s="14">
        <f>IF($J3339=0,0,ROUND(MAX($J3339*1.4*1.5*1.6*1.6*2.2*2.715*2.6*1.4*1.4,8430000000*(1.651435^(MIN($E3339,123)-117)))*1,0))</f>
        <v>20487537</v>
      </c>
      <c r="AC3339" s="11">
        <f>$E3339+21</f>
        <v>126</v>
      </c>
      <c r="AD3339" s="12">
        <f>IF($J3339=0,0,ROUND(MAX($J3339*1.4*1.5*1.6*1.6*2.2*2.715*2.6*1.4*1.4*1.5,12600000000*(1.652953^(MIN($E3339,123)-117)))*1,0))</f>
        <v>30286179</v>
      </c>
      <c r="AE3339" s="13">
        <f>$E3339+24</f>
        <v>129</v>
      </c>
      <c r="AF3339" s="14">
        <f>IF($J3339=0,0,ROUND(MAX($J3339*1.4*1.5*1.6*1.6*2.2*2.715*2.6*1.4*1.4*1.5*1.5,18900000000*(1.65331^(MIN($E3339,123)-117)))*1,0))</f>
        <v>45311693</v>
      </c>
      <c r="AG3339" s="11">
        <f>$E3339+27</f>
        <v>132</v>
      </c>
      <c r="AH3339" s="12">
        <f>IF($J3339=0,0,ROUND(MAX($J3339*1.4*1.5*1.6*1.6*2.2*2.715*2.6*1.4*1.4*1.5*1.5*3.2,60500000000*(1.654288^(MIN($E3339,123)-117)))*1,0))</f>
        <v>144019713</v>
      </c>
    </row>
    <row r="3340" ht="28" customHeight="1" spans="1:34" x14ac:dyDescent="0.25">
      <c r="A3340">
        <v>3350</v>
      </c>
      <c r="B3340" t="s">
        <v>23</v>
      </c>
      <c r="C3340" s="10" t="s">
        <v>1777</v>
      </c>
      <c r="D3340" t="s">
        <v>29</v>
      </c>
      <c r="E3340">
        <v>105</v>
      </c>
      <c r="F3340" t="s">
        <v>26</v>
      </c>
      <c r="G3340" t="s">
        <v>562</v>
      </c>
      <c r="H3340">
        <v>24</v>
      </c>
      <c r="I3340" s="11">
        <f>$E3340+0</f>
        <v>105</v>
      </c>
      <c r="J3340" s="12">
        <v>12000000</v>
      </c>
      <c r="K3340" s="13">
        <f>$E3340+1</f>
        <v>106</v>
      </c>
      <c r="L3340" s="14">
        <f>IF($J3340=0,0,ROUND(MAX($J3340*1.4,1620000*(1.497923^(MIN($E3340,123)-117)))*1,0))</f>
        <v>16800000</v>
      </c>
      <c r="M3340" s="11">
        <f>$E3340+2</f>
        <v>107</v>
      </c>
      <c r="N3340" s="12">
        <f>IF($J3340=0,0,ROUND(MAX($J3340*1.4*1.5,2190000*(1.580994^(MIN($E3340,123)-117)))*1,0))</f>
        <v>25200000</v>
      </c>
      <c r="O3340" s="13">
        <f>$E3340+4</f>
        <v>109</v>
      </c>
      <c r="P3340" s="14">
        <f>IF($J3340=0,0,ROUND(MAX($J3340*1.4*1.5*1.6,3500000*(1.57975^(MIN($E3340,123)-117)))*1,0))</f>
        <v>40320000</v>
      </c>
      <c r="Q3340" s="11">
        <f>$E3340+6</f>
        <v>111</v>
      </c>
      <c r="R3340" s="12">
        <f>IF($J3340=0,0,ROUND(MAX($J3340*1.4*1.5*1.6*1.6,13100000*(1.429962^(MIN($E3340,123)-117)))*1,0))</f>
        <v>64512000</v>
      </c>
      <c r="S3340" s="13">
        <f>$E3340+8</f>
        <v>113</v>
      </c>
      <c r="T3340" s="14">
        <f>IF($J3340=0,0,ROUND(MAX($J3340*1.4*1.5*1.6*1.6*2.2,42600000*(1.576904^(MIN($E3340,123)-117)))*1,0))</f>
        <v>141926400</v>
      </c>
      <c r="U3340" s="11">
        <f>$E3340+11</f>
        <v>116</v>
      </c>
      <c r="V3340" s="12">
        <f>IF($J3340=0,0,ROUND(MAX($J3340*1.4*1.5*1.6*1.6*2.2*2.715,354000000*(1.642074^(MIN($E3340,123)-117)))*1,0))</f>
        <v>385330176</v>
      </c>
      <c r="W3340" s="13">
        <f>$E3340+15</f>
        <v>120</v>
      </c>
      <c r="X3340" s="14">
        <f>IF($J3340=0,0,ROUND(MAX($J3340*1.4*1.5*1.6*1.6*2.2*2.715*2.6,3540000000*(1.579646^(MIN($E3340,123)-117)))*1,0))</f>
        <v>1001858458</v>
      </c>
      <c r="Y3340" s="11">
        <f>$E3340+17</f>
        <v>122</v>
      </c>
      <c r="Z3340" s="12">
        <f>IF($J3340=0,0,ROUND(MAX($J3340*1.4*1.5*1.6*1.6*2.2*2.715*2.6*1.4,6020000000*(1.651178^(MIN($E3340,123)-117)))*1,0))</f>
        <v>1402601841</v>
      </c>
      <c r="AA3340" s="13">
        <f>$E3340+19</f>
        <v>124</v>
      </c>
      <c r="AB3340" s="14">
        <f>IF($J3340=0,0,ROUND(MAX($J3340*1.4*1.5*1.6*1.6*2.2*2.715*2.6*1.4*1.4,8430000000*(1.651435^(MIN($E3340,123)-117)))*1,0))</f>
        <v>1963642577</v>
      </c>
      <c r="AC3340" s="11">
        <f>$E3340+21</f>
        <v>126</v>
      </c>
      <c r="AD3340" s="12">
        <f>IF($J3340=0,0,ROUND(MAX($J3340*1.4*1.5*1.6*1.6*2.2*2.715*2.6*1.4*1.4*1.5,12600000000*(1.652953^(MIN($E3340,123)-117)))*1,0))</f>
        <v>2945463865</v>
      </c>
      <c r="AE3340" s="13">
        <f>$E3340+24</f>
        <v>129</v>
      </c>
      <c r="AF3340" s="14">
        <f>IF($J3340=0,0,ROUND(MAX($J3340*1.4*1.5*1.6*1.6*2.2*2.715*2.6*1.4*1.4*1.5*1.5,18900000000*(1.65331^(MIN($E3340,123)-117)))*1,0))</f>
        <v>4418195798</v>
      </c>
      <c r="AG3340" s="11">
        <f>$E3340+27</f>
        <v>132</v>
      </c>
      <c r="AH3340" s="12">
        <f>IF($J3340=0,0,ROUND(MAX($J3340*1.4*1.5*1.6*1.6*2.2*2.715*2.6*1.4*1.4*1.5*1.5*3.2,60500000000*(1.654288^(MIN($E3340,123)-117)))*1,0))</f>
        <v>14138226554</v>
      </c>
    </row>
    <row r="3341" ht="28" customHeight="1" spans="1:34" x14ac:dyDescent="0.25">
      <c r="A3341">
        <v>3351</v>
      </c>
      <c r="B3341" t="s">
        <v>639</v>
      </c>
      <c r="C3341" s="10" t="s">
        <v>1777</v>
      </c>
      <c r="D3341" t="s">
        <v>40</v>
      </c>
      <c r="E3341">
        <v>105</v>
      </c>
      <c r="F3341" t="s">
        <v>353</v>
      </c>
      <c r="G3341" t="s">
        <v>72</v>
      </c>
      <c r="H3341">
        <v>24</v>
      </c>
      <c r="I3341" s="11">
        <f>$E3341+0</f>
        <v>105</v>
      </c>
      <c r="J3341" s="12">
        <v>60500</v>
      </c>
      <c r="K3341" s="13">
        <f>$E3341+1</f>
        <v>106</v>
      </c>
      <c r="L3341" s="14">
        <f>IF($J3341=0,0,ROUND(MAX($J3341*1.4,1620000*(1.497923^(MIN($E3341,123)-117)))*1,0))</f>
        <v>84700</v>
      </c>
      <c r="M3341" s="11">
        <f>$E3341+2</f>
        <v>107</v>
      </c>
      <c r="N3341" s="12">
        <f>IF($J3341=0,0,ROUND(MAX($J3341*1.4*1.5,2190000*(1.580994^(MIN($E3341,123)-117)))*1,0))</f>
        <v>127050</v>
      </c>
      <c r="O3341" s="13">
        <f>$E3341+4</f>
        <v>109</v>
      </c>
      <c r="P3341" s="14">
        <f>IF($J3341=0,0,ROUND(MAX($J3341*1.4*1.5*1.6,3500000*(1.57975^(MIN($E3341,123)-117)))*1,0))</f>
        <v>203280</v>
      </c>
      <c r="Q3341" s="11">
        <f>$E3341+6</f>
        <v>111</v>
      </c>
      <c r="R3341" s="12">
        <f>IF($J3341=0,0,ROUND(MAX($J3341*1.4*1.5*1.6*1.6,13100000*(1.429962^(MIN($E3341,123)-117)))*1,0))</f>
        <v>325248</v>
      </c>
      <c r="S3341" s="13">
        <f>$E3341+8</f>
        <v>113</v>
      </c>
      <c r="T3341" s="14">
        <f>IF($J3341=0,0,ROUND(MAX($J3341*1.4*1.5*1.6*1.6*2.2,42600000*(1.576904^(MIN($E3341,123)-117)))*1,0))</f>
        <v>715546</v>
      </c>
      <c r="U3341" s="11">
        <f>$E3341+11</f>
        <v>116</v>
      </c>
      <c r="V3341" s="12">
        <f>IF($J3341=0,0,ROUND(MAX($J3341*1.4*1.5*1.6*1.6*2.2*2.715,354000000*(1.642074^(MIN($E3341,123)-117)))*1,0))</f>
        <v>1942706</v>
      </c>
      <c r="W3341" s="13">
        <f>$E3341+15</f>
        <v>120</v>
      </c>
      <c r="X3341" s="14">
        <f>IF($J3341=0,0,ROUND(MAX($J3341*1.4*1.5*1.6*1.6*2.2*2.715*2.6,3540000000*(1.579646^(MIN($E3341,123)-117)))*1,0))</f>
        <v>14665133</v>
      </c>
      <c r="Y3341" s="11">
        <f>$E3341+17</f>
        <v>122</v>
      </c>
      <c r="Z3341" s="12">
        <f>IF($J3341=0,0,ROUND(MAX($J3341*1.4*1.5*1.6*1.6*2.2*2.715*2.6*1.4,6020000000*(1.651178^(MIN($E3341,123)-117)))*1,0))</f>
        <v>14657833</v>
      </c>
      <c r="AA3341" s="13">
        <f>$E3341+19</f>
        <v>124</v>
      </c>
      <c r="AB3341" s="14">
        <f>IF($J3341=0,0,ROUND(MAX($J3341*1.4*1.5*1.6*1.6*2.2*2.715*2.6*1.4*1.4,8430000000*(1.651435^(MIN($E3341,123)-117)))*1,0))</f>
        <v>20487537</v>
      </c>
      <c r="AC3341" s="11">
        <f>$E3341+21</f>
        <v>126</v>
      </c>
      <c r="AD3341" s="12">
        <f>IF($J3341=0,0,ROUND(MAX($J3341*1.4*1.5*1.6*1.6*2.2*2.715*2.6*1.4*1.4*1.5,12600000000*(1.652953^(MIN($E3341,123)-117)))*1,0))</f>
        <v>30286179</v>
      </c>
      <c r="AE3341" s="13">
        <f>$E3341+24</f>
        <v>129</v>
      </c>
      <c r="AF3341" s="14">
        <f>IF($J3341=0,0,ROUND(MAX($J3341*1.4*1.5*1.6*1.6*2.2*2.715*2.6*1.4*1.4*1.5*1.5,18900000000*(1.65331^(MIN($E3341,123)-117)))*1,0))</f>
        <v>45311693</v>
      </c>
      <c r="AG3341" s="11">
        <f>$E3341+27</f>
        <v>132</v>
      </c>
      <c r="AH3341" s="12">
        <f>IF($J3341=0,0,ROUND(MAX($J3341*1.4*1.5*1.6*1.6*2.2*2.715*2.6*1.4*1.4*1.5*1.5*3.2,60500000000*(1.654288^(MIN($E3341,123)-117)))*1,0))</f>
        <v>144019713</v>
      </c>
    </row>
    <row r="3342" ht="28" customHeight="1" spans="1:34" x14ac:dyDescent="0.25">
      <c r="A3342">
        <v>3352</v>
      </c>
      <c r="B3342" t="s">
        <v>534</v>
      </c>
      <c r="C3342" s="10" t="s">
        <v>1777</v>
      </c>
      <c r="D3342" t="s">
        <v>79</v>
      </c>
      <c r="E3342">
        <v>105</v>
      </c>
      <c r="F3342" t="s">
        <v>310</v>
      </c>
      <c r="G3342" t="s">
        <v>562</v>
      </c>
      <c r="H3342">
        <v>24</v>
      </c>
      <c r="I3342" s="11">
        <f>$E3342+0</f>
        <v>105</v>
      </c>
      <c r="J3342" s="12">
        <v>92200</v>
      </c>
      <c r="K3342" s="13">
        <f>$E3342+1</f>
        <v>106</v>
      </c>
      <c r="L3342" s="14">
        <f>IF($J3342=0,0,ROUND(MAX($J3342*1.4,1620000*(1.497923^(MIN($E3342,123)-117)))*1,0))</f>
        <v>129080</v>
      </c>
      <c r="M3342" s="11">
        <f>$E3342+2</f>
        <v>107</v>
      </c>
      <c r="N3342" s="12">
        <f>IF($J3342=0,0,ROUND(MAX($J3342*1.4*1.5,2190000*(1.580994^(MIN($E3342,123)-117)))*1,0))</f>
        <v>193620</v>
      </c>
      <c r="O3342" s="13">
        <f>$E3342+4</f>
        <v>109</v>
      </c>
      <c r="P3342" s="14">
        <f>IF($J3342=0,0,ROUND(MAX($J3342*1.4*1.5*1.6,3500000*(1.57975^(MIN($E3342,123)-117)))*1,0))</f>
        <v>309792</v>
      </c>
      <c r="Q3342" s="11">
        <f>$E3342+6</f>
        <v>111</v>
      </c>
      <c r="R3342" s="12">
        <f>IF($J3342=0,0,ROUND(MAX($J3342*1.4*1.5*1.6*1.6,13100000*(1.429962^(MIN($E3342,123)-117)))*1,0))</f>
        <v>495667</v>
      </c>
      <c r="S3342" s="13">
        <f>$E3342+8</f>
        <v>113</v>
      </c>
      <c r="T3342" s="14">
        <f>IF($J3342=0,0,ROUND(MAX($J3342*1.4*1.5*1.6*1.6*2.2,42600000*(1.576904^(MIN($E3342,123)-117)))*1,0))</f>
        <v>1090468</v>
      </c>
      <c r="U3342" s="11">
        <f>$E3342+11</f>
        <v>116</v>
      </c>
      <c r="V3342" s="12">
        <f>IF($J3342=0,0,ROUND(MAX($J3342*1.4*1.5*1.6*1.6*2.2*2.715,354000000*(1.642074^(MIN($E3342,123)-117)))*1,0))</f>
        <v>2960620</v>
      </c>
      <c r="W3342" s="13">
        <f>$E3342+15</f>
        <v>120</v>
      </c>
      <c r="X3342" s="14">
        <f>IF($J3342=0,0,ROUND(MAX($J3342*1.4*1.5*1.6*1.6*2.2*2.715*2.6,3540000000*(1.579646^(MIN($E3342,123)-117)))*1,0))</f>
        <v>14665133</v>
      </c>
      <c r="Y3342" s="11">
        <f>$E3342+17</f>
        <v>122</v>
      </c>
      <c r="Z3342" s="12">
        <f>IF($J3342=0,0,ROUND(MAX($J3342*1.4*1.5*1.6*1.6*2.2*2.715*2.6*1.4,6020000000*(1.651178^(MIN($E3342,123)-117)))*1,0))</f>
        <v>14657833</v>
      </c>
      <c r="AA3342" s="13">
        <f>$E3342+19</f>
        <v>124</v>
      </c>
      <c r="AB3342" s="14">
        <f>IF($J3342=0,0,ROUND(MAX($J3342*1.4*1.5*1.6*1.6*2.2*2.715*2.6*1.4*1.4,8430000000*(1.651435^(MIN($E3342,123)-117)))*1,0))</f>
        <v>20487537</v>
      </c>
      <c r="AC3342" s="11">
        <f>$E3342+21</f>
        <v>126</v>
      </c>
      <c r="AD3342" s="12">
        <f>IF($J3342=0,0,ROUND(MAX($J3342*1.4*1.5*1.6*1.6*2.2*2.715*2.6*1.4*1.4*1.5,12600000000*(1.652953^(MIN($E3342,123)-117)))*1,0))</f>
        <v>30286179</v>
      </c>
      <c r="AE3342" s="13">
        <f>$E3342+24</f>
        <v>129</v>
      </c>
      <c r="AF3342" s="14">
        <f>IF($J3342=0,0,ROUND(MAX($J3342*1.4*1.5*1.6*1.6*2.2*2.715*2.6*1.4*1.4*1.5*1.5,18900000000*(1.65331^(MIN($E3342,123)-117)))*1,0))</f>
        <v>45311693</v>
      </c>
      <c r="AG3342" s="11">
        <f>$E3342+27</f>
        <v>132</v>
      </c>
      <c r="AH3342" s="12">
        <f>IF($J3342=0,0,ROUND(MAX($J3342*1.4*1.5*1.6*1.6*2.2*2.715*2.6*1.4*1.4*1.5*1.5*3.2,60500000000*(1.654288^(MIN($E3342,123)-117)))*1,0))</f>
        <v>144019713</v>
      </c>
    </row>
    <row r="3343" ht="28" customHeight="1" spans="1:34" x14ac:dyDescent="0.25">
      <c r="A3343">
        <v>3353</v>
      </c>
      <c r="B3343" t="s">
        <v>271</v>
      </c>
      <c r="C3343" s="10" t="s">
        <v>1777</v>
      </c>
      <c r="D3343" t="s">
        <v>64</v>
      </c>
      <c r="E3343">
        <v>105</v>
      </c>
      <c r="F3343" t="s">
        <v>258</v>
      </c>
      <c r="G3343" t="s">
        <v>270</v>
      </c>
      <c r="H3343">
        <v>24</v>
      </c>
      <c r="I3343" s="11">
        <f>$E3343+0</f>
        <v>105</v>
      </c>
      <c r="J3343" s="12">
        <v>60600</v>
      </c>
      <c r="K3343" s="13">
        <f>$E3343+1</f>
        <v>106</v>
      </c>
      <c r="L3343" s="14">
        <f>IF($J3343=0,0,ROUND(MAX($J3343*1.4,1620000*(1.497923^(MIN($E3343,123)-117)))*1,0))</f>
        <v>84840</v>
      </c>
      <c r="M3343" s="11">
        <f>$E3343+2</f>
        <v>107</v>
      </c>
      <c r="N3343" s="12">
        <f>IF($J3343=0,0,ROUND(MAX($J3343*1.4*1.5,2190000*(1.580994^(MIN($E3343,123)-117)))*1,0))</f>
        <v>127260</v>
      </c>
      <c r="O3343" s="13">
        <f>$E3343+4</f>
        <v>109</v>
      </c>
      <c r="P3343" s="14">
        <f>IF($J3343=0,0,ROUND(MAX($J3343*1.4*1.5*1.6,3500000*(1.57975^(MIN($E3343,123)-117)))*1,0))</f>
        <v>203616</v>
      </c>
      <c r="Q3343" s="11">
        <f>$E3343+6</f>
        <v>111</v>
      </c>
      <c r="R3343" s="12">
        <f>IF($J3343=0,0,ROUND(MAX($J3343*1.4*1.5*1.6*1.6,13100000*(1.429962^(MIN($E3343,123)-117)))*1,0))</f>
        <v>325786</v>
      </c>
      <c r="S3343" s="13">
        <f>$E3343+8</f>
        <v>113</v>
      </c>
      <c r="T3343" s="14">
        <f>IF($J3343=0,0,ROUND(MAX($J3343*1.4*1.5*1.6*1.6*2.2,42600000*(1.576904^(MIN($E3343,123)-117)))*1,0))</f>
        <v>716728</v>
      </c>
      <c r="U3343" s="11">
        <f>$E3343+11</f>
        <v>116</v>
      </c>
      <c r="V3343" s="12">
        <f>IF($J3343=0,0,ROUND(MAX($J3343*1.4*1.5*1.6*1.6*2.2*2.715,354000000*(1.642074^(MIN($E3343,123)-117)))*1,0))</f>
        <v>1945917</v>
      </c>
      <c r="W3343" s="13">
        <f>$E3343+15</f>
        <v>120</v>
      </c>
      <c r="X3343" s="14">
        <f>IF($J3343=0,0,ROUND(MAX($J3343*1.4*1.5*1.6*1.6*2.2*2.715*2.6,3540000000*(1.579646^(MIN($E3343,123)-117)))*1,0))</f>
        <v>14665133</v>
      </c>
      <c r="Y3343" s="11">
        <f>$E3343+17</f>
        <v>122</v>
      </c>
      <c r="Z3343" s="12">
        <f>IF($J3343=0,0,ROUND(MAX($J3343*1.4*1.5*1.6*1.6*2.2*2.715*2.6*1.4,6020000000*(1.651178^(MIN($E3343,123)-117)))*1,0))</f>
        <v>14657833</v>
      </c>
      <c r="AA3343" s="13">
        <f>$E3343+19</f>
        <v>124</v>
      </c>
      <c r="AB3343" s="14">
        <f>IF($J3343=0,0,ROUND(MAX($J3343*1.4*1.5*1.6*1.6*2.2*2.715*2.6*1.4*1.4,8430000000*(1.651435^(MIN($E3343,123)-117)))*1,0))</f>
        <v>20487537</v>
      </c>
      <c r="AC3343" s="11">
        <f>$E3343+21</f>
        <v>126</v>
      </c>
      <c r="AD3343" s="12">
        <f>IF($J3343=0,0,ROUND(MAX($J3343*1.4*1.5*1.6*1.6*2.2*2.715*2.6*1.4*1.4*1.5,12600000000*(1.652953^(MIN($E3343,123)-117)))*1,0))</f>
        <v>30286179</v>
      </c>
      <c r="AE3343" s="13">
        <f>$E3343+24</f>
        <v>129</v>
      </c>
      <c r="AF3343" s="14">
        <f>IF($J3343=0,0,ROUND(MAX($J3343*1.4*1.5*1.6*1.6*2.2*2.715*2.6*1.4*1.4*1.5*1.5,18900000000*(1.65331^(MIN($E3343,123)-117)))*1,0))</f>
        <v>45311693</v>
      </c>
      <c r="AG3343" s="11">
        <f>$E3343+27</f>
        <v>132</v>
      </c>
      <c r="AH3343" s="12">
        <f>IF($J3343=0,0,ROUND(MAX($J3343*1.4*1.5*1.6*1.6*2.2*2.715*2.6*1.4*1.4*1.5*1.5*3.2,60500000000*(1.654288^(MIN($E3343,123)-117)))*1,0))</f>
        <v>144019713</v>
      </c>
    </row>
    <row r="3344" ht="28" customHeight="1" spans="1:34" x14ac:dyDescent="0.25">
      <c r="A3344">
        <v>3354</v>
      </c>
      <c r="B3344" t="s">
        <v>269</v>
      </c>
      <c r="C3344" s="10" t="s">
        <v>1777</v>
      </c>
      <c r="D3344" t="s">
        <v>64</v>
      </c>
      <c r="E3344">
        <v>105</v>
      </c>
      <c r="F3344" t="s">
        <v>26</v>
      </c>
      <c r="G3344" t="s">
        <v>270</v>
      </c>
      <c r="H3344">
        <v>24</v>
      </c>
      <c r="I3344" s="11">
        <f>$E3344+0</f>
        <v>105</v>
      </c>
      <c r="J3344" s="12">
        <v>43800</v>
      </c>
      <c r="K3344" s="13">
        <f>$E3344+1</f>
        <v>106</v>
      </c>
      <c r="L3344" s="14">
        <f>IF($J3344=0,0,ROUND(MAX($J3344*1.4,1620000*(1.497923^(MIN($E3344,123)-117)))*1,0))</f>
        <v>61320</v>
      </c>
      <c r="M3344" s="11">
        <f>$E3344+2</f>
        <v>107</v>
      </c>
      <c r="N3344" s="12">
        <f>IF($J3344=0,0,ROUND(MAX($J3344*1.4*1.5,2190000*(1.580994^(MIN($E3344,123)-117)))*1,0))</f>
        <v>91980</v>
      </c>
      <c r="O3344" s="13">
        <f>$E3344+4</f>
        <v>109</v>
      </c>
      <c r="P3344" s="14">
        <f>IF($J3344=0,0,ROUND(MAX($J3344*1.4*1.5*1.6,3500000*(1.57975^(MIN($E3344,123)-117)))*1,0))</f>
        <v>147168</v>
      </c>
      <c r="Q3344" s="11">
        <f>$E3344+6</f>
        <v>111</v>
      </c>
      <c r="R3344" s="12">
        <f>IF($J3344=0,0,ROUND(MAX($J3344*1.4*1.5*1.6*1.6,13100000*(1.429962^(MIN($E3344,123)-117)))*1,0))</f>
        <v>235469</v>
      </c>
      <c r="S3344" s="13">
        <f>$E3344+8</f>
        <v>113</v>
      </c>
      <c r="T3344" s="14">
        <f>IF($J3344=0,0,ROUND(MAX($J3344*1.4*1.5*1.6*1.6*2.2,42600000*(1.576904^(MIN($E3344,123)-117)))*1,0))</f>
        <v>518031</v>
      </c>
      <c r="U3344" s="11">
        <f>$E3344+11</f>
        <v>116</v>
      </c>
      <c r="V3344" s="12">
        <f>IF($J3344=0,0,ROUND(MAX($J3344*1.4*1.5*1.6*1.6*2.2*2.715,354000000*(1.642074^(MIN($E3344,123)-117)))*1,0))</f>
        <v>1406455</v>
      </c>
      <c r="W3344" s="13">
        <f>$E3344+15</f>
        <v>120</v>
      </c>
      <c r="X3344" s="14">
        <f>IF($J3344=0,0,ROUND(MAX($J3344*1.4*1.5*1.6*1.6*2.2*2.715*2.6,3540000000*(1.579646^(MIN($E3344,123)-117)))*1,0))</f>
        <v>14665133</v>
      </c>
      <c r="Y3344" s="11">
        <f>$E3344+17</f>
        <v>122</v>
      </c>
      <c r="Z3344" s="12">
        <f>IF($J3344=0,0,ROUND(MAX($J3344*1.4*1.5*1.6*1.6*2.2*2.715*2.6*1.4,6020000000*(1.651178^(MIN($E3344,123)-117)))*1,0))</f>
        <v>14657833</v>
      </c>
      <c r="AA3344" s="13">
        <f>$E3344+19</f>
        <v>124</v>
      </c>
      <c r="AB3344" s="14">
        <f>IF($J3344=0,0,ROUND(MAX($J3344*1.4*1.5*1.6*1.6*2.2*2.715*2.6*1.4*1.4,8430000000*(1.651435^(MIN($E3344,123)-117)))*1,0))</f>
        <v>20487537</v>
      </c>
      <c r="AC3344" s="11">
        <f>$E3344+21</f>
        <v>126</v>
      </c>
      <c r="AD3344" s="12">
        <f>IF($J3344=0,0,ROUND(MAX($J3344*1.4*1.5*1.6*1.6*2.2*2.715*2.6*1.4*1.4*1.5,12600000000*(1.652953^(MIN($E3344,123)-117)))*1,0))</f>
        <v>30286179</v>
      </c>
      <c r="AE3344" s="13">
        <f>$E3344+24</f>
        <v>129</v>
      </c>
      <c r="AF3344" s="14">
        <f>IF($J3344=0,0,ROUND(MAX($J3344*1.4*1.5*1.6*1.6*2.2*2.715*2.6*1.4*1.4*1.5*1.5,18900000000*(1.65331^(MIN($E3344,123)-117)))*1,0))</f>
        <v>45311693</v>
      </c>
      <c r="AG3344" s="11">
        <f>$E3344+27</f>
        <v>132</v>
      </c>
      <c r="AH3344" s="12">
        <f>IF($J3344=0,0,ROUND(MAX($J3344*1.4*1.5*1.6*1.6*2.2*2.715*2.6*1.4*1.4*1.5*1.5*3.2,60500000000*(1.654288^(MIN($E3344,123)-117)))*1,0))</f>
        <v>144019713</v>
      </c>
    </row>
    <row r="3345" ht="28" customHeight="1" spans="1:34" x14ac:dyDescent="0.25">
      <c r="A3345">
        <v>3355</v>
      </c>
      <c r="B3345" t="s">
        <v>681</v>
      </c>
      <c r="C3345" s="10" t="s">
        <v>1777</v>
      </c>
      <c r="D3345" t="s">
        <v>33</v>
      </c>
      <c r="E3345">
        <v>105</v>
      </c>
      <c r="F3345" t="s">
        <v>71</v>
      </c>
      <c r="G3345" t="s">
        <v>562</v>
      </c>
      <c r="H3345">
        <v>24</v>
      </c>
      <c r="I3345" s="11">
        <f>$E3345+0</f>
        <v>105</v>
      </c>
      <c r="J3345" s="12">
        <v>809000</v>
      </c>
      <c r="K3345" s="13">
        <f>$E3345+1</f>
        <v>106</v>
      </c>
      <c r="L3345" s="14">
        <f>IF($J3345=0,0,ROUND(MAX($J3345*1.4,1620000*(1.497923^(MIN($E3345,123)-117)))*1,0))</f>
        <v>1132600</v>
      </c>
      <c r="M3345" s="11">
        <f>$E3345+2</f>
        <v>107</v>
      </c>
      <c r="N3345" s="12">
        <f>IF($J3345=0,0,ROUND(MAX($J3345*1.4*1.5,2190000*(1.580994^(MIN($E3345,123)-117)))*1,0))</f>
        <v>1698900</v>
      </c>
      <c r="O3345" s="13">
        <f>$E3345+4</f>
        <v>109</v>
      </c>
      <c r="P3345" s="14">
        <f>IF($J3345=0,0,ROUND(MAX($J3345*1.4*1.5*1.6,3500000*(1.57975^(MIN($E3345,123)-117)))*1,0))</f>
        <v>2718240</v>
      </c>
      <c r="Q3345" s="11">
        <f>$E3345+6</f>
        <v>111</v>
      </c>
      <c r="R3345" s="12">
        <f>IF($J3345=0,0,ROUND(MAX($J3345*1.4*1.5*1.6*1.6,13100000*(1.429962^(MIN($E3345,123)-117)))*1,0))</f>
        <v>4349184</v>
      </c>
      <c r="S3345" s="13">
        <f>$E3345+8</f>
        <v>113</v>
      </c>
      <c r="T3345" s="14">
        <f>IF($J3345=0,0,ROUND(MAX($J3345*1.4*1.5*1.6*1.6*2.2,42600000*(1.576904^(MIN($E3345,123)-117)))*1,0))</f>
        <v>9568205</v>
      </c>
      <c r="U3345" s="11">
        <f>$E3345+11</f>
        <v>116</v>
      </c>
      <c r="V3345" s="12">
        <f>IF($J3345=0,0,ROUND(MAX($J3345*1.4*1.5*1.6*1.6*2.2*2.715,354000000*(1.642074^(MIN($E3345,123)-117)))*1,0))</f>
        <v>25977676</v>
      </c>
      <c r="W3345" s="13">
        <f>$E3345+15</f>
        <v>120</v>
      </c>
      <c r="X3345" s="14">
        <f>IF($J3345=0,0,ROUND(MAX($J3345*1.4*1.5*1.6*1.6*2.2*2.715*2.6,3540000000*(1.579646^(MIN($E3345,123)-117)))*1,0))</f>
        <v>67541958</v>
      </c>
      <c r="Y3345" s="11">
        <f>$E3345+17</f>
        <v>122</v>
      </c>
      <c r="Z3345" s="12">
        <f>IF($J3345=0,0,ROUND(MAX($J3345*1.4*1.5*1.6*1.6*2.2*2.715*2.6*1.4,6020000000*(1.651178^(MIN($E3345,123)-117)))*1,0))</f>
        <v>94558741</v>
      </c>
      <c r="AA3345" s="13">
        <f>$E3345+19</f>
        <v>124</v>
      </c>
      <c r="AB3345" s="14">
        <f>IF($J3345=0,0,ROUND(MAX($J3345*1.4*1.5*1.6*1.6*2.2*2.715*2.6*1.4*1.4,8430000000*(1.651435^(MIN($E3345,123)-117)))*1,0))</f>
        <v>132382237</v>
      </c>
      <c r="AC3345" s="11">
        <f>$E3345+21</f>
        <v>126</v>
      </c>
      <c r="AD3345" s="12">
        <f>IF($J3345=0,0,ROUND(MAX($J3345*1.4*1.5*1.6*1.6*2.2*2.715*2.6*1.4*1.4*1.5,12600000000*(1.652953^(MIN($E3345,123)-117)))*1,0))</f>
        <v>198573356</v>
      </c>
      <c r="AE3345" s="13">
        <f>$E3345+24</f>
        <v>129</v>
      </c>
      <c r="AF3345" s="14">
        <f>IF($J3345=0,0,ROUND(MAX($J3345*1.4*1.5*1.6*1.6*2.2*2.715*2.6*1.4*1.4*1.5*1.5,18900000000*(1.65331^(MIN($E3345,123)-117)))*1,0))</f>
        <v>297860033</v>
      </c>
      <c r="AG3345" s="11">
        <f>$E3345+27</f>
        <v>132</v>
      </c>
      <c r="AH3345" s="12">
        <f>IF($J3345=0,0,ROUND(MAX($J3345*1.4*1.5*1.6*1.6*2.2*2.715*2.6*1.4*1.4*1.5*1.5*3.2,60500000000*(1.654288^(MIN($E3345,123)-117)))*1,0))</f>
        <v>953152107</v>
      </c>
    </row>
    <row r="3346" ht="28" customHeight="1" spans="1:34" x14ac:dyDescent="0.25">
      <c r="A3346">
        <v>3356</v>
      </c>
      <c r="B3346" t="s">
        <v>96</v>
      </c>
      <c r="C3346" s="10" t="s">
        <v>1777</v>
      </c>
      <c r="D3346" t="s">
        <v>40</v>
      </c>
      <c r="E3346">
        <v>105</v>
      </c>
      <c r="F3346" t="s">
        <v>97</v>
      </c>
      <c r="G3346" t="s">
        <v>562</v>
      </c>
      <c r="H3346">
        <v>24</v>
      </c>
      <c r="I3346" s="11">
        <f>$E3346+0</f>
        <v>105</v>
      </c>
      <c r="J3346" s="12">
        <v>21600</v>
      </c>
      <c r="K3346" s="13">
        <f>$E3346+1</f>
        <v>106</v>
      </c>
      <c r="L3346" s="14">
        <f>IF($J3346=0,0,ROUND(MAX($J3346*1.4,1620000*(1.497923^(MIN($E3346,123)-117)))*1,0))</f>
        <v>30240</v>
      </c>
      <c r="M3346" s="11">
        <f>$E3346+2</f>
        <v>107</v>
      </c>
      <c r="N3346" s="12">
        <f>IF($J3346=0,0,ROUND(MAX($J3346*1.4*1.5,2190000*(1.580994^(MIN($E3346,123)-117)))*1,0))</f>
        <v>45360</v>
      </c>
      <c r="O3346" s="13">
        <f>$E3346+4</f>
        <v>109</v>
      </c>
      <c r="P3346" s="14">
        <f>IF($J3346=0,0,ROUND(MAX($J3346*1.4*1.5*1.6,3500000*(1.57975^(MIN($E3346,123)-117)))*1,0))</f>
        <v>72576</v>
      </c>
      <c r="Q3346" s="11">
        <f>$E3346+6</f>
        <v>111</v>
      </c>
      <c r="R3346" s="12">
        <f>IF($J3346=0,0,ROUND(MAX($J3346*1.4*1.5*1.6*1.6,13100000*(1.429962^(MIN($E3346,123)-117)))*1,0))</f>
        <v>179216</v>
      </c>
      <c r="S3346" s="13">
        <f>$E3346+8</f>
        <v>113</v>
      </c>
      <c r="T3346" s="14">
        <f>IF($J3346=0,0,ROUND(MAX($J3346*1.4*1.5*1.6*1.6*2.2,42600000*(1.576904^(MIN($E3346,123)-117)))*1,0))</f>
        <v>255468</v>
      </c>
      <c r="U3346" s="11">
        <f>$E3346+11</f>
        <v>116</v>
      </c>
      <c r="V3346" s="12">
        <f>IF($J3346=0,0,ROUND(MAX($J3346*1.4*1.5*1.6*1.6*2.2*2.715,354000000*(1.642074^(MIN($E3346,123)-117)))*1,0))</f>
        <v>921066</v>
      </c>
      <c r="W3346" s="13">
        <f>$E3346+15</f>
        <v>120</v>
      </c>
      <c r="X3346" s="14">
        <f>IF($J3346=0,0,ROUND(MAX($J3346*1.4*1.5*1.6*1.6*2.2*2.715*2.6,3540000000*(1.579646^(MIN($E3346,123)-117)))*1,0))</f>
        <v>14665133</v>
      </c>
      <c r="Y3346" s="11">
        <f>$E3346+17</f>
        <v>122</v>
      </c>
      <c r="Z3346" s="12">
        <f>IF($J3346=0,0,ROUND(MAX($J3346*1.4*1.5*1.6*1.6*2.2*2.715*2.6*1.4,6020000000*(1.651178^(MIN($E3346,123)-117)))*1,0))</f>
        <v>14657833</v>
      </c>
      <c r="AA3346" s="13">
        <f>$E3346+19</f>
        <v>124</v>
      </c>
      <c r="AB3346" s="14">
        <f>IF($J3346=0,0,ROUND(MAX($J3346*1.4*1.5*1.6*1.6*2.2*2.715*2.6*1.4*1.4,8430000000*(1.651435^(MIN($E3346,123)-117)))*1,0))</f>
        <v>20487537</v>
      </c>
      <c r="AC3346" s="11">
        <f>$E3346+21</f>
        <v>126</v>
      </c>
      <c r="AD3346" s="12">
        <f>IF($J3346=0,0,ROUND(MAX($J3346*1.4*1.5*1.6*1.6*2.2*2.715*2.6*1.4*1.4*1.5,12600000000*(1.652953^(MIN($E3346,123)-117)))*1,0))</f>
        <v>30286179</v>
      </c>
      <c r="AE3346" s="13">
        <f>$E3346+24</f>
        <v>129</v>
      </c>
      <c r="AF3346" s="14">
        <f>IF($J3346=0,0,ROUND(MAX($J3346*1.4*1.5*1.6*1.6*2.2*2.715*2.6*1.4*1.4*1.5*1.5,18900000000*(1.65331^(MIN($E3346,123)-117)))*1,0))</f>
        <v>45311693</v>
      </c>
      <c r="AG3346" s="11">
        <f>$E3346+27</f>
        <v>132</v>
      </c>
      <c r="AH3346" s="12">
        <f>IF($J3346=0,0,ROUND(MAX($J3346*1.4*1.5*1.6*1.6*2.2*2.715*2.6*1.4*1.4*1.5*1.5*3.2,60500000000*(1.654288^(MIN($E3346,123)-117)))*1,0))</f>
        <v>144019713</v>
      </c>
    </row>
    <row r="3347" ht="28" customHeight="1" spans="1:34" x14ac:dyDescent="0.25">
      <c r="A3347">
        <v>3357</v>
      </c>
      <c r="B3347" t="s">
        <v>78</v>
      </c>
      <c r="C3347" s="10" t="s">
        <v>1777</v>
      </c>
      <c r="D3347" t="s">
        <v>79</v>
      </c>
      <c r="E3347">
        <v>105</v>
      </c>
      <c r="F3347" t="s">
        <v>30</v>
      </c>
      <c r="G3347" t="s">
        <v>562</v>
      </c>
      <c r="H3347">
        <v>24</v>
      </c>
      <c r="I3347" s="11">
        <f>$E3347+0</f>
        <v>105</v>
      </c>
      <c r="J3347" s="12">
        <v>86800</v>
      </c>
      <c r="K3347" s="13">
        <f>$E3347+1</f>
        <v>106</v>
      </c>
      <c r="L3347" s="14">
        <f>IF($J3347=0,0,ROUND(MAX($J3347*1.4,1620000*(1.497923^(MIN($E3347,123)-117)))*1,0))</f>
        <v>121520</v>
      </c>
      <c r="M3347" s="11">
        <f>$E3347+2</f>
        <v>107</v>
      </c>
      <c r="N3347" s="12">
        <f>IF($J3347=0,0,ROUND(MAX($J3347*1.4*1.5,2190000*(1.580994^(MIN($E3347,123)-117)))*1,0))</f>
        <v>182280</v>
      </c>
      <c r="O3347" s="13">
        <f>$E3347+4</f>
        <v>109</v>
      </c>
      <c r="P3347" s="14">
        <f>IF($J3347=0,0,ROUND(MAX($J3347*1.4*1.5*1.6,3500000*(1.57975^(MIN($E3347,123)-117)))*1,0))</f>
        <v>291648</v>
      </c>
      <c r="Q3347" s="11">
        <f>$E3347+6</f>
        <v>111</v>
      </c>
      <c r="R3347" s="12">
        <f>IF($J3347=0,0,ROUND(MAX($J3347*1.4*1.5*1.6*1.6,13100000*(1.429962^(MIN($E3347,123)-117)))*1,0))</f>
        <v>466637</v>
      </c>
      <c r="S3347" s="13">
        <f>$E3347+8</f>
        <v>113</v>
      </c>
      <c r="T3347" s="14">
        <f>IF($J3347=0,0,ROUND(MAX($J3347*1.4*1.5*1.6*1.6*2.2,42600000*(1.576904^(MIN($E3347,123)-117)))*1,0))</f>
        <v>1026601</v>
      </c>
      <c r="U3347" s="11">
        <f>$E3347+11</f>
        <v>116</v>
      </c>
      <c r="V3347" s="12">
        <f>IF($J3347=0,0,ROUND(MAX($J3347*1.4*1.5*1.6*1.6*2.2*2.715,354000000*(1.642074^(MIN($E3347,123)-117)))*1,0))</f>
        <v>2787222</v>
      </c>
      <c r="W3347" s="13">
        <f>$E3347+15</f>
        <v>120</v>
      </c>
      <c r="X3347" s="14">
        <f>IF($J3347=0,0,ROUND(MAX($J3347*1.4*1.5*1.6*1.6*2.2*2.715*2.6,3540000000*(1.579646^(MIN($E3347,123)-117)))*1,0))</f>
        <v>14665133</v>
      </c>
      <c r="Y3347" s="11">
        <f>$E3347+17</f>
        <v>122</v>
      </c>
      <c r="Z3347" s="12">
        <f>IF($J3347=0,0,ROUND(MAX($J3347*1.4*1.5*1.6*1.6*2.2*2.715*2.6*1.4,6020000000*(1.651178^(MIN($E3347,123)-117)))*1,0))</f>
        <v>14657833</v>
      </c>
      <c r="AA3347" s="13">
        <f>$E3347+19</f>
        <v>124</v>
      </c>
      <c r="AB3347" s="14">
        <f>IF($J3347=0,0,ROUND(MAX($J3347*1.4*1.5*1.6*1.6*2.2*2.715*2.6*1.4*1.4,8430000000*(1.651435^(MIN($E3347,123)-117)))*1,0))</f>
        <v>20487537</v>
      </c>
      <c r="AC3347" s="11">
        <f>$E3347+21</f>
        <v>126</v>
      </c>
      <c r="AD3347" s="12">
        <f>IF($J3347=0,0,ROUND(MAX($J3347*1.4*1.5*1.6*1.6*2.2*2.715*2.6*1.4*1.4*1.5,12600000000*(1.652953^(MIN($E3347,123)-117)))*1,0))</f>
        <v>30286179</v>
      </c>
      <c r="AE3347" s="13">
        <f>$E3347+24</f>
        <v>129</v>
      </c>
      <c r="AF3347" s="14">
        <f>IF($J3347=0,0,ROUND(MAX($J3347*1.4*1.5*1.6*1.6*2.2*2.715*2.6*1.4*1.4*1.5*1.5,18900000000*(1.65331^(MIN($E3347,123)-117)))*1,0))</f>
        <v>45311693</v>
      </c>
      <c r="AG3347" s="11">
        <f>$E3347+27</f>
        <v>132</v>
      </c>
      <c r="AH3347" s="12">
        <f>IF($J3347=0,0,ROUND(MAX($J3347*1.4*1.5*1.6*1.6*2.2*2.715*2.6*1.4*1.4*1.5*1.5*3.2,60500000000*(1.654288^(MIN($E3347,123)-117)))*1,0))</f>
        <v>144019713</v>
      </c>
    </row>
    <row r="3348" ht="28" customHeight="1" spans="1:34" x14ac:dyDescent="0.25">
      <c r="A3348">
        <v>3358</v>
      </c>
      <c r="B3348" t="s">
        <v>87</v>
      </c>
      <c r="C3348" s="10" t="s">
        <v>1777</v>
      </c>
      <c r="D3348" t="s">
        <v>40</v>
      </c>
      <c r="E3348">
        <v>105</v>
      </c>
      <c r="F3348" t="s">
        <v>88</v>
      </c>
      <c r="G3348" t="s">
        <v>562</v>
      </c>
      <c r="H3348">
        <v>24</v>
      </c>
      <c r="I3348" s="11">
        <f>$E3348+0</f>
        <v>105</v>
      </c>
      <c r="J3348" s="12">
        <v>32100</v>
      </c>
      <c r="K3348" s="13">
        <f>$E3348+1</f>
        <v>106</v>
      </c>
      <c r="L3348" s="14">
        <f>IF($J3348=0,0,ROUND(MAX($J3348*1.4,1620000*(1.497923^(MIN($E3348,123)-117)))*1,0))</f>
        <v>44940</v>
      </c>
      <c r="M3348" s="11">
        <f>$E3348+2</f>
        <v>107</v>
      </c>
      <c r="N3348" s="12">
        <f>IF($J3348=0,0,ROUND(MAX($J3348*1.4*1.5,2190000*(1.580994^(MIN($E3348,123)-117)))*1,0))</f>
        <v>67410</v>
      </c>
      <c r="O3348" s="13">
        <f>$E3348+4</f>
        <v>109</v>
      </c>
      <c r="P3348" s="14">
        <f>IF($J3348=0,0,ROUND(MAX($J3348*1.4*1.5*1.6,3500000*(1.57975^(MIN($E3348,123)-117)))*1,0))</f>
        <v>107856</v>
      </c>
      <c r="Q3348" s="11">
        <f>$E3348+6</f>
        <v>111</v>
      </c>
      <c r="R3348" s="12">
        <f>IF($J3348=0,0,ROUND(MAX($J3348*1.4*1.5*1.6*1.6,13100000*(1.429962^(MIN($E3348,123)-117)))*1,0))</f>
        <v>179216</v>
      </c>
      <c r="S3348" s="13">
        <f>$E3348+8</f>
        <v>113</v>
      </c>
      <c r="T3348" s="14">
        <f>IF($J3348=0,0,ROUND(MAX($J3348*1.4*1.5*1.6*1.6*2.2,42600000*(1.576904^(MIN($E3348,123)-117)))*1,0))</f>
        <v>379653</v>
      </c>
      <c r="U3348" s="11">
        <f>$E3348+11</f>
        <v>116</v>
      </c>
      <c r="V3348" s="12">
        <f>IF($J3348=0,0,ROUND(MAX($J3348*1.4*1.5*1.6*1.6*2.2*2.715,354000000*(1.642074^(MIN($E3348,123)-117)))*1,0))</f>
        <v>1030758</v>
      </c>
      <c r="W3348" s="13">
        <f>$E3348+15</f>
        <v>120</v>
      </c>
      <c r="X3348" s="14">
        <f>IF($J3348=0,0,ROUND(MAX($J3348*1.4*1.5*1.6*1.6*2.2*2.715*2.6,3540000000*(1.579646^(MIN($E3348,123)-117)))*1,0))</f>
        <v>14665133</v>
      </c>
      <c r="Y3348" s="11">
        <f>$E3348+17</f>
        <v>122</v>
      </c>
      <c r="Z3348" s="12">
        <f>IF($J3348=0,0,ROUND(MAX($J3348*1.4*1.5*1.6*1.6*2.2*2.715*2.6*1.4,6020000000*(1.651178^(MIN($E3348,123)-117)))*1,0))</f>
        <v>14657833</v>
      </c>
      <c r="AA3348" s="13">
        <f>$E3348+19</f>
        <v>124</v>
      </c>
      <c r="AB3348" s="14">
        <f>IF($J3348=0,0,ROUND(MAX($J3348*1.4*1.5*1.6*1.6*2.2*2.715*2.6*1.4*1.4,8430000000*(1.651435^(MIN($E3348,123)-117)))*1,0))</f>
        <v>20487537</v>
      </c>
      <c r="AC3348" s="11">
        <f>$E3348+21</f>
        <v>126</v>
      </c>
      <c r="AD3348" s="12">
        <f>IF($J3348=0,0,ROUND(MAX($J3348*1.4*1.5*1.6*1.6*2.2*2.715*2.6*1.4*1.4*1.5,12600000000*(1.652953^(MIN($E3348,123)-117)))*1,0))</f>
        <v>30286179</v>
      </c>
      <c r="AE3348" s="13">
        <f>$E3348+24</f>
        <v>129</v>
      </c>
      <c r="AF3348" s="14">
        <f>IF($J3348=0,0,ROUND(MAX($J3348*1.4*1.5*1.6*1.6*2.2*2.715*2.6*1.4*1.4*1.5*1.5,18900000000*(1.65331^(MIN($E3348,123)-117)))*1,0))</f>
        <v>45311693</v>
      </c>
      <c r="AG3348" s="11">
        <f>$E3348+27</f>
        <v>132</v>
      </c>
      <c r="AH3348" s="12">
        <f>IF($J3348=0,0,ROUND(MAX($J3348*1.4*1.5*1.6*1.6*2.2*2.715*2.6*1.4*1.4*1.5*1.5*3.2,60500000000*(1.654288^(MIN($E3348,123)-117)))*1,0))</f>
        <v>144019713</v>
      </c>
    </row>
    <row r="3349" ht="28" customHeight="1" spans="1:34" x14ac:dyDescent="0.25">
      <c r="A3349">
        <v>3359</v>
      </c>
      <c r="B3349" t="s">
        <v>149</v>
      </c>
      <c r="C3349" s="10" t="s">
        <v>1777</v>
      </c>
      <c r="D3349" t="s">
        <v>33</v>
      </c>
      <c r="E3349">
        <v>105</v>
      </c>
      <c r="F3349" t="s">
        <v>56</v>
      </c>
      <c r="G3349" t="s">
        <v>562</v>
      </c>
      <c r="H3349">
        <v>24</v>
      </c>
      <c r="I3349" s="11">
        <f>$E3349+0</f>
        <v>105</v>
      </c>
      <c r="J3349" s="12">
        <v>38800</v>
      </c>
      <c r="K3349" s="13">
        <f>$E3349+1</f>
        <v>106</v>
      </c>
      <c r="L3349" s="14">
        <f>IF($J3349=0,0,ROUND(MAX($J3349*1.4,1620000*(1.497923^(MIN($E3349,123)-117)))*1,0))</f>
        <v>54320</v>
      </c>
      <c r="M3349" s="11">
        <f>$E3349+2</f>
        <v>107</v>
      </c>
      <c r="N3349" s="12">
        <f>IF($J3349=0,0,ROUND(MAX($J3349*1.4*1.5,2190000*(1.580994^(MIN($E3349,123)-117)))*1,0))</f>
        <v>81480</v>
      </c>
      <c r="O3349" s="13">
        <f>$E3349+4</f>
        <v>109</v>
      </c>
      <c r="P3349" s="14">
        <f>IF($J3349=0,0,ROUND(MAX($J3349*1.4*1.5*1.6,3500000*(1.57975^(MIN($E3349,123)-117)))*1,0))</f>
        <v>130368</v>
      </c>
      <c r="Q3349" s="11">
        <f>$E3349+6</f>
        <v>111</v>
      </c>
      <c r="R3349" s="12">
        <f>IF($J3349=0,0,ROUND(MAX($J3349*1.4*1.5*1.6*1.6,13100000*(1.429962^(MIN($E3349,123)-117)))*1,0))</f>
        <v>208589</v>
      </c>
      <c r="S3349" s="13">
        <f>$E3349+8</f>
        <v>113</v>
      </c>
      <c r="T3349" s="14">
        <f>IF($J3349=0,0,ROUND(MAX($J3349*1.4*1.5*1.6*1.6*2.2,42600000*(1.576904^(MIN($E3349,123)-117)))*1,0))</f>
        <v>458895</v>
      </c>
      <c r="U3349" s="11">
        <f>$E3349+11</f>
        <v>116</v>
      </c>
      <c r="V3349" s="12">
        <f>IF($J3349=0,0,ROUND(MAX($J3349*1.4*1.5*1.6*1.6*2.2*2.715,354000000*(1.642074^(MIN($E3349,123)-117)))*1,0))</f>
        <v>1245901</v>
      </c>
      <c r="W3349" s="13">
        <f>$E3349+15</f>
        <v>120</v>
      </c>
      <c r="X3349" s="14">
        <f>IF($J3349=0,0,ROUND(MAX($J3349*1.4*1.5*1.6*1.6*2.2*2.715*2.6,3540000000*(1.579646^(MIN($E3349,123)-117)))*1,0))</f>
        <v>14665133</v>
      </c>
      <c r="Y3349" s="11">
        <f>$E3349+17</f>
        <v>122</v>
      </c>
      <c r="Z3349" s="12">
        <f>IF($J3349=0,0,ROUND(MAX($J3349*1.4*1.5*1.6*1.6*2.2*2.715*2.6*1.4,6020000000*(1.651178^(MIN($E3349,123)-117)))*1,0))</f>
        <v>14657833</v>
      </c>
      <c r="AA3349" s="13">
        <f>$E3349+19</f>
        <v>124</v>
      </c>
      <c r="AB3349" s="14">
        <f>IF($J3349=0,0,ROUND(MAX($J3349*1.4*1.5*1.6*1.6*2.2*2.715*2.6*1.4*1.4,8430000000*(1.651435^(MIN($E3349,123)-117)))*1,0))</f>
        <v>20487537</v>
      </c>
      <c r="AC3349" s="11">
        <f>$E3349+21</f>
        <v>126</v>
      </c>
      <c r="AD3349" s="12">
        <f>IF($J3349=0,0,ROUND(MAX($J3349*1.4*1.5*1.6*1.6*2.2*2.715*2.6*1.4*1.4*1.5,12600000000*(1.652953^(MIN($E3349,123)-117)))*1,0))</f>
        <v>30286179</v>
      </c>
      <c r="AE3349" s="13">
        <f>$E3349+24</f>
        <v>129</v>
      </c>
      <c r="AF3349" s="14">
        <f>IF($J3349=0,0,ROUND(MAX($J3349*1.4*1.5*1.6*1.6*2.2*2.715*2.6*1.4*1.4*1.5*1.5,18900000000*(1.65331^(MIN($E3349,123)-117)))*1,0))</f>
        <v>45311693</v>
      </c>
      <c r="AG3349" s="11">
        <f>$E3349+27</f>
        <v>132</v>
      </c>
      <c r="AH3349" s="12">
        <f>IF($J3349=0,0,ROUND(MAX($J3349*1.4*1.5*1.6*1.6*2.2*2.715*2.6*1.4*1.4*1.5*1.5*3.2,60500000000*(1.654288^(MIN($E3349,123)-117)))*1,0))</f>
        <v>144019713</v>
      </c>
    </row>
    <row r="3350" ht="28" customHeight="1" spans="1:34" x14ac:dyDescent="0.25">
      <c r="A3350">
        <v>3360</v>
      </c>
      <c r="B3350" t="s">
        <v>143</v>
      </c>
      <c r="C3350" s="10" t="s">
        <v>1777</v>
      </c>
      <c r="D3350" t="s">
        <v>25</v>
      </c>
      <c r="E3350">
        <v>105</v>
      </c>
      <c r="F3350" t="s">
        <v>144</v>
      </c>
      <c r="G3350" t="s">
        <v>562</v>
      </c>
      <c r="H3350">
        <v>24</v>
      </c>
      <c r="I3350" s="11">
        <f>$E3350+0</f>
        <v>105</v>
      </c>
      <c r="J3350" s="12">
        <v>589000</v>
      </c>
      <c r="K3350" s="13">
        <f>$E3350+1</f>
        <v>106</v>
      </c>
      <c r="L3350" s="14">
        <f>IF($J3350=0,0,ROUND(MAX($J3350*1.4,1620000*(1.497923^(MIN($E3350,123)-117)))*1,0))</f>
        <v>824600</v>
      </c>
      <c r="M3350" s="11">
        <f>$E3350+2</f>
        <v>107</v>
      </c>
      <c r="N3350" s="12">
        <f>IF($J3350=0,0,ROUND(MAX($J3350*1.4*1.5,2190000*(1.580994^(MIN($E3350,123)-117)))*1,0))</f>
        <v>1236900</v>
      </c>
      <c r="O3350" s="13">
        <f>$E3350+4</f>
        <v>109</v>
      </c>
      <c r="P3350" s="14">
        <f>IF($J3350=0,0,ROUND(MAX($J3350*1.4*1.5*1.6,3500000*(1.57975^(MIN($E3350,123)-117)))*1,0))</f>
        <v>1979040</v>
      </c>
      <c r="Q3350" s="11">
        <f>$E3350+6</f>
        <v>111</v>
      </c>
      <c r="R3350" s="12">
        <f>IF($J3350=0,0,ROUND(MAX($J3350*1.4*1.5*1.6*1.6,13100000*(1.429962^(MIN($E3350,123)-117)))*1,0))</f>
        <v>3166464</v>
      </c>
      <c r="S3350" s="13">
        <f>$E3350+8</f>
        <v>113</v>
      </c>
      <c r="T3350" s="14">
        <f>IF($J3350=0,0,ROUND(MAX($J3350*1.4*1.5*1.6*1.6*2.2,42600000*(1.576904^(MIN($E3350,123)-117)))*1,0))</f>
        <v>6966221</v>
      </c>
      <c r="U3350" s="11">
        <f>$E3350+11</f>
        <v>116</v>
      </c>
      <c r="V3350" s="12">
        <f>IF($J3350=0,0,ROUND(MAX($J3350*1.4*1.5*1.6*1.6*2.2*2.715,354000000*(1.642074^(MIN($E3350,123)-117)))*1,0))</f>
        <v>18913289</v>
      </c>
      <c r="W3350" s="13">
        <f>$E3350+15</f>
        <v>120</v>
      </c>
      <c r="X3350" s="14">
        <f>IF($J3350=0,0,ROUND(MAX($J3350*1.4*1.5*1.6*1.6*2.2*2.715*2.6,3540000000*(1.579646^(MIN($E3350,123)-117)))*1,0))</f>
        <v>49174553</v>
      </c>
      <c r="Y3350" s="11">
        <f>$E3350+17</f>
        <v>122</v>
      </c>
      <c r="Z3350" s="12">
        <f>IF($J3350=0,0,ROUND(MAX($J3350*1.4*1.5*1.6*1.6*2.2*2.715*2.6*1.4,6020000000*(1.651178^(MIN($E3350,123)-117)))*1,0))</f>
        <v>68844374</v>
      </c>
      <c r="AA3350" s="13">
        <f>$E3350+19</f>
        <v>124</v>
      </c>
      <c r="AB3350" s="14">
        <f>IF($J3350=0,0,ROUND(MAX($J3350*1.4*1.5*1.6*1.6*2.2*2.715*2.6*1.4*1.4,8430000000*(1.651435^(MIN($E3350,123)-117)))*1,0))</f>
        <v>96382123</v>
      </c>
      <c r="AC3350" s="11">
        <f>$E3350+21</f>
        <v>126</v>
      </c>
      <c r="AD3350" s="12">
        <f>IF($J3350=0,0,ROUND(MAX($J3350*1.4*1.5*1.6*1.6*2.2*2.715*2.6*1.4*1.4*1.5,12600000000*(1.652953^(MIN($E3350,123)-117)))*1,0))</f>
        <v>144573185</v>
      </c>
      <c r="AE3350" s="13">
        <f>$E3350+24</f>
        <v>129</v>
      </c>
      <c r="AF3350" s="14">
        <f>IF($J3350=0,0,ROUND(MAX($J3350*1.4*1.5*1.6*1.6*2.2*2.715*2.6*1.4*1.4*1.5*1.5,18900000000*(1.65331^(MIN($E3350,123)-117)))*1,0))</f>
        <v>216859777</v>
      </c>
      <c r="AG3350" s="11">
        <f>$E3350+27</f>
        <v>132</v>
      </c>
      <c r="AH3350" s="12">
        <f>IF($J3350=0,0,ROUND(MAX($J3350*1.4*1.5*1.6*1.6*2.2*2.715*2.6*1.4*1.4*1.5*1.5*3.2,60500000000*(1.654288^(MIN($E3350,123)-117)))*1,0))</f>
        <v>693951287</v>
      </c>
    </row>
    <row r="3351" ht="28" customHeight="1" spans="1:34" x14ac:dyDescent="0.25">
      <c r="A3351">
        <v>3361</v>
      </c>
      <c r="B3351" t="s">
        <v>110</v>
      </c>
      <c r="C3351" s="10" t="s">
        <v>1777</v>
      </c>
      <c r="D3351" t="s">
        <v>64</v>
      </c>
      <c r="E3351">
        <v>105</v>
      </c>
      <c r="F3351" t="s">
        <v>59</v>
      </c>
      <c r="G3351" t="s">
        <v>562</v>
      </c>
      <c r="H3351">
        <v>24</v>
      </c>
      <c r="I3351" s="11">
        <f>$E3351+0</f>
        <v>105</v>
      </c>
      <c r="J3351" s="12">
        <v>33400</v>
      </c>
      <c r="K3351" s="13">
        <f>$E3351+1</f>
        <v>106</v>
      </c>
      <c r="L3351" s="14">
        <f>IF($J3351=0,0,ROUND(MAX($J3351*1.4,1620000*(1.497923^(MIN($E3351,123)-117)))*1,0))</f>
        <v>46760</v>
      </c>
      <c r="M3351" s="11">
        <f>$E3351+2</f>
        <v>107</v>
      </c>
      <c r="N3351" s="12">
        <f>IF($J3351=0,0,ROUND(MAX($J3351*1.4*1.5,2190000*(1.580994^(MIN($E3351,123)-117)))*1,0))</f>
        <v>70140</v>
      </c>
      <c r="O3351" s="13">
        <f>$E3351+4</f>
        <v>109</v>
      </c>
      <c r="P3351" s="14">
        <f>IF($J3351=0,0,ROUND(MAX($J3351*1.4*1.5*1.6,3500000*(1.57975^(MIN($E3351,123)-117)))*1,0))</f>
        <v>112224</v>
      </c>
      <c r="Q3351" s="11">
        <f>$E3351+6</f>
        <v>111</v>
      </c>
      <c r="R3351" s="12">
        <f>IF($J3351=0,0,ROUND(MAX($J3351*1.4*1.5*1.6*1.6,13100000*(1.429962^(MIN($E3351,123)-117)))*1,0))</f>
        <v>179558</v>
      </c>
      <c r="S3351" s="13">
        <f>$E3351+8</f>
        <v>113</v>
      </c>
      <c r="T3351" s="14">
        <f>IF($J3351=0,0,ROUND(MAX($J3351*1.4*1.5*1.6*1.6*2.2,42600000*(1.576904^(MIN($E3351,123)-117)))*1,0))</f>
        <v>395028</v>
      </c>
      <c r="U3351" s="11">
        <f>$E3351+11</f>
        <v>116</v>
      </c>
      <c r="V3351" s="12">
        <f>IF($J3351=0,0,ROUND(MAX($J3351*1.4*1.5*1.6*1.6*2.2*2.715,354000000*(1.642074^(MIN($E3351,123)-117)))*1,0))</f>
        <v>1072502</v>
      </c>
      <c r="W3351" s="13">
        <f>$E3351+15</f>
        <v>120</v>
      </c>
      <c r="X3351" s="14">
        <f>IF($J3351=0,0,ROUND(MAX($J3351*1.4*1.5*1.6*1.6*2.2*2.715*2.6,3540000000*(1.579646^(MIN($E3351,123)-117)))*1,0))</f>
        <v>14665133</v>
      </c>
      <c r="Y3351" s="11">
        <f>$E3351+17</f>
        <v>122</v>
      </c>
      <c r="Z3351" s="12">
        <f>IF($J3351=0,0,ROUND(MAX($J3351*1.4*1.5*1.6*1.6*2.2*2.715*2.6*1.4,6020000000*(1.651178^(MIN($E3351,123)-117)))*1,0))</f>
        <v>14657833</v>
      </c>
      <c r="AA3351" s="13">
        <f>$E3351+19</f>
        <v>124</v>
      </c>
      <c r="AB3351" s="14">
        <f>IF($J3351=0,0,ROUND(MAX($J3351*1.4*1.5*1.6*1.6*2.2*2.715*2.6*1.4*1.4,8430000000*(1.651435^(MIN($E3351,123)-117)))*1,0))</f>
        <v>20487537</v>
      </c>
      <c r="AC3351" s="11">
        <f>$E3351+21</f>
        <v>126</v>
      </c>
      <c r="AD3351" s="12">
        <f>IF($J3351=0,0,ROUND(MAX($J3351*1.4*1.5*1.6*1.6*2.2*2.715*2.6*1.4*1.4*1.5,12600000000*(1.652953^(MIN($E3351,123)-117)))*1,0))</f>
        <v>30286179</v>
      </c>
      <c r="AE3351" s="13">
        <f>$E3351+24</f>
        <v>129</v>
      </c>
      <c r="AF3351" s="14">
        <f>IF($J3351=0,0,ROUND(MAX($J3351*1.4*1.5*1.6*1.6*2.2*2.715*2.6*1.4*1.4*1.5*1.5,18900000000*(1.65331^(MIN($E3351,123)-117)))*1,0))</f>
        <v>45311693</v>
      </c>
      <c r="AG3351" s="11">
        <f>$E3351+27</f>
        <v>132</v>
      </c>
      <c r="AH3351" s="12">
        <f>IF($J3351=0,0,ROUND(MAX($J3351*1.4*1.5*1.6*1.6*2.2*2.715*2.6*1.4*1.4*1.5*1.5*3.2,60500000000*(1.654288^(MIN($E3351,123)-117)))*1,0))</f>
        <v>144019713</v>
      </c>
    </row>
    <row r="3352" ht="28" customHeight="1" spans="1:34" x14ac:dyDescent="0.25">
      <c r="A3352">
        <v>3362</v>
      </c>
      <c r="B3352" t="s">
        <v>130</v>
      </c>
      <c r="C3352" s="10" t="s">
        <v>1777</v>
      </c>
      <c r="D3352" t="s">
        <v>25</v>
      </c>
      <c r="E3352">
        <v>105</v>
      </c>
      <c r="F3352" t="s">
        <v>56</v>
      </c>
      <c r="G3352" t="s">
        <v>562</v>
      </c>
      <c r="H3352">
        <v>24</v>
      </c>
      <c r="I3352" s="11">
        <f>$E3352+0</f>
        <v>105</v>
      </c>
      <c r="J3352" s="12">
        <v>19100</v>
      </c>
      <c r="K3352" s="13">
        <f>$E3352+1</f>
        <v>106</v>
      </c>
      <c r="L3352" s="14">
        <f>IF($J3352=0,0,ROUND(MAX($J3352*1.4,1620000*(1.497923^(MIN($E3352,123)-117)))*1,0))</f>
        <v>26740</v>
      </c>
      <c r="M3352" s="11">
        <f>$E3352+2</f>
        <v>107</v>
      </c>
      <c r="N3352" s="12">
        <f>IF($J3352=0,0,ROUND(MAX($J3352*1.4*1.5,2190000*(1.580994^(MIN($E3352,123)-117)))*1,0))</f>
        <v>40110</v>
      </c>
      <c r="O3352" s="13">
        <f>$E3352+4</f>
        <v>109</v>
      </c>
      <c r="P3352" s="14">
        <f>IF($J3352=0,0,ROUND(MAX($J3352*1.4*1.5*1.6,3500000*(1.57975^(MIN($E3352,123)-117)))*1,0))</f>
        <v>64176</v>
      </c>
      <c r="Q3352" s="11">
        <f>$E3352+6</f>
        <v>111</v>
      </c>
      <c r="R3352" s="12">
        <f>IF($J3352=0,0,ROUND(MAX($J3352*1.4*1.5*1.6*1.6,13100000*(1.429962^(MIN($E3352,123)-117)))*1,0))</f>
        <v>179216</v>
      </c>
      <c r="S3352" s="13">
        <f>$E3352+8</f>
        <v>113</v>
      </c>
      <c r="T3352" s="14">
        <f>IF($J3352=0,0,ROUND(MAX($J3352*1.4*1.5*1.6*1.6*2.2,42600000*(1.576904^(MIN($E3352,123)-117)))*1,0))</f>
        <v>225900</v>
      </c>
      <c r="U3352" s="11">
        <f>$E3352+11</f>
        <v>116</v>
      </c>
      <c r="V3352" s="12">
        <f>IF($J3352=0,0,ROUND(MAX($J3352*1.4*1.5*1.6*1.6*2.2*2.715,354000000*(1.642074^(MIN($E3352,123)-117)))*1,0))</f>
        <v>921066</v>
      </c>
      <c r="W3352" s="13">
        <f>$E3352+15</f>
        <v>120</v>
      </c>
      <c r="X3352" s="14">
        <f>IF($J3352=0,0,ROUND(MAX($J3352*1.4*1.5*1.6*1.6*2.2*2.715*2.6,3540000000*(1.579646^(MIN($E3352,123)-117)))*1,0))</f>
        <v>14665133</v>
      </c>
      <c r="Y3352" s="11">
        <f>$E3352+17</f>
        <v>122</v>
      </c>
      <c r="Z3352" s="12">
        <f>IF($J3352=0,0,ROUND(MAX($J3352*1.4*1.5*1.6*1.6*2.2*2.715*2.6*1.4,6020000000*(1.651178^(MIN($E3352,123)-117)))*1,0))</f>
        <v>14657833</v>
      </c>
      <c r="AA3352" s="13">
        <f>$E3352+19</f>
        <v>124</v>
      </c>
      <c r="AB3352" s="14">
        <f>IF($J3352=0,0,ROUND(MAX($J3352*1.4*1.5*1.6*1.6*2.2*2.715*2.6*1.4*1.4,8430000000*(1.651435^(MIN($E3352,123)-117)))*1,0))</f>
        <v>20487537</v>
      </c>
      <c r="AC3352" s="11">
        <f>$E3352+21</f>
        <v>126</v>
      </c>
      <c r="AD3352" s="12">
        <f>IF($J3352=0,0,ROUND(MAX($J3352*1.4*1.5*1.6*1.6*2.2*2.715*2.6*1.4*1.4*1.5,12600000000*(1.652953^(MIN($E3352,123)-117)))*1,0))</f>
        <v>30286179</v>
      </c>
      <c r="AE3352" s="13">
        <f>$E3352+24</f>
        <v>129</v>
      </c>
      <c r="AF3352" s="14">
        <f>IF($J3352=0,0,ROUND(MAX($J3352*1.4*1.5*1.6*1.6*2.2*2.715*2.6*1.4*1.4*1.5*1.5,18900000000*(1.65331^(MIN($E3352,123)-117)))*1,0))</f>
        <v>45311693</v>
      </c>
      <c r="AG3352" s="11">
        <f>$E3352+27</f>
        <v>132</v>
      </c>
      <c r="AH3352" s="12">
        <f>IF($J3352=0,0,ROUND(MAX($J3352*1.4*1.5*1.6*1.6*2.2*2.715*2.6*1.4*1.4*1.5*1.5*3.2,60500000000*(1.654288^(MIN($E3352,123)-117)))*1,0))</f>
        <v>144019713</v>
      </c>
    </row>
    <row r="3353" ht="28" customHeight="1" spans="1:34" x14ac:dyDescent="0.25">
      <c r="A3353">
        <v>3363</v>
      </c>
      <c r="B3353" t="s">
        <v>74</v>
      </c>
      <c r="C3353" s="10" t="s">
        <v>1777</v>
      </c>
      <c r="D3353" t="s">
        <v>33</v>
      </c>
      <c r="E3353">
        <v>105</v>
      </c>
      <c r="F3353" t="s">
        <v>62</v>
      </c>
      <c r="G3353" t="s">
        <v>562</v>
      </c>
      <c r="H3353">
        <v>24</v>
      </c>
      <c r="I3353" s="11">
        <f>$E3353+0</f>
        <v>105</v>
      </c>
      <c r="J3353" s="12">
        <v>106000</v>
      </c>
      <c r="K3353" s="13">
        <f>$E3353+1</f>
        <v>106</v>
      </c>
      <c r="L3353" s="14">
        <f>IF($J3353=0,0,ROUND(MAX($J3353*1.4,1620000*(1.497923^(MIN($E3353,123)-117)))*1,0))</f>
        <v>148400</v>
      </c>
      <c r="M3353" s="11">
        <f>$E3353+2</f>
        <v>107</v>
      </c>
      <c r="N3353" s="12">
        <f>IF($J3353=0,0,ROUND(MAX($J3353*1.4*1.5,2190000*(1.580994^(MIN($E3353,123)-117)))*1,0))</f>
        <v>222600</v>
      </c>
      <c r="O3353" s="13">
        <f>$E3353+4</f>
        <v>109</v>
      </c>
      <c r="P3353" s="14">
        <f>IF($J3353=0,0,ROUND(MAX($J3353*1.4*1.5*1.6,3500000*(1.57975^(MIN($E3353,123)-117)))*1,0))</f>
        <v>356160</v>
      </c>
      <c r="Q3353" s="11">
        <f>$E3353+6</f>
        <v>111</v>
      </c>
      <c r="R3353" s="12">
        <f>IF($J3353=0,0,ROUND(MAX($J3353*1.4*1.5*1.6*1.6,13100000*(1.429962^(MIN($E3353,123)-117)))*1,0))</f>
        <v>569856</v>
      </c>
      <c r="S3353" s="13">
        <f>$E3353+8</f>
        <v>113</v>
      </c>
      <c r="T3353" s="14">
        <f>IF($J3353=0,0,ROUND(MAX($J3353*1.4*1.5*1.6*1.6*2.2,42600000*(1.576904^(MIN($E3353,123)-117)))*1,0))</f>
        <v>1253683</v>
      </c>
      <c r="U3353" s="11">
        <f>$E3353+11</f>
        <v>116</v>
      </c>
      <c r="V3353" s="12">
        <f>IF($J3353=0,0,ROUND(MAX($J3353*1.4*1.5*1.6*1.6*2.2*2.715,354000000*(1.642074^(MIN($E3353,123)-117)))*1,0))</f>
        <v>3403750</v>
      </c>
      <c r="W3353" s="13">
        <f>$E3353+15</f>
        <v>120</v>
      </c>
      <c r="X3353" s="14">
        <f>IF($J3353=0,0,ROUND(MAX($J3353*1.4*1.5*1.6*1.6*2.2*2.715*2.6,3540000000*(1.579646^(MIN($E3353,123)-117)))*1,0))</f>
        <v>14665133</v>
      </c>
      <c r="Y3353" s="11">
        <f>$E3353+17</f>
        <v>122</v>
      </c>
      <c r="Z3353" s="12">
        <f>IF($J3353=0,0,ROUND(MAX($J3353*1.4*1.5*1.6*1.6*2.2*2.715*2.6*1.4,6020000000*(1.651178^(MIN($E3353,123)-117)))*1,0))</f>
        <v>14657833</v>
      </c>
      <c r="AA3353" s="13">
        <f>$E3353+19</f>
        <v>124</v>
      </c>
      <c r="AB3353" s="14">
        <f>IF($J3353=0,0,ROUND(MAX($J3353*1.4*1.5*1.6*1.6*2.2*2.715*2.6*1.4*1.4,8430000000*(1.651435^(MIN($E3353,123)-117)))*1,0))</f>
        <v>20487537</v>
      </c>
      <c r="AC3353" s="11">
        <f>$E3353+21</f>
        <v>126</v>
      </c>
      <c r="AD3353" s="12">
        <f>IF($J3353=0,0,ROUND(MAX($J3353*1.4*1.5*1.6*1.6*2.2*2.715*2.6*1.4*1.4*1.5,12600000000*(1.652953^(MIN($E3353,123)-117)))*1,0))</f>
        <v>30286179</v>
      </c>
      <c r="AE3353" s="13">
        <f>$E3353+24</f>
        <v>129</v>
      </c>
      <c r="AF3353" s="14">
        <f>IF($J3353=0,0,ROUND(MAX($J3353*1.4*1.5*1.6*1.6*2.2*2.715*2.6*1.4*1.4*1.5*1.5,18900000000*(1.65331^(MIN($E3353,123)-117)))*1,0))</f>
        <v>45311693</v>
      </c>
      <c r="AG3353" s="11">
        <f>$E3353+27</f>
        <v>132</v>
      </c>
      <c r="AH3353" s="12">
        <f>IF($J3353=0,0,ROUND(MAX($J3353*1.4*1.5*1.6*1.6*2.2*2.715*2.6*1.4*1.4*1.5*1.5*3.2,60500000000*(1.654288^(MIN($E3353,123)-117)))*1,0))</f>
        <v>144019713</v>
      </c>
    </row>
    <row r="3354" ht="28" customHeight="1" spans="1:34" x14ac:dyDescent="0.25">
      <c r="A3354">
        <v>3364</v>
      </c>
      <c r="B3354" t="s">
        <v>121</v>
      </c>
      <c r="C3354" s="10" t="s">
        <v>1777</v>
      </c>
      <c r="D3354" t="s">
        <v>29</v>
      </c>
      <c r="E3354">
        <v>105</v>
      </c>
      <c r="F3354" t="s">
        <v>62</v>
      </c>
      <c r="G3354" t="s">
        <v>562</v>
      </c>
      <c r="H3354">
        <v>24</v>
      </c>
      <c r="I3354" s="11">
        <f>$E3354+0</f>
        <v>105</v>
      </c>
      <c r="J3354" s="12">
        <v>24200</v>
      </c>
      <c r="K3354" s="13">
        <f>$E3354+1</f>
        <v>106</v>
      </c>
      <c r="L3354" s="14">
        <f>IF($J3354=0,0,ROUND(MAX($J3354*1.4,1620000*(1.497923^(MIN($E3354,123)-117)))*1,0))</f>
        <v>33880</v>
      </c>
      <c r="M3354" s="11">
        <f>$E3354+2</f>
        <v>107</v>
      </c>
      <c r="N3354" s="12">
        <f>IF($J3354=0,0,ROUND(MAX($J3354*1.4*1.5,2190000*(1.580994^(MIN($E3354,123)-117)))*1,0))</f>
        <v>50820</v>
      </c>
      <c r="O3354" s="13">
        <f>$E3354+4</f>
        <v>109</v>
      </c>
      <c r="P3354" s="14">
        <f>IF($J3354=0,0,ROUND(MAX($J3354*1.4*1.5*1.6,3500000*(1.57975^(MIN($E3354,123)-117)))*1,0))</f>
        <v>81312</v>
      </c>
      <c r="Q3354" s="11">
        <f>$E3354+6</f>
        <v>111</v>
      </c>
      <c r="R3354" s="12">
        <f>IF($J3354=0,0,ROUND(MAX($J3354*1.4*1.5*1.6*1.6,13100000*(1.429962^(MIN($E3354,123)-117)))*1,0))</f>
        <v>179216</v>
      </c>
      <c r="S3354" s="13">
        <f>$E3354+8</f>
        <v>113</v>
      </c>
      <c r="T3354" s="14">
        <f>IF($J3354=0,0,ROUND(MAX($J3354*1.4*1.5*1.6*1.6*2.2,42600000*(1.576904^(MIN($E3354,123)-117)))*1,0))</f>
        <v>286218</v>
      </c>
      <c r="U3354" s="11">
        <f>$E3354+11</f>
        <v>116</v>
      </c>
      <c r="V3354" s="12">
        <f>IF($J3354=0,0,ROUND(MAX($J3354*1.4*1.5*1.6*1.6*2.2*2.715,354000000*(1.642074^(MIN($E3354,123)-117)))*1,0))</f>
        <v>921066</v>
      </c>
      <c r="W3354" s="13">
        <f>$E3354+15</f>
        <v>120</v>
      </c>
      <c r="X3354" s="14">
        <f>IF($J3354=0,0,ROUND(MAX($J3354*1.4*1.5*1.6*1.6*2.2*2.715*2.6,3540000000*(1.579646^(MIN($E3354,123)-117)))*1,0))</f>
        <v>14665133</v>
      </c>
      <c r="Y3354" s="11">
        <f>$E3354+17</f>
        <v>122</v>
      </c>
      <c r="Z3354" s="12">
        <f>IF($J3354=0,0,ROUND(MAX($J3354*1.4*1.5*1.6*1.6*2.2*2.715*2.6*1.4,6020000000*(1.651178^(MIN($E3354,123)-117)))*1,0))</f>
        <v>14657833</v>
      </c>
      <c r="AA3354" s="13">
        <f>$E3354+19</f>
        <v>124</v>
      </c>
      <c r="AB3354" s="14">
        <f>IF($J3354=0,0,ROUND(MAX($J3354*1.4*1.5*1.6*1.6*2.2*2.715*2.6*1.4*1.4,8430000000*(1.651435^(MIN($E3354,123)-117)))*1,0))</f>
        <v>20487537</v>
      </c>
      <c r="AC3354" s="11">
        <f>$E3354+21</f>
        <v>126</v>
      </c>
      <c r="AD3354" s="12">
        <f>IF($J3354=0,0,ROUND(MAX($J3354*1.4*1.5*1.6*1.6*2.2*2.715*2.6*1.4*1.4*1.5,12600000000*(1.652953^(MIN($E3354,123)-117)))*1,0))</f>
        <v>30286179</v>
      </c>
      <c r="AE3354" s="13">
        <f>$E3354+24</f>
        <v>129</v>
      </c>
      <c r="AF3354" s="14">
        <f>IF($J3354=0,0,ROUND(MAX($J3354*1.4*1.5*1.6*1.6*2.2*2.715*2.6*1.4*1.4*1.5*1.5,18900000000*(1.65331^(MIN($E3354,123)-117)))*1,0))</f>
        <v>45311693</v>
      </c>
      <c r="AG3354" s="11">
        <f>$E3354+27</f>
        <v>132</v>
      </c>
      <c r="AH3354" s="12">
        <f>IF($J3354=0,0,ROUND(MAX($J3354*1.4*1.5*1.6*1.6*2.2*2.715*2.6*1.4*1.4*1.5*1.5*3.2,60500000000*(1.654288^(MIN($E3354,123)-117)))*1,0))</f>
        <v>144019713</v>
      </c>
    </row>
    <row r="3355" ht="28" customHeight="1" spans="1:34" x14ac:dyDescent="0.25">
      <c r="A3355">
        <v>3365</v>
      </c>
      <c r="B3355" t="s">
        <v>44</v>
      </c>
      <c r="C3355" s="10" t="s">
        <v>1777</v>
      </c>
      <c r="D3355" t="s">
        <v>25</v>
      </c>
      <c r="E3355">
        <v>105</v>
      </c>
      <c r="F3355" t="s">
        <v>34</v>
      </c>
      <c r="G3355" t="s">
        <v>562</v>
      </c>
      <c r="H3355">
        <v>23</v>
      </c>
      <c r="I3355" s="11">
        <f>$E3355+0</f>
        <v>105</v>
      </c>
      <c r="J3355" s="12">
        <v>58900</v>
      </c>
      <c r="K3355" s="13">
        <f>$E3355+1</f>
        <v>106</v>
      </c>
      <c r="L3355" s="14">
        <f>IF($J3355=0,0,ROUND(MAX($J3355*1.4,1620000*(1.497923^(MIN($E3355,123)-117)))*1,0))</f>
        <v>82460</v>
      </c>
      <c r="M3355" s="11">
        <f>$E3355+2</f>
        <v>107</v>
      </c>
      <c r="N3355" s="12">
        <f>IF($J3355=0,0,ROUND(MAX($J3355*1.4*1.5,2190000*(1.580994^(MIN($E3355,123)-117)))*1,0))</f>
        <v>123690</v>
      </c>
      <c r="O3355" s="13">
        <f>$E3355+4</f>
        <v>109</v>
      </c>
      <c r="P3355" s="14">
        <f>IF($J3355=0,0,ROUND(MAX($J3355*1.4*1.5*1.6,3500000*(1.57975^(MIN($E3355,123)-117)))*1,0))</f>
        <v>197904</v>
      </c>
      <c r="Q3355" s="11">
        <f>$E3355+6</f>
        <v>111</v>
      </c>
      <c r="R3355" s="12">
        <f>IF($J3355=0,0,ROUND(MAX($J3355*1.4*1.5*1.6*1.6,13100000*(1.429962^(MIN($E3355,123)-117)))*1,0))</f>
        <v>316646</v>
      </c>
      <c r="S3355" s="13">
        <f>$E3355+8</f>
        <v>113</v>
      </c>
      <c r="T3355" s="14">
        <f>IF($J3355=0,0,ROUND(MAX($J3355*1.4*1.5*1.6*1.6*2.2,42600000*(1.576904^(MIN($E3355,123)-117)))*1,0))</f>
        <v>696622</v>
      </c>
      <c r="U3355" s="11">
        <f>$E3355+11</f>
        <v>116</v>
      </c>
      <c r="V3355" s="12">
        <f>IF($J3355=0,0,ROUND(MAX($J3355*1.4*1.5*1.6*1.6*2.2*2.715,354000000*(1.642074^(MIN($E3355,123)-117)))*1,0))</f>
        <v>1891329</v>
      </c>
      <c r="W3355" s="13">
        <f>$E3355+15</f>
        <v>120</v>
      </c>
      <c r="X3355" s="14">
        <f>IF($J3355=0,0,ROUND(MAX($J3355*1.4*1.5*1.6*1.6*2.2*2.715*2.6,3540000000*(1.579646^(MIN($E3355,123)-117)))*1,0))</f>
        <v>14665133</v>
      </c>
      <c r="Y3355" s="11">
        <f>$E3355+17</f>
        <v>122</v>
      </c>
      <c r="Z3355" s="12">
        <f>IF($J3355=0,0,ROUND(MAX($J3355*1.4*1.5*1.6*1.6*2.2*2.715*2.6*1.4,6020000000*(1.651178^(MIN($E3355,123)-117)))*1,0))</f>
        <v>14657833</v>
      </c>
      <c r="AA3355" s="13">
        <f>$E3355+19</f>
        <v>124</v>
      </c>
      <c r="AB3355" s="14">
        <f>IF($J3355=0,0,ROUND(MAX($J3355*1.4*1.5*1.6*1.6*2.2*2.715*2.6*1.4*1.4,8430000000*(1.651435^(MIN($E3355,123)-117)))*1,0))</f>
        <v>20487537</v>
      </c>
      <c r="AC3355" s="11">
        <f>$E3355+21</f>
        <v>126</v>
      </c>
      <c r="AD3355" s="12">
        <f>IF($J3355=0,0,ROUND(MAX($J3355*1.4*1.5*1.6*1.6*2.2*2.715*2.6*1.4*1.4*1.5,12600000000*(1.652953^(MIN($E3355,123)-117)))*1,0))</f>
        <v>30286179</v>
      </c>
      <c r="AE3355" s="13">
        <f>$E3355+24</f>
        <v>129</v>
      </c>
      <c r="AF3355" s="14">
        <f>IF($J3355=0,0,ROUND(MAX($J3355*1.4*1.5*1.6*1.6*2.2*2.715*2.6*1.4*1.4*1.5*1.5,18900000000*(1.65331^(MIN($E3355,123)-117)))*1,0))</f>
        <v>45311693</v>
      </c>
      <c r="AG3355" s="11">
        <f>$E3355+27</f>
        <v>132</v>
      </c>
      <c r="AH3355" s="12">
        <f>IF($J3355=0,0,ROUND(MAX($J3355*1.4*1.5*1.6*1.6*2.2*2.715*2.6*1.4*1.4*1.5*1.5*3.2,60500000000*(1.654288^(MIN($E3355,123)-117)))*1,0))</f>
        <v>144019713</v>
      </c>
    </row>
    <row r="3356" ht="28" customHeight="1" spans="1:34" x14ac:dyDescent="0.25">
      <c r="A3356">
        <v>3366</v>
      </c>
      <c r="B3356" t="s">
        <v>150</v>
      </c>
      <c r="C3356" s="10" t="s">
        <v>1777</v>
      </c>
      <c r="D3356" t="s">
        <v>33</v>
      </c>
      <c r="E3356">
        <v>105</v>
      </c>
      <c r="F3356" t="s">
        <v>42</v>
      </c>
      <c r="G3356" t="s">
        <v>562</v>
      </c>
      <c r="H3356">
        <v>23</v>
      </c>
      <c r="I3356" s="11">
        <f>$E3356+0</f>
        <v>105</v>
      </c>
      <c r="J3356" s="12">
        <v>50600</v>
      </c>
      <c r="K3356" s="13">
        <f>$E3356+1</f>
        <v>106</v>
      </c>
      <c r="L3356" s="14">
        <f>IF($J3356=0,0,ROUND(MAX($J3356*1.4,1620000*(1.497923^(MIN($E3356,123)-117)))*1,0))</f>
        <v>70840</v>
      </c>
      <c r="M3356" s="11">
        <f>$E3356+2</f>
        <v>107</v>
      </c>
      <c r="N3356" s="12">
        <f>IF($J3356=0,0,ROUND(MAX($J3356*1.4*1.5,2190000*(1.580994^(MIN($E3356,123)-117)))*1,0))</f>
        <v>106260</v>
      </c>
      <c r="O3356" s="13">
        <f>$E3356+4</f>
        <v>109</v>
      </c>
      <c r="P3356" s="14">
        <f>IF($J3356=0,0,ROUND(MAX($J3356*1.4*1.5*1.6,3500000*(1.57975^(MIN($E3356,123)-117)))*1,0))</f>
        <v>170016</v>
      </c>
      <c r="Q3356" s="11">
        <f>$E3356+6</f>
        <v>111</v>
      </c>
      <c r="R3356" s="12">
        <f>IF($J3356=0,0,ROUND(MAX($J3356*1.4*1.5*1.6*1.6,13100000*(1.429962^(MIN($E3356,123)-117)))*1,0))</f>
        <v>272026</v>
      </c>
      <c r="S3356" s="13">
        <f>$E3356+8</f>
        <v>113</v>
      </c>
      <c r="T3356" s="14">
        <f>IF($J3356=0,0,ROUND(MAX($J3356*1.4*1.5*1.6*1.6*2.2,42600000*(1.576904^(MIN($E3356,123)-117)))*1,0))</f>
        <v>598456</v>
      </c>
      <c r="U3356" s="11">
        <f>$E3356+11</f>
        <v>116</v>
      </c>
      <c r="V3356" s="12">
        <f>IF($J3356=0,0,ROUND(MAX($J3356*1.4*1.5*1.6*1.6*2.2*2.715,354000000*(1.642074^(MIN($E3356,123)-117)))*1,0))</f>
        <v>1624809</v>
      </c>
      <c r="W3356" s="13">
        <f>$E3356+15</f>
        <v>120</v>
      </c>
      <c r="X3356" s="14">
        <f>IF($J3356=0,0,ROUND(MAX($J3356*1.4*1.5*1.6*1.6*2.2*2.715*2.6,3540000000*(1.579646^(MIN($E3356,123)-117)))*1,0))</f>
        <v>14665133</v>
      </c>
      <c r="Y3356" s="11">
        <f>$E3356+17</f>
        <v>122</v>
      </c>
      <c r="Z3356" s="12">
        <f>IF($J3356=0,0,ROUND(MAX($J3356*1.4*1.5*1.6*1.6*2.2*2.715*2.6*1.4,6020000000*(1.651178^(MIN($E3356,123)-117)))*1,0))</f>
        <v>14657833</v>
      </c>
      <c r="AA3356" s="13">
        <f>$E3356+19</f>
        <v>124</v>
      </c>
      <c r="AB3356" s="14">
        <f>IF($J3356=0,0,ROUND(MAX($J3356*1.4*1.5*1.6*1.6*2.2*2.715*2.6*1.4*1.4,8430000000*(1.651435^(MIN($E3356,123)-117)))*1,0))</f>
        <v>20487537</v>
      </c>
      <c r="AC3356" s="11">
        <f>$E3356+21</f>
        <v>126</v>
      </c>
      <c r="AD3356" s="12">
        <f>IF($J3356=0,0,ROUND(MAX($J3356*1.4*1.5*1.6*1.6*2.2*2.715*2.6*1.4*1.4*1.5,12600000000*(1.652953^(MIN($E3356,123)-117)))*1,0))</f>
        <v>30286179</v>
      </c>
      <c r="AE3356" s="13">
        <f>$E3356+24</f>
        <v>129</v>
      </c>
      <c r="AF3356" s="14">
        <f>IF($J3356=0,0,ROUND(MAX($J3356*1.4*1.5*1.6*1.6*2.2*2.715*2.6*1.4*1.4*1.5*1.5,18900000000*(1.65331^(MIN($E3356,123)-117)))*1,0))</f>
        <v>45311693</v>
      </c>
      <c r="AG3356" s="11">
        <f>$E3356+27</f>
        <v>132</v>
      </c>
      <c r="AH3356" s="12">
        <f>IF($J3356=0,0,ROUND(MAX($J3356*1.4*1.5*1.6*1.6*2.2*2.715*2.6*1.4*1.4*1.5*1.5*3.2,60500000000*(1.654288^(MIN($E3356,123)-117)))*1,0))</f>
        <v>144019713</v>
      </c>
    </row>
    <row r="3357" ht="28" customHeight="1" spans="1:34" x14ac:dyDescent="0.25">
      <c r="A3357">
        <v>3367</v>
      </c>
      <c r="B3357" t="s">
        <v>61</v>
      </c>
      <c r="C3357" s="10" t="s">
        <v>1777</v>
      </c>
      <c r="D3357" t="s">
        <v>33</v>
      </c>
      <c r="E3357">
        <v>105</v>
      </c>
      <c r="F3357" t="s">
        <v>62</v>
      </c>
      <c r="G3357" t="s">
        <v>562</v>
      </c>
      <c r="H3357">
        <v>23</v>
      </c>
      <c r="I3357" s="11">
        <f>$E3357+0</f>
        <v>105</v>
      </c>
      <c r="J3357" s="12">
        <v>45600</v>
      </c>
      <c r="K3357" s="13">
        <f>$E3357+1</f>
        <v>106</v>
      </c>
      <c r="L3357" s="14">
        <f>IF($J3357=0,0,ROUND(MAX($J3357*1.4,1620000*(1.497923^(MIN($E3357,123)-117)))*1,0))</f>
        <v>63840</v>
      </c>
      <c r="M3357" s="11">
        <f>$E3357+2</f>
        <v>107</v>
      </c>
      <c r="N3357" s="12">
        <f>IF($J3357=0,0,ROUND(MAX($J3357*1.4*1.5,2190000*(1.580994^(MIN($E3357,123)-117)))*1,0))</f>
        <v>95760</v>
      </c>
      <c r="O3357" s="13">
        <f>$E3357+4</f>
        <v>109</v>
      </c>
      <c r="P3357" s="14">
        <f>IF($J3357=0,0,ROUND(MAX($J3357*1.4*1.5*1.6,3500000*(1.57975^(MIN($E3357,123)-117)))*1,0))</f>
        <v>153216</v>
      </c>
      <c r="Q3357" s="11">
        <f>$E3357+6</f>
        <v>111</v>
      </c>
      <c r="R3357" s="12">
        <f>IF($J3357=0,0,ROUND(MAX($J3357*1.4*1.5*1.6*1.6,13100000*(1.429962^(MIN($E3357,123)-117)))*1,0))</f>
        <v>245146</v>
      </c>
      <c r="S3357" s="13">
        <f>$E3357+8</f>
        <v>113</v>
      </c>
      <c r="T3357" s="14">
        <f>IF($J3357=0,0,ROUND(MAX($J3357*1.4*1.5*1.6*1.6*2.2,42600000*(1.576904^(MIN($E3357,123)-117)))*1,0))</f>
        <v>539320</v>
      </c>
      <c r="U3357" s="11">
        <f>$E3357+11</f>
        <v>116</v>
      </c>
      <c r="V3357" s="12">
        <f>IF($J3357=0,0,ROUND(MAX($J3357*1.4*1.5*1.6*1.6*2.2*2.715,354000000*(1.642074^(MIN($E3357,123)-117)))*1,0))</f>
        <v>1464255</v>
      </c>
      <c r="W3357" s="13">
        <f>$E3357+15</f>
        <v>120</v>
      </c>
      <c r="X3357" s="14">
        <f>IF($J3357=0,0,ROUND(MAX($J3357*1.4*1.5*1.6*1.6*2.2*2.715*2.6,3540000000*(1.579646^(MIN($E3357,123)-117)))*1,0))</f>
        <v>14665133</v>
      </c>
      <c r="Y3357" s="11">
        <f>$E3357+17</f>
        <v>122</v>
      </c>
      <c r="Z3357" s="12">
        <f>IF($J3357=0,0,ROUND(MAX($J3357*1.4*1.5*1.6*1.6*2.2*2.715*2.6*1.4,6020000000*(1.651178^(MIN($E3357,123)-117)))*1,0))</f>
        <v>14657833</v>
      </c>
      <c r="AA3357" s="13">
        <f>$E3357+19</f>
        <v>124</v>
      </c>
      <c r="AB3357" s="14">
        <f>IF($J3357=0,0,ROUND(MAX($J3357*1.4*1.5*1.6*1.6*2.2*2.715*2.6*1.4*1.4,8430000000*(1.651435^(MIN($E3357,123)-117)))*1,0))</f>
        <v>20487537</v>
      </c>
      <c r="AC3357" s="11">
        <f>$E3357+21</f>
        <v>126</v>
      </c>
      <c r="AD3357" s="12">
        <f>IF($J3357=0,0,ROUND(MAX($J3357*1.4*1.5*1.6*1.6*2.2*2.715*2.6*1.4*1.4*1.5,12600000000*(1.652953^(MIN($E3357,123)-117)))*1,0))</f>
        <v>30286179</v>
      </c>
      <c r="AE3357" s="13">
        <f>$E3357+24</f>
        <v>129</v>
      </c>
      <c r="AF3357" s="14">
        <f>IF($J3357=0,0,ROUND(MAX($J3357*1.4*1.5*1.6*1.6*2.2*2.715*2.6*1.4*1.4*1.5*1.5,18900000000*(1.65331^(MIN($E3357,123)-117)))*1,0))</f>
        <v>45311693</v>
      </c>
      <c r="AG3357" s="11">
        <f>$E3357+27</f>
        <v>132</v>
      </c>
      <c r="AH3357" s="12">
        <f>IF($J3357=0,0,ROUND(MAX($J3357*1.4*1.5*1.6*1.6*2.2*2.715*2.6*1.4*1.4*1.5*1.5*3.2,60500000000*(1.654288^(MIN($E3357,123)-117)))*1,0))</f>
        <v>144019713</v>
      </c>
    </row>
    <row r="3358" ht="28" customHeight="1" spans="1:34" x14ac:dyDescent="0.25">
      <c r="A3358">
        <v>3368</v>
      </c>
      <c r="B3358" t="s">
        <v>142</v>
      </c>
      <c r="C3358" s="10" t="s">
        <v>1777</v>
      </c>
      <c r="D3358" t="s">
        <v>90</v>
      </c>
      <c r="E3358">
        <v>105</v>
      </c>
      <c r="F3358" t="s">
        <v>34</v>
      </c>
      <c r="G3358" t="s">
        <v>562</v>
      </c>
      <c r="H3358">
        <v>23</v>
      </c>
      <c r="I3358" s="11">
        <f>$E3358+0</f>
        <v>105</v>
      </c>
      <c r="J3358" s="12">
        <v>52200</v>
      </c>
      <c r="K3358" s="13">
        <f>$E3358+1</f>
        <v>106</v>
      </c>
      <c r="L3358" s="14">
        <f>IF($J3358=0,0,ROUND(MAX($J3358*1.4,1620000*(1.497923^(MIN($E3358,123)-117)))*1,0))</f>
        <v>73080</v>
      </c>
      <c r="M3358" s="11">
        <f>$E3358+2</f>
        <v>107</v>
      </c>
      <c r="N3358" s="12">
        <f>IF($J3358=0,0,ROUND(MAX($J3358*1.4*1.5,2190000*(1.580994^(MIN($E3358,123)-117)))*1,0))</f>
        <v>109620</v>
      </c>
      <c r="O3358" s="13">
        <f>$E3358+4</f>
        <v>109</v>
      </c>
      <c r="P3358" s="14">
        <f>IF($J3358=0,0,ROUND(MAX($J3358*1.4*1.5*1.6,3500000*(1.57975^(MIN($E3358,123)-117)))*1,0))</f>
        <v>175392</v>
      </c>
      <c r="Q3358" s="11">
        <f>$E3358+6</f>
        <v>111</v>
      </c>
      <c r="R3358" s="12">
        <f>IF($J3358=0,0,ROUND(MAX($J3358*1.4*1.5*1.6*1.6,13100000*(1.429962^(MIN($E3358,123)-117)))*1,0))</f>
        <v>280627</v>
      </c>
      <c r="S3358" s="13">
        <f>$E3358+8</f>
        <v>113</v>
      </c>
      <c r="T3358" s="14">
        <f>IF($J3358=0,0,ROUND(MAX($J3358*1.4*1.5*1.6*1.6*2.2,42600000*(1.576904^(MIN($E3358,123)-117)))*1,0))</f>
        <v>617380</v>
      </c>
      <c r="U3358" s="11">
        <f>$E3358+11</f>
        <v>116</v>
      </c>
      <c r="V3358" s="12">
        <f>IF($J3358=0,0,ROUND(MAX($J3358*1.4*1.5*1.6*1.6*2.2*2.715,354000000*(1.642074^(MIN($E3358,123)-117)))*1,0))</f>
        <v>1676186</v>
      </c>
      <c r="W3358" s="13">
        <f>$E3358+15</f>
        <v>120</v>
      </c>
      <c r="X3358" s="14">
        <f>IF($J3358=0,0,ROUND(MAX($J3358*1.4*1.5*1.6*1.6*2.2*2.715*2.6,3540000000*(1.579646^(MIN($E3358,123)-117)))*1,0))</f>
        <v>14665133</v>
      </c>
      <c r="Y3358" s="11">
        <f>$E3358+17</f>
        <v>122</v>
      </c>
      <c r="Z3358" s="12">
        <f>IF($J3358=0,0,ROUND(MAX($J3358*1.4*1.5*1.6*1.6*2.2*2.715*2.6*1.4,6020000000*(1.651178^(MIN($E3358,123)-117)))*1,0))</f>
        <v>14657833</v>
      </c>
      <c r="AA3358" s="13">
        <f>$E3358+19</f>
        <v>124</v>
      </c>
      <c r="AB3358" s="14">
        <f>IF($J3358=0,0,ROUND(MAX($J3358*1.4*1.5*1.6*1.6*2.2*2.715*2.6*1.4*1.4,8430000000*(1.651435^(MIN($E3358,123)-117)))*1,0))</f>
        <v>20487537</v>
      </c>
      <c r="AC3358" s="11">
        <f>$E3358+21</f>
        <v>126</v>
      </c>
      <c r="AD3358" s="12">
        <f>IF($J3358=0,0,ROUND(MAX($J3358*1.4*1.5*1.6*1.6*2.2*2.715*2.6*1.4*1.4*1.5,12600000000*(1.652953^(MIN($E3358,123)-117)))*1,0))</f>
        <v>30286179</v>
      </c>
      <c r="AE3358" s="13">
        <f>$E3358+24</f>
        <v>129</v>
      </c>
      <c r="AF3358" s="14">
        <f>IF($J3358=0,0,ROUND(MAX($J3358*1.4*1.5*1.6*1.6*2.2*2.715*2.6*1.4*1.4*1.5*1.5,18900000000*(1.65331^(MIN($E3358,123)-117)))*1,0))</f>
        <v>45311693</v>
      </c>
      <c r="AG3358" s="11">
        <f>$E3358+27</f>
        <v>132</v>
      </c>
      <c r="AH3358" s="12">
        <f>IF($J3358=0,0,ROUND(MAX($J3358*1.4*1.5*1.6*1.6*2.2*2.715*2.6*1.4*1.4*1.5*1.5*3.2,60500000000*(1.654288^(MIN($E3358,123)-117)))*1,0))</f>
        <v>144019713</v>
      </c>
    </row>
    <row r="3359" ht="28" customHeight="1" spans="1:34" x14ac:dyDescent="0.25">
      <c r="A3359">
        <v>3369</v>
      </c>
      <c r="B3359" t="s">
        <v>127</v>
      </c>
      <c r="C3359" s="10" t="s">
        <v>1777</v>
      </c>
      <c r="D3359" t="s">
        <v>33</v>
      </c>
      <c r="E3359">
        <v>105</v>
      </c>
      <c r="F3359" t="s">
        <v>71</v>
      </c>
      <c r="G3359" t="s">
        <v>562</v>
      </c>
      <c r="H3359">
        <v>23</v>
      </c>
      <c r="I3359" s="11">
        <f>$E3359+0</f>
        <v>105</v>
      </c>
      <c r="J3359" s="12">
        <v>57000</v>
      </c>
      <c r="K3359" s="13">
        <f>$E3359+1</f>
        <v>106</v>
      </c>
      <c r="L3359" s="14">
        <f>IF($J3359=0,0,ROUND(MAX($J3359*1.4,1620000*(1.497923^(MIN($E3359,123)-117)))*1,0))</f>
        <v>79800</v>
      </c>
      <c r="M3359" s="11">
        <f>$E3359+2</f>
        <v>107</v>
      </c>
      <c r="N3359" s="12">
        <f>IF($J3359=0,0,ROUND(MAX($J3359*1.4*1.5,2190000*(1.580994^(MIN($E3359,123)-117)))*1,0))</f>
        <v>119700</v>
      </c>
      <c r="O3359" s="13">
        <f>$E3359+4</f>
        <v>109</v>
      </c>
      <c r="P3359" s="14">
        <f>IF($J3359=0,0,ROUND(MAX($J3359*1.4*1.5*1.6,3500000*(1.57975^(MIN($E3359,123)-117)))*1,0))</f>
        <v>191520</v>
      </c>
      <c r="Q3359" s="11">
        <f>$E3359+6</f>
        <v>111</v>
      </c>
      <c r="R3359" s="12">
        <f>IF($J3359=0,0,ROUND(MAX($J3359*1.4*1.5*1.6*1.6,13100000*(1.429962^(MIN($E3359,123)-117)))*1,0))</f>
        <v>306432</v>
      </c>
      <c r="S3359" s="13">
        <f>$E3359+8</f>
        <v>113</v>
      </c>
      <c r="T3359" s="14">
        <f>IF($J3359=0,0,ROUND(MAX($J3359*1.4*1.5*1.6*1.6*2.2,42600000*(1.576904^(MIN($E3359,123)-117)))*1,0))</f>
        <v>674150</v>
      </c>
      <c r="U3359" s="11">
        <f>$E3359+11</f>
        <v>116</v>
      </c>
      <c r="V3359" s="12">
        <f>IF($J3359=0,0,ROUND(MAX($J3359*1.4*1.5*1.6*1.6*2.2*2.715,354000000*(1.642074^(MIN($E3359,123)-117)))*1,0))</f>
        <v>1830318</v>
      </c>
      <c r="W3359" s="13">
        <f>$E3359+15</f>
        <v>120</v>
      </c>
      <c r="X3359" s="14">
        <f>IF($J3359=0,0,ROUND(MAX($J3359*1.4*1.5*1.6*1.6*2.2*2.715*2.6,3540000000*(1.579646^(MIN($E3359,123)-117)))*1,0))</f>
        <v>14665133</v>
      </c>
      <c r="Y3359" s="11">
        <f>$E3359+17</f>
        <v>122</v>
      </c>
      <c r="Z3359" s="12">
        <f>IF($J3359=0,0,ROUND(MAX($J3359*1.4*1.5*1.6*1.6*2.2*2.715*2.6*1.4,6020000000*(1.651178^(MIN($E3359,123)-117)))*1,0))</f>
        <v>14657833</v>
      </c>
      <c r="AA3359" s="13">
        <f>$E3359+19</f>
        <v>124</v>
      </c>
      <c r="AB3359" s="14">
        <f>IF($J3359=0,0,ROUND(MAX($J3359*1.4*1.5*1.6*1.6*2.2*2.715*2.6*1.4*1.4,8430000000*(1.651435^(MIN($E3359,123)-117)))*1,0))</f>
        <v>20487537</v>
      </c>
      <c r="AC3359" s="11">
        <f>$E3359+21</f>
        <v>126</v>
      </c>
      <c r="AD3359" s="12">
        <f>IF($J3359=0,0,ROUND(MAX($J3359*1.4*1.5*1.6*1.6*2.2*2.715*2.6*1.4*1.4*1.5,12600000000*(1.652953^(MIN($E3359,123)-117)))*1,0))</f>
        <v>30286179</v>
      </c>
      <c r="AE3359" s="13">
        <f>$E3359+24</f>
        <v>129</v>
      </c>
      <c r="AF3359" s="14">
        <f>IF($J3359=0,0,ROUND(MAX($J3359*1.4*1.5*1.6*1.6*2.2*2.715*2.6*1.4*1.4*1.5*1.5,18900000000*(1.65331^(MIN($E3359,123)-117)))*1,0))</f>
        <v>45311693</v>
      </c>
      <c r="AG3359" s="11">
        <f>$E3359+27</f>
        <v>132</v>
      </c>
      <c r="AH3359" s="12">
        <f>IF($J3359=0,0,ROUND(MAX($J3359*1.4*1.5*1.6*1.6*2.2*2.715*2.6*1.4*1.4*1.5*1.5*3.2,60500000000*(1.654288^(MIN($E3359,123)-117)))*1,0))</f>
        <v>144019713</v>
      </c>
    </row>
    <row r="3360" ht="28" customHeight="1" spans="1:34" x14ac:dyDescent="0.25">
      <c r="A3360">
        <v>3370</v>
      </c>
      <c r="B3360" t="s">
        <v>80</v>
      </c>
      <c r="C3360" s="10" t="s">
        <v>1777</v>
      </c>
      <c r="D3360" t="s">
        <v>45</v>
      </c>
      <c r="E3360">
        <v>105</v>
      </c>
      <c r="F3360" t="s">
        <v>71</v>
      </c>
      <c r="G3360" t="s">
        <v>562</v>
      </c>
      <c r="H3360">
        <v>23</v>
      </c>
      <c r="I3360" s="11">
        <f>$E3360+0</f>
        <v>105</v>
      </c>
      <c r="J3360" s="12">
        <v>26600</v>
      </c>
      <c r="K3360" s="13">
        <f>$E3360+1</f>
        <v>106</v>
      </c>
      <c r="L3360" s="14">
        <f>IF($J3360=0,0,ROUND(MAX($J3360*1.4,1620000*(1.497923^(MIN($E3360,123)-117)))*1,0))</f>
        <v>37240</v>
      </c>
      <c r="M3360" s="11">
        <f>$E3360+2</f>
        <v>107</v>
      </c>
      <c r="N3360" s="12">
        <f>IF($J3360=0,0,ROUND(MAX($J3360*1.4*1.5,2190000*(1.580994^(MIN($E3360,123)-117)))*1,0))</f>
        <v>55860</v>
      </c>
      <c r="O3360" s="13">
        <f>$E3360+4</f>
        <v>109</v>
      </c>
      <c r="P3360" s="14">
        <f>IF($J3360=0,0,ROUND(MAX($J3360*1.4*1.5*1.6,3500000*(1.57975^(MIN($E3360,123)-117)))*1,0))</f>
        <v>89376</v>
      </c>
      <c r="Q3360" s="11">
        <f>$E3360+6</f>
        <v>111</v>
      </c>
      <c r="R3360" s="12">
        <f>IF($J3360=0,0,ROUND(MAX($J3360*1.4*1.5*1.6*1.6,13100000*(1.429962^(MIN($E3360,123)-117)))*1,0))</f>
        <v>179216</v>
      </c>
      <c r="S3360" s="13">
        <f>$E3360+8</f>
        <v>113</v>
      </c>
      <c r="T3360" s="14">
        <f>IF($J3360=0,0,ROUND(MAX($J3360*1.4*1.5*1.6*1.6*2.2,42600000*(1.576904^(MIN($E3360,123)-117)))*1,0))</f>
        <v>314604</v>
      </c>
      <c r="U3360" s="11">
        <f>$E3360+11</f>
        <v>116</v>
      </c>
      <c r="V3360" s="12">
        <f>IF($J3360=0,0,ROUND(MAX($J3360*1.4*1.5*1.6*1.6*2.2*2.715,354000000*(1.642074^(MIN($E3360,123)-117)))*1,0))</f>
        <v>921066</v>
      </c>
      <c r="W3360" s="13">
        <f>$E3360+15</f>
        <v>120</v>
      </c>
      <c r="X3360" s="14">
        <f>IF($J3360=0,0,ROUND(MAX($J3360*1.4*1.5*1.6*1.6*2.2*2.715*2.6,3540000000*(1.579646^(MIN($E3360,123)-117)))*1,0))</f>
        <v>14665133</v>
      </c>
      <c r="Y3360" s="11">
        <f>$E3360+17</f>
        <v>122</v>
      </c>
      <c r="Z3360" s="12">
        <f>IF($J3360=0,0,ROUND(MAX($J3360*1.4*1.5*1.6*1.6*2.2*2.715*2.6*1.4,6020000000*(1.651178^(MIN($E3360,123)-117)))*1,0))</f>
        <v>14657833</v>
      </c>
      <c r="AA3360" s="13">
        <f>$E3360+19</f>
        <v>124</v>
      </c>
      <c r="AB3360" s="14">
        <f>IF($J3360=0,0,ROUND(MAX($J3360*1.4*1.5*1.6*1.6*2.2*2.715*2.6*1.4*1.4,8430000000*(1.651435^(MIN($E3360,123)-117)))*1,0))</f>
        <v>20487537</v>
      </c>
      <c r="AC3360" s="11">
        <f>$E3360+21</f>
        <v>126</v>
      </c>
      <c r="AD3360" s="12">
        <f>IF($J3360=0,0,ROUND(MAX($J3360*1.4*1.5*1.6*1.6*2.2*2.715*2.6*1.4*1.4*1.5,12600000000*(1.652953^(MIN($E3360,123)-117)))*1,0))</f>
        <v>30286179</v>
      </c>
      <c r="AE3360" s="13">
        <f>$E3360+24</f>
        <v>129</v>
      </c>
      <c r="AF3360" s="14">
        <f>IF($J3360=0,0,ROUND(MAX($J3360*1.4*1.5*1.6*1.6*2.2*2.715*2.6*1.4*1.4*1.5*1.5,18900000000*(1.65331^(MIN($E3360,123)-117)))*1,0))</f>
        <v>45311693</v>
      </c>
      <c r="AG3360" s="11">
        <f>$E3360+27</f>
        <v>132</v>
      </c>
      <c r="AH3360" s="12">
        <f>IF($J3360=0,0,ROUND(MAX($J3360*1.4*1.5*1.6*1.6*2.2*2.715*2.6*1.4*1.4*1.5*1.5*3.2,60500000000*(1.654288^(MIN($E3360,123)-117)))*1,0))</f>
        <v>144019713</v>
      </c>
    </row>
    <row r="3361" ht="28" customHeight="1" spans="1:34" x14ac:dyDescent="0.25">
      <c r="A3361">
        <v>3371</v>
      </c>
      <c r="B3361" t="s">
        <v>100</v>
      </c>
      <c r="C3361" s="10" t="s">
        <v>1777</v>
      </c>
      <c r="D3361" t="s">
        <v>33</v>
      </c>
      <c r="E3361">
        <v>105</v>
      </c>
      <c r="F3361" t="s">
        <v>62</v>
      </c>
      <c r="G3361" t="s">
        <v>562</v>
      </c>
      <c r="H3361">
        <v>23</v>
      </c>
      <c r="I3361" s="11">
        <f>$E3361+0</f>
        <v>105</v>
      </c>
      <c r="J3361" s="12">
        <v>36800</v>
      </c>
      <c r="K3361" s="13">
        <f>$E3361+1</f>
        <v>106</v>
      </c>
      <c r="L3361" s="14">
        <f>IF($J3361=0,0,ROUND(MAX($J3361*1.4,1620000*(1.497923^(MIN($E3361,123)-117)))*1,0))</f>
        <v>51520</v>
      </c>
      <c r="M3361" s="11">
        <f>$E3361+2</f>
        <v>107</v>
      </c>
      <c r="N3361" s="12">
        <f>IF($J3361=0,0,ROUND(MAX($J3361*1.4*1.5,2190000*(1.580994^(MIN($E3361,123)-117)))*1,0))</f>
        <v>77280</v>
      </c>
      <c r="O3361" s="13">
        <f>$E3361+4</f>
        <v>109</v>
      </c>
      <c r="P3361" s="14">
        <f>IF($J3361=0,0,ROUND(MAX($J3361*1.4*1.5*1.6,3500000*(1.57975^(MIN($E3361,123)-117)))*1,0))</f>
        <v>123648</v>
      </c>
      <c r="Q3361" s="11">
        <f>$E3361+6</f>
        <v>111</v>
      </c>
      <c r="R3361" s="12">
        <f>IF($J3361=0,0,ROUND(MAX($J3361*1.4*1.5*1.6*1.6,13100000*(1.429962^(MIN($E3361,123)-117)))*1,0))</f>
        <v>197837</v>
      </c>
      <c r="S3361" s="13">
        <f>$E3361+8</f>
        <v>113</v>
      </c>
      <c r="T3361" s="14">
        <f>IF($J3361=0,0,ROUND(MAX($J3361*1.4*1.5*1.6*1.6*2.2,42600000*(1.576904^(MIN($E3361,123)-117)))*1,0))</f>
        <v>435241</v>
      </c>
      <c r="U3361" s="11">
        <f>$E3361+11</f>
        <v>116</v>
      </c>
      <c r="V3361" s="12">
        <f>IF($J3361=0,0,ROUND(MAX($J3361*1.4*1.5*1.6*1.6*2.2*2.715,354000000*(1.642074^(MIN($E3361,123)-117)))*1,0))</f>
        <v>1181679</v>
      </c>
      <c r="W3361" s="13">
        <f>$E3361+15</f>
        <v>120</v>
      </c>
      <c r="X3361" s="14">
        <f>IF($J3361=0,0,ROUND(MAX($J3361*1.4*1.5*1.6*1.6*2.2*2.715*2.6,3540000000*(1.579646^(MIN($E3361,123)-117)))*1,0))</f>
        <v>14665133</v>
      </c>
      <c r="Y3361" s="11">
        <f>$E3361+17</f>
        <v>122</v>
      </c>
      <c r="Z3361" s="12">
        <f>IF($J3361=0,0,ROUND(MAX($J3361*1.4*1.5*1.6*1.6*2.2*2.715*2.6*1.4,6020000000*(1.651178^(MIN($E3361,123)-117)))*1,0))</f>
        <v>14657833</v>
      </c>
      <c r="AA3361" s="13">
        <f>$E3361+19</f>
        <v>124</v>
      </c>
      <c r="AB3361" s="14">
        <f>IF($J3361=0,0,ROUND(MAX($J3361*1.4*1.5*1.6*1.6*2.2*2.715*2.6*1.4*1.4,8430000000*(1.651435^(MIN($E3361,123)-117)))*1,0))</f>
        <v>20487537</v>
      </c>
      <c r="AC3361" s="11">
        <f>$E3361+21</f>
        <v>126</v>
      </c>
      <c r="AD3361" s="12">
        <f>IF($J3361=0,0,ROUND(MAX($J3361*1.4*1.5*1.6*1.6*2.2*2.715*2.6*1.4*1.4*1.5,12600000000*(1.652953^(MIN($E3361,123)-117)))*1,0))</f>
        <v>30286179</v>
      </c>
      <c r="AE3361" s="13">
        <f>$E3361+24</f>
        <v>129</v>
      </c>
      <c r="AF3361" s="14">
        <f>IF($J3361=0,0,ROUND(MAX($J3361*1.4*1.5*1.6*1.6*2.2*2.715*2.6*1.4*1.4*1.5*1.5,18900000000*(1.65331^(MIN($E3361,123)-117)))*1,0))</f>
        <v>45311693</v>
      </c>
      <c r="AG3361" s="11">
        <f>$E3361+27</f>
        <v>132</v>
      </c>
      <c r="AH3361" s="12">
        <f>IF($J3361=0,0,ROUND(MAX($J3361*1.4*1.5*1.6*1.6*2.2*2.715*2.6*1.4*1.4*1.5*1.5*3.2,60500000000*(1.654288^(MIN($E3361,123)-117)))*1,0))</f>
        <v>144019713</v>
      </c>
    </row>
    <row r="3362" ht="28" customHeight="1" spans="1:34" x14ac:dyDescent="0.25">
      <c r="A3362">
        <v>3372</v>
      </c>
      <c r="B3362" t="s">
        <v>134</v>
      </c>
      <c r="C3362" s="10" t="s">
        <v>1777</v>
      </c>
      <c r="D3362" t="s">
        <v>90</v>
      </c>
      <c r="E3362">
        <v>105</v>
      </c>
      <c r="F3362" t="s">
        <v>26</v>
      </c>
      <c r="G3362" t="s">
        <v>562</v>
      </c>
      <c r="H3362">
        <v>23</v>
      </c>
      <c r="I3362" s="11">
        <f>$E3362+0</f>
        <v>105</v>
      </c>
      <c r="J3362" s="12">
        <v>26100</v>
      </c>
      <c r="K3362" s="13">
        <f>$E3362+1</f>
        <v>106</v>
      </c>
      <c r="L3362" s="14">
        <f>IF($J3362=0,0,ROUND(MAX($J3362*1.4,1620000*(1.497923^(MIN($E3362,123)-117)))*1,0))</f>
        <v>36540</v>
      </c>
      <c r="M3362" s="11">
        <f>$E3362+2</f>
        <v>107</v>
      </c>
      <c r="N3362" s="12">
        <f>IF($J3362=0,0,ROUND(MAX($J3362*1.4*1.5,2190000*(1.580994^(MIN($E3362,123)-117)))*1,0))</f>
        <v>54810</v>
      </c>
      <c r="O3362" s="13">
        <f>$E3362+4</f>
        <v>109</v>
      </c>
      <c r="P3362" s="14">
        <f>IF($J3362=0,0,ROUND(MAX($J3362*1.4*1.5*1.6,3500000*(1.57975^(MIN($E3362,123)-117)))*1,0))</f>
        <v>87696</v>
      </c>
      <c r="Q3362" s="11">
        <f>$E3362+6</f>
        <v>111</v>
      </c>
      <c r="R3362" s="12">
        <f>IF($J3362=0,0,ROUND(MAX($J3362*1.4*1.5*1.6*1.6,13100000*(1.429962^(MIN($E3362,123)-117)))*1,0))</f>
        <v>179216</v>
      </c>
      <c r="S3362" s="13">
        <f>$E3362+8</f>
        <v>113</v>
      </c>
      <c r="T3362" s="14">
        <f>IF($J3362=0,0,ROUND(MAX($J3362*1.4*1.5*1.6*1.6*2.2,42600000*(1.576904^(MIN($E3362,123)-117)))*1,0))</f>
        <v>308690</v>
      </c>
      <c r="U3362" s="11">
        <f>$E3362+11</f>
        <v>116</v>
      </c>
      <c r="V3362" s="12">
        <f>IF($J3362=0,0,ROUND(MAX($J3362*1.4*1.5*1.6*1.6*2.2*2.715,354000000*(1.642074^(MIN($E3362,123)-117)))*1,0))</f>
        <v>921066</v>
      </c>
      <c r="W3362" s="13">
        <f>$E3362+15</f>
        <v>120</v>
      </c>
      <c r="X3362" s="14">
        <f>IF($J3362=0,0,ROUND(MAX($J3362*1.4*1.5*1.6*1.6*2.2*2.715*2.6,3540000000*(1.579646^(MIN($E3362,123)-117)))*1,0))</f>
        <v>14665133</v>
      </c>
      <c r="Y3362" s="11">
        <f>$E3362+17</f>
        <v>122</v>
      </c>
      <c r="Z3362" s="12">
        <f>IF($J3362=0,0,ROUND(MAX($J3362*1.4*1.5*1.6*1.6*2.2*2.715*2.6*1.4,6020000000*(1.651178^(MIN($E3362,123)-117)))*1,0))</f>
        <v>14657833</v>
      </c>
      <c r="AA3362" s="13">
        <f>$E3362+19</f>
        <v>124</v>
      </c>
      <c r="AB3362" s="14">
        <f>IF($J3362=0,0,ROUND(MAX($J3362*1.4*1.5*1.6*1.6*2.2*2.715*2.6*1.4*1.4,8430000000*(1.651435^(MIN($E3362,123)-117)))*1,0))</f>
        <v>20487537</v>
      </c>
      <c r="AC3362" s="11">
        <f>$E3362+21</f>
        <v>126</v>
      </c>
      <c r="AD3362" s="12">
        <f>IF($J3362=0,0,ROUND(MAX($J3362*1.4*1.5*1.6*1.6*2.2*2.715*2.6*1.4*1.4*1.5,12600000000*(1.652953^(MIN($E3362,123)-117)))*1,0))</f>
        <v>30286179</v>
      </c>
      <c r="AE3362" s="13">
        <f>$E3362+24</f>
        <v>129</v>
      </c>
      <c r="AF3362" s="14">
        <f>IF($J3362=0,0,ROUND(MAX($J3362*1.4*1.5*1.6*1.6*2.2*2.715*2.6*1.4*1.4*1.5*1.5,18900000000*(1.65331^(MIN($E3362,123)-117)))*1,0))</f>
        <v>45311693</v>
      </c>
      <c r="AG3362" s="11">
        <f>$E3362+27</f>
        <v>132</v>
      </c>
      <c r="AH3362" s="12">
        <f>IF($J3362=0,0,ROUND(MAX($J3362*1.4*1.5*1.6*1.6*2.2*2.715*2.6*1.4*1.4*1.5*1.5*3.2,60500000000*(1.654288^(MIN($E3362,123)-117)))*1,0))</f>
        <v>144019713</v>
      </c>
    </row>
    <row r="3363" ht="28" customHeight="1" spans="1:34" x14ac:dyDescent="0.25">
      <c r="A3363">
        <v>3373</v>
      </c>
      <c r="B3363" t="s">
        <v>145</v>
      </c>
      <c r="C3363" s="10" t="s">
        <v>1777</v>
      </c>
      <c r="D3363" t="s">
        <v>47</v>
      </c>
      <c r="E3363">
        <v>105</v>
      </c>
      <c r="F3363" t="s">
        <v>146</v>
      </c>
      <c r="G3363" t="s">
        <v>562</v>
      </c>
      <c r="H3363">
        <v>21</v>
      </c>
      <c r="I3363" s="11">
        <f>$E3363+0</f>
        <v>105</v>
      </c>
      <c r="J3363" s="12">
        <v>62500</v>
      </c>
      <c r="K3363" s="13">
        <f>$E3363+1</f>
        <v>106</v>
      </c>
      <c r="L3363" s="14">
        <f>IF($J3363=0,0,ROUND(MAX($J3363*1.4,1620000*(1.497923^(MIN($E3363,123)-117)))*1,0))</f>
        <v>87500</v>
      </c>
      <c r="M3363" s="11">
        <f>$E3363+2</f>
        <v>107</v>
      </c>
      <c r="N3363" s="12">
        <f>IF($J3363=0,0,ROUND(MAX($J3363*1.4*1.5,2190000*(1.580994^(MIN($E3363,123)-117)))*1,0))</f>
        <v>131250</v>
      </c>
      <c r="O3363" s="13">
        <f>$E3363+4</f>
        <v>109</v>
      </c>
      <c r="P3363" s="14">
        <f>IF($J3363=0,0,ROUND(MAX($J3363*1.4*1.5*1.6,3500000*(1.57975^(MIN($E3363,123)-117)))*1,0))</f>
        <v>210000</v>
      </c>
      <c r="Q3363" s="11">
        <f>$E3363+6</f>
        <v>111</v>
      </c>
      <c r="R3363" s="12">
        <f>IF($J3363=0,0,ROUND(MAX($J3363*1.4*1.5*1.6*1.6,13100000*(1.429962^(MIN($E3363,123)-117)))*1,0))</f>
        <v>336000</v>
      </c>
      <c r="S3363" s="13">
        <f>$E3363+8</f>
        <v>113</v>
      </c>
      <c r="T3363" s="14">
        <f>IF($J3363=0,0,ROUND(MAX($J3363*1.4*1.5*1.6*1.6*2.2,42600000*(1.576904^(MIN($E3363,123)-117)))*1,0))</f>
        <v>739200</v>
      </c>
      <c r="U3363" s="11">
        <f>$E3363+11</f>
        <v>116</v>
      </c>
      <c r="V3363" s="12">
        <f>IF($J3363=0,0,ROUND(MAX($J3363*1.4*1.5*1.6*1.6*2.2*2.715,354000000*(1.642074^(MIN($E3363,123)-117)))*1,0))</f>
        <v>2006928</v>
      </c>
      <c r="W3363" s="13">
        <f>$E3363+15</f>
        <v>120</v>
      </c>
      <c r="X3363" s="14">
        <f>IF($J3363=0,0,ROUND(MAX($J3363*1.4*1.5*1.6*1.6*2.2*2.715*2.6,3540000000*(1.579646^(MIN($E3363,123)-117)))*1,0))</f>
        <v>14665133</v>
      </c>
      <c r="Y3363" s="11">
        <f>$E3363+17</f>
        <v>122</v>
      </c>
      <c r="Z3363" s="12">
        <f>IF($J3363=0,0,ROUND(MAX($J3363*1.4*1.5*1.6*1.6*2.2*2.715*2.6*1.4,6020000000*(1.651178^(MIN($E3363,123)-117)))*1,0))</f>
        <v>14657833</v>
      </c>
      <c r="AA3363" s="13">
        <f>$E3363+19</f>
        <v>124</v>
      </c>
      <c r="AB3363" s="14">
        <f>IF($J3363=0,0,ROUND(MAX($J3363*1.4*1.5*1.6*1.6*2.2*2.715*2.6*1.4*1.4,8430000000*(1.651435^(MIN($E3363,123)-117)))*1,0))</f>
        <v>20487537</v>
      </c>
      <c r="AC3363" s="11">
        <f>$E3363+21</f>
        <v>126</v>
      </c>
      <c r="AD3363" s="12">
        <f>IF($J3363=0,0,ROUND(MAX($J3363*1.4*1.5*1.6*1.6*2.2*2.715*2.6*1.4*1.4*1.5,12600000000*(1.652953^(MIN($E3363,123)-117)))*1,0))</f>
        <v>30286179</v>
      </c>
      <c r="AE3363" s="13">
        <f>$E3363+24</f>
        <v>129</v>
      </c>
      <c r="AF3363" s="14">
        <f>IF($J3363=0,0,ROUND(MAX($J3363*1.4*1.5*1.6*1.6*2.2*2.715*2.6*1.4*1.4*1.5*1.5,18900000000*(1.65331^(MIN($E3363,123)-117)))*1,0))</f>
        <v>45311693</v>
      </c>
      <c r="AG3363" s="11">
        <f>$E3363+27</f>
        <v>132</v>
      </c>
      <c r="AH3363" s="12">
        <f>IF($J3363=0,0,ROUND(MAX($J3363*1.4*1.5*1.6*1.6*2.2*2.715*2.6*1.4*1.4*1.5*1.5*3.2,60500000000*(1.654288^(MIN($E3363,123)-117)))*1,0))</f>
        <v>144019713</v>
      </c>
    </row>
    <row r="3364" ht="28" customHeight="1" spans="1:34" x14ac:dyDescent="0.25">
      <c r="A3364">
        <v>3374</v>
      </c>
      <c r="B3364" t="s">
        <v>848</v>
      </c>
      <c r="C3364" s="10" t="s">
        <v>1777</v>
      </c>
      <c r="D3364" t="s">
        <v>47</v>
      </c>
      <c r="E3364">
        <v>105</v>
      </c>
      <c r="F3364" t="s">
        <v>34</v>
      </c>
      <c r="G3364" t="s">
        <v>35</v>
      </c>
      <c r="H3364">
        <v>21</v>
      </c>
      <c r="I3364" s="11">
        <f>$E3364+0</f>
        <v>105</v>
      </c>
      <c r="J3364" s="12">
        <v>52800</v>
      </c>
      <c r="K3364" s="13">
        <f>$E3364+1</f>
        <v>106</v>
      </c>
      <c r="L3364" s="14">
        <f>IF($J3364=0,0,ROUND(MAX($J3364*1.4,1620000*(1.497923^(MIN($E3364,123)-117)))*1,0))</f>
        <v>73920</v>
      </c>
      <c r="M3364" s="11">
        <f>$E3364+2</f>
        <v>107</v>
      </c>
      <c r="N3364" s="12">
        <f>IF($J3364=0,0,ROUND(MAX($J3364*1.4*1.5,2190000*(1.580994^(MIN($E3364,123)-117)))*1,0))</f>
        <v>110880</v>
      </c>
      <c r="O3364" s="13">
        <f>$E3364+4</f>
        <v>109</v>
      </c>
      <c r="P3364" s="14">
        <f>IF($J3364=0,0,ROUND(MAX($J3364*1.4*1.5*1.6,3500000*(1.57975^(MIN($E3364,123)-117)))*1,0))</f>
        <v>177408</v>
      </c>
      <c r="Q3364" s="11">
        <f>$E3364+6</f>
        <v>111</v>
      </c>
      <c r="R3364" s="12">
        <f>IF($J3364=0,0,ROUND(MAX($J3364*1.4*1.5*1.6*1.6,13100000*(1.429962^(MIN($E3364,123)-117)))*1,0))</f>
        <v>283853</v>
      </c>
      <c r="S3364" s="13">
        <f>$E3364+8</f>
        <v>113</v>
      </c>
      <c r="T3364" s="14">
        <f>IF($J3364=0,0,ROUND(MAX($J3364*1.4*1.5*1.6*1.6*2.2,42600000*(1.576904^(MIN($E3364,123)-117)))*1,0))</f>
        <v>624476</v>
      </c>
      <c r="U3364" s="11">
        <f>$E3364+11</f>
        <v>116</v>
      </c>
      <c r="V3364" s="12">
        <f>IF($J3364=0,0,ROUND(MAX($J3364*1.4*1.5*1.6*1.6*2.2*2.715,354000000*(1.642074^(MIN($E3364,123)-117)))*1,0))</f>
        <v>1695453</v>
      </c>
      <c r="W3364" s="13">
        <f>$E3364+15</f>
        <v>120</v>
      </c>
      <c r="X3364" s="14">
        <f>IF($J3364=0,0,ROUND(MAX($J3364*1.4*1.5*1.6*1.6*2.2*2.715*2.6,3540000000*(1.579646^(MIN($E3364,123)-117)))*1,0))</f>
        <v>14665133</v>
      </c>
      <c r="Y3364" s="11">
        <f>$E3364+17</f>
        <v>122</v>
      </c>
      <c r="Z3364" s="12">
        <f>IF($J3364=0,0,ROUND(MAX($J3364*1.4*1.5*1.6*1.6*2.2*2.715*2.6*1.4,6020000000*(1.651178^(MIN($E3364,123)-117)))*1,0))</f>
        <v>14657833</v>
      </c>
      <c r="AA3364" s="13">
        <f>$E3364+19</f>
        <v>124</v>
      </c>
      <c r="AB3364" s="14">
        <f>IF($J3364=0,0,ROUND(MAX($J3364*1.4*1.5*1.6*1.6*2.2*2.715*2.6*1.4*1.4,8430000000*(1.651435^(MIN($E3364,123)-117)))*1,0))</f>
        <v>20487537</v>
      </c>
      <c r="AC3364" s="11">
        <f>$E3364+21</f>
        <v>126</v>
      </c>
      <c r="AD3364" s="12">
        <f>IF($J3364=0,0,ROUND(MAX($J3364*1.4*1.5*1.6*1.6*2.2*2.715*2.6*1.4*1.4*1.5,12600000000*(1.652953^(MIN($E3364,123)-117)))*1,0))</f>
        <v>30286179</v>
      </c>
      <c r="AE3364" s="13">
        <f>$E3364+24</f>
        <v>129</v>
      </c>
      <c r="AF3364" s="14">
        <f>IF($J3364=0,0,ROUND(MAX($J3364*1.4*1.5*1.6*1.6*2.2*2.715*2.6*1.4*1.4*1.5*1.5,18900000000*(1.65331^(MIN($E3364,123)-117)))*1,0))</f>
        <v>45311693</v>
      </c>
      <c r="AG3364" s="11">
        <f>$E3364+27</f>
        <v>132</v>
      </c>
      <c r="AH3364" s="12">
        <f>IF($J3364=0,0,ROUND(MAX($J3364*1.4*1.5*1.6*1.6*2.2*2.715*2.6*1.4*1.4*1.5*1.5*3.2,60500000000*(1.654288^(MIN($E3364,123)-117)))*1,0))</f>
        <v>144019713</v>
      </c>
    </row>
    <row r="3365" ht="28" customHeight="1" spans="1:34" x14ac:dyDescent="0.25">
      <c r="A3365">
        <v>3375</v>
      </c>
      <c r="B3365" t="s">
        <v>66</v>
      </c>
      <c r="C3365" s="10" t="s">
        <v>1777</v>
      </c>
      <c r="D3365" t="s">
        <v>47</v>
      </c>
      <c r="E3365">
        <v>105</v>
      </c>
      <c r="F3365" t="s">
        <v>62</v>
      </c>
      <c r="G3365" t="s">
        <v>562</v>
      </c>
      <c r="H3365">
        <v>20</v>
      </c>
      <c r="I3365" s="11">
        <f>$E3365+0</f>
        <v>105</v>
      </c>
      <c r="J3365" s="12">
        <v>29600</v>
      </c>
      <c r="K3365" s="13">
        <f>$E3365+1</f>
        <v>106</v>
      </c>
      <c r="L3365" s="14">
        <f>IF($J3365=0,0,ROUND(MAX($J3365*1.4,1620000*(1.497923^(MIN($E3365,123)-117)))*1,0))</f>
        <v>41440</v>
      </c>
      <c r="M3365" s="11">
        <f>$E3365+2</f>
        <v>107</v>
      </c>
      <c r="N3365" s="12">
        <f>IF($J3365=0,0,ROUND(MAX($J3365*1.4*1.5,2190000*(1.580994^(MIN($E3365,123)-117)))*1,0))</f>
        <v>62160</v>
      </c>
      <c r="O3365" s="13">
        <f>$E3365+4</f>
        <v>109</v>
      </c>
      <c r="P3365" s="14">
        <f>IF($J3365=0,0,ROUND(MAX($J3365*1.4*1.5*1.6,3500000*(1.57975^(MIN($E3365,123)-117)))*1,0))</f>
        <v>99456</v>
      </c>
      <c r="Q3365" s="11">
        <f>$E3365+6</f>
        <v>111</v>
      </c>
      <c r="R3365" s="12">
        <f>IF($J3365=0,0,ROUND(MAX($J3365*1.4*1.5*1.6*1.6,13100000*(1.429962^(MIN($E3365,123)-117)))*1,0))</f>
        <v>179216</v>
      </c>
      <c r="S3365" s="13">
        <f>$E3365+8</f>
        <v>113</v>
      </c>
      <c r="T3365" s="14">
        <f>IF($J3365=0,0,ROUND(MAX($J3365*1.4*1.5*1.6*1.6*2.2,42600000*(1.576904^(MIN($E3365,123)-117)))*1,0))</f>
        <v>350085</v>
      </c>
      <c r="U3365" s="11">
        <f>$E3365+11</f>
        <v>116</v>
      </c>
      <c r="V3365" s="12">
        <f>IF($J3365=0,0,ROUND(MAX($J3365*1.4*1.5*1.6*1.6*2.2*2.715,354000000*(1.642074^(MIN($E3365,123)-117)))*1,0))</f>
        <v>950481</v>
      </c>
      <c r="W3365" s="13">
        <f>$E3365+15</f>
        <v>120</v>
      </c>
      <c r="X3365" s="14">
        <f>IF($J3365=0,0,ROUND(MAX($J3365*1.4*1.5*1.6*1.6*2.2*2.715*2.6,3540000000*(1.579646^(MIN($E3365,123)-117)))*1,0))</f>
        <v>14665133</v>
      </c>
      <c r="Y3365" s="11">
        <f>$E3365+17</f>
        <v>122</v>
      </c>
      <c r="Z3365" s="12">
        <f>IF($J3365=0,0,ROUND(MAX($J3365*1.4*1.5*1.6*1.6*2.2*2.715*2.6*1.4,6020000000*(1.651178^(MIN($E3365,123)-117)))*1,0))</f>
        <v>14657833</v>
      </c>
      <c r="AA3365" s="13">
        <f>$E3365+19</f>
        <v>124</v>
      </c>
      <c r="AB3365" s="14">
        <f>IF($J3365=0,0,ROUND(MAX($J3365*1.4*1.5*1.6*1.6*2.2*2.715*2.6*1.4*1.4,8430000000*(1.651435^(MIN($E3365,123)-117)))*1,0))</f>
        <v>20487537</v>
      </c>
      <c r="AC3365" s="11">
        <f>$E3365+21</f>
        <v>126</v>
      </c>
      <c r="AD3365" s="12">
        <f>IF($J3365=0,0,ROUND(MAX($J3365*1.4*1.5*1.6*1.6*2.2*2.715*2.6*1.4*1.4*1.5,12600000000*(1.652953^(MIN($E3365,123)-117)))*1,0))</f>
        <v>30286179</v>
      </c>
      <c r="AE3365" s="13">
        <f>$E3365+24</f>
        <v>129</v>
      </c>
      <c r="AF3365" s="14">
        <f>IF($J3365=0,0,ROUND(MAX($J3365*1.4*1.5*1.6*1.6*2.2*2.715*2.6*1.4*1.4*1.5*1.5,18900000000*(1.65331^(MIN($E3365,123)-117)))*1,0))</f>
        <v>45311693</v>
      </c>
      <c r="AG3365" s="11">
        <f>$E3365+27</f>
        <v>132</v>
      </c>
      <c r="AH3365" s="12">
        <f>IF($J3365=0,0,ROUND(MAX($J3365*1.4*1.5*1.6*1.6*2.2*2.715*2.6*1.4*1.4*1.5*1.5*3.2,60500000000*(1.654288^(MIN($E3365,123)-117)))*1,0))</f>
        <v>144019713</v>
      </c>
    </row>
    <row r="3366" ht="28" customHeight="1" spans="1:34" x14ac:dyDescent="0.25">
      <c r="A3366">
        <v>3376</v>
      </c>
      <c r="B3366" t="s">
        <v>58</v>
      </c>
      <c r="C3366" s="10" t="s">
        <v>1777</v>
      </c>
      <c r="D3366" t="s">
        <v>40</v>
      </c>
      <c r="E3366">
        <v>104</v>
      </c>
      <c r="F3366" t="s">
        <v>59</v>
      </c>
      <c r="G3366" t="s">
        <v>562</v>
      </c>
      <c r="H3366">
        <v>24</v>
      </c>
      <c r="I3366" s="11">
        <f>$E3366+0</f>
        <v>104</v>
      </c>
      <c r="J3366" s="12">
        <v>44400</v>
      </c>
      <c r="K3366" s="13">
        <f>$E3366+1</f>
        <v>105</v>
      </c>
      <c r="L3366" s="14">
        <f>IF($J3366=0,0,ROUND(MAX($J3366*1.4,1620000*(1.497923^(MIN($E3366,123)-117)))*1,0))</f>
        <v>62160</v>
      </c>
      <c r="M3366" s="11">
        <f>$E3366+2</f>
        <v>106</v>
      </c>
      <c r="N3366" s="12">
        <f>IF($J3366=0,0,ROUND(MAX($J3366*1.4*1.5,2190000*(1.580994^(MIN($E3366,123)-117)))*1,0))</f>
        <v>93240</v>
      </c>
      <c r="O3366" s="13">
        <f>$E3366+4</f>
        <v>108</v>
      </c>
      <c r="P3366" s="14">
        <f>IF($J3366=0,0,ROUND(MAX($J3366*1.4*1.5*1.6,3500000*(1.57975^(MIN($E3366,123)-117)))*1,0))</f>
        <v>149184</v>
      </c>
      <c r="Q3366" s="11">
        <f>$E3366+6</f>
        <v>110</v>
      </c>
      <c r="R3366" s="12">
        <f>IF($J3366=0,0,ROUND(MAX($J3366*1.4*1.5*1.6*1.6,13100000*(1.429962^(MIN($E3366,123)-117)))*1,0))</f>
        <v>238694</v>
      </c>
      <c r="S3366" s="13">
        <f>$E3366+8</f>
        <v>112</v>
      </c>
      <c r="T3366" s="14">
        <f>IF($J3366=0,0,ROUND(MAX($J3366*1.4*1.5*1.6*1.6*2.2,42600000*(1.576904^(MIN($E3366,123)-117)))*1,0))</f>
        <v>525128</v>
      </c>
      <c r="U3366" s="11">
        <f>$E3366+11</f>
        <v>115</v>
      </c>
      <c r="V3366" s="12">
        <f>IF($J3366=0,0,ROUND(MAX($J3366*1.4*1.5*1.6*1.6*2.2*2.715,354000000*(1.642074^(MIN($E3366,123)-117)))*1,0))</f>
        <v>1425722</v>
      </c>
      <c r="W3366" s="13">
        <f>$E3366+15</f>
        <v>119</v>
      </c>
      <c r="X3366" s="14">
        <f>IF($J3366=0,0,ROUND(MAX($J3366*1.4*1.5*1.6*1.6*2.2*2.715*2.6,3540000000*(1.579646^(MIN($E3366,123)-117)))*1,0))</f>
        <v>9283810</v>
      </c>
      <c r="Y3366" s="11">
        <f>$E3366+17</f>
        <v>121</v>
      </c>
      <c r="Z3366" s="12">
        <f>IF($J3366=0,0,ROUND(MAX($J3366*1.4*1.5*1.6*1.6*2.2*2.715*2.6*1.4,6020000000*(1.651178^(MIN($E3366,123)-117)))*1,0))</f>
        <v>8877197</v>
      </c>
      <c r="AA3366" s="13">
        <f>$E3366+19</f>
        <v>123</v>
      </c>
      <c r="AB3366" s="14">
        <f>IF($J3366=0,0,ROUND(MAX($J3366*1.4*1.5*1.6*1.6*2.2*2.715*2.6*1.4*1.4,8430000000*(1.651435^(MIN($E3366,123)-117)))*1,0))</f>
        <v>12405900</v>
      </c>
      <c r="AC3366" s="11">
        <f>$E3366+21</f>
        <v>125</v>
      </c>
      <c r="AD3366" s="12">
        <f>IF($J3366=0,0,ROUND(MAX($J3366*1.4*1.5*1.6*1.6*2.2*2.715*2.6*1.4*1.4*1.5,12600000000*(1.652953^(MIN($E3366,123)-117)))*1,0))</f>
        <v>18322468</v>
      </c>
      <c r="AE3366" s="13">
        <f>$E3366+24</f>
        <v>128</v>
      </c>
      <c r="AF3366" s="14">
        <f>IF($J3366=0,0,ROUND(MAX($J3366*1.4*1.5*1.6*1.6*2.2*2.715*2.6*1.4*1.4*1.5*1.5,18900000000*(1.65331^(MIN($E3366,123)-117)))*1,0))</f>
        <v>27406653</v>
      </c>
      <c r="AG3366" s="11">
        <f>$E3366+27</f>
        <v>131</v>
      </c>
      <c r="AH3366" s="12">
        <f>IF($J3366=0,0,ROUND(MAX($J3366*1.4*1.5*1.6*1.6*2.2*2.715*2.6*1.4*1.4*1.5*1.5*3.2,60500000000*(1.654288^(MIN($E3366,123)-117)))*1,0))</f>
        <v>87058428</v>
      </c>
    </row>
    <row r="3367" ht="28" customHeight="1" spans="1:34" x14ac:dyDescent="0.25">
      <c r="A3367">
        <v>3377</v>
      </c>
      <c r="B3367" t="s">
        <v>99</v>
      </c>
      <c r="C3367" s="10" t="s">
        <v>1777</v>
      </c>
      <c r="D3367" t="s">
        <v>40</v>
      </c>
      <c r="E3367">
        <v>104</v>
      </c>
      <c r="F3367" t="s">
        <v>54</v>
      </c>
      <c r="G3367" t="s">
        <v>562</v>
      </c>
      <c r="H3367">
        <v>24</v>
      </c>
      <c r="I3367" s="11">
        <f>$E3367+0</f>
        <v>104</v>
      </c>
      <c r="J3367" s="12">
        <v>36400</v>
      </c>
      <c r="K3367" s="13">
        <f>$E3367+1</f>
        <v>105</v>
      </c>
      <c r="L3367" s="14">
        <f>IF($J3367=0,0,ROUND(MAX($J3367*1.4,1620000*(1.497923^(MIN($E3367,123)-117)))*1,0))</f>
        <v>50960</v>
      </c>
      <c r="M3367" s="11">
        <f>$E3367+2</f>
        <v>106</v>
      </c>
      <c r="N3367" s="12">
        <f>IF($J3367=0,0,ROUND(MAX($J3367*1.4*1.5,2190000*(1.580994^(MIN($E3367,123)-117)))*1,0))</f>
        <v>76440</v>
      </c>
      <c r="O3367" s="13">
        <f>$E3367+4</f>
        <v>108</v>
      </c>
      <c r="P3367" s="14">
        <f>IF($J3367=0,0,ROUND(MAX($J3367*1.4*1.5*1.6,3500000*(1.57975^(MIN($E3367,123)-117)))*1,0))</f>
        <v>122304</v>
      </c>
      <c r="Q3367" s="11">
        <f>$E3367+6</f>
        <v>110</v>
      </c>
      <c r="R3367" s="12">
        <f>IF($J3367=0,0,ROUND(MAX($J3367*1.4*1.5*1.6*1.6,13100000*(1.429962^(MIN($E3367,123)-117)))*1,0))</f>
        <v>195686</v>
      </c>
      <c r="S3367" s="13">
        <f>$E3367+8</f>
        <v>112</v>
      </c>
      <c r="T3367" s="14">
        <f>IF($J3367=0,0,ROUND(MAX($J3367*1.4*1.5*1.6*1.6*2.2,42600000*(1.576904^(MIN($E3367,123)-117)))*1,0))</f>
        <v>430510</v>
      </c>
      <c r="U3367" s="11">
        <f>$E3367+11</f>
        <v>115</v>
      </c>
      <c r="V3367" s="12">
        <f>IF($J3367=0,0,ROUND(MAX($J3367*1.4*1.5*1.6*1.6*2.2*2.715,354000000*(1.642074^(MIN($E3367,123)-117)))*1,0))</f>
        <v>1168835</v>
      </c>
      <c r="W3367" s="13">
        <f>$E3367+15</f>
        <v>119</v>
      </c>
      <c r="X3367" s="14">
        <f>IF($J3367=0,0,ROUND(MAX($J3367*1.4*1.5*1.6*1.6*2.2*2.715*2.6,3540000000*(1.579646^(MIN($E3367,123)-117)))*1,0))</f>
        <v>9283810</v>
      </c>
      <c r="Y3367" s="11">
        <f>$E3367+17</f>
        <v>121</v>
      </c>
      <c r="Z3367" s="12">
        <f>IF($J3367=0,0,ROUND(MAX($J3367*1.4*1.5*1.6*1.6*2.2*2.715*2.6*1.4,6020000000*(1.651178^(MIN($E3367,123)-117)))*1,0))</f>
        <v>8877197</v>
      </c>
      <c r="AA3367" s="13">
        <f>$E3367+19</f>
        <v>123</v>
      </c>
      <c r="AB3367" s="14">
        <f>IF($J3367=0,0,ROUND(MAX($J3367*1.4*1.5*1.6*1.6*2.2*2.715*2.6*1.4*1.4,8430000000*(1.651435^(MIN($E3367,123)-117)))*1,0))</f>
        <v>12405900</v>
      </c>
      <c r="AC3367" s="11">
        <f>$E3367+21</f>
        <v>125</v>
      </c>
      <c r="AD3367" s="12">
        <f>IF($J3367=0,0,ROUND(MAX($J3367*1.4*1.5*1.6*1.6*2.2*2.715*2.6*1.4*1.4*1.5,12600000000*(1.652953^(MIN($E3367,123)-117)))*1,0))</f>
        <v>18322468</v>
      </c>
      <c r="AE3367" s="13">
        <f>$E3367+24</f>
        <v>128</v>
      </c>
      <c r="AF3367" s="14">
        <f>IF($J3367=0,0,ROUND(MAX($J3367*1.4*1.5*1.6*1.6*2.2*2.715*2.6*1.4*1.4*1.5*1.5,18900000000*(1.65331^(MIN($E3367,123)-117)))*1,0))</f>
        <v>27406653</v>
      </c>
      <c r="AG3367" s="11">
        <f>$E3367+27</f>
        <v>131</v>
      </c>
      <c r="AH3367" s="12">
        <f>IF($J3367=0,0,ROUND(MAX($J3367*1.4*1.5*1.6*1.6*2.2*2.715*2.6*1.4*1.4*1.5*1.5*3.2,60500000000*(1.654288^(MIN($E3367,123)-117)))*1,0))</f>
        <v>87058428</v>
      </c>
    </row>
    <row r="3368" ht="28" customHeight="1" spans="1:34" x14ac:dyDescent="0.25">
      <c r="A3368">
        <v>3378</v>
      </c>
      <c r="B3368" t="s">
        <v>232</v>
      </c>
      <c r="C3368" s="10" t="s">
        <v>1777</v>
      </c>
      <c r="D3368" t="s">
        <v>25</v>
      </c>
      <c r="E3368">
        <v>104</v>
      </c>
      <c r="F3368" t="s">
        <v>59</v>
      </c>
      <c r="G3368" t="s">
        <v>57</v>
      </c>
      <c r="H3368">
        <v>23</v>
      </c>
      <c r="I3368" s="11">
        <f>$E3368+0</f>
        <v>104</v>
      </c>
      <c r="J3368" s="12">
        <v>35100</v>
      </c>
      <c r="K3368" s="13">
        <f>$E3368+1</f>
        <v>105</v>
      </c>
      <c r="L3368" s="14">
        <f>IF($J3368=0,0,ROUND(MAX($J3368*1.4,1620000*(1.497923^(MIN($E3368,123)-117)))*1,0))</f>
        <v>49140</v>
      </c>
      <c r="M3368" s="11">
        <f>$E3368+2</f>
        <v>106</v>
      </c>
      <c r="N3368" s="12">
        <f>IF($J3368=0,0,ROUND(MAX($J3368*1.4*1.5,2190000*(1.580994^(MIN($E3368,123)-117)))*1,0))</f>
        <v>73710</v>
      </c>
      <c r="O3368" s="13">
        <f>$E3368+4</f>
        <v>108</v>
      </c>
      <c r="P3368" s="14">
        <f>IF($J3368=0,0,ROUND(MAX($J3368*1.4*1.5*1.6,3500000*(1.57975^(MIN($E3368,123)-117)))*1,0))</f>
        <v>117936</v>
      </c>
      <c r="Q3368" s="11">
        <f>$E3368+6</f>
        <v>110</v>
      </c>
      <c r="R3368" s="12">
        <f>IF($J3368=0,0,ROUND(MAX($J3368*1.4*1.5*1.6*1.6,13100000*(1.429962^(MIN($E3368,123)-117)))*1,0))</f>
        <v>188698</v>
      </c>
      <c r="S3368" s="13">
        <f>$E3368+8</f>
        <v>112</v>
      </c>
      <c r="T3368" s="14">
        <f>IF($J3368=0,0,ROUND(MAX($J3368*1.4*1.5*1.6*1.6*2.2,42600000*(1.576904^(MIN($E3368,123)-117)))*1,0))</f>
        <v>415135</v>
      </c>
      <c r="U3368" s="11">
        <f>$E3368+11</f>
        <v>115</v>
      </c>
      <c r="V3368" s="12">
        <f>IF($J3368=0,0,ROUND(MAX($J3368*1.4*1.5*1.6*1.6*2.2*2.715,354000000*(1.642074^(MIN($E3368,123)-117)))*1,0))</f>
        <v>1127091</v>
      </c>
      <c r="W3368" s="13">
        <f>$E3368+15</f>
        <v>119</v>
      </c>
      <c r="X3368" s="14">
        <f>IF($J3368=0,0,ROUND(MAX($J3368*1.4*1.5*1.6*1.6*2.2*2.715*2.6,3540000000*(1.579646^(MIN($E3368,123)-117)))*1,0))</f>
        <v>9283810</v>
      </c>
      <c r="Y3368" s="11">
        <f>$E3368+17</f>
        <v>121</v>
      </c>
      <c r="Z3368" s="12">
        <f>IF($J3368=0,0,ROUND(MAX($J3368*1.4*1.5*1.6*1.6*2.2*2.715*2.6*1.4,6020000000*(1.651178^(MIN($E3368,123)-117)))*1,0))</f>
        <v>8877197</v>
      </c>
      <c r="AA3368" s="13">
        <f>$E3368+19</f>
        <v>123</v>
      </c>
      <c r="AB3368" s="14">
        <f>IF($J3368=0,0,ROUND(MAX($J3368*1.4*1.5*1.6*1.6*2.2*2.715*2.6*1.4*1.4,8430000000*(1.651435^(MIN($E3368,123)-117)))*1,0))</f>
        <v>12405900</v>
      </c>
      <c r="AC3368" s="11">
        <f>$E3368+21</f>
        <v>125</v>
      </c>
      <c r="AD3368" s="12">
        <f>IF($J3368=0,0,ROUND(MAX($J3368*1.4*1.5*1.6*1.6*2.2*2.715*2.6*1.4*1.4*1.5,12600000000*(1.652953^(MIN($E3368,123)-117)))*1,0))</f>
        <v>18322468</v>
      </c>
      <c r="AE3368" s="13">
        <f>$E3368+24</f>
        <v>128</v>
      </c>
      <c r="AF3368" s="14">
        <f>IF($J3368=0,0,ROUND(MAX($J3368*1.4*1.5*1.6*1.6*2.2*2.715*2.6*1.4*1.4*1.5*1.5,18900000000*(1.65331^(MIN($E3368,123)-117)))*1,0))</f>
        <v>27406653</v>
      </c>
      <c r="AG3368" s="11">
        <f>$E3368+27</f>
        <v>131</v>
      </c>
      <c r="AH3368" s="12">
        <f>IF($J3368=0,0,ROUND(MAX($J3368*1.4*1.5*1.6*1.6*2.2*2.715*2.6*1.4*1.4*1.5*1.5*3.2,60500000000*(1.654288^(MIN($E3368,123)-117)))*1,0))</f>
        <v>87058428</v>
      </c>
    </row>
    <row r="3369" ht="28" customHeight="1" spans="1:34" x14ac:dyDescent="0.25">
      <c r="A3369">
        <v>3379</v>
      </c>
      <c r="B3369" t="s">
        <v>1546</v>
      </c>
      <c r="C3369" s="10" t="s">
        <v>1777</v>
      </c>
      <c r="D3369" t="s">
        <v>25</v>
      </c>
      <c r="E3369">
        <v>104</v>
      </c>
      <c r="F3369" t="s">
        <v>237</v>
      </c>
      <c r="G3369" t="s">
        <v>1547</v>
      </c>
      <c r="H3369">
        <v>23</v>
      </c>
      <c r="I3369" s="11">
        <f>$E3369+0</f>
        <v>104</v>
      </c>
      <c r="J3369" s="12">
        <v>79600</v>
      </c>
      <c r="K3369" s="13">
        <f>$E3369+1</f>
        <v>105</v>
      </c>
      <c r="L3369" s="14">
        <f>IF($J3369=0,0,ROUND(MAX($J3369*1.4,1620000*(1.497923^(MIN($E3369,123)-117)))*1,0))</f>
        <v>111440</v>
      </c>
      <c r="M3369" s="11">
        <f>$E3369+2</f>
        <v>106</v>
      </c>
      <c r="N3369" s="12">
        <f>IF($J3369=0,0,ROUND(MAX($J3369*1.4*1.5,2190000*(1.580994^(MIN($E3369,123)-117)))*1,0))</f>
        <v>167160</v>
      </c>
      <c r="O3369" s="13">
        <f>$E3369+4</f>
        <v>108</v>
      </c>
      <c r="P3369" s="14">
        <f>IF($J3369=0,0,ROUND(MAX($J3369*1.4*1.5*1.6,3500000*(1.57975^(MIN($E3369,123)-117)))*1,0))</f>
        <v>267456</v>
      </c>
      <c r="Q3369" s="11">
        <f>$E3369+6</f>
        <v>110</v>
      </c>
      <c r="R3369" s="12">
        <f>IF($J3369=0,0,ROUND(MAX($J3369*1.4*1.5*1.6*1.6,13100000*(1.429962^(MIN($E3369,123)-117)))*1,0))</f>
        <v>427930</v>
      </c>
      <c r="S3369" s="13">
        <f>$E3369+8</f>
        <v>112</v>
      </c>
      <c r="T3369" s="14">
        <f>IF($J3369=0,0,ROUND(MAX($J3369*1.4*1.5*1.6*1.6*2.2,42600000*(1.576904^(MIN($E3369,123)-117)))*1,0))</f>
        <v>941445</v>
      </c>
      <c r="U3369" s="11">
        <f>$E3369+11</f>
        <v>115</v>
      </c>
      <c r="V3369" s="12">
        <f>IF($J3369=0,0,ROUND(MAX($J3369*1.4*1.5*1.6*1.6*2.2*2.715,354000000*(1.642074^(MIN($E3369,123)-117)))*1,0))</f>
        <v>2556024</v>
      </c>
      <c r="W3369" s="13">
        <f>$E3369+15</f>
        <v>119</v>
      </c>
      <c r="X3369" s="14">
        <f>IF($J3369=0,0,ROUND(MAX($J3369*1.4*1.5*1.6*1.6*2.2*2.715*2.6,3540000000*(1.579646^(MIN($E3369,123)-117)))*1,0))</f>
        <v>9283810</v>
      </c>
      <c r="Y3369" s="11">
        <f>$E3369+17</f>
        <v>121</v>
      </c>
      <c r="Z3369" s="12">
        <f>IF($J3369=0,0,ROUND(MAX($J3369*1.4*1.5*1.6*1.6*2.2*2.715*2.6*1.4,6020000000*(1.651178^(MIN($E3369,123)-117)))*1,0))</f>
        <v>9303926</v>
      </c>
      <c r="AA3369" s="13">
        <f>$E3369+19</f>
        <v>123</v>
      </c>
      <c r="AB3369" s="14">
        <f>IF($J3369=0,0,ROUND(MAX($J3369*1.4*1.5*1.6*1.6*2.2*2.715*2.6*1.4*1.4,8430000000*(1.651435^(MIN($E3369,123)-117)))*1,0))</f>
        <v>13025496</v>
      </c>
      <c r="AC3369" s="11">
        <f>$E3369+21</f>
        <v>125</v>
      </c>
      <c r="AD3369" s="12">
        <f>IF($J3369=0,0,ROUND(MAX($J3369*1.4*1.5*1.6*1.6*2.2*2.715*2.6*1.4*1.4*1.5,12600000000*(1.652953^(MIN($E3369,123)-117)))*1,0))</f>
        <v>19538244</v>
      </c>
      <c r="AE3369" s="13">
        <f>$E3369+24</f>
        <v>128</v>
      </c>
      <c r="AF3369" s="14">
        <f>IF($J3369=0,0,ROUND(MAX($J3369*1.4*1.5*1.6*1.6*2.2*2.715*2.6*1.4*1.4*1.5*1.5,18900000000*(1.65331^(MIN($E3369,123)-117)))*1,0))</f>
        <v>29307365</v>
      </c>
      <c r="AG3369" s="11">
        <f>$E3369+27</f>
        <v>131</v>
      </c>
      <c r="AH3369" s="12">
        <f>IF($J3369=0,0,ROUND(MAX($J3369*1.4*1.5*1.6*1.6*2.2*2.715*2.6*1.4*1.4*1.5*1.5*3.2,60500000000*(1.654288^(MIN($E3369,123)-117)))*1,0))</f>
        <v>93783569</v>
      </c>
    </row>
    <row r="3370" ht="28" customHeight="1" spans="1:34" x14ac:dyDescent="0.25">
      <c r="A3370">
        <v>3380</v>
      </c>
      <c r="B3370" t="s">
        <v>424</v>
      </c>
      <c r="C3370" s="10" t="s">
        <v>1777</v>
      </c>
      <c r="D3370" t="s">
        <v>79</v>
      </c>
      <c r="E3370">
        <v>104</v>
      </c>
      <c r="F3370" t="s">
        <v>341</v>
      </c>
      <c r="G3370" t="s">
        <v>425</v>
      </c>
      <c r="H3370">
        <v>23</v>
      </c>
      <c r="I3370" s="11">
        <f>$E3370+0</f>
        <v>104</v>
      </c>
      <c r="J3370" s="12">
        <v>24700</v>
      </c>
      <c r="K3370" s="13">
        <f>$E3370+1</f>
        <v>105</v>
      </c>
      <c r="L3370" s="14">
        <f>IF($J3370=0,0,ROUND(MAX($J3370*1.4,1620000*(1.497923^(MIN($E3370,123)-117)))*1,0))</f>
        <v>34580</v>
      </c>
      <c r="M3370" s="11">
        <f>$E3370+2</f>
        <v>106</v>
      </c>
      <c r="N3370" s="12">
        <f>IF($J3370=0,0,ROUND(MAX($J3370*1.4*1.5,2190000*(1.580994^(MIN($E3370,123)-117)))*1,0))</f>
        <v>51870</v>
      </c>
      <c r="O3370" s="13">
        <f>$E3370+4</f>
        <v>108</v>
      </c>
      <c r="P3370" s="14">
        <f>IF($J3370=0,0,ROUND(MAX($J3370*1.4*1.5*1.6,3500000*(1.57975^(MIN($E3370,123)-117)))*1,0))</f>
        <v>82992</v>
      </c>
      <c r="Q3370" s="11">
        <f>$E3370+6</f>
        <v>110</v>
      </c>
      <c r="R3370" s="12">
        <f>IF($J3370=0,0,ROUND(MAX($J3370*1.4*1.5*1.6*1.6,13100000*(1.429962^(MIN($E3370,123)-117)))*1,0))</f>
        <v>132787</v>
      </c>
      <c r="S3370" s="13">
        <f>$E3370+8</f>
        <v>112</v>
      </c>
      <c r="T3370" s="14">
        <f>IF($J3370=0,0,ROUND(MAX($J3370*1.4*1.5*1.6*1.6*2.2,42600000*(1.576904^(MIN($E3370,123)-117)))*1,0))</f>
        <v>292132</v>
      </c>
      <c r="U3370" s="11">
        <f>$E3370+11</f>
        <v>115</v>
      </c>
      <c r="V3370" s="12">
        <f>IF($J3370=0,0,ROUND(MAX($J3370*1.4*1.5*1.6*1.6*2.2*2.715,354000000*(1.642074^(MIN($E3370,123)-117)))*1,0))</f>
        <v>793138</v>
      </c>
      <c r="W3370" s="13">
        <f>$E3370+15</f>
        <v>119</v>
      </c>
      <c r="X3370" s="14">
        <f>IF($J3370=0,0,ROUND(MAX($J3370*1.4*1.5*1.6*1.6*2.2*2.715*2.6,3540000000*(1.579646^(MIN($E3370,123)-117)))*1,0))</f>
        <v>9283810</v>
      </c>
      <c r="Y3370" s="11">
        <f>$E3370+17</f>
        <v>121</v>
      </c>
      <c r="Z3370" s="12">
        <f>IF($J3370=0,0,ROUND(MAX($J3370*1.4*1.5*1.6*1.6*2.2*2.715*2.6*1.4,6020000000*(1.651178^(MIN($E3370,123)-117)))*1,0))</f>
        <v>8877197</v>
      </c>
      <c r="AA3370" s="13">
        <f>$E3370+19</f>
        <v>123</v>
      </c>
      <c r="AB3370" s="14">
        <f>IF($J3370=0,0,ROUND(MAX($J3370*1.4*1.5*1.6*1.6*2.2*2.715*2.6*1.4*1.4,8430000000*(1.651435^(MIN($E3370,123)-117)))*1,0))</f>
        <v>12405900</v>
      </c>
      <c r="AC3370" s="11">
        <f>$E3370+21</f>
        <v>125</v>
      </c>
      <c r="AD3370" s="12">
        <f>IF($J3370=0,0,ROUND(MAX($J3370*1.4*1.5*1.6*1.6*2.2*2.715*2.6*1.4*1.4*1.5,12600000000*(1.652953^(MIN($E3370,123)-117)))*1,0))</f>
        <v>18322468</v>
      </c>
      <c r="AE3370" s="13">
        <f>$E3370+24</f>
        <v>128</v>
      </c>
      <c r="AF3370" s="14">
        <f>IF($J3370=0,0,ROUND(MAX($J3370*1.4*1.5*1.6*1.6*2.2*2.715*2.6*1.4*1.4*1.5*1.5,18900000000*(1.65331^(MIN($E3370,123)-117)))*1,0))</f>
        <v>27406653</v>
      </c>
      <c r="AG3370" s="11">
        <f>$E3370+27</f>
        <v>131</v>
      </c>
      <c r="AH3370" s="12">
        <f>IF($J3370=0,0,ROUND(MAX($J3370*1.4*1.5*1.6*1.6*2.2*2.715*2.6*1.4*1.4*1.5*1.5*3.2,60500000000*(1.654288^(MIN($E3370,123)-117)))*1,0))</f>
        <v>87058428</v>
      </c>
    </row>
    <row r="3371" ht="28" customHeight="1" spans="1:34" x14ac:dyDescent="0.25">
      <c r="A3371">
        <v>3381</v>
      </c>
      <c r="B3371" t="s">
        <v>612</v>
      </c>
      <c r="C3371" s="10" t="s">
        <v>1777</v>
      </c>
      <c r="D3371" t="s">
        <v>45</v>
      </c>
      <c r="E3371">
        <v>104</v>
      </c>
      <c r="F3371" t="s">
        <v>56</v>
      </c>
      <c r="G3371" t="s">
        <v>244</v>
      </c>
      <c r="H3371">
        <v>23</v>
      </c>
      <c r="I3371" s="11">
        <f>$E3371+0</f>
        <v>104</v>
      </c>
      <c r="J3371" s="12">
        <v>35000</v>
      </c>
      <c r="K3371" s="13">
        <f>$E3371+1</f>
        <v>105</v>
      </c>
      <c r="L3371" s="14">
        <f>IF($J3371=0,0,ROUND(MAX($J3371*1.4,1620000*(1.497923^(MIN($E3371,123)-117)))*1,0))</f>
        <v>49000</v>
      </c>
      <c r="M3371" s="11">
        <f>$E3371+2</f>
        <v>106</v>
      </c>
      <c r="N3371" s="12">
        <f>IF($J3371=0,0,ROUND(MAX($J3371*1.4*1.5,2190000*(1.580994^(MIN($E3371,123)-117)))*1,0))</f>
        <v>73500</v>
      </c>
      <c r="O3371" s="13">
        <f>$E3371+4</f>
        <v>108</v>
      </c>
      <c r="P3371" s="14">
        <f>IF($J3371=0,0,ROUND(MAX($J3371*1.4*1.5*1.6,3500000*(1.57975^(MIN($E3371,123)-117)))*1,0))</f>
        <v>117600</v>
      </c>
      <c r="Q3371" s="11">
        <f>$E3371+6</f>
        <v>110</v>
      </c>
      <c r="R3371" s="12">
        <f>IF($J3371=0,0,ROUND(MAX($J3371*1.4*1.5*1.6*1.6,13100000*(1.429962^(MIN($E3371,123)-117)))*1,0))</f>
        <v>188160</v>
      </c>
      <c r="S3371" s="13">
        <f>$E3371+8</f>
        <v>112</v>
      </c>
      <c r="T3371" s="14">
        <f>IF($J3371=0,0,ROUND(MAX($J3371*1.4*1.5*1.6*1.6*2.2,42600000*(1.576904^(MIN($E3371,123)-117)))*1,0))</f>
        <v>413952</v>
      </c>
      <c r="U3371" s="11">
        <f>$E3371+11</f>
        <v>115</v>
      </c>
      <c r="V3371" s="12">
        <f>IF($J3371=0,0,ROUND(MAX($J3371*1.4*1.5*1.6*1.6*2.2*2.715,354000000*(1.642074^(MIN($E3371,123)-117)))*1,0))</f>
        <v>1123880</v>
      </c>
      <c r="W3371" s="13">
        <f>$E3371+15</f>
        <v>119</v>
      </c>
      <c r="X3371" s="14">
        <f>IF($J3371=0,0,ROUND(MAX($J3371*1.4*1.5*1.6*1.6*2.2*2.715*2.6,3540000000*(1.579646^(MIN($E3371,123)-117)))*1,0))</f>
        <v>9283810</v>
      </c>
      <c r="Y3371" s="11">
        <f>$E3371+17</f>
        <v>121</v>
      </c>
      <c r="Z3371" s="12">
        <f>IF($J3371=0,0,ROUND(MAX($J3371*1.4*1.5*1.6*1.6*2.2*2.715*2.6*1.4,6020000000*(1.651178^(MIN($E3371,123)-117)))*1,0))</f>
        <v>8877197</v>
      </c>
      <c r="AA3371" s="13">
        <f>$E3371+19</f>
        <v>123</v>
      </c>
      <c r="AB3371" s="14">
        <f>IF($J3371=0,0,ROUND(MAX($J3371*1.4*1.5*1.6*1.6*2.2*2.715*2.6*1.4*1.4,8430000000*(1.651435^(MIN($E3371,123)-117)))*1,0))</f>
        <v>12405900</v>
      </c>
      <c r="AC3371" s="11">
        <f>$E3371+21</f>
        <v>125</v>
      </c>
      <c r="AD3371" s="12">
        <f>IF($J3371=0,0,ROUND(MAX($J3371*1.4*1.5*1.6*1.6*2.2*2.715*2.6*1.4*1.4*1.5,12600000000*(1.652953^(MIN($E3371,123)-117)))*1,0))</f>
        <v>18322468</v>
      </c>
      <c r="AE3371" s="13">
        <f>$E3371+24</f>
        <v>128</v>
      </c>
      <c r="AF3371" s="14">
        <f>IF($J3371=0,0,ROUND(MAX($J3371*1.4*1.5*1.6*1.6*2.2*2.715*2.6*1.4*1.4*1.5*1.5,18900000000*(1.65331^(MIN($E3371,123)-117)))*1,0))</f>
        <v>27406653</v>
      </c>
      <c r="AG3371" s="11">
        <f>$E3371+27</f>
        <v>131</v>
      </c>
      <c r="AH3371" s="12">
        <f>IF($J3371=0,0,ROUND(MAX($J3371*1.4*1.5*1.6*1.6*2.2*2.715*2.6*1.4*1.4*1.5*1.5*3.2,60500000000*(1.654288^(MIN($E3371,123)-117)))*1,0))</f>
        <v>87058428</v>
      </c>
    </row>
    <row r="3372" ht="28" customHeight="1" spans="1:34" x14ac:dyDescent="0.25">
      <c r="A3372">
        <v>3382</v>
      </c>
      <c r="B3372" t="s">
        <v>128</v>
      </c>
      <c r="C3372" s="10" t="s">
        <v>1777</v>
      </c>
      <c r="D3372" t="s">
        <v>90</v>
      </c>
      <c r="E3372">
        <v>104</v>
      </c>
      <c r="F3372" t="s">
        <v>30</v>
      </c>
      <c r="G3372" t="s">
        <v>562</v>
      </c>
      <c r="H3372">
        <v>23</v>
      </c>
      <c r="I3372" s="11">
        <f>$E3372+0</f>
        <v>104</v>
      </c>
      <c r="J3372" s="12">
        <v>20500</v>
      </c>
      <c r="K3372" s="13">
        <f>$E3372+1</f>
        <v>105</v>
      </c>
      <c r="L3372" s="14">
        <f>IF($J3372=0,0,ROUND(MAX($J3372*1.4,1620000*(1.497923^(MIN($E3372,123)-117)))*1,0))</f>
        <v>28700</v>
      </c>
      <c r="M3372" s="11">
        <f>$E3372+2</f>
        <v>106</v>
      </c>
      <c r="N3372" s="12">
        <f>IF($J3372=0,0,ROUND(MAX($J3372*1.4*1.5,2190000*(1.580994^(MIN($E3372,123)-117)))*1,0))</f>
        <v>43050</v>
      </c>
      <c r="O3372" s="13">
        <f>$E3372+4</f>
        <v>108</v>
      </c>
      <c r="P3372" s="14">
        <f>IF($J3372=0,0,ROUND(MAX($J3372*1.4*1.5*1.6,3500000*(1.57975^(MIN($E3372,123)-117)))*1,0))</f>
        <v>68880</v>
      </c>
      <c r="Q3372" s="11">
        <f>$E3372+6</f>
        <v>110</v>
      </c>
      <c r="R3372" s="12">
        <f>IF($J3372=0,0,ROUND(MAX($J3372*1.4*1.5*1.6*1.6,13100000*(1.429962^(MIN($E3372,123)-117)))*1,0))</f>
        <v>125329</v>
      </c>
      <c r="S3372" s="13">
        <f>$E3372+8</f>
        <v>112</v>
      </c>
      <c r="T3372" s="14">
        <f>IF($J3372=0,0,ROUND(MAX($J3372*1.4*1.5*1.6*1.6*2.2,42600000*(1.576904^(MIN($E3372,123)-117)))*1,0))</f>
        <v>242458</v>
      </c>
      <c r="U3372" s="11">
        <f>$E3372+11</f>
        <v>115</v>
      </c>
      <c r="V3372" s="12">
        <f>IF($J3372=0,0,ROUND(MAX($J3372*1.4*1.5*1.6*1.6*2.2*2.715,354000000*(1.642074^(MIN($E3372,123)-117)))*1,0))</f>
        <v>658272</v>
      </c>
      <c r="W3372" s="13">
        <f>$E3372+15</f>
        <v>119</v>
      </c>
      <c r="X3372" s="14">
        <f>IF($J3372=0,0,ROUND(MAX($J3372*1.4*1.5*1.6*1.6*2.2*2.715*2.6,3540000000*(1.579646^(MIN($E3372,123)-117)))*1,0))</f>
        <v>9283810</v>
      </c>
      <c r="Y3372" s="11">
        <f>$E3372+17</f>
        <v>121</v>
      </c>
      <c r="Z3372" s="12">
        <f>IF($J3372=0,0,ROUND(MAX($J3372*1.4*1.5*1.6*1.6*2.2*2.715*2.6*1.4,6020000000*(1.651178^(MIN($E3372,123)-117)))*1,0))</f>
        <v>8877197</v>
      </c>
      <c r="AA3372" s="13">
        <f>$E3372+19</f>
        <v>123</v>
      </c>
      <c r="AB3372" s="14">
        <f>IF($J3372=0,0,ROUND(MAX($J3372*1.4*1.5*1.6*1.6*2.2*2.715*2.6*1.4*1.4,8430000000*(1.651435^(MIN($E3372,123)-117)))*1,0))</f>
        <v>12405900</v>
      </c>
      <c r="AC3372" s="11">
        <f>$E3372+21</f>
        <v>125</v>
      </c>
      <c r="AD3372" s="12">
        <f>IF($J3372=0,0,ROUND(MAX($J3372*1.4*1.5*1.6*1.6*2.2*2.715*2.6*1.4*1.4*1.5,12600000000*(1.652953^(MIN($E3372,123)-117)))*1,0))</f>
        <v>18322468</v>
      </c>
      <c r="AE3372" s="13">
        <f>$E3372+24</f>
        <v>128</v>
      </c>
      <c r="AF3372" s="14">
        <f>IF($J3372=0,0,ROUND(MAX($J3372*1.4*1.5*1.6*1.6*2.2*2.715*2.6*1.4*1.4*1.5*1.5,18900000000*(1.65331^(MIN($E3372,123)-117)))*1,0))</f>
        <v>27406653</v>
      </c>
      <c r="AG3372" s="11">
        <f>$E3372+27</f>
        <v>131</v>
      </c>
      <c r="AH3372" s="12">
        <f>IF($J3372=0,0,ROUND(MAX($J3372*1.4*1.5*1.6*1.6*2.2*2.715*2.6*1.4*1.4*1.5*1.5*3.2,60500000000*(1.654288^(MIN($E3372,123)-117)))*1,0))</f>
        <v>87058428</v>
      </c>
    </row>
    <row r="3373" ht="28" customHeight="1" spans="1:34" x14ac:dyDescent="0.25">
      <c r="A3373">
        <v>3383</v>
      </c>
      <c r="B3373" t="s">
        <v>178</v>
      </c>
      <c r="C3373" s="10" t="s">
        <v>1777</v>
      </c>
      <c r="D3373" t="s">
        <v>33</v>
      </c>
      <c r="E3373">
        <v>104</v>
      </c>
      <c r="F3373" t="s">
        <v>179</v>
      </c>
      <c r="G3373" t="s">
        <v>562</v>
      </c>
      <c r="H3373">
        <v>23</v>
      </c>
      <c r="I3373" s="11">
        <f>$E3373+0</f>
        <v>104</v>
      </c>
      <c r="J3373" s="12">
        <v>18900</v>
      </c>
      <c r="K3373" s="13">
        <f>$E3373+1</f>
        <v>105</v>
      </c>
      <c r="L3373" s="14">
        <f>IF($J3373=0,0,ROUND(MAX($J3373*1.4,1620000*(1.497923^(MIN($E3373,123)-117)))*1,0))</f>
        <v>26460</v>
      </c>
      <c r="M3373" s="11">
        <f>$E3373+2</f>
        <v>106</v>
      </c>
      <c r="N3373" s="12">
        <f>IF($J3373=0,0,ROUND(MAX($J3373*1.4*1.5,2190000*(1.580994^(MIN($E3373,123)-117)))*1,0))</f>
        <v>39690</v>
      </c>
      <c r="O3373" s="13">
        <f>$E3373+4</f>
        <v>108</v>
      </c>
      <c r="P3373" s="14">
        <f>IF($J3373=0,0,ROUND(MAX($J3373*1.4*1.5*1.6,3500000*(1.57975^(MIN($E3373,123)-117)))*1,0))</f>
        <v>63504</v>
      </c>
      <c r="Q3373" s="11">
        <f>$E3373+6</f>
        <v>110</v>
      </c>
      <c r="R3373" s="12">
        <f>IF($J3373=0,0,ROUND(MAX($J3373*1.4*1.5*1.6*1.6,13100000*(1.429962^(MIN($E3373,123)-117)))*1,0))</f>
        <v>125329</v>
      </c>
      <c r="S3373" s="13">
        <f>$E3373+8</f>
        <v>112</v>
      </c>
      <c r="T3373" s="14">
        <f>IF($J3373=0,0,ROUND(MAX($J3373*1.4*1.5*1.6*1.6*2.2,42600000*(1.576904^(MIN($E3373,123)-117)))*1,0))</f>
        <v>223534</v>
      </c>
      <c r="U3373" s="11">
        <f>$E3373+11</f>
        <v>115</v>
      </c>
      <c r="V3373" s="12">
        <f>IF($J3373=0,0,ROUND(MAX($J3373*1.4*1.5*1.6*1.6*2.2*2.715,354000000*(1.642074^(MIN($E3373,123)-117)))*1,0))</f>
        <v>606895</v>
      </c>
      <c r="W3373" s="13">
        <f>$E3373+15</f>
        <v>119</v>
      </c>
      <c r="X3373" s="14">
        <f>IF($J3373=0,0,ROUND(MAX($J3373*1.4*1.5*1.6*1.6*2.2*2.715*2.6,3540000000*(1.579646^(MIN($E3373,123)-117)))*1,0))</f>
        <v>9283810</v>
      </c>
      <c r="Y3373" s="11">
        <f>$E3373+17</f>
        <v>121</v>
      </c>
      <c r="Z3373" s="12">
        <f>IF($J3373=0,0,ROUND(MAX($J3373*1.4*1.5*1.6*1.6*2.2*2.715*2.6*1.4,6020000000*(1.651178^(MIN($E3373,123)-117)))*1,0))</f>
        <v>8877197</v>
      </c>
      <c r="AA3373" s="13">
        <f>$E3373+19</f>
        <v>123</v>
      </c>
      <c r="AB3373" s="14">
        <f>IF($J3373=0,0,ROUND(MAX($J3373*1.4*1.5*1.6*1.6*2.2*2.715*2.6*1.4*1.4,8430000000*(1.651435^(MIN($E3373,123)-117)))*1,0))</f>
        <v>12405900</v>
      </c>
      <c r="AC3373" s="11">
        <f>$E3373+21</f>
        <v>125</v>
      </c>
      <c r="AD3373" s="12">
        <f>IF($J3373=0,0,ROUND(MAX($J3373*1.4*1.5*1.6*1.6*2.2*2.715*2.6*1.4*1.4*1.5,12600000000*(1.652953^(MIN($E3373,123)-117)))*1,0))</f>
        <v>18322468</v>
      </c>
      <c r="AE3373" s="13">
        <f>$E3373+24</f>
        <v>128</v>
      </c>
      <c r="AF3373" s="14">
        <f>IF($J3373=0,0,ROUND(MAX($J3373*1.4*1.5*1.6*1.6*2.2*2.715*2.6*1.4*1.4*1.5*1.5,18900000000*(1.65331^(MIN($E3373,123)-117)))*1,0))</f>
        <v>27406653</v>
      </c>
      <c r="AG3373" s="11">
        <f>$E3373+27</f>
        <v>131</v>
      </c>
      <c r="AH3373" s="12">
        <f>IF($J3373=0,0,ROUND(MAX($J3373*1.4*1.5*1.6*1.6*2.2*2.715*2.6*1.4*1.4*1.5*1.5*3.2,60500000000*(1.654288^(MIN($E3373,123)-117)))*1,0))</f>
        <v>87058428</v>
      </c>
    </row>
    <row r="3374" ht="28" customHeight="1" spans="1:34" x14ac:dyDescent="0.25">
      <c r="A3374">
        <v>3384</v>
      </c>
      <c r="B3374" t="s">
        <v>152</v>
      </c>
      <c r="C3374" s="10" t="s">
        <v>1777</v>
      </c>
      <c r="D3374" t="s">
        <v>40</v>
      </c>
      <c r="E3374">
        <v>104</v>
      </c>
      <c r="F3374" t="s">
        <v>71</v>
      </c>
      <c r="G3374" t="s">
        <v>562</v>
      </c>
      <c r="H3374">
        <v>23</v>
      </c>
      <c r="I3374" s="11">
        <f>$E3374+0</f>
        <v>104</v>
      </c>
      <c r="J3374" s="12">
        <v>18400</v>
      </c>
      <c r="K3374" s="13">
        <f>$E3374+1</f>
        <v>105</v>
      </c>
      <c r="L3374" s="14">
        <f>IF($J3374=0,0,ROUND(MAX($J3374*1.4,1620000*(1.497923^(MIN($E3374,123)-117)))*1,0))</f>
        <v>25760</v>
      </c>
      <c r="M3374" s="11">
        <f>$E3374+2</f>
        <v>106</v>
      </c>
      <c r="N3374" s="12">
        <f>IF($J3374=0,0,ROUND(MAX($J3374*1.4*1.5,2190000*(1.580994^(MIN($E3374,123)-117)))*1,0))</f>
        <v>38640</v>
      </c>
      <c r="O3374" s="13">
        <f>$E3374+4</f>
        <v>108</v>
      </c>
      <c r="P3374" s="14">
        <f>IF($J3374=0,0,ROUND(MAX($J3374*1.4*1.5*1.6,3500000*(1.57975^(MIN($E3374,123)-117)))*1,0))</f>
        <v>61824</v>
      </c>
      <c r="Q3374" s="11">
        <f>$E3374+6</f>
        <v>110</v>
      </c>
      <c r="R3374" s="12">
        <f>IF($J3374=0,0,ROUND(MAX($J3374*1.4*1.5*1.6*1.6,13100000*(1.429962^(MIN($E3374,123)-117)))*1,0))</f>
        <v>125329</v>
      </c>
      <c r="S3374" s="13">
        <f>$E3374+8</f>
        <v>112</v>
      </c>
      <c r="T3374" s="14">
        <f>IF($J3374=0,0,ROUND(MAX($J3374*1.4*1.5*1.6*1.6*2.2,42600000*(1.576904^(MIN($E3374,123)-117)))*1,0))</f>
        <v>217620</v>
      </c>
      <c r="U3374" s="11">
        <f>$E3374+11</f>
        <v>115</v>
      </c>
      <c r="V3374" s="12">
        <f>IF($J3374=0,0,ROUND(MAX($J3374*1.4*1.5*1.6*1.6*2.2*2.715,354000000*(1.642074^(MIN($E3374,123)-117)))*1,0))</f>
        <v>590840</v>
      </c>
      <c r="W3374" s="13">
        <f>$E3374+15</f>
        <v>119</v>
      </c>
      <c r="X3374" s="14">
        <f>IF($J3374=0,0,ROUND(MAX($J3374*1.4*1.5*1.6*1.6*2.2*2.715*2.6,3540000000*(1.579646^(MIN($E3374,123)-117)))*1,0))</f>
        <v>9283810</v>
      </c>
      <c r="Y3374" s="11">
        <f>$E3374+17</f>
        <v>121</v>
      </c>
      <c r="Z3374" s="12">
        <f>IF($J3374=0,0,ROUND(MAX($J3374*1.4*1.5*1.6*1.6*2.2*2.715*2.6*1.4,6020000000*(1.651178^(MIN($E3374,123)-117)))*1,0))</f>
        <v>8877197</v>
      </c>
      <c r="AA3374" s="13">
        <f>$E3374+19</f>
        <v>123</v>
      </c>
      <c r="AB3374" s="14">
        <f>IF($J3374=0,0,ROUND(MAX($J3374*1.4*1.5*1.6*1.6*2.2*2.715*2.6*1.4*1.4,8430000000*(1.651435^(MIN($E3374,123)-117)))*1,0))</f>
        <v>12405900</v>
      </c>
      <c r="AC3374" s="11">
        <f>$E3374+21</f>
        <v>125</v>
      </c>
      <c r="AD3374" s="12">
        <f>IF($J3374=0,0,ROUND(MAX($J3374*1.4*1.5*1.6*1.6*2.2*2.715*2.6*1.4*1.4*1.5,12600000000*(1.652953^(MIN($E3374,123)-117)))*1,0))</f>
        <v>18322468</v>
      </c>
      <c r="AE3374" s="13">
        <f>$E3374+24</f>
        <v>128</v>
      </c>
      <c r="AF3374" s="14">
        <f>IF($J3374=0,0,ROUND(MAX($J3374*1.4*1.5*1.6*1.6*2.2*2.715*2.6*1.4*1.4*1.5*1.5,18900000000*(1.65331^(MIN($E3374,123)-117)))*1,0))</f>
        <v>27406653</v>
      </c>
      <c r="AG3374" s="11">
        <f>$E3374+27</f>
        <v>131</v>
      </c>
      <c r="AH3374" s="12">
        <f>IF($J3374=0,0,ROUND(MAX($J3374*1.4*1.5*1.6*1.6*2.2*2.715*2.6*1.4*1.4*1.5*1.5*3.2,60500000000*(1.654288^(MIN($E3374,123)-117)))*1,0))</f>
        <v>87058428</v>
      </c>
    </row>
    <row r="3375" ht="28" customHeight="1" spans="1:34" x14ac:dyDescent="0.25">
      <c r="A3375">
        <v>3385</v>
      </c>
      <c r="B3375" t="s">
        <v>473</v>
      </c>
      <c r="C3375" s="10" t="s">
        <v>1777</v>
      </c>
      <c r="D3375" t="s">
        <v>165</v>
      </c>
      <c r="E3375">
        <v>104</v>
      </c>
      <c r="F3375" t="s">
        <v>123</v>
      </c>
      <c r="G3375" t="s">
        <v>562</v>
      </c>
      <c r="H3375">
        <v>23</v>
      </c>
      <c r="I3375" s="11">
        <f>$E3375+0</f>
        <v>104</v>
      </c>
      <c r="J3375" s="12">
        <v>14700</v>
      </c>
      <c r="K3375" s="13">
        <f>$E3375+1</f>
        <v>105</v>
      </c>
      <c r="L3375" s="14">
        <f>IF($J3375=0,0,ROUND(MAX($J3375*1.4,1620000*(1.497923^(MIN($E3375,123)-117)))*1,0))</f>
        <v>20580</v>
      </c>
      <c r="M3375" s="11">
        <f>$E3375+2</f>
        <v>106</v>
      </c>
      <c r="N3375" s="12">
        <f>IF($J3375=0,0,ROUND(MAX($J3375*1.4*1.5,2190000*(1.580994^(MIN($E3375,123)-117)))*1,0))</f>
        <v>30870</v>
      </c>
      <c r="O3375" s="13">
        <f>$E3375+4</f>
        <v>108</v>
      </c>
      <c r="P3375" s="14">
        <f>IF($J3375=0,0,ROUND(MAX($J3375*1.4*1.5*1.6,3500000*(1.57975^(MIN($E3375,123)-117)))*1,0))</f>
        <v>49392</v>
      </c>
      <c r="Q3375" s="11">
        <f>$E3375+6</f>
        <v>110</v>
      </c>
      <c r="R3375" s="12">
        <f>IF($J3375=0,0,ROUND(MAX($J3375*1.4*1.5*1.6*1.6,13100000*(1.429962^(MIN($E3375,123)-117)))*1,0))</f>
        <v>125329</v>
      </c>
      <c r="S3375" s="13">
        <f>$E3375+8</f>
        <v>112</v>
      </c>
      <c r="T3375" s="14">
        <f>IF($J3375=0,0,ROUND(MAX($J3375*1.4*1.5*1.6*1.6*2.2,42600000*(1.576904^(MIN($E3375,123)-117)))*1,0))</f>
        <v>173860</v>
      </c>
      <c r="U3375" s="11">
        <f>$E3375+11</f>
        <v>115</v>
      </c>
      <c r="V3375" s="12">
        <f>IF($J3375=0,0,ROUND(MAX($J3375*1.4*1.5*1.6*1.6*2.2*2.715,354000000*(1.642074^(MIN($E3375,123)-117)))*1,0))</f>
        <v>560916</v>
      </c>
      <c r="W3375" s="13">
        <f>$E3375+15</f>
        <v>119</v>
      </c>
      <c r="X3375" s="14">
        <f>IF($J3375=0,0,ROUND(MAX($J3375*1.4*1.5*1.6*1.6*2.2*2.715*2.6,3540000000*(1.579646^(MIN($E3375,123)-117)))*1,0))</f>
        <v>9283810</v>
      </c>
      <c r="Y3375" s="11">
        <f>$E3375+17</f>
        <v>121</v>
      </c>
      <c r="Z3375" s="12">
        <f>IF($J3375=0,0,ROUND(MAX($J3375*1.4*1.5*1.6*1.6*2.2*2.715*2.6*1.4,6020000000*(1.651178^(MIN($E3375,123)-117)))*1,0))</f>
        <v>8877197</v>
      </c>
      <c r="AA3375" s="13">
        <f>$E3375+19</f>
        <v>123</v>
      </c>
      <c r="AB3375" s="14">
        <f>IF($J3375=0,0,ROUND(MAX($J3375*1.4*1.5*1.6*1.6*2.2*2.715*2.6*1.4*1.4,8430000000*(1.651435^(MIN($E3375,123)-117)))*1,0))</f>
        <v>12405900</v>
      </c>
      <c r="AC3375" s="11">
        <f>$E3375+21</f>
        <v>125</v>
      </c>
      <c r="AD3375" s="12">
        <f>IF($J3375=0,0,ROUND(MAX($J3375*1.4*1.5*1.6*1.6*2.2*2.715*2.6*1.4*1.4*1.5,12600000000*(1.652953^(MIN($E3375,123)-117)))*1,0))</f>
        <v>18322468</v>
      </c>
      <c r="AE3375" s="13">
        <f>$E3375+24</f>
        <v>128</v>
      </c>
      <c r="AF3375" s="14">
        <f>IF($J3375=0,0,ROUND(MAX($J3375*1.4*1.5*1.6*1.6*2.2*2.715*2.6*1.4*1.4*1.5*1.5,18900000000*(1.65331^(MIN($E3375,123)-117)))*1,0))</f>
        <v>27406653</v>
      </c>
      <c r="AG3375" s="11">
        <f>$E3375+27</f>
        <v>131</v>
      </c>
      <c r="AH3375" s="12">
        <f>IF($J3375=0,0,ROUND(MAX($J3375*1.4*1.5*1.6*1.6*2.2*2.715*2.6*1.4*1.4*1.5*1.5*3.2,60500000000*(1.654288^(MIN($E3375,123)-117)))*1,0))</f>
        <v>87058428</v>
      </c>
    </row>
    <row r="3376" ht="28" customHeight="1" spans="1:34" x14ac:dyDescent="0.25">
      <c r="A3376">
        <v>3386</v>
      </c>
      <c r="B3376" t="s">
        <v>138</v>
      </c>
      <c r="C3376" s="10" t="s">
        <v>1777</v>
      </c>
      <c r="D3376" t="s">
        <v>45</v>
      </c>
      <c r="E3376">
        <v>104</v>
      </c>
      <c r="F3376" t="s">
        <v>34</v>
      </c>
      <c r="G3376" t="s">
        <v>562</v>
      </c>
      <c r="H3376">
        <v>23</v>
      </c>
      <c r="I3376" s="11">
        <f>$E3376+0</f>
        <v>104</v>
      </c>
      <c r="J3376" s="12">
        <v>17300</v>
      </c>
      <c r="K3376" s="13">
        <f>$E3376+1</f>
        <v>105</v>
      </c>
      <c r="L3376" s="14">
        <f>IF($J3376=0,0,ROUND(MAX($J3376*1.4,1620000*(1.497923^(MIN($E3376,123)-117)))*1,0))</f>
        <v>24220</v>
      </c>
      <c r="M3376" s="11">
        <f>$E3376+2</f>
        <v>106</v>
      </c>
      <c r="N3376" s="12">
        <f>IF($J3376=0,0,ROUND(MAX($J3376*1.4*1.5,2190000*(1.580994^(MIN($E3376,123)-117)))*1,0))</f>
        <v>36330</v>
      </c>
      <c r="O3376" s="13">
        <f>$E3376+4</f>
        <v>108</v>
      </c>
      <c r="P3376" s="14">
        <f>IF($J3376=0,0,ROUND(MAX($J3376*1.4*1.5*1.6,3500000*(1.57975^(MIN($E3376,123)-117)))*1,0))</f>
        <v>58128</v>
      </c>
      <c r="Q3376" s="11">
        <f>$E3376+6</f>
        <v>110</v>
      </c>
      <c r="R3376" s="12">
        <f>IF($J3376=0,0,ROUND(MAX($J3376*1.4*1.5*1.6*1.6,13100000*(1.429962^(MIN($E3376,123)-117)))*1,0))</f>
        <v>125329</v>
      </c>
      <c r="S3376" s="13">
        <f>$E3376+8</f>
        <v>112</v>
      </c>
      <c r="T3376" s="14">
        <f>IF($J3376=0,0,ROUND(MAX($J3376*1.4*1.5*1.6*1.6*2.2,42600000*(1.576904^(MIN($E3376,123)-117)))*1,0))</f>
        <v>204611</v>
      </c>
      <c r="U3376" s="11">
        <f>$E3376+11</f>
        <v>115</v>
      </c>
      <c r="V3376" s="12">
        <f>IF($J3376=0,0,ROUND(MAX($J3376*1.4*1.5*1.6*1.6*2.2*2.715,354000000*(1.642074^(MIN($E3376,123)-117)))*1,0))</f>
        <v>560916</v>
      </c>
      <c r="W3376" s="13">
        <f>$E3376+15</f>
        <v>119</v>
      </c>
      <c r="X3376" s="14">
        <f>IF($J3376=0,0,ROUND(MAX($J3376*1.4*1.5*1.6*1.6*2.2*2.715*2.6,3540000000*(1.579646^(MIN($E3376,123)-117)))*1,0))</f>
        <v>9283810</v>
      </c>
      <c r="Y3376" s="11">
        <f>$E3376+17</f>
        <v>121</v>
      </c>
      <c r="Z3376" s="12">
        <f>IF($J3376=0,0,ROUND(MAX($J3376*1.4*1.5*1.6*1.6*2.2*2.715*2.6*1.4,6020000000*(1.651178^(MIN($E3376,123)-117)))*1,0))</f>
        <v>8877197</v>
      </c>
      <c r="AA3376" s="13">
        <f>$E3376+19</f>
        <v>123</v>
      </c>
      <c r="AB3376" s="14">
        <f>IF($J3376=0,0,ROUND(MAX($J3376*1.4*1.5*1.6*1.6*2.2*2.715*2.6*1.4*1.4,8430000000*(1.651435^(MIN($E3376,123)-117)))*1,0))</f>
        <v>12405900</v>
      </c>
      <c r="AC3376" s="11">
        <f>$E3376+21</f>
        <v>125</v>
      </c>
      <c r="AD3376" s="12">
        <f>IF($J3376=0,0,ROUND(MAX($J3376*1.4*1.5*1.6*1.6*2.2*2.715*2.6*1.4*1.4*1.5,12600000000*(1.652953^(MIN($E3376,123)-117)))*1,0))</f>
        <v>18322468</v>
      </c>
      <c r="AE3376" s="13">
        <f>$E3376+24</f>
        <v>128</v>
      </c>
      <c r="AF3376" s="14">
        <f>IF($J3376=0,0,ROUND(MAX($J3376*1.4*1.5*1.6*1.6*2.2*2.715*2.6*1.4*1.4*1.5*1.5,18900000000*(1.65331^(MIN($E3376,123)-117)))*1,0))</f>
        <v>27406653</v>
      </c>
      <c r="AG3376" s="11">
        <f>$E3376+27</f>
        <v>131</v>
      </c>
      <c r="AH3376" s="12">
        <f>IF($J3376=0,0,ROUND(MAX($J3376*1.4*1.5*1.6*1.6*2.2*2.715*2.6*1.4*1.4*1.5*1.5*3.2,60500000000*(1.654288^(MIN($E3376,123)-117)))*1,0))</f>
        <v>87058428</v>
      </c>
    </row>
    <row r="3377" ht="28" customHeight="1" spans="1:34" x14ac:dyDescent="0.25">
      <c r="A3377">
        <v>3387</v>
      </c>
      <c r="B3377" t="s">
        <v>148</v>
      </c>
      <c r="C3377" s="10" t="s">
        <v>1777</v>
      </c>
      <c r="D3377" t="s">
        <v>102</v>
      </c>
      <c r="E3377">
        <v>104</v>
      </c>
      <c r="F3377" t="s">
        <v>54</v>
      </c>
      <c r="G3377" t="s">
        <v>562</v>
      </c>
      <c r="H3377">
        <v>23</v>
      </c>
      <c r="I3377" s="11">
        <f>$E3377+0</f>
        <v>104</v>
      </c>
      <c r="J3377" s="12">
        <v>13000</v>
      </c>
      <c r="K3377" s="13">
        <f>$E3377+1</f>
        <v>105</v>
      </c>
      <c r="L3377" s="14">
        <f>IF($J3377=0,0,ROUND(MAX($J3377*1.4,1620000*(1.497923^(MIN($E3377,123)-117)))*1,0))</f>
        <v>18200</v>
      </c>
      <c r="M3377" s="11">
        <f>$E3377+2</f>
        <v>106</v>
      </c>
      <c r="N3377" s="12">
        <f>IF($J3377=0,0,ROUND(MAX($J3377*1.4*1.5,2190000*(1.580994^(MIN($E3377,123)-117)))*1,0))</f>
        <v>27300</v>
      </c>
      <c r="O3377" s="13">
        <f>$E3377+4</f>
        <v>108</v>
      </c>
      <c r="P3377" s="14">
        <f>IF($J3377=0,0,ROUND(MAX($J3377*1.4*1.5*1.6,3500000*(1.57975^(MIN($E3377,123)-117)))*1,0))</f>
        <v>43680</v>
      </c>
      <c r="Q3377" s="11">
        <f>$E3377+6</f>
        <v>110</v>
      </c>
      <c r="R3377" s="12">
        <f>IF($J3377=0,0,ROUND(MAX($J3377*1.4*1.5*1.6*1.6,13100000*(1.429962^(MIN($E3377,123)-117)))*1,0))</f>
        <v>125329</v>
      </c>
      <c r="S3377" s="13">
        <f>$E3377+8</f>
        <v>112</v>
      </c>
      <c r="T3377" s="14">
        <f>IF($J3377=0,0,ROUND(MAX($J3377*1.4*1.5*1.6*1.6*2.2,42600000*(1.576904^(MIN($E3377,123)-117)))*1,0))</f>
        <v>153754</v>
      </c>
      <c r="U3377" s="11">
        <f>$E3377+11</f>
        <v>115</v>
      </c>
      <c r="V3377" s="12">
        <f>IF($J3377=0,0,ROUND(MAX($J3377*1.4*1.5*1.6*1.6*2.2*2.715,354000000*(1.642074^(MIN($E3377,123)-117)))*1,0))</f>
        <v>560916</v>
      </c>
      <c r="W3377" s="13">
        <f>$E3377+15</f>
        <v>119</v>
      </c>
      <c r="X3377" s="14">
        <f>IF($J3377=0,0,ROUND(MAX($J3377*1.4*1.5*1.6*1.6*2.2*2.715*2.6,3540000000*(1.579646^(MIN($E3377,123)-117)))*1,0))</f>
        <v>9283810</v>
      </c>
      <c r="Y3377" s="11">
        <f>$E3377+17</f>
        <v>121</v>
      </c>
      <c r="Z3377" s="12">
        <f>IF($J3377=0,0,ROUND(MAX($J3377*1.4*1.5*1.6*1.6*2.2*2.715*2.6*1.4,6020000000*(1.651178^(MIN($E3377,123)-117)))*1,0))</f>
        <v>8877197</v>
      </c>
      <c r="AA3377" s="13">
        <f>$E3377+19</f>
        <v>123</v>
      </c>
      <c r="AB3377" s="14">
        <f>IF($J3377=0,0,ROUND(MAX($J3377*1.4*1.5*1.6*1.6*2.2*2.715*2.6*1.4*1.4,8430000000*(1.651435^(MIN($E3377,123)-117)))*1,0))</f>
        <v>12405900</v>
      </c>
      <c r="AC3377" s="11">
        <f>$E3377+21</f>
        <v>125</v>
      </c>
      <c r="AD3377" s="12">
        <f>IF($J3377=0,0,ROUND(MAX($J3377*1.4*1.5*1.6*1.6*2.2*2.715*2.6*1.4*1.4*1.5,12600000000*(1.652953^(MIN($E3377,123)-117)))*1,0))</f>
        <v>18322468</v>
      </c>
      <c r="AE3377" s="13">
        <f>$E3377+24</f>
        <v>128</v>
      </c>
      <c r="AF3377" s="14">
        <f>IF($J3377=0,0,ROUND(MAX($J3377*1.4*1.5*1.6*1.6*2.2*2.715*2.6*1.4*1.4*1.5*1.5,18900000000*(1.65331^(MIN($E3377,123)-117)))*1,0))</f>
        <v>27406653</v>
      </c>
      <c r="AG3377" s="11">
        <f>$E3377+27</f>
        <v>131</v>
      </c>
      <c r="AH3377" s="12">
        <f>IF($J3377=0,0,ROUND(MAX($J3377*1.4*1.5*1.6*1.6*2.2*2.715*2.6*1.4*1.4*1.5*1.5*3.2,60500000000*(1.654288^(MIN($E3377,123)-117)))*1,0))</f>
        <v>87058428</v>
      </c>
    </row>
    <row r="3378" ht="28" customHeight="1" spans="1:34" x14ac:dyDescent="0.25">
      <c r="A3378">
        <v>3388</v>
      </c>
      <c r="B3378" t="s">
        <v>83</v>
      </c>
      <c r="C3378" s="10" t="s">
        <v>1777</v>
      </c>
      <c r="D3378" t="s">
        <v>33</v>
      </c>
      <c r="E3378">
        <v>104</v>
      </c>
      <c r="F3378" t="s">
        <v>62</v>
      </c>
      <c r="G3378" t="s">
        <v>562</v>
      </c>
      <c r="H3378">
        <v>23</v>
      </c>
      <c r="I3378" s="11">
        <f>$E3378+0</f>
        <v>104</v>
      </c>
      <c r="J3378" s="12">
        <v>9850</v>
      </c>
      <c r="K3378" s="13">
        <f>$E3378+1</f>
        <v>105</v>
      </c>
      <c r="L3378" s="14">
        <f>IF($J3378=0,0,ROUND(MAX($J3378*1.4,1620000*(1.497923^(MIN($E3378,123)-117)))*1,0))</f>
        <v>13790</v>
      </c>
      <c r="M3378" s="11">
        <f>$E3378+2</f>
        <v>106</v>
      </c>
      <c r="N3378" s="12">
        <f>IF($J3378=0,0,ROUND(MAX($J3378*1.4*1.5,2190000*(1.580994^(MIN($E3378,123)-117)))*1,0))</f>
        <v>20685</v>
      </c>
      <c r="O3378" s="13">
        <f>$E3378+4</f>
        <v>108</v>
      </c>
      <c r="P3378" s="14">
        <f>IF($J3378=0,0,ROUND(MAX($J3378*1.4*1.5*1.6,3500000*(1.57975^(MIN($E3378,123)-117)))*1,0))</f>
        <v>33096</v>
      </c>
      <c r="Q3378" s="11">
        <f>$E3378+6</f>
        <v>110</v>
      </c>
      <c r="R3378" s="12">
        <f>IF($J3378=0,0,ROUND(MAX($J3378*1.4*1.5*1.6*1.6,13100000*(1.429962^(MIN($E3378,123)-117)))*1,0))</f>
        <v>125329</v>
      </c>
      <c r="S3378" s="13">
        <f>$E3378+8</f>
        <v>112</v>
      </c>
      <c r="T3378" s="14">
        <f>IF($J3378=0,0,ROUND(MAX($J3378*1.4*1.5*1.6*1.6*2.2,42600000*(1.576904^(MIN($E3378,123)-117)))*1,0))</f>
        <v>116498</v>
      </c>
      <c r="U3378" s="11">
        <f>$E3378+11</f>
        <v>115</v>
      </c>
      <c r="V3378" s="12">
        <f>IF($J3378=0,0,ROUND(MAX($J3378*1.4*1.5*1.6*1.6*2.2*2.715,354000000*(1.642074^(MIN($E3378,123)-117)))*1,0))</f>
        <v>560916</v>
      </c>
      <c r="W3378" s="13">
        <f>$E3378+15</f>
        <v>119</v>
      </c>
      <c r="X3378" s="14">
        <f>IF($J3378=0,0,ROUND(MAX($J3378*1.4*1.5*1.6*1.6*2.2*2.715*2.6,3540000000*(1.579646^(MIN($E3378,123)-117)))*1,0))</f>
        <v>9283810</v>
      </c>
      <c r="Y3378" s="11">
        <f>$E3378+17</f>
        <v>121</v>
      </c>
      <c r="Z3378" s="12">
        <f>IF($J3378=0,0,ROUND(MAX($J3378*1.4*1.5*1.6*1.6*2.2*2.715*2.6*1.4,6020000000*(1.651178^(MIN($E3378,123)-117)))*1,0))</f>
        <v>8877197</v>
      </c>
      <c r="AA3378" s="13">
        <f>$E3378+19</f>
        <v>123</v>
      </c>
      <c r="AB3378" s="14">
        <f>IF($J3378=0,0,ROUND(MAX($J3378*1.4*1.5*1.6*1.6*2.2*2.715*2.6*1.4*1.4,8430000000*(1.651435^(MIN($E3378,123)-117)))*1,0))</f>
        <v>12405900</v>
      </c>
      <c r="AC3378" s="11">
        <f>$E3378+21</f>
        <v>125</v>
      </c>
      <c r="AD3378" s="12">
        <f>IF($J3378=0,0,ROUND(MAX($J3378*1.4*1.5*1.6*1.6*2.2*2.715*2.6*1.4*1.4*1.5,12600000000*(1.652953^(MIN($E3378,123)-117)))*1,0))</f>
        <v>18322468</v>
      </c>
      <c r="AE3378" s="13">
        <f>$E3378+24</f>
        <v>128</v>
      </c>
      <c r="AF3378" s="14">
        <f>IF($J3378=0,0,ROUND(MAX($J3378*1.4*1.5*1.6*1.6*2.2*2.715*2.6*1.4*1.4*1.5*1.5,18900000000*(1.65331^(MIN($E3378,123)-117)))*1,0))</f>
        <v>27406653</v>
      </c>
      <c r="AG3378" s="11">
        <f>$E3378+27</f>
        <v>131</v>
      </c>
      <c r="AH3378" s="12">
        <f>IF($J3378=0,0,ROUND(MAX($J3378*1.4*1.5*1.6*1.6*2.2*2.715*2.6*1.4*1.4*1.5*1.5*3.2,60500000000*(1.654288^(MIN($E3378,123)-117)))*1,0))</f>
        <v>87058428</v>
      </c>
    </row>
    <row r="3379" ht="28" customHeight="1" spans="1:34" x14ac:dyDescent="0.25">
      <c r="A3379">
        <v>3389</v>
      </c>
      <c r="B3379" t="s">
        <v>92</v>
      </c>
      <c r="C3379" s="10" t="s">
        <v>1777</v>
      </c>
      <c r="D3379" t="s">
        <v>93</v>
      </c>
      <c r="E3379">
        <v>104</v>
      </c>
      <c r="F3379" t="s">
        <v>56</v>
      </c>
      <c r="G3379" t="s">
        <v>562</v>
      </c>
      <c r="H3379">
        <v>23</v>
      </c>
      <c r="I3379" s="11">
        <f>$E3379+0</f>
        <v>104</v>
      </c>
      <c r="J3379" s="12">
        <v>17300</v>
      </c>
      <c r="K3379" s="13">
        <f>$E3379+1</f>
        <v>105</v>
      </c>
      <c r="L3379" s="14">
        <f>IF($J3379=0,0,ROUND(MAX($J3379*1.4,1620000*(1.497923^(MIN($E3379,123)-117)))*1,0))</f>
        <v>24220</v>
      </c>
      <c r="M3379" s="11">
        <f>$E3379+2</f>
        <v>106</v>
      </c>
      <c r="N3379" s="12">
        <f>IF($J3379=0,0,ROUND(MAX($J3379*1.4*1.5,2190000*(1.580994^(MIN($E3379,123)-117)))*1,0))</f>
        <v>36330</v>
      </c>
      <c r="O3379" s="13">
        <f>$E3379+4</f>
        <v>108</v>
      </c>
      <c r="P3379" s="14">
        <f>IF($J3379=0,0,ROUND(MAX($J3379*1.4*1.5*1.6,3500000*(1.57975^(MIN($E3379,123)-117)))*1,0))</f>
        <v>58128</v>
      </c>
      <c r="Q3379" s="11">
        <f>$E3379+6</f>
        <v>110</v>
      </c>
      <c r="R3379" s="12">
        <f>IF($J3379=0,0,ROUND(MAX($J3379*1.4*1.5*1.6*1.6,13100000*(1.429962^(MIN($E3379,123)-117)))*1,0))</f>
        <v>125329</v>
      </c>
      <c r="S3379" s="13">
        <f>$E3379+8</f>
        <v>112</v>
      </c>
      <c r="T3379" s="14">
        <f>IF($J3379=0,0,ROUND(MAX($J3379*1.4*1.5*1.6*1.6*2.2,42600000*(1.576904^(MIN($E3379,123)-117)))*1,0))</f>
        <v>204611</v>
      </c>
      <c r="U3379" s="11">
        <f>$E3379+11</f>
        <v>115</v>
      </c>
      <c r="V3379" s="12">
        <f>IF($J3379=0,0,ROUND(MAX($J3379*1.4*1.5*1.6*1.6*2.2*2.715,354000000*(1.642074^(MIN($E3379,123)-117)))*1,0))</f>
        <v>560916</v>
      </c>
      <c r="W3379" s="13">
        <f>$E3379+15</f>
        <v>119</v>
      </c>
      <c r="X3379" s="14">
        <f>IF($J3379=0,0,ROUND(MAX($J3379*1.4*1.5*1.6*1.6*2.2*2.715*2.6,3540000000*(1.579646^(MIN($E3379,123)-117)))*1,0))</f>
        <v>9283810</v>
      </c>
      <c r="Y3379" s="11">
        <f>$E3379+17</f>
        <v>121</v>
      </c>
      <c r="Z3379" s="12">
        <f>IF($J3379=0,0,ROUND(MAX($J3379*1.4*1.5*1.6*1.6*2.2*2.715*2.6*1.4,6020000000*(1.651178^(MIN($E3379,123)-117)))*1,0))</f>
        <v>8877197</v>
      </c>
      <c r="AA3379" s="13">
        <f>$E3379+19</f>
        <v>123</v>
      </c>
      <c r="AB3379" s="14">
        <f>IF($J3379=0,0,ROUND(MAX($J3379*1.4*1.5*1.6*1.6*2.2*2.715*2.6*1.4*1.4,8430000000*(1.651435^(MIN($E3379,123)-117)))*1,0))</f>
        <v>12405900</v>
      </c>
      <c r="AC3379" s="11">
        <f>$E3379+21</f>
        <v>125</v>
      </c>
      <c r="AD3379" s="12">
        <f>IF($J3379=0,0,ROUND(MAX($J3379*1.4*1.5*1.6*1.6*2.2*2.715*2.6*1.4*1.4*1.5,12600000000*(1.652953^(MIN($E3379,123)-117)))*1,0))</f>
        <v>18322468</v>
      </c>
      <c r="AE3379" s="13">
        <f>$E3379+24</f>
        <v>128</v>
      </c>
      <c r="AF3379" s="14">
        <f>IF($J3379=0,0,ROUND(MAX($J3379*1.4*1.5*1.6*1.6*2.2*2.715*2.6*1.4*1.4*1.5*1.5,18900000000*(1.65331^(MIN($E3379,123)-117)))*1,0))</f>
        <v>27406653</v>
      </c>
      <c r="AG3379" s="11">
        <f>$E3379+27</f>
        <v>131</v>
      </c>
      <c r="AH3379" s="12">
        <f>IF($J3379=0,0,ROUND(MAX($J3379*1.4*1.5*1.6*1.6*2.2*2.715*2.6*1.4*1.4*1.5*1.5*3.2,60500000000*(1.654288^(MIN($E3379,123)-117)))*1,0))</f>
        <v>87058428</v>
      </c>
    </row>
    <row r="3380" ht="28" customHeight="1" spans="1:34" x14ac:dyDescent="0.25">
      <c r="A3380">
        <v>3390</v>
      </c>
      <c r="B3380" t="s">
        <v>125</v>
      </c>
      <c r="C3380" s="10" t="s">
        <v>1777</v>
      </c>
      <c r="D3380" t="s">
        <v>33</v>
      </c>
      <c r="E3380">
        <v>104</v>
      </c>
      <c r="F3380" t="s">
        <v>56</v>
      </c>
      <c r="G3380" t="s">
        <v>562</v>
      </c>
      <c r="H3380">
        <v>22</v>
      </c>
      <c r="I3380" s="11">
        <f>$E3380+0</f>
        <v>104</v>
      </c>
      <c r="J3380" s="12">
        <v>24400</v>
      </c>
      <c r="K3380" s="13">
        <f>$E3380+1</f>
        <v>105</v>
      </c>
      <c r="L3380" s="14">
        <f>IF($J3380=0,0,ROUND(MAX($J3380*1.4,1620000*(1.497923^(MIN($E3380,123)-117)))*1,0))</f>
        <v>34160</v>
      </c>
      <c r="M3380" s="11">
        <f>$E3380+2</f>
        <v>106</v>
      </c>
      <c r="N3380" s="12">
        <f>IF($J3380=0,0,ROUND(MAX($J3380*1.4*1.5,2190000*(1.580994^(MIN($E3380,123)-117)))*1,0))</f>
        <v>51240</v>
      </c>
      <c r="O3380" s="13">
        <f>$E3380+4</f>
        <v>108</v>
      </c>
      <c r="P3380" s="14">
        <f>IF($J3380=0,0,ROUND(MAX($J3380*1.4*1.5*1.6,3500000*(1.57975^(MIN($E3380,123)-117)))*1,0))</f>
        <v>81984</v>
      </c>
      <c r="Q3380" s="11">
        <f>$E3380+6</f>
        <v>110</v>
      </c>
      <c r="R3380" s="12">
        <f>IF($J3380=0,0,ROUND(MAX($J3380*1.4*1.5*1.6*1.6,13100000*(1.429962^(MIN($E3380,123)-117)))*1,0))</f>
        <v>131174</v>
      </c>
      <c r="S3380" s="13">
        <f>$E3380+8</f>
        <v>112</v>
      </c>
      <c r="T3380" s="14">
        <f>IF($J3380=0,0,ROUND(MAX($J3380*1.4*1.5*1.6*1.6*2.2,42600000*(1.576904^(MIN($E3380,123)-117)))*1,0))</f>
        <v>288584</v>
      </c>
      <c r="U3380" s="11">
        <f>$E3380+11</f>
        <v>115</v>
      </c>
      <c r="V3380" s="12">
        <f>IF($J3380=0,0,ROUND(MAX($J3380*1.4*1.5*1.6*1.6*2.2*2.715,354000000*(1.642074^(MIN($E3380,123)-117)))*1,0))</f>
        <v>783505</v>
      </c>
      <c r="W3380" s="13">
        <f>$E3380+15</f>
        <v>119</v>
      </c>
      <c r="X3380" s="14">
        <f>IF($J3380=0,0,ROUND(MAX($J3380*1.4*1.5*1.6*1.6*2.2*2.715*2.6,3540000000*(1.579646^(MIN($E3380,123)-117)))*1,0))</f>
        <v>9283810</v>
      </c>
      <c r="Y3380" s="11">
        <f>$E3380+17</f>
        <v>121</v>
      </c>
      <c r="Z3380" s="12">
        <f>IF($J3380=0,0,ROUND(MAX($J3380*1.4*1.5*1.6*1.6*2.2*2.715*2.6*1.4,6020000000*(1.651178^(MIN($E3380,123)-117)))*1,0))</f>
        <v>8877197</v>
      </c>
      <c r="AA3380" s="13">
        <f>$E3380+19</f>
        <v>123</v>
      </c>
      <c r="AB3380" s="14">
        <f>IF($J3380=0,0,ROUND(MAX($J3380*1.4*1.5*1.6*1.6*2.2*2.715*2.6*1.4*1.4,8430000000*(1.651435^(MIN($E3380,123)-117)))*1,0))</f>
        <v>12405900</v>
      </c>
      <c r="AC3380" s="11">
        <f>$E3380+21</f>
        <v>125</v>
      </c>
      <c r="AD3380" s="12">
        <f>IF($J3380=0,0,ROUND(MAX($J3380*1.4*1.5*1.6*1.6*2.2*2.715*2.6*1.4*1.4*1.5,12600000000*(1.652953^(MIN($E3380,123)-117)))*1,0))</f>
        <v>18322468</v>
      </c>
      <c r="AE3380" s="13">
        <f>$E3380+24</f>
        <v>128</v>
      </c>
      <c r="AF3380" s="14">
        <f>IF($J3380=0,0,ROUND(MAX($J3380*1.4*1.5*1.6*1.6*2.2*2.715*2.6*1.4*1.4*1.5*1.5,18900000000*(1.65331^(MIN($E3380,123)-117)))*1,0))</f>
        <v>27406653</v>
      </c>
      <c r="AG3380" s="11">
        <f>$E3380+27</f>
        <v>131</v>
      </c>
      <c r="AH3380" s="12">
        <f>IF($J3380=0,0,ROUND(MAX($J3380*1.4*1.5*1.6*1.6*2.2*2.715*2.6*1.4*1.4*1.5*1.5*3.2,60500000000*(1.654288^(MIN($E3380,123)-117)))*1,0))</f>
        <v>87058428</v>
      </c>
    </row>
    <row r="3381" ht="28" customHeight="1" spans="1:34" x14ac:dyDescent="0.25">
      <c r="A3381">
        <v>3391</v>
      </c>
      <c r="B3381" t="s">
        <v>567</v>
      </c>
      <c r="C3381" s="10" t="s">
        <v>1777</v>
      </c>
      <c r="D3381" t="s">
        <v>33</v>
      </c>
      <c r="E3381">
        <v>104</v>
      </c>
      <c r="F3381" t="s">
        <v>30</v>
      </c>
      <c r="G3381" t="s">
        <v>354</v>
      </c>
      <c r="H3381">
        <v>22</v>
      </c>
      <c r="I3381" s="11">
        <f>$E3381+0</f>
        <v>104</v>
      </c>
      <c r="J3381" s="12">
        <v>146000</v>
      </c>
      <c r="K3381" s="13">
        <f>$E3381+1</f>
        <v>105</v>
      </c>
      <c r="L3381" s="14">
        <f>IF($J3381=0,0,ROUND(MAX($J3381*1.4,1620000*(1.497923^(MIN($E3381,123)-117)))*1,0))</f>
        <v>204400</v>
      </c>
      <c r="M3381" s="11">
        <f>$E3381+2</f>
        <v>106</v>
      </c>
      <c r="N3381" s="12">
        <f>IF($J3381=0,0,ROUND(MAX($J3381*1.4*1.5,2190000*(1.580994^(MIN($E3381,123)-117)))*1,0))</f>
        <v>306600</v>
      </c>
      <c r="O3381" s="13">
        <f>$E3381+4</f>
        <v>108</v>
      </c>
      <c r="P3381" s="14">
        <f>IF($J3381=0,0,ROUND(MAX($J3381*1.4*1.5*1.6,3500000*(1.57975^(MIN($E3381,123)-117)))*1,0))</f>
        <v>490560</v>
      </c>
      <c r="Q3381" s="11">
        <f>$E3381+6</f>
        <v>110</v>
      </c>
      <c r="R3381" s="12">
        <f>IF($J3381=0,0,ROUND(MAX($J3381*1.4*1.5*1.6*1.6,13100000*(1.429962^(MIN($E3381,123)-117)))*1,0))</f>
        <v>784896</v>
      </c>
      <c r="S3381" s="13">
        <f>$E3381+8</f>
        <v>112</v>
      </c>
      <c r="T3381" s="14">
        <f>IF($J3381=0,0,ROUND(MAX($J3381*1.4*1.5*1.6*1.6*2.2,42600000*(1.576904^(MIN($E3381,123)-117)))*1,0))</f>
        <v>1726771</v>
      </c>
      <c r="U3381" s="11">
        <f>$E3381+11</f>
        <v>115</v>
      </c>
      <c r="V3381" s="12">
        <f>IF($J3381=0,0,ROUND(MAX($J3381*1.4*1.5*1.6*1.6*2.2*2.715,354000000*(1.642074^(MIN($E3381,123)-117)))*1,0))</f>
        <v>4688184</v>
      </c>
      <c r="W3381" s="13">
        <f>$E3381+15</f>
        <v>119</v>
      </c>
      <c r="X3381" s="14">
        <f>IF($J3381=0,0,ROUND(MAX($J3381*1.4*1.5*1.6*1.6*2.2*2.715*2.6,3540000000*(1.579646^(MIN($E3381,123)-117)))*1,0))</f>
        <v>12189278</v>
      </c>
      <c r="Y3381" s="11">
        <f>$E3381+17</f>
        <v>121</v>
      </c>
      <c r="Z3381" s="12">
        <f>IF($J3381=0,0,ROUND(MAX($J3381*1.4*1.5*1.6*1.6*2.2*2.715*2.6*1.4,6020000000*(1.651178^(MIN($E3381,123)-117)))*1,0))</f>
        <v>17064989</v>
      </c>
      <c r="AA3381" s="13">
        <f>$E3381+19</f>
        <v>123</v>
      </c>
      <c r="AB3381" s="14">
        <f>IF($J3381=0,0,ROUND(MAX($J3381*1.4*1.5*1.6*1.6*2.2*2.715*2.6*1.4*1.4,8430000000*(1.651435^(MIN($E3381,123)-117)))*1,0))</f>
        <v>23890985</v>
      </c>
      <c r="AC3381" s="11">
        <f>$E3381+21</f>
        <v>125</v>
      </c>
      <c r="AD3381" s="12">
        <f>IF($J3381=0,0,ROUND(MAX($J3381*1.4*1.5*1.6*1.6*2.2*2.715*2.6*1.4*1.4*1.5,12600000000*(1.652953^(MIN($E3381,123)-117)))*1,0))</f>
        <v>35836477</v>
      </c>
      <c r="AE3381" s="13">
        <f>$E3381+24</f>
        <v>128</v>
      </c>
      <c r="AF3381" s="14">
        <f>IF($J3381=0,0,ROUND(MAX($J3381*1.4*1.5*1.6*1.6*2.2*2.715*2.6*1.4*1.4*1.5*1.5,18900000000*(1.65331^(MIN($E3381,123)-117)))*1,0))</f>
        <v>53754716</v>
      </c>
      <c r="AG3381" s="11">
        <f>$E3381+27</f>
        <v>131</v>
      </c>
      <c r="AH3381" s="12">
        <f>IF($J3381=0,0,ROUND(MAX($J3381*1.4*1.5*1.6*1.6*2.2*2.715*2.6*1.4*1.4*1.5*1.5*3.2,60500000000*(1.654288^(MIN($E3381,123)-117)))*1,0))</f>
        <v>172015090</v>
      </c>
    </row>
    <row r="3382" ht="28" customHeight="1" spans="1:34" x14ac:dyDescent="0.25">
      <c r="A3382">
        <v>3392</v>
      </c>
      <c r="B3382" t="s">
        <v>162</v>
      </c>
      <c r="C3382" s="10" t="s">
        <v>1777</v>
      </c>
      <c r="D3382" t="s">
        <v>33</v>
      </c>
      <c r="E3382">
        <v>104</v>
      </c>
      <c r="F3382" t="s">
        <v>71</v>
      </c>
      <c r="G3382" t="s">
        <v>562</v>
      </c>
      <c r="H3382">
        <v>22</v>
      </c>
      <c r="I3382" s="11">
        <f>$E3382+0</f>
        <v>104</v>
      </c>
      <c r="J3382" s="12">
        <v>12800</v>
      </c>
      <c r="K3382" s="13">
        <f>$E3382+1</f>
        <v>105</v>
      </c>
      <c r="L3382" s="14">
        <f>IF($J3382=0,0,ROUND(MAX($J3382*1.4,1620000*(1.497923^(MIN($E3382,123)-117)))*1,0))</f>
        <v>17920</v>
      </c>
      <c r="M3382" s="11">
        <f>$E3382+2</f>
        <v>106</v>
      </c>
      <c r="N3382" s="12">
        <f>IF($J3382=0,0,ROUND(MAX($J3382*1.4*1.5,2190000*(1.580994^(MIN($E3382,123)-117)))*1,0))</f>
        <v>26880</v>
      </c>
      <c r="O3382" s="13">
        <f>$E3382+4</f>
        <v>108</v>
      </c>
      <c r="P3382" s="14">
        <f>IF($J3382=0,0,ROUND(MAX($J3382*1.4*1.5*1.6,3500000*(1.57975^(MIN($E3382,123)-117)))*1,0))</f>
        <v>43008</v>
      </c>
      <c r="Q3382" s="11">
        <f>$E3382+6</f>
        <v>110</v>
      </c>
      <c r="R3382" s="12">
        <f>IF($J3382=0,0,ROUND(MAX($J3382*1.4*1.5*1.6*1.6,13100000*(1.429962^(MIN($E3382,123)-117)))*1,0))</f>
        <v>125329</v>
      </c>
      <c r="S3382" s="13">
        <f>$E3382+8</f>
        <v>112</v>
      </c>
      <c r="T3382" s="14">
        <f>IF($J3382=0,0,ROUND(MAX($J3382*1.4*1.5*1.6*1.6*2.2,42600000*(1.576904^(MIN($E3382,123)-117)))*1,0))</f>
        <v>151388</v>
      </c>
      <c r="U3382" s="11">
        <f>$E3382+11</f>
        <v>115</v>
      </c>
      <c r="V3382" s="12">
        <f>IF($J3382=0,0,ROUND(MAX($J3382*1.4*1.5*1.6*1.6*2.2*2.715,354000000*(1.642074^(MIN($E3382,123)-117)))*1,0))</f>
        <v>560916</v>
      </c>
      <c r="W3382" s="13">
        <f>$E3382+15</f>
        <v>119</v>
      </c>
      <c r="X3382" s="14">
        <f>IF($J3382=0,0,ROUND(MAX($J3382*1.4*1.5*1.6*1.6*2.2*2.715*2.6,3540000000*(1.579646^(MIN($E3382,123)-117)))*1,0))</f>
        <v>9283810</v>
      </c>
      <c r="Y3382" s="11">
        <f>$E3382+17</f>
        <v>121</v>
      </c>
      <c r="Z3382" s="12">
        <f>IF($J3382=0,0,ROUND(MAX($J3382*1.4*1.5*1.6*1.6*2.2*2.715*2.6*1.4,6020000000*(1.651178^(MIN($E3382,123)-117)))*1,0))</f>
        <v>8877197</v>
      </c>
      <c r="AA3382" s="13">
        <f>$E3382+19</f>
        <v>123</v>
      </c>
      <c r="AB3382" s="14">
        <f>IF($J3382=0,0,ROUND(MAX($J3382*1.4*1.5*1.6*1.6*2.2*2.715*2.6*1.4*1.4,8430000000*(1.651435^(MIN($E3382,123)-117)))*1,0))</f>
        <v>12405900</v>
      </c>
      <c r="AC3382" s="11">
        <f>$E3382+21</f>
        <v>125</v>
      </c>
      <c r="AD3382" s="12">
        <f>IF($J3382=0,0,ROUND(MAX($J3382*1.4*1.5*1.6*1.6*2.2*2.715*2.6*1.4*1.4*1.5,12600000000*(1.652953^(MIN($E3382,123)-117)))*1,0))</f>
        <v>18322468</v>
      </c>
      <c r="AE3382" s="13">
        <f>$E3382+24</f>
        <v>128</v>
      </c>
      <c r="AF3382" s="14">
        <f>IF($J3382=0,0,ROUND(MAX($J3382*1.4*1.5*1.6*1.6*2.2*2.715*2.6*1.4*1.4*1.5*1.5,18900000000*(1.65331^(MIN($E3382,123)-117)))*1,0))</f>
        <v>27406653</v>
      </c>
      <c r="AG3382" s="11">
        <f>$E3382+27</f>
        <v>131</v>
      </c>
      <c r="AH3382" s="12">
        <f>IF($J3382=0,0,ROUND(MAX($J3382*1.4*1.5*1.6*1.6*2.2*2.715*2.6*1.4*1.4*1.5*1.5*3.2,60500000000*(1.654288^(MIN($E3382,123)-117)))*1,0))</f>
        <v>87058428</v>
      </c>
    </row>
    <row r="3383" ht="28" customHeight="1" spans="1:34" x14ac:dyDescent="0.25">
      <c r="A3383">
        <v>3393</v>
      </c>
      <c r="B3383" t="s">
        <v>166</v>
      </c>
      <c r="C3383" s="10" t="s">
        <v>1777</v>
      </c>
      <c r="D3383" t="s">
        <v>33</v>
      </c>
      <c r="E3383">
        <v>104</v>
      </c>
      <c r="F3383" t="s">
        <v>62</v>
      </c>
      <c r="G3383" t="s">
        <v>562</v>
      </c>
      <c r="H3383">
        <v>22</v>
      </c>
      <c r="I3383" s="11">
        <f>$E3383+0</f>
        <v>104</v>
      </c>
      <c r="J3383" s="12">
        <v>11400</v>
      </c>
      <c r="K3383" s="13">
        <f>$E3383+1</f>
        <v>105</v>
      </c>
      <c r="L3383" s="14">
        <f>IF($J3383=0,0,ROUND(MAX($J3383*1.4,1620000*(1.497923^(MIN($E3383,123)-117)))*1,0))</f>
        <v>15960</v>
      </c>
      <c r="M3383" s="11">
        <f>$E3383+2</f>
        <v>106</v>
      </c>
      <c r="N3383" s="12">
        <f>IF($J3383=0,0,ROUND(MAX($J3383*1.4*1.5,2190000*(1.580994^(MIN($E3383,123)-117)))*1,0))</f>
        <v>23940</v>
      </c>
      <c r="O3383" s="13">
        <f>$E3383+4</f>
        <v>108</v>
      </c>
      <c r="P3383" s="14">
        <f>IF($J3383=0,0,ROUND(MAX($J3383*1.4*1.5*1.6,3500000*(1.57975^(MIN($E3383,123)-117)))*1,0))</f>
        <v>38304</v>
      </c>
      <c r="Q3383" s="11">
        <f>$E3383+6</f>
        <v>110</v>
      </c>
      <c r="R3383" s="12">
        <f>IF($J3383=0,0,ROUND(MAX($J3383*1.4*1.5*1.6*1.6,13100000*(1.429962^(MIN($E3383,123)-117)))*1,0))</f>
        <v>125329</v>
      </c>
      <c r="S3383" s="13">
        <f>$E3383+8</f>
        <v>112</v>
      </c>
      <c r="T3383" s="14">
        <f>IF($J3383=0,0,ROUND(MAX($J3383*1.4*1.5*1.6*1.6*2.2,42600000*(1.576904^(MIN($E3383,123)-117)))*1,0))</f>
        <v>134830</v>
      </c>
      <c r="U3383" s="11">
        <f>$E3383+11</f>
        <v>115</v>
      </c>
      <c r="V3383" s="12">
        <f>IF($J3383=0,0,ROUND(MAX($J3383*1.4*1.5*1.6*1.6*2.2*2.715,354000000*(1.642074^(MIN($E3383,123)-117)))*1,0))</f>
        <v>560916</v>
      </c>
      <c r="W3383" s="13">
        <f>$E3383+15</f>
        <v>119</v>
      </c>
      <c r="X3383" s="14">
        <f>IF($J3383=0,0,ROUND(MAX($J3383*1.4*1.5*1.6*1.6*2.2*2.715*2.6,3540000000*(1.579646^(MIN($E3383,123)-117)))*1,0))</f>
        <v>9283810</v>
      </c>
      <c r="Y3383" s="11">
        <f>$E3383+17</f>
        <v>121</v>
      </c>
      <c r="Z3383" s="12">
        <f>IF($J3383=0,0,ROUND(MAX($J3383*1.4*1.5*1.6*1.6*2.2*2.715*2.6*1.4,6020000000*(1.651178^(MIN($E3383,123)-117)))*1,0))</f>
        <v>8877197</v>
      </c>
      <c r="AA3383" s="13">
        <f>$E3383+19</f>
        <v>123</v>
      </c>
      <c r="AB3383" s="14">
        <f>IF($J3383=0,0,ROUND(MAX($J3383*1.4*1.5*1.6*1.6*2.2*2.715*2.6*1.4*1.4,8430000000*(1.651435^(MIN($E3383,123)-117)))*1,0))</f>
        <v>12405900</v>
      </c>
      <c r="AC3383" s="11">
        <f>$E3383+21</f>
        <v>125</v>
      </c>
      <c r="AD3383" s="12">
        <f>IF($J3383=0,0,ROUND(MAX($J3383*1.4*1.5*1.6*1.6*2.2*2.715*2.6*1.4*1.4*1.5,12600000000*(1.652953^(MIN($E3383,123)-117)))*1,0))</f>
        <v>18322468</v>
      </c>
      <c r="AE3383" s="13">
        <f>$E3383+24</f>
        <v>128</v>
      </c>
      <c r="AF3383" s="14">
        <f>IF($J3383=0,0,ROUND(MAX($J3383*1.4*1.5*1.6*1.6*2.2*2.715*2.6*1.4*1.4*1.5*1.5,18900000000*(1.65331^(MIN($E3383,123)-117)))*1,0))</f>
        <v>27406653</v>
      </c>
      <c r="AG3383" s="11">
        <f>$E3383+27</f>
        <v>131</v>
      </c>
      <c r="AH3383" s="12">
        <f>IF($J3383=0,0,ROUND(MAX($J3383*1.4*1.5*1.6*1.6*2.2*2.715*2.6*1.4*1.4*1.5*1.5*3.2,60500000000*(1.654288^(MIN($E3383,123)-117)))*1,0))</f>
        <v>87058428</v>
      </c>
    </row>
    <row r="3384" ht="28" customHeight="1" spans="1:34" x14ac:dyDescent="0.25">
      <c r="A3384">
        <v>3394</v>
      </c>
      <c r="B3384" t="s">
        <v>89</v>
      </c>
      <c r="C3384" s="10" t="s">
        <v>1777</v>
      </c>
      <c r="D3384" t="s">
        <v>331</v>
      </c>
      <c r="E3384">
        <v>104</v>
      </c>
      <c r="F3384" t="s">
        <v>30</v>
      </c>
      <c r="G3384" t="s">
        <v>562</v>
      </c>
      <c r="H3384">
        <v>22</v>
      </c>
      <c r="I3384" s="11">
        <f>$E3384+0</f>
        <v>104</v>
      </c>
      <c r="J3384" s="12">
        <v>49000</v>
      </c>
      <c r="K3384" s="13">
        <f>$E3384+1</f>
        <v>105</v>
      </c>
      <c r="L3384" s="14">
        <f>IF($J3384=0,0,ROUND(MAX($J3384*1.4,1620000*(1.497923^(MIN($E3384,123)-117)))*1,0))</f>
        <v>68600</v>
      </c>
      <c r="M3384" s="11">
        <f>$E3384+2</f>
        <v>106</v>
      </c>
      <c r="N3384" s="12">
        <f>IF($J3384=0,0,ROUND(MAX($J3384*1.4*1.5,2190000*(1.580994^(MIN($E3384,123)-117)))*1,0))</f>
        <v>102900</v>
      </c>
      <c r="O3384" s="13">
        <f>$E3384+4</f>
        <v>108</v>
      </c>
      <c r="P3384" s="14">
        <f>IF($J3384=0,0,ROUND(MAX($J3384*1.4*1.5*1.6,3500000*(1.57975^(MIN($E3384,123)-117)))*1,0))</f>
        <v>164640</v>
      </c>
      <c r="Q3384" s="11">
        <f>$E3384+6</f>
        <v>110</v>
      </c>
      <c r="R3384" s="12">
        <f>IF($J3384=0,0,ROUND(MAX($J3384*1.4*1.5*1.6*1.6,13100000*(1.429962^(MIN($E3384,123)-117)))*1,0))</f>
        <v>263424</v>
      </c>
      <c r="S3384" s="13">
        <f>$E3384+8</f>
        <v>112</v>
      </c>
      <c r="T3384" s="14">
        <f>IF($J3384=0,0,ROUND(MAX($J3384*1.4*1.5*1.6*1.6*2.2,42600000*(1.576904^(MIN($E3384,123)-117)))*1,0))</f>
        <v>579533</v>
      </c>
      <c r="U3384" s="11">
        <f>$E3384+11</f>
        <v>115</v>
      </c>
      <c r="V3384" s="12">
        <f>IF($J3384=0,0,ROUND(MAX($J3384*1.4*1.5*1.6*1.6*2.2*2.715,354000000*(1.642074^(MIN($E3384,123)-117)))*1,0))</f>
        <v>1573432</v>
      </c>
      <c r="W3384" s="13">
        <f>$E3384+15</f>
        <v>119</v>
      </c>
      <c r="X3384" s="14">
        <f>IF($J3384=0,0,ROUND(MAX($J3384*1.4*1.5*1.6*1.6*2.2*2.715*2.6,3540000000*(1.579646^(MIN($E3384,123)-117)))*1,0))</f>
        <v>9283810</v>
      </c>
      <c r="Y3384" s="11">
        <f>$E3384+17</f>
        <v>121</v>
      </c>
      <c r="Z3384" s="12">
        <f>IF($J3384=0,0,ROUND(MAX($J3384*1.4*1.5*1.6*1.6*2.2*2.715*2.6*1.4,6020000000*(1.651178^(MIN($E3384,123)-117)))*1,0))</f>
        <v>8877197</v>
      </c>
      <c r="AA3384" s="13">
        <f>$E3384+19</f>
        <v>123</v>
      </c>
      <c r="AB3384" s="14">
        <f>IF($J3384=0,0,ROUND(MAX($J3384*1.4*1.5*1.6*1.6*2.2*2.715*2.6*1.4*1.4,8430000000*(1.651435^(MIN($E3384,123)-117)))*1,0))</f>
        <v>12405900</v>
      </c>
      <c r="AC3384" s="11">
        <f>$E3384+21</f>
        <v>125</v>
      </c>
      <c r="AD3384" s="12">
        <f>IF($J3384=0,0,ROUND(MAX($J3384*1.4*1.5*1.6*1.6*2.2*2.715*2.6*1.4*1.4*1.5,12600000000*(1.652953^(MIN($E3384,123)-117)))*1,0))</f>
        <v>18322468</v>
      </c>
      <c r="AE3384" s="13">
        <f>$E3384+24</f>
        <v>128</v>
      </c>
      <c r="AF3384" s="14">
        <f>IF($J3384=0,0,ROUND(MAX($J3384*1.4*1.5*1.6*1.6*2.2*2.715*2.6*1.4*1.4*1.5*1.5,18900000000*(1.65331^(MIN($E3384,123)-117)))*1,0))</f>
        <v>27406653</v>
      </c>
      <c r="AG3384" s="11">
        <f>$E3384+27</f>
        <v>131</v>
      </c>
      <c r="AH3384" s="12">
        <f>IF($J3384=0,0,ROUND(MAX($J3384*1.4*1.5*1.6*1.6*2.2*2.715*2.6*1.4*1.4*1.5*1.5*3.2,60500000000*(1.654288^(MIN($E3384,123)-117)))*1,0))</f>
        <v>87058428</v>
      </c>
    </row>
    <row r="3385" ht="28" customHeight="1" spans="1:34" x14ac:dyDescent="0.25">
      <c r="A3385">
        <v>3395</v>
      </c>
      <c r="B3385" t="s">
        <v>182</v>
      </c>
      <c r="C3385" s="10" t="s">
        <v>1777</v>
      </c>
      <c r="D3385" t="s">
        <v>102</v>
      </c>
      <c r="E3385">
        <v>104</v>
      </c>
      <c r="F3385" t="s">
        <v>183</v>
      </c>
      <c r="G3385" t="s">
        <v>562</v>
      </c>
      <c r="H3385">
        <v>22</v>
      </c>
      <c r="I3385" s="11">
        <f>$E3385+0</f>
        <v>104</v>
      </c>
      <c r="J3385" s="12">
        <v>7280</v>
      </c>
      <c r="K3385" s="13">
        <f>$E3385+1</f>
        <v>105</v>
      </c>
      <c r="L3385" s="14">
        <f>IF($J3385=0,0,ROUND(MAX($J3385*1.4,1620000*(1.497923^(MIN($E3385,123)-117)))*1,0))</f>
        <v>10192</v>
      </c>
      <c r="M3385" s="11">
        <f>$E3385+2</f>
        <v>106</v>
      </c>
      <c r="N3385" s="12">
        <f>IF($J3385=0,0,ROUND(MAX($J3385*1.4*1.5,2190000*(1.580994^(MIN($E3385,123)-117)))*1,0))</f>
        <v>15288</v>
      </c>
      <c r="O3385" s="13">
        <f>$E3385+4</f>
        <v>108</v>
      </c>
      <c r="P3385" s="14">
        <f>IF($J3385=0,0,ROUND(MAX($J3385*1.4*1.5*1.6,3500000*(1.57975^(MIN($E3385,123)-117)))*1,0))</f>
        <v>24461</v>
      </c>
      <c r="Q3385" s="11">
        <f>$E3385+6</f>
        <v>110</v>
      </c>
      <c r="R3385" s="12">
        <f>IF($J3385=0,0,ROUND(MAX($J3385*1.4*1.5*1.6*1.6,13100000*(1.429962^(MIN($E3385,123)-117)))*1,0))</f>
        <v>125329</v>
      </c>
      <c r="S3385" s="13">
        <f>$E3385+8</f>
        <v>112</v>
      </c>
      <c r="T3385" s="14">
        <f>IF($J3385=0,0,ROUND(MAX($J3385*1.4*1.5*1.6*1.6*2.2,42600000*(1.576904^(MIN($E3385,123)-117)))*1,0))</f>
        <v>114272</v>
      </c>
      <c r="U3385" s="11">
        <f>$E3385+11</f>
        <v>115</v>
      </c>
      <c r="V3385" s="12">
        <f>IF($J3385=0,0,ROUND(MAX($J3385*1.4*1.5*1.6*1.6*2.2*2.715,354000000*(1.642074^(MIN($E3385,123)-117)))*1,0))</f>
        <v>560916</v>
      </c>
      <c r="W3385" s="13">
        <f>$E3385+15</f>
        <v>119</v>
      </c>
      <c r="X3385" s="14">
        <f>IF($J3385=0,0,ROUND(MAX($J3385*1.4*1.5*1.6*1.6*2.2*2.715*2.6,3540000000*(1.579646^(MIN($E3385,123)-117)))*1,0))</f>
        <v>9283810</v>
      </c>
      <c r="Y3385" s="11">
        <f>$E3385+17</f>
        <v>121</v>
      </c>
      <c r="Z3385" s="12">
        <f>IF($J3385=0,0,ROUND(MAX($J3385*1.4*1.5*1.6*1.6*2.2*2.715*2.6*1.4,6020000000*(1.651178^(MIN($E3385,123)-117)))*1,0))</f>
        <v>8877197</v>
      </c>
      <c r="AA3385" s="13">
        <f>$E3385+19</f>
        <v>123</v>
      </c>
      <c r="AB3385" s="14">
        <f>IF($J3385=0,0,ROUND(MAX($J3385*1.4*1.5*1.6*1.6*2.2*2.715*2.6*1.4*1.4,8430000000*(1.651435^(MIN($E3385,123)-117)))*1,0))</f>
        <v>12405900</v>
      </c>
      <c r="AC3385" s="11">
        <f>$E3385+21</f>
        <v>125</v>
      </c>
      <c r="AD3385" s="12">
        <f>IF($J3385=0,0,ROUND(MAX($J3385*1.4*1.5*1.6*1.6*2.2*2.715*2.6*1.4*1.4*1.5,12600000000*(1.652953^(MIN($E3385,123)-117)))*1,0))</f>
        <v>18322468</v>
      </c>
      <c r="AE3385" s="13">
        <f>$E3385+24</f>
        <v>128</v>
      </c>
      <c r="AF3385" s="14">
        <f>IF($J3385=0,0,ROUND(MAX($J3385*1.4*1.5*1.6*1.6*2.2*2.715*2.6*1.4*1.4*1.5*1.5,18900000000*(1.65331^(MIN($E3385,123)-117)))*1,0))</f>
        <v>27406653</v>
      </c>
      <c r="AG3385" s="11">
        <f>$E3385+27</f>
        <v>131</v>
      </c>
      <c r="AH3385" s="12">
        <f>IF($J3385=0,0,ROUND(MAX($J3385*1.4*1.5*1.6*1.6*2.2*2.715*2.6*1.4*1.4*1.5*1.5*3.2,60500000000*(1.654288^(MIN($E3385,123)-117)))*1,0))</f>
        <v>87058428</v>
      </c>
    </row>
    <row r="3386" ht="28" customHeight="1" spans="1:34" x14ac:dyDescent="0.25">
      <c r="A3386">
        <v>3396</v>
      </c>
      <c r="B3386" t="s">
        <v>180</v>
      </c>
      <c r="C3386" s="10" t="s">
        <v>1777</v>
      </c>
      <c r="D3386" t="s">
        <v>47</v>
      </c>
      <c r="E3386">
        <v>104</v>
      </c>
      <c r="F3386" t="s">
        <v>144</v>
      </c>
      <c r="G3386" t="s">
        <v>562</v>
      </c>
      <c r="H3386">
        <v>20</v>
      </c>
      <c r="I3386" s="11">
        <f>$E3386+0</f>
        <v>104</v>
      </c>
      <c r="J3386" s="12">
        <v>18900</v>
      </c>
      <c r="K3386" s="13">
        <f>$E3386+1</f>
        <v>105</v>
      </c>
      <c r="L3386" s="14">
        <f>IF($J3386=0,0,ROUND(MAX($J3386*1.4,1620000*(1.497923^(MIN($E3386,123)-117)))*1,0))</f>
        <v>26460</v>
      </c>
      <c r="M3386" s="11">
        <f>$E3386+2</f>
        <v>106</v>
      </c>
      <c r="N3386" s="12">
        <f>IF($J3386=0,0,ROUND(MAX($J3386*1.4*1.5,2190000*(1.580994^(MIN($E3386,123)-117)))*1,0))</f>
        <v>39690</v>
      </c>
      <c r="O3386" s="13">
        <f>$E3386+4</f>
        <v>108</v>
      </c>
      <c r="P3386" s="14">
        <f>IF($J3386=0,0,ROUND(MAX($J3386*1.4*1.5*1.6,3500000*(1.57975^(MIN($E3386,123)-117)))*1,0))</f>
        <v>63504</v>
      </c>
      <c r="Q3386" s="11">
        <f>$E3386+6</f>
        <v>110</v>
      </c>
      <c r="R3386" s="12">
        <f>IF($J3386=0,0,ROUND(MAX($J3386*1.4*1.5*1.6*1.6,13100000*(1.429962^(MIN($E3386,123)-117)))*1,0))</f>
        <v>125329</v>
      </c>
      <c r="S3386" s="13">
        <f>$E3386+8</f>
        <v>112</v>
      </c>
      <c r="T3386" s="14">
        <f>IF($J3386=0,0,ROUND(MAX($J3386*1.4*1.5*1.6*1.6*2.2,42600000*(1.576904^(MIN($E3386,123)-117)))*1,0))</f>
        <v>223534</v>
      </c>
      <c r="U3386" s="11">
        <f>$E3386+11</f>
        <v>115</v>
      </c>
      <c r="V3386" s="12">
        <f>IF($J3386=0,0,ROUND(MAX($J3386*1.4*1.5*1.6*1.6*2.2*2.715,354000000*(1.642074^(MIN($E3386,123)-117)))*1,0))</f>
        <v>606895</v>
      </c>
      <c r="W3386" s="13">
        <f>$E3386+15</f>
        <v>119</v>
      </c>
      <c r="X3386" s="14">
        <f>IF($J3386=0,0,ROUND(MAX($J3386*1.4*1.5*1.6*1.6*2.2*2.715*2.6,3540000000*(1.579646^(MIN($E3386,123)-117)))*1,0))</f>
        <v>9283810</v>
      </c>
      <c r="Y3386" s="11">
        <f>$E3386+17</f>
        <v>121</v>
      </c>
      <c r="Z3386" s="12">
        <f>IF($J3386=0,0,ROUND(MAX($J3386*1.4*1.5*1.6*1.6*2.2*2.715*2.6*1.4,6020000000*(1.651178^(MIN($E3386,123)-117)))*1,0))</f>
        <v>8877197</v>
      </c>
      <c r="AA3386" s="13">
        <f>$E3386+19</f>
        <v>123</v>
      </c>
      <c r="AB3386" s="14">
        <f>IF($J3386=0,0,ROUND(MAX($J3386*1.4*1.5*1.6*1.6*2.2*2.715*2.6*1.4*1.4,8430000000*(1.651435^(MIN($E3386,123)-117)))*1,0))</f>
        <v>12405900</v>
      </c>
      <c r="AC3386" s="11">
        <f>$E3386+21</f>
        <v>125</v>
      </c>
      <c r="AD3386" s="12">
        <f>IF($J3386=0,0,ROUND(MAX($J3386*1.4*1.5*1.6*1.6*2.2*2.715*2.6*1.4*1.4*1.5,12600000000*(1.652953^(MIN($E3386,123)-117)))*1,0))</f>
        <v>18322468</v>
      </c>
      <c r="AE3386" s="13">
        <f>$E3386+24</f>
        <v>128</v>
      </c>
      <c r="AF3386" s="14">
        <f>IF($J3386=0,0,ROUND(MAX($J3386*1.4*1.5*1.6*1.6*2.2*2.715*2.6*1.4*1.4*1.5*1.5,18900000000*(1.65331^(MIN($E3386,123)-117)))*1,0))</f>
        <v>27406653</v>
      </c>
      <c r="AG3386" s="11">
        <f>$E3386+27</f>
        <v>131</v>
      </c>
      <c r="AH3386" s="12">
        <f>IF($J3386=0,0,ROUND(MAX($J3386*1.4*1.5*1.6*1.6*2.2*2.715*2.6*1.4*1.4*1.5*1.5*3.2,60500000000*(1.654288^(MIN($E3386,123)-117)))*1,0))</f>
        <v>87058428</v>
      </c>
    </row>
    <row r="3387" ht="28" customHeight="1" spans="1:34" x14ac:dyDescent="0.25">
      <c r="A3387">
        <v>3397</v>
      </c>
      <c r="B3387" t="s">
        <v>1778</v>
      </c>
      <c r="C3387" s="10" t="s">
        <v>1777</v>
      </c>
      <c r="D3387" t="s">
        <v>47</v>
      </c>
      <c r="E3387">
        <v>104</v>
      </c>
      <c r="F3387" t="s">
        <v>59</v>
      </c>
      <c r="G3387" t="s">
        <v>562</v>
      </c>
      <c r="H3387">
        <v>20</v>
      </c>
      <c r="I3387" s="11">
        <f>$E3387+0</f>
        <v>104</v>
      </c>
      <c r="J3387" s="12">
        <v>15700</v>
      </c>
      <c r="K3387" s="13">
        <f>$E3387+1</f>
        <v>105</v>
      </c>
      <c r="L3387" s="14">
        <f>IF($J3387=0,0,ROUND(MAX($J3387*1.4,1620000*(1.497923^(MIN($E3387,123)-117)))*1,0))</f>
        <v>21980</v>
      </c>
      <c r="M3387" s="11">
        <f>$E3387+2</f>
        <v>106</v>
      </c>
      <c r="N3387" s="12">
        <f>IF($J3387=0,0,ROUND(MAX($J3387*1.4*1.5,2190000*(1.580994^(MIN($E3387,123)-117)))*1,0))</f>
        <v>32970</v>
      </c>
      <c r="O3387" s="13">
        <f>$E3387+4</f>
        <v>108</v>
      </c>
      <c r="P3387" s="14">
        <f>IF($J3387=0,0,ROUND(MAX($J3387*1.4*1.5*1.6,3500000*(1.57975^(MIN($E3387,123)-117)))*1,0))</f>
        <v>52752</v>
      </c>
      <c r="Q3387" s="11">
        <f>$E3387+6</f>
        <v>110</v>
      </c>
      <c r="R3387" s="12">
        <f>IF($J3387=0,0,ROUND(MAX($J3387*1.4*1.5*1.6*1.6,13100000*(1.429962^(MIN($E3387,123)-117)))*1,0))</f>
        <v>125329</v>
      </c>
      <c r="S3387" s="13">
        <f>$E3387+8</f>
        <v>112</v>
      </c>
      <c r="T3387" s="14">
        <f>IF($J3387=0,0,ROUND(MAX($J3387*1.4*1.5*1.6*1.6*2.2,42600000*(1.576904^(MIN($E3387,123)-117)))*1,0))</f>
        <v>185687</v>
      </c>
      <c r="U3387" s="11">
        <f>$E3387+11</f>
        <v>115</v>
      </c>
      <c r="V3387" s="12">
        <f>IF($J3387=0,0,ROUND(MAX($J3387*1.4*1.5*1.6*1.6*2.2*2.715,354000000*(1.642074^(MIN($E3387,123)-117)))*1,0))</f>
        <v>560916</v>
      </c>
      <c r="W3387" s="13">
        <f>$E3387+15</f>
        <v>119</v>
      </c>
      <c r="X3387" s="14">
        <f>IF($J3387=0,0,ROUND(MAX($J3387*1.4*1.5*1.6*1.6*2.2*2.715*2.6,3540000000*(1.579646^(MIN($E3387,123)-117)))*1,0))</f>
        <v>9283810</v>
      </c>
      <c r="Y3387" s="11">
        <f>$E3387+17</f>
        <v>121</v>
      </c>
      <c r="Z3387" s="12">
        <f>IF($J3387=0,0,ROUND(MAX($J3387*1.4*1.5*1.6*1.6*2.2*2.715*2.6*1.4,6020000000*(1.651178^(MIN($E3387,123)-117)))*1,0))</f>
        <v>8877197</v>
      </c>
      <c r="AA3387" s="13">
        <f>$E3387+19</f>
        <v>123</v>
      </c>
      <c r="AB3387" s="14">
        <f>IF($J3387=0,0,ROUND(MAX($J3387*1.4*1.5*1.6*1.6*2.2*2.715*2.6*1.4*1.4,8430000000*(1.651435^(MIN($E3387,123)-117)))*1,0))</f>
        <v>12405900</v>
      </c>
      <c r="AC3387" s="11">
        <f>$E3387+21</f>
        <v>125</v>
      </c>
      <c r="AD3387" s="12">
        <f>IF($J3387=0,0,ROUND(MAX($J3387*1.4*1.5*1.6*1.6*2.2*2.715*2.6*1.4*1.4*1.5,12600000000*(1.652953^(MIN($E3387,123)-117)))*1,0))</f>
        <v>18322468</v>
      </c>
      <c r="AE3387" s="13">
        <f>$E3387+24</f>
        <v>128</v>
      </c>
      <c r="AF3387" s="14">
        <f>IF($J3387=0,0,ROUND(MAX($J3387*1.4*1.5*1.6*1.6*2.2*2.715*2.6*1.4*1.4*1.5*1.5,18900000000*(1.65331^(MIN($E3387,123)-117)))*1,0))</f>
        <v>27406653</v>
      </c>
      <c r="AG3387" s="11">
        <f>$E3387+27</f>
        <v>131</v>
      </c>
      <c r="AH3387" s="12">
        <f>IF($J3387=0,0,ROUND(MAX($J3387*1.4*1.5*1.6*1.6*2.2*2.715*2.6*1.4*1.4*1.5*1.5*3.2,60500000000*(1.654288^(MIN($E3387,123)-117)))*1,0))</f>
        <v>87058428</v>
      </c>
    </row>
    <row r="3388" ht="28" customHeight="1" spans="1:34" x14ac:dyDescent="0.25">
      <c r="A3388">
        <v>3398</v>
      </c>
      <c r="B3388" t="s">
        <v>347</v>
      </c>
      <c r="C3388" s="10" t="s">
        <v>1777</v>
      </c>
      <c r="D3388" t="s">
        <v>79</v>
      </c>
      <c r="E3388">
        <v>103</v>
      </c>
      <c r="F3388" t="s">
        <v>123</v>
      </c>
      <c r="G3388" t="s">
        <v>470</v>
      </c>
      <c r="H3388">
        <v>23</v>
      </c>
      <c r="I3388" s="11">
        <f>$E3388+0</f>
        <v>103</v>
      </c>
      <c r="J3388" s="12">
        <v>17700</v>
      </c>
      <c r="K3388" s="13">
        <f>$E3388+1</f>
        <v>104</v>
      </c>
      <c r="L3388" s="14">
        <f>IF($J3388=0,0,ROUND(MAX($J3388*1.4,1620000*(1.497923^(MIN($E3388,123)-117)))*1,0))</f>
        <v>24780</v>
      </c>
      <c r="M3388" s="11">
        <f>$E3388+2</f>
        <v>105</v>
      </c>
      <c r="N3388" s="12">
        <f>IF($J3388=0,0,ROUND(MAX($J3388*1.4*1.5,2190000*(1.580994^(MIN($E3388,123)-117)))*1,0))</f>
        <v>37170</v>
      </c>
      <c r="O3388" s="13">
        <f>$E3388+4</f>
        <v>107</v>
      </c>
      <c r="P3388" s="14">
        <f>IF($J3388=0,0,ROUND(MAX($J3388*1.4*1.5*1.6,3500000*(1.57975^(MIN($E3388,123)-117)))*1,0))</f>
        <v>59472</v>
      </c>
      <c r="Q3388" s="11">
        <f>$E3388+6</f>
        <v>109</v>
      </c>
      <c r="R3388" s="12">
        <f>IF($J3388=0,0,ROUND(MAX($J3388*1.4*1.5*1.6*1.6,13100000*(1.429962^(MIN($E3388,123)-117)))*1,0))</f>
        <v>95155</v>
      </c>
      <c r="S3388" s="13">
        <f>$E3388+8</f>
        <v>111</v>
      </c>
      <c r="T3388" s="14">
        <f>IF($J3388=0,0,ROUND(MAX($J3388*1.4*1.5*1.6*1.6*2.2,42600000*(1.576904^(MIN($E3388,123)-117)))*1,0))</f>
        <v>209341</v>
      </c>
      <c r="U3388" s="11">
        <f>$E3388+11</f>
        <v>114</v>
      </c>
      <c r="V3388" s="12">
        <f>IF($J3388=0,0,ROUND(MAX($J3388*1.4*1.5*1.6*1.6*2.2*2.715,354000000*(1.642074^(MIN($E3388,123)-117)))*1,0))</f>
        <v>568362</v>
      </c>
      <c r="W3388" s="13">
        <f>$E3388+15</f>
        <v>118</v>
      </c>
      <c r="X3388" s="14">
        <f>IF($J3388=0,0,ROUND(MAX($J3388*1.4*1.5*1.6*1.6*2.2*2.715*2.6,3540000000*(1.579646^(MIN($E3388,123)-117)))*1,0))</f>
        <v>5877146</v>
      </c>
      <c r="Y3388" s="11">
        <f>$E3388+17</f>
        <v>120</v>
      </c>
      <c r="Z3388" s="12">
        <f>IF($J3388=0,0,ROUND(MAX($J3388*1.4*1.5*1.6*1.6*2.2*2.715*2.6*1.4,6020000000*(1.651178^(MIN($E3388,123)-117)))*1,0))</f>
        <v>5376281</v>
      </c>
      <c r="AA3388" s="13">
        <f>$E3388+19</f>
        <v>122</v>
      </c>
      <c r="AB3388" s="14">
        <f>IF($J3388=0,0,ROUND(MAX($J3388*1.4*1.5*1.6*1.6*2.2*2.715*2.6*1.4*1.4,8430000000*(1.651435^(MIN($E3388,123)-117)))*1,0))</f>
        <v>7512194</v>
      </c>
      <c r="AC3388" s="11">
        <f>$E3388+21</f>
        <v>124</v>
      </c>
      <c r="AD3388" s="12">
        <f>IF($J3388=0,0,ROUND(MAX($J3388*1.4*1.5*1.6*1.6*2.2*2.715*2.6*1.4*1.4*1.5,12600000000*(1.652953^(MIN($E3388,123)-117)))*1,0))</f>
        <v>11084688</v>
      </c>
      <c r="AE3388" s="13">
        <f>$E3388+24</f>
        <v>127</v>
      </c>
      <c r="AF3388" s="14">
        <f>IF($J3388=0,0,ROUND(MAX($J3388*1.4*1.5*1.6*1.6*2.2*2.715*2.6*1.4*1.4*1.5*1.5,18900000000*(1.65331^(MIN($E3388,123)-117)))*1,0))</f>
        <v>16576839</v>
      </c>
      <c r="AG3388" s="11">
        <f>$E3388+27</f>
        <v>130</v>
      </c>
      <c r="AH3388" s="12">
        <f>IF($J3388=0,0,ROUND(MAX($J3388*1.4*1.5*1.6*1.6*2.2*2.715*2.6*1.4*1.4*1.5*1.5*3.2,60500000000*(1.654288^(MIN($E3388,123)-117)))*1,0))</f>
        <v>52625920</v>
      </c>
    </row>
    <row r="3389" ht="28" customHeight="1" spans="1:34" x14ac:dyDescent="0.25">
      <c r="A3389">
        <v>3399</v>
      </c>
      <c r="B3389" t="s">
        <v>191</v>
      </c>
      <c r="C3389" s="10" t="s">
        <v>1777</v>
      </c>
      <c r="D3389" t="s">
        <v>40</v>
      </c>
      <c r="E3389">
        <v>103</v>
      </c>
      <c r="F3389" t="s">
        <v>120</v>
      </c>
      <c r="G3389" t="s">
        <v>562</v>
      </c>
      <c r="H3389">
        <v>23</v>
      </c>
      <c r="I3389" s="11">
        <f>$E3389+0</f>
        <v>103</v>
      </c>
      <c r="J3389" s="12">
        <v>7560</v>
      </c>
      <c r="K3389" s="13">
        <f>$E3389+1</f>
        <v>104</v>
      </c>
      <c r="L3389" s="14">
        <f>IF($J3389=0,0,ROUND(MAX($J3389*1.4,1620000*(1.497923^(MIN($E3389,123)-117)))*1,0))</f>
        <v>10584</v>
      </c>
      <c r="M3389" s="11">
        <f>$E3389+2</f>
        <v>105</v>
      </c>
      <c r="N3389" s="12">
        <f>IF($J3389=0,0,ROUND(MAX($J3389*1.4*1.5,2190000*(1.580994^(MIN($E3389,123)-117)))*1,0))</f>
        <v>15876</v>
      </c>
      <c r="O3389" s="13">
        <f>$E3389+4</f>
        <v>107</v>
      </c>
      <c r="P3389" s="14">
        <f>IF($J3389=0,0,ROUND(MAX($J3389*1.4*1.5*1.6,3500000*(1.57975^(MIN($E3389,123)-117)))*1,0))</f>
        <v>25402</v>
      </c>
      <c r="Q3389" s="11">
        <f>$E3389+6</f>
        <v>109</v>
      </c>
      <c r="R3389" s="12">
        <f>IF($J3389=0,0,ROUND(MAX($J3389*1.4*1.5*1.6*1.6,13100000*(1.429962^(MIN($E3389,123)-117)))*1,0))</f>
        <v>87645</v>
      </c>
      <c r="S3389" s="13">
        <f>$E3389+8</f>
        <v>111</v>
      </c>
      <c r="T3389" s="14">
        <f>IF($J3389=0,0,ROUND(MAX($J3389*1.4*1.5*1.6*1.6*2.2,42600000*(1.576904^(MIN($E3389,123)-117)))*1,0))</f>
        <v>89414</v>
      </c>
      <c r="U3389" s="11">
        <f>$E3389+11</f>
        <v>114</v>
      </c>
      <c r="V3389" s="12">
        <f>IF($J3389=0,0,ROUND(MAX($J3389*1.4*1.5*1.6*1.6*2.2*2.715,354000000*(1.642074^(MIN($E3389,123)-117)))*1,0))</f>
        <v>341590</v>
      </c>
      <c r="W3389" s="13">
        <f>$E3389+15</f>
        <v>118</v>
      </c>
      <c r="X3389" s="14">
        <f>IF($J3389=0,0,ROUND(MAX($J3389*1.4*1.5*1.6*1.6*2.2*2.715*2.6,3540000000*(1.579646^(MIN($E3389,123)-117)))*1,0))</f>
        <v>5877146</v>
      </c>
      <c r="Y3389" s="11">
        <f>$E3389+17</f>
        <v>120</v>
      </c>
      <c r="Z3389" s="12">
        <f>IF($J3389=0,0,ROUND(MAX($J3389*1.4*1.5*1.6*1.6*2.2*2.715*2.6*1.4,6020000000*(1.651178^(MIN($E3389,123)-117)))*1,0))</f>
        <v>5376281</v>
      </c>
      <c r="AA3389" s="13">
        <f>$E3389+19</f>
        <v>122</v>
      </c>
      <c r="AB3389" s="14">
        <f>IF($J3389=0,0,ROUND(MAX($J3389*1.4*1.5*1.6*1.6*2.2*2.715*2.6*1.4*1.4,8430000000*(1.651435^(MIN($E3389,123)-117)))*1,0))</f>
        <v>7512194</v>
      </c>
      <c r="AC3389" s="11">
        <f>$E3389+21</f>
        <v>124</v>
      </c>
      <c r="AD3389" s="12">
        <f>IF($J3389=0,0,ROUND(MAX($J3389*1.4*1.5*1.6*1.6*2.2*2.715*2.6*1.4*1.4*1.5,12600000000*(1.652953^(MIN($E3389,123)-117)))*1,0))</f>
        <v>11084688</v>
      </c>
      <c r="AE3389" s="13">
        <f>$E3389+24</f>
        <v>127</v>
      </c>
      <c r="AF3389" s="14">
        <f>IF($J3389=0,0,ROUND(MAX($J3389*1.4*1.5*1.6*1.6*2.2*2.715*2.6*1.4*1.4*1.5*1.5,18900000000*(1.65331^(MIN($E3389,123)-117)))*1,0))</f>
        <v>16576839</v>
      </c>
      <c r="AG3389" s="11">
        <f>$E3389+27</f>
        <v>130</v>
      </c>
      <c r="AH3389" s="12">
        <f>IF($J3389=0,0,ROUND(MAX($J3389*1.4*1.5*1.6*1.6*2.2*2.715*2.6*1.4*1.4*1.5*1.5*3.2,60500000000*(1.654288^(MIN($E3389,123)-117)))*1,0))</f>
        <v>52625920</v>
      </c>
    </row>
    <row r="3390" ht="28" customHeight="1" spans="1:34" x14ac:dyDescent="0.25">
      <c r="A3390">
        <v>3400</v>
      </c>
      <c r="B3390" t="s">
        <v>176</v>
      </c>
      <c r="C3390" s="10" t="s">
        <v>1777</v>
      </c>
      <c r="D3390" t="s">
        <v>33</v>
      </c>
      <c r="E3390">
        <v>103</v>
      </c>
      <c r="F3390" t="s">
        <v>54</v>
      </c>
      <c r="G3390" t="s">
        <v>562</v>
      </c>
      <c r="H3390">
        <v>23</v>
      </c>
      <c r="I3390" s="11">
        <f>$E3390+0</f>
        <v>103</v>
      </c>
      <c r="J3390" s="12">
        <v>9960</v>
      </c>
      <c r="K3390" s="13">
        <f>$E3390+1</f>
        <v>104</v>
      </c>
      <c r="L3390" s="14">
        <f>IF($J3390=0,0,ROUND(MAX($J3390*1.4,1620000*(1.497923^(MIN($E3390,123)-117)))*1,0))</f>
        <v>13944</v>
      </c>
      <c r="M3390" s="11">
        <f>$E3390+2</f>
        <v>105</v>
      </c>
      <c r="N3390" s="12">
        <f>IF($J3390=0,0,ROUND(MAX($J3390*1.4*1.5,2190000*(1.580994^(MIN($E3390,123)-117)))*1,0))</f>
        <v>20916</v>
      </c>
      <c r="O3390" s="13">
        <f>$E3390+4</f>
        <v>107</v>
      </c>
      <c r="P3390" s="14">
        <f>IF($J3390=0,0,ROUND(MAX($J3390*1.4*1.5*1.6,3500000*(1.57975^(MIN($E3390,123)-117)))*1,0))</f>
        <v>33466</v>
      </c>
      <c r="Q3390" s="11">
        <f>$E3390+6</f>
        <v>109</v>
      </c>
      <c r="R3390" s="12">
        <f>IF($J3390=0,0,ROUND(MAX($J3390*1.4*1.5*1.6*1.6,13100000*(1.429962^(MIN($E3390,123)-117)))*1,0))</f>
        <v>87645</v>
      </c>
      <c r="S3390" s="13">
        <f>$E3390+8</f>
        <v>111</v>
      </c>
      <c r="T3390" s="14">
        <f>IF($J3390=0,0,ROUND(MAX($J3390*1.4*1.5*1.6*1.6*2.2,42600000*(1.576904^(MIN($E3390,123)-117)))*1,0))</f>
        <v>117799</v>
      </c>
      <c r="U3390" s="11">
        <f>$E3390+11</f>
        <v>114</v>
      </c>
      <c r="V3390" s="12">
        <f>IF($J3390=0,0,ROUND(MAX($J3390*1.4*1.5*1.6*1.6*2.2*2.715,354000000*(1.642074^(MIN($E3390,123)-117)))*1,0))</f>
        <v>341590</v>
      </c>
      <c r="W3390" s="13">
        <f>$E3390+15</f>
        <v>118</v>
      </c>
      <c r="X3390" s="14">
        <f>IF($J3390=0,0,ROUND(MAX($J3390*1.4*1.5*1.6*1.6*2.2*2.715*2.6,3540000000*(1.579646^(MIN($E3390,123)-117)))*1,0))</f>
        <v>5877146</v>
      </c>
      <c r="Y3390" s="11">
        <f>$E3390+17</f>
        <v>120</v>
      </c>
      <c r="Z3390" s="12">
        <f>IF($J3390=0,0,ROUND(MAX($J3390*1.4*1.5*1.6*1.6*2.2*2.715*2.6*1.4,6020000000*(1.651178^(MIN($E3390,123)-117)))*1,0))</f>
        <v>5376281</v>
      </c>
      <c r="AA3390" s="13">
        <f>$E3390+19</f>
        <v>122</v>
      </c>
      <c r="AB3390" s="14">
        <f>IF($J3390=0,0,ROUND(MAX($J3390*1.4*1.5*1.6*1.6*2.2*2.715*2.6*1.4*1.4,8430000000*(1.651435^(MIN($E3390,123)-117)))*1,0))</f>
        <v>7512194</v>
      </c>
      <c r="AC3390" s="11">
        <f>$E3390+21</f>
        <v>124</v>
      </c>
      <c r="AD3390" s="12">
        <f>IF($J3390=0,0,ROUND(MAX($J3390*1.4*1.5*1.6*1.6*2.2*2.715*2.6*1.4*1.4*1.5,12600000000*(1.652953^(MIN($E3390,123)-117)))*1,0))</f>
        <v>11084688</v>
      </c>
      <c r="AE3390" s="13">
        <f>$E3390+24</f>
        <v>127</v>
      </c>
      <c r="AF3390" s="14">
        <f>IF($J3390=0,0,ROUND(MAX($J3390*1.4*1.5*1.6*1.6*2.2*2.715*2.6*1.4*1.4*1.5*1.5,18900000000*(1.65331^(MIN($E3390,123)-117)))*1,0))</f>
        <v>16576839</v>
      </c>
      <c r="AG3390" s="11">
        <f>$E3390+27</f>
        <v>130</v>
      </c>
      <c r="AH3390" s="12">
        <f>IF($J3390=0,0,ROUND(MAX($J3390*1.4*1.5*1.6*1.6*2.2*2.715*2.6*1.4*1.4*1.5*1.5*3.2,60500000000*(1.654288^(MIN($E3390,123)-117)))*1,0))</f>
        <v>52625920</v>
      </c>
    </row>
    <row r="3391" ht="28" customHeight="1" spans="1:34" x14ac:dyDescent="0.25">
      <c r="A3391">
        <v>3401</v>
      </c>
      <c r="B3391" t="s">
        <v>210</v>
      </c>
      <c r="C3391" s="10" t="s">
        <v>1777</v>
      </c>
      <c r="D3391" t="s">
        <v>33</v>
      </c>
      <c r="E3391">
        <v>103</v>
      </c>
      <c r="F3391" t="s">
        <v>56</v>
      </c>
      <c r="G3391" t="s">
        <v>562</v>
      </c>
      <c r="H3391">
        <v>23</v>
      </c>
      <c r="I3391" s="11">
        <f>$E3391+0</f>
        <v>103</v>
      </c>
      <c r="J3391" s="12">
        <v>10000</v>
      </c>
      <c r="K3391" s="13">
        <f>$E3391+1</f>
        <v>104</v>
      </c>
      <c r="L3391" s="14">
        <f>IF($J3391=0,0,ROUND(MAX($J3391*1.4,1620000*(1.497923^(MIN($E3391,123)-117)))*1,0))</f>
        <v>14000</v>
      </c>
      <c r="M3391" s="11">
        <f>$E3391+2</f>
        <v>105</v>
      </c>
      <c r="N3391" s="12">
        <f>IF($J3391=0,0,ROUND(MAX($J3391*1.4*1.5,2190000*(1.580994^(MIN($E3391,123)-117)))*1,0))</f>
        <v>21000</v>
      </c>
      <c r="O3391" s="13">
        <f>$E3391+4</f>
        <v>107</v>
      </c>
      <c r="P3391" s="14">
        <f>IF($J3391=0,0,ROUND(MAX($J3391*1.4*1.5*1.6,3500000*(1.57975^(MIN($E3391,123)-117)))*1,0))</f>
        <v>33600</v>
      </c>
      <c r="Q3391" s="11">
        <f>$E3391+6</f>
        <v>109</v>
      </c>
      <c r="R3391" s="12">
        <f>IF($J3391=0,0,ROUND(MAX($J3391*1.4*1.5*1.6*1.6,13100000*(1.429962^(MIN($E3391,123)-117)))*1,0))</f>
        <v>87645</v>
      </c>
      <c r="S3391" s="13">
        <f>$E3391+8</f>
        <v>111</v>
      </c>
      <c r="T3391" s="14">
        <f>IF($J3391=0,0,ROUND(MAX($J3391*1.4*1.5*1.6*1.6*2.2,42600000*(1.576904^(MIN($E3391,123)-117)))*1,0))</f>
        <v>118272</v>
      </c>
      <c r="U3391" s="11">
        <f>$E3391+11</f>
        <v>114</v>
      </c>
      <c r="V3391" s="12">
        <f>IF($J3391=0,0,ROUND(MAX($J3391*1.4*1.5*1.6*1.6*2.2*2.715,354000000*(1.642074^(MIN($E3391,123)-117)))*1,0))</f>
        <v>341590</v>
      </c>
      <c r="W3391" s="13">
        <f>$E3391+15</f>
        <v>118</v>
      </c>
      <c r="X3391" s="14">
        <f>IF($J3391=0,0,ROUND(MAX($J3391*1.4*1.5*1.6*1.6*2.2*2.715*2.6,3540000000*(1.579646^(MIN($E3391,123)-117)))*1,0))</f>
        <v>5877146</v>
      </c>
      <c r="Y3391" s="11">
        <f>$E3391+17</f>
        <v>120</v>
      </c>
      <c r="Z3391" s="12">
        <f>IF($J3391=0,0,ROUND(MAX($J3391*1.4*1.5*1.6*1.6*2.2*2.715*2.6*1.4,6020000000*(1.651178^(MIN($E3391,123)-117)))*1,0))</f>
        <v>5376281</v>
      </c>
      <c r="AA3391" s="13">
        <f>$E3391+19</f>
        <v>122</v>
      </c>
      <c r="AB3391" s="14">
        <f>IF($J3391=0,0,ROUND(MAX($J3391*1.4*1.5*1.6*1.6*2.2*2.715*2.6*1.4*1.4,8430000000*(1.651435^(MIN($E3391,123)-117)))*1,0))</f>
        <v>7512194</v>
      </c>
      <c r="AC3391" s="11">
        <f>$E3391+21</f>
        <v>124</v>
      </c>
      <c r="AD3391" s="12">
        <f>IF($J3391=0,0,ROUND(MAX($J3391*1.4*1.5*1.6*1.6*2.2*2.715*2.6*1.4*1.4*1.5,12600000000*(1.652953^(MIN($E3391,123)-117)))*1,0))</f>
        <v>11084688</v>
      </c>
      <c r="AE3391" s="13">
        <f>$E3391+24</f>
        <v>127</v>
      </c>
      <c r="AF3391" s="14">
        <f>IF($J3391=0,0,ROUND(MAX($J3391*1.4*1.5*1.6*1.6*2.2*2.715*2.6*1.4*1.4*1.5*1.5,18900000000*(1.65331^(MIN($E3391,123)-117)))*1,0))</f>
        <v>16576839</v>
      </c>
      <c r="AG3391" s="11">
        <f>$E3391+27</f>
        <v>130</v>
      </c>
      <c r="AH3391" s="12">
        <f>IF($J3391=0,0,ROUND(MAX($J3391*1.4*1.5*1.6*1.6*2.2*2.715*2.6*1.4*1.4*1.5*1.5*3.2,60500000000*(1.654288^(MIN($E3391,123)-117)))*1,0))</f>
        <v>52625920</v>
      </c>
    </row>
    <row r="3392" ht="28" customHeight="1" spans="1:34" x14ac:dyDescent="0.25">
      <c r="A3392">
        <v>3402</v>
      </c>
      <c r="B3392" t="s">
        <v>922</v>
      </c>
      <c r="C3392" s="10" t="s">
        <v>1777</v>
      </c>
      <c r="D3392" t="s">
        <v>25</v>
      </c>
      <c r="E3392">
        <v>103</v>
      </c>
      <c r="F3392" t="s">
        <v>34</v>
      </c>
      <c r="G3392" t="s">
        <v>562</v>
      </c>
      <c r="H3392">
        <v>22</v>
      </c>
      <c r="I3392" s="11">
        <f>$E3392+0</f>
        <v>103</v>
      </c>
      <c r="J3392" s="12">
        <v>15300</v>
      </c>
      <c r="K3392" s="13">
        <f>$E3392+1</f>
        <v>104</v>
      </c>
      <c r="L3392" s="14">
        <f>IF($J3392=0,0,ROUND(MAX($J3392*1.4,1620000*(1.497923^(MIN($E3392,123)-117)))*1,0))</f>
        <v>21420</v>
      </c>
      <c r="M3392" s="11">
        <f>$E3392+2</f>
        <v>105</v>
      </c>
      <c r="N3392" s="12">
        <f>IF($J3392=0,0,ROUND(MAX($J3392*1.4*1.5,2190000*(1.580994^(MIN($E3392,123)-117)))*1,0))</f>
        <v>32130</v>
      </c>
      <c r="O3392" s="13">
        <f>$E3392+4</f>
        <v>107</v>
      </c>
      <c r="P3392" s="14">
        <f>IF($J3392=0,0,ROUND(MAX($J3392*1.4*1.5*1.6,3500000*(1.57975^(MIN($E3392,123)-117)))*1,0))</f>
        <v>51408</v>
      </c>
      <c r="Q3392" s="11">
        <f>$E3392+6</f>
        <v>109</v>
      </c>
      <c r="R3392" s="12">
        <f>IF($J3392=0,0,ROUND(MAX($J3392*1.4*1.5*1.6*1.6,13100000*(1.429962^(MIN($E3392,123)-117)))*1,0))</f>
        <v>87645</v>
      </c>
      <c r="S3392" s="13">
        <f>$E3392+8</f>
        <v>111</v>
      </c>
      <c r="T3392" s="14">
        <f>IF($J3392=0,0,ROUND(MAX($J3392*1.4*1.5*1.6*1.6*2.2,42600000*(1.576904^(MIN($E3392,123)-117)))*1,0))</f>
        <v>180956</v>
      </c>
      <c r="U3392" s="11">
        <f>$E3392+11</f>
        <v>114</v>
      </c>
      <c r="V3392" s="12">
        <f>IF($J3392=0,0,ROUND(MAX($J3392*1.4*1.5*1.6*1.6*2.2*2.715,354000000*(1.642074^(MIN($E3392,123)-117)))*1,0))</f>
        <v>491296</v>
      </c>
      <c r="W3392" s="13">
        <f>$E3392+15</f>
        <v>118</v>
      </c>
      <c r="X3392" s="14">
        <f>IF($J3392=0,0,ROUND(MAX($J3392*1.4*1.5*1.6*1.6*2.2*2.715*2.6,3540000000*(1.579646^(MIN($E3392,123)-117)))*1,0))</f>
        <v>5877146</v>
      </c>
      <c r="Y3392" s="11">
        <f>$E3392+17</f>
        <v>120</v>
      </c>
      <c r="Z3392" s="12">
        <f>IF($J3392=0,0,ROUND(MAX($J3392*1.4*1.5*1.6*1.6*2.2*2.715*2.6*1.4,6020000000*(1.651178^(MIN($E3392,123)-117)))*1,0))</f>
        <v>5376281</v>
      </c>
      <c r="AA3392" s="13">
        <f>$E3392+19</f>
        <v>122</v>
      </c>
      <c r="AB3392" s="14">
        <f>IF($J3392=0,0,ROUND(MAX($J3392*1.4*1.5*1.6*1.6*2.2*2.715*2.6*1.4*1.4,8430000000*(1.651435^(MIN($E3392,123)-117)))*1,0))</f>
        <v>7512194</v>
      </c>
      <c r="AC3392" s="11">
        <f>$E3392+21</f>
        <v>124</v>
      </c>
      <c r="AD3392" s="12">
        <f>IF($J3392=0,0,ROUND(MAX($J3392*1.4*1.5*1.6*1.6*2.2*2.715*2.6*1.4*1.4*1.5,12600000000*(1.652953^(MIN($E3392,123)-117)))*1,0))</f>
        <v>11084688</v>
      </c>
      <c r="AE3392" s="13">
        <f>$E3392+24</f>
        <v>127</v>
      </c>
      <c r="AF3392" s="14">
        <f>IF($J3392=0,0,ROUND(MAX($J3392*1.4*1.5*1.6*1.6*2.2*2.715*2.6*1.4*1.4*1.5*1.5,18900000000*(1.65331^(MIN($E3392,123)-117)))*1,0))</f>
        <v>16576839</v>
      </c>
      <c r="AG3392" s="11">
        <f>$E3392+27</f>
        <v>130</v>
      </c>
      <c r="AH3392" s="12">
        <f>IF($J3392=0,0,ROUND(MAX($J3392*1.4*1.5*1.6*1.6*2.2*2.715*2.6*1.4*1.4*1.5*1.5*3.2,60500000000*(1.654288^(MIN($E3392,123)-117)))*1,0))</f>
        <v>52625920</v>
      </c>
    </row>
    <row r="3393" ht="28" customHeight="1" spans="1:34" x14ac:dyDescent="0.25">
      <c r="A3393">
        <v>3403</v>
      </c>
      <c r="B3393" t="s">
        <v>1168</v>
      </c>
      <c r="C3393" s="10" t="s">
        <v>1777</v>
      </c>
      <c r="D3393" t="s">
        <v>40</v>
      </c>
      <c r="E3393">
        <v>103</v>
      </c>
      <c r="F3393" t="s">
        <v>179</v>
      </c>
      <c r="G3393" t="s">
        <v>562</v>
      </c>
      <c r="H3393">
        <v>22</v>
      </c>
      <c r="I3393" s="11">
        <f>$E3393+0</f>
        <v>103</v>
      </c>
      <c r="J3393" s="12">
        <v>28300</v>
      </c>
      <c r="K3393" s="13">
        <f>$E3393+1</f>
        <v>104</v>
      </c>
      <c r="L3393" s="14">
        <f>IF($J3393=0,0,ROUND(MAX($J3393*1.4,1620000*(1.497923^(MIN($E3393,123)-117)))*1,0))</f>
        <v>39620</v>
      </c>
      <c r="M3393" s="11">
        <f>$E3393+2</f>
        <v>105</v>
      </c>
      <c r="N3393" s="12">
        <f>IF($J3393=0,0,ROUND(MAX($J3393*1.4*1.5,2190000*(1.580994^(MIN($E3393,123)-117)))*1,0))</f>
        <v>59430</v>
      </c>
      <c r="O3393" s="13">
        <f>$E3393+4</f>
        <v>107</v>
      </c>
      <c r="P3393" s="14">
        <f>IF($J3393=0,0,ROUND(MAX($J3393*1.4*1.5*1.6,3500000*(1.57975^(MIN($E3393,123)-117)))*1,0))</f>
        <v>95088</v>
      </c>
      <c r="Q3393" s="11">
        <f>$E3393+6</f>
        <v>109</v>
      </c>
      <c r="R3393" s="12">
        <f>IF($J3393=0,0,ROUND(MAX($J3393*1.4*1.5*1.6*1.6,13100000*(1.429962^(MIN($E3393,123)-117)))*1,0))</f>
        <v>152141</v>
      </c>
      <c r="S3393" s="13">
        <f>$E3393+8</f>
        <v>111</v>
      </c>
      <c r="T3393" s="14">
        <f>IF($J3393=0,0,ROUND(MAX($J3393*1.4*1.5*1.6*1.6*2.2,42600000*(1.576904^(MIN($E3393,123)-117)))*1,0))</f>
        <v>334710</v>
      </c>
      <c r="U3393" s="11">
        <f>$E3393+11</f>
        <v>114</v>
      </c>
      <c r="V3393" s="12">
        <f>IF($J3393=0,0,ROUND(MAX($J3393*1.4*1.5*1.6*1.6*2.2*2.715,354000000*(1.642074^(MIN($E3393,123)-117)))*1,0))</f>
        <v>908737</v>
      </c>
      <c r="W3393" s="13">
        <f>$E3393+15</f>
        <v>118</v>
      </c>
      <c r="X3393" s="14">
        <f>IF($J3393=0,0,ROUND(MAX($J3393*1.4*1.5*1.6*1.6*2.2*2.715*2.6,3540000000*(1.579646^(MIN($E3393,123)-117)))*1,0))</f>
        <v>5877146</v>
      </c>
      <c r="Y3393" s="11">
        <f>$E3393+17</f>
        <v>120</v>
      </c>
      <c r="Z3393" s="12">
        <f>IF($J3393=0,0,ROUND(MAX($J3393*1.4*1.5*1.6*1.6*2.2*2.715*2.6*1.4,6020000000*(1.651178^(MIN($E3393,123)-117)))*1,0))</f>
        <v>5376281</v>
      </c>
      <c r="AA3393" s="13">
        <f>$E3393+19</f>
        <v>122</v>
      </c>
      <c r="AB3393" s="14">
        <f>IF($J3393=0,0,ROUND(MAX($J3393*1.4*1.5*1.6*1.6*2.2*2.715*2.6*1.4*1.4,8430000000*(1.651435^(MIN($E3393,123)-117)))*1,0))</f>
        <v>7512194</v>
      </c>
      <c r="AC3393" s="11">
        <f>$E3393+21</f>
        <v>124</v>
      </c>
      <c r="AD3393" s="12">
        <f>IF($J3393=0,0,ROUND(MAX($J3393*1.4*1.5*1.6*1.6*2.2*2.715*2.6*1.4*1.4*1.5,12600000000*(1.652953^(MIN($E3393,123)-117)))*1,0))</f>
        <v>11084688</v>
      </c>
      <c r="AE3393" s="13">
        <f>$E3393+24</f>
        <v>127</v>
      </c>
      <c r="AF3393" s="14">
        <f>IF($J3393=0,0,ROUND(MAX($J3393*1.4*1.5*1.6*1.6*2.2*2.715*2.6*1.4*1.4*1.5*1.5,18900000000*(1.65331^(MIN($E3393,123)-117)))*1,0))</f>
        <v>16576839</v>
      </c>
      <c r="AG3393" s="11">
        <f>$E3393+27</f>
        <v>130</v>
      </c>
      <c r="AH3393" s="12">
        <f>IF($J3393=0,0,ROUND(MAX($J3393*1.4*1.5*1.6*1.6*2.2*2.715*2.6*1.4*1.4*1.5*1.5*3.2,60500000000*(1.654288^(MIN($E3393,123)-117)))*1,0))</f>
        <v>52625920</v>
      </c>
    </row>
    <row r="3394" ht="28" customHeight="1" spans="1:34" x14ac:dyDescent="0.25">
      <c r="A3394">
        <v>3404</v>
      </c>
      <c r="B3394" t="s">
        <v>1045</v>
      </c>
      <c r="C3394" s="10" t="s">
        <v>1777</v>
      </c>
      <c r="D3394" t="s">
        <v>45</v>
      </c>
      <c r="E3394">
        <v>103</v>
      </c>
      <c r="F3394" t="s">
        <v>71</v>
      </c>
      <c r="G3394" t="s">
        <v>206</v>
      </c>
      <c r="H3394">
        <v>22</v>
      </c>
      <c r="I3394" s="11">
        <f>$E3394+0</f>
        <v>103</v>
      </c>
      <c r="J3394" s="12">
        <v>17400</v>
      </c>
      <c r="K3394" s="13">
        <f>$E3394+1</f>
        <v>104</v>
      </c>
      <c r="L3394" s="14">
        <f>IF($J3394=0,0,ROUND(MAX($J3394*1.4,1620000*(1.497923^(MIN($E3394,123)-117)))*1,0))</f>
        <v>24360</v>
      </c>
      <c r="M3394" s="11">
        <f>$E3394+2</f>
        <v>105</v>
      </c>
      <c r="N3394" s="12">
        <f>IF($J3394=0,0,ROUND(MAX($J3394*1.4*1.5,2190000*(1.580994^(MIN($E3394,123)-117)))*1,0))</f>
        <v>36540</v>
      </c>
      <c r="O3394" s="13">
        <f>$E3394+4</f>
        <v>107</v>
      </c>
      <c r="P3394" s="14">
        <f>IF($J3394=0,0,ROUND(MAX($J3394*1.4*1.5*1.6,3500000*(1.57975^(MIN($E3394,123)-117)))*1,0))</f>
        <v>58464</v>
      </c>
      <c r="Q3394" s="11">
        <f>$E3394+6</f>
        <v>109</v>
      </c>
      <c r="R3394" s="12">
        <f>IF($J3394=0,0,ROUND(MAX($J3394*1.4*1.5*1.6*1.6,13100000*(1.429962^(MIN($E3394,123)-117)))*1,0))</f>
        <v>93542</v>
      </c>
      <c r="S3394" s="13">
        <f>$E3394+8</f>
        <v>111</v>
      </c>
      <c r="T3394" s="14">
        <f>IF($J3394=0,0,ROUND(MAX($J3394*1.4*1.5*1.6*1.6*2.2,42600000*(1.576904^(MIN($E3394,123)-117)))*1,0))</f>
        <v>205793</v>
      </c>
      <c r="U3394" s="11">
        <f>$E3394+11</f>
        <v>114</v>
      </c>
      <c r="V3394" s="12">
        <f>IF($J3394=0,0,ROUND(MAX($J3394*1.4*1.5*1.6*1.6*2.2*2.715,354000000*(1.642074^(MIN($E3394,123)-117)))*1,0))</f>
        <v>558729</v>
      </c>
      <c r="W3394" s="13">
        <f>$E3394+15</f>
        <v>118</v>
      </c>
      <c r="X3394" s="14">
        <f>IF($J3394=0,0,ROUND(MAX($J3394*1.4*1.5*1.6*1.6*2.2*2.715*2.6,3540000000*(1.579646^(MIN($E3394,123)-117)))*1,0))</f>
        <v>5877146</v>
      </c>
      <c r="Y3394" s="11">
        <f>$E3394+17</f>
        <v>120</v>
      </c>
      <c r="Z3394" s="12">
        <f>IF($J3394=0,0,ROUND(MAX($J3394*1.4*1.5*1.6*1.6*2.2*2.715*2.6*1.4,6020000000*(1.651178^(MIN($E3394,123)-117)))*1,0))</f>
        <v>5376281</v>
      </c>
      <c r="AA3394" s="13">
        <f>$E3394+19</f>
        <v>122</v>
      </c>
      <c r="AB3394" s="14">
        <f>IF($J3394=0,0,ROUND(MAX($J3394*1.4*1.5*1.6*1.6*2.2*2.715*2.6*1.4*1.4,8430000000*(1.651435^(MIN($E3394,123)-117)))*1,0))</f>
        <v>7512194</v>
      </c>
      <c r="AC3394" s="11">
        <f>$E3394+21</f>
        <v>124</v>
      </c>
      <c r="AD3394" s="12">
        <f>IF($J3394=0,0,ROUND(MAX($J3394*1.4*1.5*1.6*1.6*2.2*2.715*2.6*1.4*1.4*1.5,12600000000*(1.652953^(MIN($E3394,123)-117)))*1,0))</f>
        <v>11084688</v>
      </c>
      <c r="AE3394" s="13">
        <f>$E3394+24</f>
        <v>127</v>
      </c>
      <c r="AF3394" s="14">
        <f>IF($J3394=0,0,ROUND(MAX($J3394*1.4*1.5*1.6*1.6*2.2*2.715*2.6*1.4*1.4*1.5*1.5,18900000000*(1.65331^(MIN($E3394,123)-117)))*1,0))</f>
        <v>16576839</v>
      </c>
      <c r="AG3394" s="11">
        <f>$E3394+27</f>
        <v>130</v>
      </c>
      <c r="AH3394" s="12">
        <f>IF($J3394=0,0,ROUND(MAX($J3394*1.4*1.5*1.6*1.6*2.2*2.715*2.6*1.4*1.4*1.5*1.5*3.2,60500000000*(1.654288^(MIN($E3394,123)-117)))*1,0))</f>
        <v>52625920</v>
      </c>
    </row>
    <row r="3395" ht="28" customHeight="1" spans="1:34" x14ac:dyDescent="0.25">
      <c r="A3395">
        <v>3405</v>
      </c>
      <c r="B3395" t="s">
        <v>535</v>
      </c>
      <c r="C3395" s="10" t="s">
        <v>1777</v>
      </c>
      <c r="D3395" t="s">
        <v>25</v>
      </c>
      <c r="E3395">
        <v>103</v>
      </c>
      <c r="F3395" t="s">
        <v>34</v>
      </c>
      <c r="G3395" t="s">
        <v>462</v>
      </c>
      <c r="H3395">
        <v>22</v>
      </c>
      <c r="I3395" s="11">
        <f>$E3395+0</f>
        <v>103</v>
      </c>
      <c r="J3395" s="12">
        <v>19400</v>
      </c>
      <c r="K3395" s="13">
        <f>$E3395+1</f>
        <v>104</v>
      </c>
      <c r="L3395" s="14">
        <f>IF($J3395=0,0,ROUND(MAX($J3395*1.4,1620000*(1.497923^(MIN($E3395,123)-117)))*1,0))</f>
        <v>27160</v>
      </c>
      <c r="M3395" s="11">
        <f>$E3395+2</f>
        <v>105</v>
      </c>
      <c r="N3395" s="12">
        <f>IF($J3395=0,0,ROUND(MAX($J3395*1.4*1.5,2190000*(1.580994^(MIN($E3395,123)-117)))*1,0))</f>
        <v>40740</v>
      </c>
      <c r="O3395" s="13">
        <f>$E3395+4</f>
        <v>107</v>
      </c>
      <c r="P3395" s="14">
        <f>IF($J3395=0,0,ROUND(MAX($J3395*1.4*1.5*1.6,3500000*(1.57975^(MIN($E3395,123)-117)))*1,0))</f>
        <v>65184</v>
      </c>
      <c r="Q3395" s="11">
        <f>$E3395+6</f>
        <v>109</v>
      </c>
      <c r="R3395" s="12">
        <f>IF($J3395=0,0,ROUND(MAX($J3395*1.4*1.5*1.6*1.6,13100000*(1.429962^(MIN($E3395,123)-117)))*1,0))</f>
        <v>104294</v>
      </c>
      <c r="S3395" s="13">
        <f>$E3395+8</f>
        <v>111</v>
      </c>
      <c r="T3395" s="14">
        <f>IF($J3395=0,0,ROUND(MAX($J3395*1.4*1.5*1.6*1.6*2.2,42600000*(1.576904^(MIN($E3395,123)-117)))*1,0))</f>
        <v>229448</v>
      </c>
      <c r="U3395" s="11">
        <f>$E3395+11</f>
        <v>114</v>
      </c>
      <c r="V3395" s="12">
        <f>IF($J3395=0,0,ROUND(MAX($J3395*1.4*1.5*1.6*1.6*2.2*2.715,354000000*(1.642074^(MIN($E3395,123)-117)))*1,0))</f>
        <v>622950</v>
      </c>
      <c r="W3395" s="13">
        <f>$E3395+15</f>
        <v>118</v>
      </c>
      <c r="X3395" s="14">
        <f>IF($J3395=0,0,ROUND(MAX($J3395*1.4*1.5*1.6*1.6*2.2*2.715*2.6,3540000000*(1.579646^(MIN($E3395,123)-117)))*1,0))</f>
        <v>5877146</v>
      </c>
      <c r="Y3395" s="11">
        <f>$E3395+17</f>
        <v>120</v>
      </c>
      <c r="Z3395" s="12">
        <f>IF($J3395=0,0,ROUND(MAX($J3395*1.4*1.5*1.6*1.6*2.2*2.715*2.6*1.4,6020000000*(1.651178^(MIN($E3395,123)-117)))*1,0))</f>
        <v>5376281</v>
      </c>
      <c r="AA3395" s="13">
        <f>$E3395+19</f>
        <v>122</v>
      </c>
      <c r="AB3395" s="14">
        <f>IF($J3395=0,0,ROUND(MAX($J3395*1.4*1.5*1.6*1.6*2.2*2.715*2.6*1.4*1.4,8430000000*(1.651435^(MIN($E3395,123)-117)))*1,0))</f>
        <v>7512194</v>
      </c>
      <c r="AC3395" s="11">
        <f>$E3395+21</f>
        <v>124</v>
      </c>
      <c r="AD3395" s="12">
        <f>IF($J3395=0,0,ROUND(MAX($J3395*1.4*1.5*1.6*1.6*2.2*2.715*2.6*1.4*1.4*1.5,12600000000*(1.652953^(MIN($E3395,123)-117)))*1,0))</f>
        <v>11084688</v>
      </c>
      <c r="AE3395" s="13">
        <f>$E3395+24</f>
        <v>127</v>
      </c>
      <c r="AF3395" s="14">
        <f>IF($J3395=0,0,ROUND(MAX($J3395*1.4*1.5*1.6*1.6*2.2*2.715*2.6*1.4*1.4*1.5*1.5,18900000000*(1.65331^(MIN($E3395,123)-117)))*1,0))</f>
        <v>16576839</v>
      </c>
      <c r="AG3395" s="11">
        <f>$E3395+27</f>
        <v>130</v>
      </c>
      <c r="AH3395" s="12">
        <f>IF($J3395=0,0,ROUND(MAX($J3395*1.4*1.5*1.6*1.6*2.2*2.715*2.6*1.4*1.4*1.5*1.5*3.2,60500000000*(1.654288^(MIN($E3395,123)-117)))*1,0))</f>
        <v>52625920</v>
      </c>
    </row>
    <row r="3396" ht="28" customHeight="1" spans="1:34" x14ac:dyDescent="0.25">
      <c r="A3396">
        <v>3406</v>
      </c>
      <c r="B3396" t="s">
        <v>1779</v>
      </c>
      <c r="C3396" s="10" t="s">
        <v>1777</v>
      </c>
      <c r="D3396" t="s">
        <v>33</v>
      </c>
      <c r="E3396">
        <v>103</v>
      </c>
      <c r="F3396" t="s">
        <v>258</v>
      </c>
      <c r="G3396" t="s">
        <v>562</v>
      </c>
      <c r="H3396">
        <v>22</v>
      </c>
      <c r="I3396" s="11">
        <f>$E3396+0</f>
        <v>103</v>
      </c>
      <c r="J3396" s="12">
        <v>24600</v>
      </c>
      <c r="K3396" s="13">
        <f>$E3396+1</f>
        <v>104</v>
      </c>
      <c r="L3396" s="14">
        <f>IF($J3396=0,0,ROUND(MAX($J3396*1.4,1620000*(1.497923^(MIN($E3396,123)-117)))*1,0))</f>
        <v>34440</v>
      </c>
      <c r="M3396" s="11">
        <f>$E3396+2</f>
        <v>105</v>
      </c>
      <c r="N3396" s="12">
        <f>IF($J3396=0,0,ROUND(MAX($J3396*1.4*1.5,2190000*(1.580994^(MIN($E3396,123)-117)))*1,0))</f>
        <v>51660</v>
      </c>
      <c r="O3396" s="13">
        <f>$E3396+4</f>
        <v>107</v>
      </c>
      <c r="P3396" s="14">
        <f>IF($J3396=0,0,ROUND(MAX($J3396*1.4*1.5*1.6,3500000*(1.57975^(MIN($E3396,123)-117)))*1,0))</f>
        <v>82656</v>
      </c>
      <c r="Q3396" s="11">
        <f>$E3396+6</f>
        <v>109</v>
      </c>
      <c r="R3396" s="12">
        <f>IF($J3396=0,0,ROUND(MAX($J3396*1.4*1.5*1.6*1.6,13100000*(1.429962^(MIN($E3396,123)-117)))*1,0))</f>
        <v>132250</v>
      </c>
      <c r="S3396" s="13">
        <f>$E3396+8</f>
        <v>111</v>
      </c>
      <c r="T3396" s="14">
        <f>IF($J3396=0,0,ROUND(MAX($J3396*1.4*1.5*1.6*1.6*2.2,42600000*(1.576904^(MIN($E3396,123)-117)))*1,0))</f>
        <v>290949</v>
      </c>
      <c r="U3396" s="11">
        <f>$E3396+11</f>
        <v>114</v>
      </c>
      <c r="V3396" s="12">
        <f>IF($J3396=0,0,ROUND(MAX($J3396*1.4*1.5*1.6*1.6*2.2*2.715,354000000*(1.642074^(MIN($E3396,123)-117)))*1,0))</f>
        <v>789927</v>
      </c>
      <c r="W3396" s="13">
        <f>$E3396+15</f>
        <v>118</v>
      </c>
      <c r="X3396" s="14">
        <f>IF($J3396=0,0,ROUND(MAX($J3396*1.4*1.5*1.6*1.6*2.2*2.715*2.6,3540000000*(1.579646^(MIN($E3396,123)-117)))*1,0))</f>
        <v>5877146</v>
      </c>
      <c r="Y3396" s="11">
        <f>$E3396+17</f>
        <v>120</v>
      </c>
      <c r="Z3396" s="12">
        <f>IF($J3396=0,0,ROUND(MAX($J3396*1.4*1.5*1.6*1.6*2.2*2.715*2.6*1.4,6020000000*(1.651178^(MIN($E3396,123)-117)))*1,0))</f>
        <v>5376281</v>
      </c>
      <c r="AA3396" s="13">
        <f>$E3396+19</f>
        <v>122</v>
      </c>
      <c r="AB3396" s="14">
        <f>IF($J3396=0,0,ROUND(MAX($J3396*1.4*1.5*1.6*1.6*2.2*2.715*2.6*1.4*1.4,8430000000*(1.651435^(MIN($E3396,123)-117)))*1,0))</f>
        <v>7512194</v>
      </c>
      <c r="AC3396" s="11">
        <f>$E3396+21</f>
        <v>124</v>
      </c>
      <c r="AD3396" s="12">
        <f>IF($J3396=0,0,ROUND(MAX($J3396*1.4*1.5*1.6*1.6*2.2*2.715*2.6*1.4*1.4*1.5,12600000000*(1.652953^(MIN($E3396,123)-117)))*1,0))</f>
        <v>11084688</v>
      </c>
      <c r="AE3396" s="13">
        <f>$E3396+24</f>
        <v>127</v>
      </c>
      <c r="AF3396" s="14">
        <f>IF($J3396=0,0,ROUND(MAX($J3396*1.4*1.5*1.6*1.6*2.2*2.715*2.6*1.4*1.4*1.5*1.5,18900000000*(1.65331^(MIN($E3396,123)-117)))*1,0))</f>
        <v>16576839</v>
      </c>
      <c r="AG3396" s="11">
        <f>$E3396+27</f>
        <v>130</v>
      </c>
      <c r="AH3396" s="12">
        <f>IF($J3396=0,0,ROUND(MAX($J3396*1.4*1.5*1.6*1.6*2.2*2.715*2.6*1.4*1.4*1.5*1.5*3.2,60500000000*(1.654288^(MIN($E3396,123)-117)))*1,0))</f>
        <v>52625920</v>
      </c>
    </row>
    <row r="3397" ht="28" customHeight="1" spans="1:34" x14ac:dyDescent="0.25">
      <c r="A3397">
        <v>3407</v>
      </c>
      <c r="B3397" t="s">
        <v>796</v>
      </c>
      <c r="C3397" s="10" t="s">
        <v>1777</v>
      </c>
      <c r="D3397" t="s">
        <v>25</v>
      </c>
      <c r="E3397">
        <v>103</v>
      </c>
      <c r="F3397" t="s">
        <v>42</v>
      </c>
      <c r="G3397" t="s">
        <v>797</v>
      </c>
      <c r="H3397">
        <v>22</v>
      </c>
      <c r="I3397" s="11">
        <f>$E3397+0</f>
        <v>103</v>
      </c>
      <c r="J3397" s="12">
        <v>12500</v>
      </c>
      <c r="K3397" s="13">
        <f>$E3397+1</f>
        <v>104</v>
      </c>
      <c r="L3397" s="14">
        <f>IF($J3397=0,0,ROUND(MAX($J3397*1.4,1620000*(1.497923^(MIN($E3397,123)-117)))*1,0))</f>
        <v>17500</v>
      </c>
      <c r="M3397" s="11">
        <f>$E3397+2</f>
        <v>105</v>
      </c>
      <c r="N3397" s="12">
        <f>IF($J3397=0,0,ROUND(MAX($J3397*1.4*1.5,2190000*(1.580994^(MIN($E3397,123)-117)))*1,0))</f>
        <v>26250</v>
      </c>
      <c r="O3397" s="13">
        <f>$E3397+4</f>
        <v>107</v>
      </c>
      <c r="P3397" s="14">
        <f>IF($J3397=0,0,ROUND(MAX($J3397*1.4*1.5*1.6,3500000*(1.57975^(MIN($E3397,123)-117)))*1,0))</f>
        <v>42000</v>
      </c>
      <c r="Q3397" s="11">
        <f>$E3397+6</f>
        <v>109</v>
      </c>
      <c r="R3397" s="12">
        <f>IF($J3397=0,0,ROUND(MAX($J3397*1.4*1.5*1.6*1.6,13100000*(1.429962^(MIN($E3397,123)-117)))*1,0))</f>
        <v>87645</v>
      </c>
      <c r="S3397" s="13">
        <f>$E3397+8</f>
        <v>111</v>
      </c>
      <c r="T3397" s="14">
        <f>IF($J3397=0,0,ROUND(MAX($J3397*1.4*1.5*1.6*1.6*2.2,42600000*(1.576904^(MIN($E3397,123)-117)))*1,0))</f>
        <v>147840</v>
      </c>
      <c r="U3397" s="11">
        <f>$E3397+11</f>
        <v>114</v>
      </c>
      <c r="V3397" s="12">
        <f>IF($J3397=0,0,ROUND(MAX($J3397*1.4*1.5*1.6*1.6*2.2*2.715,354000000*(1.642074^(MIN($E3397,123)-117)))*1,0))</f>
        <v>401386</v>
      </c>
      <c r="W3397" s="13">
        <f>$E3397+15</f>
        <v>118</v>
      </c>
      <c r="X3397" s="14">
        <f>IF($J3397=0,0,ROUND(MAX($J3397*1.4*1.5*1.6*1.6*2.2*2.715*2.6,3540000000*(1.579646^(MIN($E3397,123)-117)))*1,0))</f>
        <v>5877146</v>
      </c>
      <c r="Y3397" s="11">
        <f>$E3397+17</f>
        <v>120</v>
      </c>
      <c r="Z3397" s="12">
        <f>IF($J3397=0,0,ROUND(MAX($J3397*1.4*1.5*1.6*1.6*2.2*2.715*2.6*1.4,6020000000*(1.651178^(MIN($E3397,123)-117)))*1,0))</f>
        <v>5376281</v>
      </c>
      <c r="AA3397" s="13">
        <f>$E3397+19</f>
        <v>122</v>
      </c>
      <c r="AB3397" s="14">
        <f>IF($J3397=0,0,ROUND(MAX($J3397*1.4*1.5*1.6*1.6*2.2*2.715*2.6*1.4*1.4,8430000000*(1.651435^(MIN($E3397,123)-117)))*1,0))</f>
        <v>7512194</v>
      </c>
      <c r="AC3397" s="11">
        <f>$E3397+21</f>
        <v>124</v>
      </c>
      <c r="AD3397" s="12">
        <f>IF($J3397=0,0,ROUND(MAX($J3397*1.4*1.5*1.6*1.6*2.2*2.715*2.6*1.4*1.4*1.5,12600000000*(1.652953^(MIN($E3397,123)-117)))*1,0))</f>
        <v>11084688</v>
      </c>
      <c r="AE3397" s="13">
        <f>$E3397+24</f>
        <v>127</v>
      </c>
      <c r="AF3397" s="14">
        <f>IF($J3397=0,0,ROUND(MAX($J3397*1.4*1.5*1.6*1.6*2.2*2.715*2.6*1.4*1.4*1.5*1.5,18900000000*(1.65331^(MIN($E3397,123)-117)))*1,0))</f>
        <v>16576839</v>
      </c>
      <c r="AG3397" s="11">
        <f>$E3397+27</f>
        <v>130</v>
      </c>
      <c r="AH3397" s="12">
        <f>IF($J3397=0,0,ROUND(MAX($J3397*1.4*1.5*1.6*1.6*2.2*2.715*2.6*1.4*1.4*1.5*1.5*3.2,60500000000*(1.654288^(MIN($E3397,123)-117)))*1,0))</f>
        <v>52625920</v>
      </c>
    </row>
    <row r="3398" ht="28" customHeight="1" spans="1:34" x14ac:dyDescent="0.25">
      <c r="A3398">
        <v>3408</v>
      </c>
      <c r="B3398" t="s">
        <v>1205</v>
      </c>
      <c r="C3398" s="10" t="s">
        <v>1777</v>
      </c>
      <c r="D3398" t="s">
        <v>25</v>
      </c>
      <c r="E3398">
        <v>103</v>
      </c>
      <c r="F3398" t="s">
        <v>1206</v>
      </c>
      <c r="G3398" t="s">
        <v>562</v>
      </c>
      <c r="H3398">
        <v>22</v>
      </c>
      <c r="I3398" s="11">
        <f>$E3398+0</f>
        <v>103</v>
      </c>
      <c r="J3398" s="12">
        <v>14600</v>
      </c>
      <c r="K3398" s="13">
        <f>$E3398+1</f>
        <v>104</v>
      </c>
      <c r="L3398" s="14">
        <f>IF($J3398=0,0,ROUND(MAX($J3398*1.4,1620000*(1.497923^(MIN($E3398,123)-117)))*1,0))</f>
        <v>20440</v>
      </c>
      <c r="M3398" s="11">
        <f>$E3398+2</f>
        <v>105</v>
      </c>
      <c r="N3398" s="12">
        <f>IF($J3398=0,0,ROUND(MAX($J3398*1.4*1.5,2190000*(1.580994^(MIN($E3398,123)-117)))*1,0))</f>
        <v>30660</v>
      </c>
      <c r="O3398" s="13">
        <f>$E3398+4</f>
        <v>107</v>
      </c>
      <c r="P3398" s="14">
        <f>IF($J3398=0,0,ROUND(MAX($J3398*1.4*1.5*1.6,3500000*(1.57975^(MIN($E3398,123)-117)))*1,0))</f>
        <v>49056</v>
      </c>
      <c r="Q3398" s="11">
        <f>$E3398+6</f>
        <v>109</v>
      </c>
      <c r="R3398" s="12">
        <f>IF($J3398=0,0,ROUND(MAX($J3398*1.4*1.5*1.6*1.6,13100000*(1.429962^(MIN($E3398,123)-117)))*1,0))</f>
        <v>87645</v>
      </c>
      <c r="S3398" s="13">
        <f>$E3398+8</f>
        <v>111</v>
      </c>
      <c r="T3398" s="14">
        <f>IF($J3398=0,0,ROUND(MAX($J3398*1.4*1.5*1.6*1.6*2.2,42600000*(1.576904^(MIN($E3398,123)-117)))*1,0))</f>
        <v>172677</v>
      </c>
      <c r="U3398" s="11">
        <f>$E3398+11</f>
        <v>114</v>
      </c>
      <c r="V3398" s="12">
        <f>IF($J3398=0,0,ROUND(MAX($J3398*1.4*1.5*1.6*1.6*2.2*2.715,354000000*(1.642074^(MIN($E3398,123)-117)))*1,0))</f>
        <v>468818</v>
      </c>
      <c r="W3398" s="13">
        <f>$E3398+15</f>
        <v>118</v>
      </c>
      <c r="X3398" s="14">
        <f>IF($J3398=0,0,ROUND(MAX($J3398*1.4*1.5*1.6*1.6*2.2*2.715*2.6,3540000000*(1.579646^(MIN($E3398,123)-117)))*1,0))</f>
        <v>5877146</v>
      </c>
      <c r="Y3398" s="11">
        <f>$E3398+17</f>
        <v>120</v>
      </c>
      <c r="Z3398" s="12">
        <f>IF($J3398=0,0,ROUND(MAX($J3398*1.4*1.5*1.6*1.6*2.2*2.715*2.6*1.4,6020000000*(1.651178^(MIN($E3398,123)-117)))*1,0))</f>
        <v>5376281</v>
      </c>
      <c r="AA3398" s="13">
        <f>$E3398+19</f>
        <v>122</v>
      </c>
      <c r="AB3398" s="14">
        <f>IF($J3398=0,0,ROUND(MAX($J3398*1.4*1.5*1.6*1.6*2.2*2.715*2.6*1.4*1.4,8430000000*(1.651435^(MIN($E3398,123)-117)))*1,0))</f>
        <v>7512194</v>
      </c>
      <c r="AC3398" s="11">
        <f>$E3398+21</f>
        <v>124</v>
      </c>
      <c r="AD3398" s="12">
        <f>IF($J3398=0,0,ROUND(MAX($J3398*1.4*1.5*1.6*1.6*2.2*2.715*2.6*1.4*1.4*1.5,12600000000*(1.652953^(MIN($E3398,123)-117)))*1,0))</f>
        <v>11084688</v>
      </c>
      <c r="AE3398" s="13">
        <f>$E3398+24</f>
        <v>127</v>
      </c>
      <c r="AF3398" s="14">
        <f>IF($J3398=0,0,ROUND(MAX($J3398*1.4*1.5*1.6*1.6*2.2*2.715*2.6*1.4*1.4*1.5*1.5,18900000000*(1.65331^(MIN($E3398,123)-117)))*1,0))</f>
        <v>16576839</v>
      </c>
      <c r="AG3398" s="11">
        <f>$E3398+27</f>
        <v>130</v>
      </c>
      <c r="AH3398" s="12">
        <f>IF($J3398=0,0,ROUND(MAX($J3398*1.4*1.5*1.6*1.6*2.2*2.715*2.6*1.4*1.4*1.5*1.5*3.2,60500000000*(1.654288^(MIN($E3398,123)-117)))*1,0))</f>
        <v>52625920</v>
      </c>
    </row>
    <row r="3399" ht="28" customHeight="1" spans="1:34" x14ac:dyDescent="0.25">
      <c r="A3399">
        <v>3409</v>
      </c>
      <c r="B3399" t="s">
        <v>943</v>
      </c>
      <c r="C3399" s="10" t="s">
        <v>1777</v>
      </c>
      <c r="D3399" t="s">
        <v>25</v>
      </c>
      <c r="E3399">
        <v>103</v>
      </c>
      <c r="F3399" t="s">
        <v>212</v>
      </c>
      <c r="G3399" t="s">
        <v>562</v>
      </c>
      <c r="H3399">
        <v>22</v>
      </c>
      <c r="I3399" s="11">
        <f>$E3399+0</f>
        <v>103</v>
      </c>
      <c r="J3399" s="12">
        <v>18100</v>
      </c>
      <c r="K3399" s="13">
        <f>$E3399+1</f>
        <v>104</v>
      </c>
      <c r="L3399" s="14">
        <f>IF($J3399=0,0,ROUND(MAX($J3399*1.4,1620000*(1.497923^(MIN($E3399,123)-117)))*1,0))</f>
        <v>25340</v>
      </c>
      <c r="M3399" s="11">
        <f>$E3399+2</f>
        <v>105</v>
      </c>
      <c r="N3399" s="12">
        <f>IF($J3399=0,0,ROUND(MAX($J3399*1.4*1.5,2190000*(1.580994^(MIN($E3399,123)-117)))*1,0))</f>
        <v>38010</v>
      </c>
      <c r="O3399" s="13">
        <f>$E3399+4</f>
        <v>107</v>
      </c>
      <c r="P3399" s="14">
        <f>IF($J3399=0,0,ROUND(MAX($J3399*1.4*1.5*1.6,3500000*(1.57975^(MIN($E3399,123)-117)))*1,0))</f>
        <v>60816</v>
      </c>
      <c r="Q3399" s="11">
        <f>$E3399+6</f>
        <v>109</v>
      </c>
      <c r="R3399" s="12">
        <f>IF($J3399=0,0,ROUND(MAX($J3399*1.4*1.5*1.6*1.6,13100000*(1.429962^(MIN($E3399,123)-117)))*1,0))</f>
        <v>97306</v>
      </c>
      <c r="S3399" s="13">
        <f>$E3399+8</f>
        <v>111</v>
      </c>
      <c r="T3399" s="14">
        <f>IF($J3399=0,0,ROUND(MAX($J3399*1.4*1.5*1.6*1.6*2.2,42600000*(1.576904^(MIN($E3399,123)-117)))*1,0))</f>
        <v>214072</v>
      </c>
      <c r="U3399" s="11">
        <f>$E3399+11</f>
        <v>114</v>
      </c>
      <c r="V3399" s="12">
        <f>IF($J3399=0,0,ROUND(MAX($J3399*1.4*1.5*1.6*1.6*2.2*2.715,354000000*(1.642074^(MIN($E3399,123)-117)))*1,0))</f>
        <v>581206</v>
      </c>
      <c r="W3399" s="13">
        <f>$E3399+15</f>
        <v>118</v>
      </c>
      <c r="X3399" s="14">
        <f>IF($J3399=0,0,ROUND(MAX($J3399*1.4*1.5*1.6*1.6*2.2*2.715*2.6,3540000000*(1.579646^(MIN($E3399,123)-117)))*1,0))</f>
        <v>5877146</v>
      </c>
      <c r="Y3399" s="11">
        <f>$E3399+17</f>
        <v>120</v>
      </c>
      <c r="Z3399" s="12">
        <f>IF($J3399=0,0,ROUND(MAX($J3399*1.4*1.5*1.6*1.6*2.2*2.715*2.6*1.4,6020000000*(1.651178^(MIN($E3399,123)-117)))*1,0))</f>
        <v>5376281</v>
      </c>
      <c r="AA3399" s="13">
        <f>$E3399+19</f>
        <v>122</v>
      </c>
      <c r="AB3399" s="14">
        <f>IF($J3399=0,0,ROUND(MAX($J3399*1.4*1.5*1.6*1.6*2.2*2.715*2.6*1.4*1.4,8430000000*(1.651435^(MIN($E3399,123)-117)))*1,0))</f>
        <v>7512194</v>
      </c>
      <c r="AC3399" s="11">
        <f>$E3399+21</f>
        <v>124</v>
      </c>
      <c r="AD3399" s="12">
        <f>IF($J3399=0,0,ROUND(MAX($J3399*1.4*1.5*1.6*1.6*2.2*2.715*2.6*1.4*1.4*1.5,12600000000*(1.652953^(MIN($E3399,123)-117)))*1,0))</f>
        <v>11084688</v>
      </c>
      <c r="AE3399" s="13">
        <f>$E3399+24</f>
        <v>127</v>
      </c>
      <c r="AF3399" s="14">
        <f>IF($J3399=0,0,ROUND(MAX($J3399*1.4*1.5*1.6*1.6*2.2*2.715*2.6*1.4*1.4*1.5*1.5,18900000000*(1.65331^(MIN($E3399,123)-117)))*1,0))</f>
        <v>16576839</v>
      </c>
      <c r="AG3399" s="11">
        <f>$E3399+27</f>
        <v>130</v>
      </c>
      <c r="AH3399" s="12">
        <f>IF($J3399=0,0,ROUND(MAX($J3399*1.4*1.5*1.6*1.6*2.2*2.715*2.6*1.4*1.4*1.5*1.5*3.2,60500000000*(1.654288^(MIN($E3399,123)-117)))*1,0))</f>
        <v>52625920</v>
      </c>
    </row>
    <row r="3400" ht="28" customHeight="1" spans="1:34" x14ac:dyDescent="0.25">
      <c r="A3400">
        <v>3410</v>
      </c>
      <c r="B3400" t="s">
        <v>1136</v>
      </c>
      <c r="C3400" s="10" t="s">
        <v>1777</v>
      </c>
      <c r="D3400" t="s">
        <v>40</v>
      </c>
      <c r="E3400">
        <v>103</v>
      </c>
      <c r="F3400" t="s">
        <v>237</v>
      </c>
      <c r="G3400" t="s">
        <v>562</v>
      </c>
      <c r="H3400">
        <v>22</v>
      </c>
      <c r="I3400" s="11">
        <f>$E3400+0</f>
        <v>103</v>
      </c>
      <c r="J3400" s="12">
        <v>7440</v>
      </c>
      <c r="K3400" s="13">
        <f>$E3400+1</f>
        <v>104</v>
      </c>
      <c r="L3400" s="14">
        <f>IF($J3400=0,0,ROUND(MAX($J3400*1.4,1620000*(1.497923^(MIN($E3400,123)-117)))*1,0))</f>
        <v>10416</v>
      </c>
      <c r="M3400" s="11">
        <f>$E3400+2</f>
        <v>105</v>
      </c>
      <c r="N3400" s="12">
        <f>IF($J3400=0,0,ROUND(MAX($J3400*1.4*1.5,2190000*(1.580994^(MIN($E3400,123)-117)))*1,0))</f>
        <v>15624</v>
      </c>
      <c r="O3400" s="13">
        <f>$E3400+4</f>
        <v>107</v>
      </c>
      <c r="P3400" s="14">
        <f>IF($J3400=0,0,ROUND(MAX($J3400*1.4*1.5*1.6,3500000*(1.57975^(MIN($E3400,123)-117)))*1,0))</f>
        <v>24998</v>
      </c>
      <c r="Q3400" s="11">
        <f>$E3400+6</f>
        <v>109</v>
      </c>
      <c r="R3400" s="12">
        <f>IF($J3400=0,0,ROUND(MAX($J3400*1.4*1.5*1.6*1.6,13100000*(1.429962^(MIN($E3400,123)-117)))*1,0))</f>
        <v>87645</v>
      </c>
      <c r="S3400" s="13">
        <f>$E3400+8</f>
        <v>111</v>
      </c>
      <c r="T3400" s="14">
        <f>IF($J3400=0,0,ROUND(MAX($J3400*1.4*1.5*1.6*1.6*2.2,42600000*(1.576904^(MIN($E3400,123)-117)))*1,0))</f>
        <v>87994</v>
      </c>
      <c r="U3400" s="11">
        <f>$E3400+11</f>
        <v>114</v>
      </c>
      <c r="V3400" s="12">
        <f>IF($J3400=0,0,ROUND(MAX($J3400*1.4*1.5*1.6*1.6*2.2*2.715,354000000*(1.642074^(MIN($E3400,123)-117)))*1,0))</f>
        <v>341590</v>
      </c>
      <c r="W3400" s="13">
        <f>$E3400+15</f>
        <v>118</v>
      </c>
      <c r="X3400" s="14">
        <f>IF($J3400=0,0,ROUND(MAX($J3400*1.4*1.5*1.6*1.6*2.2*2.715*2.6,3540000000*(1.579646^(MIN($E3400,123)-117)))*1,0))</f>
        <v>5877146</v>
      </c>
      <c r="Y3400" s="11">
        <f>$E3400+17</f>
        <v>120</v>
      </c>
      <c r="Z3400" s="12">
        <f>IF($J3400=0,0,ROUND(MAX($J3400*1.4*1.5*1.6*1.6*2.2*2.715*2.6*1.4,6020000000*(1.651178^(MIN($E3400,123)-117)))*1,0))</f>
        <v>5376281</v>
      </c>
      <c r="AA3400" s="13">
        <f>$E3400+19</f>
        <v>122</v>
      </c>
      <c r="AB3400" s="14">
        <f>IF($J3400=0,0,ROUND(MAX($J3400*1.4*1.5*1.6*1.6*2.2*2.715*2.6*1.4*1.4,8430000000*(1.651435^(MIN($E3400,123)-117)))*1,0))</f>
        <v>7512194</v>
      </c>
      <c r="AC3400" s="11">
        <f>$E3400+21</f>
        <v>124</v>
      </c>
      <c r="AD3400" s="12">
        <f>IF($J3400=0,0,ROUND(MAX($J3400*1.4*1.5*1.6*1.6*2.2*2.715*2.6*1.4*1.4*1.5,12600000000*(1.652953^(MIN($E3400,123)-117)))*1,0))</f>
        <v>11084688</v>
      </c>
      <c r="AE3400" s="13">
        <f>$E3400+24</f>
        <v>127</v>
      </c>
      <c r="AF3400" s="14">
        <f>IF($J3400=0,0,ROUND(MAX($J3400*1.4*1.5*1.6*1.6*2.2*2.715*2.6*1.4*1.4*1.5*1.5,18900000000*(1.65331^(MIN($E3400,123)-117)))*1,0))</f>
        <v>16576839</v>
      </c>
      <c r="AG3400" s="11">
        <f>$E3400+27</f>
        <v>130</v>
      </c>
      <c r="AH3400" s="12">
        <f>IF($J3400=0,0,ROUND(MAX($J3400*1.4*1.5*1.6*1.6*2.2*2.715*2.6*1.4*1.4*1.5*1.5*3.2,60500000000*(1.654288^(MIN($E3400,123)-117)))*1,0))</f>
        <v>52625920</v>
      </c>
    </row>
    <row r="3401" ht="28" customHeight="1" spans="1:34" x14ac:dyDescent="0.25">
      <c r="A3401">
        <v>3411</v>
      </c>
      <c r="B3401" t="s">
        <v>203</v>
      </c>
      <c r="C3401" s="10" t="s">
        <v>1777</v>
      </c>
      <c r="D3401" t="s">
        <v>25</v>
      </c>
      <c r="E3401">
        <v>103</v>
      </c>
      <c r="F3401" t="s">
        <v>204</v>
      </c>
      <c r="G3401" t="s">
        <v>562</v>
      </c>
      <c r="H3401">
        <v>22</v>
      </c>
      <c r="I3401" s="11">
        <f>$E3401+0</f>
        <v>103</v>
      </c>
      <c r="J3401" s="12">
        <v>5680</v>
      </c>
      <c r="K3401" s="13">
        <f>$E3401+1</f>
        <v>104</v>
      </c>
      <c r="L3401" s="14">
        <f>IF($J3401=0,0,ROUND(MAX($J3401*1.4,1620000*(1.497923^(MIN($E3401,123)-117)))*1,0))</f>
        <v>7952</v>
      </c>
      <c r="M3401" s="11">
        <f>$E3401+2</f>
        <v>105</v>
      </c>
      <c r="N3401" s="12">
        <f>IF($J3401=0,0,ROUND(MAX($J3401*1.4*1.5,2190000*(1.580994^(MIN($E3401,123)-117)))*1,0))</f>
        <v>11928</v>
      </c>
      <c r="O3401" s="13">
        <f>$E3401+4</f>
        <v>107</v>
      </c>
      <c r="P3401" s="14">
        <f>IF($J3401=0,0,ROUND(MAX($J3401*1.4*1.5*1.6,3500000*(1.57975^(MIN($E3401,123)-117)))*1,0))</f>
        <v>19085</v>
      </c>
      <c r="Q3401" s="11">
        <f>$E3401+6</f>
        <v>109</v>
      </c>
      <c r="R3401" s="12">
        <f>IF($J3401=0,0,ROUND(MAX($J3401*1.4*1.5*1.6*1.6,13100000*(1.429962^(MIN($E3401,123)-117)))*1,0))</f>
        <v>87645</v>
      </c>
      <c r="S3401" s="13">
        <f>$E3401+8</f>
        <v>111</v>
      </c>
      <c r="T3401" s="14">
        <f>IF($J3401=0,0,ROUND(MAX($J3401*1.4*1.5*1.6*1.6*2.2,42600000*(1.576904^(MIN($E3401,123)-117)))*1,0))</f>
        <v>72466</v>
      </c>
      <c r="U3401" s="11">
        <f>$E3401+11</f>
        <v>114</v>
      </c>
      <c r="V3401" s="12">
        <f>IF($J3401=0,0,ROUND(MAX($J3401*1.4*1.5*1.6*1.6*2.2*2.715,354000000*(1.642074^(MIN($E3401,123)-117)))*1,0))</f>
        <v>341590</v>
      </c>
      <c r="W3401" s="13">
        <f>$E3401+15</f>
        <v>118</v>
      </c>
      <c r="X3401" s="14">
        <f>IF($J3401=0,0,ROUND(MAX($J3401*1.4*1.5*1.6*1.6*2.2*2.715*2.6,3540000000*(1.579646^(MIN($E3401,123)-117)))*1,0))</f>
        <v>5877146</v>
      </c>
      <c r="Y3401" s="11">
        <f>$E3401+17</f>
        <v>120</v>
      </c>
      <c r="Z3401" s="12">
        <f>IF($J3401=0,0,ROUND(MAX($J3401*1.4*1.5*1.6*1.6*2.2*2.715*2.6*1.4,6020000000*(1.651178^(MIN($E3401,123)-117)))*1,0))</f>
        <v>5376281</v>
      </c>
      <c r="AA3401" s="13">
        <f>$E3401+19</f>
        <v>122</v>
      </c>
      <c r="AB3401" s="14">
        <f>IF($J3401=0,0,ROUND(MAX($J3401*1.4*1.5*1.6*1.6*2.2*2.715*2.6*1.4*1.4,8430000000*(1.651435^(MIN($E3401,123)-117)))*1,0))</f>
        <v>7512194</v>
      </c>
      <c r="AC3401" s="11">
        <f>$E3401+21</f>
        <v>124</v>
      </c>
      <c r="AD3401" s="12">
        <f>IF($J3401=0,0,ROUND(MAX($J3401*1.4*1.5*1.6*1.6*2.2*2.715*2.6*1.4*1.4*1.5,12600000000*(1.652953^(MIN($E3401,123)-117)))*1,0))</f>
        <v>11084688</v>
      </c>
      <c r="AE3401" s="13">
        <f>$E3401+24</f>
        <v>127</v>
      </c>
      <c r="AF3401" s="14">
        <f>IF($J3401=0,0,ROUND(MAX($J3401*1.4*1.5*1.6*1.6*2.2*2.715*2.6*1.4*1.4*1.5*1.5,18900000000*(1.65331^(MIN($E3401,123)-117)))*1,0))</f>
        <v>16576839</v>
      </c>
      <c r="AG3401" s="11">
        <f>$E3401+27</f>
        <v>130</v>
      </c>
      <c r="AH3401" s="12">
        <f>IF($J3401=0,0,ROUND(MAX($J3401*1.4*1.5*1.6*1.6*2.2*2.715*2.6*1.4*1.4*1.5*1.5*3.2,60500000000*(1.654288^(MIN($E3401,123)-117)))*1,0))</f>
        <v>52625920</v>
      </c>
    </row>
    <row r="3402" ht="28" customHeight="1" spans="1:34" x14ac:dyDescent="0.25">
      <c r="A3402">
        <v>3412</v>
      </c>
      <c r="B3402" t="s">
        <v>173</v>
      </c>
      <c r="C3402" s="10" t="s">
        <v>1777</v>
      </c>
      <c r="D3402" t="s">
        <v>79</v>
      </c>
      <c r="E3402">
        <v>103</v>
      </c>
      <c r="F3402" t="s">
        <v>174</v>
      </c>
      <c r="G3402" t="s">
        <v>562</v>
      </c>
      <c r="H3402">
        <v>22</v>
      </c>
      <c r="I3402" s="11">
        <f>$E3402+0</f>
        <v>103</v>
      </c>
      <c r="J3402" s="12">
        <v>9770</v>
      </c>
      <c r="K3402" s="13">
        <f>$E3402+1</f>
        <v>104</v>
      </c>
      <c r="L3402" s="14">
        <f>IF($J3402=0,0,ROUND(MAX($J3402*1.4,1620000*(1.497923^(MIN($E3402,123)-117)))*1,0))</f>
        <v>13678</v>
      </c>
      <c r="M3402" s="11">
        <f>$E3402+2</f>
        <v>105</v>
      </c>
      <c r="N3402" s="12">
        <f>IF($J3402=0,0,ROUND(MAX($J3402*1.4*1.5,2190000*(1.580994^(MIN($E3402,123)-117)))*1,0))</f>
        <v>20517</v>
      </c>
      <c r="O3402" s="13">
        <f>$E3402+4</f>
        <v>107</v>
      </c>
      <c r="P3402" s="14">
        <f>IF($J3402=0,0,ROUND(MAX($J3402*1.4*1.5*1.6,3500000*(1.57975^(MIN($E3402,123)-117)))*1,0))</f>
        <v>32827</v>
      </c>
      <c r="Q3402" s="11">
        <f>$E3402+6</f>
        <v>109</v>
      </c>
      <c r="R3402" s="12">
        <f>IF($J3402=0,0,ROUND(MAX($J3402*1.4*1.5*1.6*1.6,13100000*(1.429962^(MIN($E3402,123)-117)))*1,0))</f>
        <v>87645</v>
      </c>
      <c r="S3402" s="13">
        <f>$E3402+8</f>
        <v>111</v>
      </c>
      <c r="T3402" s="14">
        <f>IF($J3402=0,0,ROUND(MAX($J3402*1.4*1.5*1.6*1.6*2.2,42600000*(1.576904^(MIN($E3402,123)-117)))*1,0))</f>
        <v>115552</v>
      </c>
      <c r="U3402" s="11">
        <f>$E3402+11</f>
        <v>114</v>
      </c>
      <c r="V3402" s="12">
        <f>IF($J3402=0,0,ROUND(MAX($J3402*1.4*1.5*1.6*1.6*2.2*2.715,354000000*(1.642074^(MIN($E3402,123)-117)))*1,0))</f>
        <v>341590</v>
      </c>
      <c r="W3402" s="13">
        <f>$E3402+15</f>
        <v>118</v>
      </c>
      <c r="X3402" s="14">
        <f>IF($J3402=0,0,ROUND(MAX($J3402*1.4*1.5*1.6*1.6*2.2*2.715*2.6,3540000000*(1.579646^(MIN($E3402,123)-117)))*1,0))</f>
        <v>5877146</v>
      </c>
      <c r="Y3402" s="11">
        <f>$E3402+17</f>
        <v>120</v>
      </c>
      <c r="Z3402" s="12">
        <f>IF($J3402=0,0,ROUND(MAX($J3402*1.4*1.5*1.6*1.6*2.2*2.715*2.6*1.4,6020000000*(1.651178^(MIN($E3402,123)-117)))*1,0))</f>
        <v>5376281</v>
      </c>
      <c r="AA3402" s="13">
        <f>$E3402+19</f>
        <v>122</v>
      </c>
      <c r="AB3402" s="14">
        <f>IF($J3402=0,0,ROUND(MAX($J3402*1.4*1.5*1.6*1.6*2.2*2.715*2.6*1.4*1.4,8430000000*(1.651435^(MIN($E3402,123)-117)))*1,0))</f>
        <v>7512194</v>
      </c>
      <c r="AC3402" s="11">
        <f>$E3402+21</f>
        <v>124</v>
      </c>
      <c r="AD3402" s="12">
        <f>IF($J3402=0,0,ROUND(MAX($J3402*1.4*1.5*1.6*1.6*2.2*2.715*2.6*1.4*1.4*1.5,12600000000*(1.652953^(MIN($E3402,123)-117)))*1,0))</f>
        <v>11084688</v>
      </c>
      <c r="AE3402" s="13">
        <f>$E3402+24</f>
        <v>127</v>
      </c>
      <c r="AF3402" s="14">
        <f>IF($J3402=0,0,ROUND(MAX($J3402*1.4*1.5*1.6*1.6*2.2*2.715*2.6*1.4*1.4*1.5*1.5,18900000000*(1.65331^(MIN($E3402,123)-117)))*1,0))</f>
        <v>16576839</v>
      </c>
      <c r="AG3402" s="11">
        <f>$E3402+27</f>
        <v>130</v>
      </c>
      <c r="AH3402" s="12">
        <f>IF($J3402=0,0,ROUND(MAX($J3402*1.4*1.5*1.6*1.6*2.2*2.715*2.6*1.4*1.4*1.5*1.5*3.2,60500000000*(1.654288^(MIN($E3402,123)-117)))*1,0))</f>
        <v>52625920</v>
      </c>
    </row>
    <row r="3403" ht="28" customHeight="1" spans="1:34" x14ac:dyDescent="0.25">
      <c r="A3403">
        <v>3413</v>
      </c>
      <c r="B3403" t="s">
        <v>94</v>
      </c>
      <c r="C3403" s="10" t="s">
        <v>1777</v>
      </c>
      <c r="D3403" t="s">
        <v>29</v>
      </c>
      <c r="E3403">
        <v>103</v>
      </c>
      <c r="F3403" t="s">
        <v>42</v>
      </c>
      <c r="G3403" t="s">
        <v>562</v>
      </c>
      <c r="H3403">
        <v>22</v>
      </c>
      <c r="I3403" s="11">
        <f>$E3403+0</f>
        <v>103</v>
      </c>
      <c r="J3403" s="12">
        <v>7010</v>
      </c>
      <c r="K3403" s="13">
        <f>$E3403+1</f>
        <v>104</v>
      </c>
      <c r="L3403" s="14">
        <f>IF($J3403=0,0,ROUND(MAX($J3403*1.4,1620000*(1.497923^(MIN($E3403,123)-117)))*1,0))</f>
        <v>9814</v>
      </c>
      <c r="M3403" s="11">
        <f>$E3403+2</f>
        <v>105</v>
      </c>
      <c r="N3403" s="12">
        <f>IF($J3403=0,0,ROUND(MAX($J3403*1.4*1.5,2190000*(1.580994^(MIN($E3403,123)-117)))*1,0))</f>
        <v>14721</v>
      </c>
      <c r="O3403" s="13">
        <f>$E3403+4</f>
        <v>107</v>
      </c>
      <c r="P3403" s="14">
        <f>IF($J3403=0,0,ROUND(MAX($J3403*1.4*1.5*1.6,3500000*(1.57975^(MIN($E3403,123)-117)))*1,0))</f>
        <v>23554</v>
      </c>
      <c r="Q3403" s="11">
        <f>$E3403+6</f>
        <v>109</v>
      </c>
      <c r="R3403" s="12">
        <f>IF($J3403=0,0,ROUND(MAX($J3403*1.4*1.5*1.6*1.6,13100000*(1.429962^(MIN($E3403,123)-117)))*1,0))</f>
        <v>87645</v>
      </c>
      <c r="S3403" s="13">
        <f>$E3403+8</f>
        <v>111</v>
      </c>
      <c r="T3403" s="14">
        <f>IF($J3403=0,0,ROUND(MAX($J3403*1.4*1.5*1.6*1.6*2.2,42600000*(1.576904^(MIN($E3403,123)-117)))*1,0))</f>
        <v>82909</v>
      </c>
      <c r="U3403" s="11">
        <f>$E3403+11</f>
        <v>114</v>
      </c>
      <c r="V3403" s="12">
        <f>IF($J3403=0,0,ROUND(MAX($J3403*1.4*1.5*1.6*1.6*2.2*2.715,354000000*(1.642074^(MIN($E3403,123)-117)))*1,0))</f>
        <v>341590</v>
      </c>
      <c r="W3403" s="13">
        <f>$E3403+15</f>
        <v>118</v>
      </c>
      <c r="X3403" s="14">
        <f>IF($J3403=0,0,ROUND(MAX($J3403*1.4*1.5*1.6*1.6*2.2*2.715*2.6,3540000000*(1.579646^(MIN($E3403,123)-117)))*1,0))</f>
        <v>5877146</v>
      </c>
      <c r="Y3403" s="11">
        <f>$E3403+17</f>
        <v>120</v>
      </c>
      <c r="Z3403" s="12">
        <f>IF($J3403=0,0,ROUND(MAX($J3403*1.4*1.5*1.6*1.6*2.2*2.715*2.6*1.4,6020000000*(1.651178^(MIN($E3403,123)-117)))*1,0))</f>
        <v>5376281</v>
      </c>
      <c r="AA3403" s="13">
        <f>$E3403+19</f>
        <v>122</v>
      </c>
      <c r="AB3403" s="14">
        <f>IF($J3403=0,0,ROUND(MAX($J3403*1.4*1.5*1.6*1.6*2.2*2.715*2.6*1.4*1.4,8430000000*(1.651435^(MIN($E3403,123)-117)))*1,0))</f>
        <v>7512194</v>
      </c>
      <c r="AC3403" s="11">
        <f>$E3403+21</f>
        <v>124</v>
      </c>
      <c r="AD3403" s="12">
        <f>IF($J3403=0,0,ROUND(MAX($J3403*1.4*1.5*1.6*1.6*2.2*2.715*2.6*1.4*1.4*1.5,12600000000*(1.652953^(MIN($E3403,123)-117)))*1,0))</f>
        <v>11084688</v>
      </c>
      <c r="AE3403" s="13">
        <f>$E3403+24</f>
        <v>127</v>
      </c>
      <c r="AF3403" s="14">
        <f>IF($J3403=0,0,ROUND(MAX($J3403*1.4*1.5*1.6*1.6*2.2*2.715*2.6*1.4*1.4*1.5*1.5,18900000000*(1.65331^(MIN($E3403,123)-117)))*1,0))</f>
        <v>16576839</v>
      </c>
      <c r="AG3403" s="11">
        <f>$E3403+27</f>
        <v>130</v>
      </c>
      <c r="AH3403" s="12">
        <f>IF($J3403=0,0,ROUND(MAX($J3403*1.4*1.5*1.6*1.6*2.2*2.715*2.6*1.4*1.4*1.5*1.5*3.2,60500000000*(1.654288^(MIN($E3403,123)-117)))*1,0))</f>
        <v>52625920</v>
      </c>
    </row>
    <row r="3404" ht="28" customHeight="1" spans="1:34" x14ac:dyDescent="0.25">
      <c r="A3404">
        <v>3414</v>
      </c>
      <c r="B3404" t="s">
        <v>158</v>
      </c>
      <c r="C3404" s="10" t="s">
        <v>1777</v>
      </c>
      <c r="D3404" t="s">
        <v>102</v>
      </c>
      <c r="E3404">
        <v>103</v>
      </c>
      <c r="F3404" t="s">
        <v>54</v>
      </c>
      <c r="G3404" t="s">
        <v>562</v>
      </c>
      <c r="H3404">
        <v>22</v>
      </c>
      <c r="I3404" s="11">
        <f>$E3404+0</f>
        <v>103</v>
      </c>
      <c r="J3404" s="12">
        <v>5240</v>
      </c>
      <c r="K3404" s="13">
        <f>$E3404+1</f>
        <v>104</v>
      </c>
      <c r="L3404" s="14">
        <f>IF($J3404=0,0,ROUND(MAX($J3404*1.4,1620000*(1.497923^(MIN($E3404,123)-117)))*1,0))</f>
        <v>7336</v>
      </c>
      <c r="M3404" s="11">
        <f>$E3404+2</f>
        <v>105</v>
      </c>
      <c r="N3404" s="12">
        <f>IF($J3404=0,0,ROUND(MAX($J3404*1.4*1.5,2190000*(1.580994^(MIN($E3404,123)-117)))*1,0))</f>
        <v>11004</v>
      </c>
      <c r="O3404" s="13">
        <f>$E3404+4</f>
        <v>107</v>
      </c>
      <c r="P3404" s="14">
        <f>IF($J3404=0,0,ROUND(MAX($J3404*1.4*1.5*1.6,3500000*(1.57975^(MIN($E3404,123)-117)))*1,0))</f>
        <v>17606</v>
      </c>
      <c r="Q3404" s="11">
        <f>$E3404+6</f>
        <v>109</v>
      </c>
      <c r="R3404" s="12">
        <f>IF($J3404=0,0,ROUND(MAX($J3404*1.4*1.5*1.6*1.6,13100000*(1.429962^(MIN($E3404,123)-117)))*1,0))</f>
        <v>87645</v>
      </c>
      <c r="S3404" s="13">
        <f>$E3404+8</f>
        <v>111</v>
      </c>
      <c r="T3404" s="14">
        <f>IF($J3404=0,0,ROUND(MAX($J3404*1.4*1.5*1.6*1.6*2.2,42600000*(1.576904^(MIN($E3404,123)-117)))*1,0))</f>
        <v>72466</v>
      </c>
      <c r="U3404" s="11">
        <f>$E3404+11</f>
        <v>114</v>
      </c>
      <c r="V3404" s="12">
        <f>IF($J3404=0,0,ROUND(MAX($J3404*1.4*1.5*1.6*1.6*2.2*2.715,354000000*(1.642074^(MIN($E3404,123)-117)))*1,0))</f>
        <v>341590</v>
      </c>
      <c r="W3404" s="13">
        <f>$E3404+15</f>
        <v>118</v>
      </c>
      <c r="X3404" s="14">
        <f>IF($J3404=0,0,ROUND(MAX($J3404*1.4*1.5*1.6*1.6*2.2*2.715*2.6,3540000000*(1.579646^(MIN($E3404,123)-117)))*1,0))</f>
        <v>5877146</v>
      </c>
      <c r="Y3404" s="11">
        <f>$E3404+17</f>
        <v>120</v>
      </c>
      <c r="Z3404" s="12">
        <f>IF($J3404=0,0,ROUND(MAX($J3404*1.4*1.5*1.6*1.6*2.2*2.715*2.6*1.4,6020000000*(1.651178^(MIN($E3404,123)-117)))*1,0))</f>
        <v>5376281</v>
      </c>
      <c r="AA3404" s="13">
        <f>$E3404+19</f>
        <v>122</v>
      </c>
      <c r="AB3404" s="14">
        <f>IF($J3404=0,0,ROUND(MAX($J3404*1.4*1.5*1.6*1.6*2.2*2.715*2.6*1.4*1.4,8430000000*(1.651435^(MIN($E3404,123)-117)))*1,0))</f>
        <v>7512194</v>
      </c>
      <c r="AC3404" s="11">
        <f>$E3404+21</f>
        <v>124</v>
      </c>
      <c r="AD3404" s="12">
        <f>IF($J3404=0,0,ROUND(MAX($J3404*1.4*1.5*1.6*1.6*2.2*2.715*2.6*1.4*1.4*1.5,12600000000*(1.652953^(MIN($E3404,123)-117)))*1,0))</f>
        <v>11084688</v>
      </c>
      <c r="AE3404" s="13">
        <f>$E3404+24</f>
        <v>127</v>
      </c>
      <c r="AF3404" s="14">
        <f>IF($J3404=0,0,ROUND(MAX($J3404*1.4*1.5*1.6*1.6*2.2*2.715*2.6*1.4*1.4*1.5*1.5,18900000000*(1.65331^(MIN($E3404,123)-117)))*1,0))</f>
        <v>16576839</v>
      </c>
      <c r="AG3404" s="11">
        <f>$E3404+27</f>
        <v>130</v>
      </c>
      <c r="AH3404" s="12">
        <f>IF($J3404=0,0,ROUND(MAX($J3404*1.4*1.5*1.6*1.6*2.2*2.715*2.6*1.4*1.4*1.5*1.5*3.2,60500000000*(1.654288^(MIN($E3404,123)-117)))*1,0))</f>
        <v>52625920</v>
      </c>
    </row>
    <row r="3405" ht="28" customHeight="1" spans="1:34" x14ac:dyDescent="0.25">
      <c r="A3405">
        <v>3415</v>
      </c>
      <c r="B3405" t="s">
        <v>196</v>
      </c>
      <c r="C3405" s="10" t="s">
        <v>1777</v>
      </c>
      <c r="D3405" t="s">
        <v>25</v>
      </c>
      <c r="E3405">
        <v>103</v>
      </c>
      <c r="F3405" t="s">
        <v>59</v>
      </c>
      <c r="G3405" t="s">
        <v>562</v>
      </c>
      <c r="H3405">
        <v>22</v>
      </c>
      <c r="I3405" s="11">
        <f>$E3405+0</f>
        <v>103</v>
      </c>
      <c r="J3405" s="12">
        <v>6280</v>
      </c>
      <c r="K3405" s="13">
        <f>$E3405+1</f>
        <v>104</v>
      </c>
      <c r="L3405" s="14">
        <f>IF($J3405=0,0,ROUND(MAX($J3405*1.4,1620000*(1.497923^(MIN($E3405,123)-117)))*1,0))</f>
        <v>8792</v>
      </c>
      <c r="M3405" s="11">
        <f>$E3405+2</f>
        <v>105</v>
      </c>
      <c r="N3405" s="12">
        <f>IF($J3405=0,0,ROUND(MAX($J3405*1.4*1.5,2190000*(1.580994^(MIN($E3405,123)-117)))*1,0))</f>
        <v>13188</v>
      </c>
      <c r="O3405" s="13">
        <f>$E3405+4</f>
        <v>107</v>
      </c>
      <c r="P3405" s="14">
        <f>IF($J3405=0,0,ROUND(MAX($J3405*1.4*1.5*1.6,3500000*(1.57975^(MIN($E3405,123)-117)))*1,0))</f>
        <v>21101</v>
      </c>
      <c r="Q3405" s="11">
        <f>$E3405+6</f>
        <v>109</v>
      </c>
      <c r="R3405" s="12">
        <f>IF($J3405=0,0,ROUND(MAX($J3405*1.4*1.5*1.6*1.6,13100000*(1.429962^(MIN($E3405,123)-117)))*1,0))</f>
        <v>87645</v>
      </c>
      <c r="S3405" s="13">
        <f>$E3405+8</f>
        <v>111</v>
      </c>
      <c r="T3405" s="14">
        <f>IF($J3405=0,0,ROUND(MAX($J3405*1.4*1.5*1.6*1.6*2.2,42600000*(1.576904^(MIN($E3405,123)-117)))*1,0))</f>
        <v>74275</v>
      </c>
      <c r="U3405" s="11">
        <f>$E3405+11</f>
        <v>114</v>
      </c>
      <c r="V3405" s="12">
        <f>IF($J3405=0,0,ROUND(MAX($J3405*1.4*1.5*1.6*1.6*2.2*2.715,354000000*(1.642074^(MIN($E3405,123)-117)))*1,0))</f>
        <v>341590</v>
      </c>
      <c r="W3405" s="13">
        <f>$E3405+15</f>
        <v>118</v>
      </c>
      <c r="X3405" s="14">
        <f>IF($J3405=0,0,ROUND(MAX($J3405*1.4*1.5*1.6*1.6*2.2*2.715*2.6,3540000000*(1.579646^(MIN($E3405,123)-117)))*1,0))</f>
        <v>5877146</v>
      </c>
      <c r="Y3405" s="11">
        <f>$E3405+17</f>
        <v>120</v>
      </c>
      <c r="Z3405" s="12">
        <f>IF($J3405=0,0,ROUND(MAX($J3405*1.4*1.5*1.6*1.6*2.2*2.715*2.6*1.4,6020000000*(1.651178^(MIN($E3405,123)-117)))*1,0))</f>
        <v>5376281</v>
      </c>
      <c r="AA3405" s="13">
        <f>$E3405+19</f>
        <v>122</v>
      </c>
      <c r="AB3405" s="14">
        <f>IF($J3405=0,0,ROUND(MAX($J3405*1.4*1.5*1.6*1.6*2.2*2.715*2.6*1.4*1.4,8430000000*(1.651435^(MIN($E3405,123)-117)))*1,0))</f>
        <v>7512194</v>
      </c>
      <c r="AC3405" s="11">
        <f>$E3405+21</f>
        <v>124</v>
      </c>
      <c r="AD3405" s="12">
        <f>IF($J3405=0,0,ROUND(MAX($J3405*1.4*1.5*1.6*1.6*2.2*2.715*2.6*1.4*1.4*1.5,12600000000*(1.652953^(MIN($E3405,123)-117)))*1,0))</f>
        <v>11084688</v>
      </c>
      <c r="AE3405" s="13">
        <f>$E3405+24</f>
        <v>127</v>
      </c>
      <c r="AF3405" s="14">
        <f>IF($J3405=0,0,ROUND(MAX($J3405*1.4*1.5*1.6*1.6*2.2*2.715*2.6*1.4*1.4*1.5*1.5,18900000000*(1.65331^(MIN($E3405,123)-117)))*1,0))</f>
        <v>16576839</v>
      </c>
      <c r="AG3405" s="11">
        <f>$E3405+27</f>
        <v>130</v>
      </c>
      <c r="AH3405" s="12">
        <f>IF($J3405=0,0,ROUND(MAX($J3405*1.4*1.5*1.6*1.6*2.2*2.715*2.6*1.4*1.4*1.5*1.5*3.2,60500000000*(1.654288^(MIN($E3405,123)-117)))*1,0))</f>
        <v>52625920</v>
      </c>
    </row>
    <row r="3406" ht="28" customHeight="1" spans="1:34" x14ac:dyDescent="0.25">
      <c r="A3406">
        <v>3416</v>
      </c>
      <c r="B3406" t="s">
        <v>782</v>
      </c>
      <c r="C3406" s="10" t="s">
        <v>1777</v>
      </c>
      <c r="D3406" t="s">
        <v>33</v>
      </c>
      <c r="E3406">
        <v>103</v>
      </c>
      <c r="F3406" t="s">
        <v>71</v>
      </c>
      <c r="G3406" t="s">
        <v>213</v>
      </c>
      <c r="H3406">
        <v>21</v>
      </c>
      <c r="I3406" s="11">
        <f>$E3406+0</f>
        <v>103</v>
      </c>
      <c r="J3406" s="12">
        <v>28600</v>
      </c>
      <c r="K3406" s="13">
        <f>$E3406+1</f>
        <v>104</v>
      </c>
      <c r="L3406" s="14">
        <f>IF($J3406=0,0,ROUND(MAX($J3406*1.4,1620000*(1.497923^(MIN($E3406,123)-117)))*1,0))</f>
        <v>40040</v>
      </c>
      <c r="M3406" s="11">
        <f>$E3406+2</f>
        <v>105</v>
      </c>
      <c r="N3406" s="12">
        <f>IF($J3406=0,0,ROUND(MAX($J3406*1.4*1.5,2190000*(1.580994^(MIN($E3406,123)-117)))*1,0))</f>
        <v>60060</v>
      </c>
      <c r="O3406" s="13">
        <f>$E3406+4</f>
        <v>107</v>
      </c>
      <c r="P3406" s="14">
        <f>IF($J3406=0,0,ROUND(MAX($J3406*1.4*1.5*1.6,3500000*(1.57975^(MIN($E3406,123)-117)))*1,0))</f>
        <v>96096</v>
      </c>
      <c r="Q3406" s="11">
        <f>$E3406+6</f>
        <v>109</v>
      </c>
      <c r="R3406" s="12">
        <f>IF($J3406=0,0,ROUND(MAX($J3406*1.4*1.5*1.6*1.6,13100000*(1.429962^(MIN($E3406,123)-117)))*1,0))</f>
        <v>153754</v>
      </c>
      <c r="S3406" s="13">
        <f>$E3406+8</f>
        <v>111</v>
      </c>
      <c r="T3406" s="14">
        <f>IF($J3406=0,0,ROUND(MAX($J3406*1.4*1.5*1.6*1.6*2.2,42600000*(1.576904^(MIN($E3406,123)-117)))*1,0))</f>
        <v>338258</v>
      </c>
      <c r="U3406" s="11">
        <f>$E3406+11</f>
        <v>114</v>
      </c>
      <c r="V3406" s="12">
        <f>IF($J3406=0,0,ROUND(MAX($J3406*1.4*1.5*1.6*1.6*2.2*2.715,354000000*(1.642074^(MIN($E3406,123)-117)))*1,0))</f>
        <v>918370</v>
      </c>
      <c r="W3406" s="13">
        <f>$E3406+15</f>
        <v>118</v>
      </c>
      <c r="X3406" s="14">
        <f>IF($J3406=0,0,ROUND(MAX($J3406*1.4*1.5*1.6*1.6*2.2*2.715*2.6,3540000000*(1.579646^(MIN($E3406,123)-117)))*1,0))</f>
        <v>5877146</v>
      </c>
      <c r="Y3406" s="11">
        <f>$E3406+17</f>
        <v>120</v>
      </c>
      <c r="Z3406" s="12">
        <f>IF($J3406=0,0,ROUND(MAX($J3406*1.4*1.5*1.6*1.6*2.2*2.715*2.6*1.4,6020000000*(1.651178^(MIN($E3406,123)-117)))*1,0))</f>
        <v>5376281</v>
      </c>
      <c r="AA3406" s="13">
        <f>$E3406+19</f>
        <v>122</v>
      </c>
      <c r="AB3406" s="14">
        <f>IF($J3406=0,0,ROUND(MAX($J3406*1.4*1.5*1.6*1.6*2.2*2.715*2.6*1.4*1.4,8430000000*(1.651435^(MIN($E3406,123)-117)))*1,0))</f>
        <v>7512194</v>
      </c>
      <c r="AC3406" s="11">
        <f>$E3406+21</f>
        <v>124</v>
      </c>
      <c r="AD3406" s="12">
        <f>IF($J3406=0,0,ROUND(MAX($J3406*1.4*1.5*1.6*1.6*2.2*2.715*2.6*1.4*1.4*1.5,12600000000*(1.652953^(MIN($E3406,123)-117)))*1,0))</f>
        <v>11084688</v>
      </c>
      <c r="AE3406" s="13">
        <f>$E3406+24</f>
        <v>127</v>
      </c>
      <c r="AF3406" s="14">
        <f>IF($J3406=0,0,ROUND(MAX($J3406*1.4*1.5*1.6*1.6*2.2*2.715*2.6*1.4*1.4*1.5*1.5,18900000000*(1.65331^(MIN($E3406,123)-117)))*1,0))</f>
        <v>16576839</v>
      </c>
      <c r="AG3406" s="11">
        <f>$E3406+27</f>
        <v>130</v>
      </c>
      <c r="AH3406" s="12">
        <f>IF($J3406=0,0,ROUND(MAX($J3406*1.4*1.5*1.6*1.6*2.2*2.715*2.6*1.4*1.4*1.5*1.5*3.2,60500000000*(1.654288^(MIN($E3406,123)-117)))*1,0))</f>
        <v>52625920</v>
      </c>
    </row>
    <row r="3407" ht="28" customHeight="1" spans="1:34" x14ac:dyDescent="0.25">
      <c r="A3407">
        <v>3417</v>
      </c>
      <c r="B3407" t="s">
        <v>1134</v>
      </c>
      <c r="C3407" s="10" t="s">
        <v>1777</v>
      </c>
      <c r="D3407" t="s">
        <v>47</v>
      </c>
      <c r="E3407">
        <v>103</v>
      </c>
      <c r="F3407" t="s">
        <v>492</v>
      </c>
      <c r="G3407" t="s">
        <v>562</v>
      </c>
      <c r="H3407">
        <v>19</v>
      </c>
      <c r="I3407" s="11">
        <f>$E3407+0</f>
        <v>103</v>
      </c>
      <c r="J3407" s="12">
        <v>9320</v>
      </c>
      <c r="K3407" s="13">
        <f>$E3407+1</f>
        <v>104</v>
      </c>
      <c r="L3407" s="14">
        <f>IF($J3407=0,0,ROUND(MAX($J3407*1.4,1620000*(1.497923^(MIN($E3407,123)-117)))*1,0))</f>
        <v>13048</v>
      </c>
      <c r="M3407" s="11">
        <f>$E3407+2</f>
        <v>105</v>
      </c>
      <c r="N3407" s="12">
        <f>IF($J3407=0,0,ROUND(MAX($J3407*1.4*1.5,2190000*(1.580994^(MIN($E3407,123)-117)))*1,0))</f>
        <v>19572</v>
      </c>
      <c r="O3407" s="13">
        <f>$E3407+4</f>
        <v>107</v>
      </c>
      <c r="P3407" s="14">
        <f>IF($J3407=0,0,ROUND(MAX($J3407*1.4*1.5*1.6,3500000*(1.57975^(MIN($E3407,123)-117)))*1,0))</f>
        <v>31315</v>
      </c>
      <c r="Q3407" s="11">
        <f>$E3407+6</f>
        <v>109</v>
      </c>
      <c r="R3407" s="12">
        <f>IF($J3407=0,0,ROUND(MAX($J3407*1.4*1.5*1.6*1.6,13100000*(1.429962^(MIN($E3407,123)-117)))*1,0))</f>
        <v>87645</v>
      </c>
      <c r="S3407" s="13">
        <f>$E3407+8</f>
        <v>111</v>
      </c>
      <c r="T3407" s="14">
        <f>IF($J3407=0,0,ROUND(MAX($J3407*1.4*1.5*1.6*1.6*2.2,42600000*(1.576904^(MIN($E3407,123)-117)))*1,0))</f>
        <v>110230</v>
      </c>
      <c r="U3407" s="11">
        <f>$E3407+11</f>
        <v>114</v>
      </c>
      <c r="V3407" s="12">
        <f>IF($J3407=0,0,ROUND(MAX($J3407*1.4*1.5*1.6*1.6*2.2*2.715,354000000*(1.642074^(MIN($E3407,123)-117)))*1,0))</f>
        <v>341590</v>
      </c>
      <c r="W3407" s="13">
        <f>$E3407+15</f>
        <v>118</v>
      </c>
      <c r="X3407" s="14">
        <f>IF($J3407=0,0,ROUND(MAX($J3407*1.4*1.5*1.6*1.6*2.2*2.715*2.6,3540000000*(1.579646^(MIN($E3407,123)-117)))*1,0))</f>
        <v>5877146</v>
      </c>
      <c r="Y3407" s="11">
        <f>$E3407+17</f>
        <v>120</v>
      </c>
      <c r="Z3407" s="12">
        <f>IF($J3407=0,0,ROUND(MAX($J3407*1.4*1.5*1.6*1.6*2.2*2.715*2.6*1.4,6020000000*(1.651178^(MIN($E3407,123)-117)))*1,0))</f>
        <v>5376281</v>
      </c>
      <c r="AA3407" s="13">
        <f>$E3407+19</f>
        <v>122</v>
      </c>
      <c r="AB3407" s="14">
        <f>IF($J3407=0,0,ROUND(MAX($J3407*1.4*1.5*1.6*1.6*2.2*2.715*2.6*1.4*1.4,8430000000*(1.651435^(MIN($E3407,123)-117)))*1,0))</f>
        <v>7512194</v>
      </c>
      <c r="AC3407" s="11">
        <f>$E3407+21</f>
        <v>124</v>
      </c>
      <c r="AD3407" s="12">
        <f>IF($J3407=0,0,ROUND(MAX($J3407*1.4*1.5*1.6*1.6*2.2*2.715*2.6*1.4*1.4*1.5,12600000000*(1.652953^(MIN($E3407,123)-117)))*1,0))</f>
        <v>11084688</v>
      </c>
      <c r="AE3407" s="13">
        <f>$E3407+24</f>
        <v>127</v>
      </c>
      <c r="AF3407" s="14">
        <f>IF($J3407=0,0,ROUND(MAX($J3407*1.4*1.5*1.6*1.6*2.2*2.715*2.6*1.4*1.4*1.5*1.5,18900000000*(1.65331^(MIN($E3407,123)-117)))*1,0))</f>
        <v>16576839</v>
      </c>
      <c r="AG3407" s="11">
        <f>$E3407+27</f>
        <v>130</v>
      </c>
      <c r="AH3407" s="12">
        <f>IF($J3407=0,0,ROUND(MAX($J3407*1.4*1.5*1.6*1.6*2.2*2.715*2.6*1.4*1.4*1.5*1.5*3.2,60500000000*(1.654288^(MIN($E3407,123)-117)))*1,0))</f>
        <v>52625920</v>
      </c>
    </row>
    <row r="3408" ht="28" customHeight="1" spans="1:34" x14ac:dyDescent="0.25">
      <c r="A3408">
        <v>3418</v>
      </c>
      <c r="B3408" t="s">
        <v>1048</v>
      </c>
      <c r="C3408" s="10" t="s">
        <v>1777</v>
      </c>
      <c r="D3408" t="s">
        <v>47</v>
      </c>
      <c r="E3408">
        <v>103</v>
      </c>
      <c r="F3408" t="s">
        <v>54</v>
      </c>
      <c r="G3408" t="s">
        <v>470</v>
      </c>
      <c r="H3408">
        <v>19</v>
      </c>
      <c r="I3408" s="11">
        <f>$E3408+0</f>
        <v>103</v>
      </c>
      <c r="J3408" s="12">
        <v>19400</v>
      </c>
      <c r="K3408" s="13">
        <f>$E3408+1</f>
        <v>104</v>
      </c>
      <c r="L3408" s="14">
        <f>IF($J3408=0,0,ROUND(MAX($J3408*1.4,1620000*(1.497923^(MIN($E3408,123)-117)))*1,0))</f>
        <v>27160</v>
      </c>
      <c r="M3408" s="11">
        <f>$E3408+2</f>
        <v>105</v>
      </c>
      <c r="N3408" s="12">
        <f>IF($J3408=0,0,ROUND(MAX($J3408*1.4*1.5,2190000*(1.580994^(MIN($E3408,123)-117)))*1,0))</f>
        <v>40740</v>
      </c>
      <c r="O3408" s="13">
        <f>$E3408+4</f>
        <v>107</v>
      </c>
      <c r="P3408" s="14">
        <f>IF($J3408=0,0,ROUND(MAX($J3408*1.4*1.5*1.6,3500000*(1.57975^(MIN($E3408,123)-117)))*1,0))</f>
        <v>65184</v>
      </c>
      <c r="Q3408" s="11">
        <f>$E3408+6</f>
        <v>109</v>
      </c>
      <c r="R3408" s="12">
        <f>IF($J3408=0,0,ROUND(MAX($J3408*1.4*1.5*1.6*1.6,13100000*(1.429962^(MIN($E3408,123)-117)))*1,0))</f>
        <v>104294</v>
      </c>
      <c r="S3408" s="13">
        <f>$E3408+8</f>
        <v>111</v>
      </c>
      <c r="T3408" s="14">
        <f>IF($J3408=0,0,ROUND(MAX($J3408*1.4*1.5*1.6*1.6*2.2,42600000*(1.576904^(MIN($E3408,123)-117)))*1,0))</f>
        <v>229448</v>
      </c>
      <c r="U3408" s="11">
        <f>$E3408+11</f>
        <v>114</v>
      </c>
      <c r="V3408" s="12">
        <f>IF($J3408=0,0,ROUND(MAX($J3408*1.4*1.5*1.6*1.6*2.2*2.715,354000000*(1.642074^(MIN($E3408,123)-117)))*1,0))</f>
        <v>622950</v>
      </c>
      <c r="W3408" s="13">
        <f>$E3408+15</f>
        <v>118</v>
      </c>
      <c r="X3408" s="14">
        <f>IF($J3408=0,0,ROUND(MAX($J3408*1.4*1.5*1.6*1.6*2.2*2.715*2.6,3540000000*(1.579646^(MIN($E3408,123)-117)))*1,0))</f>
        <v>5877146</v>
      </c>
      <c r="Y3408" s="11">
        <f>$E3408+17</f>
        <v>120</v>
      </c>
      <c r="Z3408" s="12">
        <f>IF($J3408=0,0,ROUND(MAX($J3408*1.4*1.5*1.6*1.6*2.2*2.715*2.6*1.4,6020000000*(1.651178^(MIN($E3408,123)-117)))*1,0))</f>
        <v>5376281</v>
      </c>
      <c r="AA3408" s="13">
        <f>$E3408+19</f>
        <v>122</v>
      </c>
      <c r="AB3408" s="14">
        <f>IF($J3408=0,0,ROUND(MAX($J3408*1.4*1.5*1.6*1.6*2.2*2.715*2.6*1.4*1.4,8430000000*(1.651435^(MIN($E3408,123)-117)))*1,0))</f>
        <v>7512194</v>
      </c>
      <c r="AC3408" s="11">
        <f>$E3408+21</f>
        <v>124</v>
      </c>
      <c r="AD3408" s="12">
        <f>IF($J3408=0,0,ROUND(MAX($J3408*1.4*1.5*1.6*1.6*2.2*2.715*2.6*1.4*1.4*1.5,12600000000*(1.652953^(MIN($E3408,123)-117)))*1,0))</f>
        <v>11084688</v>
      </c>
      <c r="AE3408" s="13">
        <f>$E3408+24</f>
        <v>127</v>
      </c>
      <c r="AF3408" s="14">
        <f>IF($J3408=0,0,ROUND(MAX($J3408*1.4*1.5*1.6*1.6*2.2*2.715*2.6*1.4*1.4*1.5*1.5,18900000000*(1.65331^(MIN($E3408,123)-117)))*1,0))</f>
        <v>16576839</v>
      </c>
      <c r="AG3408" s="11">
        <f>$E3408+27</f>
        <v>130</v>
      </c>
      <c r="AH3408" s="12">
        <f>IF($J3408=0,0,ROUND(MAX($J3408*1.4*1.5*1.6*1.6*2.2*2.715*2.6*1.4*1.4*1.5*1.5*3.2,60500000000*(1.654288^(MIN($E3408,123)-117)))*1,0))</f>
        <v>52625920</v>
      </c>
    </row>
    <row r="3409" ht="28" customHeight="1" spans="1:34" x14ac:dyDescent="0.25">
      <c r="A3409">
        <v>3419</v>
      </c>
      <c r="B3409" t="s">
        <v>1166</v>
      </c>
      <c r="C3409" s="10" t="s">
        <v>1777</v>
      </c>
      <c r="D3409" t="s">
        <v>33</v>
      </c>
      <c r="E3409">
        <v>102</v>
      </c>
      <c r="F3409" t="s">
        <v>42</v>
      </c>
      <c r="G3409" t="s">
        <v>57</v>
      </c>
      <c r="H3409">
        <v>22</v>
      </c>
      <c r="I3409" s="11">
        <f>$E3409+0</f>
        <v>102</v>
      </c>
      <c r="J3409" s="12">
        <v>19600</v>
      </c>
      <c r="K3409" s="13">
        <f>$E3409+1</f>
        <v>103</v>
      </c>
      <c r="L3409" s="14">
        <f>IF($J3409=0,0,ROUND(MAX($J3409*1.4,1620000*(1.497923^(MIN($E3409,123)-117)))*1,0))</f>
        <v>27440</v>
      </c>
      <c r="M3409" s="11">
        <f>$E3409+2</f>
        <v>104</v>
      </c>
      <c r="N3409" s="12">
        <f>IF($J3409=0,0,ROUND(MAX($J3409*1.4*1.5,2190000*(1.580994^(MIN($E3409,123)-117)))*1,0))</f>
        <v>41160</v>
      </c>
      <c r="O3409" s="13">
        <f>$E3409+4</f>
        <v>106</v>
      </c>
      <c r="P3409" s="14">
        <f>IF($J3409=0,0,ROUND(MAX($J3409*1.4*1.5*1.6,3500000*(1.57975^(MIN($E3409,123)-117)))*1,0))</f>
        <v>65856</v>
      </c>
      <c r="Q3409" s="11">
        <f>$E3409+6</f>
        <v>108</v>
      </c>
      <c r="R3409" s="12">
        <f>IF($J3409=0,0,ROUND(MAX($J3409*1.4*1.5*1.6*1.6,13100000*(1.429962^(MIN($E3409,123)-117)))*1,0))</f>
        <v>105370</v>
      </c>
      <c r="S3409" s="13">
        <f>$E3409+8</f>
        <v>110</v>
      </c>
      <c r="T3409" s="14">
        <f>IF($J3409=0,0,ROUND(MAX($J3409*1.4*1.5*1.6*1.6*2.2,42600000*(1.576904^(MIN($E3409,123)-117)))*1,0))</f>
        <v>231813</v>
      </c>
      <c r="U3409" s="11">
        <f>$E3409+11</f>
        <v>113</v>
      </c>
      <c r="V3409" s="12">
        <f>IF($J3409=0,0,ROUND(MAX($J3409*1.4*1.5*1.6*1.6*2.2*2.715,354000000*(1.642074^(MIN($E3409,123)-117)))*1,0))</f>
        <v>629373</v>
      </c>
      <c r="W3409" s="13">
        <f>$E3409+15</f>
        <v>117</v>
      </c>
      <c r="X3409" s="14">
        <f>IF($J3409=0,0,ROUND(MAX($J3409*1.4*1.5*1.6*1.6*2.2*2.715*2.6,3540000000*(1.579646^(MIN($E3409,123)-117)))*1,0))</f>
        <v>3720546</v>
      </c>
      <c r="Y3409" s="11">
        <f>$E3409+17</f>
        <v>119</v>
      </c>
      <c r="Z3409" s="12">
        <f>IF($J3409=0,0,ROUND(MAX($J3409*1.4*1.5*1.6*1.6*2.2*2.715*2.6*1.4,6020000000*(1.651178^(MIN($E3409,123)-117)))*1,0))</f>
        <v>3256028</v>
      </c>
      <c r="AA3409" s="13">
        <f>$E3409+19</f>
        <v>121</v>
      </c>
      <c r="AB3409" s="14">
        <f>IF($J3409=0,0,ROUND(MAX($J3409*1.4*1.5*1.6*1.6*2.2*2.715*2.6*1.4*1.4,8430000000*(1.651435^(MIN($E3409,123)-117)))*1,0))</f>
        <v>4548889</v>
      </c>
      <c r="AC3409" s="11">
        <f>$E3409+21</f>
        <v>123</v>
      </c>
      <c r="AD3409" s="12">
        <f>IF($J3409=0,0,ROUND(MAX($J3409*1.4*1.5*1.6*1.6*2.2*2.715*2.6*1.4*1.4*1.5,12600000000*(1.652953^(MIN($E3409,123)-117)))*1,0))</f>
        <v>6705991</v>
      </c>
      <c r="AE3409" s="13">
        <f>$E3409+24</f>
        <v>126</v>
      </c>
      <c r="AF3409" s="14">
        <f>IF($J3409=0,0,ROUND(MAX($J3409*1.4*1.5*1.6*1.6*2.2*2.715*2.6*1.4*1.4*1.5*1.5,18900000000*(1.65331^(MIN($E3409,123)-117)))*1,0))</f>
        <v>10026455</v>
      </c>
      <c r="AG3409" s="11">
        <f>$E3409+27</f>
        <v>129</v>
      </c>
      <c r="AH3409" s="12">
        <f>IF($J3409=0,0,ROUND(MAX($J3409*1.4*1.5*1.6*1.6*2.2*2.715*2.6*1.4*1.4*1.5*1.5*3.2,60500000000*(1.654288^(MIN($E3409,123)-117)))*1,0))</f>
        <v>31811825</v>
      </c>
    </row>
    <row r="3410" ht="28" customHeight="1" spans="1:34" x14ac:dyDescent="0.25">
      <c r="A3410">
        <v>3420</v>
      </c>
      <c r="B3410" t="s">
        <v>485</v>
      </c>
      <c r="C3410" s="10" t="s">
        <v>1777</v>
      </c>
      <c r="D3410" t="s">
        <v>33</v>
      </c>
      <c r="E3410">
        <v>102</v>
      </c>
      <c r="F3410" t="s">
        <v>30</v>
      </c>
      <c r="G3410" t="s">
        <v>218</v>
      </c>
      <c r="H3410">
        <v>22</v>
      </c>
      <c r="I3410" s="11">
        <f>$E3410+0</f>
        <v>102</v>
      </c>
      <c r="J3410" s="12">
        <v>27500</v>
      </c>
      <c r="K3410" s="13">
        <f>$E3410+1</f>
        <v>103</v>
      </c>
      <c r="L3410" s="14">
        <f>IF($J3410=0,0,ROUND(MAX($J3410*1.4,1620000*(1.497923^(MIN($E3410,123)-117)))*1,0))</f>
        <v>38500</v>
      </c>
      <c r="M3410" s="11">
        <f>$E3410+2</f>
        <v>104</v>
      </c>
      <c r="N3410" s="12">
        <f>IF($J3410=0,0,ROUND(MAX($J3410*1.4*1.5,2190000*(1.580994^(MIN($E3410,123)-117)))*1,0))</f>
        <v>57750</v>
      </c>
      <c r="O3410" s="13">
        <f>$E3410+4</f>
        <v>106</v>
      </c>
      <c r="P3410" s="14">
        <f>IF($J3410=0,0,ROUND(MAX($J3410*1.4*1.5*1.6,3500000*(1.57975^(MIN($E3410,123)-117)))*1,0))</f>
        <v>92400</v>
      </c>
      <c r="Q3410" s="11">
        <f>$E3410+6</f>
        <v>108</v>
      </c>
      <c r="R3410" s="12">
        <f>IF($J3410=0,0,ROUND(MAX($J3410*1.4*1.5*1.6*1.6,13100000*(1.429962^(MIN($E3410,123)-117)))*1,0))</f>
        <v>147840</v>
      </c>
      <c r="S3410" s="13">
        <f>$E3410+8</f>
        <v>110</v>
      </c>
      <c r="T3410" s="14">
        <f>IF($J3410=0,0,ROUND(MAX($J3410*1.4*1.5*1.6*1.6*2.2,42600000*(1.576904^(MIN($E3410,123)-117)))*1,0))</f>
        <v>325248</v>
      </c>
      <c r="U3410" s="11">
        <f>$E3410+11</f>
        <v>113</v>
      </c>
      <c r="V3410" s="12">
        <f>IF($J3410=0,0,ROUND(MAX($J3410*1.4*1.5*1.6*1.6*2.2*2.715,354000000*(1.642074^(MIN($E3410,123)-117)))*1,0))</f>
        <v>883048</v>
      </c>
      <c r="W3410" s="13">
        <f>$E3410+15</f>
        <v>117</v>
      </c>
      <c r="X3410" s="14">
        <f>IF($J3410=0,0,ROUND(MAX($J3410*1.4*1.5*1.6*1.6*2.2*2.715*2.6,3540000000*(1.579646^(MIN($E3410,123)-117)))*1,0))</f>
        <v>3720546</v>
      </c>
      <c r="Y3410" s="11">
        <f>$E3410+17</f>
        <v>119</v>
      </c>
      <c r="Z3410" s="12">
        <f>IF($J3410=0,0,ROUND(MAX($J3410*1.4*1.5*1.6*1.6*2.2*2.715*2.6*1.4,6020000000*(1.651178^(MIN($E3410,123)-117)))*1,0))</f>
        <v>3256028</v>
      </c>
      <c r="AA3410" s="13">
        <f>$E3410+19</f>
        <v>121</v>
      </c>
      <c r="AB3410" s="14">
        <f>IF($J3410=0,0,ROUND(MAX($J3410*1.4*1.5*1.6*1.6*2.2*2.715*2.6*1.4*1.4,8430000000*(1.651435^(MIN($E3410,123)-117)))*1,0))</f>
        <v>4548889</v>
      </c>
      <c r="AC3410" s="11">
        <f>$E3410+21</f>
        <v>123</v>
      </c>
      <c r="AD3410" s="12">
        <f>IF($J3410=0,0,ROUND(MAX($J3410*1.4*1.5*1.6*1.6*2.2*2.715*2.6*1.4*1.4*1.5,12600000000*(1.652953^(MIN($E3410,123)-117)))*1,0))</f>
        <v>6750021</v>
      </c>
      <c r="AE3410" s="13">
        <f>$E3410+24</f>
        <v>126</v>
      </c>
      <c r="AF3410" s="14">
        <f>IF($J3410=0,0,ROUND(MAX($J3410*1.4*1.5*1.6*1.6*2.2*2.715*2.6*1.4*1.4*1.5*1.5,18900000000*(1.65331^(MIN($E3410,123)-117)))*1,0))</f>
        <v>10125032</v>
      </c>
      <c r="AG3410" s="11">
        <f>$E3410+27</f>
        <v>129</v>
      </c>
      <c r="AH3410" s="12">
        <f>IF($J3410=0,0,ROUND(MAX($J3410*1.4*1.5*1.6*1.6*2.2*2.715*2.6*1.4*1.4*1.5*1.5*3.2,60500000000*(1.654288^(MIN($E3410,123)-117)))*1,0))</f>
        <v>32400103</v>
      </c>
    </row>
    <row r="3411" ht="28" customHeight="1" spans="1:34" x14ac:dyDescent="0.25">
      <c r="A3411">
        <v>3421</v>
      </c>
      <c r="B3411" t="s">
        <v>834</v>
      </c>
      <c r="C3411" s="10" t="s">
        <v>1777</v>
      </c>
      <c r="D3411" t="s">
        <v>40</v>
      </c>
      <c r="E3411">
        <v>102</v>
      </c>
      <c r="F3411" t="s">
        <v>42</v>
      </c>
      <c r="G3411" t="s">
        <v>354</v>
      </c>
      <c r="H3411">
        <v>22</v>
      </c>
      <c r="I3411" s="11">
        <f>$E3411+0</f>
        <v>102</v>
      </c>
      <c r="J3411" s="12">
        <v>13000</v>
      </c>
      <c r="K3411" s="13">
        <f>$E3411+1</f>
        <v>103</v>
      </c>
      <c r="L3411" s="14">
        <f>IF($J3411=0,0,ROUND(MAX($J3411*1.4,1620000*(1.497923^(MIN($E3411,123)-117)))*1,0))</f>
        <v>18200</v>
      </c>
      <c r="M3411" s="11">
        <f>$E3411+2</f>
        <v>104</v>
      </c>
      <c r="N3411" s="12">
        <f>IF($J3411=0,0,ROUND(MAX($J3411*1.4*1.5,2190000*(1.580994^(MIN($E3411,123)-117)))*1,0))</f>
        <v>27300</v>
      </c>
      <c r="O3411" s="13">
        <f>$E3411+4</f>
        <v>106</v>
      </c>
      <c r="P3411" s="14">
        <f>IF($J3411=0,0,ROUND(MAX($J3411*1.4*1.5*1.6,3500000*(1.57975^(MIN($E3411,123)-117)))*1,0))</f>
        <v>43680</v>
      </c>
      <c r="Q3411" s="11">
        <f>$E3411+6</f>
        <v>108</v>
      </c>
      <c r="R3411" s="12">
        <f>IF($J3411=0,0,ROUND(MAX($J3411*1.4*1.5*1.6*1.6,13100000*(1.429962^(MIN($E3411,123)-117)))*1,0))</f>
        <v>69888</v>
      </c>
      <c r="S3411" s="13">
        <f>$E3411+8</f>
        <v>110</v>
      </c>
      <c r="T3411" s="14">
        <f>IF($J3411=0,0,ROUND(MAX($J3411*1.4*1.5*1.6*1.6*2.2,42600000*(1.576904^(MIN($E3411,123)-117)))*1,0))</f>
        <v>153754</v>
      </c>
      <c r="U3411" s="11">
        <f>$E3411+11</f>
        <v>113</v>
      </c>
      <c r="V3411" s="12">
        <f>IF($J3411=0,0,ROUND(MAX($J3411*1.4*1.5*1.6*1.6*2.2*2.715,354000000*(1.642074^(MIN($E3411,123)-117)))*1,0))</f>
        <v>417441</v>
      </c>
      <c r="W3411" s="13">
        <f>$E3411+15</f>
        <v>117</v>
      </c>
      <c r="X3411" s="14">
        <f>IF($J3411=0,0,ROUND(MAX($J3411*1.4*1.5*1.6*1.6*2.2*2.715*2.6,3540000000*(1.579646^(MIN($E3411,123)-117)))*1,0))</f>
        <v>3720546</v>
      </c>
      <c r="Y3411" s="11">
        <f>$E3411+17</f>
        <v>119</v>
      </c>
      <c r="Z3411" s="12">
        <f>IF($J3411=0,0,ROUND(MAX($J3411*1.4*1.5*1.6*1.6*2.2*2.715*2.6*1.4,6020000000*(1.651178^(MIN($E3411,123)-117)))*1,0))</f>
        <v>3256028</v>
      </c>
      <c r="AA3411" s="13">
        <f>$E3411+19</f>
        <v>121</v>
      </c>
      <c r="AB3411" s="14">
        <f>IF($J3411=0,0,ROUND(MAX($J3411*1.4*1.5*1.6*1.6*2.2*2.715*2.6*1.4*1.4,8430000000*(1.651435^(MIN($E3411,123)-117)))*1,0))</f>
        <v>4548889</v>
      </c>
      <c r="AC3411" s="11">
        <f>$E3411+21</f>
        <v>123</v>
      </c>
      <c r="AD3411" s="12">
        <f>IF($J3411=0,0,ROUND(MAX($J3411*1.4*1.5*1.6*1.6*2.2*2.715*2.6*1.4*1.4*1.5,12600000000*(1.652953^(MIN($E3411,123)-117)))*1,0))</f>
        <v>6705991</v>
      </c>
      <c r="AE3411" s="13">
        <f>$E3411+24</f>
        <v>126</v>
      </c>
      <c r="AF3411" s="14">
        <f>IF($J3411=0,0,ROUND(MAX($J3411*1.4*1.5*1.6*1.6*2.2*2.715*2.6*1.4*1.4*1.5*1.5,18900000000*(1.65331^(MIN($E3411,123)-117)))*1,0))</f>
        <v>10026455</v>
      </c>
      <c r="AG3411" s="11">
        <f>$E3411+27</f>
        <v>129</v>
      </c>
      <c r="AH3411" s="12">
        <f>IF($J3411=0,0,ROUND(MAX($J3411*1.4*1.5*1.6*1.6*2.2*2.715*2.6*1.4*1.4*1.5*1.5*3.2,60500000000*(1.654288^(MIN($E3411,123)-117)))*1,0))</f>
        <v>31811825</v>
      </c>
    </row>
    <row r="3412" ht="28" customHeight="1" spans="1:34" x14ac:dyDescent="0.25">
      <c r="A3412">
        <v>3422</v>
      </c>
      <c r="B3412" t="s">
        <v>1657</v>
      </c>
      <c r="C3412" s="10" t="s">
        <v>1777</v>
      </c>
      <c r="D3412" t="s">
        <v>75</v>
      </c>
      <c r="E3412">
        <v>102</v>
      </c>
      <c r="F3412" t="s">
        <v>42</v>
      </c>
      <c r="G3412" t="s">
        <v>562</v>
      </c>
      <c r="H3412">
        <v>22</v>
      </c>
      <c r="I3412" s="11">
        <f>$E3412+0</f>
        <v>102</v>
      </c>
      <c r="J3412" s="12">
        <v>4690</v>
      </c>
      <c r="K3412" s="13">
        <f>$E3412+1</f>
        <v>103</v>
      </c>
      <c r="L3412" s="14">
        <f>IF($J3412=0,0,ROUND(MAX($J3412*1.4,1620000*(1.497923^(MIN($E3412,123)-117)))*1,0))</f>
        <v>6566</v>
      </c>
      <c r="M3412" s="11">
        <f>$E3412+2</f>
        <v>104</v>
      </c>
      <c r="N3412" s="12">
        <f>IF($J3412=0,0,ROUND(MAX($J3412*1.4*1.5,2190000*(1.580994^(MIN($E3412,123)-117)))*1,0))</f>
        <v>9849</v>
      </c>
      <c r="O3412" s="13">
        <f>$E3412+4</f>
        <v>106</v>
      </c>
      <c r="P3412" s="14">
        <f>IF($J3412=0,0,ROUND(MAX($J3412*1.4*1.5*1.6,3500000*(1.57975^(MIN($E3412,123)-117)))*1,0))</f>
        <v>15758</v>
      </c>
      <c r="Q3412" s="11">
        <f>$E3412+6</f>
        <v>108</v>
      </c>
      <c r="R3412" s="12">
        <f>IF($J3412=0,0,ROUND(MAX($J3412*1.4*1.5*1.6*1.6,13100000*(1.429962^(MIN($E3412,123)-117)))*1,0))</f>
        <v>61292</v>
      </c>
      <c r="S3412" s="13">
        <f>$E3412+8</f>
        <v>110</v>
      </c>
      <c r="T3412" s="14">
        <f>IF($J3412=0,0,ROUND(MAX($J3412*1.4*1.5*1.6*1.6*2.2,42600000*(1.576904^(MIN($E3412,123)-117)))*1,0))</f>
        <v>55470</v>
      </c>
      <c r="U3412" s="11">
        <f>$E3412+11</f>
        <v>113</v>
      </c>
      <c r="V3412" s="12">
        <f>IF($J3412=0,0,ROUND(MAX($J3412*1.4*1.5*1.6*1.6*2.2*2.715,354000000*(1.642074^(MIN($E3412,123)-117)))*1,0))</f>
        <v>208023</v>
      </c>
      <c r="W3412" s="13">
        <f>$E3412+15</f>
        <v>117</v>
      </c>
      <c r="X3412" s="14">
        <f>IF($J3412=0,0,ROUND(MAX($J3412*1.4*1.5*1.6*1.6*2.2*2.715*2.6,3540000000*(1.579646^(MIN($E3412,123)-117)))*1,0))</f>
        <v>3720546</v>
      </c>
      <c r="Y3412" s="11">
        <f>$E3412+17</f>
        <v>119</v>
      </c>
      <c r="Z3412" s="12">
        <f>IF($J3412=0,0,ROUND(MAX($J3412*1.4*1.5*1.6*1.6*2.2*2.715*2.6*1.4,6020000000*(1.651178^(MIN($E3412,123)-117)))*1,0))</f>
        <v>3256028</v>
      </c>
      <c r="AA3412" s="13">
        <f>$E3412+19</f>
        <v>121</v>
      </c>
      <c r="AB3412" s="14">
        <f>IF($J3412=0,0,ROUND(MAX($J3412*1.4*1.5*1.6*1.6*2.2*2.715*2.6*1.4*1.4,8430000000*(1.651435^(MIN($E3412,123)-117)))*1,0))</f>
        <v>4548889</v>
      </c>
      <c r="AC3412" s="11">
        <f>$E3412+21</f>
        <v>123</v>
      </c>
      <c r="AD3412" s="12">
        <f>IF($J3412=0,0,ROUND(MAX($J3412*1.4*1.5*1.6*1.6*2.2*2.715*2.6*1.4*1.4*1.5,12600000000*(1.652953^(MIN($E3412,123)-117)))*1,0))</f>
        <v>6705991</v>
      </c>
      <c r="AE3412" s="13">
        <f>$E3412+24</f>
        <v>126</v>
      </c>
      <c r="AF3412" s="14">
        <f>IF($J3412=0,0,ROUND(MAX($J3412*1.4*1.5*1.6*1.6*2.2*2.715*2.6*1.4*1.4*1.5*1.5,18900000000*(1.65331^(MIN($E3412,123)-117)))*1,0))</f>
        <v>10026455</v>
      </c>
      <c r="AG3412" s="11">
        <f>$E3412+27</f>
        <v>129</v>
      </c>
      <c r="AH3412" s="12">
        <f>IF($J3412=0,0,ROUND(MAX($J3412*1.4*1.5*1.6*1.6*2.2*2.715*2.6*1.4*1.4*1.5*1.5*3.2,60500000000*(1.654288^(MIN($E3412,123)-117)))*1,0))</f>
        <v>31811825</v>
      </c>
    </row>
    <row r="3413" ht="28" customHeight="1" spans="1:34" x14ac:dyDescent="0.25">
      <c r="A3413">
        <v>3423</v>
      </c>
      <c r="B3413" t="s">
        <v>1131</v>
      </c>
      <c r="C3413" s="10" t="s">
        <v>1777</v>
      </c>
      <c r="D3413" t="s">
        <v>33</v>
      </c>
      <c r="E3413">
        <v>102</v>
      </c>
      <c r="F3413" t="s">
        <v>310</v>
      </c>
      <c r="G3413" t="s">
        <v>562</v>
      </c>
      <c r="H3413">
        <v>22</v>
      </c>
      <c r="I3413" s="11">
        <f>$E3413+0</f>
        <v>102</v>
      </c>
      <c r="J3413" s="12">
        <v>7870</v>
      </c>
      <c r="K3413" s="13">
        <f>$E3413+1</f>
        <v>103</v>
      </c>
      <c r="L3413" s="14">
        <f>IF($J3413=0,0,ROUND(MAX($J3413*1.4,1620000*(1.497923^(MIN($E3413,123)-117)))*1,0))</f>
        <v>11018</v>
      </c>
      <c r="M3413" s="11">
        <f>$E3413+2</f>
        <v>104</v>
      </c>
      <c r="N3413" s="12">
        <f>IF($J3413=0,0,ROUND(MAX($J3413*1.4*1.5,2190000*(1.580994^(MIN($E3413,123)-117)))*1,0))</f>
        <v>16527</v>
      </c>
      <c r="O3413" s="13">
        <f>$E3413+4</f>
        <v>106</v>
      </c>
      <c r="P3413" s="14">
        <f>IF($J3413=0,0,ROUND(MAX($J3413*1.4*1.5*1.6,3500000*(1.57975^(MIN($E3413,123)-117)))*1,0))</f>
        <v>26443</v>
      </c>
      <c r="Q3413" s="11">
        <f>$E3413+6</f>
        <v>108</v>
      </c>
      <c r="R3413" s="12">
        <f>IF($J3413=0,0,ROUND(MAX($J3413*1.4*1.5*1.6*1.6,13100000*(1.429962^(MIN($E3413,123)-117)))*1,0))</f>
        <v>61292</v>
      </c>
      <c r="S3413" s="13">
        <f>$E3413+8</f>
        <v>110</v>
      </c>
      <c r="T3413" s="14">
        <f>IF($J3413=0,0,ROUND(MAX($J3413*1.4*1.5*1.6*1.6*2.2,42600000*(1.576904^(MIN($E3413,123)-117)))*1,0))</f>
        <v>93080</v>
      </c>
      <c r="U3413" s="11">
        <f>$E3413+11</f>
        <v>113</v>
      </c>
      <c r="V3413" s="12">
        <f>IF($J3413=0,0,ROUND(MAX($J3413*1.4*1.5*1.6*1.6*2.2*2.715,354000000*(1.642074^(MIN($E3413,123)-117)))*1,0))</f>
        <v>252712</v>
      </c>
      <c r="W3413" s="13">
        <f>$E3413+15</f>
        <v>117</v>
      </c>
      <c r="X3413" s="14">
        <f>IF($J3413=0,0,ROUND(MAX($J3413*1.4*1.5*1.6*1.6*2.2*2.715*2.6,3540000000*(1.579646^(MIN($E3413,123)-117)))*1,0))</f>
        <v>3720546</v>
      </c>
      <c r="Y3413" s="11">
        <f>$E3413+17</f>
        <v>119</v>
      </c>
      <c r="Z3413" s="12">
        <f>IF($J3413=0,0,ROUND(MAX($J3413*1.4*1.5*1.6*1.6*2.2*2.715*2.6*1.4,6020000000*(1.651178^(MIN($E3413,123)-117)))*1,0))</f>
        <v>3256028</v>
      </c>
      <c r="AA3413" s="13">
        <f>$E3413+19</f>
        <v>121</v>
      </c>
      <c r="AB3413" s="14">
        <f>IF($J3413=0,0,ROUND(MAX($J3413*1.4*1.5*1.6*1.6*2.2*2.715*2.6*1.4*1.4,8430000000*(1.651435^(MIN($E3413,123)-117)))*1,0))</f>
        <v>4548889</v>
      </c>
      <c r="AC3413" s="11">
        <f>$E3413+21</f>
        <v>123</v>
      </c>
      <c r="AD3413" s="12">
        <f>IF($J3413=0,0,ROUND(MAX($J3413*1.4*1.5*1.6*1.6*2.2*2.715*2.6*1.4*1.4*1.5,12600000000*(1.652953^(MIN($E3413,123)-117)))*1,0))</f>
        <v>6705991</v>
      </c>
      <c r="AE3413" s="13">
        <f>$E3413+24</f>
        <v>126</v>
      </c>
      <c r="AF3413" s="14">
        <f>IF($J3413=0,0,ROUND(MAX($J3413*1.4*1.5*1.6*1.6*2.2*2.715*2.6*1.4*1.4*1.5*1.5,18900000000*(1.65331^(MIN($E3413,123)-117)))*1,0))</f>
        <v>10026455</v>
      </c>
      <c r="AG3413" s="11">
        <f>$E3413+27</f>
        <v>129</v>
      </c>
      <c r="AH3413" s="12">
        <f>IF($J3413=0,0,ROUND(MAX($J3413*1.4*1.5*1.6*1.6*2.2*2.715*2.6*1.4*1.4*1.5*1.5*3.2,60500000000*(1.654288^(MIN($E3413,123)-117)))*1,0))</f>
        <v>31811825</v>
      </c>
    </row>
    <row r="3414" ht="28" customHeight="1" spans="1:34" x14ac:dyDescent="0.25">
      <c r="A3414">
        <v>3424</v>
      </c>
      <c r="B3414" t="s">
        <v>1708</v>
      </c>
      <c r="C3414" s="10" t="s">
        <v>1777</v>
      </c>
      <c r="D3414" t="s">
        <v>102</v>
      </c>
      <c r="E3414">
        <v>102</v>
      </c>
      <c r="F3414" t="s">
        <v>34</v>
      </c>
      <c r="G3414" t="s">
        <v>562</v>
      </c>
      <c r="H3414">
        <v>22</v>
      </c>
      <c r="I3414" s="11">
        <f>$E3414+0</f>
        <v>102</v>
      </c>
      <c r="J3414" s="12">
        <v>509000</v>
      </c>
      <c r="K3414" s="13">
        <f>$E3414+1</f>
        <v>103</v>
      </c>
      <c r="L3414" s="14">
        <f>IF($J3414=0,0,ROUND(MAX($J3414*1.4,1620000*(1.497923^(MIN($E3414,123)-117)))*1,0))</f>
        <v>712600</v>
      </c>
      <c r="M3414" s="11">
        <f>$E3414+2</f>
        <v>104</v>
      </c>
      <c r="N3414" s="12">
        <f>IF($J3414=0,0,ROUND(MAX($J3414*1.4*1.5,2190000*(1.580994^(MIN($E3414,123)-117)))*1,0))</f>
        <v>1068900</v>
      </c>
      <c r="O3414" s="13">
        <f>$E3414+4</f>
        <v>106</v>
      </c>
      <c r="P3414" s="14">
        <f>IF($J3414=0,0,ROUND(MAX($J3414*1.4*1.5*1.6,3500000*(1.57975^(MIN($E3414,123)-117)))*1,0))</f>
        <v>1710240</v>
      </c>
      <c r="Q3414" s="11">
        <f>$E3414+6</f>
        <v>108</v>
      </c>
      <c r="R3414" s="12">
        <f>IF($J3414=0,0,ROUND(MAX($J3414*1.4*1.5*1.6*1.6,13100000*(1.429962^(MIN($E3414,123)-117)))*1,0))</f>
        <v>2736384</v>
      </c>
      <c r="S3414" s="13">
        <f>$E3414+8</f>
        <v>110</v>
      </c>
      <c r="T3414" s="14">
        <f>IF($J3414=0,0,ROUND(MAX($J3414*1.4*1.5*1.6*1.6*2.2,42600000*(1.576904^(MIN($E3414,123)-117)))*1,0))</f>
        <v>6020045</v>
      </c>
      <c r="U3414" s="11">
        <f>$E3414+11</f>
        <v>113</v>
      </c>
      <c r="V3414" s="12">
        <f>IF($J3414=0,0,ROUND(MAX($J3414*1.4*1.5*1.6*1.6*2.2*2.715,354000000*(1.642074^(MIN($E3414,123)-117)))*1,0))</f>
        <v>16344422</v>
      </c>
      <c r="W3414" s="13">
        <f>$E3414+15</f>
        <v>117</v>
      </c>
      <c r="X3414" s="14">
        <f>IF($J3414=0,0,ROUND(MAX($J3414*1.4*1.5*1.6*1.6*2.2*2.715*2.6,3540000000*(1.579646^(MIN($E3414,123)-117)))*1,0))</f>
        <v>42495496</v>
      </c>
      <c r="Y3414" s="11">
        <f>$E3414+17</f>
        <v>119</v>
      </c>
      <c r="Z3414" s="12">
        <f>IF($J3414=0,0,ROUND(MAX($J3414*1.4*1.5*1.6*1.6*2.2*2.715*2.6*1.4,6020000000*(1.651178^(MIN($E3414,123)-117)))*1,0))</f>
        <v>59493695</v>
      </c>
      <c r="AA3414" s="13">
        <f>$E3414+19</f>
        <v>121</v>
      </c>
      <c r="AB3414" s="14">
        <f>IF($J3414=0,0,ROUND(MAX($J3414*1.4*1.5*1.6*1.6*2.2*2.715*2.6*1.4*1.4,8430000000*(1.651435^(MIN($E3414,123)-117)))*1,0))</f>
        <v>83291173</v>
      </c>
      <c r="AC3414" s="11">
        <f>$E3414+21</f>
        <v>123</v>
      </c>
      <c r="AD3414" s="12">
        <f>IF($J3414=0,0,ROUND(MAX($J3414*1.4*1.5*1.6*1.6*2.2*2.715*2.6*1.4*1.4*1.5,12600000000*(1.652953^(MIN($E3414,123)-117)))*1,0))</f>
        <v>124936759</v>
      </c>
      <c r="AE3414" s="13">
        <f>$E3414+24</f>
        <v>126</v>
      </c>
      <c r="AF3414" s="14">
        <f>IF($J3414=0,0,ROUND(MAX($J3414*1.4*1.5*1.6*1.6*2.2*2.715*2.6*1.4*1.4*1.5*1.5,18900000000*(1.65331^(MIN($E3414,123)-117)))*1,0))</f>
        <v>187405138</v>
      </c>
      <c r="AG3414" s="11">
        <f>$E3414+27</f>
        <v>129</v>
      </c>
      <c r="AH3414" s="12">
        <f>IF($J3414=0,0,ROUND(MAX($J3414*1.4*1.5*1.6*1.6*2.2*2.715*2.6*1.4*1.4*1.5*1.5*3.2,60500000000*(1.654288^(MIN($E3414,123)-117)))*1,0))</f>
        <v>599696443</v>
      </c>
    </row>
    <row r="3415" ht="28" customHeight="1" spans="1:34" x14ac:dyDescent="0.25">
      <c r="A3415">
        <v>3425</v>
      </c>
      <c r="B3415" t="s">
        <v>318</v>
      </c>
      <c r="C3415" s="10" t="s">
        <v>1777</v>
      </c>
      <c r="D3415" t="s">
        <v>79</v>
      </c>
      <c r="E3415">
        <v>102</v>
      </c>
      <c r="F3415" t="s">
        <v>71</v>
      </c>
      <c r="G3415" t="s">
        <v>319</v>
      </c>
      <c r="H3415">
        <v>21</v>
      </c>
      <c r="I3415" s="11">
        <f>$E3415+0</f>
        <v>102</v>
      </c>
      <c r="J3415" s="12">
        <v>45900</v>
      </c>
      <c r="K3415" s="13">
        <f>$E3415+1</f>
        <v>103</v>
      </c>
      <c r="L3415" s="14">
        <f>IF($J3415=0,0,ROUND(MAX($J3415*1.4,1620000*(1.497923^(MIN($E3415,123)-117)))*1,0))</f>
        <v>64260</v>
      </c>
      <c r="M3415" s="11">
        <f>$E3415+2</f>
        <v>104</v>
      </c>
      <c r="N3415" s="12">
        <f>IF($J3415=0,0,ROUND(MAX($J3415*1.4*1.5,2190000*(1.580994^(MIN($E3415,123)-117)))*1,0))</f>
        <v>96390</v>
      </c>
      <c r="O3415" s="13">
        <f>$E3415+4</f>
        <v>106</v>
      </c>
      <c r="P3415" s="14">
        <f>IF($J3415=0,0,ROUND(MAX($J3415*1.4*1.5*1.6,3500000*(1.57975^(MIN($E3415,123)-117)))*1,0))</f>
        <v>154224</v>
      </c>
      <c r="Q3415" s="11">
        <f>$E3415+6</f>
        <v>108</v>
      </c>
      <c r="R3415" s="12">
        <f>IF($J3415=0,0,ROUND(MAX($J3415*1.4*1.5*1.6*1.6,13100000*(1.429962^(MIN($E3415,123)-117)))*1,0))</f>
        <v>246758</v>
      </c>
      <c r="S3415" s="13">
        <f>$E3415+8</f>
        <v>110</v>
      </c>
      <c r="T3415" s="14">
        <f>IF($J3415=0,0,ROUND(MAX($J3415*1.4*1.5*1.6*1.6*2.2,42600000*(1.576904^(MIN($E3415,123)-117)))*1,0))</f>
        <v>542868</v>
      </c>
      <c r="U3415" s="11">
        <f>$E3415+11</f>
        <v>113</v>
      </c>
      <c r="V3415" s="12">
        <f>IF($J3415=0,0,ROUND(MAX($J3415*1.4*1.5*1.6*1.6*2.2*2.715,354000000*(1.642074^(MIN($E3415,123)-117)))*1,0))</f>
        <v>1473888</v>
      </c>
      <c r="W3415" s="13">
        <f>$E3415+15</f>
        <v>117</v>
      </c>
      <c r="X3415" s="14">
        <f>IF($J3415=0,0,ROUND(MAX($J3415*1.4*1.5*1.6*1.6*2.2*2.715*2.6,3540000000*(1.579646^(MIN($E3415,123)-117)))*1,0))</f>
        <v>3832109</v>
      </c>
      <c r="Y3415" s="11">
        <f>$E3415+17</f>
        <v>119</v>
      </c>
      <c r="Z3415" s="12">
        <f>IF($J3415=0,0,ROUND(MAX($J3415*1.4*1.5*1.6*1.6*2.2*2.715*2.6*1.4,6020000000*(1.651178^(MIN($E3415,123)-117)))*1,0))</f>
        <v>5364952</v>
      </c>
      <c r="AA3415" s="13">
        <f>$E3415+19</f>
        <v>121</v>
      </c>
      <c r="AB3415" s="14">
        <f>IF($J3415=0,0,ROUND(MAX($J3415*1.4*1.5*1.6*1.6*2.2*2.715*2.6*1.4*1.4,8430000000*(1.651435^(MIN($E3415,123)-117)))*1,0))</f>
        <v>7510933</v>
      </c>
      <c r="AC3415" s="11">
        <f>$E3415+21</f>
        <v>123</v>
      </c>
      <c r="AD3415" s="12">
        <f>IF($J3415=0,0,ROUND(MAX($J3415*1.4*1.5*1.6*1.6*2.2*2.715*2.6*1.4*1.4*1.5,12600000000*(1.652953^(MIN($E3415,123)-117)))*1,0))</f>
        <v>11266399</v>
      </c>
      <c r="AE3415" s="13">
        <f>$E3415+24</f>
        <v>126</v>
      </c>
      <c r="AF3415" s="14">
        <f>IF($J3415=0,0,ROUND(MAX($J3415*1.4*1.5*1.6*1.6*2.2*2.715*2.6*1.4*1.4*1.5*1.5,18900000000*(1.65331^(MIN($E3415,123)-117)))*1,0))</f>
        <v>16899599</v>
      </c>
      <c r="AG3415" s="11">
        <f>$E3415+27</f>
        <v>129</v>
      </c>
      <c r="AH3415" s="12">
        <f>IF($J3415=0,0,ROUND(MAX($J3415*1.4*1.5*1.6*1.6*2.2*2.715*2.6*1.4*1.4*1.5*1.5*3.2,60500000000*(1.654288^(MIN($E3415,123)-117)))*1,0))</f>
        <v>54078717</v>
      </c>
    </row>
    <row r="3416" ht="28" customHeight="1" spans="1:34" x14ac:dyDescent="0.25">
      <c r="A3416">
        <v>3426</v>
      </c>
      <c r="B3416" t="s">
        <v>713</v>
      </c>
      <c r="C3416" s="10" t="s">
        <v>1777</v>
      </c>
      <c r="D3416" t="s">
        <v>79</v>
      </c>
      <c r="E3416">
        <v>102</v>
      </c>
      <c r="F3416" t="s">
        <v>62</v>
      </c>
      <c r="G3416" t="s">
        <v>714</v>
      </c>
      <c r="H3416">
        <v>21</v>
      </c>
      <c r="I3416" s="11">
        <f>$E3416+0</f>
        <v>102</v>
      </c>
      <c r="J3416" s="12">
        <v>52400</v>
      </c>
      <c r="K3416" s="13">
        <f>$E3416+1</f>
        <v>103</v>
      </c>
      <c r="L3416" s="14">
        <f>IF($J3416=0,0,ROUND(MAX($J3416*1.4,1620000*(1.497923^(MIN($E3416,123)-117)))*1,0))</f>
        <v>73360</v>
      </c>
      <c r="M3416" s="11">
        <f>$E3416+2</f>
        <v>104</v>
      </c>
      <c r="N3416" s="12">
        <f>IF($J3416=0,0,ROUND(MAX($J3416*1.4*1.5,2190000*(1.580994^(MIN($E3416,123)-117)))*1,0))</f>
        <v>110040</v>
      </c>
      <c r="O3416" s="13">
        <f>$E3416+4</f>
        <v>106</v>
      </c>
      <c r="P3416" s="14">
        <f>IF($J3416=0,0,ROUND(MAX($J3416*1.4*1.5*1.6,3500000*(1.57975^(MIN($E3416,123)-117)))*1,0))</f>
        <v>176064</v>
      </c>
      <c r="Q3416" s="11">
        <f>$E3416+6</f>
        <v>108</v>
      </c>
      <c r="R3416" s="12">
        <f>IF($J3416=0,0,ROUND(MAX($J3416*1.4*1.5*1.6*1.6,13100000*(1.429962^(MIN($E3416,123)-117)))*1,0))</f>
        <v>281702</v>
      </c>
      <c r="S3416" s="13">
        <f>$E3416+8</f>
        <v>110</v>
      </c>
      <c r="T3416" s="14">
        <f>IF($J3416=0,0,ROUND(MAX($J3416*1.4*1.5*1.6*1.6*2.2,42600000*(1.576904^(MIN($E3416,123)-117)))*1,0))</f>
        <v>619745</v>
      </c>
      <c r="U3416" s="11">
        <f>$E3416+11</f>
        <v>113</v>
      </c>
      <c r="V3416" s="12">
        <f>IF($J3416=0,0,ROUND(MAX($J3416*1.4*1.5*1.6*1.6*2.2*2.715,354000000*(1.642074^(MIN($E3416,123)-117)))*1,0))</f>
        <v>1682608</v>
      </c>
      <c r="W3416" s="13">
        <f>$E3416+15</f>
        <v>117</v>
      </c>
      <c r="X3416" s="14">
        <f>IF($J3416=0,0,ROUND(MAX($J3416*1.4*1.5*1.6*1.6*2.2*2.715*2.6,3540000000*(1.579646^(MIN($E3416,123)-117)))*1,0))</f>
        <v>4374782</v>
      </c>
      <c r="Y3416" s="11">
        <f>$E3416+17</f>
        <v>119</v>
      </c>
      <c r="Z3416" s="12">
        <f>IF($J3416=0,0,ROUND(MAX($J3416*1.4*1.5*1.6*1.6*2.2*2.715*2.6*1.4,6020000000*(1.651178^(MIN($E3416,123)-117)))*1,0))</f>
        <v>6124695</v>
      </c>
      <c r="AA3416" s="13">
        <f>$E3416+19</f>
        <v>121</v>
      </c>
      <c r="AB3416" s="14">
        <f>IF($J3416=0,0,ROUND(MAX($J3416*1.4*1.5*1.6*1.6*2.2*2.715*2.6*1.4*1.4,8430000000*(1.651435^(MIN($E3416,123)-117)))*1,0))</f>
        <v>8574573</v>
      </c>
      <c r="AC3416" s="11">
        <f>$E3416+21</f>
        <v>123</v>
      </c>
      <c r="AD3416" s="12">
        <f>IF($J3416=0,0,ROUND(MAX($J3416*1.4*1.5*1.6*1.6*2.2*2.715*2.6*1.4*1.4*1.5,12600000000*(1.652953^(MIN($E3416,123)-117)))*1,0))</f>
        <v>12861859</v>
      </c>
      <c r="AE3416" s="13">
        <f>$E3416+24</f>
        <v>126</v>
      </c>
      <c r="AF3416" s="14">
        <f>IF($J3416=0,0,ROUND(MAX($J3416*1.4*1.5*1.6*1.6*2.2*2.715*2.6*1.4*1.4*1.5*1.5,18900000000*(1.65331^(MIN($E3416,123)-117)))*1,0))</f>
        <v>19292788</v>
      </c>
      <c r="AG3416" s="11">
        <f>$E3416+27</f>
        <v>129</v>
      </c>
      <c r="AH3416" s="12">
        <f>IF($J3416=0,0,ROUND(MAX($J3416*1.4*1.5*1.6*1.6*2.2*2.715*2.6*1.4*1.4*1.5*1.5*3.2,60500000000*(1.654288^(MIN($E3416,123)-117)))*1,0))</f>
        <v>61736923</v>
      </c>
    </row>
    <row r="3417" ht="28" customHeight="1" spans="1:34" x14ac:dyDescent="0.25">
      <c r="A3417">
        <v>3427</v>
      </c>
      <c r="B3417" t="s">
        <v>1780</v>
      </c>
      <c r="C3417" s="10" t="s">
        <v>1777</v>
      </c>
      <c r="D3417" t="s">
        <v>33</v>
      </c>
      <c r="E3417">
        <v>102</v>
      </c>
      <c r="F3417" t="s">
        <v>258</v>
      </c>
      <c r="G3417" t="s">
        <v>562</v>
      </c>
      <c r="H3417">
        <v>21</v>
      </c>
      <c r="I3417" s="11">
        <f>$E3417+0</f>
        <v>102</v>
      </c>
      <c r="J3417" s="12">
        <v>11800</v>
      </c>
      <c r="K3417" s="13">
        <f>$E3417+1</f>
        <v>103</v>
      </c>
      <c r="L3417" s="14">
        <f>IF($J3417=0,0,ROUND(MAX($J3417*1.4,1620000*(1.497923^(MIN($E3417,123)-117)))*1,0))</f>
        <v>16520</v>
      </c>
      <c r="M3417" s="11">
        <f>$E3417+2</f>
        <v>104</v>
      </c>
      <c r="N3417" s="12">
        <f>IF($J3417=0,0,ROUND(MAX($J3417*1.4*1.5,2190000*(1.580994^(MIN($E3417,123)-117)))*1,0))</f>
        <v>24780</v>
      </c>
      <c r="O3417" s="13">
        <f>$E3417+4</f>
        <v>106</v>
      </c>
      <c r="P3417" s="14">
        <f>IF($J3417=0,0,ROUND(MAX($J3417*1.4*1.5*1.6,3500000*(1.57975^(MIN($E3417,123)-117)))*1,0))</f>
        <v>39648</v>
      </c>
      <c r="Q3417" s="11">
        <f>$E3417+6</f>
        <v>108</v>
      </c>
      <c r="R3417" s="12">
        <f>IF($J3417=0,0,ROUND(MAX($J3417*1.4*1.5*1.6*1.6,13100000*(1.429962^(MIN($E3417,123)-117)))*1,0))</f>
        <v>63437</v>
      </c>
      <c r="S3417" s="13">
        <f>$E3417+8</f>
        <v>110</v>
      </c>
      <c r="T3417" s="14">
        <f>IF($J3417=0,0,ROUND(MAX($J3417*1.4*1.5*1.6*1.6*2.2,42600000*(1.576904^(MIN($E3417,123)-117)))*1,0))</f>
        <v>139561</v>
      </c>
      <c r="U3417" s="11">
        <f>$E3417+11</f>
        <v>113</v>
      </c>
      <c r="V3417" s="12">
        <f>IF($J3417=0,0,ROUND(MAX($J3417*1.4*1.5*1.6*1.6*2.2*2.715,354000000*(1.642074^(MIN($E3417,123)-117)))*1,0))</f>
        <v>378908</v>
      </c>
      <c r="W3417" s="13">
        <f>$E3417+15</f>
        <v>117</v>
      </c>
      <c r="X3417" s="14">
        <f>IF($J3417=0,0,ROUND(MAX($J3417*1.4*1.5*1.6*1.6*2.2*2.715*2.6,3540000000*(1.579646^(MIN($E3417,123)-117)))*1,0))</f>
        <v>3720546</v>
      </c>
      <c r="Y3417" s="11">
        <f>$E3417+17</f>
        <v>119</v>
      </c>
      <c r="Z3417" s="12">
        <f>IF($J3417=0,0,ROUND(MAX($J3417*1.4*1.5*1.6*1.6*2.2*2.715*2.6*1.4,6020000000*(1.651178^(MIN($E3417,123)-117)))*1,0))</f>
        <v>3256028</v>
      </c>
      <c r="AA3417" s="13">
        <f>$E3417+19</f>
        <v>121</v>
      </c>
      <c r="AB3417" s="14">
        <f>IF($J3417=0,0,ROUND(MAX($J3417*1.4*1.5*1.6*1.6*2.2*2.715*2.6*1.4*1.4,8430000000*(1.651435^(MIN($E3417,123)-117)))*1,0))</f>
        <v>4548889</v>
      </c>
      <c r="AC3417" s="11">
        <f>$E3417+21</f>
        <v>123</v>
      </c>
      <c r="AD3417" s="12">
        <f>IF($J3417=0,0,ROUND(MAX($J3417*1.4*1.5*1.6*1.6*2.2*2.715*2.6*1.4*1.4*1.5,12600000000*(1.652953^(MIN($E3417,123)-117)))*1,0))</f>
        <v>6705991</v>
      </c>
      <c r="AE3417" s="13">
        <f>$E3417+24</f>
        <v>126</v>
      </c>
      <c r="AF3417" s="14">
        <f>IF($J3417=0,0,ROUND(MAX($J3417*1.4*1.5*1.6*1.6*2.2*2.715*2.6*1.4*1.4*1.5*1.5,18900000000*(1.65331^(MIN($E3417,123)-117)))*1,0))</f>
        <v>10026455</v>
      </c>
      <c r="AG3417" s="11">
        <f>$E3417+27</f>
        <v>129</v>
      </c>
      <c r="AH3417" s="12">
        <f>IF($J3417=0,0,ROUND(MAX($J3417*1.4*1.5*1.6*1.6*2.2*2.715*2.6*1.4*1.4*1.5*1.5*3.2,60500000000*(1.654288^(MIN($E3417,123)-117)))*1,0))</f>
        <v>31811825</v>
      </c>
    </row>
    <row r="3418" ht="28" customHeight="1" spans="1:34" x14ac:dyDescent="0.25">
      <c r="A3418">
        <v>3428</v>
      </c>
      <c r="B3418" t="s">
        <v>1781</v>
      </c>
      <c r="C3418" s="10" t="s">
        <v>1777</v>
      </c>
      <c r="D3418" t="s">
        <v>33</v>
      </c>
      <c r="E3418">
        <v>102</v>
      </c>
      <c r="F3418" t="s">
        <v>59</v>
      </c>
      <c r="G3418" t="s">
        <v>1782</v>
      </c>
      <c r="H3418">
        <v>21</v>
      </c>
      <c r="I3418" s="11">
        <f>$E3418+0</f>
        <v>102</v>
      </c>
      <c r="J3418" s="12">
        <v>4870</v>
      </c>
      <c r="K3418" s="13">
        <f>$E3418+1</f>
        <v>103</v>
      </c>
      <c r="L3418" s="14">
        <f>IF($J3418=0,0,ROUND(MAX($J3418*1.4,1620000*(1.497923^(MIN($E3418,123)-117)))*1,0))</f>
        <v>6818</v>
      </c>
      <c r="M3418" s="11">
        <f>$E3418+2</f>
        <v>104</v>
      </c>
      <c r="N3418" s="12">
        <f>IF($J3418=0,0,ROUND(MAX($J3418*1.4*1.5,2190000*(1.580994^(MIN($E3418,123)-117)))*1,0))</f>
        <v>10227</v>
      </c>
      <c r="O3418" s="13">
        <f>$E3418+4</f>
        <v>106</v>
      </c>
      <c r="P3418" s="14">
        <f>IF($J3418=0,0,ROUND(MAX($J3418*1.4*1.5*1.6,3500000*(1.57975^(MIN($E3418,123)-117)))*1,0))</f>
        <v>16363</v>
      </c>
      <c r="Q3418" s="11">
        <f>$E3418+6</f>
        <v>108</v>
      </c>
      <c r="R3418" s="12">
        <f>IF($J3418=0,0,ROUND(MAX($J3418*1.4*1.5*1.6*1.6,13100000*(1.429962^(MIN($E3418,123)-117)))*1,0))</f>
        <v>61292</v>
      </c>
      <c r="S3418" s="13">
        <f>$E3418+8</f>
        <v>110</v>
      </c>
      <c r="T3418" s="14">
        <f>IF($J3418=0,0,ROUND(MAX($J3418*1.4*1.5*1.6*1.6*2.2,42600000*(1.576904^(MIN($E3418,123)-117)))*1,0))</f>
        <v>57598</v>
      </c>
      <c r="U3418" s="11">
        <f>$E3418+11</f>
        <v>113</v>
      </c>
      <c r="V3418" s="12">
        <f>IF($J3418=0,0,ROUND(MAX($J3418*1.4*1.5*1.6*1.6*2.2*2.715,354000000*(1.642074^(MIN($E3418,123)-117)))*1,0))</f>
        <v>208023</v>
      </c>
      <c r="W3418" s="13">
        <f>$E3418+15</f>
        <v>117</v>
      </c>
      <c r="X3418" s="14">
        <f>IF($J3418=0,0,ROUND(MAX($J3418*1.4*1.5*1.6*1.6*2.2*2.715*2.6,3540000000*(1.579646^(MIN($E3418,123)-117)))*1,0))</f>
        <v>3720546</v>
      </c>
      <c r="Y3418" s="11">
        <f>$E3418+17</f>
        <v>119</v>
      </c>
      <c r="Z3418" s="12">
        <f>IF($J3418=0,0,ROUND(MAX($J3418*1.4*1.5*1.6*1.6*2.2*2.715*2.6*1.4,6020000000*(1.651178^(MIN($E3418,123)-117)))*1,0))</f>
        <v>3256028</v>
      </c>
      <c r="AA3418" s="13">
        <f>$E3418+19</f>
        <v>121</v>
      </c>
      <c r="AB3418" s="14">
        <f>IF($J3418=0,0,ROUND(MAX($J3418*1.4*1.5*1.6*1.6*2.2*2.715*2.6*1.4*1.4,8430000000*(1.651435^(MIN($E3418,123)-117)))*1,0))</f>
        <v>4548889</v>
      </c>
      <c r="AC3418" s="11">
        <f>$E3418+21</f>
        <v>123</v>
      </c>
      <c r="AD3418" s="12">
        <f>IF($J3418=0,0,ROUND(MAX($J3418*1.4*1.5*1.6*1.6*2.2*2.715*2.6*1.4*1.4*1.5,12600000000*(1.652953^(MIN($E3418,123)-117)))*1,0))</f>
        <v>6705991</v>
      </c>
      <c r="AE3418" s="13">
        <f>$E3418+24</f>
        <v>126</v>
      </c>
      <c r="AF3418" s="14">
        <f>IF($J3418=0,0,ROUND(MAX($J3418*1.4*1.5*1.6*1.6*2.2*2.715*2.6*1.4*1.4*1.5*1.5,18900000000*(1.65331^(MIN($E3418,123)-117)))*1,0))</f>
        <v>10026455</v>
      </c>
      <c r="AG3418" s="11">
        <f>$E3418+27</f>
        <v>129</v>
      </c>
      <c r="AH3418" s="12">
        <f>IF($J3418=0,0,ROUND(MAX($J3418*1.4*1.5*1.6*1.6*2.2*2.715*2.6*1.4*1.4*1.5*1.5*3.2,60500000000*(1.654288^(MIN($E3418,123)-117)))*1,0))</f>
        <v>31811825</v>
      </c>
    </row>
    <row r="3419" ht="28" customHeight="1" spans="1:34" x14ac:dyDescent="0.25">
      <c r="A3419">
        <v>3429</v>
      </c>
      <c r="B3419" t="s">
        <v>944</v>
      </c>
      <c r="C3419" s="10" t="s">
        <v>1777</v>
      </c>
      <c r="D3419" t="s">
        <v>90</v>
      </c>
      <c r="E3419">
        <v>102</v>
      </c>
      <c r="F3419" t="s">
        <v>71</v>
      </c>
      <c r="G3419" t="s">
        <v>562</v>
      </c>
      <c r="H3419">
        <v>21</v>
      </c>
      <c r="I3419" s="11">
        <f>$E3419+0</f>
        <v>102</v>
      </c>
      <c r="J3419" s="12">
        <v>10300</v>
      </c>
      <c r="K3419" s="13">
        <f>$E3419+1</f>
        <v>103</v>
      </c>
      <c r="L3419" s="14">
        <f>IF($J3419=0,0,ROUND(MAX($J3419*1.4,1620000*(1.497923^(MIN($E3419,123)-117)))*1,0))</f>
        <v>14420</v>
      </c>
      <c r="M3419" s="11">
        <f>$E3419+2</f>
        <v>104</v>
      </c>
      <c r="N3419" s="12">
        <f>IF($J3419=0,0,ROUND(MAX($J3419*1.4*1.5,2190000*(1.580994^(MIN($E3419,123)-117)))*1,0))</f>
        <v>21630</v>
      </c>
      <c r="O3419" s="13">
        <f>$E3419+4</f>
        <v>106</v>
      </c>
      <c r="P3419" s="14">
        <f>IF($J3419=0,0,ROUND(MAX($J3419*1.4*1.5*1.6,3500000*(1.57975^(MIN($E3419,123)-117)))*1,0))</f>
        <v>34608</v>
      </c>
      <c r="Q3419" s="11">
        <f>$E3419+6</f>
        <v>108</v>
      </c>
      <c r="R3419" s="12">
        <f>IF($J3419=0,0,ROUND(MAX($J3419*1.4*1.5*1.6*1.6,13100000*(1.429962^(MIN($E3419,123)-117)))*1,0))</f>
        <v>61292</v>
      </c>
      <c r="S3419" s="13">
        <f>$E3419+8</f>
        <v>110</v>
      </c>
      <c r="T3419" s="14">
        <f>IF($J3419=0,0,ROUND(MAX($J3419*1.4*1.5*1.6*1.6*2.2,42600000*(1.576904^(MIN($E3419,123)-117)))*1,0))</f>
        <v>121820</v>
      </c>
      <c r="U3419" s="11">
        <f>$E3419+11</f>
        <v>113</v>
      </c>
      <c r="V3419" s="12">
        <f>IF($J3419=0,0,ROUND(MAX($J3419*1.4*1.5*1.6*1.6*2.2*2.715,354000000*(1.642074^(MIN($E3419,123)-117)))*1,0))</f>
        <v>330742</v>
      </c>
      <c r="W3419" s="13">
        <f>$E3419+15</f>
        <v>117</v>
      </c>
      <c r="X3419" s="14">
        <f>IF($J3419=0,0,ROUND(MAX($J3419*1.4*1.5*1.6*1.6*2.2*2.715*2.6,3540000000*(1.579646^(MIN($E3419,123)-117)))*1,0))</f>
        <v>3720546</v>
      </c>
      <c r="Y3419" s="11">
        <f>$E3419+17</f>
        <v>119</v>
      </c>
      <c r="Z3419" s="12">
        <f>IF($J3419=0,0,ROUND(MAX($J3419*1.4*1.5*1.6*1.6*2.2*2.715*2.6*1.4,6020000000*(1.651178^(MIN($E3419,123)-117)))*1,0))</f>
        <v>3256028</v>
      </c>
      <c r="AA3419" s="13">
        <f>$E3419+19</f>
        <v>121</v>
      </c>
      <c r="AB3419" s="14">
        <f>IF($J3419=0,0,ROUND(MAX($J3419*1.4*1.5*1.6*1.6*2.2*2.715*2.6*1.4*1.4,8430000000*(1.651435^(MIN($E3419,123)-117)))*1,0))</f>
        <v>4548889</v>
      </c>
      <c r="AC3419" s="11">
        <f>$E3419+21</f>
        <v>123</v>
      </c>
      <c r="AD3419" s="12">
        <f>IF($J3419=0,0,ROUND(MAX($J3419*1.4*1.5*1.6*1.6*2.2*2.715*2.6*1.4*1.4*1.5,12600000000*(1.652953^(MIN($E3419,123)-117)))*1,0))</f>
        <v>6705991</v>
      </c>
      <c r="AE3419" s="13">
        <f>$E3419+24</f>
        <v>126</v>
      </c>
      <c r="AF3419" s="14">
        <f>IF($J3419=0,0,ROUND(MAX($J3419*1.4*1.5*1.6*1.6*2.2*2.715*2.6*1.4*1.4*1.5*1.5,18900000000*(1.65331^(MIN($E3419,123)-117)))*1,0))</f>
        <v>10026455</v>
      </c>
      <c r="AG3419" s="11">
        <f>$E3419+27</f>
        <v>129</v>
      </c>
      <c r="AH3419" s="12">
        <f>IF($J3419=0,0,ROUND(MAX($J3419*1.4*1.5*1.6*1.6*2.2*2.715*2.6*1.4*1.4*1.5*1.5*3.2,60500000000*(1.654288^(MIN($E3419,123)-117)))*1,0))</f>
        <v>31811825</v>
      </c>
    </row>
    <row r="3420" ht="28" customHeight="1" spans="1:34" x14ac:dyDescent="0.25">
      <c r="A3420">
        <v>3430</v>
      </c>
      <c r="B3420" t="s">
        <v>1783</v>
      </c>
      <c r="C3420" s="10" t="s">
        <v>1777</v>
      </c>
      <c r="D3420" t="s">
        <v>47</v>
      </c>
      <c r="E3420">
        <v>102</v>
      </c>
      <c r="F3420" t="s">
        <v>962</v>
      </c>
      <c r="G3420" t="s">
        <v>562</v>
      </c>
      <c r="H3420">
        <v>19</v>
      </c>
      <c r="I3420" s="11">
        <f>$E3420+0</f>
        <v>102</v>
      </c>
      <c r="J3420" s="12">
        <v>6150</v>
      </c>
      <c r="K3420" s="13">
        <f>$E3420+1</f>
        <v>103</v>
      </c>
      <c r="L3420" s="14">
        <f>IF($J3420=0,0,ROUND(MAX($J3420*1.4,1620000*(1.497923^(MIN($E3420,123)-117)))*1,0))</f>
        <v>8610</v>
      </c>
      <c r="M3420" s="11">
        <f>$E3420+2</f>
        <v>104</v>
      </c>
      <c r="N3420" s="12">
        <f>IF($J3420=0,0,ROUND(MAX($J3420*1.4*1.5,2190000*(1.580994^(MIN($E3420,123)-117)))*1,0))</f>
        <v>12915</v>
      </c>
      <c r="O3420" s="13">
        <f>$E3420+4</f>
        <v>106</v>
      </c>
      <c r="P3420" s="14">
        <f>IF($J3420=0,0,ROUND(MAX($J3420*1.4*1.5*1.6,3500000*(1.57975^(MIN($E3420,123)-117)))*1,0))</f>
        <v>20664</v>
      </c>
      <c r="Q3420" s="11">
        <f>$E3420+6</f>
        <v>108</v>
      </c>
      <c r="R3420" s="12">
        <f>IF($J3420=0,0,ROUND(MAX($J3420*1.4*1.5*1.6*1.6,13100000*(1.429962^(MIN($E3420,123)-117)))*1,0))</f>
        <v>61292</v>
      </c>
      <c r="S3420" s="13">
        <f>$E3420+8</f>
        <v>110</v>
      </c>
      <c r="T3420" s="14">
        <f>IF($J3420=0,0,ROUND(MAX($J3420*1.4*1.5*1.6*1.6*2.2,42600000*(1.576904^(MIN($E3420,123)-117)))*1,0))</f>
        <v>72737</v>
      </c>
      <c r="U3420" s="11">
        <f>$E3420+11</f>
        <v>113</v>
      </c>
      <c r="V3420" s="12">
        <f>IF($J3420=0,0,ROUND(MAX($J3420*1.4*1.5*1.6*1.6*2.2*2.715,354000000*(1.642074^(MIN($E3420,123)-117)))*1,0))</f>
        <v>208023</v>
      </c>
      <c r="W3420" s="13">
        <f>$E3420+15</f>
        <v>117</v>
      </c>
      <c r="X3420" s="14">
        <f>IF($J3420=0,0,ROUND(MAX($J3420*1.4*1.5*1.6*1.6*2.2*2.715*2.6,3540000000*(1.579646^(MIN($E3420,123)-117)))*1,0))</f>
        <v>3720546</v>
      </c>
      <c r="Y3420" s="11">
        <f>$E3420+17</f>
        <v>119</v>
      </c>
      <c r="Z3420" s="12">
        <f>IF($J3420=0,0,ROUND(MAX($J3420*1.4*1.5*1.6*1.6*2.2*2.715*2.6*1.4,6020000000*(1.651178^(MIN($E3420,123)-117)))*1,0))</f>
        <v>3256028</v>
      </c>
      <c r="AA3420" s="13">
        <f>$E3420+19</f>
        <v>121</v>
      </c>
      <c r="AB3420" s="14">
        <f>IF($J3420=0,0,ROUND(MAX($J3420*1.4*1.5*1.6*1.6*2.2*2.715*2.6*1.4*1.4,8430000000*(1.651435^(MIN($E3420,123)-117)))*1,0))</f>
        <v>4548889</v>
      </c>
      <c r="AC3420" s="11">
        <f>$E3420+21</f>
        <v>123</v>
      </c>
      <c r="AD3420" s="12">
        <f>IF($J3420=0,0,ROUND(MAX($J3420*1.4*1.5*1.6*1.6*2.2*2.715*2.6*1.4*1.4*1.5,12600000000*(1.652953^(MIN($E3420,123)-117)))*1,0))</f>
        <v>6705991</v>
      </c>
      <c r="AE3420" s="13">
        <f>$E3420+24</f>
        <v>126</v>
      </c>
      <c r="AF3420" s="14">
        <f>IF($J3420=0,0,ROUND(MAX($J3420*1.4*1.5*1.6*1.6*2.2*2.715*2.6*1.4*1.4*1.5*1.5,18900000000*(1.65331^(MIN($E3420,123)-117)))*1,0))</f>
        <v>10026455</v>
      </c>
      <c r="AG3420" s="11">
        <f>$E3420+27</f>
        <v>129</v>
      </c>
      <c r="AH3420" s="12">
        <f>IF($J3420=0,0,ROUND(MAX($J3420*1.4*1.5*1.6*1.6*2.2*2.715*2.6*1.4*1.4*1.5*1.5*3.2,60500000000*(1.654288^(MIN($E3420,123)-117)))*1,0))</f>
        <v>31811825</v>
      </c>
    </row>
    <row r="3421" ht="28" customHeight="1" spans="1:34" x14ac:dyDescent="0.25">
      <c r="A3421">
        <v>3431</v>
      </c>
      <c r="B3421" t="s">
        <v>188</v>
      </c>
      <c r="C3421" s="10" t="s">
        <v>1777</v>
      </c>
      <c r="D3421" t="s">
        <v>47</v>
      </c>
      <c r="E3421">
        <v>102</v>
      </c>
      <c r="F3421" t="s">
        <v>42</v>
      </c>
      <c r="G3421" t="s">
        <v>562</v>
      </c>
      <c r="H3421">
        <v>19</v>
      </c>
      <c r="I3421" s="11">
        <f>$E3421+0</f>
        <v>102</v>
      </c>
      <c r="J3421" s="12">
        <v>27100</v>
      </c>
      <c r="K3421" s="13">
        <f>$E3421+1</f>
        <v>103</v>
      </c>
      <c r="L3421" s="14">
        <f>IF($J3421=0,0,ROUND(MAX($J3421*1.4,1620000*(1.497923^(MIN($E3421,123)-117)))*1,0))</f>
        <v>37940</v>
      </c>
      <c r="M3421" s="11">
        <f>$E3421+2</f>
        <v>104</v>
      </c>
      <c r="N3421" s="12">
        <f>IF($J3421=0,0,ROUND(MAX($J3421*1.4*1.5,2190000*(1.580994^(MIN($E3421,123)-117)))*1,0))</f>
        <v>56910</v>
      </c>
      <c r="O3421" s="13">
        <f>$E3421+4</f>
        <v>106</v>
      </c>
      <c r="P3421" s="14">
        <f>IF($J3421=0,0,ROUND(MAX($J3421*1.4*1.5*1.6,3500000*(1.57975^(MIN($E3421,123)-117)))*1,0))</f>
        <v>91056</v>
      </c>
      <c r="Q3421" s="11">
        <f>$E3421+6</f>
        <v>108</v>
      </c>
      <c r="R3421" s="12">
        <f>IF($J3421=0,0,ROUND(MAX($J3421*1.4*1.5*1.6*1.6,13100000*(1.429962^(MIN($E3421,123)-117)))*1,0))</f>
        <v>145690</v>
      </c>
      <c r="S3421" s="13">
        <f>$E3421+8</f>
        <v>110</v>
      </c>
      <c r="T3421" s="14">
        <f>IF($J3421=0,0,ROUND(MAX($J3421*1.4*1.5*1.6*1.6*2.2,42600000*(1.576904^(MIN($E3421,123)-117)))*1,0))</f>
        <v>320517</v>
      </c>
      <c r="U3421" s="11">
        <f>$E3421+11</f>
        <v>113</v>
      </c>
      <c r="V3421" s="12">
        <f>IF($J3421=0,0,ROUND(MAX($J3421*1.4*1.5*1.6*1.6*2.2*2.715,354000000*(1.642074^(MIN($E3421,123)-117)))*1,0))</f>
        <v>870204</v>
      </c>
      <c r="W3421" s="13">
        <f>$E3421+15</f>
        <v>117</v>
      </c>
      <c r="X3421" s="14">
        <f>IF($J3421=0,0,ROUND(MAX($J3421*1.4*1.5*1.6*1.6*2.2*2.715*2.6,3540000000*(1.579646^(MIN($E3421,123)-117)))*1,0))</f>
        <v>3720546</v>
      </c>
      <c r="Y3421" s="11">
        <f>$E3421+17</f>
        <v>119</v>
      </c>
      <c r="Z3421" s="12">
        <f>IF($J3421=0,0,ROUND(MAX($J3421*1.4*1.5*1.6*1.6*2.2*2.715*2.6*1.4,6020000000*(1.651178^(MIN($E3421,123)-117)))*1,0))</f>
        <v>3256028</v>
      </c>
      <c r="AA3421" s="13">
        <f>$E3421+19</f>
        <v>121</v>
      </c>
      <c r="AB3421" s="14">
        <f>IF($J3421=0,0,ROUND(MAX($J3421*1.4*1.5*1.6*1.6*2.2*2.715*2.6*1.4*1.4,8430000000*(1.651435^(MIN($E3421,123)-117)))*1,0))</f>
        <v>4548889</v>
      </c>
      <c r="AC3421" s="11">
        <f>$E3421+21</f>
        <v>123</v>
      </c>
      <c r="AD3421" s="12">
        <f>IF($J3421=0,0,ROUND(MAX($J3421*1.4*1.5*1.6*1.6*2.2*2.715*2.6*1.4*1.4*1.5,12600000000*(1.652953^(MIN($E3421,123)-117)))*1,0))</f>
        <v>6705991</v>
      </c>
      <c r="AE3421" s="13">
        <f>$E3421+24</f>
        <v>126</v>
      </c>
      <c r="AF3421" s="14">
        <f>IF($J3421=0,0,ROUND(MAX($J3421*1.4*1.5*1.6*1.6*2.2*2.715*2.6*1.4*1.4*1.5*1.5,18900000000*(1.65331^(MIN($E3421,123)-117)))*1,0))</f>
        <v>10026455</v>
      </c>
      <c r="AG3421" s="11">
        <f>$E3421+27</f>
        <v>129</v>
      </c>
      <c r="AH3421" s="12">
        <f>IF($J3421=0,0,ROUND(MAX($J3421*1.4*1.5*1.6*1.6*2.2*2.715*2.6*1.4*1.4*1.5*1.5*3.2,60500000000*(1.654288^(MIN($E3421,123)-117)))*1,0))</f>
        <v>31928828</v>
      </c>
    </row>
    <row r="3422" ht="28" customHeight="1" spans="1:34" x14ac:dyDescent="0.25">
      <c r="A3422">
        <v>3432</v>
      </c>
      <c r="B3422" t="s">
        <v>1784</v>
      </c>
      <c r="C3422" s="10" t="s">
        <v>1777</v>
      </c>
      <c r="D3422" t="s">
        <v>47</v>
      </c>
      <c r="E3422">
        <v>102</v>
      </c>
      <c r="F3422" t="s">
        <v>56</v>
      </c>
      <c r="G3422" t="s">
        <v>562</v>
      </c>
      <c r="H3422">
        <v>19</v>
      </c>
      <c r="I3422" s="11">
        <f>$E3422+0</f>
        <v>102</v>
      </c>
      <c r="J3422" s="12">
        <v>4820</v>
      </c>
      <c r="K3422" s="13">
        <f>$E3422+1</f>
        <v>103</v>
      </c>
      <c r="L3422" s="14">
        <f>IF($J3422=0,0,ROUND(MAX($J3422*1.4,1620000*(1.497923^(MIN($E3422,123)-117)))*1,0))</f>
        <v>6748</v>
      </c>
      <c r="M3422" s="11">
        <f>$E3422+2</f>
        <v>104</v>
      </c>
      <c r="N3422" s="12">
        <f>IF($J3422=0,0,ROUND(MAX($J3422*1.4*1.5,2190000*(1.580994^(MIN($E3422,123)-117)))*1,0))</f>
        <v>10122</v>
      </c>
      <c r="O3422" s="13">
        <f>$E3422+4</f>
        <v>106</v>
      </c>
      <c r="P3422" s="14">
        <f>IF($J3422=0,0,ROUND(MAX($J3422*1.4*1.5*1.6,3500000*(1.57975^(MIN($E3422,123)-117)))*1,0))</f>
        <v>16195</v>
      </c>
      <c r="Q3422" s="11">
        <f>$E3422+6</f>
        <v>108</v>
      </c>
      <c r="R3422" s="12">
        <f>IF($J3422=0,0,ROUND(MAX($J3422*1.4*1.5*1.6*1.6,13100000*(1.429962^(MIN($E3422,123)-117)))*1,0))</f>
        <v>61292</v>
      </c>
      <c r="S3422" s="13">
        <f>$E3422+8</f>
        <v>110</v>
      </c>
      <c r="T3422" s="14">
        <f>IF($J3422=0,0,ROUND(MAX($J3422*1.4*1.5*1.6*1.6*2.2,42600000*(1.576904^(MIN($E3422,123)-117)))*1,0))</f>
        <v>57007</v>
      </c>
      <c r="U3422" s="11">
        <f>$E3422+11</f>
        <v>113</v>
      </c>
      <c r="V3422" s="12">
        <f>IF($J3422=0,0,ROUND(MAX($J3422*1.4*1.5*1.6*1.6*2.2*2.715,354000000*(1.642074^(MIN($E3422,123)-117)))*1,0))</f>
        <v>208023</v>
      </c>
      <c r="W3422" s="13">
        <f>$E3422+15</f>
        <v>117</v>
      </c>
      <c r="X3422" s="14">
        <f>IF($J3422=0,0,ROUND(MAX($J3422*1.4*1.5*1.6*1.6*2.2*2.715*2.6,3540000000*(1.579646^(MIN($E3422,123)-117)))*1,0))</f>
        <v>3720546</v>
      </c>
      <c r="Y3422" s="11">
        <f>$E3422+17</f>
        <v>119</v>
      </c>
      <c r="Z3422" s="12">
        <f>IF($J3422=0,0,ROUND(MAX($J3422*1.4*1.5*1.6*1.6*2.2*2.715*2.6*1.4,6020000000*(1.651178^(MIN($E3422,123)-117)))*1,0))</f>
        <v>3256028</v>
      </c>
      <c r="AA3422" s="13">
        <f>$E3422+19</f>
        <v>121</v>
      </c>
      <c r="AB3422" s="14">
        <f>IF($J3422=0,0,ROUND(MAX($J3422*1.4*1.5*1.6*1.6*2.2*2.715*2.6*1.4*1.4,8430000000*(1.651435^(MIN($E3422,123)-117)))*1,0))</f>
        <v>4548889</v>
      </c>
      <c r="AC3422" s="11">
        <f>$E3422+21</f>
        <v>123</v>
      </c>
      <c r="AD3422" s="12">
        <f>IF($J3422=0,0,ROUND(MAX($J3422*1.4*1.5*1.6*1.6*2.2*2.715*2.6*1.4*1.4*1.5,12600000000*(1.652953^(MIN($E3422,123)-117)))*1,0))</f>
        <v>6705991</v>
      </c>
      <c r="AE3422" s="13">
        <f>$E3422+24</f>
        <v>126</v>
      </c>
      <c r="AF3422" s="14">
        <f>IF($J3422=0,0,ROUND(MAX($J3422*1.4*1.5*1.6*1.6*2.2*2.715*2.6*1.4*1.4*1.5*1.5,18900000000*(1.65331^(MIN($E3422,123)-117)))*1,0))</f>
        <v>10026455</v>
      </c>
      <c r="AG3422" s="11">
        <f>$E3422+27</f>
        <v>129</v>
      </c>
      <c r="AH3422" s="12">
        <f>IF($J3422=0,0,ROUND(MAX($J3422*1.4*1.5*1.6*1.6*2.2*2.715*2.6*1.4*1.4*1.5*1.5*3.2,60500000000*(1.654288^(MIN($E3422,123)-117)))*1,0))</f>
        <v>31811825</v>
      </c>
    </row>
    <row r="3423" ht="28" customHeight="1" spans="1:34" x14ac:dyDescent="0.25">
      <c r="A3423">
        <v>3433</v>
      </c>
      <c r="B3423" t="s">
        <v>251</v>
      </c>
      <c r="C3423" s="10" t="s">
        <v>1785</v>
      </c>
      <c r="D3423" t="s">
        <v>40</v>
      </c>
      <c r="E3423">
        <v>104</v>
      </c>
      <c r="F3423" t="s">
        <v>59</v>
      </c>
      <c r="G3423" t="s">
        <v>252</v>
      </c>
      <c r="H3423">
        <v>25</v>
      </c>
      <c r="I3423" s="11">
        <f>$E3423+0</f>
        <v>104</v>
      </c>
      <c r="J3423" s="12">
        <v>12100</v>
      </c>
      <c r="K3423" s="13">
        <f>$E3423+1</f>
        <v>105</v>
      </c>
      <c r="L3423" s="14">
        <f>IF($J3423=0,0,ROUND(MAX($J3423*1.4,1620000*(1.497923^(MIN($E3423,123)-117)))*1,0))</f>
        <v>16940</v>
      </c>
      <c r="M3423" s="11">
        <f>$E3423+2</f>
        <v>106</v>
      </c>
      <c r="N3423" s="12">
        <f>IF($J3423=0,0,ROUND(MAX($J3423*1.4*1.5,2190000*(1.580994^(MIN($E3423,123)-117)))*1,0))</f>
        <v>25410</v>
      </c>
      <c r="O3423" s="13">
        <f>$E3423+4</f>
        <v>108</v>
      </c>
      <c r="P3423" s="14">
        <f>IF($J3423=0,0,ROUND(MAX($J3423*1.4*1.5*1.6,3500000*(1.57975^(MIN($E3423,123)-117)))*1,0))</f>
        <v>40656</v>
      </c>
      <c r="Q3423" s="11">
        <f>$E3423+6</f>
        <v>110</v>
      </c>
      <c r="R3423" s="12">
        <f>IF($J3423=0,0,ROUND(MAX($J3423*1.4*1.5*1.6*1.6,13100000*(1.429962^(MIN($E3423,123)-117)))*1,0))</f>
        <v>125329</v>
      </c>
      <c r="S3423" s="13">
        <f>$E3423+8</f>
        <v>112</v>
      </c>
      <c r="T3423" s="14">
        <f>IF($J3423=0,0,ROUND(MAX($J3423*1.4*1.5*1.6*1.6*2.2,42600000*(1.576904^(MIN($E3423,123)-117)))*1,0))</f>
        <v>143109</v>
      </c>
      <c r="U3423" s="11">
        <f>$E3423+11</f>
        <v>115</v>
      </c>
      <c r="V3423" s="12">
        <f>IF($J3423=0,0,ROUND(MAX($J3423*1.4*1.5*1.6*1.6*2.2*2.715,354000000*(1.642074^(MIN($E3423,123)-117)))*1,0))</f>
        <v>560916</v>
      </c>
      <c r="W3423" s="13">
        <f>$E3423+15</f>
        <v>119</v>
      </c>
      <c r="X3423" s="14">
        <f>IF($J3423=0,0,ROUND(MAX($J3423*1.4*1.5*1.6*1.6*2.2*2.715*2.6,3540000000*(1.579646^(MIN($E3423,123)-117)))*1,0))</f>
        <v>9283810</v>
      </c>
      <c r="Y3423" s="11">
        <f>$E3423+17</f>
        <v>121</v>
      </c>
      <c r="Z3423" s="12">
        <f>IF($J3423=0,0,ROUND(MAX($J3423*1.4*1.5*1.6*1.6*2.2*2.715*2.6*1.4,6020000000*(1.651178^(MIN($E3423,123)-117)))*1,0))</f>
        <v>8877197</v>
      </c>
      <c r="AA3423" s="13">
        <f>$E3423+19</f>
        <v>123</v>
      </c>
      <c r="AB3423" s="14">
        <f>IF($J3423=0,0,ROUND(MAX($J3423*1.4*1.5*1.6*1.6*2.2*2.715*2.6*1.4*1.4,8430000000*(1.651435^(MIN($E3423,123)-117)))*1,0))</f>
        <v>12405900</v>
      </c>
      <c r="AC3423" s="11">
        <f>$E3423+21</f>
        <v>125</v>
      </c>
      <c r="AD3423" s="12">
        <f>IF($J3423=0,0,ROUND(MAX($J3423*1.4*1.5*1.6*1.6*2.2*2.715*2.6*1.4*1.4*1.5,12600000000*(1.652953^(MIN($E3423,123)-117)))*1,0))</f>
        <v>18322468</v>
      </c>
      <c r="AE3423" s="13">
        <f>$E3423+24</f>
        <v>128</v>
      </c>
      <c r="AF3423" s="14">
        <f>IF($J3423=0,0,ROUND(MAX($J3423*1.4*1.5*1.6*1.6*2.2*2.715*2.6*1.4*1.4*1.5*1.5,18900000000*(1.65331^(MIN($E3423,123)-117)))*1,0))</f>
        <v>27406653</v>
      </c>
      <c r="AG3423" s="11">
        <f>$E3423+27</f>
        <v>131</v>
      </c>
      <c r="AH3423" s="12">
        <f>IF($J3423=0,0,ROUND(MAX($J3423*1.4*1.5*1.6*1.6*2.2*2.715*2.6*1.4*1.4*1.5*1.5*3.2,60500000000*(1.654288^(MIN($E3423,123)-117)))*1,0))</f>
        <v>87058428</v>
      </c>
    </row>
    <row r="3424" ht="28" customHeight="1" spans="1:34" x14ac:dyDescent="0.25">
      <c r="A3424">
        <v>3434</v>
      </c>
      <c r="B3424" t="s">
        <v>227</v>
      </c>
      <c r="C3424" s="10" t="s">
        <v>1785</v>
      </c>
      <c r="D3424" t="s">
        <v>40</v>
      </c>
      <c r="E3424">
        <v>104</v>
      </c>
      <c r="F3424" t="s">
        <v>56</v>
      </c>
      <c r="G3424" t="s">
        <v>35</v>
      </c>
      <c r="H3424">
        <v>24</v>
      </c>
      <c r="I3424" s="11">
        <f>$E3424+0</f>
        <v>104</v>
      </c>
      <c r="J3424" s="12">
        <v>11100</v>
      </c>
      <c r="K3424" s="13">
        <f>$E3424+1</f>
        <v>105</v>
      </c>
      <c r="L3424" s="14">
        <f>IF($J3424=0,0,ROUND(MAX($J3424*1.4,1620000*(1.497923^(MIN($E3424,123)-117)))*1,0))</f>
        <v>15540</v>
      </c>
      <c r="M3424" s="11">
        <f>$E3424+2</f>
        <v>106</v>
      </c>
      <c r="N3424" s="12">
        <f>IF($J3424=0,0,ROUND(MAX($J3424*1.4*1.5,2190000*(1.580994^(MIN($E3424,123)-117)))*1,0))</f>
        <v>23310</v>
      </c>
      <c r="O3424" s="13">
        <f>$E3424+4</f>
        <v>108</v>
      </c>
      <c r="P3424" s="14">
        <f>IF($J3424=0,0,ROUND(MAX($J3424*1.4*1.5*1.6,3500000*(1.57975^(MIN($E3424,123)-117)))*1,0))</f>
        <v>37296</v>
      </c>
      <c r="Q3424" s="11">
        <f>$E3424+6</f>
        <v>110</v>
      </c>
      <c r="R3424" s="12">
        <f>IF($J3424=0,0,ROUND(MAX($J3424*1.4*1.5*1.6*1.6,13100000*(1.429962^(MIN($E3424,123)-117)))*1,0))</f>
        <v>125329</v>
      </c>
      <c r="S3424" s="13">
        <f>$E3424+8</f>
        <v>112</v>
      </c>
      <c r="T3424" s="14">
        <f>IF($J3424=0,0,ROUND(MAX($J3424*1.4*1.5*1.6*1.6*2.2,42600000*(1.576904^(MIN($E3424,123)-117)))*1,0))</f>
        <v>131282</v>
      </c>
      <c r="U3424" s="11">
        <f>$E3424+11</f>
        <v>115</v>
      </c>
      <c r="V3424" s="12">
        <f>IF($J3424=0,0,ROUND(MAX($J3424*1.4*1.5*1.6*1.6*2.2*2.715,354000000*(1.642074^(MIN($E3424,123)-117)))*1,0))</f>
        <v>560916</v>
      </c>
      <c r="W3424" s="13">
        <f>$E3424+15</f>
        <v>119</v>
      </c>
      <c r="X3424" s="14">
        <f>IF($J3424=0,0,ROUND(MAX($J3424*1.4*1.5*1.6*1.6*2.2*2.715*2.6,3540000000*(1.579646^(MIN($E3424,123)-117)))*1,0))</f>
        <v>9283810</v>
      </c>
      <c r="Y3424" s="11">
        <f>$E3424+17</f>
        <v>121</v>
      </c>
      <c r="Z3424" s="12">
        <f>IF($J3424=0,0,ROUND(MAX($J3424*1.4*1.5*1.6*1.6*2.2*2.715*2.6*1.4,6020000000*(1.651178^(MIN($E3424,123)-117)))*1,0))</f>
        <v>8877197</v>
      </c>
      <c r="AA3424" s="13">
        <f>$E3424+19</f>
        <v>123</v>
      </c>
      <c r="AB3424" s="14">
        <f>IF($J3424=0,0,ROUND(MAX($J3424*1.4*1.5*1.6*1.6*2.2*2.715*2.6*1.4*1.4,8430000000*(1.651435^(MIN($E3424,123)-117)))*1,0))</f>
        <v>12405900</v>
      </c>
      <c r="AC3424" s="11">
        <f>$E3424+21</f>
        <v>125</v>
      </c>
      <c r="AD3424" s="12">
        <f>IF($J3424=0,0,ROUND(MAX($J3424*1.4*1.5*1.6*1.6*2.2*2.715*2.6*1.4*1.4*1.5,12600000000*(1.652953^(MIN($E3424,123)-117)))*1,0))</f>
        <v>18322468</v>
      </c>
      <c r="AE3424" s="13">
        <f>$E3424+24</f>
        <v>128</v>
      </c>
      <c r="AF3424" s="14">
        <f>IF($J3424=0,0,ROUND(MAX($J3424*1.4*1.5*1.6*1.6*2.2*2.715*2.6*1.4*1.4*1.5*1.5,18900000000*(1.65331^(MIN($E3424,123)-117)))*1,0))</f>
        <v>27406653</v>
      </c>
      <c r="AG3424" s="11">
        <f>$E3424+27</f>
        <v>131</v>
      </c>
      <c r="AH3424" s="12">
        <f>IF($J3424=0,0,ROUND(MAX($J3424*1.4*1.5*1.6*1.6*2.2*2.715*2.6*1.4*1.4*1.5*1.5*3.2,60500000000*(1.654288^(MIN($E3424,123)-117)))*1,0))</f>
        <v>87058428</v>
      </c>
    </row>
    <row r="3425" ht="28" customHeight="1" spans="1:34" x14ac:dyDescent="0.25">
      <c r="A3425">
        <v>3435</v>
      </c>
      <c r="B3425" t="s">
        <v>541</v>
      </c>
      <c r="C3425" s="10" t="s">
        <v>1785</v>
      </c>
      <c r="D3425" t="s">
        <v>40</v>
      </c>
      <c r="E3425">
        <v>104</v>
      </c>
      <c r="F3425" t="s">
        <v>54</v>
      </c>
      <c r="G3425" t="s">
        <v>472</v>
      </c>
      <c r="H3425">
        <v>24</v>
      </c>
      <c r="I3425" s="11">
        <f>$E3425+0</f>
        <v>104</v>
      </c>
      <c r="J3425" s="12">
        <v>72400</v>
      </c>
      <c r="K3425" s="13">
        <f>$E3425+1</f>
        <v>105</v>
      </c>
      <c r="L3425" s="14">
        <f>IF($J3425=0,0,ROUND(MAX($J3425*1.4,1620000*(1.497923^(MIN($E3425,123)-117)))*1,0))</f>
        <v>101360</v>
      </c>
      <c r="M3425" s="11">
        <f>$E3425+2</f>
        <v>106</v>
      </c>
      <c r="N3425" s="12">
        <f>IF($J3425=0,0,ROUND(MAX($J3425*1.4*1.5,2190000*(1.580994^(MIN($E3425,123)-117)))*1,0))</f>
        <v>152040</v>
      </c>
      <c r="O3425" s="13">
        <f>$E3425+4</f>
        <v>108</v>
      </c>
      <c r="P3425" s="14">
        <f>IF($J3425=0,0,ROUND(MAX($J3425*1.4*1.5*1.6,3500000*(1.57975^(MIN($E3425,123)-117)))*1,0))</f>
        <v>243264</v>
      </c>
      <c r="Q3425" s="11">
        <f>$E3425+6</f>
        <v>110</v>
      </c>
      <c r="R3425" s="12">
        <f>IF($J3425=0,0,ROUND(MAX($J3425*1.4*1.5*1.6*1.6,13100000*(1.429962^(MIN($E3425,123)-117)))*1,0))</f>
        <v>389222</v>
      </c>
      <c r="S3425" s="13">
        <f>$E3425+8</f>
        <v>112</v>
      </c>
      <c r="T3425" s="14">
        <f>IF($J3425=0,0,ROUND(MAX($J3425*1.4*1.5*1.6*1.6*2.2,42600000*(1.576904^(MIN($E3425,123)-117)))*1,0))</f>
        <v>856289</v>
      </c>
      <c r="U3425" s="11">
        <f>$E3425+11</f>
        <v>115</v>
      </c>
      <c r="V3425" s="12">
        <f>IF($J3425=0,0,ROUND(MAX($J3425*1.4*1.5*1.6*1.6*2.2*2.715,354000000*(1.642074^(MIN($E3425,123)-117)))*1,0))</f>
        <v>2324825</v>
      </c>
      <c r="W3425" s="13">
        <f>$E3425+15</f>
        <v>119</v>
      </c>
      <c r="X3425" s="14">
        <f>IF($J3425=0,0,ROUND(MAX($J3425*1.4*1.5*1.6*1.6*2.2*2.715*2.6,3540000000*(1.579646^(MIN($E3425,123)-117)))*1,0))</f>
        <v>9283810</v>
      </c>
      <c r="Y3425" s="11">
        <f>$E3425+17</f>
        <v>121</v>
      </c>
      <c r="Z3425" s="12">
        <f>IF($J3425=0,0,ROUND(MAX($J3425*1.4*1.5*1.6*1.6*2.2*2.715*2.6*1.4,6020000000*(1.651178^(MIN($E3425,123)-117)))*1,0))</f>
        <v>8877197</v>
      </c>
      <c r="AA3425" s="13">
        <f>$E3425+19</f>
        <v>123</v>
      </c>
      <c r="AB3425" s="14">
        <f>IF($J3425=0,0,ROUND(MAX($J3425*1.4*1.5*1.6*1.6*2.2*2.715*2.6*1.4*1.4,8430000000*(1.651435^(MIN($E3425,123)-117)))*1,0))</f>
        <v>12405900</v>
      </c>
      <c r="AC3425" s="11">
        <f>$E3425+21</f>
        <v>125</v>
      </c>
      <c r="AD3425" s="12">
        <f>IF($J3425=0,0,ROUND(MAX($J3425*1.4*1.5*1.6*1.6*2.2*2.715*2.6*1.4*1.4*1.5,12600000000*(1.652953^(MIN($E3425,123)-117)))*1,0))</f>
        <v>18322468</v>
      </c>
      <c r="AE3425" s="13">
        <f>$E3425+24</f>
        <v>128</v>
      </c>
      <c r="AF3425" s="14">
        <f>IF($J3425=0,0,ROUND(MAX($J3425*1.4*1.5*1.6*1.6*2.2*2.715*2.6*1.4*1.4*1.5*1.5,18900000000*(1.65331^(MIN($E3425,123)-117)))*1,0))</f>
        <v>27406653</v>
      </c>
      <c r="AG3425" s="11">
        <f>$E3425+27</f>
        <v>131</v>
      </c>
      <c r="AH3425" s="12">
        <f>IF($J3425=0,0,ROUND(MAX($J3425*1.4*1.5*1.6*1.6*2.2*2.715*2.6*1.4*1.4*1.5*1.5*3.2,60500000000*(1.654288^(MIN($E3425,123)-117)))*1,0))</f>
        <v>87058428</v>
      </c>
    </row>
    <row r="3426" ht="28" customHeight="1" spans="1:34" x14ac:dyDescent="0.25">
      <c r="A3426">
        <v>3436</v>
      </c>
      <c r="B3426" t="s">
        <v>584</v>
      </c>
      <c r="C3426" s="10" t="s">
        <v>1785</v>
      </c>
      <c r="D3426" t="s">
        <v>64</v>
      </c>
      <c r="E3426">
        <v>104</v>
      </c>
      <c r="F3426" t="s">
        <v>62</v>
      </c>
      <c r="G3426" t="s">
        <v>133</v>
      </c>
      <c r="H3426">
        <v>23</v>
      </c>
      <c r="I3426" s="11">
        <f>$E3426+0</f>
        <v>104</v>
      </c>
      <c r="J3426" s="12">
        <v>10000</v>
      </c>
      <c r="K3426" s="13">
        <f>$E3426+1</f>
        <v>105</v>
      </c>
      <c r="L3426" s="14">
        <f>IF($J3426=0,0,ROUND(MAX($J3426*1.4,1620000*(1.497923^(MIN($E3426,123)-117)))*1,0))</f>
        <v>14000</v>
      </c>
      <c r="M3426" s="11">
        <f>$E3426+2</f>
        <v>106</v>
      </c>
      <c r="N3426" s="12">
        <f>IF($J3426=0,0,ROUND(MAX($J3426*1.4*1.5,2190000*(1.580994^(MIN($E3426,123)-117)))*1,0))</f>
        <v>21000</v>
      </c>
      <c r="O3426" s="13">
        <f>$E3426+4</f>
        <v>108</v>
      </c>
      <c r="P3426" s="14">
        <f>IF($J3426=0,0,ROUND(MAX($J3426*1.4*1.5*1.6,3500000*(1.57975^(MIN($E3426,123)-117)))*1,0))</f>
        <v>33600</v>
      </c>
      <c r="Q3426" s="11">
        <f>$E3426+6</f>
        <v>110</v>
      </c>
      <c r="R3426" s="12">
        <f>IF($J3426=0,0,ROUND(MAX($J3426*1.4*1.5*1.6*1.6,13100000*(1.429962^(MIN($E3426,123)-117)))*1,0))</f>
        <v>125329</v>
      </c>
      <c r="S3426" s="13">
        <f>$E3426+8</f>
        <v>112</v>
      </c>
      <c r="T3426" s="14">
        <f>IF($J3426=0,0,ROUND(MAX($J3426*1.4*1.5*1.6*1.6*2.2,42600000*(1.576904^(MIN($E3426,123)-117)))*1,0))</f>
        <v>118272</v>
      </c>
      <c r="U3426" s="11">
        <f>$E3426+11</f>
        <v>115</v>
      </c>
      <c r="V3426" s="12">
        <f>IF($J3426=0,0,ROUND(MAX($J3426*1.4*1.5*1.6*1.6*2.2*2.715,354000000*(1.642074^(MIN($E3426,123)-117)))*1,0))</f>
        <v>560916</v>
      </c>
      <c r="W3426" s="13">
        <f>$E3426+15</f>
        <v>119</v>
      </c>
      <c r="X3426" s="14">
        <f>IF($J3426=0,0,ROUND(MAX($J3426*1.4*1.5*1.6*1.6*2.2*2.715*2.6,3540000000*(1.579646^(MIN($E3426,123)-117)))*1,0))</f>
        <v>9283810</v>
      </c>
      <c r="Y3426" s="11">
        <f>$E3426+17</f>
        <v>121</v>
      </c>
      <c r="Z3426" s="12">
        <f>IF($J3426=0,0,ROUND(MAX($J3426*1.4*1.5*1.6*1.6*2.2*2.715*2.6*1.4,6020000000*(1.651178^(MIN($E3426,123)-117)))*1,0))</f>
        <v>8877197</v>
      </c>
      <c r="AA3426" s="13">
        <f>$E3426+19</f>
        <v>123</v>
      </c>
      <c r="AB3426" s="14">
        <f>IF($J3426=0,0,ROUND(MAX($J3426*1.4*1.5*1.6*1.6*2.2*2.715*2.6*1.4*1.4,8430000000*(1.651435^(MIN($E3426,123)-117)))*1,0))</f>
        <v>12405900</v>
      </c>
      <c r="AC3426" s="11">
        <f>$E3426+21</f>
        <v>125</v>
      </c>
      <c r="AD3426" s="12">
        <f>IF($J3426=0,0,ROUND(MAX($J3426*1.4*1.5*1.6*1.6*2.2*2.715*2.6*1.4*1.4*1.5,12600000000*(1.652953^(MIN($E3426,123)-117)))*1,0))</f>
        <v>18322468</v>
      </c>
      <c r="AE3426" s="13">
        <f>$E3426+24</f>
        <v>128</v>
      </c>
      <c r="AF3426" s="14">
        <f>IF($J3426=0,0,ROUND(MAX($J3426*1.4*1.5*1.6*1.6*2.2*2.715*2.6*1.4*1.4*1.5*1.5,18900000000*(1.65331^(MIN($E3426,123)-117)))*1,0))</f>
        <v>27406653</v>
      </c>
      <c r="AG3426" s="11">
        <f>$E3426+27</f>
        <v>131</v>
      </c>
      <c r="AH3426" s="12">
        <f>IF($J3426=0,0,ROUND(MAX($J3426*1.4*1.5*1.6*1.6*2.2*2.715*2.6*1.4*1.4*1.5*1.5*3.2,60500000000*(1.654288^(MIN($E3426,123)-117)))*1,0))</f>
        <v>87058428</v>
      </c>
    </row>
    <row r="3427" ht="28" customHeight="1" spans="1:34" x14ac:dyDescent="0.25">
      <c r="A3427">
        <v>3437</v>
      </c>
      <c r="B3427" t="s">
        <v>1756</v>
      </c>
      <c r="C3427" s="10" t="s">
        <v>1785</v>
      </c>
      <c r="D3427" t="s">
        <v>40</v>
      </c>
      <c r="E3427">
        <v>104</v>
      </c>
      <c r="F3427" t="s">
        <v>144</v>
      </c>
      <c r="G3427" t="s">
        <v>124</v>
      </c>
      <c r="H3427">
        <v>23</v>
      </c>
      <c r="I3427" s="11">
        <f>$E3427+0</f>
        <v>104</v>
      </c>
      <c r="J3427" s="12">
        <v>37700</v>
      </c>
      <c r="K3427" s="13">
        <f>$E3427+1</f>
        <v>105</v>
      </c>
      <c r="L3427" s="14">
        <f>IF($J3427=0,0,ROUND(MAX($J3427*1.4,1620000*(1.497923^(MIN($E3427,123)-117)))*1,0))</f>
        <v>52780</v>
      </c>
      <c r="M3427" s="11">
        <f>$E3427+2</f>
        <v>106</v>
      </c>
      <c r="N3427" s="12">
        <f>IF($J3427=0,0,ROUND(MAX($J3427*1.4*1.5,2190000*(1.580994^(MIN($E3427,123)-117)))*1,0))</f>
        <v>79170</v>
      </c>
      <c r="O3427" s="13">
        <f>$E3427+4</f>
        <v>108</v>
      </c>
      <c r="P3427" s="14">
        <f>IF($J3427=0,0,ROUND(MAX($J3427*1.4*1.5*1.6,3500000*(1.57975^(MIN($E3427,123)-117)))*1,0))</f>
        <v>126672</v>
      </c>
      <c r="Q3427" s="11">
        <f>$E3427+6</f>
        <v>110</v>
      </c>
      <c r="R3427" s="12">
        <f>IF($J3427=0,0,ROUND(MAX($J3427*1.4*1.5*1.6*1.6,13100000*(1.429962^(MIN($E3427,123)-117)))*1,0))</f>
        <v>202675</v>
      </c>
      <c r="S3427" s="13">
        <f>$E3427+8</f>
        <v>112</v>
      </c>
      <c r="T3427" s="14">
        <f>IF($J3427=0,0,ROUND(MAX($J3427*1.4*1.5*1.6*1.6*2.2,42600000*(1.576904^(MIN($E3427,123)-117)))*1,0))</f>
        <v>445885</v>
      </c>
      <c r="U3427" s="11">
        <f>$E3427+11</f>
        <v>115</v>
      </c>
      <c r="V3427" s="12">
        <f>IF($J3427=0,0,ROUND(MAX($J3427*1.4*1.5*1.6*1.6*2.2*2.715,354000000*(1.642074^(MIN($E3427,123)-117)))*1,0))</f>
        <v>1210579</v>
      </c>
      <c r="W3427" s="13">
        <f>$E3427+15</f>
        <v>119</v>
      </c>
      <c r="X3427" s="14">
        <f>IF($J3427=0,0,ROUND(MAX($J3427*1.4*1.5*1.6*1.6*2.2*2.715*2.6,3540000000*(1.579646^(MIN($E3427,123)-117)))*1,0))</f>
        <v>9283810</v>
      </c>
      <c r="Y3427" s="11">
        <f>$E3427+17</f>
        <v>121</v>
      </c>
      <c r="Z3427" s="12">
        <f>IF($J3427=0,0,ROUND(MAX($J3427*1.4*1.5*1.6*1.6*2.2*2.715*2.6*1.4,6020000000*(1.651178^(MIN($E3427,123)-117)))*1,0))</f>
        <v>8877197</v>
      </c>
      <c r="AA3427" s="13">
        <f>$E3427+19</f>
        <v>123</v>
      </c>
      <c r="AB3427" s="14">
        <f>IF($J3427=0,0,ROUND(MAX($J3427*1.4*1.5*1.6*1.6*2.2*2.715*2.6*1.4*1.4,8430000000*(1.651435^(MIN($E3427,123)-117)))*1,0))</f>
        <v>12405900</v>
      </c>
      <c r="AC3427" s="11">
        <f>$E3427+21</f>
        <v>125</v>
      </c>
      <c r="AD3427" s="12">
        <f>IF($J3427=0,0,ROUND(MAX($J3427*1.4*1.5*1.6*1.6*2.2*2.715*2.6*1.4*1.4*1.5,12600000000*(1.652953^(MIN($E3427,123)-117)))*1,0))</f>
        <v>18322468</v>
      </c>
      <c r="AE3427" s="13">
        <f>$E3427+24</f>
        <v>128</v>
      </c>
      <c r="AF3427" s="14">
        <f>IF($J3427=0,0,ROUND(MAX($J3427*1.4*1.5*1.6*1.6*2.2*2.715*2.6*1.4*1.4*1.5*1.5,18900000000*(1.65331^(MIN($E3427,123)-117)))*1,0))</f>
        <v>27406653</v>
      </c>
      <c r="AG3427" s="11">
        <f>$E3427+27</f>
        <v>131</v>
      </c>
      <c r="AH3427" s="12">
        <f>IF($J3427=0,0,ROUND(MAX($J3427*1.4*1.5*1.6*1.6*2.2*2.715*2.6*1.4*1.4*1.5*1.5*3.2,60500000000*(1.654288^(MIN($E3427,123)-117)))*1,0))</f>
        <v>87058428</v>
      </c>
    </row>
    <row r="3428" ht="28" customHeight="1" spans="1:34" x14ac:dyDescent="0.25">
      <c r="A3428">
        <v>3438</v>
      </c>
      <c r="B3428" t="s">
        <v>1237</v>
      </c>
      <c r="C3428" s="10" t="s">
        <v>1785</v>
      </c>
      <c r="D3428" t="s">
        <v>165</v>
      </c>
      <c r="E3428">
        <v>104</v>
      </c>
      <c r="F3428" t="s">
        <v>120</v>
      </c>
      <c r="G3428" t="s">
        <v>1238</v>
      </c>
      <c r="H3428">
        <v>23</v>
      </c>
      <c r="I3428" s="11">
        <f>$E3428+0</f>
        <v>104</v>
      </c>
      <c r="J3428" s="12">
        <v>17400</v>
      </c>
      <c r="K3428" s="13">
        <f>$E3428+1</f>
        <v>105</v>
      </c>
      <c r="L3428" s="14">
        <f>IF($J3428=0,0,ROUND(MAX($J3428*1.4,1620000*(1.497923^(MIN($E3428,123)-117)))*1,0))</f>
        <v>24360</v>
      </c>
      <c r="M3428" s="11">
        <f>$E3428+2</f>
        <v>106</v>
      </c>
      <c r="N3428" s="12">
        <f>IF($J3428=0,0,ROUND(MAX($J3428*1.4*1.5,2190000*(1.580994^(MIN($E3428,123)-117)))*1,0))</f>
        <v>36540</v>
      </c>
      <c r="O3428" s="13">
        <f>$E3428+4</f>
        <v>108</v>
      </c>
      <c r="P3428" s="14">
        <f>IF($J3428=0,0,ROUND(MAX($J3428*1.4*1.5*1.6,3500000*(1.57975^(MIN($E3428,123)-117)))*1,0))</f>
        <v>58464</v>
      </c>
      <c r="Q3428" s="11">
        <f>$E3428+6</f>
        <v>110</v>
      </c>
      <c r="R3428" s="12">
        <f>IF($J3428=0,0,ROUND(MAX($J3428*1.4*1.5*1.6*1.6,13100000*(1.429962^(MIN($E3428,123)-117)))*1,0))</f>
        <v>125329</v>
      </c>
      <c r="S3428" s="13">
        <f>$E3428+8</f>
        <v>112</v>
      </c>
      <c r="T3428" s="14">
        <f>IF($J3428=0,0,ROUND(MAX($J3428*1.4*1.5*1.6*1.6*2.2,42600000*(1.576904^(MIN($E3428,123)-117)))*1,0))</f>
        <v>205793</v>
      </c>
      <c r="U3428" s="11">
        <f>$E3428+11</f>
        <v>115</v>
      </c>
      <c r="V3428" s="12">
        <f>IF($J3428=0,0,ROUND(MAX($J3428*1.4*1.5*1.6*1.6*2.2*2.715,354000000*(1.642074^(MIN($E3428,123)-117)))*1,0))</f>
        <v>560916</v>
      </c>
      <c r="W3428" s="13">
        <f>$E3428+15</f>
        <v>119</v>
      </c>
      <c r="X3428" s="14">
        <f>IF($J3428=0,0,ROUND(MAX($J3428*1.4*1.5*1.6*1.6*2.2*2.715*2.6,3540000000*(1.579646^(MIN($E3428,123)-117)))*1,0))</f>
        <v>9283810</v>
      </c>
      <c r="Y3428" s="11">
        <f>$E3428+17</f>
        <v>121</v>
      </c>
      <c r="Z3428" s="12">
        <f>IF($J3428=0,0,ROUND(MAX($J3428*1.4*1.5*1.6*1.6*2.2*2.715*2.6*1.4,6020000000*(1.651178^(MIN($E3428,123)-117)))*1,0))</f>
        <v>8877197</v>
      </c>
      <c r="AA3428" s="13">
        <f>$E3428+19</f>
        <v>123</v>
      </c>
      <c r="AB3428" s="14">
        <f>IF($J3428=0,0,ROUND(MAX($J3428*1.4*1.5*1.6*1.6*2.2*2.715*2.6*1.4*1.4,8430000000*(1.651435^(MIN($E3428,123)-117)))*1,0))</f>
        <v>12405900</v>
      </c>
      <c r="AC3428" s="11">
        <f>$E3428+21</f>
        <v>125</v>
      </c>
      <c r="AD3428" s="12">
        <f>IF($J3428=0,0,ROUND(MAX($J3428*1.4*1.5*1.6*1.6*2.2*2.715*2.6*1.4*1.4*1.5,12600000000*(1.652953^(MIN($E3428,123)-117)))*1,0))</f>
        <v>18322468</v>
      </c>
      <c r="AE3428" s="13">
        <f>$E3428+24</f>
        <v>128</v>
      </c>
      <c r="AF3428" s="14">
        <f>IF($J3428=0,0,ROUND(MAX($J3428*1.4*1.5*1.6*1.6*2.2*2.715*2.6*1.4*1.4*1.5*1.5,18900000000*(1.65331^(MIN($E3428,123)-117)))*1,0))</f>
        <v>27406653</v>
      </c>
      <c r="AG3428" s="11">
        <f>$E3428+27</f>
        <v>131</v>
      </c>
      <c r="AH3428" s="12">
        <f>IF($J3428=0,0,ROUND(MAX($J3428*1.4*1.5*1.6*1.6*2.2*2.715*2.6*1.4*1.4*1.5*1.5*3.2,60500000000*(1.654288^(MIN($E3428,123)-117)))*1,0))</f>
        <v>87058428</v>
      </c>
    </row>
    <row r="3429" ht="28" customHeight="1" spans="1:34" x14ac:dyDescent="0.25">
      <c r="A3429">
        <v>3439</v>
      </c>
      <c r="B3429" t="s">
        <v>835</v>
      </c>
      <c r="C3429" s="10" t="s">
        <v>1785</v>
      </c>
      <c r="D3429" t="s">
        <v>79</v>
      </c>
      <c r="E3429">
        <v>104</v>
      </c>
      <c r="F3429" t="s">
        <v>56</v>
      </c>
      <c r="G3429" t="s">
        <v>392</v>
      </c>
      <c r="H3429">
        <v>23</v>
      </c>
      <c r="I3429" s="11">
        <f>$E3429+0</f>
        <v>104</v>
      </c>
      <c r="J3429" s="12">
        <v>44200</v>
      </c>
      <c r="K3429" s="13">
        <f>$E3429+1</f>
        <v>105</v>
      </c>
      <c r="L3429" s="14">
        <f>IF($J3429=0,0,ROUND(MAX($J3429*1.4,1620000*(1.497923^(MIN($E3429,123)-117)))*1,0))</f>
        <v>61880</v>
      </c>
      <c r="M3429" s="11">
        <f>$E3429+2</f>
        <v>106</v>
      </c>
      <c r="N3429" s="12">
        <f>IF($J3429=0,0,ROUND(MAX($J3429*1.4*1.5,2190000*(1.580994^(MIN($E3429,123)-117)))*1,0))</f>
        <v>92820</v>
      </c>
      <c r="O3429" s="13">
        <f>$E3429+4</f>
        <v>108</v>
      </c>
      <c r="P3429" s="14">
        <f>IF($J3429=0,0,ROUND(MAX($J3429*1.4*1.5*1.6,3500000*(1.57975^(MIN($E3429,123)-117)))*1,0))</f>
        <v>148512</v>
      </c>
      <c r="Q3429" s="11">
        <f>$E3429+6</f>
        <v>110</v>
      </c>
      <c r="R3429" s="12">
        <f>IF($J3429=0,0,ROUND(MAX($J3429*1.4*1.5*1.6*1.6,13100000*(1.429962^(MIN($E3429,123)-117)))*1,0))</f>
        <v>237619</v>
      </c>
      <c r="S3429" s="13">
        <f>$E3429+8</f>
        <v>112</v>
      </c>
      <c r="T3429" s="14">
        <f>IF($J3429=0,0,ROUND(MAX($J3429*1.4*1.5*1.6*1.6*2.2,42600000*(1.576904^(MIN($E3429,123)-117)))*1,0))</f>
        <v>522762</v>
      </c>
      <c r="U3429" s="11">
        <f>$E3429+11</f>
        <v>115</v>
      </c>
      <c r="V3429" s="12">
        <f>IF($J3429=0,0,ROUND(MAX($J3429*1.4*1.5*1.6*1.6*2.2*2.715,354000000*(1.642074^(MIN($E3429,123)-117)))*1,0))</f>
        <v>1419299</v>
      </c>
      <c r="W3429" s="13">
        <f>$E3429+15</f>
        <v>119</v>
      </c>
      <c r="X3429" s="14">
        <f>IF($J3429=0,0,ROUND(MAX($J3429*1.4*1.5*1.6*1.6*2.2*2.715*2.6,3540000000*(1.579646^(MIN($E3429,123)-117)))*1,0))</f>
        <v>9283810</v>
      </c>
      <c r="Y3429" s="11">
        <f>$E3429+17</f>
        <v>121</v>
      </c>
      <c r="Z3429" s="12">
        <f>IF($J3429=0,0,ROUND(MAX($J3429*1.4*1.5*1.6*1.6*2.2*2.715*2.6*1.4,6020000000*(1.651178^(MIN($E3429,123)-117)))*1,0))</f>
        <v>8877197</v>
      </c>
      <c r="AA3429" s="13">
        <f>$E3429+19</f>
        <v>123</v>
      </c>
      <c r="AB3429" s="14">
        <f>IF($J3429=0,0,ROUND(MAX($J3429*1.4*1.5*1.6*1.6*2.2*2.715*2.6*1.4*1.4,8430000000*(1.651435^(MIN($E3429,123)-117)))*1,0))</f>
        <v>12405900</v>
      </c>
      <c r="AC3429" s="11">
        <f>$E3429+21</f>
        <v>125</v>
      </c>
      <c r="AD3429" s="12">
        <f>IF($J3429=0,0,ROUND(MAX($J3429*1.4*1.5*1.6*1.6*2.2*2.715*2.6*1.4*1.4*1.5,12600000000*(1.652953^(MIN($E3429,123)-117)))*1,0))</f>
        <v>18322468</v>
      </c>
      <c r="AE3429" s="13">
        <f>$E3429+24</f>
        <v>128</v>
      </c>
      <c r="AF3429" s="14">
        <f>IF($J3429=0,0,ROUND(MAX($J3429*1.4*1.5*1.6*1.6*2.2*2.715*2.6*1.4*1.4*1.5*1.5,18900000000*(1.65331^(MIN($E3429,123)-117)))*1,0))</f>
        <v>27406653</v>
      </c>
      <c r="AG3429" s="11">
        <f>$E3429+27</f>
        <v>131</v>
      </c>
      <c r="AH3429" s="12">
        <f>IF($J3429=0,0,ROUND(MAX($J3429*1.4*1.5*1.6*1.6*2.2*2.715*2.6*1.4*1.4*1.5*1.5*3.2,60500000000*(1.654288^(MIN($E3429,123)-117)))*1,0))</f>
        <v>87058428</v>
      </c>
    </row>
    <row r="3430" ht="28" customHeight="1" spans="1:34" x14ac:dyDescent="0.25">
      <c r="A3430">
        <v>3440</v>
      </c>
      <c r="B3430" t="s">
        <v>635</v>
      </c>
      <c r="C3430" s="10" t="s">
        <v>1785</v>
      </c>
      <c r="D3430" t="s">
        <v>40</v>
      </c>
      <c r="E3430">
        <v>104</v>
      </c>
      <c r="F3430" t="s">
        <v>310</v>
      </c>
      <c r="G3430" t="s">
        <v>27</v>
      </c>
      <c r="H3430">
        <v>23</v>
      </c>
      <c r="I3430" s="11">
        <f>$E3430+0</f>
        <v>104</v>
      </c>
      <c r="J3430" s="12">
        <v>35400</v>
      </c>
      <c r="K3430" s="13">
        <f>$E3430+1</f>
        <v>105</v>
      </c>
      <c r="L3430" s="14">
        <f>IF($J3430=0,0,ROUND(MAX($J3430*1.4,1620000*(1.497923^(MIN($E3430,123)-117)))*1,0))</f>
        <v>49560</v>
      </c>
      <c r="M3430" s="11">
        <f>$E3430+2</f>
        <v>106</v>
      </c>
      <c r="N3430" s="12">
        <f>IF($J3430=0,0,ROUND(MAX($J3430*1.4*1.5,2190000*(1.580994^(MIN($E3430,123)-117)))*1,0))</f>
        <v>74340</v>
      </c>
      <c r="O3430" s="13">
        <f>$E3430+4</f>
        <v>108</v>
      </c>
      <c r="P3430" s="14">
        <f>IF($J3430=0,0,ROUND(MAX($J3430*1.4*1.5*1.6,3500000*(1.57975^(MIN($E3430,123)-117)))*1,0))</f>
        <v>118944</v>
      </c>
      <c r="Q3430" s="11">
        <f>$E3430+6</f>
        <v>110</v>
      </c>
      <c r="R3430" s="12">
        <f>IF($J3430=0,0,ROUND(MAX($J3430*1.4*1.5*1.6*1.6,13100000*(1.429962^(MIN($E3430,123)-117)))*1,0))</f>
        <v>190310</v>
      </c>
      <c r="S3430" s="13">
        <f>$E3430+8</f>
        <v>112</v>
      </c>
      <c r="T3430" s="14">
        <f>IF($J3430=0,0,ROUND(MAX($J3430*1.4*1.5*1.6*1.6*2.2,42600000*(1.576904^(MIN($E3430,123)-117)))*1,0))</f>
        <v>418683</v>
      </c>
      <c r="U3430" s="11">
        <f>$E3430+11</f>
        <v>115</v>
      </c>
      <c r="V3430" s="12">
        <f>IF($J3430=0,0,ROUND(MAX($J3430*1.4*1.5*1.6*1.6*2.2*2.715,354000000*(1.642074^(MIN($E3430,123)-117)))*1,0))</f>
        <v>1136724</v>
      </c>
      <c r="W3430" s="13">
        <f>$E3430+15</f>
        <v>119</v>
      </c>
      <c r="X3430" s="14">
        <f>IF($J3430=0,0,ROUND(MAX($J3430*1.4*1.5*1.6*1.6*2.2*2.715*2.6,3540000000*(1.579646^(MIN($E3430,123)-117)))*1,0))</f>
        <v>9283810</v>
      </c>
      <c r="Y3430" s="11">
        <f>$E3430+17</f>
        <v>121</v>
      </c>
      <c r="Z3430" s="12">
        <f>IF($J3430=0,0,ROUND(MAX($J3430*1.4*1.5*1.6*1.6*2.2*2.715*2.6*1.4,6020000000*(1.651178^(MIN($E3430,123)-117)))*1,0))</f>
        <v>8877197</v>
      </c>
      <c r="AA3430" s="13">
        <f>$E3430+19</f>
        <v>123</v>
      </c>
      <c r="AB3430" s="14">
        <f>IF($J3430=0,0,ROUND(MAX($J3430*1.4*1.5*1.6*1.6*2.2*2.715*2.6*1.4*1.4,8430000000*(1.651435^(MIN($E3430,123)-117)))*1,0))</f>
        <v>12405900</v>
      </c>
      <c r="AC3430" s="11">
        <f>$E3430+21</f>
        <v>125</v>
      </c>
      <c r="AD3430" s="12">
        <f>IF($J3430=0,0,ROUND(MAX($J3430*1.4*1.5*1.6*1.6*2.2*2.715*2.6*1.4*1.4*1.5,12600000000*(1.652953^(MIN($E3430,123)-117)))*1,0))</f>
        <v>18322468</v>
      </c>
      <c r="AE3430" s="13">
        <f>$E3430+24</f>
        <v>128</v>
      </c>
      <c r="AF3430" s="14">
        <f>IF($J3430=0,0,ROUND(MAX($J3430*1.4*1.5*1.6*1.6*2.2*2.715*2.6*1.4*1.4*1.5*1.5,18900000000*(1.65331^(MIN($E3430,123)-117)))*1,0))</f>
        <v>27406653</v>
      </c>
      <c r="AG3430" s="11">
        <f>$E3430+27</f>
        <v>131</v>
      </c>
      <c r="AH3430" s="12">
        <f>IF($J3430=0,0,ROUND(MAX($J3430*1.4*1.5*1.6*1.6*2.2*2.715*2.6*1.4*1.4*1.5*1.5*3.2,60500000000*(1.654288^(MIN($E3430,123)-117)))*1,0))</f>
        <v>87058428</v>
      </c>
    </row>
    <row r="3431" ht="28" customHeight="1" spans="1:34" x14ac:dyDescent="0.25">
      <c r="A3431">
        <v>3441</v>
      </c>
      <c r="B3431" t="s">
        <v>740</v>
      </c>
      <c r="C3431" s="10" t="s">
        <v>1785</v>
      </c>
      <c r="D3431" t="s">
        <v>102</v>
      </c>
      <c r="E3431">
        <v>104</v>
      </c>
      <c r="F3431" t="s">
        <v>62</v>
      </c>
      <c r="G3431" t="s">
        <v>562</v>
      </c>
      <c r="H3431">
        <v>22</v>
      </c>
      <c r="I3431" s="11">
        <f>$E3431+0</f>
        <v>104</v>
      </c>
      <c r="J3431" s="12">
        <v>89500</v>
      </c>
      <c r="K3431" s="13">
        <f>$E3431+1</f>
        <v>105</v>
      </c>
      <c r="L3431" s="14">
        <f>IF($J3431=0,0,ROUND(MAX($J3431*1.4,1620000*(1.497923^(MIN($E3431,123)-117)))*1,0))</f>
        <v>125300</v>
      </c>
      <c r="M3431" s="11">
        <f>$E3431+2</f>
        <v>106</v>
      </c>
      <c r="N3431" s="12">
        <f>IF($J3431=0,0,ROUND(MAX($J3431*1.4*1.5,2190000*(1.580994^(MIN($E3431,123)-117)))*1,0))</f>
        <v>187950</v>
      </c>
      <c r="O3431" s="13">
        <f>$E3431+4</f>
        <v>108</v>
      </c>
      <c r="P3431" s="14">
        <f>IF($J3431=0,0,ROUND(MAX($J3431*1.4*1.5*1.6,3500000*(1.57975^(MIN($E3431,123)-117)))*1,0))</f>
        <v>300720</v>
      </c>
      <c r="Q3431" s="11">
        <f>$E3431+6</f>
        <v>110</v>
      </c>
      <c r="R3431" s="12">
        <f>IF($J3431=0,0,ROUND(MAX($J3431*1.4*1.5*1.6*1.6,13100000*(1.429962^(MIN($E3431,123)-117)))*1,0))</f>
        <v>481152</v>
      </c>
      <c r="S3431" s="13">
        <f>$E3431+8</f>
        <v>112</v>
      </c>
      <c r="T3431" s="14">
        <f>IF($J3431=0,0,ROUND(MAX($J3431*1.4*1.5*1.6*1.6*2.2,42600000*(1.576904^(MIN($E3431,123)-117)))*1,0))</f>
        <v>1058534</v>
      </c>
      <c r="U3431" s="11">
        <f>$E3431+11</f>
        <v>115</v>
      </c>
      <c r="V3431" s="12">
        <f>IF($J3431=0,0,ROUND(MAX($J3431*1.4*1.5*1.6*1.6*2.2*2.715,354000000*(1.642074^(MIN($E3431,123)-117)))*1,0))</f>
        <v>2873921</v>
      </c>
      <c r="W3431" s="13">
        <f>$E3431+15</f>
        <v>119</v>
      </c>
      <c r="X3431" s="14">
        <f>IF($J3431=0,0,ROUND(MAX($J3431*1.4*1.5*1.6*1.6*2.2*2.715*2.6,3540000000*(1.579646^(MIN($E3431,123)-117)))*1,0))</f>
        <v>9283810</v>
      </c>
      <c r="Y3431" s="11">
        <f>$E3431+17</f>
        <v>121</v>
      </c>
      <c r="Z3431" s="12">
        <f>IF($J3431=0,0,ROUND(MAX($J3431*1.4*1.5*1.6*1.6*2.2*2.715*2.6*1.4,6020000000*(1.651178^(MIN($E3431,123)-117)))*1,0))</f>
        <v>10461072</v>
      </c>
      <c r="AA3431" s="13">
        <f>$E3431+19</f>
        <v>123</v>
      </c>
      <c r="AB3431" s="14">
        <f>IF($J3431=0,0,ROUND(MAX($J3431*1.4*1.5*1.6*1.6*2.2*2.715*2.6*1.4*1.4,8430000000*(1.651435^(MIN($E3431,123)-117)))*1,0))</f>
        <v>14645501</v>
      </c>
      <c r="AC3431" s="11">
        <f>$E3431+21</f>
        <v>125</v>
      </c>
      <c r="AD3431" s="12">
        <f>IF($J3431=0,0,ROUND(MAX($J3431*1.4*1.5*1.6*1.6*2.2*2.715*2.6*1.4*1.4*1.5,12600000000*(1.652953^(MIN($E3431,123)-117)))*1,0))</f>
        <v>21968251</v>
      </c>
      <c r="AE3431" s="13">
        <f>$E3431+24</f>
        <v>128</v>
      </c>
      <c r="AF3431" s="14">
        <f>IF($J3431=0,0,ROUND(MAX($J3431*1.4*1.5*1.6*1.6*2.2*2.715*2.6*1.4*1.4*1.5*1.5,18900000000*(1.65331^(MIN($E3431,123)-117)))*1,0))</f>
        <v>32952377</v>
      </c>
      <c r="AG3431" s="11">
        <f>$E3431+27</f>
        <v>131</v>
      </c>
      <c r="AH3431" s="12">
        <f>IF($J3431=0,0,ROUND(MAX($J3431*1.4*1.5*1.6*1.6*2.2*2.715*2.6*1.4*1.4*1.5*1.5*3.2,60500000000*(1.654288^(MIN($E3431,123)-117)))*1,0))</f>
        <v>105447606</v>
      </c>
    </row>
    <row r="3432" ht="28" customHeight="1" spans="1:34" x14ac:dyDescent="0.25">
      <c r="A3432">
        <v>3442</v>
      </c>
      <c r="B3432" t="s">
        <v>1629</v>
      </c>
      <c r="C3432" s="10" t="s">
        <v>1785</v>
      </c>
      <c r="D3432" t="s">
        <v>75</v>
      </c>
      <c r="E3432">
        <v>104</v>
      </c>
      <c r="F3432" t="s">
        <v>62</v>
      </c>
      <c r="G3432" t="s">
        <v>27</v>
      </c>
      <c r="H3432">
        <v>22</v>
      </c>
      <c r="I3432" s="11">
        <f>$E3432+0</f>
        <v>104</v>
      </c>
      <c r="J3432" s="12">
        <v>20000</v>
      </c>
      <c r="K3432" s="13">
        <f>$E3432+1</f>
        <v>105</v>
      </c>
      <c r="L3432" s="14">
        <f>IF($J3432=0,0,ROUND(MAX($J3432*1.4,1620000*(1.497923^(MIN($E3432,123)-117)))*1,0))</f>
        <v>28000</v>
      </c>
      <c r="M3432" s="11">
        <f>$E3432+2</f>
        <v>106</v>
      </c>
      <c r="N3432" s="12">
        <f>IF($J3432=0,0,ROUND(MAX($J3432*1.4*1.5,2190000*(1.580994^(MIN($E3432,123)-117)))*1,0))</f>
        <v>42000</v>
      </c>
      <c r="O3432" s="13">
        <f>$E3432+4</f>
        <v>108</v>
      </c>
      <c r="P3432" s="14">
        <f>IF($J3432=0,0,ROUND(MAX($J3432*1.4*1.5*1.6,3500000*(1.57975^(MIN($E3432,123)-117)))*1,0))</f>
        <v>67200</v>
      </c>
      <c r="Q3432" s="11">
        <f>$E3432+6</f>
        <v>110</v>
      </c>
      <c r="R3432" s="12">
        <f>IF($J3432=0,0,ROUND(MAX($J3432*1.4*1.5*1.6*1.6,13100000*(1.429962^(MIN($E3432,123)-117)))*1,0))</f>
        <v>125329</v>
      </c>
      <c r="S3432" s="13">
        <f>$E3432+8</f>
        <v>112</v>
      </c>
      <c r="T3432" s="14">
        <f>IF($J3432=0,0,ROUND(MAX($J3432*1.4*1.5*1.6*1.6*2.2,42600000*(1.576904^(MIN($E3432,123)-117)))*1,0))</f>
        <v>236544</v>
      </c>
      <c r="U3432" s="11">
        <f>$E3432+11</f>
        <v>115</v>
      </c>
      <c r="V3432" s="12">
        <f>IF($J3432=0,0,ROUND(MAX($J3432*1.4*1.5*1.6*1.6*2.2*2.715,354000000*(1.642074^(MIN($E3432,123)-117)))*1,0))</f>
        <v>642217</v>
      </c>
      <c r="W3432" s="13">
        <f>$E3432+15</f>
        <v>119</v>
      </c>
      <c r="X3432" s="14">
        <f>IF($J3432=0,0,ROUND(MAX($J3432*1.4*1.5*1.6*1.6*2.2*2.715*2.6,3540000000*(1.579646^(MIN($E3432,123)-117)))*1,0))</f>
        <v>9283810</v>
      </c>
      <c r="Y3432" s="11">
        <f>$E3432+17</f>
        <v>121</v>
      </c>
      <c r="Z3432" s="12">
        <f>IF($J3432=0,0,ROUND(MAX($J3432*1.4*1.5*1.6*1.6*2.2*2.715*2.6*1.4,6020000000*(1.651178^(MIN($E3432,123)-117)))*1,0))</f>
        <v>8877197</v>
      </c>
      <c r="AA3432" s="13">
        <f>$E3432+19</f>
        <v>123</v>
      </c>
      <c r="AB3432" s="14">
        <f>IF($J3432=0,0,ROUND(MAX($J3432*1.4*1.5*1.6*1.6*2.2*2.715*2.6*1.4*1.4,8430000000*(1.651435^(MIN($E3432,123)-117)))*1,0))</f>
        <v>12405900</v>
      </c>
      <c r="AC3432" s="11">
        <f>$E3432+21</f>
        <v>125</v>
      </c>
      <c r="AD3432" s="12">
        <f>IF($J3432=0,0,ROUND(MAX($J3432*1.4*1.5*1.6*1.6*2.2*2.715*2.6*1.4*1.4*1.5,12600000000*(1.652953^(MIN($E3432,123)-117)))*1,0))</f>
        <v>18322468</v>
      </c>
      <c r="AE3432" s="13">
        <f>$E3432+24</f>
        <v>128</v>
      </c>
      <c r="AF3432" s="14">
        <f>IF($J3432=0,0,ROUND(MAX($J3432*1.4*1.5*1.6*1.6*2.2*2.715*2.6*1.4*1.4*1.5*1.5,18900000000*(1.65331^(MIN($E3432,123)-117)))*1,0))</f>
        <v>27406653</v>
      </c>
      <c r="AG3432" s="11">
        <f>$E3432+27</f>
        <v>131</v>
      </c>
      <c r="AH3432" s="12">
        <f>IF($J3432=0,0,ROUND(MAX($J3432*1.4*1.5*1.6*1.6*2.2*2.715*2.6*1.4*1.4*1.5*1.5*3.2,60500000000*(1.654288^(MIN($E3432,123)-117)))*1,0))</f>
        <v>87058428</v>
      </c>
    </row>
    <row r="3433" ht="28" customHeight="1" spans="1:34" x14ac:dyDescent="0.25">
      <c r="A3433">
        <v>3443</v>
      </c>
      <c r="B3433" t="s">
        <v>948</v>
      </c>
      <c r="C3433" s="10" t="s">
        <v>1785</v>
      </c>
      <c r="D3433" t="s">
        <v>33</v>
      </c>
      <c r="E3433">
        <v>104</v>
      </c>
      <c r="F3433" t="s">
        <v>62</v>
      </c>
      <c r="G3433" t="s">
        <v>562</v>
      </c>
      <c r="H3433">
        <v>22</v>
      </c>
      <c r="I3433" s="11">
        <f>$E3433+0</f>
        <v>104</v>
      </c>
      <c r="J3433" s="12">
        <v>5310000</v>
      </c>
      <c r="K3433" s="13">
        <f>$E3433+1</f>
        <v>105</v>
      </c>
      <c r="L3433" s="14">
        <f>IF($J3433=0,0,ROUND(MAX($J3433*1.4,1620000*(1.497923^(MIN($E3433,123)-117)))*1,0))</f>
        <v>7434000</v>
      </c>
      <c r="M3433" s="11">
        <f>$E3433+2</f>
        <v>106</v>
      </c>
      <c r="N3433" s="12">
        <f>IF($J3433=0,0,ROUND(MAX($J3433*1.4*1.5,2190000*(1.580994^(MIN($E3433,123)-117)))*1,0))</f>
        <v>11151000</v>
      </c>
      <c r="O3433" s="13">
        <f>$E3433+4</f>
        <v>108</v>
      </c>
      <c r="P3433" s="14">
        <f>IF($J3433=0,0,ROUND(MAX($J3433*1.4*1.5*1.6,3500000*(1.57975^(MIN($E3433,123)-117)))*1,0))</f>
        <v>17841600</v>
      </c>
      <c r="Q3433" s="11">
        <f>$E3433+6</f>
        <v>110</v>
      </c>
      <c r="R3433" s="12">
        <f>IF($J3433=0,0,ROUND(MAX($J3433*1.4*1.5*1.6*1.6,13100000*(1.429962^(MIN($E3433,123)-117)))*1,0))</f>
        <v>28546560</v>
      </c>
      <c r="S3433" s="13">
        <f>$E3433+8</f>
        <v>112</v>
      </c>
      <c r="T3433" s="14">
        <f>IF($J3433=0,0,ROUND(MAX($J3433*1.4*1.5*1.6*1.6*2.2,42600000*(1.576904^(MIN($E3433,123)-117)))*1,0))</f>
        <v>62802432</v>
      </c>
      <c r="U3433" s="11">
        <f>$E3433+11</f>
        <v>115</v>
      </c>
      <c r="V3433" s="12">
        <f>IF($J3433=0,0,ROUND(MAX($J3433*1.4*1.5*1.6*1.6*2.2*2.715,354000000*(1.642074^(MIN($E3433,123)-117)))*1,0))</f>
        <v>170508603</v>
      </c>
      <c r="W3433" s="13">
        <f>$E3433+15</f>
        <v>119</v>
      </c>
      <c r="X3433" s="14">
        <f>IF($J3433=0,0,ROUND(MAX($J3433*1.4*1.5*1.6*1.6*2.2*2.715*2.6,3540000000*(1.579646^(MIN($E3433,123)-117)))*1,0))</f>
        <v>443322367</v>
      </c>
      <c r="Y3433" s="11">
        <f>$E3433+17</f>
        <v>121</v>
      </c>
      <c r="Z3433" s="12">
        <f>IF($J3433=0,0,ROUND(MAX($J3433*1.4*1.5*1.6*1.6*2.2*2.715*2.6*1.4,6020000000*(1.651178^(MIN($E3433,123)-117)))*1,0))</f>
        <v>620651314</v>
      </c>
      <c r="AA3433" s="13">
        <f>$E3433+19</f>
        <v>123</v>
      </c>
      <c r="AB3433" s="14">
        <f>IF($J3433=0,0,ROUND(MAX($J3433*1.4*1.5*1.6*1.6*2.2*2.715*2.6*1.4*1.4,8430000000*(1.651435^(MIN($E3433,123)-117)))*1,0))</f>
        <v>868911840</v>
      </c>
      <c r="AC3433" s="11">
        <f>$E3433+21</f>
        <v>125</v>
      </c>
      <c r="AD3433" s="12">
        <f>IF($J3433=0,0,ROUND(MAX($J3433*1.4*1.5*1.6*1.6*2.2*2.715*2.6*1.4*1.4*1.5,12600000000*(1.652953^(MIN($E3433,123)-117)))*1,0))</f>
        <v>1303367760</v>
      </c>
      <c r="AE3433" s="13">
        <f>$E3433+24</f>
        <v>128</v>
      </c>
      <c r="AF3433" s="14">
        <f>IF($J3433=0,0,ROUND(MAX($J3433*1.4*1.5*1.6*1.6*2.2*2.715*2.6*1.4*1.4*1.5*1.5,18900000000*(1.65331^(MIN($E3433,123)-117)))*1,0))</f>
        <v>1955051641</v>
      </c>
      <c r="AG3433" s="11">
        <f>$E3433+27</f>
        <v>131</v>
      </c>
      <c r="AH3433" s="12">
        <f>IF($J3433=0,0,ROUND(MAX($J3433*1.4*1.5*1.6*1.6*2.2*2.715*2.6*1.4*1.4*1.5*1.5*3.2,60500000000*(1.654288^(MIN($E3433,123)-117)))*1,0))</f>
        <v>6256165250</v>
      </c>
    </row>
    <row r="3434" ht="28" customHeight="1" spans="1:34" x14ac:dyDescent="0.25">
      <c r="A3434">
        <v>3444</v>
      </c>
      <c r="B3434" t="s">
        <v>166</v>
      </c>
      <c r="C3434" s="10" t="s">
        <v>1785</v>
      </c>
      <c r="D3434" t="s">
        <v>33</v>
      </c>
      <c r="E3434">
        <v>104</v>
      </c>
      <c r="F3434" t="s">
        <v>62</v>
      </c>
      <c r="G3434" t="s">
        <v>562</v>
      </c>
      <c r="H3434">
        <v>22</v>
      </c>
      <c r="I3434" s="11">
        <f>$E3434+0</f>
        <v>104</v>
      </c>
      <c r="J3434" s="12">
        <v>63100</v>
      </c>
      <c r="K3434" s="13">
        <f>$E3434+1</f>
        <v>105</v>
      </c>
      <c r="L3434" s="14">
        <f>IF($J3434=0,0,ROUND(MAX($J3434*1.4,1620000*(1.497923^(MIN($E3434,123)-117)))*1,0))</f>
        <v>88340</v>
      </c>
      <c r="M3434" s="11">
        <f>$E3434+2</f>
        <v>106</v>
      </c>
      <c r="N3434" s="12">
        <f>IF($J3434=0,0,ROUND(MAX($J3434*1.4*1.5,2190000*(1.580994^(MIN($E3434,123)-117)))*1,0))</f>
        <v>132510</v>
      </c>
      <c r="O3434" s="13">
        <f>$E3434+4</f>
        <v>108</v>
      </c>
      <c r="P3434" s="14">
        <f>IF($J3434=0,0,ROUND(MAX($J3434*1.4*1.5*1.6,3500000*(1.57975^(MIN($E3434,123)-117)))*1,0))</f>
        <v>212016</v>
      </c>
      <c r="Q3434" s="11">
        <f>$E3434+6</f>
        <v>110</v>
      </c>
      <c r="R3434" s="12">
        <f>IF($J3434=0,0,ROUND(MAX($J3434*1.4*1.5*1.6*1.6,13100000*(1.429962^(MIN($E3434,123)-117)))*1,0))</f>
        <v>339226</v>
      </c>
      <c r="S3434" s="13">
        <f>$E3434+8</f>
        <v>112</v>
      </c>
      <c r="T3434" s="14">
        <f>IF($J3434=0,0,ROUND(MAX($J3434*1.4*1.5*1.6*1.6*2.2,42600000*(1.576904^(MIN($E3434,123)-117)))*1,0))</f>
        <v>746296</v>
      </c>
      <c r="U3434" s="11">
        <f>$E3434+11</f>
        <v>115</v>
      </c>
      <c r="V3434" s="12">
        <f>IF($J3434=0,0,ROUND(MAX($J3434*1.4*1.5*1.6*1.6*2.2*2.715,354000000*(1.642074^(MIN($E3434,123)-117)))*1,0))</f>
        <v>2026195</v>
      </c>
      <c r="W3434" s="13">
        <f>$E3434+15</f>
        <v>119</v>
      </c>
      <c r="X3434" s="14">
        <f>IF($J3434=0,0,ROUND(MAX($J3434*1.4*1.5*1.6*1.6*2.2*2.715*2.6,3540000000*(1.579646^(MIN($E3434,123)-117)))*1,0))</f>
        <v>9283810</v>
      </c>
      <c r="Y3434" s="11">
        <f>$E3434+17</f>
        <v>121</v>
      </c>
      <c r="Z3434" s="12">
        <f>IF($J3434=0,0,ROUND(MAX($J3434*1.4*1.5*1.6*1.6*2.2*2.715*2.6*1.4,6020000000*(1.651178^(MIN($E3434,123)-117)))*1,0))</f>
        <v>8877197</v>
      </c>
      <c r="AA3434" s="13">
        <f>$E3434+19</f>
        <v>123</v>
      </c>
      <c r="AB3434" s="14">
        <f>IF($J3434=0,0,ROUND(MAX($J3434*1.4*1.5*1.6*1.6*2.2*2.715*2.6*1.4*1.4,8430000000*(1.651435^(MIN($E3434,123)-117)))*1,0))</f>
        <v>12405900</v>
      </c>
      <c r="AC3434" s="11">
        <f>$E3434+21</f>
        <v>125</v>
      </c>
      <c r="AD3434" s="12">
        <f>IF($J3434=0,0,ROUND(MAX($J3434*1.4*1.5*1.6*1.6*2.2*2.715*2.6*1.4*1.4*1.5,12600000000*(1.652953^(MIN($E3434,123)-117)))*1,0))</f>
        <v>18322468</v>
      </c>
      <c r="AE3434" s="13">
        <f>$E3434+24</f>
        <v>128</v>
      </c>
      <c r="AF3434" s="14">
        <f>IF($J3434=0,0,ROUND(MAX($J3434*1.4*1.5*1.6*1.6*2.2*2.715*2.6*1.4*1.4*1.5*1.5,18900000000*(1.65331^(MIN($E3434,123)-117)))*1,0))</f>
        <v>27406653</v>
      </c>
      <c r="AG3434" s="11">
        <f>$E3434+27</f>
        <v>131</v>
      </c>
      <c r="AH3434" s="12">
        <f>IF($J3434=0,0,ROUND(MAX($J3434*1.4*1.5*1.6*1.6*2.2*2.715*2.6*1.4*1.4*1.5*1.5*3.2,60500000000*(1.654288^(MIN($E3434,123)-117)))*1,0))</f>
        <v>87058428</v>
      </c>
    </row>
    <row r="3435" ht="28" customHeight="1" spans="1:34" x14ac:dyDescent="0.25">
      <c r="A3435">
        <v>3445</v>
      </c>
      <c r="B3435" t="s">
        <v>296</v>
      </c>
      <c r="C3435" s="10" t="s">
        <v>1785</v>
      </c>
      <c r="D3435" t="s">
        <v>47</v>
      </c>
      <c r="E3435">
        <v>104</v>
      </c>
      <c r="F3435" t="s">
        <v>62</v>
      </c>
      <c r="G3435" t="s">
        <v>185</v>
      </c>
      <c r="H3435">
        <v>20</v>
      </c>
      <c r="I3435" s="11">
        <f>$E3435+0</f>
        <v>104</v>
      </c>
      <c r="J3435" s="12">
        <v>226000</v>
      </c>
      <c r="K3435" s="13">
        <f>$E3435+1</f>
        <v>105</v>
      </c>
      <c r="L3435" s="14">
        <f>IF($J3435=0,0,ROUND(MAX($J3435*1.4,1620000*(1.497923^(MIN($E3435,123)-117)))*1,0))</f>
        <v>316400</v>
      </c>
      <c r="M3435" s="11">
        <f>$E3435+2</f>
        <v>106</v>
      </c>
      <c r="N3435" s="12">
        <f>IF($J3435=0,0,ROUND(MAX($J3435*1.4*1.5,2190000*(1.580994^(MIN($E3435,123)-117)))*1,0))</f>
        <v>474600</v>
      </c>
      <c r="O3435" s="13">
        <f>$E3435+4</f>
        <v>108</v>
      </c>
      <c r="P3435" s="14">
        <f>IF($J3435=0,0,ROUND(MAX($J3435*1.4*1.5*1.6,3500000*(1.57975^(MIN($E3435,123)-117)))*1,0))</f>
        <v>759360</v>
      </c>
      <c r="Q3435" s="11">
        <f>$E3435+6</f>
        <v>110</v>
      </c>
      <c r="R3435" s="12">
        <f>IF($J3435=0,0,ROUND(MAX($J3435*1.4*1.5*1.6*1.6,13100000*(1.429962^(MIN($E3435,123)-117)))*1,0))</f>
        <v>1214976</v>
      </c>
      <c r="S3435" s="13">
        <f>$E3435+8</f>
        <v>112</v>
      </c>
      <c r="T3435" s="14">
        <f>IF($J3435=0,0,ROUND(MAX($J3435*1.4*1.5*1.6*1.6*2.2,42600000*(1.576904^(MIN($E3435,123)-117)))*1,0))</f>
        <v>2672947</v>
      </c>
      <c r="U3435" s="11">
        <f>$E3435+11</f>
        <v>115</v>
      </c>
      <c r="V3435" s="12">
        <f>IF($J3435=0,0,ROUND(MAX($J3435*1.4*1.5*1.6*1.6*2.2*2.715,354000000*(1.642074^(MIN($E3435,123)-117)))*1,0))</f>
        <v>7257052</v>
      </c>
      <c r="W3435" s="13">
        <f>$E3435+15</f>
        <v>119</v>
      </c>
      <c r="X3435" s="14">
        <f>IF($J3435=0,0,ROUND(MAX($J3435*1.4*1.5*1.6*1.6*2.2*2.715*2.6,3540000000*(1.579646^(MIN($E3435,123)-117)))*1,0))</f>
        <v>18868334</v>
      </c>
      <c r="Y3435" s="11">
        <f>$E3435+17</f>
        <v>121</v>
      </c>
      <c r="Z3435" s="12">
        <f>IF($J3435=0,0,ROUND(MAX($J3435*1.4*1.5*1.6*1.6*2.2*2.715*2.6*1.4,6020000000*(1.651178^(MIN($E3435,123)-117)))*1,0))</f>
        <v>26415668</v>
      </c>
      <c r="AA3435" s="13">
        <f>$E3435+19</f>
        <v>123</v>
      </c>
      <c r="AB3435" s="14">
        <f>IF($J3435=0,0,ROUND(MAX($J3435*1.4*1.5*1.6*1.6*2.2*2.715*2.6*1.4*1.4,8430000000*(1.651435^(MIN($E3435,123)-117)))*1,0))</f>
        <v>36981935</v>
      </c>
      <c r="AC3435" s="11">
        <f>$E3435+21</f>
        <v>125</v>
      </c>
      <c r="AD3435" s="12">
        <f>IF($J3435=0,0,ROUND(MAX($J3435*1.4*1.5*1.6*1.6*2.2*2.715*2.6*1.4*1.4*1.5,12600000000*(1.652953^(MIN($E3435,123)-117)))*1,0))</f>
        <v>55472903</v>
      </c>
      <c r="AE3435" s="13">
        <f>$E3435+24</f>
        <v>128</v>
      </c>
      <c r="AF3435" s="14">
        <f>IF($J3435=0,0,ROUND(MAX($J3435*1.4*1.5*1.6*1.6*2.2*2.715*2.6*1.4*1.4*1.5*1.5,18900000000*(1.65331^(MIN($E3435,123)-117)))*1,0))</f>
        <v>83209354</v>
      </c>
      <c r="AG3435" s="11">
        <f>$E3435+27</f>
        <v>131</v>
      </c>
      <c r="AH3435" s="12">
        <f>IF($J3435=0,0,ROUND(MAX($J3435*1.4*1.5*1.6*1.6*2.2*2.715*2.6*1.4*1.4*1.5*1.5*3.2,60500000000*(1.654288^(MIN($E3435,123)-117)))*1,0))</f>
        <v>266269933</v>
      </c>
    </row>
    <row r="3436" ht="28" customHeight="1" spans="1:34" x14ac:dyDescent="0.25">
      <c r="A3436">
        <v>3446</v>
      </c>
      <c r="B3436" t="s">
        <v>931</v>
      </c>
      <c r="C3436" s="10" t="s">
        <v>1785</v>
      </c>
      <c r="D3436" t="s">
        <v>45</v>
      </c>
      <c r="E3436">
        <v>103</v>
      </c>
      <c r="F3436" t="s">
        <v>54</v>
      </c>
      <c r="G3436" t="s">
        <v>416</v>
      </c>
      <c r="H3436">
        <v>24</v>
      </c>
      <c r="I3436" s="11">
        <f>$E3436+0</f>
        <v>103</v>
      </c>
      <c r="J3436" s="12">
        <v>10000</v>
      </c>
      <c r="K3436" s="13">
        <f>$E3436+1</f>
        <v>104</v>
      </c>
      <c r="L3436" s="14">
        <f>IF($J3436=0,0,ROUND(MAX($J3436*1.4,1620000*(1.497923^(MIN($E3436,123)-117)))*1,0))</f>
        <v>14000</v>
      </c>
      <c r="M3436" s="11">
        <f>$E3436+2</f>
        <v>105</v>
      </c>
      <c r="N3436" s="12">
        <f>IF($J3436=0,0,ROUND(MAX($J3436*1.4*1.5,2190000*(1.580994^(MIN($E3436,123)-117)))*1,0))</f>
        <v>21000</v>
      </c>
      <c r="O3436" s="13">
        <f>$E3436+4</f>
        <v>107</v>
      </c>
      <c r="P3436" s="14">
        <f>IF($J3436=0,0,ROUND(MAX($J3436*1.4*1.5*1.6,3500000*(1.57975^(MIN($E3436,123)-117)))*1,0))</f>
        <v>33600</v>
      </c>
      <c r="Q3436" s="11">
        <f>$E3436+6</f>
        <v>109</v>
      </c>
      <c r="R3436" s="12">
        <f>IF($J3436=0,0,ROUND(MAX($J3436*1.4*1.5*1.6*1.6,13100000*(1.429962^(MIN($E3436,123)-117)))*1,0))</f>
        <v>87645</v>
      </c>
      <c r="S3436" s="13">
        <f>$E3436+8</f>
        <v>111</v>
      </c>
      <c r="T3436" s="14">
        <f>IF($J3436=0,0,ROUND(MAX($J3436*1.4*1.5*1.6*1.6*2.2,42600000*(1.576904^(MIN($E3436,123)-117)))*1,0))</f>
        <v>118272</v>
      </c>
      <c r="U3436" s="11">
        <f>$E3436+11</f>
        <v>114</v>
      </c>
      <c r="V3436" s="12">
        <f>IF($J3436=0,0,ROUND(MAX($J3436*1.4*1.5*1.6*1.6*2.2*2.715,354000000*(1.642074^(MIN($E3436,123)-117)))*1,0))</f>
        <v>341590</v>
      </c>
      <c r="W3436" s="13">
        <f>$E3436+15</f>
        <v>118</v>
      </c>
      <c r="X3436" s="14">
        <f>IF($J3436=0,0,ROUND(MAX($J3436*1.4*1.5*1.6*1.6*2.2*2.715*2.6,3540000000*(1.579646^(MIN($E3436,123)-117)))*1,0))</f>
        <v>5877146</v>
      </c>
      <c r="Y3436" s="11">
        <f>$E3436+17</f>
        <v>120</v>
      </c>
      <c r="Z3436" s="12">
        <f>IF($J3436=0,0,ROUND(MAX($J3436*1.4*1.5*1.6*1.6*2.2*2.715*2.6*1.4,6020000000*(1.651178^(MIN($E3436,123)-117)))*1,0))</f>
        <v>5376281</v>
      </c>
      <c r="AA3436" s="13">
        <f>$E3436+19</f>
        <v>122</v>
      </c>
      <c r="AB3436" s="14">
        <f>IF($J3436=0,0,ROUND(MAX($J3436*1.4*1.5*1.6*1.6*2.2*2.715*2.6*1.4*1.4,8430000000*(1.651435^(MIN($E3436,123)-117)))*1,0))</f>
        <v>7512194</v>
      </c>
      <c r="AC3436" s="11">
        <f>$E3436+21</f>
        <v>124</v>
      </c>
      <c r="AD3436" s="12">
        <f>IF($J3436=0,0,ROUND(MAX($J3436*1.4*1.5*1.6*1.6*2.2*2.715*2.6*1.4*1.4*1.5,12600000000*(1.652953^(MIN($E3436,123)-117)))*1,0))</f>
        <v>11084688</v>
      </c>
      <c r="AE3436" s="13">
        <f>$E3436+24</f>
        <v>127</v>
      </c>
      <c r="AF3436" s="14">
        <f>IF($J3436=0,0,ROUND(MAX($J3436*1.4*1.5*1.6*1.6*2.2*2.715*2.6*1.4*1.4*1.5*1.5,18900000000*(1.65331^(MIN($E3436,123)-117)))*1,0))</f>
        <v>16576839</v>
      </c>
      <c r="AG3436" s="11">
        <f>$E3436+27</f>
        <v>130</v>
      </c>
      <c r="AH3436" s="12">
        <f>IF($J3436=0,0,ROUND(MAX($J3436*1.4*1.5*1.6*1.6*2.2*2.715*2.6*1.4*1.4*1.5*1.5*3.2,60500000000*(1.654288^(MIN($E3436,123)-117)))*1,0))</f>
        <v>52625920</v>
      </c>
    </row>
    <row r="3437" ht="28" customHeight="1" spans="1:34" x14ac:dyDescent="0.25">
      <c r="A3437">
        <v>3447</v>
      </c>
      <c r="B3437" t="s">
        <v>1786</v>
      </c>
      <c r="C3437" s="10" t="s">
        <v>1785</v>
      </c>
      <c r="D3437" t="s">
        <v>45</v>
      </c>
      <c r="E3437">
        <v>103</v>
      </c>
      <c r="F3437" t="s">
        <v>62</v>
      </c>
      <c r="G3437" t="s">
        <v>562</v>
      </c>
      <c r="H3437">
        <v>23</v>
      </c>
      <c r="I3437" s="11">
        <f>$E3437+0</f>
        <v>103</v>
      </c>
      <c r="J3437" s="12">
        <v>4860</v>
      </c>
      <c r="K3437" s="13">
        <f>$E3437+1</f>
        <v>104</v>
      </c>
      <c r="L3437" s="14">
        <f>IF($J3437=0,0,ROUND(MAX($J3437*1.4,1620000*(1.497923^(MIN($E3437,123)-117)))*1,0))</f>
        <v>6804</v>
      </c>
      <c r="M3437" s="11">
        <f>$E3437+2</f>
        <v>105</v>
      </c>
      <c r="N3437" s="12">
        <f>IF($J3437=0,0,ROUND(MAX($J3437*1.4*1.5,2190000*(1.580994^(MIN($E3437,123)-117)))*1,0))</f>
        <v>10206</v>
      </c>
      <c r="O3437" s="13">
        <f>$E3437+4</f>
        <v>107</v>
      </c>
      <c r="P3437" s="14">
        <f>IF($J3437=0,0,ROUND(MAX($J3437*1.4*1.5*1.6,3500000*(1.57975^(MIN($E3437,123)-117)))*1,0))</f>
        <v>16330</v>
      </c>
      <c r="Q3437" s="11">
        <f>$E3437+6</f>
        <v>109</v>
      </c>
      <c r="R3437" s="12">
        <f>IF($J3437=0,0,ROUND(MAX($J3437*1.4*1.5*1.6*1.6,13100000*(1.429962^(MIN($E3437,123)-117)))*1,0))</f>
        <v>87645</v>
      </c>
      <c r="S3437" s="13">
        <f>$E3437+8</f>
        <v>111</v>
      </c>
      <c r="T3437" s="14">
        <f>IF($J3437=0,0,ROUND(MAX($J3437*1.4*1.5*1.6*1.6*2.2,42600000*(1.576904^(MIN($E3437,123)-117)))*1,0))</f>
        <v>72466</v>
      </c>
      <c r="U3437" s="11">
        <f>$E3437+11</f>
        <v>114</v>
      </c>
      <c r="V3437" s="12">
        <f>IF($J3437=0,0,ROUND(MAX($J3437*1.4*1.5*1.6*1.6*2.2*2.715,354000000*(1.642074^(MIN($E3437,123)-117)))*1,0))</f>
        <v>341590</v>
      </c>
      <c r="W3437" s="13">
        <f>$E3437+15</f>
        <v>118</v>
      </c>
      <c r="X3437" s="14">
        <f>IF($J3437=0,0,ROUND(MAX($J3437*1.4*1.5*1.6*1.6*2.2*2.715*2.6,3540000000*(1.579646^(MIN($E3437,123)-117)))*1,0))</f>
        <v>5877146</v>
      </c>
      <c r="Y3437" s="11">
        <f>$E3437+17</f>
        <v>120</v>
      </c>
      <c r="Z3437" s="12">
        <f>IF($J3437=0,0,ROUND(MAX($J3437*1.4*1.5*1.6*1.6*2.2*2.715*2.6*1.4,6020000000*(1.651178^(MIN($E3437,123)-117)))*1,0))</f>
        <v>5376281</v>
      </c>
      <c r="AA3437" s="13">
        <f>$E3437+19</f>
        <v>122</v>
      </c>
      <c r="AB3437" s="14">
        <f>IF($J3437=0,0,ROUND(MAX($J3437*1.4*1.5*1.6*1.6*2.2*2.715*2.6*1.4*1.4,8430000000*(1.651435^(MIN($E3437,123)-117)))*1,0))</f>
        <v>7512194</v>
      </c>
      <c r="AC3437" s="11">
        <f>$E3437+21</f>
        <v>124</v>
      </c>
      <c r="AD3437" s="12">
        <f>IF($J3437=0,0,ROUND(MAX($J3437*1.4*1.5*1.6*1.6*2.2*2.715*2.6*1.4*1.4*1.5,12600000000*(1.652953^(MIN($E3437,123)-117)))*1,0))</f>
        <v>11084688</v>
      </c>
      <c r="AE3437" s="13">
        <f>$E3437+24</f>
        <v>127</v>
      </c>
      <c r="AF3437" s="14">
        <f>IF($J3437=0,0,ROUND(MAX($J3437*1.4*1.5*1.6*1.6*2.2*2.715*2.6*1.4*1.4*1.5*1.5,18900000000*(1.65331^(MIN($E3437,123)-117)))*1,0))</f>
        <v>16576839</v>
      </c>
      <c r="AG3437" s="11">
        <f>$E3437+27</f>
        <v>130</v>
      </c>
      <c r="AH3437" s="12">
        <f>IF($J3437=0,0,ROUND(MAX($J3437*1.4*1.5*1.6*1.6*2.2*2.715*2.6*1.4*1.4*1.5*1.5*3.2,60500000000*(1.654288^(MIN($E3437,123)-117)))*1,0))</f>
        <v>52625920</v>
      </c>
    </row>
    <row r="3438" ht="28" customHeight="1" spans="1:34" x14ac:dyDescent="0.25">
      <c r="A3438">
        <v>3448</v>
      </c>
      <c r="B3438" t="s">
        <v>1787</v>
      </c>
      <c r="C3438" s="10" t="s">
        <v>1785</v>
      </c>
      <c r="D3438" t="s">
        <v>64</v>
      </c>
      <c r="E3438">
        <v>103</v>
      </c>
      <c r="F3438" t="s">
        <v>88</v>
      </c>
      <c r="G3438" t="s">
        <v>1788</v>
      </c>
      <c r="H3438">
        <v>23</v>
      </c>
      <c r="I3438" s="11">
        <f>$E3438+0</f>
        <v>103</v>
      </c>
      <c r="J3438" s="12">
        <v>30300</v>
      </c>
      <c r="K3438" s="13">
        <f>$E3438+1</f>
        <v>104</v>
      </c>
      <c r="L3438" s="14">
        <f>IF($J3438=0,0,ROUND(MAX($J3438*1.4,1620000*(1.497923^(MIN($E3438,123)-117)))*1,0))</f>
        <v>42420</v>
      </c>
      <c r="M3438" s="11">
        <f>$E3438+2</f>
        <v>105</v>
      </c>
      <c r="N3438" s="12">
        <f>IF($J3438=0,0,ROUND(MAX($J3438*1.4*1.5,2190000*(1.580994^(MIN($E3438,123)-117)))*1,0))</f>
        <v>63630</v>
      </c>
      <c r="O3438" s="13">
        <f>$E3438+4</f>
        <v>107</v>
      </c>
      <c r="P3438" s="14">
        <f>IF($J3438=0,0,ROUND(MAX($J3438*1.4*1.5*1.6,3500000*(1.57975^(MIN($E3438,123)-117)))*1,0))</f>
        <v>101808</v>
      </c>
      <c r="Q3438" s="11">
        <f>$E3438+6</f>
        <v>109</v>
      </c>
      <c r="R3438" s="12">
        <f>IF($J3438=0,0,ROUND(MAX($J3438*1.4*1.5*1.6*1.6,13100000*(1.429962^(MIN($E3438,123)-117)))*1,0))</f>
        <v>162893</v>
      </c>
      <c r="S3438" s="13">
        <f>$E3438+8</f>
        <v>111</v>
      </c>
      <c r="T3438" s="14">
        <f>IF($J3438=0,0,ROUND(MAX($J3438*1.4*1.5*1.6*1.6*2.2,42600000*(1.576904^(MIN($E3438,123)-117)))*1,0))</f>
        <v>358364</v>
      </c>
      <c r="U3438" s="11">
        <f>$E3438+11</f>
        <v>114</v>
      </c>
      <c r="V3438" s="12">
        <f>IF($J3438=0,0,ROUND(MAX($J3438*1.4*1.5*1.6*1.6*2.2*2.715,354000000*(1.642074^(MIN($E3438,123)-117)))*1,0))</f>
        <v>972959</v>
      </c>
      <c r="W3438" s="13">
        <f>$E3438+15</f>
        <v>118</v>
      </c>
      <c r="X3438" s="14">
        <f>IF($J3438=0,0,ROUND(MAX($J3438*1.4*1.5*1.6*1.6*2.2*2.715*2.6,3540000000*(1.579646^(MIN($E3438,123)-117)))*1,0))</f>
        <v>5877146</v>
      </c>
      <c r="Y3438" s="11">
        <f>$E3438+17</f>
        <v>120</v>
      </c>
      <c r="Z3438" s="12">
        <f>IF($J3438=0,0,ROUND(MAX($J3438*1.4*1.5*1.6*1.6*2.2*2.715*2.6*1.4,6020000000*(1.651178^(MIN($E3438,123)-117)))*1,0))</f>
        <v>5376281</v>
      </c>
      <c r="AA3438" s="13">
        <f>$E3438+19</f>
        <v>122</v>
      </c>
      <c r="AB3438" s="14">
        <f>IF($J3438=0,0,ROUND(MAX($J3438*1.4*1.5*1.6*1.6*2.2*2.715*2.6*1.4*1.4,8430000000*(1.651435^(MIN($E3438,123)-117)))*1,0))</f>
        <v>7512194</v>
      </c>
      <c r="AC3438" s="11">
        <f>$E3438+21</f>
        <v>124</v>
      </c>
      <c r="AD3438" s="12">
        <f>IF($J3438=0,0,ROUND(MAX($J3438*1.4*1.5*1.6*1.6*2.2*2.715*2.6*1.4*1.4*1.5,12600000000*(1.652953^(MIN($E3438,123)-117)))*1,0))</f>
        <v>11084688</v>
      </c>
      <c r="AE3438" s="13">
        <f>$E3438+24</f>
        <v>127</v>
      </c>
      <c r="AF3438" s="14">
        <f>IF($J3438=0,0,ROUND(MAX($J3438*1.4*1.5*1.6*1.6*2.2*2.715*2.6*1.4*1.4*1.5*1.5,18900000000*(1.65331^(MIN($E3438,123)-117)))*1,0))</f>
        <v>16576839</v>
      </c>
      <c r="AG3438" s="11">
        <f>$E3438+27</f>
        <v>130</v>
      </c>
      <c r="AH3438" s="12">
        <f>IF($J3438=0,0,ROUND(MAX($J3438*1.4*1.5*1.6*1.6*2.2*2.715*2.6*1.4*1.4*1.5*1.5*3.2,60500000000*(1.654288^(MIN($E3438,123)-117)))*1,0))</f>
        <v>52625920</v>
      </c>
    </row>
    <row r="3439" ht="28" customHeight="1" spans="1:34" x14ac:dyDescent="0.25">
      <c r="A3439">
        <v>3449</v>
      </c>
      <c r="B3439" t="s">
        <v>718</v>
      </c>
      <c r="C3439" s="10" t="s">
        <v>1785</v>
      </c>
      <c r="D3439" t="s">
        <v>25</v>
      </c>
      <c r="E3439">
        <v>103</v>
      </c>
      <c r="F3439" t="s">
        <v>298</v>
      </c>
      <c r="G3439" t="s">
        <v>719</v>
      </c>
      <c r="H3439">
        <v>23</v>
      </c>
      <c r="I3439" s="11">
        <f>$E3439+0</f>
        <v>103</v>
      </c>
      <c r="J3439" s="12">
        <v>10100</v>
      </c>
      <c r="K3439" s="13">
        <f>$E3439+1</f>
        <v>104</v>
      </c>
      <c r="L3439" s="14">
        <f>IF($J3439=0,0,ROUND(MAX($J3439*1.4,1620000*(1.497923^(MIN($E3439,123)-117)))*1,0))</f>
        <v>14140</v>
      </c>
      <c r="M3439" s="11">
        <f>$E3439+2</f>
        <v>105</v>
      </c>
      <c r="N3439" s="12">
        <f>IF($J3439=0,0,ROUND(MAX($J3439*1.4*1.5,2190000*(1.580994^(MIN($E3439,123)-117)))*1,0))</f>
        <v>21210</v>
      </c>
      <c r="O3439" s="13">
        <f>$E3439+4</f>
        <v>107</v>
      </c>
      <c r="P3439" s="14">
        <f>IF($J3439=0,0,ROUND(MAX($J3439*1.4*1.5*1.6,3500000*(1.57975^(MIN($E3439,123)-117)))*1,0))</f>
        <v>33936</v>
      </c>
      <c r="Q3439" s="11">
        <f>$E3439+6</f>
        <v>109</v>
      </c>
      <c r="R3439" s="12">
        <f>IF($J3439=0,0,ROUND(MAX($J3439*1.4*1.5*1.6*1.6,13100000*(1.429962^(MIN($E3439,123)-117)))*1,0))</f>
        <v>87645</v>
      </c>
      <c r="S3439" s="13">
        <f>$E3439+8</f>
        <v>111</v>
      </c>
      <c r="T3439" s="14">
        <f>IF($J3439=0,0,ROUND(MAX($J3439*1.4*1.5*1.6*1.6*2.2,42600000*(1.576904^(MIN($E3439,123)-117)))*1,0))</f>
        <v>119455</v>
      </c>
      <c r="U3439" s="11">
        <f>$E3439+11</f>
        <v>114</v>
      </c>
      <c r="V3439" s="12">
        <f>IF($J3439=0,0,ROUND(MAX($J3439*1.4*1.5*1.6*1.6*2.2*2.715,354000000*(1.642074^(MIN($E3439,123)-117)))*1,0))</f>
        <v>341590</v>
      </c>
      <c r="W3439" s="13">
        <f>$E3439+15</f>
        <v>118</v>
      </c>
      <c r="X3439" s="14">
        <f>IF($J3439=0,0,ROUND(MAX($J3439*1.4*1.5*1.6*1.6*2.2*2.715*2.6,3540000000*(1.579646^(MIN($E3439,123)-117)))*1,0))</f>
        <v>5877146</v>
      </c>
      <c r="Y3439" s="11">
        <f>$E3439+17</f>
        <v>120</v>
      </c>
      <c r="Z3439" s="12">
        <f>IF($J3439=0,0,ROUND(MAX($J3439*1.4*1.5*1.6*1.6*2.2*2.715*2.6*1.4,6020000000*(1.651178^(MIN($E3439,123)-117)))*1,0))</f>
        <v>5376281</v>
      </c>
      <c r="AA3439" s="13">
        <f>$E3439+19</f>
        <v>122</v>
      </c>
      <c r="AB3439" s="14">
        <f>IF($J3439=0,0,ROUND(MAX($J3439*1.4*1.5*1.6*1.6*2.2*2.715*2.6*1.4*1.4,8430000000*(1.651435^(MIN($E3439,123)-117)))*1,0))</f>
        <v>7512194</v>
      </c>
      <c r="AC3439" s="11">
        <f>$E3439+21</f>
        <v>124</v>
      </c>
      <c r="AD3439" s="12">
        <f>IF($J3439=0,0,ROUND(MAX($J3439*1.4*1.5*1.6*1.6*2.2*2.715*2.6*1.4*1.4*1.5,12600000000*(1.652953^(MIN($E3439,123)-117)))*1,0))</f>
        <v>11084688</v>
      </c>
      <c r="AE3439" s="13">
        <f>$E3439+24</f>
        <v>127</v>
      </c>
      <c r="AF3439" s="14">
        <f>IF($J3439=0,0,ROUND(MAX($J3439*1.4*1.5*1.6*1.6*2.2*2.715*2.6*1.4*1.4*1.5*1.5,18900000000*(1.65331^(MIN($E3439,123)-117)))*1,0))</f>
        <v>16576839</v>
      </c>
      <c r="AG3439" s="11">
        <f>$E3439+27</f>
        <v>130</v>
      </c>
      <c r="AH3439" s="12">
        <f>IF($J3439=0,0,ROUND(MAX($J3439*1.4*1.5*1.6*1.6*2.2*2.715*2.6*1.4*1.4*1.5*1.5*3.2,60500000000*(1.654288^(MIN($E3439,123)-117)))*1,0))</f>
        <v>52625920</v>
      </c>
    </row>
    <row r="3440" ht="28" customHeight="1" spans="1:34" x14ac:dyDescent="0.25">
      <c r="A3440">
        <v>3450</v>
      </c>
      <c r="B3440" t="s">
        <v>638</v>
      </c>
      <c r="C3440" s="10" t="s">
        <v>1785</v>
      </c>
      <c r="D3440" t="s">
        <v>25</v>
      </c>
      <c r="E3440">
        <v>103</v>
      </c>
      <c r="F3440" t="s">
        <v>310</v>
      </c>
      <c r="G3440" t="s">
        <v>27</v>
      </c>
      <c r="H3440">
        <v>23</v>
      </c>
      <c r="I3440" s="11">
        <f>$E3440+0</f>
        <v>103</v>
      </c>
      <c r="J3440" s="12">
        <v>10000</v>
      </c>
      <c r="K3440" s="13">
        <f>$E3440+1</f>
        <v>104</v>
      </c>
      <c r="L3440" s="14">
        <f>IF($J3440=0,0,ROUND(MAX($J3440*1.4,1620000*(1.497923^(MIN($E3440,123)-117)))*1,0))</f>
        <v>14000</v>
      </c>
      <c r="M3440" s="11">
        <f>$E3440+2</f>
        <v>105</v>
      </c>
      <c r="N3440" s="12">
        <f>IF($J3440=0,0,ROUND(MAX($J3440*1.4*1.5,2190000*(1.580994^(MIN($E3440,123)-117)))*1,0))</f>
        <v>21000</v>
      </c>
      <c r="O3440" s="13">
        <f>$E3440+4</f>
        <v>107</v>
      </c>
      <c r="P3440" s="14">
        <f>IF($J3440=0,0,ROUND(MAX($J3440*1.4*1.5*1.6,3500000*(1.57975^(MIN($E3440,123)-117)))*1,0))</f>
        <v>33600</v>
      </c>
      <c r="Q3440" s="11">
        <f>$E3440+6</f>
        <v>109</v>
      </c>
      <c r="R3440" s="12">
        <f>IF($J3440=0,0,ROUND(MAX($J3440*1.4*1.5*1.6*1.6,13100000*(1.429962^(MIN($E3440,123)-117)))*1,0))</f>
        <v>87645</v>
      </c>
      <c r="S3440" s="13">
        <f>$E3440+8</f>
        <v>111</v>
      </c>
      <c r="T3440" s="14">
        <f>IF($J3440=0,0,ROUND(MAX($J3440*1.4*1.5*1.6*1.6*2.2,42600000*(1.576904^(MIN($E3440,123)-117)))*1,0))</f>
        <v>118272</v>
      </c>
      <c r="U3440" s="11">
        <f>$E3440+11</f>
        <v>114</v>
      </c>
      <c r="V3440" s="12">
        <f>IF($J3440=0,0,ROUND(MAX($J3440*1.4*1.5*1.6*1.6*2.2*2.715,354000000*(1.642074^(MIN($E3440,123)-117)))*1,0))</f>
        <v>341590</v>
      </c>
      <c r="W3440" s="13">
        <f>$E3440+15</f>
        <v>118</v>
      </c>
      <c r="X3440" s="14">
        <f>IF($J3440=0,0,ROUND(MAX($J3440*1.4*1.5*1.6*1.6*2.2*2.715*2.6,3540000000*(1.579646^(MIN($E3440,123)-117)))*1,0))</f>
        <v>5877146</v>
      </c>
      <c r="Y3440" s="11">
        <f>$E3440+17</f>
        <v>120</v>
      </c>
      <c r="Z3440" s="12">
        <f>IF($J3440=0,0,ROUND(MAX($J3440*1.4*1.5*1.6*1.6*2.2*2.715*2.6*1.4,6020000000*(1.651178^(MIN($E3440,123)-117)))*1,0))</f>
        <v>5376281</v>
      </c>
      <c r="AA3440" s="13">
        <f>$E3440+19</f>
        <v>122</v>
      </c>
      <c r="AB3440" s="14">
        <f>IF($J3440=0,0,ROUND(MAX($J3440*1.4*1.5*1.6*1.6*2.2*2.715*2.6*1.4*1.4,8430000000*(1.651435^(MIN($E3440,123)-117)))*1,0))</f>
        <v>7512194</v>
      </c>
      <c r="AC3440" s="11">
        <f>$E3440+21</f>
        <v>124</v>
      </c>
      <c r="AD3440" s="12">
        <f>IF($J3440=0,0,ROUND(MAX($J3440*1.4*1.5*1.6*1.6*2.2*2.715*2.6*1.4*1.4*1.5,12600000000*(1.652953^(MIN($E3440,123)-117)))*1,0))</f>
        <v>11084688</v>
      </c>
      <c r="AE3440" s="13">
        <f>$E3440+24</f>
        <v>127</v>
      </c>
      <c r="AF3440" s="14">
        <f>IF($J3440=0,0,ROUND(MAX($J3440*1.4*1.5*1.6*1.6*2.2*2.715*2.6*1.4*1.4*1.5*1.5,18900000000*(1.65331^(MIN($E3440,123)-117)))*1,0))</f>
        <v>16576839</v>
      </c>
      <c r="AG3440" s="11">
        <f>$E3440+27</f>
        <v>130</v>
      </c>
      <c r="AH3440" s="12">
        <f>IF($J3440=0,0,ROUND(MAX($J3440*1.4*1.5*1.6*1.6*2.2*2.715*2.6*1.4*1.4*1.5*1.5*3.2,60500000000*(1.654288^(MIN($E3440,123)-117)))*1,0))</f>
        <v>52625920</v>
      </c>
    </row>
    <row r="3441" ht="28" customHeight="1" spans="1:34" x14ac:dyDescent="0.25">
      <c r="A3441">
        <v>3451</v>
      </c>
      <c r="B3441" t="s">
        <v>238</v>
      </c>
      <c r="C3441" s="10" t="s">
        <v>1785</v>
      </c>
      <c r="D3441" t="s">
        <v>45</v>
      </c>
      <c r="E3441">
        <v>103</v>
      </c>
      <c r="F3441" t="s">
        <v>71</v>
      </c>
      <c r="G3441" t="s">
        <v>72</v>
      </c>
      <c r="H3441">
        <v>22</v>
      </c>
      <c r="I3441" s="11">
        <f>$E3441+0</f>
        <v>103</v>
      </c>
      <c r="J3441" s="12">
        <v>20900</v>
      </c>
      <c r="K3441" s="13">
        <f>$E3441+1</f>
        <v>104</v>
      </c>
      <c r="L3441" s="14">
        <f>IF($J3441=0,0,ROUND(MAX($J3441*1.4,1620000*(1.497923^(MIN($E3441,123)-117)))*1,0))</f>
        <v>29260</v>
      </c>
      <c r="M3441" s="11">
        <f>$E3441+2</f>
        <v>105</v>
      </c>
      <c r="N3441" s="12">
        <f>IF($J3441=0,0,ROUND(MAX($J3441*1.4*1.5,2190000*(1.580994^(MIN($E3441,123)-117)))*1,0))</f>
        <v>43890</v>
      </c>
      <c r="O3441" s="13">
        <f>$E3441+4</f>
        <v>107</v>
      </c>
      <c r="P3441" s="14">
        <f>IF($J3441=0,0,ROUND(MAX($J3441*1.4*1.5*1.6,3500000*(1.57975^(MIN($E3441,123)-117)))*1,0))</f>
        <v>70224</v>
      </c>
      <c r="Q3441" s="11">
        <f>$E3441+6</f>
        <v>109</v>
      </c>
      <c r="R3441" s="12">
        <f>IF($J3441=0,0,ROUND(MAX($J3441*1.4*1.5*1.6*1.6,13100000*(1.429962^(MIN($E3441,123)-117)))*1,0))</f>
        <v>112358</v>
      </c>
      <c r="S3441" s="13">
        <f>$E3441+8</f>
        <v>111</v>
      </c>
      <c r="T3441" s="14">
        <f>IF($J3441=0,0,ROUND(MAX($J3441*1.4*1.5*1.6*1.6*2.2,42600000*(1.576904^(MIN($E3441,123)-117)))*1,0))</f>
        <v>247188</v>
      </c>
      <c r="U3441" s="11">
        <f>$E3441+11</f>
        <v>114</v>
      </c>
      <c r="V3441" s="12">
        <f>IF($J3441=0,0,ROUND(MAX($J3441*1.4*1.5*1.6*1.6*2.2*2.715,354000000*(1.642074^(MIN($E3441,123)-117)))*1,0))</f>
        <v>671117</v>
      </c>
      <c r="W3441" s="13">
        <f>$E3441+15</f>
        <v>118</v>
      </c>
      <c r="X3441" s="14">
        <f>IF($J3441=0,0,ROUND(MAX($J3441*1.4*1.5*1.6*1.6*2.2*2.715*2.6,3540000000*(1.579646^(MIN($E3441,123)-117)))*1,0))</f>
        <v>5877146</v>
      </c>
      <c r="Y3441" s="11">
        <f>$E3441+17</f>
        <v>120</v>
      </c>
      <c r="Z3441" s="12">
        <f>IF($J3441=0,0,ROUND(MAX($J3441*1.4*1.5*1.6*1.6*2.2*2.715*2.6*1.4,6020000000*(1.651178^(MIN($E3441,123)-117)))*1,0))</f>
        <v>5376281</v>
      </c>
      <c r="AA3441" s="13">
        <f>$E3441+19</f>
        <v>122</v>
      </c>
      <c r="AB3441" s="14">
        <f>IF($J3441=0,0,ROUND(MAX($J3441*1.4*1.5*1.6*1.6*2.2*2.715*2.6*1.4*1.4,8430000000*(1.651435^(MIN($E3441,123)-117)))*1,0))</f>
        <v>7512194</v>
      </c>
      <c r="AC3441" s="11">
        <f>$E3441+21</f>
        <v>124</v>
      </c>
      <c r="AD3441" s="12">
        <f>IF($J3441=0,0,ROUND(MAX($J3441*1.4*1.5*1.6*1.6*2.2*2.715*2.6*1.4*1.4*1.5,12600000000*(1.652953^(MIN($E3441,123)-117)))*1,0))</f>
        <v>11084688</v>
      </c>
      <c r="AE3441" s="13">
        <f>$E3441+24</f>
        <v>127</v>
      </c>
      <c r="AF3441" s="14">
        <f>IF($J3441=0,0,ROUND(MAX($J3441*1.4*1.5*1.6*1.6*2.2*2.715*2.6*1.4*1.4*1.5*1.5,18900000000*(1.65331^(MIN($E3441,123)-117)))*1,0))</f>
        <v>16576839</v>
      </c>
      <c r="AG3441" s="11">
        <f>$E3441+27</f>
        <v>130</v>
      </c>
      <c r="AH3441" s="12">
        <f>IF($J3441=0,0,ROUND(MAX($J3441*1.4*1.5*1.6*1.6*2.2*2.715*2.6*1.4*1.4*1.5*1.5*3.2,60500000000*(1.654288^(MIN($E3441,123)-117)))*1,0))</f>
        <v>52625920</v>
      </c>
    </row>
    <row r="3442" ht="28" customHeight="1" spans="1:34" x14ac:dyDescent="0.25">
      <c r="A3442">
        <v>3452</v>
      </c>
      <c r="B3442" t="s">
        <v>1291</v>
      </c>
      <c r="C3442" s="10" t="s">
        <v>1785</v>
      </c>
      <c r="D3442" t="s">
        <v>102</v>
      </c>
      <c r="E3442">
        <v>103</v>
      </c>
      <c r="F3442" t="s">
        <v>146</v>
      </c>
      <c r="G3442" t="s">
        <v>425</v>
      </c>
      <c r="H3442">
        <v>22</v>
      </c>
      <c r="I3442" s="11">
        <f>$E3442+0</f>
        <v>103</v>
      </c>
      <c r="J3442" s="12">
        <v>32100</v>
      </c>
      <c r="K3442" s="13">
        <f>$E3442+1</f>
        <v>104</v>
      </c>
      <c r="L3442" s="14">
        <f>IF($J3442=0,0,ROUND(MAX($J3442*1.4,1620000*(1.497923^(MIN($E3442,123)-117)))*1,0))</f>
        <v>44940</v>
      </c>
      <c r="M3442" s="11">
        <f>$E3442+2</f>
        <v>105</v>
      </c>
      <c r="N3442" s="12">
        <f>IF($J3442=0,0,ROUND(MAX($J3442*1.4*1.5,2190000*(1.580994^(MIN($E3442,123)-117)))*1,0))</f>
        <v>67410</v>
      </c>
      <c r="O3442" s="13">
        <f>$E3442+4</f>
        <v>107</v>
      </c>
      <c r="P3442" s="14">
        <f>IF($J3442=0,0,ROUND(MAX($J3442*1.4*1.5*1.6,3500000*(1.57975^(MIN($E3442,123)-117)))*1,0))</f>
        <v>107856</v>
      </c>
      <c r="Q3442" s="11">
        <f>$E3442+6</f>
        <v>109</v>
      </c>
      <c r="R3442" s="12">
        <f>IF($J3442=0,0,ROUND(MAX($J3442*1.4*1.5*1.6*1.6,13100000*(1.429962^(MIN($E3442,123)-117)))*1,0))</f>
        <v>172570</v>
      </c>
      <c r="S3442" s="13">
        <f>$E3442+8</f>
        <v>111</v>
      </c>
      <c r="T3442" s="14">
        <f>IF($J3442=0,0,ROUND(MAX($J3442*1.4*1.5*1.6*1.6*2.2,42600000*(1.576904^(MIN($E3442,123)-117)))*1,0))</f>
        <v>379653</v>
      </c>
      <c r="U3442" s="11">
        <f>$E3442+11</f>
        <v>114</v>
      </c>
      <c r="V3442" s="12">
        <f>IF($J3442=0,0,ROUND(MAX($J3442*1.4*1.5*1.6*1.6*2.2*2.715,354000000*(1.642074^(MIN($E3442,123)-117)))*1,0))</f>
        <v>1030758</v>
      </c>
      <c r="W3442" s="13">
        <f>$E3442+15</f>
        <v>118</v>
      </c>
      <c r="X3442" s="14">
        <f>IF($J3442=0,0,ROUND(MAX($J3442*1.4*1.5*1.6*1.6*2.2*2.715*2.6,3540000000*(1.579646^(MIN($E3442,123)-117)))*1,0))</f>
        <v>5877146</v>
      </c>
      <c r="Y3442" s="11">
        <f>$E3442+17</f>
        <v>120</v>
      </c>
      <c r="Z3442" s="12">
        <f>IF($J3442=0,0,ROUND(MAX($J3442*1.4*1.5*1.6*1.6*2.2*2.715*2.6*1.4,6020000000*(1.651178^(MIN($E3442,123)-117)))*1,0))</f>
        <v>5376281</v>
      </c>
      <c r="AA3442" s="13">
        <f>$E3442+19</f>
        <v>122</v>
      </c>
      <c r="AB3442" s="14">
        <f>IF($J3442=0,0,ROUND(MAX($J3442*1.4*1.5*1.6*1.6*2.2*2.715*2.6*1.4*1.4,8430000000*(1.651435^(MIN($E3442,123)-117)))*1,0))</f>
        <v>7512194</v>
      </c>
      <c r="AC3442" s="11">
        <f>$E3442+21</f>
        <v>124</v>
      </c>
      <c r="AD3442" s="12">
        <f>IF($J3442=0,0,ROUND(MAX($J3442*1.4*1.5*1.6*1.6*2.2*2.715*2.6*1.4*1.4*1.5,12600000000*(1.652953^(MIN($E3442,123)-117)))*1,0))</f>
        <v>11084688</v>
      </c>
      <c r="AE3442" s="13">
        <f>$E3442+24</f>
        <v>127</v>
      </c>
      <c r="AF3442" s="14">
        <f>IF($J3442=0,0,ROUND(MAX($J3442*1.4*1.5*1.6*1.6*2.2*2.715*2.6*1.4*1.4*1.5*1.5,18900000000*(1.65331^(MIN($E3442,123)-117)))*1,0))</f>
        <v>16576839</v>
      </c>
      <c r="AG3442" s="11">
        <f>$E3442+27</f>
        <v>130</v>
      </c>
      <c r="AH3442" s="12">
        <f>IF($J3442=0,0,ROUND(MAX($J3442*1.4*1.5*1.6*1.6*2.2*2.715*2.6*1.4*1.4*1.5*1.5*3.2,60500000000*(1.654288^(MIN($E3442,123)-117)))*1,0))</f>
        <v>52625920</v>
      </c>
    </row>
    <row r="3443" ht="28" customHeight="1" spans="1:34" x14ac:dyDescent="0.25">
      <c r="A3443">
        <v>3453</v>
      </c>
      <c r="B3443" t="s">
        <v>683</v>
      </c>
      <c r="C3443" s="10" t="s">
        <v>1785</v>
      </c>
      <c r="D3443" t="s">
        <v>33</v>
      </c>
      <c r="E3443">
        <v>103</v>
      </c>
      <c r="F3443" t="s">
        <v>71</v>
      </c>
      <c r="G3443" t="s">
        <v>684</v>
      </c>
      <c r="H3443">
        <v>22</v>
      </c>
      <c r="I3443" s="11">
        <f>$E3443+0</f>
        <v>103</v>
      </c>
      <c r="J3443" s="12">
        <v>20700</v>
      </c>
      <c r="K3443" s="13">
        <f>$E3443+1</f>
        <v>104</v>
      </c>
      <c r="L3443" s="14">
        <f>IF($J3443=0,0,ROUND(MAX($J3443*1.4,1620000*(1.497923^(MIN($E3443,123)-117)))*1,0))</f>
        <v>28980</v>
      </c>
      <c r="M3443" s="11">
        <f>$E3443+2</f>
        <v>105</v>
      </c>
      <c r="N3443" s="12">
        <f>IF($J3443=0,0,ROUND(MAX($J3443*1.4*1.5,2190000*(1.580994^(MIN($E3443,123)-117)))*1,0))</f>
        <v>43470</v>
      </c>
      <c r="O3443" s="13">
        <f>$E3443+4</f>
        <v>107</v>
      </c>
      <c r="P3443" s="14">
        <f>IF($J3443=0,0,ROUND(MAX($J3443*1.4*1.5*1.6,3500000*(1.57975^(MIN($E3443,123)-117)))*1,0))</f>
        <v>69552</v>
      </c>
      <c r="Q3443" s="11">
        <f>$E3443+6</f>
        <v>109</v>
      </c>
      <c r="R3443" s="12">
        <f>IF($J3443=0,0,ROUND(MAX($J3443*1.4*1.5*1.6*1.6,13100000*(1.429962^(MIN($E3443,123)-117)))*1,0))</f>
        <v>111283</v>
      </c>
      <c r="S3443" s="13">
        <f>$E3443+8</f>
        <v>111</v>
      </c>
      <c r="T3443" s="14">
        <f>IF($J3443=0,0,ROUND(MAX($J3443*1.4*1.5*1.6*1.6*2.2,42600000*(1.576904^(MIN($E3443,123)-117)))*1,0))</f>
        <v>244823</v>
      </c>
      <c r="U3443" s="11">
        <f>$E3443+11</f>
        <v>114</v>
      </c>
      <c r="V3443" s="12">
        <f>IF($J3443=0,0,ROUND(MAX($J3443*1.4*1.5*1.6*1.6*2.2*2.715,354000000*(1.642074^(MIN($E3443,123)-117)))*1,0))</f>
        <v>664695</v>
      </c>
      <c r="W3443" s="13">
        <f>$E3443+15</f>
        <v>118</v>
      </c>
      <c r="X3443" s="14">
        <f>IF($J3443=0,0,ROUND(MAX($J3443*1.4*1.5*1.6*1.6*2.2*2.715*2.6,3540000000*(1.579646^(MIN($E3443,123)-117)))*1,0))</f>
        <v>5877146</v>
      </c>
      <c r="Y3443" s="11">
        <f>$E3443+17</f>
        <v>120</v>
      </c>
      <c r="Z3443" s="12">
        <f>IF($J3443=0,0,ROUND(MAX($J3443*1.4*1.5*1.6*1.6*2.2*2.715*2.6*1.4,6020000000*(1.651178^(MIN($E3443,123)-117)))*1,0))</f>
        <v>5376281</v>
      </c>
      <c r="AA3443" s="13">
        <f>$E3443+19</f>
        <v>122</v>
      </c>
      <c r="AB3443" s="14">
        <f>IF($J3443=0,0,ROUND(MAX($J3443*1.4*1.5*1.6*1.6*2.2*2.715*2.6*1.4*1.4,8430000000*(1.651435^(MIN($E3443,123)-117)))*1,0))</f>
        <v>7512194</v>
      </c>
      <c r="AC3443" s="11">
        <f>$E3443+21</f>
        <v>124</v>
      </c>
      <c r="AD3443" s="12">
        <f>IF($J3443=0,0,ROUND(MAX($J3443*1.4*1.5*1.6*1.6*2.2*2.715*2.6*1.4*1.4*1.5,12600000000*(1.652953^(MIN($E3443,123)-117)))*1,0))</f>
        <v>11084688</v>
      </c>
      <c r="AE3443" s="13">
        <f>$E3443+24</f>
        <v>127</v>
      </c>
      <c r="AF3443" s="14">
        <f>IF($J3443=0,0,ROUND(MAX($J3443*1.4*1.5*1.6*1.6*2.2*2.715*2.6*1.4*1.4*1.5*1.5,18900000000*(1.65331^(MIN($E3443,123)-117)))*1,0))</f>
        <v>16576839</v>
      </c>
      <c r="AG3443" s="11">
        <f>$E3443+27</f>
        <v>130</v>
      </c>
      <c r="AH3443" s="12">
        <f>IF($J3443=0,0,ROUND(MAX($J3443*1.4*1.5*1.6*1.6*2.2*2.715*2.6*1.4*1.4*1.5*1.5*3.2,60500000000*(1.654288^(MIN($E3443,123)-117)))*1,0))</f>
        <v>52625920</v>
      </c>
    </row>
    <row r="3444" ht="28" customHeight="1" spans="1:34" x14ac:dyDescent="0.25">
      <c r="A3444">
        <v>3454</v>
      </c>
      <c r="B3444" t="s">
        <v>1265</v>
      </c>
      <c r="C3444" s="10" t="s">
        <v>1785</v>
      </c>
      <c r="D3444" t="s">
        <v>33</v>
      </c>
      <c r="E3444">
        <v>103</v>
      </c>
      <c r="F3444" t="s">
        <v>56</v>
      </c>
      <c r="G3444" t="s">
        <v>57</v>
      </c>
      <c r="H3444">
        <v>22</v>
      </c>
      <c r="I3444" s="11">
        <f>$E3444+0</f>
        <v>103</v>
      </c>
      <c r="J3444" s="12">
        <v>12100</v>
      </c>
      <c r="K3444" s="13">
        <f>$E3444+1</f>
        <v>104</v>
      </c>
      <c r="L3444" s="14">
        <f>IF($J3444=0,0,ROUND(MAX($J3444*1.4,1620000*(1.497923^(MIN($E3444,123)-117)))*1,0))</f>
        <v>16940</v>
      </c>
      <c r="M3444" s="11">
        <f>$E3444+2</f>
        <v>105</v>
      </c>
      <c r="N3444" s="12">
        <f>IF($J3444=0,0,ROUND(MAX($J3444*1.4*1.5,2190000*(1.580994^(MIN($E3444,123)-117)))*1,0))</f>
        <v>25410</v>
      </c>
      <c r="O3444" s="13">
        <f>$E3444+4</f>
        <v>107</v>
      </c>
      <c r="P3444" s="14">
        <f>IF($J3444=0,0,ROUND(MAX($J3444*1.4*1.5*1.6,3500000*(1.57975^(MIN($E3444,123)-117)))*1,0))</f>
        <v>40656</v>
      </c>
      <c r="Q3444" s="11">
        <f>$E3444+6</f>
        <v>109</v>
      </c>
      <c r="R3444" s="12">
        <f>IF($J3444=0,0,ROUND(MAX($J3444*1.4*1.5*1.6*1.6,13100000*(1.429962^(MIN($E3444,123)-117)))*1,0))</f>
        <v>87645</v>
      </c>
      <c r="S3444" s="13">
        <f>$E3444+8</f>
        <v>111</v>
      </c>
      <c r="T3444" s="14">
        <f>IF($J3444=0,0,ROUND(MAX($J3444*1.4*1.5*1.6*1.6*2.2,42600000*(1.576904^(MIN($E3444,123)-117)))*1,0))</f>
        <v>143109</v>
      </c>
      <c r="U3444" s="11">
        <f>$E3444+11</f>
        <v>114</v>
      </c>
      <c r="V3444" s="12">
        <f>IF($J3444=0,0,ROUND(MAX($J3444*1.4*1.5*1.6*1.6*2.2*2.715,354000000*(1.642074^(MIN($E3444,123)-117)))*1,0))</f>
        <v>388541</v>
      </c>
      <c r="W3444" s="13">
        <f>$E3444+15</f>
        <v>118</v>
      </c>
      <c r="X3444" s="14">
        <f>IF($J3444=0,0,ROUND(MAX($J3444*1.4*1.5*1.6*1.6*2.2*2.715*2.6,3540000000*(1.579646^(MIN($E3444,123)-117)))*1,0))</f>
        <v>5877146</v>
      </c>
      <c r="Y3444" s="11">
        <f>$E3444+17</f>
        <v>120</v>
      </c>
      <c r="Z3444" s="12">
        <f>IF($J3444=0,0,ROUND(MAX($J3444*1.4*1.5*1.6*1.6*2.2*2.715*2.6*1.4,6020000000*(1.651178^(MIN($E3444,123)-117)))*1,0))</f>
        <v>5376281</v>
      </c>
      <c r="AA3444" s="13">
        <f>$E3444+19</f>
        <v>122</v>
      </c>
      <c r="AB3444" s="14">
        <f>IF($J3444=0,0,ROUND(MAX($J3444*1.4*1.5*1.6*1.6*2.2*2.715*2.6*1.4*1.4,8430000000*(1.651435^(MIN($E3444,123)-117)))*1,0))</f>
        <v>7512194</v>
      </c>
      <c r="AC3444" s="11">
        <f>$E3444+21</f>
        <v>124</v>
      </c>
      <c r="AD3444" s="12">
        <f>IF($J3444=0,0,ROUND(MAX($J3444*1.4*1.5*1.6*1.6*2.2*2.715*2.6*1.4*1.4*1.5,12600000000*(1.652953^(MIN($E3444,123)-117)))*1,0))</f>
        <v>11084688</v>
      </c>
      <c r="AE3444" s="13">
        <f>$E3444+24</f>
        <v>127</v>
      </c>
      <c r="AF3444" s="14">
        <f>IF($J3444=0,0,ROUND(MAX($J3444*1.4*1.5*1.6*1.6*2.2*2.715*2.6*1.4*1.4*1.5*1.5,18900000000*(1.65331^(MIN($E3444,123)-117)))*1,0))</f>
        <v>16576839</v>
      </c>
      <c r="AG3444" s="11">
        <f>$E3444+27</f>
        <v>130</v>
      </c>
      <c r="AH3444" s="12">
        <f>IF($J3444=0,0,ROUND(MAX($J3444*1.4*1.5*1.6*1.6*2.2*2.715*2.6*1.4*1.4*1.5*1.5*3.2,60500000000*(1.654288^(MIN($E3444,123)-117)))*1,0))</f>
        <v>52625920</v>
      </c>
    </row>
    <row r="3445" ht="28" customHeight="1" spans="1:34" x14ac:dyDescent="0.25">
      <c r="A3445">
        <v>3455</v>
      </c>
      <c r="B3445" t="s">
        <v>796</v>
      </c>
      <c r="C3445" s="10" t="s">
        <v>1785</v>
      </c>
      <c r="D3445" t="s">
        <v>45</v>
      </c>
      <c r="E3445">
        <v>103</v>
      </c>
      <c r="F3445" t="s">
        <v>42</v>
      </c>
      <c r="G3445" t="s">
        <v>797</v>
      </c>
      <c r="H3445">
        <v>22</v>
      </c>
      <c r="I3445" s="11">
        <f>$E3445+0</f>
        <v>103</v>
      </c>
      <c r="J3445" s="12">
        <v>19100</v>
      </c>
      <c r="K3445" s="13">
        <f>$E3445+1</f>
        <v>104</v>
      </c>
      <c r="L3445" s="14">
        <f>IF($J3445=0,0,ROUND(MAX($J3445*1.4,1620000*(1.497923^(MIN($E3445,123)-117)))*1,0))</f>
        <v>26740</v>
      </c>
      <c r="M3445" s="11">
        <f>$E3445+2</f>
        <v>105</v>
      </c>
      <c r="N3445" s="12">
        <f>IF($J3445=0,0,ROUND(MAX($J3445*1.4*1.5,2190000*(1.580994^(MIN($E3445,123)-117)))*1,0))</f>
        <v>40110</v>
      </c>
      <c r="O3445" s="13">
        <f>$E3445+4</f>
        <v>107</v>
      </c>
      <c r="P3445" s="14">
        <f>IF($J3445=0,0,ROUND(MAX($J3445*1.4*1.5*1.6,3500000*(1.57975^(MIN($E3445,123)-117)))*1,0))</f>
        <v>64176</v>
      </c>
      <c r="Q3445" s="11">
        <f>$E3445+6</f>
        <v>109</v>
      </c>
      <c r="R3445" s="12">
        <f>IF($J3445=0,0,ROUND(MAX($J3445*1.4*1.5*1.6*1.6,13100000*(1.429962^(MIN($E3445,123)-117)))*1,0))</f>
        <v>102682</v>
      </c>
      <c r="S3445" s="13">
        <f>$E3445+8</f>
        <v>111</v>
      </c>
      <c r="T3445" s="14">
        <f>IF($J3445=0,0,ROUND(MAX($J3445*1.4*1.5*1.6*1.6*2.2,42600000*(1.576904^(MIN($E3445,123)-117)))*1,0))</f>
        <v>225900</v>
      </c>
      <c r="U3445" s="11">
        <f>$E3445+11</f>
        <v>114</v>
      </c>
      <c r="V3445" s="12">
        <f>IF($J3445=0,0,ROUND(MAX($J3445*1.4*1.5*1.6*1.6*2.2*2.715,354000000*(1.642074^(MIN($E3445,123)-117)))*1,0))</f>
        <v>613317</v>
      </c>
      <c r="W3445" s="13">
        <f>$E3445+15</f>
        <v>118</v>
      </c>
      <c r="X3445" s="14">
        <f>IF($J3445=0,0,ROUND(MAX($J3445*1.4*1.5*1.6*1.6*2.2*2.715*2.6,3540000000*(1.579646^(MIN($E3445,123)-117)))*1,0))</f>
        <v>5877146</v>
      </c>
      <c r="Y3445" s="11">
        <f>$E3445+17</f>
        <v>120</v>
      </c>
      <c r="Z3445" s="12">
        <f>IF($J3445=0,0,ROUND(MAX($J3445*1.4*1.5*1.6*1.6*2.2*2.715*2.6*1.4,6020000000*(1.651178^(MIN($E3445,123)-117)))*1,0))</f>
        <v>5376281</v>
      </c>
      <c r="AA3445" s="13">
        <f>$E3445+19</f>
        <v>122</v>
      </c>
      <c r="AB3445" s="14">
        <f>IF($J3445=0,0,ROUND(MAX($J3445*1.4*1.5*1.6*1.6*2.2*2.715*2.6*1.4*1.4,8430000000*(1.651435^(MIN($E3445,123)-117)))*1,0))</f>
        <v>7512194</v>
      </c>
      <c r="AC3445" s="11">
        <f>$E3445+21</f>
        <v>124</v>
      </c>
      <c r="AD3445" s="12">
        <f>IF($J3445=0,0,ROUND(MAX($J3445*1.4*1.5*1.6*1.6*2.2*2.715*2.6*1.4*1.4*1.5,12600000000*(1.652953^(MIN($E3445,123)-117)))*1,0))</f>
        <v>11084688</v>
      </c>
      <c r="AE3445" s="13">
        <f>$E3445+24</f>
        <v>127</v>
      </c>
      <c r="AF3445" s="14">
        <f>IF($J3445=0,0,ROUND(MAX($J3445*1.4*1.5*1.6*1.6*2.2*2.715*2.6*1.4*1.4*1.5*1.5,18900000000*(1.65331^(MIN($E3445,123)-117)))*1,0))</f>
        <v>16576839</v>
      </c>
      <c r="AG3445" s="11">
        <f>$E3445+27</f>
        <v>130</v>
      </c>
      <c r="AH3445" s="12">
        <f>IF($J3445=0,0,ROUND(MAX($J3445*1.4*1.5*1.6*1.6*2.2*2.715*2.6*1.4*1.4*1.5*1.5*3.2,60500000000*(1.654288^(MIN($E3445,123)-117)))*1,0))</f>
        <v>52625920</v>
      </c>
    </row>
    <row r="3446" ht="28" customHeight="1" spans="1:34" x14ac:dyDescent="0.25">
      <c r="A3446">
        <v>3456</v>
      </c>
      <c r="B3446" t="s">
        <v>1789</v>
      </c>
      <c r="C3446" s="10" t="s">
        <v>1785</v>
      </c>
      <c r="D3446" t="s">
        <v>79</v>
      </c>
      <c r="E3446">
        <v>103</v>
      </c>
      <c r="F3446" t="s">
        <v>146</v>
      </c>
      <c r="G3446" t="s">
        <v>244</v>
      </c>
      <c r="H3446">
        <v>21</v>
      </c>
      <c r="I3446" s="11">
        <f>$E3446+0</f>
        <v>103</v>
      </c>
      <c r="J3446" s="12">
        <v>17800</v>
      </c>
      <c r="K3446" s="13">
        <f>$E3446+1</f>
        <v>104</v>
      </c>
      <c r="L3446" s="14">
        <f>IF($J3446=0,0,ROUND(MAX($J3446*1.4,1620000*(1.497923^(MIN($E3446,123)-117)))*1,0))</f>
        <v>24920</v>
      </c>
      <c r="M3446" s="11">
        <f>$E3446+2</f>
        <v>105</v>
      </c>
      <c r="N3446" s="12">
        <f>IF($J3446=0,0,ROUND(MAX($J3446*1.4*1.5,2190000*(1.580994^(MIN($E3446,123)-117)))*1,0))</f>
        <v>37380</v>
      </c>
      <c r="O3446" s="13">
        <f>$E3446+4</f>
        <v>107</v>
      </c>
      <c r="P3446" s="14">
        <f>IF($J3446=0,0,ROUND(MAX($J3446*1.4*1.5*1.6,3500000*(1.57975^(MIN($E3446,123)-117)))*1,0))</f>
        <v>59808</v>
      </c>
      <c r="Q3446" s="11">
        <f>$E3446+6</f>
        <v>109</v>
      </c>
      <c r="R3446" s="12">
        <f>IF($J3446=0,0,ROUND(MAX($J3446*1.4*1.5*1.6*1.6,13100000*(1.429962^(MIN($E3446,123)-117)))*1,0))</f>
        <v>95693</v>
      </c>
      <c r="S3446" s="13">
        <f>$E3446+8</f>
        <v>111</v>
      </c>
      <c r="T3446" s="14">
        <f>IF($J3446=0,0,ROUND(MAX($J3446*1.4*1.5*1.6*1.6*2.2,42600000*(1.576904^(MIN($E3446,123)-117)))*1,0))</f>
        <v>210524</v>
      </c>
      <c r="U3446" s="11">
        <f>$E3446+11</f>
        <v>114</v>
      </c>
      <c r="V3446" s="12">
        <f>IF($J3446=0,0,ROUND(MAX($J3446*1.4*1.5*1.6*1.6*2.2*2.715,354000000*(1.642074^(MIN($E3446,123)-117)))*1,0))</f>
        <v>571573</v>
      </c>
      <c r="W3446" s="13">
        <f>$E3446+15</f>
        <v>118</v>
      </c>
      <c r="X3446" s="14">
        <f>IF($J3446=0,0,ROUND(MAX($J3446*1.4*1.5*1.6*1.6*2.2*2.715*2.6,3540000000*(1.579646^(MIN($E3446,123)-117)))*1,0))</f>
        <v>5877146</v>
      </c>
      <c r="Y3446" s="11">
        <f>$E3446+17</f>
        <v>120</v>
      </c>
      <c r="Z3446" s="12">
        <f>IF($J3446=0,0,ROUND(MAX($J3446*1.4*1.5*1.6*1.6*2.2*2.715*2.6*1.4,6020000000*(1.651178^(MIN($E3446,123)-117)))*1,0))</f>
        <v>5376281</v>
      </c>
      <c r="AA3446" s="13">
        <f>$E3446+19</f>
        <v>122</v>
      </c>
      <c r="AB3446" s="14">
        <f>IF($J3446=0,0,ROUND(MAX($J3446*1.4*1.5*1.6*1.6*2.2*2.715*2.6*1.4*1.4,8430000000*(1.651435^(MIN($E3446,123)-117)))*1,0))</f>
        <v>7512194</v>
      </c>
      <c r="AC3446" s="11">
        <f>$E3446+21</f>
        <v>124</v>
      </c>
      <c r="AD3446" s="12">
        <f>IF($J3446=0,0,ROUND(MAX($J3446*1.4*1.5*1.6*1.6*2.2*2.715*2.6*1.4*1.4*1.5,12600000000*(1.652953^(MIN($E3446,123)-117)))*1,0))</f>
        <v>11084688</v>
      </c>
      <c r="AE3446" s="13">
        <f>$E3446+24</f>
        <v>127</v>
      </c>
      <c r="AF3446" s="14">
        <f>IF($J3446=0,0,ROUND(MAX($J3446*1.4*1.5*1.6*1.6*2.2*2.715*2.6*1.4*1.4*1.5*1.5,18900000000*(1.65331^(MIN($E3446,123)-117)))*1,0))</f>
        <v>16576839</v>
      </c>
      <c r="AG3446" s="11">
        <f>$E3446+27</f>
        <v>130</v>
      </c>
      <c r="AH3446" s="12">
        <f>IF($J3446=0,0,ROUND(MAX($J3446*1.4*1.5*1.6*1.6*2.2*2.715*2.6*1.4*1.4*1.5*1.5*3.2,60500000000*(1.654288^(MIN($E3446,123)-117)))*1,0))</f>
        <v>52625920</v>
      </c>
    </row>
    <row r="3447" ht="28" customHeight="1" spans="1:34" x14ac:dyDescent="0.25">
      <c r="A3447">
        <v>3457</v>
      </c>
      <c r="B3447" t="s">
        <v>1494</v>
      </c>
      <c r="C3447" s="10" t="s">
        <v>1785</v>
      </c>
      <c r="D3447" t="s">
        <v>75</v>
      </c>
      <c r="E3447">
        <v>103</v>
      </c>
      <c r="F3447" t="s">
        <v>146</v>
      </c>
      <c r="G3447" t="s">
        <v>1013</v>
      </c>
      <c r="H3447">
        <v>21</v>
      </c>
      <c r="I3447" s="11">
        <f>$E3447+0</f>
        <v>103</v>
      </c>
      <c r="J3447" s="12">
        <v>22600</v>
      </c>
      <c r="K3447" s="13">
        <f>$E3447+1</f>
        <v>104</v>
      </c>
      <c r="L3447" s="14">
        <f>IF($J3447=0,0,ROUND(MAX($J3447*1.4,1620000*(1.497923^(MIN($E3447,123)-117)))*1,0))</f>
        <v>31640</v>
      </c>
      <c r="M3447" s="11">
        <f>$E3447+2</f>
        <v>105</v>
      </c>
      <c r="N3447" s="12">
        <f>IF($J3447=0,0,ROUND(MAX($J3447*1.4*1.5,2190000*(1.580994^(MIN($E3447,123)-117)))*1,0))</f>
        <v>47460</v>
      </c>
      <c r="O3447" s="13">
        <f>$E3447+4</f>
        <v>107</v>
      </c>
      <c r="P3447" s="14">
        <f>IF($J3447=0,0,ROUND(MAX($J3447*1.4*1.5*1.6,3500000*(1.57975^(MIN($E3447,123)-117)))*1,0))</f>
        <v>75936</v>
      </c>
      <c r="Q3447" s="11">
        <f>$E3447+6</f>
        <v>109</v>
      </c>
      <c r="R3447" s="12">
        <f>IF($J3447=0,0,ROUND(MAX($J3447*1.4*1.5*1.6*1.6,13100000*(1.429962^(MIN($E3447,123)-117)))*1,0))</f>
        <v>121498</v>
      </c>
      <c r="S3447" s="13">
        <f>$E3447+8</f>
        <v>111</v>
      </c>
      <c r="T3447" s="14">
        <f>IF($J3447=0,0,ROUND(MAX($J3447*1.4*1.5*1.6*1.6*2.2,42600000*(1.576904^(MIN($E3447,123)-117)))*1,0))</f>
        <v>267295</v>
      </c>
      <c r="U3447" s="11">
        <f>$E3447+11</f>
        <v>114</v>
      </c>
      <c r="V3447" s="12">
        <f>IF($J3447=0,0,ROUND(MAX($J3447*1.4*1.5*1.6*1.6*2.2*2.715,354000000*(1.642074^(MIN($E3447,123)-117)))*1,0))</f>
        <v>725705</v>
      </c>
      <c r="W3447" s="13">
        <f>$E3447+15</f>
        <v>118</v>
      </c>
      <c r="X3447" s="14">
        <f>IF($J3447=0,0,ROUND(MAX($J3447*1.4*1.5*1.6*1.6*2.2*2.715*2.6,3540000000*(1.579646^(MIN($E3447,123)-117)))*1,0))</f>
        <v>5877146</v>
      </c>
      <c r="Y3447" s="11">
        <f>$E3447+17</f>
        <v>120</v>
      </c>
      <c r="Z3447" s="12">
        <f>IF($J3447=0,0,ROUND(MAX($J3447*1.4*1.5*1.6*1.6*2.2*2.715*2.6*1.4,6020000000*(1.651178^(MIN($E3447,123)-117)))*1,0))</f>
        <v>5376281</v>
      </c>
      <c r="AA3447" s="13">
        <f>$E3447+19</f>
        <v>122</v>
      </c>
      <c r="AB3447" s="14">
        <f>IF($J3447=0,0,ROUND(MAX($J3447*1.4*1.5*1.6*1.6*2.2*2.715*2.6*1.4*1.4,8430000000*(1.651435^(MIN($E3447,123)-117)))*1,0))</f>
        <v>7512194</v>
      </c>
      <c r="AC3447" s="11">
        <f>$E3447+21</f>
        <v>124</v>
      </c>
      <c r="AD3447" s="12">
        <f>IF($J3447=0,0,ROUND(MAX($J3447*1.4*1.5*1.6*1.6*2.2*2.715*2.6*1.4*1.4*1.5,12600000000*(1.652953^(MIN($E3447,123)-117)))*1,0))</f>
        <v>11084688</v>
      </c>
      <c r="AE3447" s="13">
        <f>$E3447+24</f>
        <v>127</v>
      </c>
      <c r="AF3447" s="14">
        <f>IF($J3447=0,0,ROUND(MAX($J3447*1.4*1.5*1.6*1.6*2.2*2.715*2.6*1.4*1.4*1.5*1.5,18900000000*(1.65331^(MIN($E3447,123)-117)))*1,0))</f>
        <v>16576839</v>
      </c>
      <c r="AG3447" s="11">
        <f>$E3447+27</f>
        <v>130</v>
      </c>
      <c r="AH3447" s="12">
        <f>IF($J3447=0,0,ROUND(MAX($J3447*1.4*1.5*1.6*1.6*2.2*2.715*2.6*1.4*1.4*1.5*1.5*3.2,60500000000*(1.654288^(MIN($E3447,123)-117)))*1,0))</f>
        <v>52625920</v>
      </c>
    </row>
    <row r="3448" ht="28" customHeight="1" spans="1:34" x14ac:dyDescent="0.25">
      <c r="A3448">
        <v>3458</v>
      </c>
      <c r="B3448" t="s">
        <v>1689</v>
      </c>
      <c r="C3448" s="10" t="s">
        <v>1785</v>
      </c>
      <c r="D3448" t="s">
        <v>102</v>
      </c>
      <c r="E3448">
        <v>103</v>
      </c>
      <c r="F3448" t="s">
        <v>56</v>
      </c>
      <c r="G3448" t="s">
        <v>185</v>
      </c>
      <c r="H3448">
        <v>21</v>
      </c>
      <c r="I3448" s="11">
        <f>$E3448+0</f>
        <v>103</v>
      </c>
      <c r="J3448" s="12">
        <v>13500</v>
      </c>
      <c r="K3448" s="13">
        <f>$E3448+1</f>
        <v>104</v>
      </c>
      <c r="L3448" s="14">
        <f>IF($J3448=0,0,ROUND(MAX($J3448*1.4,1620000*(1.497923^(MIN($E3448,123)-117)))*1,0))</f>
        <v>18900</v>
      </c>
      <c r="M3448" s="11">
        <f>$E3448+2</f>
        <v>105</v>
      </c>
      <c r="N3448" s="12">
        <f>IF($J3448=0,0,ROUND(MAX($J3448*1.4*1.5,2190000*(1.580994^(MIN($E3448,123)-117)))*1,0))</f>
        <v>28350</v>
      </c>
      <c r="O3448" s="13">
        <f>$E3448+4</f>
        <v>107</v>
      </c>
      <c r="P3448" s="14">
        <f>IF($J3448=0,0,ROUND(MAX($J3448*1.4*1.5*1.6,3500000*(1.57975^(MIN($E3448,123)-117)))*1,0))</f>
        <v>45360</v>
      </c>
      <c r="Q3448" s="11">
        <f>$E3448+6</f>
        <v>109</v>
      </c>
      <c r="R3448" s="12">
        <f>IF($J3448=0,0,ROUND(MAX($J3448*1.4*1.5*1.6*1.6,13100000*(1.429962^(MIN($E3448,123)-117)))*1,0))</f>
        <v>87645</v>
      </c>
      <c r="S3448" s="13">
        <f>$E3448+8</f>
        <v>111</v>
      </c>
      <c r="T3448" s="14">
        <f>IF($J3448=0,0,ROUND(MAX($J3448*1.4*1.5*1.6*1.6*2.2,42600000*(1.576904^(MIN($E3448,123)-117)))*1,0))</f>
        <v>159667</v>
      </c>
      <c r="U3448" s="11">
        <f>$E3448+11</f>
        <v>114</v>
      </c>
      <c r="V3448" s="12">
        <f>IF($J3448=0,0,ROUND(MAX($J3448*1.4*1.5*1.6*1.6*2.2*2.715,354000000*(1.642074^(MIN($E3448,123)-117)))*1,0))</f>
        <v>433496</v>
      </c>
      <c r="W3448" s="13">
        <f>$E3448+15</f>
        <v>118</v>
      </c>
      <c r="X3448" s="14">
        <f>IF($J3448=0,0,ROUND(MAX($J3448*1.4*1.5*1.6*1.6*2.2*2.715*2.6,3540000000*(1.579646^(MIN($E3448,123)-117)))*1,0))</f>
        <v>5877146</v>
      </c>
      <c r="Y3448" s="11">
        <f>$E3448+17</f>
        <v>120</v>
      </c>
      <c r="Z3448" s="12">
        <f>IF($J3448=0,0,ROUND(MAX($J3448*1.4*1.5*1.6*1.6*2.2*2.715*2.6*1.4,6020000000*(1.651178^(MIN($E3448,123)-117)))*1,0))</f>
        <v>5376281</v>
      </c>
      <c r="AA3448" s="13">
        <f>$E3448+19</f>
        <v>122</v>
      </c>
      <c r="AB3448" s="14">
        <f>IF($J3448=0,0,ROUND(MAX($J3448*1.4*1.5*1.6*1.6*2.2*2.715*2.6*1.4*1.4,8430000000*(1.651435^(MIN($E3448,123)-117)))*1,0))</f>
        <v>7512194</v>
      </c>
      <c r="AC3448" s="11">
        <f>$E3448+21</f>
        <v>124</v>
      </c>
      <c r="AD3448" s="12">
        <f>IF($J3448=0,0,ROUND(MAX($J3448*1.4*1.5*1.6*1.6*2.2*2.715*2.6*1.4*1.4*1.5,12600000000*(1.652953^(MIN($E3448,123)-117)))*1,0))</f>
        <v>11084688</v>
      </c>
      <c r="AE3448" s="13">
        <f>$E3448+24</f>
        <v>127</v>
      </c>
      <c r="AF3448" s="14">
        <f>IF($J3448=0,0,ROUND(MAX($J3448*1.4*1.5*1.6*1.6*2.2*2.715*2.6*1.4*1.4*1.5*1.5,18900000000*(1.65331^(MIN($E3448,123)-117)))*1,0))</f>
        <v>16576839</v>
      </c>
      <c r="AG3448" s="11">
        <f>$E3448+27</f>
        <v>130</v>
      </c>
      <c r="AH3448" s="12">
        <f>IF($J3448=0,0,ROUND(MAX($J3448*1.4*1.5*1.6*1.6*2.2*2.715*2.6*1.4*1.4*1.5*1.5*3.2,60500000000*(1.654288^(MIN($E3448,123)-117)))*1,0))</f>
        <v>52625920</v>
      </c>
    </row>
    <row r="3449" ht="28" customHeight="1" spans="1:34" x14ac:dyDescent="0.25">
      <c r="A3449">
        <v>3459</v>
      </c>
      <c r="B3449" t="s">
        <v>1060</v>
      </c>
      <c r="C3449" s="10" t="s">
        <v>1785</v>
      </c>
      <c r="D3449" t="s">
        <v>75</v>
      </c>
      <c r="E3449">
        <v>103</v>
      </c>
      <c r="F3449" t="s">
        <v>56</v>
      </c>
      <c r="G3449" t="s">
        <v>57</v>
      </c>
      <c r="H3449">
        <v>21</v>
      </c>
      <c r="I3449" s="11">
        <f>$E3449+0</f>
        <v>103</v>
      </c>
      <c r="J3449" s="12">
        <v>10000</v>
      </c>
      <c r="K3449" s="13">
        <f>$E3449+1</f>
        <v>104</v>
      </c>
      <c r="L3449" s="14">
        <f>IF($J3449=0,0,ROUND(MAX($J3449*1.4,1620000*(1.497923^(MIN($E3449,123)-117)))*1,0))</f>
        <v>14000</v>
      </c>
      <c r="M3449" s="11">
        <f>$E3449+2</f>
        <v>105</v>
      </c>
      <c r="N3449" s="12">
        <f>IF($J3449=0,0,ROUND(MAX($J3449*1.4*1.5,2190000*(1.580994^(MIN($E3449,123)-117)))*1,0))</f>
        <v>21000</v>
      </c>
      <c r="O3449" s="13">
        <f>$E3449+4</f>
        <v>107</v>
      </c>
      <c r="P3449" s="14">
        <f>IF($J3449=0,0,ROUND(MAX($J3449*1.4*1.5*1.6,3500000*(1.57975^(MIN($E3449,123)-117)))*1,0))</f>
        <v>33600</v>
      </c>
      <c r="Q3449" s="11">
        <f>$E3449+6</f>
        <v>109</v>
      </c>
      <c r="R3449" s="12">
        <f>IF($J3449=0,0,ROUND(MAX($J3449*1.4*1.5*1.6*1.6,13100000*(1.429962^(MIN($E3449,123)-117)))*1,0))</f>
        <v>87645</v>
      </c>
      <c r="S3449" s="13">
        <f>$E3449+8</f>
        <v>111</v>
      </c>
      <c r="T3449" s="14">
        <f>IF($J3449=0,0,ROUND(MAX($J3449*1.4*1.5*1.6*1.6*2.2,42600000*(1.576904^(MIN($E3449,123)-117)))*1,0))</f>
        <v>118272</v>
      </c>
      <c r="U3449" s="11">
        <f>$E3449+11</f>
        <v>114</v>
      </c>
      <c r="V3449" s="12">
        <f>IF($J3449=0,0,ROUND(MAX($J3449*1.4*1.5*1.6*1.6*2.2*2.715,354000000*(1.642074^(MIN($E3449,123)-117)))*1,0))</f>
        <v>341590</v>
      </c>
      <c r="W3449" s="13">
        <f>$E3449+15</f>
        <v>118</v>
      </c>
      <c r="X3449" s="14">
        <f>IF($J3449=0,0,ROUND(MAX($J3449*1.4*1.5*1.6*1.6*2.2*2.715*2.6,3540000000*(1.579646^(MIN($E3449,123)-117)))*1,0))</f>
        <v>5877146</v>
      </c>
      <c r="Y3449" s="11">
        <f>$E3449+17</f>
        <v>120</v>
      </c>
      <c r="Z3449" s="12">
        <f>IF($J3449=0,0,ROUND(MAX($J3449*1.4*1.5*1.6*1.6*2.2*2.715*2.6*1.4,6020000000*(1.651178^(MIN($E3449,123)-117)))*1,0))</f>
        <v>5376281</v>
      </c>
      <c r="AA3449" s="13">
        <f>$E3449+19</f>
        <v>122</v>
      </c>
      <c r="AB3449" s="14">
        <f>IF($J3449=0,0,ROUND(MAX($J3449*1.4*1.5*1.6*1.6*2.2*2.715*2.6*1.4*1.4,8430000000*(1.651435^(MIN($E3449,123)-117)))*1,0))</f>
        <v>7512194</v>
      </c>
      <c r="AC3449" s="11">
        <f>$E3449+21</f>
        <v>124</v>
      </c>
      <c r="AD3449" s="12">
        <f>IF($J3449=0,0,ROUND(MAX($J3449*1.4*1.5*1.6*1.6*2.2*2.715*2.6*1.4*1.4*1.5,12600000000*(1.652953^(MIN($E3449,123)-117)))*1,0))</f>
        <v>11084688</v>
      </c>
      <c r="AE3449" s="13">
        <f>$E3449+24</f>
        <v>127</v>
      </c>
      <c r="AF3449" s="14">
        <f>IF($J3449=0,0,ROUND(MAX($J3449*1.4*1.5*1.6*1.6*2.2*2.715*2.6*1.4*1.4*1.5*1.5,18900000000*(1.65331^(MIN($E3449,123)-117)))*1,0))</f>
        <v>16576839</v>
      </c>
      <c r="AG3449" s="11">
        <f>$E3449+27</f>
        <v>130</v>
      </c>
      <c r="AH3449" s="12">
        <f>IF($J3449=0,0,ROUND(MAX($J3449*1.4*1.5*1.6*1.6*2.2*2.715*2.6*1.4*1.4*1.5*1.5*3.2,60500000000*(1.654288^(MIN($E3449,123)-117)))*1,0))</f>
        <v>52625920</v>
      </c>
    </row>
    <row r="3450" ht="28" customHeight="1" spans="1:34" x14ac:dyDescent="0.25">
      <c r="A3450">
        <v>3460</v>
      </c>
      <c r="B3450" t="s">
        <v>815</v>
      </c>
      <c r="C3450" s="10" t="s">
        <v>1785</v>
      </c>
      <c r="D3450" t="s">
        <v>90</v>
      </c>
      <c r="E3450">
        <v>103</v>
      </c>
      <c r="F3450" t="s">
        <v>56</v>
      </c>
      <c r="G3450" t="s">
        <v>816</v>
      </c>
      <c r="H3450">
        <v>21</v>
      </c>
      <c r="I3450" s="11">
        <f>$E3450+0</f>
        <v>103</v>
      </c>
      <c r="J3450" s="12">
        <v>11000</v>
      </c>
      <c r="K3450" s="13">
        <f>$E3450+1</f>
        <v>104</v>
      </c>
      <c r="L3450" s="14">
        <f>IF($J3450=0,0,ROUND(MAX($J3450*1.4,1620000*(1.497923^(MIN($E3450,123)-117)))*1,0))</f>
        <v>15400</v>
      </c>
      <c r="M3450" s="11">
        <f>$E3450+2</f>
        <v>105</v>
      </c>
      <c r="N3450" s="12">
        <f>IF($J3450=0,0,ROUND(MAX($J3450*1.4*1.5,2190000*(1.580994^(MIN($E3450,123)-117)))*1,0))</f>
        <v>23100</v>
      </c>
      <c r="O3450" s="13">
        <f>$E3450+4</f>
        <v>107</v>
      </c>
      <c r="P3450" s="14">
        <f>IF($J3450=0,0,ROUND(MAX($J3450*1.4*1.5*1.6,3500000*(1.57975^(MIN($E3450,123)-117)))*1,0))</f>
        <v>36960</v>
      </c>
      <c r="Q3450" s="11">
        <f>$E3450+6</f>
        <v>109</v>
      </c>
      <c r="R3450" s="12">
        <f>IF($J3450=0,0,ROUND(MAX($J3450*1.4*1.5*1.6*1.6,13100000*(1.429962^(MIN($E3450,123)-117)))*1,0))</f>
        <v>87645</v>
      </c>
      <c r="S3450" s="13">
        <f>$E3450+8</f>
        <v>111</v>
      </c>
      <c r="T3450" s="14">
        <f>IF($J3450=0,0,ROUND(MAX($J3450*1.4*1.5*1.6*1.6*2.2,42600000*(1.576904^(MIN($E3450,123)-117)))*1,0))</f>
        <v>130099</v>
      </c>
      <c r="U3450" s="11">
        <f>$E3450+11</f>
        <v>114</v>
      </c>
      <c r="V3450" s="12">
        <f>IF($J3450=0,0,ROUND(MAX($J3450*1.4*1.5*1.6*1.6*2.2*2.715,354000000*(1.642074^(MIN($E3450,123)-117)))*1,0))</f>
        <v>353219</v>
      </c>
      <c r="W3450" s="13">
        <f>$E3450+15</f>
        <v>118</v>
      </c>
      <c r="X3450" s="14">
        <f>IF($J3450=0,0,ROUND(MAX($J3450*1.4*1.5*1.6*1.6*2.2*2.715*2.6,3540000000*(1.579646^(MIN($E3450,123)-117)))*1,0))</f>
        <v>5877146</v>
      </c>
      <c r="Y3450" s="11">
        <f>$E3450+17</f>
        <v>120</v>
      </c>
      <c r="Z3450" s="12">
        <f>IF($J3450=0,0,ROUND(MAX($J3450*1.4*1.5*1.6*1.6*2.2*2.715*2.6*1.4,6020000000*(1.651178^(MIN($E3450,123)-117)))*1,0))</f>
        <v>5376281</v>
      </c>
      <c r="AA3450" s="13">
        <f>$E3450+19</f>
        <v>122</v>
      </c>
      <c r="AB3450" s="14">
        <f>IF($J3450=0,0,ROUND(MAX($J3450*1.4*1.5*1.6*1.6*2.2*2.715*2.6*1.4*1.4,8430000000*(1.651435^(MIN($E3450,123)-117)))*1,0))</f>
        <v>7512194</v>
      </c>
      <c r="AC3450" s="11">
        <f>$E3450+21</f>
        <v>124</v>
      </c>
      <c r="AD3450" s="12">
        <f>IF($J3450=0,0,ROUND(MAX($J3450*1.4*1.5*1.6*1.6*2.2*2.715*2.6*1.4*1.4*1.5,12600000000*(1.652953^(MIN($E3450,123)-117)))*1,0))</f>
        <v>11084688</v>
      </c>
      <c r="AE3450" s="13">
        <f>$E3450+24</f>
        <v>127</v>
      </c>
      <c r="AF3450" s="14">
        <f>IF($J3450=0,0,ROUND(MAX($J3450*1.4*1.5*1.6*1.6*2.2*2.715*2.6*1.4*1.4*1.5*1.5,18900000000*(1.65331^(MIN($E3450,123)-117)))*1,0))</f>
        <v>16576839</v>
      </c>
      <c r="AG3450" s="11">
        <f>$E3450+27</f>
        <v>130</v>
      </c>
      <c r="AH3450" s="12">
        <f>IF($J3450=0,0,ROUND(MAX($J3450*1.4*1.5*1.6*1.6*2.2*2.715*2.6*1.4*1.4*1.5*1.5*3.2,60500000000*(1.654288^(MIN($E3450,123)-117)))*1,0))</f>
        <v>52625920</v>
      </c>
    </row>
    <row r="3451" ht="28" customHeight="1" spans="1:34" x14ac:dyDescent="0.25">
      <c r="A3451">
        <v>3461</v>
      </c>
      <c r="B3451" t="s">
        <v>1146</v>
      </c>
      <c r="C3451" s="10" t="s">
        <v>1785</v>
      </c>
      <c r="D3451" t="s">
        <v>33</v>
      </c>
      <c r="E3451">
        <v>103</v>
      </c>
      <c r="F3451" t="s">
        <v>146</v>
      </c>
      <c r="G3451" t="s">
        <v>562</v>
      </c>
      <c r="H3451">
        <v>21</v>
      </c>
      <c r="I3451" s="11">
        <f>$E3451+0</f>
        <v>103</v>
      </c>
      <c r="J3451" s="12">
        <v>13500</v>
      </c>
      <c r="K3451" s="13">
        <f>$E3451+1</f>
        <v>104</v>
      </c>
      <c r="L3451" s="14">
        <f>IF($J3451=0,0,ROUND(MAX($J3451*1.4,1620000*(1.497923^(MIN($E3451,123)-117)))*1,0))</f>
        <v>18900</v>
      </c>
      <c r="M3451" s="11">
        <f>$E3451+2</f>
        <v>105</v>
      </c>
      <c r="N3451" s="12">
        <f>IF($J3451=0,0,ROUND(MAX($J3451*1.4*1.5,2190000*(1.580994^(MIN($E3451,123)-117)))*1,0))</f>
        <v>28350</v>
      </c>
      <c r="O3451" s="13">
        <f>$E3451+4</f>
        <v>107</v>
      </c>
      <c r="P3451" s="14">
        <f>IF($J3451=0,0,ROUND(MAX($J3451*1.4*1.5*1.6,3500000*(1.57975^(MIN($E3451,123)-117)))*1,0))</f>
        <v>45360</v>
      </c>
      <c r="Q3451" s="11">
        <f>$E3451+6</f>
        <v>109</v>
      </c>
      <c r="R3451" s="12">
        <f>IF($J3451=0,0,ROUND(MAX($J3451*1.4*1.5*1.6*1.6,13100000*(1.429962^(MIN($E3451,123)-117)))*1,0))</f>
        <v>87645</v>
      </c>
      <c r="S3451" s="13">
        <f>$E3451+8</f>
        <v>111</v>
      </c>
      <c r="T3451" s="14">
        <f>IF($J3451=0,0,ROUND(MAX($J3451*1.4*1.5*1.6*1.6*2.2,42600000*(1.576904^(MIN($E3451,123)-117)))*1,0))</f>
        <v>159667</v>
      </c>
      <c r="U3451" s="11">
        <f>$E3451+11</f>
        <v>114</v>
      </c>
      <c r="V3451" s="12">
        <f>IF($J3451=0,0,ROUND(MAX($J3451*1.4*1.5*1.6*1.6*2.2*2.715,354000000*(1.642074^(MIN($E3451,123)-117)))*1,0))</f>
        <v>433496</v>
      </c>
      <c r="W3451" s="13">
        <f>$E3451+15</f>
        <v>118</v>
      </c>
      <c r="X3451" s="14">
        <f>IF($J3451=0,0,ROUND(MAX($J3451*1.4*1.5*1.6*1.6*2.2*2.715*2.6,3540000000*(1.579646^(MIN($E3451,123)-117)))*1,0))</f>
        <v>5877146</v>
      </c>
      <c r="Y3451" s="11">
        <f>$E3451+17</f>
        <v>120</v>
      </c>
      <c r="Z3451" s="12">
        <f>IF($J3451=0,0,ROUND(MAX($J3451*1.4*1.5*1.6*1.6*2.2*2.715*2.6*1.4,6020000000*(1.651178^(MIN($E3451,123)-117)))*1,0))</f>
        <v>5376281</v>
      </c>
      <c r="AA3451" s="13">
        <f>$E3451+19</f>
        <v>122</v>
      </c>
      <c r="AB3451" s="14">
        <f>IF($J3451=0,0,ROUND(MAX($J3451*1.4*1.5*1.6*1.6*2.2*2.715*2.6*1.4*1.4,8430000000*(1.651435^(MIN($E3451,123)-117)))*1,0))</f>
        <v>7512194</v>
      </c>
      <c r="AC3451" s="11">
        <f>$E3451+21</f>
        <v>124</v>
      </c>
      <c r="AD3451" s="12">
        <f>IF($J3451=0,0,ROUND(MAX($J3451*1.4*1.5*1.6*1.6*2.2*2.715*2.6*1.4*1.4*1.5,12600000000*(1.652953^(MIN($E3451,123)-117)))*1,0))</f>
        <v>11084688</v>
      </c>
      <c r="AE3451" s="13">
        <f>$E3451+24</f>
        <v>127</v>
      </c>
      <c r="AF3451" s="14">
        <f>IF($J3451=0,0,ROUND(MAX($J3451*1.4*1.5*1.6*1.6*2.2*2.715*2.6*1.4*1.4*1.5*1.5,18900000000*(1.65331^(MIN($E3451,123)-117)))*1,0))</f>
        <v>16576839</v>
      </c>
      <c r="AG3451" s="11">
        <f>$E3451+27</f>
        <v>130</v>
      </c>
      <c r="AH3451" s="12">
        <f>IF($J3451=0,0,ROUND(MAX($J3451*1.4*1.5*1.6*1.6*2.2*2.715*2.6*1.4*1.4*1.5*1.5*3.2,60500000000*(1.654288^(MIN($E3451,123)-117)))*1,0))</f>
        <v>52625920</v>
      </c>
    </row>
    <row r="3452" ht="28" customHeight="1" spans="1:34" x14ac:dyDescent="0.25">
      <c r="A3452">
        <v>3462</v>
      </c>
      <c r="B3452" t="s">
        <v>1477</v>
      </c>
      <c r="C3452" s="10" t="s">
        <v>1785</v>
      </c>
      <c r="D3452" t="s">
        <v>47</v>
      </c>
      <c r="E3452">
        <v>103</v>
      </c>
      <c r="F3452" t="s">
        <v>56</v>
      </c>
      <c r="G3452" t="s">
        <v>586</v>
      </c>
      <c r="H3452">
        <v>20</v>
      </c>
      <c r="I3452" s="11">
        <f>$E3452+0</f>
        <v>103</v>
      </c>
      <c r="J3452" s="12">
        <v>31400</v>
      </c>
      <c r="K3452" s="13">
        <f>$E3452+1</f>
        <v>104</v>
      </c>
      <c r="L3452" s="14">
        <f>IF($J3452=0,0,ROUND(MAX($J3452*1.4,1620000*(1.497923^(MIN($E3452,123)-117)))*1,0))</f>
        <v>43960</v>
      </c>
      <c r="M3452" s="11">
        <f>$E3452+2</f>
        <v>105</v>
      </c>
      <c r="N3452" s="12">
        <f>IF($J3452=0,0,ROUND(MAX($J3452*1.4*1.5,2190000*(1.580994^(MIN($E3452,123)-117)))*1,0))</f>
        <v>65940</v>
      </c>
      <c r="O3452" s="13">
        <f>$E3452+4</f>
        <v>107</v>
      </c>
      <c r="P3452" s="14">
        <f>IF($J3452=0,0,ROUND(MAX($J3452*1.4*1.5*1.6,3500000*(1.57975^(MIN($E3452,123)-117)))*1,0))</f>
        <v>105504</v>
      </c>
      <c r="Q3452" s="11">
        <f>$E3452+6</f>
        <v>109</v>
      </c>
      <c r="R3452" s="12">
        <f>IF($J3452=0,0,ROUND(MAX($J3452*1.4*1.5*1.6*1.6,13100000*(1.429962^(MIN($E3452,123)-117)))*1,0))</f>
        <v>168806</v>
      </c>
      <c r="S3452" s="13">
        <f>$E3452+8</f>
        <v>111</v>
      </c>
      <c r="T3452" s="14">
        <f>IF($J3452=0,0,ROUND(MAX($J3452*1.4*1.5*1.6*1.6*2.2,42600000*(1.576904^(MIN($E3452,123)-117)))*1,0))</f>
        <v>371374</v>
      </c>
      <c r="U3452" s="11">
        <f>$E3452+11</f>
        <v>114</v>
      </c>
      <c r="V3452" s="12">
        <f>IF($J3452=0,0,ROUND(MAX($J3452*1.4*1.5*1.6*1.6*2.2*2.715,354000000*(1.642074^(MIN($E3452,123)-117)))*1,0))</f>
        <v>1008281</v>
      </c>
      <c r="W3452" s="13">
        <f>$E3452+15</f>
        <v>118</v>
      </c>
      <c r="X3452" s="14">
        <f>IF($J3452=0,0,ROUND(MAX($J3452*1.4*1.5*1.6*1.6*2.2*2.715*2.6,3540000000*(1.579646^(MIN($E3452,123)-117)))*1,0))</f>
        <v>5877146</v>
      </c>
      <c r="Y3452" s="11">
        <f>$E3452+17</f>
        <v>120</v>
      </c>
      <c r="Z3452" s="12">
        <f>IF($J3452=0,0,ROUND(MAX($J3452*1.4*1.5*1.6*1.6*2.2*2.715*2.6*1.4,6020000000*(1.651178^(MIN($E3452,123)-117)))*1,0))</f>
        <v>5376281</v>
      </c>
      <c r="AA3452" s="13">
        <f>$E3452+19</f>
        <v>122</v>
      </c>
      <c r="AB3452" s="14">
        <f>IF($J3452=0,0,ROUND(MAX($J3452*1.4*1.5*1.6*1.6*2.2*2.715*2.6*1.4*1.4,8430000000*(1.651435^(MIN($E3452,123)-117)))*1,0))</f>
        <v>7512194</v>
      </c>
      <c r="AC3452" s="11">
        <f>$E3452+21</f>
        <v>124</v>
      </c>
      <c r="AD3452" s="12">
        <f>IF($J3452=0,0,ROUND(MAX($J3452*1.4*1.5*1.6*1.6*2.2*2.715*2.6*1.4*1.4*1.5,12600000000*(1.652953^(MIN($E3452,123)-117)))*1,0))</f>
        <v>11084688</v>
      </c>
      <c r="AE3452" s="13">
        <f>$E3452+24</f>
        <v>127</v>
      </c>
      <c r="AF3452" s="14">
        <f>IF($J3452=0,0,ROUND(MAX($J3452*1.4*1.5*1.6*1.6*2.2*2.715*2.6*1.4*1.4*1.5*1.5,18900000000*(1.65331^(MIN($E3452,123)-117)))*1,0))</f>
        <v>16576839</v>
      </c>
      <c r="AG3452" s="11">
        <f>$E3452+27</f>
        <v>130</v>
      </c>
      <c r="AH3452" s="12">
        <f>IF($J3452=0,0,ROUND(MAX($J3452*1.4*1.5*1.6*1.6*2.2*2.715*2.6*1.4*1.4*1.5*1.5*3.2,60500000000*(1.654288^(MIN($E3452,123)-117)))*1,0))</f>
        <v>52625920</v>
      </c>
    </row>
    <row r="3453" ht="28" customHeight="1" spans="1:34" x14ac:dyDescent="0.25">
      <c r="A3453">
        <v>3463</v>
      </c>
      <c r="B3453" t="s">
        <v>814</v>
      </c>
      <c r="C3453" s="10" t="s">
        <v>1785</v>
      </c>
      <c r="D3453" t="s">
        <v>40</v>
      </c>
      <c r="E3453">
        <v>102</v>
      </c>
      <c r="F3453" t="s">
        <v>71</v>
      </c>
      <c r="G3453" t="s">
        <v>247</v>
      </c>
      <c r="H3453">
        <v>23</v>
      </c>
      <c r="I3453" s="11">
        <f>$E3453+0</f>
        <v>102</v>
      </c>
      <c r="J3453" s="12">
        <v>48100</v>
      </c>
      <c r="K3453" s="13">
        <f>$E3453+1</f>
        <v>103</v>
      </c>
      <c r="L3453" s="14">
        <f>IF($J3453=0,0,ROUND(MAX($J3453*1.4,1620000*(1.497923^(MIN($E3453,123)-117)))*1,0))</f>
        <v>67340</v>
      </c>
      <c r="M3453" s="11">
        <f>$E3453+2</f>
        <v>104</v>
      </c>
      <c r="N3453" s="12">
        <f>IF($J3453=0,0,ROUND(MAX($J3453*1.4*1.5,2190000*(1.580994^(MIN($E3453,123)-117)))*1,0))</f>
        <v>101010</v>
      </c>
      <c r="O3453" s="13">
        <f>$E3453+4</f>
        <v>106</v>
      </c>
      <c r="P3453" s="14">
        <f>IF($J3453=0,0,ROUND(MAX($J3453*1.4*1.5*1.6,3500000*(1.57975^(MIN($E3453,123)-117)))*1,0))</f>
        <v>161616</v>
      </c>
      <c r="Q3453" s="11">
        <f>$E3453+6</f>
        <v>108</v>
      </c>
      <c r="R3453" s="12">
        <f>IF($J3453=0,0,ROUND(MAX($J3453*1.4*1.5*1.6*1.6,13100000*(1.429962^(MIN($E3453,123)-117)))*1,0))</f>
        <v>258586</v>
      </c>
      <c r="S3453" s="13">
        <f>$E3453+8</f>
        <v>110</v>
      </c>
      <c r="T3453" s="14">
        <f>IF($J3453=0,0,ROUND(MAX($J3453*1.4*1.5*1.6*1.6*2.2,42600000*(1.576904^(MIN($E3453,123)-117)))*1,0))</f>
        <v>568888</v>
      </c>
      <c r="U3453" s="11">
        <f>$E3453+11</f>
        <v>113</v>
      </c>
      <c r="V3453" s="12">
        <f>IF($J3453=0,0,ROUND(MAX($J3453*1.4*1.5*1.6*1.6*2.2*2.715,354000000*(1.642074^(MIN($E3453,123)-117)))*1,0))</f>
        <v>1544532</v>
      </c>
      <c r="W3453" s="13">
        <f>$E3453+15</f>
        <v>117</v>
      </c>
      <c r="X3453" s="14">
        <f>IF($J3453=0,0,ROUND(MAX($J3453*1.4*1.5*1.6*1.6*2.2*2.715*2.6,3540000000*(1.579646^(MIN($E3453,123)-117)))*1,0))</f>
        <v>4015783</v>
      </c>
      <c r="Y3453" s="11">
        <f>$E3453+17</f>
        <v>119</v>
      </c>
      <c r="Z3453" s="12">
        <f>IF($J3453=0,0,ROUND(MAX($J3453*1.4*1.5*1.6*1.6*2.2*2.715*2.6*1.4,6020000000*(1.651178^(MIN($E3453,123)-117)))*1,0))</f>
        <v>5622096</v>
      </c>
      <c r="AA3453" s="13">
        <f>$E3453+19</f>
        <v>121</v>
      </c>
      <c r="AB3453" s="14">
        <f>IF($J3453=0,0,ROUND(MAX($J3453*1.4*1.5*1.6*1.6*2.2*2.715*2.6*1.4*1.4,8430000000*(1.651435^(MIN($E3453,123)-117)))*1,0))</f>
        <v>7870934</v>
      </c>
      <c r="AC3453" s="11">
        <f>$E3453+21</f>
        <v>123</v>
      </c>
      <c r="AD3453" s="12">
        <f>IF($J3453=0,0,ROUND(MAX($J3453*1.4*1.5*1.6*1.6*2.2*2.715*2.6*1.4*1.4*1.5,12600000000*(1.652953^(MIN($E3453,123)-117)))*1,0))</f>
        <v>11806401</v>
      </c>
      <c r="AE3453" s="13">
        <f>$E3453+24</f>
        <v>126</v>
      </c>
      <c r="AF3453" s="14">
        <f>IF($J3453=0,0,ROUND(MAX($J3453*1.4*1.5*1.6*1.6*2.2*2.715*2.6*1.4*1.4*1.5*1.5,18900000000*(1.65331^(MIN($E3453,123)-117)))*1,0))</f>
        <v>17709601</v>
      </c>
      <c r="AG3453" s="11">
        <f>$E3453+27</f>
        <v>129</v>
      </c>
      <c r="AH3453" s="12">
        <f>IF($J3453=0,0,ROUND(MAX($J3453*1.4*1.5*1.6*1.6*2.2*2.715*2.6*1.4*1.4*1.5*1.5*3.2,60500000000*(1.654288^(MIN($E3453,123)-117)))*1,0))</f>
        <v>56670725</v>
      </c>
    </row>
    <row r="3454" ht="28" customHeight="1" spans="1:34" x14ac:dyDescent="0.25">
      <c r="A3454">
        <v>3464</v>
      </c>
      <c r="B3454" t="s">
        <v>1122</v>
      </c>
      <c r="C3454" s="10" t="s">
        <v>1785</v>
      </c>
      <c r="D3454" t="s">
        <v>64</v>
      </c>
      <c r="E3454">
        <v>102</v>
      </c>
      <c r="F3454" t="s">
        <v>212</v>
      </c>
      <c r="G3454" t="s">
        <v>261</v>
      </c>
      <c r="H3454">
        <v>23</v>
      </c>
      <c r="I3454" s="11">
        <f>$E3454+0</f>
        <v>102</v>
      </c>
      <c r="J3454" s="12">
        <v>1360000</v>
      </c>
      <c r="K3454" s="13">
        <f>$E3454+1</f>
        <v>103</v>
      </c>
      <c r="L3454" s="14">
        <f>IF($J3454=0,0,ROUND(MAX($J3454*1.4,1620000*(1.497923^(MIN($E3454,123)-117)))*1,0))</f>
        <v>1904000</v>
      </c>
      <c r="M3454" s="11">
        <f>$E3454+2</f>
        <v>104</v>
      </c>
      <c r="N3454" s="12">
        <f>IF($J3454=0,0,ROUND(MAX($J3454*1.4*1.5,2190000*(1.580994^(MIN($E3454,123)-117)))*1,0))</f>
        <v>2856000</v>
      </c>
      <c r="O3454" s="13">
        <f>$E3454+4</f>
        <v>106</v>
      </c>
      <c r="P3454" s="14">
        <f>IF($J3454=0,0,ROUND(MAX($J3454*1.4*1.5*1.6,3500000*(1.57975^(MIN($E3454,123)-117)))*1,0))</f>
        <v>4569600</v>
      </c>
      <c r="Q3454" s="11">
        <f>$E3454+6</f>
        <v>108</v>
      </c>
      <c r="R3454" s="12">
        <f>IF($J3454=0,0,ROUND(MAX($J3454*1.4*1.5*1.6*1.6,13100000*(1.429962^(MIN($E3454,123)-117)))*1,0))</f>
        <v>7311360</v>
      </c>
      <c r="S3454" s="13">
        <f>$E3454+8</f>
        <v>110</v>
      </c>
      <c r="T3454" s="14">
        <f>IF($J3454=0,0,ROUND(MAX($J3454*1.4*1.5*1.6*1.6*2.2,42600000*(1.576904^(MIN($E3454,123)-117)))*1,0))</f>
        <v>16084992</v>
      </c>
      <c r="U3454" s="11">
        <f>$E3454+11</f>
        <v>113</v>
      </c>
      <c r="V3454" s="12">
        <f>IF($J3454=0,0,ROUND(MAX($J3454*1.4*1.5*1.6*1.6*2.2*2.715,354000000*(1.642074^(MIN($E3454,123)-117)))*1,0))</f>
        <v>43670753</v>
      </c>
      <c r="W3454" s="13">
        <f>$E3454+15</f>
        <v>117</v>
      </c>
      <c r="X3454" s="14">
        <f>IF($J3454=0,0,ROUND(MAX($J3454*1.4*1.5*1.6*1.6*2.2*2.715*2.6,3540000000*(1.579646^(MIN($E3454,123)-117)))*1,0))</f>
        <v>113543959</v>
      </c>
      <c r="Y3454" s="11">
        <f>$E3454+17</f>
        <v>119</v>
      </c>
      <c r="Z3454" s="12">
        <f>IF($J3454=0,0,ROUND(MAX($J3454*1.4*1.5*1.6*1.6*2.2*2.715*2.6*1.4,6020000000*(1.651178^(MIN($E3454,123)-117)))*1,0))</f>
        <v>158961542</v>
      </c>
      <c r="AA3454" s="13">
        <f>$E3454+19</f>
        <v>121</v>
      </c>
      <c r="AB3454" s="14">
        <f>IF($J3454=0,0,ROUND(MAX($J3454*1.4*1.5*1.6*1.6*2.2*2.715*2.6*1.4*1.4,8430000000*(1.651435^(MIN($E3454,123)-117)))*1,0))</f>
        <v>222546159</v>
      </c>
      <c r="AC3454" s="11">
        <f>$E3454+21</f>
        <v>123</v>
      </c>
      <c r="AD3454" s="12">
        <f>IF($J3454=0,0,ROUND(MAX($J3454*1.4*1.5*1.6*1.6*2.2*2.715*2.6*1.4*1.4*1.5,12600000000*(1.652953^(MIN($E3454,123)-117)))*1,0))</f>
        <v>333819238</v>
      </c>
      <c r="AE3454" s="13">
        <f>$E3454+24</f>
        <v>126</v>
      </c>
      <c r="AF3454" s="14">
        <f>IF($J3454=0,0,ROUND(MAX($J3454*1.4*1.5*1.6*1.6*2.2*2.715*2.6*1.4*1.4*1.5*1.5,18900000000*(1.65331^(MIN($E3454,123)-117)))*1,0))</f>
        <v>500728857</v>
      </c>
      <c r="AG3454" s="11">
        <f>$E3454+27</f>
        <v>129</v>
      </c>
      <c r="AH3454" s="12">
        <f>IF($J3454=0,0,ROUND(MAX($J3454*1.4*1.5*1.6*1.6*2.2*2.715*2.6*1.4*1.4*1.5*1.5*3.2,60500000000*(1.654288^(MIN($E3454,123)-117)))*1,0))</f>
        <v>1602332343</v>
      </c>
    </row>
    <row r="3455" ht="28" customHeight="1" spans="1:34" x14ac:dyDescent="0.25">
      <c r="A3455">
        <v>3465</v>
      </c>
      <c r="B3455" t="s">
        <v>672</v>
      </c>
      <c r="C3455" s="10" t="s">
        <v>1785</v>
      </c>
      <c r="D3455" t="s">
        <v>33</v>
      </c>
      <c r="E3455">
        <v>102</v>
      </c>
      <c r="F3455" t="s">
        <v>34</v>
      </c>
      <c r="G3455" t="s">
        <v>562</v>
      </c>
      <c r="H3455">
        <v>23</v>
      </c>
      <c r="I3455" s="11">
        <f>$E3455+0</f>
        <v>102</v>
      </c>
      <c r="J3455" s="12">
        <v>86000</v>
      </c>
      <c r="K3455" s="13">
        <f>$E3455+1</f>
        <v>103</v>
      </c>
      <c r="L3455" s="14">
        <f>IF($J3455=0,0,ROUND(MAX($J3455*1.4,1620000*(1.497923^(MIN($E3455,123)-117)))*1,0))</f>
        <v>120400</v>
      </c>
      <c r="M3455" s="11">
        <f>$E3455+2</f>
        <v>104</v>
      </c>
      <c r="N3455" s="12">
        <f>IF($J3455=0,0,ROUND(MAX($J3455*1.4*1.5,2190000*(1.580994^(MIN($E3455,123)-117)))*1,0))</f>
        <v>180600</v>
      </c>
      <c r="O3455" s="13">
        <f>$E3455+4</f>
        <v>106</v>
      </c>
      <c r="P3455" s="14">
        <f>IF($J3455=0,0,ROUND(MAX($J3455*1.4*1.5*1.6,3500000*(1.57975^(MIN($E3455,123)-117)))*1,0))</f>
        <v>288960</v>
      </c>
      <c r="Q3455" s="11">
        <f>$E3455+6</f>
        <v>108</v>
      </c>
      <c r="R3455" s="12">
        <f>IF($J3455=0,0,ROUND(MAX($J3455*1.4*1.5*1.6*1.6,13100000*(1.429962^(MIN($E3455,123)-117)))*1,0))</f>
        <v>462336</v>
      </c>
      <c r="S3455" s="13">
        <f>$E3455+8</f>
        <v>110</v>
      </c>
      <c r="T3455" s="14">
        <f>IF($J3455=0,0,ROUND(MAX($J3455*1.4*1.5*1.6*1.6*2.2,42600000*(1.576904^(MIN($E3455,123)-117)))*1,0))</f>
        <v>1017139</v>
      </c>
      <c r="U3455" s="11">
        <f>$E3455+11</f>
        <v>113</v>
      </c>
      <c r="V3455" s="12">
        <f>IF($J3455=0,0,ROUND(MAX($J3455*1.4*1.5*1.6*1.6*2.2*2.715,354000000*(1.642074^(MIN($E3455,123)-117)))*1,0))</f>
        <v>2761533</v>
      </c>
      <c r="W3455" s="13">
        <f>$E3455+15</f>
        <v>117</v>
      </c>
      <c r="X3455" s="14">
        <f>IF($J3455=0,0,ROUND(MAX($J3455*1.4*1.5*1.6*1.6*2.2*2.715*2.6,3540000000*(1.579646^(MIN($E3455,123)-117)))*1,0))</f>
        <v>7179986</v>
      </c>
      <c r="Y3455" s="11">
        <f>$E3455+17</f>
        <v>119</v>
      </c>
      <c r="Z3455" s="12">
        <f>IF($J3455=0,0,ROUND(MAX($J3455*1.4*1.5*1.6*1.6*2.2*2.715*2.6*1.4,6020000000*(1.651178^(MIN($E3455,123)-117)))*1,0))</f>
        <v>10051980</v>
      </c>
      <c r="AA3455" s="13">
        <f>$E3455+19</f>
        <v>121</v>
      </c>
      <c r="AB3455" s="14">
        <f>IF($J3455=0,0,ROUND(MAX($J3455*1.4*1.5*1.6*1.6*2.2*2.715*2.6*1.4*1.4,8430000000*(1.651435^(MIN($E3455,123)-117)))*1,0))</f>
        <v>14072772</v>
      </c>
      <c r="AC3455" s="11">
        <f>$E3455+21</f>
        <v>123</v>
      </c>
      <c r="AD3455" s="12">
        <f>IF($J3455=0,0,ROUND(MAX($J3455*1.4*1.5*1.6*1.6*2.2*2.715*2.6*1.4*1.4*1.5,12600000000*(1.652953^(MIN($E3455,123)-117)))*1,0))</f>
        <v>21109158</v>
      </c>
      <c r="AE3455" s="13">
        <f>$E3455+24</f>
        <v>126</v>
      </c>
      <c r="AF3455" s="14">
        <f>IF($J3455=0,0,ROUND(MAX($J3455*1.4*1.5*1.6*1.6*2.2*2.715*2.6*1.4*1.4*1.5*1.5,18900000000*(1.65331^(MIN($E3455,123)-117)))*1,0))</f>
        <v>31663737</v>
      </c>
      <c r="AG3455" s="11">
        <f>$E3455+27</f>
        <v>129</v>
      </c>
      <c r="AH3455" s="12">
        <f>IF($J3455=0,0,ROUND(MAX($J3455*1.4*1.5*1.6*1.6*2.2*2.715*2.6*1.4*1.4*1.5*1.5*3.2,60500000000*(1.654288^(MIN($E3455,123)-117)))*1,0))</f>
        <v>101323957</v>
      </c>
    </row>
    <row r="3456" ht="28" customHeight="1" spans="1:34" x14ac:dyDescent="0.25">
      <c r="A3456">
        <v>3466</v>
      </c>
      <c r="B3456" t="s">
        <v>1553</v>
      </c>
      <c r="C3456" s="10" t="s">
        <v>1785</v>
      </c>
      <c r="D3456" t="s">
        <v>64</v>
      </c>
      <c r="E3456">
        <v>102</v>
      </c>
      <c r="F3456" t="s">
        <v>71</v>
      </c>
      <c r="G3456" t="s">
        <v>72</v>
      </c>
      <c r="H3456">
        <v>22</v>
      </c>
      <c r="I3456" s="11">
        <f>$E3456+0</f>
        <v>102</v>
      </c>
      <c r="J3456" s="12">
        <v>11100</v>
      </c>
      <c r="K3456" s="13">
        <f>$E3456+1</f>
        <v>103</v>
      </c>
      <c r="L3456" s="14">
        <f>IF($J3456=0,0,ROUND(MAX($J3456*1.4,1620000*(1.497923^(MIN($E3456,123)-117)))*1,0))</f>
        <v>15540</v>
      </c>
      <c r="M3456" s="11">
        <f>$E3456+2</f>
        <v>104</v>
      </c>
      <c r="N3456" s="12">
        <f>IF($J3456=0,0,ROUND(MAX($J3456*1.4*1.5,2190000*(1.580994^(MIN($E3456,123)-117)))*1,0))</f>
        <v>23310</v>
      </c>
      <c r="O3456" s="13">
        <f>$E3456+4</f>
        <v>106</v>
      </c>
      <c r="P3456" s="14">
        <f>IF($J3456=0,0,ROUND(MAX($J3456*1.4*1.5*1.6,3500000*(1.57975^(MIN($E3456,123)-117)))*1,0))</f>
        <v>37296</v>
      </c>
      <c r="Q3456" s="11">
        <f>$E3456+6</f>
        <v>108</v>
      </c>
      <c r="R3456" s="12">
        <f>IF($J3456=0,0,ROUND(MAX($J3456*1.4*1.5*1.6*1.6,13100000*(1.429962^(MIN($E3456,123)-117)))*1,0))</f>
        <v>61292</v>
      </c>
      <c r="S3456" s="13">
        <f>$E3456+8</f>
        <v>110</v>
      </c>
      <c r="T3456" s="14">
        <f>IF($J3456=0,0,ROUND(MAX($J3456*1.4*1.5*1.6*1.6*2.2,42600000*(1.576904^(MIN($E3456,123)-117)))*1,0))</f>
        <v>131282</v>
      </c>
      <c r="U3456" s="11">
        <f>$E3456+11</f>
        <v>113</v>
      </c>
      <c r="V3456" s="12">
        <f>IF($J3456=0,0,ROUND(MAX($J3456*1.4*1.5*1.6*1.6*2.2*2.715,354000000*(1.642074^(MIN($E3456,123)-117)))*1,0))</f>
        <v>356430</v>
      </c>
      <c r="W3456" s="13">
        <f>$E3456+15</f>
        <v>117</v>
      </c>
      <c r="X3456" s="14">
        <f>IF($J3456=0,0,ROUND(MAX($J3456*1.4*1.5*1.6*1.6*2.2*2.715*2.6,3540000000*(1.579646^(MIN($E3456,123)-117)))*1,0))</f>
        <v>3720546</v>
      </c>
      <c r="Y3456" s="11">
        <f>$E3456+17</f>
        <v>119</v>
      </c>
      <c r="Z3456" s="12">
        <f>IF($J3456=0,0,ROUND(MAX($J3456*1.4*1.5*1.6*1.6*2.2*2.715*2.6*1.4,6020000000*(1.651178^(MIN($E3456,123)-117)))*1,0))</f>
        <v>3256028</v>
      </c>
      <c r="AA3456" s="13">
        <f>$E3456+19</f>
        <v>121</v>
      </c>
      <c r="AB3456" s="14">
        <f>IF($J3456=0,0,ROUND(MAX($J3456*1.4*1.5*1.6*1.6*2.2*2.715*2.6*1.4*1.4,8430000000*(1.651435^(MIN($E3456,123)-117)))*1,0))</f>
        <v>4548889</v>
      </c>
      <c r="AC3456" s="11">
        <f>$E3456+21</f>
        <v>123</v>
      </c>
      <c r="AD3456" s="12">
        <f>IF($J3456=0,0,ROUND(MAX($J3456*1.4*1.5*1.6*1.6*2.2*2.715*2.6*1.4*1.4*1.5,12600000000*(1.652953^(MIN($E3456,123)-117)))*1,0))</f>
        <v>6705991</v>
      </c>
      <c r="AE3456" s="13">
        <f>$E3456+24</f>
        <v>126</v>
      </c>
      <c r="AF3456" s="14">
        <f>IF($J3456=0,0,ROUND(MAX($J3456*1.4*1.5*1.6*1.6*2.2*2.715*2.6*1.4*1.4*1.5*1.5,18900000000*(1.65331^(MIN($E3456,123)-117)))*1,0))</f>
        <v>10026455</v>
      </c>
      <c r="AG3456" s="11">
        <f>$E3456+27</f>
        <v>129</v>
      </c>
      <c r="AH3456" s="12">
        <f>IF($J3456=0,0,ROUND(MAX($J3456*1.4*1.5*1.6*1.6*2.2*2.715*2.6*1.4*1.4*1.5*1.5*3.2,60500000000*(1.654288^(MIN($E3456,123)-117)))*1,0))</f>
        <v>31811825</v>
      </c>
    </row>
    <row r="3457" ht="28" customHeight="1" spans="1:34" x14ac:dyDescent="0.25">
      <c r="A3457">
        <v>3467</v>
      </c>
      <c r="B3457" t="s">
        <v>1790</v>
      </c>
      <c r="C3457" s="10" t="s">
        <v>1785</v>
      </c>
      <c r="D3457" t="s">
        <v>40</v>
      </c>
      <c r="E3457">
        <v>102</v>
      </c>
      <c r="F3457" t="s">
        <v>146</v>
      </c>
      <c r="G3457" t="s">
        <v>43</v>
      </c>
      <c r="H3457">
        <v>22</v>
      </c>
      <c r="I3457" s="11">
        <f>$E3457+0</f>
        <v>102</v>
      </c>
      <c r="J3457" s="12">
        <v>54800</v>
      </c>
      <c r="K3457" s="13">
        <f>$E3457+1</f>
        <v>103</v>
      </c>
      <c r="L3457" s="14">
        <f>IF($J3457=0,0,ROUND(MAX($J3457*1.4,1620000*(1.497923^(MIN($E3457,123)-117)))*1,0))</f>
        <v>76720</v>
      </c>
      <c r="M3457" s="11">
        <f>$E3457+2</f>
        <v>104</v>
      </c>
      <c r="N3457" s="12">
        <f>IF($J3457=0,0,ROUND(MAX($J3457*1.4*1.5,2190000*(1.580994^(MIN($E3457,123)-117)))*1,0))</f>
        <v>115080</v>
      </c>
      <c r="O3457" s="13">
        <f>$E3457+4</f>
        <v>106</v>
      </c>
      <c r="P3457" s="14">
        <f>IF($J3457=0,0,ROUND(MAX($J3457*1.4*1.5*1.6,3500000*(1.57975^(MIN($E3457,123)-117)))*1,0))</f>
        <v>184128</v>
      </c>
      <c r="Q3457" s="11">
        <f>$E3457+6</f>
        <v>108</v>
      </c>
      <c r="R3457" s="12">
        <f>IF($J3457=0,0,ROUND(MAX($J3457*1.4*1.5*1.6*1.6,13100000*(1.429962^(MIN($E3457,123)-117)))*1,0))</f>
        <v>294605</v>
      </c>
      <c r="S3457" s="13">
        <f>$E3457+8</f>
        <v>110</v>
      </c>
      <c r="T3457" s="14">
        <f>IF($J3457=0,0,ROUND(MAX($J3457*1.4*1.5*1.6*1.6*2.2,42600000*(1.576904^(MIN($E3457,123)-117)))*1,0))</f>
        <v>648131</v>
      </c>
      <c r="U3457" s="11">
        <f>$E3457+11</f>
        <v>113</v>
      </c>
      <c r="V3457" s="12">
        <f>IF($J3457=0,0,ROUND(MAX($J3457*1.4*1.5*1.6*1.6*2.2*2.715,354000000*(1.642074^(MIN($E3457,123)-117)))*1,0))</f>
        <v>1759674</v>
      </c>
      <c r="W3457" s="13">
        <f>$E3457+15</f>
        <v>117</v>
      </c>
      <c r="X3457" s="14">
        <f>IF($J3457=0,0,ROUND(MAX($J3457*1.4*1.5*1.6*1.6*2.2*2.715*2.6,3540000000*(1.579646^(MIN($E3457,123)-117)))*1,0))</f>
        <v>4575154</v>
      </c>
      <c r="Y3457" s="11">
        <f>$E3457+17</f>
        <v>119</v>
      </c>
      <c r="Z3457" s="12">
        <f>IF($J3457=0,0,ROUND(MAX($J3457*1.4*1.5*1.6*1.6*2.2*2.715*2.6*1.4,6020000000*(1.651178^(MIN($E3457,123)-117)))*1,0))</f>
        <v>6405215</v>
      </c>
      <c r="AA3457" s="13">
        <f>$E3457+19</f>
        <v>121</v>
      </c>
      <c r="AB3457" s="14">
        <f>IF($J3457=0,0,ROUND(MAX($J3457*1.4*1.5*1.6*1.6*2.2*2.715*2.6*1.4*1.4,8430000000*(1.651435^(MIN($E3457,123)-117)))*1,0))</f>
        <v>8967301</v>
      </c>
      <c r="AC3457" s="11">
        <f>$E3457+21</f>
        <v>123</v>
      </c>
      <c r="AD3457" s="12">
        <f>IF($J3457=0,0,ROUND(MAX($J3457*1.4*1.5*1.6*1.6*2.2*2.715*2.6*1.4*1.4*1.5,12600000000*(1.652953^(MIN($E3457,123)-117)))*1,0))</f>
        <v>13450952</v>
      </c>
      <c r="AE3457" s="13">
        <f>$E3457+24</f>
        <v>126</v>
      </c>
      <c r="AF3457" s="14">
        <f>IF($J3457=0,0,ROUND(MAX($J3457*1.4*1.5*1.6*1.6*2.2*2.715*2.6*1.4*1.4*1.5*1.5,18900000000*(1.65331^(MIN($E3457,123)-117)))*1,0))</f>
        <v>20176427</v>
      </c>
      <c r="AG3457" s="11">
        <f>$E3457+27</f>
        <v>129</v>
      </c>
      <c r="AH3457" s="12">
        <f>IF($J3457=0,0,ROUND(MAX($J3457*1.4*1.5*1.6*1.6*2.2*2.715*2.6*1.4*1.4*1.5*1.5*3.2,60500000000*(1.654288^(MIN($E3457,123)-117)))*1,0))</f>
        <v>64564568</v>
      </c>
    </row>
    <row r="3458" ht="28" customHeight="1" spans="1:34" x14ac:dyDescent="0.25">
      <c r="A3458">
        <v>3468</v>
      </c>
      <c r="B3458" t="s">
        <v>1537</v>
      </c>
      <c r="C3458" s="10" t="s">
        <v>1785</v>
      </c>
      <c r="D3458" t="s">
        <v>29</v>
      </c>
      <c r="E3458">
        <v>102</v>
      </c>
      <c r="F3458" t="s">
        <v>42</v>
      </c>
      <c r="G3458" t="s">
        <v>198</v>
      </c>
      <c r="H3458">
        <v>22</v>
      </c>
      <c r="I3458" s="11">
        <f>$E3458+0</f>
        <v>102</v>
      </c>
      <c r="J3458" s="12">
        <v>28900</v>
      </c>
      <c r="K3458" s="13">
        <f>$E3458+1</f>
        <v>103</v>
      </c>
      <c r="L3458" s="14">
        <f>IF($J3458=0,0,ROUND(MAX($J3458*1.4,1620000*(1.497923^(MIN($E3458,123)-117)))*1,0))</f>
        <v>40460</v>
      </c>
      <c r="M3458" s="11">
        <f>$E3458+2</f>
        <v>104</v>
      </c>
      <c r="N3458" s="12">
        <f>IF($J3458=0,0,ROUND(MAX($J3458*1.4*1.5,2190000*(1.580994^(MIN($E3458,123)-117)))*1,0))</f>
        <v>60690</v>
      </c>
      <c r="O3458" s="13">
        <f>$E3458+4</f>
        <v>106</v>
      </c>
      <c r="P3458" s="14">
        <f>IF($J3458=0,0,ROUND(MAX($J3458*1.4*1.5*1.6,3500000*(1.57975^(MIN($E3458,123)-117)))*1,0))</f>
        <v>97104</v>
      </c>
      <c r="Q3458" s="11">
        <f>$E3458+6</f>
        <v>108</v>
      </c>
      <c r="R3458" s="12">
        <f>IF($J3458=0,0,ROUND(MAX($J3458*1.4*1.5*1.6*1.6,13100000*(1.429962^(MIN($E3458,123)-117)))*1,0))</f>
        <v>155366</v>
      </c>
      <c r="S3458" s="13">
        <f>$E3458+8</f>
        <v>110</v>
      </c>
      <c r="T3458" s="14">
        <f>IF($J3458=0,0,ROUND(MAX($J3458*1.4*1.5*1.6*1.6*2.2,42600000*(1.576904^(MIN($E3458,123)-117)))*1,0))</f>
        <v>341806</v>
      </c>
      <c r="U3458" s="11">
        <f>$E3458+11</f>
        <v>113</v>
      </c>
      <c r="V3458" s="12">
        <f>IF($J3458=0,0,ROUND(MAX($J3458*1.4*1.5*1.6*1.6*2.2*2.715,354000000*(1.642074^(MIN($E3458,123)-117)))*1,0))</f>
        <v>928004</v>
      </c>
      <c r="W3458" s="13">
        <f>$E3458+15</f>
        <v>117</v>
      </c>
      <c r="X3458" s="14">
        <f>IF($J3458=0,0,ROUND(MAX($J3458*1.4*1.5*1.6*1.6*2.2*2.715*2.6,3540000000*(1.579646^(MIN($E3458,123)-117)))*1,0))</f>
        <v>3720546</v>
      </c>
      <c r="Y3458" s="11">
        <f>$E3458+17</f>
        <v>119</v>
      </c>
      <c r="Z3458" s="12">
        <f>IF($J3458=0,0,ROUND(MAX($J3458*1.4*1.5*1.6*1.6*2.2*2.715*2.6*1.4,6020000000*(1.651178^(MIN($E3458,123)-117)))*1,0))</f>
        <v>3377933</v>
      </c>
      <c r="AA3458" s="13">
        <f>$E3458+19</f>
        <v>121</v>
      </c>
      <c r="AB3458" s="14">
        <f>IF($J3458=0,0,ROUND(MAX($J3458*1.4*1.5*1.6*1.6*2.2*2.715*2.6*1.4*1.4,8430000000*(1.651435^(MIN($E3458,123)-117)))*1,0))</f>
        <v>4729106</v>
      </c>
      <c r="AC3458" s="11">
        <f>$E3458+21</f>
        <v>123</v>
      </c>
      <c r="AD3458" s="12">
        <f>IF($J3458=0,0,ROUND(MAX($J3458*1.4*1.5*1.6*1.6*2.2*2.715*2.6*1.4*1.4*1.5,12600000000*(1.652953^(MIN($E3458,123)-117)))*1,0))</f>
        <v>7093659</v>
      </c>
      <c r="AE3458" s="13">
        <f>$E3458+24</f>
        <v>126</v>
      </c>
      <c r="AF3458" s="14">
        <f>IF($J3458=0,0,ROUND(MAX($J3458*1.4*1.5*1.6*1.6*2.2*2.715*2.6*1.4*1.4*1.5*1.5,18900000000*(1.65331^(MIN($E3458,123)-117)))*1,0))</f>
        <v>10640488</v>
      </c>
      <c r="AG3458" s="11">
        <f>$E3458+27</f>
        <v>129</v>
      </c>
      <c r="AH3458" s="12">
        <f>IF($J3458=0,0,ROUND(MAX($J3458*1.4*1.5*1.6*1.6*2.2*2.715*2.6*1.4*1.4*1.5*1.5*3.2,60500000000*(1.654288^(MIN($E3458,123)-117)))*1,0))</f>
        <v>34049562</v>
      </c>
    </row>
    <row r="3459" ht="28" customHeight="1" spans="1:34" x14ac:dyDescent="0.25">
      <c r="A3459">
        <v>3469</v>
      </c>
      <c r="B3459" t="s">
        <v>1583</v>
      </c>
      <c r="C3459" s="10" t="s">
        <v>1785</v>
      </c>
      <c r="D3459" t="s">
        <v>90</v>
      </c>
      <c r="E3459">
        <v>102</v>
      </c>
      <c r="F3459" t="s">
        <v>310</v>
      </c>
      <c r="G3459" t="s">
        <v>396</v>
      </c>
      <c r="H3459">
        <v>22</v>
      </c>
      <c r="I3459" s="11">
        <f>$E3459+0</f>
        <v>102</v>
      </c>
      <c r="J3459" s="12">
        <v>392000</v>
      </c>
      <c r="K3459" s="13">
        <f>$E3459+1</f>
        <v>103</v>
      </c>
      <c r="L3459" s="14">
        <f>IF($J3459=0,0,ROUND(MAX($J3459*1.4,1620000*(1.497923^(MIN($E3459,123)-117)))*1,0))</f>
        <v>548800</v>
      </c>
      <c r="M3459" s="11">
        <f>$E3459+2</f>
        <v>104</v>
      </c>
      <c r="N3459" s="12">
        <f>IF($J3459=0,0,ROUND(MAX($J3459*1.4*1.5,2190000*(1.580994^(MIN($E3459,123)-117)))*1,0))</f>
        <v>823200</v>
      </c>
      <c r="O3459" s="13">
        <f>$E3459+4</f>
        <v>106</v>
      </c>
      <c r="P3459" s="14">
        <f>IF($J3459=0,0,ROUND(MAX($J3459*1.4*1.5*1.6,3500000*(1.57975^(MIN($E3459,123)-117)))*1,0))</f>
        <v>1317120</v>
      </c>
      <c r="Q3459" s="11">
        <f>$E3459+6</f>
        <v>108</v>
      </c>
      <c r="R3459" s="12">
        <f>IF($J3459=0,0,ROUND(MAX($J3459*1.4*1.5*1.6*1.6,13100000*(1.429962^(MIN($E3459,123)-117)))*1,0))</f>
        <v>2107392</v>
      </c>
      <c r="S3459" s="13">
        <f>$E3459+8</f>
        <v>110</v>
      </c>
      <c r="T3459" s="14">
        <f>IF($J3459=0,0,ROUND(MAX($J3459*1.4*1.5*1.6*1.6*2.2,42600000*(1.576904^(MIN($E3459,123)-117)))*1,0))</f>
        <v>4636262</v>
      </c>
      <c r="U3459" s="11">
        <f>$E3459+11</f>
        <v>113</v>
      </c>
      <c r="V3459" s="12">
        <f>IF($J3459=0,0,ROUND(MAX($J3459*1.4*1.5*1.6*1.6*2.2*2.715,354000000*(1.642074^(MIN($E3459,123)-117)))*1,0))</f>
        <v>12587452</v>
      </c>
      <c r="W3459" s="13">
        <f>$E3459+15</f>
        <v>117</v>
      </c>
      <c r="X3459" s="14">
        <f>IF($J3459=0,0,ROUND(MAX($J3459*1.4*1.5*1.6*1.6*2.2*2.715*2.6,3540000000*(1.579646^(MIN($E3459,123)-117)))*1,0))</f>
        <v>32727376</v>
      </c>
      <c r="Y3459" s="11">
        <f>$E3459+17</f>
        <v>119</v>
      </c>
      <c r="Z3459" s="12">
        <f>IF($J3459=0,0,ROUND(MAX($J3459*1.4*1.5*1.6*1.6*2.2*2.715*2.6*1.4,6020000000*(1.651178^(MIN($E3459,123)-117)))*1,0))</f>
        <v>45818327</v>
      </c>
      <c r="AA3459" s="13">
        <f>$E3459+19</f>
        <v>121</v>
      </c>
      <c r="AB3459" s="14">
        <f>IF($J3459=0,0,ROUND(MAX($J3459*1.4*1.5*1.6*1.6*2.2*2.715*2.6*1.4*1.4,8430000000*(1.651435^(MIN($E3459,123)-117)))*1,0))</f>
        <v>64145658</v>
      </c>
      <c r="AC3459" s="11">
        <f>$E3459+21</f>
        <v>123</v>
      </c>
      <c r="AD3459" s="12">
        <f>IF($J3459=0,0,ROUND(MAX($J3459*1.4*1.5*1.6*1.6*2.2*2.715*2.6*1.4*1.4*1.5,12600000000*(1.652953^(MIN($E3459,123)-117)))*1,0))</f>
        <v>96218486</v>
      </c>
      <c r="AE3459" s="13">
        <f>$E3459+24</f>
        <v>126</v>
      </c>
      <c r="AF3459" s="14">
        <f>IF($J3459=0,0,ROUND(MAX($J3459*1.4*1.5*1.6*1.6*2.2*2.715*2.6*1.4*1.4*1.5*1.5,18900000000*(1.65331^(MIN($E3459,123)-117)))*1,0))</f>
        <v>144327729</v>
      </c>
      <c r="AG3459" s="11">
        <f>$E3459+27</f>
        <v>129</v>
      </c>
      <c r="AH3459" s="12">
        <f>IF($J3459=0,0,ROUND(MAX($J3459*1.4*1.5*1.6*1.6*2.2*2.715*2.6*1.4*1.4*1.5*1.5*3.2,60500000000*(1.654288^(MIN($E3459,123)-117)))*1,0))</f>
        <v>461848734</v>
      </c>
    </row>
    <row r="3460" ht="28" customHeight="1" spans="1:34" x14ac:dyDescent="0.25">
      <c r="A3460">
        <v>3470</v>
      </c>
      <c r="B3460" t="s">
        <v>299</v>
      </c>
      <c r="C3460" s="10" t="s">
        <v>1785</v>
      </c>
      <c r="D3460" t="s">
        <v>45</v>
      </c>
      <c r="E3460">
        <v>102</v>
      </c>
      <c r="F3460" t="s">
        <v>298</v>
      </c>
      <c r="G3460" t="s">
        <v>300</v>
      </c>
      <c r="H3460">
        <v>22</v>
      </c>
      <c r="I3460" s="11">
        <f>$E3460+0</f>
        <v>102</v>
      </c>
      <c r="J3460" s="12">
        <v>26000</v>
      </c>
      <c r="K3460" s="13">
        <f>$E3460+1</f>
        <v>103</v>
      </c>
      <c r="L3460" s="14">
        <f>IF($J3460=0,0,ROUND(MAX($J3460*1.4,1620000*(1.497923^(MIN($E3460,123)-117)))*1,0))</f>
        <v>36400</v>
      </c>
      <c r="M3460" s="11">
        <f>$E3460+2</f>
        <v>104</v>
      </c>
      <c r="N3460" s="12">
        <f>IF($J3460=0,0,ROUND(MAX($J3460*1.4*1.5,2190000*(1.580994^(MIN($E3460,123)-117)))*1,0))</f>
        <v>54600</v>
      </c>
      <c r="O3460" s="13">
        <f>$E3460+4</f>
        <v>106</v>
      </c>
      <c r="P3460" s="14">
        <f>IF($J3460=0,0,ROUND(MAX($J3460*1.4*1.5*1.6,3500000*(1.57975^(MIN($E3460,123)-117)))*1,0))</f>
        <v>87360</v>
      </c>
      <c r="Q3460" s="11">
        <f>$E3460+6</f>
        <v>108</v>
      </c>
      <c r="R3460" s="12">
        <f>IF($J3460=0,0,ROUND(MAX($J3460*1.4*1.5*1.6*1.6,13100000*(1.429962^(MIN($E3460,123)-117)))*1,0))</f>
        <v>139776</v>
      </c>
      <c r="S3460" s="13">
        <f>$E3460+8</f>
        <v>110</v>
      </c>
      <c r="T3460" s="14">
        <f>IF($J3460=0,0,ROUND(MAX($J3460*1.4*1.5*1.6*1.6*2.2,42600000*(1.576904^(MIN($E3460,123)-117)))*1,0))</f>
        <v>307507</v>
      </c>
      <c r="U3460" s="11">
        <f>$E3460+11</f>
        <v>113</v>
      </c>
      <c r="V3460" s="12">
        <f>IF($J3460=0,0,ROUND(MAX($J3460*1.4*1.5*1.6*1.6*2.2*2.715,354000000*(1.642074^(MIN($E3460,123)-117)))*1,0))</f>
        <v>834882</v>
      </c>
      <c r="W3460" s="13">
        <f>$E3460+15</f>
        <v>117</v>
      </c>
      <c r="X3460" s="14">
        <f>IF($J3460=0,0,ROUND(MAX($J3460*1.4*1.5*1.6*1.6*2.2*2.715*2.6,3540000000*(1.579646^(MIN($E3460,123)-117)))*1,0))</f>
        <v>3720546</v>
      </c>
      <c r="Y3460" s="11">
        <f>$E3460+17</f>
        <v>119</v>
      </c>
      <c r="Z3460" s="12">
        <f>IF($J3460=0,0,ROUND(MAX($J3460*1.4*1.5*1.6*1.6*2.2*2.715*2.6*1.4,6020000000*(1.651178^(MIN($E3460,123)-117)))*1,0))</f>
        <v>3256028</v>
      </c>
      <c r="AA3460" s="13">
        <f>$E3460+19</f>
        <v>121</v>
      </c>
      <c r="AB3460" s="14">
        <f>IF($J3460=0,0,ROUND(MAX($J3460*1.4*1.5*1.6*1.6*2.2*2.715*2.6*1.4*1.4,8430000000*(1.651435^(MIN($E3460,123)-117)))*1,0))</f>
        <v>4548889</v>
      </c>
      <c r="AC3460" s="11">
        <f>$E3460+21</f>
        <v>123</v>
      </c>
      <c r="AD3460" s="12">
        <f>IF($J3460=0,0,ROUND(MAX($J3460*1.4*1.5*1.6*1.6*2.2*2.715*2.6*1.4*1.4*1.5,12600000000*(1.652953^(MIN($E3460,123)-117)))*1,0))</f>
        <v>6705991</v>
      </c>
      <c r="AE3460" s="13">
        <f>$E3460+24</f>
        <v>126</v>
      </c>
      <c r="AF3460" s="14">
        <f>IF($J3460=0,0,ROUND(MAX($J3460*1.4*1.5*1.6*1.6*2.2*2.715*2.6*1.4*1.4*1.5*1.5,18900000000*(1.65331^(MIN($E3460,123)-117)))*1,0))</f>
        <v>10026455</v>
      </c>
      <c r="AG3460" s="11">
        <f>$E3460+27</f>
        <v>129</v>
      </c>
      <c r="AH3460" s="12">
        <f>IF($J3460=0,0,ROUND(MAX($J3460*1.4*1.5*1.6*1.6*2.2*2.715*2.6*1.4*1.4*1.5*1.5*3.2,60500000000*(1.654288^(MIN($E3460,123)-117)))*1,0))</f>
        <v>31811825</v>
      </c>
    </row>
    <row r="3461" ht="28" customHeight="1" spans="1:34" x14ac:dyDescent="0.25">
      <c r="A3461">
        <v>3471</v>
      </c>
      <c r="B3461" t="s">
        <v>1045</v>
      </c>
      <c r="C3461" s="10" t="s">
        <v>1785</v>
      </c>
      <c r="D3461" t="s">
        <v>45</v>
      </c>
      <c r="E3461">
        <v>102</v>
      </c>
      <c r="F3461" t="s">
        <v>71</v>
      </c>
      <c r="G3461" t="s">
        <v>206</v>
      </c>
      <c r="H3461">
        <v>22</v>
      </c>
      <c r="I3461" s="11">
        <f>$E3461+0</f>
        <v>102</v>
      </c>
      <c r="J3461" s="12">
        <v>46400</v>
      </c>
      <c r="K3461" s="13">
        <f>$E3461+1</f>
        <v>103</v>
      </c>
      <c r="L3461" s="14">
        <f>IF($J3461=0,0,ROUND(MAX($J3461*1.4,1620000*(1.497923^(MIN($E3461,123)-117)))*1,0))</f>
        <v>64960</v>
      </c>
      <c r="M3461" s="11">
        <f>$E3461+2</f>
        <v>104</v>
      </c>
      <c r="N3461" s="12">
        <f>IF($J3461=0,0,ROUND(MAX($J3461*1.4*1.5,2190000*(1.580994^(MIN($E3461,123)-117)))*1,0))</f>
        <v>97440</v>
      </c>
      <c r="O3461" s="13">
        <f>$E3461+4</f>
        <v>106</v>
      </c>
      <c r="P3461" s="14">
        <f>IF($J3461=0,0,ROUND(MAX($J3461*1.4*1.5*1.6,3500000*(1.57975^(MIN($E3461,123)-117)))*1,0))</f>
        <v>155904</v>
      </c>
      <c r="Q3461" s="11">
        <f>$E3461+6</f>
        <v>108</v>
      </c>
      <c r="R3461" s="12">
        <f>IF($J3461=0,0,ROUND(MAX($J3461*1.4*1.5*1.6*1.6,13100000*(1.429962^(MIN($E3461,123)-117)))*1,0))</f>
        <v>249446</v>
      </c>
      <c r="S3461" s="13">
        <f>$E3461+8</f>
        <v>110</v>
      </c>
      <c r="T3461" s="14">
        <f>IF($J3461=0,0,ROUND(MAX($J3461*1.4*1.5*1.6*1.6*2.2,42600000*(1.576904^(MIN($E3461,123)-117)))*1,0))</f>
        <v>548782</v>
      </c>
      <c r="U3461" s="11">
        <f>$E3461+11</f>
        <v>113</v>
      </c>
      <c r="V3461" s="12">
        <f>IF($J3461=0,0,ROUND(MAX($J3461*1.4*1.5*1.6*1.6*2.2*2.715,354000000*(1.642074^(MIN($E3461,123)-117)))*1,0))</f>
        <v>1489943</v>
      </c>
      <c r="W3461" s="13">
        <f>$E3461+15</f>
        <v>117</v>
      </c>
      <c r="X3461" s="14">
        <f>IF($J3461=0,0,ROUND(MAX($J3461*1.4*1.5*1.6*1.6*2.2*2.715*2.6,3540000000*(1.579646^(MIN($E3461,123)-117)))*1,0))</f>
        <v>3873853</v>
      </c>
      <c r="Y3461" s="11">
        <f>$E3461+17</f>
        <v>119</v>
      </c>
      <c r="Z3461" s="12">
        <f>IF($J3461=0,0,ROUND(MAX($J3461*1.4*1.5*1.6*1.6*2.2*2.715*2.6*1.4,6020000000*(1.651178^(MIN($E3461,123)-117)))*1,0))</f>
        <v>5423394</v>
      </c>
      <c r="AA3461" s="13">
        <f>$E3461+19</f>
        <v>121</v>
      </c>
      <c r="AB3461" s="14">
        <f>IF($J3461=0,0,ROUND(MAX($J3461*1.4*1.5*1.6*1.6*2.2*2.715*2.6*1.4*1.4,8430000000*(1.651435^(MIN($E3461,123)-117)))*1,0))</f>
        <v>7592751</v>
      </c>
      <c r="AC3461" s="11">
        <f>$E3461+21</f>
        <v>123</v>
      </c>
      <c r="AD3461" s="12">
        <f>IF($J3461=0,0,ROUND(MAX($J3461*1.4*1.5*1.6*1.6*2.2*2.715*2.6*1.4*1.4*1.5,12600000000*(1.652953^(MIN($E3461,123)-117)))*1,0))</f>
        <v>11389127</v>
      </c>
      <c r="AE3461" s="13">
        <f>$E3461+24</f>
        <v>126</v>
      </c>
      <c r="AF3461" s="14">
        <f>IF($J3461=0,0,ROUND(MAX($J3461*1.4*1.5*1.6*1.6*2.2*2.715*2.6*1.4*1.4*1.5*1.5,18900000000*(1.65331^(MIN($E3461,123)-117)))*1,0))</f>
        <v>17083690</v>
      </c>
      <c r="AG3461" s="11">
        <f>$E3461+27</f>
        <v>129</v>
      </c>
      <c r="AH3461" s="12">
        <f>IF($J3461=0,0,ROUND(MAX($J3461*1.4*1.5*1.6*1.6*2.2*2.715*2.6*1.4*1.4*1.5*1.5*3.2,60500000000*(1.654288^(MIN($E3461,123)-117)))*1,0))</f>
        <v>54667809</v>
      </c>
    </row>
    <row r="3462" ht="28" customHeight="1" spans="1:34" x14ac:dyDescent="0.25">
      <c r="A3462">
        <v>3472</v>
      </c>
      <c r="B3462" t="s">
        <v>1791</v>
      </c>
      <c r="C3462" s="10" t="s">
        <v>1785</v>
      </c>
      <c r="D3462" t="s">
        <v>40</v>
      </c>
      <c r="E3462">
        <v>102</v>
      </c>
      <c r="F3462" t="s">
        <v>298</v>
      </c>
      <c r="G3462" t="s">
        <v>562</v>
      </c>
      <c r="H3462">
        <v>22</v>
      </c>
      <c r="I3462" s="11">
        <f>$E3462+0</f>
        <v>102</v>
      </c>
      <c r="J3462" s="12">
        <v>84400</v>
      </c>
      <c r="K3462" s="13">
        <f>$E3462+1</f>
        <v>103</v>
      </c>
      <c r="L3462" s="14">
        <f>IF($J3462=0,0,ROUND(MAX($J3462*1.4,1620000*(1.497923^(MIN($E3462,123)-117)))*1,0))</f>
        <v>118160</v>
      </c>
      <c r="M3462" s="11">
        <f>$E3462+2</f>
        <v>104</v>
      </c>
      <c r="N3462" s="12">
        <f>IF($J3462=0,0,ROUND(MAX($J3462*1.4*1.5,2190000*(1.580994^(MIN($E3462,123)-117)))*1,0))</f>
        <v>177240</v>
      </c>
      <c r="O3462" s="13">
        <f>$E3462+4</f>
        <v>106</v>
      </c>
      <c r="P3462" s="14">
        <f>IF($J3462=0,0,ROUND(MAX($J3462*1.4*1.5*1.6,3500000*(1.57975^(MIN($E3462,123)-117)))*1,0))</f>
        <v>283584</v>
      </c>
      <c r="Q3462" s="11">
        <f>$E3462+6</f>
        <v>108</v>
      </c>
      <c r="R3462" s="12">
        <f>IF($J3462=0,0,ROUND(MAX($J3462*1.4*1.5*1.6*1.6,13100000*(1.429962^(MIN($E3462,123)-117)))*1,0))</f>
        <v>453734</v>
      </c>
      <c r="S3462" s="13">
        <f>$E3462+8</f>
        <v>110</v>
      </c>
      <c r="T3462" s="14">
        <f>IF($J3462=0,0,ROUND(MAX($J3462*1.4*1.5*1.6*1.6*2.2,42600000*(1.576904^(MIN($E3462,123)-117)))*1,0))</f>
        <v>998216</v>
      </c>
      <c r="U3462" s="11">
        <f>$E3462+11</f>
        <v>113</v>
      </c>
      <c r="V3462" s="12">
        <f>IF($J3462=0,0,ROUND(MAX($J3462*1.4*1.5*1.6*1.6*2.2*2.715,354000000*(1.642074^(MIN($E3462,123)-117)))*1,0))</f>
        <v>2710156</v>
      </c>
      <c r="W3462" s="13">
        <f>$E3462+15</f>
        <v>117</v>
      </c>
      <c r="X3462" s="14">
        <f>IF($J3462=0,0,ROUND(MAX($J3462*1.4*1.5*1.6*1.6*2.2*2.715*2.6,3540000000*(1.579646^(MIN($E3462,123)-117)))*1,0))</f>
        <v>7046404</v>
      </c>
      <c r="Y3462" s="11">
        <f>$E3462+17</f>
        <v>119</v>
      </c>
      <c r="Z3462" s="12">
        <f>IF($J3462=0,0,ROUND(MAX($J3462*1.4*1.5*1.6*1.6*2.2*2.715*2.6*1.4,6020000000*(1.651178^(MIN($E3462,123)-117)))*1,0))</f>
        <v>9864966</v>
      </c>
      <c r="AA3462" s="13">
        <f>$E3462+19</f>
        <v>121</v>
      </c>
      <c r="AB3462" s="14">
        <f>IF($J3462=0,0,ROUND(MAX($J3462*1.4*1.5*1.6*1.6*2.2*2.715*2.6*1.4*1.4,8430000000*(1.651435^(MIN($E3462,123)-117)))*1,0))</f>
        <v>13810953</v>
      </c>
      <c r="AC3462" s="11">
        <f>$E3462+21</f>
        <v>123</v>
      </c>
      <c r="AD3462" s="12">
        <f>IF($J3462=0,0,ROUND(MAX($J3462*1.4*1.5*1.6*1.6*2.2*2.715*2.6*1.4*1.4*1.5,12600000000*(1.652953^(MIN($E3462,123)-117)))*1,0))</f>
        <v>20716429</v>
      </c>
      <c r="AE3462" s="13">
        <f>$E3462+24</f>
        <v>126</v>
      </c>
      <c r="AF3462" s="14">
        <f>IF($J3462=0,0,ROUND(MAX($J3462*1.4*1.5*1.6*1.6*2.2*2.715*2.6*1.4*1.4*1.5*1.5,18900000000*(1.65331^(MIN($E3462,123)-117)))*1,0))</f>
        <v>31074644</v>
      </c>
      <c r="AG3462" s="11">
        <f>$E3462+27</f>
        <v>129</v>
      </c>
      <c r="AH3462" s="12">
        <f>IF($J3462=0,0,ROUND(MAX($J3462*1.4*1.5*1.6*1.6*2.2*2.715*2.6*1.4*1.4*1.5*1.5*3.2,60500000000*(1.654288^(MIN($E3462,123)-117)))*1,0))</f>
        <v>99438860</v>
      </c>
    </row>
    <row r="3463" ht="28" customHeight="1" spans="1:34" x14ac:dyDescent="0.25">
      <c r="A3463">
        <v>3473</v>
      </c>
      <c r="B3463" t="s">
        <v>694</v>
      </c>
      <c r="C3463" s="10" t="s">
        <v>1785</v>
      </c>
      <c r="D3463" t="s">
        <v>102</v>
      </c>
      <c r="E3463">
        <v>102</v>
      </c>
      <c r="F3463" t="s">
        <v>71</v>
      </c>
      <c r="G3463" t="s">
        <v>270</v>
      </c>
      <c r="H3463">
        <v>22</v>
      </c>
      <c r="I3463" s="11">
        <f>$E3463+0</f>
        <v>102</v>
      </c>
      <c r="J3463" s="12">
        <v>27300</v>
      </c>
      <c r="K3463" s="13">
        <f>$E3463+1</f>
        <v>103</v>
      </c>
      <c r="L3463" s="14">
        <f>IF($J3463=0,0,ROUND(MAX($J3463*1.4,1620000*(1.497923^(MIN($E3463,123)-117)))*1,0))</f>
        <v>38220</v>
      </c>
      <c r="M3463" s="11">
        <f>$E3463+2</f>
        <v>104</v>
      </c>
      <c r="N3463" s="12">
        <f>IF($J3463=0,0,ROUND(MAX($J3463*1.4*1.5,2190000*(1.580994^(MIN($E3463,123)-117)))*1,0))</f>
        <v>57330</v>
      </c>
      <c r="O3463" s="13">
        <f>$E3463+4</f>
        <v>106</v>
      </c>
      <c r="P3463" s="14">
        <f>IF($J3463=0,0,ROUND(MAX($J3463*1.4*1.5*1.6,3500000*(1.57975^(MIN($E3463,123)-117)))*1,0))</f>
        <v>91728</v>
      </c>
      <c r="Q3463" s="11">
        <f>$E3463+6</f>
        <v>108</v>
      </c>
      <c r="R3463" s="12">
        <f>IF($J3463=0,0,ROUND(MAX($J3463*1.4*1.5*1.6*1.6,13100000*(1.429962^(MIN($E3463,123)-117)))*1,0))</f>
        <v>146765</v>
      </c>
      <c r="S3463" s="13">
        <f>$E3463+8</f>
        <v>110</v>
      </c>
      <c r="T3463" s="14">
        <f>IF($J3463=0,0,ROUND(MAX($J3463*1.4*1.5*1.6*1.6*2.2,42600000*(1.576904^(MIN($E3463,123)-117)))*1,0))</f>
        <v>322883</v>
      </c>
      <c r="U3463" s="11">
        <f>$E3463+11</f>
        <v>113</v>
      </c>
      <c r="V3463" s="12">
        <f>IF($J3463=0,0,ROUND(MAX($J3463*1.4*1.5*1.6*1.6*2.2*2.715,354000000*(1.642074^(MIN($E3463,123)-117)))*1,0))</f>
        <v>876626</v>
      </c>
      <c r="W3463" s="13">
        <f>$E3463+15</f>
        <v>117</v>
      </c>
      <c r="X3463" s="14">
        <f>IF($J3463=0,0,ROUND(MAX($J3463*1.4*1.5*1.6*1.6*2.2*2.715*2.6,3540000000*(1.579646^(MIN($E3463,123)-117)))*1,0))</f>
        <v>3720546</v>
      </c>
      <c r="Y3463" s="11">
        <f>$E3463+17</f>
        <v>119</v>
      </c>
      <c r="Z3463" s="12">
        <f>IF($J3463=0,0,ROUND(MAX($J3463*1.4*1.5*1.6*1.6*2.2*2.715*2.6*1.4,6020000000*(1.651178^(MIN($E3463,123)-117)))*1,0))</f>
        <v>3256028</v>
      </c>
      <c r="AA3463" s="13">
        <f>$E3463+19</f>
        <v>121</v>
      </c>
      <c r="AB3463" s="14">
        <f>IF($J3463=0,0,ROUND(MAX($J3463*1.4*1.5*1.6*1.6*2.2*2.715*2.6*1.4*1.4,8430000000*(1.651435^(MIN($E3463,123)-117)))*1,0))</f>
        <v>4548889</v>
      </c>
      <c r="AC3463" s="11">
        <f>$E3463+21</f>
        <v>123</v>
      </c>
      <c r="AD3463" s="12">
        <f>IF($J3463=0,0,ROUND(MAX($J3463*1.4*1.5*1.6*1.6*2.2*2.715*2.6*1.4*1.4*1.5,12600000000*(1.652953^(MIN($E3463,123)-117)))*1,0))</f>
        <v>6705991</v>
      </c>
      <c r="AE3463" s="13">
        <f>$E3463+24</f>
        <v>126</v>
      </c>
      <c r="AF3463" s="14">
        <f>IF($J3463=0,0,ROUND(MAX($J3463*1.4*1.5*1.6*1.6*2.2*2.715*2.6*1.4*1.4*1.5*1.5,18900000000*(1.65331^(MIN($E3463,123)-117)))*1,0))</f>
        <v>10051395</v>
      </c>
      <c r="AG3463" s="11">
        <f>$E3463+27</f>
        <v>129</v>
      </c>
      <c r="AH3463" s="12">
        <f>IF($J3463=0,0,ROUND(MAX($J3463*1.4*1.5*1.6*1.6*2.2*2.715*2.6*1.4*1.4*1.5*1.5*3.2,60500000000*(1.654288^(MIN($E3463,123)-117)))*1,0))</f>
        <v>32164465</v>
      </c>
    </row>
    <row r="3464" ht="28" customHeight="1" spans="1:34" x14ac:dyDescent="0.25">
      <c r="A3464">
        <v>3474</v>
      </c>
      <c r="B3464" t="s">
        <v>245</v>
      </c>
      <c r="C3464" s="10" t="s">
        <v>1785</v>
      </c>
      <c r="D3464" t="s">
        <v>45</v>
      </c>
      <c r="E3464">
        <v>102</v>
      </c>
      <c r="F3464" t="s">
        <v>212</v>
      </c>
      <c r="G3464" t="s">
        <v>51</v>
      </c>
      <c r="H3464">
        <v>22</v>
      </c>
      <c r="I3464" s="11">
        <f>$E3464+0</f>
        <v>102</v>
      </c>
      <c r="J3464" s="12">
        <v>29500</v>
      </c>
      <c r="K3464" s="13">
        <f>$E3464+1</f>
        <v>103</v>
      </c>
      <c r="L3464" s="14">
        <f>IF($J3464=0,0,ROUND(MAX($J3464*1.4,1620000*(1.497923^(MIN($E3464,123)-117)))*1,0))</f>
        <v>41300</v>
      </c>
      <c r="M3464" s="11">
        <f>$E3464+2</f>
        <v>104</v>
      </c>
      <c r="N3464" s="12">
        <f>IF($J3464=0,0,ROUND(MAX($J3464*1.4*1.5,2190000*(1.580994^(MIN($E3464,123)-117)))*1,0))</f>
        <v>61950</v>
      </c>
      <c r="O3464" s="13">
        <f>$E3464+4</f>
        <v>106</v>
      </c>
      <c r="P3464" s="14">
        <f>IF($J3464=0,0,ROUND(MAX($J3464*1.4*1.5*1.6,3500000*(1.57975^(MIN($E3464,123)-117)))*1,0))</f>
        <v>99120</v>
      </c>
      <c r="Q3464" s="11">
        <f>$E3464+6</f>
        <v>108</v>
      </c>
      <c r="R3464" s="12">
        <f>IF($J3464=0,0,ROUND(MAX($J3464*1.4*1.5*1.6*1.6,13100000*(1.429962^(MIN($E3464,123)-117)))*1,0))</f>
        <v>158592</v>
      </c>
      <c r="S3464" s="13">
        <f>$E3464+8</f>
        <v>110</v>
      </c>
      <c r="T3464" s="14">
        <f>IF($J3464=0,0,ROUND(MAX($J3464*1.4*1.5*1.6*1.6*2.2,42600000*(1.576904^(MIN($E3464,123)-117)))*1,0))</f>
        <v>348902</v>
      </c>
      <c r="U3464" s="11">
        <f>$E3464+11</f>
        <v>113</v>
      </c>
      <c r="V3464" s="12">
        <f>IF($J3464=0,0,ROUND(MAX($J3464*1.4*1.5*1.6*1.6*2.2*2.715,354000000*(1.642074^(MIN($E3464,123)-117)))*1,0))</f>
        <v>947270</v>
      </c>
      <c r="W3464" s="13">
        <f>$E3464+15</f>
        <v>117</v>
      </c>
      <c r="X3464" s="14">
        <f>IF($J3464=0,0,ROUND(MAX($J3464*1.4*1.5*1.6*1.6*2.2*2.715*2.6,3540000000*(1.579646^(MIN($E3464,123)-117)))*1,0))</f>
        <v>3720546</v>
      </c>
      <c r="Y3464" s="11">
        <f>$E3464+17</f>
        <v>119</v>
      </c>
      <c r="Z3464" s="12">
        <f>IF($J3464=0,0,ROUND(MAX($J3464*1.4*1.5*1.6*1.6*2.2*2.715*2.6*1.4,6020000000*(1.651178^(MIN($E3464,123)-117)))*1,0))</f>
        <v>3448063</v>
      </c>
      <c r="AA3464" s="13">
        <f>$E3464+19</f>
        <v>121</v>
      </c>
      <c r="AB3464" s="14">
        <f>IF($J3464=0,0,ROUND(MAX($J3464*1.4*1.5*1.6*1.6*2.2*2.715*2.6*1.4*1.4,8430000000*(1.651435^(MIN($E3464,123)-117)))*1,0))</f>
        <v>4827288</v>
      </c>
      <c r="AC3464" s="11">
        <f>$E3464+21</f>
        <v>123</v>
      </c>
      <c r="AD3464" s="12">
        <f>IF($J3464=0,0,ROUND(MAX($J3464*1.4*1.5*1.6*1.6*2.2*2.715*2.6*1.4*1.4*1.5,12600000000*(1.652953^(MIN($E3464,123)-117)))*1,0))</f>
        <v>7240932</v>
      </c>
      <c r="AE3464" s="13">
        <f>$E3464+24</f>
        <v>126</v>
      </c>
      <c r="AF3464" s="14">
        <f>IF($J3464=0,0,ROUND(MAX($J3464*1.4*1.5*1.6*1.6*2.2*2.715*2.6*1.4*1.4*1.5*1.5,18900000000*(1.65331^(MIN($E3464,123)-117)))*1,0))</f>
        <v>10861398</v>
      </c>
      <c r="AG3464" s="11">
        <f>$E3464+27</f>
        <v>129</v>
      </c>
      <c r="AH3464" s="12">
        <f>IF($J3464=0,0,ROUND(MAX($J3464*1.4*1.5*1.6*1.6*2.2*2.715*2.6*1.4*1.4*1.5*1.5*3.2,60500000000*(1.654288^(MIN($E3464,123)-117)))*1,0))</f>
        <v>34756474</v>
      </c>
    </row>
    <row r="3465" ht="28" customHeight="1" spans="1:34" x14ac:dyDescent="0.25">
      <c r="A3465">
        <v>3475</v>
      </c>
      <c r="B3465" t="s">
        <v>164</v>
      </c>
      <c r="C3465" s="10" t="s">
        <v>1785</v>
      </c>
      <c r="D3465" t="s">
        <v>64</v>
      </c>
      <c r="E3465">
        <v>102</v>
      </c>
      <c r="F3465" t="s">
        <v>132</v>
      </c>
      <c r="G3465" t="s">
        <v>562</v>
      </c>
      <c r="H3465">
        <v>22</v>
      </c>
      <c r="I3465" s="11">
        <f>$E3465+0</f>
        <v>102</v>
      </c>
      <c r="J3465" s="12">
        <v>209000</v>
      </c>
      <c r="K3465" s="13">
        <f>$E3465+1</f>
        <v>103</v>
      </c>
      <c r="L3465" s="14">
        <f>IF($J3465=0,0,ROUND(MAX($J3465*1.4,1620000*(1.497923^(MIN($E3465,123)-117)))*1,0))</f>
        <v>292600</v>
      </c>
      <c r="M3465" s="11">
        <f>$E3465+2</f>
        <v>104</v>
      </c>
      <c r="N3465" s="12">
        <f>IF($J3465=0,0,ROUND(MAX($J3465*1.4*1.5,2190000*(1.580994^(MIN($E3465,123)-117)))*1,0))</f>
        <v>438900</v>
      </c>
      <c r="O3465" s="13">
        <f>$E3465+4</f>
        <v>106</v>
      </c>
      <c r="P3465" s="14">
        <f>IF($J3465=0,0,ROUND(MAX($J3465*1.4*1.5*1.6,3500000*(1.57975^(MIN($E3465,123)-117)))*1,0))</f>
        <v>702240</v>
      </c>
      <c r="Q3465" s="11">
        <f>$E3465+6</f>
        <v>108</v>
      </c>
      <c r="R3465" s="12">
        <f>IF($J3465=0,0,ROUND(MAX($J3465*1.4*1.5*1.6*1.6,13100000*(1.429962^(MIN($E3465,123)-117)))*1,0))</f>
        <v>1123584</v>
      </c>
      <c r="S3465" s="13">
        <f>$E3465+8</f>
        <v>110</v>
      </c>
      <c r="T3465" s="14">
        <f>IF($J3465=0,0,ROUND(MAX($J3465*1.4*1.5*1.6*1.6*2.2,42600000*(1.576904^(MIN($E3465,123)-117)))*1,0))</f>
        <v>2471885</v>
      </c>
      <c r="U3465" s="11">
        <f>$E3465+11</f>
        <v>113</v>
      </c>
      <c r="V3465" s="12">
        <f>IF($J3465=0,0,ROUND(MAX($J3465*1.4*1.5*1.6*1.6*2.2*2.715,354000000*(1.642074^(MIN($E3465,123)-117)))*1,0))</f>
        <v>6711167</v>
      </c>
      <c r="W3465" s="13">
        <f>$E3465+15</f>
        <v>117</v>
      </c>
      <c r="X3465" s="14">
        <f>IF($J3465=0,0,ROUND(MAX($J3465*1.4*1.5*1.6*1.6*2.2*2.715*2.6,3540000000*(1.579646^(MIN($E3465,123)-117)))*1,0))</f>
        <v>17449035</v>
      </c>
      <c r="Y3465" s="11">
        <f>$E3465+17</f>
        <v>119</v>
      </c>
      <c r="Z3465" s="12">
        <f>IF($J3465=0,0,ROUND(MAX($J3465*1.4*1.5*1.6*1.6*2.2*2.715*2.6*1.4,6020000000*(1.651178^(MIN($E3465,123)-117)))*1,0))</f>
        <v>24428649</v>
      </c>
      <c r="AA3465" s="13">
        <f>$E3465+19</f>
        <v>121</v>
      </c>
      <c r="AB3465" s="14">
        <f>IF($J3465=0,0,ROUND(MAX($J3465*1.4*1.5*1.6*1.6*2.2*2.715*2.6*1.4*1.4,8430000000*(1.651435^(MIN($E3465,123)-117)))*1,0))</f>
        <v>34200108</v>
      </c>
      <c r="AC3465" s="11">
        <f>$E3465+21</f>
        <v>123</v>
      </c>
      <c r="AD3465" s="12">
        <f>IF($J3465=0,0,ROUND(MAX($J3465*1.4*1.5*1.6*1.6*2.2*2.715*2.6*1.4*1.4*1.5,12600000000*(1.652953^(MIN($E3465,123)-117)))*1,0))</f>
        <v>51300162</v>
      </c>
      <c r="AE3465" s="13">
        <f>$E3465+24</f>
        <v>126</v>
      </c>
      <c r="AF3465" s="14">
        <f>IF($J3465=0,0,ROUND(MAX($J3465*1.4*1.5*1.6*1.6*2.2*2.715*2.6*1.4*1.4*1.5*1.5,18900000000*(1.65331^(MIN($E3465,123)-117)))*1,0))</f>
        <v>76950243</v>
      </c>
      <c r="AG3465" s="11">
        <f>$E3465+27</f>
        <v>129</v>
      </c>
      <c r="AH3465" s="12">
        <f>IF($J3465=0,0,ROUND(MAX($J3465*1.4*1.5*1.6*1.6*2.2*2.715*2.6*1.4*1.4*1.5*1.5*3.2,60500000000*(1.654288^(MIN($E3465,123)-117)))*1,0))</f>
        <v>246240779</v>
      </c>
    </row>
    <row r="3466" ht="28" customHeight="1" spans="1:34" x14ac:dyDescent="0.25">
      <c r="A3466">
        <v>3476</v>
      </c>
      <c r="B3466" t="s">
        <v>378</v>
      </c>
      <c r="C3466" s="10" t="s">
        <v>1785</v>
      </c>
      <c r="D3466" t="s">
        <v>90</v>
      </c>
      <c r="E3466">
        <v>102</v>
      </c>
      <c r="F3466" t="s">
        <v>144</v>
      </c>
      <c r="G3466" t="s">
        <v>379</v>
      </c>
      <c r="H3466">
        <v>21</v>
      </c>
      <c r="I3466" s="11">
        <f>$E3466+0</f>
        <v>102</v>
      </c>
      <c r="J3466" s="12">
        <v>9610</v>
      </c>
      <c r="K3466" s="13">
        <f>$E3466+1</f>
        <v>103</v>
      </c>
      <c r="L3466" s="14">
        <f>IF($J3466=0,0,ROUND(MAX($J3466*1.4,1620000*(1.497923^(MIN($E3466,123)-117)))*1,0))</f>
        <v>13454</v>
      </c>
      <c r="M3466" s="11">
        <f>$E3466+2</f>
        <v>104</v>
      </c>
      <c r="N3466" s="12">
        <f>IF($J3466=0,0,ROUND(MAX($J3466*1.4*1.5,2190000*(1.580994^(MIN($E3466,123)-117)))*1,0))</f>
        <v>20181</v>
      </c>
      <c r="O3466" s="13">
        <f>$E3466+4</f>
        <v>106</v>
      </c>
      <c r="P3466" s="14">
        <f>IF($J3466=0,0,ROUND(MAX($J3466*1.4*1.5*1.6,3500000*(1.57975^(MIN($E3466,123)-117)))*1,0))</f>
        <v>32290</v>
      </c>
      <c r="Q3466" s="11">
        <f>$E3466+6</f>
        <v>108</v>
      </c>
      <c r="R3466" s="12">
        <f>IF($J3466=0,0,ROUND(MAX($J3466*1.4*1.5*1.6*1.6,13100000*(1.429962^(MIN($E3466,123)-117)))*1,0))</f>
        <v>61292</v>
      </c>
      <c r="S3466" s="13">
        <f>$E3466+8</f>
        <v>110</v>
      </c>
      <c r="T3466" s="14">
        <f>IF($J3466=0,0,ROUND(MAX($J3466*1.4*1.5*1.6*1.6*2.2,42600000*(1.576904^(MIN($E3466,123)-117)))*1,0))</f>
        <v>113659</v>
      </c>
      <c r="U3466" s="11">
        <f>$E3466+11</f>
        <v>113</v>
      </c>
      <c r="V3466" s="12">
        <f>IF($J3466=0,0,ROUND(MAX($J3466*1.4*1.5*1.6*1.6*2.2*2.715,354000000*(1.642074^(MIN($E3466,123)-117)))*1,0))</f>
        <v>308585</v>
      </c>
      <c r="W3466" s="13">
        <f>$E3466+15</f>
        <v>117</v>
      </c>
      <c r="X3466" s="14">
        <f>IF($J3466=0,0,ROUND(MAX($J3466*1.4*1.5*1.6*1.6*2.2*2.715*2.6,3540000000*(1.579646^(MIN($E3466,123)-117)))*1,0))</f>
        <v>3720546</v>
      </c>
      <c r="Y3466" s="11">
        <f>$E3466+17</f>
        <v>119</v>
      </c>
      <c r="Z3466" s="12">
        <f>IF($J3466=0,0,ROUND(MAX($J3466*1.4*1.5*1.6*1.6*2.2*2.715*2.6*1.4,6020000000*(1.651178^(MIN($E3466,123)-117)))*1,0))</f>
        <v>3256028</v>
      </c>
      <c r="AA3466" s="13">
        <f>$E3466+19</f>
        <v>121</v>
      </c>
      <c r="AB3466" s="14">
        <f>IF($J3466=0,0,ROUND(MAX($J3466*1.4*1.5*1.6*1.6*2.2*2.715*2.6*1.4*1.4,8430000000*(1.651435^(MIN($E3466,123)-117)))*1,0))</f>
        <v>4548889</v>
      </c>
      <c r="AC3466" s="11">
        <f>$E3466+21</f>
        <v>123</v>
      </c>
      <c r="AD3466" s="12">
        <f>IF($J3466=0,0,ROUND(MAX($J3466*1.4*1.5*1.6*1.6*2.2*2.715*2.6*1.4*1.4*1.5,12600000000*(1.652953^(MIN($E3466,123)-117)))*1,0))</f>
        <v>6705991</v>
      </c>
      <c r="AE3466" s="13">
        <f>$E3466+24</f>
        <v>126</v>
      </c>
      <c r="AF3466" s="14">
        <f>IF($J3466=0,0,ROUND(MAX($J3466*1.4*1.5*1.6*1.6*2.2*2.715*2.6*1.4*1.4*1.5*1.5,18900000000*(1.65331^(MIN($E3466,123)-117)))*1,0))</f>
        <v>10026455</v>
      </c>
      <c r="AG3466" s="11">
        <f>$E3466+27</f>
        <v>129</v>
      </c>
      <c r="AH3466" s="12">
        <f>IF($J3466=0,0,ROUND(MAX($J3466*1.4*1.5*1.6*1.6*2.2*2.715*2.6*1.4*1.4*1.5*1.5*3.2,60500000000*(1.654288^(MIN($E3466,123)-117)))*1,0))</f>
        <v>31811825</v>
      </c>
    </row>
    <row r="3467" ht="28" customHeight="1" spans="1:34" x14ac:dyDescent="0.25">
      <c r="A3467">
        <v>3477</v>
      </c>
      <c r="B3467" t="s">
        <v>902</v>
      </c>
      <c r="C3467" s="10" t="s">
        <v>1785</v>
      </c>
      <c r="D3467" t="s">
        <v>45</v>
      </c>
      <c r="E3467">
        <v>102</v>
      </c>
      <c r="F3467" t="s">
        <v>88</v>
      </c>
      <c r="G3467" t="s">
        <v>801</v>
      </c>
      <c r="H3467">
        <v>21</v>
      </c>
      <c r="I3467" s="11">
        <f>$E3467+0</f>
        <v>102</v>
      </c>
      <c r="J3467" s="12">
        <v>32800</v>
      </c>
      <c r="K3467" s="13">
        <f>$E3467+1</f>
        <v>103</v>
      </c>
      <c r="L3467" s="14">
        <f>IF($J3467=0,0,ROUND(MAX($J3467*1.4,1620000*(1.497923^(MIN($E3467,123)-117)))*1,0))</f>
        <v>45920</v>
      </c>
      <c r="M3467" s="11">
        <f>$E3467+2</f>
        <v>104</v>
      </c>
      <c r="N3467" s="12">
        <f>IF($J3467=0,0,ROUND(MAX($J3467*1.4*1.5,2190000*(1.580994^(MIN($E3467,123)-117)))*1,0))</f>
        <v>68880</v>
      </c>
      <c r="O3467" s="13">
        <f>$E3467+4</f>
        <v>106</v>
      </c>
      <c r="P3467" s="14">
        <f>IF($J3467=0,0,ROUND(MAX($J3467*1.4*1.5*1.6,3500000*(1.57975^(MIN($E3467,123)-117)))*1,0))</f>
        <v>110208</v>
      </c>
      <c r="Q3467" s="11">
        <f>$E3467+6</f>
        <v>108</v>
      </c>
      <c r="R3467" s="12">
        <f>IF($J3467=0,0,ROUND(MAX($J3467*1.4*1.5*1.6*1.6,13100000*(1.429962^(MIN($E3467,123)-117)))*1,0))</f>
        <v>176333</v>
      </c>
      <c r="S3467" s="13">
        <f>$E3467+8</f>
        <v>110</v>
      </c>
      <c r="T3467" s="14">
        <f>IF($J3467=0,0,ROUND(MAX($J3467*1.4*1.5*1.6*1.6*2.2,42600000*(1.576904^(MIN($E3467,123)-117)))*1,0))</f>
        <v>387932</v>
      </c>
      <c r="U3467" s="11">
        <f>$E3467+11</f>
        <v>113</v>
      </c>
      <c r="V3467" s="12">
        <f>IF($J3467=0,0,ROUND(MAX($J3467*1.4*1.5*1.6*1.6*2.2*2.715,354000000*(1.642074^(MIN($E3467,123)-117)))*1,0))</f>
        <v>1053236</v>
      </c>
      <c r="W3467" s="13">
        <f>$E3467+15</f>
        <v>117</v>
      </c>
      <c r="X3467" s="14">
        <f>IF($J3467=0,0,ROUND(MAX($J3467*1.4*1.5*1.6*1.6*2.2*2.715*2.6,3540000000*(1.579646^(MIN($E3467,123)-117)))*1,0))</f>
        <v>3720546</v>
      </c>
      <c r="Y3467" s="11">
        <f>$E3467+17</f>
        <v>119</v>
      </c>
      <c r="Z3467" s="12">
        <f>IF($J3467=0,0,ROUND(MAX($J3467*1.4*1.5*1.6*1.6*2.2*2.715*2.6*1.4,6020000000*(1.651178^(MIN($E3467,123)-117)))*1,0))</f>
        <v>3833778</v>
      </c>
      <c r="AA3467" s="13">
        <f>$E3467+19</f>
        <v>121</v>
      </c>
      <c r="AB3467" s="14">
        <f>IF($J3467=0,0,ROUND(MAX($J3467*1.4*1.5*1.6*1.6*2.2*2.715*2.6*1.4*1.4,8430000000*(1.651435^(MIN($E3467,123)-117)))*1,0))</f>
        <v>5367290</v>
      </c>
      <c r="AC3467" s="11">
        <f>$E3467+21</f>
        <v>123</v>
      </c>
      <c r="AD3467" s="12">
        <f>IF($J3467=0,0,ROUND(MAX($J3467*1.4*1.5*1.6*1.6*2.2*2.715*2.6*1.4*1.4*1.5,12600000000*(1.652953^(MIN($E3467,123)-117)))*1,0))</f>
        <v>8050935</v>
      </c>
      <c r="AE3467" s="13">
        <f>$E3467+24</f>
        <v>126</v>
      </c>
      <c r="AF3467" s="14">
        <f>IF($J3467=0,0,ROUND(MAX($J3467*1.4*1.5*1.6*1.6*2.2*2.715*2.6*1.4*1.4*1.5*1.5,18900000000*(1.65331^(MIN($E3467,123)-117)))*1,0))</f>
        <v>12076402</v>
      </c>
      <c r="AG3467" s="11">
        <f>$E3467+27</f>
        <v>129</v>
      </c>
      <c r="AH3467" s="12">
        <f>IF($J3467=0,0,ROUND(MAX($J3467*1.4*1.5*1.6*1.6*2.2*2.715*2.6*1.4*1.4*1.5*1.5*3.2,60500000000*(1.654288^(MIN($E3467,123)-117)))*1,0))</f>
        <v>38644486</v>
      </c>
    </row>
    <row r="3468" ht="28" customHeight="1" spans="1:34" x14ac:dyDescent="0.25">
      <c r="A3468">
        <v>3478</v>
      </c>
      <c r="B3468" t="s">
        <v>621</v>
      </c>
      <c r="C3468" s="10" t="s">
        <v>1785</v>
      </c>
      <c r="D3468" t="s">
        <v>45</v>
      </c>
      <c r="E3468">
        <v>102</v>
      </c>
      <c r="F3468" t="s">
        <v>62</v>
      </c>
      <c r="G3468" t="s">
        <v>242</v>
      </c>
      <c r="H3468">
        <v>21</v>
      </c>
      <c r="I3468" s="11">
        <f>$E3468+0</f>
        <v>102</v>
      </c>
      <c r="J3468" s="12">
        <v>26000</v>
      </c>
      <c r="K3468" s="13">
        <f>$E3468+1</f>
        <v>103</v>
      </c>
      <c r="L3468" s="14">
        <f>IF($J3468=0,0,ROUND(MAX($J3468*1.4,1620000*(1.497923^(MIN($E3468,123)-117)))*1,0))</f>
        <v>36400</v>
      </c>
      <c r="M3468" s="11">
        <f>$E3468+2</f>
        <v>104</v>
      </c>
      <c r="N3468" s="12">
        <f>IF($J3468=0,0,ROUND(MAX($J3468*1.4*1.5,2190000*(1.580994^(MIN($E3468,123)-117)))*1,0))</f>
        <v>54600</v>
      </c>
      <c r="O3468" s="13">
        <f>$E3468+4</f>
        <v>106</v>
      </c>
      <c r="P3468" s="14">
        <f>IF($J3468=0,0,ROUND(MAX($J3468*1.4*1.5*1.6,3500000*(1.57975^(MIN($E3468,123)-117)))*1,0))</f>
        <v>87360</v>
      </c>
      <c r="Q3468" s="11">
        <f>$E3468+6</f>
        <v>108</v>
      </c>
      <c r="R3468" s="12">
        <f>IF($J3468=0,0,ROUND(MAX($J3468*1.4*1.5*1.6*1.6,13100000*(1.429962^(MIN($E3468,123)-117)))*1,0))</f>
        <v>139776</v>
      </c>
      <c r="S3468" s="13">
        <f>$E3468+8</f>
        <v>110</v>
      </c>
      <c r="T3468" s="14">
        <f>IF($J3468=0,0,ROUND(MAX($J3468*1.4*1.5*1.6*1.6*2.2,42600000*(1.576904^(MIN($E3468,123)-117)))*1,0))</f>
        <v>307507</v>
      </c>
      <c r="U3468" s="11">
        <f>$E3468+11</f>
        <v>113</v>
      </c>
      <c r="V3468" s="12">
        <f>IF($J3468=0,0,ROUND(MAX($J3468*1.4*1.5*1.6*1.6*2.2*2.715,354000000*(1.642074^(MIN($E3468,123)-117)))*1,0))</f>
        <v>834882</v>
      </c>
      <c r="W3468" s="13">
        <f>$E3468+15</f>
        <v>117</v>
      </c>
      <c r="X3468" s="14">
        <f>IF($J3468=0,0,ROUND(MAX($J3468*1.4*1.5*1.6*1.6*2.2*2.715*2.6,3540000000*(1.579646^(MIN($E3468,123)-117)))*1,0))</f>
        <v>3720546</v>
      </c>
      <c r="Y3468" s="11">
        <f>$E3468+17</f>
        <v>119</v>
      </c>
      <c r="Z3468" s="12">
        <f>IF($J3468=0,0,ROUND(MAX($J3468*1.4*1.5*1.6*1.6*2.2*2.715*2.6*1.4,6020000000*(1.651178^(MIN($E3468,123)-117)))*1,0))</f>
        <v>3256028</v>
      </c>
      <c r="AA3468" s="13">
        <f>$E3468+19</f>
        <v>121</v>
      </c>
      <c r="AB3468" s="14">
        <f>IF($J3468=0,0,ROUND(MAX($J3468*1.4*1.5*1.6*1.6*2.2*2.715*2.6*1.4*1.4,8430000000*(1.651435^(MIN($E3468,123)-117)))*1,0))</f>
        <v>4548889</v>
      </c>
      <c r="AC3468" s="11">
        <f>$E3468+21</f>
        <v>123</v>
      </c>
      <c r="AD3468" s="12">
        <f>IF($J3468=0,0,ROUND(MAX($J3468*1.4*1.5*1.6*1.6*2.2*2.715*2.6*1.4*1.4*1.5,12600000000*(1.652953^(MIN($E3468,123)-117)))*1,0))</f>
        <v>6705991</v>
      </c>
      <c r="AE3468" s="13">
        <f>$E3468+24</f>
        <v>126</v>
      </c>
      <c r="AF3468" s="14">
        <f>IF($J3468=0,0,ROUND(MAX($J3468*1.4*1.5*1.6*1.6*2.2*2.715*2.6*1.4*1.4*1.5*1.5,18900000000*(1.65331^(MIN($E3468,123)-117)))*1,0))</f>
        <v>10026455</v>
      </c>
      <c r="AG3468" s="11">
        <f>$E3468+27</f>
        <v>129</v>
      </c>
      <c r="AH3468" s="12">
        <f>IF($J3468=0,0,ROUND(MAX($J3468*1.4*1.5*1.6*1.6*2.2*2.715*2.6*1.4*1.4*1.5*1.5*3.2,60500000000*(1.654288^(MIN($E3468,123)-117)))*1,0))</f>
        <v>31811825</v>
      </c>
    </row>
    <row r="3469" ht="28" customHeight="1" spans="1:34" x14ac:dyDescent="0.25">
      <c r="A3469">
        <v>3479</v>
      </c>
      <c r="B3469" t="s">
        <v>311</v>
      </c>
      <c r="C3469" s="10" t="s">
        <v>1785</v>
      </c>
      <c r="D3469" t="s">
        <v>45</v>
      </c>
      <c r="E3469">
        <v>102</v>
      </c>
      <c r="F3469" t="s">
        <v>62</v>
      </c>
      <c r="G3469" t="s">
        <v>1312</v>
      </c>
      <c r="H3469">
        <v>21</v>
      </c>
      <c r="I3469" s="11">
        <f>$E3469+0</f>
        <v>102</v>
      </c>
      <c r="J3469" s="12">
        <v>27500</v>
      </c>
      <c r="K3469" s="13">
        <f>$E3469+1</f>
        <v>103</v>
      </c>
      <c r="L3469" s="14">
        <f>IF($J3469=0,0,ROUND(MAX($J3469*1.4,1620000*(1.497923^(MIN($E3469,123)-117)))*1,0))</f>
        <v>38500</v>
      </c>
      <c r="M3469" s="11">
        <f>$E3469+2</f>
        <v>104</v>
      </c>
      <c r="N3469" s="12">
        <f>IF($J3469=0,0,ROUND(MAX($J3469*1.4*1.5,2190000*(1.580994^(MIN($E3469,123)-117)))*1,0))</f>
        <v>57750</v>
      </c>
      <c r="O3469" s="13">
        <f>$E3469+4</f>
        <v>106</v>
      </c>
      <c r="P3469" s="14">
        <f>IF($J3469=0,0,ROUND(MAX($J3469*1.4*1.5*1.6,3500000*(1.57975^(MIN($E3469,123)-117)))*1,0))</f>
        <v>92400</v>
      </c>
      <c r="Q3469" s="11">
        <f>$E3469+6</f>
        <v>108</v>
      </c>
      <c r="R3469" s="12">
        <f>IF($J3469=0,0,ROUND(MAX($J3469*1.4*1.5*1.6*1.6,13100000*(1.429962^(MIN($E3469,123)-117)))*1,0))</f>
        <v>147840</v>
      </c>
      <c r="S3469" s="13">
        <f>$E3469+8</f>
        <v>110</v>
      </c>
      <c r="T3469" s="14">
        <f>IF($J3469=0,0,ROUND(MAX($J3469*1.4*1.5*1.6*1.6*2.2,42600000*(1.576904^(MIN($E3469,123)-117)))*1,0))</f>
        <v>325248</v>
      </c>
      <c r="U3469" s="11">
        <f>$E3469+11</f>
        <v>113</v>
      </c>
      <c r="V3469" s="12">
        <f>IF($J3469=0,0,ROUND(MAX($J3469*1.4*1.5*1.6*1.6*2.2*2.715,354000000*(1.642074^(MIN($E3469,123)-117)))*1,0))</f>
        <v>883048</v>
      </c>
      <c r="W3469" s="13">
        <f>$E3469+15</f>
        <v>117</v>
      </c>
      <c r="X3469" s="14">
        <f>IF($J3469=0,0,ROUND(MAX($J3469*1.4*1.5*1.6*1.6*2.2*2.715*2.6,3540000000*(1.579646^(MIN($E3469,123)-117)))*1,0))</f>
        <v>3720546</v>
      </c>
      <c r="Y3469" s="11">
        <f>$E3469+17</f>
        <v>119</v>
      </c>
      <c r="Z3469" s="12">
        <f>IF($J3469=0,0,ROUND(MAX($J3469*1.4*1.5*1.6*1.6*2.2*2.715*2.6*1.4,6020000000*(1.651178^(MIN($E3469,123)-117)))*1,0))</f>
        <v>3256028</v>
      </c>
      <c r="AA3469" s="13">
        <f>$E3469+19</f>
        <v>121</v>
      </c>
      <c r="AB3469" s="14">
        <f>IF($J3469=0,0,ROUND(MAX($J3469*1.4*1.5*1.6*1.6*2.2*2.715*2.6*1.4*1.4,8430000000*(1.651435^(MIN($E3469,123)-117)))*1,0))</f>
        <v>4548889</v>
      </c>
      <c r="AC3469" s="11">
        <f>$E3469+21</f>
        <v>123</v>
      </c>
      <c r="AD3469" s="12">
        <f>IF($J3469=0,0,ROUND(MAX($J3469*1.4*1.5*1.6*1.6*2.2*2.715*2.6*1.4*1.4*1.5,12600000000*(1.652953^(MIN($E3469,123)-117)))*1,0))</f>
        <v>6750021</v>
      </c>
      <c r="AE3469" s="13">
        <f>$E3469+24</f>
        <v>126</v>
      </c>
      <c r="AF3469" s="14">
        <f>IF($J3469=0,0,ROUND(MAX($J3469*1.4*1.5*1.6*1.6*2.2*2.715*2.6*1.4*1.4*1.5*1.5,18900000000*(1.65331^(MIN($E3469,123)-117)))*1,0))</f>
        <v>10125032</v>
      </c>
      <c r="AG3469" s="11">
        <f>$E3469+27</f>
        <v>129</v>
      </c>
      <c r="AH3469" s="12">
        <f>IF($J3469=0,0,ROUND(MAX($J3469*1.4*1.5*1.6*1.6*2.2*2.715*2.6*1.4*1.4*1.5*1.5*3.2,60500000000*(1.654288^(MIN($E3469,123)-117)))*1,0))</f>
        <v>32400103</v>
      </c>
    </row>
    <row r="3470" ht="28" customHeight="1" spans="1:34" x14ac:dyDescent="0.25">
      <c r="A3470">
        <v>3480</v>
      </c>
      <c r="B3470" t="s">
        <v>629</v>
      </c>
      <c r="C3470" s="10" t="s">
        <v>1785</v>
      </c>
      <c r="D3470" t="s">
        <v>90</v>
      </c>
      <c r="E3470">
        <v>102</v>
      </c>
      <c r="F3470" t="s">
        <v>62</v>
      </c>
      <c r="G3470" t="s">
        <v>27</v>
      </c>
      <c r="H3470">
        <v>21</v>
      </c>
      <c r="I3470" s="11">
        <f>$E3470+0</f>
        <v>102</v>
      </c>
      <c r="J3470" s="12">
        <v>162000</v>
      </c>
      <c r="K3470" s="13">
        <f>$E3470+1</f>
        <v>103</v>
      </c>
      <c r="L3470" s="14">
        <f>IF($J3470=0,0,ROUND(MAX($J3470*1.4,1620000*(1.497923^(MIN($E3470,123)-117)))*1,0))</f>
        <v>226800</v>
      </c>
      <c r="M3470" s="11">
        <f>$E3470+2</f>
        <v>104</v>
      </c>
      <c r="N3470" s="12">
        <f>IF($J3470=0,0,ROUND(MAX($J3470*1.4*1.5,2190000*(1.580994^(MIN($E3470,123)-117)))*1,0))</f>
        <v>340200</v>
      </c>
      <c r="O3470" s="13">
        <f>$E3470+4</f>
        <v>106</v>
      </c>
      <c r="P3470" s="14">
        <f>IF($J3470=0,0,ROUND(MAX($J3470*1.4*1.5*1.6,3500000*(1.57975^(MIN($E3470,123)-117)))*1,0))</f>
        <v>544320</v>
      </c>
      <c r="Q3470" s="11">
        <f>$E3470+6</f>
        <v>108</v>
      </c>
      <c r="R3470" s="12">
        <f>IF($J3470=0,0,ROUND(MAX($J3470*1.4*1.5*1.6*1.6,13100000*(1.429962^(MIN($E3470,123)-117)))*1,0))</f>
        <v>870912</v>
      </c>
      <c r="S3470" s="13">
        <f>$E3470+8</f>
        <v>110</v>
      </c>
      <c r="T3470" s="14">
        <f>IF($J3470=0,0,ROUND(MAX($J3470*1.4*1.5*1.6*1.6*2.2,42600000*(1.576904^(MIN($E3470,123)-117)))*1,0))</f>
        <v>1916006</v>
      </c>
      <c r="U3470" s="11">
        <f>$E3470+11</f>
        <v>113</v>
      </c>
      <c r="V3470" s="12">
        <f>IF($J3470=0,0,ROUND(MAX($J3470*1.4*1.5*1.6*1.6*2.2*2.715,354000000*(1.642074^(MIN($E3470,123)-117)))*1,0))</f>
        <v>5201957</v>
      </c>
      <c r="W3470" s="13">
        <f>$E3470+15</f>
        <v>117</v>
      </c>
      <c r="X3470" s="14">
        <f>IF($J3470=0,0,ROUND(MAX($J3470*1.4*1.5*1.6*1.6*2.2*2.715*2.6,3540000000*(1.579646^(MIN($E3470,123)-117)))*1,0))</f>
        <v>13525089</v>
      </c>
      <c r="Y3470" s="11">
        <f>$E3470+17</f>
        <v>119</v>
      </c>
      <c r="Z3470" s="12">
        <f>IF($J3470=0,0,ROUND(MAX($J3470*1.4*1.5*1.6*1.6*2.2*2.715*2.6*1.4,6020000000*(1.651178^(MIN($E3470,123)-117)))*1,0))</f>
        <v>18935125</v>
      </c>
      <c r="AA3470" s="13">
        <f>$E3470+19</f>
        <v>121</v>
      </c>
      <c r="AB3470" s="14">
        <f>IF($J3470=0,0,ROUND(MAX($J3470*1.4*1.5*1.6*1.6*2.2*2.715*2.6*1.4*1.4,8430000000*(1.651435^(MIN($E3470,123)-117)))*1,0))</f>
        <v>26509175</v>
      </c>
      <c r="AC3470" s="11">
        <f>$E3470+21</f>
        <v>123</v>
      </c>
      <c r="AD3470" s="12">
        <f>IF($J3470=0,0,ROUND(MAX($J3470*1.4*1.5*1.6*1.6*2.2*2.715*2.6*1.4*1.4*1.5,12600000000*(1.652953^(MIN($E3470,123)-117)))*1,0))</f>
        <v>39763762</v>
      </c>
      <c r="AE3470" s="13">
        <f>$E3470+24</f>
        <v>126</v>
      </c>
      <c r="AF3470" s="14">
        <f>IF($J3470=0,0,ROUND(MAX($J3470*1.4*1.5*1.6*1.6*2.2*2.715*2.6*1.4*1.4*1.5*1.5,18900000000*(1.65331^(MIN($E3470,123)-117)))*1,0))</f>
        <v>59645643</v>
      </c>
      <c r="AG3470" s="11">
        <f>$E3470+27</f>
        <v>129</v>
      </c>
      <c r="AH3470" s="12">
        <f>IF($J3470=0,0,ROUND(MAX($J3470*1.4*1.5*1.6*1.6*2.2*2.715*2.6*1.4*1.4*1.5*1.5*3.2,60500000000*(1.654288^(MIN($E3470,123)-117)))*1,0))</f>
        <v>190866058</v>
      </c>
    </row>
    <row r="3471" ht="28" customHeight="1" spans="1:34" x14ac:dyDescent="0.25">
      <c r="A3471">
        <v>3481</v>
      </c>
      <c r="B3471" t="s">
        <v>791</v>
      </c>
      <c r="C3471" s="10" t="s">
        <v>1785</v>
      </c>
      <c r="D3471" t="s">
        <v>33</v>
      </c>
      <c r="E3471">
        <v>102</v>
      </c>
      <c r="F3471" t="s">
        <v>146</v>
      </c>
      <c r="G3471" t="s">
        <v>72</v>
      </c>
      <c r="H3471">
        <v>21</v>
      </c>
      <c r="I3471" s="11">
        <f>$E3471+0</f>
        <v>102</v>
      </c>
      <c r="J3471" s="12">
        <v>117000</v>
      </c>
      <c r="K3471" s="13">
        <f>$E3471+1</f>
        <v>103</v>
      </c>
      <c r="L3471" s="14">
        <f>IF($J3471=0,0,ROUND(MAX($J3471*1.4,1620000*(1.497923^(MIN($E3471,123)-117)))*1,0))</f>
        <v>163800</v>
      </c>
      <c r="M3471" s="11">
        <f>$E3471+2</f>
        <v>104</v>
      </c>
      <c r="N3471" s="12">
        <f>IF($J3471=0,0,ROUND(MAX($J3471*1.4*1.5,2190000*(1.580994^(MIN($E3471,123)-117)))*1,0))</f>
        <v>245700</v>
      </c>
      <c r="O3471" s="13">
        <f>$E3471+4</f>
        <v>106</v>
      </c>
      <c r="P3471" s="14">
        <f>IF($J3471=0,0,ROUND(MAX($J3471*1.4*1.5*1.6,3500000*(1.57975^(MIN($E3471,123)-117)))*1,0))</f>
        <v>393120</v>
      </c>
      <c r="Q3471" s="11">
        <f>$E3471+6</f>
        <v>108</v>
      </c>
      <c r="R3471" s="12">
        <f>IF($J3471=0,0,ROUND(MAX($J3471*1.4*1.5*1.6*1.6,13100000*(1.429962^(MIN($E3471,123)-117)))*1,0))</f>
        <v>628992</v>
      </c>
      <c r="S3471" s="13">
        <f>$E3471+8</f>
        <v>110</v>
      </c>
      <c r="T3471" s="14">
        <f>IF($J3471=0,0,ROUND(MAX($J3471*1.4*1.5*1.6*1.6*2.2,42600000*(1.576904^(MIN($E3471,123)-117)))*1,0))</f>
        <v>1383782</v>
      </c>
      <c r="U3471" s="11">
        <f>$E3471+11</f>
        <v>113</v>
      </c>
      <c r="V3471" s="12">
        <f>IF($J3471=0,0,ROUND(MAX($J3471*1.4*1.5*1.6*1.6*2.2*2.715,354000000*(1.642074^(MIN($E3471,123)-117)))*1,0))</f>
        <v>3756969</v>
      </c>
      <c r="W3471" s="13">
        <f>$E3471+15</f>
        <v>117</v>
      </c>
      <c r="X3471" s="14">
        <f>IF($J3471=0,0,ROUND(MAX($J3471*1.4*1.5*1.6*1.6*2.2*2.715*2.6,3540000000*(1.579646^(MIN($E3471,123)-117)))*1,0))</f>
        <v>9768120</v>
      </c>
      <c r="Y3471" s="11">
        <f>$E3471+17</f>
        <v>119</v>
      </c>
      <c r="Z3471" s="12">
        <f>IF($J3471=0,0,ROUND(MAX($J3471*1.4*1.5*1.6*1.6*2.2*2.715*2.6*1.4,6020000000*(1.651178^(MIN($E3471,123)-117)))*1,0))</f>
        <v>13675368</v>
      </c>
      <c r="AA3471" s="13">
        <f>$E3471+19</f>
        <v>121</v>
      </c>
      <c r="AB3471" s="14">
        <f>IF($J3471=0,0,ROUND(MAX($J3471*1.4*1.5*1.6*1.6*2.2*2.715*2.6*1.4*1.4,8430000000*(1.651435^(MIN($E3471,123)-117)))*1,0))</f>
        <v>19145515</v>
      </c>
      <c r="AC3471" s="11">
        <f>$E3471+21</f>
        <v>123</v>
      </c>
      <c r="AD3471" s="12">
        <f>IF($J3471=0,0,ROUND(MAX($J3471*1.4*1.5*1.6*1.6*2.2*2.715*2.6*1.4*1.4*1.5,12600000000*(1.652953^(MIN($E3471,123)-117)))*1,0))</f>
        <v>28718273</v>
      </c>
      <c r="AE3471" s="13">
        <f>$E3471+24</f>
        <v>126</v>
      </c>
      <c r="AF3471" s="14">
        <f>IF($J3471=0,0,ROUND(MAX($J3471*1.4*1.5*1.6*1.6*2.2*2.715*2.6*1.4*1.4*1.5*1.5,18900000000*(1.65331^(MIN($E3471,123)-117)))*1,0))</f>
        <v>43077409</v>
      </c>
      <c r="AG3471" s="11">
        <f>$E3471+27</f>
        <v>129</v>
      </c>
      <c r="AH3471" s="12">
        <f>IF($J3471=0,0,ROUND(MAX($J3471*1.4*1.5*1.6*1.6*2.2*2.715*2.6*1.4*1.4*1.5*1.5*3.2,60500000000*(1.654288^(MIN($E3471,123)-117)))*1,0))</f>
        <v>137847709</v>
      </c>
    </row>
    <row r="3472" ht="28" customHeight="1" spans="1:34" x14ac:dyDescent="0.25">
      <c r="A3472">
        <v>3482</v>
      </c>
      <c r="B3472" t="s">
        <v>600</v>
      </c>
      <c r="C3472" s="10" t="s">
        <v>1785</v>
      </c>
      <c r="D3472" t="s">
        <v>33</v>
      </c>
      <c r="E3472">
        <v>102</v>
      </c>
      <c r="F3472" t="s">
        <v>56</v>
      </c>
      <c r="G3472" t="s">
        <v>185</v>
      </c>
      <c r="H3472">
        <v>21</v>
      </c>
      <c r="I3472" s="11">
        <f>$E3472+0</f>
        <v>102</v>
      </c>
      <c r="J3472" s="12">
        <v>31000</v>
      </c>
      <c r="K3472" s="13">
        <f>$E3472+1</f>
        <v>103</v>
      </c>
      <c r="L3472" s="14">
        <f>IF($J3472=0,0,ROUND(MAX($J3472*1.4,1620000*(1.497923^(MIN($E3472,123)-117)))*1,0))</f>
        <v>43400</v>
      </c>
      <c r="M3472" s="11">
        <f>$E3472+2</f>
        <v>104</v>
      </c>
      <c r="N3472" s="12">
        <f>IF($J3472=0,0,ROUND(MAX($J3472*1.4*1.5,2190000*(1.580994^(MIN($E3472,123)-117)))*1,0))</f>
        <v>65100</v>
      </c>
      <c r="O3472" s="13">
        <f>$E3472+4</f>
        <v>106</v>
      </c>
      <c r="P3472" s="14">
        <f>IF($J3472=0,0,ROUND(MAX($J3472*1.4*1.5*1.6,3500000*(1.57975^(MIN($E3472,123)-117)))*1,0))</f>
        <v>104160</v>
      </c>
      <c r="Q3472" s="11">
        <f>$E3472+6</f>
        <v>108</v>
      </c>
      <c r="R3472" s="12">
        <f>IF($J3472=0,0,ROUND(MAX($J3472*1.4*1.5*1.6*1.6,13100000*(1.429962^(MIN($E3472,123)-117)))*1,0))</f>
        <v>166656</v>
      </c>
      <c r="S3472" s="13">
        <f>$E3472+8</f>
        <v>110</v>
      </c>
      <c r="T3472" s="14">
        <f>IF($J3472=0,0,ROUND(MAX($J3472*1.4*1.5*1.6*1.6*2.2,42600000*(1.576904^(MIN($E3472,123)-117)))*1,0))</f>
        <v>366643</v>
      </c>
      <c r="U3472" s="11">
        <f>$E3472+11</f>
        <v>113</v>
      </c>
      <c r="V3472" s="12">
        <f>IF($J3472=0,0,ROUND(MAX($J3472*1.4*1.5*1.6*1.6*2.2*2.715,354000000*(1.642074^(MIN($E3472,123)-117)))*1,0))</f>
        <v>995436</v>
      </c>
      <c r="W3472" s="13">
        <f>$E3472+15</f>
        <v>117</v>
      </c>
      <c r="X3472" s="14">
        <f>IF($J3472=0,0,ROUND(MAX($J3472*1.4*1.5*1.6*1.6*2.2*2.715*2.6,3540000000*(1.579646^(MIN($E3472,123)-117)))*1,0))</f>
        <v>3720546</v>
      </c>
      <c r="Y3472" s="11">
        <f>$E3472+17</f>
        <v>119</v>
      </c>
      <c r="Z3472" s="12">
        <f>IF($J3472=0,0,ROUND(MAX($J3472*1.4*1.5*1.6*1.6*2.2*2.715*2.6*1.4,6020000000*(1.651178^(MIN($E3472,123)-117)))*1,0))</f>
        <v>3623388</v>
      </c>
      <c r="AA3472" s="13">
        <f>$E3472+19</f>
        <v>121</v>
      </c>
      <c r="AB3472" s="14">
        <f>IF($J3472=0,0,ROUND(MAX($J3472*1.4*1.5*1.6*1.6*2.2*2.715*2.6*1.4*1.4,8430000000*(1.651435^(MIN($E3472,123)-117)))*1,0))</f>
        <v>5072743</v>
      </c>
      <c r="AC3472" s="11">
        <f>$E3472+21</f>
        <v>123</v>
      </c>
      <c r="AD3472" s="12">
        <f>IF($J3472=0,0,ROUND(MAX($J3472*1.4*1.5*1.6*1.6*2.2*2.715*2.6*1.4*1.4*1.5,12600000000*(1.652953^(MIN($E3472,123)-117)))*1,0))</f>
        <v>7609115</v>
      </c>
      <c r="AE3472" s="13">
        <f>$E3472+24</f>
        <v>126</v>
      </c>
      <c r="AF3472" s="14">
        <f>IF($J3472=0,0,ROUND(MAX($J3472*1.4*1.5*1.6*1.6*2.2*2.715*2.6*1.4*1.4*1.5*1.5,18900000000*(1.65331^(MIN($E3472,123)-117)))*1,0))</f>
        <v>11413672</v>
      </c>
      <c r="AG3472" s="11">
        <f>$E3472+27</f>
        <v>129</v>
      </c>
      <c r="AH3472" s="12">
        <f>IF($J3472=0,0,ROUND(MAX($J3472*1.4*1.5*1.6*1.6*2.2*2.715*2.6*1.4*1.4*1.5*1.5*3.2,60500000000*(1.654288^(MIN($E3472,123)-117)))*1,0))</f>
        <v>36523752</v>
      </c>
    </row>
    <row r="3473" ht="28" customHeight="1" spans="1:34" x14ac:dyDescent="0.25">
      <c r="A3473">
        <v>3483</v>
      </c>
      <c r="B3473" t="s">
        <v>1792</v>
      </c>
      <c r="C3473" s="10" t="s">
        <v>1785</v>
      </c>
      <c r="D3473" t="s">
        <v>165</v>
      </c>
      <c r="E3473">
        <v>102</v>
      </c>
      <c r="F3473" t="s">
        <v>310</v>
      </c>
      <c r="G3473" t="s">
        <v>1793</v>
      </c>
      <c r="H3473">
        <v>21</v>
      </c>
      <c r="I3473" s="11">
        <f>$E3473+0</f>
        <v>102</v>
      </c>
      <c r="J3473" s="12">
        <v>38900</v>
      </c>
      <c r="K3473" s="13">
        <f>$E3473+1</f>
        <v>103</v>
      </c>
      <c r="L3473" s="14">
        <f>IF($J3473=0,0,ROUND(MAX($J3473*1.4,1620000*(1.497923^(MIN($E3473,123)-117)))*1,0))</f>
        <v>54460</v>
      </c>
      <c r="M3473" s="11">
        <f>$E3473+2</f>
        <v>104</v>
      </c>
      <c r="N3473" s="12">
        <f>IF($J3473=0,0,ROUND(MAX($J3473*1.4*1.5,2190000*(1.580994^(MIN($E3473,123)-117)))*1,0))</f>
        <v>81690</v>
      </c>
      <c r="O3473" s="13">
        <f>$E3473+4</f>
        <v>106</v>
      </c>
      <c r="P3473" s="14">
        <f>IF($J3473=0,0,ROUND(MAX($J3473*1.4*1.5*1.6,3500000*(1.57975^(MIN($E3473,123)-117)))*1,0))</f>
        <v>130704</v>
      </c>
      <c r="Q3473" s="11">
        <f>$E3473+6</f>
        <v>108</v>
      </c>
      <c r="R3473" s="12">
        <f>IF($J3473=0,0,ROUND(MAX($J3473*1.4*1.5*1.6*1.6,13100000*(1.429962^(MIN($E3473,123)-117)))*1,0))</f>
        <v>209126</v>
      </c>
      <c r="S3473" s="13">
        <f>$E3473+8</f>
        <v>110</v>
      </c>
      <c r="T3473" s="14">
        <f>IF($J3473=0,0,ROUND(MAX($J3473*1.4*1.5*1.6*1.6*2.2,42600000*(1.576904^(MIN($E3473,123)-117)))*1,0))</f>
        <v>460078</v>
      </c>
      <c r="U3473" s="11">
        <f>$E3473+11</f>
        <v>113</v>
      </c>
      <c r="V3473" s="12">
        <f>IF($J3473=0,0,ROUND(MAX($J3473*1.4*1.5*1.6*1.6*2.2*2.715,354000000*(1.642074^(MIN($E3473,123)-117)))*1,0))</f>
        <v>1249112</v>
      </c>
      <c r="W3473" s="13">
        <f>$E3473+15</f>
        <v>117</v>
      </c>
      <c r="X3473" s="14">
        <f>IF($J3473=0,0,ROUND(MAX($J3473*1.4*1.5*1.6*1.6*2.2*2.715*2.6,3540000000*(1.579646^(MIN($E3473,123)-117)))*1,0))</f>
        <v>3720546</v>
      </c>
      <c r="Y3473" s="11">
        <f>$E3473+17</f>
        <v>119</v>
      </c>
      <c r="Z3473" s="12">
        <f>IF($J3473=0,0,ROUND(MAX($J3473*1.4*1.5*1.6*1.6*2.2*2.715*2.6*1.4,6020000000*(1.651178^(MIN($E3473,123)-117)))*1,0))</f>
        <v>4546768</v>
      </c>
      <c r="AA3473" s="13">
        <f>$E3473+19</f>
        <v>121</v>
      </c>
      <c r="AB3473" s="14">
        <f>IF($J3473=0,0,ROUND(MAX($J3473*1.4*1.5*1.6*1.6*2.2*2.715*2.6*1.4*1.4,8430000000*(1.651435^(MIN($E3473,123)-117)))*1,0))</f>
        <v>6365475</v>
      </c>
      <c r="AC3473" s="11">
        <f>$E3473+21</f>
        <v>123</v>
      </c>
      <c r="AD3473" s="12">
        <f>IF($J3473=0,0,ROUND(MAX($J3473*1.4*1.5*1.6*1.6*2.2*2.715*2.6*1.4*1.4*1.5,12600000000*(1.652953^(MIN($E3473,123)-117)))*1,0))</f>
        <v>9548212</v>
      </c>
      <c r="AE3473" s="13">
        <f>$E3473+24</f>
        <v>126</v>
      </c>
      <c r="AF3473" s="14">
        <f>IF($J3473=0,0,ROUND(MAX($J3473*1.4*1.5*1.6*1.6*2.2*2.715*2.6*1.4*1.4*1.5*1.5,18900000000*(1.65331^(MIN($E3473,123)-117)))*1,0))</f>
        <v>14322318</v>
      </c>
      <c r="AG3473" s="11">
        <f>$E3473+27</f>
        <v>129</v>
      </c>
      <c r="AH3473" s="12">
        <f>IF($J3473=0,0,ROUND(MAX($J3473*1.4*1.5*1.6*1.6*2.2*2.715*2.6*1.4*1.4*1.5*1.5*3.2,60500000000*(1.654288^(MIN($E3473,123)-117)))*1,0))</f>
        <v>45831418</v>
      </c>
    </row>
    <row r="3474" ht="28" customHeight="1" spans="1:34" x14ac:dyDescent="0.25">
      <c r="A3474">
        <v>3484</v>
      </c>
      <c r="B3474" t="s">
        <v>713</v>
      </c>
      <c r="C3474" s="10" t="s">
        <v>1785</v>
      </c>
      <c r="D3474" t="s">
        <v>79</v>
      </c>
      <c r="E3474">
        <v>102</v>
      </c>
      <c r="F3474" t="s">
        <v>62</v>
      </c>
      <c r="G3474" t="s">
        <v>714</v>
      </c>
      <c r="H3474">
        <v>21</v>
      </c>
      <c r="I3474" s="11">
        <f>$E3474+0</f>
        <v>102</v>
      </c>
      <c r="J3474" s="12">
        <v>22600</v>
      </c>
      <c r="K3474" s="13">
        <f>$E3474+1</f>
        <v>103</v>
      </c>
      <c r="L3474" s="14">
        <f>IF($J3474=0,0,ROUND(MAX($J3474*1.4,1620000*(1.497923^(MIN($E3474,123)-117)))*1,0))</f>
        <v>31640</v>
      </c>
      <c r="M3474" s="11">
        <f>$E3474+2</f>
        <v>104</v>
      </c>
      <c r="N3474" s="12">
        <f>IF($J3474=0,0,ROUND(MAX($J3474*1.4*1.5,2190000*(1.580994^(MIN($E3474,123)-117)))*1,0))</f>
        <v>47460</v>
      </c>
      <c r="O3474" s="13">
        <f>$E3474+4</f>
        <v>106</v>
      </c>
      <c r="P3474" s="14">
        <f>IF($J3474=0,0,ROUND(MAX($J3474*1.4*1.5*1.6,3500000*(1.57975^(MIN($E3474,123)-117)))*1,0))</f>
        <v>75936</v>
      </c>
      <c r="Q3474" s="11">
        <f>$E3474+6</f>
        <v>108</v>
      </c>
      <c r="R3474" s="12">
        <f>IF($J3474=0,0,ROUND(MAX($J3474*1.4*1.5*1.6*1.6,13100000*(1.429962^(MIN($E3474,123)-117)))*1,0))</f>
        <v>121498</v>
      </c>
      <c r="S3474" s="13">
        <f>$E3474+8</f>
        <v>110</v>
      </c>
      <c r="T3474" s="14">
        <f>IF($J3474=0,0,ROUND(MAX($J3474*1.4*1.5*1.6*1.6*2.2,42600000*(1.576904^(MIN($E3474,123)-117)))*1,0))</f>
        <v>267295</v>
      </c>
      <c r="U3474" s="11">
        <f>$E3474+11</f>
        <v>113</v>
      </c>
      <c r="V3474" s="12">
        <f>IF($J3474=0,0,ROUND(MAX($J3474*1.4*1.5*1.6*1.6*2.2*2.715,354000000*(1.642074^(MIN($E3474,123)-117)))*1,0))</f>
        <v>725705</v>
      </c>
      <c r="W3474" s="13">
        <f>$E3474+15</f>
        <v>117</v>
      </c>
      <c r="X3474" s="14">
        <f>IF($J3474=0,0,ROUND(MAX($J3474*1.4*1.5*1.6*1.6*2.2*2.715*2.6,3540000000*(1.579646^(MIN($E3474,123)-117)))*1,0))</f>
        <v>3720546</v>
      </c>
      <c r="Y3474" s="11">
        <f>$E3474+17</f>
        <v>119</v>
      </c>
      <c r="Z3474" s="12">
        <f>IF($J3474=0,0,ROUND(MAX($J3474*1.4*1.5*1.6*1.6*2.2*2.715*2.6*1.4,6020000000*(1.651178^(MIN($E3474,123)-117)))*1,0))</f>
        <v>3256028</v>
      </c>
      <c r="AA3474" s="13">
        <f>$E3474+19</f>
        <v>121</v>
      </c>
      <c r="AB3474" s="14">
        <f>IF($J3474=0,0,ROUND(MAX($J3474*1.4*1.5*1.6*1.6*2.2*2.715*2.6*1.4*1.4,8430000000*(1.651435^(MIN($E3474,123)-117)))*1,0))</f>
        <v>4548889</v>
      </c>
      <c r="AC3474" s="11">
        <f>$E3474+21</f>
        <v>123</v>
      </c>
      <c r="AD3474" s="12">
        <f>IF($J3474=0,0,ROUND(MAX($J3474*1.4*1.5*1.6*1.6*2.2*2.715*2.6*1.4*1.4*1.5,12600000000*(1.652953^(MIN($E3474,123)-117)))*1,0))</f>
        <v>6705991</v>
      </c>
      <c r="AE3474" s="13">
        <f>$E3474+24</f>
        <v>126</v>
      </c>
      <c r="AF3474" s="14">
        <f>IF($J3474=0,0,ROUND(MAX($J3474*1.4*1.5*1.6*1.6*2.2*2.715*2.6*1.4*1.4*1.5*1.5,18900000000*(1.65331^(MIN($E3474,123)-117)))*1,0))</f>
        <v>10026455</v>
      </c>
      <c r="AG3474" s="11">
        <f>$E3474+27</f>
        <v>129</v>
      </c>
      <c r="AH3474" s="12">
        <f>IF($J3474=0,0,ROUND(MAX($J3474*1.4*1.5*1.6*1.6*2.2*2.715*2.6*1.4*1.4*1.5*1.5*3.2,60500000000*(1.654288^(MIN($E3474,123)-117)))*1,0))</f>
        <v>31811825</v>
      </c>
    </row>
    <row r="3475" ht="28" customHeight="1" spans="1:34" x14ac:dyDescent="0.25">
      <c r="A3475">
        <v>3485</v>
      </c>
      <c r="B3475" t="s">
        <v>775</v>
      </c>
      <c r="C3475" s="10" t="s">
        <v>1785</v>
      </c>
      <c r="D3475" t="s">
        <v>75</v>
      </c>
      <c r="E3475">
        <v>102</v>
      </c>
      <c r="F3475" t="s">
        <v>400</v>
      </c>
      <c r="G3475" t="s">
        <v>38</v>
      </c>
      <c r="H3475">
        <v>21</v>
      </c>
      <c r="I3475" s="11">
        <f>$E3475+0</f>
        <v>102</v>
      </c>
      <c r="J3475" s="12">
        <v>12100</v>
      </c>
      <c r="K3475" s="13">
        <f>$E3475+1</f>
        <v>103</v>
      </c>
      <c r="L3475" s="14">
        <f>IF($J3475=0,0,ROUND(MAX($J3475*1.4,1620000*(1.497923^(MIN($E3475,123)-117)))*1,0))</f>
        <v>16940</v>
      </c>
      <c r="M3475" s="11">
        <f>$E3475+2</f>
        <v>104</v>
      </c>
      <c r="N3475" s="12">
        <f>IF($J3475=0,0,ROUND(MAX($J3475*1.4*1.5,2190000*(1.580994^(MIN($E3475,123)-117)))*1,0))</f>
        <v>25410</v>
      </c>
      <c r="O3475" s="13">
        <f>$E3475+4</f>
        <v>106</v>
      </c>
      <c r="P3475" s="14">
        <f>IF($J3475=0,0,ROUND(MAX($J3475*1.4*1.5*1.6,3500000*(1.57975^(MIN($E3475,123)-117)))*1,0))</f>
        <v>40656</v>
      </c>
      <c r="Q3475" s="11">
        <f>$E3475+6</f>
        <v>108</v>
      </c>
      <c r="R3475" s="12">
        <f>IF($J3475=0,0,ROUND(MAX($J3475*1.4*1.5*1.6*1.6,13100000*(1.429962^(MIN($E3475,123)-117)))*1,0))</f>
        <v>65050</v>
      </c>
      <c r="S3475" s="13">
        <f>$E3475+8</f>
        <v>110</v>
      </c>
      <c r="T3475" s="14">
        <f>IF($J3475=0,0,ROUND(MAX($J3475*1.4*1.5*1.6*1.6*2.2,42600000*(1.576904^(MIN($E3475,123)-117)))*1,0))</f>
        <v>143109</v>
      </c>
      <c r="U3475" s="11">
        <f>$E3475+11</f>
        <v>113</v>
      </c>
      <c r="V3475" s="12">
        <f>IF($J3475=0,0,ROUND(MAX($J3475*1.4*1.5*1.6*1.6*2.2*2.715,354000000*(1.642074^(MIN($E3475,123)-117)))*1,0))</f>
        <v>388541</v>
      </c>
      <c r="W3475" s="13">
        <f>$E3475+15</f>
        <v>117</v>
      </c>
      <c r="X3475" s="14">
        <f>IF($J3475=0,0,ROUND(MAX($J3475*1.4*1.5*1.6*1.6*2.2*2.715*2.6,3540000000*(1.579646^(MIN($E3475,123)-117)))*1,0))</f>
        <v>3720546</v>
      </c>
      <c r="Y3475" s="11">
        <f>$E3475+17</f>
        <v>119</v>
      </c>
      <c r="Z3475" s="12">
        <f>IF($J3475=0,0,ROUND(MAX($J3475*1.4*1.5*1.6*1.6*2.2*2.715*2.6*1.4,6020000000*(1.651178^(MIN($E3475,123)-117)))*1,0))</f>
        <v>3256028</v>
      </c>
      <c r="AA3475" s="13">
        <f>$E3475+19</f>
        <v>121</v>
      </c>
      <c r="AB3475" s="14">
        <f>IF($J3475=0,0,ROUND(MAX($J3475*1.4*1.5*1.6*1.6*2.2*2.715*2.6*1.4*1.4,8430000000*(1.651435^(MIN($E3475,123)-117)))*1,0))</f>
        <v>4548889</v>
      </c>
      <c r="AC3475" s="11">
        <f>$E3475+21</f>
        <v>123</v>
      </c>
      <c r="AD3475" s="12">
        <f>IF($J3475=0,0,ROUND(MAX($J3475*1.4*1.5*1.6*1.6*2.2*2.715*2.6*1.4*1.4*1.5,12600000000*(1.652953^(MIN($E3475,123)-117)))*1,0))</f>
        <v>6705991</v>
      </c>
      <c r="AE3475" s="13">
        <f>$E3475+24</f>
        <v>126</v>
      </c>
      <c r="AF3475" s="14">
        <f>IF($J3475=0,0,ROUND(MAX($J3475*1.4*1.5*1.6*1.6*2.2*2.715*2.6*1.4*1.4*1.5*1.5,18900000000*(1.65331^(MIN($E3475,123)-117)))*1,0))</f>
        <v>10026455</v>
      </c>
      <c r="AG3475" s="11">
        <f>$E3475+27</f>
        <v>129</v>
      </c>
      <c r="AH3475" s="12">
        <f>IF($J3475=0,0,ROUND(MAX($J3475*1.4*1.5*1.6*1.6*2.2*2.715*2.6*1.4*1.4*1.5*1.5*3.2,60500000000*(1.654288^(MIN($E3475,123)-117)))*1,0))</f>
        <v>31811825</v>
      </c>
    </row>
    <row r="3476" ht="28" customHeight="1" spans="1:34" x14ac:dyDescent="0.25">
      <c r="A3476">
        <v>3486</v>
      </c>
      <c r="B3476" t="s">
        <v>1794</v>
      </c>
      <c r="C3476" s="10" t="s">
        <v>1785</v>
      </c>
      <c r="D3476" t="s">
        <v>75</v>
      </c>
      <c r="E3476">
        <v>102</v>
      </c>
      <c r="F3476" t="s">
        <v>298</v>
      </c>
      <c r="G3476" t="s">
        <v>1795</v>
      </c>
      <c r="H3476">
        <v>21</v>
      </c>
      <c r="I3476" s="11">
        <f>$E3476+0</f>
        <v>102</v>
      </c>
      <c r="J3476" s="12">
        <v>65200</v>
      </c>
      <c r="K3476" s="13">
        <f>$E3476+1</f>
        <v>103</v>
      </c>
      <c r="L3476" s="14">
        <f>IF($J3476=0,0,ROUND(MAX($J3476*1.4,1620000*(1.497923^(MIN($E3476,123)-117)))*1,0))</f>
        <v>91280</v>
      </c>
      <c r="M3476" s="11">
        <f>$E3476+2</f>
        <v>104</v>
      </c>
      <c r="N3476" s="12">
        <f>IF($J3476=0,0,ROUND(MAX($J3476*1.4*1.5,2190000*(1.580994^(MIN($E3476,123)-117)))*1,0))</f>
        <v>136920</v>
      </c>
      <c r="O3476" s="13">
        <f>$E3476+4</f>
        <v>106</v>
      </c>
      <c r="P3476" s="14">
        <f>IF($J3476=0,0,ROUND(MAX($J3476*1.4*1.5*1.6,3500000*(1.57975^(MIN($E3476,123)-117)))*1,0))</f>
        <v>219072</v>
      </c>
      <c r="Q3476" s="11">
        <f>$E3476+6</f>
        <v>108</v>
      </c>
      <c r="R3476" s="12">
        <f>IF($J3476=0,0,ROUND(MAX($J3476*1.4*1.5*1.6*1.6,13100000*(1.429962^(MIN($E3476,123)-117)))*1,0))</f>
        <v>350515</v>
      </c>
      <c r="S3476" s="13">
        <f>$E3476+8</f>
        <v>110</v>
      </c>
      <c r="T3476" s="14">
        <f>IF($J3476=0,0,ROUND(MAX($J3476*1.4*1.5*1.6*1.6*2.2,42600000*(1.576904^(MIN($E3476,123)-117)))*1,0))</f>
        <v>771133</v>
      </c>
      <c r="U3476" s="11">
        <f>$E3476+11</f>
        <v>113</v>
      </c>
      <c r="V3476" s="12">
        <f>IF($J3476=0,0,ROUND(MAX($J3476*1.4*1.5*1.6*1.6*2.2*2.715,354000000*(1.642074^(MIN($E3476,123)-117)))*1,0))</f>
        <v>2093627</v>
      </c>
      <c r="W3476" s="13">
        <f>$E3476+15</f>
        <v>117</v>
      </c>
      <c r="X3476" s="14">
        <f>IF($J3476=0,0,ROUND(MAX($J3476*1.4*1.5*1.6*1.6*2.2*2.715*2.6,3540000000*(1.579646^(MIN($E3476,123)-117)))*1,0))</f>
        <v>5443431</v>
      </c>
      <c r="Y3476" s="11">
        <f>$E3476+17</f>
        <v>119</v>
      </c>
      <c r="Z3476" s="12">
        <f>IF($J3476=0,0,ROUND(MAX($J3476*1.4*1.5*1.6*1.6*2.2*2.715*2.6*1.4,6020000000*(1.651178^(MIN($E3476,123)-117)))*1,0))</f>
        <v>7620803</v>
      </c>
      <c r="AA3476" s="13">
        <f>$E3476+19</f>
        <v>121</v>
      </c>
      <c r="AB3476" s="14">
        <f>IF($J3476=0,0,ROUND(MAX($J3476*1.4*1.5*1.6*1.6*2.2*2.715*2.6*1.4*1.4,8430000000*(1.651435^(MIN($E3476,123)-117)))*1,0))</f>
        <v>10669125</v>
      </c>
      <c r="AC3476" s="11">
        <f>$E3476+21</f>
        <v>123</v>
      </c>
      <c r="AD3476" s="12">
        <f>IF($J3476=0,0,ROUND(MAX($J3476*1.4*1.5*1.6*1.6*2.2*2.715*2.6*1.4*1.4*1.5,12600000000*(1.652953^(MIN($E3476,123)-117)))*1,0))</f>
        <v>16003687</v>
      </c>
      <c r="AE3476" s="13">
        <f>$E3476+24</f>
        <v>126</v>
      </c>
      <c r="AF3476" s="14">
        <f>IF($J3476=0,0,ROUND(MAX($J3476*1.4*1.5*1.6*1.6*2.2*2.715*2.6*1.4*1.4*1.5*1.5,18900000000*(1.65331^(MIN($E3476,123)-117)))*1,0))</f>
        <v>24005531</v>
      </c>
      <c r="AG3476" s="11">
        <f>$E3476+27</f>
        <v>129</v>
      </c>
      <c r="AH3476" s="12">
        <f>IF($J3476=0,0,ROUND(MAX($J3476*1.4*1.5*1.6*1.6*2.2*2.715*2.6*1.4*1.4*1.5*1.5*3.2,60500000000*(1.654288^(MIN($E3476,123)-117)))*1,0))</f>
        <v>76817698</v>
      </c>
    </row>
    <row r="3477" ht="28" customHeight="1" spans="1:34" x14ac:dyDescent="0.25">
      <c r="A3477">
        <v>3487</v>
      </c>
      <c r="B3477" t="s">
        <v>1052</v>
      </c>
      <c r="C3477" s="10" t="s">
        <v>1785</v>
      </c>
      <c r="D3477" t="s">
        <v>47</v>
      </c>
      <c r="E3477">
        <v>102</v>
      </c>
      <c r="F3477" t="s">
        <v>146</v>
      </c>
      <c r="G3477" t="s">
        <v>474</v>
      </c>
      <c r="H3477">
        <v>19</v>
      </c>
      <c r="I3477" s="11">
        <f>$E3477+0</f>
        <v>102</v>
      </c>
      <c r="J3477" s="12">
        <v>207000</v>
      </c>
      <c r="K3477" s="13">
        <f>$E3477+1</f>
        <v>103</v>
      </c>
      <c r="L3477" s="14">
        <f>IF($J3477=0,0,ROUND(MAX($J3477*1.4,1620000*(1.497923^(MIN($E3477,123)-117)))*1,0))</f>
        <v>289800</v>
      </c>
      <c r="M3477" s="11">
        <f>$E3477+2</f>
        <v>104</v>
      </c>
      <c r="N3477" s="12">
        <f>IF($J3477=0,0,ROUND(MAX($J3477*1.4*1.5,2190000*(1.580994^(MIN($E3477,123)-117)))*1,0))</f>
        <v>434700</v>
      </c>
      <c r="O3477" s="13">
        <f>$E3477+4</f>
        <v>106</v>
      </c>
      <c r="P3477" s="14">
        <f>IF($J3477=0,0,ROUND(MAX($J3477*1.4*1.5*1.6,3500000*(1.57975^(MIN($E3477,123)-117)))*1,0))</f>
        <v>695520</v>
      </c>
      <c r="Q3477" s="11">
        <f>$E3477+6</f>
        <v>108</v>
      </c>
      <c r="R3477" s="12">
        <f>IF($J3477=0,0,ROUND(MAX($J3477*1.4*1.5*1.6*1.6,13100000*(1.429962^(MIN($E3477,123)-117)))*1,0))</f>
        <v>1112832</v>
      </c>
      <c r="S3477" s="13">
        <f>$E3477+8</f>
        <v>110</v>
      </c>
      <c r="T3477" s="14">
        <f>IF($J3477=0,0,ROUND(MAX($J3477*1.4*1.5*1.6*1.6*2.2,42600000*(1.576904^(MIN($E3477,123)-117)))*1,0))</f>
        <v>2448230</v>
      </c>
      <c r="U3477" s="11">
        <f>$E3477+11</f>
        <v>113</v>
      </c>
      <c r="V3477" s="12">
        <f>IF($J3477=0,0,ROUND(MAX($J3477*1.4*1.5*1.6*1.6*2.2*2.715,354000000*(1.642074^(MIN($E3477,123)-117)))*1,0))</f>
        <v>6646946</v>
      </c>
      <c r="W3477" s="13">
        <f>$E3477+15</f>
        <v>117</v>
      </c>
      <c r="X3477" s="14">
        <f>IF($J3477=0,0,ROUND(MAX($J3477*1.4*1.5*1.6*1.6*2.2*2.715*2.6,3540000000*(1.579646^(MIN($E3477,123)-117)))*1,0))</f>
        <v>17282058</v>
      </c>
      <c r="Y3477" s="11">
        <f>$E3477+17</f>
        <v>119</v>
      </c>
      <c r="Z3477" s="12">
        <f>IF($J3477=0,0,ROUND(MAX($J3477*1.4*1.5*1.6*1.6*2.2*2.715*2.6*1.4,6020000000*(1.651178^(MIN($E3477,123)-117)))*1,0))</f>
        <v>24194882</v>
      </c>
      <c r="AA3477" s="13">
        <f>$E3477+19</f>
        <v>121</v>
      </c>
      <c r="AB3477" s="14">
        <f>IF($J3477=0,0,ROUND(MAX($J3477*1.4*1.5*1.6*1.6*2.2*2.715*2.6*1.4*1.4,8430000000*(1.651435^(MIN($E3477,123)-117)))*1,0))</f>
        <v>33872834</v>
      </c>
      <c r="AC3477" s="11">
        <f>$E3477+21</f>
        <v>123</v>
      </c>
      <c r="AD3477" s="12">
        <f>IF($J3477=0,0,ROUND(MAX($J3477*1.4*1.5*1.6*1.6*2.2*2.715*2.6*1.4*1.4*1.5,12600000000*(1.652953^(MIN($E3477,123)-117)))*1,0))</f>
        <v>50809252</v>
      </c>
      <c r="AE3477" s="13">
        <f>$E3477+24</f>
        <v>126</v>
      </c>
      <c r="AF3477" s="14">
        <f>IF($J3477=0,0,ROUND(MAX($J3477*1.4*1.5*1.6*1.6*2.2*2.715*2.6*1.4*1.4*1.5*1.5,18900000000*(1.65331^(MIN($E3477,123)-117)))*1,0))</f>
        <v>76213878</v>
      </c>
      <c r="AG3477" s="11">
        <f>$E3477+27</f>
        <v>129</v>
      </c>
      <c r="AH3477" s="12">
        <f>IF($J3477=0,0,ROUND(MAX($J3477*1.4*1.5*1.6*1.6*2.2*2.715*2.6*1.4*1.4*1.5*1.5*3.2,60500000000*(1.654288^(MIN($E3477,123)-117)))*1,0))</f>
        <v>243884408</v>
      </c>
    </row>
    <row r="3478" ht="28" customHeight="1" spans="1:34" x14ac:dyDescent="0.25">
      <c r="A3478">
        <v>3488</v>
      </c>
      <c r="B3478" t="s">
        <v>1162</v>
      </c>
      <c r="C3478" s="10" t="s">
        <v>1785</v>
      </c>
      <c r="D3478" t="s">
        <v>45</v>
      </c>
      <c r="E3478">
        <v>101</v>
      </c>
      <c r="F3478" t="s">
        <v>42</v>
      </c>
      <c r="G3478" t="s">
        <v>72</v>
      </c>
      <c r="H3478">
        <v>22</v>
      </c>
      <c r="I3478" s="11">
        <f>$E3478+0</f>
        <v>101</v>
      </c>
      <c r="J3478" s="12">
        <v>11800</v>
      </c>
      <c r="K3478" s="13">
        <f>$E3478+1</f>
        <v>102</v>
      </c>
      <c r="L3478" s="14">
        <f>IF($J3478=0,0,ROUND(MAX($J3478*1.4,1620000*(1.497923^(MIN($E3478,123)-117)))*1,0))</f>
        <v>16520</v>
      </c>
      <c r="M3478" s="11">
        <f>$E3478+2</f>
        <v>103</v>
      </c>
      <c r="N3478" s="12">
        <f>IF($J3478=0,0,ROUND(MAX($J3478*1.4*1.5,2190000*(1.580994^(MIN($E3478,123)-117)))*1,0))</f>
        <v>24780</v>
      </c>
      <c r="O3478" s="13">
        <f>$E3478+4</f>
        <v>105</v>
      </c>
      <c r="P3478" s="14">
        <f>IF($J3478=0,0,ROUND(MAX($J3478*1.4*1.5*1.6,3500000*(1.57975^(MIN($E3478,123)-117)))*1,0))</f>
        <v>39648</v>
      </c>
      <c r="Q3478" s="11">
        <f>$E3478+6</f>
        <v>107</v>
      </c>
      <c r="R3478" s="12">
        <f>IF($J3478=0,0,ROUND(MAX($J3478*1.4*1.5*1.6*1.6,13100000*(1.429962^(MIN($E3478,123)-117)))*1,0))</f>
        <v>63437</v>
      </c>
      <c r="S3478" s="13">
        <f>$E3478+8</f>
        <v>109</v>
      </c>
      <c r="T3478" s="14">
        <f>IF($J3478=0,0,ROUND(MAX($J3478*1.4*1.5*1.6*1.6*2.2,42600000*(1.576904^(MIN($E3478,123)-117)))*1,0))</f>
        <v>139561</v>
      </c>
      <c r="U3478" s="11">
        <f>$E3478+11</f>
        <v>112</v>
      </c>
      <c r="V3478" s="12">
        <f>IF($J3478=0,0,ROUND(MAX($J3478*1.4*1.5*1.6*1.6*2.2*2.715,354000000*(1.642074^(MIN($E3478,123)-117)))*1,0))</f>
        <v>378908</v>
      </c>
      <c r="W3478" s="13">
        <f>$E3478+15</f>
        <v>116</v>
      </c>
      <c r="X3478" s="14">
        <f>IF($J3478=0,0,ROUND(MAX($J3478*1.4*1.5*1.6*1.6*2.2*2.715*2.6,3540000000*(1.579646^(MIN($E3478,123)-117)))*1,0))</f>
        <v>2355304</v>
      </c>
      <c r="Y3478" s="11">
        <f>$E3478+17</f>
        <v>118</v>
      </c>
      <c r="Z3478" s="12">
        <f>IF($J3478=0,0,ROUND(MAX($J3478*1.4*1.5*1.6*1.6*2.2*2.715*2.6*1.4,6020000000*(1.651178^(MIN($E3478,123)-117)))*1,0))</f>
        <v>1971942</v>
      </c>
      <c r="AA3478" s="13">
        <f>$E3478+19</f>
        <v>120</v>
      </c>
      <c r="AB3478" s="14">
        <f>IF($J3478=0,0,ROUND(MAX($J3478*1.4*1.5*1.6*1.6*2.2*2.715*2.6*1.4*1.4,8430000000*(1.651435^(MIN($E3478,123)-117)))*1,0))</f>
        <v>2754507</v>
      </c>
      <c r="AC3478" s="11">
        <f>$E3478+21</f>
        <v>122</v>
      </c>
      <c r="AD3478" s="12">
        <f>IF($J3478=0,0,ROUND(MAX($J3478*1.4*1.5*1.6*1.6*2.2*2.715*2.6*1.4*1.4*1.5,12600000000*(1.652953^(MIN($E3478,123)-117)))*1,0))</f>
        <v>4056976</v>
      </c>
      <c r="AE3478" s="13">
        <f>$E3478+24</f>
        <v>125</v>
      </c>
      <c r="AF3478" s="14">
        <f>IF($J3478=0,0,ROUND(MAX($J3478*1.4*1.5*1.6*1.6*2.2*2.715*2.6*1.4*1.4*1.5*1.5,18900000000*(1.65331^(MIN($E3478,123)-117)))*1,0))</f>
        <v>6064474</v>
      </c>
      <c r="AG3478" s="11">
        <f>$E3478+27</f>
        <v>128</v>
      </c>
      <c r="AH3478" s="12">
        <f>IF($J3478=0,0,ROUND(MAX($J3478*1.4*1.5*1.6*1.6*2.2*2.715*2.6*1.4*1.4*1.5*1.5*3.2,60500000000*(1.654288^(MIN($E3478,123)-117)))*1,0))</f>
        <v>19229919</v>
      </c>
    </row>
    <row r="3479" ht="28" customHeight="1" spans="1:34" x14ac:dyDescent="0.25">
      <c r="A3479">
        <v>3489</v>
      </c>
      <c r="B3479" t="s">
        <v>154</v>
      </c>
      <c r="C3479" s="10" t="s">
        <v>1785</v>
      </c>
      <c r="D3479" t="s">
        <v>45</v>
      </c>
      <c r="E3479">
        <v>101</v>
      </c>
      <c r="F3479" t="s">
        <v>34</v>
      </c>
      <c r="G3479" t="s">
        <v>562</v>
      </c>
      <c r="H3479">
        <v>22</v>
      </c>
      <c r="I3479" s="11">
        <f>$E3479+0</f>
        <v>101</v>
      </c>
      <c r="J3479" s="12">
        <v>138000</v>
      </c>
      <c r="K3479" s="13">
        <f>$E3479+1</f>
        <v>102</v>
      </c>
      <c r="L3479" s="14">
        <f>IF($J3479=0,0,ROUND(MAX($J3479*1.4,1620000*(1.497923^(MIN($E3479,123)-117)))*1,0))</f>
        <v>193200</v>
      </c>
      <c r="M3479" s="11">
        <f>$E3479+2</f>
        <v>103</v>
      </c>
      <c r="N3479" s="12">
        <f>IF($J3479=0,0,ROUND(MAX($J3479*1.4*1.5,2190000*(1.580994^(MIN($E3479,123)-117)))*1,0))</f>
        <v>289800</v>
      </c>
      <c r="O3479" s="13">
        <f>$E3479+4</f>
        <v>105</v>
      </c>
      <c r="P3479" s="14">
        <f>IF($J3479=0,0,ROUND(MAX($J3479*1.4*1.5*1.6,3500000*(1.57975^(MIN($E3479,123)-117)))*1,0))</f>
        <v>463680</v>
      </c>
      <c r="Q3479" s="11">
        <f>$E3479+6</f>
        <v>107</v>
      </c>
      <c r="R3479" s="12">
        <f>IF($J3479=0,0,ROUND(MAX($J3479*1.4*1.5*1.6*1.6,13100000*(1.429962^(MIN($E3479,123)-117)))*1,0))</f>
        <v>741888</v>
      </c>
      <c r="S3479" s="13">
        <f>$E3479+8</f>
        <v>109</v>
      </c>
      <c r="T3479" s="14">
        <f>IF($J3479=0,0,ROUND(MAX($J3479*1.4*1.5*1.6*1.6*2.2,42600000*(1.576904^(MIN($E3479,123)-117)))*1,0))</f>
        <v>1632154</v>
      </c>
      <c r="U3479" s="11">
        <f>$E3479+11</f>
        <v>112</v>
      </c>
      <c r="V3479" s="12">
        <f>IF($J3479=0,0,ROUND(MAX($J3479*1.4*1.5*1.6*1.6*2.2*2.715,354000000*(1.642074^(MIN($E3479,123)-117)))*1,0))</f>
        <v>4431297</v>
      </c>
      <c r="W3479" s="13">
        <f>$E3479+15</f>
        <v>116</v>
      </c>
      <c r="X3479" s="14">
        <f>IF($J3479=0,0,ROUND(MAX($J3479*1.4*1.5*1.6*1.6*2.2*2.715*2.6,3540000000*(1.579646^(MIN($E3479,123)-117)))*1,0))</f>
        <v>11521372</v>
      </c>
      <c r="Y3479" s="11">
        <f>$E3479+17</f>
        <v>118</v>
      </c>
      <c r="Z3479" s="12">
        <f>IF($J3479=0,0,ROUND(MAX($J3479*1.4*1.5*1.6*1.6*2.2*2.715*2.6*1.4,6020000000*(1.651178^(MIN($E3479,123)-117)))*1,0))</f>
        <v>16129921</v>
      </c>
      <c r="AA3479" s="13">
        <f>$E3479+19</f>
        <v>120</v>
      </c>
      <c r="AB3479" s="14">
        <f>IF($J3479=0,0,ROUND(MAX($J3479*1.4*1.5*1.6*1.6*2.2*2.715*2.6*1.4*1.4,8430000000*(1.651435^(MIN($E3479,123)-117)))*1,0))</f>
        <v>22581890</v>
      </c>
      <c r="AC3479" s="11">
        <f>$E3479+21</f>
        <v>122</v>
      </c>
      <c r="AD3479" s="12">
        <f>IF($J3479=0,0,ROUND(MAX($J3479*1.4*1.5*1.6*1.6*2.2*2.715*2.6*1.4*1.4*1.5,12600000000*(1.652953^(MIN($E3479,123)-117)))*1,0))</f>
        <v>33872834</v>
      </c>
      <c r="AE3479" s="13">
        <f>$E3479+24</f>
        <v>125</v>
      </c>
      <c r="AF3479" s="14">
        <f>IF($J3479=0,0,ROUND(MAX($J3479*1.4*1.5*1.6*1.6*2.2*2.715*2.6*1.4*1.4*1.5*1.5,18900000000*(1.65331^(MIN($E3479,123)-117)))*1,0))</f>
        <v>50809252</v>
      </c>
      <c r="AG3479" s="11">
        <f>$E3479+27</f>
        <v>128</v>
      </c>
      <c r="AH3479" s="12">
        <f>IF($J3479=0,0,ROUND(MAX($J3479*1.4*1.5*1.6*1.6*2.2*2.715*2.6*1.4*1.4*1.5*1.5*3.2,60500000000*(1.654288^(MIN($E3479,123)-117)))*1,0))</f>
        <v>162589605</v>
      </c>
    </row>
    <row r="3480" ht="28" customHeight="1" spans="1:34" x14ac:dyDescent="0.25">
      <c r="A3480">
        <v>3490</v>
      </c>
      <c r="B3480" t="s">
        <v>551</v>
      </c>
      <c r="C3480" s="10" t="s">
        <v>1785</v>
      </c>
      <c r="D3480" t="s">
        <v>25</v>
      </c>
      <c r="E3480">
        <v>101</v>
      </c>
      <c r="F3480" t="s">
        <v>71</v>
      </c>
      <c r="G3480" t="s">
        <v>72</v>
      </c>
      <c r="H3480">
        <v>21</v>
      </c>
      <c r="I3480" s="11">
        <f>$E3480+0</f>
        <v>101</v>
      </c>
      <c r="J3480" s="12">
        <v>16200</v>
      </c>
      <c r="K3480" s="13">
        <f>$E3480+1</f>
        <v>102</v>
      </c>
      <c r="L3480" s="14">
        <f>IF($J3480=0,0,ROUND(MAX($J3480*1.4,1620000*(1.497923^(MIN($E3480,123)-117)))*1,0))</f>
        <v>22680</v>
      </c>
      <c r="M3480" s="11">
        <f>$E3480+2</f>
        <v>103</v>
      </c>
      <c r="N3480" s="12">
        <f>IF($J3480=0,0,ROUND(MAX($J3480*1.4*1.5,2190000*(1.580994^(MIN($E3480,123)-117)))*1,0))</f>
        <v>34020</v>
      </c>
      <c r="O3480" s="13">
        <f>$E3480+4</f>
        <v>105</v>
      </c>
      <c r="P3480" s="14">
        <f>IF($J3480=0,0,ROUND(MAX($J3480*1.4*1.5*1.6,3500000*(1.57975^(MIN($E3480,123)-117)))*1,0))</f>
        <v>54432</v>
      </c>
      <c r="Q3480" s="11">
        <f>$E3480+6</f>
        <v>107</v>
      </c>
      <c r="R3480" s="12">
        <f>IF($J3480=0,0,ROUND(MAX($J3480*1.4*1.5*1.6*1.6,13100000*(1.429962^(MIN($E3480,123)-117)))*1,0))</f>
        <v>87091</v>
      </c>
      <c r="S3480" s="13">
        <f>$E3480+8</f>
        <v>109</v>
      </c>
      <c r="T3480" s="14">
        <f>IF($J3480=0,0,ROUND(MAX($J3480*1.4*1.5*1.6*1.6*2.2,42600000*(1.576904^(MIN($E3480,123)-117)))*1,0))</f>
        <v>191601</v>
      </c>
      <c r="U3480" s="11">
        <f>$E3480+11</f>
        <v>112</v>
      </c>
      <c r="V3480" s="12">
        <f>IF($J3480=0,0,ROUND(MAX($J3480*1.4*1.5*1.6*1.6*2.2*2.715,354000000*(1.642074^(MIN($E3480,123)-117)))*1,0))</f>
        <v>520196</v>
      </c>
      <c r="W3480" s="13">
        <f>$E3480+15</f>
        <v>116</v>
      </c>
      <c r="X3480" s="14">
        <f>IF($J3480=0,0,ROUND(MAX($J3480*1.4*1.5*1.6*1.6*2.2*2.715*2.6,3540000000*(1.579646^(MIN($E3480,123)-117)))*1,0))</f>
        <v>2355304</v>
      </c>
      <c r="Y3480" s="11">
        <f>$E3480+17</f>
        <v>118</v>
      </c>
      <c r="Z3480" s="12">
        <f>IF($J3480=0,0,ROUND(MAX($J3480*1.4*1.5*1.6*1.6*2.2*2.715*2.6*1.4,6020000000*(1.651178^(MIN($E3480,123)-117)))*1,0))</f>
        <v>1971942</v>
      </c>
      <c r="AA3480" s="13">
        <f>$E3480+19</f>
        <v>120</v>
      </c>
      <c r="AB3480" s="14">
        <f>IF($J3480=0,0,ROUND(MAX($J3480*1.4*1.5*1.6*1.6*2.2*2.715*2.6*1.4*1.4,8430000000*(1.651435^(MIN($E3480,123)-117)))*1,0))</f>
        <v>2754507</v>
      </c>
      <c r="AC3480" s="11">
        <f>$E3480+21</f>
        <v>122</v>
      </c>
      <c r="AD3480" s="12">
        <f>IF($J3480=0,0,ROUND(MAX($J3480*1.4*1.5*1.6*1.6*2.2*2.715*2.6*1.4*1.4*1.5,12600000000*(1.652953^(MIN($E3480,123)-117)))*1,0))</f>
        <v>4056976</v>
      </c>
      <c r="AE3480" s="13">
        <f>$E3480+24</f>
        <v>125</v>
      </c>
      <c r="AF3480" s="14">
        <f>IF($J3480=0,0,ROUND(MAX($J3480*1.4*1.5*1.6*1.6*2.2*2.715*2.6*1.4*1.4*1.5*1.5,18900000000*(1.65331^(MIN($E3480,123)-117)))*1,0))</f>
        <v>6064474</v>
      </c>
      <c r="AG3480" s="11">
        <f>$E3480+27</f>
        <v>128</v>
      </c>
      <c r="AH3480" s="12">
        <f>IF($J3480=0,0,ROUND(MAX($J3480*1.4*1.5*1.6*1.6*2.2*2.715*2.6*1.4*1.4*1.5*1.5*3.2,60500000000*(1.654288^(MIN($E3480,123)-117)))*1,0))</f>
        <v>19229919</v>
      </c>
    </row>
    <row r="3481" ht="28" customHeight="1" spans="1:34" x14ac:dyDescent="0.25">
      <c r="A3481">
        <v>3491</v>
      </c>
      <c r="B3481" t="s">
        <v>233</v>
      </c>
      <c r="C3481" s="10" t="s">
        <v>1785</v>
      </c>
      <c r="D3481" t="s">
        <v>102</v>
      </c>
      <c r="E3481">
        <v>101</v>
      </c>
      <c r="F3481" t="s">
        <v>56</v>
      </c>
      <c r="G3481" t="s">
        <v>95</v>
      </c>
      <c r="H3481">
        <v>21</v>
      </c>
      <c r="I3481" s="11">
        <f>$E3481+0</f>
        <v>101</v>
      </c>
      <c r="J3481" s="12">
        <v>18200</v>
      </c>
      <c r="K3481" s="13">
        <f>$E3481+1</f>
        <v>102</v>
      </c>
      <c r="L3481" s="14">
        <f>IF($J3481=0,0,ROUND(MAX($J3481*1.4,1620000*(1.497923^(MIN($E3481,123)-117)))*1,0))</f>
        <v>25480</v>
      </c>
      <c r="M3481" s="11">
        <f>$E3481+2</f>
        <v>103</v>
      </c>
      <c r="N3481" s="12">
        <f>IF($J3481=0,0,ROUND(MAX($J3481*1.4*1.5,2190000*(1.580994^(MIN($E3481,123)-117)))*1,0))</f>
        <v>38220</v>
      </c>
      <c r="O3481" s="13">
        <f>$E3481+4</f>
        <v>105</v>
      </c>
      <c r="P3481" s="14">
        <f>IF($J3481=0,0,ROUND(MAX($J3481*1.4*1.5*1.6,3500000*(1.57975^(MIN($E3481,123)-117)))*1,0))</f>
        <v>61152</v>
      </c>
      <c r="Q3481" s="11">
        <f>$E3481+6</f>
        <v>107</v>
      </c>
      <c r="R3481" s="12">
        <f>IF($J3481=0,0,ROUND(MAX($J3481*1.4*1.5*1.6*1.6,13100000*(1.429962^(MIN($E3481,123)-117)))*1,0))</f>
        <v>97843</v>
      </c>
      <c r="S3481" s="13">
        <f>$E3481+8</f>
        <v>109</v>
      </c>
      <c r="T3481" s="14">
        <f>IF($J3481=0,0,ROUND(MAX($J3481*1.4*1.5*1.6*1.6*2.2,42600000*(1.576904^(MIN($E3481,123)-117)))*1,0))</f>
        <v>215255</v>
      </c>
      <c r="U3481" s="11">
        <f>$E3481+11</f>
        <v>112</v>
      </c>
      <c r="V3481" s="12">
        <f>IF($J3481=0,0,ROUND(MAX($J3481*1.4*1.5*1.6*1.6*2.2*2.715,354000000*(1.642074^(MIN($E3481,123)-117)))*1,0))</f>
        <v>584417</v>
      </c>
      <c r="W3481" s="13">
        <f>$E3481+15</f>
        <v>116</v>
      </c>
      <c r="X3481" s="14">
        <f>IF($J3481=0,0,ROUND(MAX($J3481*1.4*1.5*1.6*1.6*2.2*2.715*2.6,3540000000*(1.579646^(MIN($E3481,123)-117)))*1,0))</f>
        <v>2355304</v>
      </c>
      <c r="Y3481" s="11">
        <f>$E3481+17</f>
        <v>118</v>
      </c>
      <c r="Z3481" s="12">
        <f>IF($J3481=0,0,ROUND(MAX($J3481*1.4*1.5*1.6*1.6*2.2*2.715*2.6*1.4,6020000000*(1.651178^(MIN($E3481,123)-117)))*1,0))</f>
        <v>2127279</v>
      </c>
      <c r="AA3481" s="13">
        <f>$E3481+19</f>
        <v>120</v>
      </c>
      <c r="AB3481" s="14">
        <f>IF($J3481=0,0,ROUND(MAX($J3481*1.4*1.5*1.6*1.6*2.2*2.715*2.6*1.4*1.4,8430000000*(1.651435^(MIN($E3481,123)-117)))*1,0))</f>
        <v>2978191</v>
      </c>
      <c r="AC3481" s="11">
        <f>$E3481+21</f>
        <v>122</v>
      </c>
      <c r="AD3481" s="12">
        <f>IF($J3481=0,0,ROUND(MAX($J3481*1.4*1.5*1.6*1.6*2.2*2.715*2.6*1.4*1.4*1.5,12600000000*(1.652953^(MIN($E3481,123)-117)))*1,0))</f>
        <v>4467287</v>
      </c>
      <c r="AE3481" s="13">
        <f>$E3481+24</f>
        <v>125</v>
      </c>
      <c r="AF3481" s="14">
        <f>IF($J3481=0,0,ROUND(MAX($J3481*1.4*1.5*1.6*1.6*2.2*2.715*2.6*1.4*1.4*1.5*1.5,18900000000*(1.65331^(MIN($E3481,123)-117)))*1,0))</f>
        <v>6700930</v>
      </c>
      <c r="AG3481" s="11">
        <f>$E3481+27</f>
        <v>128</v>
      </c>
      <c r="AH3481" s="12">
        <f>IF($J3481=0,0,ROUND(MAX($J3481*1.4*1.5*1.6*1.6*2.2*2.715*2.6*1.4*1.4*1.5*1.5*3.2,60500000000*(1.654288^(MIN($E3481,123)-117)))*1,0))</f>
        <v>21442977</v>
      </c>
    </row>
    <row r="3482" ht="28" customHeight="1" spans="1:34" x14ac:dyDescent="0.25">
      <c r="A3482">
        <v>3492</v>
      </c>
      <c r="B3482" t="s">
        <v>877</v>
      </c>
      <c r="C3482" s="10" t="s">
        <v>1785</v>
      </c>
      <c r="D3482" t="s">
        <v>90</v>
      </c>
      <c r="E3482">
        <v>101</v>
      </c>
      <c r="F3482" t="s">
        <v>42</v>
      </c>
      <c r="G3482" t="s">
        <v>242</v>
      </c>
      <c r="H3482">
        <v>21</v>
      </c>
      <c r="I3482" s="11">
        <f>$E3482+0</f>
        <v>101</v>
      </c>
      <c r="J3482" s="12">
        <v>11000</v>
      </c>
      <c r="K3482" s="13">
        <f>$E3482+1</f>
        <v>102</v>
      </c>
      <c r="L3482" s="14">
        <f>IF($J3482=0,0,ROUND(MAX($J3482*1.4,1620000*(1.497923^(MIN($E3482,123)-117)))*1,0))</f>
        <v>15400</v>
      </c>
      <c r="M3482" s="11">
        <f>$E3482+2</f>
        <v>103</v>
      </c>
      <c r="N3482" s="12">
        <f>IF($J3482=0,0,ROUND(MAX($J3482*1.4*1.5,2190000*(1.580994^(MIN($E3482,123)-117)))*1,0))</f>
        <v>23100</v>
      </c>
      <c r="O3482" s="13">
        <f>$E3482+4</f>
        <v>105</v>
      </c>
      <c r="P3482" s="14">
        <f>IF($J3482=0,0,ROUND(MAX($J3482*1.4*1.5*1.6,3500000*(1.57975^(MIN($E3482,123)-117)))*1,0))</f>
        <v>36960</v>
      </c>
      <c r="Q3482" s="11">
        <f>$E3482+6</f>
        <v>107</v>
      </c>
      <c r="R3482" s="12">
        <f>IF($J3482=0,0,ROUND(MAX($J3482*1.4*1.5*1.6*1.6,13100000*(1.429962^(MIN($E3482,123)-117)))*1,0))</f>
        <v>59136</v>
      </c>
      <c r="S3482" s="13">
        <f>$E3482+8</f>
        <v>109</v>
      </c>
      <c r="T3482" s="14">
        <f>IF($J3482=0,0,ROUND(MAX($J3482*1.4*1.5*1.6*1.6*2.2,42600000*(1.576904^(MIN($E3482,123)-117)))*1,0))</f>
        <v>130099</v>
      </c>
      <c r="U3482" s="11">
        <f>$E3482+11</f>
        <v>112</v>
      </c>
      <c r="V3482" s="12">
        <f>IF($J3482=0,0,ROUND(MAX($J3482*1.4*1.5*1.6*1.6*2.2*2.715,354000000*(1.642074^(MIN($E3482,123)-117)))*1,0))</f>
        <v>353219</v>
      </c>
      <c r="W3482" s="13">
        <f>$E3482+15</f>
        <v>116</v>
      </c>
      <c r="X3482" s="14">
        <f>IF($J3482=0,0,ROUND(MAX($J3482*1.4*1.5*1.6*1.6*2.2*2.715*2.6,3540000000*(1.579646^(MIN($E3482,123)-117)))*1,0))</f>
        <v>2355304</v>
      </c>
      <c r="Y3482" s="11">
        <f>$E3482+17</f>
        <v>118</v>
      </c>
      <c r="Z3482" s="12">
        <f>IF($J3482=0,0,ROUND(MAX($J3482*1.4*1.5*1.6*1.6*2.2*2.715*2.6*1.4,6020000000*(1.651178^(MIN($E3482,123)-117)))*1,0))</f>
        <v>1971942</v>
      </c>
      <c r="AA3482" s="13">
        <f>$E3482+19</f>
        <v>120</v>
      </c>
      <c r="AB3482" s="14">
        <f>IF($J3482=0,0,ROUND(MAX($J3482*1.4*1.5*1.6*1.6*2.2*2.715*2.6*1.4*1.4,8430000000*(1.651435^(MIN($E3482,123)-117)))*1,0))</f>
        <v>2754507</v>
      </c>
      <c r="AC3482" s="11">
        <f>$E3482+21</f>
        <v>122</v>
      </c>
      <c r="AD3482" s="12">
        <f>IF($J3482=0,0,ROUND(MAX($J3482*1.4*1.5*1.6*1.6*2.2*2.715*2.6*1.4*1.4*1.5,12600000000*(1.652953^(MIN($E3482,123)-117)))*1,0))</f>
        <v>4056976</v>
      </c>
      <c r="AE3482" s="13">
        <f>$E3482+24</f>
        <v>125</v>
      </c>
      <c r="AF3482" s="14">
        <f>IF($J3482=0,0,ROUND(MAX($J3482*1.4*1.5*1.6*1.6*2.2*2.715*2.6*1.4*1.4*1.5*1.5,18900000000*(1.65331^(MIN($E3482,123)-117)))*1,0))</f>
        <v>6064474</v>
      </c>
      <c r="AG3482" s="11">
        <f>$E3482+27</f>
        <v>128</v>
      </c>
      <c r="AH3482" s="12">
        <f>IF($J3482=0,0,ROUND(MAX($J3482*1.4*1.5*1.6*1.6*2.2*2.715*2.6*1.4*1.4*1.5*1.5*3.2,60500000000*(1.654288^(MIN($E3482,123)-117)))*1,0))</f>
        <v>19229919</v>
      </c>
    </row>
    <row r="3483" ht="28" customHeight="1" spans="1:34" x14ac:dyDescent="0.25">
      <c r="A3483">
        <v>3493</v>
      </c>
      <c r="B3483" t="s">
        <v>789</v>
      </c>
      <c r="C3483" s="10" t="s">
        <v>1785</v>
      </c>
      <c r="D3483" t="s">
        <v>25</v>
      </c>
      <c r="E3483">
        <v>101</v>
      </c>
      <c r="F3483" t="s">
        <v>56</v>
      </c>
      <c r="G3483" t="s">
        <v>57</v>
      </c>
      <c r="H3483">
        <v>21</v>
      </c>
      <c r="I3483" s="11">
        <f>$E3483+0</f>
        <v>101</v>
      </c>
      <c r="J3483" s="12">
        <v>4950</v>
      </c>
      <c r="K3483" s="13">
        <f>$E3483+1</f>
        <v>102</v>
      </c>
      <c r="L3483" s="14">
        <f>IF($J3483=0,0,ROUND(MAX($J3483*1.4,1620000*(1.497923^(MIN($E3483,123)-117)))*1,0))</f>
        <v>6930</v>
      </c>
      <c r="M3483" s="11">
        <f>$E3483+2</f>
        <v>103</v>
      </c>
      <c r="N3483" s="12">
        <f>IF($J3483=0,0,ROUND(MAX($J3483*1.4*1.5,2190000*(1.580994^(MIN($E3483,123)-117)))*1,0))</f>
        <v>10395</v>
      </c>
      <c r="O3483" s="13">
        <f>$E3483+4</f>
        <v>105</v>
      </c>
      <c r="P3483" s="14">
        <f>IF($J3483=0,0,ROUND(MAX($J3483*1.4*1.5*1.6,3500000*(1.57975^(MIN($E3483,123)-117)))*1,0))</f>
        <v>16632</v>
      </c>
      <c r="Q3483" s="11">
        <f>$E3483+6</f>
        <v>107</v>
      </c>
      <c r="R3483" s="12">
        <f>IF($J3483=0,0,ROUND(MAX($J3483*1.4*1.5*1.6*1.6,13100000*(1.429962^(MIN($E3483,123)-117)))*1,0))</f>
        <v>42863</v>
      </c>
      <c r="S3483" s="13">
        <f>$E3483+8</f>
        <v>109</v>
      </c>
      <c r="T3483" s="14">
        <f>IF($J3483=0,0,ROUND(MAX($J3483*1.4*1.5*1.6*1.6*2.2,42600000*(1.576904^(MIN($E3483,123)-117)))*1,0))</f>
        <v>58545</v>
      </c>
      <c r="U3483" s="11">
        <f>$E3483+11</f>
        <v>112</v>
      </c>
      <c r="V3483" s="12">
        <f>IF($J3483=0,0,ROUND(MAX($J3483*1.4*1.5*1.6*1.6*2.2*2.715,354000000*(1.642074^(MIN($E3483,123)-117)))*1,0))</f>
        <v>158949</v>
      </c>
      <c r="W3483" s="13">
        <f>$E3483+15</f>
        <v>116</v>
      </c>
      <c r="X3483" s="14">
        <f>IF($J3483=0,0,ROUND(MAX($J3483*1.4*1.5*1.6*1.6*2.2*2.715*2.6,3540000000*(1.579646^(MIN($E3483,123)-117)))*1,0))</f>
        <v>2355304</v>
      </c>
      <c r="Y3483" s="11">
        <f>$E3483+17</f>
        <v>118</v>
      </c>
      <c r="Z3483" s="12">
        <f>IF($J3483=0,0,ROUND(MAX($J3483*1.4*1.5*1.6*1.6*2.2*2.715*2.6*1.4,6020000000*(1.651178^(MIN($E3483,123)-117)))*1,0))</f>
        <v>1971942</v>
      </c>
      <c r="AA3483" s="13">
        <f>$E3483+19</f>
        <v>120</v>
      </c>
      <c r="AB3483" s="14">
        <f>IF($J3483=0,0,ROUND(MAX($J3483*1.4*1.5*1.6*1.6*2.2*2.715*2.6*1.4*1.4,8430000000*(1.651435^(MIN($E3483,123)-117)))*1,0))</f>
        <v>2754507</v>
      </c>
      <c r="AC3483" s="11">
        <f>$E3483+21</f>
        <v>122</v>
      </c>
      <c r="AD3483" s="12">
        <f>IF($J3483=0,0,ROUND(MAX($J3483*1.4*1.5*1.6*1.6*2.2*2.715*2.6*1.4*1.4*1.5,12600000000*(1.652953^(MIN($E3483,123)-117)))*1,0))</f>
        <v>4056976</v>
      </c>
      <c r="AE3483" s="13">
        <f>$E3483+24</f>
        <v>125</v>
      </c>
      <c r="AF3483" s="14">
        <f>IF($J3483=0,0,ROUND(MAX($J3483*1.4*1.5*1.6*1.6*2.2*2.715*2.6*1.4*1.4*1.5*1.5,18900000000*(1.65331^(MIN($E3483,123)-117)))*1,0))</f>
        <v>6064474</v>
      </c>
      <c r="AG3483" s="11">
        <f>$E3483+27</f>
        <v>128</v>
      </c>
      <c r="AH3483" s="12">
        <f>IF($J3483=0,0,ROUND(MAX($J3483*1.4*1.5*1.6*1.6*2.2*2.715*2.6*1.4*1.4*1.5*1.5*3.2,60500000000*(1.654288^(MIN($E3483,123)-117)))*1,0))</f>
        <v>19229919</v>
      </c>
    </row>
    <row r="3484" ht="28" customHeight="1" spans="1:34" x14ac:dyDescent="0.25">
      <c r="A3484">
        <v>3494</v>
      </c>
      <c r="B3484" t="s">
        <v>363</v>
      </c>
      <c r="C3484" s="10" t="s">
        <v>1785</v>
      </c>
      <c r="D3484" t="s">
        <v>33</v>
      </c>
      <c r="E3484">
        <v>101</v>
      </c>
      <c r="F3484" t="s">
        <v>298</v>
      </c>
      <c r="G3484" t="s">
        <v>242</v>
      </c>
      <c r="H3484">
        <v>21</v>
      </c>
      <c r="I3484" s="11">
        <f>$E3484+0</f>
        <v>101</v>
      </c>
      <c r="J3484" s="12">
        <v>36700</v>
      </c>
      <c r="K3484" s="13">
        <f>$E3484+1</f>
        <v>102</v>
      </c>
      <c r="L3484" s="14">
        <f>IF($J3484=0,0,ROUND(MAX($J3484*1.4,1620000*(1.497923^(MIN($E3484,123)-117)))*1,0))</f>
        <v>51380</v>
      </c>
      <c r="M3484" s="11">
        <f>$E3484+2</f>
        <v>103</v>
      </c>
      <c r="N3484" s="12">
        <f>IF($J3484=0,0,ROUND(MAX($J3484*1.4*1.5,2190000*(1.580994^(MIN($E3484,123)-117)))*1,0))</f>
        <v>77070</v>
      </c>
      <c r="O3484" s="13">
        <f>$E3484+4</f>
        <v>105</v>
      </c>
      <c r="P3484" s="14">
        <f>IF($J3484=0,0,ROUND(MAX($J3484*1.4*1.5*1.6,3500000*(1.57975^(MIN($E3484,123)-117)))*1,0))</f>
        <v>123312</v>
      </c>
      <c r="Q3484" s="11">
        <f>$E3484+6</f>
        <v>107</v>
      </c>
      <c r="R3484" s="12">
        <f>IF($J3484=0,0,ROUND(MAX($J3484*1.4*1.5*1.6*1.6,13100000*(1.429962^(MIN($E3484,123)-117)))*1,0))</f>
        <v>197299</v>
      </c>
      <c r="S3484" s="13">
        <f>$E3484+8</f>
        <v>109</v>
      </c>
      <c r="T3484" s="14">
        <f>IF($J3484=0,0,ROUND(MAX($J3484*1.4*1.5*1.6*1.6*2.2,42600000*(1.576904^(MIN($E3484,123)-117)))*1,0))</f>
        <v>434058</v>
      </c>
      <c r="U3484" s="11">
        <f>$E3484+11</f>
        <v>112</v>
      </c>
      <c r="V3484" s="12">
        <f>IF($J3484=0,0,ROUND(MAX($J3484*1.4*1.5*1.6*1.6*2.2*2.715,354000000*(1.642074^(MIN($E3484,123)-117)))*1,0))</f>
        <v>1178468</v>
      </c>
      <c r="W3484" s="13">
        <f>$E3484+15</f>
        <v>116</v>
      </c>
      <c r="X3484" s="14">
        <f>IF($J3484=0,0,ROUND(MAX($J3484*1.4*1.5*1.6*1.6*2.2*2.715*2.6,3540000000*(1.579646^(MIN($E3484,123)-117)))*1,0))</f>
        <v>3064017</v>
      </c>
      <c r="Y3484" s="11">
        <f>$E3484+17</f>
        <v>118</v>
      </c>
      <c r="Z3484" s="12">
        <f>IF($J3484=0,0,ROUND(MAX($J3484*1.4*1.5*1.6*1.6*2.2*2.715*2.6*1.4,6020000000*(1.651178^(MIN($E3484,123)-117)))*1,0))</f>
        <v>4289624</v>
      </c>
      <c r="AA3484" s="13">
        <f>$E3484+19</f>
        <v>120</v>
      </c>
      <c r="AB3484" s="14">
        <f>IF($J3484=0,0,ROUND(MAX($J3484*1.4*1.5*1.6*1.6*2.2*2.715*2.6*1.4*1.4,8430000000*(1.651435^(MIN($E3484,123)-117)))*1,0))</f>
        <v>6005474</v>
      </c>
      <c r="AC3484" s="11">
        <f>$E3484+21</f>
        <v>122</v>
      </c>
      <c r="AD3484" s="12">
        <f>IF($J3484=0,0,ROUND(MAX($J3484*1.4*1.5*1.6*1.6*2.2*2.715*2.6*1.4*1.4*1.5,12600000000*(1.652953^(MIN($E3484,123)-117)))*1,0))</f>
        <v>9008210</v>
      </c>
      <c r="AE3484" s="13">
        <f>$E3484+24</f>
        <v>125</v>
      </c>
      <c r="AF3484" s="14">
        <f>IF($J3484=0,0,ROUND(MAX($J3484*1.4*1.5*1.6*1.6*2.2*2.715*2.6*1.4*1.4*1.5*1.5,18900000000*(1.65331^(MIN($E3484,123)-117)))*1,0))</f>
        <v>13512315</v>
      </c>
      <c r="AG3484" s="11">
        <f>$E3484+27</f>
        <v>128</v>
      </c>
      <c r="AH3484" s="12">
        <f>IF($J3484=0,0,ROUND(MAX($J3484*1.4*1.5*1.6*1.6*2.2*2.715*2.6*1.4*1.4*1.5*1.5*3.2,60500000000*(1.654288^(MIN($E3484,123)-117)))*1,0))</f>
        <v>43239410</v>
      </c>
    </row>
    <row r="3485" ht="28" customHeight="1" spans="1:34" x14ac:dyDescent="0.25">
      <c r="A3485">
        <v>3495</v>
      </c>
      <c r="B3485" t="s">
        <v>1470</v>
      </c>
      <c r="C3485" s="10" t="s">
        <v>1785</v>
      </c>
      <c r="D3485" t="s">
        <v>75</v>
      </c>
      <c r="E3485">
        <v>101</v>
      </c>
      <c r="F3485" t="s">
        <v>34</v>
      </c>
      <c r="G3485" t="s">
        <v>106</v>
      </c>
      <c r="H3485">
        <v>21</v>
      </c>
      <c r="I3485" s="11">
        <f>$E3485+0</f>
        <v>101</v>
      </c>
      <c r="J3485" s="12">
        <v>22700</v>
      </c>
      <c r="K3485" s="13">
        <f>$E3485+1</f>
        <v>102</v>
      </c>
      <c r="L3485" s="14">
        <f>IF($J3485=0,0,ROUND(MAX($J3485*1.4,1620000*(1.497923^(MIN($E3485,123)-117)))*1,0))</f>
        <v>31780</v>
      </c>
      <c r="M3485" s="11">
        <f>$E3485+2</f>
        <v>103</v>
      </c>
      <c r="N3485" s="12">
        <f>IF($J3485=0,0,ROUND(MAX($J3485*1.4*1.5,2190000*(1.580994^(MIN($E3485,123)-117)))*1,0))</f>
        <v>47670</v>
      </c>
      <c r="O3485" s="13">
        <f>$E3485+4</f>
        <v>105</v>
      </c>
      <c r="P3485" s="14">
        <f>IF($J3485=0,0,ROUND(MAX($J3485*1.4*1.5*1.6,3500000*(1.57975^(MIN($E3485,123)-117)))*1,0))</f>
        <v>76272</v>
      </c>
      <c r="Q3485" s="11">
        <f>$E3485+6</f>
        <v>107</v>
      </c>
      <c r="R3485" s="12">
        <f>IF($J3485=0,0,ROUND(MAX($J3485*1.4*1.5*1.6*1.6,13100000*(1.429962^(MIN($E3485,123)-117)))*1,0))</f>
        <v>122035</v>
      </c>
      <c r="S3485" s="13">
        <f>$E3485+8</f>
        <v>109</v>
      </c>
      <c r="T3485" s="14">
        <f>IF($J3485=0,0,ROUND(MAX($J3485*1.4*1.5*1.6*1.6*2.2,42600000*(1.576904^(MIN($E3485,123)-117)))*1,0))</f>
        <v>268477</v>
      </c>
      <c r="U3485" s="11">
        <f>$E3485+11</f>
        <v>112</v>
      </c>
      <c r="V3485" s="12">
        <f>IF($J3485=0,0,ROUND(MAX($J3485*1.4*1.5*1.6*1.6*2.2*2.715,354000000*(1.642074^(MIN($E3485,123)-117)))*1,0))</f>
        <v>728916</v>
      </c>
      <c r="W3485" s="13">
        <f>$E3485+15</f>
        <v>116</v>
      </c>
      <c r="X3485" s="14">
        <f>IF($J3485=0,0,ROUND(MAX($J3485*1.4*1.5*1.6*1.6*2.2*2.715*2.6,3540000000*(1.579646^(MIN($E3485,123)-117)))*1,0))</f>
        <v>2355304</v>
      </c>
      <c r="Y3485" s="11">
        <f>$E3485+17</f>
        <v>118</v>
      </c>
      <c r="Z3485" s="12">
        <f>IF($J3485=0,0,ROUND(MAX($J3485*1.4*1.5*1.6*1.6*2.2*2.715*2.6*1.4,6020000000*(1.651178^(MIN($E3485,123)-117)))*1,0))</f>
        <v>2653255</v>
      </c>
      <c r="AA3485" s="13">
        <f>$E3485+19</f>
        <v>120</v>
      </c>
      <c r="AB3485" s="14">
        <f>IF($J3485=0,0,ROUND(MAX($J3485*1.4*1.5*1.6*1.6*2.2*2.715*2.6*1.4*1.4,8430000000*(1.651435^(MIN($E3485,123)-117)))*1,0))</f>
        <v>3714557</v>
      </c>
      <c r="AC3485" s="11">
        <f>$E3485+21</f>
        <v>122</v>
      </c>
      <c r="AD3485" s="12">
        <f>IF($J3485=0,0,ROUND(MAX($J3485*1.4*1.5*1.6*1.6*2.2*2.715*2.6*1.4*1.4*1.5,12600000000*(1.652953^(MIN($E3485,123)-117)))*1,0))</f>
        <v>5571836</v>
      </c>
      <c r="AE3485" s="13">
        <f>$E3485+24</f>
        <v>125</v>
      </c>
      <c r="AF3485" s="14">
        <f>IF($J3485=0,0,ROUND(MAX($J3485*1.4*1.5*1.6*1.6*2.2*2.715*2.6*1.4*1.4*1.5*1.5,18900000000*(1.65331^(MIN($E3485,123)-117)))*1,0))</f>
        <v>8357754</v>
      </c>
      <c r="AG3485" s="11">
        <f>$E3485+27</f>
        <v>128</v>
      </c>
      <c r="AH3485" s="12">
        <f>IF($J3485=0,0,ROUND(MAX($J3485*1.4*1.5*1.6*1.6*2.2*2.715*2.6*1.4*1.4*1.5*1.5*3.2,60500000000*(1.654288^(MIN($E3485,123)-117)))*1,0))</f>
        <v>26744812</v>
      </c>
    </row>
    <row r="3486" ht="28" customHeight="1" spans="1:34" x14ac:dyDescent="0.25">
      <c r="A3486">
        <v>3496</v>
      </c>
      <c r="B3486" t="s">
        <v>1548</v>
      </c>
      <c r="C3486" s="10" t="s">
        <v>1785</v>
      </c>
      <c r="D3486" t="s">
        <v>40</v>
      </c>
      <c r="E3486">
        <v>101</v>
      </c>
      <c r="F3486" t="s">
        <v>298</v>
      </c>
      <c r="G3486" t="s">
        <v>381</v>
      </c>
      <c r="H3486">
        <v>21</v>
      </c>
      <c r="I3486" s="11">
        <f>$E3486+0</f>
        <v>101</v>
      </c>
      <c r="J3486" s="12">
        <v>19500</v>
      </c>
      <c r="K3486" s="13">
        <f>$E3486+1</f>
        <v>102</v>
      </c>
      <c r="L3486" s="14">
        <f>IF($J3486=0,0,ROUND(MAX($J3486*1.4,1620000*(1.497923^(MIN($E3486,123)-117)))*1,0))</f>
        <v>27300</v>
      </c>
      <c r="M3486" s="11">
        <f>$E3486+2</f>
        <v>103</v>
      </c>
      <c r="N3486" s="12">
        <f>IF($J3486=0,0,ROUND(MAX($J3486*1.4*1.5,2190000*(1.580994^(MIN($E3486,123)-117)))*1,0))</f>
        <v>40950</v>
      </c>
      <c r="O3486" s="13">
        <f>$E3486+4</f>
        <v>105</v>
      </c>
      <c r="P3486" s="14">
        <f>IF($J3486=0,0,ROUND(MAX($J3486*1.4*1.5*1.6,3500000*(1.57975^(MIN($E3486,123)-117)))*1,0))</f>
        <v>65520</v>
      </c>
      <c r="Q3486" s="11">
        <f>$E3486+6</f>
        <v>107</v>
      </c>
      <c r="R3486" s="12">
        <f>IF($J3486=0,0,ROUND(MAX($J3486*1.4*1.5*1.6*1.6,13100000*(1.429962^(MIN($E3486,123)-117)))*1,0))</f>
        <v>104832</v>
      </c>
      <c r="S3486" s="13">
        <f>$E3486+8</f>
        <v>109</v>
      </c>
      <c r="T3486" s="14">
        <f>IF($J3486=0,0,ROUND(MAX($J3486*1.4*1.5*1.6*1.6*2.2,42600000*(1.576904^(MIN($E3486,123)-117)))*1,0))</f>
        <v>230630</v>
      </c>
      <c r="U3486" s="11">
        <f>$E3486+11</f>
        <v>112</v>
      </c>
      <c r="V3486" s="12">
        <f>IF($J3486=0,0,ROUND(MAX($J3486*1.4*1.5*1.6*1.6*2.2*2.715,354000000*(1.642074^(MIN($E3486,123)-117)))*1,0))</f>
        <v>626162</v>
      </c>
      <c r="W3486" s="13">
        <f>$E3486+15</f>
        <v>116</v>
      </c>
      <c r="X3486" s="14">
        <f>IF($J3486=0,0,ROUND(MAX($J3486*1.4*1.5*1.6*1.6*2.2*2.715*2.6,3540000000*(1.579646^(MIN($E3486,123)-117)))*1,0))</f>
        <v>2355304</v>
      </c>
      <c r="Y3486" s="11">
        <f>$E3486+17</f>
        <v>118</v>
      </c>
      <c r="Z3486" s="12">
        <f>IF($J3486=0,0,ROUND(MAX($J3486*1.4*1.5*1.6*1.6*2.2*2.715*2.6*1.4,6020000000*(1.651178^(MIN($E3486,123)-117)))*1,0))</f>
        <v>2279228</v>
      </c>
      <c r="AA3486" s="13">
        <f>$E3486+19</f>
        <v>120</v>
      </c>
      <c r="AB3486" s="14">
        <f>IF($J3486=0,0,ROUND(MAX($J3486*1.4*1.5*1.6*1.6*2.2*2.715*2.6*1.4*1.4,8430000000*(1.651435^(MIN($E3486,123)-117)))*1,0))</f>
        <v>3190919</v>
      </c>
      <c r="AC3486" s="11">
        <f>$E3486+21</f>
        <v>122</v>
      </c>
      <c r="AD3486" s="12">
        <f>IF($J3486=0,0,ROUND(MAX($J3486*1.4*1.5*1.6*1.6*2.2*2.715*2.6*1.4*1.4*1.5,12600000000*(1.652953^(MIN($E3486,123)-117)))*1,0))</f>
        <v>4786379</v>
      </c>
      <c r="AE3486" s="13">
        <f>$E3486+24</f>
        <v>125</v>
      </c>
      <c r="AF3486" s="14">
        <f>IF($J3486=0,0,ROUND(MAX($J3486*1.4*1.5*1.6*1.6*2.2*2.715*2.6*1.4*1.4*1.5*1.5,18900000000*(1.65331^(MIN($E3486,123)-117)))*1,0))</f>
        <v>7179568</v>
      </c>
      <c r="AG3486" s="11">
        <f>$E3486+27</f>
        <v>128</v>
      </c>
      <c r="AH3486" s="12">
        <f>IF($J3486=0,0,ROUND(MAX($J3486*1.4*1.5*1.6*1.6*2.2*2.715*2.6*1.4*1.4*1.5*1.5*3.2,60500000000*(1.654288^(MIN($E3486,123)-117)))*1,0))</f>
        <v>22974618</v>
      </c>
    </row>
    <row r="3487" ht="28" customHeight="1" spans="1:34" x14ac:dyDescent="0.25">
      <c r="A3487">
        <v>3497</v>
      </c>
      <c r="B3487" t="s">
        <v>928</v>
      </c>
      <c r="C3487" s="10" t="s">
        <v>1785</v>
      </c>
      <c r="D3487" t="s">
        <v>64</v>
      </c>
      <c r="E3487">
        <v>101</v>
      </c>
      <c r="F3487" t="s">
        <v>62</v>
      </c>
      <c r="G3487" t="s">
        <v>699</v>
      </c>
      <c r="H3487">
        <v>21</v>
      </c>
      <c r="I3487" s="11">
        <f>$E3487+0</f>
        <v>101</v>
      </c>
      <c r="J3487" s="12">
        <v>15200</v>
      </c>
      <c r="K3487" s="13">
        <f>$E3487+1</f>
        <v>102</v>
      </c>
      <c r="L3487" s="14">
        <f>IF($J3487=0,0,ROUND(MAX($J3487*1.4,1620000*(1.497923^(MIN($E3487,123)-117)))*1,0))</f>
        <v>21280</v>
      </c>
      <c r="M3487" s="11">
        <f>$E3487+2</f>
        <v>103</v>
      </c>
      <c r="N3487" s="12">
        <f>IF($J3487=0,0,ROUND(MAX($J3487*1.4*1.5,2190000*(1.580994^(MIN($E3487,123)-117)))*1,0))</f>
        <v>31920</v>
      </c>
      <c r="O3487" s="13">
        <f>$E3487+4</f>
        <v>105</v>
      </c>
      <c r="P3487" s="14">
        <f>IF($J3487=0,0,ROUND(MAX($J3487*1.4*1.5*1.6,3500000*(1.57975^(MIN($E3487,123)-117)))*1,0))</f>
        <v>51072</v>
      </c>
      <c r="Q3487" s="11">
        <f>$E3487+6</f>
        <v>107</v>
      </c>
      <c r="R3487" s="12">
        <f>IF($J3487=0,0,ROUND(MAX($J3487*1.4*1.5*1.6*1.6,13100000*(1.429962^(MIN($E3487,123)-117)))*1,0))</f>
        <v>81715</v>
      </c>
      <c r="S3487" s="13">
        <f>$E3487+8</f>
        <v>109</v>
      </c>
      <c r="T3487" s="14">
        <f>IF($J3487=0,0,ROUND(MAX($J3487*1.4*1.5*1.6*1.6*2.2,42600000*(1.576904^(MIN($E3487,123)-117)))*1,0))</f>
        <v>179773</v>
      </c>
      <c r="U3487" s="11">
        <f>$E3487+11</f>
        <v>112</v>
      </c>
      <c r="V3487" s="12">
        <f>IF($J3487=0,0,ROUND(MAX($J3487*1.4*1.5*1.6*1.6*2.2*2.715,354000000*(1.642074^(MIN($E3487,123)-117)))*1,0))</f>
        <v>488085</v>
      </c>
      <c r="W3487" s="13">
        <f>$E3487+15</f>
        <v>116</v>
      </c>
      <c r="X3487" s="14">
        <f>IF($J3487=0,0,ROUND(MAX($J3487*1.4*1.5*1.6*1.6*2.2*2.715*2.6,3540000000*(1.579646^(MIN($E3487,123)-117)))*1,0))</f>
        <v>2355304</v>
      </c>
      <c r="Y3487" s="11">
        <f>$E3487+17</f>
        <v>118</v>
      </c>
      <c r="Z3487" s="12">
        <f>IF($J3487=0,0,ROUND(MAX($J3487*1.4*1.5*1.6*1.6*2.2*2.715*2.6*1.4,6020000000*(1.651178^(MIN($E3487,123)-117)))*1,0))</f>
        <v>1971942</v>
      </c>
      <c r="AA3487" s="13">
        <f>$E3487+19</f>
        <v>120</v>
      </c>
      <c r="AB3487" s="14">
        <f>IF($J3487=0,0,ROUND(MAX($J3487*1.4*1.5*1.6*1.6*2.2*2.715*2.6*1.4*1.4,8430000000*(1.651435^(MIN($E3487,123)-117)))*1,0))</f>
        <v>2754507</v>
      </c>
      <c r="AC3487" s="11">
        <f>$E3487+21</f>
        <v>122</v>
      </c>
      <c r="AD3487" s="12">
        <f>IF($J3487=0,0,ROUND(MAX($J3487*1.4*1.5*1.6*1.6*2.2*2.715*2.6*1.4*1.4*1.5,12600000000*(1.652953^(MIN($E3487,123)-117)))*1,0))</f>
        <v>4056976</v>
      </c>
      <c r="AE3487" s="13">
        <f>$E3487+24</f>
        <v>125</v>
      </c>
      <c r="AF3487" s="14">
        <f>IF($J3487=0,0,ROUND(MAX($J3487*1.4*1.5*1.6*1.6*2.2*2.715*2.6*1.4*1.4*1.5*1.5,18900000000*(1.65331^(MIN($E3487,123)-117)))*1,0))</f>
        <v>6064474</v>
      </c>
      <c r="AG3487" s="11">
        <f>$E3487+27</f>
        <v>128</v>
      </c>
      <c r="AH3487" s="12">
        <f>IF($J3487=0,0,ROUND(MAX($J3487*1.4*1.5*1.6*1.6*2.2*2.715*2.6*1.4*1.4*1.5*1.5*3.2,60500000000*(1.654288^(MIN($E3487,123)-117)))*1,0))</f>
        <v>19229919</v>
      </c>
    </row>
    <row r="3488" ht="28" customHeight="1" spans="1:34" x14ac:dyDescent="0.25">
      <c r="A3488">
        <v>3498</v>
      </c>
      <c r="B3488" t="s">
        <v>1796</v>
      </c>
      <c r="C3488" s="10" t="s">
        <v>1785</v>
      </c>
      <c r="D3488" t="s">
        <v>64</v>
      </c>
      <c r="E3488">
        <v>101</v>
      </c>
      <c r="F3488" t="s">
        <v>71</v>
      </c>
      <c r="G3488" t="s">
        <v>562</v>
      </c>
      <c r="H3488">
        <v>21</v>
      </c>
      <c r="I3488" s="11">
        <f>$E3488+0</f>
        <v>101</v>
      </c>
      <c r="J3488" s="12">
        <v>3700</v>
      </c>
      <c r="K3488" s="13">
        <f>$E3488+1</f>
        <v>102</v>
      </c>
      <c r="L3488" s="14">
        <f>IF($J3488=0,0,ROUND(MAX($J3488*1.4,1620000*(1.497923^(MIN($E3488,123)-117)))*1,0))</f>
        <v>5180</v>
      </c>
      <c r="M3488" s="11">
        <f>$E3488+2</f>
        <v>103</v>
      </c>
      <c r="N3488" s="12">
        <f>IF($J3488=0,0,ROUND(MAX($J3488*1.4*1.5,2190000*(1.580994^(MIN($E3488,123)-117)))*1,0))</f>
        <v>7770</v>
      </c>
      <c r="O3488" s="13">
        <f>$E3488+4</f>
        <v>105</v>
      </c>
      <c r="P3488" s="14">
        <f>IF($J3488=0,0,ROUND(MAX($J3488*1.4*1.5*1.6,3500000*(1.57975^(MIN($E3488,123)-117)))*1,0))</f>
        <v>12432</v>
      </c>
      <c r="Q3488" s="11">
        <f>$E3488+6</f>
        <v>107</v>
      </c>
      <c r="R3488" s="12">
        <f>IF($J3488=0,0,ROUND(MAX($J3488*1.4*1.5*1.6*1.6,13100000*(1.429962^(MIN($E3488,123)-117)))*1,0))</f>
        <v>42863</v>
      </c>
      <c r="S3488" s="13">
        <f>$E3488+8</f>
        <v>109</v>
      </c>
      <c r="T3488" s="14">
        <f>IF($J3488=0,0,ROUND(MAX($J3488*1.4*1.5*1.6*1.6*2.2,42600000*(1.576904^(MIN($E3488,123)-117)))*1,0))</f>
        <v>43761</v>
      </c>
      <c r="U3488" s="11">
        <f>$E3488+11</f>
        <v>112</v>
      </c>
      <c r="V3488" s="12">
        <f>IF($J3488=0,0,ROUND(MAX($J3488*1.4*1.5*1.6*1.6*2.2*2.715,354000000*(1.642074^(MIN($E3488,123)-117)))*1,0))</f>
        <v>126683</v>
      </c>
      <c r="W3488" s="13">
        <f>$E3488+15</f>
        <v>116</v>
      </c>
      <c r="X3488" s="14">
        <f>IF($J3488=0,0,ROUND(MAX($J3488*1.4*1.5*1.6*1.6*2.2*2.715*2.6,3540000000*(1.579646^(MIN($E3488,123)-117)))*1,0))</f>
        <v>2355304</v>
      </c>
      <c r="Y3488" s="11">
        <f>$E3488+17</f>
        <v>118</v>
      </c>
      <c r="Z3488" s="12">
        <f>IF($J3488=0,0,ROUND(MAX($J3488*1.4*1.5*1.6*1.6*2.2*2.715*2.6*1.4,6020000000*(1.651178^(MIN($E3488,123)-117)))*1,0))</f>
        <v>1971942</v>
      </c>
      <c r="AA3488" s="13">
        <f>$E3488+19</f>
        <v>120</v>
      </c>
      <c r="AB3488" s="14">
        <f>IF($J3488=0,0,ROUND(MAX($J3488*1.4*1.5*1.6*1.6*2.2*2.715*2.6*1.4*1.4,8430000000*(1.651435^(MIN($E3488,123)-117)))*1,0))</f>
        <v>2754507</v>
      </c>
      <c r="AC3488" s="11">
        <f>$E3488+21</f>
        <v>122</v>
      </c>
      <c r="AD3488" s="12">
        <f>IF($J3488=0,0,ROUND(MAX($J3488*1.4*1.5*1.6*1.6*2.2*2.715*2.6*1.4*1.4*1.5,12600000000*(1.652953^(MIN($E3488,123)-117)))*1,0))</f>
        <v>4056976</v>
      </c>
      <c r="AE3488" s="13">
        <f>$E3488+24</f>
        <v>125</v>
      </c>
      <c r="AF3488" s="14">
        <f>IF($J3488=0,0,ROUND(MAX($J3488*1.4*1.5*1.6*1.6*2.2*2.715*2.6*1.4*1.4*1.5*1.5,18900000000*(1.65331^(MIN($E3488,123)-117)))*1,0))</f>
        <v>6064474</v>
      </c>
      <c r="AG3488" s="11">
        <f>$E3488+27</f>
        <v>128</v>
      </c>
      <c r="AH3488" s="12">
        <f>IF($J3488=0,0,ROUND(MAX($J3488*1.4*1.5*1.6*1.6*2.2*2.715*2.6*1.4*1.4*1.5*1.5*3.2,60500000000*(1.654288^(MIN($E3488,123)-117)))*1,0))</f>
        <v>19229919</v>
      </c>
    </row>
    <row r="3489" ht="28" customHeight="1" spans="1:34" x14ac:dyDescent="0.25">
      <c r="A3489">
        <v>3499</v>
      </c>
      <c r="B3489" t="s">
        <v>1797</v>
      </c>
      <c r="C3489" s="10" t="s">
        <v>1785</v>
      </c>
      <c r="D3489" t="s">
        <v>102</v>
      </c>
      <c r="E3489">
        <v>101</v>
      </c>
      <c r="F3489" t="s">
        <v>146</v>
      </c>
      <c r="G3489" t="s">
        <v>583</v>
      </c>
      <c r="H3489">
        <v>21</v>
      </c>
      <c r="I3489" s="11">
        <f>$E3489+0</f>
        <v>101</v>
      </c>
      <c r="J3489" s="12">
        <v>25400</v>
      </c>
      <c r="K3489" s="13">
        <f>$E3489+1</f>
        <v>102</v>
      </c>
      <c r="L3489" s="14">
        <f>IF($J3489=0,0,ROUND(MAX($J3489*1.4,1620000*(1.497923^(MIN($E3489,123)-117)))*1,0))</f>
        <v>35560</v>
      </c>
      <c r="M3489" s="11">
        <f>$E3489+2</f>
        <v>103</v>
      </c>
      <c r="N3489" s="12">
        <f>IF($J3489=0,0,ROUND(MAX($J3489*1.4*1.5,2190000*(1.580994^(MIN($E3489,123)-117)))*1,0))</f>
        <v>53340</v>
      </c>
      <c r="O3489" s="13">
        <f>$E3489+4</f>
        <v>105</v>
      </c>
      <c r="P3489" s="14">
        <f>IF($J3489=0,0,ROUND(MAX($J3489*1.4*1.5*1.6,3500000*(1.57975^(MIN($E3489,123)-117)))*1,0))</f>
        <v>85344</v>
      </c>
      <c r="Q3489" s="11">
        <f>$E3489+6</f>
        <v>107</v>
      </c>
      <c r="R3489" s="12">
        <f>IF($J3489=0,0,ROUND(MAX($J3489*1.4*1.5*1.6*1.6,13100000*(1.429962^(MIN($E3489,123)-117)))*1,0))</f>
        <v>136550</v>
      </c>
      <c r="S3489" s="13">
        <f>$E3489+8</f>
        <v>109</v>
      </c>
      <c r="T3489" s="14">
        <f>IF($J3489=0,0,ROUND(MAX($J3489*1.4*1.5*1.6*1.6*2.2,42600000*(1.576904^(MIN($E3489,123)-117)))*1,0))</f>
        <v>300411</v>
      </c>
      <c r="U3489" s="11">
        <f>$E3489+11</f>
        <v>112</v>
      </c>
      <c r="V3489" s="12">
        <f>IF($J3489=0,0,ROUND(MAX($J3489*1.4*1.5*1.6*1.6*2.2*2.715,354000000*(1.642074^(MIN($E3489,123)-117)))*1,0))</f>
        <v>815616</v>
      </c>
      <c r="W3489" s="13">
        <f>$E3489+15</f>
        <v>116</v>
      </c>
      <c r="X3489" s="14">
        <f>IF($J3489=0,0,ROUND(MAX($J3489*1.4*1.5*1.6*1.6*2.2*2.715*2.6,3540000000*(1.579646^(MIN($E3489,123)-117)))*1,0))</f>
        <v>2355304</v>
      </c>
      <c r="Y3489" s="11">
        <f>$E3489+17</f>
        <v>118</v>
      </c>
      <c r="Z3489" s="12">
        <f>IF($J3489=0,0,ROUND(MAX($J3489*1.4*1.5*1.6*1.6*2.2*2.715*2.6*1.4,6020000000*(1.651178^(MIN($E3489,123)-117)))*1,0))</f>
        <v>2968841</v>
      </c>
      <c r="AA3489" s="13">
        <f>$E3489+19</f>
        <v>120</v>
      </c>
      <c r="AB3489" s="14">
        <f>IF($J3489=0,0,ROUND(MAX($J3489*1.4*1.5*1.6*1.6*2.2*2.715*2.6*1.4*1.4,8430000000*(1.651435^(MIN($E3489,123)-117)))*1,0))</f>
        <v>4156377</v>
      </c>
      <c r="AC3489" s="11">
        <f>$E3489+21</f>
        <v>122</v>
      </c>
      <c r="AD3489" s="12">
        <f>IF($J3489=0,0,ROUND(MAX($J3489*1.4*1.5*1.6*1.6*2.2*2.715*2.6*1.4*1.4*1.5,12600000000*(1.652953^(MIN($E3489,123)-117)))*1,0))</f>
        <v>6234565</v>
      </c>
      <c r="AE3489" s="13">
        <f>$E3489+24</f>
        <v>125</v>
      </c>
      <c r="AF3489" s="14">
        <f>IF($J3489=0,0,ROUND(MAX($J3489*1.4*1.5*1.6*1.6*2.2*2.715*2.6*1.4*1.4*1.5*1.5,18900000000*(1.65331^(MIN($E3489,123)-117)))*1,0))</f>
        <v>9351848</v>
      </c>
      <c r="AG3489" s="11">
        <f>$E3489+27</f>
        <v>128</v>
      </c>
      <c r="AH3489" s="12">
        <f>IF($J3489=0,0,ROUND(MAX($J3489*1.4*1.5*1.6*1.6*2.2*2.715*2.6*1.4*1.4*1.5*1.5*3.2,60500000000*(1.654288^(MIN($E3489,123)-117)))*1,0))</f>
        <v>29925913</v>
      </c>
    </row>
    <row r="3490" ht="28" customHeight="1" spans="1:34" x14ac:dyDescent="0.25">
      <c r="A3490">
        <v>3500</v>
      </c>
      <c r="B3490" t="s">
        <v>1798</v>
      </c>
      <c r="C3490" s="10" t="s">
        <v>1785</v>
      </c>
      <c r="D3490" t="s">
        <v>40</v>
      </c>
      <c r="E3490">
        <v>101</v>
      </c>
      <c r="F3490" t="s">
        <v>88</v>
      </c>
      <c r="G3490" t="s">
        <v>337</v>
      </c>
      <c r="H3490">
        <v>20</v>
      </c>
      <c r="I3490" s="11">
        <f>$E3490+0</f>
        <v>101</v>
      </c>
      <c r="J3490" s="12">
        <v>12000</v>
      </c>
      <c r="K3490" s="13">
        <f>$E3490+1</f>
        <v>102</v>
      </c>
      <c r="L3490" s="14">
        <f>IF($J3490=0,0,ROUND(MAX($J3490*1.4,1620000*(1.497923^(MIN($E3490,123)-117)))*1,0))</f>
        <v>16800</v>
      </c>
      <c r="M3490" s="11">
        <f>$E3490+2</f>
        <v>103</v>
      </c>
      <c r="N3490" s="12">
        <f>IF($J3490=0,0,ROUND(MAX($J3490*1.4*1.5,2190000*(1.580994^(MIN($E3490,123)-117)))*1,0))</f>
        <v>25200</v>
      </c>
      <c r="O3490" s="13">
        <f>$E3490+4</f>
        <v>105</v>
      </c>
      <c r="P3490" s="14">
        <f>IF($J3490=0,0,ROUND(MAX($J3490*1.4*1.5*1.6,3500000*(1.57975^(MIN($E3490,123)-117)))*1,0))</f>
        <v>40320</v>
      </c>
      <c r="Q3490" s="11">
        <f>$E3490+6</f>
        <v>107</v>
      </c>
      <c r="R3490" s="12">
        <f>IF($J3490=0,0,ROUND(MAX($J3490*1.4*1.5*1.6*1.6,13100000*(1.429962^(MIN($E3490,123)-117)))*1,0))</f>
        <v>64512</v>
      </c>
      <c r="S3490" s="13">
        <f>$E3490+8</f>
        <v>109</v>
      </c>
      <c r="T3490" s="14">
        <f>IF($J3490=0,0,ROUND(MAX($J3490*1.4*1.5*1.6*1.6*2.2,42600000*(1.576904^(MIN($E3490,123)-117)))*1,0))</f>
        <v>141926</v>
      </c>
      <c r="U3490" s="11">
        <f>$E3490+11</f>
        <v>112</v>
      </c>
      <c r="V3490" s="12">
        <f>IF($J3490=0,0,ROUND(MAX($J3490*1.4*1.5*1.6*1.6*2.2*2.715,354000000*(1.642074^(MIN($E3490,123)-117)))*1,0))</f>
        <v>385330</v>
      </c>
      <c r="W3490" s="13">
        <f>$E3490+15</f>
        <v>116</v>
      </c>
      <c r="X3490" s="14">
        <f>IF($J3490=0,0,ROUND(MAX($J3490*1.4*1.5*1.6*1.6*2.2*2.715*2.6,3540000000*(1.579646^(MIN($E3490,123)-117)))*1,0))</f>
        <v>2355304</v>
      </c>
      <c r="Y3490" s="11">
        <f>$E3490+17</f>
        <v>118</v>
      </c>
      <c r="Z3490" s="12">
        <f>IF($J3490=0,0,ROUND(MAX($J3490*1.4*1.5*1.6*1.6*2.2*2.715*2.6*1.4,6020000000*(1.651178^(MIN($E3490,123)-117)))*1,0))</f>
        <v>1971942</v>
      </c>
      <c r="AA3490" s="13">
        <f>$E3490+19</f>
        <v>120</v>
      </c>
      <c r="AB3490" s="14">
        <f>IF($J3490=0,0,ROUND(MAX($J3490*1.4*1.5*1.6*1.6*2.2*2.715*2.6*1.4*1.4,8430000000*(1.651435^(MIN($E3490,123)-117)))*1,0))</f>
        <v>2754507</v>
      </c>
      <c r="AC3490" s="11">
        <f>$E3490+21</f>
        <v>122</v>
      </c>
      <c r="AD3490" s="12">
        <f>IF($J3490=0,0,ROUND(MAX($J3490*1.4*1.5*1.6*1.6*2.2*2.715*2.6*1.4*1.4*1.5,12600000000*(1.652953^(MIN($E3490,123)-117)))*1,0))</f>
        <v>4056976</v>
      </c>
      <c r="AE3490" s="13">
        <f>$E3490+24</f>
        <v>125</v>
      </c>
      <c r="AF3490" s="14">
        <f>IF($J3490=0,0,ROUND(MAX($J3490*1.4*1.5*1.6*1.6*2.2*2.715*2.6*1.4*1.4*1.5*1.5,18900000000*(1.65331^(MIN($E3490,123)-117)))*1,0))</f>
        <v>6064474</v>
      </c>
      <c r="AG3490" s="11">
        <f>$E3490+27</f>
        <v>128</v>
      </c>
      <c r="AH3490" s="12">
        <f>IF($J3490=0,0,ROUND(MAX($J3490*1.4*1.5*1.6*1.6*2.2*2.715*2.6*1.4*1.4*1.5*1.5*3.2,60500000000*(1.654288^(MIN($E3490,123)-117)))*1,0))</f>
        <v>19229919</v>
      </c>
    </row>
    <row r="3491" ht="28" customHeight="1" spans="1:34" x14ac:dyDescent="0.25">
      <c r="A3491">
        <v>3501</v>
      </c>
      <c r="B3491" t="s">
        <v>1305</v>
      </c>
      <c r="C3491" s="10" t="s">
        <v>1785</v>
      </c>
      <c r="D3491" t="s">
        <v>102</v>
      </c>
      <c r="E3491">
        <v>101</v>
      </c>
      <c r="F3491" t="s">
        <v>144</v>
      </c>
      <c r="G3491" t="s">
        <v>126</v>
      </c>
      <c r="H3491">
        <v>20</v>
      </c>
      <c r="I3491" s="11">
        <f>$E3491+0</f>
        <v>101</v>
      </c>
      <c r="J3491" s="12">
        <v>6170</v>
      </c>
      <c r="K3491" s="13">
        <f>$E3491+1</f>
        <v>102</v>
      </c>
      <c r="L3491" s="14">
        <f>IF($J3491=0,0,ROUND(MAX($J3491*1.4,1620000*(1.497923^(MIN($E3491,123)-117)))*1,0))</f>
        <v>8638</v>
      </c>
      <c r="M3491" s="11">
        <f>$E3491+2</f>
        <v>103</v>
      </c>
      <c r="N3491" s="12">
        <f>IF($J3491=0,0,ROUND(MAX($J3491*1.4*1.5,2190000*(1.580994^(MIN($E3491,123)-117)))*1,0))</f>
        <v>12957</v>
      </c>
      <c r="O3491" s="13">
        <f>$E3491+4</f>
        <v>105</v>
      </c>
      <c r="P3491" s="14">
        <f>IF($J3491=0,0,ROUND(MAX($J3491*1.4*1.5*1.6,3500000*(1.57975^(MIN($E3491,123)-117)))*1,0))</f>
        <v>20731</v>
      </c>
      <c r="Q3491" s="11">
        <f>$E3491+6</f>
        <v>107</v>
      </c>
      <c r="R3491" s="12">
        <f>IF($J3491=0,0,ROUND(MAX($J3491*1.4*1.5*1.6*1.6,13100000*(1.429962^(MIN($E3491,123)-117)))*1,0))</f>
        <v>42863</v>
      </c>
      <c r="S3491" s="13">
        <f>$E3491+8</f>
        <v>109</v>
      </c>
      <c r="T3491" s="14">
        <f>IF($J3491=0,0,ROUND(MAX($J3491*1.4*1.5*1.6*1.6*2.2,42600000*(1.576904^(MIN($E3491,123)-117)))*1,0))</f>
        <v>72974</v>
      </c>
      <c r="U3491" s="11">
        <f>$E3491+11</f>
        <v>112</v>
      </c>
      <c r="V3491" s="12">
        <f>IF($J3491=0,0,ROUND(MAX($J3491*1.4*1.5*1.6*1.6*2.2*2.715,354000000*(1.642074^(MIN($E3491,123)-117)))*1,0))</f>
        <v>198124</v>
      </c>
      <c r="W3491" s="13">
        <f>$E3491+15</f>
        <v>116</v>
      </c>
      <c r="X3491" s="14">
        <f>IF($J3491=0,0,ROUND(MAX($J3491*1.4*1.5*1.6*1.6*2.2*2.715*2.6,3540000000*(1.579646^(MIN($E3491,123)-117)))*1,0))</f>
        <v>2355304</v>
      </c>
      <c r="Y3491" s="11">
        <f>$E3491+17</f>
        <v>118</v>
      </c>
      <c r="Z3491" s="12">
        <f>IF($J3491=0,0,ROUND(MAX($J3491*1.4*1.5*1.6*1.6*2.2*2.715*2.6*1.4,6020000000*(1.651178^(MIN($E3491,123)-117)))*1,0))</f>
        <v>1971942</v>
      </c>
      <c r="AA3491" s="13">
        <f>$E3491+19</f>
        <v>120</v>
      </c>
      <c r="AB3491" s="14">
        <f>IF($J3491=0,0,ROUND(MAX($J3491*1.4*1.5*1.6*1.6*2.2*2.715*2.6*1.4*1.4,8430000000*(1.651435^(MIN($E3491,123)-117)))*1,0))</f>
        <v>2754507</v>
      </c>
      <c r="AC3491" s="11">
        <f>$E3491+21</f>
        <v>122</v>
      </c>
      <c r="AD3491" s="12">
        <f>IF($J3491=0,0,ROUND(MAX($J3491*1.4*1.5*1.6*1.6*2.2*2.715*2.6*1.4*1.4*1.5,12600000000*(1.652953^(MIN($E3491,123)-117)))*1,0))</f>
        <v>4056976</v>
      </c>
      <c r="AE3491" s="13">
        <f>$E3491+24</f>
        <v>125</v>
      </c>
      <c r="AF3491" s="14">
        <f>IF($J3491=0,0,ROUND(MAX($J3491*1.4*1.5*1.6*1.6*2.2*2.715*2.6*1.4*1.4*1.5*1.5,18900000000*(1.65331^(MIN($E3491,123)-117)))*1,0))</f>
        <v>6064474</v>
      </c>
      <c r="AG3491" s="11">
        <f>$E3491+27</f>
        <v>128</v>
      </c>
      <c r="AH3491" s="12">
        <f>IF($J3491=0,0,ROUND(MAX($J3491*1.4*1.5*1.6*1.6*2.2*2.715*2.6*1.4*1.4*1.5*1.5*3.2,60500000000*(1.654288^(MIN($E3491,123)-117)))*1,0))</f>
        <v>19229919</v>
      </c>
    </row>
    <row r="3492" ht="28" customHeight="1" spans="1:34" x14ac:dyDescent="0.25">
      <c r="A3492">
        <v>3502</v>
      </c>
      <c r="B3492" t="s">
        <v>752</v>
      </c>
      <c r="C3492" s="10" t="s">
        <v>1785</v>
      </c>
      <c r="D3492" t="s">
        <v>75</v>
      </c>
      <c r="E3492">
        <v>101</v>
      </c>
      <c r="F3492" t="s">
        <v>71</v>
      </c>
      <c r="G3492" t="s">
        <v>270</v>
      </c>
      <c r="H3492">
        <v>20</v>
      </c>
      <c r="I3492" s="11">
        <f>$E3492+0</f>
        <v>101</v>
      </c>
      <c r="J3492" s="12">
        <v>175000</v>
      </c>
      <c r="K3492" s="13">
        <f>$E3492+1</f>
        <v>102</v>
      </c>
      <c r="L3492" s="14">
        <f>IF($J3492=0,0,ROUND(MAX($J3492*1.4,1620000*(1.497923^(MIN($E3492,123)-117)))*1,0))</f>
        <v>245000</v>
      </c>
      <c r="M3492" s="11">
        <f>$E3492+2</f>
        <v>103</v>
      </c>
      <c r="N3492" s="12">
        <f>IF($J3492=0,0,ROUND(MAX($J3492*1.4*1.5,2190000*(1.580994^(MIN($E3492,123)-117)))*1,0))</f>
        <v>367500</v>
      </c>
      <c r="O3492" s="13">
        <f>$E3492+4</f>
        <v>105</v>
      </c>
      <c r="P3492" s="14">
        <f>IF($J3492=0,0,ROUND(MAX($J3492*1.4*1.5*1.6,3500000*(1.57975^(MIN($E3492,123)-117)))*1,0))</f>
        <v>588000</v>
      </c>
      <c r="Q3492" s="11">
        <f>$E3492+6</f>
        <v>107</v>
      </c>
      <c r="R3492" s="12">
        <f>IF($J3492=0,0,ROUND(MAX($J3492*1.4*1.5*1.6*1.6,13100000*(1.429962^(MIN($E3492,123)-117)))*1,0))</f>
        <v>940800</v>
      </c>
      <c r="S3492" s="13">
        <f>$E3492+8</f>
        <v>109</v>
      </c>
      <c r="T3492" s="14">
        <f>IF($J3492=0,0,ROUND(MAX($J3492*1.4*1.5*1.6*1.6*2.2,42600000*(1.576904^(MIN($E3492,123)-117)))*1,0))</f>
        <v>2069760</v>
      </c>
      <c r="U3492" s="11">
        <f>$E3492+11</f>
        <v>112</v>
      </c>
      <c r="V3492" s="12">
        <f>IF($J3492=0,0,ROUND(MAX($J3492*1.4*1.5*1.6*1.6*2.2*2.715,354000000*(1.642074^(MIN($E3492,123)-117)))*1,0))</f>
        <v>5619398</v>
      </c>
      <c r="W3492" s="13">
        <f>$E3492+15</f>
        <v>116</v>
      </c>
      <c r="X3492" s="14">
        <f>IF($J3492=0,0,ROUND(MAX($J3492*1.4*1.5*1.6*1.6*2.2*2.715*2.6,3540000000*(1.579646^(MIN($E3492,123)-117)))*1,0))</f>
        <v>14610436</v>
      </c>
      <c r="Y3492" s="11">
        <f>$E3492+17</f>
        <v>118</v>
      </c>
      <c r="Z3492" s="12">
        <f>IF($J3492=0,0,ROUND(MAX($J3492*1.4*1.5*1.6*1.6*2.2*2.715*2.6*1.4,6020000000*(1.651178^(MIN($E3492,123)-117)))*1,0))</f>
        <v>20454610</v>
      </c>
      <c r="AA3492" s="13">
        <f>$E3492+19</f>
        <v>120</v>
      </c>
      <c r="AB3492" s="14">
        <f>IF($J3492=0,0,ROUND(MAX($J3492*1.4*1.5*1.6*1.6*2.2*2.715*2.6*1.4*1.4,8430000000*(1.651435^(MIN($E3492,123)-117)))*1,0))</f>
        <v>28636454</v>
      </c>
      <c r="AC3492" s="11">
        <f>$E3492+21</f>
        <v>122</v>
      </c>
      <c r="AD3492" s="12">
        <f>IF($J3492=0,0,ROUND(MAX($J3492*1.4*1.5*1.6*1.6*2.2*2.715*2.6*1.4*1.4*1.5,12600000000*(1.652953^(MIN($E3492,123)-117)))*1,0))</f>
        <v>42954681</v>
      </c>
      <c r="AE3492" s="13">
        <f>$E3492+24</f>
        <v>125</v>
      </c>
      <c r="AF3492" s="14">
        <f>IF($J3492=0,0,ROUND(MAX($J3492*1.4*1.5*1.6*1.6*2.2*2.715*2.6*1.4*1.4*1.5*1.5,18900000000*(1.65331^(MIN($E3492,123)-117)))*1,0))</f>
        <v>64432022</v>
      </c>
      <c r="AG3492" s="11">
        <f>$E3492+27</f>
        <v>128</v>
      </c>
      <c r="AH3492" s="12">
        <f>IF($J3492=0,0,ROUND(MAX($J3492*1.4*1.5*1.6*1.6*2.2*2.715*2.6*1.4*1.4*1.5*1.5*3.2,60500000000*(1.654288^(MIN($E3492,123)-117)))*1,0))</f>
        <v>206182471</v>
      </c>
    </row>
    <row r="3493" ht="28" customHeight="1" spans="1:34" x14ac:dyDescent="0.25">
      <c r="A3493">
        <v>3503</v>
      </c>
      <c r="B3493" t="s">
        <v>1536</v>
      </c>
      <c r="C3493" s="10" t="s">
        <v>1785</v>
      </c>
      <c r="D3493" t="s">
        <v>47</v>
      </c>
      <c r="E3493">
        <v>101</v>
      </c>
      <c r="F3493" t="s">
        <v>71</v>
      </c>
      <c r="G3493" t="s">
        <v>684</v>
      </c>
      <c r="H3493">
        <v>18</v>
      </c>
      <c r="I3493" s="11">
        <f>$E3493+0</f>
        <v>101</v>
      </c>
      <c r="J3493" s="12">
        <v>37400</v>
      </c>
      <c r="K3493" s="13">
        <f>$E3493+1</f>
        <v>102</v>
      </c>
      <c r="L3493" s="14">
        <f>IF($J3493=0,0,ROUND(MAX($J3493*1.4,1620000*(1.497923^(MIN($E3493,123)-117)))*1,0))</f>
        <v>52360</v>
      </c>
      <c r="M3493" s="11">
        <f>$E3493+2</f>
        <v>103</v>
      </c>
      <c r="N3493" s="12">
        <f>IF($J3493=0,0,ROUND(MAX($J3493*1.4*1.5,2190000*(1.580994^(MIN($E3493,123)-117)))*1,0))</f>
        <v>78540</v>
      </c>
      <c r="O3493" s="13">
        <f>$E3493+4</f>
        <v>105</v>
      </c>
      <c r="P3493" s="14">
        <f>IF($J3493=0,0,ROUND(MAX($J3493*1.4*1.5*1.6,3500000*(1.57975^(MIN($E3493,123)-117)))*1,0))</f>
        <v>125664</v>
      </c>
      <c r="Q3493" s="11">
        <f>$E3493+6</f>
        <v>107</v>
      </c>
      <c r="R3493" s="12">
        <f>IF($J3493=0,0,ROUND(MAX($J3493*1.4*1.5*1.6*1.6,13100000*(1.429962^(MIN($E3493,123)-117)))*1,0))</f>
        <v>201062</v>
      </c>
      <c r="S3493" s="13">
        <f>$E3493+8</f>
        <v>109</v>
      </c>
      <c r="T3493" s="14">
        <f>IF($J3493=0,0,ROUND(MAX($J3493*1.4*1.5*1.6*1.6*2.2,42600000*(1.576904^(MIN($E3493,123)-117)))*1,0))</f>
        <v>442337</v>
      </c>
      <c r="U3493" s="11">
        <f>$E3493+11</f>
        <v>112</v>
      </c>
      <c r="V3493" s="12">
        <f>IF($J3493=0,0,ROUND(MAX($J3493*1.4*1.5*1.6*1.6*2.2*2.715,354000000*(1.642074^(MIN($E3493,123)-117)))*1,0))</f>
        <v>1200946</v>
      </c>
      <c r="W3493" s="13">
        <f>$E3493+15</f>
        <v>116</v>
      </c>
      <c r="X3493" s="14">
        <f>IF($J3493=0,0,ROUND(MAX($J3493*1.4*1.5*1.6*1.6*2.2*2.715*2.6,3540000000*(1.579646^(MIN($E3493,123)-117)))*1,0))</f>
        <v>3122459</v>
      </c>
      <c r="Y3493" s="11">
        <f>$E3493+17</f>
        <v>118</v>
      </c>
      <c r="Z3493" s="12">
        <f>IF($J3493=0,0,ROUND(MAX($J3493*1.4*1.5*1.6*1.6*2.2*2.715*2.6*1.4,6020000000*(1.651178^(MIN($E3493,123)-117)))*1,0))</f>
        <v>4371442</v>
      </c>
      <c r="AA3493" s="13">
        <f>$E3493+19</f>
        <v>120</v>
      </c>
      <c r="AB3493" s="14">
        <f>IF($J3493=0,0,ROUND(MAX($J3493*1.4*1.5*1.6*1.6*2.2*2.715*2.6*1.4*1.4,8430000000*(1.651435^(MIN($E3493,123)-117)))*1,0))</f>
        <v>6120019</v>
      </c>
      <c r="AC3493" s="11">
        <f>$E3493+21</f>
        <v>122</v>
      </c>
      <c r="AD3493" s="12">
        <f>IF($J3493=0,0,ROUND(MAX($J3493*1.4*1.5*1.6*1.6*2.2*2.715*2.6*1.4*1.4*1.5,12600000000*(1.652953^(MIN($E3493,123)-117)))*1,0))</f>
        <v>9180029</v>
      </c>
      <c r="AE3493" s="13">
        <f>$E3493+24</f>
        <v>125</v>
      </c>
      <c r="AF3493" s="14">
        <f>IF($J3493=0,0,ROUND(MAX($J3493*1.4*1.5*1.6*1.6*2.2*2.715*2.6*1.4*1.4*1.5*1.5,18900000000*(1.65331^(MIN($E3493,123)-117)))*1,0))</f>
        <v>13770044</v>
      </c>
      <c r="AG3493" s="11">
        <f>$E3493+27</f>
        <v>128</v>
      </c>
      <c r="AH3493" s="12">
        <f>IF($J3493=0,0,ROUND(MAX($J3493*1.4*1.5*1.6*1.6*2.2*2.715*2.6*1.4*1.4*1.5*1.5*3.2,60500000000*(1.654288^(MIN($E3493,123)-117)))*1,0))</f>
        <v>44064139</v>
      </c>
    </row>
    <row r="3494" ht="28" customHeight="1" spans="1:34" x14ac:dyDescent="0.25">
      <c r="A3494">
        <v>3504</v>
      </c>
      <c r="B3494" t="s">
        <v>691</v>
      </c>
      <c r="C3494" s="10" t="s">
        <v>1785</v>
      </c>
      <c r="D3494" t="s">
        <v>29</v>
      </c>
      <c r="E3494">
        <v>100</v>
      </c>
      <c r="F3494" t="s">
        <v>34</v>
      </c>
      <c r="G3494" t="s">
        <v>95</v>
      </c>
      <c r="H3494">
        <v>21</v>
      </c>
      <c r="I3494" s="11">
        <f>$E3494+0</f>
        <v>100</v>
      </c>
      <c r="J3494" s="12">
        <v>13100</v>
      </c>
      <c r="K3494" s="13">
        <f>$E3494+1</f>
        <v>101</v>
      </c>
      <c r="L3494" s="14">
        <f>IF($J3494=0,0,ROUND(MAX($J3494*1.4,1620000*(1.497923^(MIN($E3494,123)-117)))*1,0))</f>
        <v>18340</v>
      </c>
      <c r="M3494" s="11">
        <f>$E3494+2</f>
        <v>102</v>
      </c>
      <c r="N3494" s="12">
        <f>IF($J3494=0,0,ROUND(MAX($J3494*1.4*1.5,2190000*(1.580994^(MIN($E3494,123)-117)))*1,0))</f>
        <v>27510</v>
      </c>
      <c r="O3494" s="13">
        <f>$E3494+4</f>
        <v>104</v>
      </c>
      <c r="P3494" s="14">
        <f>IF($J3494=0,0,ROUND(MAX($J3494*1.4*1.5*1.6,3500000*(1.57975^(MIN($E3494,123)-117)))*1,0))</f>
        <v>44016</v>
      </c>
      <c r="Q3494" s="11">
        <f>$E3494+6</f>
        <v>106</v>
      </c>
      <c r="R3494" s="12">
        <f>IF($J3494=0,0,ROUND(MAX($J3494*1.4*1.5*1.6*1.6,13100000*(1.429962^(MIN($E3494,123)-117)))*1,0))</f>
        <v>70426</v>
      </c>
      <c r="S3494" s="13">
        <f>$E3494+8</f>
        <v>108</v>
      </c>
      <c r="T3494" s="14">
        <f>IF($J3494=0,0,ROUND(MAX($J3494*1.4*1.5*1.6*1.6*2.2,42600000*(1.576904^(MIN($E3494,123)-117)))*1,0))</f>
        <v>154936</v>
      </c>
      <c r="U3494" s="11">
        <f>$E3494+11</f>
        <v>111</v>
      </c>
      <c r="V3494" s="12">
        <f>IF($J3494=0,0,ROUND(MAX($J3494*1.4*1.5*1.6*1.6*2.2*2.715,354000000*(1.642074^(MIN($E3494,123)-117)))*1,0))</f>
        <v>420652</v>
      </c>
      <c r="W3494" s="13">
        <f>$E3494+15</f>
        <v>115</v>
      </c>
      <c r="X3494" s="14">
        <f>IF($J3494=0,0,ROUND(MAX($J3494*1.4*1.5*1.6*1.6*2.2*2.715*2.6,3540000000*(1.579646^(MIN($E3494,123)-117)))*1,0))</f>
        <v>1491033</v>
      </c>
      <c r="Y3494" s="11">
        <f>$E3494+17</f>
        <v>117</v>
      </c>
      <c r="Z3494" s="12">
        <f>IF($J3494=0,0,ROUND(MAX($J3494*1.4*1.5*1.6*1.6*2.2*2.715*2.6*1.4,6020000000*(1.651178^(MIN($E3494,123)-117)))*1,0))</f>
        <v>1531174</v>
      </c>
      <c r="AA3494" s="13">
        <f>$E3494+19</f>
        <v>119</v>
      </c>
      <c r="AB3494" s="14">
        <f>IF($J3494=0,0,ROUND(MAX($J3494*1.4*1.5*1.6*1.6*2.2*2.715*2.6*1.4*1.4,8430000000*(1.651435^(MIN($E3494,123)-117)))*1,0))</f>
        <v>2143643</v>
      </c>
      <c r="AC3494" s="11">
        <f>$E3494+21</f>
        <v>121</v>
      </c>
      <c r="AD3494" s="12">
        <f>IF($J3494=0,0,ROUND(MAX($J3494*1.4*1.5*1.6*1.6*2.2*2.715*2.6*1.4*1.4*1.5,12600000000*(1.652953^(MIN($E3494,123)-117)))*1,0))</f>
        <v>3215465</v>
      </c>
      <c r="AE3494" s="13">
        <f>$E3494+24</f>
        <v>124</v>
      </c>
      <c r="AF3494" s="14">
        <f>IF($J3494=0,0,ROUND(MAX($J3494*1.4*1.5*1.6*1.6*2.2*2.715*2.6*1.4*1.4*1.5*1.5,18900000000*(1.65331^(MIN($E3494,123)-117)))*1,0))</f>
        <v>4823197</v>
      </c>
      <c r="AG3494" s="11">
        <f>$E3494+27</f>
        <v>127</v>
      </c>
      <c r="AH3494" s="12">
        <f>IF($J3494=0,0,ROUND(MAX($J3494*1.4*1.5*1.6*1.6*2.2*2.715*2.6*1.4*1.4*1.5*1.5*3.2,60500000000*(1.654288^(MIN($E3494,123)-117)))*1,0))</f>
        <v>15434231</v>
      </c>
    </row>
    <row r="3495" ht="28" customHeight="1" spans="1:34" x14ac:dyDescent="0.25">
      <c r="A3495">
        <v>3505</v>
      </c>
      <c r="B3495" t="s">
        <v>1799</v>
      </c>
      <c r="C3495" s="10" t="s">
        <v>1785</v>
      </c>
      <c r="D3495" t="s">
        <v>90</v>
      </c>
      <c r="E3495">
        <v>100</v>
      </c>
      <c r="F3495" t="s">
        <v>400</v>
      </c>
      <c r="G3495" t="s">
        <v>1310</v>
      </c>
      <c r="H3495">
        <v>21</v>
      </c>
      <c r="I3495" s="11">
        <f>$E3495+0</f>
        <v>100</v>
      </c>
      <c r="J3495" s="12">
        <v>68800</v>
      </c>
      <c r="K3495" s="13">
        <f>$E3495+1</f>
        <v>101</v>
      </c>
      <c r="L3495" s="14">
        <f>IF($J3495=0,0,ROUND(MAX($J3495*1.4,1620000*(1.497923^(MIN($E3495,123)-117)))*1,0))</f>
        <v>96320</v>
      </c>
      <c r="M3495" s="11">
        <f>$E3495+2</f>
        <v>102</v>
      </c>
      <c r="N3495" s="12">
        <f>IF($J3495=0,0,ROUND(MAX($J3495*1.4*1.5,2190000*(1.580994^(MIN($E3495,123)-117)))*1,0))</f>
        <v>144480</v>
      </c>
      <c r="O3495" s="13">
        <f>$E3495+4</f>
        <v>104</v>
      </c>
      <c r="P3495" s="14">
        <f>IF($J3495=0,0,ROUND(MAX($J3495*1.4*1.5*1.6,3500000*(1.57975^(MIN($E3495,123)-117)))*1,0))</f>
        <v>231168</v>
      </c>
      <c r="Q3495" s="11">
        <f>$E3495+6</f>
        <v>106</v>
      </c>
      <c r="R3495" s="12">
        <f>IF($J3495=0,0,ROUND(MAX($J3495*1.4*1.5*1.6*1.6,13100000*(1.429962^(MIN($E3495,123)-117)))*1,0))</f>
        <v>369869</v>
      </c>
      <c r="S3495" s="13">
        <f>$E3495+8</f>
        <v>108</v>
      </c>
      <c r="T3495" s="14">
        <f>IF($J3495=0,0,ROUND(MAX($J3495*1.4*1.5*1.6*1.6*2.2,42600000*(1.576904^(MIN($E3495,123)-117)))*1,0))</f>
        <v>813711</v>
      </c>
      <c r="U3495" s="11">
        <f>$E3495+11</f>
        <v>111</v>
      </c>
      <c r="V3495" s="12">
        <f>IF($J3495=0,0,ROUND(MAX($J3495*1.4*1.5*1.6*1.6*2.2*2.715,354000000*(1.642074^(MIN($E3495,123)-117)))*1,0))</f>
        <v>2209226</v>
      </c>
      <c r="W3495" s="13">
        <f>$E3495+15</f>
        <v>115</v>
      </c>
      <c r="X3495" s="14">
        <f>IF($J3495=0,0,ROUND(MAX($J3495*1.4*1.5*1.6*1.6*2.2*2.715*2.6,3540000000*(1.579646^(MIN($E3495,123)-117)))*1,0))</f>
        <v>5743988</v>
      </c>
      <c r="Y3495" s="11">
        <f>$E3495+17</f>
        <v>117</v>
      </c>
      <c r="Z3495" s="12">
        <f>IF($J3495=0,0,ROUND(MAX($J3495*1.4*1.5*1.6*1.6*2.2*2.715*2.6*1.4,6020000000*(1.651178^(MIN($E3495,123)-117)))*1,0))</f>
        <v>8041584</v>
      </c>
      <c r="AA3495" s="13">
        <f>$E3495+19</f>
        <v>119</v>
      </c>
      <c r="AB3495" s="14">
        <f>IF($J3495=0,0,ROUND(MAX($J3495*1.4*1.5*1.6*1.6*2.2*2.715*2.6*1.4*1.4,8430000000*(1.651435^(MIN($E3495,123)-117)))*1,0))</f>
        <v>11258217</v>
      </c>
      <c r="AC3495" s="11">
        <f>$E3495+21</f>
        <v>121</v>
      </c>
      <c r="AD3495" s="12">
        <f>IF($J3495=0,0,ROUND(MAX($J3495*1.4*1.5*1.6*1.6*2.2*2.715*2.6*1.4*1.4*1.5,12600000000*(1.652953^(MIN($E3495,123)-117)))*1,0))</f>
        <v>16887326</v>
      </c>
      <c r="AE3495" s="13">
        <f>$E3495+24</f>
        <v>124</v>
      </c>
      <c r="AF3495" s="14">
        <f>IF($J3495=0,0,ROUND(MAX($J3495*1.4*1.5*1.6*1.6*2.2*2.715*2.6*1.4*1.4*1.5*1.5,18900000000*(1.65331^(MIN($E3495,123)-117)))*1,0))</f>
        <v>25330989</v>
      </c>
      <c r="AG3495" s="11">
        <f>$E3495+27</f>
        <v>127</v>
      </c>
      <c r="AH3495" s="12">
        <f>IF($J3495=0,0,ROUND(MAX($J3495*1.4*1.5*1.6*1.6*2.2*2.715*2.6*1.4*1.4*1.5*1.5*3.2,60500000000*(1.654288^(MIN($E3495,123)-117)))*1,0))</f>
        <v>81059166</v>
      </c>
    </row>
    <row r="3496" ht="28" customHeight="1" spans="1:34" x14ac:dyDescent="0.25">
      <c r="A3496">
        <v>3506</v>
      </c>
      <c r="B3496" t="s">
        <v>585</v>
      </c>
      <c r="C3496" s="10" t="s">
        <v>1785</v>
      </c>
      <c r="D3496" t="s">
        <v>25</v>
      </c>
      <c r="E3496">
        <v>100</v>
      </c>
      <c r="F3496" t="s">
        <v>56</v>
      </c>
      <c r="G3496" t="s">
        <v>586</v>
      </c>
      <c r="H3496">
        <v>21</v>
      </c>
      <c r="I3496" s="11">
        <f>$E3496+0</f>
        <v>100</v>
      </c>
      <c r="J3496" s="12">
        <v>58100</v>
      </c>
      <c r="K3496" s="13">
        <f>$E3496+1</f>
        <v>101</v>
      </c>
      <c r="L3496" s="14">
        <f>IF($J3496=0,0,ROUND(MAX($J3496*1.4,1620000*(1.497923^(MIN($E3496,123)-117)))*1,0))</f>
        <v>81340</v>
      </c>
      <c r="M3496" s="11">
        <f>$E3496+2</f>
        <v>102</v>
      </c>
      <c r="N3496" s="12">
        <f>IF($J3496=0,0,ROUND(MAX($J3496*1.4*1.5,2190000*(1.580994^(MIN($E3496,123)-117)))*1,0))</f>
        <v>122010</v>
      </c>
      <c r="O3496" s="13">
        <f>$E3496+4</f>
        <v>104</v>
      </c>
      <c r="P3496" s="14">
        <f>IF($J3496=0,0,ROUND(MAX($J3496*1.4*1.5*1.6,3500000*(1.57975^(MIN($E3496,123)-117)))*1,0))</f>
        <v>195216</v>
      </c>
      <c r="Q3496" s="11">
        <f>$E3496+6</f>
        <v>106</v>
      </c>
      <c r="R3496" s="12">
        <f>IF($J3496=0,0,ROUND(MAX($J3496*1.4*1.5*1.6*1.6,13100000*(1.429962^(MIN($E3496,123)-117)))*1,0))</f>
        <v>312346</v>
      </c>
      <c r="S3496" s="13">
        <f>$E3496+8</f>
        <v>108</v>
      </c>
      <c r="T3496" s="14">
        <f>IF($J3496=0,0,ROUND(MAX($J3496*1.4*1.5*1.6*1.6*2.2,42600000*(1.576904^(MIN($E3496,123)-117)))*1,0))</f>
        <v>687160</v>
      </c>
      <c r="U3496" s="11">
        <f>$E3496+11</f>
        <v>111</v>
      </c>
      <c r="V3496" s="12">
        <f>IF($J3496=0,0,ROUND(MAX($J3496*1.4*1.5*1.6*1.6*2.2*2.715,354000000*(1.642074^(MIN($E3496,123)-117)))*1,0))</f>
        <v>1865640</v>
      </c>
      <c r="W3496" s="13">
        <f>$E3496+15</f>
        <v>115</v>
      </c>
      <c r="X3496" s="14">
        <f>IF($J3496=0,0,ROUND(MAX($J3496*1.4*1.5*1.6*1.6*2.2*2.715*2.6,3540000000*(1.579646^(MIN($E3496,123)-117)))*1,0))</f>
        <v>4850665</v>
      </c>
      <c r="Y3496" s="11">
        <f>$E3496+17</f>
        <v>117</v>
      </c>
      <c r="Z3496" s="12">
        <f>IF($J3496=0,0,ROUND(MAX($J3496*1.4*1.5*1.6*1.6*2.2*2.715*2.6*1.4,6020000000*(1.651178^(MIN($E3496,123)-117)))*1,0))</f>
        <v>6790931</v>
      </c>
      <c r="AA3496" s="13">
        <f>$E3496+19</f>
        <v>119</v>
      </c>
      <c r="AB3496" s="14">
        <f>IF($J3496=0,0,ROUND(MAX($J3496*1.4*1.5*1.6*1.6*2.2*2.715*2.6*1.4*1.4,8430000000*(1.651435^(MIN($E3496,123)-117)))*1,0))</f>
        <v>9507303</v>
      </c>
      <c r="AC3496" s="11">
        <f>$E3496+21</f>
        <v>121</v>
      </c>
      <c r="AD3496" s="12">
        <f>IF($J3496=0,0,ROUND(MAX($J3496*1.4*1.5*1.6*1.6*2.2*2.715*2.6*1.4*1.4*1.5,12600000000*(1.652953^(MIN($E3496,123)-117)))*1,0))</f>
        <v>14260954</v>
      </c>
      <c r="AE3496" s="13">
        <f>$E3496+24</f>
        <v>124</v>
      </c>
      <c r="AF3496" s="14">
        <f>IF($J3496=0,0,ROUND(MAX($J3496*1.4*1.5*1.6*1.6*2.2*2.715*2.6*1.4*1.4*1.5*1.5,18900000000*(1.65331^(MIN($E3496,123)-117)))*1,0))</f>
        <v>21391431</v>
      </c>
      <c r="AG3496" s="11">
        <f>$E3496+27</f>
        <v>127</v>
      </c>
      <c r="AH3496" s="12">
        <f>IF($J3496=0,0,ROUND(MAX($J3496*1.4*1.5*1.6*1.6*2.2*2.715*2.6*1.4*1.4*1.5*1.5*3.2,60500000000*(1.654288^(MIN($E3496,123)-117)))*1,0))</f>
        <v>68452580</v>
      </c>
    </row>
    <row r="3497" ht="28" customHeight="1" spans="1:34" x14ac:dyDescent="0.25">
      <c r="A3497">
        <v>3507</v>
      </c>
      <c r="B3497" t="s">
        <v>1800</v>
      </c>
      <c r="C3497" s="10" t="s">
        <v>1785</v>
      </c>
      <c r="D3497" t="s">
        <v>33</v>
      </c>
      <c r="E3497">
        <v>100</v>
      </c>
      <c r="F3497" t="s">
        <v>146</v>
      </c>
      <c r="G3497" t="s">
        <v>1339</v>
      </c>
      <c r="H3497">
        <v>21</v>
      </c>
      <c r="I3497" s="11">
        <f>$E3497+0</f>
        <v>100</v>
      </c>
      <c r="J3497" s="12">
        <v>95600</v>
      </c>
      <c r="K3497" s="13">
        <f>$E3497+1</f>
        <v>101</v>
      </c>
      <c r="L3497" s="14">
        <f>IF($J3497=0,0,ROUND(MAX($J3497*1.4,1620000*(1.497923^(MIN($E3497,123)-117)))*1,0))</f>
        <v>133840</v>
      </c>
      <c r="M3497" s="11">
        <f>$E3497+2</f>
        <v>102</v>
      </c>
      <c r="N3497" s="12">
        <f>IF($J3497=0,0,ROUND(MAX($J3497*1.4*1.5,2190000*(1.580994^(MIN($E3497,123)-117)))*1,0))</f>
        <v>200760</v>
      </c>
      <c r="O3497" s="13">
        <f>$E3497+4</f>
        <v>104</v>
      </c>
      <c r="P3497" s="14">
        <f>IF($J3497=0,0,ROUND(MAX($J3497*1.4*1.5*1.6,3500000*(1.57975^(MIN($E3497,123)-117)))*1,0))</f>
        <v>321216</v>
      </c>
      <c r="Q3497" s="11">
        <f>$E3497+6</f>
        <v>106</v>
      </c>
      <c r="R3497" s="12">
        <f>IF($J3497=0,0,ROUND(MAX($J3497*1.4*1.5*1.6*1.6,13100000*(1.429962^(MIN($E3497,123)-117)))*1,0))</f>
        <v>513946</v>
      </c>
      <c r="S3497" s="13">
        <f>$E3497+8</f>
        <v>108</v>
      </c>
      <c r="T3497" s="14">
        <f>IF($J3497=0,0,ROUND(MAX($J3497*1.4*1.5*1.6*1.6*2.2,42600000*(1.576904^(MIN($E3497,123)-117)))*1,0))</f>
        <v>1130680</v>
      </c>
      <c r="U3497" s="11">
        <f>$E3497+11</f>
        <v>111</v>
      </c>
      <c r="V3497" s="12">
        <f>IF($J3497=0,0,ROUND(MAX($J3497*1.4*1.5*1.6*1.6*2.2*2.715,354000000*(1.642074^(MIN($E3497,123)-117)))*1,0))</f>
        <v>3069797</v>
      </c>
      <c r="W3497" s="13">
        <f>$E3497+15</f>
        <v>115</v>
      </c>
      <c r="X3497" s="14">
        <f>IF($J3497=0,0,ROUND(MAX($J3497*1.4*1.5*1.6*1.6*2.2*2.715*2.6,3540000000*(1.579646^(MIN($E3497,123)-117)))*1,0))</f>
        <v>7981472</v>
      </c>
      <c r="Y3497" s="11">
        <f>$E3497+17</f>
        <v>117</v>
      </c>
      <c r="Z3497" s="12">
        <f>IF($J3497=0,0,ROUND(MAX($J3497*1.4*1.5*1.6*1.6*2.2*2.715*2.6*1.4,6020000000*(1.651178^(MIN($E3497,123)-117)))*1,0))</f>
        <v>11174061</v>
      </c>
      <c r="AA3497" s="13">
        <f>$E3497+19</f>
        <v>119</v>
      </c>
      <c r="AB3497" s="14">
        <f>IF($J3497=0,0,ROUND(MAX($J3497*1.4*1.5*1.6*1.6*2.2*2.715*2.6*1.4*1.4,8430000000*(1.651435^(MIN($E3497,123)-117)))*1,0))</f>
        <v>15643686</v>
      </c>
      <c r="AC3497" s="11">
        <f>$E3497+21</f>
        <v>121</v>
      </c>
      <c r="AD3497" s="12">
        <f>IF($J3497=0,0,ROUND(MAX($J3497*1.4*1.5*1.6*1.6*2.2*2.715*2.6*1.4*1.4*1.5,12600000000*(1.652953^(MIN($E3497,123)-117)))*1,0))</f>
        <v>23465529</v>
      </c>
      <c r="AE3497" s="13">
        <f>$E3497+24</f>
        <v>124</v>
      </c>
      <c r="AF3497" s="14">
        <f>IF($J3497=0,0,ROUND(MAX($J3497*1.4*1.5*1.6*1.6*2.2*2.715*2.6*1.4*1.4*1.5*1.5,18900000000*(1.65331^(MIN($E3497,123)-117)))*1,0))</f>
        <v>35198293</v>
      </c>
      <c r="AG3497" s="11">
        <f>$E3497+27</f>
        <v>127</v>
      </c>
      <c r="AH3497" s="12">
        <f>IF($J3497=0,0,ROUND(MAX($J3497*1.4*1.5*1.6*1.6*2.2*2.715*2.6*1.4*1.4*1.5*1.5*3.2,60500000000*(1.654288^(MIN($E3497,123)-117)))*1,0))</f>
        <v>112634538</v>
      </c>
    </row>
    <row r="3498" ht="28" customHeight="1" spans="1:34" x14ac:dyDescent="0.25">
      <c r="A3498">
        <v>3508</v>
      </c>
      <c r="B3498" t="s">
        <v>1458</v>
      </c>
      <c r="C3498" s="10" t="s">
        <v>1785</v>
      </c>
      <c r="D3498" t="s">
        <v>45</v>
      </c>
      <c r="E3498">
        <v>100</v>
      </c>
      <c r="F3498" t="s">
        <v>298</v>
      </c>
      <c r="G3498" t="s">
        <v>565</v>
      </c>
      <c r="H3498">
        <v>21</v>
      </c>
      <c r="I3498" s="11">
        <f>$E3498+0</f>
        <v>100</v>
      </c>
      <c r="J3498" s="12">
        <v>35500</v>
      </c>
      <c r="K3498" s="13">
        <f>$E3498+1</f>
        <v>101</v>
      </c>
      <c r="L3498" s="14">
        <f>IF($J3498=0,0,ROUND(MAX($J3498*1.4,1620000*(1.497923^(MIN($E3498,123)-117)))*1,0))</f>
        <v>49700</v>
      </c>
      <c r="M3498" s="11">
        <f>$E3498+2</f>
        <v>102</v>
      </c>
      <c r="N3498" s="12">
        <f>IF($J3498=0,0,ROUND(MAX($J3498*1.4*1.5,2190000*(1.580994^(MIN($E3498,123)-117)))*1,0))</f>
        <v>74550</v>
      </c>
      <c r="O3498" s="13">
        <f>$E3498+4</f>
        <v>104</v>
      </c>
      <c r="P3498" s="14">
        <f>IF($J3498=0,0,ROUND(MAX($J3498*1.4*1.5*1.6,3500000*(1.57975^(MIN($E3498,123)-117)))*1,0))</f>
        <v>119280</v>
      </c>
      <c r="Q3498" s="11">
        <f>$E3498+6</f>
        <v>106</v>
      </c>
      <c r="R3498" s="12">
        <f>IF($J3498=0,0,ROUND(MAX($J3498*1.4*1.5*1.6*1.6,13100000*(1.429962^(MIN($E3498,123)-117)))*1,0))</f>
        <v>190848</v>
      </c>
      <c r="S3498" s="13">
        <f>$E3498+8</f>
        <v>108</v>
      </c>
      <c r="T3498" s="14">
        <f>IF($J3498=0,0,ROUND(MAX($J3498*1.4*1.5*1.6*1.6*2.2,42600000*(1.576904^(MIN($E3498,123)-117)))*1,0))</f>
        <v>419866</v>
      </c>
      <c r="U3498" s="11">
        <f>$E3498+11</f>
        <v>111</v>
      </c>
      <c r="V3498" s="12">
        <f>IF($J3498=0,0,ROUND(MAX($J3498*1.4*1.5*1.6*1.6*2.2*2.715,354000000*(1.642074^(MIN($E3498,123)-117)))*1,0))</f>
        <v>1139935</v>
      </c>
      <c r="W3498" s="13">
        <f>$E3498+15</f>
        <v>115</v>
      </c>
      <c r="X3498" s="14">
        <f>IF($J3498=0,0,ROUND(MAX($J3498*1.4*1.5*1.6*1.6*2.2*2.715*2.6,3540000000*(1.579646^(MIN($E3498,123)-117)))*1,0))</f>
        <v>2963831</v>
      </c>
      <c r="Y3498" s="11">
        <f>$E3498+17</f>
        <v>117</v>
      </c>
      <c r="Z3498" s="12">
        <f>IF($J3498=0,0,ROUND(MAX($J3498*1.4*1.5*1.6*1.6*2.2*2.715*2.6*1.4,6020000000*(1.651178^(MIN($E3498,123)-117)))*1,0))</f>
        <v>4149364</v>
      </c>
      <c r="AA3498" s="13">
        <f>$E3498+19</f>
        <v>119</v>
      </c>
      <c r="AB3498" s="14">
        <f>IF($J3498=0,0,ROUND(MAX($J3498*1.4*1.5*1.6*1.6*2.2*2.715*2.6*1.4*1.4,8430000000*(1.651435^(MIN($E3498,123)-117)))*1,0))</f>
        <v>5809109</v>
      </c>
      <c r="AC3498" s="11">
        <f>$E3498+21</f>
        <v>121</v>
      </c>
      <c r="AD3498" s="12">
        <f>IF($J3498=0,0,ROUND(MAX($J3498*1.4*1.5*1.6*1.6*2.2*2.715*2.6*1.4*1.4*1.5,12600000000*(1.652953^(MIN($E3498,123)-117)))*1,0))</f>
        <v>8713664</v>
      </c>
      <c r="AE3498" s="13">
        <f>$E3498+24</f>
        <v>124</v>
      </c>
      <c r="AF3498" s="14">
        <f>IF($J3498=0,0,ROUND(MAX($J3498*1.4*1.5*1.6*1.6*2.2*2.715*2.6*1.4*1.4*1.5*1.5,18900000000*(1.65331^(MIN($E3498,123)-117)))*1,0))</f>
        <v>13070496</v>
      </c>
      <c r="AG3498" s="11">
        <f>$E3498+27</f>
        <v>127</v>
      </c>
      <c r="AH3498" s="12">
        <f>IF($J3498=0,0,ROUND(MAX($J3498*1.4*1.5*1.6*1.6*2.2*2.715*2.6*1.4*1.4*1.5*1.5*3.2,60500000000*(1.654288^(MIN($E3498,123)-117)))*1,0))</f>
        <v>41825587</v>
      </c>
    </row>
    <row r="3499" ht="28" customHeight="1" spans="1:34" x14ac:dyDescent="0.25">
      <c r="A3499">
        <v>3509</v>
      </c>
      <c r="B3499" t="s">
        <v>1121</v>
      </c>
      <c r="C3499" s="10" t="s">
        <v>1785</v>
      </c>
      <c r="D3499" t="s">
        <v>25</v>
      </c>
      <c r="E3499">
        <v>100</v>
      </c>
      <c r="F3499" t="s">
        <v>54</v>
      </c>
      <c r="G3499" t="s">
        <v>206</v>
      </c>
      <c r="H3499">
        <v>21</v>
      </c>
      <c r="I3499" s="11">
        <f>$E3499+0</f>
        <v>100</v>
      </c>
      <c r="J3499" s="12">
        <v>47100</v>
      </c>
      <c r="K3499" s="13">
        <f>$E3499+1</f>
        <v>101</v>
      </c>
      <c r="L3499" s="14">
        <f>IF($J3499=0,0,ROUND(MAX($J3499*1.4,1620000*(1.497923^(MIN($E3499,123)-117)))*1,0))</f>
        <v>65940</v>
      </c>
      <c r="M3499" s="11">
        <f>$E3499+2</f>
        <v>102</v>
      </c>
      <c r="N3499" s="12">
        <f>IF($J3499=0,0,ROUND(MAX($J3499*1.4*1.5,2190000*(1.580994^(MIN($E3499,123)-117)))*1,0))</f>
        <v>98910</v>
      </c>
      <c r="O3499" s="13">
        <f>$E3499+4</f>
        <v>104</v>
      </c>
      <c r="P3499" s="14">
        <f>IF($J3499=0,0,ROUND(MAX($J3499*1.4*1.5*1.6,3500000*(1.57975^(MIN($E3499,123)-117)))*1,0))</f>
        <v>158256</v>
      </c>
      <c r="Q3499" s="11">
        <f>$E3499+6</f>
        <v>106</v>
      </c>
      <c r="R3499" s="12">
        <f>IF($J3499=0,0,ROUND(MAX($J3499*1.4*1.5*1.6*1.6,13100000*(1.429962^(MIN($E3499,123)-117)))*1,0))</f>
        <v>253210</v>
      </c>
      <c r="S3499" s="13">
        <f>$E3499+8</f>
        <v>108</v>
      </c>
      <c r="T3499" s="14">
        <f>IF($J3499=0,0,ROUND(MAX($J3499*1.4*1.5*1.6*1.6*2.2,42600000*(1.576904^(MIN($E3499,123)-117)))*1,0))</f>
        <v>557061</v>
      </c>
      <c r="U3499" s="11">
        <f>$E3499+11</f>
        <v>111</v>
      </c>
      <c r="V3499" s="12">
        <f>IF($J3499=0,0,ROUND(MAX($J3499*1.4*1.5*1.6*1.6*2.2*2.715,354000000*(1.642074^(MIN($E3499,123)-117)))*1,0))</f>
        <v>1512421</v>
      </c>
      <c r="W3499" s="13">
        <f>$E3499+15</f>
        <v>115</v>
      </c>
      <c r="X3499" s="14">
        <f>IF($J3499=0,0,ROUND(MAX($J3499*1.4*1.5*1.6*1.6*2.2*2.715*2.6,3540000000*(1.579646^(MIN($E3499,123)-117)))*1,0))</f>
        <v>3932294</v>
      </c>
      <c r="Y3499" s="11">
        <f>$E3499+17</f>
        <v>117</v>
      </c>
      <c r="Z3499" s="12">
        <f>IF($J3499=0,0,ROUND(MAX($J3499*1.4*1.5*1.6*1.6*2.2*2.715*2.6*1.4,6020000000*(1.651178^(MIN($E3499,123)-117)))*1,0))</f>
        <v>5505212</v>
      </c>
      <c r="AA3499" s="13">
        <f>$E3499+19</f>
        <v>119</v>
      </c>
      <c r="AB3499" s="14">
        <f>IF($J3499=0,0,ROUND(MAX($J3499*1.4*1.5*1.6*1.6*2.2*2.715*2.6*1.4*1.4,8430000000*(1.651435^(MIN($E3499,123)-117)))*1,0))</f>
        <v>7707297</v>
      </c>
      <c r="AC3499" s="11">
        <f>$E3499+21</f>
        <v>121</v>
      </c>
      <c r="AD3499" s="12">
        <f>IF($J3499=0,0,ROUND(MAX($J3499*1.4*1.5*1.6*1.6*2.2*2.715*2.6*1.4*1.4*1.5,12600000000*(1.652953^(MIN($E3499,123)-117)))*1,0))</f>
        <v>11560946</v>
      </c>
      <c r="AE3499" s="13">
        <f>$E3499+24</f>
        <v>124</v>
      </c>
      <c r="AF3499" s="14">
        <f>IF($J3499=0,0,ROUND(MAX($J3499*1.4*1.5*1.6*1.6*2.2*2.715*2.6*1.4*1.4*1.5*1.5,18900000000*(1.65331^(MIN($E3499,123)-117)))*1,0))</f>
        <v>17341419</v>
      </c>
      <c r="AG3499" s="11">
        <f>$E3499+27</f>
        <v>127</v>
      </c>
      <c r="AH3499" s="12">
        <f>IF($J3499=0,0,ROUND(MAX($J3499*1.4*1.5*1.6*1.6*2.2*2.715*2.6*1.4*1.4*1.5*1.5*3.2,60500000000*(1.654288^(MIN($E3499,123)-117)))*1,0))</f>
        <v>55492539</v>
      </c>
    </row>
    <row r="3500" ht="28" customHeight="1" spans="1:34" x14ac:dyDescent="0.25">
      <c r="A3500">
        <v>3510</v>
      </c>
      <c r="B3500" t="s">
        <v>1131</v>
      </c>
      <c r="C3500" s="10" t="s">
        <v>1785</v>
      </c>
      <c r="D3500" t="s">
        <v>33</v>
      </c>
      <c r="E3500">
        <v>100</v>
      </c>
      <c r="F3500" t="s">
        <v>310</v>
      </c>
      <c r="G3500" t="s">
        <v>562</v>
      </c>
      <c r="H3500">
        <v>21</v>
      </c>
      <c r="I3500" s="11">
        <f>$E3500+0</f>
        <v>100</v>
      </c>
      <c r="J3500" s="12">
        <v>237000</v>
      </c>
      <c r="K3500" s="13">
        <f>$E3500+1</f>
        <v>101</v>
      </c>
      <c r="L3500" s="14">
        <f>IF($J3500=0,0,ROUND(MAX($J3500*1.4,1620000*(1.497923^(MIN($E3500,123)-117)))*1,0))</f>
        <v>331800</v>
      </c>
      <c r="M3500" s="11">
        <f>$E3500+2</f>
        <v>102</v>
      </c>
      <c r="N3500" s="12">
        <f>IF($J3500=0,0,ROUND(MAX($J3500*1.4*1.5,2190000*(1.580994^(MIN($E3500,123)-117)))*1,0))</f>
        <v>497700</v>
      </c>
      <c r="O3500" s="13">
        <f>$E3500+4</f>
        <v>104</v>
      </c>
      <c r="P3500" s="14">
        <f>IF($J3500=0,0,ROUND(MAX($J3500*1.4*1.5*1.6,3500000*(1.57975^(MIN($E3500,123)-117)))*1,0))</f>
        <v>796320</v>
      </c>
      <c r="Q3500" s="11">
        <f>$E3500+6</f>
        <v>106</v>
      </c>
      <c r="R3500" s="12">
        <f>IF($J3500=0,0,ROUND(MAX($J3500*1.4*1.5*1.6*1.6,13100000*(1.429962^(MIN($E3500,123)-117)))*1,0))</f>
        <v>1274112</v>
      </c>
      <c r="S3500" s="13">
        <f>$E3500+8</f>
        <v>108</v>
      </c>
      <c r="T3500" s="14">
        <f>IF($J3500=0,0,ROUND(MAX($J3500*1.4*1.5*1.6*1.6*2.2,42600000*(1.576904^(MIN($E3500,123)-117)))*1,0))</f>
        <v>2803046</v>
      </c>
      <c r="U3500" s="11">
        <f>$E3500+11</f>
        <v>111</v>
      </c>
      <c r="V3500" s="12">
        <f>IF($J3500=0,0,ROUND(MAX($J3500*1.4*1.5*1.6*1.6*2.2*2.715,354000000*(1.642074^(MIN($E3500,123)-117)))*1,0))</f>
        <v>7610271</v>
      </c>
      <c r="W3500" s="13">
        <f>$E3500+15</f>
        <v>115</v>
      </c>
      <c r="X3500" s="14">
        <f>IF($J3500=0,0,ROUND(MAX($J3500*1.4*1.5*1.6*1.6*2.2*2.715*2.6,3540000000*(1.579646^(MIN($E3500,123)-117)))*1,0))</f>
        <v>19786705</v>
      </c>
      <c r="Y3500" s="11">
        <f>$E3500+17</f>
        <v>117</v>
      </c>
      <c r="Z3500" s="12">
        <f>IF($J3500=0,0,ROUND(MAX($J3500*1.4*1.5*1.6*1.6*2.2*2.715*2.6*1.4,6020000000*(1.651178^(MIN($E3500,123)-117)))*1,0))</f>
        <v>27701386</v>
      </c>
      <c r="AA3500" s="13">
        <f>$E3500+19</f>
        <v>119</v>
      </c>
      <c r="AB3500" s="14">
        <f>IF($J3500=0,0,ROUND(MAX($J3500*1.4*1.5*1.6*1.6*2.2*2.715*2.6*1.4*1.4,8430000000*(1.651435^(MIN($E3500,123)-117)))*1,0))</f>
        <v>38781941</v>
      </c>
      <c r="AC3500" s="11">
        <f>$E3500+21</f>
        <v>121</v>
      </c>
      <c r="AD3500" s="12">
        <f>IF($J3500=0,0,ROUND(MAX($J3500*1.4*1.5*1.6*1.6*2.2*2.715*2.6*1.4*1.4*1.5,12600000000*(1.652953^(MIN($E3500,123)-117)))*1,0))</f>
        <v>58172911</v>
      </c>
      <c r="AE3500" s="13">
        <f>$E3500+24</f>
        <v>124</v>
      </c>
      <c r="AF3500" s="14">
        <f>IF($J3500=0,0,ROUND(MAX($J3500*1.4*1.5*1.6*1.6*2.2*2.715*2.6*1.4*1.4*1.5*1.5,18900000000*(1.65331^(MIN($E3500,123)-117)))*1,0))</f>
        <v>87259367</v>
      </c>
      <c r="AG3500" s="11">
        <f>$E3500+27</f>
        <v>127</v>
      </c>
      <c r="AH3500" s="12">
        <f>IF($J3500=0,0,ROUND(MAX($J3500*1.4*1.5*1.6*1.6*2.2*2.715*2.6*1.4*1.4*1.5*1.5*3.2,60500000000*(1.654288^(MIN($E3500,123)-117)))*1,0))</f>
        <v>279229974</v>
      </c>
    </row>
    <row r="3501" ht="28" customHeight="1" spans="1:34" x14ac:dyDescent="0.25">
      <c r="A3501">
        <v>3511</v>
      </c>
      <c r="B3501" t="s">
        <v>1801</v>
      </c>
      <c r="C3501" s="10" t="s">
        <v>1785</v>
      </c>
      <c r="D3501" t="s">
        <v>102</v>
      </c>
      <c r="E3501">
        <v>100</v>
      </c>
      <c r="F3501" t="s">
        <v>144</v>
      </c>
      <c r="G3501" t="s">
        <v>1802</v>
      </c>
      <c r="H3501">
        <v>20</v>
      </c>
      <c r="I3501" s="11">
        <f>$E3501+0</f>
        <v>100</v>
      </c>
      <c r="J3501" s="12">
        <v>8190</v>
      </c>
      <c r="K3501" s="13">
        <f>$E3501+1</f>
        <v>101</v>
      </c>
      <c r="L3501" s="14">
        <f>IF($J3501=0,0,ROUND(MAX($J3501*1.4,1620000*(1.497923^(MIN($E3501,123)-117)))*1,0))</f>
        <v>11466</v>
      </c>
      <c r="M3501" s="11">
        <f>$E3501+2</f>
        <v>102</v>
      </c>
      <c r="N3501" s="12">
        <f>IF($J3501=0,0,ROUND(MAX($J3501*1.4*1.5,2190000*(1.580994^(MIN($E3501,123)-117)))*1,0))</f>
        <v>17199</v>
      </c>
      <c r="O3501" s="13">
        <f>$E3501+4</f>
        <v>104</v>
      </c>
      <c r="P3501" s="14">
        <f>IF($J3501=0,0,ROUND(MAX($J3501*1.4*1.5*1.6,3500000*(1.57975^(MIN($E3501,123)-117)))*1,0))</f>
        <v>27518</v>
      </c>
      <c r="Q3501" s="11">
        <f>$E3501+6</f>
        <v>106</v>
      </c>
      <c r="R3501" s="12">
        <f>IF($J3501=0,0,ROUND(MAX($J3501*1.4*1.5*1.6*1.6,13100000*(1.429962^(MIN($E3501,123)-117)))*1,0))</f>
        <v>44029</v>
      </c>
      <c r="S3501" s="13">
        <f>$E3501+8</f>
        <v>108</v>
      </c>
      <c r="T3501" s="14">
        <f>IF($J3501=0,0,ROUND(MAX($J3501*1.4*1.5*1.6*1.6*2.2,42600000*(1.576904^(MIN($E3501,123)-117)))*1,0))</f>
        <v>96865</v>
      </c>
      <c r="U3501" s="11">
        <f>$E3501+11</f>
        <v>111</v>
      </c>
      <c r="V3501" s="12">
        <f>IF($J3501=0,0,ROUND(MAX($J3501*1.4*1.5*1.6*1.6*2.2*2.715,354000000*(1.642074^(MIN($E3501,123)-117)))*1,0))</f>
        <v>262988</v>
      </c>
      <c r="W3501" s="13">
        <f>$E3501+15</f>
        <v>115</v>
      </c>
      <c r="X3501" s="14">
        <f>IF($J3501=0,0,ROUND(MAX($J3501*1.4*1.5*1.6*1.6*2.2*2.715*2.6,3540000000*(1.579646^(MIN($E3501,123)-117)))*1,0))</f>
        <v>1491033</v>
      </c>
      <c r="Y3501" s="11">
        <f>$E3501+17</f>
        <v>117</v>
      </c>
      <c r="Z3501" s="12">
        <f>IF($J3501=0,0,ROUND(MAX($J3501*1.4*1.5*1.6*1.6*2.2*2.715*2.6*1.4,6020000000*(1.651178^(MIN($E3501,123)-117)))*1,0))</f>
        <v>1194264</v>
      </c>
      <c r="AA3501" s="13">
        <f>$E3501+19</f>
        <v>119</v>
      </c>
      <c r="AB3501" s="14">
        <f>IF($J3501=0,0,ROUND(MAX($J3501*1.4*1.5*1.6*1.6*2.2*2.715*2.6*1.4*1.4,8430000000*(1.651435^(MIN($E3501,123)-117)))*1,0))</f>
        <v>1667947</v>
      </c>
      <c r="AC3501" s="11">
        <f>$E3501+21</f>
        <v>121</v>
      </c>
      <c r="AD3501" s="12">
        <f>IF($J3501=0,0,ROUND(MAX($J3501*1.4*1.5*1.6*1.6*2.2*2.715*2.6*1.4*1.4*1.5,12600000000*(1.652953^(MIN($E3501,123)-117)))*1,0))</f>
        <v>2454381</v>
      </c>
      <c r="AE3501" s="13">
        <f>$E3501+24</f>
        <v>124</v>
      </c>
      <c r="AF3501" s="14">
        <f>IF($J3501=0,0,ROUND(MAX($J3501*1.4*1.5*1.6*1.6*2.2*2.715*2.6*1.4*1.4*1.5*1.5,18900000000*(1.65331^(MIN($E3501,123)-117)))*1,0))</f>
        <v>3668080</v>
      </c>
      <c r="AG3501" s="11">
        <f>$E3501+27</f>
        <v>127</v>
      </c>
      <c r="AH3501" s="12">
        <f>IF($J3501=0,0,ROUND(MAX($J3501*1.4*1.5*1.6*1.6*2.2*2.715*2.6*1.4*1.4*1.5*1.5*3.2,60500000000*(1.654288^(MIN($E3501,123)-117)))*1,0))</f>
        <v>11624288</v>
      </c>
    </row>
    <row r="3502" ht="28" customHeight="1" spans="1:34" x14ac:dyDescent="0.25">
      <c r="A3502">
        <v>3512</v>
      </c>
      <c r="B3502" t="s">
        <v>1636</v>
      </c>
      <c r="C3502" s="10" t="s">
        <v>1785</v>
      </c>
      <c r="D3502" t="s">
        <v>33</v>
      </c>
      <c r="E3502">
        <v>100</v>
      </c>
      <c r="F3502" t="s">
        <v>71</v>
      </c>
      <c r="G3502" t="s">
        <v>832</v>
      </c>
      <c r="H3502">
        <v>20</v>
      </c>
      <c r="I3502" s="11">
        <f>$E3502+0</f>
        <v>100</v>
      </c>
      <c r="J3502" s="12">
        <v>7310</v>
      </c>
      <c r="K3502" s="13">
        <f>$E3502+1</f>
        <v>101</v>
      </c>
      <c r="L3502" s="14">
        <f>IF($J3502=0,0,ROUND(MAX($J3502*1.4,1620000*(1.497923^(MIN($E3502,123)-117)))*1,0))</f>
        <v>10234</v>
      </c>
      <c r="M3502" s="11">
        <f>$E3502+2</f>
        <v>102</v>
      </c>
      <c r="N3502" s="12">
        <f>IF($J3502=0,0,ROUND(MAX($J3502*1.4*1.5,2190000*(1.580994^(MIN($E3502,123)-117)))*1,0))</f>
        <v>15351</v>
      </c>
      <c r="O3502" s="13">
        <f>$E3502+4</f>
        <v>104</v>
      </c>
      <c r="P3502" s="14">
        <f>IF($J3502=0,0,ROUND(MAX($J3502*1.4*1.5*1.6,3500000*(1.57975^(MIN($E3502,123)-117)))*1,0))</f>
        <v>24562</v>
      </c>
      <c r="Q3502" s="11">
        <f>$E3502+6</f>
        <v>106</v>
      </c>
      <c r="R3502" s="12">
        <f>IF($J3502=0,0,ROUND(MAX($J3502*1.4*1.5*1.6*1.6,13100000*(1.429962^(MIN($E3502,123)-117)))*1,0))</f>
        <v>39299</v>
      </c>
      <c r="S3502" s="13">
        <f>$E3502+8</f>
        <v>108</v>
      </c>
      <c r="T3502" s="14">
        <f>IF($J3502=0,0,ROUND(MAX($J3502*1.4*1.5*1.6*1.6*2.2,42600000*(1.576904^(MIN($E3502,123)-117)))*1,0))</f>
        <v>86457</v>
      </c>
      <c r="U3502" s="11">
        <f>$E3502+11</f>
        <v>111</v>
      </c>
      <c r="V3502" s="12">
        <f>IF($J3502=0,0,ROUND(MAX($J3502*1.4*1.5*1.6*1.6*2.2*2.715,354000000*(1.642074^(MIN($E3502,123)-117)))*1,0))</f>
        <v>234730</v>
      </c>
      <c r="W3502" s="13">
        <f>$E3502+15</f>
        <v>115</v>
      </c>
      <c r="X3502" s="14">
        <f>IF($J3502=0,0,ROUND(MAX($J3502*1.4*1.5*1.6*1.6*2.2*2.715*2.6,3540000000*(1.579646^(MIN($E3502,123)-117)))*1,0))</f>
        <v>1491033</v>
      </c>
      <c r="Y3502" s="11">
        <f>$E3502+17</f>
        <v>117</v>
      </c>
      <c r="Z3502" s="12">
        <f>IF($J3502=0,0,ROUND(MAX($J3502*1.4*1.5*1.6*1.6*2.2*2.715*2.6*1.4,6020000000*(1.651178^(MIN($E3502,123)-117)))*1,0))</f>
        <v>1194264</v>
      </c>
      <c r="AA3502" s="13">
        <f>$E3502+19</f>
        <v>119</v>
      </c>
      <c r="AB3502" s="14">
        <f>IF($J3502=0,0,ROUND(MAX($J3502*1.4*1.5*1.6*1.6*2.2*2.715*2.6*1.4*1.4,8430000000*(1.651435^(MIN($E3502,123)-117)))*1,0))</f>
        <v>1667947</v>
      </c>
      <c r="AC3502" s="11">
        <f>$E3502+21</f>
        <v>121</v>
      </c>
      <c r="AD3502" s="12">
        <f>IF($J3502=0,0,ROUND(MAX($J3502*1.4*1.5*1.6*1.6*2.2*2.715*2.6*1.4*1.4*1.5,12600000000*(1.652953^(MIN($E3502,123)-117)))*1,0))</f>
        <v>2454381</v>
      </c>
      <c r="AE3502" s="13">
        <f>$E3502+24</f>
        <v>124</v>
      </c>
      <c r="AF3502" s="14">
        <f>IF($J3502=0,0,ROUND(MAX($J3502*1.4*1.5*1.6*1.6*2.2*2.715*2.6*1.4*1.4*1.5*1.5,18900000000*(1.65331^(MIN($E3502,123)-117)))*1,0))</f>
        <v>3668080</v>
      </c>
      <c r="AG3502" s="11">
        <f>$E3502+27</f>
        <v>127</v>
      </c>
      <c r="AH3502" s="12">
        <f>IF($J3502=0,0,ROUND(MAX($J3502*1.4*1.5*1.6*1.6*2.2*2.715*2.6*1.4*1.4*1.5*1.5*3.2,60500000000*(1.654288^(MIN($E3502,123)-117)))*1,0))</f>
        <v>11624288</v>
      </c>
    </row>
    <row r="3503" ht="28" customHeight="1" spans="1:34" x14ac:dyDescent="0.25">
      <c r="A3503">
        <v>3513</v>
      </c>
      <c r="B3503" t="s">
        <v>1302</v>
      </c>
      <c r="C3503" s="10" t="s">
        <v>1785</v>
      </c>
      <c r="D3503" t="s">
        <v>45</v>
      </c>
      <c r="E3503">
        <v>100</v>
      </c>
      <c r="F3503" t="s">
        <v>62</v>
      </c>
      <c r="G3503" t="s">
        <v>1303</v>
      </c>
      <c r="H3503">
        <v>20</v>
      </c>
      <c r="I3503" s="11">
        <f>$E3503+0</f>
        <v>100</v>
      </c>
      <c r="J3503" s="12">
        <v>12900</v>
      </c>
      <c r="K3503" s="13">
        <f>$E3503+1</f>
        <v>101</v>
      </c>
      <c r="L3503" s="14">
        <f>IF($J3503=0,0,ROUND(MAX($J3503*1.4,1620000*(1.497923^(MIN($E3503,123)-117)))*1,0))</f>
        <v>18060</v>
      </c>
      <c r="M3503" s="11">
        <f>$E3503+2</f>
        <v>102</v>
      </c>
      <c r="N3503" s="12">
        <f>IF($J3503=0,0,ROUND(MAX($J3503*1.4*1.5,2190000*(1.580994^(MIN($E3503,123)-117)))*1,0))</f>
        <v>27090</v>
      </c>
      <c r="O3503" s="13">
        <f>$E3503+4</f>
        <v>104</v>
      </c>
      <c r="P3503" s="14">
        <f>IF($J3503=0,0,ROUND(MAX($J3503*1.4*1.5*1.6,3500000*(1.57975^(MIN($E3503,123)-117)))*1,0))</f>
        <v>43344</v>
      </c>
      <c r="Q3503" s="11">
        <f>$E3503+6</f>
        <v>106</v>
      </c>
      <c r="R3503" s="12">
        <f>IF($J3503=0,0,ROUND(MAX($J3503*1.4*1.5*1.6*1.6,13100000*(1.429962^(MIN($E3503,123)-117)))*1,0))</f>
        <v>69350</v>
      </c>
      <c r="S3503" s="13">
        <f>$E3503+8</f>
        <v>108</v>
      </c>
      <c r="T3503" s="14">
        <f>IF($J3503=0,0,ROUND(MAX($J3503*1.4*1.5*1.6*1.6*2.2,42600000*(1.576904^(MIN($E3503,123)-117)))*1,0))</f>
        <v>152571</v>
      </c>
      <c r="U3503" s="11">
        <f>$E3503+11</f>
        <v>111</v>
      </c>
      <c r="V3503" s="12">
        <f>IF($J3503=0,0,ROUND(MAX($J3503*1.4*1.5*1.6*1.6*2.2*2.715,354000000*(1.642074^(MIN($E3503,123)-117)))*1,0))</f>
        <v>414230</v>
      </c>
      <c r="W3503" s="13">
        <f>$E3503+15</f>
        <v>115</v>
      </c>
      <c r="X3503" s="14">
        <f>IF($J3503=0,0,ROUND(MAX($J3503*1.4*1.5*1.6*1.6*2.2*2.715*2.6,3540000000*(1.579646^(MIN($E3503,123)-117)))*1,0))</f>
        <v>1491033</v>
      </c>
      <c r="Y3503" s="11">
        <f>$E3503+17</f>
        <v>117</v>
      </c>
      <c r="Z3503" s="12">
        <f>IF($J3503=0,0,ROUND(MAX($J3503*1.4*1.5*1.6*1.6*2.2*2.715*2.6*1.4,6020000000*(1.651178^(MIN($E3503,123)-117)))*1,0))</f>
        <v>1507797</v>
      </c>
      <c r="AA3503" s="13">
        <f>$E3503+19</f>
        <v>119</v>
      </c>
      <c r="AB3503" s="14">
        <f>IF($J3503=0,0,ROUND(MAX($J3503*1.4*1.5*1.6*1.6*2.2*2.715*2.6*1.4*1.4,8430000000*(1.651435^(MIN($E3503,123)-117)))*1,0))</f>
        <v>2110916</v>
      </c>
      <c r="AC3503" s="11">
        <f>$E3503+21</f>
        <v>121</v>
      </c>
      <c r="AD3503" s="12">
        <f>IF($J3503=0,0,ROUND(MAX($J3503*1.4*1.5*1.6*1.6*2.2*2.715*2.6*1.4*1.4*1.5,12600000000*(1.652953^(MIN($E3503,123)-117)))*1,0))</f>
        <v>3166374</v>
      </c>
      <c r="AE3503" s="13">
        <f>$E3503+24</f>
        <v>124</v>
      </c>
      <c r="AF3503" s="14">
        <f>IF($J3503=0,0,ROUND(MAX($J3503*1.4*1.5*1.6*1.6*2.2*2.715*2.6*1.4*1.4*1.5*1.5,18900000000*(1.65331^(MIN($E3503,123)-117)))*1,0))</f>
        <v>4749560</v>
      </c>
      <c r="AG3503" s="11">
        <f>$E3503+27</f>
        <v>127</v>
      </c>
      <c r="AH3503" s="12">
        <f>IF($J3503=0,0,ROUND(MAX($J3503*1.4*1.5*1.6*1.6*2.2*2.715*2.6*1.4*1.4*1.5*1.5*3.2,60500000000*(1.654288^(MIN($E3503,123)-117)))*1,0))</f>
        <v>15198594</v>
      </c>
    </row>
    <row r="3504" ht="28" customHeight="1" spans="1:34" x14ac:dyDescent="0.25">
      <c r="A3504">
        <v>3514</v>
      </c>
      <c r="B3504" t="s">
        <v>1482</v>
      </c>
      <c r="C3504" s="10" t="s">
        <v>1785</v>
      </c>
      <c r="D3504" t="s">
        <v>33</v>
      </c>
      <c r="E3504">
        <v>100</v>
      </c>
      <c r="F3504" t="s">
        <v>298</v>
      </c>
      <c r="G3504" t="s">
        <v>762</v>
      </c>
      <c r="H3504">
        <v>20</v>
      </c>
      <c r="I3504" s="11">
        <f>$E3504+0</f>
        <v>100</v>
      </c>
      <c r="J3504" s="12">
        <v>23200</v>
      </c>
      <c r="K3504" s="13">
        <f>$E3504+1</f>
        <v>101</v>
      </c>
      <c r="L3504" s="14">
        <f>IF($J3504=0,0,ROUND(MAX($J3504*1.4,1620000*(1.497923^(MIN($E3504,123)-117)))*1,0))</f>
        <v>32480</v>
      </c>
      <c r="M3504" s="11">
        <f>$E3504+2</f>
        <v>102</v>
      </c>
      <c r="N3504" s="12">
        <f>IF($J3504=0,0,ROUND(MAX($J3504*1.4*1.5,2190000*(1.580994^(MIN($E3504,123)-117)))*1,0))</f>
        <v>48720</v>
      </c>
      <c r="O3504" s="13">
        <f>$E3504+4</f>
        <v>104</v>
      </c>
      <c r="P3504" s="14">
        <f>IF($J3504=0,0,ROUND(MAX($J3504*1.4*1.5*1.6,3500000*(1.57975^(MIN($E3504,123)-117)))*1,0))</f>
        <v>77952</v>
      </c>
      <c r="Q3504" s="11">
        <f>$E3504+6</f>
        <v>106</v>
      </c>
      <c r="R3504" s="12">
        <f>IF($J3504=0,0,ROUND(MAX($J3504*1.4*1.5*1.6*1.6,13100000*(1.429962^(MIN($E3504,123)-117)))*1,0))</f>
        <v>124723</v>
      </c>
      <c r="S3504" s="13">
        <f>$E3504+8</f>
        <v>108</v>
      </c>
      <c r="T3504" s="14">
        <f>IF($J3504=0,0,ROUND(MAX($J3504*1.4*1.5*1.6*1.6*2.2,42600000*(1.576904^(MIN($E3504,123)-117)))*1,0))</f>
        <v>274391</v>
      </c>
      <c r="U3504" s="11">
        <f>$E3504+11</f>
        <v>111</v>
      </c>
      <c r="V3504" s="12">
        <f>IF($J3504=0,0,ROUND(MAX($J3504*1.4*1.5*1.6*1.6*2.2*2.715,354000000*(1.642074^(MIN($E3504,123)-117)))*1,0))</f>
        <v>744972</v>
      </c>
      <c r="W3504" s="13">
        <f>$E3504+15</f>
        <v>115</v>
      </c>
      <c r="X3504" s="14">
        <f>IF($J3504=0,0,ROUND(MAX($J3504*1.4*1.5*1.6*1.6*2.2*2.715*2.6,3540000000*(1.579646^(MIN($E3504,123)-117)))*1,0))</f>
        <v>1936926</v>
      </c>
      <c r="Y3504" s="11">
        <f>$E3504+17</f>
        <v>117</v>
      </c>
      <c r="Z3504" s="12">
        <f>IF($J3504=0,0,ROUND(MAX($J3504*1.4*1.5*1.6*1.6*2.2*2.715*2.6*1.4,6020000000*(1.651178^(MIN($E3504,123)-117)))*1,0))</f>
        <v>2711697</v>
      </c>
      <c r="AA3504" s="13">
        <f>$E3504+19</f>
        <v>119</v>
      </c>
      <c r="AB3504" s="14">
        <f>IF($J3504=0,0,ROUND(MAX($J3504*1.4*1.5*1.6*1.6*2.2*2.715*2.6*1.4*1.4,8430000000*(1.651435^(MIN($E3504,123)-117)))*1,0))</f>
        <v>3796376</v>
      </c>
      <c r="AC3504" s="11">
        <f>$E3504+21</f>
        <v>121</v>
      </c>
      <c r="AD3504" s="12">
        <f>IF($J3504=0,0,ROUND(MAX($J3504*1.4*1.5*1.6*1.6*2.2*2.715*2.6*1.4*1.4*1.5,12600000000*(1.652953^(MIN($E3504,123)-117)))*1,0))</f>
        <v>5694563</v>
      </c>
      <c r="AE3504" s="13">
        <f>$E3504+24</f>
        <v>124</v>
      </c>
      <c r="AF3504" s="14">
        <f>IF($J3504=0,0,ROUND(MAX($J3504*1.4*1.5*1.6*1.6*2.2*2.715*2.6*1.4*1.4*1.5*1.5,18900000000*(1.65331^(MIN($E3504,123)-117)))*1,0))</f>
        <v>8541845</v>
      </c>
      <c r="AG3504" s="11">
        <f>$E3504+27</f>
        <v>127</v>
      </c>
      <c r="AH3504" s="12">
        <f>IF($J3504=0,0,ROUND(MAX($J3504*1.4*1.5*1.6*1.6*2.2*2.715*2.6*1.4*1.4*1.5*1.5*3.2,60500000000*(1.654288^(MIN($E3504,123)-117)))*1,0))</f>
        <v>27333905</v>
      </c>
    </row>
    <row r="3505" ht="28" customHeight="1" spans="1:34" x14ac:dyDescent="0.25">
      <c r="A3505">
        <v>3515</v>
      </c>
      <c r="B3505" t="s">
        <v>471</v>
      </c>
      <c r="C3505" s="10" t="s">
        <v>1785</v>
      </c>
      <c r="D3505" t="s">
        <v>102</v>
      </c>
      <c r="E3505">
        <v>100</v>
      </c>
      <c r="F3505" t="s">
        <v>54</v>
      </c>
      <c r="G3505" t="s">
        <v>472</v>
      </c>
      <c r="H3505">
        <v>20</v>
      </c>
      <c r="I3505" s="11">
        <f>$E3505+0</f>
        <v>100</v>
      </c>
      <c r="J3505" s="12">
        <v>43300</v>
      </c>
      <c r="K3505" s="13">
        <f>$E3505+1</f>
        <v>101</v>
      </c>
      <c r="L3505" s="14">
        <f>IF($J3505=0,0,ROUND(MAX($J3505*1.4,1620000*(1.497923^(MIN($E3505,123)-117)))*1,0))</f>
        <v>60620</v>
      </c>
      <c r="M3505" s="11">
        <f>$E3505+2</f>
        <v>102</v>
      </c>
      <c r="N3505" s="12">
        <f>IF($J3505=0,0,ROUND(MAX($J3505*1.4*1.5,2190000*(1.580994^(MIN($E3505,123)-117)))*1,0))</f>
        <v>90930</v>
      </c>
      <c r="O3505" s="13">
        <f>$E3505+4</f>
        <v>104</v>
      </c>
      <c r="P3505" s="14">
        <f>IF($J3505=0,0,ROUND(MAX($J3505*1.4*1.5*1.6,3500000*(1.57975^(MIN($E3505,123)-117)))*1,0))</f>
        <v>145488</v>
      </c>
      <c r="Q3505" s="11">
        <f>$E3505+6</f>
        <v>106</v>
      </c>
      <c r="R3505" s="12">
        <f>IF($J3505=0,0,ROUND(MAX($J3505*1.4*1.5*1.6*1.6,13100000*(1.429962^(MIN($E3505,123)-117)))*1,0))</f>
        <v>232781</v>
      </c>
      <c r="S3505" s="13">
        <f>$E3505+8</f>
        <v>108</v>
      </c>
      <c r="T3505" s="14">
        <f>IF($J3505=0,0,ROUND(MAX($J3505*1.4*1.5*1.6*1.6*2.2,42600000*(1.576904^(MIN($E3505,123)-117)))*1,0))</f>
        <v>512118</v>
      </c>
      <c r="U3505" s="11">
        <f>$E3505+11</f>
        <v>111</v>
      </c>
      <c r="V3505" s="12">
        <f>IF($J3505=0,0,ROUND(MAX($J3505*1.4*1.5*1.6*1.6*2.2*2.715,354000000*(1.642074^(MIN($E3505,123)-117)))*1,0))</f>
        <v>1390400</v>
      </c>
      <c r="W3505" s="13">
        <f>$E3505+15</f>
        <v>115</v>
      </c>
      <c r="X3505" s="14">
        <f>IF($J3505=0,0,ROUND(MAX($J3505*1.4*1.5*1.6*1.6*2.2*2.715*2.6,3540000000*(1.579646^(MIN($E3505,123)-117)))*1,0))</f>
        <v>3615039</v>
      </c>
      <c r="Y3505" s="11">
        <f>$E3505+17</f>
        <v>117</v>
      </c>
      <c r="Z3505" s="12">
        <f>IF($J3505=0,0,ROUND(MAX($J3505*1.4*1.5*1.6*1.6*2.2*2.715*2.6*1.4,6020000000*(1.651178^(MIN($E3505,123)-117)))*1,0))</f>
        <v>5061055</v>
      </c>
      <c r="AA3505" s="13">
        <f>$E3505+19</f>
        <v>119</v>
      </c>
      <c r="AB3505" s="14">
        <f>IF($J3505=0,0,ROUND(MAX($J3505*1.4*1.5*1.6*1.6*2.2*2.715*2.6*1.4*1.4,8430000000*(1.651435^(MIN($E3505,123)-117)))*1,0))</f>
        <v>7085477</v>
      </c>
      <c r="AC3505" s="11">
        <f>$E3505+21</f>
        <v>121</v>
      </c>
      <c r="AD3505" s="12">
        <f>IF($J3505=0,0,ROUND(MAX($J3505*1.4*1.5*1.6*1.6*2.2*2.715*2.6*1.4*1.4*1.5,12600000000*(1.652953^(MIN($E3505,123)-117)))*1,0))</f>
        <v>10628215</v>
      </c>
      <c r="AE3505" s="13">
        <f>$E3505+24</f>
        <v>124</v>
      </c>
      <c r="AF3505" s="14">
        <f>IF($J3505=0,0,ROUND(MAX($J3505*1.4*1.5*1.6*1.6*2.2*2.715*2.6*1.4*1.4*1.5*1.5,18900000000*(1.65331^(MIN($E3505,123)-117)))*1,0))</f>
        <v>15942323</v>
      </c>
      <c r="AG3505" s="11">
        <f>$E3505+27</f>
        <v>127</v>
      </c>
      <c r="AH3505" s="12">
        <f>IF($J3505=0,0,ROUND(MAX($J3505*1.4*1.5*1.6*1.6*2.2*2.715*2.6*1.4*1.4*1.5*1.5*3.2,60500000000*(1.654288^(MIN($E3505,123)-117)))*1,0))</f>
        <v>51015434</v>
      </c>
    </row>
    <row r="3506" ht="28" customHeight="1" spans="1:34" x14ac:dyDescent="0.25">
      <c r="A3506">
        <v>3516</v>
      </c>
      <c r="B3506" t="s">
        <v>1803</v>
      </c>
      <c r="C3506" s="10" t="s">
        <v>1785</v>
      </c>
      <c r="D3506" t="s">
        <v>33</v>
      </c>
      <c r="E3506">
        <v>100</v>
      </c>
      <c r="F3506" t="s">
        <v>62</v>
      </c>
      <c r="G3506" t="s">
        <v>242</v>
      </c>
      <c r="H3506">
        <v>20</v>
      </c>
      <c r="I3506" s="11">
        <f>$E3506+0</f>
        <v>100</v>
      </c>
      <c r="J3506" s="12">
        <v>49500</v>
      </c>
      <c r="K3506" s="13">
        <f>$E3506+1</f>
        <v>101</v>
      </c>
      <c r="L3506" s="14">
        <f>IF($J3506=0,0,ROUND(MAX($J3506*1.4,1620000*(1.497923^(MIN($E3506,123)-117)))*1,0))</f>
        <v>69300</v>
      </c>
      <c r="M3506" s="11">
        <f>$E3506+2</f>
        <v>102</v>
      </c>
      <c r="N3506" s="12">
        <f>IF($J3506=0,0,ROUND(MAX($J3506*1.4*1.5,2190000*(1.580994^(MIN($E3506,123)-117)))*1,0))</f>
        <v>103950</v>
      </c>
      <c r="O3506" s="13">
        <f>$E3506+4</f>
        <v>104</v>
      </c>
      <c r="P3506" s="14">
        <f>IF($J3506=0,0,ROUND(MAX($J3506*1.4*1.5*1.6,3500000*(1.57975^(MIN($E3506,123)-117)))*1,0))</f>
        <v>166320</v>
      </c>
      <c r="Q3506" s="11">
        <f>$E3506+6</f>
        <v>106</v>
      </c>
      <c r="R3506" s="12">
        <f>IF($J3506=0,0,ROUND(MAX($J3506*1.4*1.5*1.6*1.6,13100000*(1.429962^(MIN($E3506,123)-117)))*1,0))</f>
        <v>266112</v>
      </c>
      <c r="S3506" s="13">
        <f>$E3506+8</f>
        <v>108</v>
      </c>
      <c r="T3506" s="14">
        <f>IF($J3506=0,0,ROUND(MAX($J3506*1.4*1.5*1.6*1.6*2.2,42600000*(1.576904^(MIN($E3506,123)-117)))*1,0))</f>
        <v>585446</v>
      </c>
      <c r="U3506" s="11">
        <f>$E3506+11</f>
        <v>111</v>
      </c>
      <c r="V3506" s="12">
        <f>IF($J3506=0,0,ROUND(MAX($J3506*1.4*1.5*1.6*1.6*2.2*2.715,354000000*(1.642074^(MIN($E3506,123)-117)))*1,0))</f>
        <v>1589487</v>
      </c>
      <c r="W3506" s="13">
        <f>$E3506+15</f>
        <v>115</v>
      </c>
      <c r="X3506" s="14">
        <f>IF($J3506=0,0,ROUND(MAX($J3506*1.4*1.5*1.6*1.6*2.2*2.715*2.6,3540000000*(1.579646^(MIN($E3506,123)-117)))*1,0))</f>
        <v>4132666</v>
      </c>
      <c r="Y3506" s="11">
        <f>$E3506+17</f>
        <v>117</v>
      </c>
      <c r="Z3506" s="12">
        <f>IF($J3506=0,0,ROUND(MAX($J3506*1.4*1.5*1.6*1.6*2.2*2.715*2.6*1.4,6020000000*(1.651178^(MIN($E3506,123)-117)))*1,0))</f>
        <v>5785733</v>
      </c>
      <c r="AA3506" s="13">
        <f>$E3506+19</f>
        <v>119</v>
      </c>
      <c r="AB3506" s="14">
        <f>IF($J3506=0,0,ROUND(MAX($J3506*1.4*1.5*1.6*1.6*2.2*2.715*2.6*1.4*1.4,8430000000*(1.651435^(MIN($E3506,123)-117)))*1,0))</f>
        <v>8100026</v>
      </c>
      <c r="AC3506" s="11">
        <f>$E3506+21</f>
        <v>121</v>
      </c>
      <c r="AD3506" s="12">
        <f>IF($J3506=0,0,ROUND(MAX($J3506*1.4*1.5*1.6*1.6*2.2*2.715*2.6*1.4*1.4*1.5,12600000000*(1.652953^(MIN($E3506,123)-117)))*1,0))</f>
        <v>12150038</v>
      </c>
      <c r="AE3506" s="13">
        <f>$E3506+24</f>
        <v>124</v>
      </c>
      <c r="AF3506" s="14">
        <f>IF($J3506=0,0,ROUND(MAX($J3506*1.4*1.5*1.6*1.6*2.2*2.715*2.6*1.4*1.4*1.5*1.5,18900000000*(1.65331^(MIN($E3506,123)-117)))*1,0))</f>
        <v>18225058</v>
      </c>
      <c r="AG3506" s="11">
        <f>$E3506+27</f>
        <v>127</v>
      </c>
      <c r="AH3506" s="12">
        <f>IF($J3506=0,0,ROUND(MAX($J3506*1.4*1.5*1.6*1.6*2.2*2.715*2.6*1.4*1.4*1.5*1.5*3.2,60500000000*(1.654288^(MIN($E3506,123)-117)))*1,0))</f>
        <v>58320185</v>
      </c>
    </row>
    <row r="3507" ht="28" customHeight="1" spans="1:34" x14ac:dyDescent="0.25">
      <c r="A3507">
        <v>3517</v>
      </c>
      <c r="B3507" t="s">
        <v>1804</v>
      </c>
      <c r="C3507" s="10" t="s">
        <v>1785</v>
      </c>
      <c r="D3507" t="s">
        <v>40</v>
      </c>
      <c r="E3507">
        <v>100</v>
      </c>
      <c r="F3507" t="s">
        <v>62</v>
      </c>
      <c r="G3507" t="s">
        <v>565</v>
      </c>
      <c r="H3507">
        <v>20</v>
      </c>
      <c r="I3507" s="11">
        <f>$E3507+0</f>
        <v>100</v>
      </c>
      <c r="J3507" s="12">
        <v>80100</v>
      </c>
      <c r="K3507" s="13">
        <f>$E3507+1</f>
        <v>101</v>
      </c>
      <c r="L3507" s="14">
        <f>IF($J3507=0,0,ROUND(MAX($J3507*1.4,1620000*(1.497923^(MIN($E3507,123)-117)))*1,0))</f>
        <v>112140</v>
      </c>
      <c r="M3507" s="11">
        <f>$E3507+2</f>
        <v>102</v>
      </c>
      <c r="N3507" s="12">
        <f>IF($J3507=0,0,ROUND(MAX($J3507*1.4*1.5,2190000*(1.580994^(MIN($E3507,123)-117)))*1,0))</f>
        <v>168210</v>
      </c>
      <c r="O3507" s="13">
        <f>$E3507+4</f>
        <v>104</v>
      </c>
      <c r="P3507" s="14">
        <f>IF($J3507=0,0,ROUND(MAX($J3507*1.4*1.5*1.6,3500000*(1.57975^(MIN($E3507,123)-117)))*1,0))</f>
        <v>269136</v>
      </c>
      <c r="Q3507" s="11">
        <f>$E3507+6</f>
        <v>106</v>
      </c>
      <c r="R3507" s="12">
        <f>IF($J3507=0,0,ROUND(MAX($J3507*1.4*1.5*1.6*1.6,13100000*(1.429962^(MIN($E3507,123)-117)))*1,0))</f>
        <v>430618</v>
      </c>
      <c r="S3507" s="13">
        <f>$E3507+8</f>
        <v>108</v>
      </c>
      <c r="T3507" s="14">
        <f>IF($J3507=0,0,ROUND(MAX($J3507*1.4*1.5*1.6*1.6*2.2,42600000*(1.576904^(MIN($E3507,123)-117)))*1,0))</f>
        <v>947359</v>
      </c>
      <c r="U3507" s="11">
        <f>$E3507+11</f>
        <v>111</v>
      </c>
      <c r="V3507" s="12">
        <f>IF($J3507=0,0,ROUND(MAX($J3507*1.4*1.5*1.6*1.6*2.2*2.715,354000000*(1.642074^(MIN($E3507,123)-117)))*1,0))</f>
        <v>2572079</v>
      </c>
      <c r="W3507" s="13">
        <f>$E3507+15</f>
        <v>115</v>
      </c>
      <c r="X3507" s="14">
        <f>IF($J3507=0,0,ROUND(MAX($J3507*1.4*1.5*1.6*1.6*2.2*2.715*2.6,3540000000*(1.579646^(MIN($E3507,123)-117)))*1,0))</f>
        <v>6687405</v>
      </c>
      <c r="Y3507" s="11">
        <f>$E3507+17</f>
        <v>117</v>
      </c>
      <c r="Z3507" s="12">
        <f>IF($J3507=0,0,ROUND(MAX($J3507*1.4*1.5*1.6*1.6*2.2*2.715*2.6*1.4,6020000000*(1.651178^(MIN($E3507,123)-117)))*1,0))</f>
        <v>9362367</v>
      </c>
      <c r="AA3507" s="13">
        <f>$E3507+19</f>
        <v>119</v>
      </c>
      <c r="AB3507" s="14">
        <f>IF($J3507=0,0,ROUND(MAX($J3507*1.4*1.5*1.6*1.6*2.2*2.715*2.6*1.4*1.4,8430000000*(1.651435^(MIN($E3507,123)-117)))*1,0))</f>
        <v>13107314</v>
      </c>
      <c r="AC3507" s="11">
        <f>$E3507+21</f>
        <v>121</v>
      </c>
      <c r="AD3507" s="12">
        <f>IF($J3507=0,0,ROUND(MAX($J3507*1.4*1.5*1.6*1.6*2.2*2.715*2.6*1.4*1.4*1.5,12600000000*(1.652953^(MIN($E3507,123)-117)))*1,0))</f>
        <v>19660971</v>
      </c>
      <c r="AE3507" s="13">
        <f>$E3507+24</f>
        <v>124</v>
      </c>
      <c r="AF3507" s="14">
        <f>IF($J3507=0,0,ROUND(MAX($J3507*1.4*1.5*1.6*1.6*2.2*2.715*2.6*1.4*1.4*1.5*1.5,18900000000*(1.65331^(MIN($E3507,123)-117)))*1,0))</f>
        <v>29491457</v>
      </c>
      <c r="AG3507" s="11">
        <f>$E3507+27</f>
        <v>127</v>
      </c>
      <c r="AH3507" s="12">
        <f>IF($J3507=0,0,ROUND(MAX($J3507*1.4*1.5*1.6*1.6*2.2*2.715*2.6*1.4*1.4*1.5*1.5*3.2,60500000000*(1.654288^(MIN($E3507,123)-117)))*1,0))</f>
        <v>94372662</v>
      </c>
    </row>
    <row r="3508" ht="28" customHeight="1" spans="1:34" x14ac:dyDescent="0.25">
      <c r="A3508">
        <v>3518</v>
      </c>
      <c r="B3508" t="s">
        <v>782</v>
      </c>
      <c r="C3508" s="10" t="s">
        <v>1785</v>
      </c>
      <c r="D3508" t="s">
        <v>90</v>
      </c>
      <c r="E3508">
        <v>100</v>
      </c>
      <c r="F3508" t="s">
        <v>71</v>
      </c>
      <c r="G3508" t="s">
        <v>213</v>
      </c>
      <c r="H3508">
        <v>20</v>
      </c>
      <c r="I3508" s="11">
        <f>$E3508+0</f>
        <v>100</v>
      </c>
      <c r="J3508" s="12">
        <v>95900</v>
      </c>
      <c r="K3508" s="13">
        <f>$E3508+1</f>
        <v>101</v>
      </c>
      <c r="L3508" s="14">
        <f>IF($J3508=0,0,ROUND(MAX($J3508*1.4,1620000*(1.497923^(MIN($E3508,123)-117)))*1,0))</f>
        <v>134260</v>
      </c>
      <c r="M3508" s="11">
        <f>$E3508+2</f>
        <v>102</v>
      </c>
      <c r="N3508" s="12">
        <f>IF($J3508=0,0,ROUND(MAX($J3508*1.4*1.5,2190000*(1.580994^(MIN($E3508,123)-117)))*1,0))</f>
        <v>201390</v>
      </c>
      <c r="O3508" s="13">
        <f>$E3508+4</f>
        <v>104</v>
      </c>
      <c r="P3508" s="14">
        <f>IF($J3508=0,0,ROUND(MAX($J3508*1.4*1.5*1.6,3500000*(1.57975^(MIN($E3508,123)-117)))*1,0))</f>
        <v>322224</v>
      </c>
      <c r="Q3508" s="11">
        <f>$E3508+6</f>
        <v>106</v>
      </c>
      <c r="R3508" s="12">
        <f>IF($J3508=0,0,ROUND(MAX($J3508*1.4*1.5*1.6*1.6,13100000*(1.429962^(MIN($E3508,123)-117)))*1,0))</f>
        <v>515558</v>
      </c>
      <c r="S3508" s="13">
        <f>$E3508+8</f>
        <v>108</v>
      </c>
      <c r="T3508" s="14">
        <f>IF($J3508=0,0,ROUND(MAX($J3508*1.4*1.5*1.6*1.6*2.2,42600000*(1.576904^(MIN($E3508,123)-117)))*1,0))</f>
        <v>1134228</v>
      </c>
      <c r="U3508" s="11">
        <f>$E3508+11</f>
        <v>111</v>
      </c>
      <c r="V3508" s="12">
        <f>IF($J3508=0,0,ROUND(MAX($J3508*1.4*1.5*1.6*1.6*2.2*2.715,354000000*(1.642074^(MIN($E3508,123)-117)))*1,0))</f>
        <v>3079430</v>
      </c>
      <c r="W3508" s="13">
        <f>$E3508+15</f>
        <v>115</v>
      </c>
      <c r="X3508" s="14">
        <f>IF($J3508=0,0,ROUND(MAX($J3508*1.4*1.5*1.6*1.6*2.2*2.715*2.6,3540000000*(1.579646^(MIN($E3508,123)-117)))*1,0))</f>
        <v>8006519</v>
      </c>
      <c r="Y3508" s="11">
        <f>$E3508+17</f>
        <v>117</v>
      </c>
      <c r="Z3508" s="12">
        <f>IF($J3508=0,0,ROUND(MAX($J3508*1.4*1.5*1.6*1.6*2.2*2.715*2.6*1.4,6020000000*(1.651178^(MIN($E3508,123)-117)))*1,0))</f>
        <v>11209126</v>
      </c>
      <c r="AA3508" s="13">
        <f>$E3508+19</f>
        <v>119</v>
      </c>
      <c r="AB3508" s="14">
        <f>IF($J3508=0,0,ROUND(MAX($J3508*1.4*1.5*1.6*1.6*2.2*2.715*2.6*1.4*1.4,8430000000*(1.651435^(MIN($E3508,123)-117)))*1,0))</f>
        <v>15692777</v>
      </c>
      <c r="AC3508" s="11">
        <f>$E3508+21</f>
        <v>121</v>
      </c>
      <c r="AD3508" s="12">
        <f>IF($J3508=0,0,ROUND(MAX($J3508*1.4*1.5*1.6*1.6*2.2*2.715*2.6*1.4*1.4*1.5,12600000000*(1.652953^(MIN($E3508,123)-117)))*1,0))</f>
        <v>23539165</v>
      </c>
      <c r="AE3508" s="13">
        <f>$E3508+24</f>
        <v>124</v>
      </c>
      <c r="AF3508" s="14">
        <f>IF($J3508=0,0,ROUND(MAX($J3508*1.4*1.5*1.6*1.6*2.2*2.715*2.6*1.4*1.4*1.5*1.5,18900000000*(1.65331^(MIN($E3508,123)-117)))*1,0))</f>
        <v>35308748</v>
      </c>
      <c r="AG3508" s="11">
        <f>$E3508+27</f>
        <v>127</v>
      </c>
      <c r="AH3508" s="12">
        <f>IF($J3508=0,0,ROUND(MAX($J3508*1.4*1.5*1.6*1.6*2.2*2.715*2.6*1.4*1.4*1.5*1.5*3.2,60500000000*(1.654288^(MIN($E3508,123)-117)))*1,0))</f>
        <v>112987994</v>
      </c>
    </row>
    <row r="3509" ht="28" customHeight="1" spans="1:34" x14ac:dyDescent="0.25">
      <c r="A3509">
        <v>3519</v>
      </c>
      <c r="B3509" t="s">
        <v>327</v>
      </c>
      <c r="C3509" s="10" t="s">
        <v>1785</v>
      </c>
      <c r="D3509" t="s">
        <v>47</v>
      </c>
      <c r="E3509">
        <v>100</v>
      </c>
      <c r="F3509" t="s">
        <v>310</v>
      </c>
      <c r="G3509" t="s">
        <v>38</v>
      </c>
      <c r="H3509">
        <v>18</v>
      </c>
      <c r="I3509" s="11">
        <f>$E3509+0</f>
        <v>100</v>
      </c>
      <c r="J3509" s="12">
        <v>12100</v>
      </c>
      <c r="K3509" s="13">
        <f>$E3509+1</f>
        <v>101</v>
      </c>
      <c r="L3509" s="14">
        <f>IF($J3509=0,0,ROUND(MAX($J3509*1.4,1620000*(1.497923^(MIN($E3509,123)-117)))*1,0))</f>
        <v>16940</v>
      </c>
      <c r="M3509" s="11">
        <f>$E3509+2</f>
        <v>102</v>
      </c>
      <c r="N3509" s="12">
        <f>IF($J3509=0,0,ROUND(MAX($J3509*1.4*1.5,2190000*(1.580994^(MIN($E3509,123)-117)))*1,0))</f>
        <v>25410</v>
      </c>
      <c r="O3509" s="13">
        <f>$E3509+4</f>
        <v>104</v>
      </c>
      <c r="P3509" s="14">
        <f>IF($J3509=0,0,ROUND(MAX($J3509*1.4*1.5*1.6,3500000*(1.57975^(MIN($E3509,123)-117)))*1,0))</f>
        <v>40656</v>
      </c>
      <c r="Q3509" s="11">
        <f>$E3509+6</f>
        <v>106</v>
      </c>
      <c r="R3509" s="12">
        <f>IF($J3509=0,0,ROUND(MAX($J3509*1.4*1.5*1.6*1.6,13100000*(1.429962^(MIN($E3509,123)-117)))*1,0))</f>
        <v>65050</v>
      </c>
      <c r="S3509" s="13">
        <f>$E3509+8</f>
        <v>108</v>
      </c>
      <c r="T3509" s="14">
        <f>IF($J3509=0,0,ROUND(MAX($J3509*1.4*1.5*1.6*1.6*2.2,42600000*(1.576904^(MIN($E3509,123)-117)))*1,0))</f>
        <v>143109</v>
      </c>
      <c r="U3509" s="11">
        <f>$E3509+11</f>
        <v>111</v>
      </c>
      <c r="V3509" s="12">
        <f>IF($J3509=0,0,ROUND(MAX($J3509*1.4*1.5*1.6*1.6*2.2*2.715,354000000*(1.642074^(MIN($E3509,123)-117)))*1,0))</f>
        <v>388541</v>
      </c>
      <c r="W3509" s="13">
        <f>$E3509+15</f>
        <v>115</v>
      </c>
      <c r="X3509" s="14">
        <f>IF($J3509=0,0,ROUND(MAX($J3509*1.4*1.5*1.6*1.6*2.2*2.715*2.6,3540000000*(1.579646^(MIN($E3509,123)-117)))*1,0))</f>
        <v>1491033</v>
      </c>
      <c r="Y3509" s="11">
        <f>$E3509+17</f>
        <v>117</v>
      </c>
      <c r="Z3509" s="12">
        <f>IF($J3509=0,0,ROUND(MAX($J3509*1.4*1.5*1.6*1.6*2.2*2.715*2.6*1.4,6020000000*(1.651178^(MIN($E3509,123)-117)))*1,0))</f>
        <v>1414290</v>
      </c>
      <c r="AA3509" s="13">
        <f>$E3509+19</f>
        <v>119</v>
      </c>
      <c r="AB3509" s="14">
        <f>IF($J3509=0,0,ROUND(MAX($J3509*1.4*1.5*1.6*1.6*2.2*2.715*2.6*1.4*1.4,8430000000*(1.651435^(MIN($E3509,123)-117)))*1,0))</f>
        <v>1980006</v>
      </c>
      <c r="AC3509" s="11">
        <f>$E3509+21</f>
        <v>121</v>
      </c>
      <c r="AD3509" s="12">
        <f>IF($J3509=0,0,ROUND(MAX($J3509*1.4*1.5*1.6*1.6*2.2*2.715*2.6*1.4*1.4*1.5,12600000000*(1.652953^(MIN($E3509,123)-117)))*1,0))</f>
        <v>2970009</v>
      </c>
      <c r="AE3509" s="13">
        <f>$E3509+24</f>
        <v>124</v>
      </c>
      <c r="AF3509" s="14">
        <f>IF($J3509=0,0,ROUND(MAX($J3509*1.4*1.5*1.6*1.6*2.2*2.715*2.6*1.4*1.4*1.5*1.5,18900000000*(1.65331^(MIN($E3509,123)-117)))*1,0))</f>
        <v>4455014</v>
      </c>
      <c r="AG3509" s="11">
        <f>$E3509+27</f>
        <v>127</v>
      </c>
      <c r="AH3509" s="12">
        <f>IF($J3509=0,0,ROUND(MAX($J3509*1.4*1.5*1.6*1.6*2.2*2.715*2.6*1.4*1.4*1.5*1.5*3.2,60500000000*(1.654288^(MIN($E3509,123)-117)))*1,0))</f>
        <v>14256045</v>
      </c>
    </row>
    <row r="3510" ht="28" customHeight="1" spans="1:34" x14ac:dyDescent="0.25">
      <c r="A3510">
        <v>3520</v>
      </c>
      <c r="B3510" t="s">
        <v>1805</v>
      </c>
      <c r="C3510" s="10" t="s">
        <v>1785</v>
      </c>
      <c r="D3510" t="s">
        <v>64</v>
      </c>
      <c r="E3510">
        <v>99</v>
      </c>
      <c r="F3510" t="s">
        <v>146</v>
      </c>
      <c r="G3510" t="s">
        <v>562</v>
      </c>
      <c r="H3510">
        <v>21</v>
      </c>
      <c r="I3510" s="11">
        <f>$E3510+0</f>
        <v>99</v>
      </c>
      <c r="J3510" s="12">
        <v>12700</v>
      </c>
      <c r="K3510" s="13">
        <f>$E3510+1</f>
        <v>100</v>
      </c>
      <c r="L3510" s="14">
        <f>IF($J3510=0,0,ROUND(MAX($J3510*1.4,1620000*(1.497923^(MIN($E3510,123)-117)))*1,0))</f>
        <v>17780</v>
      </c>
      <c r="M3510" s="11">
        <f>$E3510+2</f>
        <v>101</v>
      </c>
      <c r="N3510" s="12">
        <f>IF($J3510=0,0,ROUND(MAX($J3510*1.4*1.5,2190000*(1.580994^(MIN($E3510,123)-117)))*1,0))</f>
        <v>26670</v>
      </c>
      <c r="O3510" s="13">
        <f>$E3510+4</f>
        <v>103</v>
      </c>
      <c r="P3510" s="14">
        <f>IF($J3510=0,0,ROUND(MAX($J3510*1.4*1.5*1.6,3500000*(1.57975^(MIN($E3510,123)-117)))*1,0))</f>
        <v>42672</v>
      </c>
      <c r="Q3510" s="11">
        <f>$E3510+6</f>
        <v>105</v>
      </c>
      <c r="R3510" s="12">
        <f>IF($J3510=0,0,ROUND(MAX($J3510*1.4*1.5*1.6*1.6,13100000*(1.429962^(MIN($E3510,123)-117)))*1,0))</f>
        <v>68275</v>
      </c>
      <c r="S3510" s="13">
        <f>$E3510+8</f>
        <v>107</v>
      </c>
      <c r="T3510" s="14">
        <f>IF($J3510=0,0,ROUND(MAX($J3510*1.4*1.5*1.6*1.6*2.2,42600000*(1.576904^(MIN($E3510,123)-117)))*1,0))</f>
        <v>150205</v>
      </c>
      <c r="U3510" s="11">
        <f>$E3510+11</f>
        <v>110</v>
      </c>
      <c r="V3510" s="12">
        <f>IF($J3510=0,0,ROUND(MAX($J3510*1.4*1.5*1.6*1.6*2.2*2.715,354000000*(1.642074^(MIN($E3510,123)-117)))*1,0))</f>
        <v>407808</v>
      </c>
      <c r="W3510" s="13">
        <f>$E3510+15</f>
        <v>114</v>
      </c>
      <c r="X3510" s="14">
        <f>IF($J3510=0,0,ROUND(MAX($J3510*1.4*1.5*1.6*1.6*2.2*2.715*2.6,3540000000*(1.579646^(MIN($E3510,123)-117)))*1,0))</f>
        <v>1060300</v>
      </c>
      <c r="Y3510" s="11">
        <f>$E3510+17</f>
        <v>116</v>
      </c>
      <c r="Z3510" s="12">
        <f>IF($J3510=0,0,ROUND(MAX($J3510*1.4*1.5*1.6*1.6*2.2*2.715*2.6*1.4,6020000000*(1.651178^(MIN($E3510,123)-117)))*1,0))</f>
        <v>1484420</v>
      </c>
      <c r="AA3510" s="13">
        <f>$E3510+19</f>
        <v>118</v>
      </c>
      <c r="AB3510" s="14">
        <f>IF($J3510=0,0,ROUND(MAX($J3510*1.4*1.5*1.6*1.6*2.2*2.715*2.6*1.4*1.4,8430000000*(1.651435^(MIN($E3510,123)-117)))*1,0))</f>
        <v>2078188</v>
      </c>
      <c r="AC3510" s="11">
        <f>$E3510+21</f>
        <v>120</v>
      </c>
      <c r="AD3510" s="12">
        <f>IF($J3510=0,0,ROUND(MAX($J3510*1.4*1.5*1.6*1.6*2.2*2.715*2.6*1.4*1.4*1.5,12600000000*(1.652953^(MIN($E3510,123)-117)))*1,0))</f>
        <v>3117283</v>
      </c>
      <c r="AE3510" s="13">
        <f>$E3510+24</f>
        <v>123</v>
      </c>
      <c r="AF3510" s="14">
        <f>IF($J3510=0,0,ROUND(MAX($J3510*1.4*1.5*1.6*1.6*2.2*2.715*2.6*1.4*1.4*1.5*1.5,18900000000*(1.65331^(MIN($E3510,123)-117)))*1,0))</f>
        <v>4675924</v>
      </c>
      <c r="AG3510" s="11">
        <f>$E3510+27</f>
        <v>126</v>
      </c>
      <c r="AH3510" s="12">
        <f>IF($J3510=0,0,ROUND(MAX($J3510*1.4*1.5*1.6*1.6*2.2*2.715*2.6*1.4*1.4*1.5*1.5*3.2,60500000000*(1.654288^(MIN($E3510,123)-117)))*1,0))</f>
        <v>14962956</v>
      </c>
    </row>
    <row r="3511" ht="28" customHeight="1" spans="1:34" x14ac:dyDescent="0.25">
      <c r="A3511">
        <v>3521</v>
      </c>
      <c r="B3511" t="s">
        <v>720</v>
      </c>
      <c r="C3511" s="10" t="s">
        <v>1785</v>
      </c>
      <c r="D3511" t="s">
        <v>40</v>
      </c>
      <c r="E3511">
        <v>99</v>
      </c>
      <c r="F3511" t="s">
        <v>400</v>
      </c>
      <c r="G3511" t="s">
        <v>1806</v>
      </c>
      <c r="H3511">
        <v>21</v>
      </c>
      <c r="I3511" s="11">
        <f>$E3511+0</f>
        <v>99</v>
      </c>
      <c r="J3511" s="12">
        <v>28900</v>
      </c>
      <c r="K3511" s="13">
        <f>$E3511+1</f>
        <v>100</v>
      </c>
      <c r="L3511" s="14">
        <f>IF($J3511=0,0,ROUND(MAX($J3511*1.4,1620000*(1.497923^(MIN($E3511,123)-117)))*1,0))</f>
        <v>40460</v>
      </c>
      <c r="M3511" s="11">
        <f>$E3511+2</f>
        <v>101</v>
      </c>
      <c r="N3511" s="12">
        <f>IF($J3511=0,0,ROUND(MAX($J3511*1.4*1.5,2190000*(1.580994^(MIN($E3511,123)-117)))*1,0))</f>
        <v>60690</v>
      </c>
      <c r="O3511" s="13">
        <f>$E3511+4</f>
        <v>103</v>
      </c>
      <c r="P3511" s="14">
        <f>IF($J3511=0,0,ROUND(MAX($J3511*1.4*1.5*1.6,3500000*(1.57975^(MIN($E3511,123)-117)))*1,0))</f>
        <v>97104</v>
      </c>
      <c r="Q3511" s="11">
        <f>$E3511+6</f>
        <v>105</v>
      </c>
      <c r="R3511" s="12">
        <f>IF($J3511=0,0,ROUND(MAX($J3511*1.4*1.5*1.6*1.6,13100000*(1.429962^(MIN($E3511,123)-117)))*1,0))</f>
        <v>155366</v>
      </c>
      <c r="S3511" s="13">
        <f>$E3511+8</f>
        <v>107</v>
      </c>
      <c r="T3511" s="14">
        <f>IF($J3511=0,0,ROUND(MAX($J3511*1.4*1.5*1.6*1.6*2.2,42600000*(1.576904^(MIN($E3511,123)-117)))*1,0))</f>
        <v>341806</v>
      </c>
      <c r="U3511" s="11">
        <f>$E3511+11</f>
        <v>110</v>
      </c>
      <c r="V3511" s="12">
        <f>IF($J3511=0,0,ROUND(MAX($J3511*1.4*1.5*1.6*1.6*2.2*2.715,354000000*(1.642074^(MIN($E3511,123)-117)))*1,0))</f>
        <v>928004</v>
      </c>
      <c r="W3511" s="13">
        <f>$E3511+15</f>
        <v>114</v>
      </c>
      <c r="X3511" s="14">
        <f>IF($J3511=0,0,ROUND(MAX($J3511*1.4*1.5*1.6*1.6*2.2*2.715*2.6,3540000000*(1.579646^(MIN($E3511,123)-117)))*1,0))</f>
        <v>2412809</v>
      </c>
      <c r="Y3511" s="11">
        <f>$E3511+17</f>
        <v>116</v>
      </c>
      <c r="Z3511" s="12">
        <f>IF($J3511=0,0,ROUND(MAX($J3511*1.4*1.5*1.6*1.6*2.2*2.715*2.6*1.4,6020000000*(1.651178^(MIN($E3511,123)-117)))*1,0))</f>
        <v>3377933</v>
      </c>
      <c r="AA3511" s="13">
        <f>$E3511+19</f>
        <v>118</v>
      </c>
      <c r="AB3511" s="14">
        <f>IF($J3511=0,0,ROUND(MAX($J3511*1.4*1.5*1.6*1.6*2.2*2.715*2.6*1.4*1.4,8430000000*(1.651435^(MIN($E3511,123)-117)))*1,0))</f>
        <v>4729106</v>
      </c>
      <c r="AC3511" s="11">
        <f>$E3511+21</f>
        <v>120</v>
      </c>
      <c r="AD3511" s="12">
        <f>IF($J3511=0,0,ROUND(MAX($J3511*1.4*1.5*1.6*1.6*2.2*2.715*2.6*1.4*1.4*1.5,12600000000*(1.652953^(MIN($E3511,123)-117)))*1,0))</f>
        <v>7093659</v>
      </c>
      <c r="AE3511" s="13">
        <f>$E3511+24</f>
        <v>123</v>
      </c>
      <c r="AF3511" s="14">
        <f>IF($J3511=0,0,ROUND(MAX($J3511*1.4*1.5*1.6*1.6*2.2*2.715*2.6*1.4*1.4*1.5*1.5,18900000000*(1.65331^(MIN($E3511,123)-117)))*1,0))</f>
        <v>10640488</v>
      </c>
      <c r="AG3511" s="11">
        <f>$E3511+27</f>
        <v>126</v>
      </c>
      <c r="AH3511" s="12">
        <f>IF($J3511=0,0,ROUND(MAX($J3511*1.4*1.5*1.6*1.6*2.2*2.715*2.6*1.4*1.4*1.5*1.5*3.2,60500000000*(1.654288^(MIN($E3511,123)-117)))*1,0))</f>
        <v>34049562</v>
      </c>
    </row>
    <row r="3512" ht="28" customHeight="1" spans="1:34" x14ac:dyDescent="0.25">
      <c r="A3512">
        <v>3522</v>
      </c>
      <c r="B3512" t="s">
        <v>534</v>
      </c>
      <c r="C3512" s="10" t="s">
        <v>1785</v>
      </c>
      <c r="D3512" t="s">
        <v>79</v>
      </c>
      <c r="E3512">
        <v>99</v>
      </c>
      <c r="F3512" t="s">
        <v>310</v>
      </c>
      <c r="G3512" t="s">
        <v>562</v>
      </c>
      <c r="H3512">
        <v>21</v>
      </c>
      <c r="I3512" s="11">
        <f>$E3512+0</f>
        <v>99</v>
      </c>
      <c r="J3512" s="12">
        <v>87800</v>
      </c>
      <c r="K3512" s="13">
        <f>$E3512+1</f>
        <v>100</v>
      </c>
      <c r="L3512" s="14">
        <f>IF($J3512=0,0,ROUND(MAX($J3512*1.4,1620000*(1.497923^(MIN($E3512,123)-117)))*1,0))</f>
        <v>122920</v>
      </c>
      <c r="M3512" s="11">
        <f>$E3512+2</f>
        <v>101</v>
      </c>
      <c r="N3512" s="12">
        <f>IF($J3512=0,0,ROUND(MAX($J3512*1.4*1.5,2190000*(1.580994^(MIN($E3512,123)-117)))*1,0))</f>
        <v>184380</v>
      </c>
      <c r="O3512" s="13">
        <f>$E3512+4</f>
        <v>103</v>
      </c>
      <c r="P3512" s="14">
        <f>IF($J3512=0,0,ROUND(MAX($J3512*1.4*1.5*1.6,3500000*(1.57975^(MIN($E3512,123)-117)))*1,0))</f>
        <v>295008</v>
      </c>
      <c r="Q3512" s="11">
        <f>$E3512+6</f>
        <v>105</v>
      </c>
      <c r="R3512" s="12">
        <f>IF($J3512=0,0,ROUND(MAX($J3512*1.4*1.5*1.6*1.6,13100000*(1.429962^(MIN($E3512,123)-117)))*1,0))</f>
        <v>472013</v>
      </c>
      <c r="S3512" s="13">
        <f>$E3512+8</f>
        <v>107</v>
      </c>
      <c r="T3512" s="14">
        <f>IF($J3512=0,0,ROUND(MAX($J3512*1.4*1.5*1.6*1.6*2.2,42600000*(1.576904^(MIN($E3512,123)-117)))*1,0))</f>
        <v>1038428</v>
      </c>
      <c r="U3512" s="11">
        <f>$E3512+11</f>
        <v>110</v>
      </c>
      <c r="V3512" s="12">
        <f>IF($J3512=0,0,ROUND(MAX($J3512*1.4*1.5*1.6*1.6*2.2*2.715,354000000*(1.642074^(MIN($E3512,123)-117)))*1,0))</f>
        <v>2819332</v>
      </c>
      <c r="W3512" s="13">
        <f>$E3512+15</f>
        <v>114</v>
      </c>
      <c r="X3512" s="14">
        <f>IF($J3512=0,0,ROUND(MAX($J3512*1.4*1.5*1.6*1.6*2.2*2.715*2.6,3540000000*(1.579646^(MIN($E3512,123)-117)))*1,0))</f>
        <v>7330264</v>
      </c>
      <c r="Y3512" s="11">
        <f>$E3512+17</f>
        <v>116</v>
      </c>
      <c r="Z3512" s="12">
        <f>IF($J3512=0,0,ROUND(MAX($J3512*1.4*1.5*1.6*1.6*2.2*2.715*2.6*1.4,6020000000*(1.651178^(MIN($E3512,123)-117)))*1,0))</f>
        <v>10262370</v>
      </c>
      <c r="AA3512" s="13">
        <f>$E3512+19</f>
        <v>118</v>
      </c>
      <c r="AB3512" s="14">
        <f>IF($J3512=0,0,ROUND(MAX($J3512*1.4*1.5*1.6*1.6*2.2*2.715*2.6*1.4*1.4,8430000000*(1.651435^(MIN($E3512,123)-117)))*1,0))</f>
        <v>14367318</v>
      </c>
      <c r="AC3512" s="11">
        <f>$E3512+21</f>
        <v>120</v>
      </c>
      <c r="AD3512" s="12">
        <f>IF($J3512=0,0,ROUND(MAX($J3512*1.4*1.5*1.6*1.6*2.2*2.715*2.6*1.4*1.4*1.5,12600000000*(1.652953^(MIN($E3512,123)-117)))*1,0))</f>
        <v>21550977</v>
      </c>
      <c r="AE3512" s="13">
        <f>$E3512+24</f>
        <v>123</v>
      </c>
      <c r="AF3512" s="14">
        <f>IF($J3512=0,0,ROUND(MAX($J3512*1.4*1.5*1.6*1.6*2.2*2.715*2.6*1.4*1.4*1.5*1.5,18900000000*(1.65331^(MIN($E3512,123)-117)))*1,0))</f>
        <v>32326466</v>
      </c>
      <c r="AG3512" s="11">
        <f>$E3512+27</f>
        <v>126</v>
      </c>
      <c r="AH3512" s="12">
        <f>IF($J3512=0,0,ROUND(MAX($J3512*1.4*1.5*1.6*1.6*2.2*2.715*2.6*1.4*1.4*1.5*1.5*3.2,60500000000*(1.654288^(MIN($E3512,123)-117)))*1,0))</f>
        <v>103444691</v>
      </c>
    </row>
    <row r="3513" ht="28" customHeight="1" spans="1:34" x14ac:dyDescent="0.25">
      <c r="A3513">
        <v>3523</v>
      </c>
      <c r="B3513" t="s">
        <v>41</v>
      </c>
      <c r="C3513" s="10" t="s">
        <v>1807</v>
      </c>
      <c r="D3513" t="s">
        <v>29</v>
      </c>
      <c r="E3513">
        <v>106</v>
      </c>
      <c r="F3513" t="s">
        <v>42</v>
      </c>
      <c r="G3513" t="s">
        <v>562</v>
      </c>
      <c r="H3513">
        <v>26</v>
      </c>
      <c r="I3513" s="11">
        <f>$E3513+0</f>
        <v>106</v>
      </c>
      <c r="J3513" s="12">
        <v>42000</v>
      </c>
      <c r="K3513" s="13">
        <f>$E3513+1</f>
        <v>107</v>
      </c>
      <c r="L3513" s="14">
        <f>IF($J3513=0,0,ROUND(MAX($J3513*1.4,1620000*(1.497923^(MIN($E3513,123)-117)))*1,0))</f>
        <v>58800</v>
      </c>
      <c r="M3513" s="11">
        <f>$E3513+2</f>
        <v>108</v>
      </c>
      <c r="N3513" s="12">
        <f>IF($J3513=0,0,ROUND(MAX($J3513*1.4*1.5,2190000*(1.580994^(MIN($E3513,123)-117)))*1,0))</f>
        <v>88200</v>
      </c>
      <c r="O3513" s="13">
        <f>$E3513+4</f>
        <v>110</v>
      </c>
      <c r="P3513" s="14">
        <f>IF($J3513=0,0,ROUND(MAX($J3513*1.4*1.5*1.6,3500000*(1.57975^(MIN($E3513,123)-117)))*1,0))</f>
        <v>141120</v>
      </c>
      <c r="Q3513" s="11">
        <f>$E3513+6</f>
        <v>112</v>
      </c>
      <c r="R3513" s="12">
        <f>IF($J3513=0,0,ROUND(MAX($J3513*1.4*1.5*1.6*1.6,13100000*(1.429962^(MIN($E3513,123)-117)))*1,0))</f>
        <v>256272</v>
      </c>
      <c r="S3513" s="13">
        <f>$E3513+8</f>
        <v>114</v>
      </c>
      <c r="T3513" s="14">
        <f>IF($J3513=0,0,ROUND(MAX($J3513*1.4*1.5*1.6*1.6*2.2,42600000*(1.576904^(MIN($E3513,123)-117)))*1,0))</f>
        <v>496742</v>
      </c>
      <c r="U3513" s="11">
        <f>$E3513+11</f>
        <v>117</v>
      </c>
      <c r="V3513" s="12">
        <f>IF($J3513=0,0,ROUND(MAX($J3513*1.4*1.5*1.6*1.6*2.2*2.715,354000000*(1.642074^(MIN($E3513,123)-117)))*1,0))</f>
        <v>1512458</v>
      </c>
      <c r="W3513" s="13">
        <f>$E3513+15</f>
        <v>121</v>
      </c>
      <c r="X3513" s="14">
        <f>IF($J3513=0,0,ROUND(MAX($J3513*1.4*1.5*1.6*1.6*2.2*2.715*2.6,3540000000*(1.579646^(MIN($E3513,123)-117)))*1,0))</f>
        <v>23165718</v>
      </c>
      <c r="Y3513" s="11">
        <f>$E3513+17</f>
        <v>123</v>
      </c>
      <c r="Z3513" s="12">
        <f>IF($J3513=0,0,ROUND(MAX($J3513*1.4*1.5*1.6*1.6*2.2*2.715*2.6*1.4,6020000000*(1.651178^(MIN($E3513,123)-117)))*1,0))</f>
        <v>24202691</v>
      </c>
      <c r="AA3513" s="13">
        <f>$E3513+19</f>
        <v>125</v>
      </c>
      <c r="AB3513" s="14">
        <f>IF($J3513=0,0,ROUND(MAX($J3513*1.4*1.5*1.6*1.6*2.2*2.715*2.6*1.4*1.4,8430000000*(1.651435^(MIN($E3513,123)-117)))*1,0))</f>
        <v>33833836</v>
      </c>
      <c r="AC3513" s="11">
        <f>$E3513+21</f>
        <v>127</v>
      </c>
      <c r="AD3513" s="12">
        <f>IF($J3513=0,0,ROUND(MAX($J3513*1.4*1.5*1.6*1.6*2.2*2.715*2.6*1.4*1.4*1.5,12600000000*(1.652953^(MIN($E3513,123)-117)))*1,0))</f>
        <v>50061630</v>
      </c>
      <c r="AE3513" s="13">
        <f>$E3513+24</f>
        <v>130</v>
      </c>
      <c r="AF3513" s="14">
        <f>IF($J3513=0,0,ROUND(MAX($J3513*1.4*1.5*1.6*1.6*2.2*2.715*2.6*1.4*1.4*1.5*1.5,18900000000*(1.65331^(MIN($E3513,123)-117)))*1,0))</f>
        <v>74914276</v>
      </c>
      <c r="AG3513" s="11">
        <f>$E3513+27</f>
        <v>133</v>
      </c>
      <c r="AH3513" s="12">
        <f>IF($J3513=0,0,ROUND(MAX($J3513*1.4*1.5*1.6*1.6*2.2*2.715*2.6*1.4*1.4*1.5*1.5*3.2,60500000000*(1.654288^(MIN($E3513,123)-117)))*1,0))</f>
        <v>238250083</v>
      </c>
    </row>
    <row r="3514" ht="28" customHeight="1" spans="1:34" x14ac:dyDescent="0.25">
      <c r="A3514">
        <v>3524</v>
      </c>
      <c r="B3514" t="s">
        <v>251</v>
      </c>
      <c r="C3514" s="10" t="s">
        <v>1807</v>
      </c>
      <c r="D3514" t="s">
        <v>64</v>
      </c>
      <c r="E3514">
        <v>106</v>
      </c>
      <c r="F3514" t="s">
        <v>59</v>
      </c>
      <c r="G3514" t="s">
        <v>252</v>
      </c>
      <c r="H3514">
        <v>26</v>
      </c>
      <c r="I3514" s="11">
        <f>$E3514+0</f>
        <v>106</v>
      </c>
      <c r="J3514" s="12">
        <v>141000</v>
      </c>
      <c r="K3514" s="13">
        <f>$E3514+1</f>
        <v>107</v>
      </c>
      <c r="L3514" s="14">
        <f>IF($J3514=0,0,ROUND(MAX($J3514*1.4,1620000*(1.497923^(MIN($E3514,123)-117)))*1,0))</f>
        <v>197400</v>
      </c>
      <c r="M3514" s="11">
        <f>$E3514+2</f>
        <v>108</v>
      </c>
      <c r="N3514" s="12">
        <f>IF($J3514=0,0,ROUND(MAX($J3514*1.4*1.5,2190000*(1.580994^(MIN($E3514,123)-117)))*1,0))</f>
        <v>296100</v>
      </c>
      <c r="O3514" s="13">
        <f>$E3514+4</f>
        <v>110</v>
      </c>
      <c r="P3514" s="14">
        <f>IF($J3514=0,0,ROUND(MAX($J3514*1.4*1.5*1.6,3500000*(1.57975^(MIN($E3514,123)-117)))*1,0))</f>
        <v>473760</v>
      </c>
      <c r="Q3514" s="11">
        <f>$E3514+6</f>
        <v>112</v>
      </c>
      <c r="R3514" s="12">
        <f>IF($J3514=0,0,ROUND(MAX($J3514*1.4*1.5*1.6*1.6,13100000*(1.429962^(MIN($E3514,123)-117)))*1,0))</f>
        <v>758016</v>
      </c>
      <c r="S3514" s="13">
        <f>$E3514+8</f>
        <v>114</v>
      </c>
      <c r="T3514" s="14">
        <f>IF($J3514=0,0,ROUND(MAX($J3514*1.4*1.5*1.6*1.6*2.2,42600000*(1.576904^(MIN($E3514,123)-117)))*1,0))</f>
        <v>1667635</v>
      </c>
      <c r="U3514" s="11">
        <f>$E3514+11</f>
        <v>117</v>
      </c>
      <c r="V3514" s="12">
        <f>IF($J3514=0,0,ROUND(MAX($J3514*1.4*1.5*1.6*1.6*2.2*2.715,354000000*(1.642074^(MIN($E3514,123)-117)))*1,0))</f>
        <v>4527630</v>
      </c>
      <c r="W3514" s="13">
        <f>$E3514+15</f>
        <v>121</v>
      </c>
      <c r="X3514" s="14">
        <f>IF($J3514=0,0,ROUND(MAX($J3514*1.4*1.5*1.6*1.6*2.2*2.715*2.6,3540000000*(1.579646^(MIN($E3514,123)-117)))*1,0))</f>
        <v>23165718</v>
      </c>
      <c r="Y3514" s="11">
        <f>$E3514+17</f>
        <v>123</v>
      </c>
      <c r="Z3514" s="12">
        <f>IF($J3514=0,0,ROUND(MAX($J3514*1.4*1.5*1.6*1.6*2.2*2.715*2.6*1.4,6020000000*(1.651178^(MIN($E3514,123)-117)))*1,0))</f>
        <v>24202691</v>
      </c>
      <c r="AA3514" s="13">
        <f>$E3514+19</f>
        <v>125</v>
      </c>
      <c r="AB3514" s="14">
        <f>IF($J3514=0,0,ROUND(MAX($J3514*1.4*1.5*1.6*1.6*2.2*2.715*2.6*1.4*1.4,8430000000*(1.651435^(MIN($E3514,123)-117)))*1,0))</f>
        <v>33833836</v>
      </c>
      <c r="AC3514" s="11">
        <f>$E3514+21</f>
        <v>127</v>
      </c>
      <c r="AD3514" s="12">
        <f>IF($J3514=0,0,ROUND(MAX($J3514*1.4*1.5*1.6*1.6*2.2*2.715*2.6*1.4*1.4*1.5,12600000000*(1.652953^(MIN($E3514,123)-117)))*1,0))</f>
        <v>50061630</v>
      </c>
      <c r="AE3514" s="13">
        <f>$E3514+24</f>
        <v>130</v>
      </c>
      <c r="AF3514" s="14">
        <f>IF($J3514=0,0,ROUND(MAX($J3514*1.4*1.5*1.6*1.6*2.2*2.715*2.6*1.4*1.4*1.5*1.5,18900000000*(1.65331^(MIN($E3514,123)-117)))*1,0))</f>
        <v>74914276</v>
      </c>
      <c r="AG3514" s="11">
        <f>$E3514+27</f>
        <v>133</v>
      </c>
      <c r="AH3514" s="12">
        <f>IF($J3514=0,0,ROUND(MAX($J3514*1.4*1.5*1.6*1.6*2.2*2.715*2.6*1.4*1.4*1.5*1.5*3.2,60500000000*(1.654288^(MIN($E3514,123)-117)))*1,0))</f>
        <v>238250083</v>
      </c>
    </row>
    <row r="3515" ht="28" customHeight="1" spans="1:34" x14ac:dyDescent="0.25">
      <c r="A3515">
        <v>3525</v>
      </c>
      <c r="B3515" t="s">
        <v>53</v>
      </c>
      <c r="C3515" s="10" t="s">
        <v>1807</v>
      </c>
      <c r="D3515" t="s">
        <v>25</v>
      </c>
      <c r="E3515">
        <v>106</v>
      </c>
      <c r="F3515" t="s">
        <v>54</v>
      </c>
      <c r="G3515" t="s">
        <v>562</v>
      </c>
      <c r="H3515">
        <v>26</v>
      </c>
      <c r="I3515" s="11">
        <f>$E3515+0</f>
        <v>106</v>
      </c>
      <c r="J3515" s="12">
        <v>83500</v>
      </c>
      <c r="K3515" s="13">
        <f>$E3515+1</f>
        <v>107</v>
      </c>
      <c r="L3515" s="14">
        <f>IF($J3515=0,0,ROUND(MAX($J3515*1.4,1620000*(1.497923^(MIN($E3515,123)-117)))*1,0))</f>
        <v>116900</v>
      </c>
      <c r="M3515" s="11">
        <f>$E3515+2</f>
        <v>108</v>
      </c>
      <c r="N3515" s="12">
        <f>IF($J3515=0,0,ROUND(MAX($J3515*1.4*1.5,2190000*(1.580994^(MIN($E3515,123)-117)))*1,0))</f>
        <v>175350</v>
      </c>
      <c r="O3515" s="13">
        <f>$E3515+4</f>
        <v>110</v>
      </c>
      <c r="P3515" s="14">
        <f>IF($J3515=0,0,ROUND(MAX($J3515*1.4*1.5*1.6,3500000*(1.57975^(MIN($E3515,123)-117)))*1,0))</f>
        <v>280560</v>
      </c>
      <c r="Q3515" s="11">
        <f>$E3515+6</f>
        <v>112</v>
      </c>
      <c r="R3515" s="12">
        <f>IF($J3515=0,0,ROUND(MAX($J3515*1.4*1.5*1.6*1.6,13100000*(1.429962^(MIN($E3515,123)-117)))*1,0))</f>
        <v>448896</v>
      </c>
      <c r="S3515" s="13">
        <f>$E3515+8</f>
        <v>114</v>
      </c>
      <c r="T3515" s="14">
        <f>IF($J3515=0,0,ROUND(MAX($J3515*1.4*1.5*1.6*1.6*2.2,42600000*(1.576904^(MIN($E3515,123)-117)))*1,0))</f>
        <v>987571</v>
      </c>
      <c r="U3515" s="11">
        <f>$E3515+11</f>
        <v>117</v>
      </c>
      <c r="V3515" s="12">
        <f>IF($J3515=0,0,ROUND(MAX($J3515*1.4*1.5*1.6*1.6*2.2*2.715,354000000*(1.642074^(MIN($E3515,123)-117)))*1,0))</f>
        <v>2681256</v>
      </c>
      <c r="W3515" s="13">
        <f>$E3515+15</f>
        <v>121</v>
      </c>
      <c r="X3515" s="14">
        <f>IF($J3515=0,0,ROUND(MAX($J3515*1.4*1.5*1.6*1.6*2.2*2.715*2.6,3540000000*(1.579646^(MIN($E3515,123)-117)))*1,0))</f>
        <v>23165718</v>
      </c>
      <c r="Y3515" s="11">
        <f>$E3515+17</f>
        <v>123</v>
      </c>
      <c r="Z3515" s="12">
        <f>IF($J3515=0,0,ROUND(MAX($J3515*1.4*1.5*1.6*1.6*2.2*2.715*2.6*1.4,6020000000*(1.651178^(MIN($E3515,123)-117)))*1,0))</f>
        <v>24202691</v>
      </c>
      <c r="AA3515" s="13">
        <f>$E3515+19</f>
        <v>125</v>
      </c>
      <c r="AB3515" s="14">
        <f>IF($J3515=0,0,ROUND(MAX($J3515*1.4*1.5*1.6*1.6*2.2*2.715*2.6*1.4*1.4,8430000000*(1.651435^(MIN($E3515,123)-117)))*1,0))</f>
        <v>33833836</v>
      </c>
      <c r="AC3515" s="11">
        <f>$E3515+21</f>
        <v>127</v>
      </c>
      <c r="AD3515" s="12">
        <f>IF($J3515=0,0,ROUND(MAX($J3515*1.4*1.5*1.6*1.6*2.2*2.715*2.6*1.4*1.4*1.5,12600000000*(1.652953^(MIN($E3515,123)-117)))*1,0))</f>
        <v>50061630</v>
      </c>
      <c r="AE3515" s="13">
        <f>$E3515+24</f>
        <v>130</v>
      </c>
      <c r="AF3515" s="14">
        <f>IF($J3515=0,0,ROUND(MAX($J3515*1.4*1.5*1.6*1.6*2.2*2.715*2.6*1.4*1.4*1.5*1.5,18900000000*(1.65331^(MIN($E3515,123)-117)))*1,0))</f>
        <v>74914276</v>
      </c>
      <c r="AG3515" s="11">
        <f>$E3515+27</f>
        <v>133</v>
      </c>
      <c r="AH3515" s="12">
        <f>IF($J3515=0,0,ROUND(MAX($J3515*1.4*1.5*1.6*1.6*2.2*2.715*2.6*1.4*1.4*1.5*1.5*3.2,60500000000*(1.654288^(MIN($E3515,123)-117)))*1,0))</f>
        <v>238250083</v>
      </c>
    </row>
    <row r="3516" ht="28" customHeight="1" spans="1:34" x14ac:dyDescent="0.25">
      <c r="A3516">
        <v>3526</v>
      </c>
      <c r="B3516" t="s">
        <v>58</v>
      </c>
      <c r="C3516" s="10" t="s">
        <v>1807</v>
      </c>
      <c r="D3516" t="s">
        <v>29</v>
      </c>
      <c r="E3516">
        <v>106</v>
      </c>
      <c r="F3516" t="s">
        <v>59</v>
      </c>
      <c r="G3516" t="s">
        <v>562</v>
      </c>
      <c r="H3516">
        <v>25</v>
      </c>
      <c r="I3516" s="11">
        <f>$E3516+0</f>
        <v>106</v>
      </c>
      <c r="J3516" s="12">
        <v>24900</v>
      </c>
      <c r="K3516" s="13">
        <f>$E3516+1</f>
        <v>107</v>
      </c>
      <c r="L3516" s="14">
        <f>IF($J3516=0,0,ROUND(MAX($J3516*1.4,1620000*(1.497923^(MIN($E3516,123)-117)))*1,0))</f>
        <v>34860</v>
      </c>
      <c r="M3516" s="11">
        <f>$E3516+2</f>
        <v>108</v>
      </c>
      <c r="N3516" s="12">
        <f>IF($J3516=0,0,ROUND(MAX($J3516*1.4*1.5,2190000*(1.580994^(MIN($E3516,123)-117)))*1,0))</f>
        <v>52290</v>
      </c>
      <c r="O3516" s="13">
        <f>$E3516+4</f>
        <v>110</v>
      </c>
      <c r="P3516" s="14">
        <f>IF($J3516=0,0,ROUND(MAX($J3516*1.4*1.5*1.6,3500000*(1.57975^(MIN($E3516,123)-117)))*1,0))</f>
        <v>83664</v>
      </c>
      <c r="Q3516" s="11">
        <f>$E3516+6</f>
        <v>112</v>
      </c>
      <c r="R3516" s="12">
        <f>IF($J3516=0,0,ROUND(MAX($J3516*1.4*1.5*1.6*1.6,13100000*(1.429962^(MIN($E3516,123)-117)))*1,0))</f>
        <v>256272</v>
      </c>
      <c r="S3516" s="13">
        <f>$E3516+8</f>
        <v>114</v>
      </c>
      <c r="T3516" s="14">
        <f>IF($J3516=0,0,ROUND(MAX($J3516*1.4*1.5*1.6*1.6*2.2,42600000*(1.576904^(MIN($E3516,123)-117)))*1,0))</f>
        <v>294497</v>
      </c>
      <c r="U3516" s="11">
        <f>$E3516+11</f>
        <v>117</v>
      </c>
      <c r="V3516" s="12">
        <f>IF($J3516=0,0,ROUND(MAX($J3516*1.4*1.5*1.6*1.6*2.2*2.715,354000000*(1.642074^(MIN($E3516,123)-117)))*1,0))</f>
        <v>1512458</v>
      </c>
      <c r="W3516" s="13">
        <f>$E3516+15</f>
        <v>121</v>
      </c>
      <c r="X3516" s="14">
        <f>IF($J3516=0,0,ROUND(MAX($J3516*1.4*1.5*1.6*1.6*2.2*2.715*2.6,3540000000*(1.579646^(MIN($E3516,123)-117)))*1,0))</f>
        <v>23165718</v>
      </c>
      <c r="Y3516" s="11">
        <f>$E3516+17</f>
        <v>123</v>
      </c>
      <c r="Z3516" s="12">
        <f>IF($J3516=0,0,ROUND(MAX($J3516*1.4*1.5*1.6*1.6*2.2*2.715*2.6*1.4,6020000000*(1.651178^(MIN($E3516,123)-117)))*1,0))</f>
        <v>24202691</v>
      </c>
      <c r="AA3516" s="13">
        <f>$E3516+19</f>
        <v>125</v>
      </c>
      <c r="AB3516" s="14">
        <f>IF($J3516=0,0,ROUND(MAX($J3516*1.4*1.5*1.6*1.6*2.2*2.715*2.6*1.4*1.4,8430000000*(1.651435^(MIN($E3516,123)-117)))*1,0))</f>
        <v>33833836</v>
      </c>
      <c r="AC3516" s="11">
        <f>$E3516+21</f>
        <v>127</v>
      </c>
      <c r="AD3516" s="12">
        <f>IF($J3516=0,0,ROUND(MAX($J3516*1.4*1.5*1.6*1.6*2.2*2.715*2.6*1.4*1.4*1.5,12600000000*(1.652953^(MIN($E3516,123)-117)))*1,0))</f>
        <v>50061630</v>
      </c>
      <c r="AE3516" s="13">
        <f>$E3516+24</f>
        <v>130</v>
      </c>
      <c r="AF3516" s="14">
        <f>IF($J3516=0,0,ROUND(MAX($J3516*1.4*1.5*1.6*1.6*2.2*2.715*2.6*1.4*1.4*1.5*1.5,18900000000*(1.65331^(MIN($E3516,123)-117)))*1,0))</f>
        <v>74914276</v>
      </c>
      <c r="AG3516" s="11">
        <f>$E3516+27</f>
        <v>133</v>
      </c>
      <c r="AH3516" s="12">
        <f>IF($J3516=0,0,ROUND(MAX($J3516*1.4*1.5*1.6*1.6*2.2*2.715*2.6*1.4*1.4*1.5*1.5*3.2,60500000000*(1.654288^(MIN($E3516,123)-117)))*1,0))</f>
        <v>238250083</v>
      </c>
    </row>
    <row r="3517" ht="28" customHeight="1" spans="1:34" x14ac:dyDescent="0.25">
      <c r="A3517">
        <v>3527</v>
      </c>
      <c r="B3517" t="s">
        <v>50</v>
      </c>
      <c r="C3517" s="10" t="s">
        <v>1807</v>
      </c>
      <c r="D3517" t="s">
        <v>40</v>
      </c>
      <c r="E3517">
        <v>106</v>
      </c>
      <c r="F3517" t="s">
        <v>42</v>
      </c>
      <c r="G3517" t="s">
        <v>562</v>
      </c>
      <c r="H3517">
        <v>25</v>
      </c>
      <c r="I3517" s="11">
        <f>$E3517+0</f>
        <v>106</v>
      </c>
      <c r="J3517" s="12">
        <v>28800</v>
      </c>
      <c r="K3517" s="13">
        <f>$E3517+1</f>
        <v>107</v>
      </c>
      <c r="L3517" s="14">
        <f>IF($J3517=0,0,ROUND(MAX($J3517*1.4,1620000*(1.497923^(MIN($E3517,123)-117)))*1,0))</f>
        <v>40320</v>
      </c>
      <c r="M3517" s="11">
        <f>$E3517+2</f>
        <v>108</v>
      </c>
      <c r="N3517" s="12">
        <f>IF($J3517=0,0,ROUND(MAX($J3517*1.4*1.5,2190000*(1.580994^(MIN($E3517,123)-117)))*1,0))</f>
        <v>60480</v>
      </c>
      <c r="O3517" s="13">
        <f>$E3517+4</f>
        <v>110</v>
      </c>
      <c r="P3517" s="14">
        <f>IF($J3517=0,0,ROUND(MAX($J3517*1.4*1.5*1.6,3500000*(1.57975^(MIN($E3517,123)-117)))*1,0))</f>
        <v>96768</v>
      </c>
      <c r="Q3517" s="11">
        <f>$E3517+6</f>
        <v>112</v>
      </c>
      <c r="R3517" s="12">
        <f>IF($J3517=0,0,ROUND(MAX($J3517*1.4*1.5*1.6*1.6,13100000*(1.429962^(MIN($E3517,123)-117)))*1,0))</f>
        <v>256272</v>
      </c>
      <c r="S3517" s="13">
        <f>$E3517+8</f>
        <v>114</v>
      </c>
      <c r="T3517" s="14">
        <f>IF($J3517=0,0,ROUND(MAX($J3517*1.4*1.5*1.6*1.6*2.2,42600000*(1.576904^(MIN($E3517,123)-117)))*1,0))</f>
        <v>340623</v>
      </c>
      <c r="U3517" s="11">
        <f>$E3517+11</f>
        <v>117</v>
      </c>
      <c r="V3517" s="12">
        <f>IF($J3517=0,0,ROUND(MAX($J3517*1.4*1.5*1.6*1.6*2.2*2.715,354000000*(1.642074^(MIN($E3517,123)-117)))*1,0))</f>
        <v>1512458</v>
      </c>
      <c r="W3517" s="13">
        <f>$E3517+15</f>
        <v>121</v>
      </c>
      <c r="X3517" s="14">
        <f>IF($J3517=0,0,ROUND(MAX($J3517*1.4*1.5*1.6*1.6*2.2*2.715*2.6,3540000000*(1.579646^(MIN($E3517,123)-117)))*1,0))</f>
        <v>23165718</v>
      </c>
      <c r="Y3517" s="11">
        <f>$E3517+17</f>
        <v>123</v>
      </c>
      <c r="Z3517" s="12">
        <f>IF($J3517=0,0,ROUND(MAX($J3517*1.4*1.5*1.6*1.6*2.2*2.715*2.6*1.4,6020000000*(1.651178^(MIN($E3517,123)-117)))*1,0))</f>
        <v>24202691</v>
      </c>
      <c r="AA3517" s="13">
        <f>$E3517+19</f>
        <v>125</v>
      </c>
      <c r="AB3517" s="14">
        <f>IF($J3517=0,0,ROUND(MAX($J3517*1.4*1.5*1.6*1.6*2.2*2.715*2.6*1.4*1.4,8430000000*(1.651435^(MIN($E3517,123)-117)))*1,0))</f>
        <v>33833836</v>
      </c>
      <c r="AC3517" s="11">
        <f>$E3517+21</f>
        <v>127</v>
      </c>
      <c r="AD3517" s="12">
        <f>IF($J3517=0,0,ROUND(MAX($J3517*1.4*1.5*1.6*1.6*2.2*2.715*2.6*1.4*1.4*1.5,12600000000*(1.652953^(MIN($E3517,123)-117)))*1,0))</f>
        <v>50061630</v>
      </c>
      <c r="AE3517" s="13">
        <f>$E3517+24</f>
        <v>130</v>
      </c>
      <c r="AF3517" s="14">
        <f>IF($J3517=0,0,ROUND(MAX($J3517*1.4*1.5*1.6*1.6*2.2*2.715*2.6*1.4*1.4*1.5*1.5,18900000000*(1.65331^(MIN($E3517,123)-117)))*1,0))</f>
        <v>74914276</v>
      </c>
      <c r="AG3517" s="11">
        <f>$E3517+27</f>
        <v>133</v>
      </c>
      <c r="AH3517" s="12">
        <f>IF($J3517=0,0,ROUND(MAX($J3517*1.4*1.5*1.6*1.6*2.2*2.715*2.6*1.4*1.4*1.5*1.5*3.2,60500000000*(1.654288^(MIN($E3517,123)-117)))*1,0))</f>
        <v>238250083</v>
      </c>
    </row>
    <row r="3518" ht="28" customHeight="1" spans="1:34" x14ac:dyDescent="0.25">
      <c r="A3518">
        <v>3528</v>
      </c>
      <c r="B3518" t="s">
        <v>541</v>
      </c>
      <c r="C3518" s="10" t="s">
        <v>1807</v>
      </c>
      <c r="D3518" t="s">
        <v>40</v>
      </c>
      <c r="E3518">
        <v>106</v>
      </c>
      <c r="F3518" t="s">
        <v>54</v>
      </c>
      <c r="G3518" t="s">
        <v>472</v>
      </c>
      <c r="H3518">
        <v>25</v>
      </c>
      <c r="I3518" s="11">
        <f>$E3518+0</f>
        <v>106</v>
      </c>
      <c r="J3518" s="12">
        <v>41100</v>
      </c>
      <c r="K3518" s="13">
        <f>$E3518+1</f>
        <v>107</v>
      </c>
      <c r="L3518" s="14">
        <f>IF($J3518=0,0,ROUND(MAX($J3518*1.4,1620000*(1.497923^(MIN($E3518,123)-117)))*1,0))</f>
        <v>57540</v>
      </c>
      <c r="M3518" s="11">
        <f>$E3518+2</f>
        <v>108</v>
      </c>
      <c r="N3518" s="12">
        <f>IF($J3518=0,0,ROUND(MAX($J3518*1.4*1.5,2190000*(1.580994^(MIN($E3518,123)-117)))*1,0))</f>
        <v>86310</v>
      </c>
      <c r="O3518" s="13">
        <f>$E3518+4</f>
        <v>110</v>
      </c>
      <c r="P3518" s="14">
        <f>IF($J3518=0,0,ROUND(MAX($J3518*1.4*1.5*1.6,3500000*(1.57975^(MIN($E3518,123)-117)))*1,0))</f>
        <v>138096</v>
      </c>
      <c r="Q3518" s="11">
        <f>$E3518+6</f>
        <v>112</v>
      </c>
      <c r="R3518" s="12">
        <f>IF($J3518=0,0,ROUND(MAX($J3518*1.4*1.5*1.6*1.6,13100000*(1.429962^(MIN($E3518,123)-117)))*1,0))</f>
        <v>256272</v>
      </c>
      <c r="S3518" s="13">
        <f>$E3518+8</f>
        <v>114</v>
      </c>
      <c r="T3518" s="14">
        <f>IF($J3518=0,0,ROUND(MAX($J3518*1.4*1.5*1.6*1.6*2.2,42600000*(1.576904^(MIN($E3518,123)-117)))*1,0))</f>
        <v>486098</v>
      </c>
      <c r="U3518" s="11">
        <f>$E3518+11</f>
        <v>117</v>
      </c>
      <c r="V3518" s="12">
        <f>IF($J3518=0,0,ROUND(MAX($J3518*1.4*1.5*1.6*1.6*2.2*2.715,354000000*(1.642074^(MIN($E3518,123)-117)))*1,0))</f>
        <v>1512458</v>
      </c>
      <c r="W3518" s="13">
        <f>$E3518+15</f>
        <v>121</v>
      </c>
      <c r="X3518" s="14">
        <f>IF($J3518=0,0,ROUND(MAX($J3518*1.4*1.5*1.6*1.6*2.2*2.715*2.6,3540000000*(1.579646^(MIN($E3518,123)-117)))*1,0))</f>
        <v>23165718</v>
      </c>
      <c r="Y3518" s="11">
        <f>$E3518+17</f>
        <v>123</v>
      </c>
      <c r="Z3518" s="12">
        <f>IF($J3518=0,0,ROUND(MAX($J3518*1.4*1.5*1.6*1.6*2.2*2.715*2.6*1.4,6020000000*(1.651178^(MIN($E3518,123)-117)))*1,0))</f>
        <v>24202691</v>
      </c>
      <c r="AA3518" s="13">
        <f>$E3518+19</f>
        <v>125</v>
      </c>
      <c r="AB3518" s="14">
        <f>IF($J3518=0,0,ROUND(MAX($J3518*1.4*1.5*1.6*1.6*2.2*2.715*2.6*1.4*1.4,8430000000*(1.651435^(MIN($E3518,123)-117)))*1,0))</f>
        <v>33833836</v>
      </c>
      <c r="AC3518" s="11">
        <f>$E3518+21</f>
        <v>127</v>
      </c>
      <c r="AD3518" s="12">
        <f>IF($J3518=0,0,ROUND(MAX($J3518*1.4*1.5*1.6*1.6*2.2*2.715*2.6*1.4*1.4*1.5,12600000000*(1.652953^(MIN($E3518,123)-117)))*1,0))</f>
        <v>50061630</v>
      </c>
      <c r="AE3518" s="13">
        <f>$E3518+24</f>
        <v>130</v>
      </c>
      <c r="AF3518" s="14">
        <f>IF($J3518=0,0,ROUND(MAX($J3518*1.4*1.5*1.6*1.6*2.2*2.715*2.6*1.4*1.4*1.5*1.5,18900000000*(1.65331^(MIN($E3518,123)-117)))*1,0))</f>
        <v>74914276</v>
      </c>
      <c r="AG3518" s="11">
        <f>$E3518+27</f>
        <v>133</v>
      </c>
      <c r="AH3518" s="12">
        <f>IF($J3518=0,0,ROUND(MAX($J3518*1.4*1.5*1.6*1.6*2.2*2.715*2.6*1.4*1.4*1.5*1.5*3.2,60500000000*(1.654288^(MIN($E3518,123)-117)))*1,0))</f>
        <v>238250083</v>
      </c>
    </row>
    <row r="3519" ht="28" customHeight="1" spans="1:34" x14ac:dyDescent="0.25">
      <c r="A3519">
        <v>3529</v>
      </c>
      <c r="B3519" t="s">
        <v>269</v>
      </c>
      <c r="C3519" s="10" t="s">
        <v>1807</v>
      </c>
      <c r="D3519" t="s">
        <v>64</v>
      </c>
      <c r="E3519">
        <v>106</v>
      </c>
      <c r="F3519" t="s">
        <v>26</v>
      </c>
      <c r="G3519" t="s">
        <v>270</v>
      </c>
      <c r="H3519">
        <v>25</v>
      </c>
      <c r="I3519" s="11">
        <f>$E3519+0</f>
        <v>106</v>
      </c>
      <c r="J3519" s="12">
        <v>47300</v>
      </c>
      <c r="K3519" s="13">
        <f>$E3519+1</f>
        <v>107</v>
      </c>
      <c r="L3519" s="14">
        <f>IF($J3519=0,0,ROUND(MAX($J3519*1.4,1620000*(1.497923^(MIN($E3519,123)-117)))*1,0))</f>
        <v>66220</v>
      </c>
      <c r="M3519" s="11">
        <f>$E3519+2</f>
        <v>108</v>
      </c>
      <c r="N3519" s="12">
        <f>IF($J3519=0,0,ROUND(MAX($J3519*1.4*1.5,2190000*(1.580994^(MIN($E3519,123)-117)))*1,0))</f>
        <v>99330</v>
      </c>
      <c r="O3519" s="13">
        <f>$E3519+4</f>
        <v>110</v>
      </c>
      <c r="P3519" s="14">
        <f>IF($J3519=0,0,ROUND(MAX($J3519*1.4*1.5*1.6,3500000*(1.57975^(MIN($E3519,123)-117)))*1,0))</f>
        <v>158928</v>
      </c>
      <c r="Q3519" s="11">
        <f>$E3519+6</f>
        <v>112</v>
      </c>
      <c r="R3519" s="12">
        <f>IF($J3519=0,0,ROUND(MAX($J3519*1.4*1.5*1.6*1.6,13100000*(1.429962^(MIN($E3519,123)-117)))*1,0))</f>
        <v>256272</v>
      </c>
      <c r="S3519" s="13">
        <f>$E3519+8</f>
        <v>114</v>
      </c>
      <c r="T3519" s="14">
        <f>IF($J3519=0,0,ROUND(MAX($J3519*1.4*1.5*1.6*1.6*2.2,42600000*(1.576904^(MIN($E3519,123)-117)))*1,0))</f>
        <v>559427</v>
      </c>
      <c r="U3519" s="11">
        <f>$E3519+11</f>
        <v>117</v>
      </c>
      <c r="V3519" s="12">
        <f>IF($J3519=0,0,ROUND(MAX($J3519*1.4*1.5*1.6*1.6*2.2*2.715,354000000*(1.642074^(MIN($E3519,123)-117)))*1,0))</f>
        <v>1518843</v>
      </c>
      <c r="W3519" s="13">
        <f>$E3519+15</f>
        <v>121</v>
      </c>
      <c r="X3519" s="14">
        <f>IF($J3519=0,0,ROUND(MAX($J3519*1.4*1.5*1.6*1.6*2.2*2.715*2.6,3540000000*(1.579646^(MIN($E3519,123)-117)))*1,0))</f>
        <v>23165718</v>
      </c>
      <c r="Y3519" s="11">
        <f>$E3519+17</f>
        <v>123</v>
      </c>
      <c r="Z3519" s="12">
        <f>IF($J3519=0,0,ROUND(MAX($J3519*1.4*1.5*1.6*1.6*2.2*2.715*2.6*1.4,6020000000*(1.651178^(MIN($E3519,123)-117)))*1,0))</f>
        <v>24202691</v>
      </c>
      <c r="AA3519" s="13">
        <f>$E3519+19</f>
        <v>125</v>
      </c>
      <c r="AB3519" s="14">
        <f>IF($J3519=0,0,ROUND(MAX($J3519*1.4*1.5*1.6*1.6*2.2*2.715*2.6*1.4*1.4,8430000000*(1.651435^(MIN($E3519,123)-117)))*1,0))</f>
        <v>33833836</v>
      </c>
      <c r="AC3519" s="11">
        <f>$E3519+21</f>
        <v>127</v>
      </c>
      <c r="AD3519" s="12">
        <f>IF($J3519=0,0,ROUND(MAX($J3519*1.4*1.5*1.6*1.6*2.2*2.715*2.6*1.4*1.4*1.5,12600000000*(1.652953^(MIN($E3519,123)-117)))*1,0))</f>
        <v>50061630</v>
      </c>
      <c r="AE3519" s="13">
        <f>$E3519+24</f>
        <v>130</v>
      </c>
      <c r="AF3519" s="14">
        <f>IF($J3519=0,0,ROUND(MAX($J3519*1.4*1.5*1.6*1.6*2.2*2.715*2.6*1.4*1.4*1.5*1.5,18900000000*(1.65331^(MIN($E3519,123)-117)))*1,0))</f>
        <v>74914276</v>
      </c>
      <c r="AG3519" s="11">
        <f>$E3519+27</f>
        <v>133</v>
      </c>
      <c r="AH3519" s="12">
        <f>IF($J3519=0,0,ROUND(MAX($J3519*1.4*1.5*1.6*1.6*2.2*2.715*2.6*1.4*1.4*1.5*1.5*3.2,60500000000*(1.654288^(MIN($E3519,123)-117)))*1,0))</f>
        <v>238250083</v>
      </c>
    </row>
    <row r="3520" ht="28" customHeight="1" spans="1:34" x14ac:dyDescent="0.25">
      <c r="A3520">
        <v>3530</v>
      </c>
      <c r="B3520" t="s">
        <v>130</v>
      </c>
      <c r="C3520" s="10" t="s">
        <v>1807</v>
      </c>
      <c r="D3520" t="s">
        <v>45</v>
      </c>
      <c r="E3520">
        <v>106</v>
      </c>
      <c r="F3520" t="s">
        <v>56</v>
      </c>
      <c r="G3520" t="s">
        <v>562</v>
      </c>
      <c r="H3520">
        <v>25</v>
      </c>
      <c r="I3520" s="11">
        <f>$E3520+0</f>
        <v>106</v>
      </c>
      <c r="J3520" s="12">
        <v>38100</v>
      </c>
      <c r="K3520" s="13">
        <f>$E3520+1</f>
        <v>107</v>
      </c>
      <c r="L3520" s="14">
        <f>IF($J3520=0,0,ROUND(MAX($J3520*1.4,1620000*(1.497923^(MIN($E3520,123)-117)))*1,0))</f>
        <v>53340</v>
      </c>
      <c r="M3520" s="11">
        <f>$E3520+2</f>
        <v>108</v>
      </c>
      <c r="N3520" s="12">
        <f>IF($J3520=0,0,ROUND(MAX($J3520*1.4*1.5,2190000*(1.580994^(MIN($E3520,123)-117)))*1,0))</f>
        <v>80010</v>
      </c>
      <c r="O3520" s="13">
        <f>$E3520+4</f>
        <v>110</v>
      </c>
      <c r="P3520" s="14">
        <f>IF($J3520=0,0,ROUND(MAX($J3520*1.4*1.5*1.6,3500000*(1.57975^(MIN($E3520,123)-117)))*1,0))</f>
        <v>128016</v>
      </c>
      <c r="Q3520" s="11">
        <f>$E3520+6</f>
        <v>112</v>
      </c>
      <c r="R3520" s="12">
        <f>IF($J3520=0,0,ROUND(MAX($J3520*1.4*1.5*1.6*1.6,13100000*(1.429962^(MIN($E3520,123)-117)))*1,0))</f>
        <v>256272</v>
      </c>
      <c r="S3520" s="13">
        <f>$E3520+8</f>
        <v>114</v>
      </c>
      <c r="T3520" s="14">
        <f>IF($J3520=0,0,ROUND(MAX($J3520*1.4*1.5*1.6*1.6*2.2,42600000*(1.576904^(MIN($E3520,123)-117)))*1,0))</f>
        <v>450616</v>
      </c>
      <c r="U3520" s="11">
        <f>$E3520+11</f>
        <v>117</v>
      </c>
      <c r="V3520" s="12">
        <f>IF($J3520=0,0,ROUND(MAX($J3520*1.4*1.5*1.6*1.6*2.2*2.715,354000000*(1.642074^(MIN($E3520,123)-117)))*1,0))</f>
        <v>1512458</v>
      </c>
      <c r="W3520" s="13">
        <f>$E3520+15</f>
        <v>121</v>
      </c>
      <c r="X3520" s="14">
        <f>IF($J3520=0,0,ROUND(MAX($J3520*1.4*1.5*1.6*1.6*2.2*2.715*2.6,3540000000*(1.579646^(MIN($E3520,123)-117)))*1,0))</f>
        <v>23165718</v>
      </c>
      <c r="Y3520" s="11">
        <f>$E3520+17</f>
        <v>123</v>
      </c>
      <c r="Z3520" s="12">
        <f>IF($J3520=0,0,ROUND(MAX($J3520*1.4*1.5*1.6*1.6*2.2*2.715*2.6*1.4,6020000000*(1.651178^(MIN($E3520,123)-117)))*1,0))</f>
        <v>24202691</v>
      </c>
      <c r="AA3520" s="13">
        <f>$E3520+19</f>
        <v>125</v>
      </c>
      <c r="AB3520" s="14">
        <f>IF($J3520=0,0,ROUND(MAX($J3520*1.4*1.5*1.6*1.6*2.2*2.715*2.6*1.4*1.4,8430000000*(1.651435^(MIN($E3520,123)-117)))*1,0))</f>
        <v>33833836</v>
      </c>
      <c r="AC3520" s="11">
        <f>$E3520+21</f>
        <v>127</v>
      </c>
      <c r="AD3520" s="12">
        <f>IF($J3520=0,0,ROUND(MAX($J3520*1.4*1.5*1.6*1.6*2.2*2.715*2.6*1.4*1.4*1.5,12600000000*(1.652953^(MIN($E3520,123)-117)))*1,0))</f>
        <v>50061630</v>
      </c>
      <c r="AE3520" s="13">
        <f>$E3520+24</f>
        <v>130</v>
      </c>
      <c r="AF3520" s="14">
        <f>IF($J3520=0,0,ROUND(MAX($J3520*1.4*1.5*1.6*1.6*2.2*2.715*2.6*1.4*1.4*1.5*1.5,18900000000*(1.65331^(MIN($E3520,123)-117)))*1,0))</f>
        <v>74914276</v>
      </c>
      <c r="AG3520" s="11">
        <f>$E3520+27</f>
        <v>133</v>
      </c>
      <c r="AH3520" s="12">
        <f>IF($J3520=0,0,ROUND(MAX($J3520*1.4*1.5*1.6*1.6*2.2*2.715*2.6*1.4*1.4*1.5*1.5*3.2,60500000000*(1.654288^(MIN($E3520,123)-117)))*1,0))</f>
        <v>238250083</v>
      </c>
    </row>
    <row r="3521" ht="28" customHeight="1" spans="1:34" x14ac:dyDescent="0.25">
      <c r="A3521">
        <v>3531</v>
      </c>
      <c r="B3521" t="s">
        <v>154</v>
      </c>
      <c r="C3521" s="10" t="s">
        <v>1807</v>
      </c>
      <c r="D3521" t="s">
        <v>45</v>
      </c>
      <c r="E3521">
        <v>106</v>
      </c>
      <c r="F3521" t="s">
        <v>34</v>
      </c>
      <c r="G3521" t="s">
        <v>562</v>
      </c>
      <c r="H3521">
        <v>24</v>
      </c>
      <c r="I3521" s="11">
        <f>$E3521+0</f>
        <v>106</v>
      </c>
      <c r="J3521" s="12">
        <v>122000</v>
      </c>
      <c r="K3521" s="13">
        <f>$E3521+1</f>
        <v>107</v>
      </c>
      <c r="L3521" s="14">
        <f>IF($J3521=0,0,ROUND(MAX($J3521*1.4,1620000*(1.497923^(MIN($E3521,123)-117)))*1,0))</f>
        <v>170800</v>
      </c>
      <c r="M3521" s="11">
        <f>$E3521+2</f>
        <v>108</v>
      </c>
      <c r="N3521" s="12">
        <f>IF($J3521=0,0,ROUND(MAX($J3521*1.4*1.5,2190000*(1.580994^(MIN($E3521,123)-117)))*1,0))</f>
        <v>256200</v>
      </c>
      <c r="O3521" s="13">
        <f>$E3521+4</f>
        <v>110</v>
      </c>
      <c r="P3521" s="14">
        <f>IF($J3521=0,0,ROUND(MAX($J3521*1.4*1.5*1.6,3500000*(1.57975^(MIN($E3521,123)-117)))*1,0))</f>
        <v>409920</v>
      </c>
      <c r="Q3521" s="11">
        <f>$E3521+6</f>
        <v>112</v>
      </c>
      <c r="R3521" s="12">
        <f>IF($J3521=0,0,ROUND(MAX($J3521*1.4*1.5*1.6*1.6,13100000*(1.429962^(MIN($E3521,123)-117)))*1,0))</f>
        <v>655872</v>
      </c>
      <c r="S3521" s="13">
        <f>$E3521+8</f>
        <v>114</v>
      </c>
      <c r="T3521" s="14">
        <f>IF($J3521=0,0,ROUND(MAX($J3521*1.4*1.5*1.6*1.6*2.2,42600000*(1.576904^(MIN($E3521,123)-117)))*1,0))</f>
        <v>1442918</v>
      </c>
      <c r="U3521" s="11">
        <f>$E3521+11</f>
        <v>117</v>
      </c>
      <c r="V3521" s="12">
        <f>IF($J3521=0,0,ROUND(MAX($J3521*1.4*1.5*1.6*1.6*2.2*2.715,354000000*(1.642074^(MIN($E3521,123)-117)))*1,0))</f>
        <v>3917523</v>
      </c>
      <c r="W3521" s="13">
        <f>$E3521+15</f>
        <v>121</v>
      </c>
      <c r="X3521" s="14">
        <f>IF($J3521=0,0,ROUND(MAX($J3521*1.4*1.5*1.6*1.6*2.2*2.715*2.6,3540000000*(1.579646^(MIN($E3521,123)-117)))*1,0))</f>
        <v>23165718</v>
      </c>
      <c r="Y3521" s="11">
        <f>$E3521+17</f>
        <v>123</v>
      </c>
      <c r="Z3521" s="12">
        <f>IF($J3521=0,0,ROUND(MAX($J3521*1.4*1.5*1.6*1.6*2.2*2.715*2.6*1.4,6020000000*(1.651178^(MIN($E3521,123)-117)))*1,0))</f>
        <v>24202691</v>
      </c>
      <c r="AA3521" s="13">
        <f>$E3521+19</f>
        <v>125</v>
      </c>
      <c r="AB3521" s="14">
        <f>IF($J3521=0,0,ROUND(MAX($J3521*1.4*1.5*1.6*1.6*2.2*2.715*2.6*1.4*1.4,8430000000*(1.651435^(MIN($E3521,123)-117)))*1,0))</f>
        <v>33833836</v>
      </c>
      <c r="AC3521" s="11">
        <f>$E3521+21</f>
        <v>127</v>
      </c>
      <c r="AD3521" s="12">
        <f>IF($J3521=0,0,ROUND(MAX($J3521*1.4*1.5*1.6*1.6*2.2*2.715*2.6*1.4*1.4*1.5,12600000000*(1.652953^(MIN($E3521,123)-117)))*1,0))</f>
        <v>50061630</v>
      </c>
      <c r="AE3521" s="13">
        <f>$E3521+24</f>
        <v>130</v>
      </c>
      <c r="AF3521" s="14">
        <f>IF($J3521=0,0,ROUND(MAX($J3521*1.4*1.5*1.6*1.6*2.2*2.715*2.6*1.4*1.4*1.5*1.5,18900000000*(1.65331^(MIN($E3521,123)-117)))*1,0))</f>
        <v>74914276</v>
      </c>
      <c r="AG3521" s="11">
        <f>$E3521+27</f>
        <v>133</v>
      </c>
      <c r="AH3521" s="12">
        <f>IF($J3521=0,0,ROUND(MAX($J3521*1.4*1.5*1.6*1.6*2.2*2.715*2.6*1.4*1.4*1.5*1.5*3.2,60500000000*(1.654288^(MIN($E3521,123)-117)))*1,0))</f>
        <v>238250083</v>
      </c>
    </row>
    <row r="3522" ht="28" customHeight="1" spans="1:34" x14ac:dyDescent="0.25">
      <c r="A3522">
        <v>3532</v>
      </c>
      <c r="B3522" t="s">
        <v>245</v>
      </c>
      <c r="C3522" s="10" t="s">
        <v>1807</v>
      </c>
      <c r="D3522" t="s">
        <v>45</v>
      </c>
      <c r="E3522">
        <v>106</v>
      </c>
      <c r="F3522" t="s">
        <v>212</v>
      </c>
      <c r="G3522" t="s">
        <v>51</v>
      </c>
      <c r="H3522">
        <v>24</v>
      </c>
      <c r="I3522" s="11">
        <f>$E3522+0</f>
        <v>106</v>
      </c>
      <c r="J3522" s="12">
        <v>30400</v>
      </c>
      <c r="K3522" s="13">
        <f>$E3522+1</f>
        <v>107</v>
      </c>
      <c r="L3522" s="14">
        <f>IF($J3522=0,0,ROUND(MAX($J3522*1.4,1620000*(1.497923^(MIN($E3522,123)-117)))*1,0))</f>
        <v>42560</v>
      </c>
      <c r="M3522" s="11">
        <f>$E3522+2</f>
        <v>108</v>
      </c>
      <c r="N3522" s="12">
        <f>IF($J3522=0,0,ROUND(MAX($J3522*1.4*1.5,2190000*(1.580994^(MIN($E3522,123)-117)))*1,0))</f>
        <v>63840</v>
      </c>
      <c r="O3522" s="13">
        <f>$E3522+4</f>
        <v>110</v>
      </c>
      <c r="P3522" s="14">
        <f>IF($J3522=0,0,ROUND(MAX($J3522*1.4*1.5*1.6,3500000*(1.57975^(MIN($E3522,123)-117)))*1,0))</f>
        <v>102144</v>
      </c>
      <c r="Q3522" s="11">
        <f>$E3522+6</f>
        <v>112</v>
      </c>
      <c r="R3522" s="12">
        <f>IF($J3522=0,0,ROUND(MAX($J3522*1.4*1.5*1.6*1.6,13100000*(1.429962^(MIN($E3522,123)-117)))*1,0))</f>
        <v>256272</v>
      </c>
      <c r="S3522" s="13">
        <f>$E3522+8</f>
        <v>114</v>
      </c>
      <c r="T3522" s="14">
        <f>IF($J3522=0,0,ROUND(MAX($J3522*1.4*1.5*1.6*1.6*2.2,42600000*(1.576904^(MIN($E3522,123)-117)))*1,0))</f>
        <v>359547</v>
      </c>
      <c r="U3522" s="11">
        <f>$E3522+11</f>
        <v>117</v>
      </c>
      <c r="V3522" s="12">
        <f>IF($J3522=0,0,ROUND(MAX($J3522*1.4*1.5*1.6*1.6*2.2*2.715,354000000*(1.642074^(MIN($E3522,123)-117)))*1,0))</f>
        <v>1512458</v>
      </c>
      <c r="W3522" s="13">
        <f>$E3522+15</f>
        <v>121</v>
      </c>
      <c r="X3522" s="14">
        <f>IF($J3522=0,0,ROUND(MAX($J3522*1.4*1.5*1.6*1.6*2.2*2.715*2.6,3540000000*(1.579646^(MIN($E3522,123)-117)))*1,0))</f>
        <v>23165718</v>
      </c>
      <c r="Y3522" s="11">
        <f>$E3522+17</f>
        <v>123</v>
      </c>
      <c r="Z3522" s="12">
        <f>IF($J3522=0,0,ROUND(MAX($J3522*1.4*1.5*1.6*1.6*2.2*2.715*2.6*1.4,6020000000*(1.651178^(MIN($E3522,123)-117)))*1,0))</f>
        <v>24202691</v>
      </c>
      <c r="AA3522" s="13">
        <f>$E3522+19</f>
        <v>125</v>
      </c>
      <c r="AB3522" s="14">
        <f>IF($J3522=0,0,ROUND(MAX($J3522*1.4*1.5*1.6*1.6*2.2*2.715*2.6*1.4*1.4,8430000000*(1.651435^(MIN($E3522,123)-117)))*1,0))</f>
        <v>33833836</v>
      </c>
      <c r="AC3522" s="11">
        <f>$E3522+21</f>
        <v>127</v>
      </c>
      <c r="AD3522" s="12">
        <f>IF($J3522=0,0,ROUND(MAX($J3522*1.4*1.5*1.6*1.6*2.2*2.715*2.6*1.4*1.4*1.5,12600000000*(1.652953^(MIN($E3522,123)-117)))*1,0))</f>
        <v>50061630</v>
      </c>
      <c r="AE3522" s="13">
        <f>$E3522+24</f>
        <v>130</v>
      </c>
      <c r="AF3522" s="14">
        <f>IF($J3522=0,0,ROUND(MAX($J3522*1.4*1.5*1.6*1.6*2.2*2.715*2.6*1.4*1.4*1.5*1.5,18900000000*(1.65331^(MIN($E3522,123)-117)))*1,0))</f>
        <v>74914276</v>
      </c>
      <c r="AG3522" s="11">
        <f>$E3522+27</f>
        <v>133</v>
      </c>
      <c r="AH3522" s="12">
        <f>IF($J3522=0,0,ROUND(MAX($J3522*1.4*1.5*1.6*1.6*2.2*2.715*2.6*1.4*1.4*1.5*1.5*3.2,60500000000*(1.654288^(MIN($E3522,123)-117)))*1,0))</f>
        <v>238250083</v>
      </c>
    </row>
    <row r="3523" ht="28" customHeight="1" spans="1:34" x14ac:dyDescent="0.25">
      <c r="A3523">
        <v>3533</v>
      </c>
      <c r="B3523" t="s">
        <v>141</v>
      </c>
      <c r="C3523" s="10" t="s">
        <v>1807</v>
      </c>
      <c r="D3523" t="s">
        <v>75</v>
      </c>
      <c r="E3523">
        <v>106</v>
      </c>
      <c r="F3523" t="s">
        <v>30</v>
      </c>
      <c r="G3523" t="s">
        <v>562</v>
      </c>
      <c r="H3523">
        <v>24</v>
      </c>
      <c r="I3523" s="11">
        <f>$E3523+0</f>
        <v>106</v>
      </c>
      <c r="J3523" s="12">
        <v>836000</v>
      </c>
      <c r="K3523" s="13">
        <f>$E3523+1</f>
        <v>107</v>
      </c>
      <c r="L3523" s="14">
        <f>IF($J3523=0,0,ROUND(MAX($J3523*1.4,1620000*(1.497923^(MIN($E3523,123)-117)))*1,0))</f>
        <v>1170400</v>
      </c>
      <c r="M3523" s="11">
        <f>$E3523+2</f>
        <v>108</v>
      </c>
      <c r="N3523" s="12">
        <f>IF($J3523=0,0,ROUND(MAX($J3523*1.4*1.5,2190000*(1.580994^(MIN($E3523,123)-117)))*1,0))</f>
        <v>1755600</v>
      </c>
      <c r="O3523" s="13">
        <f>$E3523+4</f>
        <v>110</v>
      </c>
      <c r="P3523" s="14">
        <f>IF($J3523=0,0,ROUND(MAX($J3523*1.4*1.5*1.6,3500000*(1.57975^(MIN($E3523,123)-117)))*1,0))</f>
        <v>2808960</v>
      </c>
      <c r="Q3523" s="11">
        <f>$E3523+6</f>
        <v>112</v>
      </c>
      <c r="R3523" s="12">
        <f>IF($J3523=0,0,ROUND(MAX($J3523*1.4*1.5*1.6*1.6,13100000*(1.429962^(MIN($E3523,123)-117)))*1,0))</f>
        <v>4494336</v>
      </c>
      <c r="S3523" s="13">
        <f>$E3523+8</f>
        <v>114</v>
      </c>
      <c r="T3523" s="14">
        <f>IF($J3523=0,0,ROUND(MAX($J3523*1.4*1.5*1.6*1.6*2.2,42600000*(1.576904^(MIN($E3523,123)-117)))*1,0))</f>
        <v>9887539</v>
      </c>
      <c r="U3523" s="11">
        <f>$E3523+11</f>
        <v>117</v>
      </c>
      <c r="V3523" s="12">
        <f>IF($J3523=0,0,ROUND(MAX($J3523*1.4*1.5*1.6*1.6*2.2*2.715,354000000*(1.642074^(MIN($E3523,123)-117)))*1,0))</f>
        <v>26844669</v>
      </c>
      <c r="W3523" s="13">
        <f>$E3523+15</f>
        <v>121</v>
      </c>
      <c r="X3523" s="14">
        <f>IF($J3523=0,0,ROUND(MAX($J3523*1.4*1.5*1.6*1.6*2.2*2.715*2.6,3540000000*(1.579646^(MIN($E3523,123)-117)))*1,0))</f>
        <v>69796139</v>
      </c>
      <c r="Y3523" s="11">
        <f>$E3523+17</f>
        <v>123</v>
      </c>
      <c r="Z3523" s="12">
        <f>IF($J3523=0,0,ROUND(MAX($J3523*1.4*1.5*1.6*1.6*2.2*2.715*2.6*1.4,6020000000*(1.651178^(MIN($E3523,123)-117)))*1,0))</f>
        <v>97714595</v>
      </c>
      <c r="AA3523" s="13">
        <f>$E3523+19</f>
        <v>125</v>
      </c>
      <c r="AB3523" s="14">
        <f>IF($J3523=0,0,ROUND(MAX($J3523*1.4*1.5*1.6*1.6*2.2*2.715*2.6*1.4*1.4,8430000000*(1.651435^(MIN($E3523,123)-117)))*1,0))</f>
        <v>136800433</v>
      </c>
      <c r="AC3523" s="11">
        <f>$E3523+21</f>
        <v>127</v>
      </c>
      <c r="AD3523" s="12">
        <f>IF($J3523=0,0,ROUND(MAX($J3523*1.4*1.5*1.6*1.6*2.2*2.715*2.6*1.4*1.4*1.5,12600000000*(1.652953^(MIN($E3523,123)-117)))*1,0))</f>
        <v>205200649</v>
      </c>
      <c r="AE3523" s="13">
        <f>$E3523+24</f>
        <v>130</v>
      </c>
      <c r="AF3523" s="14">
        <f>IF($J3523=0,0,ROUND(MAX($J3523*1.4*1.5*1.6*1.6*2.2*2.715*2.6*1.4*1.4*1.5*1.5,18900000000*(1.65331^(MIN($E3523,123)-117)))*1,0))</f>
        <v>307800974</v>
      </c>
      <c r="AG3523" s="11">
        <f>$E3523+27</f>
        <v>133</v>
      </c>
      <c r="AH3523" s="12">
        <f>IF($J3523=0,0,ROUND(MAX($J3523*1.4*1.5*1.6*1.6*2.2*2.715*2.6*1.4*1.4*1.5*1.5*3.2,60500000000*(1.654288^(MIN($E3523,123)-117)))*1,0))</f>
        <v>984963117</v>
      </c>
    </row>
    <row r="3524" ht="28" customHeight="1" spans="1:34" x14ac:dyDescent="0.25">
      <c r="A3524">
        <v>3534</v>
      </c>
      <c r="B3524" t="s">
        <v>681</v>
      </c>
      <c r="C3524" s="10" t="s">
        <v>1807</v>
      </c>
      <c r="D3524" t="s">
        <v>33</v>
      </c>
      <c r="E3524">
        <v>106</v>
      </c>
      <c r="F3524" t="s">
        <v>71</v>
      </c>
      <c r="G3524" t="s">
        <v>562</v>
      </c>
      <c r="H3524">
        <v>24</v>
      </c>
      <c r="I3524" s="11">
        <f>$E3524+0</f>
        <v>106</v>
      </c>
      <c r="J3524" s="12">
        <v>5210000</v>
      </c>
      <c r="K3524" s="13">
        <f>$E3524+1</f>
        <v>107</v>
      </c>
      <c r="L3524" s="14">
        <f>IF($J3524=0,0,ROUND(MAX($J3524*1.4,1620000*(1.497923^(MIN($E3524,123)-117)))*1,0))</f>
        <v>7294000</v>
      </c>
      <c r="M3524" s="11">
        <f>$E3524+2</f>
        <v>108</v>
      </c>
      <c r="N3524" s="12">
        <f>IF($J3524=0,0,ROUND(MAX($J3524*1.4*1.5,2190000*(1.580994^(MIN($E3524,123)-117)))*1,0))</f>
        <v>10941000</v>
      </c>
      <c r="O3524" s="13">
        <f>$E3524+4</f>
        <v>110</v>
      </c>
      <c r="P3524" s="14">
        <f>IF($J3524=0,0,ROUND(MAX($J3524*1.4*1.5*1.6,3500000*(1.57975^(MIN($E3524,123)-117)))*1,0))</f>
        <v>17505600</v>
      </c>
      <c r="Q3524" s="11">
        <f>$E3524+6</f>
        <v>112</v>
      </c>
      <c r="R3524" s="12">
        <f>IF($J3524=0,0,ROUND(MAX($J3524*1.4*1.5*1.6*1.6,13100000*(1.429962^(MIN($E3524,123)-117)))*1,0))</f>
        <v>28008960</v>
      </c>
      <c r="S3524" s="13">
        <f>$E3524+8</f>
        <v>114</v>
      </c>
      <c r="T3524" s="14">
        <f>IF($J3524=0,0,ROUND(MAX($J3524*1.4*1.5*1.6*1.6*2.2,42600000*(1.576904^(MIN($E3524,123)-117)))*1,0))</f>
        <v>61619712</v>
      </c>
      <c r="U3524" s="11">
        <f>$E3524+11</f>
        <v>117</v>
      </c>
      <c r="V3524" s="12">
        <f>IF($J3524=0,0,ROUND(MAX($J3524*1.4*1.5*1.6*1.6*2.2*2.715,354000000*(1.642074^(MIN($E3524,123)-117)))*1,0))</f>
        <v>167297518</v>
      </c>
      <c r="W3524" s="13">
        <f>$E3524+15</f>
        <v>121</v>
      </c>
      <c r="X3524" s="14">
        <f>IF($J3524=0,0,ROUND(MAX($J3524*1.4*1.5*1.6*1.6*2.2*2.715*2.6,3540000000*(1.579646^(MIN($E3524,123)-117)))*1,0))</f>
        <v>434973547</v>
      </c>
      <c r="Y3524" s="11">
        <f>$E3524+17</f>
        <v>123</v>
      </c>
      <c r="Z3524" s="12">
        <f>IF($J3524=0,0,ROUND(MAX($J3524*1.4*1.5*1.6*1.6*2.2*2.715*2.6*1.4,6020000000*(1.651178^(MIN($E3524,123)-117)))*1,0))</f>
        <v>608962966</v>
      </c>
      <c r="AA3524" s="13">
        <f>$E3524+19</f>
        <v>125</v>
      </c>
      <c r="AB3524" s="14">
        <f>IF($J3524=0,0,ROUND(MAX($J3524*1.4*1.5*1.6*1.6*2.2*2.715*2.6*1.4*1.4,8430000000*(1.651435^(MIN($E3524,123)-117)))*1,0))</f>
        <v>852548152</v>
      </c>
      <c r="AC3524" s="11">
        <f>$E3524+21</f>
        <v>127</v>
      </c>
      <c r="AD3524" s="12">
        <f>IF($J3524=0,0,ROUND(MAX($J3524*1.4*1.5*1.6*1.6*2.2*2.715*2.6*1.4*1.4*1.5,12600000000*(1.652953^(MIN($E3524,123)-117)))*1,0))</f>
        <v>1278822228</v>
      </c>
      <c r="AE3524" s="13">
        <f>$E3524+24</f>
        <v>130</v>
      </c>
      <c r="AF3524" s="14">
        <f>IF($J3524=0,0,ROUND(MAX($J3524*1.4*1.5*1.6*1.6*2.2*2.715*2.6*1.4*1.4*1.5*1.5,18900000000*(1.65331^(MIN($E3524,123)-117)))*1,0))</f>
        <v>1918233342</v>
      </c>
      <c r="AG3524" s="11">
        <f>$E3524+27</f>
        <v>133</v>
      </c>
      <c r="AH3524" s="12">
        <f>IF($J3524=0,0,ROUND(MAX($J3524*1.4*1.5*1.6*1.6*2.2*2.715*2.6*1.4*1.4*1.5*1.5*3.2,60500000000*(1.654288^(MIN($E3524,123)-117)))*1,0))</f>
        <v>6138346695</v>
      </c>
    </row>
    <row r="3525" ht="28" customHeight="1" spans="1:34" x14ac:dyDescent="0.25">
      <c r="A3525">
        <v>3535</v>
      </c>
      <c r="B3525" t="s">
        <v>78</v>
      </c>
      <c r="C3525" s="10" t="s">
        <v>1807</v>
      </c>
      <c r="D3525" t="s">
        <v>79</v>
      </c>
      <c r="E3525">
        <v>106</v>
      </c>
      <c r="F3525" t="s">
        <v>30</v>
      </c>
      <c r="G3525" t="s">
        <v>562</v>
      </c>
      <c r="H3525">
        <v>24</v>
      </c>
      <c r="I3525" s="11">
        <f>$E3525+0</f>
        <v>106</v>
      </c>
      <c r="J3525" s="12">
        <v>55200</v>
      </c>
      <c r="K3525" s="13">
        <f>$E3525+1</f>
        <v>107</v>
      </c>
      <c r="L3525" s="14">
        <f>IF($J3525=0,0,ROUND(MAX($J3525*1.4,1620000*(1.497923^(MIN($E3525,123)-117)))*1,0))</f>
        <v>77280</v>
      </c>
      <c r="M3525" s="11">
        <f>$E3525+2</f>
        <v>108</v>
      </c>
      <c r="N3525" s="12">
        <f>IF($J3525=0,0,ROUND(MAX($J3525*1.4*1.5,2190000*(1.580994^(MIN($E3525,123)-117)))*1,0))</f>
        <v>115920</v>
      </c>
      <c r="O3525" s="13">
        <f>$E3525+4</f>
        <v>110</v>
      </c>
      <c r="P3525" s="14">
        <f>IF($J3525=0,0,ROUND(MAX($J3525*1.4*1.5*1.6,3500000*(1.57975^(MIN($E3525,123)-117)))*1,0))</f>
        <v>185472</v>
      </c>
      <c r="Q3525" s="11">
        <f>$E3525+6</f>
        <v>112</v>
      </c>
      <c r="R3525" s="12">
        <f>IF($J3525=0,0,ROUND(MAX($J3525*1.4*1.5*1.6*1.6,13100000*(1.429962^(MIN($E3525,123)-117)))*1,0))</f>
        <v>296755</v>
      </c>
      <c r="S3525" s="13">
        <f>$E3525+8</f>
        <v>114</v>
      </c>
      <c r="T3525" s="14">
        <f>IF($J3525=0,0,ROUND(MAX($J3525*1.4*1.5*1.6*1.6*2.2,42600000*(1.576904^(MIN($E3525,123)-117)))*1,0))</f>
        <v>652861</v>
      </c>
      <c r="U3525" s="11">
        <f>$E3525+11</f>
        <v>117</v>
      </c>
      <c r="V3525" s="12">
        <f>IF($J3525=0,0,ROUND(MAX($J3525*1.4*1.5*1.6*1.6*2.2*2.715,354000000*(1.642074^(MIN($E3525,123)-117)))*1,0))</f>
        <v>1772519</v>
      </c>
      <c r="W3525" s="13">
        <f>$E3525+15</f>
        <v>121</v>
      </c>
      <c r="X3525" s="14">
        <f>IF($J3525=0,0,ROUND(MAX($J3525*1.4*1.5*1.6*1.6*2.2*2.715*2.6,3540000000*(1.579646^(MIN($E3525,123)-117)))*1,0))</f>
        <v>23165718</v>
      </c>
      <c r="Y3525" s="11">
        <f>$E3525+17</f>
        <v>123</v>
      </c>
      <c r="Z3525" s="12">
        <f>IF($J3525=0,0,ROUND(MAX($J3525*1.4*1.5*1.6*1.6*2.2*2.715*2.6*1.4,6020000000*(1.651178^(MIN($E3525,123)-117)))*1,0))</f>
        <v>24202691</v>
      </c>
      <c r="AA3525" s="13">
        <f>$E3525+19</f>
        <v>125</v>
      </c>
      <c r="AB3525" s="14">
        <f>IF($J3525=0,0,ROUND(MAX($J3525*1.4*1.5*1.6*1.6*2.2*2.715*2.6*1.4*1.4,8430000000*(1.651435^(MIN($E3525,123)-117)))*1,0))</f>
        <v>33833836</v>
      </c>
      <c r="AC3525" s="11">
        <f>$E3525+21</f>
        <v>127</v>
      </c>
      <c r="AD3525" s="12">
        <f>IF($J3525=0,0,ROUND(MAX($J3525*1.4*1.5*1.6*1.6*2.2*2.715*2.6*1.4*1.4*1.5,12600000000*(1.652953^(MIN($E3525,123)-117)))*1,0))</f>
        <v>50061630</v>
      </c>
      <c r="AE3525" s="13">
        <f>$E3525+24</f>
        <v>130</v>
      </c>
      <c r="AF3525" s="14">
        <f>IF($J3525=0,0,ROUND(MAX($J3525*1.4*1.5*1.6*1.6*2.2*2.715*2.6*1.4*1.4*1.5*1.5,18900000000*(1.65331^(MIN($E3525,123)-117)))*1,0))</f>
        <v>74914276</v>
      </c>
      <c r="AG3525" s="11">
        <f>$E3525+27</f>
        <v>133</v>
      </c>
      <c r="AH3525" s="12">
        <f>IF($J3525=0,0,ROUND(MAX($J3525*1.4*1.5*1.6*1.6*2.2*2.715*2.6*1.4*1.4*1.5*1.5*3.2,60500000000*(1.654288^(MIN($E3525,123)-117)))*1,0))</f>
        <v>238250083</v>
      </c>
    </row>
    <row r="3526" ht="28" customHeight="1" spans="1:34" x14ac:dyDescent="0.25">
      <c r="A3526">
        <v>3536</v>
      </c>
      <c r="B3526" t="s">
        <v>143</v>
      </c>
      <c r="C3526" s="10" t="s">
        <v>1807</v>
      </c>
      <c r="D3526" t="s">
        <v>165</v>
      </c>
      <c r="E3526">
        <v>106</v>
      </c>
      <c r="F3526" t="s">
        <v>144</v>
      </c>
      <c r="G3526" t="s">
        <v>562</v>
      </c>
      <c r="H3526">
        <v>24</v>
      </c>
      <c r="I3526" s="11">
        <f>$E3526+0</f>
        <v>106</v>
      </c>
      <c r="J3526" s="12">
        <v>22800</v>
      </c>
      <c r="K3526" s="13">
        <f>$E3526+1</f>
        <v>107</v>
      </c>
      <c r="L3526" s="14">
        <f>IF($J3526=0,0,ROUND(MAX($J3526*1.4,1620000*(1.497923^(MIN($E3526,123)-117)))*1,0))</f>
        <v>31920</v>
      </c>
      <c r="M3526" s="11">
        <f>$E3526+2</f>
        <v>108</v>
      </c>
      <c r="N3526" s="12">
        <f>IF($J3526=0,0,ROUND(MAX($J3526*1.4*1.5,2190000*(1.580994^(MIN($E3526,123)-117)))*1,0))</f>
        <v>47880</v>
      </c>
      <c r="O3526" s="13">
        <f>$E3526+4</f>
        <v>110</v>
      </c>
      <c r="P3526" s="14">
        <f>IF($J3526=0,0,ROUND(MAX($J3526*1.4*1.5*1.6,3500000*(1.57975^(MIN($E3526,123)-117)))*1,0))</f>
        <v>76608</v>
      </c>
      <c r="Q3526" s="11">
        <f>$E3526+6</f>
        <v>112</v>
      </c>
      <c r="R3526" s="12">
        <f>IF($J3526=0,0,ROUND(MAX($J3526*1.4*1.5*1.6*1.6,13100000*(1.429962^(MIN($E3526,123)-117)))*1,0))</f>
        <v>256272</v>
      </c>
      <c r="S3526" s="13">
        <f>$E3526+8</f>
        <v>114</v>
      </c>
      <c r="T3526" s="14">
        <f>IF($J3526=0,0,ROUND(MAX($J3526*1.4*1.5*1.6*1.6*2.2,42600000*(1.576904^(MIN($E3526,123)-117)))*1,0))</f>
        <v>284153</v>
      </c>
      <c r="U3526" s="11">
        <f>$E3526+11</f>
        <v>117</v>
      </c>
      <c r="V3526" s="12">
        <f>IF($J3526=0,0,ROUND(MAX($J3526*1.4*1.5*1.6*1.6*2.2*2.715,354000000*(1.642074^(MIN($E3526,123)-117)))*1,0))</f>
        <v>1512458</v>
      </c>
      <c r="W3526" s="13">
        <f>$E3526+15</f>
        <v>121</v>
      </c>
      <c r="X3526" s="14">
        <f>IF($J3526=0,0,ROUND(MAX($J3526*1.4*1.5*1.6*1.6*2.2*2.715*2.6,3540000000*(1.579646^(MIN($E3526,123)-117)))*1,0))</f>
        <v>23165718</v>
      </c>
      <c r="Y3526" s="11">
        <f>$E3526+17</f>
        <v>123</v>
      </c>
      <c r="Z3526" s="12">
        <f>IF($J3526=0,0,ROUND(MAX($J3526*1.4*1.5*1.6*1.6*2.2*2.715*2.6*1.4,6020000000*(1.651178^(MIN($E3526,123)-117)))*1,0))</f>
        <v>24202691</v>
      </c>
      <c r="AA3526" s="13">
        <f>$E3526+19</f>
        <v>125</v>
      </c>
      <c r="AB3526" s="14">
        <f>IF($J3526=0,0,ROUND(MAX($J3526*1.4*1.5*1.6*1.6*2.2*2.715*2.6*1.4*1.4,8430000000*(1.651435^(MIN($E3526,123)-117)))*1,0))</f>
        <v>33833836</v>
      </c>
      <c r="AC3526" s="11">
        <f>$E3526+21</f>
        <v>127</v>
      </c>
      <c r="AD3526" s="12">
        <f>IF($J3526=0,0,ROUND(MAX($J3526*1.4*1.5*1.6*1.6*2.2*2.715*2.6*1.4*1.4*1.5,12600000000*(1.652953^(MIN($E3526,123)-117)))*1,0))</f>
        <v>50061630</v>
      </c>
      <c r="AE3526" s="13">
        <f>$E3526+24</f>
        <v>130</v>
      </c>
      <c r="AF3526" s="14">
        <f>IF($J3526=0,0,ROUND(MAX($J3526*1.4*1.5*1.6*1.6*2.2*2.715*2.6*1.4*1.4*1.5*1.5,18900000000*(1.65331^(MIN($E3526,123)-117)))*1,0))</f>
        <v>74914276</v>
      </c>
      <c r="AG3526" s="11">
        <f>$E3526+27</f>
        <v>133</v>
      </c>
      <c r="AH3526" s="12">
        <f>IF($J3526=0,0,ROUND(MAX($J3526*1.4*1.5*1.6*1.6*2.2*2.715*2.6*1.4*1.4*1.5*1.5*3.2,60500000000*(1.654288^(MIN($E3526,123)-117)))*1,0))</f>
        <v>238250083</v>
      </c>
    </row>
    <row r="3527" ht="28" customHeight="1" spans="1:34" x14ac:dyDescent="0.25">
      <c r="A3527">
        <v>3537</v>
      </c>
      <c r="B3527" t="s">
        <v>173</v>
      </c>
      <c r="C3527" s="10" t="s">
        <v>1807</v>
      </c>
      <c r="D3527" t="s">
        <v>79</v>
      </c>
      <c r="E3527">
        <v>106</v>
      </c>
      <c r="F3527" t="s">
        <v>174</v>
      </c>
      <c r="G3527" t="s">
        <v>562</v>
      </c>
      <c r="H3527">
        <v>24</v>
      </c>
      <c r="I3527" s="11">
        <f>$E3527+0</f>
        <v>106</v>
      </c>
      <c r="J3527" s="12">
        <v>12700</v>
      </c>
      <c r="K3527" s="13">
        <f>$E3527+1</f>
        <v>107</v>
      </c>
      <c r="L3527" s="14">
        <f>IF($J3527=0,0,ROUND(MAX($J3527*1.4,1620000*(1.497923^(MIN($E3527,123)-117)))*1,0))</f>
        <v>19017</v>
      </c>
      <c r="M3527" s="11">
        <f>$E3527+2</f>
        <v>108</v>
      </c>
      <c r="N3527" s="12">
        <f>IF($J3527=0,0,ROUND(MAX($J3527*1.4*1.5,2190000*(1.580994^(MIN($E3527,123)-117)))*1,0))</f>
        <v>26670</v>
      </c>
      <c r="O3527" s="13">
        <f>$E3527+4</f>
        <v>110</v>
      </c>
      <c r="P3527" s="14">
        <f>IF($J3527=0,0,ROUND(MAX($J3527*1.4*1.5*1.6,3500000*(1.57975^(MIN($E3527,123)-117)))*1,0))</f>
        <v>42672</v>
      </c>
      <c r="Q3527" s="11">
        <f>$E3527+6</f>
        <v>112</v>
      </c>
      <c r="R3527" s="12">
        <f>IF($J3527=0,0,ROUND(MAX($J3527*1.4*1.5*1.6*1.6,13100000*(1.429962^(MIN($E3527,123)-117)))*1,0))</f>
        <v>256272</v>
      </c>
      <c r="S3527" s="13">
        <f>$E3527+8</f>
        <v>114</v>
      </c>
      <c r="T3527" s="14">
        <f>IF($J3527=0,0,ROUND(MAX($J3527*1.4*1.5*1.6*1.6*2.2,42600000*(1.576904^(MIN($E3527,123)-117)))*1,0))</f>
        <v>284153</v>
      </c>
      <c r="U3527" s="11">
        <f>$E3527+11</f>
        <v>117</v>
      </c>
      <c r="V3527" s="12">
        <f>IF($J3527=0,0,ROUND(MAX($J3527*1.4*1.5*1.6*1.6*2.2*2.715,354000000*(1.642074^(MIN($E3527,123)-117)))*1,0))</f>
        <v>1512458</v>
      </c>
      <c r="W3527" s="13">
        <f>$E3527+15</f>
        <v>121</v>
      </c>
      <c r="X3527" s="14">
        <f>IF($J3527=0,0,ROUND(MAX($J3527*1.4*1.5*1.6*1.6*2.2*2.715*2.6,3540000000*(1.579646^(MIN($E3527,123)-117)))*1,0))</f>
        <v>23165718</v>
      </c>
      <c r="Y3527" s="11">
        <f>$E3527+17</f>
        <v>123</v>
      </c>
      <c r="Z3527" s="12">
        <f>IF($J3527=0,0,ROUND(MAX($J3527*1.4*1.5*1.6*1.6*2.2*2.715*2.6*1.4,6020000000*(1.651178^(MIN($E3527,123)-117)))*1,0))</f>
        <v>24202691</v>
      </c>
      <c r="AA3527" s="13">
        <f>$E3527+19</f>
        <v>125</v>
      </c>
      <c r="AB3527" s="14">
        <f>IF($J3527=0,0,ROUND(MAX($J3527*1.4*1.5*1.6*1.6*2.2*2.715*2.6*1.4*1.4,8430000000*(1.651435^(MIN($E3527,123)-117)))*1,0))</f>
        <v>33833836</v>
      </c>
      <c r="AC3527" s="11">
        <f>$E3527+21</f>
        <v>127</v>
      </c>
      <c r="AD3527" s="12">
        <f>IF($J3527=0,0,ROUND(MAX($J3527*1.4*1.5*1.6*1.6*2.2*2.715*2.6*1.4*1.4*1.5,12600000000*(1.652953^(MIN($E3527,123)-117)))*1,0))</f>
        <v>50061630</v>
      </c>
      <c r="AE3527" s="13">
        <f>$E3527+24</f>
        <v>130</v>
      </c>
      <c r="AF3527" s="14">
        <f>IF($J3527=0,0,ROUND(MAX($J3527*1.4*1.5*1.6*1.6*2.2*2.715*2.6*1.4*1.4*1.5*1.5,18900000000*(1.65331^(MIN($E3527,123)-117)))*1,0))</f>
        <v>74914276</v>
      </c>
      <c r="AG3527" s="11">
        <f>$E3527+27</f>
        <v>133</v>
      </c>
      <c r="AH3527" s="12">
        <f>IF($J3527=0,0,ROUND(MAX($J3527*1.4*1.5*1.6*1.6*2.2*2.715*2.6*1.4*1.4*1.5*1.5*3.2,60500000000*(1.654288^(MIN($E3527,123)-117)))*1,0))</f>
        <v>238250083</v>
      </c>
    </row>
    <row r="3528" ht="28" customHeight="1" spans="1:34" x14ac:dyDescent="0.25">
      <c r="A3528">
        <v>3538</v>
      </c>
      <c r="B3528" t="s">
        <v>113</v>
      </c>
      <c r="C3528" s="10" t="s">
        <v>1807</v>
      </c>
      <c r="D3528" t="s">
        <v>25</v>
      </c>
      <c r="E3528">
        <v>106</v>
      </c>
      <c r="F3528" t="s">
        <v>30</v>
      </c>
      <c r="G3528" t="s">
        <v>562</v>
      </c>
      <c r="H3528">
        <v>24</v>
      </c>
      <c r="I3528" s="11">
        <f>$E3528+0</f>
        <v>106</v>
      </c>
      <c r="J3528" s="12">
        <v>34900</v>
      </c>
      <c r="K3528" s="13">
        <f>$E3528+1</f>
        <v>107</v>
      </c>
      <c r="L3528" s="14">
        <f>IF($J3528=0,0,ROUND(MAX($J3528*1.4,1620000*(1.497923^(MIN($E3528,123)-117)))*1,0))</f>
        <v>48860</v>
      </c>
      <c r="M3528" s="11">
        <f>$E3528+2</f>
        <v>108</v>
      </c>
      <c r="N3528" s="12">
        <f>IF($J3528=0,0,ROUND(MAX($J3528*1.4*1.5,2190000*(1.580994^(MIN($E3528,123)-117)))*1,0))</f>
        <v>73290</v>
      </c>
      <c r="O3528" s="13">
        <f>$E3528+4</f>
        <v>110</v>
      </c>
      <c r="P3528" s="14">
        <f>IF($J3528=0,0,ROUND(MAX($J3528*1.4*1.5*1.6,3500000*(1.57975^(MIN($E3528,123)-117)))*1,0))</f>
        <v>117264</v>
      </c>
      <c r="Q3528" s="11">
        <f>$E3528+6</f>
        <v>112</v>
      </c>
      <c r="R3528" s="12">
        <f>IF($J3528=0,0,ROUND(MAX($J3528*1.4*1.5*1.6*1.6,13100000*(1.429962^(MIN($E3528,123)-117)))*1,0))</f>
        <v>256272</v>
      </c>
      <c r="S3528" s="13">
        <f>$E3528+8</f>
        <v>114</v>
      </c>
      <c r="T3528" s="14">
        <f>IF($J3528=0,0,ROUND(MAX($J3528*1.4*1.5*1.6*1.6*2.2,42600000*(1.576904^(MIN($E3528,123)-117)))*1,0))</f>
        <v>412769</v>
      </c>
      <c r="U3528" s="11">
        <f>$E3528+11</f>
        <v>117</v>
      </c>
      <c r="V3528" s="12">
        <f>IF($J3528=0,0,ROUND(MAX($J3528*1.4*1.5*1.6*1.6*2.2*2.715,354000000*(1.642074^(MIN($E3528,123)-117)))*1,0))</f>
        <v>1512458</v>
      </c>
      <c r="W3528" s="13">
        <f>$E3528+15</f>
        <v>121</v>
      </c>
      <c r="X3528" s="14">
        <f>IF($J3528=0,0,ROUND(MAX($J3528*1.4*1.5*1.6*1.6*2.2*2.715*2.6,3540000000*(1.579646^(MIN($E3528,123)-117)))*1,0))</f>
        <v>23165718</v>
      </c>
      <c r="Y3528" s="11">
        <f>$E3528+17</f>
        <v>123</v>
      </c>
      <c r="Z3528" s="12">
        <f>IF($J3528=0,0,ROUND(MAX($J3528*1.4*1.5*1.6*1.6*2.2*2.715*2.6*1.4,6020000000*(1.651178^(MIN($E3528,123)-117)))*1,0))</f>
        <v>24202691</v>
      </c>
      <c r="AA3528" s="13">
        <f>$E3528+19</f>
        <v>125</v>
      </c>
      <c r="AB3528" s="14">
        <f>IF($J3528=0,0,ROUND(MAX($J3528*1.4*1.5*1.6*1.6*2.2*2.715*2.6*1.4*1.4,8430000000*(1.651435^(MIN($E3528,123)-117)))*1,0))</f>
        <v>33833836</v>
      </c>
      <c r="AC3528" s="11">
        <f>$E3528+21</f>
        <v>127</v>
      </c>
      <c r="AD3528" s="12">
        <f>IF($J3528=0,0,ROUND(MAX($J3528*1.4*1.5*1.6*1.6*2.2*2.715*2.6*1.4*1.4*1.5,12600000000*(1.652953^(MIN($E3528,123)-117)))*1,0))</f>
        <v>50061630</v>
      </c>
      <c r="AE3528" s="13">
        <f>$E3528+24</f>
        <v>130</v>
      </c>
      <c r="AF3528" s="14">
        <f>IF($J3528=0,0,ROUND(MAX($J3528*1.4*1.5*1.6*1.6*2.2*2.715*2.6*1.4*1.4*1.5*1.5,18900000000*(1.65331^(MIN($E3528,123)-117)))*1,0))</f>
        <v>74914276</v>
      </c>
      <c r="AG3528" s="11">
        <f>$E3528+27</f>
        <v>133</v>
      </c>
      <c r="AH3528" s="12">
        <f>IF($J3528=0,0,ROUND(MAX($J3528*1.4*1.5*1.6*1.6*2.2*2.715*2.6*1.4*1.4*1.5*1.5*3.2,60500000000*(1.654288^(MIN($E3528,123)-117)))*1,0))</f>
        <v>238250083</v>
      </c>
    </row>
    <row r="3529" ht="28" customHeight="1" spans="1:34" x14ac:dyDescent="0.25">
      <c r="A3529">
        <v>3539</v>
      </c>
      <c r="B3529" t="s">
        <v>131</v>
      </c>
      <c r="C3529" s="10" t="s">
        <v>1807</v>
      </c>
      <c r="D3529" t="s">
        <v>40</v>
      </c>
      <c r="E3529">
        <v>106</v>
      </c>
      <c r="F3529" t="s">
        <v>132</v>
      </c>
      <c r="G3529" t="s">
        <v>562</v>
      </c>
      <c r="H3529">
        <v>23</v>
      </c>
      <c r="I3529" s="11">
        <f>$E3529+0</f>
        <v>106</v>
      </c>
      <c r="J3529" s="12">
        <v>31700</v>
      </c>
      <c r="K3529" s="13">
        <f>$E3529+1</f>
        <v>107</v>
      </c>
      <c r="L3529" s="14">
        <f>IF($J3529=0,0,ROUND(MAX($J3529*1.4,1620000*(1.497923^(MIN($E3529,123)-117)))*1,0))</f>
        <v>44380</v>
      </c>
      <c r="M3529" s="11">
        <f>$E3529+2</f>
        <v>108</v>
      </c>
      <c r="N3529" s="12">
        <f>IF($J3529=0,0,ROUND(MAX($J3529*1.4*1.5,2190000*(1.580994^(MIN($E3529,123)-117)))*1,0))</f>
        <v>66570</v>
      </c>
      <c r="O3529" s="13">
        <f>$E3529+4</f>
        <v>110</v>
      </c>
      <c r="P3529" s="14">
        <f>IF($J3529=0,0,ROUND(MAX($J3529*1.4*1.5*1.6,3500000*(1.57975^(MIN($E3529,123)-117)))*1,0))</f>
        <v>106512</v>
      </c>
      <c r="Q3529" s="11">
        <f>$E3529+6</f>
        <v>112</v>
      </c>
      <c r="R3529" s="12">
        <f>IF($J3529=0,0,ROUND(MAX($J3529*1.4*1.5*1.6*1.6,13100000*(1.429962^(MIN($E3529,123)-117)))*1,0))</f>
        <v>256272</v>
      </c>
      <c r="S3529" s="13">
        <f>$E3529+8</f>
        <v>114</v>
      </c>
      <c r="T3529" s="14">
        <f>IF($J3529=0,0,ROUND(MAX($J3529*1.4*1.5*1.6*1.6*2.2,42600000*(1.576904^(MIN($E3529,123)-117)))*1,0))</f>
        <v>374922</v>
      </c>
      <c r="U3529" s="11">
        <f>$E3529+11</f>
        <v>117</v>
      </c>
      <c r="V3529" s="12">
        <f>IF($J3529=0,0,ROUND(MAX($J3529*1.4*1.5*1.6*1.6*2.2*2.715,354000000*(1.642074^(MIN($E3529,123)-117)))*1,0))</f>
        <v>1512458</v>
      </c>
      <c r="W3529" s="13">
        <f>$E3529+15</f>
        <v>121</v>
      </c>
      <c r="X3529" s="14">
        <f>IF($J3529=0,0,ROUND(MAX($J3529*1.4*1.5*1.6*1.6*2.2*2.715*2.6,3540000000*(1.579646^(MIN($E3529,123)-117)))*1,0))</f>
        <v>23165718</v>
      </c>
      <c r="Y3529" s="11">
        <f>$E3529+17</f>
        <v>123</v>
      </c>
      <c r="Z3529" s="12">
        <f>IF($J3529=0,0,ROUND(MAX($J3529*1.4*1.5*1.6*1.6*2.2*2.715*2.6*1.4,6020000000*(1.651178^(MIN($E3529,123)-117)))*1,0))</f>
        <v>24202691</v>
      </c>
      <c r="AA3529" s="13">
        <f>$E3529+19</f>
        <v>125</v>
      </c>
      <c r="AB3529" s="14">
        <f>IF($J3529=0,0,ROUND(MAX($J3529*1.4*1.5*1.6*1.6*2.2*2.715*2.6*1.4*1.4,8430000000*(1.651435^(MIN($E3529,123)-117)))*1,0))</f>
        <v>33833836</v>
      </c>
      <c r="AC3529" s="11">
        <f>$E3529+21</f>
        <v>127</v>
      </c>
      <c r="AD3529" s="12">
        <f>IF($J3529=0,0,ROUND(MAX($J3529*1.4*1.5*1.6*1.6*2.2*2.715*2.6*1.4*1.4*1.5,12600000000*(1.652953^(MIN($E3529,123)-117)))*1,0))</f>
        <v>50061630</v>
      </c>
      <c r="AE3529" s="13">
        <f>$E3529+24</f>
        <v>130</v>
      </c>
      <c r="AF3529" s="14">
        <f>IF($J3529=0,0,ROUND(MAX($J3529*1.4*1.5*1.6*1.6*2.2*2.715*2.6*1.4*1.4*1.5*1.5,18900000000*(1.65331^(MIN($E3529,123)-117)))*1,0))</f>
        <v>74914276</v>
      </c>
      <c r="AG3529" s="11">
        <f>$E3529+27</f>
        <v>133</v>
      </c>
      <c r="AH3529" s="12">
        <f>IF($J3529=0,0,ROUND(MAX($J3529*1.4*1.5*1.6*1.6*2.2*2.715*2.6*1.4*1.4*1.5*1.5*3.2,60500000000*(1.654288^(MIN($E3529,123)-117)))*1,0))</f>
        <v>238250083</v>
      </c>
    </row>
    <row r="3530" ht="28" customHeight="1" spans="1:34" x14ac:dyDescent="0.25">
      <c r="A3530">
        <v>3540</v>
      </c>
      <c r="B3530" t="s">
        <v>288</v>
      </c>
      <c r="C3530" s="10" t="s">
        <v>1807</v>
      </c>
      <c r="D3530" t="s">
        <v>102</v>
      </c>
      <c r="E3530">
        <v>106</v>
      </c>
      <c r="F3530" t="s">
        <v>30</v>
      </c>
      <c r="G3530" t="s">
        <v>57</v>
      </c>
      <c r="H3530">
        <v>23</v>
      </c>
      <c r="I3530" s="11">
        <f>$E3530+0</f>
        <v>106</v>
      </c>
      <c r="J3530" s="12">
        <v>37600</v>
      </c>
      <c r="K3530" s="13">
        <f>$E3530+1</f>
        <v>107</v>
      </c>
      <c r="L3530" s="14">
        <f>IF($J3530=0,0,ROUND(MAX($J3530*1.4,1620000*(1.497923^(MIN($E3530,123)-117)))*1,0))</f>
        <v>52640</v>
      </c>
      <c r="M3530" s="11">
        <f>$E3530+2</f>
        <v>108</v>
      </c>
      <c r="N3530" s="12">
        <f>IF($J3530=0,0,ROUND(MAX($J3530*1.4*1.5,2190000*(1.580994^(MIN($E3530,123)-117)))*1,0))</f>
        <v>78960</v>
      </c>
      <c r="O3530" s="13">
        <f>$E3530+4</f>
        <v>110</v>
      </c>
      <c r="P3530" s="14">
        <f>IF($J3530=0,0,ROUND(MAX($J3530*1.4*1.5*1.6,3500000*(1.57975^(MIN($E3530,123)-117)))*1,0))</f>
        <v>126336</v>
      </c>
      <c r="Q3530" s="11">
        <f>$E3530+6</f>
        <v>112</v>
      </c>
      <c r="R3530" s="12">
        <f>IF($J3530=0,0,ROUND(MAX($J3530*1.4*1.5*1.6*1.6,13100000*(1.429962^(MIN($E3530,123)-117)))*1,0))</f>
        <v>256272</v>
      </c>
      <c r="S3530" s="13">
        <f>$E3530+8</f>
        <v>114</v>
      </c>
      <c r="T3530" s="14">
        <f>IF($J3530=0,0,ROUND(MAX($J3530*1.4*1.5*1.6*1.6*2.2,42600000*(1.576904^(MIN($E3530,123)-117)))*1,0))</f>
        <v>444703</v>
      </c>
      <c r="U3530" s="11">
        <f>$E3530+11</f>
        <v>117</v>
      </c>
      <c r="V3530" s="12">
        <f>IF($J3530=0,0,ROUND(MAX($J3530*1.4*1.5*1.6*1.6*2.2*2.715,354000000*(1.642074^(MIN($E3530,123)-117)))*1,0))</f>
        <v>1512458</v>
      </c>
      <c r="W3530" s="13">
        <f>$E3530+15</f>
        <v>121</v>
      </c>
      <c r="X3530" s="14">
        <f>IF($J3530=0,0,ROUND(MAX($J3530*1.4*1.5*1.6*1.6*2.2*2.715*2.6,3540000000*(1.579646^(MIN($E3530,123)-117)))*1,0))</f>
        <v>23165718</v>
      </c>
      <c r="Y3530" s="11">
        <f>$E3530+17</f>
        <v>123</v>
      </c>
      <c r="Z3530" s="12">
        <f>IF($J3530=0,0,ROUND(MAX($J3530*1.4*1.5*1.6*1.6*2.2*2.715*2.6*1.4,6020000000*(1.651178^(MIN($E3530,123)-117)))*1,0))</f>
        <v>24202691</v>
      </c>
      <c r="AA3530" s="13">
        <f>$E3530+19</f>
        <v>125</v>
      </c>
      <c r="AB3530" s="14">
        <f>IF($J3530=0,0,ROUND(MAX($J3530*1.4*1.5*1.6*1.6*2.2*2.715*2.6*1.4*1.4,8430000000*(1.651435^(MIN($E3530,123)-117)))*1,0))</f>
        <v>33833836</v>
      </c>
      <c r="AC3530" s="11">
        <f>$E3530+21</f>
        <v>127</v>
      </c>
      <c r="AD3530" s="12">
        <f>IF($J3530=0,0,ROUND(MAX($J3530*1.4*1.5*1.6*1.6*2.2*2.715*2.6*1.4*1.4*1.5,12600000000*(1.652953^(MIN($E3530,123)-117)))*1,0))</f>
        <v>50061630</v>
      </c>
      <c r="AE3530" s="13">
        <f>$E3530+24</f>
        <v>130</v>
      </c>
      <c r="AF3530" s="14">
        <f>IF($J3530=0,0,ROUND(MAX($J3530*1.4*1.5*1.6*1.6*2.2*2.715*2.6*1.4*1.4*1.5*1.5,18900000000*(1.65331^(MIN($E3530,123)-117)))*1,0))</f>
        <v>74914276</v>
      </c>
      <c r="AG3530" s="11">
        <f>$E3530+27</f>
        <v>133</v>
      </c>
      <c r="AH3530" s="12">
        <f>IF($J3530=0,0,ROUND(MAX($J3530*1.4*1.5*1.6*1.6*2.2*2.715*2.6*1.4*1.4*1.5*1.5*3.2,60500000000*(1.654288^(MIN($E3530,123)-117)))*1,0))</f>
        <v>238250083</v>
      </c>
    </row>
    <row r="3531" ht="28" customHeight="1" spans="1:34" x14ac:dyDescent="0.25">
      <c r="A3531">
        <v>3541</v>
      </c>
      <c r="B3531" t="s">
        <v>1125</v>
      </c>
      <c r="C3531" s="10" t="s">
        <v>1807</v>
      </c>
      <c r="D3531" t="s">
        <v>47</v>
      </c>
      <c r="E3531">
        <v>106</v>
      </c>
      <c r="F3531" t="s">
        <v>1126</v>
      </c>
      <c r="G3531" t="s">
        <v>562</v>
      </c>
      <c r="H3531">
        <v>20</v>
      </c>
      <c r="I3531" s="11">
        <f>$E3531+0</f>
        <v>106</v>
      </c>
      <c r="J3531" s="12">
        <v>2190000</v>
      </c>
      <c r="K3531" s="13">
        <f>$E3531+1</f>
        <v>107</v>
      </c>
      <c r="L3531" s="14">
        <f>IF($J3531=0,0,ROUND(MAX($J3531*1.4,1620000*(1.497923^(MIN($E3531,123)-117)))*1,0))</f>
        <v>3066000</v>
      </c>
      <c r="M3531" s="11">
        <f>$E3531+2</f>
        <v>108</v>
      </c>
      <c r="N3531" s="12">
        <f>IF($J3531=0,0,ROUND(MAX($J3531*1.4*1.5,2190000*(1.580994^(MIN($E3531,123)-117)))*1,0))</f>
        <v>4599000</v>
      </c>
      <c r="O3531" s="13">
        <f>$E3531+4</f>
        <v>110</v>
      </c>
      <c r="P3531" s="14">
        <f>IF($J3531=0,0,ROUND(MAX($J3531*1.4*1.5*1.6,3500000*(1.57975^(MIN($E3531,123)-117)))*1,0))</f>
        <v>7358400</v>
      </c>
      <c r="Q3531" s="11">
        <f>$E3531+6</f>
        <v>112</v>
      </c>
      <c r="R3531" s="12">
        <f>IF($J3531=0,0,ROUND(MAX($J3531*1.4*1.5*1.6*1.6,13100000*(1.429962^(MIN($E3531,123)-117)))*1,0))</f>
        <v>11773440</v>
      </c>
      <c r="S3531" s="13">
        <f>$E3531+8</f>
        <v>114</v>
      </c>
      <c r="T3531" s="14">
        <f>IF($J3531=0,0,ROUND(MAX($J3531*1.4*1.5*1.6*1.6*2.2,42600000*(1.576904^(MIN($E3531,123)-117)))*1,0))</f>
        <v>25901568</v>
      </c>
      <c r="U3531" s="11">
        <f>$E3531+11</f>
        <v>117</v>
      </c>
      <c r="V3531" s="12">
        <f>IF($J3531=0,0,ROUND(MAX($J3531*1.4*1.5*1.6*1.6*2.2*2.715,354000000*(1.642074^(MIN($E3531,123)-117)))*1,0))</f>
        <v>70322757</v>
      </c>
      <c r="W3531" s="13">
        <f>$E3531+15</f>
        <v>121</v>
      </c>
      <c r="X3531" s="14">
        <f>IF($J3531=0,0,ROUND(MAX($J3531*1.4*1.5*1.6*1.6*2.2*2.715*2.6,3540000000*(1.579646^(MIN($E3531,123)-117)))*1,0))</f>
        <v>182839169</v>
      </c>
      <c r="Y3531" s="11">
        <f>$E3531+17</f>
        <v>123</v>
      </c>
      <c r="Z3531" s="12">
        <f>IF($J3531=0,0,ROUND(MAX($J3531*1.4*1.5*1.6*1.6*2.2*2.715*2.6*1.4,6020000000*(1.651178^(MIN($E3531,123)-117)))*1,0))</f>
        <v>255974836</v>
      </c>
      <c r="AA3531" s="13">
        <f>$E3531+19</f>
        <v>125</v>
      </c>
      <c r="AB3531" s="14">
        <f>IF($J3531=0,0,ROUND(MAX($J3531*1.4*1.5*1.6*1.6*2.2*2.715*2.6*1.4*1.4,8430000000*(1.651435^(MIN($E3531,123)-117)))*1,0))</f>
        <v>358364770</v>
      </c>
      <c r="AC3531" s="11">
        <f>$E3531+21</f>
        <v>127</v>
      </c>
      <c r="AD3531" s="12">
        <f>IF($J3531=0,0,ROUND(MAX($J3531*1.4*1.5*1.6*1.6*2.2*2.715*2.6*1.4*1.4*1.5,12600000000*(1.652953^(MIN($E3531,123)-117)))*1,0))</f>
        <v>537547155</v>
      </c>
      <c r="AE3531" s="13">
        <f>$E3531+24</f>
        <v>130</v>
      </c>
      <c r="AF3531" s="14">
        <f>IF($J3531=0,0,ROUND(MAX($J3531*1.4*1.5*1.6*1.6*2.2*2.715*2.6*1.4*1.4*1.5*1.5,18900000000*(1.65331^(MIN($E3531,123)-117)))*1,0))</f>
        <v>806320733</v>
      </c>
      <c r="AG3531" s="11">
        <f>$E3531+27</f>
        <v>133</v>
      </c>
      <c r="AH3531" s="12">
        <f>IF($J3531=0,0,ROUND(MAX($J3531*1.4*1.5*1.6*1.6*2.2*2.715*2.6*1.4*1.4*1.5*1.5*3.2,60500000000*(1.654288^(MIN($E3531,123)-117)))*1,0))</f>
        <v>2580226346</v>
      </c>
    </row>
    <row r="3532" ht="28" customHeight="1" spans="1:34" x14ac:dyDescent="0.25">
      <c r="A3532">
        <v>3542</v>
      </c>
      <c r="B3532" t="s">
        <v>693</v>
      </c>
      <c r="C3532" s="10" t="s">
        <v>1807</v>
      </c>
      <c r="D3532" t="s">
        <v>33</v>
      </c>
      <c r="E3532">
        <v>105</v>
      </c>
      <c r="F3532" t="s">
        <v>54</v>
      </c>
      <c r="G3532" t="s">
        <v>562</v>
      </c>
      <c r="H3532">
        <v>24</v>
      </c>
      <c r="I3532" s="11">
        <f>$E3532+0</f>
        <v>105</v>
      </c>
      <c r="J3532" s="12">
        <v>28300</v>
      </c>
      <c r="K3532" s="13">
        <f>$E3532+1</f>
        <v>106</v>
      </c>
      <c r="L3532" s="14">
        <f>IF($J3532=0,0,ROUND(MAX($J3532*1.4,1620000*(1.497923^(MIN($E3532,123)-117)))*1,0))</f>
        <v>39620</v>
      </c>
      <c r="M3532" s="11">
        <f>$E3532+2</f>
        <v>107</v>
      </c>
      <c r="N3532" s="12">
        <f>IF($J3532=0,0,ROUND(MAX($J3532*1.4*1.5,2190000*(1.580994^(MIN($E3532,123)-117)))*1,0))</f>
        <v>59430</v>
      </c>
      <c r="O3532" s="13">
        <f>$E3532+4</f>
        <v>109</v>
      </c>
      <c r="P3532" s="14">
        <f>IF($J3532=0,0,ROUND(MAX($J3532*1.4*1.5*1.6,3500000*(1.57975^(MIN($E3532,123)-117)))*1,0))</f>
        <v>95088</v>
      </c>
      <c r="Q3532" s="11">
        <f>$E3532+6</f>
        <v>111</v>
      </c>
      <c r="R3532" s="12">
        <f>IF($J3532=0,0,ROUND(MAX($J3532*1.4*1.5*1.6*1.6,13100000*(1.429962^(MIN($E3532,123)-117)))*1,0))</f>
        <v>179216</v>
      </c>
      <c r="S3532" s="13">
        <f>$E3532+8</f>
        <v>113</v>
      </c>
      <c r="T3532" s="14">
        <f>IF($J3532=0,0,ROUND(MAX($J3532*1.4*1.5*1.6*1.6*2.2,42600000*(1.576904^(MIN($E3532,123)-117)))*1,0))</f>
        <v>334710</v>
      </c>
      <c r="U3532" s="11">
        <f>$E3532+11</f>
        <v>116</v>
      </c>
      <c r="V3532" s="12">
        <f>IF($J3532=0,0,ROUND(MAX($J3532*1.4*1.5*1.6*1.6*2.2*2.715,354000000*(1.642074^(MIN($E3532,123)-117)))*1,0))</f>
        <v>921066</v>
      </c>
      <c r="W3532" s="13">
        <f>$E3532+15</f>
        <v>120</v>
      </c>
      <c r="X3532" s="14">
        <f>IF($J3532=0,0,ROUND(MAX($J3532*1.4*1.5*1.6*1.6*2.2*2.715*2.6,3540000000*(1.579646^(MIN($E3532,123)-117)))*1,0))</f>
        <v>14665133</v>
      </c>
      <c r="Y3532" s="11">
        <f>$E3532+17</f>
        <v>122</v>
      </c>
      <c r="Z3532" s="12">
        <f>IF($J3532=0,0,ROUND(MAX($J3532*1.4*1.5*1.6*1.6*2.2*2.715*2.6*1.4,6020000000*(1.651178^(MIN($E3532,123)-117)))*1,0))</f>
        <v>14657833</v>
      </c>
      <c r="AA3532" s="13">
        <f>$E3532+19</f>
        <v>124</v>
      </c>
      <c r="AB3532" s="14">
        <f>IF($J3532=0,0,ROUND(MAX($J3532*1.4*1.5*1.6*1.6*2.2*2.715*2.6*1.4*1.4,8430000000*(1.651435^(MIN($E3532,123)-117)))*1,0))</f>
        <v>20487537</v>
      </c>
      <c r="AC3532" s="11">
        <f>$E3532+21</f>
        <v>126</v>
      </c>
      <c r="AD3532" s="12">
        <f>IF($J3532=0,0,ROUND(MAX($J3532*1.4*1.5*1.6*1.6*2.2*2.715*2.6*1.4*1.4*1.5,12600000000*(1.652953^(MIN($E3532,123)-117)))*1,0))</f>
        <v>30286179</v>
      </c>
      <c r="AE3532" s="13">
        <f>$E3532+24</f>
        <v>129</v>
      </c>
      <c r="AF3532" s="14">
        <f>IF($J3532=0,0,ROUND(MAX($J3532*1.4*1.5*1.6*1.6*2.2*2.715*2.6*1.4*1.4*1.5*1.5,18900000000*(1.65331^(MIN($E3532,123)-117)))*1,0))</f>
        <v>45311693</v>
      </c>
      <c r="AG3532" s="11">
        <f>$E3532+27</f>
        <v>132</v>
      </c>
      <c r="AH3532" s="12">
        <f>IF($J3532=0,0,ROUND(MAX($J3532*1.4*1.5*1.6*1.6*2.2*2.715*2.6*1.4*1.4*1.5*1.5*3.2,60500000000*(1.654288^(MIN($E3532,123)-117)))*1,0))</f>
        <v>144019713</v>
      </c>
    </row>
    <row r="3533" ht="28" customHeight="1" spans="1:34" x14ac:dyDescent="0.25">
      <c r="A3533">
        <v>3543</v>
      </c>
      <c r="B3533" t="s">
        <v>638</v>
      </c>
      <c r="C3533" s="10" t="s">
        <v>1807</v>
      </c>
      <c r="D3533" t="s">
        <v>25</v>
      </c>
      <c r="E3533">
        <v>105</v>
      </c>
      <c r="F3533" t="s">
        <v>310</v>
      </c>
      <c r="G3533" t="s">
        <v>27</v>
      </c>
      <c r="H3533">
        <v>24</v>
      </c>
      <c r="I3533" s="11">
        <f>$E3533+0</f>
        <v>105</v>
      </c>
      <c r="J3533" s="12">
        <v>11300</v>
      </c>
      <c r="K3533" s="13">
        <f>$E3533+1</f>
        <v>106</v>
      </c>
      <c r="L3533" s="14">
        <f>IF($J3533=0,0,ROUND(MAX($J3533*1.4,1620000*(1.497923^(MIN($E3533,123)-117)))*1,0))</f>
        <v>15820</v>
      </c>
      <c r="M3533" s="11">
        <f>$E3533+2</f>
        <v>107</v>
      </c>
      <c r="N3533" s="12">
        <f>IF($J3533=0,0,ROUND(MAX($J3533*1.4*1.5,2190000*(1.580994^(MIN($E3533,123)-117)))*1,0))</f>
        <v>23730</v>
      </c>
      <c r="O3533" s="13">
        <f>$E3533+4</f>
        <v>109</v>
      </c>
      <c r="P3533" s="14">
        <f>IF($J3533=0,0,ROUND(MAX($J3533*1.4*1.5*1.6,3500000*(1.57975^(MIN($E3533,123)-117)))*1,0))</f>
        <v>37968</v>
      </c>
      <c r="Q3533" s="11">
        <f>$E3533+6</f>
        <v>111</v>
      </c>
      <c r="R3533" s="12">
        <f>IF($J3533=0,0,ROUND(MAX($J3533*1.4*1.5*1.6*1.6,13100000*(1.429962^(MIN($E3533,123)-117)))*1,0))</f>
        <v>179216</v>
      </c>
      <c r="S3533" s="13">
        <f>$E3533+8</f>
        <v>113</v>
      </c>
      <c r="T3533" s="14">
        <f>IF($J3533=0,0,ROUND(MAX($J3533*1.4*1.5*1.6*1.6*2.2,42600000*(1.576904^(MIN($E3533,123)-117)))*1,0))</f>
        <v>180197</v>
      </c>
      <c r="U3533" s="11">
        <f>$E3533+11</f>
        <v>116</v>
      </c>
      <c r="V3533" s="12">
        <f>IF($J3533=0,0,ROUND(MAX($J3533*1.4*1.5*1.6*1.6*2.2*2.715,354000000*(1.642074^(MIN($E3533,123)-117)))*1,0))</f>
        <v>921066</v>
      </c>
      <c r="W3533" s="13">
        <f>$E3533+15</f>
        <v>120</v>
      </c>
      <c r="X3533" s="14">
        <f>IF($J3533=0,0,ROUND(MAX($J3533*1.4*1.5*1.6*1.6*2.2*2.715*2.6,3540000000*(1.579646^(MIN($E3533,123)-117)))*1,0))</f>
        <v>14665133</v>
      </c>
      <c r="Y3533" s="11">
        <f>$E3533+17</f>
        <v>122</v>
      </c>
      <c r="Z3533" s="12">
        <f>IF($J3533=0,0,ROUND(MAX($J3533*1.4*1.5*1.6*1.6*2.2*2.715*2.6*1.4,6020000000*(1.651178^(MIN($E3533,123)-117)))*1,0))</f>
        <v>14657833</v>
      </c>
      <c r="AA3533" s="13">
        <f>$E3533+19</f>
        <v>124</v>
      </c>
      <c r="AB3533" s="14">
        <f>IF($J3533=0,0,ROUND(MAX($J3533*1.4*1.5*1.6*1.6*2.2*2.715*2.6*1.4*1.4,8430000000*(1.651435^(MIN($E3533,123)-117)))*1,0))</f>
        <v>20487537</v>
      </c>
      <c r="AC3533" s="11">
        <f>$E3533+21</f>
        <v>126</v>
      </c>
      <c r="AD3533" s="12">
        <f>IF($J3533=0,0,ROUND(MAX($J3533*1.4*1.5*1.6*1.6*2.2*2.715*2.6*1.4*1.4*1.5,12600000000*(1.652953^(MIN($E3533,123)-117)))*1,0))</f>
        <v>30286179</v>
      </c>
      <c r="AE3533" s="13">
        <f>$E3533+24</f>
        <v>129</v>
      </c>
      <c r="AF3533" s="14">
        <f>IF($J3533=0,0,ROUND(MAX($J3533*1.4*1.5*1.6*1.6*2.2*2.715*2.6*1.4*1.4*1.5*1.5,18900000000*(1.65331^(MIN($E3533,123)-117)))*1,0))</f>
        <v>45311693</v>
      </c>
      <c r="AG3533" s="11">
        <f>$E3533+27</f>
        <v>132</v>
      </c>
      <c r="AH3533" s="12">
        <f>IF($J3533=0,0,ROUND(MAX($J3533*1.4*1.5*1.6*1.6*2.2*2.715*2.6*1.4*1.4*1.5*1.5*3.2,60500000000*(1.654288^(MIN($E3533,123)-117)))*1,0))</f>
        <v>144019713</v>
      </c>
    </row>
    <row r="3534" ht="28" customHeight="1" spans="1:34" x14ac:dyDescent="0.25">
      <c r="A3534">
        <v>3544</v>
      </c>
      <c r="B3534" t="s">
        <v>489</v>
      </c>
      <c r="C3534" s="10" t="s">
        <v>1807</v>
      </c>
      <c r="D3534" t="s">
        <v>79</v>
      </c>
      <c r="E3534">
        <v>105</v>
      </c>
      <c r="F3534" t="s">
        <v>30</v>
      </c>
      <c r="G3534" t="s">
        <v>31</v>
      </c>
      <c r="H3534">
        <v>24</v>
      </c>
      <c r="I3534" s="11">
        <f>$E3534+0</f>
        <v>105</v>
      </c>
      <c r="J3534" s="12">
        <v>24600</v>
      </c>
      <c r="K3534" s="13">
        <f>$E3534+1</f>
        <v>106</v>
      </c>
      <c r="L3534" s="14">
        <f>IF($J3534=0,0,ROUND(MAX($J3534*1.4,1620000*(1.497923^(MIN($E3534,123)-117)))*1,0))</f>
        <v>34440</v>
      </c>
      <c r="M3534" s="11">
        <f>$E3534+2</f>
        <v>107</v>
      </c>
      <c r="N3534" s="12">
        <f>IF($J3534=0,0,ROUND(MAX($J3534*1.4*1.5,2190000*(1.580994^(MIN($E3534,123)-117)))*1,0))</f>
        <v>51660</v>
      </c>
      <c r="O3534" s="13">
        <f>$E3534+4</f>
        <v>109</v>
      </c>
      <c r="P3534" s="14">
        <f>IF($J3534=0,0,ROUND(MAX($J3534*1.4*1.5*1.6,3500000*(1.57975^(MIN($E3534,123)-117)))*1,0))</f>
        <v>82656</v>
      </c>
      <c r="Q3534" s="11">
        <f>$E3534+6</f>
        <v>111</v>
      </c>
      <c r="R3534" s="12">
        <f>IF($J3534=0,0,ROUND(MAX($J3534*1.4*1.5*1.6*1.6,13100000*(1.429962^(MIN($E3534,123)-117)))*1,0))</f>
        <v>179216</v>
      </c>
      <c r="S3534" s="13">
        <f>$E3534+8</f>
        <v>113</v>
      </c>
      <c r="T3534" s="14">
        <f>IF($J3534=0,0,ROUND(MAX($J3534*1.4*1.5*1.6*1.6*2.2,42600000*(1.576904^(MIN($E3534,123)-117)))*1,0))</f>
        <v>290949</v>
      </c>
      <c r="U3534" s="11">
        <f>$E3534+11</f>
        <v>116</v>
      </c>
      <c r="V3534" s="12">
        <f>IF($J3534=0,0,ROUND(MAX($J3534*1.4*1.5*1.6*1.6*2.2*2.715,354000000*(1.642074^(MIN($E3534,123)-117)))*1,0))</f>
        <v>921066</v>
      </c>
      <c r="W3534" s="13">
        <f>$E3534+15</f>
        <v>120</v>
      </c>
      <c r="X3534" s="14">
        <f>IF($J3534=0,0,ROUND(MAX($J3534*1.4*1.5*1.6*1.6*2.2*2.715*2.6,3540000000*(1.579646^(MIN($E3534,123)-117)))*1,0))</f>
        <v>14665133</v>
      </c>
      <c r="Y3534" s="11">
        <f>$E3534+17</f>
        <v>122</v>
      </c>
      <c r="Z3534" s="12">
        <f>IF($J3534=0,0,ROUND(MAX($J3534*1.4*1.5*1.6*1.6*2.2*2.715*2.6*1.4,6020000000*(1.651178^(MIN($E3534,123)-117)))*1,0))</f>
        <v>14657833</v>
      </c>
      <c r="AA3534" s="13">
        <f>$E3534+19</f>
        <v>124</v>
      </c>
      <c r="AB3534" s="14">
        <f>IF($J3534=0,0,ROUND(MAX($J3534*1.4*1.5*1.6*1.6*2.2*2.715*2.6*1.4*1.4,8430000000*(1.651435^(MIN($E3534,123)-117)))*1,0))</f>
        <v>20487537</v>
      </c>
      <c r="AC3534" s="11">
        <f>$E3534+21</f>
        <v>126</v>
      </c>
      <c r="AD3534" s="12">
        <f>IF($J3534=0,0,ROUND(MAX($J3534*1.4*1.5*1.6*1.6*2.2*2.715*2.6*1.4*1.4*1.5,12600000000*(1.652953^(MIN($E3534,123)-117)))*1,0))</f>
        <v>30286179</v>
      </c>
      <c r="AE3534" s="13">
        <f>$E3534+24</f>
        <v>129</v>
      </c>
      <c r="AF3534" s="14">
        <f>IF($J3534=0,0,ROUND(MAX($J3534*1.4*1.5*1.6*1.6*2.2*2.715*2.6*1.4*1.4*1.5*1.5,18900000000*(1.65331^(MIN($E3534,123)-117)))*1,0))</f>
        <v>45311693</v>
      </c>
      <c r="AG3534" s="11">
        <f>$E3534+27</f>
        <v>132</v>
      </c>
      <c r="AH3534" s="12">
        <f>IF($J3534=0,0,ROUND(MAX($J3534*1.4*1.5*1.6*1.6*2.2*2.715*2.6*1.4*1.4*1.5*1.5*3.2,60500000000*(1.654288^(MIN($E3534,123)-117)))*1,0))</f>
        <v>144019713</v>
      </c>
    </row>
    <row r="3535" ht="28" customHeight="1" spans="1:34" x14ac:dyDescent="0.25">
      <c r="A3535">
        <v>3545</v>
      </c>
      <c r="B3535" t="s">
        <v>539</v>
      </c>
      <c r="C3535" s="10" t="s">
        <v>1807</v>
      </c>
      <c r="D3535" t="s">
        <v>29</v>
      </c>
      <c r="E3535">
        <v>105</v>
      </c>
      <c r="F3535" t="s">
        <v>34</v>
      </c>
      <c r="G3535" t="s">
        <v>450</v>
      </c>
      <c r="H3535">
        <v>24</v>
      </c>
      <c r="I3535" s="11">
        <f>$E3535+0</f>
        <v>105</v>
      </c>
      <c r="J3535" s="12">
        <v>29900</v>
      </c>
      <c r="K3535" s="13">
        <f>$E3535+1</f>
        <v>106</v>
      </c>
      <c r="L3535" s="14">
        <f>IF($J3535=0,0,ROUND(MAX($J3535*1.4,1620000*(1.497923^(MIN($E3535,123)-117)))*1,0))</f>
        <v>41860</v>
      </c>
      <c r="M3535" s="11">
        <f>$E3535+2</f>
        <v>107</v>
      </c>
      <c r="N3535" s="12">
        <f>IF($J3535=0,0,ROUND(MAX($J3535*1.4*1.5,2190000*(1.580994^(MIN($E3535,123)-117)))*1,0))</f>
        <v>62790</v>
      </c>
      <c r="O3535" s="13">
        <f>$E3535+4</f>
        <v>109</v>
      </c>
      <c r="P3535" s="14">
        <f>IF($J3535=0,0,ROUND(MAX($J3535*1.4*1.5*1.6,3500000*(1.57975^(MIN($E3535,123)-117)))*1,0))</f>
        <v>100464</v>
      </c>
      <c r="Q3535" s="11">
        <f>$E3535+6</f>
        <v>111</v>
      </c>
      <c r="R3535" s="12">
        <f>IF($J3535=0,0,ROUND(MAX($J3535*1.4*1.5*1.6*1.6,13100000*(1.429962^(MIN($E3535,123)-117)))*1,0))</f>
        <v>179216</v>
      </c>
      <c r="S3535" s="13">
        <f>$E3535+8</f>
        <v>113</v>
      </c>
      <c r="T3535" s="14">
        <f>IF($J3535=0,0,ROUND(MAX($J3535*1.4*1.5*1.6*1.6*2.2,42600000*(1.576904^(MIN($E3535,123)-117)))*1,0))</f>
        <v>353633</v>
      </c>
      <c r="U3535" s="11">
        <f>$E3535+11</f>
        <v>116</v>
      </c>
      <c r="V3535" s="12">
        <f>IF($J3535=0,0,ROUND(MAX($J3535*1.4*1.5*1.6*1.6*2.2*2.715,354000000*(1.642074^(MIN($E3535,123)-117)))*1,0))</f>
        <v>960114</v>
      </c>
      <c r="W3535" s="13">
        <f>$E3535+15</f>
        <v>120</v>
      </c>
      <c r="X3535" s="14">
        <f>IF($J3535=0,0,ROUND(MAX($J3535*1.4*1.5*1.6*1.6*2.2*2.715*2.6,3540000000*(1.579646^(MIN($E3535,123)-117)))*1,0))</f>
        <v>14665133</v>
      </c>
      <c r="Y3535" s="11">
        <f>$E3535+17</f>
        <v>122</v>
      </c>
      <c r="Z3535" s="12">
        <f>IF($J3535=0,0,ROUND(MAX($J3535*1.4*1.5*1.6*1.6*2.2*2.715*2.6*1.4,6020000000*(1.651178^(MIN($E3535,123)-117)))*1,0))</f>
        <v>14657833</v>
      </c>
      <c r="AA3535" s="13">
        <f>$E3535+19</f>
        <v>124</v>
      </c>
      <c r="AB3535" s="14">
        <f>IF($J3535=0,0,ROUND(MAX($J3535*1.4*1.5*1.6*1.6*2.2*2.715*2.6*1.4*1.4,8430000000*(1.651435^(MIN($E3535,123)-117)))*1,0))</f>
        <v>20487537</v>
      </c>
      <c r="AC3535" s="11">
        <f>$E3535+21</f>
        <v>126</v>
      </c>
      <c r="AD3535" s="12">
        <f>IF($J3535=0,0,ROUND(MAX($J3535*1.4*1.5*1.6*1.6*2.2*2.715*2.6*1.4*1.4*1.5,12600000000*(1.652953^(MIN($E3535,123)-117)))*1,0))</f>
        <v>30286179</v>
      </c>
      <c r="AE3535" s="13">
        <f>$E3535+24</f>
        <v>129</v>
      </c>
      <c r="AF3535" s="14">
        <f>IF($J3535=0,0,ROUND(MAX($J3535*1.4*1.5*1.6*1.6*2.2*2.715*2.6*1.4*1.4*1.5*1.5,18900000000*(1.65331^(MIN($E3535,123)-117)))*1,0))</f>
        <v>45311693</v>
      </c>
      <c r="AG3535" s="11">
        <f>$E3535+27</f>
        <v>132</v>
      </c>
      <c r="AH3535" s="12">
        <f>IF($J3535=0,0,ROUND(MAX($J3535*1.4*1.5*1.6*1.6*2.2*2.715*2.6*1.4*1.4*1.5*1.5*3.2,60500000000*(1.654288^(MIN($E3535,123)-117)))*1,0))</f>
        <v>144019713</v>
      </c>
    </row>
    <row r="3536" ht="28" customHeight="1" spans="1:34" x14ac:dyDescent="0.25">
      <c r="A3536">
        <v>3546</v>
      </c>
      <c r="B3536" t="s">
        <v>639</v>
      </c>
      <c r="C3536" s="10" t="s">
        <v>1807</v>
      </c>
      <c r="D3536" t="s">
        <v>40</v>
      </c>
      <c r="E3536">
        <v>105</v>
      </c>
      <c r="F3536" t="s">
        <v>353</v>
      </c>
      <c r="G3536" t="s">
        <v>72</v>
      </c>
      <c r="H3536">
        <v>24</v>
      </c>
      <c r="I3536" s="11">
        <f>$E3536+0</f>
        <v>105</v>
      </c>
      <c r="J3536" s="12">
        <v>10900</v>
      </c>
      <c r="K3536" s="13">
        <f>$E3536+1</f>
        <v>106</v>
      </c>
      <c r="L3536" s="14">
        <f>IF($J3536=0,0,ROUND(MAX($J3536*1.4,1620000*(1.497923^(MIN($E3536,123)-117)))*1,0))</f>
        <v>15260</v>
      </c>
      <c r="M3536" s="11">
        <f>$E3536+2</f>
        <v>107</v>
      </c>
      <c r="N3536" s="12">
        <f>IF($J3536=0,0,ROUND(MAX($J3536*1.4*1.5,2190000*(1.580994^(MIN($E3536,123)-117)))*1,0))</f>
        <v>22890</v>
      </c>
      <c r="O3536" s="13">
        <f>$E3536+4</f>
        <v>109</v>
      </c>
      <c r="P3536" s="14">
        <f>IF($J3536=0,0,ROUND(MAX($J3536*1.4*1.5*1.6,3500000*(1.57975^(MIN($E3536,123)-117)))*1,0))</f>
        <v>36624</v>
      </c>
      <c r="Q3536" s="11">
        <f>$E3536+6</f>
        <v>111</v>
      </c>
      <c r="R3536" s="12">
        <f>IF($J3536=0,0,ROUND(MAX($J3536*1.4*1.5*1.6*1.6,13100000*(1.429962^(MIN($E3536,123)-117)))*1,0))</f>
        <v>179216</v>
      </c>
      <c r="S3536" s="13">
        <f>$E3536+8</f>
        <v>113</v>
      </c>
      <c r="T3536" s="14">
        <f>IF($J3536=0,0,ROUND(MAX($J3536*1.4*1.5*1.6*1.6*2.2,42600000*(1.576904^(MIN($E3536,123)-117)))*1,0))</f>
        <v>180197</v>
      </c>
      <c r="U3536" s="11">
        <f>$E3536+11</f>
        <v>116</v>
      </c>
      <c r="V3536" s="12">
        <f>IF($J3536=0,0,ROUND(MAX($J3536*1.4*1.5*1.6*1.6*2.2*2.715,354000000*(1.642074^(MIN($E3536,123)-117)))*1,0))</f>
        <v>921066</v>
      </c>
      <c r="W3536" s="13">
        <f>$E3536+15</f>
        <v>120</v>
      </c>
      <c r="X3536" s="14">
        <f>IF($J3536=0,0,ROUND(MAX($J3536*1.4*1.5*1.6*1.6*2.2*2.715*2.6,3540000000*(1.579646^(MIN($E3536,123)-117)))*1,0))</f>
        <v>14665133</v>
      </c>
      <c r="Y3536" s="11">
        <f>$E3536+17</f>
        <v>122</v>
      </c>
      <c r="Z3536" s="12">
        <f>IF($J3536=0,0,ROUND(MAX($J3536*1.4*1.5*1.6*1.6*2.2*2.715*2.6*1.4,6020000000*(1.651178^(MIN($E3536,123)-117)))*1,0))</f>
        <v>14657833</v>
      </c>
      <c r="AA3536" s="13">
        <f>$E3536+19</f>
        <v>124</v>
      </c>
      <c r="AB3536" s="14">
        <f>IF($J3536=0,0,ROUND(MAX($J3536*1.4*1.5*1.6*1.6*2.2*2.715*2.6*1.4*1.4,8430000000*(1.651435^(MIN($E3536,123)-117)))*1,0))</f>
        <v>20487537</v>
      </c>
      <c r="AC3536" s="11">
        <f>$E3536+21</f>
        <v>126</v>
      </c>
      <c r="AD3536" s="12">
        <f>IF($J3536=0,0,ROUND(MAX($J3536*1.4*1.5*1.6*1.6*2.2*2.715*2.6*1.4*1.4*1.5,12600000000*(1.652953^(MIN($E3536,123)-117)))*1,0))</f>
        <v>30286179</v>
      </c>
      <c r="AE3536" s="13">
        <f>$E3536+24</f>
        <v>129</v>
      </c>
      <c r="AF3536" s="14">
        <f>IF($J3536=0,0,ROUND(MAX($J3536*1.4*1.5*1.6*1.6*2.2*2.715*2.6*1.4*1.4*1.5*1.5,18900000000*(1.65331^(MIN($E3536,123)-117)))*1,0))</f>
        <v>45311693</v>
      </c>
      <c r="AG3536" s="11">
        <f>$E3536+27</f>
        <v>132</v>
      </c>
      <c r="AH3536" s="12">
        <f>IF($J3536=0,0,ROUND(MAX($J3536*1.4*1.5*1.6*1.6*2.2*2.715*2.6*1.4*1.4*1.5*1.5*3.2,60500000000*(1.654288^(MIN($E3536,123)-117)))*1,0))</f>
        <v>144019713</v>
      </c>
    </row>
    <row r="3537" ht="28" customHeight="1" spans="1:34" x14ac:dyDescent="0.25">
      <c r="A3537">
        <v>3547</v>
      </c>
      <c r="B3537" t="s">
        <v>271</v>
      </c>
      <c r="C3537" s="10" t="s">
        <v>1807</v>
      </c>
      <c r="D3537" t="s">
        <v>40</v>
      </c>
      <c r="E3537">
        <v>105</v>
      </c>
      <c r="F3537" t="s">
        <v>258</v>
      </c>
      <c r="G3537" t="s">
        <v>270</v>
      </c>
      <c r="H3537">
        <v>24</v>
      </c>
      <c r="I3537" s="11">
        <f>$E3537+0</f>
        <v>105</v>
      </c>
      <c r="J3537" s="12">
        <v>37500</v>
      </c>
      <c r="K3537" s="13">
        <f>$E3537+1</f>
        <v>106</v>
      </c>
      <c r="L3537" s="14">
        <f>IF($J3537=0,0,ROUND(MAX($J3537*1.4,1620000*(1.497923^(MIN($E3537,123)-117)))*1,0))</f>
        <v>52500</v>
      </c>
      <c r="M3537" s="11">
        <f>$E3537+2</f>
        <v>107</v>
      </c>
      <c r="N3537" s="12">
        <f>IF($J3537=0,0,ROUND(MAX($J3537*1.4*1.5,2190000*(1.580994^(MIN($E3537,123)-117)))*1,0))</f>
        <v>78750</v>
      </c>
      <c r="O3537" s="13">
        <f>$E3537+4</f>
        <v>109</v>
      </c>
      <c r="P3537" s="14">
        <f>IF($J3537=0,0,ROUND(MAX($J3537*1.4*1.5*1.6,3500000*(1.57975^(MIN($E3537,123)-117)))*1,0))</f>
        <v>126000</v>
      </c>
      <c r="Q3537" s="11">
        <f>$E3537+6</f>
        <v>111</v>
      </c>
      <c r="R3537" s="12">
        <f>IF($J3537=0,0,ROUND(MAX($J3537*1.4*1.5*1.6*1.6,13100000*(1.429962^(MIN($E3537,123)-117)))*1,0))</f>
        <v>201600</v>
      </c>
      <c r="S3537" s="13">
        <f>$E3537+8</f>
        <v>113</v>
      </c>
      <c r="T3537" s="14">
        <f>IF($J3537=0,0,ROUND(MAX($J3537*1.4*1.5*1.6*1.6*2.2,42600000*(1.576904^(MIN($E3537,123)-117)))*1,0))</f>
        <v>443520</v>
      </c>
      <c r="U3537" s="11">
        <f>$E3537+11</f>
        <v>116</v>
      </c>
      <c r="V3537" s="12">
        <f>IF($J3537=0,0,ROUND(MAX($J3537*1.4*1.5*1.6*1.6*2.2*2.715,354000000*(1.642074^(MIN($E3537,123)-117)))*1,0))</f>
        <v>1204157</v>
      </c>
      <c r="W3537" s="13">
        <f>$E3537+15</f>
        <v>120</v>
      </c>
      <c r="X3537" s="14">
        <f>IF($J3537=0,0,ROUND(MAX($J3537*1.4*1.5*1.6*1.6*2.2*2.715*2.6,3540000000*(1.579646^(MIN($E3537,123)-117)))*1,0))</f>
        <v>14665133</v>
      </c>
      <c r="Y3537" s="11">
        <f>$E3537+17</f>
        <v>122</v>
      </c>
      <c r="Z3537" s="12">
        <f>IF($J3537=0,0,ROUND(MAX($J3537*1.4*1.5*1.6*1.6*2.2*2.715*2.6*1.4,6020000000*(1.651178^(MIN($E3537,123)-117)))*1,0))</f>
        <v>14657833</v>
      </c>
      <c r="AA3537" s="13">
        <f>$E3537+19</f>
        <v>124</v>
      </c>
      <c r="AB3537" s="14">
        <f>IF($J3537=0,0,ROUND(MAX($J3537*1.4*1.5*1.6*1.6*2.2*2.715*2.6*1.4*1.4,8430000000*(1.651435^(MIN($E3537,123)-117)))*1,0))</f>
        <v>20487537</v>
      </c>
      <c r="AC3537" s="11">
        <f>$E3537+21</f>
        <v>126</v>
      </c>
      <c r="AD3537" s="12">
        <f>IF($J3537=0,0,ROUND(MAX($J3537*1.4*1.5*1.6*1.6*2.2*2.715*2.6*1.4*1.4*1.5,12600000000*(1.652953^(MIN($E3537,123)-117)))*1,0))</f>
        <v>30286179</v>
      </c>
      <c r="AE3537" s="13">
        <f>$E3537+24</f>
        <v>129</v>
      </c>
      <c r="AF3537" s="14">
        <f>IF($J3537=0,0,ROUND(MAX($J3537*1.4*1.5*1.6*1.6*2.2*2.715*2.6*1.4*1.4*1.5*1.5,18900000000*(1.65331^(MIN($E3537,123)-117)))*1,0))</f>
        <v>45311693</v>
      </c>
      <c r="AG3537" s="11">
        <f>$E3537+27</f>
        <v>132</v>
      </c>
      <c r="AH3537" s="12">
        <f>IF($J3537=0,0,ROUND(MAX($J3537*1.4*1.5*1.6*1.6*2.2*2.715*2.6*1.4*1.4*1.5*1.5*3.2,60500000000*(1.654288^(MIN($E3537,123)-117)))*1,0))</f>
        <v>144019713</v>
      </c>
    </row>
    <row r="3538" ht="28" customHeight="1" spans="1:34" x14ac:dyDescent="0.25">
      <c r="A3538">
        <v>3548</v>
      </c>
      <c r="B3538" t="s">
        <v>164</v>
      </c>
      <c r="C3538" s="10" t="s">
        <v>1807</v>
      </c>
      <c r="D3538" t="s">
        <v>64</v>
      </c>
      <c r="E3538">
        <v>105</v>
      </c>
      <c r="F3538" t="s">
        <v>132</v>
      </c>
      <c r="G3538" t="s">
        <v>562</v>
      </c>
      <c r="H3538">
        <v>24</v>
      </c>
      <c r="I3538" s="11">
        <f>$E3538+0</f>
        <v>105</v>
      </c>
      <c r="J3538" s="12">
        <v>51400</v>
      </c>
      <c r="K3538" s="13">
        <f>$E3538+1</f>
        <v>106</v>
      </c>
      <c r="L3538" s="14">
        <f>IF($J3538=0,0,ROUND(MAX($J3538*1.4,1620000*(1.497923^(MIN($E3538,123)-117)))*1,0))</f>
        <v>71960</v>
      </c>
      <c r="M3538" s="11">
        <f>$E3538+2</f>
        <v>107</v>
      </c>
      <c r="N3538" s="12">
        <f>IF($J3538=0,0,ROUND(MAX($J3538*1.4*1.5,2190000*(1.580994^(MIN($E3538,123)-117)))*1,0))</f>
        <v>107940</v>
      </c>
      <c r="O3538" s="13">
        <f>$E3538+4</f>
        <v>109</v>
      </c>
      <c r="P3538" s="14">
        <f>IF($J3538=0,0,ROUND(MAX($J3538*1.4*1.5*1.6,3500000*(1.57975^(MIN($E3538,123)-117)))*1,0))</f>
        <v>172704</v>
      </c>
      <c r="Q3538" s="11">
        <f>$E3538+6</f>
        <v>111</v>
      </c>
      <c r="R3538" s="12">
        <f>IF($J3538=0,0,ROUND(MAX($J3538*1.4*1.5*1.6*1.6,13100000*(1.429962^(MIN($E3538,123)-117)))*1,0))</f>
        <v>276326</v>
      </c>
      <c r="S3538" s="13">
        <f>$E3538+8</f>
        <v>113</v>
      </c>
      <c r="T3538" s="14">
        <f>IF($J3538=0,0,ROUND(MAX($J3538*1.4*1.5*1.6*1.6*2.2,42600000*(1.576904^(MIN($E3538,123)-117)))*1,0))</f>
        <v>607918</v>
      </c>
      <c r="U3538" s="11">
        <f>$E3538+11</f>
        <v>116</v>
      </c>
      <c r="V3538" s="12">
        <f>IF($J3538=0,0,ROUND(MAX($J3538*1.4*1.5*1.6*1.6*2.2*2.715,354000000*(1.642074^(MIN($E3538,123)-117)))*1,0))</f>
        <v>1650498</v>
      </c>
      <c r="W3538" s="13">
        <f>$E3538+15</f>
        <v>120</v>
      </c>
      <c r="X3538" s="14">
        <f>IF($J3538=0,0,ROUND(MAX($J3538*1.4*1.5*1.6*1.6*2.2*2.715*2.6,3540000000*(1.579646^(MIN($E3538,123)-117)))*1,0))</f>
        <v>14665133</v>
      </c>
      <c r="Y3538" s="11">
        <f>$E3538+17</f>
        <v>122</v>
      </c>
      <c r="Z3538" s="12">
        <f>IF($J3538=0,0,ROUND(MAX($J3538*1.4*1.5*1.6*1.6*2.2*2.715*2.6*1.4,6020000000*(1.651178^(MIN($E3538,123)-117)))*1,0))</f>
        <v>14657833</v>
      </c>
      <c r="AA3538" s="13">
        <f>$E3538+19</f>
        <v>124</v>
      </c>
      <c r="AB3538" s="14">
        <f>IF($J3538=0,0,ROUND(MAX($J3538*1.4*1.5*1.6*1.6*2.2*2.715*2.6*1.4*1.4,8430000000*(1.651435^(MIN($E3538,123)-117)))*1,0))</f>
        <v>20487537</v>
      </c>
      <c r="AC3538" s="11">
        <f>$E3538+21</f>
        <v>126</v>
      </c>
      <c r="AD3538" s="12">
        <f>IF($J3538=0,0,ROUND(MAX($J3538*1.4*1.5*1.6*1.6*2.2*2.715*2.6*1.4*1.4*1.5,12600000000*(1.652953^(MIN($E3538,123)-117)))*1,0))</f>
        <v>30286179</v>
      </c>
      <c r="AE3538" s="13">
        <f>$E3538+24</f>
        <v>129</v>
      </c>
      <c r="AF3538" s="14">
        <f>IF($J3538=0,0,ROUND(MAX($J3538*1.4*1.5*1.6*1.6*2.2*2.715*2.6*1.4*1.4*1.5*1.5,18900000000*(1.65331^(MIN($E3538,123)-117)))*1,0))</f>
        <v>45311693</v>
      </c>
      <c r="AG3538" s="11">
        <f>$E3538+27</f>
        <v>132</v>
      </c>
      <c r="AH3538" s="12">
        <f>IF($J3538=0,0,ROUND(MAX($J3538*1.4*1.5*1.6*1.6*2.2*2.715*2.6*1.4*1.4*1.5*1.5*3.2,60500000000*(1.654288^(MIN($E3538,123)-117)))*1,0))</f>
        <v>144019713</v>
      </c>
    </row>
    <row r="3539" ht="28" customHeight="1" spans="1:34" x14ac:dyDescent="0.25">
      <c r="A3539">
        <v>3549</v>
      </c>
      <c r="B3539" t="s">
        <v>99</v>
      </c>
      <c r="C3539" s="10" t="s">
        <v>1807</v>
      </c>
      <c r="D3539" t="s">
        <v>29</v>
      </c>
      <c r="E3539">
        <v>105</v>
      </c>
      <c r="F3539" t="s">
        <v>54</v>
      </c>
      <c r="G3539" t="s">
        <v>562</v>
      </c>
      <c r="H3539">
        <v>24</v>
      </c>
      <c r="I3539" s="11">
        <f>$E3539+0</f>
        <v>105</v>
      </c>
      <c r="J3539" s="12">
        <v>12500</v>
      </c>
      <c r="K3539" s="13">
        <f>$E3539+1</f>
        <v>106</v>
      </c>
      <c r="L3539" s="14">
        <f>IF($J3539=0,0,ROUND(MAX($J3539*1.4,1620000*(1.497923^(MIN($E3539,123)-117)))*1,0))</f>
        <v>17500</v>
      </c>
      <c r="M3539" s="11">
        <f>$E3539+2</f>
        <v>107</v>
      </c>
      <c r="N3539" s="12">
        <f>IF($J3539=0,0,ROUND(MAX($J3539*1.4*1.5,2190000*(1.580994^(MIN($E3539,123)-117)))*1,0))</f>
        <v>26250</v>
      </c>
      <c r="O3539" s="13">
        <f>$E3539+4</f>
        <v>109</v>
      </c>
      <c r="P3539" s="14">
        <f>IF($J3539=0,0,ROUND(MAX($J3539*1.4*1.5*1.6,3500000*(1.57975^(MIN($E3539,123)-117)))*1,0))</f>
        <v>42000</v>
      </c>
      <c r="Q3539" s="11">
        <f>$E3539+6</f>
        <v>111</v>
      </c>
      <c r="R3539" s="12">
        <f>IF($J3539=0,0,ROUND(MAX($J3539*1.4*1.5*1.6*1.6,13100000*(1.429962^(MIN($E3539,123)-117)))*1,0))</f>
        <v>179216</v>
      </c>
      <c r="S3539" s="13">
        <f>$E3539+8</f>
        <v>113</v>
      </c>
      <c r="T3539" s="14">
        <f>IF($J3539=0,0,ROUND(MAX($J3539*1.4*1.5*1.6*1.6*2.2,42600000*(1.576904^(MIN($E3539,123)-117)))*1,0))</f>
        <v>180197</v>
      </c>
      <c r="U3539" s="11">
        <f>$E3539+11</f>
        <v>116</v>
      </c>
      <c r="V3539" s="12">
        <f>IF($J3539=0,0,ROUND(MAX($J3539*1.4*1.5*1.6*1.6*2.2*2.715,354000000*(1.642074^(MIN($E3539,123)-117)))*1,0))</f>
        <v>921066</v>
      </c>
      <c r="W3539" s="13">
        <f>$E3539+15</f>
        <v>120</v>
      </c>
      <c r="X3539" s="14">
        <f>IF($J3539=0,0,ROUND(MAX($J3539*1.4*1.5*1.6*1.6*2.2*2.715*2.6,3540000000*(1.579646^(MIN($E3539,123)-117)))*1,0))</f>
        <v>14665133</v>
      </c>
      <c r="Y3539" s="11">
        <f>$E3539+17</f>
        <v>122</v>
      </c>
      <c r="Z3539" s="12">
        <f>IF($J3539=0,0,ROUND(MAX($J3539*1.4*1.5*1.6*1.6*2.2*2.715*2.6*1.4,6020000000*(1.651178^(MIN($E3539,123)-117)))*1,0))</f>
        <v>14657833</v>
      </c>
      <c r="AA3539" s="13">
        <f>$E3539+19</f>
        <v>124</v>
      </c>
      <c r="AB3539" s="14">
        <f>IF($J3539=0,0,ROUND(MAX($J3539*1.4*1.5*1.6*1.6*2.2*2.715*2.6*1.4*1.4,8430000000*(1.651435^(MIN($E3539,123)-117)))*1,0))</f>
        <v>20487537</v>
      </c>
      <c r="AC3539" s="11">
        <f>$E3539+21</f>
        <v>126</v>
      </c>
      <c r="AD3539" s="12">
        <f>IF($J3539=0,0,ROUND(MAX($J3539*1.4*1.5*1.6*1.6*2.2*2.715*2.6*1.4*1.4*1.5,12600000000*(1.652953^(MIN($E3539,123)-117)))*1,0))</f>
        <v>30286179</v>
      </c>
      <c r="AE3539" s="13">
        <f>$E3539+24</f>
        <v>129</v>
      </c>
      <c r="AF3539" s="14">
        <f>IF($J3539=0,0,ROUND(MAX($J3539*1.4*1.5*1.6*1.6*2.2*2.715*2.6*1.4*1.4*1.5*1.5,18900000000*(1.65331^(MIN($E3539,123)-117)))*1,0))</f>
        <v>45311693</v>
      </c>
      <c r="AG3539" s="11">
        <f>$E3539+27</f>
        <v>132</v>
      </c>
      <c r="AH3539" s="12">
        <f>IF($J3539=0,0,ROUND(MAX($J3539*1.4*1.5*1.6*1.6*2.2*2.715*2.6*1.4*1.4*1.5*1.5*3.2,60500000000*(1.654288^(MIN($E3539,123)-117)))*1,0))</f>
        <v>144019713</v>
      </c>
    </row>
    <row r="3540" ht="28" customHeight="1" spans="1:34" x14ac:dyDescent="0.25">
      <c r="A3540">
        <v>3550</v>
      </c>
      <c r="B3540" t="s">
        <v>107</v>
      </c>
      <c r="C3540" s="10" t="s">
        <v>1807</v>
      </c>
      <c r="D3540" t="s">
        <v>40</v>
      </c>
      <c r="E3540">
        <v>105</v>
      </c>
      <c r="F3540" t="s">
        <v>108</v>
      </c>
      <c r="G3540" t="s">
        <v>562</v>
      </c>
      <c r="H3540">
        <v>24</v>
      </c>
      <c r="I3540" s="11">
        <f>$E3540+0</f>
        <v>105</v>
      </c>
      <c r="J3540" s="12">
        <v>54100</v>
      </c>
      <c r="K3540" s="13">
        <f>$E3540+1</f>
        <v>106</v>
      </c>
      <c r="L3540" s="14">
        <f>IF($J3540=0,0,ROUND(MAX($J3540*1.4,1620000*(1.497923^(MIN($E3540,123)-117)))*1,0))</f>
        <v>75740</v>
      </c>
      <c r="M3540" s="11">
        <f>$E3540+2</f>
        <v>107</v>
      </c>
      <c r="N3540" s="12">
        <f>IF($J3540=0,0,ROUND(MAX($J3540*1.4*1.5,2190000*(1.580994^(MIN($E3540,123)-117)))*1,0))</f>
        <v>113610</v>
      </c>
      <c r="O3540" s="13">
        <f>$E3540+4</f>
        <v>109</v>
      </c>
      <c r="P3540" s="14">
        <f>IF($J3540=0,0,ROUND(MAX($J3540*1.4*1.5*1.6,3500000*(1.57975^(MIN($E3540,123)-117)))*1,0))</f>
        <v>181776</v>
      </c>
      <c r="Q3540" s="11">
        <f>$E3540+6</f>
        <v>111</v>
      </c>
      <c r="R3540" s="12">
        <f>IF($J3540=0,0,ROUND(MAX($J3540*1.4*1.5*1.6*1.6,13100000*(1.429962^(MIN($E3540,123)-117)))*1,0))</f>
        <v>290842</v>
      </c>
      <c r="S3540" s="13">
        <f>$E3540+8</f>
        <v>113</v>
      </c>
      <c r="T3540" s="14">
        <f>IF($J3540=0,0,ROUND(MAX($J3540*1.4*1.5*1.6*1.6*2.2,42600000*(1.576904^(MIN($E3540,123)-117)))*1,0))</f>
        <v>639852</v>
      </c>
      <c r="U3540" s="11">
        <f>$E3540+11</f>
        <v>116</v>
      </c>
      <c r="V3540" s="12">
        <f>IF($J3540=0,0,ROUND(MAX($J3540*1.4*1.5*1.6*1.6*2.2*2.715,354000000*(1.642074^(MIN($E3540,123)-117)))*1,0))</f>
        <v>1737197</v>
      </c>
      <c r="W3540" s="13">
        <f>$E3540+15</f>
        <v>120</v>
      </c>
      <c r="X3540" s="14">
        <f>IF($J3540=0,0,ROUND(MAX($J3540*1.4*1.5*1.6*1.6*2.2*2.715*2.6,3540000000*(1.579646^(MIN($E3540,123)-117)))*1,0))</f>
        <v>14665133</v>
      </c>
      <c r="Y3540" s="11">
        <f>$E3540+17</f>
        <v>122</v>
      </c>
      <c r="Z3540" s="12">
        <f>IF($J3540=0,0,ROUND(MAX($J3540*1.4*1.5*1.6*1.6*2.2*2.715*2.6*1.4,6020000000*(1.651178^(MIN($E3540,123)-117)))*1,0))</f>
        <v>14657833</v>
      </c>
      <c r="AA3540" s="13">
        <f>$E3540+19</f>
        <v>124</v>
      </c>
      <c r="AB3540" s="14">
        <f>IF($J3540=0,0,ROUND(MAX($J3540*1.4*1.5*1.6*1.6*2.2*2.715*2.6*1.4*1.4,8430000000*(1.651435^(MIN($E3540,123)-117)))*1,0))</f>
        <v>20487537</v>
      </c>
      <c r="AC3540" s="11">
        <f>$E3540+21</f>
        <v>126</v>
      </c>
      <c r="AD3540" s="12">
        <f>IF($J3540=0,0,ROUND(MAX($J3540*1.4*1.5*1.6*1.6*2.2*2.715*2.6*1.4*1.4*1.5,12600000000*(1.652953^(MIN($E3540,123)-117)))*1,0))</f>
        <v>30286179</v>
      </c>
      <c r="AE3540" s="13">
        <f>$E3540+24</f>
        <v>129</v>
      </c>
      <c r="AF3540" s="14">
        <f>IF($J3540=0,0,ROUND(MAX($J3540*1.4*1.5*1.6*1.6*2.2*2.715*2.6*1.4*1.4*1.5*1.5,18900000000*(1.65331^(MIN($E3540,123)-117)))*1,0))</f>
        <v>45311693</v>
      </c>
      <c r="AG3540" s="11">
        <f>$E3540+27</f>
        <v>132</v>
      </c>
      <c r="AH3540" s="12">
        <f>IF($J3540=0,0,ROUND(MAX($J3540*1.4*1.5*1.6*1.6*2.2*2.715*2.6*1.4*1.4*1.5*1.5*3.2,60500000000*(1.654288^(MIN($E3540,123)-117)))*1,0))</f>
        <v>144019713</v>
      </c>
    </row>
    <row r="3541" ht="28" customHeight="1" spans="1:34" x14ac:dyDescent="0.25">
      <c r="A3541">
        <v>3551</v>
      </c>
      <c r="B3541" t="s">
        <v>118</v>
      </c>
      <c r="C3541" s="10" t="s">
        <v>1807</v>
      </c>
      <c r="D3541" t="s">
        <v>40</v>
      </c>
      <c r="E3541">
        <v>105</v>
      </c>
      <c r="F3541" t="s">
        <v>56</v>
      </c>
      <c r="G3541" t="s">
        <v>562</v>
      </c>
      <c r="H3541">
        <v>24</v>
      </c>
      <c r="I3541" s="11">
        <f>$E3541+0</f>
        <v>105</v>
      </c>
      <c r="J3541" s="12">
        <v>47900</v>
      </c>
      <c r="K3541" s="13">
        <f>$E3541+1</f>
        <v>106</v>
      </c>
      <c r="L3541" s="14">
        <f>IF($J3541=0,0,ROUND(MAX($J3541*1.4,1620000*(1.497923^(MIN($E3541,123)-117)))*1,0))</f>
        <v>67060</v>
      </c>
      <c r="M3541" s="11">
        <f>$E3541+2</f>
        <v>107</v>
      </c>
      <c r="N3541" s="12">
        <f>IF($J3541=0,0,ROUND(MAX($J3541*1.4*1.5,2190000*(1.580994^(MIN($E3541,123)-117)))*1,0))</f>
        <v>100590</v>
      </c>
      <c r="O3541" s="13">
        <f>$E3541+4</f>
        <v>109</v>
      </c>
      <c r="P3541" s="14">
        <f>IF($J3541=0,0,ROUND(MAX($J3541*1.4*1.5*1.6,3500000*(1.57975^(MIN($E3541,123)-117)))*1,0))</f>
        <v>160944</v>
      </c>
      <c r="Q3541" s="11">
        <f>$E3541+6</f>
        <v>111</v>
      </c>
      <c r="R3541" s="12">
        <f>IF($J3541=0,0,ROUND(MAX($J3541*1.4*1.5*1.6*1.6,13100000*(1.429962^(MIN($E3541,123)-117)))*1,0))</f>
        <v>257510</v>
      </c>
      <c r="S3541" s="13">
        <f>$E3541+8</f>
        <v>113</v>
      </c>
      <c r="T3541" s="14">
        <f>IF($J3541=0,0,ROUND(MAX($J3541*1.4*1.5*1.6*1.6*2.2,42600000*(1.576904^(MIN($E3541,123)-117)))*1,0))</f>
        <v>566523</v>
      </c>
      <c r="U3541" s="11">
        <f>$E3541+11</f>
        <v>116</v>
      </c>
      <c r="V3541" s="12">
        <f>IF($J3541=0,0,ROUND(MAX($J3541*1.4*1.5*1.6*1.6*2.2*2.715,354000000*(1.642074^(MIN($E3541,123)-117)))*1,0))</f>
        <v>1538110</v>
      </c>
      <c r="W3541" s="13">
        <f>$E3541+15</f>
        <v>120</v>
      </c>
      <c r="X3541" s="14">
        <f>IF($J3541=0,0,ROUND(MAX($J3541*1.4*1.5*1.6*1.6*2.2*2.715*2.6,3540000000*(1.579646^(MIN($E3541,123)-117)))*1,0))</f>
        <v>14665133</v>
      </c>
      <c r="Y3541" s="11">
        <f>$E3541+17</f>
        <v>122</v>
      </c>
      <c r="Z3541" s="12">
        <f>IF($J3541=0,0,ROUND(MAX($J3541*1.4*1.5*1.6*1.6*2.2*2.715*2.6*1.4,6020000000*(1.651178^(MIN($E3541,123)-117)))*1,0))</f>
        <v>14657833</v>
      </c>
      <c r="AA3541" s="13">
        <f>$E3541+19</f>
        <v>124</v>
      </c>
      <c r="AB3541" s="14">
        <f>IF($J3541=0,0,ROUND(MAX($J3541*1.4*1.5*1.6*1.6*2.2*2.715*2.6*1.4*1.4,8430000000*(1.651435^(MIN($E3541,123)-117)))*1,0))</f>
        <v>20487537</v>
      </c>
      <c r="AC3541" s="11">
        <f>$E3541+21</f>
        <v>126</v>
      </c>
      <c r="AD3541" s="12">
        <f>IF($J3541=0,0,ROUND(MAX($J3541*1.4*1.5*1.6*1.6*2.2*2.715*2.6*1.4*1.4*1.5,12600000000*(1.652953^(MIN($E3541,123)-117)))*1,0))</f>
        <v>30286179</v>
      </c>
      <c r="AE3541" s="13">
        <f>$E3541+24</f>
        <v>129</v>
      </c>
      <c r="AF3541" s="14">
        <f>IF($J3541=0,0,ROUND(MAX($J3541*1.4*1.5*1.6*1.6*2.2*2.715*2.6*1.4*1.4*1.5*1.5,18900000000*(1.65331^(MIN($E3541,123)-117)))*1,0))</f>
        <v>45311693</v>
      </c>
      <c r="AG3541" s="11">
        <f>$E3541+27</f>
        <v>132</v>
      </c>
      <c r="AH3541" s="12">
        <f>IF($J3541=0,0,ROUND(MAX($J3541*1.4*1.5*1.6*1.6*2.2*2.715*2.6*1.4*1.4*1.5*1.5*3.2,60500000000*(1.654288^(MIN($E3541,123)-117)))*1,0))</f>
        <v>144019713</v>
      </c>
    </row>
    <row r="3542" ht="28" customHeight="1" spans="1:34" x14ac:dyDescent="0.25">
      <c r="A3542">
        <v>3552</v>
      </c>
      <c r="B3542" t="s">
        <v>149</v>
      </c>
      <c r="C3542" s="10" t="s">
        <v>1807</v>
      </c>
      <c r="D3542" t="s">
        <v>33</v>
      </c>
      <c r="E3542">
        <v>105</v>
      </c>
      <c r="F3542" t="s">
        <v>56</v>
      </c>
      <c r="G3542" t="s">
        <v>562</v>
      </c>
      <c r="H3542">
        <v>24</v>
      </c>
      <c r="I3542" s="11">
        <f>$E3542+0</f>
        <v>105</v>
      </c>
      <c r="J3542" s="12">
        <v>32200</v>
      </c>
      <c r="K3542" s="13">
        <f>$E3542+1</f>
        <v>106</v>
      </c>
      <c r="L3542" s="14">
        <f>IF($J3542=0,0,ROUND(MAX($J3542*1.4,1620000*(1.497923^(MIN($E3542,123)-117)))*1,0))</f>
        <v>45080</v>
      </c>
      <c r="M3542" s="11">
        <f>$E3542+2</f>
        <v>107</v>
      </c>
      <c r="N3542" s="12">
        <f>IF($J3542=0,0,ROUND(MAX($J3542*1.4*1.5,2190000*(1.580994^(MIN($E3542,123)-117)))*1,0))</f>
        <v>67620</v>
      </c>
      <c r="O3542" s="13">
        <f>$E3542+4</f>
        <v>109</v>
      </c>
      <c r="P3542" s="14">
        <f>IF($J3542=0,0,ROUND(MAX($J3542*1.4*1.5*1.6,3500000*(1.57975^(MIN($E3542,123)-117)))*1,0))</f>
        <v>108192</v>
      </c>
      <c r="Q3542" s="11">
        <f>$E3542+6</f>
        <v>111</v>
      </c>
      <c r="R3542" s="12">
        <f>IF($J3542=0,0,ROUND(MAX($J3542*1.4*1.5*1.6*1.6,13100000*(1.429962^(MIN($E3542,123)-117)))*1,0))</f>
        <v>179216</v>
      </c>
      <c r="S3542" s="13">
        <f>$E3542+8</f>
        <v>113</v>
      </c>
      <c r="T3542" s="14">
        <f>IF($J3542=0,0,ROUND(MAX($J3542*1.4*1.5*1.6*1.6*2.2,42600000*(1.576904^(MIN($E3542,123)-117)))*1,0))</f>
        <v>380836</v>
      </c>
      <c r="U3542" s="11">
        <f>$E3542+11</f>
        <v>116</v>
      </c>
      <c r="V3542" s="12">
        <f>IF($J3542=0,0,ROUND(MAX($J3542*1.4*1.5*1.6*1.6*2.2*2.715,354000000*(1.642074^(MIN($E3542,123)-117)))*1,0))</f>
        <v>1033969</v>
      </c>
      <c r="W3542" s="13">
        <f>$E3542+15</f>
        <v>120</v>
      </c>
      <c r="X3542" s="14">
        <f>IF($J3542=0,0,ROUND(MAX($J3542*1.4*1.5*1.6*1.6*2.2*2.715*2.6,3540000000*(1.579646^(MIN($E3542,123)-117)))*1,0))</f>
        <v>14665133</v>
      </c>
      <c r="Y3542" s="11">
        <f>$E3542+17</f>
        <v>122</v>
      </c>
      <c r="Z3542" s="12">
        <f>IF($J3542=0,0,ROUND(MAX($J3542*1.4*1.5*1.6*1.6*2.2*2.715*2.6*1.4,6020000000*(1.651178^(MIN($E3542,123)-117)))*1,0))</f>
        <v>14657833</v>
      </c>
      <c r="AA3542" s="13">
        <f>$E3542+19</f>
        <v>124</v>
      </c>
      <c r="AB3542" s="14">
        <f>IF($J3542=0,0,ROUND(MAX($J3542*1.4*1.5*1.6*1.6*2.2*2.715*2.6*1.4*1.4,8430000000*(1.651435^(MIN($E3542,123)-117)))*1,0))</f>
        <v>20487537</v>
      </c>
      <c r="AC3542" s="11">
        <f>$E3542+21</f>
        <v>126</v>
      </c>
      <c r="AD3542" s="12">
        <f>IF($J3542=0,0,ROUND(MAX($J3542*1.4*1.5*1.6*1.6*2.2*2.715*2.6*1.4*1.4*1.5,12600000000*(1.652953^(MIN($E3542,123)-117)))*1,0))</f>
        <v>30286179</v>
      </c>
      <c r="AE3542" s="13">
        <f>$E3542+24</f>
        <v>129</v>
      </c>
      <c r="AF3542" s="14">
        <f>IF($J3542=0,0,ROUND(MAX($J3542*1.4*1.5*1.6*1.6*2.2*2.715*2.6*1.4*1.4*1.5*1.5,18900000000*(1.65331^(MIN($E3542,123)-117)))*1,0))</f>
        <v>45311693</v>
      </c>
      <c r="AG3542" s="11">
        <f>$E3542+27</f>
        <v>132</v>
      </c>
      <c r="AH3542" s="12">
        <f>IF($J3542=0,0,ROUND(MAX($J3542*1.4*1.5*1.6*1.6*2.2*2.715*2.6*1.4*1.4*1.5*1.5*3.2,60500000000*(1.654288^(MIN($E3542,123)-117)))*1,0))</f>
        <v>144019713</v>
      </c>
    </row>
    <row r="3543" ht="28" customHeight="1" spans="1:34" x14ac:dyDescent="0.25">
      <c r="A3543">
        <v>3553</v>
      </c>
      <c r="B3543" t="s">
        <v>138</v>
      </c>
      <c r="C3543" s="10" t="s">
        <v>1807</v>
      </c>
      <c r="D3543" t="s">
        <v>25</v>
      </c>
      <c r="E3543">
        <v>105</v>
      </c>
      <c r="F3543" t="s">
        <v>34</v>
      </c>
      <c r="G3543" t="s">
        <v>562</v>
      </c>
      <c r="H3543">
        <v>24</v>
      </c>
      <c r="I3543" s="11">
        <f>$E3543+0</f>
        <v>105</v>
      </c>
      <c r="J3543" s="12">
        <v>35900</v>
      </c>
      <c r="K3543" s="13">
        <f>$E3543+1</f>
        <v>106</v>
      </c>
      <c r="L3543" s="14">
        <f>IF($J3543=0,0,ROUND(MAX($J3543*1.4,1620000*(1.497923^(MIN($E3543,123)-117)))*1,0))</f>
        <v>50260</v>
      </c>
      <c r="M3543" s="11">
        <f>$E3543+2</f>
        <v>107</v>
      </c>
      <c r="N3543" s="12">
        <f>IF($J3543=0,0,ROUND(MAX($J3543*1.4*1.5,2190000*(1.580994^(MIN($E3543,123)-117)))*1,0))</f>
        <v>75390</v>
      </c>
      <c r="O3543" s="13">
        <f>$E3543+4</f>
        <v>109</v>
      </c>
      <c r="P3543" s="14">
        <f>IF($J3543=0,0,ROUND(MAX($J3543*1.4*1.5*1.6,3500000*(1.57975^(MIN($E3543,123)-117)))*1,0))</f>
        <v>120624</v>
      </c>
      <c r="Q3543" s="11">
        <f>$E3543+6</f>
        <v>111</v>
      </c>
      <c r="R3543" s="12">
        <f>IF($J3543=0,0,ROUND(MAX($J3543*1.4*1.5*1.6*1.6,13100000*(1.429962^(MIN($E3543,123)-117)))*1,0))</f>
        <v>192998</v>
      </c>
      <c r="S3543" s="13">
        <f>$E3543+8</f>
        <v>113</v>
      </c>
      <c r="T3543" s="14">
        <f>IF($J3543=0,0,ROUND(MAX($J3543*1.4*1.5*1.6*1.6*2.2,42600000*(1.576904^(MIN($E3543,123)-117)))*1,0))</f>
        <v>424596</v>
      </c>
      <c r="U3543" s="11">
        <f>$E3543+11</f>
        <v>116</v>
      </c>
      <c r="V3543" s="12">
        <f>IF($J3543=0,0,ROUND(MAX($J3543*1.4*1.5*1.6*1.6*2.2*2.715,354000000*(1.642074^(MIN($E3543,123)-117)))*1,0))</f>
        <v>1152779</v>
      </c>
      <c r="W3543" s="13">
        <f>$E3543+15</f>
        <v>120</v>
      </c>
      <c r="X3543" s="14">
        <f>IF($J3543=0,0,ROUND(MAX($J3543*1.4*1.5*1.6*1.6*2.2*2.715*2.6,3540000000*(1.579646^(MIN($E3543,123)-117)))*1,0))</f>
        <v>14665133</v>
      </c>
      <c r="Y3543" s="11">
        <f>$E3543+17</f>
        <v>122</v>
      </c>
      <c r="Z3543" s="12">
        <f>IF($J3543=0,0,ROUND(MAX($J3543*1.4*1.5*1.6*1.6*2.2*2.715*2.6*1.4,6020000000*(1.651178^(MIN($E3543,123)-117)))*1,0))</f>
        <v>14657833</v>
      </c>
      <c r="AA3543" s="13">
        <f>$E3543+19</f>
        <v>124</v>
      </c>
      <c r="AB3543" s="14">
        <f>IF($J3543=0,0,ROUND(MAX($J3543*1.4*1.5*1.6*1.6*2.2*2.715*2.6*1.4*1.4,8430000000*(1.651435^(MIN($E3543,123)-117)))*1,0))</f>
        <v>20487537</v>
      </c>
      <c r="AC3543" s="11">
        <f>$E3543+21</f>
        <v>126</v>
      </c>
      <c r="AD3543" s="12">
        <f>IF($J3543=0,0,ROUND(MAX($J3543*1.4*1.5*1.6*1.6*2.2*2.715*2.6*1.4*1.4*1.5,12600000000*(1.652953^(MIN($E3543,123)-117)))*1,0))</f>
        <v>30286179</v>
      </c>
      <c r="AE3543" s="13">
        <f>$E3543+24</f>
        <v>129</v>
      </c>
      <c r="AF3543" s="14">
        <f>IF($J3543=0,0,ROUND(MAX($J3543*1.4*1.5*1.6*1.6*2.2*2.715*2.6*1.4*1.4*1.5*1.5,18900000000*(1.65331^(MIN($E3543,123)-117)))*1,0))</f>
        <v>45311693</v>
      </c>
      <c r="AG3543" s="11">
        <f>$E3543+27</f>
        <v>132</v>
      </c>
      <c r="AH3543" s="12">
        <f>IF($J3543=0,0,ROUND(MAX($J3543*1.4*1.5*1.6*1.6*2.2*2.715*2.6*1.4*1.4*1.5*1.5*3.2,60500000000*(1.654288^(MIN($E3543,123)-117)))*1,0))</f>
        <v>144019713</v>
      </c>
    </row>
    <row r="3544" ht="28" customHeight="1" spans="1:34" x14ac:dyDescent="0.25">
      <c r="A3544">
        <v>3554</v>
      </c>
      <c r="B3544" t="s">
        <v>36</v>
      </c>
      <c r="C3544" s="10" t="s">
        <v>1807</v>
      </c>
      <c r="D3544" t="s">
        <v>40</v>
      </c>
      <c r="E3544">
        <v>105</v>
      </c>
      <c r="F3544" t="s">
        <v>37</v>
      </c>
      <c r="G3544" t="s">
        <v>562</v>
      </c>
      <c r="H3544">
        <v>23</v>
      </c>
      <c r="I3544" s="11">
        <f>$E3544+0</f>
        <v>105</v>
      </c>
      <c r="J3544" s="12">
        <v>23900</v>
      </c>
      <c r="K3544" s="13">
        <f>$E3544+1</f>
        <v>106</v>
      </c>
      <c r="L3544" s="14">
        <f>IF($J3544=0,0,ROUND(MAX($J3544*1.4,1620000*(1.497923^(MIN($E3544,123)-117)))*1,0))</f>
        <v>33460</v>
      </c>
      <c r="M3544" s="11">
        <f>$E3544+2</f>
        <v>107</v>
      </c>
      <c r="N3544" s="12">
        <f>IF($J3544=0,0,ROUND(MAX($J3544*1.4*1.5,2190000*(1.580994^(MIN($E3544,123)-117)))*1,0))</f>
        <v>50190</v>
      </c>
      <c r="O3544" s="13">
        <f>$E3544+4</f>
        <v>109</v>
      </c>
      <c r="P3544" s="14">
        <f>IF($J3544=0,0,ROUND(MAX($J3544*1.4*1.5*1.6,3500000*(1.57975^(MIN($E3544,123)-117)))*1,0))</f>
        <v>80304</v>
      </c>
      <c r="Q3544" s="11">
        <f>$E3544+6</f>
        <v>111</v>
      </c>
      <c r="R3544" s="12">
        <f>IF($J3544=0,0,ROUND(MAX($J3544*1.4*1.5*1.6*1.6,13100000*(1.429962^(MIN($E3544,123)-117)))*1,0))</f>
        <v>179216</v>
      </c>
      <c r="S3544" s="13">
        <f>$E3544+8</f>
        <v>113</v>
      </c>
      <c r="T3544" s="14">
        <f>IF($J3544=0,0,ROUND(MAX($J3544*1.4*1.5*1.6*1.6*2.2,42600000*(1.576904^(MIN($E3544,123)-117)))*1,0))</f>
        <v>282670</v>
      </c>
      <c r="U3544" s="11">
        <f>$E3544+11</f>
        <v>116</v>
      </c>
      <c r="V3544" s="12">
        <f>IF($J3544=0,0,ROUND(MAX($J3544*1.4*1.5*1.6*1.6*2.2*2.715,354000000*(1.642074^(MIN($E3544,123)-117)))*1,0))</f>
        <v>921066</v>
      </c>
      <c r="W3544" s="13">
        <f>$E3544+15</f>
        <v>120</v>
      </c>
      <c r="X3544" s="14">
        <f>IF($J3544=0,0,ROUND(MAX($J3544*1.4*1.5*1.6*1.6*2.2*2.715*2.6,3540000000*(1.579646^(MIN($E3544,123)-117)))*1,0))</f>
        <v>14665133</v>
      </c>
      <c r="Y3544" s="11">
        <f>$E3544+17</f>
        <v>122</v>
      </c>
      <c r="Z3544" s="12">
        <f>IF($J3544=0,0,ROUND(MAX($J3544*1.4*1.5*1.6*1.6*2.2*2.715*2.6*1.4,6020000000*(1.651178^(MIN($E3544,123)-117)))*1,0))</f>
        <v>14657833</v>
      </c>
      <c r="AA3544" s="13">
        <f>$E3544+19</f>
        <v>124</v>
      </c>
      <c r="AB3544" s="14">
        <f>IF($J3544=0,0,ROUND(MAX($J3544*1.4*1.5*1.6*1.6*2.2*2.715*2.6*1.4*1.4,8430000000*(1.651435^(MIN($E3544,123)-117)))*1,0))</f>
        <v>20487537</v>
      </c>
      <c r="AC3544" s="11">
        <f>$E3544+21</f>
        <v>126</v>
      </c>
      <c r="AD3544" s="12">
        <f>IF($J3544=0,0,ROUND(MAX($J3544*1.4*1.5*1.6*1.6*2.2*2.715*2.6*1.4*1.4*1.5,12600000000*(1.652953^(MIN($E3544,123)-117)))*1,0))</f>
        <v>30286179</v>
      </c>
      <c r="AE3544" s="13">
        <f>$E3544+24</f>
        <v>129</v>
      </c>
      <c r="AF3544" s="14">
        <f>IF($J3544=0,0,ROUND(MAX($J3544*1.4*1.5*1.6*1.6*2.2*2.715*2.6*1.4*1.4*1.5*1.5,18900000000*(1.65331^(MIN($E3544,123)-117)))*1,0))</f>
        <v>45311693</v>
      </c>
      <c r="AG3544" s="11">
        <f>$E3544+27</f>
        <v>132</v>
      </c>
      <c r="AH3544" s="12">
        <f>IF($J3544=0,0,ROUND(MAX($J3544*1.4*1.5*1.6*1.6*2.2*2.715*2.6*1.4*1.4*1.5*1.5*3.2,60500000000*(1.654288^(MIN($E3544,123)-117)))*1,0))</f>
        <v>144019713</v>
      </c>
    </row>
    <row r="3545" ht="28" customHeight="1" spans="1:34" x14ac:dyDescent="0.25">
      <c r="A3545">
        <v>3555</v>
      </c>
      <c r="B3545" t="s">
        <v>135</v>
      </c>
      <c r="C3545" s="10" t="s">
        <v>1807</v>
      </c>
      <c r="D3545" t="s">
        <v>29</v>
      </c>
      <c r="E3545">
        <v>105</v>
      </c>
      <c r="F3545" t="s">
        <v>136</v>
      </c>
      <c r="G3545" t="s">
        <v>562</v>
      </c>
      <c r="H3545">
        <v>23</v>
      </c>
      <c r="I3545" s="11">
        <f>$E3545+0</f>
        <v>105</v>
      </c>
      <c r="J3545" s="12">
        <v>12200</v>
      </c>
      <c r="K3545" s="13">
        <f>$E3545+1</f>
        <v>106</v>
      </c>
      <c r="L3545" s="14">
        <f>IF($J3545=0,0,ROUND(MAX($J3545*1.4,1620000*(1.497923^(MIN($E3545,123)-117)))*1,0))</f>
        <v>17080</v>
      </c>
      <c r="M3545" s="11">
        <f>$E3545+2</f>
        <v>107</v>
      </c>
      <c r="N3545" s="12">
        <f>IF($J3545=0,0,ROUND(MAX($J3545*1.4*1.5,2190000*(1.580994^(MIN($E3545,123)-117)))*1,0))</f>
        <v>25620</v>
      </c>
      <c r="O3545" s="13">
        <f>$E3545+4</f>
        <v>109</v>
      </c>
      <c r="P3545" s="14">
        <f>IF($J3545=0,0,ROUND(MAX($J3545*1.4*1.5*1.6,3500000*(1.57975^(MIN($E3545,123)-117)))*1,0))</f>
        <v>40992</v>
      </c>
      <c r="Q3545" s="11">
        <f>$E3545+6</f>
        <v>111</v>
      </c>
      <c r="R3545" s="12">
        <f>IF($J3545=0,0,ROUND(MAX($J3545*1.4*1.5*1.6*1.6,13100000*(1.429962^(MIN($E3545,123)-117)))*1,0))</f>
        <v>179216</v>
      </c>
      <c r="S3545" s="13">
        <f>$E3545+8</f>
        <v>113</v>
      </c>
      <c r="T3545" s="14">
        <f>IF($J3545=0,0,ROUND(MAX($J3545*1.4*1.5*1.6*1.6*2.2,42600000*(1.576904^(MIN($E3545,123)-117)))*1,0))</f>
        <v>180197</v>
      </c>
      <c r="U3545" s="11">
        <f>$E3545+11</f>
        <v>116</v>
      </c>
      <c r="V3545" s="12">
        <f>IF($J3545=0,0,ROUND(MAX($J3545*1.4*1.5*1.6*1.6*2.2*2.715,354000000*(1.642074^(MIN($E3545,123)-117)))*1,0))</f>
        <v>921066</v>
      </c>
      <c r="W3545" s="13">
        <f>$E3545+15</f>
        <v>120</v>
      </c>
      <c r="X3545" s="14">
        <f>IF($J3545=0,0,ROUND(MAX($J3545*1.4*1.5*1.6*1.6*2.2*2.715*2.6,3540000000*(1.579646^(MIN($E3545,123)-117)))*1,0))</f>
        <v>14665133</v>
      </c>
      <c r="Y3545" s="11">
        <f>$E3545+17</f>
        <v>122</v>
      </c>
      <c r="Z3545" s="12">
        <f>IF($J3545=0,0,ROUND(MAX($J3545*1.4*1.5*1.6*1.6*2.2*2.715*2.6*1.4,6020000000*(1.651178^(MIN($E3545,123)-117)))*1,0))</f>
        <v>14657833</v>
      </c>
      <c r="AA3545" s="13">
        <f>$E3545+19</f>
        <v>124</v>
      </c>
      <c r="AB3545" s="14">
        <f>IF($J3545=0,0,ROUND(MAX($J3545*1.4*1.5*1.6*1.6*2.2*2.715*2.6*1.4*1.4,8430000000*(1.651435^(MIN($E3545,123)-117)))*1,0))</f>
        <v>20487537</v>
      </c>
      <c r="AC3545" s="11">
        <f>$E3545+21</f>
        <v>126</v>
      </c>
      <c r="AD3545" s="12">
        <f>IF($J3545=0,0,ROUND(MAX($J3545*1.4*1.5*1.6*1.6*2.2*2.715*2.6*1.4*1.4*1.5,12600000000*(1.652953^(MIN($E3545,123)-117)))*1,0))</f>
        <v>30286179</v>
      </c>
      <c r="AE3545" s="13">
        <f>$E3545+24</f>
        <v>129</v>
      </c>
      <c r="AF3545" s="14">
        <f>IF($J3545=0,0,ROUND(MAX($J3545*1.4*1.5*1.6*1.6*2.2*2.715*2.6*1.4*1.4*1.5*1.5,18900000000*(1.65331^(MIN($E3545,123)-117)))*1,0))</f>
        <v>45311693</v>
      </c>
      <c r="AG3545" s="11">
        <f>$E3545+27</f>
        <v>132</v>
      </c>
      <c r="AH3545" s="12">
        <f>IF($J3545=0,0,ROUND(MAX($J3545*1.4*1.5*1.6*1.6*2.2*2.715*2.6*1.4*1.4*1.5*1.5*3.2,60500000000*(1.654288^(MIN($E3545,123)-117)))*1,0))</f>
        <v>144019713</v>
      </c>
    </row>
    <row r="3546" ht="28" customHeight="1" spans="1:34" x14ac:dyDescent="0.25">
      <c r="A3546">
        <v>3556</v>
      </c>
      <c r="B3546" t="s">
        <v>1190</v>
      </c>
      <c r="C3546" s="10" t="s">
        <v>1807</v>
      </c>
      <c r="D3546" t="s">
        <v>79</v>
      </c>
      <c r="E3546">
        <v>105</v>
      </c>
      <c r="F3546" t="s">
        <v>34</v>
      </c>
      <c r="G3546" t="s">
        <v>169</v>
      </c>
      <c r="H3546">
        <v>23</v>
      </c>
      <c r="I3546" s="11">
        <f>$E3546+0</f>
        <v>105</v>
      </c>
      <c r="J3546" s="12">
        <v>21700</v>
      </c>
      <c r="K3546" s="13">
        <f>$E3546+1</f>
        <v>106</v>
      </c>
      <c r="L3546" s="14">
        <f>IF($J3546=0,0,ROUND(MAX($J3546*1.4,1620000*(1.497923^(MIN($E3546,123)-117)))*1,0))</f>
        <v>30380</v>
      </c>
      <c r="M3546" s="11">
        <f>$E3546+2</f>
        <v>107</v>
      </c>
      <c r="N3546" s="12">
        <f>IF($J3546=0,0,ROUND(MAX($J3546*1.4*1.5,2190000*(1.580994^(MIN($E3546,123)-117)))*1,0))</f>
        <v>45570</v>
      </c>
      <c r="O3546" s="13">
        <f>$E3546+4</f>
        <v>109</v>
      </c>
      <c r="P3546" s="14">
        <f>IF($J3546=0,0,ROUND(MAX($J3546*1.4*1.5*1.6,3500000*(1.57975^(MIN($E3546,123)-117)))*1,0))</f>
        <v>72912</v>
      </c>
      <c r="Q3546" s="11">
        <f>$E3546+6</f>
        <v>111</v>
      </c>
      <c r="R3546" s="12">
        <f>IF($J3546=0,0,ROUND(MAX($J3546*1.4*1.5*1.6*1.6,13100000*(1.429962^(MIN($E3546,123)-117)))*1,0))</f>
        <v>179216</v>
      </c>
      <c r="S3546" s="13">
        <f>$E3546+8</f>
        <v>113</v>
      </c>
      <c r="T3546" s="14">
        <f>IF($J3546=0,0,ROUND(MAX($J3546*1.4*1.5*1.6*1.6*2.2,42600000*(1.576904^(MIN($E3546,123)-117)))*1,0))</f>
        <v>256650</v>
      </c>
      <c r="U3546" s="11">
        <f>$E3546+11</f>
        <v>116</v>
      </c>
      <c r="V3546" s="12">
        <f>IF($J3546=0,0,ROUND(MAX($J3546*1.4*1.5*1.6*1.6*2.2*2.715,354000000*(1.642074^(MIN($E3546,123)-117)))*1,0))</f>
        <v>921066</v>
      </c>
      <c r="W3546" s="13">
        <f>$E3546+15</f>
        <v>120</v>
      </c>
      <c r="X3546" s="14">
        <f>IF($J3546=0,0,ROUND(MAX($J3546*1.4*1.5*1.6*1.6*2.2*2.715*2.6,3540000000*(1.579646^(MIN($E3546,123)-117)))*1,0))</f>
        <v>14665133</v>
      </c>
      <c r="Y3546" s="11">
        <f>$E3546+17</f>
        <v>122</v>
      </c>
      <c r="Z3546" s="12">
        <f>IF($J3546=0,0,ROUND(MAX($J3546*1.4*1.5*1.6*1.6*2.2*2.715*2.6*1.4,6020000000*(1.651178^(MIN($E3546,123)-117)))*1,0))</f>
        <v>14657833</v>
      </c>
      <c r="AA3546" s="13">
        <f>$E3546+19</f>
        <v>124</v>
      </c>
      <c r="AB3546" s="14">
        <f>IF($J3546=0,0,ROUND(MAX($J3546*1.4*1.5*1.6*1.6*2.2*2.715*2.6*1.4*1.4,8430000000*(1.651435^(MIN($E3546,123)-117)))*1,0))</f>
        <v>20487537</v>
      </c>
      <c r="AC3546" s="11">
        <f>$E3546+21</f>
        <v>126</v>
      </c>
      <c r="AD3546" s="12">
        <f>IF($J3546=0,0,ROUND(MAX($J3546*1.4*1.5*1.6*1.6*2.2*2.715*2.6*1.4*1.4*1.5,12600000000*(1.652953^(MIN($E3546,123)-117)))*1,0))</f>
        <v>30286179</v>
      </c>
      <c r="AE3546" s="13">
        <f>$E3546+24</f>
        <v>129</v>
      </c>
      <c r="AF3546" s="14">
        <f>IF($J3546=0,0,ROUND(MAX($J3546*1.4*1.5*1.6*1.6*2.2*2.715*2.6*1.4*1.4*1.5*1.5,18900000000*(1.65331^(MIN($E3546,123)-117)))*1,0))</f>
        <v>45311693</v>
      </c>
      <c r="AG3546" s="11">
        <f>$E3546+27</f>
        <v>132</v>
      </c>
      <c r="AH3546" s="12">
        <f>IF($J3546=0,0,ROUND(MAX($J3546*1.4*1.5*1.6*1.6*2.2*2.715*2.6*1.4*1.4*1.5*1.5*3.2,60500000000*(1.654288^(MIN($E3546,123)-117)))*1,0))</f>
        <v>144019713</v>
      </c>
    </row>
    <row r="3547" ht="28" customHeight="1" spans="1:34" x14ac:dyDescent="0.25">
      <c r="A3547">
        <v>3557</v>
      </c>
      <c r="B3547" t="s">
        <v>770</v>
      </c>
      <c r="C3547" s="10" t="s">
        <v>1807</v>
      </c>
      <c r="D3547" t="s">
        <v>90</v>
      </c>
      <c r="E3547">
        <v>105</v>
      </c>
      <c r="F3547" t="s">
        <v>71</v>
      </c>
      <c r="G3547" t="s">
        <v>38</v>
      </c>
      <c r="H3547">
        <v>23</v>
      </c>
      <c r="I3547" s="11">
        <f>$E3547+0</f>
        <v>105</v>
      </c>
      <c r="J3547" s="12">
        <v>284000</v>
      </c>
      <c r="K3547" s="13">
        <f>$E3547+1</f>
        <v>106</v>
      </c>
      <c r="L3547" s="14">
        <f>IF($J3547=0,0,ROUND(MAX($J3547*1.4,1620000*(1.497923^(MIN($E3547,123)-117)))*1,0))</f>
        <v>397600</v>
      </c>
      <c r="M3547" s="11">
        <f>$E3547+2</f>
        <v>107</v>
      </c>
      <c r="N3547" s="12">
        <f>IF($J3547=0,0,ROUND(MAX($J3547*1.4*1.5,2190000*(1.580994^(MIN($E3547,123)-117)))*1,0))</f>
        <v>596400</v>
      </c>
      <c r="O3547" s="13">
        <f>$E3547+4</f>
        <v>109</v>
      </c>
      <c r="P3547" s="14">
        <f>IF($J3547=0,0,ROUND(MAX($J3547*1.4*1.5*1.6,3500000*(1.57975^(MIN($E3547,123)-117)))*1,0))</f>
        <v>954240</v>
      </c>
      <c r="Q3547" s="11">
        <f>$E3547+6</f>
        <v>111</v>
      </c>
      <c r="R3547" s="12">
        <f>IF($J3547=0,0,ROUND(MAX($J3547*1.4*1.5*1.6*1.6,13100000*(1.429962^(MIN($E3547,123)-117)))*1,0))</f>
        <v>1526784</v>
      </c>
      <c r="S3547" s="13">
        <f>$E3547+8</f>
        <v>113</v>
      </c>
      <c r="T3547" s="14">
        <f>IF($J3547=0,0,ROUND(MAX($J3547*1.4*1.5*1.6*1.6*2.2,42600000*(1.576904^(MIN($E3547,123)-117)))*1,0))</f>
        <v>3358925</v>
      </c>
      <c r="U3547" s="11">
        <f>$E3547+11</f>
        <v>116</v>
      </c>
      <c r="V3547" s="12">
        <f>IF($J3547=0,0,ROUND(MAX($J3547*1.4*1.5*1.6*1.6*2.2*2.715,354000000*(1.642074^(MIN($E3547,123)-117)))*1,0))</f>
        <v>9119481</v>
      </c>
      <c r="W3547" s="13">
        <f>$E3547+15</f>
        <v>120</v>
      </c>
      <c r="X3547" s="14">
        <f>IF($J3547=0,0,ROUND(MAX($J3547*1.4*1.5*1.6*1.6*2.2*2.715*2.6,3540000000*(1.579646^(MIN($E3547,123)-117)))*1,0))</f>
        <v>23710650</v>
      </c>
      <c r="Y3547" s="11">
        <f>$E3547+17</f>
        <v>122</v>
      </c>
      <c r="Z3547" s="12">
        <f>IF($J3547=0,0,ROUND(MAX($J3547*1.4*1.5*1.6*1.6*2.2*2.715*2.6*1.4,6020000000*(1.651178^(MIN($E3547,123)-117)))*1,0))</f>
        <v>33194910</v>
      </c>
      <c r="AA3547" s="13">
        <f>$E3547+19</f>
        <v>124</v>
      </c>
      <c r="AB3547" s="14">
        <f>IF($J3547=0,0,ROUND(MAX($J3547*1.4*1.5*1.6*1.6*2.2*2.715*2.6*1.4*1.4,8430000000*(1.651435^(MIN($E3547,123)-117)))*1,0))</f>
        <v>46472874</v>
      </c>
      <c r="AC3547" s="11">
        <f>$E3547+21</f>
        <v>126</v>
      </c>
      <c r="AD3547" s="12">
        <f>IF($J3547=0,0,ROUND(MAX($J3547*1.4*1.5*1.6*1.6*2.2*2.715*2.6*1.4*1.4*1.5,12600000000*(1.652953^(MIN($E3547,123)-117)))*1,0))</f>
        <v>69709311</v>
      </c>
      <c r="AE3547" s="13">
        <f>$E3547+24</f>
        <v>129</v>
      </c>
      <c r="AF3547" s="14">
        <f>IF($J3547=0,0,ROUND(MAX($J3547*1.4*1.5*1.6*1.6*2.2*2.715*2.6*1.4*1.4*1.5*1.5,18900000000*(1.65331^(MIN($E3547,123)-117)))*1,0))</f>
        <v>104563967</v>
      </c>
      <c r="AG3547" s="11">
        <f>$E3547+27</f>
        <v>132</v>
      </c>
      <c r="AH3547" s="12">
        <f>IF($J3547=0,0,ROUND(MAX($J3547*1.4*1.5*1.6*1.6*2.2*2.715*2.6*1.4*1.4*1.5*1.5*3.2,60500000000*(1.654288^(MIN($E3547,123)-117)))*1,0))</f>
        <v>334604695</v>
      </c>
    </row>
    <row r="3548" ht="28" customHeight="1" spans="1:34" x14ac:dyDescent="0.25">
      <c r="A3548">
        <v>3558</v>
      </c>
      <c r="B3548" t="s">
        <v>835</v>
      </c>
      <c r="C3548" s="10" t="s">
        <v>1807</v>
      </c>
      <c r="D3548" t="s">
        <v>79</v>
      </c>
      <c r="E3548">
        <v>105</v>
      </c>
      <c r="F3548" t="s">
        <v>56</v>
      </c>
      <c r="G3548" t="s">
        <v>392</v>
      </c>
      <c r="H3548">
        <v>23</v>
      </c>
      <c r="I3548" s="11">
        <f>$E3548+0</f>
        <v>105</v>
      </c>
      <c r="J3548" s="12">
        <v>14300</v>
      </c>
      <c r="K3548" s="13">
        <f>$E3548+1</f>
        <v>106</v>
      </c>
      <c r="L3548" s="14">
        <f>IF($J3548=0,0,ROUND(MAX($J3548*1.4,1620000*(1.497923^(MIN($E3548,123)-117)))*1,0))</f>
        <v>20020</v>
      </c>
      <c r="M3548" s="11">
        <f>$E3548+2</f>
        <v>107</v>
      </c>
      <c r="N3548" s="12">
        <f>IF($J3548=0,0,ROUND(MAX($J3548*1.4*1.5,2190000*(1.580994^(MIN($E3548,123)-117)))*1,0))</f>
        <v>30030</v>
      </c>
      <c r="O3548" s="13">
        <f>$E3548+4</f>
        <v>109</v>
      </c>
      <c r="P3548" s="14">
        <f>IF($J3548=0,0,ROUND(MAX($J3548*1.4*1.5*1.6,3500000*(1.57975^(MIN($E3548,123)-117)))*1,0))</f>
        <v>48048</v>
      </c>
      <c r="Q3548" s="11">
        <f>$E3548+6</f>
        <v>111</v>
      </c>
      <c r="R3548" s="12">
        <f>IF($J3548=0,0,ROUND(MAX($J3548*1.4*1.5*1.6*1.6,13100000*(1.429962^(MIN($E3548,123)-117)))*1,0))</f>
        <v>179216</v>
      </c>
      <c r="S3548" s="13">
        <f>$E3548+8</f>
        <v>113</v>
      </c>
      <c r="T3548" s="14">
        <f>IF($J3548=0,0,ROUND(MAX($J3548*1.4*1.5*1.6*1.6*2.2,42600000*(1.576904^(MIN($E3548,123)-117)))*1,0))</f>
        <v>180197</v>
      </c>
      <c r="U3548" s="11">
        <f>$E3548+11</f>
        <v>116</v>
      </c>
      <c r="V3548" s="12">
        <f>IF($J3548=0,0,ROUND(MAX($J3548*1.4*1.5*1.6*1.6*2.2*2.715,354000000*(1.642074^(MIN($E3548,123)-117)))*1,0))</f>
        <v>921066</v>
      </c>
      <c r="W3548" s="13">
        <f>$E3548+15</f>
        <v>120</v>
      </c>
      <c r="X3548" s="14">
        <f>IF($J3548=0,0,ROUND(MAX($J3548*1.4*1.5*1.6*1.6*2.2*2.715*2.6,3540000000*(1.579646^(MIN($E3548,123)-117)))*1,0))</f>
        <v>14665133</v>
      </c>
      <c r="Y3548" s="11">
        <f>$E3548+17</f>
        <v>122</v>
      </c>
      <c r="Z3548" s="12">
        <f>IF($J3548=0,0,ROUND(MAX($J3548*1.4*1.5*1.6*1.6*2.2*2.715*2.6*1.4,6020000000*(1.651178^(MIN($E3548,123)-117)))*1,0))</f>
        <v>14657833</v>
      </c>
      <c r="AA3548" s="13">
        <f>$E3548+19</f>
        <v>124</v>
      </c>
      <c r="AB3548" s="14">
        <f>IF($J3548=0,0,ROUND(MAX($J3548*1.4*1.5*1.6*1.6*2.2*2.715*2.6*1.4*1.4,8430000000*(1.651435^(MIN($E3548,123)-117)))*1,0))</f>
        <v>20487537</v>
      </c>
      <c r="AC3548" s="11">
        <f>$E3548+21</f>
        <v>126</v>
      </c>
      <c r="AD3548" s="12">
        <f>IF($J3548=0,0,ROUND(MAX($J3548*1.4*1.5*1.6*1.6*2.2*2.715*2.6*1.4*1.4*1.5,12600000000*(1.652953^(MIN($E3548,123)-117)))*1,0))</f>
        <v>30286179</v>
      </c>
      <c r="AE3548" s="13">
        <f>$E3548+24</f>
        <v>129</v>
      </c>
      <c r="AF3548" s="14">
        <f>IF($J3548=0,0,ROUND(MAX($J3548*1.4*1.5*1.6*1.6*2.2*2.715*2.6*1.4*1.4*1.5*1.5,18900000000*(1.65331^(MIN($E3548,123)-117)))*1,0))</f>
        <v>45311693</v>
      </c>
      <c r="AG3548" s="11">
        <f>$E3548+27</f>
        <v>132</v>
      </c>
      <c r="AH3548" s="12">
        <f>IF($J3548=0,0,ROUND(MAX($J3548*1.4*1.5*1.6*1.6*2.2*2.715*2.6*1.4*1.4*1.5*1.5*3.2,60500000000*(1.654288^(MIN($E3548,123)-117)))*1,0))</f>
        <v>144019713</v>
      </c>
    </row>
    <row r="3549" ht="28" customHeight="1" spans="1:34" x14ac:dyDescent="0.25">
      <c r="A3549">
        <v>3559</v>
      </c>
      <c r="B3549" t="s">
        <v>778</v>
      </c>
      <c r="C3549" s="10" t="s">
        <v>1807</v>
      </c>
      <c r="D3549" t="s">
        <v>25</v>
      </c>
      <c r="E3549">
        <v>105</v>
      </c>
      <c r="F3549" t="s">
        <v>71</v>
      </c>
      <c r="G3549" t="s">
        <v>329</v>
      </c>
      <c r="H3549">
        <v>23</v>
      </c>
      <c r="I3549" s="11">
        <f>$E3549+0</f>
        <v>105</v>
      </c>
      <c r="J3549" s="12">
        <v>11300</v>
      </c>
      <c r="K3549" s="13">
        <f>$E3549+1</f>
        <v>106</v>
      </c>
      <c r="L3549" s="14">
        <f>IF($J3549=0,0,ROUND(MAX($J3549*1.4,1620000*(1.497923^(MIN($E3549,123)-117)))*1,0))</f>
        <v>15820</v>
      </c>
      <c r="M3549" s="11">
        <f>$E3549+2</f>
        <v>107</v>
      </c>
      <c r="N3549" s="12">
        <f>IF($J3549=0,0,ROUND(MAX($J3549*1.4*1.5,2190000*(1.580994^(MIN($E3549,123)-117)))*1,0))</f>
        <v>23730</v>
      </c>
      <c r="O3549" s="13">
        <f>$E3549+4</f>
        <v>109</v>
      </c>
      <c r="P3549" s="14">
        <f>IF($J3549=0,0,ROUND(MAX($J3549*1.4*1.5*1.6,3500000*(1.57975^(MIN($E3549,123)-117)))*1,0))</f>
        <v>37968</v>
      </c>
      <c r="Q3549" s="11">
        <f>$E3549+6</f>
        <v>111</v>
      </c>
      <c r="R3549" s="12">
        <f>IF($J3549=0,0,ROUND(MAX($J3549*1.4*1.5*1.6*1.6,13100000*(1.429962^(MIN($E3549,123)-117)))*1,0))</f>
        <v>179216</v>
      </c>
      <c r="S3549" s="13">
        <f>$E3549+8</f>
        <v>113</v>
      </c>
      <c r="T3549" s="14">
        <f>IF($J3549=0,0,ROUND(MAX($J3549*1.4*1.5*1.6*1.6*2.2,42600000*(1.576904^(MIN($E3549,123)-117)))*1,0))</f>
        <v>180197</v>
      </c>
      <c r="U3549" s="11">
        <f>$E3549+11</f>
        <v>116</v>
      </c>
      <c r="V3549" s="12">
        <f>IF($J3549=0,0,ROUND(MAX($J3549*1.4*1.5*1.6*1.6*2.2*2.715,354000000*(1.642074^(MIN($E3549,123)-117)))*1,0))</f>
        <v>921066</v>
      </c>
      <c r="W3549" s="13">
        <f>$E3549+15</f>
        <v>120</v>
      </c>
      <c r="X3549" s="14">
        <f>IF($J3549=0,0,ROUND(MAX($J3549*1.4*1.5*1.6*1.6*2.2*2.715*2.6,3540000000*(1.579646^(MIN($E3549,123)-117)))*1,0))</f>
        <v>14665133</v>
      </c>
      <c r="Y3549" s="11">
        <f>$E3549+17</f>
        <v>122</v>
      </c>
      <c r="Z3549" s="12">
        <f>IF($J3549=0,0,ROUND(MAX($J3549*1.4*1.5*1.6*1.6*2.2*2.715*2.6*1.4,6020000000*(1.651178^(MIN($E3549,123)-117)))*1,0))</f>
        <v>14657833</v>
      </c>
      <c r="AA3549" s="13">
        <f>$E3549+19</f>
        <v>124</v>
      </c>
      <c r="AB3549" s="14">
        <f>IF($J3549=0,0,ROUND(MAX($J3549*1.4*1.5*1.6*1.6*2.2*2.715*2.6*1.4*1.4,8430000000*(1.651435^(MIN($E3549,123)-117)))*1,0))</f>
        <v>20487537</v>
      </c>
      <c r="AC3549" s="11">
        <f>$E3549+21</f>
        <v>126</v>
      </c>
      <c r="AD3549" s="12">
        <f>IF($J3549=0,0,ROUND(MAX($J3549*1.4*1.5*1.6*1.6*2.2*2.715*2.6*1.4*1.4*1.5,12600000000*(1.652953^(MIN($E3549,123)-117)))*1,0))</f>
        <v>30286179</v>
      </c>
      <c r="AE3549" s="13">
        <f>$E3549+24</f>
        <v>129</v>
      </c>
      <c r="AF3549" s="14">
        <f>IF($J3549=0,0,ROUND(MAX($J3549*1.4*1.5*1.6*1.6*2.2*2.715*2.6*1.4*1.4*1.5*1.5,18900000000*(1.65331^(MIN($E3549,123)-117)))*1,0))</f>
        <v>45311693</v>
      </c>
      <c r="AG3549" s="11">
        <f>$E3549+27</f>
        <v>132</v>
      </c>
      <c r="AH3549" s="12">
        <f>IF($J3549=0,0,ROUND(MAX($J3549*1.4*1.5*1.6*1.6*2.2*2.715*2.6*1.4*1.4*1.5*1.5*3.2,60500000000*(1.654288^(MIN($E3549,123)-117)))*1,0))</f>
        <v>144019713</v>
      </c>
    </row>
    <row r="3550" ht="28" customHeight="1" spans="1:34" x14ac:dyDescent="0.25">
      <c r="A3550">
        <v>3560</v>
      </c>
      <c r="B3550" t="s">
        <v>1124</v>
      </c>
      <c r="C3550" s="10" t="s">
        <v>1807</v>
      </c>
      <c r="D3550" t="s">
        <v>25</v>
      </c>
      <c r="E3550">
        <v>105</v>
      </c>
      <c r="F3550" t="s">
        <v>71</v>
      </c>
      <c r="G3550" t="s">
        <v>562</v>
      </c>
      <c r="H3550">
        <v>23</v>
      </c>
      <c r="I3550" s="11">
        <f>$E3550+0</f>
        <v>105</v>
      </c>
      <c r="J3550" s="12">
        <v>7490</v>
      </c>
      <c r="K3550" s="13">
        <f>$E3550+1</f>
        <v>106</v>
      </c>
      <c r="L3550" s="14">
        <f>IF($J3550=0,0,ROUND(MAX($J3550*1.4,1620000*(1.497923^(MIN($E3550,123)-117)))*1,0))</f>
        <v>12695</v>
      </c>
      <c r="M3550" s="11">
        <f>$E3550+2</f>
        <v>107</v>
      </c>
      <c r="N3550" s="12">
        <f>IF($J3550=0,0,ROUND(MAX($J3550*1.4*1.5,2190000*(1.580994^(MIN($E3550,123)-117)))*1,0))</f>
        <v>15729</v>
      </c>
      <c r="O3550" s="13">
        <f>$E3550+4</f>
        <v>109</v>
      </c>
      <c r="P3550" s="14">
        <f>IF($J3550=0,0,ROUND(MAX($J3550*1.4*1.5*1.6,3500000*(1.57975^(MIN($E3550,123)-117)))*1,0))</f>
        <v>25166</v>
      </c>
      <c r="Q3550" s="11">
        <f>$E3550+6</f>
        <v>111</v>
      </c>
      <c r="R3550" s="12">
        <f>IF($J3550=0,0,ROUND(MAX($J3550*1.4*1.5*1.6*1.6,13100000*(1.429962^(MIN($E3550,123)-117)))*1,0))</f>
        <v>179216</v>
      </c>
      <c r="S3550" s="13">
        <f>$E3550+8</f>
        <v>113</v>
      </c>
      <c r="T3550" s="14">
        <f>IF($J3550=0,0,ROUND(MAX($J3550*1.4*1.5*1.6*1.6*2.2,42600000*(1.576904^(MIN($E3550,123)-117)))*1,0))</f>
        <v>180197</v>
      </c>
      <c r="U3550" s="11">
        <f>$E3550+11</f>
        <v>116</v>
      </c>
      <c r="V3550" s="12">
        <f>IF($J3550=0,0,ROUND(MAX($J3550*1.4*1.5*1.6*1.6*2.2*2.715,354000000*(1.642074^(MIN($E3550,123)-117)))*1,0))</f>
        <v>921066</v>
      </c>
      <c r="W3550" s="13">
        <f>$E3550+15</f>
        <v>120</v>
      </c>
      <c r="X3550" s="14">
        <f>IF($J3550=0,0,ROUND(MAX($J3550*1.4*1.5*1.6*1.6*2.2*2.715*2.6,3540000000*(1.579646^(MIN($E3550,123)-117)))*1,0))</f>
        <v>14665133</v>
      </c>
      <c r="Y3550" s="11">
        <f>$E3550+17</f>
        <v>122</v>
      </c>
      <c r="Z3550" s="12">
        <f>IF($J3550=0,0,ROUND(MAX($J3550*1.4*1.5*1.6*1.6*2.2*2.715*2.6*1.4,6020000000*(1.651178^(MIN($E3550,123)-117)))*1,0))</f>
        <v>14657833</v>
      </c>
      <c r="AA3550" s="13">
        <f>$E3550+19</f>
        <v>124</v>
      </c>
      <c r="AB3550" s="14">
        <f>IF($J3550=0,0,ROUND(MAX($J3550*1.4*1.5*1.6*1.6*2.2*2.715*2.6*1.4*1.4,8430000000*(1.651435^(MIN($E3550,123)-117)))*1,0))</f>
        <v>20487537</v>
      </c>
      <c r="AC3550" s="11">
        <f>$E3550+21</f>
        <v>126</v>
      </c>
      <c r="AD3550" s="12">
        <f>IF($J3550=0,0,ROUND(MAX($J3550*1.4*1.5*1.6*1.6*2.2*2.715*2.6*1.4*1.4*1.5,12600000000*(1.652953^(MIN($E3550,123)-117)))*1,0))</f>
        <v>30286179</v>
      </c>
      <c r="AE3550" s="13">
        <f>$E3550+24</f>
        <v>129</v>
      </c>
      <c r="AF3550" s="14">
        <f>IF($J3550=0,0,ROUND(MAX($J3550*1.4*1.5*1.6*1.6*2.2*2.715*2.6*1.4*1.4*1.5*1.5,18900000000*(1.65331^(MIN($E3550,123)-117)))*1,0))</f>
        <v>45311693</v>
      </c>
      <c r="AG3550" s="11">
        <f>$E3550+27</f>
        <v>132</v>
      </c>
      <c r="AH3550" s="12">
        <f>IF($J3550=0,0,ROUND(MAX($J3550*1.4*1.5*1.6*1.6*2.2*2.715*2.6*1.4*1.4*1.5*1.5*3.2,60500000000*(1.654288^(MIN($E3550,123)-117)))*1,0))</f>
        <v>144019713</v>
      </c>
    </row>
    <row r="3551" ht="28" customHeight="1" spans="1:34" x14ac:dyDescent="0.25">
      <c r="A3551">
        <v>3561</v>
      </c>
      <c r="B3551" t="s">
        <v>637</v>
      </c>
      <c r="C3551" s="10" t="s">
        <v>1807</v>
      </c>
      <c r="D3551" t="s">
        <v>40</v>
      </c>
      <c r="E3551">
        <v>105</v>
      </c>
      <c r="F3551" t="s">
        <v>26</v>
      </c>
      <c r="G3551" t="s">
        <v>562</v>
      </c>
      <c r="H3551">
        <v>23</v>
      </c>
      <c r="I3551" s="11">
        <f>$E3551+0</f>
        <v>105</v>
      </c>
      <c r="J3551" s="12">
        <v>1610000</v>
      </c>
      <c r="K3551" s="13">
        <f>$E3551+1</f>
        <v>106</v>
      </c>
      <c r="L3551" s="14">
        <f>IF($J3551=0,0,ROUND(MAX($J3551*1.4,1620000*(1.497923^(MIN($E3551,123)-117)))*1,0))</f>
        <v>2254000</v>
      </c>
      <c r="M3551" s="11">
        <f>$E3551+2</f>
        <v>107</v>
      </c>
      <c r="N3551" s="12">
        <f>IF($J3551=0,0,ROUND(MAX($J3551*1.4*1.5,2190000*(1.580994^(MIN($E3551,123)-117)))*1,0))</f>
        <v>3381000</v>
      </c>
      <c r="O3551" s="13">
        <f>$E3551+4</f>
        <v>109</v>
      </c>
      <c r="P3551" s="14">
        <f>IF($J3551=0,0,ROUND(MAX($J3551*1.4*1.5*1.6,3500000*(1.57975^(MIN($E3551,123)-117)))*1,0))</f>
        <v>5409600</v>
      </c>
      <c r="Q3551" s="11">
        <f>$E3551+6</f>
        <v>111</v>
      </c>
      <c r="R3551" s="12">
        <f>IF($J3551=0,0,ROUND(MAX($J3551*1.4*1.5*1.6*1.6,13100000*(1.429962^(MIN($E3551,123)-117)))*1,0))</f>
        <v>8655360</v>
      </c>
      <c r="S3551" s="13">
        <f>$E3551+8</f>
        <v>113</v>
      </c>
      <c r="T3551" s="14">
        <f>IF($J3551=0,0,ROUND(MAX($J3551*1.4*1.5*1.6*1.6*2.2,42600000*(1.576904^(MIN($E3551,123)-117)))*1,0))</f>
        <v>19041792</v>
      </c>
      <c r="U3551" s="11">
        <f>$E3551+11</f>
        <v>116</v>
      </c>
      <c r="V3551" s="12">
        <f>IF($J3551=0,0,ROUND(MAX($J3551*1.4*1.5*1.6*1.6*2.2*2.715,354000000*(1.642074^(MIN($E3551,123)-117)))*1,0))</f>
        <v>51698465</v>
      </c>
      <c r="W3551" s="13">
        <f>$E3551+15</f>
        <v>120</v>
      </c>
      <c r="X3551" s="14">
        <f>IF($J3551=0,0,ROUND(MAX($J3551*1.4*1.5*1.6*1.6*2.2*2.715*2.6,3540000000*(1.579646^(MIN($E3551,123)-117)))*1,0))</f>
        <v>134416010</v>
      </c>
      <c r="Y3551" s="11">
        <f>$E3551+17</f>
        <v>122</v>
      </c>
      <c r="Z3551" s="12">
        <f>IF($J3551=0,0,ROUND(MAX($J3551*1.4*1.5*1.6*1.6*2.2*2.715*2.6*1.4,6020000000*(1.651178^(MIN($E3551,123)-117)))*1,0))</f>
        <v>188182414</v>
      </c>
      <c r="AA3551" s="13">
        <f>$E3551+19</f>
        <v>124</v>
      </c>
      <c r="AB3551" s="14">
        <f>IF($J3551=0,0,ROUND(MAX($J3551*1.4*1.5*1.6*1.6*2.2*2.715*2.6*1.4*1.4,8430000000*(1.651435^(MIN($E3551,123)-117)))*1,0))</f>
        <v>263455379</v>
      </c>
      <c r="AC3551" s="11">
        <f>$E3551+21</f>
        <v>126</v>
      </c>
      <c r="AD3551" s="12">
        <f>IF($J3551=0,0,ROUND(MAX($J3551*1.4*1.5*1.6*1.6*2.2*2.715*2.6*1.4*1.4*1.5,12600000000*(1.652953^(MIN($E3551,123)-117)))*1,0))</f>
        <v>395183069</v>
      </c>
      <c r="AE3551" s="13">
        <f>$E3551+24</f>
        <v>129</v>
      </c>
      <c r="AF3551" s="14">
        <f>IF($J3551=0,0,ROUND(MAX($J3551*1.4*1.5*1.6*1.6*2.2*2.715*2.6*1.4*1.4*1.5*1.5,18900000000*(1.65331^(MIN($E3551,123)-117)))*1,0))</f>
        <v>592774603</v>
      </c>
      <c r="AG3551" s="11">
        <f>$E3551+27</f>
        <v>132</v>
      </c>
      <c r="AH3551" s="12">
        <f>IF($J3551=0,0,ROUND(MAX($J3551*1.4*1.5*1.6*1.6*2.2*2.715*2.6*1.4*1.4*1.5*1.5*3.2,60500000000*(1.654288^(MIN($E3551,123)-117)))*1,0))</f>
        <v>1896878729</v>
      </c>
    </row>
    <row r="3552" ht="28" customHeight="1" spans="1:34" x14ac:dyDescent="0.25">
      <c r="A3552">
        <v>3562</v>
      </c>
      <c r="B3552" t="s">
        <v>178</v>
      </c>
      <c r="C3552" s="10" t="s">
        <v>1807</v>
      </c>
      <c r="D3552" t="s">
        <v>33</v>
      </c>
      <c r="E3552">
        <v>105</v>
      </c>
      <c r="F3552" t="s">
        <v>179</v>
      </c>
      <c r="G3552" t="s">
        <v>562</v>
      </c>
      <c r="H3552">
        <v>23</v>
      </c>
      <c r="I3552" s="11">
        <f>$E3552+0</f>
        <v>105</v>
      </c>
      <c r="J3552" s="12">
        <v>25700</v>
      </c>
      <c r="K3552" s="13">
        <f>$E3552+1</f>
        <v>106</v>
      </c>
      <c r="L3552" s="14">
        <f>IF($J3552=0,0,ROUND(MAX($J3552*1.4,1620000*(1.497923^(MIN($E3552,123)-117)))*1,0))</f>
        <v>35980</v>
      </c>
      <c r="M3552" s="11">
        <f>$E3552+2</f>
        <v>107</v>
      </c>
      <c r="N3552" s="12">
        <f>IF($J3552=0,0,ROUND(MAX($J3552*1.4*1.5,2190000*(1.580994^(MIN($E3552,123)-117)))*1,0))</f>
        <v>53970</v>
      </c>
      <c r="O3552" s="13">
        <f>$E3552+4</f>
        <v>109</v>
      </c>
      <c r="P3552" s="14">
        <f>IF($J3552=0,0,ROUND(MAX($J3552*1.4*1.5*1.6,3500000*(1.57975^(MIN($E3552,123)-117)))*1,0))</f>
        <v>86352</v>
      </c>
      <c r="Q3552" s="11">
        <f>$E3552+6</f>
        <v>111</v>
      </c>
      <c r="R3552" s="12">
        <f>IF($J3552=0,0,ROUND(MAX($J3552*1.4*1.5*1.6*1.6,13100000*(1.429962^(MIN($E3552,123)-117)))*1,0))</f>
        <v>179216</v>
      </c>
      <c r="S3552" s="13">
        <f>$E3552+8</f>
        <v>113</v>
      </c>
      <c r="T3552" s="14">
        <f>IF($J3552=0,0,ROUND(MAX($J3552*1.4*1.5*1.6*1.6*2.2,42600000*(1.576904^(MIN($E3552,123)-117)))*1,0))</f>
        <v>303959</v>
      </c>
      <c r="U3552" s="11">
        <f>$E3552+11</f>
        <v>116</v>
      </c>
      <c r="V3552" s="12">
        <f>IF($J3552=0,0,ROUND(MAX($J3552*1.4*1.5*1.6*1.6*2.2*2.715,354000000*(1.642074^(MIN($E3552,123)-117)))*1,0))</f>
        <v>921066</v>
      </c>
      <c r="W3552" s="13">
        <f>$E3552+15</f>
        <v>120</v>
      </c>
      <c r="X3552" s="14">
        <f>IF($J3552=0,0,ROUND(MAX($J3552*1.4*1.5*1.6*1.6*2.2*2.715*2.6,3540000000*(1.579646^(MIN($E3552,123)-117)))*1,0))</f>
        <v>14665133</v>
      </c>
      <c r="Y3552" s="11">
        <f>$E3552+17</f>
        <v>122</v>
      </c>
      <c r="Z3552" s="12">
        <f>IF($J3552=0,0,ROUND(MAX($J3552*1.4*1.5*1.6*1.6*2.2*2.715*2.6*1.4,6020000000*(1.651178^(MIN($E3552,123)-117)))*1,0))</f>
        <v>14657833</v>
      </c>
      <c r="AA3552" s="13">
        <f>$E3552+19</f>
        <v>124</v>
      </c>
      <c r="AB3552" s="14">
        <f>IF($J3552=0,0,ROUND(MAX($J3552*1.4*1.5*1.6*1.6*2.2*2.715*2.6*1.4*1.4,8430000000*(1.651435^(MIN($E3552,123)-117)))*1,0))</f>
        <v>20487537</v>
      </c>
      <c r="AC3552" s="11">
        <f>$E3552+21</f>
        <v>126</v>
      </c>
      <c r="AD3552" s="12">
        <f>IF($J3552=0,0,ROUND(MAX($J3552*1.4*1.5*1.6*1.6*2.2*2.715*2.6*1.4*1.4*1.5,12600000000*(1.652953^(MIN($E3552,123)-117)))*1,0))</f>
        <v>30286179</v>
      </c>
      <c r="AE3552" s="13">
        <f>$E3552+24</f>
        <v>129</v>
      </c>
      <c r="AF3552" s="14">
        <f>IF($J3552=0,0,ROUND(MAX($J3552*1.4*1.5*1.6*1.6*2.2*2.715*2.6*1.4*1.4*1.5*1.5,18900000000*(1.65331^(MIN($E3552,123)-117)))*1,0))</f>
        <v>45311693</v>
      </c>
      <c r="AG3552" s="11">
        <f>$E3552+27</f>
        <v>132</v>
      </c>
      <c r="AH3552" s="12">
        <f>IF($J3552=0,0,ROUND(MAX($J3552*1.4*1.5*1.6*1.6*2.2*2.715*2.6*1.4*1.4*1.5*1.5*3.2,60500000000*(1.654288^(MIN($E3552,123)-117)))*1,0))</f>
        <v>144019713</v>
      </c>
    </row>
    <row r="3553" ht="28" customHeight="1" spans="1:34" x14ac:dyDescent="0.25">
      <c r="A3553">
        <v>3563</v>
      </c>
      <c r="B3553" t="s">
        <v>166</v>
      </c>
      <c r="C3553" s="10" t="s">
        <v>1807</v>
      </c>
      <c r="D3553" t="s">
        <v>33</v>
      </c>
      <c r="E3553">
        <v>105</v>
      </c>
      <c r="F3553" t="s">
        <v>62</v>
      </c>
      <c r="G3553" t="s">
        <v>562</v>
      </c>
      <c r="H3553">
        <v>23</v>
      </c>
      <c r="I3553" s="11">
        <f>$E3553+0</f>
        <v>105</v>
      </c>
      <c r="J3553" s="12">
        <v>20800</v>
      </c>
      <c r="K3553" s="13">
        <f>$E3553+1</f>
        <v>106</v>
      </c>
      <c r="L3553" s="14">
        <f>IF($J3553=0,0,ROUND(MAX($J3553*1.4,1620000*(1.497923^(MIN($E3553,123)-117)))*1,0))</f>
        <v>29120</v>
      </c>
      <c r="M3553" s="11">
        <f>$E3553+2</f>
        <v>107</v>
      </c>
      <c r="N3553" s="12">
        <f>IF($J3553=0,0,ROUND(MAX($J3553*1.4*1.5,2190000*(1.580994^(MIN($E3553,123)-117)))*1,0))</f>
        <v>43680</v>
      </c>
      <c r="O3553" s="13">
        <f>$E3553+4</f>
        <v>109</v>
      </c>
      <c r="P3553" s="14">
        <f>IF($J3553=0,0,ROUND(MAX($J3553*1.4*1.5*1.6,3500000*(1.57975^(MIN($E3553,123)-117)))*1,0))</f>
        <v>69888</v>
      </c>
      <c r="Q3553" s="11">
        <f>$E3553+6</f>
        <v>111</v>
      </c>
      <c r="R3553" s="12">
        <f>IF($J3553=0,0,ROUND(MAX($J3553*1.4*1.5*1.6*1.6,13100000*(1.429962^(MIN($E3553,123)-117)))*1,0))</f>
        <v>179216</v>
      </c>
      <c r="S3553" s="13">
        <f>$E3553+8</f>
        <v>113</v>
      </c>
      <c r="T3553" s="14">
        <f>IF($J3553=0,0,ROUND(MAX($J3553*1.4*1.5*1.6*1.6*2.2,42600000*(1.576904^(MIN($E3553,123)-117)))*1,0))</f>
        <v>246006</v>
      </c>
      <c r="U3553" s="11">
        <f>$E3553+11</f>
        <v>116</v>
      </c>
      <c r="V3553" s="12">
        <f>IF($J3553=0,0,ROUND(MAX($J3553*1.4*1.5*1.6*1.6*2.2*2.715,354000000*(1.642074^(MIN($E3553,123)-117)))*1,0))</f>
        <v>921066</v>
      </c>
      <c r="W3553" s="13">
        <f>$E3553+15</f>
        <v>120</v>
      </c>
      <c r="X3553" s="14">
        <f>IF($J3553=0,0,ROUND(MAX($J3553*1.4*1.5*1.6*1.6*2.2*2.715*2.6,3540000000*(1.579646^(MIN($E3553,123)-117)))*1,0))</f>
        <v>14665133</v>
      </c>
      <c r="Y3553" s="11">
        <f>$E3553+17</f>
        <v>122</v>
      </c>
      <c r="Z3553" s="12">
        <f>IF($J3553=0,0,ROUND(MAX($J3553*1.4*1.5*1.6*1.6*2.2*2.715*2.6*1.4,6020000000*(1.651178^(MIN($E3553,123)-117)))*1,0))</f>
        <v>14657833</v>
      </c>
      <c r="AA3553" s="13">
        <f>$E3553+19</f>
        <v>124</v>
      </c>
      <c r="AB3553" s="14">
        <f>IF($J3553=0,0,ROUND(MAX($J3553*1.4*1.5*1.6*1.6*2.2*2.715*2.6*1.4*1.4,8430000000*(1.651435^(MIN($E3553,123)-117)))*1,0))</f>
        <v>20487537</v>
      </c>
      <c r="AC3553" s="11">
        <f>$E3553+21</f>
        <v>126</v>
      </c>
      <c r="AD3553" s="12">
        <f>IF($J3553=0,0,ROUND(MAX($J3553*1.4*1.5*1.6*1.6*2.2*2.715*2.6*1.4*1.4*1.5,12600000000*(1.652953^(MIN($E3553,123)-117)))*1,0))</f>
        <v>30286179</v>
      </c>
      <c r="AE3553" s="13">
        <f>$E3553+24</f>
        <v>129</v>
      </c>
      <c r="AF3553" s="14">
        <f>IF($J3553=0,0,ROUND(MAX($J3553*1.4*1.5*1.6*1.6*2.2*2.715*2.6*1.4*1.4*1.5*1.5,18900000000*(1.65331^(MIN($E3553,123)-117)))*1,0))</f>
        <v>45311693</v>
      </c>
      <c r="AG3553" s="11">
        <f>$E3553+27</f>
        <v>132</v>
      </c>
      <c r="AH3553" s="12">
        <f>IF($J3553=0,0,ROUND(MAX($J3553*1.4*1.5*1.6*1.6*2.2*2.715*2.6*1.4*1.4*1.5*1.5*3.2,60500000000*(1.654288^(MIN($E3553,123)-117)))*1,0))</f>
        <v>144019713</v>
      </c>
    </row>
    <row r="3554" ht="28" customHeight="1" spans="1:34" x14ac:dyDescent="0.25">
      <c r="A3554">
        <v>3564</v>
      </c>
      <c r="B3554" t="s">
        <v>1808</v>
      </c>
      <c r="C3554" s="10" t="s">
        <v>1807</v>
      </c>
      <c r="D3554" t="s">
        <v>102</v>
      </c>
      <c r="E3554">
        <v>105</v>
      </c>
      <c r="F3554" t="s">
        <v>30</v>
      </c>
      <c r="G3554" t="s">
        <v>562</v>
      </c>
      <c r="H3554">
        <v>23</v>
      </c>
      <c r="I3554" s="11">
        <f>$E3554+0</f>
        <v>105</v>
      </c>
      <c r="J3554" s="12">
        <v>47600</v>
      </c>
      <c r="K3554" s="13">
        <f>$E3554+1</f>
        <v>106</v>
      </c>
      <c r="L3554" s="14">
        <f>IF($J3554=0,0,ROUND(MAX($J3554*1.4,1620000*(1.497923^(MIN($E3554,123)-117)))*1,0))</f>
        <v>66640</v>
      </c>
      <c r="M3554" s="11">
        <f>$E3554+2</f>
        <v>107</v>
      </c>
      <c r="N3554" s="12">
        <f>IF($J3554=0,0,ROUND(MAX($J3554*1.4*1.5,2190000*(1.580994^(MIN($E3554,123)-117)))*1,0))</f>
        <v>99960</v>
      </c>
      <c r="O3554" s="13">
        <f>$E3554+4</f>
        <v>109</v>
      </c>
      <c r="P3554" s="14">
        <f>IF($J3554=0,0,ROUND(MAX($J3554*1.4*1.5*1.6,3500000*(1.57975^(MIN($E3554,123)-117)))*1,0))</f>
        <v>159936</v>
      </c>
      <c r="Q3554" s="11">
        <f>$E3554+6</f>
        <v>111</v>
      </c>
      <c r="R3554" s="12">
        <f>IF($J3554=0,0,ROUND(MAX($J3554*1.4*1.5*1.6*1.6,13100000*(1.429962^(MIN($E3554,123)-117)))*1,0))</f>
        <v>255898</v>
      </c>
      <c r="S3554" s="13">
        <f>$E3554+8</f>
        <v>113</v>
      </c>
      <c r="T3554" s="14">
        <f>IF($J3554=0,0,ROUND(MAX($J3554*1.4*1.5*1.6*1.6*2.2,42600000*(1.576904^(MIN($E3554,123)-117)))*1,0))</f>
        <v>562975</v>
      </c>
      <c r="U3554" s="11">
        <f>$E3554+11</f>
        <v>116</v>
      </c>
      <c r="V3554" s="12">
        <f>IF($J3554=0,0,ROUND(MAX($J3554*1.4*1.5*1.6*1.6*2.2*2.715,354000000*(1.642074^(MIN($E3554,123)-117)))*1,0))</f>
        <v>1528476</v>
      </c>
      <c r="W3554" s="13">
        <f>$E3554+15</f>
        <v>120</v>
      </c>
      <c r="X3554" s="14">
        <f>IF($J3554=0,0,ROUND(MAX($J3554*1.4*1.5*1.6*1.6*2.2*2.715*2.6,3540000000*(1.579646^(MIN($E3554,123)-117)))*1,0))</f>
        <v>14665133</v>
      </c>
      <c r="Y3554" s="11">
        <f>$E3554+17</f>
        <v>122</v>
      </c>
      <c r="Z3554" s="12">
        <f>IF($J3554=0,0,ROUND(MAX($J3554*1.4*1.5*1.6*1.6*2.2*2.715*2.6*1.4,6020000000*(1.651178^(MIN($E3554,123)-117)))*1,0))</f>
        <v>14657833</v>
      </c>
      <c r="AA3554" s="13">
        <f>$E3554+19</f>
        <v>124</v>
      </c>
      <c r="AB3554" s="14">
        <f>IF($J3554=0,0,ROUND(MAX($J3554*1.4*1.5*1.6*1.6*2.2*2.715*2.6*1.4*1.4,8430000000*(1.651435^(MIN($E3554,123)-117)))*1,0))</f>
        <v>20487537</v>
      </c>
      <c r="AC3554" s="11">
        <f>$E3554+21</f>
        <v>126</v>
      </c>
      <c r="AD3554" s="12">
        <f>IF($J3554=0,0,ROUND(MAX($J3554*1.4*1.5*1.6*1.6*2.2*2.715*2.6*1.4*1.4*1.5,12600000000*(1.652953^(MIN($E3554,123)-117)))*1,0))</f>
        <v>30286179</v>
      </c>
      <c r="AE3554" s="13">
        <f>$E3554+24</f>
        <v>129</v>
      </c>
      <c r="AF3554" s="14">
        <f>IF($J3554=0,0,ROUND(MAX($J3554*1.4*1.5*1.6*1.6*2.2*2.715*2.6*1.4*1.4*1.5*1.5,18900000000*(1.65331^(MIN($E3554,123)-117)))*1,0))</f>
        <v>45311693</v>
      </c>
      <c r="AG3554" s="11">
        <f>$E3554+27</f>
        <v>132</v>
      </c>
      <c r="AH3554" s="12">
        <f>IF($J3554=0,0,ROUND(MAX($J3554*1.4*1.5*1.6*1.6*2.2*2.715*2.6*1.4*1.4*1.5*1.5*3.2,60500000000*(1.654288^(MIN($E3554,123)-117)))*1,0))</f>
        <v>144019713</v>
      </c>
    </row>
    <row r="3555" ht="28" customHeight="1" spans="1:34" x14ac:dyDescent="0.25">
      <c r="A3555">
        <v>3565</v>
      </c>
      <c r="B3555" t="s">
        <v>156</v>
      </c>
      <c r="C3555" s="10" t="s">
        <v>1807</v>
      </c>
      <c r="D3555" t="s">
        <v>45</v>
      </c>
      <c r="E3555">
        <v>105</v>
      </c>
      <c r="F3555" t="s">
        <v>34</v>
      </c>
      <c r="G3555" t="s">
        <v>562</v>
      </c>
      <c r="H3555">
        <v>23</v>
      </c>
      <c r="I3555" s="11">
        <f>$E3555+0</f>
        <v>105</v>
      </c>
      <c r="J3555" s="12">
        <v>15300</v>
      </c>
      <c r="K3555" s="13">
        <f>$E3555+1</f>
        <v>106</v>
      </c>
      <c r="L3555" s="14">
        <f>IF($J3555=0,0,ROUND(MAX($J3555*1.4,1620000*(1.497923^(MIN($E3555,123)-117)))*1,0))</f>
        <v>21420</v>
      </c>
      <c r="M3555" s="11">
        <f>$E3555+2</f>
        <v>107</v>
      </c>
      <c r="N3555" s="12">
        <f>IF($J3555=0,0,ROUND(MAX($J3555*1.4*1.5,2190000*(1.580994^(MIN($E3555,123)-117)))*1,0))</f>
        <v>32130</v>
      </c>
      <c r="O3555" s="13">
        <f>$E3555+4</f>
        <v>109</v>
      </c>
      <c r="P3555" s="14">
        <f>IF($J3555=0,0,ROUND(MAX($J3555*1.4*1.5*1.6,3500000*(1.57975^(MIN($E3555,123)-117)))*1,0))</f>
        <v>51408</v>
      </c>
      <c r="Q3555" s="11">
        <f>$E3555+6</f>
        <v>111</v>
      </c>
      <c r="R3555" s="12">
        <f>IF($J3555=0,0,ROUND(MAX($J3555*1.4*1.5*1.6*1.6,13100000*(1.429962^(MIN($E3555,123)-117)))*1,0))</f>
        <v>179216</v>
      </c>
      <c r="S3555" s="13">
        <f>$E3555+8</f>
        <v>113</v>
      </c>
      <c r="T3555" s="14">
        <f>IF($J3555=0,0,ROUND(MAX($J3555*1.4*1.5*1.6*1.6*2.2,42600000*(1.576904^(MIN($E3555,123)-117)))*1,0))</f>
        <v>180956</v>
      </c>
      <c r="U3555" s="11">
        <f>$E3555+11</f>
        <v>116</v>
      </c>
      <c r="V3555" s="12">
        <f>IF($J3555=0,0,ROUND(MAX($J3555*1.4*1.5*1.6*1.6*2.2*2.715,354000000*(1.642074^(MIN($E3555,123)-117)))*1,0))</f>
        <v>921066</v>
      </c>
      <c r="W3555" s="13">
        <f>$E3555+15</f>
        <v>120</v>
      </c>
      <c r="X3555" s="14">
        <f>IF($J3555=0,0,ROUND(MAX($J3555*1.4*1.5*1.6*1.6*2.2*2.715*2.6,3540000000*(1.579646^(MIN($E3555,123)-117)))*1,0))</f>
        <v>14665133</v>
      </c>
      <c r="Y3555" s="11">
        <f>$E3555+17</f>
        <v>122</v>
      </c>
      <c r="Z3555" s="12">
        <f>IF($J3555=0,0,ROUND(MAX($J3555*1.4*1.5*1.6*1.6*2.2*2.715*2.6*1.4,6020000000*(1.651178^(MIN($E3555,123)-117)))*1,0))</f>
        <v>14657833</v>
      </c>
      <c r="AA3555" s="13">
        <f>$E3555+19</f>
        <v>124</v>
      </c>
      <c r="AB3555" s="14">
        <f>IF($J3555=0,0,ROUND(MAX($J3555*1.4*1.5*1.6*1.6*2.2*2.715*2.6*1.4*1.4,8430000000*(1.651435^(MIN($E3555,123)-117)))*1,0))</f>
        <v>20487537</v>
      </c>
      <c r="AC3555" s="11">
        <f>$E3555+21</f>
        <v>126</v>
      </c>
      <c r="AD3555" s="12">
        <f>IF($J3555=0,0,ROUND(MAX($J3555*1.4*1.5*1.6*1.6*2.2*2.715*2.6*1.4*1.4*1.5,12600000000*(1.652953^(MIN($E3555,123)-117)))*1,0))</f>
        <v>30286179</v>
      </c>
      <c r="AE3555" s="13">
        <f>$E3555+24</f>
        <v>129</v>
      </c>
      <c r="AF3555" s="14">
        <f>IF($J3555=0,0,ROUND(MAX($J3555*1.4*1.5*1.6*1.6*2.2*2.715*2.6*1.4*1.4*1.5*1.5,18900000000*(1.65331^(MIN($E3555,123)-117)))*1,0))</f>
        <v>45311693</v>
      </c>
      <c r="AG3555" s="11">
        <f>$E3555+27</f>
        <v>132</v>
      </c>
      <c r="AH3555" s="12">
        <f>IF($J3555=0,0,ROUND(MAX($J3555*1.4*1.5*1.6*1.6*2.2*2.715*2.6*1.4*1.4*1.5*1.5*3.2,60500000000*(1.654288^(MIN($E3555,123)-117)))*1,0))</f>
        <v>144019713</v>
      </c>
    </row>
    <row r="3556" ht="28" customHeight="1" spans="1:34" x14ac:dyDescent="0.25">
      <c r="A3556">
        <v>3566</v>
      </c>
      <c r="B3556" t="s">
        <v>80</v>
      </c>
      <c r="C3556" s="10" t="s">
        <v>1807</v>
      </c>
      <c r="D3556" t="s">
        <v>45</v>
      </c>
      <c r="E3556">
        <v>105</v>
      </c>
      <c r="F3556" t="s">
        <v>71</v>
      </c>
      <c r="G3556" t="s">
        <v>562</v>
      </c>
      <c r="H3556">
        <v>23</v>
      </c>
      <c r="I3556" s="11">
        <f>$E3556+0</f>
        <v>105</v>
      </c>
      <c r="J3556" s="12">
        <v>17100</v>
      </c>
      <c r="K3556" s="13">
        <f>$E3556+1</f>
        <v>106</v>
      </c>
      <c r="L3556" s="14">
        <f>IF($J3556=0,0,ROUND(MAX($J3556*1.4,1620000*(1.497923^(MIN($E3556,123)-117)))*1,0))</f>
        <v>23940</v>
      </c>
      <c r="M3556" s="11">
        <f>$E3556+2</f>
        <v>107</v>
      </c>
      <c r="N3556" s="12">
        <f>IF($J3556=0,0,ROUND(MAX($J3556*1.4*1.5,2190000*(1.580994^(MIN($E3556,123)-117)))*1,0))</f>
        <v>35910</v>
      </c>
      <c r="O3556" s="13">
        <f>$E3556+4</f>
        <v>109</v>
      </c>
      <c r="P3556" s="14">
        <f>IF($J3556=0,0,ROUND(MAX($J3556*1.4*1.5*1.6,3500000*(1.57975^(MIN($E3556,123)-117)))*1,0))</f>
        <v>57456</v>
      </c>
      <c r="Q3556" s="11">
        <f>$E3556+6</f>
        <v>111</v>
      </c>
      <c r="R3556" s="12">
        <f>IF($J3556=0,0,ROUND(MAX($J3556*1.4*1.5*1.6*1.6,13100000*(1.429962^(MIN($E3556,123)-117)))*1,0))</f>
        <v>179216</v>
      </c>
      <c r="S3556" s="13">
        <f>$E3556+8</f>
        <v>113</v>
      </c>
      <c r="T3556" s="14">
        <f>IF($J3556=0,0,ROUND(MAX($J3556*1.4*1.5*1.6*1.6*2.2,42600000*(1.576904^(MIN($E3556,123)-117)))*1,0))</f>
        <v>202245</v>
      </c>
      <c r="U3556" s="11">
        <f>$E3556+11</f>
        <v>116</v>
      </c>
      <c r="V3556" s="12">
        <f>IF($J3556=0,0,ROUND(MAX($J3556*1.4*1.5*1.6*1.6*2.2*2.715,354000000*(1.642074^(MIN($E3556,123)-117)))*1,0))</f>
        <v>921066</v>
      </c>
      <c r="W3556" s="13">
        <f>$E3556+15</f>
        <v>120</v>
      </c>
      <c r="X3556" s="14">
        <f>IF($J3556=0,0,ROUND(MAX($J3556*1.4*1.5*1.6*1.6*2.2*2.715*2.6,3540000000*(1.579646^(MIN($E3556,123)-117)))*1,0))</f>
        <v>14665133</v>
      </c>
      <c r="Y3556" s="11">
        <f>$E3556+17</f>
        <v>122</v>
      </c>
      <c r="Z3556" s="12">
        <f>IF($J3556=0,0,ROUND(MAX($J3556*1.4*1.5*1.6*1.6*2.2*2.715*2.6*1.4,6020000000*(1.651178^(MIN($E3556,123)-117)))*1,0))</f>
        <v>14657833</v>
      </c>
      <c r="AA3556" s="13">
        <f>$E3556+19</f>
        <v>124</v>
      </c>
      <c r="AB3556" s="14">
        <f>IF($J3556=0,0,ROUND(MAX($J3556*1.4*1.5*1.6*1.6*2.2*2.715*2.6*1.4*1.4,8430000000*(1.651435^(MIN($E3556,123)-117)))*1,0))</f>
        <v>20487537</v>
      </c>
      <c r="AC3556" s="11">
        <f>$E3556+21</f>
        <v>126</v>
      </c>
      <c r="AD3556" s="12">
        <f>IF($J3556=0,0,ROUND(MAX($J3556*1.4*1.5*1.6*1.6*2.2*2.715*2.6*1.4*1.4*1.5,12600000000*(1.652953^(MIN($E3556,123)-117)))*1,0))</f>
        <v>30286179</v>
      </c>
      <c r="AE3556" s="13">
        <f>$E3556+24</f>
        <v>129</v>
      </c>
      <c r="AF3556" s="14">
        <f>IF($J3556=0,0,ROUND(MAX($J3556*1.4*1.5*1.6*1.6*2.2*2.715*2.6*1.4*1.4*1.5*1.5,18900000000*(1.65331^(MIN($E3556,123)-117)))*1,0))</f>
        <v>45311693</v>
      </c>
      <c r="AG3556" s="11">
        <f>$E3556+27</f>
        <v>132</v>
      </c>
      <c r="AH3556" s="12">
        <f>IF($J3556=0,0,ROUND(MAX($J3556*1.4*1.5*1.6*1.6*2.2*2.715*2.6*1.4*1.4*1.5*1.5*3.2,60500000000*(1.654288^(MIN($E3556,123)-117)))*1,0))</f>
        <v>144019713</v>
      </c>
    </row>
    <row r="3557" ht="28" customHeight="1" spans="1:34" x14ac:dyDescent="0.25">
      <c r="A3557">
        <v>3567</v>
      </c>
      <c r="B3557" t="s">
        <v>115</v>
      </c>
      <c r="C3557" s="10" t="s">
        <v>1807</v>
      </c>
      <c r="D3557" t="s">
        <v>40</v>
      </c>
      <c r="E3557">
        <v>105</v>
      </c>
      <c r="F3557" t="s">
        <v>116</v>
      </c>
      <c r="G3557" t="s">
        <v>562</v>
      </c>
      <c r="H3557">
        <v>23</v>
      </c>
      <c r="I3557" s="11">
        <f>$E3557+0</f>
        <v>105</v>
      </c>
      <c r="J3557" s="12">
        <v>23100</v>
      </c>
      <c r="K3557" s="13">
        <f>$E3557+1</f>
        <v>106</v>
      </c>
      <c r="L3557" s="14">
        <f>IF($J3557=0,0,ROUND(MAX($J3557*1.4,1620000*(1.497923^(MIN($E3557,123)-117)))*1,0))</f>
        <v>32340</v>
      </c>
      <c r="M3557" s="11">
        <f>$E3557+2</f>
        <v>107</v>
      </c>
      <c r="N3557" s="12">
        <f>IF($J3557=0,0,ROUND(MAX($J3557*1.4*1.5,2190000*(1.580994^(MIN($E3557,123)-117)))*1,0))</f>
        <v>48510</v>
      </c>
      <c r="O3557" s="13">
        <f>$E3557+4</f>
        <v>109</v>
      </c>
      <c r="P3557" s="14">
        <f>IF($J3557=0,0,ROUND(MAX($J3557*1.4*1.5*1.6,3500000*(1.57975^(MIN($E3557,123)-117)))*1,0))</f>
        <v>77616</v>
      </c>
      <c r="Q3557" s="11">
        <f>$E3557+6</f>
        <v>111</v>
      </c>
      <c r="R3557" s="12">
        <f>IF($J3557=0,0,ROUND(MAX($J3557*1.4*1.5*1.6*1.6,13100000*(1.429962^(MIN($E3557,123)-117)))*1,0))</f>
        <v>179216</v>
      </c>
      <c r="S3557" s="13">
        <f>$E3557+8</f>
        <v>113</v>
      </c>
      <c r="T3557" s="14">
        <f>IF($J3557=0,0,ROUND(MAX($J3557*1.4*1.5*1.6*1.6*2.2,42600000*(1.576904^(MIN($E3557,123)-117)))*1,0))</f>
        <v>273208</v>
      </c>
      <c r="U3557" s="11">
        <f>$E3557+11</f>
        <v>116</v>
      </c>
      <c r="V3557" s="12">
        <f>IF($J3557=0,0,ROUND(MAX($J3557*1.4*1.5*1.6*1.6*2.2*2.715,354000000*(1.642074^(MIN($E3557,123)-117)))*1,0))</f>
        <v>921066</v>
      </c>
      <c r="W3557" s="13">
        <f>$E3557+15</f>
        <v>120</v>
      </c>
      <c r="X3557" s="14">
        <f>IF($J3557=0,0,ROUND(MAX($J3557*1.4*1.5*1.6*1.6*2.2*2.715*2.6,3540000000*(1.579646^(MIN($E3557,123)-117)))*1,0))</f>
        <v>14665133</v>
      </c>
      <c r="Y3557" s="11">
        <f>$E3557+17</f>
        <v>122</v>
      </c>
      <c r="Z3557" s="12">
        <f>IF($J3557=0,0,ROUND(MAX($J3557*1.4*1.5*1.6*1.6*2.2*2.715*2.6*1.4,6020000000*(1.651178^(MIN($E3557,123)-117)))*1,0))</f>
        <v>14657833</v>
      </c>
      <c r="AA3557" s="13">
        <f>$E3557+19</f>
        <v>124</v>
      </c>
      <c r="AB3557" s="14">
        <f>IF($J3557=0,0,ROUND(MAX($J3557*1.4*1.5*1.6*1.6*2.2*2.715*2.6*1.4*1.4,8430000000*(1.651435^(MIN($E3557,123)-117)))*1,0))</f>
        <v>20487537</v>
      </c>
      <c r="AC3557" s="11">
        <f>$E3557+21</f>
        <v>126</v>
      </c>
      <c r="AD3557" s="12">
        <f>IF($J3557=0,0,ROUND(MAX($J3557*1.4*1.5*1.6*1.6*2.2*2.715*2.6*1.4*1.4*1.5,12600000000*(1.652953^(MIN($E3557,123)-117)))*1,0))</f>
        <v>30286179</v>
      </c>
      <c r="AE3557" s="13">
        <f>$E3557+24</f>
        <v>129</v>
      </c>
      <c r="AF3557" s="14">
        <f>IF($J3557=0,0,ROUND(MAX($J3557*1.4*1.5*1.6*1.6*2.2*2.715*2.6*1.4*1.4*1.5*1.5,18900000000*(1.65331^(MIN($E3557,123)-117)))*1,0))</f>
        <v>45311693</v>
      </c>
      <c r="AG3557" s="11">
        <f>$E3557+27</f>
        <v>132</v>
      </c>
      <c r="AH3557" s="12">
        <f>IF($J3557=0,0,ROUND(MAX($J3557*1.4*1.5*1.6*1.6*2.2*2.715*2.6*1.4*1.4*1.5*1.5*3.2,60500000000*(1.654288^(MIN($E3557,123)-117)))*1,0))</f>
        <v>144019713</v>
      </c>
    </row>
    <row r="3558" ht="28" customHeight="1" spans="1:34" x14ac:dyDescent="0.25">
      <c r="A3558">
        <v>3568</v>
      </c>
      <c r="B3558" t="s">
        <v>84</v>
      </c>
      <c r="C3558" s="10" t="s">
        <v>1807</v>
      </c>
      <c r="D3558" t="s">
        <v>45</v>
      </c>
      <c r="E3558">
        <v>105</v>
      </c>
      <c r="F3558" t="s">
        <v>62</v>
      </c>
      <c r="G3558" t="s">
        <v>562</v>
      </c>
      <c r="H3558">
        <v>23</v>
      </c>
      <c r="I3558" s="11">
        <f>$E3558+0</f>
        <v>105</v>
      </c>
      <c r="J3558" s="12">
        <v>17100</v>
      </c>
      <c r="K3558" s="13">
        <f>$E3558+1</f>
        <v>106</v>
      </c>
      <c r="L3558" s="14">
        <f>IF($J3558=0,0,ROUND(MAX($J3558*1.4,1620000*(1.497923^(MIN($E3558,123)-117)))*1,0))</f>
        <v>23940</v>
      </c>
      <c r="M3558" s="11">
        <f>$E3558+2</f>
        <v>107</v>
      </c>
      <c r="N3558" s="12">
        <f>IF($J3558=0,0,ROUND(MAX($J3558*1.4*1.5,2190000*(1.580994^(MIN($E3558,123)-117)))*1,0))</f>
        <v>35910</v>
      </c>
      <c r="O3558" s="13">
        <f>$E3558+4</f>
        <v>109</v>
      </c>
      <c r="P3558" s="14">
        <f>IF($J3558=0,0,ROUND(MAX($J3558*1.4*1.5*1.6,3500000*(1.57975^(MIN($E3558,123)-117)))*1,0))</f>
        <v>57456</v>
      </c>
      <c r="Q3558" s="11">
        <f>$E3558+6</f>
        <v>111</v>
      </c>
      <c r="R3558" s="12">
        <f>IF($J3558=0,0,ROUND(MAX($J3558*1.4*1.5*1.6*1.6,13100000*(1.429962^(MIN($E3558,123)-117)))*1,0))</f>
        <v>179216</v>
      </c>
      <c r="S3558" s="13">
        <f>$E3558+8</f>
        <v>113</v>
      </c>
      <c r="T3558" s="14">
        <f>IF($J3558=0,0,ROUND(MAX($J3558*1.4*1.5*1.6*1.6*2.2,42600000*(1.576904^(MIN($E3558,123)-117)))*1,0))</f>
        <v>202245</v>
      </c>
      <c r="U3558" s="11">
        <f>$E3558+11</f>
        <v>116</v>
      </c>
      <c r="V3558" s="12">
        <f>IF($J3558=0,0,ROUND(MAX($J3558*1.4*1.5*1.6*1.6*2.2*2.715,354000000*(1.642074^(MIN($E3558,123)-117)))*1,0))</f>
        <v>921066</v>
      </c>
      <c r="W3558" s="13">
        <f>$E3558+15</f>
        <v>120</v>
      </c>
      <c r="X3558" s="14">
        <f>IF($J3558=0,0,ROUND(MAX($J3558*1.4*1.5*1.6*1.6*2.2*2.715*2.6,3540000000*(1.579646^(MIN($E3558,123)-117)))*1,0))</f>
        <v>14665133</v>
      </c>
      <c r="Y3558" s="11">
        <f>$E3558+17</f>
        <v>122</v>
      </c>
      <c r="Z3558" s="12">
        <f>IF($J3558=0,0,ROUND(MAX($J3558*1.4*1.5*1.6*1.6*2.2*2.715*2.6*1.4,6020000000*(1.651178^(MIN($E3558,123)-117)))*1,0))</f>
        <v>14657833</v>
      </c>
      <c r="AA3558" s="13">
        <f>$E3558+19</f>
        <v>124</v>
      </c>
      <c r="AB3558" s="14">
        <f>IF($J3558=0,0,ROUND(MAX($J3558*1.4*1.5*1.6*1.6*2.2*2.715*2.6*1.4*1.4,8430000000*(1.651435^(MIN($E3558,123)-117)))*1,0))</f>
        <v>20487537</v>
      </c>
      <c r="AC3558" s="11">
        <f>$E3558+21</f>
        <v>126</v>
      </c>
      <c r="AD3558" s="12">
        <f>IF($J3558=0,0,ROUND(MAX($J3558*1.4*1.5*1.6*1.6*2.2*2.715*2.6*1.4*1.4*1.5,12600000000*(1.652953^(MIN($E3558,123)-117)))*1,0))</f>
        <v>30286179</v>
      </c>
      <c r="AE3558" s="13">
        <f>$E3558+24</f>
        <v>129</v>
      </c>
      <c r="AF3558" s="14">
        <f>IF($J3558=0,0,ROUND(MAX($J3558*1.4*1.5*1.6*1.6*2.2*2.715*2.6*1.4*1.4*1.5*1.5,18900000000*(1.65331^(MIN($E3558,123)-117)))*1,0))</f>
        <v>45311693</v>
      </c>
      <c r="AG3558" s="11">
        <f>$E3558+27</f>
        <v>132</v>
      </c>
      <c r="AH3558" s="12">
        <f>IF($J3558=0,0,ROUND(MAX($J3558*1.4*1.5*1.6*1.6*2.2*2.715*2.6*1.4*1.4*1.5*1.5*3.2,60500000000*(1.654288^(MIN($E3558,123)-117)))*1,0))</f>
        <v>144019713</v>
      </c>
    </row>
    <row r="3559" ht="28" customHeight="1" spans="1:34" x14ac:dyDescent="0.25">
      <c r="A3559">
        <v>3569</v>
      </c>
      <c r="B3559" t="s">
        <v>158</v>
      </c>
      <c r="C3559" s="10" t="s">
        <v>1807</v>
      </c>
      <c r="D3559" t="s">
        <v>102</v>
      </c>
      <c r="E3559">
        <v>105</v>
      </c>
      <c r="F3559" t="s">
        <v>54</v>
      </c>
      <c r="G3559" t="s">
        <v>562</v>
      </c>
      <c r="H3559">
        <v>23</v>
      </c>
      <c r="I3559" s="11">
        <f>$E3559+0</f>
        <v>105</v>
      </c>
      <c r="J3559" s="12">
        <v>17200</v>
      </c>
      <c r="K3559" s="13">
        <f>$E3559+1</f>
        <v>106</v>
      </c>
      <c r="L3559" s="14">
        <f>IF($J3559=0,0,ROUND(MAX($J3559*1.4,1620000*(1.497923^(MIN($E3559,123)-117)))*1,0))</f>
        <v>24080</v>
      </c>
      <c r="M3559" s="11">
        <f>$E3559+2</f>
        <v>107</v>
      </c>
      <c r="N3559" s="12">
        <f>IF($J3559=0,0,ROUND(MAX($J3559*1.4*1.5,2190000*(1.580994^(MIN($E3559,123)-117)))*1,0))</f>
        <v>36120</v>
      </c>
      <c r="O3559" s="13">
        <f>$E3559+4</f>
        <v>109</v>
      </c>
      <c r="P3559" s="14">
        <f>IF($J3559=0,0,ROUND(MAX($J3559*1.4*1.5*1.6,3500000*(1.57975^(MIN($E3559,123)-117)))*1,0))</f>
        <v>57792</v>
      </c>
      <c r="Q3559" s="11">
        <f>$E3559+6</f>
        <v>111</v>
      </c>
      <c r="R3559" s="12">
        <f>IF($J3559=0,0,ROUND(MAX($J3559*1.4*1.5*1.6*1.6,13100000*(1.429962^(MIN($E3559,123)-117)))*1,0))</f>
        <v>179216</v>
      </c>
      <c r="S3559" s="13">
        <f>$E3559+8</f>
        <v>113</v>
      </c>
      <c r="T3559" s="14">
        <f>IF($J3559=0,0,ROUND(MAX($J3559*1.4*1.5*1.6*1.6*2.2,42600000*(1.576904^(MIN($E3559,123)-117)))*1,0))</f>
        <v>203428</v>
      </c>
      <c r="U3559" s="11">
        <f>$E3559+11</f>
        <v>116</v>
      </c>
      <c r="V3559" s="12">
        <f>IF($J3559=0,0,ROUND(MAX($J3559*1.4*1.5*1.6*1.6*2.2*2.715,354000000*(1.642074^(MIN($E3559,123)-117)))*1,0))</f>
        <v>921066</v>
      </c>
      <c r="W3559" s="13">
        <f>$E3559+15</f>
        <v>120</v>
      </c>
      <c r="X3559" s="14">
        <f>IF($J3559=0,0,ROUND(MAX($J3559*1.4*1.5*1.6*1.6*2.2*2.715*2.6,3540000000*(1.579646^(MIN($E3559,123)-117)))*1,0))</f>
        <v>14665133</v>
      </c>
      <c r="Y3559" s="11">
        <f>$E3559+17</f>
        <v>122</v>
      </c>
      <c r="Z3559" s="12">
        <f>IF($J3559=0,0,ROUND(MAX($J3559*1.4*1.5*1.6*1.6*2.2*2.715*2.6*1.4,6020000000*(1.651178^(MIN($E3559,123)-117)))*1,0))</f>
        <v>14657833</v>
      </c>
      <c r="AA3559" s="13">
        <f>$E3559+19</f>
        <v>124</v>
      </c>
      <c r="AB3559" s="14">
        <f>IF($J3559=0,0,ROUND(MAX($J3559*1.4*1.5*1.6*1.6*2.2*2.715*2.6*1.4*1.4,8430000000*(1.651435^(MIN($E3559,123)-117)))*1,0))</f>
        <v>20487537</v>
      </c>
      <c r="AC3559" s="11">
        <f>$E3559+21</f>
        <v>126</v>
      </c>
      <c r="AD3559" s="12">
        <f>IF($J3559=0,0,ROUND(MAX($J3559*1.4*1.5*1.6*1.6*2.2*2.715*2.6*1.4*1.4*1.5,12600000000*(1.652953^(MIN($E3559,123)-117)))*1,0))</f>
        <v>30286179</v>
      </c>
      <c r="AE3559" s="13">
        <f>$E3559+24</f>
        <v>129</v>
      </c>
      <c r="AF3559" s="14">
        <f>IF($J3559=0,0,ROUND(MAX($J3559*1.4*1.5*1.6*1.6*2.2*2.715*2.6*1.4*1.4*1.5*1.5,18900000000*(1.65331^(MIN($E3559,123)-117)))*1,0))</f>
        <v>45311693</v>
      </c>
      <c r="AG3559" s="11">
        <f>$E3559+27</f>
        <v>132</v>
      </c>
      <c r="AH3559" s="12">
        <f>IF($J3559=0,0,ROUND(MAX($J3559*1.4*1.5*1.6*1.6*2.2*2.715*2.6*1.4*1.4*1.5*1.5*3.2,60500000000*(1.654288^(MIN($E3559,123)-117)))*1,0))</f>
        <v>144019713</v>
      </c>
    </row>
    <row r="3560" ht="28" customHeight="1" spans="1:34" x14ac:dyDescent="0.25">
      <c r="A3560">
        <v>3570</v>
      </c>
      <c r="B3560" t="s">
        <v>92</v>
      </c>
      <c r="C3560" s="10" t="s">
        <v>1807</v>
      </c>
      <c r="D3560" t="s">
        <v>93</v>
      </c>
      <c r="E3560">
        <v>105</v>
      </c>
      <c r="F3560" t="s">
        <v>56</v>
      </c>
      <c r="G3560" t="s">
        <v>562</v>
      </c>
      <c r="H3560">
        <v>23</v>
      </c>
      <c r="I3560" s="11">
        <f>$E3560+0</f>
        <v>105</v>
      </c>
      <c r="J3560" s="12">
        <v>7950</v>
      </c>
      <c r="K3560" s="13">
        <f>$E3560+1</f>
        <v>106</v>
      </c>
      <c r="L3560" s="14">
        <f>IF($J3560=0,0,ROUND(MAX($J3560*1.4,1620000*(1.497923^(MIN($E3560,123)-117)))*1,0))</f>
        <v>12695</v>
      </c>
      <c r="M3560" s="11">
        <f>$E3560+2</f>
        <v>107</v>
      </c>
      <c r="N3560" s="12">
        <f>IF($J3560=0,0,ROUND(MAX($J3560*1.4*1.5,2190000*(1.580994^(MIN($E3560,123)-117)))*1,0))</f>
        <v>16695</v>
      </c>
      <c r="O3560" s="13">
        <f>$E3560+4</f>
        <v>109</v>
      </c>
      <c r="P3560" s="14">
        <f>IF($J3560=0,0,ROUND(MAX($J3560*1.4*1.5*1.6,3500000*(1.57975^(MIN($E3560,123)-117)))*1,0))</f>
        <v>26712</v>
      </c>
      <c r="Q3560" s="11">
        <f>$E3560+6</f>
        <v>111</v>
      </c>
      <c r="R3560" s="12">
        <f>IF($J3560=0,0,ROUND(MAX($J3560*1.4*1.5*1.6*1.6,13100000*(1.429962^(MIN($E3560,123)-117)))*1,0))</f>
        <v>179216</v>
      </c>
      <c r="S3560" s="13">
        <f>$E3560+8</f>
        <v>113</v>
      </c>
      <c r="T3560" s="14">
        <f>IF($J3560=0,0,ROUND(MAX($J3560*1.4*1.5*1.6*1.6*2.2,42600000*(1.576904^(MIN($E3560,123)-117)))*1,0))</f>
        <v>180197</v>
      </c>
      <c r="U3560" s="11">
        <f>$E3560+11</f>
        <v>116</v>
      </c>
      <c r="V3560" s="12">
        <f>IF($J3560=0,0,ROUND(MAX($J3560*1.4*1.5*1.6*1.6*2.2*2.715,354000000*(1.642074^(MIN($E3560,123)-117)))*1,0))</f>
        <v>921066</v>
      </c>
      <c r="W3560" s="13">
        <f>$E3560+15</f>
        <v>120</v>
      </c>
      <c r="X3560" s="14">
        <f>IF($J3560=0,0,ROUND(MAX($J3560*1.4*1.5*1.6*1.6*2.2*2.715*2.6,3540000000*(1.579646^(MIN($E3560,123)-117)))*1,0))</f>
        <v>14665133</v>
      </c>
      <c r="Y3560" s="11">
        <f>$E3560+17</f>
        <v>122</v>
      </c>
      <c r="Z3560" s="12">
        <f>IF($J3560=0,0,ROUND(MAX($J3560*1.4*1.5*1.6*1.6*2.2*2.715*2.6*1.4,6020000000*(1.651178^(MIN($E3560,123)-117)))*1,0))</f>
        <v>14657833</v>
      </c>
      <c r="AA3560" s="13">
        <f>$E3560+19</f>
        <v>124</v>
      </c>
      <c r="AB3560" s="14">
        <f>IF($J3560=0,0,ROUND(MAX($J3560*1.4*1.5*1.6*1.6*2.2*2.715*2.6*1.4*1.4,8430000000*(1.651435^(MIN($E3560,123)-117)))*1,0))</f>
        <v>20487537</v>
      </c>
      <c r="AC3560" s="11">
        <f>$E3560+21</f>
        <v>126</v>
      </c>
      <c r="AD3560" s="12">
        <f>IF($J3560=0,0,ROUND(MAX($J3560*1.4*1.5*1.6*1.6*2.2*2.715*2.6*1.4*1.4*1.5,12600000000*(1.652953^(MIN($E3560,123)-117)))*1,0))</f>
        <v>30286179</v>
      </c>
      <c r="AE3560" s="13">
        <f>$E3560+24</f>
        <v>129</v>
      </c>
      <c r="AF3560" s="14">
        <f>IF($J3560=0,0,ROUND(MAX($J3560*1.4*1.5*1.6*1.6*2.2*2.715*2.6*1.4*1.4*1.5*1.5,18900000000*(1.65331^(MIN($E3560,123)-117)))*1,0))</f>
        <v>45311693</v>
      </c>
      <c r="AG3560" s="11">
        <f>$E3560+27</f>
        <v>132</v>
      </c>
      <c r="AH3560" s="12">
        <f>IF($J3560=0,0,ROUND(MAX($J3560*1.4*1.5*1.6*1.6*2.2*2.715*2.6*1.4*1.4*1.5*1.5*3.2,60500000000*(1.654288^(MIN($E3560,123)-117)))*1,0))</f>
        <v>144019713</v>
      </c>
    </row>
    <row r="3561" ht="28" customHeight="1" spans="1:34" x14ac:dyDescent="0.25">
      <c r="A3561">
        <v>3571</v>
      </c>
      <c r="B3561" t="s">
        <v>147</v>
      </c>
      <c r="C3561" s="10" t="s">
        <v>1807</v>
      </c>
      <c r="D3561" t="s">
        <v>45</v>
      </c>
      <c r="E3561">
        <v>105</v>
      </c>
      <c r="F3561" t="s">
        <v>56</v>
      </c>
      <c r="G3561" t="s">
        <v>562</v>
      </c>
      <c r="H3561">
        <v>23</v>
      </c>
      <c r="I3561" s="11">
        <f>$E3561+0</f>
        <v>105</v>
      </c>
      <c r="J3561" s="12">
        <v>29700</v>
      </c>
      <c r="K3561" s="13">
        <f>$E3561+1</f>
        <v>106</v>
      </c>
      <c r="L3561" s="14">
        <f>IF($J3561=0,0,ROUND(MAX($J3561*1.4,1620000*(1.497923^(MIN($E3561,123)-117)))*1,0))</f>
        <v>41580</v>
      </c>
      <c r="M3561" s="11">
        <f>$E3561+2</f>
        <v>107</v>
      </c>
      <c r="N3561" s="12">
        <f>IF($J3561=0,0,ROUND(MAX($J3561*1.4*1.5,2190000*(1.580994^(MIN($E3561,123)-117)))*1,0))</f>
        <v>62370</v>
      </c>
      <c r="O3561" s="13">
        <f>$E3561+4</f>
        <v>109</v>
      </c>
      <c r="P3561" s="14">
        <f>IF($J3561=0,0,ROUND(MAX($J3561*1.4*1.5*1.6,3500000*(1.57975^(MIN($E3561,123)-117)))*1,0))</f>
        <v>99792</v>
      </c>
      <c r="Q3561" s="11">
        <f>$E3561+6</f>
        <v>111</v>
      </c>
      <c r="R3561" s="12">
        <f>IF($J3561=0,0,ROUND(MAX($J3561*1.4*1.5*1.6*1.6,13100000*(1.429962^(MIN($E3561,123)-117)))*1,0))</f>
        <v>179216</v>
      </c>
      <c r="S3561" s="13">
        <f>$E3561+8</f>
        <v>113</v>
      </c>
      <c r="T3561" s="14">
        <f>IF($J3561=0,0,ROUND(MAX($J3561*1.4*1.5*1.6*1.6*2.2,42600000*(1.576904^(MIN($E3561,123)-117)))*1,0))</f>
        <v>351268</v>
      </c>
      <c r="U3561" s="11">
        <f>$E3561+11</f>
        <v>116</v>
      </c>
      <c r="V3561" s="12">
        <f>IF($J3561=0,0,ROUND(MAX($J3561*1.4*1.5*1.6*1.6*2.2*2.715,354000000*(1.642074^(MIN($E3561,123)-117)))*1,0))</f>
        <v>953692</v>
      </c>
      <c r="W3561" s="13">
        <f>$E3561+15</f>
        <v>120</v>
      </c>
      <c r="X3561" s="14">
        <f>IF($J3561=0,0,ROUND(MAX($J3561*1.4*1.5*1.6*1.6*2.2*2.715*2.6,3540000000*(1.579646^(MIN($E3561,123)-117)))*1,0))</f>
        <v>14665133</v>
      </c>
      <c r="Y3561" s="11">
        <f>$E3561+17</f>
        <v>122</v>
      </c>
      <c r="Z3561" s="12">
        <f>IF($J3561=0,0,ROUND(MAX($J3561*1.4*1.5*1.6*1.6*2.2*2.715*2.6*1.4,6020000000*(1.651178^(MIN($E3561,123)-117)))*1,0))</f>
        <v>14657833</v>
      </c>
      <c r="AA3561" s="13">
        <f>$E3561+19</f>
        <v>124</v>
      </c>
      <c r="AB3561" s="14">
        <f>IF($J3561=0,0,ROUND(MAX($J3561*1.4*1.5*1.6*1.6*2.2*2.715*2.6*1.4*1.4,8430000000*(1.651435^(MIN($E3561,123)-117)))*1,0))</f>
        <v>20487537</v>
      </c>
      <c r="AC3561" s="11">
        <f>$E3561+21</f>
        <v>126</v>
      </c>
      <c r="AD3561" s="12">
        <f>IF($J3561=0,0,ROUND(MAX($J3561*1.4*1.5*1.6*1.6*2.2*2.715*2.6*1.4*1.4*1.5,12600000000*(1.652953^(MIN($E3561,123)-117)))*1,0))</f>
        <v>30286179</v>
      </c>
      <c r="AE3561" s="13">
        <f>$E3561+24</f>
        <v>129</v>
      </c>
      <c r="AF3561" s="14">
        <f>IF($J3561=0,0,ROUND(MAX($J3561*1.4*1.5*1.6*1.6*2.2*2.715*2.6*1.4*1.4*1.5*1.5,18900000000*(1.65331^(MIN($E3561,123)-117)))*1,0))</f>
        <v>45311693</v>
      </c>
      <c r="AG3561" s="11">
        <f>$E3561+27</f>
        <v>132</v>
      </c>
      <c r="AH3561" s="12">
        <f>IF($J3561=0,0,ROUND(MAX($J3561*1.4*1.5*1.6*1.6*2.2*2.715*2.6*1.4*1.4*1.5*1.5*3.2,60500000000*(1.654288^(MIN($E3561,123)-117)))*1,0))</f>
        <v>144019713</v>
      </c>
    </row>
    <row r="3562" ht="28" customHeight="1" spans="1:34" x14ac:dyDescent="0.25">
      <c r="A3562">
        <v>3572</v>
      </c>
      <c r="B3562" t="s">
        <v>1654</v>
      </c>
      <c r="C3562" s="10" t="s">
        <v>1807</v>
      </c>
      <c r="D3562" t="s">
        <v>90</v>
      </c>
      <c r="E3562">
        <v>105</v>
      </c>
      <c r="F3562" t="s">
        <v>56</v>
      </c>
      <c r="G3562" t="s">
        <v>562</v>
      </c>
      <c r="H3562">
        <v>23</v>
      </c>
      <c r="I3562" s="11">
        <f>$E3562+0</f>
        <v>105</v>
      </c>
      <c r="J3562" s="12">
        <v>7380000</v>
      </c>
      <c r="K3562" s="13">
        <f>$E3562+1</f>
        <v>106</v>
      </c>
      <c r="L3562" s="14">
        <f>IF($J3562=0,0,ROUND(MAX($J3562*1.4,1620000*(1.497923^(MIN($E3562,123)-117)))*1,0))</f>
        <v>10332000</v>
      </c>
      <c r="M3562" s="11">
        <f>$E3562+2</f>
        <v>107</v>
      </c>
      <c r="N3562" s="12">
        <f>IF($J3562=0,0,ROUND(MAX($J3562*1.4*1.5,2190000*(1.580994^(MIN($E3562,123)-117)))*1,0))</f>
        <v>15498000</v>
      </c>
      <c r="O3562" s="13">
        <f>$E3562+4</f>
        <v>109</v>
      </c>
      <c r="P3562" s="14">
        <f>IF($J3562=0,0,ROUND(MAX($J3562*1.4*1.5*1.6,3500000*(1.57975^(MIN($E3562,123)-117)))*1,0))</f>
        <v>24796800</v>
      </c>
      <c r="Q3562" s="11">
        <f>$E3562+6</f>
        <v>111</v>
      </c>
      <c r="R3562" s="12">
        <f>IF($J3562=0,0,ROUND(MAX($J3562*1.4*1.5*1.6*1.6,13100000*(1.429962^(MIN($E3562,123)-117)))*1,0))</f>
        <v>39674880</v>
      </c>
      <c r="S3562" s="13">
        <f>$E3562+8</f>
        <v>113</v>
      </c>
      <c r="T3562" s="14">
        <f>IF($J3562=0,0,ROUND(MAX($J3562*1.4*1.5*1.6*1.6*2.2,42600000*(1.576904^(MIN($E3562,123)-117)))*1,0))</f>
        <v>87284736</v>
      </c>
      <c r="U3562" s="11">
        <f>$E3562+11</f>
        <v>116</v>
      </c>
      <c r="V3562" s="12">
        <f>IF($J3562=0,0,ROUND(MAX($J3562*1.4*1.5*1.6*1.6*2.2*2.715,354000000*(1.642074^(MIN($E3562,123)-117)))*1,0))</f>
        <v>236978058</v>
      </c>
      <c r="W3562" s="13">
        <f>$E3562+15</f>
        <v>120</v>
      </c>
      <c r="X3562" s="14">
        <f>IF($J3562=0,0,ROUND(MAX($J3562*1.4*1.5*1.6*1.6*2.2*2.715*2.6,3540000000*(1.579646^(MIN($E3562,123)-117)))*1,0))</f>
        <v>616142951</v>
      </c>
      <c r="Y3562" s="11">
        <f>$E3562+17</f>
        <v>122</v>
      </c>
      <c r="Z3562" s="12">
        <f>IF($J3562=0,0,ROUND(MAX($J3562*1.4*1.5*1.6*1.6*2.2*2.715*2.6*1.4,6020000000*(1.651178^(MIN($E3562,123)-117)))*1,0))</f>
        <v>862600132</v>
      </c>
      <c r="AA3562" s="13">
        <f>$E3562+19</f>
        <v>124</v>
      </c>
      <c r="AB3562" s="14">
        <f>IF($J3562=0,0,ROUND(MAX($J3562*1.4*1.5*1.6*1.6*2.2*2.715*2.6*1.4*1.4,8430000000*(1.651435^(MIN($E3562,123)-117)))*1,0))</f>
        <v>1207640185</v>
      </c>
      <c r="AC3562" s="11">
        <f>$E3562+21</f>
        <v>126</v>
      </c>
      <c r="AD3562" s="12">
        <f>IF($J3562=0,0,ROUND(MAX($J3562*1.4*1.5*1.6*1.6*2.2*2.715*2.6*1.4*1.4*1.5,12600000000*(1.652953^(MIN($E3562,123)-117)))*1,0))</f>
        <v>1811460277</v>
      </c>
      <c r="AE3562" s="13">
        <f>$E3562+24</f>
        <v>129</v>
      </c>
      <c r="AF3562" s="14">
        <f>IF($J3562=0,0,ROUND(MAX($J3562*1.4*1.5*1.6*1.6*2.2*2.715*2.6*1.4*1.4*1.5*1.5,18900000000*(1.65331^(MIN($E3562,123)-117)))*1,0))</f>
        <v>2717190416</v>
      </c>
      <c r="AG3562" s="11">
        <f>$E3562+27</f>
        <v>132</v>
      </c>
      <c r="AH3562" s="12">
        <f>IF($J3562=0,0,ROUND(MAX($J3562*1.4*1.5*1.6*1.6*2.2*2.715*2.6*1.4*1.4*1.5*1.5*3.2,60500000000*(1.654288^(MIN($E3562,123)-117)))*1,0))</f>
        <v>8695009330</v>
      </c>
    </row>
    <row r="3563" ht="28" customHeight="1" spans="1:34" x14ac:dyDescent="0.25">
      <c r="A3563">
        <v>3573</v>
      </c>
      <c r="B3563" t="s">
        <v>1707</v>
      </c>
      <c r="C3563" s="10" t="s">
        <v>1807</v>
      </c>
      <c r="D3563" t="s">
        <v>165</v>
      </c>
      <c r="E3563">
        <v>105</v>
      </c>
      <c r="F3563" t="s">
        <v>132</v>
      </c>
      <c r="G3563" t="s">
        <v>562</v>
      </c>
      <c r="H3563">
        <v>23</v>
      </c>
      <c r="I3563" s="11">
        <f>$E3563+0</f>
        <v>105</v>
      </c>
      <c r="J3563" s="12">
        <v>608000</v>
      </c>
      <c r="K3563" s="13">
        <f>$E3563+1</f>
        <v>106</v>
      </c>
      <c r="L3563" s="14">
        <f>IF($J3563=0,0,ROUND(MAX($J3563*1.4,1620000*(1.497923^(MIN($E3563,123)-117)))*1,0))</f>
        <v>851200</v>
      </c>
      <c r="M3563" s="11">
        <f>$E3563+2</f>
        <v>107</v>
      </c>
      <c r="N3563" s="12">
        <f>IF($J3563=0,0,ROUND(MAX($J3563*1.4*1.5,2190000*(1.580994^(MIN($E3563,123)-117)))*1,0))</f>
        <v>1276800</v>
      </c>
      <c r="O3563" s="13">
        <f>$E3563+4</f>
        <v>109</v>
      </c>
      <c r="P3563" s="14">
        <f>IF($J3563=0,0,ROUND(MAX($J3563*1.4*1.5*1.6,3500000*(1.57975^(MIN($E3563,123)-117)))*1,0))</f>
        <v>2042880</v>
      </c>
      <c r="Q3563" s="11">
        <f>$E3563+6</f>
        <v>111</v>
      </c>
      <c r="R3563" s="12">
        <f>IF($J3563=0,0,ROUND(MAX($J3563*1.4*1.5*1.6*1.6,13100000*(1.429962^(MIN($E3563,123)-117)))*1,0))</f>
        <v>3268608</v>
      </c>
      <c r="S3563" s="13">
        <f>$E3563+8</f>
        <v>113</v>
      </c>
      <c r="T3563" s="14">
        <f>IF($J3563=0,0,ROUND(MAX($J3563*1.4*1.5*1.6*1.6*2.2,42600000*(1.576904^(MIN($E3563,123)-117)))*1,0))</f>
        <v>7190938</v>
      </c>
      <c r="U3563" s="11">
        <f>$E3563+11</f>
        <v>116</v>
      </c>
      <c r="V3563" s="12">
        <f>IF($J3563=0,0,ROUND(MAX($J3563*1.4*1.5*1.6*1.6*2.2*2.715,354000000*(1.642074^(MIN($E3563,123)-117)))*1,0))</f>
        <v>19523396</v>
      </c>
      <c r="W3563" s="13">
        <f>$E3563+15</f>
        <v>120</v>
      </c>
      <c r="X3563" s="14">
        <f>IF($J3563=0,0,ROUND(MAX($J3563*1.4*1.5*1.6*1.6*2.2*2.715*2.6,3540000000*(1.579646^(MIN($E3563,123)-117)))*1,0))</f>
        <v>50760829</v>
      </c>
      <c r="Y3563" s="11">
        <f>$E3563+17</f>
        <v>122</v>
      </c>
      <c r="Z3563" s="12">
        <f>IF($J3563=0,0,ROUND(MAX($J3563*1.4*1.5*1.6*1.6*2.2*2.715*2.6*1.4,6020000000*(1.651178^(MIN($E3563,123)-117)))*1,0))</f>
        <v>71065160</v>
      </c>
      <c r="AA3563" s="13">
        <f>$E3563+19</f>
        <v>124</v>
      </c>
      <c r="AB3563" s="14">
        <f>IF($J3563=0,0,ROUND(MAX($J3563*1.4*1.5*1.6*1.6*2.2*2.715*2.6*1.4*1.4,8430000000*(1.651435^(MIN($E3563,123)-117)))*1,0))</f>
        <v>99491224</v>
      </c>
      <c r="AC3563" s="11">
        <f>$E3563+21</f>
        <v>126</v>
      </c>
      <c r="AD3563" s="12">
        <f>IF($J3563=0,0,ROUND(MAX($J3563*1.4*1.5*1.6*1.6*2.2*2.715*2.6*1.4*1.4*1.5,12600000000*(1.652953^(MIN($E3563,123)-117)))*1,0))</f>
        <v>149236836</v>
      </c>
      <c r="AE3563" s="13">
        <f>$E3563+24</f>
        <v>129</v>
      </c>
      <c r="AF3563" s="14">
        <f>IF($J3563=0,0,ROUND(MAX($J3563*1.4*1.5*1.6*1.6*2.2*2.715*2.6*1.4*1.4*1.5*1.5,18900000000*(1.65331^(MIN($E3563,123)-117)))*1,0))</f>
        <v>223855254</v>
      </c>
      <c r="AG3563" s="11">
        <f>$E3563+27</f>
        <v>132</v>
      </c>
      <c r="AH3563" s="12">
        <f>IF($J3563=0,0,ROUND(MAX($J3563*1.4*1.5*1.6*1.6*2.2*2.715*2.6*1.4*1.4*1.5*1.5*3.2,60500000000*(1.654288^(MIN($E3563,123)-117)))*1,0))</f>
        <v>716336812</v>
      </c>
    </row>
    <row r="3564" ht="28" customHeight="1" spans="1:34" x14ac:dyDescent="0.25">
      <c r="A3564">
        <v>3574</v>
      </c>
      <c r="B3564" t="s">
        <v>471</v>
      </c>
      <c r="C3564" s="10" t="s">
        <v>1807</v>
      </c>
      <c r="D3564" t="s">
        <v>102</v>
      </c>
      <c r="E3564">
        <v>105</v>
      </c>
      <c r="F3564" t="s">
        <v>54</v>
      </c>
      <c r="G3564" t="s">
        <v>472</v>
      </c>
      <c r="H3564">
        <v>22</v>
      </c>
      <c r="I3564" s="11">
        <f>$E3564+0</f>
        <v>105</v>
      </c>
      <c r="J3564" s="12">
        <v>17800</v>
      </c>
      <c r="K3564" s="13">
        <f>$E3564+1</f>
        <v>106</v>
      </c>
      <c r="L3564" s="14">
        <f>IF($J3564=0,0,ROUND(MAX($J3564*1.4,1620000*(1.497923^(MIN($E3564,123)-117)))*1,0))</f>
        <v>24920</v>
      </c>
      <c r="M3564" s="11">
        <f>$E3564+2</f>
        <v>107</v>
      </c>
      <c r="N3564" s="12">
        <f>IF($J3564=0,0,ROUND(MAX($J3564*1.4*1.5,2190000*(1.580994^(MIN($E3564,123)-117)))*1,0))</f>
        <v>37380</v>
      </c>
      <c r="O3564" s="13">
        <f>$E3564+4</f>
        <v>109</v>
      </c>
      <c r="P3564" s="14">
        <f>IF($J3564=0,0,ROUND(MAX($J3564*1.4*1.5*1.6,3500000*(1.57975^(MIN($E3564,123)-117)))*1,0))</f>
        <v>59808</v>
      </c>
      <c r="Q3564" s="11">
        <f>$E3564+6</f>
        <v>111</v>
      </c>
      <c r="R3564" s="12">
        <f>IF($J3564=0,0,ROUND(MAX($J3564*1.4*1.5*1.6*1.6,13100000*(1.429962^(MIN($E3564,123)-117)))*1,0))</f>
        <v>179216</v>
      </c>
      <c r="S3564" s="13">
        <f>$E3564+8</f>
        <v>113</v>
      </c>
      <c r="T3564" s="14">
        <f>IF($J3564=0,0,ROUND(MAX($J3564*1.4*1.5*1.6*1.6*2.2,42600000*(1.576904^(MIN($E3564,123)-117)))*1,0))</f>
        <v>210524</v>
      </c>
      <c r="U3564" s="11">
        <f>$E3564+11</f>
        <v>116</v>
      </c>
      <c r="V3564" s="12">
        <f>IF($J3564=0,0,ROUND(MAX($J3564*1.4*1.5*1.6*1.6*2.2*2.715,354000000*(1.642074^(MIN($E3564,123)-117)))*1,0))</f>
        <v>921066</v>
      </c>
      <c r="W3564" s="13">
        <f>$E3564+15</f>
        <v>120</v>
      </c>
      <c r="X3564" s="14">
        <f>IF($J3564=0,0,ROUND(MAX($J3564*1.4*1.5*1.6*1.6*2.2*2.715*2.6,3540000000*(1.579646^(MIN($E3564,123)-117)))*1,0))</f>
        <v>14665133</v>
      </c>
      <c r="Y3564" s="11">
        <f>$E3564+17</f>
        <v>122</v>
      </c>
      <c r="Z3564" s="12">
        <f>IF($J3564=0,0,ROUND(MAX($J3564*1.4*1.5*1.6*1.6*2.2*2.715*2.6*1.4,6020000000*(1.651178^(MIN($E3564,123)-117)))*1,0))</f>
        <v>14657833</v>
      </c>
      <c r="AA3564" s="13">
        <f>$E3564+19</f>
        <v>124</v>
      </c>
      <c r="AB3564" s="14">
        <f>IF($J3564=0,0,ROUND(MAX($J3564*1.4*1.5*1.6*1.6*2.2*2.715*2.6*1.4*1.4,8430000000*(1.651435^(MIN($E3564,123)-117)))*1,0))</f>
        <v>20487537</v>
      </c>
      <c r="AC3564" s="11">
        <f>$E3564+21</f>
        <v>126</v>
      </c>
      <c r="AD3564" s="12">
        <f>IF($J3564=0,0,ROUND(MAX($J3564*1.4*1.5*1.6*1.6*2.2*2.715*2.6*1.4*1.4*1.5,12600000000*(1.652953^(MIN($E3564,123)-117)))*1,0))</f>
        <v>30286179</v>
      </c>
      <c r="AE3564" s="13">
        <f>$E3564+24</f>
        <v>129</v>
      </c>
      <c r="AF3564" s="14">
        <f>IF($J3564=0,0,ROUND(MAX($J3564*1.4*1.5*1.6*1.6*2.2*2.715*2.6*1.4*1.4*1.5*1.5,18900000000*(1.65331^(MIN($E3564,123)-117)))*1,0))</f>
        <v>45311693</v>
      </c>
      <c r="AG3564" s="11">
        <f>$E3564+27</f>
        <v>132</v>
      </c>
      <c r="AH3564" s="12">
        <f>IF($J3564=0,0,ROUND(MAX($J3564*1.4*1.5*1.6*1.6*2.2*2.715*2.6*1.4*1.4*1.5*1.5*3.2,60500000000*(1.654288^(MIN($E3564,123)-117)))*1,0))</f>
        <v>144019713</v>
      </c>
    </row>
    <row r="3565" ht="28" customHeight="1" spans="1:34" x14ac:dyDescent="0.25">
      <c r="A3565">
        <v>3575</v>
      </c>
      <c r="B3565" t="s">
        <v>775</v>
      </c>
      <c r="C3565" s="10" t="s">
        <v>1807</v>
      </c>
      <c r="D3565" t="s">
        <v>33</v>
      </c>
      <c r="E3565">
        <v>105</v>
      </c>
      <c r="F3565" t="s">
        <v>400</v>
      </c>
      <c r="G3565" t="s">
        <v>38</v>
      </c>
      <c r="H3565">
        <v>22</v>
      </c>
      <c r="I3565" s="11">
        <f>$E3565+0</f>
        <v>105</v>
      </c>
      <c r="J3565" s="12">
        <v>14500</v>
      </c>
      <c r="K3565" s="13">
        <f>$E3565+1</f>
        <v>106</v>
      </c>
      <c r="L3565" s="14">
        <f>IF($J3565=0,0,ROUND(MAX($J3565*1.4,1620000*(1.497923^(MIN($E3565,123)-117)))*1,0))</f>
        <v>20300</v>
      </c>
      <c r="M3565" s="11">
        <f>$E3565+2</f>
        <v>107</v>
      </c>
      <c r="N3565" s="12">
        <f>IF($J3565=0,0,ROUND(MAX($J3565*1.4*1.5,2190000*(1.580994^(MIN($E3565,123)-117)))*1,0))</f>
        <v>30450</v>
      </c>
      <c r="O3565" s="13">
        <f>$E3565+4</f>
        <v>109</v>
      </c>
      <c r="P3565" s="14">
        <f>IF($J3565=0,0,ROUND(MAX($J3565*1.4*1.5*1.6,3500000*(1.57975^(MIN($E3565,123)-117)))*1,0))</f>
        <v>48720</v>
      </c>
      <c r="Q3565" s="11">
        <f>$E3565+6</f>
        <v>111</v>
      </c>
      <c r="R3565" s="12">
        <f>IF($J3565=0,0,ROUND(MAX($J3565*1.4*1.5*1.6*1.6,13100000*(1.429962^(MIN($E3565,123)-117)))*1,0))</f>
        <v>179216</v>
      </c>
      <c r="S3565" s="13">
        <f>$E3565+8</f>
        <v>113</v>
      </c>
      <c r="T3565" s="14">
        <f>IF($J3565=0,0,ROUND(MAX($J3565*1.4*1.5*1.6*1.6*2.2,42600000*(1.576904^(MIN($E3565,123)-117)))*1,0))</f>
        <v>180197</v>
      </c>
      <c r="U3565" s="11">
        <f>$E3565+11</f>
        <v>116</v>
      </c>
      <c r="V3565" s="12">
        <f>IF($J3565=0,0,ROUND(MAX($J3565*1.4*1.5*1.6*1.6*2.2*2.715,354000000*(1.642074^(MIN($E3565,123)-117)))*1,0))</f>
        <v>921066</v>
      </c>
      <c r="W3565" s="13">
        <f>$E3565+15</f>
        <v>120</v>
      </c>
      <c r="X3565" s="14">
        <f>IF($J3565=0,0,ROUND(MAX($J3565*1.4*1.5*1.6*1.6*2.2*2.715*2.6,3540000000*(1.579646^(MIN($E3565,123)-117)))*1,0))</f>
        <v>14665133</v>
      </c>
      <c r="Y3565" s="11">
        <f>$E3565+17</f>
        <v>122</v>
      </c>
      <c r="Z3565" s="12">
        <f>IF($J3565=0,0,ROUND(MAX($J3565*1.4*1.5*1.6*1.6*2.2*2.715*2.6*1.4,6020000000*(1.651178^(MIN($E3565,123)-117)))*1,0))</f>
        <v>14657833</v>
      </c>
      <c r="AA3565" s="13">
        <f>$E3565+19</f>
        <v>124</v>
      </c>
      <c r="AB3565" s="14">
        <f>IF($J3565=0,0,ROUND(MAX($J3565*1.4*1.5*1.6*1.6*2.2*2.715*2.6*1.4*1.4,8430000000*(1.651435^(MIN($E3565,123)-117)))*1,0))</f>
        <v>20487537</v>
      </c>
      <c r="AC3565" s="11">
        <f>$E3565+21</f>
        <v>126</v>
      </c>
      <c r="AD3565" s="12">
        <f>IF($J3565=0,0,ROUND(MAX($J3565*1.4*1.5*1.6*1.6*2.2*2.715*2.6*1.4*1.4*1.5,12600000000*(1.652953^(MIN($E3565,123)-117)))*1,0))</f>
        <v>30286179</v>
      </c>
      <c r="AE3565" s="13">
        <f>$E3565+24</f>
        <v>129</v>
      </c>
      <c r="AF3565" s="14">
        <f>IF($J3565=0,0,ROUND(MAX($J3565*1.4*1.5*1.6*1.6*2.2*2.715*2.6*1.4*1.4*1.5*1.5,18900000000*(1.65331^(MIN($E3565,123)-117)))*1,0))</f>
        <v>45311693</v>
      </c>
      <c r="AG3565" s="11">
        <f>$E3565+27</f>
        <v>132</v>
      </c>
      <c r="AH3565" s="12">
        <f>IF($J3565=0,0,ROUND(MAX($J3565*1.4*1.5*1.6*1.6*2.2*2.715*2.6*1.4*1.4*1.5*1.5*3.2,60500000000*(1.654288^(MIN($E3565,123)-117)))*1,0))</f>
        <v>144019713</v>
      </c>
    </row>
    <row r="3566" ht="28" customHeight="1" spans="1:34" x14ac:dyDescent="0.25">
      <c r="A3566">
        <v>3576</v>
      </c>
      <c r="B3566" t="s">
        <v>145</v>
      </c>
      <c r="C3566" s="10" t="s">
        <v>1807</v>
      </c>
      <c r="D3566" t="s">
        <v>47</v>
      </c>
      <c r="E3566">
        <v>105</v>
      </c>
      <c r="F3566" t="s">
        <v>146</v>
      </c>
      <c r="G3566" t="s">
        <v>562</v>
      </c>
      <c r="H3566">
        <v>21</v>
      </c>
      <c r="I3566" s="11">
        <f>$E3566+0</f>
        <v>105</v>
      </c>
      <c r="J3566" s="12">
        <v>15100</v>
      </c>
      <c r="K3566" s="13">
        <f>$E3566+1</f>
        <v>106</v>
      </c>
      <c r="L3566" s="14">
        <f>IF($J3566=0,0,ROUND(MAX($J3566*1.4,1620000*(1.497923^(MIN($E3566,123)-117)))*1,0))</f>
        <v>21140</v>
      </c>
      <c r="M3566" s="11">
        <f>$E3566+2</f>
        <v>107</v>
      </c>
      <c r="N3566" s="12">
        <f>IF($J3566=0,0,ROUND(MAX($J3566*1.4*1.5,2190000*(1.580994^(MIN($E3566,123)-117)))*1,0))</f>
        <v>31710</v>
      </c>
      <c r="O3566" s="13">
        <f>$E3566+4</f>
        <v>109</v>
      </c>
      <c r="P3566" s="14">
        <f>IF($J3566=0,0,ROUND(MAX($J3566*1.4*1.5*1.6,3500000*(1.57975^(MIN($E3566,123)-117)))*1,0))</f>
        <v>50736</v>
      </c>
      <c r="Q3566" s="11">
        <f>$E3566+6</f>
        <v>111</v>
      </c>
      <c r="R3566" s="12">
        <f>IF($J3566=0,0,ROUND(MAX($J3566*1.4*1.5*1.6*1.6,13100000*(1.429962^(MIN($E3566,123)-117)))*1,0))</f>
        <v>179216</v>
      </c>
      <c r="S3566" s="13">
        <f>$E3566+8</f>
        <v>113</v>
      </c>
      <c r="T3566" s="14">
        <f>IF($J3566=0,0,ROUND(MAX($J3566*1.4*1.5*1.6*1.6*2.2,42600000*(1.576904^(MIN($E3566,123)-117)))*1,0))</f>
        <v>180197</v>
      </c>
      <c r="U3566" s="11">
        <f>$E3566+11</f>
        <v>116</v>
      </c>
      <c r="V3566" s="12">
        <f>IF($J3566=0,0,ROUND(MAX($J3566*1.4*1.5*1.6*1.6*2.2*2.715,354000000*(1.642074^(MIN($E3566,123)-117)))*1,0))</f>
        <v>921066</v>
      </c>
      <c r="W3566" s="13">
        <f>$E3566+15</f>
        <v>120</v>
      </c>
      <c r="X3566" s="14">
        <f>IF($J3566=0,0,ROUND(MAX($J3566*1.4*1.5*1.6*1.6*2.2*2.715*2.6,3540000000*(1.579646^(MIN($E3566,123)-117)))*1,0))</f>
        <v>14665133</v>
      </c>
      <c r="Y3566" s="11">
        <f>$E3566+17</f>
        <v>122</v>
      </c>
      <c r="Z3566" s="12">
        <f>IF($J3566=0,0,ROUND(MAX($J3566*1.4*1.5*1.6*1.6*2.2*2.715*2.6*1.4,6020000000*(1.651178^(MIN($E3566,123)-117)))*1,0))</f>
        <v>14657833</v>
      </c>
      <c r="AA3566" s="13">
        <f>$E3566+19</f>
        <v>124</v>
      </c>
      <c r="AB3566" s="14">
        <f>IF($J3566=0,0,ROUND(MAX($J3566*1.4*1.5*1.6*1.6*2.2*2.715*2.6*1.4*1.4,8430000000*(1.651435^(MIN($E3566,123)-117)))*1,0))</f>
        <v>20487537</v>
      </c>
      <c r="AC3566" s="11">
        <f>$E3566+21</f>
        <v>126</v>
      </c>
      <c r="AD3566" s="12">
        <f>IF($J3566=0,0,ROUND(MAX($J3566*1.4*1.5*1.6*1.6*2.2*2.715*2.6*1.4*1.4*1.5,12600000000*(1.652953^(MIN($E3566,123)-117)))*1,0))</f>
        <v>30286179</v>
      </c>
      <c r="AE3566" s="13">
        <f>$E3566+24</f>
        <v>129</v>
      </c>
      <c r="AF3566" s="14">
        <f>IF($J3566=0,0,ROUND(MAX($J3566*1.4*1.5*1.6*1.6*2.2*2.715*2.6*1.4*1.4*1.5*1.5,18900000000*(1.65331^(MIN($E3566,123)-117)))*1,0))</f>
        <v>45311693</v>
      </c>
      <c r="AG3566" s="11">
        <f>$E3566+27</f>
        <v>132</v>
      </c>
      <c r="AH3566" s="12">
        <f>IF($J3566=0,0,ROUND(MAX($J3566*1.4*1.5*1.6*1.6*2.2*2.715*2.6*1.4*1.4*1.5*1.5*3.2,60500000000*(1.654288^(MIN($E3566,123)-117)))*1,0))</f>
        <v>144019713</v>
      </c>
    </row>
    <row r="3567" ht="28" customHeight="1" spans="1:34" x14ac:dyDescent="0.25">
      <c r="A3567">
        <v>3577</v>
      </c>
      <c r="B3567" t="s">
        <v>848</v>
      </c>
      <c r="C3567" s="10" t="s">
        <v>1807</v>
      </c>
      <c r="D3567" t="s">
        <v>47</v>
      </c>
      <c r="E3567">
        <v>105</v>
      </c>
      <c r="F3567" t="s">
        <v>34</v>
      </c>
      <c r="G3567" t="s">
        <v>35</v>
      </c>
      <c r="H3567">
        <v>21</v>
      </c>
      <c r="I3567" s="11">
        <f>$E3567+0</f>
        <v>105</v>
      </c>
      <c r="J3567" s="12">
        <v>27700</v>
      </c>
      <c r="K3567" s="13">
        <f>$E3567+1</f>
        <v>106</v>
      </c>
      <c r="L3567" s="14">
        <f>IF($J3567=0,0,ROUND(MAX($J3567*1.4,1620000*(1.497923^(MIN($E3567,123)-117)))*1,0))</f>
        <v>38780</v>
      </c>
      <c r="M3567" s="11">
        <f>$E3567+2</f>
        <v>107</v>
      </c>
      <c r="N3567" s="12">
        <f>IF($J3567=0,0,ROUND(MAX($J3567*1.4*1.5,2190000*(1.580994^(MIN($E3567,123)-117)))*1,0))</f>
        <v>58170</v>
      </c>
      <c r="O3567" s="13">
        <f>$E3567+4</f>
        <v>109</v>
      </c>
      <c r="P3567" s="14">
        <f>IF($J3567=0,0,ROUND(MAX($J3567*1.4*1.5*1.6,3500000*(1.57975^(MIN($E3567,123)-117)))*1,0))</f>
        <v>93072</v>
      </c>
      <c r="Q3567" s="11">
        <f>$E3567+6</f>
        <v>111</v>
      </c>
      <c r="R3567" s="12">
        <f>IF($J3567=0,0,ROUND(MAX($J3567*1.4*1.5*1.6*1.6,13100000*(1.429962^(MIN($E3567,123)-117)))*1,0))</f>
        <v>179216</v>
      </c>
      <c r="S3567" s="13">
        <f>$E3567+8</f>
        <v>113</v>
      </c>
      <c r="T3567" s="14">
        <f>IF($J3567=0,0,ROUND(MAX($J3567*1.4*1.5*1.6*1.6*2.2,42600000*(1.576904^(MIN($E3567,123)-117)))*1,0))</f>
        <v>327613</v>
      </c>
      <c r="U3567" s="11">
        <f>$E3567+11</f>
        <v>116</v>
      </c>
      <c r="V3567" s="12">
        <f>IF($J3567=0,0,ROUND(MAX($J3567*1.4*1.5*1.6*1.6*2.2*2.715,354000000*(1.642074^(MIN($E3567,123)-117)))*1,0))</f>
        <v>921066</v>
      </c>
      <c r="W3567" s="13">
        <f>$E3567+15</f>
        <v>120</v>
      </c>
      <c r="X3567" s="14">
        <f>IF($J3567=0,0,ROUND(MAX($J3567*1.4*1.5*1.6*1.6*2.2*2.715*2.6,3540000000*(1.579646^(MIN($E3567,123)-117)))*1,0))</f>
        <v>14665133</v>
      </c>
      <c r="Y3567" s="11">
        <f>$E3567+17</f>
        <v>122</v>
      </c>
      <c r="Z3567" s="12">
        <f>IF($J3567=0,0,ROUND(MAX($J3567*1.4*1.5*1.6*1.6*2.2*2.715*2.6*1.4,6020000000*(1.651178^(MIN($E3567,123)-117)))*1,0))</f>
        <v>14657833</v>
      </c>
      <c r="AA3567" s="13">
        <f>$E3567+19</f>
        <v>124</v>
      </c>
      <c r="AB3567" s="14">
        <f>IF($J3567=0,0,ROUND(MAX($J3567*1.4*1.5*1.6*1.6*2.2*2.715*2.6*1.4*1.4,8430000000*(1.651435^(MIN($E3567,123)-117)))*1,0))</f>
        <v>20487537</v>
      </c>
      <c r="AC3567" s="11">
        <f>$E3567+21</f>
        <v>126</v>
      </c>
      <c r="AD3567" s="12">
        <f>IF($J3567=0,0,ROUND(MAX($J3567*1.4*1.5*1.6*1.6*2.2*2.715*2.6*1.4*1.4*1.5,12600000000*(1.652953^(MIN($E3567,123)-117)))*1,0))</f>
        <v>30286179</v>
      </c>
      <c r="AE3567" s="13">
        <f>$E3567+24</f>
        <v>129</v>
      </c>
      <c r="AF3567" s="14">
        <f>IF($J3567=0,0,ROUND(MAX($J3567*1.4*1.5*1.6*1.6*2.2*2.715*2.6*1.4*1.4*1.5*1.5,18900000000*(1.65331^(MIN($E3567,123)-117)))*1,0))</f>
        <v>45311693</v>
      </c>
      <c r="AG3567" s="11">
        <f>$E3567+27</f>
        <v>132</v>
      </c>
      <c r="AH3567" s="12">
        <f>IF($J3567=0,0,ROUND(MAX($J3567*1.4*1.5*1.6*1.6*2.2*2.715*2.6*1.4*1.4*1.5*1.5*3.2,60500000000*(1.654288^(MIN($E3567,123)-117)))*1,0))</f>
        <v>144019713</v>
      </c>
    </row>
    <row r="3568" ht="28" customHeight="1" spans="1:34" x14ac:dyDescent="0.25">
      <c r="A3568">
        <v>3578</v>
      </c>
      <c r="B3568" t="s">
        <v>783</v>
      </c>
      <c r="C3568" s="10" t="s">
        <v>1807</v>
      </c>
      <c r="D3568" t="s">
        <v>47</v>
      </c>
      <c r="E3568">
        <v>105</v>
      </c>
      <c r="F3568" t="s">
        <v>30</v>
      </c>
      <c r="G3568" t="s">
        <v>784</v>
      </c>
      <c r="H3568">
        <v>20</v>
      </c>
      <c r="I3568" s="11">
        <f>$E3568+0</f>
        <v>105</v>
      </c>
      <c r="J3568" s="12">
        <v>38600</v>
      </c>
      <c r="K3568" s="13">
        <f>$E3568+1</f>
        <v>106</v>
      </c>
      <c r="L3568" s="14">
        <f>IF($J3568=0,0,ROUND(MAX($J3568*1.4,1620000*(1.497923^(MIN($E3568,123)-117)))*1,0))</f>
        <v>54040</v>
      </c>
      <c r="M3568" s="11">
        <f>$E3568+2</f>
        <v>107</v>
      </c>
      <c r="N3568" s="12">
        <f>IF($J3568=0,0,ROUND(MAX($J3568*1.4*1.5,2190000*(1.580994^(MIN($E3568,123)-117)))*1,0))</f>
        <v>81060</v>
      </c>
      <c r="O3568" s="13">
        <f>$E3568+4</f>
        <v>109</v>
      </c>
      <c r="P3568" s="14">
        <f>IF($J3568=0,0,ROUND(MAX($J3568*1.4*1.5*1.6,3500000*(1.57975^(MIN($E3568,123)-117)))*1,0))</f>
        <v>129696</v>
      </c>
      <c r="Q3568" s="11">
        <f>$E3568+6</f>
        <v>111</v>
      </c>
      <c r="R3568" s="12">
        <f>IF($J3568=0,0,ROUND(MAX($J3568*1.4*1.5*1.6*1.6,13100000*(1.429962^(MIN($E3568,123)-117)))*1,0))</f>
        <v>207514</v>
      </c>
      <c r="S3568" s="13">
        <f>$E3568+8</f>
        <v>113</v>
      </c>
      <c r="T3568" s="14">
        <f>IF($J3568=0,0,ROUND(MAX($J3568*1.4*1.5*1.6*1.6*2.2,42600000*(1.576904^(MIN($E3568,123)-117)))*1,0))</f>
        <v>456530</v>
      </c>
      <c r="U3568" s="11">
        <f>$E3568+11</f>
        <v>116</v>
      </c>
      <c r="V3568" s="12">
        <f>IF($J3568=0,0,ROUND(MAX($J3568*1.4*1.5*1.6*1.6*2.2*2.715,354000000*(1.642074^(MIN($E3568,123)-117)))*1,0))</f>
        <v>1239479</v>
      </c>
      <c r="W3568" s="13">
        <f>$E3568+15</f>
        <v>120</v>
      </c>
      <c r="X3568" s="14">
        <f>IF($J3568=0,0,ROUND(MAX($J3568*1.4*1.5*1.6*1.6*2.2*2.715*2.6,3540000000*(1.579646^(MIN($E3568,123)-117)))*1,0))</f>
        <v>14665133</v>
      </c>
      <c r="Y3568" s="11">
        <f>$E3568+17</f>
        <v>122</v>
      </c>
      <c r="Z3568" s="12">
        <f>IF($J3568=0,0,ROUND(MAX($J3568*1.4*1.5*1.6*1.6*2.2*2.715*2.6*1.4,6020000000*(1.651178^(MIN($E3568,123)-117)))*1,0))</f>
        <v>14657833</v>
      </c>
      <c r="AA3568" s="13">
        <f>$E3568+19</f>
        <v>124</v>
      </c>
      <c r="AB3568" s="14">
        <f>IF($J3568=0,0,ROUND(MAX($J3568*1.4*1.5*1.6*1.6*2.2*2.715*2.6*1.4*1.4,8430000000*(1.651435^(MIN($E3568,123)-117)))*1,0))</f>
        <v>20487537</v>
      </c>
      <c r="AC3568" s="11">
        <f>$E3568+21</f>
        <v>126</v>
      </c>
      <c r="AD3568" s="12">
        <f>IF($J3568=0,0,ROUND(MAX($J3568*1.4*1.5*1.6*1.6*2.2*2.715*2.6*1.4*1.4*1.5,12600000000*(1.652953^(MIN($E3568,123)-117)))*1,0))</f>
        <v>30286179</v>
      </c>
      <c r="AE3568" s="13">
        <f>$E3568+24</f>
        <v>129</v>
      </c>
      <c r="AF3568" s="14">
        <f>IF($J3568=0,0,ROUND(MAX($J3568*1.4*1.5*1.6*1.6*2.2*2.715*2.6*1.4*1.4*1.5*1.5,18900000000*(1.65331^(MIN($E3568,123)-117)))*1,0))</f>
        <v>45311693</v>
      </c>
      <c r="AG3568" s="11">
        <f>$E3568+27</f>
        <v>132</v>
      </c>
      <c r="AH3568" s="12">
        <f>IF($J3568=0,0,ROUND(MAX($J3568*1.4*1.5*1.6*1.6*2.2*2.715*2.6*1.4*1.4*1.5*1.5*3.2,60500000000*(1.654288^(MIN($E3568,123)-117)))*1,0))</f>
        <v>144019713</v>
      </c>
    </row>
    <row r="3569" ht="28" customHeight="1" spans="1:34" x14ac:dyDescent="0.25">
      <c r="A3569">
        <v>3579</v>
      </c>
      <c r="B3569" t="s">
        <v>188</v>
      </c>
      <c r="C3569" s="10" t="s">
        <v>1807</v>
      </c>
      <c r="D3569" t="s">
        <v>47</v>
      </c>
      <c r="E3569">
        <v>105</v>
      </c>
      <c r="F3569" t="s">
        <v>42</v>
      </c>
      <c r="G3569" t="s">
        <v>562</v>
      </c>
      <c r="H3569">
        <v>20</v>
      </c>
      <c r="I3569" s="11">
        <f>$E3569+0</f>
        <v>105</v>
      </c>
      <c r="J3569" s="12">
        <v>21800</v>
      </c>
      <c r="K3569" s="13">
        <f>$E3569+1</f>
        <v>106</v>
      </c>
      <c r="L3569" s="14">
        <f>IF($J3569=0,0,ROUND(MAX($J3569*1.4,1620000*(1.497923^(MIN($E3569,123)-117)))*1,0))</f>
        <v>30520</v>
      </c>
      <c r="M3569" s="11">
        <f>$E3569+2</f>
        <v>107</v>
      </c>
      <c r="N3569" s="12">
        <f>IF($J3569=0,0,ROUND(MAX($J3569*1.4*1.5,2190000*(1.580994^(MIN($E3569,123)-117)))*1,0))</f>
        <v>45780</v>
      </c>
      <c r="O3569" s="13">
        <f>$E3569+4</f>
        <v>109</v>
      </c>
      <c r="P3569" s="14">
        <f>IF($J3569=0,0,ROUND(MAX($J3569*1.4*1.5*1.6,3500000*(1.57975^(MIN($E3569,123)-117)))*1,0))</f>
        <v>73248</v>
      </c>
      <c r="Q3569" s="11">
        <f>$E3569+6</f>
        <v>111</v>
      </c>
      <c r="R3569" s="12">
        <f>IF($J3569=0,0,ROUND(MAX($J3569*1.4*1.5*1.6*1.6,13100000*(1.429962^(MIN($E3569,123)-117)))*1,0))</f>
        <v>179216</v>
      </c>
      <c r="S3569" s="13">
        <f>$E3569+8</f>
        <v>113</v>
      </c>
      <c r="T3569" s="14">
        <f>IF($J3569=0,0,ROUND(MAX($J3569*1.4*1.5*1.6*1.6*2.2,42600000*(1.576904^(MIN($E3569,123)-117)))*1,0))</f>
        <v>257833</v>
      </c>
      <c r="U3569" s="11">
        <f>$E3569+11</f>
        <v>116</v>
      </c>
      <c r="V3569" s="12">
        <f>IF($J3569=0,0,ROUND(MAX($J3569*1.4*1.5*1.6*1.6*2.2*2.715,354000000*(1.642074^(MIN($E3569,123)-117)))*1,0))</f>
        <v>921066</v>
      </c>
      <c r="W3569" s="13">
        <f>$E3569+15</f>
        <v>120</v>
      </c>
      <c r="X3569" s="14">
        <f>IF($J3569=0,0,ROUND(MAX($J3569*1.4*1.5*1.6*1.6*2.2*2.715*2.6,3540000000*(1.579646^(MIN($E3569,123)-117)))*1,0))</f>
        <v>14665133</v>
      </c>
      <c r="Y3569" s="11">
        <f>$E3569+17</f>
        <v>122</v>
      </c>
      <c r="Z3569" s="12">
        <f>IF($J3569=0,0,ROUND(MAX($J3569*1.4*1.5*1.6*1.6*2.2*2.715*2.6*1.4,6020000000*(1.651178^(MIN($E3569,123)-117)))*1,0))</f>
        <v>14657833</v>
      </c>
      <c r="AA3569" s="13">
        <f>$E3569+19</f>
        <v>124</v>
      </c>
      <c r="AB3569" s="14">
        <f>IF($J3569=0,0,ROUND(MAX($J3569*1.4*1.5*1.6*1.6*2.2*2.715*2.6*1.4*1.4,8430000000*(1.651435^(MIN($E3569,123)-117)))*1,0))</f>
        <v>20487537</v>
      </c>
      <c r="AC3569" s="11">
        <f>$E3569+21</f>
        <v>126</v>
      </c>
      <c r="AD3569" s="12">
        <f>IF($J3569=0,0,ROUND(MAX($J3569*1.4*1.5*1.6*1.6*2.2*2.715*2.6*1.4*1.4*1.5,12600000000*(1.652953^(MIN($E3569,123)-117)))*1,0))</f>
        <v>30286179</v>
      </c>
      <c r="AE3569" s="13">
        <f>$E3569+24</f>
        <v>129</v>
      </c>
      <c r="AF3569" s="14">
        <f>IF($J3569=0,0,ROUND(MAX($J3569*1.4*1.5*1.6*1.6*2.2*2.715*2.6*1.4*1.4*1.5*1.5,18900000000*(1.65331^(MIN($E3569,123)-117)))*1,0))</f>
        <v>45311693</v>
      </c>
      <c r="AG3569" s="11">
        <f>$E3569+27</f>
        <v>132</v>
      </c>
      <c r="AH3569" s="12">
        <f>IF($J3569=0,0,ROUND(MAX($J3569*1.4*1.5*1.6*1.6*2.2*2.715*2.6*1.4*1.4*1.5*1.5*3.2,60500000000*(1.654288^(MIN($E3569,123)-117)))*1,0))</f>
        <v>144019713</v>
      </c>
    </row>
    <row r="3570" ht="28" customHeight="1" spans="1:34" x14ac:dyDescent="0.25">
      <c r="A3570">
        <v>3580</v>
      </c>
      <c r="B3570" t="s">
        <v>180</v>
      </c>
      <c r="C3570" s="10" t="s">
        <v>1807</v>
      </c>
      <c r="D3570" t="s">
        <v>47</v>
      </c>
      <c r="E3570">
        <v>105</v>
      </c>
      <c r="F3570" t="s">
        <v>144</v>
      </c>
      <c r="G3570" t="s">
        <v>562</v>
      </c>
      <c r="H3570">
        <v>20</v>
      </c>
      <c r="I3570" s="11">
        <f>$E3570+0</f>
        <v>105</v>
      </c>
      <c r="J3570" s="12">
        <v>31400</v>
      </c>
      <c r="K3570" s="13">
        <f>$E3570+1</f>
        <v>106</v>
      </c>
      <c r="L3570" s="14">
        <f>IF($J3570=0,0,ROUND(MAX($J3570*1.4,1620000*(1.497923^(MIN($E3570,123)-117)))*1,0))</f>
        <v>43960</v>
      </c>
      <c r="M3570" s="11">
        <f>$E3570+2</f>
        <v>107</v>
      </c>
      <c r="N3570" s="12">
        <f>IF($J3570=0,0,ROUND(MAX($J3570*1.4*1.5,2190000*(1.580994^(MIN($E3570,123)-117)))*1,0))</f>
        <v>65940</v>
      </c>
      <c r="O3570" s="13">
        <f>$E3570+4</f>
        <v>109</v>
      </c>
      <c r="P3570" s="14">
        <f>IF($J3570=0,0,ROUND(MAX($J3570*1.4*1.5*1.6,3500000*(1.57975^(MIN($E3570,123)-117)))*1,0))</f>
        <v>105504</v>
      </c>
      <c r="Q3570" s="11">
        <f>$E3570+6</f>
        <v>111</v>
      </c>
      <c r="R3570" s="12">
        <f>IF($J3570=0,0,ROUND(MAX($J3570*1.4*1.5*1.6*1.6,13100000*(1.429962^(MIN($E3570,123)-117)))*1,0))</f>
        <v>179216</v>
      </c>
      <c r="S3570" s="13">
        <f>$E3570+8</f>
        <v>113</v>
      </c>
      <c r="T3570" s="14">
        <f>IF($J3570=0,0,ROUND(MAX($J3570*1.4*1.5*1.6*1.6*2.2,42600000*(1.576904^(MIN($E3570,123)-117)))*1,0))</f>
        <v>371374</v>
      </c>
      <c r="U3570" s="11">
        <f>$E3570+11</f>
        <v>116</v>
      </c>
      <c r="V3570" s="12">
        <f>IF($J3570=0,0,ROUND(MAX($J3570*1.4*1.5*1.6*1.6*2.2*2.715,354000000*(1.642074^(MIN($E3570,123)-117)))*1,0))</f>
        <v>1008281</v>
      </c>
      <c r="W3570" s="13">
        <f>$E3570+15</f>
        <v>120</v>
      </c>
      <c r="X3570" s="14">
        <f>IF($J3570=0,0,ROUND(MAX($J3570*1.4*1.5*1.6*1.6*2.2*2.715*2.6,3540000000*(1.579646^(MIN($E3570,123)-117)))*1,0))</f>
        <v>14665133</v>
      </c>
      <c r="Y3570" s="11">
        <f>$E3570+17</f>
        <v>122</v>
      </c>
      <c r="Z3570" s="12">
        <f>IF($J3570=0,0,ROUND(MAX($J3570*1.4*1.5*1.6*1.6*2.2*2.715*2.6*1.4,6020000000*(1.651178^(MIN($E3570,123)-117)))*1,0))</f>
        <v>14657833</v>
      </c>
      <c r="AA3570" s="13">
        <f>$E3570+19</f>
        <v>124</v>
      </c>
      <c r="AB3570" s="14">
        <f>IF($J3570=0,0,ROUND(MAX($J3570*1.4*1.5*1.6*1.6*2.2*2.715*2.6*1.4*1.4,8430000000*(1.651435^(MIN($E3570,123)-117)))*1,0))</f>
        <v>20487537</v>
      </c>
      <c r="AC3570" s="11">
        <f>$E3570+21</f>
        <v>126</v>
      </c>
      <c r="AD3570" s="12">
        <f>IF($J3570=0,0,ROUND(MAX($J3570*1.4*1.5*1.6*1.6*2.2*2.715*2.6*1.4*1.4*1.5,12600000000*(1.652953^(MIN($E3570,123)-117)))*1,0))</f>
        <v>30286179</v>
      </c>
      <c r="AE3570" s="13">
        <f>$E3570+24</f>
        <v>129</v>
      </c>
      <c r="AF3570" s="14">
        <f>IF($J3570=0,0,ROUND(MAX($J3570*1.4*1.5*1.6*1.6*2.2*2.715*2.6*1.4*1.4*1.5*1.5,18900000000*(1.65331^(MIN($E3570,123)-117)))*1,0))</f>
        <v>45311693</v>
      </c>
      <c r="AG3570" s="11">
        <f>$E3570+27</f>
        <v>132</v>
      </c>
      <c r="AH3570" s="12">
        <f>IF($J3570=0,0,ROUND(MAX($J3570*1.4*1.5*1.6*1.6*2.2*2.715*2.6*1.4*1.4*1.5*1.5*3.2,60500000000*(1.654288^(MIN($E3570,123)-117)))*1,0))</f>
        <v>144019713</v>
      </c>
    </row>
    <row r="3571" ht="28" customHeight="1" spans="1:34" x14ac:dyDescent="0.25">
      <c r="A3571">
        <v>3581</v>
      </c>
      <c r="B3571" t="s">
        <v>66</v>
      </c>
      <c r="C3571" s="10" t="s">
        <v>1807</v>
      </c>
      <c r="D3571" t="s">
        <v>47</v>
      </c>
      <c r="E3571">
        <v>105</v>
      </c>
      <c r="F3571" t="s">
        <v>62</v>
      </c>
      <c r="G3571" t="s">
        <v>562</v>
      </c>
      <c r="H3571">
        <v>20</v>
      </c>
      <c r="I3571" s="11">
        <f>$E3571+0</f>
        <v>105</v>
      </c>
      <c r="J3571" s="12">
        <v>22900</v>
      </c>
      <c r="K3571" s="13">
        <f>$E3571+1</f>
        <v>106</v>
      </c>
      <c r="L3571" s="14">
        <f>IF($J3571=0,0,ROUND(MAX($J3571*1.4,1620000*(1.497923^(MIN($E3571,123)-117)))*1,0))</f>
        <v>32060</v>
      </c>
      <c r="M3571" s="11">
        <f>$E3571+2</f>
        <v>107</v>
      </c>
      <c r="N3571" s="12">
        <f>IF($J3571=0,0,ROUND(MAX($J3571*1.4*1.5,2190000*(1.580994^(MIN($E3571,123)-117)))*1,0))</f>
        <v>48090</v>
      </c>
      <c r="O3571" s="13">
        <f>$E3571+4</f>
        <v>109</v>
      </c>
      <c r="P3571" s="14">
        <f>IF($J3571=0,0,ROUND(MAX($J3571*1.4*1.5*1.6,3500000*(1.57975^(MIN($E3571,123)-117)))*1,0))</f>
        <v>76944</v>
      </c>
      <c r="Q3571" s="11">
        <f>$E3571+6</f>
        <v>111</v>
      </c>
      <c r="R3571" s="12">
        <f>IF($J3571=0,0,ROUND(MAX($J3571*1.4*1.5*1.6*1.6,13100000*(1.429962^(MIN($E3571,123)-117)))*1,0))</f>
        <v>179216</v>
      </c>
      <c r="S3571" s="13">
        <f>$E3571+8</f>
        <v>113</v>
      </c>
      <c r="T3571" s="14">
        <f>IF($J3571=0,0,ROUND(MAX($J3571*1.4*1.5*1.6*1.6*2.2,42600000*(1.576904^(MIN($E3571,123)-117)))*1,0))</f>
        <v>270843</v>
      </c>
      <c r="U3571" s="11">
        <f>$E3571+11</f>
        <v>116</v>
      </c>
      <c r="V3571" s="12">
        <f>IF($J3571=0,0,ROUND(MAX($J3571*1.4*1.5*1.6*1.6*2.2*2.715,354000000*(1.642074^(MIN($E3571,123)-117)))*1,0))</f>
        <v>921066</v>
      </c>
      <c r="W3571" s="13">
        <f>$E3571+15</f>
        <v>120</v>
      </c>
      <c r="X3571" s="14">
        <f>IF($J3571=0,0,ROUND(MAX($J3571*1.4*1.5*1.6*1.6*2.2*2.715*2.6,3540000000*(1.579646^(MIN($E3571,123)-117)))*1,0))</f>
        <v>14665133</v>
      </c>
      <c r="Y3571" s="11">
        <f>$E3571+17</f>
        <v>122</v>
      </c>
      <c r="Z3571" s="12">
        <f>IF($J3571=0,0,ROUND(MAX($J3571*1.4*1.5*1.6*1.6*2.2*2.715*2.6*1.4,6020000000*(1.651178^(MIN($E3571,123)-117)))*1,0))</f>
        <v>14657833</v>
      </c>
      <c r="AA3571" s="13">
        <f>$E3571+19</f>
        <v>124</v>
      </c>
      <c r="AB3571" s="14">
        <f>IF($J3571=0,0,ROUND(MAX($J3571*1.4*1.5*1.6*1.6*2.2*2.715*2.6*1.4*1.4,8430000000*(1.651435^(MIN($E3571,123)-117)))*1,0))</f>
        <v>20487537</v>
      </c>
      <c r="AC3571" s="11">
        <f>$E3571+21</f>
        <v>126</v>
      </c>
      <c r="AD3571" s="12">
        <f>IF($J3571=0,0,ROUND(MAX($J3571*1.4*1.5*1.6*1.6*2.2*2.715*2.6*1.4*1.4*1.5,12600000000*(1.652953^(MIN($E3571,123)-117)))*1,0))</f>
        <v>30286179</v>
      </c>
      <c r="AE3571" s="13">
        <f>$E3571+24</f>
        <v>129</v>
      </c>
      <c r="AF3571" s="14">
        <f>IF($J3571=0,0,ROUND(MAX($J3571*1.4*1.5*1.6*1.6*2.2*2.715*2.6*1.4*1.4*1.5*1.5,18900000000*(1.65331^(MIN($E3571,123)-117)))*1,0))</f>
        <v>45311693</v>
      </c>
      <c r="AG3571" s="11">
        <f>$E3571+27</f>
        <v>132</v>
      </c>
      <c r="AH3571" s="12">
        <f>IF($J3571=0,0,ROUND(MAX($J3571*1.4*1.5*1.6*1.6*2.2*2.715*2.6*1.4*1.4*1.5*1.5*3.2,60500000000*(1.654288^(MIN($E3571,123)-117)))*1,0))</f>
        <v>144019713</v>
      </c>
    </row>
    <row r="3572" ht="28" customHeight="1" spans="1:34" x14ac:dyDescent="0.25">
      <c r="A3572">
        <v>3582</v>
      </c>
      <c r="B3572" t="s">
        <v>229</v>
      </c>
      <c r="C3572" s="10" t="s">
        <v>1807</v>
      </c>
      <c r="D3572" t="s">
        <v>40</v>
      </c>
      <c r="E3572">
        <v>104</v>
      </c>
      <c r="F3572" t="s">
        <v>54</v>
      </c>
      <c r="G3572" t="s">
        <v>38</v>
      </c>
      <c r="H3572">
        <v>24</v>
      </c>
      <c r="I3572" s="11">
        <f>$E3572+0</f>
        <v>104</v>
      </c>
      <c r="J3572" s="12">
        <v>9300</v>
      </c>
      <c r="K3572" s="13">
        <f>$E3572+1</f>
        <v>105</v>
      </c>
      <c r="L3572" s="14">
        <f>IF($J3572=0,0,ROUND(MAX($J3572*1.4,1620000*(1.497923^(MIN($E3572,123)-117)))*1,0))</f>
        <v>13020</v>
      </c>
      <c r="M3572" s="11">
        <f>$E3572+2</f>
        <v>106</v>
      </c>
      <c r="N3572" s="12">
        <f>IF($J3572=0,0,ROUND(MAX($J3572*1.4*1.5,2190000*(1.580994^(MIN($E3572,123)-117)))*1,0))</f>
        <v>19530</v>
      </c>
      <c r="O3572" s="13">
        <f>$E3572+4</f>
        <v>108</v>
      </c>
      <c r="P3572" s="14">
        <f>IF($J3572=0,0,ROUND(MAX($J3572*1.4*1.5*1.6,3500000*(1.57975^(MIN($E3572,123)-117)))*1,0))</f>
        <v>31248</v>
      </c>
      <c r="Q3572" s="11">
        <f>$E3572+6</f>
        <v>110</v>
      </c>
      <c r="R3572" s="12">
        <f>IF($J3572=0,0,ROUND(MAX($J3572*1.4*1.5*1.6*1.6,13100000*(1.429962^(MIN($E3572,123)-117)))*1,0))</f>
        <v>125329</v>
      </c>
      <c r="S3572" s="13">
        <f>$E3572+8</f>
        <v>112</v>
      </c>
      <c r="T3572" s="14">
        <f>IF($J3572=0,0,ROUND(MAX($J3572*1.4*1.5*1.6*1.6*2.2,42600000*(1.576904^(MIN($E3572,123)-117)))*1,0))</f>
        <v>114272</v>
      </c>
      <c r="U3572" s="11">
        <f>$E3572+11</f>
        <v>115</v>
      </c>
      <c r="V3572" s="12">
        <f>IF($J3572=0,0,ROUND(MAX($J3572*1.4*1.5*1.6*1.6*2.2*2.715,354000000*(1.642074^(MIN($E3572,123)-117)))*1,0))</f>
        <v>560916</v>
      </c>
      <c r="W3572" s="13">
        <f>$E3572+15</f>
        <v>119</v>
      </c>
      <c r="X3572" s="14">
        <f>IF($J3572=0,0,ROUND(MAX($J3572*1.4*1.5*1.6*1.6*2.2*2.715*2.6,3540000000*(1.579646^(MIN($E3572,123)-117)))*1,0))</f>
        <v>9283810</v>
      </c>
      <c r="Y3572" s="11">
        <f>$E3572+17</f>
        <v>121</v>
      </c>
      <c r="Z3572" s="12">
        <f>IF($J3572=0,0,ROUND(MAX($J3572*1.4*1.5*1.6*1.6*2.2*2.715*2.6*1.4,6020000000*(1.651178^(MIN($E3572,123)-117)))*1,0))</f>
        <v>8877197</v>
      </c>
      <c r="AA3572" s="13">
        <f>$E3572+19</f>
        <v>123</v>
      </c>
      <c r="AB3572" s="14">
        <f>IF($J3572=0,0,ROUND(MAX($J3572*1.4*1.5*1.6*1.6*2.2*2.715*2.6*1.4*1.4,8430000000*(1.651435^(MIN($E3572,123)-117)))*1,0))</f>
        <v>12405900</v>
      </c>
      <c r="AC3572" s="11">
        <f>$E3572+21</f>
        <v>125</v>
      </c>
      <c r="AD3572" s="12">
        <f>IF($J3572=0,0,ROUND(MAX($J3572*1.4*1.5*1.6*1.6*2.2*2.715*2.6*1.4*1.4*1.5,12600000000*(1.652953^(MIN($E3572,123)-117)))*1,0))</f>
        <v>18322468</v>
      </c>
      <c r="AE3572" s="13">
        <f>$E3572+24</f>
        <v>128</v>
      </c>
      <c r="AF3572" s="14">
        <f>IF($J3572=0,0,ROUND(MAX($J3572*1.4*1.5*1.6*1.6*2.2*2.715*2.6*1.4*1.4*1.5*1.5,18900000000*(1.65331^(MIN($E3572,123)-117)))*1,0))</f>
        <v>27406653</v>
      </c>
      <c r="AG3572" s="11">
        <f>$E3572+27</f>
        <v>131</v>
      </c>
      <c r="AH3572" s="12">
        <f>IF($J3572=0,0,ROUND(MAX($J3572*1.4*1.5*1.6*1.6*2.2*2.715*2.6*1.4*1.4*1.5*1.5*3.2,60500000000*(1.654288^(MIN($E3572,123)-117)))*1,0))</f>
        <v>87058428</v>
      </c>
    </row>
    <row r="3573" ht="28" customHeight="1" spans="1:34" x14ac:dyDescent="0.25">
      <c r="A3573">
        <v>3583</v>
      </c>
      <c r="B3573" t="s">
        <v>931</v>
      </c>
      <c r="C3573" s="10" t="s">
        <v>1807</v>
      </c>
      <c r="D3573" t="s">
        <v>45</v>
      </c>
      <c r="E3573">
        <v>104</v>
      </c>
      <c r="F3573" t="s">
        <v>54</v>
      </c>
      <c r="G3573" t="s">
        <v>416</v>
      </c>
      <c r="H3573">
        <v>24</v>
      </c>
      <c r="I3573" s="11">
        <f>$E3573+0</f>
        <v>104</v>
      </c>
      <c r="J3573" s="12">
        <v>42800</v>
      </c>
      <c r="K3573" s="13">
        <f>$E3573+1</f>
        <v>105</v>
      </c>
      <c r="L3573" s="14">
        <f>IF($J3573=0,0,ROUND(MAX($J3573*1.4,1620000*(1.497923^(MIN($E3573,123)-117)))*1,0))</f>
        <v>59920</v>
      </c>
      <c r="M3573" s="11">
        <f>$E3573+2</f>
        <v>106</v>
      </c>
      <c r="N3573" s="12">
        <f>IF($J3573=0,0,ROUND(MAX($J3573*1.4*1.5,2190000*(1.580994^(MIN($E3573,123)-117)))*1,0))</f>
        <v>89880</v>
      </c>
      <c r="O3573" s="13">
        <f>$E3573+4</f>
        <v>108</v>
      </c>
      <c r="P3573" s="14">
        <f>IF($J3573=0,0,ROUND(MAX($J3573*1.4*1.5*1.6,3500000*(1.57975^(MIN($E3573,123)-117)))*1,0))</f>
        <v>143808</v>
      </c>
      <c r="Q3573" s="11">
        <f>$E3573+6</f>
        <v>110</v>
      </c>
      <c r="R3573" s="12">
        <f>IF($J3573=0,0,ROUND(MAX($J3573*1.4*1.5*1.6*1.6,13100000*(1.429962^(MIN($E3573,123)-117)))*1,0))</f>
        <v>230093</v>
      </c>
      <c r="S3573" s="13">
        <f>$E3573+8</f>
        <v>112</v>
      </c>
      <c r="T3573" s="14">
        <f>IF($J3573=0,0,ROUND(MAX($J3573*1.4*1.5*1.6*1.6*2.2,42600000*(1.576904^(MIN($E3573,123)-117)))*1,0))</f>
        <v>506204</v>
      </c>
      <c r="U3573" s="11">
        <f>$E3573+11</f>
        <v>115</v>
      </c>
      <c r="V3573" s="12">
        <f>IF($J3573=0,0,ROUND(MAX($J3573*1.4*1.5*1.6*1.6*2.2*2.715,354000000*(1.642074^(MIN($E3573,123)-117)))*1,0))</f>
        <v>1374344</v>
      </c>
      <c r="W3573" s="13">
        <f>$E3573+15</f>
        <v>119</v>
      </c>
      <c r="X3573" s="14">
        <f>IF($J3573=0,0,ROUND(MAX($J3573*1.4*1.5*1.6*1.6*2.2*2.715*2.6,3540000000*(1.579646^(MIN($E3573,123)-117)))*1,0))</f>
        <v>9283810</v>
      </c>
      <c r="Y3573" s="11">
        <f>$E3573+17</f>
        <v>121</v>
      </c>
      <c r="Z3573" s="12">
        <f>IF($J3573=0,0,ROUND(MAX($J3573*1.4*1.5*1.6*1.6*2.2*2.715*2.6*1.4,6020000000*(1.651178^(MIN($E3573,123)-117)))*1,0))</f>
        <v>8877197</v>
      </c>
      <c r="AA3573" s="13">
        <f>$E3573+19</f>
        <v>123</v>
      </c>
      <c r="AB3573" s="14">
        <f>IF($J3573=0,0,ROUND(MAX($J3573*1.4*1.5*1.6*1.6*2.2*2.715*2.6*1.4*1.4,8430000000*(1.651435^(MIN($E3573,123)-117)))*1,0))</f>
        <v>12405900</v>
      </c>
      <c r="AC3573" s="11">
        <f>$E3573+21</f>
        <v>125</v>
      </c>
      <c r="AD3573" s="12">
        <f>IF($J3573=0,0,ROUND(MAX($J3573*1.4*1.5*1.6*1.6*2.2*2.715*2.6*1.4*1.4*1.5,12600000000*(1.652953^(MIN($E3573,123)-117)))*1,0))</f>
        <v>18322468</v>
      </c>
      <c r="AE3573" s="13">
        <f>$E3573+24</f>
        <v>128</v>
      </c>
      <c r="AF3573" s="14">
        <f>IF($J3573=0,0,ROUND(MAX($J3573*1.4*1.5*1.6*1.6*2.2*2.715*2.6*1.4*1.4*1.5*1.5,18900000000*(1.65331^(MIN($E3573,123)-117)))*1,0))</f>
        <v>27406653</v>
      </c>
      <c r="AG3573" s="11">
        <f>$E3573+27</f>
        <v>131</v>
      </c>
      <c r="AH3573" s="12">
        <f>IF($J3573=0,0,ROUND(MAX($J3573*1.4*1.5*1.6*1.6*2.2*2.715*2.6*1.4*1.4*1.5*1.5*3.2,60500000000*(1.654288^(MIN($E3573,123)-117)))*1,0))</f>
        <v>87058428</v>
      </c>
    </row>
    <row r="3574" ht="28" customHeight="1" spans="1:34" x14ac:dyDescent="0.25">
      <c r="A3574">
        <v>3584</v>
      </c>
      <c r="B3574" t="s">
        <v>672</v>
      </c>
      <c r="C3574" s="10" t="s">
        <v>1807</v>
      </c>
      <c r="D3574" t="s">
        <v>33</v>
      </c>
      <c r="E3574">
        <v>104</v>
      </c>
      <c r="F3574" t="s">
        <v>34</v>
      </c>
      <c r="G3574" t="s">
        <v>562</v>
      </c>
      <c r="H3574">
        <v>24</v>
      </c>
      <c r="I3574" s="11">
        <f>$E3574+0</f>
        <v>104</v>
      </c>
      <c r="J3574" s="12">
        <v>8890</v>
      </c>
      <c r="K3574" s="13">
        <f>$E3574+1</f>
        <v>105</v>
      </c>
      <c r="L3574" s="14">
        <f>IF($J3574=0,0,ROUND(MAX($J3574*1.4,1620000*(1.497923^(MIN($E3574,123)-117)))*1,0))</f>
        <v>12446</v>
      </c>
      <c r="M3574" s="11">
        <f>$E3574+2</f>
        <v>106</v>
      </c>
      <c r="N3574" s="12">
        <f>IF($J3574=0,0,ROUND(MAX($J3574*1.4*1.5,2190000*(1.580994^(MIN($E3574,123)-117)))*1,0))</f>
        <v>18669</v>
      </c>
      <c r="O3574" s="13">
        <f>$E3574+4</f>
        <v>108</v>
      </c>
      <c r="P3574" s="14">
        <f>IF($J3574=0,0,ROUND(MAX($J3574*1.4*1.5*1.6,3500000*(1.57975^(MIN($E3574,123)-117)))*1,0))</f>
        <v>29870</v>
      </c>
      <c r="Q3574" s="11">
        <f>$E3574+6</f>
        <v>110</v>
      </c>
      <c r="R3574" s="12">
        <f>IF($J3574=0,0,ROUND(MAX($J3574*1.4*1.5*1.6*1.6,13100000*(1.429962^(MIN($E3574,123)-117)))*1,0))</f>
        <v>125329</v>
      </c>
      <c r="S3574" s="13">
        <f>$E3574+8</f>
        <v>112</v>
      </c>
      <c r="T3574" s="14">
        <f>IF($J3574=0,0,ROUND(MAX($J3574*1.4*1.5*1.6*1.6*2.2,42600000*(1.576904^(MIN($E3574,123)-117)))*1,0))</f>
        <v>114272</v>
      </c>
      <c r="U3574" s="11">
        <f>$E3574+11</f>
        <v>115</v>
      </c>
      <c r="V3574" s="12">
        <f>IF($J3574=0,0,ROUND(MAX($J3574*1.4*1.5*1.6*1.6*2.2*2.715,354000000*(1.642074^(MIN($E3574,123)-117)))*1,0))</f>
        <v>560916</v>
      </c>
      <c r="W3574" s="13">
        <f>$E3574+15</f>
        <v>119</v>
      </c>
      <c r="X3574" s="14">
        <f>IF($J3574=0,0,ROUND(MAX($J3574*1.4*1.5*1.6*1.6*2.2*2.715*2.6,3540000000*(1.579646^(MIN($E3574,123)-117)))*1,0))</f>
        <v>9283810</v>
      </c>
      <c r="Y3574" s="11">
        <f>$E3574+17</f>
        <v>121</v>
      </c>
      <c r="Z3574" s="12">
        <f>IF($J3574=0,0,ROUND(MAX($J3574*1.4*1.5*1.6*1.6*2.2*2.715*2.6*1.4,6020000000*(1.651178^(MIN($E3574,123)-117)))*1,0))</f>
        <v>8877197</v>
      </c>
      <c r="AA3574" s="13">
        <f>$E3574+19</f>
        <v>123</v>
      </c>
      <c r="AB3574" s="14">
        <f>IF($J3574=0,0,ROUND(MAX($J3574*1.4*1.5*1.6*1.6*2.2*2.715*2.6*1.4*1.4,8430000000*(1.651435^(MIN($E3574,123)-117)))*1,0))</f>
        <v>12405900</v>
      </c>
      <c r="AC3574" s="11">
        <f>$E3574+21</f>
        <v>125</v>
      </c>
      <c r="AD3574" s="12">
        <f>IF($J3574=0,0,ROUND(MAX($J3574*1.4*1.5*1.6*1.6*2.2*2.715*2.6*1.4*1.4*1.5,12600000000*(1.652953^(MIN($E3574,123)-117)))*1,0))</f>
        <v>18322468</v>
      </c>
      <c r="AE3574" s="13">
        <f>$E3574+24</f>
        <v>128</v>
      </c>
      <c r="AF3574" s="14">
        <f>IF($J3574=0,0,ROUND(MAX($J3574*1.4*1.5*1.6*1.6*2.2*2.715*2.6*1.4*1.4*1.5*1.5,18900000000*(1.65331^(MIN($E3574,123)-117)))*1,0))</f>
        <v>27406653</v>
      </c>
      <c r="AG3574" s="11">
        <f>$E3574+27</f>
        <v>131</v>
      </c>
      <c r="AH3574" s="12">
        <f>IF($J3574=0,0,ROUND(MAX($J3574*1.4*1.5*1.6*1.6*2.2*2.715*2.6*1.4*1.4*1.5*1.5*3.2,60500000000*(1.654288^(MIN($E3574,123)-117)))*1,0))</f>
        <v>87058428</v>
      </c>
    </row>
    <row r="3575" ht="28" customHeight="1" spans="1:34" x14ac:dyDescent="0.25">
      <c r="A3575">
        <v>3585</v>
      </c>
      <c r="B3575" t="s">
        <v>74</v>
      </c>
      <c r="C3575" s="10" t="s">
        <v>1807</v>
      </c>
      <c r="D3575" t="s">
        <v>75</v>
      </c>
      <c r="E3575">
        <v>104</v>
      </c>
      <c r="F3575" t="s">
        <v>62</v>
      </c>
      <c r="G3575" t="s">
        <v>562</v>
      </c>
      <c r="H3575">
        <v>24</v>
      </c>
      <c r="I3575" s="11">
        <f>$E3575+0</f>
        <v>104</v>
      </c>
      <c r="J3575" s="12">
        <v>22400</v>
      </c>
      <c r="K3575" s="13">
        <f>$E3575+1</f>
        <v>105</v>
      </c>
      <c r="L3575" s="14">
        <f>IF($J3575=0,0,ROUND(MAX($J3575*1.4,1620000*(1.497923^(MIN($E3575,123)-117)))*1,0))</f>
        <v>31360</v>
      </c>
      <c r="M3575" s="11">
        <f>$E3575+2</f>
        <v>106</v>
      </c>
      <c r="N3575" s="12">
        <f>IF($J3575=0,0,ROUND(MAX($J3575*1.4*1.5,2190000*(1.580994^(MIN($E3575,123)-117)))*1,0))</f>
        <v>47040</v>
      </c>
      <c r="O3575" s="13">
        <f>$E3575+4</f>
        <v>108</v>
      </c>
      <c r="P3575" s="14">
        <f>IF($J3575=0,0,ROUND(MAX($J3575*1.4*1.5*1.6,3500000*(1.57975^(MIN($E3575,123)-117)))*1,0))</f>
        <v>75264</v>
      </c>
      <c r="Q3575" s="11">
        <f>$E3575+6</f>
        <v>110</v>
      </c>
      <c r="R3575" s="12">
        <f>IF($J3575=0,0,ROUND(MAX($J3575*1.4*1.5*1.6*1.6,13100000*(1.429962^(MIN($E3575,123)-117)))*1,0))</f>
        <v>125329</v>
      </c>
      <c r="S3575" s="13">
        <f>$E3575+8</f>
        <v>112</v>
      </c>
      <c r="T3575" s="14">
        <f>IF($J3575=0,0,ROUND(MAX($J3575*1.4*1.5*1.6*1.6*2.2,42600000*(1.576904^(MIN($E3575,123)-117)))*1,0))</f>
        <v>264929</v>
      </c>
      <c r="U3575" s="11">
        <f>$E3575+11</f>
        <v>115</v>
      </c>
      <c r="V3575" s="12">
        <f>IF($J3575=0,0,ROUND(MAX($J3575*1.4*1.5*1.6*1.6*2.2*2.715,354000000*(1.642074^(MIN($E3575,123)-117)))*1,0))</f>
        <v>719283</v>
      </c>
      <c r="W3575" s="13">
        <f>$E3575+15</f>
        <v>119</v>
      </c>
      <c r="X3575" s="14">
        <f>IF($J3575=0,0,ROUND(MAX($J3575*1.4*1.5*1.6*1.6*2.2*2.715*2.6,3540000000*(1.579646^(MIN($E3575,123)-117)))*1,0))</f>
        <v>9283810</v>
      </c>
      <c r="Y3575" s="11">
        <f>$E3575+17</f>
        <v>121</v>
      </c>
      <c r="Z3575" s="12">
        <f>IF($J3575=0,0,ROUND(MAX($J3575*1.4*1.5*1.6*1.6*2.2*2.715*2.6*1.4,6020000000*(1.651178^(MIN($E3575,123)-117)))*1,0))</f>
        <v>8877197</v>
      </c>
      <c r="AA3575" s="13">
        <f>$E3575+19</f>
        <v>123</v>
      </c>
      <c r="AB3575" s="14">
        <f>IF($J3575=0,0,ROUND(MAX($J3575*1.4*1.5*1.6*1.6*2.2*2.715*2.6*1.4*1.4,8430000000*(1.651435^(MIN($E3575,123)-117)))*1,0))</f>
        <v>12405900</v>
      </c>
      <c r="AC3575" s="11">
        <f>$E3575+21</f>
        <v>125</v>
      </c>
      <c r="AD3575" s="12">
        <f>IF($J3575=0,0,ROUND(MAX($J3575*1.4*1.5*1.6*1.6*2.2*2.715*2.6*1.4*1.4*1.5,12600000000*(1.652953^(MIN($E3575,123)-117)))*1,0))</f>
        <v>18322468</v>
      </c>
      <c r="AE3575" s="13">
        <f>$E3575+24</f>
        <v>128</v>
      </c>
      <c r="AF3575" s="14">
        <f>IF($J3575=0,0,ROUND(MAX($J3575*1.4*1.5*1.6*1.6*2.2*2.715*2.6*1.4*1.4*1.5*1.5,18900000000*(1.65331^(MIN($E3575,123)-117)))*1,0))</f>
        <v>27406653</v>
      </c>
      <c r="AG3575" s="11">
        <f>$E3575+27</f>
        <v>131</v>
      </c>
      <c r="AH3575" s="12">
        <f>IF($J3575=0,0,ROUND(MAX($J3575*1.4*1.5*1.6*1.6*2.2*2.715*2.6*1.4*1.4*1.5*1.5*3.2,60500000000*(1.654288^(MIN($E3575,123)-117)))*1,0))</f>
        <v>87058428</v>
      </c>
    </row>
    <row r="3576" ht="28" customHeight="1" spans="1:34" x14ac:dyDescent="0.25">
      <c r="A3576">
        <v>3586</v>
      </c>
      <c r="B3576" t="s">
        <v>177</v>
      </c>
      <c r="C3576" s="10" t="s">
        <v>1807</v>
      </c>
      <c r="D3576" t="s">
        <v>25</v>
      </c>
      <c r="E3576">
        <v>104</v>
      </c>
      <c r="F3576" t="s">
        <v>146</v>
      </c>
      <c r="G3576" t="s">
        <v>562</v>
      </c>
      <c r="H3576">
        <v>23</v>
      </c>
      <c r="I3576" s="11">
        <f>$E3576+0</f>
        <v>104</v>
      </c>
      <c r="J3576" s="12">
        <v>7560</v>
      </c>
      <c r="K3576" s="13">
        <f>$E3576+1</f>
        <v>105</v>
      </c>
      <c r="L3576" s="14">
        <f>IF($J3576=0,0,ROUND(MAX($J3576*1.4,1620000*(1.497923^(MIN($E3576,123)-117)))*1,0))</f>
        <v>10584</v>
      </c>
      <c r="M3576" s="11">
        <f>$E3576+2</f>
        <v>106</v>
      </c>
      <c r="N3576" s="12">
        <f>IF($J3576=0,0,ROUND(MAX($J3576*1.4*1.5,2190000*(1.580994^(MIN($E3576,123)-117)))*1,0))</f>
        <v>15876</v>
      </c>
      <c r="O3576" s="13">
        <f>$E3576+4</f>
        <v>108</v>
      </c>
      <c r="P3576" s="14">
        <f>IF($J3576=0,0,ROUND(MAX($J3576*1.4*1.5*1.6,3500000*(1.57975^(MIN($E3576,123)-117)))*1,0))</f>
        <v>25402</v>
      </c>
      <c r="Q3576" s="11">
        <f>$E3576+6</f>
        <v>110</v>
      </c>
      <c r="R3576" s="12">
        <f>IF($J3576=0,0,ROUND(MAX($J3576*1.4*1.5*1.6*1.6,13100000*(1.429962^(MIN($E3576,123)-117)))*1,0))</f>
        <v>125329</v>
      </c>
      <c r="S3576" s="13">
        <f>$E3576+8</f>
        <v>112</v>
      </c>
      <c r="T3576" s="14">
        <f>IF($J3576=0,0,ROUND(MAX($J3576*1.4*1.5*1.6*1.6*2.2,42600000*(1.576904^(MIN($E3576,123)-117)))*1,0))</f>
        <v>114272</v>
      </c>
      <c r="U3576" s="11">
        <f>$E3576+11</f>
        <v>115</v>
      </c>
      <c r="V3576" s="12">
        <f>IF($J3576=0,0,ROUND(MAX($J3576*1.4*1.5*1.6*1.6*2.2*2.715,354000000*(1.642074^(MIN($E3576,123)-117)))*1,0))</f>
        <v>560916</v>
      </c>
      <c r="W3576" s="13">
        <f>$E3576+15</f>
        <v>119</v>
      </c>
      <c r="X3576" s="14">
        <f>IF($J3576=0,0,ROUND(MAX($J3576*1.4*1.5*1.6*1.6*2.2*2.715*2.6,3540000000*(1.579646^(MIN($E3576,123)-117)))*1,0))</f>
        <v>9283810</v>
      </c>
      <c r="Y3576" s="11">
        <f>$E3576+17</f>
        <v>121</v>
      </c>
      <c r="Z3576" s="12">
        <f>IF($J3576=0,0,ROUND(MAX($J3576*1.4*1.5*1.6*1.6*2.2*2.715*2.6*1.4,6020000000*(1.651178^(MIN($E3576,123)-117)))*1,0))</f>
        <v>8877197</v>
      </c>
      <c r="AA3576" s="13">
        <f>$E3576+19</f>
        <v>123</v>
      </c>
      <c r="AB3576" s="14">
        <f>IF($J3576=0,0,ROUND(MAX($J3576*1.4*1.5*1.6*1.6*2.2*2.715*2.6*1.4*1.4,8430000000*(1.651435^(MIN($E3576,123)-117)))*1,0))</f>
        <v>12405900</v>
      </c>
      <c r="AC3576" s="11">
        <f>$E3576+21</f>
        <v>125</v>
      </c>
      <c r="AD3576" s="12">
        <f>IF($J3576=0,0,ROUND(MAX($J3576*1.4*1.5*1.6*1.6*2.2*2.715*2.6*1.4*1.4*1.5,12600000000*(1.652953^(MIN($E3576,123)-117)))*1,0))</f>
        <v>18322468</v>
      </c>
      <c r="AE3576" s="13">
        <f>$E3576+24</f>
        <v>128</v>
      </c>
      <c r="AF3576" s="14">
        <f>IF($J3576=0,0,ROUND(MAX($J3576*1.4*1.5*1.6*1.6*2.2*2.715*2.6*1.4*1.4*1.5*1.5,18900000000*(1.65331^(MIN($E3576,123)-117)))*1,0))</f>
        <v>27406653</v>
      </c>
      <c r="AG3576" s="11">
        <f>$E3576+27</f>
        <v>131</v>
      </c>
      <c r="AH3576" s="12">
        <f>IF($J3576=0,0,ROUND(MAX($J3576*1.4*1.5*1.6*1.6*2.2*2.715*2.6*1.4*1.4*1.5*1.5*3.2,60500000000*(1.654288^(MIN($E3576,123)-117)))*1,0))</f>
        <v>87058428</v>
      </c>
    </row>
    <row r="3577" ht="28" customHeight="1" spans="1:34" x14ac:dyDescent="0.25">
      <c r="A3577">
        <v>3587</v>
      </c>
      <c r="B3577" t="s">
        <v>1161</v>
      </c>
      <c r="C3577" s="10" t="s">
        <v>1807</v>
      </c>
      <c r="D3577" t="s">
        <v>64</v>
      </c>
      <c r="E3577">
        <v>104</v>
      </c>
      <c r="F3577" t="s">
        <v>59</v>
      </c>
      <c r="G3577" t="s">
        <v>185</v>
      </c>
      <c r="H3577">
        <v>23</v>
      </c>
      <c r="I3577" s="11">
        <f>$E3577+0</f>
        <v>104</v>
      </c>
      <c r="J3577" s="12">
        <v>9400</v>
      </c>
      <c r="K3577" s="13">
        <f>$E3577+1</f>
        <v>105</v>
      </c>
      <c r="L3577" s="14">
        <f>IF($J3577=0,0,ROUND(MAX($J3577*1.4,1620000*(1.497923^(MIN($E3577,123)-117)))*1,0))</f>
        <v>13160</v>
      </c>
      <c r="M3577" s="11">
        <f>$E3577+2</f>
        <v>106</v>
      </c>
      <c r="N3577" s="12">
        <f>IF($J3577=0,0,ROUND(MAX($J3577*1.4*1.5,2190000*(1.580994^(MIN($E3577,123)-117)))*1,0))</f>
        <v>19740</v>
      </c>
      <c r="O3577" s="13">
        <f>$E3577+4</f>
        <v>108</v>
      </c>
      <c r="P3577" s="14">
        <f>IF($J3577=0,0,ROUND(MAX($J3577*1.4*1.5*1.6,3500000*(1.57975^(MIN($E3577,123)-117)))*1,0))</f>
        <v>31584</v>
      </c>
      <c r="Q3577" s="11">
        <f>$E3577+6</f>
        <v>110</v>
      </c>
      <c r="R3577" s="12">
        <f>IF($J3577=0,0,ROUND(MAX($J3577*1.4*1.5*1.6*1.6,13100000*(1.429962^(MIN($E3577,123)-117)))*1,0))</f>
        <v>125329</v>
      </c>
      <c r="S3577" s="13">
        <f>$E3577+8</f>
        <v>112</v>
      </c>
      <c r="T3577" s="14">
        <f>IF($J3577=0,0,ROUND(MAX($J3577*1.4*1.5*1.6*1.6*2.2,42600000*(1.576904^(MIN($E3577,123)-117)))*1,0))</f>
        <v>114272</v>
      </c>
      <c r="U3577" s="11">
        <f>$E3577+11</f>
        <v>115</v>
      </c>
      <c r="V3577" s="12">
        <f>IF($J3577=0,0,ROUND(MAX($J3577*1.4*1.5*1.6*1.6*2.2*2.715,354000000*(1.642074^(MIN($E3577,123)-117)))*1,0))</f>
        <v>560916</v>
      </c>
      <c r="W3577" s="13">
        <f>$E3577+15</f>
        <v>119</v>
      </c>
      <c r="X3577" s="14">
        <f>IF($J3577=0,0,ROUND(MAX($J3577*1.4*1.5*1.6*1.6*2.2*2.715*2.6,3540000000*(1.579646^(MIN($E3577,123)-117)))*1,0))</f>
        <v>9283810</v>
      </c>
      <c r="Y3577" s="11">
        <f>$E3577+17</f>
        <v>121</v>
      </c>
      <c r="Z3577" s="12">
        <f>IF($J3577=0,0,ROUND(MAX($J3577*1.4*1.5*1.6*1.6*2.2*2.715*2.6*1.4,6020000000*(1.651178^(MIN($E3577,123)-117)))*1,0))</f>
        <v>8877197</v>
      </c>
      <c r="AA3577" s="13">
        <f>$E3577+19</f>
        <v>123</v>
      </c>
      <c r="AB3577" s="14">
        <f>IF($J3577=0,0,ROUND(MAX($J3577*1.4*1.5*1.6*1.6*2.2*2.715*2.6*1.4*1.4,8430000000*(1.651435^(MIN($E3577,123)-117)))*1,0))</f>
        <v>12405900</v>
      </c>
      <c r="AC3577" s="11">
        <f>$E3577+21</f>
        <v>125</v>
      </c>
      <c r="AD3577" s="12">
        <f>IF($J3577=0,0,ROUND(MAX($J3577*1.4*1.5*1.6*1.6*2.2*2.715*2.6*1.4*1.4*1.5,12600000000*(1.652953^(MIN($E3577,123)-117)))*1,0))</f>
        <v>18322468</v>
      </c>
      <c r="AE3577" s="13">
        <f>$E3577+24</f>
        <v>128</v>
      </c>
      <c r="AF3577" s="14">
        <f>IF($J3577=0,0,ROUND(MAX($J3577*1.4*1.5*1.6*1.6*2.2*2.715*2.6*1.4*1.4*1.5*1.5,18900000000*(1.65331^(MIN($E3577,123)-117)))*1,0))</f>
        <v>27406653</v>
      </c>
      <c r="AG3577" s="11">
        <f>$E3577+27</f>
        <v>131</v>
      </c>
      <c r="AH3577" s="12">
        <f>IF($J3577=0,0,ROUND(MAX($J3577*1.4*1.5*1.6*1.6*2.2*2.715*2.6*1.4*1.4*1.5*1.5*3.2,60500000000*(1.654288^(MIN($E3577,123)-117)))*1,0))</f>
        <v>87058428</v>
      </c>
    </row>
    <row r="3578" ht="28" customHeight="1" spans="1:34" x14ac:dyDescent="0.25">
      <c r="A3578">
        <v>3588</v>
      </c>
      <c r="B3578" t="s">
        <v>101</v>
      </c>
      <c r="C3578" s="10" t="s">
        <v>1807</v>
      </c>
      <c r="D3578" t="s">
        <v>102</v>
      </c>
      <c r="E3578">
        <v>104</v>
      </c>
      <c r="F3578" t="s">
        <v>42</v>
      </c>
      <c r="G3578" t="s">
        <v>562</v>
      </c>
      <c r="H3578">
        <v>23</v>
      </c>
      <c r="I3578" s="11">
        <f>$E3578+0</f>
        <v>104</v>
      </c>
      <c r="J3578" s="12">
        <v>12600</v>
      </c>
      <c r="K3578" s="13">
        <f>$E3578+1</f>
        <v>105</v>
      </c>
      <c r="L3578" s="14">
        <f>IF($J3578=0,0,ROUND(MAX($J3578*1.4,1620000*(1.497923^(MIN($E3578,123)-117)))*1,0))</f>
        <v>17640</v>
      </c>
      <c r="M3578" s="11">
        <f>$E3578+2</f>
        <v>106</v>
      </c>
      <c r="N3578" s="12">
        <f>IF($J3578=0,0,ROUND(MAX($J3578*1.4*1.5,2190000*(1.580994^(MIN($E3578,123)-117)))*1,0))</f>
        <v>26460</v>
      </c>
      <c r="O3578" s="13">
        <f>$E3578+4</f>
        <v>108</v>
      </c>
      <c r="P3578" s="14">
        <f>IF($J3578=0,0,ROUND(MAX($J3578*1.4*1.5*1.6,3500000*(1.57975^(MIN($E3578,123)-117)))*1,0))</f>
        <v>42336</v>
      </c>
      <c r="Q3578" s="11">
        <f>$E3578+6</f>
        <v>110</v>
      </c>
      <c r="R3578" s="12">
        <f>IF($J3578=0,0,ROUND(MAX($J3578*1.4*1.5*1.6*1.6,13100000*(1.429962^(MIN($E3578,123)-117)))*1,0))</f>
        <v>125329</v>
      </c>
      <c r="S3578" s="13">
        <f>$E3578+8</f>
        <v>112</v>
      </c>
      <c r="T3578" s="14">
        <f>IF($J3578=0,0,ROUND(MAX($J3578*1.4*1.5*1.6*1.6*2.2,42600000*(1.576904^(MIN($E3578,123)-117)))*1,0))</f>
        <v>149023</v>
      </c>
      <c r="U3578" s="11">
        <f>$E3578+11</f>
        <v>115</v>
      </c>
      <c r="V3578" s="12">
        <f>IF($J3578=0,0,ROUND(MAX($J3578*1.4*1.5*1.6*1.6*2.2*2.715,354000000*(1.642074^(MIN($E3578,123)-117)))*1,0))</f>
        <v>560916</v>
      </c>
      <c r="W3578" s="13">
        <f>$E3578+15</f>
        <v>119</v>
      </c>
      <c r="X3578" s="14">
        <f>IF($J3578=0,0,ROUND(MAX($J3578*1.4*1.5*1.6*1.6*2.2*2.715*2.6,3540000000*(1.579646^(MIN($E3578,123)-117)))*1,0))</f>
        <v>9283810</v>
      </c>
      <c r="Y3578" s="11">
        <f>$E3578+17</f>
        <v>121</v>
      </c>
      <c r="Z3578" s="12">
        <f>IF($J3578=0,0,ROUND(MAX($J3578*1.4*1.5*1.6*1.6*2.2*2.715*2.6*1.4,6020000000*(1.651178^(MIN($E3578,123)-117)))*1,0))</f>
        <v>8877197</v>
      </c>
      <c r="AA3578" s="13">
        <f>$E3578+19</f>
        <v>123</v>
      </c>
      <c r="AB3578" s="14">
        <f>IF($J3578=0,0,ROUND(MAX($J3578*1.4*1.5*1.6*1.6*2.2*2.715*2.6*1.4*1.4,8430000000*(1.651435^(MIN($E3578,123)-117)))*1,0))</f>
        <v>12405900</v>
      </c>
      <c r="AC3578" s="11">
        <f>$E3578+21</f>
        <v>125</v>
      </c>
      <c r="AD3578" s="12">
        <f>IF($J3578=0,0,ROUND(MAX($J3578*1.4*1.5*1.6*1.6*2.2*2.715*2.6*1.4*1.4*1.5,12600000000*(1.652953^(MIN($E3578,123)-117)))*1,0))</f>
        <v>18322468</v>
      </c>
      <c r="AE3578" s="13">
        <f>$E3578+24</f>
        <v>128</v>
      </c>
      <c r="AF3578" s="14">
        <f>IF($J3578=0,0,ROUND(MAX($J3578*1.4*1.5*1.6*1.6*2.2*2.715*2.6*1.4*1.4*1.5*1.5,18900000000*(1.65331^(MIN($E3578,123)-117)))*1,0))</f>
        <v>27406653</v>
      </c>
      <c r="AG3578" s="11">
        <f>$E3578+27</f>
        <v>131</v>
      </c>
      <c r="AH3578" s="12">
        <f>IF($J3578=0,0,ROUND(MAX($J3578*1.4*1.5*1.6*1.6*2.2*2.715*2.6*1.4*1.4*1.5*1.5*3.2,60500000000*(1.654288^(MIN($E3578,123)-117)))*1,0))</f>
        <v>87058428</v>
      </c>
    </row>
    <row r="3579" ht="28" customHeight="1" spans="1:34" x14ac:dyDescent="0.25">
      <c r="A3579">
        <v>3589</v>
      </c>
      <c r="B3579" t="s">
        <v>624</v>
      </c>
      <c r="C3579" s="10" t="s">
        <v>1807</v>
      </c>
      <c r="D3579" t="s">
        <v>29</v>
      </c>
      <c r="E3579">
        <v>104</v>
      </c>
      <c r="F3579" t="s">
        <v>26</v>
      </c>
      <c r="G3579" t="s">
        <v>104</v>
      </c>
      <c r="H3579">
        <v>23</v>
      </c>
      <c r="I3579" s="11">
        <f>$E3579+0</f>
        <v>104</v>
      </c>
      <c r="J3579" s="12">
        <v>10900</v>
      </c>
      <c r="K3579" s="13">
        <f>$E3579+1</f>
        <v>105</v>
      </c>
      <c r="L3579" s="14">
        <f>IF($J3579=0,0,ROUND(MAX($J3579*1.4,1620000*(1.497923^(MIN($E3579,123)-117)))*1,0))</f>
        <v>15260</v>
      </c>
      <c r="M3579" s="11">
        <f>$E3579+2</f>
        <v>106</v>
      </c>
      <c r="N3579" s="12">
        <f>IF($J3579=0,0,ROUND(MAX($J3579*1.4*1.5,2190000*(1.580994^(MIN($E3579,123)-117)))*1,0))</f>
        <v>22890</v>
      </c>
      <c r="O3579" s="13">
        <f>$E3579+4</f>
        <v>108</v>
      </c>
      <c r="P3579" s="14">
        <f>IF($J3579=0,0,ROUND(MAX($J3579*1.4*1.5*1.6,3500000*(1.57975^(MIN($E3579,123)-117)))*1,0))</f>
        <v>36624</v>
      </c>
      <c r="Q3579" s="11">
        <f>$E3579+6</f>
        <v>110</v>
      </c>
      <c r="R3579" s="12">
        <f>IF($J3579=0,0,ROUND(MAX($J3579*1.4*1.5*1.6*1.6,13100000*(1.429962^(MIN($E3579,123)-117)))*1,0))</f>
        <v>125329</v>
      </c>
      <c r="S3579" s="13">
        <f>$E3579+8</f>
        <v>112</v>
      </c>
      <c r="T3579" s="14">
        <f>IF($J3579=0,0,ROUND(MAX($J3579*1.4*1.5*1.6*1.6*2.2,42600000*(1.576904^(MIN($E3579,123)-117)))*1,0))</f>
        <v>128916</v>
      </c>
      <c r="U3579" s="11">
        <f>$E3579+11</f>
        <v>115</v>
      </c>
      <c r="V3579" s="12">
        <f>IF($J3579=0,0,ROUND(MAX($J3579*1.4*1.5*1.6*1.6*2.2*2.715,354000000*(1.642074^(MIN($E3579,123)-117)))*1,0))</f>
        <v>560916</v>
      </c>
      <c r="W3579" s="13">
        <f>$E3579+15</f>
        <v>119</v>
      </c>
      <c r="X3579" s="14">
        <f>IF($J3579=0,0,ROUND(MAX($J3579*1.4*1.5*1.6*1.6*2.2*2.715*2.6,3540000000*(1.579646^(MIN($E3579,123)-117)))*1,0))</f>
        <v>9283810</v>
      </c>
      <c r="Y3579" s="11">
        <f>$E3579+17</f>
        <v>121</v>
      </c>
      <c r="Z3579" s="12">
        <f>IF($J3579=0,0,ROUND(MAX($J3579*1.4*1.5*1.6*1.6*2.2*2.715*2.6*1.4,6020000000*(1.651178^(MIN($E3579,123)-117)))*1,0))</f>
        <v>8877197</v>
      </c>
      <c r="AA3579" s="13">
        <f>$E3579+19</f>
        <v>123</v>
      </c>
      <c r="AB3579" s="14">
        <f>IF($J3579=0,0,ROUND(MAX($J3579*1.4*1.5*1.6*1.6*2.2*2.715*2.6*1.4*1.4,8430000000*(1.651435^(MIN($E3579,123)-117)))*1,0))</f>
        <v>12405900</v>
      </c>
      <c r="AC3579" s="11">
        <f>$E3579+21</f>
        <v>125</v>
      </c>
      <c r="AD3579" s="12">
        <f>IF($J3579=0,0,ROUND(MAX($J3579*1.4*1.5*1.6*1.6*2.2*2.715*2.6*1.4*1.4*1.5,12600000000*(1.652953^(MIN($E3579,123)-117)))*1,0))</f>
        <v>18322468</v>
      </c>
      <c r="AE3579" s="13">
        <f>$E3579+24</f>
        <v>128</v>
      </c>
      <c r="AF3579" s="14">
        <f>IF($J3579=0,0,ROUND(MAX($J3579*1.4*1.5*1.6*1.6*2.2*2.715*2.6*1.4*1.4*1.5*1.5,18900000000*(1.65331^(MIN($E3579,123)-117)))*1,0))</f>
        <v>27406653</v>
      </c>
      <c r="AG3579" s="11">
        <f>$E3579+27</f>
        <v>131</v>
      </c>
      <c r="AH3579" s="12">
        <f>IF($J3579=0,0,ROUND(MAX($J3579*1.4*1.5*1.6*1.6*2.2*2.715*2.6*1.4*1.4*1.5*1.5*3.2,60500000000*(1.654288^(MIN($E3579,123)-117)))*1,0))</f>
        <v>87058428</v>
      </c>
    </row>
    <row r="3580" ht="28" customHeight="1" spans="1:34" x14ac:dyDescent="0.25">
      <c r="A3580">
        <v>3590</v>
      </c>
      <c r="B3580" t="s">
        <v>777</v>
      </c>
      <c r="C3580" s="10" t="s">
        <v>1807</v>
      </c>
      <c r="D3580" t="s">
        <v>64</v>
      </c>
      <c r="E3580">
        <v>104</v>
      </c>
      <c r="F3580" t="s">
        <v>71</v>
      </c>
      <c r="G3580" t="s">
        <v>124</v>
      </c>
      <c r="H3580">
        <v>23</v>
      </c>
      <c r="I3580" s="11">
        <f>$E3580+0</f>
        <v>104</v>
      </c>
      <c r="J3580" s="12">
        <v>20000</v>
      </c>
      <c r="K3580" s="13">
        <f>$E3580+1</f>
        <v>105</v>
      </c>
      <c r="L3580" s="14">
        <f>IF($J3580=0,0,ROUND(MAX($J3580*1.4,1620000*(1.497923^(MIN($E3580,123)-117)))*1,0))</f>
        <v>28000</v>
      </c>
      <c r="M3580" s="11">
        <f>$E3580+2</f>
        <v>106</v>
      </c>
      <c r="N3580" s="12">
        <f>IF($J3580=0,0,ROUND(MAX($J3580*1.4*1.5,2190000*(1.580994^(MIN($E3580,123)-117)))*1,0))</f>
        <v>42000</v>
      </c>
      <c r="O3580" s="13">
        <f>$E3580+4</f>
        <v>108</v>
      </c>
      <c r="P3580" s="14">
        <f>IF($J3580=0,0,ROUND(MAX($J3580*1.4*1.5*1.6,3500000*(1.57975^(MIN($E3580,123)-117)))*1,0))</f>
        <v>67200</v>
      </c>
      <c r="Q3580" s="11">
        <f>$E3580+6</f>
        <v>110</v>
      </c>
      <c r="R3580" s="12">
        <f>IF($J3580=0,0,ROUND(MAX($J3580*1.4*1.5*1.6*1.6,13100000*(1.429962^(MIN($E3580,123)-117)))*1,0))</f>
        <v>125329</v>
      </c>
      <c r="S3580" s="13">
        <f>$E3580+8</f>
        <v>112</v>
      </c>
      <c r="T3580" s="14">
        <f>IF($J3580=0,0,ROUND(MAX($J3580*1.4*1.5*1.6*1.6*2.2,42600000*(1.576904^(MIN($E3580,123)-117)))*1,0))</f>
        <v>236544</v>
      </c>
      <c r="U3580" s="11">
        <f>$E3580+11</f>
        <v>115</v>
      </c>
      <c r="V3580" s="12">
        <f>IF($J3580=0,0,ROUND(MAX($J3580*1.4*1.5*1.6*1.6*2.2*2.715,354000000*(1.642074^(MIN($E3580,123)-117)))*1,0))</f>
        <v>642217</v>
      </c>
      <c r="W3580" s="13">
        <f>$E3580+15</f>
        <v>119</v>
      </c>
      <c r="X3580" s="14">
        <f>IF($J3580=0,0,ROUND(MAX($J3580*1.4*1.5*1.6*1.6*2.2*2.715*2.6,3540000000*(1.579646^(MIN($E3580,123)-117)))*1,0))</f>
        <v>9283810</v>
      </c>
      <c r="Y3580" s="11">
        <f>$E3580+17</f>
        <v>121</v>
      </c>
      <c r="Z3580" s="12">
        <f>IF($J3580=0,0,ROUND(MAX($J3580*1.4*1.5*1.6*1.6*2.2*2.715*2.6*1.4,6020000000*(1.651178^(MIN($E3580,123)-117)))*1,0))</f>
        <v>8877197</v>
      </c>
      <c r="AA3580" s="13">
        <f>$E3580+19</f>
        <v>123</v>
      </c>
      <c r="AB3580" s="14">
        <f>IF($J3580=0,0,ROUND(MAX($J3580*1.4*1.5*1.6*1.6*2.2*2.715*2.6*1.4*1.4,8430000000*(1.651435^(MIN($E3580,123)-117)))*1,0))</f>
        <v>12405900</v>
      </c>
      <c r="AC3580" s="11">
        <f>$E3580+21</f>
        <v>125</v>
      </c>
      <c r="AD3580" s="12">
        <f>IF($J3580=0,0,ROUND(MAX($J3580*1.4*1.5*1.6*1.6*2.2*2.715*2.6*1.4*1.4*1.5,12600000000*(1.652953^(MIN($E3580,123)-117)))*1,0))</f>
        <v>18322468</v>
      </c>
      <c r="AE3580" s="13">
        <f>$E3580+24</f>
        <v>128</v>
      </c>
      <c r="AF3580" s="14">
        <f>IF($J3580=0,0,ROUND(MAX($J3580*1.4*1.5*1.6*1.6*2.2*2.715*2.6*1.4*1.4*1.5*1.5,18900000000*(1.65331^(MIN($E3580,123)-117)))*1,0))</f>
        <v>27406653</v>
      </c>
      <c r="AG3580" s="11">
        <f>$E3580+27</f>
        <v>131</v>
      </c>
      <c r="AH3580" s="12">
        <f>IF($J3580=0,0,ROUND(MAX($J3580*1.4*1.5*1.6*1.6*2.2*2.715*2.6*1.4*1.4*1.5*1.5*3.2,60500000000*(1.654288^(MIN($E3580,123)-117)))*1,0))</f>
        <v>87058428</v>
      </c>
    </row>
    <row r="3581" ht="28" customHeight="1" spans="1:34" x14ac:dyDescent="0.25">
      <c r="A3581">
        <v>3591</v>
      </c>
      <c r="B3581" t="s">
        <v>786</v>
      </c>
      <c r="C3581" s="10" t="s">
        <v>1807</v>
      </c>
      <c r="D3581" t="s">
        <v>45</v>
      </c>
      <c r="E3581">
        <v>104</v>
      </c>
      <c r="F3581" t="s">
        <v>212</v>
      </c>
      <c r="G3581" t="s">
        <v>185</v>
      </c>
      <c r="H3581">
        <v>23</v>
      </c>
      <c r="I3581" s="11">
        <f>$E3581+0</f>
        <v>104</v>
      </c>
      <c r="J3581" s="12">
        <v>8820</v>
      </c>
      <c r="K3581" s="13">
        <f>$E3581+1</f>
        <v>105</v>
      </c>
      <c r="L3581" s="14">
        <f>IF($J3581=0,0,ROUND(MAX($J3581*1.4,1620000*(1.497923^(MIN($E3581,123)-117)))*1,0))</f>
        <v>12348</v>
      </c>
      <c r="M3581" s="11">
        <f>$E3581+2</f>
        <v>106</v>
      </c>
      <c r="N3581" s="12">
        <f>IF($J3581=0,0,ROUND(MAX($J3581*1.4*1.5,2190000*(1.580994^(MIN($E3581,123)-117)))*1,0))</f>
        <v>18522</v>
      </c>
      <c r="O3581" s="13">
        <f>$E3581+4</f>
        <v>108</v>
      </c>
      <c r="P3581" s="14">
        <f>IF($J3581=0,0,ROUND(MAX($J3581*1.4*1.5*1.6,3500000*(1.57975^(MIN($E3581,123)-117)))*1,0))</f>
        <v>29635</v>
      </c>
      <c r="Q3581" s="11">
        <f>$E3581+6</f>
        <v>110</v>
      </c>
      <c r="R3581" s="12">
        <f>IF($J3581=0,0,ROUND(MAX($J3581*1.4*1.5*1.6*1.6,13100000*(1.429962^(MIN($E3581,123)-117)))*1,0))</f>
        <v>125329</v>
      </c>
      <c r="S3581" s="13">
        <f>$E3581+8</f>
        <v>112</v>
      </c>
      <c r="T3581" s="14">
        <f>IF($J3581=0,0,ROUND(MAX($J3581*1.4*1.5*1.6*1.6*2.2,42600000*(1.576904^(MIN($E3581,123)-117)))*1,0))</f>
        <v>114272</v>
      </c>
      <c r="U3581" s="11">
        <f>$E3581+11</f>
        <v>115</v>
      </c>
      <c r="V3581" s="12">
        <f>IF($J3581=0,0,ROUND(MAX($J3581*1.4*1.5*1.6*1.6*2.2*2.715,354000000*(1.642074^(MIN($E3581,123)-117)))*1,0))</f>
        <v>560916</v>
      </c>
      <c r="W3581" s="13">
        <f>$E3581+15</f>
        <v>119</v>
      </c>
      <c r="X3581" s="14">
        <f>IF($J3581=0,0,ROUND(MAX($J3581*1.4*1.5*1.6*1.6*2.2*2.715*2.6,3540000000*(1.579646^(MIN($E3581,123)-117)))*1,0))</f>
        <v>9283810</v>
      </c>
      <c r="Y3581" s="11">
        <f>$E3581+17</f>
        <v>121</v>
      </c>
      <c r="Z3581" s="12">
        <f>IF($J3581=0,0,ROUND(MAX($J3581*1.4*1.5*1.6*1.6*2.2*2.715*2.6*1.4,6020000000*(1.651178^(MIN($E3581,123)-117)))*1,0))</f>
        <v>8877197</v>
      </c>
      <c r="AA3581" s="13">
        <f>$E3581+19</f>
        <v>123</v>
      </c>
      <c r="AB3581" s="14">
        <f>IF($J3581=0,0,ROUND(MAX($J3581*1.4*1.5*1.6*1.6*2.2*2.715*2.6*1.4*1.4,8430000000*(1.651435^(MIN($E3581,123)-117)))*1,0))</f>
        <v>12405900</v>
      </c>
      <c r="AC3581" s="11">
        <f>$E3581+21</f>
        <v>125</v>
      </c>
      <c r="AD3581" s="12">
        <f>IF($J3581=0,0,ROUND(MAX($J3581*1.4*1.5*1.6*1.6*2.2*2.715*2.6*1.4*1.4*1.5,12600000000*(1.652953^(MIN($E3581,123)-117)))*1,0))</f>
        <v>18322468</v>
      </c>
      <c r="AE3581" s="13">
        <f>$E3581+24</f>
        <v>128</v>
      </c>
      <c r="AF3581" s="14">
        <f>IF($J3581=0,0,ROUND(MAX($J3581*1.4*1.5*1.6*1.6*2.2*2.715*2.6*1.4*1.4*1.5*1.5,18900000000*(1.65331^(MIN($E3581,123)-117)))*1,0))</f>
        <v>27406653</v>
      </c>
      <c r="AG3581" s="11">
        <f>$E3581+27</f>
        <v>131</v>
      </c>
      <c r="AH3581" s="12">
        <f>IF($J3581=0,0,ROUND(MAX($J3581*1.4*1.5*1.6*1.6*2.2*2.715*2.6*1.4*1.4*1.5*1.5*3.2,60500000000*(1.654288^(MIN($E3581,123)-117)))*1,0))</f>
        <v>87058428</v>
      </c>
    </row>
    <row r="3582" ht="28" customHeight="1" spans="1:34" x14ac:dyDescent="0.25">
      <c r="A3582">
        <v>3592</v>
      </c>
      <c r="B3582" t="s">
        <v>607</v>
      </c>
      <c r="C3582" s="10" t="s">
        <v>1807</v>
      </c>
      <c r="D3582" t="s">
        <v>33</v>
      </c>
      <c r="E3582">
        <v>104</v>
      </c>
      <c r="F3582" t="s">
        <v>71</v>
      </c>
      <c r="G3582" t="s">
        <v>358</v>
      </c>
      <c r="H3582">
        <v>23</v>
      </c>
      <c r="I3582" s="11">
        <f>$E3582+0</f>
        <v>104</v>
      </c>
      <c r="J3582" s="12">
        <v>10200</v>
      </c>
      <c r="K3582" s="13">
        <f>$E3582+1</f>
        <v>105</v>
      </c>
      <c r="L3582" s="14">
        <f>IF($J3582=0,0,ROUND(MAX($J3582*1.4,1620000*(1.497923^(MIN($E3582,123)-117)))*1,0))</f>
        <v>14280</v>
      </c>
      <c r="M3582" s="11">
        <f>$E3582+2</f>
        <v>106</v>
      </c>
      <c r="N3582" s="12">
        <f>IF($J3582=0,0,ROUND(MAX($J3582*1.4*1.5,2190000*(1.580994^(MIN($E3582,123)-117)))*1,0))</f>
        <v>21420</v>
      </c>
      <c r="O3582" s="13">
        <f>$E3582+4</f>
        <v>108</v>
      </c>
      <c r="P3582" s="14">
        <f>IF($J3582=0,0,ROUND(MAX($J3582*1.4*1.5*1.6,3500000*(1.57975^(MIN($E3582,123)-117)))*1,0))</f>
        <v>34272</v>
      </c>
      <c r="Q3582" s="11">
        <f>$E3582+6</f>
        <v>110</v>
      </c>
      <c r="R3582" s="12">
        <f>IF($J3582=0,0,ROUND(MAX($J3582*1.4*1.5*1.6*1.6,13100000*(1.429962^(MIN($E3582,123)-117)))*1,0))</f>
        <v>125329</v>
      </c>
      <c r="S3582" s="13">
        <f>$E3582+8</f>
        <v>112</v>
      </c>
      <c r="T3582" s="14">
        <f>IF($J3582=0,0,ROUND(MAX($J3582*1.4*1.5*1.6*1.6*2.2,42600000*(1.576904^(MIN($E3582,123)-117)))*1,0))</f>
        <v>120637</v>
      </c>
      <c r="U3582" s="11">
        <f>$E3582+11</f>
        <v>115</v>
      </c>
      <c r="V3582" s="12">
        <f>IF($J3582=0,0,ROUND(MAX($J3582*1.4*1.5*1.6*1.6*2.2*2.715,354000000*(1.642074^(MIN($E3582,123)-117)))*1,0))</f>
        <v>560916</v>
      </c>
      <c r="W3582" s="13">
        <f>$E3582+15</f>
        <v>119</v>
      </c>
      <c r="X3582" s="14">
        <f>IF($J3582=0,0,ROUND(MAX($J3582*1.4*1.5*1.6*1.6*2.2*2.715*2.6,3540000000*(1.579646^(MIN($E3582,123)-117)))*1,0))</f>
        <v>9283810</v>
      </c>
      <c r="Y3582" s="11">
        <f>$E3582+17</f>
        <v>121</v>
      </c>
      <c r="Z3582" s="12">
        <f>IF($J3582=0,0,ROUND(MAX($J3582*1.4*1.5*1.6*1.6*2.2*2.715*2.6*1.4,6020000000*(1.651178^(MIN($E3582,123)-117)))*1,0))</f>
        <v>8877197</v>
      </c>
      <c r="AA3582" s="13">
        <f>$E3582+19</f>
        <v>123</v>
      </c>
      <c r="AB3582" s="14">
        <f>IF($J3582=0,0,ROUND(MAX($J3582*1.4*1.5*1.6*1.6*2.2*2.715*2.6*1.4*1.4,8430000000*(1.651435^(MIN($E3582,123)-117)))*1,0))</f>
        <v>12405900</v>
      </c>
      <c r="AC3582" s="11">
        <f>$E3582+21</f>
        <v>125</v>
      </c>
      <c r="AD3582" s="12">
        <f>IF($J3582=0,0,ROUND(MAX($J3582*1.4*1.5*1.6*1.6*2.2*2.715*2.6*1.4*1.4*1.5,12600000000*(1.652953^(MIN($E3582,123)-117)))*1,0))</f>
        <v>18322468</v>
      </c>
      <c r="AE3582" s="13">
        <f>$E3582+24</f>
        <v>128</v>
      </c>
      <c r="AF3582" s="14">
        <f>IF($J3582=0,0,ROUND(MAX($J3582*1.4*1.5*1.6*1.6*2.2*2.715*2.6*1.4*1.4*1.5*1.5,18900000000*(1.65331^(MIN($E3582,123)-117)))*1,0))</f>
        <v>27406653</v>
      </c>
      <c r="AG3582" s="11">
        <f>$E3582+27</f>
        <v>131</v>
      </c>
      <c r="AH3582" s="12">
        <f>IF($J3582=0,0,ROUND(MAX($J3582*1.4*1.5*1.6*1.6*2.2*2.715*2.6*1.4*1.4*1.5*1.5*3.2,60500000000*(1.654288^(MIN($E3582,123)-117)))*1,0))</f>
        <v>87058428</v>
      </c>
    </row>
    <row r="3583" ht="28" customHeight="1" spans="1:34" x14ac:dyDescent="0.25">
      <c r="A3583">
        <v>3593</v>
      </c>
      <c r="B3583" t="s">
        <v>1786</v>
      </c>
      <c r="C3583" s="10" t="s">
        <v>1807</v>
      </c>
      <c r="D3583" t="s">
        <v>45</v>
      </c>
      <c r="E3583">
        <v>104</v>
      </c>
      <c r="F3583" t="s">
        <v>62</v>
      </c>
      <c r="G3583" t="s">
        <v>562</v>
      </c>
      <c r="H3583">
        <v>23</v>
      </c>
      <c r="I3583" s="11">
        <f>$E3583+0</f>
        <v>104</v>
      </c>
      <c r="J3583" s="12">
        <v>11900</v>
      </c>
      <c r="K3583" s="13">
        <f>$E3583+1</f>
        <v>105</v>
      </c>
      <c r="L3583" s="14">
        <f>IF($J3583=0,0,ROUND(MAX($J3583*1.4,1620000*(1.497923^(MIN($E3583,123)-117)))*1,0))</f>
        <v>16660</v>
      </c>
      <c r="M3583" s="11">
        <f>$E3583+2</f>
        <v>106</v>
      </c>
      <c r="N3583" s="12">
        <f>IF($J3583=0,0,ROUND(MAX($J3583*1.4*1.5,2190000*(1.580994^(MIN($E3583,123)-117)))*1,0))</f>
        <v>24990</v>
      </c>
      <c r="O3583" s="13">
        <f>$E3583+4</f>
        <v>108</v>
      </c>
      <c r="P3583" s="14">
        <f>IF($J3583=0,0,ROUND(MAX($J3583*1.4*1.5*1.6,3500000*(1.57975^(MIN($E3583,123)-117)))*1,0))</f>
        <v>39984</v>
      </c>
      <c r="Q3583" s="11">
        <f>$E3583+6</f>
        <v>110</v>
      </c>
      <c r="R3583" s="12">
        <f>IF($J3583=0,0,ROUND(MAX($J3583*1.4*1.5*1.6*1.6,13100000*(1.429962^(MIN($E3583,123)-117)))*1,0))</f>
        <v>125329</v>
      </c>
      <c r="S3583" s="13">
        <f>$E3583+8</f>
        <v>112</v>
      </c>
      <c r="T3583" s="14">
        <f>IF($J3583=0,0,ROUND(MAX($J3583*1.4*1.5*1.6*1.6*2.2,42600000*(1.576904^(MIN($E3583,123)-117)))*1,0))</f>
        <v>140744</v>
      </c>
      <c r="U3583" s="11">
        <f>$E3583+11</f>
        <v>115</v>
      </c>
      <c r="V3583" s="12">
        <f>IF($J3583=0,0,ROUND(MAX($J3583*1.4*1.5*1.6*1.6*2.2*2.715,354000000*(1.642074^(MIN($E3583,123)-117)))*1,0))</f>
        <v>560916</v>
      </c>
      <c r="W3583" s="13">
        <f>$E3583+15</f>
        <v>119</v>
      </c>
      <c r="X3583" s="14">
        <f>IF($J3583=0,0,ROUND(MAX($J3583*1.4*1.5*1.6*1.6*2.2*2.715*2.6,3540000000*(1.579646^(MIN($E3583,123)-117)))*1,0))</f>
        <v>9283810</v>
      </c>
      <c r="Y3583" s="11">
        <f>$E3583+17</f>
        <v>121</v>
      </c>
      <c r="Z3583" s="12">
        <f>IF($J3583=0,0,ROUND(MAX($J3583*1.4*1.5*1.6*1.6*2.2*2.715*2.6*1.4,6020000000*(1.651178^(MIN($E3583,123)-117)))*1,0))</f>
        <v>8877197</v>
      </c>
      <c r="AA3583" s="13">
        <f>$E3583+19</f>
        <v>123</v>
      </c>
      <c r="AB3583" s="14">
        <f>IF($J3583=0,0,ROUND(MAX($J3583*1.4*1.5*1.6*1.6*2.2*2.715*2.6*1.4*1.4,8430000000*(1.651435^(MIN($E3583,123)-117)))*1,0))</f>
        <v>12405900</v>
      </c>
      <c r="AC3583" s="11">
        <f>$E3583+21</f>
        <v>125</v>
      </c>
      <c r="AD3583" s="12">
        <f>IF($J3583=0,0,ROUND(MAX($J3583*1.4*1.5*1.6*1.6*2.2*2.715*2.6*1.4*1.4*1.5,12600000000*(1.652953^(MIN($E3583,123)-117)))*1,0))</f>
        <v>18322468</v>
      </c>
      <c r="AE3583" s="13">
        <f>$E3583+24</f>
        <v>128</v>
      </c>
      <c r="AF3583" s="14">
        <f>IF($J3583=0,0,ROUND(MAX($J3583*1.4*1.5*1.6*1.6*2.2*2.715*2.6*1.4*1.4*1.5*1.5,18900000000*(1.65331^(MIN($E3583,123)-117)))*1,0))</f>
        <v>27406653</v>
      </c>
      <c r="AG3583" s="11">
        <f>$E3583+27</f>
        <v>131</v>
      </c>
      <c r="AH3583" s="12">
        <f>IF($J3583=0,0,ROUND(MAX($J3583*1.4*1.5*1.6*1.6*2.2*2.715*2.6*1.4*1.4*1.5*1.5*3.2,60500000000*(1.654288^(MIN($E3583,123)-117)))*1,0))</f>
        <v>87058428</v>
      </c>
    </row>
    <row r="3584" ht="28" customHeight="1" spans="1:34" x14ac:dyDescent="0.25">
      <c r="A3584">
        <v>3594</v>
      </c>
      <c r="B3584" t="s">
        <v>44</v>
      </c>
      <c r="C3584" s="10" t="s">
        <v>1807</v>
      </c>
      <c r="D3584" t="s">
        <v>45</v>
      </c>
      <c r="E3584">
        <v>104</v>
      </c>
      <c r="F3584" t="s">
        <v>34</v>
      </c>
      <c r="G3584" t="s">
        <v>562</v>
      </c>
      <c r="H3584">
        <v>23</v>
      </c>
      <c r="I3584" s="11">
        <f>$E3584+0</f>
        <v>104</v>
      </c>
      <c r="J3584" s="12">
        <v>9500</v>
      </c>
      <c r="K3584" s="13">
        <f>$E3584+1</f>
        <v>105</v>
      </c>
      <c r="L3584" s="14">
        <f>IF($J3584=0,0,ROUND(MAX($J3584*1.4,1620000*(1.497923^(MIN($E3584,123)-117)))*1,0))</f>
        <v>13300</v>
      </c>
      <c r="M3584" s="11">
        <f>$E3584+2</f>
        <v>106</v>
      </c>
      <c r="N3584" s="12">
        <f>IF($J3584=0,0,ROUND(MAX($J3584*1.4*1.5,2190000*(1.580994^(MIN($E3584,123)-117)))*1,0))</f>
        <v>19950</v>
      </c>
      <c r="O3584" s="13">
        <f>$E3584+4</f>
        <v>108</v>
      </c>
      <c r="P3584" s="14">
        <f>IF($J3584=0,0,ROUND(MAX($J3584*1.4*1.5*1.6,3500000*(1.57975^(MIN($E3584,123)-117)))*1,0))</f>
        <v>31920</v>
      </c>
      <c r="Q3584" s="11">
        <f>$E3584+6</f>
        <v>110</v>
      </c>
      <c r="R3584" s="12">
        <f>IF($J3584=0,0,ROUND(MAX($J3584*1.4*1.5*1.6*1.6,13100000*(1.429962^(MIN($E3584,123)-117)))*1,0))</f>
        <v>125329</v>
      </c>
      <c r="S3584" s="13">
        <f>$E3584+8</f>
        <v>112</v>
      </c>
      <c r="T3584" s="14">
        <f>IF($J3584=0,0,ROUND(MAX($J3584*1.4*1.5*1.6*1.6*2.2,42600000*(1.576904^(MIN($E3584,123)-117)))*1,0))</f>
        <v>114272</v>
      </c>
      <c r="U3584" s="11">
        <f>$E3584+11</f>
        <v>115</v>
      </c>
      <c r="V3584" s="12">
        <f>IF($J3584=0,0,ROUND(MAX($J3584*1.4*1.5*1.6*1.6*2.2*2.715,354000000*(1.642074^(MIN($E3584,123)-117)))*1,0))</f>
        <v>560916</v>
      </c>
      <c r="W3584" s="13">
        <f>$E3584+15</f>
        <v>119</v>
      </c>
      <c r="X3584" s="14">
        <f>IF($J3584=0,0,ROUND(MAX($J3584*1.4*1.5*1.6*1.6*2.2*2.715*2.6,3540000000*(1.579646^(MIN($E3584,123)-117)))*1,0))</f>
        <v>9283810</v>
      </c>
      <c r="Y3584" s="11">
        <f>$E3584+17</f>
        <v>121</v>
      </c>
      <c r="Z3584" s="12">
        <f>IF($J3584=0,0,ROUND(MAX($J3584*1.4*1.5*1.6*1.6*2.2*2.715*2.6*1.4,6020000000*(1.651178^(MIN($E3584,123)-117)))*1,0))</f>
        <v>8877197</v>
      </c>
      <c r="AA3584" s="13">
        <f>$E3584+19</f>
        <v>123</v>
      </c>
      <c r="AB3584" s="14">
        <f>IF($J3584=0,0,ROUND(MAX($J3584*1.4*1.5*1.6*1.6*2.2*2.715*2.6*1.4*1.4,8430000000*(1.651435^(MIN($E3584,123)-117)))*1,0))</f>
        <v>12405900</v>
      </c>
      <c r="AC3584" s="11">
        <f>$E3584+21</f>
        <v>125</v>
      </c>
      <c r="AD3584" s="12">
        <f>IF($J3584=0,0,ROUND(MAX($J3584*1.4*1.5*1.6*1.6*2.2*2.715*2.6*1.4*1.4*1.5,12600000000*(1.652953^(MIN($E3584,123)-117)))*1,0))</f>
        <v>18322468</v>
      </c>
      <c r="AE3584" s="13">
        <f>$E3584+24</f>
        <v>128</v>
      </c>
      <c r="AF3584" s="14">
        <f>IF($J3584=0,0,ROUND(MAX($J3584*1.4*1.5*1.6*1.6*2.2*2.715*2.6*1.4*1.4*1.5*1.5,18900000000*(1.65331^(MIN($E3584,123)-117)))*1,0))</f>
        <v>27406653</v>
      </c>
      <c r="AG3584" s="11">
        <f>$E3584+27</f>
        <v>131</v>
      </c>
      <c r="AH3584" s="12">
        <f>IF($J3584=0,0,ROUND(MAX($J3584*1.4*1.5*1.6*1.6*2.2*2.715*2.6*1.4*1.4*1.5*1.5*3.2,60500000000*(1.654288^(MIN($E3584,123)-117)))*1,0))</f>
        <v>87058428</v>
      </c>
    </row>
    <row r="3585" ht="28" customHeight="1" spans="1:34" x14ac:dyDescent="0.25">
      <c r="A3585">
        <v>3595</v>
      </c>
      <c r="B3585" t="s">
        <v>694</v>
      </c>
      <c r="C3585" s="10" t="s">
        <v>1807</v>
      </c>
      <c r="D3585" t="s">
        <v>102</v>
      </c>
      <c r="E3585">
        <v>104</v>
      </c>
      <c r="F3585" t="s">
        <v>71</v>
      </c>
      <c r="G3585" t="s">
        <v>270</v>
      </c>
      <c r="H3585">
        <v>23</v>
      </c>
      <c r="I3585" s="11">
        <f>$E3585+0</f>
        <v>104</v>
      </c>
      <c r="J3585" s="12">
        <v>10700</v>
      </c>
      <c r="K3585" s="13">
        <f>$E3585+1</f>
        <v>105</v>
      </c>
      <c r="L3585" s="14">
        <f>IF($J3585=0,0,ROUND(MAX($J3585*1.4,1620000*(1.497923^(MIN($E3585,123)-117)))*1,0))</f>
        <v>14980</v>
      </c>
      <c r="M3585" s="11">
        <f>$E3585+2</f>
        <v>106</v>
      </c>
      <c r="N3585" s="12">
        <f>IF($J3585=0,0,ROUND(MAX($J3585*1.4*1.5,2190000*(1.580994^(MIN($E3585,123)-117)))*1,0))</f>
        <v>22470</v>
      </c>
      <c r="O3585" s="13">
        <f>$E3585+4</f>
        <v>108</v>
      </c>
      <c r="P3585" s="14">
        <f>IF($J3585=0,0,ROUND(MAX($J3585*1.4*1.5*1.6,3500000*(1.57975^(MIN($E3585,123)-117)))*1,0))</f>
        <v>35952</v>
      </c>
      <c r="Q3585" s="11">
        <f>$E3585+6</f>
        <v>110</v>
      </c>
      <c r="R3585" s="12">
        <f>IF($J3585=0,0,ROUND(MAX($J3585*1.4*1.5*1.6*1.6,13100000*(1.429962^(MIN($E3585,123)-117)))*1,0))</f>
        <v>125329</v>
      </c>
      <c r="S3585" s="13">
        <f>$E3585+8</f>
        <v>112</v>
      </c>
      <c r="T3585" s="14">
        <f>IF($J3585=0,0,ROUND(MAX($J3585*1.4*1.5*1.6*1.6*2.2,42600000*(1.576904^(MIN($E3585,123)-117)))*1,0))</f>
        <v>126551</v>
      </c>
      <c r="U3585" s="11">
        <f>$E3585+11</f>
        <v>115</v>
      </c>
      <c r="V3585" s="12">
        <f>IF($J3585=0,0,ROUND(MAX($J3585*1.4*1.5*1.6*1.6*2.2*2.715,354000000*(1.642074^(MIN($E3585,123)-117)))*1,0))</f>
        <v>560916</v>
      </c>
      <c r="W3585" s="13">
        <f>$E3585+15</f>
        <v>119</v>
      </c>
      <c r="X3585" s="14">
        <f>IF($J3585=0,0,ROUND(MAX($J3585*1.4*1.5*1.6*1.6*2.2*2.715*2.6,3540000000*(1.579646^(MIN($E3585,123)-117)))*1,0))</f>
        <v>9283810</v>
      </c>
      <c r="Y3585" s="11">
        <f>$E3585+17</f>
        <v>121</v>
      </c>
      <c r="Z3585" s="12">
        <f>IF($J3585=0,0,ROUND(MAX($J3585*1.4*1.5*1.6*1.6*2.2*2.715*2.6*1.4,6020000000*(1.651178^(MIN($E3585,123)-117)))*1,0))</f>
        <v>8877197</v>
      </c>
      <c r="AA3585" s="13">
        <f>$E3585+19</f>
        <v>123</v>
      </c>
      <c r="AB3585" s="14">
        <f>IF($J3585=0,0,ROUND(MAX($J3585*1.4*1.5*1.6*1.6*2.2*2.715*2.6*1.4*1.4,8430000000*(1.651435^(MIN($E3585,123)-117)))*1,0))</f>
        <v>12405900</v>
      </c>
      <c r="AC3585" s="11">
        <f>$E3585+21</f>
        <v>125</v>
      </c>
      <c r="AD3585" s="12">
        <f>IF($J3585=0,0,ROUND(MAX($J3585*1.4*1.5*1.6*1.6*2.2*2.715*2.6*1.4*1.4*1.5,12600000000*(1.652953^(MIN($E3585,123)-117)))*1,0))</f>
        <v>18322468</v>
      </c>
      <c r="AE3585" s="13">
        <f>$E3585+24</f>
        <v>128</v>
      </c>
      <c r="AF3585" s="14">
        <f>IF($J3585=0,0,ROUND(MAX($J3585*1.4*1.5*1.6*1.6*2.2*2.715*2.6*1.4*1.4*1.5*1.5,18900000000*(1.65331^(MIN($E3585,123)-117)))*1,0))</f>
        <v>27406653</v>
      </c>
      <c r="AG3585" s="11">
        <f>$E3585+27</f>
        <v>131</v>
      </c>
      <c r="AH3585" s="12">
        <f>IF($J3585=0,0,ROUND(MAX($J3585*1.4*1.5*1.6*1.6*2.2*2.715*2.6*1.4*1.4*1.5*1.5*3.2,60500000000*(1.654288^(MIN($E3585,123)-117)))*1,0))</f>
        <v>87058428</v>
      </c>
    </row>
    <row r="3586" ht="28" customHeight="1" spans="1:34" x14ac:dyDescent="0.25">
      <c r="A3586">
        <v>3596</v>
      </c>
      <c r="B3586" t="s">
        <v>1809</v>
      </c>
      <c r="C3586" s="10" t="s">
        <v>1807</v>
      </c>
      <c r="D3586" t="s">
        <v>45</v>
      </c>
      <c r="E3586">
        <v>104</v>
      </c>
      <c r="F3586" t="s">
        <v>71</v>
      </c>
      <c r="G3586" t="s">
        <v>562</v>
      </c>
      <c r="H3586">
        <v>23</v>
      </c>
      <c r="I3586" s="11">
        <f>$E3586+0</f>
        <v>104</v>
      </c>
      <c r="J3586" s="12">
        <v>12400</v>
      </c>
      <c r="K3586" s="13">
        <f>$E3586+1</f>
        <v>105</v>
      </c>
      <c r="L3586" s="14">
        <f>IF($J3586=0,0,ROUND(MAX($J3586*1.4,1620000*(1.497923^(MIN($E3586,123)-117)))*1,0))</f>
        <v>17360</v>
      </c>
      <c r="M3586" s="11">
        <f>$E3586+2</f>
        <v>106</v>
      </c>
      <c r="N3586" s="12">
        <f>IF($J3586=0,0,ROUND(MAX($J3586*1.4*1.5,2190000*(1.580994^(MIN($E3586,123)-117)))*1,0))</f>
        <v>26040</v>
      </c>
      <c r="O3586" s="13">
        <f>$E3586+4</f>
        <v>108</v>
      </c>
      <c r="P3586" s="14">
        <f>IF($J3586=0,0,ROUND(MAX($J3586*1.4*1.5*1.6,3500000*(1.57975^(MIN($E3586,123)-117)))*1,0))</f>
        <v>41664</v>
      </c>
      <c r="Q3586" s="11">
        <f>$E3586+6</f>
        <v>110</v>
      </c>
      <c r="R3586" s="12">
        <f>IF($J3586=0,0,ROUND(MAX($J3586*1.4*1.5*1.6*1.6,13100000*(1.429962^(MIN($E3586,123)-117)))*1,0))</f>
        <v>125329</v>
      </c>
      <c r="S3586" s="13">
        <f>$E3586+8</f>
        <v>112</v>
      </c>
      <c r="T3586" s="14">
        <f>IF($J3586=0,0,ROUND(MAX($J3586*1.4*1.5*1.6*1.6*2.2,42600000*(1.576904^(MIN($E3586,123)-117)))*1,0))</f>
        <v>146657</v>
      </c>
      <c r="U3586" s="11">
        <f>$E3586+11</f>
        <v>115</v>
      </c>
      <c r="V3586" s="12">
        <f>IF($J3586=0,0,ROUND(MAX($J3586*1.4*1.5*1.6*1.6*2.2*2.715,354000000*(1.642074^(MIN($E3586,123)-117)))*1,0))</f>
        <v>560916</v>
      </c>
      <c r="W3586" s="13">
        <f>$E3586+15</f>
        <v>119</v>
      </c>
      <c r="X3586" s="14">
        <f>IF($J3586=0,0,ROUND(MAX($J3586*1.4*1.5*1.6*1.6*2.2*2.715*2.6,3540000000*(1.579646^(MIN($E3586,123)-117)))*1,0))</f>
        <v>9283810</v>
      </c>
      <c r="Y3586" s="11">
        <f>$E3586+17</f>
        <v>121</v>
      </c>
      <c r="Z3586" s="12">
        <f>IF($J3586=0,0,ROUND(MAX($J3586*1.4*1.5*1.6*1.6*2.2*2.715*2.6*1.4,6020000000*(1.651178^(MIN($E3586,123)-117)))*1,0))</f>
        <v>8877197</v>
      </c>
      <c r="AA3586" s="13">
        <f>$E3586+19</f>
        <v>123</v>
      </c>
      <c r="AB3586" s="14">
        <f>IF($J3586=0,0,ROUND(MAX($J3586*1.4*1.5*1.6*1.6*2.2*2.715*2.6*1.4*1.4,8430000000*(1.651435^(MIN($E3586,123)-117)))*1,0))</f>
        <v>12405900</v>
      </c>
      <c r="AC3586" s="11">
        <f>$E3586+21</f>
        <v>125</v>
      </c>
      <c r="AD3586" s="12">
        <f>IF($J3586=0,0,ROUND(MAX($J3586*1.4*1.5*1.6*1.6*2.2*2.715*2.6*1.4*1.4*1.5,12600000000*(1.652953^(MIN($E3586,123)-117)))*1,0))</f>
        <v>18322468</v>
      </c>
      <c r="AE3586" s="13">
        <f>$E3586+24</f>
        <v>128</v>
      </c>
      <c r="AF3586" s="14">
        <f>IF($J3586=0,0,ROUND(MAX($J3586*1.4*1.5*1.6*1.6*2.2*2.715*2.6*1.4*1.4*1.5*1.5,18900000000*(1.65331^(MIN($E3586,123)-117)))*1,0))</f>
        <v>27406653</v>
      </c>
      <c r="AG3586" s="11">
        <f>$E3586+27</f>
        <v>131</v>
      </c>
      <c r="AH3586" s="12">
        <f>IF($J3586=0,0,ROUND(MAX($J3586*1.4*1.5*1.6*1.6*2.2*2.715*2.6*1.4*1.4*1.5*1.5*3.2,60500000000*(1.654288^(MIN($E3586,123)-117)))*1,0))</f>
        <v>87058428</v>
      </c>
    </row>
    <row r="3587" ht="28" customHeight="1" spans="1:34" x14ac:dyDescent="0.25">
      <c r="A3587">
        <v>3597</v>
      </c>
      <c r="B3587" t="s">
        <v>779</v>
      </c>
      <c r="C3587" s="10" t="s">
        <v>1807</v>
      </c>
      <c r="D3587" t="s">
        <v>45</v>
      </c>
      <c r="E3587">
        <v>104</v>
      </c>
      <c r="F3587" t="s">
        <v>34</v>
      </c>
      <c r="G3587" t="s">
        <v>185</v>
      </c>
      <c r="H3587">
        <v>23</v>
      </c>
      <c r="I3587" s="11">
        <f>$E3587+0</f>
        <v>104</v>
      </c>
      <c r="J3587" s="12">
        <v>12400</v>
      </c>
      <c r="K3587" s="13">
        <f>$E3587+1</f>
        <v>105</v>
      </c>
      <c r="L3587" s="14">
        <f>IF($J3587=0,0,ROUND(MAX($J3587*1.4,1620000*(1.497923^(MIN($E3587,123)-117)))*1,0))</f>
        <v>17360</v>
      </c>
      <c r="M3587" s="11">
        <f>$E3587+2</f>
        <v>106</v>
      </c>
      <c r="N3587" s="12">
        <f>IF($J3587=0,0,ROUND(MAX($J3587*1.4*1.5,2190000*(1.580994^(MIN($E3587,123)-117)))*1,0))</f>
        <v>26040</v>
      </c>
      <c r="O3587" s="13">
        <f>$E3587+4</f>
        <v>108</v>
      </c>
      <c r="P3587" s="14">
        <f>IF($J3587=0,0,ROUND(MAX($J3587*1.4*1.5*1.6,3500000*(1.57975^(MIN($E3587,123)-117)))*1,0))</f>
        <v>41664</v>
      </c>
      <c r="Q3587" s="11">
        <f>$E3587+6</f>
        <v>110</v>
      </c>
      <c r="R3587" s="12">
        <f>IF($J3587=0,0,ROUND(MAX($J3587*1.4*1.5*1.6*1.6,13100000*(1.429962^(MIN($E3587,123)-117)))*1,0))</f>
        <v>125329</v>
      </c>
      <c r="S3587" s="13">
        <f>$E3587+8</f>
        <v>112</v>
      </c>
      <c r="T3587" s="14">
        <f>IF($J3587=0,0,ROUND(MAX($J3587*1.4*1.5*1.6*1.6*2.2,42600000*(1.576904^(MIN($E3587,123)-117)))*1,0))</f>
        <v>146657</v>
      </c>
      <c r="U3587" s="11">
        <f>$E3587+11</f>
        <v>115</v>
      </c>
      <c r="V3587" s="12">
        <f>IF($J3587=0,0,ROUND(MAX($J3587*1.4*1.5*1.6*1.6*2.2*2.715,354000000*(1.642074^(MIN($E3587,123)-117)))*1,0))</f>
        <v>560916</v>
      </c>
      <c r="W3587" s="13">
        <f>$E3587+15</f>
        <v>119</v>
      </c>
      <c r="X3587" s="14">
        <f>IF($J3587=0,0,ROUND(MAX($J3587*1.4*1.5*1.6*1.6*2.2*2.715*2.6,3540000000*(1.579646^(MIN($E3587,123)-117)))*1,0))</f>
        <v>9283810</v>
      </c>
      <c r="Y3587" s="11">
        <f>$E3587+17</f>
        <v>121</v>
      </c>
      <c r="Z3587" s="12">
        <f>IF($J3587=0,0,ROUND(MAX($J3587*1.4*1.5*1.6*1.6*2.2*2.715*2.6*1.4,6020000000*(1.651178^(MIN($E3587,123)-117)))*1,0))</f>
        <v>8877197</v>
      </c>
      <c r="AA3587" s="13">
        <f>$E3587+19</f>
        <v>123</v>
      </c>
      <c r="AB3587" s="14">
        <f>IF($J3587=0,0,ROUND(MAX($J3587*1.4*1.5*1.6*1.6*2.2*2.715*2.6*1.4*1.4,8430000000*(1.651435^(MIN($E3587,123)-117)))*1,0))</f>
        <v>12405900</v>
      </c>
      <c r="AC3587" s="11">
        <f>$E3587+21</f>
        <v>125</v>
      </c>
      <c r="AD3587" s="12">
        <f>IF($J3587=0,0,ROUND(MAX($J3587*1.4*1.5*1.6*1.6*2.2*2.715*2.6*1.4*1.4*1.5,12600000000*(1.652953^(MIN($E3587,123)-117)))*1,0))</f>
        <v>18322468</v>
      </c>
      <c r="AE3587" s="13">
        <f>$E3587+24</f>
        <v>128</v>
      </c>
      <c r="AF3587" s="14">
        <f>IF($J3587=0,0,ROUND(MAX($J3587*1.4*1.5*1.6*1.6*2.2*2.715*2.6*1.4*1.4*1.5*1.5,18900000000*(1.65331^(MIN($E3587,123)-117)))*1,0))</f>
        <v>27406653</v>
      </c>
      <c r="AG3587" s="11">
        <f>$E3587+27</f>
        <v>131</v>
      </c>
      <c r="AH3587" s="12">
        <f>IF($J3587=0,0,ROUND(MAX($J3587*1.4*1.5*1.6*1.6*2.2*2.715*2.6*1.4*1.4*1.5*1.5*3.2,60500000000*(1.654288^(MIN($E3587,123)-117)))*1,0))</f>
        <v>87058428</v>
      </c>
    </row>
    <row r="3588" ht="28" customHeight="1" spans="1:34" x14ac:dyDescent="0.25">
      <c r="A3588">
        <v>3598</v>
      </c>
      <c r="B3588" t="s">
        <v>1732</v>
      </c>
      <c r="C3588" s="10" t="s">
        <v>1807</v>
      </c>
      <c r="D3588" t="s">
        <v>45</v>
      </c>
      <c r="E3588">
        <v>104</v>
      </c>
      <c r="F3588" t="s">
        <v>492</v>
      </c>
      <c r="G3588" t="s">
        <v>562</v>
      </c>
      <c r="H3588">
        <v>23</v>
      </c>
      <c r="I3588" s="11">
        <f>$E3588+0</f>
        <v>104</v>
      </c>
      <c r="J3588" s="12">
        <v>79400</v>
      </c>
      <c r="K3588" s="13">
        <f>$E3588+1</f>
        <v>105</v>
      </c>
      <c r="L3588" s="14">
        <f>IF($J3588=0,0,ROUND(MAX($J3588*1.4,1620000*(1.497923^(MIN($E3588,123)-117)))*1,0))</f>
        <v>111160</v>
      </c>
      <c r="M3588" s="11">
        <f>$E3588+2</f>
        <v>106</v>
      </c>
      <c r="N3588" s="12">
        <f>IF($J3588=0,0,ROUND(MAX($J3588*1.4*1.5,2190000*(1.580994^(MIN($E3588,123)-117)))*1,0))</f>
        <v>166740</v>
      </c>
      <c r="O3588" s="13">
        <f>$E3588+4</f>
        <v>108</v>
      </c>
      <c r="P3588" s="14">
        <f>IF($J3588=0,0,ROUND(MAX($J3588*1.4*1.5*1.6,3500000*(1.57975^(MIN($E3588,123)-117)))*1,0))</f>
        <v>266784</v>
      </c>
      <c r="Q3588" s="11">
        <f>$E3588+6</f>
        <v>110</v>
      </c>
      <c r="R3588" s="12">
        <f>IF($J3588=0,0,ROUND(MAX($J3588*1.4*1.5*1.6*1.6,13100000*(1.429962^(MIN($E3588,123)-117)))*1,0))</f>
        <v>426854</v>
      </c>
      <c r="S3588" s="13">
        <f>$E3588+8</f>
        <v>112</v>
      </c>
      <c r="T3588" s="14">
        <f>IF($J3588=0,0,ROUND(MAX($J3588*1.4*1.5*1.6*1.6*2.2,42600000*(1.576904^(MIN($E3588,123)-117)))*1,0))</f>
        <v>939080</v>
      </c>
      <c r="U3588" s="11">
        <f>$E3588+11</f>
        <v>115</v>
      </c>
      <c r="V3588" s="12">
        <f>IF($J3588=0,0,ROUND(MAX($J3588*1.4*1.5*1.6*1.6*2.2*2.715,354000000*(1.642074^(MIN($E3588,123)-117)))*1,0))</f>
        <v>2549601</v>
      </c>
      <c r="W3588" s="13">
        <f>$E3588+15</f>
        <v>119</v>
      </c>
      <c r="X3588" s="14">
        <f>IF($J3588=0,0,ROUND(MAX($J3588*1.4*1.5*1.6*1.6*2.2*2.715*2.6,3540000000*(1.579646^(MIN($E3588,123)-117)))*1,0))</f>
        <v>9283810</v>
      </c>
      <c r="Y3588" s="11">
        <f>$E3588+17</f>
        <v>121</v>
      </c>
      <c r="Z3588" s="12">
        <f>IF($J3588=0,0,ROUND(MAX($J3588*1.4*1.5*1.6*1.6*2.2*2.715*2.6*1.4,6020000000*(1.651178^(MIN($E3588,123)-117)))*1,0))</f>
        <v>9280549</v>
      </c>
      <c r="AA3588" s="13">
        <f>$E3588+19</f>
        <v>123</v>
      </c>
      <c r="AB3588" s="14">
        <f>IF($J3588=0,0,ROUND(MAX($J3588*1.4*1.5*1.6*1.6*2.2*2.715*2.6*1.4*1.4,8430000000*(1.651435^(MIN($E3588,123)-117)))*1,0))</f>
        <v>12992768</v>
      </c>
      <c r="AC3588" s="11">
        <f>$E3588+21</f>
        <v>125</v>
      </c>
      <c r="AD3588" s="12">
        <f>IF($J3588=0,0,ROUND(MAX($J3588*1.4*1.5*1.6*1.6*2.2*2.715*2.6*1.4*1.4*1.5,12600000000*(1.652953^(MIN($E3588,123)-117)))*1,0))</f>
        <v>19489153</v>
      </c>
      <c r="AE3588" s="13">
        <f>$E3588+24</f>
        <v>128</v>
      </c>
      <c r="AF3588" s="14">
        <f>IF($J3588=0,0,ROUND(MAX($J3588*1.4*1.5*1.6*1.6*2.2*2.715*2.6*1.4*1.4*1.5*1.5,18900000000*(1.65331^(MIN($E3588,123)-117)))*1,0))</f>
        <v>29233729</v>
      </c>
      <c r="AG3588" s="11">
        <f>$E3588+27</f>
        <v>131</v>
      </c>
      <c r="AH3588" s="12">
        <f>IF($J3588=0,0,ROUND(MAX($J3588*1.4*1.5*1.6*1.6*2.2*2.715*2.6*1.4*1.4*1.5*1.5*3.2,60500000000*(1.654288^(MIN($E3588,123)-117)))*1,0))</f>
        <v>93547932</v>
      </c>
    </row>
    <row r="3589" ht="28" customHeight="1" spans="1:34" x14ac:dyDescent="0.25">
      <c r="A3589">
        <v>3599</v>
      </c>
      <c r="B3589" t="s">
        <v>1810</v>
      </c>
      <c r="C3589" s="10" t="s">
        <v>1807</v>
      </c>
      <c r="D3589" t="s">
        <v>45</v>
      </c>
      <c r="E3589">
        <v>104</v>
      </c>
      <c r="F3589" t="s">
        <v>1093</v>
      </c>
      <c r="G3589" t="s">
        <v>562</v>
      </c>
      <c r="H3589">
        <v>23</v>
      </c>
      <c r="I3589" s="11">
        <f>$E3589+0</f>
        <v>104</v>
      </c>
      <c r="J3589" s="12">
        <v>9560</v>
      </c>
      <c r="K3589" s="13">
        <f>$E3589+1</f>
        <v>105</v>
      </c>
      <c r="L3589" s="14">
        <f>IF($J3589=0,0,ROUND(MAX($J3589*1.4,1620000*(1.497923^(MIN($E3589,123)-117)))*1,0))</f>
        <v>13384</v>
      </c>
      <c r="M3589" s="11">
        <f>$E3589+2</f>
        <v>106</v>
      </c>
      <c r="N3589" s="12">
        <f>IF($J3589=0,0,ROUND(MAX($J3589*1.4*1.5,2190000*(1.580994^(MIN($E3589,123)-117)))*1,0))</f>
        <v>20076</v>
      </c>
      <c r="O3589" s="13">
        <f>$E3589+4</f>
        <v>108</v>
      </c>
      <c r="P3589" s="14">
        <f>IF($J3589=0,0,ROUND(MAX($J3589*1.4*1.5*1.6,3500000*(1.57975^(MIN($E3589,123)-117)))*1,0))</f>
        <v>32122</v>
      </c>
      <c r="Q3589" s="11">
        <f>$E3589+6</f>
        <v>110</v>
      </c>
      <c r="R3589" s="12">
        <f>IF($J3589=0,0,ROUND(MAX($J3589*1.4*1.5*1.6*1.6,13100000*(1.429962^(MIN($E3589,123)-117)))*1,0))</f>
        <v>125329</v>
      </c>
      <c r="S3589" s="13">
        <f>$E3589+8</f>
        <v>112</v>
      </c>
      <c r="T3589" s="14">
        <f>IF($J3589=0,0,ROUND(MAX($J3589*1.4*1.5*1.6*1.6*2.2,42600000*(1.576904^(MIN($E3589,123)-117)))*1,0))</f>
        <v>114272</v>
      </c>
      <c r="U3589" s="11">
        <f>$E3589+11</f>
        <v>115</v>
      </c>
      <c r="V3589" s="12">
        <f>IF($J3589=0,0,ROUND(MAX($J3589*1.4*1.5*1.6*1.6*2.2*2.715,354000000*(1.642074^(MIN($E3589,123)-117)))*1,0))</f>
        <v>560916</v>
      </c>
      <c r="W3589" s="13">
        <f>$E3589+15</f>
        <v>119</v>
      </c>
      <c r="X3589" s="14">
        <f>IF($J3589=0,0,ROUND(MAX($J3589*1.4*1.5*1.6*1.6*2.2*2.715*2.6,3540000000*(1.579646^(MIN($E3589,123)-117)))*1,0))</f>
        <v>9283810</v>
      </c>
      <c r="Y3589" s="11">
        <f>$E3589+17</f>
        <v>121</v>
      </c>
      <c r="Z3589" s="12">
        <f>IF($J3589=0,0,ROUND(MAX($J3589*1.4*1.5*1.6*1.6*2.2*2.715*2.6*1.4,6020000000*(1.651178^(MIN($E3589,123)-117)))*1,0))</f>
        <v>8877197</v>
      </c>
      <c r="AA3589" s="13">
        <f>$E3589+19</f>
        <v>123</v>
      </c>
      <c r="AB3589" s="14">
        <f>IF($J3589=0,0,ROUND(MAX($J3589*1.4*1.5*1.6*1.6*2.2*2.715*2.6*1.4*1.4,8430000000*(1.651435^(MIN($E3589,123)-117)))*1,0))</f>
        <v>12405900</v>
      </c>
      <c r="AC3589" s="11">
        <f>$E3589+21</f>
        <v>125</v>
      </c>
      <c r="AD3589" s="12">
        <f>IF($J3589=0,0,ROUND(MAX($J3589*1.4*1.5*1.6*1.6*2.2*2.715*2.6*1.4*1.4*1.5,12600000000*(1.652953^(MIN($E3589,123)-117)))*1,0))</f>
        <v>18322468</v>
      </c>
      <c r="AE3589" s="13">
        <f>$E3589+24</f>
        <v>128</v>
      </c>
      <c r="AF3589" s="14">
        <f>IF($J3589=0,0,ROUND(MAX($J3589*1.4*1.5*1.6*1.6*2.2*2.715*2.6*1.4*1.4*1.5*1.5,18900000000*(1.65331^(MIN($E3589,123)-117)))*1,0))</f>
        <v>27406653</v>
      </c>
      <c r="AG3589" s="11">
        <f>$E3589+27</f>
        <v>131</v>
      </c>
      <c r="AH3589" s="12">
        <f>IF($J3589=0,0,ROUND(MAX($J3589*1.4*1.5*1.6*1.6*2.2*2.715*2.6*1.4*1.4*1.5*1.5*3.2,60500000000*(1.654288^(MIN($E3589,123)-117)))*1,0))</f>
        <v>87058428</v>
      </c>
    </row>
    <row r="3590" ht="28" customHeight="1" spans="1:34" x14ac:dyDescent="0.25">
      <c r="A3590">
        <v>3600</v>
      </c>
      <c r="B3590" t="s">
        <v>1123</v>
      </c>
      <c r="C3590" s="10" t="s">
        <v>1807</v>
      </c>
      <c r="D3590" t="s">
        <v>40</v>
      </c>
      <c r="E3590">
        <v>104</v>
      </c>
      <c r="F3590" t="s">
        <v>258</v>
      </c>
      <c r="G3590" t="s">
        <v>209</v>
      </c>
      <c r="H3590">
        <v>23</v>
      </c>
      <c r="I3590" s="11">
        <f>$E3590+0</f>
        <v>104</v>
      </c>
      <c r="J3590" s="12">
        <v>13200</v>
      </c>
      <c r="K3590" s="13">
        <f>$E3590+1</f>
        <v>105</v>
      </c>
      <c r="L3590" s="14">
        <f>IF($J3590=0,0,ROUND(MAX($J3590*1.4,1620000*(1.497923^(MIN($E3590,123)-117)))*1,0))</f>
        <v>18480</v>
      </c>
      <c r="M3590" s="11">
        <f>$E3590+2</f>
        <v>106</v>
      </c>
      <c r="N3590" s="12">
        <f>IF($J3590=0,0,ROUND(MAX($J3590*1.4*1.5,2190000*(1.580994^(MIN($E3590,123)-117)))*1,0))</f>
        <v>27720</v>
      </c>
      <c r="O3590" s="13">
        <f>$E3590+4</f>
        <v>108</v>
      </c>
      <c r="P3590" s="14">
        <f>IF($J3590=0,0,ROUND(MAX($J3590*1.4*1.5*1.6,3500000*(1.57975^(MIN($E3590,123)-117)))*1,0))</f>
        <v>44352</v>
      </c>
      <c r="Q3590" s="11">
        <f>$E3590+6</f>
        <v>110</v>
      </c>
      <c r="R3590" s="12">
        <f>IF($J3590=0,0,ROUND(MAX($J3590*1.4*1.5*1.6*1.6,13100000*(1.429962^(MIN($E3590,123)-117)))*1,0))</f>
        <v>125329</v>
      </c>
      <c r="S3590" s="13">
        <f>$E3590+8</f>
        <v>112</v>
      </c>
      <c r="T3590" s="14">
        <f>IF($J3590=0,0,ROUND(MAX($J3590*1.4*1.5*1.6*1.6*2.2,42600000*(1.576904^(MIN($E3590,123)-117)))*1,0))</f>
        <v>156119</v>
      </c>
      <c r="U3590" s="11">
        <f>$E3590+11</f>
        <v>115</v>
      </c>
      <c r="V3590" s="12">
        <f>IF($J3590=0,0,ROUND(MAX($J3590*1.4*1.5*1.6*1.6*2.2*2.715,354000000*(1.642074^(MIN($E3590,123)-117)))*1,0))</f>
        <v>560916</v>
      </c>
      <c r="W3590" s="13">
        <f>$E3590+15</f>
        <v>119</v>
      </c>
      <c r="X3590" s="14">
        <f>IF($J3590=0,0,ROUND(MAX($J3590*1.4*1.5*1.6*1.6*2.2*2.715*2.6,3540000000*(1.579646^(MIN($E3590,123)-117)))*1,0))</f>
        <v>9283810</v>
      </c>
      <c r="Y3590" s="11">
        <f>$E3590+17</f>
        <v>121</v>
      </c>
      <c r="Z3590" s="12">
        <f>IF($J3590=0,0,ROUND(MAX($J3590*1.4*1.5*1.6*1.6*2.2*2.715*2.6*1.4,6020000000*(1.651178^(MIN($E3590,123)-117)))*1,0))</f>
        <v>8877197</v>
      </c>
      <c r="AA3590" s="13">
        <f>$E3590+19</f>
        <v>123</v>
      </c>
      <c r="AB3590" s="14">
        <f>IF($J3590=0,0,ROUND(MAX($J3590*1.4*1.5*1.6*1.6*2.2*2.715*2.6*1.4*1.4,8430000000*(1.651435^(MIN($E3590,123)-117)))*1,0))</f>
        <v>12405900</v>
      </c>
      <c r="AC3590" s="11">
        <f>$E3590+21</f>
        <v>125</v>
      </c>
      <c r="AD3590" s="12">
        <f>IF($J3590=0,0,ROUND(MAX($J3590*1.4*1.5*1.6*1.6*2.2*2.715*2.6*1.4*1.4*1.5,12600000000*(1.652953^(MIN($E3590,123)-117)))*1,0))</f>
        <v>18322468</v>
      </c>
      <c r="AE3590" s="13">
        <f>$E3590+24</f>
        <v>128</v>
      </c>
      <c r="AF3590" s="14">
        <f>IF($J3590=0,0,ROUND(MAX($J3590*1.4*1.5*1.6*1.6*2.2*2.715*2.6*1.4*1.4*1.5*1.5,18900000000*(1.65331^(MIN($E3590,123)-117)))*1,0))</f>
        <v>27406653</v>
      </c>
      <c r="AG3590" s="11">
        <f>$E3590+27</f>
        <v>131</v>
      </c>
      <c r="AH3590" s="12">
        <f>IF($J3590=0,0,ROUND(MAX($J3590*1.4*1.5*1.6*1.6*2.2*2.715*2.6*1.4*1.4*1.5*1.5*3.2,60500000000*(1.654288^(MIN($E3590,123)-117)))*1,0))</f>
        <v>87058428</v>
      </c>
    </row>
    <row r="3591" ht="28" customHeight="1" spans="1:34" x14ac:dyDescent="0.25">
      <c r="A3591">
        <v>3601</v>
      </c>
      <c r="B3591" t="s">
        <v>1136</v>
      </c>
      <c r="C3591" s="10" t="s">
        <v>1807</v>
      </c>
      <c r="D3591" t="s">
        <v>40</v>
      </c>
      <c r="E3591">
        <v>104</v>
      </c>
      <c r="F3591" t="s">
        <v>237</v>
      </c>
      <c r="G3591" t="s">
        <v>562</v>
      </c>
      <c r="H3591">
        <v>23</v>
      </c>
      <c r="I3591" s="11">
        <f>$E3591+0</f>
        <v>104</v>
      </c>
      <c r="J3591" s="12">
        <v>4090</v>
      </c>
      <c r="K3591" s="13">
        <f>$E3591+1</f>
        <v>105</v>
      </c>
      <c r="L3591" s="14">
        <f>IF($J3591=0,0,ROUND(MAX($J3591*1.4,1620000*(1.497923^(MIN($E3591,123)-117)))*1,0))</f>
        <v>8475</v>
      </c>
      <c r="M3591" s="11">
        <f>$E3591+2</f>
        <v>106</v>
      </c>
      <c r="N3591" s="12">
        <f>IF($J3591=0,0,ROUND(MAX($J3591*1.4*1.5,2190000*(1.580994^(MIN($E3591,123)-117)))*1,0))</f>
        <v>8589</v>
      </c>
      <c r="O3591" s="13">
        <f>$E3591+4</f>
        <v>108</v>
      </c>
      <c r="P3591" s="14">
        <f>IF($J3591=0,0,ROUND(MAX($J3591*1.4*1.5*1.6,3500000*(1.57975^(MIN($E3591,123)-117)))*1,0))</f>
        <v>13742</v>
      </c>
      <c r="Q3591" s="11">
        <f>$E3591+6</f>
        <v>110</v>
      </c>
      <c r="R3591" s="12">
        <f>IF($J3591=0,0,ROUND(MAX($J3591*1.4*1.5*1.6*1.6,13100000*(1.429962^(MIN($E3591,123)-117)))*1,0))</f>
        <v>125329</v>
      </c>
      <c r="S3591" s="13">
        <f>$E3591+8</f>
        <v>112</v>
      </c>
      <c r="T3591" s="14">
        <f>IF($J3591=0,0,ROUND(MAX($J3591*1.4*1.5*1.6*1.6*2.2,42600000*(1.576904^(MIN($E3591,123)-117)))*1,0))</f>
        <v>114272</v>
      </c>
      <c r="U3591" s="11">
        <f>$E3591+11</f>
        <v>115</v>
      </c>
      <c r="V3591" s="12">
        <f>IF($J3591=0,0,ROUND(MAX($J3591*1.4*1.5*1.6*1.6*2.2*2.715,354000000*(1.642074^(MIN($E3591,123)-117)))*1,0))</f>
        <v>560916</v>
      </c>
      <c r="W3591" s="13">
        <f>$E3591+15</f>
        <v>119</v>
      </c>
      <c r="X3591" s="14">
        <f>IF($J3591=0,0,ROUND(MAX($J3591*1.4*1.5*1.6*1.6*2.2*2.715*2.6,3540000000*(1.579646^(MIN($E3591,123)-117)))*1,0))</f>
        <v>9283810</v>
      </c>
      <c r="Y3591" s="11">
        <f>$E3591+17</f>
        <v>121</v>
      </c>
      <c r="Z3591" s="12">
        <f>IF($J3591=0,0,ROUND(MAX($J3591*1.4*1.5*1.6*1.6*2.2*2.715*2.6*1.4,6020000000*(1.651178^(MIN($E3591,123)-117)))*1,0))</f>
        <v>8877197</v>
      </c>
      <c r="AA3591" s="13">
        <f>$E3591+19</f>
        <v>123</v>
      </c>
      <c r="AB3591" s="14">
        <f>IF($J3591=0,0,ROUND(MAX($J3591*1.4*1.5*1.6*1.6*2.2*2.715*2.6*1.4*1.4,8430000000*(1.651435^(MIN($E3591,123)-117)))*1,0))</f>
        <v>12405900</v>
      </c>
      <c r="AC3591" s="11">
        <f>$E3591+21</f>
        <v>125</v>
      </c>
      <c r="AD3591" s="12">
        <f>IF($J3591=0,0,ROUND(MAX($J3591*1.4*1.5*1.6*1.6*2.2*2.715*2.6*1.4*1.4*1.5,12600000000*(1.652953^(MIN($E3591,123)-117)))*1,0))</f>
        <v>18322468</v>
      </c>
      <c r="AE3591" s="13">
        <f>$E3591+24</f>
        <v>128</v>
      </c>
      <c r="AF3591" s="14">
        <f>IF($J3591=0,0,ROUND(MAX($J3591*1.4*1.5*1.6*1.6*2.2*2.715*2.6*1.4*1.4*1.5*1.5,18900000000*(1.65331^(MIN($E3591,123)-117)))*1,0))</f>
        <v>27406653</v>
      </c>
      <c r="AG3591" s="11">
        <f>$E3591+27</f>
        <v>131</v>
      </c>
      <c r="AH3591" s="12">
        <f>IF($J3591=0,0,ROUND(MAX($J3591*1.4*1.5*1.6*1.6*2.2*2.715*2.6*1.4*1.4*1.5*1.5*3.2,60500000000*(1.654288^(MIN($E3591,123)-117)))*1,0))</f>
        <v>87058428</v>
      </c>
    </row>
    <row r="3592" ht="28" customHeight="1" spans="1:34" x14ac:dyDescent="0.25">
      <c r="A3592">
        <v>3602</v>
      </c>
      <c r="B3592" t="s">
        <v>61</v>
      </c>
      <c r="C3592" s="10" t="s">
        <v>1807</v>
      </c>
      <c r="D3592" t="s">
        <v>33</v>
      </c>
      <c r="E3592">
        <v>104</v>
      </c>
      <c r="F3592" t="s">
        <v>62</v>
      </c>
      <c r="G3592" t="s">
        <v>562</v>
      </c>
      <c r="H3592">
        <v>23</v>
      </c>
      <c r="I3592" s="11">
        <f>$E3592+0</f>
        <v>104</v>
      </c>
      <c r="J3592" s="12">
        <v>11500</v>
      </c>
      <c r="K3592" s="13">
        <f>$E3592+1</f>
        <v>105</v>
      </c>
      <c r="L3592" s="14">
        <f>IF($J3592=0,0,ROUND(MAX($J3592*1.4,1620000*(1.497923^(MIN($E3592,123)-117)))*1,0))</f>
        <v>16100</v>
      </c>
      <c r="M3592" s="11">
        <f>$E3592+2</f>
        <v>106</v>
      </c>
      <c r="N3592" s="12">
        <f>IF($J3592=0,0,ROUND(MAX($J3592*1.4*1.5,2190000*(1.580994^(MIN($E3592,123)-117)))*1,0))</f>
        <v>24150</v>
      </c>
      <c r="O3592" s="13">
        <f>$E3592+4</f>
        <v>108</v>
      </c>
      <c r="P3592" s="14">
        <f>IF($J3592=0,0,ROUND(MAX($J3592*1.4*1.5*1.6,3500000*(1.57975^(MIN($E3592,123)-117)))*1,0))</f>
        <v>38640</v>
      </c>
      <c r="Q3592" s="11">
        <f>$E3592+6</f>
        <v>110</v>
      </c>
      <c r="R3592" s="12">
        <f>IF($J3592=0,0,ROUND(MAX($J3592*1.4*1.5*1.6*1.6,13100000*(1.429962^(MIN($E3592,123)-117)))*1,0))</f>
        <v>125329</v>
      </c>
      <c r="S3592" s="13">
        <f>$E3592+8</f>
        <v>112</v>
      </c>
      <c r="T3592" s="14">
        <f>IF($J3592=0,0,ROUND(MAX($J3592*1.4*1.5*1.6*1.6*2.2,42600000*(1.576904^(MIN($E3592,123)-117)))*1,0))</f>
        <v>136013</v>
      </c>
      <c r="U3592" s="11">
        <f>$E3592+11</f>
        <v>115</v>
      </c>
      <c r="V3592" s="12">
        <f>IF($J3592=0,0,ROUND(MAX($J3592*1.4*1.5*1.6*1.6*2.2*2.715,354000000*(1.642074^(MIN($E3592,123)-117)))*1,0))</f>
        <v>560916</v>
      </c>
      <c r="W3592" s="13">
        <f>$E3592+15</f>
        <v>119</v>
      </c>
      <c r="X3592" s="14">
        <f>IF($J3592=0,0,ROUND(MAX($J3592*1.4*1.5*1.6*1.6*2.2*2.715*2.6,3540000000*(1.579646^(MIN($E3592,123)-117)))*1,0))</f>
        <v>9283810</v>
      </c>
      <c r="Y3592" s="11">
        <f>$E3592+17</f>
        <v>121</v>
      </c>
      <c r="Z3592" s="12">
        <f>IF($J3592=0,0,ROUND(MAX($J3592*1.4*1.5*1.6*1.6*2.2*2.715*2.6*1.4,6020000000*(1.651178^(MIN($E3592,123)-117)))*1,0))</f>
        <v>8877197</v>
      </c>
      <c r="AA3592" s="13">
        <f>$E3592+19</f>
        <v>123</v>
      </c>
      <c r="AB3592" s="14">
        <f>IF($J3592=0,0,ROUND(MAX($J3592*1.4*1.5*1.6*1.6*2.2*2.715*2.6*1.4*1.4,8430000000*(1.651435^(MIN($E3592,123)-117)))*1,0))</f>
        <v>12405900</v>
      </c>
      <c r="AC3592" s="11">
        <f>$E3592+21</f>
        <v>125</v>
      </c>
      <c r="AD3592" s="12">
        <f>IF($J3592=0,0,ROUND(MAX($J3592*1.4*1.5*1.6*1.6*2.2*2.715*2.6*1.4*1.4*1.5,12600000000*(1.652953^(MIN($E3592,123)-117)))*1,0))</f>
        <v>18322468</v>
      </c>
      <c r="AE3592" s="13">
        <f>$E3592+24</f>
        <v>128</v>
      </c>
      <c r="AF3592" s="14">
        <f>IF($J3592=0,0,ROUND(MAX($J3592*1.4*1.5*1.6*1.6*2.2*2.715*2.6*1.4*1.4*1.5*1.5,18900000000*(1.65331^(MIN($E3592,123)-117)))*1,0))</f>
        <v>27406653</v>
      </c>
      <c r="AG3592" s="11">
        <f>$E3592+27</f>
        <v>131</v>
      </c>
      <c r="AH3592" s="12">
        <f>IF($J3592=0,0,ROUND(MAX($J3592*1.4*1.5*1.6*1.6*2.2*2.715*2.6*1.4*1.4*1.5*1.5*3.2,60500000000*(1.654288^(MIN($E3592,123)-117)))*1,0))</f>
        <v>87058428</v>
      </c>
    </row>
    <row r="3593" ht="28" customHeight="1" spans="1:34" x14ac:dyDescent="0.25">
      <c r="A3593">
        <v>3603</v>
      </c>
      <c r="B3593" t="s">
        <v>1705</v>
      </c>
      <c r="C3593" s="10" t="s">
        <v>1807</v>
      </c>
      <c r="D3593" t="s">
        <v>45</v>
      </c>
      <c r="E3593">
        <v>104</v>
      </c>
      <c r="F3593" t="s">
        <v>59</v>
      </c>
      <c r="G3593" t="s">
        <v>562</v>
      </c>
      <c r="H3593">
        <v>23</v>
      </c>
      <c r="I3593" s="11">
        <f>$E3593+0</f>
        <v>104</v>
      </c>
      <c r="J3593" s="12">
        <v>7410</v>
      </c>
      <c r="K3593" s="13">
        <f>$E3593+1</f>
        <v>105</v>
      </c>
      <c r="L3593" s="14">
        <f>IF($J3593=0,0,ROUND(MAX($J3593*1.4,1620000*(1.497923^(MIN($E3593,123)-117)))*1,0))</f>
        <v>10374</v>
      </c>
      <c r="M3593" s="11">
        <f>$E3593+2</f>
        <v>106</v>
      </c>
      <c r="N3593" s="12">
        <f>IF($J3593=0,0,ROUND(MAX($J3593*1.4*1.5,2190000*(1.580994^(MIN($E3593,123)-117)))*1,0))</f>
        <v>15561</v>
      </c>
      <c r="O3593" s="13">
        <f>$E3593+4</f>
        <v>108</v>
      </c>
      <c r="P3593" s="14">
        <f>IF($J3593=0,0,ROUND(MAX($J3593*1.4*1.5*1.6,3500000*(1.57975^(MIN($E3593,123)-117)))*1,0))</f>
        <v>24898</v>
      </c>
      <c r="Q3593" s="11">
        <f>$E3593+6</f>
        <v>110</v>
      </c>
      <c r="R3593" s="12">
        <f>IF($J3593=0,0,ROUND(MAX($J3593*1.4*1.5*1.6*1.6,13100000*(1.429962^(MIN($E3593,123)-117)))*1,0))</f>
        <v>125329</v>
      </c>
      <c r="S3593" s="13">
        <f>$E3593+8</f>
        <v>112</v>
      </c>
      <c r="T3593" s="14">
        <f>IF($J3593=0,0,ROUND(MAX($J3593*1.4*1.5*1.6*1.6*2.2,42600000*(1.576904^(MIN($E3593,123)-117)))*1,0))</f>
        <v>114272</v>
      </c>
      <c r="U3593" s="11">
        <f>$E3593+11</f>
        <v>115</v>
      </c>
      <c r="V3593" s="12">
        <f>IF($J3593=0,0,ROUND(MAX($J3593*1.4*1.5*1.6*1.6*2.2*2.715,354000000*(1.642074^(MIN($E3593,123)-117)))*1,0))</f>
        <v>560916</v>
      </c>
      <c r="W3593" s="13">
        <f>$E3593+15</f>
        <v>119</v>
      </c>
      <c r="X3593" s="14">
        <f>IF($J3593=0,0,ROUND(MAX($J3593*1.4*1.5*1.6*1.6*2.2*2.715*2.6,3540000000*(1.579646^(MIN($E3593,123)-117)))*1,0))</f>
        <v>9283810</v>
      </c>
      <c r="Y3593" s="11">
        <f>$E3593+17</f>
        <v>121</v>
      </c>
      <c r="Z3593" s="12">
        <f>IF($J3593=0,0,ROUND(MAX($J3593*1.4*1.5*1.6*1.6*2.2*2.715*2.6*1.4,6020000000*(1.651178^(MIN($E3593,123)-117)))*1,0))</f>
        <v>8877197</v>
      </c>
      <c r="AA3593" s="13">
        <f>$E3593+19</f>
        <v>123</v>
      </c>
      <c r="AB3593" s="14">
        <f>IF($J3593=0,0,ROUND(MAX($J3593*1.4*1.5*1.6*1.6*2.2*2.715*2.6*1.4*1.4,8430000000*(1.651435^(MIN($E3593,123)-117)))*1,0))</f>
        <v>12405900</v>
      </c>
      <c r="AC3593" s="11">
        <f>$E3593+21</f>
        <v>125</v>
      </c>
      <c r="AD3593" s="12">
        <f>IF($J3593=0,0,ROUND(MAX($J3593*1.4*1.5*1.6*1.6*2.2*2.715*2.6*1.4*1.4*1.5,12600000000*(1.652953^(MIN($E3593,123)-117)))*1,0))</f>
        <v>18322468</v>
      </c>
      <c r="AE3593" s="13">
        <f>$E3593+24</f>
        <v>128</v>
      </c>
      <c r="AF3593" s="14">
        <f>IF($J3593=0,0,ROUND(MAX($J3593*1.4*1.5*1.6*1.6*2.2*2.715*2.6*1.4*1.4*1.5*1.5,18900000000*(1.65331^(MIN($E3593,123)-117)))*1,0))</f>
        <v>27406653</v>
      </c>
      <c r="AG3593" s="11">
        <f>$E3593+27</f>
        <v>131</v>
      </c>
      <c r="AH3593" s="12">
        <f>IF($J3593=0,0,ROUND(MAX($J3593*1.4*1.5*1.6*1.6*2.2*2.715*2.6*1.4*1.4*1.5*1.5*3.2,60500000000*(1.654288^(MIN($E3593,123)-117)))*1,0))</f>
        <v>87058428</v>
      </c>
    </row>
    <row r="3594" ht="28" customHeight="1" spans="1:34" x14ac:dyDescent="0.25">
      <c r="A3594">
        <v>3604</v>
      </c>
      <c r="B3594" t="s">
        <v>193</v>
      </c>
      <c r="C3594" s="10" t="s">
        <v>1807</v>
      </c>
      <c r="D3594" t="s">
        <v>102</v>
      </c>
      <c r="E3594">
        <v>104</v>
      </c>
      <c r="F3594" t="s">
        <v>194</v>
      </c>
      <c r="G3594" t="s">
        <v>562</v>
      </c>
      <c r="H3594">
        <v>23</v>
      </c>
      <c r="I3594" s="11">
        <f>$E3594+0</f>
        <v>104</v>
      </c>
      <c r="J3594" s="12">
        <v>8460</v>
      </c>
      <c r="K3594" s="13">
        <f>$E3594+1</f>
        <v>105</v>
      </c>
      <c r="L3594" s="14">
        <f>IF($J3594=0,0,ROUND(MAX($J3594*1.4,1620000*(1.497923^(MIN($E3594,123)-117)))*1,0))</f>
        <v>11844</v>
      </c>
      <c r="M3594" s="11">
        <f>$E3594+2</f>
        <v>106</v>
      </c>
      <c r="N3594" s="12">
        <f>IF($J3594=0,0,ROUND(MAX($J3594*1.4*1.5,2190000*(1.580994^(MIN($E3594,123)-117)))*1,0))</f>
        <v>17766</v>
      </c>
      <c r="O3594" s="13">
        <f>$E3594+4</f>
        <v>108</v>
      </c>
      <c r="P3594" s="14">
        <f>IF($J3594=0,0,ROUND(MAX($J3594*1.4*1.5*1.6,3500000*(1.57975^(MIN($E3594,123)-117)))*1,0))</f>
        <v>28426</v>
      </c>
      <c r="Q3594" s="11">
        <f>$E3594+6</f>
        <v>110</v>
      </c>
      <c r="R3594" s="12">
        <f>IF($J3594=0,0,ROUND(MAX($J3594*1.4*1.5*1.6*1.6,13100000*(1.429962^(MIN($E3594,123)-117)))*1,0))</f>
        <v>125329</v>
      </c>
      <c r="S3594" s="13">
        <f>$E3594+8</f>
        <v>112</v>
      </c>
      <c r="T3594" s="14">
        <f>IF($J3594=0,0,ROUND(MAX($J3594*1.4*1.5*1.6*1.6*2.2,42600000*(1.576904^(MIN($E3594,123)-117)))*1,0))</f>
        <v>114272</v>
      </c>
      <c r="U3594" s="11">
        <f>$E3594+11</f>
        <v>115</v>
      </c>
      <c r="V3594" s="12">
        <f>IF($J3594=0,0,ROUND(MAX($J3594*1.4*1.5*1.6*1.6*2.2*2.715,354000000*(1.642074^(MIN($E3594,123)-117)))*1,0))</f>
        <v>560916</v>
      </c>
      <c r="W3594" s="13">
        <f>$E3594+15</f>
        <v>119</v>
      </c>
      <c r="X3594" s="14">
        <f>IF($J3594=0,0,ROUND(MAX($J3594*1.4*1.5*1.6*1.6*2.2*2.715*2.6,3540000000*(1.579646^(MIN($E3594,123)-117)))*1,0))</f>
        <v>9283810</v>
      </c>
      <c r="Y3594" s="11">
        <f>$E3594+17</f>
        <v>121</v>
      </c>
      <c r="Z3594" s="12">
        <f>IF($J3594=0,0,ROUND(MAX($J3594*1.4*1.5*1.6*1.6*2.2*2.715*2.6*1.4,6020000000*(1.651178^(MIN($E3594,123)-117)))*1,0))</f>
        <v>8877197</v>
      </c>
      <c r="AA3594" s="13">
        <f>$E3594+19</f>
        <v>123</v>
      </c>
      <c r="AB3594" s="14">
        <f>IF($J3594=0,0,ROUND(MAX($J3594*1.4*1.5*1.6*1.6*2.2*2.715*2.6*1.4*1.4,8430000000*(1.651435^(MIN($E3594,123)-117)))*1,0))</f>
        <v>12405900</v>
      </c>
      <c r="AC3594" s="11">
        <f>$E3594+21</f>
        <v>125</v>
      </c>
      <c r="AD3594" s="12">
        <f>IF($J3594=0,0,ROUND(MAX($J3594*1.4*1.5*1.6*1.6*2.2*2.715*2.6*1.4*1.4*1.5,12600000000*(1.652953^(MIN($E3594,123)-117)))*1,0))</f>
        <v>18322468</v>
      </c>
      <c r="AE3594" s="13">
        <f>$E3594+24</f>
        <v>128</v>
      </c>
      <c r="AF3594" s="14">
        <f>IF($J3594=0,0,ROUND(MAX($J3594*1.4*1.5*1.6*1.6*2.2*2.715*2.6*1.4*1.4*1.5*1.5,18900000000*(1.65331^(MIN($E3594,123)-117)))*1,0))</f>
        <v>27406653</v>
      </c>
      <c r="AG3594" s="11">
        <f>$E3594+27</f>
        <v>131</v>
      </c>
      <c r="AH3594" s="12">
        <f>IF($J3594=0,0,ROUND(MAX($J3594*1.4*1.5*1.6*1.6*2.2*2.715*2.6*1.4*1.4*1.5*1.5*3.2,60500000000*(1.654288^(MIN($E3594,123)-117)))*1,0))</f>
        <v>87058428</v>
      </c>
    </row>
    <row r="3595" ht="28" customHeight="1" spans="1:34" x14ac:dyDescent="0.25">
      <c r="A3595">
        <v>3605</v>
      </c>
      <c r="B3595" t="s">
        <v>152</v>
      </c>
      <c r="C3595" s="10" t="s">
        <v>1807</v>
      </c>
      <c r="D3595" t="s">
        <v>40</v>
      </c>
      <c r="E3595">
        <v>104</v>
      </c>
      <c r="F3595" t="s">
        <v>71</v>
      </c>
      <c r="G3595" t="s">
        <v>562</v>
      </c>
      <c r="H3595">
        <v>23</v>
      </c>
      <c r="I3595" s="11">
        <f>$E3595+0</f>
        <v>104</v>
      </c>
      <c r="J3595" s="12">
        <v>8320</v>
      </c>
      <c r="K3595" s="13">
        <f>$E3595+1</f>
        <v>105</v>
      </c>
      <c r="L3595" s="14">
        <f>IF($J3595=0,0,ROUND(MAX($J3595*1.4,1620000*(1.497923^(MIN($E3595,123)-117)))*1,0))</f>
        <v>11648</v>
      </c>
      <c r="M3595" s="11">
        <f>$E3595+2</f>
        <v>106</v>
      </c>
      <c r="N3595" s="12">
        <f>IF($J3595=0,0,ROUND(MAX($J3595*1.4*1.5,2190000*(1.580994^(MIN($E3595,123)-117)))*1,0))</f>
        <v>17472</v>
      </c>
      <c r="O3595" s="13">
        <f>$E3595+4</f>
        <v>108</v>
      </c>
      <c r="P3595" s="14">
        <f>IF($J3595=0,0,ROUND(MAX($J3595*1.4*1.5*1.6,3500000*(1.57975^(MIN($E3595,123)-117)))*1,0))</f>
        <v>27955</v>
      </c>
      <c r="Q3595" s="11">
        <f>$E3595+6</f>
        <v>110</v>
      </c>
      <c r="R3595" s="12">
        <f>IF($J3595=0,0,ROUND(MAX($J3595*1.4*1.5*1.6*1.6,13100000*(1.429962^(MIN($E3595,123)-117)))*1,0))</f>
        <v>125329</v>
      </c>
      <c r="S3595" s="13">
        <f>$E3595+8</f>
        <v>112</v>
      </c>
      <c r="T3595" s="14">
        <f>IF($J3595=0,0,ROUND(MAX($J3595*1.4*1.5*1.6*1.6*2.2,42600000*(1.576904^(MIN($E3595,123)-117)))*1,0))</f>
        <v>114272</v>
      </c>
      <c r="U3595" s="11">
        <f>$E3595+11</f>
        <v>115</v>
      </c>
      <c r="V3595" s="12">
        <f>IF($J3595=0,0,ROUND(MAX($J3595*1.4*1.5*1.6*1.6*2.2*2.715,354000000*(1.642074^(MIN($E3595,123)-117)))*1,0))</f>
        <v>560916</v>
      </c>
      <c r="W3595" s="13">
        <f>$E3595+15</f>
        <v>119</v>
      </c>
      <c r="X3595" s="14">
        <f>IF($J3595=0,0,ROUND(MAX($J3595*1.4*1.5*1.6*1.6*2.2*2.715*2.6,3540000000*(1.579646^(MIN($E3595,123)-117)))*1,0))</f>
        <v>9283810</v>
      </c>
      <c r="Y3595" s="11">
        <f>$E3595+17</f>
        <v>121</v>
      </c>
      <c r="Z3595" s="12">
        <f>IF($J3595=0,0,ROUND(MAX($J3595*1.4*1.5*1.6*1.6*2.2*2.715*2.6*1.4,6020000000*(1.651178^(MIN($E3595,123)-117)))*1,0))</f>
        <v>8877197</v>
      </c>
      <c r="AA3595" s="13">
        <f>$E3595+19</f>
        <v>123</v>
      </c>
      <c r="AB3595" s="14">
        <f>IF($J3595=0,0,ROUND(MAX($J3595*1.4*1.5*1.6*1.6*2.2*2.715*2.6*1.4*1.4,8430000000*(1.651435^(MIN($E3595,123)-117)))*1,0))</f>
        <v>12405900</v>
      </c>
      <c r="AC3595" s="11">
        <f>$E3595+21</f>
        <v>125</v>
      </c>
      <c r="AD3595" s="12">
        <f>IF($J3595=0,0,ROUND(MAX($J3595*1.4*1.5*1.6*1.6*2.2*2.715*2.6*1.4*1.4*1.5,12600000000*(1.652953^(MIN($E3595,123)-117)))*1,0))</f>
        <v>18322468</v>
      </c>
      <c r="AE3595" s="13">
        <f>$E3595+24</f>
        <v>128</v>
      </c>
      <c r="AF3595" s="14">
        <f>IF($J3595=0,0,ROUND(MAX($J3595*1.4*1.5*1.6*1.6*2.2*2.715*2.6*1.4*1.4*1.5*1.5,18900000000*(1.65331^(MIN($E3595,123)-117)))*1,0))</f>
        <v>27406653</v>
      </c>
      <c r="AG3595" s="11">
        <f>$E3595+27</f>
        <v>131</v>
      </c>
      <c r="AH3595" s="12">
        <f>IF($J3595=0,0,ROUND(MAX($J3595*1.4*1.5*1.6*1.6*2.2*2.715*2.6*1.4*1.4*1.5*1.5*3.2,60500000000*(1.654288^(MIN($E3595,123)-117)))*1,0))</f>
        <v>87058428</v>
      </c>
    </row>
    <row r="3596" ht="28" customHeight="1" spans="1:34" x14ac:dyDescent="0.25">
      <c r="A3596">
        <v>3606</v>
      </c>
      <c r="B3596" t="s">
        <v>112</v>
      </c>
      <c r="C3596" s="10" t="s">
        <v>1807</v>
      </c>
      <c r="D3596" t="s">
        <v>40</v>
      </c>
      <c r="E3596">
        <v>104</v>
      </c>
      <c r="F3596" t="s">
        <v>42</v>
      </c>
      <c r="G3596" t="s">
        <v>562</v>
      </c>
      <c r="H3596">
        <v>23</v>
      </c>
      <c r="I3596" s="11">
        <f>$E3596+0</f>
        <v>104</v>
      </c>
      <c r="J3596" s="12">
        <v>7610</v>
      </c>
      <c r="K3596" s="13">
        <f>$E3596+1</f>
        <v>105</v>
      </c>
      <c r="L3596" s="14">
        <f>IF($J3596=0,0,ROUND(MAX($J3596*1.4,1620000*(1.497923^(MIN($E3596,123)-117)))*1,0))</f>
        <v>10654</v>
      </c>
      <c r="M3596" s="11">
        <f>$E3596+2</f>
        <v>106</v>
      </c>
      <c r="N3596" s="12">
        <f>IF($J3596=0,0,ROUND(MAX($J3596*1.4*1.5,2190000*(1.580994^(MIN($E3596,123)-117)))*1,0))</f>
        <v>15981</v>
      </c>
      <c r="O3596" s="13">
        <f>$E3596+4</f>
        <v>108</v>
      </c>
      <c r="P3596" s="14">
        <f>IF($J3596=0,0,ROUND(MAX($J3596*1.4*1.5*1.6,3500000*(1.57975^(MIN($E3596,123)-117)))*1,0))</f>
        <v>25570</v>
      </c>
      <c r="Q3596" s="11">
        <f>$E3596+6</f>
        <v>110</v>
      </c>
      <c r="R3596" s="12">
        <f>IF($J3596=0,0,ROUND(MAX($J3596*1.4*1.5*1.6*1.6,13100000*(1.429962^(MIN($E3596,123)-117)))*1,0))</f>
        <v>125329</v>
      </c>
      <c r="S3596" s="13">
        <f>$E3596+8</f>
        <v>112</v>
      </c>
      <c r="T3596" s="14">
        <f>IF($J3596=0,0,ROUND(MAX($J3596*1.4*1.5*1.6*1.6*2.2,42600000*(1.576904^(MIN($E3596,123)-117)))*1,0))</f>
        <v>114272</v>
      </c>
      <c r="U3596" s="11">
        <f>$E3596+11</f>
        <v>115</v>
      </c>
      <c r="V3596" s="12">
        <f>IF($J3596=0,0,ROUND(MAX($J3596*1.4*1.5*1.6*1.6*2.2*2.715,354000000*(1.642074^(MIN($E3596,123)-117)))*1,0))</f>
        <v>560916</v>
      </c>
      <c r="W3596" s="13">
        <f>$E3596+15</f>
        <v>119</v>
      </c>
      <c r="X3596" s="14">
        <f>IF($J3596=0,0,ROUND(MAX($J3596*1.4*1.5*1.6*1.6*2.2*2.715*2.6,3540000000*(1.579646^(MIN($E3596,123)-117)))*1,0))</f>
        <v>9283810</v>
      </c>
      <c r="Y3596" s="11">
        <f>$E3596+17</f>
        <v>121</v>
      </c>
      <c r="Z3596" s="12">
        <f>IF($J3596=0,0,ROUND(MAX($J3596*1.4*1.5*1.6*1.6*2.2*2.715*2.6*1.4,6020000000*(1.651178^(MIN($E3596,123)-117)))*1,0))</f>
        <v>8877197</v>
      </c>
      <c r="AA3596" s="13">
        <f>$E3596+19</f>
        <v>123</v>
      </c>
      <c r="AB3596" s="14">
        <f>IF($J3596=0,0,ROUND(MAX($J3596*1.4*1.5*1.6*1.6*2.2*2.715*2.6*1.4*1.4,8430000000*(1.651435^(MIN($E3596,123)-117)))*1,0))</f>
        <v>12405900</v>
      </c>
      <c r="AC3596" s="11">
        <f>$E3596+21</f>
        <v>125</v>
      </c>
      <c r="AD3596" s="12">
        <f>IF($J3596=0,0,ROUND(MAX($J3596*1.4*1.5*1.6*1.6*2.2*2.715*2.6*1.4*1.4*1.5,12600000000*(1.652953^(MIN($E3596,123)-117)))*1,0))</f>
        <v>18322468</v>
      </c>
      <c r="AE3596" s="13">
        <f>$E3596+24</f>
        <v>128</v>
      </c>
      <c r="AF3596" s="14">
        <f>IF($J3596=0,0,ROUND(MAX($J3596*1.4*1.5*1.6*1.6*2.2*2.715*2.6*1.4*1.4*1.5*1.5,18900000000*(1.65331^(MIN($E3596,123)-117)))*1,0))</f>
        <v>27406653</v>
      </c>
      <c r="AG3596" s="11">
        <f>$E3596+27</f>
        <v>131</v>
      </c>
      <c r="AH3596" s="12">
        <f>IF($J3596=0,0,ROUND(MAX($J3596*1.4*1.5*1.6*1.6*2.2*2.715*2.6*1.4*1.4*1.5*1.5*3.2,60500000000*(1.654288^(MIN($E3596,123)-117)))*1,0))</f>
        <v>87058428</v>
      </c>
    </row>
    <row r="3597" ht="28" customHeight="1" spans="1:34" x14ac:dyDescent="0.25">
      <c r="A3597">
        <v>3607</v>
      </c>
      <c r="B3597" t="s">
        <v>110</v>
      </c>
      <c r="C3597" s="10" t="s">
        <v>1807</v>
      </c>
      <c r="D3597" t="s">
        <v>64</v>
      </c>
      <c r="E3597">
        <v>104</v>
      </c>
      <c r="F3597" t="s">
        <v>59</v>
      </c>
      <c r="G3597" t="s">
        <v>562</v>
      </c>
      <c r="H3597">
        <v>23</v>
      </c>
      <c r="I3597" s="11">
        <f>$E3597+0</f>
        <v>104</v>
      </c>
      <c r="J3597" s="12">
        <v>21200</v>
      </c>
      <c r="K3597" s="13">
        <f>$E3597+1</f>
        <v>105</v>
      </c>
      <c r="L3597" s="14">
        <f>IF($J3597=0,0,ROUND(MAX($J3597*1.4,1620000*(1.497923^(MIN($E3597,123)-117)))*1,0))</f>
        <v>29680</v>
      </c>
      <c r="M3597" s="11">
        <f>$E3597+2</f>
        <v>106</v>
      </c>
      <c r="N3597" s="12">
        <f>IF($J3597=0,0,ROUND(MAX($J3597*1.4*1.5,2190000*(1.580994^(MIN($E3597,123)-117)))*1,0))</f>
        <v>44520</v>
      </c>
      <c r="O3597" s="13">
        <f>$E3597+4</f>
        <v>108</v>
      </c>
      <c r="P3597" s="14">
        <f>IF($J3597=0,0,ROUND(MAX($J3597*1.4*1.5*1.6,3500000*(1.57975^(MIN($E3597,123)-117)))*1,0))</f>
        <v>71232</v>
      </c>
      <c r="Q3597" s="11">
        <f>$E3597+6</f>
        <v>110</v>
      </c>
      <c r="R3597" s="12">
        <f>IF($J3597=0,0,ROUND(MAX($J3597*1.4*1.5*1.6*1.6,13100000*(1.429962^(MIN($E3597,123)-117)))*1,0))</f>
        <v>125329</v>
      </c>
      <c r="S3597" s="13">
        <f>$E3597+8</f>
        <v>112</v>
      </c>
      <c r="T3597" s="14">
        <f>IF($J3597=0,0,ROUND(MAX($J3597*1.4*1.5*1.6*1.6*2.2,42600000*(1.576904^(MIN($E3597,123)-117)))*1,0))</f>
        <v>250737</v>
      </c>
      <c r="U3597" s="11">
        <f>$E3597+11</f>
        <v>115</v>
      </c>
      <c r="V3597" s="12">
        <f>IF($J3597=0,0,ROUND(MAX($J3597*1.4*1.5*1.6*1.6*2.2*2.715,354000000*(1.642074^(MIN($E3597,123)-117)))*1,0))</f>
        <v>680750</v>
      </c>
      <c r="W3597" s="13">
        <f>$E3597+15</f>
        <v>119</v>
      </c>
      <c r="X3597" s="14">
        <f>IF($J3597=0,0,ROUND(MAX($J3597*1.4*1.5*1.6*1.6*2.2*2.715*2.6,3540000000*(1.579646^(MIN($E3597,123)-117)))*1,0))</f>
        <v>9283810</v>
      </c>
      <c r="Y3597" s="11">
        <f>$E3597+17</f>
        <v>121</v>
      </c>
      <c r="Z3597" s="12">
        <f>IF($J3597=0,0,ROUND(MAX($J3597*1.4*1.5*1.6*1.6*2.2*2.715*2.6*1.4,6020000000*(1.651178^(MIN($E3597,123)-117)))*1,0))</f>
        <v>8877197</v>
      </c>
      <c r="AA3597" s="13">
        <f>$E3597+19</f>
        <v>123</v>
      </c>
      <c r="AB3597" s="14">
        <f>IF($J3597=0,0,ROUND(MAX($J3597*1.4*1.5*1.6*1.6*2.2*2.715*2.6*1.4*1.4,8430000000*(1.651435^(MIN($E3597,123)-117)))*1,0))</f>
        <v>12405900</v>
      </c>
      <c r="AC3597" s="11">
        <f>$E3597+21</f>
        <v>125</v>
      </c>
      <c r="AD3597" s="12">
        <f>IF($J3597=0,0,ROUND(MAX($J3597*1.4*1.5*1.6*1.6*2.2*2.715*2.6*1.4*1.4*1.5,12600000000*(1.652953^(MIN($E3597,123)-117)))*1,0))</f>
        <v>18322468</v>
      </c>
      <c r="AE3597" s="13">
        <f>$E3597+24</f>
        <v>128</v>
      </c>
      <c r="AF3597" s="14">
        <f>IF($J3597=0,0,ROUND(MAX($J3597*1.4*1.5*1.6*1.6*2.2*2.715*2.6*1.4*1.4*1.5*1.5,18900000000*(1.65331^(MIN($E3597,123)-117)))*1,0))</f>
        <v>27406653</v>
      </c>
      <c r="AG3597" s="11">
        <f>$E3597+27</f>
        <v>131</v>
      </c>
      <c r="AH3597" s="12">
        <f>IF($J3597=0,0,ROUND(MAX($J3597*1.4*1.5*1.6*1.6*2.2*2.715*2.6*1.4*1.4*1.5*1.5*3.2,60500000000*(1.654288^(MIN($E3597,123)-117)))*1,0))</f>
        <v>87058428</v>
      </c>
    </row>
    <row r="3598" ht="28" customHeight="1" spans="1:34" x14ac:dyDescent="0.25">
      <c r="A3598">
        <v>3608</v>
      </c>
      <c r="B3598" t="s">
        <v>100</v>
      </c>
      <c r="C3598" s="10" t="s">
        <v>1807</v>
      </c>
      <c r="D3598" t="s">
        <v>33</v>
      </c>
      <c r="E3598">
        <v>104</v>
      </c>
      <c r="F3598" t="s">
        <v>62</v>
      </c>
      <c r="G3598" t="s">
        <v>562</v>
      </c>
      <c r="H3598">
        <v>23</v>
      </c>
      <c r="I3598" s="11">
        <f>$E3598+0</f>
        <v>104</v>
      </c>
      <c r="J3598" s="12">
        <v>13900</v>
      </c>
      <c r="K3598" s="13">
        <f>$E3598+1</f>
        <v>105</v>
      </c>
      <c r="L3598" s="14">
        <f>IF($J3598=0,0,ROUND(MAX($J3598*1.4,1620000*(1.497923^(MIN($E3598,123)-117)))*1,0))</f>
        <v>19460</v>
      </c>
      <c r="M3598" s="11">
        <f>$E3598+2</f>
        <v>106</v>
      </c>
      <c r="N3598" s="12">
        <f>IF($J3598=0,0,ROUND(MAX($J3598*1.4*1.5,2190000*(1.580994^(MIN($E3598,123)-117)))*1,0))</f>
        <v>29190</v>
      </c>
      <c r="O3598" s="13">
        <f>$E3598+4</f>
        <v>108</v>
      </c>
      <c r="P3598" s="14">
        <f>IF($J3598=0,0,ROUND(MAX($J3598*1.4*1.5*1.6,3500000*(1.57975^(MIN($E3598,123)-117)))*1,0))</f>
        <v>46704</v>
      </c>
      <c r="Q3598" s="11">
        <f>$E3598+6</f>
        <v>110</v>
      </c>
      <c r="R3598" s="12">
        <f>IF($J3598=0,0,ROUND(MAX($J3598*1.4*1.5*1.6*1.6,13100000*(1.429962^(MIN($E3598,123)-117)))*1,0))</f>
        <v>125329</v>
      </c>
      <c r="S3598" s="13">
        <f>$E3598+8</f>
        <v>112</v>
      </c>
      <c r="T3598" s="14">
        <f>IF($J3598=0,0,ROUND(MAX($J3598*1.4*1.5*1.6*1.6*2.2,42600000*(1.576904^(MIN($E3598,123)-117)))*1,0))</f>
        <v>164398</v>
      </c>
      <c r="U3598" s="11">
        <f>$E3598+11</f>
        <v>115</v>
      </c>
      <c r="V3598" s="12">
        <f>IF($J3598=0,0,ROUND(MAX($J3598*1.4*1.5*1.6*1.6*2.2*2.715,354000000*(1.642074^(MIN($E3598,123)-117)))*1,0))</f>
        <v>560916</v>
      </c>
      <c r="W3598" s="13">
        <f>$E3598+15</f>
        <v>119</v>
      </c>
      <c r="X3598" s="14">
        <f>IF($J3598=0,0,ROUND(MAX($J3598*1.4*1.5*1.6*1.6*2.2*2.715*2.6,3540000000*(1.579646^(MIN($E3598,123)-117)))*1,0))</f>
        <v>9283810</v>
      </c>
      <c r="Y3598" s="11">
        <f>$E3598+17</f>
        <v>121</v>
      </c>
      <c r="Z3598" s="12">
        <f>IF($J3598=0,0,ROUND(MAX($J3598*1.4*1.5*1.6*1.6*2.2*2.715*2.6*1.4,6020000000*(1.651178^(MIN($E3598,123)-117)))*1,0))</f>
        <v>8877197</v>
      </c>
      <c r="AA3598" s="13">
        <f>$E3598+19</f>
        <v>123</v>
      </c>
      <c r="AB3598" s="14">
        <f>IF($J3598=0,0,ROUND(MAX($J3598*1.4*1.5*1.6*1.6*2.2*2.715*2.6*1.4*1.4,8430000000*(1.651435^(MIN($E3598,123)-117)))*1,0))</f>
        <v>12405900</v>
      </c>
      <c r="AC3598" s="11">
        <f>$E3598+21</f>
        <v>125</v>
      </c>
      <c r="AD3598" s="12">
        <f>IF($J3598=0,0,ROUND(MAX($J3598*1.4*1.5*1.6*1.6*2.2*2.715*2.6*1.4*1.4*1.5,12600000000*(1.652953^(MIN($E3598,123)-117)))*1,0))</f>
        <v>18322468</v>
      </c>
      <c r="AE3598" s="13">
        <f>$E3598+24</f>
        <v>128</v>
      </c>
      <c r="AF3598" s="14">
        <f>IF($J3598=0,0,ROUND(MAX($J3598*1.4*1.5*1.6*1.6*2.2*2.715*2.6*1.4*1.4*1.5*1.5,18900000000*(1.65331^(MIN($E3598,123)-117)))*1,0))</f>
        <v>27406653</v>
      </c>
      <c r="AG3598" s="11">
        <f>$E3598+27</f>
        <v>131</v>
      </c>
      <c r="AH3598" s="12">
        <f>IF($J3598=0,0,ROUND(MAX($J3598*1.4*1.5*1.6*1.6*2.2*2.715*2.6*1.4*1.4*1.5*1.5*3.2,60500000000*(1.654288^(MIN($E3598,123)-117)))*1,0))</f>
        <v>87058428</v>
      </c>
    </row>
    <row r="3599" ht="28" customHeight="1" spans="1:34" x14ac:dyDescent="0.25">
      <c r="A3599">
        <v>3609</v>
      </c>
      <c r="B3599" t="s">
        <v>121</v>
      </c>
      <c r="C3599" s="10" t="s">
        <v>1807</v>
      </c>
      <c r="D3599" t="s">
        <v>29</v>
      </c>
      <c r="E3599">
        <v>104</v>
      </c>
      <c r="F3599" t="s">
        <v>62</v>
      </c>
      <c r="G3599" t="s">
        <v>562</v>
      </c>
      <c r="H3599">
        <v>23</v>
      </c>
      <c r="I3599" s="11">
        <f>$E3599+0</f>
        <v>104</v>
      </c>
      <c r="J3599" s="12">
        <v>14700</v>
      </c>
      <c r="K3599" s="13">
        <f>$E3599+1</f>
        <v>105</v>
      </c>
      <c r="L3599" s="14">
        <f>IF($J3599=0,0,ROUND(MAX($J3599*1.4,1620000*(1.497923^(MIN($E3599,123)-117)))*1,0))</f>
        <v>20580</v>
      </c>
      <c r="M3599" s="11">
        <f>$E3599+2</f>
        <v>106</v>
      </c>
      <c r="N3599" s="12">
        <f>IF($J3599=0,0,ROUND(MAX($J3599*1.4*1.5,2190000*(1.580994^(MIN($E3599,123)-117)))*1,0))</f>
        <v>30870</v>
      </c>
      <c r="O3599" s="13">
        <f>$E3599+4</f>
        <v>108</v>
      </c>
      <c r="P3599" s="14">
        <f>IF($J3599=0,0,ROUND(MAX($J3599*1.4*1.5*1.6,3500000*(1.57975^(MIN($E3599,123)-117)))*1,0))</f>
        <v>49392</v>
      </c>
      <c r="Q3599" s="11">
        <f>$E3599+6</f>
        <v>110</v>
      </c>
      <c r="R3599" s="12">
        <f>IF($J3599=0,0,ROUND(MAX($J3599*1.4*1.5*1.6*1.6,13100000*(1.429962^(MIN($E3599,123)-117)))*1,0))</f>
        <v>125329</v>
      </c>
      <c r="S3599" s="13">
        <f>$E3599+8</f>
        <v>112</v>
      </c>
      <c r="T3599" s="14">
        <f>IF($J3599=0,0,ROUND(MAX($J3599*1.4*1.5*1.6*1.6*2.2,42600000*(1.576904^(MIN($E3599,123)-117)))*1,0))</f>
        <v>173860</v>
      </c>
      <c r="U3599" s="11">
        <f>$E3599+11</f>
        <v>115</v>
      </c>
      <c r="V3599" s="12">
        <f>IF($J3599=0,0,ROUND(MAX($J3599*1.4*1.5*1.6*1.6*2.2*2.715,354000000*(1.642074^(MIN($E3599,123)-117)))*1,0))</f>
        <v>560916</v>
      </c>
      <c r="W3599" s="13">
        <f>$E3599+15</f>
        <v>119</v>
      </c>
      <c r="X3599" s="14">
        <f>IF($J3599=0,0,ROUND(MAX($J3599*1.4*1.5*1.6*1.6*2.2*2.715*2.6,3540000000*(1.579646^(MIN($E3599,123)-117)))*1,0))</f>
        <v>9283810</v>
      </c>
      <c r="Y3599" s="11">
        <f>$E3599+17</f>
        <v>121</v>
      </c>
      <c r="Z3599" s="12">
        <f>IF($J3599=0,0,ROUND(MAX($J3599*1.4*1.5*1.6*1.6*2.2*2.715*2.6*1.4,6020000000*(1.651178^(MIN($E3599,123)-117)))*1,0))</f>
        <v>8877197</v>
      </c>
      <c r="AA3599" s="13">
        <f>$E3599+19</f>
        <v>123</v>
      </c>
      <c r="AB3599" s="14">
        <f>IF($J3599=0,0,ROUND(MAX($J3599*1.4*1.5*1.6*1.6*2.2*2.715*2.6*1.4*1.4,8430000000*(1.651435^(MIN($E3599,123)-117)))*1,0))</f>
        <v>12405900</v>
      </c>
      <c r="AC3599" s="11">
        <f>$E3599+21</f>
        <v>125</v>
      </c>
      <c r="AD3599" s="12">
        <f>IF($J3599=0,0,ROUND(MAX($J3599*1.4*1.5*1.6*1.6*2.2*2.715*2.6*1.4*1.4*1.5,12600000000*(1.652953^(MIN($E3599,123)-117)))*1,0))</f>
        <v>18322468</v>
      </c>
      <c r="AE3599" s="13">
        <f>$E3599+24</f>
        <v>128</v>
      </c>
      <c r="AF3599" s="14">
        <f>IF($J3599=0,0,ROUND(MAX($J3599*1.4*1.5*1.6*1.6*2.2*2.715*2.6*1.4*1.4*1.5*1.5,18900000000*(1.65331^(MIN($E3599,123)-117)))*1,0))</f>
        <v>27406653</v>
      </c>
      <c r="AG3599" s="11">
        <f>$E3599+27</f>
        <v>131</v>
      </c>
      <c r="AH3599" s="12">
        <f>IF($J3599=0,0,ROUND(MAX($J3599*1.4*1.5*1.6*1.6*2.2*2.715*2.6*1.4*1.4*1.5*1.5*3.2,60500000000*(1.654288^(MIN($E3599,123)-117)))*1,0))</f>
        <v>87058428</v>
      </c>
    </row>
    <row r="3600" ht="28" customHeight="1" spans="1:34" x14ac:dyDescent="0.25">
      <c r="A3600">
        <v>3610</v>
      </c>
      <c r="B3600" t="s">
        <v>752</v>
      </c>
      <c r="C3600" s="10" t="s">
        <v>1807</v>
      </c>
      <c r="D3600" t="s">
        <v>75</v>
      </c>
      <c r="E3600">
        <v>104</v>
      </c>
      <c r="F3600" t="s">
        <v>71</v>
      </c>
      <c r="G3600" t="s">
        <v>270</v>
      </c>
      <c r="H3600">
        <v>22</v>
      </c>
      <c r="I3600" s="11">
        <f>$E3600+0</f>
        <v>104</v>
      </c>
      <c r="J3600" s="12">
        <v>23000</v>
      </c>
      <c r="K3600" s="13">
        <f>$E3600+1</f>
        <v>105</v>
      </c>
      <c r="L3600" s="14">
        <f>IF($J3600=0,0,ROUND(MAX($J3600*1.4,1620000*(1.497923^(MIN($E3600,123)-117)))*1,0))</f>
        <v>32200</v>
      </c>
      <c r="M3600" s="11">
        <f>$E3600+2</f>
        <v>106</v>
      </c>
      <c r="N3600" s="12">
        <f>IF($J3600=0,0,ROUND(MAX($J3600*1.4*1.5,2190000*(1.580994^(MIN($E3600,123)-117)))*1,0))</f>
        <v>48300</v>
      </c>
      <c r="O3600" s="13">
        <f>$E3600+4</f>
        <v>108</v>
      </c>
      <c r="P3600" s="14">
        <f>IF($J3600=0,0,ROUND(MAX($J3600*1.4*1.5*1.6,3500000*(1.57975^(MIN($E3600,123)-117)))*1,0))</f>
        <v>77280</v>
      </c>
      <c r="Q3600" s="11">
        <f>$E3600+6</f>
        <v>110</v>
      </c>
      <c r="R3600" s="12">
        <f>IF($J3600=0,0,ROUND(MAX($J3600*1.4*1.5*1.6*1.6,13100000*(1.429962^(MIN($E3600,123)-117)))*1,0))</f>
        <v>125329</v>
      </c>
      <c r="S3600" s="13">
        <f>$E3600+8</f>
        <v>112</v>
      </c>
      <c r="T3600" s="14">
        <f>IF($J3600=0,0,ROUND(MAX($J3600*1.4*1.5*1.6*1.6*2.2,42600000*(1.576904^(MIN($E3600,123)-117)))*1,0))</f>
        <v>272026</v>
      </c>
      <c r="U3600" s="11">
        <f>$E3600+11</f>
        <v>115</v>
      </c>
      <c r="V3600" s="12">
        <f>IF($J3600=0,0,ROUND(MAX($J3600*1.4*1.5*1.6*1.6*2.2*2.715,354000000*(1.642074^(MIN($E3600,123)-117)))*1,0))</f>
        <v>738550</v>
      </c>
      <c r="W3600" s="13">
        <f>$E3600+15</f>
        <v>119</v>
      </c>
      <c r="X3600" s="14">
        <f>IF($J3600=0,0,ROUND(MAX($J3600*1.4*1.5*1.6*1.6*2.2*2.715*2.6,3540000000*(1.579646^(MIN($E3600,123)-117)))*1,0))</f>
        <v>9283810</v>
      </c>
      <c r="Y3600" s="11">
        <f>$E3600+17</f>
        <v>121</v>
      </c>
      <c r="Z3600" s="12">
        <f>IF($J3600=0,0,ROUND(MAX($J3600*1.4*1.5*1.6*1.6*2.2*2.715*2.6*1.4,6020000000*(1.651178^(MIN($E3600,123)-117)))*1,0))</f>
        <v>8877197</v>
      </c>
      <c r="AA3600" s="13">
        <f>$E3600+19</f>
        <v>123</v>
      </c>
      <c r="AB3600" s="14">
        <f>IF($J3600=0,0,ROUND(MAX($J3600*1.4*1.5*1.6*1.6*2.2*2.715*2.6*1.4*1.4,8430000000*(1.651435^(MIN($E3600,123)-117)))*1,0))</f>
        <v>12405900</v>
      </c>
      <c r="AC3600" s="11">
        <f>$E3600+21</f>
        <v>125</v>
      </c>
      <c r="AD3600" s="12">
        <f>IF($J3600=0,0,ROUND(MAX($J3600*1.4*1.5*1.6*1.6*2.2*2.715*2.6*1.4*1.4*1.5,12600000000*(1.652953^(MIN($E3600,123)-117)))*1,0))</f>
        <v>18322468</v>
      </c>
      <c r="AE3600" s="13">
        <f>$E3600+24</f>
        <v>128</v>
      </c>
      <c r="AF3600" s="14">
        <f>IF($J3600=0,0,ROUND(MAX($J3600*1.4*1.5*1.6*1.6*2.2*2.715*2.6*1.4*1.4*1.5*1.5,18900000000*(1.65331^(MIN($E3600,123)-117)))*1,0))</f>
        <v>27406653</v>
      </c>
      <c r="AG3600" s="11">
        <f>$E3600+27</f>
        <v>131</v>
      </c>
      <c r="AH3600" s="12">
        <f>IF($J3600=0,0,ROUND(MAX($J3600*1.4*1.5*1.6*1.6*2.2*2.715*2.6*1.4*1.4*1.5*1.5*3.2,60500000000*(1.654288^(MIN($E3600,123)-117)))*1,0))</f>
        <v>87058428</v>
      </c>
    </row>
    <row r="3601" ht="28" customHeight="1" spans="1:34" x14ac:dyDescent="0.25">
      <c r="A3601">
        <v>3611</v>
      </c>
      <c r="B3601" t="s">
        <v>815</v>
      </c>
      <c r="C3601" s="10" t="s">
        <v>1807</v>
      </c>
      <c r="D3601" t="s">
        <v>90</v>
      </c>
      <c r="E3601">
        <v>104</v>
      </c>
      <c r="F3601" t="s">
        <v>56</v>
      </c>
      <c r="G3601" t="s">
        <v>816</v>
      </c>
      <c r="H3601">
        <v>22</v>
      </c>
      <c r="I3601" s="11">
        <f>$E3601+0</f>
        <v>104</v>
      </c>
      <c r="J3601" s="12">
        <v>16500</v>
      </c>
      <c r="K3601" s="13">
        <f>$E3601+1</f>
        <v>105</v>
      </c>
      <c r="L3601" s="14">
        <f>IF($J3601=0,0,ROUND(MAX($J3601*1.4,1620000*(1.497923^(MIN($E3601,123)-117)))*1,0))</f>
        <v>23100</v>
      </c>
      <c r="M3601" s="11">
        <f>$E3601+2</f>
        <v>106</v>
      </c>
      <c r="N3601" s="12">
        <f>IF($J3601=0,0,ROUND(MAX($J3601*1.4*1.5,2190000*(1.580994^(MIN($E3601,123)-117)))*1,0))</f>
        <v>34650</v>
      </c>
      <c r="O3601" s="13">
        <f>$E3601+4</f>
        <v>108</v>
      </c>
      <c r="P3601" s="14">
        <f>IF($J3601=0,0,ROUND(MAX($J3601*1.4*1.5*1.6,3500000*(1.57975^(MIN($E3601,123)-117)))*1,0))</f>
        <v>55440</v>
      </c>
      <c r="Q3601" s="11">
        <f>$E3601+6</f>
        <v>110</v>
      </c>
      <c r="R3601" s="12">
        <f>IF($J3601=0,0,ROUND(MAX($J3601*1.4*1.5*1.6*1.6,13100000*(1.429962^(MIN($E3601,123)-117)))*1,0))</f>
        <v>125329</v>
      </c>
      <c r="S3601" s="13">
        <f>$E3601+8</f>
        <v>112</v>
      </c>
      <c r="T3601" s="14">
        <f>IF($J3601=0,0,ROUND(MAX($J3601*1.4*1.5*1.6*1.6*2.2,42600000*(1.576904^(MIN($E3601,123)-117)))*1,0))</f>
        <v>195149</v>
      </c>
      <c r="U3601" s="11">
        <f>$E3601+11</f>
        <v>115</v>
      </c>
      <c r="V3601" s="12">
        <f>IF($J3601=0,0,ROUND(MAX($J3601*1.4*1.5*1.6*1.6*2.2*2.715,354000000*(1.642074^(MIN($E3601,123)-117)))*1,0))</f>
        <v>560916</v>
      </c>
      <c r="W3601" s="13">
        <f>$E3601+15</f>
        <v>119</v>
      </c>
      <c r="X3601" s="14">
        <f>IF($J3601=0,0,ROUND(MAX($J3601*1.4*1.5*1.6*1.6*2.2*2.715*2.6,3540000000*(1.579646^(MIN($E3601,123)-117)))*1,0))</f>
        <v>9283810</v>
      </c>
      <c r="Y3601" s="11">
        <f>$E3601+17</f>
        <v>121</v>
      </c>
      <c r="Z3601" s="12">
        <f>IF($J3601=0,0,ROUND(MAX($J3601*1.4*1.5*1.6*1.6*2.2*2.715*2.6*1.4,6020000000*(1.651178^(MIN($E3601,123)-117)))*1,0))</f>
        <v>8877197</v>
      </c>
      <c r="AA3601" s="13">
        <f>$E3601+19</f>
        <v>123</v>
      </c>
      <c r="AB3601" s="14">
        <f>IF($J3601=0,0,ROUND(MAX($J3601*1.4*1.5*1.6*1.6*2.2*2.715*2.6*1.4*1.4,8430000000*(1.651435^(MIN($E3601,123)-117)))*1,0))</f>
        <v>12405900</v>
      </c>
      <c r="AC3601" s="11">
        <f>$E3601+21</f>
        <v>125</v>
      </c>
      <c r="AD3601" s="12">
        <f>IF($J3601=0,0,ROUND(MAX($J3601*1.4*1.5*1.6*1.6*2.2*2.715*2.6*1.4*1.4*1.5,12600000000*(1.652953^(MIN($E3601,123)-117)))*1,0))</f>
        <v>18322468</v>
      </c>
      <c r="AE3601" s="13">
        <f>$E3601+24</f>
        <v>128</v>
      </c>
      <c r="AF3601" s="14">
        <f>IF($J3601=0,0,ROUND(MAX($J3601*1.4*1.5*1.6*1.6*2.2*2.715*2.6*1.4*1.4*1.5*1.5,18900000000*(1.65331^(MIN($E3601,123)-117)))*1,0))</f>
        <v>27406653</v>
      </c>
      <c r="AG3601" s="11">
        <f>$E3601+27</f>
        <v>131</v>
      </c>
      <c r="AH3601" s="12">
        <f>IF($J3601=0,0,ROUND(MAX($J3601*1.4*1.5*1.6*1.6*2.2*2.715*2.6*1.4*1.4*1.5*1.5*3.2,60500000000*(1.654288^(MIN($E3601,123)-117)))*1,0))</f>
        <v>87058428</v>
      </c>
    </row>
    <row r="3602" ht="28" customHeight="1" spans="1:34" x14ac:dyDescent="0.25">
      <c r="A3602">
        <v>3612</v>
      </c>
      <c r="B3602" t="s">
        <v>948</v>
      </c>
      <c r="C3602" s="10" t="s">
        <v>1807</v>
      </c>
      <c r="D3602" t="s">
        <v>33</v>
      </c>
      <c r="E3602">
        <v>104</v>
      </c>
      <c r="F3602" t="s">
        <v>62</v>
      </c>
      <c r="G3602" t="s">
        <v>562</v>
      </c>
      <c r="H3602">
        <v>22</v>
      </c>
      <c r="I3602" s="11">
        <f>$E3602+0</f>
        <v>104</v>
      </c>
      <c r="J3602" s="12">
        <v>6510</v>
      </c>
      <c r="K3602" s="13">
        <f>$E3602+1</f>
        <v>105</v>
      </c>
      <c r="L3602" s="14">
        <f>IF($J3602=0,0,ROUND(MAX($J3602*1.4,1620000*(1.497923^(MIN($E3602,123)-117)))*1,0))</f>
        <v>9114</v>
      </c>
      <c r="M3602" s="11">
        <f>$E3602+2</f>
        <v>106</v>
      </c>
      <c r="N3602" s="12">
        <f>IF($J3602=0,0,ROUND(MAX($J3602*1.4*1.5,2190000*(1.580994^(MIN($E3602,123)-117)))*1,0))</f>
        <v>13671</v>
      </c>
      <c r="O3602" s="13">
        <f>$E3602+4</f>
        <v>108</v>
      </c>
      <c r="P3602" s="14">
        <f>IF($J3602=0,0,ROUND(MAX($J3602*1.4*1.5*1.6,3500000*(1.57975^(MIN($E3602,123)-117)))*1,0))</f>
        <v>21874</v>
      </c>
      <c r="Q3602" s="11">
        <f>$E3602+6</f>
        <v>110</v>
      </c>
      <c r="R3602" s="12">
        <f>IF($J3602=0,0,ROUND(MAX($J3602*1.4*1.5*1.6*1.6,13100000*(1.429962^(MIN($E3602,123)-117)))*1,0))</f>
        <v>125329</v>
      </c>
      <c r="S3602" s="13">
        <f>$E3602+8</f>
        <v>112</v>
      </c>
      <c r="T3602" s="14">
        <f>IF($J3602=0,0,ROUND(MAX($J3602*1.4*1.5*1.6*1.6*2.2,42600000*(1.576904^(MIN($E3602,123)-117)))*1,0))</f>
        <v>114272</v>
      </c>
      <c r="U3602" s="11">
        <f>$E3602+11</f>
        <v>115</v>
      </c>
      <c r="V3602" s="12">
        <f>IF($J3602=0,0,ROUND(MAX($J3602*1.4*1.5*1.6*1.6*2.2*2.715,354000000*(1.642074^(MIN($E3602,123)-117)))*1,0))</f>
        <v>560916</v>
      </c>
      <c r="W3602" s="13">
        <f>$E3602+15</f>
        <v>119</v>
      </c>
      <c r="X3602" s="14">
        <f>IF($J3602=0,0,ROUND(MAX($J3602*1.4*1.5*1.6*1.6*2.2*2.715*2.6,3540000000*(1.579646^(MIN($E3602,123)-117)))*1,0))</f>
        <v>9283810</v>
      </c>
      <c r="Y3602" s="11">
        <f>$E3602+17</f>
        <v>121</v>
      </c>
      <c r="Z3602" s="12">
        <f>IF($J3602=0,0,ROUND(MAX($J3602*1.4*1.5*1.6*1.6*2.2*2.715*2.6*1.4,6020000000*(1.651178^(MIN($E3602,123)-117)))*1,0))</f>
        <v>8877197</v>
      </c>
      <c r="AA3602" s="13">
        <f>$E3602+19</f>
        <v>123</v>
      </c>
      <c r="AB3602" s="14">
        <f>IF($J3602=0,0,ROUND(MAX($J3602*1.4*1.5*1.6*1.6*2.2*2.715*2.6*1.4*1.4,8430000000*(1.651435^(MIN($E3602,123)-117)))*1,0))</f>
        <v>12405900</v>
      </c>
      <c r="AC3602" s="11">
        <f>$E3602+21</f>
        <v>125</v>
      </c>
      <c r="AD3602" s="12">
        <f>IF($J3602=0,0,ROUND(MAX($J3602*1.4*1.5*1.6*1.6*2.2*2.715*2.6*1.4*1.4*1.5,12600000000*(1.652953^(MIN($E3602,123)-117)))*1,0))</f>
        <v>18322468</v>
      </c>
      <c r="AE3602" s="13">
        <f>$E3602+24</f>
        <v>128</v>
      </c>
      <c r="AF3602" s="14">
        <f>IF($J3602=0,0,ROUND(MAX($J3602*1.4*1.5*1.6*1.6*2.2*2.715*2.6*1.4*1.4*1.5*1.5,18900000000*(1.65331^(MIN($E3602,123)-117)))*1,0))</f>
        <v>27406653</v>
      </c>
      <c r="AG3602" s="11">
        <f>$E3602+27</f>
        <v>131</v>
      </c>
      <c r="AH3602" s="12">
        <f>IF($J3602=0,0,ROUND(MAX($J3602*1.4*1.5*1.6*1.6*2.2*2.715*2.6*1.4*1.4*1.5*1.5*3.2,60500000000*(1.654288^(MIN($E3602,123)-117)))*1,0))</f>
        <v>87058428</v>
      </c>
    </row>
    <row r="3603" ht="28" customHeight="1" spans="1:34" x14ac:dyDescent="0.25">
      <c r="A3603">
        <v>3613</v>
      </c>
      <c r="B3603" t="s">
        <v>943</v>
      </c>
      <c r="C3603" s="10" t="s">
        <v>1807</v>
      </c>
      <c r="D3603" t="s">
        <v>45</v>
      </c>
      <c r="E3603">
        <v>104</v>
      </c>
      <c r="F3603" t="s">
        <v>212</v>
      </c>
      <c r="G3603" t="s">
        <v>562</v>
      </c>
      <c r="H3603">
        <v>22</v>
      </c>
      <c r="I3603" s="11">
        <f>$E3603+0</f>
        <v>104</v>
      </c>
      <c r="J3603" s="12">
        <v>9400</v>
      </c>
      <c r="K3603" s="13">
        <f>$E3603+1</f>
        <v>105</v>
      </c>
      <c r="L3603" s="14">
        <f>IF($J3603=0,0,ROUND(MAX($J3603*1.4,1620000*(1.497923^(MIN($E3603,123)-117)))*1,0))</f>
        <v>13160</v>
      </c>
      <c r="M3603" s="11">
        <f>$E3603+2</f>
        <v>106</v>
      </c>
      <c r="N3603" s="12">
        <f>IF($J3603=0,0,ROUND(MAX($J3603*1.4*1.5,2190000*(1.580994^(MIN($E3603,123)-117)))*1,0))</f>
        <v>19740</v>
      </c>
      <c r="O3603" s="13">
        <f>$E3603+4</f>
        <v>108</v>
      </c>
      <c r="P3603" s="14">
        <f>IF($J3603=0,0,ROUND(MAX($J3603*1.4*1.5*1.6,3500000*(1.57975^(MIN($E3603,123)-117)))*1,0))</f>
        <v>31584</v>
      </c>
      <c r="Q3603" s="11">
        <f>$E3603+6</f>
        <v>110</v>
      </c>
      <c r="R3603" s="12">
        <f>IF($J3603=0,0,ROUND(MAX($J3603*1.4*1.5*1.6*1.6,13100000*(1.429962^(MIN($E3603,123)-117)))*1,0))</f>
        <v>125329</v>
      </c>
      <c r="S3603" s="13">
        <f>$E3603+8</f>
        <v>112</v>
      </c>
      <c r="T3603" s="14">
        <f>IF($J3603=0,0,ROUND(MAX($J3603*1.4*1.5*1.6*1.6*2.2,42600000*(1.576904^(MIN($E3603,123)-117)))*1,0))</f>
        <v>114272</v>
      </c>
      <c r="U3603" s="11">
        <f>$E3603+11</f>
        <v>115</v>
      </c>
      <c r="V3603" s="12">
        <f>IF($J3603=0,0,ROUND(MAX($J3603*1.4*1.5*1.6*1.6*2.2*2.715,354000000*(1.642074^(MIN($E3603,123)-117)))*1,0))</f>
        <v>560916</v>
      </c>
      <c r="W3603" s="13">
        <f>$E3603+15</f>
        <v>119</v>
      </c>
      <c r="X3603" s="14">
        <f>IF($J3603=0,0,ROUND(MAX($J3603*1.4*1.5*1.6*1.6*2.2*2.715*2.6,3540000000*(1.579646^(MIN($E3603,123)-117)))*1,0))</f>
        <v>9283810</v>
      </c>
      <c r="Y3603" s="11">
        <f>$E3603+17</f>
        <v>121</v>
      </c>
      <c r="Z3603" s="12">
        <f>IF($J3603=0,0,ROUND(MAX($J3603*1.4*1.5*1.6*1.6*2.2*2.715*2.6*1.4,6020000000*(1.651178^(MIN($E3603,123)-117)))*1,0))</f>
        <v>8877197</v>
      </c>
      <c r="AA3603" s="13">
        <f>$E3603+19</f>
        <v>123</v>
      </c>
      <c r="AB3603" s="14">
        <f>IF($J3603=0,0,ROUND(MAX($J3603*1.4*1.5*1.6*1.6*2.2*2.715*2.6*1.4*1.4,8430000000*(1.651435^(MIN($E3603,123)-117)))*1,0))</f>
        <v>12405900</v>
      </c>
      <c r="AC3603" s="11">
        <f>$E3603+21</f>
        <v>125</v>
      </c>
      <c r="AD3603" s="12">
        <f>IF($J3603=0,0,ROUND(MAX($J3603*1.4*1.5*1.6*1.6*2.2*2.715*2.6*1.4*1.4*1.5,12600000000*(1.652953^(MIN($E3603,123)-117)))*1,0))</f>
        <v>18322468</v>
      </c>
      <c r="AE3603" s="13">
        <f>$E3603+24</f>
        <v>128</v>
      </c>
      <c r="AF3603" s="14">
        <f>IF($J3603=0,0,ROUND(MAX($J3603*1.4*1.5*1.6*1.6*2.2*2.715*2.6*1.4*1.4*1.5*1.5,18900000000*(1.65331^(MIN($E3603,123)-117)))*1,0))</f>
        <v>27406653</v>
      </c>
      <c r="AG3603" s="11">
        <f>$E3603+27</f>
        <v>131</v>
      </c>
      <c r="AH3603" s="12">
        <f>IF($J3603=0,0,ROUND(MAX($J3603*1.4*1.5*1.6*1.6*2.2*2.715*2.6*1.4*1.4*1.5*1.5*3.2,60500000000*(1.654288^(MIN($E3603,123)-117)))*1,0))</f>
        <v>87058428</v>
      </c>
    </row>
    <row r="3604" ht="28" customHeight="1" spans="1:34" x14ac:dyDescent="0.25">
      <c r="A3604">
        <v>3614</v>
      </c>
      <c r="B3604" t="s">
        <v>150</v>
      </c>
      <c r="C3604" s="10" t="s">
        <v>1807</v>
      </c>
      <c r="D3604" t="s">
        <v>33</v>
      </c>
      <c r="E3604">
        <v>104</v>
      </c>
      <c r="F3604" t="s">
        <v>42</v>
      </c>
      <c r="G3604" t="s">
        <v>562</v>
      </c>
      <c r="H3604">
        <v>22</v>
      </c>
      <c r="I3604" s="11">
        <f>$E3604+0</f>
        <v>104</v>
      </c>
      <c r="J3604" s="12">
        <v>10300</v>
      </c>
      <c r="K3604" s="13">
        <f>$E3604+1</f>
        <v>105</v>
      </c>
      <c r="L3604" s="14">
        <f>IF($J3604=0,0,ROUND(MAX($J3604*1.4,1620000*(1.497923^(MIN($E3604,123)-117)))*1,0))</f>
        <v>14420</v>
      </c>
      <c r="M3604" s="11">
        <f>$E3604+2</f>
        <v>106</v>
      </c>
      <c r="N3604" s="12">
        <f>IF($J3604=0,0,ROUND(MAX($J3604*1.4*1.5,2190000*(1.580994^(MIN($E3604,123)-117)))*1,0))</f>
        <v>21630</v>
      </c>
      <c r="O3604" s="13">
        <f>$E3604+4</f>
        <v>108</v>
      </c>
      <c r="P3604" s="14">
        <f>IF($J3604=0,0,ROUND(MAX($J3604*1.4*1.5*1.6,3500000*(1.57975^(MIN($E3604,123)-117)))*1,0))</f>
        <v>34608</v>
      </c>
      <c r="Q3604" s="11">
        <f>$E3604+6</f>
        <v>110</v>
      </c>
      <c r="R3604" s="12">
        <f>IF($J3604=0,0,ROUND(MAX($J3604*1.4*1.5*1.6*1.6,13100000*(1.429962^(MIN($E3604,123)-117)))*1,0))</f>
        <v>125329</v>
      </c>
      <c r="S3604" s="13">
        <f>$E3604+8</f>
        <v>112</v>
      </c>
      <c r="T3604" s="14">
        <f>IF($J3604=0,0,ROUND(MAX($J3604*1.4*1.5*1.6*1.6*2.2,42600000*(1.576904^(MIN($E3604,123)-117)))*1,0))</f>
        <v>121820</v>
      </c>
      <c r="U3604" s="11">
        <f>$E3604+11</f>
        <v>115</v>
      </c>
      <c r="V3604" s="12">
        <f>IF($J3604=0,0,ROUND(MAX($J3604*1.4*1.5*1.6*1.6*2.2*2.715,354000000*(1.642074^(MIN($E3604,123)-117)))*1,0))</f>
        <v>560916</v>
      </c>
      <c r="W3604" s="13">
        <f>$E3604+15</f>
        <v>119</v>
      </c>
      <c r="X3604" s="14">
        <f>IF($J3604=0,0,ROUND(MAX($J3604*1.4*1.5*1.6*1.6*2.2*2.715*2.6,3540000000*(1.579646^(MIN($E3604,123)-117)))*1,0))</f>
        <v>9283810</v>
      </c>
      <c r="Y3604" s="11">
        <f>$E3604+17</f>
        <v>121</v>
      </c>
      <c r="Z3604" s="12">
        <f>IF($J3604=0,0,ROUND(MAX($J3604*1.4*1.5*1.6*1.6*2.2*2.715*2.6*1.4,6020000000*(1.651178^(MIN($E3604,123)-117)))*1,0))</f>
        <v>8877197</v>
      </c>
      <c r="AA3604" s="13">
        <f>$E3604+19</f>
        <v>123</v>
      </c>
      <c r="AB3604" s="14">
        <f>IF($J3604=0,0,ROUND(MAX($J3604*1.4*1.5*1.6*1.6*2.2*2.715*2.6*1.4*1.4,8430000000*(1.651435^(MIN($E3604,123)-117)))*1,0))</f>
        <v>12405900</v>
      </c>
      <c r="AC3604" s="11">
        <f>$E3604+21</f>
        <v>125</v>
      </c>
      <c r="AD3604" s="12">
        <f>IF($J3604=0,0,ROUND(MAX($J3604*1.4*1.5*1.6*1.6*2.2*2.715*2.6*1.4*1.4*1.5,12600000000*(1.652953^(MIN($E3604,123)-117)))*1,0))</f>
        <v>18322468</v>
      </c>
      <c r="AE3604" s="13">
        <f>$E3604+24</f>
        <v>128</v>
      </c>
      <c r="AF3604" s="14">
        <f>IF($J3604=0,0,ROUND(MAX($J3604*1.4*1.5*1.6*1.6*2.2*2.715*2.6*1.4*1.4*1.5*1.5,18900000000*(1.65331^(MIN($E3604,123)-117)))*1,0))</f>
        <v>27406653</v>
      </c>
      <c r="AG3604" s="11">
        <f>$E3604+27</f>
        <v>131</v>
      </c>
      <c r="AH3604" s="12">
        <f>IF($J3604=0,0,ROUND(MAX($J3604*1.4*1.5*1.6*1.6*2.2*2.715*2.6*1.4*1.4*1.5*1.5*3.2,60500000000*(1.654288^(MIN($E3604,123)-117)))*1,0))</f>
        <v>87058428</v>
      </c>
    </row>
    <row r="3605" ht="28" customHeight="1" spans="1:34" x14ac:dyDescent="0.25">
      <c r="A3605">
        <v>3615</v>
      </c>
      <c r="B3605" t="s">
        <v>1811</v>
      </c>
      <c r="C3605" s="10" t="s">
        <v>1807</v>
      </c>
      <c r="D3605" t="s">
        <v>40</v>
      </c>
      <c r="E3605">
        <v>104</v>
      </c>
      <c r="F3605" t="s">
        <v>26</v>
      </c>
      <c r="G3605" t="s">
        <v>562</v>
      </c>
      <c r="H3605">
        <v>22</v>
      </c>
      <c r="I3605" s="11">
        <f>$E3605+0</f>
        <v>104</v>
      </c>
      <c r="J3605" s="12">
        <v>21800</v>
      </c>
      <c r="K3605" s="13">
        <f>$E3605+1</f>
        <v>105</v>
      </c>
      <c r="L3605" s="14">
        <f>IF($J3605=0,0,ROUND(MAX($J3605*1.4,1620000*(1.497923^(MIN($E3605,123)-117)))*1,0))</f>
        <v>30520</v>
      </c>
      <c r="M3605" s="11">
        <f>$E3605+2</f>
        <v>106</v>
      </c>
      <c r="N3605" s="12">
        <f>IF($J3605=0,0,ROUND(MAX($J3605*1.4*1.5,2190000*(1.580994^(MIN($E3605,123)-117)))*1,0))</f>
        <v>45780</v>
      </c>
      <c r="O3605" s="13">
        <f>$E3605+4</f>
        <v>108</v>
      </c>
      <c r="P3605" s="14">
        <f>IF($J3605=0,0,ROUND(MAX($J3605*1.4*1.5*1.6,3500000*(1.57975^(MIN($E3605,123)-117)))*1,0))</f>
        <v>73248</v>
      </c>
      <c r="Q3605" s="11">
        <f>$E3605+6</f>
        <v>110</v>
      </c>
      <c r="R3605" s="12">
        <f>IF($J3605=0,0,ROUND(MAX($J3605*1.4*1.5*1.6*1.6,13100000*(1.429962^(MIN($E3605,123)-117)))*1,0))</f>
        <v>125329</v>
      </c>
      <c r="S3605" s="13">
        <f>$E3605+8</f>
        <v>112</v>
      </c>
      <c r="T3605" s="14">
        <f>IF($J3605=0,0,ROUND(MAX($J3605*1.4*1.5*1.6*1.6*2.2,42600000*(1.576904^(MIN($E3605,123)-117)))*1,0))</f>
        <v>257833</v>
      </c>
      <c r="U3605" s="11">
        <f>$E3605+11</f>
        <v>115</v>
      </c>
      <c r="V3605" s="12">
        <f>IF($J3605=0,0,ROUND(MAX($J3605*1.4*1.5*1.6*1.6*2.2*2.715,354000000*(1.642074^(MIN($E3605,123)-117)))*1,0))</f>
        <v>700016</v>
      </c>
      <c r="W3605" s="13">
        <f>$E3605+15</f>
        <v>119</v>
      </c>
      <c r="X3605" s="14">
        <f>IF($J3605=0,0,ROUND(MAX($J3605*1.4*1.5*1.6*1.6*2.2*2.715*2.6,3540000000*(1.579646^(MIN($E3605,123)-117)))*1,0))</f>
        <v>9283810</v>
      </c>
      <c r="Y3605" s="11">
        <f>$E3605+17</f>
        <v>121</v>
      </c>
      <c r="Z3605" s="12">
        <f>IF($J3605=0,0,ROUND(MAX($J3605*1.4*1.5*1.6*1.6*2.2*2.715*2.6*1.4,6020000000*(1.651178^(MIN($E3605,123)-117)))*1,0))</f>
        <v>8877197</v>
      </c>
      <c r="AA3605" s="13">
        <f>$E3605+19</f>
        <v>123</v>
      </c>
      <c r="AB3605" s="14">
        <f>IF($J3605=0,0,ROUND(MAX($J3605*1.4*1.5*1.6*1.6*2.2*2.715*2.6*1.4*1.4,8430000000*(1.651435^(MIN($E3605,123)-117)))*1,0))</f>
        <v>12405900</v>
      </c>
      <c r="AC3605" s="11">
        <f>$E3605+21</f>
        <v>125</v>
      </c>
      <c r="AD3605" s="12">
        <f>IF($J3605=0,0,ROUND(MAX($J3605*1.4*1.5*1.6*1.6*2.2*2.715*2.6*1.4*1.4*1.5,12600000000*(1.652953^(MIN($E3605,123)-117)))*1,0))</f>
        <v>18322468</v>
      </c>
      <c r="AE3605" s="13">
        <f>$E3605+24</f>
        <v>128</v>
      </c>
      <c r="AF3605" s="14">
        <f>IF($J3605=0,0,ROUND(MAX($J3605*1.4*1.5*1.6*1.6*2.2*2.715*2.6*1.4*1.4*1.5*1.5,18900000000*(1.65331^(MIN($E3605,123)-117)))*1,0))</f>
        <v>27406653</v>
      </c>
      <c r="AG3605" s="11">
        <f>$E3605+27</f>
        <v>131</v>
      </c>
      <c r="AH3605" s="12">
        <f>IF($J3605=0,0,ROUND(MAX($J3605*1.4*1.5*1.6*1.6*2.2*2.715*2.6*1.4*1.4*1.5*1.5*3.2,60500000000*(1.654288^(MIN($E3605,123)-117)))*1,0))</f>
        <v>87058428</v>
      </c>
    </row>
    <row r="3606" ht="28" customHeight="1" spans="1:34" x14ac:dyDescent="0.25">
      <c r="A3606">
        <v>3616</v>
      </c>
      <c r="B3606" t="s">
        <v>567</v>
      </c>
      <c r="C3606" s="10" t="s">
        <v>1807</v>
      </c>
      <c r="D3606" t="s">
        <v>33</v>
      </c>
      <c r="E3606">
        <v>104</v>
      </c>
      <c r="F3606" t="s">
        <v>30</v>
      </c>
      <c r="G3606" t="s">
        <v>354</v>
      </c>
      <c r="H3606">
        <v>22</v>
      </c>
      <c r="I3606" s="11">
        <f>$E3606+0</f>
        <v>104</v>
      </c>
      <c r="J3606" s="12">
        <v>10500</v>
      </c>
      <c r="K3606" s="13">
        <f>$E3606+1</f>
        <v>105</v>
      </c>
      <c r="L3606" s="14">
        <f>IF($J3606=0,0,ROUND(MAX($J3606*1.4,1620000*(1.497923^(MIN($E3606,123)-117)))*1,0))</f>
        <v>14700</v>
      </c>
      <c r="M3606" s="11">
        <f>$E3606+2</f>
        <v>106</v>
      </c>
      <c r="N3606" s="12">
        <f>IF($J3606=0,0,ROUND(MAX($J3606*1.4*1.5,2190000*(1.580994^(MIN($E3606,123)-117)))*1,0))</f>
        <v>22050</v>
      </c>
      <c r="O3606" s="13">
        <f>$E3606+4</f>
        <v>108</v>
      </c>
      <c r="P3606" s="14">
        <f>IF($J3606=0,0,ROUND(MAX($J3606*1.4*1.5*1.6,3500000*(1.57975^(MIN($E3606,123)-117)))*1,0))</f>
        <v>35280</v>
      </c>
      <c r="Q3606" s="11">
        <f>$E3606+6</f>
        <v>110</v>
      </c>
      <c r="R3606" s="12">
        <f>IF($J3606=0,0,ROUND(MAX($J3606*1.4*1.5*1.6*1.6,13100000*(1.429962^(MIN($E3606,123)-117)))*1,0))</f>
        <v>125329</v>
      </c>
      <c r="S3606" s="13">
        <f>$E3606+8</f>
        <v>112</v>
      </c>
      <c r="T3606" s="14">
        <f>IF($J3606=0,0,ROUND(MAX($J3606*1.4*1.5*1.6*1.6*2.2,42600000*(1.576904^(MIN($E3606,123)-117)))*1,0))</f>
        <v>124186</v>
      </c>
      <c r="U3606" s="11">
        <f>$E3606+11</f>
        <v>115</v>
      </c>
      <c r="V3606" s="12">
        <f>IF($J3606=0,0,ROUND(MAX($J3606*1.4*1.5*1.6*1.6*2.2*2.715,354000000*(1.642074^(MIN($E3606,123)-117)))*1,0))</f>
        <v>560916</v>
      </c>
      <c r="W3606" s="13">
        <f>$E3606+15</f>
        <v>119</v>
      </c>
      <c r="X3606" s="14">
        <f>IF($J3606=0,0,ROUND(MAX($J3606*1.4*1.5*1.6*1.6*2.2*2.715*2.6,3540000000*(1.579646^(MIN($E3606,123)-117)))*1,0))</f>
        <v>9283810</v>
      </c>
      <c r="Y3606" s="11">
        <f>$E3606+17</f>
        <v>121</v>
      </c>
      <c r="Z3606" s="12">
        <f>IF($J3606=0,0,ROUND(MAX($J3606*1.4*1.5*1.6*1.6*2.2*2.715*2.6*1.4,6020000000*(1.651178^(MIN($E3606,123)-117)))*1,0))</f>
        <v>8877197</v>
      </c>
      <c r="AA3606" s="13">
        <f>$E3606+19</f>
        <v>123</v>
      </c>
      <c r="AB3606" s="14">
        <f>IF($J3606=0,0,ROUND(MAX($J3606*1.4*1.5*1.6*1.6*2.2*2.715*2.6*1.4*1.4,8430000000*(1.651435^(MIN($E3606,123)-117)))*1,0))</f>
        <v>12405900</v>
      </c>
      <c r="AC3606" s="11">
        <f>$E3606+21</f>
        <v>125</v>
      </c>
      <c r="AD3606" s="12">
        <f>IF($J3606=0,0,ROUND(MAX($J3606*1.4*1.5*1.6*1.6*2.2*2.715*2.6*1.4*1.4*1.5,12600000000*(1.652953^(MIN($E3606,123)-117)))*1,0))</f>
        <v>18322468</v>
      </c>
      <c r="AE3606" s="13">
        <f>$E3606+24</f>
        <v>128</v>
      </c>
      <c r="AF3606" s="14">
        <f>IF($J3606=0,0,ROUND(MAX($J3606*1.4*1.5*1.6*1.6*2.2*2.715*2.6*1.4*1.4*1.5*1.5,18900000000*(1.65331^(MIN($E3606,123)-117)))*1,0))</f>
        <v>27406653</v>
      </c>
      <c r="AG3606" s="11">
        <f>$E3606+27</f>
        <v>131</v>
      </c>
      <c r="AH3606" s="12">
        <f>IF($J3606=0,0,ROUND(MAX($J3606*1.4*1.5*1.6*1.6*2.2*2.715*2.6*1.4*1.4*1.5*1.5*3.2,60500000000*(1.654288^(MIN($E3606,123)-117)))*1,0))</f>
        <v>87058428</v>
      </c>
    </row>
    <row r="3607" ht="28" customHeight="1" spans="1:34" x14ac:dyDescent="0.25">
      <c r="A3607">
        <v>3617</v>
      </c>
      <c r="B3607" t="s">
        <v>1812</v>
      </c>
      <c r="C3607" s="10" t="s">
        <v>1807</v>
      </c>
      <c r="D3607" t="s">
        <v>33</v>
      </c>
      <c r="E3607">
        <v>104</v>
      </c>
      <c r="F3607" t="s">
        <v>71</v>
      </c>
      <c r="G3607" t="s">
        <v>562</v>
      </c>
      <c r="H3607">
        <v>22</v>
      </c>
      <c r="I3607" s="11">
        <f>$E3607+0</f>
        <v>104</v>
      </c>
      <c r="J3607" s="12">
        <v>24300000</v>
      </c>
      <c r="K3607" s="13">
        <f>$E3607+1</f>
        <v>105</v>
      </c>
      <c r="L3607" s="14">
        <f>IF($J3607=0,0,ROUND(MAX($J3607*1.4,1620000*(1.497923^(MIN($E3607,123)-117)))*1,0))</f>
        <v>34020000</v>
      </c>
      <c r="M3607" s="11">
        <f>$E3607+2</f>
        <v>106</v>
      </c>
      <c r="N3607" s="12">
        <f>IF($J3607=0,0,ROUND(MAX($J3607*1.4*1.5,2190000*(1.580994^(MIN($E3607,123)-117)))*1,0))</f>
        <v>51030000</v>
      </c>
      <c r="O3607" s="13">
        <f>$E3607+4</f>
        <v>108</v>
      </c>
      <c r="P3607" s="14">
        <f>IF($J3607=0,0,ROUND(MAX($J3607*1.4*1.5*1.6,3500000*(1.57975^(MIN($E3607,123)-117)))*1,0))</f>
        <v>81648000</v>
      </c>
      <c r="Q3607" s="11">
        <f>$E3607+6</f>
        <v>110</v>
      </c>
      <c r="R3607" s="12">
        <f>IF($J3607=0,0,ROUND(MAX($J3607*1.4*1.5*1.6*1.6,13100000*(1.429962^(MIN($E3607,123)-117)))*1,0))</f>
        <v>130636800</v>
      </c>
      <c r="S3607" s="13">
        <f>$E3607+8</f>
        <v>112</v>
      </c>
      <c r="T3607" s="14">
        <f>IF($J3607=0,0,ROUND(MAX($J3607*1.4*1.5*1.6*1.6*2.2,42600000*(1.576904^(MIN($E3607,123)-117)))*1,0))</f>
        <v>287400960</v>
      </c>
      <c r="U3607" s="11">
        <f>$E3607+11</f>
        <v>115</v>
      </c>
      <c r="V3607" s="12">
        <f>IF($J3607=0,0,ROUND(MAX($J3607*1.4*1.5*1.6*1.6*2.2*2.715,354000000*(1.642074^(MIN($E3607,123)-117)))*1,0))</f>
        <v>780293606</v>
      </c>
      <c r="W3607" s="13">
        <f>$E3607+15</f>
        <v>119</v>
      </c>
      <c r="X3607" s="14">
        <f>IF($J3607=0,0,ROUND(MAX($J3607*1.4*1.5*1.6*1.6*2.2*2.715*2.6,3540000000*(1.579646^(MIN($E3607,123)-117)))*1,0))</f>
        <v>2028763377</v>
      </c>
      <c r="Y3607" s="11">
        <f>$E3607+17</f>
        <v>121</v>
      </c>
      <c r="Z3607" s="12">
        <f>IF($J3607=0,0,ROUND(MAX($J3607*1.4*1.5*1.6*1.6*2.2*2.715*2.6*1.4,6020000000*(1.651178^(MIN($E3607,123)-117)))*1,0))</f>
        <v>2840268727</v>
      </c>
      <c r="AA3607" s="13">
        <f>$E3607+19</f>
        <v>123</v>
      </c>
      <c r="AB3607" s="14">
        <f>IF($J3607=0,0,ROUND(MAX($J3607*1.4*1.5*1.6*1.6*2.2*2.715*2.6*1.4*1.4,8430000000*(1.651435^(MIN($E3607,123)-117)))*1,0))</f>
        <v>3976376218</v>
      </c>
      <c r="AC3607" s="11">
        <f>$E3607+21</f>
        <v>125</v>
      </c>
      <c r="AD3607" s="12">
        <f>IF($J3607=0,0,ROUND(MAX($J3607*1.4*1.5*1.6*1.6*2.2*2.715*2.6*1.4*1.4*1.5,12600000000*(1.652953^(MIN($E3607,123)-117)))*1,0))</f>
        <v>5964564327</v>
      </c>
      <c r="AE3607" s="13">
        <f>$E3607+24</f>
        <v>128</v>
      </c>
      <c r="AF3607" s="14">
        <f>IF($J3607=0,0,ROUND(MAX($J3607*1.4*1.5*1.6*1.6*2.2*2.715*2.6*1.4*1.4*1.5*1.5,18900000000*(1.65331^(MIN($E3607,123)-117)))*1,0))</f>
        <v>8946846491</v>
      </c>
      <c r="AG3607" s="11">
        <f>$E3607+27</f>
        <v>131</v>
      </c>
      <c r="AH3607" s="12">
        <f>IF($J3607=0,0,ROUND(MAX($J3607*1.4*1.5*1.6*1.6*2.2*2.715*2.6*1.4*1.4*1.5*1.5*3.2,60500000000*(1.654288^(MIN($E3607,123)-117)))*1,0))</f>
        <v>28629908771</v>
      </c>
    </row>
    <row r="3608" ht="28" customHeight="1" spans="1:34" x14ac:dyDescent="0.25">
      <c r="A3608">
        <v>3618</v>
      </c>
      <c r="B3608" t="s">
        <v>134</v>
      </c>
      <c r="C3608" s="10" t="s">
        <v>1807</v>
      </c>
      <c r="D3608" t="s">
        <v>75</v>
      </c>
      <c r="E3608">
        <v>104</v>
      </c>
      <c r="F3608" t="s">
        <v>26</v>
      </c>
      <c r="G3608" t="s">
        <v>562</v>
      </c>
      <c r="H3608">
        <v>22</v>
      </c>
      <c r="I3608" s="11">
        <f>$E3608+0</f>
        <v>104</v>
      </c>
      <c r="J3608" s="12">
        <v>21500</v>
      </c>
      <c r="K3608" s="13">
        <f>$E3608+1</f>
        <v>105</v>
      </c>
      <c r="L3608" s="14">
        <f>IF($J3608=0,0,ROUND(MAX($J3608*1.4,1620000*(1.497923^(MIN($E3608,123)-117)))*1,0))</f>
        <v>30100</v>
      </c>
      <c r="M3608" s="11">
        <f>$E3608+2</f>
        <v>106</v>
      </c>
      <c r="N3608" s="12">
        <f>IF($J3608=0,0,ROUND(MAX($J3608*1.4*1.5,2190000*(1.580994^(MIN($E3608,123)-117)))*1,0))</f>
        <v>45150</v>
      </c>
      <c r="O3608" s="13">
        <f>$E3608+4</f>
        <v>108</v>
      </c>
      <c r="P3608" s="14">
        <f>IF($J3608=0,0,ROUND(MAX($J3608*1.4*1.5*1.6,3500000*(1.57975^(MIN($E3608,123)-117)))*1,0))</f>
        <v>72240</v>
      </c>
      <c r="Q3608" s="11">
        <f>$E3608+6</f>
        <v>110</v>
      </c>
      <c r="R3608" s="12">
        <f>IF($J3608=0,0,ROUND(MAX($J3608*1.4*1.5*1.6*1.6,13100000*(1.429962^(MIN($E3608,123)-117)))*1,0))</f>
        <v>125329</v>
      </c>
      <c r="S3608" s="13">
        <f>$E3608+8</f>
        <v>112</v>
      </c>
      <c r="T3608" s="14">
        <f>IF($J3608=0,0,ROUND(MAX($J3608*1.4*1.5*1.6*1.6*2.2,42600000*(1.576904^(MIN($E3608,123)-117)))*1,0))</f>
        <v>254285</v>
      </c>
      <c r="U3608" s="11">
        <f>$E3608+11</f>
        <v>115</v>
      </c>
      <c r="V3608" s="12">
        <f>IF($J3608=0,0,ROUND(MAX($J3608*1.4*1.5*1.6*1.6*2.2*2.715,354000000*(1.642074^(MIN($E3608,123)-117)))*1,0))</f>
        <v>690383</v>
      </c>
      <c r="W3608" s="13">
        <f>$E3608+15</f>
        <v>119</v>
      </c>
      <c r="X3608" s="14">
        <f>IF($J3608=0,0,ROUND(MAX($J3608*1.4*1.5*1.6*1.6*2.2*2.715*2.6,3540000000*(1.579646^(MIN($E3608,123)-117)))*1,0))</f>
        <v>9283810</v>
      </c>
      <c r="Y3608" s="11">
        <f>$E3608+17</f>
        <v>121</v>
      </c>
      <c r="Z3608" s="12">
        <f>IF($J3608=0,0,ROUND(MAX($J3608*1.4*1.5*1.6*1.6*2.2*2.715*2.6*1.4,6020000000*(1.651178^(MIN($E3608,123)-117)))*1,0))</f>
        <v>8877197</v>
      </c>
      <c r="AA3608" s="13">
        <f>$E3608+19</f>
        <v>123</v>
      </c>
      <c r="AB3608" s="14">
        <f>IF($J3608=0,0,ROUND(MAX($J3608*1.4*1.5*1.6*1.6*2.2*2.715*2.6*1.4*1.4,8430000000*(1.651435^(MIN($E3608,123)-117)))*1,0))</f>
        <v>12405900</v>
      </c>
      <c r="AC3608" s="11">
        <f>$E3608+21</f>
        <v>125</v>
      </c>
      <c r="AD3608" s="12">
        <f>IF($J3608=0,0,ROUND(MAX($J3608*1.4*1.5*1.6*1.6*2.2*2.715*2.6*1.4*1.4*1.5,12600000000*(1.652953^(MIN($E3608,123)-117)))*1,0))</f>
        <v>18322468</v>
      </c>
      <c r="AE3608" s="13">
        <f>$E3608+24</f>
        <v>128</v>
      </c>
      <c r="AF3608" s="14">
        <f>IF($J3608=0,0,ROUND(MAX($J3608*1.4*1.5*1.6*1.6*2.2*2.715*2.6*1.4*1.4*1.5*1.5,18900000000*(1.65331^(MIN($E3608,123)-117)))*1,0))</f>
        <v>27406653</v>
      </c>
      <c r="AG3608" s="11">
        <f>$E3608+27</f>
        <v>131</v>
      </c>
      <c r="AH3608" s="12">
        <f>IF($J3608=0,0,ROUND(MAX($J3608*1.4*1.5*1.6*1.6*2.2*2.715*2.6*1.4*1.4*1.5*1.5*3.2,60500000000*(1.654288^(MIN($E3608,123)-117)))*1,0))</f>
        <v>87058428</v>
      </c>
    </row>
    <row r="3609" ht="28" customHeight="1" spans="1:34" x14ac:dyDescent="0.25">
      <c r="A3609">
        <v>3619</v>
      </c>
      <c r="B3609" t="s">
        <v>182</v>
      </c>
      <c r="C3609" s="10" t="s">
        <v>1807</v>
      </c>
      <c r="D3609" t="s">
        <v>102</v>
      </c>
      <c r="E3609">
        <v>104</v>
      </c>
      <c r="F3609" t="s">
        <v>183</v>
      </c>
      <c r="G3609" t="s">
        <v>562</v>
      </c>
      <c r="H3609">
        <v>22</v>
      </c>
      <c r="I3609" s="11">
        <f>$E3609+0</f>
        <v>104</v>
      </c>
      <c r="J3609" s="12">
        <v>23100</v>
      </c>
      <c r="K3609" s="13">
        <f>$E3609+1</f>
        <v>105</v>
      </c>
      <c r="L3609" s="14">
        <f>IF($J3609=0,0,ROUND(MAX($J3609*1.4,1620000*(1.497923^(MIN($E3609,123)-117)))*1,0))</f>
        <v>32340</v>
      </c>
      <c r="M3609" s="11">
        <f>$E3609+2</f>
        <v>106</v>
      </c>
      <c r="N3609" s="12">
        <f>IF($J3609=0,0,ROUND(MAX($J3609*1.4*1.5,2190000*(1.580994^(MIN($E3609,123)-117)))*1,0))</f>
        <v>48510</v>
      </c>
      <c r="O3609" s="13">
        <f>$E3609+4</f>
        <v>108</v>
      </c>
      <c r="P3609" s="14">
        <f>IF($J3609=0,0,ROUND(MAX($J3609*1.4*1.5*1.6,3500000*(1.57975^(MIN($E3609,123)-117)))*1,0))</f>
        <v>77616</v>
      </c>
      <c r="Q3609" s="11">
        <f>$E3609+6</f>
        <v>110</v>
      </c>
      <c r="R3609" s="12">
        <f>IF($J3609=0,0,ROUND(MAX($J3609*1.4*1.5*1.6*1.6,13100000*(1.429962^(MIN($E3609,123)-117)))*1,0))</f>
        <v>125329</v>
      </c>
      <c r="S3609" s="13">
        <f>$E3609+8</f>
        <v>112</v>
      </c>
      <c r="T3609" s="14">
        <f>IF($J3609=0,0,ROUND(MAX($J3609*1.4*1.5*1.6*1.6*2.2,42600000*(1.576904^(MIN($E3609,123)-117)))*1,0))</f>
        <v>273208</v>
      </c>
      <c r="U3609" s="11">
        <f>$E3609+11</f>
        <v>115</v>
      </c>
      <c r="V3609" s="12">
        <f>IF($J3609=0,0,ROUND(MAX($J3609*1.4*1.5*1.6*1.6*2.2*2.715,354000000*(1.642074^(MIN($E3609,123)-117)))*1,0))</f>
        <v>741761</v>
      </c>
      <c r="W3609" s="13">
        <f>$E3609+15</f>
        <v>119</v>
      </c>
      <c r="X3609" s="14">
        <f>IF($J3609=0,0,ROUND(MAX($J3609*1.4*1.5*1.6*1.6*2.2*2.715*2.6,3540000000*(1.579646^(MIN($E3609,123)-117)))*1,0))</f>
        <v>9283810</v>
      </c>
      <c r="Y3609" s="11">
        <f>$E3609+17</f>
        <v>121</v>
      </c>
      <c r="Z3609" s="12">
        <f>IF($J3609=0,0,ROUND(MAX($J3609*1.4*1.5*1.6*1.6*2.2*2.715*2.6*1.4,6020000000*(1.651178^(MIN($E3609,123)-117)))*1,0))</f>
        <v>8877197</v>
      </c>
      <c r="AA3609" s="13">
        <f>$E3609+19</f>
        <v>123</v>
      </c>
      <c r="AB3609" s="14">
        <f>IF($J3609=0,0,ROUND(MAX($J3609*1.4*1.5*1.6*1.6*2.2*2.715*2.6*1.4*1.4,8430000000*(1.651435^(MIN($E3609,123)-117)))*1,0))</f>
        <v>12405900</v>
      </c>
      <c r="AC3609" s="11">
        <f>$E3609+21</f>
        <v>125</v>
      </c>
      <c r="AD3609" s="12">
        <f>IF($J3609=0,0,ROUND(MAX($J3609*1.4*1.5*1.6*1.6*2.2*2.715*2.6*1.4*1.4*1.5,12600000000*(1.652953^(MIN($E3609,123)-117)))*1,0))</f>
        <v>18322468</v>
      </c>
      <c r="AE3609" s="13">
        <f>$E3609+24</f>
        <v>128</v>
      </c>
      <c r="AF3609" s="14">
        <f>IF($J3609=0,0,ROUND(MAX($J3609*1.4*1.5*1.6*1.6*2.2*2.715*2.6*1.4*1.4*1.5*1.5,18900000000*(1.65331^(MIN($E3609,123)-117)))*1,0))</f>
        <v>27406653</v>
      </c>
      <c r="AG3609" s="11">
        <f>$E3609+27</f>
        <v>131</v>
      </c>
      <c r="AH3609" s="12">
        <f>IF($J3609=0,0,ROUND(MAX($J3609*1.4*1.5*1.6*1.6*2.2*2.715*2.6*1.4*1.4*1.5*1.5*3.2,60500000000*(1.654288^(MIN($E3609,123)-117)))*1,0))</f>
        <v>87058428</v>
      </c>
    </row>
    <row r="3610" ht="28" customHeight="1" spans="1:34" x14ac:dyDescent="0.25">
      <c r="A3610">
        <v>3620</v>
      </c>
      <c r="B3610" t="s">
        <v>597</v>
      </c>
      <c r="C3610" s="10" t="s">
        <v>1807</v>
      </c>
      <c r="D3610" t="s">
        <v>64</v>
      </c>
      <c r="E3610">
        <v>104</v>
      </c>
      <c r="F3610" t="s">
        <v>56</v>
      </c>
      <c r="G3610" t="s">
        <v>562</v>
      </c>
      <c r="H3610">
        <v>22</v>
      </c>
      <c r="I3610" s="11">
        <f>$E3610+0</f>
        <v>104</v>
      </c>
      <c r="J3610" s="12">
        <v>10200</v>
      </c>
      <c r="K3610" s="13">
        <f>$E3610+1</f>
        <v>105</v>
      </c>
      <c r="L3610" s="14">
        <f>IF($J3610=0,0,ROUND(MAX($J3610*1.4,1620000*(1.497923^(MIN($E3610,123)-117)))*1,0))</f>
        <v>14280</v>
      </c>
      <c r="M3610" s="11">
        <f>$E3610+2</f>
        <v>106</v>
      </c>
      <c r="N3610" s="12">
        <f>IF($J3610=0,0,ROUND(MAX($J3610*1.4*1.5,2190000*(1.580994^(MIN($E3610,123)-117)))*1,0))</f>
        <v>21420</v>
      </c>
      <c r="O3610" s="13">
        <f>$E3610+4</f>
        <v>108</v>
      </c>
      <c r="P3610" s="14">
        <f>IF($J3610=0,0,ROUND(MAX($J3610*1.4*1.5*1.6,3500000*(1.57975^(MIN($E3610,123)-117)))*1,0))</f>
        <v>34272</v>
      </c>
      <c r="Q3610" s="11">
        <f>$E3610+6</f>
        <v>110</v>
      </c>
      <c r="R3610" s="12">
        <f>IF($J3610=0,0,ROUND(MAX($J3610*1.4*1.5*1.6*1.6,13100000*(1.429962^(MIN($E3610,123)-117)))*1,0))</f>
        <v>125329</v>
      </c>
      <c r="S3610" s="13">
        <f>$E3610+8</f>
        <v>112</v>
      </c>
      <c r="T3610" s="14">
        <f>IF($J3610=0,0,ROUND(MAX($J3610*1.4*1.5*1.6*1.6*2.2,42600000*(1.576904^(MIN($E3610,123)-117)))*1,0))</f>
        <v>120637</v>
      </c>
      <c r="U3610" s="11">
        <f>$E3610+11</f>
        <v>115</v>
      </c>
      <c r="V3610" s="12">
        <f>IF($J3610=0,0,ROUND(MAX($J3610*1.4*1.5*1.6*1.6*2.2*2.715,354000000*(1.642074^(MIN($E3610,123)-117)))*1,0))</f>
        <v>560916</v>
      </c>
      <c r="W3610" s="13">
        <f>$E3610+15</f>
        <v>119</v>
      </c>
      <c r="X3610" s="14">
        <f>IF($J3610=0,0,ROUND(MAX($J3610*1.4*1.5*1.6*1.6*2.2*2.715*2.6,3540000000*(1.579646^(MIN($E3610,123)-117)))*1,0))</f>
        <v>9283810</v>
      </c>
      <c r="Y3610" s="11">
        <f>$E3610+17</f>
        <v>121</v>
      </c>
      <c r="Z3610" s="12">
        <f>IF($J3610=0,0,ROUND(MAX($J3610*1.4*1.5*1.6*1.6*2.2*2.715*2.6*1.4,6020000000*(1.651178^(MIN($E3610,123)-117)))*1,0))</f>
        <v>8877197</v>
      </c>
      <c r="AA3610" s="13">
        <f>$E3610+19</f>
        <v>123</v>
      </c>
      <c r="AB3610" s="14">
        <f>IF($J3610=0,0,ROUND(MAX($J3610*1.4*1.5*1.6*1.6*2.2*2.715*2.6*1.4*1.4,8430000000*(1.651435^(MIN($E3610,123)-117)))*1,0))</f>
        <v>12405900</v>
      </c>
      <c r="AC3610" s="11">
        <f>$E3610+21</f>
        <v>125</v>
      </c>
      <c r="AD3610" s="12">
        <f>IF($J3610=0,0,ROUND(MAX($J3610*1.4*1.5*1.6*1.6*2.2*2.715*2.6*1.4*1.4*1.5,12600000000*(1.652953^(MIN($E3610,123)-117)))*1,0))</f>
        <v>18322468</v>
      </c>
      <c r="AE3610" s="13">
        <f>$E3610+24</f>
        <v>128</v>
      </c>
      <c r="AF3610" s="14">
        <f>IF($J3610=0,0,ROUND(MAX($J3610*1.4*1.5*1.6*1.6*2.2*2.715*2.6*1.4*1.4*1.5*1.5,18900000000*(1.65331^(MIN($E3610,123)-117)))*1,0))</f>
        <v>27406653</v>
      </c>
      <c r="AG3610" s="11">
        <f>$E3610+27</f>
        <v>131</v>
      </c>
      <c r="AH3610" s="12">
        <f>IF($J3610=0,0,ROUND(MAX($J3610*1.4*1.5*1.6*1.6*2.2*2.715*2.6*1.4*1.4*1.5*1.5*3.2,60500000000*(1.654288^(MIN($E3610,123)-117)))*1,0))</f>
        <v>87058428</v>
      </c>
    </row>
    <row r="3611" ht="28" customHeight="1" spans="1:34" x14ac:dyDescent="0.25">
      <c r="A3611">
        <v>3621</v>
      </c>
      <c r="B3611" t="s">
        <v>785</v>
      </c>
      <c r="C3611" s="10" t="s">
        <v>1807</v>
      </c>
      <c r="D3611" t="s">
        <v>47</v>
      </c>
      <c r="E3611">
        <v>104</v>
      </c>
      <c r="F3611" t="s">
        <v>34</v>
      </c>
      <c r="G3611" t="s">
        <v>72</v>
      </c>
      <c r="H3611">
        <v>20</v>
      </c>
      <c r="I3611" s="11">
        <f>$E3611+0</f>
        <v>104</v>
      </c>
      <c r="J3611" s="12">
        <v>18600</v>
      </c>
      <c r="K3611" s="13">
        <f>$E3611+1</f>
        <v>105</v>
      </c>
      <c r="L3611" s="14">
        <f>IF($J3611=0,0,ROUND(MAX($J3611*1.4,1620000*(1.497923^(MIN($E3611,123)-117)))*1,0))</f>
        <v>26040</v>
      </c>
      <c r="M3611" s="11">
        <f>$E3611+2</f>
        <v>106</v>
      </c>
      <c r="N3611" s="12">
        <f>IF($J3611=0,0,ROUND(MAX($J3611*1.4*1.5,2190000*(1.580994^(MIN($E3611,123)-117)))*1,0))</f>
        <v>39060</v>
      </c>
      <c r="O3611" s="13">
        <f>$E3611+4</f>
        <v>108</v>
      </c>
      <c r="P3611" s="14">
        <f>IF($J3611=0,0,ROUND(MAX($J3611*1.4*1.5*1.6,3500000*(1.57975^(MIN($E3611,123)-117)))*1,0))</f>
        <v>62496</v>
      </c>
      <c r="Q3611" s="11">
        <f>$E3611+6</f>
        <v>110</v>
      </c>
      <c r="R3611" s="12">
        <f>IF($J3611=0,0,ROUND(MAX($J3611*1.4*1.5*1.6*1.6,13100000*(1.429962^(MIN($E3611,123)-117)))*1,0))</f>
        <v>125329</v>
      </c>
      <c r="S3611" s="13">
        <f>$E3611+8</f>
        <v>112</v>
      </c>
      <c r="T3611" s="14">
        <f>IF($J3611=0,0,ROUND(MAX($J3611*1.4*1.5*1.6*1.6*2.2,42600000*(1.576904^(MIN($E3611,123)-117)))*1,0))</f>
        <v>219986</v>
      </c>
      <c r="U3611" s="11">
        <f>$E3611+11</f>
        <v>115</v>
      </c>
      <c r="V3611" s="12">
        <f>IF($J3611=0,0,ROUND(MAX($J3611*1.4*1.5*1.6*1.6*2.2*2.715,354000000*(1.642074^(MIN($E3611,123)-117)))*1,0))</f>
        <v>597262</v>
      </c>
      <c r="W3611" s="13">
        <f>$E3611+15</f>
        <v>119</v>
      </c>
      <c r="X3611" s="14">
        <f>IF($J3611=0,0,ROUND(MAX($J3611*1.4*1.5*1.6*1.6*2.2*2.715*2.6,3540000000*(1.579646^(MIN($E3611,123)-117)))*1,0))</f>
        <v>9283810</v>
      </c>
      <c r="Y3611" s="11">
        <f>$E3611+17</f>
        <v>121</v>
      </c>
      <c r="Z3611" s="12">
        <f>IF($J3611=0,0,ROUND(MAX($J3611*1.4*1.5*1.6*1.6*2.2*2.715*2.6*1.4,6020000000*(1.651178^(MIN($E3611,123)-117)))*1,0))</f>
        <v>8877197</v>
      </c>
      <c r="AA3611" s="13">
        <f>$E3611+19</f>
        <v>123</v>
      </c>
      <c r="AB3611" s="14">
        <f>IF($J3611=0,0,ROUND(MAX($J3611*1.4*1.5*1.6*1.6*2.2*2.715*2.6*1.4*1.4,8430000000*(1.651435^(MIN($E3611,123)-117)))*1,0))</f>
        <v>12405900</v>
      </c>
      <c r="AC3611" s="11">
        <f>$E3611+21</f>
        <v>125</v>
      </c>
      <c r="AD3611" s="12">
        <f>IF($J3611=0,0,ROUND(MAX($J3611*1.4*1.5*1.6*1.6*2.2*2.715*2.6*1.4*1.4*1.5,12600000000*(1.652953^(MIN($E3611,123)-117)))*1,0))</f>
        <v>18322468</v>
      </c>
      <c r="AE3611" s="13">
        <f>$E3611+24</f>
        <v>128</v>
      </c>
      <c r="AF3611" s="14">
        <f>IF($J3611=0,0,ROUND(MAX($J3611*1.4*1.5*1.6*1.6*2.2*2.715*2.6*1.4*1.4*1.5*1.5,18900000000*(1.65331^(MIN($E3611,123)-117)))*1,0))</f>
        <v>27406653</v>
      </c>
      <c r="AG3611" s="11">
        <f>$E3611+27</f>
        <v>131</v>
      </c>
      <c r="AH3611" s="12">
        <f>IF($J3611=0,0,ROUND(MAX($J3611*1.4*1.5*1.6*1.6*2.2*2.715*2.6*1.4*1.4*1.5*1.5*3.2,60500000000*(1.654288^(MIN($E3611,123)-117)))*1,0))</f>
        <v>87058428</v>
      </c>
    </row>
    <row r="3612" ht="28" customHeight="1" spans="1:34" x14ac:dyDescent="0.25">
      <c r="A3612">
        <v>3622</v>
      </c>
      <c r="B3612" t="s">
        <v>91</v>
      </c>
      <c r="C3612" s="10" t="s">
        <v>1807</v>
      </c>
      <c r="D3612" t="s">
        <v>47</v>
      </c>
      <c r="E3612">
        <v>104</v>
      </c>
      <c r="F3612" t="s">
        <v>71</v>
      </c>
      <c r="G3612" t="s">
        <v>562</v>
      </c>
      <c r="H3612">
        <v>19</v>
      </c>
      <c r="I3612" s="11">
        <f>$E3612+0</f>
        <v>104</v>
      </c>
      <c r="J3612" s="12">
        <v>20200</v>
      </c>
      <c r="K3612" s="13">
        <f>$E3612+1</f>
        <v>105</v>
      </c>
      <c r="L3612" s="14">
        <f>IF($J3612=0,0,ROUND(MAX($J3612*1.4,1620000*(1.497923^(MIN($E3612,123)-117)))*1,0))</f>
        <v>28280</v>
      </c>
      <c r="M3612" s="11">
        <f>$E3612+2</f>
        <v>106</v>
      </c>
      <c r="N3612" s="12">
        <f>IF($J3612=0,0,ROUND(MAX($J3612*1.4*1.5,2190000*(1.580994^(MIN($E3612,123)-117)))*1,0))</f>
        <v>42420</v>
      </c>
      <c r="O3612" s="13">
        <f>$E3612+4</f>
        <v>108</v>
      </c>
      <c r="P3612" s="14">
        <f>IF($J3612=0,0,ROUND(MAX($J3612*1.4*1.5*1.6,3500000*(1.57975^(MIN($E3612,123)-117)))*1,0))</f>
        <v>67872</v>
      </c>
      <c r="Q3612" s="11">
        <f>$E3612+6</f>
        <v>110</v>
      </c>
      <c r="R3612" s="12">
        <f>IF($J3612=0,0,ROUND(MAX($J3612*1.4*1.5*1.6*1.6,13100000*(1.429962^(MIN($E3612,123)-117)))*1,0))</f>
        <v>125329</v>
      </c>
      <c r="S3612" s="13">
        <f>$E3612+8</f>
        <v>112</v>
      </c>
      <c r="T3612" s="14">
        <f>IF($J3612=0,0,ROUND(MAX($J3612*1.4*1.5*1.6*1.6*2.2,42600000*(1.576904^(MIN($E3612,123)-117)))*1,0))</f>
        <v>238909</v>
      </c>
      <c r="U3612" s="11">
        <f>$E3612+11</f>
        <v>115</v>
      </c>
      <c r="V3612" s="12">
        <f>IF($J3612=0,0,ROUND(MAX($J3612*1.4*1.5*1.6*1.6*2.2*2.715,354000000*(1.642074^(MIN($E3612,123)-117)))*1,0))</f>
        <v>648639</v>
      </c>
      <c r="W3612" s="13">
        <f>$E3612+15</f>
        <v>119</v>
      </c>
      <c r="X3612" s="14">
        <f>IF($J3612=0,0,ROUND(MAX($J3612*1.4*1.5*1.6*1.6*2.2*2.715*2.6,3540000000*(1.579646^(MIN($E3612,123)-117)))*1,0))</f>
        <v>9283810</v>
      </c>
      <c r="Y3612" s="11">
        <f>$E3612+17</f>
        <v>121</v>
      </c>
      <c r="Z3612" s="12">
        <f>IF($J3612=0,0,ROUND(MAX($J3612*1.4*1.5*1.6*1.6*2.2*2.715*2.6*1.4,6020000000*(1.651178^(MIN($E3612,123)-117)))*1,0))</f>
        <v>8877197</v>
      </c>
      <c r="AA3612" s="13">
        <f>$E3612+19</f>
        <v>123</v>
      </c>
      <c r="AB3612" s="14">
        <f>IF($J3612=0,0,ROUND(MAX($J3612*1.4*1.5*1.6*1.6*2.2*2.715*2.6*1.4*1.4,8430000000*(1.651435^(MIN($E3612,123)-117)))*1,0))</f>
        <v>12405900</v>
      </c>
      <c r="AC3612" s="11">
        <f>$E3612+21</f>
        <v>125</v>
      </c>
      <c r="AD3612" s="12">
        <f>IF($J3612=0,0,ROUND(MAX($J3612*1.4*1.5*1.6*1.6*2.2*2.715*2.6*1.4*1.4*1.5,12600000000*(1.652953^(MIN($E3612,123)-117)))*1,0))</f>
        <v>18322468</v>
      </c>
      <c r="AE3612" s="13">
        <f>$E3612+24</f>
        <v>128</v>
      </c>
      <c r="AF3612" s="14">
        <f>IF($J3612=0,0,ROUND(MAX($J3612*1.4*1.5*1.6*1.6*2.2*2.715*2.6*1.4*1.4*1.5*1.5,18900000000*(1.65331^(MIN($E3612,123)-117)))*1,0))</f>
        <v>27406653</v>
      </c>
      <c r="AG3612" s="11">
        <f>$E3612+27</f>
        <v>131</v>
      </c>
      <c r="AH3612" s="12">
        <f>IF($J3612=0,0,ROUND(MAX($J3612*1.4*1.5*1.6*1.6*2.2*2.715*2.6*1.4*1.4*1.5*1.5*3.2,60500000000*(1.654288^(MIN($E3612,123)-117)))*1,0))</f>
        <v>87058428</v>
      </c>
    </row>
    <row r="3613" ht="28" customHeight="1" spans="1:34" x14ac:dyDescent="0.25">
      <c r="A3613">
        <v>3623</v>
      </c>
      <c r="B3613" t="s">
        <v>77</v>
      </c>
      <c r="C3613" s="10" t="s">
        <v>1813</v>
      </c>
      <c r="D3613" t="s">
        <v>29</v>
      </c>
      <c r="E3613">
        <v>105</v>
      </c>
      <c r="F3613" t="s">
        <v>42</v>
      </c>
      <c r="G3613" t="s">
        <v>562</v>
      </c>
      <c r="H3613">
        <v>26</v>
      </c>
      <c r="I3613" s="11">
        <f>$E3613+0</f>
        <v>105</v>
      </c>
      <c r="J3613" s="12">
        <v>57200000</v>
      </c>
      <c r="K3613" s="13">
        <f>$E3613+1</f>
        <v>106</v>
      </c>
      <c r="L3613" s="14">
        <f>IF($J3613=0,0,ROUND(MAX($J3613*1.4,1620000*(1.497923^(MIN($E3613,123)-117)))*1,0))</f>
        <v>80080000</v>
      </c>
      <c r="M3613" s="11">
        <f>$E3613+2</f>
        <v>107</v>
      </c>
      <c r="N3613" s="12">
        <f>IF($J3613=0,0,ROUND(MAX($J3613*1.4*1.5,2190000*(1.580994^(MIN($E3613,123)-117)))*1,0))</f>
        <v>120120000</v>
      </c>
      <c r="O3613" s="13">
        <f>$E3613+4</f>
        <v>109</v>
      </c>
      <c r="P3613" s="14">
        <f>IF($J3613=0,0,ROUND(MAX($J3613*1.4*1.5*1.6,3500000*(1.57975^(MIN($E3613,123)-117)))*1,0))</f>
        <v>192192000</v>
      </c>
      <c r="Q3613" s="11">
        <f>$E3613+6</f>
        <v>111</v>
      </c>
      <c r="R3613" s="12">
        <f>IF($J3613=0,0,ROUND(MAX($J3613*1.4*1.5*1.6*1.6,13100000*(1.429962^(MIN($E3613,123)-117)))*1,0))</f>
        <v>307507200</v>
      </c>
      <c r="S3613" s="13">
        <f>$E3613+8</f>
        <v>113</v>
      </c>
      <c r="T3613" s="14">
        <f>IF($J3613=0,0,ROUND(MAX($J3613*1.4*1.5*1.6*1.6*2.2,42600000*(1.576904^(MIN($E3613,123)-117)))*1,0))</f>
        <v>676515840</v>
      </c>
      <c r="U3613" s="11">
        <f>$E3613+11</f>
        <v>116</v>
      </c>
      <c r="V3613" s="12">
        <f>IF($J3613=0,0,ROUND(MAX($J3613*1.4*1.5*1.6*1.6*2.2*2.715,354000000*(1.642074^(MIN($E3613,123)-117)))*1,0))</f>
        <v>1836740506</v>
      </c>
      <c r="W3613" s="13">
        <f>$E3613+15</f>
        <v>120</v>
      </c>
      <c r="X3613" s="14">
        <f>IF($J3613=0,0,ROUND(MAX($J3613*1.4*1.5*1.6*1.6*2.2*2.715*2.6,3540000000*(1.579646^(MIN($E3613,123)-117)))*1,0))</f>
        <v>4775525315</v>
      </c>
      <c r="Y3613" s="11">
        <f>$E3613+17</f>
        <v>122</v>
      </c>
      <c r="Z3613" s="12">
        <f>IF($J3613=0,0,ROUND(MAX($J3613*1.4*1.5*1.6*1.6*2.2*2.715*2.6*1.4,6020000000*(1.651178^(MIN($E3613,123)-117)))*1,0))</f>
        <v>6685735440</v>
      </c>
      <c r="AA3613" s="13">
        <f>$E3613+19</f>
        <v>124</v>
      </c>
      <c r="AB3613" s="14">
        <f>IF($J3613=0,0,ROUND(MAX($J3613*1.4*1.5*1.6*1.6*2.2*2.715*2.6*1.4*1.4,8430000000*(1.651435^(MIN($E3613,123)-117)))*1,0))</f>
        <v>9360029617</v>
      </c>
      <c r="AC3613" s="11">
        <f>$E3613+21</f>
        <v>126</v>
      </c>
      <c r="AD3613" s="12">
        <f>IF($J3613=0,0,ROUND(MAX($J3613*1.4*1.5*1.6*1.6*2.2*2.715*2.6*1.4*1.4*1.5,12600000000*(1.652953^(MIN($E3613,123)-117)))*1,0))</f>
        <v>14040044425</v>
      </c>
      <c r="AE3613" s="13">
        <f>$E3613+24</f>
        <v>129</v>
      </c>
      <c r="AF3613" s="14">
        <f>IF($J3613=0,0,ROUND(MAX($J3613*1.4*1.5*1.6*1.6*2.2*2.715*2.6*1.4*1.4*1.5*1.5,18900000000*(1.65331^(MIN($E3613,123)-117)))*1,0))</f>
        <v>21060066637</v>
      </c>
      <c r="AG3613" s="11">
        <f>$E3613+27</f>
        <v>132</v>
      </c>
      <c r="AH3613" s="12">
        <f>IF($J3613=0,0,ROUND(MAX($J3613*1.4*1.5*1.6*1.6*2.2*2.715*2.6*1.4*1.4*1.5*1.5*3.2,60500000000*(1.654288^(MIN($E3613,123)-117)))*1,0))</f>
        <v>67392213239</v>
      </c>
    </row>
    <row r="3614" ht="28" customHeight="1" spans="1:34" x14ac:dyDescent="0.25">
      <c r="A3614">
        <v>3624</v>
      </c>
      <c r="B3614" t="s">
        <v>251</v>
      </c>
      <c r="C3614" s="10" t="s">
        <v>1813</v>
      </c>
      <c r="D3614" t="s">
        <v>40</v>
      </c>
      <c r="E3614">
        <v>105</v>
      </c>
      <c r="F3614" t="s">
        <v>59</v>
      </c>
      <c r="G3614" t="s">
        <v>252</v>
      </c>
      <c r="H3614">
        <v>25</v>
      </c>
      <c r="I3614" s="11">
        <f>$E3614+0</f>
        <v>105</v>
      </c>
      <c r="J3614" s="12">
        <v>104000</v>
      </c>
      <c r="K3614" s="13">
        <f>$E3614+1</f>
        <v>106</v>
      </c>
      <c r="L3614" s="14">
        <f>IF($J3614=0,0,ROUND(MAX($J3614*1.4,1620000*(1.497923^(MIN($E3614,123)-117)))*1,0))</f>
        <v>145600</v>
      </c>
      <c r="M3614" s="11">
        <f>$E3614+2</f>
        <v>107</v>
      </c>
      <c r="N3614" s="12">
        <f>IF($J3614=0,0,ROUND(MAX($J3614*1.4*1.5,2190000*(1.580994^(MIN($E3614,123)-117)))*1,0))</f>
        <v>218400</v>
      </c>
      <c r="O3614" s="13">
        <f>$E3614+4</f>
        <v>109</v>
      </c>
      <c r="P3614" s="14">
        <f>IF($J3614=0,0,ROUND(MAX($J3614*1.4*1.5*1.6,3500000*(1.57975^(MIN($E3614,123)-117)))*1,0))</f>
        <v>349440</v>
      </c>
      <c r="Q3614" s="11">
        <f>$E3614+6</f>
        <v>111</v>
      </c>
      <c r="R3614" s="12">
        <f>IF($J3614=0,0,ROUND(MAX($J3614*1.4*1.5*1.6*1.6,13100000*(1.429962^(MIN($E3614,123)-117)))*1,0))</f>
        <v>559104</v>
      </c>
      <c r="S3614" s="13">
        <f>$E3614+8</f>
        <v>113</v>
      </c>
      <c r="T3614" s="14">
        <f>IF($J3614=0,0,ROUND(MAX($J3614*1.4*1.5*1.6*1.6*2.2,42600000*(1.576904^(MIN($E3614,123)-117)))*1,0))</f>
        <v>1230029</v>
      </c>
      <c r="U3614" s="11">
        <f>$E3614+11</f>
        <v>116</v>
      </c>
      <c r="V3614" s="12">
        <f>IF($J3614=0,0,ROUND(MAX($J3614*1.4*1.5*1.6*1.6*2.2*2.715,354000000*(1.642074^(MIN($E3614,123)-117)))*1,0))</f>
        <v>3339528</v>
      </c>
      <c r="W3614" s="13">
        <f>$E3614+15</f>
        <v>120</v>
      </c>
      <c r="X3614" s="14">
        <f>IF($J3614=0,0,ROUND(MAX($J3614*1.4*1.5*1.6*1.6*2.2*2.715*2.6,3540000000*(1.579646^(MIN($E3614,123)-117)))*1,0))</f>
        <v>14665133</v>
      </c>
      <c r="Y3614" s="11">
        <f>$E3614+17</f>
        <v>122</v>
      </c>
      <c r="Z3614" s="12">
        <f>IF($J3614=0,0,ROUND(MAX($J3614*1.4*1.5*1.6*1.6*2.2*2.715*2.6*1.4,6020000000*(1.651178^(MIN($E3614,123)-117)))*1,0))</f>
        <v>14657833</v>
      </c>
      <c r="AA3614" s="13">
        <f>$E3614+19</f>
        <v>124</v>
      </c>
      <c r="AB3614" s="14">
        <f>IF($J3614=0,0,ROUND(MAX($J3614*1.4*1.5*1.6*1.6*2.2*2.715*2.6*1.4*1.4,8430000000*(1.651435^(MIN($E3614,123)-117)))*1,0))</f>
        <v>20487537</v>
      </c>
      <c r="AC3614" s="11">
        <f>$E3614+21</f>
        <v>126</v>
      </c>
      <c r="AD3614" s="12">
        <f>IF($J3614=0,0,ROUND(MAX($J3614*1.4*1.5*1.6*1.6*2.2*2.715*2.6*1.4*1.4*1.5,12600000000*(1.652953^(MIN($E3614,123)-117)))*1,0))</f>
        <v>30286179</v>
      </c>
      <c r="AE3614" s="13">
        <f>$E3614+24</f>
        <v>129</v>
      </c>
      <c r="AF3614" s="14">
        <f>IF($J3614=0,0,ROUND(MAX($J3614*1.4*1.5*1.6*1.6*2.2*2.715*2.6*1.4*1.4*1.5*1.5,18900000000*(1.65331^(MIN($E3614,123)-117)))*1,0))</f>
        <v>45311693</v>
      </c>
      <c r="AG3614" s="11">
        <f>$E3614+27</f>
        <v>132</v>
      </c>
      <c r="AH3614" s="12">
        <f>IF($J3614=0,0,ROUND(MAX($J3614*1.4*1.5*1.6*1.6*2.2*2.715*2.6*1.4*1.4*1.5*1.5*3.2,60500000000*(1.654288^(MIN($E3614,123)-117)))*1,0))</f>
        <v>144019713</v>
      </c>
    </row>
    <row r="3615" ht="28" customHeight="1" spans="1:34" x14ac:dyDescent="0.25">
      <c r="A3615">
        <v>3625</v>
      </c>
      <c r="B3615" t="s">
        <v>53</v>
      </c>
      <c r="C3615" s="10" t="s">
        <v>1813</v>
      </c>
      <c r="D3615" t="s">
        <v>25</v>
      </c>
      <c r="E3615">
        <v>105</v>
      </c>
      <c r="F3615" t="s">
        <v>54</v>
      </c>
      <c r="G3615" t="s">
        <v>562</v>
      </c>
      <c r="H3615">
        <v>25</v>
      </c>
      <c r="I3615" s="11">
        <f>$E3615+0</f>
        <v>105</v>
      </c>
      <c r="J3615" s="12">
        <v>38200</v>
      </c>
      <c r="K3615" s="13">
        <f>$E3615+1</f>
        <v>106</v>
      </c>
      <c r="L3615" s="14">
        <f>IF($J3615=0,0,ROUND(MAX($J3615*1.4,1620000*(1.497923^(MIN($E3615,123)-117)))*1,0))</f>
        <v>53480</v>
      </c>
      <c r="M3615" s="11">
        <f>$E3615+2</f>
        <v>107</v>
      </c>
      <c r="N3615" s="12">
        <f>IF($J3615=0,0,ROUND(MAX($J3615*1.4*1.5,2190000*(1.580994^(MIN($E3615,123)-117)))*1,0))</f>
        <v>80220</v>
      </c>
      <c r="O3615" s="13">
        <f>$E3615+4</f>
        <v>109</v>
      </c>
      <c r="P3615" s="14">
        <f>IF($J3615=0,0,ROUND(MAX($J3615*1.4*1.5*1.6,3500000*(1.57975^(MIN($E3615,123)-117)))*1,0))</f>
        <v>128352</v>
      </c>
      <c r="Q3615" s="11">
        <f>$E3615+6</f>
        <v>111</v>
      </c>
      <c r="R3615" s="12">
        <f>IF($J3615=0,0,ROUND(MAX($J3615*1.4*1.5*1.6*1.6,13100000*(1.429962^(MIN($E3615,123)-117)))*1,0))</f>
        <v>205363</v>
      </c>
      <c r="S3615" s="13">
        <f>$E3615+8</f>
        <v>113</v>
      </c>
      <c r="T3615" s="14">
        <f>IF($J3615=0,0,ROUND(MAX($J3615*1.4*1.5*1.6*1.6*2.2,42600000*(1.576904^(MIN($E3615,123)-117)))*1,0))</f>
        <v>451799</v>
      </c>
      <c r="U3615" s="11">
        <f>$E3615+11</f>
        <v>116</v>
      </c>
      <c r="V3615" s="12">
        <f>IF($J3615=0,0,ROUND(MAX($J3615*1.4*1.5*1.6*1.6*2.2*2.715,354000000*(1.642074^(MIN($E3615,123)-117)))*1,0))</f>
        <v>1226634</v>
      </c>
      <c r="W3615" s="13">
        <f>$E3615+15</f>
        <v>120</v>
      </c>
      <c r="X3615" s="14">
        <f>IF($J3615=0,0,ROUND(MAX($J3615*1.4*1.5*1.6*1.6*2.2*2.715*2.6,3540000000*(1.579646^(MIN($E3615,123)-117)))*1,0))</f>
        <v>14665133</v>
      </c>
      <c r="Y3615" s="11">
        <f>$E3615+17</f>
        <v>122</v>
      </c>
      <c r="Z3615" s="12">
        <f>IF($J3615=0,0,ROUND(MAX($J3615*1.4*1.5*1.6*1.6*2.2*2.715*2.6*1.4,6020000000*(1.651178^(MIN($E3615,123)-117)))*1,0))</f>
        <v>14657833</v>
      </c>
      <c r="AA3615" s="13">
        <f>$E3615+19</f>
        <v>124</v>
      </c>
      <c r="AB3615" s="14">
        <f>IF($J3615=0,0,ROUND(MAX($J3615*1.4*1.5*1.6*1.6*2.2*2.715*2.6*1.4*1.4,8430000000*(1.651435^(MIN($E3615,123)-117)))*1,0))</f>
        <v>20487537</v>
      </c>
      <c r="AC3615" s="11">
        <f>$E3615+21</f>
        <v>126</v>
      </c>
      <c r="AD3615" s="12">
        <f>IF($J3615=0,0,ROUND(MAX($J3615*1.4*1.5*1.6*1.6*2.2*2.715*2.6*1.4*1.4*1.5,12600000000*(1.652953^(MIN($E3615,123)-117)))*1,0))</f>
        <v>30286179</v>
      </c>
      <c r="AE3615" s="13">
        <f>$E3615+24</f>
        <v>129</v>
      </c>
      <c r="AF3615" s="14">
        <f>IF($J3615=0,0,ROUND(MAX($J3615*1.4*1.5*1.6*1.6*2.2*2.715*2.6*1.4*1.4*1.5*1.5,18900000000*(1.65331^(MIN($E3615,123)-117)))*1,0))</f>
        <v>45311693</v>
      </c>
      <c r="AG3615" s="11">
        <f>$E3615+27</f>
        <v>132</v>
      </c>
      <c r="AH3615" s="12">
        <f>IF($J3615=0,0,ROUND(MAX($J3615*1.4*1.5*1.6*1.6*2.2*2.715*2.6*1.4*1.4*1.5*1.5*3.2,60500000000*(1.654288^(MIN($E3615,123)-117)))*1,0))</f>
        <v>144019713</v>
      </c>
    </row>
    <row r="3616" ht="28" customHeight="1" spans="1:34" x14ac:dyDescent="0.25">
      <c r="A3616">
        <v>3626</v>
      </c>
      <c r="B3616" t="s">
        <v>101</v>
      </c>
      <c r="C3616" s="10" t="s">
        <v>1813</v>
      </c>
      <c r="D3616" t="s">
        <v>33</v>
      </c>
      <c r="E3616">
        <v>105</v>
      </c>
      <c r="F3616" t="s">
        <v>42</v>
      </c>
      <c r="G3616" t="s">
        <v>562</v>
      </c>
      <c r="H3616">
        <v>24</v>
      </c>
      <c r="I3616" s="11">
        <f>$E3616+0</f>
        <v>105</v>
      </c>
      <c r="J3616" s="12">
        <v>49500000</v>
      </c>
      <c r="K3616" s="13">
        <f>$E3616+1</f>
        <v>106</v>
      </c>
      <c r="L3616" s="14">
        <f>IF($J3616=0,0,ROUND(MAX($J3616*1.4,1620000*(1.497923^(MIN($E3616,123)-117)))*1,0))</f>
        <v>69300000</v>
      </c>
      <c r="M3616" s="11">
        <f>$E3616+2</f>
        <v>107</v>
      </c>
      <c r="N3616" s="12">
        <f>IF($J3616=0,0,ROUND(MAX($J3616*1.4*1.5,2190000*(1.580994^(MIN($E3616,123)-117)))*1,0))</f>
        <v>103950000</v>
      </c>
      <c r="O3616" s="13">
        <f>$E3616+4</f>
        <v>109</v>
      </c>
      <c r="P3616" s="14">
        <f>IF($J3616=0,0,ROUND(MAX($J3616*1.4*1.5*1.6,3500000*(1.57975^(MIN($E3616,123)-117)))*1,0))</f>
        <v>166320000</v>
      </c>
      <c r="Q3616" s="11">
        <f>$E3616+6</f>
        <v>111</v>
      </c>
      <c r="R3616" s="12">
        <f>IF($J3616=0,0,ROUND(MAX($J3616*1.4*1.5*1.6*1.6,13100000*(1.429962^(MIN($E3616,123)-117)))*1,0))</f>
        <v>266112000</v>
      </c>
      <c r="S3616" s="13">
        <f>$E3616+8</f>
        <v>113</v>
      </c>
      <c r="T3616" s="14">
        <f>IF($J3616=0,0,ROUND(MAX($J3616*1.4*1.5*1.6*1.6*2.2,42600000*(1.576904^(MIN($E3616,123)-117)))*1,0))</f>
        <v>585446400</v>
      </c>
      <c r="U3616" s="11">
        <f>$E3616+11</f>
        <v>116</v>
      </c>
      <c r="V3616" s="12">
        <f>IF($J3616=0,0,ROUND(MAX($J3616*1.4*1.5*1.6*1.6*2.2*2.715,354000000*(1.642074^(MIN($E3616,123)-117)))*1,0))</f>
        <v>1589486976</v>
      </c>
      <c r="W3616" s="13">
        <f>$E3616+15</f>
        <v>120</v>
      </c>
      <c r="X3616" s="14">
        <f>IF($J3616=0,0,ROUND(MAX($J3616*1.4*1.5*1.6*1.6*2.2*2.715*2.6,3540000000*(1.579646^(MIN($E3616,123)-117)))*1,0))</f>
        <v>4132666138</v>
      </c>
      <c r="Y3616" s="11">
        <f>$E3616+17</f>
        <v>122</v>
      </c>
      <c r="Z3616" s="12">
        <f>IF($J3616=0,0,ROUND(MAX($J3616*1.4*1.5*1.6*1.6*2.2*2.715*2.6*1.4,6020000000*(1.651178^(MIN($E3616,123)-117)))*1,0))</f>
        <v>5785732593</v>
      </c>
      <c r="AA3616" s="13">
        <f>$E3616+19</f>
        <v>124</v>
      </c>
      <c r="AB3616" s="14">
        <f>IF($J3616=0,0,ROUND(MAX($J3616*1.4*1.5*1.6*1.6*2.2*2.715*2.6*1.4*1.4,8430000000*(1.651435^(MIN($E3616,123)-117)))*1,0))</f>
        <v>8100025630</v>
      </c>
      <c r="AC3616" s="11">
        <f>$E3616+21</f>
        <v>126</v>
      </c>
      <c r="AD3616" s="12">
        <f>IF($J3616=0,0,ROUND(MAX($J3616*1.4*1.5*1.6*1.6*2.2*2.715*2.6*1.4*1.4*1.5,12600000000*(1.652953^(MIN($E3616,123)-117)))*1,0))</f>
        <v>12150038445</v>
      </c>
      <c r="AE3616" s="13">
        <f>$E3616+24</f>
        <v>129</v>
      </c>
      <c r="AF3616" s="14">
        <f>IF($J3616=0,0,ROUND(MAX($J3616*1.4*1.5*1.6*1.6*2.2*2.715*2.6*1.4*1.4*1.5*1.5,18900000000*(1.65331^(MIN($E3616,123)-117)))*1,0))</f>
        <v>18225057667</v>
      </c>
      <c r="AG3616" s="11">
        <f>$E3616+27</f>
        <v>132</v>
      </c>
      <c r="AH3616" s="12">
        <f>IF($J3616=0,0,ROUND(MAX($J3616*1.4*1.5*1.6*1.6*2.2*2.715*2.6*1.4*1.4*1.5*1.5*3.2,60500000000*(1.654288^(MIN($E3616,123)-117)))*1,0))</f>
        <v>58320184534</v>
      </c>
    </row>
    <row r="3617" ht="28" customHeight="1" spans="1:34" x14ac:dyDescent="0.25">
      <c r="A3617">
        <v>3627</v>
      </c>
      <c r="B3617" t="s">
        <v>50</v>
      </c>
      <c r="C3617" s="10" t="s">
        <v>1813</v>
      </c>
      <c r="D3617" t="s">
        <v>40</v>
      </c>
      <c r="E3617">
        <v>105</v>
      </c>
      <c r="F3617" t="s">
        <v>42</v>
      </c>
      <c r="G3617" t="s">
        <v>562</v>
      </c>
      <c r="H3617">
        <v>24</v>
      </c>
      <c r="I3617" s="11">
        <f>$E3617+0</f>
        <v>105</v>
      </c>
      <c r="J3617" s="12">
        <v>63700</v>
      </c>
      <c r="K3617" s="13">
        <f>$E3617+1</f>
        <v>106</v>
      </c>
      <c r="L3617" s="14">
        <f>IF($J3617=0,0,ROUND(MAX($J3617*1.4,1620000*(1.497923^(MIN($E3617,123)-117)))*1,0))</f>
        <v>89180</v>
      </c>
      <c r="M3617" s="11">
        <f>$E3617+2</f>
        <v>107</v>
      </c>
      <c r="N3617" s="12">
        <f>IF($J3617=0,0,ROUND(MAX($J3617*1.4*1.5,2190000*(1.580994^(MIN($E3617,123)-117)))*1,0))</f>
        <v>133770</v>
      </c>
      <c r="O3617" s="13">
        <f>$E3617+4</f>
        <v>109</v>
      </c>
      <c r="P3617" s="14">
        <f>IF($J3617=0,0,ROUND(MAX($J3617*1.4*1.5*1.6,3500000*(1.57975^(MIN($E3617,123)-117)))*1,0))</f>
        <v>214032</v>
      </c>
      <c r="Q3617" s="11">
        <f>$E3617+6</f>
        <v>111</v>
      </c>
      <c r="R3617" s="12">
        <f>IF($J3617=0,0,ROUND(MAX($J3617*1.4*1.5*1.6*1.6,13100000*(1.429962^(MIN($E3617,123)-117)))*1,0))</f>
        <v>342451</v>
      </c>
      <c r="S3617" s="13">
        <f>$E3617+8</f>
        <v>113</v>
      </c>
      <c r="T3617" s="14">
        <f>IF($J3617=0,0,ROUND(MAX($J3617*1.4*1.5*1.6*1.6*2.2,42600000*(1.576904^(MIN($E3617,123)-117)))*1,0))</f>
        <v>753393</v>
      </c>
      <c r="U3617" s="11">
        <f>$E3617+11</f>
        <v>116</v>
      </c>
      <c r="V3617" s="12">
        <f>IF($J3617=0,0,ROUND(MAX($J3617*1.4*1.5*1.6*1.6*2.2*2.715,354000000*(1.642074^(MIN($E3617,123)-117)))*1,0))</f>
        <v>2045461</v>
      </c>
      <c r="W3617" s="13">
        <f>$E3617+15</f>
        <v>120</v>
      </c>
      <c r="X3617" s="14">
        <f>IF($J3617=0,0,ROUND(MAX($J3617*1.4*1.5*1.6*1.6*2.2*2.715*2.6,3540000000*(1.579646^(MIN($E3617,123)-117)))*1,0))</f>
        <v>14665133</v>
      </c>
      <c r="Y3617" s="11">
        <f>$E3617+17</f>
        <v>122</v>
      </c>
      <c r="Z3617" s="12">
        <f>IF($J3617=0,0,ROUND(MAX($J3617*1.4*1.5*1.6*1.6*2.2*2.715*2.6*1.4,6020000000*(1.651178^(MIN($E3617,123)-117)))*1,0))</f>
        <v>14657833</v>
      </c>
      <c r="AA3617" s="13">
        <f>$E3617+19</f>
        <v>124</v>
      </c>
      <c r="AB3617" s="14">
        <f>IF($J3617=0,0,ROUND(MAX($J3617*1.4*1.5*1.6*1.6*2.2*2.715*2.6*1.4*1.4,8430000000*(1.651435^(MIN($E3617,123)-117)))*1,0))</f>
        <v>20487537</v>
      </c>
      <c r="AC3617" s="11">
        <f>$E3617+21</f>
        <v>126</v>
      </c>
      <c r="AD3617" s="12">
        <f>IF($J3617=0,0,ROUND(MAX($J3617*1.4*1.5*1.6*1.6*2.2*2.715*2.6*1.4*1.4*1.5,12600000000*(1.652953^(MIN($E3617,123)-117)))*1,0))</f>
        <v>30286179</v>
      </c>
      <c r="AE3617" s="13">
        <f>$E3617+24</f>
        <v>129</v>
      </c>
      <c r="AF3617" s="14">
        <f>IF($J3617=0,0,ROUND(MAX($J3617*1.4*1.5*1.6*1.6*2.2*2.715*2.6*1.4*1.4*1.5*1.5,18900000000*(1.65331^(MIN($E3617,123)-117)))*1,0))</f>
        <v>45311693</v>
      </c>
      <c r="AG3617" s="11">
        <f>$E3617+27</f>
        <v>132</v>
      </c>
      <c r="AH3617" s="12">
        <f>IF($J3617=0,0,ROUND(MAX($J3617*1.4*1.5*1.6*1.6*2.2*2.715*2.6*1.4*1.4*1.5*1.5*3.2,60500000000*(1.654288^(MIN($E3617,123)-117)))*1,0))</f>
        <v>144019713</v>
      </c>
    </row>
    <row r="3618" ht="28" customHeight="1" spans="1:34" x14ac:dyDescent="0.25">
      <c r="A3618">
        <v>3628</v>
      </c>
      <c r="B3618" t="s">
        <v>681</v>
      </c>
      <c r="C3618" s="10" t="s">
        <v>1813</v>
      </c>
      <c r="D3618" t="s">
        <v>33</v>
      </c>
      <c r="E3618">
        <v>105</v>
      </c>
      <c r="F3618" t="s">
        <v>71</v>
      </c>
      <c r="G3618" t="s">
        <v>562</v>
      </c>
      <c r="H3618">
        <v>24</v>
      </c>
      <c r="I3618" s="11">
        <f>$E3618+0</f>
        <v>105</v>
      </c>
      <c r="J3618" s="12">
        <v>92400000</v>
      </c>
      <c r="K3618" s="13">
        <f>$E3618+1</f>
        <v>106</v>
      </c>
      <c r="L3618" s="14">
        <f>IF($J3618=0,0,ROUND(MAX($J3618*1.4,1620000*(1.497923^(MIN($E3618,123)-117)))*1,0))</f>
        <v>129360000</v>
      </c>
      <c r="M3618" s="11">
        <f>$E3618+2</f>
        <v>107</v>
      </c>
      <c r="N3618" s="12">
        <f>IF($J3618=0,0,ROUND(MAX($J3618*1.4*1.5,2190000*(1.580994^(MIN($E3618,123)-117)))*1,0))</f>
        <v>194040000</v>
      </c>
      <c r="O3618" s="13">
        <f>$E3618+4</f>
        <v>109</v>
      </c>
      <c r="P3618" s="14">
        <f>IF($J3618=0,0,ROUND(MAX($J3618*1.4*1.5*1.6,3500000*(1.57975^(MIN($E3618,123)-117)))*1,0))</f>
        <v>310464000</v>
      </c>
      <c r="Q3618" s="11">
        <f>$E3618+6</f>
        <v>111</v>
      </c>
      <c r="R3618" s="12">
        <f>IF($J3618=0,0,ROUND(MAX($J3618*1.4*1.5*1.6*1.6,13100000*(1.429962^(MIN($E3618,123)-117)))*1,0))</f>
        <v>496742400</v>
      </c>
      <c r="S3618" s="13">
        <f>$E3618+8</f>
        <v>113</v>
      </c>
      <c r="T3618" s="14">
        <f>IF($J3618=0,0,ROUND(MAX($J3618*1.4*1.5*1.6*1.6*2.2,42600000*(1.576904^(MIN($E3618,123)-117)))*1,0))</f>
        <v>1092833280</v>
      </c>
      <c r="U3618" s="11">
        <f>$E3618+11</f>
        <v>116</v>
      </c>
      <c r="V3618" s="12">
        <f>IF($J3618=0,0,ROUND(MAX($J3618*1.4*1.5*1.6*1.6*2.2*2.715,354000000*(1.642074^(MIN($E3618,123)-117)))*1,0))</f>
        <v>2967042355</v>
      </c>
      <c r="W3618" s="13">
        <f>$E3618+15</f>
        <v>120</v>
      </c>
      <c r="X3618" s="14">
        <f>IF($J3618=0,0,ROUND(MAX($J3618*1.4*1.5*1.6*1.6*2.2*2.715*2.6,3540000000*(1.579646^(MIN($E3618,123)-117)))*1,0))</f>
        <v>7714310124</v>
      </c>
      <c r="Y3618" s="11">
        <f>$E3618+17</f>
        <v>122</v>
      </c>
      <c r="Z3618" s="12">
        <f>IF($J3618=0,0,ROUND(MAX($J3618*1.4*1.5*1.6*1.6*2.2*2.715*2.6*1.4,6020000000*(1.651178^(MIN($E3618,123)-117)))*1,0))</f>
        <v>10800034173</v>
      </c>
      <c r="AA3618" s="13">
        <f>$E3618+19</f>
        <v>124</v>
      </c>
      <c r="AB3618" s="14">
        <f>IF($J3618=0,0,ROUND(MAX($J3618*1.4*1.5*1.6*1.6*2.2*2.715*2.6*1.4*1.4,8430000000*(1.651435^(MIN($E3618,123)-117)))*1,0))</f>
        <v>15120047842</v>
      </c>
      <c r="AC3618" s="11">
        <f>$E3618+21</f>
        <v>126</v>
      </c>
      <c r="AD3618" s="12">
        <f>IF($J3618=0,0,ROUND(MAX($J3618*1.4*1.5*1.6*1.6*2.2*2.715*2.6*1.4*1.4*1.5,12600000000*(1.652953^(MIN($E3618,123)-117)))*1,0))</f>
        <v>22680071763</v>
      </c>
      <c r="AE3618" s="13">
        <f>$E3618+24</f>
        <v>129</v>
      </c>
      <c r="AF3618" s="14">
        <f>IF($J3618=0,0,ROUND(MAX($J3618*1.4*1.5*1.6*1.6*2.2*2.715*2.6*1.4*1.4*1.5*1.5,18900000000*(1.65331^(MIN($E3618,123)-117)))*1,0))</f>
        <v>34020107645</v>
      </c>
      <c r="AG3618" s="11">
        <f>$E3618+27</f>
        <v>132</v>
      </c>
      <c r="AH3618" s="12">
        <f>IF($J3618=0,0,ROUND(MAX($J3618*1.4*1.5*1.6*1.6*2.2*2.715*2.6*1.4*1.4*1.5*1.5*3.2,60500000000*(1.654288^(MIN($E3618,123)-117)))*1,0))</f>
        <v>108864344463</v>
      </c>
    </row>
    <row r="3619" ht="28" customHeight="1" spans="1:34" x14ac:dyDescent="0.25">
      <c r="A3619">
        <v>3629</v>
      </c>
      <c r="B3619" t="s">
        <v>163</v>
      </c>
      <c r="C3619" s="10" t="s">
        <v>1813</v>
      </c>
      <c r="D3619" t="s">
        <v>40</v>
      </c>
      <c r="E3619">
        <v>105</v>
      </c>
      <c r="F3619" t="s">
        <v>71</v>
      </c>
      <c r="G3619" t="s">
        <v>562</v>
      </c>
      <c r="H3619">
        <v>24</v>
      </c>
      <c r="I3619" s="11">
        <f>$E3619+0</f>
        <v>105</v>
      </c>
      <c r="J3619" s="12">
        <v>86700</v>
      </c>
      <c r="K3619" s="13">
        <f>$E3619+1</f>
        <v>106</v>
      </c>
      <c r="L3619" s="14">
        <f>IF($J3619=0,0,ROUND(MAX($J3619*1.4,1620000*(1.497923^(MIN($E3619,123)-117)))*1,0))</f>
        <v>121380</v>
      </c>
      <c r="M3619" s="11">
        <f>$E3619+2</f>
        <v>107</v>
      </c>
      <c r="N3619" s="12">
        <f>IF($J3619=0,0,ROUND(MAX($J3619*1.4*1.5,2190000*(1.580994^(MIN($E3619,123)-117)))*1,0))</f>
        <v>182070</v>
      </c>
      <c r="O3619" s="13">
        <f>$E3619+4</f>
        <v>109</v>
      </c>
      <c r="P3619" s="14">
        <f>IF($J3619=0,0,ROUND(MAX($J3619*1.4*1.5*1.6,3500000*(1.57975^(MIN($E3619,123)-117)))*1,0))</f>
        <v>291312</v>
      </c>
      <c r="Q3619" s="11">
        <f>$E3619+6</f>
        <v>111</v>
      </c>
      <c r="R3619" s="12">
        <f>IF($J3619=0,0,ROUND(MAX($J3619*1.4*1.5*1.6*1.6,13100000*(1.429962^(MIN($E3619,123)-117)))*1,0))</f>
        <v>466099</v>
      </c>
      <c r="S3619" s="13">
        <f>$E3619+8</f>
        <v>113</v>
      </c>
      <c r="T3619" s="14">
        <f>IF($J3619=0,0,ROUND(MAX($J3619*1.4*1.5*1.6*1.6*2.2,42600000*(1.576904^(MIN($E3619,123)-117)))*1,0))</f>
        <v>1025418</v>
      </c>
      <c r="U3619" s="11">
        <f>$E3619+11</f>
        <v>116</v>
      </c>
      <c r="V3619" s="12">
        <f>IF($J3619=0,0,ROUND(MAX($J3619*1.4*1.5*1.6*1.6*2.2*2.715,354000000*(1.642074^(MIN($E3619,123)-117)))*1,0))</f>
        <v>2784011</v>
      </c>
      <c r="W3619" s="13">
        <f>$E3619+15</f>
        <v>120</v>
      </c>
      <c r="X3619" s="14">
        <f>IF($J3619=0,0,ROUND(MAX($J3619*1.4*1.5*1.6*1.6*2.2*2.715*2.6,3540000000*(1.579646^(MIN($E3619,123)-117)))*1,0))</f>
        <v>14665133</v>
      </c>
      <c r="Y3619" s="11">
        <f>$E3619+17</f>
        <v>122</v>
      </c>
      <c r="Z3619" s="12">
        <f>IF($J3619=0,0,ROUND(MAX($J3619*1.4*1.5*1.6*1.6*2.2*2.715*2.6*1.4,6020000000*(1.651178^(MIN($E3619,123)-117)))*1,0))</f>
        <v>14657833</v>
      </c>
      <c r="AA3619" s="13">
        <f>$E3619+19</f>
        <v>124</v>
      </c>
      <c r="AB3619" s="14">
        <f>IF($J3619=0,0,ROUND(MAX($J3619*1.4*1.5*1.6*1.6*2.2*2.715*2.6*1.4*1.4,8430000000*(1.651435^(MIN($E3619,123)-117)))*1,0))</f>
        <v>20487537</v>
      </c>
      <c r="AC3619" s="11">
        <f>$E3619+21</f>
        <v>126</v>
      </c>
      <c r="AD3619" s="12">
        <f>IF($J3619=0,0,ROUND(MAX($J3619*1.4*1.5*1.6*1.6*2.2*2.715*2.6*1.4*1.4*1.5,12600000000*(1.652953^(MIN($E3619,123)-117)))*1,0))</f>
        <v>30286179</v>
      </c>
      <c r="AE3619" s="13">
        <f>$E3619+24</f>
        <v>129</v>
      </c>
      <c r="AF3619" s="14">
        <f>IF($J3619=0,0,ROUND(MAX($J3619*1.4*1.5*1.6*1.6*2.2*2.715*2.6*1.4*1.4*1.5*1.5,18900000000*(1.65331^(MIN($E3619,123)-117)))*1,0))</f>
        <v>45311693</v>
      </c>
      <c r="AG3619" s="11">
        <f>$E3619+27</f>
        <v>132</v>
      </c>
      <c r="AH3619" s="12">
        <f>IF($J3619=0,0,ROUND(MAX($J3619*1.4*1.5*1.6*1.6*2.2*2.715*2.6*1.4*1.4*1.5*1.5*3.2,60500000000*(1.654288^(MIN($E3619,123)-117)))*1,0))</f>
        <v>144019713</v>
      </c>
    </row>
    <row r="3620" ht="28" customHeight="1" spans="1:34" x14ac:dyDescent="0.25">
      <c r="A3620">
        <v>3630</v>
      </c>
      <c r="B3620" t="s">
        <v>195</v>
      </c>
      <c r="C3620" s="10" t="s">
        <v>1813</v>
      </c>
      <c r="D3620" t="s">
        <v>40</v>
      </c>
      <c r="E3620">
        <v>105</v>
      </c>
      <c r="F3620" t="s">
        <v>42</v>
      </c>
      <c r="G3620" t="s">
        <v>562</v>
      </c>
      <c r="H3620">
        <v>24</v>
      </c>
      <c r="I3620" s="11">
        <f>$E3620+0</f>
        <v>105</v>
      </c>
      <c r="J3620" s="12">
        <v>23000</v>
      </c>
      <c r="K3620" s="13">
        <f>$E3620+1</f>
        <v>106</v>
      </c>
      <c r="L3620" s="14">
        <f>IF($J3620=0,0,ROUND(MAX($J3620*1.4,1620000*(1.497923^(MIN($E3620,123)-117)))*1,0))</f>
        <v>32200</v>
      </c>
      <c r="M3620" s="11">
        <f>$E3620+2</f>
        <v>107</v>
      </c>
      <c r="N3620" s="12">
        <f>IF($J3620=0,0,ROUND(MAX($J3620*1.4*1.5,2190000*(1.580994^(MIN($E3620,123)-117)))*1,0))</f>
        <v>48300</v>
      </c>
      <c r="O3620" s="13">
        <f>$E3620+4</f>
        <v>109</v>
      </c>
      <c r="P3620" s="14">
        <f>IF($J3620=0,0,ROUND(MAX($J3620*1.4*1.5*1.6,3500000*(1.57975^(MIN($E3620,123)-117)))*1,0))</f>
        <v>77280</v>
      </c>
      <c r="Q3620" s="11">
        <f>$E3620+6</f>
        <v>111</v>
      </c>
      <c r="R3620" s="12">
        <f>IF($J3620=0,0,ROUND(MAX($J3620*1.4*1.5*1.6*1.6,13100000*(1.429962^(MIN($E3620,123)-117)))*1,0))</f>
        <v>179216</v>
      </c>
      <c r="S3620" s="13">
        <f>$E3620+8</f>
        <v>113</v>
      </c>
      <c r="T3620" s="14">
        <f>IF($J3620=0,0,ROUND(MAX($J3620*1.4*1.5*1.6*1.6*2.2,42600000*(1.576904^(MIN($E3620,123)-117)))*1,0))</f>
        <v>272026</v>
      </c>
      <c r="U3620" s="11">
        <f>$E3620+11</f>
        <v>116</v>
      </c>
      <c r="V3620" s="12">
        <f>IF($J3620=0,0,ROUND(MAX($J3620*1.4*1.5*1.6*1.6*2.2*2.715,354000000*(1.642074^(MIN($E3620,123)-117)))*1,0))</f>
        <v>921066</v>
      </c>
      <c r="W3620" s="13">
        <f>$E3620+15</f>
        <v>120</v>
      </c>
      <c r="X3620" s="14">
        <f>IF($J3620=0,0,ROUND(MAX($J3620*1.4*1.5*1.6*1.6*2.2*2.715*2.6,3540000000*(1.579646^(MIN($E3620,123)-117)))*1,0))</f>
        <v>14665133</v>
      </c>
      <c r="Y3620" s="11">
        <f>$E3620+17</f>
        <v>122</v>
      </c>
      <c r="Z3620" s="12">
        <f>IF($J3620=0,0,ROUND(MAX($J3620*1.4*1.5*1.6*1.6*2.2*2.715*2.6*1.4,6020000000*(1.651178^(MIN($E3620,123)-117)))*1,0))</f>
        <v>14657833</v>
      </c>
      <c r="AA3620" s="13">
        <f>$E3620+19</f>
        <v>124</v>
      </c>
      <c r="AB3620" s="14">
        <f>IF($J3620=0,0,ROUND(MAX($J3620*1.4*1.5*1.6*1.6*2.2*2.715*2.6*1.4*1.4,8430000000*(1.651435^(MIN($E3620,123)-117)))*1,0))</f>
        <v>20487537</v>
      </c>
      <c r="AC3620" s="11">
        <f>$E3620+21</f>
        <v>126</v>
      </c>
      <c r="AD3620" s="12">
        <f>IF($J3620=0,0,ROUND(MAX($J3620*1.4*1.5*1.6*1.6*2.2*2.715*2.6*1.4*1.4*1.5,12600000000*(1.652953^(MIN($E3620,123)-117)))*1,0))</f>
        <v>30286179</v>
      </c>
      <c r="AE3620" s="13">
        <f>$E3620+24</f>
        <v>129</v>
      </c>
      <c r="AF3620" s="14">
        <f>IF($J3620=0,0,ROUND(MAX($J3620*1.4*1.5*1.6*1.6*2.2*2.715*2.6*1.4*1.4*1.5*1.5,18900000000*(1.65331^(MIN($E3620,123)-117)))*1,0))</f>
        <v>45311693</v>
      </c>
      <c r="AG3620" s="11">
        <f>$E3620+27</f>
        <v>132</v>
      </c>
      <c r="AH3620" s="12">
        <f>IF($J3620=0,0,ROUND(MAX($J3620*1.4*1.5*1.6*1.6*2.2*2.715*2.6*1.4*1.4*1.5*1.5*3.2,60500000000*(1.654288^(MIN($E3620,123)-117)))*1,0))</f>
        <v>144019713</v>
      </c>
    </row>
    <row r="3621" ht="28" customHeight="1" spans="1:34" x14ac:dyDescent="0.25">
      <c r="A3621">
        <v>3631</v>
      </c>
      <c r="B3621" t="s">
        <v>117</v>
      </c>
      <c r="C3621" s="10" t="s">
        <v>1813</v>
      </c>
      <c r="D3621" t="s">
        <v>40</v>
      </c>
      <c r="E3621">
        <v>105</v>
      </c>
      <c r="F3621" t="s">
        <v>54</v>
      </c>
      <c r="G3621" t="s">
        <v>562</v>
      </c>
      <c r="H3621">
        <v>24</v>
      </c>
      <c r="I3621" s="11">
        <f>$E3621+0</f>
        <v>105</v>
      </c>
      <c r="J3621" s="12">
        <v>36600</v>
      </c>
      <c r="K3621" s="13">
        <f>$E3621+1</f>
        <v>106</v>
      </c>
      <c r="L3621" s="14">
        <f>IF($J3621=0,0,ROUND(MAX($J3621*1.4,1620000*(1.497923^(MIN($E3621,123)-117)))*1,0))</f>
        <v>51240</v>
      </c>
      <c r="M3621" s="11">
        <f>$E3621+2</f>
        <v>107</v>
      </c>
      <c r="N3621" s="12">
        <f>IF($J3621=0,0,ROUND(MAX($J3621*1.4*1.5,2190000*(1.580994^(MIN($E3621,123)-117)))*1,0))</f>
        <v>76860</v>
      </c>
      <c r="O3621" s="13">
        <f>$E3621+4</f>
        <v>109</v>
      </c>
      <c r="P3621" s="14">
        <f>IF($J3621=0,0,ROUND(MAX($J3621*1.4*1.5*1.6,3500000*(1.57975^(MIN($E3621,123)-117)))*1,0))</f>
        <v>122976</v>
      </c>
      <c r="Q3621" s="11">
        <f>$E3621+6</f>
        <v>111</v>
      </c>
      <c r="R3621" s="12">
        <f>IF($J3621=0,0,ROUND(MAX($J3621*1.4*1.5*1.6*1.6,13100000*(1.429962^(MIN($E3621,123)-117)))*1,0))</f>
        <v>196762</v>
      </c>
      <c r="S3621" s="13">
        <f>$E3621+8</f>
        <v>113</v>
      </c>
      <c r="T3621" s="14">
        <f>IF($J3621=0,0,ROUND(MAX($J3621*1.4*1.5*1.6*1.6*2.2,42600000*(1.576904^(MIN($E3621,123)-117)))*1,0))</f>
        <v>432876</v>
      </c>
      <c r="U3621" s="11">
        <f>$E3621+11</f>
        <v>116</v>
      </c>
      <c r="V3621" s="12">
        <f>IF($J3621=0,0,ROUND(MAX($J3621*1.4*1.5*1.6*1.6*2.2*2.715,354000000*(1.642074^(MIN($E3621,123)-117)))*1,0))</f>
        <v>1175257</v>
      </c>
      <c r="W3621" s="13">
        <f>$E3621+15</f>
        <v>120</v>
      </c>
      <c r="X3621" s="14">
        <f>IF($J3621=0,0,ROUND(MAX($J3621*1.4*1.5*1.6*1.6*2.2*2.715*2.6,3540000000*(1.579646^(MIN($E3621,123)-117)))*1,0))</f>
        <v>14665133</v>
      </c>
      <c r="Y3621" s="11">
        <f>$E3621+17</f>
        <v>122</v>
      </c>
      <c r="Z3621" s="12">
        <f>IF($J3621=0,0,ROUND(MAX($J3621*1.4*1.5*1.6*1.6*2.2*2.715*2.6*1.4,6020000000*(1.651178^(MIN($E3621,123)-117)))*1,0))</f>
        <v>14657833</v>
      </c>
      <c r="AA3621" s="13">
        <f>$E3621+19</f>
        <v>124</v>
      </c>
      <c r="AB3621" s="14">
        <f>IF($J3621=0,0,ROUND(MAX($J3621*1.4*1.5*1.6*1.6*2.2*2.715*2.6*1.4*1.4,8430000000*(1.651435^(MIN($E3621,123)-117)))*1,0))</f>
        <v>20487537</v>
      </c>
      <c r="AC3621" s="11">
        <f>$E3621+21</f>
        <v>126</v>
      </c>
      <c r="AD3621" s="12">
        <f>IF($J3621=0,0,ROUND(MAX($J3621*1.4*1.5*1.6*1.6*2.2*2.715*2.6*1.4*1.4*1.5,12600000000*(1.652953^(MIN($E3621,123)-117)))*1,0))</f>
        <v>30286179</v>
      </c>
      <c r="AE3621" s="13">
        <f>$E3621+24</f>
        <v>129</v>
      </c>
      <c r="AF3621" s="14">
        <f>IF($J3621=0,0,ROUND(MAX($J3621*1.4*1.5*1.6*1.6*2.2*2.715*2.6*1.4*1.4*1.5*1.5,18900000000*(1.65331^(MIN($E3621,123)-117)))*1,0))</f>
        <v>45311693</v>
      </c>
      <c r="AG3621" s="11">
        <f>$E3621+27</f>
        <v>132</v>
      </c>
      <c r="AH3621" s="12">
        <f>IF($J3621=0,0,ROUND(MAX($J3621*1.4*1.5*1.6*1.6*2.2*2.715*2.6*1.4*1.4*1.5*1.5*3.2,60500000000*(1.654288^(MIN($E3621,123)-117)))*1,0))</f>
        <v>144019713</v>
      </c>
    </row>
    <row r="3622" ht="28" customHeight="1" spans="1:34" x14ac:dyDescent="0.25">
      <c r="A3622">
        <v>3632</v>
      </c>
      <c r="B3622" t="s">
        <v>148</v>
      </c>
      <c r="C3622" s="10" t="s">
        <v>1813</v>
      </c>
      <c r="D3622" t="s">
        <v>102</v>
      </c>
      <c r="E3622">
        <v>105</v>
      </c>
      <c r="F3622" t="s">
        <v>54</v>
      </c>
      <c r="G3622" t="s">
        <v>562</v>
      </c>
      <c r="H3622">
        <v>24</v>
      </c>
      <c r="I3622" s="11">
        <f>$E3622+0</f>
        <v>105</v>
      </c>
      <c r="J3622" s="12">
        <v>41500</v>
      </c>
      <c r="K3622" s="13">
        <f>$E3622+1</f>
        <v>106</v>
      </c>
      <c r="L3622" s="14">
        <f>IF($J3622=0,0,ROUND(MAX($J3622*1.4,1620000*(1.497923^(MIN($E3622,123)-117)))*1,0))</f>
        <v>58100</v>
      </c>
      <c r="M3622" s="11">
        <f>$E3622+2</f>
        <v>107</v>
      </c>
      <c r="N3622" s="12">
        <f>IF($J3622=0,0,ROUND(MAX($J3622*1.4*1.5,2190000*(1.580994^(MIN($E3622,123)-117)))*1,0))</f>
        <v>87150</v>
      </c>
      <c r="O3622" s="13">
        <f>$E3622+4</f>
        <v>109</v>
      </c>
      <c r="P3622" s="14">
        <f>IF($J3622=0,0,ROUND(MAX($J3622*1.4*1.5*1.6,3500000*(1.57975^(MIN($E3622,123)-117)))*1,0))</f>
        <v>139440</v>
      </c>
      <c r="Q3622" s="11">
        <f>$E3622+6</f>
        <v>111</v>
      </c>
      <c r="R3622" s="12">
        <f>IF($J3622=0,0,ROUND(MAX($J3622*1.4*1.5*1.6*1.6,13100000*(1.429962^(MIN($E3622,123)-117)))*1,0))</f>
        <v>223104</v>
      </c>
      <c r="S3622" s="13">
        <f>$E3622+8</f>
        <v>113</v>
      </c>
      <c r="T3622" s="14">
        <f>IF($J3622=0,0,ROUND(MAX($J3622*1.4*1.5*1.6*1.6*2.2,42600000*(1.576904^(MIN($E3622,123)-117)))*1,0))</f>
        <v>490829</v>
      </c>
      <c r="U3622" s="11">
        <f>$E3622+11</f>
        <v>116</v>
      </c>
      <c r="V3622" s="12">
        <f>IF($J3622=0,0,ROUND(MAX($J3622*1.4*1.5*1.6*1.6*2.2*2.715,354000000*(1.642074^(MIN($E3622,123)-117)))*1,0))</f>
        <v>1332600</v>
      </c>
      <c r="W3622" s="13">
        <f>$E3622+15</f>
        <v>120</v>
      </c>
      <c r="X3622" s="14">
        <f>IF($J3622=0,0,ROUND(MAX($J3622*1.4*1.5*1.6*1.6*2.2*2.715*2.6,3540000000*(1.579646^(MIN($E3622,123)-117)))*1,0))</f>
        <v>14665133</v>
      </c>
      <c r="Y3622" s="11">
        <f>$E3622+17</f>
        <v>122</v>
      </c>
      <c r="Z3622" s="12">
        <f>IF($J3622=0,0,ROUND(MAX($J3622*1.4*1.5*1.6*1.6*2.2*2.715*2.6*1.4,6020000000*(1.651178^(MIN($E3622,123)-117)))*1,0))</f>
        <v>14657833</v>
      </c>
      <c r="AA3622" s="13">
        <f>$E3622+19</f>
        <v>124</v>
      </c>
      <c r="AB3622" s="14">
        <f>IF($J3622=0,0,ROUND(MAX($J3622*1.4*1.5*1.6*1.6*2.2*2.715*2.6*1.4*1.4,8430000000*(1.651435^(MIN($E3622,123)-117)))*1,0))</f>
        <v>20487537</v>
      </c>
      <c r="AC3622" s="11">
        <f>$E3622+21</f>
        <v>126</v>
      </c>
      <c r="AD3622" s="12">
        <f>IF($J3622=0,0,ROUND(MAX($J3622*1.4*1.5*1.6*1.6*2.2*2.715*2.6*1.4*1.4*1.5,12600000000*(1.652953^(MIN($E3622,123)-117)))*1,0))</f>
        <v>30286179</v>
      </c>
      <c r="AE3622" s="13">
        <f>$E3622+24</f>
        <v>129</v>
      </c>
      <c r="AF3622" s="14">
        <f>IF($J3622=0,0,ROUND(MAX($J3622*1.4*1.5*1.6*1.6*2.2*2.715*2.6*1.4*1.4*1.5*1.5,18900000000*(1.65331^(MIN($E3622,123)-117)))*1,0))</f>
        <v>45311693</v>
      </c>
      <c r="AG3622" s="11">
        <f>$E3622+27</f>
        <v>132</v>
      </c>
      <c r="AH3622" s="12">
        <f>IF($J3622=0,0,ROUND(MAX($J3622*1.4*1.5*1.6*1.6*2.2*2.715*2.6*1.4*1.4*1.5*1.5*3.2,60500000000*(1.654288^(MIN($E3622,123)-117)))*1,0))</f>
        <v>144019713</v>
      </c>
    </row>
    <row r="3623" ht="28" customHeight="1" spans="1:34" x14ac:dyDescent="0.25">
      <c r="A3623">
        <v>3633</v>
      </c>
      <c r="B3623" t="s">
        <v>176</v>
      </c>
      <c r="C3623" s="10" t="s">
        <v>1813</v>
      </c>
      <c r="D3623" t="s">
        <v>33</v>
      </c>
      <c r="E3623">
        <v>105</v>
      </c>
      <c r="F3623" t="s">
        <v>54</v>
      </c>
      <c r="G3623" t="s">
        <v>562</v>
      </c>
      <c r="H3623">
        <v>24</v>
      </c>
      <c r="I3623" s="11">
        <f>$E3623+0</f>
        <v>105</v>
      </c>
      <c r="J3623" s="12">
        <v>17400</v>
      </c>
      <c r="K3623" s="13">
        <f>$E3623+1</f>
        <v>106</v>
      </c>
      <c r="L3623" s="14">
        <f>IF($J3623=0,0,ROUND(MAX($J3623*1.4,1620000*(1.497923^(MIN($E3623,123)-117)))*1,0))</f>
        <v>24360</v>
      </c>
      <c r="M3623" s="11">
        <f>$E3623+2</f>
        <v>107</v>
      </c>
      <c r="N3623" s="12">
        <f>IF($J3623=0,0,ROUND(MAX($J3623*1.4*1.5,2190000*(1.580994^(MIN($E3623,123)-117)))*1,0))</f>
        <v>36540</v>
      </c>
      <c r="O3623" s="13">
        <f>$E3623+4</f>
        <v>109</v>
      </c>
      <c r="P3623" s="14">
        <f>IF($J3623=0,0,ROUND(MAX($J3623*1.4*1.5*1.6,3500000*(1.57975^(MIN($E3623,123)-117)))*1,0))</f>
        <v>58464</v>
      </c>
      <c r="Q3623" s="11">
        <f>$E3623+6</f>
        <v>111</v>
      </c>
      <c r="R3623" s="12">
        <f>IF($J3623=0,0,ROUND(MAX($J3623*1.4*1.5*1.6*1.6,13100000*(1.429962^(MIN($E3623,123)-117)))*1,0))</f>
        <v>179216</v>
      </c>
      <c r="S3623" s="13">
        <f>$E3623+8</f>
        <v>113</v>
      </c>
      <c r="T3623" s="14">
        <f>IF($J3623=0,0,ROUND(MAX($J3623*1.4*1.5*1.6*1.6*2.2,42600000*(1.576904^(MIN($E3623,123)-117)))*1,0))</f>
        <v>205793</v>
      </c>
      <c r="U3623" s="11">
        <f>$E3623+11</f>
        <v>116</v>
      </c>
      <c r="V3623" s="12">
        <f>IF($J3623=0,0,ROUND(MAX($J3623*1.4*1.5*1.6*1.6*2.2*2.715,354000000*(1.642074^(MIN($E3623,123)-117)))*1,0))</f>
        <v>921066</v>
      </c>
      <c r="W3623" s="13">
        <f>$E3623+15</f>
        <v>120</v>
      </c>
      <c r="X3623" s="14">
        <f>IF($J3623=0,0,ROUND(MAX($J3623*1.4*1.5*1.6*1.6*2.2*2.715*2.6,3540000000*(1.579646^(MIN($E3623,123)-117)))*1,0))</f>
        <v>14665133</v>
      </c>
      <c r="Y3623" s="11">
        <f>$E3623+17</f>
        <v>122</v>
      </c>
      <c r="Z3623" s="12">
        <f>IF($J3623=0,0,ROUND(MAX($J3623*1.4*1.5*1.6*1.6*2.2*2.715*2.6*1.4,6020000000*(1.651178^(MIN($E3623,123)-117)))*1,0))</f>
        <v>14657833</v>
      </c>
      <c r="AA3623" s="13">
        <f>$E3623+19</f>
        <v>124</v>
      </c>
      <c r="AB3623" s="14">
        <f>IF($J3623=0,0,ROUND(MAX($J3623*1.4*1.5*1.6*1.6*2.2*2.715*2.6*1.4*1.4,8430000000*(1.651435^(MIN($E3623,123)-117)))*1,0))</f>
        <v>20487537</v>
      </c>
      <c r="AC3623" s="11">
        <f>$E3623+21</f>
        <v>126</v>
      </c>
      <c r="AD3623" s="12">
        <f>IF($J3623=0,0,ROUND(MAX($J3623*1.4*1.5*1.6*1.6*2.2*2.715*2.6*1.4*1.4*1.5,12600000000*(1.652953^(MIN($E3623,123)-117)))*1,0))</f>
        <v>30286179</v>
      </c>
      <c r="AE3623" s="13">
        <f>$E3623+24</f>
        <v>129</v>
      </c>
      <c r="AF3623" s="14">
        <f>IF($J3623=0,0,ROUND(MAX($J3623*1.4*1.5*1.6*1.6*2.2*2.715*2.6*1.4*1.4*1.5*1.5,18900000000*(1.65331^(MIN($E3623,123)-117)))*1,0))</f>
        <v>45311693</v>
      </c>
      <c r="AG3623" s="11">
        <f>$E3623+27</f>
        <v>132</v>
      </c>
      <c r="AH3623" s="12">
        <f>IF($J3623=0,0,ROUND(MAX($J3623*1.4*1.5*1.6*1.6*2.2*2.715*2.6*1.4*1.4*1.5*1.5*3.2,60500000000*(1.654288^(MIN($E3623,123)-117)))*1,0))</f>
        <v>144019713</v>
      </c>
    </row>
    <row r="3624" ht="28" customHeight="1" spans="1:34" x14ac:dyDescent="0.25">
      <c r="A3624">
        <v>3634</v>
      </c>
      <c r="B3624" t="s">
        <v>85</v>
      </c>
      <c r="C3624" s="10" t="s">
        <v>1813</v>
      </c>
      <c r="D3624" t="s">
        <v>40</v>
      </c>
      <c r="E3624">
        <v>105</v>
      </c>
      <c r="F3624" t="s">
        <v>56</v>
      </c>
      <c r="G3624" t="s">
        <v>562</v>
      </c>
      <c r="H3624">
        <v>24</v>
      </c>
      <c r="I3624" s="11">
        <f>$E3624+0</f>
        <v>105</v>
      </c>
      <c r="J3624" s="12">
        <v>11800</v>
      </c>
      <c r="K3624" s="13">
        <f>$E3624+1</f>
        <v>106</v>
      </c>
      <c r="L3624" s="14">
        <f>IF($J3624=0,0,ROUND(MAX($J3624*1.4,1620000*(1.497923^(MIN($E3624,123)-117)))*1,0))</f>
        <v>16520</v>
      </c>
      <c r="M3624" s="11">
        <f>$E3624+2</f>
        <v>107</v>
      </c>
      <c r="N3624" s="12">
        <f>IF($J3624=0,0,ROUND(MAX($J3624*1.4*1.5,2190000*(1.580994^(MIN($E3624,123)-117)))*1,0))</f>
        <v>24780</v>
      </c>
      <c r="O3624" s="13">
        <f>$E3624+4</f>
        <v>109</v>
      </c>
      <c r="P3624" s="14">
        <f>IF($J3624=0,0,ROUND(MAX($J3624*1.4*1.5*1.6,3500000*(1.57975^(MIN($E3624,123)-117)))*1,0))</f>
        <v>39648</v>
      </c>
      <c r="Q3624" s="11">
        <f>$E3624+6</f>
        <v>111</v>
      </c>
      <c r="R3624" s="12">
        <f>IF($J3624=0,0,ROUND(MAX($J3624*1.4*1.5*1.6*1.6,13100000*(1.429962^(MIN($E3624,123)-117)))*1,0))</f>
        <v>179216</v>
      </c>
      <c r="S3624" s="13">
        <f>$E3624+8</f>
        <v>113</v>
      </c>
      <c r="T3624" s="14">
        <f>IF($J3624=0,0,ROUND(MAX($J3624*1.4*1.5*1.6*1.6*2.2,42600000*(1.576904^(MIN($E3624,123)-117)))*1,0))</f>
        <v>180197</v>
      </c>
      <c r="U3624" s="11">
        <f>$E3624+11</f>
        <v>116</v>
      </c>
      <c r="V3624" s="12">
        <f>IF($J3624=0,0,ROUND(MAX($J3624*1.4*1.5*1.6*1.6*2.2*2.715,354000000*(1.642074^(MIN($E3624,123)-117)))*1,0))</f>
        <v>921066</v>
      </c>
      <c r="W3624" s="13">
        <f>$E3624+15</f>
        <v>120</v>
      </c>
      <c r="X3624" s="14">
        <f>IF($J3624=0,0,ROUND(MAX($J3624*1.4*1.5*1.6*1.6*2.2*2.715*2.6,3540000000*(1.579646^(MIN($E3624,123)-117)))*1,0))</f>
        <v>14665133</v>
      </c>
      <c r="Y3624" s="11">
        <f>$E3624+17</f>
        <v>122</v>
      </c>
      <c r="Z3624" s="12">
        <f>IF($J3624=0,0,ROUND(MAX($J3624*1.4*1.5*1.6*1.6*2.2*2.715*2.6*1.4,6020000000*(1.651178^(MIN($E3624,123)-117)))*1,0))</f>
        <v>14657833</v>
      </c>
      <c r="AA3624" s="13">
        <f>$E3624+19</f>
        <v>124</v>
      </c>
      <c r="AB3624" s="14">
        <f>IF($J3624=0,0,ROUND(MAX($J3624*1.4*1.5*1.6*1.6*2.2*2.715*2.6*1.4*1.4,8430000000*(1.651435^(MIN($E3624,123)-117)))*1,0))</f>
        <v>20487537</v>
      </c>
      <c r="AC3624" s="11">
        <f>$E3624+21</f>
        <v>126</v>
      </c>
      <c r="AD3624" s="12">
        <f>IF($J3624=0,0,ROUND(MAX($J3624*1.4*1.5*1.6*1.6*2.2*2.715*2.6*1.4*1.4*1.5,12600000000*(1.652953^(MIN($E3624,123)-117)))*1,0))</f>
        <v>30286179</v>
      </c>
      <c r="AE3624" s="13">
        <f>$E3624+24</f>
        <v>129</v>
      </c>
      <c r="AF3624" s="14">
        <f>IF($J3624=0,0,ROUND(MAX($J3624*1.4*1.5*1.6*1.6*2.2*2.715*2.6*1.4*1.4*1.5*1.5,18900000000*(1.65331^(MIN($E3624,123)-117)))*1,0))</f>
        <v>45311693</v>
      </c>
      <c r="AG3624" s="11">
        <f>$E3624+27</f>
        <v>132</v>
      </c>
      <c r="AH3624" s="12">
        <f>IF($J3624=0,0,ROUND(MAX($J3624*1.4*1.5*1.6*1.6*2.2*2.715*2.6*1.4*1.4*1.5*1.5*3.2,60500000000*(1.654288^(MIN($E3624,123)-117)))*1,0))</f>
        <v>144019713</v>
      </c>
    </row>
    <row r="3625" ht="28" customHeight="1" spans="1:34" x14ac:dyDescent="0.25">
      <c r="A3625">
        <v>3635</v>
      </c>
      <c r="B3625" t="s">
        <v>1121</v>
      </c>
      <c r="C3625" s="10" t="s">
        <v>1813</v>
      </c>
      <c r="D3625" t="s">
        <v>64</v>
      </c>
      <c r="E3625">
        <v>105</v>
      </c>
      <c r="F3625" t="s">
        <v>54</v>
      </c>
      <c r="G3625" t="s">
        <v>206</v>
      </c>
      <c r="H3625">
        <v>23</v>
      </c>
      <c r="I3625" s="11">
        <f>$E3625+0</f>
        <v>105</v>
      </c>
      <c r="J3625" s="12">
        <v>44900</v>
      </c>
      <c r="K3625" s="13">
        <f>$E3625+1</f>
        <v>106</v>
      </c>
      <c r="L3625" s="14">
        <f>IF($J3625=0,0,ROUND(MAX($J3625*1.4,1620000*(1.497923^(MIN($E3625,123)-117)))*1,0))</f>
        <v>62860</v>
      </c>
      <c r="M3625" s="11">
        <f>$E3625+2</f>
        <v>107</v>
      </c>
      <c r="N3625" s="12">
        <f>IF($J3625=0,0,ROUND(MAX($J3625*1.4*1.5,2190000*(1.580994^(MIN($E3625,123)-117)))*1,0))</f>
        <v>94290</v>
      </c>
      <c r="O3625" s="13">
        <f>$E3625+4</f>
        <v>109</v>
      </c>
      <c r="P3625" s="14">
        <f>IF($J3625=0,0,ROUND(MAX($J3625*1.4*1.5*1.6,3500000*(1.57975^(MIN($E3625,123)-117)))*1,0))</f>
        <v>150864</v>
      </c>
      <c r="Q3625" s="11">
        <f>$E3625+6</f>
        <v>111</v>
      </c>
      <c r="R3625" s="12">
        <f>IF($J3625=0,0,ROUND(MAX($J3625*1.4*1.5*1.6*1.6,13100000*(1.429962^(MIN($E3625,123)-117)))*1,0))</f>
        <v>241382</v>
      </c>
      <c r="S3625" s="13">
        <f>$E3625+8</f>
        <v>113</v>
      </c>
      <c r="T3625" s="14">
        <f>IF($J3625=0,0,ROUND(MAX($J3625*1.4*1.5*1.6*1.6*2.2,42600000*(1.576904^(MIN($E3625,123)-117)))*1,0))</f>
        <v>531041</v>
      </c>
      <c r="U3625" s="11">
        <f>$E3625+11</f>
        <v>116</v>
      </c>
      <c r="V3625" s="12">
        <f>IF($J3625=0,0,ROUND(MAX($J3625*1.4*1.5*1.6*1.6*2.2*2.715,354000000*(1.642074^(MIN($E3625,123)-117)))*1,0))</f>
        <v>1441777</v>
      </c>
      <c r="W3625" s="13">
        <f>$E3625+15</f>
        <v>120</v>
      </c>
      <c r="X3625" s="14">
        <f>IF($J3625=0,0,ROUND(MAX($J3625*1.4*1.5*1.6*1.6*2.2*2.715*2.6,3540000000*(1.579646^(MIN($E3625,123)-117)))*1,0))</f>
        <v>14665133</v>
      </c>
      <c r="Y3625" s="11">
        <f>$E3625+17</f>
        <v>122</v>
      </c>
      <c r="Z3625" s="12">
        <f>IF($J3625=0,0,ROUND(MAX($J3625*1.4*1.5*1.6*1.6*2.2*2.715*2.6*1.4,6020000000*(1.651178^(MIN($E3625,123)-117)))*1,0))</f>
        <v>14657833</v>
      </c>
      <c r="AA3625" s="13">
        <f>$E3625+19</f>
        <v>124</v>
      </c>
      <c r="AB3625" s="14">
        <f>IF($J3625=0,0,ROUND(MAX($J3625*1.4*1.5*1.6*1.6*2.2*2.715*2.6*1.4*1.4,8430000000*(1.651435^(MIN($E3625,123)-117)))*1,0))</f>
        <v>20487537</v>
      </c>
      <c r="AC3625" s="11">
        <f>$E3625+21</f>
        <v>126</v>
      </c>
      <c r="AD3625" s="12">
        <f>IF($J3625=0,0,ROUND(MAX($J3625*1.4*1.5*1.6*1.6*2.2*2.715*2.6*1.4*1.4*1.5,12600000000*(1.652953^(MIN($E3625,123)-117)))*1,0))</f>
        <v>30286179</v>
      </c>
      <c r="AE3625" s="13">
        <f>$E3625+24</f>
        <v>129</v>
      </c>
      <c r="AF3625" s="14">
        <f>IF($J3625=0,0,ROUND(MAX($J3625*1.4*1.5*1.6*1.6*2.2*2.715*2.6*1.4*1.4*1.5*1.5,18900000000*(1.65331^(MIN($E3625,123)-117)))*1,0))</f>
        <v>45311693</v>
      </c>
      <c r="AG3625" s="11">
        <f>$E3625+27</f>
        <v>132</v>
      </c>
      <c r="AH3625" s="12">
        <f>IF($J3625=0,0,ROUND(MAX($J3625*1.4*1.5*1.6*1.6*2.2*2.715*2.6*1.4*1.4*1.5*1.5*3.2,60500000000*(1.654288^(MIN($E3625,123)-117)))*1,0))</f>
        <v>144019713</v>
      </c>
    </row>
    <row r="3626" ht="28" customHeight="1" spans="1:34" x14ac:dyDescent="0.25">
      <c r="A3626">
        <v>3636</v>
      </c>
      <c r="B3626" t="s">
        <v>1814</v>
      </c>
      <c r="C3626" s="10" t="s">
        <v>1813</v>
      </c>
      <c r="D3626" t="s">
        <v>33</v>
      </c>
      <c r="E3626">
        <v>105</v>
      </c>
      <c r="F3626" t="s">
        <v>59</v>
      </c>
      <c r="G3626" t="s">
        <v>562</v>
      </c>
      <c r="H3626">
        <v>23</v>
      </c>
      <c r="I3626" s="11">
        <f>$E3626+0</f>
        <v>105</v>
      </c>
      <c r="J3626" s="12">
        <v>131000</v>
      </c>
      <c r="K3626" s="13">
        <f>$E3626+1</f>
        <v>106</v>
      </c>
      <c r="L3626" s="14">
        <f>IF($J3626=0,0,ROUND(MAX($J3626*1.4,1620000*(1.497923^(MIN($E3626,123)-117)))*1,0))</f>
        <v>183400</v>
      </c>
      <c r="M3626" s="11">
        <f>$E3626+2</f>
        <v>107</v>
      </c>
      <c r="N3626" s="12">
        <f>IF($J3626=0,0,ROUND(MAX($J3626*1.4*1.5,2190000*(1.580994^(MIN($E3626,123)-117)))*1,0))</f>
        <v>275100</v>
      </c>
      <c r="O3626" s="13">
        <f>$E3626+4</f>
        <v>109</v>
      </c>
      <c r="P3626" s="14">
        <f>IF($J3626=0,0,ROUND(MAX($J3626*1.4*1.5*1.6,3500000*(1.57975^(MIN($E3626,123)-117)))*1,0))</f>
        <v>440160</v>
      </c>
      <c r="Q3626" s="11">
        <f>$E3626+6</f>
        <v>111</v>
      </c>
      <c r="R3626" s="12">
        <f>IF($J3626=0,0,ROUND(MAX($J3626*1.4*1.5*1.6*1.6,13100000*(1.429962^(MIN($E3626,123)-117)))*1,0))</f>
        <v>704256</v>
      </c>
      <c r="S3626" s="13">
        <f>$E3626+8</f>
        <v>113</v>
      </c>
      <c r="T3626" s="14">
        <f>IF($J3626=0,0,ROUND(MAX($J3626*1.4*1.5*1.6*1.6*2.2,42600000*(1.576904^(MIN($E3626,123)-117)))*1,0))</f>
        <v>1549363</v>
      </c>
      <c r="U3626" s="11">
        <f>$E3626+11</f>
        <v>116</v>
      </c>
      <c r="V3626" s="12">
        <f>IF($J3626=0,0,ROUND(MAX($J3626*1.4*1.5*1.6*1.6*2.2*2.715,354000000*(1.642074^(MIN($E3626,123)-117)))*1,0))</f>
        <v>4206521</v>
      </c>
      <c r="W3626" s="13">
        <f>$E3626+15</f>
        <v>120</v>
      </c>
      <c r="X3626" s="14">
        <f>IF($J3626=0,0,ROUND(MAX($J3626*1.4*1.5*1.6*1.6*2.2*2.715*2.6,3540000000*(1.579646^(MIN($E3626,123)-117)))*1,0))</f>
        <v>14665133</v>
      </c>
      <c r="Y3626" s="11">
        <f>$E3626+17</f>
        <v>122</v>
      </c>
      <c r="Z3626" s="12">
        <f>IF($J3626=0,0,ROUND(MAX($J3626*1.4*1.5*1.6*1.6*2.2*2.715*2.6*1.4,6020000000*(1.651178^(MIN($E3626,123)-117)))*1,0))</f>
        <v>15311737</v>
      </c>
      <c r="AA3626" s="13">
        <f>$E3626+19</f>
        <v>124</v>
      </c>
      <c r="AB3626" s="14">
        <f>IF($J3626=0,0,ROUND(MAX($J3626*1.4*1.5*1.6*1.6*2.2*2.715*2.6*1.4*1.4,8430000000*(1.651435^(MIN($E3626,123)-117)))*1,0))</f>
        <v>21436431</v>
      </c>
      <c r="AC3626" s="11">
        <f>$E3626+21</f>
        <v>126</v>
      </c>
      <c r="AD3626" s="12">
        <f>IF($J3626=0,0,ROUND(MAX($J3626*1.4*1.5*1.6*1.6*2.2*2.715*2.6*1.4*1.4*1.5,12600000000*(1.652953^(MIN($E3626,123)-117)))*1,0))</f>
        <v>32154647</v>
      </c>
      <c r="AE3626" s="13">
        <f>$E3626+24</f>
        <v>129</v>
      </c>
      <c r="AF3626" s="14">
        <f>IF($J3626=0,0,ROUND(MAX($J3626*1.4*1.5*1.6*1.6*2.2*2.715*2.6*1.4*1.4*1.5*1.5,18900000000*(1.65331^(MIN($E3626,123)-117)))*1,0))</f>
        <v>48231971</v>
      </c>
      <c r="AG3626" s="11">
        <f>$E3626+27</f>
        <v>132</v>
      </c>
      <c r="AH3626" s="12">
        <f>IF($J3626=0,0,ROUND(MAX($J3626*1.4*1.5*1.6*1.6*2.2*2.715*2.6*1.4*1.4*1.5*1.5*3.2,60500000000*(1.654288^(MIN($E3626,123)-117)))*1,0))</f>
        <v>154342307</v>
      </c>
    </row>
    <row r="3627" ht="28" customHeight="1" spans="1:34" x14ac:dyDescent="0.25">
      <c r="A3627">
        <v>3637</v>
      </c>
      <c r="B3627" t="s">
        <v>80</v>
      </c>
      <c r="C3627" s="10" t="s">
        <v>1813</v>
      </c>
      <c r="D3627" t="s">
        <v>45</v>
      </c>
      <c r="E3627">
        <v>105</v>
      </c>
      <c r="F3627" t="s">
        <v>71</v>
      </c>
      <c r="G3627" t="s">
        <v>562</v>
      </c>
      <c r="H3627">
        <v>23</v>
      </c>
      <c r="I3627" s="11">
        <f>$E3627+0</f>
        <v>105</v>
      </c>
      <c r="J3627" s="12">
        <v>35400</v>
      </c>
      <c r="K3627" s="13">
        <f>$E3627+1</f>
        <v>106</v>
      </c>
      <c r="L3627" s="14">
        <f>IF($J3627=0,0,ROUND(MAX($J3627*1.4,1620000*(1.497923^(MIN($E3627,123)-117)))*1,0))</f>
        <v>49560</v>
      </c>
      <c r="M3627" s="11">
        <f>$E3627+2</f>
        <v>107</v>
      </c>
      <c r="N3627" s="12">
        <f>IF($J3627=0,0,ROUND(MAX($J3627*1.4*1.5,2190000*(1.580994^(MIN($E3627,123)-117)))*1,0))</f>
        <v>74340</v>
      </c>
      <c r="O3627" s="13">
        <f>$E3627+4</f>
        <v>109</v>
      </c>
      <c r="P3627" s="14">
        <f>IF($J3627=0,0,ROUND(MAX($J3627*1.4*1.5*1.6,3500000*(1.57975^(MIN($E3627,123)-117)))*1,0))</f>
        <v>118944</v>
      </c>
      <c r="Q3627" s="11">
        <f>$E3627+6</f>
        <v>111</v>
      </c>
      <c r="R3627" s="12">
        <f>IF($J3627=0,0,ROUND(MAX($J3627*1.4*1.5*1.6*1.6,13100000*(1.429962^(MIN($E3627,123)-117)))*1,0))</f>
        <v>190310</v>
      </c>
      <c r="S3627" s="13">
        <f>$E3627+8</f>
        <v>113</v>
      </c>
      <c r="T3627" s="14">
        <f>IF($J3627=0,0,ROUND(MAX($J3627*1.4*1.5*1.6*1.6*2.2,42600000*(1.576904^(MIN($E3627,123)-117)))*1,0))</f>
        <v>418683</v>
      </c>
      <c r="U3627" s="11">
        <f>$E3627+11</f>
        <v>116</v>
      </c>
      <c r="V3627" s="12">
        <f>IF($J3627=0,0,ROUND(MAX($J3627*1.4*1.5*1.6*1.6*2.2*2.715,354000000*(1.642074^(MIN($E3627,123)-117)))*1,0))</f>
        <v>1136724</v>
      </c>
      <c r="W3627" s="13">
        <f>$E3627+15</f>
        <v>120</v>
      </c>
      <c r="X3627" s="14">
        <f>IF($J3627=0,0,ROUND(MAX($J3627*1.4*1.5*1.6*1.6*2.2*2.715*2.6,3540000000*(1.579646^(MIN($E3627,123)-117)))*1,0))</f>
        <v>14665133</v>
      </c>
      <c r="Y3627" s="11">
        <f>$E3627+17</f>
        <v>122</v>
      </c>
      <c r="Z3627" s="12">
        <f>IF($J3627=0,0,ROUND(MAX($J3627*1.4*1.5*1.6*1.6*2.2*2.715*2.6*1.4,6020000000*(1.651178^(MIN($E3627,123)-117)))*1,0))</f>
        <v>14657833</v>
      </c>
      <c r="AA3627" s="13">
        <f>$E3627+19</f>
        <v>124</v>
      </c>
      <c r="AB3627" s="14">
        <f>IF($J3627=0,0,ROUND(MAX($J3627*1.4*1.5*1.6*1.6*2.2*2.715*2.6*1.4*1.4,8430000000*(1.651435^(MIN($E3627,123)-117)))*1,0))</f>
        <v>20487537</v>
      </c>
      <c r="AC3627" s="11">
        <f>$E3627+21</f>
        <v>126</v>
      </c>
      <c r="AD3627" s="12">
        <f>IF($J3627=0,0,ROUND(MAX($J3627*1.4*1.5*1.6*1.6*2.2*2.715*2.6*1.4*1.4*1.5,12600000000*(1.652953^(MIN($E3627,123)-117)))*1,0))</f>
        <v>30286179</v>
      </c>
      <c r="AE3627" s="13">
        <f>$E3627+24</f>
        <v>129</v>
      </c>
      <c r="AF3627" s="14">
        <f>IF($J3627=0,0,ROUND(MAX($J3627*1.4*1.5*1.6*1.6*2.2*2.715*2.6*1.4*1.4*1.5*1.5,18900000000*(1.65331^(MIN($E3627,123)-117)))*1,0))</f>
        <v>45311693</v>
      </c>
      <c r="AG3627" s="11">
        <f>$E3627+27</f>
        <v>132</v>
      </c>
      <c r="AH3627" s="12">
        <f>IF($J3627=0,0,ROUND(MAX($J3627*1.4*1.5*1.6*1.6*2.2*2.715*2.6*1.4*1.4*1.5*1.5*3.2,60500000000*(1.654288^(MIN($E3627,123)-117)))*1,0))</f>
        <v>144019713</v>
      </c>
    </row>
    <row r="3628" ht="28" customHeight="1" spans="1:34" x14ac:dyDescent="0.25">
      <c r="A3628">
        <v>3638</v>
      </c>
      <c r="B3628" t="s">
        <v>84</v>
      </c>
      <c r="C3628" s="10" t="s">
        <v>1813</v>
      </c>
      <c r="D3628" t="s">
        <v>102</v>
      </c>
      <c r="E3628">
        <v>105</v>
      </c>
      <c r="F3628" t="s">
        <v>62</v>
      </c>
      <c r="G3628" t="s">
        <v>562</v>
      </c>
      <c r="H3628">
        <v>23</v>
      </c>
      <c r="I3628" s="11">
        <f>$E3628+0</f>
        <v>105</v>
      </c>
      <c r="J3628" s="12">
        <v>43900</v>
      </c>
      <c r="K3628" s="13">
        <f>$E3628+1</f>
        <v>106</v>
      </c>
      <c r="L3628" s="14">
        <f>IF($J3628=0,0,ROUND(MAX($J3628*1.4,1620000*(1.497923^(MIN($E3628,123)-117)))*1,0))</f>
        <v>61460</v>
      </c>
      <c r="M3628" s="11">
        <f>$E3628+2</f>
        <v>107</v>
      </c>
      <c r="N3628" s="12">
        <f>IF($J3628=0,0,ROUND(MAX($J3628*1.4*1.5,2190000*(1.580994^(MIN($E3628,123)-117)))*1,0))</f>
        <v>92190</v>
      </c>
      <c r="O3628" s="13">
        <f>$E3628+4</f>
        <v>109</v>
      </c>
      <c r="P3628" s="14">
        <f>IF($J3628=0,0,ROUND(MAX($J3628*1.4*1.5*1.6,3500000*(1.57975^(MIN($E3628,123)-117)))*1,0))</f>
        <v>147504</v>
      </c>
      <c r="Q3628" s="11">
        <f>$E3628+6</f>
        <v>111</v>
      </c>
      <c r="R3628" s="12">
        <f>IF($J3628=0,0,ROUND(MAX($J3628*1.4*1.5*1.6*1.6,13100000*(1.429962^(MIN($E3628,123)-117)))*1,0))</f>
        <v>236006</v>
      </c>
      <c r="S3628" s="13">
        <f>$E3628+8</f>
        <v>113</v>
      </c>
      <c r="T3628" s="14">
        <f>IF($J3628=0,0,ROUND(MAX($J3628*1.4*1.5*1.6*1.6*2.2,42600000*(1.576904^(MIN($E3628,123)-117)))*1,0))</f>
        <v>519214</v>
      </c>
      <c r="U3628" s="11">
        <f>$E3628+11</f>
        <v>116</v>
      </c>
      <c r="V3628" s="12">
        <f>IF($J3628=0,0,ROUND(MAX($J3628*1.4*1.5*1.6*1.6*2.2*2.715,354000000*(1.642074^(MIN($E3628,123)-117)))*1,0))</f>
        <v>1409666</v>
      </c>
      <c r="W3628" s="13">
        <f>$E3628+15</f>
        <v>120</v>
      </c>
      <c r="X3628" s="14">
        <f>IF($J3628=0,0,ROUND(MAX($J3628*1.4*1.5*1.6*1.6*2.2*2.715*2.6,3540000000*(1.579646^(MIN($E3628,123)-117)))*1,0))</f>
        <v>14665133</v>
      </c>
      <c r="Y3628" s="11">
        <f>$E3628+17</f>
        <v>122</v>
      </c>
      <c r="Z3628" s="12">
        <f>IF($J3628=0,0,ROUND(MAX($J3628*1.4*1.5*1.6*1.6*2.2*2.715*2.6*1.4,6020000000*(1.651178^(MIN($E3628,123)-117)))*1,0))</f>
        <v>14657833</v>
      </c>
      <c r="AA3628" s="13">
        <f>$E3628+19</f>
        <v>124</v>
      </c>
      <c r="AB3628" s="14">
        <f>IF($J3628=0,0,ROUND(MAX($J3628*1.4*1.5*1.6*1.6*2.2*2.715*2.6*1.4*1.4,8430000000*(1.651435^(MIN($E3628,123)-117)))*1,0))</f>
        <v>20487537</v>
      </c>
      <c r="AC3628" s="11">
        <f>$E3628+21</f>
        <v>126</v>
      </c>
      <c r="AD3628" s="12">
        <f>IF($J3628=0,0,ROUND(MAX($J3628*1.4*1.5*1.6*1.6*2.2*2.715*2.6*1.4*1.4*1.5,12600000000*(1.652953^(MIN($E3628,123)-117)))*1,0))</f>
        <v>30286179</v>
      </c>
      <c r="AE3628" s="13">
        <f>$E3628+24</f>
        <v>129</v>
      </c>
      <c r="AF3628" s="14">
        <f>IF($J3628=0,0,ROUND(MAX($J3628*1.4*1.5*1.6*1.6*2.2*2.715*2.6*1.4*1.4*1.5*1.5,18900000000*(1.65331^(MIN($E3628,123)-117)))*1,0))</f>
        <v>45311693</v>
      </c>
      <c r="AG3628" s="11">
        <f>$E3628+27</f>
        <v>132</v>
      </c>
      <c r="AH3628" s="12">
        <f>IF($J3628=0,0,ROUND(MAX($J3628*1.4*1.5*1.6*1.6*2.2*2.715*2.6*1.4*1.4*1.5*1.5*3.2,60500000000*(1.654288^(MIN($E3628,123)-117)))*1,0))</f>
        <v>144019713</v>
      </c>
    </row>
    <row r="3629" ht="28" customHeight="1" spans="1:34" x14ac:dyDescent="0.25">
      <c r="A3629">
        <v>3639</v>
      </c>
      <c r="B3629" t="s">
        <v>145</v>
      </c>
      <c r="C3629" s="10" t="s">
        <v>1813</v>
      </c>
      <c r="D3629" t="s">
        <v>47</v>
      </c>
      <c r="E3629">
        <v>105</v>
      </c>
      <c r="F3629" t="s">
        <v>146</v>
      </c>
      <c r="G3629" t="s">
        <v>562</v>
      </c>
      <c r="H3629">
        <v>21</v>
      </c>
      <c r="I3629" s="11">
        <f>$E3629+0</f>
        <v>105</v>
      </c>
      <c r="J3629" s="12">
        <v>50300</v>
      </c>
      <c r="K3629" s="13">
        <f>$E3629+1</f>
        <v>106</v>
      </c>
      <c r="L3629" s="14">
        <f>IF($J3629=0,0,ROUND(MAX($J3629*1.4,1620000*(1.497923^(MIN($E3629,123)-117)))*1,0))</f>
        <v>70420</v>
      </c>
      <c r="M3629" s="11">
        <f>$E3629+2</f>
        <v>107</v>
      </c>
      <c r="N3629" s="12">
        <f>IF($J3629=0,0,ROUND(MAX($J3629*1.4*1.5,2190000*(1.580994^(MIN($E3629,123)-117)))*1,0))</f>
        <v>105630</v>
      </c>
      <c r="O3629" s="13">
        <f>$E3629+4</f>
        <v>109</v>
      </c>
      <c r="P3629" s="14">
        <f>IF($J3629=0,0,ROUND(MAX($J3629*1.4*1.5*1.6,3500000*(1.57975^(MIN($E3629,123)-117)))*1,0))</f>
        <v>169008</v>
      </c>
      <c r="Q3629" s="11">
        <f>$E3629+6</f>
        <v>111</v>
      </c>
      <c r="R3629" s="12">
        <f>IF($J3629=0,0,ROUND(MAX($J3629*1.4*1.5*1.6*1.6,13100000*(1.429962^(MIN($E3629,123)-117)))*1,0))</f>
        <v>270413</v>
      </c>
      <c r="S3629" s="13">
        <f>$E3629+8</f>
        <v>113</v>
      </c>
      <c r="T3629" s="14">
        <f>IF($J3629=0,0,ROUND(MAX($J3629*1.4*1.5*1.6*1.6*2.2,42600000*(1.576904^(MIN($E3629,123)-117)))*1,0))</f>
        <v>594908</v>
      </c>
      <c r="U3629" s="11">
        <f>$E3629+11</f>
        <v>116</v>
      </c>
      <c r="V3629" s="12">
        <f>IF($J3629=0,0,ROUND(MAX($J3629*1.4*1.5*1.6*1.6*2.2*2.715,354000000*(1.642074^(MIN($E3629,123)-117)))*1,0))</f>
        <v>1615176</v>
      </c>
      <c r="W3629" s="13">
        <f>$E3629+15</f>
        <v>120</v>
      </c>
      <c r="X3629" s="14">
        <f>IF($J3629=0,0,ROUND(MAX($J3629*1.4*1.5*1.6*1.6*2.2*2.715*2.6,3540000000*(1.579646^(MIN($E3629,123)-117)))*1,0))</f>
        <v>14665133</v>
      </c>
      <c r="Y3629" s="11">
        <f>$E3629+17</f>
        <v>122</v>
      </c>
      <c r="Z3629" s="12">
        <f>IF($J3629=0,0,ROUND(MAX($J3629*1.4*1.5*1.6*1.6*2.2*2.715*2.6*1.4,6020000000*(1.651178^(MIN($E3629,123)-117)))*1,0))</f>
        <v>14657833</v>
      </c>
      <c r="AA3629" s="13">
        <f>$E3629+19</f>
        <v>124</v>
      </c>
      <c r="AB3629" s="14">
        <f>IF($J3629=0,0,ROUND(MAX($J3629*1.4*1.5*1.6*1.6*2.2*2.715*2.6*1.4*1.4,8430000000*(1.651435^(MIN($E3629,123)-117)))*1,0))</f>
        <v>20487537</v>
      </c>
      <c r="AC3629" s="11">
        <f>$E3629+21</f>
        <v>126</v>
      </c>
      <c r="AD3629" s="12">
        <f>IF($J3629=0,0,ROUND(MAX($J3629*1.4*1.5*1.6*1.6*2.2*2.715*2.6*1.4*1.4*1.5,12600000000*(1.652953^(MIN($E3629,123)-117)))*1,0))</f>
        <v>30286179</v>
      </c>
      <c r="AE3629" s="13">
        <f>$E3629+24</f>
        <v>129</v>
      </c>
      <c r="AF3629" s="14">
        <f>IF($J3629=0,0,ROUND(MAX($J3629*1.4*1.5*1.6*1.6*2.2*2.715*2.6*1.4*1.4*1.5*1.5,18900000000*(1.65331^(MIN($E3629,123)-117)))*1,0))</f>
        <v>45311693</v>
      </c>
      <c r="AG3629" s="11">
        <f>$E3629+27</f>
        <v>132</v>
      </c>
      <c r="AH3629" s="12">
        <f>IF($J3629=0,0,ROUND(MAX($J3629*1.4*1.5*1.6*1.6*2.2*2.715*2.6*1.4*1.4*1.5*1.5*3.2,60500000000*(1.654288^(MIN($E3629,123)-117)))*1,0))</f>
        <v>144019713</v>
      </c>
    </row>
    <row r="3630" ht="28" customHeight="1" spans="1:34" x14ac:dyDescent="0.25">
      <c r="A3630">
        <v>3640</v>
      </c>
      <c r="B3630" t="s">
        <v>130</v>
      </c>
      <c r="C3630" s="10" t="s">
        <v>1813</v>
      </c>
      <c r="D3630" t="s">
        <v>45</v>
      </c>
      <c r="E3630">
        <v>104</v>
      </c>
      <c r="F3630" t="s">
        <v>56</v>
      </c>
      <c r="G3630" t="s">
        <v>562</v>
      </c>
      <c r="H3630">
        <v>24</v>
      </c>
      <c r="I3630" s="11">
        <f>$E3630+0</f>
        <v>104</v>
      </c>
      <c r="J3630" s="12">
        <v>12200</v>
      </c>
      <c r="K3630" s="13">
        <f>$E3630+1</f>
        <v>105</v>
      </c>
      <c r="L3630" s="14">
        <f>IF($J3630=0,0,ROUND(MAX($J3630*1.4,1620000*(1.497923^(MIN($E3630,123)-117)))*1,0))</f>
        <v>17080</v>
      </c>
      <c r="M3630" s="11">
        <f>$E3630+2</f>
        <v>106</v>
      </c>
      <c r="N3630" s="12">
        <f>IF($J3630=0,0,ROUND(MAX($J3630*1.4*1.5,2190000*(1.580994^(MIN($E3630,123)-117)))*1,0))</f>
        <v>25620</v>
      </c>
      <c r="O3630" s="13">
        <f>$E3630+4</f>
        <v>108</v>
      </c>
      <c r="P3630" s="14">
        <f>IF($J3630=0,0,ROUND(MAX($J3630*1.4*1.5*1.6,3500000*(1.57975^(MIN($E3630,123)-117)))*1,0))</f>
        <v>40992</v>
      </c>
      <c r="Q3630" s="11">
        <f>$E3630+6</f>
        <v>110</v>
      </c>
      <c r="R3630" s="12">
        <f>IF($J3630=0,0,ROUND(MAX($J3630*1.4*1.5*1.6*1.6,13100000*(1.429962^(MIN($E3630,123)-117)))*1,0))</f>
        <v>125329</v>
      </c>
      <c r="S3630" s="13">
        <f>$E3630+8</f>
        <v>112</v>
      </c>
      <c r="T3630" s="14">
        <f>IF($J3630=0,0,ROUND(MAX($J3630*1.4*1.5*1.6*1.6*2.2,42600000*(1.576904^(MIN($E3630,123)-117)))*1,0))</f>
        <v>144292</v>
      </c>
      <c r="U3630" s="11">
        <f>$E3630+11</f>
        <v>115</v>
      </c>
      <c r="V3630" s="12">
        <f>IF($J3630=0,0,ROUND(MAX($J3630*1.4*1.5*1.6*1.6*2.2*2.715,354000000*(1.642074^(MIN($E3630,123)-117)))*1,0))</f>
        <v>560916</v>
      </c>
      <c r="W3630" s="13">
        <f>$E3630+15</f>
        <v>119</v>
      </c>
      <c r="X3630" s="14">
        <f>IF($J3630=0,0,ROUND(MAX($J3630*1.4*1.5*1.6*1.6*2.2*2.715*2.6,3540000000*(1.579646^(MIN($E3630,123)-117)))*1,0))</f>
        <v>9283810</v>
      </c>
      <c r="Y3630" s="11">
        <f>$E3630+17</f>
        <v>121</v>
      </c>
      <c r="Z3630" s="12">
        <f>IF($J3630=0,0,ROUND(MAX($J3630*1.4*1.5*1.6*1.6*2.2*2.715*2.6*1.4,6020000000*(1.651178^(MIN($E3630,123)-117)))*1,0))</f>
        <v>8877197</v>
      </c>
      <c r="AA3630" s="13">
        <f>$E3630+19</f>
        <v>123</v>
      </c>
      <c r="AB3630" s="14">
        <f>IF($J3630=0,0,ROUND(MAX($J3630*1.4*1.5*1.6*1.6*2.2*2.715*2.6*1.4*1.4,8430000000*(1.651435^(MIN($E3630,123)-117)))*1,0))</f>
        <v>12405900</v>
      </c>
      <c r="AC3630" s="11">
        <f>$E3630+21</f>
        <v>125</v>
      </c>
      <c r="AD3630" s="12">
        <f>IF($J3630=0,0,ROUND(MAX($J3630*1.4*1.5*1.6*1.6*2.2*2.715*2.6*1.4*1.4*1.5,12600000000*(1.652953^(MIN($E3630,123)-117)))*1,0))</f>
        <v>18322468</v>
      </c>
      <c r="AE3630" s="13">
        <f>$E3630+24</f>
        <v>128</v>
      </c>
      <c r="AF3630" s="14">
        <f>IF($J3630=0,0,ROUND(MAX($J3630*1.4*1.5*1.6*1.6*2.2*2.715*2.6*1.4*1.4*1.5*1.5,18900000000*(1.65331^(MIN($E3630,123)-117)))*1,0))</f>
        <v>27406653</v>
      </c>
      <c r="AG3630" s="11">
        <f>$E3630+27</f>
        <v>131</v>
      </c>
      <c r="AH3630" s="12">
        <f>IF($J3630=0,0,ROUND(MAX($J3630*1.4*1.5*1.6*1.6*2.2*2.715*2.6*1.4*1.4*1.5*1.5*3.2,60500000000*(1.654288^(MIN($E3630,123)-117)))*1,0))</f>
        <v>87058428</v>
      </c>
    </row>
    <row r="3631" ht="28" customHeight="1" spans="1:34" x14ac:dyDescent="0.25">
      <c r="A3631">
        <v>3641</v>
      </c>
      <c r="B3631" t="s">
        <v>74</v>
      </c>
      <c r="C3631" s="10" t="s">
        <v>1813</v>
      </c>
      <c r="D3631" t="s">
        <v>75</v>
      </c>
      <c r="E3631">
        <v>104</v>
      </c>
      <c r="F3631" t="s">
        <v>62</v>
      </c>
      <c r="G3631" t="s">
        <v>562</v>
      </c>
      <c r="H3631">
        <v>24</v>
      </c>
      <c r="I3631" s="11">
        <f>$E3631+0</f>
        <v>104</v>
      </c>
      <c r="J3631" s="12">
        <v>1010000</v>
      </c>
      <c r="K3631" s="13">
        <f>$E3631+1</f>
        <v>105</v>
      </c>
      <c r="L3631" s="14">
        <f>IF($J3631=0,0,ROUND(MAX($J3631*1.4,1620000*(1.497923^(MIN($E3631,123)-117)))*1,0))</f>
        <v>1414000</v>
      </c>
      <c r="M3631" s="11">
        <f>$E3631+2</f>
        <v>106</v>
      </c>
      <c r="N3631" s="12">
        <f>IF($J3631=0,0,ROUND(MAX($J3631*1.4*1.5,2190000*(1.580994^(MIN($E3631,123)-117)))*1,0))</f>
        <v>2121000</v>
      </c>
      <c r="O3631" s="13">
        <f>$E3631+4</f>
        <v>108</v>
      </c>
      <c r="P3631" s="14">
        <f>IF($J3631=0,0,ROUND(MAX($J3631*1.4*1.5*1.6,3500000*(1.57975^(MIN($E3631,123)-117)))*1,0))</f>
        <v>3393600</v>
      </c>
      <c r="Q3631" s="11">
        <f>$E3631+6</f>
        <v>110</v>
      </c>
      <c r="R3631" s="12">
        <f>IF($J3631=0,0,ROUND(MAX($J3631*1.4*1.5*1.6*1.6,13100000*(1.429962^(MIN($E3631,123)-117)))*1,0))</f>
        <v>5429760</v>
      </c>
      <c r="S3631" s="13">
        <f>$E3631+8</f>
        <v>112</v>
      </c>
      <c r="T3631" s="14">
        <f>IF($J3631=0,0,ROUND(MAX($J3631*1.4*1.5*1.6*1.6*2.2,42600000*(1.576904^(MIN($E3631,123)-117)))*1,0))</f>
        <v>11945472</v>
      </c>
      <c r="U3631" s="11">
        <f>$E3631+11</f>
        <v>115</v>
      </c>
      <c r="V3631" s="12">
        <f>IF($J3631=0,0,ROUND(MAX($J3631*1.4*1.5*1.6*1.6*2.2*2.715,354000000*(1.642074^(MIN($E3631,123)-117)))*1,0))</f>
        <v>32431956</v>
      </c>
      <c r="W3631" s="13">
        <f>$E3631+15</f>
        <v>119</v>
      </c>
      <c r="X3631" s="14">
        <f>IF($J3631=0,0,ROUND(MAX($J3631*1.4*1.5*1.6*1.6*2.2*2.715*2.6,3540000000*(1.579646^(MIN($E3631,123)-117)))*1,0))</f>
        <v>84323087</v>
      </c>
      <c r="Y3631" s="11">
        <f>$E3631+17</f>
        <v>121</v>
      </c>
      <c r="Z3631" s="12">
        <f>IF($J3631=0,0,ROUND(MAX($J3631*1.4*1.5*1.6*1.6*2.2*2.715*2.6*1.4,6020000000*(1.651178^(MIN($E3631,123)-117)))*1,0))</f>
        <v>118052322</v>
      </c>
      <c r="AA3631" s="13">
        <f>$E3631+19</f>
        <v>123</v>
      </c>
      <c r="AB3631" s="14">
        <f>IF($J3631=0,0,ROUND(MAX($J3631*1.4*1.5*1.6*1.6*2.2*2.715*2.6*1.4*1.4,8430000000*(1.651435^(MIN($E3631,123)-117)))*1,0))</f>
        <v>165273250</v>
      </c>
      <c r="AC3631" s="11">
        <f>$E3631+21</f>
        <v>125</v>
      </c>
      <c r="AD3631" s="12">
        <f>IF($J3631=0,0,ROUND(MAX($J3631*1.4*1.5*1.6*1.6*2.2*2.715*2.6*1.4*1.4*1.5,12600000000*(1.652953^(MIN($E3631,123)-117)))*1,0))</f>
        <v>247909875</v>
      </c>
      <c r="AE3631" s="13">
        <f>$E3631+24</f>
        <v>128</v>
      </c>
      <c r="AF3631" s="14">
        <f>IF($J3631=0,0,ROUND(MAX($J3631*1.4*1.5*1.6*1.6*2.2*2.715*2.6*1.4*1.4*1.5*1.5,18900000000*(1.65331^(MIN($E3631,123)-117)))*1,0))</f>
        <v>371864813</v>
      </c>
      <c r="AG3631" s="11">
        <f>$E3631+27</f>
        <v>131</v>
      </c>
      <c r="AH3631" s="12">
        <f>IF($J3631=0,0,ROUND(MAX($J3631*1.4*1.5*1.6*1.6*2.2*2.715*2.6*1.4*1.4*1.5*1.5*3.2,60500000000*(1.654288^(MIN($E3631,123)-117)))*1,0))</f>
        <v>1189967402</v>
      </c>
    </row>
    <row r="3632" ht="28" customHeight="1" spans="1:34" x14ac:dyDescent="0.25">
      <c r="A3632">
        <v>3642</v>
      </c>
      <c r="B3632" t="s">
        <v>175</v>
      </c>
      <c r="C3632" s="10" t="s">
        <v>1813</v>
      </c>
      <c r="D3632" t="s">
        <v>33</v>
      </c>
      <c r="E3632">
        <v>104</v>
      </c>
      <c r="F3632" t="s">
        <v>54</v>
      </c>
      <c r="G3632" t="s">
        <v>562</v>
      </c>
      <c r="H3632">
        <v>23</v>
      </c>
      <c r="I3632" s="11">
        <f>$E3632+0</f>
        <v>104</v>
      </c>
      <c r="J3632" s="12">
        <v>52600</v>
      </c>
      <c r="K3632" s="13">
        <f>$E3632+1</f>
        <v>105</v>
      </c>
      <c r="L3632" s="14">
        <f>IF($J3632=0,0,ROUND(MAX($J3632*1.4,1620000*(1.497923^(MIN($E3632,123)-117)))*1,0))</f>
        <v>73640</v>
      </c>
      <c r="M3632" s="11">
        <f>$E3632+2</f>
        <v>106</v>
      </c>
      <c r="N3632" s="12">
        <f>IF($J3632=0,0,ROUND(MAX($J3632*1.4*1.5,2190000*(1.580994^(MIN($E3632,123)-117)))*1,0))</f>
        <v>110460</v>
      </c>
      <c r="O3632" s="13">
        <f>$E3632+4</f>
        <v>108</v>
      </c>
      <c r="P3632" s="14">
        <f>IF($J3632=0,0,ROUND(MAX($J3632*1.4*1.5*1.6,3500000*(1.57975^(MIN($E3632,123)-117)))*1,0))</f>
        <v>176736</v>
      </c>
      <c r="Q3632" s="11">
        <f>$E3632+6</f>
        <v>110</v>
      </c>
      <c r="R3632" s="12">
        <f>IF($J3632=0,0,ROUND(MAX($J3632*1.4*1.5*1.6*1.6,13100000*(1.429962^(MIN($E3632,123)-117)))*1,0))</f>
        <v>282778</v>
      </c>
      <c r="S3632" s="13">
        <f>$E3632+8</f>
        <v>112</v>
      </c>
      <c r="T3632" s="14">
        <f>IF($J3632=0,0,ROUND(MAX($J3632*1.4*1.5*1.6*1.6*2.2,42600000*(1.576904^(MIN($E3632,123)-117)))*1,0))</f>
        <v>622111</v>
      </c>
      <c r="U3632" s="11">
        <f>$E3632+11</f>
        <v>115</v>
      </c>
      <c r="V3632" s="12">
        <f>IF($J3632=0,0,ROUND(MAX($J3632*1.4*1.5*1.6*1.6*2.2*2.715,354000000*(1.642074^(MIN($E3632,123)-117)))*1,0))</f>
        <v>1689031</v>
      </c>
      <c r="W3632" s="13">
        <f>$E3632+15</f>
        <v>119</v>
      </c>
      <c r="X3632" s="14">
        <f>IF($J3632=0,0,ROUND(MAX($J3632*1.4*1.5*1.6*1.6*2.2*2.715*2.6,3540000000*(1.579646^(MIN($E3632,123)-117)))*1,0))</f>
        <v>9283810</v>
      </c>
      <c r="Y3632" s="11">
        <f>$E3632+17</f>
        <v>121</v>
      </c>
      <c r="Z3632" s="12">
        <f>IF($J3632=0,0,ROUND(MAX($J3632*1.4*1.5*1.6*1.6*2.2*2.715*2.6*1.4,6020000000*(1.651178^(MIN($E3632,123)-117)))*1,0))</f>
        <v>8877197</v>
      </c>
      <c r="AA3632" s="13">
        <f>$E3632+19</f>
        <v>123</v>
      </c>
      <c r="AB3632" s="14">
        <f>IF($J3632=0,0,ROUND(MAX($J3632*1.4*1.5*1.6*1.6*2.2*2.715*2.6*1.4*1.4,8430000000*(1.651435^(MIN($E3632,123)-117)))*1,0))</f>
        <v>12405900</v>
      </c>
      <c r="AC3632" s="11">
        <f>$E3632+21</f>
        <v>125</v>
      </c>
      <c r="AD3632" s="12">
        <f>IF($J3632=0,0,ROUND(MAX($J3632*1.4*1.5*1.6*1.6*2.2*2.715*2.6*1.4*1.4*1.5,12600000000*(1.652953^(MIN($E3632,123)-117)))*1,0))</f>
        <v>18322468</v>
      </c>
      <c r="AE3632" s="13">
        <f>$E3632+24</f>
        <v>128</v>
      </c>
      <c r="AF3632" s="14">
        <f>IF($J3632=0,0,ROUND(MAX($J3632*1.4*1.5*1.6*1.6*2.2*2.715*2.6*1.4*1.4*1.5*1.5,18900000000*(1.65331^(MIN($E3632,123)-117)))*1,0))</f>
        <v>27406653</v>
      </c>
      <c r="AG3632" s="11">
        <f>$E3632+27</f>
        <v>131</v>
      </c>
      <c r="AH3632" s="12">
        <f>IF($J3632=0,0,ROUND(MAX($J3632*1.4*1.5*1.6*1.6*2.2*2.715*2.6*1.4*1.4*1.5*1.5*3.2,60500000000*(1.654288^(MIN($E3632,123)-117)))*1,0))</f>
        <v>87058428</v>
      </c>
    </row>
    <row r="3633" ht="28" customHeight="1" spans="1:34" x14ac:dyDescent="0.25">
      <c r="A3633">
        <v>3643</v>
      </c>
      <c r="B3633" t="s">
        <v>922</v>
      </c>
      <c r="C3633" s="10" t="s">
        <v>1813</v>
      </c>
      <c r="D3633" t="s">
        <v>102</v>
      </c>
      <c r="E3633">
        <v>104</v>
      </c>
      <c r="F3633" t="s">
        <v>34</v>
      </c>
      <c r="G3633" t="s">
        <v>562</v>
      </c>
      <c r="H3633">
        <v>23</v>
      </c>
      <c r="I3633" s="11">
        <f>$E3633+0</f>
        <v>104</v>
      </c>
      <c r="J3633" s="12">
        <v>32700</v>
      </c>
      <c r="K3633" s="13">
        <f>$E3633+1</f>
        <v>105</v>
      </c>
      <c r="L3633" s="14">
        <f>IF($J3633=0,0,ROUND(MAX($J3633*1.4,1620000*(1.497923^(MIN($E3633,123)-117)))*1,0))</f>
        <v>45780</v>
      </c>
      <c r="M3633" s="11">
        <f>$E3633+2</f>
        <v>106</v>
      </c>
      <c r="N3633" s="12">
        <f>IF($J3633=0,0,ROUND(MAX($J3633*1.4*1.5,2190000*(1.580994^(MIN($E3633,123)-117)))*1,0))</f>
        <v>68670</v>
      </c>
      <c r="O3633" s="13">
        <f>$E3633+4</f>
        <v>108</v>
      </c>
      <c r="P3633" s="14">
        <f>IF($J3633=0,0,ROUND(MAX($J3633*1.4*1.5*1.6,3500000*(1.57975^(MIN($E3633,123)-117)))*1,0))</f>
        <v>109872</v>
      </c>
      <c r="Q3633" s="11">
        <f>$E3633+6</f>
        <v>110</v>
      </c>
      <c r="R3633" s="12">
        <f>IF($J3633=0,0,ROUND(MAX($J3633*1.4*1.5*1.6*1.6,13100000*(1.429962^(MIN($E3633,123)-117)))*1,0))</f>
        <v>175795</v>
      </c>
      <c r="S3633" s="13">
        <f>$E3633+8</f>
        <v>112</v>
      </c>
      <c r="T3633" s="14">
        <f>IF($J3633=0,0,ROUND(MAX($J3633*1.4*1.5*1.6*1.6*2.2,42600000*(1.576904^(MIN($E3633,123)-117)))*1,0))</f>
        <v>386749</v>
      </c>
      <c r="U3633" s="11">
        <f>$E3633+11</f>
        <v>115</v>
      </c>
      <c r="V3633" s="12">
        <f>IF($J3633=0,0,ROUND(MAX($J3633*1.4*1.5*1.6*1.6*2.2*2.715,354000000*(1.642074^(MIN($E3633,123)-117)))*1,0))</f>
        <v>1050025</v>
      </c>
      <c r="W3633" s="13">
        <f>$E3633+15</f>
        <v>119</v>
      </c>
      <c r="X3633" s="14">
        <f>IF($J3633=0,0,ROUND(MAX($J3633*1.4*1.5*1.6*1.6*2.2*2.715*2.6,3540000000*(1.579646^(MIN($E3633,123)-117)))*1,0))</f>
        <v>9283810</v>
      </c>
      <c r="Y3633" s="11">
        <f>$E3633+17</f>
        <v>121</v>
      </c>
      <c r="Z3633" s="12">
        <f>IF($J3633=0,0,ROUND(MAX($J3633*1.4*1.5*1.6*1.6*2.2*2.715*2.6*1.4,6020000000*(1.651178^(MIN($E3633,123)-117)))*1,0))</f>
        <v>8877197</v>
      </c>
      <c r="AA3633" s="13">
        <f>$E3633+19</f>
        <v>123</v>
      </c>
      <c r="AB3633" s="14">
        <f>IF($J3633=0,0,ROUND(MAX($J3633*1.4*1.5*1.6*1.6*2.2*2.715*2.6*1.4*1.4,8430000000*(1.651435^(MIN($E3633,123)-117)))*1,0))</f>
        <v>12405900</v>
      </c>
      <c r="AC3633" s="11">
        <f>$E3633+21</f>
        <v>125</v>
      </c>
      <c r="AD3633" s="12">
        <f>IF($J3633=0,0,ROUND(MAX($J3633*1.4*1.5*1.6*1.6*2.2*2.715*2.6*1.4*1.4*1.5,12600000000*(1.652953^(MIN($E3633,123)-117)))*1,0))</f>
        <v>18322468</v>
      </c>
      <c r="AE3633" s="13">
        <f>$E3633+24</f>
        <v>128</v>
      </c>
      <c r="AF3633" s="14">
        <f>IF($J3633=0,0,ROUND(MAX($J3633*1.4*1.5*1.6*1.6*2.2*2.715*2.6*1.4*1.4*1.5*1.5,18900000000*(1.65331^(MIN($E3633,123)-117)))*1,0))</f>
        <v>27406653</v>
      </c>
      <c r="AG3633" s="11">
        <f>$E3633+27</f>
        <v>131</v>
      </c>
      <c r="AH3633" s="12">
        <f>IF($J3633=0,0,ROUND(MAX($J3633*1.4*1.5*1.6*1.6*2.2*2.715*2.6*1.4*1.4*1.5*1.5*3.2,60500000000*(1.654288^(MIN($E3633,123)-117)))*1,0))</f>
        <v>87058428</v>
      </c>
    </row>
    <row r="3634" ht="28" customHeight="1" spans="1:34" x14ac:dyDescent="0.25">
      <c r="A3634">
        <v>3644</v>
      </c>
      <c r="B3634" t="s">
        <v>211</v>
      </c>
      <c r="C3634" s="10" t="s">
        <v>1813</v>
      </c>
      <c r="D3634" t="s">
        <v>40</v>
      </c>
      <c r="E3634">
        <v>104</v>
      </c>
      <c r="F3634" t="s">
        <v>212</v>
      </c>
      <c r="G3634" t="s">
        <v>562</v>
      </c>
      <c r="H3634">
        <v>23</v>
      </c>
      <c r="I3634" s="11">
        <f>$E3634+0</f>
        <v>104</v>
      </c>
      <c r="J3634" s="12">
        <v>24300</v>
      </c>
      <c r="K3634" s="13">
        <f>$E3634+1</f>
        <v>105</v>
      </c>
      <c r="L3634" s="14">
        <f>IF($J3634=0,0,ROUND(MAX($J3634*1.4,1620000*(1.497923^(MIN($E3634,123)-117)))*1,0))</f>
        <v>34020</v>
      </c>
      <c r="M3634" s="11">
        <f>$E3634+2</f>
        <v>106</v>
      </c>
      <c r="N3634" s="12">
        <f>IF($J3634=0,0,ROUND(MAX($J3634*1.4*1.5,2190000*(1.580994^(MIN($E3634,123)-117)))*1,0))</f>
        <v>51030</v>
      </c>
      <c r="O3634" s="13">
        <f>$E3634+4</f>
        <v>108</v>
      </c>
      <c r="P3634" s="14">
        <f>IF($J3634=0,0,ROUND(MAX($J3634*1.4*1.5*1.6,3500000*(1.57975^(MIN($E3634,123)-117)))*1,0))</f>
        <v>81648</v>
      </c>
      <c r="Q3634" s="11">
        <f>$E3634+6</f>
        <v>110</v>
      </c>
      <c r="R3634" s="12">
        <f>IF($J3634=0,0,ROUND(MAX($J3634*1.4*1.5*1.6*1.6,13100000*(1.429962^(MIN($E3634,123)-117)))*1,0))</f>
        <v>130637</v>
      </c>
      <c r="S3634" s="13">
        <f>$E3634+8</f>
        <v>112</v>
      </c>
      <c r="T3634" s="14">
        <f>IF($J3634=0,0,ROUND(MAX($J3634*1.4*1.5*1.6*1.6*2.2,42600000*(1.576904^(MIN($E3634,123)-117)))*1,0))</f>
        <v>287401</v>
      </c>
      <c r="U3634" s="11">
        <f>$E3634+11</f>
        <v>115</v>
      </c>
      <c r="V3634" s="12">
        <f>IF($J3634=0,0,ROUND(MAX($J3634*1.4*1.5*1.6*1.6*2.2*2.715,354000000*(1.642074^(MIN($E3634,123)-117)))*1,0))</f>
        <v>780294</v>
      </c>
      <c r="W3634" s="13">
        <f>$E3634+15</f>
        <v>119</v>
      </c>
      <c r="X3634" s="14">
        <f>IF($J3634=0,0,ROUND(MAX($J3634*1.4*1.5*1.6*1.6*2.2*2.715*2.6,3540000000*(1.579646^(MIN($E3634,123)-117)))*1,0))</f>
        <v>9283810</v>
      </c>
      <c r="Y3634" s="11">
        <f>$E3634+17</f>
        <v>121</v>
      </c>
      <c r="Z3634" s="12">
        <f>IF($J3634=0,0,ROUND(MAX($J3634*1.4*1.5*1.6*1.6*2.2*2.715*2.6*1.4,6020000000*(1.651178^(MIN($E3634,123)-117)))*1,0))</f>
        <v>8877197</v>
      </c>
      <c r="AA3634" s="13">
        <f>$E3634+19</f>
        <v>123</v>
      </c>
      <c r="AB3634" s="14">
        <f>IF($J3634=0,0,ROUND(MAX($J3634*1.4*1.5*1.6*1.6*2.2*2.715*2.6*1.4*1.4,8430000000*(1.651435^(MIN($E3634,123)-117)))*1,0))</f>
        <v>12405900</v>
      </c>
      <c r="AC3634" s="11">
        <f>$E3634+21</f>
        <v>125</v>
      </c>
      <c r="AD3634" s="12">
        <f>IF($J3634=0,0,ROUND(MAX($J3634*1.4*1.5*1.6*1.6*2.2*2.715*2.6*1.4*1.4*1.5,12600000000*(1.652953^(MIN($E3634,123)-117)))*1,0))</f>
        <v>18322468</v>
      </c>
      <c r="AE3634" s="13">
        <f>$E3634+24</f>
        <v>128</v>
      </c>
      <c r="AF3634" s="14">
        <f>IF($J3634=0,0,ROUND(MAX($J3634*1.4*1.5*1.6*1.6*2.2*2.715*2.6*1.4*1.4*1.5*1.5,18900000000*(1.65331^(MIN($E3634,123)-117)))*1,0))</f>
        <v>27406653</v>
      </c>
      <c r="AG3634" s="11">
        <f>$E3634+27</f>
        <v>131</v>
      </c>
      <c r="AH3634" s="12">
        <f>IF($J3634=0,0,ROUND(MAX($J3634*1.4*1.5*1.6*1.6*2.2*2.715*2.6*1.4*1.4*1.5*1.5*3.2,60500000000*(1.654288^(MIN($E3634,123)-117)))*1,0))</f>
        <v>87058428</v>
      </c>
    </row>
    <row r="3635" ht="28" customHeight="1" spans="1:34" x14ac:dyDescent="0.25">
      <c r="A3635">
        <v>3645</v>
      </c>
      <c r="B3635" t="s">
        <v>154</v>
      </c>
      <c r="C3635" s="10" t="s">
        <v>1813</v>
      </c>
      <c r="D3635" t="s">
        <v>102</v>
      </c>
      <c r="E3635">
        <v>104</v>
      </c>
      <c r="F3635" t="s">
        <v>34</v>
      </c>
      <c r="G3635" t="s">
        <v>562</v>
      </c>
      <c r="H3635">
        <v>23</v>
      </c>
      <c r="I3635" s="11">
        <f>$E3635+0</f>
        <v>104</v>
      </c>
      <c r="J3635" s="12">
        <v>233000</v>
      </c>
      <c r="K3635" s="13">
        <f>$E3635+1</f>
        <v>105</v>
      </c>
      <c r="L3635" s="14">
        <f>IF($J3635=0,0,ROUND(MAX($J3635*1.4,1620000*(1.497923^(MIN($E3635,123)-117)))*1,0))</f>
        <v>326200</v>
      </c>
      <c r="M3635" s="11">
        <f>$E3635+2</f>
        <v>106</v>
      </c>
      <c r="N3635" s="12">
        <f>IF($J3635=0,0,ROUND(MAX($J3635*1.4*1.5,2190000*(1.580994^(MIN($E3635,123)-117)))*1,0))</f>
        <v>489300</v>
      </c>
      <c r="O3635" s="13">
        <f>$E3635+4</f>
        <v>108</v>
      </c>
      <c r="P3635" s="14">
        <f>IF($J3635=0,0,ROUND(MAX($J3635*1.4*1.5*1.6,3500000*(1.57975^(MIN($E3635,123)-117)))*1,0))</f>
        <v>782880</v>
      </c>
      <c r="Q3635" s="11">
        <f>$E3635+6</f>
        <v>110</v>
      </c>
      <c r="R3635" s="12">
        <f>IF($J3635=0,0,ROUND(MAX($J3635*1.4*1.5*1.6*1.6,13100000*(1.429962^(MIN($E3635,123)-117)))*1,0))</f>
        <v>1252608</v>
      </c>
      <c r="S3635" s="13">
        <f>$E3635+8</f>
        <v>112</v>
      </c>
      <c r="T3635" s="14">
        <f>IF($J3635=0,0,ROUND(MAX($J3635*1.4*1.5*1.6*1.6*2.2,42600000*(1.576904^(MIN($E3635,123)-117)))*1,0))</f>
        <v>2755738</v>
      </c>
      <c r="U3635" s="11">
        <f>$E3635+11</f>
        <v>115</v>
      </c>
      <c r="V3635" s="12">
        <f>IF($J3635=0,0,ROUND(MAX($J3635*1.4*1.5*1.6*1.6*2.2*2.715,354000000*(1.642074^(MIN($E3635,123)-117)))*1,0))</f>
        <v>7481828</v>
      </c>
      <c r="W3635" s="13">
        <f>$E3635+15</f>
        <v>119</v>
      </c>
      <c r="X3635" s="14">
        <f>IF($J3635=0,0,ROUND(MAX($J3635*1.4*1.5*1.6*1.6*2.2*2.715*2.6,3540000000*(1.579646^(MIN($E3635,123)-117)))*1,0))</f>
        <v>19452752</v>
      </c>
      <c r="Y3635" s="11">
        <f>$E3635+17</f>
        <v>121</v>
      </c>
      <c r="Z3635" s="12">
        <f>IF($J3635=0,0,ROUND(MAX($J3635*1.4*1.5*1.6*1.6*2.2*2.715*2.6*1.4,6020000000*(1.651178^(MIN($E3635,123)-117)))*1,0))</f>
        <v>27233852</v>
      </c>
      <c r="AA3635" s="13">
        <f>$E3635+19</f>
        <v>123</v>
      </c>
      <c r="AB3635" s="14">
        <f>IF($J3635=0,0,ROUND(MAX($J3635*1.4*1.5*1.6*1.6*2.2*2.715*2.6*1.4*1.4,8430000000*(1.651435^(MIN($E3635,123)-117)))*1,0))</f>
        <v>38127393</v>
      </c>
      <c r="AC3635" s="11">
        <f>$E3635+21</f>
        <v>125</v>
      </c>
      <c r="AD3635" s="12">
        <f>IF($J3635=0,0,ROUND(MAX($J3635*1.4*1.5*1.6*1.6*2.2*2.715*2.6*1.4*1.4*1.5,12600000000*(1.652953^(MIN($E3635,123)-117)))*1,0))</f>
        <v>57191090</v>
      </c>
      <c r="AE3635" s="13">
        <f>$E3635+24</f>
        <v>128</v>
      </c>
      <c r="AF3635" s="14">
        <f>IF($J3635=0,0,ROUND(MAX($J3635*1.4*1.5*1.6*1.6*2.2*2.715*2.6*1.4*1.4*1.5*1.5,18900000000*(1.65331^(MIN($E3635,123)-117)))*1,0))</f>
        <v>85786635</v>
      </c>
      <c r="AG3635" s="11">
        <f>$E3635+27</f>
        <v>131</v>
      </c>
      <c r="AH3635" s="12">
        <f>IF($J3635=0,0,ROUND(MAX($J3635*1.4*1.5*1.6*1.6*2.2*2.715*2.6*1.4*1.4*1.5*1.5*3.2,60500000000*(1.654288^(MIN($E3635,123)-117)))*1,0))</f>
        <v>274517232</v>
      </c>
    </row>
    <row r="3636" ht="28" customHeight="1" spans="1:34" x14ac:dyDescent="0.25">
      <c r="A3636">
        <v>3646</v>
      </c>
      <c r="B3636" t="s">
        <v>686</v>
      </c>
      <c r="C3636" s="10" t="s">
        <v>1813</v>
      </c>
      <c r="D3636" t="s">
        <v>40</v>
      </c>
      <c r="E3636">
        <v>104</v>
      </c>
      <c r="F3636" t="s">
        <v>54</v>
      </c>
      <c r="G3636" t="s">
        <v>396</v>
      </c>
      <c r="H3636">
        <v>23</v>
      </c>
      <c r="I3636" s="11">
        <f>$E3636+0</f>
        <v>104</v>
      </c>
      <c r="J3636" s="12">
        <v>11300</v>
      </c>
      <c r="K3636" s="13">
        <f>$E3636+1</f>
        <v>105</v>
      </c>
      <c r="L3636" s="14">
        <f>IF($J3636=0,0,ROUND(MAX($J3636*1.4,1620000*(1.497923^(MIN($E3636,123)-117)))*1,0))</f>
        <v>15820</v>
      </c>
      <c r="M3636" s="11">
        <f>$E3636+2</f>
        <v>106</v>
      </c>
      <c r="N3636" s="12">
        <f>IF($J3636=0,0,ROUND(MAX($J3636*1.4*1.5,2190000*(1.580994^(MIN($E3636,123)-117)))*1,0))</f>
        <v>23730</v>
      </c>
      <c r="O3636" s="13">
        <f>$E3636+4</f>
        <v>108</v>
      </c>
      <c r="P3636" s="14">
        <f>IF($J3636=0,0,ROUND(MAX($J3636*1.4*1.5*1.6,3500000*(1.57975^(MIN($E3636,123)-117)))*1,0))</f>
        <v>37968</v>
      </c>
      <c r="Q3636" s="11">
        <f>$E3636+6</f>
        <v>110</v>
      </c>
      <c r="R3636" s="12">
        <f>IF($J3636=0,0,ROUND(MAX($J3636*1.4*1.5*1.6*1.6,13100000*(1.429962^(MIN($E3636,123)-117)))*1,0))</f>
        <v>125329</v>
      </c>
      <c r="S3636" s="13">
        <f>$E3636+8</f>
        <v>112</v>
      </c>
      <c r="T3636" s="14">
        <f>IF($J3636=0,0,ROUND(MAX($J3636*1.4*1.5*1.6*1.6*2.2,42600000*(1.576904^(MIN($E3636,123)-117)))*1,0))</f>
        <v>133647</v>
      </c>
      <c r="U3636" s="11">
        <f>$E3636+11</f>
        <v>115</v>
      </c>
      <c r="V3636" s="12">
        <f>IF($J3636=0,0,ROUND(MAX($J3636*1.4*1.5*1.6*1.6*2.2*2.715,354000000*(1.642074^(MIN($E3636,123)-117)))*1,0))</f>
        <v>560916</v>
      </c>
      <c r="W3636" s="13">
        <f>$E3636+15</f>
        <v>119</v>
      </c>
      <c r="X3636" s="14">
        <f>IF($J3636=0,0,ROUND(MAX($J3636*1.4*1.5*1.6*1.6*2.2*2.715*2.6,3540000000*(1.579646^(MIN($E3636,123)-117)))*1,0))</f>
        <v>9283810</v>
      </c>
      <c r="Y3636" s="11">
        <f>$E3636+17</f>
        <v>121</v>
      </c>
      <c r="Z3636" s="12">
        <f>IF($J3636=0,0,ROUND(MAX($J3636*1.4*1.5*1.6*1.6*2.2*2.715*2.6*1.4,6020000000*(1.651178^(MIN($E3636,123)-117)))*1,0))</f>
        <v>8877197</v>
      </c>
      <c r="AA3636" s="13">
        <f>$E3636+19</f>
        <v>123</v>
      </c>
      <c r="AB3636" s="14">
        <f>IF($J3636=0,0,ROUND(MAX($J3636*1.4*1.5*1.6*1.6*2.2*2.715*2.6*1.4*1.4,8430000000*(1.651435^(MIN($E3636,123)-117)))*1,0))</f>
        <v>12405900</v>
      </c>
      <c r="AC3636" s="11">
        <f>$E3636+21</f>
        <v>125</v>
      </c>
      <c r="AD3636" s="12">
        <f>IF($J3636=0,0,ROUND(MAX($J3636*1.4*1.5*1.6*1.6*2.2*2.715*2.6*1.4*1.4*1.5,12600000000*(1.652953^(MIN($E3636,123)-117)))*1,0))</f>
        <v>18322468</v>
      </c>
      <c r="AE3636" s="13">
        <f>$E3636+24</f>
        <v>128</v>
      </c>
      <c r="AF3636" s="14">
        <f>IF($J3636=0,0,ROUND(MAX($J3636*1.4*1.5*1.6*1.6*2.2*2.715*2.6*1.4*1.4*1.5*1.5,18900000000*(1.65331^(MIN($E3636,123)-117)))*1,0))</f>
        <v>27406653</v>
      </c>
      <c r="AG3636" s="11">
        <f>$E3636+27</f>
        <v>131</v>
      </c>
      <c r="AH3636" s="12">
        <f>IF($J3636=0,0,ROUND(MAX($J3636*1.4*1.5*1.6*1.6*2.2*2.715*2.6*1.4*1.4*1.5*1.5*3.2,60500000000*(1.654288^(MIN($E3636,123)-117)))*1,0))</f>
        <v>87058428</v>
      </c>
    </row>
    <row r="3637" ht="28" customHeight="1" spans="1:34" x14ac:dyDescent="0.25">
      <c r="A3637">
        <v>3647</v>
      </c>
      <c r="B3637" t="s">
        <v>627</v>
      </c>
      <c r="C3637" s="10" t="s">
        <v>1813</v>
      </c>
      <c r="D3637" t="s">
        <v>29</v>
      </c>
      <c r="E3637">
        <v>104</v>
      </c>
      <c r="F3637" t="s">
        <v>71</v>
      </c>
      <c r="G3637" t="s">
        <v>562</v>
      </c>
      <c r="H3637">
        <v>23</v>
      </c>
      <c r="I3637" s="11">
        <f>$E3637+0</f>
        <v>104</v>
      </c>
      <c r="J3637" s="12">
        <v>45600</v>
      </c>
      <c r="K3637" s="13">
        <f>$E3637+1</f>
        <v>105</v>
      </c>
      <c r="L3637" s="14">
        <f>IF($J3637=0,0,ROUND(MAX($J3637*1.4,1620000*(1.497923^(MIN($E3637,123)-117)))*1,0))</f>
        <v>63840</v>
      </c>
      <c r="M3637" s="11">
        <f>$E3637+2</f>
        <v>106</v>
      </c>
      <c r="N3637" s="12">
        <f>IF($J3637=0,0,ROUND(MAX($J3637*1.4*1.5,2190000*(1.580994^(MIN($E3637,123)-117)))*1,0))</f>
        <v>95760</v>
      </c>
      <c r="O3637" s="13">
        <f>$E3637+4</f>
        <v>108</v>
      </c>
      <c r="P3637" s="14">
        <f>IF($J3637=0,0,ROUND(MAX($J3637*1.4*1.5*1.6,3500000*(1.57975^(MIN($E3637,123)-117)))*1,0))</f>
        <v>153216</v>
      </c>
      <c r="Q3637" s="11">
        <f>$E3637+6</f>
        <v>110</v>
      </c>
      <c r="R3637" s="12">
        <f>IF($J3637=0,0,ROUND(MAX($J3637*1.4*1.5*1.6*1.6,13100000*(1.429962^(MIN($E3637,123)-117)))*1,0))</f>
        <v>245146</v>
      </c>
      <c r="S3637" s="13">
        <f>$E3637+8</f>
        <v>112</v>
      </c>
      <c r="T3637" s="14">
        <f>IF($J3637=0,0,ROUND(MAX($J3637*1.4*1.5*1.6*1.6*2.2,42600000*(1.576904^(MIN($E3637,123)-117)))*1,0))</f>
        <v>539320</v>
      </c>
      <c r="U3637" s="11">
        <f>$E3637+11</f>
        <v>115</v>
      </c>
      <c r="V3637" s="12">
        <f>IF($J3637=0,0,ROUND(MAX($J3637*1.4*1.5*1.6*1.6*2.2*2.715,354000000*(1.642074^(MIN($E3637,123)-117)))*1,0))</f>
        <v>1464255</v>
      </c>
      <c r="W3637" s="13">
        <f>$E3637+15</f>
        <v>119</v>
      </c>
      <c r="X3637" s="14">
        <f>IF($J3637=0,0,ROUND(MAX($J3637*1.4*1.5*1.6*1.6*2.2*2.715*2.6,3540000000*(1.579646^(MIN($E3637,123)-117)))*1,0))</f>
        <v>9283810</v>
      </c>
      <c r="Y3637" s="11">
        <f>$E3637+17</f>
        <v>121</v>
      </c>
      <c r="Z3637" s="12">
        <f>IF($J3637=0,0,ROUND(MAX($J3637*1.4*1.5*1.6*1.6*2.2*2.715*2.6*1.4,6020000000*(1.651178^(MIN($E3637,123)-117)))*1,0))</f>
        <v>8877197</v>
      </c>
      <c r="AA3637" s="13">
        <f>$E3637+19</f>
        <v>123</v>
      </c>
      <c r="AB3637" s="14">
        <f>IF($J3637=0,0,ROUND(MAX($J3637*1.4*1.5*1.6*1.6*2.2*2.715*2.6*1.4*1.4,8430000000*(1.651435^(MIN($E3637,123)-117)))*1,0))</f>
        <v>12405900</v>
      </c>
      <c r="AC3637" s="11">
        <f>$E3637+21</f>
        <v>125</v>
      </c>
      <c r="AD3637" s="12">
        <f>IF($J3637=0,0,ROUND(MAX($J3637*1.4*1.5*1.6*1.6*2.2*2.715*2.6*1.4*1.4*1.5,12600000000*(1.652953^(MIN($E3637,123)-117)))*1,0))</f>
        <v>18322468</v>
      </c>
      <c r="AE3637" s="13">
        <f>$E3637+24</f>
        <v>128</v>
      </c>
      <c r="AF3637" s="14">
        <f>IF($J3637=0,0,ROUND(MAX($J3637*1.4*1.5*1.6*1.6*2.2*2.715*2.6*1.4*1.4*1.5*1.5,18900000000*(1.65331^(MIN($E3637,123)-117)))*1,0))</f>
        <v>27406653</v>
      </c>
      <c r="AG3637" s="11">
        <f>$E3637+27</f>
        <v>131</v>
      </c>
      <c r="AH3637" s="12">
        <f>IF($J3637=0,0,ROUND(MAX($J3637*1.4*1.5*1.6*1.6*2.2*2.715*2.6*1.4*1.4*1.5*1.5*3.2,60500000000*(1.654288^(MIN($E3637,123)-117)))*1,0))</f>
        <v>87058428</v>
      </c>
    </row>
    <row r="3638" ht="28" customHeight="1" spans="1:34" x14ac:dyDescent="0.25">
      <c r="A3638">
        <v>3648</v>
      </c>
      <c r="B3638" t="s">
        <v>1815</v>
      </c>
      <c r="C3638" s="10" t="s">
        <v>1813</v>
      </c>
      <c r="D3638" t="s">
        <v>79</v>
      </c>
      <c r="E3638">
        <v>104</v>
      </c>
      <c r="F3638" t="s">
        <v>34</v>
      </c>
      <c r="G3638" t="s">
        <v>1816</v>
      </c>
      <c r="H3638">
        <v>23</v>
      </c>
      <c r="I3638" s="11">
        <f>$E3638+0</f>
        <v>104</v>
      </c>
      <c r="J3638" s="12">
        <v>43200</v>
      </c>
      <c r="K3638" s="13">
        <f>$E3638+1</f>
        <v>105</v>
      </c>
      <c r="L3638" s="14">
        <f>IF($J3638=0,0,ROUND(MAX($J3638*1.4,1620000*(1.497923^(MIN($E3638,123)-117)))*1,0))</f>
        <v>60480</v>
      </c>
      <c r="M3638" s="11">
        <f>$E3638+2</f>
        <v>106</v>
      </c>
      <c r="N3638" s="12">
        <f>IF($J3638=0,0,ROUND(MAX($J3638*1.4*1.5,2190000*(1.580994^(MIN($E3638,123)-117)))*1,0))</f>
        <v>90720</v>
      </c>
      <c r="O3638" s="13">
        <f>$E3638+4</f>
        <v>108</v>
      </c>
      <c r="P3638" s="14">
        <f>IF($J3638=0,0,ROUND(MAX($J3638*1.4*1.5*1.6,3500000*(1.57975^(MIN($E3638,123)-117)))*1,0))</f>
        <v>145152</v>
      </c>
      <c r="Q3638" s="11">
        <f>$E3638+6</f>
        <v>110</v>
      </c>
      <c r="R3638" s="12">
        <f>IF($J3638=0,0,ROUND(MAX($J3638*1.4*1.5*1.6*1.6,13100000*(1.429962^(MIN($E3638,123)-117)))*1,0))</f>
        <v>232243</v>
      </c>
      <c r="S3638" s="13">
        <f>$E3638+8</f>
        <v>112</v>
      </c>
      <c r="T3638" s="14">
        <f>IF($J3638=0,0,ROUND(MAX($J3638*1.4*1.5*1.6*1.6*2.2,42600000*(1.576904^(MIN($E3638,123)-117)))*1,0))</f>
        <v>510935</v>
      </c>
      <c r="U3638" s="11">
        <f>$E3638+11</f>
        <v>115</v>
      </c>
      <c r="V3638" s="12">
        <f>IF($J3638=0,0,ROUND(MAX($J3638*1.4*1.5*1.6*1.6*2.2*2.715,354000000*(1.642074^(MIN($E3638,123)-117)))*1,0))</f>
        <v>1387189</v>
      </c>
      <c r="W3638" s="13">
        <f>$E3638+15</f>
        <v>119</v>
      </c>
      <c r="X3638" s="14">
        <f>IF($J3638=0,0,ROUND(MAX($J3638*1.4*1.5*1.6*1.6*2.2*2.715*2.6,3540000000*(1.579646^(MIN($E3638,123)-117)))*1,0))</f>
        <v>9283810</v>
      </c>
      <c r="Y3638" s="11">
        <f>$E3638+17</f>
        <v>121</v>
      </c>
      <c r="Z3638" s="12">
        <f>IF($J3638=0,0,ROUND(MAX($J3638*1.4*1.5*1.6*1.6*2.2*2.715*2.6*1.4,6020000000*(1.651178^(MIN($E3638,123)-117)))*1,0))</f>
        <v>8877197</v>
      </c>
      <c r="AA3638" s="13">
        <f>$E3638+19</f>
        <v>123</v>
      </c>
      <c r="AB3638" s="14">
        <f>IF($J3638=0,0,ROUND(MAX($J3638*1.4*1.5*1.6*1.6*2.2*2.715*2.6*1.4*1.4,8430000000*(1.651435^(MIN($E3638,123)-117)))*1,0))</f>
        <v>12405900</v>
      </c>
      <c r="AC3638" s="11">
        <f>$E3638+21</f>
        <v>125</v>
      </c>
      <c r="AD3638" s="12">
        <f>IF($J3638=0,0,ROUND(MAX($J3638*1.4*1.5*1.6*1.6*2.2*2.715*2.6*1.4*1.4*1.5,12600000000*(1.652953^(MIN($E3638,123)-117)))*1,0))</f>
        <v>18322468</v>
      </c>
      <c r="AE3638" s="13">
        <f>$E3638+24</f>
        <v>128</v>
      </c>
      <c r="AF3638" s="14">
        <f>IF($J3638=0,0,ROUND(MAX($J3638*1.4*1.5*1.6*1.6*2.2*2.715*2.6*1.4*1.4*1.5*1.5,18900000000*(1.65331^(MIN($E3638,123)-117)))*1,0))</f>
        <v>27406653</v>
      </c>
      <c r="AG3638" s="11">
        <f>$E3638+27</f>
        <v>131</v>
      </c>
      <c r="AH3638" s="12">
        <f>IF($J3638=0,0,ROUND(MAX($J3638*1.4*1.5*1.6*1.6*2.2*2.715*2.6*1.4*1.4*1.5*1.5*3.2,60500000000*(1.654288^(MIN($E3638,123)-117)))*1,0))</f>
        <v>87058428</v>
      </c>
    </row>
    <row r="3639" ht="28" customHeight="1" spans="1:34" x14ac:dyDescent="0.25">
      <c r="A3639">
        <v>3649</v>
      </c>
      <c r="B3639" t="s">
        <v>1817</v>
      </c>
      <c r="C3639" s="10" t="s">
        <v>1813</v>
      </c>
      <c r="D3639" t="s">
        <v>29</v>
      </c>
      <c r="E3639">
        <v>104</v>
      </c>
      <c r="F3639" t="s">
        <v>59</v>
      </c>
      <c r="G3639" t="s">
        <v>562</v>
      </c>
      <c r="H3639">
        <v>23</v>
      </c>
      <c r="I3639" s="11">
        <f>$E3639+0</f>
        <v>104</v>
      </c>
      <c r="J3639" s="12">
        <v>3190000</v>
      </c>
      <c r="K3639" s="13">
        <f>$E3639+1</f>
        <v>105</v>
      </c>
      <c r="L3639" s="14">
        <f>IF($J3639=0,0,ROUND(MAX($J3639*1.4,1620000*(1.497923^(MIN($E3639,123)-117)))*1,0))</f>
        <v>4466000</v>
      </c>
      <c r="M3639" s="11">
        <f>$E3639+2</f>
        <v>106</v>
      </c>
      <c r="N3639" s="12">
        <f>IF($J3639=0,0,ROUND(MAX($J3639*1.4*1.5,2190000*(1.580994^(MIN($E3639,123)-117)))*1,0))</f>
        <v>6699000</v>
      </c>
      <c r="O3639" s="13">
        <f>$E3639+4</f>
        <v>108</v>
      </c>
      <c r="P3639" s="14">
        <f>IF($J3639=0,0,ROUND(MAX($J3639*1.4*1.5*1.6,3500000*(1.57975^(MIN($E3639,123)-117)))*1,0))</f>
        <v>10718400</v>
      </c>
      <c r="Q3639" s="11">
        <f>$E3639+6</f>
        <v>110</v>
      </c>
      <c r="R3639" s="12">
        <f>IF($J3639=0,0,ROUND(MAX($J3639*1.4*1.5*1.6*1.6,13100000*(1.429962^(MIN($E3639,123)-117)))*1,0))</f>
        <v>17149440</v>
      </c>
      <c r="S3639" s="13">
        <f>$E3639+8</f>
        <v>112</v>
      </c>
      <c r="T3639" s="14">
        <f>IF($J3639=0,0,ROUND(MAX($J3639*1.4*1.5*1.6*1.6*2.2,42600000*(1.576904^(MIN($E3639,123)-117)))*1,0))</f>
        <v>37728768</v>
      </c>
      <c r="U3639" s="11">
        <f>$E3639+11</f>
        <v>115</v>
      </c>
      <c r="V3639" s="12">
        <f>IF($J3639=0,0,ROUND(MAX($J3639*1.4*1.5*1.6*1.6*2.2*2.715,354000000*(1.642074^(MIN($E3639,123)-117)))*1,0))</f>
        <v>102433605</v>
      </c>
      <c r="W3639" s="13">
        <f>$E3639+15</f>
        <v>119</v>
      </c>
      <c r="X3639" s="14">
        <f>IF($J3639=0,0,ROUND(MAX($J3639*1.4*1.5*1.6*1.6*2.2*2.715*2.6,3540000000*(1.579646^(MIN($E3639,123)-117)))*1,0))</f>
        <v>266327373</v>
      </c>
      <c r="Y3639" s="11">
        <f>$E3639+17</f>
        <v>121</v>
      </c>
      <c r="Z3639" s="12">
        <f>IF($J3639=0,0,ROUND(MAX($J3639*1.4*1.5*1.6*1.6*2.2*2.715*2.6*1.4,6020000000*(1.651178^(MIN($E3639,123)-117)))*1,0))</f>
        <v>372858323</v>
      </c>
      <c r="AA3639" s="13">
        <f>$E3639+19</f>
        <v>123</v>
      </c>
      <c r="AB3639" s="14">
        <f>IF($J3639=0,0,ROUND(MAX($J3639*1.4*1.5*1.6*1.6*2.2*2.715*2.6*1.4*1.4,8430000000*(1.651435^(MIN($E3639,123)-117)))*1,0))</f>
        <v>522001652</v>
      </c>
      <c r="AC3639" s="11">
        <f>$E3639+21</f>
        <v>125</v>
      </c>
      <c r="AD3639" s="12">
        <f>IF($J3639=0,0,ROUND(MAX($J3639*1.4*1.5*1.6*1.6*2.2*2.715*2.6*1.4*1.4*1.5,12600000000*(1.652953^(MIN($E3639,123)-117)))*1,0))</f>
        <v>783002478</v>
      </c>
      <c r="AE3639" s="13">
        <f>$E3639+24</f>
        <v>128</v>
      </c>
      <c r="AF3639" s="14">
        <f>IF($J3639=0,0,ROUND(MAX($J3639*1.4*1.5*1.6*1.6*2.2*2.715*2.6*1.4*1.4*1.5*1.5,18900000000*(1.65331^(MIN($E3639,123)-117)))*1,0))</f>
        <v>1174503716</v>
      </c>
      <c r="AG3639" s="11">
        <f>$E3639+27</f>
        <v>131</v>
      </c>
      <c r="AH3639" s="12">
        <f>IF($J3639=0,0,ROUND(MAX($J3639*1.4*1.5*1.6*1.6*2.2*2.715*2.6*1.4*1.4*1.5*1.5*3.2,60500000000*(1.654288^(MIN($E3639,123)-117)))*1,0))</f>
        <v>3758411892</v>
      </c>
    </row>
    <row r="3640" ht="28" customHeight="1" spans="1:34" x14ac:dyDescent="0.25">
      <c r="A3640">
        <v>3650</v>
      </c>
      <c r="B3640" t="s">
        <v>191</v>
      </c>
      <c r="C3640" s="10" t="s">
        <v>1813</v>
      </c>
      <c r="D3640" t="s">
        <v>40</v>
      </c>
      <c r="E3640">
        <v>104</v>
      </c>
      <c r="F3640" t="s">
        <v>120</v>
      </c>
      <c r="G3640" t="s">
        <v>562</v>
      </c>
      <c r="H3640">
        <v>23</v>
      </c>
      <c r="I3640" s="11">
        <f>$E3640+0</f>
        <v>104</v>
      </c>
      <c r="J3640" s="12">
        <v>14000</v>
      </c>
      <c r="K3640" s="13">
        <f>$E3640+1</f>
        <v>105</v>
      </c>
      <c r="L3640" s="14">
        <f>IF($J3640=0,0,ROUND(MAX($J3640*1.4,1620000*(1.497923^(MIN($E3640,123)-117)))*1,0))</f>
        <v>19600</v>
      </c>
      <c r="M3640" s="11">
        <f>$E3640+2</f>
        <v>106</v>
      </c>
      <c r="N3640" s="12">
        <f>IF($J3640=0,0,ROUND(MAX($J3640*1.4*1.5,2190000*(1.580994^(MIN($E3640,123)-117)))*1,0))</f>
        <v>29400</v>
      </c>
      <c r="O3640" s="13">
        <f>$E3640+4</f>
        <v>108</v>
      </c>
      <c r="P3640" s="14">
        <f>IF($J3640=0,0,ROUND(MAX($J3640*1.4*1.5*1.6,3500000*(1.57975^(MIN($E3640,123)-117)))*1,0))</f>
        <v>47040</v>
      </c>
      <c r="Q3640" s="11">
        <f>$E3640+6</f>
        <v>110</v>
      </c>
      <c r="R3640" s="12">
        <f>IF($J3640=0,0,ROUND(MAX($J3640*1.4*1.5*1.6*1.6,13100000*(1.429962^(MIN($E3640,123)-117)))*1,0))</f>
        <v>125329</v>
      </c>
      <c r="S3640" s="13">
        <f>$E3640+8</f>
        <v>112</v>
      </c>
      <c r="T3640" s="14">
        <f>IF($J3640=0,0,ROUND(MAX($J3640*1.4*1.5*1.6*1.6*2.2,42600000*(1.576904^(MIN($E3640,123)-117)))*1,0))</f>
        <v>165581</v>
      </c>
      <c r="U3640" s="11">
        <f>$E3640+11</f>
        <v>115</v>
      </c>
      <c r="V3640" s="12">
        <f>IF($J3640=0,0,ROUND(MAX($J3640*1.4*1.5*1.6*1.6*2.2*2.715,354000000*(1.642074^(MIN($E3640,123)-117)))*1,0))</f>
        <v>560916</v>
      </c>
      <c r="W3640" s="13">
        <f>$E3640+15</f>
        <v>119</v>
      </c>
      <c r="X3640" s="14">
        <f>IF($J3640=0,0,ROUND(MAX($J3640*1.4*1.5*1.6*1.6*2.2*2.715*2.6,3540000000*(1.579646^(MIN($E3640,123)-117)))*1,0))</f>
        <v>9283810</v>
      </c>
      <c r="Y3640" s="11">
        <f>$E3640+17</f>
        <v>121</v>
      </c>
      <c r="Z3640" s="12">
        <f>IF($J3640=0,0,ROUND(MAX($J3640*1.4*1.5*1.6*1.6*2.2*2.715*2.6*1.4,6020000000*(1.651178^(MIN($E3640,123)-117)))*1,0))</f>
        <v>8877197</v>
      </c>
      <c r="AA3640" s="13">
        <f>$E3640+19</f>
        <v>123</v>
      </c>
      <c r="AB3640" s="14">
        <f>IF($J3640=0,0,ROUND(MAX($J3640*1.4*1.5*1.6*1.6*2.2*2.715*2.6*1.4*1.4,8430000000*(1.651435^(MIN($E3640,123)-117)))*1,0))</f>
        <v>12405900</v>
      </c>
      <c r="AC3640" s="11">
        <f>$E3640+21</f>
        <v>125</v>
      </c>
      <c r="AD3640" s="12">
        <f>IF($J3640=0,0,ROUND(MAX($J3640*1.4*1.5*1.6*1.6*2.2*2.715*2.6*1.4*1.4*1.5,12600000000*(1.652953^(MIN($E3640,123)-117)))*1,0))</f>
        <v>18322468</v>
      </c>
      <c r="AE3640" s="13">
        <f>$E3640+24</f>
        <v>128</v>
      </c>
      <c r="AF3640" s="14">
        <f>IF($J3640=0,0,ROUND(MAX($J3640*1.4*1.5*1.6*1.6*2.2*2.715*2.6*1.4*1.4*1.5*1.5,18900000000*(1.65331^(MIN($E3640,123)-117)))*1,0))</f>
        <v>27406653</v>
      </c>
      <c r="AG3640" s="11">
        <f>$E3640+27</f>
        <v>131</v>
      </c>
      <c r="AH3640" s="12">
        <f>IF($J3640=0,0,ROUND(MAX($J3640*1.4*1.5*1.6*1.6*2.2*2.715*2.6*1.4*1.4*1.5*1.5*3.2,60500000000*(1.654288^(MIN($E3640,123)-117)))*1,0))</f>
        <v>87058428</v>
      </c>
    </row>
    <row r="3641" ht="28" customHeight="1" spans="1:34" x14ac:dyDescent="0.25">
      <c r="A3641">
        <v>3651</v>
      </c>
      <c r="B3641" t="s">
        <v>127</v>
      </c>
      <c r="C3641" s="10" t="s">
        <v>1813</v>
      </c>
      <c r="D3641" t="s">
        <v>33</v>
      </c>
      <c r="E3641">
        <v>104</v>
      </c>
      <c r="F3641" t="s">
        <v>71</v>
      </c>
      <c r="G3641" t="s">
        <v>562</v>
      </c>
      <c r="H3641">
        <v>23</v>
      </c>
      <c r="I3641" s="11">
        <f>$E3641+0</f>
        <v>104</v>
      </c>
      <c r="J3641" s="12">
        <v>18300</v>
      </c>
      <c r="K3641" s="13">
        <f>$E3641+1</f>
        <v>105</v>
      </c>
      <c r="L3641" s="14">
        <f>IF($J3641=0,0,ROUND(MAX($J3641*1.4,1620000*(1.497923^(MIN($E3641,123)-117)))*1,0))</f>
        <v>25620</v>
      </c>
      <c r="M3641" s="11">
        <f>$E3641+2</f>
        <v>106</v>
      </c>
      <c r="N3641" s="12">
        <f>IF($J3641=0,0,ROUND(MAX($J3641*1.4*1.5,2190000*(1.580994^(MIN($E3641,123)-117)))*1,0))</f>
        <v>38430</v>
      </c>
      <c r="O3641" s="13">
        <f>$E3641+4</f>
        <v>108</v>
      </c>
      <c r="P3641" s="14">
        <f>IF($J3641=0,0,ROUND(MAX($J3641*1.4*1.5*1.6,3500000*(1.57975^(MIN($E3641,123)-117)))*1,0))</f>
        <v>61488</v>
      </c>
      <c r="Q3641" s="11">
        <f>$E3641+6</f>
        <v>110</v>
      </c>
      <c r="R3641" s="12">
        <f>IF($J3641=0,0,ROUND(MAX($J3641*1.4*1.5*1.6*1.6,13100000*(1.429962^(MIN($E3641,123)-117)))*1,0))</f>
        <v>125329</v>
      </c>
      <c r="S3641" s="13">
        <f>$E3641+8</f>
        <v>112</v>
      </c>
      <c r="T3641" s="14">
        <f>IF($J3641=0,0,ROUND(MAX($J3641*1.4*1.5*1.6*1.6*2.2,42600000*(1.576904^(MIN($E3641,123)-117)))*1,0))</f>
        <v>216438</v>
      </c>
      <c r="U3641" s="11">
        <f>$E3641+11</f>
        <v>115</v>
      </c>
      <c r="V3641" s="12">
        <f>IF($J3641=0,0,ROUND(MAX($J3641*1.4*1.5*1.6*1.6*2.2*2.715,354000000*(1.642074^(MIN($E3641,123)-117)))*1,0))</f>
        <v>587629</v>
      </c>
      <c r="W3641" s="13">
        <f>$E3641+15</f>
        <v>119</v>
      </c>
      <c r="X3641" s="14">
        <f>IF($J3641=0,0,ROUND(MAX($J3641*1.4*1.5*1.6*1.6*2.2*2.715*2.6,3540000000*(1.579646^(MIN($E3641,123)-117)))*1,0))</f>
        <v>9283810</v>
      </c>
      <c r="Y3641" s="11">
        <f>$E3641+17</f>
        <v>121</v>
      </c>
      <c r="Z3641" s="12">
        <f>IF($J3641=0,0,ROUND(MAX($J3641*1.4*1.5*1.6*1.6*2.2*2.715*2.6*1.4,6020000000*(1.651178^(MIN($E3641,123)-117)))*1,0))</f>
        <v>8877197</v>
      </c>
      <c r="AA3641" s="13">
        <f>$E3641+19</f>
        <v>123</v>
      </c>
      <c r="AB3641" s="14">
        <f>IF($J3641=0,0,ROUND(MAX($J3641*1.4*1.5*1.6*1.6*2.2*2.715*2.6*1.4*1.4,8430000000*(1.651435^(MIN($E3641,123)-117)))*1,0))</f>
        <v>12405900</v>
      </c>
      <c r="AC3641" s="11">
        <f>$E3641+21</f>
        <v>125</v>
      </c>
      <c r="AD3641" s="12">
        <f>IF($J3641=0,0,ROUND(MAX($J3641*1.4*1.5*1.6*1.6*2.2*2.715*2.6*1.4*1.4*1.5,12600000000*(1.652953^(MIN($E3641,123)-117)))*1,0))</f>
        <v>18322468</v>
      </c>
      <c r="AE3641" s="13">
        <f>$E3641+24</f>
        <v>128</v>
      </c>
      <c r="AF3641" s="14">
        <f>IF($J3641=0,0,ROUND(MAX($J3641*1.4*1.5*1.6*1.6*2.2*2.715*2.6*1.4*1.4*1.5*1.5,18900000000*(1.65331^(MIN($E3641,123)-117)))*1,0))</f>
        <v>27406653</v>
      </c>
      <c r="AG3641" s="11">
        <f>$E3641+27</f>
        <v>131</v>
      </c>
      <c r="AH3641" s="12">
        <f>IF($J3641=0,0,ROUND(MAX($J3641*1.4*1.5*1.6*1.6*2.2*2.715*2.6*1.4*1.4*1.5*1.5*3.2,60500000000*(1.654288^(MIN($E3641,123)-117)))*1,0))</f>
        <v>87058428</v>
      </c>
    </row>
    <row r="3642" ht="28" customHeight="1" spans="1:34" x14ac:dyDescent="0.25">
      <c r="A3642">
        <v>3652</v>
      </c>
      <c r="B3642" t="s">
        <v>112</v>
      </c>
      <c r="C3642" s="10" t="s">
        <v>1813</v>
      </c>
      <c r="D3642" t="s">
        <v>40</v>
      </c>
      <c r="E3642">
        <v>104</v>
      </c>
      <c r="F3642" t="s">
        <v>42</v>
      </c>
      <c r="G3642" t="s">
        <v>562</v>
      </c>
      <c r="H3642">
        <v>23</v>
      </c>
      <c r="I3642" s="11">
        <f>$E3642+0</f>
        <v>104</v>
      </c>
      <c r="J3642" s="12">
        <v>8820</v>
      </c>
      <c r="K3642" s="13">
        <f>$E3642+1</f>
        <v>105</v>
      </c>
      <c r="L3642" s="14">
        <f>IF($J3642=0,0,ROUND(MAX($J3642*1.4,1620000*(1.497923^(MIN($E3642,123)-117)))*1,0))</f>
        <v>12348</v>
      </c>
      <c r="M3642" s="11">
        <f>$E3642+2</f>
        <v>106</v>
      </c>
      <c r="N3642" s="12">
        <f>IF($J3642=0,0,ROUND(MAX($J3642*1.4*1.5,2190000*(1.580994^(MIN($E3642,123)-117)))*1,0))</f>
        <v>18522</v>
      </c>
      <c r="O3642" s="13">
        <f>$E3642+4</f>
        <v>108</v>
      </c>
      <c r="P3642" s="14">
        <f>IF($J3642=0,0,ROUND(MAX($J3642*1.4*1.5*1.6,3500000*(1.57975^(MIN($E3642,123)-117)))*1,0))</f>
        <v>29635</v>
      </c>
      <c r="Q3642" s="11">
        <f>$E3642+6</f>
        <v>110</v>
      </c>
      <c r="R3642" s="12">
        <f>IF($J3642=0,0,ROUND(MAX($J3642*1.4*1.5*1.6*1.6,13100000*(1.429962^(MIN($E3642,123)-117)))*1,0))</f>
        <v>125329</v>
      </c>
      <c r="S3642" s="13">
        <f>$E3642+8</f>
        <v>112</v>
      </c>
      <c r="T3642" s="14">
        <f>IF($J3642=0,0,ROUND(MAX($J3642*1.4*1.5*1.6*1.6*2.2,42600000*(1.576904^(MIN($E3642,123)-117)))*1,0))</f>
        <v>114272</v>
      </c>
      <c r="U3642" s="11">
        <f>$E3642+11</f>
        <v>115</v>
      </c>
      <c r="V3642" s="12">
        <f>IF($J3642=0,0,ROUND(MAX($J3642*1.4*1.5*1.6*1.6*2.2*2.715,354000000*(1.642074^(MIN($E3642,123)-117)))*1,0))</f>
        <v>560916</v>
      </c>
      <c r="W3642" s="13">
        <f>$E3642+15</f>
        <v>119</v>
      </c>
      <c r="X3642" s="14">
        <f>IF($J3642=0,0,ROUND(MAX($J3642*1.4*1.5*1.6*1.6*2.2*2.715*2.6,3540000000*(1.579646^(MIN($E3642,123)-117)))*1,0))</f>
        <v>9283810</v>
      </c>
      <c r="Y3642" s="11">
        <f>$E3642+17</f>
        <v>121</v>
      </c>
      <c r="Z3642" s="12">
        <f>IF($J3642=0,0,ROUND(MAX($J3642*1.4*1.5*1.6*1.6*2.2*2.715*2.6*1.4,6020000000*(1.651178^(MIN($E3642,123)-117)))*1,0))</f>
        <v>8877197</v>
      </c>
      <c r="AA3642" s="13">
        <f>$E3642+19</f>
        <v>123</v>
      </c>
      <c r="AB3642" s="14">
        <f>IF($J3642=0,0,ROUND(MAX($J3642*1.4*1.5*1.6*1.6*2.2*2.715*2.6*1.4*1.4,8430000000*(1.651435^(MIN($E3642,123)-117)))*1,0))</f>
        <v>12405900</v>
      </c>
      <c r="AC3642" s="11">
        <f>$E3642+21</f>
        <v>125</v>
      </c>
      <c r="AD3642" s="12">
        <f>IF($J3642=0,0,ROUND(MAX($J3642*1.4*1.5*1.6*1.6*2.2*2.715*2.6*1.4*1.4*1.5,12600000000*(1.652953^(MIN($E3642,123)-117)))*1,0))</f>
        <v>18322468</v>
      </c>
      <c r="AE3642" s="13">
        <f>$E3642+24</f>
        <v>128</v>
      </c>
      <c r="AF3642" s="14">
        <f>IF($J3642=0,0,ROUND(MAX($J3642*1.4*1.5*1.6*1.6*2.2*2.715*2.6*1.4*1.4*1.5*1.5,18900000000*(1.65331^(MIN($E3642,123)-117)))*1,0))</f>
        <v>27406653</v>
      </c>
      <c r="AG3642" s="11">
        <f>$E3642+27</f>
        <v>131</v>
      </c>
      <c r="AH3642" s="12">
        <f>IF($J3642=0,0,ROUND(MAX($J3642*1.4*1.5*1.6*1.6*2.2*2.715*2.6*1.4*1.4*1.5*1.5*3.2,60500000000*(1.654288^(MIN($E3642,123)-117)))*1,0))</f>
        <v>87058428</v>
      </c>
    </row>
    <row r="3643" ht="28" customHeight="1" spans="1:34" x14ac:dyDescent="0.25">
      <c r="A3643">
        <v>3653</v>
      </c>
      <c r="B3643" t="s">
        <v>110</v>
      </c>
      <c r="C3643" s="10" t="s">
        <v>1813</v>
      </c>
      <c r="D3643" t="s">
        <v>64</v>
      </c>
      <c r="E3643">
        <v>104</v>
      </c>
      <c r="F3643" t="s">
        <v>59</v>
      </c>
      <c r="G3643" t="s">
        <v>562</v>
      </c>
      <c r="H3643">
        <v>23</v>
      </c>
      <c r="I3643" s="11">
        <f>$E3643+0</f>
        <v>104</v>
      </c>
      <c r="J3643" s="12">
        <v>19700</v>
      </c>
      <c r="K3643" s="13">
        <f>$E3643+1</f>
        <v>105</v>
      </c>
      <c r="L3643" s="14">
        <f>IF($J3643=0,0,ROUND(MAX($J3643*1.4,1620000*(1.497923^(MIN($E3643,123)-117)))*1,0))</f>
        <v>27580</v>
      </c>
      <c r="M3643" s="11">
        <f>$E3643+2</f>
        <v>106</v>
      </c>
      <c r="N3643" s="12">
        <f>IF($J3643=0,0,ROUND(MAX($J3643*1.4*1.5,2190000*(1.580994^(MIN($E3643,123)-117)))*1,0))</f>
        <v>41370</v>
      </c>
      <c r="O3643" s="13">
        <f>$E3643+4</f>
        <v>108</v>
      </c>
      <c r="P3643" s="14">
        <f>IF($J3643=0,0,ROUND(MAX($J3643*1.4*1.5*1.6,3500000*(1.57975^(MIN($E3643,123)-117)))*1,0))</f>
        <v>66192</v>
      </c>
      <c r="Q3643" s="11">
        <f>$E3643+6</f>
        <v>110</v>
      </c>
      <c r="R3643" s="12">
        <f>IF($J3643=0,0,ROUND(MAX($J3643*1.4*1.5*1.6*1.6,13100000*(1.429962^(MIN($E3643,123)-117)))*1,0))</f>
        <v>125329</v>
      </c>
      <c r="S3643" s="13">
        <f>$E3643+8</f>
        <v>112</v>
      </c>
      <c r="T3643" s="14">
        <f>IF($J3643=0,0,ROUND(MAX($J3643*1.4*1.5*1.6*1.6*2.2,42600000*(1.576904^(MIN($E3643,123)-117)))*1,0))</f>
        <v>232996</v>
      </c>
      <c r="U3643" s="11">
        <f>$E3643+11</f>
        <v>115</v>
      </c>
      <c r="V3643" s="12">
        <f>IF($J3643=0,0,ROUND(MAX($J3643*1.4*1.5*1.6*1.6*2.2*2.715,354000000*(1.642074^(MIN($E3643,123)-117)))*1,0))</f>
        <v>632584</v>
      </c>
      <c r="W3643" s="13">
        <f>$E3643+15</f>
        <v>119</v>
      </c>
      <c r="X3643" s="14">
        <f>IF($J3643=0,0,ROUND(MAX($J3643*1.4*1.5*1.6*1.6*2.2*2.715*2.6,3540000000*(1.579646^(MIN($E3643,123)-117)))*1,0))</f>
        <v>9283810</v>
      </c>
      <c r="Y3643" s="11">
        <f>$E3643+17</f>
        <v>121</v>
      </c>
      <c r="Z3643" s="12">
        <f>IF($J3643=0,0,ROUND(MAX($J3643*1.4*1.5*1.6*1.6*2.2*2.715*2.6*1.4,6020000000*(1.651178^(MIN($E3643,123)-117)))*1,0))</f>
        <v>8877197</v>
      </c>
      <c r="AA3643" s="13">
        <f>$E3643+19</f>
        <v>123</v>
      </c>
      <c r="AB3643" s="14">
        <f>IF($J3643=0,0,ROUND(MAX($J3643*1.4*1.5*1.6*1.6*2.2*2.715*2.6*1.4*1.4,8430000000*(1.651435^(MIN($E3643,123)-117)))*1,0))</f>
        <v>12405900</v>
      </c>
      <c r="AC3643" s="11">
        <f>$E3643+21</f>
        <v>125</v>
      </c>
      <c r="AD3643" s="12">
        <f>IF($J3643=0,0,ROUND(MAX($J3643*1.4*1.5*1.6*1.6*2.2*2.715*2.6*1.4*1.4*1.5,12600000000*(1.652953^(MIN($E3643,123)-117)))*1,0))</f>
        <v>18322468</v>
      </c>
      <c r="AE3643" s="13">
        <f>$E3643+24</f>
        <v>128</v>
      </c>
      <c r="AF3643" s="14">
        <f>IF($J3643=0,0,ROUND(MAX($J3643*1.4*1.5*1.6*1.6*2.2*2.715*2.6*1.4*1.4*1.5*1.5,18900000000*(1.65331^(MIN($E3643,123)-117)))*1,0))</f>
        <v>27406653</v>
      </c>
      <c r="AG3643" s="11">
        <f>$E3643+27</f>
        <v>131</v>
      </c>
      <c r="AH3643" s="12">
        <f>IF($J3643=0,0,ROUND(MAX($J3643*1.4*1.5*1.6*1.6*2.2*2.715*2.6*1.4*1.4*1.5*1.5*3.2,60500000000*(1.654288^(MIN($E3643,123)-117)))*1,0))</f>
        <v>87058428</v>
      </c>
    </row>
    <row r="3644" ht="28" customHeight="1" spans="1:34" x14ac:dyDescent="0.25">
      <c r="A3644">
        <v>3654</v>
      </c>
      <c r="B3644" t="s">
        <v>94</v>
      </c>
      <c r="C3644" s="10" t="s">
        <v>1813</v>
      </c>
      <c r="D3644" t="s">
        <v>25</v>
      </c>
      <c r="E3644">
        <v>104</v>
      </c>
      <c r="F3644" t="s">
        <v>42</v>
      </c>
      <c r="G3644" t="s">
        <v>562</v>
      </c>
      <c r="H3644">
        <v>23</v>
      </c>
      <c r="I3644" s="11">
        <f>$E3644+0</f>
        <v>104</v>
      </c>
      <c r="J3644" s="12">
        <v>14900</v>
      </c>
      <c r="K3644" s="13">
        <f>$E3644+1</f>
        <v>105</v>
      </c>
      <c r="L3644" s="14">
        <f>IF($J3644=0,0,ROUND(MAX($J3644*1.4,1620000*(1.497923^(MIN($E3644,123)-117)))*1,0))</f>
        <v>20860</v>
      </c>
      <c r="M3644" s="11">
        <f>$E3644+2</f>
        <v>106</v>
      </c>
      <c r="N3644" s="12">
        <f>IF($J3644=0,0,ROUND(MAX($J3644*1.4*1.5,2190000*(1.580994^(MIN($E3644,123)-117)))*1,0))</f>
        <v>31290</v>
      </c>
      <c r="O3644" s="13">
        <f>$E3644+4</f>
        <v>108</v>
      </c>
      <c r="P3644" s="14">
        <f>IF($J3644=0,0,ROUND(MAX($J3644*1.4*1.5*1.6,3500000*(1.57975^(MIN($E3644,123)-117)))*1,0))</f>
        <v>50064</v>
      </c>
      <c r="Q3644" s="11">
        <f>$E3644+6</f>
        <v>110</v>
      </c>
      <c r="R3644" s="12">
        <f>IF($J3644=0,0,ROUND(MAX($J3644*1.4*1.5*1.6*1.6,13100000*(1.429962^(MIN($E3644,123)-117)))*1,0))</f>
        <v>125329</v>
      </c>
      <c r="S3644" s="13">
        <f>$E3644+8</f>
        <v>112</v>
      </c>
      <c r="T3644" s="14">
        <f>IF($J3644=0,0,ROUND(MAX($J3644*1.4*1.5*1.6*1.6*2.2,42600000*(1.576904^(MIN($E3644,123)-117)))*1,0))</f>
        <v>176225</v>
      </c>
      <c r="U3644" s="11">
        <f>$E3644+11</f>
        <v>115</v>
      </c>
      <c r="V3644" s="12">
        <f>IF($J3644=0,0,ROUND(MAX($J3644*1.4*1.5*1.6*1.6*2.2*2.715,354000000*(1.642074^(MIN($E3644,123)-117)))*1,0))</f>
        <v>560916</v>
      </c>
      <c r="W3644" s="13">
        <f>$E3644+15</f>
        <v>119</v>
      </c>
      <c r="X3644" s="14">
        <f>IF($J3644=0,0,ROUND(MAX($J3644*1.4*1.5*1.6*1.6*2.2*2.715*2.6,3540000000*(1.579646^(MIN($E3644,123)-117)))*1,0))</f>
        <v>9283810</v>
      </c>
      <c r="Y3644" s="11">
        <f>$E3644+17</f>
        <v>121</v>
      </c>
      <c r="Z3644" s="12">
        <f>IF($J3644=0,0,ROUND(MAX($J3644*1.4*1.5*1.6*1.6*2.2*2.715*2.6*1.4,6020000000*(1.651178^(MIN($E3644,123)-117)))*1,0))</f>
        <v>8877197</v>
      </c>
      <c r="AA3644" s="13">
        <f>$E3644+19</f>
        <v>123</v>
      </c>
      <c r="AB3644" s="14">
        <f>IF($J3644=0,0,ROUND(MAX($J3644*1.4*1.5*1.6*1.6*2.2*2.715*2.6*1.4*1.4,8430000000*(1.651435^(MIN($E3644,123)-117)))*1,0))</f>
        <v>12405900</v>
      </c>
      <c r="AC3644" s="11">
        <f>$E3644+21</f>
        <v>125</v>
      </c>
      <c r="AD3644" s="12">
        <f>IF($J3644=0,0,ROUND(MAX($J3644*1.4*1.5*1.6*1.6*2.2*2.715*2.6*1.4*1.4*1.5,12600000000*(1.652953^(MIN($E3644,123)-117)))*1,0))</f>
        <v>18322468</v>
      </c>
      <c r="AE3644" s="13">
        <f>$E3644+24</f>
        <v>128</v>
      </c>
      <c r="AF3644" s="14">
        <f>IF($J3644=0,0,ROUND(MAX($J3644*1.4*1.5*1.6*1.6*2.2*2.715*2.6*1.4*1.4*1.5*1.5,18900000000*(1.65331^(MIN($E3644,123)-117)))*1,0))</f>
        <v>27406653</v>
      </c>
      <c r="AG3644" s="11">
        <f>$E3644+27</f>
        <v>131</v>
      </c>
      <c r="AH3644" s="12">
        <f>IF($J3644=0,0,ROUND(MAX($J3644*1.4*1.5*1.6*1.6*2.2*2.715*2.6*1.4*1.4*1.5*1.5*3.2,60500000000*(1.654288^(MIN($E3644,123)-117)))*1,0))</f>
        <v>87058428</v>
      </c>
    </row>
    <row r="3645" ht="28" customHeight="1" spans="1:34" x14ac:dyDescent="0.25">
      <c r="A3645">
        <v>3655</v>
      </c>
      <c r="B3645" t="s">
        <v>138</v>
      </c>
      <c r="C3645" s="10" t="s">
        <v>1813</v>
      </c>
      <c r="D3645" t="s">
        <v>25</v>
      </c>
      <c r="E3645">
        <v>104</v>
      </c>
      <c r="F3645" t="s">
        <v>34</v>
      </c>
      <c r="G3645" t="s">
        <v>562</v>
      </c>
      <c r="H3645">
        <v>23</v>
      </c>
      <c r="I3645" s="11">
        <f>$E3645+0</f>
        <v>104</v>
      </c>
      <c r="J3645" s="12">
        <v>22100</v>
      </c>
      <c r="K3645" s="13">
        <f>$E3645+1</f>
        <v>105</v>
      </c>
      <c r="L3645" s="14">
        <f>IF($J3645=0,0,ROUND(MAX($J3645*1.4,1620000*(1.497923^(MIN($E3645,123)-117)))*1,0))</f>
        <v>30940</v>
      </c>
      <c r="M3645" s="11">
        <f>$E3645+2</f>
        <v>106</v>
      </c>
      <c r="N3645" s="12">
        <f>IF($J3645=0,0,ROUND(MAX($J3645*1.4*1.5,2190000*(1.580994^(MIN($E3645,123)-117)))*1,0))</f>
        <v>46410</v>
      </c>
      <c r="O3645" s="13">
        <f>$E3645+4</f>
        <v>108</v>
      </c>
      <c r="P3645" s="14">
        <f>IF($J3645=0,0,ROUND(MAX($J3645*1.4*1.5*1.6,3500000*(1.57975^(MIN($E3645,123)-117)))*1,0))</f>
        <v>74256</v>
      </c>
      <c r="Q3645" s="11">
        <f>$E3645+6</f>
        <v>110</v>
      </c>
      <c r="R3645" s="12">
        <f>IF($J3645=0,0,ROUND(MAX($J3645*1.4*1.5*1.6*1.6,13100000*(1.429962^(MIN($E3645,123)-117)))*1,0))</f>
        <v>125329</v>
      </c>
      <c r="S3645" s="13">
        <f>$E3645+8</f>
        <v>112</v>
      </c>
      <c r="T3645" s="14">
        <f>IF($J3645=0,0,ROUND(MAX($J3645*1.4*1.5*1.6*1.6*2.2,42600000*(1.576904^(MIN($E3645,123)-117)))*1,0))</f>
        <v>261381</v>
      </c>
      <c r="U3645" s="11">
        <f>$E3645+11</f>
        <v>115</v>
      </c>
      <c r="V3645" s="12">
        <f>IF($J3645=0,0,ROUND(MAX($J3645*1.4*1.5*1.6*1.6*2.2*2.715,354000000*(1.642074^(MIN($E3645,123)-117)))*1,0))</f>
        <v>709650</v>
      </c>
      <c r="W3645" s="13">
        <f>$E3645+15</f>
        <v>119</v>
      </c>
      <c r="X3645" s="14">
        <f>IF($J3645=0,0,ROUND(MAX($J3645*1.4*1.5*1.6*1.6*2.2*2.715*2.6,3540000000*(1.579646^(MIN($E3645,123)-117)))*1,0))</f>
        <v>9283810</v>
      </c>
      <c r="Y3645" s="11">
        <f>$E3645+17</f>
        <v>121</v>
      </c>
      <c r="Z3645" s="12">
        <f>IF($J3645=0,0,ROUND(MAX($J3645*1.4*1.5*1.6*1.6*2.2*2.715*2.6*1.4,6020000000*(1.651178^(MIN($E3645,123)-117)))*1,0))</f>
        <v>8877197</v>
      </c>
      <c r="AA3645" s="13">
        <f>$E3645+19</f>
        <v>123</v>
      </c>
      <c r="AB3645" s="14">
        <f>IF($J3645=0,0,ROUND(MAX($J3645*1.4*1.5*1.6*1.6*2.2*2.715*2.6*1.4*1.4,8430000000*(1.651435^(MIN($E3645,123)-117)))*1,0))</f>
        <v>12405900</v>
      </c>
      <c r="AC3645" s="11">
        <f>$E3645+21</f>
        <v>125</v>
      </c>
      <c r="AD3645" s="12">
        <f>IF($J3645=0,0,ROUND(MAX($J3645*1.4*1.5*1.6*1.6*2.2*2.715*2.6*1.4*1.4*1.5,12600000000*(1.652953^(MIN($E3645,123)-117)))*1,0))</f>
        <v>18322468</v>
      </c>
      <c r="AE3645" s="13">
        <f>$E3645+24</f>
        <v>128</v>
      </c>
      <c r="AF3645" s="14">
        <f>IF($J3645=0,0,ROUND(MAX($J3645*1.4*1.5*1.6*1.6*2.2*2.715*2.6*1.4*1.4*1.5*1.5,18900000000*(1.65331^(MIN($E3645,123)-117)))*1,0))</f>
        <v>27406653</v>
      </c>
      <c r="AG3645" s="11">
        <f>$E3645+27</f>
        <v>131</v>
      </c>
      <c r="AH3645" s="12">
        <f>IF($J3645=0,0,ROUND(MAX($J3645*1.4*1.5*1.6*1.6*2.2*2.715*2.6*1.4*1.4*1.5*1.5*3.2,60500000000*(1.654288^(MIN($E3645,123)-117)))*1,0))</f>
        <v>87058428</v>
      </c>
    </row>
    <row r="3646" ht="28" customHeight="1" spans="1:34" x14ac:dyDescent="0.25">
      <c r="A3646">
        <v>3656</v>
      </c>
      <c r="B3646" t="s">
        <v>100</v>
      </c>
      <c r="C3646" s="10" t="s">
        <v>1813</v>
      </c>
      <c r="D3646" t="s">
        <v>33</v>
      </c>
      <c r="E3646">
        <v>104</v>
      </c>
      <c r="F3646" t="s">
        <v>62</v>
      </c>
      <c r="G3646" t="s">
        <v>562</v>
      </c>
      <c r="H3646">
        <v>23</v>
      </c>
      <c r="I3646" s="11">
        <f>$E3646+0</f>
        <v>104</v>
      </c>
      <c r="J3646" s="12">
        <v>8070</v>
      </c>
      <c r="K3646" s="13">
        <f>$E3646+1</f>
        <v>105</v>
      </c>
      <c r="L3646" s="14">
        <f>IF($J3646=0,0,ROUND(MAX($J3646*1.4,1620000*(1.497923^(MIN($E3646,123)-117)))*1,0))</f>
        <v>11298</v>
      </c>
      <c r="M3646" s="11">
        <f>$E3646+2</f>
        <v>106</v>
      </c>
      <c r="N3646" s="12">
        <f>IF($J3646=0,0,ROUND(MAX($J3646*1.4*1.5,2190000*(1.580994^(MIN($E3646,123)-117)))*1,0))</f>
        <v>16947</v>
      </c>
      <c r="O3646" s="13">
        <f>$E3646+4</f>
        <v>108</v>
      </c>
      <c r="P3646" s="14">
        <f>IF($J3646=0,0,ROUND(MAX($J3646*1.4*1.5*1.6,3500000*(1.57975^(MIN($E3646,123)-117)))*1,0))</f>
        <v>27115</v>
      </c>
      <c r="Q3646" s="11">
        <f>$E3646+6</f>
        <v>110</v>
      </c>
      <c r="R3646" s="12">
        <f>IF($J3646=0,0,ROUND(MAX($J3646*1.4*1.5*1.6*1.6,13100000*(1.429962^(MIN($E3646,123)-117)))*1,0))</f>
        <v>125329</v>
      </c>
      <c r="S3646" s="13">
        <f>$E3646+8</f>
        <v>112</v>
      </c>
      <c r="T3646" s="14">
        <f>IF($J3646=0,0,ROUND(MAX($J3646*1.4*1.5*1.6*1.6*2.2,42600000*(1.576904^(MIN($E3646,123)-117)))*1,0))</f>
        <v>114272</v>
      </c>
      <c r="U3646" s="11">
        <f>$E3646+11</f>
        <v>115</v>
      </c>
      <c r="V3646" s="12">
        <f>IF($J3646=0,0,ROUND(MAX($J3646*1.4*1.5*1.6*1.6*2.2*2.715,354000000*(1.642074^(MIN($E3646,123)-117)))*1,0))</f>
        <v>560916</v>
      </c>
      <c r="W3646" s="13">
        <f>$E3646+15</f>
        <v>119</v>
      </c>
      <c r="X3646" s="14">
        <f>IF($J3646=0,0,ROUND(MAX($J3646*1.4*1.5*1.6*1.6*2.2*2.715*2.6,3540000000*(1.579646^(MIN($E3646,123)-117)))*1,0))</f>
        <v>9283810</v>
      </c>
      <c r="Y3646" s="11">
        <f>$E3646+17</f>
        <v>121</v>
      </c>
      <c r="Z3646" s="12">
        <f>IF($J3646=0,0,ROUND(MAX($J3646*1.4*1.5*1.6*1.6*2.2*2.715*2.6*1.4,6020000000*(1.651178^(MIN($E3646,123)-117)))*1,0))</f>
        <v>8877197</v>
      </c>
      <c r="AA3646" s="13">
        <f>$E3646+19</f>
        <v>123</v>
      </c>
      <c r="AB3646" s="14">
        <f>IF($J3646=0,0,ROUND(MAX($J3646*1.4*1.5*1.6*1.6*2.2*2.715*2.6*1.4*1.4,8430000000*(1.651435^(MIN($E3646,123)-117)))*1,0))</f>
        <v>12405900</v>
      </c>
      <c r="AC3646" s="11">
        <f>$E3646+21</f>
        <v>125</v>
      </c>
      <c r="AD3646" s="12">
        <f>IF($J3646=0,0,ROUND(MAX($J3646*1.4*1.5*1.6*1.6*2.2*2.715*2.6*1.4*1.4*1.5,12600000000*(1.652953^(MIN($E3646,123)-117)))*1,0))</f>
        <v>18322468</v>
      </c>
      <c r="AE3646" s="13">
        <f>$E3646+24</f>
        <v>128</v>
      </c>
      <c r="AF3646" s="14">
        <f>IF($J3646=0,0,ROUND(MAX($J3646*1.4*1.5*1.6*1.6*2.2*2.715*2.6*1.4*1.4*1.5*1.5,18900000000*(1.65331^(MIN($E3646,123)-117)))*1,0))</f>
        <v>27406653</v>
      </c>
      <c r="AG3646" s="11">
        <f>$E3646+27</f>
        <v>131</v>
      </c>
      <c r="AH3646" s="12">
        <f>IF($J3646=0,0,ROUND(MAX($J3646*1.4*1.5*1.6*1.6*2.2*2.715*2.6*1.4*1.4*1.5*1.5*3.2,60500000000*(1.654288^(MIN($E3646,123)-117)))*1,0))</f>
        <v>87058428</v>
      </c>
    </row>
    <row r="3647" ht="28" customHeight="1" spans="1:34" x14ac:dyDescent="0.25">
      <c r="A3647">
        <v>3657</v>
      </c>
      <c r="B3647" t="s">
        <v>83</v>
      </c>
      <c r="C3647" s="10" t="s">
        <v>1813</v>
      </c>
      <c r="D3647" t="s">
        <v>33</v>
      </c>
      <c r="E3647">
        <v>104</v>
      </c>
      <c r="F3647" t="s">
        <v>62</v>
      </c>
      <c r="G3647" t="s">
        <v>562</v>
      </c>
      <c r="H3647">
        <v>23</v>
      </c>
      <c r="I3647" s="11">
        <f>$E3647+0</f>
        <v>104</v>
      </c>
      <c r="J3647" s="12">
        <v>11400</v>
      </c>
      <c r="K3647" s="13">
        <f>$E3647+1</f>
        <v>105</v>
      </c>
      <c r="L3647" s="14">
        <f>IF($J3647=0,0,ROUND(MAX($J3647*1.4,1620000*(1.497923^(MIN($E3647,123)-117)))*1,0))</f>
        <v>15960</v>
      </c>
      <c r="M3647" s="11">
        <f>$E3647+2</f>
        <v>106</v>
      </c>
      <c r="N3647" s="12">
        <f>IF($J3647=0,0,ROUND(MAX($J3647*1.4*1.5,2190000*(1.580994^(MIN($E3647,123)-117)))*1,0))</f>
        <v>23940</v>
      </c>
      <c r="O3647" s="13">
        <f>$E3647+4</f>
        <v>108</v>
      </c>
      <c r="P3647" s="14">
        <f>IF($J3647=0,0,ROUND(MAX($J3647*1.4*1.5*1.6,3500000*(1.57975^(MIN($E3647,123)-117)))*1,0))</f>
        <v>38304</v>
      </c>
      <c r="Q3647" s="11">
        <f>$E3647+6</f>
        <v>110</v>
      </c>
      <c r="R3647" s="12">
        <f>IF($J3647=0,0,ROUND(MAX($J3647*1.4*1.5*1.6*1.6,13100000*(1.429962^(MIN($E3647,123)-117)))*1,0))</f>
        <v>125329</v>
      </c>
      <c r="S3647" s="13">
        <f>$E3647+8</f>
        <v>112</v>
      </c>
      <c r="T3647" s="14">
        <f>IF($J3647=0,0,ROUND(MAX($J3647*1.4*1.5*1.6*1.6*2.2,42600000*(1.576904^(MIN($E3647,123)-117)))*1,0))</f>
        <v>134830</v>
      </c>
      <c r="U3647" s="11">
        <f>$E3647+11</f>
        <v>115</v>
      </c>
      <c r="V3647" s="12">
        <f>IF($J3647=0,0,ROUND(MAX($J3647*1.4*1.5*1.6*1.6*2.2*2.715,354000000*(1.642074^(MIN($E3647,123)-117)))*1,0))</f>
        <v>560916</v>
      </c>
      <c r="W3647" s="13">
        <f>$E3647+15</f>
        <v>119</v>
      </c>
      <c r="X3647" s="14">
        <f>IF($J3647=0,0,ROUND(MAX($J3647*1.4*1.5*1.6*1.6*2.2*2.715*2.6,3540000000*(1.579646^(MIN($E3647,123)-117)))*1,0))</f>
        <v>9283810</v>
      </c>
      <c r="Y3647" s="11">
        <f>$E3647+17</f>
        <v>121</v>
      </c>
      <c r="Z3647" s="12">
        <f>IF($J3647=0,0,ROUND(MAX($J3647*1.4*1.5*1.6*1.6*2.2*2.715*2.6*1.4,6020000000*(1.651178^(MIN($E3647,123)-117)))*1,0))</f>
        <v>8877197</v>
      </c>
      <c r="AA3647" s="13">
        <f>$E3647+19</f>
        <v>123</v>
      </c>
      <c r="AB3647" s="14">
        <f>IF($J3647=0,0,ROUND(MAX($J3647*1.4*1.5*1.6*1.6*2.2*2.715*2.6*1.4*1.4,8430000000*(1.651435^(MIN($E3647,123)-117)))*1,0))</f>
        <v>12405900</v>
      </c>
      <c r="AC3647" s="11">
        <f>$E3647+21</f>
        <v>125</v>
      </c>
      <c r="AD3647" s="12">
        <f>IF($J3647=0,0,ROUND(MAX($J3647*1.4*1.5*1.6*1.6*2.2*2.715*2.6*1.4*1.4*1.5,12600000000*(1.652953^(MIN($E3647,123)-117)))*1,0))</f>
        <v>18322468</v>
      </c>
      <c r="AE3647" s="13">
        <f>$E3647+24</f>
        <v>128</v>
      </c>
      <c r="AF3647" s="14">
        <f>IF($J3647=0,0,ROUND(MAX($J3647*1.4*1.5*1.6*1.6*2.2*2.715*2.6*1.4*1.4*1.5*1.5,18900000000*(1.65331^(MIN($E3647,123)-117)))*1,0))</f>
        <v>27406653</v>
      </c>
      <c r="AG3647" s="11">
        <f>$E3647+27</f>
        <v>131</v>
      </c>
      <c r="AH3647" s="12">
        <f>IF($J3647=0,0,ROUND(MAX($J3647*1.4*1.5*1.6*1.6*2.2*2.715*2.6*1.4*1.4*1.5*1.5*3.2,60500000000*(1.654288^(MIN($E3647,123)-117)))*1,0))</f>
        <v>87058428</v>
      </c>
    </row>
    <row r="3648" ht="28" customHeight="1" spans="1:34" x14ac:dyDescent="0.25">
      <c r="A3648">
        <v>3658</v>
      </c>
      <c r="B3648" t="s">
        <v>1064</v>
      </c>
      <c r="C3648" s="10" t="s">
        <v>1813</v>
      </c>
      <c r="D3648" t="s">
        <v>25</v>
      </c>
      <c r="E3648">
        <v>104</v>
      </c>
      <c r="F3648" t="s">
        <v>132</v>
      </c>
      <c r="G3648" t="s">
        <v>562</v>
      </c>
      <c r="H3648">
        <v>22</v>
      </c>
      <c r="I3648" s="11">
        <f>$E3648+0</f>
        <v>104</v>
      </c>
      <c r="J3648" s="12">
        <v>16400</v>
      </c>
      <c r="K3648" s="13">
        <f>$E3648+1</f>
        <v>105</v>
      </c>
      <c r="L3648" s="14">
        <f>IF($J3648=0,0,ROUND(MAX($J3648*1.4,1620000*(1.497923^(MIN($E3648,123)-117)))*1,0))</f>
        <v>22960</v>
      </c>
      <c r="M3648" s="11">
        <f>$E3648+2</f>
        <v>106</v>
      </c>
      <c r="N3648" s="12">
        <f>IF($J3648=0,0,ROUND(MAX($J3648*1.4*1.5,2190000*(1.580994^(MIN($E3648,123)-117)))*1,0))</f>
        <v>34440</v>
      </c>
      <c r="O3648" s="13">
        <f>$E3648+4</f>
        <v>108</v>
      </c>
      <c r="P3648" s="14">
        <f>IF($J3648=0,0,ROUND(MAX($J3648*1.4*1.5*1.6,3500000*(1.57975^(MIN($E3648,123)-117)))*1,0))</f>
        <v>55104</v>
      </c>
      <c r="Q3648" s="11">
        <f>$E3648+6</f>
        <v>110</v>
      </c>
      <c r="R3648" s="12">
        <f>IF($J3648=0,0,ROUND(MAX($J3648*1.4*1.5*1.6*1.6,13100000*(1.429962^(MIN($E3648,123)-117)))*1,0))</f>
        <v>125329</v>
      </c>
      <c r="S3648" s="13">
        <f>$E3648+8</f>
        <v>112</v>
      </c>
      <c r="T3648" s="14">
        <f>IF($J3648=0,0,ROUND(MAX($J3648*1.4*1.5*1.6*1.6*2.2,42600000*(1.576904^(MIN($E3648,123)-117)))*1,0))</f>
        <v>193966</v>
      </c>
      <c r="U3648" s="11">
        <f>$E3648+11</f>
        <v>115</v>
      </c>
      <c r="V3648" s="12">
        <f>IF($J3648=0,0,ROUND(MAX($J3648*1.4*1.5*1.6*1.6*2.2*2.715,354000000*(1.642074^(MIN($E3648,123)-117)))*1,0))</f>
        <v>560916</v>
      </c>
      <c r="W3648" s="13">
        <f>$E3648+15</f>
        <v>119</v>
      </c>
      <c r="X3648" s="14">
        <f>IF($J3648=0,0,ROUND(MAX($J3648*1.4*1.5*1.6*1.6*2.2*2.715*2.6,3540000000*(1.579646^(MIN($E3648,123)-117)))*1,0))</f>
        <v>9283810</v>
      </c>
      <c r="Y3648" s="11">
        <f>$E3648+17</f>
        <v>121</v>
      </c>
      <c r="Z3648" s="12">
        <f>IF($J3648=0,0,ROUND(MAX($J3648*1.4*1.5*1.6*1.6*2.2*2.715*2.6*1.4,6020000000*(1.651178^(MIN($E3648,123)-117)))*1,0))</f>
        <v>8877197</v>
      </c>
      <c r="AA3648" s="13">
        <f>$E3648+19</f>
        <v>123</v>
      </c>
      <c r="AB3648" s="14">
        <f>IF($J3648=0,0,ROUND(MAX($J3648*1.4*1.5*1.6*1.6*2.2*2.715*2.6*1.4*1.4,8430000000*(1.651435^(MIN($E3648,123)-117)))*1,0))</f>
        <v>12405900</v>
      </c>
      <c r="AC3648" s="11">
        <f>$E3648+21</f>
        <v>125</v>
      </c>
      <c r="AD3648" s="12">
        <f>IF($J3648=0,0,ROUND(MAX($J3648*1.4*1.5*1.6*1.6*2.2*2.715*2.6*1.4*1.4*1.5,12600000000*(1.652953^(MIN($E3648,123)-117)))*1,0))</f>
        <v>18322468</v>
      </c>
      <c r="AE3648" s="13">
        <f>$E3648+24</f>
        <v>128</v>
      </c>
      <c r="AF3648" s="14">
        <f>IF($J3648=0,0,ROUND(MAX($J3648*1.4*1.5*1.6*1.6*2.2*2.715*2.6*1.4*1.4*1.5*1.5,18900000000*(1.65331^(MIN($E3648,123)-117)))*1,0))</f>
        <v>27406653</v>
      </c>
      <c r="AG3648" s="11">
        <f>$E3648+27</f>
        <v>131</v>
      </c>
      <c r="AH3648" s="12">
        <f>IF($J3648=0,0,ROUND(MAX($J3648*1.4*1.5*1.6*1.6*2.2*2.715*2.6*1.4*1.4*1.5*1.5*3.2,60500000000*(1.654288^(MIN($E3648,123)-117)))*1,0))</f>
        <v>87058428</v>
      </c>
    </row>
    <row r="3649" ht="28" customHeight="1" spans="1:34" x14ac:dyDescent="0.25">
      <c r="A3649">
        <v>3659</v>
      </c>
      <c r="B3649" t="s">
        <v>1124</v>
      </c>
      <c r="C3649" s="10" t="s">
        <v>1813</v>
      </c>
      <c r="D3649" t="s">
        <v>64</v>
      </c>
      <c r="E3649">
        <v>104</v>
      </c>
      <c r="F3649" t="s">
        <v>71</v>
      </c>
      <c r="G3649" t="s">
        <v>562</v>
      </c>
      <c r="H3649">
        <v>22</v>
      </c>
      <c r="I3649" s="11">
        <f>$E3649+0</f>
        <v>104</v>
      </c>
      <c r="J3649" s="12">
        <v>60000</v>
      </c>
      <c r="K3649" s="13">
        <f>$E3649+1</f>
        <v>105</v>
      </c>
      <c r="L3649" s="14">
        <f>IF($J3649=0,0,ROUND(MAX($J3649*1.4,1620000*(1.497923^(MIN($E3649,123)-117)))*1,0))</f>
        <v>84000</v>
      </c>
      <c r="M3649" s="11">
        <f>$E3649+2</f>
        <v>106</v>
      </c>
      <c r="N3649" s="12">
        <f>IF($J3649=0,0,ROUND(MAX($J3649*1.4*1.5,2190000*(1.580994^(MIN($E3649,123)-117)))*1,0))</f>
        <v>126000</v>
      </c>
      <c r="O3649" s="13">
        <f>$E3649+4</f>
        <v>108</v>
      </c>
      <c r="P3649" s="14">
        <f>IF($J3649=0,0,ROUND(MAX($J3649*1.4*1.5*1.6,3500000*(1.57975^(MIN($E3649,123)-117)))*1,0))</f>
        <v>201600</v>
      </c>
      <c r="Q3649" s="11">
        <f>$E3649+6</f>
        <v>110</v>
      </c>
      <c r="R3649" s="12">
        <f>IF($J3649=0,0,ROUND(MAX($J3649*1.4*1.5*1.6*1.6,13100000*(1.429962^(MIN($E3649,123)-117)))*1,0))</f>
        <v>322560</v>
      </c>
      <c r="S3649" s="13">
        <f>$E3649+8</f>
        <v>112</v>
      </c>
      <c r="T3649" s="14">
        <f>IF($J3649=0,0,ROUND(MAX($J3649*1.4*1.5*1.6*1.6*2.2,42600000*(1.576904^(MIN($E3649,123)-117)))*1,0))</f>
        <v>709632</v>
      </c>
      <c r="U3649" s="11">
        <f>$E3649+11</f>
        <v>115</v>
      </c>
      <c r="V3649" s="12">
        <f>IF($J3649=0,0,ROUND(MAX($J3649*1.4*1.5*1.6*1.6*2.2*2.715,354000000*(1.642074^(MIN($E3649,123)-117)))*1,0))</f>
        <v>1926651</v>
      </c>
      <c r="W3649" s="13">
        <f>$E3649+15</f>
        <v>119</v>
      </c>
      <c r="X3649" s="14">
        <f>IF($J3649=0,0,ROUND(MAX($J3649*1.4*1.5*1.6*1.6*2.2*2.715*2.6,3540000000*(1.579646^(MIN($E3649,123)-117)))*1,0))</f>
        <v>9283810</v>
      </c>
      <c r="Y3649" s="11">
        <f>$E3649+17</f>
        <v>121</v>
      </c>
      <c r="Z3649" s="12">
        <f>IF($J3649=0,0,ROUND(MAX($J3649*1.4*1.5*1.6*1.6*2.2*2.715*2.6*1.4,6020000000*(1.651178^(MIN($E3649,123)-117)))*1,0))</f>
        <v>8877197</v>
      </c>
      <c r="AA3649" s="13">
        <f>$E3649+19</f>
        <v>123</v>
      </c>
      <c r="AB3649" s="14">
        <f>IF($J3649=0,0,ROUND(MAX($J3649*1.4*1.5*1.6*1.6*2.2*2.715*2.6*1.4*1.4,8430000000*(1.651435^(MIN($E3649,123)-117)))*1,0))</f>
        <v>12405900</v>
      </c>
      <c r="AC3649" s="11">
        <f>$E3649+21</f>
        <v>125</v>
      </c>
      <c r="AD3649" s="12">
        <f>IF($J3649=0,0,ROUND(MAX($J3649*1.4*1.5*1.6*1.6*2.2*2.715*2.6*1.4*1.4*1.5,12600000000*(1.652953^(MIN($E3649,123)-117)))*1,0))</f>
        <v>18322468</v>
      </c>
      <c r="AE3649" s="13">
        <f>$E3649+24</f>
        <v>128</v>
      </c>
      <c r="AF3649" s="14">
        <f>IF($J3649=0,0,ROUND(MAX($J3649*1.4*1.5*1.6*1.6*2.2*2.715*2.6*1.4*1.4*1.5*1.5,18900000000*(1.65331^(MIN($E3649,123)-117)))*1,0))</f>
        <v>27406653</v>
      </c>
      <c r="AG3649" s="11">
        <f>$E3649+27</f>
        <v>131</v>
      </c>
      <c r="AH3649" s="12">
        <f>IF($J3649=0,0,ROUND(MAX($J3649*1.4*1.5*1.6*1.6*2.2*2.715*2.6*1.4*1.4*1.5*1.5*3.2,60500000000*(1.654288^(MIN($E3649,123)-117)))*1,0))</f>
        <v>87058428</v>
      </c>
    </row>
    <row r="3650" ht="28" customHeight="1" spans="1:34" x14ac:dyDescent="0.25">
      <c r="A3650">
        <v>3660</v>
      </c>
      <c r="B3650" t="s">
        <v>150</v>
      </c>
      <c r="C3650" s="10" t="s">
        <v>1813</v>
      </c>
      <c r="D3650" t="s">
        <v>33</v>
      </c>
      <c r="E3650">
        <v>104</v>
      </c>
      <c r="F3650" t="s">
        <v>42</v>
      </c>
      <c r="G3650" t="s">
        <v>562</v>
      </c>
      <c r="H3650">
        <v>22</v>
      </c>
      <c r="I3650" s="11">
        <f>$E3650+0</f>
        <v>104</v>
      </c>
      <c r="J3650" s="12">
        <v>44700</v>
      </c>
      <c r="K3650" s="13">
        <f>$E3650+1</f>
        <v>105</v>
      </c>
      <c r="L3650" s="14">
        <f>IF($J3650=0,0,ROUND(MAX($J3650*1.4,1620000*(1.497923^(MIN($E3650,123)-117)))*1,0))</f>
        <v>62580</v>
      </c>
      <c r="M3650" s="11">
        <f>$E3650+2</f>
        <v>106</v>
      </c>
      <c r="N3650" s="12">
        <f>IF($J3650=0,0,ROUND(MAX($J3650*1.4*1.5,2190000*(1.580994^(MIN($E3650,123)-117)))*1,0))</f>
        <v>93870</v>
      </c>
      <c r="O3650" s="13">
        <f>$E3650+4</f>
        <v>108</v>
      </c>
      <c r="P3650" s="14">
        <f>IF($J3650=0,0,ROUND(MAX($J3650*1.4*1.5*1.6,3500000*(1.57975^(MIN($E3650,123)-117)))*1,0))</f>
        <v>150192</v>
      </c>
      <c r="Q3650" s="11">
        <f>$E3650+6</f>
        <v>110</v>
      </c>
      <c r="R3650" s="12">
        <f>IF($J3650=0,0,ROUND(MAX($J3650*1.4*1.5*1.6*1.6,13100000*(1.429962^(MIN($E3650,123)-117)))*1,0))</f>
        <v>240307</v>
      </c>
      <c r="S3650" s="13">
        <f>$E3650+8</f>
        <v>112</v>
      </c>
      <c r="T3650" s="14">
        <f>IF($J3650=0,0,ROUND(MAX($J3650*1.4*1.5*1.6*1.6*2.2,42600000*(1.576904^(MIN($E3650,123)-117)))*1,0))</f>
        <v>528676</v>
      </c>
      <c r="U3650" s="11">
        <f>$E3650+11</f>
        <v>115</v>
      </c>
      <c r="V3650" s="12">
        <f>IF($J3650=0,0,ROUND(MAX($J3650*1.4*1.5*1.6*1.6*2.2*2.715,354000000*(1.642074^(MIN($E3650,123)-117)))*1,0))</f>
        <v>1435355</v>
      </c>
      <c r="W3650" s="13">
        <f>$E3650+15</f>
        <v>119</v>
      </c>
      <c r="X3650" s="14">
        <f>IF($J3650=0,0,ROUND(MAX($J3650*1.4*1.5*1.6*1.6*2.2*2.715*2.6,3540000000*(1.579646^(MIN($E3650,123)-117)))*1,0))</f>
        <v>9283810</v>
      </c>
      <c r="Y3650" s="11">
        <f>$E3650+17</f>
        <v>121</v>
      </c>
      <c r="Z3650" s="12">
        <f>IF($J3650=0,0,ROUND(MAX($J3650*1.4*1.5*1.6*1.6*2.2*2.715*2.6*1.4,6020000000*(1.651178^(MIN($E3650,123)-117)))*1,0))</f>
        <v>8877197</v>
      </c>
      <c r="AA3650" s="13">
        <f>$E3650+19</f>
        <v>123</v>
      </c>
      <c r="AB3650" s="14">
        <f>IF($J3650=0,0,ROUND(MAX($J3650*1.4*1.5*1.6*1.6*2.2*2.715*2.6*1.4*1.4,8430000000*(1.651435^(MIN($E3650,123)-117)))*1,0))</f>
        <v>12405900</v>
      </c>
      <c r="AC3650" s="11">
        <f>$E3650+21</f>
        <v>125</v>
      </c>
      <c r="AD3650" s="12">
        <f>IF($J3650=0,0,ROUND(MAX($J3650*1.4*1.5*1.6*1.6*2.2*2.715*2.6*1.4*1.4*1.5,12600000000*(1.652953^(MIN($E3650,123)-117)))*1,0))</f>
        <v>18322468</v>
      </c>
      <c r="AE3650" s="13">
        <f>$E3650+24</f>
        <v>128</v>
      </c>
      <c r="AF3650" s="14">
        <f>IF($J3650=0,0,ROUND(MAX($J3650*1.4*1.5*1.6*1.6*2.2*2.715*2.6*1.4*1.4*1.5*1.5,18900000000*(1.65331^(MIN($E3650,123)-117)))*1,0))</f>
        <v>27406653</v>
      </c>
      <c r="AG3650" s="11">
        <f>$E3650+27</f>
        <v>131</v>
      </c>
      <c r="AH3650" s="12">
        <f>IF($J3650=0,0,ROUND(MAX($J3650*1.4*1.5*1.6*1.6*2.2*2.715*2.6*1.4*1.4*1.5*1.5*3.2,60500000000*(1.654288^(MIN($E3650,123)-117)))*1,0))</f>
        <v>87058428</v>
      </c>
    </row>
    <row r="3651" ht="28" customHeight="1" spans="1:34" x14ac:dyDescent="0.25">
      <c r="A3651">
        <v>3661</v>
      </c>
      <c r="B3651" t="s">
        <v>142</v>
      </c>
      <c r="C3651" s="10" t="s">
        <v>1813</v>
      </c>
      <c r="D3651" t="s">
        <v>75</v>
      </c>
      <c r="E3651">
        <v>104</v>
      </c>
      <c r="F3651" t="s">
        <v>34</v>
      </c>
      <c r="G3651" t="s">
        <v>562</v>
      </c>
      <c r="H3651">
        <v>22</v>
      </c>
      <c r="I3651" s="11">
        <f>$E3651+0</f>
        <v>104</v>
      </c>
      <c r="J3651" s="12">
        <v>43600</v>
      </c>
      <c r="K3651" s="13">
        <f>$E3651+1</f>
        <v>105</v>
      </c>
      <c r="L3651" s="14">
        <f>IF($J3651=0,0,ROUND(MAX($J3651*1.4,1620000*(1.497923^(MIN($E3651,123)-117)))*1,0))</f>
        <v>61040</v>
      </c>
      <c r="M3651" s="11">
        <f>$E3651+2</f>
        <v>106</v>
      </c>
      <c r="N3651" s="12">
        <f>IF($J3651=0,0,ROUND(MAX($J3651*1.4*1.5,2190000*(1.580994^(MIN($E3651,123)-117)))*1,0))</f>
        <v>91560</v>
      </c>
      <c r="O3651" s="13">
        <f>$E3651+4</f>
        <v>108</v>
      </c>
      <c r="P3651" s="14">
        <f>IF($J3651=0,0,ROUND(MAX($J3651*1.4*1.5*1.6,3500000*(1.57975^(MIN($E3651,123)-117)))*1,0))</f>
        <v>146496</v>
      </c>
      <c r="Q3651" s="11">
        <f>$E3651+6</f>
        <v>110</v>
      </c>
      <c r="R3651" s="12">
        <f>IF($J3651=0,0,ROUND(MAX($J3651*1.4*1.5*1.6*1.6,13100000*(1.429962^(MIN($E3651,123)-117)))*1,0))</f>
        <v>234394</v>
      </c>
      <c r="S3651" s="13">
        <f>$E3651+8</f>
        <v>112</v>
      </c>
      <c r="T3651" s="14">
        <f>IF($J3651=0,0,ROUND(MAX($J3651*1.4*1.5*1.6*1.6*2.2,42600000*(1.576904^(MIN($E3651,123)-117)))*1,0))</f>
        <v>515666</v>
      </c>
      <c r="U3651" s="11">
        <f>$E3651+11</f>
        <v>115</v>
      </c>
      <c r="V3651" s="12">
        <f>IF($J3651=0,0,ROUND(MAX($J3651*1.4*1.5*1.6*1.6*2.2*2.715,354000000*(1.642074^(MIN($E3651,123)-117)))*1,0))</f>
        <v>1400033</v>
      </c>
      <c r="W3651" s="13">
        <f>$E3651+15</f>
        <v>119</v>
      </c>
      <c r="X3651" s="14">
        <f>IF($J3651=0,0,ROUND(MAX($J3651*1.4*1.5*1.6*1.6*2.2*2.715*2.6,3540000000*(1.579646^(MIN($E3651,123)-117)))*1,0))</f>
        <v>9283810</v>
      </c>
      <c r="Y3651" s="11">
        <f>$E3651+17</f>
        <v>121</v>
      </c>
      <c r="Z3651" s="12">
        <f>IF($J3651=0,0,ROUND(MAX($J3651*1.4*1.5*1.6*1.6*2.2*2.715*2.6*1.4,6020000000*(1.651178^(MIN($E3651,123)-117)))*1,0))</f>
        <v>8877197</v>
      </c>
      <c r="AA3651" s="13">
        <f>$E3651+19</f>
        <v>123</v>
      </c>
      <c r="AB3651" s="14">
        <f>IF($J3651=0,0,ROUND(MAX($J3651*1.4*1.5*1.6*1.6*2.2*2.715*2.6*1.4*1.4,8430000000*(1.651435^(MIN($E3651,123)-117)))*1,0))</f>
        <v>12405900</v>
      </c>
      <c r="AC3651" s="11">
        <f>$E3651+21</f>
        <v>125</v>
      </c>
      <c r="AD3651" s="12">
        <f>IF($J3651=0,0,ROUND(MAX($J3651*1.4*1.5*1.6*1.6*2.2*2.715*2.6*1.4*1.4*1.5,12600000000*(1.652953^(MIN($E3651,123)-117)))*1,0))</f>
        <v>18322468</v>
      </c>
      <c r="AE3651" s="13">
        <f>$E3651+24</f>
        <v>128</v>
      </c>
      <c r="AF3651" s="14">
        <f>IF($J3651=0,0,ROUND(MAX($J3651*1.4*1.5*1.6*1.6*2.2*2.715*2.6*1.4*1.4*1.5*1.5,18900000000*(1.65331^(MIN($E3651,123)-117)))*1,0))</f>
        <v>27406653</v>
      </c>
      <c r="AG3651" s="11">
        <f>$E3651+27</f>
        <v>131</v>
      </c>
      <c r="AH3651" s="12">
        <f>IF($J3651=0,0,ROUND(MAX($J3651*1.4*1.5*1.6*1.6*2.2*2.715*2.6*1.4*1.4*1.5*1.5*3.2,60500000000*(1.654288^(MIN($E3651,123)-117)))*1,0))</f>
        <v>87058428</v>
      </c>
    </row>
    <row r="3652" ht="28" customHeight="1" spans="1:34" x14ac:dyDescent="0.25">
      <c r="A3652">
        <v>3662</v>
      </c>
      <c r="B3652" t="s">
        <v>66</v>
      </c>
      <c r="C3652" s="10" t="s">
        <v>1813</v>
      </c>
      <c r="D3652" t="s">
        <v>47</v>
      </c>
      <c r="E3652">
        <v>104</v>
      </c>
      <c r="F3652" t="s">
        <v>62</v>
      </c>
      <c r="G3652" t="s">
        <v>562</v>
      </c>
      <c r="H3652">
        <v>20</v>
      </c>
      <c r="I3652" s="11">
        <f>$E3652+0</f>
        <v>104</v>
      </c>
      <c r="J3652" s="12">
        <v>15100</v>
      </c>
      <c r="K3652" s="13">
        <f>$E3652+1</f>
        <v>105</v>
      </c>
      <c r="L3652" s="14">
        <f>IF($J3652=0,0,ROUND(MAX($J3652*1.4,1620000*(1.497923^(MIN($E3652,123)-117)))*1,0))</f>
        <v>21140</v>
      </c>
      <c r="M3652" s="11">
        <f>$E3652+2</f>
        <v>106</v>
      </c>
      <c r="N3652" s="12">
        <f>IF($J3652=0,0,ROUND(MAX($J3652*1.4*1.5,2190000*(1.580994^(MIN($E3652,123)-117)))*1,0))</f>
        <v>31710</v>
      </c>
      <c r="O3652" s="13">
        <f>$E3652+4</f>
        <v>108</v>
      </c>
      <c r="P3652" s="14">
        <f>IF($J3652=0,0,ROUND(MAX($J3652*1.4*1.5*1.6,3500000*(1.57975^(MIN($E3652,123)-117)))*1,0))</f>
        <v>50736</v>
      </c>
      <c r="Q3652" s="11">
        <f>$E3652+6</f>
        <v>110</v>
      </c>
      <c r="R3652" s="12">
        <f>IF($J3652=0,0,ROUND(MAX($J3652*1.4*1.5*1.6*1.6,13100000*(1.429962^(MIN($E3652,123)-117)))*1,0))</f>
        <v>125329</v>
      </c>
      <c r="S3652" s="13">
        <f>$E3652+8</f>
        <v>112</v>
      </c>
      <c r="T3652" s="14">
        <f>IF($J3652=0,0,ROUND(MAX($J3652*1.4*1.5*1.6*1.6*2.2,42600000*(1.576904^(MIN($E3652,123)-117)))*1,0))</f>
        <v>178591</v>
      </c>
      <c r="U3652" s="11">
        <f>$E3652+11</f>
        <v>115</v>
      </c>
      <c r="V3652" s="12">
        <f>IF($J3652=0,0,ROUND(MAX($J3652*1.4*1.5*1.6*1.6*2.2*2.715,354000000*(1.642074^(MIN($E3652,123)-117)))*1,0))</f>
        <v>560916</v>
      </c>
      <c r="W3652" s="13">
        <f>$E3652+15</f>
        <v>119</v>
      </c>
      <c r="X3652" s="14">
        <f>IF($J3652=0,0,ROUND(MAX($J3652*1.4*1.5*1.6*1.6*2.2*2.715*2.6,3540000000*(1.579646^(MIN($E3652,123)-117)))*1,0))</f>
        <v>9283810</v>
      </c>
      <c r="Y3652" s="11">
        <f>$E3652+17</f>
        <v>121</v>
      </c>
      <c r="Z3652" s="12">
        <f>IF($J3652=0,0,ROUND(MAX($J3652*1.4*1.5*1.6*1.6*2.2*2.715*2.6*1.4,6020000000*(1.651178^(MIN($E3652,123)-117)))*1,0))</f>
        <v>8877197</v>
      </c>
      <c r="AA3652" s="13">
        <f>$E3652+19</f>
        <v>123</v>
      </c>
      <c r="AB3652" s="14">
        <f>IF($J3652=0,0,ROUND(MAX($J3652*1.4*1.5*1.6*1.6*2.2*2.715*2.6*1.4*1.4,8430000000*(1.651435^(MIN($E3652,123)-117)))*1,0))</f>
        <v>12405900</v>
      </c>
      <c r="AC3652" s="11">
        <f>$E3652+21</f>
        <v>125</v>
      </c>
      <c r="AD3652" s="12">
        <f>IF($J3652=0,0,ROUND(MAX($J3652*1.4*1.5*1.6*1.6*2.2*2.715*2.6*1.4*1.4*1.5,12600000000*(1.652953^(MIN($E3652,123)-117)))*1,0))</f>
        <v>18322468</v>
      </c>
      <c r="AE3652" s="13">
        <f>$E3652+24</f>
        <v>128</v>
      </c>
      <c r="AF3652" s="14">
        <f>IF($J3652=0,0,ROUND(MAX($J3652*1.4*1.5*1.6*1.6*2.2*2.715*2.6*1.4*1.4*1.5*1.5,18900000000*(1.65331^(MIN($E3652,123)-117)))*1,0))</f>
        <v>27406653</v>
      </c>
      <c r="AG3652" s="11">
        <f>$E3652+27</f>
        <v>131</v>
      </c>
      <c r="AH3652" s="12">
        <f>IF($J3652=0,0,ROUND(MAX($J3652*1.4*1.5*1.6*1.6*2.2*2.715*2.6*1.4*1.4*1.5*1.5*3.2,60500000000*(1.654288^(MIN($E3652,123)-117)))*1,0))</f>
        <v>87058428</v>
      </c>
    </row>
    <row r="3653" ht="28" customHeight="1" spans="1:34" x14ac:dyDescent="0.25">
      <c r="A3653">
        <v>3663</v>
      </c>
      <c r="B3653" t="s">
        <v>931</v>
      </c>
      <c r="C3653" s="10" t="s">
        <v>1813</v>
      </c>
      <c r="D3653" t="s">
        <v>45</v>
      </c>
      <c r="E3653">
        <v>103</v>
      </c>
      <c r="F3653" t="s">
        <v>54</v>
      </c>
      <c r="G3653" t="s">
        <v>416</v>
      </c>
      <c r="H3653">
        <v>24</v>
      </c>
      <c r="I3653" s="11">
        <f>$E3653+0</f>
        <v>103</v>
      </c>
      <c r="J3653" s="12">
        <v>42000</v>
      </c>
      <c r="K3653" s="13">
        <f>$E3653+1</f>
        <v>104</v>
      </c>
      <c r="L3653" s="14">
        <f>IF($J3653=0,0,ROUND(MAX($J3653*1.4,1620000*(1.497923^(MIN($E3653,123)-117)))*1,0))</f>
        <v>58800</v>
      </c>
      <c r="M3653" s="11">
        <f>$E3653+2</f>
        <v>105</v>
      </c>
      <c r="N3653" s="12">
        <f>IF($J3653=0,0,ROUND(MAX($J3653*1.4*1.5,2190000*(1.580994^(MIN($E3653,123)-117)))*1,0))</f>
        <v>88200</v>
      </c>
      <c r="O3653" s="13">
        <f>$E3653+4</f>
        <v>107</v>
      </c>
      <c r="P3653" s="14">
        <f>IF($J3653=0,0,ROUND(MAX($J3653*1.4*1.5*1.6,3500000*(1.57975^(MIN($E3653,123)-117)))*1,0))</f>
        <v>141120</v>
      </c>
      <c r="Q3653" s="11">
        <f>$E3653+6</f>
        <v>109</v>
      </c>
      <c r="R3653" s="12">
        <f>IF($J3653=0,0,ROUND(MAX($J3653*1.4*1.5*1.6*1.6,13100000*(1.429962^(MIN($E3653,123)-117)))*1,0))</f>
        <v>225792</v>
      </c>
      <c r="S3653" s="13">
        <f>$E3653+8</f>
        <v>111</v>
      </c>
      <c r="T3653" s="14">
        <f>IF($J3653=0,0,ROUND(MAX($J3653*1.4*1.5*1.6*1.6*2.2,42600000*(1.576904^(MIN($E3653,123)-117)))*1,0))</f>
        <v>496742</v>
      </c>
      <c r="U3653" s="11">
        <f>$E3653+11</f>
        <v>114</v>
      </c>
      <c r="V3653" s="12">
        <f>IF($J3653=0,0,ROUND(MAX($J3653*1.4*1.5*1.6*1.6*2.2*2.715,354000000*(1.642074^(MIN($E3653,123)-117)))*1,0))</f>
        <v>1348656</v>
      </c>
      <c r="W3653" s="13">
        <f>$E3653+15</f>
        <v>118</v>
      </c>
      <c r="X3653" s="14">
        <f>IF($J3653=0,0,ROUND(MAX($J3653*1.4*1.5*1.6*1.6*2.2*2.715*2.6,3540000000*(1.579646^(MIN($E3653,123)-117)))*1,0))</f>
        <v>5877146</v>
      </c>
      <c r="Y3653" s="11">
        <f>$E3653+17</f>
        <v>120</v>
      </c>
      <c r="Z3653" s="12">
        <f>IF($J3653=0,0,ROUND(MAX($J3653*1.4*1.5*1.6*1.6*2.2*2.715*2.6*1.4,6020000000*(1.651178^(MIN($E3653,123)-117)))*1,0))</f>
        <v>5376281</v>
      </c>
      <c r="AA3653" s="13">
        <f>$E3653+19</f>
        <v>122</v>
      </c>
      <c r="AB3653" s="14">
        <f>IF($J3653=0,0,ROUND(MAX($J3653*1.4*1.5*1.6*1.6*2.2*2.715*2.6*1.4*1.4,8430000000*(1.651435^(MIN($E3653,123)-117)))*1,0))</f>
        <v>7512194</v>
      </c>
      <c r="AC3653" s="11">
        <f>$E3653+21</f>
        <v>124</v>
      </c>
      <c r="AD3653" s="12">
        <f>IF($J3653=0,0,ROUND(MAX($J3653*1.4*1.5*1.6*1.6*2.2*2.715*2.6*1.4*1.4*1.5,12600000000*(1.652953^(MIN($E3653,123)-117)))*1,0))</f>
        <v>11084688</v>
      </c>
      <c r="AE3653" s="13">
        <f>$E3653+24</f>
        <v>127</v>
      </c>
      <c r="AF3653" s="14">
        <f>IF($J3653=0,0,ROUND(MAX($J3653*1.4*1.5*1.6*1.6*2.2*2.715*2.6*1.4*1.4*1.5*1.5,18900000000*(1.65331^(MIN($E3653,123)-117)))*1,0))</f>
        <v>16576839</v>
      </c>
      <c r="AG3653" s="11">
        <f>$E3653+27</f>
        <v>130</v>
      </c>
      <c r="AH3653" s="12">
        <f>IF($J3653=0,0,ROUND(MAX($J3653*1.4*1.5*1.6*1.6*2.2*2.715*2.6*1.4*1.4*1.5*1.5*3.2,60500000000*(1.654288^(MIN($E3653,123)-117)))*1,0))</f>
        <v>52625920</v>
      </c>
    </row>
    <row r="3654" ht="28" customHeight="1" spans="1:34" x14ac:dyDescent="0.25">
      <c r="A3654">
        <v>3664</v>
      </c>
      <c r="B3654" t="s">
        <v>41</v>
      </c>
      <c r="C3654" s="10" t="s">
        <v>1813</v>
      </c>
      <c r="D3654" t="s">
        <v>25</v>
      </c>
      <c r="E3654">
        <v>103</v>
      </c>
      <c r="F3654" t="s">
        <v>42</v>
      </c>
      <c r="G3654" t="s">
        <v>562</v>
      </c>
      <c r="H3654">
        <v>24</v>
      </c>
      <c r="I3654" s="11">
        <f>$E3654+0</f>
        <v>103</v>
      </c>
      <c r="J3654" s="12">
        <v>21000</v>
      </c>
      <c r="K3654" s="13">
        <f>$E3654+1</f>
        <v>104</v>
      </c>
      <c r="L3654" s="14">
        <f>IF($J3654=0,0,ROUND(MAX($J3654*1.4,1620000*(1.497923^(MIN($E3654,123)-117)))*1,0))</f>
        <v>29400</v>
      </c>
      <c r="M3654" s="11">
        <f>$E3654+2</f>
        <v>105</v>
      </c>
      <c r="N3654" s="12">
        <f>IF($J3654=0,0,ROUND(MAX($J3654*1.4*1.5,2190000*(1.580994^(MIN($E3654,123)-117)))*1,0))</f>
        <v>44100</v>
      </c>
      <c r="O3654" s="13">
        <f>$E3654+4</f>
        <v>107</v>
      </c>
      <c r="P3654" s="14">
        <f>IF($J3654=0,0,ROUND(MAX($J3654*1.4*1.5*1.6,3500000*(1.57975^(MIN($E3654,123)-117)))*1,0))</f>
        <v>70560</v>
      </c>
      <c r="Q3654" s="11">
        <f>$E3654+6</f>
        <v>109</v>
      </c>
      <c r="R3654" s="12">
        <f>IF($J3654=0,0,ROUND(MAX($J3654*1.4*1.5*1.6*1.6,13100000*(1.429962^(MIN($E3654,123)-117)))*1,0))</f>
        <v>112896</v>
      </c>
      <c r="S3654" s="13">
        <f>$E3654+8</f>
        <v>111</v>
      </c>
      <c r="T3654" s="14">
        <f>IF($J3654=0,0,ROUND(MAX($J3654*1.4*1.5*1.6*1.6*2.2,42600000*(1.576904^(MIN($E3654,123)-117)))*1,0))</f>
        <v>248371</v>
      </c>
      <c r="U3654" s="11">
        <f>$E3654+11</f>
        <v>114</v>
      </c>
      <c r="V3654" s="12">
        <f>IF($J3654=0,0,ROUND(MAX($J3654*1.4*1.5*1.6*1.6*2.2*2.715,354000000*(1.642074^(MIN($E3654,123)-117)))*1,0))</f>
        <v>674328</v>
      </c>
      <c r="W3654" s="13">
        <f>$E3654+15</f>
        <v>118</v>
      </c>
      <c r="X3654" s="14">
        <f>IF($J3654=0,0,ROUND(MAX($J3654*1.4*1.5*1.6*1.6*2.2*2.715*2.6,3540000000*(1.579646^(MIN($E3654,123)-117)))*1,0))</f>
        <v>5877146</v>
      </c>
      <c r="Y3654" s="11">
        <f>$E3654+17</f>
        <v>120</v>
      </c>
      <c r="Z3654" s="12">
        <f>IF($J3654=0,0,ROUND(MAX($J3654*1.4*1.5*1.6*1.6*2.2*2.715*2.6*1.4,6020000000*(1.651178^(MIN($E3654,123)-117)))*1,0))</f>
        <v>5376281</v>
      </c>
      <c r="AA3654" s="13">
        <f>$E3654+19</f>
        <v>122</v>
      </c>
      <c r="AB3654" s="14">
        <f>IF($J3654=0,0,ROUND(MAX($J3654*1.4*1.5*1.6*1.6*2.2*2.715*2.6*1.4*1.4,8430000000*(1.651435^(MIN($E3654,123)-117)))*1,0))</f>
        <v>7512194</v>
      </c>
      <c r="AC3654" s="11">
        <f>$E3654+21</f>
        <v>124</v>
      </c>
      <c r="AD3654" s="12">
        <f>IF($J3654=0,0,ROUND(MAX($J3654*1.4*1.5*1.6*1.6*2.2*2.715*2.6*1.4*1.4*1.5,12600000000*(1.652953^(MIN($E3654,123)-117)))*1,0))</f>
        <v>11084688</v>
      </c>
      <c r="AE3654" s="13">
        <f>$E3654+24</f>
        <v>127</v>
      </c>
      <c r="AF3654" s="14">
        <f>IF($J3654=0,0,ROUND(MAX($J3654*1.4*1.5*1.6*1.6*2.2*2.715*2.6*1.4*1.4*1.5*1.5,18900000000*(1.65331^(MIN($E3654,123)-117)))*1,0))</f>
        <v>16576839</v>
      </c>
      <c r="AG3654" s="11">
        <f>$E3654+27</f>
        <v>130</v>
      </c>
      <c r="AH3654" s="12">
        <f>IF($J3654=0,0,ROUND(MAX($J3654*1.4*1.5*1.6*1.6*2.2*2.715*2.6*1.4*1.4*1.5*1.5*3.2,60500000000*(1.654288^(MIN($E3654,123)-117)))*1,0))</f>
        <v>52625920</v>
      </c>
    </row>
    <row r="3655" ht="28" customHeight="1" spans="1:34" x14ac:dyDescent="0.25">
      <c r="A3655">
        <v>3665</v>
      </c>
      <c r="B3655" t="s">
        <v>153</v>
      </c>
      <c r="C3655" s="10" t="s">
        <v>1813</v>
      </c>
      <c r="D3655" t="s">
        <v>45</v>
      </c>
      <c r="E3655">
        <v>103</v>
      </c>
      <c r="F3655" t="s">
        <v>56</v>
      </c>
      <c r="G3655" t="s">
        <v>562</v>
      </c>
      <c r="H3655">
        <v>24</v>
      </c>
      <c r="I3655" s="11">
        <f>$E3655+0</f>
        <v>103</v>
      </c>
      <c r="J3655" s="12">
        <v>23900</v>
      </c>
      <c r="K3655" s="13">
        <f>$E3655+1</f>
        <v>104</v>
      </c>
      <c r="L3655" s="14">
        <f>IF($J3655=0,0,ROUND(MAX($J3655*1.4,1620000*(1.497923^(MIN($E3655,123)-117)))*1,0))</f>
        <v>33460</v>
      </c>
      <c r="M3655" s="11">
        <f>$E3655+2</f>
        <v>105</v>
      </c>
      <c r="N3655" s="12">
        <f>IF($J3655=0,0,ROUND(MAX($J3655*1.4*1.5,2190000*(1.580994^(MIN($E3655,123)-117)))*1,0))</f>
        <v>50190</v>
      </c>
      <c r="O3655" s="13">
        <f>$E3655+4</f>
        <v>107</v>
      </c>
      <c r="P3655" s="14">
        <f>IF($J3655=0,0,ROUND(MAX($J3655*1.4*1.5*1.6,3500000*(1.57975^(MIN($E3655,123)-117)))*1,0))</f>
        <v>80304</v>
      </c>
      <c r="Q3655" s="11">
        <f>$E3655+6</f>
        <v>109</v>
      </c>
      <c r="R3655" s="12">
        <f>IF($J3655=0,0,ROUND(MAX($J3655*1.4*1.5*1.6*1.6,13100000*(1.429962^(MIN($E3655,123)-117)))*1,0))</f>
        <v>128486</v>
      </c>
      <c r="S3655" s="13">
        <f>$E3655+8</f>
        <v>111</v>
      </c>
      <c r="T3655" s="14">
        <f>IF($J3655=0,0,ROUND(MAX($J3655*1.4*1.5*1.6*1.6*2.2,42600000*(1.576904^(MIN($E3655,123)-117)))*1,0))</f>
        <v>282670</v>
      </c>
      <c r="U3655" s="11">
        <f>$E3655+11</f>
        <v>114</v>
      </c>
      <c r="V3655" s="12">
        <f>IF($J3655=0,0,ROUND(MAX($J3655*1.4*1.5*1.6*1.6*2.2*2.715,354000000*(1.642074^(MIN($E3655,123)-117)))*1,0))</f>
        <v>767449</v>
      </c>
      <c r="W3655" s="13">
        <f>$E3655+15</f>
        <v>118</v>
      </c>
      <c r="X3655" s="14">
        <f>IF($J3655=0,0,ROUND(MAX($J3655*1.4*1.5*1.6*1.6*2.2*2.715*2.6,3540000000*(1.579646^(MIN($E3655,123)-117)))*1,0))</f>
        <v>5877146</v>
      </c>
      <c r="Y3655" s="11">
        <f>$E3655+17</f>
        <v>120</v>
      </c>
      <c r="Z3655" s="12">
        <f>IF($J3655=0,0,ROUND(MAX($J3655*1.4*1.5*1.6*1.6*2.2*2.715*2.6*1.4,6020000000*(1.651178^(MIN($E3655,123)-117)))*1,0))</f>
        <v>5376281</v>
      </c>
      <c r="AA3655" s="13">
        <f>$E3655+19</f>
        <v>122</v>
      </c>
      <c r="AB3655" s="14">
        <f>IF($J3655=0,0,ROUND(MAX($J3655*1.4*1.5*1.6*1.6*2.2*2.715*2.6*1.4*1.4,8430000000*(1.651435^(MIN($E3655,123)-117)))*1,0))</f>
        <v>7512194</v>
      </c>
      <c r="AC3655" s="11">
        <f>$E3655+21</f>
        <v>124</v>
      </c>
      <c r="AD3655" s="12">
        <f>IF($J3655=0,0,ROUND(MAX($J3655*1.4*1.5*1.6*1.6*2.2*2.715*2.6*1.4*1.4*1.5,12600000000*(1.652953^(MIN($E3655,123)-117)))*1,0))</f>
        <v>11084688</v>
      </c>
      <c r="AE3655" s="13">
        <f>$E3655+24</f>
        <v>127</v>
      </c>
      <c r="AF3655" s="14">
        <f>IF($J3655=0,0,ROUND(MAX($J3655*1.4*1.5*1.6*1.6*2.2*2.715*2.6*1.4*1.4*1.5*1.5,18900000000*(1.65331^(MIN($E3655,123)-117)))*1,0))</f>
        <v>16576839</v>
      </c>
      <c r="AG3655" s="11">
        <f>$E3655+27</f>
        <v>130</v>
      </c>
      <c r="AH3655" s="12">
        <f>IF($J3655=0,0,ROUND(MAX($J3655*1.4*1.5*1.6*1.6*2.2*2.715*2.6*1.4*1.4*1.5*1.5*3.2,60500000000*(1.654288^(MIN($E3655,123)-117)))*1,0))</f>
        <v>52625920</v>
      </c>
    </row>
    <row r="3656" ht="28" customHeight="1" spans="1:34" x14ac:dyDescent="0.25">
      <c r="A3656">
        <v>3666</v>
      </c>
      <c r="B3656" t="s">
        <v>638</v>
      </c>
      <c r="C3656" s="10" t="s">
        <v>1813</v>
      </c>
      <c r="D3656" t="s">
        <v>25</v>
      </c>
      <c r="E3656">
        <v>103</v>
      </c>
      <c r="F3656" t="s">
        <v>310</v>
      </c>
      <c r="G3656" t="s">
        <v>27</v>
      </c>
      <c r="H3656">
        <v>23</v>
      </c>
      <c r="I3656" s="11">
        <f>$E3656+0</f>
        <v>103</v>
      </c>
      <c r="J3656" s="12">
        <v>27800</v>
      </c>
      <c r="K3656" s="13">
        <f>$E3656+1</f>
        <v>104</v>
      </c>
      <c r="L3656" s="14">
        <f>IF($J3656=0,0,ROUND(MAX($J3656*1.4,1620000*(1.497923^(MIN($E3656,123)-117)))*1,0))</f>
        <v>38920</v>
      </c>
      <c r="M3656" s="11">
        <f>$E3656+2</f>
        <v>105</v>
      </c>
      <c r="N3656" s="12">
        <f>IF($J3656=0,0,ROUND(MAX($J3656*1.4*1.5,2190000*(1.580994^(MIN($E3656,123)-117)))*1,0))</f>
        <v>58380</v>
      </c>
      <c r="O3656" s="13">
        <f>$E3656+4</f>
        <v>107</v>
      </c>
      <c r="P3656" s="14">
        <f>IF($J3656=0,0,ROUND(MAX($J3656*1.4*1.5*1.6,3500000*(1.57975^(MIN($E3656,123)-117)))*1,0))</f>
        <v>93408</v>
      </c>
      <c r="Q3656" s="11">
        <f>$E3656+6</f>
        <v>109</v>
      </c>
      <c r="R3656" s="12">
        <f>IF($J3656=0,0,ROUND(MAX($J3656*1.4*1.5*1.6*1.6,13100000*(1.429962^(MIN($E3656,123)-117)))*1,0))</f>
        <v>149453</v>
      </c>
      <c r="S3656" s="13">
        <f>$E3656+8</f>
        <v>111</v>
      </c>
      <c r="T3656" s="14">
        <f>IF($J3656=0,0,ROUND(MAX($J3656*1.4*1.5*1.6*1.6*2.2,42600000*(1.576904^(MIN($E3656,123)-117)))*1,0))</f>
        <v>328796</v>
      </c>
      <c r="U3656" s="11">
        <f>$E3656+11</f>
        <v>114</v>
      </c>
      <c r="V3656" s="12">
        <f>IF($J3656=0,0,ROUND(MAX($J3656*1.4*1.5*1.6*1.6*2.2*2.715,354000000*(1.642074^(MIN($E3656,123)-117)))*1,0))</f>
        <v>892682</v>
      </c>
      <c r="W3656" s="13">
        <f>$E3656+15</f>
        <v>118</v>
      </c>
      <c r="X3656" s="14">
        <f>IF($J3656=0,0,ROUND(MAX($J3656*1.4*1.5*1.6*1.6*2.2*2.715*2.6,3540000000*(1.579646^(MIN($E3656,123)-117)))*1,0))</f>
        <v>5877146</v>
      </c>
      <c r="Y3656" s="11">
        <f>$E3656+17</f>
        <v>120</v>
      </c>
      <c r="Z3656" s="12">
        <f>IF($J3656=0,0,ROUND(MAX($J3656*1.4*1.5*1.6*1.6*2.2*2.715*2.6*1.4,6020000000*(1.651178^(MIN($E3656,123)-117)))*1,0))</f>
        <v>5376281</v>
      </c>
      <c r="AA3656" s="13">
        <f>$E3656+19</f>
        <v>122</v>
      </c>
      <c r="AB3656" s="14">
        <f>IF($J3656=0,0,ROUND(MAX($J3656*1.4*1.5*1.6*1.6*2.2*2.715*2.6*1.4*1.4,8430000000*(1.651435^(MIN($E3656,123)-117)))*1,0))</f>
        <v>7512194</v>
      </c>
      <c r="AC3656" s="11">
        <f>$E3656+21</f>
        <v>124</v>
      </c>
      <c r="AD3656" s="12">
        <f>IF($J3656=0,0,ROUND(MAX($J3656*1.4*1.5*1.6*1.6*2.2*2.715*2.6*1.4*1.4*1.5,12600000000*(1.652953^(MIN($E3656,123)-117)))*1,0))</f>
        <v>11084688</v>
      </c>
      <c r="AE3656" s="13">
        <f>$E3656+24</f>
        <v>127</v>
      </c>
      <c r="AF3656" s="14">
        <f>IF($J3656=0,0,ROUND(MAX($J3656*1.4*1.5*1.6*1.6*2.2*2.715*2.6*1.4*1.4*1.5*1.5,18900000000*(1.65331^(MIN($E3656,123)-117)))*1,0))</f>
        <v>16576839</v>
      </c>
      <c r="AG3656" s="11">
        <f>$E3656+27</f>
        <v>130</v>
      </c>
      <c r="AH3656" s="12">
        <f>IF($J3656=0,0,ROUND(MAX($J3656*1.4*1.5*1.6*1.6*2.2*2.715*2.6*1.4*1.4*1.5*1.5*3.2,60500000000*(1.654288^(MIN($E3656,123)-117)))*1,0))</f>
        <v>52625920</v>
      </c>
    </row>
    <row r="3657" ht="28" customHeight="1" spans="1:34" x14ac:dyDescent="0.25">
      <c r="A3657">
        <v>3667</v>
      </c>
      <c r="B3657" t="s">
        <v>1712</v>
      </c>
      <c r="C3657" s="10" t="s">
        <v>1813</v>
      </c>
      <c r="D3657" t="s">
        <v>40</v>
      </c>
      <c r="E3657">
        <v>103</v>
      </c>
      <c r="F3657" t="s">
        <v>62</v>
      </c>
      <c r="G3657" t="s">
        <v>562</v>
      </c>
      <c r="H3657">
        <v>23</v>
      </c>
      <c r="I3657" s="11">
        <f>$E3657+0</f>
        <v>103</v>
      </c>
      <c r="J3657" s="12">
        <v>69000</v>
      </c>
      <c r="K3657" s="13">
        <f>$E3657+1</f>
        <v>104</v>
      </c>
      <c r="L3657" s="14">
        <f>IF($J3657=0,0,ROUND(MAX($J3657*1.4,1620000*(1.497923^(MIN($E3657,123)-117)))*1,0))</f>
        <v>96600</v>
      </c>
      <c r="M3657" s="11">
        <f>$E3657+2</f>
        <v>105</v>
      </c>
      <c r="N3657" s="12">
        <f>IF($J3657=0,0,ROUND(MAX($J3657*1.4*1.5,2190000*(1.580994^(MIN($E3657,123)-117)))*1,0))</f>
        <v>144900</v>
      </c>
      <c r="O3657" s="13">
        <f>$E3657+4</f>
        <v>107</v>
      </c>
      <c r="P3657" s="14">
        <f>IF($J3657=0,0,ROUND(MAX($J3657*1.4*1.5*1.6,3500000*(1.57975^(MIN($E3657,123)-117)))*1,0))</f>
        <v>231840</v>
      </c>
      <c r="Q3657" s="11">
        <f>$E3657+6</f>
        <v>109</v>
      </c>
      <c r="R3657" s="12">
        <f>IF($J3657=0,0,ROUND(MAX($J3657*1.4*1.5*1.6*1.6,13100000*(1.429962^(MIN($E3657,123)-117)))*1,0))</f>
        <v>370944</v>
      </c>
      <c r="S3657" s="13">
        <f>$E3657+8</f>
        <v>111</v>
      </c>
      <c r="T3657" s="14">
        <f>IF($J3657=0,0,ROUND(MAX($J3657*1.4*1.5*1.6*1.6*2.2,42600000*(1.576904^(MIN($E3657,123)-117)))*1,0))</f>
        <v>816077</v>
      </c>
      <c r="U3657" s="11">
        <f>$E3657+11</f>
        <v>114</v>
      </c>
      <c r="V3657" s="12">
        <f>IF($J3657=0,0,ROUND(MAX($J3657*1.4*1.5*1.6*1.6*2.2*2.715,354000000*(1.642074^(MIN($E3657,123)-117)))*1,0))</f>
        <v>2215649</v>
      </c>
      <c r="W3657" s="13">
        <f>$E3657+15</f>
        <v>118</v>
      </c>
      <c r="X3657" s="14">
        <f>IF($J3657=0,0,ROUND(MAX($J3657*1.4*1.5*1.6*1.6*2.2*2.715*2.6,3540000000*(1.579646^(MIN($E3657,123)-117)))*1,0))</f>
        <v>5877146</v>
      </c>
      <c r="Y3657" s="11">
        <f>$E3657+17</f>
        <v>120</v>
      </c>
      <c r="Z3657" s="12">
        <f>IF($J3657=0,0,ROUND(MAX($J3657*1.4*1.5*1.6*1.6*2.2*2.715*2.6*1.4,6020000000*(1.651178^(MIN($E3657,123)-117)))*1,0))</f>
        <v>8064961</v>
      </c>
      <c r="AA3657" s="13">
        <f>$E3657+19</f>
        <v>122</v>
      </c>
      <c r="AB3657" s="14">
        <f>IF($J3657=0,0,ROUND(MAX($J3657*1.4*1.5*1.6*1.6*2.2*2.715*2.6*1.4*1.4,8430000000*(1.651435^(MIN($E3657,123)-117)))*1,0))</f>
        <v>11290945</v>
      </c>
      <c r="AC3657" s="11">
        <f>$E3657+21</f>
        <v>124</v>
      </c>
      <c r="AD3657" s="12">
        <f>IF($J3657=0,0,ROUND(MAX($J3657*1.4*1.5*1.6*1.6*2.2*2.715*2.6*1.4*1.4*1.5,12600000000*(1.652953^(MIN($E3657,123)-117)))*1,0))</f>
        <v>16936417</v>
      </c>
      <c r="AE3657" s="13">
        <f>$E3657+24</f>
        <v>127</v>
      </c>
      <c r="AF3657" s="14">
        <f>IF($J3657=0,0,ROUND(MAX($J3657*1.4*1.5*1.6*1.6*2.2*2.715*2.6*1.4*1.4*1.5*1.5,18900000000*(1.65331^(MIN($E3657,123)-117)))*1,0))</f>
        <v>25404626</v>
      </c>
      <c r="AG3657" s="11">
        <f>$E3657+27</f>
        <v>130</v>
      </c>
      <c r="AH3657" s="12">
        <f>IF($J3657=0,0,ROUND(MAX($J3657*1.4*1.5*1.6*1.6*2.2*2.715*2.6*1.4*1.4*1.5*1.5*3.2,60500000000*(1.654288^(MIN($E3657,123)-117)))*1,0))</f>
        <v>81294803</v>
      </c>
    </row>
    <row r="3658" ht="28" customHeight="1" spans="1:34" x14ac:dyDescent="0.25">
      <c r="A3658">
        <v>3668</v>
      </c>
      <c r="B3658" t="s">
        <v>534</v>
      </c>
      <c r="C3658" s="10" t="s">
        <v>1813</v>
      </c>
      <c r="D3658" t="s">
        <v>79</v>
      </c>
      <c r="E3658">
        <v>103</v>
      </c>
      <c r="F3658" t="s">
        <v>310</v>
      </c>
      <c r="G3658" t="s">
        <v>562</v>
      </c>
      <c r="H3658">
        <v>23</v>
      </c>
      <c r="I3658" s="11">
        <f>$E3658+0</f>
        <v>103</v>
      </c>
      <c r="J3658" s="12">
        <v>2660000</v>
      </c>
      <c r="K3658" s="13">
        <f>$E3658+1</f>
        <v>104</v>
      </c>
      <c r="L3658" s="14">
        <f>IF($J3658=0,0,ROUND(MAX($J3658*1.4,1620000*(1.497923^(MIN($E3658,123)-117)))*1,0))</f>
        <v>3724000</v>
      </c>
      <c r="M3658" s="11">
        <f>$E3658+2</f>
        <v>105</v>
      </c>
      <c r="N3658" s="12">
        <f>IF($J3658=0,0,ROUND(MAX($J3658*1.4*1.5,2190000*(1.580994^(MIN($E3658,123)-117)))*1,0))</f>
        <v>5586000</v>
      </c>
      <c r="O3658" s="13">
        <f>$E3658+4</f>
        <v>107</v>
      </c>
      <c r="P3658" s="14">
        <f>IF($J3658=0,0,ROUND(MAX($J3658*1.4*1.5*1.6,3500000*(1.57975^(MIN($E3658,123)-117)))*1,0))</f>
        <v>8937600</v>
      </c>
      <c r="Q3658" s="11">
        <f>$E3658+6</f>
        <v>109</v>
      </c>
      <c r="R3658" s="12">
        <f>IF($J3658=0,0,ROUND(MAX($J3658*1.4*1.5*1.6*1.6,13100000*(1.429962^(MIN($E3658,123)-117)))*1,0))</f>
        <v>14300160</v>
      </c>
      <c r="S3658" s="13">
        <f>$E3658+8</f>
        <v>111</v>
      </c>
      <c r="T3658" s="14">
        <f>IF($J3658=0,0,ROUND(MAX($J3658*1.4*1.5*1.6*1.6*2.2,42600000*(1.576904^(MIN($E3658,123)-117)))*1,0))</f>
        <v>31460352</v>
      </c>
      <c r="U3658" s="11">
        <f>$E3658+11</f>
        <v>114</v>
      </c>
      <c r="V3658" s="12">
        <f>IF($J3658=0,0,ROUND(MAX($J3658*1.4*1.5*1.6*1.6*2.2*2.715,354000000*(1.642074^(MIN($E3658,123)-117)))*1,0))</f>
        <v>85414856</v>
      </c>
      <c r="W3658" s="13">
        <f>$E3658+15</f>
        <v>118</v>
      </c>
      <c r="X3658" s="14">
        <f>IF($J3658=0,0,ROUND(MAX($J3658*1.4*1.5*1.6*1.6*2.2*2.715*2.6,3540000000*(1.579646^(MIN($E3658,123)-117)))*1,0))</f>
        <v>222078625</v>
      </c>
      <c r="Y3658" s="11">
        <f>$E3658+17</f>
        <v>120</v>
      </c>
      <c r="Z3658" s="12">
        <f>IF($J3658=0,0,ROUND(MAX($J3658*1.4*1.5*1.6*1.6*2.2*2.715*2.6*1.4,6020000000*(1.651178^(MIN($E3658,123)-117)))*1,0))</f>
        <v>310910075</v>
      </c>
      <c r="AA3658" s="13">
        <f>$E3658+19</f>
        <v>122</v>
      </c>
      <c r="AB3658" s="14">
        <f>IF($J3658=0,0,ROUND(MAX($J3658*1.4*1.5*1.6*1.6*2.2*2.715*2.6*1.4*1.4,8430000000*(1.651435^(MIN($E3658,123)-117)))*1,0))</f>
        <v>435274105</v>
      </c>
      <c r="AC3658" s="11">
        <f>$E3658+21</f>
        <v>124</v>
      </c>
      <c r="AD3658" s="12">
        <f>IF($J3658=0,0,ROUND(MAX($J3658*1.4*1.5*1.6*1.6*2.2*2.715*2.6*1.4*1.4*1.5,12600000000*(1.652953^(MIN($E3658,123)-117)))*1,0))</f>
        <v>652911157</v>
      </c>
      <c r="AE3658" s="13">
        <f>$E3658+24</f>
        <v>127</v>
      </c>
      <c r="AF3658" s="14">
        <f>IF($J3658=0,0,ROUND(MAX($J3658*1.4*1.5*1.6*1.6*2.2*2.715*2.6*1.4*1.4*1.5*1.5,18900000000*(1.65331^(MIN($E3658,123)-117)))*1,0))</f>
        <v>979366735</v>
      </c>
      <c r="AG3658" s="11">
        <f>$E3658+27</f>
        <v>130</v>
      </c>
      <c r="AH3658" s="12">
        <f>IF($J3658=0,0,ROUND(MAX($J3658*1.4*1.5*1.6*1.6*2.2*2.715*2.6*1.4*1.4*1.5*1.5*3.2,60500000000*(1.654288^(MIN($E3658,123)-117)))*1,0))</f>
        <v>3133973553</v>
      </c>
    </row>
    <row r="3659" ht="28" customHeight="1" spans="1:34" x14ac:dyDescent="0.25">
      <c r="A3659">
        <v>3669</v>
      </c>
      <c r="B3659" t="s">
        <v>1657</v>
      </c>
      <c r="C3659" s="10" t="s">
        <v>1813</v>
      </c>
      <c r="D3659" t="s">
        <v>33</v>
      </c>
      <c r="E3659">
        <v>103</v>
      </c>
      <c r="F3659" t="s">
        <v>42</v>
      </c>
      <c r="G3659" t="s">
        <v>562</v>
      </c>
      <c r="H3659">
        <v>23</v>
      </c>
      <c r="I3659" s="11">
        <f>$E3659+0</f>
        <v>103</v>
      </c>
      <c r="J3659" s="12">
        <v>14900</v>
      </c>
      <c r="K3659" s="13">
        <f>$E3659+1</f>
        <v>104</v>
      </c>
      <c r="L3659" s="14">
        <f>IF($J3659=0,0,ROUND(MAX($J3659*1.4,1620000*(1.497923^(MIN($E3659,123)-117)))*1,0))</f>
        <v>20860</v>
      </c>
      <c r="M3659" s="11">
        <f>$E3659+2</f>
        <v>105</v>
      </c>
      <c r="N3659" s="12">
        <f>IF($J3659=0,0,ROUND(MAX($J3659*1.4*1.5,2190000*(1.580994^(MIN($E3659,123)-117)))*1,0))</f>
        <v>31290</v>
      </c>
      <c r="O3659" s="13">
        <f>$E3659+4</f>
        <v>107</v>
      </c>
      <c r="P3659" s="14">
        <f>IF($J3659=0,0,ROUND(MAX($J3659*1.4*1.5*1.6,3500000*(1.57975^(MIN($E3659,123)-117)))*1,0))</f>
        <v>50064</v>
      </c>
      <c r="Q3659" s="11">
        <f>$E3659+6</f>
        <v>109</v>
      </c>
      <c r="R3659" s="12">
        <f>IF($J3659=0,0,ROUND(MAX($J3659*1.4*1.5*1.6*1.6,13100000*(1.429962^(MIN($E3659,123)-117)))*1,0))</f>
        <v>87645</v>
      </c>
      <c r="S3659" s="13">
        <f>$E3659+8</f>
        <v>111</v>
      </c>
      <c r="T3659" s="14">
        <f>IF($J3659=0,0,ROUND(MAX($J3659*1.4*1.5*1.6*1.6*2.2,42600000*(1.576904^(MIN($E3659,123)-117)))*1,0))</f>
        <v>176225</v>
      </c>
      <c r="U3659" s="11">
        <f>$E3659+11</f>
        <v>114</v>
      </c>
      <c r="V3659" s="12">
        <f>IF($J3659=0,0,ROUND(MAX($J3659*1.4*1.5*1.6*1.6*2.2*2.715,354000000*(1.642074^(MIN($E3659,123)-117)))*1,0))</f>
        <v>478452</v>
      </c>
      <c r="W3659" s="13">
        <f>$E3659+15</f>
        <v>118</v>
      </c>
      <c r="X3659" s="14">
        <f>IF($J3659=0,0,ROUND(MAX($J3659*1.4*1.5*1.6*1.6*2.2*2.715*2.6,3540000000*(1.579646^(MIN($E3659,123)-117)))*1,0))</f>
        <v>5877146</v>
      </c>
      <c r="Y3659" s="11">
        <f>$E3659+17</f>
        <v>120</v>
      </c>
      <c r="Z3659" s="12">
        <f>IF($J3659=0,0,ROUND(MAX($J3659*1.4*1.5*1.6*1.6*2.2*2.715*2.6*1.4,6020000000*(1.651178^(MIN($E3659,123)-117)))*1,0))</f>
        <v>5376281</v>
      </c>
      <c r="AA3659" s="13">
        <f>$E3659+19</f>
        <v>122</v>
      </c>
      <c r="AB3659" s="14">
        <f>IF($J3659=0,0,ROUND(MAX($J3659*1.4*1.5*1.6*1.6*2.2*2.715*2.6*1.4*1.4,8430000000*(1.651435^(MIN($E3659,123)-117)))*1,0))</f>
        <v>7512194</v>
      </c>
      <c r="AC3659" s="11">
        <f>$E3659+21</f>
        <v>124</v>
      </c>
      <c r="AD3659" s="12">
        <f>IF($J3659=0,0,ROUND(MAX($J3659*1.4*1.5*1.6*1.6*2.2*2.715*2.6*1.4*1.4*1.5,12600000000*(1.652953^(MIN($E3659,123)-117)))*1,0))</f>
        <v>11084688</v>
      </c>
      <c r="AE3659" s="13">
        <f>$E3659+24</f>
        <v>127</v>
      </c>
      <c r="AF3659" s="14">
        <f>IF($J3659=0,0,ROUND(MAX($J3659*1.4*1.5*1.6*1.6*2.2*2.715*2.6*1.4*1.4*1.5*1.5,18900000000*(1.65331^(MIN($E3659,123)-117)))*1,0))</f>
        <v>16576839</v>
      </c>
      <c r="AG3659" s="11">
        <f>$E3659+27</f>
        <v>130</v>
      </c>
      <c r="AH3659" s="12">
        <f>IF($J3659=0,0,ROUND(MAX($J3659*1.4*1.5*1.6*1.6*2.2*2.715*2.6*1.4*1.4*1.5*1.5*3.2,60500000000*(1.654288^(MIN($E3659,123)-117)))*1,0))</f>
        <v>52625920</v>
      </c>
    </row>
    <row r="3660" ht="28" customHeight="1" spans="1:34" x14ac:dyDescent="0.25">
      <c r="A3660">
        <v>3670</v>
      </c>
      <c r="B3660" t="s">
        <v>164</v>
      </c>
      <c r="C3660" s="10" t="s">
        <v>1813</v>
      </c>
      <c r="D3660" t="s">
        <v>29</v>
      </c>
      <c r="E3660">
        <v>103</v>
      </c>
      <c r="F3660" t="s">
        <v>132</v>
      </c>
      <c r="G3660" t="s">
        <v>562</v>
      </c>
      <c r="H3660">
        <v>23</v>
      </c>
      <c r="I3660" s="11">
        <f>$E3660+0</f>
        <v>103</v>
      </c>
      <c r="J3660" s="12">
        <v>53100</v>
      </c>
      <c r="K3660" s="13">
        <f>$E3660+1</f>
        <v>104</v>
      </c>
      <c r="L3660" s="14">
        <f>IF($J3660=0,0,ROUND(MAX($J3660*1.4,1620000*(1.497923^(MIN($E3660,123)-117)))*1,0))</f>
        <v>74340</v>
      </c>
      <c r="M3660" s="11">
        <f>$E3660+2</f>
        <v>105</v>
      </c>
      <c r="N3660" s="12">
        <f>IF($J3660=0,0,ROUND(MAX($J3660*1.4*1.5,2190000*(1.580994^(MIN($E3660,123)-117)))*1,0))</f>
        <v>111510</v>
      </c>
      <c r="O3660" s="13">
        <f>$E3660+4</f>
        <v>107</v>
      </c>
      <c r="P3660" s="14">
        <f>IF($J3660=0,0,ROUND(MAX($J3660*1.4*1.5*1.6,3500000*(1.57975^(MIN($E3660,123)-117)))*1,0))</f>
        <v>178416</v>
      </c>
      <c r="Q3660" s="11">
        <f>$E3660+6</f>
        <v>109</v>
      </c>
      <c r="R3660" s="12">
        <f>IF($J3660=0,0,ROUND(MAX($J3660*1.4*1.5*1.6*1.6,13100000*(1.429962^(MIN($E3660,123)-117)))*1,0))</f>
        <v>285466</v>
      </c>
      <c r="S3660" s="13">
        <f>$E3660+8</f>
        <v>111</v>
      </c>
      <c r="T3660" s="14">
        <f>IF($J3660=0,0,ROUND(MAX($J3660*1.4*1.5*1.6*1.6*2.2,42600000*(1.576904^(MIN($E3660,123)-117)))*1,0))</f>
        <v>628024</v>
      </c>
      <c r="U3660" s="11">
        <f>$E3660+11</f>
        <v>114</v>
      </c>
      <c r="V3660" s="12">
        <f>IF($J3660=0,0,ROUND(MAX($J3660*1.4*1.5*1.6*1.6*2.2*2.715,354000000*(1.642074^(MIN($E3660,123)-117)))*1,0))</f>
        <v>1705086</v>
      </c>
      <c r="W3660" s="13">
        <f>$E3660+15</f>
        <v>118</v>
      </c>
      <c r="X3660" s="14">
        <f>IF($J3660=0,0,ROUND(MAX($J3660*1.4*1.5*1.6*1.6*2.2*2.715*2.6,3540000000*(1.579646^(MIN($E3660,123)-117)))*1,0))</f>
        <v>5877146</v>
      </c>
      <c r="Y3660" s="11">
        <f>$E3660+17</f>
        <v>120</v>
      </c>
      <c r="Z3660" s="12">
        <f>IF($J3660=0,0,ROUND(MAX($J3660*1.4*1.5*1.6*1.6*2.2*2.715*2.6*1.4,6020000000*(1.651178^(MIN($E3660,123)-117)))*1,0))</f>
        <v>6206513</v>
      </c>
      <c r="AA3660" s="13">
        <f>$E3660+19</f>
        <v>122</v>
      </c>
      <c r="AB3660" s="14">
        <f>IF($J3660=0,0,ROUND(MAX($J3660*1.4*1.5*1.6*1.6*2.2*2.715*2.6*1.4*1.4,8430000000*(1.651435^(MIN($E3660,123)-117)))*1,0))</f>
        <v>8689118</v>
      </c>
      <c r="AC3660" s="11">
        <f>$E3660+21</f>
        <v>124</v>
      </c>
      <c r="AD3660" s="12">
        <f>IF($J3660=0,0,ROUND(MAX($J3660*1.4*1.5*1.6*1.6*2.2*2.715*2.6*1.4*1.4*1.5,12600000000*(1.652953^(MIN($E3660,123)-117)))*1,0))</f>
        <v>13033678</v>
      </c>
      <c r="AE3660" s="13">
        <f>$E3660+24</f>
        <v>127</v>
      </c>
      <c r="AF3660" s="14">
        <f>IF($J3660=0,0,ROUND(MAX($J3660*1.4*1.5*1.6*1.6*2.2*2.715*2.6*1.4*1.4*1.5*1.5,18900000000*(1.65331^(MIN($E3660,123)-117)))*1,0))</f>
        <v>19550516</v>
      </c>
      <c r="AG3660" s="11">
        <f>$E3660+27</f>
        <v>130</v>
      </c>
      <c r="AH3660" s="12">
        <f>IF($J3660=0,0,ROUND(MAX($J3660*1.4*1.5*1.6*1.6*2.2*2.715*2.6*1.4*1.4*1.5*1.5*3.2,60500000000*(1.654288^(MIN($E3660,123)-117)))*1,0))</f>
        <v>62561652</v>
      </c>
    </row>
    <row r="3661" ht="28" customHeight="1" spans="1:34" x14ac:dyDescent="0.25">
      <c r="A3661">
        <v>3671</v>
      </c>
      <c r="B3661" t="s">
        <v>139</v>
      </c>
      <c r="C3661" s="10" t="s">
        <v>1813</v>
      </c>
      <c r="D3661" t="s">
        <v>40</v>
      </c>
      <c r="E3661">
        <v>103</v>
      </c>
      <c r="F3661" t="s">
        <v>34</v>
      </c>
      <c r="G3661" t="s">
        <v>562</v>
      </c>
      <c r="H3661">
        <v>23</v>
      </c>
      <c r="I3661" s="11">
        <f>$E3661+0</f>
        <v>103</v>
      </c>
      <c r="J3661" s="12">
        <v>7000</v>
      </c>
      <c r="K3661" s="13">
        <f>$E3661+1</f>
        <v>104</v>
      </c>
      <c r="L3661" s="14">
        <f>IF($J3661=0,0,ROUND(MAX($J3661*1.4,1620000*(1.497923^(MIN($E3661,123)-117)))*1,0))</f>
        <v>9800</v>
      </c>
      <c r="M3661" s="11">
        <f>$E3661+2</f>
        <v>105</v>
      </c>
      <c r="N3661" s="12">
        <f>IF($J3661=0,0,ROUND(MAX($J3661*1.4*1.5,2190000*(1.580994^(MIN($E3661,123)-117)))*1,0))</f>
        <v>14700</v>
      </c>
      <c r="O3661" s="13">
        <f>$E3661+4</f>
        <v>107</v>
      </c>
      <c r="P3661" s="14">
        <f>IF($J3661=0,0,ROUND(MAX($J3661*1.4*1.5*1.6,3500000*(1.57975^(MIN($E3661,123)-117)))*1,0))</f>
        <v>23520</v>
      </c>
      <c r="Q3661" s="11">
        <f>$E3661+6</f>
        <v>109</v>
      </c>
      <c r="R3661" s="12">
        <f>IF($J3661=0,0,ROUND(MAX($J3661*1.4*1.5*1.6*1.6,13100000*(1.429962^(MIN($E3661,123)-117)))*1,0))</f>
        <v>87645</v>
      </c>
      <c r="S3661" s="13">
        <f>$E3661+8</f>
        <v>111</v>
      </c>
      <c r="T3661" s="14">
        <f>IF($J3661=0,0,ROUND(MAX($J3661*1.4*1.5*1.6*1.6*2.2,42600000*(1.576904^(MIN($E3661,123)-117)))*1,0))</f>
        <v>82790</v>
      </c>
      <c r="U3661" s="11">
        <f>$E3661+11</f>
        <v>114</v>
      </c>
      <c r="V3661" s="12">
        <f>IF($J3661=0,0,ROUND(MAX($J3661*1.4*1.5*1.6*1.6*2.2*2.715,354000000*(1.642074^(MIN($E3661,123)-117)))*1,0))</f>
        <v>341590</v>
      </c>
      <c r="W3661" s="13">
        <f>$E3661+15</f>
        <v>118</v>
      </c>
      <c r="X3661" s="14">
        <f>IF($J3661=0,0,ROUND(MAX($J3661*1.4*1.5*1.6*1.6*2.2*2.715*2.6,3540000000*(1.579646^(MIN($E3661,123)-117)))*1,0))</f>
        <v>5877146</v>
      </c>
      <c r="Y3661" s="11">
        <f>$E3661+17</f>
        <v>120</v>
      </c>
      <c r="Z3661" s="12">
        <f>IF($J3661=0,0,ROUND(MAX($J3661*1.4*1.5*1.6*1.6*2.2*2.715*2.6*1.4,6020000000*(1.651178^(MIN($E3661,123)-117)))*1,0))</f>
        <v>5376281</v>
      </c>
      <c r="AA3661" s="13">
        <f>$E3661+19</f>
        <v>122</v>
      </c>
      <c r="AB3661" s="14">
        <f>IF($J3661=0,0,ROUND(MAX($J3661*1.4*1.5*1.6*1.6*2.2*2.715*2.6*1.4*1.4,8430000000*(1.651435^(MIN($E3661,123)-117)))*1,0))</f>
        <v>7512194</v>
      </c>
      <c r="AC3661" s="11">
        <f>$E3661+21</f>
        <v>124</v>
      </c>
      <c r="AD3661" s="12">
        <f>IF($J3661=0,0,ROUND(MAX($J3661*1.4*1.5*1.6*1.6*2.2*2.715*2.6*1.4*1.4*1.5,12600000000*(1.652953^(MIN($E3661,123)-117)))*1,0))</f>
        <v>11084688</v>
      </c>
      <c r="AE3661" s="13">
        <f>$E3661+24</f>
        <v>127</v>
      </c>
      <c r="AF3661" s="14">
        <f>IF($J3661=0,0,ROUND(MAX($J3661*1.4*1.5*1.6*1.6*2.2*2.715*2.6*1.4*1.4*1.5*1.5,18900000000*(1.65331^(MIN($E3661,123)-117)))*1,0))</f>
        <v>16576839</v>
      </c>
      <c r="AG3661" s="11">
        <f>$E3661+27</f>
        <v>130</v>
      </c>
      <c r="AH3661" s="12">
        <f>IF($J3661=0,0,ROUND(MAX($J3661*1.4*1.5*1.6*1.6*2.2*2.715*2.6*1.4*1.4*1.5*1.5*3.2,60500000000*(1.654288^(MIN($E3661,123)-117)))*1,0))</f>
        <v>52625920</v>
      </c>
    </row>
    <row r="3662" ht="28" customHeight="1" spans="1:34" x14ac:dyDescent="0.25">
      <c r="A3662">
        <v>3672</v>
      </c>
      <c r="B3662" t="s">
        <v>143</v>
      </c>
      <c r="C3662" s="10" t="s">
        <v>1813</v>
      </c>
      <c r="D3662" t="s">
        <v>165</v>
      </c>
      <c r="E3662">
        <v>103</v>
      </c>
      <c r="F3662" t="s">
        <v>144</v>
      </c>
      <c r="G3662" t="s">
        <v>562</v>
      </c>
      <c r="H3662">
        <v>23</v>
      </c>
      <c r="I3662" s="11">
        <f>$E3662+0</f>
        <v>103</v>
      </c>
      <c r="J3662" s="12">
        <v>14500</v>
      </c>
      <c r="K3662" s="13">
        <f>$E3662+1</f>
        <v>104</v>
      </c>
      <c r="L3662" s="14">
        <f>IF($J3662=0,0,ROUND(MAX($J3662*1.4,1620000*(1.497923^(MIN($E3662,123)-117)))*1,0))</f>
        <v>20300</v>
      </c>
      <c r="M3662" s="11">
        <f>$E3662+2</f>
        <v>105</v>
      </c>
      <c r="N3662" s="12">
        <f>IF($J3662=0,0,ROUND(MAX($J3662*1.4*1.5,2190000*(1.580994^(MIN($E3662,123)-117)))*1,0))</f>
        <v>30450</v>
      </c>
      <c r="O3662" s="13">
        <f>$E3662+4</f>
        <v>107</v>
      </c>
      <c r="P3662" s="14">
        <f>IF($J3662=0,0,ROUND(MAX($J3662*1.4*1.5*1.6,3500000*(1.57975^(MIN($E3662,123)-117)))*1,0))</f>
        <v>48720</v>
      </c>
      <c r="Q3662" s="11">
        <f>$E3662+6</f>
        <v>109</v>
      </c>
      <c r="R3662" s="12">
        <f>IF($J3662=0,0,ROUND(MAX($J3662*1.4*1.5*1.6*1.6,13100000*(1.429962^(MIN($E3662,123)-117)))*1,0))</f>
        <v>87645</v>
      </c>
      <c r="S3662" s="13">
        <f>$E3662+8</f>
        <v>111</v>
      </c>
      <c r="T3662" s="14">
        <f>IF($J3662=0,0,ROUND(MAX($J3662*1.4*1.5*1.6*1.6*2.2,42600000*(1.576904^(MIN($E3662,123)-117)))*1,0))</f>
        <v>171494</v>
      </c>
      <c r="U3662" s="11">
        <f>$E3662+11</f>
        <v>114</v>
      </c>
      <c r="V3662" s="12">
        <f>IF($J3662=0,0,ROUND(MAX($J3662*1.4*1.5*1.6*1.6*2.2*2.715,354000000*(1.642074^(MIN($E3662,123)-117)))*1,0))</f>
        <v>465607</v>
      </c>
      <c r="W3662" s="13">
        <f>$E3662+15</f>
        <v>118</v>
      </c>
      <c r="X3662" s="14">
        <f>IF($J3662=0,0,ROUND(MAX($J3662*1.4*1.5*1.6*1.6*2.2*2.715*2.6,3540000000*(1.579646^(MIN($E3662,123)-117)))*1,0))</f>
        <v>5877146</v>
      </c>
      <c r="Y3662" s="11">
        <f>$E3662+17</f>
        <v>120</v>
      </c>
      <c r="Z3662" s="12">
        <f>IF($J3662=0,0,ROUND(MAX($J3662*1.4*1.5*1.6*1.6*2.2*2.715*2.6*1.4,6020000000*(1.651178^(MIN($E3662,123)-117)))*1,0))</f>
        <v>5376281</v>
      </c>
      <c r="AA3662" s="13">
        <f>$E3662+19</f>
        <v>122</v>
      </c>
      <c r="AB3662" s="14">
        <f>IF($J3662=0,0,ROUND(MAX($J3662*1.4*1.5*1.6*1.6*2.2*2.715*2.6*1.4*1.4,8430000000*(1.651435^(MIN($E3662,123)-117)))*1,0))</f>
        <v>7512194</v>
      </c>
      <c r="AC3662" s="11">
        <f>$E3662+21</f>
        <v>124</v>
      </c>
      <c r="AD3662" s="12">
        <f>IF($J3662=0,0,ROUND(MAX($J3662*1.4*1.5*1.6*1.6*2.2*2.715*2.6*1.4*1.4*1.5,12600000000*(1.652953^(MIN($E3662,123)-117)))*1,0))</f>
        <v>11084688</v>
      </c>
      <c r="AE3662" s="13">
        <f>$E3662+24</f>
        <v>127</v>
      </c>
      <c r="AF3662" s="14">
        <f>IF($J3662=0,0,ROUND(MAX($J3662*1.4*1.5*1.6*1.6*2.2*2.715*2.6*1.4*1.4*1.5*1.5,18900000000*(1.65331^(MIN($E3662,123)-117)))*1,0))</f>
        <v>16576839</v>
      </c>
      <c r="AG3662" s="11">
        <f>$E3662+27</f>
        <v>130</v>
      </c>
      <c r="AH3662" s="12">
        <f>IF($J3662=0,0,ROUND(MAX($J3662*1.4*1.5*1.6*1.6*2.2*2.715*2.6*1.4*1.4*1.5*1.5*3.2,60500000000*(1.654288^(MIN($E3662,123)-117)))*1,0))</f>
        <v>52625920</v>
      </c>
    </row>
    <row r="3663" ht="28" customHeight="1" spans="1:34" x14ac:dyDescent="0.25">
      <c r="A3663">
        <v>3673</v>
      </c>
      <c r="B3663" t="s">
        <v>221</v>
      </c>
      <c r="C3663" s="10" t="s">
        <v>1813</v>
      </c>
      <c r="D3663" t="s">
        <v>40</v>
      </c>
      <c r="E3663">
        <v>103</v>
      </c>
      <c r="F3663" t="s">
        <v>34</v>
      </c>
      <c r="G3663" t="s">
        <v>562</v>
      </c>
      <c r="H3663">
        <v>22</v>
      </c>
      <c r="I3663" s="11">
        <f>$E3663+0</f>
        <v>103</v>
      </c>
      <c r="J3663" s="12">
        <v>13400</v>
      </c>
      <c r="K3663" s="13">
        <f>$E3663+1</f>
        <v>104</v>
      </c>
      <c r="L3663" s="14">
        <f>IF($J3663=0,0,ROUND(MAX($J3663*1.4,1620000*(1.497923^(MIN($E3663,123)-117)))*1,0))</f>
        <v>18760</v>
      </c>
      <c r="M3663" s="11">
        <f>$E3663+2</f>
        <v>105</v>
      </c>
      <c r="N3663" s="12">
        <f>IF($J3663=0,0,ROUND(MAX($J3663*1.4*1.5,2190000*(1.580994^(MIN($E3663,123)-117)))*1,0))</f>
        <v>28140</v>
      </c>
      <c r="O3663" s="13">
        <f>$E3663+4</f>
        <v>107</v>
      </c>
      <c r="P3663" s="14">
        <f>IF($J3663=0,0,ROUND(MAX($J3663*1.4*1.5*1.6,3500000*(1.57975^(MIN($E3663,123)-117)))*1,0))</f>
        <v>45024</v>
      </c>
      <c r="Q3663" s="11">
        <f>$E3663+6</f>
        <v>109</v>
      </c>
      <c r="R3663" s="12">
        <f>IF($J3663=0,0,ROUND(MAX($J3663*1.4*1.5*1.6*1.6,13100000*(1.429962^(MIN($E3663,123)-117)))*1,0))</f>
        <v>87645</v>
      </c>
      <c r="S3663" s="13">
        <f>$E3663+8</f>
        <v>111</v>
      </c>
      <c r="T3663" s="14">
        <f>IF($J3663=0,0,ROUND(MAX($J3663*1.4*1.5*1.6*1.6*2.2,42600000*(1.576904^(MIN($E3663,123)-117)))*1,0))</f>
        <v>158484</v>
      </c>
      <c r="U3663" s="11">
        <f>$E3663+11</f>
        <v>114</v>
      </c>
      <c r="V3663" s="12">
        <f>IF($J3663=0,0,ROUND(MAX($J3663*1.4*1.5*1.6*1.6*2.2*2.715,354000000*(1.642074^(MIN($E3663,123)-117)))*1,0))</f>
        <v>430285</v>
      </c>
      <c r="W3663" s="13">
        <f>$E3663+15</f>
        <v>118</v>
      </c>
      <c r="X3663" s="14">
        <f>IF($J3663=0,0,ROUND(MAX($J3663*1.4*1.5*1.6*1.6*2.2*2.715*2.6,3540000000*(1.579646^(MIN($E3663,123)-117)))*1,0))</f>
        <v>5877146</v>
      </c>
      <c r="Y3663" s="11">
        <f>$E3663+17</f>
        <v>120</v>
      </c>
      <c r="Z3663" s="12">
        <f>IF($J3663=0,0,ROUND(MAX($J3663*1.4*1.5*1.6*1.6*2.2*2.715*2.6*1.4,6020000000*(1.651178^(MIN($E3663,123)-117)))*1,0))</f>
        <v>5376281</v>
      </c>
      <c r="AA3663" s="13">
        <f>$E3663+19</f>
        <v>122</v>
      </c>
      <c r="AB3663" s="14">
        <f>IF($J3663=0,0,ROUND(MAX($J3663*1.4*1.5*1.6*1.6*2.2*2.715*2.6*1.4*1.4,8430000000*(1.651435^(MIN($E3663,123)-117)))*1,0))</f>
        <v>7512194</v>
      </c>
      <c r="AC3663" s="11">
        <f>$E3663+21</f>
        <v>124</v>
      </c>
      <c r="AD3663" s="12">
        <f>IF($J3663=0,0,ROUND(MAX($J3663*1.4*1.5*1.6*1.6*2.2*2.715*2.6*1.4*1.4*1.5,12600000000*(1.652953^(MIN($E3663,123)-117)))*1,0))</f>
        <v>11084688</v>
      </c>
      <c r="AE3663" s="13">
        <f>$E3663+24</f>
        <v>127</v>
      </c>
      <c r="AF3663" s="14">
        <f>IF($J3663=0,0,ROUND(MAX($J3663*1.4*1.5*1.6*1.6*2.2*2.715*2.6*1.4*1.4*1.5*1.5,18900000000*(1.65331^(MIN($E3663,123)-117)))*1,0))</f>
        <v>16576839</v>
      </c>
      <c r="AG3663" s="11">
        <f>$E3663+27</f>
        <v>130</v>
      </c>
      <c r="AH3663" s="12">
        <f>IF($J3663=0,0,ROUND(MAX($J3663*1.4*1.5*1.6*1.6*2.2*2.715*2.6*1.4*1.4*1.5*1.5*3.2,60500000000*(1.654288^(MIN($E3663,123)-117)))*1,0))</f>
        <v>52625920</v>
      </c>
    </row>
    <row r="3664" ht="28" customHeight="1" spans="1:34" x14ac:dyDescent="0.25">
      <c r="A3664">
        <v>3674</v>
      </c>
      <c r="B3664" t="s">
        <v>694</v>
      </c>
      <c r="C3664" s="10" t="s">
        <v>1813</v>
      </c>
      <c r="D3664" t="s">
        <v>102</v>
      </c>
      <c r="E3664">
        <v>103</v>
      </c>
      <c r="F3664" t="s">
        <v>71</v>
      </c>
      <c r="G3664" t="s">
        <v>270</v>
      </c>
      <c r="H3664">
        <v>22</v>
      </c>
      <c r="I3664" s="11">
        <f>$E3664+0</f>
        <v>103</v>
      </c>
      <c r="J3664" s="12">
        <v>20100</v>
      </c>
      <c r="K3664" s="13">
        <f>$E3664+1</f>
        <v>104</v>
      </c>
      <c r="L3664" s="14">
        <f>IF($J3664=0,0,ROUND(MAX($J3664*1.4,1620000*(1.497923^(MIN($E3664,123)-117)))*1,0))</f>
        <v>28140</v>
      </c>
      <c r="M3664" s="11">
        <f>$E3664+2</f>
        <v>105</v>
      </c>
      <c r="N3664" s="12">
        <f>IF($J3664=0,0,ROUND(MAX($J3664*1.4*1.5,2190000*(1.580994^(MIN($E3664,123)-117)))*1,0))</f>
        <v>42210</v>
      </c>
      <c r="O3664" s="13">
        <f>$E3664+4</f>
        <v>107</v>
      </c>
      <c r="P3664" s="14">
        <f>IF($J3664=0,0,ROUND(MAX($J3664*1.4*1.5*1.6,3500000*(1.57975^(MIN($E3664,123)-117)))*1,0))</f>
        <v>67536</v>
      </c>
      <c r="Q3664" s="11">
        <f>$E3664+6</f>
        <v>109</v>
      </c>
      <c r="R3664" s="12">
        <f>IF($J3664=0,0,ROUND(MAX($J3664*1.4*1.5*1.6*1.6,13100000*(1.429962^(MIN($E3664,123)-117)))*1,0))</f>
        <v>108058</v>
      </c>
      <c r="S3664" s="13">
        <f>$E3664+8</f>
        <v>111</v>
      </c>
      <c r="T3664" s="14">
        <f>IF($J3664=0,0,ROUND(MAX($J3664*1.4*1.5*1.6*1.6*2.2,42600000*(1.576904^(MIN($E3664,123)-117)))*1,0))</f>
        <v>237727</v>
      </c>
      <c r="U3664" s="11">
        <f>$E3664+11</f>
        <v>114</v>
      </c>
      <c r="V3664" s="12">
        <f>IF($J3664=0,0,ROUND(MAX($J3664*1.4*1.5*1.6*1.6*2.2*2.715,354000000*(1.642074^(MIN($E3664,123)-117)))*1,0))</f>
        <v>645428</v>
      </c>
      <c r="W3664" s="13">
        <f>$E3664+15</f>
        <v>118</v>
      </c>
      <c r="X3664" s="14">
        <f>IF($J3664=0,0,ROUND(MAX($J3664*1.4*1.5*1.6*1.6*2.2*2.715*2.6,3540000000*(1.579646^(MIN($E3664,123)-117)))*1,0))</f>
        <v>5877146</v>
      </c>
      <c r="Y3664" s="11">
        <f>$E3664+17</f>
        <v>120</v>
      </c>
      <c r="Z3664" s="12">
        <f>IF($J3664=0,0,ROUND(MAX($J3664*1.4*1.5*1.6*1.6*2.2*2.715*2.6*1.4,6020000000*(1.651178^(MIN($E3664,123)-117)))*1,0))</f>
        <v>5376281</v>
      </c>
      <c r="AA3664" s="13">
        <f>$E3664+19</f>
        <v>122</v>
      </c>
      <c r="AB3664" s="14">
        <f>IF($J3664=0,0,ROUND(MAX($J3664*1.4*1.5*1.6*1.6*2.2*2.715*2.6*1.4*1.4,8430000000*(1.651435^(MIN($E3664,123)-117)))*1,0))</f>
        <v>7512194</v>
      </c>
      <c r="AC3664" s="11">
        <f>$E3664+21</f>
        <v>124</v>
      </c>
      <c r="AD3664" s="12">
        <f>IF($J3664=0,0,ROUND(MAX($J3664*1.4*1.5*1.6*1.6*2.2*2.715*2.6*1.4*1.4*1.5,12600000000*(1.652953^(MIN($E3664,123)-117)))*1,0))</f>
        <v>11084688</v>
      </c>
      <c r="AE3664" s="13">
        <f>$E3664+24</f>
        <v>127</v>
      </c>
      <c r="AF3664" s="14">
        <f>IF($J3664=0,0,ROUND(MAX($J3664*1.4*1.5*1.6*1.6*2.2*2.715*2.6*1.4*1.4*1.5*1.5,18900000000*(1.65331^(MIN($E3664,123)-117)))*1,0))</f>
        <v>16576839</v>
      </c>
      <c r="AG3664" s="11">
        <f>$E3664+27</f>
        <v>130</v>
      </c>
      <c r="AH3664" s="12">
        <f>IF($J3664=0,0,ROUND(MAX($J3664*1.4*1.5*1.6*1.6*2.2*2.715*2.6*1.4*1.4*1.5*1.5*3.2,60500000000*(1.654288^(MIN($E3664,123)-117)))*1,0))</f>
        <v>52625920</v>
      </c>
    </row>
    <row r="3665" ht="28" customHeight="1" spans="1:34" x14ac:dyDescent="0.25">
      <c r="A3665">
        <v>3675</v>
      </c>
      <c r="B3665" t="s">
        <v>927</v>
      </c>
      <c r="C3665" s="10" t="s">
        <v>1813</v>
      </c>
      <c r="D3665" t="s">
        <v>79</v>
      </c>
      <c r="E3665">
        <v>103</v>
      </c>
      <c r="F3665" t="s">
        <v>54</v>
      </c>
      <c r="G3665" t="s">
        <v>562</v>
      </c>
      <c r="H3665">
        <v>22</v>
      </c>
      <c r="I3665" s="11">
        <f>$E3665+0</f>
        <v>103</v>
      </c>
      <c r="J3665" s="12">
        <v>52000</v>
      </c>
      <c r="K3665" s="13">
        <f>$E3665+1</f>
        <v>104</v>
      </c>
      <c r="L3665" s="14">
        <f>IF($J3665=0,0,ROUND(MAX($J3665*1.4,1620000*(1.497923^(MIN($E3665,123)-117)))*1,0))</f>
        <v>72800</v>
      </c>
      <c r="M3665" s="11">
        <f>$E3665+2</f>
        <v>105</v>
      </c>
      <c r="N3665" s="12">
        <f>IF($J3665=0,0,ROUND(MAX($J3665*1.4*1.5,2190000*(1.580994^(MIN($E3665,123)-117)))*1,0))</f>
        <v>109200</v>
      </c>
      <c r="O3665" s="13">
        <f>$E3665+4</f>
        <v>107</v>
      </c>
      <c r="P3665" s="14">
        <f>IF($J3665=0,0,ROUND(MAX($J3665*1.4*1.5*1.6,3500000*(1.57975^(MIN($E3665,123)-117)))*1,0))</f>
        <v>174720</v>
      </c>
      <c r="Q3665" s="11">
        <f>$E3665+6</f>
        <v>109</v>
      </c>
      <c r="R3665" s="12">
        <f>IF($J3665=0,0,ROUND(MAX($J3665*1.4*1.5*1.6*1.6,13100000*(1.429962^(MIN($E3665,123)-117)))*1,0))</f>
        <v>279552</v>
      </c>
      <c r="S3665" s="13">
        <f>$E3665+8</f>
        <v>111</v>
      </c>
      <c r="T3665" s="14">
        <f>IF($J3665=0,0,ROUND(MAX($J3665*1.4*1.5*1.6*1.6*2.2,42600000*(1.576904^(MIN($E3665,123)-117)))*1,0))</f>
        <v>615014</v>
      </c>
      <c r="U3665" s="11">
        <f>$E3665+11</f>
        <v>114</v>
      </c>
      <c r="V3665" s="12">
        <f>IF($J3665=0,0,ROUND(MAX($J3665*1.4*1.5*1.6*1.6*2.2*2.715,354000000*(1.642074^(MIN($E3665,123)-117)))*1,0))</f>
        <v>1669764</v>
      </c>
      <c r="W3665" s="13">
        <f>$E3665+15</f>
        <v>118</v>
      </c>
      <c r="X3665" s="14">
        <f>IF($J3665=0,0,ROUND(MAX($J3665*1.4*1.5*1.6*1.6*2.2*2.715*2.6,3540000000*(1.579646^(MIN($E3665,123)-117)))*1,0))</f>
        <v>5877146</v>
      </c>
      <c r="Y3665" s="11">
        <f>$E3665+17</f>
        <v>120</v>
      </c>
      <c r="Z3665" s="12">
        <f>IF($J3665=0,0,ROUND(MAX($J3665*1.4*1.5*1.6*1.6*2.2*2.715*2.6*1.4,6020000000*(1.651178^(MIN($E3665,123)-117)))*1,0))</f>
        <v>6077941</v>
      </c>
      <c r="AA3665" s="13">
        <f>$E3665+19</f>
        <v>122</v>
      </c>
      <c r="AB3665" s="14">
        <f>IF($J3665=0,0,ROUND(MAX($J3665*1.4*1.5*1.6*1.6*2.2*2.715*2.6*1.4*1.4,8430000000*(1.651435^(MIN($E3665,123)-117)))*1,0))</f>
        <v>8509118</v>
      </c>
      <c r="AC3665" s="11">
        <f>$E3665+21</f>
        <v>124</v>
      </c>
      <c r="AD3665" s="12">
        <f>IF($J3665=0,0,ROUND(MAX($J3665*1.4*1.5*1.6*1.6*2.2*2.715*2.6*1.4*1.4*1.5,12600000000*(1.652953^(MIN($E3665,123)-117)))*1,0))</f>
        <v>12763677</v>
      </c>
      <c r="AE3665" s="13">
        <f>$E3665+24</f>
        <v>127</v>
      </c>
      <c r="AF3665" s="14">
        <f>IF($J3665=0,0,ROUND(MAX($J3665*1.4*1.5*1.6*1.6*2.2*2.715*2.6*1.4*1.4*1.5*1.5,18900000000*(1.65331^(MIN($E3665,123)-117)))*1,0))</f>
        <v>19145515</v>
      </c>
      <c r="AG3665" s="11">
        <f>$E3665+27</f>
        <v>130</v>
      </c>
      <c r="AH3665" s="12">
        <f>IF($J3665=0,0,ROUND(MAX($J3665*1.4*1.5*1.6*1.6*2.2*2.715*2.6*1.4*1.4*1.5*1.5*3.2,60500000000*(1.654288^(MIN($E3665,123)-117)))*1,0))</f>
        <v>61265648</v>
      </c>
    </row>
    <row r="3666" ht="28" customHeight="1" spans="1:34" x14ac:dyDescent="0.25">
      <c r="A3666">
        <v>3676</v>
      </c>
      <c r="B3666" t="s">
        <v>1818</v>
      </c>
      <c r="C3666" s="10" t="s">
        <v>1813</v>
      </c>
      <c r="D3666" t="s">
        <v>25</v>
      </c>
      <c r="E3666">
        <v>103</v>
      </c>
      <c r="F3666" t="s">
        <v>34</v>
      </c>
      <c r="G3666" t="s">
        <v>562</v>
      </c>
      <c r="H3666">
        <v>22</v>
      </c>
      <c r="I3666" s="11">
        <f>$E3666+0</f>
        <v>103</v>
      </c>
      <c r="J3666" s="12">
        <v>1520000</v>
      </c>
      <c r="K3666" s="13">
        <f>$E3666+1</f>
        <v>104</v>
      </c>
      <c r="L3666" s="14">
        <f>IF($J3666=0,0,ROUND(MAX($J3666*1.4,1620000*(1.497923^(MIN($E3666,123)-117)))*1,0))</f>
        <v>2128000</v>
      </c>
      <c r="M3666" s="11">
        <f>$E3666+2</f>
        <v>105</v>
      </c>
      <c r="N3666" s="12">
        <f>IF($J3666=0,0,ROUND(MAX($J3666*1.4*1.5,2190000*(1.580994^(MIN($E3666,123)-117)))*1,0))</f>
        <v>3192000</v>
      </c>
      <c r="O3666" s="13">
        <f>$E3666+4</f>
        <v>107</v>
      </c>
      <c r="P3666" s="14">
        <f>IF($J3666=0,0,ROUND(MAX($J3666*1.4*1.5*1.6,3500000*(1.57975^(MIN($E3666,123)-117)))*1,0))</f>
        <v>5107200</v>
      </c>
      <c r="Q3666" s="11">
        <f>$E3666+6</f>
        <v>109</v>
      </c>
      <c r="R3666" s="12">
        <f>IF($J3666=0,0,ROUND(MAX($J3666*1.4*1.5*1.6*1.6,13100000*(1.429962^(MIN($E3666,123)-117)))*1,0))</f>
        <v>8171520</v>
      </c>
      <c r="S3666" s="13">
        <f>$E3666+8</f>
        <v>111</v>
      </c>
      <c r="T3666" s="14">
        <f>IF($J3666=0,0,ROUND(MAX($J3666*1.4*1.5*1.6*1.6*2.2,42600000*(1.576904^(MIN($E3666,123)-117)))*1,0))</f>
        <v>17977344</v>
      </c>
      <c r="U3666" s="11">
        <f>$E3666+11</f>
        <v>114</v>
      </c>
      <c r="V3666" s="12">
        <f>IF($J3666=0,0,ROUND(MAX($J3666*1.4*1.5*1.6*1.6*2.2*2.715,354000000*(1.642074^(MIN($E3666,123)-117)))*1,0))</f>
        <v>48808489</v>
      </c>
      <c r="W3666" s="13">
        <f>$E3666+15</f>
        <v>118</v>
      </c>
      <c r="X3666" s="14">
        <f>IF($J3666=0,0,ROUND(MAX($J3666*1.4*1.5*1.6*1.6*2.2*2.715*2.6,3540000000*(1.579646^(MIN($E3666,123)-117)))*1,0))</f>
        <v>126902071</v>
      </c>
      <c r="Y3666" s="11">
        <f>$E3666+17</f>
        <v>120</v>
      </c>
      <c r="Z3666" s="12">
        <f>IF($J3666=0,0,ROUND(MAX($J3666*1.4*1.5*1.6*1.6*2.2*2.715*2.6*1.4,6020000000*(1.651178^(MIN($E3666,123)-117)))*1,0))</f>
        <v>177662900</v>
      </c>
      <c r="AA3666" s="13">
        <f>$E3666+19</f>
        <v>122</v>
      </c>
      <c r="AB3666" s="14">
        <f>IF($J3666=0,0,ROUND(MAX($J3666*1.4*1.5*1.6*1.6*2.2*2.715*2.6*1.4*1.4,8430000000*(1.651435^(MIN($E3666,123)-117)))*1,0))</f>
        <v>248728060</v>
      </c>
      <c r="AC3666" s="11">
        <f>$E3666+21</f>
        <v>124</v>
      </c>
      <c r="AD3666" s="12">
        <f>IF($J3666=0,0,ROUND(MAX($J3666*1.4*1.5*1.6*1.6*2.2*2.715*2.6*1.4*1.4*1.5,12600000000*(1.652953^(MIN($E3666,123)-117)))*1,0))</f>
        <v>373092090</v>
      </c>
      <c r="AE3666" s="13">
        <f>$E3666+24</f>
        <v>127</v>
      </c>
      <c r="AF3666" s="14">
        <f>IF($J3666=0,0,ROUND(MAX($J3666*1.4*1.5*1.6*1.6*2.2*2.715*2.6*1.4*1.4*1.5*1.5,18900000000*(1.65331^(MIN($E3666,123)-117)))*1,0))</f>
        <v>559638134</v>
      </c>
      <c r="AG3666" s="11">
        <f>$E3666+27</f>
        <v>130</v>
      </c>
      <c r="AH3666" s="12">
        <f>IF($J3666=0,0,ROUND(MAX($J3666*1.4*1.5*1.6*1.6*2.2*2.715*2.6*1.4*1.4*1.5*1.5*3.2,60500000000*(1.654288^(MIN($E3666,123)-117)))*1,0))</f>
        <v>1790842030</v>
      </c>
    </row>
    <row r="3667" ht="28" customHeight="1" spans="1:34" x14ac:dyDescent="0.25">
      <c r="A3667">
        <v>3677</v>
      </c>
      <c r="B3667" t="s">
        <v>1663</v>
      </c>
      <c r="C3667" s="10" t="s">
        <v>1813</v>
      </c>
      <c r="D3667" t="s">
        <v>45</v>
      </c>
      <c r="E3667">
        <v>103</v>
      </c>
      <c r="F3667" t="s">
        <v>59</v>
      </c>
      <c r="G3667" t="s">
        <v>429</v>
      </c>
      <c r="H3667">
        <v>22</v>
      </c>
      <c r="I3667" s="11">
        <f>$E3667+0</f>
        <v>103</v>
      </c>
      <c r="J3667" s="12">
        <v>19500</v>
      </c>
      <c r="K3667" s="13">
        <f>$E3667+1</f>
        <v>104</v>
      </c>
      <c r="L3667" s="14">
        <f>IF($J3667=0,0,ROUND(MAX($J3667*1.4,1620000*(1.497923^(MIN($E3667,123)-117)))*1,0))</f>
        <v>27300</v>
      </c>
      <c r="M3667" s="11">
        <f>$E3667+2</f>
        <v>105</v>
      </c>
      <c r="N3667" s="12">
        <f>IF($J3667=0,0,ROUND(MAX($J3667*1.4*1.5,2190000*(1.580994^(MIN($E3667,123)-117)))*1,0))</f>
        <v>40950</v>
      </c>
      <c r="O3667" s="13">
        <f>$E3667+4</f>
        <v>107</v>
      </c>
      <c r="P3667" s="14">
        <f>IF($J3667=0,0,ROUND(MAX($J3667*1.4*1.5*1.6,3500000*(1.57975^(MIN($E3667,123)-117)))*1,0))</f>
        <v>65520</v>
      </c>
      <c r="Q3667" s="11">
        <f>$E3667+6</f>
        <v>109</v>
      </c>
      <c r="R3667" s="12">
        <f>IF($J3667=0,0,ROUND(MAX($J3667*1.4*1.5*1.6*1.6,13100000*(1.429962^(MIN($E3667,123)-117)))*1,0))</f>
        <v>104832</v>
      </c>
      <c r="S3667" s="13">
        <f>$E3667+8</f>
        <v>111</v>
      </c>
      <c r="T3667" s="14">
        <f>IF($J3667=0,0,ROUND(MAX($J3667*1.4*1.5*1.6*1.6*2.2,42600000*(1.576904^(MIN($E3667,123)-117)))*1,0))</f>
        <v>230630</v>
      </c>
      <c r="U3667" s="11">
        <f>$E3667+11</f>
        <v>114</v>
      </c>
      <c r="V3667" s="12">
        <f>IF($J3667=0,0,ROUND(MAX($J3667*1.4*1.5*1.6*1.6*2.2*2.715,354000000*(1.642074^(MIN($E3667,123)-117)))*1,0))</f>
        <v>626162</v>
      </c>
      <c r="W3667" s="13">
        <f>$E3667+15</f>
        <v>118</v>
      </c>
      <c r="X3667" s="14">
        <f>IF($J3667=0,0,ROUND(MAX($J3667*1.4*1.5*1.6*1.6*2.2*2.715*2.6,3540000000*(1.579646^(MIN($E3667,123)-117)))*1,0))</f>
        <v>5877146</v>
      </c>
      <c r="Y3667" s="11">
        <f>$E3667+17</f>
        <v>120</v>
      </c>
      <c r="Z3667" s="12">
        <f>IF($J3667=0,0,ROUND(MAX($J3667*1.4*1.5*1.6*1.6*2.2*2.715*2.6*1.4,6020000000*(1.651178^(MIN($E3667,123)-117)))*1,0))</f>
        <v>5376281</v>
      </c>
      <c r="AA3667" s="13">
        <f>$E3667+19</f>
        <v>122</v>
      </c>
      <c r="AB3667" s="14">
        <f>IF($J3667=0,0,ROUND(MAX($J3667*1.4*1.5*1.6*1.6*2.2*2.715*2.6*1.4*1.4,8430000000*(1.651435^(MIN($E3667,123)-117)))*1,0))</f>
        <v>7512194</v>
      </c>
      <c r="AC3667" s="11">
        <f>$E3667+21</f>
        <v>124</v>
      </c>
      <c r="AD3667" s="12">
        <f>IF($J3667=0,0,ROUND(MAX($J3667*1.4*1.5*1.6*1.6*2.2*2.715*2.6*1.4*1.4*1.5,12600000000*(1.652953^(MIN($E3667,123)-117)))*1,0))</f>
        <v>11084688</v>
      </c>
      <c r="AE3667" s="13">
        <f>$E3667+24</f>
        <v>127</v>
      </c>
      <c r="AF3667" s="14">
        <f>IF($J3667=0,0,ROUND(MAX($J3667*1.4*1.5*1.6*1.6*2.2*2.715*2.6*1.4*1.4*1.5*1.5,18900000000*(1.65331^(MIN($E3667,123)-117)))*1,0))</f>
        <v>16576839</v>
      </c>
      <c r="AG3667" s="11">
        <f>$E3667+27</f>
        <v>130</v>
      </c>
      <c r="AH3667" s="12">
        <f>IF($J3667=0,0,ROUND(MAX($J3667*1.4*1.5*1.6*1.6*2.2*2.715*2.6*1.4*1.4*1.5*1.5*3.2,60500000000*(1.654288^(MIN($E3667,123)-117)))*1,0))</f>
        <v>52625920</v>
      </c>
    </row>
    <row r="3668" ht="28" customHeight="1" spans="1:34" x14ac:dyDescent="0.25">
      <c r="A3668">
        <v>3678</v>
      </c>
      <c r="B3668" t="s">
        <v>156</v>
      </c>
      <c r="C3668" s="10" t="s">
        <v>1813</v>
      </c>
      <c r="D3668" t="s">
        <v>93</v>
      </c>
      <c r="E3668">
        <v>103</v>
      </c>
      <c r="F3668" t="s">
        <v>34</v>
      </c>
      <c r="G3668" t="s">
        <v>562</v>
      </c>
      <c r="H3668">
        <v>22</v>
      </c>
      <c r="I3668" s="11">
        <f>$E3668+0</f>
        <v>103</v>
      </c>
      <c r="J3668" s="12">
        <v>22100</v>
      </c>
      <c r="K3668" s="13">
        <f>$E3668+1</f>
        <v>104</v>
      </c>
      <c r="L3668" s="14">
        <f>IF($J3668=0,0,ROUND(MAX($J3668*1.4,1620000*(1.497923^(MIN($E3668,123)-117)))*1,0))</f>
        <v>30940</v>
      </c>
      <c r="M3668" s="11">
        <f>$E3668+2</f>
        <v>105</v>
      </c>
      <c r="N3668" s="12">
        <f>IF($J3668=0,0,ROUND(MAX($J3668*1.4*1.5,2190000*(1.580994^(MIN($E3668,123)-117)))*1,0))</f>
        <v>46410</v>
      </c>
      <c r="O3668" s="13">
        <f>$E3668+4</f>
        <v>107</v>
      </c>
      <c r="P3668" s="14">
        <f>IF($J3668=0,0,ROUND(MAX($J3668*1.4*1.5*1.6,3500000*(1.57975^(MIN($E3668,123)-117)))*1,0))</f>
        <v>74256</v>
      </c>
      <c r="Q3668" s="11">
        <f>$E3668+6</f>
        <v>109</v>
      </c>
      <c r="R3668" s="12">
        <f>IF($J3668=0,0,ROUND(MAX($J3668*1.4*1.5*1.6*1.6,13100000*(1.429962^(MIN($E3668,123)-117)))*1,0))</f>
        <v>118810</v>
      </c>
      <c r="S3668" s="13">
        <f>$E3668+8</f>
        <v>111</v>
      </c>
      <c r="T3668" s="14">
        <f>IF($J3668=0,0,ROUND(MAX($J3668*1.4*1.5*1.6*1.6*2.2,42600000*(1.576904^(MIN($E3668,123)-117)))*1,0))</f>
        <v>261381</v>
      </c>
      <c r="U3668" s="11">
        <f>$E3668+11</f>
        <v>114</v>
      </c>
      <c r="V3668" s="12">
        <f>IF($J3668=0,0,ROUND(MAX($J3668*1.4*1.5*1.6*1.6*2.2*2.715,354000000*(1.642074^(MIN($E3668,123)-117)))*1,0))</f>
        <v>709650</v>
      </c>
      <c r="W3668" s="13">
        <f>$E3668+15</f>
        <v>118</v>
      </c>
      <c r="X3668" s="14">
        <f>IF($J3668=0,0,ROUND(MAX($J3668*1.4*1.5*1.6*1.6*2.2*2.715*2.6,3540000000*(1.579646^(MIN($E3668,123)-117)))*1,0))</f>
        <v>5877146</v>
      </c>
      <c r="Y3668" s="11">
        <f>$E3668+17</f>
        <v>120</v>
      </c>
      <c r="Z3668" s="12">
        <f>IF($J3668=0,0,ROUND(MAX($J3668*1.4*1.5*1.6*1.6*2.2*2.715*2.6*1.4,6020000000*(1.651178^(MIN($E3668,123)-117)))*1,0))</f>
        <v>5376281</v>
      </c>
      <c r="AA3668" s="13">
        <f>$E3668+19</f>
        <v>122</v>
      </c>
      <c r="AB3668" s="14">
        <f>IF($J3668=0,0,ROUND(MAX($J3668*1.4*1.5*1.6*1.6*2.2*2.715*2.6*1.4*1.4,8430000000*(1.651435^(MIN($E3668,123)-117)))*1,0))</f>
        <v>7512194</v>
      </c>
      <c r="AC3668" s="11">
        <f>$E3668+21</f>
        <v>124</v>
      </c>
      <c r="AD3668" s="12">
        <f>IF($J3668=0,0,ROUND(MAX($J3668*1.4*1.5*1.6*1.6*2.2*2.715*2.6*1.4*1.4*1.5,12600000000*(1.652953^(MIN($E3668,123)-117)))*1,0))</f>
        <v>11084688</v>
      </c>
      <c r="AE3668" s="13">
        <f>$E3668+24</f>
        <v>127</v>
      </c>
      <c r="AF3668" s="14">
        <f>IF($J3668=0,0,ROUND(MAX($J3668*1.4*1.5*1.6*1.6*2.2*2.715*2.6*1.4*1.4*1.5*1.5,18900000000*(1.65331^(MIN($E3668,123)-117)))*1,0))</f>
        <v>16576839</v>
      </c>
      <c r="AG3668" s="11">
        <f>$E3668+27</f>
        <v>130</v>
      </c>
      <c r="AH3668" s="12">
        <f>IF($J3668=0,0,ROUND(MAX($J3668*1.4*1.5*1.6*1.6*2.2*2.715*2.6*1.4*1.4*1.5*1.5*3.2,60500000000*(1.654288^(MIN($E3668,123)-117)))*1,0))</f>
        <v>52625920</v>
      </c>
    </row>
    <row r="3669" ht="28" customHeight="1" spans="1:34" x14ac:dyDescent="0.25">
      <c r="A3669">
        <v>3679</v>
      </c>
      <c r="B3669" t="s">
        <v>1705</v>
      </c>
      <c r="C3669" s="10" t="s">
        <v>1813</v>
      </c>
      <c r="D3669" t="s">
        <v>25</v>
      </c>
      <c r="E3669">
        <v>103</v>
      </c>
      <c r="F3669" t="s">
        <v>59</v>
      </c>
      <c r="G3669" t="s">
        <v>562</v>
      </c>
      <c r="H3669">
        <v>22</v>
      </c>
      <c r="I3669" s="11">
        <f>$E3669+0</f>
        <v>103</v>
      </c>
      <c r="J3669" s="12">
        <v>30000</v>
      </c>
      <c r="K3669" s="13">
        <f>$E3669+1</f>
        <v>104</v>
      </c>
      <c r="L3669" s="14">
        <f>IF($J3669=0,0,ROUND(MAX($J3669*1.4,1620000*(1.497923^(MIN($E3669,123)-117)))*1,0))</f>
        <v>42000</v>
      </c>
      <c r="M3669" s="11">
        <f>$E3669+2</f>
        <v>105</v>
      </c>
      <c r="N3669" s="12">
        <f>IF($J3669=0,0,ROUND(MAX($J3669*1.4*1.5,2190000*(1.580994^(MIN($E3669,123)-117)))*1,0))</f>
        <v>63000</v>
      </c>
      <c r="O3669" s="13">
        <f>$E3669+4</f>
        <v>107</v>
      </c>
      <c r="P3669" s="14">
        <f>IF($J3669=0,0,ROUND(MAX($J3669*1.4*1.5*1.6,3500000*(1.57975^(MIN($E3669,123)-117)))*1,0))</f>
        <v>100800</v>
      </c>
      <c r="Q3669" s="11">
        <f>$E3669+6</f>
        <v>109</v>
      </c>
      <c r="R3669" s="12">
        <f>IF($J3669=0,0,ROUND(MAX($J3669*1.4*1.5*1.6*1.6,13100000*(1.429962^(MIN($E3669,123)-117)))*1,0))</f>
        <v>161280</v>
      </c>
      <c r="S3669" s="13">
        <f>$E3669+8</f>
        <v>111</v>
      </c>
      <c r="T3669" s="14">
        <f>IF($J3669=0,0,ROUND(MAX($J3669*1.4*1.5*1.6*1.6*2.2,42600000*(1.576904^(MIN($E3669,123)-117)))*1,0))</f>
        <v>354816</v>
      </c>
      <c r="U3669" s="11">
        <f>$E3669+11</f>
        <v>114</v>
      </c>
      <c r="V3669" s="12">
        <f>IF($J3669=0,0,ROUND(MAX($J3669*1.4*1.5*1.6*1.6*2.2*2.715,354000000*(1.642074^(MIN($E3669,123)-117)))*1,0))</f>
        <v>963325</v>
      </c>
      <c r="W3669" s="13">
        <f>$E3669+15</f>
        <v>118</v>
      </c>
      <c r="X3669" s="14">
        <f>IF($J3669=0,0,ROUND(MAX($J3669*1.4*1.5*1.6*1.6*2.2*2.715*2.6,3540000000*(1.579646^(MIN($E3669,123)-117)))*1,0))</f>
        <v>5877146</v>
      </c>
      <c r="Y3669" s="11">
        <f>$E3669+17</f>
        <v>120</v>
      </c>
      <c r="Z3669" s="12">
        <f>IF($J3669=0,0,ROUND(MAX($J3669*1.4*1.5*1.6*1.6*2.2*2.715*2.6*1.4,6020000000*(1.651178^(MIN($E3669,123)-117)))*1,0))</f>
        <v>5376281</v>
      </c>
      <c r="AA3669" s="13">
        <f>$E3669+19</f>
        <v>122</v>
      </c>
      <c r="AB3669" s="14">
        <f>IF($J3669=0,0,ROUND(MAX($J3669*1.4*1.5*1.6*1.6*2.2*2.715*2.6*1.4*1.4,8430000000*(1.651435^(MIN($E3669,123)-117)))*1,0))</f>
        <v>7512194</v>
      </c>
      <c r="AC3669" s="11">
        <f>$E3669+21</f>
        <v>124</v>
      </c>
      <c r="AD3669" s="12">
        <f>IF($J3669=0,0,ROUND(MAX($J3669*1.4*1.5*1.6*1.6*2.2*2.715*2.6*1.4*1.4*1.5,12600000000*(1.652953^(MIN($E3669,123)-117)))*1,0))</f>
        <v>11084688</v>
      </c>
      <c r="AE3669" s="13">
        <f>$E3669+24</f>
        <v>127</v>
      </c>
      <c r="AF3669" s="14">
        <f>IF($J3669=0,0,ROUND(MAX($J3669*1.4*1.5*1.6*1.6*2.2*2.715*2.6*1.4*1.4*1.5*1.5,18900000000*(1.65331^(MIN($E3669,123)-117)))*1,0))</f>
        <v>16576839</v>
      </c>
      <c r="AG3669" s="11">
        <f>$E3669+27</f>
        <v>130</v>
      </c>
      <c r="AH3669" s="12">
        <f>IF($J3669=0,0,ROUND(MAX($J3669*1.4*1.5*1.6*1.6*2.2*2.715*2.6*1.4*1.4*1.5*1.5*3.2,60500000000*(1.654288^(MIN($E3669,123)-117)))*1,0))</f>
        <v>52625920</v>
      </c>
    </row>
    <row r="3670" ht="28" customHeight="1" spans="1:34" x14ac:dyDescent="0.25">
      <c r="A3670">
        <v>3680</v>
      </c>
      <c r="B3670" t="s">
        <v>196</v>
      </c>
      <c r="C3670" s="10" t="s">
        <v>1813</v>
      </c>
      <c r="D3670" t="s">
        <v>25</v>
      </c>
      <c r="E3670">
        <v>103</v>
      </c>
      <c r="F3670" t="s">
        <v>59</v>
      </c>
      <c r="G3670" t="s">
        <v>562</v>
      </c>
      <c r="H3670">
        <v>22</v>
      </c>
      <c r="I3670" s="11">
        <f>$E3670+0</f>
        <v>103</v>
      </c>
      <c r="J3670" s="12">
        <v>4810</v>
      </c>
      <c r="K3670" s="13">
        <f>$E3670+1</f>
        <v>104</v>
      </c>
      <c r="L3670" s="14">
        <f>IF($J3670=0,0,ROUND(MAX($J3670*1.4,1620000*(1.497923^(MIN($E3670,123)-117)))*1,0))</f>
        <v>6734</v>
      </c>
      <c r="M3670" s="11">
        <f>$E3670+2</f>
        <v>105</v>
      </c>
      <c r="N3670" s="12">
        <f>IF($J3670=0,0,ROUND(MAX($J3670*1.4*1.5,2190000*(1.580994^(MIN($E3670,123)-117)))*1,0))</f>
        <v>10101</v>
      </c>
      <c r="O3670" s="13">
        <f>$E3670+4</f>
        <v>107</v>
      </c>
      <c r="P3670" s="14">
        <f>IF($J3670=0,0,ROUND(MAX($J3670*1.4*1.5*1.6,3500000*(1.57975^(MIN($E3670,123)-117)))*1,0))</f>
        <v>16162</v>
      </c>
      <c r="Q3670" s="11">
        <f>$E3670+6</f>
        <v>109</v>
      </c>
      <c r="R3670" s="12">
        <f>IF($J3670=0,0,ROUND(MAX($J3670*1.4*1.5*1.6*1.6,13100000*(1.429962^(MIN($E3670,123)-117)))*1,0))</f>
        <v>87645</v>
      </c>
      <c r="S3670" s="13">
        <f>$E3670+8</f>
        <v>111</v>
      </c>
      <c r="T3670" s="14">
        <f>IF($J3670=0,0,ROUND(MAX($J3670*1.4*1.5*1.6*1.6*2.2,42600000*(1.576904^(MIN($E3670,123)-117)))*1,0))</f>
        <v>72466</v>
      </c>
      <c r="U3670" s="11">
        <f>$E3670+11</f>
        <v>114</v>
      </c>
      <c r="V3670" s="12">
        <f>IF($J3670=0,0,ROUND(MAX($J3670*1.4*1.5*1.6*1.6*2.2*2.715,354000000*(1.642074^(MIN($E3670,123)-117)))*1,0))</f>
        <v>341590</v>
      </c>
      <c r="W3670" s="13">
        <f>$E3670+15</f>
        <v>118</v>
      </c>
      <c r="X3670" s="14">
        <f>IF($J3670=0,0,ROUND(MAX($J3670*1.4*1.5*1.6*1.6*2.2*2.715*2.6,3540000000*(1.579646^(MIN($E3670,123)-117)))*1,0))</f>
        <v>5877146</v>
      </c>
      <c r="Y3670" s="11">
        <f>$E3670+17</f>
        <v>120</v>
      </c>
      <c r="Z3670" s="12">
        <f>IF($J3670=0,0,ROUND(MAX($J3670*1.4*1.5*1.6*1.6*2.2*2.715*2.6*1.4,6020000000*(1.651178^(MIN($E3670,123)-117)))*1,0))</f>
        <v>5376281</v>
      </c>
      <c r="AA3670" s="13">
        <f>$E3670+19</f>
        <v>122</v>
      </c>
      <c r="AB3670" s="14">
        <f>IF($J3670=0,0,ROUND(MAX($J3670*1.4*1.5*1.6*1.6*2.2*2.715*2.6*1.4*1.4,8430000000*(1.651435^(MIN($E3670,123)-117)))*1,0))</f>
        <v>7512194</v>
      </c>
      <c r="AC3670" s="11">
        <f>$E3670+21</f>
        <v>124</v>
      </c>
      <c r="AD3670" s="12">
        <f>IF($J3670=0,0,ROUND(MAX($J3670*1.4*1.5*1.6*1.6*2.2*2.715*2.6*1.4*1.4*1.5,12600000000*(1.652953^(MIN($E3670,123)-117)))*1,0))</f>
        <v>11084688</v>
      </c>
      <c r="AE3670" s="13">
        <f>$E3670+24</f>
        <v>127</v>
      </c>
      <c r="AF3670" s="14">
        <f>IF($J3670=0,0,ROUND(MAX($J3670*1.4*1.5*1.6*1.6*2.2*2.715*2.6*1.4*1.4*1.5*1.5,18900000000*(1.65331^(MIN($E3670,123)-117)))*1,0))</f>
        <v>16576839</v>
      </c>
      <c r="AG3670" s="11">
        <f>$E3670+27</f>
        <v>130</v>
      </c>
      <c r="AH3670" s="12">
        <f>IF($J3670=0,0,ROUND(MAX($J3670*1.4*1.5*1.6*1.6*2.2*2.715*2.6*1.4*1.4*1.5*1.5*3.2,60500000000*(1.654288^(MIN($E3670,123)-117)))*1,0))</f>
        <v>52625920</v>
      </c>
    </row>
    <row r="3671" ht="28" customHeight="1" spans="1:34" x14ac:dyDescent="0.25">
      <c r="A3671">
        <v>3681</v>
      </c>
      <c r="B3671" t="s">
        <v>739</v>
      </c>
      <c r="C3671" s="10" t="s">
        <v>1813</v>
      </c>
      <c r="D3671" t="s">
        <v>75</v>
      </c>
      <c r="E3671">
        <v>103</v>
      </c>
      <c r="F3671" t="s">
        <v>59</v>
      </c>
      <c r="G3671" t="s">
        <v>35</v>
      </c>
      <c r="H3671">
        <v>21</v>
      </c>
      <c r="I3671" s="11">
        <f>$E3671+0</f>
        <v>103</v>
      </c>
      <c r="J3671" s="12">
        <v>45900</v>
      </c>
      <c r="K3671" s="13">
        <f>$E3671+1</f>
        <v>104</v>
      </c>
      <c r="L3671" s="14">
        <f>IF($J3671=0,0,ROUND(MAX($J3671*1.4,1620000*(1.497923^(MIN($E3671,123)-117)))*1,0))</f>
        <v>64260</v>
      </c>
      <c r="M3671" s="11">
        <f>$E3671+2</f>
        <v>105</v>
      </c>
      <c r="N3671" s="12">
        <f>IF($J3671=0,0,ROUND(MAX($J3671*1.4*1.5,2190000*(1.580994^(MIN($E3671,123)-117)))*1,0))</f>
        <v>96390</v>
      </c>
      <c r="O3671" s="13">
        <f>$E3671+4</f>
        <v>107</v>
      </c>
      <c r="P3671" s="14">
        <f>IF($J3671=0,0,ROUND(MAX($J3671*1.4*1.5*1.6,3500000*(1.57975^(MIN($E3671,123)-117)))*1,0))</f>
        <v>154224</v>
      </c>
      <c r="Q3671" s="11">
        <f>$E3671+6</f>
        <v>109</v>
      </c>
      <c r="R3671" s="12">
        <f>IF($J3671=0,0,ROUND(MAX($J3671*1.4*1.5*1.6*1.6,13100000*(1.429962^(MIN($E3671,123)-117)))*1,0))</f>
        <v>246758</v>
      </c>
      <c r="S3671" s="13">
        <f>$E3671+8</f>
        <v>111</v>
      </c>
      <c r="T3671" s="14">
        <f>IF($J3671=0,0,ROUND(MAX($J3671*1.4*1.5*1.6*1.6*2.2,42600000*(1.576904^(MIN($E3671,123)-117)))*1,0))</f>
        <v>542868</v>
      </c>
      <c r="U3671" s="11">
        <f>$E3671+11</f>
        <v>114</v>
      </c>
      <c r="V3671" s="12">
        <f>IF($J3671=0,0,ROUND(MAX($J3671*1.4*1.5*1.6*1.6*2.2*2.715,354000000*(1.642074^(MIN($E3671,123)-117)))*1,0))</f>
        <v>1473888</v>
      </c>
      <c r="W3671" s="13">
        <f>$E3671+15</f>
        <v>118</v>
      </c>
      <c r="X3671" s="14">
        <f>IF($J3671=0,0,ROUND(MAX($J3671*1.4*1.5*1.6*1.6*2.2*2.715*2.6,3540000000*(1.579646^(MIN($E3671,123)-117)))*1,0))</f>
        <v>5877146</v>
      </c>
      <c r="Y3671" s="11">
        <f>$E3671+17</f>
        <v>120</v>
      </c>
      <c r="Z3671" s="12">
        <f>IF($J3671=0,0,ROUND(MAX($J3671*1.4*1.5*1.6*1.6*2.2*2.715*2.6*1.4,6020000000*(1.651178^(MIN($E3671,123)-117)))*1,0))</f>
        <v>5376281</v>
      </c>
      <c r="AA3671" s="13">
        <f>$E3671+19</f>
        <v>122</v>
      </c>
      <c r="AB3671" s="14">
        <f>IF($J3671=0,0,ROUND(MAX($J3671*1.4*1.5*1.6*1.6*2.2*2.715*2.6*1.4*1.4,8430000000*(1.651435^(MIN($E3671,123)-117)))*1,0))</f>
        <v>7512194</v>
      </c>
      <c r="AC3671" s="11">
        <f>$E3671+21</f>
        <v>124</v>
      </c>
      <c r="AD3671" s="12">
        <f>IF($J3671=0,0,ROUND(MAX($J3671*1.4*1.5*1.6*1.6*2.2*2.715*2.6*1.4*1.4*1.5,12600000000*(1.652953^(MIN($E3671,123)-117)))*1,0))</f>
        <v>11266399</v>
      </c>
      <c r="AE3671" s="13">
        <f>$E3671+24</f>
        <v>127</v>
      </c>
      <c r="AF3671" s="14">
        <f>IF($J3671=0,0,ROUND(MAX($J3671*1.4*1.5*1.6*1.6*2.2*2.715*2.6*1.4*1.4*1.5*1.5,18900000000*(1.65331^(MIN($E3671,123)-117)))*1,0))</f>
        <v>16899599</v>
      </c>
      <c r="AG3671" s="11">
        <f>$E3671+27</f>
        <v>130</v>
      </c>
      <c r="AH3671" s="12">
        <f>IF($J3671=0,0,ROUND(MAX($J3671*1.4*1.5*1.6*1.6*2.2*2.715*2.6*1.4*1.4*1.5*1.5*3.2,60500000000*(1.654288^(MIN($E3671,123)-117)))*1,0))</f>
        <v>54078717</v>
      </c>
    </row>
    <row r="3672" ht="28" customHeight="1" spans="1:34" x14ac:dyDescent="0.25">
      <c r="A3672">
        <v>3682</v>
      </c>
      <c r="B3672" t="s">
        <v>752</v>
      </c>
      <c r="C3672" s="10" t="s">
        <v>1813</v>
      </c>
      <c r="D3672" t="s">
        <v>75</v>
      </c>
      <c r="E3672">
        <v>103</v>
      </c>
      <c r="F3672" t="s">
        <v>71</v>
      </c>
      <c r="G3672" t="s">
        <v>270</v>
      </c>
      <c r="H3672">
        <v>21</v>
      </c>
      <c r="I3672" s="11">
        <f>$E3672+0</f>
        <v>103</v>
      </c>
      <c r="J3672" s="12">
        <v>18000</v>
      </c>
      <c r="K3672" s="13">
        <f>$E3672+1</f>
        <v>104</v>
      </c>
      <c r="L3672" s="14">
        <f>IF($J3672=0,0,ROUND(MAX($J3672*1.4,1620000*(1.497923^(MIN($E3672,123)-117)))*1,0))</f>
        <v>25200</v>
      </c>
      <c r="M3672" s="11">
        <f>$E3672+2</f>
        <v>105</v>
      </c>
      <c r="N3672" s="12">
        <f>IF($J3672=0,0,ROUND(MAX($J3672*1.4*1.5,2190000*(1.580994^(MIN($E3672,123)-117)))*1,0))</f>
        <v>37800</v>
      </c>
      <c r="O3672" s="13">
        <f>$E3672+4</f>
        <v>107</v>
      </c>
      <c r="P3672" s="14">
        <f>IF($J3672=0,0,ROUND(MAX($J3672*1.4*1.5*1.6,3500000*(1.57975^(MIN($E3672,123)-117)))*1,0))</f>
        <v>60480</v>
      </c>
      <c r="Q3672" s="11">
        <f>$E3672+6</f>
        <v>109</v>
      </c>
      <c r="R3672" s="12">
        <f>IF($J3672=0,0,ROUND(MAX($J3672*1.4*1.5*1.6*1.6,13100000*(1.429962^(MIN($E3672,123)-117)))*1,0))</f>
        <v>96768</v>
      </c>
      <c r="S3672" s="13">
        <f>$E3672+8</f>
        <v>111</v>
      </c>
      <c r="T3672" s="14">
        <f>IF($J3672=0,0,ROUND(MAX($J3672*1.4*1.5*1.6*1.6*2.2,42600000*(1.576904^(MIN($E3672,123)-117)))*1,0))</f>
        <v>212890</v>
      </c>
      <c r="U3672" s="11">
        <f>$E3672+11</f>
        <v>114</v>
      </c>
      <c r="V3672" s="12">
        <f>IF($J3672=0,0,ROUND(MAX($J3672*1.4*1.5*1.6*1.6*2.2*2.715,354000000*(1.642074^(MIN($E3672,123)-117)))*1,0))</f>
        <v>577995</v>
      </c>
      <c r="W3672" s="13">
        <f>$E3672+15</f>
        <v>118</v>
      </c>
      <c r="X3672" s="14">
        <f>IF($J3672=0,0,ROUND(MAX($J3672*1.4*1.5*1.6*1.6*2.2*2.715*2.6,3540000000*(1.579646^(MIN($E3672,123)-117)))*1,0))</f>
        <v>5877146</v>
      </c>
      <c r="Y3672" s="11">
        <f>$E3672+17</f>
        <v>120</v>
      </c>
      <c r="Z3672" s="12">
        <f>IF($J3672=0,0,ROUND(MAX($J3672*1.4*1.5*1.6*1.6*2.2*2.715*2.6*1.4,6020000000*(1.651178^(MIN($E3672,123)-117)))*1,0))</f>
        <v>5376281</v>
      </c>
      <c r="AA3672" s="13">
        <f>$E3672+19</f>
        <v>122</v>
      </c>
      <c r="AB3672" s="14">
        <f>IF($J3672=0,0,ROUND(MAX($J3672*1.4*1.5*1.6*1.6*2.2*2.715*2.6*1.4*1.4,8430000000*(1.651435^(MIN($E3672,123)-117)))*1,0))</f>
        <v>7512194</v>
      </c>
      <c r="AC3672" s="11">
        <f>$E3672+21</f>
        <v>124</v>
      </c>
      <c r="AD3672" s="12">
        <f>IF($J3672=0,0,ROUND(MAX($J3672*1.4*1.5*1.6*1.6*2.2*2.715*2.6*1.4*1.4*1.5,12600000000*(1.652953^(MIN($E3672,123)-117)))*1,0))</f>
        <v>11084688</v>
      </c>
      <c r="AE3672" s="13">
        <f>$E3672+24</f>
        <v>127</v>
      </c>
      <c r="AF3672" s="14">
        <f>IF($J3672=0,0,ROUND(MAX($J3672*1.4*1.5*1.6*1.6*2.2*2.715*2.6*1.4*1.4*1.5*1.5,18900000000*(1.65331^(MIN($E3672,123)-117)))*1,0))</f>
        <v>16576839</v>
      </c>
      <c r="AG3672" s="11">
        <f>$E3672+27</f>
        <v>130</v>
      </c>
      <c r="AH3672" s="12">
        <f>IF($J3672=0,0,ROUND(MAX($J3672*1.4*1.5*1.6*1.6*2.2*2.715*2.6*1.4*1.4*1.5*1.5*3.2,60500000000*(1.654288^(MIN($E3672,123)-117)))*1,0))</f>
        <v>52625920</v>
      </c>
    </row>
    <row r="3673" ht="28" customHeight="1" spans="1:34" x14ac:dyDescent="0.25">
      <c r="A3673">
        <v>3683</v>
      </c>
      <c r="B3673" t="s">
        <v>1149</v>
      </c>
      <c r="C3673" s="10" t="s">
        <v>1813</v>
      </c>
      <c r="D3673" t="s">
        <v>47</v>
      </c>
      <c r="E3673">
        <v>103</v>
      </c>
      <c r="F3673" t="s">
        <v>59</v>
      </c>
      <c r="G3673" t="s">
        <v>562</v>
      </c>
      <c r="H3673">
        <v>19</v>
      </c>
      <c r="I3673" s="11">
        <f>$E3673+0</f>
        <v>103</v>
      </c>
      <c r="J3673" s="12">
        <v>67500</v>
      </c>
      <c r="K3673" s="13">
        <f>$E3673+1</f>
        <v>104</v>
      </c>
      <c r="L3673" s="14">
        <f>IF($J3673=0,0,ROUND(MAX($J3673*1.4,1620000*(1.497923^(MIN($E3673,123)-117)))*1,0))</f>
        <v>94500</v>
      </c>
      <c r="M3673" s="11">
        <f>$E3673+2</f>
        <v>105</v>
      </c>
      <c r="N3673" s="12">
        <f>IF($J3673=0,0,ROUND(MAX($J3673*1.4*1.5,2190000*(1.580994^(MIN($E3673,123)-117)))*1,0))</f>
        <v>141750</v>
      </c>
      <c r="O3673" s="13">
        <f>$E3673+4</f>
        <v>107</v>
      </c>
      <c r="P3673" s="14">
        <f>IF($J3673=0,0,ROUND(MAX($J3673*1.4*1.5*1.6,3500000*(1.57975^(MIN($E3673,123)-117)))*1,0))</f>
        <v>226800</v>
      </c>
      <c r="Q3673" s="11">
        <f>$E3673+6</f>
        <v>109</v>
      </c>
      <c r="R3673" s="12">
        <f>IF($J3673=0,0,ROUND(MAX($J3673*1.4*1.5*1.6*1.6,13100000*(1.429962^(MIN($E3673,123)-117)))*1,0))</f>
        <v>362880</v>
      </c>
      <c r="S3673" s="13">
        <f>$E3673+8</f>
        <v>111</v>
      </c>
      <c r="T3673" s="14">
        <f>IF($J3673=0,0,ROUND(MAX($J3673*1.4*1.5*1.6*1.6*2.2,42600000*(1.576904^(MIN($E3673,123)-117)))*1,0))</f>
        <v>798336</v>
      </c>
      <c r="U3673" s="11">
        <f>$E3673+11</f>
        <v>114</v>
      </c>
      <c r="V3673" s="12">
        <f>IF($J3673=0,0,ROUND(MAX($J3673*1.4*1.5*1.6*1.6*2.2*2.715,354000000*(1.642074^(MIN($E3673,123)-117)))*1,0))</f>
        <v>2167482</v>
      </c>
      <c r="W3673" s="13">
        <f>$E3673+15</f>
        <v>118</v>
      </c>
      <c r="X3673" s="14">
        <f>IF($J3673=0,0,ROUND(MAX($J3673*1.4*1.5*1.6*1.6*2.2*2.715*2.6,3540000000*(1.579646^(MIN($E3673,123)-117)))*1,0))</f>
        <v>5877146</v>
      </c>
      <c r="Y3673" s="11">
        <f>$E3673+17</f>
        <v>120</v>
      </c>
      <c r="Z3673" s="12">
        <f>IF($J3673=0,0,ROUND(MAX($J3673*1.4*1.5*1.6*1.6*2.2*2.715*2.6*1.4,6020000000*(1.651178^(MIN($E3673,123)-117)))*1,0))</f>
        <v>7889635</v>
      </c>
      <c r="AA3673" s="13">
        <f>$E3673+19</f>
        <v>122</v>
      </c>
      <c r="AB3673" s="14">
        <f>IF($J3673=0,0,ROUND(MAX($J3673*1.4*1.5*1.6*1.6*2.2*2.715*2.6*1.4*1.4,8430000000*(1.651435^(MIN($E3673,123)-117)))*1,0))</f>
        <v>11045489</v>
      </c>
      <c r="AC3673" s="11">
        <f>$E3673+21</f>
        <v>124</v>
      </c>
      <c r="AD3673" s="12">
        <f>IF($J3673=0,0,ROUND(MAX($J3673*1.4*1.5*1.6*1.6*2.2*2.715*2.6*1.4*1.4*1.5,12600000000*(1.652953^(MIN($E3673,123)-117)))*1,0))</f>
        <v>16568234</v>
      </c>
      <c r="AE3673" s="13">
        <f>$E3673+24</f>
        <v>127</v>
      </c>
      <c r="AF3673" s="14">
        <f>IF($J3673=0,0,ROUND(MAX($J3673*1.4*1.5*1.6*1.6*2.2*2.715*2.6*1.4*1.4*1.5*1.5,18900000000*(1.65331^(MIN($E3673,123)-117)))*1,0))</f>
        <v>24852351</v>
      </c>
      <c r="AG3673" s="11">
        <f>$E3673+27</f>
        <v>130</v>
      </c>
      <c r="AH3673" s="12">
        <f>IF($J3673=0,0,ROUND(MAX($J3673*1.4*1.5*1.6*1.6*2.2*2.715*2.6*1.4*1.4*1.5*1.5*3.2,60500000000*(1.654288^(MIN($E3673,123)-117)))*1,0))</f>
        <v>79527524</v>
      </c>
    </row>
    <row r="3674" ht="28" customHeight="1" spans="1:34" x14ac:dyDescent="0.25">
      <c r="A3674">
        <v>3684</v>
      </c>
      <c r="B3674" t="s">
        <v>188</v>
      </c>
      <c r="C3674" s="10" t="s">
        <v>1813</v>
      </c>
      <c r="D3674" t="s">
        <v>47</v>
      </c>
      <c r="E3674">
        <v>103</v>
      </c>
      <c r="F3674" t="s">
        <v>42</v>
      </c>
      <c r="G3674" t="s">
        <v>562</v>
      </c>
      <c r="H3674">
        <v>19</v>
      </c>
      <c r="I3674" s="11">
        <f>$E3674+0</f>
        <v>103</v>
      </c>
      <c r="J3674" s="12">
        <v>15800000</v>
      </c>
      <c r="K3674" s="13">
        <f>$E3674+1</f>
        <v>104</v>
      </c>
      <c r="L3674" s="14">
        <f>IF($J3674=0,0,ROUND(MAX($J3674*1.4,1620000*(1.497923^(MIN($E3674,123)-117)))*1,0))</f>
        <v>22120000</v>
      </c>
      <c r="M3674" s="11">
        <f>$E3674+2</f>
        <v>105</v>
      </c>
      <c r="N3674" s="12">
        <f>IF($J3674=0,0,ROUND(MAX($J3674*1.4*1.5,2190000*(1.580994^(MIN($E3674,123)-117)))*1,0))</f>
        <v>33180000</v>
      </c>
      <c r="O3674" s="13">
        <f>$E3674+4</f>
        <v>107</v>
      </c>
      <c r="P3674" s="14">
        <f>IF($J3674=0,0,ROUND(MAX($J3674*1.4*1.5*1.6,3500000*(1.57975^(MIN($E3674,123)-117)))*1,0))</f>
        <v>53088000</v>
      </c>
      <c r="Q3674" s="11">
        <f>$E3674+6</f>
        <v>109</v>
      </c>
      <c r="R3674" s="12">
        <f>IF($J3674=0,0,ROUND(MAX($J3674*1.4*1.5*1.6*1.6,13100000*(1.429962^(MIN($E3674,123)-117)))*1,0))</f>
        <v>84940800</v>
      </c>
      <c r="S3674" s="13">
        <f>$E3674+8</f>
        <v>111</v>
      </c>
      <c r="T3674" s="14">
        <f>IF($J3674=0,0,ROUND(MAX($J3674*1.4*1.5*1.6*1.6*2.2,42600000*(1.576904^(MIN($E3674,123)-117)))*1,0))</f>
        <v>186869760</v>
      </c>
      <c r="U3674" s="11">
        <f>$E3674+11</f>
        <v>114</v>
      </c>
      <c r="V3674" s="12">
        <f>IF($J3674=0,0,ROUND(MAX($J3674*1.4*1.5*1.6*1.6*2.2*2.715,354000000*(1.642074^(MIN($E3674,123)-117)))*1,0))</f>
        <v>507351398</v>
      </c>
      <c r="W3674" s="13">
        <f>$E3674+15</f>
        <v>118</v>
      </c>
      <c r="X3674" s="14">
        <f>IF($J3674=0,0,ROUND(MAX($J3674*1.4*1.5*1.6*1.6*2.2*2.715*2.6,3540000000*(1.579646^(MIN($E3674,123)-117)))*1,0))</f>
        <v>1319113636</v>
      </c>
      <c r="Y3674" s="11">
        <f>$E3674+17</f>
        <v>120</v>
      </c>
      <c r="Z3674" s="12">
        <f>IF($J3674=0,0,ROUND(MAX($J3674*1.4*1.5*1.6*1.6*2.2*2.715*2.6*1.4,6020000000*(1.651178^(MIN($E3674,123)-117)))*1,0))</f>
        <v>1846759090</v>
      </c>
      <c r="AA3674" s="13">
        <f>$E3674+19</f>
        <v>122</v>
      </c>
      <c r="AB3674" s="14">
        <f>IF($J3674=0,0,ROUND(MAX($J3674*1.4*1.5*1.6*1.6*2.2*2.715*2.6*1.4*1.4,8430000000*(1.651435^(MIN($E3674,123)-117)))*1,0))</f>
        <v>2585462726</v>
      </c>
      <c r="AC3674" s="11">
        <f>$E3674+21</f>
        <v>124</v>
      </c>
      <c r="AD3674" s="12">
        <f>IF($J3674=0,0,ROUND(MAX($J3674*1.4*1.5*1.6*1.6*2.2*2.715*2.6*1.4*1.4*1.5,12600000000*(1.652953^(MIN($E3674,123)-117)))*1,0))</f>
        <v>3878194089</v>
      </c>
      <c r="AE3674" s="13">
        <f>$E3674+24</f>
        <v>127</v>
      </c>
      <c r="AF3674" s="14">
        <f>IF($J3674=0,0,ROUND(MAX($J3674*1.4*1.5*1.6*1.6*2.2*2.715*2.6*1.4*1.4*1.5*1.5,18900000000*(1.65331^(MIN($E3674,123)-117)))*1,0))</f>
        <v>5817291134</v>
      </c>
      <c r="AG3674" s="11">
        <f>$E3674+27</f>
        <v>130</v>
      </c>
      <c r="AH3674" s="12">
        <f>IF($J3674=0,0,ROUND(MAX($J3674*1.4*1.5*1.6*1.6*2.2*2.715*2.6*1.4*1.4*1.5*1.5*3.2,60500000000*(1.654288^(MIN($E3674,123)-117)))*1,0))</f>
        <v>18615331629</v>
      </c>
    </row>
    <row r="3675" ht="28" customHeight="1" spans="1:34" x14ac:dyDescent="0.25">
      <c r="A3675">
        <v>3685</v>
      </c>
      <c r="B3675" t="s">
        <v>539</v>
      </c>
      <c r="C3675" s="10" t="s">
        <v>1813</v>
      </c>
      <c r="D3675" t="s">
        <v>64</v>
      </c>
      <c r="E3675">
        <v>102</v>
      </c>
      <c r="F3675" t="s">
        <v>34</v>
      </c>
      <c r="G3675" t="s">
        <v>450</v>
      </c>
      <c r="H3675">
        <v>23</v>
      </c>
      <c r="I3675" s="11">
        <f>$E3675+0</f>
        <v>102</v>
      </c>
      <c r="J3675" s="12">
        <v>36100</v>
      </c>
      <c r="K3675" s="13">
        <f>$E3675+1</f>
        <v>103</v>
      </c>
      <c r="L3675" s="14">
        <f>IF($J3675=0,0,ROUND(MAX($J3675*1.4,1620000*(1.497923^(MIN($E3675,123)-117)))*1,0))</f>
        <v>50540</v>
      </c>
      <c r="M3675" s="11">
        <f>$E3675+2</f>
        <v>104</v>
      </c>
      <c r="N3675" s="12">
        <f>IF($J3675=0,0,ROUND(MAX($J3675*1.4*1.5,2190000*(1.580994^(MIN($E3675,123)-117)))*1,0))</f>
        <v>75810</v>
      </c>
      <c r="O3675" s="13">
        <f>$E3675+4</f>
        <v>106</v>
      </c>
      <c r="P3675" s="14">
        <f>IF($J3675=0,0,ROUND(MAX($J3675*1.4*1.5*1.6,3500000*(1.57975^(MIN($E3675,123)-117)))*1,0))</f>
        <v>121296</v>
      </c>
      <c r="Q3675" s="11">
        <f>$E3675+6</f>
        <v>108</v>
      </c>
      <c r="R3675" s="12">
        <f>IF($J3675=0,0,ROUND(MAX($J3675*1.4*1.5*1.6*1.6,13100000*(1.429962^(MIN($E3675,123)-117)))*1,0))</f>
        <v>194074</v>
      </c>
      <c r="S3675" s="13">
        <f>$E3675+8</f>
        <v>110</v>
      </c>
      <c r="T3675" s="14">
        <f>IF($J3675=0,0,ROUND(MAX($J3675*1.4*1.5*1.6*1.6*2.2,42600000*(1.576904^(MIN($E3675,123)-117)))*1,0))</f>
        <v>426962</v>
      </c>
      <c r="U3675" s="11">
        <f>$E3675+11</f>
        <v>113</v>
      </c>
      <c r="V3675" s="12">
        <f>IF($J3675=0,0,ROUND(MAX($J3675*1.4*1.5*1.6*1.6*2.2*2.715,354000000*(1.642074^(MIN($E3675,123)-117)))*1,0))</f>
        <v>1159202</v>
      </c>
      <c r="W3675" s="13">
        <f>$E3675+15</f>
        <v>117</v>
      </c>
      <c r="X3675" s="14">
        <f>IF($J3675=0,0,ROUND(MAX($J3675*1.4*1.5*1.6*1.6*2.2*2.715*2.6,3540000000*(1.579646^(MIN($E3675,123)-117)))*1,0))</f>
        <v>3720546</v>
      </c>
      <c r="Y3675" s="11">
        <f>$E3675+17</f>
        <v>119</v>
      </c>
      <c r="Z3675" s="12">
        <f>IF($J3675=0,0,ROUND(MAX($J3675*1.4*1.5*1.6*1.6*2.2*2.715*2.6*1.4,6020000000*(1.651178^(MIN($E3675,123)-117)))*1,0))</f>
        <v>4219494</v>
      </c>
      <c r="AA3675" s="13">
        <f>$E3675+19</f>
        <v>121</v>
      </c>
      <c r="AB3675" s="14">
        <f>IF($J3675=0,0,ROUND(MAX($J3675*1.4*1.5*1.6*1.6*2.2*2.715*2.6*1.4*1.4,8430000000*(1.651435^(MIN($E3675,123)-117)))*1,0))</f>
        <v>5907291</v>
      </c>
      <c r="AC3675" s="11">
        <f>$E3675+21</f>
        <v>123</v>
      </c>
      <c r="AD3675" s="12">
        <f>IF($J3675=0,0,ROUND(MAX($J3675*1.4*1.5*1.6*1.6*2.2*2.715*2.6*1.4*1.4*1.5,12600000000*(1.652953^(MIN($E3675,123)-117)))*1,0))</f>
        <v>8860937</v>
      </c>
      <c r="AE3675" s="13">
        <f>$E3675+24</f>
        <v>126</v>
      </c>
      <c r="AF3675" s="14">
        <f>IF($J3675=0,0,ROUND(MAX($J3675*1.4*1.5*1.6*1.6*2.2*2.715*2.6*1.4*1.4*1.5*1.5,18900000000*(1.65331^(MIN($E3675,123)-117)))*1,0))</f>
        <v>13291406</v>
      </c>
      <c r="AG3675" s="11">
        <f>$E3675+27</f>
        <v>129</v>
      </c>
      <c r="AH3675" s="12">
        <f>IF($J3675=0,0,ROUND(MAX($J3675*1.4*1.5*1.6*1.6*2.2*2.715*2.6*1.4*1.4*1.5*1.5*3.2,60500000000*(1.654288^(MIN($E3675,123)-117)))*1,0))</f>
        <v>42532498</v>
      </c>
    </row>
    <row r="3676" ht="28" customHeight="1" spans="1:34" x14ac:dyDescent="0.25">
      <c r="A3676">
        <v>3686</v>
      </c>
      <c r="B3676" t="s">
        <v>672</v>
      </c>
      <c r="C3676" s="10" t="s">
        <v>1813</v>
      </c>
      <c r="D3676" t="s">
        <v>33</v>
      </c>
      <c r="E3676">
        <v>102</v>
      </c>
      <c r="F3676" t="s">
        <v>34</v>
      </c>
      <c r="G3676" t="s">
        <v>562</v>
      </c>
      <c r="H3676">
        <v>23</v>
      </c>
      <c r="I3676" s="11">
        <f>$E3676+0</f>
        <v>102</v>
      </c>
      <c r="J3676" s="12">
        <v>82800</v>
      </c>
      <c r="K3676" s="13">
        <f>$E3676+1</f>
        <v>103</v>
      </c>
      <c r="L3676" s="14">
        <f>IF($J3676=0,0,ROUND(MAX($J3676*1.4,1620000*(1.497923^(MIN($E3676,123)-117)))*1,0))</f>
        <v>115920</v>
      </c>
      <c r="M3676" s="11">
        <f>$E3676+2</f>
        <v>104</v>
      </c>
      <c r="N3676" s="12">
        <f>IF($J3676=0,0,ROUND(MAX($J3676*1.4*1.5,2190000*(1.580994^(MIN($E3676,123)-117)))*1,0))</f>
        <v>173880</v>
      </c>
      <c r="O3676" s="13">
        <f>$E3676+4</f>
        <v>106</v>
      </c>
      <c r="P3676" s="14">
        <f>IF($J3676=0,0,ROUND(MAX($J3676*1.4*1.5*1.6,3500000*(1.57975^(MIN($E3676,123)-117)))*1,0))</f>
        <v>278208</v>
      </c>
      <c r="Q3676" s="11">
        <f>$E3676+6</f>
        <v>108</v>
      </c>
      <c r="R3676" s="12">
        <f>IF($J3676=0,0,ROUND(MAX($J3676*1.4*1.5*1.6*1.6,13100000*(1.429962^(MIN($E3676,123)-117)))*1,0))</f>
        <v>445133</v>
      </c>
      <c r="S3676" s="13">
        <f>$E3676+8</f>
        <v>110</v>
      </c>
      <c r="T3676" s="14">
        <f>IF($J3676=0,0,ROUND(MAX($J3676*1.4*1.5*1.6*1.6*2.2,42600000*(1.576904^(MIN($E3676,123)-117)))*1,0))</f>
        <v>979292</v>
      </c>
      <c r="U3676" s="11">
        <f>$E3676+11</f>
        <v>113</v>
      </c>
      <c r="V3676" s="12">
        <f>IF($J3676=0,0,ROUND(MAX($J3676*1.4*1.5*1.6*1.6*2.2*2.715,354000000*(1.642074^(MIN($E3676,123)-117)))*1,0))</f>
        <v>2658778</v>
      </c>
      <c r="W3676" s="13">
        <f>$E3676+15</f>
        <v>117</v>
      </c>
      <c r="X3676" s="14">
        <f>IF($J3676=0,0,ROUND(MAX($J3676*1.4*1.5*1.6*1.6*2.2*2.715*2.6,3540000000*(1.579646^(MIN($E3676,123)-117)))*1,0))</f>
        <v>6912823</v>
      </c>
      <c r="Y3676" s="11">
        <f>$E3676+17</f>
        <v>119</v>
      </c>
      <c r="Z3676" s="12">
        <f>IF($J3676=0,0,ROUND(MAX($J3676*1.4*1.5*1.6*1.6*2.2*2.715*2.6*1.4,6020000000*(1.651178^(MIN($E3676,123)-117)))*1,0))</f>
        <v>9677953</v>
      </c>
      <c r="AA3676" s="13">
        <f>$E3676+19</f>
        <v>121</v>
      </c>
      <c r="AB3676" s="14">
        <f>IF($J3676=0,0,ROUND(MAX($J3676*1.4*1.5*1.6*1.6*2.2*2.715*2.6*1.4*1.4,8430000000*(1.651435^(MIN($E3676,123)-117)))*1,0))</f>
        <v>13549134</v>
      </c>
      <c r="AC3676" s="11">
        <f>$E3676+21</f>
        <v>123</v>
      </c>
      <c r="AD3676" s="12">
        <f>IF($J3676=0,0,ROUND(MAX($J3676*1.4*1.5*1.6*1.6*2.2*2.715*2.6*1.4*1.4*1.5,12600000000*(1.652953^(MIN($E3676,123)-117)))*1,0))</f>
        <v>20323701</v>
      </c>
      <c r="AE3676" s="13">
        <f>$E3676+24</f>
        <v>126</v>
      </c>
      <c r="AF3676" s="14">
        <f>IF($J3676=0,0,ROUND(MAX($J3676*1.4*1.5*1.6*1.6*2.2*2.715*2.6*1.4*1.4*1.5*1.5,18900000000*(1.65331^(MIN($E3676,123)-117)))*1,0))</f>
        <v>30485551</v>
      </c>
      <c r="AG3676" s="11">
        <f>$E3676+27</f>
        <v>129</v>
      </c>
      <c r="AH3676" s="12">
        <f>IF($J3676=0,0,ROUND(MAX($J3676*1.4*1.5*1.6*1.6*2.2*2.715*2.6*1.4*1.4*1.5*1.5*3.2,60500000000*(1.654288^(MIN($E3676,123)-117)))*1,0))</f>
        <v>97553763</v>
      </c>
    </row>
    <row r="3677" ht="28" customHeight="1" spans="1:34" x14ac:dyDescent="0.25">
      <c r="A3677">
        <v>3687</v>
      </c>
      <c r="B3677" t="s">
        <v>1819</v>
      </c>
      <c r="C3677" s="10" t="s">
        <v>1813</v>
      </c>
      <c r="D3677" t="s">
        <v>25</v>
      </c>
      <c r="E3677">
        <v>102</v>
      </c>
      <c r="F3677" t="s">
        <v>146</v>
      </c>
      <c r="G3677" t="s">
        <v>562</v>
      </c>
      <c r="H3677">
        <v>22</v>
      </c>
      <c r="I3677" s="11">
        <f>$E3677+0</f>
        <v>102</v>
      </c>
      <c r="J3677" s="12">
        <v>28300</v>
      </c>
      <c r="K3677" s="13">
        <f>$E3677+1</f>
        <v>103</v>
      </c>
      <c r="L3677" s="14">
        <f>IF($J3677=0,0,ROUND(MAX($J3677*1.4,1620000*(1.497923^(MIN($E3677,123)-117)))*1,0))</f>
        <v>39620</v>
      </c>
      <c r="M3677" s="11">
        <f>$E3677+2</f>
        <v>104</v>
      </c>
      <c r="N3677" s="12">
        <f>IF($J3677=0,0,ROUND(MAX($J3677*1.4*1.5,2190000*(1.580994^(MIN($E3677,123)-117)))*1,0))</f>
        <v>59430</v>
      </c>
      <c r="O3677" s="13">
        <f>$E3677+4</f>
        <v>106</v>
      </c>
      <c r="P3677" s="14">
        <f>IF($J3677=0,0,ROUND(MAX($J3677*1.4*1.5*1.6,3500000*(1.57975^(MIN($E3677,123)-117)))*1,0))</f>
        <v>95088</v>
      </c>
      <c r="Q3677" s="11">
        <f>$E3677+6</f>
        <v>108</v>
      </c>
      <c r="R3677" s="12">
        <f>IF($J3677=0,0,ROUND(MAX($J3677*1.4*1.5*1.6*1.6,13100000*(1.429962^(MIN($E3677,123)-117)))*1,0))</f>
        <v>152141</v>
      </c>
      <c r="S3677" s="13">
        <f>$E3677+8</f>
        <v>110</v>
      </c>
      <c r="T3677" s="14">
        <f>IF($J3677=0,0,ROUND(MAX($J3677*1.4*1.5*1.6*1.6*2.2,42600000*(1.576904^(MIN($E3677,123)-117)))*1,0))</f>
        <v>334710</v>
      </c>
      <c r="U3677" s="11">
        <f>$E3677+11</f>
        <v>113</v>
      </c>
      <c r="V3677" s="12">
        <f>IF($J3677=0,0,ROUND(MAX($J3677*1.4*1.5*1.6*1.6*2.2*2.715,354000000*(1.642074^(MIN($E3677,123)-117)))*1,0))</f>
        <v>908737</v>
      </c>
      <c r="W3677" s="13">
        <f>$E3677+15</f>
        <v>117</v>
      </c>
      <c r="X3677" s="14">
        <f>IF($J3677=0,0,ROUND(MAX($J3677*1.4*1.5*1.6*1.6*2.2*2.715*2.6,3540000000*(1.579646^(MIN($E3677,123)-117)))*1,0))</f>
        <v>3720546</v>
      </c>
      <c r="Y3677" s="11">
        <f>$E3677+17</f>
        <v>119</v>
      </c>
      <c r="Z3677" s="12">
        <f>IF($J3677=0,0,ROUND(MAX($J3677*1.4*1.5*1.6*1.6*2.2*2.715*2.6*1.4,6020000000*(1.651178^(MIN($E3677,123)-117)))*1,0))</f>
        <v>3307803</v>
      </c>
      <c r="AA3677" s="13">
        <f>$E3677+19</f>
        <v>121</v>
      </c>
      <c r="AB3677" s="14">
        <f>IF($J3677=0,0,ROUND(MAX($J3677*1.4*1.5*1.6*1.6*2.2*2.715*2.6*1.4*1.4,8430000000*(1.651435^(MIN($E3677,123)-117)))*1,0))</f>
        <v>4630924</v>
      </c>
      <c r="AC3677" s="11">
        <f>$E3677+21</f>
        <v>123</v>
      </c>
      <c r="AD3677" s="12">
        <f>IF($J3677=0,0,ROUND(MAX($J3677*1.4*1.5*1.6*1.6*2.2*2.715*2.6*1.4*1.4*1.5,12600000000*(1.652953^(MIN($E3677,123)-117)))*1,0))</f>
        <v>6946386</v>
      </c>
      <c r="AE3677" s="13">
        <f>$E3677+24</f>
        <v>126</v>
      </c>
      <c r="AF3677" s="14">
        <f>IF($J3677=0,0,ROUND(MAX($J3677*1.4*1.5*1.6*1.6*2.2*2.715*2.6*1.4*1.4*1.5*1.5,18900000000*(1.65331^(MIN($E3677,123)-117)))*1,0))</f>
        <v>10419578</v>
      </c>
      <c r="AG3677" s="11">
        <f>$E3677+27</f>
        <v>129</v>
      </c>
      <c r="AH3677" s="12">
        <f>IF($J3677=0,0,ROUND(MAX($J3677*1.4*1.5*1.6*1.6*2.2*2.715*2.6*1.4*1.4*1.5*1.5*3.2,60500000000*(1.654288^(MIN($E3677,123)-117)))*1,0))</f>
        <v>33342651</v>
      </c>
    </row>
    <row r="3678" ht="28" customHeight="1" spans="1:34" x14ac:dyDescent="0.25">
      <c r="A3678">
        <v>3688</v>
      </c>
      <c r="B3678" t="s">
        <v>44</v>
      </c>
      <c r="C3678" s="10" t="s">
        <v>1813</v>
      </c>
      <c r="D3678" t="s">
        <v>25</v>
      </c>
      <c r="E3678">
        <v>102</v>
      </c>
      <c r="F3678" t="s">
        <v>34</v>
      </c>
      <c r="G3678" t="s">
        <v>562</v>
      </c>
      <c r="H3678">
        <v>22</v>
      </c>
      <c r="I3678" s="11">
        <f>$E3678+0</f>
        <v>102</v>
      </c>
      <c r="J3678" s="12">
        <v>33100</v>
      </c>
      <c r="K3678" s="13">
        <f>$E3678+1</f>
        <v>103</v>
      </c>
      <c r="L3678" s="14">
        <f>IF($J3678=0,0,ROUND(MAX($J3678*1.4,1620000*(1.497923^(MIN($E3678,123)-117)))*1,0))</f>
        <v>46340</v>
      </c>
      <c r="M3678" s="11">
        <f>$E3678+2</f>
        <v>104</v>
      </c>
      <c r="N3678" s="12">
        <f>IF($J3678=0,0,ROUND(MAX($J3678*1.4*1.5,2190000*(1.580994^(MIN($E3678,123)-117)))*1,0))</f>
        <v>69510</v>
      </c>
      <c r="O3678" s="13">
        <f>$E3678+4</f>
        <v>106</v>
      </c>
      <c r="P3678" s="14">
        <f>IF($J3678=0,0,ROUND(MAX($J3678*1.4*1.5*1.6,3500000*(1.57975^(MIN($E3678,123)-117)))*1,0))</f>
        <v>111216</v>
      </c>
      <c r="Q3678" s="11">
        <f>$E3678+6</f>
        <v>108</v>
      </c>
      <c r="R3678" s="12">
        <f>IF($J3678=0,0,ROUND(MAX($J3678*1.4*1.5*1.6*1.6,13100000*(1.429962^(MIN($E3678,123)-117)))*1,0))</f>
        <v>177946</v>
      </c>
      <c r="S3678" s="13">
        <f>$E3678+8</f>
        <v>110</v>
      </c>
      <c r="T3678" s="14">
        <f>IF($J3678=0,0,ROUND(MAX($J3678*1.4*1.5*1.6*1.6*2.2,42600000*(1.576904^(MIN($E3678,123)-117)))*1,0))</f>
        <v>391480</v>
      </c>
      <c r="U3678" s="11">
        <f>$E3678+11</f>
        <v>113</v>
      </c>
      <c r="V3678" s="12">
        <f>IF($J3678=0,0,ROUND(MAX($J3678*1.4*1.5*1.6*1.6*2.2*2.715,354000000*(1.642074^(MIN($E3678,123)-117)))*1,0))</f>
        <v>1062869</v>
      </c>
      <c r="W3678" s="13">
        <f>$E3678+15</f>
        <v>117</v>
      </c>
      <c r="X3678" s="14">
        <f>IF($J3678=0,0,ROUND(MAX($J3678*1.4*1.5*1.6*1.6*2.2*2.715*2.6,3540000000*(1.579646^(MIN($E3678,123)-117)))*1,0))</f>
        <v>3720546</v>
      </c>
      <c r="Y3678" s="11">
        <f>$E3678+17</f>
        <v>119</v>
      </c>
      <c r="Z3678" s="12">
        <f>IF($J3678=0,0,ROUND(MAX($J3678*1.4*1.5*1.6*1.6*2.2*2.715*2.6*1.4,6020000000*(1.651178^(MIN($E3678,123)-117)))*1,0))</f>
        <v>3868843</v>
      </c>
      <c r="AA3678" s="13">
        <f>$E3678+19</f>
        <v>121</v>
      </c>
      <c r="AB3678" s="14">
        <f>IF($J3678=0,0,ROUND(MAX($J3678*1.4*1.5*1.6*1.6*2.2*2.715*2.6*1.4*1.4,8430000000*(1.651435^(MIN($E3678,123)-117)))*1,0))</f>
        <v>5416381</v>
      </c>
      <c r="AC3678" s="11">
        <f>$E3678+21</f>
        <v>123</v>
      </c>
      <c r="AD3678" s="12">
        <f>IF($J3678=0,0,ROUND(MAX($J3678*1.4*1.5*1.6*1.6*2.2*2.715*2.6*1.4*1.4*1.5,12600000000*(1.652953^(MIN($E3678,123)-117)))*1,0))</f>
        <v>8124571</v>
      </c>
      <c r="AE3678" s="13">
        <f>$E3678+24</f>
        <v>126</v>
      </c>
      <c r="AF3678" s="14">
        <f>IF($J3678=0,0,ROUND(MAX($J3678*1.4*1.5*1.6*1.6*2.2*2.715*2.6*1.4*1.4*1.5*1.5,18900000000*(1.65331^(MIN($E3678,123)-117)))*1,0))</f>
        <v>12186857</v>
      </c>
      <c r="AG3678" s="11">
        <f>$E3678+27</f>
        <v>129</v>
      </c>
      <c r="AH3678" s="12">
        <f>IF($J3678=0,0,ROUND(MAX($J3678*1.4*1.5*1.6*1.6*2.2*2.715*2.6*1.4*1.4*1.5*1.5*3.2,60500000000*(1.654288^(MIN($E3678,123)-117)))*1,0))</f>
        <v>38997942</v>
      </c>
    </row>
    <row r="3679" ht="28" customHeight="1" spans="1:34" x14ac:dyDescent="0.25">
      <c r="A3679">
        <v>3689</v>
      </c>
      <c r="B3679" t="s">
        <v>1708</v>
      </c>
      <c r="C3679" s="10" t="s">
        <v>1813</v>
      </c>
      <c r="D3679" t="s">
        <v>165</v>
      </c>
      <c r="E3679">
        <v>102</v>
      </c>
      <c r="F3679" t="s">
        <v>34</v>
      </c>
      <c r="G3679" t="s">
        <v>562</v>
      </c>
      <c r="H3679">
        <v>22</v>
      </c>
      <c r="I3679" s="11">
        <f>$E3679+0</f>
        <v>102</v>
      </c>
      <c r="J3679" s="12">
        <v>1450000</v>
      </c>
      <c r="K3679" s="13">
        <f>$E3679+1</f>
        <v>103</v>
      </c>
      <c r="L3679" s="14">
        <f>IF($J3679=0,0,ROUND(MAX($J3679*1.4,1620000*(1.497923^(MIN($E3679,123)-117)))*1,0))</f>
        <v>2030000</v>
      </c>
      <c r="M3679" s="11">
        <f>$E3679+2</f>
        <v>104</v>
      </c>
      <c r="N3679" s="12">
        <f>IF($J3679=0,0,ROUND(MAX($J3679*1.4*1.5,2190000*(1.580994^(MIN($E3679,123)-117)))*1,0))</f>
        <v>3045000</v>
      </c>
      <c r="O3679" s="13">
        <f>$E3679+4</f>
        <v>106</v>
      </c>
      <c r="P3679" s="14">
        <f>IF($J3679=0,0,ROUND(MAX($J3679*1.4*1.5*1.6,3500000*(1.57975^(MIN($E3679,123)-117)))*1,0))</f>
        <v>4872000</v>
      </c>
      <c r="Q3679" s="11">
        <f>$E3679+6</f>
        <v>108</v>
      </c>
      <c r="R3679" s="12">
        <f>IF($J3679=0,0,ROUND(MAX($J3679*1.4*1.5*1.6*1.6,13100000*(1.429962^(MIN($E3679,123)-117)))*1,0))</f>
        <v>7795200</v>
      </c>
      <c r="S3679" s="13">
        <f>$E3679+8</f>
        <v>110</v>
      </c>
      <c r="T3679" s="14">
        <f>IF($J3679=0,0,ROUND(MAX($J3679*1.4*1.5*1.6*1.6*2.2,42600000*(1.576904^(MIN($E3679,123)-117)))*1,0))</f>
        <v>17149440</v>
      </c>
      <c r="U3679" s="11">
        <f>$E3679+11</f>
        <v>113</v>
      </c>
      <c r="V3679" s="12">
        <f>IF($J3679=0,0,ROUND(MAX($J3679*1.4*1.5*1.6*1.6*2.2*2.715,354000000*(1.642074^(MIN($E3679,123)-117)))*1,0))</f>
        <v>46560730</v>
      </c>
      <c r="W3679" s="13">
        <f>$E3679+15</f>
        <v>117</v>
      </c>
      <c r="X3679" s="14">
        <f>IF($J3679=0,0,ROUND(MAX($J3679*1.4*1.5*1.6*1.6*2.2*2.715*2.6,3540000000*(1.579646^(MIN($E3679,123)-117)))*1,0))</f>
        <v>121057897</v>
      </c>
      <c r="Y3679" s="11">
        <f>$E3679+17</f>
        <v>119</v>
      </c>
      <c r="Z3679" s="12">
        <f>IF($J3679=0,0,ROUND(MAX($J3679*1.4*1.5*1.6*1.6*2.2*2.715*2.6*1.4,6020000000*(1.651178^(MIN($E3679,123)-117)))*1,0))</f>
        <v>169481056</v>
      </c>
      <c r="AA3679" s="13">
        <f>$E3679+19</f>
        <v>121</v>
      </c>
      <c r="AB3679" s="14">
        <f>IF($J3679=0,0,ROUND(MAX($J3679*1.4*1.5*1.6*1.6*2.2*2.715*2.6*1.4*1.4,8430000000*(1.651435^(MIN($E3679,123)-117)))*1,0))</f>
        <v>237273478</v>
      </c>
      <c r="AC3679" s="11">
        <f>$E3679+21</f>
        <v>123</v>
      </c>
      <c r="AD3679" s="12">
        <f>IF($J3679=0,0,ROUND(MAX($J3679*1.4*1.5*1.6*1.6*2.2*2.715*2.6*1.4*1.4*1.5,12600000000*(1.652953^(MIN($E3679,123)-117)))*1,0))</f>
        <v>355910217</v>
      </c>
      <c r="AE3679" s="13">
        <f>$E3679+24</f>
        <v>126</v>
      </c>
      <c r="AF3679" s="14">
        <f>IF($J3679=0,0,ROUND(MAX($J3679*1.4*1.5*1.6*1.6*2.2*2.715*2.6*1.4*1.4*1.5*1.5,18900000000*(1.65331^(MIN($E3679,123)-117)))*1,0))</f>
        <v>533865326</v>
      </c>
      <c r="AG3679" s="11">
        <f>$E3679+27</f>
        <v>129</v>
      </c>
      <c r="AH3679" s="12">
        <f>IF($J3679=0,0,ROUND(MAX($J3679*1.4*1.5*1.6*1.6*2.2*2.715*2.6*1.4*1.4*1.5*1.5*3.2,60500000000*(1.654288^(MIN($E3679,123)-117)))*1,0))</f>
        <v>1708369042</v>
      </c>
    </row>
    <row r="3680" ht="28" customHeight="1" spans="1:34" x14ac:dyDescent="0.25">
      <c r="A3680">
        <v>3690</v>
      </c>
      <c r="B3680" t="s">
        <v>160</v>
      </c>
      <c r="C3680" s="10" t="s">
        <v>1813</v>
      </c>
      <c r="D3680" t="s">
        <v>40</v>
      </c>
      <c r="E3680">
        <v>102</v>
      </c>
      <c r="F3680" t="s">
        <v>54</v>
      </c>
      <c r="G3680" t="s">
        <v>562</v>
      </c>
      <c r="H3680">
        <v>22</v>
      </c>
      <c r="I3680" s="11">
        <f>$E3680+0</f>
        <v>102</v>
      </c>
      <c r="J3680" s="12">
        <v>5700</v>
      </c>
      <c r="K3680" s="13">
        <f>$E3680+1</f>
        <v>103</v>
      </c>
      <c r="L3680" s="14">
        <f>IF($J3680=0,0,ROUND(MAX($J3680*1.4,1620000*(1.497923^(MIN($E3680,123)-117)))*1,0))</f>
        <v>7980</v>
      </c>
      <c r="M3680" s="11">
        <f>$E3680+2</f>
        <v>104</v>
      </c>
      <c r="N3680" s="12">
        <f>IF($J3680=0,0,ROUND(MAX($J3680*1.4*1.5,2190000*(1.580994^(MIN($E3680,123)-117)))*1,0))</f>
        <v>11970</v>
      </c>
      <c r="O3680" s="13">
        <f>$E3680+4</f>
        <v>106</v>
      </c>
      <c r="P3680" s="14">
        <f>IF($J3680=0,0,ROUND(MAX($J3680*1.4*1.5*1.6,3500000*(1.57975^(MIN($E3680,123)-117)))*1,0))</f>
        <v>19152</v>
      </c>
      <c r="Q3680" s="11">
        <f>$E3680+6</f>
        <v>108</v>
      </c>
      <c r="R3680" s="12">
        <f>IF($J3680=0,0,ROUND(MAX($J3680*1.4*1.5*1.6*1.6,13100000*(1.429962^(MIN($E3680,123)-117)))*1,0))</f>
        <v>61292</v>
      </c>
      <c r="S3680" s="13">
        <f>$E3680+8</f>
        <v>110</v>
      </c>
      <c r="T3680" s="14">
        <f>IF($J3680=0,0,ROUND(MAX($J3680*1.4*1.5*1.6*1.6*2.2,42600000*(1.576904^(MIN($E3680,123)-117)))*1,0))</f>
        <v>67415</v>
      </c>
      <c r="U3680" s="11">
        <f>$E3680+11</f>
        <v>113</v>
      </c>
      <c r="V3680" s="12">
        <f>IF($J3680=0,0,ROUND(MAX($J3680*1.4*1.5*1.6*1.6*2.2*2.715,354000000*(1.642074^(MIN($E3680,123)-117)))*1,0))</f>
        <v>208023</v>
      </c>
      <c r="W3680" s="13">
        <f>$E3680+15</f>
        <v>117</v>
      </c>
      <c r="X3680" s="14">
        <f>IF($J3680=0,0,ROUND(MAX($J3680*1.4*1.5*1.6*1.6*2.2*2.715*2.6,3540000000*(1.579646^(MIN($E3680,123)-117)))*1,0))</f>
        <v>3720546</v>
      </c>
      <c r="Y3680" s="11">
        <f>$E3680+17</f>
        <v>119</v>
      </c>
      <c r="Z3680" s="12">
        <f>IF($J3680=0,0,ROUND(MAX($J3680*1.4*1.5*1.6*1.6*2.2*2.715*2.6*1.4,6020000000*(1.651178^(MIN($E3680,123)-117)))*1,0))</f>
        <v>3256028</v>
      </c>
      <c r="AA3680" s="13">
        <f>$E3680+19</f>
        <v>121</v>
      </c>
      <c r="AB3680" s="14">
        <f>IF($J3680=0,0,ROUND(MAX($J3680*1.4*1.5*1.6*1.6*2.2*2.715*2.6*1.4*1.4,8430000000*(1.651435^(MIN($E3680,123)-117)))*1,0))</f>
        <v>4548889</v>
      </c>
      <c r="AC3680" s="11">
        <f>$E3680+21</f>
        <v>123</v>
      </c>
      <c r="AD3680" s="12">
        <f>IF($J3680=0,0,ROUND(MAX($J3680*1.4*1.5*1.6*1.6*2.2*2.715*2.6*1.4*1.4*1.5,12600000000*(1.652953^(MIN($E3680,123)-117)))*1,0))</f>
        <v>6705991</v>
      </c>
      <c r="AE3680" s="13">
        <f>$E3680+24</f>
        <v>126</v>
      </c>
      <c r="AF3680" s="14">
        <f>IF($J3680=0,0,ROUND(MAX($J3680*1.4*1.5*1.6*1.6*2.2*2.715*2.6*1.4*1.4*1.5*1.5,18900000000*(1.65331^(MIN($E3680,123)-117)))*1,0))</f>
        <v>10026455</v>
      </c>
      <c r="AG3680" s="11">
        <f>$E3680+27</f>
        <v>129</v>
      </c>
      <c r="AH3680" s="12">
        <f>IF($J3680=0,0,ROUND(MAX($J3680*1.4*1.5*1.6*1.6*2.2*2.715*2.6*1.4*1.4*1.5*1.5*3.2,60500000000*(1.654288^(MIN($E3680,123)-117)))*1,0))</f>
        <v>31811825</v>
      </c>
    </row>
    <row r="3681" ht="28" customHeight="1" spans="1:34" x14ac:dyDescent="0.25">
      <c r="A3681">
        <v>3691</v>
      </c>
      <c r="B3681" t="s">
        <v>190</v>
      </c>
      <c r="C3681" s="10" t="s">
        <v>1813</v>
      </c>
      <c r="D3681" t="s">
        <v>331</v>
      </c>
      <c r="E3681">
        <v>102</v>
      </c>
      <c r="F3681" t="s">
        <v>62</v>
      </c>
      <c r="G3681" t="s">
        <v>562</v>
      </c>
      <c r="H3681">
        <v>22</v>
      </c>
      <c r="I3681" s="11">
        <f>$E3681+0</f>
        <v>102</v>
      </c>
      <c r="J3681" s="12">
        <v>23100</v>
      </c>
      <c r="K3681" s="13">
        <f>$E3681+1</f>
        <v>103</v>
      </c>
      <c r="L3681" s="14">
        <f>IF($J3681=0,0,ROUND(MAX($J3681*1.4,1620000*(1.497923^(MIN($E3681,123)-117)))*1,0))</f>
        <v>32340</v>
      </c>
      <c r="M3681" s="11">
        <f>$E3681+2</f>
        <v>104</v>
      </c>
      <c r="N3681" s="12">
        <f>IF($J3681=0,0,ROUND(MAX($J3681*1.4*1.5,2190000*(1.580994^(MIN($E3681,123)-117)))*1,0))</f>
        <v>48510</v>
      </c>
      <c r="O3681" s="13">
        <f>$E3681+4</f>
        <v>106</v>
      </c>
      <c r="P3681" s="14">
        <f>IF($J3681=0,0,ROUND(MAX($J3681*1.4*1.5*1.6,3500000*(1.57975^(MIN($E3681,123)-117)))*1,0))</f>
        <v>77616</v>
      </c>
      <c r="Q3681" s="11">
        <f>$E3681+6</f>
        <v>108</v>
      </c>
      <c r="R3681" s="12">
        <f>IF($J3681=0,0,ROUND(MAX($J3681*1.4*1.5*1.6*1.6,13100000*(1.429962^(MIN($E3681,123)-117)))*1,0))</f>
        <v>124186</v>
      </c>
      <c r="S3681" s="13">
        <f>$E3681+8</f>
        <v>110</v>
      </c>
      <c r="T3681" s="14">
        <f>IF($J3681=0,0,ROUND(MAX($J3681*1.4*1.5*1.6*1.6*2.2,42600000*(1.576904^(MIN($E3681,123)-117)))*1,0))</f>
        <v>273208</v>
      </c>
      <c r="U3681" s="11">
        <f>$E3681+11</f>
        <v>113</v>
      </c>
      <c r="V3681" s="12">
        <f>IF($J3681=0,0,ROUND(MAX($J3681*1.4*1.5*1.6*1.6*2.2*2.715,354000000*(1.642074^(MIN($E3681,123)-117)))*1,0))</f>
        <v>741761</v>
      </c>
      <c r="W3681" s="13">
        <f>$E3681+15</f>
        <v>117</v>
      </c>
      <c r="X3681" s="14">
        <f>IF($J3681=0,0,ROUND(MAX($J3681*1.4*1.5*1.6*1.6*2.2*2.715*2.6,3540000000*(1.579646^(MIN($E3681,123)-117)))*1,0))</f>
        <v>3720546</v>
      </c>
      <c r="Y3681" s="11">
        <f>$E3681+17</f>
        <v>119</v>
      </c>
      <c r="Z3681" s="12">
        <f>IF($J3681=0,0,ROUND(MAX($J3681*1.4*1.5*1.6*1.6*2.2*2.715*2.6*1.4,6020000000*(1.651178^(MIN($E3681,123)-117)))*1,0))</f>
        <v>3256028</v>
      </c>
      <c r="AA3681" s="13">
        <f>$E3681+19</f>
        <v>121</v>
      </c>
      <c r="AB3681" s="14">
        <f>IF($J3681=0,0,ROUND(MAX($J3681*1.4*1.5*1.6*1.6*2.2*2.715*2.6*1.4*1.4,8430000000*(1.651435^(MIN($E3681,123)-117)))*1,0))</f>
        <v>4548889</v>
      </c>
      <c r="AC3681" s="11">
        <f>$E3681+21</f>
        <v>123</v>
      </c>
      <c r="AD3681" s="12">
        <f>IF($J3681=0,0,ROUND(MAX($J3681*1.4*1.5*1.6*1.6*2.2*2.715*2.6*1.4*1.4*1.5,12600000000*(1.652953^(MIN($E3681,123)-117)))*1,0))</f>
        <v>6705991</v>
      </c>
      <c r="AE3681" s="13">
        <f>$E3681+24</f>
        <v>126</v>
      </c>
      <c r="AF3681" s="14">
        <f>IF($J3681=0,0,ROUND(MAX($J3681*1.4*1.5*1.6*1.6*2.2*2.715*2.6*1.4*1.4*1.5*1.5,18900000000*(1.65331^(MIN($E3681,123)-117)))*1,0))</f>
        <v>10026455</v>
      </c>
      <c r="AG3681" s="11">
        <f>$E3681+27</f>
        <v>129</v>
      </c>
      <c r="AH3681" s="12">
        <f>IF($J3681=0,0,ROUND(MAX($J3681*1.4*1.5*1.6*1.6*2.2*2.715*2.6*1.4*1.4*1.5*1.5*3.2,60500000000*(1.654288^(MIN($E3681,123)-117)))*1,0))</f>
        <v>31811825</v>
      </c>
    </row>
    <row r="3682" ht="28" customHeight="1" spans="1:34" x14ac:dyDescent="0.25">
      <c r="A3682">
        <v>3692</v>
      </c>
      <c r="B3682" t="s">
        <v>159</v>
      </c>
      <c r="C3682" s="10" t="s">
        <v>1813</v>
      </c>
      <c r="D3682" t="s">
        <v>45</v>
      </c>
      <c r="E3682">
        <v>102</v>
      </c>
      <c r="F3682" t="s">
        <v>42</v>
      </c>
      <c r="G3682" t="s">
        <v>562</v>
      </c>
      <c r="H3682">
        <v>22</v>
      </c>
      <c r="I3682" s="11">
        <f>$E3682+0</f>
        <v>102</v>
      </c>
      <c r="J3682" s="12">
        <v>12000</v>
      </c>
      <c r="K3682" s="13">
        <f>$E3682+1</f>
        <v>103</v>
      </c>
      <c r="L3682" s="14">
        <f>IF($J3682=0,0,ROUND(MAX($J3682*1.4,1620000*(1.497923^(MIN($E3682,123)-117)))*1,0))</f>
        <v>16800</v>
      </c>
      <c r="M3682" s="11">
        <f>$E3682+2</f>
        <v>104</v>
      </c>
      <c r="N3682" s="12">
        <f>IF($J3682=0,0,ROUND(MAX($J3682*1.4*1.5,2190000*(1.580994^(MIN($E3682,123)-117)))*1,0))</f>
        <v>25200</v>
      </c>
      <c r="O3682" s="13">
        <f>$E3682+4</f>
        <v>106</v>
      </c>
      <c r="P3682" s="14">
        <f>IF($J3682=0,0,ROUND(MAX($J3682*1.4*1.5*1.6,3500000*(1.57975^(MIN($E3682,123)-117)))*1,0))</f>
        <v>40320</v>
      </c>
      <c r="Q3682" s="11">
        <f>$E3682+6</f>
        <v>108</v>
      </c>
      <c r="R3682" s="12">
        <f>IF($J3682=0,0,ROUND(MAX($J3682*1.4*1.5*1.6*1.6,13100000*(1.429962^(MIN($E3682,123)-117)))*1,0))</f>
        <v>64512</v>
      </c>
      <c r="S3682" s="13">
        <f>$E3682+8</f>
        <v>110</v>
      </c>
      <c r="T3682" s="14">
        <f>IF($J3682=0,0,ROUND(MAX($J3682*1.4*1.5*1.6*1.6*2.2,42600000*(1.576904^(MIN($E3682,123)-117)))*1,0))</f>
        <v>141926</v>
      </c>
      <c r="U3682" s="11">
        <f>$E3682+11</f>
        <v>113</v>
      </c>
      <c r="V3682" s="12">
        <f>IF($J3682=0,0,ROUND(MAX($J3682*1.4*1.5*1.6*1.6*2.2*2.715,354000000*(1.642074^(MIN($E3682,123)-117)))*1,0))</f>
        <v>385330</v>
      </c>
      <c r="W3682" s="13">
        <f>$E3682+15</f>
        <v>117</v>
      </c>
      <c r="X3682" s="14">
        <f>IF($J3682=0,0,ROUND(MAX($J3682*1.4*1.5*1.6*1.6*2.2*2.715*2.6,3540000000*(1.579646^(MIN($E3682,123)-117)))*1,0))</f>
        <v>3720546</v>
      </c>
      <c r="Y3682" s="11">
        <f>$E3682+17</f>
        <v>119</v>
      </c>
      <c r="Z3682" s="12">
        <f>IF($J3682=0,0,ROUND(MAX($J3682*1.4*1.5*1.6*1.6*2.2*2.715*2.6*1.4,6020000000*(1.651178^(MIN($E3682,123)-117)))*1,0))</f>
        <v>3256028</v>
      </c>
      <c r="AA3682" s="13">
        <f>$E3682+19</f>
        <v>121</v>
      </c>
      <c r="AB3682" s="14">
        <f>IF($J3682=0,0,ROUND(MAX($J3682*1.4*1.5*1.6*1.6*2.2*2.715*2.6*1.4*1.4,8430000000*(1.651435^(MIN($E3682,123)-117)))*1,0))</f>
        <v>4548889</v>
      </c>
      <c r="AC3682" s="11">
        <f>$E3682+21</f>
        <v>123</v>
      </c>
      <c r="AD3682" s="12">
        <f>IF($J3682=0,0,ROUND(MAX($J3682*1.4*1.5*1.6*1.6*2.2*2.715*2.6*1.4*1.4*1.5,12600000000*(1.652953^(MIN($E3682,123)-117)))*1,0))</f>
        <v>6705991</v>
      </c>
      <c r="AE3682" s="13">
        <f>$E3682+24</f>
        <v>126</v>
      </c>
      <c r="AF3682" s="14">
        <f>IF($J3682=0,0,ROUND(MAX($J3682*1.4*1.5*1.6*1.6*2.2*2.715*2.6*1.4*1.4*1.5*1.5,18900000000*(1.65331^(MIN($E3682,123)-117)))*1,0))</f>
        <v>10026455</v>
      </c>
      <c r="AG3682" s="11">
        <f>$E3682+27</f>
        <v>129</v>
      </c>
      <c r="AH3682" s="12">
        <f>IF($J3682=0,0,ROUND(MAX($J3682*1.4*1.5*1.6*1.6*2.2*2.715*2.6*1.4*1.4*1.5*1.5*3.2,60500000000*(1.654288^(MIN($E3682,123)-117)))*1,0))</f>
        <v>31811825</v>
      </c>
    </row>
    <row r="3683" ht="28" customHeight="1" spans="1:34" x14ac:dyDescent="0.25">
      <c r="A3683">
        <v>3693</v>
      </c>
      <c r="B3683" t="s">
        <v>1706</v>
      </c>
      <c r="C3683" s="10" t="s">
        <v>1813</v>
      </c>
      <c r="D3683" t="s">
        <v>40</v>
      </c>
      <c r="E3683">
        <v>102</v>
      </c>
      <c r="F3683" t="s">
        <v>62</v>
      </c>
      <c r="G3683" t="s">
        <v>562</v>
      </c>
      <c r="H3683">
        <v>22</v>
      </c>
      <c r="I3683" s="11">
        <f>$E3683+0</f>
        <v>102</v>
      </c>
      <c r="J3683" s="12">
        <v>314000</v>
      </c>
      <c r="K3683" s="13">
        <f>$E3683+1</f>
        <v>103</v>
      </c>
      <c r="L3683" s="14">
        <f>IF($J3683=0,0,ROUND(MAX($J3683*1.4,1620000*(1.497923^(MIN($E3683,123)-117)))*1,0))</f>
        <v>439600</v>
      </c>
      <c r="M3683" s="11">
        <f>$E3683+2</f>
        <v>104</v>
      </c>
      <c r="N3683" s="12">
        <f>IF($J3683=0,0,ROUND(MAX($J3683*1.4*1.5,2190000*(1.580994^(MIN($E3683,123)-117)))*1,0))</f>
        <v>659400</v>
      </c>
      <c r="O3683" s="13">
        <f>$E3683+4</f>
        <v>106</v>
      </c>
      <c r="P3683" s="14">
        <f>IF($J3683=0,0,ROUND(MAX($J3683*1.4*1.5*1.6,3500000*(1.57975^(MIN($E3683,123)-117)))*1,0))</f>
        <v>1055040</v>
      </c>
      <c r="Q3683" s="11">
        <f>$E3683+6</f>
        <v>108</v>
      </c>
      <c r="R3683" s="12">
        <f>IF($J3683=0,0,ROUND(MAX($J3683*1.4*1.5*1.6*1.6,13100000*(1.429962^(MIN($E3683,123)-117)))*1,0))</f>
        <v>1688064</v>
      </c>
      <c r="S3683" s="13">
        <f>$E3683+8</f>
        <v>110</v>
      </c>
      <c r="T3683" s="14">
        <f>IF($J3683=0,0,ROUND(MAX($J3683*1.4*1.5*1.6*1.6*2.2,42600000*(1.576904^(MIN($E3683,123)-117)))*1,0))</f>
        <v>3713741</v>
      </c>
      <c r="U3683" s="11">
        <f>$E3683+11</f>
        <v>113</v>
      </c>
      <c r="V3683" s="12">
        <f>IF($J3683=0,0,ROUND(MAX($J3683*1.4*1.5*1.6*1.6*2.2*2.715,354000000*(1.642074^(MIN($E3683,123)-117)))*1,0))</f>
        <v>10082806</v>
      </c>
      <c r="W3683" s="13">
        <f>$E3683+15</f>
        <v>117</v>
      </c>
      <c r="X3683" s="14">
        <f>IF($J3683=0,0,ROUND(MAX($J3683*1.4*1.5*1.6*1.6*2.2*2.715*2.6,3540000000*(1.579646^(MIN($E3683,123)-117)))*1,0))</f>
        <v>26215296</v>
      </c>
      <c r="Y3683" s="11">
        <f>$E3683+17</f>
        <v>119</v>
      </c>
      <c r="Z3683" s="12">
        <f>IF($J3683=0,0,ROUND(MAX($J3683*1.4*1.5*1.6*1.6*2.2*2.715*2.6*1.4,6020000000*(1.651178^(MIN($E3683,123)-117)))*1,0))</f>
        <v>36701415</v>
      </c>
      <c r="AA3683" s="13">
        <f>$E3683+19</f>
        <v>121</v>
      </c>
      <c r="AB3683" s="14">
        <f>IF($J3683=0,0,ROUND(MAX($J3683*1.4*1.5*1.6*1.6*2.2*2.715*2.6*1.4*1.4,8430000000*(1.651435^(MIN($E3683,123)-117)))*1,0))</f>
        <v>51381981</v>
      </c>
      <c r="AC3683" s="11">
        <f>$E3683+21</f>
        <v>123</v>
      </c>
      <c r="AD3683" s="12">
        <f>IF($J3683=0,0,ROUND(MAX($J3683*1.4*1.5*1.6*1.6*2.2*2.715*2.6*1.4*1.4*1.5,12600000000*(1.652953^(MIN($E3683,123)-117)))*1,0))</f>
        <v>77072971</v>
      </c>
      <c r="AE3683" s="13">
        <f>$E3683+24</f>
        <v>126</v>
      </c>
      <c r="AF3683" s="14">
        <f>IF($J3683=0,0,ROUND(MAX($J3683*1.4*1.5*1.6*1.6*2.2*2.715*2.6*1.4*1.4*1.5*1.5,18900000000*(1.65331^(MIN($E3683,123)-117)))*1,0))</f>
        <v>115609457</v>
      </c>
      <c r="AG3683" s="11">
        <f>$E3683+27</f>
        <v>129</v>
      </c>
      <c r="AH3683" s="12">
        <f>IF($J3683=0,0,ROUND(MAX($J3683*1.4*1.5*1.6*1.6*2.2*2.715*2.6*1.4*1.4*1.5*1.5*3.2,60500000000*(1.654288^(MIN($E3683,123)-117)))*1,0))</f>
        <v>369950261</v>
      </c>
    </row>
    <row r="3684" ht="28" customHeight="1" spans="1:34" x14ac:dyDescent="0.25">
      <c r="A3684">
        <v>3694</v>
      </c>
      <c r="B3684" t="s">
        <v>925</v>
      </c>
      <c r="C3684" s="10" t="s">
        <v>1813</v>
      </c>
      <c r="D3684" t="s">
        <v>40</v>
      </c>
      <c r="E3684">
        <v>102</v>
      </c>
      <c r="F3684" t="s">
        <v>56</v>
      </c>
      <c r="G3684" t="s">
        <v>562</v>
      </c>
      <c r="H3684">
        <v>22</v>
      </c>
      <c r="I3684" s="11">
        <f>$E3684+0</f>
        <v>102</v>
      </c>
      <c r="J3684" s="12">
        <v>3260</v>
      </c>
      <c r="K3684" s="13">
        <f>$E3684+1</f>
        <v>103</v>
      </c>
      <c r="L3684" s="14">
        <f>IF($J3684=0,0,ROUND(MAX($J3684*1.4,1620000*(1.497923^(MIN($E3684,123)-117)))*1,0))</f>
        <v>4564</v>
      </c>
      <c r="M3684" s="11">
        <f>$E3684+2</f>
        <v>104</v>
      </c>
      <c r="N3684" s="12">
        <f>IF($J3684=0,0,ROUND(MAX($J3684*1.4*1.5,2190000*(1.580994^(MIN($E3684,123)-117)))*1,0))</f>
        <v>6846</v>
      </c>
      <c r="O3684" s="13">
        <f>$E3684+4</f>
        <v>106</v>
      </c>
      <c r="P3684" s="14">
        <f>IF($J3684=0,0,ROUND(MAX($J3684*1.4*1.5*1.6,3500000*(1.57975^(MIN($E3684,123)-117)))*1,0))</f>
        <v>10954</v>
      </c>
      <c r="Q3684" s="11">
        <f>$E3684+6</f>
        <v>108</v>
      </c>
      <c r="R3684" s="12">
        <f>IF($J3684=0,0,ROUND(MAX($J3684*1.4*1.5*1.6*1.6,13100000*(1.429962^(MIN($E3684,123)-117)))*1,0))</f>
        <v>61292</v>
      </c>
      <c r="S3684" s="13">
        <f>$E3684+8</f>
        <v>110</v>
      </c>
      <c r="T3684" s="14">
        <f>IF($J3684=0,0,ROUND(MAX($J3684*1.4*1.5*1.6*1.6*2.2,42600000*(1.576904^(MIN($E3684,123)-117)))*1,0))</f>
        <v>45955</v>
      </c>
      <c r="U3684" s="11">
        <f>$E3684+11</f>
        <v>113</v>
      </c>
      <c r="V3684" s="12">
        <f>IF($J3684=0,0,ROUND(MAX($J3684*1.4*1.5*1.6*1.6*2.2*2.715,354000000*(1.642074^(MIN($E3684,123)-117)))*1,0))</f>
        <v>208023</v>
      </c>
      <c r="W3684" s="13">
        <f>$E3684+15</f>
        <v>117</v>
      </c>
      <c r="X3684" s="14">
        <f>IF($J3684=0,0,ROUND(MAX($J3684*1.4*1.5*1.6*1.6*2.2*2.715*2.6,3540000000*(1.579646^(MIN($E3684,123)-117)))*1,0))</f>
        <v>3720546</v>
      </c>
      <c r="Y3684" s="11">
        <f>$E3684+17</f>
        <v>119</v>
      </c>
      <c r="Z3684" s="12">
        <f>IF($J3684=0,0,ROUND(MAX($J3684*1.4*1.5*1.6*1.6*2.2*2.715*2.6*1.4,6020000000*(1.651178^(MIN($E3684,123)-117)))*1,0))</f>
        <v>3256028</v>
      </c>
      <c r="AA3684" s="13">
        <f>$E3684+19</f>
        <v>121</v>
      </c>
      <c r="AB3684" s="14">
        <f>IF($J3684=0,0,ROUND(MAX($J3684*1.4*1.5*1.6*1.6*2.2*2.715*2.6*1.4*1.4,8430000000*(1.651435^(MIN($E3684,123)-117)))*1,0))</f>
        <v>4548889</v>
      </c>
      <c r="AC3684" s="11">
        <f>$E3684+21</f>
        <v>123</v>
      </c>
      <c r="AD3684" s="12">
        <f>IF($J3684=0,0,ROUND(MAX($J3684*1.4*1.5*1.6*1.6*2.2*2.715*2.6*1.4*1.4*1.5,12600000000*(1.652953^(MIN($E3684,123)-117)))*1,0))</f>
        <v>6705991</v>
      </c>
      <c r="AE3684" s="13">
        <f>$E3684+24</f>
        <v>126</v>
      </c>
      <c r="AF3684" s="14">
        <f>IF($J3684=0,0,ROUND(MAX($J3684*1.4*1.5*1.6*1.6*2.2*2.715*2.6*1.4*1.4*1.5*1.5,18900000000*(1.65331^(MIN($E3684,123)-117)))*1,0))</f>
        <v>10026455</v>
      </c>
      <c r="AG3684" s="11">
        <f>$E3684+27</f>
        <v>129</v>
      </c>
      <c r="AH3684" s="12">
        <f>IF($J3684=0,0,ROUND(MAX($J3684*1.4*1.5*1.6*1.6*2.2*2.715*2.6*1.4*1.4*1.5*1.5*3.2,60500000000*(1.654288^(MIN($E3684,123)-117)))*1,0))</f>
        <v>31811825</v>
      </c>
    </row>
    <row r="3685" ht="28" customHeight="1" spans="1:34" x14ac:dyDescent="0.25">
      <c r="A3685">
        <v>3695</v>
      </c>
      <c r="B3685" t="s">
        <v>259</v>
      </c>
      <c r="C3685" s="10" t="s">
        <v>1813</v>
      </c>
      <c r="D3685" t="s">
        <v>90</v>
      </c>
      <c r="E3685">
        <v>102</v>
      </c>
      <c r="F3685" t="s">
        <v>34</v>
      </c>
      <c r="G3685" t="s">
        <v>35</v>
      </c>
      <c r="H3685">
        <v>21</v>
      </c>
      <c r="I3685" s="11">
        <f>$E3685+0</f>
        <v>102</v>
      </c>
      <c r="J3685" s="12">
        <v>32800</v>
      </c>
      <c r="K3685" s="13">
        <f>$E3685+1</f>
        <v>103</v>
      </c>
      <c r="L3685" s="14">
        <f>IF($J3685=0,0,ROUND(MAX($J3685*1.4,1620000*(1.497923^(MIN($E3685,123)-117)))*1,0))</f>
        <v>45920</v>
      </c>
      <c r="M3685" s="11">
        <f>$E3685+2</f>
        <v>104</v>
      </c>
      <c r="N3685" s="12">
        <f>IF($J3685=0,0,ROUND(MAX($J3685*1.4*1.5,2190000*(1.580994^(MIN($E3685,123)-117)))*1,0))</f>
        <v>68880</v>
      </c>
      <c r="O3685" s="13">
        <f>$E3685+4</f>
        <v>106</v>
      </c>
      <c r="P3685" s="14">
        <f>IF($J3685=0,0,ROUND(MAX($J3685*1.4*1.5*1.6,3500000*(1.57975^(MIN($E3685,123)-117)))*1,0))</f>
        <v>110208</v>
      </c>
      <c r="Q3685" s="11">
        <f>$E3685+6</f>
        <v>108</v>
      </c>
      <c r="R3685" s="12">
        <f>IF($J3685=0,0,ROUND(MAX($J3685*1.4*1.5*1.6*1.6,13100000*(1.429962^(MIN($E3685,123)-117)))*1,0))</f>
        <v>176333</v>
      </c>
      <c r="S3685" s="13">
        <f>$E3685+8</f>
        <v>110</v>
      </c>
      <c r="T3685" s="14">
        <f>IF($J3685=0,0,ROUND(MAX($J3685*1.4*1.5*1.6*1.6*2.2,42600000*(1.576904^(MIN($E3685,123)-117)))*1,0))</f>
        <v>387932</v>
      </c>
      <c r="U3685" s="11">
        <f>$E3685+11</f>
        <v>113</v>
      </c>
      <c r="V3685" s="12">
        <f>IF($J3685=0,0,ROUND(MAX($J3685*1.4*1.5*1.6*1.6*2.2*2.715,354000000*(1.642074^(MIN($E3685,123)-117)))*1,0))</f>
        <v>1053236</v>
      </c>
      <c r="W3685" s="13">
        <f>$E3685+15</f>
        <v>117</v>
      </c>
      <c r="X3685" s="14">
        <f>IF($J3685=0,0,ROUND(MAX($J3685*1.4*1.5*1.6*1.6*2.2*2.715*2.6,3540000000*(1.579646^(MIN($E3685,123)-117)))*1,0))</f>
        <v>3720546</v>
      </c>
      <c r="Y3685" s="11">
        <f>$E3685+17</f>
        <v>119</v>
      </c>
      <c r="Z3685" s="12">
        <f>IF($J3685=0,0,ROUND(MAX($J3685*1.4*1.5*1.6*1.6*2.2*2.715*2.6*1.4,6020000000*(1.651178^(MIN($E3685,123)-117)))*1,0))</f>
        <v>3833778</v>
      </c>
      <c r="AA3685" s="13">
        <f>$E3685+19</f>
        <v>121</v>
      </c>
      <c r="AB3685" s="14">
        <f>IF($J3685=0,0,ROUND(MAX($J3685*1.4*1.5*1.6*1.6*2.2*2.715*2.6*1.4*1.4,8430000000*(1.651435^(MIN($E3685,123)-117)))*1,0))</f>
        <v>5367290</v>
      </c>
      <c r="AC3685" s="11">
        <f>$E3685+21</f>
        <v>123</v>
      </c>
      <c r="AD3685" s="12">
        <f>IF($J3685=0,0,ROUND(MAX($J3685*1.4*1.5*1.6*1.6*2.2*2.715*2.6*1.4*1.4*1.5,12600000000*(1.652953^(MIN($E3685,123)-117)))*1,0))</f>
        <v>8050935</v>
      </c>
      <c r="AE3685" s="13">
        <f>$E3685+24</f>
        <v>126</v>
      </c>
      <c r="AF3685" s="14">
        <f>IF($J3685=0,0,ROUND(MAX($J3685*1.4*1.5*1.6*1.6*2.2*2.715*2.6*1.4*1.4*1.5*1.5,18900000000*(1.65331^(MIN($E3685,123)-117)))*1,0))</f>
        <v>12076402</v>
      </c>
      <c r="AG3685" s="11">
        <f>$E3685+27</f>
        <v>129</v>
      </c>
      <c r="AH3685" s="12">
        <f>IF($J3685=0,0,ROUND(MAX($J3685*1.4*1.5*1.6*1.6*2.2*2.715*2.6*1.4*1.4*1.5*1.5*3.2,60500000000*(1.654288^(MIN($E3685,123)-117)))*1,0))</f>
        <v>38644486</v>
      </c>
    </row>
    <row r="3686" ht="28" customHeight="1" spans="1:34" x14ac:dyDescent="0.25">
      <c r="A3686">
        <v>3696</v>
      </c>
      <c r="B3686" t="s">
        <v>1820</v>
      </c>
      <c r="C3686" s="10" t="s">
        <v>1813</v>
      </c>
      <c r="D3686" t="s">
        <v>64</v>
      </c>
      <c r="E3686">
        <v>102</v>
      </c>
      <c r="F3686" t="s">
        <v>353</v>
      </c>
      <c r="G3686" t="s">
        <v>562</v>
      </c>
      <c r="H3686">
        <v>21</v>
      </c>
      <c r="I3686" s="11">
        <f>$E3686+0</f>
        <v>102</v>
      </c>
      <c r="J3686" s="12">
        <v>4160</v>
      </c>
      <c r="K3686" s="13">
        <f>$E3686+1</f>
        <v>103</v>
      </c>
      <c r="L3686" s="14">
        <f>IF($J3686=0,0,ROUND(MAX($J3686*1.4,1620000*(1.497923^(MIN($E3686,123)-117)))*1,0))</f>
        <v>5824</v>
      </c>
      <c r="M3686" s="11">
        <f>$E3686+2</f>
        <v>104</v>
      </c>
      <c r="N3686" s="12">
        <f>IF($J3686=0,0,ROUND(MAX($J3686*1.4*1.5,2190000*(1.580994^(MIN($E3686,123)-117)))*1,0))</f>
        <v>8736</v>
      </c>
      <c r="O3686" s="13">
        <f>$E3686+4</f>
        <v>106</v>
      </c>
      <c r="P3686" s="14">
        <f>IF($J3686=0,0,ROUND(MAX($J3686*1.4*1.5*1.6,3500000*(1.57975^(MIN($E3686,123)-117)))*1,0))</f>
        <v>13978</v>
      </c>
      <c r="Q3686" s="11">
        <f>$E3686+6</f>
        <v>108</v>
      </c>
      <c r="R3686" s="12">
        <f>IF($J3686=0,0,ROUND(MAX($J3686*1.4*1.5*1.6*1.6,13100000*(1.429962^(MIN($E3686,123)-117)))*1,0))</f>
        <v>61292</v>
      </c>
      <c r="S3686" s="13">
        <f>$E3686+8</f>
        <v>110</v>
      </c>
      <c r="T3686" s="14">
        <f>IF($J3686=0,0,ROUND(MAX($J3686*1.4*1.5*1.6*1.6*2.2,42600000*(1.576904^(MIN($E3686,123)-117)))*1,0))</f>
        <v>49201</v>
      </c>
      <c r="U3686" s="11">
        <f>$E3686+11</f>
        <v>113</v>
      </c>
      <c r="V3686" s="12">
        <f>IF($J3686=0,0,ROUND(MAX($J3686*1.4*1.5*1.6*1.6*2.2*2.715,354000000*(1.642074^(MIN($E3686,123)-117)))*1,0))</f>
        <v>208023</v>
      </c>
      <c r="W3686" s="13">
        <f>$E3686+15</f>
        <v>117</v>
      </c>
      <c r="X3686" s="14">
        <f>IF($J3686=0,0,ROUND(MAX($J3686*1.4*1.5*1.6*1.6*2.2*2.715*2.6,3540000000*(1.579646^(MIN($E3686,123)-117)))*1,0))</f>
        <v>3720546</v>
      </c>
      <c r="Y3686" s="11">
        <f>$E3686+17</f>
        <v>119</v>
      </c>
      <c r="Z3686" s="12">
        <f>IF($J3686=0,0,ROUND(MAX($J3686*1.4*1.5*1.6*1.6*2.2*2.715*2.6*1.4,6020000000*(1.651178^(MIN($E3686,123)-117)))*1,0))</f>
        <v>3256028</v>
      </c>
      <c r="AA3686" s="13">
        <f>$E3686+19</f>
        <v>121</v>
      </c>
      <c r="AB3686" s="14">
        <f>IF($J3686=0,0,ROUND(MAX($J3686*1.4*1.5*1.6*1.6*2.2*2.715*2.6*1.4*1.4,8430000000*(1.651435^(MIN($E3686,123)-117)))*1,0))</f>
        <v>4548889</v>
      </c>
      <c r="AC3686" s="11">
        <f>$E3686+21</f>
        <v>123</v>
      </c>
      <c r="AD3686" s="12">
        <f>IF($J3686=0,0,ROUND(MAX($J3686*1.4*1.5*1.6*1.6*2.2*2.715*2.6*1.4*1.4*1.5,12600000000*(1.652953^(MIN($E3686,123)-117)))*1,0))</f>
        <v>6705991</v>
      </c>
      <c r="AE3686" s="13">
        <f>$E3686+24</f>
        <v>126</v>
      </c>
      <c r="AF3686" s="14">
        <f>IF($J3686=0,0,ROUND(MAX($J3686*1.4*1.5*1.6*1.6*2.2*2.715*2.6*1.4*1.4*1.5*1.5,18900000000*(1.65331^(MIN($E3686,123)-117)))*1,0))</f>
        <v>10026455</v>
      </c>
      <c r="AG3686" s="11">
        <f>$E3686+27</f>
        <v>129</v>
      </c>
      <c r="AH3686" s="12">
        <f>IF($J3686=0,0,ROUND(MAX($J3686*1.4*1.5*1.6*1.6*2.2*2.715*2.6*1.4*1.4*1.5*1.5*3.2,60500000000*(1.654288^(MIN($E3686,123)-117)))*1,0))</f>
        <v>31811825</v>
      </c>
    </row>
    <row r="3687" ht="28" customHeight="1" spans="1:34" x14ac:dyDescent="0.25">
      <c r="A3687">
        <v>3697</v>
      </c>
      <c r="B3687" t="s">
        <v>1812</v>
      </c>
      <c r="C3687" s="10" t="s">
        <v>1813</v>
      </c>
      <c r="D3687" t="s">
        <v>33</v>
      </c>
      <c r="E3687">
        <v>102</v>
      </c>
      <c r="F3687" t="s">
        <v>71</v>
      </c>
      <c r="G3687" t="s">
        <v>562</v>
      </c>
      <c r="H3687">
        <v>21</v>
      </c>
      <c r="I3687" s="11">
        <f>$E3687+0</f>
        <v>102</v>
      </c>
      <c r="J3687" s="12">
        <v>2170000</v>
      </c>
      <c r="K3687" s="13">
        <f>$E3687+1</f>
        <v>103</v>
      </c>
      <c r="L3687" s="14">
        <f>IF($J3687=0,0,ROUND(MAX($J3687*1.4,1620000*(1.497923^(MIN($E3687,123)-117)))*1,0))</f>
        <v>3038000</v>
      </c>
      <c r="M3687" s="11">
        <f>$E3687+2</f>
        <v>104</v>
      </c>
      <c r="N3687" s="12">
        <f>IF($J3687=0,0,ROUND(MAX($J3687*1.4*1.5,2190000*(1.580994^(MIN($E3687,123)-117)))*1,0))</f>
        <v>4557000</v>
      </c>
      <c r="O3687" s="13">
        <f>$E3687+4</f>
        <v>106</v>
      </c>
      <c r="P3687" s="14">
        <f>IF($J3687=0,0,ROUND(MAX($J3687*1.4*1.5*1.6,3500000*(1.57975^(MIN($E3687,123)-117)))*1,0))</f>
        <v>7291200</v>
      </c>
      <c r="Q3687" s="11">
        <f>$E3687+6</f>
        <v>108</v>
      </c>
      <c r="R3687" s="12">
        <f>IF($J3687=0,0,ROUND(MAX($J3687*1.4*1.5*1.6*1.6,13100000*(1.429962^(MIN($E3687,123)-117)))*1,0))</f>
        <v>11665920</v>
      </c>
      <c r="S3687" s="13">
        <f>$E3687+8</f>
        <v>110</v>
      </c>
      <c r="T3687" s="14">
        <f>IF($J3687=0,0,ROUND(MAX($J3687*1.4*1.5*1.6*1.6*2.2,42600000*(1.576904^(MIN($E3687,123)-117)))*1,0))</f>
        <v>25665024</v>
      </c>
      <c r="U3687" s="11">
        <f>$E3687+11</f>
        <v>113</v>
      </c>
      <c r="V3687" s="12">
        <f>IF($J3687=0,0,ROUND(MAX($J3687*1.4*1.5*1.6*1.6*2.2*2.715,354000000*(1.642074^(MIN($E3687,123)-117)))*1,0))</f>
        <v>69680540</v>
      </c>
      <c r="W3687" s="13">
        <f>$E3687+15</f>
        <v>117</v>
      </c>
      <c r="X3687" s="14">
        <f>IF($J3687=0,0,ROUND(MAX($J3687*1.4*1.5*1.6*1.6*2.2*2.715*2.6,3540000000*(1.579646^(MIN($E3687,123)-117)))*1,0))</f>
        <v>181169404</v>
      </c>
      <c r="Y3687" s="11">
        <f>$E3687+17</f>
        <v>119</v>
      </c>
      <c r="Z3687" s="12">
        <f>IF($J3687=0,0,ROUND(MAX($J3687*1.4*1.5*1.6*1.6*2.2*2.715*2.6*1.4,6020000000*(1.651178^(MIN($E3687,123)-117)))*1,0))</f>
        <v>253637166</v>
      </c>
      <c r="AA3687" s="13">
        <f>$E3687+19</f>
        <v>121</v>
      </c>
      <c r="AB3687" s="14">
        <f>IF($J3687=0,0,ROUND(MAX($J3687*1.4*1.5*1.6*1.6*2.2*2.715*2.6*1.4*1.4,8430000000*(1.651435^(MIN($E3687,123)-117)))*1,0))</f>
        <v>355092033</v>
      </c>
      <c r="AC3687" s="11">
        <f>$E3687+21</f>
        <v>123</v>
      </c>
      <c r="AD3687" s="12">
        <f>IF($J3687=0,0,ROUND(MAX($J3687*1.4*1.5*1.6*1.6*2.2*2.715*2.6*1.4*1.4*1.5,12600000000*(1.652953^(MIN($E3687,123)-117)))*1,0))</f>
        <v>532638049</v>
      </c>
      <c r="AE3687" s="13">
        <f>$E3687+24</f>
        <v>126</v>
      </c>
      <c r="AF3687" s="14">
        <f>IF($J3687=0,0,ROUND(MAX($J3687*1.4*1.5*1.6*1.6*2.2*2.715*2.6*1.4*1.4*1.5*1.5,18900000000*(1.65331^(MIN($E3687,123)-117)))*1,0))</f>
        <v>798957073</v>
      </c>
      <c r="AG3687" s="11">
        <f>$E3687+27</f>
        <v>129</v>
      </c>
      <c r="AH3687" s="12">
        <f>IF($J3687=0,0,ROUND(MAX($J3687*1.4*1.5*1.6*1.6*2.2*2.715*2.6*1.4*1.4*1.5*1.5*3.2,60500000000*(1.654288^(MIN($E3687,123)-117)))*1,0))</f>
        <v>2556662635</v>
      </c>
    </row>
    <row r="3688" ht="28" customHeight="1" spans="1:34" x14ac:dyDescent="0.25">
      <c r="A3688">
        <v>3698</v>
      </c>
      <c r="B3688" t="s">
        <v>484</v>
      </c>
      <c r="C3688" s="10" t="s">
        <v>1813</v>
      </c>
      <c r="D3688" t="s">
        <v>33</v>
      </c>
      <c r="E3688">
        <v>102</v>
      </c>
      <c r="F3688" t="s">
        <v>42</v>
      </c>
      <c r="G3688" t="s">
        <v>562</v>
      </c>
      <c r="H3688">
        <v>21</v>
      </c>
      <c r="I3688" s="11">
        <f>$E3688+0</f>
        <v>102</v>
      </c>
      <c r="J3688" s="12">
        <v>4260</v>
      </c>
      <c r="K3688" s="13">
        <f>$E3688+1</f>
        <v>103</v>
      </c>
      <c r="L3688" s="14">
        <f>IF($J3688=0,0,ROUND(MAX($J3688*1.4,1620000*(1.497923^(MIN($E3688,123)-117)))*1,0))</f>
        <v>5964</v>
      </c>
      <c r="M3688" s="11">
        <f>$E3688+2</f>
        <v>104</v>
      </c>
      <c r="N3688" s="12">
        <f>IF($J3688=0,0,ROUND(MAX($J3688*1.4*1.5,2190000*(1.580994^(MIN($E3688,123)-117)))*1,0))</f>
        <v>8946</v>
      </c>
      <c r="O3688" s="13">
        <f>$E3688+4</f>
        <v>106</v>
      </c>
      <c r="P3688" s="14">
        <f>IF($J3688=0,0,ROUND(MAX($J3688*1.4*1.5*1.6,3500000*(1.57975^(MIN($E3688,123)-117)))*1,0))</f>
        <v>14314</v>
      </c>
      <c r="Q3688" s="11">
        <f>$E3688+6</f>
        <v>108</v>
      </c>
      <c r="R3688" s="12">
        <f>IF($J3688=0,0,ROUND(MAX($J3688*1.4*1.5*1.6*1.6,13100000*(1.429962^(MIN($E3688,123)-117)))*1,0))</f>
        <v>61292</v>
      </c>
      <c r="S3688" s="13">
        <f>$E3688+8</f>
        <v>110</v>
      </c>
      <c r="T3688" s="14">
        <f>IF($J3688=0,0,ROUND(MAX($J3688*1.4*1.5*1.6*1.6*2.2,42600000*(1.576904^(MIN($E3688,123)-117)))*1,0))</f>
        <v>50384</v>
      </c>
      <c r="U3688" s="11">
        <f>$E3688+11</f>
        <v>113</v>
      </c>
      <c r="V3688" s="12">
        <f>IF($J3688=0,0,ROUND(MAX($J3688*1.4*1.5*1.6*1.6*2.2*2.715,354000000*(1.642074^(MIN($E3688,123)-117)))*1,0))</f>
        <v>208023</v>
      </c>
      <c r="W3688" s="13">
        <f>$E3688+15</f>
        <v>117</v>
      </c>
      <c r="X3688" s="14">
        <f>IF($J3688=0,0,ROUND(MAX($J3688*1.4*1.5*1.6*1.6*2.2*2.715*2.6,3540000000*(1.579646^(MIN($E3688,123)-117)))*1,0))</f>
        <v>3720546</v>
      </c>
      <c r="Y3688" s="11">
        <f>$E3688+17</f>
        <v>119</v>
      </c>
      <c r="Z3688" s="12">
        <f>IF($J3688=0,0,ROUND(MAX($J3688*1.4*1.5*1.6*1.6*2.2*2.715*2.6*1.4,6020000000*(1.651178^(MIN($E3688,123)-117)))*1,0))</f>
        <v>3256028</v>
      </c>
      <c r="AA3688" s="13">
        <f>$E3688+19</f>
        <v>121</v>
      </c>
      <c r="AB3688" s="14">
        <f>IF($J3688=0,0,ROUND(MAX($J3688*1.4*1.5*1.6*1.6*2.2*2.715*2.6*1.4*1.4,8430000000*(1.651435^(MIN($E3688,123)-117)))*1,0))</f>
        <v>4548889</v>
      </c>
      <c r="AC3688" s="11">
        <f>$E3688+21</f>
        <v>123</v>
      </c>
      <c r="AD3688" s="12">
        <f>IF($J3688=0,0,ROUND(MAX($J3688*1.4*1.5*1.6*1.6*2.2*2.715*2.6*1.4*1.4*1.5,12600000000*(1.652953^(MIN($E3688,123)-117)))*1,0))</f>
        <v>6705991</v>
      </c>
      <c r="AE3688" s="13">
        <f>$E3688+24</f>
        <v>126</v>
      </c>
      <c r="AF3688" s="14">
        <f>IF($J3688=0,0,ROUND(MAX($J3688*1.4*1.5*1.6*1.6*2.2*2.715*2.6*1.4*1.4*1.5*1.5,18900000000*(1.65331^(MIN($E3688,123)-117)))*1,0))</f>
        <v>10026455</v>
      </c>
      <c r="AG3688" s="11">
        <f>$E3688+27</f>
        <v>129</v>
      </c>
      <c r="AH3688" s="12">
        <f>IF($J3688=0,0,ROUND(MAX($J3688*1.4*1.5*1.6*1.6*2.2*2.715*2.6*1.4*1.4*1.5*1.5*3.2,60500000000*(1.654288^(MIN($E3688,123)-117)))*1,0))</f>
        <v>31811825</v>
      </c>
    </row>
    <row r="3689" ht="28" customHeight="1" spans="1:34" x14ac:dyDescent="0.25">
      <c r="A3689">
        <v>3699</v>
      </c>
      <c r="B3689" t="s">
        <v>848</v>
      </c>
      <c r="C3689" s="10" t="s">
        <v>1813</v>
      </c>
      <c r="D3689" t="s">
        <v>47</v>
      </c>
      <c r="E3689">
        <v>102</v>
      </c>
      <c r="F3689" t="s">
        <v>34</v>
      </c>
      <c r="G3689" t="s">
        <v>35</v>
      </c>
      <c r="H3689">
        <v>19</v>
      </c>
      <c r="I3689" s="11">
        <f>$E3689+0</f>
        <v>102</v>
      </c>
      <c r="J3689" s="12">
        <v>13300000</v>
      </c>
      <c r="K3689" s="13">
        <f>$E3689+1</f>
        <v>103</v>
      </c>
      <c r="L3689" s="14">
        <f>IF($J3689=0,0,ROUND(MAX($J3689*1.4,1620000*(1.497923^(MIN($E3689,123)-117)))*1,0))</f>
        <v>18620000</v>
      </c>
      <c r="M3689" s="11">
        <f>$E3689+2</f>
        <v>104</v>
      </c>
      <c r="N3689" s="12">
        <f>IF($J3689=0,0,ROUND(MAX($J3689*1.4*1.5,2190000*(1.580994^(MIN($E3689,123)-117)))*1,0))</f>
        <v>27930000</v>
      </c>
      <c r="O3689" s="13">
        <f>$E3689+4</f>
        <v>106</v>
      </c>
      <c r="P3689" s="14">
        <f>IF($J3689=0,0,ROUND(MAX($J3689*1.4*1.5*1.6,3500000*(1.57975^(MIN($E3689,123)-117)))*1,0))</f>
        <v>44688000</v>
      </c>
      <c r="Q3689" s="11">
        <f>$E3689+6</f>
        <v>108</v>
      </c>
      <c r="R3689" s="12">
        <f>IF($J3689=0,0,ROUND(MAX($J3689*1.4*1.5*1.6*1.6,13100000*(1.429962^(MIN($E3689,123)-117)))*1,0))</f>
        <v>71500800</v>
      </c>
      <c r="S3689" s="13">
        <f>$E3689+8</f>
        <v>110</v>
      </c>
      <c r="T3689" s="14">
        <f>IF($J3689=0,0,ROUND(MAX($J3689*1.4*1.5*1.6*1.6*2.2,42600000*(1.576904^(MIN($E3689,123)-117)))*1,0))</f>
        <v>157301760</v>
      </c>
      <c r="U3689" s="11">
        <f>$E3689+11</f>
        <v>113</v>
      </c>
      <c r="V3689" s="12">
        <f>IF($J3689=0,0,ROUND(MAX($J3689*1.4*1.5*1.6*1.6*2.2*2.715,354000000*(1.642074^(MIN($E3689,123)-117)))*1,0))</f>
        <v>427074278</v>
      </c>
      <c r="W3689" s="13">
        <f>$E3689+15</f>
        <v>117</v>
      </c>
      <c r="X3689" s="14">
        <f>IF($J3689=0,0,ROUND(MAX($J3689*1.4*1.5*1.6*1.6*2.2*2.715*2.6,3540000000*(1.579646^(MIN($E3689,123)-117)))*1,0))</f>
        <v>1110393124</v>
      </c>
      <c r="Y3689" s="11">
        <f>$E3689+17</f>
        <v>119</v>
      </c>
      <c r="Z3689" s="12">
        <f>IF($J3689=0,0,ROUND(MAX($J3689*1.4*1.5*1.6*1.6*2.2*2.715*2.6*1.4,6020000000*(1.651178^(MIN($E3689,123)-117)))*1,0))</f>
        <v>1554550373</v>
      </c>
      <c r="AA3689" s="13">
        <f>$E3689+19</f>
        <v>121</v>
      </c>
      <c r="AB3689" s="14">
        <f>IF($J3689=0,0,ROUND(MAX($J3689*1.4*1.5*1.6*1.6*2.2*2.715*2.6*1.4*1.4,8430000000*(1.651435^(MIN($E3689,123)-117)))*1,0))</f>
        <v>2176370523</v>
      </c>
      <c r="AC3689" s="11">
        <f>$E3689+21</f>
        <v>123</v>
      </c>
      <c r="AD3689" s="12">
        <f>IF($J3689=0,0,ROUND(MAX($J3689*1.4*1.5*1.6*1.6*2.2*2.715*2.6*1.4*1.4*1.5,12600000000*(1.652953^(MIN($E3689,123)-117)))*1,0))</f>
        <v>3264555784</v>
      </c>
      <c r="AE3689" s="13">
        <f>$E3689+24</f>
        <v>126</v>
      </c>
      <c r="AF3689" s="14">
        <f>IF($J3689=0,0,ROUND(MAX($J3689*1.4*1.5*1.6*1.6*2.2*2.715*2.6*1.4*1.4*1.5*1.5,18900000000*(1.65331^(MIN($E3689,123)-117)))*1,0))</f>
        <v>4896833676</v>
      </c>
      <c r="AG3689" s="11">
        <f>$E3689+27</f>
        <v>129</v>
      </c>
      <c r="AH3689" s="12">
        <f>IF($J3689=0,0,ROUND(MAX($J3689*1.4*1.5*1.6*1.6*2.2*2.715*2.6*1.4*1.4*1.5*1.5*3.2,60500000000*(1.654288^(MIN($E3689,123)-117)))*1,0))</f>
        <v>15669867764</v>
      </c>
    </row>
    <row r="3690" ht="28" customHeight="1" spans="1:34" x14ac:dyDescent="0.25">
      <c r="A3690">
        <v>3700</v>
      </c>
      <c r="B3690" t="s">
        <v>1048</v>
      </c>
      <c r="C3690" s="10" t="s">
        <v>1813</v>
      </c>
      <c r="D3690" t="s">
        <v>47</v>
      </c>
      <c r="E3690">
        <v>102</v>
      </c>
      <c r="F3690" t="s">
        <v>54</v>
      </c>
      <c r="G3690" t="s">
        <v>470</v>
      </c>
      <c r="H3690">
        <v>18</v>
      </c>
      <c r="I3690" s="11">
        <f>$E3690+0</f>
        <v>102</v>
      </c>
      <c r="J3690" s="12">
        <v>194000</v>
      </c>
      <c r="K3690" s="13">
        <f>$E3690+1</f>
        <v>103</v>
      </c>
      <c r="L3690" s="14">
        <f>IF($J3690=0,0,ROUND(MAX($J3690*1.4,1620000*(1.497923^(MIN($E3690,123)-117)))*1,0))</f>
        <v>271600</v>
      </c>
      <c r="M3690" s="11">
        <f>$E3690+2</f>
        <v>104</v>
      </c>
      <c r="N3690" s="12">
        <f>IF($J3690=0,0,ROUND(MAX($J3690*1.4*1.5,2190000*(1.580994^(MIN($E3690,123)-117)))*1,0))</f>
        <v>407400</v>
      </c>
      <c r="O3690" s="13">
        <f>$E3690+4</f>
        <v>106</v>
      </c>
      <c r="P3690" s="14">
        <f>IF($J3690=0,0,ROUND(MAX($J3690*1.4*1.5*1.6,3500000*(1.57975^(MIN($E3690,123)-117)))*1,0))</f>
        <v>651840</v>
      </c>
      <c r="Q3690" s="11">
        <f>$E3690+6</f>
        <v>108</v>
      </c>
      <c r="R3690" s="12">
        <f>IF($J3690=0,0,ROUND(MAX($J3690*1.4*1.5*1.6*1.6,13100000*(1.429962^(MIN($E3690,123)-117)))*1,0))</f>
        <v>1042944</v>
      </c>
      <c r="S3690" s="13">
        <f>$E3690+8</f>
        <v>110</v>
      </c>
      <c r="T3690" s="14">
        <f>IF($J3690=0,0,ROUND(MAX($J3690*1.4*1.5*1.6*1.6*2.2,42600000*(1.576904^(MIN($E3690,123)-117)))*1,0))</f>
        <v>2294477</v>
      </c>
      <c r="U3690" s="11">
        <f>$E3690+11</f>
        <v>113</v>
      </c>
      <c r="V3690" s="12">
        <f>IF($J3690=0,0,ROUND(MAX($J3690*1.4*1.5*1.6*1.6*2.2*2.715,354000000*(1.642074^(MIN($E3690,123)-117)))*1,0))</f>
        <v>6229505</v>
      </c>
      <c r="W3690" s="13">
        <f>$E3690+15</f>
        <v>117</v>
      </c>
      <c r="X3690" s="14">
        <f>IF($J3690=0,0,ROUND(MAX($J3690*1.4*1.5*1.6*1.6*2.2*2.715*2.6,3540000000*(1.579646^(MIN($E3690,123)-117)))*1,0))</f>
        <v>16196712</v>
      </c>
      <c r="Y3690" s="11">
        <f>$E3690+17</f>
        <v>119</v>
      </c>
      <c r="Z3690" s="12">
        <f>IF($J3690=0,0,ROUND(MAX($J3690*1.4*1.5*1.6*1.6*2.2*2.715*2.6*1.4,6020000000*(1.651178^(MIN($E3690,123)-117)))*1,0))</f>
        <v>22675396</v>
      </c>
      <c r="AA3690" s="13">
        <f>$E3690+19</f>
        <v>121</v>
      </c>
      <c r="AB3690" s="14">
        <f>IF($J3690=0,0,ROUND(MAX($J3690*1.4*1.5*1.6*1.6*2.2*2.715*2.6*1.4*1.4,8430000000*(1.651435^(MIN($E3690,123)-117)))*1,0))</f>
        <v>31745555</v>
      </c>
      <c r="AC3690" s="11">
        <f>$E3690+21</f>
        <v>123</v>
      </c>
      <c r="AD3690" s="12">
        <f>IF($J3690=0,0,ROUND(MAX($J3690*1.4*1.5*1.6*1.6*2.2*2.715*2.6*1.4*1.4*1.5,12600000000*(1.652953^(MIN($E3690,123)-117)))*1,0))</f>
        <v>47618332</v>
      </c>
      <c r="AE3690" s="13">
        <f>$E3690+24</f>
        <v>126</v>
      </c>
      <c r="AF3690" s="14">
        <f>IF($J3690=0,0,ROUND(MAX($J3690*1.4*1.5*1.6*1.6*2.2*2.715*2.6*1.4*1.4*1.5*1.5,18900000000*(1.65331^(MIN($E3690,123)-117)))*1,0))</f>
        <v>71427499</v>
      </c>
      <c r="AG3690" s="11">
        <f>$E3690+27</f>
        <v>129</v>
      </c>
      <c r="AH3690" s="12">
        <f>IF($J3690=0,0,ROUND(MAX($J3690*1.4*1.5*1.6*1.6*2.2*2.715*2.6*1.4*1.4*1.5*1.5*3.2,60500000000*(1.654288^(MIN($E3690,123)-117)))*1,0))</f>
        <v>228567996</v>
      </c>
    </row>
    <row r="3691" ht="28" customHeight="1" spans="1:34" x14ac:dyDescent="0.25">
      <c r="A3691">
        <v>3701</v>
      </c>
      <c r="B3691" t="s">
        <v>1821</v>
      </c>
      <c r="C3691" s="10" t="s">
        <v>1813</v>
      </c>
      <c r="D3691" t="s">
        <v>79</v>
      </c>
      <c r="E3691">
        <v>101</v>
      </c>
      <c r="F3691" t="s">
        <v>34</v>
      </c>
      <c r="G3691" t="s">
        <v>562</v>
      </c>
      <c r="H3691">
        <v>22</v>
      </c>
      <c r="I3691" s="11">
        <f>$E3691+0</f>
        <v>101</v>
      </c>
      <c r="J3691" s="12">
        <v>25400</v>
      </c>
      <c r="K3691" s="13">
        <f>$E3691+1</f>
        <v>102</v>
      </c>
      <c r="L3691" s="14">
        <f>IF($J3691=0,0,ROUND(MAX($J3691*1.4,1620000*(1.497923^(MIN($E3691,123)-117)))*1,0))</f>
        <v>35560</v>
      </c>
      <c r="M3691" s="11">
        <f>$E3691+2</f>
        <v>103</v>
      </c>
      <c r="N3691" s="12">
        <f>IF($J3691=0,0,ROUND(MAX($J3691*1.4*1.5,2190000*(1.580994^(MIN($E3691,123)-117)))*1,0))</f>
        <v>53340</v>
      </c>
      <c r="O3691" s="13">
        <f>$E3691+4</f>
        <v>105</v>
      </c>
      <c r="P3691" s="14">
        <f>IF($J3691=0,0,ROUND(MAX($J3691*1.4*1.5*1.6,3500000*(1.57975^(MIN($E3691,123)-117)))*1,0))</f>
        <v>85344</v>
      </c>
      <c r="Q3691" s="11">
        <f>$E3691+6</f>
        <v>107</v>
      </c>
      <c r="R3691" s="12">
        <f>IF($J3691=0,0,ROUND(MAX($J3691*1.4*1.5*1.6*1.6,13100000*(1.429962^(MIN($E3691,123)-117)))*1,0))</f>
        <v>136550</v>
      </c>
      <c r="S3691" s="13">
        <f>$E3691+8</f>
        <v>109</v>
      </c>
      <c r="T3691" s="14">
        <f>IF($J3691=0,0,ROUND(MAX($J3691*1.4*1.5*1.6*1.6*2.2,42600000*(1.576904^(MIN($E3691,123)-117)))*1,0))</f>
        <v>300411</v>
      </c>
      <c r="U3691" s="11">
        <f>$E3691+11</f>
        <v>112</v>
      </c>
      <c r="V3691" s="12">
        <f>IF($J3691=0,0,ROUND(MAX($J3691*1.4*1.5*1.6*1.6*2.2*2.715,354000000*(1.642074^(MIN($E3691,123)-117)))*1,0))</f>
        <v>815616</v>
      </c>
      <c r="W3691" s="13">
        <f>$E3691+15</f>
        <v>116</v>
      </c>
      <c r="X3691" s="14">
        <f>IF($J3691=0,0,ROUND(MAX($J3691*1.4*1.5*1.6*1.6*2.2*2.715*2.6,3540000000*(1.579646^(MIN($E3691,123)-117)))*1,0))</f>
        <v>2355304</v>
      </c>
      <c r="Y3691" s="11">
        <f>$E3691+17</f>
        <v>118</v>
      </c>
      <c r="Z3691" s="12">
        <f>IF($J3691=0,0,ROUND(MAX($J3691*1.4*1.5*1.6*1.6*2.2*2.715*2.6*1.4,6020000000*(1.651178^(MIN($E3691,123)-117)))*1,0))</f>
        <v>2968841</v>
      </c>
      <c r="AA3691" s="13">
        <f>$E3691+19</f>
        <v>120</v>
      </c>
      <c r="AB3691" s="14">
        <f>IF($J3691=0,0,ROUND(MAX($J3691*1.4*1.5*1.6*1.6*2.2*2.715*2.6*1.4*1.4,8430000000*(1.651435^(MIN($E3691,123)-117)))*1,0))</f>
        <v>4156377</v>
      </c>
      <c r="AC3691" s="11">
        <f>$E3691+21</f>
        <v>122</v>
      </c>
      <c r="AD3691" s="12">
        <f>IF($J3691=0,0,ROUND(MAX($J3691*1.4*1.5*1.6*1.6*2.2*2.715*2.6*1.4*1.4*1.5,12600000000*(1.652953^(MIN($E3691,123)-117)))*1,0))</f>
        <v>6234565</v>
      </c>
      <c r="AE3691" s="13">
        <f>$E3691+24</f>
        <v>125</v>
      </c>
      <c r="AF3691" s="14">
        <f>IF($J3691=0,0,ROUND(MAX($J3691*1.4*1.5*1.6*1.6*2.2*2.715*2.6*1.4*1.4*1.5*1.5,18900000000*(1.65331^(MIN($E3691,123)-117)))*1,0))</f>
        <v>9351848</v>
      </c>
      <c r="AG3691" s="11">
        <f>$E3691+27</f>
        <v>128</v>
      </c>
      <c r="AH3691" s="12">
        <f>IF($J3691=0,0,ROUND(MAX($J3691*1.4*1.5*1.6*1.6*2.2*2.715*2.6*1.4*1.4*1.5*1.5*3.2,60500000000*(1.654288^(MIN($E3691,123)-117)))*1,0))</f>
        <v>29925913</v>
      </c>
    </row>
    <row r="3692" ht="28" customHeight="1" spans="1:34" x14ac:dyDescent="0.25">
      <c r="A3692">
        <v>3702</v>
      </c>
      <c r="B3692" t="s">
        <v>635</v>
      </c>
      <c r="C3692" s="10" t="s">
        <v>1813</v>
      </c>
      <c r="D3692" t="s">
        <v>40</v>
      </c>
      <c r="E3692">
        <v>101</v>
      </c>
      <c r="F3692" t="s">
        <v>310</v>
      </c>
      <c r="G3692" t="s">
        <v>27</v>
      </c>
      <c r="H3692">
        <v>22</v>
      </c>
      <c r="I3692" s="11">
        <f>$E3692+0</f>
        <v>101</v>
      </c>
      <c r="J3692" s="12">
        <v>38000</v>
      </c>
      <c r="K3692" s="13">
        <f>$E3692+1</f>
        <v>102</v>
      </c>
      <c r="L3692" s="14">
        <f>IF($J3692=0,0,ROUND(MAX($J3692*1.4,1620000*(1.497923^(MIN($E3692,123)-117)))*1,0))</f>
        <v>53200</v>
      </c>
      <c r="M3692" s="11">
        <f>$E3692+2</f>
        <v>103</v>
      </c>
      <c r="N3692" s="12">
        <f>IF($J3692=0,0,ROUND(MAX($J3692*1.4*1.5,2190000*(1.580994^(MIN($E3692,123)-117)))*1,0))</f>
        <v>79800</v>
      </c>
      <c r="O3692" s="13">
        <f>$E3692+4</f>
        <v>105</v>
      </c>
      <c r="P3692" s="14">
        <f>IF($J3692=0,0,ROUND(MAX($J3692*1.4*1.5*1.6,3500000*(1.57975^(MIN($E3692,123)-117)))*1,0))</f>
        <v>127680</v>
      </c>
      <c r="Q3692" s="11">
        <f>$E3692+6</f>
        <v>107</v>
      </c>
      <c r="R3692" s="12">
        <f>IF($J3692=0,0,ROUND(MAX($J3692*1.4*1.5*1.6*1.6,13100000*(1.429962^(MIN($E3692,123)-117)))*1,0))</f>
        <v>204288</v>
      </c>
      <c r="S3692" s="13">
        <f>$E3692+8</f>
        <v>109</v>
      </c>
      <c r="T3692" s="14">
        <f>IF($J3692=0,0,ROUND(MAX($J3692*1.4*1.5*1.6*1.6*2.2,42600000*(1.576904^(MIN($E3692,123)-117)))*1,0))</f>
        <v>449434</v>
      </c>
      <c r="U3692" s="11">
        <f>$E3692+11</f>
        <v>112</v>
      </c>
      <c r="V3692" s="12">
        <f>IF($J3692=0,0,ROUND(MAX($J3692*1.4*1.5*1.6*1.6*2.2*2.715,354000000*(1.642074^(MIN($E3692,123)-117)))*1,0))</f>
        <v>1220212</v>
      </c>
      <c r="W3692" s="13">
        <f>$E3692+15</f>
        <v>116</v>
      </c>
      <c r="X3692" s="14">
        <f>IF($J3692=0,0,ROUND(MAX($J3692*1.4*1.5*1.6*1.6*2.2*2.715*2.6,3540000000*(1.579646^(MIN($E3692,123)-117)))*1,0))</f>
        <v>3172552</v>
      </c>
      <c r="Y3692" s="11">
        <f>$E3692+17</f>
        <v>118</v>
      </c>
      <c r="Z3692" s="12">
        <f>IF($J3692=0,0,ROUND(MAX($J3692*1.4*1.5*1.6*1.6*2.2*2.715*2.6*1.4,6020000000*(1.651178^(MIN($E3692,123)-117)))*1,0))</f>
        <v>4441572</v>
      </c>
      <c r="AA3692" s="13">
        <f>$E3692+19</f>
        <v>120</v>
      </c>
      <c r="AB3692" s="14">
        <f>IF($J3692=0,0,ROUND(MAX($J3692*1.4*1.5*1.6*1.6*2.2*2.715*2.6*1.4*1.4,8430000000*(1.651435^(MIN($E3692,123)-117)))*1,0))</f>
        <v>6218201</v>
      </c>
      <c r="AC3692" s="11">
        <f>$E3692+21</f>
        <v>122</v>
      </c>
      <c r="AD3692" s="12">
        <f>IF($J3692=0,0,ROUND(MAX($J3692*1.4*1.5*1.6*1.6*2.2*2.715*2.6*1.4*1.4*1.5,12600000000*(1.652953^(MIN($E3692,123)-117)))*1,0))</f>
        <v>9327302</v>
      </c>
      <c r="AE3692" s="13">
        <f>$E3692+24</f>
        <v>125</v>
      </c>
      <c r="AF3692" s="14">
        <f>IF($J3692=0,0,ROUND(MAX($J3692*1.4*1.5*1.6*1.6*2.2*2.715*2.6*1.4*1.4*1.5*1.5,18900000000*(1.65331^(MIN($E3692,123)-117)))*1,0))</f>
        <v>13990953</v>
      </c>
      <c r="AG3692" s="11">
        <f>$E3692+27</f>
        <v>128</v>
      </c>
      <c r="AH3692" s="12">
        <f>IF($J3692=0,0,ROUND(MAX($J3692*1.4*1.5*1.6*1.6*2.2*2.715*2.6*1.4*1.4*1.5*1.5*3.2,60500000000*(1.654288^(MIN($E3692,123)-117)))*1,0))</f>
        <v>44771051</v>
      </c>
    </row>
    <row r="3693" ht="28" customHeight="1" spans="1:34" x14ac:dyDescent="0.25">
      <c r="A3693">
        <v>3703</v>
      </c>
      <c r="B3693" t="s">
        <v>152</v>
      </c>
      <c r="C3693" s="10" t="s">
        <v>1813</v>
      </c>
      <c r="D3693" t="s">
        <v>29</v>
      </c>
      <c r="E3693">
        <v>101</v>
      </c>
      <c r="F3693" t="s">
        <v>71</v>
      </c>
      <c r="G3693" t="s">
        <v>562</v>
      </c>
      <c r="H3693">
        <v>22</v>
      </c>
      <c r="I3693" s="11">
        <f>$E3693+0</f>
        <v>101</v>
      </c>
      <c r="J3693" s="12">
        <v>46100</v>
      </c>
      <c r="K3693" s="13">
        <f>$E3693+1</f>
        <v>102</v>
      </c>
      <c r="L3693" s="14">
        <f>IF($J3693=0,0,ROUND(MAX($J3693*1.4,1620000*(1.497923^(MIN($E3693,123)-117)))*1,0))</f>
        <v>64540</v>
      </c>
      <c r="M3693" s="11">
        <f>$E3693+2</f>
        <v>103</v>
      </c>
      <c r="N3693" s="12">
        <f>IF($J3693=0,0,ROUND(MAX($J3693*1.4*1.5,2190000*(1.580994^(MIN($E3693,123)-117)))*1,0))</f>
        <v>96810</v>
      </c>
      <c r="O3693" s="13">
        <f>$E3693+4</f>
        <v>105</v>
      </c>
      <c r="P3693" s="14">
        <f>IF($J3693=0,0,ROUND(MAX($J3693*1.4*1.5*1.6,3500000*(1.57975^(MIN($E3693,123)-117)))*1,0))</f>
        <v>154896</v>
      </c>
      <c r="Q3693" s="11">
        <f>$E3693+6</f>
        <v>107</v>
      </c>
      <c r="R3693" s="12">
        <f>IF($J3693=0,0,ROUND(MAX($J3693*1.4*1.5*1.6*1.6,13100000*(1.429962^(MIN($E3693,123)-117)))*1,0))</f>
        <v>247834</v>
      </c>
      <c r="S3693" s="13">
        <f>$E3693+8</f>
        <v>109</v>
      </c>
      <c r="T3693" s="14">
        <f>IF($J3693=0,0,ROUND(MAX($J3693*1.4*1.5*1.6*1.6*2.2,42600000*(1.576904^(MIN($E3693,123)-117)))*1,0))</f>
        <v>545234</v>
      </c>
      <c r="U3693" s="11">
        <f>$E3693+11</f>
        <v>112</v>
      </c>
      <c r="V3693" s="12">
        <f>IF($J3693=0,0,ROUND(MAX($J3693*1.4*1.5*1.6*1.6*2.2*2.715,354000000*(1.642074^(MIN($E3693,123)-117)))*1,0))</f>
        <v>1480310</v>
      </c>
      <c r="W3693" s="13">
        <f>$E3693+15</f>
        <v>116</v>
      </c>
      <c r="X3693" s="14">
        <f>IF($J3693=0,0,ROUND(MAX($J3693*1.4*1.5*1.6*1.6*2.2*2.715*2.6,3540000000*(1.579646^(MIN($E3693,123)-117)))*1,0))</f>
        <v>3848806</v>
      </c>
      <c r="Y3693" s="11">
        <f>$E3693+17</f>
        <v>118</v>
      </c>
      <c r="Z3693" s="12">
        <f>IF($J3693=0,0,ROUND(MAX($J3693*1.4*1.5*1.6*1.6*2.2*2.715*2.6*1.4,6020000000*(1.651178^(MIN($E3693,123)-117)))*1,0))</f>
        <v>5388329</v>
      </c>
      <c r="AA3693" s="13">
        <f>$E3693+19</f>
        <v>120</v>
      </c>
      <c r="AB3693" s="14">
        <f>IF($J3693=0,0,ROUND(MAX($J3693*1.4*1.5*1.6*1.6*2.2*2.715*2.6*1.4*1.4,8430000000*(1.651435^(MIN($E3693,123)-117)))*1,0))</f>
        <v>7543660</v>
      </c>
      <c r="AC3693" s="11">
        <f>$E3693+21</f>
        <v>122</v>
      </c>
      <c r="AD3693" s="12">
        <f>IF($J3693=0,0,ROUND(MAX($J3693*1.4*1.5*1.6*1.6*2.2*2.715*2.6*1.4*1.4*1.5,12600000000*(1.652953^(MIN($E3693,123)-117)))*1,0))</f>
        <v>11315490</v>
      </c>
      <c r="AE3693" s="13">
        <f>$E3693+24</f>
        <v>125</v>
      </c>
      <c r="AF3693" s="14">
        <f>IF($J3693=0,0,ROUND(MAX($J3693*1.4*1.5*1.6*1.6*2.2*2.715*2.6*1.4*1.4*1.5*1.5,18900000000*(1.65331^(MIN($E3693,123)-117)))*1,0))</f>
        <v>16973236</v>
      </c>
      <c r="AG3693" s="11">
        <f>$E3693+27</f>
        <v>128</v>
      </c>
      <c r="AH3693" s="12">
        <f>IF($J3693=0,0,ROUND(MAX($J3693*1.4*1.5*1.6*1.6*2.2*2.715*2.6*1.4*1.4*1.5*1.5*3.2,60500000000*(1.654288^(MIN($E3693,123)-117)))*1,0))</f>
        <v>54314354</v>
      </c>
    </row>
    <row r="3694" ht="28" customHeight="1" spans="1:34" x14ac:dyDescent="0.25">
      <c r="A3694">
        <v>3704</v>
      </c>
      <c r="B3694" t="s">
        <v>1822</v>
      </c>
      <c r="C3694" s="10" t="s">
        <v>1813</v>
      </c>
      <c r="D3694" t="s">
        <v>64</v>
      </c>
      <c r="E3694">
        <v>101</v>
      </c>
      <c r="F3694" t="s">
        <v>42</v>
      </c>
      <c r="G3694" t="s">
        <v>562</v>
      </c>
      <c r="H3694">
        <v>22</v>
      </c>
      <c r="I3694" s="11">
        <f>$E3694+0</f>
        <v>101</v>
      </c>
      <c r="J3694" s="12">
        <v>17400</v>
      </c>
      <c r="K3694" s="13">
        <f>$E3694+1</f>
        <v>102</v>
      </c>
      <c r="L3694" s="14">
        <f>IF($J3694=0,0,ROUND(MAX($J3694*1.4,1620000*(1.497923^(MIN($E3694,123)-117)))*1,0))</f>
        <v>24360</v>
      </c>
      <c r="M3694" s="11">
        <f>$E3694+2</f>
        <v>103</v>
      </c>
      <c r="N3694" s="12">
        <f>IF($J3694=0,0,ROUND(MAX($J3694*1.4*1.5,2190000*(1.580994^(MIN($E3694,123)-117)))*1,0))</f>
        <v>36540</v>
      </c>
      <c r="O3694" s="13">
        <f>$E3694+4</f>
        <v>105</v>
      </c>
      <c r="P3694" s="14">
        <f>IF($J3694=0,0,ROUND(MAX($J3694*1.4*1.5*1.6,3500000*(1.57975^(MIN($E3694,123)-117)))*1,0))</f>
        <v>58464</v>
      </c>
      <c r="Q3694" s="11">
        <f>$E3694+6</f>
        <v>107</v>
      </c>
      <c r="R3694" s="12">
        <f>IF($J3694=0,0,ROUND(MAX($J3694*1.4*1.5*1.6*1.6,13100000*(1.429962^(MIN($E3694,123)-117)))*1,0))</f>
        <v>93542</v>
      </c>
      <c r="S3694" s="13">
        <f>$E3694+8</f>
        <v>109</v>
      </c>
      <c r="T3694" s="14">
        <f>IF($J3694=0,0,ROUND(MAX($J3694*1.4*1.5*1.6*1.6*2.2,42600000*(1.576904^(MIN($E3694,123)-117)))*1,0))</f>
        <v>205793</v>
      </c>
      <c r="U3694" s="11">
        <f>$E3694+11</f>
        <v>112</v>
      </c>
      <c r="V3694" s="12">
        <f>IF($J3694=0,0,ROUND(MAX($J3694*1.4*1.5*1.6*1.6*2.2*2.715,354000000*(1.642074^(MIN($E3694,123)-117)))*1,0))</f>
        <v>558729</v>
      </c>
      <c r="W3694" s="13">
        <f>$E3694+15</f>
        <v>116</v>
      </c>
      <c r="X3694" s="14">
        <f>IF($J3694=0,0,ROUND(MAX($J3694*1.4*1.5*1.6*1.6*2.2*2.715*2.6,3540000000*(1.579646^(MIN($E3694,123)-117)))*1,0))</f>
        <v>2355304</v>
      </c>
      <c r="Y3694" s="11">
        <f>$E3694+17</f>
        <v>118</v>
      </c>
      <c r="Z3694" s="12">
        <f>IF($J3694=0,0,ROUND(MAX($J3694*1.4*1.5*1.6*1.6*2.2*2.715*2.6*1.4,6020000000*(1.651178^(MIN($E3694,123)-117)))*1,0))</f>
        <v>2033773</v>
      </c>
      <c r="AA3694" s="13">
        <f>$E3694+19</f>
        <v>120</v>
      </c>
      <c r="AB3694" s="14">
        <f>IF($J3694=0,0,ROUND(MAX($J3694*1.4*1.5*1.6*1.6*2.2*2.715*2.6*1.4*1.4,8430000000*(1.651435^(MIN($E3694,123)-117)))*1,0))</f>
        <v>2847282</v>
      </c>
      <c r="AC3694" s="11">
        <f>$E3694+21</f>
        <v>122</v>
      </c>
      <c r="AD3694" s="12">
        <f>IF($J3694=0,0,ROUND(MAX($J3694*1.4*1.5*1.6*1.6*2.2*2.715*2.6*1.4*1.4*1.5,12600000000*(1.652953^(MIN($E3694,123)-117)))*1,0))</f>
        <v>4270923</v>
      </c>
      <c r="AE3694" s="13">
        <f>$E3694+24</f>
        <v>125</v>
      </c>
      <c r="AF3694" s="14">
        <f>IF($J3694=0,0,ROUND(MAX($J3694*1.4*1.5*1.6*1.6*2.2*2.715*2.6*1.4*1.4*1.5*1.5,18900000000*(1.65331^(MIN($E3694,123)-117)))*1,0))</f>
        <v>6406384</v>
      </c>
      <c r="AG3694" s="11">
        <f>$E3694+27</f>
        <v>128</v>
      </c>
      <c r="AH3694" s="12">
        <f>IF($J3694=0,0,ROUND(MAX($J3694*1.4*1.5*1.6*1.6*2.2*2.715*2.6*1.4*1.4*1.5*1.5*3.2,60500000000*(1.654288^(MIN($E3694,123)-117)))*1,0))</f>
        <v>20500429</v>
      </c>
    </row>
    <row r="3695" ht="28" customHeight="1" spans="1:34" x14ac:dyDescent="0.25">
      <c r="A3695">
        <v>3705</v>
      </c>
      <c r="B3695" t="s">
        <v>140</v>
      </c>
      <c r="C3695" s="10" t="s">
        <v>1813</v>
      </c>
      <c r="D3695" t="s">
        <v>40</v>
      </c>
      <c r="E3695">
        <v>101</v>
      </c>
      <c r="F3695" t="s">
        <v>56</v>
      </c>
      <c r="G3695" t="s">
        <v>562</v>
      </c>
      <c r="H3695">
        <v>22</v>
      </c>
      <c r="I3695" s="11">
        <f>$E3695+0</f>
        <v>101</v>
      </c>
      <c r="J3695" s="12">
        <v>3330</v>
      </c>
      <c r="K3695" s="13">
        <f>$E3695+1</f>
        <v>102</v>
      </c>
      <c r="L3695" s="14">
        <f>IF($J3695=0,0,ROUND(MAX($J3695*1.4,1620000*(1.497923^(MIN($E3695,123)-117)))*1,0))</f>
        <v>4662</v>
      </c>
      <c r="M3695" s="11">
        <f>$E3695+2</f>
        <v>103</v>
      </c>
      <c r="N3695" s="12">
        <f>IF($J3695=0,0,ROUND(MAX($J3695*1.4*1.5,2190000*(1.580994^(MIN($E3695,123)-117)))*1,0))</f>
        <v>6993</v>
      </c>
      <c r="O3695" s="13">
        <f>$E3695+4</f>
        <v>105</v>
      </c>
      <c r="P3695" s="14">
        <f>IF($J3695=0,0,ROUND(MAX($J3695*1.4*1.5*1.6,3500000*(1.57975^(MIN($E3695,123)-117)))*1,0))</f>
        <v>11189</v>
      </c>
      <c r="Q3695" s="11">
        <f>$E3695+6</f>
        <v>107</v>
      </c>
      <c r="R3695" s="12">
        <f>IF($J3695=0,0,ROUND(MAX($J3695*1.4*1.5*1.6*1.6,13100000*(1.429962^(MIN($E3695,123)-117)))*1,0))</f>
        <v>42863</v>
      </c>
      <c r="S3695" s="13">
        <f>$E3695+8</f>
        <v>109</v>
      </c>
      <c r="T3695" s="14">
        <f>IF($J3695=0,0,ROUND(MAX($J3695*1.4*1.5*1.6*1.6*2.2,42600000*(1.576904^(MIN($E3695,123)-117)))*1,0))</f>
        <v>39385</v>
      </c>
      <c r="U3695" s="11">
        <f>$E3695+11</f>
        <v>112</v>
      </c>
      <c r="V3695" s="12">
        <f>IF($J3695=0,0,ROUND(MAX($J3695*1.4*1.5*1.6*1.6*2.2*2.715,354000000*(1.642074^(MIN($E3695,123)-117)))*1,0))</f>
        <v>126683</v>
      </c>
      <c r="W3695" s="13">
        <f>$E3695+15</f>
        <v>116</v>
      </c>
      <c r="X3695" s="14">
        <f>IF($J3695=0,0,ROUND(MAX($J3695*1.4*1.5*1.6*1.6*2.2*2.715*2.6,3540000000*(1.579646^(MIN($E3695,123)-117)))*1,0))</f>
        <v>2355304</v>
      </c>
      <c r="Y3695" s="11">
        <f>$E3695+17</f>
        <v>118</v>
      </c>
      <c r="Z3695" s="12">
        <f>IF($J3695=0,0,ROUND(MAX($J3695*1.4*1.5*1.6*1.6*2.2*2.715*2.6*1.4,6020000000*(1.651178^(MIN($E3695,123)-117)))*1,0))</f>
        <v>1971942</v>
      </c>
      <c r="AA3695" s="13">
        <f>$E3695+19</f>
        <v>120</v>
      </c>
      <c r="AB3695" s="14">
        <f>IF($J3695=0,0,ROUND(MAX($J3695*1.4*1.5*1.6*1.6*2.2*2.715*2.6*1.4*1.4,8430000000*(1.651435^(MIN($E3695,123)-117)))*1,0))</f>
        <v>2754507</v>
      </c>
      <c r="AC3695" s="11">
        <f>$E3695+21</f>
        <v>122</v>
      </c>
      <c r="AD3695" s="12">
        <f>IF($J3695=0,0,ROUND(MAX($J3695*1.4*1.5*1.6*1.6*2.2*2.715*2.6*1.4*1.4*1.5,12600000000*(1.652953^(MIN($E3695,123)-117)))*1,0))</f>
        <v>4056976</v>
      </c>
      <c r="AE3695" s="13">
        <f>$E3695+24</f>
        <v>125</v>
      </c>
      <c r="AF3695" s="14">
        <f>IF($J3695=0,0,ROUND(MAX($J3695*1.4*1.5*1.6*1.6*2.2*2.715*2.6*1.4*1.4*1.5*1.5,18900000000*(1.65331^(MIN($E3695,123)-117)))*1,0))</f>
        <v>6064474</v>
      </c>
      <c r="AG3695" s="11">
        <f>$E3695+27</f>
        <v>128</v>
      </c>
      <c r="AH3695" s="12">
        <f>IF($J3695=0,0,ROUND(MAX($J3695*1.4*1.5*1.6*1.6*2.2*2.715*2.6*1.4*1.4*1.5*1.5*3.2,60500000000*(1.654288^(MIN($E3695,123)-117)))*1,0))</f>
        <v>19229919</v>
      </c>
    </row>
    <row r="3696" ht="28" customHeight="1" spans="1:34" x14ac:dyDescent="0.25">
      <c r="A3696">
        <v>3706</v>
      </c>
      <c r="B3696" t="s">
        <v>1823</v>
      </c>
      <c r="C3696" s="10" t="s">
        <v>1813</v>
      </c>
      <c r="D3696" t="s">
        <v>45</v>
      </c>
      <c r="E3696">
        <v>101</v>
      </c>
      <c r="F3696" t="s">
        <v>59</v>
      </c>
      <c r="G3696" t="s">
        <v>561</v>
      </c>
      <c r="H3696">
        <v>21</v>
      </c>
      <c r="I3696" s="11">
        <f>$E3696+0</f>
        <v>101</v>
      </c>
      <c r="J3696" s="12">
        <v>36700</v>
      </c>
      <c r="K3696" s="13">
        <f>$E3696+1</f>
        <v>102</v>
      </c>
      <c r="L3696" s="14">
        <f>IF($J3696=0,0,ROUND(MAX($J3696*1.4,1620000*(1.497923^(MIN($E3696,123)-117)))*1,0))</f>
        <v>51380</v>
      </c>
      <c r="M3696" s="11">
        <f>$E3696+2</f>
        <v>103</v>
      </c>
      <c r="N3696" s="12">
        <f>IF($J3696=0,0,ROUND(MAX($J3696*1.4*1.5,2190000*(1.580994^(MIN($E3696,123)-117)))*1,0))</f>
        <v>77070</v>
      </c>
      <c r="O3696" s="13">
        <f>$E3696+4</f>
        <v>105</v>
      </c>
      <c r="P3696" s="14">
        <f>IF($J3696=0,0,ROUND(MAX($J3696*1.4*1.5*1.6,3500000*(1.57975^(MIN($E3696,123)-117)))*1,0))</f>
        <v>123312</v>
      </c>
      <c r="Q3696" s="11">
        <f>$E3696+6</f>
        <v>107</v>
      </c>
      <c r="R3696" s="12">
        <f>IF($J3696=0,0,ROUND(MAX($J3696*1.4*1.5*1.6*1.6,13100000*(1.429962^(MIN($E3696,123)-117)))*1,0))</f>
        <v>197299</v>
      </c>
      <c r="S3696" s="13">
        <f>$E3696+8</f>
        <v>109</v>
      </c>
      <c r="T3696" s="14">
        <f>IF($J3696=0,0,ROUND(MAX($J3696*1.4*1.5*1.6*1.6*2.2,42600000*(1.576904^(MIN($E3696,123)-117)))*1,0))</f>
        <v>434058</v>
      </c>
      <c r="U3696" s="11">
        <f>$E3696+11</f>
        <v>112</v>
      </c>
      <c r="V3696" s="12">
        <f>IF($J3696=0,0,ROUND(MAX($J3696*1.4*1.5*1.6*1.6*2.2*2.715,354000000*(1.642074^(MIN($E3696,123)-117)))*1,0))</f>
        <v>1178468</v>
      </c>
      <c r="W3696" s="13">
        <f>$E3696+15</f>
        <v>116</v>
      </c>
      <c r="X3696" s="14">
        <f>IF($J3696=0,0,ROUND(MAX($J3696*1.4*1.5*1.6*1.6*2.2*2.715*2.6,3540000000*(1.579646^(MIN($E3696,123)-117)))*1,0))</f>
        <v>3064017</v>
      </c>
      <c r="Y3696" s="11">
        <f>$E3696+17</f>
        <v>118</v>
      </c>
      <c r="Z3696" s="12">
        <f>IF($J3696=0,0,ROUND(MAX($J3696*1.4*1.5*1.6*1.6*2.2*2.715*2.6*1.4,6020000000*(1.651178^(MIN($E3696,123)-117)))*1,0))</f>
        <v>4289624</v>
      </c>
      <c r="AA3696" s="13">
        <f>$E3696+19</f>
        <v>120</v>
      </c>
      <c r="AB3696" s="14">
        <f>IF($J3696=0,0,ROUND(MAX($J3696*1.4*1.5*1.6*1.6*2.2*2.715*2.6*1.4*1.4,8430000000*(1.651435^(MIN($E3696,123)-117)))*1,0))</f>
        <v>6005474</v>
      </c>
      <c r="AC3696" s="11">
        <f>$E3696+21</f>
        <v>122</v>
      </c>
      <c r="AD3696" s="12">
        <f>IF($J3696=0,0,ROUND(MAX($J3696*1.4*1.5*1.6*1.6*2.2*2.715*2.6*1.4*1.4*1.5,12600000000*(1.652953^(MIN($E3696,123)-117)))*1,0))</f>
        <v>9008210</v>
      </c>
      <c r="AE3696" s="13">
        <f>$E3696+24</f>
        <v>125</v>
      </c>
      <c r="AF3696" s="14">
        <f>IF($J3696=0,0,ROUND(MAX($J3696*1.4*1.5*1.6*1.6*2.2*2.715*2.6*1.4*1.4*1.5*1.5,18900000000*(1.65331^(MIN($E3696,123)-117)))*1,0))</f>
        <v>13512315</v>
      </c>
      <c r="AG3696" s="11">
        <f>$E3696+27</f>
        <v>128</v>
      </c>
      <c r="AH3696" s="12">
        <f>IF($J3696=0,0,ROUND(MAX($J3696*1.4*1.5*1.6*1.6*2.2*2.715*2.6*1.4*1.4*1.5*1.5*3.2,60500000000*(1.654288^(MIN($E3696,123)-117)))*1,0))</f>
        <v>43239410</v>
      </c>
    </row>
    <row r="3697" ht="28" customHeight="1" spans="1:34" x14ac:dyDescent="0.25">
      <c r="A3697">
        <v>3707</v>
      </c>
      <c r="B3697" t="s">
        <v>1824</v>
      </c>
      <c r="C3697" s="10" t="s">
        <v>1813</v>
      </c>
      <c r="D3697" t="s">
        <v>40</v>
      </c>
      <c r="E3697">
        <v>101</v>
      </c>
      <c r="F3697" t="s">
        <v>1825</v>
      </c>
      <c r="G3697" t="s">
        <v>562</v>
      </c>
      <c r="H3697">
        <v>21</v>
      </c>
      <c r="I3697" s="11">
        <f>$E3697+0</f>
        <v>101</v>
      </c>
      <c r="J3697" s="12">
        <v>3800</v>
      </c>
      <c r="K3697" s="13">
        <f>$E3697+1</f>
        <v>102</v>
      </c>
      <c r="L3697" s="14">
        <f>IF($J3697=0,0,ROUND(MAX($J3697*1.4,1620000*(1.497923^(MIN($E3697,123)-117)))*1,0))</f>
        <v>5320</v>
      </c>
      <c r="M3697" s="11">
        <f>$E3697+2</f>
        <v>103</v>
      </c>
      <c r="N3697" s="12">
        <f>IF($J3697=0,0,ROUND(MAX($J3697*1.4*1.5,2190000*(1.580994^(MIN($E3697,123)-117)))*1,0))</f>
        <v>7980</v>
      </c>
      <c r="O3697" s="13">
        <f>$E3697+4</f>
        <v>105</v>
      </c>
      <c r="P3697" s="14">
        <f>IF($J3697=0,0,ROUND(MAX($J3697*1.4*1.5*1.6,3500000*(1.57975^(MIN($E3697,123)-117)))*1,0))</f>
        <v>12768</v>
      </c>
      <c r="Q3697" s="11">
        <f>$E3697+6</f>
        <v>107</v>
      </c>
      <c r="R3697" s="12">
        <f>IF($J3697=0,0,ROUND(MAX($J3697*1.4*1.5*1.6*1.6,13100000*(1.429962^(MIN($E3697,123)-117)))*1,0))</f>
        <v>42863</v>
      </c>
      <c r="S3697" s="13">
        <f>$E3697+8</f>
        <v>109</v>
      </c>
      <c r="T3697" s="14">
        <f>IF($J3697=0,0,ROUND(MAX($J3697*1.4*1.5*1.6*1.6*2.2,42600000*(1.576904^(MIN($E3697,123)-117)))*1,0))</f>
        <v>44943</v>
      </c>
      <c r="U3697" s="11">
        <f>$E3697+11</f>
        <v>112</v>
      </c>
      <c r="V3697" s="12">
        <f>IF($J3697=0,0,ROUND(MAX($J3697*1.4*1.5*1.6*1.6*2.2*2.715,354000000*(1.642074^(MIN($E3697,123)-117)))*1,0))</f>
        <v>126683</v>
      </c>
      <c r="W3697" s="13">
        <f>$E3697+15</f>
        <v>116</v>
      </c>
      <c r="X3697" s="14">
        <f>IF($J3697=0,0,ROUND(MAX($J3697*1.4*1.5*1.6*1.6*2.2*2.715*2.6,3540000000*(1.579646^(MIN($E3697,123)-117)))*1,0))</f>
        <v>2355304</v>
      </c>
      <c r="Y3697" s="11">
        <f>$E3697+17</f>
        <v>118</v>
      </c>
      <c r="Z3697" s="12">
        <f>IF($J3697=0,0,ROUND(MAX($J3697*1.4*1.5*1.6*1.6*2.2*2.715*2.6*1.4,6020000000*(1.651178^(MIN($E3697,123)-117)))*1,0))</f>
        <v>1971942</v>
      </c>
      <c r="AA3697" s="13">
        <f>$E3697+19</f>
        <v>120</v>
      </c>
      <c r="AB3697" s="14">
        <f>IF($J3697=0,0,ROUND(MAX($J3697*1.4*1.5*1.6*1.6*2.2*2.715*2.6*1.4*1.4,8430000000*(1.651435^(MIN($E3697,123)-117)))*1,0))</f>
        <v>2754507</v>
      </c>
      <c r="AC3697" s="11">
        <f>$E3697+21</f>
        <v>122</v>
      </c>
      <c r="AD3697" s="12">
        <f>IF($J3697=0,0,ROUND(MAX($J3697*1.4*1.5*1.6*1.6*2.2*2.715*2.6*1.4*1.4*1.5,12600000000*(1.652953^(MIN($E3697,123)-117)))*1,0))</f>
        <v>4056976</v>
      </c>
      <c r="AE3697" s="13">
        <f>$E3697+24</f>
        <v>125</v>
      </c>
      <c r="AF3697" s="14">
        <f>IF($J3697=0,0,ROUND(MAX($J3697*1.4*1.5*1.6*1.6*2.2*2.715*2.6*1.4*1.4*1.5*1.5,18900000000*(1.65331^(MIN($E3697,123)-117)))*1,0))</f>
        <v>6064474</v>
      </c>
      <c r="AG3697" s="11">
        <f>$E3697+27</f>
        <v>128</v>
      </c>
      <c r="AH3697" s="12">
        <f>IF($J3697=0,0,ROUND(MAX($J3697*1.4*1.5*1.6*1.6*2.2*2.715*2.6*1.4*1.4*1.5*1.5*3.2,60500000000*(1.654288^(MIN($E3697,123)-117)))*1,0))</f>
        <v>19229919</v>
      </c>
    </row>
    <row r="3698" ht="28" customHeight="1" spans="1:34" x14ac:dyDescent="0.25">
      <c r="A3698">
        <v>3708</v>
      </c>
      <c r="B3698" t="s">
        <v>1826</v>
      </c>
      <c r="C3698" s="10" t="s">
        <v>1813</v>
      </c>
      <c r="D3698" t="s">
        <v>45</v>
      </c>
      <c r="E3698">
        <v>101</v>
      </c>
      <c r="F3698" t="s">
        <v>310</v>
      </c>
      <c r="G3698" t="s">
        <v>562</v>
      </c>
      <c r="H3698">
        <v>21</v>
      </c>
      <c r="I3698" s="11">
        <f>$E3698+0</f>
        <v>101</v>
      </c>
      <c r="J3698" s="12">
        <v>90900</v>
      </c>
      <c r="K3698" s="13">
        <f>$E3698+1</f>
        <v>102</v>
      </c>
      <c r="L3698" s="14">
        <f>IF($J3698=0,0,ROUND(MAX($J3698*1.4,1620000*(1.497923^(MIN($E3698,123)-117)))*1,0))</f>
        <v>127260</v>
      </c>
      <c r="M3698" s="11">
        <f>$E3698+2</f>
        <v>103</v>
      </c>
      <c r="N3698" s="12">
        <f>IF($J3698=0,0,ROUND(MAX($J3698*1.4*1.5,2190000*(1.580994^(MIN($E3698,123)-117)))*1,0))</f>
        <v>190890</v>
      </c>
      <c r="O3698" s="13">
        <f>$E3698+4</f>
        <v>105</v>
      </c>
      <c r="P3698" s="14">
        <f>IF($J3698=0,0,ROUND(MAX($J3698*1.4*1.5*1.6,3500000*(1.57975^(MIN($E3698,123)-117)))*1,0))</f>
        <v>305424</v>
      </c>
      <c r="Q3698" s="11">
        <f>$E3698+6</f>
        <v>107</v>
      </c>
      <c r="R3698" s="12">
        <f>IF($J3698=0,0,ROUND(MAX($J3698*1.4*1.5*1.6*1.6,13100000*(1.429962^(MIN($E3698,123)-117)))*1,0))</f>
        <v>488678</v>
      </c>
      <c r="S3698" s="13">
        <f>$E3698+8</f>
        <v>109</v>
      </c>
      <c r="T3698" s="14">
        <f>IF($J3698=0,0,ROUND(MAX($J3698*1.4*1.5*1.6*1.6*2.2,42600000*(1.576904^(MIN($E3698,123)-117)))*1,0))</f>
        <v>1075092</v>
      </c>
      <c r="U3698" s="11">
        <f>$E3698+11</f>
        <v>112</v>
      </c>
      <c r="V3698" s="12">
        <f>IF($J3698=0,0,ROUND(MAX($J3698*1.4*1.5*1.6*1.6*2.2*2.715,354000000*(1.642074^(MIN($E3698,123)-117)))*1,0))</f>
        <v>2918876</v>
      </c>
      <c r="W3698" s="13">
        <f>$E3698+15</f>
        <v>116</v>
      </c>
      <c r="X3698" s="14">
        <f>IF($J3698=0,0,ROUND(MAX($J3698*1.4*1.5*1.6*1.6*2.2*2.715*2.6,3540000000*(1.579646^(MIN($E3698,123)-117)))*1,0))</f>
        <v>7589078</v>
      </c>
      <c r="Y3698" s="11">
        <f>$E3698+17</f>
        <v>118</v>
      </c>
      <c r="Z3698" s="12">
        <f>IF($J3698=0,0,ROUND(MAX($J3698*1.4*1.5*1.6*1.6*2.2*2.715*2.6*1.4,6020000000*(1.651178^(MIN($E3698,123)-117)))*1,0))</f>
        <v>10624709</v>
      </c>
      <c r="AA3698" s="13">
        <f>$E3698+19</f>
        <v>120</v>
      </c>
      <c r="AB3698" s="14">
        <f>IF($J3698=0,0,ROUND(MAX($J3698*1.4*1.5*1.6*1.6*2.2*2.715*2.6*1.4*1.4,8430000000*(1.651435^(MIN($E3698,123)-117)))*1,0))</f>
        <v>14874593</v>
      </c>
      <c r="AC3698" s="11">
        <f>$E3698+21</f>
        <v>122</v>
      </c>
      <c r="AD3698" s="12">
        <f>IF($J3698=0,0,ROUND(MAX($J3698*1.4*1.5*1.6*1.6*2.2*2.715*2.6*1.4*1.4*1.5,12600000000*(1.652953^(MIN($E3698,123)-117)))*1,0))</f>
        <v>22311889</v>
      </c>
      <c r="AE3698" s="13">
        <f>$E3698+24</f>
        <v>125</v>
      </c>
      <c r="AF3698" s="14">
        <f>IF($J3698=0,0,ROUND(MAX($J3698*1.4*1.5*1.6*1.6*2.2*2.715*2.6*1.4*1.4*1.5*1.5,18900000000*(1.65331^(MIN($E3698,123)-117)))*1,0))</f>
        <v>33467833</v>
      </c>
      <c r="AG3698" s="11">
        <f>$E3698+27</f>
        <v>128</v>
      </c>
      <c r="AH3698" s="12">
        <f>IF($J3698=0,0,ROUND(MAX($J3698*1.4*1.5*1.6*1.6*2.2*2.715*2.6*1.4*1.4*1.5*1.5*3.2,60500000000*(1.654288^(MIN($E3698,123)-117)))*1,0))</f>
        <v>107097066</v>
      </c>
    </row>
    <row r="3699" ht="28" customHeight="1" spans="1:34" x14ac:dyDescent="0.25">
      <c r="A3699">
        <v>3709</v>
      </c>
      <c r="B3699" t="s">
        <v>1781</v>
      </c>
      <c r="C3699" s="10" t="s">
        <v>1813</v>
      </c>
      <c r="D3699" t="s">
        <v>33</v>
      </c>
      <c r="E3699">
        <v>101</v>
      </c>
      <c r="F3699" t="s">
        <v>59</v>
      </c>
      <c r="G3699" t="s">
        <v>1782</v>
      </c>
      <c r="H3699">
        <v>21</v>
      </c>
      <c r="I3699" s="11">
        <f>$E3699+0</f>
        <v>101</v>
      </c>
      <c r="J3699" s="12">
        <v>1070</v>
      </c>
      <c r="K3699" s="13">
        <f>$E3699+1</f>
        <v>102</v>
      </c>
      <c r="L3699" s="14">
        <f>IF($J3699=0,0,ROUND(MAX($J3699*1.4,1620000*(1.497923^(MIN($E3699,123)-117)))*1,0))</f>
        <v>2522</v>
      </c>
      <c r="M3699" s="11">
        <f>$E3699+2</f>
        <v>103</v>
      </c>
      <c r="N3699" s="12">
        <f>IF($J3699=0,0,ROUND(MAX($J3699*1.4*1.5,2190000*(1.580994^(MIN($E3699,123)-117)))*1,0))</f>
        <v>2247</v>
      </c>
      <c r="O3699" s="13">
        <f>$E3699+4</f>
        <v>105</v>
      </c>
      <c r="P3699" s="14">
        <f>IF($J3699=0,0,ROUND(MAX($J3699*1.4*1.5*1.6,3500000*(1.57975^(MIN($E3699,123)-117)))*1,0))</f>
        <v>3595</v>
      </c>
      <c r="Q3699" s="11">
        <f>$E3699+6</f>
        <v>107</v>
      </c>
      <c r="R3699" s="12">
        <f>IF($J3699=0,0,ROUND(MAX($J3699*1.4*1.5*1.6*1.6,13100000*(1.429962^(MIN($E3699,123)-117)))*1,0))</f>
        <v>42863</v>
      </c>
      <c r="S3699" s="13">
        <f>$E3699+8</f>
        <v>109</v>
      </c>
      <c r="T3699" s="14">
        <f>IF($J3699=0,0,ROUND(MAX($J3699*1.4*1.5*1.6*1.6*2.2,42600000*(1.576904^(MIN($E3699,123)-117)))*1,0))</f>
        <v>29142</v>
      </c>
      <c r="U3699" s="11">
        <f>$E3699+11</f>
        <v>112</v>
      </c>
      <c r="V3699" s="12">
        <f>IF($J3699=0,0,ROUND(MAX($J3699*1.4*1.5*1.6*1.6*2.2*2.715,354000000*(1.642074^(MIN($E3699,123)-117)))*1,0))</f>
        <v>126683</v>
      </c>
      <c r="W3699" s="13">
        <f>$E3699+15</f>
        <v>116</v>
      </c>
      <c r="X3699" s="14">
        <f>IF($J3699=0,0,ROUND(MAX($J3699*1.4*1.5*1.6*1.6*2.2*2.715*2.6,3540000000*(1.579646^(MIN($E3699,123)-117)))*1,0))</f>
        <v>2355304</v>
      </c>
      <c r="Y3699" s="11">
        <f>$E3699+17</f>
        <v>118</v>
      </c>
      <c r="Z3699" s="12">
        <f>IF($J3699=0,0,ROUND(MAX($J3699*1.4*1.5*1.6*1.6*2.2*2.715*2.6*1.4,6020000000*(1.651178^(MIN($E3699,123)-117)))*1,0))</f>
        <v>1971942</v>
      </c>
      <c r="AA3699" s="13">
        <f>$E3699+19</f>
        <v>120</v>
      </c>
      <c r="AB3699" s="14">
        <f>IF($J3699=0,0,ROUND(MAX($J3699*1.4*1.5*1.6*1.6*2.2*2.715*2.6*1.4*1.4,8430000000*(1.651435^(MIN($E3699,123)-117)))*1,0))</f>
        <v>2754507</v>
      </c>
      <c r="AC3699" s="11">
        <f>$E3699+21</f>
        <v>122</v>
      </c>
      <c r="AD3699" s="12">
        <f>IF($J3699=0,0,ROUND(MAX($J3699*1.4*1.5*1.6*1.6*2.2*2.715*2.6*1.4*1.4*1.5,12600000000*(1.652953^(MIN($E3699,123)-117)))*1,0))</f>
        <v>4056976</v>
      </c>
      <c r="AE3699" s="13">
        <f>$E3699+24</f>
        <v>125</v>
      </c>
      <c r="AF3699" s="14">
        <f>IF($J3699=0,0,ROUND(MAX($J3699*1.4*1.5*1.6*1.6*2.2*2.715*2.6*1.4*1.4*1.5*1.5,18900000000*(1.65331^(MIN($E3699,123)-117)))*1,0))</f>
        <v>6064474</v>
      </c>
      <c r="AG3699" s="11">
        <f>$E3699+27</f>
        <v>128</v>
      </c>
      <c r="AH3699" s="12">
        <f>IF($J3699=0,0,ROUND(MAX($J3699*1.4*1.5*1.6*1.6*2.2*2.715*2.6*1.4*1.4*1.5*1.5*3.2,60500000000*(1.654288^(MIN($E3699,123)-117)))*1,0))</f>
        <v>19229919</v>
      </c>
    </row>
    <row r="3700" ht="28" customHeight="1" spans="1:34" x14ac:dyDescent="0.25">
      <c r="A3700">
        <v>3710</v>
      </c>
      <c r="B3700" t="s">
        <v>647</v>
      </c>
      <c r="C3700" s="10" t="s">
        <v>1813</v>
      </c>
      <c r="D3700" t="s">
        <v>45</v>
      </c>
      <c r="E3700">
        <v>101</v>
      </c>
      <c r="F3700" t="s">
        <v>54</v>
      </c>
      <c r="G3700" t="s">
        <v>562</v>
      </c>
      <c r="H3700">
        <v>21</v>
      </c>
      <c r="I3700" s="11">
        <f>$E3700+0</f>
        <v>101</v>
      </c>
      <c r="J3700" s="12">
        <v>95900</v>
      </c>
      <c r="K3700" s="13">
        <f>$E3700+1</f>
        <v>102</v>
      </c>
      <c r="L3700" s="14">
        <f>IF($J3700=0,0,ROUND(MAX($J3700*1.4,1620000*(1.497923^(MIN($E3700,123)-117)))*1,0))</f>
        <v>134260</v>
      </c>
      <c r="M3700" s="11">
        <f>$E3700+2</f>
        <v>103</v>
      </c>
      <c r="N3700" s="12">
        <f>IF($J3700=0,0,ROUND(MAX($J3700*1.4*1.5,2190000*(1.580994^(MIN($E3700,123)-117)))*1,0))</f>
        <v>201390</v>
      </c>
      <c r="O3700" s="13">
        <f>$E3700+4</f>
        <v>105</v>
      </c>
      <c r="P3700" s="14">
        <f>IF($J3700=0,0,ROUND(MAX($J3700*1.4*1.5*1.6,3500000*(1.57975^(MIN($E3700,123)-117)))*1,0))</f>
        <v>322224</v>
      </c>
      <c r="Q3700" s="11">
        <f>$E3700+6</f>
        <v>107</v>
      </c>
      <c r="R3700" s="12">
        <f>IF($J3700=0,0,ROUND(MAX($J3700*1.4*1.5*1.6*1.6,13100000*(1.429962^(MIN($E3700,123)-117)))*1,0))</f>
        <v>515558</v>
      </c>
      <c r="S3700" s="13">
        <f>$E3700+8</f>
        <v>109</v>
      </c>
      <c r="T3700" s="14">
        <f>IF($J3700=0,0,ROUND(MAX($J3700*1.4*1.5*1.6*1.6*2.2,42600000*(1.576904^(MIN($E3700,123)-117)))*1,0))</f>
        <v>1134228</v>
      </c>
      <c r="U3700" s="11">
        <f>$E3700+11</f>
        <v>112</v>
      </c>
      <c r="V3700" s="12">
        <f>IF($J3700=0,0,ROUND(MAX($J3700*1.4*1.5*1.6*1.6*2.2*2.715,354000000*(1.642074^(MIN($E3700,123)-117)))*1,0))</f>
        <v>3079430</v>
      </c>
      <c r="W3700" s="13">
        <f>$E3700+15</f>
        <v>116</v>
      </c>
      <c r="X3700" s="14">
        <f>IF($J3700=0,0,ROUND(MAX($J3700*1.4*1.5*1.6*1.6*2.2*2.715*2.6,3540000000*(1.579646^(MIN($E3700,123)-117)))*1,0))</f>
        <v>8006519</v>
      </c>
      <c r="Y3700" s="11">
        <f>$E3700+17</f>
        <v>118</v>
      </c>
      <c r="Z3700" s="12">
        <f>IF($J3700=0,0,ROUND(MAX($J3700*1.4*1.5*1.6*1.6*2.2*2.715*2.6*1.4,6020000000*(1.651178^(MIN($E3700,123)-117)))*1,0))</f>
        <v>11209126</v>
      </c>
      <c r="AA3700" s="13">
        <f>$E3700+19</f>
        <v>120</v>
      </c>
      <c r="AB3700" s="14">
        <f>IF($J3700=0,0,ROUND(MAX($J3700*1.4*1.5*1.6*1.6*2.2*2.715*2.6*1.4*1.4,8430000000*(1.651435^(MIN($E3700,123)-117)))*1,0))</f>
        <v>15692777</v>
      </c>
      <c r="AC3700" s="11">
        <f>$E3700+21</f>
        <v>122</v>
      </c>
      <c r="AD3700" s="12">
        <f>IF($J3700=0,0,ROUND(MAX($J3700*1.4*1.5*1.6*1.6*2.2*2.715*2.6*1.4*1.4*1.5,12600000000*(1.652953^(MIN($E3700,123)-117)))*1,0))</f>
        <v>23539165</v>
      </c>
      <c r="AE3700" s="13">
        <f>$E3700+24</f>
        <v>125</v>
      </c>
      <c r="AF3700" s="14">
        <f>IF($J3700=0,0,ROUND(MAX($J3700*1.4*1.5*1.6*1.6*2.2*2.715*2.6*1.4*1.4*1.5*1.5,18900000000*(1.65331^(MIN($E3700,123)-117)))*1,0))</f>
        <v>35308748</v>
      </c>
      <c r="AG3700" s="11">
        <f>$E3700+27</f>
        <v>128</v>
      </c>
      <c r="AH3700" s="12">
        <f>IF($J3700=0,0,ROUND(MAX($J3700*1.4*1.5*1.6*1.6*2.2*2.715*2.6*1.4*1.4*1.5*1.5*3.2,60500000000*(1.654288^(MIN($E3700,123)-117)))*1,0))</f>
        <v>112987994</v>
      </c>
    </row>
    <row r="3701" ht="28" customHeight="1" spans="1:34" x14ac:dyDescent="0.25">
      <c r="A3701">
        <v>3711</v>
      </c>
      <c r="B3701" t="s">
        <v>92</v>
      </c>
      <c r="C3701" s="10" t="s">
        <v>1813</v>
      </c>
      <c r="D3701" t="s">
        <v>93</v>
      </c>
      <c r="E3701">
        <v>101</v>
      </c>
      <c r="F3701" t="s">
        <v>56</v>
      </c>
      <c r="G3701" t="s">
        <v>562</v>
      </c>
      <c r="H3701">
        <v>21</v>
      </c>
      <c r="I3701" s="11">
        <f>$E3701+0</f>
        <v>101</v>
      </c>
      <c r="J3701" s="12">
        <v>13700</v>
      </c>
      <c r="K3701" s="13">
        <f>$E3701+1</f>
        <v>102</v>
      </c>
      <c r="L3701" s="14">
        <f>IF($J3701=0,0,ROUND(MAX($J3701*1.4,1620000*(1.497923^(MIN($E3701,123)-117)))*1,0))</f>
        <v>19180</v>
      </c>
      <c r="M3701" s="11">
        <f>$E3701+2</f>
        <v>103</v>
      </c>
      <c r="N3701" s="12">
        <f>IF($J3701=0,0,ROUND(MAX($J3701*1.4*1.5,2190000*(1.580994^(MIN($E3701,123)-117)))*1,0))</f>
        <v>28770</v>
      </c>
      <c r="O3701" s="13">
        <f>$E3701+4</f>
        <v>105</v>
      </c>
      <c r="P3701" s="14">
        <f>IF($J3701=0,0,ROUND(MAX($J3701*1.4*1.5*1.6,3500000*(1.57975^(MIN($E3701,123)-117)))*1,0))</f>
        <v>46032</v>
      </c>
      <c r="Q3701" s="11">
        <f>$E3701+6</f>
        <v>107</v>
      </c>
      <c r="R3701" s="12">
        <f>IF($J3701=0,0,ROUND(MAX($J3701*1.4*1.5*1.6*1.6,13100000*(1.429962^(MIN($E3701,123)-117)))*1,0))</f>
        <v>73651</v>
      </c>
      <c r="S3701" s="13">
        <f>$E3701+8</f>
        <v>109</v>
      </c>
      <c r="T3701" s="14">
        <f>IF($J3701=0,0,ROUND(MAX($J3701*1.4*1.5*1.6*1.6*2.2,42600000*(1.576904^(MIN($E3701,123)-117)))*1,0))</f>
        <v>162033</v>
      </c>
      <c r="U3701" s="11">
        <f>$E3701+11</f>
        <v>112</v>
      </c>
      <c r="V3701" s="12">
        <f>IF($J3701=0,0,ROUND(MAX($J3701*1.4*1.5*1.6*1.6*2.2*2.715,354000000*(1.642074^(MIN($E3701,123)-117)))*1,0))</f>
        <v>439919</v>
      </c>
      <c r="W3701" s="13">
        <f>$E3701+15</f>
        <v>116</v>
      </c>
      <c r="X3701" s="14">
        <f>IF($J3701=0,0,ROUND(MAX($J3701*1.4*1.5*1.6*1.6*2.2*2.715*2.6,3540000000*(1.579646^(MIN($E3701,123)-117)))*1,0))</f>
        <v>2355304</v>
      </c>
      <c r="Y3701" s="11">
        <f>$E3701+17</f>
        <v>118</v>
      </c>
      <c r="Z3701" s="12">
        <f>IF($J3701=0,0,ROUND(MAX($J3701*1.4*1.5*1.6*1.6*2.2*2.715*2.6*1.4,6020000000*(1.651178^(MIN($E3701,123)-117)))*1,0))</f>
        <v>1971942</v>
      </c>
      <c r="AA3701" s="13">
        <f>$E3701+19</f>
        <v>120</v>
      </c>
      <c r="AB3701" s="14">
        <f>IF($J3701=0,0,ROUND(MAX($J3701*1.4*1.5*1.6*1.6*2.2*2.715*2.6*1.4*1.4,8430000000*(1.651435^(MIN($E3701,123)-117)))*1,0))</f>
        <v>2754507</v>
      </c>
      <c r="AC3701" s="11">
        <f>$E3701+21</f>
        <v>122</v>
      </c>
      <c r="AD3701" s="12">
        <f>IF($J3701=0,0,ROUND(MAX($J3701*1.4*1.5*1.6*1.6*2.2*2.715*2.6*1.4*1.4*1.5,12600000000*(1.652953^(MIN($E3701,123)-117)))*1,0))</f>
        <v>4056976</v>
      </c>
      <c r="AE3701" s="13">
        <f>$E3701+24</f>
        <v>125</v>
      </c>
      <c r="AF3701" s="14">
        <f>IF($J3701=0,0,ROUND(MAX($J3701*1.4*1.5*1.6*1.6*2.2*2.715*2.6*1.4*1.4*1.5*1.5,18900000000*(1.65331^(MIN($E3701,123)-117)))*1,0))</f>
        <v>6064474</v>
      </c>
      <c r="AG3701" s="11">
        <f>$E3701+27</f>
        <v>128</v>
      </c>
      <c r="AH3701" s="12">
        <f>IF($J3701=0,0,ROUND(MAX($J3701*1.4*1.5*1.6*1.6*2.2*2.715*2.6*1.4*1.4*1.5*1.5*3.2,60500000000*(1.654288^(MIN($E3701,123)-117)))*1,0))</f>
        <v>19229919</v>
      </c>
    </row>
    <row r="3702" ht="28" customHeight="1" spans="1:34" x14ac:dyDescent="0.25">
      <c r="A3702">
        <v>3712</v>
      </c>
      <c r="B3702" t="s">
        <v>1827</v>
      </c>
      <c r="C3702" s="10" t="s">
        <v>1813</v>
      </c>
      <c r="D3702" t="s">
        <v>90</v>
      </c>
      <c r="E3702">
        <v>101</v>
      </c>
      <c r="F3702" t="s">
        <v>59</v>
      </c>
      <c r="G3702" t="s">
        <v>562</v>
      </c>
      <c r="H3702">
        <v>20</v>
      </c>
      <c r="I3702" s="11">
        <f>$E3702+0</f>
        <v>101</v>
      </c>
      <c r="J3702" s="12">
        <v>38300</v>
      </c>
      <c r="K3702" s="13">
        <f>$E3702+1</f>
        <v>102</v>
      </c>
      <c r="L3702" s="14">
        <f>IF($J3702=0,0,ROUND(MAX($J3702*1.4,1620000*(1.497923^(MIN($E3702,123)-117)))*1,0))</f>
        <v>53620</v>
      </c>
      <c r="M3702" s="11">
        <f>$E3702+2</f>
        <v>103</v>
      </c>
      <c r="N3702" s="12">
        <f>IF($J3702=0,0,ROUND(MAX($J3702*1.4*1.5,2190000*(1.580994^(MIN($E3702,123)-117)))*1,0))</f>
        <v>80430</v>
      </c>
      <c r="O3702" s="13">
        <f>$E3702+4</f>
        <v>105</v>
      </c>
      <c r="P3702" s="14">
        <f>IF($J3702=0,0,ROUND(MAX($J3702*1.4*1.5*1.6,3500000*(1.57975^(MIN($E3702,123)-117)))*1,0))</f>
        <v>128688</v>
      </c>
      <c r="Q3702" s="11">
        <f>$E3702+6</f>
        <v>107</v>
      </c>
      <c r="R3702" s="12">
        <f>IF($J3702=0,0,ROUND(MAX($J3702*1.4*1.5*1.6*1.6,13100000*(1.429962^(MIN($E3702,123)-117)))*1,0))</f>
        <v>205901</v>
      </c>
      <c r="S3702" s="13">
        <f>$E3702+8</f>
        <v>109</v>
      </c>
      <c r="T3702" s="14">
        <f>IF($J3702=0,0,ROUND(MAX($J3702*1.4*1.5*1.6*1.6*2.2,42600000*(1.576904^(MIN($E3702,123)-117)))*1,0))</f>
        <v>452982</v>
      </c>
      <c r="U3702" s="11">
        <f>$E3702+11</f>
        <v>112</v>
      </c>
      <c r="V3702" s="12">
        <f>IF($J3702=0,0,ROUND(MAX($J3702*1.4*1.5*1.6*1.6*2.2*2.715,354000000*(1.642074^(MIN($E3702,123)-117)))*1,0))</f>
        <v>1229845</v>
      </c>
      <c r="W3702" s="13">
        <f>$E3702+15</f>
        <v>116</v>
      </c>
      <c r="X3702" s="14">
        <f>IF($J3702=0,0,ROUND(MAX($J3702*1.4*1.5*1.6*1.6*2.2*2.715*2.6,3540000000*(1.579646^(MIN($E3702,123)-117)))*1,0))</f>
        <v>3197598</v>
      </c>
      <c r="Y3702" s="11">
        <f>$E3702+17</f>
        <v>118</v>
      </c>
      <c r="Z3702" s="12">
        <f>IF($J3702=0,0,ROUND(MAX($J3702*1.4*1.5*1.6*1.6*2.2*2.715*2.6*1.4,6020000000*(1.651178^(MIN($E3702,123)-117)))*1,0))</f>
        <v>4476638</v>
      </c>
      <c r="AA3702" s="13">
        <f>$E3702+19</f>
        <v>120</v>
      </c>
      <c r="AB3702" s="14">
        <f>IF($J3702=0,0,ROUND(MAX($J3702*1.4*1.5*1.6*1.6*2.2*2.715*2.6*1.4*1.4,8430000000*(1.651435^(MIN($E3702,123)-117)))*1,0))</f>
        <v>6267293</v>
      </c>
      <c r="AC3702" s="11">
        <f>$E3702+21</f>
        <v>122</v>
      </c>
      <c r="AD3702" s="12">
        <f>IF($J3702=0,0,ROUND(MAX($J3702*1.4*1.5*1.6*1.6*2.2*2.715*2.6*1.4*1.4*1.5,12600000000*(1.652953^(MIN($E3702,123)-117)))*1,0))</f>
        <v>9400939</v>
      </c>
      <c r="AE3702" s="13">
        <f>$E3702+24</f>
        <v>125</v>
      </c>
      <c r="AF3702" s="14">
        <f>IF($J3702=0,0,ROUND(MAX($J3702*1.4*1.5*1.6*1.6*2.2*2.715*2.6*1.4*1.4*1.5*1.5,18900000000*(1.65331^(MIN($E3702,123)-117)))*1,0))</f>
        <v>14101408</v>
      </c>
      <c r="AG3702" s="11">
        <f>$E3702+27</f>
        <v>128</v>
      </c>
      <c r="AH3702" s="12">
        <f>IF($J3702=0,0,ROUND(MAX($J3702*1.4*1.5*1.6*1.6*2.2*2.715*2.6*1.4*1.4*1.5*1.5*3.2,60500000000*(1.654288^(MIN($E3702,123)-117)))*1,0))</f>
        <v>45124506</v>
      </c>
    </row>
    <row r="3703" ht="28" customHeight="1" spans="1:34" x14ac:dyDescent="0.25">
      <c r="A3703">
        <v>3713</v>
      </c>
      <c r="B3703" t="s">
        <v>125</v>
      </c>
      <c r="C3703" s="10" t="s">
        <v>1813</v>
      </c>
      <c r="D3703" t="s">
        <v>33</v>
      </c>
      <c r="E3703">
        <v>101</v>
      </c>
      <c r="F3703" t="s">
        <v>56</v>
      </c>
      <c r="G3703" t="s">
        <v>562</v>
      </c>
      <c r="H3703">
        <v>20</v>
      </c>
      <c r="I3703" s="11">
        <f>$E3703+0</f>
        <v>101</v>
      </c>
      <c r="J3703" s="12">
        <v>18100</v>
      </c>
      <c r="K3703" s="13">
        <f>$E3703+1</f>
        <v>102</v>
      </c>
      <c r="L3703" s="14">
        <f>IF($J3703=0,0,ROUND(MAX($J3703*1.4,1620000*(1.497923^(MIN($E3703,123)-117)))*1,0))</f>
        <v>25340</v>
      </c>
      <c r="M3703" s="11">
        <f>$E3703+2</f>
        <v>103</v>
      </c>
      <c r="N3703" s="12">
        <f>IF($J3703=0,0,ROUND(MAX($J3703*1.4*1.5,2190000*(1.580994^(MIN($E3703,123)-117)))*1,0))</f>
        <v>38010</v>
      </c>
      <c r="O3703" s="13">
        <f>$E3703+4</f>
        <v>105</v>
      </c>
      <c r="P3703" s="14">
        <f>IF($J3703=0,0,ROUND(MAX($J3703*1.4*1.5*1.6,3500000*(1.57975^(MIN($E3703,123)-117)))*1,0))</f>
        <v>60816</v>
      </c>
      <c r="Q3703" s="11">
        <f>$E3703+6</f>
        <v>107</v>
      </c>
      <c r="R3703" s="12">
        <f>IF($J3703=0,0,ROUND(MAX($J3703*1.4*1.5*1.6*1.6,13100000*(1.429962^(MIN($E3703,123)-117)))*1,0))</f>
        <v>97306</v>
      </c>
      <c r="S3703" s="13">
        <f>$E3703+8</f>
        <v>109</v>
      </c>
      <c r="T3703" s="14">
        <f>IF($J3703=0,0,ROUND(MAX($J3703*1.4*1.5*1.6*1.6*2.2,42600000*(1.576904^(MIN($E3703,123)-117)))*1,0))</f>
        <v>214072</v>
      </c>
      <c r="U3703" s="11">
        <f>$E3703+11</f>
        <v>112</v>
      </c>
      <c r="V3703" s="12">
        <f>IF($J3703=0,0,ROUND(MAX($J3703*1.4*1.5*1.6*1.6*2.2*2.715,354000000*(1.642074^(MIN($E3703,123)-117)))*1,0))</f>
        <v>581206</v>
      </c>
      <c r="W3703" s="13">
        <f>$E3703+15</f>
        <v>116</v>
      </c>
      <c r="X3703" s="14">
        <f>IF($J3703=0,0,ROUND(MAX($J3703*1.4*1.5*1.6*1.6*2.2*2.715*2.6,3540000000*(1.579646^(MIN($E3703,123)-117)))*1,0))</f>
        <v>2355304</v>
      </c>
      <c r="Y3703" s="11">
        <f>$E3703+17</f>
        <v>118</v>
      </c>
      <c r="Z3703" s="12">
        <f>IF($J3703=0,0,ROUND(MAX($J3703*1.4*1.5*1.6*1.6*2.2*2.715*2.6*1.4,6020000000*(1.651178^(MIN($E3703,123)-117)))*1,0))</f>
        <v>2115591</v>
      </c>
      <c r="AA3703" s="13">
        <f>$E3703+19</f>
        <v>120</v>
      </c>
      <c r="AB3703" s="14">
        <f>IF($J3703=0,0,ROUND(MAX($J3703*1.4*1.5*1.6*1.6*2.2*2.715*2.6*1.4*1.4,8430000000*(1.651435^(MIN($E3703,123)-117)))*1,0))</f>
        <v>2961828</v>
      </c>
      <c r="AC3703" s="11">
        <f>$E3703+21</f>
        <v>122</v>
      </c>
      <c r="AD3703" s="12">
        <f>IF($J3703=0,0,ROUND(MAX($J3703*1.4*1.5*1.6*1.6*2.2*2.715*2.6*1.4*1.4*1.5,12600000000*(1.652953^(MIN($E3703,123)-117)))*1,0))</f>
        <v>4442741</v>
      </c>
      <c r="AE3703" s="13">
        <f>$E3703+24</f>
        <v>125</v>
      </c>
      <c r="AF3703" s="14">
        <f>IF($J3703=0,0,ROUND(MAX($J3703*1.4*1.5*1.6*1.6*2.2*2.715*2.6*1.4*1.4*1.5*1.5,18900000000*(1.65331^(MIN($E3703,123)-117)))*1,0))</f>
        <v>6664112</v>
      </c>
      <c r="AG3703" s="11">
        <f>$E3703+27</f>
        <v>128</v>
      </c>
      <c r="AH3703" s="12">
        <f>IF($J3703=0,0,ROUND(MAX($J3703*1.4*1.5*1.6*1.6*2.2*2.715*2.6*1.4*1.4*1.5*1.5*3.2,60500000000*(1.654288^(MIN($E3703,123)-117)))*1,0))</f>
        <v>21325158</v>
      </c>
    </row>
    <row r="3704" ht="28" customHeight="1" spans="1:34" x14ac:dyDescent="0.25">
      <c r="A3704">
        <v>3714</v>
      </c>
      <c r="B3704" t="s">
        <v>1828</v>
      </c>
      <c r="C3704" s="10" t="s">
        <v>1813</v>
      </c>
      <c r="D3704" t="s">
        <v>33</v>
      </c>
      <c r="E3704">
        <v>101</v>
      </c>
      <c r="F3704" t="s">
        <v>54</v>
      </c>
      <c r="G3704" t="s">
        <v>562</v>
      </c>
      <c r="H3704">
        <v>20</v>
      </c>
      <c r="I3704" s="11">
        <f>$E3704+0</f>
        <v>101</v>
      </c>
      <c r="J3704" s="12">
        <v>367000</v>
      </c>
      <c r="K3704" s="13">
        <f>$E3704+1</f>
        <v>102</v>
      </c>
      <c r="L3704" s="14">
        <f>IF($J3704=0,0,ROUND(MAX($J3704*1.4,1620000*(1.497923^(MIN($E3704,123)-117)))*1,0))</f>
        <v>513800</v>
      </c>
      <c r="M3704" s="11">
        <f>$E3704+2</f>
        <v>103</v>
      </c>
      <c r="N3704" s="12">
        <f>IF($J3704=0,0,ROUND(MAX($J3704*1.4*1.5,2190000*(1.580994^(MIN($E3704,123)-117)))*1,0))</f>
        <v>770700</v>
      </c>
      <c r="O3704" s="13">
        <f>$E3704+4</f>
        <v>105</v>
      </c>
      <c r="P3704" s="14">
        <f>IF($J3704=0,0,ROUND(MAX($J3704*1.4*1.5*1.6,3500000*(1.57975^(MIN($E3704,123)-117)))*1,0))</f>
        <v>1233120</v>
      </c>
      <c r="Q3704" s="11">
        <f>$E3704+6</f>
        <v>107</v>
      </c>
      <c r="R3704" s="12">
        <f>IF($J3704=0,0,ROUND(MAX($J3704*1.4*1.5*1.6*1.6,13100000*(1.429962^(MIN($E3704,123)-117)))*1,0))</f>
        <v>1972992</v>
      </c>
      <c r="S3704" s="13">
        <f>$E3704+8</f>
        <v>109</v>
      </c>
      <c r="T3704" s="14">
        <f>IF($J3704=0,0,ROUND(MAX($J3704*1.4*1.5*1.6*1.6*2.2,42600000*(1.576904^(MIN($E3704,123)-117)))*1,0))</f>
        <v>4340582</v>
      </c>
      <c r="U3704" s="11">
        <f>$E3704+11</f>
        <v>112</v>
      </c>
      <c r="V3704" s="12">
        <f>IF($J3704=0,0,ROUND(MAX($J3704*1.4*1.5*1.6*1.6*2.2*2.715,354000000*(1.642074^(MIN($E3704,123)-117)))*1,0))</f>
        <v>11784681</v>
      </c>
      <c r="W3704" s="13">
        <f>$E3704+15</f>
        <v>116</v>
      </c>
      <c r="X3704" s="14">
        <f>IF($J3704=0,0,ROUND(MAX($J3704*1.4*1.5*1.6*1.6*2.2*2.715*2.6,3540000000*(1.579646^(MIN($E3704,123)-117)))*1,0))</f>
        <v>30640171</v>
      </c>
      <c r="Y3704" s="11">
        <f>$E3704+17</f>
        <v>118</v>
      </c>
      <c r="Z3704" s="12">
        <f>IF($J3704=0,0,ROUND(MAX($J3704*1.4*1.5*1.6*1.6*2.2*2.715*2.6*1.4,6020000000*(1.651178^(MIN($E3704,123)-117)))*1,0))</f>
        <v>42896240</v>
      </c>
      <c r="AA3704" s="13">
        <f>$E3704+19</f>
        <v>120</v>
      </c>
      <c r="AB3704" s="14">
        <f>IF($J3704=0,0,ROUND(MAX($J3704*1.4*1.5*1.6*1.6*2.2*2.715*2.6*1.4*1.4,8430000000*(1.651435^(MIN($E3704,123)-117)))*1,0))</f>
        <v>60054735</v>
      </c>
      <c r="AC3704" s="11">
        <f>$E3704+21</f>
        <v>122</v>
      </c>
      <c r="AD3704" s="12">
        <f>IF($J3704=0,0,ROUND(MAX($J3704*1.4*1.5*1.6*1.6*2.2*2.715*2.6*1.4*1.4*1.5,12600000000*(1.652953^(MIN($E3704,123)-117)))*1,0))</f>
        <v>90082103</v>
      </c>
      <c r="AE3704" s="13">
        <f>$E3704+24</f>
        <v>125</v>
      </c>
      <c r="AF3704" s="14">
        <f>IF($J3704=0,0,ROUND(MAX($J3704*1.4*1.5*1.6*1.6*2.2*2.715*2.6*1.4*1.4*1.5*1.5,18900000000*(1.65331^(MIN($E3704,123)-117)))*1,0))</f>
        <v>135123155</v>
      </c>
      <c r="AG3704" s="11">
        <f>$E3704+27</f>
        <v>128</v>
      </c>
      <c r="AH3704" s="12">
        <f>IF($J3704=0,0,ROUND(MAX($J3704*1.4*1.5*1.6*1.6*2.2*2.715*2.6*1.4*1.4*1.5*1.5*3.2,60500000000*(1.654288^(MIN($E3704,123)-117)))*1,0))</f>
        <v>432394095</v>
      </c>
    </row>
    <row r="3705" ht="28" customHeight="1" spans="1:34" x14ac:dyDescent="0.25">
      <c r="A3705">
        <v>3715</v>
      </c>
      <c r="B3705" t="s">
        <v>1829</v>
      </c>
      <c r="C3705" s="10" t="s">
        <v>1813</v>
      </c>
      <c r="D3705" t="s">
        <v>102</v>
      </c>
      <c r="E3705">
        <v>101</v>
      </c>
      <c r="F3705" t="s">
        <v>132</v>
      </c>
      <c r="G3705" t="s">
        <v>562</v>
      </c>
      <c r="H3705">
        <v>19</v>
      </c>
      <c r="I3705" s="11">
        <f>$E3705+0</f>
        <v>101</v>
      </c>
      <c r="J3705" s="12">
        <v>38300</v>
      </c>
      <c r="K3705" s="13">
        <f>$E3705+1</f>
        <v>102</v>
      </c>
      <c r="L3705" s="14">
        <f>IF($J3705=0,0,ROUND(MAX($J3705*1.4,1620000*(1.497923^(MIN($E3705,123)-117)))*1,0))</f>
        <v>53620</v>
      </c>
      <c r="M3705" s="11">
        <f>$E3705+2</f>
        <v>103</v>
      </c>
      <c r="N3705" s="12">
        <f>IF($J3705=0,0,ROUND(MAX($J3705*1.4*1.5,2190000*(1.580994^(MIN($E3705,123)-117)))*1,0))</f>
        <v>80430</v>
      </c>
      <c r="O3705" s="13">
        <f>$E3705+4</f>
        <v>105</v>
      </c>
      <c r="P3705" s="14">
        <f>IF($J3705=0,0,ROUND(MAX($J3705*1.4*1.5*1.6,3500000*(1.57975^(MIN($E3705,123)-117)))*1,0))</f>
        <v>128688</v>
      </c>
      <c r="Q3705" s="11">
        <f>$E3705+6</f>
        <v>107</v>
      </c>
      <c r="R3705" s="12">
        <f>IF($J3705=0,0,ROUND(MAX($J3705*1.4*1.5*1.6*1.6,13100000*(1.429962^(MIN($E3705,123)-117)))*1,0))</f>
        <v>205901</v>
      </c>
      <c r="S3705" s="13">
        <f>$E3705+8</f>
        <v>109</v>
      </c>
      <c r="T3705" s="14">
        <f>IF($J3705=0,0,ROUND(MAX($J3705*1.4*1.5*1.6*1.6*2.2,42600000*(1.576904^(MIN($E3705,123)-117)))*1,0))</f>
        <v>452982</v>
      </c>
      <c r="U3705" s="11">
        <f>$E3705+11</f>
        <v>112</v>
      </c>
      <c r="V3705" s="12">
        <f>IF($J3705=0,0,ROUND(MAX($J3705*1.4*1.5*1.6*1.6*2.2*2.715,354000000*(1.642074^(MIN($E3705,123)-117)))*1,0))</f>
        <v>1229845</v>
      </c>
      <c r="W3705" s="13">
        <f>$E3705+15</f>
        <v>116</v>
      </c>
      <c r="X3705" s="14">
        <f>IF($J3705=0,0,ROUND(MAX($J3705*1.4*1.5*1.6*1.6*2.2*2.715*2.6,3540000000*(1.579646^(MIN($E3705,123)-117)))*1,0))</f>
        <v>3197598</v>
      </c>
      <c r="Y3705" s="11">
        <f>$E3705+17</f>
        <v>118</v>
      </c>
      <c r="Z3705" s="12">
        <f>IF($J3705=0,0,ROUND(MAX($J3705*1.4*1.5*1.6*1.6*2.2*2.715*2.6*1.4,6020000000*(1.651178^(MIN($E3705,123)-117)))*1,0))</f>
        <v>4476638</v>
      </c>
      <c r="AA3705" s="13">
        <f>$E3705+19</f>
        <v>120</v>
      </c>
      <c r="AB3705" s="14">
        <f>IF($J3705=0,0,ROUND(MAX($J3705*1.4*1.5*1.6*1.6*2.2*2.715*2.6*1.4*1.4,8430000000*(1.651435^(MIN($E3705,123)-117)))*1,0))</f>
        <v>6267293</v>
      </c>
      <c r="AC3705" s="11">
        <f>$E3705+21</f>
        <v>122</v>
      </c>
      <c r="AD3705" s="12">
        <f>IF($J3705=0,0,ROUND(MAX($J3705*1.4*1.5*1.6*1.6*2.2*2.715*2.6*1.4*1.4*1.5,12600000000*(1.652953^(MIN($E3705,123)-117)))*1,0))</f>
        <v>9400939</v>
      </c>
      <c r="AE3705" s="13">
        <f>$E3705+24</f>
        <v>125</v>
      </c>
      <c r="AF3705" s="14">
        <f>IF($J3705=0,0,ROUND(MAX($J3705*1.4*1.5*1.6*1.6*2.2*2.715*2.6*1.4*1.4*1.5*1.5,18900000000*(1.65331^(MIN($E3705,123)-117)))*1,0))</f>
        <v>14101408</v>
      </c>
      <c r="AG3705" s="11">
        <f>$E3705+27</f>
        <v>128</v>
      </c>
      <c r="AH3705" s="12">
        <f>IF($J3705=0,0,ROUND(MAX($J3705*1.4*1.5*1.6*1.6*2.2*2.715*2.6*1.4*1.4*1.5*1.5*3.2,60500000000*(1.654288^(MIN($E3705,123)-117)))*1,0))</f>
        <v>45124506</v>
      </c>
    </row>
    <row r="3706" ht="28" customHeight="1" spans="1:34" x14ac:dyDescent="0.25">
      <c r="A3706">
        <v>3716</v>
      </c>
      <c r="B3706" t="s">
        <v>1778</v>
      </c>
      <c r="C3706" s="10" t="s">
        <v>1813</v>
      </c>
      <c r="D3706" t="s">
        <v>47</v>
      </c>
      <c r="E3706">
        <v>101</v>
      </c>
      <c r="F3706" t="s">
        <v>59</v>
      </c>
      <c r="G3706" t="s">
        <v>562</v>
      </c>
      <c r="H3706">
        <v>19</v>
      </c>
      <c r="I3706" s="11">
        <f>$E3706+0</f>
        <v>101</v>
      </c>
      <c r="J3706" s="12">
        <v>8550</v>
      </c>
      <c r="K3706" s="13">
        <f>$E3706+1</f>
        <v>102</v>
      </c>
      <c r="L3706" s="14">
        <f>IF($J3706=0,0,ROUND(MAX($J3706*1.4,1620000*(1.497923^(MIN($E3706,123)-117)))*1,0))</f>
        <v>11970</v>
      </c>
      <c r="M3706" s="11">
        <f>$E3706+2</f>
        <v>103</v>
      </c>
      <c r="N3706" s="12">
        <f>IF($J3706=0,0,ROUND(MAX($J3706*1.4*1.5,2190000*(1.580994^(MIN($E3706,123)-117)))*1,0))</f>
        <v>17955</v>
      </c>
      <c r="O3706" s="13">
        <f>$E3706+4</f>
        <v>105</v>
      </c>
      <c r="P3706" s="14">
        <f>IF($J3706=0,0,ROUND(MAX($J3706*1.4*1.5*1.6,3500000*(1.57975^(MIN($E3706,123)-117)))*1,0))</f>
        <v>28728</v>
      </c>
      <c r="Q3706" s="11">
        <f>$E3706+6</f>
        <v>107</v>
      </c>
      <c r="R3706" s="12">
        <f>IF($J3706=0,0,ROUND(MAX($J3706*1.4*1.5*1.6*1.6,13100000*(1.429962^(MIN($E3706,123)-117)))*1,0))</f>
        <v>45965</v>
      </c>
      <c r="S3706" s="13">
        <f>$E3706+8</f>
        <v>109</v>
      </c>
      <c r="T3706" s="14">
        <f>IF($J3706=0,0,ROUND(MAX($J3706*1.4*1.5*1.6*1.6*2.2,42600000*(1.576904^(MIN($E3706,123)-117)))*1,0))</f>
        <v>101123</v>
      </c>
      <c r="U3706" s="11">
        <f>$E3706+11</f>
        <v>112</v>
      </c>
      <c r="V3706" s="12">
        <f>IF($J3706=0,0,ROUND(MAX($J3706*1.4*1.5*1.6*1.6*2.2*2.715,354000000*(1.642074^(MIN($E3706,123)-117)))*1,0))</f>
        <v>274548</v>
      </c>
      <c r="W3706" s="13">
        <f>$E3706+15</f>
        <v>116</v>
      </c>
      <c r="X3706" s="14">
        <f>IF($J3706=0,0,ROUND(MAX($J3706*1.4*1.5*1.6*1.6*2.2*2.715*2.6,3540000000*(1.579646^(MIN($E3706,123)-117)))*1,0))</f>
        <v>2355304</v>
      </c>
      <c r="Y3706" s="11">
        <f>$E3706+17</f>
        <v>118</v>
      </c>
      <c r="Z3706" s="12">
        <f>IF($J3706=0,0,ROUND(MAX($J3706*1.4*1.5*1.6*1.6*2.2*2.715*2.6*1.4,6020000000*(1.651178^(MIN($E3706,123)-117)))*1,0))</f>
        <v>1971942</v>
      </c>
      <c r="AA3706" s="13">
        <f>$E3706+19</f>
        <v>120</v>
      </c>
      <c r="AB3706" s="14">
        <f>IF($J3706=0,0,ROUND(MAX($J3706*1.4*1.5*1.6*1.6*2.2*2.715*2.6*1.4*1.4,8430000000*(1.651435^(MIN($E3706,123)-117)))*1,0))</f>
        <v>2754507</v>
      </c>
      <c r="AC3706" s="11">
        <f>$E3706+21</f>
        <v>122</v>
      </c>
      <c r="AD3706" s="12">
        <f>IF($J3706=0,0,ROUND(MAX($J3706*1.4*1.5*1.6*1.6*2.2*2.715*2.6*1.4*1.4*1.5,12600000000*(1.652953^(MIN($E3706,123)-117)))*1,0))</f>
        <v>4056976</v>
      </c>
      <c r="AE3706" s="13">
        <f>$E3706+24</f>
        <v>125</v>
      </c>
      <c r="AF3706" s="14">
        <f>IF($J3706=0,0,ROUND(MAX($J3706*1.4*1.5*1.6*1.6*2.2*2.715*2.6*1.4*1.4*1.5*1.5,18900000000*(1.65331^(MIN($E3706,123)-117)))*1,0))</f>
        <v>6064474</v>
      </c>
      <c r="AG3706" s="11">
        <f>$E3706+27</f>
        <v>128</v>
      </c>
      <c r="AH3706" s="12">
        <f>IF($J3706=0,0,ROUND(MAX($J3706*1.4*1.5*1.6*1.6*2.2*2.715*2.6*1.4*1.4*1.5*1.5*3.2,60500000000*(1.654288^(MIN($E3706,123)-117)))*1,0))</f>
        <v>19229919</v>
      </c>
    </row>
    <row r="3707" ht="28" customHeight="1" spans="1:34" x14ac:dyDescent="0.25">
      <c r="A3707">
        <v>3717</v>
      </c>
      <c r="B3707" t="s">
        <v>1784</v>
      </c>
      <c r="C3707" s="10" t="s">
        <v>1813</v>
      </c>
      <c r="D3707" t="s">
        <v>47</v>
      </c>
      <c r="E3707">
        <v>101</v>
      </c>
      <c r="F3707" t="s">
        <v>56</v>
      </c>
      <c r="G3707" t="s">
        <v>562</v>
      </c>
      <c r="H3707">
        <v>19</v>
      </c>
      <c r="I3707" s="11">
        <f>$E3707+0</f>
        <v>101</v>
      </c>
      <c r="J3707" s="12">
        <v>2860</v>
      </c>
      <c r="K3707" s="13">
        <f>$E3707+1</f>
        <v>102</v>
      </c>
      <c r="L3707" s="14">
        <f>IF($J3707=0,0,ROUND(MAX($J3707*1.4,1620000*(1.497923^(MIN($E3707,123)-117)))*1,0))</f>
        <v>4004</v>
      </c>
      <c r="M3707" s="11">
        <f>$E3707+2</f>
        <v>103</v>
      </c>
      <c r="N3707" s="12">
        <f>IF($J3707=0,0,ROUND(MAX($J3707*1.4*1.5,2190000*(1.580994^(MIN($E3707,123)-117)))*1,0))</f>
        <v>6006</v>
      </c>
      <c r="O3707" s="13">
        <f>$E3707+4</f>
        <v>105</v>
      </c>
      <c r="P3707" s="14">
        <f>IF($J3707=0,0,ROUND(MAX($J3707*1.4*1.5*1.6,3500000*(1.57975^(MIN($E3707,123)-117)))*1,0))</f>
        <v>9610</v>
      </c>
      <c r="Q3707" s="11">
        <f>$E3707+6</f>
        <v>107</v>
      </c>
      <c r="R3707" s="12">
        <f>IF($J3707=0,0,ROUND(MAX($J3707*1.4*1.5*1.6*1.6,13100000*(1.429962^(MIN($E3707,123)-117)))*1,0))</f>
        <v>42863</v>
      </c>
      <c r="S3707" s="13">
        <f>$E3707+8</f>
        <v>109</v>
      </c>
      <c r="T3707" s="14">
        <f>IF($J3707=0,0,ROUND(MAX($J3707*1.4*1.5*1.6*1.6*2.2,42600000*(1.576904^(MIN($E3707,123)-117)))*1,0))</f>
        <v>33826</v>
      </c>
      <c r="U3707" s="11">
        <f>$E3707+11</f>
        <v>112</v>
      </c>
      <c r="V3707" s="12">
        <f>IF($J3707=0,0,ROUND(MAX($J3707*1.4*1.5*1.6*1.6*2.2*2.715,354000000*(1.642074^(MIN($E3707,123)-117)))*1,0))</f>
        <v>126683</v>
      </c>
      <c r="W3707" s="13">
        <f>$E3707+15</f>
        <v>116</v>
      </c>
      <c r="X3707" s="14">
        <f>IF($J3707=0,0,ROUND(MAX($J3707*1.4*1.5*1.6*1.6*2.2*2.715*2.6,3540000000*(1.579646^(MIN($E3707,123)-117)))*1,0))</f>
        <v>2355304</v>
      </c>
      <c r="Y3707" s="11">
        <f>$E3707+17</f>
        <v>118</v>
      </c>
      <c r="Z3707" s="12">
        <f>IF($J3707=0,0,ROUND(MAX($J3707*1.4*1.5*1.6*1.6*2.2*2.715*2.6*1.4,6020000000*(1.651178^(MIN($E3707,123)-117)))*1,0))</f>
        <v>1971942</v>
      </c>
      <c r="AA3707" s="13">
        <f>$E3707+19</f>
        <v>120</v>
      </c>
      <c r="AB3707" s="14">
        <f>IF($J3707=0,0,ROUND(MAX($J3707*1.4*1.5*1.6*1.6*2.2*2.715*2.6*1.4*1.4,8430000000*(1.651435^(MIN($E3707,123)-117)))*1,0))</f>
        <v>2754507</v>
      </c>
      <c r="AC3707" s="11">
        <f>$E3707+21</f>
        <v>122</v>
      </c>
      <c r="AD3707" s="12">
        <f>IF($J3707=0,0,ROUND(MAX($J3707*1.4*1.5*1.6*1.6*2.2*2.715*2.6*1.4*1.4*1.5,12600000000*(1.652953^(MIN($E3707,123)-117)))*1,0))</f>
        <v>4056976</v>
      </c>
      <c r="AE3707" s="13">
        <f>$E3707+24</f>
        <v>125</v>
      </c>
      <c r="AF3707" s="14">
        <f>IF($J3707=0,0,ROUND(MAX($J3707*1.4*1.5*1.6*1.6*2.2*2.715*2.6*1.4*1.4*1.5*1.5,18900000000*(1.65331^(MIN($E3707,123)-117)))*1,0))</f>
        <v>6064474</v>
      </c>
      <c r="AG3707" s="11">
        <f>$E3707+27</f>
        <v>128</v>
      </c>
      <c r="AH3707" s="12">
        <f>IF($J3707=0,0,ROUND(MAX($J3707*1.4*1.5*1.6*1.6*2.2*2.715*2.6*1.4*1.4*1.5*1.5*3.2,60500000000*(1.654288^(MIN($E3707,123)-117)))*1,0))</f>
        <v>19229919</v>
      </c>
    </row>
    <row r="3708" ht="28" customHeight="1" spans="1:34" x14ac:dyDescent="0.25">
      <c r="A3708">
        <v>3718</v>
      </c>
      <c r="B3708" t="s">
        <v>1830</v>
      </c>
      <c r="C3708" s="10" t="s">
        <v>1813</v>
      </c>
      <c r="D3708" t="s">
        <v>47</v>
      </c>
      <c r="E3708">
        <v>101</v>
      </c>
      <c r="F3708" t="s">
        <v>56</v>
      </c>
      <c r="G3708" t="s">
        <v>562</v>
      </c>
      <c r="H3708">
        <v>18</v>
      </c>
      <c r="I3708" s="11">
        <f>$E3708+0</f>
        <v>101</v>
      </c>
      <c r="J3708" s="12">
        <v>120000000</v>
      </c>
      <c r="K3708" s="13">
        <f>$E3708+1</f>
        <v>102</v>
      </c>
      <c r="L3708" s="14">
        <f>IF($J3708=0,0,ROUND(MAX($J3708*1.4,1620000*(1.497923^(MIN($E3708,123)-117)))*1,0))</f>
        <v>168000000</v>
      </c>
      <c r="M3708" s="11">
        <f>$E3708+2</f>
        <v>103</v>
      </c>
      <c r="N3708" s="12">
        <f>IF($J3708=0,0,ROUND(MAX($J3708*1.4*1.5,2190000*(1.580994^(MIN($E3708,123)-117)))*1,0))</f>
        <v>252000000</v>
      </c>
      <c r="O3708" s="13">
        <f>$E3708+4</f>
        <v>105</v>
      </c>
      <c r="P3708" s="14">
        <f>IF($J3708=0,0,ROUND(MAX($J3708*1.4*1.5*1.6,3500000*(1.57975^(MIN($E3708,123)-117)))*1,0))</f>
        <v>403200000</v>
      </c>
      <c r="Q3708" s="11">
        <f>$E3708+6</f>
        <v>107</v>
      </c>
      <c r="R3708" s="12">
        <f>IF($J3708=0,0,ROUND(MAX($J3708*1.4*1.5*1.6*1.6,13100000*(1.429962^(MIN($E3708,123)-117)))*1,0))</f>
        <v>645120000</v>
      </c>
      <c r="S3708" s="13">
        <f>$E3708+8</f>
        <v>109</v>
      </c>
      <c r="T3708" s="14">
        <f>IF($J3708=0,0,ROUND(MAX($J3708*1.4*1.5*1.6*1.6*2.2,42600000*(1.576904^(MIN($E3708,123)-117)))*1,0))</f>
        <v>1419264000</v>
      </c>
      <c r="U3708" s="11">
        <f>$E3708+11</f>
        <v>112</v>
      </c>
      <c r="V3708" s="12">
        <f>IF($J3708=0,0,ROUND(MAX($J3708*1.4*1.5*1.6*1.6*2.2*2.715,354000000*(1.642074^(MIN($E3708,123)-117)))*1,0))</f>
        <v>3853301760</v>
      </c>
      <c r="W3708" s="13">
        <f>$E3708+15</f>
        <v>116</v>
      </c>
      <c r="X3708" s="14">
        <f>IF($J3708=0,0,ROUND(MAX($J3708*1.4*1.5*1.6*1.6*2.2*2.715*2.6,3540000000*(1.579646^(MIN($E3708,123)-117)))*1,0))</f>
        <v>10018584576</v>
      </c>
      <c r="Y3708" s="11">
        <f>$E3708+17</f>
        <v>118</v>
      </c>
      <c r="Z3708" s="12">
        <f>IF($J3708=0,0,ROUND(MAX($J3708*1.4*1.5*1.6*1.6*2.2*2.715*2.6*1.4,6020000000*(1.651178^(MIN($E3708,123)-117)))*1,0))</f>
        <v>14026018406</v>
      </c>
      <c r="AA3708" s="13">
        <f>$E3708+19</f>
        <v>120</v>
      </c>
      <c r="AB3708" s="14">
        <f>IF($J3708=0,0,ROUND(MAX($J3708*1.4*1.5*1.6*1.6*2.2*2.715*2.6*1.4*1.4,8430000000*(1.651435^(MIN($E3708,123)-117)))*1,0))</f>
        <v>19636425769</v>
      </c>
      <c r="AC3708" s="11">
        <f>$E3708+21</f>
        <v>122</v>
      </c>
      <c r="AD3708" s="12">
        <f>IF($J3708=0,0,ROUND(MAX($J3708*1.4*1.5*1.6*1.6*2.2*2.715*2.6*1.4*1.4*1.5,12600000000*(1.652953^(MIN($E3708,123)-117)))*1,0))</f>
        <v>29454638653</v>
      </c>
      <c r="AE3708" s="13">
        <f>$E3708+24</f>
        <v>125</v>
      </c>
      <c r="AF3708" s="14">
        <f>IF($J3708=0,0,ROUND(MAX($J3708*1.4*1.5*1.6*1.6*2.2*2.715*2.6*1.4*1.4*1.5*1.5,18900000000*(1.65331^(MIN($E3708,123)-117)))*1,0))</f>
        <v>44181957980</v>
      </c>
      <c r="AG3708" s="11">
        <f>$E3708+27</f>
        <v>128</v>
      </c>
      <c r="AH3708" s="12">
        <f>IF($J3708=0,0,ROUND(MAX($J3708*1.4*1.5*1.6*1.6*2.2*2.715*2.6*1.4*1.4*1.5*1.5*3.2,60500000000*(1.654288^(MIN($E3708,123)-117)))*1,0))</f>
        <v>141382265537</v>
      </c>
    </row>
    <row r="3709" ht="28" customHeight="1" spans="1:34" x14ac:dyDescent="0.25">
      <c r="A3709">
        <v>3719</v>
      </c>
      <c r="B3709" t="s">
        <v>1831</v>
      </c>
      <c r="C3709" s="10" t="s">
        <v>1813</v>
      </c>
      <c r="D3709" t="s">
        <v>47</v>
      </c>
      <c r="E3709">
        <v>101</v>
      </c>
      <c r="F3709" t="s">
        <v>48</v>
      </c>
      <c r="G3709" t="s">
        <v>562</v>
      </c>
      <c r="H3709">
        <v>18</v>
      </c>
      <c r="I3709" s="11">
        <f>$E3709+0</f>
        <v>101</v>
      </c>
      <c r="J3709" s="12">
        <v>18300</v>
      </c>
      <c r="K3709" s="13">
        <f>$E3709+1</f>
        <v>102</v>
      </c>
      <c r="L3709" s="14">
        <f>IF($J3709=0,0,ROUND(MAX($J3709*1.4,1620000*(1.497923^(MIN($E3709,123)-117)))*1,0))</f>
        <v>25620</v>
      </c>
      <c r="M3709" s="11">
        <f>$E3709+2</f>
        <v>103</v>
      </c>
      <c r="N3709" s="12">
        <f>IF($J3709=0,0,ROUND(MAX($J3709*1.4*1.5,2190000*(1.580994^(MIN($E3709,123)-117)))*1,0))</f>
        <v>38430</v>
      </c>
      <c r="O3709" s="13">
        <f>$E3709+4</f>
        <v>105</v>
      </c>
      <c r="P3709" s="14">
        <f>IF($J3709=0,0,ROUND(MAX($J3709*1.4*1.5*1.6,3500000*(1.57975^(MIN($E3709,123)-117)))*1,0))</f>
        <v>61488</v>
      </c>
      <c r="Q3709" s="11">
        <f>$E3709+6</f>
        <v>107</v>
      </c>
      <c r="R3709" s="12">
        <f>IF($J3709=0,0,ROUND(MAX($J3709*1.4*1.5*1.6*1.6,13100000*(1.429962^(MIN($E3709,123)-117)))*1,0))</f>
        <v>98381</v>
      </c>
      <c r="S3709" s="13">
        <f>$E3709+8</f>
        <v>109</v>
      </c>
      <c r="T3709" s="14">
        <f>IF($J3709=0,0,ROUND(MAX($J3709*1.4*1.5*1.6*1.6*2.2,42600000*(1.576904^(MIN($E3709,123)-117)))*1,0))</f>
        <v>216438</v>
      </c>
      <c r="U3709" s="11">
        <f>$E3709+11</f>
        <v>112</v>
      </c>
      <c r="V3709" s="12">
        <f>IF($J3709=0,0,ROUND(MAX($J3709*1.4*1.5*1.6*1.6*2.2*2.715,354000000*(1.642074^(MIN($E3709,123)-117)))*1,0))</f>
        <v>587629</v>
      </c>
      <c r="W3709" s="13">
        <f>$E3709+15</f>
        <v>116</v>
      </c>
      <c r="X3709" s="14">
        <f>IF($J3709=0,0,ROUND(MAX($J3709*1.4*1.5*1.6*1.6*2.2*2.715*2.6,3540000000*(1.579646^(MIN($E3709,123)-117)))*1,0))</f>
        <v>2355304</v>
      </c>
      <c r="Y3709" s="11">
        <f>$E3709+17</f>
        <v>118</v>
      </c>
      <c r="Z3709" s="12">
        <f>IF($J3709=0,0,ROUND(MAX($J3709*1.4*1.5*1.6*1.6*2.2*2.715*2.6*1.4,6020000000*(1.651178^(MIN($E3709,123)-117)))*1,0))</f>
        <v>2138968</v>
      </c>
      <c r="AA3709" s="13">
        <f>$E3709+19</f>
        <v>120</v>
      </c>
      <c r="AB3709" s="14">
        <f>IF($J3709=0,0,ROUND(MAX($J3709*1.4*1.5*1.6*1.6*2.2*2.715*2.6*1.4*1.4,8430000000*(1.651435^(MIN($E3709,123)-117)))*1,0))</f>
        <v>2994555</v>
      </c>
      <c r="AC3709" s="11">
        <f>$E3709+21</f>
        <v>122</v>
      </c>
      <c r="AD3709" s="12">
        <f>IF($J3709=0,0,ROUND(MAX($J3709*1.4*1.5*1.6*1.6*2.2*2.715*2.6*1.4*1.4*1.5,12600000000*(1.652953^(MIN($E3709,123)-117)))*1,0))</f>
        <v>4491832</v>
      </c>
      <c r="AE3709" s="13">
        <f>$E3709+24</f>
        <v>125</v>
      </c>
      <c r="AF3709" s="14">
        <f>IF($J3709=0,0,ROUND(MAX($J3709*1.4*1.5*1.6*1.6*2.2*2.715*2.6*1.4*1.4*1.5*1.5,18900000000*(1.65331^(MIN($E3709,123)-117)))*1,0))</f>
        <v>6737749</v>
      </c>
      <c r="AG3709" s="11">
        <f>$E3709+27</f>
        <v>128</v>
      </c>
      <c r="AH3709" s="12">
        <f>IF($J3709=0,0,ROUND(MAX($J3709*1.4*1.5*1.6*1.6*2.2*2.715*2.6*1.4*1.4*1.5*1.5*3.2,60500000000*(1.654288^(MIN($E3709,123)-117)))*1,0))</f>
        <v>21560795</v>
      </c>
    </row>
    <row r="3710" ht="28" customHeight="1" spans="1:34" x14ac:dyDescent="0.25">
      <c r="A3710">
        <v>3720</v>
      </c>
      <c r="B3710" t="s">
        <v>201</v>
      </c>
      <c r="C3710" s="10" t="s">
        <v>1813</v>
      </c>
      <c r="D3710" t="s">
        <v>165</v>
      </c>
      <c r="E3710">
        <v>100</v>
      </c>
      <c r="F3710" t="s">
        <v>120</v>
      </c>
      <c r="G3710" t="s">
        <v>562</v>
      </c>
      <c r="H3710">
        <v>21</v>
      </c>
      <c r="I3710" s="11">
        <f>$E3710+0</f>
        <v>100</v>
      </c>
      <c r="J3710" s="12">
        <v>11100</v>
      </c>
      <c r="K3710" s="13">
        <f>$E3710+1</f>
        <v>101</v>
      </c>
      <c r="L3710" s="14">
        <f>IF($J3710=0,0,ROUND(MAX($J3710*1.4,1620000*(1.497923^(MIN($E3710,123)-117)))*1,0))</f>
        <v>15540</v>
      </c>
      <c r="M3710" s="11">
        <f>$E3710+2</f>
        <v>102</v>
      </c>
      <c r="N3710" s="12">
        <f>IF($J3710=0,0,ROUND(MAX($J3710*1.4*1.5,2190000*(1.580994^(MIN($E3710,123)-117)))*1,0))</f>
        <v>23310</v>
      </c>
      <c r="O3710" s="13">
        <f>$E3710+4</f>
        <v>104</v>
      </c>
      <c r="P3710" s="14">
        <f>IF($J3710=0,0,ROUND(MAX($J3710*1.4*1.5*1.6,3500000*(1.57975^(MIN($E3710,123)-117)))*1,0))</f>
        <v>37296</v>
      </c>
      <c r="Q3710" s="11">
        <f>$E3710+6</f>
        <v>106</v>
      </c>
      <c r="R3710" s="12">
        <f>IF($J3710=0,0,ROUND(MAX($J3710*1.4*1.5*1.6*1.6,13100000*(1.429962^(MIN($E3710,123)-117)))*1,0))</f>
        <v>59674</v>
      </c>
      <c r="S3710" s="13">
        <f>$E3710+8</f>
        <v>108</v>
      </c>
      <c r="T3710" s="14">
        <f>IF($J3710=0,0,ROUND(MAX($J3710*1.4*1.5*1.6*1.6*2.2,42600000*(1.576904^(MIN($E3710,123)-117)))*1,0))</f>
        <v>131282</v>
      </c>
      <c r="U3710" s="11">
        <f>$E3710+11</f>
        <v>111</v>
      </c>
      <c r="V3710" s="12">
        <f>IF($J3710=0,0,ROUND(MAX($J3710*1.4*1.5*1.6*1.6*2.2*2.715,354000000*(1.642074^(MIN($E3710,123)-117)))*1,0))</f>
        <v>356430</v>
      </c>
      <c r="W3710" s="13">
        <f>$E3710+15</f>
        <v>115</v>
      </c>
      <c r="X3710" s="14">
        <f>IF($J3710=0,0,ROUND(MAX($J3710*1.4*1.5*1.6*1.6*2.2*2.715*2.6,3540000000*(1.579646^(MIN($E3710,123)-117)))*1,0))</f>
        <v>1491033</v>
      </c>
      <c r="Y3710" s="11">
        <f>$E3710+17</f>
        <v>117</v>
      </c>
      <c r="Z3710" s="12">
        <f>IF($J3710=0,0,ROUND(MAX($J3710*1.4*1.5*1.6*1.6*2.2*2.715*2.6*1.4,6020000000*(1.651178^(MIN($E3710,123)-117)))*1,0))</f>
        <v>1297407</v>
      </c>
      <c r="AA3710" s="13">
        <f>$E3710+19</f>
        <v>119</v>
      </c>
      <c r="AB3710" s="14">
        <f>IF($J3710=0,0,ROUND(MAX($J3710*1.4*1.5*1.6*1.6*2.2*2.715*2.6*1.4*1.4,8430000000*(1.651435^(MIN($E3710,123)-117)))*1,0))</f>
        <v>1816369</v>
      </c>
      <c r="AC3710" s="11">
        <f>$E3710+21</f>
        <v>121</v>
      </c>
      <c r="AD3710" s="12">
        <f>IF($J3710=0,0,ROUND(MAX($J3710*1.4*1.5*1.6*1.6*2.2*2.715*2.6*1.4*1.4*1.5,12600000000*(1.652953^(MIN($E3710,123)-117)))*1,0))</f>
        <v>2724554</v>
      </c>
      <c r="AE3710" s="13">
        <f>$E3710+24</f>
        <v>124</v>
      </c>
      <c r="AF3710" s="14">
        <f>IF($J3710=0,0,ROUND(MAX($J3710*1.4*1.5*1.6*1.6*2.2*2.715*2.6*1.4*1.4*1.5*1.5,18900000000*(1.65331^(MIN($E3710,123)-117)))*1,0))</f>
        <v>4086831</v>
      </c>
      <c r="AG3710" s="11">
        <f>$E3710+27</f>
        <v>127</v>
      </c>
      <c r="AH3710" s="12">
        <f>IF($J3710=0,0,ROUND(MAX($J3710*1.4*1.5*1.6*1.6*2.2*2.715*2.6*1.4*1.4*1.5*1.5*3.2,60500000000*(1.654288^(MIN($E3710,123)-117)))*1,0))</f>
        <v>13077860</v>
      </c>
    </row>
    <row r="3711" ht="28" customHeight="1" spans="1:34" x14ac:dyDescent="0.25">
      <c r="A3711">
        <v>3721</v>
      </c>
      <c r="B3711" t="s">
        <v>210</v>
      </c>
      <c r="C3711" s="10" t="s">
        <v>1813</v>
      </c>
      <c r="D3711" t="s">
        <v>33</v>
      </c>
      <c r="E3711">
        <v>100</v>
      </c>
      <c r="F3711" t="s">
        <v>56</v>
      </c>
      <c r="G3711" t="s">
        <v>562</v>
      </c>
      <c r="H3711">
        <v>21</v>
      </c>
      <c r="I3711" s="11">
        <f>$E3711+0</f>
        <v>100</v>
      </c>
      <c r="J3711" s="12">
        <v>2430</v>
      </c>
      <c r="K3711" s="13">
        <f>$E3711+1</f>
        <v>101</v>
      </c>
      <c r="L3711" s="14">
        <f>IF($J3711=0,0,ROUND(MAX($J3711*1.4,1620000*(1.497923^(MIN($E3711,123)-117)))*1,0))</f>
        <v>3402</v>
      </c>
      <c r="M3711" s="11">
        <f>$E3711+2</f>
        <v>102</v>
      </c>
      <c r="N3711" s="12">
        <f>IF($J3711=0,0,ROUND(MAX($J3711*1.4*1.5,2190000*(1.580994^(MIN($E3711,123)-117)))*1,0))</f>
        <v>5103</v>
      </c>
      <c r="O3711" s="13">
        <f>$E3711+4</f>
        <v>104</v>
      </c>
      <c r="P3711" s="14">
        <f>IF($J3711=0,0,ROUND(MAX($J3711*1.4*1.5*1.6,3500000*(1.57975^(MIN($E3711,123)-117)))*1,0))</f>
        <v>8165</v>
      </c>
      <c r="Q3711" s="11">
        <f>$E3711+6</f>
        <v>106</v>
      </c>
      <c r="R3711" s="12">
        <f>IF($J3711=0,0,ROUND(MAX($J3711*1.4*1.5*1.6*1.6,13100000*(1.429962^(MIN($E3711,123)-117)))*1,0))</f>
        <v>29975</v>
      </c>
      <c r="S3711" s="13">
        <f>$E3711+8</f>
        <v>108</v>
      </c>
      <c r="T3711" s="14">
        <f>IF($J3711=0,0,ROUND(MAX($J3711*1.4*1.5*1.6*1.6*2.2,42600000*(1.576904^(MIN($E3711,123)-117)))*1,0))</f>
        <v>28740</v>
      </c>
      <c r="U3711" s="11">
        <f>$E3711+11</f>
        <v>111</v>
      </c>
      <c r="V3711" s="12">
        <f>IF($J3711=0,0,ROUND(MAX($J3711*1.4*1.5*1.6*1.6*2.2*2.715,354000000*(1.642074^(MIN($E3711,123)-117)))*1,0))</f>
        <v>78029</v>
      </c>
      <c r="W3711" s="13">
        <f>$E3711+15</f>
        <v>115</v>
      </c>
      <c r="X3711" s="14">
        <f>IF($J3711=0,0,ROUND(MAX($J3711*1.4*1.5*1.6*1.6*2.2*2.715*2.6,3540000000*(1.579646^(MIN($E3711,123)-117)))*1,0))</f>
        <v>1491033</v>
      </c>
      <c r="Y3711" s="11">
        <f>$E3711+17</f>
        <v>117</v>
      </c>
      <c r="Z3711" s="12">
        <f>IF($J3711=0,0,ROUND(MAX($J3711*1.4*1.5*1.6*1.6*2.2*2.715*2.6*1.4,6020000000*(1.651178^(MIN($E3711,123)-117)))*1,0))</f>
        <v>1194264</v>
      </c>
      <c r="AA3711" s="13">
        <f>$E3711+19</f>
        <v>119</v>
      </c>
      <c r="AB3711" s="14">
        <f>IF($J3711=0,0,ROUND(MAX($J3711*1.4*1.5*1.6*1.6*2.2*2.715*2.6*1.4*1.4,8430000000*(1.651435^(MIN($E3711,123)-117)))*1,0))</f>
        <v>1667947</v>
      </c>
      <c r="AC3711" s="11">
        <f>$E3711+21</f>
        <v>121</v>
      </c>
      <c r="AD3711" s="12">
        <f>IF($J3711=0,0,ROUND(MAX($J3711*1.4*1.5*1.6*1.6*2.2*2.715*2.6*1.4*1.4*1.5,12600000000*(1.652953^(MIN($E3711,123)-117)))*1,0))</f>
        <v>2454381</v>
      </c>
      <c r="AE3711" s="13">
        <f>$E3711+24</f>
        <v>124</v>
      </c>
      <c r="AF3711" s="14">
        <f>IF($J3711=0,0,ROUND(MAX($J3711*1.4*1.5*1.6*1.6*2.2*2.715*2.6*1.4*1.4*1.5*1.5,18900000000*(1.65331^(MIN($E3711,123)-117)))*1,0))</f>
        <v>3668080</v>
      </c>
      <c r="AG3711" s="11">
        <f>$E3711+27</f>
        <v>127</v>
      </c>
      <c r="AH3711" s="12">
        <f>IF($J3711=0,0,ROUND(MAX($J3711*1.4*1.5*1.6*1.6*2.2*2.715*2.6*1.4*1.4*1.5*1.5*3.2,60500000000*(1.654288^(MIN($E3711,123)-117)))*1,0))</f>
        <v>11624288</v>
      </c>
    </row>
    <row r="3712" ht="28" customHeight="1" spans="1:34" x14ac:dyDescent="0.25">
      <c r="A3712">
        <v>3722</v>
      </c>
      <c r="B3712" t="s">
        <v>147</v>
      </c>
      <c r="C3712" s="10" t="s">
        <v>1813</v>
      </c>
      <c r="D3712" t="s">
        <v>165</v>
      </c>
      <c r="E3712">
        <v>100</v>
      </c>
      <c r="F3712" t="s">
        <v>56</v>
      </c>
      <c r="G3712" t="s">
        <v>562</v>
      </c>
      <c r="H3712">
        <v>21</v>
      </c>
      <c r="I3712" s="11">
        <f>$E3712+0</f>
        <v>100</v>
      </c>
      <c r="J3712" s="12">
        <v>68400</v>
      </c>
      <c r="K3712" s="13">
        <f>$E3712+1</f>
        <v>101</v>
      </c>
      <c r="L3712" s="14">
        <f>IF($J3712=0,0,ROUND(MAX($J3712*1.4,1620000*(1.497923^(MIN($E3712,123)-117)))*1,0))</f>
        <v>95760</v>
      </c>
      <c r="M3712" s="11">
        <f>$E3712+2</f>
        <v>102</v>
      </c>
      <c r="N3712" s="12">
        <f>IF($J3712=0,0,ROUND(MAX($J3712*1.4*1.5,2190000*(1.580994^(MIN($E3712,123)-117)))*1,0))</f>
        <v>143640</v>
      </c>
      <c r="O3712" s="13">
        <f>$E3712+4</f>
        <v>104</v>
      </c>
      <c r="P3712" s="14">
        <f>IF($J3712=0,0,ROUND(MAX($J3712*1.4*1.5*1.6,3500000*(1.57975^(MIN($E3712,123)-117)))*1,0))</f>
        <v>229824</v>
      </c>
      <c r="Q3712" s="11">
        <f>$E3712+6</f>
        <v>106</v>
      </c>
      <c r="R3712" s="12">
        <f>IF($J3712=0,0,ROUND(MAX($J3712*1.4*1.5*1.6*1.6,13100000*(1.429962^(MIN($E3712,123)-117)))*1,0))</f>
        <v>367718</v>
      </c>
      <c r="S3712" s="13">
        <f>$E3712+8</f>
        <v>108</v>
      </c>
      <c r="T3712" s="14">
        <f>IF($J3712=0,0,ROUND(MAX($J3712*1.4*1.5*1.6*1.6*2.2,42600000*(1.576904^(MIN($E3712,123)-117)))*1,0))</f>
        <v>808980</v>
      </c>
      <c r="U3712" s="11">
        <f>$E3712+11</f>
        <v>111</v>
      </c>
      <c r="V3712" s="12">
        <f>IF($J3712=0,0,ROUND(MAX($J3712*1.4*1.5*1.6*1.6*2.2*2.715,354000000*(1.642074^(MIN($E3712,123)-117)))*1,0))</f>
        <v>2196382</v>
      </c>
      <c r="W3712" s="13">
        <f>$E3712+15</f>
        <v>115</v>
      </c>
      <c r="X3712" s="14">
        <f>IF($J3712=0,0,ROUND(MAX($J3712*1.4*1.5*1.6*1.6*2.2*2.715*2.6,3540000000*(1.579646^(MIN($E3712,123)-117)))*1,0))</f>
        <v>5710593</v>
      </c>
      <c r="Y3712" s="11">
        <f>$E3712+17</f>
        <v>117</v>
      </c>
      <c r="Z3712" s="12">
        <f>IF($J3712=0,0,ROUND(MAX($J3712*1.4*1.5*1.6*1.6*2.2*2.715*2.6*1.4,6020000000*(1.651178^(MIN($E3712,123)-117)))*1,0))</f>
        <v>7994830</v>
      </c>
      <c r="AA3712" s="13">
        <f>$E3712+19</f>
        <v>119</v>
      </c>
      <c r="AB3712" s="14">
        <f>IF($J3712=0,0,ROUND(MAX($J3712*1.4*1.5*1.6*1.6*2.2*2.715*2.6*1.4*1.4,8430000000*(1.651435^(MIN($E3712,123)-117)))*1,0))</f>
        <v>11192763</v>
      </c>
      <c r="AC3712" s="11">
        <f>$E3712+21</f>
        <v>121</v>
      </c>
      <c r="AD3712" s="12">
        <f>IF($J3712=0,0,ROUND(MAX($J3712*1.4*1.5*1.6*1.6*2.2*2.715*2.6*1.4*1.4*1.5,12600000000*(1.652953^(MIN($E3712,123)-117)))*1,0))</f>
        <v>16789144</v>
      </c>
      <c r="AE3712" s="13">
        <f>$E3712+24</f>
        <v>124</v>
      </c>
      <c r="AF3712" s="14">
        <f>IF($J3712=0,0,ROUND(MAX($J3712*1.4*1.5*1.6*1.6*2.2*2.715*2.6*1.4*1.4*1.5*1.5,18900000000*(1.65331^(MIN($E3712,123)-117)))*1,0))</f>
        <v>25183716</v>
      </c>
      <c r="AG3712" s="11">
        <f>$E3712+27</f>
        <v>127</v>
      </c>
      <c r="AH3712" s="12">
        <f>IF($J3712=0,0,ROUND(MAX($J3712*1.4*1.5*1.6*1.6*2.2*2.715*2.6*1.4*1.4*1.5*1.5*3.2,60500000000*(1.654288^(MIN($E3712,123)-117)))*1,0))</f>
        <v>80587891</v>
      </c>
    </row>
    <row r="3713" ht="28" customHeight="1" spans="1:34" x14ac:dyDescent="0.25">
      <c r="A3713">
        <v>3723</v>
      </c>
      <c r="B3713" t="s">
        <v>53</v>
      </c>
      <c r="C3713" s="10" t="s">
        <v>1832</v>
      </c>
      <c r="D3713" t="s">
        <v>25</v>
      </c>
      <c r="E3713">
        <v>114</v>
      </c>
      <c r="F3713" t="s">
        <v>54</v>
      </c>
      <c r="G3713" t="s">
        <v>1312</v>
      </c>
      <c r="H3713">
        <v>29</v>
      </c>
      <c r="I3713" s="11">
        <f>$E3713+0</f>
        <v>114</v>
      </c>
      <c r="J3713" s="12">
        <v>762000</v>
      </c>
      <c r="K3713" s="13">
        <f>$E3713+1</f>
        <v>115</v>
      </c>
      <c r="L3713" s="14">
        <f>IF($J3713=0,0,ROUND(MAX($J3713*1.4,1620000*(1.497923^(MIN($E3713,123)-117)))*1,0))</f>
        <v>1066800</v>
      </c>
      <c r="M3713" s="11">
        <f>$E3713+2</f>
        <v>116</v>
      </c>
      <c r="N3713" s="12">
        <f>IF($J3713=0,0,ROUND(MAX($J3713*1.4*1.5,2190000*(1.580994^(MIN($E3713,123)-117)))*1,0))</f>
        <v>1600200</v>
      </c>
      <c r="O3713" s="13">
        <f>$E3713+4</f>
        <v>118</v>
      </c>
      <c r="P3713" s="14">
        <f>IF($J3713=0,0,ROUND(MAX($J3713*1.4*1.5*1.6,3500000*(1.57975^(MIN($E3713,123)-117)))*1,0))</f>
        <v>2560320</v>
      </c>
      <c r="Q3713" s="11">
        <f>$E3713+6</f>
        <v>120</v>
      </c>
      <c r="R3713" s="12">
        <f>IF($J3713=0,0,ROUND(MAX($J3713*1.4*1.5*1.6*1.6,13100000*(1.429962^(MIN($E3713,123)-117)))*1,0))</f>
        <v>4480204</v>
      </c>
      <c r="S3713" s="13">
        <f>$E3713+8</f>
        <v>122</v>
      </c>
      <c r="T3713" s="14">
        <f>IF($J3713=0,0,ROUND(MAX($J3713*1.4*1.5*1.6*1.6*2.2,42600000*(1.576904^(MIN($E3713,123)-117)))*1,0))</f>
        <v>10864102</v>
      </c>
      <c r="U3713" s="11">
        <f>$E3713+11</f>
        <v>125</v>
      </c>
      <c r="V3713" s="12">
        <f>IF($J3713=0,0,ROUND(MAX($J3713*1.4*1.5*1.6*1.6*2.2*2.715,354000000*(1.642074^(MIN($E3713,123)-117)))*1,0))</f>
        <v>79951219</v>
      </c>
      <c r="W3713" s="13">
        <f>$E3713+15</f>
        <v>129</v>
      </c>
      <c r="X3713" s="14">
        <f>IF($J3713=0,0,ROUND(MAX($J3713*1.4*1.5*1.6*1.6*2.2*2.715*2.6,3540000000*(1.579646^(MIN($E3713,123)-117)))*1,0))</f>
        <v>898098448</v>
      </c>
      <c r="Y3713" s="11">
        <f>$E3713+17</f>
        <v>131</v>
      </c>
      <c r="Z3713" s="12">
        <f>IF($J3713=0,0,ROUND(MAX($J3713*1.4*1.5*1.6*1.6*2.2*2.715*2.6*1.4,6020000000*(1.651178^(MIN($E3713,123)-117)))*1,0))</f>
        <v>1337256787</v>
      </c>
      <c r="AA3713" s="13">
        <f>$E3713+19</f>
        <v>133</v>
      </c>
      <c r="AB3713" s="14">
        <f>IF($J3713=0,0,ROUND(MAX($J3713*1.4*1.5*1.6*1.6*2.2*2.715*2.6*1.4*1.4,8430000000*(1.651435^(MIN($E3713,123)-117)))*1,0))</f>
        <v>1871729653</v>
      </c>
      <c r="AC3713" s="11">
        <f>$E3713+21</f>
        <v>135</v>
      </c>
      <c r="AD3713" s="12">
        <f>IF($J3713=0,0,ROUND(MAX($J3713*1.4*1.5*1.6*1.6*2.2*2.715*2.6*1.4*1.4*1.5,12600000000*(1.652953^(MIN($E3713,123)-117)))*1,0))</f>
        <v>2789902525</v>
      </c>
      <c r="AE3713" s="13">
        <f>$E3713+24</f>
        <v>138</v>
      </c>
      <c r="AF3713" s="14">
        <f>IF($J3713=0,0,ROUND(MAX($J3713*1.4*1.5*1.6*1.6*2.2*2.715*2.6*1.4*1.4*1.5*1.5,18900000000*(1.65331^(MIN($E3713,123)-117)))*1,0))</f>
        <v>4182143461</v>
      </c>
      <c r="AG3713" s="11">
        <f>$E3713+27</f>
        <v>141</v>
      </c>
      <c r="AH3713" s="12">
        <f>IF($J3713=0,0,ROUND(MAX($J3713*1.4*1.5*1.6*1.6*2.2*2.715*2.6*1.4*1.4*1.5*1.5*3.2,60500000000*(1.654288^(MIN($E3713,123)-117)))*1,0))</f>
        <v>13363555336</v>
      </c>
    </row>
    <row r="3714" ht="28" customHeight="1" spans="1:34" x14ac:dyDescent="0.25">
      <c r="A3714">
        <v>3724</v>
      </c>
      <c r="B3714" t="s">
        <v>76</v>
      </c>
      <c r="C3714" s="10" t="s">
        <v>1832</v>
      </c>
      <c r="D3714" t="s">
        <v>29</v>
      </c>
      <c r="E3714">
        <v>114</v>
      </c>
      <c r="F3714" t="s">
        <v>62</v>
      </c>
      <c r="G3714" t="s">
        <v>1312</v>
      </c>
      <c r="H3714">
        <v>28</v>
      </c>
      <c r="I3714" s="11">
        <f>$E3714+0</f>
        <v>114</v>
      </c>
      <c r="J3714" s="12">
        <v>364000</v>
      </c>
      <c r="K3714" s="13">
        <f>$E3714+1</f>
        <v>115</v>
      </c>
      <c r="L3714" s="14">
        <f>IF($J3714=0,0,ROUND(MAX($J3714*1.4,1620000*(1.497923^(MIN($E3714,123)-117)))*1,0))</f>
        <v>509600</v>
      </c>
      <c r="M3714" s="11">
        <f>$E3714+2</f>
        <v>116</v>
      </c>
      <c r="N3714" s="12">
        <f>IF($J3714=0,0,ROUND(MAX($J3714*1.4*1.5,2190000*(1.580994^(MIN($E3714,123)-117)))*1,0))</f>
        <v>764400</v>
      </c>
      <c r="O3714" s="13">
        <f>$E3714+4</f>
        <v>118</v>
      </c>
      <c r="P3714" s="14">
        <f>IF($J3714=0,0,ROUND(MAX($J3714*1.4*1.5*1.6,3500000*(1.57975^(MIN($E3714,123)-117)))*1,0))</f>
        <v>1223040</v>
      </c>
      <c r="Q3714" s="11">
        <f>$E3714+6</f>
        <v>120</v>
      </c>
      <c r="R3714" s="12">
        <f>IF($J3714=0,0,ROUND(MAX($J3714*1.4*1.5*1.6*1.6,13100000*(1.429962^(MIN($E3714,123)-117)))*1,0))</f>
        <v>4480204</v>
      </c>
      <c r="S3714" s="13">
        <f>$E3714+8</f>
        <v>122</v>
      </c>
      <c r="T3714" s="14">
        <f>IF($J3714=0,0,ROUND(MAX($J3714*1.4*1.5*1.6*1.6*2.2,42600000*(1.576904^(MIN($E3714,123)-117)))*1,0))</f>
        <v>10864102</v>
      </c>
      <c r="U3714" s="11">
        <f>$E3714+11</f>
        <v>125</v>
      </c>
      <c r="V3714" s="12">
        <f>IF($J3714=0,0,ROUND(MAX($J3714*1.4*1.5*1.6*1.6*2.2*2.715,354000000*(1.642074^(MIN($E3714,123)-117)))*1,0))</f>
        <v>79951219</v>
      </c>
      <c r="W3714" s="13">
        <f>$E3714+15</f>
        <v>129</v>
      </c>
      <c r="X3714" s="14">
        <f>IF($J3714=0,0,ROUND(MAX($J3714*1.4*1.5*1.6*1.6*2.2*2.715*2.6,3540000000*(1.579646^(MIN($E3714,123)-117)))*1,0))</f>
        <v>898098448</v>
      </c>
      <c r="Y3714" s="11">
        <f>$E3714+17</f>
        <v>131</v>
      </c>
      <c r="Z3714" s="12">
        <f>IF($J3714=0,0,ROUND(MAX($J3714*1.4*1.5*1.6*1.6*2.2*2.715*2.6*1.4,6020000000*(1.651178^(MIN($E3714,123)-117)))*1,0))</f>
        <v>1337256787</v>
      </c>
      <c r="AA3714" s="13">
        <f>$E3714+19</f>
        <v>133</v>
      </c>
      <c r="AB3714" s="14">
        <f>IF($J3714=0,0,ROUND(MAX($J3714*1.4*1.5*1.6*1.6*2.2*2.715*2.6*1.4*1.4,8430000000*(1.651435^(MIN($E3714,123)-117)))*1,0))</f>
        <v>1871729653</v>
      </c>
      <c r="AC3714" s="11">
        <f>$E3714+21</f>
        <v>135</v>
      </c>
      <c r="AD3714" s="12">
        <f>IF($J3714=0,0,ROUND(MAX($J3714*1.4*1.5*1.6*1.6*2.2*2.715*2.6*1.4*1.4*1.5,12600000000*(1.652953^(MIN($E3714,123)-117)))*1,0))</f>
        <v>2789902525</v>
      </c>
      <c r="AE3714" s="13">
        <f>$E3714+24</f>
        <v>138</v>
      </c>
      <c r="AF3714" s="14">
        <f>IF($J3714=0,0,ROUND(MAX($J3714*1.4*1.5*1.6*1.6*2.2*2.715*2.6*1.4*1.4*1.5*1.5,18900000000*(1.65331^(MIN($E3714,123)-117)))*1,0))</f>
        <v>4182143461</v>
      </c>
      <c r="AG3714" s="11">
        <f>$E3714+27</f>
        <v>141</v>
      </c>
      <c r="AH3714" s="12">
        <f>IF($J3714=0,0,ROUND(MAX($J3714*1.4*1.5*1.6*1.6*2.2*2.715*2.6*1.4*1.4*1.5*1.5*3.2,60500000000*(1.654288^(MIN($E3714,123)-117)))*1,0))</f>
        <v>13363555336</v>
      </c>
    </row>
    <row r="3715" ht="28" customHeight="1" spans="1:34" x14ac:dyDescent="0.25">
      <c r="A3715">
        <v>3725</v>
      </c>
      <c r="B3715" t="s">
        <v>121</v>
      </c>
      <c r="C3715" s="10" t="s">
        <v>1832</v>
      </c>
      <c r="D3715" t="s">
        <v>29</v>
      </c>
      <c r="E3715">
        <v>113</v>
      </c>
      <c r="F3715" t="s">
        <v>62</v>
      </c>
      <c r="G3715" t="s">
        <v>1312</v>
      </c>
      <c r="H3715">
        <v>28</v>
      </c>
      <c r="I3715" s="11">
        <f>$E3715+0</f>
        <v>113</v>
      </c>
      <c r="J3715" s="12">
        <v>153000</v>
      </c>
      <c r="K3715" s="13">
        <f>$E3715+1</f>
        <v>114</v>
      </c>
      <c r="L3715" s="14">
        <f>IF($J3715=0,0,ROUND(MAX($J3715*1.4,1620000*(1.497923^(MIN($E3715,123)-117)))*1,0))</f>
        <v>321779</v>
      </c>
      <c r="M3715" s="11">
        <f>$E3715+2</f>
        <v>115</v>
      </c>
      <c r="N3715" s="12">
        <f>IF($J3715=0,0,ROUND(MAX($J3715*1.4*1.5,2190000*(1.580994^(MIN($E3715,123)-117)))*1,0))</f>
        <v>350528</v>
      </c>
      <c r="O3715" s="13">
        <f>$E3715+4</f>
        <v>117</v>
      </c>
      <c r="P3715" s="14">
        <f>IF($J3715=0,0,ROUND(MAX($J3715*1.4*1.5*1.6,3500000*(1.57975^(MIN($E3715,123)-117)))*1,0))</f>
        <v>561972</v>
      </c>
      <c r="Q3715" s="11">
        <f>$E3715+6</f>
        <v>119</v>
      </c>
      <c r="R3715" s="12">
        <f>IF($J3715=0,0,ROUND(MAX($J3715*1.4*1.5*1.6*1.6,13100000*(1.429962^(MIN($E3715,123)-117)))*1,0))</f>
        <v>3133093</v>
      </c>
      <c r="S3715" s="13">
        <f>$E3715+8</f>
        <v>121</v>
      </c>
      <c r="T3715" s="14">
        <f>IF($J3715=0,0,ROUND(MAX($J3715*1.4*1.5*1.6*1.6*2.2,42600000*(1.576904^(MIN($E3715,123)-117)))*1,0))</f>
        <v>6889514</v>
      </c>
      <c r="U3715" s="11">
        <f>$E3715+11</f>
        <v>124</v>
      </c>
      <c r="V3715" s="12">
        <f>IF($J3715=0,0,ROUND(MAX($J3715*1.4*1.5*1.6*1.6*2.2*2.715,354000000*(1.642074^(MIN($E3715,123)-117)))*1,0))</f>
        <v>48689169</v>
      </c>
      <c r="W3715" s="13">
        <f>$E3715+15</f>
        <v>128</v>
      </c>
      <c r="X3715" s="14">
        <f>IF($J3715=0,0,ROUND(MAX($J3715*1.4*1.5*1.6*1.6*2.2*2.715*2.6,3540000000*(1.579646^(MIN($E3715,123)-117)))*1,0))</f>
        <v>568544122</v>
      </c>
      <c r="Y3715" s="11">
        <f>$E3715+17</f>
        <v>130</v>
      </c>
      <c r="Z3715" s="12">
        <f>IF($J3715=0,0,ROUND(MAX($J3715*1.4*1.5*1.6*1.6*2.2*2.715*2.6*1.4,6020000000*(1.651178^(MIN($E3715,123)-117)))*1,0))</f>
        <v>809880453</v>
      </c>
      <c r="AA3715" s="13">
        <f>$E3715+19</f>
        <v>132</v>
      </c>
      <c r="AB3715" s="14">
        <f>IF($J3715=0,0,ROUND(MAX($J3715*1.4*1.5*1.6*1.6*2.2*2.715*2.6*1.4*1.4,8430000000*(1.651435^(MIN($E3715,123)-117)))*1,0))</f>
        <v>1133395897</v>
      </c>
      <c r="AC3715" s="11">
        <f>$E3715+21</f>
        <v>134</v>
      </c>
      <c r="AD3715" s="12">
        <f>IF($J3715=0,0,ROUND(MAX($J3715*1.4*1.5*1.6*1.6*2.2*2.715*2.6*1.4*1.4*1.5,12600000000*(1.652953^(MIN($E3715,123)-117)))*1,0))</f>
        <v>1687829312</v>
      </c>
      <c r="AE3715" s="13">
        <f>$E3715+24</f>
        <v>137</v>
      </c>
      <c r="AF3715" s="14">
        <f>IF($J3715=0,0,ROUND(MAX($J3715*1.4*1.5*1.6*1.6*2.2*2.715*2.6*1.4*1.4*1.5*1.5,18900000000*(1.65331^(MIN($E3715,123)-117)))*1,0))</f>
        <v>2529557954</v>
      </c>
      <c r="AG3715" s="11">
        <f>$E3715+27</f>
        <v>140</v>
      </c>
      <c r="AH3715" s="12">
        <f>IF($J3715=0,0,ROUND(MAX($J3715*1.4*1.5*1.6*1.6*2.2*2.715*2.6*1.4*1.4*1.5*1.5*3.2,60500000000*(1.654288^(MIN($E3715,123)-117)))*1,0))</f>
        <v>8078131097</v>
      </c>
    </row>
    <row r="3716" ht="28" customHeight="1" spans="1:34" x14ac:dyDescent="0.25">
      <c r="A3716">
        <v>3726</v>
      </c>
      <c r="B3716" t="s">
        <v>143</v>
      </c>
      <c r="C3716" s="10" t="s">
        <v>1832</v>
      </c>
      <c r="D3716" t="s">
        <v>25</v>
      </c>
      <c r="E3716">
        <v>113</v>
      </c>
      <c r="F3716" t="s">
        <v>144</v>
      </c>
      <c r="G3716" t="s">
        <v>1312</v>
      </c>
      <c r="H3716">
        <v>27</v>
      </c>
      <c r="I3716" s="11">
        <f>$E3716+0</f>
        <v>113</v>
      </c>
      <c r="J3716" s="12">
        <v>316000</v>
      </c>
      <c r="K3716" s="13">
        <f>$E3716+1</f>
        <v>114</v>
      </c>
      <c r="L3716" s="14">
        <f>IF($J3716=0,0,ROUND(MAX($J3716*1.4,1620000*(1.497923^(MIN($E3716,123)-117)))*1,0))</f>
        <v>442400</v>
      </c>
      <c r="M3716" s="11">
        <f>$E3716+2</f>
        <v>115</v>
      </c>
      <c r="N3716" s="12">
        <f>IF($J3716=0,0,ROUND(MAX($J3716*1.4*1.5,2190000*(1.580994^(MIN($E3716,123)-117)))*1,0))</f>
        <v>663600</v>
      </c>
      <c r="O3716" s="13">
        <f>$E3716+4</f>
        <v>117</v>
      </c>
      <c r="P3716" s="14">
        <f>IF($J3716=0,0,ROUND(MAX($J3716*1.4*1.5*1.6,3500000*(1.57975^(MIN($E3716,123)-117)))*1,0))</f>
        <v>1061760</v>
      </c>
      <c r="Q3716" s="11">
        <f>$E3716+6</f>
        <v>119</v>
      </c>
      <c r="R3716" s="12">
        <f>IF($J3716=0,0,ROUND(MAX($J3716*1.4*1.5*1.6*1.6,13100000*(1.429962^(MIN($E3716,123)-117)))*1,0))</f>
        <v>3133093</v>
      </c>
      <c r="S3716" s="13">
        <f>$E3716+8</f>
        <v>121</v>
      </c>
      <c r="T3716" s="14">
        <f>IF($J3716=0,0,ROUND(MAX($J3716*1.4*1.5*1.6*1.6*2.2,42600000*(1.576904^(MIN($E3716,123)-117)))*1,0))</f>
        <v>6889514</v>
      </c>
      <c r="U3716" s="11">
        <f>$E3716+11</f>
        <v>124</v>
      </c>
      <c r="V3716" s="12">
        <f>IF($J3716=0,0,ROUND(MAX($J3716*1.4*1.5*1.6*1.6*2.2*2.715,354000000*(1.642074^(MIN($E3716,123)-117)))*1,0))</f>
        <v>48689169</v>
      </c>
      <c r="W3716" s="13">
        <f>$E3716+15</f>
        <v>128</v>
      </c>
      <c r="X3716" s="14">
        <f>IF($J3716=0,0,ROUND(MAX($J3716*1.4*1.5*1.6*1.6*2.2*2.715*2.6,3540000000*(1.579646^(MIN($E3716,123)-117)))*1,0))</f>
        <v>568544122</v>
      </c>
      <c r="Y3716" s="11">
        <f>$E3716+17</f>
        <v>130</v>
      </c>
      <c r="Z3716" s="12">
        <f>IF($J3716=0,0,ROUND(MAX($J3716*1.4*1.5*1.6*1.6*2.2*2.715*2.6*1.4,6020000000*(1.651178^(MIN($E3716,123)-117)))*1,0))</f>
        <v>809880453</v>
      </c>
      <c r="AA3716" s="13">
        <f>$E3716+19</f>
        <v>132</v>
      </c>
      <c r="AB3716" s="14">
        <f>IF($J3716=0,0,ROUND(MAX($J3716*1.4*1.5*1.6*1.6*2.2*2.715*2.6*1.4*1.4,8430000000*(1.651435^(MIN($E3716,123)-117)))*1,0))</f>
        <v>1133395897</v>
      </c>
      <c r="AC3716" s="11">
        <f>$E3716+21</f>
        <v>134</v>
      </c>
      <c r="AD3716" s="12">
        <f>IF($J3716=0,0,ROUND(MAX($J3716*1.4*1.5*1.6*1.6*2.2*2.715*2.6*1.4*1.4*1.5,12600000000*(1.652953^(MIN($E3716,123)-117)))*1,0))</f>
        <v>1687829312</v>
      </c>
      <c r="AE3716" s="13">
        <f>$E3716+24</f>
        <v>137</v>
      </c>
      <c r="AF3716" s="14">
        <f>IF($J3716=0,0,ROUND(MAX($J3716*1.4*1.5*1.6*1.6*2.2*2.715*2.6*1.4*1.4*1.5*1.5,18900000000*(1.65331^(MIN($E3716,123)-117)))*1,0))</f>
        <v>2529557954</v>
      </c>
      <c r="AG3716" s="11">
        <f>$E3716+27</f>
        <v>140</v>
      </c>
      <c r="AH3716" s="12">
        <f>IF($J3716=0,0,ROUND(MAX($J3716*1.4*1.5*1.6*1.6*2.2*2.715*2.6*1.4*1.4*1.5*1.5*3.2,60500000000*(1.654288^(MIN($E3716,123)-117)))*1,0))</f>
        <v>8078131097</v>
      </c>
    </row>
    <row r="3717" ht="28" customHeight="1" spans="1:34" x14ac:dyDescent="0.25">
      <c r="A3717">
        <v>3727</v>
      </c>
      <c r="B3717" t="s">
        <v>84</v>
      </c>
      <c r="C3717" s="10" t="s">
        <v>1832</v>
      </c>
      <c r="D3717" t="s">
        <v>45</v>
      </c>
      <c r="E3717">
        <v>112</v>
      </c>
      <c r="F3717" t="s">
        <v>62</v>
      </c>
      <c r="G3717" t="s">
        <v>1312</v>
      </c>
      <c r="H3717">
        <v>27</v>
      </c>
      <c r="I3717" s="11">
        <f>$E3717+0</f>
        <v>112</v>
      </c>
      <c r="J3717" s="12">
        <v>154000</v>
      </c>
      <c r="K3717" s="13">
        <f>$E3717+1</f>
        <v>113</v>
      </c>
      <c r="L3717" s="14">
        <f>IF($J3717=0,0,ROUND(MAX($J3717*1.4,1620000*(1.497923^(MIN($E3717,123)-117)))*1,0))</f>
        <v>215600</v>
      </c>
      <c r="M3717" s="11">
        <f>$E3717+2</f>
        <v>114</v>
      </c>
      <c r="N3717" s="12">
        <f>IF($J3717=0,0,ROUND(MAX($J3717*1.4*1.5,2190000*(1.580994^(MIN($E3717,123)-117)))*1,0))</f>
        <v>323400</v>
      </c>
      <c r="O3717" s="13">
        <f>$E3717+4</f>
        <v>116</v>
      </c>
      <c r="P3717" s="14">
        <f>IF($J3717=0,0,ROUND(MAX($J3717*1.4*1.5*1.6,3500000*(1.57975^(MIN($E3717,123)-117)))*1,0))</f>
        <v>517440</v>
      </c>
      <c r="Q3717" s="11">
        <f>$E3717+6</f>
        <v>118</v>
      </c>
      <c r="R3717" s="12">
        <f>IF($J3717=0,0,ROUND(MAX($J3717*1.4*1.5*1.6*1.6,13100000*(1.429962^(MIN($E3717,123)-117)))*1,0))</f>
        <v>2191032</v>
      </c>
      <c r="S3717" s="13">
        <f>$E3717+8</f>
        <v>120</v>
      </c>
      <c r="T3717" s="14">
        <f>IF($J3717=0,0,ROUND(MAX($J3717*1.4*1.5*1.6*1.6*2.2,42600000*(1.576904^(MIN($E3717,123)-117)))*1,0))</f>
        <v>4369013</v>
      </c>
      <c r="U3717" s="11">
        <f>$E3717+11</f>
        <v>123</v>
      </c>
      <c r="V3717" s="12">
        <f>IF($J3717=0,0,ROUND(MAX($J3717*1.4*1.5*1.6*1.6*2.2*2.715,354000000*(1.642074^(MIN($E3717,123)-117)))*1,0))</f>
        <v>29651020</v>
      </c>
      <c r="W3717" s="13">
        <f>$E3717+15</f>
        <v>127</v>
      </c>
      <c r="X3717" s="14">
        <f>IF($J3717=0,0,ROUND(MAX($J3717*1.4*1.5*1.6*1.6*2.2*2.715*2.6,3540000000*(1.579646^(MIN($E3717,123)-117)))*1,0))</f>
        <v>359918692</v>
      </c>
      <c r="Y3717" s="11">
        <f>$E3717+17</f>
        <v>129</v>
      </c>
      <c r="Z3717" s="12">
        <f>IF($J3717=0,0,ROUND(MAX($J3717*1.4*1.5*1.6*1.6*2.2*2.715*2.6*1.4,6020000000*(1.651178^(MIN($E3717,123)-117)))*1,0))</f>
        <v>490486461</v>
      </c>
      <c r="AA3717" s="13">
        <f>$E3717+19</f>
        <v>131</v>
      </c>
      <c r="AB3717" s="14">
        <f>IF($J3717=0,0,ROUND(MAX($J3717*1.4*1.5*1.6*1.6*2.2*2.715*2.6*1.4*1.4,8430000000*(1.651435^(MIN($E3717,123)-117)))*1,0))</f>
        <v>686309723</v>
      </c>
      <c r="AC3717" s="11">
        <f>$E3717+21</f>
        <v>133</v>
      </c>
      <c r="AD3717" s="12">
        <f>IF($J3717=0,0,ROUND(MAX($J3717*1.4*1.5*1.6*1.6*2.2*2.715*2.6*1.4*1.4*1.5,12600000000*(1.652953^(MIN($E3717,123)-117)))*1,0))</f>
        <v>1021099398</v>
      </c>
      <c r="AE3717" s="13">
        <f>$E3717+24</f>
        <v>136</v>
      </c>
      <c r="AF3717" s="14">
        <f>IF($J3717=0,0,ROUND(MAX($J3717*1.4*1.5*1.6*1.6*2.2*2.715*2.6*1.4*1.4*1.5*1.5,18900000000*(1.65331^(MIN($E3717,123)-117)))*1,0))</f>
        <v>1529996162</v>
      </c>
      <c r="AG3717" s="11">
        <f>$E3717+27</f>
        <v>139</v>
      </c>
      <c r="AH3717" s="12">
        <f>IF($J3717=0,0,ROUND(MAX($J3717*1.4*1.5*1.6*1.6*2.2*2.715*2.6*1.4*1.4*1.5*1.5*3.2,60500000000*(1.654288^(MIN($E3717,123)-117)))*1,0))</f>
        <v>4883146766</v>
      </c>
    </row>
    <row r="3718" ht="28" customHeight="1" spans="1:34" x14ac:dyDescent="0.25">
      <c r="A3718">
        <v>3728</v>
      </c>
      <c r="B3718" t="s">
        <v>160</v>
      </c>
      <c r="C3718" s="10" t="s">
        <v>1832</v>
      </c>
      <c r="D3718" t="s">
        <v>40</v>
      </c>
      <c r="E3718">
        <v>112</v>
      </c>
      <c r="F3718" t="s">
        <v>54</v>
      </c>
      <c r="G3718" t="s">
        <v>1312</v>
      </c>
      <c r="H3718">
        <v>27</v>
      </c>
      <c r="I3718" s="11">
        <f>$E3718+0</f>
        <v>112</v>
      </c>
      <c r="J3718" s="12">
        <v>6380000</v>
      </c>
      <c r="K3718" s="13">
        <f>$E3718+1</f>
        <v>113</v>
      </c>
      <c r="L3718" s="14">
        <f>IF($J3718=0,0,ROUND(MAX($J3718*1.4,1620000*(1.497923^(MIN($E3718,123)-117)))*1,0))</f>
        <v>8932000</v>
      </c>
      <c r="M3718" s="11">
        <f>$E3718+2</f>
        <v>114</v>
      </c>
      <c r="N3718" s="12">
        <f>IF($J3718=0,0,ROUND(MAX($J3718*1.4*1.5,2190000*(1.580994^(MIN($E3718,123)-117)))*1,0))</f>
        <v>13398000</v>
      </c>
      <c r="O3718" s="13">
        <f>$E3718+4</f>
        <v>116</v>
      </c>
      <c r="P3718" s="14">
        <f>IF($J3718=0,0,ROUND(MAX($J3718*1.4*1.5*1.6,3500000*(1.57975^(MIN($E3718,123)-117)))*1,0))</f>
        <v>21436800</v>
      </c>
      <c r="Q3718" s="11">
        <f>$E3718+6</f>
        <v>118</v>
      </c>
      <c r="R3718" s="12">
        <f>IF($J3718=0,0,ROUND(MAX($J3718*1.4*1.5*1.6*1.6,13100000*(1.429962^(MIN($E3718,123)-117)))*1,0))</f>
        <v>34298880</v>
      </c>
      <c r="S3718" s="13">
        <f>$E3718+8</f>
        <v>120</v>
      </c>
      <c r="T3718" s="14">
        <f>IF($J3718=0,0,ROUND(MAX($J3718*1.4*1.5*1.6*1.6*2.2,42600000*(1.576904^(MIN($E3718,123)-117)))*1,0))</f>
        <v>75457536</v>
      </c>
      <c r="U3718" s="11">
        <f>$E3718+11</f>
        <v>123</v>
      </c>
      <c r="V3718" s="12">
        <f>IF($J3718=0,0,ROUND(MAX($J3718*1.4*1.5*1.6*1.6*2.2*2.715,354000000*(1.642074^(MIN($E3718,123)-117)))*1,0))</f>
        <v>204867210</v>
      </c>
      <c r="W3718" s="13">
        <f>$E3718+15</f>
        <v>127</v>
      </c>
      <c r="X3718" s="14">
        <f>IF($J3718=0,0,ROUND(MAX($J3718*1.4*1.5*1.6*1.6*2.2*2.715*2.6,3540000000*(1.579646^(MIN($E3718,123)-117)))*1,0))</f>
        <v>532654747</v>
      </c>
      <c r="Y3718" s="11">
        <f>$E3718+17</f>
        <v>129</v>
      </c>
      <c r="Z3718" s="12">
        <f>IF($J3718=0,0,ROUND(MAX($J3718*1.4*1.5*1.6*1.6*2.2*2.715*2.6*1.4,6020000000*(1.651178^(MIN($E3718,123)-117)))*1,0))</f>
        <v>745716645</v>
      </c>
      <c r="AA3718" s="13">
        <f>$E3718+19</f>
        <v>131</v>
      </c>
      <c r="AB3718" s="14">
        <f>IF($J3718=0,0,ROUND(MAX($J3718*1.4*1.5*1.6*1.6*2.2*2.715*2.6*1.4*1.4,8430000000*(1.651435^(MIN($E3718,123)-117)))*1,0))</f>
        <v>1044003303</v>
      </c>
      <c r="AC3718" s="11">
        <f>$E3718+21</f>
        <v>133</v>
      </c>
      <c r="AD3718" s="12">
        <f>IF($J3718=0,0,ROUND(MAX($J3718*1.4*1.5*1.6*1.6*2.2*2.715*2.6*1.4*1.4*1.5,12600000000*(1.652953^(MIN($E3718,123)-117)))*1,0))</f>
        <v>1566004955</v>
      </c>
      <c r="AE3718" s="13">
        <f>$E3718+24</f>
        <v>136</v>
      </c>
      <c r="AF3718" s="14">
        <f>IF($J3718=0,0,ROUND(MAX($J3718*1.4*1.5*1.6*1.6*2.2*2.715*2.6*1.4*1.4*1.5*1.5,18900000000*(1.65331^(MIN($E3718,123)-117)))*1,0))</f>
        <v>2349007433</v>
      </c>
      <c r="AG3718" s="11">
        <f>$E3718+27</f>
        <v>139</v>
      </c>
      <c r="AH3718" s="12">
        <f>IF($J3718=0,0,ROUND(MAX($J3718*1.4*1.5*1.6*1.6*2.2*2.715*2.6*1.4*1.4*1.5*1.5*3.2,60500000000*(1.654288^(MIN($E3718,123)-117)))*1,0))</f>
        <v>7516823784</v>
      </c>
    </row>
    <row r="3719" ht="28" customHeight="1" spans="1:34" x14ac:dyDescent="0.25">
      <c r="A3719">
        <v>3729</v>
      </c>
      <c r="B3719" t="s">
        <v>190</v>
      </c>
      <c r="C3719" s="10" t="s">
        <v>1832</v>
      </c>
      <c r="D3719" t="s">
        <v>75</v>
      </c>
      <c r="E3719">
        <v>111</v>
      </c>
      <c r="F3719" t="s">
        <v>62</v>
      </c>
      <c r="G3719" t="s">
        <v>1312</v>
      </c>
      <c r="H3719">
        <v>26</v>
      </c>
      <c r="I3719" s="11">
        <f>$E3719+0</f>
        <v>111</v>
      </c>
      <c r="J3719" s="12">
        <v>68200</v>
      </c>
      <c r="K3719" s="13">
        <f>$E3719+1</f>
        <v>112</v>
      </c>
      <c r="L3719" s="14">
        <f>IF($J3719=0,0,ROUND(MAX($J3719*1.4,1620000*(1.497923^(MIN($E3719,123)-117)))*1,0))</f>
        <v>143410</v>
      </c>
      <c r="M3719" s="11">
        <f>$E3719+2</f>
        <v>113</v>
      </c>
      <c r="N3719" s="12">
        <f>IF($J3719=0,0,ROUND(MAX($J3719*1.4*1.5,2190000*(1.580994^(MIN($E3719,123)-117)))*1,0))</f>
        <v>143220</v>
      </c>
      <c r="O3719" s="13">
        <f>$E3719+4</f>
        <v>115</v>
      </c>
      <c r="P3719" s="14">
        <f>IF($J3719=0,0,ROUND(MAX($J3719*1.4*1.5*1.6,3500000*(1.57975^(MIN($E3719,123)-117)))*1,0))</f>
        <v>229152</v>
      </c>
      <c r="Q3719" s="11">
        <f>$E3719+6</f>
        <v>117</v>
      </c>
      <c r="R3719" s="12">
        <f>IF($J3719=0,0,ROUND(MAX($J3719*1.4*1.5*1.6*1.6,13100000*(1.429962^(MIN($E3719,123)-117)))*1,0))</f>
        <v>1532231</v>
      </c>
      <c r="S3719" s="13">
        <f>$E3719+8</f>
        <v>119</v>
      </c>
      <c r="T3719" s="14">
        <f>IF($J3719=0,0,ROUND(MAX($J3719*1.4*1.5*1.6*1.6*2.2,42600000*(1.576904^(MIN($E3719,123)-117)))*1,0))</f>
        <v>2770627</v>
      </c>
      <c r="U3719" s="11">
        <f>$E3719+11</f>
        <v>122</v>
      </c>
      <c r="V3719" s="12">
        <f>IF($J3719=0,0,ROUND(MAX($J3719*1.4*1.5*1.6*1.6*2.2*2.715,354000000*(1.642074^(MIN($E3719,123)-117)))*1,0))</f>
        <v>18057055</v>
      </c>
      <c r="W3719" s="13">
        <f>$E3719+15</f>
        <v>126</v>
      </c>
      <c r="X3719" s="14">
        <f>IF($J3719=0,0,ROUND(MAX($J3719*1.4*1.5*1.6*1.6*2.2*2.715*2.6,3540000000*(1.579646^(MIN($E3719,123)-117)))*1,0))</f>
        <v>227847690</v>
      </c>
      <c r="Y3719" s="11">
        <f>$E3719+17</f>
        <v>128</v>
      </c>
      <c r="Z3719" s="12">
        <f>IF($J3719=0,0,ROUND(MAX($J3719*1.4*1.5*1.6*1.6*2.2*2.715*2.6*1.4,6020000000*(1.651178^(MIN($E3719,123)-117)))*1,0))</f>
        <v>297052444</v>
      </c>
      <c r="AA3719" s="13">
        <f>$E3719+19</f>
        <v>130</v>
      </c>
      <c r="AB3719" s="14">
        <f>IF($J3719=0,0,ROUND(MAX($J3719*1.4*1.5*1.6*1.6*2.2*2.715*2.6*1.4*1.4,8430000000*(1.651435^(MIN($E3719,123)-117)))*1,0))</f>
        <v>415583854</v>
      </c>
      <c r="AC3719" s="11">
        <f>$E3719+21</f>
        <v>132</v>
      </c>
      <c r="AD3719" s="12">
        <f>IF($J3719=0,0,ROUND(MAX($J3719*1.4*1.5*1.6*1.6*2.2*2.715*2.6*1.4*1.4*1.5,12600000000*(1.652953^(MIN($E3719,123)-117)))*1,0))</f>
        <v>617742548</v>
      </c>
      <c r="AE3719" s="13">
        <f>$E3719+24</f>
        <v>135</v>
      </c>
      <c r="AF3719" s="14">
        <f>IF($J3719=0,0,ROUND(MAX($J3719*1.4*1.5*1.6*1.6*2.2*2.715*2.6*1.4*1.4*1.5*1.5,18900000000*(1.65331^(MIN($E3719,123)-117)))*1,0))</f>
        <v>925413965</v>
      </c>
      <c r="AG3719" s="11">
        <f>$E3719+27</f>
        <v>138</v>
      </c>
      <c r="AH3719" s="12">
        <f>IF($J3719=0,0,ROUND(MAX($J3719*1.4*1.5*1.6*1.6*2.2*2.715*2.6*1.4*1.4*1.5*1.5*3.2,60500000000*(1.654288^(MIN($E3719,123)-117)))*1,0))</f>
        <v>2951811756</v>
      </c>
    </row>
    <row r="3720" ht="28" customHeight="1" spans="1:34" x14ac:dyDescent="0.25">
      <c r="A3720">
        <v>3730</v>
      </c>
      <c r="B3720" t="s">
        <v>487</v>
      </c>
      <c r="C3720" s="10" t="s">
        <v>1832</v>
      </c>
      <c r="D3720" t="s">
        <v>45</v>
      </c>
      <c r="E3720">
        <v>111</v>
      </c>
      <c r="F3720" t="s">
        <v>62</v>
      </c>
      <c r="G3720" t="s">
        <v>1312</v>
      </c>
      <c r="H3720">
        <v>25</v>
      </c>
      <c r="I3720" s="11">
        <f>$E3720+0</f>
        <v>111</v>
      </c>
      <c r="J3720" s="12">
        <v>44600</v>
      </c>
      <c r="K3720" s="13">
        <f>$E3720+1</f>
        <v>112</v>
      </c>
      <c r="L3720" s="14">
        <f>IF($J3720=0,0,ROUND(MAX($J3720*1.4,1620000*(1.497923^(MIN($E3720,123)-117)))*1,0))</f>
        <v>143410</v>
      </c>
      <c r="M3720" s="11">
        <f>$E3720+2</f>
        <v>113</v>
      </c>
      <c r="N3720" s="12">
        <f>IF($J3720=0,0,ROUND(MAX($J3720*1.4*1.5,2190000*(1.580994^(MIN($E3720,123)-117)))*1,0))</f>
        <v>140237</v>
      </c>
      <c r="O3720" s="13">
        <f>$E3720+4</f>
        <v>115</v>
      </c>
      <c r="P3720" s="14">
        <f>IF($J3720=0,0,ROUND(MAX($J3720*1.4*1.5*1.6,3500000*(1.57975^(MIN($E3720,123)-117)))*1,0))</f>
        <v>225184</v>
      </c>
      <c r="Q3720" s="11">
        <f>$E3720+6</f>
        <v>117</v>
      </c>
      <c r="R3720" s="12">
        <f>IF($J3720=0,0,ROUND(MAX($J3720*1.4*1.5*1.6*1.6,13100000*(1.429962^(MIN($E3720,123)-117)))*1,0))</f>
        <v>1532231</v>
      </c>
      <c r="S3720" s="13">
        <f>$E3720+8</f>
        <v>119</v>
      </c>
      <c r="T3720" s="14">
        <f>IF($J3720=0,0,ROUND(MAX($J3720*1.4*1.5*1.6*1.6*2.2,42600000*(1.576904^(MIN($E3720,123)-117)))*1,0))</f>
        <v>2770627</v>
      </c>
      <c r="U3720" s="11">
        <f>$E3720+11</f>
        <v>122</v>
      </c>
      <c r="V3720" s="12">
        <f>IF($J3720=0,0,ROUND(MAX($J3720*1.4*1.5*1.6*1.6*2.2*2.715,354000000*(1.642074^(MIN($E3720,123)-117)))*1,0))</f>
        <v>18057055</v>
      </c>
      <c r="W3720" s="13">
        <f>$E3720+15</f>
        <v>126</v>
      </c>
      <c r="X3720" s="14">
        <f>IF($J3720=0,0,ROUND(MAX($J3720*1.4*1.5*1.6*1.6*2.2*2.715*2.6,3540000000*(1.579646^(MIN($E3720,123)-117)))*1,0))</f>
        <v>227847690</v>
      </c>
      <c r="Y3720" s="11">
        <f>$E3720+17</f>
        <v>128</v>
      </c>
      <c r="Z3720" s="12">
        <f>IF($J3720=0,0,ROUND(MAX($J3720*1.4*1.5*1.6*1.6*2.2*2.715*2.6*1.4,6020000000*(1.651178^(MIN($E3720,123)-117)))*1,0))</f>
        <v>297052444</v>
      </c>
      <c r="AA3720" s="13">
        <f>$E3720+19</f>
        <v>130</v>
      </c>
      <c r="AB3720" s="14">
        <f>IF($J3720=0,0,ROUND(MAX($J3720*1.4*1.5*1.6*1.6*2.2*2.715*2.6*1.4*1.4,8430000000*(1.651435^(MIN($E3720,123)-117)))*1,0))</f>
        <v>415583854</v>
      </c>
      <c r="AC3720" s="11">
        <f>$E3720+21</f>
        <v>132</v>
      </c>
      <c r="AD3720" s="12">
        <f>IF($J3720=0,0,ROUND(MAX($J3720*1.4*1.5*1.6*1.6*2.2*2.715*2.6*1.4*1.4*1.5,12600000000*(1.652953^(MIN($E3720,123)-117)))*1,0))</f>
        <v>617742548</v>
      </c>
      <c r="AE3720" s="13">
        <f>$E3720+24</f>
        <v>135</v>
      </c>
      <c r="AF3720" s="14">
        <f>IF($J3720=0,0,ROUND(MAX($J3720*1.4*1.5*1.6*1.6*2.2*2.715*2.6*1.4*1.4*1.5*1.5,18900000000*(1.65331^(MIN($E3720,123)-117)))*1,0))</f>
        <v>925413965</v>
      </c>
      <c r="AG3720" s="11">
        <f>$E3720+27</f>
        <v>138</v>
      </c>
      <c r="AH3720" s="12">
        <f>IF($J3720=0,0,ROUND(MAX($J3720*1.4*1.5*1.6*1.6*2.2*2.715*2.6*1.4*1.4*1.5*1.5*3.2,60500000000*(1.654288^(MIN($E3720,123)-117)))*1,0))</f>
        <v>2951811756</v>
      </c>
    </row>
    <row r="3721" ht="28" customHeight="1" spans="1:34" x14ac:dyDescent="0.25">
      <c r="A3721">
        <v>3731</v>
      </c>
      <c r="B3721" t="s">
        <v>650</v>
      </c>
      <c r="C3721" s="10" t="s">
        <v>1832</v>
      </c>
      <c r="D3721" t="s">
        <v>33</v>
      </c>
      <c r="E3721">
        <v>110</v>
      </c>
      <c r="F3721" t="s">
        <v>34</v>
      </c>
      <c r="G3721" t="s">
        <v>1312</v>
      </c>
      <c r="H3721">
        <v>25</v>
      </c>
      <c r="I3721" s="11">
        <f>$E3721+0</f>
        <v>110</v>
      </c>
      <c r="J3721" s="12">
        <v>35000</v>
      </c>
      <c r="K3721" s="13">
        <f>$E3721+1</f>
        <v>111</v>
      </c>
      <c r="L3721" s="14">
        <f>IF($J3721=0,0,ROUND(MAX($J3721*1.4,1620000*(1.497923^(MIN($E3721,123)-117)))*1,0))</f>
        <v>95739</v>
      </c>
      <c r="M3721" s="11">
        <f>$E3721+2</f>
        <v>112</v>
      </c>
      <c r="N3721" s="12">
        <f>IF($J3721=0,0,ROUND(MAX($J3721*1.4*1.5,2190000*(1.580994^(MIN($E3721,123)-117)))*1,0))</f>
        <v>88702</v>
      </c>
      <c r="O3721" s="13">
        <f>$E3721+4</f>
        <v>114</v>
      </c>
      <c r="P3721" s="14">
        <f>IF($J3721=0,0,ROUND(MAX($J3721*1.4*1.5*1.6,3500000*(1.57975^(MIN($E3721,123)-117)))*1,0))</f>
        <v>142544</v>
      </c>
      <c r="Q3721" s="11">
        <f>$E3721+6</f>
        <v>116</v>
      </c>
      <c r="R3721" s="12">
        <f>IF($J3721=0,0,ROUND(MAX($J3721*1.4*1.5*1.6*1.6,13100000*(1.429962^(MIN($E3721,123)-117)))*1,0))</f>
        <v>1071519</v>
      </c>
      <c r="S3721" s="13">
        <f>$E3721+8</f>
        <v>118</v>
      </c>
      <c r="T3721" s="14">
        <f>IF($J3721=0,0,ROUND(MAX($J3721*1.4*1.5*1.6*1.6*2.2,42600000*(1.576904^(MIN($E3721,123)-117)))*1,0))</f>
        <v>1757004</v>
      </c>
      <c r="U3721" s="11">
        <f>$E3721+11</f>
        <v>121</v>
      </c>
      <c r="V3721" s="12">
        <f>IF($J3721=0,0,ROUND(MAX($J3721*1.4*1.5*1.6*1.6*2.2*2.715,354000000*(1.642074^(MIN($E3721,123)-117)))*1,0))</f>
        <v>10996493</v>
      </c>
      <c r="W3721" s="13">
        <f>$E3721+15</f>
        <v>125</v>
      </c>
      <c r="X3721" s="14">
        <f>IF($J3721=0,0,ROUND(MAX($J3721*1.4*1.5*1.6*1.6*2.2*2.715*2.6,3540000000*(1.579646^(MIN($E3721,123)-117)))*1,0))</f>
        <v>144239716</v>
      </c>
      <c r="Y3721" s="11">
        <f>$E3721+17</f>
        <v>127</v>
      </c>
      <c r="Z3721" s="12">
        <f>IF($J3721=0,0,ROUND(MAX($J3721*1.4*1.5*1.6*1.6*2.2*2.715*2.6*1.4,6020000000*(1.651178^(MIN($E3721,123)-117)))*1,0))</f>
        <v>179903344</v>
      </c>
      <c r="AA3721" s="13">
        <f>$E3721+19</f>
        <v>129</v>
      </c>
      <c r="AB3721" s="14">
        <f>IF($J3721=0,0,ROUND(MAX($J3721*1.4*1.5*1.6*1.6*2.2*2.715*2.6*1.4*1.4,8430000000*(1.651435^(MIN($E3721,123)-117)))*1,0))</f>
        <v>251650143</v>
      </c>
      <c r="AC3721" s="11">
        <f>$E3721+21</f>
        <v>131</v>
      </c>
      <c r="AD3721" s="12">
        <f>IF($J3721=0,0,ROUND(MAX($J3721*1.4*1.5*1.6*1.6*2.2*2.715*2.6*1.4*1.4*1.5,12600000000*(1.652953^(MIN($E3721,123)-117)))*1,0))</f>
        <v>373720576</v>
      </c>
      <c r="AE3721" s="13">
        <f>$E3721+24</f>
        <v>134</v>
      </c>
      <c r="AF3721" s="14">
        <f>IF($J3721=0,0,ROUND(MAX($J3721*1.4*1.5*1.6*1.6*2.2*2.715*2.6*1.4*1.4*1.5*1.5,18900000000*(1.65331^(MIN($E3721,123)-117)))*1,0))</f>
        <v>559734088</v>
      </c>
      <c r="AG3721" s="11">
        <f>$E3721+27</f>
        <v>137</v>
      </c>
      <c r="AH3721" s="12">
        <f>IF($J3721=0,0,ROUND(MAX($J3721*1.4*1.5*1.6*1.6*2.2*2.715*2.6*1.4*1.4*1.5*1.5*3.2,60500000000*(1.654288^(MIN($E3721,123)-117)))*1,0))</f>
        <v>1784339701</v>
      </c>
    </row>
    <row r="3722" ht="28" customHeight="1" spans="1:34" x14ac:dyDescent="0.25">
      <c r="A3722">
        <v>3732</v>
      </c>
      <c r="B3722" t="s">
        <v>1833</v>
      </c>
      <c r="C3722" s="10" t="s">
        <v>1832</v>
      </c>
      <c r="D3722" t="s">
        <v>75</v>
      </c>
      <c r="E3722">
        <v>110</v>
      </c>
      <c r="F3722" t="s">
        <v>30</v>
      </c>
      <c r="G3722" t="s">
        <v>562</v>
      </c>
      <c r="H3722">
        <v>25</v>
      </c>
      <c r="I3722" s="11">
        <f>$E3722+0</f>
        <v>110</v>
      </c>
      <c r="J3722" s="12">
        <v>2290000</v>
      </c>
      <c r="K3722" s="13">
        <f>$E3722+1</f>
        <v>111</v>
      </c>
      <c r="L3722" s="14">
        <f>IF($J3722=0,0,ROUND(MAX($J3722*1.4,1620000*(1.497923^(MIN($E3722,123)-117)))*1,0))</f>
        <v>3206000</v>
      </c>
      <c r="M3722" s="11">
        <f>$E3722+2</f>
        <v>112</v>
      </c>
      <c r="N3722" s="12">
        <f>IF($J3722=0,0,ROUND(MAX($J3722*1.4*1.5,2190000*(1.580994^(MIN($E3722,123)-117)))*1,0))</f>
        <v>4809000</v>
      </c>
      <c r="O3722" s="13">
        <f>$E3722+4</f>
        <v>114</v>
      </c>
      <c r="P3722" s="14">
        <f>IF($J3722=0,0,ROUND(MAX($J3722*1.4*1.5*1.6,3500000*(1.57975^(MIN($E3722,123)-117)))*1,0))</f>
        <v>7694400</v>
      </c>
      <c r="Q3722" s="11">
        <f>$E3722+6</f>
        <v>116</v>
      </c>
      <c r="R3722" s="12">
        <f>IF($J3722=0,0,ROUND(MAX($J3722*1.4*1.5*1.6*1.6,13100000*(1.429962^(MIN($E3722,123)-117)))*1,0))</f>
        <v>12311040</v>
      </c>
      <c r="S3722" s="13">
        <f>$E3722+8</f>
        <v>118</v>
      </c>
      <c r="T3722" s="14">
        <f>IF($J3722=0,0,ROUND(MAX($J3722*1.4*1.5*1.6*1.6*2.2,42600000*(1.576904^(MIN($E3722,123)-117)))*1,0))</f>
        <v>27084288</v>
      </c>
      <c r="U3722" s="11">
        <f>$E3722+11</f>
        <v>121</v>
      </c>
      <c r="V3722" s="12">
        <f>IF($J3722=0,0,ROUND(MAX($J3722*1.4*1.5*1.6*1.6*2.2*2.715,354000000*(1.642074^(MIN($E3722,123)-117)))*1,0))</f>
        <v>73533842</v>
      </c>
      <c r="W3722" s="13">
        <f>$E3722+15</f>
        <v>125</v>
      </c>
      <c r="X3722" s="14">
        <f>IF($J3722=0,0,ROUND(MAX($J3722*1.4*1.5*1.6*1.6*2.2*2.715*2.6,3540000000*(1.579646^(MIN($E3722,123)-117)))*1,0))</f>
        <v>191187989</v>
      </c>
      <c r="Y3722" s="11">
        <f>$E3722+17</f>
        <v>127</v>
      </c>
      <c r="Z3722" s="12">
        <f>IF($J3722=0,0,ROUND(MAX($J3722*1.4*1.5*1.6*1.6*2.2*2.715*2.6*1.4,6020000000*(1.651178^(MIN($E3722,123)-117)))*1,0))</f>
        <v>267663185</v>
      </c>
      <c r="AA3722" s="13">
        <f>$E3722+19</f>
        <v>129</v>
      </c>
      <c r="AB3722" s="14">
        <f>IF($J3722=0,0,ROUND(MAX($J3722*1.4*1.5*1.6*1.6*2.2*2.715*2.6*1.4*1.4,8430000000*(1.651435^(MIN($E3722,123)-117)))*1,0))</f>
        <v>374728458</v>
      </c>
      <c r="AC3722" s="11">
        <f>$E3722+21</f>
        <v>131</v>
      </c>
      <c r="AD3722" s="12">
        <f>IF($J3722=0,0,ROUND(MAX($J3722*1.4*1.5*1.6*1.6*2.2*2.715*2.6*1.4*1.4*1.5,12600000000*(1.652953^(MIN($E3722,123)-117)))*1,0))</f>
        <v>562092688</v>
      </c>
      <c r="AE3722" s="13">
        <f>$E3722+24</f>
        <v>134</v>
      </c>
      <c r="AF3722" s="14">
        <f>IF($J3722=0,0,ROUND(MAX($J3722*1.4*1.5*1.6*1.6*2.2*2.715*2.6*1.4*1.4*1.5*1.5,18900000000*(1.65331^(MIN($E3722,123)-117)))*1,0))</f>
        <v>843139031</v>
      </c>
      <c r="AG3722" s="11">
        <f>$E3722+27</f>
        <v>137</v>
      </c>
      <c r="AH3722" s="12">
        <f>IF($J3722=0,0,ROUND(MAX($J3722*1.4*1.5*1.6*1.6*2.2*2.715*2.6*1.4*1.4*1.5*1.5*3.2,60500000000*(1.654288^(MIN($E3722,123)-117)))*1,0))</f>
        <v>2698044901</v>
      </c>
    </row>
    <row r="3723" ht="28" customHeight="1" spans="1:34" x14ac:dyDescent="0.25">
      <c r="A3723">
        <v>3733</v>
      </c>
      <c r="B3723" t="s">
        <v>794</v>
      </c>
      <c r="C3723" s="10" t="s">
        <v>1832</v>
      </c>
      <c r="D3723" t="s">
        <v>90</v>
      </c>
      <c r="E3723">
        <v>109</v>
      </c>
      <c r="F3723" t="s">
        <v>30</v>
      </c>
      <c r="G3723" t="s">
        <v>562</v>
      </c>
      <c r="H3723">
        <v>25</v>
      </c>
      <c r="I3723" s="11">
        <f>$E3723+0</f>
        <v>109</v>
      </c>
      <c r="J3723" s="12">
        <v>58800</v>
      </c>
      <c r="K3723" s="13">
        <f>$E3723+1</f>
        <v>110</v>
      </c>
      <c r="L3723" s="14">
        <f>IF($J3723=0,0,ROUND(MAX($J3723*1.4,1620000*(1.497923^(MIN($E3723,123)-117)))*1,0))</f>
        <v>82320</v>
      </c>
      <c r="M3723" s="11">
        <f>$E3723+2</f>
        <v>111</v>
      </c>
      <c r="N3723" s="12">
        <f>IF($J3723=0,0,ROUND(MAX($J3723*1.4*1.5,2190000*(1.580994^(MIN($E3723,123)-117)))*1,0))</f>
        <v>123480</v>
      </c>
      <c r="O3723" s="13">
        <f>$E3723+4</f>
        <v>113</v>
      </c>
      <c r="P3723" s="14">
        <f>IF($J3723=0,0,ROUND(MAX($J3723*1.4*1.5*1.6,3500000*(1.57975^(MIN($E3723,123)-117)))*1,0))</f>
        <v>197568</v>
      </c>
      <c r="Q3723" s="11">
        <f>$E3723+6</f>
        <v>115</v>
      </c>
      <c r="R3723" s="12">
        <f>IF($J3723=0,0,ROUND(MAX($J3723*1.4*1.5*1.6*1.6,13100000*(1.429962^(MIN($E3723,123)-117)))*1,0))</f>
        <v>749334</v>
      </c>
      <c r="S3723" s="13">
        <f>$E3723+8</f>
        <v>117</v>
      </c>
      <c r="T3723" s="14">
        <f>IF($J3723=0,0,ROUND(MAX($J3723*1.4*1.5*1.6*1.6*2.2,42600000*(1.576904^(MIN($E3723,123)-117)))*1,0))</f>
        <v>1114211</v>
      </c>
      <c r="U3723" s="11">
        <f>$E3723+11</f>
        <v>120</v>
      </c>
      <c r="V3723" s="12">
        <f>IF($J3723=0,0,ROUND(MAX($J3723*1.4*1.5*1.6*1.6*2.2*2.715,354000000*(1.642074^(MIN($E3723,123)-117)))*1,0))</f>
        <v>6696710</v>
      </c>
      <c r="W3723" s="13">
        <f>$E3723+15</f>
        <v>124</v>
      </c>
      <c r="X3723" s="14">
        <f>IF($J3723=0,0,ROUND(MAX($J3723*1.4*1.5*1.6*1.6*2.2*2.715*2.6,3540000000*(1.579646^(MIN($E3723,123)-117)))*1,0))</f>
        <v>91311418</v>
      </c>
      <c r="Y3723" s="11">
        <f>$E3723+17</f>
        <v>126</v>
      </c>
      <c r="Z3723" s="12">
        <f>IF($J3723=0,0,ROUND(MAX($J3723*1.4*1.5*1.6*1.6*2.2*2.715*2.6*1.4,6020000000*(1.651178^(MIN($E3723,123)-117)))*1,0))</f>
        <v>108954543</v>
      </c>
      <c r="AA3723" s="13">
        <f>$E3723+19</f>
        <v>128</v>
      </c>
      <c r="AB3723" s="14">
        <f>IF($J3723=0,0,ROUND(MAX($J3723*1.4*1.5*1.6*1.6*2.2*2.715*2.6*1.4*1.4,8430000000*(1.651435^(MIN($E3723,123)-117)))*1,0))</f>
        <v>152382712</v>
      </c>
      <c r="AC3723" s="11">
        <f>$E3723+21</f>
        <v>130</v>
      </c>
      <c r="AD3723" s="12">
        <f>IF($J3723=0,0,ROUND(MAX($J3723*1.4*1.5*1.6*1.6*2.2*2.715*2.6*1.4*1.4*1.5,12600000000*(1.652953^(MIN($E3723,123)-117)))*1,0))</f>
        <v>226092682</v>
      </c>
      <c r="AE3723" s="13">
        <f>$E3723+24</f>
        <v>133</v>
      </c>
      <c r="AF3723" s="14">
        <f>IF($J3723=0,0,ROUND(MAX($J3723*1.4*1.5*1.6*1.6*2.2*2.715*2.6*1.4*1.4*1.5*1.5,18900000000*(1.65331^(MIN($E3723,123)-117)))*1,0))</f>
        <v>338553621</v>
      </c>
      <c r="AG3723" s="11">
        <f>$E3723+27</f>
        <v>136</v>
      </c>
      <c r="AH3723" s="12">
        <f>IF($J3723=0,0,ROUND(MAX($J3723*1.4*1.5*1.6*1.6*2.2*2.715*2.6*1.4*1.4*1.5*1.5*3.2,60500000000*(1.654288^(MIN($E3723,123)-117)))*1,0))</f>
        <v>1078614909</v>
      </c>
    </row>
    <row r="3724" ht="28" customHeight="1" spans="1:34" x14ac:dyDescent="0.25">
      <c r="A3724">
        <v>3734</v>
      </c>
      <c r="B3724" t="s">
        <v>285</v>
      </c>
      <c r="C3724" s="10" t="s">
        <v>1832</v>
      </c>
      <c r="D3724" t="s">
        <v>45</v>
      </c>
      <c r="E3724">
        <v>109</v>
      </c>
      <c r="F3724" t="s">
        <v>54</v>
      </c>
      <c r="G3724" t="s">
        <v>425</v>
      </c>
      <c r="H3724">
        <v>24</v>
      </c>
      <c r="I3724" s="11">
        <f>$E3724+0</f>
        <v>109</v>
      </c>
      <c r="J3724" s="12">
        <v>34100</v>
      </c>
      <c r="K3724" s="13">
        <f>$E3724+1</f>
        <v>110</v>
      </c>
      <c r="L3724" s="14">
        <f>IF($J3724=0,0,ROUND(MAX($J3724*1.4,1620000*(1.497923^(MIN($E3724,123)-117)))*1,0))</f>
        <v>63914</v>
      </c>
      <c r="M3724" s="11">
        <f>$E3724+2</f>
        <v>111</v>
      </c>
      <c r="N3724" s="12">
        <f>IF($J3724=0,0,ROUND(MAX($J3724*1.4*1.5,2190000*(1.580994^(MIN($E3724,123)-117)))*1,0))</f>
        <v>71610</v>
      </c>
      <c r="O3724" s="13">
        <f>$E3724+4</f>
        <v>113</v>
      </c>
      <c r="P3724" s="14">
        <f>IF($J3724=0,0,ROUND(MAX($J3724*1.4*1.5*1.6,3500000*(1.57975^(MIN($E3724,123)-117)))*1,0))</f>
        <v>114576</v>
      </c>
      <c r="Q3724" s="11">
        <f>$E3724+6</f>
        <v>115</v>
      </c>
      <c r="R3724" s="12">
        <f>IF($J3724=0,0,ROUND(MAX($J3724*1.4*1.5*1.6*1.6,13100000*(1.429962^(MIN($E3724,123)-117)))*1,0))</f>
        <v>749334</v>
      </c>
      <c r="S3724" s="13">
        <f>$E3724+8</f>
        <v>117</v>
      </c>
      <c r="T3724" s="14">
        <f>IF($J3724=0,0,ROUND(MAX($J3724*1.4*1.5*1.6*1.6*2.2,42600000*(1.576904^(MIN($E3724,123)-117)))*1,0))</f>
        <v>1114211</v>
      </c>
      <c r="U3724" s="11">
        <f>$E3724+11</f>
        <v>120</v>
      </c>
      <c r="V3724" s="12">
        <f>IF($J3724=0,0,ROUND(MAX($J3724*1.4*1.5*1.6*1.6*2.2*2.715,354000000*(1.642074^(MIN($E3724,123)-117)))*1,0))</f>
        <v>6696710</v>
      </c>
      <c r="W3724" s="13">
        <f>$E3724+15</f>
        <v>124</v>
      </c>
      <c r="X3724" s="14">
        <f>IF($J3724=0,0,ROUND(MAX($J3724*1.4*1.5*1.6*1.6*2.2*2.715*2.6,3540000000*(1.579646^(MIN($E3724,123)-117)))*1,0))</f>
        <v>91311418</v>
      </c>
      <c r="Y3724" s="11">
        <f>$E3724+17</f>
        <v>126</v>
      </c>
      <c r="Z3724" s="12">
        <f>IF($J3724=0,0,ROUND(MAX($J3724*1.4*1.5*1.6*1.6*2.2*2.715*2.6*1.4,6020000000*(1.651178^(MIN($E3724,123)-117)))*1,0))</f>
        <v>108954543</v>
      </c>
      <c r="AA3724" s="13">
        <f>$E3724+19</f>
        <v>128</v>
      </c>
      <c r="AB3724" s="14">
        <f>IF($J3724=0,0,ROUND(MAX($J3724*1.4*1.5*1.6*1.6*2.2*2.715*2.6*1.4*1.4,8430000000*(1.651435^(MIN($E3724,123)-117)))*1,0))</f>
        <v>152382712</v>
      </c>
      <c r="AC3724" s="11">
        <f>$E3724+21</f>
        <v>130</v>
      </c>
      <c r="AD3724" s="12">
        <f>IF($J3724=0,0,ROUND(MAX($J3724*1.4*1.5*1.6*1.6*2.2*2.715*2.6*1.4*1.4*1.5,12600000000*(1.652953^(MIN($E3724,123)-117)))*1,0))</f>
        <v>226092682</v>
      </c>
      <c r="AE3724" s="13">
        <f>$E3724+24</f>
        <v>133</v>
      </c>
      <c r="AF3724" s="14">
        <f>IF($J3724=0,0,ROUND(MAX($J3724*1.4*1.5*1.6*1.6*2.2*2.715*2.6*1.4*1.4*1.5*1.5,18900000000*(1.65331^(MIN($E3724,123)-117)))*1,0))</f>
        <v>338553621</v>
      </c>
      <c r="AG3724" s="11">
        <f>$E3724+27</f>
        <v>136</v>
      </c>
      <c r="AH3724" s="12">
        <f>IF($J3724=0,0,ROUND(MAX($J3724*1.4*1.5*1.6*1.6*2.2*2.715*2.6*1.4*1.4*1.5*1.5*3.2,60500000000*(1.654288^(MIN($E3724,123)-117)))*1,0))</f>
        <v>1078614909</v>
      </c>
    </row>
    <row r="3725" ht="28" customHeight="1" spans="1:34" x14ac:dyDescent="0.25">
      <c r="A3725">
        <v>3735</v>
      </c>
      <c r="B3725" t="s">
        <v>1656</v>
      </c>
      <c r="C3725" s="10" t="s">
        <v>1832</v>
      </c>
      <c r="D3725" t="s">
        <v>47</v>
      </c>
      <c r="E3725">
        <v>109</v>
      </c>
      <c r="F3725" t="s">
        <v>353</v>
      </c>
      <c r="G3725" t="s">
        <v>72</v>
      </c>
      <c r="H3725">
        <v>22</v>
      </c>
      <c r="I3725" s="11">
        <f>$E3725+0</f>
        <v>109</v>
      </c>
      <c r="J3725" s="12">
        <v>560000</v>
      </c>
      <c r="K3725" s="13">
        <f>$E3725+1</f>
        <v>110</v>
      </c>
      <c r="L3725" s="14">
        <f>IF($J3725=0,0,ROUND(MAX($J3725*1.4,1620000*(1.497923^(MIN($E3725,123)-117)))*1,0))</f>
        <v>784000</v>
      </c>
      <c r="M3725" s="11">
        <f>$E3725+2</f>
        <v>111</v>
      </c>
      <c r="N3725" s="12">
        <f>IF($J3725=0,0,ROUND(MAX($J3725*1.4*1.5,2190000*(1.580994^(MIN($E3725,123)-117)))*1,0))</f>
        <v>1176000</v>
      </c>
      <c r="O3725" s="13">
        <f>$E3725+4</f>
        <v>113</v>
      </c>
      <c r="P3725" s="14">
        <f>IF($J3725=0,0,ROUND(MAX($J3725*1.4*1.5*1.6,3500000*(1.57975^(MIN($E3725,123)-117)))*1,0))</f>
        <v>1881600</v>
      </c>
      <c r="Q3725" s="11">
        <f>$E3725+6</f>
        <v>115</v>
      </c>
      <c r="R3725" s="12">
        <f>IF($J3725=0,0,ROUND(MAX($J3725*1.4*1.5*1.6*1.6,13100000*(1.429962^(MIN($E3725,123)-117)))*1,0))</f>
        <v>3010560</v>
      </c>
      <c r="S3725" s="13">
        <f>$E3725+8</f>
        <v>117</v>
      </c>
      <c r="T3725" s="14">
        <f>IF($J3725=0,0,ROUND(MAX($J3725*1.4*1.5*1.6*1.6*2.2,42600000*(1.576904^(MIN($E3725,123)-117)))*1,0))</f>
        <v>6623232</v>
      </c>
      <c r="U3725" s="11">
        <f>$E3725+11</f>
        <v>120</v>
      </c>
      <c r="V3725" s="12">
        <f>IF($J3725=0,0,ROUND(MAX($J3725*1.4*1.5*1.6*1.6*2.2*2.715,354000000*(1.642074^(MIN($E3725,123)-117)))*1,0))</f>
        <v>17982075</v>
      </c>
      <c r="W3725" s="13">
        <f>$E3725+15</f>
        <v>124</v>
      </c>
      <c r="X3725" s="14">
        <f>IF($J3725=0,0,ROUND(MAX($J3725*1.4*1.5*1.6*1.6*2.2*2.715*2.6,3540000000*(1.579646^(MIN($E3725,123)-117)))*1,0))</f>
        <v>91311418</v>
      </c>
      <c r="Y3725" s="11">
        <f>$E3725+17</f>
        <v>126</v>
      </c>
      <c r="Z3725" s="12">
        <f>IF($J3725=0,0,ROUND(MAX($J3725*1.4*1.5*1.6*1.6*2.2*2.715*2.6*1.4,6020000000*(1.651178^(MIN($E3725,123)-117)))*1,0))</f>
        <v>108954543</v>
      </c>
      <c r="AA3725" s="13">
        <f>$E3725+19</f>
        <v>128</v>
      </c>
      <c r="AB3725" s="14">
        <f>IF($J3725=0,0,ROUND(MAX($J3725*1.4*1.5*1.6*1.6*2.2*2.715*2.6*1.4*1.4,8430000000*(1.651435^(MIN($E3725,123)-117)))*1,0))</f>
        <v>152382712</v>
      </c>
      <c r="AC3725" s="11">
        <f>$E3725+21</f>
        <v>130</v>
      </c>
      <c r="AD3725" s="12">
        <f>IF($J3725=0,0,ROUND(MAX($J3725*1.4*1.5*1.6*1.6*2.2*2.715*2.6*1.4*1.4*1.5,12600000000*(1.652953^(MIN($E3725,123)-117)))*1,0))</f>
        <v>226092682</v>
      </c>
      <c r="AE3725" s="13">
        <f>$E3725+24</f>
        <v>133</v>
      </c>
      <c r="AF3725" s="14">
        <f>IF($J3725=0,0,ROUND(MAX($J3725*1.4*1.5*1.6*1.6*2.2*2.715*2.6*1.4*1.4*1.5*1.5,18900000000*(1.65331^(MIN($E3725,123)-117)))*1,0))</f>
        <v>338553621</v>
      </c>
      <c r="AG3725" s="11">
        <f>$E3725+27</f>
        <v>136</v>
      </c>
      <c r="AH3725" s="12">
        <f>IF($J3725=0,0,ROUND(MAX($J3725*1.4*1.5*1.6*1.6*2.2*2.715*2.6*1.4*1.4*1.5*1.5*3.2,60500000000*(1.654288^(MIN($E3725,123)-117)))*1,0))</f>
        <v>1078614909</v>
      </c>
    </row>
    <row r="3726" ht="28" customHeight="1" spans="1:34" x14ac:dyDescent="0.25">
      <c r="A3726">
        <v>3736</v>
      </c>
      <c r="B3726" t="s">
        <v>689</v>
      </c>
      <c r="C3726" s="10" t="s">
        <v>1832</v>
      </c>
      <c r="D3726" t="s">
        <v>90</v>
      </c>
      <c r="E3726">
        <v>108</v>
      </c>
      <c r="F3726" t="s">
        <v>62</v>
      </c>
      <c r="G3726" t="s">
        <v>1312</v>
      </c>
      <c r="H3726">
        <v>24</v>
      </c>
      <c r="I3726" s="11">
        <f>$E3726+0</f>
        <v>108</v>
      </c>
      <c r="J3726" s="12">
        <v>8820</v>
      </c>
      <c r="K3726" s="13">
        <f>$E3726+1</f>
        <v>109</v>
      </c>
      <c r="L3726" s="14">
        <f>IF($J3726=0,0,ROUND(MAX($J3726*1.4,1620000*(1.497923^(MIN($E3726,123)-117)))*1,0))</f>
        <v>42669</v>
      </c>
      <c r="M3726" s="11">
        <f>$E3726+2</f>
        <v>110</v>
      </c>
      <c r="N3726" s="12">
        <f>IF($J3726=0,0,ROUND(MAX($J3726*1.4*1.5,2190000*(1.580994^(MIN($E3726,123)-117)))*1,0))</f>
        <v>35487</v>
      </c>
      <c r="O3726" s="13">
        <f>$E3726+4</f>
        <v>112</v>
      </c>
      <c r="P3726" s="14">
        <f>IF($J3726=0,0,ROUND(MAX($J3726*1.4*1.5*1.6,3500000*(1.57975^(MIN($E3726,123)-117)))*1,0))</f>
        <v>57118</v>
      </c>
      <c r="Q3726" s="11">
        <f>$E3726+6</f>
        <v>114</v>
      </c>
      <c r="R3726" s="12">
        <f>IF($J3726=0,0,ROUND(MAX($J3726*1.4*1.5*1.6*1.6,13100000*(1.429962^(MIN($E3726,123)-117)))*1,0))</f>
        <v>524024</v>
      </c>
      <c r="S3726" s="13">
        <f>$E3726+8</f>
        <v>116</v>
      </c>
      <c r="T3726" s="14">
        <f>IF($J3726=0,0,ROUND(MAX($J3726*1.4*1.5*1.6*1.6*2.2,42600000*(1.576904^(MIN($E3726,123)-117)))*1,0))</f>
        <v>706582</v>
      </c>
      <c r="U3726" s="11">
        <f>$E3726+11</f>
        <v>119</v>
      </c>
      <c r="V3726" s="12">
        <f>IF($J3726=0,0,ROUND(MAX($J3726*1.4*1.5*1.6*1.6*2.2*2.715,354000000*(1.642074^(MIN($E3726,123)-117)))*1,0))</f>
        <v>4078202</v>
      </c>
      <c r="W3726" s="13">
        <f>$E3726+15</f>
        <v>123</v>
      </c>
      <c r="X3726" s="14">
        <f>IF($J3726=0,0,ROUND(MAX($J3726*1.4*1.5*1.6*1.6*2.2*2.715*2.6,3540000000*(1.579646^(MIN($E3726,123)-117)))*1,0))</f>
        <v>57804988</v>
      </c>
      <c r="Y3726" s="11">
        <f>$E3726+17</f>
        <v>125</v>
      </c>
      <c r="Z3726" s="12">
        <f>IF($J3726=0,0,ROUND(MAX($J3726*1.4*1.5*1.6*1.6*2.2*2.715*2.6*1.4,6020000000*(1.651178^(MIN($E3726,123)-117)))*1,0))</f>
        <v>65985946</v>
      </c>
      <c r="AA3726" s="13">
        <f>$E3726+19</f>
        <v>127</v>
      </c>
      <c r="AB3726" s="14">
        <f>IF($J3726=0,0,ROUND(MAX($J3726*1.4*1.5*1.6*1.6*2.2*2.715*2.6*1.4*1.4,8430000000*(1.651435^(MIN($E3726,123)-117)))*1,0))</f>
        <v>92272909</v>
      </c>
      <c r="AC3726" s="11">
        <f>$E3726+21</f>
        <v>129</v>
      </c>
      <c r="AD3726" s="12">
        <f>IF($J3726=0,0,ROUND(MAX($J3726*1.4*1.5*1.6*1.6*2.2*2.715*2.6*1.4*1.4*1.5,12600000000*(1.652953^(MIN($E3726,123)-117)))*1,0))</f>
        <v>136781071</v>
      </c>
      <c r="AE3726" s="13">
        <f>$E3726+24</f>
        <v>132</v>
      </c>
      <c r="AF3726" s="14">
        <f>IF($J3726=0,0,ROUND(MAX($J3726*1.4*1.5*1.6*1.6*2.2*2.715*2.6*1.4*1.4*1.5*1.5,18900000000*(1.65331^(MIN($E3726,123)-117)))*1,0))</f>
        <v>204773225</v>
      </c>
      <c r="AG3726" s="11">
        <f>$E3726+27</f>
        <v>135</v>
      </c>
      <c r="AH3726" s="12">
        <f>IF($J3726=0,0,ROUND(MAX($J3726*1.4*1.5*1.6*1.6*2.2*2.715*2.6*1.4*1.4*1.5*1.5*3.2,60500000000*(1.654288^(MIN($E3726,123)-117)))*1,0))</f>
        <v>652011566</v>
      </c>
    </row>
    <row r="3727" ht="28" customHeight="1" spans="1:34" x14ac:dyDescent="0.25">
      <c r="A3727">
        <v>3737</v>
      </c>
      <c r="B3727" t="s">
        <v>58</v>
      </c>
      <c r="C3727" s="10" t="s">
        <v>1834</v>
      </c>
      <c r="D3727" t="s">
        <v>29</v>
      </c>
      <c r="E3727">
        <v>114</v>
      </c>
      <c r="F3727" t="s">
        <v>59</v>
      </c>
      <c r="G3727" t="s">
        <v>562</v>
      </c>
      <c r="H3727">
        <v>29</v>
      </c>
      <c r="I3727" s="11">
        <f>$E3727+0</f>
        <v>114</v>
      </c>
      <c r="J3727" s="12">
        <v>235000</v>
      </c>
      <c r="K3727" s="13">
        <f>$E3727+1</f>
        <v>115</v>
      </c>
      <c r="L3727" s="14">
        <f>IF($J3727=0,0,ROUND(MAX($J3727*1.4,1620000*(1.497923^(MIN($E3727,123)-117)))*1,0))</f>
        <v>481999</v>
      </c>
      <c r="M3727" s="11">
        <f>$E3727+2</f>
        <v>116</v>
      </c>
      <c r="N3727" s="12">
        <f>IF($J3727=0,0,ROUND(MAX($J3727*1.4*1.5,2190000*(1.580994^(MIN($E3727,123)-117)))*1,0))</f>
        <v>554183</v>
      </c>
      <c r="O3727" s="13">
        <f>$E3727+4</f>
        <v>118</v>
      </c>
      <c r="P3727" s="14">
        <f>IF($J3727=0,0,ROUND(MAX($J3727*1.4*1.5*1.6,3500000*(1.57975^(MIN($E3727,123)-117)))*1,0))</f>
        <v>887775</v>
      </c>
      <c r="Q3727" s="11">
        <f>$E3727+6</f>
        <v>120</v>
      </c>
      <c r="R3727" s="12">
        <f>IF($J3727=0,0,ROUND(MAX($J3727*1.4*1.5*1.6*1.6,13100000*(1.429962^(MIN($E3727,123)-117)))*1,0))</f>
        <v>4480204</v>
      </c>
      <c r="S3727" s="13">
        <f>$E3727+8</f>
        <v>122</v>
      </c>
      <c r="T3727" s="14">
        <f>IF($J3727=0,0,ROUND(MAX($J3727*1.4*1.5*1.6*1.6*2.2,42600000*(1.576904^(MIN($E3727,123)-117)))*1,0))</f>
        <v>10864102</v>
      </c>
      <c r="U3727" s="11">
        <f>$E3727+11</f>
        <v>125</v>
      </c>
      <c r="V3727" s="12">
        <f>IF($J3727=0,0,ROUND(MAX($J3727*1.4*1.5*1.6*1.6*2.2*2.715,354000000*(1.642074^(MIN($E3727,123)-117)))*1,0))</f>
        <v>79951219</v>
      </c>
      <c r="W3727" s="13">
        <f>$E3727+15</f>
        <v>129</v>
      </c>
      <c r="X3727" s="14">
        <f>IF($J3727=0,0,ROUND(MAX($J3727*1.4*1.5*1.6*1.6*2.2*2.715*2.6,3540000000*(1.579646^(MIN($E3727,123)-117)))*1,0))</f>
        <v>898098448</v>
      </c>
      <c r="Y3727" s="11">
        <f>$E3727+17</f>
        <v>131</v>
      </c>
      <c r="Z3727" s="12">
        <f>IF($J3727=0,0,ROUND(MAX($J3727*1.4*1.5*1.6*1.6*2.2*2.715*2.6*1.4,6020000000*(1.651178^(MIN($E3727,123)-117)))*1,0))</f>
        <v>1337256787</v>
      </c>
      <c r="AA3727" s="13">
        <f>$E3727+19</f>
        <v>133</v>
      </c>
      <c r="AB3727" s="14">
        <f>IF($J3727=0,0,ROUND(MAX($J3727*1.4*1.5*1.6*1.6*2.2*2.715*2.6*1.4*1.4,8430000000*(1.651435^(MIN($E3727,123)-117)))*1,0))</f>
        <v>1871729653</v>
      </c>
      <c r="AC3727" s="11">
        <f>$E3727+21</f>
        <v>135</v>
      </c>
      <c r="AD3727" s="12">
        <f>IF($J3727=0,0,ROUND(MAX($J3727*1.4*1.5*1.6*1.6*2.2*2.715*2.6*1.4*1.4*1.5,12600000000*(1.652953^(MIN($E3727,123)-117)))*1,0))</f>
        <v>2789902525</v>
      </c>
      <c r="AE3727" s="13">
        <f>$E3727+24</f>
        <v>138</v>
      </c>
      <c r="AF3727" s="14">
        <f>IF($J3727=0,0,ROUND(MAX($J3727*1.4*1.5*1.6*1.6*2.2*2.715*2.6*1.4*1.4*1.5*1.5,18900000000*(1.65331^(MIN($E3727,123)-117)))*1,0))</f>
        <v>4182143461</v>
      </c>
      <c r="AG3727" s="11">
        <f>$E3727+27</f>
        <v>141</v>
      </c>
      <c r="AH3727" s="12">
        <f>IF($J3727=0,0,ROUND(MAX($J3727*1.4*1.5*1.6*1.6*2.2*2.715*2.6*1.4*1.4*1.5*1.5*3.2,60500000000*(1.654288^(MIN($E3727,123)-117)))*1,0))</f>
        <v>13363555336</v>
      </c>
    </row>
    <row r="3728" ht="28" customHeight="1" spans="1:34" x14ac:dyDescent="0.25">
      <c r="A3728">
        <v>3738</v>
      </c>
      <c r="B3728" t="s">
        <v>63</v>
      </c>
      <c r="C3728" s="10" t="s">
        <v>1834</v>
      </c>
      <c r="D3728" t="s">
        <v>64</v>
      </c>
      <c r="E3728">
        <v>114</v>
      </c>
      <c r="F3728" t="s">
        <v>65</v>
      </c>
      <c r="G3728" t="s">
        <v>562</v>
      </c>
      <c r="H3728">
        <v>28</v>
      </c>
      <c r="I3728" s="11">
        <f>$E3728+0</f>
        <v>114</v>
      </c>
      <c r="J3728" s="12">
        <v>387000</v>
      </c>
      <c r="K3728" s="13">
        <f>$E3728+1</f>
        <v>115</v>
      </c>
      <c r="L3728" s="14">
        <f>IF($J3728=0,0,ROUND(MAX($J3728*1.4,1620000*(1.497923^(MIN($E3728,123)-117)))*1,0))</f>
        <v>541800</v>
      </c>
      <c r="M3728" s="11">
        <f>$E3728+2</f>
        <v>116</v>
      </c>
      <c r="N3728" s="12">
        <f>IF($J3728=0,0,ROUND(MAX($J3728*1.4*1.5,2190000*(1.580994^(MIN($E3728,123)-117)))*1,0))</f>
        <v>812700</v>
      </c>
      <c r="O3728" s="13">
        <f>$E3728+4</f>
        <v>118</v>
      </c>
      <c r="P3728" s="14">
        <f>IF($J3728=0,0,ROUND(MAX($J3728*1.4*1.5*1.6,3500000*(1.57975^(MIN($E3728,123)-117)))*1,0))</f>
        <v>1300320</v>
      </c>
      <c r="Q3728" s="11">
        <f>$E3728+6</f>
        <v>120</v>
      </c>
      <c r="R3728" s="12">
        <f>IF($J3728=0,0,ROUND(MAX($J3728*1.4*1.5*1.6*1.6,13100000*(1.429962^(MIN($E3728,123)-117)))*1,0))</f>
        <v>4480204</v>
      </c>
      <c r="S3728" s="13">
        <f>$E3728+8</f>
        <v>122</v>
      </c>
      <c r="T3728" s="14">
        <f>IF($J3728=0,0,ROUND(MAX($J3728*1.4*1.5*1.6*1.6*2.2,42600000*(1.576904^(MIN($E3728,123)-117)))*1,0))</f>
        <v>10864102</v>
      </c>
      <c r="U3728" s="11">
        <f>$E3728+11</f>
        <v>125</v>
      </c>
      <c r="V3728" s="12">
        <f>IF($J3728=0,0,ROUND(MAX($J3728*1.4*1.5*1.6*1.6*2.2*2.715,354000000*(1.642074^(MIN($E3728,123)-117)))*1,0))</f>
        <v>79951219</v>
      </c>
      <c r="W3728" s="13">
        <f>$E3728+15</f>
        <v>129</v>
      </c>
      <c r="X3728" s="14">
        <f>IF($J3728=0,0,ROUND(MAX($J3728*1.4*1.5*1.6*1.6*2.2*2.715*2.6,3540000000*(1.579646^(MIN($E3728,123)-117)))*1,0))</f>
        <v>898098448</v>
      </c>
      <c r="Y3728" s="11">
        <f>$E3728+17</f>
        <v>131</v>
      </c>
      <c r="Z3728" s="12">
        <f>IF($J3728=0,0,ROUND(MAX($J3728*1.4*1.5*1.6*1.6*2.2*2.715*2.6*1.4,6020000000*(1.651178^(MIN($E3728,123)-117)))*1,0))</f>
        <v>1337256787</v>
      </c>
      <c r="AA3728" s="13">
        <f>$E3728+19</f>
        <v>133</v>
      </c>
      <c r="AB3728" s="14">
        <f>IF($J3728=0,0,ROUND(MAX($J3728*1.4*1.5*1.6*1.6*2.2*2.715*2.6*1.4*1.4,8430000000*(1.651435^(MIN($E3728,123)-117)))*1,0))</f>
        <v>1871729653</v>
      </c>
      <c r="AC3728" s="11">
        <f>$E3728+21</f>
        <v>135</v>
      </c>
      <c r="AD3728" s="12">
        <f>IF($J3728=0,0,ROUND(MAX($J3728*1.4*1.5*1.6*1.6*2.2*2.715*2.6*1.4*1.4*1.5,12600000000*(1.652953^(MIN($E3728,123)-117)))*1,0))</f>
        <v>2789902525</v>
      </c>
      <c r="AE3728" s="13">
        <f>$E3728+24</f>
        <v>138</v>
      </c>
      <c r="AF3728" s="14">
        <f>IF($J3728=0,0,ROUND(MAX($J3728*1.4*1.5*1.6*1.6*2.2*2.715*2.6*1.4*1.4*1.5*1.5,18900000000*(1.65331^(MIN($E3728,123)-117)))*1,0))</f>
        <v>4182143461</v>
      </c>
      <c r="AG3728" s="11">
        <f>$E3728+27</f>
        <v>141</v>
      </c>
      <c r="AH3728" s="12">
        <f>IF($J3728=0,0,ROUND(MAX($J3728*1.4*1.5*1.6*1.6*2.2*2.715*2.6*1.4*1.4*1.5*1.5*3.2,60500000000*(1.654288^(MIN($E3728,123)-117)))*1,0))</f>
        <v>13363555336</v>
      </c>
    </row>
    <row r="3729" ht="28" customHeight="1" spans="1:34" x14ac:dyDescent="0.25">
      <c r="A3729">
        <v>3739</v>
      </c>
      <c r="B3729" t="s">
        <v>78</v>
      </c>
      <c r="C3729" s="10" t="s">
        <v>1834</v>
      </c>
      <c r="D3729" t="s">
        <v>79</v>
      </c>
      <c r="E3729">
        <v>114</v>
      </c>
      <c r="F3729" t="s">
        <v>30</v>
      </c>
      <c r="G3729" t="s">
        <v>562</v>
      </c>
      <c r="H3729">
        <v>28</v>
      </c>
      <c r="I3729" s="11">
        <f>$E3729+0</f>
        <v>114</v>
      </c>
      <c r="J3729" s="12">
        <v>249000</v>
      </c>
      <c r="K3729" s="13">
        <f>$E3729+1</f>
        <v>115</v>
      </c>
      <c r="L3729" s="14">
        <f>IF($J3729=0,0,ROUND(MAX($J3729*1.4,1620000*(1.497923^(MIN($E3729,123)-117)))*1,0))</f>
        <v>481999</v>
      </c>
      <c r="M3729" s="11">
        <f>$E3729+2</f>
        <v>116</v>
      </c>
      <c r="N3729" s="12">
        <f>IF($J3729=0,0,ROUND(MAX($J3729*1.4*1.5,2190000*(1.580994^(MIN($E3729,123)-117)))*1,0))</f>
        <v>554183</v>
      </c>
      <c r="O3729" s="13">
        <f>$E3729+4</f>
        <v>118</v>
      </c>
      <c r="P3729" s="14">
        <f>IF($J3729=0,0,ROUND(MAX($J3729*1.4*1.5*1.6,3500000*(1.57975^(MIN($E3729,123)-117)))*1,0))</f>
        <v>887775</v>
      </c>
      <c r="Q3729" s="11">
        <f>$E3729+6</f>
        <v>120</v>
      </c>
      <c r="R3729" s="12">
        <f>IF($J3729=0,0,ROUND(MAX($J3729*1.4*1.5*1.6*1.6,13100000*(1.429962^(MIN($E3729,123)-117)))*1,0))</f>
        <v>4480204</v>
      </c>
      <c r="S3729" s="13">
        <f>$E3729+8</f>
        <v>122</v>
      </c>
      <c r="T3729" s="14">
        <f>IF($J3729=0,0,ROUND(MAX($J3729*1.4*1.5*1.6*1.6*2.2,42600000*(1.576904^(MIN($E3729,123)-117)))*1,0))</f>
        <v>10864102</v>
      </c>
      <c r="U3729" s="11">
        <f>$E3729+11</f>
        <v>125</v>
      </c>
      <c r="V3729" s="12">
        <f>IF($J3729=0,0,ROUND(MAX($J3729*1.4*1.5*1.6*1.6*2.2*2.715,354000000*(1.642074^(MIN($E3729,123)-117)))*1,0))</f>
        <v>79951219</v>
      </c>
      <c r="W3729" s="13">
        <f>$E3729+15</f>
        <v>129</v>
      </c>
      <c r="X3729" s="14">
        <f>IF($J3729=0,0,ROUND(MAX($J3729*1.4*1.5*1.6*1.6*2.2*2.715*2.6,3540000000*(1.579646^(MIN($E3729,123)-117)))*1,0))</f>
        <v>898098448</v>
      </c>
      <c r="Y3729" s="11">
        <f>$E3729+17</f>
        <v>131</v>
      </c>
      <c r="Z3729" s="12">
        <f>IF($J3729=0,0,ROUND(MAX($J3729*1.4*1.5*1.6*1.6*2.2*2.715*2.6*1.4,6020000000*(1.651178^(MIN($E3729,123)-117)))*1,0))</f>
        <v>1337256787</v>
      </c>
      <c r="AA3729" s="13">
        <f>$E3729+19</f>
        <v>133</v>
      </c>
      <c r="AB3729" s="14">
        <f>IF($J3729=0,0,ROUND(MAX($J3729*1.4*1.5*1.6*1.6*2.2*2.715*2.6*1.4*1.4,8430000000*(1.651435^(MIN($E3729,123)-117)))*1,0))</f>
        <v>1871729653</v>
      </c>
      <c r="AC3729" s="11">
        <f>$E3729+21</f>
        <v>135</v>
      </c>
      <c r="AD3729" s="12">
        <f>IF($J3729=0,0,ROUND(MAX($J3729*1.4*1.5*1.6*1.6*2.2*2.715*2.6*1.4*1.4*1.5,12600000000*(1.652953^(MIN($E3729,123)-117)))*1,0))</f>
        <v>2789902525</v>
      </c>
      <c r="AE3729" s="13">
        <f>$E3729+24</f>
        <v>138</v>
      </c>
      <c r="AF3729" s="14">
        <f>IF($J3729=0,0,ROUND(MAX($J3729*1.4*1.5*1.6*1.6*2.2*2.715*2.6*1.4*1.4*1.5*1.5,18900000000*(1.65331^(MIN($E3729,123)-117)))*1,0))</f>
        <v>4182143461</v>
      </c>
      <c r="AG3729" s="11">
        <f>$E3729+27</f>
        <v>141</v>
      </c>
      <c r="AH3729" s="12">
        <f>IF($J3729=0,0,ROUND(MAX($J3729*1.4*1.5*1.6*1.6*2.2*2.715*2.6*1.4*1.4*1.5*1.5*3.2,60500000000*(1.654288^(MIN($E3729,123)-117)))*1,0))</f>
        <v>13363555336</v>
      </c>
    </row>
    <row r="3730" ht="28" customHeight="1" spans="1:34" x14ac:dyDescent="0.25">
      <c r="A3730">
        <v>3740</v>
      </c>
      <c r="B3730" t="s">
        <v>73</v>
      </c>
      <c r="C3730" s="10" t="s">
        <v>1834</v>
      </c>
      <c r="D3730" t="s">
        <v>64</v>
      </c>
      <c r="E3730">
        <v>113</v>
      </c>
      <c r="F3730" t="s">
        <v>30</v>
      </c>
      <c r="G3730" t="s">
        <v>562</v>
      </c>
      <c r="H3730">
        <v>28</v>
      </c>
      <c r="I3730" s="11">
        <f>$E3730+0</f>
        <v>113</v>
      </c>
      <c r="J3730" s="12">
        <v>229000</v>
      </c>
      <c r="K3730" s="13">
        <f>$E3730+1</f>
        <v>114</v>
      </c>
      <c r="L3730" s="14">
        <f>IF($J3730=0,0,ROUND(MAX($J3730*1.4,1620000*(1.497923^(MIN($E3730,123)-117)))*1,0))</f>
        <v>321779</v>
      </c>
      <c r="M3730" s="11">
        <f>$E3730+2</f>
        <v>115</v>
      </c>
      <c r="N3730" s="12">
        <f>IF($J3730=0,0,ROUND(MAX($J3730*1.4*1.5,2190000*(1.580994^(MIN($E3730,123)-117)))*1,0))</f>
        <v>480900</v>
      </c>
      <c r="O3730" s="13">
        <f>$E3730+4</f>
        <v>117</v>
      </c>
      <c r="P3730" s="14">
        <f>IF($J3730=0,0,ROUND(MAX($J3730*1.4*1.5*1.6,3500000*(1.57975^(MIN($E3730,123)-117)))*1,0))</f>
        <v>769440</v>
      </c>
      <c r="Q3730" s="11">
        <f>$E3730+6</f>
        <v>119</v>
      </c>
      <c r="R3730" s="12">
        <f>IF($J3730=0,0,ROUND(MAX($J3730*1.4*1.5*1.6*1.6,13100000*(1.429962^(MIN($E3730,123)-117)))*1,0))</f>
        <v>3133093</v>
      </c>
      <c r="S3730" s="13">
        <f>$E3730+8</f>
        <v>121</v>
      </c>
      <c r="T3730" s="14">
        <f>IF($J3730=0,0,ROUND(MAX($J3730*1.4*1.5*1.6*1.6*2.2,42600000*(1.576904^(MIN($E3730,123)-117)))*1,0))</f>
        <v>6889514</v>
      </c>
      <c r="U3730" s="11">
        <f>$E3730+11</f>
        <v>124</v>
      </c>
      <c r="V3730" s="12">
        <f>IF($J3730=0,0,ROUND(MAX($J3730*1.4*1.5*1.6*1.6*2.2*2.715,354000000*(1.642074^(MIN($E3730,123)-117)))*1,0))</f>
        <v>48689169</v>
      </c>
      <c r="W3730" s="13">
        <f>$E3730+15</f>
        <v>128</v>
      </c>
      <c r="X3730" s="14">
        <f>IF($J3730=0,0,ROUND(MAX($J3730*1.4*1.5*1.6*1.6*2.2*2.715*2.6,3540000000*(1.579646^(MIN($E3730,123)-117)))*1,0))</f>
        <v>568544122</v>
      </c>
      <c r="Y3730" s="11">
        <f>$E3730+17</f>
        <v>130</v>
      </c>
      <c r="Z3730" s="12">
        <f>IF($J3730=0,0,ROUND(MAX($J3730*1.4*1.5*1.6*1.6*2.2*2.715*2.6*1.4,6020000000*(1.651178^(MIN($E3730,123)-117)))*1,0))</f>
        <v>809880453</v>
      </c>
      <c r="AA3730" s="13">
        <f>$E3730+19</f>
        <v>132</v>
      </c>
      <c r="AB3730" s="14">
        <f>IF($J3730=0,0,ROUND(MAX($J3730*1.4*1.5*1.6*1.6*2.2*2.715*2.6*1.4*1.4,8430000000*(1.651435^(MIN($E3730,123)-117)))*1,0))</f>
        <v>1133395897</v>
      </c>
      <c r="AC3730" s="11">
        <f>$E3730+21</f>
        <v>134</v>
      </c>
      <c r="AD3730" s="12">
        <f>IF($J3730=0,0,ROUND(MAX($J3730*1.4*1.5*1.6*1.6*2.2*2.715*2.6*1.4*1.4*1.5,12600000000*(1.652953^(MIN($E3730,123)-117)))*1,0))</f>
        <v>1687829312</v>
      </c>
      <c r="AE3730" s="13">
        <f>$E3730+24</f>
        <v>137</v>
      </c>
      <c r="AF3730" s="14">
        <f>IF($J3730=0,0,ROUND(MAX($J3730*1.4*1.5*1.6*1.6*2.2*2.715*2.6*1.4*1.4*1.5*1.5,18900000000*(1.65331^(MIN($E3730,123)-117)))*1,0))</f>
        <v>2529557954</v>
      </c>
      <c r="AG3730" s="11">
        <f>$E3730+27</f>
        <v>140</v>
      </c>
      <c r="AH3730" s="12">
        <f>IF($J3730=0,0,ROUND(MAX($J3730*1.4*1.5*1.6*1.6*2.2*2.715*2.6*1.4*1.4*1.5*1.5*3.2,60500000000*(1.654288^(MIN($E3730,123)-117)))*1,0))</f>
        <v>8078131097</v>
      </c>
    </row>
    <row r="3731" ht="28" customHeight="1" spans="1:34" x14ac:dyDescent="0.25">
      <c r="A3731">
        <v>3741</v>
      </c>
      <c r="B3731" t="s">
        <v>107</v>
      </c>
      <c r="C3731" s="10" t="s">
        <v>1834</v>
      </c>
      <c r="D3731" t="s">
        <v>40</v>
      </c>
      <c r="E3731">
        <v>113</v>
      </c>
      <c r="F3731" t="s">
        <v>108</v>
      </c>
      <c r="G3731" t="s">
        <v>562</v>
      </c>
      <c r="H3731">
        <v>28</v>
      </c>
      <c r="I3731" s="11">
        <f>$E3731+0</f>
        <v>113</v>
      </c>
      <c r="J3731" s="12">
        <v>309000</v>
      </c>
      <c r="K3731" s="13">
        <f>$E3731+1</f>
        <v>114</v>
      </c>
      <c r="L3731" s="14">
        <f>IF($J3731=0,0,ROUND(MAX($J3731*1.4,1620000*(1.497923^(MIN($E3731,123)-117)))*1,0))</f>
        <v>432600</v>
      </c>
      <c r="M3731" s="11">
        <f>$E3731+2</f>
        <v>115</v>
      </c>
      <c r="N3731" s="12">
        <f>IF($J3731=0,0,ROUND(MAX($J3731*1.4*1.5,2190000*(1.580994^(MIN($E3731,123)-117)))*1,0))</f>
        <v>648900</v>
      </c>
      <c r="O3731" s="13">
        <f>$E3731+4</f>
        <v>117</v>
      </c>
      <c r="P3731" s="14">
        <f>IF($J3731=0,0,ROUND(MAX($J3731*1.4*1.5*1.6,3500000*(1.57975^(MIN($E3731,123)-117)))*1,0))</f>
        <v>1038240</v>
      </c>
      <c r="Q3731" s="11">
        <f>$E3731+6</f>
        <v>119</v>
      </c>
      <c r="R3731" s="12">
        <f>IF($J3731=0,0,ROUND(MAX($J3731*1.4*1.5*1.6*1.6,13100000*(1.429962^(MIN($E3731,123)-117)))*1,0))</f>
        <v>3133093</v>
      </c>
      <c r="S3731" s="13">
        <f>$E3731+8</f>
        <v>121</v>
      </c>
      <c r="T3731" s="14">
        <f>IF($J3731=0,0,ROUND(MAX($J3731*1.4*1.5*1.6*1.6*2.2,42600000*(1.576904^(MIN($E3731,123)-117)))*1,0))</f>
        <v>6889514</v>
      </c>
      <c r="U3731" s="11">
        <f>$E3731+11</f>
        <v>124</v>
      </c>
      <c r="V3731" s="12">
        <f>IF($J3731=0,0,ROUND(MAX($J3731*1.4*1.5*1.6*1.6*2.2*2.715,354000000*(1.642074^(MIN($E3731,123)-117)))*1,0))</f>
        <v>48689169</v>
      </c>
      <c r="W3731" s="13">
        <f>$E3731+15</f>
        <v>128</v>
      </c>
      <c r="X3731" s="14">
        <f>IF($J3731=0,0,ROUND(MAX($J3731*1.4*1.5*1.6*1.6*2.2*2.715*2.6,3540000000*(1.579646^(MIN($E3731,123)-117)))*1,0))</f>
        <v>568544122</v>
      </c>
      <c r="Y3731" s="11">
        <f>$E3731+17</f>
        <v>130</v>
      </c>
      <c r="Z3731" s="12">
        <f>IF($J3731=0,0,ROUND(MAX($J3731*1.4*1.5*1.6*1.6*2.2*2.715*2.6*1.4,6020000000*(1.651178^(MIN($E3731,123)-117)))*1,0))</f>
        <v>809880453</v>
      </c>
      <c r="AA3731" s="13">
        <f>$E3731+19</f>
        <v>132</v>
      </c>
      <c r="AB3731" s="14">
        <f>IF($J3731=0,0,ROUND(MAX($J3731*1.4*1.5*1.6*1.6*2.2*2.715*2.6*1.4*1.4,8430000000*(1.651435^(MIN($E3731,123)-117)))*1,0))</f>
        <v>1133395897</v>
      </c>
      <c r="AC3731" s="11">
        <f>$E3731+21</f>
        <v>134</v>
      </c>
      <c r="AD3731" s="12">
        <f>IF($J3731=0,0,ROUND(MAX($J3731*1.4*1.5*1.6*1.6*2.2*2.715*2.6*1.4*1.4*1.5,12600000000*(1.652953^(MIN($E3731,123)-117)))*1,0))</f>
        <v>1687829312</v>
      </c>
      <c r="AE3731" s="13">
        <f>$E3731+24</f>
        <v>137</v>
      </c>
      <c r="AF3731" s="14">
        <f>IF($J3731=0,0,ROUND(MAX($J3731*1.4*1.5*1.6*1.6*2.2*2.715*2.6*1.4*1.4*1.5*1.5,18900000000*(1.65331^(MIN($E3731,123)-117)))*1,0))</f>
        <v>2529557954</v>
      </c>
      <c r="AG3731" s="11">
        <f>$E3731+27</f>
        <v>140</v>
      </c>
      <c r="AH3731" s="12">
        <f>IF($J3731=0,0,ROUND(MAX($J3731*1.4*1.5*1.6*1.6*2.2*2.715*2.6*1.4*1.4*1.5*1.5*3.2,60500000000*(1.654288^(MIN($E3731,123)-117)))*1,0))</f>
        <v>8078131097</v>
      </c>
    </row>
    <row r="3732" ht="28" customHeight="1" spans="1:34" x14ac:dyDescent="0.25">
      <c r="A3732">
        <v>3742</v>
      </c>
      <c r="B3732" t="s">
        <v>96</v>
      </c>
      <c r="C3732" s="10" t="s">
        <v>1834</v>
      </c>
      <c r="D3732" t="s">
        <v>40</v>
      </c>
      <c r="E3732">
        <v>113</v>
      </c>
      <c r="F3732" t="s">
        <v>97</v>
      </c>
      <c r="G3732" t="s">
        <v>562</v>
      </c>
      <c r="H3732">
        <v>28</v>
      </c>
      <c r="I3732" s="11">
        <f>$E3732+0</f>
        <v>113</v>
      </c>
      <c r="J3732" s="12">
        <v>129000</v>
      </c>
      <c r="K3732" s="13">
        <f>$E3732+1</f>
        <v>114</v>
      </c>
      <c r="L3732" s="14">
        <f>IF($J3732=0,0,ROUND(MAX($J3732*1.4,1620000*(1.497923^(MIN($E3732,123)-117)))*1,0))</f>
        <v>321779</v>
      </c>
      <c r="M3732" s="11">
        <f>$E3732+2</f>
        <v>115</v>
      </c>
      <c r="N3732" s="12">
        <f>IF($J3732=0,0,ROUND(MAX($J3732*1.4*1.5,2190000*(1.580994^(MIN($E3732,123)-117)))*1,0))</f>
        <v>350528</v>
      </c>
      <c r="O3732" s="13">
        <f>$E3732+4</f>
        <v>117</v>
      </c>
      <c r="P3732" s="14">
        <f>IF($J3732=0,0,ROUND(MAX($J3732*1.4*1.5*1.6,3500000*(1.57975^(MIN($E3732,123)-117)))*1,0))</f>
        <v>561972</v>
      </c>
      <c r="Q3732" s="11">
        <f>$E3732+6</f>
        <v>119</v>
      </c>
      <c r="R3732" s="12">
        <f>IF($J3732=0,0,ROUND(MAX($J3732*1.4*1.5*1.6*1.6,13100000*(1.429962^(MIN($E3732,123)-117)))*1,0))</f>
        <v>3133093</v>
      </c>
      <c r="S3732" s="13">
        <f>$E3732+8</f>
        <v>121</v>
      </c>
      <c r="T3732" s="14">
        <f>IF($J3732=0,0,ROUND(MAX($J3732*1.4*1.5*1.6*1.6*2.2,42600000*(1.576904^(MIN($E3732,123)-117)))*1,0))</f>
        <v>6889514</v>
      </c>
      <c r="U3732" s="11">
        <f>$E3732+11</f>
        <v>124</v>
      </c>
      <c r="V3732" s="12">
        <f>IF($J3732=0,0,ROUND(MAX($J3732*1.4*1.5*1.6*1.6*2.2*2.715,354000000*(1.642074^(MIN($E3732,123)-117)))*1,0))</f>
        <v>48689169</v>
      </c>
      <c r="W3732" s="13">
        <f>$E3732+15</f>
        <v>128</v>
      </c>
      <c r="X3732" s="14">
        <f>IF($J3732=0,0,ROUND(MAX($J3732*1.4*1.5*1.6*1.6*2.2*2.715*2.6,3540000000*(1.579646^(MIN($E3732,123)-117)))*1,0))</f>
        <v>568544122</v>
      </c>
      <c r="Y3732" s="11">
        <f>$E3732+17</f>
        <v>130</v>
      </c>
      <c r="Z3732" s="12">
        <f>IF($J3732=0,0,ROUND(MAX($J3732*1.4*1.5*1.6*1.6*2.2*2.715*2.6*1.4,6020000000*(1.651178^(MIN($E3732,123)-117)))*1,0))</f>
        <v>809880453</v>
      </c>
      <c r="AA3732" s="13">
        <f>$E3732+19</f>
        <v>132</v>
      </c>
      <c r="AB3732" s="14">
        <f>IF($J3732=0,0,ROUND(MAX($J3732*1.4*1.5*1.6*1.6*2.2*2.715*2.6*1.4*1.4,8430000000*(1.651435^(MIN($E3732,123)-117)))*1,0))</f>
        <v>1133395897</v>
      </c>
      <c r="AC3732" s="11">
        <f>$E3732+21</f>
        <v>134</v>
      </c>
      <c r="AD3732" s="12">
        <f>IF($J3732=0,0,ROUND(MAX($J3732*1.4*1.5*1.6*1.6*2.2*2.715*2.6*1.4*1.4*1.5,12600000000*(1.652953^(MIN($E3732,123)-117)))*1,0))</f>
        <v>1687829312</v>
      </c>
      <c r="AE3732" s="13">
        <f>$E3732+24</f>
        <v>137</v>
      </c>
      <c r="AF3732" s="14">
        <f>IF($J3732=0,0,ROUND(MAX($J3732*1.4*1.5*1.6*1.6*2.2*2.715*2.6*1.4*1.4*1.5*1.5,18900000000*(1.65331^(MIN($E3732,123)-117)))*1,0))</f>
        <v>2529557954</v>
      </c>
      <c r="AG3732" s="11">
        <f>$E3732+27</f>
        <v>140</v>
      </c>
      <c r="AH3732" s="12">
        <f>IF($J3732=0,0,ROUND(MAX($J3732*1.4*1.5*1.6*1.6*2.2*2.715*2.6*1.4*1.4*1.5*1.5*3.2,60500000000*(1.654288^(MIN($E3732,123)-117)))*1,0))</f>
        <v>8078131097</v>
      </c>
    </row>
    <row r="3733" ht="28" customHeight="1" spans="1:34" x14ac:dyDescent="0.25">
      <c r="A3733">
        <v>3743</v>
      </c>
      <c r="B3733" t="s">
        <v>115</v>
      </c>
      <c r="C3733" s="10" t="s">
        <v>1834</v>
      </c>
      <c r="D3733" t="s">
        <v>40</v>
      </c>
      <c r="E3733">
        <v>113</v>
      </c>
      <c r="F3733" t="s">
        <v>116</v>
      </c>
      <c r="G3733" t="s">
        <v>562</v>
      </c>
      <c r="H3733">
        <v>27</v>
      </c>
      <c r="I3733" s="11">
        <f>$E3733+0</f>
        <v>113</v>
      </c>
      <c r="J3733" s="12">
        <v>255000</v>
      </c>
      <c r="K3733" s="13">
        <f>$E3733+1</f>
        <v>114</v>
      </c>
      <c r="L3733" s="14">
        <f>IF($J3733=0,0,ROUND(MAX($J3733*1.4,1620000*(1.497923^(MIN($E3733,123)-117)))*1,0))</f>
        <v>357000</v>
      </c>
      <c r="M3733" s="11">
        <f>$E3733+2</f>
        <v>115</v>
      </c>
      <c r="N3733" s="12">
        <f>IF($J3733=0,0,ROUND(MAX($J3733*1.4*1.5,2190000*(1.580994^(MIN($E3733,123)-117)))*1,0))</f>
        <v>535500</v>
      </c>
      <c r="O3733" s="13">
        <f>$E3733+4</f>
        <v>117</v>
      </c>
      <c r="P3733" s="14">
        <f>IF($J3733=0,0,ROUND(MAX($J3733*1.4*1.5*1.6,3500000*(1.57975^(MIN($E3733,123)-117)))*1,0))</f>
        <v>856800</v>
      </c>
      <c r="Q3733" s="11">
        <f>$E3733+6</f>
        <v>119</v>
      </c>
      <c r="R3733" s="12">
        <f>IF($J3733=0,0,ROUND(MAX($J3733*1.4*1.5*1.6*1.6,13100000*(1.429962^(MIN($E3733,123)-117)))*1,0))</f>
        <v>3133093</v>
      </c>
      <c r="S3733" s="13">
        <f>$E3733+8</f>
        <v>121</v>
      </c>
      <c r="T3733" s="14">
        <f>IF($J3733=0,0,ROUND(MAX($J3733*1.4*1.5*1.6*1.6*2.2,42600000*(1.576904^(MIN($E3733,123)-117)))*1,0))</f>
        <v>6889514</v>
      </c>
      <c r="U3733" s="11">
        <f>$E3733+11</f>
        <v>124</v>
      </c>
      <c r="V3733" s="12">
        <f>IF($J3733=0,0,ROUND(MAX($J3733*1.4*1.5*1.6*1.6*2.2*2.715,354000000*(1.642074^(MIN($E3733,123)-117)))*1,0))</f>
        <v>48689169</v>
      </c>
      <c r="W3733" s="13">
        <f>$E3733+15</f>
        <v>128</v>
      </c>
      <c r="X3733" s="14">
        <f>IF($J3733=0,0,ROUND(MAX($J3733*1.4*1.5*1.6*1.6*2.2*2.715*2.6,3540000000*(1.579646^(MIN($E3733,123)-117)))*1,0))</f>
        <v>568544122</v>
      </c>
      <c r="Y3733" s="11">
        <f>$E3733+17</f>
        <v>130</v>
      </c>
      <c r="Z3733" s="12">
        <f>IF($J3733=0,0,ROUND(MAX($J3733*1.4*1.5*1.6*1.6*2.2*2.715*2.6*1.4,6020000000*(1.651178^(MIN($E3733,123)-117)))*1,0))</f>
        <v>809880453</v>
      </c>
      <c r="AA3733" s="13">
        <f>$E3733+19</f>
        <v>132</v>
      </c>
      <c r="AB3733" s="14">
        <f>IF($J3733=0,0,ROUND(MAX($J3733*1.4*1.5*1.6*1.6*2.2*2.715*2.6*1.4*1.4,8430000000*(1.651435^(MIN($E3733,123)-117)))*1,0))</f>
        <v>1133395897</v>
      </c>
      <c r="AC3733" s="11">
        <f>$E3733+21</f>
        <v>134</v>
      </c>
      <c r="AD3733" s="12">
        <f>IF($J3733=0,0,ROUND(MAX($J3733*1.4*1.5*1.6*1.6*2.2*2.715*2.6*1.4*1.4*1.5,12600000000*(1.652953^(MIN($E3733,123)-117)))*1,0))</f>
        <v>1687829312</v>
      </c>
      <c r="AE3733" s="13">
        <f>$E3733+24</f>
        <v>137</v>
      </c>
      <c r="AF3733" s="14">
        <f>IF($J3733=0,0,ROUND(MAX($J3733*1.4*1.5*1.6*1.6*2.2*2.715*2.6*1.4*1.4*1.5*1.5,18900000000*(1.65331^(MIN($E3733,123)-117)))*1,0))</f>
        <v>2529557954</v>
      </c>
      <c r="AG3733" s="11">
        <f>$E3733+27</f>
        <v>140</v>
      </c>
      <c r="AH3733" s="12">
        <f>IF($J3733=0,0,ROUND(MAX($J3733*1.4*1.5*1.6*1.6*2.2*2.715*2.6*1.4*1.4*1.5*1.5*3.2,60500000000*(1.654288^(MIN($E3733,123)-117)))*1,0))</f>
        <v>8078131097</v>
      </c>
    </row>
    <row r="3734" ht="28" customHeight="1" spans="1:34" x14ac:dyDescent="0.25">
      <c r="A3734">
        <v>3744</v>
      </c>
      <c r="B3734" t="s">
        <v>113</v>
      </c>
      <c r="C3734" s="10" t="s">
        <v>1834</v>
      </c>
      <c r="D3734" t="s">
        <v>29</v>
      </c>
      <c r="E3734">
        <v>113</v>
      </c>
      <c r="F3734" t="s">
        <v>30</v>
      </c>
      <c r="G3734" t="s">
        <v>562</v>
      </c>
      <c r="H3734">
        <v>27</v>
      </c>
      <c r="I3734" s="11">
        <f>$E3734+0</f>
        <v>113</v>
      </c>
      <c r="J3734" s="12">
        <v>242000</v>
      </c>
      <c r="K3734" s="13">
        <f>$E3734+1</f>
        <v>114</v>
      </c>
      <c r="L3734" s="14">
        <f>IF($J3734=0,0,ROUND(MAX($J3734*1.4,1620000*(1.497923^(MIN($E3734,123)-117)))*1,0))</f>
        <v>338800</v>
      </c>
      <c r="M3734" s="11">
        <f>$E3734+2</f>
        <v>115</v>
      </c>
      <c r="N3734" s="12">
        <f>IF($J3734=0,0,ROUND(MAX($J3734*1.4*1.5,2190000*(1.580994^(MIN($E3734,123)-117)))*1,0))</f>
        <v>508200</v>
      </c>
      <c r="O3734" s="13">
        <f>$E3734+4</f>
        <v>117</v>
      </c>
      <c r="P3734" s="14">
        <f>IF($J3734=0,0,ROUND(MAX($J3734*1.4*1.5*1.6,3500000*(1.57975^(MIN($E3734,123)-117)))*1,0))</f>
        <v>813120</v>
      </c>
      <c r="Q3734" s="11">
        <f>$E3734+6</f>
        <v>119</v>
      </c>
      <c r="R3734" s="12">
        <f>IF($J3734=0,0,ROUND(MAX($J3734*1.4*1.5*1.6*1.6,13100000*(1.429962^(MIN($E3734,123)-117)))*1,0))</f>
        <v>3133093</v>
      </c>
      <c r="S3734" s="13">
        <f>$E3734+8</f>
        <v>121</v>
      </c>
      <c r="T3734" s="14">
        <f>IF($J3734=0,0,ROUND(MAX($J3734*1.4*1.5*1.6*1.6*2.2,42600000*(1.576904^(MIN($E3734,123)-117)))*1,0))</f>
        <v>6889514</v>
      </c>
      <c r="U3734" s="11">
        <f>$E3734+11</f>
        <v>124</v>
      </c>
      <c r="V3734" s="12">
        <f>IF($J3734=0,0,ROUND(MAX($J3734*1.4*1.5*1.6*1.6*2.2*2.715,354000000*(1.642074^(MIN($E3734,123)-117)))*1,0))</f>
        <v>48689169</v>
      </c>
      <c r="W3734" s="13">
        <f>$E3734+15</f>
        <v>128</v>
      </c>
      <c r="X3734" s="14">
        <f>IF($J3734=0,0,ROUND(MAX($J3734*1.4*1.5*1.6*1.6*2.2*2.715*2.6,3540000000*(1.579646^(MIN($E3734,123)-117)))*1,0))</f>
        <v>568544122</v>
      </c>
      <c r="Y3734" s="11">
        <f>$E3734+17</f>
        <v>130</v>
      </c>
      <c r="Z3734" s="12">
        <f>IF($J3734=0,0,ROUND(MAX($J3734*1.4*1.5*1.6*1.6*2.2*2.715*2.6*1.4,6020000000*(1.651178^(MIN($E3734,123)-117)))*1,0))</f>
        <v>809880453</v>
      </c>
      <c r="AA3734" s="13">
        <f>$E3734+19</f>
        <v>132</v>
      </c>
      <c r="AB3734" s="14">
        <f>IF($J3734=0,0,ROUND(MAX($J3734*1.4*1.5*1.6*1.6*2.2*2.715*2.6*1.4*1.4,8430000000*(1.651435^(MIN($E3734,123)-117)))*1,0))</f>
        <v>1133395897</v>
      </c>
      <c r="AC3734" s="11">
        <f>$E3734+21</f>
        <v>134</v>
      </c>
      <c r="AD3734" s="12">
        <f>IF($J3734=0,0,ROUND(MAX($J3734*1.4*1.5*1.6*1.6*2.2*2.715*2.6*1.4*1.4*1.5,12600000000*(1.652953^(MIN($E3734,123)-117)))*1,0))</f>
        <v>1687829312</v>
      </c>
      <c r="AE3734" s="13">
        <f>$E3734+24</f>
        <v>137</v>
      </c>
      <c r="AF3734" s="14">
        <f>IF($J3734=0,0,ROUND(MAX($J3734*1.4*1.5*1.6*1.6*2.2*2.715*2.6*1.4*1.4*1.5*1.5,18900000000*(1.65331^(MIN($E3734,123)-117)))*1,0))</f>
        <v>2529557954</v>
      </c>
      <c r="AG3734" s="11">
        <f>$E3734+27</f>
        <v>140</v>
      </c>
      <c r="AH3734" s="12">
        <f>IF($J3734=0,0,ROUND(MAX($J3734*1.4*1.5*1.6*1.6*2.2*2.715*2.6*1.4*1.4*1.5*1.5*3.2,60500000000*(1.654288^(MIN($E3734,123)-117)))*1,0))</f>
        <v>8078131097</v>
      </c>
    </row>
    <row r="3735" ht="28" customHeight="1" spans="1:34" x14ac:dyDescent="0.25">
      <c r="A3735">
        <v>3745</v>
      </c>
      <c r="B3735" t="s">
        <v>99</v>
      </c>
      <c r="C3735" s="10" t="s">
        <v>1834</v>
      </c>
      <c r="D3735" t="s">
        <v>29</v>
      </c>
      <c r="E3735">
        <v>112</v>
      </c>
      <c r="F3735" t="s">
        <v>54</v>
      </c>
      <c r="G3735" t="s">
        <v>562</v>
      </c>
      <c r="H3735">
        <v>28</v>
      </c>
      <c r="I3735" s="11">
        <f>$E3735+0</f>
        <v>112</v>
      </c>
      <c r="J3735" s="12">
        <v>512000</v>
      </c>
      <c r="K3735" s="13">
        <f>$E3735+1</f>
        <v>113</v>
      </c>
      <c r="L3735" s="14">
        <f>IF($J3735=0,0,ROUND(MAX($J3735*1.4,1620000*(1.497923^(MIN($E3735,123)-117)))*1,0))</f>
        <v>716800</v>
      </c>
      <c r="M3735" s="11">
        <f>$E3735+2</f>
        <v>114</v>
      </c>
      <c r="N3735" s="12">
        <f>IF($J3735=0,0,ROUND(MAX($J3735*1.4*1.5,2190000*(1.580994^(MIN($E3735,123)-117)))*1,0))</f>
        <v>1075200</v>
      </c>
      <c r="O3735" s="13">
        <f>$E3735+4</f>
        <v>116</v>
      </c>
      <c r="P3735" s="14">
        <f>IF($J3735=0,0,ROUND(MAX($J3735*1.4*1.5*1.6,3500000*(1.57975^(MIN($E3735,123)-117)))*1,0))</f>
        <v>1720320</v>
      </c>
      <c r="Q3735" s="11">
        <f>$E3735+6</f>
        <v>118</v>
      </c>
      <c r="R3735" s="12">
        <f>IF($J3735=0,0,ROUND(MAX($J3735*1.4*1.5*1.6*1.6,13100000*(1.429962^(MIN($E3735,123)-117)))*1,0))</f>
        <v>2752512</v>
      </c>
      <c r="S3735" s="13">
        <f>$E3735+8</f>
        <v>120</v>
      </c>
      <c r="T3735" s="14">
        <f>IF($J3735=0,0,ROUND(MAX($J3735*1.4*1.5*1.6*1.6*2.2,42600000*(1.576904^(MIN($E3735,123)-117)))*1,0))</f>
        <v>6055526</v>
      </c>
      <c r="U3735" s="11">
        <f>$E3735+11</f>
        <v>123</v>
      </c>
      <c r="V3735" s="12">
        <f>IF($J3735=0,0,ROUND(MAX($J3735*1.4*1.5*1.6*1.6*2.2*2.715,354000000*(1.642074^(MIN($E3735,123)-117)))*1,0))</f>
        <v>29651020</v>
      </c>
      <c r="W3735" s="13">
        <f>$E3735+15</f>
        <v>127</v>
      </c>
      <c r="X3735" s="14">
        <f>IF($J3735=0,0,ROUND(MAX($J3735*1.4*1.5*1.6*1.6*2.2*2.715*2.6,3540000000*(1.579646^(MIN($E3735,123)-117)))*1,0))</f>
        <v>359918692</v>
      </c>
      <c r="Y3735" s="11">
        <f>$E3735+17</f>
        <v>129</v>
      </c>
      <c r="Z3735" s="12">
        <f>IF($J3735=0,0,ROUND(MAX($J3735*1.4*1.5*1.6*1.6*2.2*2.715*2.6*1.4,6020000000*(1.651178^(MIN($E3735,123)-117)))*1,0))</f>
        <v>490486461</v>
      </c>
      <c r="AA3735" s="13">
        <f>$E3735+19</f>
        <v>131</v>
      </c>
      <c r="AB3735" s="14">
        <f>IF($J3735=0,0,ROUND(MAX($J3735*1.4*1.5*1.6*1.6*2.2*2.715*2.6*1.4*1.4,8430000000*(1.651435^(MIN($E3735,123)-117)))*1,0))</f>
        <v>686309723</v>
      </c>
      <c r="AC3735" s="11">
        <f>$E3735+21</f>
        <v>133</v>
      </c>
      <c r="AD3735" s="12">
        <f>IF($J3735=0,0,ROUND(MAX($J3735*1.4*1.5*1.6*1.6*2.2*2.715*2.6*1.4*1.4*1.5,12600000000*(1.652953^(MIN($E3735,123)-117)))*1,0))</f>
        <v>1021099398</v>
      </c>
      <c r="AE3735" s="13">
        <f>$E3735+24</f>
        <v>136</v>
      </c>
      <c r="AF3735" s="14">
        <f>IF($J3735=0,0,ROUND(MAX($J3735*1.4*1.5*1.6*1.6*2.2*2.715*2.6*1.4*1.4*1.5*1.5,18900000000*(1.65331^(MIN($E3735,123)-117)))*1,0))</f>
        <v>1529996162</v>
      </c>
      <c r="AG3735" s="11">
        <f>$E3735+27</f>
        <v>139</v>
      </c>
      <c r="AH3735" s="12">
        <f>IF($J3735=0,0,ROUND(MAX($J3735*1.4*1.5*1.6*1.6*2.2*2.715*2.6*1.4*1.4*1.5*1.5*3.2,60500000000*(1.654288^(MIN($E3735,123)-117)))*1,0))</f>
        <v>4883146766</v>
      </c>
    </row>
    <row r="3736" ht="28" customHeight="1" spans="1:34" x14ac:dyDescent="0.25">
      <c r="A3736">
        <v>3746</v>
      </c>
      <c r="B3736" t="s">
        <v>776</v>
      </c>
      <c r="C3736" s="10" t="s">
        <v>1834</v>
      </c>
      <c r="D3736" t="s">
        <v>40</v>
      </c>
      <c r="E3736">
        <v>112</v>
      </c>
      <c r="F3736" t="s">
        <v>54</v>
      </c>
      <c r="G3736" t="s">
        <v>562</v>
      </c>
      <c r="H3736">
        <v>27</v>
      </c>
      <c r="I3736" s="11">
        <f>$E3736+0</f>
        <v>112</v>
      </c>
      <c r="J3736" s="12">
        <v>265000</v>
      </c>
      <c r="K3736" s="13">
        <f>$E3736+1</f>
        <v>113</v>
      </c>
      <c r="L3736" s="14">
        <f>IF($J3736=0,0,ROUND(MAX($J3736*1.4,1620000*(1.497923^(MIN($E3736,123)-117)))*1,0))</f>
        <v>371000</v>
      </c>
      <c r="M3736" s="11">
        <f>$E3736+2</f>
        <v>114</v>
      </c>
      <c r="N3736" s="12">
        <f>IF($J3736=0,0,ROUND(MAX($J3736*1.4*1.5,2190000*(1.580994^(MIN($E3736,123)-117)))*1,0))</f>
        <v>556500</v>
      </c>
      <c r="O3736" s="13">
        <f>$E3736+4</f>
        <v>116</v>
      </c>
      <c r="P3736" s="14">
        <f>IF($J3736=0,0,ROUND(MAX($J3736*1.4*1.5*1.6,3500000*(1.57975^(MIN($E3736,123)-117)))*1,0))</f>
        <v>890400</v>
      </c>
      <c r="Q3736" s="11">
        <f>$E3736+6</f>
        <v>118</v>
      </c>
      <c r="R3736" s="12">
        <f>IF($J3736=0,0,ROUND(MAX($J3736*1.4*1.5*1.6*1.6,13100000*(1.429962^(MIN($E3736,123)-117)))*1,0))</f>
        <v>2191032</v>
      </c>
      <c r="S3736" s="13">
        <f>$E3736+8</f>
        <v>120</v>
      </c>
      <c r="T3736" s="14">
        <f>IF($J3736=0,0,ROUND(MAX($J3736*1.4*1.5*1.6*1.6*2.2,42600000*(1.576904^(MIN($E3736,123)-117)))*1,0))</f>
        <v>4369013</v>
      </c>
      <c r="U3736" s="11">
        <f>$E3736+11</f>
        <v>123</v>
      </c>
      <c r="V3736" s="12">
        <f>IF($J3736=0,0,ROUND(MAX($J3736*1.4*1.5*1.6*1.6*2.2*2.715,354000000*(1.642074^(MIN($E3736,123)-117)))*1,0))</f>
        <v>29651020</v>
      </c>
      <c r="W3736" s="13">
        <f>$E3736+15</f>
        <v>127</v>
      </c>
      <c r="X3736" s="14">
        <f>IF($J3736=0,0,ROUND(MAX($J3736*1.4*1.5*1.6*1.6*2.2*2.715*2.6,3540000000*(1.579646^(MIN($E3736,123)-117)))*1,0))</f>
        <v>359918692</v>
      </c>
      <c r="Y3736" s="11">
        <f>$E3736+17</f>
        <v>129</v>
      </c>
      <c r="Z3736" s="12">
        <f>IF($J3736=0,0,ROUND(MAX($J3736*1.4*1.5*1.6*1.6*2.2*2.715*2.6*1.4,6020000000*(1.651178^(MIN($E3736,123)-117)))*1,0))</f>
        <v>490486461</v>
      </c>
      <c r="AA3736" s="13">
        <f>$E3736+19</f>
        <v>131</v>
      </c>
      <c r="AB3736" s="14">
        <f>IF($J3736=0,0,ROUND(MAX($J3736*1.4*1.5*1.6*1.6*2.2*2.715*2.6*1.4*1.4,8430000000*(1.651435^(MIN($E3736,123)-117)))*1,0))</f>
        <v>686309723</v>
      </c>
      <c r="AC3736" s="11">
        <f>$E3736+21</f>
        <v>133</v>
      </c>
      <c r="AD3736" s="12">
        <f>IF($J3736=0,0,ROUND(MAX($J3736*1.4*1.5*1.6*1.6*2.2*2.715*2.6*1.4*1.4*1.5,12600000000*(1.652953^(MIN($E3736,123)-117)))*1,0))</f>
        <v>1021099398</v>
      </c>
      <c r="AE3736" s="13">
        <f>$E3736+24</f>
        <v>136</v>
      </c>
      <c r="AF3736" s="14">
        <f>IF($J3736=0,0,ROUND(MAX($J3736*1.4*1.5*1.6*1.6*2.2*2.715*2.6*1.4*1.4*1.5*1.5,18900000000*(1.65331^(MIN($E3736,123)-117)))*1,0))</f>
        <v>1529996162</v>
      </c>
      <c r="AG3736" s="11">
        <f>$E3736+27</f>
        <v>139</v>
      </c>
      <c r="AH3736" s="12">
        <f>IF($J3736=0,0,ROUND(MAX($J3736*1.4*1.5*1.6*1.6*2.2*2.715*2.6*1.4*1.4*1.5*1.5*3.2,60500000000*(1.654288^(MIN($E3736,123)-117)))*1,0))</f>
        <v>4883146766</v>
      </c>
    </row>
    <row r="3737" ht="28" customHeight="1" spans="1:34" x14ac:dyDescent="0.25">
      <c r="A3737">
        <v>3747</v>
      </c>
      <c r="B3737" t="s">
        <v>468</v>
      </c>
      <c r="C3737" s="10" t="s">
        <v>1834</v>
      </c>
      <c r="D3737" t="s">
        <v>40</v>
      </c>
      <c r="E3737">
        <v>112</v>
      </c>
      <c r="F3737" t="s">
        <v>258</v>
      </c>
      <c r="G3737" t="s">
        <v>562</v>
      </c>
      <c r="H3737">
        <v>27</v>
      </c>
      <c r="I3737" s="11">
        <f>$E3737+0</f>
        <v>112</v>
      </c>
      <c r="J3737" s="12">
        <v>250000</v>
      </c>
      <c r="K3737" s="13">
        <f>$E3737+1</f>
        <v>113</v>
      </c>
      <c r="L3737" s="14">
        <f>IF($J3737=0,0,ROUND(MAX($J3737*1.4,1620000*(1.497923^(MIN($E3737,123)-117)))*1,0))</f>
        <v>350000</v>
      </c>
      <c r="M3737" s="11">
        <f>$E3737+2</f>
        <v>114</v>
      </c>
      <c r="N3737" s="12">
        <f>IF($J3737=0,0,ROUND(MAX($J3737*1.4*1.5,2190000*(1.580994^(MIN($E3737,123)-117)))*1,0))</f>
        <v>525000</v>
      </c>
      <c r="O3737" s="13">
        <f>$E3737+4</f>
        <v>116</v>
      </c>
      <c r="P3737" s="14">
        <f>IF($J3737=0,0,ROUND(MAX($J3737*1.4*1.5*1.6,3500000*(1.57975^(MIN($E3737,123)-117)))*1,0))</f>
        <v>840000</v>
      </c>
      <c r="Q3737" s="11">
        <f>$E3737+6</f>
        <v>118</v>
      </c>
      <c r="R3737" s="12">
        <f>IF($J3737=0,0,ROUND(MAX($J3737*1.4*1.5*1.6*1.6,13100000*(1.429962^(MIN($E3737,123)-117)))*1,0))</f>
        <v>2191032</v>
      </c>
      <c r="S3737" s="13">
        <f>$E3737+8</f>
        <v>120</v>
      </c>
      <c r="T3737" s="14">
        <f>IF($J3737=0,0,ROUND(MAX($J3737*1.4*1.5*1.6*1.6*2.2,42600000*(1.576904^(MIN($E3737,123)-117)))*1,0))</f>
        <v>4369013</v>
      </c>
      <c r="U3737" s="11">
        <f>$E3737+11</f>
        <v>123</v>
      </c>
      <c r="V3737" s="12">
        <f>IF($J3737=0,0,ROUND(MAX($J3737*1.4*1.5*1.6*1.6*2.2*2.715,354000000*(1.642074^(MIN($E3737,123)-117)))*1,0))</f>
        <v>29651020</v>
      </c>
      <c r="W3737" s="13">
        <f>$E3737+15</f>
        <v>127</v>
      </c>
      <c r="X3737" s="14">
        <f>IF($J3737=0,0,ROUND(MAX($J3737*1.4*1.5*1.6*1.6*2.2*2.715*2.6,3540000000*(1.579646^(MIN($E3737,123)-117)))*1,0))</f>
        <v>359918692</v>
      </c>
      <c r="Y3737" s="11">
        <f>$E3737+17</f>
        <v>129</v>
      </c>
      <c r="Z3737" s="12">
        <f>IF($J3737=0,0,ROUND(MAX($J3737*1.4*1.5*1.6*1.6*2.2*2.715*2.6*1.4,6020000000*(1.651178^(MIN($E3737,123)-117)))*1,0))</f>
        <v>490486461</v>
      </c>
      <c r="AA3737" s="13">
        <f>$E3737+19</f>
        <v>131</v>
      </c>
      <c r="AB3737" s="14">
        <f>IF($J3737=0,0,ROUND(MAX($J3737*1.4*1.5*1.6*1.6*2.2*2.715*2.6*1.4*1.4,8430000000*(1.651435^(MIN($E3737,123)-117)))*1,0))</f>
        <v>686309723</v>
      </c>
      <c r="AC3737" s="11">
        <f>$E3737+21</f>
        <v>133</v>
      </c>
      <c r="AD3737" s="12">
        <f>IF($J3737=0,0,ROUND(MAX($J3737*1.4*1.5*1.6*1.6*2.2*2.715*2.6*1.4*1.4*1.5,12600000000*(1.652953^(MIN($E3737,123)-117)))*1,0))</f>
        <v>1021099398</v>
      </c>
      <c r="AE3737" s="13">
        <f>$E3737+24</f>
        <v>136</v>
      </c>
      <c r="AF3737" s="14">
        <f>IF($J3737=0,0,ROUND(MAX($J3737*1.4*1.5*1.6*1.6*2.2*2.715*2.6*1.4*1.4*1.5*1.5,18900000000*(1.65331^(MIN($E3737,123)-117)))*1,0))</f>
        <v>1529996162</v>
      </c>
      <c r="AG3737" s="11">
        <f>$E3737+27</f>
        <v>139</v>
      </c>
      <c r="AH3737" s="12">
        <f>IF($J3737=0,0,ROUND(MAX($J3737*1.4*1.5*1.6*1.6*2.2*2.715*2.6*1.4*1.4*1.5*1.5*3.2,60500000000*(1.654288^(MIN($E3737,123)-117)))*1,0))</f>
        <v>4883146766</v>
      </c>
    </row>
    <row r="3738" ht="28" customHeight="1" spans="1:34" x14ac:dyDescent="0.25">
      <c r="A3738">
        <v>3748</v>
      </c>
      <c r="B3738" t="s">
        <v>114</v>
      </c>
      <c r="C3738" s="10" t="s">
        <v>1834</v>
      </c>
      <c r="D3738" t="s">
        <v>75</v>
      </c>
      <c r="E3738">
        <v>112</v>
      </c>
      <c r="F3738" t="s">
        <v>30</v>
      </c>
      <c r="G3738" t="s">
        <v>562</v>
      </c>
      <c r="H3738">
        <v>27</v>
      </c>
      <c r="I3738" s="11">
        <f>$E3738+0</f>
        <v>112</v>
      </c>
      <c r="J3738" s="12">
        <v>238000</v>
      </c>
      <c r="K3738" s="13">
        <f>$E3738+1</f>
        <v>113</v>
      </c>
      <c r="L3738" s="14">
        <f>IF($J3738=0,0,ROUND(MAX($J3738*1.4,1620000*(1.497923^(MIN($E3738,123)-117)))*1,0))</f>
        <v>333200</v>
      </c>
      <c r="M3738" s="11">
        <f>$E3738+2</f>
        <v>114</v>
      </c>
      <c r="N3738" s="12">
        <f>IF($J3738=0,0,ROUND(MAX($J3738*1.4*1.5,2190000*(1.580994^(MIN($E3738,123)-117)))*1,0))</f>
        <v>499800</v>
      </c>
      <c r="O3738" s="13">
        <f>$E3738+4</f>
        <v>116</v>
      </c>
      <c r="P3738" s="14">
        <f>IF($J3738=0,0,ROUND(MAX($J3738*1.4*1.5*1.6,3500000*(1.57975^(MIN($E3738,123)-117)))*1,0))</f>
        <v>799680</v>
      </c>
      <c r="Q3738" s="11">
        <f>$E3738+6</f>
        <v>118</v>
      </c>
      <c r="R3738" s="12">
        <f>IF($J3738=0,0,ROUND(MAX($J3738*1.4*1.5*1.6*1.6,13100000*(1.429962^(MIN($E3738,123)-117)))*1,0))</f>
        <v>2191032</v>
      </c>
      <c r="S3738" s="13">
        <f>$E3738+8</f>
        <v>120</v>
      </c>
      <c r="T3738" s="14">
        <f>IF($J3738=0,0,ROUND(MAX($J3738*1.4*1.5*1.6*1.6*2.2,42600000*(1.576904^(MIN($E3738,123)-117)))*1,0))</f>
        <v>4369013</v>
      </c>
      <c r="U3738" s="11">
        <f>$E3738+11</f>
        <v>123</v>
      </c>
      <c r="V3738" s="12">
        <f>IF($J3738=0,0,ROUND(MAX($J3738*1.4*1.5*1.6*1.6*2.2*2.715,354000000*(1.642074^(MIN($E3738,123)-117)))*1,0))</f>
        <v>29651020</v>
      </c>
      <c r="W3738" s="13">
        <f>$E3738+15</f>
        <v>127</v>
      </c>
      <c r="X3738" s="14">
        <f>IF($J3738=0,0,ROUND(MAX($J3738*1.4*1.5*1.6*1.6*2.2*2.715*2.6,3540000000*(1.579646^(MIN($E3738,123)-117)))*1,0))</f>
        <v>359918692</v>
      </c>
      <c r="Y3738" s="11">
        <f>$E3738+17</f>
        <v>129</v>
      </c>
      <c r="Z3738" s="12">
        <f>IF($J3738=0,0,ROUND(MAX($J3738*1.4*1.5*1.6*1.6*2.2*2.715*2.6*1.4,6020000000*(1.651178^(MIN($E3738,123)-117)))*1,0))</f>
        <v>490486461</v>
      </c>
      <c r="AA3738" s="13">
        <f>$E3738+19</f>
        <v>131</v>
      </c>
      <c r="AB3738" s="14">
        <f>IF($J3738=0,0,ROUND(MAX($J3738*1.4*1.5*1.6*1.6*2.2*2.715*2.6*1.4*1.4,8430000000*(1.651435^(MIN($E3738,123)-117)))*1,0))</f>
        <v>686309723</v>
      </c>
      <c r="AC3738" s="11">
        <f>$E3738+21</f>
        <v>133</v>
      </c>
      <c r="AD3738" s="12">
        <f>IF($J3738=0,0,ROUND(MAX($J3738*1.4*1.5*1.6*1.6*2.2*2.715*2.6*1.4*1.4*1.5,12600000000*(1.652953^(MIN($E3738,123)-117)))*1,0))</f>
        <v>1021099398</v>
      </c>
      <c r="AE3738" s="13">
        <f>$E3738+24</f>
        <v>136</v>
      </c>
      <c r="AF3738" s="14">
        <f>IF($J3738=0,0,ROUND(MAX($J3738*1.4*1.5*1.6*1.6*2.2*2.715*2.6*1.4*1.4*1.5*1.5,18900000000*(1.65331^(MIN($E3738,123)-117)))*1,0))</f>
        <v>1529996162</v>
      </c>
      <c r="AG3738" s="11">
        <f>$E3738+27</f>
        <v>139</v>
      </c>
      <c r="AH3738" s="12">
        <f>IF($J3738=0,0,ROUND(MAX($J3738*1.4*1.5*1.6*1.6*2.2*2.715*2.6*1.4*1.4*1.5*1.5*3.2,60500000000*(1.654288^(MIN($E3738,123)-117)))*1,0))</f>
        <v>4883146766</v>
      </c>
    </row>
    <row r="3739" ht="28" customHeight="1" spans="1:34" x14ac:dyDescent="0.25">
      <c r="A3739">
        <v>3749</v>
      </c>
      <c r="B3739" t="s">
        <v>161</v>
      </c>
      <c r="C3739" s="10" t="s">
        <v>1834</v>
      </c>
      <c r="D3739" t="s">
        <v>79</v>
      </c>
      <c r="E3739">
        <v>111</v>
      </c>
      <c r="F3739" t="s">
        <v>54</v>
      </c>
      <c r="G3739" t="s">
        <v>562</v>
      </c>
      <c r="H3739">
        <v>27</v>
      </c>
      <c r="I3739" s="11">
        <f>$E3739+0</f>
        <v>111</v>
      </c>
      <c r="J3739" s="12">
        <v>210000</v>
      </c>
      <c r="K3739" s="13">
        <f>$E3739+1</f>
        <v>112</v>
      </c>
      <c r="L3739" s="14">
        <f>IF($J3739=0,0,ROUND(MAX($J3739*1.4,1620000*(1.497923^(MIN($E3739,123)-117)))*1,0))</f>
        <v>294000</v>
      </c>
      <c r="M3739" s="11">
        <f>$E3739+2</f>
        <v>113</v>
      </c>
      <c r="N3739" s="12">
        <f>IF($J3739=0,0,ROUND(MAX($J3739*1.4*1.5,2190000*(1.580994^(MIN($E3739,123)-117)))*1,0))</f>
        <v>441000</v>
      </c>
      <c r="O3739" s="13">
        <f>$E3739+4</f>
        <v>115</v>
      </c>
      <c r="P3739" s="14">
        <f>IF($J3739=0,0,ROUND(MAX($J3739*1.4*1.5*1.6,3500000*(1.57975^(MIN($E3739,123)-117)))*1,0))</f>
        <v>705600</v>
      </c>
      <c r="Q3739" s="11">
        <f>$E3739+6</f>
        <v>117</v>
      </c>
      <c r="R3739" s="12">
        <f>IF($J3739=0,0,ROUND(MAX($J3739*1.4*1.5*1.6*1.6,13100000*(1.429962^(MIN($E3739,123)-117)))*1,0))</f>
        <v>1532231</v>
      </c>
      <c r="S3739" s="13">
        <f>$E3739+8</f>
        <v>119</v>
      </c>
      <c r="T3739" s="14">
        <f>IF($J3739=0,0,ROUND(MAX($J3739*1.4*1.5*1.6*1.6*2.2,42600000*(1.576904^(MIN($E3739,123)-117)))*1,0))</f>
        <v>2770627</v>
      </c>
      <c r="U3739" s="11">
        <f>$E3739+11</f>
        <v>122</v>
      </c>
      <c r="V3739" s="12">
        <f>IF($J3739=0,0,ROUND(MAX($J3739*1.4*1.5*1.6*1.6*2.2*2.715,354000000*(1.642074^(MIN($E3739,123)-117)))*1,0))</f>
        <v>18057055</v>
      </c>
      <c r="W3739" s="13">
        <f>$E3739+15</f>
        <v>126</v>
      </c>
      <c r="X3739" s="14">
        <f>IF($J3739=0,0,ROUND(MAX($J3739*1.4*1.5*1.6*1.6*2.2*2.715*2.6,3540000000*(1.579646^(MIN($E3739,123)-117)))*1,0))</f>
        <v>227847690</v>
      </c>
      <c r="Y3739" s="11">
        <f>$E3739+17</f>
        <v>128</v>
      </c>
      <c r="Z3739" s="12">
        <f>IF($J3739=0,0,ROUND(MAX($J3739*1.4*1.5*1.6*1.6*2.2*2.715*2.6*1.4,6020000000*(1.651178^(MIN($E3739,123)-117)))*1,0))</f>
        <v>297052444</v>
      </c>
      <c r="AA3739" s="13">
        <f>$E3739+19</f>
        <v>130</v>
      </c>
      <c r="AB3739" s="14">
        <f>IF($J3739=0,0,ROUND(MAX($J3739*1.4*1.5*1.6*1.6*2.2*2.715*2.6*1.4*1.4,8430000000*(1.651435^(MIN($E3739,123)-117)))*1,0))</f>
        <v>415583854</v>
      </c>
      <c r="AC3739" s="11">
        <f>$E3739+21</f>
        <v>132</v>
      </c>
      <c r="AD3739" s="12">
        <f>IF($J3739=0,0,ROUND(MAX($J3739*1.4*1.5*1.6*1.6*2.2*2.715*2.6*1.4*1.4*1.5,12600000000*(1.652953^(MIN($E3739,123)-117)))*1,0))</f>
        <v>617742548</v>
      </c>
      <c r="AE3739" s="13">
        <f>$E3739+24</f>
        <v>135</v>
      </c>
      <c r="AF3739" s="14">
        <f>IF($J3739=0,0,ROUND(MAX($J3739*1.4*1.5*1.6*1.6*2.2*2.715*2.6*1.4*1.4*1.5*1.5,18900000000*(1.65331^(MIN($E3739,123)-117)))*1,0))</f>
        <v>925413965</v>
      </c>
      <c r="AG3739" s="11">
        <f>$E3739+27</f>
        <v>138</v>
      </c>
      <c r="AH3739" s="12">
        <f>IF($J3739=0,0,ROUND(MAX($J3739*1.4*1.5*1.6*1.6*2.2*2.715*2.6*1.4*1.4*1.5*1.5*3.2,60500000000*(1.654288^(MIN($E3739,123)-117)))*1,0))</f>
        <v>2951811756</v>
      </c>
    </row>
    <row r="3740" ht="28" customHeight="1" spans="1:34" x14ac:dyDescent="0.25">
      <c r="A3740">
        <v>3750</v>
      </c>
      <c r="B3740" t="s">
        <v>160</v>
      </c>
      <c r="C3740" s="10" t="s">
        <v>1834</v>
      </c>
      <c r="D3740" t="s">
        <v>40</v>
      </c>
      <c r="E3740">
        <v>111</v>
      </c>
      <c r="F3740" t="s">
        <v>54</v>
      </c>
      <c r="G3740" t="s">
        <v>562</v>
      </c>
      <c r="H3740">
        <v>27</v>
      </c>
      <c r="I3740" s="11">
        <f>$E3740+0</f>
        <v>111</v>
      </c>
      <c r="J3740" s="12">
        <v>141000</v>
      </c>
      <c r="K3740" s="13">
        <f>$E3740+1</f>
        <v>112</v>
      </c>
      <c r="L3740" s="14">
        <f>IF($J3740=0,0,ROUND(MAX($J3740*1.4,1620000*(1.497923^(MIN($E3740,123)-117)))*1,0))</f>
        <v>197400</v>
      </c>
      <c r="M3740" s="11">
        <f>$E3740+2</f>
        <v>113</v>
      </c>
      <c r="N3740" s="12">
        <f>IF($J3740=0,0,ROUND(MAX($J3740*1.4*1.5,2190000*(1.580994^(MIN($E3740,123)-117)))*1,0))</f>
        <v>296100</v>
      </c>
      <c r="O3740" s="13">
        <f>$E3740+4</f>
        <v>115</v>
      </c>
      <c r="P3740" s="14">
        <f>IF($J3740=0,0,ROUND(MAX($J3740*1.4*1.5*1.6,3500000*(1.57975^(MIN($E3740,123)-117)))*1,0))</f>
        <v>473760</v>
      </c>
      <c r="Q3740" s="11">
        <f>$E3740+6</f>
        <v>117</v>
      </c>
      <c r="R3740" s="12">
        <f>IF($J3740=0,0,ROUND(MAX($J3740*1.4*1.5*1.6*1.6,13100000*(1.429962^(MIN($E3740,123)-117)))*1,0))</f>
        <v>1532231</v>
      </c>
      <c r="S3740" s="13">
        <f>$E3740+8</f>
        <v>119</v>
      </c>
      <c r="T3740" s="14">
        <f>IF($J3740=0,0,ROUND(MAX($J3740*1.4*1.5*1.6*1.6*2.2,42600000*(1.576904^(MIN($E3740,123)-117)))*1,0))</f>
        <v>2770627</v>
      </c>
      <c r="U3740" s="11">
        <f>$E3740+11</f>
        <v>122</v>
      </c>
      <c r="V3740" s="12">
        <f>IF($J3740=0,0,ROUND(MAX($J3740*1.4*1.5*1.6*1.6*2.2*2.715,354000000*(1.642074^(MIN($E3740,123)-117)))*1,0))</f>
        <v>18057055</v>
      </c>
      <c r="W3740" s="13">
        <f>$E3740+15</f>
        <v>126</v>
      </c>
      <c r="X3740" s="14">
        <f>IF($J3740=0,0,ROUND(MAX($J3740*1.4*1.5*1.6*1.6*2.2*2.715*2.6,3540000000*(1.579646^(MIN($E3740,123)-117)))*1,0))</f>
        <v>227847690</v>
      </c>
      <c r="Y3740" s="11">
        <f>$E3740+17</f>
        <v>128</v>
      </c>
      <c r="Z3740" s="12">
        <f>IF($J3740=0,0,ROUND(MAX($J3740*1.4*1.5*1.6*1.6*2.2*2.715*2.6*1.4,6020000000*(1.651178^(MIN($E3740,123)-117)))*1,0))</f>
        <v>297052444</v>
      </c>
      <c r="AA3740" s="13">
        <f>$E3740+19</f>
        <v>130</v>
      </c>
      <c r="AB3740" s="14">
        <f>IF($J3740=0,0,ROUND(MAX($J3740*1.4*1.5*1.6*1.6*2.2*2.715*2.6*1.4*1.4,8430000000*(1.651435^(MIN($E3740,123)-117)))*1,0))</f>
        <v>415583854</v>
      </c>
      <c r="AC3740" s="11">
        <f>$E3740+21</f>
        <v>132</v>
      </c>
      <c r="AD3740" s="12">
        <f>IF($J3740=0,0,ROUND(MAX($J3740*1.4*1.5*1.6*1.6*2.2*2.715*2.6*1.4*1.4*1.5,12600000000*(1.652953^(MIN($E3740,123)-117)))*1,0))</f>
        <v>617742548</v>
      </c>
      <c r="AE3740" s="13">
        <f>$E3740+24</f>
        <v>135</v>
      </c>
      <c r="AF3740" s="14">
        <f>IF($J3740=0,0,ROUND(MAX($J3740*1.4*1.5*1.6*1.6*2.2*2.715*2.6*1.4*1.4*1.5*1.5,18900000000*(1.65331^(MIN($E3740,123)-117)))*1,0))</f>
        <v>925413965</v>
      </c>
      <c r="AG3740" s="11">
        <f>$E3740+27</f>
        <v>138</v>
      </c>
      <c r="AH3740" s="12">
        <f>IF($J3740=0,0,ROUND(MAX($J3740*1.4*1.5*1.6*1.6*2.2*2.715*2.6*1.4*1.4*1.5*1.5*3.2,60500000000*(1.654288^(MIN($E3740,123)-117)))*1,0))</f>
        <v>2951811756</v>
      </c>
    </row>
    <row r="3741" ht="28" customHeight="1" spans="1:34" x14ac:dyDescent="0.25">
      <c r="A3741">
        <v>3751</v>
      </c>
      <c r="B3741" t="s">
        <v>173</v>
      </c>
      <c r="C3741" s="10" t="s">
        <v>1834</v>
      </c>
      <c r="D3741" t="s">
        <v>64</v>
      </c>
      <c r="E3741">
        <v>111</v>
      </c>
      <c r="F3741" t="s">
        <v>174</v>
      </c>
      <c r="G3741" t="s">
        <v>562</v>
      </c>
      <c r="H3741">
        <v>27</v>
      </c>
      <c r="I3741" s="11">
        <f>$E3741+0</f>
        <v>111</v>
      </c>
      <c r="J3741" s="12">
        <v>567000</v>
      </c>
      <c r="K3741" s="13">
        <f>$E3741+1</f>
        <v>112</v>
      </c>
      <c r="L3741" s="14">
        <f>IF($J3741=0,0,ROUND(MAX($J3741*1.4,1620000*(1.497923^(MIN($E3741,123)-117)))*1,0))</f>
        <v>793800</v>
      </c>
      <c r="M3741" s="11">
        <f>$E3741+2</f>
        <v>113</v>
      </c>
      <c r="N3741" s="12">
        <f>IF($J3741=0,0,ROUND(MAX($J3741*1.4*1.5,2190000*(1.580994^(MIN($E3741,123)-117)))*1,0))</f>
        <v>1190700</v>
      </c>
      <c r="O3741" s="13">
        <f>$E3741+4</f>
        <v>115</v>
      </c>
      <c r="P3741" s="14">
        <f>IF($J3741=0,0,ROUND(MAX($J3741*1.4*1.5*1.6,3500000*(1.57975^(MIN($E3741,123)-117)))*1,0))</f>
        <v>1905120</v>
      </c>
      <c r="Q3741" s="11">
        <f>$E3741+6</f>
        <v>117</v>
      </c>
      <c r="R3741" s="12">
        <f>IF($J3741=0,0,ROUND(MAX($J3741*1.4*1.5*1.6*1.6,13100000*(1.429962^(MIN($E3741,123)-117)))*1,0))</f>
        <v>3048192</v>
      </c>
      <c r="S3741" s="13">
        <f>$E3741+8</f>
        <v>119</v>
      </c>
      <c r="T3741" s="14">
        <f>IF($J3741=0,0,ROUND(MAX($J3741*1.4*1.5*1.6*1.6*2.2,42600000*(1.576904^(MIN($E3741,123)-117)))*1,0))</f>
        <v>6706022</v>
      </c>
      <c r="U3741" s="11">
        <f>$E3741+11</f>
        <v>122</v>
      </c>
      <c r="V3741" s="12">
        <f>IF($J3741=0,0,ROUND(MAX($J3741*1.4*1.5*1.6*1.6*2.2*2.715,354000000*(1.642074^(MIN($E3741,123)-117)))*1,0))</f>
        <v>18206851</v>
      </c>
      <c r="W3741" s="13">
        <f>$E3741+15</f>
        <v>126</v>
      </c>
      <c r="X3741" s="14">
        <f>IF($J3741=0,0,ROUND(MAX($J3741*1.4*1.5*1.6*1.6*2.2*2.715*2.6,3540000000*(1.579646^(MIN($E3741,123)-117)))*1,0))</f>
        <v>227847690</v>
      </c>
      <c r="Y3741" s="11">
        <f>$E3741+17</f>
        <v>128</v>
      </c>
      <c r="Z3741" s="12">
        <f>IF($J3741=0,0,ROUND(MAX($J3741*1.4*1.5*1.6*1.6*2.2*2.715*2.6*1.4,6020000000*(1.651178^(MIN($E3741,123)-117)))*1,0))</f>
        <v>297052444</v>
      </c>
      <c r="AA3741" s="13">
        <f>$E3741+19</f>
        <v>130</v>
      </c>
      <c r="AB3741" s="14">
        <f>IF($J3741=0,0,ROUND(MAX($J3741*1.4*1.5*1.6*1.6*2.2*2.715*2.6*1.4*1.4,8430000000*(1.651435^(MIN($E3741,123)-117)))*1,0))</f>
        <v>415583854</v>
      </c>
      <c r="AC3741" s="11">
        <f>$E3741+21</f>
        <v>132</v>
      </c>
      <c r="AD3741" s="12">
        <f>IF($J3741=0,0,ROUND(MAX($J3741*1.4*1.5*1.6*1.6*2.2*2.715*2.6*1.4*1.4*1.5,12600000000*(1.652953^(MIN($E3741,123)-117)))*1,0))</f>
        <v>617742548</v>
      </c>
      <c r="AE3741" s="13">
        <f>$E3741+24</f>
        <v>135</v>
      </c>
      <c r="AF3741" s="14">
        <f>IF($J3741=0,0,ROUND(MAX($J3741*1.4*1.5*1.6*1.6*2.2*2.715*2.6*1.4*1.4*1.5*1.5,18900000000*(1.65331^(MIN($E3741,123)-117)))*1,0))</f>
        <v>925413965</v>
      </c>
      <c r="AG3741" s="11">
        <f>$E3741+27</f>
        <v>138</v>
      </c>
      <c r="AH3741" s="12">
        <f>IF($J3741=0,0,ROUND(MAX($J3741*1.4*1.5*1.6*1.6*2.2*2.715*2.6*1.4*1.4*1.5*1.5*3.2,60500000000*(1.654288^(MIN($E3741,123)-117)))*1,0))</f>
        <v>2951811756</v>
      </c>
    </row>
    <row r="3742" ht="28" customHeight="1" spans="1:34" x14ac:dyDescent="0.25">
      <c r="A3742">
        <v>3752</v>
      </c>
      <c r="B3742" t="s">
        <v>184</v>
      </c>
      <c r="C3742" s="10" t="s">
        <v>1834</v>
      </c>
      <c r="D3742" t="s">
        <v>45</v>
      </c>
      <c r="E3742">
        <v>110</v>
      </c>
      <c r="F3742" t="s">
        <v>97</v>
      </c>
      <c r="G3742" t="s">
        <v>562</v>
      </c>
      <c r="H3742">
        <v>27</v>
      </c>
      <c r="I3742" s="11">
        <f>$E3742+0</f>
        <v>110</v>
      </c>
      <c r="J3742" s="12">
        <v>327000</v>
      </c>
      <c r="K3742" s="13">
        <f>$E3742+1</f>
        <v>111</v>
      </c>
      <c r="L3742" s="14">
        <f>IF($J3742=0,0,ROUND(MAX($J3742*1.4,1620000*(1.497923^(MIN($E3742,123)-117)))*1,0))</f>
        <v>457800</v>
      </c>
      <c r="M3742" s="11">
        <f>$E3742+2</f>
        <v>112</v>
      </c>
      <c r="N3742" s="12">
        <f>IF($J3742=0,0,ROUND(MAX($J3742*1.4*1.5,2190000*(1.580994^(MIN($E3742,123)-117)))*1,0))</f>
        <v>686700</v>
      </c>
      <c r="O3742" s="13">
        <f>$E3742+4</f>
        <v>114</v>
      </c>
      <c r="P3742" s="14">
        <f>IF($J3742=0,0,ROUND(MAX($J3742*1.4*1.5*1.6,3500000*(1.57975^(MIN($E3742,123)-117)))*1,0))</f>
        <v>1098720</v>
      </c>
      <c r="Q3742" s="11">
        <f>$E3742+6</f>
        <v>116</v>
      </c>
      <c r="R3742" s="12">
        <f>IF($J3742=0,0,ROUND(MAX($J3742*1.4*1.5*1.6*1.6,13100000*(1.429962^(MIN($E3742,123)-117)))*1,0))</f>
        <v>1757952</v>
      </c>
      <c r="S3742" s="13">
        <f>$E3742+8</f>
        <v>118</v>
      </c>
      <c r="T3742" s="14">
        <f>IF($J3742=0,0,ROUND(MAX($J3742*1.4*1.5*1.6*1.6*2.2,42600000*(1.576904^(MIN($E3742,123)-117)))*1,0))</f>
        <v>3867494</v>
      </c>
      <c r="U3742" s="11">
        <f>$E3742+11</f>
        <v>121</v>
      </c>
      <c r="V3742" s="12">
        <f>IF($J3742=0,0,ROUND(MAX($J3742*1.4*1.5*1.6*1.6*2.2*2.715,354000000*(1.642074^(MIN($E3742,123)-117)))*1,0))</f>
        <v>10996493</v>
      </c>
      <c r="W3742" s="13">
        <f>$E3742+15</f>
        <v>125</v>
      </c>
      <c r="X3742" s="14">
        <f>IF($J3742=0,0,ROUND(MAX($J3742*1.4*1.5*1.6*1.6*2.2*2.715*2.6,3540000000*(1.579646^(MIN($E3742,123)-117)))*1,0))</f>
        <v>144239716</v>
      </c>
      <c r="Y3742" s="11">
        <f>$E3742+17</f>
        <v>127</v>
      </c>
      <c r="Z3742" s="12">
        <f>IF($J3742=0,0,ROUND(MAX($J3742*1.4*1.5*1.6*1.6*2.2*2.715*2.6*1.4,6020000000*(1.651178^(MIN($E3742,123)-117)))*1,0))</f>
        <v>179903344</v>
      </c>
      <c r="AA3742" s="13">
        <f>$E3742+19</f>
        <v>129</v>
      </c>
      <c r="AB3742" s="14">
        <f>IF($J3742=0,0,ROUND(MAX($J3742*1.4*1.5*1.6*1.6*2.2*2.715*2.6*1.4*1.4,8430000000*(1.651435^(MIN($E3742,123)-117)))*1,0))</f>
        <v>251650143</v>
      </c>
      <c r="AC3742" s="11">
        <f>$E3742+21</f>
        <v>131</v>
      </c>
      <c r="AD3742" s="12">
        <f>IF($J3742=0,0,ROUND(MAX($J3742*1.4*1.5*1.6*1.6*2.2*2.715*2.6*1.4*1.4*1.5,12600000000*(1.652953^(MIN($E3742,123)-117)))*1,0))</f>
        <v>373720576</v>
      </c>
      <c r="AE3742" s="13">
        <f>$E3742+24</f>
        <v>134</v>
      </c>
      <c r="AF3742" s="14">
        <f>IF($J3742=0,0,ROUND(MAX($J3742*1.4*1.5*1.6*1.6*2.2*2.715*2.6*1.4*1.4*1.5*1.5,18900000000*(1.65331^(MIN($E3742,123)-117)))*1,0))</f>
        <v>559734088</v>
      </c>
      <c r="AG3742" s="11">
        <f>$E3742+27</f>
        <v>137</v>
      </c>
      <c r="AH3742" s="12">
        <f>IF($J3742=0,0,ROUND(MAX($J3742*1.4*1.5*1.6*1.6*2.2*2.715*2.6*1.4*1.4*1.5*1.5*3.2,60500000000*(1.654288^(MIN($E3742,123)-117)))*1,0))</f>
        <v>1784339701</v>
      </c>
    </row>
    <row r="3743" ht="28" customHeight="1" spans="1:34" x14ac:dyDescent="0.25">
      <c r="A3743">
        <v>3753</v>
      </c>
      <c r="B3743" t="s">
        <v>175</v>
      </c>
      <c r="C3743" s="10" t="s">
        <v>1834</v>
      </c>
      <c r="D3743" t="s">
        <v>33</v>
      </c>
      <c r="E3743">
        <v>110</v>
      </c>
      <c r="F3743" t="s">
        <v>54</v>
      </c>
      <c r="G3743" t="s">
        <v>562</v>
      </c>
      <c r="H3743">
        <v>26</v>
      </c>
      <c r="I3743" s="11">
        <f>$E3743+0</f>
        <v>110</v>
      </c>
      <c r="J3743" s="12">
        <v>528000</v>
      </c>
      <c r="K3743" s="13">
        <f>$E3743+1</f>
        <v>111</v>
      </c>
      <c r="L3743" s="14">
        <f>IF($J3743=0,0,ROUND(MAX($J3743*1.4,1620000*(1.497923^(MIN($E3743,123)-117)))*1,0))</f>
        <v>739200</v>
      </c>
      <c r="M3743" s="11">
        <f>$E3743+2</f>
        <v>112</v>
      </c>
      <c r="N3743" s="12">
        <f>IF($J3743=0,0,ROUND(MAX($J3743*1.4*1.5,2190000*(1.580994^(MIN($E3743,123)-117)))*1,0))</f>
        <v>1108800</v>
      </c>
      <c r="O3743" s="13">
        <f>$E3743+4</f>
        <v>114</v>
      </c>
      <c r="P3743" s="14">
        <f>IF($J3743=0,0,ROUND(MAX($J3743*1.4*1.5*1.6,3500000*(1.57975^(MIN($E3743,123)-117)))*1,0))</f>
        <v>1774080</v>
      </c>
      <c r="Q3743" s="11">
        <f>$E3743+6</f>
        <v>116</v>
      </c>
      <c r="R3743" s="12">
        <f>IF($J3743=0,0,ROUND(MAX($J3743*1.4*1.5*1.6*1.6,13100000*(1.429962^(MIN($E3743,123)-117)))*1,0))</f>
        <v>2838528</v>
      </c>
      <c r="S3743" s="13">
        <f>$E3743+8</f>
        <v>118</v>
      </c>
      <c r="T3743" s="14">
        <f>IF($J3743=0,0,ROUND(MAX($J3743*1.4*1.5*1.6*1.6*2.2,42600000*(1.576904^(MIN($E3743,123)-117)))*1,0))</f>
        <v>6244762</v>
      </c>
      <c r="U3743" s="11">
        <f>$E3743+11</f>
        <v>121</v>
      </c>
      <c r="V3743" s="12">
        <f>IF($J3743=0,0,ROUND(MAX($J3743*1.4*1.5*1.6*1.6*2.2*2.715,354000000*(1.642074^(MIN($E3743,123)-117)))*1,0))</f>
        <v>16954528</v>
      </c>
      <c r="W3743" s="13">
        <f>$E3743+15</f>
        <v>125</v>
      </c>
      <c r="X3743" s="14">
        <f>IF($J3743=0,0,ROUND(MAX($J3743*1.4*1.5*1.6*1.6*2.2*2.715*2.6,3540000000*(1.579646^(MIN($E3743,123)-117)))*1,0))</f>
        <v>144239716</v>
      </c>
      <c r="Y3743" s="11">
        <f>$E3743+17</f>
        <v>127</v>
      </c>
      <c r="Z3743" s="12">
        <f>IF($J3743=0,0,ROUND(MAX($J3743*1.4*1.5*1.6*1.6*2.2*2.715*2.6*1.4,6020000000*(1.651178^(MIN($E3743,123)-117)))*1,0))</f>
        <v>179903344</v>
      </c>
      <c r="AA3743" s="13">
        <f>$E3743+19</f>
        <v>129</v>
      </c>
      <c r="AB3743" s="14">
        <f>IF($J3743=0,0,ROUND(MAX($J3743*1.4*1.5*1.6*1.6*2.2*2.715*2.6*1.4*1.4,8430000000*(1.651435^(MIN($E3743,123)-117)))*1,0))</f>
        <v>251650143</v>
      </c>
      <c r="AC3743" s="11">
        <f>$E3743+21</f>
        <v>131</v>
      </c>
      <c r="AD3743" s="12">
        <f>IF($J3743=0,0,ROUND(MAX($J3743*1.4*1.5*1.6*1.6*2.2*2.715*2.6*1.4*1.4*1.5,12600000000*(1.652953^(MIN($E3743,123)-117)))*1,0))</f>
        <v>373720576</v>
      </c>
      <c r="AE3743" s="13">
        <f>$E3743+24</f>
        <v>134</v>
      </c>
      <c r="AF3743" s="14">
        <f>IF($J3743=0,0,ROUND(MAX($J3743*1.4*1.5*1.6*1.6*2.2*2.715*2.6*1.4*1.4*1.5*1.5,18900000000*(1.65331^(MIN($E3743,123)-117)))*1,0))</f>
        <v>559734088</v>
      </c>
      <c r="AG3743" s="11">
        <f>$E3743+27</f>
        <v>137</v>
      </c>
      <c r="AH3743" s="12">
        <f>IF($J3743=0,0,ROUND(MAX($J3743*1.4*1.5*1.6*1.6*2.2*2.715*2.6*1.4*1.4*1.5*1.5*3.2,60500000000*(1.654288^(MIN($E3743,123)-117)))*1,0))</f>
        <v>1784339701</v>
      </c>
    </row>
    <row r="3744" ht="28" customHeight="1" spans="1:34" x14ac:dyDescent="0.25">
      <c r="A3744">
        <v>3754</v>
      </c>
      <c r="B3744" t="s">
        <v>205</v>
      </c>
      <c r="C3744" s="10" t="s">
        <v>1834</v>
      </c>
      <c r="D3744" t="s">
        <v>79</v>
      </c>
      <c r="E3744">
        <v>110</v>
      </c>
      <c r="F3744" t="s">
        <v>59</v>
      </c>
      <c r="G3744" t="s">
        <v>562</v>
      </c>
      <c r="H3744">
        <v>26</v>
      </c>
      <c r="I3744" s="11">
        <f>$E3744+0</f>
        <v>110</v>
      </c>
      <c r="J3744" s="12">
        <v>992000</v>
      </c>
      <c r="K3744" s="13">
        <f>$E3744+1</f>
        <v>111</v>
      </c>
      <c r="L3744" s="14">
        <f>IF($J3744=0,0,ROUND(MAX($J3744*1.4,1620000*(1.497923^(MIN($E3744,123)-117)))*1,0))</f>
        <v>1388800</v>
      </c>
      <c r="M3744" s="11">
        <f>$E3744+2</f>
        <v>112</v>
      </c>
      <c r="N3744" s="12">
        <f>IF($J3744=0,0,ROUND(MAX($J3744*1.4*1.5,2190000*(1.580994^(MIN($E3744,123)-117)))*1,0))</f>
        <v>2083200</v>
      </c>
      <c r="O3744" s="13">
        <f>$E3744+4</f>
        <v>114</v>
      </c>
      <c r="P3744" s="14">
        <f>IF($J3744=0,0,ROUND(MAX($J3744*1.4*1.5*1.6,3500000*(1.57975^(MIN($E3744,123)-117)))*1,0))</f>
        <v>3333120</v>
      </c>
      <c r="Q3744" s="11">
        <f>$E3744+6</f>
        <v>116</v>
      </c>
      <c r="R3744" s="12">
        <f>IF($J3744=0,0,ROUND(MAX($J3744*1.4*1.5*1.6*1.6,13100000*(1.429962^(MIN($E3744,123)-117)))*1,0))</f>
        <v>5332992</v>
      </c>
      <c r="S3744" s="13">
        <f>$E3744+8</f>
        <v>118</v>
      </c>
      <c r="T3744" s="14">
        <f>IF($J3744=0,0,ROUND(MAX($J3744*1.4*1.5*1.6*1.6*2.2,42600000*(1.576904^(MIN($E3744,123)-117)))*1,0))</f>
        <v>11732582</v>
      </c>
      <c r="U3744" s="11">
        <f>$E3744+11</f>
        <v>121</v>
      </c>
      <c r="V3744" s="12">
        <f>IF($J3744=0,0,ROUND(MAX($J3744*1.4*1.5*1.6*1.6*2.2*2.715,354000000*(1.642074^(MIN($E3744,123)-117)))*1,0))</f>
        <v>31853961</v>
      </c>
      <c r="W3744" s="13">
        <f>$E3744+15</f>
        <v>125</v>
      </c>
      <c r="X3744" s="14">
        <f>IF($J3744=0,0,ROUND(MAX($J3744*1.4*1.5*1.6*1.6*2.2*2.715*2.6,3540000000*(1.579646^(MIN($E3744,123)-117)))*1,0))</f>
        <v>144239716</v>
      </c>
      <c r="Y3744" s="11">
        <f>$E3744+17</f>
        <v>127</v>
      </c>
      <c r="Z3744" s="12">
        <f>IF($J3744=0,0,ROUND(MAX($J3744*1.4*1.5*1.6*1.6*2.2*2.715*2.6*1.4,6020000000*(1.651178^(MIN($E3744,123)-117)))*1,0))</f>
        <v>179903344</v>
      </c>
      <c r="AA3744" s="13">
        <f>$E3744+19</f>
        <v>129</v>
      </c>
      <c r="AB3744" s="14">
        <f>IF($J3744=0,0,ROUND(MAX($J3744*1.4*1.5*1.6*1.6*2.2*2.715*2.6*1.4*1.4,8430000000*(1.651435^(MIN($E3744,123)-117)))*1,0))</f>
        <v>251650143</v>
      </c>
      <c r="AC3744" s="11">
        <f>$E3744+21</f>
        <v>131</v>
      </c>
      <c r="AD3744" s="12">
        <f>IF($J3744=0,0,ROUND(MAX($J3744*1.4*1.5*1.6*1.6*2.2*2.715*2.6*1.4*1.4*1.5,12600000000*(1.652953^(MIN($E3744,123)-117)))*1,0))</f>
        <v>373720576</v>
      </c>
      <c r="AE3744" s="13">
        <f>$E3744+24</f>
        <v>134</v>
      </c>
      <c r="AF3744" s="14">
        <f>IF($J3744=0,0,ROUND(MAX($J3744*1.4*1.5*1.6*1.6*2.2*2.715*2.6*1.4*1.4*1.5*1.5,18900000000*(1.65331^(MIN($E3744,123)-117)))*1,0))</f>
        <v>559734088</v>
      </c>
      <c r="AG3744" s="11">
        <f>$E3744+27</f>
        <v>137</v>
      </c>
      <c r="AH3744" s="12">
        <f>IF($J3744=0,0,ROUND(MAX($J3744*1.4*1.5*1.6*1.6*2.2*2.715*2.6*1.4*1.4*1.5*1.5*3.2,60500000000*(1.654288^(MIN($E3744,123)-117)))*1,0))</f>
        <v>1784339701</v>
      </c>
    </row>
    <row r="3745" ht="28" customHeight="1" spans="1:34" x14ac:dyDescent="0.25">
      <c r="A3745">
        <v>3755</v>
      </c>
      <c r="B3745" t="s">
        <v>483</v>
      </c>
      <c r="C3745" s="10" t="s">
        <v>1834</v>
      </c>
      <c r="D3745" t="s">
        <v>33</v>
      </c>
      <c r="E3745">
        <v>110</v>
      </c>
      <c r="F3745" t="s">
        <v>30</v>
      </c>
      <c r="G3745" t="s">
        <v>562</v>
      </c>
      <c r="H3745">
        <v>26</v>
      </c>
      <c r="I3745" s="11">
        <f>$E3745+0</f>
        <v>110</v>
      </c>
      <c r="J3745" s="12">
        <v>563000</v>
      </c>
      <c r="K3745" s="13">
        <f>$E3745+1</f>
        <v>111</v>
      </c>
      <c r="L3745" s="14">
        <f>IF($J3745=0,0,ROUND(MAX($J3745*1.4,1620000*(1.497923^(MIN($E3745,123)-117)))*1,0))</f>
        <v>788200</v>
      </c>
      <c r="M3745" s="11">
        <f>$E3745+2</f>
        <v>112</v>
      </c>
      <c r="N3745" s="12">
        <f>IF($J3745=0,0,ROUND(MAX($J3745*1.4*1.5,2190000*(1.580994^(MIN($E3745,123)-117)))*1,0))</f>
        <v>1182300</v>
      </c>
      <c r="O3745" s="13">
        <f>$E3745+4</f>
        <v>114</v>
      </c>
      <c r="P3745" s="14">
        <f>IF($J3745=0,0,ROUND(MAX($J3745*1.4*1.5*1.6,3500000*(1.57975^(MIN($E3745,123)-117)))*1,0))</f>
        <v>1891680</v>
      </c>
      <c r="Q3745" s="11">
        <f>$E3745+6</f>
        <v>116</v>
      </c>
      <c r="R3745" s="12">
        <f>IF($J3745=0,0,ROUND(MAX($J3745*1.4*1.5*1.6*1.6,13100000*(1.429962^(MIN($E3745,123)-117)))*1,0))</f>
        <v>3026688</v>
      </c>
      <c r="S3745" s="13">
        <f>$E3745+8</f>
        <v>118</v>
      </c>
      <c r="T3745" s="14">
        <f>IF($J3745=0,0,ROUND(MAX($J3745*1.4*1.5*1.6*1.6*2.2,42600000*(1.576904^(MIN($E3745,123)-117)))*1,0))</f>
        <v>6658714</v>
      </c>
      <c r="U3745" s="11">
        <f>$E3745+11</f>
        <v>121</v>
      </c>
      <c r="V3745" s="12">
        <f>IF($J3745=0,0,ROUND(MAX($J3745*1.4*1.5*1.6*1.6*2.2*2.715,354000000*(1.642074^(MIN($E3745,123)-117)))*1,0))</f>
        <v>18078407</v>
      </c>
      <c r="W3745" s="13">
        <f>$E3745+15</f>
        <v>125</v>
      </c>
      <c r="X3745" s="14">
        <f>IF($J3745=0,0,ROUND(MAX($J3745*1.4*1.5*1.6*1.6*2.2*2.715*2.6,3540000000*(1.579646^(MIN($E3745,123)-117)))*1,0))</f>
        <v>144239716</v>
      </c>
      <c r="Y3745" s="11">
        <f>$E3745+17</f>
        <v>127</v>
      </c>
      <c r="Z3745" s="12">
        <f>IF($J3745=0,0,ROUND(MAX($J3745*1.4*1.5*1.6*1.6*2.2*2.715*2.6*1.4,6020000000*(1.651178^(MIN($E3745,123)-117)))*1,0))</f>
        <v>179903344</v>
      </c>
      <c r="AA3745" s="13">
        <f>$E3745+19</f>
        <v>129</v>
      </c>
      <c r="AB3745" s="14">
        <f>IF($J3745=0,0,ROUND(MAX($J3745*1.4*1.5*1.6*1.6*2.2*2.715*2.6*1.4*1.4,8430000000*(1.651435^(MIN($E3745,123)-117)))*1,0))</f>
        <v>251650143</v>
      </c>
      <c r="AC3745" s="11">
        <f>$E3745+21</f>
        <v>131</v>
      </c>
      <c r="AD3745" s="12">
        <f>IF($J3745=0,0,ROUND(MAX($J3745*1.4*1.5*1.6*1.6*2.2*2.715*2.6*1.4*1.4*1.5,12600000000*(1.652953^(MIN($E3745,123)-117)))*1,0))</f>
        <v>373720576</v>
      </c>
      <c r="AE3745" s="13">
        <f>$E3745+24</f>
        <v>134</v>
      </c>
      <c r="AF3745" s="14">
        <f>IF($J3745=0,0,ROUND(MAX($J3745*1.4*1.5*1.6*1.6*2.2*2.715*2.6*1.4*1.4*1.5*1.5,18900000000*(1.65331^(MIN($E3745,123)-117)))*1,0))</f>
        <v>559734088</v>
      </c>
      <c r="AG3745" s="11">
        <f>$E3745+27</f>
        <v>137</v>
      </c>
      <c r="AH3745" s="12">
        <f>IF($J3745=0,0,ROUND(MAX($J3745*1.4*1.5*1.6*1.6*2.2*2.715*2.6*1.4*1.4*1.5*1.5*3.2,60500000000*(1.654288^(MIN($E3745,123)-117)))*1,0))</f>
        <v>1784339701</v>
      </c>
    </row>
    <row r="3746" ht="28" customHeight="1" spans="1:34" x14ac:dyDescent="0.25">
      <c r="A3746">
        <v>3756</v>
      </c>
      <c r="B3746" t="s">
        <v>839</v>
      </c>
      <c r="C3746" s="10" t="s">
        <v>1834</v>
      </c>
      <c r="D3746" t="s">
        <v>40</v>
      </c>
      <c r="E3746">
        <v>110</v>
      </c>
      <c r="F3746" t="s">
        <v>174</v>
      </c>
      <c r="G3746" t="s">
        <v>562</v>
      </c>
      <c r="H3746">
        <v>26</v>
      </c>
      <c r="I3746" s="11">
        <f>$E3746+0</f>
        <v>110</v>
      </c>
      <c r="J3746" s="12">
        <v>804000</v>
      </c>
      <c r="K3746" s="13">
        <f>$E3746+1</f>
        <v>111</v>
      </c>
      <c r="L3746" s="14">
        <f>IF($J3746=0,0,ROUND(MAX($J3746*1.4,1620000*(1.497923^(MIN($E3746,123)-117)))*1,0))</f>
        <v>1125600</v>
      </c>
      <c r="M3746" s="11">
        <f>$E3746+2</f>
        <v>112</v>
      </c>
      <c r="N3746" s="12">
        <f>IF($J3746=0,0,ROUND(MAX($J3746*1.4*1.5,2190000*(1.580994^(MIN($E3746,123)-117)))*1,0))</f>
        <v>1688400</v>
      </c>
      <c r="O3746" s="13">
        <f>$E3746+4</f>
        <v>114</v>
      </c>
      <c r="P3746" s="14">
        <f>IF($J3746=0,0,ROUND(MAX($J3746*1.4*1.5*1.6,3500000*(1.57975^(MIN($E3746,123)-117)))*1,0))</f>
        <v>2701440</v>
      </c>
      <c r="Q3746" s="11">
        <f>$E3746+6</f>
        <v>116</v>
      </c>
      <c r="R3746" s="12">
        <f>IF($J3746=0,0,ROUND(MAX($J3746*1.4*1.5*1.6*1.6,13100000*(1.429962^(MIN($E3746,123)-117)))*1,0))</f>
        <v>4322304</v>
      </c>
      <c r="S3746" s="13">
        <f>$E3746+8</f>
        <v>118</v>
      </c>
      <c r="T3746" s="14">
        <f>IF($J3746=0,0,ROUND(MAX($J3746*1.4*1.5*1.6*1.6*2.2,42600000*(1.576904^(MIN($E3746,123)-117)))*1,0))</f>
        <v>9509069</v>
      </c>
      <c r="U3746" s="11">
        <f>$E3746+11</f>
        <v>121</v>
      </c>
      <c r="V3746" s="12">
        <f>IF($J3746=0,0,ROUND(MAX($J3746*1.4*1.5*1.6*1.6*2.2*2.715,354000000*(1.642074^(MIN($E3746,123)-117)))*1,0))</f>
        <v>25817122</v>
      </c>
      <c r="W3746" s="13">
        <f>$E3746+15</f>
        <v>125</v>
      </c>
      <c r="X3746" s="14">
        <f>IF($J3746=0,0,ROUND(MAX($J3746*1.4*1.5*1.6*1.6*2.2*2.715*2.6,3540000000*(1.579646^(MIN($E3746,123)-117)))*1,0))</f>
        <v>144239716</v>
      </c>
      <c r="Y3746" s="11">
        <f>$E3746+17</f>
        <v>127</v>
      </c>
      <c r="Z3746" s="12">
        <f>IF($J3746=0,0,ROUND(MAX($J3746*1.4*1.5*1.6*1.6*2.2*2.715*2.6*1.4,6020000000*(1.651178^(MIN($E3746,123)-117)))*1,0))</f>
        <v>179903344</v>
      </c>
      <c r="AA3746" s="13">
        <f>$E3746+19</f>
        <v>129</v>
      </c>
      <c r="AB3746" s="14">
        <f>IF($J3746=0,0,ROUND(MAX($J3746*1.4*1.5*1.6*1.6*2.2*2.715*2.6*1.4*1.4,8430000000*(1.651435^(MIN($E3746,123)-117)))*1,0))</f>
        <v>251650143</v>
      </c>
      <c r="AC3746" s="11">
        <f>$E3746+21</f>
        <v>131</v>
      </c>
      <c r="AD3746" s="12">
        <f>IF($J3746=0,0,ROUND(MAX($J3746*1.4*1.5*1.6*1.6*2.2*2.715*2.6*1.4*1.4*1.5,12600000000*(1.652953^(MIN($E3746,123)-117)))*1,0))</f>
        <v>373720576</v>
      </c>
      <c r="AE3746" s="13">
        <f>$E3746+24</f>
        <v>134</v>
      </c>
      <c r="AF3746" s="14">
        <f>IF($J3746=0,0,ROUND(MAX($J3746*1.4*1.5*1.6*1.6*2.2*2.715*2.6*1.4*1.4*1.5*1.5,18900000000*(1.65331^(MIN($E3746,123)-117)))*1,0))</f>
        <v>559734088</v>
      </c>
      <c r="AG3746" s="11">
        <f>$E3746+27</f>
        <v>137</v>
      </c>
      <c r="AH3746" s="12">
        <f>IF($J3746=0,0,ROUND(MAX($J3746*1.4*1.5*1.6*1.6*2.2*2.715*2.6*1.4*1.4*1.5*1.5*3.2,60500000000*(1.654288^(MIN($E3746,123)-117)))*1,0))</f>
        <v>1784339701</v>
      </c>
    </row>
    <row r="3747" ht="28" customHeight="1" spans="1:34" x14ac:dyDescent="0.25">
      <c r="A3747">
        <v>3757</v>
      </c>
      <c r="B3747" t="s">
        <v>1254</v>
      </c>
      <c r="C3747" s="10" t="s">
        <v>1834</v>
      </c>
      <c r="D3747" t="s">
        <v>79</v>
      </c>
      <c r="E3747">
        <v>109</v>
      </c>
      <c r="F3747" t="s">
        <v>54</v>
      </c>
      <c r="G3747" t="s">
        <v>562</v>
      </c>
      <c r="H3747">
        <v>26</v>
      </c>
      <c r="I3747" s="11">
        <f>$E3747+0</f>
        <v>109</v>
      </c>
      <c r="J3747" s="12">
        <v>373000</v>
      </c>
      <c r="K3747" s="13">
        <f>$E3747+1</f>
        <v>110</v>
      </c>
      <c r="L3747" s="14">
        <f>IF($J3747=0,0,ROUND(MAX($J3747*1.4,1620000*(1.497923^(MIN($E3747,123)-117)))*1,0))</f>
        <v>522200</v>
      </c>
      <c r="M3747" s="11">
        <f>$E3747+2</f>
        <v>111</v>
      </c>
      <c r="N3747" s="12">
        <f>IF($J3747=0,0,ROUND(MAX($J3747*1.4*1.5,2190000*(1.580994^(MIN($E3747,123)-117)))*1,0))</f>
        <v>783300</v>
      </c>
      <c r="O3747" s="13">
        <f>$E3747+4</f>
        <v>113</v>
      </c>
      <c r="P3747" s="14">
        <f>IF($J3747=0,0,ROUND(MAX($J3747*1.4*1.5*1.6,3500000*(1.57975^(MIN($E3747,123)-117)))*1,0))</f>
        <v>1253280</v>
      </c>
      <c r="Q3747" s="11">
        <f>$E3747+6</f>
        <v>115</v>
      </c>
      <c r="R3747" s="12">
        <f>IF($J3747=0,0,ROUND(MAX($J3747*1.4*1.5*1.6*1.6,13100000*(1.429962^(MIN($E3747,123)-117)))*1,0))</f>
        <v>2005248</v>
      </c>
      <c r="S3747" s="13">
        <f>$E3747+8</f>
        <v>117</v>
      </c>
      <c r="T3747" s="14">
        <f>IF($J3747=0,0,ROUND(MAX($J3747*1.4*1.5*1.6*1.6*2.2,42600000*(1.576904^(MIN($E3747,123)-117)))*1,0))</f>
        <v>4411546</v>
      </c>
      <c r="U3747" s="11">
        <f>$E3747+11</f>
        <v>120</v>
      </c>
      <c r="V3747" s="12">
        <f>IF($J3747=0,0,ROUND(MAX($J3747*1.4*1.5*1.6*1.6*2.2*2.715,354000000*(1.642074^(MIN($E3747,123)-117)))*1,0))</f>
        <v>11977346</v>
      </c>
      <c r="W3747" s="13">
        <f>$E3747+15</f>
        <v>124</v>
      </c>
      <c r="X3747" s="14">
        <f>IF($J3747=0,0,ROUND(MAX($J3747*1.4*1.5*1.6*1.6*2.2*2.715*2.6,3540000000*(1.579646^(MIN($E3747,123)-117)))*1,0))</f>
        <v>91311418</v>
      </c>
      <c r="Y3747" s="11">
        <f>$E3747+17</f>
        <v>126</v>
      </c>
      <c r="Z3747" s="12">
        <f>IF($J3747=0,0,ROUND(MAX($J3747*1.4*1.5*1.6*1.6*2.2*2.715*2.6*1.4,6020000000*(1.651178^(MIN($E3747,123)-117)))*1,0))</f>
        <v>108954543</v>
      </c>
      <c r="AA3747" s="13">
        <f>$E3747+19</f>
        <v>128</v>
      </c>
      <c r="AB3747" s="14">
        <f>IF($J3747=0,0,ROUND(MAX($J3747*1.4*1.5*1.6*1.6*2.2*2.715*2.6*1.4*1.4,8430000000*(1.651435^(MIN($E3747,123)-117)))*1,0))</f>
        <v>152382712</v>
      </c>
      <c r="AC3747" s="11">
        <f>$E3747+21</f>
        <v>130</v>
      </c>
      <c r="AD3747" s="12">
        <f>IF($J3747=0,0,ROUND(MAX($J3747*1.4*1.5*1.6*1.6*2.2*2.715*2.6*1.4*1.4*1.5,12600000000*(1.652953^(MIN($E3747,123)-117)))*1,0))</f>
        <v>226092682</v>
      </c>
      <c r="AE3747" s="13">
        <f>$E3747+24</f>
        <v>133</v>
      </c>
      <c r="AF3747" s="14">
        <f>IF($J3747=0,0,ROUND(MAX($J3747*1.4*1.5*1.6*1.6*2.2*2.715*2.6*1.4*1.4*1.5*1.5,18900000000*(1.65331^(MIN($E3747,123)-117)))*1,0))</f>
        <v>338553621</v>
      </c>
      <c r="AG3747" s="11">
        <f>$E3747+27</f>
        <v>136</v>
      </c>
      <c r="AH3747" s="12">
        <f>IF($J3747=0,0,ROUND(MAX($J3747*1.4*1.5*1.6*1.6*2.2*2.715*2.6*1.4*1.4*1.5*1.5*3.2,60500000000*(1.654288^(MIN($E3747,123)-117)))*1,0))</f>
        <v>1078614909</v>
      </c>
    </row>
    <row r="3748" ht="28" customHeight="1" spans="1:34" x14ac:dyDescent="0.25">
      <c r="A3748">
        <v>3758</v>
      </c>
      <c r="B3748" t="s">
        <v>199</v>
      </c>
      <c r="C3748" s="10" t="s">
        <v>1834</v>
      </c>
      <c r="D3748" t="s">
        <v>45</v>
      </c>
      <c r="E3748">
        <v>109</v>
      </c>
      <c r="F3748" t="s">
        <v>26</v>
      </c>
      <c r="G3748" t="s">
        <v>562</v>
      </c>
      <c r="H3748">
        <v>26</v>
      </c>
      <c r="I3748" s="11">
        <f>$E3748+0</f>
        <v>109</v>
      </c>
      <c r="J3748" s="12">
        <v>528000</v>
      </c>
      <c r="K3748" s="13">
        <f>$E3748+1</f>
        <v>110</v>
      </c>
      <c r="L3748" s="14">
        <f>IF($J3748=0,0,ROUND(MAX($J3748*1.4,1620000*(1.497923^(MIN($E3748,123)-117)))*1,0))</f>
        <v>739200</v>
      </c>
      <c r="M3748" s="11">
        <f>$E3748+2</f>
        <v>111</v>
      </c>
      <c r="N3748" s="12">
        <f>IF($J3748=0,0,ROUND(MAX($J3748*1.4*1.5,2190000*(1.580994^(MIN($E3748,123)-117)))*1,0))</f>
        <v>1108800</v>
      </c>
      <c r="O3748" s="13">
        <f>$E3748+4</f>
        <v>113</v>
      </c>
      <c r="P3748" s="14">
        <f>IF($J3748=0,0,ROUND(MAX($J3748*1.4*1.5*1.6,3500000*(1.57975^(MIN($E3748,123)-117)))*1,0))</f>
        <v>1774080</v>
      </c>
      <c r="Q3748" s="11">
        <f>$E3748+6</f>
        <v>115</v>
      </c>
      <c r="R3748" s="12">
        <f>IF($J3748=0,0,ROUND(MAX($J3748*1.4*1.5*1.6*1.6,13100000*(1.429962^(MIN($E3748,123)-117)))*1,0))</f>
        <v>2838528</v>
      </c>
      <c r="S3748" s="13">
        <f>$E3748+8</f>
        <v>117</v>
      </c>
      <c r="T3748" s="14">
        <f>IF($J3748=0,0,ROUND(MAX($J3748*1.4*1.5*1.6*1.6*2.2,42600000*(1.576904^(MIN($E3748,123)-117)))*1,0))</f>
        <v>6244762</v>
      </c>
      <c r="U3748" s="11">
        <f>$E3748+11</f>
        <v>120</v>
      </c>
      <c r="V3748" s="12">
        <f>IF($J3748=0,0,ROUND(MAX($J3748*1.4*1.5*1.6*1.6*2.2*2.715,354000000*(1.642074^(MIN($E3748,123)-117)))*1,0))</f>
        <v>16954528</v>
      </c>
      <c r="W3748" s="13">
        <f>$E3748+15</f>
        <v>124</v>
      </c>
      <c r="X3748" s="14">
        <f>IF($J3748=0,0,ROUND(MAX($J3748*1.4*1.5*1.6*1.6*2.2*2.715*2.6,3540000000*(1.579646^(MIN($E3748,123)-117)))*1,0))</f>
        <v>91311418</v>
      </c>
      <c r="Y3748" s="11">
        <f>$E3748+17</f>
        <v>126</v>
      </c>
      <c r="Z3748" s="12">
        <f>IF($J3748=0,0,ROUND(MAX($J3748*1.4*1.5*1.6*1.6*2.2*2.715*2.6*1.4,6020000000*(1.651178^(MIN($E3748,123)-117)))*1,0))</f>
        <v>108954543</v>
      </c>
      <c r="AA3748" s="13">
        <f>$E3748+19</f>
        <v>128</v>
      </c>
      <c r="AB3748" s="14">
        <f>IF($J3748=0,0,ROUND(MAX($J3748*1.4*1.5*1.6*1.6*2.2*2.715*2.6*1.4*1.4,8430000000*(1.651435^(MIN($E3748,123)-117)))*1,0))</f>
        <v>152382712</v>
      </c>
      <c r="AC3748" s="11">
        <f>$E3748+21</f>
        <v>130</v>
      </c>
      <c r="AD3748" s="12">
        <f>IF($J3748=0,0,ROUND(MAX($J3748*1.4*1.5*1.6*1.6*2.2*2.715*2.6*1.4*1.4*1.5,12600000000*(1.652953^(MIN($E3748,123)-117)))*1,0))</f>
        <v>226092682</v>
      </c>
      <c r="AE3748" s="13">
        <f>$E3748+24</f>
        <v>133</v>
      </c>
      <c r="AF3748" s="14">
        <f>IF($J3748=0,0,ROUND(MAX($J3748*1.4*1.5*1.6*1.6*2.2*2.715*2.6*1.4*1.4*1.5*1.5,18900000000*(1.65331^(MIN($E3748,123)-117)))*1,0))</f>
        <v>338553621</v>
      </c>
      <c r="AG3748" s="11">
        <f>$E3748+27</f>
        <v>136</v>
      </c>
      <c r="AH3748" s="12">
        <f>IF($J3748=0,0,ROUND(MAX($J3748*1.4*1.5*1.6*1.6*2.2*2.715*2.6*1.4*1.4*1.5*1.5*3.2,60500000000*(1.654288^(MIN($E3748,123)-117)))*1,0))</f>
        <v>1078614909</v>
      </c>
    </row>
    <row r="3749" ht="28" customHeight="1" spans="1:34" x14ac:dyDescent="0.25">
      <c r="A3749">
        <v>3759</v>
      </c>
      <c r="B3749" t="s">
        <v>193</v>
      </c>
      <c r="C3749" s="10" t="s">
        <v>1834</v>
      </c>
      <c r="D3749" t="s">
        <v>45</v>
      </c>
      <c r="E3749">
        <v>109</v>
      </c>
      <c r="F3749" t="s">
        <v>194</v>
      </c>
      <c r="G3749" t="s">
        <v>562</v>
      </c>
      <c r="H3749">
        <v>25</v>
      </c>
      <c r="I3749" s="11">
        <f>$E3749+0</f>
        <v>109</v>
      </c>
      <c r="J3749" s="12">
        <v>650000</v>
      </c>
      <c r="K3749" s="13">
        <f>$E3749+1</f>
        <v>110</v>
      </c>
      <c r="L3749" s="14">
        <f>IF($J3749=0,0,ROUND(MAX($J3749*1.4,1620000*(1.497923^(MIN($E3749,123)-117)))*1,0))</f>
        <v>910000</v>
      </c>
      <c r="M3749" s="11">
        <f>$E3749+2</f>
        <v>111</v>
      </c>
      <c r="N3749" s="12">
        <f>IF($J3749=0,0,ROUND(MAX($J3749*1.4*1.5,2190000*(1.580994^(MIN($E3749,123)-117)))*1,0))</f>
        <v>1365000</v>
      </c>
      <c r="O3749" s="13">
        <f>$E3749+4</f>
        <v>113</v>
      </c>
      <c r="P3749" s="14">
        <f>IF($J3749=0,0,ROUND(MAX($J3749*1.4*1.5*1.6,3500000*(1.57975^(MIN($E3749,123)-117)))*1,0))</f>
        <v>2184000</v>
      </c>
      <c r="Q3749" s="11">
        <f>$E3749+6</f>
        <v>115</v>
      </c>
      <c r="R3749" s="12">
        <f>IF($J3749=0,0,ROUND(MAX($J3749*1.4*1.5*1.6*1.6,13100000*(1.429962^(MIN($E3749,123)-117)))*1,0))</f>
        <v>3494400</v>
      </c>
      <c r="S3749" s="13">
        <f>$E3749+8</f>
        <v>117</v>
      </c>
      <c r="T3749" s="14">
        <f>IF($J3749=0,0,ROUND(MAX($J3749*1.4*1.5*1.6*1.6*2.2,42600000*(1.576904^(MIN($E3749,123)-117)))*1,0))</f>
        <v>7687680</v>
      </c>
      <c r="U3749" s="11">
        <f>$E3749+11</f>
        <v>120</v>
      </c>
      <c r="V3749" s="12">
        <f>IF($J3749=0,0,ROUND(MAX($J3749*1.4*1.5*1.6*1.6*2.2*2.715,354000000*(1.642074^(MIN($E3749,123)-117)))*1,0))</f>
        <v>20872051</v>
      </c>
      <c r="W3749" s="13">
        <f>$E3749+15</f>
        <v>124</v>
      </c>
      <c r="X3749" s="14">
        <f>IF($J3749=0,0,ROUND(MAX($J3749*1.4*1.5*1.6*1.6*2.2*2.715*2.6,3540000000*(1.579646^(MIN($E3749,123)-117)))*1,0))</f>
        <v>91311418</v>
      </c>
      <c r="Y3749" s="11">
        <f>$E3749+17</f>
        <v>126</v>
      </c>
      <c r="Z3749" s="12">
        <f>IF($J3749=0,0,ROUND(MAX($J3749*1.4*1.5*1.6*1.6*2.2*2.715*2.6*1.4,6020000000*(1.651178^(MIN($E3749,123)-117)))*1,0))</f>
        <v>108954543</v>
      </c>
      <c r="AA3749" s="13">
        <f>$E3749+19</f>
        <v>128</v>
      </c>
      <c r="AB3749" s="14">
        <f>IF($J3749=0,0,ROUND(MAX($J3749*1.4*1.5*1.6*1.6*2.2*2.715*2.6*1.4*1.4,8430000000*(1.651435^(MIN($E3749,123)-117)))*1,0))</f>
        <v>152382712</v>
      </c>
      <c r="AC3749" s="11">
        <f>$E3749+21</f>
        <v>130</v>
      </c>
      <c r="AD3749" s="12">
        <f>IF($J3749=0,0,ROUND(MAX($J3749*1.4*1.5*1.6*1.6*2.2*2.715*2.6*1.4*1.4*1.5,12600000000*(1.652953^(MIN($E3749,123)-117)))*1,0))</f>
        <v>226092682</v>
      </c>
      <c r="AE3749" s="13">
        <f>$E3749+24</f>
        <v>133</v>
      </c>
      <c r="AF3749" s="14">
        <f>IF($J3749=0,0,ROUND(MAX($J3749*1.4*1.5*1.6*1.6*2.2*2.715*2.6*1.4*1.4*1.5*1.5,18900000000*(1.65331^(MIN($E3749,123)-117)))*1,0))</f>
        <v>338553621</v>
      </c>
      <c r="AG3749" s="11">
        <f>$E3749+27</f>
        <v>136</v>
      </c>
      <c r="AH3749" s="12">
        <f>IF($J3749=0,0,ROUND(MAX($J3749*1.4*1.5*1.6*1.6*2.2*2.715*2.6*1.4*1.4*1.5*1.5*3.2,60500000000*(1.654288^(MIN($E3749,123)-117)))*1,0))</f>
        <v>1078614909</v>
      </c>
    </row>
    <row r="3750" ht="28" customHeight="1" spans="1:34" x14ac:dyDescent="0.25">
      <c r="A3750">
        <v>3760</v>
      </c>
      <c r="B3750" t="s">
        <v>201</v>
      </c>
      <c r="C3750" s="10" t="s">
        <v>1834</v>
      </c>
      <c r="D3750" t="s">
        <v>93</v>
      </c>
      <c r="E3750">
        <v>109</v>
      </c>
      <c r="F3750" t="s">
        <v>120</v>
      </c>
      <c r="G3750" t="s">
        <v>562</v>
      </c>
      <c r="H3750">
        <v>25</v>
      </c>
      <c r="I3750" s="11">
        <f>$E3750+0</f>
        <v>109</v>
      </c>
      <c r="J3750" s="12">
        <v>545000</v>
      </c>
      <c r="K3750" s="13">
        <f>$E3750+1</f>
        <v>110</v>
      </c>
      <c r="L3750" s="14">
        <f>IF($J3750=0,0,ROUND(MAX($J3750*1.4,1620000*(1.497923^(MIN($E3750,123)-117)))*1,0))</f>
        <v>763000</v>
      </c>
      <c r="M3750" s="11">
        <f>$E3750+2</f>
        <v>111</v>
      </c>
      <c r="N3750" s="12">
        <f>IF($J3750=0,0,ROUND(MAX($J3750*1.4*1.5,2190000*(1.580994^(MIN($E3750,123)-117)))*1,0))</f>
        <v>1144500</v>
      </c>
      <c r="O3750" s="13">
        <f>$E3750+4</f>
        <v>113</v>
      </c>
      <c r="P3750" s="14">
        <f>IF($J3750=0,0,ROUND(MAX($J3750*1.4*1.5*1.6,3500000*(1.57975^(MIN($E3750,123)-117)))*1,0))</f>
        <v>1831200</v>
      </c>
      <c r="Q3750" s="11">
        <f>$E3750+6</f>
        <v>115</v>
      </c>
      <c r="R3750" s="12">
        <f>IF($J3750=0,0,ROUND(MAX($J3750*1.4*1.5*1.6*1.6,13100000*(1.429962^(MIN($E3750,123)-117)))*1,0))</f>
        <v>2929920</v>
      </c>
      <c r="S3750" s="13">
        <f>$E3750+8</f>
        <v>117</v>
      </c>
      <c r="T3750" s="14">
        <f>IF($J3750=0,0,ROUND(MAX($J3750*1.4*1.5*1.6*1.6*2.2,42600000*(1.576904^(MIN($E3750,123)-117)))*1,0))</f>
        <v>6445824</v>
      </c>
      <c r="U3750" s="11">
        <f>$E3750+11</f>
        <v>120</v>
      </c>
      <c r="V3750" s="12">
        <f>IF($J3750=0,0,ROUND(MAX($J3750*1.4*1.5*1.6*1.6*2.2*2.715,354000000*(1.642074^(MIN($E3750,123)-117)))*1,0))</f>
        <v>17500412</v>
      </c>
      <c r="W3750" s="13">
        <f>$E3750+15</f>
        <v>124</v>
      </c>
      <c r="X3750" s="14">
        <f>IF($J3750=0,0,ROUND(MAX($J3750*1.4*1.5*1.6*1.6*2.2*2.715*2.6,3540000000*(1.579646^(MIN($E3750,123)-117)))*1,0))</f>
        <v>91311418</v>
      </c>
      <c r="Y3750" s="11">
        <f>$E3750+17</f>
        <v>126</v>
      </c>
      <c r="Z3750" s="12">
        <f>IF($J3750=0,0,ROUND(MAX($J3750*1.4*1.5*1.6*1.6*2.2*2.715*2.6*1.4,6020000000*(1.651178^(MIN($E3750,123)-117)))*1,0))</f>
        <v>108954543</v>
      </c>
      <c r="AA3750" s="13">
        <f>$E3750+19</f>
        <v>128</v>
      </c>
      <c r="AB3750" s="14">
        <f>IF($J3750=0,0,ROUND(MAX($J3750*1.4*1.5*1.6*1.6*2.2*2.715*2.6*1.4*1.4,8430000000*(1.651435^(MIN($E3750,123)-117)))*1,0))</f>
        <v>152382712</v>
      </c>
      <c r="AC3750" s="11">
        <f>$E3750+21</f>
        <v>130</v>
      </c>
      <c r="AD3750" s="12">
        <f>IF($J3750=0,0,ROUND(MAX($J3750*1.4*1.5*1.6*1.6*2.2*2.715*2.6*1.4*1.4*1.5,12600000000*(1.652953^(MIN($E3750,123)-117)))*1,0))</f>
        <v>226092682</v>
      </c>
      <c r="AE3750" s="13">
        <f>$E3750+24</f>
        <v>133</v>
      </c>
      <c r="AF3750" s="14">
        <f>IF($J3750=0,0,ROUND(MAX($J3750*1.4*1.5*1.6*1.6*2.2*2.715*2.6*1.4*1.4*1.5*1.5,18900000000*(1.65331^(MIN($E3750,123)-117)))*1,0))</f>
        <v>338553621</v>
      </c>
      <c r="AG3750" s="11">
        <f>$E3750+27</f>
        <v>136</v>
      </c>
      <c r="AH3750" s="12">
        <f>IF($J3750=0,0,ROUND(MAX($J3750*1.4*1.5*1.6*1.6*2.2*2.715*2.6*1.4*1.4*1.5*1.5*3.2,60500000000*(1.654288^(MIN($E3750,123)-117)))*1,0))</f>
        <v>1078614909</v>
      </c>
    </row>
    <row r="3751" ht="28" customHeight="1" spans="1:34" x14ac:dyDescent="0.25">
      <c r="A3751">
        <v>3761</v>
      </c>
      <c r="B3751" t="s">
        <v>606</v>
      </c>
      <c r="C3751" s="10" t="s">
        <v>1834</v>
      </c>
      <c r="D3751" t="s">
        <v>33</v>
      </c>
      <c r="E3751">
        <v>109</v>
      </c>
      <c r="F3751" t="s">
        <v>59</v>
      </c>
      <c r="G3751" t="s">
        <v>562</v>
      </c>
      <c r="H3751">
        <v>25</v>
      </c>
      <c r="I3751" s="11">
        <f>$E3751+0</f>
        <v>109</v>
      </c>
      <c r="J3751" s="12">
        <v>78300</v>
      </c>
      <c r="K3751" s="13">
        <f>$E3751+1</f>
        <v>110</v>
      </c>
      <c r="L3751" s="14">
        <f>IF($J3751=0,0,ROUND(MAX($J3751*1.4,1620000*(1.497923^(MIN($E3751,123)-117)))*1,0))</f>
        <v>109620</v>
      </c>
      <c r="M3751" s="11">
        <f>$E3751+2</f>
        <v>111</v>
      </c>
      <c r="N3751" s="12">
        <f>IF($J3751=0,0,ROUND(MAX($J3751*1.4*1.5,2190000*(1.580994^(MIN($E3751,123)-117)))*1,0))</f>
        <v>164430</v>
      </c>
      <c r="O3751" s="13">
        <f>$E3751+4</f>
        <v>113</v>
      </c>
      <c r="P3751" s="14">
        <f>IF($J3751=0,0,ROUND(MAX($J3751*1.4*1.5*1.6,3500000*(1.57975^(MIN($E3751,123)-117)))*1,0))</f>
        <v>263088</v>
      </c>
      <c r="Q3751" s="11">
        <f>$E3751+6</f>
        <v>115</v>
      </c>
      <c r="R3751" s="12">
        <f>IF($J3751=0,0,ROUND(MAX($J3751*1.4*1.5*1.6*1.6,13100000*(1.429962^(MIN($E3751,123)-117)))*1,0))</f>
        <v>749334</v>
      </c>
      <c r="S3751" s="13">
        <f>$E3751+8</f>
        <v>117</v>
      </c>
      <c r="T3751" s="14">
        <f>IF($J3751=0,0,ROUND(MAX($J3751*1.4*1.5*1.6*1.6*2.2,42600000*(1.576904^(MIN($E3751,123)-117)))*1,0))</f>
        <v>1114211</v>
      </c>
      <c r="U3751" s="11">
        <f>$E3751+11</f>
        <v>120</v>
      </c>
      <c r="V3751" s="12">
        <f>IF($J3751=0,0,ROUND(MAX($J3751*1.4*1.5*1.6*1.6*2.2*2.715,354000000*(1.642074^(MIN($E3751,123)-117)))*1,0))</f>
        <v>6696710</v>
      </c>
      <c r="W3751" s="13">
        <f>$E3751+15</f>
        <v>124</v>
      </c>
      <c r="X3751" s="14">
        <f>IF($J3751=0,0,ROUND(MAX($J3751*1.4*1.5*1.6*1.6*2.2*2.715*2.6,3540000000*(1.579646^(MIN($E3751,123)-117)))*1,0))</f>
        <v>91311418</v>
      </c>
      <c r="Y3751" s="11">
        <f>$E3751+17</f>
        <v>126</v>
      </c>
      <c r="Z3751" s="12">
        <f>IF($J3751=0,0,ROUND(MAX($J3751*1.4*1.5*1.6*1.6*2.2*2.715*2.6*1.4,6020000000*(1.651178^(MIN($E3751,123)-117)))*1,0))</f>
        <v>108954543</v>
      </c>
      <c r="AA3751" s="13">
        <f>$E3751+19</f>
        <v>128</v>
      </c>
      <c r="AB3751" s="14">
        <f>IF($J3751=0,0,ROUND(MAX($J3751*1.4*1.5*1.6*1.6*2.2*2.715*2.6*1.4*1.4,8430000000*(1.651435^(MIN($E3751,123)-117)))*1,0))</f>
        <v>152382712</v>
      </c>
      <c r="AC3751" s="11">
        <f>$E3751+21</f>
        <v>130</v>
      </c>
      <c r="AD3751" s="12">
        <f>IF($J3751=0,0,ROUND(MAX($J3751*1.4*1.5*1.6*1.6*2.2*2.715*2.6*1.4*1.4*1.5,12600000000*(1.652953^(MIN($E3751,123)-117)))*1,0))</f>
        <v>226092682</v>
      </c>
      <c r="AE3751" s="13">
        <f>$E3751+24</f>
        <v>133</v>
      </c>
      <c r="AF3751" s="14">
        <f>IF($J3751=0,0,ROUND(MAX($J3751*1.4*1.5*1.6*1.6*2.2*2.715*2.6*1.4*1.4*1.5*1.5,18900000000*(1.65331^(MIN($E3751,123)-117)))*1,0))</f>
        <v>338553621</v>
      </c>
      <c r="AG3751" s="11">
        <f>$E3751+27</f>
        <v>136</v>
      </c>
      <c r="AH3751" s="12">
        <f>IF($J3751=0,0,ROUND(MAX($J3751*1.4*1.5*1.6*1.6*2.2*2.715*2.6*1.4*1.4*1.5*1.5*3.2,60500000000*(1.654288^(MIN($E3751,123)-117)))*1,0))</f>
        <v>1078614909</v>
      </c>
    </row>
    <row r="3752" ht="28" customHeight="1" spans="1:34" x14ac:dyDescent="0.25">
      <c r="A3752">
        <v>3762</v>
      </c>
      <c r="B3752" t="s">
        <v>216</v>
      </c>
      <c r="C3752" s="10" t="s">
        <v>1834</v>
      </c>
      <c r="D3752" t="s">
        <v>25</v>
      </c>
      <c r="E3752">
        <v>108</v>
      </c>
      <c r="F3752" t="s">
        <v>217</v>
      </c>
      <c r="G3752" t="s">
        <v>562</v>
      </c>
      <c r="H3752">
        <v>25</v>
      </c>
      <c r="I3752" s="11">
        <f>$E3752+0</f>
        <v>108</v>
      </c>
      <c r="J3752" s="12">
        <v>361000</v>
      </c>
      <c r="K3752" s="13">
        <f>$E3752+1</f>
        <v>109</v>
      </c>
      <c r="L3752" s="14">
        <f>IF($J3752=0,0,ROUND(MAX($J3752*1.4,1620000*(1.497923^(MIN($E3752,123)-117)))*1,0))</f>
        <v>505400</v>
      </c>
      <c r="M3752" s="11">
        <f>$E3752+2</f>
        <v>110</v>
      </c>
      <c r="N3752" s="12">
        <f>IF($J3752=0,0,ROUND(MAX($J3752*1.4*1.5,2190000*(1.580994^(MIN($E3752,123)-117)))*1,0))</f>
        <v>758100</v>
      </c>
      <c r="O3752" s="13">
        <f>$E3752+4</f>
        <v>112</v>
      </c>
      <c r="P3752" s="14">
        <f>IF($J3752=0,0,ROUND(MAX($J3752*1.4*1.5*1.6,3500000*(1.57975^(MIN($E3752,123)-117)))*1,0))</f>
        <v>1212960</v>
      </c>
      <c r="Q3752" s="11">
        <f>$E3752+6</f>
        <v>114</v>
      </c>
      <c r="R3752" s="12">
        <f>IF($J3752=0,0,ROUND(MAX($J3752*1.4*1.5*1.6*1.6,13100000*(1.429962^(MIN($E3752,123)-117)))*1,0))</f>
        <v>1940736</v>
      </c>
      <c r="S3752" s="13">
        <f>$E3752+8</f>
        <v>116</v>
      </c>
      <c r="T3752" s="14">
        <f>IF($J3752=0,0,ROUND(MAX($J3752*1.4*1.5*1.6*1.6*2.2,42600000*(1.576904^(MIN($E3752,123)-117)))*1,0))</f>
        <v>4269619</v>
      </c>
      <c r="U3752" s="11">
        <f>$E3752+11</f>
        <v>119</v>
      </c>
      <c r="V3752" s="12">
        <f>IF($J3752=0,0,ROUND(MAX($J3752*1.4*1.5*1.6*1.6*2.2*2.715,354000000*(1.642074^(MIN($E3752,123)-117)))*1,0))</f>
        <v>11592016</v>
      </c>
      <c r="W3752" s="13">
        <f>$E3752+15</f>
        <v>123</v>
      </c>
      <c r="X3752" s="14">
        <f>IF($J3752=0,0,ROUND(MAX($J3752*1.4*1.5*1.6*1.6*2.2*2.715*2.6,3540000000*(1.579646^(MIN($E3752,123)-117)))*1,0))</f>
        <v>57804988</v>
      </c>
      <c r="Y3752" s="11">
        <f>$E3752+17</f>
        <v>125</v>
      </c>
      <c r="Z3752" s="12">
        <f>IF($J3752=0,0,ROUND(MAX($J3752*1.4*1.5*1.6*1.6*2.2*2.715*2.6*1.4,6020000000*(1.651178^(MIN($E3752,123)-117)))*1,0))</f>
        <v>65985946</v>
      </c>
      <c r="AA3752" s="13">
        <f>$E3752+19</f>
        <v>127</v>
      </c>
      <c r="AB3752" s="14">
        <f>IF($J3752=0,0,ROUND(MAX($J3752*1.4*1.5*1.6*1.6*2.2*2.715*2.6*1.4*1.4,8430000000*(1.651435^(MIN($E3752,123)-117)))*1,0))</f>
        <v>92272909</v>
      </c>
      <c r="AC3752" s="11">
        <f>$E3752+21</f>
        <v>129</v>
      </c>
      <c r="AD3752" s="12">
        <f>IF($J3752=0,0,ROUND(MAX($J3752*1.4*1.5*1.6*1.6*2.2*2.715*2.6*1.4*1.4*1.5,12600000000*(1.652953^(MIN($E3752,123)-117)))*1,0))</f>
        <v>136781071</v>
      </c>
      <c r="AE3752" s="13">
        <f>$E3752+24</f>
        <v>132</v>
      </c>
      <c r="AF3752" s="14">
        <f>IF($J3752=0,0,ROUND(MAX($J3752*1.4*1.5*1.6*1.6*2.2*2.715*2.6*1.4*1.4*1.5*1.5,18900000000*(1.65331^(MIN($E3752,123)-117)))*1,0))</f>
        <v>204773225</v>
      </c>
      <c r="AG3752" s="11">
        <f>$E3752+27</f>
        <v>135</v>
      </c>
      <c r="AH3752" s="12">
        <f>IF($J3752=0,0,ROUND(MAX($J3752*1.4*1.5*1.6*1.6*2.2*2.715*2.6*1.4*1.4*1.5*1.5*3.2,60500000000*(1.654288^(MIN($E3752,123)-117)))*1,0))</f>
        <v>652011566</v>
      </c>
    </row>
    <row r="3753" ht="28" customHeight="1" spans="1:34" x14ac:dyDescent="0.25">
      <c r="A3753">
        <v>3763</v>
      </c>
      <c r="B3753" t="s">
        <v>840</v>
      </c>
      <c r="C3753" s="10" t="s">
        <v>1834</v>
      </c>
      <c r="D3753" t="s">
        <v>75</v>
      </c>
      <c r="E3753">
        <v>108</v>
      </c>
      <c r="F3753" t="s">
        <v>223</v>
      </c>
      <c r="G3753" t="s">
        <v>562</v>
      </c>
      <c r="H3753">
        <v>24</v>
      </c>
      <c r="I3753" s="11">
        <f>$E3753+0</f>
        <v>108</v>
      </c>
      <c r="J3753" s="12">
        <v>521000</v>
      </c>
      <c r="K3753" s="13">
        <f>$E3753+1</f>
        <v>109</v>
      </c>
      <c r="L3753" s="14">
        <f>IF($J3753=0,0,ROUND(MAX($J3753*1.4,1620000*(1.497923^(MIN($E3753,123)-117)))*1,0))</f>
        <v>729400</v>
      </c>
      <c r="M3753" s="11">
        <f>$E3753+2</f>
        <v>110</v>
      </c>
      <c r="N3753" s="12">
        <f>IF($J3753=0,0,ROUND(MAX($J3753*1.4*1.5,2190000*(1.580994^(MIN($E3753,123)-117)))*1,0))</f>
        <v>1094100</v>
      </c>
      <c r="O3753" s="13">
        <f>$E3753+4</f>
        <v>112</v>
      </c>
      <c r="P3753" s="14">
        <f>IF($J3753=0,0,ROUND(MAX($J3753*1.4*1.5*1.6,3500000*(1.57975^(MIN($E3753,123)-117)))*1,0))</f>
        <v>1750560</v>
      </c>
      <c r="Q3753" s="11">
        <f>$E3753+6</f>
        <v>114</v>
      </c>
      <c r="R3753" s="12">
        <f>IF($J3753=0,0,ROUND(MAX($J3753*1.4*1.5*1.6*1.6,13100000*(1.429962^(MIN($E3753,123)-117)))*1,0))</f>
        <v>2800896</v>
      </c>
      <c r="S3753" s="13">
        <f>$E3753+8</f>
        <v>116</v>
      </c>
      <c r="T3753" s="14">
        <f>IF($J3753=0,0,ROUND(MAX($J3753*1.4*1.5*1.6*1.6*2.2,42600000*(1.576904^(MIN($E3753,123)-117)))*1,0))</f>
        <v>6161971</v>
      </c>
      <c r="U3753" s="11">
        <f>$E3753+11</f>
        <v>119</v>
      </c>
      <c r="V3753" s="12">
        <f>IF($J3753=0,0,ROUND(MAX($J3753*1.4*1.5*1.6*1.6*2.2*2.715,354000000*(1.642074^(MIN($E3753,123)-117)))*1,0))</f>
        <v>16729752</v>
      </c>
      <c r="W3753" s="13">
        <f>$E3753+15</f>
        <v>123</v>
      </c>
      <c r="X3753" s="14">
        <f>IF($J3753=0,0,ROUND(MAX($J3753*1.4*1.5*1.6*1.6*2.2*2.715*2.6,3540000000*(1.579646^(MIN($E3753,123)-117)))*1,0))</f>
        <v>57804988</v>
      </c>
      <c r="Y3753" s="11">
        <f>$E3753+17</f>
        <v>125</v>
      </c>
      <c r="Z3753" s="12">
        <f>IF($J3753=0,0,ROUND(MAX($J3753*1.4*1.5*1.6*1.6*2.2*2.715*2.6*1.4,6020000000*(1.651178^(MIN($E3753,123)-117)))*1,0))</f>
        <v>65985946</v>
      </c>
      <c r="AA3753" s="13">
        <f>$E3753+19</f>
        <v>127</v>
      </c>
      <c r="AB3753" s="14">
        <f>IF($J3753=0,0,ROUND(MAX($J3753*1.4*1.5*1.6*1.6*2.2*2.715*2.6*1.4*1.4,8430000000*(1.651435^(MIN($E3753,123)-117)))*1,0))</f>
        <v>92272909</v>
      </c>
      <c r="AC3753" s="11">
        <f>$E3753+21</f>
        <v>129</v>
      </c>
      <c r="AD3753" s="12">
        <f>IF($J3753=0,0,ROUND(MAX($J3753*1.4*1.5*1.6*1.6*2.2*2.715*2.6*1.4*1.4*1.5,12600000000*(1.652953^(MIN($E3753,123)-117)))*1,0))</f>
        <v>136781071</v>
      </c>
      <c r="AE3753" s="13">
        <f>$E3753+24</f>
        <v>132</v>
      </c>
      <c r="AF3753" s="14">
        <f>IF($J3753=0,0,ROUND(MAX($J3753*1.4*1.5*1.6*1.6*2.2*2.715*2.6*1.4*1.4*1.5*1.5,18900000000*(1.65331^(MIN($E3753,123)-117)))*1,0))</f>
        <v>204773225</v>
      </c>
      <c r="AG3753" s="11">
        <f>$E3753+27</f>
        <v>135</v>
      </c>
      <c r="AH3753" s="12">
        <f>IF($J3753=0,0,ROUND(MAX($J3753*1.4*1.5*1.6*1.6*2.2*2.715*2.6*1.4*1.4*1.5*1.5*3.2,60500000000*(1.654288^(MIN($E3753,123)-117)))*1,0))</f>
        <v>652011566</v>
      </c>
    </row>
    <row r="3754" ht="28" customHeight="1" spans="1:34" x14ac:dyDescent="0.25">
      <c r="A3754">
        <v>3764</v>
      </c>
      <c r="B3754" t="s">
        <v>687</v>
      </c>
      <c r="C3754" s="10" t="s">
        <v>1834</v>
      </c>
      <c r="D3754" t="s">
        <v>25</v>
      </c>
      <c r="E3754">
        <v>108</v>
      </c>
      <c r="F3754" t="s">
        <v>194</v>
      </c>
      <c r="G3754" t="s">
        <v>562</v>
      </c>
      <c r="H3754">
        <v>24</v>
      </c>
      <c r="I3754" s="11">
        <f>$E3754+0</f>
        <v>108</v>
      </c>
      <c r="J3754" s="12">
        <v>603000</v>
      </c>
      <c r="K3754" s="13">
        <f>$E3754+1</f>
        <v>109</v>
      </c>
      <c r="L3754" s="14">
        <f>IF($J3754=0,0,ROUND(MAX($J3754*1.4,1620000*(1.497923^(MIN($E3754,123)-117)))*1,0))</f>
        <v>844200</v>
      </c>
      <c r="M3754" s="11">
        <f>$E3754+2</f>
        <v>110</v>
      </c>
      <c r="N3754" s="12">
        <f>IF($J3754=0,0,ROUND(MAX($J3754*1.4*1.5,2190000*(1.580994^(MIN($E3754,123)-117)))*1,0))</f>
        <v>1266300</v>
      </c>
      <c r="O3754" s="13">
        <f>$E3754+4</f>
        <v>112</v>
      </c>
      <c r="P3754" s="14">
        <f>IF($J3754=0,0,ROUND(MAX($J3754*1.4*1.5*1.6,3500000*(1.57975^(MIN($E3754,123)-117)))*1,0))</f>
        <v>2026080</v>
      </c>
      <c r="Q3754" s="11">
        <f>$E3754+6</f>
        <v>114</v>
      </c>
      <c r="R3754" s="12">
        <f>IF($J3754=0,0,ROUND(MAX($J3754*1.4*1.5*1.6*1.6,13100000*(1.429962^(MIN($E3754,123)-117)))*1,0))</f>
        <v>3241728</v>
      </c>
      <c r="S3754" s="13">
        <f>$E3754+8</f>
        <v>116</v>
      </c>
      <c r="T3754" s="14">
        <f>IF($J3754=0,0,ROUND(MAX($J3754*1.4*1.5*1.6*1.6*2.2,42600000*(1.576904^(MIN($E3754,123)-117)))*1,0))</f>
        <v>7131802</v>
      </c>
      <c r="U3754" s="11">
        <f>$E3754+11</f>
        <v>119</v>
      </c>
      <c r="V3754" s="12">
        <f>IF($J3754=0,0,ROUND(MAX($J3754*1.4*1.5*1.6*1.6*2.2*2.715,354000000*(1.642074^(MIN($E3754,123)-117)))*1,0))</f>
        <v>19362841</v>
      </c>
      <c r="W3754" s="13">
        <f>$E3754+15</f>
        <v>123</v>
      </c>
      <c r="X3754" s="14">
        <f>IF($J3754=0,0,ROUND(MAX($J3754*1.4*1.5*1.6*1.6*2.2*2.715*2.6,3540000000*(1.579646^(MIN($E3754,123)-117)))*1,0))</f>
        <v>57804988</v>
      </c>
      <c r="Y3754" s="11">
        <f>$E3754+17</f>
        <v>125</v>
      </c>
      <c r="Z3754" s="12">
        <f>IF($J3754=0,0,ROUND(MAX($J3754*1.4*1.5*1.6*1.6*2.2*2.715*2.6*1.4,6020000000*(1.651178^(MIN($E3754,123)-117)))*1,0))</f>
        <v>70480742</v>
      </c>
      <c r="AA3754" s="13">
        <f>$E3754+19</f>
        <v>127</v>
      </c>
      <c r="AB3754" s="14">
        <f>IF($J3754=0,0,ROUND(MAX($J3754*1.4*1.5*1.6*1.6*2.2*2.715*2.6*1.4*1.4,8430000000*(1.651435^(MIN($E3754,123)-117)))*1,0))</f>
        <v>98673039</v>
      </c>
      <c r="AC3754" s="11">
        <f>$E3754+21</f>
        <v>129</v>
      </c>
      <c r="AD3754" s="12">
        <f>IF($J3754=0,0,ROUND(MAX($J3754*1.4*1.5*1.6*1.6*2.2*2.715*2.6*1.4*1.4*1.5,12600000000*(1.652953^(MIN($E3754,123)-117)))*1,0))</f>
        <v>148009559</v>
      </c>
      <c r="AE3754" s="13">
        <f>$E3754+24</f>
        <v>132</v>
      </c>
      <c r="AF3754" s="14">
        <f>IF($J3754=0,0,ROUND(MAX($J3754*1.4*1.5*1.6*1.6*2.2*2.715*2.6*1.4*1.4*1.5*1.5,18900000000*(1.65331^(MIN($E3754,123)-117)))*1,0))</f>
        <v>222014339</v>
      </c>
      <c r="AG3754" s="11">
        <f>$E3754+27</f>
        <v>135</v>
      </c>
      <c r="AH3754" s="12">
        <f>IF($J3754=0,0,ROUND(MAX($J3754*1.4*1.5*1.6*1.6*2.2*2.715*2.6*1.4*1.4*1.5*1.5*3.2,60500000000*(1.654288^(MIN($E3754,123)-117)))*1,0))</f>
        <v>710445884</v>
      </c>
    </row>
    <row r="3755" ht="28" customHeight="1" spans="1:34" x14ac:dyDescent="0.25">
      <c r="A3755">
        <v>3765</v>
      </c>
      <c r="B3755" t="s">
        <v>219</v>
      </c>
      <c r="C3755" s="10" t="s">
        <v>1834</v>
      </c>
      <c r="D3755" t="s">
        <v>40</v>
      </c>
      <c r="E3755">
        <v>108</v>
      </c>
      <c r="F3755" t="s">
        <v>108</v>
      </c>
      <c r="G3755" t="s">
        <v>562</v>
      </c>
      <c r="H3755">
        <v>24</v>
      </c>
      <c r="I3755" s="11">
        <f>$E3755+0</f>
        <v>108</v>
      </c>
      <c r="J3755" s="12">
        <v>367000</v>
      </c>
      <c r="K3755" s="13">
        <f>$E3755+1</f>
        <v>109</v>
      </c>
      <c r="L3755" s="14">
        <f>IF($J3755=0,0,ROUND(MAX($J3755*1.4,1620000*(1.497923^(MIN($E3755,123)-117)))*1,0))</f>
        <v>513800</v>
      </c>
      <c r="M3755" s="11">
        <f>$E3755+2</f>
        <v>110</v>
      </c>
      <c r="N3755" s="12">
        <f>IF($J3755=0,0,ROUND(MAX($J3755*1.4*1.5,2190000*(1.580994^(MIN($E3755,123)-117)))*1,0))</f>
        <v>770700</v>
      </c>
      <c r="O3755" s="13">
        <f>$E3755+4</f>
        <v>112</v>
      </c>
      <c r="P3755" s="14">
        <f>IF($J3755=0,0,ROUND(MAX($J3755*1.4*1.5*1.6,3500000*(1.57975^(MIN($E3755,123)-117)))*1,0))</f>
        <v>1233120</v>
      </c>
      <c r="Q3755" s="11">
        <f>$E3755+6</f>
        <v>114</v>
      </c>
      <c r="R3755" s="12">
        <f>IF($J3755=0,0,ROUND(MAX($J3755*1.4*1.5*1.6*1.6,13100000*(1.429962^(MIN($E3755,123)-117)))*1,0))</f>
        <v>1972992</v>
      </c>
      <c r="S3755" s="13">
        <f>$E3755+8</f>
        <v>116</v>
      </c>
      <c r="T3755" s="14">
        <f>IF($J3755=0,0,ROUND(MAX($J3755*1.4*1.5*1.6*1.6*2.2,42600000*(1.576904^(MIN($E3755,123)-117)))*1,0))</f>
        <v>4340582</v>
      </c>
      <c r="U3755" s="11">
        <f>$E3755+11</f>
        <v>119</v>
      </c>
      <c r="V3755" s="12">
        <f>IF($J3755=0,0,ROUND(MAX($J3755*1.4*1.5*1.6*1.6*2.2*2.715,354000000*(1.642074^(MIN($E3755,123)-117)))*1,0))</f>
        <v>11784681</v>
      </c>
      <c r="W3755" s="13">
        <f>$E3755+15</f>
        <v>123</v>
      </c>
      <c r="X3755" s="14">
        <f>IF($J3755=0,0,ROUND(MAX($J3755*1.4*1.5*1.6*1.6*2.2*2.715*2.6,3540000000*(1.579646^(MIN($E3755,123)-117)))*1,0))</f>
        <v>57804988</v>
      </c>
      <c r="Y3755" s="11">
        <f>$E3755+17</f>
        <v>125</v>
      </c>
      <c r="Z3755" s="12">
        <f>IF($J3755=0,0,ROUND(MAX($J3755*1.4*1.5*1.6*1.6*2.2*2.715*2.6*1.4,6020000000*(1.651178^(MIN($E3755,123)-117)))*1,0))</f>
        <v>65985946</v>
      </c>
      <c r="AA3755" s="13">
        <f>$E3755+19</f>
        <v>127</v>
      </c>
      <c r="AB3755" s="14">
        <f>IF($J3755=0,0,ROUND(MAX($J3755*1.4*1.5*1.6*1.6*2.2*2.715*2.6*1.4*1.4,8430000000*(1.651435^(MIN($E3755,123)-117)))*1,0))</f>
        <v>92272909</v>
      </c>
      <c r="AC3755" s="11">
        <f>$E3755+21</f>
        <v>129</v>
      </c>
      <c r="AD3755" s="12">
        <f>IF($J3755=0,0,ROUND(MAX($J3755*1.4*1.5*1.6*1.6*2.2*2.715*2.6*1.4*1.4*1.5,12600000000*(1.652953^(MIN($E3755,123)-117)))*1,0))</f>
        <v>136781071</v>
      </c>
      <c r="AE3755" s="13">
        <f>$E3755+24</f>
        <v>132</v>
      </c>
      <c r="AF3755" s="14">
        <f>IF($J3755=0,0,ROUND(MAX($J3755*1.4*1.5*1.6*1.6*2.2*2.715*2.6*1.4*1.4*1.5*1.5,18900000000*(1.65331^(MIN($E3755,123)-117)))*1,0))</f>
        <v>204773225</v>
      </c>
      <c r="AG3755" s="11">
        <f>$E3755+27</f>
        <v>135</v>
      </c>
      <c r="AH3755" s="12">
        <f>IF($J3755=0,0,ROUND(MAX($J3755*1.4*1.5*1.6*1.6*2.2*2.715*2.6*1.4*1.4*1.5*1.5*3.2,60500000000*(1.654288^(MIN($E3755,123)-117)))*1,0))</f>
        <v>652011566</v>
      </c>
    </row>
    <row r="3756" ht="28" customHeight="1" spans="1:34" x14ac:dyDescent="0.25">
      <c r="A3756">
        <v>3766</v>
      </c>
      <c r="B3756" t="s">
        <v>558</v>
      </c>
      <c r="C3756" s="10" t="s">
        <v>1834</v>
      </c>
      <c r="D3756" t="s">
        <v>75</v>
      </c>
      <c r="E3756">
        <v>108</v>
      </c>
      <c r="F3756" t="s">
        <v>71</v>
      </c>
      <c r="G3756" t="s">
        <v>562</v>
      </c>
      <c r="H3756">
        <v>24</v>
      </c>
      <c r="I3756" s="11">
        <f>$E3756+0</f>
        <v>108</v>
      </c>
      <c r="J3756" s="12">
        <v>106000</v>
      </c>
      <c r="K3756" s="13">
        <f>$E3756+1</f>
        <v>109</v>
      </c>
      <c r="L3756" s="14">
        <f>IF($J3756=0,0,ROUND(MAX($J3756*1.4,1620000*(1.497923^(MIN($E3756,123)-117)))*1,0))</f>
        <v>148400</v>
      </c>
      <c r="M3756" s="11">
        <f>$E3756+2</f>
        <v>110</v>
      </c>
      <c r="N3756" s="12">
        <f>IF($J3756=0,0,ROUND(MAX($J3756*1.4*1.5,2190000*(1.580994^(MIN($E3756,123)-117)))*1,0))</f>
        <v>222600</v>
      </c>
      <c r="O3756" s="13">
        <f>$E3756+4</f>
        <v>112</v>
      </c>
      <c r="P3756" s="14">
        <f>IF($J3756=0,0,ROUND(MAX($J3756*1.4*1.5*1.6,3500000*(1.57975^(MIN($E3756,123)-117)))*1,0))</f>
        <v>356160</v>
      </c>
      <c r="Q3756" s="11">
        <f>$E3756+6</f>
        <v>114</v>
      </c>
      <c r="R3756" s="12">
        <f>IF($J3756=0,0,ROUND(MAX($J3756*1.4*1.5*1.6*1.6,13100000*(1.429962^(MIN($E3756,123)-117)))*1,0))</f>
        <v>569856</v>
      </c>
      <c r="S3756" s="13">
        <f>$E3756+8</f>
        <v>116</v>
      </c>
      <c r="T3756" s="14">
        <f>IF($J3756=0,0,ROUND(MAX($J3756*1.4*1.5*1.6*1.6*2.2,42600000*(1.576904^(MIN($E3756,123)-117)))*1,0))</f>
        <v>1253683</v>
      </c>
      <c r="U3756" s="11">
        <f>$E3756+11</f>
        <v>119</v>
      </c>
      <c r="V3756" s="12">
        <f>IF($J3756=0,0,ROUND(MAX($J3756*1.4*1.5*1.6*1.6*2.2*2.715,354000000*(1.642074^(MIN($E3756,123)-117)))*1,0))</f>
        <v>4078202</v>
      </c>
      <c r="W3756" s="13">
        <f>$E3756+15</f>
        <v>123</v>
      </c>
      <c r="X3756" s="14">
        <f>IF($J3756=0,0,ROUND(MAX($J3756*1.4*1.5*1.6*1.6*2.2*2.715*2.6,3540000000*(1.579646^(MIN($E3756,123)-117)))*1,0))</f>
        <v>57804988</v>
      </c>
      <c r="Y3756" s="11">
        <f>$E3756+17</f>
        <v>125</v>
      </c>
      <c r="Z3756" s="12">
        <f>IF($J3756=0,0,ROUND(MAX($J3756*1.4*1.5*1.6*1.6*2.2*2.715*2.6*1.4,6020000000*(1.651178^(MIN($E3756,123)-117)))*1,0))</f>
        <v>65985946</v>
      </c>
      <c r="AA3756" s="13">
        <f>$E3756+19</f>
        <v>127</v>
      </c>
      <c r="AB3756" s="14">
        <f>IF($J3756=0,0,ROUND(MAX($J3756*1.4*1.5*1.6*1.6*2.2*2.715*2.6*1.4*1.4,8430000000*(1.651435^(MIN($E3756,123)-117)))*1,0))</f>
        <v>92272909</v>
      </c>
      <c r="AC3756" s="11">
        <f>$E3756+21</f>
        <v>129</v>
      </c>
      <c r="AD3756" s="12">
        <f>IF($J3756=0,0,ROUND(MAX($J3756*1.4*1.5*1.6*1.6*2.2*2.715*2.6*1.4*1.4*1.5,12600000000*(1.652953^(MIN($E3756,123)-117)))*1,0))</f>
        <v>136781071</v>
      </c>
      <c r="AE3756" s="13">
        <f>$E3756+24</f>
        <v>132</v>
      </c>
      <c r="AF3756" s="14">
        <f>IF($J3756=0,0,ROUND(MAX($J3756*1.4*1.5*1.6*1.6*2.2*2.715*2.6*1.4*1.4*1.5*1.5,18900000000*(1.65331^(MIN($E3756,123)-117)))*1,0))</f>
        <v>204773225</v>
      </c>
      <c r="AG3756" s="11">
        <f>$E3756+27</f>
        <v>135</v>
      </c>
      <c r="AH3756" s="12">
        <f>IF($J3756=0,0,ROUND(MAX($J3756*1.4*1.5*1.6*1.6*2.2*2.715*2.6*1.4*1.4*1.5*1.5*3.2,60500000000*(1.654288^(MIN($E3756,123)-117)))*1,0))</f>
        <v>652011566</v>
      </c>
    </row>
    <row r="3757" ht="28" customHeight="1" spans="1:34" x14ac:dyDescent="0.25">
      <c r="A3757">
        <v>3767</v>
      </c>
      <c r="B3757" t="s">
        <v>203</v>
      </c>
      <c r="C3757" s="10" t="s">
        <v>1834</v>
      </c>
      <c r="D3757" t="s">
        <v>25</v>
      </c>
      <c r="E3757">
        <v>108</v>
      </c>
      <c r="F3757" t="s">
        <v>204</v>
      </c>
      <c r="G3757" t="s">
        <v>562</v>
      </c>
      <c r="H3757">
        <v>24</v>
      </c>
      <c r="I3757" s="11">
        <f>$E3757+0</f>
        <v>108</v>
      </c>
      <c r="J3757" s="12">
        <v>367000</v>
      </c>
      <c r="K3757" s="13">
        <f>$E3757+1</f>
        <v>109</v>
      </c>
      <c r="L3757" s="14">
        <f>IF($J3757=0,0,ROUND(MAX($J3757*1.4,1620000*(1.497923^(MIN($E3757,123)-117)))*1,0))</f>
        <v>513800</v>
      </c>
      <c r="M3757" s="11">
        <f>$E3757+2</f>
        <v>110</v>
      </c>
      <c r="N3757" s="12">
        <f>IF($J3757=0,0,ROUND(MAX($J3757*1.4*1.5,2190000*(1.580994^(MIN($E3757,123)-117)))*1,0))</f>
        <v>770700</v>
      </c>
      <c r="O3757" s="13">
        <f>$E3757+4</f>
        <v>112</v>
      </c>
      <c r="P3757" s="14">
        <f>IF($J3757=0,0,ROUND(MAX($J3757*1.4*1.5*1.6,3500000*(1.57975^(MIN($E3757,123)-117)))*1,0))</f>
        <v>1233120</v>
      </c>
      <c r="Q3757" s="11">
        <f>$E3757+6</f>
        <v>114</v>
      </c>
      <c r="R3757" s="12">
        <f>IF($J3757=0,0,ROUND(MAX($J3757*1.4*1.5*1.6*1.6,13100000*(1.429962^(MIN($E3757,123)-117)))*1,0))</f>
        <v>1972992</v>
      </c>
      <c r="S3757" s="13">
        <f>$E3757+8</f>
        <v>116</v>
      </c>
      <c r="T3757" s="14">
        <f>IF($J3757=0,0,ROUND(MAX($J3757*1.4*1.5*1.6*1.6*2.2,42600000*(1.576904^(MIN($E3757,123)-117)))*1,0))</f>
        <v>4340582</v>
      </c>
      <c r="U3757" s="11">
        <f>$E3757+11</f>
        <v>119</v>
      </c>
      <c r="V3757" s="12">
        <f>IF($J3757=0,0,ROUND(MAX($J3757*1.4*1.5*1.6*1.6*2.2*2.715,354000000*(1.642074^(MIN($E3757,123)-117)))*1,0))</f>
        <v>11784681</v>
      </c>
      <c r="W3757" s="13">
        <f>$E3757+15</f>
        <v>123</v>
      </c>
      <c r="X3757" s="14">
        <f>IF($J3757=0,0,ROUND(MAX($J3757*1.4*1.5*1.6*1.6*2.2*2.715*2.6,3540000000*(1.579646^(MIN($E3757,123)-117)))*1,0))</f>
        <v>57804988</v>
      </c>
      <c r="Y3757" s="11">
        <f>$E3757+17</f>
        <v>125</v>
      </c>
      <c r="Z3757" s="12">
        <f>IF($J3757=0,0,ROUND(MAX($J3757*1.4*1.5*1.6*1.6*2.2*2.715*2.6*1.4,6020000000*(1.651178^(MIN($E3757,123)-117)))*1,0))</f>
        <v>65985946</v>
      </c>
      <c r="AA3757" s="13">
        <f>$E3757+19</f>
        <v>127</v>
      </c>
      <c r="AB3757" s="14">
        <f>IF($J3757=0,0,ROUND(MAX($J3757*1.4*1.5*1.6*1.6*2.2*2.715*2.6*1.4*1.4,8430000000*(1.651435^(MIN($E3757,123)-117)))*1,0))</f>
        <v>92272909</v>
      </c>
      <c r="AC3757" s="11">
        <f>$E3757+21</f>
        <v>129</v>
      </c>
      <c r="AD3757" s="12">
        <f>IF($J3757=0,0,ROUND(MAX($J3757*1.4*1.5*1.6*1.6*2.2*2.715*2.6*1.4*1.4*1.5,12600000000*(1.652953^(MIN($E3757,123)-117)))*1,0))</f>
        <v>136781071</v>
      </c>
      <c r="AE3757" s="13">
        <f>$E3757+24</f>
        <v>132</v>
      </c>
      <c r="AF3757" s="14">
        <f>IF($J3757=0,0,ROUND(MAX($J3757*1.4*1.5*1.6*1.6*2.2*2.715*2.6*1.4*1.4*1.5*1.5,18900000000*(1.65331^(MIN($E3757,123)-117)))*1,0))</f>
        <v>204773225</v>
      </c>
      <c r="AG3757" s="11">
        <f>$E3757+27</f>
        <v>135</v>
      </c>
      <c r="AH3757" s="12">
        <f>IF($J3757=0,0,ROUND(MAX($J3757*1.4*1.5*1.6*1.6*2.2*2.715*2.6*1.4*1.4*1.5*1.5*3.2,60500000000*(1.654288^(MIN($E3757,123)-117)))*1,0))</f>
        <v>652011566</v>
      </c>
    </row>
    <row r="3758" ht="28" customHeight="1" spans="1:34" x14ac:dyDescent="0.25">
      <c r="A3758">
        <v>3768</v>
      </c>
      <c r="B3758" t="s">
        <v>182</v>
      </c>
      <c r="C3758" s="10" t="s">
        <v>1834</v>
      </c>
      <c r="D3758" t="s">
        <v>40</v>
      </c>
      <c r="E3758">
        <v>108</v>
      </c>
      <c r="F3758" t="s">
        <v>183</v>
      </c>
      <c r="G3758" t="s">
        <v>562</v>
      </c>
      <c r="H3758">
        <v>24</v>
      </c>
      <c r="I3758" s="11">
        <f>$E3758+0</f>
        <v>108</v>
      </c>
      <c r="J3758" s="12">
        <v>581000</v>
      </c>
      <c r="K3758" s="13">
        <f>$E3758+1</f>
        <v>109</v>
      </c>
      <c r="L3758" s="14">
        <f>IF($J3758=0,0,ROUND(MAX($J3758*1.4,1620000*(1.497923^(MIN($E3758,123)-117)))*1,0))</f>
        <v>813400</v>
      </c>
      <c r="M3758" s="11">
        <f>$E3758+2</f>
        <v>110</v>
      </c>
      <c r="N3758" s="12">
        <f>IF($J3758=0,0,ROUND(MAX($J3758*1.4*1.5,2190000*(1.580994^(MIN($E3758,123)-117)))*1,0))</f>
        <v>1220100</v>
      </c>
      <c r="O3758" s="13">
        <f>$E3758+4</f>
        <v>112</v>
      </c>
      <c r="P3758" s="14">
        <f>IF($J3758=0,0,ROUND(MAX($J3758*1.4*1.5*1.6,3500000*(1.57975^(MIN($E3758,123)-117)))*1,0))</f>
        <v>1952160</v>
      </c>
      <c r="Q3758" s="11">
        <f>$E3758+6</f>
        <v>114</v>
      </c>
      <c r="R3758" s="12">
        <f>IF($J3758=0,0,ROUND(MAX($J3758*1.4*1.5*1.6*1.6,13100000*(1.429962^(MIN($E3758,123)-117)))*1,0))</f>
        <v>3123456</v>
      </c>
      <c r="S3758" s="13">
        <f>$E3758+8</f>
        <v>116</v>
      </c>
      <c r="T3758" s="14">
        <f>IF($J3758=0,0,ROUND(MAX($J3758*1.4*1.5*1.6*1.6*2.2,42600000*(1.576904^(MIN($E3758,123)-117)))*1,0))</f>
        <v>6871603</v>
      </c>
      <c r="U3758" s="11">
        <f>$E3758+11</f>
        <v>119</v>
      </c>
      <c r="V3758" s="12">
        <f>IF($J3758=0,0,ROUND(MAX($J3758*1.4*1.5*1.6*1.6*2.2*2.715,354000000*(1.642074^(MIN($E3758,123)-117)))*1,0))</f>
        <v>18656403</v>
      </c>
      <c r="W3758" s="13">
        <f>$E3758+15</f>
        <v>123</v>
      </c>
      <c r="X3758" s="14">
        <f>IF($J3758=0,0,ROUND(MAX($J3758*1.4*1.5*1.6*1.6*2.2*2.715*2.6,3540000000*(1.579646^(MIN($E3758,123)-117)))*1,0))</f>
        <v>57804988</v>
      </c>
      <c r="Y3758" s="11">
        <f>$E3758+17</f>
        <v>125</v>
      </c>
      <c r="Z3758" s="12">
        <f>IF($J3758=0,0,ROUND(MAX($J3758*1.4*1.5*1.6*1.6*2.2*2.715*2.6*1.4,6020000000*(1.651178^(MIN($E3758,123)-117)))*1,0))</f>
        <v>67909306</v>
      </c>
      <c r="AA3758" s="13">
        <f>$E3758+19</f>
        <v>127</v>
      </c>
      <c r="AB3758" s="14">
        <f>IF($J3758=0,0,ROUND(MAX($J3758*1.4*1.5*1.6*1.6*2.2*2.715*2.6*1.4*1.4,8430000000*(1.651435^(MIN($E3758,123)-117)))*1,0))</f>
        <v>95073028</v>
      </c>
      <c r="AC3758" s="11">
        <f>$E3758+21</f>
        <v>129</v>
      </c>
      <c r="AD3758" s="12">
        <f>IF($J3758=0,0,ROUND(MAX($J3758*1.4*1.5*1.6*1.6*2.2*2.715*2.6*1.4*1.4*1.5,12600000000*(1.652953^(MIN($E3758,123)-117)))*1,0))</f>
        <v>142609542</v>
      </c>
      <c r="AE3758" s="13">
        <f>$E3758+24</f>
        <v>132</v>
      </c>
      <c r="AF3758" s="14">
        <f>IF($J3758=0,0,ROUND(MAX($J3758*1.4*1.5*1.6*1.6*2.2*2.715*2.6*1.4*1.4*1.5*1.5,18900000000*(1.65331^(MIN($E3758,123)-117)))*1,0))</f>
        <v>213914313</v>
      </c>
      <c r="AG3758" s="11">
        <f>$E3758+27</f>
        <v>135</v>
      </c>
      <c r="AH3758" s="12">
        <f>IF($J3758=0,0,ROUND(MAX($J3758*1.4*1.5*1.6*1.6*2.2*2.715*2.6*1.4*1.4*1.5*1.5*3.2,60500000000*(1.654288^(MIN($E3758,123)-117)))*1,0))</f>
        <v>684525802</v>
      </c>
    </row>
    <row r="3759" ht="28" customHeight="1" spans="1:34" x14ac:dyDescent="0.25">
      <c r="A3759">
        <v>3769</v>
      </c>
      <c r="B3759" t="s">
        <v>662</v>
      </c>
      <c r="C3759" s="10" t="s">
        <v>1834</v>
      </c>
      <c r="D3759" t="s">
        <v>40</v>
      </c>
      <c r="E3759">
        <v>107</v>
      </c>
      <c r="F3759" t="s">
        <v>56</v>
      </c>
      <c r="G3759" t="s">
        <v>562</v>
      </c>
      <c r="H3759">
        <v>24</v>
      </c>
      <c r="I3759" s="11">
        <f>$E3759+0</f>
        <v>107</v>
      </c>
      <c r="J3759" s="12">
        <v>338000</v>
      </c>
      <c r="K3759" s="13">
        <f>$E3759+1</f>
        <v>108</v>
      </c>
      <c r="L3759" s="14">
        <f>IF($J3759=0,0,ROUND(MAX($J3759*1.4,1620000*(1.497923^(MIN($E3759,123)-117)))*1,0))</f>
        <v>473200</v>
      </c>
      <c r="M3759" s="11">
        <f>$E3759+2</f>
        <v>109</v>
      </c>
      <c r="N3759" s="12">
        <f>IF($J3759=0,0,ROUND(MAX($J3759*1.4*1.5,2190000*(1.580994^(MIN($E3759,123)-117)))*1,0))</f>
        <v>709800</v>
      </c>
      <c r="O3759" s="13">
        <f>$E3759+4</f>
        <v>111</v>
      </c>
      <c r="P3759" s="14">
        <f>IF($J3759=0,0,ROUND(MAX($J3759*1.4*1.5*1.6,3500000*(1.57975^(MIN($E3759,123)-117)))*1,0))</f>
        <v>1135680</v>
      </c>
      <c r="Q3759" s="11">
        <f>$E3759+6</f>
        <v>113</v>
      </c>
      <c r="R3759" s="12">
        <f>IF($J3759=0,0,ROUND(MAX($J3759*1.4*1.5*1.6*1.6,13100000*(1.429962^(MIN($E3759,123)-117)))*1,0))</f>
        <v>1817088</v>
      </c>
      <c r="S3759" s="13">
        <f>$E3759+8</f>
        <v>115</v>
      </c>
      <c r="T3759" s="14">
        <f>IF($J3759=0,0,ROUND(MAX($J3759*1.4*1.5*1.6*1.6*2.2,42600000*(1.576904^(MIN($E3759,123)-117)))*1,0))</f>
        <v>3997594</v>
      </c>
      <c r="U3759" s="11">
        <f>$E3759+11</f>
        <v>118</v>
      </c>
      <c r="V3759" s="12">
        <f>IF($J3759=0,0,ROUND(MAX($J3759*1.4*1.5*1.6*1.6*2.2*2.715,354000000*(1.642074^(MIN($E3759,123)-117)))*1,0))</f>
        <v>10853467</v>
      </c>
      <c r="W3759" s="13">
        <f>$E3759+15</f>
        <v>122</v>
      </c>
      <c r="X3759" s="14">
        <f>IF($J3759=0,0,ROUND(MAX($J3759*1.4*1.5*1.6*1.6*2.2*2.715*2.6,3540000000*(1.579646^(MIN($E3759,123)-117)))*1,0))</f>
        <v>36593634</v>
      </c>
      <c r="Y3759" s="11">
        <f>$E3759+17</f>
        <v>124</v>
      </c>
      <c r="Z3759" s="12">
        <f>IF($J3759=0,0,ROUND(MAX($J3759*1.4*1.5*1.6*1.6*2.2*2.715*2.6*1.4,6020000000*(1.651178^(MIN($E3759,123)-117)))*1,0))</f>
        <v>39962952</v>
      </c>
      <c r="AA3759" s="13">
        <f>$E3759+19</f>
        <v>126</v>
      </c>
      <c r="AB3759" s="14">
        <f>IF($J3759=0,0,ROUND(MAX($J3759*1.4*1.5*1.6*1.6*2.2*2.715*2.6*1.4*1.4,8430000000*(1.651435^(MIN($E3759,123)-117)))*1,0))</f>
        <v>55874381</v>
      </c>
      <c r="AC3759" s="11">
        <f>$E3759+21</f>
        <v>128</v>
      </c>
      <c r="AD3759" s="12">
        <f>IF($J3759=0,0,ROUND(MAX($J3759*1.4*1.5*1.6*1.6*2.2*2.715*2.6*1.4*1.4*1.5,12600000000*(1.652953^(MIN($E3759,123)-117)))*1,0))</f>
        <v>82963899</v>
      </c>
      <c r="AE3759" s="13">
        <f>$E3759+24</f>
        <v>131</v>
      </c>
      <c r="AF3759" s="14">
        <f>IF($J3759=0,0,ROUND(MAX($J3759*1.4*1.5*1.6*1.6*2.2*2.715*2.6*1.4*1.4*1.5*1.5,18900000000*(1.65331^(MIN($E3759,123)-117)))*1,0))</f>
        <v>124445848</v>
      </c>
      <c r="AG3759" s="11">
        <f>$E3759+27</f>
        <v>134</v>
      </c>
      <c r="AH3759" s="12">
        <f>IF($J3759=0,0,ROUND(MAX($J3759*1.4*1.5*1.6*1.6*2.2*2.715*2.6*1.4*1.4*1.5*1.5*3.2,60500000000*(1.654288^(MIN($E3759,123)-117)))*1,0))</f>
        <v>398226715</v>
      </c>
    </row>
    <row r="3760" ht="28" customHeight="1" spans="1:34" x14ac:dyDescent="0.25">
      <c r="A3760">
        <v>3770</v>
      </c>
      <c r="B3760" t="s">
        <v>667</v>
      </c>
      <c r="C3760" s="10" t="s">
        <v>1834</v>
      </c>
      <c r="D3760" t="s">
        <v>79</v>
      </c>
      <c r="E3760">
        <v>107</v>
      </c>
      <c r="F3760" t="s">
        <v>383</v>
      </c>
      <c r="G3760" t="s">
        <v>562</v>
      </c>
      <c r="H3760">
        <v>24</v>
      </c>
      <c r="I3760" s="11">
        <f>$E3760+0</f>
        <v>107</v>
      </c>
      <c r="J3760" s="12">
        <v>315000</v>
      </c>
      <c r="K3760" s="13">
        <f>$E3760+1</f>
        <v>108</v>
      </c>
      <c r="L3760" s="14">
        <f>IF($J3760=0,0,ROUND(MAX($J3760*1.4,1620000*(1.497923^(MIN($E3760,123)-117)))*1,0))</f>
        <v>441000</v>
      </c>
      <c r="M3760" s="11">
        <f>$E3760+2</f>
        <v>109</v>
      </c>
      <c r="N3760" s="12">
        <f>IF($J3760=0,0,ROUND(MAX($J3760*1.4*1.5,2190000*(1.580994^(MIN($E3760,123)-117)))*1,0))</f>
        <v>661500</v>
      </c>
      <c r="O3760" s="13">
        <f>$E3760+4</f>
        <v>111</v>
      </c>
      <c r="P3760" s="14">
        <f>IF($J3760=0,0,ROUND(MAX($J3760*1.4*1.5*1.6,3500000*(1.57975^(MIN($E3760,123)-117)))*1,0))</f>
        <v>1058400</v>
      </c>
      <c r="Q3760" s="11">
        <f>$E3760+6</f>
        <v>113</v>
      </c>
      <c r="R3760" s="12">
        <f>IF($J3760=0,0,ROUND(MAX($J3760*1.4*1.5*1.6*1.6,13100000*(1.429962^(MIN($E3760,123)-117)))*1,0))</f>
        <v>1693440</v>
      </c>
      <c r="S3760" s="13">
        <f>$E3760+8</f>
        <v>115</v>
      </c>
      <c r="T3760" s="14">
        <f>IF($J3760=0,0,ROUND(MAX($J3760*1.4*1.5*1.6*1.6*2.2,42600000*(1.576904^(MIN($E3760,123)-117)))*1,0))</f>
        <v>3725568</v>
      </c>
      <c r="U3760" s="11">
        <f>$E3760+11</f>
        <v>118</v>
      </c>
      <c r="V3760" s="12">
        <f>IF($J3760=0,0,ROUND(MAX($J3760*1.4*1.5*1.6*1.6*2.2*2.715,354000000*(1.642074^(MIN($E3760,123)-117)))*1,0))</f>
        <v>10114917</v>
      </c>
      <c r="W3760" s="13">
        <f>$E3760+15</f>
        <v>122</v>
      </c>
      <c r="X3760" s="14">
        <f>IF($J3760=0,0,ROUND(MAX($J3760*1.4*1.5*1.6*1.6*2.2*2.715*2.6,3540000000*(1.579646^(MIN($E3760,123)-117)))*1,0))</f>
        <v>36593634</v>
      </c>
      <c r="Y3760" s="11">
        <f>$E3760+17</f>
        <v>124</v>
      </c>
      <c r="Z3760" s="12">
        <f>IF($J3760=0,0,ROUND(MAX($J3760*1.4*1.5*1.6*1.6*2.2*2.715*2.6*1.4,6020000000*(1.651178^(MIN($E3760,123)-117)))*1,0))</f>
        <v>39962952</v>
      </c>
      <c r="AA3760" s="13">
        <f>$E3760+19</f>
        <v>126</v>
      </c>
      <c r="AB3760" s="14">
        <f>IF($J3760=0,0,ROUND(MAX($J3760*1.4*1.5*1.6*1.6*2.2*2.715*2.6*1.4*1.4,8430000000*(1.651435^(MIN($E3760,123)-117)))*1,0))</f>
        <v>55874381</v>
      </c>
      <c r="AC3760" s="11">
        <f>$E3760+21</f>
        <v>128</v>
      </c>
      <c r="AD3760" s="12">
        <f>IF($J3760=0,0,ROUND(MAX($J3760*1.4*1.5*1.6*1.6*2.2*2.715*2.6*1.4*1.4*1.5,12600000000*(1.652953^(MIN($E3760,123)-117)))*1,0))</f>
        <v>82749522</v>
      </c>
      <c r="AE3760" s="13">
        <f>$E3760+24</f>
        <v>131</v>
      </c>
      <c r="AF3760" s="14">
        <f>IF($J3760=0,0,ROUND(MAX($J3760*1.4*1.5*1.6*1.6*2.2*2.715*2.6*1.4*1.4*1.5*1.5,18900000000*(1.65331^(MIN($E3760,123)-117)))*1,0))</f>
        <v>123856521</v>
      </c>
      <c r="AG3760" s="11">
        <f>$E3760+27</f>
        <v>134</v>
      </c>
      <c r="AH3760" s="12">
        <f>IF($J3760=0,0,ROUND(MAX($J3760*1.4*1.5*1.6*1.6*2.2*2.715*2.6*1.4*1.4*1.5*1.5*3.2,60500000000*(1.654288^(MIN($E3760,123)-117)))*1,0))</f>
        <v>394134254</v>
      </c>
    </row>
  </sheetData>
  <autoFilter ref="A2:AH3760"/>
  <mergeCells count="21"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Giá cầu thủ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Dân Phạm</cp:lastModifiedBy>
  <dcterms:created xsi:type="dcterms:W3CDTF">2026-10-28T04:05:32Z</dcterms:created>
  <dcterms:modified xsi:type="dcterms:W3CDTF">2026-10-24T11:14:15Z</dcterms:modified>
</cp:coreProperties>
</file>